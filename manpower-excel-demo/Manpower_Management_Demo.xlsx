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ME" sheetId="1" state="visible" r:id="rId3"/>
    <sheet name="README" sheetId="2" state="visible" r:id="rId4"/>
    <sheet name="Dashboard" sheetId="3" state="visible" r:id="rId5"/>
    <sheet name="Settings" sheetId="4" state="visible" r:id="rId6"/>
    <sheet name="Clients" sheetId="5" state="visible" r:id="rId7"/>
    <sheet name="Suppliers" sheetId="6" state="visible" r:id="rId8"/>
    <sheet name="ClientRates" sheetId="7" state="visible" r:id="rId9"/>
    <sheet name="SupplierRates" sheetId="8" state="visible" r:id="rId10"/>
    <sheet name="Workers" sheetId="9" state="visible" r:id="rId11"/>
    <sheet name="Timesheet" sheetId="10" state="visible" r:id="rId12"/>
    <sheet name="Deductions" sheetId="11" state="visible" r:id="rId13"/>
    <sheet name="Payroll" sheetId="12" state="visible" r:id="rId14"/>
    <sheet name="Payslip" sheetId="13" state="visible" r:id="rId15"/>
    <sheet name="ClientInvoice" sheetId="14" state="visible" r:id="rId16"/>
    <sheet name="SupplierStatement" sheetId="15" state="visible" r:id="rId17"/>
    <sheet name="WPS_SIF" sheetId="16" state="visible" r:id="rId18"/>
  </sheets>
  <definedNames>
    <definedName function="false" hidden="false" localSheetId="13" name="_xlnm.Print_Area" vbProcedure="false">ClientInvoice!$B$1:$H$25</definedName>
    <definedName function="false" hidden="true" localSheetId="11" name="_xlnm._FilterDatabase" vbProcedure="false">Payroll!$A$4:$U$1204</definedName>
    <definedName function="false" hidden="false" localSheetId="12" name="_xlnm.Print_Area" vbProcedure="false">Payslip!$B$1:$E$23</definedName>
    <definedName function="false" hidden="true" localSheetId="9" name="_xlnm._FilterDatabase" vbProcedure="false">Timesheet!$A$4:$T$3004</definedName>
    <definedName function="false" hidden="true" localSheetId="8" name="_xlnm._FilterDatabase" vbProcedure="false">Workers!$A$4:$V$2004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<sst xmlns="http://schemas.openxmlformats.org/spreadsheetml/2006/main" count="1567" uniqueCount="629">
  <si>
    <t xml:space="preserve">Client Billing (AED)</t>
  </si>
  <si>
    <t xml:space="preserve">Gross Profit (AED)</t>
  </si>
  <si>
    <t xml:space="preserve">Net Salary to Pay - WPS (AED)</t>
  </si>
  <si>
    <t xml:space="preserve">1. ENTER DATA</t>
  </si>
  <si>
    <t xml:space="preserve">Timesheet</t>
  </si>
  <si>
    <t xml:space="preserve">Deductions</t>
  </si>
  <si>
    <t xml:space="preserve">Workers</t>
  </si>
  <si>
    <t xml:space="preserve">Client hours each month</t>
  </si>
  <si>
    <t xml:space="preserve">Advances, fines</t>
  </si>
  <si>
    <t xml:space="preserve">Add / edit workers</t>
  </si>
  <si>
    <t xml:space="preserve">2. MASTER DATA</t>
  </si>
  <si>
    <t xml:space="preserve">Clients</t>
  </si>
  <si>
    <t xml:space="preserve">Suppliers</t>
  </si>
  <si>
    <t xml:space="preserve">Client Rates</t>
  </si>
  <si>
    <t xml:space="preserve">Customers</t>
  </si>
  <si>
    <t xml:space="preserve">Manpower agencies</t>
  </si>
  <si>
    <t xml:space="preserve">Selling rate / hr</t>
  </si>
  <si>
    <t xml:space="preserve">Supplier Rates</t>
  </si>
  <si>
    <t xml:space="preserve">Settings</t>
  </si>
  <si>
    <t xml:space="preserve">Help</t>
  </si>
  <si>
    <t xml:space="preserve">Cost rate / hr</t>
  </si>
  <si>
    <t xml:space="preserve">Month, OT, VAT</t>
  </si>
  <si>
    <t xml:space="preserve">How it works</t>
  </si>
  <si>
    <t xml:space="preserve">3. REPORTS &amp; PRINT</t>
  </si>
  <si>
    <t xml:space="preserve">Dashboard</t>
  </si>
  <si>
    <t xml:space="preserve">Payroll</t>
  </si>
  <si>
    <t xml:space="preserve">Payslip</t>
  </si>
  <si>
    <t xml:space="preserve">Profit &amp; KPIs</t>
  </si>
  <si>
    <t xml:space="preserve">Salary sheet</t>
  </si>
  <si>
    <t xml:space="preserve">Print payslip</t>
  </si>
  <si>
    <t xml:space="preserve">Client Invoice</t>
  </si>
  <si>
    <t xml:space="preserve">Supplier Payment</t>
  </si>
  <si>
    <t xml:space="preserve">WPS File</t>
  </si>
  <si>
    <t xml:space="preserve">Tax invoice</t>
  </si>
  <si>
    <t xml:space="preserve">Amount payable</t>
  </si>
  <si>
    <t xml:space="preserve">Bank salary file</t>
  </si>
  <si>
    <t xml:space="preserve">Click any tile to open. Every sheet has a  « HOME  link at the top right to come back.</t>
  </si>
  <si>
    <t xml:space="preserve">Manpower Management System - Excel Demo</t>
  </si>
  <si>
    <t xml:space="preserve">« HOME</t>
  </si>
  <si>
    <t xml:space="preserve">Own workers + supplier workers -&gt; clients -&gt; timesheet -&gt; payroll, supplier payment, client invoice</t>
  </si>
  <si>
    <t xml:space="preserve">HOW THE FLOW WORKS</t>
  </si>
  <si>
    <t xml:space="preserve">1. Settings</t>
  </si>
  <si>
    <t xml:space="preserve">Choose the payroll month and company rules (OT rate, VAT, working days).</t>
  </si>
  <si>
    <t xml:space="preserve">2. Clients / Suppliers</t>
  </si>
  <si>
    <t xml:space="preserve">Master list of customers and manpower suppliers (one row each).</t>
  </si>
  <si>
    <t xml:space="preserve">3. ClientRates</t>
  </si>
  <si>
    <t xml:space="preserve">What you CHARGE each client per hour, per trade (normal + OT).</t>
  </si>
  <si>
    <t xml:space="preserve">4. SupplierRates</t>
  </si>
  <si>
    <t xml:space="preserve">What each supplier CHARGES YOU per hour, per trade (normal + OT).</t>
  </si>
  <si>
    <t xml:space="preserve">5. Workers</t>
  </si>
  <si>
    <t xml:space="preserve">Every worker: Source = Own or Supplier. Own workers have salary, IBAN, labour card.</t>
  </si>
  <si>
    <t xml:space="preserve">6. Timesheet</t>
  </si>
  <si>
    <t xml:space="preserve">Monthly hours received from the client. ONLY enter columns A-H; the rest is calculated.</t>
  </si>
  <si>
    <t xml:space="preserve">7. Deductions</t>
  </si>
  <si>
    <t xml:space="preserve">Salary advances, fines, accommodation etc. for own workers.</t>
  </si>
  <si>
    <t xml:space="preserve">AUTOMATIC OUTPUT SHEETS</t>
  </si>
  <si>
    <t xml:space="preserve">Month KPIs: billing, supplier cost, own payroll, profit, profit per client, document alerts.</t>
  </si>
  <si>
    <t xml:space="preserve">Own workers' salary for the month (fixed, hourly, OT, deductions, net pay).</t>
  </si>
  <si>
    <t xml:space="preserve">Pick a Worker ID in cell C4 -&gt; printable payslip.</t>
  </si>
  <si>
    <t xml:space="preserve">ClientInvoice</t>
  </si>
  <si>
    <t xml:space="preserve">Pick a Client ID in cell C4 -&gt; tax invoice with trade-wise hours and 5% VAT.</t>
  </si>
  <si>
    <t xml:space="preserve">SupplierStatement</t>
  </si>
  <si>
    <t xml:space="preserve">How much to pay each supplier this month, incl. VAT and due date.</t>
  </si>
  <si>
    <t xml:space="preserve">WPS_SIF</t>
  </si>
  <si>
    <t xml:space="preserve">Salary rows in WPS SIF layout (EDR + SCR). Confirm exact format with your bank/exchange.</t>
  </si>
  <si>
    <t xml:space="preserve">COLOUR LEGEND</t>
  </si>
  <si>
    <t xml:space="preserve">Blue text / yellow cell</t>
  </si>
  <si>
    <t xml:space="preserve">Input - type here.</t>
  </si>
  <si>
    <t xml:space="preserve">Black text</t>
  </si>
  <si>
    <t xml:space="preserve">Formula - do not overwrite.</t>
  </si>
  <si>
    <t xml:space="preserve">Dark blue header</t>
  </si>
  <si>
    <t xml:space="preserve">Input column.   Light blue header = calculated column.</t>
  </si>
  <si>
    <t xml:space="preserve">Red row</t>
  </si>
  <si>
    <t xml:space="preserve">Visa / Emirates ID expired or expiring within the alert days (Settings).</t>
  </si>
  <si>
    <t xml:space="preserve">MONTHLY ROUTINE</t>
  </si>
  <si>
    <t xml:space="preserve">Step 1</t>
  </si>
  <si>
    <t xml:space="preserve">Settings!B8 -&gt; set the month (1st day of month).</t>
  </si>
  <si>
    <t xml:space="preserve">Step 2</t>
  </si>
  <si>
    <t xml:space="preserve">Paste/enter client timesheets in Timesheet (Month, Client, Site, Worker ID, Days, Hours, OT).</t>
  </si>
  <si>
    <t xml:space="preserve">Step 3</t>
  </si>
  <si>
    <t xml:space="preserve">Enter advances / fines in Deductions.</t>
  </si>
  <si>
    <t xml:space="preserve">Step 4</t>
  </si>
  <si>
    <t xml:space="preserve">Check Dashboard -&gt; print Payslips, ClientInvoice, SupplierStatement, export WPS_SIF.</t>
  </si>
  <si>
    <t xml:space="preserve">ASSUMPTIONS (change in Settings)</t>
  </si>
  <si>
    <t xml:space="preserve">Monthly salary</t>
  </si>
  <si>
    <t xml:space="preserve">Absent days = Standard working days - Days worked; deduction = (Basic+Allowances)/30 x absent days.</t>
  </si>
  <si>
    <t xml:space="preserve">Overtime</t>
  </si>
  <si>
    <t xml:space="preserve">UAE practice: OT hourly = Basic/30/8 x 1.25 (multiplier editable). Hourly workers: rate x 1.25.</t>
  </si>
  <si>
    <t xml:space="preserve">Own worker cost per hour</t>
  </si>
  <si>
    <t xml:space="preserve">Used for profit per client = (Basic+Allowances)/(Std days x hours per day).</t>
  </si>
  <si>
    <t xml:space="preserve">Sample data</t>
  </si>
  <si>
    <t xml:space="preserve">All names, companies, IDs and rates are fictional examples.</t>
  </si>
  <si>
    <t xml:space="preserve">Profit by Client (this month)</t>
  </si>
  <si>
    <t xml:space="preserve">(change month in Settings!B8)</t>
  </si>
  <si>
    <t xml:space="preserve">Client ID</t>
  </si>
  <si>
    <t xml:space="preserve">Client Name</t>
  </si>
  <si>
    <t xml:space="preserve">Lines</t>
  </si>
  <si>
    <t xml:space="preserve">Billing (AED)</t>
  </si>
  <si>
    <t xml:space="preserve">Supplier Cost</t>
  </si>
  <si>
    <t xml:space="preserve">Own Cost Est.</t>
  </si>
  <si>
    <t xml:space="preserve">Profit (AED)</t>
  </si>
  <si>
    <t xml:space="preserve">Margin %</t>
  </si>
  <si>
    <t xml:space="preserve">Client Billing (excl. VAT)</t>
  </si>
  <si>
    <t xml:space="preserve">Supplier Cost (excl. VAT)</t>
  </si>
  <si>
    <t xml:space="preserve">Own Workers Payroll (Gross)</t>
  </si>
  <si>
    <t xml:space="preserve">GROSS PROFIT</t>
  </si>
  <si>
    <t xml:space="preserve">Gross Margin %</t>
  </si>
  <si>
    <t xml:space="preserve">VAT Output (on billing)</t>
  </si>
  <si>
    <t xml:space="preserve">Total Billable Hours</t>
  </si>
  <si>
    <t xml:space="preserve">Timesheet Lines (this month)</t>
  </si>
  <si>
    <t xml:space="preserve">Active Own Workers</t>
  </si>
  <si>
    <t xml:space="preserve">Active Supplier Workers</t>
  </si>
  <si>
    <t xml:space="preserve">Net Salary to Pay (WPS)</t>
  </si>
  <si>
    <t xml:space="preserve">Payable to Suppliers (incl. VAT)</t>
  </si>
  <si>
    <t xml:space="preserve">Documents EXPIRED</t>
  </si>
  <si>
    <t xml:space="preserve">Documents EXPIRING SOON</t>
  </si>
  <si>
    <t xml:space="preserve">Note: 'Own Cost Est.' per client uses each own worker's cost/hour (Workers col V); Gross Profit at left uses actual payroll.</t>
  </si>
  <si>
    <t xml:space="preserve">Yellow cells are inputs. Change the payroll month here every month.</t>
  </si>
  <si>
    <t xml:space="preserve">Company Name</t>
  </si>
  <si>
    <t xml:space="preserve">Gulf Star Manpower Services LLC</t>
  </si>
  <si>
    <t xml:space="preserve">Trades</t>
  </si>
  <si>
    <t xml:space="preserve">Source</t>
  </si>
  <si>
    <t xml:space="preserve">Pay Basis</t>
  </si>
  <si>
    <t xml:space="preserve">Deduction Types</t>
  </si>
  <si>
    <t xml:space="preserve">Status</t>
  </si>
  <si>
    <t xml:space="preserve">Company TRN (VAT)</t>
  </si>
  <si>
    <t xml:space="preserve">100123456700003</t>
  </si>
  <si>
    <t xml:space="preserve">Helper</t>
  </si>
  <si>
    <t xml:space="preserve">Own</t>
  </si>
  <si>
    <t xml:space="preserve">Monthly</t>
  </si>
  <si>
    <t xml:space="preserve">Advance</t>
  </si>
  <si>
    <t xml:space="preserve">Active</t>
  </si>
  <si>
    <t xml:space="preserve">Employer MOHRE ID (13 digits)</t>
  </si>
  <si>
    <t xml:space="preserve">0000001234567</t>
  </si>
  <si>
    <t xml:space="preserve">Mason</t>
  </si>
  <si>
    <t xml:space="preserve">Supplier</t>
  </si>
  <si>
    <t xml:space="preserve">Hourly</t>
  </si>
  <si>
    <t xml:space="preserve">Fine</t>
  </si>
  <si>
    <t xml:space="preserve">Inactive</t>
  </si>
  <si>
    <t xml:space="preserve">Employer Bank Routing Code</t>
  </si>
  <si>
    <t xml:space="preserve">803320101</t>
  </si>
  <si>
    <t xml:space="preserve">Carpenter</t>
  </si>
  <si>
    <t xml:space="preserve">Accommodation</t>
  </si>
  <si>
    <t xml:space="preserve">Payroll Month (1st day)</t>
  </si>
  <si>
    <t xml:space="preserve">Electrician</t>
  </si>
  <si>
    <t xml:space="preserve">Other</t>
  </si>
  <si>
    <t xml:space="preserve">Month End</t>
  </si>
  <si>
    <t xml:space="preserve">Plumber</t>
  </si>
  <si>
    <t xml:space="preserve">Salary Day Divisor</t>
  </si>
  <si>
    <t xml:space="preserve">Steel Fixer</t>
  </si>
  <si>
    <t xml:space="preserve">Standard Working Days / Month</t>
  </si>
  <si>
    <t xml:space="preserve">Driver</t>
  </si>
  <si>
    <t xml:space="preserve">Normal Hours / Day</t>
  </si>
  <si>
    <t xml:space="preserve">Cleaner</t>
  </si>
  <si>
    <t xml:space="preserve">OT Multiplier</t>
  </si>
  <si>
    <t xml:space="preserve">Security Guard</t>
  </si>
  <si>
    <t xml:space="preserve">VAT Rate</t>
  </si>
  <si>
    <t xml:space="preserve">Document Expiry Alert (days)</t>
  </si>
  <si>
    <t xml:space="preserve">Note: OT multiplier 1.25 and divisor 30 follow common UAE practice - confirm with your HR / legal advisor.</t>
  </si>
  <si>
    <t xml:space="preserve">Clients (Customers)</t>
  </si>
  <si>
    <t xml:space="preserve">One row per client. Client ID must be unique.</t>
  </si>
  <si>
    <t xml:space="preserve">TRN</t>
  </si>
  <si>
    <t xml:space="preserve">Emirate</t>
  </si>
  <si>
    <t xml:space="preserve">Payment Terms (days)</t>
  </si>
  <si>
    <t xml:space="preserve">Contact Person</t>
  </si>
  <si>
    <t xml:space="preserve">Phone</t>
  </si>
  <si>
    <t xml:space="preserve">C001</t>
  </si>
  <si>
    <t xml:space="preserve">Al Waha Contracting LLC</t>
  </si>
  <si>
    <t xml:space="preserve">100555111200003</t>
  </si>
  <si>
    <t xml:space="preserve">Dubai</t>
  </si>
  <si>
    <t xml:space="preserve">Mr. Al</t>
  </si>
  <si>
    <t xml:space="preserve">+971 4 000 0000</t>
  </si>
  <si>
    <t xml:space="preserve">C002</t>
  </si>
  <si>
    <t xml:space="preserve">Blue Creek Facilities Mgmt</t>
  </si>
  <si>
    <t xml:space="preserve">100555222300003</t>
  </si>
  <si>
    <t xml:space="preserve">Abu Dhabi</t>
  </si>
  <si>
    <t xml:space="preserve">Mr. Blue</t>
  </si>
  <si>
    <t xml:space="preserve">+971 4 000 0001</t>
  </si>
  <si>
    <t xml:space="preserve">C003</t>
  </si>
  <si>
    <t xml:space="preserve">Sandline Construction Co.</t>
  </si>
  <si>
    <t xml:space="preserve">100555333400003</t>
  </si>
  <si>
    <t xml:space="preserve">Sharjah</t>
  </si>
  <si>
    <t xml:space="preserve">Mr. Sandline</t>
  </si>
  <si>
    <t xml:space="preserve">+971 4 000 0002</t>
  </si>
  <si>
    <t xml:space="preserve">C004</t>
  </si>
  <si>
    <t xml:space="preserve">Marina Hospitality Group</t>
  </si>
  <si>
    <t xml:space="preserve">100555444500003</t>
  </si>
  <si>
    <t xml:space="preserve">Mr. Marina</t>
  </si>
  <si>
    <t xml:space="preserve">+971 4 000 0003</t>
  </si>
  <si>
    <t xml:space="preserve">Suppliers (Manpower Agencies)</t>
  </si>
  <si>
    <t xml:space="preserve">Companies that supply workers to you.</t>
  </si>
  <si>
    <t xml:space="preserve">Supplier ID</t>
  </si>
  <si>
    <t xml:space="preserve">Supplier Name</t>
  </si>
  <si>
    <t xml:space="preserve">Bank IBAN</t>
  </si>
  <si>
    <t xml:space="preserve">S001</t>
  </si>
  <si>
    <t xml:space="preserve">Desert Falcon Manpower Supply</t>
  </si>
  <si>
    <t xml:space="preserve">100777111200003</t>
  </si>
  <si>
    <t xml:space="preserve">Mr. Desert</t>
  </si>
  <si>
    <t xml:space="preserve">AE07 0331 2345 6789 0123 450</t>
  </si>
  <si>
    <t xml:space="preserve">S002</t>
  </si>
  <si>
    <t xml:space="preserve">Emirates Link Labour Services</t>
  </si>
  <si>
    <t xml:space="preserve">100777222300003</t>
  </si>
  <si>
    <t xml:space="preserve">Mr. Emirates</t>
  </si>
  <si>
    <t xml:space="preserve">AE07 0331 2345 6789 0123 451</t>
  </si>
  <si>
    <t xml:space="preserve">S003</t>
  </si>
  <si>
    <t xml:space="preserve">Oasis Workforce Solutions</t>
  </si>
  <si>
    <t xml:space="preserve">100777333400003</t>
  </si>
  <si>
    <t xml:space="preserve">Mr. Oasis</t>
  </si>
  <si>
    <t xml:space="preserve">AE07 0331 2345 6789 0123 452</t>
  </si>
  <si>
    <t xml:space="preserve">ClientRates</t>
  </si>
  <si>
    <t xml:space="preserve">Selling rate charged to each client, per trade.</t>
  </si>
  <si>
    <t xml:space="preserve">Key (auto)</t>
  </si>
  <si>
    <t xml:space="preserve">Trade</t>
  </si>
  <si>
    <t xml:space="preserve">Normal Rate / hr (AED)</t>
  </si>
  <si>
    <t xml:space="preserve">OT Rate / hr (AED)</t>
  </si>
  <si>
    <t xml:space="preserve">SupplierRates</t>
  </si>
  <si>
    <t xml:space="preserve">Cost rate charged by each supplier, per trade.</t>
  </si>
  <si>
    <t xml:space="preserve">Workers Master</t>
  </si>
  <si>
    <t xml:space="preserve">Own + supplier workers. Salary / bank fields are needed only for Own workers. Columns R-V are automatic.</t>
  </si>
  <si>
    <t xml:space="preserve">Worker ID</t>
  </si>
  <si>
    <t xml:space="preserve">Name</t>
  </si>
  <si>
    <t xml:space="preserve">Nationality</t>
  </si>
  <si>
    <t xml:space="preserve">Passport No</t>
  </si>
  <si>
    <t xml:space="preserve">Labour Card / Person ID</t>
  </si>
  <si>
    <t xml:space="preserve">Visa Expiry</t>
  </si>
  <si>
    <t xml:space="preserve">Emirates ID Expiry</t>
  </si>
  <si>
    <t xml:space="preserve">Basic Salary / Month</t>
  </si>
  <si>
    <t xml:space="preserve">Allowances / Month</t>
  </si>
  <si>
    <t xml:space="preserve">Hourly Rate</t>
  </si>
  <si>
    <t xml:space="preserve">Bank Routing Code</t>
  </si>
  <si>
    <t xml:space="preserve">IBAN</t>
  </si>
  <si>
    <t xml:space="preserve">Days to Visa Expiry</t>
  </si>
  <si>
    <t xml:space="preserve">Days to EID Expiry</t>
  </si>
  <si>
    <t xml:space="preserve">Document Alert</t>
  </si>
  <si>
    <t xml:space="preserve">Own Seq (auto)</t>
  </si>
  <si>
    <t xml:space="preserve">Own Cost / hr</t>
  </si>
  <si>
    <t xml:space="preserve">W0001</t>
  </si>
  <si>
    <t xml:space="preserve">Marlon Khan</t>
  </si>
  <si>
    <t xml:space="preserve">Pakistan</t>
  </si>
  <si>
    <t xml:space="preserve">P9648511</t>
  </si>
  <si>
    <t xml:space="preserve">96921334349946</t>
  </si>
  <si>
    <t xml:space="preserve">402320106</t>
  </si>
  <si>
    <t xml:space="preserve">AE96 1884 8481 7428 7521 508</t>
  </si>
  <si>
    <t xml:space="preserve">W0002</t>
  </si>
  <si>
    <t xml:space="preserve">Rohan Ali</t>
  </si>
  <si>
    <t xml:space="preserve">Philippines</t>
  </si>
  <si>
    <t xml:space="preserve">P3537804</t>
  </si>
  <si>
    <t xml:space="preserve">24278776051635</t>
  </si>
  <si>
    <t xml:space="preserve">600310101</t>
  </si>
  <si>
    <t xml:space="preserve">AE88 1417 2152 4407 7164 252</t>
  </si>
  <si>
    <t xml:space="preserve">W0003</t>
  </si>
  <si>
    <t xml:space="preserve">Ronel Thapa</t>
  </si>
  <si>
    <t xml:space="preserve">Nepal</t>
  </si>
  <si>
    <t xml:space="preserve">P5441883</t>
  </si>
  <si>
    <t xml:space="preserve">32723349357046</t>
  </si>
  <si>
    <t xml:space="preserve">AE12 4362 9654 6926 3401 806</t>
  </si>
  <si>
    <t xml:space="preserve">W0004</t>
  </si>
  <si>
    <t xml:space="preserve">Tariq Varghese</t>
  </si>
  <si>
    <t xml:space="preserve">P4742018</t>
  </si>
  <si>
    <t xml:space="preserve">41910762301181</t>
  </si>
  <si>
    <t xml:space="preserve">AE76 9073 6825 1474 1457 909</t>
  </si>
  <si>
    <t xml:space="preserve">W0005</t>
  </si>
  <si>
    <t xml:space="preserve">Joseph Ahmed</t>
  </si>
  <si>
    <t xml:space="preserve">P9097578</t>
  </si>
  <si>
    <t xml:space="preserve">95890327812981</t>
  </si>
  <si>
    <t xml:space="preserve">AE71 6636 2389 2964 7365 901</t>
  </si>
  <si>
    <t xml:space="preserve">W0006</t>
  </si>
  <si>
    <t xml:space="preserve">Dinesh Shrestha</t>
  </si>
  <si>
    <t xml:space="preserve">P8807342</t>
  </si>
  <si>
    <t xml:space="preserve">96071772425721</t>
  </si>
  <si>
    <t xml:space="preserve">AE70 6741 3554 9989 9983 234</t>
  </si>
  <si>
    <t xml:space="preserve">W0007</t>
  </si>
  <si>
    <t xml:space="preserve">Rahul Kumar</t>
  </si>
  <si>
    <t xml:space="preserve">P5351419</t>
  </si>
  <si>
    <t xml:space="preserve">68972238951406</t>
  </si>
  <si>
    <t xml:space="preserve">AE17 6796 8506 9466 7891 946</t>
  </si>
  <si>
    <t xml:space="preserve">W0008</t>
  </si>
  <si>
    <t xml:space="preserve">Mohan Nair</t>
  </si>
  <si>
    <t xml:space="preserve">India</t>
  </si>
  <si>
    <t xml:space="preserve">P2036081</t>
  </si>
  <si>
    <t xml:space="preserve">84691707568212</t>
  </si>
  <si>
    <t xml:space="preserve">AE71 2738 1930 5071 4134 383</t>
  </si>
  <si>
    <t xml:space="preserve">W0009</t>
  </si>
  <si>
    <t xml:space="preserve">Anwar Shrestha</t>
  </si>
  <si>
    <t xml:space="preserve">P8589103</t>
  </si>
  <si>
    <t xml:space="preserve">85052441044367</t>
  </si>
  <si>
    <t xml:space="preserve">AE74 5057 9572 5253 4319 960</t>
  </si>
  <si>
    <t xml:space="preserve">W0010</t>
  </si>
  <si>
    <t xml:space="preserve">Hari Nair</t>
  </si>
  <si>
    <t xml:space="preserve">P3398789</t>
  </si>
  <si>
    <t xml:space="preserve">40904298604831</t>
  </si>
  <si>
    <t xml:space="preserve">AE22 7525 8983 3667 4665 265</t>
  </si>
  <si>
    <t xml:space="preserve">W0011</t>
  </si>
  <si>
    <t xml:space="preserve">Dinesh Menon</t>
  </si>
  <si>
    <t xml:space="preserve">P7448231</t>
  </si>
  <si>
    <t xml:space="preserve">82822594276261</t>
  </si>
  <si>
    <t xml:space="preserve">AE47 9392 2053 2848 4744 997</t>
  </si>
  <si>
    <t xml:space="preserve">W0012</t>
  </si>
  <si>
    <t xml:space="preserve">Imran Ali</t>
  </si>
  <si>
    <t xml:space="preserve">P2500926</t>
  </si>
  <si>
    <t xml:space="preserve">18097211916423</t>
  </si>
  <si>
    <t xml:space="preserve">AE33 7968 2186 5406 1275 749</t>
  </si>
  <si>
    <t xml:space="preserve">W0013</t>
  </si>
  <si>
    <t xml:space="preserve">Suresh Shrestha</t>
  </si>
  <si>
    <t xml:space="preserve">P3168032</t>
  </si>
  <si>
    <t xml:space="preserve">84152795932475</t>
  </si>
  <si>
    <t xml:space="preserve">AE40 2793 3645 5290 1825 285</t>
  </si>
  <si>
    <t xml:space="preserve">W0014</t>
  </si>
  <si>
    <t xml:space="preserve">Prakash Varghese</t>
  </si>
  <si>
    <t xml:space="preserve">P9483466</t>
  </si>
  <si>
    <t xml:space="preserve">82371012647049</t>
  </si>
  <si>
    <t xml:space="preserve">AE41 8324 2741 8080 9110 659</t>
  </si>
  <si>
    <t xml:space="preserve">W0015</t>
  </si>
  <si>
    <t xml:space="preserve">Rohan Gurung</t>
  </si>
  <si>
    <t xml:space="preserve">P8226629</t>
  </si>
  <si>
    <t xml:space="preserve">17796066780717</t>
  </si>
  <si>
    <t xml:space="preserve">AE95 7240 9289 5619 4968 809</t>
  </si>
  <si>
    <t xml:space="preserve">W0016</t>
  </si>
  <si>
    <t xml:space="preserve">Sanjay Kumar</t>
  </si>
  <si>
    <t xml:space="preserve">P6982485</t>
  </si>
  <si>
    <t xml:space="preserve">10151109653521</t>
  </si>
  <si>
    <t xml:space="preserve">AE58 2374 8776 5569 9237 771</t>
  </si>
  <si>
    <t xml:space="preserve">W0017</t>
  </si>
  <si>
    <t xml:space="preserve">Prakash Khan</t>
  </si>
  <si>
    <t xml:space="preserve">P2417384</t>
  </si>
  <si>
    <t xml:space="preserve">31851722182217</t>
  </si>
  <si>
    <t xml:space="preserve">AE86 7381 6343 9096 3448 390</t>
  </si>
  <si>
    <t xml:space="preserve">W0018</t>
  </si>
  <si>
    <t xml:space="preserve">Nabin Pillai</t>
  </si>
  <si>
    <t xml:space="preserve">P3232933</t>
  </si>
  <si>
    <t xml:space="preserve">60764954880477</t>
  </si>
  <si>
    <t xml:space="preserve">AE58 8395 1831 1308 9707 797</t>
  </si>
  <si>
    <t xml:space="preserve">W0019</t>
  </si>
  <si>
    <t xml:space="preserve">Faisal Ahmed</t>
  </si>
  <si>
    <t xml:space="preserve">P4442978</t>
  </si>
  <si>
    <t xml:space="preserve">79516022831268</t>
  </si>
  <si>
    <t xml:space="preserve">AE19 8848 5707 1765 4248 179</t>
  </si>
  <si>
    <t xml:space="preserve">W0020</t>
  </si>
  <si>
    <t xml:space="preserve">Shafi Nair</t>
  </si>
  <si>
    <t xml:space="preserve">Bangladesh</t>
  </si>
  <si>
    <t xml:space="preserve">P5879761</t>
  </si>
  <si>
    <t xml:space="preserve">82695366062236</t>
  </si>
  <si>
    <t xml:space="preserve">AE69 8633 8640 2941 9996 304</t>
  </si>
  <si>
    <t xml:space="preserve">W0021</t>
  </si>
  <si>
    <t xml:space="preserve">Sanjay Ali</t>
  </si>
  <si>
    <t xml:space="preserve">P9792363</t>
  </si>
  <si>
    <t xml:space="preserve">28663177171983</t>
  </si>
  <si>
    <t xml:space="preserve">AE90 9335 5580 2846 6983 336</t>
  </si>
  <si>
    <t xml:space="preserve">W0022</t>
  </si>
  <si>
    <t xml:space="preserve">Jamal Varghese</t>
  </si>
  <si>
    <t xml:space="preserve">P6558700</t>
  </si>
  <si>
    <t xml:space="preserve">55672689704836</t>
  </si>
  <si>
    <t xml:space="preserve">AE60 2966 4207 1192 5748 359</t>
  </si>
  <si>
    <t xml:space="preserve">W0023</t>
  </si>
  <si>
    <t xml:space="preserve">Bikash Ali</t>
  </si>
  <si>
    <t xml:space="preserve">P5458176</t>
  </si>
  <si>
    <t xml:space="preserve">81912511076662</t>
  </si>
  <si>
    <t xml:space="preserve">AE34 7116 8008 1475 7554 996</t>
  </si>
  <si>
    <t xml:space="preserve">W0024</t>
  </si>
  <si>
    <t xml:space="preserve">Tariq Gurung</t>
  </si>
  <si>
    <t xml:space="preserve">P6765705</t>
  </si>
  <si>
    <t xml:space="preserve">51907205997105</t>
  </si>
  <si>
    <t xml:space="preserve">AE93 5262 7655 4910 5928 594</t>
  </si>
  <si>
    <t xml:space="preserve">W0025</t>
  </si>
  <si>
    <t xml:space="preserve">Tariq Santos</t>
  </si>
  <si>
    <t xml:space="preserve">P3342033</t>
  </si>
  <si>
    <t xml:space="preserve">37077826553945</t>
  </si>
  <si>
    <t xml:space="preserve">AE21 3862 6602 2492 6231 344</t>
  </si>
  <si>
    <t xml:space="preserve">W0026</t>
  </si>
  <si>
    <t xml:space="preserve">Bikash Thapa</t>
  </si>
  <si>
    <t xml:space="preserve">P7042234</t>
  </si>
  <si>
    <t xml:space="preserve">84481189948222</t>
  </si>
  <si>
    <t xml:space="preserve">AE37 2517 5440 5070 7300 509</t>
  </si>
  <si>
    <t xml:space="preserve">W0027</t>
  </si>
  <si>
    <t xml:space="preserve">Ronel Ahmed</t>
  </si>
  <si>
    <t xml:space="preserve">P8532138</t>
  </si>
  <si>
    <t xml:space="preserve">41495463530590</t>
  </si>
  <si>
    <t xml:space="preserve">AE29 9558 2784 8492 2392 664</t>
  </si>
  <si>
    <t xml:space="preserve">W0028</t>
  </si>
  <si>
    <t xml:space="preserve">Anwar Kumar</t>
  </si>
  <si>
    <t xml:space="preserve">P4216221</t>
  </si>
  <si>
    <t xml:space="preserve">46715047245502</t>
  </si>
  <si>
    <t xml:space="preserve">AE86 1018 1171 9806 5940 571</t>
  </si>
  <si>
    <t xml:space="preserve">W0029</t>
  </si>
  <si>
    <t xml:space="preserve">Joseph Hossain</t>
  </si>
  <si>
    <t xml:space="preserve">P2360499</t>
  </si>
  <si>
    <t xml:space="preserve">42063035771278</t>
  </si>
  <si>
    <t xml:space="preserve">AE64 7065 4715 9076 1558 812</t>
  </si>
  <si>
    <t xml:space="preserve">W0030</t>
  </si>
  <si>
    <t xml:space="preserve">Asif Reyes</t>
  </si>
  <si>
    <t xml:space="preserve">P8803319</t>
  </si>
  <si>
    <t xml:space="preserve">47298447088097</t>
  </si>
  <si>
    <t xml:space="preserve">AE23 9122 4068 4658 8947 527</t>
  </si>
  <si>
    <t xml:space="preserve">W0031</t>
  </si>
  <si>
    <t xml:space="preserve">Marlon Kumar</t>
  </si>
  <si>
    <t xml:space="preserve">P2899274</t>
  </si>
  <si>
    <t xml:space="preserve">21171199327519</t>
  </si>
  <si>
    <t xml:space="preserve">AE52 4124 4039 9598 8661 132</t>
  </si>
  <si>
    <t xml:space="preserve">W0032</t>
  </si>
  <si>
    <t xml:space="preserve">Sanjay Santos</t>
  </si>
  <si>
    <t xml:space="preserve">P4479635</t>
  </si>
  <si>
    <t xml:space="preserve">60192620465646</t>
  </si>
  <si>
    <t xml:space="preserve">AE65 2437 1807 8757 4206 481</t>
  </si>
  <si>
    <t xml:space="preserve">W0033</t>
  </si>
  <si>
    <t xml:space="preserve">P2040252</t>
  </si>
  <si>
    <t xml:space="preserve">37433059994682</t>
  </si>
  <si>
    <t xml:space="preserve">AE18 6555 6946 5461 6488 731</t>
  </si>
  <si>
    <t xml:space="preserve">W0034</t>
  </si>
  <si>
    <t xml:space="preserve">Anwar Thapa</t>
  </si>
  <si>
    <t xml:space="preserve">P9279117</t>
  </si>
  <si>
    <t xml:space="preserve">35746166597902</t>
  </si>
  <si>
    <t xml:space="preserve">AE48 3479 4868 6370 6235 571</t>
  </si>
  <si>
    <t xml:space="preserve">W0035</t>
  </si>
  <si>
    <t xml:space="preserve">Bikash Shrestha</t>
  </si>
  <si>
    <t xml:space="preserve">P8156393</t>
  </si>
  <si>
    <t xml:space="preserve">24808546763942</t>
  </si>
  <si>
    <t xml:space="preserve">AE43 2377 4413 2579 7898 610</t>
  </si>
  <si>
    <t xml:space="preserve">W0036</t>
  </si>
  <si>
    <t xml:space="preserve">Dinesh Ahmed</t>
  </si>
  <si>
    <t xml:space="preserve">P5262360</t>
  </si>
  <si>
    <t xml:space="preserve">46639241010357</t>
  </si>
  <si>
    <t xml:space="preserve">AE66 5053 4043 5019 4858 257</t>
  </si>
  <si>
    <t xml:space="preserve">W0037</t>
  </si>
  <si>
    <t xml:space="preserve">Sanjay Varghese</t>
  </si>
  <si>
    <t xml:space="preserve">P8965197</t>
  </si>
  <si>
    <t xml:space="preserve">15679552551765</t>
  </si>
  <si>
    <t xml:space="preserve">AE39 2953 1825 4105 4181 176</t>
  </si>
  <si>
    <t xml:space="preserve">W0038</t>
  </si>
  <si>
    <t xml:space="preserve">Bikash Gurung</t>
  </si>
  <si>
    <t xml:space="preserve">P4422156</t>
  </si>
  <si>
    <t xml:space="preserve">45880156248589</t>
  </si>
  <si>
    <t xml:space="preserve">AE86 4333 1186 6361 7700 794</t>
  </si>
  <si>
    <t xml:space="preserve">W0039</t>
  </si>
  <si>
    <t xml:space="preserve">Bikash Nair</t>
  </si>
  <si>
    <t xml:space="preserve">P9958985</t>
  </si>
  <si>
    <t xml:space="preserve">65981306776326</t>
  </si>
  <si>
    <t xml:space="preserve">AE44 7713 5641 6039 7845 152</t>
  </si>
  <si>
    <t xml:space="preserve">W0040</t>
  </si>
  <si>
    <t xml:space="preserve">Sanjay Reyes</t>
  </si>
  <si>
    <t xml:space="preserve">P2904873</t>
  </si>
  <si>
    <t xml:space="preserve">22738101488894</t>
  </si>
  <si>
    <t xml:space="preserve">AE83 6975 8551 3663 3129 115</t>
  </si>
  <si>
    <t xml:space="preserve">SW0001</t>
  </si>
  <si>
    <t xml:space="preserve">Anwar Gurung</t>
  </si>
  <si>
    <t xml:space="preserve">P2825241</t>
  </si>
  <si>
    <t xml:space="preserve">SW0002</t>
  </si>
  <si>
    <t xml:space="preserve">Rohan Ahmed</t>
  </si>
  <si>
    <t xml:space="preserve">P7786124</t>
  </si>
  <si>
    <t xml:space="preserve">SW0003</t>
  </si>
  <si>
    <t xml:space="preserve">Shafi Rahman</t>
  </si>
  <si>
    <t xml:space="preserve">P1689527</t>
  </si>
  <si>
    <t xml:space="preserve">SW0004</t>
  </si>
  <si>
    <t xml:space="preserve">Tariq Rahman</t>
  </si>
  <si>
    <t xml:space="preserve">P8495882</t>
  </si>
  <si>
    <t xml:space="preserve">SW0005</t>
  </si>
  <si>
    <t xml:space="preserve">Mohan Ahmed</t>
  </si>
  <si>
    <t xml:space="preserve">P3155132</t>
  </si>
  <si>
    <t xml:space="preserve">SW0006</t>
  </si>
  <si>
    <t xml:space="preserve">Bikash Menon</t>
  </si>
  <si>
    <t xml:space="preserve">P3284817</t>
  </si>
  <si>
    <t xml:space="preserve">SW0007</t>
  </si>
  <si>
    <t xml:space="preserve">Rahul Rahman</t>
  </si>
  <si>
    <t xml:space="preserve">P6433116</t>
  </si>
  <si>
    <t xml:space="preserve">SW0008</t>
  </si>
  <si>
    <t xml:space="preserve">Shafi Thapa</t>
  </si>
  <si>
    <t xml:space="preserve">P4055070</t>
  </si>
  <si>
    <t xml:space="preserve">SW0009</t>
  </si>
  <si>
    <t xml:space="preserve">Rohan Nair</t>
  </si>
  <si>
    <t xml:space="preserve">P5228388</t>
  </si>
  <si>
    <t xml:space="preserve">SW0010</t>
  </si>
  <si>
    <t xml:space="preserve">P5972488</t>
  </si>
  <si>
    <t xml:space="preserve">SW0011</t>
  </si>
  <si>
    <t xml:space="preserve">Mohan Thapa</t>
  </si>
  <si>
    <t xml:space="preserve">P3214983</t>
  </si>
  <si>
    <t xml:space="preserve">SW0012</t>
  </si>
  <si>
    <t xml:space="preserve">Jamal Khan</t>
  </si>
  <si>
    <t xml:space="preserve">P6052542</t>
  </si>
  <si>
    <t xml:space="preserve">SW0013</t>
  </si>
  <si>
    <t xml:space="preserve">Ajith Nair</t>
  </si>
  <si>
    <t xml:space="preserve">P7743650</t>
  </si>
  <si>
    <t xml:space="preserve">SW0014</t>
  </si>
  <si>
    <t xml:space="preserve">Joseph Kumar</t>
  </si>
  <si>
    <t xml:space="preserve">P1423209</t>
  </si>
  <si>
    <t xml:space="preserve">SW0015</t>
  </si>
  <si>
    <t xml:space="preserve">P7966646</t>
  </si>
  <si>
    <t xml:space="preserve">SW0016</t>
  </si>
  <si>
    <t xml:space="preserve">P3942584</t>
  </si>
  <si>
    <t xml:space="preserve">SW0017</t>
  </si>
  <si>
    <t xml:space="preserve">Faisal Ali</t>
  </si>
  <si>
    <t xml:space="preserve">P2433128</t>
  </si>
  <si>
    <t xml:space="preserve">SW0018</t>
  </si>
  <si>
    <t xml:space="preserve">Mohan Kumar</t>
  </si>
  <si>
    <t xml:space="preserve">P8876784</t>
  </si>
  <si>
    <t xml:space="preserve">SW0019</t>
  </si>
  <si>
    <t xml:space="preserve">Jamal Rahman</t>
  </si>
  <si>
    <t xml:space="preserve">P1552198</t>
  </si>
  <si>
    <t xml:space="preserve">SW0020</t>
  </si>
  <si>
    <t xml:space="preserve">Rahul Ali</t>
  </si>
  <si>
    <t xml:space="preserve">P4343903</t>
  </si>
  <si>
    <t xml:space="preserve">SW0021</t>
  </si>
  <si>
    <t xml:space="preserve">P4439219</t>
  </si>
  <si>
    <t xml:space="preserve">SW0022</t>
  </si>
  <si>
    <t xml:space="preserve">Sanjay Hossain</t>
  </si>
  <si>
    <t xml:space="preserve">P1519780</t>
  </si>
  <si>
    <t xml:space="preserve">SW0023</t>
  </si>
  <si>
    <t xml:space="preserve">Kamal Kumar</t>
  </si>
  <si>
    <t xml:space="preserve">P9783807</t>
  </si>
  <si>
    <t xml:space="preserve">SW0024</t>
  </si>
  <si>
    <t xml:space="preserve">Prakash Thapa</t>
  </si>
  <si>
    <t xml:space="preserve">P4602308</t>
  </si>
  <si>
    <t xml:space="preserve">SW0025</t>
  </si>
  <si>
    <t xml:space="preserve">Dinesh Khan</t>
  </si>
  <si>
    <t xml:space="preserve">P8082166</t>
  </si>
  <si>
    <t xml:space="preserve">SW0026</t>
  </si>
  <si>
    <t xml:space="preserve">Ronel Kumar</t>
  </si>
  <si>
    <t xml:space="preserve">P1568481</t>
  </si>
  <si>
    <t xml:space="preserve">SW0027</t>
  </si>
  <si>
    <t xml:space="preserve">Bikash Pillai</t>
  </si>
  <si>
    <t xml:space="preserve">P4991977</t>
  </si>
  <si>
    <t xml:space="preserve">SW0028</t>
  </si>
  <si>
    <t xml:space="preserve">Mohan Khan</t>
  </si>
  <si>
    <t xml:space="preserve">P2708030</t>
  </si>
  <si>
    <t xml:space="preserve">SW0029</t>
  </si>
  <si>
    <t xml:space="preserve">Bilal Santos</t>
  </si>
  <si>
    <t xml:space="preserve">P8783224</t>
  </si>
  <si>
    <t xml:space="preserve">SW0030</t>
  </si>
  <si>
    <t xml:space="preserve">P8065805</t>
  </si>
  <si>
    <t xml:space="preserve">Timesheet (from Client)</t>
  </si>
  <si>
    <t xml:space="preserve">One row per worker per client per month. Enter columns A-H only; columns I-T calculate automatically.</t>
  </si>
  <si>
    <t xml:space="preserve">Month (1st day)</t>
  </si>
  <si>
    <t xml:space="preserve">Site / Project</t>
  </si>
  <si>
    <t xml:space="preserve">Days Worked</t>
  </si>
  <si>
    <t xml:space="preserve">Normal Hours</t>
  </si>
  <si>
    <t xml:space="preserve">OT Hours</t>
  </si>
  <si>
    <t xml:space="preserve">Client Timesheet Ref</t>
  </si>
  <si>
    <t xml:space="preserve">Worker Name</t>
  </si>
  <si>
    <t xml:space="preserve">Bill Rate / hr</t>
  </si>
  <si>
    <t xml:space="preserve">Bill OT Rate / hr</t>
  </si>
  <si>
    <t xml:space="preserve">Billing Amount (AED)</t>
  </si>
  <si>
    <t xml:space="preserve">Supplier Rate / hr</t>
  </si>
  <si>
    <t xml:space="preserve">Supplier OT Rate / hr</t>
  </si>
  <si>
    <t xml:space="preserve">Supplier Cost (AED)</t>
  </si>
  <si>
    <t xml:space="preserve">Own Worker Cost Est. (AED)</t>
  </si>
  <si>
    <t xml:space="preserve">Yas Mall FM</t>
  </si>
  <si>
    <t xml:space="preserve">TS-C002-2610</t>
  </si>
  <si>
    <t xml:space="preserve">Villa Project - Mirdif</t>
  </si>
  <si>
    <t xml:space="preserve">TS-C001-2610</t>
  </si>
  <si>
    <t xml:space="preserve">Khalifa City FM</t>
  </si>
  <si>
    <t xml:space="preserve">Tower A - JVC</t>
  </si>
  <si>
    <t xml:space="preserve">Warehouse - Sajja</t>
  </si>
  <si>
    <t xml:space="preserve">TS-C003-2610</t>
  </si>
  <si>
    <t xml:space="preserve">Hotel - Marina</t>
  </si>
  <si>
    <t xml:space="preserve">TS-C004-2610</t>
  </si>
  <si>
    <t xml:space="preserve">Hotel - Downtown</t>
  </si>
  <si>
    <t xml:space="preserve">TS-C001-2609</t>
  </si>
  <si>
    <t xml:space="preserve">Advances &amp; Deductions (Own workers)</t>
  </si>
  <si>
    <t xml:space="preserve">Deduct in Month = the payroll month in which the amount is recovered.</t>
  </si>
  <si>
    <t xml:space="preserve">Date</t>
  </si>
  <si>
    <t xml:space="preserve">Type</t>
  </si>
  <si>
    <t xml:space="preserve">Amount (AED)</t>
  </si>
  <si>
    <t xml:space="preserve">Deduct in Month (1st day)</t>
  </si>
  <si>
    <t xml:space="preserve">Notes</t>
  </si>
  <si>
    <t xml:space="preserve">Family emergency</t>
  </si>
  <si>
    <t xml:space="preserve">Late arrival x3</t>
  </si>
  <si>
    <t xml:space="preserve">Private room</t>
  </si>
  <si>
    <t xml:space="preserve">Lost safety helmet</t>
  </si>
  <si>
    <t xml:space="preserve">Payroll - Own Workers</t>
  </si>
  <si>
    <t xml:space="preserve">Fully automatic. Lists every Active Own worker; values for the month in Settings!B8.</t>
  </si>
  <si>
    <t xml:space="preserve">TOTALS</t>
  </si>
  <si>
    <t xml:space="preserve">Absent Days</t>
  </si>
  <si>
    <t xml:space="preserve">Basic Salary</t>
  </si>
  <si>
    <t xml:space="preserve">Allowances</t>
  </si>
  <si>
    <t xml:space="preserve">Fixed Earned</t>
  </si>
  <si>
    <t xml:space="preserve">Hourly Earnings</t>
  </si>
  <si>
    <t xml:space="preserve">OT Pay</t>
  </si>
  <si>
    <t xml:space="preserve">Gross Pay</t>
  </si>
  <si>
    <t xml:space="preserve">Advances</t>
  </si>
  <si>
    <t xml:space="preserve">Other Deductions</t>
  </si>
  <si>
    <t xml:space="preserve">Total Deductions</t>
  </si>
  <si>
    <t xml:space="preserve">NET PAY (AED)</t>
  </si>
  <si>
    <t xml:space="preserve">Bank Routing</t>
  </si>
  <si>
    <t xml:space="preserve">Select Worker ID  &gt;&gt;</t>
  </si>
  <si>
    <t xml:space="preserve">Employee Name</t>
  </si>
  <si>
    <t xml:space="preserve">EARNINGS (AED)</t>
  </si>
  <si>
    <t xml:space="preserve">Fixed Earned (after absence)</t>
  </si>
  <si>
    <t xml:space="preserve">Overtime Pay</t>
  </si>
  <si>
    <t xml:space="preserve">GROSS PAY</t>
  </si>
  <si>
    <t xml:space="preserve">DEDUCTIONS (AED)</t>
  </si>
  <si>
    <t xml:space="preserve">Salary Advance</t>
  </si>
  <si>
    <t xml:space="preserve">TOTAL DEDUCTIONS</t>
  </si>
  <si>
    <t xml:space="preserve">NET PAY</t>
  </si>
  <si>
    <t xml:space="preserve">Employee Signature: ____________________</t>
  </si>
  <si>
    <t xml:space="preserve">Authorised Signatory: ____________________</t>
  </si>
  <si>
    <t xml:space="preserve">TAX INVOICE</t>
  </si>
  <si>
    <t xml:space="preserve">Select Client ID &gt;&gt;</t>
  </si>
  <si>
    <t xml:space="preserve">Invoice No:</t>
  </si>
  <si>
    <t xml:space="preserve">Bill To:</t>
  </si>
  <si>
    <t xml:space="preserve">Invoice Date:</t>
  </si>
  <si>
    <t xml:space="preserve">Client TRN:</t>
  </si>
  <si>
    <t xml:space="preserve">Due Date:</t>
  </si>
  <si>
    <t xml:space="preserve">Period:</t>
  </si>
  <si>
    <t xml:space="preserve">Normal Hrs</t>
  </si>
  <si>
    <t xml:space="preserve">Rate / hr</t>
  </si>
  <si>
    <t xml:space="preserve">OT Hrs</t>
  </si>
  <si>
    <t xml:space="preserve">OT Rate</t>
  </si>
  <si>
    <t xml:space="preserve">Total hours:</t>
  </si>
  <si>
    <t xml:space="preserve">Sub Total</t>
  </si>
  <si>
    <t xml:space="preserve">TOTAL (AED)</t>
  </si>
  <si>
    <t xml:space="preserve">Detailed worker-wise timesheet: filter the Timesheet sheet by this Client ID and attach.</t>
  </si>
  <si>
    <t xml:space="preserve">Supplier Payment Statement</t>
  </si>
  <si>
    <t xml:space="preserve">Amount payable to each supplier for the month in Settings!B8.</t>
  </si>
  <si>
    <t xml:space="preserve">Worker Lines</t>
  </si>
  <si>
    <t xml:space="preserve">Days</t>
  </si>
  <si>
    <t xml:space="preserve">VAT (AED)</t>
  </si>
  <si>
    <t xml:space="preserve">Total Payable (AED)</t>
  </si>
  <si>
    <t xml:space="preserve">Payment Terms</t>
  </si>
  <si>
    <t xml:space="preserve">Due Date</t>
  </si>
  <si>
    <t xml:space="preserve">WPS Salary Information File (SIF) - layout sample</t>
  </si>
  <si>
    <t xml:space="preserve">EDR rows per employee + SCR control row. Save as CSV named per bank rules. Verify field formats with your bank/exchange house.</t>
  </si>
  <si>
    <t xml:space="preserve">SCR</t>
  </si>
  <si>
    <t xml:space="preserve">AED</t>
  </si>
  <si>
    <t xml:space="preserve">Record</t>
  </si>
  <si>
    <t xml:space="preserve">Person ID / Labour Card</t>
  </si>
  <si>
    <t xml:space="preserve">Agent Routing Code</t>
  </si>
  <si>
    <t xml:space="preserve">Pay Start</t>
  </si>
  <si>
    <t xml:space="preserve">Pay End</t>
  </si>
  <si>
    <t xml:space="preserve">Fixed Salary</t>
  </si>
  <si>
    <t xml:space="preserve">Variable Salary</t>
  </si>
  <si>
    <t xml:space="preserve">Leave Days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</si>
</sst>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;\(#,##0.00\);\-"/>
    <numFmt numFmtId="166" formatCode="#,##0;\(#,##0\);\-"/>
    <numFmt numFmtId="167" formatCode="0.0%"/>
    <numFmt numFmtId="168" formatCode="dd\-mmm\-yyyy"/>
    <numFmt numFmtId="169" formatCode="0.0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sz val="11"/>
      <color rgb="FF595959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8"/>
      <color rgb="FF7F7F7F"/>
      <name val="Arial"/>
      <family val="0"/>
      <charset val="1"/>
    </font>
    <font>
      <b val="true"/>
      <sz val="11"/>
      <color rgb="FF7030A0"/>
      <name val="Arial"/>
      <family val="0"/>
      <charset val="1"/>
    </font>
    <font>
      <b val="true"/>
      <sz val="11"/>
      <color rgb="FF548235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u val="single"/>
      <sz val="10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rgb="FF7030A0"/>
        <bgColor rgb="FF993366"/>
      </patternFill>
    </fill>
    <fill>
      <patternFill patternType="solid">
        <fgColor rgb="FF548235"/>
        <bgColor rgb="FF339966"/>
      </patternFill>
    </fill>
    <fill>
      <patternFill patternType="solid">
        <fgColor rgb="FFC00000"/>
        <bgColor rgb="FF800000"/>
      </patternFill>
    </fill>
    <fill>
      <patternFill patternType="solid">
        <fgColor rgb="FFFFF2CC"/>
        <bgColor rgb="FFF2F2F2"/>
      </patternFill>
    </fill>
    <fill>
      <patternFill patternType="solid">
        <fgColor rgb="FFF8CBAD"/>
        <bgColor rgb="FFFFE699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>
          <bgColor rgb="FFF8CBAD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7030A0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npower_Management_Demo.xlsx" TargetMode="External"/><Relationship Id="rId2" Type="http://schemas.openxmlformats.org/officeDocument/2006/relationships/hyperlink" Target="Manpower_Management_Demo.xlsx" TargetMode="External"/><Relationship Id="rId3" Type="http://schemas.openxmlformats.org/officeDocument/2006/relationships/hyperlink" Target="Manpower_Management_Demo.xlsx" TargetMode="External"/><Relationship Id="rId4" Type="http://schemas.openxmlformats.org/officeDocument/2006/relationships/hyperlink" Target="Manpower_Management_Demo.xlsx" TargetMode="External"/><Relationship Id="rId5" Type="http://schemas.openxmlformats.org/officeDocument/2006/relationships/hyperlink" Target="Manpower_Management_Demo.xlsx" TargetMode="External"/><Relationship Id="rId6" Type="http://schemas.openxmlformats.org/officeDocument/2006/relationships/hyperlink" Target="Manpower_Management_Demo.xlsx" TargetMode="External"/><Relationship Id="rId7" Type="http://schemas.openxmlformats.org/officeDocument/2006/relationships/hyperlink" Target="Manpower_Management_Demo.xlsx" TargetMode="External"/><Relationship Id="rId8" Type="http://schemas.openxmlformats.org/officeDocument/2006/relationships/hyperlink" Target="Manpower_Management_Demo.xlsx" TargetMode="External"/><Relationship Id="rId9" Type="http://schemas.openxmlformats.org/officeDocument/2006/relationships/hyperlink" Target="Manpower_Management_Demo.xlsx" TargetMode="External"/><Relationship Id="rId10" Type="http://schemas.openxmlformats.org/officeDocument/2006/relationships/hyperlink" Target="Manpower_Management_Demo.xlsx" TargetMode="External"/><Relationship Id="rId11" Type="http://schemas.openxmlformats.org/officeDocument/2006/relationships/hyperlink" Target="Manpower_Management_Demo.xlsx" TargetMode="External"/><Relationship Id="rId12" Type="http://schemas.openxmlformats.org/officeDocument/2006/relationships/hyperlink" Target="Manpower_Management_Demo.xlsx" TargetMode="External"/><Relationship Id="rId13" Type="http://schemas.openxmlformats.org/officeDocument/2006/relationships/hyperlink" Target="Manpower_Management_Demo.xlsx" TargetMode="External"/><Relationship Id="rId14" Type="http://schemas.openxmlformats.org/officeDocument/2006/relationships/hyperlink" Target="Manpower_Management_Demo.xlsx" TargetMode="External"/><Relationship Id="rId15" Type="http://schemas.openxmlformats.org/officeDocument/2006/relationships/hyperlink" Target="Manpower_Management_Demo.xlsx" TargetMode="External"/><Relationship Id="rId16" Type="http://schemas.openxmlformats.org/officeDocument/2006/relationships/hyperlink" Target="Manpower_Management_Demo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npower_Management_Demo.xls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npower_Management_Demo.xlsx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npower_Management_Demo.xlsx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Manpower_Management_Demo.xlsx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Manpower_Management_Demo.xlsx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Manpower_Management_Demo.xlsx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Manpower_Management_Demo.xlsx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Manpower_Management_Demo.xlsx" TargetMode="External"/><Relationship Id="rId2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Manpower_Management_Demo.xlsx" TargetMode="External"/><Relationship Id="rId2" Type="http://schemas.openxmlformats.org/officeDocument/2006/relationships/drawing" Target="../drawings/drawing2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Manpower_Management_Demo.xlsx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Manpower_Management_Demo.xlsx" TargetMode="External"/><Relationship Id="rId2" Type="http://schemas.openxmlformats.org/officeDocument/2006/relationships/drawing" Target="../drawings/drawing3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Manpower_Management_Demo.xlsx" TargetMode="Externa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Manpower_Management_Demo.xlsx" TargetMode="Externa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Manpower_Management_Demo.xlsx" TargetMode="Externa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Manpower_Management_Demo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B1:L31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4" min="2" style="0" width="15"/>
    <col collapsed="false" customWidth="true" hidden="false" outlineLevel="0" max="5" min="5" style="0" width="3"/>
    <col collapsed="false" customWidth="true" hidden="false" outlineLevel="0" max="8" min="6" style="0" width="15"/>
    <col collapsed="false" customWidth="true" hidden="false" outlineLevel="0" max="9" min="9" style="0" width="3"/>
    <col collapsed="false" customWidth="true" hidden="false" outlineLevel="0" max="12" min="10" style="0" width="15"/>
    <col collapsed="false" customWidth="true" hidden="false" outlineLevel="0" max="13" min="13" style="0" width="3"/>
  </cols>
  <sheetData>
    <row r="1" customFormat="false" ht="24.45" hidden="false" customHeight="false" outlineLevel="0" collapsed="false">
      <c r="B1" s="1" t="str">
        <f aca="false">Settings!$B$4</f>
        <v>Gulf Star Manpower Services LLC</v>
      </c>
    </row>
    <row r="2" customFormat="false" ht="15" hidden="false" customHeight="false" outlineLevel="0" collapsed="false">
      <c r="B2" s="2" t="str">
        <f aca="false">"Manpower Management System   |   Payroll month: "&amp;TEXT(Settings!$B$8,"mmmm yyyy")</f>
        <v>Manpower Management System   |   Payroll month: October 2026</v>
      </c>
    </row>
    <row r="4" customFormat="false" ht="15" hidden="false" customHeight="false" outlineLevel="0" collapsed="false">
      <c r="B4" s="3" t="s">
        <v>0</v>
      </c>
      <c r="C4" s="3"/>
      <c r="D4" s="3"/>
      <c r="F4" s="3" t="s">
        <v>1</v>
      </c>
      <c r="G4" s="3"/>
      <c r="H4" s="3"/>
      <c r="J4" s="3" t="s">
        <v>2</v>
      </c>
      <c r="K4" s="3"/>
      <c r="L4" s="3"/>
    </row>
    <row r="5" customFormat="false" ht="27.75" hidden="false" customHeight="true" outlineLevel="0" collapsed="false">
      <c r="B5" s="4" t="n">
        <f aca="false">Dashboard!$B$4</f>
        <v>324858.76</v>
      </c>
      <c r="C5" s="4"/>
      <c r="D5" s="4"/>
      <c r="F5" s="4" t="n">
        <f aca="false">Dashboard!$B$7</f>
        <v>136300.32</v>
      </c>
      <c r="G5" s="4"/>
      <c r="H5" s="4"/>
      <c r="J5" s="4" t="n">
        <f aca="false">Dashboard!$B$15</f>
        <v>87430.82</v>
      </c>
      <c r="K5" s="4"/>
      <c r="L5" s="4"/>
    </row>
    <row r="6" customFormat="false" ht="15" hidden="false" customHeight="false" outlineLevel="0" collapsed="false">
      <c r="B6" s="5" t="str">
        <f aca="false">IF(Dashboard!$B$18+Dashboard!$B$19=0,"All visas / Emirates IDs OK","WARNING: "&amp;Dashboard!$B$18&amp;" documents EXPIRED, "&amp;Dashboard!$B$19&amp;" expiring soon - open Workers")</f>
        <v>WARNING: 6 documents EXPIRED, 12 expiring soon - open Workers</v>
      </c>
    </row>
    <row r="8" customFormat="false" ht="15" hidden="false" customHeight="false" outlineLevel="0" collapsed="false">
      <c r="B8" s="6" t="s">
        <v>3</v>
      </c>
    </row>
    <row r="9" customFormat="false" ht="15" hidden="false" customHeight="false" outlineLevel="0" collapsed="false">
      <c r="B9" s="7" t="s">
        <v>4</v>
      </c>
      <c r="C9" s="7"/>
      <c r="D9" s="7"/>
      <c r="F9" s="7" t="s">
        <v>5</v>
      </c>
      <c r="G9" s="7"/>
      <c r="H9" s="7"/>
      <c r="J9" s="7" t="s">
        <v>6</v>
      </c>
      <c r="K9" s="7"/>
      <c r="L9" s="7"/>
    </row>
    <row r="10" customFormat="false" ht="15" hidden="false" customHeight="false" outlineLevel="0" collapsed="false">
      <c r="B10" s="7"/>
      <c r="C10" s="7"/>
      <c r="D10" s="7"/>
      <c r="F10" s="7"/>
      <c r="G10" s="7"/>
      <c r="H10" s="7"/>
      <c r="J10" s="7"/>
      <c r="K10" s="7"/>
      <c r="L10" s="7"/>
    </row>
    <row r="11" customFormat="false" ht="15" hidden="false" customHeight="false" outlineLevel="0" collapsed="false">
      <c r="B11" s="8" t="s">
        <v>7</v>
      </c>
      <c r="F11" s="8" t="s">
        <v>8</v>
      </c>
      <c r="J11" s="8" t="s">
        <v>9</v>
      </c>
    </row>
    <row r="13" customFormat="false" ht="15" hidden="false" customHeight="false" outlineLevel="0" collapsed="false">
      <c r="B13" s="9" t="s">
        <v>10</v>
      </c>
    </row>
    <row r="14" customFormat="false" ht="15" hidden="false" customHeight="false" outlineLevel="0" collapsed="false">
      <c r="B14" s="10" t="s">
        <v>11</v>
      </c>
      <c r="C14" s="10"/>
      <c r="D14" s="10"/>
      <c r="F14" s="10" t="s">
        <v>12</v>
      </c>
      <c r="G14" s="10"/>
      <c r="H14" s="10"/>
      <c r="J14" s="10" t="s">
        <v>13</v>
      </c>
      <c r="K14" s="10"/>
      <c r="L14" s="10"/>
    </row>
    <row r="15" customFormat="false" ht="15" hidden="false" customHeight="false" outlineLevel="0" collapsed="false">
      <c r="B15" s="10"/>
      <c r="C15" s="10"/>
      <c r="D15" s="10"/>
      <c r="F15" s="10"/>
      <c r="G15" s="10"/>
      <c r="H15" s="10"/>
      <c r="J15" s="10"/>
      <c r="K15" s="10"/>
      <c r="L15" s="10"/>
    </row>
    <row r="16" customFormat="false" ht="15" hidden="false" customHeight="false" outlineLevel="0" collapsed="false">
      <c r="B16" s="8" t="s">
        <v>14</v>
      </c>
      <c r="F16" s="8" t="s">
        <v>15</v>
      </c>
      <c r="J16" s="8" t="s">
        <v>16</v>
      </c>
    </row>
    <row r="18" customFormat="false" ht="15" hidden="false" customHeight="false" outlineLevel="0" collapsed="false">
      <c r="B18" s="10" t="s">
        <v>17</v>
      </c>
      <c r="C18" s="10"/>
      <c r="D18" s="10"/>
      <c r="F18" s="10" t="s">
        <v>18</v>
      </c>
      <c r="G18" s="10"/>
      <c r="H18" s="10"/>
      <c r="J18" s="10" t="s">
        <v>19</v>
      </c>
      <c r="K18" s="10"/>
      <c r="L18" s="10"/>
    </row>
    <row r="19" customFormat="false" ht="15" hidden="false" customHeight="false" outlineLevel="0" collapsed="false">
      <c r="B19" s="10"/>
      <c r="C19" s="10"/>
      <c r="D19" s="10"/>
      <c r="F19" s="10"/>
      <c r="G19" s="10"/>
      <c r="H19" s="10"/>
      <c r="J19" s="10"/>
      <c r="K19" s="10"/>
      <c r="L19" s="10"/>
    </row>
    <row r="20" customFormat="false" ht="15" hidden="false" customHeight="false" outlineLevel="0" collapsed="false">
      <c r="B20" s="8" t="s">
        <v>20</v>
      </c>
      <c r="F20" s="8" t="s">
        <v>21</v>
      </c>
      <c r="J20" s="8" t="s">
        <v>22</v>
      </c>
    </row>
    <row r="22" customFormat="false" ht="15" hidden="false" customHeight="false" outlineLevel="0" collapsed="false">
      <c r="B22" s="11" t="s">
        <v>23</v>
      </c>
    </row>
    <row r="23" customFormat="false" ht="15" hidden="false" customHeight="false" outlineLevel="0" collapsed="false">
      <c r="B23" s="12" t="s">
        <v>24</v>
      </c>
      <c r="C23" s="12"/>
      <c r="D23" s="12"/>
      <c r="F23" s="12" t="s">
        <v>25</v>
      </c>
      <c r="G23" s="12"/>
      <c r="H23" s="12"/>
      <c r="J23" s="12" t="s">
        <v>26</v>
      </c>
      <c r="K23" s="12"/>
      <c r="L23" s="12"/>
    </row>
    <row r="24" customFormat="false" ht="15" hidden="false" customHeight="false" outlineLevel="0" collapsed="false">
      <c r="B24" s="12"/>
      <c r="C24" s="12"/>
      <c r="D24" s="12"/>
      <c r="F24" s="12"/>
      <c r="G24" s="12"/>
      <c r="H24" s="12"/>
      <c r="J24" s="12"/>
      <c r="K24" s="12"/>
      <c r="L24" s="12"/>
    </row>
    <row r="25" customFormat="false" ht="15" hidden="false" customHeight="false" outlineLevel="0" collapsed="false">
      <c r="B25" s="8" t="s">
        <v>27</v>
      </c>
      <c r="F25" s="8" t="s">
        <v>28</v>
      </c>
      <c r="J25" s="8" t="s">
        <v>29</v>
      </c>
    </row>
    <row r="27" customFormat="false" ht="15" hidden="false" customHeight="false" outlineLevel="0" collapsed="false">
      <c r="B27" s="12" t="s">
        <v>30</v>
      </c>
      <c r="C27" s="12"/>
      <c r="D27" s="12"/>
      <c r="F27" s="12" t="s">
        <v>31</v>
      </c>
      <c r="G27" s="12"/>
      <c r="H27" s="12"/>
      <c r="J27" s="12" t="s">
        <v>32</v>
      </c>
      <c r="K27" s="12"/>
      <c r="L27" s="12"/>
    </row>
    <row r="28" customFormat="false" ht="15" hidden="false" customHeight="false" outlineLevel="0" collapsed="false">
      <c r="B28" s="12"/>
      <c r="C28" s="12"/>
      <c r="D28" s="12"/>
      <c r="F28" s="12"/>
      <c r="G28" s="12"/>
      <c r="H28" s="12"/>
      <c r="J28" s="12"/>
      <c r="K28" s="12"/>
      <c r="L28" s="12"/>
    </row>
    <row r="29" customFormat="false" ht="15" hidden="false" customHeight="false" outlineLevel="0" collapsed="false">
      <c r="B29" s="8" t="s">
        <v>33</v>
      </c>
      <c r="F29" s="8" t="s">
        <v>34</v>
      </c>
      <c r="J29" s="8" t="s">
        <v>35</v>
      </c>
    </row>
    <row r="31" customFormat="false" ht="15" hidden="false" customHeight="false" outlineLevel="0" collapsed="false">
      <c r="B31" s="13" t="s">
        <v>36</v>
      </c>
    </row>
  </sheetData>
  <mergeCells count="21">
    <mergeCell ref="B4:D4"/>
    <mergeCell ref="F4:H4"/>
    <mergeCell ref="J4:L4"/>
    <mergeCell ref="B5:D5"/>
    <mergeCell ref="F5:H5"/>
    <mergeCell ref="J5:L5"/>
    <mergeCell ref="B9:D10"/>
    <mergeCell ref="F9:H10"/>
    <mergeCell ref="J9:L10"/>
    <mergeCell ref="B14:D15"/>
    <mergeCell ref="F14:H15"/>
    <mergeCell ref="J14:L15"/>
    <mergeCell ref="B18:D19"/>
    <mergeCell ref="F18:H19"/>
    <mergeCell ref="J18:L19"/>
    <mergeCell ref="B23:D24"/>
    <mergeCell ref="F23:H24"/>
    <mergeCell ref="J23:L24"/>
    <mergeCell ref="B27:D28"/>
    <mergeCell ref="F27:H28"/>
    <mergeCell ref="J27:L28"/>
  </mergeCells>
  <hyperlinks>
    <hyperlink ref="B6" r:id="rId1" location="'Workers'!A1" display="file:///home/user/Kids-Games/manpower-excel-demo/Manpower_Management_Demo.xlsx#'Workers'!A1"/>
    <hyperlink ref="B9" r:id="rId2" location="'Timesheet'!A1" display="Timesheet"/>
    <hyperlink ref="F9" r:id="rId3" location="'Deductions'!A1" display="Deductions"/>
    <hyperlink ref="J9" r:id="rId4" location="'Workers'!A1" display="Workers"/>
    <hyperlink ref="B14" r:id="rId5" location="'Clients'!A1" display="Clients"/>
    <hyperlink ref="F14" r:id="rId6" location="'Suppliers'!A1" display="Suppliers"/>
    <hyperlink ref="J14" r:id="rId7" location="'ClientRates'!A1" display="Client Rates"/>
    <hyperlink ref="B18" r:id="rId8" location="'SupplierRates'!A1" display="Supplier Rates"/>
    <hyperlink ref="F18" r:id="rId9" location="'Settings'!A1" display="Settings"/>
    <hyperlink ref="J18" r:id="rId10" location="'README'!A1" display="Help"/>
    <hyperlink ref="B23" r:id="rId11" location="'Dashboard'!A1" display="Dashboard"/>
    <hyperlink ref="F23" r:id="rId12" location="'Payroll'!A1" display="Payroll"/>
    <hyperlink ref="J23" r:id="rId13" location="'Payslip'!A1" display="Payslip"/>
    <hyperlink ref="B27" r:id="rId14" location="'ClientInvoice'!A1" display="Client Invoice"/>
    <hyperlink ref="F27" r:id="rId15" location="'SupplierStatement'!A1" display="Supplier Payment"/>
    <hyperlink ref="J27" r:id="rId16" location="'WPS_SIF'!A1" display="WPS Fil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C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4" t="s">
        <v>37</v>
      </c>
      <c r="C1" s="15" t="s">
        <v>38</v>
      </c>
    </row>
    <row r="2" customFormat="false" ht="15" hidden="false" customHeight="false" outlineLevel="0" collapsed="false">
      <c r="A2" s="13" t="s">
        <v>39</v>
      </c>
    </row>
    <row r="4" customFormat="false" ht="15" hidden="false" customHeight="false" outlineLevel="0" collapsed="false">
      <c r="A4" s="16" t="s">
        <v>40</v>
      </c>
    </row>
    <row r="5" customFormat="false" ht="15" hidden="false" customHeight="false" outlineLevel="0" collapsed="false">
      <c r="A5" s="17" t="s">
        <v>41</v>
      </c>
      <c r="B5" s="18" t="s">
        <v>42</v>
      </c>
    </row>
    <row r="6" customFormat="false" ht="15" hidden="false" customHeight="false" outlineLevel="0" collapsed="false">
      <c r="A6" s="17" t="s">
        <v>43</v>
      </c>
      <c r="B6" s="18" t="s">
        <v>44</v>
      </c>
    </row>
    <row r="7" customFormat="false" ht="15" hidden="false" customHeight="false" outlineLevel="0" collapsed="false">
      <c r="A7" s="17" t="s">
        <v>45</v>
      </c>
      <c r="B7" s="18" t="s">
        <v>46</v>
      </c>
    </row>
    <row r="8" customFormat="false" ht="15" hidden="false" customHeight="false" outlineLevel="0" collapsed="false">
      <c r="A8" s="17" t="s">
        <v>47</v>
      </c>
      <c r="B8" s="18" t="s">
        <v>48</v>
      </c>
    </row>
    <row r="9" customFormat="false" ht="15" hidden="false" customHeight="false" outlineLevel="0" collapsed="false">
      <c r="A9" s="17" t="s">
        <v>49</v>
      </c>
      <c r="B9" s="18" t="s">
        <v>50</v>
      </c>
    </row>
    <row r="10" customFormat="false" ht="15" hidden="false" customHeight="false" outlineLevel="0" collapsed="false">
      <c r="A10" s="17" t="s">
        <v>51</v>
      </c>
      <c r="B10" s="18" t="s">
        <v>52</v>
      </c>
    </row>
    <row r="11" customFormat="false" ht="15" hidden="false" customHeight="false" outlineLevel="0" collapsed="false">
      <c r="A11" s="17" t="s">
        <v>53</v>
      </c>
      <c r="B11" s="18" t="s">
        <v>54</v>
      </c>
    </row>
    <row r="12" customFormat="false" ht="15" hidden="false" customHeight="false" outlineLevel="0" collapsed="false">
      <c r="A12" s="17"/>
    </row>
    <row r="13" customFormat="false" ht="15" hidden="false" customHeight="false" outlineLevel="0" collapsed="false">
      <c r="A13" s="16" t="s">
        <v>55</v>
      </c>
    </row>
    <row r="14" customFormat="false" ht="15" hidden="false" customHeight="false" outlineLevel="0" collapsed="false">
      <c r="A14" s="17" t="s">
        <v>24</v>
      </c>
      <c r="B14" s="18" t="s">
        <v>56</v>
      </c>
    </row>
    <row r="15" customFormat="false" ht="15" hidden="false" customHeight="false" outlineLevel="0" collapsed="false">
      <c r="A15" s="17" t="s">
        <v>25</v>
      </c>
      <c r="B15" s="18" t="s">
        <v>57</v>
      </c>
    </row>
    <row r="16" customFormat="false" ht="15" hidden="false" customHeight="false" outlineLevel="0" collapsed="false">
      <c r="A16" s="17" t="s">
        <v>26</v>
      </c>
      <c r="B16" s="18" t="s">
        <v>58</v>
      </c>
    </row>
    <row r="17" customFormat="false" ht="15" hidden="false" customHeight="false" outlineLevel="0" collapsed="false">
      <c r="A17" s="17" t="s">
        <v>59</v>
      </c>
      <c r="B17" s="18" t="s">
        <v>60</v>
      </c>
    </row>
    <row r="18" customFormat="false" ht="15" hidden="false" customHeight="false" outlineLevel="0" collapsed="false">
      <c r="A18" s="17" t="s">
        <v>61</v>
      </c>
      <c r="B18" s="18" t="s">
        <v>62</v>
      </c>
    </row>
    <row r="19" customFormat="false" ht="15" hidden="false" customHeight="false" outlineLevel="0" collapsed="false">
      <c r="A19" s="17" t="s">
        <v>63</v>
      </c>
      <c r="B19" s="18" t="s">
        <v>64</v>
      </c>
    </row>
    <row r="20" customFormat="false" ht="15" hidden="false" customHeight="false" outlineLevel="0" collapsed="false">
      <c r="A20" s="17"/>
    </row>
    <row r="21" customFormat="false" ht="15" hidden="false" customHeight="false" outlineLevel="0" collapsed="false">
      <c r="A21" s="16" t="s">
        <v>65</v>
      </c>
    </row>
    <row r="22" customFormat="false" ht="15" hidden="false" customHeight="false" outlineLevel="0" collapsed="false">
      <c r="A22" s="19" t="s">
        <v>66</v>
      </c>
      <c r="B22" s="18" t="s">
        <v>67</v>
      </c>
    </row>
    <row r="23" customFormat="false" ht="15" hidden="false" customHeight="false" outlineLevel="0" collapsed="false">
      <c r="A23" s="17" t="s">
        <v>68</v>
      </c>
      <c r="B23" s="18" t="s">
        <v>69</v>
      </c>
    </row>
    <row r="24" customFormat="false" ht="15" hidden="false" customHeight="false" outlineLevel="0" collapsed="false">
      <c r="A24" s="17" t="s">
        <v>70</v>
      </c>
      <c r="B24" s="18" t="s">
        <v>71</v>
      </c>
    </row>
    <row r="25" customFormat="false" ht="15" hidden="false" customHeight="false" outlineLevel="0" collapsed="false">
      <c r="A25" s="20" t="s">
        <v>72</v>
      </c>
      <c r="B25" s="18" t="s">
        <v>73</v>
      </c>
    </row>
    <row r="26" customFormat="false" ht="15" hidden="false" customHeight="false" outlineLevel="0" collapsed="false">
      <c r="A26" s="17"/>
    </row>
    <row r="27" customFormat="false" ht="15" hidden="false" customHeight="false" outlineLevel="0" collapsed="false">
      <c r="A27" s="16" t="s">
        <v>74</v>
      </c>
    </row>
    <row r="28" customFormat="false" ht="15" hidden="false" customHeight="false" outlineLevel="0" collapsed="false">
      <c r="A28" s="17" t="s">
        <v>75</v>
      </c>
      <c r="B28" s="18" t="s">
        <v>76</v>
      </c>
    </row>
    <row r="29" customFormat="false" ht="15" hidden="false" customHeight="false" outlineLevel="0" collapsed="false">
      <c r="A29" s="17" t="s">
        <v>77</v>
      </c>
      <c r="B29" s="18" t="s">
        <v>78</v>
      </c>
    </row>
    <row r="30" customFormat="false" ht="15" hidden="false" customHeight="false" outlineLevel="0" collapsed="false">
      <c r="A30" s="17" t="s">
        <v>79</v>
      </c>
      <c r="B30" s="18" t="s">
        <v>80</v>
      </c>
    </row>
    <row r="31" customFormat="false" ht="15" hidden="false" customHeight="false" outlineLevel="0" collapsed="false">
      <c r="A31" s="17" t="s">
        <v>81</v>
      </c>
      <c r="B31" s="18" t="s">
        <v>82</v>
      </c>
    </row>
    <row r="32" customFormat="false" ht="15" hidden="false" customHeight="false" outlineLevel="0" collapsed="false">
      <c r="A32" s="17"/>
    </row>
    <row r="33" customFormat="false" ht="15" hidden="false" customHeight="false" outlineLevel="0" collapsed="false">
      <c r="A33" s="16" t="s">
        <v>83</v>
      </c>
    </row>
    <row r="34" customFormat="false" ht="15" hidden="false" customHeight="false" outlineLevel="0" collapsed="false">
      <c r="A34" s="17" t="s">
        <v>84</v>
      </c>
      <c r="B34" s="18" t="s">
        <v>85</v>
      </c>
    </row>
    <row r="35" customFormat="false" ht="15" hidden="false" customHeight="false" outlineLevel="0" collapsed="false">
      <c r="A35" s="17" t="s">
        <v>86</v>
      </c>
      <c r="B35" s="18" t="s">
        <v>87</v>
      </c>
    </row>
    <row r="36" customFormat="false" ht="15" hidden="false" customHeight="false" outlineLevel="0" collapsed="false">
      <c r="A36" s="17" t="s">
        <v>88</v>
      </c>
      <c r="B36" s="18" t="s">
        <v>89</v>
      </c>
    </row>
    <row r="37" customFormat="false" ht="15" hidden="false" customHeight="false" outlineLevel="0" collapsed="false">
      <c r="A37" s="17" t="s">
        <v>90</v>
      </c>
      <c r="B37" s="18" t="s">
        <v>91</v>
      </c>
    </row>
  </sheetData>
  <hyperlinks>
    <hyperlink ref="C1" r:id="rId1" location="'HOME'!A1" display="« HO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K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4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10" min="7" style="0" width="14"/>
    <col collapsed="false" customWidth="true" hidden="false" outlineLevel="0" max="11" min="11" style="0" width="10"/>
  </cols>
  <sheetData>
    <row r="1" customFormat="false" ht="17.35" hidden="false" customHeight="false" outlineLevel="0" collapsed="false">
      <c r="A1" s="14" t="s">
        <v>24</v>
      </c>
      <c r="D1" s="15" t="s">
        <v>38</v>
      </c>
    </row>
    <row r="2" customFormat="false" ht="15" hidden="false" customHeight="false" outlineLevel="0" collapsed="false">
      <c r="A2" s="6" t="str">
        <f aca="false">"Month: "&amp;TEXT(Settings!$B$8,"mmmm yyyy")</f>
        <v>Month: October 2026</v>
      </c>
      <c r="D2" s="17" t="s">
        <v>92</v>
      </c>
    </row>
    <row r="3" customFormat="false" ht="15" hidden="false" customHeight="false" outlineLevel="0" collapsed="false">
      <c r="A3" s="13" t="s">
        <v>93</v>
      </c>
      <c r="D3" s="21" t="s">
        <v>94</v>
      </c>
      <c r="E3" s="21" t="s">
        <v>95</v>
      </c>
      <c r="F3" s="21" t="s">
        <v>96</v>
      </c>
      <c r="G3" s="21" t="s">
        <v>97</v>
      </c>
      <c r="H3" s="21" t="s">
        <v>98</v>
      </c>
      <c r="I3" s="21" t="s">
        <v>99</v>
      </c>
      <c r="J3" s="21" t="s">
        <v>100</v>
      </c>
      <c r="K3" s="21" t="s">
        <v>101</v>
      </c>
    </row>
    <row r="4" customFormat="false" ht="15" hidden="false" customHeight="false" outlineLevel="0" collapsed="false">
      <c r="A4" s="22" t="s">
        <v>102</v>
      </c>
      <c r="B4" s="23" t="n">
        <f aca="false">SUMIFS(Timesheet!$O$5:$O$3004,Timesheet!$A$5:$A$3004,"&gt;="&amp;Settings!$B$8,Timesheet!$A$5:$A$3004,"&lt;="&amp;Settings!$B$9)</f>
        <v>324858.76</v>
      </c>
      <c r="D4" s="24" t="str">
        <f aca="false">IF(Clients!A5="","",Clients!A5)</f>
        <v>C001</v>
      </c>
      <c r="E4" s="24" t="str">
        <f aca="false">IF($D4="","",Clients!B5)</f>
        <v>Al Waha Contracting LLC</v>
      </c>
      <c r="F4" s="25" t="n">
        <f aca="false">IF($D4="","",COUNTIFS(Timesheet!$B$5:$B$3004,$D4,Timesheet!$A$5:$A$3004,"&gt;="&amp;Settings!$B$8,Timesheet!$A$5:$A$3004,"&lt;="&amp;Settings!$B$9))</f>
        <v>23</v>
      </c>
      <c r="G4" s="26" t="n">
        <f aca="false">IF($D4="","",SUMIFS(Timesheet!$O$5:$O$3004,Timesheet!$B$5:$B$3004,$D4,Timesheet!$A$5:$A$3004,"&gt;="&amp;Settings!$B$8,Timesheet!$A$5:$A$3004,"&lt;="&amp;Settings!$B$9))</f>
        <v>97921</v>
      </c>
      <c r="H4" s="26" t="n">
        <f aca="false">IF($D4="","",SUMIFS(Timesheet!$R$5:$R$3004,Timesheet!$B$5:$B$3004,$D4,Timesheet!$A$5:$A$3004,"&gt;="&amp;Settings!$B$8,Timesheet!$A$5:$A$3004,"&lt;="&amp;Settings!$B$9))</f>
        <v>31153.9</v>
      </c>
      <c r="I4" s="26" t="n">
        <f aca="false">IF($D4="","",SUMIFS(Timesheet!$S$5:$S$3004,Timesheet!$B$5:$B$3004,$D4,Timesheet!$A$5:$A$3004,"&gt;="&amp;Settings!$B$8,Timesheet!$A$5:$A$3004,"&lt;="&amp;Settings!$B$9))</f>
        <v>26384.0865384615</v>
      </c>
      <c r="J4" s="23" t="n">
        <f aca="false">IF($D4="","",G4-H4-I4)</f>
        <v>40383.0134615385</v>
      </c>
      <c r="K4" s="27" t="n">
        <f aca="false">IF(OR($D4="",N(G4)=0),"",J4/G4)</f>
        <v>0.412404014067855</v>
      </c>
    </row>
    <row r="5" customFormat="false" ht="15" hidden="false" customHeight="false" outlineLevel="0" collapsed="false">
      <c r="A5" s="22" t="s">
        <v>103</v>
      </c>
      <c r="B5" s="23" t="n">
        <f aca="false">SUMIFS(Timesheet!$R$5:$R$3004,Timesheet!$A$5:$A$3004,"&gt;="&amp;Settings!$B$8,Timesheet!$A$5:$A$3004,"&lt;="&amp;Settings!$B$9)</f>
        <v>99352.62</v>
      </c>
      <c r="D5" s="24" t="str">
        <f aca="false">IF(Clients!A6="","",Clients!A6)</f>
        <v>C002</v>
      </c>
      <c r="E5" s="24" t="str">
        <f aca="false">IF($D5="","",Clients!B6)</f>
        <v>Blue Creek Facilities Mgmt</v>
      </c>
      <c r="F5" s="25" t="n">
        <f aca="false">IF($D5="","",COUNTIFS(Timesheet!$B$5:$B$3004,$D5,Timesheet!$A$5:$A$3004,"&gt;="&amp;Settings!$B$8,Timesheet!$A$5:$A$3004,"&lt;="&amp;Settings!$B$9))</f>
        <v>19</v>
      </c>
      <c r="G5" s="26" t="n">
        <f aca="false">IF($D5="","",SUMIFS(Timesheet!$O$5:$O$3004,Timesheet!$B$5:$B$3004,$D5,Timesheet!$A$5:$A$3004,"&gt;="&amp;Settings!$B$8,Timesheet!$A$5:$A$3004,"&lt;="&amp;Settings!$B$9))</f>
        <v>95547.14</v>
      </c>
      <c r="H5" s="26" t="n">
        <f aca="false">IF($D5="","",SUMIFS(Timesheet!$R$5:$R$3004,Timesheet!$B$5:$B$3004,$D5,Timesheet!$A$5:$A$3004,"&gt;="&amp;Settings!$B$8,Timesheet!$A$5:$A$3004,"&lt;="&amp;Settings!$B$9))</f>
        <v>24791.58</v>
      </c>
      <c r="I5" s="26" t="n">
        <f aca="false">IF($D5="","",SUMIFS(Timesheet!$S$5:$S$3004,Timesheet!$B$5:$B$3004,$D5,Timesheet!$A$5:$A$3004,"&gt;="&amp;Settings!$B$8,Timesheet!$A$5:$A$3004,"&lt;="&amp;Settings!$B$9))</f>
        <v>26544.8365384615</v>
      </c>
      <c r="J5" s="23" t="n">
        <f aca="false">IF($D5="","",G5-H5-I5)</f>
        <v>44210.7234615385</v>
      </c>
      <c r="K5" s="27" t="n">
        <f aca="false">IF(OR($D5="",N(G5)=0),"",J5/G5)</f>
        <v>0.462711112666883</v>
      </c>
    </row>
    <row r="6" customFormat="false" ht="15" hidden="false" customHeight="false" outlineLevel="0" collapsed="false">
      <c r="A6" s="22" t="s">
        <v>104</v>
      </c>
      <c r="B6" s="23" t="n">
        <f aca="false">Payroll!$N$3</f>
        <v>89205.82</v>
      </c>
      <c r="D6" s="24" t="str">
        <f aca="false">IF(Clients!A7="","",Clients!A7)</f>
        <v>C003</v>
      </c>
      <c r="E6" s="24" t="str">
        <f aca="false">IF($D6="","",Clients!B7)</f>
        <v>Sandline Construction Co.</v>
      </c>
      <c r="F6" s="25" t="n">
        <f aca="false">IF($D6="","",COUNTIFS(Timesheet!$B$5:$B$3004,$D6,Timesheet!$A$5:$A$3004,"&gt;="&amp;Settings!$B$8,Timesheet!$A$5:$A$3004,"&lt;="&amp;Settings!$B$9))</f>
        <v>19</v>
      </c>
      <c r="G6" s="26" t="n">
        <f aca="false">IF($D6="","",SUMIFS(Timesheet!$O$5:$O$3004,Timesheet!$B$5:$B$3004,$D6,Timesheet!$A$5:$A$3004,"&gt;="&amp;Settings!$B$8,Timesheet!$A$5:$A$3004,"&lt;="&amp;Settings!$B$9))</f>
        <v>73433.96</v>
      </c>
      <c r="H6" s="26" t="n">
        <f aca="false">IF($D6="","",SUMIFS(Timesheet!$R$5:$R$3004,Timesheet!$B$5:$B$3004,$D6,Timesheet!$A$5:$A$3004,"&gt;="&amp;Settings!$B$8,Timesheet!$A$5:$A$3004,"&lt;="&amp;Settings!$B$9))</f>
        <v>23265.76</v>
      </c>
      <c r="I6" s="26" t="n">
        <f aca="false">IF($D6="","",SUMIFS(Timesheet!$S$5:$S$3004,Timesheet!$B$5:$B$3004,$D6,Timesheet!$A$5:$A$3004,"&gt;="&amp;Settings!$B$8,Timesheet!$A$5:$A$3004,"&lt;="&amp;Settings!$B$9))</f>
        <v>23818.75</v>
      </c>
      <c r="J6" s="23" t="n">
        <f aca="false">IF($D6="","",G6-H6-I6)</f>
        <v>26349.45</v>
      </c>
      <c r="K6" s="27" t="n">
        <f aca="false">IF(OR($D6="",N(G6)=0),"",J6/G6)</f>
        <v>0.358818317846402</v>
      </c>
    </row>
    <row r="7" customFormat="false" ht="15" hidden="false" customHeight="false" outlineLevel="0" collapsed="false">
      <c r="A7" s="22" t="s">
        <v>105</v>
      </c>
      <c r="B7" s="28" t="n">
        <f aca="false">B4-B5-B6</f>
        <v>136300.32</v>
      </c>
      <c r="D7" s="24" t="str">
        <f aca="false">IF(Clients!A8="","",Clients!A8)</f>
        <v>C004</v>
      </c>
      <c r="E7" s="24" t="str">
        <f aca="false">IF($D7="","",Clients!B8)</f>
        <v>Marina Hospitality Group</v>
      </c>
      <c r="F7" s="25" t="n">
        <f aca="false">IF($D7="","",COUNTIFS(Timesheet!$B$5:$B$3004,$D7,Timesheet!$A$5:$A$3004,"&gt;="&amp;Settings!$B$8,Timesheet!$A$5:$A$3004,"&lt;="&amp;Settings!$B$9))</f>
        <v>13</v>
      </c>
      <c r="G7" s="26" t="n">
        <f aca="false">IF($D7="","",SUMIFS(Timesheet!$O$5:$O$3004,Timesheet!$B$5:$B$3004,$D7,Timesheet!$A$5:$A$3004,"&gt;="&amp;Settings!$B$8,Timesheet!$A$5:$A$3004,"&lt;="&amp;Settings!$B$9))</f>
        <v>57956.66</v>
      </c>
      <c r="H7" s="26" t="n">
        <f aca="false">IF($D7="","",SUMIFS(Timesheet!$R$5:$R$3004,Timesheet!$B$5:$B$3004,$D7,Timesheet!$A$5:$A$3004,"&gt;="&amp;Settings!$B$8,Timesheet!$A$5:$A$3004,"&lt;="&amp;Settings!$B$9))</f>
        <v>20141.38</v>
      </c>
      <c r="I7" s="26" t="n">
        <f aca="false">IF($D7="","",SUMIFS(Timesheet!$S$5:$S$3004,Timesheet!$B$5:$B$3004,$D7,Timesheet!$A$5:$A$3004,"&gt;="&amp;Settings!$B$8,Timesheet!$A$5:$A$3004,"&lt;="&amp;Settings!$B$9))</f>
        <v>14190.1538461538</v>
      </c>
      <c r="J7" s="23" t="n">
        <f aca="false">IF($D7="","",G7-H7-I7)</f>
        <v>23625.1261538462</v>
      </c>
      <c r="K7" s="27" t="n">
        <f aca="false">IF(OR($D7="",N(G7)=0),"",J7/G7)</f>
        <v>0.407634362536526</v>
      </c>
    </row>
    <row r="8" customFormat="false" ht="15" hidden="false" customHeight="false" outlineLevel="0" collapsed="false">
      <c r="A8" s="22" t="s">
        <v>106</v>
      </c>
      <c r="B8" s="29" t="n">
        <f aca="false">IF(B4=0,0,B7/B4)</f>
        <v>0.419567937770864</v>
      </c>
      <c r="D8" s="24" t="str">
        <f aca="false">IF(Clients!A9="","",Clients!A9)</f>
        <v/>
      </c>
      <c r="E8" s="24" t="str">
        <f aca="false">IF($D8="","",Clients!B9)</f>
        <v/>
      </c>
      <c r="F8" s="25" t="str">
        <f aca="false">IF($D8="","",COUNTIFS(Timesheet!$B$5:$B$3004,$D8,Timesheet!$A$5:$A$3004,"&gt;="&amp;Settings!$B$8,Timesheet!$A$5:$A$3004,"&lt;="&amp;Settings!$B$9))</f>
        <v/>
      </c>
      <c r="G8" s="26" t="str">
        <f aca="false">IF($D8="","",SUMIFS(Timesheet!$O$5:$O$3004,Timesheet!$B$5:$B$3004,$D8,Timesheet!$A$5:$A$3004,"&gt;="&amp;Settings!$B$8,Timesheet!$A$5:$A$3004,"&lt;="&amp;Settings!$B$9))</f>
        <v/>
      </c>
      <c r="H8" s="26" t="str">
        <f aca="false">IF($D8="","",SUMIFS(Timesheet!$R$5:$R$3004,Timesheet!$B$5:$B$3004,$D8,Timesheet!$A$5:$A$3004,"&gt;="&amp;Settings!$B$8,Timesheet!$A$5:$A$3004,"&lt;="&amp;Settings!$B$9))</f>
        <v/>
      </c>
      <c r="I8" s="26" t="str">
        <f aca="false">IF($D8="","",SUMIFS(Timesheet!$S$5:$S$3004,Timesheet!$B$5:$B$3004,$D8,Timesheet!$A$5:$A$3004,"&gt;="&amp;Settings!$B$8,Timesheet!$A$5:$A$3004,"&lt;="&amp;Settings!$B$9))</f>
        <v/>
      </c>
      <c r="J8" s="23" t="str">
        <f aca="false">IF($D8="","",G8-H8-I8)</f>
        <v/>
      </c>
      <c r="K8" s="27" t="str">
        <f aca="false">IF(OR($D8="",N(G8)=0),"",J8/G8)</f>
        <v/>
      </c>
    </row>
    <row r="9" customFormat="false" ht="15" hidden="false" customHeight="false" outlineLevel="0" collapsed="false">
      <c r="A9" s="22" t="s">
        <v>107</v>
      </c>
      <c r="B9" s="23" t="n">
        <f aca="false">ROUND(B4*Settings!$B$14,2)</f>
        <v>16242.94</v>
      </c>
      <c r="D9" s="24" t="str">
        <f aca="false">IF(Clients!A10="","",Clients!A10)</f>
        <v/>
      </c>
      <c r="E9" s="24" t="str">
        <f aca="false">IF($D9="","",Clients!B10)</f>
        <v/>
      </c>
      <c r="F9" s="25" t="str">
        <f aca="false">IF($D9="","",COUNTIFS(Timesheet!$B$5:$B$3004,$D9,Timesheet!$A$5:$A$3004,"&gt;="&amp;Settings!$B$8,Timesheet!$A$5:$A$3004,"&lt;="&amp;Settings!$B$9))</f>
        <v/>
      </c>
      <c r="G9" s="26" t="str">
        <f aca="false">IF($D9="","",SUMIFS(Timesheet!$O$5:$O$3004,Timesheet!$B$5:$B$3004,$D9,Timesheet!$A$5:$A$3004,"&gt;="&amp;Settings!$B$8,Timesheet!$A$5:$A$3004,"&lt;="&amp;Settings!$B$9))</f>
        <v/>
      </c>
      <c r="H9" s="26" t="str">
        <f aca="false">IF($D9="","",SUMIFS(Timesheet!$R$5:$R$3004,Timesheet!$B$5:$B$3004,$D9,Timesheet!$A$5:$A$3004,"&gt;="&amp;Settings!$B$8,Timesheet!$A$5:$A$3004,"&lt;="&amp;Settings!$B$9))</f>
        <v/>
      </c>
      <c r="I9" s="26" t="str">
        <f aca="false">IF($D9="","",SUMIFS(Timesheet!$S$5:$S$3004,Timesheet!$B$5:$B$3004,$D9,Timesheet!$A$5:$A$3004,"&gt;="&amp;Settings!$B$8,Timesheet!$A$5:$A$3004,"&lt;="&amp;Settings!$B$9))</f>
        <v/>
      </c>
      <c r="J9" s="23" t="str">
        <f aca="false">IF($D9="","",G9-H9-I9)</f>
        <v/>
      </c>
      <c r="K9" s="27" t="str">
        <f aca="false">IF(OR($D9="",N(G9)=0),"",J9/G9)</f>
        <v/>
      </c>
    </row>
    <row r="10" customFormat="false" ht="15" hidden="false" customHeight="false" outlineLevel="0" collapsed="false">
      <c r="D10" s="24" t="str">
        <f aca="false">IF(Clients!A11="","",Clients!A11)</f>
        <v/>
      </c>
      <c r="E10" s="24" t="str">
        <f aca="false">IF($D10="","",Clients!B11)</f>
        <v/>
      </c>
      <c r="F10" s="25" t="str">
        <f aca="false">IF($D10="","",COUNTIFS(Timesheet!$B$5:$B$3004,$D10,Timesheet!$A$5:$A$3004,"&gt;="&amp;Settings!$B$8,Timesheet!$A$5:$A$3004,"&lt;="&amp;Settings!$B$9))</f>
        <v/>
      </c>
      <c r="G10" s="26" t="str">
        <f aca="false">IF($D10="","",SUMIFS(Timesheet!$O$5:$O$3004,Timesheet!$B$5:$B$3004,$D10,Timesheet!$A$5:$A$3004,"&gt;="&amp;Settings!$B$8,Timesheet!$A$5:$A$3004,"&lt;="&amp;Settings!$B$9))</f>
        <v/>
      </c>
      <c r="H10" s="26" t="str">
        <f aca="false">IF($D10="","",SUMIFS(Timesheet!$R$5:$R$3004,Timesheet!$B$5:$B$3004,$D10,Timesheet!$A$5:$A$3004,"&gt;="&amp;Settings!$B$8,Timesheet!$A$5:$A$3004,"&lt;="&amp;Settings!$B$9))</f>
        <v/>
      </c>
      <c r="I10" s="26" t="str">
        <f aca="false">IF($D10="","",SUMIFS(Timesheet!$S$5:$S$3004,Timesheet!$B$5:$B$3004,$D10,Timesheet!$A$5:$A$3004,"&gt;="&amp;Settings!$B$8,Timesheet!$A$5:$A$3004,"&lt;="&amp;Settings!$B$9))</f>
        <v/>
      </c>
      <c r="J10" s="23" t="str">
        <f aca="false">IF($D10="","",G10-H10-I10)</f>
        <v/>
      </c>
      <c r="K10" s="27" t="str">
        <f aca="false">IF(OR($D10="",N(G10)=0),"",J10/G10)</f>
        <v/>
      </c>
    </row>
    <row r="11" customFormat="false" ht="15" hidden="false" customHeight="false" outlineLevel="0" collapsed="false">
      <c r="A11" s="22" t="s">
        <v>108</v>
      </c>
      <c r="B11" s="30" t="n">
        <f aca="false">SUMIFS(Timesheet!$F$5:$F$3004,Timesheet!$A$5:$A$3004,"&gt;="&amp;Settings!$B$8,Timesheet!$A$5:$A$3004,"&lt;="&amp;Settings!$B$9)+SUMIFS(Timesheet!$G$5:$G$3004,Timesheet!$A$5:$A$3004,"&gt;="&amp;Settings!$B$8,Timesheet!$A$5:$A$3004,"&lt;="&amp;Settings!$B$9)</f>
        <v>14600</v>
      </c>
      <c r="D11" s="24" t="str">
        <f aca="false">IF(Clients!A12="","",Clients!A12)</f>
        <v/>
      </c>
      <c r="E11" s="24" t="str">
        <f aca="false">IF($D11="","",Clients!B12)</f>
        <v/>
      </c>
      <c r="F11" s="25" t="str">
        <f aca="false">IF($D11="","",COUNTIFS(Timesheet!$B$5:$B$3004,$D11,Timesheet!$A$5:$A$3004,"&gt;="&amp;Settings!$B$8,Timesheet!$A$5:$A$3004,"&lt;="&amp;Settings!$B$9))</f>
        <v/>
      </c>
      <c r="G11" s="26" t="str">
        <f aca="false">IF($D11="","",SUMIFS(Timesheet!$O$5:$O$3004,Timesheet!$B$5:$B$3004,$D11,Timesheet!$A$5:$A$3004,"&gt;="&amp;Settings!$B$8,Timesheet!$A$5:$A$3004,"&lt;="&amp;Settings!$B$9))</f>
        <v/>
      </c>
      <c r="H11" s="26" t="str">
        <f aca="false">IF($D11="","",SUMIFS(Timesheet!$R$5:$R$3004,Timesheet!$B$5:$B$3004,$D11,Timesheet!$A$5:$A$3004,"&gt;="&amp;Settings!$B$8,Timesheet!$A$5:$A$3004,"&lt;="&amp;Settings!$B$9))</f>
        <v/>
      </c>
      <c r="I11" s="26" t="str">
        <f aca="false">IF($D11="","",SUMIFS(Timesheet!$S$5:$S$3004,Timesheet!$B$5:$B$3004,$D11,Timesheet!$A$5:$A$3004,"&gt;="&amp;Settings!$B$8,Timesheet!$A$5:$A$3004,"&lt;="&amp;Settings!$B$9))</f>
        <v/>
      </c>
      <c r="J11" s="23" t="str">
        <f aca="false">IF($D11="","",G11-H11-I11)</f>
        <v/>
      </c>
      <c r="K11" s="27" t="str">
        <f aca="false">IF(OR($D11="",N(G11)=0),"",J11/G11)</f>
        <v/>
      </c>
    </row>
    <row r="12" customFormat="false" ht="15" hidden="false" customHeight="false" outlineLevel="0" collapsed="false">
      <c r="A12" s="22" t="s">
        <v>109</v>
      </c>
      <c r="B12" s="30" t="n">
        <f aca="false">COUNTIFS(Timesheet!$A$5:$A$3004,"&gt;="&amp;Settings!$B$8,Timesheet!$A$5:$A$3004,"&lt;="&amp;Settings!$B$9)</f>
        <v>74</v>
      </c>
      <c r="D12" s="24" t="str">
        <f aca="false">IF(Clients!A13="","",Clients!A13)</f>
        <v/>
      </c>
      <c r="E12" s="24" t="str">
        <f aca="false">IF($D12="","",Clients!B13)</f>
        <v/>
      </c>
      <c r="F12" s="25" t="str">
        <f aca="false">IF($D12="","",COUNTIFS(Timesheet!$B$5:$B$3004,$D12,Timesheet!$A$5:$A$3004,"&gt;="&amp;Settings!$B$8,Timesheet!$A$5:$A$3004,"&lt;="&amp;Settings!$B$9))</f>
        <v/>
      </c>
      <c r="G12" s="26" t="str">
        <f aca="false">IF($D12="","",SUMIFS(Timesheet!$O$5:$O$3004,Timesheet!$B$5:$B$3004,$D12,Timesheet!$A$5:$A$3004,"&gt;="&amp;Settings!$B$8,Timesheet!$A$5:$A$3004,"&lt;="&amp;Settings!$B$9))</f>
        <v/>
      </c>
      <c r="H12" s="26" t="str">
        <f aca="false">IF($D12="","",SUMIFS(Timesheet!$R$5:$R$3004,Timesheet!$B$5:$B$3004,$D12,Timesheet!$A$5:$A$3004,"&gt;="&amp;Settings!$B$8,Timesheet!$A$5:$A$3004,"&lt;="&amp;Settings!$B$9))</f>
        <v/>
      </c>
      <c r="I12" s="26" t="str">
        <f aca="false">IF($D12="","",SUMIFS(Timesheet!$S$5:$S$3004,Timesheet!$B$5:$B$3004,$D12,Timesheet!$A$5:$A$3004,"&gt;="&amp;Settings!$B$8,Timesheet!$A$5:$A$3004,"&lt;="&amp;Settings!$B$9))</f>
        <v/>
      </c>
      <c r="J12" s="23" t="str">
        <f aca="false">IF($D12="","",G12-H12-I12)</f>
        <v/>
      </c>
      <c r="K12" s="27" t="str">
        <f aca="false">IF(OR($D12="",N(G12)=0),"",J12/G12)</f>
        <v/>
      </c>
    </row>
    <row r="13" customFormat="false" ht="15" hidden="false" customHeight="false" outlineLevel="0" collapsed="false">
      <c r="A13" s="22" t="s">
        <v>110</v>
      </c>
      <c r="B13" s="30" t="n">
        <f aca="false">COUNTIFS(Workers!$C$5:$C$2004,"Own",Workers!$Q$5:$Q$2004,"Active")</f>
        <v>40</v>
      </c>
      <c r="D13" s="24" t="str">
        <f aca="false">IF(Clients!A14="","",Clients!A14)</f>
        <v/>
      </c>
      <c r="E13" s="24" t="str">
        <f aca="false">IF($D13="","",Clients!B14)</f>
        <v/>
      </c>
      <c r="F13" s="25" t="str">
        <f aca="false">IF($D13="","",COUNTIFS(Timesheet!$B$5:$B$3004,$D13,Timesheet!$A$5:$A$3004,"&gt;="&amp;Settings!$B$8,Timesheet!$A$5:$A$3004,"&lt;="&amp;Settings!$B$9))</f>
        <v/>
      </c>
      <c r="G13" s="26" t="str">
        <f aca="false">IF($D13="","",SUMIFS(Timesheet!$O$5:$O$3004,Timesheet!$B$5:$B$3004,$D13,Timesheet!$A$5:$A$3004,"&gt;="&amp;Settings!$B$8,Timesheet!$A$5:$A$3004,"&lt;="&amp;Settings!$B$9))</f>
        <v/>
      </c>
      <c r="H13" s="26" t="str">
        <f aca="false">IF($D13="","",SUMIFS(Timesheet!$R$5:$R$3004,Timesheet!$B$5:$B$3004,$D13,Timesheet!$A$5:$A$3004,"&gt;="&amp;Settings!$B$8,Timesheet!$A$5:$A$3004,"&lt;="&amp;Settings!$B$9))</f>
        <v/>
      </c>
      <c r="I13" s="26" t="str">
        <f aca="false">IF($D13="","",SUMIFS(Timesheet!$S$5:$S$3004,Timesheet!$B$5:$B$3004,$D13,Timesheet!$A$5:$A$3004,"&gt;="&amp;Settings!$B$8,Timesheet!$A$5:$A$3004,"&lt;="&amp;Settings!$B$9))</f>
        <v/>
      </c>
      <c r="J13" s="23" t="str">
        <f aca="false">IF($D13="","",G13-H13-I13)</f>
        <v/>
      </c>
      <c r="K13" s="27" t="str">
        <f aca="false">IF(OR($D13="",N(G13)=0),"",J13/G13)</f>
        <v/>
      </c>
    </row>
    <row r="14" customFormat="false" ht="15" hidden="false" customHeight="false" outlineLevel="0" collapsed="false">
      <c r="A14" s="22" t="s">
        <v>111</v>
      </c>
      <c r="B14" s="30" t="n">
        <f aca="false">COUNTIFS(Workers!$C$5:$C$2004,"Supplier",Workers!$Q$5:$Q$2004,"Active")</f>
        <v>30</v>
      </c>
      <c r="D14" s="24" t="str">
        <f aca="false">IF(Clients!A15="","",Clients!A15)</f>
        <v/>
      </c>
      <c r="E14" s="24" t="str">
        <f aca="false">IF($D14="","",Clients!B15)</f>
        <v/>
      </c>
      <c r="F14" s="25" t="str">
        <f aca="false">IF($D14="","",COUNTIFS(Timesheet!$B$5:$B$3004,$D14,Timesheet!$A$5:$A$3004,"&gt;="&amp;Settings!$B$8,Timesheet!$A$5:$A$3004,"&lt;="&amp;Settings!$B$9))</f>
        <v/>
      </c>
      <c r="G14" s="26" t="str">
        <f aca="false">IF($D14="","",SUMIFS(Timesheet!$O$5:$O$3004,Timesheet!$B$5:$B$3004,$D14,Timesheet!$A$5:$A$3004,"&gt;="&amp;Settings!$B$8,Timesheet!$A$5:$A$3004,"&lt;="&amp;Settings!$B$9))</f>
        <v/>
      </c>
      <c r="H14" s="26" t="str">
        <f aca="false">IF($D14="","",SUMIFS(Timesheet!$R$5:$R$3004,Timesheet!$B$5:$B$3004,$D14,Timesheet!$A$5:$A$3004,"&gt;="&amp;Settings!$B$8,Timesheet!$A$5:$A$3004,"&lt;="&amp;Settings!$B$9))</f>
        <v/>
      </c>
      <c r="I14" s="26" t="str">
        <f aca="false">IF($D14="","",SUMIFS(Timesheet!$S$5:$S$3004,Timesheet!$B$5:$B$3004,$D14,Timesheet!$A$5:$A$3004,"&gt;="&amp;Settings!$B$8,Timesheet!$A$5:$A$3004,"&lt;="&amp;Settings!$B$9))</f>
        <v/>
      </c>
      <c r="J14" s="23" t="str">
        <f aca="false">IF($D14="","",G14-H14-I14)</f>
        <v/>
      </c>
      <c r="K14" s="27" t="str">
        <f aca="false">IF(OR($D14="",N(G14)=0),"",J14/G14)</f>
        <v/>
      </c>
    </row>
    <row r="15" customFormat="false" ht="15" hidden="false" customHeight="false" outlineLevel="0" collapsed="false">
      <c r="A15" s="22" t="s">
        <v>112</v>
      </c>
      <c r="B15" s="23" t="n">
        <f aca="false">Payroll!$R$3</f>
        <v>87430.82</v>
      </c>
      <c r="D15" s="24" t="str">
        <f aca="false">IF(Clients!A16="","",Clients!A16)</f>
        <v/>
      </c>
      <c r="E15" s="24" t="str">
        <f aca="false">IF($D15="","",Clients!B16)</f>
        <v/>
      </c>
      <c r="F15" s="25" t="str">
        <f aca="false">IF($D15="","",COUNTIFS(Timesheet!$B$5:$B$3004,$D15,Timesheet!$A$5:$A$3004,"&gt;="&amp;Settings!$B$8,Timesheet!$A$5:$A$3004,"&lt;="&amp;Settings!$B$9))</f>
        <v/>
      </c>
      <c r="G15" s="26" t="str">
        <f aca="false">IF($D15="","",SUMIFS(Timesheet!$O$5:$O$3004,Timesheet!$B$5:$B$3004,$D15,Timesheet!$A$5:$A$3004,"&gt;="&amp;Settings!$B$8,Timesheet!$A$5:$A$3004,"&lt;="&amp;Settings!$B$9))</f>
        <v/>
      </c>
      <c r="H15" s="26" t="str">
        <f aca="false">IF($D15="","",SUMIFS(Timesheet!$R$5:$R$3004,Timesheet!$B$5:$B$3004,$D15,Timesheet!$A$5:$A$3004,"&gt;="&amp;Settings!$B$8,Timesheet!$A$5:$A$3004,"&lt;="&amp;Settings!$B$9))</f>
        <v/>
      </c>
      <c r="I15" s="26" t="str">
        <f aca="false">IF($D15="","",SUMIFS(Timesheet!$S$5:$S$3004,Timesheet!$B$5:$B$3004,$D15,Timesheet!$A$5:$A$3004,"&gt;="&amp;Settings!$B$8,Timesheet!$A$5:$A$3004,"&lt;="&amp;Settings!$B$9))</f>
        <v/>
      </c>
      <c r="J15" s="23" t="str">
        <f aca="false">IF($D15="","",G15-H15-I15)</f>
        <v/>
      </c>
      <c r="K15" s="27" t="str">
        <f aca="false">IF(OR($D15="",N(G15)=0),"",J15/G15)</f>
        <v/>
      </c>
    </row>
    <row r="16" customFormat="false" ht="15" hidden="false" customHeight="false" outlineLevel="0" collapsed="false">
      <c r="A16" s="22" t="s">
        <v>113</v>
      </c>
      <c r="B16" s="23" t="n">
        <f aca="false">SupplierStatement!$I$3</f>
        <v>104320.25</v>
      </c>
      <c r="D16" s="24" t="str">
        <f aca="false">IF(Clients!A17="","",Clients!A17)</f>
        <v/>
      </c>
      <c r="E16" s="24" t="str">
        <f aca="false">IF($D16="","",Clients!B17)</f>
        <v/>
      </c>
      <c r="F16" s="25" t="str">
        <f aca="false">IF($D16="","",COUNTIFS(Timesheet!$B$5:$B$3004,$D16,Timesheet!$A$5:$A$3004,"&gt;="&amp;Settings!$B$8,Timesheet!$A$5:$A$3004,"&lt;="&amp;Settings!$B$9))</f>
        <v/>
      </c>
      <c r="G16" s="26" t="str">
        <f aca="false">IF($D16="","",SUMIFS(Timesheet!$O$5:$O$3004,Timesheet!$B$5:$B$3004,$D16,Timesheet!$A$5:$A$3004,"&gt;="&amp;Settings!$B$8,Timesheet!$A$5:$A$3004,"&lt;="&amp;Settings!$B$9))</f>
        <v/>
      </c>
      <c r="H16" s="26" t="str">
        <f aca="false">IF($D16="","",SUMIFS(Timesheet!$R$5:$R$3004,Timesheet!$B$5:$B$3004,$D16,Timesheet!$A$5:$A$3004,"&gt;="&amp;Settings!$B$8,Timesheet!$A$5:$A$3004,"&lt;="&amp;Settings!$B$9))</f>
        <v/>
      </c>
      <c r="I16" s="26" t="str">
        <f aca="false">IF($D16="","",SUMIFS(Timesheet!$S$5:$S$3004,Timesheet!$B$5:$B$3004,$D16,Timesheet!$A$5:$A$3004,"&gt;="&amp;Settings!$B$8,Timesheet!$A$5:$A$3004,"&lt;="&amp;Settings!$B$9))</f>
        <v/>
      </c>
      <c r="J16" s="23" t="str">
        <f aca="false">IF($D16="","",G16-H16-I16)</f>
        <v/>
      </c>
      <c r="K16" s="27" t="str">
        <f aca="false">IF(OR($D16="",N(G16)=0),"",J16/G16)</f>
        <v/>
      </c>
    </row>
    <row r="17" customFormat="false" ht="15" hidden="false" customHeight="false" outlineLevel="0" collapsed="false">
      <c r="D17" s="24" t="str">
        <f aca="false">IF(Clients!A18="","",Clients!A18)</f>
        <v/>
      </c>
      <c r="E17" s="24" t="str">
        <f aca="false">IF($D17="","",Clients!B18)</f>
        <v/>
      </c>
      <c r="F17" s="25" t="str">
        <f aca="false">IF($D17="","",COUNTIFS(Timesheet!$B$5:$B$3004,$D17,Timesheet!$A$5:$A$3004,"&gt;="&amp;Settings!$B$8,Timesheet!$A$5:$A$3004,"&lt;="&amp;Settings!$B$9))</f>
        <v/>
      </c>
      <c r="G17" s="26" t="str">
        <f aca="false">IF($D17="","",SUMIFS(Timesheet!$O$5:$O$3004,Timesheet!$B$5:$B$3004,$D17,Timesheet!$A$5:$A$3004,"&gt;="&amp;Settings!$B$8,Timesheet!$A$5:$A$3004,"&lt;="&amp;Settings!$B$9))</f>
        <v/>
      </c>
      <c r="H17" s="26" t="str">
        <f aca="false">IF($D17="","",SUMIFS(Timesheet!$R$5:$R$3004,Timesheet!$B$5:$B$3004,$D17,Timesheet!$A$5:$A$3004,"&gt;="&amp;Settings!$B$8,Timesheet!$A$5:$A$3004,"&lt;="&amp;Settings!$B$9))</f>
        <v/>
      </c>
      <c r="I17" s="26" t="str">
        <f aca="false">IF($D17="","",SUMIFS(Timesheet!$S$5:$S$3004,Timesheet!$B$5:$B$3004,$D17,Timesheet!$A$5:$A$3004,"&gt;="&amp;Settings!$B$8,Timesheet!$A$5:$A$3004,"&lt;="&amp;Settings!$B$9))</f>
        <v/>
      </c>
      <c r="J17" s="23" t="str">
        <f aca="false">IF($D17="","",G17-H17-I17)</f>
        <v/>
      </c>
      <c r="K17" s="27" t="str">
        <f aca="false">IF(OR($D17="",N(G17)=0),"",J17/G17)</f>
        <v/>
      </c>
    </row>
    <row r="18" customFormat="false" ht="15" hidden="false" customHeight="false" outlineLevel="0" collapsed="false">
      <c r="A18" s="22" t="s">
        <v>114</v>
      </c>
      <c r="B18" s="30" t="n">
        <f aca="false">COUNTIF(Workers!$T$5:$T$2004,"EXPIRED")</f>
        <v>6</v>
      </c>
      <c r="D18" s="24" t="str">
        <f aca="false">IF(Clients!A19="","",Clients!A19)</f>
        <v/>
      </c>
      <c r="E18" s="24" t="str">
        <f aca="false">IF($D18="","",Clients!B19)</f>
        <v/>
      </c>
      <c r="F18" s="25" t="str">
        <f aca="false">IF($D18="","",COUNTIFS(Timesheet!$B$5:$B$3004,$D18,Timesheet!$A$5:$A$3004,"&gt;="&amp;Settings!$B$8,Timesheet!$A$5:$A$3004,"&lt;="&amp;Settings!$B$9))</f>
        <v/>
      </c>
      <c r="G18" s="26" t="str">
        <f aca="false">IF($D18="","",SUMIFS(Timesheet!$O$5:$O$3004,Timesheet!$B$5:$B$3004,$D18,Timesheet!$A$5:$A$3004,"&gt;="&amp;Settings!$B$8,Timesheet!$A$5:$A$3004,"&lt;="&amp;Settings!$B$9))</f>
        <v/>
      </c>
      <c r="H18" s="26" t="str">
        <f aca="false">IF($D18="","",SUMIFS(Timesheet!$R$5:$R$3004,Timesheet!$B$5:$B$3004,$D18,Timesheet!$A$5:$A$3004,"&gt;="&amp;Settings!$B$8,Timesheet!$A$5:$A$3004,"&lt;="&amp;Settings!$B$9))</f>
        <v/>
      </c>
      <c r="I18" s="26" t="str">
        <f aca="false">IF($D18="","",SUMIFS(Timesheet!$S$5:$S$3004,Timesheet!$B$5:$B$3004,$D18,Timesheet!$A$5:$A$3004,"&gt;="&amp;Settings!$B$8,Timesheet!$A$5:$A$3004,"&lt;="&amp;Settings!$B$9))</f>
        <v/>
      </c>
      <c r="J18" s="23" t="str">
        <f aca="false">IF($D18="","",G18-H18-I18)</f>
        <v/>
      </c>
      <c r="K18" s="27" t="str">
        <f aca="false">IF(OR($D18="",N(G18)=0),"",J18/G18)</f>
        <v/>
      </c>
    </row>
    <row r="19" customFormat="false" ht="15" hidden="false" customHeight="false" outlineLevel="0" collapsed="false">
      <c r="A19" s="22" t="s">
        <v>115</v>
      </c>
      <c r="B19" s="30" t="n">
        <f aca="false">COUNTIF(Workers!$T$5:$T$2004,"EXPIRING SOON")</f>
        <v>12</v>
      </c>
      <c r="D19" s="24" t="str">
        <f aca="false">IF(Clients!A20="","",Clients!A20)</f>
        <v/>
      </c>
      <c r="E19" s="24" t="str">
        <f aca="false">IF($D19="","",Clients!B20)</f>
        <v/>
      </c>
      <c r="F19" s="25" t="str">
        <f aca="false">IF($D19="","",COUNTIFS(Timesheet!$B$5:$B$3004,$D19,Timesheet!$A$5:$A$3004,"&gt;="&amp;Settings!$B$8,Timesheet!$A$5:$A$3004,"&lt;="&amp;Settings!$B$9))</f>
        <v/>
      </c>
      <c r="G19" s="26" t="str">
        <f aca="false">IF($D19="","",SUMIFS(Timesheet!$O$5:$O$3004,Timesheet!$B$5:$B$3004,$D19,Timesheet!$A$5:$A$3004,"&gt;="&amp;Settings!$B$8,Timesheet!$A$5:$A$3004,"&lt;="&amp;Settings!$B$9))</f>
        <v/>
      </c>
      <c r="H19" s="26" t="str">
        <f aca="false">IF($D19="","",SUMIFS(Timesheet!$R$5:$R$3004,Timesheet!$B$5:$B$3004,$D19,Timesheet!$A$5:$A$3004,"&gt;="&amp;Settings!$B$8,Timesheet!$A$5:$A$3004,"&lt;="&amp;Settings!$B$9))</f>
        <v/>
      </c>
      <c r="I19" s="26" t="str">
        <f aca="false">IF($D19="","",SUMIFS(Timesheet!$S$5:$S$3004,Timesheet!$B$5:$B$3004,$D19,Timesheet!$A$5:$A$3004,"&gt;="&amp;Settings!$B$8,Timesheet!$A$5:$A$3004,"&lt;="&amp;Settings!$B$9))</f>
        <v/>
      </c>
      <c r="J19" s="23" t="str">
        <f aca="false">IF($D19="","",G19-H19-I19)</f>
        <v/>
      </c>
      <c r="K19" s="27" t="str">
        <f aca="false">IF(OR($D19="",N(G19)=0),"",J19/G19)</f>
        <v/>
      </c>
    </row>
    <row r="20" customFormat="false" ht="15" hidden="false" customHeight="false" outlineLevel="0" collapsed="false">
      <c r="D20" s="24" t="str">
        <f aca="false">IF(Clients!A21="","",Clients!A21)</f>
        <v/>
      </c>
      <c r="E20" s="24" t="str">
        <f aca="false">IF($D20="","",Clients!B21)</f>
        <v/>
      </c>
      <c r="F20" s="25" t="str">
        <f aca="false">IF($D20="","",COUNTIFS(Timesheet!$B$5:$B$3004,$D20,Timesheet!$A$5:$A$3004,"&gt;="&amp;Settings!$B$8,Timesheet!$A$5:$A$3004,"&lt;="&amp;Settings!$B$9))</f>
        <v/>
      </c>
      <c r="G20" s="26" t="str">
        <f aca="false">IF($D20="","",SUMIFS(Timesheet!$O$5:$O$3004,Timesheet!$B$5:$B$3004,$D20,Timesheet!$A$5:$A$3004,"&gt;="&amp;Settings!$B$8,Timesheet!$A$5:$A$3004,"&lt;="&amp;Settings!$B$9))</f>
        <v/>
      </c>
      <c r="H20" s="26" t="str">
        <f aca="false">IF($D20="","",SUMIFS(Timesheet!$R$5:$R$3004,Timesheet!$B$5:$B$3004,$D20,Timesheet!$A$5:$A$3004,"&gt;="&amp;Settings!$B$8,Timesheet!$A$5:$A$3004,"&lt;="&amp;Settings!$B$9))</f>
        <v/>
      </c>
      <c r="I20" s="26" t="str">
        <f aca="false">IF($D20="","",SUMIFS(Timesheet!$S$5:$S$3004,Timesheet!$B$5:$B$3004,$D20,Timesheet!$A$5:$A$3004,"&gt;="&amp;Settings!$B$8,Timesheet!$A$5:$A$3004,"&lt;="&amp;Settings!$B$9))</f>
        <v/>
      </c>
      <c r="J20" s="23" t="str">
        <f aca="false">IF($D20="","",G20-H20-I20)</f>
        <v/>
      </c>
      <c r="K20" s="27" t="str">
        <f aca="false">IF(OR($D20="",N(G20)=0),"",J20/G20)</f>
        <v/>
      </c>
    </row>
    <row r="21" customFormat="false" ht="15" hidden="false" customHeight="false" outlineLevel="0" collapsed="false">
      <c r="D21" s="24" t="str">
        <f aca="false">IF(Clients!A22="","",Clients!A22)</f>
        <v/>
      </c>
      <c r="E21" s="24" t="str">
        <f aca="false">IF($D21="","",Clients!B22)</f>
        <v/>
      </c>
      <c r="F21" s="25" t="str">
        <f aca="false">IF($D21="","",COUNTIFS(Timesheet!$B$5:$B$3004,$D21,Timesheet!$A$5:$A$3004,"&gt;="&amp;Settings!$B$8,Timesheet!$A$5:$A$3004,"&lt;="&amp;Settings!$B$9))</f>
        <v/>
      </c>
      <c r="G21" s="26" t="str">
        <f aca="false">IF($D21="","",SUMIFS(Timesheet!$O$5:$O$3004,Timesheet!$B$5:$B$3004,$D21,Timesheet!$A$5:$A$3004,"&gt;="&amp;Settings!$B$8,Timesheet!$A$5:$A$3004,"&lt;="&amp;Settings!$B$9))</f>
        <v/>
      </c>
      <c r="H21" s="26" t="str">
        <f aca="false">IF($D21="","",SUMIFS(Timesheet!$R$5:$R$3004,Timesheet!$B$5:$B$3004,$D21,Timesheet!$A$5:$A$3004,"&gt;="&amp;Settings!$B$8,Timesheet!$A$5:$A$3004,"&lt;="&amp;Settings!$B$9))</f>
        <v/>
      </c>
      <c r="I21" s="26" t="str">
        <f aca="false">IF($D21="","",SUMIFS(Timesheet!$S$5:$S$3004,Timesheet!$B$5:$B$3004,$D21,Timesheet!$A$5:$A$3004,"&gt;="&amp;Settings!$B$8,Timesheet!$A$5:$A$3004,"&lt;="&amp;Settings!$B$9))</f>
        <v/>
      </c>
      <c r="J21" s="23" t="str">
        <f aca="false">IF($D21="","",G21-H21-I21)</f>
        <v/>
      </c>
      <c r="K21" s="27" t="str">
        <f aca="false">IF(OR($D21="",N(G21)=0),"",J21/G21)</f>
        <v/>
      </c>
    </row>
    <row r="22" customFormat="false" ht="15" hidden="false" customHeight="false" outlineLevel="0" collapsed="false">
      <c r="A22" s="13" t="s">
        <v>116</v>
      </c>
      <c r="D22" s="24" t="str">
        <f aca="false">IF(Clients!A23="","",Clients!A23)</f>
        <v/>
      </c>
      <c r="E22" s="24" t="str">
        <f aca="false">IF($D22="","",Clients!B23)</f>
        <v/>
      </c>
      <c r="F22" s="25" t="str">
        <f aca="false">IF($D22="","",COUNTIFS(Timesheet!$B$5:$B$3004,$D22,Timesheet!$A$5:$A$3004,"&gt;="&amp;Settings!$B$8,Timesheet!$A$5:$A$3004,"&lt;="&amp;Settings!$B$9))</f>
        <v/>
      </c>
      <c r="G22" s="26" t="str">
        <f aca="false">IF($D22="","",SUMIFS(Timesheet!$O$5:$O$3004,Timesheet!$B$5:$B$3004,$D22,Timesheet!$A$5:$A$3004,"&gt;="&amp;Settings!$B$8,Timesheet!$A$5:$A$3004,"&lt;="&amp;Settings!$B$9))</f>
        <v/>
      </c>
      <c r="H22" s="26" t="str">
        <f aca="false">IF($D22="","",SUMIFS(Timesheet!$R$5:$R$3004,Timesheet!$B$5:$B$3004,$D22,Timesheet!$A$5:$A$3004,"&gt;="&amp;Settings!$B$8,Timesheet!$A$5:$A$3004,"&lt;="&amp;Settings!$B$9))</f>
        <v/>
      </c>
      <c r="I22" s="26" t="str">
        <f aca="false">IF($D22="","",SUMIFS(Timesheet!$S$5:$S$3004,Timesheet!$B$5:$B$3004,$D22,Timesheet!$A$5:$A$3004,"&gt;="&amp;Settings!$B$8,Timesheet!$A$5:$A$3004,"&lt;="&amp;Settings!$B$9))</f>
        <v/>
      </c>
      <c r="J22" s="23" t="str">
        <f aca="false">IF($D22="","",G22-H22-I22)</f>
        <v/>
      </c>
      <c r="K22" s="27" t="str">
        <f aca="false">IF(OR($D22="",N(G22)=0),"",J22/G22)</f>
        <v/>
      </c>
    </row>
    <row r="23" customFormat="false" ht="15" hidden="false" customHeight="false" outlineLevel="0" collapsed="false">
      <c r="D23" s="24" t="str">
        <f aca="false">IF(Clients!A24="","",Clients!A24)</f>
        <v/>
      </c>
      <c r="E23" s="24" t="str">
        <f aca="false">IF($D23="","",Clients!B24)</f>
        <v/>
      </c>
      <c r="F23" s="25" t="str">
        <f aca="false">IF($D23="","",COUNTIFS(Timesheet!$B$5:$B$3004,$D23,Timesheet!$A$5:$A$3004,"&gt;="&amp;Settings!$B$8,Timesheet!$A$5:$A$3004,"&lt;="&amp;Settings!$B$9))</f>
        <v/>
      </c>
      <c r="G23" s="26" t="str">
        <f aca="false">IF($D23="","",SUMIFS(Timesheet!$O$5:$O$3004,Timesheet!$B$5:$B$3004,$D23,Timesheet!$A$5:$A$3004,"&gt;="&amp;Settings!$B$8,Timesheet!$A$5:$A$3004,"&lt;="&amp;Settings!$B$9))</f>
        <v/>
      </c>
      <c r="H23" s="26" t="str">
        <f aca="false">IF($D23="","",SUMIFS(Timesheet!$R$5:$R$3004,Timesheet!$B$5:$B$3004,$D23,Timesheet!$A$5:$A$3004,"&gt;="&amp;Settings!$B$8,Timesheet!$A$5:$A$3004,"&lt;="&amp;Settings!$B$9))</f>
        <v/>
      </c>
      <c r="I23" s="26" t="str">
        <f aca="false">IF($D23="","",SUMIFS(Timesheet!$S$5:$S$3004,Timesheet!$B$5:$B$3004,$D23,Timesheet!$A$5:$A$3004,"&gt;="&amp;Settings!$B$8,Timesheet!$A$5:$A$3004,"&lt;="&amp;Settings!$B$9))</f>
        <v/>
      </c>
      <c r="J23" s="23" t="str">
        <f aca="false">IF($D23="","",G23-H23-I23)</f>
        <v/>
      </c>
      <c r="K23" s="27" t="str">
        <f aca="false">IF(OR($D23="",N(G23)=0),"",J23/G23)</f>
        <v/>
      </c>
    </row>
    <row r="24" customFormat="false" ht="15" hidden="false" customHeight="false" outlineLevel="0" collapsed="false">
      <c r="D24" s="24" t="str">
        <f aca="false">IF(Clients!A25="","",Clients!A25)</f>
        <v/>
      </c>
      <c r="E24" s="24" t="str">
        <f aca="false">IF($D24="","",Clients!B25)</f>
        <v/>
      </c>
      <c r="F24" s="25" t="str">
        <f aca="false">IF($D24="","",COUNTIFS(Timesheet!$B$5:$B$3004,$D24,Timesheet!$A$5:$A$3004,"&gt;="&amp;Settings!$B$8,Timesheet!$A$5:$A$3004,"&lt;="&amp;Settings!$B$9))</f>
        <v/>
      </c>
      <c r="G24" s="26" t="str">
        <f aca="false">IF($D24="","",SUMIFS(Timesheet!$O$5:$O$3004,Timesheet!$B$5:$B$3004,$D24,Timesheet!$A$5:$A$3004,"&gt;="&amp;Settings!$B$8,Timesheet!$A$5:$A$3004,"&lt;="&amp;Settings!$B$9))</f>
        <v/>
      </c>
      <c r="H24" s="26" t="str">
        <f aca="false">IF($D24="","",SUMIFS(Timesheet!$R$5:$R$3004,Timesheet!$B$5:$B$3004,$D24,Timesheet!$A$5:$A$3004,"&gt;="&amp;Settings!$B$8,Timesheet!$A$5:$A$3004,"&lt;="&amp;Settings!$B$9))</f>
        <v/>
      </c>
      <c r="I24" s="26" t="str">
        <f aca="false">IF($D24="","",SUMIFS(Timesheet!$S$5:$S$3004,Timesheet!$B$5:$B$3004,$D24,Timesheet!$A$5:$A$3004,"&gt;="&amp;Settings!$B$8,Timesheet!$A$5:$A$3004,"&lt;="&amp;Settings!$B$9))</f>
        <v/>
      </c>
      <c r="J24" s="23" t="str">
        <f aca="false">IF($D24="","",G24-H24-I24)</f>
        <v/>
      </c>
      <c r="K24" s="27" t="str">
        <f aca="false">IF(OR($D24="",N(G24)=0),"",J24/G24)</f>
        <v/>
      </c>
    </row>
    <row r="25" customFormat="false" ht="15" hidden="false" customHeight="false" outlineLevel="0" collapsed="false">
      <c r="D25" s="24" t="str">
        <f aca="false">IF(Clients!A26="","",Clients!A26)</f>
        <v/>
      </c>
      <c r="E25" s="24" t="str">
        <f aca="false">IF($D25="","",Clients!B26)</f>
        <v/>
      </c>
      <c r="F25" s="25" t="str">
        <f aca="false">IF($D25="","",COUNTIFS(Timesheet!$B$5:$B$3004,$D25,Timesheet!$A$5:$A$3004,"&gt;="&amp;Settings!$B$8,Timesheet!$A$5:$A$3004,"&lt;="&amp;Settings!$B$9))</f>
        <v/>
      </c>
      <c r="G25" s="26" t="str">
        <f aca="false">IF($D25="","",SUMIFS(Timesheet!$O$5:$O$3004,Timesheet!$B$5:$B$3004,$D25,Timesheet!$A$5:$A$3004,"&gt;="&amp;Settings!$B$8,Timesheet!$A$5:$A$3004,"&lt;="&amp;Settings!$B$9))</f>
        <v/>
      </c>
      <c r="H25" s="26" t="str">
        <f aca="false">IF($D25="","",SUMIFS(Timesheet!$R$5:$R$3004,Timesheet!$B$5:$B$3004,$D25,Timesheet!$A$5:$A$3004,"&gt;="&amp;Settings!$B$8,Timesheet!$A$5:$A$3004,"&lt;="&amp;Settings!$B$9))</f>
        <v/>
      </c>
      <c r="I25" s="26" t="str">
        <f aca="false">IF($D25="","",SUMIFS(Timesheet!$S$5:$S$3004,Timesheet!$B$5:$B$3004,$D25,Timesheet!$A$5:$A$3004,"&gt;="&amp;Settings!$B$8,Timesheet!$A$5:$A$3004,"&lt;="&amp;Settings!$B$9))</f>
        <v/>
      </c>
      <c r="J25" s="23" t="str">
        <f aca="false">IF($D25="","",G25-H25-I25)</f>
        <v/>
      </c>
      <c r="K25" s="27" t="str">
        <f aca="false">IF(OR($D25="",N(G25)=0),"",J25/G25)</f>
        <v/>
      </c>
    </row>
    <row r="26" customFormat="false" ht="15" hidden="false" customHeight="false" outlineLevel="0" collapsed="false">
      <c r="D26" s="24" t="str">
        <f aca="false">IF(Clients!A27="","",Clients!A27)</f>
        <v/>
      </c>
      <c r="E26" s="24" t="str">
        <f aca="false">IF($D26="","",Clients!B27)</f>
        <v/>
      </c>
      <c r="F26" s="25" t="str">
        <f aca="false">IF($D26="","",COUNTIFS(Timesheet!$B$5:$B$3004,$D26,Timesheet!$A$5:$A$3004,"&gt;="&amp;Settings!$B$8,Timesheet!$A$5:$A$3004,"&lt;="&amp;Settings!$B$9))</f>
        <v/>
      </c>
      <c r="G26" s="26" t="str">
        <f aca="false">IF($D26="","",SUMIFS(Timesheet!$O$5:$O$3004,Timesheet!$B$5:$B$3004,$D26,Timesheet!$A$5:$A$3004,"&gt;="&amp;Settings!$B$8,Timesheet!$A$5:$A$3004,"&lt;="&amp;Settings!$B$9))</f>
        <v/>
      </c>
      <c r="H26" s="26" t="str">
        <f aca="false">IF($D26="","",SUMIFS(Timesheet!$R$5:$R$3004,Timesheet!$B$5:$B$3004,$D26,Timesheet!$A$5:$A$3004,"&gt;="&amp;Settings!$B$8,Timesheet!$A$5:$A$3004,"&lt;="&amp;Settings!$B$9))</f>
        <v/>
      </c>
      <c r="I26" s="26" t="str">
        <f aca="false">IF($D26="","",SUMIFS(Timesheet!$S$5:$S$3004,Timesheet!$B$5:$B$3004,$D26,Timesheet!$A$5:$A$3004,"&gt;="&amp;Settings!$B$8,Timesheet!$A$5:$A$3004,"&lt;="&amp;Settings!$B$9))</f>
        <v/>
      </c>
      <c r="J26" s="23" t="str">
        <f aca="false">IF($D26="","",G26-H26-I26)</f>
        <v/>
      </c>
      <c r="K26" s="27" t="str">
        <f aca="false">IF(OR($D26="",N(G26)=0),"",J26/G26)</f>
        <v/>
      </c>
    </row>
    <row r="27" customFormat="false" ht="15" hidden="false" customHeight="false" outlineLevel="0" collapsed="false">
      <c r="D27" s="24" t="str">
        <f aca="false">IF(Clients!A28="","",Clients!A28)</f>
        <v/>
      </c>
      <c r="E27" s="24" t="str">
        <f aca="false">IF($D27="","",Clients!B28)</f>
        <v/>
      </c>
      <c r="F27" s="25" t="str">
        <f aca="false">IF($D27="","",COUNTIFS(Timesheet!$B$5:$B$3004,$D27,Timesheet!$A$5:$A$3004,"&gt;="&amp;Settings!$B$8,Timesheet!$A$5:$A$3004,"&lt;="&amp;Settings!$B$9))</f>
        <v/>
      </c>
      <c r="G27" s="26" t="str">
        <f aca="false">IF($D27="","",SUMIFS(Timesheet!$O$5:$O$3004,Timesheet!$B$5:$B$3004,$D27,Timesheet!$A$5:$A$3004,"&gt;="&amp;Settings!$B$8,Timesheet!$A$5:$A$3004,"&lt;="&amp;Settings!$B$9))</f>
        <v/>
      </c>
      <c r="H27" s="26" t="str">
        <f aca="false">IF($D27="","",SUMIFS(Timesheet!$R$5:$R$3004,Timesheet!$B$5:$B$3004,$D27,Timesheet!$A$5:$A$3004,"&gt;="&amp;Settings!$B$8,Timesheet!$A$5:$A$3004,"&lt;="&amp;Settings!$B$9))</f>
        <v/>
      </c>
      <c r="I27" s="26" t="str">
        <f aca="false">IF($D27="","",SUMIFS(Timesheet!$S$5:$S$3004,Timesheet!$B$5:$B$3004,$D27,Timesheet!$A$5:$A$3004,"&gt;="&amp;Settings!$B$8,Timesheet!$A$5:$A$3004,"&lt;="&amp;Settings!$B$9))</f>
        <v/>
      </c>
      <c r="J27" s="23" t="str">
        <f aca="false">IF($D27="","",G27-H27-I27)</f>
        <v/>
      </c>
      <c r="K27" s="27" t="str">
        <f aca="false">IF(OR($D27="",N(G27)=0),"",J27/G27)</f>
        <v/>
      </c>
    </row>
    <row r="28" customFormat="false" ht="15" hidden="false" customHeight="false" outlineLevel="0" collapsed="false">
      <c r="D28" s="24" t="str">
        <f aca="false">IF(Clients!A29="","",Clients!A29)</f>
        <v/>
      </c>
      <c r="E28" s="24" t="str">
        <f aca="false">IF($D28="","",Clients!B29)</f>
        <v/>
      </c>
      <c r="F28" s="25" t="str">
        <f aca="false">IF($D28="","",COUNTIFS(Timesheet!$B$5:$B$3004,$D28,Timesheet!$A$5:$A$3004,"&gt;="&amp;Settings!$B$8,Timesheet!$A$5:$A$3004,"&lt;="&amp;Settings!$B$9))</f>
        <v/>
      </c>
      <c r="G28" s="26" t="str">
        <f aca="false">IF($D28="","",SUMIFS(Timesheet!$O$5:$O$3004,Timesheet!$B$5:$B$3004,$D28,Timesheet!$A$5:$A$3004,"&gt;="&amp;Settings!$B$8,Timesheet!$A$5:$A$3004,"&lt;="&amp;Settings!$B$9))</f>
        <v/>
      </c>
      <c r="H28" s="26" t="str">
        <f aca="false">IF($D28="","",SUMIFS(Timesheet!$R$5:$R$3004,Timesheet!$B$5:$B$3004,$D28,Timesheet!$A$5:$A$3004,"&gt;="&amp;Settings!$B$8,Timesheet!$A$5:$A$3004,"&lt;="&amp;Settings!$B$9))</f>
        <v/>
      </c>
      <c r="I28" s="26" t="str">
        <f aca="false">IF($D28="","",SUMIFS(Timesheet!$S$5:$S$3004,Timesheet!$B$5:$B$3004,$D28,Timesheet!$A$5:$A$3004,"&gt;="&amp;Settings!$B$8,Timesheet!$A$5:$A$3004,"&lt;="&amp;Settings!$B$9))</f>
        <v/>
      </c>
      <c r="J28" s="23" t="str">
        <f aca="false">IF($D28="","",G28-H28-I28)</f>
        <v/>
      </c>
      <c r="K28" s="27" t="str">
        <f aca="false">IF(OR($D28="",N(G28)=0),"",J28/G28)</f>
        <v/>
      </c>
    </row>
    <row r="29" customFormat="false" ht="15" hidden="false" customHeight="false" outlineLevel="0" collapsed="false">
      <c r="D29" s="24" t="str">
        <f aca="false">IF(Clients!A30="","",Clients!A30)</f>
        <v/>
      </c>
      <c r="E29" s="24" t="str">
        <f aca="false">IF($D29="","",Clients!B30)</f>
        <v/>
      </c>
      <c r="F29" s="25" t="str">
        <f aca="false">IF($D29="","",COUNTIFS(Timesheet!$B$5:$B$3004,$D29,Timesheet!$A$5:$A$3004,"&gt;="&amp;Settings!$B$8,Timesheet!$A$5:$A$3004,"&lt;="&amp;Settings!$B$9))</f>
        <v/>
      </c>
      <c r="G29" s="26" t="str">
        <f aca="false">IF($D29="","",SUMIFS(Timesheet!$O$5:$O$3004,Timesheet!$B$5:$B$3004,$D29,Timesheet!$A$5:$A$3004,"&gt;="&amp;Settings!$B$8,Timesheet!$A$5:$A$3004,"&lt;="&amp;Settings!$B$9))</f>
        <v/>
      </c>
      <c r="H29" s="26" t="str">
        <f aca="false">IF($D29="","",SUMIFS(Timesheet!$R$5:$R$3004,Timesheet!$B$5:$B$3004,$D29,Timesheet!$A$5:$A$3004,"&gt;="&amp;Settings!$B$8,Timesheet!$A$5:$A$3004,"&lt;="&amp;Settings!$B$9))</f>
        <v/>
      </c>
      <c r="I29" s="26" t="str">
        <f aca="false">IF($D29="","",SUMIFS(Timesheet!$S$5:$S$3004,Timesheet!$B$5:$B$3004,$D29,Timesheet!$A$5:$A$3004,"&gt;="&amp;Settings!$B$8,Timesheet!$A$5:$A$3004,"&lt;="&amp;Settings!$B$9))</f>
        <v/>
      </c>
      <c r="J29" s="23" t="str">
        <f aca="false">IF($D29="","",G29-H29-I29)</f>
        <v/>
      </c>
      <c r="K29" s="27" t="str">
        <f aca="false">IF(OR($D29="",N(G29)=0),"",J29/G29)</f>
        <v/>
      </c>
    </row>
    <row r="30" customFormat="false" ht="15" hidden="false" customHeight="false" outlineLevel="0" collapsed="false">
      <c r="D30" s="24" t="str">
        <f aca="false">IF(Clients!A31="","",Clients!A31)</f>
        <v/>
      </c>
      <c r="E30" s="24" t="str">
        <f aca="false">IF($D30="","",Clients!B31)</f>
        <v/>
      </c>
      <c r="F30" s="25" t="str">
        <f aca="false">IF($D30="","",COUNTIFS(Timesheet!$B$5:$B$3004,$D30,Timesheet!$A$5:$A$3004,"&gt;="&amp;Settings!$B$8,Timesheet!$A$5:$A$3004,"&lt;="&amp;Settings!$B$9))</f>
        <v/>
      </c>
      <c r="G30" s="26" t="str">
        <f aca="false">IF($D30="","",SUMIFS(Timesheet!$O$5:$O$3004,Timesheet!$B$5:$B$3004,$D30,Timesheet!$A$5:$A$3004,"&gt;="&amp;Settings!$B$8,Timesheet!$A$5:$A$3004,"&lt;="&amp;Settings!$B$9))</f>
        <v/>
      </c>
      <c r="H30" s="26" t="str">
        <f aca="false">IF($D30="","",SUMIFS(Timesheet!$R$5:$R$3004,Timesheet!$B$5:$B$3004,$D30,Timesheet!$A$5:$A$3004,"&gt;="&amp;Settings!$B$8,Timesheet!$A$5:$A$3004,"&lt;="&amp;Settings!$B$9))</f>
        <v/>
      </c>
      <c r="I30" s="26" t="str">
        <f aca="false">IF($D30="","",SUMIFS(Timesheet!$S$5:$S$3004,Timesheet!$B$5:$B$3004,$D30,Timesheet!$A$5:$A$3004,"&gt;="&amp;Settings!$B$8,Timesheet!$A$5:$A$3004,"&lt;="&amp;Settings!$B$9))</f>
        <v/>
      </c>
      <c r="J30" s="23" t="str">
        <f aca="false">IF($D30="","",G30-H30-I30)</f>
        <v/>
      </c>
      <c r="K30" s="27" t="str">
        <f aca="false">IF(OR($D30="",N(G30)=0),"",J30/G30)</f>
        <v/>
      </c>
    </row>
    <row r="31" customFormat="false" ht="15" hidden="false" customHeight="false" outlineLevel="0" collapsed="false">
      <c r="D31" s="24" t="str">
        <f aca="false">IF(Clients!A32="","",Clients!A32)</f>
        <v/>
      </c>
      <c r="E31" s="24" t="str">
        <f aca="false">IF($D31="","",Clients!B32)</f>
        <v/>
      </c>
      <c r="F31" s="25" t="str">
        <f aca="false">IF($D31="","",COUNTIFS(Timesheet!$B$5:$B$3004,$D31,Timesheet!$A$5:$A$3004,"&gt;="&amp;Settings!$B$8,Timesheet!$A$5:$A$3004,"&lt;="&amp;Settings!$B$9))</f>
        <v/>
      </c>
      <c r="G31" s="26" t="str">
        <f aca="false">IF($D31="","",SUMIFS(Timesheet!$O$5:$O$3004,Timesheet!$B$5:$B$3004,$D31,Timesheet!$A$5:$A$3004,"&gt;="&amp;Settings!$B$8,Timesheet!$A$5:$A$3004,"&lt;="&amp;Settings!$B$9))</f>
        <v/>
      </c>
      <c r="H31" s="26" t="str">
        <f aca="false">IF($D31="","",SUMIFS(Timesheet!$R$5:$R$3004,Timesheet!$B$5:$B$3004,$D31,Timesheet!$A$5:$A$3004,"&gt;="&amp;Settings!$B$8,Timesheet!$A$5:$A$3004,"&lt;="&amp;Settings!$B$9))</f>
        <v/>
      </c>
      <c r="I31" s="26" t="str">
        <f aca="false">IF($D31="","",SUMIFS(Timesheet!$S$5:$S$3004,Timesheet!$B$5:$B$3004,$D31,Timesheet!$A$5:$A$3004,"&gt;="&amp;Settings!$B$8,Timesheet!$A$5:$A$3004,"&lt;="&amp;Settings!$B$9))</f>
        <v/>
      </c>
      <c r="J31" s="23" t="str">
        <f aca="false">IF($D31="","",G31-H31-I31)</f>
        <v/>
      </c>
      <c r="K31" s="27" t="str">
        <f aca="false">IF(OR($D31="",N(G31)=0),"",J31/G31)</f>
        <v/>
      </c>
    </row>
    <row r="32" customFormat="false" ht="15" hidden="false" customHeight="false" outlineLevel="0" collapsed="false">
      <c r="D32" s="24" t="str">
        <f aca="false">IF(Clients!A33="","",Clients!A33)</f>
        <v/>
      </c>
      <c r="E32" s="24" t="str">
        <f aca="false">IF($D32="","",Clients!B33)</f>
        <v/>
      </c>
      <c r="F32" s="25" t="str">
        <f aca="false">IF($D32="","",COUNTIFS(Timesheet!$B$5:$B$3004,$D32,Timesheet!$A$5:$A$3004,"&gt;="&amp;Settings!$B$8,Timesheet!$A$5:$A$3004,"&lt;="&amp;Settings!$B$9))</f>
        <v/>
      </c>
      <c r="G32" s="26" t="str">
        <f aca="false">IF($D32="","",SUMIFS(Timesheet!$O$5:$O$3004,Timesheet!$B$5:$B$3004,$D32,Timesheet!$A$5:$A$3004,"&gt;="&amp;Settings!$B$8,Timesheet!$A$5:$A$3004,"&lt;="&amp;Settings!$B$9))</f>
        <v/>
      </c>
      <c r="H32" s="26" t="str">
        <f aca="false">IF($D32="","",SUMIFS(Timesheet!$R$5:$R$3004,Timesheet!$B$5:$B$3004,$D32,Timesheet!$A$5:$A$3004,"&gt;="&amp;Settings!$B$8,Timesheet!$A$5:$A$3004,"&lt;="&amp;Settings!$B$9))</f>
        <v/>
      </c>
      <c r="I32" s="26" t="str">
        <f aca="false">IF($D32="","",SUMIFS(Timesheet!$S$5:$S$3004,Timesheet!$B$5:$B$3004,$D32,Timesheet!$A$5:$A$3004,"&gt;="&amp;Settings!$B$8,Timesheet!$A$5:$A$3004,"&lt;="&amp;Settings!$B$9))</f>
        <v/>
      </c>
      <c r="J32" s="23" t="str">
        <f aca="false">IF($D32="","",G32-H32-I32)</f>
        <v/>
      </c>
      <c r="K32" s="27" t="str">
        <f aca="false">IF(OR($D32="",N(G32)=0),"",J32/G32)</f>
        <v/>
      </c>
    </row>
    <row r="33" customFormat="false" ht="15" hidden="false" customHeight="false" outlineLevel="0" collapsed="false">
      <c r="D33" s="24" t="str">
        <f aca="false">IF(Clients!A34="","",Clients!A34)</f>
        <v/>
      </c>
      <c r="E33" s="24" t="str">
        <f aca="false">IF($D33="","",Clients!B34)</f>
        <v/>
      </c>
      <c r="F33" s="25" t="str">
        <f aca="false">IF($D33="","",COUNTIFS(Timesheet!$B$5:$B$3004,$D33,Timesheet!$A$5:$A$3004,"&gt;="&amp;Settings!$B$8,Timesheet!$A$5:$A$3004,"&lt;="&amp;Settings!$B$9))</f>
        <v/>
      </c>
      <c r="G33" s="26" t="str">
        <f aca="false">IF($D33="","",SUMIFS(Timesheet!$O$5:$O$3004,Timesheet!$B$5:$B$3004,$D33,Timesheet!$A$5:$A$3004,"&gt;="&amp;Settings!$B$8,Timesheet!$A$5:$A$3004,"&lt;="&amp;Settings!$B$9))</f>
        <v/>
      </c>
      <c r="H33" s="26" t="str">
        <f aca="false">IF($D33="","",SUMIFS(Timesheet!$R$5:$R$3004,Timesheet!$B$5:$B$3004,$D33,Timesheet!$A$5:$A$3004,"&gt;="&amp;Settings!$B$8,Timesheet!$A$5:$A$3004,"&lt;="&amp;Settings!$B$9))</f>
        <v/>
      </c>
      <c r="I33" s="26" t="str">
        <f aca="false">IF($D33="","",SUMIFS(Timesheet!$S$5:$S$3004,Timesheet!$B$5:$B$3004,$D33,Timesheet!$A$5:$A$3004,"&gt;="&amp;Settings!$B$8,Timesheet!$A$5:$A$3004,"&lt;="&amp;Settings!$B$9))</f>
        <v/>
      </c>
      <c r="J33" s="23" t="str">
        <f aca="false">IF($D33="","",G33-H33-I33)</f>
        <v/>
      </c>
      <c r="K33" s="27" t="str">
        <f aca="false">IF(OR($D33="",N(G33)=0),"",J33/G33)</f>
        <v/>
      </c>
    </row>
  </sheetData>
  <conditionalFormatting sqref="B18:B19">
    <cfRule type="expression" priority="2" aboveAverage="0" equalAverage="0" bottom="0" percent="0" rank="0" text="" dxfId="0">
      <formula>B18&gt;0</formula>
    </cfRule>
  </conditionalFormatting>
  <hyperlinks>
    <hyperlink ref="D1" r:id="rId1" location="'HOME'!A1" display="« HO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L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4"/>
    <col collapsed="false" customWidth="true" hidden="false" outlineLevel="0" max="4" min="4" style="0" width="16"/>
    <col collapsed="false" customWidth="true" hidden="false" outlineLevel="0" max="6" min="6" style="0" width="16"/>
    <col collapsed="false" customWidth="true" hidden="false" outlineLevel="0" max="8" min="8" style="0" width="16"/>
    <col collapsed="false" customWidth="true" hidden="false" outlineLevel="0" max="10" min="10" style="0" width="16"/>
    <col collapsed="false" customWidth="true" hidden="false" outlineLevel="0" max="12" min="12" style="0" width="16"/>
  </cols>
  <sheetData>
    <row r="1" customFormat="false" ht="17.35" hidden="false" customHeight="false" outlineLevel="0" collapsed="false">
      <c r="A1" s="14" t="s">
        <v>18</v>
      </c>
      <c r="D1" s="15" t="s">
        <v>38</v>
      </c>
    </row>
    <row r="2" customFormat="false" ht="15" hidden="false" customHeight="false" outlineLevel="0" collapsed="false">
      <c r="A2" s="13" t="s">
        <v>117</v>
      </c>
    </row>
    <row r="4" customFormat="false" ht="15" hidden="false" customHeight="false" outlineLevel="0" collapsed="false">
      <c r="A4" s="22" t="s">
        <v>118</v>
      </c>
      <c r="B4" s="31" t="s">
        <v>119</v>
      </c>
      <c r="D4" s="32" t="s">
        <v>120</v>
      </c>
      <c r="F4" s="32" t="s">
        <v>121</v>
      </c>
      <c r="H4" s="32" t="s">
        <v>122</v>
      </c>
      <c r="J4" s="32" t="s">
        <v>123</v>
      </c>
      <c r="L4" s="32" t="s">
        <v>124</v>
      </c>
    </row>
    <row r="5" customFormat="false" ht="15" hidden="false" customHeight="false" outlineLevel="0" collapsed="false">
      <c r="A5" s="22" t="s">
        <v>125</v>
      </c>
      <c r="B5" s="31" t="s">
        <v>126</v>
      </c>
      <c r="D5" s="33" t="s">
        <v>127</v>
      </c>
      <c r="F5" s="33" t="s">
        <v>128</v>
      </c>
      <c r="H5" s="33" t="s">
        <v>129</v>
      </c>
      <c r="J5" s="33" t="s">
        <v>130</v>
      </c>
      <c r="L5" s="33" t="s">
        <v>131</v>
      </c>
    </row>
    <row r="6" customFormat="false" ht="15" hidden="false" customHeight="false" outlineLevel="0" collapsed="false">
      <c r="A6" s="22" t="s">
        <v>132</v>
      </c>
      <c r="B6" s="31" t="s">
        <v>133</v>
      </c>
      <c r="D6" s="33" t="s">
        <v>134</v>
      </c>
      <c r="F6" s="33" t="s">
        <v>135</v>
      </c>
      <c r="H6" s="33" t="s">
        <v>136</v>
      </c>
      <c r="J6" s="33" t="s">
        <v>137</v>
      </c>
      <c r="L6" s="33" t="s">
        <v>138</v>
      </c>
    </row>
    <row r="7" customFormat="false" ht="15" hidden="false" customHeight="false" outlineLevel="0" collapsed="false">
      <c r="A7" s="22" t="s">
        <v>139</v>
      </c>
      <c r="B7" s="31" t="s">
        <v>140</v>
      </c>
      <c r="D7" s="33" t="s">
        <v>141</v>
      </c>
      <c r="J7" s="33" t="s">
        <v>142</v>
      </c>
    </row>
    <row r="8" customFormat="false" ht="15" hidden="false" customHeight="false" outlineLevel="0" collapsed="false">
      <c r="A8" s="22" t="s">
        <v>143</v>
      </c>
      <c r="B8" s="34" t="n">
        <v>46296</v>
      </c>
      <c r="D8" s="33" t="s">
        <v>144</v>
      </c>
      <c r="J8" s="33" t="s">
        <v>145</v>
      </c>
    </row>
    <row r="9" customFormat="false" ht="15" hidden="false" customHeight="false" outlineLevel="0" collapsed="false">
      <c r="A9" s="22" t="s">
        <v>146</v>
      </c>
      <c r="B9" s="35" t="n">
        <f aca="false">EOMONTH(B8,0)</f>
        <v>46326</v>
      </c>
      <c r="D9" s="33" t="s">
        <v>147</v>
      </c>
    </row>
    <row r="10" customFormat="false" ht="15" hidden="false" customHeight="false" outlineLevel="0" collapsed="false">
      <c r="A10" s="22" t="s">
        <v>148</v>
      </c>
      <c r="B10" s="31" t="n">
        <v>30</v>
      </c>
      <c r="D10" s="33" t="s">
        <v>149</v>
      </c>
    </row>
    <row r="11" customFormat="false" ht="15" hidden="false" customHeight="false" outlineLevel="0" collapsed="false">
      <c r="A11" s="22" t="s">
        <v>150</v>
      </c>
      <c r="B11" s="31" t="n">
        <v>26</v>
      </c>
      <c r="D11" s="33" t="s">
        <v>151</v>
      </c>
    </row>
    <row r="12" customFormat="false" ht="15" hidden="false" customHeight="false" outlineLevel="0" collapsed="false">
      <c r="A12" s="22" t="s">
        <v>152</v>
      </c>
      <c r="B12" s="31" t="n">
        <v>8</v>
      </c>
      <c r="D12" s="33" t="s">
        <v>153</v>
      </c>
    </row>
    <row r="13" customFormat="false" ht="15" hidden="false" customHeight="false" outlineLevel="0" collapsed="false">
      <c r="A13" s="22" t="s">
        <v>154</v>
      </c>
      <c r="B13" s="36" t="n">
        <v>1.25</v>
      </c>
      <c r="D13" s="33" t="s">
        <v>155</v>
      </c>
    </row>
    <row r="14" customFormat="false" ht="15" hidden="false" customHeight="false" outlineLevel="0" collapsed="false">
      <c r="A14" s="22" t="s">
        <v>156</v>
      </c>
      <c r="B14" s="37" t="n">
        <v>0.05</v>
      </c>
    </row>
    <row r="15" customFormat="false" ht="15" hidden="false" customHeight="false" outlineLevel="0" collapsed="false">
      <c r="A15" s="22" t="s">
        <v>157</v>
      </c>
      <c r="B15" s="31" t="n">
        <v>30</v>
      </c>
    </row>
    <row r="17" customFormat="false" ht="15" hidden="false" customHeight="false" outlineLevel="0" collapsed="false">
      <c r="A17" s="13" t="s">
        <v>158</v>
      </c>
    </row>
  </sheetData>
  <hyperlinks>
    <hyperlink ref="D1" r:id="rId1" location="'HOME'!A1" display="« HO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5" min="4" style="0" width="14"/>
    <col collapsed="false" customWidth="true" hidden="false" outlineLevel="0" max="6" min="6" style="0" width="20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4" t="s">
        <v>159</v>
      </c>
      <c r="C1" s="15" t="s">
        <v>38</v>
      </c>
    </row>
    <row r="2" customFormat="false" ht="15" hidden="false" customHeight="false" outlineLevel="0" collapsed="false">
      <c r="A2" s="13" t="s">
        <v>160</v>
      </c>
    </row>
    <row r="4" customFormat="false" ht="31.5" hidden="false" customHeight="true" outlineLevel="0" collapsed="false">
      <c r="A4" s="38" t="s">
        <v>94</v>
      </c>
      <c r="B4" s="38" t="s">
        <v>95</v>
      </c>
      <c r="C4" s="38" t="s">
        <v>161</v>
      </c>
      <c r="D4" s="38" t="s">
        <v>162</v>
      </c>
      <c r="E4" s="38" t="s">
        <v>163</v>
      </c>
      <c r="F4" s="38" t="s">
        <v>164</v>
      </c>
      <c r="G4" s="38" t="s">
        <v>165</v>
      </c>
    </row>
    <row r="5" customFormat="false" ht="15" hidden="false" customHeight="false" outlineLevel="0" collapsed="false">
      <c r="A5" s="33" t="s">
        <v>166</v>
      </c>
      <c r="B5" s="33" t="s">
        <v>167</v>
      </c>
      <c r="C5" s="33" t="s">
        <v>168</v>
      </c>
      <c r="D5" s="33" t="s">
        <v>169</v>
      </c>
      <c r="E5" s="33" t="n">
        <v>30</v>
      </c>
      <c r="F5" s="33" t="s">
        <v>170</v>
      </c>
      <c r="G5" s="33" t="s">
        <v>171</v>
      </c>
    </row>
    <row r="6" customFormat="false" ht="15" hidden="false" customHeight="false" outlineLevel="0" collapsed="false">
      <c r="A6" s="33" t="s">
        <v>172</v>
      </c>
      <c r="B6" s="33" t="s">
        <v>173</v>
      </c>
      <c r="C6" s="33" t="s">
        <v>174</v>
      </c>
      <c r="D6" s="33" t="s">
        <v>175</v>
      </c>
      <c r="E6" s="33" t="n">
        <v>45</v>
      </c>
      <c r="F6" s="33" t="s">
        <v>176</v>
      </c>
      <c r="G6" s="33" t="s">
        <v>177</v>
      </c>
    </row>
    <row r="7" customFormat="false" ht="15" hidden="false" customHeight="false" outlineLevel="0" collapsed="false">
      <c r="A7" s="33" t="s">
        <v>178</v>
      </c>
      <c r="B7" s="33" t="s">
        <v>179</v>
      </c>
      <c r="C7" s="33" t="s">
        <v>180</v>
      </c>
      <c r="D7" s="33" t="s">
        <v>181</v>
      </c>
      <c r="E7" s="33" t="n">
        <v>30</v>
      </c>
      <c r="F7" s="33" t="s">
        <v>182</v>
      </c>
      <c r="G7" s="33" t="s">
        <v>183</v>
      </c>
    </row>
    <row r="8" customFormat="false" ht="15" hidden="false" customHeight="false" outlineLevel="0" collapsed="false">
      <c r="A8" s="33" t="s">
        <v>184</v>
      </c>
      <c r="B8" s="33" t="s">
        <v>185</v>
      </c>
      <c r="C8" s="33" t="s">
        <v>186</v>
      </c>
      <c r="D8" s="33" t="s">
        <v>169</v>
      </c>
      <c r="E8" s="33" t="n">
        <v>60</v>
      </c>
      <c r="F8" s="33" t="s">
        <v>187</v>
      </c>
      <c r="G8" s="33" t="s">
        <v>188</v>
      </c>
    </row>
  </sheetData>
  <hyperlinks>
    <hyperlink ref="C1" r:id="rId1" location="'HOME'!A1" display="« HO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28"/>
  </cols>
  <sheetData>
    <row r="1" customFormat="false" ht="17.35" hidden="false" customHeight="false" outlineLevel="0" collapsed="false">
      <c r="A1" s="14" t="s">
        <v>189</v>
      </c>
      <c r="D1" s="15" t="s">
        <v>38</v>
      </c>
    </row>
    <row r="2" customFormat="false" ht="15" hidden="false" customHeight="false" outlineLevel="0" collapsed="false">
      <c r="A2" s="13" t="s">
        <v>190</v>
      </c>
    </row>
    <row r="4" customFormat="false" ht="31.5" hidden="false" customHeight="true" outlineLevel="0" collapsed="false">
      <c r="A4" s="38" t="s">
        <v>191</v>
      </c>
      <c r="B4" s="38" t="s">
        <v>192</v>
      </c>
      <c r="C4" s="38" t="s">
        <v>161</v>
      </c>
      <c r="D4" s="38" t="s">
        <v>163</v>
      </c>
      <c r="E4" s="38" t="s">
        <v>164</v>
      </c>
      <c r="F4" s="38" t="s">
        <v>193</v>
      </c>
    </row>
    <row r="5" customFormat="false" ht="15" hidden="false" customHeight="false" outlineLevel="0" collapsed="false">
      <c r="A5" s="33" t="s">
        <v>194</v>
      </c>
      <c r="B5" s="33" t="s">
        <v>195</v>
      </c>
      <c r="C5" s="33" t="s">
        <v>196</v>
      </c>
      <c r="D5" s="33" t="n">
        <v>30</v>
      </c>
      <c r="E5" s="33" t="s">
        <v>197</v>
      </c>
      <c r="F5" s="33" t="s">
        <v>198</v>
      </c>
    </row>
    <row r="6" customFormat="false" ht="15" hidden="false" customHeight="false" outlineLevel="0" collapsed="false">
      <c r="A6" s="33" t="s">
        <v>199</v>
      </c>
      <c r="B6" s="33" t="s">
        <v>200</v>
      </c>
      <c r="C6" s="33" t="s">
        <v>201</v>
      </c>
      <c r="D6" s="33" t="n">
        <v>45</v>
      </c>
      <c r="E6" s="33" t="s">
        <v>202</v>
      </c>
      <c r="F6" s="33" t="s">
        <v>203</v>
      </c>
    </row>
    <row r="7" customFormat="false" ht="15" hidden="false" customHeight="false" outlineLevel="0" collapsed="false">
      <c r="A7" s="33" t="s">
        <v>204</v>
      </c>
      <c r="B7" s="33" t="s">
        <v>205</v>
      </c>
      <c r="C7" s="33" t="s">
        <v>206</v>
      </c>
      <c r="D7" s="33" t="n">
        <v>30</v>
      </c>
      <c r="E7" s="33" t="s">
        <v>207</v>
      </c>
      <c r="F7" s="33" t="s">
        <v>208</v>
      </c>
    </row>
  </sheetData>
  <hyperlinks>
    <hyperlink ref="D1" r:id="rId1" location="'HOME'!A1" display="« HO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5" min="4" style="0" width="14"/>
  </cols>
  <sheetData>
    <row r="1" customFormat="false" ht="17.35" hidden="false" customHeight="false" outlineLevel="0" collapsed="false">
      <c r="A1" s="14" t="s">
        <v>209</v>
      </c>
      <c r="C1" s="15" t="s">
        <v>38</v>
      </c>
    </row>
    <row r="2" customFormat="false" ht="15" hidden="false" customHeight="false" outlineLevel="0" collapsed="false">
      <c r="A2" s="13" t="s">
        <v>210</v>
      </c>
    </row>
    <row r="4" customFormat="false" ht="31.5" hidden="false" customHeight="true" outlineLevel="0" collapsed="false">
      <c r="A4" s="38" t="s">
        <v>211</v>
      </c>
      <c r="B4" s="38" t="s">
        <v>94</v>
      </c>
      <c r="C4" s="38" t="s">
        <v>212</v>
      </c>
      <c r="D4" s="38" t="s">
        <v>213</v>
      </c>
      <c r="E4" s="38" t="s">
        <v>214</v>
      </c>
    </row>
    <row r="5" customFormat="false" ht="15" hidden="false" customHeight="false" outlineLevel="0" collapsed="false">
      <c r="A5" s="24" t="str">
        <f aca="false">IF(B5="","",B5&amp;"|"&amp;C5)</f>
        <v>C001|Helper</v>
      </c>
      <c r="B5" s="33" t="s">
        <v>166</v>
      </c>
      <c r="C5" s="33" t="s">
        <v>127</v>
      </c>
      <c r="D5" s="39" t="n">
        <v>16</v>
      </c>
      <c r="E5" s="39" t="n">
        <v>20</v>
      </c>
    </row>
    <row r="6" customFormat="false" ht="15" hidden="false" customHeight="false" outlineLevel="0" collapsed="false">
      <c r="A6" s="24" t="str">
        <f aca="false">IF(B6="","",B6&amp;"|"&amp;C6)</f>
        <v>C001|Mason</v>
      </c>
      <c r="B6" s="33" t="s">
        <v>166</v>
      </c>
      <c r="C6" s="33" t="s">
        <v>134</v>
      </c>
      <c r="D6" s="39" t="n">
        <v>22</v>
      </c>
      <c r="E6" s="39" t="n">
        <v>27.5</v>
      </c>
    </row>
    <row r="7" customFormat="false" ht="15" hidden="false" customHeight="false" outlineLevel="0" collapsed="false">
      <c r="A7" s="24" t="str">
        <f aca="false">IF(B7="","",B7&amp;"|"&amp;C7)</f>
        <v>C001|Carpenter</v>
      </c>
      <c r="B7" s="33" t="s">
        <v>166</v>
      </c>
      <c r="C7" s="33" t="s">
        <v>141</v>
      </c>
      <c r="D7" s="39" t="n">
        <v>22</v>
      </c>
      <c r="E7" s="39" t="n">
        <v>27.5</v>
      </c>
    </row>
    <row r="8" customFormat="false" ht="15" hidden="false" customHeight="false" outlineLevel="0" collapsed="false">
      <c r="A8" s="24" t="str">
        <f aca="false">IF(B8="","",B8&amp;"|"&amp;C8)</f>
        <v>C001|Electrician</v>
      </c>
      <c r="B8" s="33" t="s">
        <v>166</v>
      </c>
      <c r="C8" s="33" t="s">
        <v>144</v>
      </c>
      <c r="D8" s="39" t="n">
        <v>26</v>
      </c>
      <c r="E8" s="39" t="n">
        <v>32.5</v>
      </c>
    </row>
    <row r="9" customFormat="false" ht="15" hidden="false" customHeight="false" outlineLevel="0" collapsed="false">
      <c r="A9" s="24" t="str">
        <f aca="false">IF(B9="","",B9&amp;"|"&amp;C9)</f>
        <v>C001|Plumber</v>
      </c>
      <c r="B9" s="33" t="s">
        <v>166</v>
      </c>
      <c r="C9" s="33" t="s">
        <v>147</v>
      </c>
      <c r="D9" s="39" t="n">
        <v>25</v>
      </c>
      <c r="E9" s="39" t="n">
        <v>31.25</v>
      </c>
    </row>
    <row r="10" customFormat="false" ht="15" hidden="false" customHeight="false" outlineLevel="0" collapsed="false">
      <c r="A10" s="24" t="str">
        <f aca="false">IF(B10="","",B10&amp;"|"&amp;C10)</f>
        <v>C001|Steel Fixer</v>
      </c>
      <c r="B10" s="33" t="s">
        <v>166</v>
      </c>
      <c r="C10" s="33" t="s">
        <v>149</v>
      </c>
      <c r="D10" s="39" t="n">
        <v>23</v>
      </c>
      <c r="E10" s="39" t="n">
        <v>28.75</v>
      </c>
    </row>
    <row r="11" customFormat="false" ht="15" hidden="false" customHeight="false" outlineLevel="0" collapsed="false">
      <c r="A11" s="24" t="str">
        <f aca="false">IF(B11="","",B11&amp;"|"&amp;C11)</f>
        <v>C001|Driver</v>
      </c>
      <c r="B11" s="33" t="s">
        <v>166</v>
      </c>
      <c r="C11" s="33" t="s">
        <v>151</v>
      </c>
      <c r="D11" s="39" t="n">
        <v>24</v>
      </c>
      <c r="E11" s="39" t="n">
        <v>30</v>
      </c>
    </row>
    <row r="12" customFormat="false" ht="15" hidden="false" customHeight="false" outlineLevel="0" collapsed="false">
      <c r="A12" s="24" t="str">
        <f aca="false">IF(B12="","",B12&amp;"|"&amp;C12)</f>
        <v>C001|Cleaner</v>
      </c>
      <c r="B12" s="33" t="s">
        <v>166</v>
      </c>
      <c r="C12" s="33" t="s">
        <v>153</v>
      </c>
      <c r="D12" s="39" t="n">
        <v>15</v>
      </c>
      <c r="E12" s="39" t="n">
        <v>18.75</v>
      </c>
    </row>
    <row r="13" customFormat="false" ht="15" hidden="false" customHeight="false" outlineLevel="0" collapsed="false">
      <c r="A13" s="24" t="str">
        <f aca="false">IF(B13="","",B13&amp;"|"&amp;C13)</f>
        <v>C001|Security Guard</v>
      </c>
      <c r="B13" s="33" t="s">
        <v>166</v>
      </c>
      <c r="C13" s="33" t="s">
        <v>155</v>
      </c>
      <c r="D13" s="39" t="n">
        <v>17</v>
      </c>
      <c r="E13" s="39" t="n">
        <v>21.25</v>
      </c>
    </row>
    <row r="14" customFormat="false" ht="15" hidden="false" customHeight="false" outlineLevel="0" collapsed="false">
      <c r="A14" s="24" t="str">
        <f aca="false">IF(B14="","",B14&amp;"|"&amp;C14)</f>
        <v>C002|Helper</v>
      </c>
      <c r="B14" s="33" t="s">
        <v>172</v>
      </c>
      <c r="C14" s="33" t="s">
        <v>127</v>
      </c>
      <c r="D14" s="39" t="n">
        <v>17.6</v>
      </c>
      <c r="E14" s="39" t="n">
        <v>22</v>
      </c>
    </row>
    <row r="15" customFormat="false" ht="15" hidden="false" customHeight="false" outlineLevel="0" collapsed="false">
      <c r="A15" s="24" t="str">
        <f aca="false">IF(B15="","",B15&amp;"|"&amp;C15)</f>
        <v>C002|Mason</v>
      </c>
      <c r="B15" s="33" t="s">
        <v>172</v>
      </c>
      <c r="C15" s="33" t="s">
        <v>134</v>
      </c>
      <c r="D15" s="39" t="n">
        <v>24.2</v>
      </c>
      <c r="E15" s="39" t="n">
        <v>30.25</v>
      </c>
    </row>
    <row r="16" customFormat="false" ht="15" hidden="false" customHeight="false" outlineLevel="0" collapsed="false">
      <c r="A16" s="24" t="str">
        <f aca="false">IF(B16="","",B16&amp;"|"&amp;C16)</f>
        <v>C002|Carpenter</v>
      </c>
      <c r="B16" s="33" t="s">
        <v>172</v>
      </c>
      <c r="C16" s="33" t="s">
        <v>141</v>
      </c>
      <c r="D16" s="39" t="n">
        <v>24.2</v>
      </c>
      <c r="E16" s="39" t="n">
        <v>30.25</v>
      </c>
    </row>
    <row r="17" customFormat="false" ht="15" hidden="false" customHeight="false" outlineLevel="0" collapsed="false">
      <c r="A17" s="24" t="str">
        <f aca="false">IF(B17="","",B17&amp;"|"&amp;C17)</f>
        <v>C002|Electrician</v>
      </c>
      <c r="B17" s="33" t="s">
        <v>172</v>
      </c>
      <c r="C17" s="33" t="s">
        <v>144</v>
      </c>
      <c r="D17" s="39" t="n">
        <v>28.6</v>
      </c>
      <c r="E17" s="39" t="n">
        <v>35.75</v>
      </c>
    </row>
    <row r="18" customFormat="false" ht="15" hidden="false" customHeight="false" outlineLevel="0" collapsed="false">
      <c r="A18" s="24" t="str">
        <f aca="false">IF(B18="","",B18&amp;"|"&amp;C18)</f>
        <v>C002|Plumber</v>
      </c>
      <c r="B18" s="33" t="s">
        <v>172</v>
      </c>
      <c r="C18" s="33" t="s">
        <v>147</v>
      </c>
      <c r="D18" s="39" t="n">
        <v>27.5</v>
      </c>
      <c r="E18" s="39" t="n">
        <v>34.38</v>
      </c>
    </row>
    <row r="19" customFormat="false" ht="15" hidden="false" customHeight="false" outlineLevel="0" collapsed="false">
      <c r="A19" s="24" t="str">
        <f aca="false">IF(B19="","",B19&amp;"|"&amp;C19)</f>
        <v>C002|Steel Fixer</v>
      </c>
      <c r="B19" s="33" t="s">
        <v>172</v>
      </c>
      <c r="C19" s="33" t="s">
        <v>149</v>
      </c>
      <c r="D19" s="39" t="n">
        <v>25.3</v>
      </c>
      <c r="E19" s="39" t="n">
        <v>31.62</v>
      </c>
    </row>
    <row r="20" customFormat="false" ht="15" hidden="false" customHeight="false" outlineLevel="0" collapsed="false">
      <c r="A20" s="24" t="str">
        <f aca="false">IF(B20="","",B20&amp;"|"&amp;C20)</f>
        <v>C002|Driver</v>
      </c>
      <c r="B20" s="33" t="s">
        <v>172</v>
      </c>
      <c r="C20" s="33" t="s">
        <v>151</v>
      </c>
      <c r="D20" s="39" t="n">
        <v>26.4</v>
      </c>
      <c r="E20" s="39" t="n">
        <v>33</v>
      </c>
    </row>
    <row r="21" customFormat="false" ht="15" hidden="false" customHeight="false" outlineLevel="0" collapsed="false">
      <c r="A21" s="24" t="str">
        <f aca="false">IF(B21="","",B21&amp;"|"&amp;C21)</f>
        <v>C002|Cleaner</v>
      </c>
      <c r="B21" s="33" t="s">
        <v>172</v>
      </c>
      <c r="C21" s="33" t="s">
        <v>153</v>
      </c>
      <c r="D21" s="39" t="n">
        <v>16.5</v>
      </c>
      <c r="E21" s="39" t="n">
        <v>20.62</v>
      </c>
    </row>
    <row r="22" customFormat="false" ht="15" hidden="false" customHeight="false" outlineLevel="0" collapsed="false">
      <c r="A22" s="24" t="str">
        <f aca="false">IF(B22="","",B22&amp;"|"&amp;C22)</f>
        <v>C002|Security Guard</v>
      </c>
      <c r="B22" s="33" t="s">
        <v>172</v>
      </c>
      <c r="C22" s="33" t="s">
        <v>155</v>
      </c>
      <c r="D22" s="39" t="n">
        <v>18.7</v>
      </c>
      <c r="E22" s="39" t="n">
        <v>23.38</v>
      </c>
    </row>
    <row r="23" customFormat="false" ht="15" hidden="false" customHeight="false" outlineLevel="0" collapsed="false">
      <c r="A23" s="24" t="str">
        <f aca="false">IF(B23="","",B23&amp;"|"&amp;C23)</f>
        <v>C003|Helper</v>
      </c>
      <c r="B23" s="33" t="s">
        <v>178</v>
      </c>
      <c r="C23" s="33" t="s">
        <v>127</v>
      </c>
      <c r="D23" s="39" t="n">
        <v>15.2</v>
      </c>
      <c r="E23" s="39" t="n">
        <v>19</v>
      </c>
    </row>
    <row r="24" customFormat="false" ht="15" hidden="false" customHeight="false" outlineLevel="0" collapsed="false">
      <c r="A24" s="24" t="str">
        <f aca="false">IF(B24="","",B24&amp;"|"&amp;C24)</f>
        <v>C003|Mason</v>
      </c>
      <c r="B24" s="33" t="s">
        <v>178</v>
      </c>
      <c r="C24" s="33" t="s">
        <v>134</v>
      </c>
      <c r="D24" s="39" t="n">
        <v>20.9</v>
      </c>
      <c r="E24" s="39" t="n">
        <v>26.12</v>
      </c>
    </row>
    <row r="25" customFormat="false" ht="15" hidden="false" customHeight="false" outlineLevel="0" collapsed="false">
      <c r="A25" s="24" t="str">
        <f aca="false">IF(B25="","",B25&amp;"|"&amp;C25)</f>
        <v>C003|Carpenter</v>
      </c>
      <c r="B25" s="33" t="s">
        <v>178</v>
      </c>
      <c r="C25" s="33" t="s">
        <v>141</v>
      </c>
      <c r="D25" s="39" t="n">
        <v>20.9</v>
      </c>
      <c r="E25" s="39" t="n">
        <v>26.12</v>
      </c>
    </row>
    <row r="26" customFormat="false" ht="15" hidden="false" customHeight="false" outlineLevel="0" collapsed="false">
      <c r="A26" s="24" t="str">
        <f aca="false">IF(B26="","",B26&amp;"|"&amp;C26)</f>
        <v>C003|Electrician</v>
      </c>
      <c r="B26" s="33" t="s">
        <v>178</v>
      </c>
      <c r="C26" s="33" t="s">
        <v>144</v>
      </c>
      <c r="D26" s="39" t="n">
        <v>24.7</v>
      </c>
      <c r="E26" s="39" t="n">
        <v>30.88</v>
      </c>
    </row>
    <row r="27" customFormat="false" ht="15" hidden="false" customHeight="false" outlineLevel="0" collapsed="false">
      <c r="A27" s="24" t="str">
        <f aca="false">IF(B27="","",B27&amp;"|"&amp;C27)</f>
        <v>C003|Plumber</v>
      </c>
      <c r="B27" s="33" t="s">
        <v>178</v>
      </c>
      <c r="C27" s="33" t="s">
        <v>147</v>
      </c>
      <c r="D27" s="39" t="n">
        <v>23.75</v>
      </c>
      <c r="E27" s="39" t="n">
        <v>29.69</v>
      </c>
    </row>
    <row r="28" customFormat="false" ht="15" hidden="false" customHeight="false" outlineLevel="0" collapsed="false">
      <c r="A28" s="24" t="str">
        <f aca="false">IF(B28="","",B28&amp;"|"&amp;C28)</f>
        <v>C003|Steel Fixer</v>
      </c>
      <c r="B28" s="33" t="s">
        <v>178</v>
      </c>
      <c r="C28" s="33" t="s">
        <v>149</v>
      </c>
      <c r="D28" s="39" t="n">
        <v>21.85</v>
      </c>
      <c r="E28" s="39" t="n">
        <v>27.31</v>
      </c>
    </row>
    <row r="29" customFormat="false" ht="15" hidden="false" customHeight="false" outlineLevel="0" collapsed="false">
      <c r="A29" s="24" t="str">
        <f aca="false">IF(B29="","",B29&amp;"|"&amp;C29)</f>
        <v>C003|Driver</v>
      </c>
      <c r="B29" s="33" t="s">
        <v>178</v>
      </c>
      <c r="C29" s="33" t="s">
        <v>151</v>
      </c>
      <c r="D29" s="39" t="n">
        <v>22.8</v>
      </c>
      <c r="E29" s="39" t="n">
        <v>28.5</v>
      </c>
    </row>
    <row r="30" customFormat="false" ht="15" hidden="false" customHeight="false" outlineLevel="0" collapsed="false">
      <c r="A30" s="24" t="str">
        <f aca="false">IF(B30="","",B30&amp;"|"&amp;C30)</f>
        <v>C003|Cleaner</v>
      </c>
      <c r="B30" s="33" t="s">
        <v>178</v>
      </c>
      <c r="C30" s="33" t="s">
        <v>153</v>
      </c>
      <c r="D30" s="39" t="n">
        <v>14.25</v>
      </c>
      <c r="E30" s="39" t="n">
        <v>17.81</v>
      </c>
    </row>
    <row r="31" customFormat="false" ht="15" hidden="false" customHeight="false" outlineLevel="0" collapsed="false">
      <c r="A31" s="24" t="str">
        <f aca="false">IF(B31="","",B31&amp;"|"&amp;C31)</f>
        <v>C003|Security Guard</v>
      </c>
      <c r="B31" s="33" t="s">
        <v>178</v>
      </c>
      <c r="C31" s="33" t="s">
        <v>155</v>
      </c>
      <c r="D31" s="39" t="n">
        <v>16.15</v>
      </c>
      <c r="E31" s="39" t="n">
        <v>20.19</v>
      </c>
    </row>
    <row r="32" customFormat="false" ht="15" hidden="false" customHeight="false" outlineLevel="0" collapsed="false">
      <c r="A32" s="24" t="str">
        <f aca="false">IF(B32="","",B32&amp;"|"&amp;C32)</f>
        <v>C004|Helper</v>
      </c>
      <c r="B32" s="33" t="s">
        <v>184</v>
      </c>
      <c r="C32" s="33" t="s">
        <v>127</v>
      </c>
      <c r="D32" s="39" t="n">
        <v>16.8</v>
      </c>
      <c r="E32" s="39" t="n">
        <v>21</v>
      </c>
    </row>
    <row r="33" customFormat="false" ht="15" hidden="false" customHeight="false" outlineLevel="0" collapsed="false">
      <c r="A33" s="24" t="str">
        <f aca="false">IF(B33="","",B33&amp;"|"&amp;C33)</f>
        <v>C004|Mason</v>
      </c>
      <c r="B33" s="33" t="s">
        <v>184</v>
      </c>
      <c r="C33" s="33" t="s">
        <v>134</v>
      </c>
      <c r="D33" s="39" t="n">
        <v>23.1</v>
      </c>
      <c r="E33" s="39" t="n">
        <v>28.88</v>
      </c>
    </row>
    <row r="34" customFormat="false" ht="15" hidden="false" customHeight="false" outlineLevel="0" collapsed="false">
      <c r="A34" s="24" t="str">
        <f aca="false">IF(B34="","",B34&amp;"|"&amp;C34)</f>
        <v>C004|Carpenter</v>
      </c>
      <c r="B34" s="33" t="s">
        <v>184</v>
      </c>
      <c r="C34" s="33" t="s">
        <v>141</v>
      </c>
      <c r="D34" s="39" t="n">
        <v>23.1</v>
      </c>
      <c r="E34" s="39" t="n">
        <v>28.88</v>
      </c>
    </row>
    <row r="35" customFormat="false" ht="15" hidden="false" customHeight="false" outlineLevel="0" collapsed="false">
      <c r="A35" s="24" t="str">
        <f aca="false">IF(B35="","",B35&amp;"|"&amp;C35)</f>
        <v>C004|Electrician</v>
      </c>
      <c r="B35" s="33" t="s">
        <v>184</v>
      </c>
      <c r="C35" s="33" t="s">
        <v>144</v>
      </c>
      <c r="D35" s="39" t="n">
        <v>27.3</v>
      </c>
      <c r="E35" s="39" t="n">
        <v>34.12</v>
      </c>
    </row>
    <row r="36" customFormat="false" ht="15" hidden="false" customHeight="false" outlineLevel="0" collapsed="false">
      <c r="A36" s="24" t="str">
        <f aca="false">IF(B36="","",B36&amp;"|"&amp;C36)</f>
        <v>C004|Plumber</v>
      </c>
      <c r="B36" s="33" t="s">
        <v>184</v>
      </c>
      <c r="C36" s="33" t="s">
        <v>147</v>
      </c>
      <c r="D36" s="39" t="n">
        <v>26.25</v>
      </c>
      <c r="E36" s="39" t="n">
        <v>32.81</v>
      </c>
    </row>
    <row r="37" customFormat="false" ht="15" hidden="false" customHeight="false" outlineLevel="0" collapsed="false">
      <c r="A37" s="24" t="str">
        <f aca="false">IF(B37="","",B37&amp;"|"&amp;C37)</f>
        <v>C004|Steel Fixer</v>
      </c>
      <c r="B37" s="33" t="s">
        <v>184</v>
      </c>
      <c r="C37" s="33" t="s">
        <v>149</v>
      </c>
      <c r="D37" s="39" t="n">
        <v>24.15</v>
      </c>
      <c r="E37" s="39" t="n">
        <v>30.19</v>
      </c>
    </row>
    <row r="38" customFormat="false" ht="15" hidden="false" customHeight="false" outlineLevel="0" collapsed="false">
      <c r="A38" s="24" t="str">
        <f aca="false">IF(B38="","",B38&amp;"|"&amp;C38)</f>
        <v>C004|Driver</v>
      </c>
      <c r="B38" s="33" t="s">
        <v>184</v>
      </c>
      <c r="C38" s="33" t="s">
        <v>151</v>
      </c>
      <c r="D38" s="39" t="n">
        <v>25.2</v>
      </c>
      <c r="E38" s="39" t="n">
        <v>31.5</v>
      </c>
    </row>
    <row r="39" customFormat="false" ht="15" hidden="false" customHeight="false" outlineLevel="0" collapsed="false">
      <c r="A39" s="24" t="str">
        <f aca="false">IF(B39="","",B39&amp;"|"&amp;C39)</f>
        <v>C004|Cleaner</v>
      </c>
      <c r="B39" s="33" t="s">
        <v>184</v>
      </c>
      <c r="C39" s="33" t="s">
        <v>153</v>
      </c>
      <c r="D39" s="39" t="n">
        <v>15.75</v>
      </c>
      <c r="E39" s="39" t="n">
        <v>19.69</v>
      </c>
    </row>
    <row r="40" customFormat="false" ht="15" hidden="false" customHeight="false" outlineLevel="0" collapsed="false">
      <c r="A40" s="24" t="str">
        <f aca="false">IF(B40="","",B40&amp;"|"&amp;C40)</f>
        <v>C004|Security Guard</v>
      </c>
      <c r="B40" s="33" t="s">
        <v>184</v>
      </c>
      <c r="C40" s="33" t="s">
        <v>155</v>
      </c>
      <c r="D40" s="39" t="n">
        <v>17.85</v>
      </c>
      <c r="E40" s="39" t="n">
        <v>22.31</v>
      </c>
    </row>
    <row r="41" customFormat="false" ht="15" hidden="false" customHeight="false" outlineLevel="0" collapsed="false">
      <c r="A41" s="24" t="str">
        <f aca="false">IF(B41="","",B41&amp;"|"&amp;C41)</f>
        <v/>
      </c>
    </row>
    <row r="42" customFormat="false" ht="15" hidden="false" customHeight="false" outlineLevel="0" collapsed="false">
      <c r="A42" s="24" t="str">
        <f aca="false">IF(B42="","",B42&amp;"|"&amp;C42)</f>
        <v/>
      </c>
    </row>
    <row r="43" customFormat="false" ht="15" hidden="false" customHeight="false" outlineLevel="0" collapsed="false">
      <c r="A43" s="24" t="str">
        <f aca="false">IF(B43="","",B43&amp;"|"&amp;C43)</f>
        <v/>
      </c>
    </row>
    <row r="44" customFormat="false" ht="15" hidden="false" customHeight="false" outlineLevel="0" collapsed="false">
      <c r="A44" s="24" t="str">
        <f aca="false">IF(B44="","",B44&amp;"|"&amp;C44)</f>
        <v/>
      </c>
    </row>
    <row r="45" customFormat="false" ht="15" hidden="false" customHeight="false" outlineLevel="0" collapsed="false">
      <c r="A45" s="24" t="str">
        <f aca="false">IF(B45="","",B45&amp;"|"&amp;C45)</f>
        <v/>
      </c>
    </row>
    <row r="46" customFormat="false" ht="15" hidden="false" customHeight="false" outlineLevel="0" collapsed="false">
      <c r="A46" s="24" t="str">
        <f aca="false">IF(B46="","",B46&amp;"|"&amp;C46)</f>
        <v/>
      </c>
    </row>
    <row r="47" customFormat="false" ht="15" hidden="false" customHeight="false" outlineLevel="0" collapsed="false">
      <c r="A47" s="24" t="str">
        <f aca="false">IF(B47="","",B47&amp;"|"&amp;C47)</f>
        <v/>
      </c>
    </row>
    <row r="48" customFormat="false" ht="15" hidden="false" customHeight="false" outlineLevel="0" collapsed="false">
      <c r="A48" s="24" t="str">
        <f aca="false">IF(B48="","",B48&amp;"|"&amp;C48)</f>
        <v/>
      </c>
    </row>
    <row r="49" customFormat="false" ht="15" hidden="false" customHeight="false" outlineLevel="0" collapsed="false">
      <c r="A49" s="24" t="str">
        <f aca="false">IF(B49="","",B49&amp;"|"&amp;C49)</f>
        <v/>
      </c>
    </row>
    <row r="50" customFormat="false" ht="15" hidden="false" customHeight="false" outlineLevel="0" collapsed="false">
      <c r="A50" s="24" t="str">
        <f aca="false">IF(B50="","",B50&amp;"|"&amp;C50)</f>
        <v/>
      </c>
    </row>
    <row r="51" customFormat="false" ht="15" hidden="false" customHeight="false" outlineLevel="0" collapsed="false">
      <c r="A51" s="24" t="str">
        <f aca="false">IF(B51="","",B51&amp;"|"&amp;C51)</f>
        <v/>
      </c>
    </row>
    <row r="52" customFormat="false" ht="15" hidden="false" customHeight="false" outlineLevel="0" collapsed="false">
      <c r="A52" s="24" t="str">
        <f aca="false">IF(B52="","",B52&amp;"|"&amp;C52)</f>
        <v/>
      </c>
    </row>
    <row r="53" customFormat="false" ht="15" hidden="false" customHeight="false" outlineLevel="0" collapsed="false">
      <c r="A53" s="24" t="str">
        <f aca="false">IF(B53="","",B53&amp;"|"&amp;C53)</f>
        <v/>
      </c>
    </row>
    <row r="54" customFormat="false" ht="15" hidden="false" customHeight="false" outlineLevel="0" collapsed="false">
      <c r="A54" s="24" t="str">
        <f aca="false">IF(B54="","",B54&amp;"|"&amp;C54)</f>
        <v/>
      </c>
    </row>
    <row r="55" customFormat="false" ht="15" hidden="false" customHeight="false" outlineLevel="0" collapsed="false">
      <c r="A55" s="24" t="str">
        <f aca="false">IF(B55="","",B55&amp;"|"&amp;C55)</f>
        <v/>
      </c>
    </row>
    <row r="56" customFormat="false" ht="15" hidden="false" customHeight="false" outlineLevel="0" collapsed="false">
      <c r="A56" s="24" t="str">
        <f aca="false">IF(B56="","",B56&amp;"|"&amp;C56)</f>
        <v/>
      </c>
    </row>
    <row r="57" customFormat="false" ht="15" hidden="false" customHeight="false" outlineLevel="0" collapsed="false">
      <c r="A57" s="24" t="str">
        <f aca="false">IF(B57="","",B57&amp;"|"&amp;C57)</f>
        <v/>
      </c>
    </row>
    <row r="58" customFormat="false" ht="15" hidden="false" customHeight="false" outlineLevel="0" collapsed="false">
      <c r="A58" s="24" t="str">
        <f aca="false">IF(B58="","",B58&amp;"|"&amp;C58)</f>
        <v/>
      </c>
    </row>
    <row r="59" customFormat="false" ht="15" hidden="false" customHeight="false" outlineLevel="0" collapsed="false">
      <c r="A59" s="24" t="str">
        <f aca="false">IF(B59="","",B59&amp;"|"&amp;C59)</f>
        <v/>
      </c>
    </row>
    <row r="60" customFormat="false" ht="15" hidden="false" customHeight="false" outlineLevel="0" collapsed="false">
      <c r="A60" s="24" t="str">
        <f aca="false">IF(B60="","",B60&amp;"|"&amp;C60)</f>
        <v/>
      </c>
    </row>
    <row r="61" customFormat="false" ht="15" hidden="false" customHeight="false" outlineLevel="0" collapsed="false">
      <c r="A61" s="24" t="str">
        <f aca="false">IF(B61="","",B61&amp;"|"&amp;C61)</f>
        <v/>
      </c>
    </row>
    <row r="62" customFormat="false" ht="15" hidden="false" customHeight="false" outlineLevel="0" collapsed="false">
      <c r="A62" s="24" t="str">
        <f aca="false">IF(B62="","",B62&amp;"|"&amp;C62)</f>
        <v/>
      </c>
    </row>
    <row r="63" customFormat="false" ht="15" hidden="false" customHeight="false" outlineLevel="0" collapsed="false">
      <c r="A63" s="24" t="str">
        <f aca="false">IF(B63="","",B63&amp;"|"&amp;C63)</f>
        <v/>
      </c>
    </row>
    <row r="64" customFormat="false" ht="15" hidden="false" customHeight="false" outlineLevel="0" collapsed="false">
      <c r="A64" s="24" t="str">
        <f aca="false">IF(B64="","",B64&amp;"|"&amp;C64)</f>
        <v/>
      </c>
    </row>
    <row r="65" customFormat="false" ht="15" hidden="false" customHeight="false" outlineLevel="0" collapsed="false">
      <c r="A65" s="24" t="str">
        <f aca="false">IF(B65="","",B65&amp;"|"&amp;C65)</f>
        <v/>
      </c>
    </row>
    <row r="66" customFormat="false" ht="15" hidden="false" customHeight="false" outlineLevel="0" collapsed="false">
      <c r="A66" s="24" t="str">
        <f aca="false">IF(B66="","",B66&amp;"|"&amp;C66)</f>
        <v/>
      </c>
    </row>
    <row r="67" customFormat="false" ht="15" hidden="false" customHeight="false" outlineLevel="0" collapsed="false">
      <c r="A67" s="24" t="str">
        <f aca="false">IF(B67="","",B67&amp;"|"&amp;C67)</f>
        <v/>
      </c>
    </row>
    <row r="68" customFormat="false" ht="15" hidden="false" customHeight="false" outlineLevel="0" collapsed="false">
      <c r="A68" s="24" t="str">
        <f aca="false">IF(B68="","",B68&amp;"|"&amp;C68)</f>
        <v/>
      </c>
    </row>
    <row r="69" customFormat="false" ht="15" hidden="false" customHeight="false" outlineLevel="0" collapsed="false">
      <c r="A69" s="24" t="str">
        <f aca="false">IF(B69="","",B69&amp;"|"&amp;C69)</f>
        <v/>
      </c>
    </row>
    <row r="70" customFormat="false" ht="15" hidden="false" customHeight="false" outlineLevel="0" collapsed="false">
      <c r="A70" s="24" t="str">
        <f aca="false">IF(B70="","",B70&amp;"|"&amp;C70)</f>
        <v/>
      </c>
    </row>
    <row r="71" customFormat="false" ht="15" hidden="false" customHeight="false" outlineLevel="0" collapsed="false">
      <c r="A71" s="24" t="str">
        <f aca="false">IF(B71="","",B71&amp;"|"&amp;C71)</f>
        <v/>
      </c>
    </row>
    <row r="72" customFormat="false" ht="15" hidden="false" customHeight="false" outlineLevel="0" collapsed="false">
      <c r="A72" s="24" t="str">
        <f aca="false">IF(B72="","",B72&amp;"|"&amp;C72)</f>
        <v/>
      </c>
    </row>
    <row r="73" customFormat="false" ht="15" hidden="false" customHeight="false" outlineLevel="0" collapsed="false">
      <c r="A73" s="24" t="str">
        <f aca="false">IF(B73="","",B73&amp;"|"&amp;C73)</f>
        <v/>
      </c>
    </row>
    <row r="74" customFormat="false" ht="15" hidden="false" customHeight="false" outlineLevel="0" collapsed="false">
      <c r="A74" s="24" t="str">
        <f aca="false">IF(B74="","",B74&amp;"|"&amp;C74)</f>
        <v/>
      </c>
    </row>
    <row r="75" customFormat="false" ht="15" hidden="false" customHeight="false" outlineLevel="0" collapsed="false">
      <c r="A75" s="24" t="str">
        <f aca="false">IF(B75="","",B75&amp;"|"&amp;C75)</f>
        <v/>
      </c>
    </row>
    <row r="76" customFormat="false" ht="15" hidden="false" customHeight="false" outlineLevel="0" collapsed="false">
      <c r="A76" s="24" t="str">
        <f aca="false">IF(B76="","",B76&amp;"|"&amp;C76)</f>
        <v/>
      </c>
    </row>
    <row r="77" customFormat="false" ht="15" hidden="false" customHeight="false" outlineLevel="0" collapsed="false">
      <c r="A77" s="24" t="str">
        <f aca="false">IF(B77="","",B77&amp;"|"&amp;C77)</f>
        <v/>
      </c>
    </row>
    <row r="78" customFormat="false" ht="15" hidden="false" customHeight="false" outlineLevel="0" collapsed="false">
      <c r="A78" s="24" t="str">
        <f aca="false">IF(B78="","",B78&amp;"|"&amp;C78)</f>
        <v/>
      </c>
    </row>
    <row r="79" customFormat="false" ht="15" hidden="false" customHeight="false" outlineLevel="0" collapsed="false">
      <c r="A79" s="24" t="str">
        <f aca="false">IF(B79="","",B79&amp;"|"&amp;C79)</f>
        <v/>
      </c>
    </row>
    <row r="80" customFormat="false" ht="15" hidden="false" customHeight="false" outlineLevel="0" collapsed="false">
      <c r="A80" s="24" t="str">
        <f aca="false">IF(B80="","",B80&amp;"|"&amp;C80)</f>
        <v/>
      </c>
    </row>
    <row r="81" customFormat="false" ht="15" hidden="false" customHeight="false" outlineLevel="0" collapsed="false">
      <c r="A81" s="24" t="str">
        <f aca="false">IF(B81="","",B81&amp;"|"&amp;C81)</f>
        <v/>
      </c>
    </row>
    <row r="82" customFormat="false" ht="15" hidden="false" customHeight="false" outlineLevel="0" collapsed="false">
      <c r="A82" s="24" t="str">
        <f aca="false">IF(B82="","",B82&amp;"|"&amp;C82)</f>
        <v/>
      </c>
    </row>
    <row r="83" customFormat="false" ht="15" hidden="false" customHeight="false" outlineLevel="0" collapsed="false">
      <c r="A83" s="24" t="str">
        <f aca="false">IF(B83="","",B83&amp;"|"&amp;C83)</f>
        <v/>
      </c>
    </row>
    <row r="84" customFormat="false" ht="15" hidden="false" customHeight="false" outlineLevel="0" collapsed="false">
      <c r="A84" s="24" t="str">
        <f aca="false">IF(B84="","",B84&amp;"|"&amp;C84)</f>
        <v/>
      </c>
    </row>
    <row r="85" customFormat="false" ht="15" hidden="false" customHeight="false" outlineLevel="0" collapsed="false">
      <c r="A85" s="24" t="str">
        <f aca="false">IF(B85="","",B85&amp;"|"&amp;C85)</f>
        <v/>
      </c>
    </row>
    <row r="86" customFormat="false" ht="15" hidden="false" customHeight="false" outlineLevel="0" collapsed="false">
      <c r="A86" s="24" t="str">
        <f aca="false">IF(B86="","",B86&amp;"|"&amp;C86)</f>
        <v/>
      </c>
    </row>
    <row r="87" customFormat="false" ht="15" hidden="false" customHeight="false" outlineLevel="0" collapsed="false">
      <c r="A87" s="24" t="str">
        <f aca="false">IF(B87="","",B87&amp;"|"&amp;C87)</f>
        <v/>
      </c>
    </row>
    <row r="88" customFormat="false" ht="15" hidden="false" customHeight="false" outlineLevel="0" collapsed="false">
      <c r="A88" s="24" t="str">
        <f aca="false">IF(B88="","",B88&amp;"|"&amp;C88)</f>
        <v/>
      </c>
    </row>
    <row r="89" customFormat="false" ht="15" hidden="false" customHeight="false" outlineLevel="0" collapsed="false">
      <c r="A89" s="24" t="str">
        <f aca="false">IF(B89="","",B89&amp;"|"&amp;C89)</f>
        <v/>
      </c>
    </row>
    <row r="90" customFormat="false" ht="15" hidden="false" customHeight="false" outlineLevel="0" collapsed="false">
      <c r="A90" s="24" t="str">
        <f aca="false">IF(B90="","",B90&amp;"|"&amp;C90)</f>
        <v/>
      </c>
    </row>
    <row r="91" customFormat="false" ht="15" hidden="false" customHeight="false" outlineLevel="0" collapsed="false">
      <c r="A91" s="24" t="str">
        <f aca="false">IF(B91="","",B91&amp;"|"&amp;C91)</f>
        <v/>
      </c>
    </row>
    <row r="92" customFormat="false" ht="15" hidden="false" customHeight="false" outlineLevel="0" collapsed="false">
      <c r="A92" s="24" t="str">
        <f aca="false">IF(B92="","",B92&amp;"|"&amp;C92)</f>
        <v/>
      </c>
    </row>
    <row r="93" customFormat="false" ht="15" hidden="false" customHeight="false" outlineLevel="0" collapsed="false">
      <c r="A93" s="24" t="str">
        <f aca="false">IF(B93="","",B93&amp;"|"&amp;C93)</f>
        <v/>
      </c>
    </row>
    <row r="94" customFormat="false" ht="15" hidden="false" customHeight="false" outlineLevel="0" collapsed="false">
      <c r="A94" s="24" t="str">
        <f aca="false">IF(B94="","",B94&amp;"|"&amp;C94)</f>
        <v/>
      </c>
    </row>
    <row r="95" customFormat="false" ht="15" hidden="false" customHeight="false" outlineLevel="0" collapsed="false">
      <c r="A95" s="24" t="str">
        <f aca="false">IF(B95="","",B95&amp;"|"&amp;C95)</f>
        <v/>
      </c>
    </row>
    <row r="96" customFormat="false" ht="15" hidden="false" customHeight="false" outlineLevel="0" collapsed="false">
      <c r="A96" s="24" t="str">
        <f aca="false">IF(B96="","",B96&amp;"|"&amp;C96)</f>
        <v/>
      </c>
    </row>
    <row r="97" customFormat="false" ht="15" hidden="false" customHeight="false" outlineLevel="0" collapsed="false">
      <c r="A97" s="24" t="str">
        <f aca="false">IF(B97="","",B97&amp;"|"&amp;C97)</f>
        <v/>
      </c>
    </row>
    <row r="98" customFormat="false" ht="15" hidden="false" customHeight="false" outlineLevel="0" collapsed="false">
      <c r="A98" s="24" t="str">
        <f aca="false">IF(B98="","",B98&amp;"|"&amp;C98)</f>
        <v/>
      </c>
    </row>
    <row r="99" customFormat="false" ht="15" hidden="false" customHeight="false" outlineLevel="0" collapsed="false">
      <c r="A99" s="24" t="str">
        <f aca="false">IF(B99="","",B99&amp;"|"&amp;C99)</f>
        <v/>
      </c>
    </row>
    <row r="100" customFormat="false" ht="15" hidden="false" customHeight="false" outlineLevel="0" collapsed="false">
      <c r="A100" s="24" t="str">
        <f aca="false">IF(B100="","",B100&amp;"|"&amp;C100)</f>
        <v/>
      </c>
    </row>
  </sheetData>
  <dataValidations count="1">
    <dataValidation allowBlank="true" error="Please pick a value from the list" errorStyle="stop" operator="between" showDropDown="false" showErrorMessage="false" showInputMessage="false" sqref="C5:C101" type="list">
      <formula1>Settings!$D$5:$D$13</formula1>
      <formula2>0</formula2>
    </dataValidation>
  </dataValidations>
  <hyperlinks>
    <hyperlink ref="C1" r:id="rId1" location="'HOME'!A1" display="« HO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5" min="4" style="0" width="14"/>
  </cols>
  <sheetData>
    <row r="1" customFormat="false" ht="17.35" hidden="false" customHeight="false" outlineLevel="0" collapsed="false">
      <c r="A1" s="14" t="s">
        <v>215</v>
      </c>
      <c r="C1" s="15" t="s">
        <v>38</v>
      </c>
    </row>
    <row r="2" customFormat="false" ht="15" hidden="false" customHeight="false" outlineLevel="0" collapsed="false">
      <c r="A2" s="13" t="s">
        <v>216</v>
      </c>
    </row>
    <row r="4" customFormat="false" ht="31.5" hidden="false" customHeight="true" outlineLevel="0" collapsed="false">
      <c r="A4" s="38" t="s">
        <v>211</v>
      </c>
      <c r="B4" s="38" t="s">
        <v>191</v>
      </c>
      <c r="C4" s="38" t="s">
        <v>212</v>
      </c>
      <c r="D4" s="38" t="s">
        <v>213</v>
      </c>
      <c r="E4" s="38" t="s">
        <v>214</v>
      </c>
    </row>
    <row r="5" customFormat="false" ht="15" hidden="false" customHeight="false" outlineLevel="0" collapsed="false">
      <c r="A5" s="24" t="str">
        <f aca="false">IF(B5="","",B5&amp;"|"&amp;C5)</f>
        <v>S001|Helper</v>
      </c>
      <c r="B5" s="33" t="s">
        <v>194</v>
      </c>
      <c r="C5" s="33" t="s">
        <v>127</v>
      </c>
      <c r="D5" s="39" t="n">
        <v>11.52</v>
      </c>
      <c r="E5" s="39" t="n">
        <v>14.4</v>
      </c>
    </row>
    <row r="6" customFormat="false" ht="15" hidden="false" customHeight="false" outlineLevel="0" collapsed="false">
      <c r="A6" s="24" t="str">
        <f aca="false">IF(B6="","",B6&amp;"|"&amp;C6)</f>
        <v>S001|Mason</v>
      </c>
      <c r="B6" s="33" t="s">
        <v>194</v>
      </c>
      <c r="C6" s="33" t="s">
        <v>134</v>
      </c>
      <c r="D6" s="39" t="n">
        <v>15.84</v>
      </c>
      <c r="E6" s="39" t="n">
        <v>19.8</v>
      </c>
    </row>
    <row r="7" customFormat="false" ht="15" hidden="false" customHeight="false" outlineLevel="0" collapsed="false">
      <c r="A7" s="24" t="str">
        <f aca="false">IF(B7="","",B7&amp;"|"&amp;C7)</f>
        <v>S001|Carpenter</v>
      </c>
      <c r="B7" s="33" t="s">
        <v>194</v>
      </c>
      <c r="C7" s="33" t="s">
        <v>141</v>
      </c>
      <c r="D7" s="39" t="n">
        <v>15.84</v>
      </c>
      <c r="E7" s="39" t="n">
        <v>19.8</v>
      </c>
    </row>
    <row r="8" customFormat="false" ht="15" hidden="false" customHeight="false" outlineLevel="0" collapsed="false">
      <c r="A8" s="24" t="str">
        <f aca="false">IF(B8="","",B8&amp;"|"&amp;C8)</f>
        <v>S001|Electrician</v>
      </c>
      <c r="B8" s="33" t="s">
        <v>194</v>
      </c>
      <c r="C8" s="33" t="s">
        <v>144</v>
      </c>
      <c r="D8" s="39" t="n">
        <v>18.72</v>
      </c>
      <c r="E8" s="39" t="n">
        <v>23.4</v>
      </c>
    </row>
    <row r="9" customFormat="false" ht="15" hidden="false" customHeight="false" outlineLevel="0" collapsed="false">
      <c r="A9" s="24" t="str">
        <f aca="false">IF(B9="","",B9&amp;"|"&amp;C9)</f>
        <v>S001|Plumber</v>
      </c>
      <c r="B9" s="33" t="s">
        <v>194</v>
      </c>
      <c r="C9" s="33" t="s">
        <v>147</v>
      </c>
      <c r="D9" s="39" t="n">
        <v>18</v>
      </c>
      <c r="E9" s="39" t="n">
        <v>22.5</v>
      </c>
    </row>
    <row r="10" customFormat="false" ht="15" hidden="false" customHeight="false" outlineLevel="0" collapsed="false">
      <c r="A10" s="24" t="str">
        <f aca="false">IF(B10="","",B10&amp;"|"&amp;C10)</f>
        <v>S001|Steel Fixer</v>
      </c>
      <c r="B10" s="33" t="s">
        <v>194</v>
      </c>
      <c r="C10" s="33" t="s">
        <v>149</v>
      </c>
      <c r="D10" s="39" t="n">
        <v>16.56</v>
      </c>
      <c r="E10" s="39" t="n">
        <v>20.7</v>
      </c>
    </row>
    <row r="11" customFormat="false" ht="15" hidden="false" customHeight="false" outlineLevel="0" collapsed="false">
      <c r="A11" s="24" t="str">
        <f aca="false">IF(B11="","",B11&amp;"|"&amp;C11)</f>
        <v>S001|Driver</v>
      </c>
      <c r="B11" s="33" t="s">
        <v>194</v>
      </c>
      <c r="C11" s="33" t="s">
        <v>151</v>
      </c>
      <c r="D11" s="39" t="n">
        <v>17.28</v>
      </c>
      <c r="E11" s="39" t="n">
        <v>21.6</v>
      </c>
    </row>
    <row r="12" customFormat="false" ht="15" hidden="false" customHeight="false" outlineLevel="0" collapsed="false">
      <c r="A12" s="24" t="str">
        <f aca="false">IF(B12="","",B12&amp;"|"&amp;C12)</f>
        <v>S001|Cleaner</v>
      </c>
      <c r="B12" s="33" t="s">
        <v>194</v>
      </c>
      <c r="C12" s="33" t="s">
        <v>153</v>
      </c>
      <c r="D12" s="39" t="n">
        <v>10.8</v>
      </c>
      <c r="E12" s="39" t="n">
        <v>13.5</v>
      </c>
    </row>
    <row r="13" customFormat="false" ht="15" hidden="false" customHeight="false" outlineLevel="0" collapsed="false">
      <c r="A13" s="24" t="str">
        <f aca="false">IF(B13="","",B13&amp;"|"&amp;C13)</f>
        <v>S001|Security Guard</v>
      </c>
      <c r="B13" s="33" t="s">
        <v>194</v>
      </c>
      <c r="C13" s="33" t="s">
        <v>155</v>
      </c>
      <c r="D13" s="39" t="n">
        <v>12.24</v>
      </c>
      <c r="E13" s="39" t="n">
        <v>15.3</v>
      </c>
    </row>
    <row r="14" customFormat="false" ht="15" hidden="false" customHeight="false" outlineLevel="0" collapsed="false">
      <c r="A14" s="24" t="str">
        <f aca="false">IF(B14="","",B14&amp;"|"&amp;C14)</f>
        <v>S002|Helper</v>
      </c>
      <c r="B14" s="33" t="s">
        <v>199</v>
      </c>
      <c r="C14" s="33" t="s">
        <v>127</v>
      </c>
      <c r="D14" s="39" t="n">
        <v>12</v>
      </c>
      <c r="E14" s="39" t="n">
        <v>15</v>
      </c>
    </row>
    <row r="15" customFormat="false" ht="15" hidden="false" customHeight="false" outlineLevel="0" collapsed="false">
      <c r="A15" s="24" t="str">
        <f aca="false">IF(B15="","",B15&amp;"|"&amp;C15)</f>
        <v>S002|Mason</v>
      </c>
      <c r="B15" s="33" t="s">
        <v>199</v>
      </c>
      <c r="C15" s="33" t="s">
        <v>134</v>
      </c>
      <c r="D15" s="39" t="n">
        <v>16.5</v>
      </c>
      <c r="E15" s="39" t="n">
        <v>20.62</v>
      </c>
    </row>
    <row r="16" customFormat="false" ht="15" hidden="false" customHeight="false" outlineLevel="0" collapsed="false">
      <c r="A16" s="24" t="str">
        <f aca="false">IF(B16="","",B16&amp;"|"&amp;C16)</f>
        <v>S002|Carpenter</v>
      </c>
      <c r="B16" s="33" t="s">
        <v>199</v>
      </c>
      <c r="C16" s="33" t="s">
        <v>141</v>
      </c>
      <c r="D16" s="39" t="n">
        <v>16.5</v>
      </c>
      <c r="E16" s="39" t="n">
        <v>20.62</v>
      </c>
    </row>
    <row r="17" customFormat="false" ht="15" hidden="false" customHeight="false" outlineLevel="0" collapsed="false">
      <c r="A17" s="24" t="str">
        <f aca="false">IF(B17="","",B17&amp;"|"&amp;C17)</f>
        <v>S002|Electrician</v>
      </c>
      <c r="B17" s="33" t="s">
        <v>199</v>
      </c>
      <c r="C17" s="33" t="s">
        <v>144</v>
      </c>
      <c r="D17" s="39" t="n">
        <v>19.5</v>
      </c>
      <c r="E17" s="39" t="n">
        <v>24.38</v>
      </c>
    </row>
    <row r="18" customFormat="false" ht="15" hidden="false" customHeight="false" outlineLevel="0" collapsed="false">
      <c r="A18" s="24" t="str">
        <f aca="false">IF(B18="","",B18&amp;"|"&amp;C18)</f>
        <v>S002|Plumber</v>
      </c>
      <c r="B18" s="33" t="s">
        <v>199</v>
      </c>
      <c r="C18" s="33" t="s">
        <v>147</v>
      </c>
      <c r="D18" s="39" t="n">
        <v>18.75</v>
      </c>
      <c r="E18" s="39" t="n">
        <v>23.44</v>
      </c>
    </row>
    <row r="19" customFormat="false" ht="15" hidden="false" customHeight="false" outlineLevel="0" collapsed="false">
      <c r="A19" s="24" t="str">
        <f aca="false">IF(B19="","",B19&amp;"|"&amp;C19)</f>
        <v>S002|Steel Fixer</v>
      </c>
      <c r="B19" s="33" t="s">
        <v>199</v>
      </c>
      <c r="C19" s="33" t="s">
        <v>149</v>
      </c>
      <c r="D19" s="39" t="n">
        <v>17.25</v>
      </c>
      <c r="E19" s="39" t="n">
        <v>21.56</v>
      </c>
    </row>
    <row r="20" customFormat="false" ht="15" hidden="false" customHeight="false" outlineLevel="0" collapsed="false">
      <c r="A20" s="24" t="str">
        <f aca="false">IF(B20="","",B20&amp;"|"&amp;C20)</f>
        <v>S002|Driver</v>
      </c>
      <c r="B20" s="33" t="s">
        <v>199</v>
      </c>
      <c r="C20" s="33" t="s">
        <v>151</v>
      </c>
      <c r="D20" s="39" t="n">
        <v>18</v>
      </c>
      <c r="E20" s="39" t="n">
        <v>22.5</v>
      </c>
    </row>
    <row r="21" customFormat="false" ht="15" hidden="false" customHeight="false" outlineLevel="0" collapsed="false">
      <c r="A21" s="24" t="str">
        <f aca="false">IF(B21="","",B21&amp;"|"&amp;C21)</f>
        <v>S002|Cleaner</v>
      </c>
      <c r="B21" s="33" t="s">
        <v>199</v>
      </c>
      <c r="C21" s="33" t="s">
        <v>153</v>
      </c>
      <c r="D21" s="39" t="n">
        <v>11.25</v>
      </c>
      <c r="E21" s="39" t="n">
        <v>14.06</v>
      </c>
    </row>
    <row r="22" customFormat="false" ht="15" hidden="false" customHeight="false" outlineLevel="0" collapsed="false">
      <c r="A22" s="24" t="str">
        <f aca="false">IF(B22="","",B22&amp;"|"&amp;C22)</f>
        <v>S002|Security Guard</v>
      </c>
      <c r="B22" s="33" t="s">
        <v>199</v>
      </c>
      <c r="C22" s="33" t="s">
        <v>155</v>
      </c>
      <c r="D22" s="39" t="n">
        <v>12.75</v>
      </c>
      <c r="E22" s="39" t="n">
        <v>15.94</v>
      </c>
    </row>
    <row r="23" customFormat="false" ht="15" hidden="false" customHeight="false" outlineLevel="0" collapsed="false">
      <c r="A23" s="24" t="str">
        <f aca="false">IF(B23="","",B23&amp;"|"&amp;C23)</f>
        <v>S003|Helper</v>
      </c>
      <c r="B23" s="33" t="s">
        <v>204</v>
      </c>
      <c r="C23" s="33" t="s">
        <v>127</v>
      </c>
      <c r="D23" s="39" t="n">
        <v>11.2</v>
      </c>
      <c r="E23" s="39" t="n">
        <v>14</v>
      </c>
    </row>
    <row r="24" customFormat="false" ht="15" hidden="false" customHeight="false" outlineLevel="0" collapsed="false">
      <c r="A24" s="24" t="str">
        <f aca="false">IF(B24="","",B24&amp;"|"&amp;C24)</f>
        <v>S003|Mason</v>
      </c>
      <c r="B24" s="33" t="s">
        <v>204</v>
      </c>
      <c r="C24" s="33" t="s">
        <v>134</v>
      </c>
      <c r="D24" s="39" t="n">
        <v>15.4</v>
      </c>
      <c r="E24" s="39" t="n">
        <v>19.25</v>
      </c>
    </row>
    <row r="25" customFormat="false" ht="15" hidden="false" customHeight="false" outlineLevel="0" collapsed="false">
      <c r="A25" s="24" t="str">
        <f aca="false">IF(B25="","",B25&amp;"|"&amp;C25)</f>
        <v>S003|Carpenter</v>
      </c>
      <c r="B25" s="33" t="s">
        <v>204</v>
      </c>
      <c r="C25" s="33" t="s">
        <v>141</v>
      </c>
      <c r="D25" s="39" t="n">
        <v>15.4</v>
      </c>
      <c r="E25" s="39" t="n">
        <v>19.25</v>
      </c>
    </row>
    <row r="26" customFormat="false" ht="15" hidden="false" customHeight="false" outlineLevel="0" collapsed="false">
      <c r="A26" s="24" t="str">
        <f aca="false">IF(B26="","",B26&amp;"|"&amp;C26)</f>
        <v>S003|Electrician</v>
      </c>
      <c r="B26" s="33" t="s">
        <v>204</v>
      </c>
      <c r="C26" s="33" t="s">
        <v>144</v>
      </c>
      <c r="D26" s="39" t="n">
        <v>18.2</v>
      </c>
      <c r="E26" s="39" t="n">
        <v>22.75</v>
      </c>
    </row>
    <row r="27" customFormat="false" ht="15" hidden="false" customHeight="false" outlineLevel="0" collapsed="false">
      <c r="A27" s="24" t="str">
        <f aca="false">IF(B27="","",B27&amp;"|"&amp;C27)</f>
        <v>S003|Plumber</v>
      </c>
      <c r="B27" s="33" t="s">
        <v>204</v>
      </c>
      <c r="C27" s="33" t="s">
        <v>147</v>
      </c>
      <c r="D27" s="39" t="n">
        <v>17.5</v>
      </c>
      <c r="E27" s="39" t="n">
        <v>21.88</v>
      </c>
    </row>
    <row r="28" customFormat="false" ht="15" hidden="false" customHeight="false" outlineLevel="0" collapsed="false">
      <c r="A28" s="24" t="str">
        <f aca="false">IF(B28="","",B28&amp;"|"&amp;C28)</f>
        <v>S003|Steel Fixer</v>
      </c>
      <c r="B28" s="33" t="s">
        <v>204</v>
      </c>
      <c r="C28" s="33" t="s">
        <v>149</v>
      </c>
      <c r="D28" s="39" t="n">
        <v>16.1</v>
      </c>
      <c r="E28" s="39" t="n">
        <v>20.12</v>
      </c>
    </row>
    <row r="29" customFormat="false" ht="15" hidden="false" customHeight="false" outlineLevel="0" collapsed="false">
      <c r="A29" s="24" t="str">
        <f aca="false">IF(B29="","",B29&amp;"|"&amp;C29)</f>
        <v>S003|Driver</v>
      </c>
      <c r="B29" s="33" t="s">
        <v>204</v>
      </c>
      <c r="C29" s="33" t="s">
        <v>151</v>
      </c>
      <c r="D29" s="39" t="n">
        <v>16.8</v>
      </c>
      <c r="E29" s="39" t="n">
        <v>21</v>
      </c>
    </row>
    <row r="30" customFormat="false" ht="15" hidden="false" customHeight="false" outlineLevel="0" collapsed="false">
      <c r="A30" s="24" t="str">
        <f aca="false">IF(B30="","",B30&amp;"|"&amp;C30)</f>
        <v>S003|Cleaner</v>
      </c>
      <c r="B30" s="33" t="s">
        <v>204</v>
      </c>
      <c r="C30" s="33" t="s">
        <v>153</v>
      </c>
      <c r="D30" s="39" t="n">
        <v>10.5</v>
      </c>
      <c r="E30" s="39" t="n">
        <v>13.12</v>
      </c>
    </row>
    <row r="31" customFormat="false" ht="15" hidden="false" customHeight="false" outlineLevel="0" collapsed="false">
      <c r="A31" s="24" t="str">
        <f aca="false">IF(B31="","",B31&amp;"|"&amp;C31)</f>
        <v>S003|Security Guard</v>
      </c>
      <c r="B31" s="33" t="s">
        <v>204</v>
      </c>
      <c r="C31" s="33" t="s">
        <v>155</v>
      </c>
      <c r="D31" s="39" t="n">
        <v>11.9</v>
      </c>
      <c r="E31" s="39" t="n">
        <v>14.88</v>
      </c>
    </row>
    <row r="32" customFormat="false" ht="15" hidden="false" customHeight="false" outlineLevel="0" collapsed="false">
      <c r="A32" s="24" t="str">
        <f aca="false">IF(B32="","",B32&amp;"|"&amp;C32)</f>
        <v/>
      </c>
    </row>
    <row r="33" customFormat="false" ht="15" hidden="false" customHeight="false" outlineLevel="0" collapsed="false">
      <c r="A33" s="24" t="str">
        <f aca="false">IF(B33="","",B33&amp;"|"&amp;C33)</f>
        <v/>
      </c>
    </row>
    <row r="34" customFormat="false" ht="15" hidden="false" customHeight="false" outlineLevel="0" collapsed="false">
      <c r="A34" s="24" t="str">
        <f aca="false">IF(B34="","",B34&amp;"|"&amp;C34)</f>
        <v/>
      </c>
    </row>
    <row r="35" customFormat="false" ht="15" hidden="false" customHeight="false" outlineLevel="0" collapsed="false">
      <c r="A35" s="24" t="str">
        <f aca="false">IF(B35="","",B35&amp;"|"&amp;C35)</f>
        <v/>
      </c>
    </row>
    <row r="36" customFormat="false" ht="15" hidden="false" customHeight="false" outlineLevel="0" collapsed="false">
      <c r="A36" s="24" t="str">
        <f aca="false">IF(B36="","",B36&amp;"|"&amp;C36)</f>
        <v/>
      </c>
    </row>
    <row r="37" customFormat="false" ht="15" hidden="false" customHeight="false" outlineLevel="0" collapsed="false">
      <c r="A37" s="24" t="str">
        <f aca="false">IF(B37="","",B37&amp;"|"&amp;C37)</f>
        <v/>
      </c>
    </row>
    <row r="38" customFormat="false" ht="15" hidden="false" customHeight="false" outlineLevel="0" collapsed="false">
      <c r="A38" s="24" t="str">
        <f aca="false">IF(B38="","",B38&amp;"|"&amp;C38)</f>
        <v/>
      </c>
    </row>
    <row r="39" customFormat="false" ht="15" hidden="false" customHeight="false" outlineLevel="0" collapsed="false">
      <c r="A39" s="24" t="str">
        <f aca="false">IF(B39="","",B39&amp;"|"&amp;C39)</f>
        <v/>
      </c>
    </row>
    <row r="40" customFormat="false" ht="15" hidden="false" customHeight="false" outlineLevel="0" collapsed="false">
      <c r="A40" s="24" t="str">
        <f aca="false">IF(B40="","",B40&amp;"|"&amp;C40)</f>
        <v/>
      </c>
    </row>
    <row r="41" customFormat="false" ht="15" hidden="false" customHeight="false" outlineLevel="0" collapsed="false">
      <c r="A41" s="24" t="str">
        <f aca="false">IF(B41="","",B41&amp;"|"&amp;C41)</f>
        <v/>
      </c>
    </row>
    <row r="42" customFormat="false" ht="15" hidden="false" customHeight="false" outlineLevel="0" collapsed="false">
      <c r="A42" s="24" t="str">
        <f aca="false">IF(B42="","",B42&amp;"|"&amp;C42)</f>
        <v/>
      </c>
    </row>
    <row r="43" customFormat="false" ht="15" hidden="false" customHeight="false" outlineLevel="0" collapsed="false">
      <c r="A43" s="24" t="str">
        <f aca="false">IF(B43="","",B43&amp;"|"&amp;C43)</f>
        <v/>
      </c>
    </row>
    <row r="44" customFormat="false" ht="15" hidden="false" customHeight="false" outlineLevel="0" collapsed="false">
      <c r="A44" s="24" t="str">
        <f aca="false">IF(B44="","",B44&amp;"|"&amp;C44)</f>
        <v/>
      </c>
    </row>
    <row r="45" customFormat="false" ht="15" hidden="false" customHeight="false" outlineLevel="0" collapsed="false">
      <c r="A45" s="24" t="str">
        <f aca="false">IF(B45="","",B45&amp;"|"&amp;C45)</f>
        <v/>
      </c>
    </row>
    <row r="46" customFormat="false" ht="15" hidden="false" customHeight="false" outlineLevel="0" collapsed="false">
      <c r="A46" s="24" t="str">
        <f aca="false">IF(B46="","",B46&amp;"|"&amp;C46)</f>
        <v/>
      </c>
    </row>
    <row r="47" customFormat="false" ht="15" hidden="false" customHeight="false" outlineLevel="0" collapsed="false">
      <c r="A47" s="24" t="str">
        <f aca="false">IF(B47="","",B47&amp;"|"&amp;C47)</f>
        <v/>
      </c>
    </row>
    <row r="48" customFormat="false" ht="15" hidden="false" customHeight="false" outlineLevel="0" collapsed="false">
      <c r="A48" s="24" t="str">
        <f aca="false">IF(B48="","",B48&amp;"|"&amp;C48)</f>
        <v/>
      </c>
    </row>
    <row r="49" customFormat="false" ht="15" hidden="false" customHeight="false" outlineLevel="0" collapsed="false">
      <c r="A49" s="24" t="str">
        <f aca="false">IF(B49="","",B49&amp;"|"&amp;C49)</f>
        <v/>
      </c>
    </row>
    <row r="50" customFormat="false" ht="15" hidden="false" customHeight="false" outlineLevel="0" collapsed="false">
      <c r="A50" s="24" t="str">
        <f aca="false">IF(B50="","",B50&amp;"|"&amp;C50)</f>
        <v/>
      </c>
    </row>
    <row r="51" customFormat="false" ht="15" hidden="false" customHeight="false" outlineLevel="0" collapsed="false">
      <c r="A51" s="24" t="str">
        <f aca="false">IF(B51="","",B51&amp;"|"&amp;C51)</f>
        <v/>
      </c>
    </row>
    <row r="52" customFormat="false" ht="15" hidden="false" customHeight="false" outlineLevel="0" collapsed="false">
      <c r="A52" s="24" t="str">
        <f aca="false">IF(B52="","",B52&amp;"|"&amp;C52)</f>
        <v/>
      </c>
    </row>
    <row r="53" customFormat="false" ht="15" hidden="false" customHeight="false" outlineLevel="0" collapsed="false">
      <c r="A53" s="24" t="str">
        <f aca="false">IF(B53="","",B53&amp;"|"&amp;C53)</f>
        <v/>
      </c>
    </row>
    <row r="54" customFormat="false" ht="15" hidden="false" customHeight="false" outlineLevel="0" collapsed="false">
      <c r="A54" s="24" t="str">
        <f aca="false">IF(B54="","",B54&amp;"|"&amp;C54)</f>
        <v/>
      </c>
    </row>
    <row r="55" customFormat="false" ht="15" hidden="false" customHeight="false" outlineLevel="0" collapsed="false">
      <c r="A55" s="24" t="str">
        <f aca="false">IF(B55="","",B55&amp;"|"&amp;C55)</f>
        <v/>
      </c>
    </row>
    <row r="56" customFormat="false" ht="15" hidden="false" customHeight="false" outlineLevel="0" collapsed="false">
      <c r="A56" s="24" t="str">
        <f aca="false">IF(B56="","",B56&amp;"|"&amp;C56)</f>
        <v/>
      </c>
    </row>
    <row r="57" customFormat="false" ht="15" hidden="false" customHeight="false" outlineLevel="0" collapsed="false">
      <c r="A57" s="24" t="str">
        <f aca="false">IF(B57="","",B57&amp;"|"&amp;C57)</f>
        <v/>
      </c>
    </row>
    <row r="58" customFormat="false" ht="15" hidden="false" customHeight="false" outlineLevel="0" collapsed="false">
      <c r="A58" s="24" t="str">
        <f aca="false">IF(B58="","",B58&amp;"|"&amp;C58)</f>
        <v/>
      </c>
    </row>
    <row r="59" customFormat="false" ht="15" hidden="false" customHeight="false" outlineLevel="0" collapsed="false">
      <c r="A59" s="24" t="str">
        <f aca="false">IF(B59="","",B59&amp;"|"&amp;C59)</f>
        <v/>
      </c>
    </row>
    <row r="60" customFormat="false" ht="15" hidden="false" customHeight="false" outlineLevel="0" collapsed="false">
      <c r="A60" s="24" t="str">
        <f aca="false">IF(B60="","",B60&amp;"|"&amp;C60)</f>
        <v/>
      </c>
    </row>
    <row r="61" customFormat="false" ht="15" hidden="false" customHeight="false" outlineLevel="0" collapsed="false">
      <c r="A61" s="24" t="str">
        <f aca="false">IF(B61="","",B61&amp;"|"&amp;C61)</f>
        <v/>
      </c>
    </row>
    <row r="62" customFormat="false" ht="15" hidden="false" customHeight="false" outlineLevel="0" collapsed="false">
      <c r="A62" s="24" t="str">
        <f aca="false">IF(B62="","",B62&amp;"|"&amp;C62)</f>
        <v/>
      </c>
    </row>
    <row r="63" customFormat="false" ht="15" hidden="false" customHeight="false" outlineLevel="0" collapsed="false">
      <c r="A63" s="24" t="str">
        <f aca="false">IF(B63="","",B63&amp;"|"&amp;C63)</f>
        <v/>
      </c>
    </row>
    <row r="64" customFormat="false" ht="15" hidden="false" customHeight="false" outlineLevel="0" collapsed="false">
      <c r="A64" s="24" t="str">
        <f aca="false">IF(B64="","",B64&amp;"|"&amp;C64)</f>
        <v/>
      </c>
    </row>
    <row r="65" customFormat="false" ht="15" hidden="false" customHeight="false" outlineLevel="0" collapsed="false">
      <c r="A65" s="24" t="str">
        <f aca="false">IF(B65="","",B65&amp;"|"&amp;C65)</f>
        <v/>
      </c>
    </row>
    <row r="66" customFormat="false" ht="15" hidden="false" customHeight="false" outlineLevel="0" collapsed="false">
      <c r="A66" s="24" t="str">
        <f aca="false">IF(B66="","",B66&amp;"|"&amp;C66)</f>
        <v/>
      </c>
    </row>
    <row r="67" customFormat="false" ht="15" hidden="false" customHeight="false" outlineLevel="0" collapsed="false">
      <c r="A67" s="24" t="str">
        <f aca="false">IF(B67="","",B67&amp;"|"&amp;C67)</f>
        <v/>
      </c>
    </row>
    <row r="68" customFormat="false" ht="15" hidden="false" customHeight="false" outlineLevel="0" collapsed="false">
      <c r="A68" s="24" t="str">
        <f aca="false">IF(B68="","",B68&amp;"|"&amp;C68)</f>
        <v/>
      </c>
    </row>
    <row r="69" customFormat="false" ht="15" hidden="false" customHeight="false" outlineLevel="0" collapsed="false">
      <c r="A69" s="24" t="str">
        <f aca="false">IF(B69="","",B69&amp;"|"&amp;C69)</f>
        <v/>
      </c>
    </row>
    <row r="70" customFormat="false" ht="15" hidden="false" customHeight="false" outlineLevel="0" collapsed="false">
      <c r="A70" s="24" t="str">
        <f aca="false">IF(B70="","",B70&amp;"|"&amp;C70)</f>
        <v/>
      </c>
    </row>
    <row r="71" customFormat="false" ht="15" hidden="false" customHeight="false" outlineLevel="0" collapsed="false">
      <c r="A71" s="24" t="str">
        <f aca="false">IF(B71="","",B71&amp;"|"&amp;C71)</f>
        <v/>
      </c>
    </row>
    <row r="72" customFormat="false" ht="15" hidden="false" customHeight="false" outlineLevel="0" collapsed="false">
      <c r="A72" s="24" t="str">
        <f aca="false">IF(B72="","",B72&amp;"|"&amp;C72)</f>
        <v/>
      </c>
    </row>
    <row r="73" customFormat="false" ht="15" hidden="false" customHeight="false" outlineLevel="0" collapsed="false">
      <c r="A73" s="24" t="str">
        <f aca="false">IF(B73="","",B73&amp;"|"&amp;C73)</f>
        <v/>
      </c>
    </row>
    <row r="74" customFormat="false" ht="15" hidden="false" customHeight="false" outlineLevel="0" collapsed="false">
      <c r="A74" s="24" t="str">
        <f aca="false">IF(B74="","",B74&amp;"|"&amp;C74)</f>
        <v/>
      </c>
    </row>
    <row r="75" customFormat="false" ht="15" hidden="false" customHeight="false" outlineLevel="0" collapsed="false">
      <c r="A75" s="24" t="str">
        <f aca="false">IF(B75="","",B75&amp;"|"&amp;C75)</f>
        <v/>
      </c>
    </row>
    <row r="76" customFormat="false" ht="15" hidden="false" customHeight="false" outlineLevel="0" collapsed="false">
      <c r="A76" s="24" t="str">
        <f aca="false">IF(B76="","",B76&amp;"|"&amp;C76)</f>
        <v/>
      </c>
    </row>
    <row r="77" customFormat="false" ht="15" hidden="false" customHeight="false" outlineLevel="0" collapsed="false">
      <c r="A77" s="24" t="str">
        <f aca="false">IF(B77="","",B77&amp;"|"&amp;C77)</f>
        <v/>
      </c>
    </row>
    <row r="78" customFormat="false" ht="15" hidden="false" customHeight="false" outlineLevel="0" collapsed="false">
      <c r="A78" s="24" t="str">
        <f aca="false">IF(B78="","",B78&amp;"|"&amp;C78)</f>
        <v/>
      </c>
    </row>
    <row r="79" customFormat="false" ht="15" hidden="false" customHeight="false" outlineLevel="0" collapsed="false">
      <c r="A79" s="24" t="str">
        <f aca="false">IF(B79="","",B79&amp;"|"&amp;C79)</f>
        <v/>
      </c>
    </row>
    <row r="80" customFormat="false" ht="15" hidden="false" customHeight="false" outlineLevel="0" collapsed="false">
      <c r="A80" s="24" t="str">
        <f aca="false">IF(B80="","",B80&amp;"|"&amp;C80)</f>
        <v/>
      </c>
    </row>
    <row r="81" customFormat="false" ht="15" hidden="false" customHeight="false" outlineLevel="0" collapsed="false">
      <c r="A81" s="24" t="str">
        <f aca="false">IF(B81="","",B81&amp;"|"&amp;C81)</f>
        <v/>
      </c>
    </row>
    <row r="82" customFormat="false" ht="15" hidden="false" customHeight="false" outlineLevel="0" collapsed="false">
      <c r="A82" s="24" t="str">
        <f aca="false">IF(B82="","",B82&amp;"|"&amp;C82)</f>
        <v/>
      </c>
    </row>
    <row r="83" customFormat="false" ht="15" hidden="false" customHeight="false" outlineLevel="0" collapsed="false">
      <c r="A83" s="24" t="str">
        <f aca="false">IF(B83="","",B83&amp;"|"&amp;C83)</f>
        <v/>
      </c>
    </row>
    <row r="84" customFormat="false" ht="15" hidden="false" customHeight="false" outlineLevel="0" collapsed="false">
      <c r="A84" s="24" t="str">
        <f aca="false">IF(B84="","",B84&amp;"|"&amp;C84)</f>
        <v/>
      </c>
    </row>
    <row r="85" customFormat="false" ht="15" hidden="false" customHeight="false" outlineLevel="0" collapsed="false">
      <c r="A85" s="24" t="str">
        <f aca="false">IF(B85="","",B85&amp;"|"&amp;C85)</f>
        <v/>
      </c>
    </row>
    <row r="86" customFormat="false" ht="15" hidden="false" customHeight="false" outlineLevel="0" collapsed="false">
      <c r="A86" s="24" t="str">
        <f aca="false">IF(B86="","",B86&amp;"|"&amp;C86)</f>
        <v/>
      </c>
    </row>
    <row r="87" customFormat="false" ht="15" hidden="false" customHeight="false" outlineLevel="0" collapsed="false">
      <c r="A87" s="24" t="str">
        <f aca="false">IF(B87="","",B87&amp;"|"&amp;C87)</f>
        <v/>
      </c>
    </row>
    <row r="88" customFormat="false" ht="15" hidden="false" customHeight="false" outlineLevel="0" collapsed="false">
      <c r="A88" s="24" t="str">
        <f aca="false">IF(B88="","",B88&amp;"|"&amp;C88)</f>
        <v/>
      </c>
    </row>
    <row r="89" customFormat="false" ht="15" hidden="false" customHeight="false" outlineLevel="0" collapsed="false">
      <c r="A89" s="24" t="str">
        <f aca="false">IF(B89="","",B89&amp;"|"&amp;C89)</f>
        <v/>
      </c>
    </row>
    <row r="90" customFormat="false" ht="15" hidden="false" customHeight="false" outlineLevel="0" collapsed="false">
      <c r="A90" s="24" t="str">
        <f aca="false">IF(B90="","",B90&amp;"|"&amp;C90)</f>
        <v/>
      </c>
    </row>
    <row r="91" customFormat="false" ht="15" hidden="false" customHeight="false" outlineLevel="0" collapsed="false">
      <c r="A91" s="24" t="str">
        <f aca="false">IF(B91="","",B91&amp;"|"&amp;C91)</f>
        <v/>
      </c>
    </row>
  </sheetData>
  <dataValidations count="1">
    <dataValidation allowBlank="true" error="Please pick a value from the list" errorStyle="stop" operator="between" showDropDown="false" showErrorMessage="false" showInputMessage="false" sqref="C5:C92" type="list">
      <formula1>Settings!$D$5:$D$13</formula1>
      <formula2>0</formula2>
    </dataValidation>
  </dataValidations>
  <hyperlinks>
    <hyperlink ref="C1" r:id="rId1" location="'HOME'!A1" display="« HO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V2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4" min="3" style="0" width="1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10" min="9" style="0" width="13"/>
    <col collapsed="false" customWidth="true" hidden="false" outlineLevel="0" max="11" min="11" style="0" width="10"/>
    <col collapsed="false" customWidth="true" hidden="false" outlineLevel="0" max="13" min="12" style="0" width="12"/>
    <col collapsed="false" customWidth="true" hidden="false" outlineLevel="0" max="14" min="14" style="0" width="10"/>
    <col collapsed="false" customWidth="true" hidden="false" outlineLevel="0" max="15" min="15" style="0" width="13"/>
    <col collapsed="false" customWidth="true" hidden="false" outlineLevel="0" max="16" min="16" style="0" width="27"/>
    <col collapsed="false" customWidth="true" hidden="false" outlineLevel="0" max="17" min="17" style="0" width="9"/>
    <col collapsed="false" customWidth="true" hidden="false" outlineLevel="0" max="19" min="18" style="0" width="11"/>
    <col collapsed="false" customWidth="true" hidden="false" outlineLevel="0" max="20" min="20" style="0" width="16"/>
    <col collapsed="false" customWidth="true" hidden="false" outlineLevel="0" max="21" min="21" style="0" width="9"/>
    <col collapsed="false" customWidth="true" hidden="false" outlineLevel="0" max="22" min="22" style="0" width="10"/>
  </cols>
  <sheetData>
    <row r="1" customFormat="false" ht="17.35" hidden="false" customHeight="false" outlineLevel="0" collapsed="false">
      <c r="A1" s="14" t="s">
        <v>217</v>
      </c>
      <c r="C1" s="15" t="s">
        <v>38</v>
      </c>
    </row>
    <row r="2" customFormat="false" ht="15" hidden="false" customHeight="false" outlineLevel="0" collapsed="false">
      <c r="A2" s="13" t="s">
        <v>218</v>
      </c>
    </row>
    <row r="4" customFormat="false" ht="31.5" hidden="false" customHeight="true" outlineLevel="0" collapsed="false">
      <c r="A4" s="38" t="s">
        <v>219</v>
      </c>
      <c r="B4" s="38" t="s">
        <v>220</v>
      </c>
      <c r="C4" s="38" t="s">
        <v>121</v>
      </c>
      <c r="D4" s="38" t="s">
        <v>191</v>
      </c>
      <c r="E4" s="38" t="s">
        <v>212</v>
      </c>
      <c r="F4" s="38" t="s">
        <v>221</v>
      </c>
      <c r="G4" s="38" t="s">
        <v>222</v>
      </c>
      <c r="H4" s="38" t="s">
        <v>223</v>
      </c>
      <c r="I4" s="38" t="s">
        <v>224</v>
      </c>
      <c r="J4" s="38" t="s">
        <v>225</v>
      </c>
      <c r="K4" s="38" t="s">
        <v>122</v>
      </c>
      <c r="L4" s="38" t="s">
        <v>226</v>
      </c>
      <c r="M4" s="38" t="s">
        <v>227</v>
      </c>
      <c r="N4" s="38" t="s">
        <v>228</v>
      </c>
      <c r="O4" s="38" t="s">
        <v>229</v>
      </c>
      <c r="P4" s="38" t="s">
        <v>230</v>
      </c>
      <c r="Q4" s="38" t="s">
        <v>124</v>
      </c>
      <c r="R4" s="40" t="s">
        <v>231</v>
      </c>
      <c r="S4" s="40" t="s">
        <v>232</v>
      </c>
      <c r="T4" s="40" t="s">
        <v>233</v>
      </c>
      <c r="U4" s="40" t="s">
        <v>234</v>
      </c>
      <c r="V4" s="40" t="s">
        <v>235</v>
      </c>
    </row>
    <row r="5" customFormat="false" ht="15" hidden="false" customHeight="false" outlineLevel="0" collapsed="false">
      <c r="A5" s="33" t="s">
        <v>236</v>
      </c>
      <c r="B5" s="33" t="s">
        <v>237</v>
      </c>
      <c r="C5" s="33" t="s">
        <v>128</v>
      </c>
      <c r="D5" s="33"/>
      <c r="E5" s="33" t="s">
        <v>149</v>
      </c>
      <c r="F5" s="33" t="s">
        <v>238</v>
      </c>
      <c r="G5" s="33" t="s">
        <v>239</v>
      </c>
      <c r="H5" s="33" t="s">
        <v>240</v>
      </c>
      <c r="I5" s="41" t="n">
        <v>46391</v>
      </c>
      <c r="J5" s="41" t="n">
        <v>46396</v>
      </c>
      <c r="K5" s="33" t="s">
        <v>129</v>
      </c>
      <c r="L5" s="39" t="n">
        <v>1400</v>
      </c>
      <c r="M5" s="39" t="n">
        <v>400</v>
      </c>
      <c r="N5" s="39"/>
      <c r="O5" s="33" t="s">
        <v>241</v>
      </c>
      <c r="P5" s="33" t="s">
        <v>242</v>
      </c>
      <c r="Q5" s="33" t="s">
        <v>131</v>
      </c>
      <c r="R5" s="25" t="n">
        <f aca="true">IF(I5="","",I5-TODAY())</f>
        <v>64</v>
      </c>
      <c r="S5" s="25" t="n">
        <f aca="true">IF(J5="","",J5-TODAY())</f>
        <v>69</v>
      </c>
      <c r="T5" s="24" t="str">
        <f aca="false">IF(A5="","",IF(OR(AND(R5&lt;&gt;"",R5&lt;0),AND(S5&lt;&gt;"",S5&lt;0)),"EXPIRED",IF(OR(AND(R5&lt;&gt;"",R5&lt;=Settings!$B$15),AND(S5&lt;&gt;"",S5&lt;=Settings!$B$15)),"EXPIRING SOON","OK")))</f>
        <v>OK</v>
      </c>
      <c r="U5" s="24" t="n">
        <f aca="false">IF(AND(C5="Own",Q5="Active"),COUNTIFS($C$5:C5,"Own",$Q$5:Q5,"Active"),"")</f>
        <v>1</v>
      </c>
      <c r="V5" s="26" t="n">
        <f aca="false">IF(C5&lt;&gt;"Own","",IF(K5="Hourly",N5,(L5+M5)/(Settings!$B$11*Settings!$B$12)))</f>
        <v>8.65384615384615</v>
      </c>
    </row>
    <row r="6" customFormat="false" ht="15" hidden="false" customHeight="false" outlineLevel="0" collapsed="false">
      <c r="A6" s="33" t="s">
        <v>243</v>
      </c>
      <c r="B6" s="33" t="s">
        <v>244</v>
      </c>
      <c r="C6" s="33" t="s">
        <v>128</v>
      </c>
      <c r="D6" s="33"/>
      <c r="E6" s="33" t="s">
        <v>127</v>
      </c>
      <c r="F6" s="33" t="s">
        <v>245</v>
      </c>
      <c r="G6" s="33" t="s">
        <v>246</v>
      </c>
      <c r="H6" s="33" t="s">
        <v>247</v>
      </c>
      <c r="I6" s="41" t="n">
        <v>46339</v>
      </c>
      <c r="J6" s="41" t="n">
        <v>46339</v>
      </c>
      <c r="K6" s="33" t="s">
        <v>129</v>
      </c>
      <c r="L6" s="39" t="n">
        <v>1200</v>
      </c>
      <c r="M6" s="39" t="n">
        <v>500</v>
      </c>
      <c r="N6" s="39"/>
      <c r="O6" s="33" t="s">
        <v>248</v>
      </c>
      <c r="P6" s="33" t="s">
        <v>249</v>
      </c>
      <c r="Q6" s="33" t="s">
        <v>131</v>
      </c>
      <c r="R6" s="25" t="n">
        <f aca="true">IF(I6="","",I6-TODAY())</f>
        <v>12</v>
      </c>
      <c r="S6" s="25" t="n">
        <f aca="true">IF(J6="","",J6-TODAY())</f>
        <v>12</v>
      </c>
      <c r="T6" s="24" t="str">
        <f aca="false">IF(A6="","",IF(OR(AND(R6&lt;&gt;"",R6&lt;0),AND(S6&lt;&gt;"",S6&lt;0)),"EXPIRED",IF(OR(AND(R6&lt;&gt;"",R6&lt;=Settings!$B$15),AND(S6&lt;&gt;"",S6&lt;=Settings!$B$15)),"EXPIRING SOON","OK")))</f>
        <v>EXPIRING SOON</v>
      </c>
      <c r="U6" s="24" t="n">
        <f aca="false">IF(AND(C6="Own",Q6="Active"),COUNTIFS($C$5:C6,"Own",$Q$5:Q6,"Active"),"")</f>
        <v>2</v>
      </c>
      <c r="V6" s="26" t="n">
        <f aca="false">IF(C6&lt;&gt;"Own","",IF(K6="Hourly",N6,(L6+M6)/(Settings!$B$11*Settings!$B$12)))</f>
        <v>8.17307692307692</v>
      </c>
    </row>
    <row r="7" customFormat="false" ht="15" hidden="false" customHeight="false" outlineLevel="0" collapsed="false">
      <c r="A7" s="33" t="s">
        <v>250</v>
      </c>
      <c r="B7" s="33" t="s">
        <v>251</v>
      </c>
      <c r="C7" s="33" t="s">
        <v>128</v>
      </c>
      <c r="D7" s="33"/>
      <c r="E7" s="33" t="s">
        <v>134</v>
      </c>
      <c r="F7" s="33" t="s">
        <v>252</v>
      </c>
      <c r="G7" s="33" t="s">
        <v>253</v>
      </c>
      <c r="H7" s="33" t="s">
        <v>254</v>
      </c>
      <c r="I7" s="41" t="n">
        <v>46352</v>
      </c>
      <c r="J7" s="41" t="n">
        <v>46352</v>
      </c>
      <c r="K7" s="33" t="s">
        <v>129</v>
      </c>
      <c r="L7" s="39" t="n">
        <v>1500</v>
      </c>
      <c r="M7" s="39" t="n">
        <v>500</v>
      </c>
      <c r="N7" s="39"/>
      <c r="O7" s="33" t="s">
        <v>241</v>
      </c>
      <c r="P7" s="33" t="s">
        <v>255</v>
      </c>
      <c r="Q7" s="33" t="s">
        <v>131</v>
      </c>
      <c r="R7" s="25" t="n">
        <f aca="true">IF(I7="","",I7-TODAY())</f>
        <v>25</v>
      </c>
      <c r="S7" s="25" t="n">
        <f aca="true">IF(J7="","",J7-TODAY())</f>
        <v>25</v>
      </c>
      <c r="T7" s="24" t="str">
        <f aca="false">IF(A7="","",IF(OR(AND(R7&lt;&gt;"",R7&lt;0),AND(S7&lt;&gt;"",S7&lt;0)),"EXPIRED",IF(OR(AND(R7&lt;&gt;"",R7&lt;=Settings!$B$15),AND(S7&lt;&gt;"",S7&lt;=Settings!$B$15)),"EXPIRING SOON","OK")))</f>
        <v>EXPIRING SOON</v>
      </c>
      <c r="U7" s="24" t="n">
        <f aca="false">IF(AND(C7="Own",Q7="Active"),COUNTIFS($C$5:C7,"Own",$Q$5:Q7,"Active"),"")</f>
        <v>3</v>
      </c>
      <c r="V7" s="26" t="n">
        <f aca="false">IF(C7&lt;&gt;"Own","",IF(K7="Hourly",N7,(L7+M7)/(Settings!$B$11*Settings!$B$12)))</f>
        <v>9.61538461538462</v>
      </c>
    </row>
    <row r="8" customFormat="false" ht="15" hidden="false" customHeight="false" outlineLevel="0" collapsed="false">
      <c r="A8" s="33" t="s">
        <v>256</v>
      </c>
      <c r="B8" s="33" t="s">
        <v>257</v>
      </c>
      <c r="C8" s="33" t="s">
        <v>128</v>
      </c>
      <c r="D8" s="33"/>
      <c r="E8" s="33" t="s">
        <v>127</v>
      </c>
      <c r="F8" s="33" t="s">
        <v>252</v>
      </c>
      <c r="G8" s="33" t="s">
        <v>258</v>
      </c>
      <c r="H8" s="33" t="s">
        <v>259</v>
      </c>
      <c r="I8" s="41" t="n">
        <v>46615</v>
      </c>
      <c r="J8" s="41" t="n">
        <v>46655</v>
      </c>
      <c r="K8" s="33" t="s">
        <v>129</v>
      </c>
      <c r="L8" s="39" t="n">
        <v>2000</v>
      </c>
      <c r="M8" s="39" t="n">
        <v>300</v>
      </c>
      <c r="N8" s="39"/>
      <c r="O8" s="33" t="s">
        <v>140</v>
      </c>
      <c r="P8" s="33" t="s">
        <v>260</v>
      </c>
      <c r="Q8" s="33" t="s">
        <v>131</v>
      </c>
      <c r="R8" s="25" t="n">
        <f aca="true">IF(I8="","",I8-TODAY())</f>
        <v>288</v>
      </c>
      <c r="S8" s="25" t="n">
        <f aca="true">IF(J8="","",J8-TODAY())</f>
        <v>328</v>
      </c>
      <c r="T8" s="24" t="str">
        <f aca="false">IF(A8="","",IF(OR(AND(R8&lt;&gt;"",R8&lt;0),AND(S8&lt;&gt;"",S8&lt;0)),"EXPIRED",IF(OR(AND(R8&lt;&gt;"",R8&lt;=Settings!$B$15),AND(S8&lt;&gt;"",S8&lt;=Settings!$B$15)),"EXPIRING SOON","OK")))</f>
        <v>OK</v>
      </c>
      <c r="U8" s="24" t="n">
        <f aca="false">IF(AND(C8="Own",Q8="Active"),COUNTIFS($C$5:C8,"Own",$Q$5:Q8,"Active"),"")</f>
        <v>4</v>
      </c>
      <c r="V8" s="26" t="n">
        <f aca="false">IF(C8&lt;&gt;"Own","",IF(K8="Hourly",N8,(L8+M8)/(Settings!$B$11*Settings!$B$12)))</f>
        <v>11.0576923076923</v>
      </c>
    </row>
    <row r="9" customFormat="false" ht="15" hidden="false" customHeight="false" outlineLevel="0" collapsed="false">
      <c r="A9" s="33" t="s">
        <v>261</v>
      </c>
      <c r="B9" s="33" t="s">
        <v>262</v>
      </c>
      <c r="C9" s="33" t="s">
        <v>128</v>
      </c>
      <c r="D9" s="33"/>
      <c r="E9" s="33" t="s">
        <v>127</v>
      </c>
      <c r="F9" s="33" t="s">
        <v>238</v>
      </c>
      <c r="G9" s="33" t="s">
        <v>263</v>
      </c>
      <c r="H9" s="33" t="s">
        <v>264</v>
      </c>
      <c r="I9" s="41" t="n">
        <v>46652</v>
      </c>
      <c r="J9" s="41" t="n">
        <v>46657</v>
      </c>
      <c r="K9" s="33" t="s">
        <v>129</v>
      </c>
      <c r="L9" s="39" t="n">
        <v>1200</v>
      </c>
      <c r="M9" s="39" t="n">
        <v>400</v>
      </c>
      <c r="N9" s="39"/>
      <c r="O9" s="33" t="s">
        <v>140</v>
      </c>
      <c r="P9" s="33" t="s">
        <v>265</v>
      </c>
      <c r="Q9" s="33" t="s">
        <v>131</v>
      </c>
      <c r="R9" s="25" t="n">
        <f aca="true">IF(I9="","",I9-TODAY())</f>
        <v>325</v>
      </c>
      <c r="S9" s="25" t="n">
        <f aca="true">IF(J9="","",J9-TODAY())</f>
        <v>330</v>
      </c>
      <c r="T9" s="24" t="str">
        <f aca="false">IF(A9="","",IF(OR(AND(R9&lt;&gt;"",R9&lt;0),AND(S9&lt;&gt;"",S9&lt;0)),"EXPIRED",IF(OR(AND(R9&lt;&gt;"",R9&lt;=Settings!$B$15),AND(S9&lt;&gt;"",S9&lt;=Settings!$B$15)),"EXPIRING SOON","OK")))</f>
        <v>OK</v>
      </c>
      <c r="U9" s="24" t="n">
        <f aca="false">IF(AND(C9="Own",Q9="Active"),COUNTIFS($C$5:C9,"Own",$Q$5:Q9,"Active"),"")</f>
        <v>5</v>
      </c>
      <c r="V9" s="26" t="n">
        <f aca="false">IF(C9&lt;&gt;"Own","",IF(K9="Hourly",N9,(L9+M9)/(Settings!$B$11*Settings!$B$12)))</f>
        <v>7.69230769230769</v>
      </c>
    </row>
    <row r="10" customFormat="false" ht="15" hidden="false" customHeight="false" outlineLevel="0" collapsed="false">
      <c r="A10" s="33" t="s">
        <v>266</v>
      </c>
      <c r="B10" s="33" t="s">
        <v>267</v>
      </c>
      <c r="C10" s="33" t="s">
        <v>128</v>
      </c>
      <c r="D10" s="33"/>
      <c r="E10" s="33" t="s">
        <v>151</v>
      </c>
      <c r="F10" s="33" t="s">
        <v>238</v>
      </c>
      <c r="G10" s="33" t="s">
        <v>268</v>
      </c>
      <c r="H10" s="33" t="s">
        <v>269</v>
      </c>
      <c r="I10" s="41" t="n">
        <v>46352</v>
      </c>
      <c r="J10" s="41" t="n">
        <v>46352</v>
      </c>
      <c r="K10" s="33" t="s">
        <v>129</v>
      </c>
      <c r="L10" s="39" t="n">
        <v>1200</v>
      </c>
      <c r="M10" s="39" t="n">
        <v>300</v>
      </c>
      <c r="N10" s="39"/>
      <c r="O10" s="33" t="s">
        <v>241</v>
      </c>
      <c r="P10" s="33" t="s">
        <v>270</v>
      </c>
      <c r="Q10" s="33" t="s">
        <v>131</v>
      </c>
      <c r="R10" s="25" t="n">
        <f aca="true">IF(I10="","",I10-TODAY())</f>
        <v>25</v>
      </c>
      <c r="S10" s="25" t="n">
        <f aca="true">IF(J10="","",J10-TODAY())</f>
        <v>25</v>
      </c>
      <c r="T10" s="24" t="str">
        <f aca="false">IF(A10="","",IF(OR(AND(R10&lt;&gt;"",R10&lt;0),AND(S10&lt;&gt;"",S10&lt;0)),"EXPIRED",IF(OR(AND(R10&lt;&gt;"",R10&lt;=Settings!$B$15),AND(S10&lt;&gt;"",S10&lt;=Settings!$B$15)),"EXPIRING SOON","OK")))</f>
        <v>EXPIRING SOON</v>
      </c>
      <c r="U10" s="24" t="n">
        <f aca="false">IF(AND(C10="Own",Q10="Active"),COUNTIFS($C$5:C10,"Own",$Q$5:Q10,"Active"),"")</f>
        <v>6</v>
      </c>
      <c r="V10" s="26" t="n">
        <f aca="false">IF(C10&lt;&gt;"Own","",IF(K10="Hourly",N10,(L10+M10)/(Settings!$B$11*Settings!$B$12)))</f>
        <v>7.21153846153846</v>
      </c>
    </row>
    <row r="11" customFormat="false" ht="15" hidden="false" customHeight="false" outlineLevel="0" collapsed="false">
      <c r="A11" s="33" t="s">
        <v>271</v>
      </c>
      <c r="B11" s="33" t="s">
        <v>272</v>
      </c>
      <c r="C11" s="33" t="s">
        <v>128</v>
      </c>
      <c r="D11" s="33"/>
      <c r="E11" s="33" t="s">
        <v>134</v>
      </c>
      <c r="F11" s="33" t="s">
        <v>252</v>
      </c>
      <c r="G11" s="33" t="s">
        <v>273</v>
      </c>
      <c r="H11" s="33" t="s">
        <v>274</v>
      </c>
      <c r="I11" s="41" t="n">
        <v>46686</v>
      </c>
      <c r="J11" s="41" t="n">
        <v>46726</v>
      </c>
      <c r="K11" s="33" t="s">
        <v>129</v>
      </c>
      <c r="L11" s="39" t="n">
        <v>2000</v>
      </c>
      <c r="M11" s="39" t="n">
        <v>400</v>
      </c>
      <c r="N11" s="39"/>
      <c r="O11" s="33" t="s">
        <v>140</v>
      </c>
      <c r="P11" s="33" t="s">
        <v>275</v>
      </c>
      <c r="Q11" s="33" t="s">
        <v>131</v>
      </c>
      <c r="R11" s="25" t="n">
        <f aca="true">IF(I11="","",I11-TODAY())</f>
        <v>359</v>
      </c>
      <c r="S11" s="25" t="n">
        <f aca="true">IF(J11="","",J11-TODAY())</f>
        <v>399</v>
      </c>
      <c r="T11" s="24" t="str">
        <f aca="false">IF(A11="","",IF(OR(AND(R11&lt;&gt;"",R11&lt;0),AND(S11&lt;&gt;"",S11&lt;0)),"EXPIRED",IF(OR(AND(R11&lt;&gt;"",R11&lt;=Settings!$B$15),AND(S11&lt;&gt;"",S11&lt;=Settings!$B$15)),"EXPIRING SOON","OK")))</f>
        <v>OK</v>
      </c>
      <c r="U11" s="24" t="n">
        <f aca="false">IF(AND(C11="Own",Q11="Active"),COUNTIFS($C$5:C11,"Own",$Q$5:Q11,"Active"),"")</f>
        <v>7</v>
      </c>
      <c r="V11" s="26" t="n">
        <f aca="false">IF(C11&lt;&gt;"Own","",IF(K11="Hourly",N11,(L11+M11)/(Settings!$B$11*Settings!$B$12)))</f>
        <v>11.5384615384615</v>
      </c>
    </row>
    <row r="12" customFormat="false" ht="15" hidden="false" customHeight="false" outlineLevel="0" collapsed="false">
      <c r="A12" s="33" t="s">
        <v>276</v>
      </c>
      <c r="B12" s="33" t="s">
        <v>277</v>
      </c>
      <c r="C12" s="33" t="s">
        <v>128</v>
      </c>
      <c r="D12" s="33"/>
      <c r="E12" s="33" t="s">
        <v>127</v>
      </c>
      <c r="F12" s="33" t="s">
        <v>278</v>
      </c>
      <c r="G12" s="33" t="s">
        <v>279</v>
      </c>
      <c r="H12" s="33" t="s">
        <v>280</v>
      </c>
      <c r="I12" s="41" t="n">
        <v>46406</v>
      </c>
      <c r="J12" s="41" t="n">
        <v>46446</v>
      </c>
      <c r="K12" s="33" t="s">
        <v>136</v>
      </c>
      <c r="L12" s="39"/>
      <c r="M12" s="39"/>
      <c r="N12" s="39" t="n">
        <v>9</v>
      </c>
      <c r="O12" s="33" t="s">
        <v>241</v>
      </c>
      <c r="P12" s="33" t="s">
        <v>281</v>
      </c>
      <c r="Q12" s="33" t="s">
        <v>131</v>
      </c>
      <c r="R12" s="25" t="n">
        <f aca="true">IF(I12="","",I12-TODAY())</f>
        <v>79</v>
      </c>
      <c r="S12" s="25" t="n">
        <f aca="true">IF(J12="","",J12-TODAY())</f>
        <v>119</v>
      </c>
      <c r="T12" s="24" t="str">
        <f aca="false">IF(A12="","",IF(OR(AND(R12&lt;&gt;"",R12&lt;0),AND(S12&lt;&gt;"",S12&lt;0)),"EXPIRED",IF(OR(AND(R12&lt;&gt;"",R12&lt;=Settings!$B$15),AND(S12&lt;&gt;"",S12&lt;=Settings!$B$15)),"EXPIRING SOON","OK")))</f>
        <v>OK</v>
      </c>
      <c r="U12" s="24" t="n">
        <f aca="false">IF(AND(C12="Own",Q12="Active"),COUNTIFS($C$5:C12,"Own",$Q$5:Q12,"Active"),"")</f>
        <v>8</v>
      </c>
      <c r="V12" s="26" t="n">
        <f aca="false">IF(C12&lt;&gt;"Own","",IF(K12="Hourly",N12,(L12+M12)/(Settings!$B$11*Settings!$B$12)))</f>
        <v>9</v>
      </c>
    </row>
    <row r="13" customFormat="false" ht="15" hidden="false" customHeight="false" outlineLevel="0" collapsed="false">
      <c r="A13" s="33" t="s">
        <v>282</v>
      </c>
      <c r="B13" s="33" t="s">
        <v>283</v>
      </c>
      <c r="C13" s="33" t="s">
        <v>128</v>
      </c>
      <c r="D13" s="33"/>
      <c r="E13" s="33" t="s">
        <v>144</v>
      </c>
      <c r="F13" s="33" t="s">
        <v>252</v>
      </c>
      <c r="G13" s="33" t="s">
        <v>284</v>
      </c>
      <c r="H13" s="33" t="s">
        <v>285</v>
      </c>
      <c r="I13" s="41" t="n">
        <v>46487</v>
      </c>
      <c r="J13" s="41" t="n">
        <v>46527</v>
      </c>
      <c r="K13" s="33" t="s">
        <v>129</v>
      </c>
      <c r="L13" s="39" t="n">
        <v>2500</v>
      </c>
      <c r="M13" s="39" t="n">
        <v>500</v>
      </c>
      <c r="N13" s="39"/>
      <c r="O13" s="33" t="s">
        <v>248</v>
      </c>
      <c r="P13" s="33" t="s">
        <v>286</v>
      </c>
      <c r="Q13" s="33" t="s">
        <v>131</v>
      </c>
      <c r="R13" s="25" t="n">
        <f aca="true">IF(I13="","",I13-TODAY())</f>
        <v>160</v>
      </c>
      <c r="S13" s="25" t="n">
        <f aca="true">IF(J13="","",J13-TODAY())</f>
        <v>200</v>
      </c>
      <c r="T13" s="24" t="str">
        <f aca="false">IF(A13="","",IF(OR(AND(R13&lt;&gt;"",R13&lt;0),AND(S13&lt;&gt;"",S13&lt;0)),"EXPIRED",IF(OR(AND(R13&lt;&gt;"",R13&lt;=Settings!$B$15),AND(S13&lt;&gt;"",S13&lt;=Settings!$B$15)),"EXPIRING SOON","OK")))</f>
        <v>OK</v>
      </c>
      <c r="U13" s="24" t="n">
        <f aca="false">IF(AND(C13="Own",Q13="Active"),COUNTIFS($C$5:C13,"Own",$Q$5:Q13,"Active"),"")</f>
        <v>9</v>
      </c>
      <c r="V13" s="26" t="n">
        <f aca="false">IF(C13&lt;&gt;"Own","",IF(K13="Hourly",N13,(L13+M13)/(Settings!$B$11*Settings!$B$12)))</f>
        <v>14.4230769230769</v>
      </c>
    </row>
    <row r="14" customFormat="false" ht="15" hidden="false" customHeight="false" outlineLevel="0" collapsed="false">
      <c r="A14" s="33" t="s">
        <v>287</v>
      </c>
      <c r="B14" s="33" t="s">
        <v>288</v>
      </c>
      <c r="C14" s="33" t="s">
        <v>128</v>
      </c>
      <c r="D14" s="33"/>
      <c r="E14" s="33" t="s">
        <v>127</v>
      </c>
      <c r="F14" s="33" t="s">
        <v>252</v>
      </c>
      <c r="G14" s="33" t="s">
        <v>289</v>
      </c>
      <c r="H14" s="33" t="s">
        <v>290</v>
      </c>
      <c r="I14" s="41" t="n">
        <v>46512</v>
      </c>
      <c r="J14" s="41" t="n">
        <v>46512</v>
      </c>
      <c r="K14" s="33" t="s">
        <v>129</v>
      </c>
      <c r="L14" s="39" t="n">
        <v>2000</v>
      </c>
      <c r="M14" s="39" t="n">
        <v>500</v>
      </c>
      <c r="N14" s="39"/>
      <c r="O14" s="33" t="s">
        <v>241</v>
      </c>
      <c r="P14" s="33" t="s">
        <v>291</v>
      </c>
      <c r="Q14" s="33" t="s">
        <v>131</v>
      </c>
      <c r="R14" s="25" t="n">
        <f aca="true">IF(I14="","",I14-TODAY())</f>
        <v>185</v>
      </c>
      <c r="S14" s="25" t="n">
        <f aca="true">IF(J14="","",J14-TODAY())</f>
        <v>185</v>
      </c>
      <c r="T14" s="24" t="str">
        <f aca="false">IF(A14="","",IF(OR(AND(R14&lt;&gt;"",R14&lt;0),AND(S14&lt;&gt;"",S14&lt;0)),"EXPIRED",IF(OR(AND(R14&lt;&gt;"",R14&lt;=Settings!$B$15),AND(S14&lt;&gt;"",S14&lt;=Settings!$B$15)),"EXPIRING SOON","OK")))</f>
        <v>OK</v>
      </c>
      <c r="U14" s="24" t="n">
        <f aca="false">IF(AND(C14="Own",Q14="Active"),COUNTIFS($C$5:C14,"Own",$Q$5:Q14,"Active"),"")</f>
        <v>10</v>
      </c>
      <c r="V14" s="26" t="n">
        <f aca="false">IF(C14&lt;&gt;"Own","",IF(K14="Hourly",N14,(L14+M14)/(Settings!$B$11*Settings!$B$12)))</f>
        <v>12.0192307692308</v>
      </c>
    </row>
    <row r="15" customFormat="false" ht="15" hidden="false" customHeight="false" outlineLevel="0" collapsed="false">
      <c r="A15" s="33" t="s">
        <v>292</v>
      </c>
      <c r="B15" s="33" t="s">
        <v>293</v>
      </c>
      <c r="C15" s="33" t="s">
        <v>128</v>
      </c>
      <c r="D15" s="33"/>
      <c r="E15" s="33" t="s">
        <v>151</v>
      </c>
      <c r="F15" s="33" t="s">
        <v>278</v>
      </c>
      <c r="G15" s="33" t="s">
        <v>294</v>
      </c>
      <c r="H15" s="33" t="s">
        <v>295</v>
      </c>
      <c r="I15" s="41" t="n">
        <v>46587</v>
      </c>
      <c r="J15" s="41" t="n">
        <v>46592</v>
      </c>
      <c r="K15" s="33" t="s">
        <v>129</v>
      </c>
      <c r="L15" s="39" t="n">
        <v>1200</v>
      </c>
      <c r="M15" s="39" t="n">
        <v>300</v>
      </c>
      <c r="N15" s="39"/>
      <c r="O15" s="33" t="s">
        <v>241</v>
      </c>
      <c r="P15" s="33" t="s">
        <v>296</v>
      </c>
      <c r="Q15" s="33" t="s">
        <v>131</v>
      </c>
      <c r="R15" s="25" t="n">
        <f aca="true">IF(I15="","",I15-TODAY())</f>
        <v>260</v>
      </c>
      <c r="S15" s="25" t="n">
        <f aca="true">IF(J15="","",J15-TODAY())</f>
        <v>265</v>
      </c>
      <c r="T15" s="24" t="str">
        <f aca="false">IF(A15="","",IF(OR(AND(R15&lt;&gt;"",R15&lt;0),AND(S15&lt;&gt;"",S15&lt;0)),"EXPIRED",IF(OR(AND(R15&lt;&gt;"",R15&lt;=Settings!$B$15),AND(S15&lt;&gt;"",S15&lt;=Settings!$B$15)),"EXPIRING SOON","OK")))</f>
        <v>OK</v>
      </c>
      <c r="U15" s="24" t="n">
        <f aca="false">IF(AND(C15="Own",Q15="Active"),COUNTIFS($C$5:C15,"Own",$Q$5:Q15,"Active"),"")</f>
        <v>11</v>
      </c>
      <c r="V15" s="26" t="n">
        <f aca="false">IF(C15&lt;&gt;"Own","",IF(K15="Hourly",N15,(L15+M15)/(Settings!$B$11*Settings!$B$12)))</f>
        <v>7.21153846153846</v>
      </c>
    </row>
    <row r="16" customFormat="false" ht="15" hidden="false" customHeight="false" outlineLevel="0" collapsed="false">
      <c r="A16" s="33" t="s">
        <v>297</v>
      </c>
      <c r="B16" s="33" t="s">
        <v>298</v>
      </c>
      <c r="C16" s="33" t="s">
        <v>128</v>
      </c>
      <c r="D16" s="33"/>
      <c r="E16" s="33" t="s">
        <v>127</v>
      </c>
      <c r="F16" s="33" t="s">
        <v>252</v>
      </c>
      <c r="G16" s="33" t="s">
        <v>299</v>
      </c>
      <c r="H16" s="33" t="s">
        <v>300</v>
      </c>
      <c r="I16" s="41" t="n">
        <v>46819</v>
      </c>
      <c r="J16" s="41" t="n">
        <v>46824</v>
      </c>
      <c r="K16" s="33" t="s">
        <v>129</v>
      </c>
      <c r="L16" s="39" t="n">
        <v>2000</v>
      </c>
      <c r="M16" s="39" t="n">
        <v>300</v>
      </c>
      <c r="N16" s="39"/>
      <c r="O16" s="33" t="s">
        <v>241</v>
      </c>
      <c r="P16" s="33" t="s">
        <v>301</v>
      </c>
      <c r="Q16" s="33" t="s">
        <v>131</v>
      </c>
      <c r="R16" s="25" t="n">
        <f aca="true">IF(I16="","",I16-TODAY())</f>
        <v>492</v>
      </c>
      <c r="S16" s="25" t="n">
        <f aca="true">IF(J16="","",J16-TODAY())</f>
        <v>497</v>
      </c>
      <c r="T16" s="24" t="str">
        <f aca="false">IF(A16="","",IF(OR(AND(R16&lt;&gt;"",R16&lt;0),AND(S16&lt;&gt;"",S16&lt;0)),"EXPIRED",IF(OR(AND(R16&lt;&gt;"",R16&lt;=Settings!$B$15),AND(S16&lt;&gt;"",S16&lt;=Settings!$B$15)),"EXPIRING SOON","OK")))</f>
        <v>OK</v>
      </c>
      <c r="U16" s="24" t="n">
        <f aca="false">IF(AND(C16="Own",Q16="Active"),COUNTIFS($C$5:C16,"Own",$Q$5:Q16,"Active"),"")</f>
        <v>12</v>
      </c>
      <c r="V16" s="26" t="n">
        <f aca="false">IF(C16&lt;&gt;"Own","",IF(K16="Hourly",N16,(L16+M16)/(Settings!$B$11*Settings!$B$12)))</f>
        <v>11.0576923076923</v>
      </c>
    </row>
    <row r="17" customFormat="false" ht="15" hidden="false" customHeight="false" outlineLevel="0" collapsed="false">
      <c r="A17" s="33" t="s">
        <v>302</v>
      </c>
      <c r="B17" s="33" t="s">
        <v>303</v>
      </c>
      <c r="C17" s="33" t="s">
        <v>128</v>
      </c>
      <c r="D17" s="33"/>
      <c r="E17" s="33" t="s">
        <v>147</v>
      </c>
      <c r="F17" s="33" t="s">
        <v>245</v>
      </c>
      <c r="G17" s="33" t="s">
        <v>304</v>
      </c>
      <c r="H17" s="33" t="s">
        <v>305</v>
      </c>
      <c r="I17" s="41" t="n">
        <v>46814</v>
      </c>
      <c r="J17" s="41" t="n">
        <v>46819</v>
      </c>
      <c r="K17" s="33" t="s">
        <v>129</v>
      </c>
      <c r="L17" s="39" t="n">
        <v>1800</v>
      </c>
      <c r="M17" s="39" t="n">
        <v>300</v>
      </c>
      <c r="N17" s="39"/>
      <c r="O17" s="33" t="s">
        <v>241</v>
      </c>
      <c r="P17" s="33" t="s">
        <v>306</v>
      </c>
      <c r="Q17" s="33" t="s">
        <v>131</v>
      </c>
      <c r="R17" s="25" t="n">
        <f aca="true">IF(I17="","",I17-TODAY())</f>
        <v>487</v>
      </c>
      <c r="S17" s="25" t="n">
        <f aca="true">IF(J17="","",J17-TODAY())</f>
        <v>492</v>
      </c>
      <c r="T17" s="24" t="str">
        <f aca="false">IF(A17="","",IF(OR(AND(R17&lt;&gt;"",R17&lt;0),AND(S17&lt;&gt;"",S17&lt;0)),"EXPIRED",IF(OR(AND(R17&lt;&gt;"",R17&lt;=Settings!$B$15),AND(S17&lt;&gt;"",S17&lt;=Settings!$B$15)),"EXPIRING SOON","OK")))</f>
        <v>OK</v>
      </c>
      <c r="U17" s="24" t="n">
        <f aca="false">IF(AND(C17="Own",Q17="Active"),COUNTIFS($C$5:C17,"Own",$Q$5:Q17,"Active"),"")</f>
        <v>13</v>
      </c>
      <c r="V17" s="26" t="n">
        <f aca="false">IF(C17&lt;&gt;"Own","",IF(K17="Hourly",N17,(L17+M17)/(Settings!$B$11*Settings!$B$12)))</f>
        <v>10.0961538461538</v>
      </c>
    </row>
    <row r="18" customFormat="false" ht="15" hidden="false" customHeight="false" outlineLevel="0" collapsed="false">
      <c r="A18" s="33" t="s">
        <v>307</v>
      </c>
      <c r="B18" s="33" t="s">
        <v>308</v>
      </c>
      <c r="C18" s="33" t="s">
        <v>128</v>
      </c>
      <c r="D18" s="33"/>
      <c r="E18" s="33" t="s">
        <v>155</v>
      </c>
      <c r="F18" s="33" t="s">
        <v>278</v>
      </c>
      <c r="G18" s="33" t="s">
        <v>309</v>
      </c>
      <c r="H18" s="33" t="s">
        <v>310</v>
      </c>
      <c r="I18" s="41" t="n">
        <v>46317</v>
      </c>
      <c r="J18" s="41" t="n">
        <v>46317</v>
      </c>
      <c r="K18" s="33" t="s">
        <v>129</v>
      </c>
      <c r="L18" s="39" t="n">
        <v>1200</v>
      </c>
      <c r="M18" s="39" t="n">
        <v>500</v>
      </c>
      <c r="N18" s="39"/>
      <c r="O18" s="33" t="s">
        <v>248</v>
      </c>
      <c r="P18" s="33" t="s">
        <v>311</v>
      </c>
      <c r="Q18" s="33" t="s">
        <v>131</v>
      </c>
      <c r="R18" s="25" t="n">
        <f aca="true">IF(I18="","",I18-TODAY())</f>
        <v>-10</v>
      </c>
      <c r="S18" s="25" t="n">
        <f aca="true">IF(J18="","",J18-TODAY())</f>
        <v>-10</v>
      </c>
      <c r="T18" s="24" t="str">
        <f aca="false">IF(A18="","",IF(OR(AND(R18&lt;&gt;"",R18&lt;0),AND(S18&lt;&gt;"",S18&lt;0)),"EXPIRED",IF(OR(AND(R18&lt;&gt;"",R18&lt;=Settings!$B$15),AND(S18&lt;&gt;"",S18&lt;=Settings!$B$15)),"EXPIRING SOON","OK")))</f>
        <v>EXPIRED</v>
      </c>
      <c r="U18" s="24" t="n">
        <f aca="false">IF(AND(C18="Own",Q18="Active"),COUNTIFS($C$5:C18,"Own",$Q$5:Q18,"Active"),"")</f>
        <v>14</v>
      </c>
      <c r="V18" s="26" t="n">
        <f aca="false">IF(C18&lt;&gt;"Own","",IF(K18="Hourly",N18,(L18+M18)/(Settings!$B$11*Settings!$B$12)))</f>
        <v>8.17307692307692</v>
      </c>
    </row>
    <row r="19" customFormat="false" ht="15" hidden="false" customHeight="false" outlineLevel="0" collapsed="false">
      <c r="A19" s="33" t="s">
        <v>312</v>
      </c>
      <c r="B19" s="33" t="s">
        <v>313</v>
      </c>
      <c r="C19" s="33" t="s">
        <v>128</v>
      </c>
      <c r="D19" s="33"/>
      <c r="E19" s="33" t="s">
        <v>147</v>
      </c>
      <c r="F19" s="33" t="s">
        <v>252</v>
      </c>
      <c r="G19" s="33" t="s">
        <v>314</v>
      </c>
      <c r="H19" s="33" t="s">
        <v>315</v>
      </c>
      <c r="I19" s="41" t="n">
        <v>46742</v>
      </c>
      <c r="J19" s="41" t="n">
        <v>46782</v>
      </c>
      <c r="K19" s="33" t="s">
        <v>129</v>
      </c>
      <c r="L19" s="39" t="n">
        <v>2000</v>
      </c>
      <c r="M19" s="39" t="n">
        <v>500</v>
      </c>
      <c r="N19" s="39"/>
      <c r="O19" s="33" t="s">
        <v>140</v>
      </c>
      <c r="P19" s="33" t="s">
        <v>316</v>
      </c>
      <c r="Q19" s="33" t="s">
        <v>131</v>
      </c>
      <c r="R19" s="25" t="n">
        <f aca="true">IF(I19="","",I19-TODAY())</f>
        <v>415</v>
      </c>
      <c r="S19" s="25" t="n">
        <f aca="true">IF(J19="","",J19-TODAY())</f>
        <v>455</v>
      </c>
      <c r="T19" s="24" t="str">
        <f aca="false">IF(A19="","",IF(OR(AND(R19&lt;&gt;"",R19&lt;0),AND(S19&lt;&gt;"",S19&lt;0)),"EXPIRED",IF(OR(AND(R19&lt;&gt;"",R19&lt;=Settings!$B$15),AND(S19&lt;&gt;"",S19&lt;=Settings!$B$15)),"EXPIRING SOON","OK")))</f>
        <v>OK</v>
      </c>
      <c r="U19" s="24" t="n">
        <f aca="false">IF(AND(C19="Own",Q19="Active"),COUNTIFS($C$5:C19,"Own",$Q$5:Q19,"Active"),"")</f>
        <v>15</v>
      </c>
      <c r="V19" s="26" t="n">
        <f aca="false">IF(C19&lt;&gt;"Own","",IF(K19="Hourly",N19,(L19+M19)/(Settings!$B$11*Settings!$B$12)))</f>
        <v>12.0192307692308</v>
      </c>
    </row>
    <row r="20" customFormat="false" ht="15" hidden="false" customHeight="false" outlineLevel="0" collapsed="false">
      <c r="A20" s="33" t="s">
        <v>317</v>
      </c>
      <c r="B20" s="33" t="s">
        <v>318</v>
      </c>
      <c r="C20" s="33" t="s">
        <v>128</v>
      </c>
      <c r="D20" s="33"/>
      <c r="E20" s="33" t="s">
        <v>141</v>
      </c>
      <c r="F20" s="33" t="s">
        <v>238</v>
      </c>
      <c r="G20" s="33" t="s">
        <v>319</v>
      </c>
      <c r="H20" s="33" t="s">
        <v>320</v>
      </c>
      <c r="I20" s="41" t="n">
        <v>46317</v>
      </c>
      <c r="J20" s="41" t="n">
        <v>46322</v>
      </c>
      <c r="K20" s="33" t="s">
        <v>136</v>
      </c>
      <c r="L20" s="39"/>
      <c r="M20" s="39"/>
      <c r="N20" s="39" t="n">
        <v>11</v>
      </c>
      <c r="O20" s="33" t="s">
        <v>248</v>
      </c>
      <c r="P20" s="33" t="s">
        <v>321</v>
      </c>
      <c r="Q20" s="33" t="s">
        <v>131</v>
      </c>
      <c r="R20" s="25" t="n">
        <f aca="true">IF(I20="","",I20-TODAY())</f>
        <v>-10</v>
      </c>
      <c r="S20" s="25" t="n">
        <f aca="true">IF(J20="","",J20-TODAY())</f>
        <v>-5</v>
      </c>
      <c r="T20" s="24" t="str">
        <f aca="false">IF(A20="","",IF(OR(AND(R20&lt;&gt;"",R20&lt;0),AND(S20&lt;&gt;"",S20&lt;0)),"EXPIRED",IF(OR(AND(R20&lt;&gt;"",R20&lt;=Settings!$B$15),AND(S20&lt;&gt;"",S20&lt;=Settings!$B$15)),"EXPIRING SOON","OK")))</f>
        <v>EXPIRED</v>
      </c>
      <c r="U20" s="24" t="n">
        <f aca="false">IF(AND(C20="Own",Q20="Active"),COUNTIFS($C$5:C20,"Own",$Q$5:Q20,"Active"),"")</f>
        <v>16</v>
      </c>
      <c r="V20" s="26" t="n">
        <f aca="false">IF(C20&lt;&gt;"Own","",IF(K20="Hourly",N20,(L20+M20)/(Settings!$B$11*Settings!$B$12)))</f>
        <v>11</v>
      </c>
    </row>
    <row r="21" customFormat="false" ht="15" hidden="false" customHeight="false" outlineLevel="0" collapsed="false">
      <c r="A21" s="33" t="s">
        <v>322</v>
      </c>
      <c r="B21" s="33" t="s">
        <v>323</v>
      </c>
      <c r="C21" s="33" t="s">
        <v>128</v>
      </c>
      <c r="D21" s="33"/>
      <c r="E21" s="33" t="s">
        <v>144</v>
      </c>
      <c r="F21" s="33" t="s">
        <v>238</v>
      </c>
      <c r="G21" s="33" t="s">
        <v>324</v>
      </c>
      <c r="H21" s="33" t="s">
        <v>325</v>
      </c>
      <c r="I21" s="41" t="n">
        <v>46392</v>
      </c>
      <c r="J21" s="41" t="n">
        <v>46432</v>
      </c>
      <c r="K21" s="33" t="s">
        <v>129</v>
      </c>
      <c r="L21" s="39" t="n">
        <v>1500</v>
      </c>
      <c r="M21" s="39" t="n">
        <v>300</v>
      </c>
      <c r="N21" s="39"/>
      <c r="O21" s="33" t="s">
        <v>241</v>
      </c>
      <c r="P21" s="33" t="s">
        <v>326</v>
      </c>
      <c r="Q21" s="33" t="s">
        <v>131</v>
      </c>
      <c r="R21" s="25" t="n">
        <f aca="true">IF(I21="","",I21-TODAY())</f>
        <v>65</v>
      </c>
      <c r="S21" s="25" t="n">
        <f aca="true">IF(J21="","",J21-TODAY())</f>
        <v>105</v>
      </c>
      <c r="T21" s="24" t="str">
        <f aca="false">IF(A21="","",IF(OR(AND(R21&lt;&gt;"",R21&lt;0),AND(S21&lt;&gt;"",S21&lt;0)),"EXPIRED",IF(OR(AND(R21&lt;&gt;"",R21&lt;=Settings!$B$15),AND(S21&lt;&gt;"",S21&lt;=Settings!$B$15)),"EXPIRING SOON","OK")))</f>
        <v>OK</v>
      </c>
      <c r="U21" s="24" t="n">
        <f aca="false">IF(AND(C21="Own",Q21="Active"),COUNTIFS($C$5:C21,"Own",$Q$5:Q21,"Active"),"")</f>
        <v>17</v>
      </c>
      <c r="V21" s="26" t="n">
        <f aca="false">IF(C21&lt;&gt;"Own","",IF(K21="Hourly",N21,(L21+M21)/(Settings!$B$11*Settings!$B$12)))</f>
        <v>8.65384615384615</v>
      </c>
    </row>
    <row r="22" customFormat="false" ht="15" hidden="false" customHeight="false" outlineLevel="0" collapsed="false">
      <c r="A22" s="33" t="s">
        <v>327</v>
      </c>
      <c r="B22" s="33" t="s">
        <v>328</v>
      </c>
      <c r="C22" s="33" t="s">
        <v>128</v>
      </c>
      <c r="D22" s="33"/>
      <c r="E22" s="33" t="s">
        <v>155</v>
      </c>
      <c r="F22" s="33" t="s">
        <v>278</v>
      </c>
      <c r="G22" s="33" t="s">
        <v>329</v>
      </c>
      <c r="H22" s="33" t="s">
        <v>330</v>
      </c>
      <c r="I22" s="41" t="n">
        <v>46339</v>
      </c>
      <c r="J22" s="41" t="n">
        <v>46339</v>
      </c>
      <c r="K22" s="33" t="s">
        <v>129</v>
      </c>
      <c r="L22" s="39" t="n">
        <v>2500</v>
      </c>
      <c r="M22" s="39" t="n">
        <v>300</v>
      </c>
      <c r="N22" s="39"/>
      <c r="O22" s="33" t="s">
        <v>140</v>
      </c>
      <c r="P22" s="33" t="s">
        <v>331</v>
      </c>
      <c r="Q22" s="33" t="s">
        <v>131</v>
      </c>
      <c r="R22" s="25" t="n">
        <f aca="true">IF(I22="","",I22-TODAY())</f>
        <v>12</v>
      </c>
      <c r="S22" s="25" t="n">
        <f aca="true">IF(J22="","",J22-TODAY())</f>
        <v>12</v>
      </c>
      <c r="T22" s="24" t="str">
        <f aca="false">IF(A22="","",IF(OR(AND(R22&lt;&gt;"",R22&lt;0),AND(S22&lt;&gt;"",S22&lt;0)),"EXPIRED",IF(OR(AND(R22&lt;&gt;"",R22&lt;=Settings!$B$15),AND(S22&lt;&gt;"",S22&lt;=Settings!$B$15)),"EXPIRING SOON","OK")))</f>
        <v>EXPIRING SOON</v>
      </c>
      <c r="U22" s="24" t="n">
        <f aca="false">IF(AND(C22="Own",Q22="Active"),COUNTIFS($C$5:C22,"Own",$Q$5:Q22,"Active"),"")</f>
        <v>18</v>
      </c>
      <c r="V22" s="26" t="n">
        <f aca="false">IF(C22&lt;&gt;"Own","",IF(K22="Hourly",N22,(L22+M22)/(Settings!$B$11*Settings!$B$12)))</f>
        <v>13.4615384615385</v>
      </c>
    </row>
    <row r="23" customFormat="false" ht="15" hidden="false" customHeight="false" outlineLevel="0" collapsed="false">
      <c r="A23" s="33" t="s">
        <v>332</v>
      </c>
      <c r="B23" s="33" t="s">
        <v>333</v>
      </c>
      <c r="C23" s="33" t="s">
        <v>128</v>
      </c>
      <c r="D23" s="33"/>
      <c r="E23" s="33" t="s">
        <v>127</v>
      </c>
      <c r="F23" s="33" t="s">
        <v>238</v>
      </c>
      <c r="G23" s="33" t="s">
        <v>334</v>
      </c>
      <c r="H23" s="33" t="s">
        <v>335</v>
      </c>
      <c r="I23" s="41" t="n">
        <v>46645</v>
      </c>
      <c r="J23" s="41" t="n">
        <v>46650</v>
      </c>
      <c r="K23" s="33" t="s">
        <v>129</v>
      </c>
      <c r="L23" s="39" t="n">
        <v>2000</v>
      </c>
      <c r="M23" s="39" t="n">
        <v>300</v>
      </c>
      <c r="N23" s="39"/>
      <c r="O23" s="33" t="s">
        <v>248</v>
      </c>
      <c r="P23" s="33" t="s">
        <v>336</v>
      </c>
      <c r="Q23" s="33" t="s">
        <v>131</v>
      </c>
      <c r="R23" s="25" t="n">
        <f aca="true">IF(I23="","",I23-TODAY())</f>
        <v>318</v>
      </c>
      <c r="S23" s="25" t="n">
        <f aca="true">IF(J23="","",J23-TODAY())</f>
        <v>323</v>
      </c>
      <c r="T23" s="24" t="str">
        <f aca="false">IF(A23="","",IF(OR(AND(R23&lt;&gt;"",R23&lt;0),AND(S23&lt;&gt;"",S23&lt;0)),"EXPIRED",IF(OR(AND(R23&lt;&gt;"",R23&lt;=Settings!$B$15),AND(S23&lt;&gt;"",S23&lt;=Settings!$B$15)),"EXPIRING SOON","OK")))</f>
        <v>OK</v>
      </c>
      <c r="U23" s="24" t="n">
        <f aca="false">IF(AND(C23="Own",Q23="Active"),COUNTIFS($C$5:C23,"Own",$Q$5:Q23,"Active"),"")</f>
        <v>19</v>
      </c>
      <c r="V23" s="26" t="n">
        <f aca="false">IF(C23&lt;&gt;"Own","",IF(K23="Hourly",N23,(L23+M23)/(Settings!$B$11*Settings!$B$12)))</f>
        <v>11.0576923076923</v>
      </c>
    </row>
    <row r="24" customFormat="false" ht="15" hidden="false" customHeight="false" outlineLevel="0" collapsed="false">
      <c r="A24" s="33" t="s">
        <v>337</v>
      </c>
      <c r="B24" s="33" t="s">
        <v>338</v>
      </c>
      <c r="C24" s="33" t="s">
        <v>128</v>
      </c>
      <c r="D24" s="33"/>
      <c r="E24" s="33" t="s">
        <v>153</v>
      </c>
      <c r="F24" s="33" t="s">
        <v>339</v>
      </c>
      <c r="G24" s="33" t="s">
        <v>340</v>
      </c>
      <c r="H24" s="33" t="s">
        <v>341</v>
      </c>
      <c r="I24" s="41" t="n">
        <v>46449</v>
      </c>
      <c r="J24" s="41" t="n">
        <v>46449</v>
      </c>
      <c r="K24" s="33" t="s">
        <v>129</v>
      </c>
      <c r="L24" s="39" t="n">
        <v>2500</v>
      </c>
      <c r="M24" s="39" t="n">
        <v>500</v>
      </c>
      <c r="N24" s="39"/>
      <c r="O24" s="33" t="s">
        <v>248</v>
      </c>
      <c r="P24" s="33" t="s">
        <v>342</v>
      </c>
      <c r="Q24" s="33" t="s">
        <v>131</v>
      </c>
      <c r="R24" s="25" t="n">
        <f aca="true">IF(I24="","",I24-TODAY())</f>
        <v>122</v>
      </c>
      <c r="S24" s="25" t="n">
        <f aca="true">IF(J24="","",J24-TODAY())</f>
        <v>122</v>
      </c>
      <c r="T24" s="24" t="str">
        <f aca="false">IF(A24="","",IF(OR(AND(R24&lt;&gt;"",R24&lt;0),AND(S24&lt;&gt;"",S24&lt;0)),"EXPIRED",IF(OR(AND(R24&lt;&gt;"",R24&lt;=Settings!$B$15),AND(S24&lt;&gt;"",S24&lt;=Settings!$B$15)),"EXPIRING SOON","OK")))</f>
        <v>OK</v>
      </c>
      <c r="U24" s="24" t="n">
        <f aca="false">IF(AND(C24="Own",Q24="Active"),COUNTIFS($C$5:C24,"Own",$Q$5:Q24,"Active"),"")</f>
        <v>20</v>
      </c>
      <c r="V24" s="26" t="n">
        <f aca="false">IF(C24&lt;&gt;"Own","",IF(K24="Hourly",N24,(L24+M24)/(Settings!$B$11*Settings!$B$12)))</f>
        <v>14.4230769230769</v>
      </c>
    </row>
    <row r="25" customFormat="false" ht="15" hidden="false" customHeight="false" outlineLevel="0" collapsed="false">
      <c r="A25" s="33" t="s">
        <v>343</v>
      </c>
      <c r="B25" s="33" t="s">
        <v>344</v>
      </c>
      <c r="C25" s="33" t="s">
        <v>128</v>
      </c>
      <c r="D25" s="33"/>
      <c r="E25" s="33" t="s">
        <v>151</v>
      </c>
      <c r="F25" s="33" t="s">
        <v>238</v>
      </c>
      <c r="G25" s="33" t="s">
        <v>345</v>
      </c>
      <c r="H25" s="33" t="s">
        <v>346</v>
      </c>
      <c r="I25" s="41" t="n">
        <v>46847</v>
      </c>
      <c r="J25" s="41" t="n">
        <v>46847</v>
      </c>
      <c r="K25" s="33" t="s">
        <v>129</v>
      </c>
      <c r="L25" s="39" t="n">
        <v>1500</v>
      </c>
      <c r="M25" s="39" t="n">
        <v>400</v>
      </c>
      <c r="N25" s="39"/>
      <c r="O25" s="33" t="s">
        <v>241</v>
      </c>
      <c r="P25" s="33" t="s">
        <v>347</v>
      </c>
      <c r="Q25" s="33" t="s">
        <v>131</v>
      </c>
      <c r="R25" s="25" t="n">
        <f aca="true">IF(I25="","",I25-TODAY())</f>
        <v>520</v>
      </c>
      <c r="S25" s="25" t="n">
        <f aca="true">IF(J25="","",J25-TODAY())</f>
        <v>520</v>
      </c>
      <c r="T25" s="24" t="str">
        <f aca="false">IF(A25="","",IF(OR(AND(R25&lt;&gt;"",R25&lt;0),AND(S25&lt;&gt;"",S25&lt;0)),"EXPIRED",IF(OR(AND(R25&lt;&gt;"",R25&lt;=Settings!$B$15),AND(S25&lt;&gt;"",S25&lt;=Settings!$B$15)),"EXPIRING SOON","OK")))</f>
        <v>OK</v>
      </c>
      <c r="U25" s="24" t="n">
        <f aca="false">IF(AND(C25="Own",Q25="Active"),COUNTIFS($C$5:C25,"Own",$Q$5:Q25,"Active"),"")</f>
        <v>21</v>
      </c>
      <c r="V25" s="26" t="n">
        <f aca="false">IF(C25&lt;&gt;"Own","",IF(K25="Hourly",N25,(L25+M25)/(Settings!$B$11*Settings!$B$12)))</f>
        <v>9.13461538461539</v>
      </c>
    </row>
    <row r="26" customFormat="false" ht="15" hidden="false" customHeight="false" outlineLevel="0" collapsed="false">
      <c r="A26" s="33" t="s">
        <v>348</v>
      </c>
      <c r="B26" s="33" t="s">
        <v>349</v>
      </c>
      <c r="C26" s="33" t="s">
        <v>128</v>
      </c>
      <c r="D26" s="33"/>
      <c r="E26" s="33" t="s">
        <v>153</v>
      </c>
      <c r="F26" s="33" t="s">
        <v>278</v>
      </c>
      <c r="G26" s="33" t="s">
        <v>350</v>
      </c>
      <c r="H26" s="33" t="s">
        <v>351</v>
      </c>
      <c r="I26" s="41" t="n">
        <v>46549</v>
      </c>
      <c r="J26" s="41" t="n">
        <v>46554</v>
      </c>
      <c r="K26" s="33" t="s">
        <v>129</v>
      </c>
      <c r="L26" s="39" t="n">
        <v>1500</v>
      </c>
      <c r="M26" s="39" t="n">
        <v>400</v>
      </c>
      <c r="N26" s="39"/>
      <c r="O26" s="33" t="s">
        <v>248</v>
      </c>
      <c r="P26" s="33" t="s">
        <v>352</v>
      </c>
      <c r="Q26" s="33" t="s">
        <v>131</v>
      </c>
      <c r="R26" s="25" t="n">
        <f aca="true">IF(I26="","",I26-TODAY())</f>
        <v>222</v>
      </c>
      <c r="S26" s="25" t="n">
        <f aca="true">IF(J26="","",J26-TODAY())</f>
        <v>227</v>
      </c>
      <c r="T26" s="24" t="str">
        <f aca="false">IF(A26="","",IF(OR(AND(R26&lt;&gt;"",R26&lt;0),AND(S26&lt;&gt;"",S26&lt;0)),"EXPIRED",IF(OR(AND(R26&lt;&gt;"",R26&lt;=Settings!$B$15),AND(S26&lt;&gt;"",S26&lt;=Settings!$B$15)),"EXPIRING SOON","OK")))</f>
        <v>OK</v>
      </c>
      <c r="U26" s="24" t="n">
        <f aca="false">IF(AND(C26="Own",Q26="Active"),COUNTIFS($C$5:C26,"Own",$Q$5:Q26,"Active"),"")</f>
        <v>22</v>
      </c>
      <c r="V26" s="26" t="n">
        <f aca="false">IF(C26&lt;&gt;"Own","",IF(K26="Hourly",N26,(L26+M26)/(Settings!$B$11*Settings!$B$12)))</f>
        <v>9.13461538461539</v>
      </c>
    </row>
    <row r="27" customFormat="false" ht="15" hidden="false" customHeight="false" outlineLevel="0" collapsed="false">
      <c r="A27" s="33" t="s">
        <v>353</v>
      </c>
      <c r="B27" s="33" t="s">
        <v>354</v>
      </c>
      <c r="C27" s="33" t="s">
        <v>128</v>
      </c>
      <c r="D27" s="33"/>
      <c r="E27" s="33" t="s">
        <v>144</v>
      </c>
      <c r="F27" s="33" t="s">
        <v>238</v>
      </c>
      <c r="G27" s="33" t="s">
        <v>355</v>
      </c>
      <c r="H27" s="33" t="s">
        <v>356</v>
      </c>
      <c r="I27" s="41" t="n">
        <v>46436</v>
      </c>
      <c r="J27" s="41" t="n">
        <v>46436</v>
      </c>
      <c r="K27" s="33" t="s">
        <v>129</v>
      </c>
      <c r="L27" s="39" t="n">
        <v>1400</v>
      </c>
      <c r="M27" s="39" t="n">
        <v>500</v>
      </c>
      <c r="N27" s="39"/>
      <c r="O27" s="33" t="s">
        <v>248</v>
      </c>
      <c r="P27" s="33" t="s">
        <v>357</v>
      </c>
      <c r="Q27" s="33" t="s">
        <v>131</v>
      </c>
      <c r="R27" s="25" t="n">
        <f aca="true">IF(I27="","",I27-TODAY())</f>
        <v>109</v>
      </c>
      <c r="S27" s="25" t="n">
        <f aca="true">IF(J27="","",J27-TODAY())</f>
        <v>109</v>
      </c>
      <c r="T27" s="24" t="str">
        <f aca="false">IF(A27="","",IF(OR(AND(R27&lt;&gt;"",R27&lt;0),AND(S27&lt;&gt;"",S27&lt;0)),"EXPIRED",IF(OR(AND(R27&lt;&gt;"",R27&lt;=Settings!$B$15),AND(S27&lt;&gt;"",S27&lt;=Settings!$B$15)),"EXPIRING SOON","OK")))</f>
        <v>OK</v>
      </c>
      <c r="U27" s="24" t="n">
        <f aca="false">IF(AND(C27="Own",Q27="Active"),COUNTIFS($C$5:C27,"Own",$Q$5:Q27,"Active"),"")</f>
        <v>23</v>
      </c>
      <c r="V27" s="26" t="n">
        <f aca="false">IF(C27&lt;&gt;"Own","",IF(K27="Hourly",N27,(L27+M27)/(Settings!$B$11*Settings!$B$12)))</f>
        <v>9.13461538461539</v>
      </c>
    </row>
    <row r="28" customFormat="false" ht="15" hidden="false" customHeight="false" outlineLevel="0" collapsed="false">
      <c r="A28" s="33" t="s">
        <v>358</v>
      </c>
      <c r="B28" s="33" t="s">
        <v>359</v>
      </c>
      <c r="C28" s="33" t="s">
        <v>128</v>
      </c>
      <c r="D28" s="33"/>
      <c r="E28" s="33" t="s">
        <v>144</v>
      </c>
      <c r="F28" s="33" t="s">
        <v>339</v>
      </c>
      <c r="G28" s="33" t="s">
        <v>360</v>
      </c>
      <c r="H28" s="33" t="s">
        <v>361</v>
      </c>
      <c r="I28" s="41" t="n">
        <v>46352</v>
      </c>
      <c r="J28" s="41" t="n">
        <v>46357</v>
      </c>
      <c r="K28" s="33" t="s">
        <v>136</v>
      </c>
      <c r="L28" s="39"/>
      <c r="M28" s="39"/>
      <c r="N28" s="39" t="n">
        <v>11</v>
      </c>
      <c r="O28" s="33" t="s">
        <v>248</v>
      </c>
      <c r="P28" s="33" t="s">
        <v>362</v>
      </c>
      <c r="Q28" s="33" t="s">
        <v>131</v>
      </c>
      <c r="R28" s="25" t="n">
        <f aca="true">IF(I28="","",I28-TODAY())</f>
        <v>25</v>
      </c>
      <c r="S28" s="25" t="n">
        <f aca="true">IF(J28="","",J28-TODAY())</f>
        <v>30</v>
      </c>
      <c r="T28" s="24" t="str">
        <f aca="false">IF(A28="","",IF(OR(AND(R28&lt;&gt;"",R28&lt;0),AND(S28&lt;&gt;"",S28&lt;0)),"EXPIRED",IF(OR(AND(R28&lt;&gt;"",R28&lt;=Settings!$B$15),AND(S28&lt;&gt;"",S28&lt;=Settings!$B$15)),"EXPIRING SOON","OK")))</f>
        <v>EXPIRING SOON</v>
      </c>
      <c r="U28" s="24" t="n">
        <f aca="false">IF(AND(C28="Own",Q28="Active"),COUNTIFS($C$5:C28,"Own",$Q$5:Q28,"Active"),"")</f>
        <v>24</v>
      </c>
      <c r="V28" s="26" t="n">
        <f aca="false">IF(C28&lt;&gt;"Own","",IF(K28="Hourly",N28,(L28+M28)/(Settings!$B$11*Settings!$B$12)))</f>
        <v>11</v>
      </c>
    </row>
    <row r="29" customFormat="false" ht="15" hidden="false" customHeight="false" outlineLevel="0" collapsed="false">
      <c r="A29" s="33" t="s">
        <v>363</v>
      </c>
      <c r="B29" s="33" t="s">
        <v>364</v>
      </c>
      <c r="C29" s="33" t="s">
        <v>128</v>
      </c>
      <c r="D29" s="33"/>
      <c r="E29" s="33" t="s">
        <v>147</v>
      </c>
      <c r="F29" s="33" t="s">
        <v>339</v>
      </c>
      <c r="G29" s="33" t="s">
        <v>365</v>
      </c>
      <c r="H29" s="33" t="s">
        <v>366</v>
      </c>
      <c r="I29" s="41" t="n">
        <v>46612</v>
      </c>
      <c r="J29" s="41" t="n">
        <v>46617</v>
      </c>
      <c r="K29" s="33" t="s">
        <v>129</v>
      </c>
      <c r="L29" s="39" t="n">
        <v>2000</v>
      </c>
      <c r="M29" s="39" t="n">
        <v>400</v>
      </c>
      <c r="N29" s="39"/>
      <c r="O29" s="33" t="s">
        <v>140</v>
      </c>
      <c r="P29" s="33" t="s">
        <v>367</v>
      </c>
      <c r="Q29" s="33" t="s">
        <v>131</v>
      </c>
      <c r="R29" s="25" t="n">
        <f aca="true">IF(I29="","",I29-TODAY())</f>
        <v>285</v>
      </c>
      <c r="S29" s="25" t="n">
        <f aca="true">IF(J29="","",J29-TODAY())</f>
        <v>290</v>
      </c>
      <c r="T29" s="24" t="str">
        <f aca="false">IF(A29="","",IF(OR(AND(R29&lt;&gt;"",R29&lt;0),AND(S29&lt;&gt;"",S29&lt;0)),"EXPIRED",IF(OR(AND(R29&lt;&gt;"",R29&lt;=Settings!$B$15),AND(S29&lt;&gt;"",S29&lt;=Settings!$B$15)),"EXPIRING SOON","OK")))</f>
        <v>OK</v>
      </c>
      <c r="U29" s="24" t="n">
        <f aca="false">IF(AND(C29="Own",Q29="Active"),COUNTIFS($C$5:C29,"Own",$Q$5:Q29,"Active"),"")</f>
        <v>25</v>
      </c>
      <c r="V29" s="26" t="n">
        <f aca="false">IF(C29&lt;&gt;"Own","",IF(K29="Hourly",N29,(L29+M29)/(Settings!$B$11*Settings!$B$12)))</f>
        <v>11.5384615384615</v>
      </c>
    </row>
    <row r="30" customFormat="false" ht="15" hidden="false" customHeight="false" outlineLevel="0" collapsed="false">
      <c r="A30" s="33" t="s">
        <v>368</v>
      </c>
      <c r="B30" s="33" t="s">
        <v>369</v>
      </c>
      <c r="C30" s="33" t="s">
        <v>128</v>
      </c>
      <c r="D30" s="33"/>
      <c r="E30" s="33" t="s">
        <v>149</v>
      </c>
      <c r="F30" s="33" t="s">
        <v>245</v>
      </c>
      <c r="G30" s="33" t="s">
        <v>370</v>
      </c>
      <c r="H30" s="33" t="s">
        <v>371</v>
      </c>
      <c r="I30" s="41" t="n">
        <v>46779</v>
      </c>
      <c r="J30" s="41" t="n">
        <v>46784</v>
      </c>
      <c r="K30" s="33" t="s">
        <v>129</v>
      </c>
      <c r="L30" s="39" t="n">
        <v>2500</v>
      </c>
      <c r="M30" s="39" t="n">
        <v>400</v>
      </c>
      <c r="N30" s="39"/>
      <c r="O30" s="33" t="s">
        <v>241</v>
      </c>
      <c r="P30" s="33" t="s">
        <v>372</v>
      </c>
      <c r="Q30" s="33" t="s">
        <v>131</v>
      </c>
      <c r="R30" s="25" t="n">
        <f aca="true">IF(I30="","",I30-TODAY())</f>
        <v>452</v>
      </c>
      <c r="S30" s="25" t="n">
        <f aca="true">IF(J30="","",J30-TODAY())</f>
        <v>457</v>
      </c>
      <c r="T30" s="24" t="str">
        <f aca="false">IF(A30="","",IF(OR(AND(R30&lt;&gt;"",R30&lt;0),AND(S30&lt;&gt;"",S30&lt;0)),"EXPIRED",IF(OR(AND(R30&lt;&gt;"",R30&lt;=Settings!$B$15),AND(S30&lt;&gt;"",S30&lt;=Settings!$B$15)),"EXPIRING SOON","OK")))</f>
        <v>OK</v>
      </c>
      <c r="U30" s="24" t="n">
        <f aca="false">IF(AND(C30="Own",Q30="Active"),COUNTIFS($C$5:C30,"Own",$Q$5:Q30,"Active"),"")</f>
        <v>26</v>
      </c>
      <c r="V30" s="26" t="n">
        <f aca="false">IF(C30&lt;&gt;"Own","",IF(K30="Hourly",N30,(L30+M30)/(Settings!$B$11*Settings!$B$12)))</f>
        <v>13.9423076923077</v>
      </c>
    </row>
    <row r="31" customFormat="false" ht="15" hidden="false" customHeight="false" outlineLevel="0" collapsed="false">
      <c r="A31" s="33" t="s">
        <v>373</v>
      </c>
      <c r="B31" s="33" t="s">
        <v>374</v>
      </c>
      <c r="C31" s="33" t="s">
        <v>128</v>
      </c>
      <c r="D31" s="33"/>
      <c r="E31" s="33" t="s">
        <v>147</v>
      </c>
      <c r="F31" s="33" t="s">
        <v>339</v>
      </c>
      <c r="G31" s="33" t="s">
        <v>375</v>
      </c>
      <c r="H31" s="33" t="s">
        <v>376</v>
      </c>
      <c r="I31" s="41" t="n">
        <v>46787</v>
      </c>
      <c r="J31" s="41" t="n">
        <v>46827</v>
      </c>
      <c r="K31" s="33" t="s">
        <v>129</v>
      </c>
      <c r="L31" s="39" t="n">
        <v>2000</v>
      </c>
      <c r="M31" s="39" t="n">
        <v>300</v>
      </c>
      <c r="N31" s="39"/>
      <c r="O31" s="33" t="s">
        <v>140</v>
      </c>
      <c r="P31" s="33" t="s">
        <v>377</v>
      </c>
      <c r="Q31" s="33" t="s">
        <v>131</v>
      </c>
      <c r="R31" s="25" t="n">
        <f aca="true">IF(I31="","",I31-TODAY())</f>
        <v>460</v>
      </c>
      <c r="S31" s="25" t="n">
        <f aca="true">IF(J31="","",J31-TODAY())</f>
        <v>500</v>
      </c>
      <c r="T31" s="24" t="str">
        <f aca="false">IF(A31="","",IF(OR(AND(R31&lt;&gt;"",R31&lt;0),AND(S31&lt;&gt;"",S31&lt;0)),"EXPIRED",IF(OR(AND(R31&lt;&gt;"",R31&lt;=Settings!$B$15),AND(S31&lt;&gt;"",S31&lt;=Settings!$B$15)),"EXPIRING SOON","OK")))</f>
        <v>OK</v>
      </c>
      <c r="U31" s="24" t="n">
        <f aca="false">IF(AND(C31="Own",Q31="Active"),COUNTIFS($C$5:C31,"Own",$Q$5:Q31,"Active"),"")</f>
        <v>27</v>
      </c>
      <c r="V31" s="26" t="n">
        <f aca="false">IF(C31&lt;&gt;"Own","",IF(K31="Hourly",N31,(L31+M31)/(Settings!$B$11*Settings!$B$12)))</f>
        <v>11.0576923076923</v>
      </c>
    </row>
    <row r="32" customFormat="false" ht="15" hidden="false" customHeight="false" outlineLevel="0" collapsed="false">
      <c r="A32" s="33" t="s">
        <v>378</v>
      </c>
      <c r="B32" s="33" t="s">
        <v>379</v>
      </c>
      <c r="C32" s="33" t="s">
        <v>128</v>
      </c>
      <c r="D32" s="33"/>
      <c r="E32" s="33" t="s">
        <v>134</v>
      </c>
      <c r="F32" s="33" t="s">
        <v>245</v>
      </c>
      <c r="G32" s="33" t="s">
        <v>380</v>
      </c>
      <c r="H32" s="33" t="s">
        <v>381</v>
      </c>
      <c r="I32" s="41" t="n">
        <v>46625</v>
      </c>
      <c r="J32" s="41" t="n">
        <v>46665</v>
      </c>
      <c r="K32" s="33" t="s">
        <v>129</v>
      </c>
      <c r="L32" s="39" t="n">
        <v>2000</v>
      </c>
      <c r="M32" s="39" t="n">
        <v>400</v>
      </c>
      <c r="N32" s="39"/>
      <c r="O32" s="33" t="s">
        <v>140</v>
      </c>
      <c r="P32" s="33" t="s">
        <v>382</v>
      </c>
      <c r="Q32" s="33" t="s">
        <v>131</v>
      </c>
      <c r="R32" s="25" t="n">
        <f aca="true">IF(I32="","",I32-TODAY())</f>
        <v>298</v>
      </c>
      <c r="S32" s="25" t="n">
        <f aca="true">IF(J32="","",J32-TODAY())</f>
        <v>338</v>
      </c>
      <c r="T32" s="24" t="str">
        <f aca="false">IF(A32="","",IF(OR(AND(R32&lt;&gt;"",R32&lt;0),AND(S32&lt;&gt;"",S32&lt;0)),"EXPIRED",IF(OR(AND(R32&lt;&gt;"",R32&lt;=Settings!$B$15),AND(S32&lt;&gt;"",S32&lt;=Settings!$B$15)),"EXPIRING SOON","OK")))</f>
        <v>OK</v>
      </c>
      <c r="U32" s="24" t="n">
        <f aca="false">IF(AND(C32="Own",Q32="Active"),COUNTIFS($C$5:C32,"Own",$Q$5:Q32,"Active"),"")</f>
        <v>28</v>
      </c>
      <c r="V32" s="26" t="n">
        <f aca="false">IF(C32&lt;&gt;"Own","",IF(K32="Hourly",N32,(L32+M32)/(Settings!$B$11*Settings!$B$12)))</f>
        <v>11.5384615384615</v>
      </c>
    </row>
    <row r="33" customFormat="false" ht="15" hidden="false" customHeight="false" outlineLevel="0" collapsed="false">
      <c r="A33" s="33" t="s">
        <v>383</v>
      </c>
      <c r="B33" s="33" t="s">
        <v>384</v>
      </c>
      <c r="C33" s="33" t="s">
        <v>128</v>
      </c>
      <c r="D33" s="33"/>
      <c r="E33" s="33" t="s">
        <v>141</v>
      </c>
      <c r="F33" s="33" t="s">
        <v>339</v>
      </c>
      <c r="G33" s="33" t="s">
        <v>385</v>
      </c>
      <c r="H33" s="33" t="s">
        <v>386</v>
      </c>
      <c r="I33" s="41" t="n">
        <v>46947</v>
      </c>
      <c r="J33" s="41" t="n">
        <v>46987</v>
      </c>
      <c r="K33" s="33" t="s">
        <v>129</v>
      </c>
      <c r="L33" s="39" t="n">
        <v>1500</v>
      </c>
      <c r="M33" s="39" t="n">
        <v>300</v>
      </c>
      <c r="N33" s="39"/>
      <c r="O33" s="33" t="s">
        <v>241</v>
      </c>
      <c r="P33" s="33" t="s">
        <v>387</v>
      </c>
      <c r="Q33" s="33" t="s">
        <v>131</v>
      </c>
      <c r="R33" s="25" t="n">
        <f aca="true">IF(I33="","",I33-TODAY())</f>
        <v>620</v>
      </c>
      <c r="S33" s="25" t="n">
        <f aca="true">IF(J33="","",J33-TODAY())</f>
        <v>660</v>
      </c>
      <c r="T33" s="24" t="str">
        <f aca="false">IF(A33="","",IF(OR(AND(R33&lt;&gt;"",R33&lt;0),AND(S33&lt;&gt;"",S33&lt;0)),"EXPIRED",IF(OR(AND(R33&lt;&gt;"",R33&lt;=Settings!$B$15),AND(S33&lt;&gt;"",S33&lt;=Settings!$B$15)),"EXPIRING SOON","OK")))</f>
        <v>OK</v>
      </c>
      <c r="U33" s="24" t="n">
        <f aca="false">IF(AND(C33="Own",Q33="Active"),COUNTIFS($C$5:C33,"Own",$Q$5:Q33,"Active"),"")</f>
        <v>29</v>
      </c>
      <c r="V33" s="26" t="n">
        <f aca="false">IF(C33&lt;&gt;"Own","",IF(K33="Hourly",N33,(L33+M33)/(Settings!$B$11*Settings!$B$12)))</f>
        <v>8.65384615384615</v>
      </c>
    </row>
    <row r="34" customFormat="false" ht="15" hidden="false" customHeight="false" outlineLevel="0" collapsed="false">
      <c r="A34" s="33" t="s">
        <v>388</v>
      </c>
      <c r="B34" s="33" t="s">
        <v>389</v>
      </c>
      <c r="C34" s="33" t="s">
        <v>128</v>
      </c>
      <c r="D34" s="33"/>
      <c r="E34" s="33" t="s">
        <v>153</v>
      </c>
      <c r="F34" s="33" t="s">
        <v>238</v>
      </c>
      <c r="G34" s="33" t="s">
        <v>390</v>
      </c>
      <c r="H34" s="33" t="s">
        <v>391</v>
      </c>
      <c r="I34" s="41" t="n">
        <v>46894</v>
      </c>
      <c r="J34" s="41" t="n">
        <v>46894</v>
      </c>
      <c r="K34" s="33" t="s">
        <v>129</v>
      </c>
      <c r="L34" s="39" t="n">
        <v>1800</v>
      </c>
      <c r="M34" s="39" t="n">
        <v>300</v>
      </c>
      <c r="N34" s="39"/>
      <c r="O34" s="33" t="s">
        <v>248</v>
      </c>
      <c r="P34" s="33" t="s">
        <v>392</v>
      </c>
      <c r="Q34" s="33" t="s">
        <v>131</v>
      </c>
      <c r="R34" s="25" t="n">
        <f aca="true">IF(I34="","",I34-TODAY())</f>
        <v>567</v>
      </c>
      <c r="S34" s="25" t="n">
        <f aca="true">IF(J34="","",J34-TODAY())</f>
        <v>567</v>
      </c>
      <c r="T34" s="24" t="str">
        <f aca="false">IF(A34="","",IF(OR(AND(R34&lt;&gt;"",R34&lt;0),AND(S34&lt;&gt;"",S34&lt;0)),"EXPIRED",IF(OR(AND(R34&lt;&gt;"",R34&lt;=Settings!$B$15),AND(S34&lt;&gt;"",S34&lt;=Settings!$B$15)),"EXPIRING SOON","OK")))</f>
        <v>OK</v>
      </c>
      <c r="U34" s="24" t="n">
        <f aca="false">IF(AND(C34="Own",Q34="Active"),COUNTIFS($C$5:C34,"Own",$Q$5:Q34,"Active"),"")</f>
        <v>30</v>
      </c>
      <c r="V34" s="26" t="n">
        <f aca="false">IF(C34&lt;&gt;"Own","",IF(K34="Hourly",N34,(L34+M34)/(Settings!$B$11*Settings!$B$12)))</f>
        <v>10.0961538461538</v>
      </c>
    </row>
    <row r="35" customFormat="false" ht="15" hidden="false" customHeight="false" outlineLevel="0" collapsed="false">
      <c r="A35" s="33" t="s">
        <v>393</v>
      </c>
      <c r="B35" s="33" t="s">
        <v>394</v>
      </c>
      <c r="C35" s="33" t="s">
        <v>128</v>
      </c>
      <c r="D35" s="33"/>
      <c r="E35" s="33" t="s">
        <v>134</v>
      </c>
      <c r="F35" s="33" t="s">
        <v>252</v>
      </c>
      <c r="G35" s="33" t="s">
        <v>395</v>
      </c>
      <c r="H35" s="33" t="s">
        <v>396</v>
      </c>
      <c r="I35" s="41" t="n">
        <v>46442</v>
      </c>
      <c r="J35" s="41" t="n">
        <v>46447</v>
      </c>
      <c r="K35" s="33" t="s">
        <v>129</v>
      </c>
      <c r="L35" s="39" t="n">
        <v>2000</v>
      </c>
      <c r="M35" s="39" t="n">
        <v>500</v>
      </c>
      <c r="N35" s="39"/>
      <c r="O35" s="33" t="s">
        <v>140</v>
      </c>
      <c r="P35" s="33" t="s">
        <v>397</v>
      </c>
      <c r="Q35" s="33" t="s">
        <v>131</v>
      </c>
      <c r="R35" s="25" t="n">
        <f aca="true">IF(I35="","",I35-TODAY())</f>
        <v>115</v>
      </c>
      <c r="S35" s="25" t="n">
        <f aca="true">IF(J35="","",J35-TODAY())</f>
        <v>120</v>
      </c>
      <c r="T35" s="24" t="str">
        <f aca="false">IF(A35="","",IF(OR(AND(R35&lt;&gt;"",R35&lt;0),AND(S35&lt;&gt;"",S35&lt;0)),"EXPIRED",IF(OR(AND(R35&lt;&gt;"",R35&lt;=Settings!$B$15),AND(S35&lt;&gt;"",S35&lt;=Settings!$B$15)),"EXPIRING SOON","OK")))</f>
        <v>OK</v>
      </c>
      <c r="U35" s="24" t="n">
        <f aca="false">IF(AND(C35="Own",Q35="Active"),COUNTIFS($C$5:C35,"Own",$Q$5:Q35,"Active"),"")</f>
        <v>31</v>
      </c>
      <c r="V35" s="26" t="n">
        <f aca="false">IF(C35&lt;&gt;"Own","",IF(K35="Hourly",N35,(L35+M35)/(Settings!$B$11*Settings!$B$12)))</f>
        <v>12.0192307692308</v>
      </c>
    </row>
    <row r="36" customFormat="false" ht="15" hidden="false" customHeight="false" outlineLevel="0" collapsed="false">
      <c r="A36" s="33" t="s">
        <v>398</v>
      </c>
      <c r="B36" s="33" t="s">
        <v>399</v>
      </c>
      <c r="C36" s="33" t="s">
        <v>128</v>
      </c>
      <c r="D36" s="33"/>
      <c r="E36" s="33" t="s">
        <v>149</v>
      </c>
      <c r="F36" s="33" t="s">
        <v>245</v>
      </c>
      <c r="G36" s="33" t="s">
        <v>400</v>
      </c>
      <c r="H36" s="33" t="s">
        <v>401</v>
      </c>
      <c r="I36" s="41" t="n">
        <v>46817</v>
      </c>
      <c r="J36" s="41" t="n">
        <v>46817</v>
      </c>
      <c r="K36" s="33" t="s">
        <v>136</v>
      </c>
      <c r="L36" s="39"/>
      <c r="M36" s="39"/>
      <c r="N36" s="39" t="n">
        <v>11</v>
      </c>
      <c r="O36" s="33" t="s">
        <v>248</v>
      </c>
      <c r="P36" s="33" t="s">
        <v>402</v>
      </c>
      <c r="Q36" s="33" t="s">
        <v>131</v>
      </c>
      <c r="R36" s="25" t="n">
        <f aca="true">IF(I36="","",I36-TODAY())</f>
        <v>490</v>
      </c>
      <c r="S36" s="25" t="n">
        <f aca="true">IF(J36="","",J36-TODAY())</f>
        <v>490</v>
      </c>
      <c r="T36" s="24" t="str">
        <f aca="false">IF(A36="","",IF(OR(AND(R36&lt;&gt;"",R36&lt;0),AND(S36&lt;&gt;"",S36&lt;0)),"EXPIRED",IF(OR(AND(R36&lt;&gt;"",R36&lt;=Settings!$B$15),AND(S36&lt;&gt;"",S36&lt;=Settings!$B$15)),"EXPIRING SOON","OK")))</f>
        <v>OK</v>
      </c>
      <c r="U36" s="24" t="n">
        <f aca="false">IF(AND(C36="Own",Q36="Active"),COUNTIFS($C$5:C36,"Own",$Q$5:Q36,"Active"),"")</f>
        <v>32</v>
      </c>
      <c r="V36" s="26" t="n">
        <f aca="false">IF(C36&lt;&gt;"Own","",IF(K36="Hourly",N36,(L36+M36)/(Settings!$B$11*Settings!$B$12)))</f>
        <v>11</v>
      </c>
    </row>
    <row r="37" customFormat="false" ht="15" hidden="false" customHeight="false" outlineLevel="0" collapsed="false">
      <c r="A37" s="33" t="s">
        <v>403</v>
      </c>
      <c r="B37" s="33" t="s">
        <v>257</v>
      </c>
      <c r="C37" s="33" t="s">
        <v>128</v>
      </c>
      <c r="D37" s="33"/>
      <c r="E37" s="33" t="s">
        <v>149</v>
      </c>
      <c r="F37" s="33" t="s">
        <v>278</v>
      </c>
      <c r="G37" s="33" t="s">
        <v>404</v>
      </c>
      <c r="H37" s="33" t="s">
        <v>405</v>
      </c>
      <c r="I37" s="41" t="n">
        <v>46317</v>
      </c>
      <c r="J37" s="41" t="n">
        <v>46322</v>
      </c>
      <c r="K37" s="33" t="s">
        <v>129</v>
      </c>
      <c r="L37" s="39" t="n">
        <v>2000</v>
      </c>
      <c r="M37" s="39" t="n">
        <v>400</v>
      </c>
      <c r="N37" s="39"/>
      <c r="O37" s="33" t="s">
        <v>241</v>
      </c>
      <c r="P37" s="33" t="s">
        <v>406</v>
      </c>
      <c r="Q37" s="33" t="s">
        <v>131</v>
      </c>
      <c r="R37" s="25" t="n">
        <f aca="true">IF(I37="","",I37-TODAY())</f>
        <v>-10</v>
      </c>
      <c r="S37" s="25" t="n">
        <f aca="true">IF(J37="","",J37-TODAY())</f>
        <v>-5</v>
      </c>
      <c r="T37" s="24" t="str">
        <f aca="false">IF(A37="","",IF(OR(AND(R37&lt;&gt;"",R37&lt;0),AND(S37&lt;&gt;"",S37&lt;0)),"EXPIRED",IF(OR(AND(R37&lt;&gt;"",R37&lt;=Settings!$B$15),AND(S37&lt;&gt;"",S37&lt;=Settings!$B$15)),"EXPIRING SOON","OK")))</f>
        <v>EXPIRED</v>
      </c>
      <c r="U37" s="24" t="n">
        <f aca="false">IF(AND(C37="Own",Q37="Active"),COUNTIFS($C$5:C37,"Own",$Q$5:Q37,"Active"),"")</f>
        <v>33</v>
      </c>
      <c r="V37" s="26" t="n">
        <f aca="false">IF(C37&lt;&gt;"Own","",IF(K37="Hourly",N37,(L37+M37)/(Settings!$B$11*Settings!$B$12)))</f>
        <v>11.5384615384615</v>
      </c>
    </row>
    <row r="38" customFormat="false" ht="15" hidden="false" customHeight="false" outlineLevel="0" collapsed="false">
      <c r="A38" s="33" t="s">
        <v>407</v>
      </c>
      <c r="B38" s="33" t="s">
        <v>408</v>
      </c>
      <c r="C38" s="33" t="s">
        <v>128</v>
      </c>
      <c r="D38" s="33"/>
      <c r="E38" s="33" t="s">
        <v>153</v>
      </c>
      <c r="F38" s="33" t="s">
        <v>339</v>
      </c>
      <c r="G38" s="33" t="s">
        <v>409</v>
      </c>
      <c r="H38" s="33" t="s">
        <v>410</v>
      </c>
      <c r="I38" s="41" t="n">
        <v>46873</v>
      </c>
      <c r="J38" s="41" t="n">
        <v>46878</v>
      </c>
      <c r="K38" s="33" t="s">
        <v>129</v>
      </c>
      <c r="L38" s="39" t="n">
        <v>1200</v>
      </c>
      <c r="M38" s="39" t="n">
        <v>300</v>
      </c>
      <c r="N38" s="39"/>
      <c r="O38" s="33" t="s">
        <v>140</v>
      </c>
      <c r="P38" s="33" t="s">
        <v>411</v>
      </c>
      <c r="Q38" s="33" t="s">
        <v>131</v>
      </c>
      <c r="R38" s="25" t="n">
        <f aca="true">IF(I38="","",I38-TODAY())</f>
        <v>546</v>
      </c>
      <c r="S38" s="25" t="n">
        <f aca="true">IF(J38="","",J38-TODAY())</f>
        <v>551</v>
      </c>
      <c r="T38" s="24" t="str">
        <f aca="false">IF(A38="","",IF(OR(AND(R38&lt;&gt;"",R38&lt;0),AND(S38&lt;&gt;"",S38&lt;0)),"EXPIRED",IF(OR(AND(R38&lt;&gt;"",R38&lt;=Settings!$B$15),AND(S38&lt;&gt;"",S38&lt;=Settings!$B$15)),"EXPIRING SOON","OK")))</f>
        <v>OK</v>
      </c>
      <c r="U38" s="24" t="n">
        <f aca="false">IF(AND(C38="Own",Q38="Active"),COUNTIFS($C$5:C38,"Own",$Q$5:Q38,"Active"),"")</f>
        <v>34</v>
      </c>
      <c r="V38" s="26" t="n">
        <f aca="false">IF(C38&lt;&gt;"Own","",IF(K38="Hourly",N38,(L38+M38)/(Settings!$B$11*Settings!$B$12)))</f>
        <v>7.21153846153846</v>
      </c>
    </row>
    <row r="39" customFormat="false" ht="15" hidden="false" customHeight="false" outlineLevel="0" collapsed="false">
      <c r="A39" s="33" t="s">
        <v>412</v>
      </c>
      <c r="B39" s="33" t="s">
        <v>413</v>
      </c>
      <c r="C39" s="33" t="s">
        <v>128</v>
      </c>
      <c r="D39" s="33"/>
      <c r="E39" s="33" t="s">
        <v>147</v>
      </c>
      <c r="F39" s="33" t="s">
        <v>238</v>
      </c>
      <c r="G39" s="33" t="s">
        <v>414</v>
      </c>
      <c r="H39" s="33" t="s">
        <v>415</v>
      </c>
      <c r="I39" s="41" t="n">
        <v>46550</v>
      </c>
      <c r="J39" s="41" t="n">
        <v>46555</v>
      </c>
      <c r="K39" s="33" t="s">
        <v>129</v>
      </c>
      <c r="L39" s="39" t="n">
        <v>1800</v>
      </c>
      <c r="M39" s="39" t="n">
        <v>500</v>
      </c>
      <c r="N39" s="39"/>
      <c r="O39" s="33" t="s">
        <v>140</v>
      </c>
      <c r="P39" s="33" t="s">
        <v>416</v>
      </c>
      <c r="Q39" s="33" t="s">
        <v>131</v>
      </c>
      <c r="R39" s="25" t="n">
        <f aca="true">IF(I39="","",I39-TODAY())</f>
        <v>223</v>
      </c>
      <c r="S39" s="25" t="n">
        <f aca="true">IF(J39="","",J39-TODAY())</f>
        <v>228</v>
      </c>
      <c r="T39" s="24" t="str">
        <f aca="false">IF(A39="","",IF(OR(AND(R39&lt;&gt;"",R39&lt;0),AND(S39&lt;&gt;"",S39&lt;0)),"EXPIRED",IF(OR(AND(R39&lt;&gt;"",R39&lt;=Settings!$B$15),AND(S39&lt;&gt;"",S39&lt;=Settings!$B$15)),"EXPIRING SOON","OK")))</f>
        <v>OK</v>
      </c>
      <c r="U39" s="24" t="n">
        <f aca="false">IF(AND(C39="Own",Q39="Active"),COUNTIFS($C$5:C39,"Own",$Q$5:Q39,"Active"),"")</f>
        <v>35</v>
      </c>
      <c r="V39" s="26" t="n">
        <f aca="false">IF(C39&lt;&gt;"Own","",IF(K39="Hourly",N39,(L39+M39)/(Settings!$B$11*Settings!$B$12)))</f>
        <v>11.0576923076923</v>
      </c>
    </row>
    <row r="40" customFormat="false" ht="15" hidden="false" customHeight="false" outlineLevel="0" collapsed="false">
      <c r="A40" s="33" t="s">
        <v>417</v>
      </c>
      <c r="B40" s="33" t="s">
        <v>418</v>
      </c>
      <c r="C40" s="33" t="s">
        <v>128</v>
      </c>
      <c r="D40" s="33"/>
      <c r="E40" s="33" t="s">
        <v>134</v>
      </c>
      <c r="F40" s="33" t="s">
        <v>252</v>
      </c>
      <c r="G40" s="33" t="s">
        <v>419</v>
      </c>
      <c r="H40" s="33" t="s">
        <v>420</v>
      </c>
      <c r="I40" s="41" t="n">
        <v>46627</v>
      </c>
      <c r="J40" s="41" t="n">
        <v>46632</v>
      </c>
      <c r="K40" s="33" t="s">
        <v>129</v>
      </c>
      <c r="L40" s="39" t="n">
        <v>1200</v>
      </c>
      <c r="M40" s="39" t="n">
        <v>500</v>
      </c>
      <c r="N40" s="39"/>
      <c r="O40" s="33" t="s">
        <v>140</v>
      </c>
      <c r="P40" s="33" t="s">
        <v>421</v>
      </c>
      <c r="Q40" s="33" t="s">
        <v>131</v>
      </c>
      <c r="R40" s="25" t="n">
        <f aca="true">IF(I40="","",I40-TODAY())</f>
        <v>300</v>
      </c>
      <c r="S40" s="25" t="n">
        <f aca="true">IF(J40="","",J40-TODAY())</f>
        <v>305</v>
      </c>
      <c r="T40" s="24" t="str">
        <f aca="false">IF(A40="","",IF(OR(AND(R40&lt;&gt;"",R40&lt;0),AND(S40&lt;&gt;"",S40&lt;0)),"EXPIRED",IF(OR(AND(R40&lt;&gt;"",R40&lt;=Settings!$B$15),AND(S40&lt;&gt;"",S40&lt;=Settings!$B$15)),"EXPIRING SOON","OK")))</f>
        <v>OK</v>
      </c>
      <c r="U40" s="24" t="n">
        <f aca="false">IF(AND(C40="Own",Q40="Active"),COUNTIFS($C$5:C40,"Own",$Q$5:Q40,"Active"),"")</f>
        <v>36</v>
      </c>
      <c r="V40" s="26" t="n">
        <f aca="false">IF(C40&lt;&gt;"Own","",IF(K40="Hourly",N40,(L40+M40)/(Settings!$B$11*Settings!$B$12)))</f>
        <v>8.17307692307692</v>
      </c>
    </row>
    <row r="41" customFormat="false" ht="15" hidden="false" customHeight="false" outlineLevel="0" collapsed="false">
      <c r="A41" s="33" t="s">
        <v>422</v>
      </c>
      <c r="B41" s="33" t="s">
        <v>423</v>
      </c>
      <c r="C41" s="33" t="s">
        <v>128</v>
      </c>
      <c r="D41" s="33"/>
      <c r="E41" s="33" t="s">
        <v>147</v>
      </c>
      <c r="F41" s="33" t="s">
        <v>278</v>
      </c>
      <c r="G41" s="33" t="s">
        <v>424</v>
      </c>
      <c r="H41" s="33" t="s">
        <v>425</v>
      </c>
      <c r="I41" s="41" t="n">
        <v>46317</v>
      </c>
      <c r="J41" s="41" t="n">
        <v>46317</v>
      </c>
      <c r="K41" s="33" t="s">
        <v>129</v>
      </c>
      <c r="L41" s="39" t="n">
        <v>2500</v>
      </c>
      <c r="M41" s="39" t="n">
        <v>500</v>
      </c>
      <c r="N41" s="39"/>
      <c r="O41" s="33" t="s">
        <v>248</v>
      </c>
      <c r="P41" s="33" t="s">
        <v>426</v>
      </c>
      <c r="Q41" s="33" t="s">
        <v>131</v>
      </c>
      <c r="R41" s="25" t="n">
        <f aca="true">IF(I41="","",I41-TODAY())</f>
        <v>-10</v>
      </c>
      <c r="S41" s="25" t="n">
        <f aca="true">IF(J41="","",J41-TODAY())</f>
        <v>-10</v>
      </c>
      <c r="T41" s="24" t="str">
        <f aca="false">IF(A41="","",IF(OR(AND(R41&lt;&gt;"",R41&lt;0),AND(S41&lt;&gt;"",S41&lt;0)),"EXPIRED",IF(OR(AND(R41&lt;&gt;"",R41&lt;=Settings!$B$15),AND(S41&lt;&gt;"",S41&lt;=Settings!$B$15)),"EXPIRING SOON","OK")))</f>
        <v>EXPIRED</v>
      </c>
      <c r="U41" s="24" t="n">
        <f aca="false">IF(AND(C41="Own",Q41="Active"),COUNTIFS($C$5:C41,"Own",$Q$5:Q41,"Active"),"")</f>
        <v>37</v>
      </c>
      <c r="V41" s="26" t="n">
        <f aca="false">IF(C41&lt;&gt;"Own","",IF(K41="Hourly",N41,(L41+M41)/(Settings!$B$11*Settings!$B$12)))</f>
        <v>14.4230769230769</v>
      </c>
    </row>
    <row r="42" customFormat="false" ht="15" hidden="false" customHeight="false" outlineLevel="0" collapsed="false">
      <c r="A42" s="33" t="s">
        <v>427</v>
      </c>
      <c r="B42" s="33" t="s">
        <v>428</v>
      </c>
      <c r="C42" s="33" t="s">
        <v>128</v>
      </c>
      <c r="D42" s="33"/>
      <c r="E42" s="33" t="s">
        <v>153</v>
      </c>
      <c r="F42" s="33" t="s">
        <v>278</v>
      </c>
      <c r="G42" s="33" t="s">
        <v>429</v>
      </c>
      <c r="H42" s="33" t="s">
        <v>430</v>
      </c>
      <c r="I42" s="41" t="n">
        <v>47004</v>
      </c>
      <c r="J42" s="41" t="n">
        <v>47004</v>
      </c>
      <c r="K42" s="33" t="s">
        <v>129</v>
      </c>
      <c r="L42" s="39" t="n">
        <v>1500</v>
      </c>
      <c r="M42" s="39" t="n">
        <v>500</v>
      </c>
      <c r="N42" s="39"/>
      <c r="O42" s="33" t="s">
        <v>140</v>
      </c>
      <c r="P42" s="33" t="s">
        <v>431</v>
      </c>
      <c r="Q42" s="33" t="s">
        <v>131</v>
      </c>
      <c r="R42" s="25" t="n">
        <f aca="true">IF(I42="","",I42-TODAY())</f>
        <v>677</v>
      </c>
      <c r="S42" s="25" t="n">
        <f aca="true">IF(J42="","",J42-TODAY())</f>
        <v>677</v>
      </c>
      <c r="T42" s="24" t="str">
        <f aca="false">IF(A42="","",IF(OR(AND(R42&lt;&gt;"",R42&lt;0),AND(S42&lt;&gt;"",S42&lt;0)),"EXPIRED",IF(OR(AND(R42&lt;&gt;"",R42&lt;=Settings!$B$15),AND(S42&lt;&gt;"",S42&lt;=Settings!$B$15)),"EXPIRING SOON","OK")))</f>
        <v>OK</v>
      </c>
      <c r="U42" s="24" t="n">
        <f aca="false">IF(AND(C42="Own",Q42="Active"),COUNTIFS($C$5:C42,"Own",$Q$5:Q42,"Active"),"")</f>
        <v>38</v>
      </c>
      <c r="V42" s="26" t="n">
        <f aca="false">IF(C42&lt;&gt;"Own","",IF(K42="Hourly",N42,(L42+M42)/(Settings!$B$11*Settings!$B$12)))</f>
        <v>9.61538461538462</v>
      </c>
    </row>
    <row r="43" customFormat="false" ht="15" hidden="false" customHeight="false" outlineLevel="0" collapsed="false">
      <c r="A43" s="33" t="s">
        <v>432</v>
      </c>
      <c r="B43" s="33" t="s">
        <v>433</v>
      </c>
      <c r="C43" s="33" t="s">
        <v>128</v>
      </c>
      <c r="D43" s="33"/>
      <c r="E43" s="33" t="s">
        <v>151</v>
      </c>
      <c r="F43" s="33" t="s">
        <v>238</v>
      </c>
      <c r="G43" s="33" t="s">
        <v>434</v>
      </c>
      <c r="H43" s="33" t="s">
        <v>435</v>
      </c>
      <c r="I43" s="41" t="n">
        <v>46882</v>
      </c>
      <c r="J43" s="41" t="n">
        <v>46922</v>
      </c>
      <c r="K43" s="33" t="s">
        <v>129</v>
      </c>
      <c r="L43" s="39" t="n">
        <v>2500</v>
      </c>
      <c r="M43" s="39" t="n">
        <v>400</v>
      </c>
      <c r="N43" s="39"/>
      <c r="O43" s="33" t="s">
        <v>241</v>
      </c>
      <c r="P43" s="33" t="s">
        <v>436</v>
      </c>
      <c r="Q43" s="33" t="s">
        <v>131</v>
      </c>
      <c r="R43" s="25" t="n">
        <f aca="true">IF(I43="","",I43-TODAY())</f>
        <v>555</v>
      </c>
      <c r="S43" s="25" t="n">
        <f aca="true">IF(J43="","",J43-TODAY())</f>
        <v>595</v>
      </c>
      <c r="T43" s="24" t="str">
        <f aca="false">IF(A43="","",IF(OR(AND(R43&lt;&gt;"",R43&lt;0),AND(S43&lt;&gt;"",S43&lt;0)),"EXPIRED",IF(OR(AND(R43&lt;&gt;"",R43&lt;=Settings!$B$15),AND(S43&lt;&gt;"",S43&lt;=Settings!$B$15)),"EXPIRING SOON","OK")))</f>
        <v>OK</v>
      </c>
      <c r="U43" s="24" t="n">
        <f aca="false">IF(AND(C43="Own",Q43="Active"),COUNTIFS($C$5:C43,"Own",$Q$5:Q43,"Active"),"")</f>
        <v>39</v>
      </c>
      <c r="V43" s="26" t="n">
        <f aca="false">IF(C43&lt;&gt;"Own","",IF(K43="Hourly",N43,(L43+M43)/(Settings!$B$11*Settings!$B$12)))</f>
        <v>13.9423076923077</v>
      </c>
    </row>
    <row r="44" customFormat="false" ht="15" hidden="false" customHeight="false" outlineLevel="0" collapsed="false">
      <c r="A44" s="33" t="s">
        <v>437</v>
      </c>
      <c r="B44" s="33" t="s">
        <v>438</v>
      </c>
      <c r="C44" s="33" t="s">
        <v>128</v>
      </c>
      <c r="D44" s="33"/>
      <c r="E44" s="33" t="s">
        <v>127</v>
      </c>
      <c r="F44" s="33" t="s">
        <v>339</v>
      </c>
      <c r="G44" s="33" t="s">
        <v>439</v>
      </c>
      <c r="H44" s="33" t="s">
        <v>440</v>
      </c>
      <c r="I44" s="41" t="n">
        <v>46831</v>
      </c>
      <c r="J44" s="41" t="n">
        <v>46831</v>
      </c>
      <c r="K44" s="33" t="s">
        <v>136</v>
      </c>
      <c r="L44" s="39"/>
      <c r="M44" s="39"/>
      <c r="N44" s="39" t="n">
        <v>10</v>
      </c>
      <c r="O44" s="33" t="s">
        <v>248</v>
      </c>
      <c r="P44" s="33" t="s">
        <v>441</v>
      </c>
      <c r="Q44" s="33" t="s">
        <v>131</v>
      </c>
      <c r="R44" s="25" t="n">
        <f aca="true">IF(I44="","",I44-TODAY())</f>
        <v>504</v>
      </c>
      <c r="S44" s="25" t="n">
        <f aca="true">IF(J44="","",J44-TODAY())</f>
        <v>504</v>
      </c>
      <c r="T44" s="24" t="str">
        <f aca="false">IF(A44="","",IF(OR(AND(R44&lt;&gt;"",R44&lt;0),AND(S44&lt;&gt;"",S44&lt;0)),"EXPIRED",IF(OR(AND(R44&lt;&gt;"",R44&lt;=Settings!$B$15),AND(S44&lt;&gt;"",S44&lt;=Settings!$B$15)),"EXPIRING SOON","OK")))</f>
        <v>OK</v>
      </c>
      <c r="U44" s="24" t="n">
        <f aca="false">IF(AND(C44="Own",Q44="Active"),COUNTIFS($C$5:C44,"Own",$Q$5:Q44,"Active"),"")</f>
        <v>40</v>
      </c>
      <c r="V44" s="26" t="n">
        <f aca="false">IF(C44&lt;&gt;"Own","",IF(K44="Hourly",N44,(L44+M44)/(Settings!$B$11*Settings!$B$12)))</f>
        <v>10</v>
      </c>
    </row>
    <row r="45" customFormat="false" ht="15" hidden="false" customHeight="false" outlineLevel="0" collapsed="false">
      <c r="A45" s="33" t="s">
        <v>442</v>
      </c>
      <c r="B45" s="33" t="s">
        <v>443</v>
      </c>
      <c r="C45" s="33" t="s">
        <v>135</v>
      </c>
      <c r="D45" s="33" t="s">
        <v>194</v>
      </c>
      <c r="E45" s="33" t="s">
        <v>141</v>
      </c>
      <c r="F45" s="33" t="s">
        <v>278</v>
      </c>
      <c r="G45" s="33" t="s">
        <v>444</v>
      </c>
      <c r="H45" s="33"/>
      <c r="I45" s="41" t="n">
        <v>46766</v>
      </c>
      <c r="J45" s="41" t="n">
        <v>46766</v>
      </c>
      <c r="K45" s="33"/>
      <c r="L45" s="39"/>
      <c r="M45" s="39"/>
      <c r="N45" s="39"/>
      <c r="O45" s="33"/>
      <c r="P45" s="33"/>
      <c r="Q45" s="33" t="s">
        <v>131</v>
      </c>
      <c r="R45" s="25" t="n">
        <f aca="true">IF(I45="","",I45-TODAY())</f>
        <v>439</v>
      </c>
      <c r="S45" s="25" t="n">
        <f aca="true">IF(J45="","",J45-TODAY())</f>
        <v>439</v>
      </c>
      <c r="T45" s="24" t="str">
        <f aca="false">IF(A45="","",IF(OR(AND(R45&lt;&gt;"",R45&lt;0),AND(S45&lt;&gt;"",S45&lt;0)),"EXPIRED",IF(OR(AND(R45&lt;&gt;"",R45&lt;=Settings!$B$15),AND(S45&lt;&gt;"",S45&lt;=Settings!$B$15)),"EXPIRING SOON","OK")))</f>
        <v>OK</v>
      </c>
      <c r="U45" s="24" t="str">
        <f aca="false">IF(AND(C45="Own",Q45="Active"),COUNTIFS($C$5:C45,"Own",$Q$5:Q45,"Active"),"")</f>
        <v/>
      </c>
      <c r="V45" s="26" t="str">
        <f aca="false">IF(C45&lt;&gt;"Own","",IF(K45="Hourly",N45,(L45+M45)/(Settings!$B$11*Settings!$B$12)))</f>
        <v/>
      </c>
    </row>
    <row r="46" customFormat="false" ht="15" hidden="false" customHeight="false" outlineLevel="0" collapsed="false">
      <c r="A46" s="33" t="s">
        <v>445</v>
      </c>
      <c r="B46" s="33" t="s">
        <v>446</v>
      </c>
      <c r="C46" s="33" t="s">
        <v>135</v>
      </c>
      <c r="D46" s="33" t="s">
        <v>199</v>
      </c>
      <c r="E46" s="33" t="s">
        <v>134</v>
      </c>
      <c r="F46" s="33" t="s">
        <v>245</v>
      </c>
      <c r="G46" s="33" t="s">
        <v>447</v>
      </c>
      <c r="H46" s="33"/>
      <c r="I46" s="41" t="n">
        <v>47009</v>
      </c>
      <c r="J46" s="41" t="n">
        <v>47009</v>
      </c>
      <c r="K46" s="33"/>
      <c r="L46" s="39"/>
      <c r="M46" s="39"/>
      <c r="N46" s="39"/>
      <c r="O46" s="33"/>
      <c r="P46" s="33"/>
      <c r="Q46" s="33" t="s">
        <v>131</v>
      </c>
      <c r="R46" s="25" t="n">
        <f aca="true">IF(I46="","",I46-TODAY())</f>
        <v>682</v>
      </c>
      <c r="S46" s="25" t="n">
        <f aca="true">IF(J46="","",J46-TODAY())</f>
        <v>682</v>
      </c>
      <c r="T46" s="24" t="str">
        <f aca="false">IF(A46="","",IF(OR(AND(R46&lt;&gt;"",R46&lt;0),AND(S46&lt;&gt;"",S46&lt;0)),"EXPIRED",IF(OR(AND(R46&lt;&gt;"",R46&lt;=Settings!$B$15),AND(S46&lt;&gt;"",S46&lt;=Settings!$B$15)),"EXPIRING SOON","OK")))</f>
        <v>OK</v>
      </c>
      <c r="U46" s="24" t="str">
        <f aca="false">IF(AND(C46="Own",Q46="Active"),COUNTIFS($C$5:C46,"Own",$Q$5:Q46,"Active"),"")</f>
        <v/>
      </c>
      <c r="V46" s="26" t="str">
        <f aca="false">IF(C46&lt;&gt;"Own","",IF(K46="Hourly",N46,(L46+M46)/(Settings!$B$11*Settings!$B$12)))</f>
        <v/>
      </c>
    </row>
    <row r="47" customFormat="false" ht="15" hidden="false" customHeight="false" outlineLevel="0" collapsed="false">
      <c r="A47" s="33" t="s">
        <v>448</v>
      </c>
      <c r="B47" s="33" t="s">
        <v>449</v>
      </c>
      <c r="C47" s="33" t="s">
        <v>135</v>
      </c>
      <c r="D47" s="33" t="s">
        <v>204</v>
      </c>
      <c r="E47" s="33" t="s">
        <v>153</v>
      </c>
      <c r="F47" s="33" t="s">
        <v>238</v>
      </c>
      <c r="G47" s="33" t="s">
        <v>450</v>
      </c>
      <c r="H47" s="33"/>
      <c r="I47" s="41" t="n">
        <v>46352</v>
      </c>
      <c r="J47" s="41" t="n">
        <v>46352</v>
      </c>
      <c r="K47" s="33"/>
      <c r="L47" s="39"/>
      <c r="M47" s="39"/>
      <c r="N47" s="39"/>
      <c r="O47" s="33"/>
      <c r="P47" s="33"/>
      <c r="Q47" s="33" t="s">
        <v>131</v>
      </c>
      <c r="R47" s="25" t="n">
        <f aca="true">IF(I47="","",I47-TODAY())</f>
        <v>25</v>
      </c>
      <c r="S47" s="25" t="n">
        <f aca="true">IF(J47="","",J47-TODAY())</f>
        <v>25</v>
      </c>
      <c r="T47" s="24" t="str">
        <f aca="false">IF(A47="","",IF(OR(AND(R47&lt;&gt;"",R47&lt;0),AND(S47&lt;&gt;"",S47&lt;0)),"EXPIRED",IF(OR(AND(R47&lt;&gt;"",R47&lt;=Settings!$B$15),AND(S47&lt;&gt;"",S47&lt;=Settings!$B$15)),"EXPIRING SOON","OK")))</f>
        <v>EXPIRING SOON</v>
      </c>
      <c r="U47" s="24" t="str">
        <f aca="false">IF(AND(C47="Own",Q47="Active"),COUNTIFS($C$5:C47,"Own",$Q$5:Q47,"Active"),"")</f>
        <v/>
      </c>
      <c r="V47" s="26" t="str">
        <f aca="false">IF(C47&lt;&gt;"Own","",IF(K47="Hourly",N47,(L47+M47)/(Settings!$B$11*Settings!$B$12)))</f>
        <v/>
      </c>
    </row>
    <row r="48" customFormat="false" ht="15" hidden="false" customHeight="false" outlineLevel="0" collapsed="false">
      <c r="A48" s="33" t="s">
        <v>451</v>
      </c>
      <c r="B48" s="33" t="s">
        <v>452</v>
      </c>
      <c r="C48" s="33" t="s">
        <v>135</v>
      </c>
      <c r="D48" s="33" t="s">
        <v>194</v>
      </c>
      <c r="E48" s="33" t="s">
        <v>127</v>
      </c>
      <c r="F48" s="33" t="s">
        <v>252</v>
      </c>
      <c r="G48" s="33" t="s">
        <v>453</v>
      </c>
      <c r="H48" s="33"/>
      <c r="I48" s="41" t="n">
        <v>46786</v>
      </c>
      <c r="J48" s="41" t="n">
        <v>46791</v>
      </c>
      <c r="K48" s="33"/>
      <c r="L48" s="39"/>
      <c r="M48" s="39"/>
      <c r="N48" s="39"/>
      <c r="O48" s="33"/>
      <c r="P48" s="33"/>
      <c r="Q48" s="33" t="s">
        <v>131</v>
      </c>
      <c r="R48" s="25" t="n">
        <f aca="true">IF(I48="","",I48-TODAY())</f>
        <v>459</v>
      </c>
      <c r="S48" s="25" t="n">
        <f aca="true">IF(J48="","",J48-TODAY())</f>
        <v>464</v>
      </c>
      <c r="T48" s="24" t="str">
        <f aca="false">IF(A48="","",IF(OR(AND(R48&lt;&gt;"",R48&lt;0),AND(S48&lt;&gt;"",S48&lt;0)),"EXPIRED",IF(OR(AND(R48&lt;&gt;"",R48&lt;=Settings!$B$15),AND(S48&lt;&gt;"",S48&lt;=Settings!$B$15)),"EXPIRING SOON","OK")))</f>
        <v>OK</v>
      </c>
      <c r="U48" s="24" t="str">
        <f aca="false">IF(AND(C48="Own",Q48="Active"),COUNTIFS($C$5:C48,"Own",$Q$5:Q48,"Active"),"")</f>
        <v/>
      </c>
      <c r="V48" s="26" t="str">
        <f aca="false">IF(C48&lt;&gt;"Own","",IF(K48="Hourly",N48,(L48+M48)/(Settings!$B$11*Settings!$B$12)))</f>
        <v/>
      </c>
    </row>
    <row r="49" customFormat="false" ht="15" hidden="false" customHeight="false" outlineLevel="0" collapsed="false">
      <c r="A49" s="33" t="s">
        <v>454</v>
      </c>
      <c r="B49" s="33" t="s">
        <v>455</v>
      </c>
      <c r="C49" s="33" t="s">
        <v>135</v>
      </c>
      <c r="D49" s="33" t="s">
        <v>199</v>
      </c>
      <c r="E49" s="33" t="s">
        <v>144</v>
      </c>
      <c r="F49" s="33" t="s">
        <v>278</v>
      </c>
      <c r="G49" s="33" t="s">
        <v>456</v>
      </c>
      <c r="H49" s="33"/>
      <c r="I49" s="41" t="n">
        <v>47020</v>
      </c>
      <c r="J49" s="41" t="n">
        <v>47020</v>
      </c>
      <c r="K49" s="33"/>
      <c r="L49" s="39"/>
      <c r="M49" s="39"/>
      <c r="N49" s="39"/>
      <c r="O49" s="33"/>
      <c r="P49" s="33"/>
      <c r="Q49" s="33" t="s">
        <v>131</v>
      </c>
      <c r="R49" s="25" t="n">
        <f aca="true">IF(I49="","",I49-TODAY())</f>
        <v>693</v>
      </c>
      <c r="S49" s="25" t="n">
        <f aca="true">IF(J49="","",J49-TODAY())</f>
        <v>693</v>
      </c>
      <c r="T49" s="24" t="str">
        <f aca="false">IF(A49="","",IF(OR(AND(R49&lt;&gt;"",R49&lt;0),AND(S49&lt;&gt;"",S49&lt;0)),"EXPIRED",IF(OR(AND(R49&lt;&gt;"",R49&lt;=Settings!$B$15),AND(S49&lt;&gt;"",S49&lt;=Settings!$B$15)),"EXPIRING SOON","OK")))</f>
        <v>OK</v>
      </c>
      <c r="U49" s="24" t="str">
        <f aca="false">IF(AND(C49="Own",Q49="Active"),COUNTIFS($C$5:C49,"Own",$Q$5:Q49,"Active"),"")</f>
        <v/>
      </c>
      <c r="V49" s="26" t="str">
        <f aca="false">IF(C49&lt;&gt;"Own","",IF(K49="Hourly",N49,(L49+M49)/(Settings!$B$11*Settings!$B$12)))</f>
        <v/>
      </c>
    </row>
    <row r="50" customFormat="false" ht="15" hidden="false" customHeight="false" outlineLevel="0" collapsed="false">
      <c r="A50" s="33" t="s">
        <v>457</v>
      </c>
      <c r="B50" s="33" t="s">
        <v>458</v>
      </c>
      <c r="C50" s="33" t="s">
        <v>135</v>
      </c>
      <c r="D50" s="33" t="s">
        <v>204</v>
      </c>
      <c r="E50" s="33" t="s">
        <v>147</v>
      </c>
      <c r="F50" s="33" t="s">
        <v>339</v>
      </c>
      <c r="G50" s="33" t="s">
        <v>459</v>
      </c>
      <c r="H50" s="33"/>
      <c r="I50" s="41" t="n">
        <v>46317</v>
      </c>
      <c r="J50" s="41" t="n">
        <v>46357</v>
      </c>
      <c r="K50" s="33"/>
      <c r="L50" s="39"/>
      <c r="M50" s="39"/>
      <c r="N50" s="39"/>
      <c r="O50" s="33"/>
      <c r="P50" s="33"/>
      <c r="Q50" s="33" t="s">
        <v>131</v>
      </c>
      <c r="R50" s="25" t="n">
        <f aca="true">IF(I50="","",I50-TODAY())</f>
        <v>-10</v>
      </c>
      <c r="S50" s="25" t="n">
        <f aca="true">IF(J50="","",J50-TODAY())</f>
        <v>30</v>
      </c>
      <c r="T50" s="24" t="str">
        <f aca="false">IF(A50="","",IF(OR(AND(R50&lt;&gt;"",R50&lt;0),AND(S50&lt;&gt;"",S50&lt;0)),"EXPIRED",IF(OR(AND(R50&lt;&gt;"",R50&lt;=Settings!$B$15),AND(S50&lt;&gt;"",S50&lt;=Settings!$B$15)),"EXPIRING SOON","OK")))</f>
        <v>EXPIRED</v>
      </c>
      <c r="U50" s="24" t="str">
        <f aca="false">IF(AND(C50="Own",Q50="Active"),COUNTIFS($C$5:C50,"Own",$Q$5:Q50,"Active"),"")</f>
        <v/>
      </c>
      <c r="V50" s="26" t="str">
        <f aca="false">IF(C50&lt;&gt;"Own","",IF(K50="Hourly",N50,(L50+M50)/(Settings!$B$11*Settings!$B$12)))</f>
        <v/>
      </c>
    </row>
    <row r="51" customFormat="false" ht="15" hidden="false" customHeight="false" outlineLevel="0" collapsed="false">
      <c r="A51" s="33" t="s">
        <v>460</v>
      </c>
      <c r="B51" s="33" t="s">
        <v>461</v>
      </c>
      <c r="C51" s="33" t="s">
        <v>135</v>
      </c>
      <c r="D51" s="33" t="s">
        <v>194</v>
      </c>
      <c r="E51" s="33" t="s">
        <v>141</v>
      </c>
      <c r="F51" s="33" t="s">
        <v>238</v>
      </c>
      <c r="G51" s="33" t="s">
        <v>462</v>
      </c>
      <c r="H51" s="33"/>
      <c r="I51" s="41" t="n">
        <v>46454</v>
      </c>
      <c r="J51" s="41" t="n">
        <v>46459</v>
      </c>
      <c r="K51" s="33"/>
      <c r="L51" s="39"/>
      <c r="M51" s="39"/>
      <c r="N51" s="39"/>
      <c r="O51" s="33"/>
      <c r="P51" s="33"/>
      <c r="Q51" s="33" t="s">
        <v>131</v>
      </c>
      <c r="R51" s="25" t="n">
        <f aca="true">IF(I51="","",I51-TODAY())</f>
        <v>127</v>
      </c>
      <c r="S51" s="25" t="n">
        <f aca="true">IF(J51="","",J51-TODAY())</f>
        <v>132</v>
      </c>
      <c r="T51" s="24" t="str">
        <f aca="false">IF(A51="","",IF(OR(AND(R51&lt;&gt;"",R51&lt;0),AND(S51&lt;&gt;"",S51&lt;0)),"EXPIRED",IF(OR(AND(R51&lt;&gt;"",R51&lt;=Settings!$B$15),AND(S51&lt;&gt;"",S51&lt;=Settings!$B$15)),"EXPIRING SOON","OK")))</f>
        <v>OK</v>
      </c>
      <c r="U51" s="24" t="str">
        <f aca="false">IF(AND(C51="Own",Q51="Active"),COUNTIFS($C$5:C51,"Own",$Q$5:Q51,"Active"),"")</f>
        <v/>
      </c>
      <c r="V51" s="26" t="str">
        <f aca="false">IF(C51&lt;&gt;"Own","",IF(K51="Hourly",N51,(L51+M51)/(Settings!$B$11*Settings!$B$12)))</f>
        <v/>
      </c>
    </row>
    <row r="52" customFormat="false" ht="15" hidden="false" customHeight="false" outlineLevel="0" collapsed="false">
      <c r="A52" s="33" t="s">
        <v>463</v>
      </c>
      <c r="B52" s="33" t="s">
        <v>464</v>
      </c>
      <c r="C52" s="33" t="s">
        <v>135</v>
      </c>
      <c r="D52" s="33" t="s">
        <v>199</v>
      </c>
      <c r="E52" s="33" t="s">
        <v>144</v>
      </c>
      <c r="F52" s="33" t="s">
        <v>238</v>
      </c>
      <c r="G52" s="33" t="s">
        <v>465</v>
      </c>
      <c r="H52" s="33"/>
      <c r="I52" s="41" t="n">
        <v>46647</v>
      </c>
      <c r="J52" s="41" t="n">
        <v>46647</v>
      </c>
      <c r="K52" s="33"/>
      <c r="L52" s="39"/>
      <c r="M52" s="39"/>
      <c r="N52" s="39"/>
      <c r="O52" s="33"/>
      <c r="P52" s="33"/>
      <c r="Q52" s="33" t="s">
        <v>131</v>
      </c>
      <c r="R52" s="25" t="n">
        <f aca="true">IF(I52="","",I52-TODAY())</f>
        <v>320</v>
      </c>
      <c r="S52" s="25" t="n">
        <f aca="true">IF(J52="","",J52-TODAY())</f>
        <v>320</v>
      </c>
      <c r="T52" s="24" t="str">
        <f aca="false">IF(A52="","",IF(OR(AND(R52&lt;&gt;"",R52&lt;0),AND(S52&lt;&gt;"",S52&lt;0)),"EXPIRED",IF(OR(AND(R52&lt;&gt;"",R52&lt;=Settings!$B$15),AND(S52&lt;&gt;"",S52&lt;=Settings!$B$15)),"EXPIRING SOON","OK")))</f>
        <v>OK</v>
      </c>
      <c r="U52" s="24" t="str">
        <f aca="false">IF(AND(C52="Own",Q52="Active"),COUNTIFS($C$5:C52,"Own",$Q$5:Q52,"Active"),"")</f>
        <v/>
      </c>
      <c r="V52" s="26" t="str">
        <f aca="false">IF(C52&lt;&gt;"Own","",IF(K52="Hourly",N52,(L52+M52)/(Settings!$B$11*Settings!$B$12)))</f>
        <v/>
      </c>
    </row>
    <row r="53" customFormat="false" ht="15" hidden="false" customHeight="false" outlineLevel="0" collapsed="false">
      <c r="A53" s="33" t="s">
        <v>466</v>
      </c>
      <c r="B53" s="33" t="s">
        <v>467</v>
      </c>
      <c r="C53" s="33" t="s">
        <v>135</v>
      </c>
      <c r="D53" s="33" t="s">
        <v>204</v>
      </c>
      <c r="E53" s="33" t="s">
        <v>151</v>
      </c>
      <c r="F53" s="33" t="s">
        <v>278</v>
      </c>
      <c r="G53" s="33" t="s">
        <v>468</v>
      </c>
      <c r="H53" s="33"/>
      <c r="I53" s="41" t="n">
        <v>46930</v>
      </c>
      <c r="J53" s="41" t="n">
        <v>46970</v>
      </c>
      <c r="K53" s="33"/>
      <c r="L53" s="39"/>
      <c r="M53" s="39"/>
      <c r="N53" s="39"/>
      <c r="O53" s="33"/>
      <c r="P53" s="33"/>
      <c r="Q53" s="33" t="s">
        <v>131</v>
      </c>
      <c r="R53" s="25" t="n">
        <f aca="true">IF(I53="","",I53-TODAY())</f>
        <v>603</v>
      </c>
      <c r="S53" s="25" t="n">
        <f aca="true">IF(J53="","",J53-TODAY())</f>
        <v>643</v>
      </c>
      <c r="T53" s="24" t="str">
        <f aca="false">IF(A53="","",IF(OR(AND(R53&lt;&gt;"",R53&lt;0),AND(S53&lt;&gt;"",S53&lt;0)),"EXPIRED",IF(OR(AND(R53&lt;&gt;"",R53&lt;=Settings!$B$15),AND(S53&lt;&gt;"",S53&lt;=Settings!$B$15)),"EXPIRING SOON","OK")))</f>
        <v>OK</v>
      </c>
      <c r="U53" s="24" t="str">
        <f aca="false">IF(AND(C53="Own",Q53="Active"),COUNTIFS($C$5:C53,"Own",$Q$5:Q53,"Active"),"")</f>
        <v/>
      </c>
      <c r="V53" s="26" t="str">
        <f aca="false">IF(C53&lt;&gt;"Own","",IF(K53="Hourly",N53,(L53+M53)/(Settings!$B$11*Settings!$B$12)))</f>
        <v/>
      </c>
    </row>
    <row r="54" customFormat="false" ht="15" hidden="false" customHeight="false" outlineLevel="0" collapsed="false">
      <c r="A54" s="33" t="s">
        <v>469</v>
      </c>
      <c r="B54" s="33" t="s">
        <v>364</v>
      </c>
      <c r="C54" s="33" t="s">
        <v>135</v>
      </c>
      <c r="D54" s="33" t="s">
        <v>194</v>
      </c>
      <c r="E54" s="33" t="s">
        <v>151</v>
      </c>
      <c r="F54" s="33" t="s">
        <v>278</v>
      </c>
      <c r="G54" s="33" t="s">
        <v>470</v>
      </c>
      <c r="H54" s="33"/>
      <c r="I54" s="41" t="n">
        <v>46352</v>
      </c>
      <c r="J54" s="41" t="n">
        <v>46392</v>
      </c>
      <c r="K54" s="33"/>
      <c r="L54" s="39"/>
      <c r="M54" s="39"/>
      <c r="N54" s="39"/>
      <c r="O54" s="33"/>
      <c r="P54" s="33"/>
      <c r="Q54" s="33" t="s">
        <v>131</v>
      </c>
      <c r="R54" s="25" t="n">
        <f aca="true">IF(I54="","",I54-TODAY())</f>
        <v>25</v>
      </c>
      <c r="S54" s="25" t="n">
        <f aca="true">IF(J54="","",J54-TODAY())</f>
        <v>65</v>
      </c>
      <c r="T54" s="24" t="str">
        <f aca="false">IF(A54="","",IF(OR(AND(R54&lt;&gt;"",R54&lt;0),AND(S54&lt;&gt;"",S54&lt;0)),"EXPIRED",IF(OR(AND(R54&lt;&gt;"",R54&lt;=Settings!$B$15),AND(S54&lt;&gt;"",S54&lt;=Settings!$B$15)),"EXPIRING SOON","OK")))</f>
        <v>EXPIRING SOON</v>
      </c>
      <c r="U54" s="24" t="str">
        <f aca="false">IF(AND(C54="Own",Q54="Active"),COUNTIFS($C$5:C54,"Own",$Q$5:Q54,"Active"),"")</f>
        <v/>
      </c>
      <c r="V54" s="26" t="str">
        <f aca="false">IF(C54&lt;&gt;"Own","",IF(K54="Hourly",N54,(L54+M54)/(Settings!$B$11*Settings!$B$12)))</f>
        <v/>
      </c>
    </row>
    <row r="55" customFormat="false" ht="15" hidden="false" customHeight="false" outlineLevel="0" collapsed="false">
      <c r="A55" s="33" t="s">
        <v>471</v>
      </c>
      <c r="B55" s="33" t="s">
        <v>472</v>
      </c>
      <c r="C55" s="33" t="s">
        <v>135</v>
      </c>
      <c r="D55" s="33" t="s">
        <v>199</v>
      </c>
      <c r="E55" s="33" t="s">
        <v>153</v>
      </c>
      <c r="F55" s="33" t="s">
        <v>278</v>
      </c>
      <c r="G55" s="33" t="s">
        <v>473</v>
      </c>
      <c r="H55" s="33"/>
      <c r="I55" s="41" t="n">
        <v>46613</v>
      </c>
      <c r="J55" s="41" t="n">
        <v>46618</v>
      </c>
      <c r="K55" s="33"/>
      <c r="L55" s="39"/>
      <c r="M55" s="39"/>
      <c r="N55" s="39"/>
      <c r="O55" s="33"/>
      <c r="P55" s="33"/>
      <c r="Q55" s="33" t="s">
        <v>131</v>
      </c>
      <c r="R55" s="25" t="n">
        <f aca="true">IF(I55="","",I55-TODAY())</f>
        <v>286</v>
      </c>
      <c r="S55" s="25" t="n">
        <f aca="true">IF(J55="","",J55-TODAY())</f>
        <v>291</v>
      </c>
      <c r="T55" s="24" t="str">
        <f aca="false">IF(A55="","",IF(OR(AND(R55&lt;&gt;"",R55&lt;0),AND(S55&lt;&gt;"",S55&lt;0)),"EXPIRED",IF(OR(AND(R55&lt;&gt;"",R55&lt;=Settings!$B$15),AND(S55&lt;&gt;"",S55&lt;=Settings!$B$15)),"EXPIRING SOON","OK")))</f>
        <v>OK</v>
      </c>
      <c r="U55" s="24" t="str">
        <f aca="false">IF(AND(C55="Own",Q55="Active"),COUNTIFS($C$5:C55,"Own",$Q$5:Q55,"Active"),"")</f>
        <v/>
      </c>
      <c r="V55" s="26" t="str">
        <f aca="false">IF(C55&lt;&gt;"Own","",IF(K55="Hourly",N55,(L55+M55)/(Settings!$B$11*Settings!$B$12)))</f>
        <v/>
      </c>
    </row>
    <row r="56" customFormat="false" ht="15" hidden="false" customHeight="false" outlineLevel="0" collapsed="false">
      <c r="A56" s="33" t="s">
        <v>474</v>
      </c>
      <c r="B56" s="33" t="s">
        <v>475</v>
      </c>
      <c r="C56" s="33" t="s">
        <v>135</v>
      </c>
      <c r="D56" s="33" t="s">
        <v>204</v>
      </c>
      <c r="E56" s="33" t="s">
        <v>134</v>
      </c>
      <c r="F56" s="33" t="s">
        <v>245</v>
      </c>
      <c r="G56" s="33" t="s">
        <v>476</v>
      </c>
      <c r="H56" s="33"/>
      <c r="I56" s="41" t="n">
        <v>47014</v>
      </c>
      <c r="J56" s="41" t="n">
        <v>47019</v>
      </c>
      <c r="K56" s="33"/>
      <c r="L56" s="39"/>
      <c r="M56" s="39"/>
      <c r="N56" s="39"/>
      <c r="O56" s="33"/>
      <c r="P56" s="33"/>
      <c r="Q56" s="33" t="s">
        <v>131</v>
      </c>
      <c r="R56" s="25" t="n">
        <f aca="true">IF(I56="","",I56-TODAY())</f>
        <v>687</v>
      </c>
      <c r="S56" s="25" t="n">
        <f aca="true">IF(J56="","",J56-TODAY())</f>
        <v>692</v>
      </c>
      <c r="T56" s="24" t="str">
        <f aca="false">IF(A56="","",IF(OR(AND(R56&lt;&gt;"",R56&lt;0),AND(S56&lt;&gt;"",S56&lt;0)),"EXPIRED",IF(OR(AND(R56&lt;&gt;"",R56&lt;=Settings!$B$15),AND(S56&lt;&gt;"",S56&lt;=Settings!$B$15)),"EXPIRING SOON","OK")))</f>
        <v>OK</v>
      </c>
      <c r="U56" s="24" t="str">
        <f aca="false">IF(AND(C56="Own",Q56="Active"),COUNTIFS($C$5:C56,"Own",$Q$5:Q56,"Active"),"")</f>
        <v/>
      </c>
      <c r="V56" s="26" t="str">
        <f aca="false">IF(C56&lt;&gt;"Own","",IF(K56="Hourly",N56,(L56+M56)/(Settings!$B$11*Settings!$B$12)))</f>
        <v/>
      </c>
    </row>
    <row r="57" customFormat="false" ht="15" hidden="false" customHeight="false" outlineLevel="0" collapsed="false">
      <c r="A57" s="33" t="s">
        <v>477</v>
      </c>
      <c r="B57" s="33" t="s">
        <v>478</v>
      </c>
      <c r="C57" s="33" t="s">
        <v>135</v>
      </c>
      <c r="D57" s="33" t="s">
        <v>194</v>
      </c>
      <c r="E57" s="33" t="s">
        <v>141</v>
      </c>
      <c r="F57" s="33" t="s">
        <v>252</v>
      </c>
      <c r="G57" s="33" t="s">
        <v>479</v>
      </c>
      <c r="H57" s="33"/>
      <c r="I57" s="41" t="n">
        <v>46636</v>
      </c>
      <c r="J57" s="41" t="n">
        <v>46636</v>
      </c>
      <c r="K57" s="33"/>
      <c r="L57" s="39"/>
      <c r="M57" s="39"/>
      <c r="N57" s="39"/>
      <c r="O57" s="33"/>
      <c r="P57" s="33"/>
      <c r="Q57" s="33" t="s">
        <v>131</v>
      </c>
      <c r="R57" s="25" t="n">
        <f aca="true">IF(I57="","",I57-TODAY())</f>
        <v>309</v>
      </c>
      <c r="S57" s="25" t="n">
        <f aca="true">IF(J57="","",J57-TODAY())</f>
        <v>309</v>
      </c>
      <c r="T57" s="24" t="str">
        <f aca="false">IF(A57="","",IF(OR(AND(R57&lt;&gt;"",R57&lt;0),AND(S57&lt;&gt;"",S57&lt;0)),"EXPIRED",IF(OR(AND(R57&lt;&gt;"",R57&lt;=Settings!$B$15),AND(S57&lt;&gt;"",S57&lt;=Settings!$B$15)),"EXPIRING SOON","OK")))</f>
        <v>OK</v>
      </c>
      <c r="U57" s="24" t="str">
        <f aca="false">IF(AND(C57="Own",Q57="Active"),COUNTIFS($C$5:C57,"Own",$Q$5:Q57,"Active"),"")</f>
        <v/>
      </c>
      <c r="V57" s="26" t="str">
        <f aca="false">IF(C57&lt;&gt;"Own","",IF(K57="Hourly",N57,(L57+M57)/(Settings!$B$11*Settings!$B$12)))</f>
        <v/>
      </c>
    </row>
    <row r="58" customFormat="false" ht="15" hidden="false" customHeight="false" outlineLevel="0" collapsed="false">
      <c r="A58" s="33" t="s">
        <v>480</v>
      </c>
      <c r="B58" s="33" t="s">
        <v>481</v>
      </c>
      <c r="C58" s="33" t="s">
        <v>135</v>
      </c>
      <c r="D58" s="33" t="s">
        <v>199</v>
      </c>
      <c r="E58" s="33" t="s">
        <v>153</v>
      </c>
      <c r="F58" s="33" t="s">
        <v>245</v>
      </c>
      <c r="G58" s="33" t="s">
        <v>482</v>
      </c>
      <c r="H58" s="33"/>
      <c r="I58" s="41" t="n">
        <v>46317</v>
      </c>
      <c r="J58" s="41" t="n">
        <v>46317</v>
      </c>
      <c r="K58" s="33"/>
      <c r="L58" s="39"/>
      <c r="M58" s="39"/>
      <c r="N58" s="39"/>
      <c r="O58" s="33"/>
      <c r="P58" s="33"/>
      <c r="Q58" s="33" t="s">
        <v>131</v>
      </c>
      <c r="R58" s="25" t="n">
        <f aca="true">IF(I58="","",I58-TODAY())</f>
        <v>-10</v>
      </c>
      <c r="S58" s="25" t="n">
        <f aca="true">IF(J58="","",J58-TODAY())</f>
        <v>-10</v>
      </c>
      <c r="T58" s="24" t="str">
        <f aca="false">IF(A58="","",IF(OR(AND(R58&lt;&gt;"",R58&lt;0),AND(S58&lt;&gt;"",S58&lt;0)),"EXPIRED",IF(OR(AND(R58&lt;&gt;"",R58&lt;=Settings!$B$15),AND(S58&lt;&gt;"",S58&lt;=Settings!$B$15)),"EXPIRING SOON","OK")))</f>
        <v>EXPIRED</v>
      </c>
      <c r="U58" s="24" t="str">
        <f aca="false">IF(AND(C58="Own",Q58="Active"),COUNTIFS($C$5:C58,"Own",$Q$5:Q58,"Active"),"")</f>
        <v/>
      </c>
      <c r="V58" s="26" t="str">
        <f aca="false">IF(C58&lt;&gt;"Own","",IF(K58="Hourly",N58,(L58+M58)/(Settings!$B$11*Settings!$B$12)))</f>
        <v/>
      </c>
    </row>
    <row r="59" customFormat="false" ht="15" hidden="false" customHeight="false" outlineLevel="0" collapsed="false">
      <c r="A59" s="33" t="s">
        <v>483</v>
      </c>
      <c r="B59" s="33" t="s">
        <v>467</v>
      </c>
      <c r="C59" s="33" t="s">
        <v>135</v>
      </c>
      <c r="D59" s="33" t="s">
        <v>204</v>
      </c>
      <c r="E59" s="33" t="s">
        <v>151</v>
      </c>
      <c r="F59" s="33" t="s">
        <v>245</v>
      </c>
      <c r="G59" s="33" t="s">
        <v>484</v>
      </c>
      <c r="H59" s="33"/>
      <c r="I59" s="41" t="n">
        <v>46951</v>
      </c>
      <c r="J59" s="41" t="n">
        <v>46991</v>
      </c>
      <c r="K59" s="33"/>
      <c r="L59" s="39"/>
      <c r="M59" s="39"/>
      <c r="N59" s="39"/>
      <c r="O59" s="33"/>
      <c r="P59" s="33"/>
      <c r="Q59" s="33" t="s">
        <v>131</v>
      </c>
      <c r="R59" s="25" t="n">
        <f aca="true">IF(I59="","",I59-TODAY())</f>
        <v>624</v>
      </c>
      <c r="S59" s="25" t="n">
        <f aca="true">IF(J59="","",J59-TODAY())</f>
        <v>664</v>
      </c>
      <c r="T59" s="24" t="str">
        <f aca="false">IF(A59="","",IF(OR(AND(R59&lt;&gt;"",R59&lt;0),AND(S59&lt;&gt;"",S59&lt;0)),"EXPIRED",IF(OR(AND(R59&lt;&gt;"",R59&lt;=Settings!$B$15),AND(S59&lt;&gt;"",S59&lt;=Settings!$B$15)),"EXPIRING SOON","OK")))</f>
        <v>OK</v>
      </c>
      <c r="U59" s="24" t="str">
        <f aca="false">IF(AND(C59="Own",Q59="Active"),COUNTIFS($C$5:C59,"Own",$Q$5:Q59,"Active"),"")</f>
        <v/>
      </c>
      <c r="V59" s="26" t="str">
        <f aca="false">IF(C59&lt;&gt;"Own","",IF(K59="Hourly",N59,(L59+M59)/(Settings!$B$11*Settings!$B$12)))</f>
        <v/>
      </c>
    </row>
    <row r="60" customFormat="false" ht="15" hidden="false" customHeight="false" outlineLevel="0" collapsed="false">
      <c r="A60" s="33" t="s">
        <v>485</v>
      </c>
      <c r="B60" s="33" t="s">
        <v>338</v>
      </c>
      <c r="C60" s="33" t="s">
        <v>135</v>
      </c>
      <c r="D60" s="33" t="s">
        <v>194</v>
      </c>
      <c r="E60" s="33" t="s">
        <v>155</v>
      </c>
      <c r="F60" s="33" t="s">
        <v>339</v>
      </c>
      <c r="G60" s="33" t="s">
        <v>486</v>
      </c>
      <c r="H60" s="33"/>
      <c r="I60" s="41" t="n">
        <v>46339</v>
      </c>
      <c r="J60" s="41" t="n">
        <v>46379</v>
      </c>
      <c r="K60" s="33"/>
      <c r="L60" s="39"/>
      <c r="M60" s="39"/>
      <c r="N60" s="39"/>
      <c r="O60" s="33"/>
      <c r="P60" s="33"/>
      <c r="Q60" s="33" t="s">
        <v>131</v>
      </c>
      <c r="R60" s="25" t="n">
        <f aca="true">IF(I60="","",I60-TODAY())</f>
        <v>12</v>
      </c>
      <c r="S60" s="25" t="n">
        <f aca="true">IF(J60="","",J60-TODAY())</f>
        <v>52</v>
      </c>
      <c r="T60" s="24" t="str">
        <f aca="false">IF(A60="","",IF(OR(AND(R60&lt;&gt;"",R60&lt;0),AND(S60&lt;&gt;"",S60&lt;0)),"EXPIRED",IF(OR(AND(R60&lt;&gt;"",R60&lt;=Settings!$B$15),AND(S60&lt;&gt;"",S60&lt;=Settings!$B$15)),"EXPIRING SOON","OK")))</f>
        <v>EXPIRING SOON</v>
      </c>
      <c r="U60" s="24" t="str">
        <f aca="false">IF(AND(C60="Own",Q60="Active"),COUNTIFS($C$5:C60,"Own",$Q$5:Q60,"Active"),"")</f>
        <v/>
      </c>
      <c r="V60" s="26" t="str">
        <f aca="false">IF(C60&lt;&gt;"Own","",IF(K60="Hourly",N60,(L60+M60)/(Settings!$B$11*Settings!$B$12)))</f>
        <v/>
      </c>
    </row>
    <row r="61" customFormat="false" ht="15" hidden="false" customHeight="false" outlineLevel="0" collapsed="false">
      <c r="A61" s="33" t="s">
        <v>487</v>
      </c>
      <c r="B61" s="33" t="s">
        <v>488</v>
      </c>
      <c r="C61" s="33" t="s">
        <v>135</v>
      </c>
      <c r="D61" s="33" t="s">
        <v>199</v>
      </c>
      <c r="E61" s="33" t="s">
        <v>147</v>
      </c>
      <c r="F61" s="33" t="s">
        <v>238</v>
      </c>
      <c r="G61" s="33" t="s">
        <v>489</v>
      </c>
      <c r="H61" s="33"/>
      <c r="I61" s="41" t="n">
        <v>46624</v>
      </c>
      <c r="J61" s="41" t="n">
        <v>46664</v>
      </c>
      <c r="K61" s="33"/>
      <c r="L61" s="39"/>
      <c r="M61" s="39"/>
      <c r="N61" s="39"/>
      <c r="O61" s="33"/>
      <c r="P61" s="33"/>
      <c r="Q61" s="33" t="s">
        <v>131</v>
      </c>
      <c r="R61" s="25" t="n">
        <f aca="true">IF(I61="","",I61-TODAY())</f>
        <v>297</v>
      </c>
      <c r="S61" s="25" t="n">
        <f aca="true">IF(J61="","",J61-TODAY())</f>
        <v>337</v>
      </c>
      <c r="T61" s="24" t="str">
        <f aca="false">IF(A61="","",IF(OR(AND(R61&lt;&gt;"",R61&lt;0),AND(S61&lt;&gt;"",S61&lt;0)),"EXPIRED",IF(OR(AND(R61&lt;&gt;"",R61&lt;=Settings!$B$15),AND(S61&lt;&gt;"",S61&lt;=Settings!$B$15)),"EXPIRING SOON","OK")))</f>
        <v>OK</v>
      </c>
      <c r="U61" s="24" t="str">
        <f aca="false">IF(AND(C61="Own",Q61="Active"),COUNTIFS($C$5:C61,"Own",$Q$5:Q61,"Active"),"")</f>
        <v/>
      </c>
      <c r="V61" s="26" t="str">
        <f aca="false">IF(C61&lt;&gt;"Own","",IF(K61="Hourly",N61,(L61+M61)/(Settings!$B$11*Settings!$B$12)))</f>
        <v/>
      </c>
    </row>
    <row r="62" customFormat="false" ht="15" hidden="false" customHeight="false" outlineLevel="0" collapsed="false">
      <c r="A62" s="33" t="s">
        <v>490</v>
      </c>
      <c r="B62" s="33" t="s">
        <v>491</v>
      </c>
      <c r="C62" s="33" t="s">
        <v>135</v>
      </c>
      <c r="D62" s="33" t="s">
        <v>204</v>
      </c>
      <c r="E62" s="33" t="s">
        <v>141</v>
      </c>
      <c r="F62" s="33" t="s">
        <v>245</v>
      </c>
      <c r="G62" s="33" t="s">
        <v>492</v>
      </c>
      <c r="H62" s="33"/>
      <c r="I62" s="41" t="n">
        <v>46775</v>
      </c>
      <c r="J62" s="41" t="n">
        <v>46815</v>
      </c>
      <c r="K62" s="33"/>
      <c r="L62" s="39"/>
      <c r="M62" s="39"/>
      <c r="N62" s="39"/>
      <c r="O62" s="33"/>
      <c r="P62" s="33"/>
      <c r="Q62" s="33" t="s">
        <v>131</v>
      </c>
      <c r="R62" s="25" t="n">
        <f aca="true">IF(I62="","",I62-TODAY())</f>
        <v>448</v>
      </c>
      <c r="S62" s="25" t="n">
        <f aca="true">IF(J62="","",J62-TODAY())</f>
        <v>488</v>
      </c>
      <c r="T62" s="24" t="str">
        <f aca="false">IF(A62="","",IF(OR(AND(R62&lt;&gt;"",R62&lt;0),AND(S62&lt;&gt;"",S62&lt;0)),"EXPIRED",IF(OR(AND(R62&lt;&gt;"",R62&lt;=Settings!$B$15),AND(S62&lt;&gt;"",S62&lt;=Settings!$B$15)),"EXPIRING SOON","OK")))</f>
        <v>OK</v>
      </c>
      <c r="U62" s="24" t="str">
        <f aca="false">IF(AND(C62="Own",Q62="Active"),COUNTIFS($C$5:C62,"Own",$Q$5:Q62,"Active"),"")</f>
        <v/>
      </c>
      <c r="V62" s="26" t="str">
        <f aca="false">IF(C62&lt;&gt;"Own","",IF(K62="Hourly",N62,(L62+M62)/(Settings!$B$11*Settings!$B$12)))</f>
        <v/>
      </c>
    </row>
    <row r="63" customFormat="false" ht="15" hidden="false" customHeight="false" outlineLevel="0" collapsed="false">
      <c r="A63" s="33" t="s">
        <v>493</v>
      </c>
      <c r="B63" s="33" t="s">
        <v>494</v>
      </c>
      <c r="C63" s="33" t="s">
        <v>135</v>
      </c>
      <c r="D63" s="33" t="s">
        <v>194</v>
      </c>
      <c r="E63" s="33" t="s">
        <v>151</v>
      </c>
      <c r="F63" s="33" t="s">
        <v>238</v>
      </c>
      <c r="G63" s="33" t="s">
        <v>495</v>
      </c>
      <c r="H63" s="33"/>
      <c r="I63" s="41" t="n">
        <v>46702</v>
      </c>
      <c r="J63" s="41" t="n">
        <v>46702</v>
      </c>
      <c r="K63" s="33"/>
      <c r="L63" s="39"/>
      <c r="M63" s="39"/>
      <c r="N63" s="39"/>
      <c r="O63" s="33"/>
      <c r="P63" s="33"/>
      <c r="Q63" s="33" t="s">
        <v>131</v>
      </c>
      <c r="R63" s="25" t="n">
        <f aca="true">IF(I63="","",I63-TODAY())</f>
        <v>375</v>
      </c>
      <c r="S63" s="25" t="n">
        <f aca="true">IF(J63="","",J63-TODAY())</f>
        <v>375</v>
      </c>
      <c r="T63" s="24" t="str">
        <f aca="false">IF(A63="","",IF(OR(AND(R63&lt;&gt;"",R63&lt;0),AND(S63&lt;&gt;"",S63&lt;0)),"EXPIRED",IF(OR(AND(R63&lt;&gt;"",R63&lt;=Settings!$B$15),AND(S63&lt;&gt;"",S63&lt;=Settings!$B$15)),"EXPIRING SOON","OK")))</f>
        <v>OK</v>
      </c>
      <c r="U63" s="24" t="str">
        <f aca="false">IF(AND(C63="Own",Q63="Active"),COUNTIFS($C$5:C63,"Own",$Q$5:Q63,"Active"),"")</f>
        <v/>
      </c>
      <c r="V63" s="26" t="str">
        <f aca="false">IF(C63&lt;&gt;"Own","",IF(K63="Hourly",N63,(L63+M63)/(Settings!$B$11*Settings!$B$12)))</f>
        <v/>
      </c>
    </row>
    <row r="64" customFormat="false" ht="15" hidden="false" customHeight="false" outlineLevel="0" collapsed="false">
      <c r="A64" s="33" t="s">
        <v>496</v>
      </c>
      <c r="B64" s="33" t="s">
        <v>497</v>
      </c>
      <c r="C64" s="33" t="s">
        <v>135</v>
      </c>
      <c r="D64" s="33" t="s">
        <v>199</v>
      </c>
      <c r="E64" s="33" t="s">
        <v>155</v>
      </c>
      <c r="F64" s="33" t="s">
        <v>252</v>
      </c>
      <c r="G64" s="33" t="s">
        <v>498</v>
      </c>
      <c r="H64" s="33"/>
      <c r="I64" s="41" t="n">
        <v>46339</v>
      </c>
      <c r="J64" s="41" t="n">
        <v>46379</v>
      </c>
      <c r="K64" s="33"/>
      <c r="L64" s="39"/>
      <c r="M64" s="39"/>
      <c r="N64" s="39"/>
      <c r="O64" s="33"/>
      <c r="P64" s="33"/>
      <c r="Q64" s="33" t="s">
        <v>131</v>
      </c>
      <c r="R64" s="25" t="n">
        <f aca="true">IF(I64="","",I64-TODAY())</f>
        <v>12</v>
      </c>
      <c r="S64" s="25" t="n">
        <f aca="true">IF(J64="","",J64-TODAY())</f>
        <v>52</v>
      </c>
      <c r="T64" s="24" t="str">
        <f aca="false">IF(A64="","",IF(OR(AND(R64&lt;&gt;"",R64&lt;0),AND(S64&lt;&gt;"",S64&lt;0)),"EXPIRED",IF(OR(AND(R64&lt;&gt;"",R64&lt;=Settings!$B$15),AND(S64&lt;&gt;"",S64&lt;=Settings!$B$15)),"EXPIRING SOON","OK")))</f>
        <v>EXPIRING SOON</v>
      </c>
      <c r="U64" s="24" t="str">
        <f aca="false">IF(AND(C64="Own",Q64="Active"),COUNTIFS($C$5:C64,"Own",$Q$5:Q64,"Active"),"")</f>
        <v/>
      </c>
      <c r="V64" s="26" t="str">
        <f aca="false">IF(C64&lt;&gt;"Own","",IF(K64="Hourly",N64,(L64+M64)/(Settings!$B$11*Settings!$B$12)))</f>
        <v/>
      </c>
    </row>
    <row r="65" customFormat="false" ht="15" hidden="false" customHeight="false" outlineLevel="0" collapsed="false">
      <c r="A65" s="33" t="s">
        <v>499</v>
      </c>
      <c r="B65" s="33" t="s">
        <v>257</v>
      </c>
      <c r="C65" s="33" t="s">
        <v>135</v>
      </c>
      <c r="D65" s="33" t="s">
        <v>204</v>
      </c>
      <c r="E65" s="33" t="s">
        <v>147</v>
      </c>
      <c r="F65" s="33" t="s">
        <v>278</v>
      </c>
      <c r="G65" s="33" t="s">
        <v>500</v>
      </c>
      <c r="H65" s="33"/>
      <c r="I65" s="41" t="n">
        <v>46339</v>
      </c>
      <c r="J65" s="41" t="n">
        <v>46339</v>
      </c>
      <c r="K65" s="33"/>
      <c r="L65" s="39"/>
      <c r="M65" s="39"/>
      <c r="N65" s="39"/>
      <c r="O65" s="33"/>
      <c r="P65" s="33"/>
      <c r="Q65" s="33" t="s">
        <v>131</v>
      </c>
      <c r="R65" s="25" t="n">
        <f aca="true">IF(I65="","",I65-TODAY())</f>
        <v>12</v>
      </c>
      <c r="S65" s="25" t="n">
        <f aca="true">IF(J65="","",J65-TODAY())</f>
        <v>12</v>
      </c>
      <c r="T65" s="24" t="str">
        <f aca="false">IF(A65="","",IF(OR(AND(R65&lt;&gt;"",R65&lt;0),AND(S65&lt;&gt;"",S65&lt;0)),"EXPIRED",IF(OR(AND(R65&lt;&gt;"",R65&lt;=Settings!$B$15),AND(S65&lt;&gt;"",S65&lt;=Settings!$B$15)),"EXPIRING SOON","OK")))</f>
        <v>EXPIRING SOON</v>
      </c>
      <c r="U65" s="24" t="str">
        <f aca="false">IF(AND(C65="Own",Q65="Active"),COUNTIFS($C$5:C65,"Own",$Q$5:Q65,"Active"),"")</f>
        <v/>
      </c>
      <c r="V65" s="26" t="str">
        <f aca="false">IF(C65&lt;&gt;"Own","",IF(K65="Hourly",N65,(L65+M65)/(Settings!$B$11*Settings!$B$12)))</f>
        <v/>
      </c>
    </row>
    <row r="66" customFormat="false" ht="15" hidden="false" customHeight="false" outlineLevel="0" collapsed="false">
      <c r="A66" s="33" t="s">
        <v>501</v>
      </c>
      <c r="B66" s="33" t="s">
        <v>502</v>
      </c>
      <c r="C66" s="33" t="s">
        <v>135</v>
      </c>
      <c r="D66" s="33" t="s">
        <v>194</v>
      </c>
      <c r="E66" s="33" t="s">
        <v>151</v>
      </c>
      <c r="F66" s="33" t="s">
        <v>245</v>
      </c>
      <c r="G66" s="33" t="s">
        <v>503</v>
      </c>
      <c r="H66" s="33"/>
      <c r="I66" s="41" t="n">
        <v>46746</v>
      </c>
      <c r="J66" s="41" t="n">
        <v>46751</v>
      </c>
      <c r="K66" s="33"/>
      <c r="L66" s="39"/>
      <c r="M66" s="39"/>
      <c r="N66" s="39"/>
      <c r="O66" s="33"/>
      <c r="P66" s="33"/>
      <c r="Q66" s="33" t="s">
        <v>131</v>
      </c>
      <c r="R66" s="25" t="n">
        <f aca="true">IF(I66="","",I66-TODAY())</f>
        <v>419</v>
      </c>
      <c r="S66" s="25" t="n">
        <f aca="true">IF(J66="","",J66-TODAY())</f>
        <v>424</v>
      </c>
      <c r="T66" s="24" t="str">
        <f aca="false">IF(A66="","",IF(OR(AND(R66&lt;&gt;"",R66&lt;0),AND(S66&lt;&gt;"",S66&lt;0)),"EXPIRED",IF(OR(AND(R66&lt;&gt;"",R66&lt;=Settings!$B$15),AND(S66&lt;&gt;"",S66&lt;=Settings!$B$15)),"EXPIRING SOON","OK")))</f>
        <v>OK</v>
      </c>
      <c r="U66" s="24" t="str">
        <f aca="false">IF(AND(C66="Own",Q66="Active"),COUNTIFS($C$5:C66,"Own",$Q$5:Q66,"Active"),"")</f>
        <v/>
      </c>
      <c r="V66" s="26" t="str">
        <f aca="false">IF(C66&lt;&gt;"Own","",IF(K66="Hourly",N66,(L66+M66)/(Settings!$B$11*Settings!$B$12)))</f>
        <v/>
      </c>
    </row>
    <row r="67" customFormat="false" ht="15" hidden="false" customHeight="false" outlineLevel="0" collapsed="false">
      <c r="A67" s="33" t="s">
        <v>504</v>
      </c>
      <c r="B67" s="33" t="s">
        <v>505</v>
      </c>
      <c r="C67" s="33" t="s">
        <v>135</v>
      </c>
      <c r="D67" s="33" t="s">
        <v>199</v>
      </c>
      <c r="E67" s="33" t="s">
        <v>149</v>
      </c>
      <c r="F67" s="33" t="s">
        <v>278</v>
      </c>
      <c r="G67" s="33" t="s">
        <v>506</v>
      </c>
      <c r="H67" s="33"/>
      <c r="I67" s="41" t="n">
        <v>46352</v>
      </c>
      <c r="J67" s="41" t="n">
        <v>46357</v>
      </c>
      <c r="K67" s="33"/>
      <c r="L67" s="39"/>
      <c r="M67" s="39"/>
      <c r="N67" s="39"/>
      <c r="O67" s="33"/>
      <c r="P67" s="33"/>
      <c r="Q67" s="33" t="s">
        <v>131</v>
      </c>
      <c r="R67" s="25" t="n">
        <f aca="true">IF(I67="","",I67-TODAY())</f>
        <v>25</v>
      </c>
      <c r="S67" s="25" t="n">
        <f aca="true">IF(J67="","",J67-TODAY())</f>
        <v>30</v>
      </c>
      <c r="T67" s="24" t="str">
        <f aca="false">IF(A67="","",IF(OR(AND(R67&lt;&gt;"",R67&lt;0),AND(S67&lt;&gt;"",S67&lt;0)),"EXPIRED",IF(OR(AND(R67&lt;&gt;"",R67&lt;=Settings!$B$15),AND(S67&lt;&gt;"",S67&lt;=Settings!$B$15)),"EXPIRING SOON","OK")))</f>
        <v>EXPIRING SOON</v>
      </c>
      <c r="U67" s="24" t="str">
        <f aca="false">IF(AND(C67="Own",Q67="Active"),COUNTIFS($C$5:C67,"Own",$Q$5:Q67,"Active"),"")</f>
        <v/>
      </c>
      <c r="V67" s="26" t="str">
        <f aca="false">IF(C67&lt;&gt;"Own","",IF(K67="Hourly",N67,(L67+M67)/(Settings!$B$11*Settings!$B$12)))</f>
        <v/>
      </c>
    </row>
    <row r="68" customFormat="false" ht="15" hidden="false" customHeight="false" outlineLevel="0" collapsed="false">
      <c r="A68" s="33" t="s">
        <v>507</v>
      </c>
      <c r="B68" s="33" t="s">
        <v>508</v>
      </c>
      <c r="C68" s="33" t="s">
        <v>135</v>
      </c>
      <c r="D68" s="33" t="s">
        <v>204</v>
      </c>
      <c r="E68" s="33" t="s">
        <v>151</v>
      </c>
      <c r="F68" s="33" t="s">
        <v>252</v>
      </c>
      <c r="G68" s="33" t="s">
        <v>509</v>
      </c>
      <c r="H68" s="33"/>
      <c r="I68" s="41" t="n">
        <v>46575</v>
      </c>
      <c r="J68" s="41" t="n">
        <v>46575</v>
      </c>
      <c r="K68" s="33"/>
      <c r="L68" s="39"/>
      <c r="M68" s="39"/>
      <c r="N68" s="39"/>
      <c r="O68" s="33"/>
      <c r="P68" s="33"/>
      <c r="Q68" s="33" t="s">
        <v>131</v>
      </c>
      <c r="R68" s="25" t="n">
        <f aca="true">IF(I68="","",I68-TODAY())</f>
        <v>248</v>
      </c>
      <c r="S68" s="25" t="n">
        <f aca="true">IF(J68="","",J68-TODAY())</f>
        <v>248</v>
      </c>
      <c r="T68" s="24" t="str">
        <f aca="false">IF(A68="","",IF(OR(AND(R68&lt;&gt;"",R68&lt;0),AND(S68&lt;&gt;"",S68&lt;0)),"EXPIRED",IF(OR(AND(R68&lt;&gt;"",R68&lt;=Settings!$B$15),AND(S68&lt;&gt;"",S68&lt;=Settings!$B$15)),"EXPIRING SOON","OK")))</f>
        <v>OK</v>
      </c>
      <c r="U68" s="24" t="str">
        <f aca="false">IF(AND(C68="Own",Q68="Active"),COUNTIFS($C$5:C68,"Own",$Q$5:Q68,"Active"),"")</f>
        <v/>
      </c>
      <c r="V68" s="26" t="str">
        <f aca="false">IF(C68&lt;&gt;"Own","",IF(K68="Hourly",N68,(L68+M68)/(Settings!$B$11*Settings!$B$12)))</f>
        <v/>
      </c>
    </row>
    <row r="69" customFormat="false" ht="15" hidden="false" customHeight="false" outlineLevel="0" collapsed="false">
      <c r="A69" s="33" t="s">
        <v>510</v>
      </c>
      <c r="B69" s="33" t="s">
        <v>511</v>
      </c>
      <c r="C69" s="33" t="s">
        <v>135</v>
      </c>
      <c r="D69" s="33" t="s">
        <v>194</v>
      </c>
      <c r="E69" s="33" t="s">
        <v>144</v>
      </c>
      <c r="F69" s="33" t="s">
        <v>278</v>
      </c>
      <c r="G69" s="33" t="s">
        <v>512</v>
      </c>
      <c r="H69" s="33"/>
      <c r="I69" s="41" t="n">
        <v>46791</v>
      </c>
      <c r="J69" s="41" t="n">
        <v>46831</v>
      </c>
      <c r="K69" s="33"/>
      <c r="L69" s="39"/>
      <c r="M69" s="39"/>
      <c r="N69" s="39"/>
      <c r="O69" s="33"/>
      <c r="P69" s="33"/>
      <c r="Q69" s="33" t="s">
        <v>131</v>
      </c>
      <c r="R69" s="25" t="n">
        <f aca="true">IF(I69="","",I69-TODAY())</f>
        <v>464</v>
      </c>
      <c r="S69" s="25" t="n">
        <f aca="true">IF(J69="","",J69-TODAY())</f>
        <v>504</v>
      </c>
      <c r="T69" s="24" t="str">
        <f aca="false">IF(A69="","",IF(OR(AND(R69&lt;&gt;"",R69&lt;0),AND(S69&lt;&gt;"",S69&lt;0)),"EXPIRED",IF(OR(AND(R69&lt;&gt;"",R69&lt;=Settings!$B$15),AND(S69&lt;&gt;"",S69&lt;=Settings!$B$15)),"EXPIRING SOON","OK")))</f>
        <v>OK</v>
      </c>
      <c r="U69" s="24" t="str">
        <f aca="false">IF(AND(C69="Own",Q69="Active"),COUNTIFS($C$5:C69,"Own",$Q$5:Q69,"Active"),"")</f>
        <v/>
      </c>
      <c r="V69" s="26" t="str">
        <f aca="false">IF(C69&lt;&gt;"Own","",IF(K69="Hourly",N69,(L69+M69)/(Settings!$B$11*Settings!$B$12)))</f>
        <v/>
      </c>
    </row>
    <row r="70" customFormat="false" ht="15" hidden="false" customHeight="false" outlineLevel="0" collapsed="false">
      <c r="A70" s="33" t="s">
        <v>513</v>
      </c>
      <c r="B70" s="33" t="s">
        <v>514</v>
      </c>
      <c r="C70" s="33" t="s">
        <v>135</v>
      </c>
      <c r="D70" s="33" t="s">
        <v>199</v>
      </c>
      <c r="E70" s="33" t="s">
        <v>141</v>
      </c>
      <c r="F70" s="33" t="s">
        <v>245</v>
      </c>
      <c r="G70" s="33" t="s">
        <v>515</v>
      </c>
      <c r="H70" s="33"/>
      <c r="I70" s="41" t="n">
        <v>46945</v>
      </c>
      <c r="J70" s="41" t="n">
        <v>46985</v>
      </c>
      <c r="K70" s="33"/>
      <c r="L70" s="39"/>
      <c r="M70" s="39"/>
      <c r="N70" s="39"/>
      <c r="O70" s="33"/>
      <c r="P70" s="33"/>
      <c r="Q70" s="33" t="s">
        <v>131</v>
      </c>
      <c r="R70" s="25" t="n">
        <f aca="true">IF(I70="","",I70-TODAY())</f>
        <v>618</v>
      </c>
      <c r="S70" s="25" t="n">
        <f aca="true">IF(J70="","",J70-TODAY())</f>
        <v>658</v>
      </c>
      <c r="T70" s="24" t="str">
        <f aca="false">IF(A70="","",IF(OR(AND(R70&lt;&gt;"",R70&lt;0),AND(S70&lt;&gt;"",S70&lt;0)),"EXPIRED",IF(OR(AND(R70&lt;&gt;"",R70&lt;=Settings!$B$15),AND(S70&lt;&gt;"",S70&lt;=Settings!$B$15)),"EXPIRING SOON","OK")))</f>
        <v>OK</v>
      </c>
      <c r="U70" s="24" t="str">
        <f aca="false">IF(AND(C70="Own",Q70="Active"),COUNTIFS($C$5:C70,"Own",$Q$5:Q70,"Active"),"")</f>
        <v/>
      </c>
      <c r="V70" s="26" t="str">
        <f aca="false">IF(C70&lt;&gt;"Own","",IF(K70="Hourly",N70,(L70+M70)/(Settings!$B$11*Settings!$B$12)))</f>
        <v/>
      </c>
    </row>
    <row r="71" customFormat="false" ht="15" hidden="false" customHeight="false" outlineLevel="0" collapsed="false">
      <c r="A71" s="33" t="s">
        <v>516</v>
      </c>
      <c r="B71" s="33" t="s">
        <v>517</v>
      </c>
      <c r="C71" s="33" t="s">
        <v>135</v>
      </c>
      <c r="D71" s="33" t="s">
        <v>204</v>
      </c>
      <c r="E71" s="33" t="s">
        <v>134</v>
      </c>
      <c r="F71" s="33" t="s">
        <v>339</v>
      </c>
      <c r="G71" s="33" t="s">
        <v>518</v>
      </c>
      <c r="H71" s="33"/>
      <c r="I71" s="41" t="n">
        <v>46352</v>
      </c>
      <c r="J71" s="41" t="n">
        <v>46357</v>
      </c>
      <c r="K71" s="33"/>
      <c r="L71" s="39"/>
      <c r="M71" s="39"/>
      <c r="N71" s="39"/>
      <c r="O71" s="33"/>
      <c r="P71" s="33"/>
      <c r="Q71" s="33" t="s">
        <v>131</v>
      </c>
      <c r="R71" s="25" t="n">
        <f aca="true">IF(I71="","",I71-TODAY())</f>
        <v>25</v>
      </c>
      <c r="S71" s="25" t="n">
        <f aca="true">IF(J71="","",J71-TODAY())</f>
        <v>30</v>
      </c>
      <c r="T71" s="24" t="str">
        <f aca="false">IF(A71="","",IF(OR(AND(R71&lt;&gt;"",R71&lt;0),AND(S71&lt;&gt;"",S71&lt;0)),"EXPIRED",IF(OR(AND(R71&lt;&gt;"",R71&lt;=Settings!$B$15),AND(S71&lt;&gt;"",S71&lt;=Settings!$B$15)),"EXPIRING SOON","OK")))</f>
        <v>EXPIRING SOON</v>
      </c>
      <c r="U71" s="24" t="str">
        <f aca="false">IF(AND(C71="Own",Q71="Active"),COUNTIFS($C$5:C71,"Own",$Q$5:Q71,"Active"),"")</f>
        <v/>
      </c>
      <c r="V71" s="26" t="str">
        <f aca="false">IF(C71&lt;&gt;"Own","",IF(K71="Hourly",N71,(L71+M71)/(Settings!$B$11*Settings!$B$12)))</f>
        <v/>
      </c>
    </row>
    <row r="72" customFormat="false" ht="15" hidden="false" customHeight="false" outlineLevel="0" collapsed="false">
      <c r="A72" s="33" t="s">
        <v>519</v>
      </c>
      <c r="B72" s="33" t="s">
        <v>520</v>
      </c>
      <c r="C72" s="33" t="s">
        <v>135</v>
      </c>
      <c r="D72" s="33" t="s">
        <v>194</v>
      </c>
      <c r="E72" s="33" t="s">
        <v>141</v>
      </c>
      <c r="F72" s="33" t="s">
        <v>252</v>
      </c>
      <c r="G72" s="33" t="s">
        <v>521</v>
      </c>
      <c r="H72" s="33"/>
      <c r="I72" s="41" t="n">
        <v>47019</v>
      </c>
      <c r="J72" s="41" t="n">
        <v>47019</v>
      </c>
      <c r="K72" s="33"/>
      <c r="L72" s="39"/>
      <c r="M72" s="39"/>
      <c r="N72" s="39"/>
      <c r="O72" s="33"/>
      <c r="P72" s="33"/>
      <c r="Q72" s="33" t="s">
        <v>131</v>
      </c>
      <c r="R72" s="25" t="n">
        <f aca="true">IF(I72="","",I72-TODAY())</f>
        <v>692</v>
      </c>
      <c r="S72" s="25" t="n">
        <f aca="true">IF(J72="","",J72-TODAY())</f>
        <v>692</v>
      </c>
      <c r="T72" s="24" t="str">
        <f aca="false">IF(A72="","",IF(OR(AND(R72&lt;&gt;"",R72&lt;0),AND(S72&lt;&gt;"",S72&lt;0)),"EXPIRED",IF(OR(AND(R72&lt;&gt;"",R72&lt;=Settings!$B$15),AND(S72&lt;&gt;"",S72&lt;=Settings!$B$15)),"EXPIRING SOON","OK")))</f>
        <v>OK</v>
      </c>
      <c r="U72" s="24" t="str">
        <f aca="false">IF(AND(C72="Own",Q72="Active"),COUNTIFS($C$5:C72,"Own",$Q$5:Q72,"Active"),"")</f>
        <v/>
      </c>
      <c r="V72" s="26" t="str">
        <f aca="false">IF(C72&lt;&gt;"Own","",IF(K72="Hourly",N72,(L72+M72)/(Settings!$B$11*Settings!$B$12)))</f>
        <v/>
      </c>
    </row>
    <row r="73" customFormat="false" ht="15" hidden="false" customHeight="false" outlineLevel="0" collapsed="false">
      <c r="A73" s="33" t="s">
        <v>522</v>
      </c>
      <c r="B73" s="33" t="s">
        <v>523</v>
      </c>
      <c r="C73" s="33" t="s">
        <v>135</v>
      </c>
      <c r="D73" s="33" t="s">
        <v>199</v>
      </c>
      <c r="E73" s="33" t="s">
        <v>141</v>
      </c>
      <c r="F73" s="33" t="s">
        <v>339</v>
      </c>
      <c r="G73" s="33" t="s">
        <v>524</v>
      </c>
      <c r="H73" s="33"/>
      <c r="I73" s="41" t="n">
        <v>46587</v>
      </c>
      <c r="J73" s="41" t="n">
        <v>46587</v>
      </c>
      <c r="K73" s="33"/>
      <c r="L73" s="39"/>
      <c r="M73" s="39"/>
      <c r="N73" s="39"/>
      <c r="O73" s="33"/>
      <c r="P73" s="33"/>
      <c r="Q73" s="33" t="s">
        <v>131</v>
      </c>
      <c r="R73" s="25" t="n">
        <f aca="true">IF(I73="","",I73-TODAY())</f>
        <v>260</v>
      </c>
      <c r="S73" s="25" t="n">
        <f aca="true">IF(J73="","",J73-TODAY())</f>
        <v>260</v>
      </c>
      <c r="T73" s="24" t="str">
        <f aca="false">IF(A73="","",IF(OR(AND(R73&lt;&gt;"",R73&lt;0),AND(S73&lt;&gt;"",S73&lt;0)),"EXPIRED",IF(OR(AND(R73&lt;&gt;"",R73&lt;=Settings!$B$15),AND(S73&lt;&gt;"",S73&lt;=Settings!$B$15)),"EXPIRING SOON","OK")))</f>
        <v>OK</v>
      </c>
      <c r="U73" s="24" t="str">
        <f aca="false">IF(AND(C73="Own",Q73="Active"),COUNTIFS($C$5:C73,"Own",$Q$5:Q73,"Active"),"")</f>
        <v/>
      </c>
      <c r="V73" s="26" t="str">
        <f aca="false">IF(C73&lt;&gt;"Own","",IF(K73="Hourly",N73,(L73+M73)/(Settings!$B$11*Settings!$B$12)))</f>
        <v/>
      </c>
    </row>
    <row r="74" customFormat="false" ht="15" hidden="false" customHeight="false" outlineLevel="0" collapsed="false">
      <c r="A74" s="33" t="s">
        <v>525</v>
      </c>
      <c r="B74" s="33" t="s">
        <v>379</v>
      </c>
      <c r="C74" s="33" t="s">
        <v>135</v>
      </c>
      <c r="D74" s="33" t="s">
        <v>204</v>
      </c>
      <c r="E74" s="33" t="s">
        <v>144</v>
      </c>
      <c r="F74" s="33" t="s">
        <v>339</v>
      </c>
      <c r="G74" s="33" t="s">
        <v>526</v>
      </c>
      <c r="H74" s="33"/>
      <c r="I74" s="41" t="n">
        <v>46650</v>
      </c>
      <c r="J74" s="41" t="n">
        <v>46650</v>
      </c>
      <c r="K74" s="33"/>
      <c r="L74" s="39"/>
      <c r="M74" s="39"/>
      <c r="N74" s="39"/>
      <c r="O74" s="33"/>
      <c r="P74" s="33"/>
      <c r="Q74" s="33" t="s">
        <v>131</v>
      </c>
      <c r="R74" s="25" t="n">
        <f aca="true">IF(I74="","",I74-TODAY())</f>
        <v>323</v>
      </c>
      <c r="S74" s="25" t="n">
        <f aca="true">IF(J74="","",J74-TODAY())</f>
        <v>323</v>
      </c>
      <c r="T74" s="24" t="str">
        <f aca="false">IF(A74="","",IF(OR(AND(R74&lt;&gt;"",R74&lt;0),AND(S74&lt;&gt;"",S74&lt;0)),"EXPIRED",IF(OR(AND(R74&lt;&gt;"",R74&lt;=Settings!$B$15),AND(S74&lt;&gt;"",S74&lt;=Settings!$B$15)),"EXPIRING SOON","OK")))</f>
        <v>OK</v>
      </c>
      <c r="U74" s="24" t="str">
        <f aca="false">IF(AND(C74="Own",Q74="Active"),COUNTIFS($C$5:C74,"Own",$Q$5:Q74,"Active"),"")</f>
        <v/>
      </c>
      <c r="V74" s="26" t="str">
        <f aca="false">IF(C74&lt;&gt;"Own","",IF(K74="Hourly",N74,(L74+M74)/(Settings!$B$11*Settings!$B$12)))</f>
        <v/>
      </c>
    </row>
    <row r="75" customFormat="false" ht="15" hidden="false" customHeight="false" outlineLevel="0" collapsed="false">
      <c r="R75" s="25" t="str">
        <f aca="true">IF(I75="","",I75-TODAY())</f>
        <v/>
      </c>
      <c r="S75" s="25" t="str">
        <f aca="true">IF(J75="","",J75-TODAY())</f>
        <v/>
      </c>
      <c r="T75" s="24" t="str">
        <f aca="false">IF(A75="","",IF(OR(AND(R75&lt;&gt;"",R75&lt;0),AND(S75&lt;&gt;"",S75&lt;0)),"EXPIRED",IF(OR(AND(R75&lt;&gt;"",R75&lt;=Settings!$B$15),AND(S75&lt;&gt;"",S75&lt;=Settings!$B$15)),"EXPIRING SOON","OK")))</f>
        <v/>
      </c>
      <c r="U75" s="24" t="str">
        <f aca="false">IF(AND(C75="Own",Q75="Active"),COUNTIFS($C$5:C75,"Own",$Q$5:Q75,"Active"),"")</f>
        <v/>
      </c>
      <c r="V75" s="26" t="str">
        <f aca="false">IF(C75&lt;&gt;"Own","",IF(K75="Hourly",N75,(L75+M75)/(Settings!$B$11*Settings!$B$12)))</f>
        <v/>
      </c>
    </row>
    <row r="76" customFormat="false" ht="15" hidden="false" customHeight="false" outlineLevel="0" collapsed="false">
      <c r="R76" s="25" t="str">
        <f aca="true">IF(I76="","",I76-TODAY())</f>
        <v/>
      </c>
      <c r="S76" s="25" t="str">
        <f aca="true">IF(J76="","",J76-TODAY())</f>
        <v/>
      </c>
      <c r="T76" s="24" t="str">
        <f aca="false">IF(A76="","",IF(OR(AND(R76&lt;&gt;"",R76&lt;0),AND(S76&lt;&gt;"",S76&lt;0)),"EXPIRED",IF(OR(AND(R76&lt;&gt;"",R76&lt;=Settings!$B$15),AND(S76&lt;&gt;"",S76&lt;=Settings!$B$15)),"EXPIRING SOON","OK")))</f>
        <v/>
      </c>
      <c r="U76" s="24" t="str">
        <f aca="false">IF(AND(C76="Own",Q76="Active"),COUNTIFS($C$5:C76,"Own",$Q$5:Q76,"Active"),"")</f>
        <v/>
      </c>
      <c r="V76" s="26" t="str">
        <f aca="false">IF(C76&lt;&gt;"Own","",IF(K76="Hourly",N76,(L76+M76)/(Settings!$B$11*Settings!$B$12)))</f>
        <v/>
      </c>
    </row>
    <row r="77" customFormat="false" ht="15" hidden="false" customHeight="false" outlineLevel="0" collapsed="false">
      <c r="R77" s="25" t="str">
        <f aca="true">IF(I77="","",I77-TODAY())</f>
        <v/>
      </c>
      <c r="S77" s="25" t="str">
        <f aca="true">IF(J77="","",J77-TODAY())</f>
        <v/>
      </c>
      <c r="T77" s="24" t="str">
        <f aca="false">IF(A77="","",IF(OR(AND(R77&lt;&gt;"",R77&lt;0),AND(S77&lt;&gt;"",S77&lt;0)),"EXPIRED",IF(OR(AND(R77&lt;&gt;"",R77&lt;=Settings!$B$15),AND(S77&lt;&gt;"",S77&lt;=Settings!$B$15)),"EXPIRING SOON","OK")))</f>
        <v/>
      </c>
      <c r="U77" s="24" t="str">
        <f aca="false">IF(AND(C77="Own",Q77="Active"),COUNTIFS($C$5:C77,"Own",$Q$5:Q77,"Active"),"")</f>
        <v/>
      </c>
      <c r="V77" s="26" t="str">
        <f aca="false">IF(C77&lt;&gt;"Own","",IF(K77="Hourly",N77,(L77+M77)/(Settings!$B$11*Settings!$B$12)))</f>
        <v/>
      </c>
    </row>
    <row r="78" customFormat="false" ht="15" hidden="false" customHeight="false" outlineLevel="0" collapsed="false">
      <c r="R78" s="25" t="str">
        <f aca="true">IF(I78="","",I78-TODAY())</f>
        <v/>
      </c>
      <c r="S78" s="25" t="str">
        <f aca="true">IF(J78="","",J78-TODAY())</f>
        <v/>
      </c>
      <c r="T78" s="24" t="str">
        <f aca="false">IF(A78="","",IF(OR(AND(R78&lt;&gt;"",R78&lt;0),AND(S78&lt;&gt;"",S78&lt;0)),"EXPIRED",IF(OR(AND(R78&lt;&gt;"",R78&lt;=Settings!$B$15),AND(S78&lt;&gt;"",S78&lt;=Settings!$B$15)),"EXPIRING SOON","OK")))</f>
        <v/>
      </c>
      <c r="U78" s="24" t="str">
        <f aca="false">IF(AND(C78="Own",Q78="Active"),COUNTIFS($C$5:C78,"Own",$Q$5:Q78,"Active"),"")</f>
        <v/>
      </c>
      <c r="V78" s="26" t="str">
        <f aca="false">IF(C78&lt;&gt;"Own","",IF(K78="Hourly",N78,(L78+M78)/(Settings!$B$11*Settings!$B$12)))</f>
        <v/>
      </c>
    </row>
    <row r="79" customFormat="false" ht="15" hidden="false" customHeight="false" outlineLevel="0" collapsed="false">
      <c r="R79" s="25" t="str">
        <f aca="true">IF(I79="","",I79-TODAY())</f>
        <v/>
      </c>
      <c r="S79" s="25" t="str">
        <f aca="true">IF(J79="","",J79-TODAY())</f>
        <v/>
      </c>
      <c r="T79" s="24" t="str">
        <f aca="false">IF(A79="","",IF(OR(AND(R79&lt;&gt;"",R79&lt;0),AND(S79&lt;&gt;"",S79&lt;0)),"EXPIRED",IF(OR(AND(R79&lt;&gt;"",R79&lt;=Settings!$B$15),AND(S79&lt;&gt;"",S79&lt;=Settings!$B$15)),"EXPIRING SOON","OK")))</f>
        <v/>
      </c>
      <c r="U79" s="24" t="str">
        <f aca="false">IF(AND(C79="Own",Q79="Active"),COUNTIFS($C$5:C79,"Own",$Q$5:Q79,"Active"),"")</f>
        <v/>
      </c>
      <c r="V79" s="26" t="str">
        <f aca="false">IF(C79&lt;&gt;"Own","",IF(K79="Hourly",N79,(L79+M79)/(Settings!$B$11*Settings!$B$12)))</f>
        <v/>
      </c>
    </row>
    <row r="80" customFormat="false" ht="15" hidden="false" customHeight="false" outlineLevel="0" collapsed="false">
      <c r="R80" s="25" t="str">
        <f aca="true">IF(I80="","",I80-TODAY())</f>
        <v/>
      </c>
      <c r="S80" s="25" t="str">
        <f aca="true">IF(J80="","",J80-TODAY())</f>
        <v/>
      </c>
      <c r="T80" s="24" t="str">
        <f aca="false">IF(A80="","",IF(OR(AND(R80&lt;&gt;"",R80&lt;0),AND(S80&lt;&gt;"",S80&lt;0)),"EXPIRED",IF(OR(AND(R80&lt;&gt;"",R80&lt;=Settings!$B$15),AND(S80&lt;&gt;"",S80&lt;=Settings!$B$15)),"EXPIRING SOON","OK")))</f>
        <v/>
      </c>
      <c r="U80" s="24" t="str">
        <f aca="false">IF(AND(C80="Own",Q80="Active"),COUNTIFS($C$5:C80,"Own",$Q$5:Q80,"Active"),"")</f>
        <v/>
      </c>
      <c r="V80" s="26" t="str">
        <f aca="false">IF(C80&lt;&gt;"Own","",IF(K80="Hourly",N80,(L80+M80)/(Settings!$B$11*Settings!$B$12)))</f>
        <v/>
      </c>
    </row>
    <row r="81" customFormat="false" ht="15" hidden="false" customHeight="false" outlineLevel="0" collapsed="false">
      <c r="R81" s="25" t="str">
        <f aca="true">IF(I81="","",I81-TODAY())</f>
        <v/>
      </c>
      <c r="S81" s="25" t="str">
        <f aca="true">IF(J81="","",J81-TODAY())</f>
        <v/>
      </c>
      <c r="T81" s="24" t="str">
        <f aca="false">IF(A81="","",IF(OR(AND(R81&lt;&gt;"",R81&lt;0),AND(S81&lt;&gt;"",S81&lt;0)),"EXPIRED",IF(OR(AND(R81&lt;&gt;"",R81&lt;=Settings!$B$15),AND(S81&lt;&gt;"",S81&lt;=Settings!$B$15)),"EXPIRING SOON","OK")))</f>
        <v/>
      </c>
      <c r="U81" s="24" t="str">
        <f aca="false">IF(AND(C81="Own",Q81="Active"),COUNTIFS($C$5:C81,"Own",$Q$5:Q81,"Active"),"")</f>
        <v/>
      </c>
      <c r="V81" s="26" t="str">
        <f aca="false">IF(C81&lt;&gt;"Own","",IF(K81="Hourly",N81,(L81+M81)/(Settings!$B$11*Settings!$B$12)))</f>
        <v/>
      </c>
    </row>
    <row r="82" customFormat="false" ht="15" hidden="false" customHeight="false" outlineLevel="0" collapsed="false">
      <c r="R82" s="25" t="str">
        <f aca="true">IF(I82="","",I82-TODAY())</f>
        <v/>
      </c>
      <c r="S82" s="25" t="str">
        <f aca="true">IF(J82="","",J82-TODAY())</f>
        <v/>
      </c>
      <c r="T82" s="24" t="str">
        <f aca="false">IF(A82="","",IF(OR(AND(R82&lt;&gt;"",R82&lt;0),AND(S82&lt;&gt;"",S82&lt;0)),"EXPIRED",IF(OR(AND(R82&lt;&gt;"",R82&lt;=Settings!$B$15),AND(S82&lt;&gt;"",S82&lt;=Settings!$B$15)),"EXPIRING SOON","OK")))</f>
        <v/>
      </c>
      <c r="U82" s="24" t="str">
        <f aca="false">IF(AND(C82="Own",Q82="Active"),COUNTIFS($C$5:C82,"Own",$Q$5:Q82,"Active"),"")</f>
        <v/>
      </c>
      <c r="V82" s="26" t="str">
        <f aca="false">IF(C82&lt;&gt;"Own","",IF(K82="Hourly",N82,(L82+M82)/(Settings!$B$11*Settings!$B$12)))</f>
        <v/>
      </c>
    </row>
    <row r="83" customFormat="false" ht="15" hidden="false" customHeight="false" outlineLevel="0" collapsed="false">
      <c r="R83" s="25" t="str">
        <f aca="true">IF(I83="","",I83-TODAY())</f>
        <v/>
      </c>
      <c r="S83" s="25" t="str">
        <f aca="true">IF(J83="","",J83-TODAY())</f>
        <v/>
      </c>
      <c r="T83" s="24" t="str">
        <f aca="false">IF(A83="","",IF(OR(AND(R83&lt;&gt;"",R83&lt;0),AND(S83&lt;&gt;"",S83&lt;0)),"EXPIRED",IF(OR(AND(R83&lt;&gt;"",R83&lt;=Settings!$B$15),AND(S83&lt;&gt;"",S83&lt;=Settings!$B$15)),"EXPIRING SOON","OK")))</f>
        <v/>
      </c>
      <c r="U83" s="24" t="str">
        <f aca="false">IF(AND(C83="Own",Q83="Active"),COUNTIFS($C$5:C83,"Own",$Q$5:Q83,"Active"),"")</f>
        <v/>
      </c>
      <c r="V83" s="26" t="str">
        <f aca="false">IF(C83&lt;&gt;"Own","",IF(K83="Hourly",N83,(L83+M83)/(Settings!$B$11*Settings!$B$12)))</f>
        <v/>
      </c>
    </row>
    <row r="84" customFormat="false" ht="15" hidden="false" customHeight="false" outlineLevel="0" collapsed="false">
      <c r="R84" s="25" t="str">
        <f aca="true">IF(I84="","",I84-TODAY())</f>
        <v/>
      </c>
      <c r="S84" s="25" t="str">
        <f aca="true">IF(J84="","",J84-TODAY())</f>
        <v/>
      </c>
      <c r="T84" s="24" t="str">
        <f aca="false">IF(A84="","",IF(OR(AND(R84&lt;&gt;"",R84&lt;0),AND(S84&lt;&gt;"",S84&lt;0)),"EXPIRED",IF(OR(AND(R84&lt;&gt;"",R84&lt;=Settings!$B$15),AND(S84&lt;&gt;"",S84&lt;=Settings!$B$15)),"EXPIRING SOON","OK")))</f>
        <v/>
      </c>
      <c r="U84" s="24" t="str">
        <f aca="false">IF(AND(C84="Own",Q84="Active"),COUNTIFS($C$5:C84,"Own",$Q$5:Q84,"Active"),"")</f>
        <v/>
      </c>
      <c r="V84" s="26" t="str">
        <f aca="false">IF(C84&lt;&gt;"Own","",IF(K84="Hourly",N84,(L84+M84)/(Settings!$B$11*Settings!$B$12)))</f>
        <v/>
      </c>
    </row>
    <row r="85" customFormat="false" ht="15" hidden="false" customHeight="false" outlineLevel="0" collapsed="false">
      <c r="R85" s="25" t="str">
        <f aca="true">IF(I85="","",I85-TODAY())</f>
        <v/>
      </c>
      <c r="S85" s="25" t="str">
        <f aca="true">IF(J85="","",J85-TODAY())</f>
        <v/>
      </c>
      <c r="T85" s="24" t="str">
        <f aca="false">IF(A85="","",IF(OR(AND(R85&lt;&gt;"",R85&lt;0),AND(S85&lt;&gt;"",S85&lt;0)),"EXPIRED",IF(OR(AND(R85&lt;&gt;"",R85&lt;=Settings!$B$15),AND(S85&lt;&gt;"",S85&lt;=Settings!$B$15)),"EXPIRING SOON","OK")))</f>
        <v/>
      </c>
      <c r="U85" s="24" t="str">
        <f aca="false">IF(AND(C85="Own",Q85="Active"),COUNTIFS($C$5:C85,"Own",$Q$5:Q85,"Active"),"")</f>
        <v/>
      </c>
      <c r="V85" s="26" t="str">
        <f aca="false">IF(C85&lt;&gt;"Own","",IF(K85="Hourly",N85,(L85+M85)/(Settings!$B$11*Settings!$B$12)))</f>
        <v/>
      </c>
    </row>
    <row r="86" customFormat="false" ht="15" hidden="false" customHeight="false" outlineLevel="0" collapsed="false">
      <c r="R86" s="25" t="str">
        <f aca="true">IF(I86="","",I86-TODAY())</f>
        <v/>
      </c>
      <c r="S86" s="25" t="str">
        <f aca="true">IF(J86="","",J86-TODAY())</f>
        <v/>
      </c>
      <c r="T86" s="24" t="str">
        <f aca="false">IF(A86="","",IF(OR(AND(R86&lt;&gt;"",R86&lt;0),AND(S86&lt;&gt;"",S86&lt;0)),"EXPIRED",IF(OR(AND(R86&lt;&gt;"",R86&lt;=Settings!$B$15),AND(S86&lt;&gt;"",S86&lt;=Settings!$B$15)),"EXPIRING SOON","OK")))</f>
        <v/>
      </c>
      <c r="U86" s="24" t="str">
        <f aca="false">IF(AND(C86="Own",Q86="Active"),COUNTIFS($C$5:C86,"Own",$Q$5:Q86,"Active"),"")</f>
        <v/>
      </c>
      <c r="V86" s="26" t="str">
        <f aca="false">IF(C86&lt;&gt;"Own","",IF(K86="Hourly",N86,(L86+M86)/(Settings!$B$11*Settings!$B$12)))</f>
        <v/>
      </c>
    </row>
    <row r="87" customFormat="false" ht="15" hidden="false" customHeight="false" outlineLevel="0" collapsed="false">
      <c r="R87" s="25" t="str">
        <f aca="true">IF(I87="","",I87-TODAY())</f>
        <v/>
      </c>
      <c r="S87" s="25" t="str">
        <f aca="true">IF(J87="","",J87-TODAY())</f>
        <v/>
      </c>
      <c r="T87" s="24" t="str">
        <f aca="false">IF(A87="","",IF(OR(AND(R87&lt;&gt;"",R87&lt;0),AND(S87&lt;&gt;"",S87&lt;0)),"EXPIRED",IF(OR(AND(R87&lt;&gt;"",R87&lt;=Settings!$B$15),AND(S87&lt;&gt;"",S87&lt;=Settings!$B$15)),"EXPIRING SOON","OK")))</f>
        <v/>
      </c>
      <c r="U87" s="24" t="str">
        <f aca="false">IF(AND(C87="Own",Q87="Active"),COUNTIFS($C$5:C87,"Own",$Q$5:Q87,"Active"),"")</f>
        <v/>
      </c>
      <c r="V87" s="26" t="str">
        <f aca="false">IF(C87&lt;&gt;"Own","",IF(K87="Hourly",N87,(L87+M87)/(Settings!$B$11*Settings!$B$12)))</f>
        <v/>
      </c>
    </row>
    <row r="88" customFormat="false" ht="15" hidden="false" customHeight="false" outlineLevel="0" collapsed="false">
      <c r="R88" s="25" t="str">
        <f aca="true">IF(I88="","",I88-TODAY())</f>
        <v/>
      </c>
      <c r="S88" s="25" t="str">
        <f aca="true">IF(J88="","",J88-TODAY())</f>
        <v/>
      </c>
      <c r="T88" s="24" t="str">
        <f aca="false">IF(A88="","",IF(OR(AND(R88&lt;&gt;"",R88&lt;0),AND(S88&lt;&gt;"",S88&lt;0)),"EXPIRED",IF(OR(AND(R88&lt;&gt;"",R88&lt;=Settings!$B$15),AND(S88&lt;&gt;"",S88&lt;=Settings!$B$15)),"EXPIRING SOON","OK")))</f>
        <v/>
      </c>
      <c r="U88" s="24" t="str">
        <f aca="false">IF(AND(C88="Own",Q88="Active"),COUNTIFS($C$5:C88,"Own",$Q$5:Q88,"Active"),"")</f>
        <v/>
      </c>
      <c r="V88" s="26" t="str">
        <f aca="false">IF(C88&lt;&gt;"Own","",IF(K88="Hourly",N88,(L88+M88)/(Settings!$B$11*Settings!$B$12)))</f>
        <v/>
      </c>
    </row>
    <row r="89" customFormat="false" ht="15" hidden="false" customHeight="false" outlineLevel="0" collapsed="false">
      <c r="R89" s="25" t="str">
        <f aca="true">IF(I89="","",I89-TODAY())</f>
        <v/>
      </c>
      <c r="S89" s="25" t="str">
        <f aca="true">IF(J89="","",J89-TODAY())</f>
        <v/>
      </c>
      <c r="T89" s="24" t="str">
        <f aca="false">IF(A89="","",IF(OR(AND(R89&lt;&gt;"",R89&lt;0),AND(S89&lt;&gt;"",S89&lt;0)),"EXPIRED",IF(OR(AND(R89&lt;&gt;"",R89&lt;=Settings!$B$15),AND(S89&lt;&gt;"",S89&lt;=Settings!$B$15)),"EXPIRING SOON","OK")))</f>
        <v/>
      </c>
      <c r="U89" s="24" t="str">
        <f aca="false">IF(AND(C89="Own",Q89="Active"),COUNTIFS($C$5:C89,"Own",$Q$5:Q89,"Active"),"")</f>
        <v/>
      </c>
      <c r="V89" s="26" t="str">
        <f aca="false">IF(C89&lt;&gt;"Own","",IF(K89="Hourly",N89,(L89+M89)/(Settings!$B$11*Settings!$B$12)))</f>
        <v/>
      </c>
    </row>
    <row r="90" customFormat="false" ht="15" hidden="false" customHeight="false" outlineLevel="0" collapsed="false">
      <c r="R90" s="25" t="str">
        <f aca="true">IF(I90="","",I90-TODAY())</f>
        <v/>
      </c>
      <c r="S90" s="25" t="str">
        <f aca="true">IF(J90="","",J90-TODAY())</f>
        <v/>
      </c>
      <c r="T90" s="24" t="str">
        <f aca="false">IF(A90="","",IF(OR(AND(R90&lt;&gt;"",R90&lt;0),AND(S90&lt;&gt;"",S90&lt;0)),"EXPIRED",IF(OR(AND(R90&lt;&gt;"",R90&lt;=Settings!$B$15),AND(S90&lt;&gt;"",S90&lt;=Settings!$B$15)),"EXPIRING SOON","OK")))</f>
        <v/>
      </c>
      <c r="U90" s="24" t="str">
        <f aca="false">IF(AND(C90="Own",Q90="Active"),COUNTIFS($C$5:C90,"Own",$Q$5:Q90,"Active"),"")</f>
        <v/>
      </c>
      <c r="V90" s="26" t="str">
        <f aca="false">IF(C90&lt;&gt;"Own","",IF(K90="Hourly",N90,(L90+M90)/(Settings!$B$11*Settings!$B$12)))</f>
        <v/>
      </c>
    </row>
    <row r="91" customFormat="false" ht="15" hidden="false" customHeight="false" outlineLevel="0" collapsed="false">
      <c r="R91" s="25" t="str">
        <f aca="true">IF(I91="","",I91-TODAY())</f>
        <v/>
      </c>
      <c r="S91" s="25" t="str">
        <f aca="true">IF(J91="","",J91-TODAY())</f>
        <v/>
      </c>
      <c r="T91" s="24" t="str">
        <f aca="false">IF(A91="","",IF(OR(AND(R91&lt;&gt;"",R91&lt;0),AND(S91&lt;&gt;"",S91&lt;0)),"EXPIRED",IF(OR(AND(R91&lt;&gt;"",R91&lt;=Settings!$B$15),AND(S91&lt;&gt;"",S91&lt;=Settings!$B$15)),"EXPIRING SOON","OK")))</f>
        <v/>
      </c>
      <c r="U91" s="24" t="str">
        <f aca="false">IF(AND(C91="Own",Q91="Active"),COUNTIFS($C$5:C91,"Own",$Q$5:Q91,"Active"),"")</f>
        <v/>
      </c>
      <c r="V91" s="26" t="str">
        <f aca="false">IF(C91&lt;&gt;"Own","",IF(K91="Hourly",N91,(L91+M91)/(Settings!$B$11*Settings!$B$12)))</f>
        <v/>
      </c>
    </row>
    <row r="92" customFormat="false" ht="15" hidden="false" customHeight="false" outlineLevel="0" collapsed="false">
      <c r="R92" s="25" t="str">
        <f aca="true">IF(I92="","",I92-TODAY())</f>
        <v/>
      </c>
      <c r="S92" s="25" t="str">
        <f aca="true">IF(J92="","",J92-TODAY())</f>
        <v/>
      </c>
      <c r="T92" s="24" t="str">
        <f aca="false">IF(A92="","",IF(OR(AND(R92&lt;&gt;"",R92&lt;0),AND(S92&lt;&gt;"",S92&lt;0)),"EXPIRED",IF(OR(AND(R92&lt;&gt;"",R92&lt;=Settings!$B$15),AND(S92&lt;&gt;"",S92&lt;=Settings!$B$15)),"EXPIRING SOON","OK")))</f>
        <v/>
      </c>
      <c r="U92" s="24" t="str">
        <f aca="false">IF(AND(C92="Own",Q92="Active"),COUNTIFS($C$5:C92,"Own",$Q$5:Q92,"Active"),"")</f>
        <v/>
      </c>
      <c r="V92" s="26" t="str">
        <f aca="false">IF(C92&lt;&gt;"Own","",IF(K92="Hourly",N92,(L92+M92)/(Settings!$B$11*Settings!$B$12)))</f>
        <v/>
      </c>
    </row>
    <row r="93" customFormat="false" ht="15" hidden="false" customHeight="false" outlineLevel="0" collapsed="false">
      <c r="R93" s="25" t="str">
        <f aca="true">IF(I93="","",I93-TODAY())</f>
        <v/>
      </c>
      <c r="S93" s="25" t="str">
        <f aca="true">IF(J93="","",J93-TODAY())</f>
        <v/>
      </c>
      <c r="T93" s="24" t="str">
        <f aca="false">IF(A93="","",IF(OR(AND(R93&lt;&gt;"",R93&lt;0),AND(S93&lt;&gt;"",S93&lt;0)),"EXPIRED",IF(OR(AND(R93&lt;&gt;"",R93&lt;=Settings!$B$15),AND(S93&lt;&gt;"",S93&lt;=Settings!$B$15)),"EXPIRING SOON","OK")))</f>
        <v/>
      </c>
      <c r="U93" s="24" t="str">
        <f aca="false">IF(AND(C93="Own",Q93="Active"),COUNTIFS($C$5:C93,"Own",$Q$5:Q93,"Active"),"")</f>
        <v/>
      </c>
      <c r="V93" s="26" t="str">
        <f aca="false">IF(C93&lt;&gt;"Own","",IF(K93="Hourly",N93,(L93+M93)/(Settings!$B$11*Settings!$B$12)))</f>
        <v/>
      </c>
    </row>
    <row r="94" customFormat="false" ht="15" hidden="false" customHeight="false" outlineLevel="0" collapsed="false">
      <c r="R94" s="25" t="str">
        <f aca="true">IF(I94="","",I94-TODAY())</f>
        <v/>
      </c>
      <c r="S94" s="25" t="str">
        <f aca="true">IF(J94="","",J94-TODAY())</f>
        <v/>
      </c>
      <c r="T94" s="24" t="str">
        <f aca="false">IF(A94="","",IF(OR(AND(R94&lt;&gt;"",R94&lt;0),AND(S94&lt;&gt;"",S94&lt;0)),"EXPIRED",IF(OR(AND(R94&lt;&gt;"",R94&lt;=Settings!$B$15),AND(S94&lt;&gt;"",S94&lt;=Settings!$B$15)),"EXPIRING SOON","OK")))</f>
        <v/>
      </c>
      <c r="U94" s="24" t="str">
        <f aca="false">IF(AND(C94="Own",Q94="Active"),COUNTIFS($C$5:C94,"Own",$Q$5:Q94,"Active"),"")</f>
        <v/>
      </c>
      <c r="V94" s="26" t="str">
        <f aca="false">IF(C94&lt;&gt;"Own","",IF(K94="Hourly",N94,(L94+M94)/(Settings!$B$11*Settings!$B$12)))</f>
        <v/>
      </c>
    </row>
    <row r="95" customFormat="false" ht="15" hidden="false" customHeight="false" outlineLevel="0" collapsed="false">
      <c r="R95" s="25" t="str">
        <f aca="true">IF(I95="","",I95-TODAY())</f>
        <v/>
      </c>
      <c r="S95" s="25" t="str">
        <f aca="true">IF(J95="","",J95-TODAY())</f>
        <v/>
      </c>
      <c r="T95" s="24" t="str">
        <f aca="false">IF(A95="","",IF(OR(AND(R95&lt;&gt;"",R95&lt;0),AND(S95&lt;&gt;"",S95&lt;0)),"EXPIRED",IF(OR(AND(R95&lt;&gt;"",R95&lt;=Settings!$B$15),AND(S95&lt;&gt;"",S95&lt;=Settings!$B$15)),"EXPIRING SOON","OK")))</f>
        <v/>
      </c>
      <c r="U95" s="24" t="str">
        <f aca="false">IF(AND(C95="Own",Q95="Active"),COUNTIFS($C$5:C95,"Own",$Q$5:Q95,"Active"),"")</f>
        <v/>
      </c>
      <c r="V95" s="26" t="str">
        <f aca="false">IF(C95&lt;&gt;"Own","",IF(K95="Hourly",N95,(L95+M95)/(Settings!$B$11*Settings!$B$12)))</f>
        <v/>
      </c>
    </row>
    <row r="96" customFormat="false" ht="15" hidden="false" customHeight="false" outlineLevel="0" collapsed="false">
      <c r="R96" s="25" t="str">
        <f aca="true">IF(I96="","",I96-TODAY())</f>
        <v/>
      </c>
      <c r="S96" s="25" t="str">
        <f aca="true">IF(J96="","",J96-TODAY())</f>
        <v/>
      </c>
      <c r="T96" s="24" t="str">
        <f aca="false">IF(A96="","",IF(OR(AND(R96&lt;&gt;"",R96&lt;0),AND(S96&lt;&gt;"",S96&lt;0)),"EXPIRED",IF(OR(AND(R96&lt;&gt;"",R96&lt;=Settings!$B$15),AND(S96&lt;&gt;"",S96&lt;=Settings!$B$15)),"EXPIRING SOON","OK")))</f>
        <v/>
      </c>
      <c r="U96" s="24" t="str">
        <f aca="false">IF(AND(C96="Own",Q96="Active"),COUNTIFS($C$5:C96,"Own",$Q$5:Q96,"Active"),"")</f>
        <v/>
      </c>
      <c r="V96" s="26" t="str">
        <f aca="false">IF(C96&lt;&gt;"Own","",IF(K96="Hourly",N96,(L96+M96)/(Settings!$B$11*Settings!$B$12)))</f>
        <v/>
      </c>
    </row>
    <row r="97" customFormat="false" ht="15" hidden="false" customHeight="false" outlineLevel="0" collapsed="false">
      <c r="R97" s="25" t="str">
        <f aca="true">IF(I97="","",I97-TODAY())</f>
        <v/>
      </c>
      <c r="S97" s="25" t="str">
        <f aca="true">IF(J97="","",J97-TODAY())</f>
        <v/>
      </c>
      <c r="T97" s="24" t="str">
        <f aca="false">IF(A97="","",IF(OR(AND(R97&lt;&gt;"",R97&lt;0),AND(S97&lt;&gt;"",S97&lt;0)),"EXPIRED",IF(OR(AND(R97&lt;&gt;"",R97&lt;=Settings!$B$15),AND(S97&lt;&gt;"",S97&lt;=Settings!$B$15)),"EXPIRING SOON","OK")))</f>
        <v/>
      </c>
      <c r="U97" s="24" t="str">
        <f aca="false">IF(AND(C97="Own",Q97="Active"),COUNTIFS($C$5:C97,"Own",$Q$5:Q97,"Active"),"")</f>
        <v/>
      </c>
      <c r="V97" s="26" t="str">
        <f aca="false">IF(C97&lt;&gt;"Own","",IF(K97="Hourly",N97,(L97+M97)/(Settings!$B$11*Settings!$B$12)))</f>
        <v/>
      </c>
    </row>
    <row r="98" customFormat="false" ht="15" hidden="false" customHeight="false" outlineLevel="0" collapsed="false">
      <c r="R98" s="25" t="str">
        <f aca="true">IF(I98="","",I98-TODAY())</f>
        <v/>
      </c>
      <c r="S98" s="25" t="str">
        <f aca="true">IF(J98="","",J98-TODAY())</f>
        <v/>
      </c>
      <c r="T98" s="24" t="str">
        <f aca="false">IF(A98="","",IF(OR(AND(R98&lt;&gt;"",R98&lt;0),AND(S98&lt;&gt;"",S98&lt;0)),"EXPIRED",IF(OR(AND(R98&lt;&gt;"",R98&lt;=Settings!$B$15),AND(S98&lt;&gt;"",S98&lt;=Settings!$B$15)),"EXPIRING SOON","OK")))</f>
        <v/>
      </c>
      <c r="U98" s="24" t="str">
        <f aca="false">IF(AND(C98="Own",Q98="Active"),COUNTIFS($C$5:C98,"Own",$Q$5:Q98,"Active"),"")</f>
        <v/>
      </c>
      <c r="V98" s="26" t="str">
        <f aca="false">IF(C98&lt;&gt;"Own","",IF(K98="Hourly",N98,(L98+M98)/(Settings!$B$11*Settings!$B$12)))</f>
        <v/>
      </c>
    </row>
    <row r="99" customFormat="false" ht="15" hidden="false" customHeight="false" outlineLevel="0" collapsed="false">
      <c r="R99" s="25" t="str">
        <f aca="true">IF(I99="","",I99-TODAY())</f>
        <v/>
      </c>
      <c r="S99" s="25" t="str">
        <f aca="true">IF(J99="","",J99-TODAY())</f>
        <v/>
      </c>
      <c r="T99" s="24" t="str">
        <f aca="false">IF(A99="","",IF(OR(AND(R99&lt;&gt;"",R99&lt;0),AND(S99&lt;&gt;"",S99&lt;0)),"EXPIRED",IF(OR(AND(R99&lt;&gt;"",R99&lt;=Settings!$B$15),AND(S99&lt;&gt;"",S99&lt;=Settings!$B$15)),"EXPIRING SOON","OK")))</f>
        <v/>
      </c>
      <c r="U99" s="24" t="str">
        <f aca="false">IF(AND(C99="Own",Q99="Active"),COUNTIFS($C$5:C99,"Own",$Q$5:Q99,"Active"),"")</f>
        <v/>
      </c>
      <c r="V99" s="26" t="str">
        <f aca="false">IF(C99&lt;&gt;"Own","",IF(K99="Hourly",N99,(L99+M99)/(Settings!$B$11*Settings!$B$12)))</f>
        <v/>
      </c>
    </row>
    <row r="100" customFormat="false" ht="15" hidden="false" customHeight="false" outlineLevel="0" collapsed="false">
      <c r="R100" s="25" t="str">
        <f aca="true">IF(I100="","",I100-TODAY())</f>
        <v/>
      </c>
      <c r="S100" s="25" t="str">
        <f aca="true">IF(J100="","",J100-TODAY())</f>
        <v/>
      </c>
      <c r="T100" s="24" t="str">
        <f aca="false">IF(A100="","",IF(OR(AND(R100&lt;&gt;"",R100&lt;0),AND(S100&lt;&gt;"",S100&lt;0)),"EXPIRED",IF(OR(AND(R100&lt;&gt;"",R100&lt;=Settings!$B$15),AND(S100&lt;&gt;"",S100&lt;=Settings!$B$15)),"EXPIRING SOON","OK")))</f>
        <v/>
      </c>
      <c r="U100" s="24" t="str">
        <f aca="false">IF(AND(C100="Own",Q100="Active"),COUNTIFS($C$5:C100,"Own",$Q$5:Q100,"Active"),"")</f>
        <v/>
      </c>
      <c r="V100" s="26" t="str">
        <f aca="false">IF(C100&lt;&gt;"Own","",IF(K100="Hourly",N100,(L100+M100)/(Settings!$B$11*Settings!$B$12)))</f>
        <v/>
      </c>
    </row>
    <row r="101" customFormat="false" ht="15" hidden="false" customHeight="false" outlineLevel="0" collapsed="false">
      <c r="R101" s="25" t="str">
        <f aca="true">IF(I101="","",I101-TODAY())</f>
        <v/>
      </c>
      <c r="S101" s="25" t="str">
        <f aca="true">IF(J101="","",J101-TODAY())</f>
        <v/>
      </c>
      <c r="T101" s="24" t="str">
        <f aca="false">IF(A101="","",IF(OR(AND(R101&lt;&gt;"",R101&lt;0),AND(S101&lt;&gt;"",S101&lt;0)),"EXPIRED",IF(OR(AND(R101&lt;&gt;"",R101&lt;=Settings!$B$15),AND(S101&lt;&gt;"",S101&lt;=Settings!$B$15)),"EXPIRING SOON","OK")))</f>
        <v/>
      </c>
      <c r="U101" s="24" t="str">
        <f aca="false">IF(AND(C101="Own",Q101="Active"),COUNTIFS($C$5:C101,"Own",$Q$5:Q101,"Active"),"")</f>
        <v/>
      </c>
      <c r="V101" s="26" t="str">
        <f aca="false">IF(C101&lt;&gt;"Own","",IF(K101="Hourly",N101,(L101+M101)/(Settings!$B$11*Settings!$B$12)))</f>
        <v/>
      </c>
    </row>
    <row r="102" customFormat="false" ht="15" hidden="false" customHeight="false" outlineLevel="0" collapsed="false">
      <c r="R102" s="25" t="str">
        <f aca="true">IF(I102="","",I102-TODAY())</f>
        <v/>
      </c>
      <c r="S102" s="25" t="str">
        <f aca="true">IF(J102="","",J102-TODAY())</f>
        <v/>
      </c>
      <c r="T102" s="24" t="str">
        <f aca="false">IF(A102="","",IF(OR(AND(R102&lt;&gt;"",R102&lt;0),AND(S102&lt;&gt;"",S102&lt;0)),"EXPIRED",IF(OR(AND(R102&lt;&gt;"",R102&lt;=Settings!$B$15),AND(S102&lt;&gt;"",S102&lt;=Settings!$B$15)),"EXPIRING SOON","OK")))</f>
        <v/>
      </c>
      <c r="U102" s="24" t="str">
        <f aca="false">IF(AND(C102="Own",Q102="Active"),COUNTIFS($C$5:C102,"Own",$Q$5:Q102,"Active"),"")</f>
        <v/>
      </c>
      <c r="V102" s="26" t="str">
        <f aca="false">IF(C102&lt;&gt;"Own","",IF(K102="Hourly",N102,(L102+M102)/(Settings!$B$11*Settings!$B$12)))</f>
        <v/>
      </c>
    </row>
    <row r="103" customFormat="false" ht="15" hidden="false" customHeight="false" outlineLevel="0" collapsed="false">
      <c r="R103" s="25" t="str">
        <f aca="true">IF(I103="","",I103-TODAY())</f>
        <v/>
      </c>
      <c r="S103" s="25" t="str">
        <f aca="true">IF(J103="","",J103-TODAY())</f>
        <v/>
      </c>
      <c r="T103" s="24" t="str">
        <f aca="false">IF(A103="","",IF(OR(AND(R103&lt;&gt;"",R103&lt;0),AND(S103&lt;&gt;"",S103&lt;0)),"EXPIRED",IF(OR(AND(R103&lt;&gt;"",R103&lt;=Settings!$B$15),AND(S103&lt;&gt;"",S103&lt;=Settings!$B$15)),"EXPIRING SOON","OK")))</f>
        <v/>
      </c>
      <c r="U103" s="24" t="str">
        <f aca="false">IF(AND(C103="Own",Q103="Active"),COUNTIFS($C$5:C103,"Own",$Q$5:Q103,"Active"),"")</f>
        <v/>
      </c>
      <c r="V103" s="26" t="str">
        <f aca="false">IF(C103&lt;&gt;"Own","",IF(K103="Hourly",N103,(L103+M103)/(Settings!$B$11*Settings!$B$12)))</f>
        <v/>
      </c>
    </row>
    <row r="104" customFormat="false" ht="15" hidden="false" customHeight="false" outlineLevel="0" collapsed="false">
      <c r="R104" s="25" t="str">
        <f aca="true">IF(I104="","",I104-TODAY())</f>
        <v/>
      </c>
      <c r="S104" s="25" t="str">
        <f aca="true">IF(J104="","",J104-TODAY())</f>
        <v/>
      </c>
      <c r="T104" s="24" t="str">
        <f aca="false">IF(A104="","",IF(OR(AND(R104&lt;&gt;"",R104&lt;0),AND(S104&lt;&gt;"",S104&lt;0)),"EXPIRED",IF(OR(AND(R104&lt;&gt;"",R104&lt;=Settings!$B$15),AND(S104&lt;&gt;"",S104&lt;=Settings!$B$15)),"EXPIRING SOON","OK")))</f>
        <v/>
      </c>
      <c r="U104" s="24" t="str">
        <f aca="false">IF(AND(C104="Own",Q104="Active"),COUNTIFS($C$5:C104,"Own",$Q$5:Q104,"Active"),"")</f>
        <v/>
      </c>
      <c r="V104" s="26" t="str">
        <f aca="false">IF(C104&lt;&gt;"Own","",IF(K104="Hourly",N104,(L104+M104)/(Settings!$B$11*Settings!$B$12)))</f>
        <v/>
      </c>
    </row>
    <row r="105" customFormat="false" ht="15" hidden="false" customHeight="false" outlineLevel="0" collapsed="false">
      <c r="R105" s="25" t="str">
        <f aca="true">IF(I105="","",I105-TODAY())</f>
        <v/>
      </c>
      <c r="S105" s="25" t="str">
        <f aca="true">IF(J105="","",J105-TODAY())</f>
        <v/>
      </c>
      <c r="T105" s="24" t="str">
        <f aca="false">IF(A105="","",IF(OR(AND(R105&lt;&gt;"",R105&lt;0),AND(S105&lt;&gt;"",S105&lt;0)),"EXPIRED",IF(OR(AND(R105&lt;&gt;"",R105&lt;=Settings!$B$15),AND(S105&lt;&gt;"",S105&lt;=Settings!$B$15)),"EXPIRING SOON","OK")))</f>
        <v/>
      </c>
      <c r="U105" s="24" t="str">
        <f aca="false">IF(AND(C105="Own",Q105="Active"),COUNTIFS($C$5:C105,"Own",$Q$5:Q105,"Active"),"")</f>
        <v/>
      </c>
      <c r="V105" s="26" t="str">
        <f aca="false">IF(C105&lt;&gt;"Own","",IF(K105="Hourly",N105,(L105+M105)/(Settings!$B$11*Settings!$B$12)))</f>
        <v/>
      </c>
    </row>
    <row r="106" customFormat="false" ht="15" hidden="false" customHeight="false" outlineLevel="0" collapsed="false">
      <c r="R106" s="25" t="str">
        <f aca="true">IF(I106="","",I106-TODAY())</f>
        <v/>
      </c>
      <c r="S106" s="25" t="str">
        <f aca="true">IF(J106="","",J106-TODAY())</f>
        <v/>
      </c>
      <c r="T106" s="24" t="str">
        <f aca="false">IF(A106="","",IF(OR(AND(R106&lt;&gt;"",R106&lt;0),AND(S106&lt;&gt;"",S106&lt;0)),"EXPIRED",IF(OR(AND(R106&lt;&gt;"",R106&lt;=Settings!$B$15),AND(S106&lt;&gt;"",S106&lt;=Settings!$B$15)),"EXPIRING SOON","OK")))</f>
        <v/>
      </c>
      <c r="U106" s="24" t="str">
        <f aca="false">IF(AND(C106="Own",Q106="Active"),COUNTIFS($C$5:C106,"Own",$Q$5:Q106,"Active"),"")</f>
        <v/>
      </c>
      <c r="V106" s="26" t="str">
        <f aca="false">IF(C106&lt;&gt;"Own","",IF(K106="Hourly",N106,(L106+M106)/(Settings!$B$11*Settings!$B$12)))</f>
        <v/>
      </c>
    </row>
    <row r="107" customFormat="false" ht="15" hidden="false" customHeight="false" outlineLevel="0" collapsed="false">
      <c r="R107" s="25" t="str">
        <f aca="true">IF(I107="","",I107-TODAY())</f>
        <v/>
      </c>
      <c r="S107" s="25" t="str">
        <f aca="true">IF(J107="","",J107-TODAY())</f>
        <v/>
      </c>
      <c r="T107" s="24" t="str">
        <f aca="false">IF(A107="","",IF(OR(AND(R107&lt;&gt;"",R107&lt;0),AND(S107&lt;&gt;"",S107&lt;0)),"EXPIRED",IF(OR(AND(R107&lt;&gt;"",R107&lt;=Settings!$B$15),AND(S107&lt;&gt;"",S107&lt;=Settings!$B$15)),"EXPIRING SOON","OK")))</f>
        <v/>
      </c>
      <c r="U107" s="24" t="str">
        <f aca="false">IF(AND(C107="Own",Q107="Active"),COUNTIFS($C$5:C107,"Own",$Q$5:Q107,"Active"),"")</f>
        <v/>
      </c>
      <c r="V107" s="26" t="str">
        <f aca="false">IF(C107&lt;&gt;"Own","",IF(K107="Hourly",N107,(L107+M107)/(Settings!$B$11*Settings!$B$12)))</f>
        <v/>
      </c>
    </row>
    <row r="108" customFormat="false" ht="15" hidden="false" customHeight="false" outlineLevel="0" collapsed="false">
      <c r="R108" s="25" t="str">
        <f aca="true">IF(I108="","",I108-TODAY())</f>
        <v/>
      </c>
      <c r="S108" s="25" t="str">
        <f aca="true">IF(J108="","",J108-TODAY())</f>
        <v/>
      </c>
      <c r="T108" s="24" t="str">
        <f aca="false">IF(A108="","",IF(OR(AND(R108&lt;&gt;"",R108&lt;0),AND(S108&lt;&gt;"",S108&lt;0)),"EXPIRED",IF(OR(AND(R108&lt;&gt;"",R108&lt;=Settings!$B$15),AND(S108&lt;&gt;"",S108&lt;=Settings!$B$15)),"EXPIRING SOON","OK")))</f>
        <v/>
      </c>
      <c r="U108" s="24" t="str">
        <f aca="false">IF(AND(C108="Own",Q108="Active"),COUNTIFS($C$5:C108,"Own",$Q$5:Q108,"Active"),"")</f>
        <v/>
      </c>
      <c r="V108" s="26" t="str">
        <f aca="false">IF(C108&lt;&gt;"Own","",IF(K108="Hourly",N108,(L108+M108)/(Settings!$B$11*Settings!$B$12)))</f>
        <v/>
      </c>
    </row>
    <row r="109" customFormat="false" ht="15" hidden="false" customHeight="false" outlineLevel="0" collapsed="false">
      <c r="R109" s="25" t="str">
        <f aca="true">IF(I109="","",I109-TODAY())</f>
        <v/>
      </c>
      <c r="S109" s="25" t="str">
        <f aca="true">IF(J109="","",J109-TODAY())</f>
        <v/>
      </c>
      <c r="T109" s="24" t="str">
        <f aca="false">IF(A109="","",IF(OR(AND(R109&lt;&gt;"",R109&lt;0),AND(S109&lt;&gt;"",S109&lt;0)),"EXPIRED",IF(OR(AND(R109&lt;&gt;"",R109&lt;=Settings!$B$15),AND(S109&lt;&gt;"",S109&lt;=Settings!$B$15)),"EXPIRING SOON","OK")))</f>
        <v/>
      </c>
      <c r="U109" s="24" t="str">
        <f aca="false">IF(AND(C109="Own",Q109="Active"),COUNTIFS($C$5:C109,"Own",$Q$5:Q109,"Active"),"")</f>
        <v/>
      </c>
      <c r="V109" s="26" t="str">
        <f aca="false">IF(C109&lt;&gt;"Own","",IF(K109="Hourly",N109,(L109+M109)/(Settings!$B$11*Settings!$B$12)))</f>
        <v/>
      </c>
    </row>
    <row r="110" customFormat="false" ht="15" hidden="false" customHeight="false" outlineLevel="0" collapsed="false">
      <c r="R110" s="25" t="str">
        <f aca="true">IF(I110="","",I110-TODAY())</f>
        <v/>
      </c>
      <c r="S110" s="25" t="str">
        <f aca="true">IF(J110="","",J110-TODAY())</f>
        <v/>
      </c>
      <c r="T110" s="24" t="str">
        <f aca="false">IF(A110="","",IF(OR(AND(R110&lt;&gt;"",R110&lt;0),AND(S110&lt;&gt;"",S110&lt;0)),"EXPIRED",IF(OR(AND(R110&lt;&gt;"",R110&lt;=Settings!$B$15),AND(S110&lt;&gt;"",S110&lt;=Settings!$B$15)),"EXPIRING SOON","OK")))</f>
        <v/>
      </c>
      <c r="U110" s="24" t="str">
        <f aca="false">IF(AND(C110="Own",Q110="Active"),COUNTIFS($C$5:C110,"Own",$Q$5:Q110,"Active"),"")</f>
        <v/>
      </c>
      <c r="V110" s="26" t="str">
        <f aca="false">IF(C110&lt;&gt;"Own","",IF(K110="Hourly",N110,(L110+M110)/(Settings!$B$11*Settings!$B$12)))</f>
        <v/>
      </c>
    </row>
    <row r="111" customFormat="false" ht="15" hidden="false" customHeight="false" outlineLevel="0" collapsed="false">
      <c r="R111" s="25" t="str">
        <f aca="true">IF(I111="","",I111-TODAY())</f>
        <v/>
      </c>
      <c r="S111" s="25" t="str">
        <f aca="true">IF(J111="","",J111-TODAY())</f>
        <v/>
      </c>
      <c r="T111" s="24" t="str">
        <f aca="false">IF(A111="","",IF(OR(AND(R111&lt;&gt;"",R111&lt;0),AND(S111&lt;&gt;"",S111&lt;0)),"EXPIRED",IF(OR(AND(R111&lt;&gt;"",R111&lt;=Settings!$B$15),AND(S111&lt;&gt;"",S111&lt;=Settings!$B$15)),"EXPIRING SOON","OK")))</f>
        <v/>
      </c>
      <c r="U111" s="24" t="str">
        <f aca="false">IF(AND(C111="Own",Q111="Active"),COUNTIFS($C$5:C111,"Own",$Q$5:Q111,"Active"),"")</f>
        <v/>
      </c>
      <c r="V111" s="26" t="str">
        <f aca="false">IF(C111&lt;&gt;"Own","",IF(K111="Hourly",N111,(L111+M111)/(Settings!$B$11*Settings!$B$12)))</f>
        <v/>
      </c>
    </row>
    <row r="112" customFormat="false" ht="15" hidden="false" customHeight="false" outlineLevel="0" collapsed="false">
      <c r="R112" s="25" t="str">
        <f aca="true">IF(I112="","",I112-TODAY())</f>
        <v/>
      </c>
      <c r="S112" s="25" t="str">
        <f aca="true">IF(J112="","",J112-TODAY())</f>
        <v/>
      </c>
      <c r="T112" s="24" t="str">
        <f aca="false">IF(A112="","",IF(OR(AND(R112&lt;&gt;"",R112&lt;0),AND(S112&lt;&gt;"",S112&lt;0)),"EXPIRED",IF(OR(AND(R112&lt;&gt;"",R112&lt;=Settings!$B$15),AND(S112&lt;&gt;"",S112&lt;=Settings!$B$15)),"EXPIRING SOON","OK")))</f>
        <v/>
      </c>
      <c r="U112" s="24" t="str">
        <f aca="false">IF(AND(C112="Own",Q112="Active"),COUNTIFS($C$5:C112,"Own",$Q$5:Q112,"Active"),"")</f>
        <v/>
      </c>
      <c r="V112" s="26" t="str">
        <f aca="false">IF(C112&lt;&gt;"Own","",IF(K112="Hourly",N112,(L112+M112)/(Settings!$B$11*Settings!$B$12)))</f>
        <v/>
      </c>
    </row>
    <row r="113" customFormat="false" ht="15" hidden="false" customHeight="false" outlineLevel="0" collapsed="false">
      <c r="R113" s="25" t="str">
        <f aca="true">IF(I113="","",I113-TODAY())</f>
        <v/>
      </c>
      <c r="S113" s="25" t="str">
        <f aca="true">IF(J113="","",J113-TODAY())</f>
        <v/>
      </c>
      <c r="T113" s="24" t="str">
        <f aca="false">IF(A113="","",IF(OR(AND(R113&lt;&gt;"",R113&lt;0),AND(S113&lt;&gt;"",S113&lt;0)),"EXPIRED",IF(OR(AND(R113&lt;&gt;"",R113&lt;=Settings!$B$15),AND(S113&lt;&gt;"",S113&lt;=Settings!$B$15)),"EXPIRING SOON","OK")))</f>
        <v/>
      </c>
      <c r="U113" s="24" t="str">
        <f aca="false">IF(AND(C113="Own",Q113="Active"),COUNTIFS($C$5:C113,"Own",$Q$5:Q113,"Active"),"")</f>
        <v/>
      </c>
      <c r="V113" s="26" t="str">
        <f aca="false">IF(C113&lt;&gt;"Own","",IF(K113="Hourly",N113,(L113+M113)/(Settings!$B$11*Settings!$B$12)))</f>
        <v/>
      </c>
    </row>
    <row r="114" customFormat="false" ht="15" hidden="false" customHeight="false" outlineLevel="0" collapsed="false">
      <c r="R114" s="25" t="str">
        <f aca="true">IF(I114="","",I114-TODAY())</f>
        <v/>
      </c>
      <c r="S114" s="25" t="str">
        <f aca="true">IF(J114="","",J114-TODAY())</f>
        <v/>
      </c>
      <c r="T114" s="24" t="str">
        <f aca="false">IF(A114="","",IF(OR(AND(R114&lt;&gt;"",R114&lt;0),AND(S114&lt;&gt;"",S114&lt;0)),"EXPIRED",IF(OR(AND(R114&lt;&gt;"",R114&lt;=Settings!$B$15),AND(S114&lt;&gt;"",S114&lt;=Settings!$B$15)),"EXPIRING SOON","OK")))</f>
        <v/>
      </c>
      <c r="U114" s="24" t="str">
        <f aca="false">IF(AND(C114="Own",Q114="Active"),COUNTIFS($C$5:C114,"Own",$Q$5:Q114,"Active"),"")</f>
        <v/>
      </c>
      <c r="V114" s="26" t="str">
        <f aca="false">IF(C114&lt;&gt;"Own","",IF(K114="Hourly",N114,(L114+M114)/(Settings!$B$11*Settings!$B$12)))</f>
        <v/>
      </c>
    </row>
    <row r="115" customFormat="false" ht="15" hidden="false" customHeight="false" outlineLevel="0" collapsed="false">
      <c r="R115" s="25" t="str">
        <f aca="true">IF(I115="","",I115-TODAY())</f>
        <v/>
      </c>
      <c r="S115" s="25" t="str">
        <f aca="true">IF(J115="","",J115-TODAY())</f>
        <v/>
      </c>
      <c r="T115" s="24" t="str">
        <f aca="false">IF(A115="","",IF(OR(AND(R115&lt;&gt;"",R115&lt;0),AND(S115&lt;&gt;"",S115&lt;0)),"EXPIRED",IF(OR(AND(R115&lt;&gt;"",R115&lt;=Settings!$B$15),AND(S115&lt;&gt;"",S115&lt;=Settings!$B$15)),"EXPIRING SOON","OK")))</f>
        <v/>
      </c>
      <c r="U115" s="24" t="str">
        <f aca="false">IF(AND(C115="Own",Q115="Active"),COUNTIFS($C$5:C115,"Own",$Q$5:Q115,"Active"),"")</f>
        <v/>
      </c>
      <c r="V115" s="26" t="str">
        <f aca="false">IF(C115&lt;&gt;"Own","",IF(K115="Hourly",N115,(L115+M115)/(Settings!$B$11*Settings!$B$12)))</f>
        <v/>
      </c>
    </row>
    <row r="116" customFormat="false" ht="15" hidden="false" customHeight="false" outlineLevel="0" collapsed="false">
      <c r="R116" s="25" t="str">
        <f aca="true">IF(I116="","",I116-TODAY())</f>
        <v/>
      </c>
      <c r="S116" s="25" t="str">
        <f aca="true">IF(J116="","",J116-TODAY())</f>
        <v/>
      </c>
      <c r="T116" s="24" t="str">
        <f aca="false">IF(A116="","",IF(OR(AND(R116&lt;&gt;"",R116&lt;0),AND(S116&lt;&gt;"",S116&lt;0)),"EXPIRED",IF(OR(AND(R116&lt;&gt;"",R116&lt;=Settings!$B$15),AND(S116&lt;&gt;"",S116&lt;=Settings!$B$15)),"EXPIRING SOON","OK")))</f>
        <v/>
      </c>
      <c r="U116" s="24" t="str">
        <f aca="false">IF(AND(C116="Own",Q116="Active"),COUNTIFS($C$5:C116,"Own",$Q$5:Q116,"Active"),"")</f>
        <v/>
      </c>
      <c r="V116" s="26" t="str">
        <f aca="false">IF(C116&lt;&gt;"Own","",IF(K116="Hourly",N116,(L116+M116)/(Settings!$B$11*Settings!$B$12)))</f>
        <v/>
      </c>
    </row>
    <row r="117" customFormat="false" ht="15" hidden="false" customHeight="false" outlineLevel="0" collapsed="false">
      <c r="R117" s="25" t="str">
        <f aca="true">IF(I117="","",I117-TODAY())</f>
        <v/>
      </c>
      <c r="S117" s="25" t="str">
        <f aca="true">IF(J117="","",J117-TODAY())</f>
        <v/>
      </c>
      <c r="T117" s="24" t="str">
        <f aca="false">IF(A117="","",IF(OR(AND(R117&lt;&gt;"",R117&lt;0),AND(S117&lt;&gt;"",S117&lt;0)),"EXPIRED",IF(OR(AND(R117&lt;&gt;"",R117&lt;=Settings!$B$15),AND(S117&lt;&gt;"",S117&lt;=Settings!$B$15)),"EXPIRING SOON","OK")))</f>
        <v/>
      </c>
      <c r="U117" s="24" t="str">
        <f aca="false">IF(AND(C117="Own",Q117="Active"),COUNTIFS($C$5:C117,"Own",$Q$5:Q117,"Active"),"")</f>
        <v/>
      </c>
      <c r="V117" s="26" t="str">
        <f aca="false">IF(C117&lt;&gt;"Own","",IF(K117="Hourly",N117,(L117+M117)/(Settings!$B$11*Settings!$B$12)))</f>
        <v/>
      </c>
    </row>
    <row r="118" customFormat="false" ht="15" hidden="false" customHeight="false" outlineLevel="0" collapsed="false">
      <c r="R118" s="25" t="str">
        <f aca="true">IF(I118="","",I118-TODAY())</f>
        <v/>
      </c>
      <c r="S118" s="25" t="str">
        <f aca="true">IF(J118="","",J118-TODAY())</f>
        <v/>
      </c>
      <c r="T118" s="24" t="str">
        <f aca="false">IF(A118="","",IF(OR(AND(R118&lt;&gt;"",R118&lt;0),AND(S118&lt;&gt;"",S118&lt;0)),"EXPIRED",IF(OR(AND(R118&lt;&gt;"",R118&lt;=Settings!$B$15),AND(S118&lt;&gt;"",S118&lt;=Settings!$B$15)),"EXPIRING SOON","OK")))</f>
        <v/>
      </c>
      <c r="U118" s="24" t="str">
        <f aca="false">IF(AND(C118="Own",Q118="Active"),COUNTIFS($C$5:C118,"Own",$Q$5:Q118,"Active"),"")</f>
        <v/>
      </c>
      <c r="V118" s="26" t="str">
        <f aca="false">IF(C118&lt;&gt;"Own","",IF(K118="Hourly",N118,(L118+M118)/(Settings!$B$11*Settings!$B$12)))</f>
        <v/>
      </c>
    </row>
    <row r="119" customFormat="false" ht="15" hidden="false" customHeight="false" outlineLevel="0" collapsed="false">
      <c r="R119" s="25" t="str">
        <f aca="true">IF(I119="","",I119-TODAY())</f>
        <v/>
      </c>
      <c r="S119" s="25" t="str">
        <f aca="true">IF(J119="","",J119-TODAY())</f>
        <v/>
      </c>
      <c r="T119" s="24" t="str">
        <f aca="false">IF(A119="","",IF(OR(AND(R119&lt;&gt;"",R119&lt;0),AND(S119&lt;&gt;"",S119&lt;0)),"EXPIRED",IF(OR(AND(R119&lt;&gt;"",R119&lt;=Settings!$B$15),AND(S119&lt;&gt;"",S119&lt;=Settings!$B$15)),"EXPIRING SOON","OK")))</f>
        <v/>
      </c>
      <c r="U119" s="24" t="str">
        <f aca="false">IF(AND(C119="Own",Q119="Active"),COUNTIFS($C$5:C119,"Own",$Q$5:Q119,"Active"),"")</f>
        <v/>
      </c>
      <c r="V119" s="26" t="str">
        <f aca="false">IF(C119&lt;&gt;"Own","",IF(K119="Hourly",N119,(L119+M119)/(Settings!$B$11*Settings!$B$12)))</f>
        <v/>
      </c>
    </row>
    <row r="120" customFormat="false" ht="15" hidden="false" customHeight="false" outlineLevel="0" collapsed="false">
      <c r="R120" s="25" t="str">
        <f aca="true">IF(I120="","",I120-TODAY())</f>
        <v/>
      </c>
      <c r="S120" s="25" t="str">
        <f aca="true">IF(J120="","",J120-TODAY())</f>
        <v/>
      </c>
      <c r="T120" s="24" t="str">
        <f aca="false">IF(A120="","",IF(OR(AND(R120&lt;&gt;"",R120&lt;0),AND(S120&lt;&gt;"",S120&lt;0)),"EXPIRED",IF(OR(AND(R120&lt;&gt;"",R120&lt;=Settings!$B$15),AND(S120&lt;&gt;"",S120&lt;=Settings!$B$15)),"EXPIRING SOON","OK")))</f>
        <v/>
      </c>
      <c r="U120" s="24" t="str">
        <f aca="false">IF(AND(C120="Own",Q120="Active"),COUNTIFS($C$5:C120,"Own",$Q$5:Q120,"Active"),"")</f>
        <v/>
      </c>
      <c r="V120" s="26" t="str">
        <f aca="false">IF(C120&lt;&gt;"Own","",IF(K120="Hourly",N120,(L120+M120)/(Settings!$B$11*Settings!$B$12)))</f>
        <v/>
      </c>
    </row>
    <row r="121" customFormat="false" ht="15" hidden="false" customHeight="false" outlineLevel="0" collapsed="false">
      <c r="R121" s="25" t="str">
        <f aca="true">IF(I121="","",I121-TODAY())</f>
        <v/>
      </c>
      <c r="S121" s="25" t="str">
        <f aca="true">IF(J121="","",J121-TODAY())</f>
        <v/>
      </c>
      <c r="T121" s="24" t="str">
        <f aca="false">IF(A121="","",IF(OR(AND(R121&lt;&gt;"",R121&lt;0),AND(S121&lt;&gt;"",S121&lt;0)),"EXPIRED",IF(OR(AND(R121&lt;&gt;"",R121&lt;=Settings!$B$15),AND(S121&lt;&gt;"",S121&lt;=Settings!$B$15)),"EXPIRING SOON","OK")))</f>
        <v/>
      </c>
      <c r="U121" s="24" t="str">
        <f aca="false">IF(AND(C121="Own",Q121="Active"),COUNTIFS($C$5:C121,"Own",$Q$5:Q121,"Active"),"")</f>
        <v/>
      </c>
      <c r="V121" s="26" t="str">
        <f aca="false">IF(C121&lt;&gt;"Own","",IF(K121="Hourly",N121,(L121+M121)/(Settings!$B$11*Settings!$B$12)))</f>
        <v/>
      </c>
    </row>
    <row r="122" customFormat="false" ht="15" hidden="false" customHeight="false" outlineLevel="0" collapsed="false">
      <c r="R122" s="25" t="str">
        <f aca="true">IF(I122="","",I122-TODAY())</f>
        <v/>
      </c>
      <c r="S122" s="25" t="str">
        <f aca="true">IF(J122="","",J122-TODAY())</f>
        <v/>
      </c>
      <c r="T122" s="24" t="str">
        <f aca="false">IF(A122="","",IF(OR(AND(R122&lt;&gt;"",R122&lt;0),AND(S122&lt;&gt;"",S122&lt;0)),"EXPIRED",IF(OR(AND(R122&lt;&gt;"",R122&lt;=Settings!$B$15),AND(S122&lt;&gt;"",S122&lt;=Settings!$B$15)),"EXPIRING SOON","OK")))</f>
        <v/>
      </c>
      <c r="U122" s="24" t="str">
        <f aca="false">IF(AND(C122="Own",Q122="Active"),COUNTIFS($C$5:C122,"Own",$Q$5:Q122,"Active"),"")</f>
        <v/>
      </c>
      <c r="V122" s="26" t="str">
        <f aca="false">IF(C122&lt;&gt;"Own","",IF(K122="Hourly",N122,(L122+M122)/(Settings!$B$11*Settings!$B$12)))</f>
        <v/>
      </c>
    </row>
    <row r="123" customFormat="false" ht="15" hidden="false" customHeight="false" outlineLevel="0" collapsed="false">
      <c r="R123" s="25" t="str">
        <f aca="true">IF(I123="","",I123-TODAY())</f>
        <v/>
      </c>
      <c r="S123" s="25" t="str">
        <f aca="true">IF(J123="","",J123-TODAY())</f>
        <v/>
      </c>
      <c r="T123" s="24" t="str">
        <f aca="false">IF(A123="","",IF(OR(AND(R123&lt;&gt;"",R123&lt;0),AND(S123&lt;&gt;"",S123&lt;0)),"EXPIRED",IF(OR(AND(R123&lt;&gt;"",R123&lt;=Settings!$B$15),AND(S123&lt;&gt;"",S123&lt;=Settings!$B$15)),"EXPIRING SOON","OK")))</f>
        <v/>
      </c>
      <c r="U123" s="24" t="str">
        <f aca="false">IF(AND(C123="Own",Q123="Active"),COUNTIFS($C$5:C123,"Own",$Q$5:Q123,"Active"),"")</f>
        <v/>
      </c>
      <c r="V123" s="26" t="str">
        <f aca="false">IF(C123&lt;&gt;"Own","",IF(K123="Hourly",N123,(L123+M123)/(Settings!$B$11*Settings!$B$12)))</f>
        <v/>
      </c>
    </row>
    <row r="124" customFormat="false" ht="15" hidden="false" customHeight="false" outlineLevel="0" collapsed="false">
      <c r="R124" s="25" t="str">
        <f aca="true">IF(I124="","",I124-TODAY())</f>
        <v/>
      </c>
      <c r="S124" s="25" t="str">
        <f aca="true">IF(J124="","",J124-TODAY())</f>
        <v/>
      </c>
      <c r="T124" s="24" t="str">
        <f aca="false">IF(A124="","",IF(OR(AND(R124&lt;&gt;"",R124&lt;0),AND(S124&lt;&gt;"",S124&lt;0)),"EXPIRED",IF(OR(AND(R124&lt;&gt;"",R124&lt;=Settings!$B$15),AND(S124&lt;&gt;"",S124&lt;=Settings!$B$15)),"EXPIRING SOON","OK")))</f>
        <v/>
      </c>
      <c r="U124" s="24" t="str">
        <f aca="false">IF(AND(C124="Own",Q124="Active"),COUNTIFS($C$5:C124,"Own",$Q$5:Q124,"Active"),"")</f>
        <v/>
      </c>
      <c r="V124" s="26" t="str">
        <f aca="false">IF(C124&lt;&gt;"Own","",IF(K124="Hourly",N124,(L124+M124)/(Settings!$B$11*Settings!$B$12)))</f>
        <v/>
      </c>
    </row>
    <row r="125" customFormat="false" ht="15" hidden="false" customHeight="false" outlineLevel="0" collapsed="false">
      <c r="R125" s="25" t="str">
        <f aca="true">IF(I125="","",I125-TODAY())</f>
        <v/>
      </c>
      <c r="S125" s="25" t="str">
        <f aca="true">IF(J125="","",J125-TODAY())</f>
        <v/>
      </c>
      <c r="T125" s="24" t="str">
        <f aca="false">IF(A125="","",IF(OR(AND(R125&lt;&gt;"",R125&lt;0),AND(S125&lt;&gt;"",S125&lt;0)),"EXPIRED",IF(OR(AND(R125&lt;&gt;"",R125&lt;=Settings!$B$15),AND(S125&lt;&gt;"",S125&lt;=Settings!$B$15)),"EXPIRING SOON","OK")))</f>
        <v/>
      </c>
      <c r="U125" s="24" t="str">
        <f aca="false">IF(AND(C125="Own",Q125="Active"),COUNTIFS($C$5:C125,"Own",$Q$5:Q125,"Active"),"")</f>
        <v/>
      </c>
      <c r="V125" s="26" t="str">
        <f aca="false">IF(C125&lt;&gt;"Own","",IF(K125="Hourly",N125,(L125+M125)/(Settings!$B$11*Settings!$B$12)))</f>
        <v/>
      </c>
    </row>
    <row r="126" customFormat="false" ht="15" hidden="false" customHeight="false" outlineLevel="0" collapsed="false">
      <c r="R126" s="25" t="str">
        <f aca="true">IF(I126="","",I126-TODAY())</f>
        <v/>
      </c>
      <c r="S126" s="25" t="str">
        <f aca="true">IF(J126="","",J126-TODAY())</f>
        <v/>
      </c>
      <c r="T126" s="24" t="str">
        <f aca="false">IF(A126="","",IF(OR(AND(R126&lt;&gt;"",R126&lt;0),AND(S126&lt;&gt;"",S126&lt;0)),"EXPIRED",IF(OR(AND(R126&lt;&gt;"",R126&lt;=Settings!$B$15),AND(S126&lt;&gt;"",S126&lt;=Settings!$B$15)),"EXPIRING SOON","OK")))</f>
        <v/>
      </c>
      <c r="U126" s="24" t="str">
        <f aca="false">IF(AND(C126="Own",Q126="Active"),COUNTIFS($C$5:C126,"Own",$Q$5:Q126,"Active"),"")</f>
        <v/>
      </c>
      <c r="V126" s="26" t="str">
        <f aca="false">IF(C126&lt;&gt;"Own","",IF(K126="Hourly",N126,(L126+M126)/(Settings!$B$11*Settings!$B$12)))</f>
        <v/>
      </c>
    </row>
    <row r="127" customFormat="false" ht="15" hidden="false" customHeight="false" outlineLevel="0" collapsed="false">
      <c r="R127" s="25" t="str">
        <f aca="true">IF(I127="","",I127-TODAY())</f>
        <v/>
      </c>
      <c r="S127" s="25" t="str">
        <f aca="true">IF(J127="","",J127-TODAY())</f>
        <v/>
      </c>
      <c r="T127" s="24" t="str">
        <f aca="false">IF(A127="","",IF(OR(AND(R127&lt;&gt;"",R127&lt;0),AND(S127&lt;&gt;"",S127&lt;0)),"EXPIRED",IF(OR(AND(R127&lt;&gt;"",R127&lt;=Settings!$B$15),AND(S127&lt;&gt;"",S127&lt;=Settings!$B$15)),"EXPIRING SOON","OK")))</f>
        <v/>
      </c>
      <c r="U127" s="24" t="str">
        <f aca="false">IF(AND(C127="Own",Q127="Active"),COUNTIFS($C$5:C127,"Own",$Q$5:Q127,"Active"),"")</f>
        <v/>
      </c>
      <c r="V127" s="26" t="str">
        <f aca="false">IF(C127&lt;&gt;"Own","",IF(K127="Hourly",N127,(L127+M127)/(Settings!$B$11*Settings!$B$12)))</f>
        <v/>
      </c>
    </row>
    <row r="128" customFormat="false" ht="15" hidden="false" customHeight="false" outlineLevel="0" collapsed="false">
      <c r="R128" s="25" t="str">
        <f aca="true">IF(I128="","",I128-TODAY())</f>
        <v/>
      </c>
      <c r="S128" s="25" t="str">
        <f aca="true">IF(J128="","",J128-TODAY())</f>
        <v/>
      </c>
      <c r="T128" s="24" t="str">
        <f aca="false">IF(A128="","",IF(OR(AND(R128&lt;&gt;"",R128&lt;0),AND(S128&lt;&gt;"",S128&lt;0)),"EXPIRED",IF(OR(AND(R128&lt;&gt;"",R128&lt;=Settings!$B$15),AND(S128&lt;&gt;"",S128&lt;=Settings!$B$15)),"EXPIRING SOON","OK")))</f>
        <v/>
      </c>
      <c r="U128" s="24" t="str">
        <f aca="false">IF(AND(C128="Own",Q128="Active"),COUNTIFS($C$5:C128,"Own",$Q$5:Q128,"Active"),"")</f>
        <v/>
      </c>
      <c r="V128" s="26" t="str">
        <f aca="false">IF(C128&lt;&gt;"Own","",IF(K128="Hourly",N128,(L128+M128)/(Settings!$B$11*Settings!$B$12)))</f>
        <v/>
      </c>
    </row>
    <row r="129" customFormat="false" ht="15" hidden="false" customHeight="false" outlineLevel="0" collapsed="false">
      <c r="R129" s="25" t="str">
        <f aca="true">IF(I129="","",I129-TODAY())</f>
        <v/>
      </c>
      <c r="S129" s="25" t="str">
        <f aca="true">IF(J129="","",J129-TODAY())</f>
        <v/>
      </c>
      <c r="T129" s="24" t="str">
        <f aca="false">IF(A129="","",IF(OR(AND(R129&lt;&gt;"",R129&lt;0),AND(S129&lt;&gt;"",S129&lt;0)),"EXPIRED",IF(OR(AND(R129&lt;&gt;"",R129&lt;=Settings!$B$15),AND(S129&lt;&gt;"",S129&lt;=Settings!$B$15)),"EXPIRING SOON","OK")))</f>
        <v/>
      </c>
      <c r="U129" s="24" t="str">
        <f aca="false">IF(AND(C129="Own",Q129="Active"),COUNTIFS($C$5:C129,"Own",$Q$5:Q129,"Active"),"")</f>
        <v/>
      </c>
      <c r="V129" s="26" t="str">
        <f aca="false">IF(C129&lt;&gt;"Own","",IF(K129="Hourly",N129,(L129+M129)/(Settings!$B$11*Settings!$B$12)))</f>
        <v/>
      </c>
    </row>
    <row r="130" customFormat="false" ht="15" hidden="false" customHeight="false" outlineLevel="0" collapsed="false">
      <c r="R130" s="25" t="str">
        <f aca="true">IF(I130="","",I130-TODAY())</f>
        <v/>
      </c>
      <c r="S130" s="25" t="str">
        <f aca="true">IF(J130="","",J130-TODAY())</f>
        <v/>
      </c>
      <c r="T130" s="24" t="str">
        <f aca="false">IF(A130="","",IF(OR(AND(R130&lt;&gt;"",R130&lt;0),AND(S130&lt;&gt;"",S130&lt;0)),"EXPIRED",IF(OR(AND(R130&lt;&gt;"",R130&lt;=Settings!$B$15),AND(S130&lt;&gt;"",S130&lt;=Settings!$B$15)),"EXPIRING SOON","OK")))</f>
        <v/>
      </c>
      <c r="U130" s="24" t="str">
        <f aca="false">IF(AND(C130="Own",Q130="Active"),COUNTIFS($C$5:C130,"Own",$Q$5:Q130,"Active"),"")</f>
        <v/>
      </c>
      <c r="V130" s="26" t="str">
        <f aca="false">IF(C130&lt;&gt;"Own","",IF(K130="Hourly",N130,(L130+M130)/(Settings!$B$11*Settings!$B$12)))</f>
        <v/>
      </c>
    </row>
    <row r="131" customFormat="false" ht="15" hidden="false" customHeight="false" outlineLevel="0" collapsed="false">
      <c r="R131" s="25" t="str">
        <f aca="true">IF(I131="","",I131-TODAY())</f>
        <v/>
      </c>
      <c r="S131" s="25" t="str">
        <f aca="true">IF(J131="","",J131-TODAY())</f>
        <v/>
      </c>
      <c r="T131" s="24" t="str">
        <f aca="false">IF(A131="","",IF(OR(AND(R131&lt;&gt;"",R131&lt;0),AND(S131&lt;&gt;"",S131&lt;0)),"EXPIRED",IF(OR(AND(R131&lt;&gt;"",R131&lt;=Settings!$B$15),AND(S131&lt;&gt;"",S131&lt;=Settings!$B$15)),"EXPIRING SOON","OK")))</f>
        <v/>
      </c>
      <c r="U131" s="24" t="str">
        <f aca="false">IF(AND(C131="Own",Q131="Active"),COUNTIFS($C$5:C131,"Own",$Q$5:Q131,"Active"),"")</f>
        <v/>
      </c>
      <c r="V131" s="26" t="str">
        <f aca="false">IF(C131&lt;&gt;"Own","",IF(K131="Hourly",N131,(L131+M131)/(Settings!$B$11*Settings!$B$12)))</f>
        <v/>
      </c>
    </row>
    <row r="132" customFormat="false" ht="15" hidden="false" customHeight="false" outlineLevel="0" collapsed="false">
      <c r="R132" s="25" t="str">
        <f aca="true">IF(I132="","",I132-TODAY())</f>
        <v/>
      </c>
      <c r="S132" s="25" t="str">
        <f aca="true">IF(J132="","",J132-TODAY())</f>
        <v/>
      </c>
      <c r="T132" s="24" t="str">
        <f aca="false">IF(A132="","",IF(OR(AND(R132&lt;&gt;"",R132&lt;0),AND(S132&lt;&gt;"",S132&lt;0)),"EXPIRED",IF(OR(AND(R132&lt;&gt;"",R132&lt;=Settings!$B$15),AND(S132&lt;&gt;"",S132&lt;=Settings!$B$15)),"EXPIRING SOON","OK")))</f>
        <v/>
      </c>
      <c r="U132" s="24" t="str">
        <f aca="false">IF(AND(C132="Own",Q132="Active"),COUNTIFS($C$5:C132,"Own",$Q$5:Q132,"Active"),"")</f>
        <v/>
      </c>
      <c r="V132" s="26" t="str">
        <f aca="false">IF(C132&lt;&gt;"Own","",IF(K132="Hourly",N132,(L132+M132)/(Settings!$B$11*Settings!$B$12)))</f>
        <v/>
      </c>
    </row>
    <row r="133" customFormat="false" ht="15" hidden="false" customHeight="false" outlineLevel="0" collapsed="false">
      <c r="R133" s="25" t="str">
        <f aca="true">IF(I133="","",I133-TODAY())</f>
        <v/>
      </c>
      <c r="S133" s="25" t="str">
        <f aca="true">IF(J133="","",J133-TODAY())</f>
        <v/>
      </c>
      <c r="T133" s="24" t="str">
        <f aca="false">IF(A133="","",IF(OR(AND(R133&lt;&gt;"",R133&lt;0),AND(S133&lt;&gt;"",S133&lt;0)),"EXPIRED",IF(OR(AND(R133&lt;&gt;"",R133&lt;=Settings!$B$15),AND(S133&lt;&gt;"",S133&lt;=Settings!$B$15)),"EXPIRING SOON","OK")))</f>
        <v/>
      </c>
      <c r="U133" s="24" t="str">
        <f aca="false">IF(AND(C133="Own",Q133="Active"),COUNTIFS($C$5:C133,"Own",$Q$5:Q133,"Active"),"")</f>
        <v/>
      </c>
      <c r="V133" s="26" t="str">
        <f aca="false">IF(C133&lt;&gt;"Own","",IF(K133="Hourly",N133,(L133+M133)/(Settings!$B$11*Settings!$B$12)))</f>
        <v/>
      </c>
    </row>
    <row r="134" customFormat="false" ht="15" hidden="false" customHeight="false" outlineLevel="0" collapsed="false">
      <c r="R134" s="25" t="str">
        <f aca="true">IF(I134="","",I134-TODAY())</f>
        <v/>
      </c>
      <c r="S134" s="25" t="str">
        <f aca="true">IF(J134="","",J134-TODAY())</f>
        <v/>
      </c>
      <c r="T134" s="24" t="str">
        <f aca="false">IF(A134="","",IF(OR(AND(R134&lt;&gt;"",R134&lt;0),AND(S134&lt;&gt;"",S134&lt;0)),"EXPIRED",IF(OR(AND(R134&lt;&gt;"",R134&lt;=Settings!$B$15),AND(S134&lt;&gt;"",S134&lt;=Settings!$B$15)),"EXPIRING SOON","OK")))</f>
        <v/>
      </c>
      <c r="U134" s="24" t="str">
        <f aca="false">IF(AND(C134="Own",Q134="Active"),COUNTIFS($C$5:C134,"Own",$Q$5:Q134,"Active"),"")</f>
        <v/>
      </c>
      <c r="V134" s="26" t="str">
        <f aca="false">IF(C134&lt;&gt;"Own","",IF(K134="Hourly",N134,(L134+M134)/(Settings!$B$11*Settings!$B$12)))</f>
        <v/>
      </c>
    </row>
    <row r="135" customFormat="false" ht="15" hidden="false" customHeight="false" outlineLevel="0" collapsed="false">
      <c r="R135" s="25" t="str">
        <f aca="true">IF(I135="","",I135-TODAY())</f>
        <v/>
      </c>
      <c r="S135" s="25" t="str">
        <f aca="true">IF(J135="","",J135-TODAY())</f>
        <v/>
      </c>
      <c r="T135" s="24" t="str">
        <f aca="false">IF(A135="","",IF(OR(AND(R135&lt;&gt;"",R135&lt;0),AND(S135&lt;&gt;"",S135&lt;0)),"EXPIRED",IF(OR(AND(R135&lt;&gt;"",R135&lt;=Settings!$B$15),AND(S135&lt;&gt;"",S135&lt;=Settings!$B$15)),"EXPIRING SOON","OK")))</f>
        <v/>
      </c>
      <c r="U135" s="24" t="str">
        <f aca="false">IF(AND(C135="Own",Q135="Active"),COUNTIFS($C$5:C135,"Own",$Q$5:Q135,"Active"),"")</f>
        <v/>
      </c>
      <c r="V135" s="26" t="str">
        <f aca="false">IF(C135&lt;&gt;"Own","",IF(K135="Hourly",N135,(L135+M135)/(Settings!$B$11*Settings!$B$12)))</f>
        <v/>
      </c>
    </row>
    <row r="136" customFormat="false" ht="15" hidden="false" customHeight="false" outlineLevel="0" collapsed="false">
      <c r="R136" s="25" t="str">
        <f aca="true">IF(I136="","",I136-TODAY())</f>
        <v/>
      </c>
      <c r="S136" s="25" t="str">
        <f aca="true">IF(J136="","",J136-TODAY())</f>
        <v/>
      </c>
      <c r="T136" s="24" t="str">
        <f aca="false">IF(A136="","",IF(OR(AND(R136&lt;&gt;"",R136&lt;0),AND(S136&lt;&gt;"",S136&lt;0)),"EXPIRED",IF(OR(AND(R136&lt;&gt;"",R136&lt;=Settings!$B$15),AND(S136&lt;&gt;"",S136&lt;=Settings!$B$15)),"EXPIRING SOON","OK")))</f>
        <v/>
      </c>
      <c r="U136" s="24" t="str">
        <f aca="false">IF(AND(C136="Own",Q136="Active"),COUNTIFS($C$5:C136,"Own",$Q$5:Q136,"Active"),"")</f>
        <v/>
      </c>
      <c r="V136" s="26" t="str">
        <f aca="false">IF(C136&lt;&gt;"Own","",IF(K136="Hourly",N136,(L136+M136)/(Settings!$B$11*Settings!$B$12)))</f>
        <v/>
      </c>
    </row>
    <row r="137" customFormat="false" ht="15" hidden="false" customHeight="false" outlineLevel="0" collapsed="false">
      <c r="R137" s="25" t="str">
        <f aca="true">IF(I137="","",I137-TODAY())</f>
        <v/>
      </c>
      <c r="S137" s="25" t="str">
        <f aca="true">IF(J137="","",J137-TODAY())</f>
        <v/>
      </c>
      <c r="T137" s="24" t="str">
        <f aca="false">IF(A137="","",IF(OR(AND(R137&lt;&gt;"",R137&lt;0),AND(S137&lt;&gt;"",S137&lt;0)),"EXPIRED",IF(OR(AND(R137&lt;&gt;"",R137&lt;=Settings!$B$15),AND(S137&lt;&gt;"",S137&lt;=Settings!$B$15)),"EXPIRING SOON","OK")))</f>
        <v/>
      </c>
      <c r="U137" s="24" t="str">
        <f aca="false">IF(AND(C137="Own",Q137="Active"),COUNTIFS($C$5:C137,"Own",$Q$5:Q137,"Active"),"")</f>
        <v/>
      </c>
      <c r="V137" s="26" t="str">
        <f aca="false">IF(C137&lt;&gt;"Own","",IF(K137="Hourly",N137,(L137+M137)/(Settings!$B$11*Settings!$B$12)))</f>
        <v/>
      </c>
    </row>
    <row r="138" customFormat="false" ht="15" hidden="false" customHeight="false" outlineLevel="0" collapsed="false">
      <c r="R138" s="25" t="str">
        <f aca="true">IF(I138="","",I138-TODAY())</f>
        <v/>
      </c>
      <c r="S138" s="25" t="str">
        <f aca="true">IF(J138="","",J138-TODAY())</f>
        <v/>
      </c>
      <c r="T138" s="24" t="str">
        <f aca="false">IF(A138="","",IF(OR(AND(R138&lt;&gt;"",R138&lt;0),AND(S138&lt;&gt;"",S138&lt;0)),"EXPIRED",IF(OR(AND(R138&lt;&gt;"",R138&lt;=Settings!$B$15),AND(S138&lt;&gt;"",S138&lt;=Settings!$B$15)),"EXPIRING SOON","OK")))</f>
        <v/>
      </c>
      <c r="U138" s="24" t="str">
        <f aca="false">IF(AND(C138="Own",Q138="Active"),COUNTIFS($C$5:C138,"Own",$Q$5:Q138,"Active"),"")</f>
        <v/>
      </c>
      <c r="V138" s="26" t="str">
        <f aca="false">IF(C138&lt;&gt;"Own","",IF(K138="Hourly",N138,(L138+M138)/(Settings!$B$11*Settings!$B$12)))</f>
        <v/>
      </c>
    </row>
    <row r="139" customFormat="false" ht="15" hidden="false" customHeight="false" outlineLevel="0" collapsed="false">
      <c r="R139" s="25" t="str">
        <f aca="true">IF(I139="","",I139-TODAY())</f>
        <v/>
      </c>
      <c r="S139" s="25" t="str">
        <f aca="true">IF(J139="","",J139-TODAY())</f>
        <v/>
      </c>
      <c r="T139" s="24" t="str">
        <f aca="false">IF(A139="","",IF(OR(AND(R139&lt;&gt;"",R139&lt;0),AND(S139&lt;&gt;"",S139&lt;0)),"EXPIRED",IF(OR(AND(R139&lt;&gt;"",R139&lt;=Settings!$B$15),AND(S139&lt;&gt;"",S139&lt;=Settings!$B$15)),"EXPIRING SOON","OK")))</f>
        <v/>
      </c>
      <c r="U139" s="24" t="str">
        <f aca="false">IF(AND(C139="Own",Q139="Active"),COUNTIFS($C$5:C139,"Own",$Q$5:Q139,"Active"),"")</f>
        <v/>
      </c>
      <c r="V139" s="26" t="str">
        <f aca="false">IF(C139&lt;&gt;"Own","",IF(K139="Hourly",N139,(L139+M139)/(Settings!$B$11*Settings!$B$12)))</f>
        <v/>
      </c>
    </row>
    <row r="140" customFormat="false" ht="15" hidden="false" customHeight="false" outlineLevel="0" collapsed="false">
      <c r="R140" s="25" t="str">
        <f aca="true">IF(I140="","",I140-TODAY())</f>
        <v/>
      </c>
      <c r="S140" s="25" t="str">
        <f aca="true">IF(J140="","",J140-TODAY())</f>
        <v/>
      </c>
      <c r="T140" s="24" t="str">
        <f aca="false">IF(A140="","",IF(OR(AND(R140&lt;&gt;"",R140&lt;0),AND(S140&lt;&gt;"",S140&lt;0)),"EXPIRED",IF(OR(AND(R140&lt;&gt;"",R140&lt;=Settings!$B$15),AND(S140&lt;&gt;"",S140&lt;=Settings!$B$15)),"EXPIRING SOON","OK")))</f>
        <v/>
      </c>
      <c r="U140" s="24" t="str">
        <f aca="false">IF(AND(C140="Own",Q140="Active"),COUNTIFS($C$5:C140,"Own",$Q$5:Q140,"Active"),"")</f>
        <v/>
      </c>
      <c r="V140" s="26" t="str">
        <f aca="false">IF(C140&lt;&gt;"Own","",IF(K140="Hourly",N140,(L140+M140)/(Settings!$B$11*Settings!$B$12)))</f>
        <v/>
      </c>
    </row>
    <row r="141" customFormat="false" ht="15" hidden="false" customHeight="false" outlineLevel="0" collapsed="false">
      <c r="R141" s="25" t="str">
        <f aca="true">IF(I141="","",I141-TODAY())</f>
        <v/>
      </c>
      <c r="S141" s="25" t="str">
        <f aca="true">IF(J141="","",J141-TODAY())</f>
        <v/>
      </c>
      <c r="T141" s="24" t="str">
        <f aca="false">IF(A141="","",IF(OR(AND(R141&lt;&gt;"",R141&lt;0),AND(S141&lt;&gt;"",S141&lt;0)),"EXPIRED",IF(OR(AND(R141&lt;&gt;"",R141&lt;=Settings!$B$15),AND(S141&lt;&gt;"",S141&lt;=Settings!$B$15)),"EXPIRING SOON","OK")))</f>
        <v/>
      </c>
      <c r="U141" s="24" t="str">
        <f aca="false">IF(AND(C141="Own",Q141="Active"),COUNTIFS($C$5:C141,"Own",$Q$5:Q141,"Active"),"")</f>
        <v/>
      </c>
      <c r="V141" s="26" t="str">
        <f aca="false">IF(C141&lt;&gt;"Own","",IF(K141="Hourly",N141,(L141+M141)/(Settings!$B$11*Settings!$B$12)))</f>
        <v/>
      </c>
    </row>
    <row r="142" customFormat="false" ht="15" hidden="false" customHeight="false" outlineLevel="0" collapsed="false">
      <c r="R142" s="25" t="str">
        <f aca="true">IF(I142="","",I142-TODAY())</f>
        <v/>
      </c>
      <c r="S142" s="25" t="str">
        <f aca="true">IF(J142="","",J142-TODAY())</f>
        <v/>
      </c>
      <c r="T142" s="24" t="str">
        <f aca="false">IF(A142="","",IF(OR(AND(R142&lt;&gt;"",R142&lt;0),AND(S142&lt;&gt;"",S142&lt;0)),"EXPIRED",IF(OR(AND(R142&lt;&gt;"",R142&lt;=Settings!$B$15),AND(S142&lt;&gt;"",S142&lt;=Settings!$B$15)),"EXPIRING SOON","OK")))</f>
        <v/>
      </c>
      <c r="U142" s="24" t="str">
        <f aca="false">IF(AND(C142="Own",Q142="Active"),COUNTIFS($C$5:C142,"Own",$Q$5:Q142,"Active"),"")</f>
        <v/>
      </c>
      <c r="V142" s="26" t="str">
        <f aca="false">IF(C142&lt;&gt;"Own","",IF(K142="Hourly",N142,(L142+M142)/(Settings!$B$11*Settings!$B$12)))</f>
        <v/>
      </c>
    </row>
    <row r="143" customFormat="false" ht="15" hidden="false" customHeight="false" outlineLevel="0" collapsed="false">
      <c r="R143" s="25" t="str">
        <f aca="true">IF(I143="","",I143-TODAY())</f>
        <v/>
      </c>
      <c r="S143" s="25" t="str">
        <f aca="true">IF(J143="","",J143-TODAY())</f>
        <v/>
      </c>
      <c r="T143" s="24" t="str">
        <f aca="false">IF(A143="","",IF(OR(AND(R143&lt;&gt;"",R143&lt;0),AND(S143&lt;&gt;"",S143&lt;0)),"EXPIRED",IF(OR(AND(R143&lt;&gt;"",R143&lt;=Settings!$B$15),AND(S143&lt;&gt;"",S143&lt;=Settings!$B$15)),"EXPIRING SOON","OK")))</f>
        <v/>
      </c>
      <c r="U143" s="24" t="str">
        <f aca="false">IF(AND(C143="Own",Q143="Active"),COUNTIFS($C$5:C143,"Own",$Q$5:Q143,"Active"),"")</f>
        <v/>
      </c>
      <c r="V143" s="26" t="str">
        <f aca="false">IF(C143&lt;&gt;"Own","",IF(K143="Hourly",N143,(L143+M143)/(Settings!$B$11*Settings!$B$12)))</f>
        <v/>
      </c>
    </row>
    <row r="144" customFormat="false" ht="15" hidden="false" customHeight="false" outlineLevel="0" collapsed="false">
      <c r="R144" s="25" t="str">
        <f aca="true">IF(I144="","",I144-TODAY())</f>
        <v/>
      </c>
      <c r="S144" s="25" t="str">
        <f aca="true">IF(J144="","",J144-TODAY())</f>
        <v/>
      </c>
      <c r="T144" s="24" t="str">
        <f aca="false">IF(A144="","",IF(OR(AND(R144&lt;&gt;"",R144&lt;0),AND(S144&lt;&gt;"",S144&lt;0)),"EXPIRED",IF(OR(AND(R144&lt;&gt;"",R144&lt;=Settings!$B$15),AND(S144&lt;&gt;"",S144&lt;=Settings!$B$15)),"EXPIRING SOON","OK")))</f>
        <v/>
      </c>
      <c r="U144" s="24" t="str">
        <f aca="false">IF(AND(C144="Own",Q144="Active"),COUNTIFS($C$5:C144,"Own",$Q$5:Q144,"Active"),"")</f>
        <v/>
      </c>
      <c r="V144" s="26" t="str">
        <f aca="false">IF(C144&lt;&gt;"Own","",IF(K144="Hourly",N144,(L144+M144)/(Settings!$B$11*Settings!$B$12)))</f>
        <v/>
      </c>
    </row>
    <row r="145" customFormat="false" ht="15" hidden="false" customHeight="false" outlineLevel="0" collapsed="false">
      <c r="R145" s="25" t="str">
        <f aca="true">IF(I145="","",I145-TODAY())</f>
        <v/>
      </c>
      <c r="S145" s="25" t="str">
        <f aca="true">IF(J145="","",J145-TODAY())</f>
        <v/>
      </c>
      <c r="T145" s="24" t="str">
        <f aca="false">IF(A145="","",IF(OR(AND(R145&lt;&gt;"",R145&lt;0),AND(S145&lt;&gt;"",S145&lt;0)),"EXPIRED",IF(OR(AND(R145&lt;&gt;"",R145&lt;=Settings!$B$15),AND(S145&lt;&gt;"",S145&lt;=Settings!$B$15)),"EXPIRING SOON","OK")))</f>
        <v/>
      </c>
      <c r="U145" s="24" t="str">
        <f aca="false">IF(AND(C145="Own",Q145="Active"),COUNTIFS($C$5:C145,"Own",$Q$5:Q145,"Active"),"")</f>
        <v/>
      </c>
      <c r="V145" s="26" t="str">
        <f aca="false">IF(C145&lt;&gt;"Own","",IF(K145="Hourly",N145,(L145+M145)/(Settings!$B$11*Settings!$B$12)))</f>
        <v/>
      </c>
    </row>
    <row r="146" customFormat="false" ht="15" hidden="false" customHeight="false" outlineLevel="0" collapsed="false">
      <c r="R146" s="25" t="str">
        <f aca="true">IF(I146="","",I146-TODAY())</f>
        <v/>
      </c>
      <c r="S146" s="25" t="str">
        <f aca="true">IF(J146="","",J146-TODAY())</f>
        <v/>
      </c>
      <c r="T146" s="24" t="str">
        <f aca="false">IF(A146="","",IF(OR(AND(R146&lt;&gt;"",R146&lt;0),AND(S146&lt;&gt;"",S146&lt;0)),"EXPIRED",IF(OR(AND(R146&lt;&gt;"",R146&lt;=Settings!$B$15),AND(S146&lt;&gt;"",S146&lt;=Settings!$B$15)),"EXPIRING SOON","OK")))</f>
        <v/>
      </c>
      <c r="U146" s="24" t="str">
        <f aca="false">IF(AND(C146="Own",Q146="Active"),COUNTIFS($C$5:C146,"Own",$Q$5:Q146,"Active"),"")</f>
        <v/>
      </c>
      <c r="V146" s="26" t="str">
        <f aca="false">IF(C146&lt;&gt;"Own","",IF(K146="Hourly",N146,(L146+M146)/(Settings!$B$11*Settings!$B$12)))</f>
        <v/>
      </c>
    </row>
    <row r="147" customFormat="false" ht="15" hidden="false" customHeight="false" outlineLevel="0" collapsed="false">
      <c r="R147" s="25" t="str">
        <f aca="true">IF(I147="","",I147-TODAY())</f>
        <v/>
      </c>
      <c r="S147" s="25" t="str">
        <f aca="true">IF(J147="","",J147-TODAY())</f>
        <v/>
      </c>
      <c r="T147" s="24" t="str">
        <f aca="false">IF(A147="","",IF(OR(AND(R147&lt;&gt;"",R147&lt;0),AND(S147&lt;&gt;"",S147&lt;0)),"EXPIRED",IF(OR(AND(R147&lt;&gt;"",R147&lt;=Settings!$B$15),AND(S147&lt;&gt;"",S147&lt;=Settings!$B$15)),"EXPIRING SOON","OK")))</f>
        <v/>
      </c>
      <c r="U147" s="24" t="str">
        <f aca="false">IF(AND(C147="Own",Q147="Active"),COUNTIFS($C$5:C147,"Own",$Q$5:Q147,"Active"),"")</f>
        <v/>
      </c>
      <c r="V147" s="26" t="str">
        <f aca="false">IF(C147&lt;&gt;"Own","",IF(K147="Hourly",N147,(L147+M147)/(Settings!$B$11*Settings!$B$12)))</f>
        <v/>
      </c>
    </row>
    <row r="148" customFormat="false" ht="15" hidden="false" customHeight="false" outlineLevel="0" collapsed="false">
      <c r="R148" s="25" t="str">
        <f aca="true">IF(I148="","",I148-TODAY())</f>
        <v/>
      </c>
      <c r="S148" s="25" t="str">
        <f aca="true">IF(J148="","",J148-TODAY())</f>
        <v/>
      </c>
      <c r="T148" s="24" t="str">
        <f aca="false">IF(A148="","",IF(OR(AND(R148&lt;&gt;"",R148&lt;0),AND(S148&lt;&gt;"",S148&lt;0)),"EXPIRED",IF(OR(AND(R148&lt;&gt;"",R148&lt;=Settings!$B$15),AND(S148&lt;&gt;"",S148&lt;=Settings!$B$15)),"EXPIRING SOON","OK")))</f>
        <v/>
      </c>
      <c r="U148" s="24" t="str">
        <f aca="false">IF(AND(C148="Own",Q148="Active"),COUNTIFS($C$5:C148,"Own",$Q$5:Q148,"Active"),"")</f>
        <v/>
      </c>
      <c r="V148" s="26" t="str">
        <f aca="false">IF(C148&lt;&gt;"Own","",IF(K148="Hourly",N148,(L148+M148)/(Settings!$B$11*Settings!$B$12)))</f>
        <v/>
      </c>
    </row>
    <row r="149" customFormat="false" ht="15" hidden="false" customHeight="false" outlineLevel="0" collapsed="false">
      <c r="R149" s="25" t="str">
        <f aca="true">IF(I149="","",I149-TODAY())</f>
        <v/>
      </c>
      <c r="S149" s="25" t="str">
        <f aca="true">IF(J149="","",J149-TODAY())</f>
        <v/>
      </c>
      <c r="T149" s="24" t="str">
        <f aca="false">IF(A149="","",IF(OR(AND(R149&lt;&gt;"",R149&lt;0),AND(S149&lt;&gt;"",S149&lt;0)),"EXPIRED",IF(OR(AND(R149&lt;&gt;"",R149&lt;=Settings!$B$15),AND(S149&lt;&gt;"",S149&lt;=Settings!$B$15)),"EXPIRING SOON","OK")))</f>
        <v/>
      </c>
      <c r="U149" s="24" t="str">
        <f aca="false">IF(AND(C149="Own",Q149="Active"),COUNTIFS($C$5:C149,"Own",$Q$5:Q149,"Active"),"")</f>
        <v/>
      </c>
      <c r="V149" s="26" t="str">
        <f aca="false">IF(C149&lt;&gt;"Own","",IF(K149="Hourly",N149,(L149+M149)/(Settings!$B$11*Settings!$B$12)))</f>
        <v/>
      </c>
    </row>
    <row r="150" customFormat="false" ht="15" hidden="false" customHeight="false" outlineLevel="0" collapsed="false">
      <c r="R150" s="25" t="str">
        <f aca="true">IF(I150="","",I150-TODAY())</f>
        <v/>
      </c>
      <c r="S150" s="25" t="str">
        <f aca="true">IF(J150="","",J150-TODAY())</f>
        <v/>
      </c>
      <c r="T150" s="24" t="str">
        <f aca="false">IF(A150="","",IF(OR(AND(R150&lt;&gt;"",R150&lt;0),AND(S150&lt;&gt;"",S150&lt;0)),"EXPIRED",IF(OR(AND(R150&lt;&gt;"",R150&lt;=Settings!$B$15),AND(S150&lt;&gt;"",S150&lt;=Settings!$B$15)),"EXPIRING SOON","OK")))</f>
        <v/>
      </c>
      <c r="U150" s="24" t="str">
        <f aca="false">IF(AND(C150="Own",Q150="Active"),COUNTIFS($C$5:C150,"Own",$Q$5:Q150,"Active"),"")</f>
        <v/>
      </c>
      <c r="V150" s="26" t="str">
        <f aca="false">IF(C150&lt;&gt;"Own","",IF(K150="Hourly",N150,(L150+M150)/(Settings!$B$11*Settings!$B$12)))</f>
        <v/>
      </c>
    </row>
    <row r="151" customFormat="false" ht="15" hidden="false" customHeight="false" outlineLevel="0" collapsed="false">
      <c r="R151" s="25" t="str">
        <f aca="true">IF(I151="","",I151-TODAY())</f>
        <v/>
      </c>
      <c r="S151" s="25" t="str">
        <f aca="true">IF(J151="","",J151-TODAY())</f>
        <v/>
      </c>
      <c r="T151" s="24" t="str">
        <f aca="false">IF(A151="","",IF(OR(AND(R151&lt;&gt;"",R151&lt;0),AND(S151&lt;&gt;"",S151&lt;0)),"EXPIRED",IF(OR(AND(R151&lt;&gt;"",R151&lt;=Settings!$B$15),AND(S151&lt;&gt;"",S151&lt;=Settings!$B$15)),"EXPIRING SOON","OK")))</f>
        <v/>
      </c>
      <c r="U151" s="24" t="str">
        <f aca="false">IF(AND(C151="Own",Q151="Active"),COUNTIFS($C$5:C151,"Own",$Q$5:Q151,"Active"),"")</f>
        <v/>
      </c>
      <c r="V151" s="26" t="str">
        <f aca="false">IF(C151&lt;&gt;"Own","",IF(K151="Hourly",N151,(L151+M151)/(Settings!$B$11*Settings!$B$12)))</f>
        <v/>
      </c>
    </row>
    <row r="152" customFormat="false" ht="15" hidden="false" customHeight="false" outlineLevel="0" collapsed="false">
      <c r="R152" s="25" t="str">
        <f aca="true">IF(I152="","",I152-TODAY())</f>
        <v/>
      </c>
      <c r="S152" s="25" t="str">
        <f aca="true">IF(J152="","",J152-TODAY())</f>
        <v/>
      </c>
      <c r="T152" s="24" t="str">
        <f aca="false">IF(A152="","",IF(OR(AND(R152&lt;&gt;"",R152&lt;0),AND(S152&lt;&gt;"",S152&lt;0)),"EXPIRED",IF(OR(AND(R152&lt;&gt;"",R152&lt;=Settings!$B$15),AND(S152&lt;&gt;"",S152&lt;=Settings!$B$15)),"EXPIRING SOON","OK")))</f>
        <v/>
      </c>
      <c r="U152" s="24" t="str">
        <f aca="false">IF(AND(C152="Own",Q152="Active"),COUNTIFS($C$5:C152,"Own",$Q$5:Q152,"Active"),"")</f>
        <v/>
      </c>
      <c r="V152" s="26" t="str">
        <f aca="false">IF(C152&lt;&gt;"Own","",IF(K152="Hourly",N152,(L152+M152)/(Settings!$B$11*Settings!$B$12)))</f>
        <v/>
      </c>
    </row>
    <row r="153" customFormat="false" ht="15" hidden="false" customHeight="false" outlineLevel="0" collapsed="false">
      <c r="R153" s="25" t="str">
        <f aca="true">IF(I153="","",I153-TODAY())</f>
        <v/>
      </c>
      <c r="S153" s="25" t="str">
        <f aca="true">IF(J153="","",J153-TODAY())</f>
        <v/>
      </c>
      <c r="T153" s="24" t="str">
        <f aca="false">IF(A153="","",IF(OR(AND(R153&lt;&gt;"",R153&lt;0),AND(S153&lt;&gt;"",S153&lt;0)),"EXPIRED",IF(OR(AND(R153&lt;&gt;"",R153&lt;=Settings!$B$15),AND(S153&lt;&gt;"",S153&lt;=Settings!$B$15)),"EXPIRING SOON","OK")))</f>
        <v/>
      </c>
      <c r="U153" s="24" t="str">
        <f aca="false">IF(AND(C153="Own",Q153="Active"),COUNTIFS($C$5:C153,"Own",$Q$5:Q153,"Active"),"")</f>
        <v/>
      </c>
      <c r="V153" s="26" t="str">
        <f aca="false">IF(C153&lt;&gt;"Own","",IF(K153="Hourly",N153,(L153+M153)/(Settings!$B$11*Settings!$B$12)))</f>
        <v/>
      </c>
    </row>
    <row r="154" customFormat="false" ht="15" hidden="false" customHeight="false" outlineLevel="0" collapsed="false">
      <c r="R154" s="25" t="str">
        <f aca="true">IF(I154="","",I154-TODAY())</f>
        <v/>
      </c>
      <c r="S154" s="25" t="str">
        <f aca="true">IF(J154="","",J154-TODAY())</f>
        <v/>
      </c>
      <c r="T154" s="24" t="str">
        <f aca="false">IF(A154="","",IF(OR(AND(R154&lt;&gt;"",R154&lt;0),AND(S154&lt;&gt;"",S154&lt;0)),"EXPIRED",IF(OR(AND(R154&lt;&gt;"",R154&lt;=Settings!$B$15),AND(S154&lt;&gt;"",S154&lt;=Settings!$B$15)),"EXPIRING SOON","OK")))</f>
        <v/>
      </c>
      <c r="U154" s="24" t="str">
        <f aca="false">IF(AND(C154="Own",Q154="Active"),COUNTIFS($C$5:C154,"Own",$Q$5:Q154,"Active"),"")</f>
        <v/>
      </c>
      <c r="V154" s="26" t="str">
        <f aca="false">IF(C154&lt;&gt;"Own","",IF(K154="Hourly",N154,(L154+M154)/(Settings!$B$11*Settings!$B$12)))</f>
        <v/>
      </c>
    </row>
    <row r="155" customFormat="false" ht="15" hidden="false" customHeight="false" outlineLevel="0" collapsed="false">
      <c r="R155" s="25" t="str">
        <f aca="true">IF(I155="","",I155-TODAY())</f>
        <v/>
      </c>
      <c r="S155" s="25" t="str">
        <f aca="true">IF(J155="","",J155-TODAY())</f>
        <v/>
      </c>
      <c r="T155" s="24" t="str">
        <f aca="false">IF(A155="","",IF(OR(AND(R155&lt;&gt;"",R155&lt;0),AND(S155&lt;&gt;"",S155&lt;0)),"EXPIRED",IF(OR(AND(R155&lt;&gt;"",R155&lt;=Settings!$B$15),AND(S155&lt;&gt;"",S155&lt;=Settings!$B$15)),"EXPIRING SOON","OK")))</f>
        <v/>
      </c>
      <c r="U155" s="24" t="str">
        <f aca="false">IF(AND(C155="Own",Q155="Active"),COUNTIFS($C$5:C155,"Own",$Q$5:Q155,"Active"),"")</f>
        <v/>
      </c>
      <c r="V155" s="26" t="str">
        <f aca="false">IF(C155&lt;&gt;"Own","",IF(K155="Hourly",N155,(L155+M155)/(Settings!$B$11*Settings!$B$12)))</f>
        <v/>
      </c>
    </row>
    <row r="156" customFormat="false" ht="15" hidden="false" customHeight="false" outlineLevel="0" collapsed="false">
      <c r="R156" s="25" t="str">
        <f aca="true">IF(I156="","",I156-TODAY())</f>
        <v/>
      </c>
      <c r="S156" s="25" t="str">
        <f aca="true">IF(J156="","",J156-TODAY())</f>
        <v/>
      </c>
      <c r="T156" s="24" t="str">
        <f aca="false">IF(A156="","",IF(OR(AND(R156&lt;&gt;"",R156&lt;0),AND(S156&lt;&gt;"",S156&lt;0)),"EXPIRED",IF(OR(AND(R156&lt;&gt;"",R156&lt;=Settings!$B$15),AND(S156&lt;&gt;"",S156&lt;=Settings!$B$15)),"EXPIRING SOON","OK")))</f>
        <v/>
      </c>
      <c r="U156" s="24" t="str">
        <f aca="false">IF(AND(C156="Own",Q156="Active"),COUNTIFS($C$5:C156,"Own",$Q$5:Q156,"Active"),"")</f>
        <v/>
      </c>
      <c r="V156" s="26" t="str">
        <f aca="false">IF(C156&lt;&gt;"Own","",IF(K156="Hourly",N156,(L156+M156)/(Settings!$B$11*Settings!$B$12)))</f>
        <v/>
      </c>
    </row>
    <row r="157" customFormat="false" ht="15" hidden="false" customHeight="false" outlineLevel="0" collapsed="false">
      <c r="R157" s="25" t="str">
        <f aca="true">IF(I157="","",I157-TODAY())</f>
        <v/>
      </c>
      <c r="S157" s="25" t="str">
        <f aca="true">IF(J157="","",J157-TODAY())</f>
        <v/>
      </c>
      <c r="T157" s="24" t="str">
        <f aca="false">IF(A157="","",IF(OR(AND(R157&lt;&gt;"",R157&lt;0),AND(S157&lt;&gt;"",S157&lt;0)),"EXPIRED",IF(OR(AND(R157&lt;&gt;"",R157&lt;=Settings!$B$15),AND(S157&lt;&gt;"",S157&lt;=Settings!$B$15)),"EXPIRING SOON","OK")))</f>
        <v/>
      </c>
      <c r="U157" s="24" t="str">
        <f aca="false">IF(AND(C157="Own",Q157="Active"),COUNTIFS($C$5:C157,"Own",$Q$5:Q157,"Active"),"")</f>
        <v/>
      </c>
      <c r="V157" s="26" t="str">
        <f aca="false">IF(C157&lt;&gt;"Own","",IF(K157="Hourly",N157,(L157+M157)/(Settings!$B$11*Settings!$B$12)))</f>
        <v/>
      </c>
    </row>
    <row r="158" customFormat="false" ht="15" hidden="false" customHeight="false" outlineLevel="0" collapsed="false">
      <c r="R158" s="25" t="str">
        <f aca="true">IF(I158="","",I158-TODAY())</f>
        <v/>
      </c>
      <c r="S158" s="25" t="str">
        <f aca="true">IF(J158="","",J158-TODAY())</f>
        <v/>
      </c>
      <c r="T158" s="24" t="str">
        <f aca="false">IF(A158="","",IF(OR(AND(R158&lt;&gt;"",R158&lt;0),AND(S158&lt;&gt;"",S158&lt;0)),"EXPIRED",IF(OR(AND(R158&lt;&gt;"",R158&lt;=Settings!$B$15),AND(S158&lt;&gt;"",S158&lt;=Settings!$B$15)),"EXPIRING SOON","OK")))</f>
        <v/>
      </c>
      <c r="U158" s="24" t="str">
        <f aca="false">IF(AND(C158="Own",Q158="Active"),COUNTIFS($C$5:C158,"Own",$Q$5:Q158,"Active"),"")</f>
        <v/>
      </c>
      <c r="V158" s="26" t="str">
        <f aca="false">IF(C158&lt;&gt;"Own","",IF(K158="Hourly",N158,(L158+M158)/(Settings!$B$11*Settings!$B$12)))</f>
        <v/>
      </c>
    </row>
    <row r="159" customFormat="false" ht="15" hidden="false" customHeight="false" outlineLevel="0" collapsed="false">
      <c r="R159" s="25" t="str">
        <f aca="true">IF(I159="","",I159-TODAY())</f>
        <v/>
      </c>
      <c r="S159" s="25" t="str">
        <f aca="true">IF(J159="","",J159-TODAY())</f>
        <v/>
      </c>
      <c r="T159" s="24" t="str">
        <f aca="false">IF(A159="","",IF(OR(AND(R159&lt;&gt;"",R159&lt;0),AND(S159&lt;&gt;"",S159&lt;0)),"EXPIRED",IF(OR(AND(R159&lt;&gt;"",R159&lt;=Settings!$B$15),AND(S159&lt;&gt;"",S159&lt;=Settings!$B$15)),"EXPIRING SOON","OK")))</f>
        <v/>
      </c>
      <c r="U159" s="24" t="str">
        <f aca="false">IF(AND(C159="Own",Q159="Active"),COUNTIFS($C$5:C159,"Own",$Q$5:Q159,"Active"),"")</f>
        <v/>
      </c>
      <c r="V159" s="26" t="str">
        <f aca="false">IF(C159&lt;&gt;"Own","",IF(K159="Hourly",N159,(L159+M159)/(Settings!$B$11*Settings!$B$12)))</f>
        <v/>
      </c>
    </row>
    <row r="160" customFormat="false" ht="15" hidden="false" customHeight="false" outlineLevel="0" collapsed="false">
      <c r="R160" s="25" t="str">
        <f aca="true">IF(I160="","",I160-TODAY())</f>
        <v/>
      </c>
      <c r="S160" s="25" t="str">
        <f aca="true">IF(J160="","",J160-TODAY())</f>
        <v/>
      </c>
      <c r="T160" s="24" t="str">
        <f aca="false">IF(A160="","",IF(OR(AND(R160&lt;&gt;"",R160&lt;0),AND(S160&lt;&gt;"",S160&lt;0)),"EXPIRED",IF(OR(AND(R160&lt;&gt;"",R160&lt;=Settings!$B$15),AND(S160&lt;&gt;"",S160&lt;=Settings!$B$15)),"EXPIRING SOON","OK")))</f>
        <v/>
      </c>
      <c r="U160" s="24" t="str">
        <f aca="false">IF(AND(C160="Own",Q160="Active"),COUNTIFS($C$5:C160,"Own",$Q$5:Q160,"Active"),"")</f>
        <v/>
      </c>
      <c r="V160" s="26" t="str">
        <f aca="false">IF(C160&lt;&gt;"Own","",IF(K160="Hourly",N160,(L160+M160)/(Settings!$B$11*Settings!$B$12)))</f>
        <v/>
      </c>
    </row>
    <row r="161" customFormat="false" ht="15" hidden="false" customHeight="false" outlineLevel="0" collapsed="false">
      <c r="R161" s="25" t="str">
        <f aca="true">IF(I161="","",I161-TODAY())</f>
        <v/>
      </c>
      <c r="S161" s="25" t="str">
        <f aca="true">IF(J161="","",J161-TODAY())</f>
        <v/>
      </c>
      <c r="T161" s="24" t="str">
        <f aca="false">IF(A161="","",IF(OR(AND(R161&lt;&gt;"",R161&lt;0),AND(S161&lt;&gt;"",S161&lt;0)),"EXPIRED",IF(OR(AND(R161&lt;&gt;"",R161&lt;=Settings!$B$15),AND(S161&lt;&gt;"",S161&lt;=Settings!$B$15)),"EXPIRING SOON","OK")))</f>
        <v/>
      </c>
      <c r="U161" s="24" t="str">
        <f aca="false">IF(AND(C161="Own",Q161="Active"),COUNTIFS($C$5:C161,"Own",$Q$5:Q161,"Active"),"")</f>
        <v/>
      </c>
      <c r="V161" s="26" t="str">
        <f aca="false">IF(C161&lt;&gt;"Own","",IF(K161="Hourly",N161,(L161+M161)/(Settings!$B$11*Settings!$B$12)))</f>
        <v/>
      </c>
    </row>
    <row r="162" customFormat="false" ht="15" hidden="false" customHeight="false" outlineLevel="0" collapsed="false">
      <c r="R162" s="25" t="str">
        <f aca="true">IF(I162="","",I162-TODAY())</f>
        <v/>
      </c>
      <c r="S162" s="25" t="str">
        <f aca="true">IF(J162="","",J162-TODAY())</f>
        <v/>
      </c>
      <c r="T162" s="24" t="str">
        <f aca="false">IF(A162="","",IF(OR(AND(R162&lt;&gt;"",R162&lt;0),AND(S162&lt;&gt;"",S162&lt;0)),"EXPIRED",IF(OR(AND(R162&lt;&gt;"",R162&lt;=Settings!$B$15),AND(S162&lt;&gt;"",S162&lt;=Settings!$B$15)),"EXPIRING SOON","OK")))</f>
        <v/>
      </c>
      <c r="U162" s="24" t="str">
        <f aca="false">IF(AND(C162="Own",Q162="Active"),COUNTIFS($C$5:C162,"Own",$Q$5:Q162,"Active"),"")</f>
        <v/>
      </c>
      <c r="V162" s="26" t="str">
        <f aca="false">IF(C162&lt;&gt;"Own","",IF(K162="Hourly",N162,(L162+M162)/(Settings!$B$11*Settings!$B$12)))</f>
        <v/>
      </c>
    </row>
    <row r="163" customFormat="false" ht="15" hidden="false" customHeight="false" outlineLevel="0" collapsed="false">
      <c r="R163" s="25" t="str">
        <f aca="true">IF(I163="","",I163-TODAY())</f>
        <v/>
      </c>
      <c r="S163" s="25" t="str">
        <f aca="true">IF(J163="","",J163-TODAY())</f>
        <v/>
      </c>
      <c r="T163" s="24" t="str">
        <f aca="false">IF(A163="","",IF(OR(AND(R163&lt;&gt;"",R163&lt;0),AND(S163&lt;&gt;"",S163&lt;0)),"EXPIRED",IF(OR(AND(R163&lt;&gt;"",R163&lt;=Settings!$B$15),AND(S163&lt;&gt;"",S163&lt;=Settings!$B$15)),"EXPIRING SOON","OK")))</f>
        <v/>
      </c>
      <c r="U163" s="24" t="str">
        <f aca="false">IF(AND(C163="Own",Q163="Active"),COUNTIFS($C$5:C163,"Own",$Q$5:Q163,"Active"),"")</f>
        <v/>
      </c>
      <c r="V163" s="26" t="str">
        <f aca="false">IF(C163&lt;&gt;"Own","",IF(K163="Hourly",N163,(L163+M163)/(Settings!$B$11*Settings!$B$12)))</f>
        <v/>
      </c>
    </row>
    <row r="164" customFormat="false" ht="15" hidden="false" customHeight="false" outlineLevel="0" collapsed="false">
      <c r="R164" s="25" t="str">
        <f aca="true">IF(I164="","",I164-TODAY())</f>
        <v/>
      </c>
      <c r="S164" s="25" t="str">
        <f aca="true">IF(J164="","",J164-TODAY())</f>
        <v/>
      </c>
      <c r="T164" s="24" t="str">
        <f aca="false">IF(A164="","",IF(OR(AND(R164&lt;&gt;"",R164&lt;0),AND(S164&lt;&gt;"",S164&lt;0)),"EXPIRED",IF(OR(AND(R164&lt;&gt;"",R164&lt;=Settings!$B$15),AND(S164&lt;&gt;"",S164&lt;=Settings!$B$15)),"EXPIRING SOON","OK")))</f>
        <v/>
      </c>
      <c r="U164" s="24" t="str">
        <f aca="false">IF(AND(C164="Own",Q164="Active"),COUNTIFS($C$5:C164,"Own",$Q$5:Q164,"Active"),"")</f>
        <v/>
      </c>
      <c r="V164" s="26" t="str">
        <f aca="false">IF(C164&lt;&gt;"Own","",IF(K164="Hourly",N164,(L164+M164)/(Settings!$B$11*Settings!$B$12)))</f>
        <v/>
      </c>
    </row>
    <row r="165" customFormat="false" ht="15" hidden="false" customHeight="false" outlineLevel="0" collapsed="false">
      <c r="R165" s="25" t="str">
        <f aca="true">IF(I165="","",I165-TODAY())</f>
        <v/>
      </c>
      <c r="S165" s="25" t="str">
        <f aca="true">IF(J165="","",J165-TODAY())</f>
        <v/>
      </c>
      <c r="T165" s="24" t="str">
        <f aca="false">IF(A165="","",IF(OR(AND(R165&lt;&gt;"",R165&lt;0),AND(S165&lt;&gt;"",S165&lt;0)),"EXPIRED",IF(OR(AND(R165&lt;&gt;"",R165&lt;=Settings!$B$15),AND(S165&lt;&gt;"",S165&lt;=Settings!$B$15)),"EXPIRING SOON","OK")))</f>
        <v/>
      </c>
      <c r="U165" s="24" t="str">
        <f aca="false">IF(AND(C165="Own",Q165="Active"),COUNTIFS($C$5:C165,"Own",$Q$5:Q165,"Active"),"")</f>
        <v/>
      </c>
      <c r="V165" s="26" t="str">
        <f aca="false">IF(C165&lt;&gt;"Own","",IF(K165="Hourly",N165,(L165+M165)/(Settings!$B$11*Settings!$B$12)))</f>
        <v/>
      </c>
    </row>
    <row r="166" customFormat="false" ht="15" hidden="false" customHeight="false" outlineLevel="0" collapsed="false">
      <c r="R166" s="25" t="str">
        <f aca="true">IF(I166="","",I166-TODAY())</f>
        <v/>
      </c>
      <c r="S166" s="25" t="str">
        <f aca="true">IF(J166="","",J166-TODAY())</f>
        <v/>
      </c>
      <c r="T166" s="24" t="str">
        <f aca="false">IF(A166="","",IF(OR(AND(R166&lt;&gt;"",R166&lt;0),AND(S166&lt;&gt;"",S166&lt;0)),"EXPIRED",IF(OR(AND(R166&lt;&gt;"",R166&lt;=Settings!$B$15),AND(S166&lt;&gt;"",S166&lt;=Settings!$B$15)),"EXPIRING SOON","OK")))</f>
        <v/>
      </c>
      <c r="U166" s="24" t="str">
        <f aca="false">IF(AND(C166="Own",Q166="Active"),COUNTIFS($C$5:C166,"Own",$Q$5:Q166,"Active"),"")</f>
        <v/>
      </c>
      <c r="V166" s="26" t="str">
        <f aca="false">IF(C166&lt;&gt;"Own","",IF(K166="Hourly",N166,(L166+M166)/(Settings!$B$11*Settings!$B$12)))</f>
        <v/>
      </c>
    </row>
    <row r="167" customFormat="false" ht="15" hidden="false" customHeight="false" outlineLevel="0" collapsed="false">
      <c r="R167" s="25" t="str">
        <f aca="true">IF(I167="","",I167-TODAY())</f>
        <v/>
      </c>
      <c r="S167" s="25" t="str">
        <f aca="true">IF(J167="","",J167-TODAY())</f>
        <v/>
      </c>
      <c r="T167" s="24" t="str">
        <f aca="false">IF(A167="","",IF(OR(AND(R167&lt;&gt;"",R167&lt;0),AND(S167&lt;&gt;"",S167&lt;0)),"EXPIRED",IF(OR(AND(R167&lt;&gt;"",R167&lt;=Settings!$B$15),AND(S167&lt;&gt;"",S167&lt;=Settings!$B$15)),"EXPIRING SOON","OK")))</f>
        <v/>
      </c>
      <c r="U167" s="24" t="str">
        <f aca="false">IF(AND(C167="Own",Q167="Active"),COUNTIFS($C$5:C167,"Own",$Q$5:Q167,"Active"),"")</f>
        <v/>
      </c>
      <c r="V167" s="26" t="str">
        <f aca="false">IF(C167&lt;&gt;"Own","",IF(K167="Hourly",N167,(L167+M167)/(Settings!$B$11*Settings!$B$12)))</f>
        <v/>
      </c>
    </row>
    <row r="168" customFormat="false" ht="15" hidden="false" customHeight="false" outlineLevel="0" collapsed="false">
      <c r="R168" s="25" t="str">
        <f aca="true">IF(I168="","",I168-TODAY())</f>
        <v/>
      </c>
      <c r="S168" s="25" t="str">
        <f aca="true">IF(J168="","",J168-TODAY())</f>
        <v/>
      </c>
      <c r="T168" s="24" t="str">
        <f aca="false">IF(A168="","",IF(OR(AND(R168&lt;&gt;"",R168&lt;0),AND(S168&lt;&gt;"",S168&lt;0)),"EXPIRED",IF(OR(AND(R168&lt;&gt;"",R168&lt;=Settings!$B$15),AND(S168&lt;&gt;"",S168&lt;=Settings!$B$15)),"EXPIRING SOON","OK")))</f>
        <v/>
      </c>
      <c r="U168" s="24" t="str">
        <f aca="false">IF(AND(C168="Own",Q168="Active"),COUNTIFS($C$5:C168,"Own",$Q$5:Q168,"Active"),"")</f>
        <v/>
      </c>
      <c r="V168" s="26" t="str">
        <f aca="false">IF(C168&lt;&gt;"Own","",IF(K168="Hourly",N168,(L168+M168)/(Settings!$B$11*Settings!$B$12)))</f>
        <v/>
      </c>
    </row>
    <row r="169" customFormat="false" ht="15" hidden="false" customHeight="false" outlineLevel="0" collapsed="false">
      <c r="R169" s="25" t="str">
        <f aca="true">IF(I169="","",I169-TODAY())</f>
        <v/>
      </c>
      <c r="S169" s="25" t="str">
        <f aca="true">IF(J169="","",J169-TODAY())</f>
        <v/>
      </c>
      <c r="T169" s="24" t="str">
        <f aca="false">IF(A169="","",IF(OR(AND(R169&lt;&gt;"",R169&lt;0),AND(S169&lt;&gt;"",S169&lt;0)),"EXPIRED",IF(OR(AND(R169&lt;&gt;"",R169&lt;=Settings!$B$15),AND(S169&lt;&gt;"",S169&lt;=Settings!$B$15)),"EXPIRING SOON","OK")))</f>
        <v/>
      </c>
      <c r="U169" s="24" t="str">
        <f aca="false">IF(AND(C169="Own",Q169="Active"),COUNTIFS($C$5:C169,"Own",$Q$5:Q169,"Active"),"")</f>
        <v/>
      </c>
      <c r="V169" s="26" t="str">
        <f aca="false">IF(C169&lt;&gt;"Own","",IF(K169="Hourly",N169,(L169+M169)/(Settings!$B$11*Settings!$B$12)))</f>
        <v/>
      </c>
    </row>
    <row r="170" customFormat="false" ht="15" hidden="false" customHeight="false" outlineLevel="0" collapsed="false">
      <c r="R170" s="25" t="str">
        <f aca="true">IF(I170="","",I170-TODAY())</f>
        <v/>
      </c>
      <c r="S170" s="25" t="str">
        <f aca="true">IF(J170="","",J170-TODAY())</f>
        <v/>
      </c>
      <c r="T170" s="24" t="str">
        <f aca="false">IF(A170="","",IF(OR(AND(R170&lt;&gt;"",R170&lt;0),AND(S170&lt;&gt;"",S170&lt;0)),"EXPIRED",IF(OR(AND(R170&lt;&gt;"",R170&lt;=Settings!$B$15),AND(S170&lt;&gt;"",S170&lt;=Settings!$B$15)),"EXPIRING SOON","OK")))</f>
        <v/>
      </c>
      <c r="U170" s="24" t="str">
        <f aca="false">IF(AND(C170="Own",Q170="Active"),COUNTIFS($C$5:C170,"Own",$Q$5:Q170,"Active"),"")</f>
        <v/>
      </c>
      <c r="V170" s="26" t="str">
        <f aca="false">IF(C170&lt;&gt;"Own","",IF(K170="Hourly",N170,(L170+M170)/(Settings!$B$11*Settings!$B$12)))</f>
        <v/>
      </c>
    </row>
    <row r="171" customFormat="false" ht="15" hidden="false" customHeight="false" outlineLevel="0" collapsed="false">
      <c r="R171" s="25" t="str">
        <f aca="true">IF(I171="","",I171-TODAY())</f>
        <v/>
      </c>
      <c r="S171" s="25" t="str">
        <f aca="true">IF(J171="","",J171-TODAY())</f>
        <v/>
      </c>
      <c r="T171" s="24" t="str">
        <f aca="false">IF(A171="","",IF(OR(AND(R171&lt;&gt;"",R171&lt;0),AND(S171&lt;&gt;"",S171&lt;0)),"EXPIRED",IF(OR(AND(R171&lt;&gt;"",R171&lt;=Settings!$B$15),AND(S171&lt;&gt;"",S171&lt;=Settings!$B$15)),"EXPIRING SOON","OK")))</f>
        <v/>
      </c>
      <c r="U171" s="24" t="str">
        <f aca="false">IF(AND(C171="Own",Q171="Active"),COUNTIFS($C$5:C171,"Own",$Q$5:Q171,"Active"),"")</f>
        <v/>
      </c>
      <c r="V171" s="26" t="str">
        <f aca="false">IF(C171&lt;&gt;"Own","",IF(K171="Hourly",N171,(L171+M171)/(Settings!$B$11*Settings!$B$12)))</f>
        <v/>
      </c>
    </row>
    <row r="172" customFormat="false" ht="15" hidden="false" customHeight="false" outlineLevel="0" collapsed="false">
      <c r="R172" s="25" t="str">
        <f aca="true">IF(I172="","",I172-TODAY())</f>
        <v/>
      </c>
      <c r="S172" s="25" t="str">
        <f aca="true">IF(J172="","",J172-TODAY())</f>
        <v/>
      </c>
      <c r="T172" s="24" t="str">
        <f aca="false">IF(A172="","",IF(OR(AND(R172&lt;&gt;"",R172&lt;0),AND(S172&lt;&gt;"",S172&lt;0)),"EXPIRED",IF(OR(AND(R172&lt;&gt;"",R172&lt;=Settings!$B$15),AND(S172&lt;&gt;"",S172&lt;=Settings!$B$15)),"EXPIRING SOON","OK")))</f>
        <v/>
      </c>
      <c r="U172" s="24" t="str">
        <f aca="false">IF(AND(C172="Own",Q172="Active"),COUNTIFS($C$5:C172,"Own",$Q$5:Q172,"Active"),"")</f>
        <v/>
      </c>
      <c r="V172" s="26" t="str">
        <f aca="false">IF(C172&lt;&gt;"Own","",IF(K172="Hourly",N172,(L172+M172)/(Settings!$B$11*Settings!$B$12)))</f>
        <v/>
      </c>
    </row>
    <row r="173" customFormat="false" ht="15" hidden="false" customHeight="false" outlineLevel="0" collapsed="false">
      <c r="R173" s="25" t="str">
        <f aca="true">IF(I173="","",I173-TODAY())</f>
        <v/>
      </c>
      <c r="S173" s="25" t="str">
        <f aca="true">IF(J173="","",J173-TODAY())</f>
        <v/>
      </c>
      <c r="T173" s="24" t="str">
        <f aca="false">IF(A173="","",IF(OR(AND(R173&lt;&gt;"",R173&lt;0),AND(S173&lt;&gt;"",S173&lt;0)),"EXPIRED",IF(OR(AND(R173&lt;&gt;"",R173&lt;=Settings!$B$15),AND(S173&lt;&gt;"",S173&lt;=Settings!$B$15)),"EXPIRING SOON","OK")))</f>
        <v/>
      </c>
      <c r="U173" s="24" t="str">
        <f aca="false">IF(AND(C173="Own",Q173="Active"),COUNTIFS($C$5:C173,"Own",$Q$5:Q173,"Active"),"")</f>
        <v/>
      </c>
      <c r="V173" s="26" t="str">
        <f aca="false">IF(C173&lt;&gt;"Own","",IF(K173="Hourly",N173,(L173+M173)/(Settings!$B$11*Settings!$B$12)))</f>
        <v/>
      </c>
    </row>
    <row r="174" customFormat="false" ht="15" hidden="false" customHeight="false" outlineLevel="0" collapsed="false">
      <c r="R174" s="25" t="str">
        <f aca="true">IF(I174="","",I174-TODAY())</f>
        <v/>
      </c>
      <c r="S174" s="25" t="str">
        <f aca="true">IF(J174="","",J174-TODAY())</f>
        <v/>
      </c>
      <c r="T174" s="24" t="str">
        <f aca="false">IF(A174="","",IF(OR(AND(R174&lt;&gt;"",R174&lt;0),AND(S174&lt;&gt;"",S174&lt;0)),"EXPIRED",IF(OR(AND(R174&lt;&gt;"",R174&lt;=Settings!$B$15),AND(S174&lt;&gt;"",S174&lt;=Settings!$B$15)),"EXPIRING SOON","OK")))</f>
        <v/>
      </c>
      <c r="U174" s="24" t="str">
        <f aca="false">IF(AND(C174="Own",Q174="Active"),COUNTIFS($C$5:C174,"Own",$Q$5:Q174,"Active"),"")</f>
        <v/>
      </c>
      <c r="V174" s="26" t="str">
        <f aca="false">IF(C174&lt;&gt;"Own","",IF(K174="Hourly",N174,(L174+M174)/(Settings!$B$11*Settings!$B$12)))</f>
        <v/>
      </c>
    </row>
    <row r="175" customFormat="false" ht="15" hidden="false" customHeight="false" outlineLevel="0" collapsed="false">
      <c r="R175" s="25" t="str">
        <f aca="true">IF(I175="","",I175-TODAY())</f>
        <v/>
      </c>
      <c r="S175" s="25" t="str">
        <f aca="true">IF(J175="","",J175-TODAY())</f>
        <v/>
      </c>
      <c r="T175" s="24" t="str">
        <f aca="false">IF(A175="","",IF(OR(AND(R175&lt;&gt;"",R175&lt;0),AND(S175&lt;&gt;"",S175&lt;0)),"EXPIRED",IF(OR(AND(R175&lt;&gt;"",R175&lt;=Settings!$B$15),AND(S175&lt;&gt;"",S175&lt;=Settings!$B$15)),"EXPIRING SOON","OK")))</f>
        <v/>
      </c>
      <c r="U175" s="24" t="str">
        <f aca="false">IF(AND(C175="Own",Q175="Active"),COUNTIFS($C$5:C175,"Own",$Q$5:Q175,"Active"),"")</f>
        <v/>
      </c>
      <c r="V175" s="26" t="str">
        <f aca="false">IF(C175&lt;&gt;"Own","",IF(K175="Hourly",N175,(L175+M175)/(Settings!$B$11*Settings!$B$12)))</f>
        <v/>
      </c>
    </row>
    <row r="176" customFormat="false" ht="15" hidden="false" customHeight="false" outlineLevel="0" collapsed="false">
      <c r="R176" s="25" t="str">
        <f aca="true">IF(I176="","",I176-TODAY())</f>
        <v/>
      </c>
      <c r="S176" s="25" t="str">
        <f aca="true">IF(J176="","",J176-TODAY())</f>
        <v/>
      </c>
      <c r="T176" s="24" t="str">
        <f aca="false">IF(A176="","",IF(OR(AND(R176&lt;&gt;"",R176&lt;0),AND(S176&lt;&gt;"",S176&lt;0)),"EXPIRED",IF(OR(AND(R176&lt;&gt;"",R176&lt;=Settings!$B$15),AND(S176&lt;&gt;"",S176&lt;=Settings!$B$15)),"EXPIRING SOON","OK")))</f>
        <v/>
      </c>
      <c r="U176" s="24" t="str">
        <f aca="false">IF(AND(C176="Own",Q176="Active"),COUNTIFS($C$5:C176,"Own",$Q$5:Q176,"Active"),"")</f>
        <v/>
      </c>
      <c r="V176" s="26" t="str">
        <f aca="false">IF(C176&lt;&gt;"Own","",IF(K176="Hourly",N176,(L176+M176)/(Settings!$B$11*Settings!$B$12)))</f>
        <v/>
      </c>
    </row>
    <row r="177" customFormat="false" ht="15" hidden="false" customHeight="false" outlineLevel="0" collapsed="false">
      <c r="R177" s="25" t="str">
        <f aca="true">IF(I177="","",I177-TODAY())</f>
        <v/>
      </c>
      <c r="S177" s="25" t="str">
        <f aca="true">IF(J177="","",J177-TODAY())</f>
        <v/>
      </c>
      <c r="T177" s="24" t="str">
        <f aca="false">IF(A177="","",IF(OR(AND(R177&lt;&gt;"",R177&lt;0),AND(S177&lt;&gt;"",S177&lt;0)),"EXPIRED",IF(OR(AND(R177&lt;&gt;"",R177&lt;=Settings!$B$15),AND(S177&lt;&gt;"",S177&lt;=Settings!$B$15)),"EXPIRING SOON","OK")))</f>
        <v/>
      </c>
      <c r="U177" s="24" t="str">
        <f aca="false">IF(AND(C177="Own",Q177="Active"),COUNTIFS($C$5:C177,"Own",$Q$5:Q177,"Active"),"")</f>
        <v/>
      </c>
      <c r="V177" s="26" t="str">
        <f aca="false">IF(C177&lt;&gt;"Own","",IF(K177="Hourly",N177,(L177+M177)/(Settings!$B$11*Settings!$B$12)))</f>
        <v/>
      </c>
    </row>
    <row r="178" customFormat="false" ht="15" hidden="false" customHeight="false" outlineLevel="0" collapsed="false">
      <c r="R178" s="25" t="str">
        <f aca="true">IF(I178="","",I178-TODAY())</f>
        <v/>
      </c>
      <c r="S178" s="25" t="str">
        <f aca="true">IF(J178="","",J178-TODAY())</f>
        <v/>
      </c>
      <c r="T178" s="24" t="str">
        <f aca="false">IF(A178="","",IF(OR(AND(R178&lt;&gt;"",R178&lt;0),AND(S178&lt;&gt;"",S178&lt;0)),"EXPIRED",IF(OR(AND(R178&lt;&gt;"",R178&lt;=Settings!$B$15),AND(S178&lt;&gt;"",S178&lt;=Settings!$B$15)),"EXPIRING SOON","OK")))</f>
        <v/>
      </c>
      <c r="U178" s="24" t="str">
        <f aca="false">IF(AND(C178="Own",Q178="Active"),COUNTIFS($C$5:C178,"Own",$Q$5:Q178,"Active"),"")</f>
        <v/>
      </c>
      <c r="V178" s="26" t="str">
        <f aca="false">IF(C178&lt;&gt;"Own","",IF(K178="Hourly",N178,(L178+M178)/(Settings!$B$11*Settings!$B$12)))</f>
        <v/>
      </c>
    </row>
    <row r="179" customFormat="false" ht="15" hidden="false" customHeight="false" outlineLevel="0" collapsed="false">
      <c r="R179" s="25" t="str">
        <f aca="true">IF(I179="","",I179-TODAY())</f>
        <v/>
      </c>
      <c r="S179" s="25" t="str">
        <f aca="true">IF(J179="","",J179-TODAY())</f>
        <v/>
      </c>
      <c r="T179" s="24" t="str">
        <f aca="false">IF(A179="","",IF(OR(AND(R179&lt;&gt;"",R179&lt;0),AND(S179&lt;&gt;"",S179&lt;0)),"EXPIRED",IF(OR(AND(R179&lt;&gt;"",R179&lt;=Settings!$B$15),AND(S179&lt;&gt;"",S179&lt;=Settings!$B$15)),"EXPIRING SOON","OK")))</f>
        <v/>
      </c>
      <c r="U179" s="24" t="str">
        <f aca="false">IF(AND(C179="Own",Q179="Active"),COUNTIFS($C$5:C179,"Own",$Q$5:Q179,"Active"),"")</f>
        <v/>
      </c>
      <c r="V179" s="26" t="str">
        <f aca="false">IF(C179&lt;&gt;"Own","",IF(K179="Hourly",N179,(L179+M179)/(Settings!$B$11*Settings!$B$12)))</f>
        <v/>
      </c>
    </row>
    <row r="180" customFormat="false" ht="15" hidden="false" customHeight="false" outlineLevel="0" collapsed="false">
      <c r="R180" s="25" t="str">
        <f aca="true">IF(I180="","",I180-TODAY())</f>
        <v/>
      </c>
      <c r="S180" s="25" t="str">
        <f aca="true">IF(J180="","",J180-TODAY())</f>
        <v/>
      </c>
      <c r="T180" s="24" t="str">
        <f aca="false">IF(A180="","",IF(OR(AND(R180&lt;&gt;"",R180&lt;0),AND(S180&lt;&gt;"",S180&lt;0)),"EXPIRED",IF(OR(AND(R180&lt;&gt;"",R180&lt;=Settings!$B$15),AND(S180&lt;&gt;"",S180&lt;=Settings!$B$15)),"EXPIRING SOON","OK")))</f>
        <v/>
      </c>
      <c r="U180" s="24" t="str">
        <f aca="false">IF(AND(C180="Own",Q180="Active"),COUNTIFS($C$5:C180,"Own",$Q$5:Q180,"Active"),"")</f>
        <v/>
      </c>
      <c r="V180" s="26" t="str">
        <f aca="false">IF(C180&lt;&gt;"Own","",IF(K180="Hourly",N180,(L180+M180)/(Settings!$B$11*Settings!$B$12)))</f>
        <v/>
      </c>
    </row>
    <row r="181" customFormat="false" ht="15" hidden="false" customHeight="false" outlineLevel="0" collapsed="false">
      <c r="R181" s="25" t="str">
        <f aca="true">IF(I181="","",I181-TODAY())</f>
        <v/>
      </c>
      <c r="S181" s="25" t="str">
        <f aca="true">IF(J181="","",J181-TODAY())</f>
        <v/>
      </c>
      <c r="T181" s="24" t="str">
        <f aca="false">IF(A181="","",IF(OR(AND(R181&lt;&gt;"",R181&lt;0),AND(S181&lt;&gt;"",S181&lt;0)),"EXPIRED",IF(OR(AND(R181&lt;&gt;"",R181&lt;=Settings!$B$15),AND(S181&lt;&gt;"",S181&lt;=Settings!$B$15)),"EXPIRING SOON","OK")))</f>
        <v/>
      </c>
      <c r="U181" s="24" t="str">
        <f aca="false">IF(AND(C181="Own",Q181="Active"),COUNTIFS($C$5:C181,"Own",$Q$5:Q181,"Active"),"")</f>
        <v/>
      </c>
      <c r="V181" s="26" t="str">
        <f aca="false">IF(C181&lt;&gt;"Own","",IF(K181="Hourly",N181,(L181+M181)/(Settings!$B$11*Settings!$B$12)))</f>
        <v/>
      </c>
    </row>
    <row r="182" customFormat="false" ht="15" hidden="false" customHeight="false" outlineLevel="0" collapsed="false">
      <c r="R182" s="25" t="str">
        <f aca="true">IF(I182="","",I182-TODAY())</f>
        <v/>
      </c>
      <c r="S182" s="25" t="str">
        <f aca="true">IF(J182="","",J182-TODAY())</f>
        <v/>
      </c>
      <c r="T182" s="24" t="str">
        <f aca="false">IF(A182="","",IF(OR(AND(R182&lt;&gt;"",R182&lt;0),AND(S182&lt;&gt;"",S182&lt;0)),"EXPIRED",IF(OR(AND(R182&lt;&gt;"",R182&lt;=Settings!$B$15),AND(S182&lt;&gt;"",S182&lt;=Settings!$B$15)),"EXPIRING SOON","OK")))</f>
        <v/>
      </c>
      <c r="U182" s="24" t="str">
        <f aca="false">IF(AND(C182="Own",Q182="Active"),COUNTIFS($C$5:C182,"Own",$Q$5:Q182,"Active"),"")</f>
        <v/>
      </c>
      <c r="V182" s="26" t="str">
        <f aca="false">IF(C182&lt;&gt;"Own","",IF(K182="Hourly",N182,(L182+M182)/(Settings!$B$11*Settings!$B$12)))</f>
        <v/>
      </c>
    </row>
    <row r="183" customFormat="false" ht="15" hidden="false" customHeight="false" outlineLevel="0" collapsed="false">
      <c r="R183" s="25" t="str">
        <f aca="true">IF(I183="","",I183-TODAY())</f>
        <v/>
      </c>
      <c r="S183" s="25" t="str">
        <f aca="true">IF(J183="","",J183-TODAY())</f>
        <v/>
      </c>
      <c r="T183" s="24" t="str">
        <f aca="false">IF(A183="","",IF(OR(AND(R183&lt;&gt;"",R183&lt;0),AND(S183&lt;&gt;"",S183&lt;0)),"EXPIRED",IF(OR(AND(R183&lt;&gt;"",R183&lt;=Settings!$B$15),AND(S183&lt;&gt;"",S183&lt;=Settings!$B$15)),"EXPIRING SOON","OK")))</f>
        <v/>
      </c>
      <c r="U183" s="24" t="str">
        <f aca="false">IF(AND(C183="Own",Q183="Active"),COUNTIFS($C$5:C183,"Own",$Q$5:Q183,"Active"),"")</f>
        <v/>
      </c>
      <c r="V183" s="26" t="str">
        <f aca="false">IF(C183&lt;&gt;"Own","",IF(K183="Hourly",N183,(L183+M183)/(Settings!$B$11*Settings!$B$12)))</f>
        <v/>
      </c>
    </row>
    <row r="184" customFormat="false" ht="15" hidden="false" customHeight="false" outlineLevel="0" collapsed="false">
      <c r="R184" s="25" t="str">
        <f aca="true">IF(I184="","",I184-TODAY())</f>
        <v/>
      </c>
      <c r="S184" s="25" t="str">
        <f aca="true">IF(J184="","",J184-TODAY())</f>
        <v/>
      </c>
      <c r="T184" s="24" t="str">
        <f aca="false">IF(A184="","",IF(OR(AND(R184&lt;&gt;"",R184&lt;0),AND(S184&lt;&gt;"",S184&lt;0)),"EXPIRED",IF(OR(AND(R184&lt;&gt;"",R184&lt;=Settings!$B$15),AND(S184&lt;&gt;"",S184&lt;=Settings!$B$15)),"EXPIRING SOON","OK")))</f>
        <v/>
      </c>
      <c r="U184" s="24" t="str">
        <f aca="false">IF(AND(C184="Own",Q184="Active"),COUNTIFS($C$5:C184,"Own",$Q$5:Q184,"Active"),"")</f>
        <v/>
      </c>
      <c r="V184" s="26" t="str">
        <f aca="false">IF(C184&lt;&gt;"Own","",IF(K184="Hourly",N184,(L184+M184)/(Settings!$B$11*Settings!$B$12)))</f>
        <v/>
      </c>
    </row>
    <row r="185" customFormat="false" ht="15" hidden="false" customHeight="false" outlineLevel="0" collapsed="false">
      <c r="R185" s="25" t="str">
        <f aca="true">IF(I185="","",I185-TODAY())</f>
        <v/>
      </c>
      <c r="S185" s="25" t="str">
        <f aca="true">IF(J185="","",J185-TODAY())</f>
        <v/>
      </c>
      <c r="T185" s="24" t="str">
        <f aca="false">IF(A185="","",IF(OR(AND(R185&lt;&gt;"",R185&lt;0),AND(S185&lt;&gt;"",S185&lt;0)),"EXPIRED",IF(OR(AND(R185&lt;&gt;"",R185&lt;=Settings!$B$15),AND(S185&lt;&gt;"",S185&lt;=Settings!$B$15)),"EXPIRING SOON","OK")))</f>
        <v/>
      </c>
      <c r="U185" s="24" t="str">
        <f aca="false">IF(AND(C185="Own",Q185="Active"),COUNTIFS($C$5:C185,"Own",$Q$5:Q185,"Active"),"")</f>
        <v/>
      </c>
      <c r="V185" s="26" t="str">
        <f aca="false">IF(C185&lt;&gt;"Own","",IF(K185="Hourly",N185,(L185+M185)/(Settings!$B$11*Settings!$B$12)))</f>
        <v/>
      </c>
    </row>
    <row r="186" customFormat="false" ht="15" hidden="false" customHeight="false" outlineLevel="0" collapsed="false">
      <c r="R186" s="25" t="str">
        <f aca="true">IF(I186="","",I186-TODAY())</f>
        <v/>
      </c>
      <c r="S186" s="25" t="str">
        <f aca="true">IF(J186="","",J186-TODAY())</f>
        <v/>
      </c>
      <c r="T186" s="24" t="str">
        <f aca="false">IF(A186="","",IF(OR(AND(R186&lt;&gt;"",R186&lt;0),AND(S186&lt;&gt;"",S186&lt;0)),"EXPIRED",IF(OR(AND(R186&lt;&gt;"",R186&lt;=Settings!$B$15),AND(S186&lt;&gt;"",S186&lt;=Settings!$B$15)),"EXPIRING SOON","OK")))</f>
        <v/>
      </c>
      <c r="U186" s="24" t="str">
        <f aca="false">IF(AND(C186="Own",Q186="Active"),COUNTIFS($C$5:C186,"Own",$Q$5:Q186,"Active"),"")</f>
        <v/>
      </c>
      <c r="V186" s="26" t="str">
        <f aca="false">IF(C186&lt;&gt;"Own","",IF(K186="Hourly",N186,(L186+M186)/(Settings!$B$11*Settings!$B$12)))</f>
        <v/>
      </c>
    </row>
    <row r="187" customFormat="false" ht="15" hidden="false" customHeight="false" outlineLevel="0" collapsed="false">
      <c r="R187" s="25" t="str">
        <f aca="true">IF(I187="","",I187-TODAY())</f>
        <v/>
      </c>
      <c r="S187" s="25" t="str">
        <f aca="true">IF(J187="","",J187-TODAY())</f>
        <v/>
      </c>
      <c r="T187" s="24" t="str">
        <f aca="false">IF(A187="","",IF(OR(AND(R187&lt;&gt;"",R187&lt;0),AND(S187&lt;&gt;"",S187&lt;0)),"EXPIRED",IF(OR(AND(R187&lt;&gt;"",R187&lt;=Settings!$B$15),AND(S187&lt;&gt;"",S187&lt;=Settings!$B$15)),"EXPIRING SOON","OK")))</f>
        <v/>
      </c>
      <c r="U187" s="24" t="str">
        <f aca="false">IF(AND(C187="Own",Q187="Active"),COUNTIFS($C$5:C187,"Own",$Q$5:Q187,"Active"),"")</f>
        <v/>
      </c>
      <c r="V187" s="26" t="str">
        <f aca="false">IF(C187&lt;&gt;"Own","",IF(K187="Hourly",N187,(L187+M187)/(Settings!$B$11*Settings!$B$12)))</f>
        <v/>
      </c>
    </row>
    <row r="188" customFormat="false" ht="15" hidden="false" customHeight="false" outlineLevel="0" collapsed="false">
      <c r="R188" s="25" t="str">
        <f aca="true">IF(I188="","",I188-TODAY())</f>
        <v/>
      </c>
      <c r="S188" s="25" t="str">
        <f aca="true">IF(J188="","",J188-TODAY())</f>
        <v/>
      </c>
      <c r="T188" s="24" t="str">
        <f aca="false">IF(A188="","",IF(OR(AND(R188&lt;&gt;"",R188&lt;0),AND(S188&lt;&gt;"",S188&lt;0)),"EXPIRED",IF(OR(AND(R188&lt;&gt;"",R188&lt;=Settings!$B$15),AND(S188&lt;&gt;"",S188&lt;=Settings!$B$15)),"EXPIRING SOON","OK")))</f>
        <v/>
      </c>
      <c r="U188" s="24" t="str">
        <f aca="false">IF(AND(C188="Own",Q188="Active"),COUNTIFS($C$5:C188,"Own",$Q$5:Q188,"Active"),"")</f>
        <v/>
      </c>
      <c r="V188" s="26" t="str">
        <f aca="false">IF(C188&lt;&gt;"Own","",IF(K188="Hourly",N188,(L188+M188)/(Settings!$B$11*Settings!$B$12)))</f>
        <v/>
      </c>
    </row>
    <row r="189" customFormat="false" ht="15" hidden="false" customHeight="false" outlineLevel="0" collapsed="false">
      <c r="R189" s="25" t="str">
        <f aca="true">IF(I189="","",I189-TODAY())</f>
        <v/>
      </c>
      <c r="S189" s="25" t="str">
        <f aca="true">IF(J189="","",J189-TODAY())</f>
        <v/>
      </c>
      <c r="T189" s="24" t="str">
        <f aca="false">IF(A189="","",IF(OR(AND(R189&lt;&gt;"",R189&lt;0),AND(S189&lt;&gt;"",S189&lt;0)),"EXPIRED",IF(OR(AND(R189&lt;&gt;"",R189&lt;=Settings!$B$15),AND(S189&lt;&gt;"",S189&lt;=Settings!$B$15)),"EXPIRING SOON","OK")))</f>
        <v/>
      </c>
      <c r="U189" s="24" t="str">
        <f aca="false">IF(AND(C189="Own",Q189="Active"),COUNTIFS($C$5:C189,"Own",$Q$5:Q189,"Active"),"")</f>
        <v/>
      </c>
      <c r="V189" s="26" t="str">
        <f aca="false">IF(C189&lt;&gt;"Own","",IF(K189="Hourly",N189,(L189+M189)/(Settings!$B$11*Settings!$B$12)))</f>
        <v/>
      </c>
    </row>
    <row r="190" customFormat="false" ht="15" hidden="false" customHeight="false" outlineLevel="0" collapsed="false">
      <c r="R190" s="25" t="str">
        <f aca="true">IF(I190="","",I190-TODAY())</f>
        <v/>
      </c>
      <c r="S190" s="25" t="str">
        <f aca="true">IF(J190="","",J190-TODAY())</f>
        <v/>
      </c>
      <c r="T190" s="24" t="str">
        <f aca="false">IF(A190="","",IF(OR(AND(R190&lt;&gt;"",R190&lt;0),AND(S190&lt;&gt;"",S190&lt;0)),"EXPIRED",IF(OR(AND(R190&lt;&gt;"",R190&lt;=Settings!$B$15),AND(S190&lt;&gt;"",S190&lt;=Settings!$B$15)),"EXPIRING SOON","OK")))</f>
        <v/>
      </c>
      <c r="U190" s="24" t="str">
        <f aca="false">IF(AND(C190="Own",Q190="Active"),COUNTIFS($C$5:C190,"Own",$Q$5:Q190,"Active"),"")</f>
        <v/>
      </c>
      <c r="V190" s="26" t="str">
        <f aca="false">IF(C190&lt;&gt;"Own","",IF(K190="Hourly",N190,(L190+M190)/(Settings!$B$11*Settings!$B$12)))</f>
        <v/>
      </c>
    </row>
    <row r="191" customFormat="false" ht="15" hidden="false" customHeight="false" outlineLevel="0" collapsed="false">
      <c r="R191" s="25" t="str">
        <f aca="true">IF(I191="","",I191-TODAY())</f>
        <v/>
      </c>
      <c r="S191" s="25" t="str">
        <f aca="true">IF(J191="","",J191-TODAY())</f>
        <v/>
      </c>
      <c r="T191" s="24" t="str">
        <f aca="false">IF(A191="","",IF(OR(AND(R191&lt;&gt;"",R191&lt;0),AND(S191&lt;&gt;"",S191&lt;0)),"EXPIRED",IF(OR(AND(R191&lt;&gt;"",R191&lt;=Settings!$B$15),AND(S191&lt;&gt;"",S191&lt;=Settings!$B$15)),"EXPIRING SOON","OK")))</f>
        <v/>
      </c>
      <c r="U191" s="24" t="str">
        <f aca="false">IF(AND(C191="Own",Q191="Active"),COUNTIFS($C$5:C191,"Own",$Q$5:Q191,"Active"),"")</f>
        <v/>
      </c>
      <c r="V191" s="26" t="str">
        <f aca="false">IF(C191&lt;&gt;"Own","",IF(K191="Hourly",N191,(L191+M191)/(Settings!$B$11*Settings!$B$12)))</f>
        <v/>
      </c>
    </row>
    <row r="192" customFormat="false" ht="15" hidden="false" customHeight="false" outlineLevel="0" collapsed="false">
      <c r="R192" s="25" t="str">
        <f aca="true">IF(I192="","",I192-TODAY())</f>
        <v/>
      </c>
      <c r="S192" s="25" t="str">
        <f aca="true">IF(J192="","",J192-TODAY())</f>
        <v/>
      </c>
      <c r="T192" s="24" t="str">
        <f aca="false">IF(A192="","",IF(OR(AND(R192&lt;&gt;"",R192&lt;0),AND(S192&lt;&gt;"",S192&lt;0)),"EXPIRED",IF(OR(AND(R192&lt;&gt;"",R192&lt;=Settings!$B$15),AND(S192&lt;&gt;"",S192&lt;=Settings!$B$15)),"EXPIRING SOON","OK")))</f>
        <v/>
      </c>
      <c r="U192" s="24" t="str">
        <f aca="false">IF(AND(C192="Own",Q192="Active"),COUNTIFS($C$5:C192,"Own",$Q$5:Q192,"Active"),"")</f>
        <v/>
      </c>
      <c r="V192" s="26" t="str">
        <f aca="false">IF(C192&lt;&gt;"Own","",IF(K192="Hourly",N192,(L192+M192)/(Settings!$B$11*Settings!$B$12)))</f>
        <v/>
      </c>
    </row>
    <row r="193" customFormat="false" ht="15" hidden="false" customHeight="false" outlineLevel="0" collapsed="false">
      <c r="R193" s="25" t="str">
        <f aca="true">IF(I193="","",I193-TODAY())</f>
        <v/>
      </c>
      <c r="S193" s="25" t="str">
        <f aca="true">IF(J193="","",J193-TODAY())</f>
        <v/>
      </c>
      <c r="T193" s="24" t="str">
        <f aca="false">IF(A193="","",IF(OR(AND(R193&lt;&gt;"",R193&lt;0),AND(S193&lt;&gt;"",S193&lt;0)),"EXPIRED",IF(OR(AND(R193&lt;&gt;"",R193&lt;=Settings!$B$15),AND(S193&lt;&gt;"",S193&lt;=Settings!$B$15)),"EXPIRING SOON","OK")))</f>
        <v/>
      </c>
      <c r="U193" s="24" t="str">
        <f aca="false">IF(AND(C193="Own",Q193="Active"),COUNTIFS($C$5:C193,"Own",$Q$5:Q193,"Active"),"")</f>
        <v/>
      </c>
      <c r="V193" s="26" t="str">
        <f aca="false">IF(C193&lt;&gt;"Own","",IF(K193="Hourly",N193,(L193+M193)/(Settings!$B$11*Settings!$B$12)))</f>
        <v/>
      </c>
    </row>
    <row r="194" customFormat="false" ht="15" hidden="false" customHeight="false" outlineLevel="0" collapsed="false">
      <c r="R194" s="25" t="str">
        <f aca="true">IF(I194="","",I194-TODAY())</f>
        <v/>
      </c>
      <c r="S194" s="25" t="str">
        <f aca="true">IF(J194="","",J194-TODAY())</f>
        <v/>
      </c>
      <c r="T194" s="24" t="str">
        <f aca="false">IF(A194="","",IF(OR(AND(R194&lt;&gt;"",R194&lt;0),AND(S194&lt;&gt;"",S194&lt;0)),"EXPIRED",IF(OR(AND(R194&lt;&gt;"",R194&lt;=Settings!$B$15),AND(S194&lt;&gt;"",S194&lt;=Settings!$B$15)),"EXPIRING SOON","OK")))</f>
        <v/>
      </c>
      <c r="U194" s="24" t="str">
        <f aca="false">IF(AND(C194="Own",Q194="Active"),COUNTIFS($C$5:C194,"Own",$Q$5:Q194,"Active"),"")</f>
        <v/>
      </c>
      <c r="V194" s="26" t="str">
        <f aca="false">IF(C194&lt;&gt;"Own","",IF(K194="Hourly",N194,(L194+M194)/(Settings!$B$11*Settings!$B$12)))</f>
        <v/>
      </c>
    </row>
    <row r="195" customFormat="false" ht="15" hidden="false" customHeight="false" outlineLevel="0" collapsed="false">
      <c r="R195" s="25" t="str">
        <f aca="true">IF(I195="","",I195-TODAY())</f>
        <v/>
      </c>
      <c r="S195" s="25" t="str">
        <f aca="true">IF(J195="","",J195-TODAY())</f>
        <v/>
      </c>
      <c r="T195" s="24" t="str">
        <f aca="false">IF(A195="","",IF(OR(AND(R195&lt;&gt;"",R195&lt;0),AND(S195&lt;&gt;"",S195&lt;0)),"EXPIRED",IF(OR(AND(R195&lt;&gt;"",R195&lt;=Settings!$B$15),AND(S195&lt;&gt;"",S195&lt;=Settings!$B$15)),"EXPIRING SOON","OK")))</f>
        <v/>
      </c>
      <c r="U195" s="24" t="str">
        <f aca="false">IF(AND(C195="Own",Q195="Active"),COUNTIFS($C$5:C195,"Own",$Q$5:Q195,"Active"),"")</f>
        <v/>
      </c>
      <c r="V195" s="26" t="str">
        <f aca="false">IF(C195&lt;&gt;"Own","",IF(K195="Hourly",N195,(L195+M195)/(Settings!$B$11*Settings!$B$12)))</f>
        <v/>
      </c>
    </row>
    <row r="196" customFormat="false" ht="15" hidden="false" customHeight="false" outlineLevel="0" collapsed="false">
      <c r="R196" s="25" t="str">
        <f aca="true">IF(I196="","",I196-TODAY())</f>
        <v/>
      </c>
      <c r="S196" s="25" t="str">
        <f aca="true">IF(J196="","",J196-TODAY())</f>
        <v/>
      </c>
      <c r="T196" s="24" t="str">
        <f aca="false">IF(A196="","",IF(OR(AND(R196&lt;&gt;"",R196&lt;0),AND(S196&lt;&gt;"",S196&lt;0)),"EXPIRED",IF(OR(AND(R196&lt;&gt;"",R196&lt;=Settings!$B$15),AND(S196&lt;&gt;"",S196&lt;=Settings!$B$15)),"EXPIRING SOON","OK")))</f>
        <v/>
      </c>
      <c r="U196" s="24" t="str">
        <f aca="false">IF(AND(C196="Own",Q196="Active"),COUNTIFS($C$5:C196,"Own",$Q$5:Q196,"Active"),"")</f>
        <v/>
      </c>
      <c r="V196" s="26" t="str">
        <f aca="false">IF(C196&lt;&gt;"Own","",IF(K196="Hourly",N196,(L196+M196)/(Settings!$B$11*Settings!$B$12)))</f>
        <v/>
      </c>
    </row>
    <row r="197" customFormat="false" ht="15" hidden="false" customHeight="false" outlineLevel="0" collapsed="false">
      <c r="R197" s="25" t="str">
        <f aca="true">IF(I197="","",I197-TODAY())</f>
        <v/>
      </c>
      <c r="S197" s="25" t="str">
        <f aca="true">IF(J197="","",J197-TODAY())</f>
        <v/>
      </c>
      <c r="T197" s="24" t="str">
        <f aca="false">IF(A197="","",IF(OR(AND(R197&lt;&gt;"",R197&lt;0),AND(S197&lt;&gt;"",S197&lt;0)),"EXPIRED",IF(OR(AND(R197&lt;&gt;"",R197&lt;=Settings!$B$15),AND(S197&lt;&gt;"",S197&lt;=Settings!$B$15)),"EXPIRING SOON","OK")))</f>
        <v/>
      </c>
      <c r="U197" s="24" t="str">
        <f aca="false">IF(AND(C197="Own",Q197="Active"),COUNTIFS($C$5:C197,"Own",$Q$5:Q197,"Active"),"")</f>
        <v/>
      </c>
      <c r="V197" s="26" t="str">
        <f aca="false">IF(C197&lt;&gt;"Own","",IF(K197="Hourly",N197,(L197+M197)/(Settings!$B$11*Settings!$B$12)))</f>
        <v/>
      </c>
    </row>
    <row r="198" customFormat="false" ht="15" hidden="false" customHeight="false" outlineLevel="0" collapsed="false">
      <c r="R198" s="25" t="str">
        <f aca="true">IF(I198="","",I198-TODAY())</f>
        <v/>
      </c>
      <c r="S198" s="25" t="str">
        <f aca="true">IF(J198="","",J198-TODAY())</f>
        <v/>
      </c>
      <c r="T198" s="24" t="str">
        <f aca="false">IF(A198="","",IF(OR(AND(R198&lt;&gt;"",R198&lt;0),AND(S198&lt;&gt;"",S198&lt;0)),"EXPIRED",IF(OR(AND(R198&lt;&gt;"",R198&lt;=Settings!$B$15),AND(S198&lt;&gt;"",S198&lt;=Settings!$B$15)),"EXPIRING SOON","OK")))</f>
        <v/>
      </c>
      <c r="U198" s="24" t="str">
        <f aca="false">IF(AND(C198="Own",Q198="Active"),COUNTIFS($C$5:C198,"Own",$Q$5:Q198,"Active"),"")</f>
        <v/>
      </c>
      <c r="V198" s="26" t="str">
        <f aca="false">IF(C198&lt;&gt;"Own","",IF(K198="Hourly",N198,(L198+M198)/(Settings!$B$11*Settings!$B$12)))</f>
        <v/>
      </c>
    </row>
    <row r="199" customFormat="false" ht="15" hidden="false" customHeight="false" outlineLevel="0" collapsed="false">
      <c r="R199" s="25" t="str">
        <f aca="true">IF(I199="","",I199-TODAY())</f>
        <v/>
      </c>
      <c r="S199" s="25" t="str">
        <f aca="true">IF(J199="","",J199-TODAY())</f>
        <v/>
      </c>
      <c r="T199" s="24" t="str">
        <f aca="false">IF(A199="","",IF(OR(AND(R199&lt;&gt;"",R199&lt;0),AND(S199&lt;&gt;"",S199&lt;0)),"EXPIRED",IF(OR(AND(R199&lt;&gt;"",R199&lt;=Settings!$B$15),AND(S199&lt;&gt;"",S199&lt;=Settings!$B$15)),"EXPIRING SOON","OK")))</f>
        <v/>
      </c>
      <c r="U199" s="24" t="str">
        <f aca="false">IF(AND(C199="Own",Q199="Active"),COUNTIFS($C$5:C199,"Own",$Q$5:Q199,"Active"),"")</f>
        <v/>
      </c>
      <c r="V199" s="26" t="str">
        <f aca="false">IF(C199&lt;&gt;"Own","",IF(K199="Hourly",N199,(L199+M199)/(Settings!$B$11*Settings!$B$12)))</f>
        <v/>
      </c>
    </row>
    <row r="200" customFormat="false" ht="15" hidden="false" customHeight="false" outlineLevel="0" collapsed="false">
      <c r="R200" s="25" t="str">
        <f aca="true">IF(I200="","",I200-TODAY())</f>
        <v/>
      </c>
      <c r="S200" s="25" t="str">
        <f aca="true">IF(J200="","",J200-TODAY())</f>
        <v/>
      </c>
      <c r="T200" s="24" t="str">
        <f aca="false">IF(A200="","",IF(OR(AND(R200&lt;&gt;"",R200&lt;0),AND(S200&lt;&gt;"",S200&lt;0)),"EXPIRED",IF(OR(AND(R200&lt;&gt;"",R200&lt;=Settings!$B$15),AND(S200&lt;&gt;"",S200&lt;=Settings!$B$15)),"EXPIRING SOON","OK")))</f>
        <v/>
      </c>
      <c r="U200" s="24" t="str">
        <f aca="false">IF(AND(C200="Own",Q200="Active"),COUNTIFS($C$5:C200,"Own",$Q$5:Q200,"Active"),"")</f>
        <v/>
      </c>
      <c r="V200" s="26" t="str">
        <f aca="false">IF(C200&lt;&gt;"Own","",IF(K200="Hourly",N200,(L200+M200)/(Settings!$B$11*Settings!$B$12)))</f>
        <v/>
      </c>
    </row>
    <row r="201" customFormat="false" ht="15" hidden="false" customHeight="false" outlineLevel="0" collapsed="false">
      <c r="R201" s="25" t="str">
        <f aca="true">IF(I201="","",I201-TODAY())</f>
        <v/>
      </c>
      <c r="S201" s="25" t="str">
        <f aca="true">IF(J201="","",J201-TODAY())</f>
        <v/>
      </c>
      <c r="T201" s="24" t="str">
        <f aca="false">IF(A201="","",IF(OR(AND(R201&lt;&gt;"",R201&lt;0),AND(S201&lt;&gt;"",S201&lt;0)),"EXPIRED",IF(OR(AND(R201&lt;&gt;"",R201&lt;=Settings!$B$15),AND(S201&lt;&gt;"",S201&lt;=Settings!$B$15)),"EXPIRING SOON","OK")))</f>
        <v/>
      </c>
      <c r="U201" s="24" t="str">
        <f aca="false">IF(AND(C201="Own",Q201="Active"),COUNTIFS($C$5:C201,"Own",$Q$5:Q201,"Active"),"")</f>
        <v/>
      </c>
      <c r="V201" s="26" t="str">
        <f aca="false">IF(C201&lt;&gt;"Own","",IF(K201="Hourly",N201,(L201+M201)/(Settings!$B$11*Settings!$B$12)))</f>
        <v/>
      </c>
    </row>
    <row r="202" customFormat="false" ht="15" hidden="false" customHeight="false" outlineLevel="0" collapsed="false">
      <c r="R202" s="25" t="str">
        <f aca="true">IF(I202="","",I202-TODAY())</f>
        <v/>
      </c>
      <c r="S202" s="25" t="str">
        <f aca="true">IF(J202="","",J202-TODAY())</f>
        <v/>
      </c>
      <c r="T202" s="24" t="str">
        <f aca="false">IF(A202="","",IF(OR(AND(R202&lt;&gt;"",R202&lt;0),AND(S202&lt;&gt;"",S202&lt;0)),"EXPIRED",IF(OR(AND(R202&lt;&gt;"",R202&lt;=Settings!$B$15),AND(S202&lt;&gt;"",S202&lt;=Settings!$B$15)),"EXPIRING SOON","OK")))</f>
        <v/>
      </c>
      <c r="U202" s="24" t="str">
        <f aca="false">IF(AND(C202="Own",Q202="Active"),COUNTIFS($C$5:C202,"Own",$Q$5:Q202,"Active"),"")</f>
        <v/>
      </c>
      <c r="V202" s="26" t="str">
        <f aca="false">IF(C202&lt;&gt;"Own","",IF(K202="Hourly",N202,(L202+M202)/(Settings!$B$11*Settings!$B$12)))</f>
        <v/>
      </c>
    </row>
    <row r="203" customFormat="false" ht="15" hidden="false" customHeight="false" outlineLevel="0" collapsed="false">
      <c r="R203" s="25" t="str">
        <f aca="true">IF(I203="","",I203-TODAY())</f>
        <v/>
      </c>
      <c r="S203" s="25" t="str">
        <f aca="true">IF(J203="","",J203-TODAY())</f>
        <v/>
      </c>
      <c r="T203" s="24" t="str">
        <f aca="false">IF(A203="","",IF(OR(AND(R203&lt;&gt;"",R203&lt;0),AND(S203&lt;&gt;"",S203&lt;0)),"EXPIRED",IF(OR(AND(R203&lt;&gt;"",R203&lt;=Settings!$B$15),AND(S203&lt;&gt;"",S203&lt;=Settings!$B$15)),"EXPIRING SOON","OK")))</f>
        <v/>
      </c>
      <c r="U203" s="24" t="str">
        <f aca="false">IF(AND(C203="Own",Q203="Active"),COUNTIFS($C$5:C203,"Own",$Q$5:Q203,"Active"),"")</f>
        <v/>
      </c>
      <c r="V203" s="26" t="str">
        <f aca="false">IF(C203&lt;&gt;"Own","",IF(K203="Hourly",N203,(L203+M203)/(Settings!$B$11*Settings!$B$12)))</f>
        <v/>
      </c>
    </row>
    <row r="204" customFormat="false" ht="15" hidden="false" customHeight="false" outlineLevel="0" collapsed="false">
      <c r="R204" s="25" t="str">
        <f aca="true">IF(I204="","",I204-TODAY())</f>
        <v/>
      </c>
      <c r="S204" s="25" t="str">
        <f aca="true">IF(J204="","",J204-TODAY())</f>
        <v/>
      </c>
      <c r="T204" s="24" t="str">
        <f aca="false">IF(A204="","",IF(OR(AND(R204&lt;&gt;"",R204&lt;0),AND(S204&lt;&gt;"",S204&lt;0)),"EXPIRED",IF(OR(AND(R204&lt;&gt;"",R204&lt;=Settings!$B$15),AND(S204&lt;&gt;"",S204&lt;=Settings!$B$15)),"EXPIRING SOON","OK")))</f>
        <v/>
      </c>
      <c r="U204" s="24" t="str">
        <f aca="false">IF(AND(C204="Own",Q204="Active"),COUNTIFS($C$5:C204,"Own",$Q$5:Q204,"Active"),"")</f>
        <v/>
      </c>
      <c r="V204" s="26" t="str">
        <f aca="false">IF(C204&lt;&gt;"Own","",IF(K204="Hourly",N204,(L204+M204)/(Settings!$B$11*Settings!$B$12)))</f>
        <v/>
      </c>
    </row>
    <row r="205" customFormat="false" ht="15" hidden="false" customHeight="false" outlineLevel="0" collapsed="false">
      <c r="R205" s="25" t="str">
        <f aca="true">IF(I205="","",I205-TODAY())</f>
        <v/>
      </c>
      <c r="S205" s="25" t="str">
        <f aca="true">IF(J205="","",J205-TODAY())</f>
        <v/>
      </c>
      <c r="T205" s="24" t="str">
        <f aca="false">IF(A205="","",IF(OR(AND(R205&lt;&gt;"",R205&lt;0),AND(S205&lt;&gt;"",S205&lt;0)),"EXPIRED",IF(OR(AND(R205&lt;&gt;"",R205&lt;=Settings!$B$15),AND(S205&lt;&gt;"",S205&lt;=Settings!$B$15)),"EXPIRING SOON","OK")))</f>
        <v/>
      </c>
      <c r="U205" s="24" t="str">
        <f aca="false">IF(AND(C205="Own",Q205="Active"),COUNTIFS($C$5:C205,"Own",$Q$5:Q205,"Active"),"")</f>
        <v/>
      </c>
      <c r="V205" s="26" t="str">
        <f aca="false">IF(C205&lt;&gt;"Own","",IF(K205="Hourly",N205,(L205+M205)/(Settings!$B$11*Settings!$B$12)))</f>
        <v/>
      </c>
    </row>
    <row r="206" customFormat="false" ht="15" hidden="false" customHeight="false" outlineLevel="0" collapsed="false">
      <c r="R206" s="25" t="str">
        <f aca="true">IF(I206="","",I206-TODAY())</f>
        <v/>
      </c>
      <c r="S206" s="25" t="str">
        <f aca="true">IF(J206="","",J206-TODAY())</f>
        <v/>
      </c>
      <c r="T206" s="24" t="str">
        <f aca="false">IF(A206="","",IF(OR(AND(R206&lt;&gt;"",R206&lt;0),AND(S206&lt;&gt;"",S206&lt;0)),"EXPIRED",IF(OR(AND(R206&lt;&gt;"",R206&lt;=Settings!$B$15),AND(S206&lt;&gt;"",S206&lt;=Settings!$B$15)),"EXPIRING SOON","OK")))</f>
        <v/>
      </c>
      <c r="U206" s="24" t="str">
        <f aca="false">IF(AND(C206="Own",Q206="Active"),COUNTIFS($C$5:C206,"Own",$Q$5:Q206,"Active"),"")</f>
        <v/>
      </c>
      <c r="V206" s="26" t="str">
        <f aca="false">IF(C206&lt;&gt;"Own","",IF(K206="Hourly",N206,(L206+M206)/(Settings!$B$11*Settings!$B$12)))</f>
        <v/>
      </c>
    </row>
    <row r="207" customFormat="false" ht="15" hidden="false" customHeight="false" outlineLevel="0" collapsed="false">
      <c r="R207" s="25" t="str">
        <f aca="true">IF(I207="","",I207-TODAY())</f>
        <v/>
      </c>
      <c r="S207" s="25" t="str">
        <f aca="true">IF(J207="","",J207-TODAY())</f>
        <v/>
      </c>
      <c r="T207" s="24" t="str">
        <f aca="false">IF(A207="","",IF(OR(AND(R207&lt;&gt;"",R207&lt;0),AND(S207&lt;&gt;"",S207&lt;0)),"EXPIRED",IF(OR(AND(R207&lt;&gt;"",R207&lt;=Settings!$B$15),AND(S207&lt;&gt;"",S207&lt;=Settings!$B$15)),"EXPIRING SOON","OK")))</f>
        <v/>
      </c>
      <c r="U207" s="24" t="str">
        <f aca="false">IF(AND(C207="Own",Q207="Active"),COUNTIFS($C$5:C207,"Own",$Q$5:Q207,"Active"),"")</f>
        <v/>
      </c>
      <c r="V207" s="26" t="str">
        <f aca="false">IF(C207&lt;&gt;"Own","",IF(K207="Hourly",N207,(L207+M207)/(Settings!$B$11*Settings!$B$12)))</f>
        <v/>
      </c>
    </row>
    <row r="208" customFormat="false" ht="15" hidden="false" customHeight="false" outlineLevel="0" collapsed="false">
      <c r="R208" s="25" t="str">
        <f aca="true">IF(I208="","",I208-TODAY())</f>
        <v/>
      </c>
      <c r="S208" s="25" t="str">
        <f aca="true">IF(J208="","",J208-TODAY())</f>
        <v/>
      </c>
      <c r="T208" s="24" t="str">
        <f aca="false">IF(A208="","",IF(OR(AND(R208&lt;&gt;"",R208&lt;0),AND(S208&lt;&gt;"",S208&lt;0)),"EXPIRED",IF(OR(AND(R208&lt;&gt;"",R208&lt;=Settings!$B$15),AND(S208&lt;&gt;"",S208&lt;=Settings!$B$15)),"EXPIRING SOON","OK")))</f>
        <v/>
      </c>
      <c r="U208" s="24" t="str">
        <f aca="false">IF(AND(C208="Own",Q208="Active"),COUNTIFS($C$5:C208,"Own",$Q$5:Q208,"Active"),"")</f>
        <v/>
      </c>
      <c r="V208" s="26" t="str">
        <f aca="false">IF(C208&lt;&gt;"Own","",IF(K208="Hourly",N208,(L208+M208)/(Settings!$B$11*Settings!$B$12)))</f>
        <v/>
      </c>
    </row>
    <row r="209" customFormat="false" ht="15" hidden="false" customHeight="false" outlineLevel="0" collapsed="false">
      <c r="R209" s="25" t="str">
        <f aca="true">IF(I209="","",I209-TODAY())</f>
        <v/>
      </c>
      <c r="S209" s="25" t="str">
        <f aca="true">IF(J209="","",J209-TODAY())</f>
        <v/>
      </c>
      <c r="T209" s="24" t="str">
        <f aca="false">IF(A209="","",IF(OR(AND(R209&lt;&gt;"",R209&lt;0),AND(S209&lt;&gt;"",S209&lt;0)),"EXPIRED",IF(OR(AND(R209&lt;&gt;"",R209&lt;=Settings!$B$15),AND(S209&lt;&gt;"",S209&lt;=Settings!$B$15)),"EXPIRING SOON","OK")))</f>
        <v/>
      </c>
      <c r="U209" s="24" t="str">
        <f aca="false">IF(AND(C209="Own",Q209="Active"),COUNTIFS($C$5:C209,"Own",$Q$5:Q209,"Active"),"")</f>
        <v/>
      </c>
      <c r="V209" s="26" t="str">
        <f aca="false">IF(C209&lt;&gt;"Own","",IF(K209="Hourly",N209,(L209+M209)/(Settings!$B$11*Settings!$B$12)))</f>
        <v/>
      </c>
    </row>
    <row r="210" customFormat="false" ht="15" hidden="false" customHeight="false" outlineLevel="0" collapsed="false">
      <c r="R210" s="25" t="str">
        <f aca="true">IF(I210="","",I210-TODAY())</f>
        <v/>
      </c>
      <c r="S210" s="25" t="str">
        <f aca="true">IF(J210="","",J210-TODAY())</f>
        <v/>
      </c>
      <c r="T210" s="24" t="str">
        <f aca="false">IF(A210="","",IF(OR(AND(R210&lt;&gt;"",R210&lt;0),AND(S210&lt;&gt;"",S210&lt;0)),"EXPIRED",IF(OR(AND(R210&lt;&gt;"",R210&lt;=Settings!$B$15),AND(S210&lt;&gt;"",S210&lt;=Settings!$B$15)),"EXPIRING SOON","OK")))</f>
        <v/>
      </c>
      <c r="U210" s="24" t="str">
        <f aca="false">IF(AND(C210="Own",Q210="Active"),COUNTIFS($C$5:C210,"Own",$Q$5:Q210,"Active"),"")</f>
        <v/>
      </c>
      <c r="V210" s="26" t="str">
        <f aca="false">IF(C210&lt;&gt;"Own","",IF(K210="Hourly",N210,(L210+M210)/(Settings!$B$11*Settings!$B$12)))</f>
        <v/>
      </c>
    </row>
    <row r="211" customFormat="false" ht="15" hidden="false" customHeight="false" outlineLevel="0" collapsed="false">
      <c r="R211" s="25" t="str">
        <f aca="true">IF(I211="","",I211-TODAY())</f>
        <v/>
      </c>
      <c r="S211" s="25" t="str">
        <f aca="true">IF(J211="","",J211-TODAY())</f>
        <v/>
      </c>
      <c r="T211" s="24" t="str">
        <f aca="false">IF(A211="","",IF(OR(AND(R211&lt;&gt;"",R211&lt;0),AND(S211&lt;&gt;"",S211&lt;0)),"EXPIRED",IF(OR(AND(R211&lt;&gt;"",R211&lt;=Settings!$B$15),AND(S211&lt;&gt;"",S211&lt;=Settings!$B$15)),"EXPIRING SOON","OK")))</f>
        <v/>
      </c>
      <c r="U211" s="24" t="str">
        <f aca="false">IF(AND(C211="Own",Q211="Active"),COUNTIFS($C$5:C211,"Own",$Q$5:Q211,"Active"),"")</f>
        <v/>
      </c>
      <c r="V211" s="26" t="str">
        <f aca="false">IF(C211&lt;&gt;"Own","",IF(K211="Hourly",N211,(L211+M211)/(Settings!$B$11*Settings!$B$12)))</f>
        <v/>
      </c>
    </row>
    <row r="212" customFormat="false" ht="15" hidden="false" customHeight="false" outlineLevel="0" collapsed="false">
      <c r="R212" s="25" t="str">
        <f aca="true">IF(I212="","",I212-TODAY())</f>
        <v/>
      </c>
      <c r="S212" s="25" t="str">
        <f aca="true">IF(J212="","",J212-TODAY())</f>
        <v/>
      </c>
      <c r="T212" s="24" t="str">
        <f aca="false">IF(A212="","",IF(OR(AND(R212&lt;&gt;"",R212&lt;0),AND(S212&lt;&gt;"",S212&lt;0)),"EXPIRED",IF(OR(AND(R212&lt;&gt;"",R212&lt;=Settings!$B$15),AND(S212&lt;&gt;"",S212&lt;=Settings!$B$15)),"EXPIRING SOON","OK")))</f>
        <v/>
      </c>
      <c r="U212" s="24" t="str">
        <f aca="false">IF(AND(C212="Own",Q212="Active"),COUNTIFS($C$5:C212,"Own",$Q$5:Q212,"Active"),"")</f>
        <v/>
      </c>
      <c r="V212" s="26" t="str">
        <f aca="false">IF(C212&lt;&gt;"Own","",IF(K212="Hourly",N212,(L212+M212)/(Settings!$B$11*Settings!$B$12)))</f>
        <v/>
      </c>
    </row>
    <row r="213" customFormat="false" ht="15" hidden="false" customHeight="false" outlineLevel="0" collapsed="false">
      <c r="R213" s="25" t="str">
        <f aca="true">IF(I213="","",I213-TODAY())</f>
        <v/>
      </c>
      <c r="S213" s="25" t="str">
        <f aca="true">IF(J213="","",J213-TODAY())</f>
        <v/>
      </c>
      <c r="T213" s="24" t="str">
        <f aca="false">IF(A213="","",IF(OR(AND(R213&lt;&gt;"",R213&lt;0),AND(S213&lt;&gt;"",S213&lt;0)),"EXPIRED",IF(OR(AND(R213&lt;&gt;"",R213&lt;=Settings!$B$15),AND(S213&lt;&gt;"",S213&lt;=Settings!$B$15)),"EXPIRING SOON","OK")))</f>
        <v/>
      </c>
      <c r="U213" s="24" t="str">
        <f aca="false">IF(AND(C213="Own",Q213="Active"),COUNTIFS($C$5:C213,"Own",$Q$5:Q213,"Active"),"")</f>
        <v/>
      </c>
      <c r="V213" s="26" t="str">
        <f aca="false">IF(C213&lt;&gt;"Own","",IF(K213="Hourly",N213,(L213+M213)/(Settings!$B$11*Settings!$B$12)))</f>
        <v/>
      </c>
    </row>
    <row r="214" customFormat="false" ht="15" hidden="false" customHeight="false" outlineLevel="0" collapsed="false">
      <c r="R214" s="25" t="str">
        <f aca="true">IF(I214="","",I214-TODAY())</f>
        <v/>
      </c>
      <c r="S214" s="25" t="str">
        <f aca="true">IF(J214="","",J214-TODAY())</f>
        <v/>
      </c>
      <c r="T214" s="24" t="str">
        <f aca="false">IF(A214="","",IF(OR(AND(R214&lt;&gt;"",R214&lt;0),AND(S214&lt;&gt;"",S214&lt;0)),"EXPIRED",IF(OR(AND(R214&lt;&gt;"",R214&lt;=Settings!$B$15),AND(S214&lt;&gt;"",S214&lt;=Settings!$B$15)),"EXPIRING SOON","OK")))</f>
        <v/>
      </c>
      <c r="U214" s="24" t="str">
        <f aca="false">IF(AND(C214="Own",Q214="Active"),COUNTIFS($C$5:C214,"Own",$Q$5:Q214,"Active"),"")</f>
        <v/>
      </c>
      <c r="V214" s="26" t="str">
        <f aca="false">IF(C214&lt;&gt;"Own","",IF(K214="Hourly",N214,(L214+M214)/(Settings!$B$11*Settings!$B$12)))</f>
        <v/>
      </c>
    </row>
    <row r="215" customFormat="false" ht="15" hidden="false" customHeight="false" outlineLevel="0" collapsed="false">
      <c r="R215" s="25" t="str">
        <f aca="true">IF(I215="","",I215-TODAY())</f>
        <v/>
      </c>
      <c r="S215" s="25" t="str">
        <f aca="true">IF(J215="","",J215-TODAY())</f>
        <v/>
      </c>
      <c r="T215" s="24" t="str">
        <f aca="false">IF(A215="","",IF(OR(AND(R215&lt;&gt;"",R215&lt;0),AND(S215&lt;&gt;"",S215&lt;0)),"EXPIRED",IF(OR(AND(R215&lt;&gt;"",R215&lt;=Settings!$B$15),AND(S215&lt;&gt;"",S215&lt;=Settings!$B$15)),"EXPIRING SOON","OK")))</f>
        <v/>
      </c>
      <c r="U215" s="24" t="str">
        <f aca="false">IF(AND(C215="Own",Q215="Active"),COUNTIFS($C$5:C215,"Own",$Q$5:Q215,"Active"),"")</f>
        <v/>
      </c>
      <c r="V215" s="26" t="str">
        <f aca="false">IF(C215&lt;&gt;"Own","",IF(K215="Hourly",N215,(L215+M215)/(Settings!$B$11*Settings!$B$12)))</f>
        <v/>
      </c>
    </row>
    <row r="216" customFormat="false" ht="15" hidden="false" customHeight="false" outlineLevel="0" collapsed="false">
      <c r="R216" s="25" t="str">
        <f aca="true">IF(I216="","",I216-TODAY())</f>
        <v/>
      </c>
      <c r="S216" s="25" t="str">
        <f aca="true">IF(J216="","",J216-TODAY())</f>
        <v/>
      </c>
      <c r="T216" s="24" t="str">
        <f aca="false">IF(A216="","",IF(OR(AND(R216&lt;&gt;"",R216&lt;0),AND(S216&lt;&gt;"",S216&lt;0)),"EXPIRED",IF(OR(AND(R216&lt;&gt;"",R216&lt;=Settings!$B$15),AND(S216&lt;&gt;"",S216&lt;=Settings!$B$15)),"EXPIRING SOON","OK")))</f>
        <v/>
      </c>
      <c r="U216" s="24" t="str">
        <f aca="false">IF(AND(C216="Own",Q216="Active"),COUNTIFS($C$5:C216,"Own",$Q$5:Q216,"Active"),"")</f>
        <v/>
      </c>
      <c r="V216" s="26" t="str">
        <f aca="false">IF(C216&lt;&gt;"Own","",IF(K216="Hourly",N216,(L216+M216)/(Settings!$B$11*Settings!$B$12)))</f>
        <v/>
      </c>
    </row>
    <row r="217" customFormat="false" ht="15" hidden="false" customHeight="false" outlineLevel="0" collapsed="false">
      <c r="R217" s="25" t="str">
        <f aca="true">IF(I217="","",I217-TODAY())</f>
        <v/>
      </c>
      <c r="S217" s="25" t="str">
        <f aca="true">IF(J217="","",J217-TODAY())</f>
        <v/>
      </c>
      <c r="T217" s="24" t="str">
        <f aca="false">IF(A217="","",IF(OR(AND(R217&lt;&gt;"",R217&lt;0),AND(S217&lt;&gt;"",S217&lt;0)),"EXPIRED",IF(OR(AND(R217&lt;&gt;"",R217&lt;=Settings!$B$15),AND(S217&lt;&gt;"",S217&lt;=Settings!$B$15)),"EXPIRING SOON","OK")))</f>
        <v/>
      </c>
      <c r="U217" s="24" t="str">
        <f aca="false">IF(AND(C217="Own",Q217="Active"),COUNTIFS($C$5:C217,"Own",$Q$5:Q217,"Active"),"")</f>
        <v/>
      </c>
      <c r="V217" s="26" t="str">
        <f aca="false">IF(C217&lt;&gt;"Own","",IF(K217="Hourly",N217,(L217+M217)/(Settings!$B$11*Settings!$B$12)))</f>
        <v/>
      </c>
    </row>
    <row r="218" customFormat="false" ht="15" hidden="false" customHeight="false" outlineLevel="0" collapsed="false">
      <c r="R218" s="25" t="str">
        <f aca="true">IF(I218="","",I218-TODAY())</f>
        <v/>
      </c>
      <c r="S218" s="25" t="str">
        <f aca="true">IF(J218="","",J218-TODAY())</f>
        <v/>
      </c>
      <c r="T218" s="24" t="str">
        <f aca="false">IF(A218="","",IF(OR(AND(R218&lt;&gt;"",R218&lt;0),AND(S218&lt;&gt;"",S218&lt;0)),"EXPIRED",IF(OR(AND(R218&lt;&gt;"",R218&lt;=Settings!$B$15),AND(S218&lt;&gt;"",S218&lt;=Settings!$B$15)),"EXPIRING SOON","OK")))</f>
        <v/>
      </c>
      <c r="U218" s="24" t="str">
        <f aca="false">IF(AND(C218="Own",Q218="Active"),COUNTIFS($C$5:C218,"Own",$Q$5:Q218,"Active"),"")</f>
        <v/>
      </c>
      <c r="V218" s="26" t="str">
        <f aca="false">IF(C218&lt;&gt;"Own","",IF(K218="Hourly",N218,(L218+M218)/(Settings!$B$11*Settings!$B$12)))</f>
        <v/>
      </c>
    </row>
    <row r="219" customFormat="false" ht="15" hidden="false" customHeight="false" outlineLevel="0" collapsed="false">
      <c r="R219" s="25" t="str">
        <f aca="true">IF(I219="","",I219-TODAY())</f>
        <v/>
      </c>
      <c r="S219" s="25" t="str">
        <f aca="true">IF(J219="","",J219-TODAY())</f>
        <v/>
      </c>
      <c r="T219" s="24" t="str">
        <f aca="false">IF(A219="","",IF(OR(AND(R219&lt;&gt;"",R219&lt;0),AND(S219&lt;&gt;"",S219&lt;0)),"EXPIRED",IF(OR(AND(R219&lt;&gt;"",R219&lt;=Settings!$B$15),AND(S219&lt;&gt;"",S219&lt;=Settings!$B$15)),"EXPIRING SOON","OK")))</f>
        <v/>
      </c>
      <c r="U219" s="24" t="str">
        <f aca="false">IF(AND(C219="Own",Q219="Active"),COUNTIFS($C$5:C219,"Own",$Q$5:Q219,"Active"),"")</f>
        <v/>
      </c>
      <c r="V219" s="26" t="str">
        <f aca="false">IF(C219&lt;&gt;"Own","",IF(K219="Hourly",N219,(L219+M219)/(Settings!$B$11*Settings!$B$12)))</f>
        <v/>
      </c>
    </row>
    <row r="220" customFormat="false" ht="15" hidden="false" customHeight="false" outlineLevel="0" collapsed="false">
      <c r="R220" s="25" t="str">
        <f aca="true">IF(I220="","",I220-TODAY())</f>
        <v/>
      </c>
      <c r="S220" s="25" t="str">
        <f aca="true">IF(J220="","",J220-TODAY())</f>
        <v/>
      </c>
      <c r="T220" s="24" t="str">
        <f aca="false">IF(A220="","",IF(OR(AND(R220&lt;&gt;"",R220&lt;0),AND(S220&lt;&gt;"",S220&lt;0)),"EXPIRED",IF(OR(AND(R220&lt;&gt;"",R220&lt;=Settings!$B$15),AND(S220&lt;&gt;"",S220&lt;=Settings!$B$15)),"EXPIRING SOON","OK")))</f>
        <v/>
      </c>
      <c r="U220" s="24" t="str">
        <f aca="false">IF(AND(C220="Own",Q220="Active"),COUNTIFS($C$5:C220,"Own",$Q$5:Q220,"Active"),"")</f>
        <v/>
      </c>
      <c r="V220" s="26" t="str">
        <f aca="false">IF(C220&lt;&gt;"Own","",IF(K220="Hourly",N220,(L220+M220)/(Settings!$B$11*Settings!$B$12)))</f>
        <v/>
      </c>
    </row>
    <row r="221" customFormat="false" ht="15" hidden="false" customHeight="false" outlineLevel="0" collapsed="false">
      <c r="R221" s="25" t="str">
        <f aca="true">IF(I221="","",I221-TODAY())</f>
        <v/>
      </c>
      <c r="S221" s="25" t="str">
        <f aca="true">IF(J221="","",J221-TODAY())</f>
        <v/>
      </c>
      <c r="T221" s="24" t="str">
        <f aca="false">IF(A221="","",IF(OR(AND(R221&lt;&gt;"",R221&lt;0),AND(S221&lt;&gt;"",S221&lt;0)),"EXPIRED",IF(OR(AND(R221&lt;&gt;"",R221&lt;=Settings!$B$15),AND(S221&lt;&gt;"",S221&lt;=Settings!$B$15)),"EXPIRING SOON","OK")))</f>
        <v/>
      </c>
      <c r="U221" s="24" t="str">
        <f aca="false">IF(AND(C221="Own",Q221="Active"),COUNTIFS($C$5:C221,"Own",$Q$5:Q221,"Active"),"")</f>
        <v/>
      </c>
      <c r="V221" s="26" t="str">
        <f aca="false">IF(C221&lt;&gt;"Own","",IF(K221="Hourly",N221,(L221+M221)/(Settings!$B$11*Settings!$B$12)))</f>
        <v/>
      </c>
    </row>
    <row r="222" customFormat="false" ht="15" hidden="false" customHeight="false" outlineLevel="0" collapsed="false">
      <c r="R222" s="25" t="str">
        <f aca="true">IF(I222="","",I222-TODAY())</f>
        <v/>
      </c>
      <c r="S222" s="25" t="str">
        <f aca="true">IF(J222="","",J222-TODAY())</f>
        <v/>
      </c>
      <c r="T222" s="24" t="str">
        <f aca="false">IF(A222="","",IF(OR(AND(R222&lt;&gt;"",R222&lt;0),AND(S222&lt;&gt;"",S222&lt;0)),"EXPIRED",IF(OR(AND(R222&lt;&gt;"",R222&lt;=Settings!$B$15),AND(S222&lt;&gt;"",S222&lt;=Settings!$B$15)),"EXPIRING SOON","OK")))</f>
        <v/>
      </c>
      <c r="U222" s="24" t="str">
        <f aca="false">IF(AND(C222="Own",Q222="Active"),COUNTIFS($C$5:C222,"Own",$Q$5:Q222,"Active"),"")</f>
        <v/>
      </c>
      <c r="V222" s="26" t="str">
        <f aca="false">IF(C222&lt;&gt;"Own","",IF(K222="Hourly",N222,(L222+M222)/(Settings!$B$11*Settings!$B$12)))</f>
        <v/>
      </c>
    </row>
    <row r="223" customFormat="false" ht="15" hidden="false" customHeight="false" outlineLevel="0" collapsed="false">
      <c r="R223" s="25" t="str">
        <f aca="true">IF(I223="","",I223-TODAY())</f>
        <v/>
      </c>
      <c r="S223" s="25" t="str">
        <f aca="true">IF(J223="","",J223-TODAY())</f>
        <v/>
      </c>
      <c r="T223" s="24" t="str">
        <f aca="false">IF(A223="","",IF(OR(AND(R223&lt;&gt;"",R223&lt;0),AND(S223&lt;&gt;"",S223&lt;0)),"EXPIRED",IF(OR(AND(R223&lt;&gt;"",R223&lt;=Settings!$B$15),AND(S223&lt;&gt;"",S223&lt;=Settings!$B$15)),"EXPIRING SOON","OK")))</f>
        <v/>
      </c>
      <c r="U223" s="24" t="str">
        <f aca="false">IF(AND(C223="Own",Q223="Active"),COUNTIFS($C$5:C223,"Own",$Q$5:Q223,"Active"),"")</f>
        <v/>
      </c>
      <c r="V223" s="26" t="str">
        <f aca="false">IF(C223&lt;&gt;"Own","",IF(K223="Hourly",N223,(L223+M223)/(Settings!$B$11*Settings!$B$12)))</f>
        <v/>
      </c>
    </row>
    <row r="224" customFormat="false" ht="15" hidden="false" customHeight="false" outlineLevel="0" collapsed="false">
      <c r="R224" s="25" t="str">
        <f aca="true">IF(I224="","",I224-TODAY())</f>
        <v/>
      </c>
      <c r="S224" s="25" t="str">
        <f aca="true">IF(J224="","",J224-TODAY())</f>
        <v/>
      </c>
      <c r="T224" s="24" t="str">
        <f aca="false">IF(A224="","",IF(OR(AND(R224&lt;&gt;"",R224&lt;0),AND(S224&lt;&gt;"",S224&lt;0)),"EXPIRED",IF(OR(AND(R224&lt;&gt;"",R224&lt;=Settings!$B$15),AND(S224&lt;&gt;"",S224&lt;=Settings!$B$15)),"EXPIRING SOON","OK")))</f>
        <v/>
      </c>
      <c r="U224" s="24" t="str">
        <f aca="false">IF(AND(C224="Own",Q224="Active"),COUNTIFS($C$5:C224,"Own",$Q$5:Q224,"Active"),"")</f>
        <v/>
      </c>
      <c r="V224" s="26" t="str">
        <f aca="false">IF(C224&lt;&gt;"Own","",IF(K224="Hourly",N224,(L224+M224)/(Settings!$B$11*Settings!$B$12)))</f>
        <v/>
      </c>
    </row>
    <row r="225" customFormat="false" ht="15" hidden="false" customHeight="false" outlineLevel="0" collapsed="false">
      <c r="R225" s="25" t="str">
        <f aca="true">IF(I225="","",I225-TODAY())</f>
        <v/>
      </c>
      <c r="S225" s="25" t="str">
        <f aca="true">IF(J225="","",J225-TODAY())</f>
        <v/>
      </c>
      <c r="T225" s="24" t="str">
        <f aca="false">IF(A225="","",IF(OR(AND(R225&lt;&gt;"",R225&lt;0),AND(S225&lt;&gt;"",S225&lt;0)),"EXPIRED",IF(OR(AND(R225&lt;&gt;"",R225&lt;=Settings!$B$15),AND(S225&lt;&gt;"",S225&lt;=Settings!$B$15)),"EXPIRING SOON","OK")))</f>
        <v/>
      </c>
      <c r="U225" s="24" t="str">
        <f aca="false">IF(AND(C225="Own",Q225="Active"),COUNTIFS($C$5:C225,"Own",$Q$5:Q225,"Active"),"")</f>
        <v/>
      </c>
      <c r="V225" s="26" t="str">
        <f aca="false">IF(C225&lt;&gt;"Own","",IF(K225="Hourly",N225,(L225+M225)/(Settings!$B$11*Settings!$B$12)))</f>
        <v/>
      </c>
    </row>
    <row r="226" customFormat="false" ht="15" hidden="false" customHeight="false" outlineLevel="0" collapsed="false">
      <c r="R226" s="25" t="str">
        <f aca="true">IF(I226="","",I226-TODAY())</f>
        <v/>
      </c>
      <c r="S226" s="25" t="str">
        <f aca="true">IF(J226="","",J226-TODAY())</f>
        <v/>
      </c>
      <c r="T226" s="24" t="str">
        <f aca="false">IF(A226="","",IF(OR(AND(R226&lt;&gt;"",R226&lt;0),AND(S226&lt;&gt;"",S226&lt;0)),"EXPIRED",IF(OR(AND(R226&lt;&gt;"",R226&lt;=Settings!$B$15),AND(S226&lt;&gt;"",S226&lt;=Settings!$B$15)),"EXPIRING SOON","OK")))</f>
        <v/>
      </c>
      <c r="U226" s="24" t="str">
        <f aca="false">IF(AND(C226="Own",Q226="Active"),COUNTIFS($C$5:C226,"Own",$Q$5:Q226,"Active"),"")</f>
        <v/>
      </c>
      <c r="V226" s="26" t="str">
        <f aca="false">IF(C226&lt;&gt;"Own","",IF(K226="Hourly",N226,(L226+M226)/(Settings!$B$11*Settings!$B$12)))</f>
        <v/>
      </c>
    </row>
    <row r="227" customFormat="false" ht="15" hidden="false" customHeight="false" outlineLevel="0" collapsed="false">
      <c r="R227" s="25" t="str">
        <f aca="true">IF(I227="","",I227-TODAY())</f>
        <v/>
      </c>
      <c r="S227" s="25" t="str">
        <f aca="true">IF(J227="","",J227-TODAY())</f>
        <v/>
      </c>
      <c r="T227" s="24" t="str">
        <f aca="false">IF(A227="","",IF(OR(AND(R227&lt;&gt;"",R227&lt;0),AND(S227&lt;&gt;"",S227&lt;0)),"EXPIRED",IF(OR(AND(R227&lt;&gt;"",R227&lt;=Settings!$B$15),AND(S227&lt;&gt;"",S227&lt;=Settings!$B$15)),"EXPIRING SOON","OK")))</f>
        <v/>
      </c>
      <c r="U227" s="24" t="str">
        <f aca="false">IF(AND(C227="Own",Q227="Active"),COUNTIFS($C$5:C227,"Own",$Q$5:Q227,"Active"),"")</f>
        <v/>
      </c>
      <c r="V227" s="26" t="str">
        <f aca="false">IF(C227&lt;&gt;"Own","",IF(K227="Hourly",N227,(L227+M227)/(Settings!$B$11*Settings!$B$12)))</f>
        <v/>
      </c>
    </row>
    <row r="228" customFormat="false" ht="15" hidden="false" customHeight="false" outlineLevel="0" collapsed="false">
      <c r="R228" s="25" t="str">
        <f aca="true">IF(I228="","",I228-TODAY())</f>
        <v/>
      </c>
      <c r="S228" s="25" t="str">
        <f aca="true">IF(J228="","",J228-TODAY())</f>
        <v/>
      </c>
      <c r="T228" s="24" t="str">
        <f aca="false">IF(A228="","",IF(OR(AND(R228&lt;&gt;"",R228&lt;0),AND(S228&lt;&gt;"",S228&lt;0)),"EXPIRED",IF(OR(AND(R228&lt;&gt;"",R228&lt;=Settings!$B$15),AND(S228&lt;&gt;"",S228&lt;=Settings!$B$15)),"EXPIRING SOON","OK")))</f>
        <v/>
      </c>
      <c r="U228" s="24" t="str">
        <f aca="false">IF(AND(C228="Own",Q228="Active"),COUNTIFS($C$5:C228,"Own",$Q$5:Q228,"Active"),"")</f>
        <v/>
      </c>
      <c r="V228" s="26" t="str">
        <f aca="false">IF(C228&lt;&gt;"Own","",IF(K228="Hourly",N228,(L228+M228)/(Settings!$B$11*Settings!$B$12)))</f>
        <v/>
      </c>
    </row>
    <row r="229" customFormat="false" ht="15" hidden="false" customHeight="false" outlineLevel="0" collapsed="false">
      <c r="R229" s="25" t="str">
        <f aca="true">IF(I229="","",I229-TODAY())</f>
        <v/>
      </c>
      <c r="S229" s="25" t="str">
        <f aca="true">IF(J229="","",J229-TODAY())</f>
        <v/>
      </c>
      <c r="T229" s="24" t="str">
        <f aca="false">IF(A229="","",IF(OR(AND(R229&lt;&gt;"",R229&lt;0),AND(S229&lt;&gt;"",S229&lt;0)),"EXPIRED",IF(OR(AND(R229&lt;&gt;"",R229&lt;=Settings!$B$15),AND(S229&lt;&gt;"",S229&lt;=Settings!$B$15)),"EXPIRING SOON","OK")))</f>
        <v/>
      </c>
      <c r="U229" s="24" t="str">
        <f aca="false">IF(AND(C229="Own",Q229="Active"),COUNTIFS($C$5:C229,"Own",$Q$5:Q229,"Active"),"")</f>
        <v/>
      </c>
      <c r="V229" s="26" t="str">
        <f aca="false">IF(C229&lt;&gt;"Own","",IF(K229="Hourly",N229,(L229+M229)/(Settings!$B$11*Settings!$B$12)))</f>
        <v/>
      </c>
    </row>
    <row r="230" customFormat="false" ht="15" hidden="false" customHeight="false" outlineLevel="0" collapsed="false">
      <c r="R230" s="25" t="str">
        <f aca="true">IF(I230="","",I230-TODAY())</f>
        <v/>
      </c>
      <c r="S230" s="25" t="str">
        <f aca="true">IF(J230="","",J230-TODAY())</f>
        <v/>
      </c>
      <c r="T230" s="24" t="str">
        <f aca="false">IF(A230="","",IF(OR(AND(R230&lt;&gt;"",R230&lt;0),AND(S230&lt;&gt;"",S230&lt;0)),"EXPIRED",IF(OR(AND(R230&lt;&gt;"",R230&lt;=Settings!$B$15),AND(S230&lt;&gt;"",S230&lt;=Settings!$B$15)),"EXPIRING SOON","OK")))</f>
        <v/>
      </c>
      <c r="U230" s="24" t="str">
        <f aca="false">IF(AND(C230="Own",Q230="Active"),COUNTIFS($C$5:C230,"Own",$Q$5:Q230,"Active"),"")</f>
        <v/>
      </c>
      <c r="V230" s="26" t="str">
        <f aca="false">IF(C230&lt;&gt;"Own","",IF(K230="Hourly",N230,(L230+M230)/(Settings!$B$11*Settings!$B$12)))</f>
        <v/>
      </c>
    </row>
    <row r="231" customFormat="false" ht="15" hidden="false" customHeight="false" outlineLevel="0" collapsed="false">
      <c r="R231" s="25" t="str">
        <f aca="true">IF(I231="","",I231-TODAY())</f>
        <v/>
      </c>
      <c r="S231" s="25" t="str">
        <f aca="true">IF(J231="","",J231-TODAY())</f>
        <v/>
      </c>
      <c r="T231" s="24" t="str">
        <f aca="false">IF(A231="","",IF(OR(AND(R231&lt;&gt;"",R231&lt;0),AND(S231&lt;&gt;"",S231&lt;0)),"EXPIRED",IF(OR(AND(R231&lt;&gt;"",R231&lt;=Settings!$B$15),AND(S231&lt;&gt;"",S231&lt;=Settings!$B$15)),"EXPIRING SOON","OK")))</f>
        <v/>
      </c>
      <c r="U231" s="24" t="str">
        <f aca="false">IF(AND(C231="Own",Q231="Active"),COUNTIFS($C$5:C231,"Own",$Q$5:Q231,"Active"),"")</f>
        <v/>
      </c>
      <c r="V231" s="26" t="str">
        <f aca="false">IF(C231&lt;&gt;"Own","",IF(K231="Hourly",N231,(L231+M231)/(Settings!$B$11*Settings!$B$12)))</f>
        <v/>
      </c>
    </row>
    <row r="232" customFormat="false" ht="15" hidden="false" customHeight="false" outlineLevel="0" collapsed="false">
      <c r="R232" s="25" t="str">
        <f aca="true">IF(I232="","",I232-TODAY())</f>
        <v/>
      </c>
      <c r="S232" s="25" t="str">
        <f aca="true">IF(J232="","",J232-TODAY())</f>
        <v/>
      </c>
      <c r="T232" s="24" t="str">
        <f aca="false">IF(A232="","",IF(OR(AND(R232&lt;&gt;"",R232&lt;0),AND(S232&lt;&gt;"",S232&lt;0)),"EXPIRED",IF(OR(AND(R232&lt;&gt;"",R232&lt;=Settings!$B$15),AND(S232&lt;&gt;"",S232&lt;=Settings!$B$15)),"EXPIRING SOON","OK")))</f>
        <v/>
      </c>
      <c r="U232" s="24" t="str">
        <f aca="false">IF(AND(C232="Own",Q232="Active"),COUNTIFS($C$5:C232,"Own",$Q$5:Q232,"Active"),"")</f>
        <v/>
      </c>
      <c r="V232" s="26" t="str">
        <f aca="false">IF(C232&lt;&gt;"Own","",IF(K232="Hourly",N232,(L232+M232)/(Settings!$B$11*Settings!$B$12)))</f>
        <v/>
      </c>
    </row>
    <row r="233" customFormat="false" ht="15" hidden="false" customHeight="false" outlineLevel="0" collapsed="false">
      <c r="R233" s="25" t="str">
        <f aca="true">IF(I233="","",I233-TODAY())</f>
        <v/>
      </c>
      <c r="S233" s="25" t="str">
        <f aca="true">IF(J233="","",J233-TODAY())</f>
        <v/>
      </c>
      <c r="T233" s="24" t="str">
        <f aca="false">IF(A233="","",IF(OR(AND(R233&lt;&gt;"",R233&lt;0),AND(S233&lt;&gt;"",S233&lt;0)),"EXPIRED",IF(OR(AND(R233&lt;&gt;"",R233&lt;=Settings!$B$15),AND(S233&lt;&gt;"",S233&lt;=Settings!$B$15)),"EXPIRING SOON","OK")))</f>
        <v/>
      </c>
      <c r="U233" s="24" t="str">
        <f aca="false">IF(AND(C233="Own",Q233="Active"),COUNTIFS($C$5:C233,"Own",$Q$5:Q233,"Active"),"")</f>
        <v/>
      </c>
      <c r="V233" s="26" t="str">
        <f aca="false">IF(C233&lt;&gt;"Own","",IF(K233="Hourly",N233,(L233+M233)/(Settings!$B$11*Settings!$B$12)))</f>
        <v/>
      </c>
    </row>
    <row r="234" customFormat="false" ht="15" hidden="false" customHeight="false" outlineLevel="0" collapsed="false">
      <c r="R234" s="25" t="str">
        <f aca="true">IF(I234="","",I234-TODAY())</f>
        <v/>
      </c>
      <c r="S234" s="25" t="str">
        <f aca="true">IF(J234="","",J234-TODAY())</f>
        <v/>
      </c>
      <c r="T234" s="24" t="str">
        <f aca="false">IF(A234="","",IF(OR(AND(R234&lt;&gt;"",R234&lt;0),AND(S234&lt;&gt;"",S234&lt;0)),"EXPIRED",IF(OR(AND(R234&lt;&gt;"",R234&lt;=Settings!$B$15),AND(S234&lt;&gt;"",S234&lt;=Settings!$B$15)),"EXPIRING SOON","OK")))</f>
        <v/>
      </c>
      <c r="U234" s="24" t="str">
        <f aca="false">IF(AND(C234="Own",Q234="Active"),COUNTIFS($C$5:C234,"Own",$Q$5:Q234,"Active"),"")</f>
        <v/>
      </c>
      <c r="V234" s="26" t="str">
        <f aca="false">IF(C234&lt;&gt;"Own","",IF(K234="Hourly",N234,(L234+M234)/(Settings!$B$11*Settings!$B$12)))</f>
        <v/>
      </c>
    </row>
    <row r="235" customFormat="false" ht="15" hidden="false" customHeight="false" outlineLevel="0" collapsed="false">
      <c r="R235" s="25" t="str">
        <f aca="true">IF(I235="","",I235-TODAY())</f>
        <v/>
      </c>
      <c r="S235" s="25" t="str">
        <f aca="true">IF(J235="","",J235-TODAY())</f>
        <v/>
      </c>
      <c r="T235" s="24" t="str">
        <f aca="false">IF(A235="","",IF(OR(AND(R235&lt;&gt;"",R235&lt;0),AND(S235&lt;&gt;"",S235&lt;0)),"EXPIRED",IF(OR(AND(R235&lt;&gt;"",R235&lt;=Settings!$B$15),AND(S235&lt;&gt;"",S235&lt;=Settings!$B$15)),"EXPIRING SOON","OK")))</f>
        <v/>
      </c>
      <c r="U235" s="24" t="str">
        <f aca="false">IF(AND(C235="Own",Q235="Active"),COUNTIFS($C$5:C235,"Own",$Q$5:Q235,"Active"),"")</f>
        <v/>
      </c>
      <c r="V235" s="26" t="str">
        <f aca="false">IF(C235&lt;&gt;"Own","",IF(K235="Hourly",N235,(L235+M235)/(Settings!$B$11*Settings!$B$12)))</f>
        <v/>
      </c>
    </row>
    <row r="236" customFormat="false" ht="15" hidden="false" customHeight="false" outlineLevel="0" collapsed="false">
      <c r="R236" s="25" t="str">
        <f aca="true">IF(I236="","",I236-TODAY())</f>
        <v/>
      </c>
      <c r="S236" s="25" t="str">
        <f aca="true">IF(J236="","",J236-TODAY())</f>
        <v/>
      </c>
      <c r="T236" s="24" t="str">
        <f aca="false">IF(A236="","",IF(OR(AND(R236&lt;&gt;"",R236&lt;0),AND(S236&lt;&gt;"",S236&lt;0)),"EXPIRED",IF(OR(AND(R236&lt;&gt;"",R236&lt;=Settings!$B$15),AND(S236&lt;&gt;"",S236&lt;=Settings!$B$15)),"EXPIRING SOON","OK")))</f>
        <v/>
      </c>
      <c r="U236" s="24" t="str">
        <f aca="false">IF(AND(C236="Own",Q236="Active"),COUNTIFS($C$5:C236,"Own",$Q$5:Q236,"Active"),"")</f>
        <v/>
      </c>
      <c r="V236" s="26" t="str">
        <f aca="false">IF(C236&lt;&gt;"Own","",IF(K236="Hourly",N236,(L236+M236)/(Settings!$B$11*Settings!$B$12)))</f>
        <v/>
      </c>
    </row>
    <row r="237" customFormat="false" ht="15" hidden="false" customHeight="false" outlineLevel="0" collapsed="false">
      <c r="R237" s="25" t="str">
        <f aca="true">IF(I237="","",I237-TODAY())</f>
        <v/>
      </c>
      <c r="S237" s="25" t="str">
        <f aca="true">IF(J237="","",J237-TODAY())</f>
        <v/>
      </c>
      <c r="T237" s="24" t="str">
        <f aca="false">IF(A237="","",IF(OR(AND(R237&lt;&gt;"",R237&lt;0),AND(S237&lt;&gt;"",S237&lt;0)),"EXPIRED",IF(OR(AND(R237&lt;&gt;"",R237&lt;=Settings!$B$15),AND(S237&lt;&gt;"",S237&lt;=Settings!$B$15)),"EXPIRING SOON","OK")))</f>
        <v/>
      </c>
      <c r="U237" s="24" t="str">
        <f aca="false">IF(AND(C237="Own",Q237="Active"),COUNTIFS($C$5:C237,"Own",$Q$5:Q237,"Active"),"")</f>
        <v/>
      </c>
      <c r="V237" s="26" t="str">
        <f aca="false">IF(C237&lt;&gt;"Own","",IF(K237="Hourly",N237,(L237+M237)/(Settings!$B$11*Settings!$B$12)))</f>
        <v/>
      </c>
    </row>
    <row r="238" customFormat="false" ht="15" hidden="false" customHeight="false" outlineLevel="0" collapsed="false">
      <c r="R238" s="25" t="str">
        <f aca="true">IF(I238="","",I238-TODAY())</f>
        <v/>
      </c>
      <c r="S238" s="25" t="str">
        <f aca="true">IF(J238="","",J238-TODAY())</f>
        <v/>
      </c>
      <c r="T238" s="24" t="str">
        <f aca="false">IF(A238="","",IF(OR(AND(R238&lt;&gt;"",R238&lt;0),AND(S238&lt;&gt;"",S238&lt;0)),"EXPIRED",IF(OR(AND(R238&lt;&gt;"",R238&lt;=Settings!$B$15),AND(S238&lt;&gt;"",S238&lt;=Settings!$B$15)),"EXPIRING SOON","OK")))</f>
        <v/>
      </c>
      <c r="U238" s="24" t="str">
        <f aca="false">IF(AND(C238="Own",Q238="Active"),COUNTIFS($C$5:C238,"Own",$Q$5:Q238,"Active"),"")</f>
        <v/>
      </c>
      <c r="V238" s="26" t="str">
        <f aca="false">IF(C238&lt;&gt;"Own","",IF(K238="Hourly",N238,(L238+M238)/(Settings!$B$11*Settings!$B$12)))</f>
        <v/>
      </c>
    </row>
    <row r="239" customFormat="false" ht="15" hidden="false" customHeight="false" outlineLevel="0" collapsed="false">
      <c r="R239" s="25" t="str">
        <f aca="true">IF(I239="","",I239-TODAY())</f>
        <v/>
      </c>
      <c r="S239" s="25" t="str">
        <f aca="true">IF(J239="","",J239-TODAY())</f>
        <v/>
      </c>
      <c r="T239" s="24" t="str">
        <f aca="false">IF(A239="","",IF(OR(AND(R239&lt;&gt;"",R239&lt;0),AND(S239&lt;&gt;"",S239&lt;0)),"EXPIRED",IF(OR(AND(R239&lt;&gt;"",R239&lt;=Settings!$B$15),AND(S239&lt;&gt;"",S239&lt;=Settings!$B$15)),"EXPIRING SOON","OK")))</f>
        <v/>
      </c>
      <c r="U239" s="24" t="str">
        <f aca="false">IF(AND(C239="Own",Q239="Active"),COUNTIFS($C$5:C239,"Own",$Q$5:Q239,"Active"),"")</f>
        <v/>
      </c>
      <c r="V239" s="26" t="str">
        <f aca="false">IF(C239&lt;&gt;"Own","",IF(K239="Hourly",N239,(L239+M239)/(Settings!$B$11*Settings!$B$12)))</f>
        <v/>
      </c>
    </row>
    <row r="240" customFormat="false" ht="15" hidden="false" customHeight="false" outlineLevel="0" collapsed="false">
      <c r="R240" s="25" t="str">
        <f aca="true">IF(I240="","",I240-TODAY())</f>
        <v/>
      </c>
      <c r="S240" s="25" t="str">
        <f aca="true">IF(J240="","",J240-TODAY())</f>
        <v/>
      </c>
      <c r="T240" s="24" t="str">
        <f aca="false">IF(A240="","",IF(OR(AND(R240&lt;&gt;"",R240&lt;0),AND(S240&lt;&gt;"",S240&lt;0)),"EXPIRED",IF(OR(AND(R240&lt;&gt;"",R240&lt;=Settings!$B$15),AND(S240&lt;&gt;"",S240&lt;=Settings!$B$15)),"EXPIRING SOON","OK")))</f>
        <v/>
      </c>
      <c r="U240" s="24" t="str">
        <f aca="false">IF(AND(C240="Own",Q240="Active"),COUNTIFS($C$5:C240,"Own",$Q$5:Q240,"Active"),"")</f>
        <v/>
      </c>
      <c r="V240" s="26" t="str">
        <f aca="false">IF(C240&lt;&gt;"Own","",IF(K240="Hourly",N240,(L240+M240)/(Settings!$B$11*Settings!$B$12)))</f>
        <v/>
      </c>
    </row>
    <row r="241" customFormat="false" ht="15" hidden="false" customHeight="false" outlineLevel="0" collapsed="false">
      <c r="R241" s="25" t="str">
        <f aca="true">IF(I241="","",I241-TODAY())</f>
        <v/>
      </c>
      <c r="S241" s="25" t="str">
        <f aca="true">IF(J241="","",J241-TODAY())</f>
        <v/>
      </c>
      <c r="T241" s="24" t="str">
        <f aca="false">IF(A241="","",IF(OR(AND(R241&lt;&gt;"",R241&lt;0),AND(S241&lt;&gt;"",S241&lt;0)),"EXPIRED",IF(OR(AND(R241&lt;&gt;"",R241&lt;=Settings!$B$15),AND(S241&lt;&gt;"",S241&lt;=Settings!$B$15)),"EXPIRING SOON","OK")))</f>
        <v/>
      </c>
      <c r="U241" s="24" t="str">
        <f aca="false">IF(AND(C241="Own",Q241="Active"),COUNTIFS($C$5:C241,"Own",$Q$5:Q241,"Active"),"")</f>
        <v/>
      </c>
      <c r="V241" s="26" t="str">
        <f aca="false">IF(C241&lt;&gt;"Own","",IF(K241="Hourly",N241,(L241+M241)/(Settings!$B$11*Settings!$B$12)))</f>
        <v/>
      </c>
    </row>
    <row r="242" customFormat="false" ht="15" hidden="false" customHeight="false" outlineLevel="0" collapsed="false">
      <c r="R242" s="25" t="str">
        <f aca="true">IF(I242="","",I242-TODAY())</f>
        <v/>
      </c>
      <c r="S242" s="25" t="str">
        <f aca="true">IF(J242="","",J242-TODAY())</f>
        <v/>
      </c>
      <c r="T242" s="24" t="str">
        <f aca="false">IF(A242="","",IF(OR(AND(R242&lt;&gt;"",R242&lt;0),AND(S242&lt;&gt;"",S242&lt;0)),"EXPIRED",IF(OR(AND(R242&lt;&gt;"",R242&lt;=Settings!$B$15),AND(S242&lt;&gt;"",S242&lt;=Settings!$B$15)),"EXPIRING SOON","OK")))</f>
        <v/>
      </c>
      <c r="U242" s="24" t="str">
        <f aca="false">IF(AND(C242="Own",Q242="Active"),COUNTIFS($C$5:C242,"Own",$Q$5:Q242,"Active"),"")</f>
        <v/>
      </c>
      <c r="V242" s="26" t="str">
        <f aca="false">IF(C242&lt;&gt;"Own","",IF(K242="Hourly",N242,(L242+M242)/(Settings!$B$11*Settings!$B$12)))</f>
        <v/>
      </c>
    </row>
    <row r="243" customFormat="false" ht="15" hidden="false" customHeight="false" outlineLevel="0" collapsed="false">
      <c r="R243" s="25" t="str">
        <f aca="true">IF(I243="","",I243-TODAY())</f>
        <v/>
      </c>
      <c r="S243" s="25" t="str">
        <f aca="true">IF(J243="","",J243-TODAY())</f>
        <v/>
      </c>
      <c r="T243" s="24" t="str">
        <f aca="false">IF(A243="","",IF(OR(AND(R243&lt;&gt;"",R243&lt;0),AND(S243&lt;&gt;"",S243&lt;0)),"EXPIRED",IF(OR(AND(R243&lt;&gt;"",R243&lt;=Settings!$B$15),AND(S243&lt;&gt;"",S243&lt;=Settings!$B$15)),"EXPIRING SOON","OK")))</f>
        <v/>
      </c>
      <c r="U243" s="24" t="str">
        <f aca="false">IF(AND(C243="Own",Q243="Active"),COUNTIFS($C$5:C243,"Own",$Q$5:Q243,"Active"),"")</f>
        <v/>
      </c>
      <c r="V243" s="26" t="str">
        <f aca="false">IF(C243&lt;&gt;"Own","",IF(K243="Hourly",N243,(L243+M243)/(Settings!$B$11*Settings!$B$12)))</f>
        <v/>
      </c>
    </row>
    <row r="244" customFormat="false" ht="15" hidden="false" customHeight="false" outlineLevel="0" collapsed="false">
      <c r="R244" s="25" t="str">
        <f aca="true">IF(I244="","",I244-TODAY())</f>
        <v/>
      </c>
      <c r="S244" s="25" t="str">
        <f aca="true">IF(J244="","",J244-TODAY())</f>
        <v/>
      </c>
      <c r="T244" s="24" t="str">
        <f aca="false">IF(A244="","",IF(OR(AND(R244&lt;&gt;"",R244&lt;0),AND(S244&lt;&gt;"",S244&lt;0)),"EXPIRED",IF(OR(AND(R244&lt;&gt;"",R244&lt;=Settings!$B$15),AND(S244&lt;&gt;"",S244&lt;=Settings!$B$15)),"EXPIRING SOON","OK")))</f>
        <v/>
      </c>
      <c r="U244" s="24" t="str">
        <f aca="false">IF(AND(C244="Own",Q244="Active"),COUNTIFS($C$5:C244,"Own",$Q$5:Q244,"Active"),"")</f>
        <v/>
      </c>
      <c r="V244" s="26" t="str">
        <f aca="false">IF(C244&lt;&gt;"Own","",IF(K244="Hourly",N244,(L244+M244)/(Settings!$B$11*Settings!$B$12)))</f>
        <v/>
      </c>
    </row>
    <row r="245" customFormat="false" ht="15" hidden="false" customHeight="false" outlineLevel="0" collapsed="false">
      <c r="R245" s="25" t="str">
        <f aca="true">IF(I245="","",I245-TODAY())</f>
        <v/>
      </c>
      <c r="S245" s="25" t="str">
        <f aca="true">IF(J245="","",J245-TODAY())</f>
        <v/>
      </c>
      <c r="T245" s="24" t="str">
        <f aca="false">IF(A245="","",IF(OR(AND(R245&lt;&gt;"",R245&lt;0),AND(S245&lt;&gt;"",S245&lt;0)),"EXPIRED",IF(OR(AND(R245&lt;&gt;"",R245&lt;=Settings!$B$15),AND(S245&lt;&gt;"",S245&lt;=Settings!$B$15)),"EXPIRING SOON","OK")))</f>
        <v/>
      </c>
      <c r="U245" s="24" t="str">
        <f aca="false">IF(AND(C245="Own",Q245="Active"),COUNTIFS($C$5:C245,"Own",$Q$5:Q245,"Active"),"")</f>
        <v/>
      </c>
      <c r="V245" s="26" t="str">
        <f aca="false">IF(C245&lt;&gt;"Own","",IF(K245="Hourly",N245,(L245+M245)/(Settings!$B$11*Settings!$B$12)))</f>
        <v/>
      </c>
    </row>
    <row r="246" customFormat="false" ht="15" hidden="false" customHeight="false" outlineLevel="0" collapsed="false">
      <c r="R246" s="25" t="str">
        <f aca="true">IF(I246="","",I246-TODAY())</f>
        <v/>
      </c>
      <c r="S246" s="25" t="str">
        <f aca="true">IF(J246="","",J246-TODAY())</f>
        <v/>
      </c>
      <c r="T246" s="24" t="str">
        <f aca="false">IF(A246="","",IF(OR(AND(R246&lt;&gt;"",R246&lt;0),AND(S246&lt;&gt;"",S246&lt;0)),"EXPIRED",IF(OR(AND(R246&lt;&gt;"",R246&lt;=Settings!$B$15),AND(S246&lt;&gt;"",S246&lt;=Settings!$B$15)),"EXPIRING SOON","OK")))</f>
        <v/>
      </c>
      <c r="U246" s="24" t="str">
        <f aca="false">IF(AND(C246="Own",Q246="Active"),COUNTIFS($C$5:C246,"Own",$Q$5:Q246,"Active"),"")</f>
        <v/>
      </c>
      <c r="V246" s="26" t="str">
        <f aca="false">IF(C246&lt;&gt;"Own","",IF(K246="Hourly",N246,(L246+M246)/(Settings!$B$11*Settings!$B$12)))</f>
        <v/>
      </c>
    </row>
    <row r="247" customFormat="false" ht="15" hidden="false" customHeight="false" outlineLevel="0" collapsed="false">
      <c r="R247" s="25" t="str">
        <f aca="true">IF(I247="","",I247-TODAY())</f>
        <v/>
      </c>
      <c r="S247" s="25" t="str">
        <f aca="true">IF(J247="","",J247-TODAY())</f>
        <v/>
      </c>
      <c r="T247" s="24" t="str">
        <f aca="false">IF(A247="","",IF(OR(AND(R247&lt;&gt;"",R247&lt;0),AND(S247&lt;&gt;"",S247&lt;0)),"EXPIRED",IF(OR(AND(R247&lt;&gt;"",R247&lt;=Settings!$B$15),AND(S247&lt;&gt;"",S247&lt;=Settings!$B$15)),"EXPIRING SOON","OK")))</f>
        <v/>
      </c>
      <c r="U247" s="24" t="str">
        <f aca="false">IF(AND(C247="Own",Q247="Active"),COUNTIFS($C$5:C247,"Own",$Q$5:Q247,"Active"),"")</f>
        <v/>
      </c>
      <c r="V247" s="26" t="str">
        <f aca="false">IF(C247&lt;&gt;"Own","",IF(K247="Hourly",N247,(L247+M247)/(Settings!$B$11*Settings!$B$12)))</f>
        <v/>
      </c>
    </row>
    <row r="248" customFormat="false" ht="15" hidden="false" customHeight="false" outlineLevel="0" collapsed="false">
      <c r="R248" s="25" t="str">
        <f aca="true">IF(I248="","",I248-TODAY())</f>
        <v/>
      </c>
      <c r="S248" s="25" t="str">
        <f aca="true">IF(J248="","",J248-TODAY())</f>
        <v/>
      </c>
      <c r="T248" s="24" t="str">
        <f aca="false">IF(A248="","",IF(OR(AND(R248&lt;&gt;"",R248&lt;0),AND(S248&lt;&gt;"",S248&lt;0)),"EXPIRED",IF(OR(AND(R248&lt;&gt;"",R248&lt;=Settings!$B$15),AND(S248&lt;&gt;"",S248&lt;=Settings!$B$15)),"EXPIRING SOON","OK")))</f>
        <v/>
      </c>
      <c r="U248" s="24" t="str">
        <f aca="false">IF(AND(C248="Own",Q248="Active"),COUNTIFS($C$5:C248,"Own",$Q$5:Q248,"Active"),"")</f>
        <v/>
      </c>
      <c r="V248" s="26" t="str">
        <f aca="false">IF(C248&lt;&gt;"Own","",IF(K248="Hourly",N248,(L248+M248)/(Settings!$B$11*Settings!$B$12)))</f>
        <v/>
      </c>
    </row>
    <row r="249" customFormat="false" ht="15" hidden="false" customHeight="false" outlineLevel="0" collapsed="false">
      <c r="R249" s="25" t="str">
        <f aca="true">IF(I249="","",I249-TODAY())</f>
        <v/>
      </c>
      <c r="S249" s="25" t="str">
        <f aca="true">IF(J249="","",J249-TODAY())</f>
        <v/>
      </c>
      <c r="T249" s="24" t="str">
        <f aca="false">IF(A249="","",IF(OR(AND(R249&lt;&gt;"",R249&lt;0),AND(S249&lt;&gt;"",S249&lt;0)),"EXPIRED",IF(OR(AND(R249&lt;&gt;"",R249&lt;=Settings!$B$15),AND(S249&lt;&gt;"",S249&lt;=Settings!$B$15)),"EXPIRING SOON","OK")))</f>
        <v/>
      </c>
      <c r="U249" s="24" t="str">
        <f aca="false">IF(AND(C249="Own",Q249="Active"),COUNTIFS($C$5:C249,"Own",$Q$5:Q249,"Active"),"")</f>
        <v/>
      </c>
      <c r="V249" s="26" t="str">
        <f aca="false">IF(C249&lt;&gt;"Own","",IF(K249="Hourly",N249,(L249+M249)/(Settings!$B$11*Settings!$B$12)))</f>
        <v/>
      </c>
    </row>
    <row r="250" customFormat="false" ht="15" hidden="false" customHeight="false" outlineLevel="0" collapsed="false">
      <c r="R250" s="25" t="str">
        <f aca="true">IF(I250="","",I250-TODAY())</f>
        <v/>
      </c>
      <c r="S250" s="25" t="str">
        <f aca="true">IF(J250="","",J250-TODAY())</f>
        <v/>
      </c>
      <c r="T250" s="24" t="str">
        <f aca="false">IF(A250="","",IF(OR(AND(R250&lt;&gt;"",R250&lt;0),AND(S250&lt;&gt;"",S250&lt;0)),"EXPIRED",IF(OR(AND(R250&lt;&gt;"",R250&lt;=Settings!$B$15),AND(S250&lt;&gt;"",S250&lt;=Settings!$B$15)),"EXPIRING SOON","OK")))</f>
        <v/>
      </c>
      <c r="U250" s="24" t="str">
        <f aca="false">IF(AND(C250="Own",Q250="Active"),COUNTIFS($C$5:C250,"Own",$Q$5:Q250,"Active"),"")</f>
        <v/>
      </c>
      <c r="V250" s="26" t="str">
        <f aca="false">IF(C250&lt;&gt;"Own","",IF(K250="Hourly",N250,(L250+M250)/(Settings!$B$11*Settings!$B$12)))</f>
        <v/>
      </c>
    </row>
    <row r="251" customFormat="false" ht="15" hidden="false" customHeight="false" outlineLevel="0" collapsed="false">
      <c r="R251" s="25" t="str">
        <f aca="true">IF(I251="","",I251-TODAY())</f>
        <v/>
      </c>
      <c r="S251" s="25" t="str">
        <f aca="true">IF(J251="","",J251-TODAY())</f>
        <v/>
      </c>
      <c r="T251" s="24" t="str">
        <f aca="false">IF(A251="","",IF(OR(AND(R251&lt;&gt;"",R251&lt;0),AND(S251&lt;&gt;"",S251&lt;0)),"EXPIRED",IF(OR(AND(R251&lt;&gt;"",R251&lt;=Settings!$B$15),AND(S251&lt;&gt;"",S251&lt;=Settings!$B$15)),"EXPIRING SOON","OK")))</f>
        <v/>
      </c>
      <c r="U251" s="24" t="str">
        <f aca="false">IF(AND(C251="Own",Q251="Active"),COUNTIFS($C$5:C251,"Own",$Q$5:Q251,"Active"),"")</f>
        <v/>
      </c>
      <c r="V251" s="26" t="str">
        <f aca="false">IF(C251&lt;&gt;"Own","",IF(K251="Hourly",N251,(L251+M251)/(Settings!$B$11*Settings!$B$12)))</f>
        <v/>
      </c>
    </row>
    <row r="252" customFormat="false" ht="15" hidden="false" customHeight="false" outlineLevel="0" collapsed="false">
      <c r="R252" s="25" t="str">
        <f aca="true">IF(I252="","",I252-TODAY())</f>
        <v/>
      </c>
      <c r="S252" s="25" t="str">
        <f aca="true">IF(J252="","",J252-TODAY())</f>
        <v/>
      </c>
      <c r="T252" s="24" t="str">
        <f aca="false">IF(A252="","",IF(OR(AND(R252&lt;&gt;"",R252&lt;0),AND(S252&lt;&gt;"",S252&lt;0)),"EXPIRED",IF(OR(AND(R252&lt;&gt;"",R252&lt;=Settings!$B$15),AND(S252&lt;&gt;"",S252&lt;=Settings!$B$15)),"EXPIRING SOON","OK")))</f>
        <v/>
      </c>
      <c r="U252" s="24" t="str">
        <f aca="false">IF(AND(C252="Own",Q252="Active"),COUNTIFS($C$5:C252,"Own",$Q$5:Q252,"Active"),"")</f>
        <v/>
      </c>
      <c r="V252" s="26" t="str">
        <f aca="false">IF(C252&lt;&gt;"Own","",IF(K252="Hourly",N252,(L252+M252)/(Settings!$B$11*Settings!$B$12)))</f>
        <v/>
      </c>
    </row>
    <row r="253" customFormat="false" ht="15" hidden="false" customHeight="false" outlineLevel="0" collapsed="false">
      <c r="R253" s="25" t="str">
        <f aca="true">IF(I253="","",I253-TODAY())</f>
        <v/>
      </c>
      <c r="S253" s="25" t="str">
        <f aca="true">IF(J253="","",J253-TODAY())</f>
        <v/>
      </c>
      <c r="T253" s="24" t="str">
        <f aca="false">IF(A253="","",IF(OR(AND(R253&lt;&gt;"",R253&lt;0),AND(S253&lt;&gt;"",S253&lt;0)),"EXPIRED",IF(OR(AND(R253&lt;&gt;"",R253&lt;=Settings!$B$15),AND(S253&lt;&gt;"",S253&lt;=Settings!$B$15)),"EXPIRING SOON","OK")))</f>
        <v/>
      </c>
      <c r="U253" s="24" t="str">
        <f aca="false">IF(AND(C253="Own",Q253="Active"),COUNTIFS($C$5:C253,"Own",$Q$5:Q253,"Active"),"")</f>
        <v/>
      </c>
      <c r="V253" s="26" t="str">
        <f aca="false">IF(C253&lt;&gt;"Own","",IF(K253="Hourly",N253,(L253+M253)/(Settings!$B$11*Settings!$B$12)))</f>
        <v/>
      </c>
    </row>
    <row r="254" customFormat="false" ht="15" hidden="false" customHeight="false" outlineLevel="0" collapsed="false">
      <c r="R254" s="25" t="str">
        <f aca="true">IF(I254="","",I254-TODAY())</f>
        <v/>
      </c>
      <c r="S254" s="25" t="str">
        <f aca="true">IF(J254="","",J254-TODAY())</f>
        <v/>
      </c>
      <c r="T254" s="24" t="str">
        <f aca="false">IF(A254="","",IF(OR(AND(R254&lt;&gt;"",R254&lt;0),AND(S254&lt;&gt;"",S254&lt;0)),"EXPIRED",IF(OR(AND(R254&lt;&gt;"",R254&lt;=Settings!$B$15),AND(S254&lt;&gt;"",S254&lt;=Settings!$B$15)),"EXPIRING SOON","OK")))</f>
        <v/>
      </c>
      <c r="U254" s="24" t="str">
        <f aca="false">IF(AND(C254="Own",Q254="Active"),COUNTIFS($C$5:C254,"Own",$Q$5:Q254,"Active"),"")</f>
        <v/>
      </c>
      <c r="V254" s="26" t="str">
        <f aca="false">IF(C254&lt;&gt;"Own","",IF(K254="Hourly",N254,(L254+M254)/(Settings!$B$11*Settings!$B$12)))</f>
        <v/>
      </c>
    </row>
    <row r="255" customFormat="false" ht="15" hidden="false" customHeight="false" outlineLevel="0" collapsed="false">
      <c r="R255" s="25" t="str">
        <f aca="true">IF(I255="","",I255-TODAY())</f>
        <v/>
      </c>
      <c r="S255" s="25" t="str">
        <f aca="true">IF(J255="","",J255-TODAY())</f>
        <v/>
      </c>
      <c r="T255" s="24" t="str">
        <f aca="false">IF(A255="","",IF(OR(AND(R255&lt;&gt;"",R255&lt;0),AND(S255&lt;&gt;"",S255&lt;0)),"EXPIRED",IF(OR(AND(R255&lt;&gt;"",R255&lt;=Settings!$B$15),AND(S255&lt;&gt;"",S255&lt;=Settings!$B$15)),"EXPIRING SOON","OK")))</f>
        <v/>
      </c>
      <c r="U255" s="24" t="str">
        <f aca="false">IF(AND(C255="Own",Q255="Active"),COUNTIFS($C$5:C255,"Own",$Q$5:Q255,"Active"),"")</f>
        <v/>
      </c>
      <c r="V255" s="26" t="str">
        <f aca="false">IF(C255&lt;&gt;"Own","",IF(K255="Hourly",N255,(L255+M255)/(Settings!$B$11*Settings!$B$12)))</f>
        <v/>
      </c>
    </row>
    <row r="256" customFormat="false" ht="15" hidden="false" customHeight="false" outlineLevel="0" collapsed="false">
      <c r="R256" s="25" t="str">
        <f aca="true">IF(I256="","",I256-TODAY())</f>
        <v/>
      </c>
      <c r="S256" s="25" t="str">
        <f aca="true">IF(J256="","",J256-TODAY())</f>
        <v/>
      </c>
      <c r="T256" s="24" t="str">
        <f aca="false">IF(A256="","",IF(OR(AND(R256&lt;&gt;"",R256&lt;0),AND(S256&lt;&gt;"",S256&lt;0)),"EXPIRED",IF(OR(AND(R256&lt;&gt;"",R256&lt;=Settings!$B$15),AND(S256&lt;&gt;"",S256&lt;=Settings!$B$15)),"EXPIRING SOON","OK")))</f>
        <v/>
      </c>
      <c r="U256" s="24" t="str">
        <f aca="false">IF(AND(C256="Own",Q256="Active"),COUNTIFS($C$5:C256,"Own",$Q$5:Q256,"Active"),"")</f>
        <v/>
      </c>
      <c r="V256" s="26" t="str">
        <f aca="false">IF(C256&lt;&gt;"Own","",IF(K256="Hourly",N256,(L256+M256)/(Settings!$B$11*Settings!$B$12)))</f>
        <v/>
      </c>
    </row>
    <row r="257" customFormat="false" ht="15" hidden="false" customHeight="false" outlineLevel="0" collapsed="false">
      <c r="R257" s="25" t="str">
        <f aca="true">IF(I257="","",I257-TODAY())</f>
        <v/>
      </c>
      <c r="S257" s="25" t="str">
        <f aca="true">IF(J257="","",J257-TODAY())</f>
        <v/>
      </c>
      <c r="T257" s="24" t="str">
        <f aca="false">IF(A257="","",IF(OR(AND(R257&lt;&gt;"",R257&lt;0),AND(S257&lt;&gt;"",S257&lt;0)),"EXPIRED",IF(OR(AND(R257&lt;&gt;"",R257&lt;=Settings!$B$15),AND(S257&lt;&gt;"",S257&lt;=Settings!$B$15)),"EXPIRING SOON","OK")))</f>
        <v/>
      </c>
      <c r="U257" s="24" t="str">
        <f aca="false">IF(AND(C257="Own",Q257="Active"),COUNTIFS($C$5:C257,"Own",$Q$5:Q257,"Active"),"")</f>
        <v/>
      </c>
      <c r="V257" s="26" t="str">
        <f aca="false">IF(C257&lt;&gt;"Own","",IF(K257="Hourly",N257,(L257+M257)/(Settings!$B$11*Settings!$B$12)))</f>
        <v/>
      </c>
    </row>
    <row r="258" customFormat="false" ht="15" hidden="false" customHeight="false" outlineLevel="0" collapsed="false">
      <c r="R258" s="25" t="str">
        <f aca="true">IF(I258="","",I258-TODAY())</f>
        <v/>
      </c>
      <c r="S258" s="25" t="str">
        <f aca="true">IF(J258="","",J258-TODAY())</f>
        <v/>
      </c>
      <c r="T258" s="24" t="str">
        <f aca="false">IF(A258="","",IF(OR(AND(R258&lt;&gt;"",R258&lt;0),AND(S258&lt;&gt;"",S258&lt;0)),"EXPIRED",IF(OR(AND(R258&lt;&gt;"",R258&lt;=Settings!$B$15),AND(S258&lt;&gt;"",S258&lt;=Settings!$B$15)),"EXPIRING SOON","OK")))</f>
        <v/>
      </c>
      <c r="U258" s="24" t="str">
        <f aca="false">IF(AND(C258="Own",Q258="Active"),COUNTIFS($C$5:C258,"Own",$Q$5:Q258,"Active"),"")</f>
        <v/>
      </c>
      <c r="V258" s="26" t="str">
        <f aca="false">IF(C258&lt;&gt;"Own","",IF(K258="Hourly",N258,(L258+M258)/(Settings!$B$11*Settings!$B$12)))</f>
        <v/>
      </c>
    </row>
    <row r="259" customFormat="false" ht="15" hidden="false" customHeight="false" outlineLevel="0" collapsed="false">
      <c r="R259" s="25" t="str">
        <f aca="true">IF(I259="","",I259-TODAY())</f>
        <v/>
      </c>
      <c r="S259" s="25" t="str">
        <f aca="true">IF(J259="","",J259-TODAY())</f>
        <v/>
      </c>
      <c r="T259" s="24" t="str">
        <f aca="false">IF(A259="","",IF(OR(AND(R259&lt;&gt;"",R259&lt;0),AND(S259&lt;&gt;"",S259&lt;0)),"EXPIRED",IF(OR(AND(R259&lt;&gt;"",R259&lt;=Settings!$B$15),AND(S259&lt;&gt;"",S259&lt;=Settings!$B$15)),"EXPIRING SOON","OK")))</f>
        <v/>
      </c>
      <c r="U259" s="24" t="str">
        <f aca="false">IF(AND(C259="Own",Q259="Active"),COUNTIFS($C$5:C259,"Own",$Q$5:Q259,"Active"),"")</f>
        <v/>
      </c>
      <c r="V259" s="26" t="str">
        <f aca="false">IF(C259&lt;&gt;"Own","",IF(K259="Hourly",N259,(L259+M259)/(Settings!$B$11*Settings!$B$12)))</f>
        <v/>
      </c>
    </row>
    <row r="260" customFormat="false" ht="15" hidden="false" customHeight="false" outlineLevel="0" collapsed="false">
      <c r="R260" s="25" t="str">
        <f aca="true">IF(I260="","",I260-TODAY())</f>
        <v/>
      </c>
      <c r="S260" s="25" t="str">
        <f aca="true">IF(J260="","",J260-TODAY())</f>
        <v/>
      </c>
      <c r="T260" s="24" t="str">
        <f aca="false">IF(A260="","",IF(OR(AND(R260&lt;&gt;"",R260&lt;0),AND(S260&lt;&gt;"",S260&lt;0)),"EXPIRED",IF(OR(AND(R260&lt;&gt;"",R260&lt;=Settings!$B$15),AND(S260&lt;&gt;"",S260&lt;=Settings!$B$15)),"EXPIRING SOON","OK")))</f>
        <v/>
      </c>
      <c r="U260" s="24" t="str">
        <f aca="false">IF(AND(C260="Own",Q260="Active"),COUNTIFS($C$5:C260,"Own",$Q$5:Q260,"Active"),"")</f>
        <v/>
      </c>
      <c r="V260" s="26" t="str">
        <f aca="false">IF(C260&lt;&gt;"Own","",IF(K260="Hourly",N260,(L260+M260)/(Settings!$B$11*Settings!$B$12)))</f>
        <v/>
      </c>
    </row>
    <row r="261" customFormat="false" ht="15" hidden="false" customHeight="false" outlineLevel="0" collapsed="false">
      <c r="R261" s="25" t="str">
        <f aca="true">IF(I261="","",I261-TODAY())</f>
        <v/>
      </c>
      <c r="S261" s="25" t="str">
        <f aca="true">IF(J261="","",J261-TODAY())</f>
        <v/>
      </c>
      <c r="T261" s="24" t="str">
        <f aca="false">IF(A261="","",IF(OR(AND(R261&lt;&gt;"",R261&lt;0),AND(S261&lt;&gt;"",S261&lt;0)),"EXPIRED",IF(OR(AND(R261&lt;&gt;"",R261&lt;=Settings!$B$15),AND(S261&lt;&gt;"",S261&lt;=Settings!$B$15)),"EXPIRING SOON","OK")))</f>
        <v/>
      </c>
      <c r="U261" s="24" t="str">
        <f aca="false">IF(AND(C261="Own",Q261="Active"),COUNTIFS($C$5:C261,"Own",$Q$5:Q261,"Active"),"")</f>
        <v/>
      </c>
      <c r="V261" s="26" t="str">
        <f aca="false">IF(C261&lt;&gt;"Own","",IF(K261="Hourly",N261,(L261+M261)/(Settings!$B$11*Settings!$B$12)))</f>
        <v/>
      </c>
    </row>
    <row r="262" customFormat="false" ht="15" hidden="false" customHeight="false" outlineLevel="0" collapsed="false">
      <c r="R262" s="25" t="str">
        <f aca="true">IF(I262="","",I262-TODAY())</f>
        <v/>
      </c>
      <c r="S262" s="25" t="str">
        <f aca="true">IF(J262="","",J262-TODAY())</f>
        <v/>
      </c>
      <c r="T262" s="24" t="str">
        <f aca="false">IF(A262="","",IF(OR(AND(R262&lt;&gt;"",R262&lt;0),AND(S262&lt;&gt;"",S262&lt;0)),"EXPIRED",IF(OR(AND(R262&lt;&gt;"",R262&lt;=Settings!$B$15),AND(S262&lt;&gt;"",S262&lt;=Settings!$B$15)),"EXPIRING SOON","OK")))</f>
        <v/>
      </c>
      <c r="U262" s="24" t="str">
        <f aca="false">IF(AND(C262="Own",Q262="Active"),COUNTIFS($C$5:C262,"Own",$Q$5:Q262,"Active"),"")</f>
        <v/>
      </c>
      <c r="V262" s="26" t="str">
        <f aca="false">IF(C262&lt;&gt;"Own","",IF(K262="Hourly",N262,(L262+M262)/(Settings!$B$11*Settings!$B$12)))</f>
        <v/>
      </c>
    </row>
    <row r="263" customFormat="false" ht="15" hidden="false" customHeight="false" outlineLevel="0" collapsed="false">
      <c r="R263" s="25" t="str">
        <f aca="true">IF(I263="","",I263-TODAY())</f>
        <v/>
      </c>
      <c r="S263" s="25" t="str">
        <f aca="true">IF(J263="","",J263-TODAY())</f>
        <v/>
      </c>
      <c r="T263" s="24" t="str">
        <f aca="false">IF(A263="","",IF(OR(AND(R263&lt;&gt;"",R263&lt;0),AND(S263&lt;&gt;"",S263&lt;0)),"EXPIRED",IF(OR(AND(R263&lt;&gt;"",R263&lt;=Settings!$B$15),AND(S263&lt;&gt;"",S263&lt;=Settings!$B$15)),"EXPIRING SOON","OK")))</f>
        <v/>
      </c>
      <c r="U263" s="24" t="str">
        <f aca="false">IF(AND(C263="Own",Q263="Active"),COUNTIFS($C$5:C263,"Own",$Q$5:Q263,"Active"),"")</f>
        <v/>
      </c>
      <c r="V263" s="26" t="str">
        <f aca="false">IF(C263&lt;&gt;"Own","",IF(K263="Hourly",N263,(L263+M263)/(Settings!$B$11*Settings!$B$12)))</f>
        <v/>
      </c>
    </row>
    <row r="264" customFormat="false" ht="15" hidden="false" customHeight="false" outlineLevel="0" collapsed="false">
      <c r="R264" s="25" t="str">
        <f aca="true">IF(I264="","",I264-TODAY())</f>
        <v/>
      </c>
      <c r="S264" s="25" t="str">
        <f aca="true">IF(J264="","",J264-TODAY())</f>
        <v/>
      </c>
      <c r="T264" s="24" t="str">
        <f aca="false">IF(A264="","",IF(OR(AND(R264&lt;&gt;"",R264&lt;0),AND(S264&lt;&gt;"",S264&lt;0)),"EXPIRED",IF(OR(AND(R264&lt;&gt;"",R264&lt;=Settings!$B$15),AND(S264&lt;&gt;"",S264&lt;=Settings!$B$15)),"EXPIRING SOON","OK")))</f>
        <v/>
      </c>
      <c r="U264" s="24" t="str">
        <f aca="false">IF(AND(C264="Own",Q264="Active"),COUNTIFS($C$5:C264,"Own",$Q$5:Q264,"Active"),"")</f>
        <v/>
      </c>
      <c r="V264" s="26" t="str">
        <f aca="false">IF(C264&lt;&gt;"Own","",IF(K264="Hourly",N264,(L264+M264)/(Settings!$B$11*Settings!$B$12)))</f>
        <v/>
      </c>
    </row>
    <row r="265" customFormat="false" ht="15" hidden="false" customHeight="false" outlineLevel="0" collapsed="false">
      <c r="R265" s="25" t="str">
        <f aca="true">IF(I265="","",I265-TODAY())</f>
        <v/>
      </c>
      <c r="S265" s="25" t="str">
        <f aca="true">IF(J265="","",J265-TODAY())</f>
        <v/>
      </c>
      <c r="T265" s="24" t="str">
        <f aca="false">IF(A265="","",IF(OR(AND(R265&lt;&gt;"",R265&lt;0),AND(S265&lt;&gt;"",S265&lt;0)),"EXPIRED",IF(OR(AND(R265&lt;&gt;"",R265&lt;=Settings!$B$15),AND(S265&lt;&gt;"",S265&lt;=Settings!$B$15)),"EXPIRING SOON","OK")))</f>
        <v/>
      </c>
      <c r="U265" s="24" t="str">
        <f aca="false">IF(AND(C265="Own",Q265="Active"),COUNTIFS($C$5:C265,"Own",$Q$5:Q265,"Active"),"")</f>
        <v/>
      </c>
      <c r="V265" s="26" t="str">
        <f aca="false">IF(C265&lt;&gt;"Own","",IF(K265="Hourly",N265,(L265+M265)/(Settings!$B$11*Settings!$B$12)))</f>
        <v/>
      </c>
    </row>
    <row r="266" customFormat="false" ht="15" hidden="false" customHeight="false" outlineLevel="0" collapsed="false">
      <c r="R266" s="25" t="str">
        <f aca="true">IF(I266="","",I266-TODAY())</f>
        <v/>
      </c>
      <c r="S266" s="25" t="str">
        <f aca="true">IF(J266="","",J266-TODAY())</f>
        <v/>
      </c>
      <c r="T266" s="24" t="str">
        <f aca="false">IF(A266="","",IF(OR(AND(R266&lt;&gt;"",R266&lt;0),AND(S266&lt;&gt;"",S266&lt;0)),"EXPIRED",IF(OR(AND(R266&lt;&gt;"",R266&lt;=Settings!$B$15),AND(S266&lt;&gt;"",S266&lt;=Settings!$B$15)),"EXPIRING SOON","OK")))</f>
        <v/>
      </c>
      <c r="U266" s="24" t="str">
        <f aca="false">IF(AND(C266="Own",Q266="Active"),COUNTIFS($C$5:C266,"Own",$Q$5:Q266,"Active"),"")</f>
        <v/>
      </c>
      <c r="V266" s="26" t="str">
        <f aca="false">IF(C266&lt;&gt;"Own","",IF(K266="Hourly",N266,(L266+M266)/(Settings!$B$11*Settings!$B$12)))</f>
        <v/>
      </c>
    </row>
    <row r="267" customFormat="false" ht="15" hidden="false" customHeight="false" outlineLevel="0" collapsed="false">
      <c r="R267" s="25" t="str">
        <f aca="true">IF(I267="","",I267-TODAY())</f>
        <v/>
      </c>
      <c r="S267" s="25" t="str">
        <f aca="true">IF(J267="","",J267-TODAY())</f>
        <v/>
      </c>
      <c r="T267" s="24" t="str">
        <f aca="false">IF(A267="","",IF(OR(AND(R267&lt;&gt;"",R267&lt;0),AND(S267&lt;&gt;"",S267&lt;0)),"EXPIRED",IF(OR(AND(R267&lt;&gt;"",R267&lt;=Settings!$B$15),AND(S267&lt;&gt;"",S267&lt;=Settings!$B$15)),"EXPIRING SOON","OK")))</f>
        <v/>
      </c>
      <c r="U267" s="24" t="str">
        <f aca="false">IF(AND(C267="Own",Q267="Active"),COUNTIFS($C$5:C267,"Own",$Q$5:Q267,"Active"),"")</f>
        <v/>
      </c>
      <c r="V267" s="26" t="str">
        <f aca="false">IF(C267&lt;&gt;"Own","",IF(K267="Hourly",N267,(L267+M267)/(Settings!$B$11*Settings!$B$12)))</f>
        <v/>
      </c>
    </row>
    <row r="268" customFormat="false" ht="15" hidden="false" customHeight="false" outlineLevel="0" collapsed="false">
      <c r="R268" s="25" t="str">
        <f aca="true">IF(I268="","",I268-TODAY())</f>
        <v/>
      </c>
      <c r="S268" s="25" t="str">
        <f aca="true">IF(J268="","",J268-TODAY())</f>
        <v/>
      </c>
      <c r="T268" s="24" t="str">
        <f aca="false">IF(A268="","",IF(OR(AND(R268&lt;&gt;"",R268&lt;0),AND(S268&lt;&gt;"",S268&lt;0)),"EXPIRED",IF(OR(AND(R268&lt;&gt;"",R268&lt;=Settings!$B$15),AND(S268&lt;&gt;"",S268&lt;=Settings!$B$15)),"EXPIRING SOON","OK")))</f>
        <v/>
      </c>
      <c r="U268" s="24" t="str">
        <f aca="false">IF(AND(C268="Own",Q268="Active"),COUNTIFS($C$5:C268,"Own",$Q$5:Q268,"Active"),"")</f>
        <v/>
      </c>
      <c r="V268" s="26" t="str">
        <f aca="false">IF(C268&lt;&gt;"Own","",IF(K268="Hourly",N268,(L268+M268)/(Settings!$B$11*Settings!$B$12)))</f>
        <v/>
      </c>
    </row>
    <row r="269" customFormat="false" ht="15" hidden="false" customHeight="false" outlineLevel="0" collapsed="false">
      <c r="R269" s="25" t="str">
        <f aca="true">IF(I269="","",I269-TODAY())</f>
        <v/>
      </c>
      <c r="S269" s="25" t="str">
        <f aca="true">IF(J269="","",J269-TODAY())</f>
        <v/>
      </c>
      <c r="T269" s="24" t="str">
        <f aca="false">IF(A269="","",IF(OR(AND(R269&lt;&gt;"",R269&lt;0),AND(S269&lt;&gt;"",S269&lt;0)),"EXPIRED",IF(OR(AND(R269&lt;&gt;"",R269&lt;=Settings!$B$15),AND(S269&lt;&gt;"",S269&lt;=Settings!$B$15)),"EXPIRING SOON","OK")))</f>
        <v/>
      </c>
      <c r="U269" s="24" t="str">
        <f aca="false">IF(AND(C269="Own",Q269="Active"),COUNTIFS($C$5:C269,"Own",$Q$5:Q269,"Active"),"")</f>
        <v/>
      </c>
      <c r="V269" s="26" t="str">
        <f aca="false">IF(C269&lt;&gt;"Own","",IF(K269="Hourly",N269,(L269+M269)/(Settings!$B$11*Settings!$B$12)))</f>
        <v/>
      </c>
    </row>
    <row r="270" customFormat="false" ht="15" hidden="false" customHeight="false" outlineLevel="0" collapsed="false">
      <c r="R270" s="25" t="str">
        <f aca="true">IF(I270="","",I270-TODAY())</f>
        <v/>
      </c>
      <c r="S270" s="25" t="str">
        <f aca="true">IF(J270="","",J270-TODAY())</f>
        <v/>
      </c>
      <c r="T270" s="24" t="str">
        <f aca="false">IF(A270="","",IF(OR(AND(R270&lt;&gt;"",R270&lt;0),AND(S270&lt;&gt;"",S270&lt;0)),"EXPIRED",IF(OR(AND(R270&lt;&gt;"",R270&lt;=Settings!$B$15),AND(S270&lt;&gt;"",S270&lt;=Settings!$B$15)),"EXPIRING SOON","OK")))</f>
        <v/>
      </c>
      <c r="U270" s="24" t="str">
        <f aca="false">IF(AND(C270="Own",Q270="Active"),COUNTIFS($C$5:C270,"Own",$Q$5:Q270,"Active"),"")</f>
        <v/>
      </c>
      <c r="V270" s="26" t="str">
        <f aca="false">IF(C270&lt;&gt;"Own","",IF(K270="Hourly",N270,(L270+M270)/(Settings!$B$11*Settings!$B$12)))</f>
        <v/>
      </c>
    </row>
    <row r="271" customFormat="false" ht="15" hidden="false" customHeight="false" outlineLevel="0" collapsed="false">
      <c r="R271" s="25" t="str">
        <f aca="true">IF(I271="","",I271-TODAY())</f>
        <v/>
      </c>
      <c r="S271" s="25" t="str">
        <f aca="true">IF(J271="","",J271-TODAY())</f>
        <v/>
      </c>
      <c r="T271" s="24" t="str">
        <f aca="false">IF(A271="","",IF(OR(AND(R271&lt;&gt;"",R271&lt;0),AND(S271&lt;&gt;"",S271&lt;0)),"EXPIRED",IF(OR(AND(R271&lt;&gt;"",R271&lt;=Settings!$B$15),AND(S271&lt;&gt;"",S271&lt;=Settings!$B$15)),"EXPIRING SOON","OK")))</f>
        <v/>
      </c>
      <c r="U271" s="24" t="str">
        <f aca="false">IF(AND(C271="Own",Q271="Active"),COUNTIFS($C$5:C271,"Own",$Q$5:Q271,"Active"),"")</f>
        <v/>
      </c>
      <c r="V271" s="26" t="str">
        <f aca="false">IF(C271&lt;&gt;"Own","",IF(K271="Hourly",N271,(L271+M271)/(Settings!$B$11*Settings!$B$12)))</f>
        <v/>
      </c>
    </row>
    <row r="272" customFormat="false" ht="15" hidden="false" customHeight="false" outlineLevel="0" collapsed="false">
      <c r="R272" s="25" t="str">
        <f aca="true">IF(I272="","",I272-TODAY())</f>
        <v/>
      </c>
      <c r="S272" s="25" t="str">
        <f aca="true">IF(J272="","",J272-TODAY())</f>
        <v/>
      </c>
      <c r="T272" s="24" t="str">
        <f aca="false">IF(A272="","",IF(OR(AND(R272&lt;&gt;"",R272&lt;0),AND(S272&lt;&gt;"",S272&lt;0)),"EXPIRED",IF(OR(AND(R272&lt;&gt;"",R272&lt;=Settings!$B$15),AND(S272&lt;&gt;"",S272&lt;=Settings!$B$15)),"EXPIRING SOON","OK")))</f>
        <v/>
      </c>
      <c r="U272" s="24" t="str">
        <f aca="false">IF(AND(C272="Own",Q272="Active"),COUNTIFS($C$5:C272,"Own",$Q$5:Q272,"Active"),"")</f>
        <v/>
      </c>
      <c r="V272" s="26" t="str">
        <f aca="false">IF(C272&lt;&gt;"Own","",IF(K272="Hourly",N272,(L272+M272)/(Settings!$B$11*Settings!$B$12)))</f>
        <v/>
      </c>
    </row>
    <row r="273" customFormat="false" ht="15" hidden="false" customHeight="false" outlineLevel="0" collapsed="false">
      <c r="R273" s="25" t="str">
        <f aca="true">IF(I273="","",I273-TODAY())</f>
        <v/>
      </c>
      <c r="S273" s="25" t="str">
        <f aca="true">IF(J273="","",J273-TODAY())</f>
        <v/>
      </c>
      <c r="T273" s="24" t="str">
        <f aca="false">IF(A273="","",IF(OR(AND(R273&lt;&gt;"",R273&lt;0),AND(S273&lt;&gt;"",S273&lt;0)),"EXPIRED",IF(OR(AND(R273&lt;&gt;"",R273&lt;=Settings!$B$15),AND(S273&lt;&gt;"",S273&lt;=Settings!$B$15)),"EXPIRING SOON","OK")))</f>
        <v/>
      </c>
      <c r="U273" s="24" t="str">
        <f aca="false">IF(AND(C273="Own",Q273="Active"),COUNTIFS($C$5:C273,"Own",$Q$5:Q273,"Active"),"")</f>
        <v/>
      </c>
      <c r="V273" s="26" t="str">
        <f aca="false">IF(C273&lt;&gt;"Own","",IF(K273="Hourly",N273,(L273+M273)/(Settings!$B$11*Settings!$B$12)))</f>
        <v/>
      </c>
    </row>
    <row r="274" customFormat="false" ht="15" hidden="false" customHeight="false" outlineLevel="0" collapsed="false">
      <c r="R274" s="25" t="str">
        <f aca="true">IF(I274="","",I274-TODAY())</f>
        <v/>
      </c>
      <c r="S274" s="25" t="str">
        <f aca="true">IF(J274="","",J274-TODAY())</f>
        <v/>
      </c>
      <c r="T274" s="24" t="str">
        <f aca="false">IF(A274="","",IF(OR(AND(R274&lt;&gt;"",R274&lt;0),AND(S274&lt;&gt;"",S274&lt;0)),"EXPIRED",IF(OR(AND(R274&lt;&gt;"",R274&lt;=Settings!$B$15),AND(S274&lt;&gt;"",S274&lt;=Settings!$B$15)),"EXPIRING SOON","OK")))</f>
        <v/>
      </c>
      <c r="U274" s="24" t="str">
        <f aca="false">IF(AND(C274="Own",Q274="Active"),COUNTIFS($C$5:C274,"Own",$Q$5:Q274,"Active"),"")</f>
        <v/>
      </c>
      <c r="V274" s="26" t="str">
        <f aca="false">IF(C274&lt;&gt;"Own","",IF(K274="Hourly",N274,(L274+M274)/(Settings!$B$11*Settings!$B$12)))</f>
        <v/>
      </c>
    </row>
    <row r="275" customFormat="false" ht="15" hidden="false" customHeight="false" outlineLevel="0" collapsed="false">
      <c r="R275" s="25" t="str">
        <f aca="true">IF(I275="","",I275-TODAY())</f>
        <v/>
      </c>
      <c r="S275" s="25" t="str">
        <f aca="true">IF(J275="","",J275-TODAY())</f>
        <v/>
      </c>
      <c r="T275" s="24" t="str">
        <f aca="false">IF(A275="","",IF(OR(AND(R275&lt;&gt;"",R275&lt;0),AND(S275&lt;&gt;"",S275&lt;0)),"EXPIRED",IF(OR(AND(R275&lt;&gt;"",R275&lt;=Settings!$B$15),AND(S275&lt;&gt;"",S275&lt;=Settings!$B$15)),"EXPIRING SOON","OK")))</f>
        <v/>
      </c>
      <c r="U275" s="24" t="str">
        <f aca="false">IF(AND(C275="Own",Q275="Active"),COUNTIFS($C$5:C275,"Own",$Q$5:Q275,"Active"),"")</f>
        <v/>
      </c>
      <c r="V275" s="26" t="str">
        <f aca="false">IF(C275&lt;&gt;"Own","",IF(K275="Hourly",N275,(L275+M275)/(Settings!$B$11*Settings!$B$12)))</f>
        <v/>
      </c>
    </row>
    <row r="276" customFormat="false" ht="15" hidden="false" customHeight="false" outlineLevel="0" collapsed="false">
      <c r="R276" s="25" t="str">
        <f aca="true">IF(I276="","",I276-TODAY())</f>
        <v/>
      </c>
      <c r="S276" s="25" t="str">
        <f aca="true">IF(J276="","",J276-TODAY())</f>
        <v/>
      </c>
      <c r="T276" s="24" t="str">
        <f aca="false">IF(A276="","",IF(OR(AND(R276&lt;&gt;"",R276&lt;0),AND(S276&lt;&gt;"",S276&lt;0)),"EXPIRED",IF(OR(AND(R276&lt;&gt;"",R276&lt;=Settings!$B$15),AND(S276&lt;&gt;"",S276&lt;=Settings!$B$15)),"EXPIRING SOON","OK")))</f>
        <v/>
      </c>
      <c r="U276" s="24" t="str">
        <f aca="false">IF(AND(C276="Own",Q276="Active"),COUNTIFS($C$5:C276,"Own",$Q$5:Q276,"Active"),"")</f>
        <v/>
      </c>
      <c r="V276" s="26" t="str">
        <f aca="false">IF(C276&lt;&gt;"Own","",IF(K276="Hourly",N276,(L276+M276)/(Settings!$B$11*Settings!$B$12)))</f>
        <v/>
      </c>
    </row>
    <row r="277" customFormat="false" ht="15" hidden="false" customHeight="false" outlineLevel="0" collapsed="false">
      <c r="R277" s="25" t="str">
        <f aca="true">IF(I277="","",I277-TODAY())</f>
        <v/>
      </c>
      <c r="S277" s="25" t="str">
        <f aca="true">IF(J277="","",J277-TODAY())</f>
        <v/>
      </c>
      <c r="T277" s="24" t="str">
        <f aca="false">IF(A277="","",IF(OR(AND(R277&lt;&gt;"",R277&lt;0),AND(S277&lt;&gt;"",S277&lt;0)),"EXPIRED",IF(OR(AND(R277&lt;&gt;"",R277&lt;=Settings!$B$15),AND(S277&lt;&gt;"",S277&lt;=Settings!$B$15)),"EXPIRING SOON","OK")))</f>
        <v/>
      </c>
      <c r="U277" s="24" t="str">
        <f aca="false">IF(AND(C277="Own",Q277="Active"),COUNTIFS($C$5:C277,"Own",$Q$5:Q277,"Active"),"")</f>
        <v/>
      </c>
      <c r="V277" s="26" t="str">
        <f aca="false">IF(C277&lt;&gt;"Own","",IF(K277="Hourly",N277,(L277+M277)/(Settings!$B$11*Settings!$B$12)))</f>
        <v/>
      </c>
    </row>
    <row r="278" customFormat="false" ht="15" hidden="false" customHeight="false" outlineLevel="0" collapsed="false">
      <c r="R278" s="25" t="str">
        <f aca="true">IF(I278="","",I278-TODAY())</f>
        <v/>
      </c>
      <c r="S278" s="25" t="str">
        <f aca="true">IF(J278="","",J278-TODAY())</f>
        <v/>
      </c>
      <c r="T278" s="24" t="str">
        <f aca="false">IF(A278="","",IF(OR(AND(R278&lt;&gt;"",R278&lt;0),AND(S278&lt;&gt;"",S278&lt;0)),"EXPIRED",IF(OR(AND(R278&lt;&gt;"",R278&lt;=Settings!$B$15),AND(S278&lt;&gt;"",S278&lt;=Settings!$B$15)),"EXPIRING SOON","OK")))</f>
        <v/>
      </c>
      <c r="U278" s="24" t="str">
        <f aca="false">IF(AND(C278="Own",Q278="Active"),COUNTIFS($C$5:C278,"Own",$Q$5:Q278,"Active"),"")</f>
        <v/>
      </c>
      <c r="V278" s="26" t="str">
        <f aca="false">IF(C278&lt;&gt;"Own","",IF(K278="Hourly",N278,(L278+M278)/(Settings!$B$11*Settings!$B$12)))</f>
        <v/>
      </c>
    </row>
    <row r="279" customFormat="false" ht="15" hidden="false" customHeight="false" outlineLevel="0" collapsed="false">
      <c r="R279" s="25" t="str">
        <f aca="true">IF(I279="","",I279-TODAY())</f>
        <v/>
      </c>
      <c r="S279" s="25" t="str">
        <f aca="true">IF(J279="","",J279-TODAY())</f>
        <v/>
      </c>
      <c r="T279" s="24" t="str">
        <f aca="false">IF(A279="","",IF(OR(AND(R279&lt;&gt;"",R279&lt;0),AND(S279&lt;&gt;"",S279&lt;0)),"EXPIRED",IF(OR(AND(R279&lt;&gt;"",R279&lt;=Settings!$B$15),AND(S279&lt;&gt;"",S279&lt;=Settings!$B$15)),"EXPIRING SOON","OK")))</f>
        <v/>
      </c>
      <c r="U279" s="24" t="str">
        <f aca="false">IF(AND(C279="Own",Q279="Active"),COUNTIFS($C$5:C279,"Own",$Q$5:Q279,"Active"),"")</f>
        <v/>
      </c>
      <c r="V279" s="26" t="str">
        <f aca="false">IF(C279&lt;&gt;"Own","",IF(K279="Hourly",N279,(L279+M279)/(Settings!$B$11*Settings!$B$12)))</f>
        <v/>
      </c>
    </row>
    <row r="280" customFormat="false" ht="15" hidden="false" customHeight="false" outlineLevel="0" collapsed="false">
      <c r="R280" s="25" t="str">
        <f aca="true">IF(I280="","",I280-TODAY())</f>
        <v/>
      </c>
      <c r="S280" s="25" t="str">
        <f aca="true">IF(J280="","",J280-TODAY())</f>
        <v/>
      </c>
      <c r="T280" s="24" t="str">
        <f aca="false">IF(A280="","",IF(OR(AND(R280&lt;&gt;"",R280&lt;0),AND(S280&lt;&gt;"",S280&lt;0)),"EXPIRED",IF(OR(AND(R280&lt;&gt;"",R280&lt;=Settings!$B$15),AND(S280&lt;&gt;"",S280&lt;=Settings!$B$15)),"EXPIRING SOON","OK")))</f>
        <v/>
      </c>
      <c r="U280" s="24" t="str">
        <f aca="false">IF(AND(C280="Own",Q280="Active"),COUNTIFS($C$5:C280,"Own",$Q$5:Q280,"Active"),"")</f>
        <v/>
      </c>
      <c r="V280" s="26" t="str">
        <f aca="false">IF(C280&lt;&gt;"Own","",IF(K280="Hourly",N280,(L280+M280)/(Settings!$B$11*Settings!$B$12)))</f>
        <v/>
      </c>
    </row>
    <row r="281" customFormat="false" ht="15" hidden="false" customHeight="false" outlineLevel="0" collapsed="false">
      <c r="R281" s="25" t="str">
        <f aca="true">IF(I281="","",I281-TODAY())</f>
        <v/>
      </c>
      <c r="S281" s="25" t="str">
        <f aca="true">IF(J281="","",J281-TODAY())</f>
        <v/>
      </c>
      <c r="T281" s="24" t="str">
        <f aca="false">IF(A281="","",IF(OR(AND(R281&lt;&gt;"",R281&lt;0),AND(S281&lt;&gt;"",S281&lt;0)),"EXPIRED",IF(OR(AND(R281&lt;&gt;"",R281&lt;=Settings!$B$15),AND(S281&lt;&gt;"",S281&lt;=Settings!$B$15)),"EXPIRING SOON","OK")))</f>
        <v/>
      </c>
      <c r="U281" s="24" t="str">
        <f aca="false">IF(AND(C281="Own",Q281="Active"),COUNTIFS($C$5:C281,"Own",$Q$5:Q281,"Active"),"")</f>
        <v/>
      </c>
      <c r="V281" s="26" t="str">
        <f aca="false">IF(C281&lt;&gt;"Own","",IF(K281="Hourly",N281,(L281+M281)/(Settings!$B$11*Settings!$B$12)))</f>
        <v/>
      </c>
    </row>
    <row r="282" customFormat="false" ht="15" hidden="false" customHeight="false" outlineLevel="0" collapsed="false">
      <c r="R282" s="25" t="str">
        <f aca="true">IF(I282="","",I282-TODAY())</f>
        <v/>
      </c>
      <c r="S282" s="25" t="str">
        <f aca="true">IF(J282="","",J282-TODAY())</f>
        <v/>
      </c>
      <c r="T282" s="24" t="str">
        <f aca="false">IF(A282="","",IF(OR(AND(R282&lt;&gt;"",R282&lt;0),AND(S282&lt;&gt;"",S282&lt;0)),"EXPIRED",IF(OR(AND(R282&lt;&gt;"",R282&lt;=Settings!$B$15),AND(S282&lt;&gt;"",S282&lt;=Settings!$B$15)),"EXPIRING SOON","OK")))</f>
        <v/>
      </c>
      <c r="U282" s="24" t="str">
        <f aca="false">IF(AND(C282="Own",Q282="Active"),COUNTIFS($C$5:C282,"Own",$Q$5:Q282,"Active"),"")</f>
        <v/>
      </c>
      <c r="V282" s="26" t="str">
        <f aca="false">IF(C282&lt;&gt;"Own","",IF(K282="Hourly",N282,(L282+M282)/(Settings!$B$11*Settings!$B$12)))</f>
        <v/>
      </c>
    </row>
    <row r="283" customFormat="false" ht="15" hidden="false" customHeight="false" outlineLevel="0" collapsed="false">
      <c r="R283" s="25" t="str">
        <f aca="true">IF(I283="","",I283-TODAY())</f>
        <v/>
      </c>
      <c r="S283" s="25" t="str">
        <f aca="true">IF(J283="","",J283-TODAY())</f>
        <v/>
      </c>
      <c r="T283" s="24" t="str">
        <f aca="false">IF(A283="","",IF(OR(AND(R283&lt;&gt;"",R283&lt;0),AND(S283&lt;&gt;"",S283&lt;0)),"EXPIRED",IF(OR(AND(R283&lt;&gt;"",R283&lt;=Settings!$B$15),AND(S283&lt;&gt;"",S283&lt;=Settings!$B$15)),"EXPIRING SOON","OK")))</f>
        <v/>
      </c>
      <c r="U283" s="24" t="str">
        <f aca="false">IF(AND(C283="Own",Q283="Active"),COUNTIFS($C$5:C283,"Own",$Q$5:Q283,"Active"),"")</f>
        <v/>
      </c>
      <c r="V283" s="26" t="str">
        <f aca="false">IF(C283&lt;&gt;"Own","",IF(K283="Hourly",N283,(L283+M283)/(Settings!$B$11*Settings!$B$12)))</f>
        <v/>
      </c>
    </row>
    <row r="284" customFormat="false" ht="15" hidden="false" customHeight="false" outlineLevel="0" collapsed="false">
      <c r="R284" s="25" t="str">
        <f aca="true">IF(I284="","",I284-TODAY())</f>
        <v/>
      </c>
      <c r="S284" s="25" t="str">
        <f aca="true">IF(J284="","",J284-TODAY())</f>
        <v/>
      </c>
      <c r="T284" s="24" t="str">
        <f aca="false">IF(A284="","",IF(OR(AND(R284&lt;&gt;"",R284&lt;0),AND(S284&lt;&gt;"",S284&lt;0)),"EXPIRED",IF(OR(AND(R284&lt;&gt;"",R284&lt;=Settings!$B$15),AND(S284&lt;&gt;"",S284&lt;=Settings!$B$15)),"EXPIRING SOON","OK")))</f>
        <v/>
      </c>
      <c r="U284" s="24" t="str">
        <f aca="false">IF(AND(C284="Own",Q284="Active"),COUNTIFS($C$5:C284,"Own",$Q$5:Q284,"Active"),"")</f>
        <v/>
      </c>
      <c r="V284" s="26" t="str">
        <f aca="false">IF(C284&lt;&gt;"Own","",IF(K284="Hourly",N284,(L284+M284)/(Settings!$B$11*Settings!$B$12)))</f>
        <v/>
      </c>
    </row>
    <row r="285" customFormat="false" ht="15" hidden="false" customHeight="false" outlineLevel="0" collapsed="false">
      <c r="R285" s="25" t="str">
        <f aca="true">IF(I285="","",I285-TODAY())</f>
        <v/>
      </c>
      <c r="S285" s="25" t="str">
        <f aca="true">IF(J285="","",J285-TODAY())</f>
        <v/>
      </c>
      <c r="T285" s="24" t="str">
        <f aca="false">IF(A285="","",IF(OR(AND(R285&lt;&gt;"",R285&lt;0),AND(S285&lt;&gt;"",S285&lt;0)),"EXPIRED",IF(OR(AND(R285&lt;&gt;"",R285&lt;=Settings!$B$15),AND(S285&lt;&gt;"",S285&lt;=Settings!$B$15)),"EXPIRING SOON","OK")))</f>
        <v/>
      </c>
      <c r="U285" s="24" t="str">
        <f aca="false">IF(AND(C285="Own",Q285="Active"),COUNTIFS($C$5:C285,"Own",$Q$5:Q285,"Active"),"")</f>
        <v/>
      </c>
      <c r="V285" s="26" t="str">
        <f aca="false">IF(C285&lt;&gt;"Own","",IF(K285="Hourly",N285,(L285+M285)/(Settings!$B$11*Settings!$B$12)))</f>
        <v/>
      </c>
    </row>
    <row r="286" customFormat="false" ht="15" hidden="false" customHeight="false" outlineLevel="0" collapsed="false">
      <c r="R286" s="25" t="str">
        <f aca="true">IF(I286="","",I286-TODAY())</f>
        <v/>
      </c>
      <c r="S286" s="25" t="str">
        <f aca="true">IF(J286="","",J286-TODAY())</f>
        <v/>
      </c>
      <c r="T286" s="24" t="str">
        <f aca="false">IF(A286="","",IF(OR(AND(R286&lt;&gt;"",R286&lt;0),AND(S286&lt;&gt;"",S286&lt;0)),"EXPIRED",IF(OR(AND(R286&lt;&gt;"",R286&lt;=Settings!$B$15),AND(S286&lt;&gt;"",S286&lt;=Settings!$B$15)),"EXPIRING SOON","OK")))</f>
        <v/>
      </c>
      <c r="U286" s="24" t="str">
        <f aca="false">IF(AND(C286="Own",Q286="Active"),COUNTIFS($C$5:C286,"Own",$Q$5:Q286,"Active"),"")</f>
        <v/>
      </c>
      <c r="V286" s="26" t="str">
        <f aca="false">IF(C286&lt;&gt;"Own","",IF(K286="Hourly",N286,(L286+M286)/(Settings!$B$11*Settings!$B$12)))</f>
        <v/>
      </c>
    </row>
    <row r="287" customFormat="false" ht="15" hidden="false" customHeight="false" outlineLevel="0" collapsed="false">
      <c r="R287" s="25" t="str">
        <f aca="true">IF(I287="","",I287-TODAY())</f>
        <v/>
      </c>
      <c r="S287" s="25" t="str">
        <f aca="true">IF(J287="","",J287-TODAY())</f>
        <v/>
      </c>
      <c r="T287" s="24" t="str">
        <f aca="false">IF(A287="","",IF(OR(AND(R287&lt;&gt;"",R287&lt;0),AND(S287&lt;&gt;"",S287&lt;0)),"EXPIRED",IF(OR(AND(R287&lt;&gt;"",R287&lt;=Settings!$B$15),AND(S287&lt;&gt;"",S287&lt;=Settings!$B$15)),"EXPIRING SOON","OK")))</f>
        <v/>
      </c>
      <c r="U287" s="24" t="str">
        <f aca="false">IF(AND(C287="Own",Q287="Active"),COUNTIFS($C$5:C287,"Own",$Q$5:Q287,"Active"),"")</f>
        <v/>
      </c>
      <c r="V287" s="26" t="str">
        <f aca="false">IF(C287&lt;&gt;"Own","",IF(K287="Hourly",N287,(L287+M287)/(Settings!$B$11*Settings!$B$12)))</f>
        <v/>
      </c>
    </row>
    <row r="288" customFormat="false" ht="15" hidden="false" customHeight="false" outlineLevel="0" collapsed="false">
      <c r="R288" s="25" t="str">
        <f aca="true">IF(I288="","",I288-TODAY())</f>
        <v/>
      </c>
      <c r="S288" s="25" t="str">
        <f aca="true">IF(J288="","",J288-TODAY())</f>
        <v/>
      </c>
      <c r="T288" s="24" t="str">
        <f aca="false">IF(A288="","",IF(OR(AND(R288&lt;&gt;"",R288&lt;0),AND(S288&lt;&gt;"",S288&lt;0)),"EXPIRED",IF(OR(AND(R288&lt;&gt;"",R288&lt;=Settings!$B$15),AND(S288&lt;&gt;"",S288&lt;=Settings!$B$15)),"EXPIRING SOON","OK")))</f>
        <v/>
      </c>
      <c r="U288" s="24" t="str">
        <f aca="false">IF(AND(C288="Own",Q288="Active"),COUNTIFS($C$5:C288,"Own",$Q$5:Q288,"Active"),"")</f>
        <v/>
      </c>
      <c r="V288" s="26" t="str">
        <f aca="false">IF(C288&lt;&gt;"Own","",IF(K288="Hourly",N288,(L288+M288)/(Settings!$B$11*Settings!$B$12)))</f>
        <v/>
      </c>
    </row>
    <row r="289" customFormat="false" ht="15" hidden="false" customHeight="false" outlineLevel="0" collapsed="false">
      <c r="R289" s="25" t="str">
        <f aca="true">IF(I289="","",I289-TODAY())</f>
        <v/>
      </c>
      <c r="S289" s="25" t="str">
        <f aca="true">IF(J289="","",J289-TODAY())</f>
        <v/>
      </c>
      <c r="T289" s="24" t="str">
        <f aca="false">IF(A289="","",IF(OR(AND(R289&lt;&gt;"",R289&lt;0),AND(S289&lt;&gt;"",S289&lt;0)),"EXPIRED",IF(OR(AND(R289&lt;&gt;"",R289&lt;=Settings!$B$15),AND(S289&lt;&gt;"",S289&lt;=Settings!$B$15)),"EXPIRING SOON","OK")))</f>
        <v/>
      </c>
      <c r="U289" s="24" t="str">
        <f aca="false">IF(AND(C289="Own",Q289="Active"),COUNTIFS($C$5:C289,"Own",$Q$5:Q289,"Active"),"")</f>
        <v/>
      </c>
      <c r="V289" s="26" t="str">
        <f aca="false">IF(C289&lt;&gt;"Own","",IF(K289="Hourly",N289,(L289+M289)/(Settings!$B$11*Settings!$B$12)))</f>
        <v/>
      </c>
    </row>
    <row r="290" customFormat="false" ht="15" hidden="false" customHeight="false" outlineLevel="0" collapsed="false">
      <c r="R290" s="25" t="str">
        <f aca="true">IF(I290="","",I290-TODAY())</f>
        <v/>
      </c>
      <c r="S290" s="25" t="str">
        <f aca="true">IF(J290="","",J290-TODAY())</f>
        <v/>
      </c>
      <c r="T290" s="24" t="str">
        <f aca="false">IF(A290="","",IF(OR(AND(R290&lt;&gt;"",R290&lt;0),AND(S290&lt;&gt;"",S290&lt;0)),"EXPIRED",IF(OR(AND(R290&lt;&gt;"",R290&lt;=Settings!$B$15),AND(S290&lt;&gt;"",S290&lt;=Settings!$B$15)),"EXPIRING SOON","OK")))</f>
        <v/>
      </c>
      <c r="U290" s="24" t="str">
        <f aca="false">IF(AND(C290="Own",Q290="Active"),COUNTIFS($C$5:C290,"Own",$Q$5:Q290,"Active"),"")</f>
        <v/>
      </c>
      <c r="V290" s="26" t="str">
        <f aca="false">IF(C290&lt;&gt;"Own","",IF(K290="Hourly",N290,(L290+M290)/(Settings!$B$11*Settings!$B$12)))</f>
        <v/>
      </c>
    </row>
    <row r="291" customFormat="false" ht="15" hidden="false" customHeight="false" outlineLevel="0" collapsed="false">
      <c r="R291" s="25" t="str">
        <f aca="true">IF(I291="","",I291-TODAY())</f>
        <v/>
      </c>
      <c r="S291" s="25" t="str">
        <f aca="true">IF(J291="","",J291-TODAY())</f>
        <v/>
      </c>
      <c r="T291" s="24" t="str">
        <f aca="false">IF(A291="","",IF(OR(AND(R291&lt;&gt;"",R291&lt;0),AND(S291&lt;&gt;"",S291&lt;0)),"EXPIRED",IF(OR(AND(R291&lt;&gt;"",R291&lt;=Settings!$B$15),AND(S291&lt;&gt;"",S291&lt;=Settings!$B$15)),"EXPIRING SOON","OK")))</f>
        <v/>
      </c>
      <c r="U291" s="24" t="str">
        <f aca="false">IF(AND(C291="Own",Q291="Active"),COUNTIFS($C$5:C291,"Own",$Q$5:Q291,"Active"),"")</f>
        <v/>
      </c>
      <c r="V291" s="26" t="str">
        <f aca="false">IF(C291&lt;&gt;"Own","",IF(K291="Hourly",N291,(L291+M291)/(Settings!$B$11*Settings!$B$12)))</f>
        <v/>
      </c>
    </row>
    <row r="292" customFormat="false" ht="15" hidden="false" customHeight="false" outlineLevel="0" collapsed="false">
      <c r="R292" s="25" t="str">
        <f aca="true">IF(I292="","",I292-TODAY())</f>
        <v/>
      </c>
      <c r="S292" s="25" t="str">
        <f aca="true">IF(J292="","",J292-TODAY())</f>
        <v/>
      </c>
      <c r="T292" s="24" t="str">
        <f aca="false">IF(A292="","",IF(OR(AND(R292&lt;&gt;"",R292&lt;0),AND(S292&lt;&gt;"",S292&lt;0)),"EXPIRED",IF(OR(AND(R292&lt;&gt;"",R292&lt;=Settings!$B$15),AND(S292&lt;&gt;"",S292&lt;=Settings!$B$15)),"EXPIRING SOON","OK")))</f>
        <v/>
      </c>
      <c r="U292" s="24" t="str">
        <f aca="false">IF(AND(C292="Own",Q292="Active"),COUNTIFS($C$5:C292,"Own",$Q$5:Q292,"Active"),"")</f>
        <v/>
      </c>
      <c r="V292" s="26" t="str">
        <f aca="false">IF(C292&lt;&gt;"Own","",IF(K292="Hourly",N292,(L292+M292)/(Settings!$B$11*Settings!$B$12)))</f>
        <v/>
      </c>
    </row>
    <row r="293" customFormat="false" ht="15" hidden="false" customHeight="false" outlineLevel="0" collapsed="false">
      <c r="R293" s="25" t="str">
        <f aca="true">IF(I293="","",I293-TODAY())</f>
        <v/>
      </c>
      <c r="S293" s="25" t="str">
        <f aca="true">IF(J293="","",J293-TODAY())</f>
        <v/>
      </c>
      <c r="T293" s="24" t="str">
        <f aca="false">IF(A293="","",IF(OR(AND(R293&lt;&gt;"",R293&lt;0),AND(S293&lt;&gt;"",S293&lt;0)),"EXPIRED",IF(OR(AND(R293&lt;&gt;"",R293&lt;=Settings!$B$15),AND(S293&lt;&gt;"",S293&lt;=Settings!$B$15)),"EXPIRING SOON","OK")))</f>
        <v/>
      </c>
      <c r="U293" s="24" t="str">
        <f aca="false">IF(AND(C293="Own",Q293="Active"),COUNTIFS($C$5:C293,"Own",$Q$5:Q293,"Active"),"")</f>
        <v/>
      </c>
      <c r="V293" s="26" t="str">
        <f aca="false">IF(C293&lt;&gt;"Own","",IF(K293="Hourly",N293,(L293+M293)/(Settings!$B$11*Settings!$B$12)))</f>
        <v/>
      </c>
    </row>
    <row r="294" customFormat="false" ht="15" hidden="false" customHeight="false" outlineLevel="0" collapsed="false">
      <c r="R294" s="25" t="str">
        <f aca="true">IF(I294="","",I294-TODAY())</f>
        <v/>
      </c>
      <c r="S294" s="25" t="str">
        <f aca="true">IF(J294="","",J294-TODAY())</f>
        <v/>
      </c>
      <c r="T294" s="24" t="str">
        <f aca="false">IF(A294="","",IF(OR(AND(R294&lt;&gt;"",R294&lt;0),AND(S294&lt;&gt;"",S294&lt;0)),"EXPIRED",IF(OR(AND(R294&lt;&gt;"",R294&lt;=Settings!$B$15),AND(S294&lt;&gt;"",S294&lt;=Settings!$B$15)),"EXPIRING SOON","OK")))</f>
        <v/>
      </c>
      <c r="U294" s="24" t="str">
        <f aca="false">IF(AND(C294="Own",Q294="Active"),COUNTIFS($C$5:C294,"Own",$Q$5:Q294,"Active"),"")</f>
        <v/>
      </c>
      <c r="V294" s="26" t="str">
        <f aca="false">IF(C294&lt;&gt;"Own","",IF(K294="Hourly",N294,(L294+M294)/(Settings!$B$11*Settings!$B$12)))</f>
        <v/>
      </c>
    </row>
    <row r="295" customFormat="false" ht="15" hidden="false" customHeight="false" outlineLevel="0" collapsed="false">
      <c r="R295" s="25" t="str">
        <f aca="true">IF(I295="","",I295-TODAY())</f>
        <v/>
      </c>
      <c r="S295" s="25" t="str">
        <f aca="true">IF(J295="","",J295-TODAY())</f>
        <v/>
      </c>
      <c r="T295" s="24" t="str">
        <f aca="false">IF(A295="","",IF(OR(AND(R295&lt;&gt;"",R295&lt;0),AND(S295&lt;&gt;"",S295&lt;0)),"EXPIRED",IF(OR(AND(R295&lt;&gt;"",R295&lt;=Settings!$B$15),AND(S295&lt;&gt;"",S295&lt;=Settings!$B$15)),"EXPIRING SOON","OK")))</f>
        <v/>
      </c>
      <c r="U295" s="24" t="str">
        <f aca="false">IF(AND(C295="Own",Q295="Active"),COUNTIFS($C$5:C295,"Own",$Q$5:Q295,"Active"),"")</f>
        <v/>
      </c>
      <c r="V295" s="26" t="str">
        <f aca="false">IF(C295&lt;&gt;"Own","",IF(K295="Hourly",N295,(L295+M295)/(Settings!$B$11*Settings!$B$12)))</f>
        <v/>
      </c>
    </row>
    <row r="296" customFormat="false" ht="15" hidden="false" customHeight="false" outlineLevel="0" collapsed="false">
      <c r="R296" s="25" t="str">
        <f aca="true">IF(I296="","",I296-TODAY())</f>
        <v/>
      </c>
      <c r="S296" s="25" t="str">
        <f aca="true">IF(J296="","",J296-TODAY())</f>
        <v/>
      </c>
      <c r="T296" s="24" t="str">
        <f aca="false">IF(A296="","",IF(OR(AND(R296&lt;&gt;"",R296&lt;0),AND(S296&lt;&gt;"",S296&lt;0)),"EXPIRED",IF(OR(AND(R296&lt;&gt;"",R296&lt;=Settings!$B$15),AND(S296&lt;&gt;"",S296&lt;=Settings!$B$15)),"EXPIRING SOON","OK")))</f>
        <v/>
      </c>
      <c r="U296" s="24" t="str">
        <f aca="false">IF(AND(C296="Own",Q296="Active"),COUNTIFS($C$5:C296,"Own",$Q$5:Q296,"Active"),"")</f>
        <v/>
      </c>
      <c r="V296" s="26" t="str">
        <f aca="false">IF(C296&lt;&gt;"Own","",IF(K296="Hourly",N296,(L296+M296)/(Settings!$B$11*Settings!$B$12)))</f>
        <v/>
      </c>
    </row>
    <row r="297" customFormat="false" ht="15" hidden="false" customHeight="false" outlineLevel="0" collapsed="false">
      <c r="R297" s="25" t="str">
        <f aca="true">IF(I297="","",I297-TODAY())</f>
        <v/>
      </c>
      <c r="S297" s="25" t="str">
        <f aca="true">IF(J297="","",J297-TODAY())</f>
        <v/>
      </c>
      <c r="T297" s="24" t="str">
        <f aca="false">IF(A297="","",IF(OR(AND(R297&lt;&gt;"",R297&lt;0),AND(S297&lt;&gt;"",S297&lt;0)),"EXPIRED",IF(OR(AND(R297&lt;&gt;"",R297&lt;=Settings!$B$15),AND(S297&lt;&gt;"",S297&lt;=Settings!$B$15)),"EXPIRING SOON","OK")))</f>
        <v/>
      </c>
      <c r="U297" s="24" t="str">
        <f aca="false">IF(AND(C297="Own",Q297="Active"),COUNTIFS($C$5:C297,"Own",$Q$5:Q297,"Active"),"")</f>
        <v/>
      </c>
      <c r="V297" s="26" t="str">
        <f aca="false">IF(C297&lt;&gt;"Own","",IF(K297="Hourly",N297,(L297+M297)/(Settings!$B$11*Settings!$B$12)))</f>
        <v/>
      </c>
    </row>
    <row r="298" customFormat="false" ht="15" hidden="false" customHeight="false" outlineLevel="0" collapsed="false">
      <c r="R298" s="25" t="str">
        <f aca="true">IF(I298="","",I298-TODAY())</f>
        <v/>
      </c>
      <c r="S298" s="25" t="str">
        <f aca="true">IF(J298="","",J298-TODAY())</f>
        <v/>
      </c>
      <c r="T298" s="24" t="str">
        <f aca="false">IF(A298="","",IF(OR(AND(R298&lt;&gt;"",R298&lt;0),AND(S298&lt;&gt;"",S298&lt;0)),"EXPIRED",IF(OR(AND(R298&lt;&gt;"",R298&lt;=Settings!$B$15),AND(S298&lt;&gt;"",S298&lt;=Settings!$B$15)),"EXPIRING SOON","OK")))</f>
        <v/>
      </c>
      <c r="U298" s="24" t="str">
        <f aca="false">IF(AND(C298="Own",Q298="Active"),COUNTIFS($C$5:C298,"Own",$Q$5:Q298,"Active"),"")</f>
        <v/>
      </c>
      <c r="V298" s="26" t="str">
        <f aca="false">IF(C298&lt;&gt;"Own","",IF(K298="Hourly",N298,(L298+M298)/(Settings!$B$11*Settings!$B$12)))</f>
        <v/>
      </c>
    </row>
    <row r="299" customFormat="false" ht="15" hidden="false" customHeight="false" outlineLevel="0" collapsed="false">
      <c r="R299" s="25" t="str">
        <f aca="true">IF(I299="","",I299-TODAY())</f>
        <v/>
      </c>
      <c r="S299" s="25" t="str">
        <f aca="true">IF(J299="","",J299-TODAY())</f>
        <v/>
      </c>
      <c r="T299" s="24" t="str">
        <f aca="false">IF(A299="","",IF(OR(AND(R299&lt;&gt;"",R299&lt;0),AND(S299&lt;&gt;"",S299&lt;0)),"EXPIRED",IF(OR(AND(R299&lt;&gt;"",R299&lt;=Settings!$B$15),AND(S299&lt;&gt;"",S299&lt;=Settings!$B$15)),"EXPIRING SOON","OK")))</f>
        <v/>
      </c>
      <c r="U299" s="24" t="str">
        <f aca="false">IF(AND(C299="Own",Q299="Active"),COUNTIFS($C$5:C299,"Own",$Q$5:Q299,"Active"),"")</f>
        <v/>
      </c>
      <c r="V299" s="26" t="str">
        <f aca="false">IF(C299&lt;&gt;"Own","",IF(K299="Hourly",N299,(L299+M299)/(Settings!$B$11*Settings!$B$12)))</f>
        <v/>
      </c>
    </row>
    <row r="300" customFormat="false" ht="15" hidden="false" customHeight="false" outlineLevel="0" collapsed="false">
      <c r="R300" s="25" t="str">
        <f aca="true">IF(I300="","",I300-TODAY())</f>
        <v/>
      </c>
      <c r="S300" s="25" t="str">
        <f aca="true">IF(J300="","",J300-TODAY())</f>
        <v/>
      </c>
      <c r="T300" s="24" t="str">
        <f aca="false">IF(A300="","",IF(OR(AND(R300&lt;&gt;"",R300&lt;0),AND(S300&lt;&gt;"",S300&lt;0)),"EXPIRED",IF(OR(AND(R300&lt;&gt;"",R300&lt;=Settings!$B$15),AND(S300&lt;&gt;"",S300&lt;=Settings!$B$15)),"EXPIRING SOON","OK")))</f>
        <v/>
      </c>
      <c r="U300" s="24" t="str">
        <f aca="false">IF(AND(C300="Own",Q300="Active"),COUNTIFS($C$5:C300,"Own",$Q$5:Q300,"Active"),"")</f>
        <v/>
      </c>
      <c r="V300" s="26" t="str">
        <f aca="false">IF(C300&lt;&gt;"Own","",IF(K300="Hourly",N300,(L300+M300)/(Settings!$B$11*Settings!$B$12)))</f>
        <v/>
      </c>
    </row>
    <row r="301" customFormat="false" ht="15" hidden="false" customHeight="false" outlineLevel="0" collapsed="false">
      <c r="R301" s="25" t="str">
        <f aca="true">IF(I301="","",I301-TODAY())</f>
        <v/>
      </c>
      <c r="S301" s="25" t="str">
        <f aca="true">IF(J301="","",J301-TODAY())</f>
        <v/>
      </c>
      <c r="T301" s="24" t="str">
        <f aca="false">IF(A301="","",IF(OR(AND(R301&lt;&gt;"",R301&lt;0),AND(S301&lt;&gt;"",S301&lt;0)),"EXPIRED",IF(OR(AND(R301&lt;&gt;"",R301&lt;=Settings!$B$15),AND(S301&lt;&gt;"",S301&lt;=Settings!$B$15)),"EXPIRING SOON","OK")))</f>
        <v/>
      </c>
      <c r="U301" s="24" t="str">
        <f aca="false">IF(AND(C301="Own",Q301="Active"),COUNTIFS($C$5:C301,"Own",$Q$5:Q301,"Active"),"")</f>
        <v/>
      </c>
      <c r="V301" s="26" t="str">
        <f aca="false">IF(C301&lt;&gt;"Own","",IF(K301="Hourly",N301,(L301+M301)/(Settings!$B$11*Settings!$B$12)))</f>
        <v/>
      </c>
    </row>
    <row r="302" customFormat="false" ht="15" hidden="false" customHeight="false" outlineLevel="0" collapsed="false">
      <c r="R302" s="25" t="str">
        <f aca="true">IF(I302="","",I302-TODAY())</f>
        <v/>
      </c>
      <c r="S302" s="25" t="str">
        <f aca="true">IF(J302="","",J302-TODAY())</f>
        <v/>
      </c>
      <c r="T302" s="24" t="str">
        <f aca="false">IF(A302="","",IF(OR(AND(R302&lt;&gt;"",R302&lt;0),AND(S302&lt;&gt;"",S302&lt;0)),"EXPIRED",IF(OR(AND(R302&lt;&gt;"",R302&lt;=Settings!$B$15),AND(S302&lt;&gt;"",S302&lt;=Settings!$B$15)),"EXPIRING SOON","OK")))</f>
        <v/>
      </c>
      <c r="U302" s="24" t="str">
        <f aca="false">IF(AND(C302="Own",Q302="Active"),COUNTIFS($C$5:C302,"Own",$Q$5:Q302,"Active"),"")</f>
        <v/>
      </c>
      <c r="V302" s="26" t="str">
        <f aca="false">IF(C302&lt;&gt;"Own","",IF(K302="Hourly",N302,(L302+M302)/(Settings!$B$11*Settings!$B$12)))</f>
        <v/>
      </c>
    </row>
    <row r="303" customFormat="false" ht="15" hidden="false" customHeight="false" outlineLevel="0" collapsed="false">
      <c r="R303" s="25" t="str">
        <f aca="true">IF(I303="","",I303-TODAY())</f>
        <v/>
      </c>
      <c r="S303" s="25" t="str">
        <f aca="true">IF(J303="","",J303-TODAY())</f>
        <v/>
      </c>
      <c r="T303" s="24" t="str">
        <f aca="false">IF(A303="","",IF(OR(AND(R303&lt;&gt;"",R303&lt;0),AND(S303&lt;&gt;"",S303&lt;0)),"EXPIRED",IF(OR(AND(R303&lt;&gt;"",R303&lt;=Settings!$B$15),AND(S303&lt;&gt;"",S303&lt;=Settings!$B$15)),"EXPIRING SOON","OK")))</f>
        <v/>
      </c>
      <c r="U303" s="24" t="str">
        <f aca="false">IF(AND(C303="Own",Q303="Active"),COUNTIFS($C$5:C303,"Own",$Q$5:Q303,"Active"),"")</f>
        <v/>
      </c>
      <c r="V303" s="26" t="str">
        <f aca="false">IF(C303&lt;&gt;"Own","",IF(K303="Hourly",N303,(L303+M303)/(Settings!$B$11*Settings!$B$12)))</f>
        <v/>
      </c>
    </row>
    <row r="304" customFormat="false" ht="15" hidden="false" customHeight="false" outlineLevel="0" collapsed="false">
      <c r="R304" s="25" t="str">
        <f aca="true">IF(I304="","",I304-TODAY())</f>
        <v/>
      </c>
      <c r="S304" s="25" t="str">
        <f aca="true">IF(J304="","",J304-TODAY())</f>
        <v/>
      </c>
      <c r="T304" s="24" t="str">
        <f aca="false">IF(A304="","",IF(OR(AND(R304&lt;&gt;"",R304&lt;0),AND(S304&lt;&gt;"",S304&lt;0)),"EXPIRED",IF(OR(AND(R304&lt;&gt;"",R304&lt;=Settings!$B$15),AND(S304&lt;&gt;"",S304&lt;=Settings!$B$15)),"EXPIRING SOON","OK")))</f>
        <v/>
      </c>
      <c r="U304" s="24" t="str">
        <f aca="false">IF(AND(C304="Own",Q304="Active"),COUNTIFS($C$5:C304,"Own",$Q$5:Q304,"Active"),"")</f>
        <v/>
      </c>
      <c r="V304" s="26" t="str">
        <f aca="false">IF(C304&lt;&gt;"Own","",IF(K304="Hourly",N304,(L304+M304)/(Settings!$B$11*Settings!$B$12)))</f>
        <v/>
      </c>
    </row>
    <row r="305" customFormat="false" ht="15" hidden="false" customHeight="false" outlineLevel="0" collapsed="false">
      <c r="R305" s="25" t="str">
        <f aca="true">IF(I305="","",I305-TODAY())</f>
        <v/>
      </c>
      <c r="S305" s="25" t="str">
        <f aca="true">IF(J305="","",J305-TODAY())</f>
        <v/>
      </c>
      <c r="T305" s="24" t="str">
        <f aca="false">IF(A305="","",IF(OR(AND(R305&lt;&gt;"",R305&lt;0),AND(S305&lt;&gt;"",S305&lt;0)),"EXPIRED",IF(OR(AND(R305&lt;&gt;"",R305&lt;=Settings!$B$15),AND(S305&lt;&gt;"",S305&lt;=Settings!$B$15)),"EXPIRING SOON","OK")))</f>
        <v/>
      </c>
      <c r="U305" s="24" t="str">
        <f aca="false">IF(AND(C305="Own",Q305="Active"),COUNTIFS($C$5:C305,"Own",$Q$5:Q305,"Active"),"")</f>
        <v/>
      </c>
      <c r="V305" s="26" t="str">
        <f aca="false">IF(C305&lt;&gt;"Own","",IF(K305="Hourly",N305,(L305+M305)/(Settings!$B$11*Settings!$B$12)))</f>
        <v/>
      </c>
    </row>
    <row r="306" customFormat="false" ht="15" hidden="false" customHeight="false" outlineLevel="0" collapsed="false">
      <c r="R306" s="25" t="str">
        <f aca="true">IF(I306="","",I306-TODAY())</f>
        <v/>
      </c>
      <c r="S306" s="25" t="str">
        <f aca="true">IF(J306="","",J306-TODAY())</f>
        <v/>
      </c>
      <c r="T306" s="24" t="str">
        <f aca="false">IF(A306="","",IF(OR(AND(R306&lt;&gt;"",R306&lt;0),AND(S306&lt;&gt;"",S306&lt;0)),"EXPIRED",IF(OR(AND(R306&lt;&gt;"",R306&lt;=Settings!$B$15),AND(S306&lt;&gt;"",S306&lt;=Settings!$B$15)),"EXPIRING SOON","OK")))</f>
        <v/>
      </c>
      <c r="U306" s="24" t="str">
        <f aca="false">IF(AND(C306="Own",Q306="Active"),COUNTIFS($C$5:C306,"Own",$Q$5:Q306,"Active"),"")</f>
        <v/>
      </c>
      <c r="V306" s="26" t="str">
        <f aca="false">IF(C306&lt;&gt;"Own","",IF(K306="Hourly",N306,(L306+M306)/(Settings!$B$11*Settings!$B$12)))</f>
        <v/>
      </c>
    </row>
    <row r="307" customFormat="false" ht="15" hidden="false" customHeight="false" outlineLevel="0" collapsed="false">
      <c r="R307" s="25" t="str">
        <f aca="true">IF(I307="","",I307-TODAY())</f>
        <v/>
      </c>
      <c r="S307" s="25" t="str">
        <f aca="true">IF(J307="","",J307-TODAY())</f>
        <v/>
      </c>
      <c r="T307" s="24" t="str">
        <f aca="false">IF(A307="","",IF(OR(AND(R307&lt;&gt;"",R307&lt;0),AND(S307&lt;&gt;"",S307&lt;0)),"EXPIRED",IF(OR(AND(R307&lt;&gt;"",R307&lt;=Settings!$B$15),AND(S307&lt;&gt;"",S307&lt;=Settings!$B$15)),"EXPIRING SOON","OK")))</f>
        <v/>
      </c>
      <c r="U307" s="24" t="str">
        <f aca="false">IF(AND(C307="Own",Q307="Active"),COUNTIFS($C$5:C307,"Own",$Q$5:Q307,"Active"),"")</f>
        <v/>
      </c>
      <c r="V307" s="26" t="str">
        <f aca="false">IF(C307&lt;&gt;"Own","",IF(K307="Hourly",N307,(L307+M307)/(Settings!$B$11*Settings!$B$12)))</f>
        <v/>
      </c>
    </row>
    <row r="308" customFormat="false" ht="15" hidden="false" customHeight="false" outlineLevel="0" collapsed="false">
      <c r="R308" s="25" t="str">
        <f aca="true">IF(I308="","",I308-TODAY())</f>
        <v/>
      </c>
      <c r="S308" s="25" t="str">
        <f aca="true">IF(J308="","",J308-TODAY())</f>
        <v/>
      </c>
      <c r="T308" s="24" t="str">
        <f aca="false">IF(A308="","",IF(OR(AND(R308&lt;&gt;"",R308&lt;0),AND(S308&lt;&gt;"",S308&lt;0)),"EXPIRED",IF(OR(AND(R308&lt;&gt;"",R308&lt;=Settings!$B$15),AND(S308&lt;&gt;"",S308&lt;=Settings!$B$15)),"EXPIRING SOON","OK")))</f>
        <v/>
      </c>
      <c r="U308" s="24" t="str">
        <f aca="false">IF(AND(C308="Own",Q308="Active"),COUNTIFS($C$5:C308,"Own",$Q$5:Q308,"Active"),"")</f>
        <v/>
      </c>
      <c r="V308" s="26" t="str">
        <f aca="false">IF(C308&lt;&gt;"Own","",IF(K308="Hourly",N308,(L308+M308)/(Settings!$B$11*Settings!$B$12)))</f>
        <v/>
      </c>
    </row>
    <row r="309" customFormat="false" ht="15" hidden="false" customHeight="false" outlineLevel="0" collapsed="false">
      <c r="R309" s="25" t="str">
        <f aca="true">IF(I309="","",I309-TODAY())</f>
        <v/>
      </c>
      <c r="S309" s="25" t="str">
        <f aca="true">IF(J309="","",J309-TODAY())</f>
        <v/>
      </c>
      <c r="T309" s="24" t="str">
        <f aca="false">IF(A309="","",IF(OR(AND(R309&lt;&gt;"",R309&lt;0),AND(S309&lt;&gt;"",S309&lt;0)),"EXPIRED",IF(OR(AND(R309&lt;&gt;"",R309&lt;=Settings!$B$15),AND(S309&lt;&gt;"",S309&lt;=Settings!$B$15)),"EXPIRING SOON","OK")))</f>
        <v/>
      </c>
      <c r="U309" s="24" t="str">
        <f aca="false">IF(AND(C309="Own",Q309="Active"),COUNTIFS($C$5:C309,"Own",$Q$5:Q309,"Active"),"")</f>
        <v/>
      </c>
      <c r="V309" s="26" t="str">
        <f aca="false">IF(C309&lt;&gt;"Own","",IF(K309="Hourly",N309,(L309+M309)/(Settings!$B$11*Settings!$B$12)))</f>
        <v/>
      </c>
    </row>
    <row r="310" customFormat="false" ht="15" hidden="false" customHeight="false" outlineLevel="0" collapsed="false">
      <c r="R310" s="25" t="str">
        <f aca="true">IF(I310="","",I310-TODAY())</f>
        <v/>
      </c>
      <c r="S310" s="25" t="str">
        <f aca="true">IF(J310="","",J310-TODAY())</f>
        <v/>
      </c>
      <c r="T310" s="24" t="str">
        <f aca="false">IF(A310="","",IF(OR(AND(R310&lt;&gt;"",R310&lt;0),AND(S310&lt;&gt;"",S310&lt;0)),"EXPIRED",IF(OR(AND(R310&lt;&gt;"",R310&lt;=Settings!$B$15),AND(S310&lt;&gt;"",S310&lt;=Settings!$B$15)),"EXPIRING SOON","OK")))</f>
        <v/>
      </c>
      <c r="U310" s="24" t="str">
        <f aca="false">IF(AND(C310="Own",Q310="Active"),COUNTIFS($C$5:C310,"Own",$Q$5:Q310,"Active"),"")</f>
        <v/>
      </c>
      <c r="V310" s="26" t="str">
        <f aca="false">IF(C310&lt;&gt;"Own","",IF(K310="Hourly",N310,(L310+M310)/(Settings!$B$11*Settings!$B$12)))</f>
        <v/>
      </c>
    </row>
    <row r="311" customFormat="false" ht="15" hidden="false" customHeight="false" outlineLevel="0" collapsed="false">
      <c r="R311" s="25" t="str">
        <f aca="true">IF(I311="","",I311-TODAY())</f>
        <v/>
      </c>
      <c r="S311" s="25" t="str">
        <f aca="true">IF(J311="","",J311-TODAY())</f>
        <v/>
      </c>
      <c r="T311" s="24" t="str">
        <f aca="false">IF(A311="","",IF(OR(AND(R311&lt;&gt;"",R311&lt;0),AND(S311&lt;&gt;"",S311&lt;0)),"EXPIRED",IF(OR(AND(R311&lt;&gt;"",R311&lt;=Settings!$B$15),AND(S311&lt;&gt;"",S311&lt;=Settings!$B$15)),"EXPIRING SOON","OK")))</f>
        <v/>
      </c>
      <c r="U311" s="24" t="str">
        <f aca="false">IF(AND(C311="Own",Q311="Active"),COUNTIFS($C$5:C311,"Own",$Q$5:Q311,"Active"),"")</f>
        <v/>
      </c>
      <c r="V311" s="26" t="str">
        <f aca="false">IF(C311&lt;&gt;"Own","",IF(K311="Hourly",N311,(L311+M311)/(Settings!$B$11*Settings!$B$12)))</f>
        <v/>
      </c>
    </row>
    <row r="312" customFormat="false" ht="15" hidden="false" customHeight="false" outlineLevel="0" collapsed="false">
      <c r="R312" s="25" t="str">
        <f aca="true">IF(I312="","",I312-TODAY())</f>
        <v/>
      </c>
      <c r="S312" s="25" t="str">
        <f aca="true">IF(J312="","",J312-TODAY())</f>
        <v/>
      </c>
      <c r="T312" s="24" t="str">
        <f aca="false">IF(A312="","",IF(OR(AND(R312&lt;&gt;"",R312&lt;0),AND(S312&lt;&gt;"",S312&lt;0)),"EXPIRED",IF(OR(AND(R312&lt;&gt;"",R312&lt;=Settings!$B$15),AND(S312&lt;&gt;"",S312&lt;=Settings!$B$15)),"EXPIRING SOON","OK")))</f>
        <v/>
      </c>
      <c r="U312" s="24" t="str">
        <f aca="false">IF(AND(C312="Own",Q312="Active"),COUNTIFS($C$5:C312,"Own",$Q$5:Q312,"Active"),"")</f>
        <v/>
      </c>
      <c r="V312" s="26" t="str">
        <f aca="false">IF(C312&lt;&gt;"Own","",IF(K312="Hourly",N312,(L312+M312)/(Settings!$B$11*Settings!$B$12)))</f>
        <v/>
      </c>
    </row>
    <row r="313" customFormat="false" ht="15" hidden="false" customHeight="false" outlineLevel="0" collapsed="false">
      <c r="R313" s="25" t="str">
        <f aca="true">IF(I313="","",I313-TODAY())</f>
        <v/>
      </c>
      <c r="S313" s="25" t="str">
        <f aca="true">IF(J313="","",J313-TODAY())</f>
        <v/>
      </c>
      <c r="T313" s="24" t="str">
        <f aca="false">IF(A313="","",IF(OR(AND(R313&lt;&gt;"",R313&lt;0),AND(S313&lt;&gt;"",S313&lt;0)),"EXPIRED",IF(OR(AND(R313&lt;&gt;"",R313&lt;=Settings!$B$15),AND(S313&lt;&gt;"",S313&lt;=Settings!$B$15)),"EXPIRING SOON","OK")))</f>
        <v/>
      </c>
      <c r="U313" s="24" t="str">
        <f aca="false">IF(AND(C313="Own",Q313="Active"),COUNTIFS($C$5:C313,"Own",$Q$5:Q313,"Active"),"")</f>
        <v/>
      </c>
      <c r="V313" s="26" t="str">
        <f aca="false">IF(C313&lt;&gt;"Own","",IF(K313="Hourly",N313,(L313+M313)/(Settings!$B$11*Settings!$B$12)))</f>
        <v/>
      </c>
    </row>
    <row r="314" customFormat="false" ht="15" hidden="false" customHeight="false" outlineLevel="0" collapsed="false">
      <c r="R314" s="25" t="str">
        <f aca="true">IF(I314="","",I314-TODAY())</f>
        <v/>
      </c>
      <c r="S314" s="25" t="str">
        <f aca="true">IF(J314="","",J314-TODAY())</f>
        <v/>
      </c>
      <c r="T314" s="24" t="str">
        <f aca="false">IF(A314="","",IF(OR(AND(R314&lt;&gt;"",R314&lt;0),AND(S314&lt;&gt;"",S314&lt;0)),"EXPIRED",IF(OR(AND(R314&lt;&gt;"",R314&lt;=Settings!$B$15),AND(S314&lt;&gt;"",S314&lt;=Settings!$B$15)),"EXPIRING SOON","OK")))</f>
        <v/>
      </c>
      <c r="U314" s="24" t="str">
        <f aca="false">IF(AND(C314="Own",Q314="Active"),COUNTIFS($C$5:C314,"Own",$Q$5:Q314,"Active"),"")</f>
        <v/>
      </c>
      <c r="V314" s="26" t="str">
        <f aca="false">IF(C314&lt;&gt;"Own","",IF(K314="Hourly",N314,(L314+M314)/(Settings!$B$11*Settings!$B$12)))</f>
        <v/>
      </c>
    </row>
    <row r="315" customFormat="false" ht="15" hidden="false" customHeight="false" outlineLevel="0" collapsed="false">
      <c r="R315" s="25" t="str">
        <f aca="true">IF(I315="","",I315-TODAY())</f>
        <v/>
      </c>
      <c r="S315" s="25" t="str">
        <f aca="true">IF(J315="","",J315-TODAY())</f>
        <v/>
      </c>
      <c r="T315" s="24" t="str">
        <f aca="false">IF(A315="","",IF(OR(AND(R315&lt;&gt;"",R315&lt;0),AND(S315&lt;&gt;"",S315&lt;0)),"EXPIRED",IF(OR(AND(R315&lt;&gt;"",R315&lt;=Settings!$B$15),AND(S315&lt;&gt;"",S315&lt;=Settings!$B$15)),"EXPIRING SOON","OK")))</f>
        <v/>
      </c>
      <c r="U315" s="24" t="str">
        <f aca="false">IF(AND(C315="Own",Q315="Active"),COUNTIFS($C$5:C315,"Own",$Q$5:Q315,"Active"),"")</f>
        <v/>
      </c>
      <c r="V315" s="26" t="str">
        <f aca="false">IF(C315&lt;&gt;"Own","",IF(K315="Hourly",N315,(L315+M315)/(Settings!$B$11*Settings!$B$12)))</f>
        <v/>
      </c>
    </row>
    <row r="316" customFormat="false" ht="15" hidden="false" customHeight="false" outlineLevel="0" collapsed="false">
      <c r="R316" s="25" t="str">
        <f aca="true">IF(I316="","",I316-TODAY())</f>
        <v/>
      </c>
      <c r="S316" s="25" t="str">
        <f aca="true">IF(J316="","",J316-TODAY())</f>
        <v/>
      </c>
      <c r="T316" s="24" t="str">
        <f aca="false">IF(A316="","",IF(OR(AND(R316&lt;&gt;"",R316&lt;0),AND(S316&lt;&gt;"",S316&lt;0)),"EXPIRED",IF(OR(AND(R316&lt;&gt;"",R316&lt;=Settings!$B$15),AND(S316&lt;&gt;"",S316&lt;=Settings!$B$15)),"EXPIRING SOON","OK")))</f>
        <v/>
      </c>
      <c r="U316" s="24" t="str">
        <f aca="false">IF(AND(C316="Own",Q316="Active"),COUNTIFS($C$5:C316,"Own",$Q$5:Q316,"Active"),"")</f>
        <v/>
      </c>
      <c r="V316" s="26" t="str">
        <f aca="false">IF(C316&lt;&gt;"Own","",IF(K316="Hourly",N316,(L316+M316)/(Settings!$B$11*Settings!$B$12)))</f>
        <v/>
      </c>
    </row>
    <row r="317" customFormat="false" ht="15" hidden="false" customHeight="false" outlineLevel="0" collapsed="false">
      <c r="R317" s="25" t="str">
        <f aca="true">IF(I317="","",I317-TODAY())</f>
        <v/>
      </c>
      <c r="S317" s="25" t="str">
        <f aca="true">IF(J317="","",J317-TODAY())</f>
        <v/>
      </c>
      <c r="T317" s="24" t="str">
        <f aca="false">IF(A317="","",IF(OR(AND(R317&lt;&gt;"",R317&lt;0),AND(S317&lt;&gt;"",S317&lt;0)),"EXPIRED",IF(OR(AND(R317&lt;&gt;"",R317&lt;=Settings!$B$15),AND(S317&lt;&gt;"",S317&lt;=Settings!$B$15)),"EXPIRING SOON","OK")))</f>
        <v/>
      </c>
      <c r="U317" s="24" t="str">
        <f aca="false">IF(AND(C317="Own",Q317="Active"),COUNTIFS($C$5:C317,"Own",$Q$5:Q317,"Active"),"")</f>
        <v/>
      </c>
      <c r="V317" s="26" t="str">
        <f aca="false">IF(C317&lt;&gt;"Own","",IF(K317="Hourly",N317,(L317+M317)/(Settings!$B$11*Settings!$B$12)))</f>
        <v/>
      </c>
    </row>
    <row r="318" customFormat="false" ht="15" hidden="false" customHeight="false" outlineLevel="0" collapsed="false">
      <c r="R318" s="25" t="str">
        <f aca="true">IF(I318="","",I318-TODAY())</f>
        <v/>
      </c>
      <c r="S318" s="25" t="str">
        <f aca="true">IF(J318="","",J318-TODAY())</f>
        <v/>
      </c>
      <c r="T318" s="24" t="str">
        <f aca="false">IF(A318="","",IF(OR(AND(R318&lt;&gt;"",R318&lt;0),AND(S318&lt;&gt;"",S318&lt;0)),"EXPIRED",IF(OR(AND(R318&lt;&gt;"",R318&lt;=Settings!$B$15),AND(S318&lt;&gt;"",S318&lt;=Settings!$B$15)),"EXPIRING SOON","OK")))</f>
        <v/>
      </c>
      <c r="U318" s="24" t="str">
        <f aca="false">IF(AND(C318="Own",Q318="Active"),COUNTIFS($C$5:C318,"Own",$Q$5:Q318,"Active"),"")</f>
        <v/>
      </c>
      <c r="V318" s="26" t="str">
        <f aca="false">IF(C318&lt;&gt;"Own","",IF(K318="Hourly",N318,(L318+M318)/(Settings!$B$11*Settings!$B$12)))</f>
        <v/>
      </c>
    </row>
    <row r="319" customFormat="false" ht="15" hidden="false" customHeight="false" outlineLevel="0" collapsed="false">
      <c r="R319" s="25" t="str">
        <f aca="true">IF(I319="","",I319-TODAY())</f>
        <v/>
      </c>
      <c r="S319" s="25" t="str">
        <f aca="true">IF(J319="","",J319-TODAY())</f>
        <v/>
      </c>
      <c r="T319" s="24" t="str">
        <f aca="false">IF(A319="","",IF(OR(AND(R319&lt;&gt;"",R319&lt;0),AND(S319&lt;&gt;"",S319&lt;0)),"EXPIRED",IF(OR(AND(R319&lt;&gt;"",R319&lt;=Settings!$B$15),AND(S319&lt;&gt;"",S319&lt;=Settings!$B$15)),"EXPIRING SOON","OK")))</f>
        <v/>
      </c>
      <c r="U319" s="24" t="str">
        <f aca="false">IF(AND(C319="Own",Q319="Active"),COUNTIFS($C$5:C319,"Own",$Q$5:Q319,"Active"),"")</f>
        <v/>
      </c>
      <c r="V319" s="26" t="str">
        <f aca="false">IF(C319&lt;&gt;"Own","",IF(K319="Hourly",N319,(L319+M319)/(Settings!$B$11*Settings!$B$12)))</f>
        <v/>
      </c>
    </row>
    <row r="320" customFormat="false" ht="15" hidden="false" customHeight="false" outlineLevel="0" collapsed="false">
      <c r="R320" s="25" t="str">
        <f aca="true">IF(I320="","",I320-TODAY())</f>
        <v/>
      </c>
      <c r="S320" s="25" t="str">
        <f aca="true">IF(J320="","",J320-TODAY())</f>
        <v/>
      </c>
      <c r="T320" s="24" t="str">
        <f aca="false">IF(A320="","",IF(OR(AND(R320&lt;&gt;"",R320&lt;0),AND(S320&lt;&gt;"",S320&lt;0)),"EXPIRED",IF(OR(AND(R320&lt;&gt;"",R320&lt;=Settings!$B$15),AND(S320&lt;&gt;"",S320&lt;=Settings!$B$15)),"EXPIRING SOON","OK")))</f>
        <v/>
      </c>
      <c r="U320" s="24" t="str">
        <f aca="false">IF(AND(C320="Own",Q320="Active"),COUNTIFS($C$5:C320,"Own",$Q$5:Q320,"Active"),"")</f>
        <v/>
      </c>
      <c r="V320" s="26" t="str">
        <f aca="false">IF(C320&lt;&gt;"Own","",IF(K320="Hourly",N320,(L320+M320)/(Settings!$B$11*Settings!$B$12)))</f>
        <v/>
      </c>
    </row>
    <row r="321" customFormat="false" ht="15" hidden="false" customHeight="false" outlineLevel="0" collapsed="false">
      <c r="R321" s="25" t="str">
        <f aca="true">IF(I321="","",I321-TODAY())</f>
        <v/>
      </c>
      <c r="S321" s="25" t="str">
        <f aca="true">IF(J321="","",J321-TODAY())</f>
        <v/>
      </c>
      <c r="T321" s="24" t="str">
        <f aca="false">IF(A321="","",IF(OR(AND(R321&lt;&gt;"",R321&lt;0),AND(S321&lt;&gt;"",S321&lt;0)),"EXPIRED",IF(OR(AND(R321&lt;&gt;"",R321&lt;=Settings!$B$15),AND(S321&lt;&gt;"",S321&lt;=Settings!$B$15)),"EXPIRING SOON","OK")))</f>
        <v/>
      </c>
      <c r="U321" s="24" t="str">
        <f aca="false">IF(AND(C321="Own",Q321="Active"),COUNTIFS($C$5:C321,"Own",$Q$5:Q321,"Active"),"")</f>
        <v/>
      </c>
      <c r="V321" s="26" t="str">
        <f aca="false">IF(C321&lt;&gt;"Own","",IF(K321="Hourly",N321,(L321+M321)/(Settings!$B$11*Settings!$B$12)))</f>
        <v/>
      </c>
    </row>
    <row r="322" customFormat="false" ht="15" hidden="false" customHeight="false" outlineLevel="0" collapsed="false">
      <c r="R322" s="25" t="str">
        <f aca="true">IF(I322="","",I322-TODAY())</f>
        <v/>
      </c>
      <c r="S322" s="25" t="str">
        <f aca="true">IF(J322="","",J322-TODAY())</f>
        <v/>
      </c>
      <c r="T322" s="24" t="str">
        <f aca="false">IF(A322="","",IF(OR(AND(R322&lt;&gt;"",R322&lt;0),AND(S322&lt;&gt;"",S322&lt;0)),"EXPIRED",IF(OR(AND(R322&lt;&gt;"",R322&lt;=Settings!$B$15),AND(S322&lt;&gt;"",S322&lt;=Settings!$B$15)),"EXPIRING SOON","OK")))</f>
        <v/>
      </c>
      <c r="U322" s="24" t="str">
        <f aca="false">IF(AND(C322="Own",Q322="Active"),COUNTIFS($C$5:C322,"Own",$Q$5:Q322,"Active"),"")</f>
        <v/>
      </c>
      <c r="V322" s="26" t="str">
        <f aca="false">IF(C322&lt;&gt;"Own","",IF(K322="Hourly",N322,(L322+M322)/(Settings!$B$11*Settings!$B$12)))</f>
        <v/>
      </c>
    </row>
    <row r="323" customFormat="false" ht="15" hidden="false" customHeight="false" outlineLevel="0" collapsed="false">
      <c r="R323" s="25" t="str">
        <f aca="true">IF(I323="","",I323-TODAY())</f>
        <v/>
      </c>
      <c r="S323" s="25" t="str">
        <f aca="true">IF(J323="","",J323-TODAY())</f>
        <v/>
      </c>
      <c r="T323" s="24" t="str">
        <f aca="false">IF(A323="","",IF(OR(AND(R323&lt;&gt;"",R323&lt;0),AND(S323&lt;&gt;"",S323&lt;0)),"EXPIRED",IF(OR(AND(R323&lt;&gt;"",R323&lt;=Settings!$B$15),AND(S323&lt;&gt;"",S323&lt;=Settings!$B$15)),"EXPIRING SOON","OK")))</f>
        <v/>
      </c>
      <c r="U323" s="24" t="str">
        <f aca="false">IF(AND(C323="Own",Q323="Active"),COUNTIFS($C$5:C323,"Own",$Q$5:Q323,"Active"),"")</f>
        <v/>
      </c>
      <c r="V323" s="26" t="str">
        <f aca="false">IF(C323&lt;&gt;"Own","",IF(K323="Hourly",N323,(L323+M323)/(Settings!$B$11*Settings!$B$12)))</f>
        <v/>
      </c>
    </row>
    <row r="324" customFormat="false" ht="15" hidden="false" customHeight="false" outlineLevel="0" collapsed="false">
      <c r="R324" s="25" t="str">
        <f aca="true">IF(I324="","",I324-TODAY())</f>
        <v/>
      </c>
      <c r="S324" s="25" t="str">
        <f aca="true">IF(J324="","",J324-TODAY())</f>
        <v/>
      </c>
      <c r="T324" s="24" t="str">
        <f aca="false">IF(A324="","",IF(OR(AND(R324&lt;&gt;"",R324&lt;0),AND(S324&lt;&gt;"",S324&lt;0)),"EXPIRED",IF(OR(AND(R324&lt;&gt;"",R324&lt;=Settings!$B$15),AND(S324&lt;&gt;"",S324&lt;=Settings!$B$15)),"EXPIRING SOON","OK")))</f>
        <v/>
      </c>
      <c r="U324" s="24" t="str">
        <f aca="false">IF(AND(C324="Own",Q324="Active"),COUNTIFS($C$5:C324,"Own",$Q$5:Q324,"Active"),"")</f>
        <v/>
      </c>
      <c r="V324" s="26" t="str">
        <f aca="false">IF(C324&lt;&gt;"Own","",IF(K324="Hourly",N324,(L324+M324)/(Settings!$B$11*Settings!$B$12)))</f>
        <v/>
      </c>
    </row>
    <row r="325" customFormat="false" ht="15" hidden="false" customHeight="false" outlineLevel="0" collapsed="false">
      <c r="R325" s="25" t="str">
        <f aca="true">IF(I325="","",I325-TODAY())</f>
        <v/>
      </c>
      <c r="S325" s="25" t="str">
        <f aca="true">IF(J325="","",J325-TODAY())</f>
        <v/>
      </c>
      <c r="T325" s="24" t="str">
        <f aca="false">IF(A325="","",IF(OR(AND(R325&lt;&gt;"",R325&lt;0),AND(S325&lt;&gt;"",S325&lt;0)),"EXPIRED",IF(OR(AND(R325&lt;&gt;"",R325&lt;=Settings!$B$15),AND(S325&lt;&gt;"",S325&lt;=Settings!$B$15)),"EXPIRING SOON","OK")))</f>
        <v/>
      </c>
      <c r="U325" s="24" t="str">
        <f aca="false">IF(AND(C325="Own",Q325="Active"),COUNTIFS($C$5:C325,"Own",$Q$5:Q325,"Active"),"")</f>
        <v/>
      </c>
      <c r="V325" s="26" t="str">
        <f aca="false">IF(C325&lt;&gt;"Own","",IF(K325="Hourly",N325,(L325+M325)/(Settings!$B$11*Settings!$B$12)))</f>
        <v/>
      </c>
    </row>
    <row r="326" customFormat="false" ht="15" hidden="false" customHeight="false" outlineLevel="0" collapsed="false">
      <c r="R326" s="25" t="str">
        <f aca="true">IF(I326="","",I326-TODAY())</f>
        <v/>
      </c>
      <c r="S326" s="25" t="str">
        <f aca="true">IF(J326="","",J326-TODAY())</f>
        <v/>
      </c>
      <c r="T326" s="24" t="str">
        <f aca="false">IF(A326="","",IF(OR(AND(R326&lt;&gt;"",R326&lt;0),AND(S326&lt;&gt;"",S326&lt;0)),"EXPIRED",IF(OR(AND(R326&lt;&gt;"",R326&lt;=Settings!$B$15),AND(S326&lt;&gt;"",S326&lt;=Settings!$B$15)),"EXPIRING SOON","OK")))</f>
        <v/>
      </c>
      <c r="U326" s="24" t="str">
        <f aca="false">IF(AND(C326="Own",Q326="Active"),COUNTIFS($C$5:C326,"Own",$Q$5:Q326,"Active"),"")</f>
        <v/>
      </c>
      <c r="V326" s="26" t="str">
        <f aca="false">IF(C326&lt;&gt;"Own","",IF(K326="Hourly",N326,(L326+M326)/(Settings!$B$11*Settings!$B$12)))</f>
        <v/>
      </c>
    </row>
    <row r="327" customFormat="false" ht="15" hidden="false" customHeight="false" outlineLevel="0" collapsed="false">
      <c r="R327" s="25" t="str">
        <f aca="true">IF(I327="","",I327-TODAY())</f>
        <v/>
      </c>
      <c r="S327" s="25" t="str">
        <f aca="true">IF(J327="","",J327-TODAY())</f>
        <v/>
      </c>
      <c r="T327" s="24" t="str">
        <f aca="false">IF(A327="","",IF(OR(AND(R327&lt;&gt;"",R327&lt;0),AND(S327&lt;&gt;"",S327&lt;0)),"EXPIRED",IF(OR(AND(R327&lt;&gt;"",R327&lt;=Settings!$B$15),AND(S327&lt;&gt;"",S327&lt;=Settings!$B$15)),"EXPIRING SOON","OK")))</f>
        <v/>
      </c>
      <c r="U327" s="24" t="str">
        <f aca="false">IF(AND(C327="Own",Q327="Active"),COUNTIFS($C$5:C327,"Own",$Q$5:Q327,"Active"),"")</f>
        <v/>
      </c>
      <c r="V327" s="26" t="str">
        <f aca="false">IF(C327&lt;&gt;"Own","",IF(K327="Hourly",N327,(L327+M327)/(Settings!$B$11*Settings!$B$12)))</f>
        <v/>
      </c>
    </row>
    <row r="328" customFormat="false" ht="15" hidden="false" customHeight="false" outlineLevel="0" collapsed="false">
      <c r="R328" s="25" t="str">
        <f aca="true">IF(I328="","",I328-TODAY())</f>
        <v/>
      </c>
      <c r="S328" s="25" t="str">
        <f aca="true">IF(J328="","",J328-TODAY())</f>
        <v/>
      </c>
      <c r="T328" s="24" t="str">
        <f aca="false">IF(A328="","",IF(OR(AND(R328&lt;&gt;"",R328&lt;0),AND(S328&lt;&gt;"",S328&lt;0)),"EXPIRED",IF(OR(AND(R328&lt;&gt;"",R328&lt;=Settings!$B$15),AND(S328&lt;&gt;"",S328&lt;=Settings!$B$15)),"EXPIRING SOON","OK")))</f>
        <v/>
      </c>
      <c r="U328" s="24" t="str">
        <f aca="false">IF(AND(C328="Own",Q328="Active"),COUNTIFS($C$5:C328,"Own",$Q$5:Q328,"Active"),"")</f>
        <v/>
      </c>
      <c r="V328" s="26" t="str">
        <f aca="false">IF(C328&lt;&gt;"Own","",IF(K328="Hourly",N328,(L328+M328)/(Settings!$B$11*Settings!$B$12)))</f>
        <v/>
      </c>
    </row>
    <row r="329" customFormat="false" ht="15" hidden="false" customHeight="false" outlineLevel="0" collapsed="false">
      <c r="R329" s="25" t="str">
        <f aca="true">IF(I329="","",I329-TODAY())</f>
        <v/>
      </c>
      <c r="S329" s="25" t="str">
        <f aca="true">IF(J329="","",J329-TODAY())</f>
        <v/>
      </c>
      <c r="T329" s="24" t="str">
        <f aca="false">IF(A329="","",IF(OR(AND(R329&lt;&gt;"",R329&lt;0),AND(S329&lt;&gt;"",S329&lt;0)),"EXPIRED",IF(OR(AND(R329&lt;&gt;"",R329&lt;=Settings!$B$15),AND(S329&lt;&gt;"",S329&lt;=Settings!$B$15)),"EXPIRING SOON","OK")))</f>
        <v/>
      </c>
      <c r="U329" s="24" t="str">
        <f aca="false">IF(AND(C329="Own",Q329="Active"),COUNTIFS($C$5:C329,"Own",$Q$5:Q329,"Active"),"")</f>
        <v/>
      </c>
      <c r="V329" s="26" t="str">
        <f aca="false">IF(C329&lt;&gt;"Own","",IF(K329="Hourly",N329,(L329+M329)/(Settings!$B$11*Settings!$B$12)))</f>
        <v/>
      </c>
    </row>
    <row r="330" customFormat="false" ht="15" hidden="false" customHeight="false" outlineLevel="0" collapsed="false">
      <c r="R330" s="25" t="str">
        <f aca="true">IF(I330="","",I330-TODAY())</f>
        <v/>
      </c>
      <c r="S330" s="25" t="str">
        <f aca="true">IF(J330="","",J330-TODAY())</f>
        <v/>
      </c>
      <c r="T330" s="24" t="str">
        <f aca="false">IF(A330="","",IF(OR(AND(R330&lt;&gt;"",R330&lt;0),AND(S330&lt;&gt;"",S330&lt;0)),"EXPIRED",IF(OR(AND(R330&lt;&gt;"",R330&lt;=Settings!$B$15),AND(S330&lt;&gt;"",S330&lt;=Settings!$B$15)),"EXPIRING SOON","OK")))</f>
        <v/>
      </c>
      <c r="U330" s="24" t="str">
        <f aca="false">IF(AND(C330="Own",Q330="Active"),COUNTIFS($C$5:C330,"Own",$Q$5:Q330,"Active"),"")</f>
        <v/>
      </c>
      <c r="V330" s="26" t="str">
        <f aca="false">IF(C330&lt;&gt;"Own","",IF(K330="Hourly",N330,(L330+M330)/(Settings!$B$11*Settings!$B$12)))</f>
        <v/>
      </c>
    </row>
    <row r="331" customFormat="false" ht="15" hidden="false" customHeight="false" outlineLevel="0" collapsed="false">
      <c r="R331" s="25" t="str">
        <f aca="true">IF(I331="","",I331-TODAY())</f>
        <v/>
      </c>
      <c r="S331" s="25" t="str">
        <f aca="true">IF(J331="","",J331-TODAY())</f>
        <v/>
      </c>
      <c r="T331" s="24" t="str">
        <f aca="false">IF(A331="","",IF(OR(AND(R331&lt;&gt;"",R331&lt;0),AND(S331&lt;&gt;"",S331&lt;0)),"EXPIRED",IF(OR(AND(R331&lt;&gt;"",R331&lt;=Settings!$B$15),AND(S331&lt;&gt;"",S331&lt;=Settings!$B$15)),"EXPIRING SOON","OK")))</f>
        <v/>
      </c>
      <c r="U331" s="24" t="str">
        <f aca="false">IF(AND(C331="Own",Q331="Active"),COUNTIFS($C$5:C331,"Own",$Q$5:Q331,"Active"),"")</f>
        <v/>
      </c>
      <c r="V331" s="26" t="str">
        <f aca="false">IF(C331&lt;&gt;"Own","",IF(K331="Hourly",N331,(L331+M331)/(Settings!$B$11*Settings!$B$12)))</f>
        <v/>
      </c>
    </row>
    <row r="332" customFormat="false" ht="15" hidden="false" customHeight="false" outlineLevel="0" collapsed="false">
      <c r="R332" s="25" t="str">
        <f aca="true">IF(I332="","",I332-TODAY())</f>
        <v/>
      </c>
      <c r="S332" s="25" t="str">
        <f aca="true">IF(J332="","",J332-TODAY())</f>
        <v/>
      </c>
      <c r="T332" s="24" t="str">
        <f aca="false">IF(A332="","",IF(OR(AND(R332&lt;&gt;"",R332&lt;0),AND(S332&lt;&gt;"",S332&lt;0)),"EXPIRED",IF(OR(AND(R332&lt;&gt;"",R332&lt;=Settings!$B$15),AND(S332&lt;&gt;"",S332&lt;=Settings!$B$15)),"EXPIRING SOON","OK")))</f>
        <v/>
      </c>
      <c r="U332" s="24" t="str">
        <f aca="false">IF(AND(C332="Own",Q332="Active"),COUNTIFS($C$5:C332,"Own",$Q$5:Q332,"Active"),"")</f>
        <v/>
      </c>
      <c r="V332" s="26" t="str">
        <f aca="false">IF(C332&lt;&gt;"Own","",IF(K332="Hourly",N332,(L332+M332)/(Settings!$B$11*Settings!$B$12)))</f>
        <v/>
      </c>
    </row>
    <row r="333" customFormat="false" ht="15" hidden="false" customHeight="false" outlineLevel="0" collapsed="false">
      <c r="R333" s="25" t="str">
        <f aca="true">IF(I333="","",I333-TODAY())</f>
        <v/>
      </c>
      <c r="S333" s="25" t="str">
        <f aca="true">IF(J333="","",J333-TODAY())</f>
        <v/>
      </c>
      <c r="T333" s="24" t="str">
        <f aca="false">IF(A333="","",IF(OR(AND(R333&lt;&gt;"",R333&lt;0),AND(S333&lt;&gt;"",S333&lt;0)),"EXPIRED",IF(OR(AND(R333&lt;&gt;"",R333&lt;=Settings!$B$15),AND(S333&lt;&gt;"",S333&lt;=Settings!$B$15)),"EXPIRING SOON","OK")))</f>
        <v/>
      </c>
      <c r="U333" s="24" t="str">
        <f aca="false">IF(AND(C333="Own",Q333="Active"),COUNTIFS($C$5:C333,"Own",$Q$5:Q333,"Active"),"")</f>
        <v/>
      </c>
      <c r="V333" s="26" t="str">
        <f aca="false">IF(C333&lt;&gt;"Own","",IF(K333="Hourly",N333,(L333+M333)/(Settings!$B$11*Settings!$B$12)))</f>
        <v/>
      </c>
    </row>
    <row r="334" customFormat="false" ht="15" hidden="false" customHeight="false" outlineLevel="0" collapsed="false">
      <c r="R334" s="25" t="str">
        <f aca="true">IF(I334="","",I334-TODAY())</f>
        <v/>
      </c>
      <c r="S334" s="25" t="str">
        <f aca="true">IF(J334="","",J334-TODAY())</f>
        <v/>
      </c>
      <c r="T334" s="24" t="str">
        <f aca="false">IF(A334="","",IF(OR(AND(R334&lt;&gt;"",R334&lt;0),AND(S334&lt;&gt;"",S334&lt;0)),"EXPIRED",IF(OR(AND(R334&lt;&gt;"",R334&lt;=Settings!$B$15),AND(S334&lt;&gt;"",S334&lt;=Settings!$B$15)),"EXPIRING SOON","OK")))</f>
        <v/>
      </c>
      <c r="U334" s="24" t="str">
        <f aca="false">IF(AND(C334="Own",Q334="Active"),COUNTIFS($C$5:C334,"Own",$Q$5:Q334,"Active"),"")</f>
        <v/>
      </c>
      <c r="V334" s="26" t="str">
        <f aca="false">IF(C334&lt;&gt;"Own","",IF(K334="Hourly",N334,(L334+M334)/(Settings!$B$11*Settings!$B$12)))</f>
        <v/>
      </c>
    </row>
    <row r="335" customFormat="false" ht="15" hidden="false" customHeight="false" outlineLevel="0" collapsed="false">
      <c r="R335" s="25" t="str">
        <f aca="true">IF(I335="","",I335-TODAY())</f>
        <v/>
      </c>
      <c r="S335" s="25" t="str">
        <f aca="true">IF(J335="","",J335-TODAY())</f>
        <v/>
      </c>
      <c r="T335" s="24" t="str">
        <f aca="false">IF(A335="","",IF(OR(AND(R335&lt;&gt;"",R335&lt;0),AND(S335&lt;&gt;"",S335&lt;0)),"EXPIRED",IF(OR(AND(R335&lt;&gt;"",R335&lt;=Settings!$B$15),AND(S335&lt;&gt;"",S335&lt;=Settings!$B$15)),"EXPIRING SOON","OK")))</f>
        <v/>
      </c>
      <c r="U335" s="24" t="str">
        <f aca="false">IF(AND(C335="Own",Q335="Active"),COUNTIFS($C$5:C335,"Own",$Q$5:Q335,"Active"),"")</f>
        <v/>
      </c>
      <c r="V335" s="26" t="str">
        <f aca="false">IF(C335&lt;&gt;"Own","",IF(K335="Hourly",N335,(L335+M335)/(Settings!$B$11*Settings!$B$12)))</f>
        <v/>
      </c>
    </row>
    <row r="336" customFormat="false" ht="15" hidden="false" customHeight="false" outlineLevel="0" collapsed="false">
      <c r="R336" s="25" t="str">
        <f aca="true">IF(I336="","",I336-TODAY())</f>
        <v/>
      </c>
      <c r="S336" s="25" t="str">
        <f aca="true">IF(J336="","",J336-TODAY())</f>
        <v/>
      </c>
      <c r="T336" s="24" t="str">
        <f aca="false">IF(A336="","",IF(OR(AND(R336&lt;&gt;"",R336&lt;0),AND(S336&lt;&gt;"",S336&lt;0)),"EXPIRED",IF(OR(AND(R336&lt;&gt;"",R336&lt;=Settings!$B$15),AND(S336&lt;&gt;"",S336&lt;=Settings!$B$15)),"EXPIRING SOON","OK")))</f>
        <v/>
      </c>
      <c r="U336" s="24" t="str">
        <f aca="false">IF(AND(C336="Own",Q336="Active"),COUNTIFS($C$5:C336,"Own",$Q$5:Q336,"Active"),"")</f>
        <v/>
      </c>
      <c r="V336" s="26" t="str">
        <f aca="false">IF(C336&lt;&gt;"Own","",IF(K336="Hourly",N336,(L336+M336)/(Settings!$B$11*Settings!$B$12)))</f>
        <v/>
      </c>
    </row>
    <row r="337" customFormat="false" ht="15" hidden="false" customHeight="false" outlineLevel="0" collapsed="false">
      <c r="R337" s="25" t="str">
        <f aca="true">IF(I337="","",I337-TODAY())</f>
        <v/>
      </c>
      <c r="S337" s="25" t="str">
        <f aca="true">IF(J337="","",J337-TODAY())</f>
        <v/>
      </c>
      <c r="T337" s="24" t="str">
        <f aca="false">IF(A337="","",IF(OR(AND(R337&lt;&gt;"",R337&lt;0),AND(S337&lt;&gt;"",S337&lt;0)),"EXPIRED",IF(OR(AND(R337&lt;&gt;"",R337&lt;=Settings!$B$15),AND(S337&lt;&gt;"",S337&lt;=Settings!$B$15)),"EXPIRING SOON","OK")))</f>
        <v/>
      </c>
      <c r="U337" s="24" t="str">
        <f aca="false">IF(AND(C337="Own",Q337="Active"),COUNTIFS($C$5:C337,"Own",$Q$5:Q337,"Active"),"")</f>
        <v/>
      </c>
      <c r="V337" s="26" t="str">
        <f aca="false">IF(C337&lt;&gt;"Own","",IF(K337="Hourly",N337,(L337+M337)/(Settings!$B$11*Settings!$B$12)))</f>
        <v/>
      </c>
    </row>
    <row r="338" customFormat="false" ht="15" hidden="false" customHeight="false" outlineLevel="0" collapsed="false">
      <c r="R338" s="25" t="str">
        <f aca="true">IF(I338="","",I338-TODAY())</f>
        <v/>
      </c>
      <c r="S338" s="25" t="str">
        <f aca="true">IF(J338="","",J338-TODAY())</f>
        <v/>
      </c>
      <c r="T338" s="24" t="str">
        <f aca="false">IF(A338="","",IF(OR(AND(R338&lt;&gt;"",R338&lt;0),AND(S338&lt;&gt;"",S338&lt;0)),"EXPIRED",IF(OR(AND(R338&lt;&gt;"",R338&lt;=Settings!$B$15),AND(S338&lt;&gt;"",S338&lt;=Settings!$B$15)),"EXPIRING SOON","OK")))</f>
        <v/>
      </c>
      <c r="U338" s="24" t="str">
        <f aca="false">IF(AND(C338="Own",Q338="Active"),COUNTIFS($C$5:C338,"Own",$Q$5:Q338,"Active"),"")</f>
        <v/>
      </c>
      <c r="V338" s="26" t="str">
        <f aca="false">IF(C338&lt;&gt;"Own","",IF(K338="Hourly",N338,(L338+M338)/(Settings!$B$11*Settings!$B$12)))</f>
        <v/>
      </c>
    </row>
    <row r="339" customFormat="false" ht="15" hidden="false" customHeight="false" outlineLevel="0" collapsed="false">
      <c r="R339" s="25" t="str">
        <f aca="true">IF(I339="","",I339-TODAY())</f>
        <v/>
      </c>
      <c r="S339" s="25" t="str">
        <f aca="true">IF(J339="","",J339-TODAY())</f>
        <v/>
      </c>
      <c r="T339" s="24" t="str">
        <f aca="false">IF(A339="","",IF(OR(AND(R339&lt;&gt;"",R339&lt;0),AND(S339&lt;&gt;"",S339&lt;0)),"EXPIRED",IF(OR(AND(R339&lt;&gt;"",R339&lt;=Settings!$B$15),AND(S339&lt;&gt;"",S339&lt;=Settings!$B$15)),"EXPIRING SOON","OK")))</f>
        <v/>
      </c>
      <c r="U339" s="24" t="str">
        <f aca="false">IF(AND(C339="Own",Q339="Active"),COUNTIFS($C$5:C339,"Own",$Q$5:Q339,"Active"),"")</f>
        <v/>
      </c>
      <c r="V339" s="26" t="str">
        <f aca="false">IF(C339&lt;&gt;"Own","",IF(K339="Hourly",N339,(L339+M339)/(Settings!$B$11*Settings!$B$12)))</f>
        <v/>
      </c>
    </row>
    <row r="340" customFormat="false" ht="15" hidden="false" customHeight="false" outlineLevel="0" collapsed="false">
      <c r="R340" s="25" t="str">
        <f aca="true">IF(I340="","",I340-TODAY())</f>
        <v/>
      </c>
      <c r="S340" s="25" t="str">
        <f aca="true">IF(J340="","",J340-TODAY())</f>
        <v/>
      </c>
      <c r="T340" s="24" t="str">
        <f aca="false">IF(A340="","",IF(OR(AND(R340&lt;&gt;"",R340&lt;0),AND(S340&lt;&gt;"",S340&lt;0)),"EXPIRED",IF(OR(AND(R340&lt;&gt;"",R340&lt;=Settings!$B$15),AND(S340&lt;&gt;"",S340&lt;=Settings!$B$15)),"EXPIRING SOON","OK")))</f>
        <v/>
      </c>
      <c r="U340" s="24" t="str">
        <f aca="false">IF(AND(C340="Own",Q340="Active"),COUNTIFS($C$5:C340,"Own",$Q$5:Q340,"Active"),"")</f>
        <v/>
      </c>
      <c r="V340" s="26" t="str">
        <f aca="false">IF(C340&lt;&gt;"Own","",IF(K340="Hourly",N340,(L340+M340)/(Settings!$B$11*Settings!$B$12)))</f>
        <v/>
      </c>
    </row>
    <row r="341" customFormat="false" ht="15" hidden="false" customHeight="false" outlineLevel="0" collapsed="false">
      <c r="R341" s="25" t="str">
        <f aca="true">IF(I341="","",I341-TODAY())</f>
        <v/>
      </c>
      <c r="S341" s="25" t="str">
        <f aca="true">IF(J341="","",J341-TODAY())</f>
        <v/>
      </c>
      <c r="T341" s="24" t="str">
        <f aca="false">IF(A341="","",IF(OR(AND(R341&lt;&gt;"",R341&lt;0),AND(S341&lt;&gt;"",S341&lt;0)),"EXPIRED",IF(OR(AND(R341&lt;&gt;"",R341&lt;=Settings!$B$15),AND(S341&lt;&gt;"",S341&lt;=Settings!$B$15)),"EXPIRING SOON","OK")))</f>
        <v/>
      </c>
      <c r="U341" s="24" t="str">
        <f aca="false">IF(AND(C341="Own",Q341="Active"),COUNTIFS($C$5:C341,"Own",$Q$5:Q341,"Active"),"")</f>
        <v/>
      </c>
      <c r="V341" s="26" t="str">
        <f aca="false">IF(C341&lt;&gt;"Own","",IF(K341="Hourly",N341,(L341+M341)/(Settings!$B$11*Settings!$B$12)))</f>
        <v/>
      </c>
    </row>
    <row r="342" customFormat="false" ht="15" hidden="false" customHeight="false" outlineLevel="0" collapsed="false">
      <c r="R342" s="25" t="str">
        <f aca="true">IF(I342="","",I342-TODAY())</f>
        <v/>
      </c>
      <c r="S342" s="25" t="str">
        <f aca="true">IF(J342="","",J342-TODAY())</f>
        <v/>
      </c>
      <c r="T342" s="24" t="str">
        <f aca="false">IF(A342="","",IF(OR(AND(R342&lt;&gt;"",R342&lt;0),AND(S342&lt;&gt;"",S342&lt;0)),"EXPIRED",IF(OR(AND(R342&lt;&gt;"",R342&lt;=Settings!$B$15),AND(S342&lt;&gt;"",S342&lt;=Settings!$B$15)),"EXPIRING SOON","OK")))</f>
        <v/>
      </c>
      <c r="U342" s="24" t="str">
        <f aca="false">IF(AND(C342="Own",Q342="Active"),COUNTIFS($C$5:C342,"Own",$Q$5:Q342,"Active"),"")</f>
        <v/>
      </c>
      <c r="V342" s="26" t="str">
        <f aca="false">IF(C342&lt;&gt;"Own","",IF(K342="Hourly",N342,(L342+M342)/(Settings!$B$11*Settings!$B$12)))</f>
        <v/>
      </c>
    </row>
    <row r="343" customFormat="false" ht="15" hidden="false" customHeight="false" outlineLevel="0" collapsed="false">
      <c r="R343" s="25" t="str">
        <f aca="true">IF(I343="","",I343-TODAY())</f>
        <v/>
      </c>
      <c r="S343" s="25" t="str">
        <f aca="true">IF(J343="","",J343-TODAY())</f>
        <v/>
      </c>
      <c r="T343" s="24" t="str">
        <f aca="false">IF(A343="","",IF(OR(AND(R343&lt;&gt;"",R343&lt;0),AND(S343&lt;&gt;"",S343&lt;0)),"EXPIRED",IF(OR(AND(R343&lt;&gt;"",R343&lt;=Settings!$B$15),AND(S343&lt;&gt;"",S343&lt;=Settings!$B$15)),"EXPIRING SOON","OK")))</f>
        <v/>
      </c>
      <c r="U343" s="24" t="str">
        <f aca="false">IF(AND(C343="Own",Q343="Active"),COUNTIFS($C$5:C343,"Own",$Q$5:Q343,"Active"),"")</f>
        <v/>
      </c>
      <c r="V343" s="26" t="str">
        <f aca="false">IF(C343&lt;&gt;"Own","",IF(K343="Hourly",N343,(L343+M343)/(Settings!$B$11*Settings!$B$12)))</f>
        <v/>
      </c>
    </row>
    <row r="344" customFormat="false" ht="15" hidden="false" customHeight="false" outlineLevel="0" collapsed="false">
      <c r="R344" s="25" t="str">
        <f aca="true">IF(I344="","",I344-TODAY())</f>
        <v/>
      </c>
      <c r="S344" s="25" t="str">
        <f aca="true">IF(J344="","",J344-TODAY())</f>
        <v/>
      </c>
      <c r="T344" s="24" t="str">
        <f aca="false">IF(A344="","",IF(OR(AND(R344&lt;&gt;"",R344&lt;0),AND(S344&lt;&gt;"",S344&lt;0)),"EXPIRED",IF(OR(AND(R344&lt;&gt;"",R344&lt;=Settings!$B$15),AND(S344&lt;&gt;"",S344&lt;=Settings!$B$15)),"EXPIRING SOON","OK")))</f>
        <v/>
      </c>
      <c r="U344" s="24" t="str">
        <f aca="false">IF(AND(C344="Own",Q344="Active"),COUNTIFS($C$5:C344,"Own",$Q$5:Q344,"Active"),"")</f>
        <v/>
      </c>
      <c r="V344" s="26" t="str">
        <f aca="false">IF(C344&lt;&gt;"Own","",IF(K344="Hourly",N344,(L344+M344)/(Settings!$B$11*Settings!$B$12)))</f>
        <v/>
      </c>
    </row>
    <row r="345" customFormat="false" ht="15" hidden="false" customHeight="false" outlineLevel="0" collapsed="false">
      <c r="R345" s="25" t="str">
        <f aca="true">IF(I345="","",I345-TODAY())</f>
        <v/>
      </c>
      <c r="S345" s="25" t="str">
        <f aca="true">IF(J345="","",J345-TODAY())</f>
        <v/>
      </c>
      <c r="T345" s="24" t="str">
        <f aca="false">IF(A345="","",IF(OR(AND(R345&lt;&gt;"",R345&lt;0),AND(S345&lt;&gt;"",S345&lt;0)),"EXPIRED",IF(OR(AND(R345&lt;&gt;"",R345&lt;=Settings!$B$15),AND(S345&lt;&gt;"",S345&lt;=Settings!$B$15)),"EXPIRING SOON","OK")))</f>
        <v/>
      </c>
      <c r="U345" s="24" t="str">
        <f aca="false">IF(AND(C345="Own",Q345="Active"),COUNTIFS($C$5:C345,"Own",$Q$5:Q345,"Active"),"")</f>
        <v/>
      </c>
      <c r="V345" s="26" t="str">
        <f aca="false">IF(C345&lt;&gt;"Own","",IF(K345="Hourly",N345,(L345+M345)/(Settings!$B$11*Settings!$B$12)))</f>
        <v/>
      </c>
    </row>
    <row r="346" customFormat="false" ht="15" hidden="false" customHeight="false" outlineLevel="0" collapsed="false">
      <c r="R346" s="25" t="str">
        <f aca="true">IF(I346="","",I346-TODAY())</f>
        <v/>
      </c>
      <c r="S346" s="25" t="str">
        <f aca="true">IF(J346="","",J346-TODAY())</f>
        <v/>
      </c>
      <c r="T346" s="24" t="str">
        <f aca="false">IF(A346="","",IF(OR(AND(R346&lt;&gt;"",R346&lt;0),AND(S346&lt;&gt;"",S346&lt;0)),"EXPIRED",IF(OR(AND(R346&lt;&gt;"",R346&lt;=Settings!$B$15),AND(S346&lt;&gt;"",S346&lt;=Settings!$B$15)),"EXPIRING SOON","OK")))</f>
        <v/>
      </c>
      <c r="U346" s="24" t="str">
        <f aca="false">IF(AND(C346="Own",Q346="Active"),COUNTIFS($C$5:C346,"Own",$Q$5:Q346,"Active"),"")</f>
        <v/>
      </c>
      <c r="V346" s="26" t="str">
        <f aca="false">IF(C346&lt;&gt;"Own","",IF(K346="Hourly",N346,(L346+M346)/(Settings!$B$11*Settings!$B$12)))</f>
        <v/>
      </c>
    </row>
    <row r="347" customFormat="false" ht="15" hidden="false" customHeight="false" outlineLevel="0" collapsed="false">
      <c r="R347" s="25" t="str">
        <f aca="true">IF(I347="","",I347-TODAY())</f>
        <v/>
      </c>
      <c r="S347" s="25" t="str">
        <f aca="true">IF(J347="","",J347-TODAY())</f>
        <v/>
      </c>
      <c r="T347" s="24" t="str">
        <f aca="false">IF(A347="","",IF(OR(AND(R347&lt;&gt;"",R347&lt;0),AND(S347&lt;&gt;"",S347&lt;0)),"EXPIRED",IF(OR(AND(R347&lt;&gt;"",R347&lt;=Settings!$B$15),AND(S347&lt;&gt;"",S347&lt;=Settings!$B$15)),"EXPIRING SOON","OK")))</f>
        <v/>
      </c>
      <c r="U347" s="24" t="str">
        <f aca="false">IF(AND(C347="Own",Q347="Active"),COUNTIFS($C$5:C347,"Own",$Q$5:Q347,"Active"),"")</f>
        <v/>
      </c>
      <c r="V347" s="26" t="str">
        <f aca="false">IF(C347&lt;&gt;"Own","",IF(K347="Hourly",N347,(L347+M347)/(Settings!$B$11*Settings!$B$12)))</f>
        <v/>
      </c>
    </row>
    <row r="348" customFormat="false" ht="15" hidden="false" customHeight="false" outlineLevel="0" collapsed="false">
      <c r="R348" s="25" t="str">
        <f aca="true">IF(I348="","",I348-TODAY())</f>
        <v/>
      </c>
      <c r="S348" s="25" t="str">
        <f aca="true">IF(J348="","",J348-TODAY())</f>
        <v/>
      </c>
      <c r="T348" s="24" t="str">
        <f aca="false">IF(A348="","",IF(OR(AND(R348&lt;&gt;"",R348&lt;0),AND(S348&lt;&gt;"",S348&lt;0)),"EXPIRED",IF(OR(AND(R348&lt;&gt;"",R348&lt;=Settings!$B$15),AND(S348&lt;&gt;"",S348&lt;=Settings!$B$15)),"EXPIRING SOON","OK")))</f>
        <v/>
      </c>
      <c r="U348" s="24" t="str">
        <f aca="false">IF(AND(C348="Own",Q348="Active"),COUNTIFS($C$5:C348,"Own",$Q$5:Q348,"Active"),"")</f>
        <v/>
      </c>
      <c r="V348" s="26" t="str">
        <f aca="false">IF(C348&lt;&gt;"Own","",IF(K348="Hourly",N348,(L348+M348)/(Settings!$B$11*Settings!$B$12)))</f>
        <v/>
      </c>
    </row>
    <row r="349" customFormat="false" ht="15" hidden="false" customHeight="false" outlineLevel="0" collapsed="false">
      <c r="R349" s="25" t="str">
        <f aca="true">IF(I349="","",I349-TODAY())</f>
        <v/>
      </c>
      <c r="S349" s="25" t="str">
        <f aca="true">IF(J349="","",J349-TODAY())</f>
        <v/>
      </c>
      <c r="T349" s="24" t="str">
        <f aca="false">IF(A349="","",IF(OR(AND(R349&lt;&gt;"",R349&lt;0),AND(S349&lt;&gt;"",S349&lt;0)),"EXPIRED",IF(OR(AND(R349&lt;&gt;"",R349&lt;=Settings!$B$15),AND(S349&lt;&gt;"",S349&lt;=Settings!$B$15)),"EXPIRING SOON","OK")))</f>
        <v/>
      </c>
      <c r="U349" s="24" t="str">
        <f aca="false">IF(AND(C349="Own",Q349="Active"),COUNTIFS($C$5:C349,"Own",$Q$5:Q349,"Active"),"")</f>
        <v/>
      </c>
      <c r="V349" s="26" t="str">
        <f aca="false">IF(C349&lt;&gt;"Own","",IF(K349="Hourly",N349,(L349+M349)/(Settings!$B$11*Settings!$B$12)))</f>
        <v/>
      </c>
    </row>
    <row r="350" customFormat="false" ht="15" hidden="false" customHeight="false" outlineLevel="0" collapsed="false">
      <c r="R350" s="25" t="str">
        <f aca="true">IF(I350="","",I350-TODAY())</f>
        <v/>
      </c>
      <c r="S350" s="25" t="str">
        <f aca="true">IF(J350="","",J350-TODAY())</f>
        <v/>
      </c>
      <c r="T350" s="24" t="str">
        <f aca="false">IF(A350="","",IF(OR(AND(R350&lt;&gt;"",R350&lt;0),AND(S350&lt;&gt;"",S350&lt;0)),"EXPIRED",IF(OR(AND(R350&lt;&gt;"",R350&lt;=Settings!$B$15),AND(S350&lt;&gt;"",S350&lt;=Settings!$B$15)),"EXPIRING SOON","OK")))</f>
        <v/>
      </c>
      <c r="U350" s="24" t="str">
        <f aca="false">IF(AND(C350="Own",Q350="Active"),COUNTIFS($C$5:C350,"Own",$Q$5:Q350,"Active"),"")</f>
        <v/>
      </c>
      <c r="V350" s="26" t="str">
        <f aca="false">IF(C350&lt;&gt;"Own","",IF(K350="Hourly",N350,(L350+M350)/(Settings!$B$11*Settings!$B$12)))</f>
        <v/>
      </c>
    </row>
    <row r="351" customFormat="false" ht="15" hidden="false" customHeight="false" outlineLevel="0" collapsed="false">
      <c r="R351" s="25" t="str">
        <f aca="true">IF(I351="","",I351-TODAY())</f>
        <v/>
      </c>
      <c r="S351" s="25" t="str">
        <f aca="true">IF(J351="","",J351-TODAY())</f>
        <v/>
      </c>
      <c r="T351" s="24" t="str">
        <f aca="false">IF(A351="","",IF(OR(AND(R351&lt;&gt;"",R351&lt;0),AND(S351&lt;&gt;"",S351&lt;0)),"EXPIRED",IF(OR(AND(R351&lt;&gt;"",R351&lt;=Settings!$B$15),AND(S351&lt;&gt;"",S351&lt;=Settings!$B$15)),"EXPIRING SOON","OK")))</f>
        <v/>
      </c>
      <c r="U351" s="24" t="str">
        <f aca="false">IF(AND(C351="Own",Q351="Active"),COUNTIFS($C$5:C351,"Own",$Q$5:Q351,"Active"),"")</f>
        <v/>
      </c>
      <c r="V351" s="26" t="str">
        <f aca="false">IF(C351&lt;&gt;"Own","",IF(K351="Hourly",N351,(L351+M351)/(Settings!$B$11*Settings!$B$12)))</f>
        <v/>
      </c>
    </row>
    <row r="352" customFormat="false" ht="15" hidden="false" customHeight="false" outlineLevel="0" collapsed="false">
      <c r="R352" s="25" t="str">
        <f aca="true">IF(I352="","",I352-TODAY())</f>
        <v/>
      </c>
      <c r="S352" s="25" t="str">
        <f aca="true">IF(J352="","",J352-TODAY())</f>
        <v/>
      </c>
      <c r="T352" s="24" t="str">
        <f aca="false">IF(A352="","",IF(OR(AND(R352&lt;&gt;"",R352&lt;0),AND(S352&lt;&gt;"",S352&lt;0)),"EXPIRED",IF(OR(AND(R352&lt;&gt;"",R352&lt;=Settings!$B$15),AND(S352&lt;&gt;"",S352&lt;=Settings!$B$15)),"EXPIRING SOON","OK")))</f>
        <v/>
      </c>
      <c r="U352" s="24" t="str">
        <f aca="false">IF(AND(C352="Own",Q352="Active"),COUNTIFS($C$5:C352,"Own",$Q$5:Q352,"Active"),"")</f>
        <v/>
      </c>
      <c r="V352" s="26" t="str">
        <f aca="false">IF(C352&lt;&gt;"Own","",IF(K352="Hourly",N352,(L352+M352)/(Settings!$B$11*Settings!$B$12)))</f>
        <v/>
      </c>
    </row>
    <row r="353" customFormat="false" ht="15" hidden="false" customHeight="false" outlineLevel="0" collapsed="false">
      <c r="R353" s="25" t="str">
        <f aca="true">IF(I353="","",I353-TODAY())</f>
        <v/>
      </c>
      <c r="S353" s="25" t="str">
        <f aca="true">IF(J353="","",J353-TODAY())</f>
        <v/>
      </c>
      <c r="T353" s="24" t="str">
        <f aca="false">IF(A353="","",IF(OR(AND(R353&lt;&gt;"",R353&lt;0),AND(S353&lt;&gt;"",S353&lt;0)),"EXPIRED",IF(OR(AND(R353&lt;&gt;"",R353&lt;=Settings!$B$15),AND(S353&lt;&gt;"",S353&lt;=Settings!$B$15)),"EXPIRING SOON","OK")))</f>
        <v/>
      </c>
      <c r="U353" s="24" t="str">
        <f aca="false">IF(AND(C353="Own",Q353="Active"),COUNTIFS($C$5:C353,"Own",$Q$5:Q353,"Active"),"")</f>
        <v/>
      </c>
      <c r="V353" s="26" t="str">
        <f aca="false">IF(C353&lt;&gt;"Own","",IF(K353="Hourly",N353,(L353+M353)/(Settings!$B$11*Settings!$B$12)))</f>
        <v/>
      </c>
    </row>
    <row r="354" customFormat="false" ht="15" hidden="false" customHeight="false" outlineLevel="0" collapsed="false">
      <c r="R354" s="25" t="str">
        <f aca="true">IF(I354="","",I354-TODAY())</f>
        <v/>
      </c>
      <c r="S354" s="25" t="str">
        <f aca="true">IF(J354="","",J354-TODAY())</f>
        <v/>
      </c>
      <c r="T354" s="24" t="str">
        <f aca="false">IF(A354="","",IF(OR(AND(R354&lt;&gt;"",R354&lt;0),AND(S354&lt;&gt;"",S354&lt;0)),"EXPIRED",IF(OR(AND(R354&lt;&gt;"",R354&lt;=Settings!$B$15),AND(S354&lt;&gt;"",S354&lt;=Settings!$B$15)),"EXPIRING SOON","OK")))</f>
        <v/>
      </c>
      <c r="U354" s="24" t="str">
        <f aca="false">IF(AND(C354="Own",Q354="Active"),COUNTIFS($C$5:C354,"Own",$Q$5:Q354,"Active"),"")</f>
        <v/>
      </c>
      <c r="V354" s="26" t="str">
        <f aca="false">IF(C354&lt;&gt;"Own","",IF(K354="Hourly",N354,(L354+M354)/(Settings!$B$11*Settings!$B$12)))</f>
        <v/>
      </c>
    </row>
    <row r="355" customFormat="false" ht="15" hidden="false" customHeight="false" outlineLevel="0" collapsed="false">
      <c r="R355" s="25" t="str">
        <f aca="true">IF(I355="","",I355-TODAY())</f>
        <v/>
      </c>
      <c r="S355" s="25" t="str">
        <f aca="true">IF(J355="","",J355-TODAY())</f>
        <v/>
      </c>
      <c r="T355" s="24" t="str">
        <f aca="false">IF(A355="","",IF(OR(AND(R355&lt;&gt;"",R355&lt;0),AND(S355&lt;&gt;"",S355&lt;0)),"EXPIRED",IF(OR(AND(R355&lt;&gt;"",R355&lt;=Settings!$B$15),AND(S355&lt;&gt;"",S355&lt;=Settings!$B$15)),"EXPIRING SOON","OK")))</f>
        <v/>
      </c>
      <c r="U355" s="24" t="str">
        <f aca="false">IF(AND(C355="Own",Q355="Active"),COUNTIFS($C$5:C355,"Own",$Q$5:Q355,"Active"),"")</f>
        <v/>
      </c>
      <c r="V355" s="26" t="str">
        <f aca="false">IF(C355&lt;&gt;"Own","",IF(K355="Hourly",N355,(L355+M355)/(Settings!$B$11*Settings!$B$12)))</f>
        <v/>
      </c>
    </row>
    <row r="356" customFormat="false" ht="15" hidden="false" customHeight="false" outlineLevel="0" collapsed="false">
      <c r="R356" s="25" t="str">
        <f aca="true">IF(I356="","",I356-TODAY())</f>
        <v/>
      </c>
      <c r="S356" s="25" t="str">
        <f aca="true">IF(J356="","",J356-TODAY())</f>
        <v/>
      </c>
      <c r="T356" s="24" t="str">
        <f aca="false">IF(A356="","",IF(OR(AND(R356&lt;&gt;"",R356&lt;0),AND(S356&lt;&gt;"",S356&lt;0)),"EXPIRED",IF(OR(AND(R356&lt;&gt;"",R356&lt;=Settings!$B$15),AND(S356&lt;&gt;"",S356&lt;=Settings!$B$15)),"EXPIRING SOON","OK")))</f>
        <v/>
      </c>
      <c r="U356" s="24" t="str">
        <f aca="false">IF(AND(C356="Own",Q356="Active"),COUNTIFS($C$5:C356,"Own",$Q$5:Q356,"Active"),"")</f>
        <v/>
      </c>
      <c r="V356" s="26" t="str">
        <f aca="false">IF(C356&lt;&gt;"Own","",IF(K356="Hourly",N356,(L356+M356)/(Settings!$B$11*Settings!$B$12)))</f>
        <v/>
      </c>
    </row>
    <row r="357" customFormat="false" ht="15" hidden="false" customHeight="false" outlineLevel="0" collapsed="false">
      <c r="R357" s="25" t="str">
        <f aca="true">IF(I357="","",I357-TODAY())</f>
        <v/>
      </c>
      <c r="S357" s="25" t="str">
        <f aca="true">IF(J357="","",J357-TODAY())</f>
        <v/>
      </c>
      <c r="T357" s="24" t="str">
        <f aca="false">IF(A357="","",IF(OR(AND(R357&lt;&gt;"",R357&lt;0),AND(S357&lt;&gt;"",S357&lt;0)),"EXPIRED",IF(OR(AND(R357&lt;&gt;"",R357&lt;=Settings!$B$15),AND(S357&lt;&gt;"",S357&lt;=Settings!$B$15)),"EXPIRING SOON","OK")))</f>
        <v/>
      </c>
      <c r="U357" s="24" t="str">
        <f aca="false">IF(AND(C357="Own",Q357="Active"),COUNTIFS($C$5:C357,"Own",$Q$5:Q357,"Active"),"")</f>
        <v/>
      </c>
      <c r="V357" s="26" t="str">
        <f aca="false">IF(C357&lt;&gt;"Own","",IF(K357="Hourly",N357,(L357+M357)/(Settings!$B$11*Settings!$B$12)))</f>
        <v/>
      </c>
    </row>
    <row r="358" customFormat="false" ht="15" hidden="false" customHeight="false" outlineLevel="0" collapsed="false">
      <c r="R358" s="25" t="str">
        <f aca="true">IF(I358="","",I358-TODAY())</f>
        <v/>
      </c>
      <c r="S358" s="25" t="str">
        <f aca="true">IF(J358="","",J358-TODAY())</f>
        <v/>
      </c>
      <c r="T358" s="24" t="str">
        <f aca="false">IF(A358="","",IF(OR(AND(R358&lt;&gt;"",R358&lt;0),AND(S358&lt;&gt;"",S358&lt;0)),"EXPIRED",IF(OR(AND(R358&lt;&gt;"",R358&lt;=Settings!$B$15),AND(S358&lt;&gt;"",S358&lt;=Settings!$B$15)),"EXPIRING SOON","OK")))</f>
        <v/>
      </c>
      <c r="U358" s="24" t="str">
        <f aca="false">IF(AND(C358="Own",Q358="Active"),COUNTIFS($C$5:C358,"Own",$Q$5:Q358,"Active"),"")</f>
        <v/>
      </c>
      <c r="V358" s="26" t="str">
        <f aca="false">IF(C358&lt;&gt;"Own","",IF(K358="Hourly",N358,(L358+M358)/(Settings!$B$11*Settings!$B$12)))</f>
        <v/>
      </c>
    </row>
    <row r="359" customFormat="false" ht="15" hidden="false" customHeight="false" outlineLevel="0" collapsed="false">
      <c r="R359" s="25" t="str">
        <f aca="true">IF(I359="","",I359-TODAY())</f>
        <v/>
      </c>
      <c r="S359" s="25" t="str">
        <f aca="true">IF(J359="","",J359-TODAY())</f>
        <v/>
      </c>
      <c r="T359" s="24" t="str">
        <f aca="false">IF(A359="","",IF(OR(AND(R359&lt;&gt;"",R359&lt;0),AND(S359&lt;&gt;"",S359&lt;0)),"EXPIRED",IF(OR(AND(R359&lt;&gt;"",R359&lt;=Settings!$B$15),AND(S359&lt;&gt;"",S359&lt;=Settings!$B$15)),"EXPIRING SOON","OK")))</f>
        <v/>
      </c>
      <c r="U359" s="24" t="str">
        <f aca="false">IF(AND(C359="Own",Q359="Active"),COUNTIFS($C$5:C359,"Own",$Q$5:Q359,"Active"),"")</f>
        <v/>
      </c>
      <c r="V359" s="26" t="str">
        <f aca="false">IF(C359&lt;&gt;"Own","",IF(K359="Hourly",N359,(L359+M359)/(Settings!$B$11*Settings!$B$12)))</f>
        <v/>
      </c>
    </row>
    <row r="360" customFormat="false" ht="15" hidden="false" customHeight="false" outlineLevel="0" collapsed="false">
      <c r="R360" s="25" t="str">
        <f aca="true">IF(I360="","",I360-TODAY())</f>
        <v/>
      </c>
      <c r="S360" s="25" t="str">
        <f aca="true">IF(J360="","",J360-TODAY())</f>
        <v/>
      </c>
      <c r="T360" s="24" t="str">
        <f aca="false">IF(A360="","",IF(OR(AND(R360&lt;&gt;"",R360&lt;0),AND(S360&lt;&gt;"",S360&lt;0)),"EXPIRED",IF(OR(AND(R360&lt;&gt;"",R360&lt;=Settings!$B$15),AND(S360&lt;&gt;"",S360&lt;=Settings!$B$15)),"EXPIRING SOON","OK")))</f>
        <v/>
      </c>
      <c r="U360" s="24" t="str">
        <f aca="false">IF(AND(C360="Own",Q360="Active"),COUNTIFS($C$5:C360,"Own",$Q$5:Q360,"Active"),"")</f>
        <v/>
      </c>
      <c r="V360" s="26" t="str">
        <f aca="false">IF(C360&lt;&gt;"Own","",IF(K360="Hourly",N360,(L360+M360)/(Settings!$B$11*Settings!$B$12)))</f>
        <v/>
      </c>
    </row>
    <row r="361" customFormat="false" ht="15" hidden="false" customHeight="false" outlineLevel="0" collapsed="false">
      <c r="R361" s="25" t="str">
        <f aca="true">IF(I361="","",I361-TODAY())</f>
        <v/>
      </c>
      <c r="S361" s="25" t="str">
        <f aca="true">IF(J361="","",J361-TODAY())</f>
        <v/>
      </c>
      <c r="T361" s="24" t="str">
        <f aca="false">IF(A361="","",IF(OR(AND(R361&lt;&gt;"",R361&lt;0),AND(S361&lt;&gt;"",S361&lt;0)),"EXPIRED",IF(OR(AND(R361&lt;&gt;"",R361&lt;=Settings!$B$15),AND(S361&lt;&gt;"",S361&lt;=Settings!$B$15)),"EXPIRING SOON","OK")))</f>
        <v/>
      </c>
      <c r="U361" s="24" t="str">
        <f aca="false">IF(AND(C361="Own",Q361="Active"),COUNTIFS($C$5:C361,"Own",$Q$5:Q361,"Active"),"")</f>
        <v/>
      </c>
      <c r="V361" s="26" t="str">
        <f aca="false">IF(C361&lt;&gt;"Own","",IF(K361="Hourly",N361,(L361+M361)/(Settings!$B$11*Settings!$B$12)))</f>
        <v/>
      </c>
    </row>
    <row r="362" customFormat="false" ht="15" hidden="false" customHeight="false" outlineLevel="0" collapsed="false">
      <c r="R362" s="25" t="str">
        <f aca="true">IF(I362="","",I362-TODAY())</f>
        <v/>
      </c>
      <c r="S362" s="25" t="str">
        <f aca="true">IF(J362="","",J362-TODAY())</f>
        <v/>
      </c>
      <c r="T362" s="24" t="str">
        <f aca="false">IF(A362="","",IF(OR(AND(R362&lt;&gt;"",R362&lt;0),AND(S362&lt;&gt;"",S362&lt;0)),"EXPIRED",IF(OR(AND(R362&lt;&gt;"",R362&lt;=Settings!$B$15),AND(S362&lt;&gt;"",S362&lt;=Settings!$B$15)),"EXPIRING SOON","OK")))</f>
        <v/>
      </c>
      <c r="U362" s="24" t="str">
        <f aca="false">IF(AND(C362="Own",Q362="Active"),COUNTIFS($C$5:C362,"Own",$Q$5:Q362,"Active"),"")</f>
        <v/>
      </c>
      <c r="V362" s="26" t="str">
        <f aca="false">IF(C362&lt;&gt;"Own","",IF(K362="Hourly",N362,(L362+M362)/(Settings!$B$11*Settings!$B$12)))</f>
        <v/>
      </c>
    </row>
    <row r="363" customFormat="false" ht="15" hidden="false" customHeight="false" outlineLevel="0" collapsed="false">
      <c r="R363" s="25" t="str">
        <f aca="true">IF(I363="","",I363-TODAY())</f>
        <v/>
      </c>
      <c r="S363" s="25" t="str">
        <f aca="true">IF(J363="","",J363-TODAY())</f>
        <v/>
      </c>
      <c r="T363" s="24" t="str">
        <f aca="false">IF(A363="","",IF(OR(AND(R363&lt;&gt;"",R363&lt;0),AND(S363&lt;&gt;"",S363&lt;0)),"EXPIRED",IF(OR(AND(R363&lt;&gt;"",R363&lt;=Settings!$B$15),AND(S363&lt;&gt;"",S363&lt;=Settings!$B$15)),"EXPIRING SOON","OK")))</f>
        <v/>
      </c>
      <c r="U363" s="24" t="str">
        <f aca="false">IF(AND(C363="Own",Q363="Active"),COUNTIFS($C$5:C363,"Own",$Q$5:Q363,"Active"),"")</f>
        <v/>
      </c>
      <c r="V363" s="26" t="str">
        <f aca="false">IF(C363&lt;&gt;"Own","",IF(K363="Hourly",N363,(L363+M363)/(Settings!$B$11*Settings!$B$12)))</f>
        <v/>
      </c>
    </row>
    <row r="364" customFormat="false" ht="15" hidden="false" customHeight="false" outlineLevel="0" collapsed="false">
      <c r="R364" s="25" t="str">
        <f aca="true">IF(I364="","",I364-TODAY())</f>
        <v/>
      </c>
      <c r="S364" s="25" t="str">
        <f aca="true">IF(J364="","",J364-TODAY())</f>
        <v/>
      </c>
      <c r="T364" s="24" t="str">
        <f aca="false">IF(A364="","",IF(OR(AND(R364&lt;&gt;"",R364&lt;0),AND(S364&lt;&gt;"",S364&lt;0)),"EXPIRED",IF(OR(AND(R364&lt;&gt;"",R364&lt;=Settings!$B$15),AND(S364&lt;&gt;"",S364&lt;=Settings!$B$15)),"EXPIRING SOON","OK")))</f>
        <v/>
      </c>
      <c r="U364" s="24" t="str">
        <f aca="false">IF(AND(C364="Own",Q364="Active"),COUNTIFS($C$5:C364,"Own",$Q$5:Q364,"Active"),"")</f>
        <v/>
      </c>
      <c r="V364" s="26" t="str">
        <f aca="false">IF(C364&lt;&gt;"Own","",IF(K364="Hourly",N364,(L364+M364)/(Settings!$B$11*Settings!$B$12)))</f>
        <v/>
      </c>
    </row>
    <row r="365" customFormat="false" ht="15" hidden="false" customHeight="false" outlineLevel="0" collapsed="false">
      <c r="R365" s="25" t="str">
        <f aca="true">IF(I365="","",I365-TODAY())</f>
        <v/>
      </c>
      <c r="S365" s="25" t="str">
        <f aca="true">IF(J365="","",J365-TODAY())</f>
        <v/>
      </c>
      <c r="T365" s="24" t="str">
        <f aca="false">IF(A365="","",IF(OR(AND(R365&lt;&gt;"",R365&lt;0),AND(S365&lt;&gt;"",S365&lt;0)),"EXPIRED",IF(OR(AND(R365&lt;&gt;"",R365&lt;=Settings!$B$15),AND(S365&lt;&gt;"",S365&lt;=Settings!$B$15)),"EXPIRING SOON","OK")))</f>
        <v/>
      </c>
      <c r="U365" s="24" t="str">
        <f aca="false">IF(AND(C365="Own",Q365="Active"),COUNTIFS($C$5:C365,"Own",$Q$5:Q365,"Active"),"")</f>
        <v/>
      </c>
      <c r="V365" s="26" t="str">
        <f aca="false">IF(C365&lt;&gt;"Own","",IF(K365="Hourly",N365,(L365+M365)/(Settings!$B$11*Settings!$B$12)))</f>
        <v/>
      </c>
    </row>
    <row r="366" customFormat="false" ht="15" hidden="false" customHeight="false" outlineLevel="0" collapsed="false">
      <c r="R366" s="25" t="str">
        <f aca="true">IF(I366="","",I366-TODAY())</f>
        <v/>
      </c>
      <c r="S366" s="25" t="str">
        <f aca="true">IF(J366="","",J366-TODAY())</f>
        <v/>
      </c>
      <c r="T366" s="24" t="str">
        <f aca="false">IF(A366="","",IF(OR(AND(R366&lt;&gt;"",R366&lt;0),AND(S366&lt;&gt;"",S366&lt;0)),"EXPIRED",IF(OR(AND(R366&lt;&gt;"",R366&lt;=Settings!$B$15),AND(S366&lt;&gt;"",S366&lt;=Settings!$B$15)),"EXPIRING SOON","OK")))</f>
        <v/>
      </c>
      <c r="U366" s="24" t="str">
        <f aca="false">IF(AND(C366="Own",Q366="Active"),COUNTIFS($C$5:C366,"Own",$Q$5:Q366,"Active"),"")</f>
        <v/>
      </c>
      <c r="V366" s="26" t="str">
        <f aca="false">IF(C366&lt;&gt;"Own","",IF(K366="Hourly",N366,(L366+M366)/(Settings!$B$11*Settings!$B$12)))</f>
        <v/>
      </c>
    </row>
    <row r="367" customFormat="false" ht="15" hidden="false" customHeight="false" outlineLevel="0" collapsed="false">
      <c r="R367" s="25" t="str">
        <f aca="true">IF(I367="","",I367-TODAY())</f>
        <v/>
      </c>
      <c r="S367" s="25" t="str">
        <f aca="true">IF(J367="","",J367-TODAY())</f>
        <v/>
      </c>
      <c r="T367" s="24" t="str">
        <f aca="false">IF(A367="","",IF(OR(AND(R367&lt;&gt;"",R367&lt;0),AND(S367&lt;&gt;"",S367&lt;0)),"EXPIRED",IF(OR(AND(R367&lt;&gt;"",R367&lt;=Settings!$B$15),AND(S367&lt;&gt;"",S367&lt;=Settings!$B$15)),"EXPIRING SOON","OK")))</f>
        <v/>
      </c>
      <c r="U367" s="24" t="str">
        <f aca="false">IF(AND(C367="Own",Q367="Active"),COUNTIFS($C$5:C367,"Own",$Q$5:Q367,"Active"),"")</f>
        <v/>
      </c>
      <c r="V367" s="26" t="str">
        <f aca="false">IF(C367&lt;&gt;"Own","",IF(K367="Hourly",N367,(L367+M367)/(Settings!$B$11*Settings!$B$12)))</f>
        <v/>
      </c>
    </row>
    <row r="368" customFormat="false" ht="15" hidden="false" customHeight="false" outlineLevel="0" collapsed="false">
      <c r="R368" s="25" t="str">
        <f aca="true">IF(I368="","",I368-TODAY())</f>
        <v/>
      </c>
      <c r="S368" s="25" t="str">
        <f aca="true">IF(J368="","",J368-TODAY())</f>
        <v/>
      </c>
      <c r="T368" s="24" t="str">
        <f aca="false">IF(A368="","",IF(OR(AND(R368&lt;&gt;"",R368&lt;0),AND(S368&lt;&gt;"",S368&lt;0)),"EXPIRED",IF(OR(AND(R368&lt;&gt;"",R368&lt;=Settings!$B$15),AND(S368&lt;&gt;"",S368&lt;=Settings!$B$15)),"EXPIRING SOON","OK")))</f>
        <v/>
      </c>
      <c r="U368" s="24" t="str">
        <f aca="false">IF(AND(C368="Own",Q368="Active"),COUNTIFS($C$5:C368,"Own",$Q$5:Q368,"Active"),"")</f>
        <v/>
      </c>
      <c r="V368" s="26" t="str">
        <f aca="false">IF(C368&lt;&gt;"Own","",IF(K368="Hourly",N368,(L368+M368)/(Settings!$B$11*Settings!$B$12)))</f>
        <v/>
      </c>
    </row>
    <row r="369" customFormat="false" ht="15" hidden="false" customHeight="false" outlineLevel="0" collapsed="false">
      <c r="R369" s="25" t="str">
        <f aca="true">IF(I369="","",I369-TODAY())</f>
        <v/>
      </c>
      <c r="S369" s="25" t="str">
        <f aca="true">IF(J369="","",J369-TODAY())</f>
        <v/>
      </c>
      <c r="T369" s="24" t="str">
        <f aca="false">IF(A369="","",IF(OR(AND(R369&lt;&gt;"",R369&lt;0),AND(S369&lt;&gt;"",S369&lt;0)),"EXPIRED",IF(OR(AND(R369&lt;&gt;"",R369&lt;=Settings!$B$15),AND(S369&lt;&gt;"",S369&lt;=Settings!$B$15)),"EXPIRING SOON","OK")))</f>
        <v/>
      </c>
      <c r="U369" s="24" t="str">
        <f aca="false">IF(AND(C369="Own",Q369="Active"),COUNTIFS($C$5:C369,"Own",$Q$5:Q369,"Active"),"")</f>
        <v/>
      </c>
      <c r="V369" s="26" t="str">
        <f aca="false">IF(C369&lt;&gt;"Own","",IF(K369="Hourly",N369,(L369+M369)/(Settings!$B$11*Settings!$B$12)))</f>
        <v/>
      </c>
    </row>
    <row r="370" customFormat="false" ht="15" hidden="false" customHeight="false" outlineLevel="0" collapsed="false">
      <c r="R370" s="25" t="str">
        <f aca="true">IF(I370="","",I370-TODAY())</f>
        <v/>
      </c>
      <c r="S370" s="25" t="str">
        <f aca="true">IF(J370="","",J370-TODAY())</f>
        <v/>
      </c>
      <c r="T370" s="24" t="str">
        <f aca="false">IF(A370="","",IF(OR(AND(R370&lt;&gt;"",R370&lt;0),AND(S370&lt;&gt;"",S370&lt;0)),"EXPIRED",IF(OR(AND(R370&lt;&gt;"",R370&lt;=Settings!$B$15),AND(S370&lt;&gt;"",S370&lt;=Settings!$B$15)),"EXPIRING SOON","OK")))</f>
        <v/>
      </c>
      <c r="U370" s="24" t="str">
        <f aca="false">IF(AND(C370="Own",Q370="Active"),COUNTIFS($C$5:C370,"Own",$Q$5:Q370,"Active"),"")</f>
        <v/>
      </c>
      <c r="V370" s="26" t="str">
        <f aca="false">IF(C370&lt;&gt;"Own","",IF(K370="Hourly",N370,(L370+M370)/(Settings!$B$11*Settings!$B$12)))</f>
        <v/>
      </c>
    </row>
    <row r="371" customFormat="false" ht="15" hidden="false" customHeight="false" outlineLevel="0" collapsed="false">
      <c r="R371" s="25" t="str">
        <f aca="true">IF(I371="","",I371-TODAY())</f>
        <v/>
      </c>
      <c r="S371" s="25" t="str">
        <f aca="true">IF(J371="","",J371-TODAY())</f>
        <v/>
      </c>
      <c r="T371" s="24" t="str">
        <f aca="false">IF(A371="","",IF(OR(AND(R371&lt;&gt;"",R371&lt;0),AND(S371&lt;&gt;"",S371&lt;0)),"EXPIRED",IF(OR(AND(R371&lt;&gt;"",R371&lt;=Settings!$B$15),AND(S371&lt;&gt;"",S371&lt;=Settings!$B$15)),"EXPIRING SOON","OK")))</f>
        <v/>
      </c>
      <c r="U371" s="24" t="str">
        <f aca="false">IF(AND(C371="Own",Q371="Active"),COUNTIFS($C$5:C371,"Own",$Q$5:Q371,"Active"),"")</f>
        <v/>
      </c>
      <c r="V371" s="26" t="str">
        <f aca="false">IF(C371&lt;&gt;"Own","",IF(K371="Hourly",N371,(L371+M371)/(Settings!$B$11*Settings!$B$12)))</f>
        <v/>
      </c>
    </row>
    <row r="372" customFormat="false" ht="15" hidden="false" customHeight="false" outlineLevel="0" collapsed="false">
      <c r="R372" s="25" t="str">
        <f aca="true">IF(I372="","",I372-TODAY())</f>
        <v/>
      </c>
      <c r="S372" s="25" t="str">
        <f aca="true">IF(J372="","",J372-TODAY())</f>
        <v/>
      </c>
      <c r="T372" s="24" t="str">
        <f aca="false">IF(A372="","",IF(OR(AND(R372&lt;&gt;"",R372&lt;0),AND(S372&lt;&gt;"",S372&lt;0)),"EXPIRED",IF(OR(AND(R372&lt;&gt;"",R372&lt;=Settings!$B$15),AND(S372&lt;&gt;"",S372&lt;=Settings!$B$15)),"EXPIRING SOON","OK")))</f>
        <v/>
      </c>
      <c r="U372" s="24" t="str">
        <f aca="false">IF(AND(C372="Own",Q372="Active"),COUNTIFS($C$5:C372,"Own",$Q$5:Q372,"Active"),"")</f>
        <v/>
      </c>
      <c r="V372" s="26" t="str">
        <f aca="false">IF(C372&lt;&gt;"Own","",IF(K372="Hourly",N372,(L372+M372)/(Settings!$B$11*Settings!$B$12)))</f>
        <v/>
      </c>
    </row>
    <row r="373" customFormat="false" ht="15" hidden="false" customHeight="false" outlineLevel="0" collapsed="false">
      <c r="R373" s="25" t="str">
        <f aca="true">IF(I373="","",I373-TODAY())</f>
        <v/>
      </c>
      <c r="S373" s="25" t="str">
        <f aca="true">IF(J373="","",J373-TODAY())</f>
        <v/>
      </c>
      <c r="T373" s="24" t="str">
        <f aca="false">IF(A373="","",IF(OR(AND(R373&lt;&gt;"",R373&lt;0),AND(S373&lt;&gt;"",S373&lt;0)),"EXPIRED",IF(OR(AND(R373&lt;&gt;"",R373&lt;=Settings!$B$15),AND(S373&lt;&gt;"",S373&lt;=Settings!$B$15)),"EXPIRING SOON","OK")))</f>
        <v/>
      </c>
      <c r="U373" s="24" t="str">
        <f aca="false">IF(AND(C373="Own",Q373="Active"),COUNTIFS($C$5:C373,"Own",$Q$5:Q373,"Active"),"")</f>
        <v/>
      </c>
      <c r="V373" s="26" t="str">
        <f aca="false">IF(C373&lt;&gt;"Own","",IF(K373="Hourly",N373,(L373+M373)/(Settings!$B$11*Settings!$B$12)))</f>
        <v/>
      </c>
    </row>
    <row r="374" customFormat="false" ht="15" hidden="false" customHeight="false" outlineLevel="0" collapsed="false">
      <c r="R374" s="25" t="str">
        <f aca="true">IF(I374="","",I374-TODAY())</f>
        <v/>
      </c>
      <c r="S374" s="25" t="str">
        <f aca="true">IF(J374="","",J374-TODAY())</f>
        <v/>
      </c>
      <c r="T374" s="24" t="str">
        <f aca="false">IF(A374="","",IF(OR(AND(R374&lt;&gt;"",R374&lt;0),AND(S374&lt;&gt;"",S374&lt;0)),"EXPIRED",IF(OR(AND(R374&lt;&gt;"",R374&lt;=Settings!$B$15),AND(S374&lt;&gt;"",S374&lt;=Settings!$B$15)),"EXPIRING SOON","OK")))</f>
        <v/>
      </c>
      <c r="U374" s="24" t="str">
        <f aca="false">IF(AND(C374="Own",Q374="Active"),COUNTIFS($C$5:C374,"Own",$Q$5:Q374,"Active"),"")</f>
        <v/>
      </c>
      <c r="V374" s="26" t="str">
        <f aca="false">IF(C374&lt;&gt;"Own","",IF(K374="Hourly",N374,(L374+M374)/(Settings!$B$11*Settings!$B$12)))</f>
        <v/>
      </c>
    </row>
    <row r="375" customFormat="false" ht="15" hidden="false" customHeight="false" outlineLevel="0" collapsed="false">
      <c r="R375" s="25" t="str">
        <f aca="true">IF(I375="","",I375-TODAY())</f>
        <v/>
      </c>
      <c r="S375" s="25" t="str">
        <f aca="true">IF(J375="","",J375-TODAY())</f>
        <v/>
      </c>
      <c r="T375" s="24" t="str">
        <f aca="false">IF(A375="","",IF(OR(AND(R375&lt;&gt;"",R375&lt;0),AND(S375&lt;&gt;"",S375&lt;0)),"EXPIRED",IF(OR(AND(R375&lt;&gt;"",R375&lt;=Settings!$B$15),AND(S375&lt;&gt;"",S375&lt;=Settings!$B$15)),"EXPIRING SOON","OK")))</f>
        <v/>
      </c>
      <c r="U375" s="24" t="str">
        <f aca="false">IF(AND(C375="Own",Q375="Active"),COUNTIFS($C$5:C375,"Own",$Q$5:Q375,"Active"),"")</f>
        <v/>
      </c>
      <c r="V375" s="26" t="str">
        <f aca="false">IF(C375&lt;&gt;"Own","",IF(K375="Hourly",N375,(L375+M375)/(Settings!$B$11*Settings!$B$12)))</f>
        <v/>
      </c>
    </row>
    <row r="376" customFormat="false" ht="15" hidden="false" customHeight="false" outlineLevel="0" collapsed="false">
      <c r="R376" s="25" t="str">
        <f aca="true">IF(I376="","",I376-TODAY())</f>
        <v/>
      </c>
      <c r="S376" s="25" t="str">
        <f aca="true">IF(J376="","",J376-TODAY())</f>
        <v/>
      </c>
      <c r="T376" s="24" t="str">
        <f aca="false">IF(A376="","",IF(OR(AND(R376&lt;&gt;"",R376&lt;0),AND(S376&lt;&gt;"",S376&lt;0)),"EXPIRED",IF(OR(AND(R376&lt;&gt;"",R376&lt;=Settings!$B$15),AND(S376&lt;&gt;"",S376&lt;=Settings!$B$15)),"EXPIRING SOON","OK")))</f>
        <v/>
      </c>
      <c r="U376" s="24" t="str">
        <f aca="false">IF(AND(C376="Own",Q376="Active"),COUNTIFS($C$5:C376,"Own",$Q$5:Q376,"Active"),"")</f>
        <v/>
      </c>
      <c r="V376" s="26" t="str">
        <f aca="false">IF(C376&lt;&gt;"Own","",IF(K376="Hourly",N376,(L376+M376)/(Settings!$B$11*Settings!$B$12)))</f>
        <v/>
      </c>
    </row>
    <row r="377" customFormat="false" ht="15" hidden="false" customHeight="false" outlineLevel="0" collapsed="false">
      <c r="R377" s="25" t="str">
        <f aca="true">IF(I377="","",I377-TODAY())</f>
        <v/>
      </c>
      <c r="S377" s="25" t="str">
        <f aca="true">IF(J377="","",J377-TODAY())</f>
        <v/>
      </c>
      <c r="T377" s="24" t="str">
        <f aca="false">IF(A377="","",IF(OR(AND(R377&lt;&gt;"",R377&lt;0),AND(S377&lt;&gt;"",S377&lt;0)),"EXPIRED",IF(OR(AND(R377&lt;&gt;"",R377&lt;=Settings!$B$15),AND(S377&lt;&gt;"",S377&lt;=Settings!$B$15)),"EXPIRING SOON","OK")))</f>
        <v/>
      </c>
      <c r="U377" s="24" t="str">
        <f aca="false">IF(AND(C377="Own",Q377="Active"),COUNTIFS($C$5:C377,"Own",$Q$5:Q377,"Active"),"")</f>
        <v/>
      </c>
      <c r="V377" s="26" t="str">
        <f aca="false">IF(C377&lt;&gt;"Own","",IF(K377="Hourly",N377,(L377+M377)/(Settings!$B$11*Settings!$B$12)))</f>
        <v/>
      </c>
    </row>
    <row r="378" customFormat="false" ht="15" hidden="false" customHeight="false" outlineLevel="0" collapsed="false">
      <c r="R378" s="25" t="str">
        <f aca="true">IF(I378="","",I378-TODAY())</f>
        <v/>
      </c>
      <c r="S378" s="25" t="str">
        <f aca="true">IF(J378="","",J378-TODAY())</f>
        <v/>
      </c>
      <c r="T378" s="24" t="str">
        <f aca="false">IF(A378="","",IF(OR(AND(R378&lt;&gt;"",R378&lt;0),AND(S378&lt;&gt;"",S378&lt;0)),"EXPIRED",IF(OR(AND(R378&lt;&gt;"",R378&lt;=Settings!$B$15),AND(S378&lt;&gt;"",S378&lt;=Settings!$B$15)),"EXPIRING SOON","OK")))</f>
        <v/>
      </c>
      <c r="U378" s="24" t="str">
        <f aca="false">IF(AND(C378="Own",Q378="Active"),COUNTIFS($C$5:C378,"Own",$Q$5:Q378,"Active"),"")</f>
        <v/>
      </c>
      <c r="V378" s="26" t="str">
        <f aca="false">IF(C378&lt;&gt;"Own","",IF(K378="Hourly",N378,(L378+M378)/(Settings!$B$11*Settings!$B$12)))</f>
        <v/>
      </c>
    </row>
    <row r="379" customFormat="false" ht="15" hidden="false" customHeight="false" outlineLevel="0" collapsed="false">
      <c r="R379" s="25" t="str">
        <f aca="true">IF(I379="","",I379-TODAY())</f>
        <v/>
      </c>
      <c r="S379" s="25" t="str">
        <f aca="true">IF(J379="","",J379-TODAY())</f>
        <v/>
      </c>
      <c r="T379" s="24" t="str">
        <f aca="false">IF(A379="","",IF(OR(AND(R379&lt;&gt;"",R379&lt;0),AND(S379&lt;&gt;"",S379&lt;0)),"EXPIRED",IF(OR(AND(R379&lt;&gt;"",R379&lt;=Settings!$B$15),AND(S379&lt;&gt;"",S379&lt;=Settings!$B$15)),"EXPIRING SOON","OK")))</f>
        <v/>
      </c>
      <c r="U379" s="24" t="str">
        <f aca="false">IF(AND(C379="Own",Q379="Active"),COUNTIFS($C$5:C379,"Own",$Q$5:Q379,"Active"),"")</f>
        <v/>
      </c>
      <c r="V379" s="26" t="str">
        <f aca="false">IF(C379&lt;&gt;"Own","",IF(K379="Hourly",N379,(L379+M379)/(Settings!$B$11*Settings!$B$12)))</f>
        <v/>
      </c>
    </row>
    <row r="380" customFormat="false" ht="15" hidden="false" customHeight="false" outlineLevel="0" collapsed="false">
      <c r="R380" s="25" t="str">
        <f aca="true">IF(I380="","",I380-TODAY())</f>
        <v/>
      </c>
      <c r="S380" s="25" t="str">
        <f aca="true">IF(J380="","",J380-TODAY())</f>
        <v/>
      </c>
      <c r="T380" s="24" t="str">
        <f aca="false">IF(A380="","",IF(OR(AND(R380&lt;&gt;"",R380&lt;0),AND(S380&lt;&gt;"",S380&lt;0)),"EXPIRED",IF(OR(AND(R380&lt;&gt;"",R380&lt;=Settings!$B$15),AND(S380&lt;&gt;"",S380&lt;=Settings!$B$15)),"EXPIRING SOON","OK")))</f>
        <v/>
      </c>
      <c r="U380" s="24" t="str">
        <f aca="false">IF(AND(C380="Own",Q380="Active"),COUNTIFS($C$5:C380,"Own",$Q$5:Q380,"Active"),"")</f>
        <v/>
      </c>
      <c r="V380" s="26" t="str">
        <f aca="false">IF(C380&lt;&gt;"Own","",IF(K380="Hourly",N380,(L380+M380)/(Settings!$B$11*Settings!$B$12)))</f>
        <v/>
      </c>
    </row>
    <row r="381" customFormat="false" ht="15" hidden="false" customHeight="false" outlineLevel="0" collapsed="false">
      <c r="R381" s="25" t="str">
        <f aca="true">IF(I381="","",I381-TODAY())</f>
        <v/>
      </c>
      <c r="S381" s="25" t="str">
        <f aca="true">IF(J381="","",J381-TODAY())</f>
        <v/>
      </c>
      <c r="T381" s="24" t="str">
        <f aca="false">IF(A381="","",IF(OR(AND(R381&lt;&gt;"",R381&lt;0),AND(S381&lt;&gt;"",S381&lt;0)),"EXPIRED",IF(OR(AND(R381&lt;&gt;"",R381&lt;=Settings!$B$15),AND(S381&lt;&gt;"",S381&lt;=Settings!$B$15)),"EXPIRING SOON","OK")))</f>
        <v/>
      </c>
      <c r="U381" s="24" t="str">
        <f aca="false">IF(AND(C381="Own",Q381="Active"),COUNTIFS($C$5:C381,"Own",$Q$5:Q381,"Active"),"")</f>
        <v/>
      </c>
      <c r="V381" s="26" t="str">
        <f aca="false">IF(C381&lt;&gt;"Own","",IF(K381="Hourly",N381,(L381+M381)/(Settings!$B$11*Settings!$B$12)))</f>
        <v/>
      </c>
    </row>
    <row r="382" customFormat="false" ht="15" hidden="false" customHeight="false" outlineLevel="0" collapsed="false">
      <c r="R382" s="25" t="str">
        <f aca="true">IF(I382="","",I382-TODAY())</f>
        <v/>
      </c>
      <c r="S382" s="25" t="str">
        <f aca="true">IF(J382="","",J382-TODAY())</f>
        <v/>
      </c>
      <c r="T382" s="24" t="str">
        <f aca="false">IF(A382="","",IF(OR(AND(R382&lt;&gt;"",R382&lt;0),AND(S382&lt;&gt;"",S382&lt;0)),"EXPIRED",IF(OR(AND(R382&lt;&gt;"",R382&lt;=Settings!$B$15),AND(S382&lt;&gt;"",S382&lt;=Settings!$B$15)),"EXPIRING SOON","OK")))</f>
        <v/>
      </c>
      <c r="U382" s="24" t="str">
        <f aca="false">IF(AND(C382="Own",Q382="Active"),COUNTIFS($C$5:C382,"Own",$Q$5:Q382,"Active"),"")</f>
        <v/>
      </c>
      <c r="V382" s="26" t="str">
        <f aca="false">IF(C382&lt;&gt;"Own","",IF(K382="Hourly",N382,(L382+M382)/(Settings!$B$11*Settings!$B$12)))</f>
        <v/>
      </c>
    </row>
    <row r="383" customFormat="false" ht="15" hidden="false" customHeight="false" outlineLevel="0" collapsed="false">
      <c r="R383" s="25" t="str">
        <f aca="true">IF(I383="","",I383-TODAY())</f>
        <v/>
      </c>
      <c r="S383" s="25" t="str">
        <f aca="true">IF(J383="","",J383-TODAY())</f>
        <v/>
      </c>
      <c r="T383" s="24" t="str">
        <f aca="false">IF(A383="","",IF(OR(AND(R383&lt;&gt;"",R383&lt;0),AND(S383&lt;&gt;"",S383&lt;0)),"EXPIRED",IF(OR(AND(R383&lt;&gt;"",R383&lt;=Settings!$B$15),AND(S383&lt;&gt;"",S383&lt;=Settings!$B$15)),"EXPIRING SOON","OK")))</f>
        <v/>
      </c>
      <c r="U383" s="24" t="str">
        <f aca="false">IF(AND(C383="Own",Q383="Active"),COUNTIFS($C$5:C383,"Own",$Q$5:Q383,"Active"),"")</f>
        <v/>
      </c>
      <c r="V383" s="26" t="str">
        <f aca="false">IF(C383&lt;&gt;"Own","",IF(K383="Hourly",N383,(L383+M383)/(Settings!$B$11*Settings!$B$12)))</f>
        <v/>
      </c>
    </row>
    <row r="384" customFormat="false" ht="15" hidden="false" customHeight="false" outlineLevel="0" collapsed="false">
      <c r="R384" s="25" t="str">
        <f aca="true">IF(I384="","",I384-TODAY())</f>
        <v/>
      </c>
      <c r="S384" s="25" t="str">
        <f aca="true">IF(J384="","",J384-TODAY())</f>
        <v/>
      </c>
      <c r="T384" s="24" t="str">
        <f aca="false">IF(A384="","",IF(OR(AND(R384&lt;&gt;"",R384&lt;0),AND(S384&lt;&gt;"",S384&lt;0)),"EXPIRED",IF(OR(AND(R384&lt;&gt;"",R384&lt;=Settings!$B$15),AND(S384&lt;&gt;"",S384&lt;=Settings!$B$15)),"EXPIRING SOON","OK")))</f>
        <v/>
      </c>
      <c r="U384" s="24" t="str">
        <f aca="false">IF(AND(C384="Own",Q384="Active"),COUNTIFS($C$5:C384,"Own",$Q$5:Q384,"Active"),"")</f>
        <v/>
      </c>
      <c r="V384" s="26" t="str">
        <f aca="false">IF(C384&lt;&gt;"Own","",IF(K384="Hourly",N384,(L384+M384)/(Settings!$B$11*Settings!$B$12)))</f>
        <v/>
      </c>
    </row>
    <row r="385" customFormat="false" ht="15" hidden="false" customHeight="false" outlineLevel="0" collapsed="false">
      <c r="R385" s="25" t="str">
        <f aca="true">IF(I385="","",I385-TODAY())</f>
        <v/>
      </c>
      <c r="S385" s="25" t="str">
        <f aca="true">IF(J385="","",J385-TODAY())</f>
        <v/>
      </c>
      <c r="T385" s="24" t="str">
        <f aca="false">IF(A385="","",IF(OR(AND(R385&lt;&gt;"",R385&lt;0),AND(S385&lt;&gt;"",S385&lt;0)),"EXPIRED",IF(OR(AND(R385&lt;&gt;"",R385&lt;=Settings!$B$15),AND(S385&lt;&gt;"",S385&lt;=Settings!$B$15)),"EXPIRING SOON","OK")))</f>
        <v/>
      </c>
      <c r="U385" s="24" t="str">
        <f aca="false">IF(AND(C385="Own",Q385="Active"),COUNTIFS($C$5:C385,"Own",$Q$5:Q385,"Active"),"")</f>
        <v/>
      </c>
      <c r="V385" s="26" t="str">
        <f aca="false">IF(C385&lt;&gt;"Own","",IF(K385="Hourly",N385,(L385+M385)/(Settings!$B$11*Settings!$B$12)))</f>
        <v/>
      </c>
    </row>
    <row r="386" customFormat="false" ht="15" hidden="false" customHeight="false" outlineLevel="0" collapsed="false">
      <c r="R386" s="25" t="str">
        <f aca="true">IF(I386="","",I386-TODAY())</f>
        <v/>
      </c>
      <c r="S386" s="25" t="str">
        <f aca="true">IF(J386="","",J386-TODAY())</f>
        <v/>
      </c>
      <c r="T386" s="24" t="str">
        <f aca="false">IF(A386="","",IF(OR(AND(R386&lt;&gt;"",R386&lt;0),AND(S386&lt;&gt;"",S386&lt;0)),"EXPIRED",IF(OR(AND(R386&lt;&gt;"",R386&lt;=Settings!$B$15),AND(S386&lt;&gt;"",S386&lt;=Settings!$B$15)),"EXPIRING SOON","OK")))</f>
        <v/>
      </c>
      <c r="U386" s="24" t="str">
        <f aca="false">IF(AND(C386="Own",Q386="Active"),COUNTIFS($C$5:C386,"Own",$Q$5:Q386,"Active"),"")</f>
        <v/>
      </c>
      <c r="V386" s="26" t="str">
        <f aca="false">IF(C386&lt;&gt;"Own","",IF(K386="Hourly",N386,(L386+M386)/(Settings!$B$11*Settings!$B$12)))</f>
        <v/>
      </c>
    </row>
    <row r="387" customFormat="false" ht="15" hidden="false" customHeight="false" outlineLevel="0" collapsed="false">
      <c r="R387" s="25" t="str">
        <f aca="true">IF(I387="","",I387-TODAY())</f>
        <v/>
      </c>
      <c r="S387" s="25" t="str">
        <f aca="true">IF(J387="","",J387-TODAY())</f>
        <v/>
      </c>
      <c r="T387" s="24" t="str">
        <f aca="false">IF(A387="","",IF(OR(AND(R387&lt;&gt;"",R387&lt;0),AND(S387&lt;&gt;"",S387&lt;0)),"EXPIRED",IF(OR(AND(R387&lt;&gt;"",R387&lt;=Settings!$B$15),AND(S387&lt;&gt;"",S387&lt;=Settings!$B$15)),"EXPIRING SOON","OK")))</f>
        <v/>
      </c>
      <c r="U387" s="24" t="str">
        <f aca="false">IF(AND(C387="Own",Q387="Active"),COUNTIFS($C$5:C387,"Own",$Q$5:Q387,"Active"),"")</f>
        <v/>
      </c>
      <c r="V387" s="26" t="str">
        <f aca="false">IF(C387&lt;&gt;"Own","",IF(K387="Hourly",N387,(L387+M387)/(Settings!$B$11*Settings!$B$12)))</f>
        <v/>
      </c>
    </row>
    <row r="388" customFormat="false" ht="15" hidden="false" customHeight="false" outlineLevel="0" collapsed="false">
      <c r="R388" s="25" t="str">
        <f aca="true">IF(I388="","",I388-TODAY())</f>
        <v/>
      </c>
      <c r="S388" s="25" t="str">
        <f aca="true">IF(J388="","",J388-TODAY())</f>
        <v/>
      </c>
      <c r="T388" s="24" t="str">
        <f aca="false">IF(A388="","",IF(OR(AND(R388&lt;&gt;"",R388&lt;0),AND(S388&lt;&gt;"",S388&lt;0)),"EXPIRED",IF(OR(AND(R388&lt;&gt;"",R388&lt;=Settings!$B$15),AND(S388&lt;&gt;"",S388&lt;=Settings!$B$15)),"EXPIRING SOON","OK")))</f>
        <v/>
      </c>
      <c r="U388" s="24" t="str">
        <f aca="false">IF(AND(C388="Own",Q388="Active"),COUNTIFS($C$5:C388,"Own",$Q$5:Q388,"Active"),"")</f>
        <v/>
      </c>
      <c r="V388" s="26" t="str">
        <f aca="false">IF(C388&lt;&gt;"Own","",IF(K388="Hourly",N388,(L388+M388)/(Settings!$B$11*Settings!$B$12)))</f>
        <v/>
      </c>
    </row>
    <row r="389" customFormat="false" ht="15" hidden="false" customHeight="false" outlineLevel="0" collapsed="false">
      <c r="R389" s="25" t="str">
        <f aca="true">IF(I389="","",I389-TODAY())</f>
        <v/>
      </c>
      <c r="S389" s="25" t="str">
        <f aca="true">IF(J389="","",J389-TODAY())</f>
        <v/>
      </c>
      <c r="T389" s="24" t="str">
        <f aca="false">IF(A389="","",IF(OR(AND(R389&lt;&gt;"",R389&lt;0),AND(S389&lt;&gt;"",S389&lt;0)),"EXPIRED",IF(OR(AND(R389&lt;&gt;"",R389&lt;=Settings!$B$15),AND(S389&lt;&gt;"",S389&lt;=Settings!$B$15)),"EXPIRING SOON","OK")))</f>
        <v/>
      </c>
      <c r="U389" s="24" t="str">
        <f aca="false">IF(AND(C389="Own",Q389="Active"),COUNTIFS($C$5:C389,"Own",$Q$5:Q389,"Active"),"")</f>
        <v/>
      </c>
      <c r="V389" s="26" t="str">
        <f aca="false">IF(C389&lt;&gt;"Own","",IF(K389="Hourly",N389,(L389+M389)/(Settings!$B$11*Settings!$B$12)))</f>
        <v/>
      </c>
    </row>
    <row r="390" customFormat="false" ht="15" hidden="false" customHeight="false" outlineLevel="0" collapsed="false">
      <c r="R390" s="25" t="str">
        <f aca="true">IF(I390="","",I390-TODAY())</f>
        <v/>
      </c>
      <c r="S390" s="25" t="str">
        <f aca="true">IF(J390="","",J390-TODAY())</f>
        <v/>
      </c>
      <c r="T390" s="24" t="str">
        <f aca="false">IF(A390="","",IF(OR(AND(R390&lt;&gt;"",R390&lt;0),AND(S390&lt;&gt;"",S390&lt;0)),"EXPIRED",IF(OR(AND(R390&lt;&gt;"",R390&lt;=Settings!$B$15),AND(S390&lt;&gt;"",S390&lt;=Settings!$B$15)),"EXPIRING SOON","OK")))</f>
        <v/>
      </c>
      <c r="U390" s="24" t="str">
        <f aca="false">IF(AND(C390="Own",Q390="Active"),COUNTIFS($C$5:C390,"Own",$Q$5:Q390,"Active"),"")</f>
        <v/>
      </c>
      <c r="V390" s="26" t="str">
        <f aca="false">IF(C390&lt;&gt;"Own","",IF(K390="Hourly",N390,(L390+M390)/(Settings!$B$11*Settings!$B$12)))</f>
        <v/>
      </c>
    </row>
    <row r="391" customFormat="false" ht="15" hidden="false" customHeight="false" outlineLevel="0" collapsed="false">
      <c r="R391" s="25" t="str">
        <f aca="true">IF(I391="","",I391-TODAY())</f>
        <v/>
      </c>
      <c r="S391" s="25" t="str">
        <f aca="true">IF(J391="","",J391-TODAY())</f>
        <v/>
      </c>
      <c r="T391" s="24" t="str">
        <f aca="false">IF(A391="","",IF(OR(AND(R391&lt;&gt;"",R391&lt;0),AND(S391&lt;&gt;"",S391&lt;0)),"EXPIRED",IF(OR(AND(R391&lt;&gt;"",R391&lt;=Settings!$B$15),AND(S391&lt;&gt;"",S391&lt;=Settings!$B$15)),"EXPIRING SOON","OK")))</f>
        <v/>
      </c>
      <c r="U391" s="24" t="str">
        <f aca="false">IF(AND(C391="Own",Q391="Active"),COUNTIFS($C$5:C391,"Own",$Q$5:Q391,"Active"),"")</f>
        <v/>
      </c>
      <c r="V391" s="26" t="str">
        <f aca="false">IF(C391&lt;&gt;"Own","",IF(K391="Hourly",N391,(L391+M391)/(Settings!$B$11*Settings!$B$12)))</f>
        <v/>
      </c>
    </row>
    <row r="392" customFormat="false" ht="15" hidden="false" customHeight="false" outlineLevel="0" collapsed="false">
      <c r="R392" s="25" t="str">
        <f aca="true">IF(I392="","",I392-TODAY())</f>
        <v/>
      </c>
      <c r="S392" s="25" t="str">
        <f aca="true">IF(J392="","",J392-TODAY())</f>
        <v/>
      </c>
      <c r="T392" s="24" t="str">
        <f aca="false">IF(A392="","",IF(OR(AND(R392&lt;&gt;"",R392&lt;0),AND(S392&lt;&gt;"",S392&lt;0)),"EXPIRED",IF(OR(AND(R392&lt;&gt;"",R392&lt;=Settings!$B$15),AND(S392&lt;&gt;"",S392&lt;=Settings!$B$15)),"EXPIRING SOON","OK")))</f>
        <v/>
      </c>
      <c r="U392" s="24" t="str">
        <f aca="false">IF(AND(C392="Own",Q392="Active"),COUNTIFS($C$5:C392,"Own",$Q$5:Q392,"Active"),"")</f>
        <v/>
      </c>
      <c r="V392" s="26" t="str">
        <f aca="false">IF(C392&lt;&gt;"Own","",IF(K392="Hourly",N392,(L392+M392)/(Settings!$B$11*Settings!$B$12)))</f>
        <v/>
      </c>
    </row>
    <row r="393" customFormat="false" ht="15" hidden="false" customHeight="false" outlineLevel="0" collapsed="false">
      <c r="R393" s="25" t="str">
        <f aca="true">IF(I393="","",I393-TODAY())</f>
        <v/>
      </c>
      <c r="S393" s="25" t="str">
        <f aca="true">IF(J393="","",J393-TODAY())</f>
        <v/>
      </c>
      <c r="T393" s="24" t="str">
        <f aca="false">IF(A393="","",IF(OR(AND(R393&lt;&gt;"",R393&lt;0),AND(S393&lt;&gt;"",S393&lt;0)),"EXPIRED",IF(OR(AND(R393&lt;&gt;"",R393&lt;=Settings!$B$15),AND(S393&lt;&gt;"",S393&lt;=Settings!$B$15)),"EXPIRING SOON","OK")))</f>
        <v/>
      </c>
      <c r="U393" s="24" t="str">
        <f aca="false">IF(AND(C393="Own",Q393="Active"),COUNTIFS($C$5:C393,"Own",$Q$5:Q393,"Active"),"")</f>
        <v/>
      </c>
      <c r="V393" s="26" t="str">
        <f aca="false">IF(C393&lt;&gt;"Own","",IF(K393="Hourly",N393,(L393+M393)/(Settings!$B$11*Settings!$B$12)))</f>
        <v/>
      </c>
    </row>
    <row r="394" customFormat="false" ht="15" hidden="false" customHeight="false" outlineLevel="0" collapsed="false">
      <c r="R394" s="25" t="str">
        <f aca="true">IF(I394="","",I394-TODAY())</f>
        <v/>
      </c>
      <c r="S394" s="25" t="str">
        <f aca="true">IF(J394="","",J394-TODAY())</f>
        <v/>
      </c>
      <c r="T394" s="24" t="str">
        <f aca="false">IF(A394="","",IF(OR(AND(R394&lt;&gt;"",R394&lt;0),AND(S394&lt;&gt;"",S394&lt;0)),"EXPIRED",IF(OR(AND(R394&lt;&gt;"",R394&lt;=Settings!$B$15),AND(S394&lt;&gt;"",S394&lt;=Settings!$B$15)),"EXPIRING SOON","OK")))</f>
        <v/>
      </c>
      <c r="U394" s="24" t="str">
        <f aca="false">IF(AND(C394="Own",Q394="Active"),COUNTIFS($C$5:C394,"Own",$Q$5:Q394,"Active"),"")</f>
        <v/>
      </c>
      <c r="V394" s="26" t="str">
        <f aca="false">IF(C394&lt;&gt;"Own","",IF(K394="Hourly",N394,(L394+M394)/(Settings!$B$11*Settings!$B$12)))</f>
        <v/>
      </c>
    </row>
    <row r="395" customFormat="false" ht="15" hidden="false" customHeight="false" outlineLevel="0" collapsed="false">
      <c r="R395" s="25" t="str">
        <f aca="true">IF(I395="","",I395-TODAY())</f>
        <v/>
      </c>
      <c r="S395" s="25" t="str">
        <f aca="true">IF(J395="","",J395-TODAY())</f>
        <v/>
      </c>
      <c r="T395" s="24" t="str">
        <f aca="false">IF(A395="","",IF(OR(AND(R395&lt;&gt;"",R395&lt;0),AND(S395&lt;&gt;"",S395&lt;0)),"EXPIRED",IF(OR(AND(R395&lt;&gt;"",R395&lt;=Settings!$B$15),AND(S395&lt;&gt;"",S395&lt;=Settings!$B$15)),"EXPIRING SOON","OK")))</f>
        <v/>
      </c>
      <c r="U395" s="24" t="str">
        <f aca="false">IF(AND(C395="Own",Q395="Active"),COUNTIFS($C$5:C395,"Own",$Q$5:Q395,"Active"),"")</f>
        <v/>
      </c>
      <c r="V395" s="26" t="str">
        <f aca="false">IF(C395&lt;&gt;"Own","",IF(K395="Hourly",N395,(L395+M395)/(Settings!$B$11*Settings!$B$12)))</f>
        <v/>
      </c>
    </row>
    <row r="396" customFormat="false" ht="15" hidden="false" customHeight="false" outlineLevel="0" collapsed="false">
      <c r="R396" s="25" t="str">
        <f aca="true">IF(I396="","",I396-TODAY())</f>
        <v/>
      </c>
      <c r="S396" s="25" t="str">
        <f aca="true">IF(J396="","",J396-TODAY())</f>
        <v/>
      </c>
      <c r="T396" s="24" t="str">
        <f aca="false">IF(A396="","",IF(OR(AND(R396&lt;&gt;"",R396&lt;0),AND(S396&lt;&gt;"",S396&lt;0)),"EXPIRED",IF(OR(AND(R396&lt;&gt;"",R396&lt;=Settings!$B$15),AND(S396&lt;&gt;"",S396&lt;=Settings!$B$15)),"EXPIRING SOON","OK")))</f>
        <v/>
      </c>
      <c r="U396" s="24" t="str">
        <f aca="false">IF(AND(C396="Own",Q396="Active"),COUNTIFS($C$5:C396,"Own",$Q$5:Q396,"Active"),"")</f>
        <v/>
      </c>
      <c r="V396" s="26" t="str">
        <f aca="false">IF(C396&lt;&gt;"Own","",IF(K396="Hourly",N396,(L396+M396)/(Settings!$B$11*Settings!$B$12)))</f>
        <v/>
      </c>
    </row>
    <row r="397" customFormat="false" ht="15" hidden="false" customHeight="false" outlineLevel="0" collapsed="false">
      <c r="R397" s="25" t="str">
        <f aca="true">IF(I397="","",I397-TODAY())</f>
        <v/>
      </c>
      <c r="S397" s="25" t="str">
        <f aca="true">IF(J397="","",J397-TODAY())</f>
        <v/>
      </c>
      <c r="T397" s="24" t="str">
        <f aca="false">IF(A397="","",IF(OR(AND(R397&lt;&gt;"",R397&lt;0),AND(S397&lt;&gt;"",S397&lt;0)),"EXPIRED",IF(OR(AND(R397&lt;&gt;"",R397&lt;=Settings!$B$15),AND(S397&lt;&gt;"",S397&lt;=Settings!$B$15)),"EXPIRING SOON","OK")))</f>
        <v/>
      </c>
      <c r="U397" s="24" t="str">
        <f aca="false">IF(AND(C397="Own",Q397="Active"),COUNTIFS($C$5:C397,"Own",$Q$5:Q397,"Active"),"")</f>
        <v/>
      </c>
      <c r="V397" s="26" t="str">
        <f aca="false">IF(C397&lt;&gt;"Own","",IF(K397="Hourly",N397,(L397+M397)/(Settings!$B$11*Settings!$B$12)))</f>
        <v/>
      </c>
    </row>
    <row r="398" customFormat="false" ht="15" hidden="false" customHeight="false" outlineLevel="0" collapsed="false">
      <c r="R398" s="25" t="str">
        <f aca="true">IF(I398="","",I398-TODAY())</f>
        <v/>
      </c>
      <c r="S398" s="25" t="str">
        <f aca="true">IF(J398="","",J398-TODAY())</f>
        <v/>
      </c>
      <c r="T398" s="24" t="str">
        <f aca="false">IF(A398="","",IF(OR(AND(R398&lt;&gt;"",R398&lt;0),AND(S398&lt;&gt;"",S398&lt;0)),"EXPIRED",IF(OR(AND(R398&lt;&gt;"",R398&lt;=Settings!$B$15),AND(S398&lt;&gt;"",S398&lt;=Settings!$B$15)),"EXPIRING SOON","OK")))</f>
        <v/>
      </c>
      <c r="U398" s="24" t="str">
        <f aca="false">IF(AND(C398="Own",Q398="Active"),COUNTIFS($C$5:C398,"Own",$Q$5:Q398,"Active"),"")</f>
        <v/>
      </c>
      <c r="V398" s="26" t="str">
        <f aca="false">IF(C398&lt;&gt;"Own","",IF(K398="Hourly",N398,(L398+M398)/(Settings!$B$11*Settings!$B$12)))</f>
        <v/>
      </c>
    </row>
    <row r="399" customFormat="false" ht="15" hidden="false" customHeight="false" outlineLevel="0" collapsed="false">
      <c r="R399" s="25" t="str">
        <f aca="true">IF(I399="","",I399-TODAY())</f>
        <v/>
      </c>
      <c r="S399" s="25" t="str">
        <f aca="true">IF(J399="","",J399-TODAY())</f>
        <v/>
      </c>
      <c r="T399" s="24" t="str">
        <f aca="false">IF(A399="","",IF(OR(AND(R399&lt;&gt;"",R399&lt;0),AND(S399&lt;&gt;"",S399&lt;0)),"EXPIRED",IF(OR(AND(R399&lt;&gt;"",R399&lt;=Settings!$B$15),AND(S399&lt;&gt;"",S399&lt;=Settings!$B$15)),"EXPIRING SOON","OK")))</f>
        <v/>
      </c>
      <c r="U399" s="24" t="str">
        <f aca="false">IF(AND(C399="Own",Q399="Active"),COUNTIFS($C$5:C399,"Own",$Q$5:Q399,"Active"),"")</f>
        <v/>
      </c>
      <c r="V399" s="26" t="str">
        <f aca="false">IF(C399&lt;&gt;"Own","",IF(K399="Hourly",N399,(L399+M399)/(Settings!$B$11*Settings!$B$12)))</f>
        <v/>
      </c>
    </row>
    <row r="400" customFormat="false" ht="15" hidden="false" customHeight="false" outlineLevel="0" collapsed="false">
      <c r="R400" s="25" t="str">
        <f aca="true">IF(I400="","",I400-TODAY())</f>
        <v/>
      </c>
      <c r="S400" s="25" t="str">
        <f aca="true">IF(J400="","",J400-TODAY())</f>
        <v/>
      </c>
      <c r="T400" s="24" t="str">
        <f aca="false">IF(A400="","",IF(OR(AND(R400&lt;&gt;"",R400&lt;0),AND(S400&lt;&gt;"",S400&lt;0)),"EXPIRED",IF(OR(AND(R400&lt;&gt;"",R400&lt;=Settings!$B$15),AND(S400&lt;&gt;"",S400&lt;=Settings!$B$15)),"EXPIRING SOON","OK")))</f>
        <v/>
      </c>
      <c r="U400" s="24" t="str">
        <f aca="false">IF(AND(C400="Own",Q400="Active"),COUNTIFS($C$5:C400,"Own",$Q$5:Q400,"Active"),"")</f>
        <v/>
      </c>
      <c r="V400" s="26" t="str">
        <f aca="false">IF(C400&lt;&gt;"Own","",IF(K400="Hourly",N400,(L400+M400)/(Settings!$B$11*Settings!$B$12)))</f>
        <v/>
      </c>
    </row>
    <row r="401" customFormat="false" ht="15" hidden="false" customHeight="false" outlineLevel="0" collapsed="false">
      <c r="R401" s="25" t="str">
        <f aca="true">IF(I401="","",I401-TODAY())</f>
        <v/>
      </c>
      <c r="S401" s="25" t="str">
        <f aca="true">IF(J401="","",J401-TODAY())</f>
        <v/>
      </c>
      <c r="T401" s="24" t="str">
        <f aca="false">IF(A401="","",IF(OR(AND(R401&lt;&gt;"",R401&lt;0),AND(S401&lt;&gt;"",S401&lt;0)),"EXPIRED",IF(OR(AND(R401&lt;&gt;"",R401&lt;=Settings!$B$15),AND(S401&lt;&gt;"",S401&lt;=Settings!$B$15)),"EXPIRING SOON","OK")))</f>
        <v/>
      </c>
      <c r="U401" s="24" t="str">
        <f aca="false">IF(AND(C401="Own",Q401="Active"),COUNTIFS($C$5:C401,"Own",$Q$5:Q401,"Active"),"")</f>
        <v/>
      </c>
      <c r="V401" s="26" t="str">
        <f aca="false">IF(C401&lt;&gt;"Own","",IF(K401="Hourly",N401,(L401+M401)/(Settings!$B$11*Settings!$B$12)))</f>
        <v/>
      </c>
    </row>
    <row r="402" customFormat="false" ht="15" hidden="false" customHeight="false" outlineLevel="0" collapsed="false">
      <c r="R402" s="25" t="str">
        <f aca="true">IF(I402="","",I402-TODAY())</f>
        <v/>
      </c>
      <c r="S402" s="25" t="str">
        <f aca="true">IF(J402="","",J402-TODAY())</f>
        <v/>
      </c>
      <c r="T402" s="24" t="str">
        <f aca="false">IF(A402="","",IF(OR(AND(R402&lt;&gt;"",R402&lt;0),AND(S402&lt;&gt;"",S402&lt;0)),"EXPIRED",IF(OR(AND(R402&lt;&gt;"",R402&lt;=Settings!$B$15),AND(S402&lt;&gt;"",S402&lt;=Settings!$B$15)),"EXPIRING SOON","OK")))</f>
        <v/>
      </c>
      <c r="U402" s="24" t="str">
        <f aca="false">IF(AND(C402="Own",Q402="Active"),COUNTIFS($C$5:C402,"Own",$Q$5:Q402,"Active"),"")</f>
        <v/>
      </c>
      <c r="V402" s="26" t="str">
        <f aca="false">IF(C402&lt;&gt;"Own","",IF(K402="Hourly",N402,(L402+M402)/(Settings!$B$11*Settings!$B$12)))</f>
        <v/>
      </c>
    </row>
    <row r="403" customFormat="false" ht="15" hidden="false" customHeight="false" outlineLevel="0" collapsed="false">
      <c r="R403" s="25" t="str">
        <f aca="true">IF(I403="","",I403-TODAY())</f>
        <v/>
      </c>
      <c r="S403" s="25" t="str">
        <f aca="true">IF(J403="","",J403-TODAY())</f>
        <v/>
      </c>
      <c r="T403" s="24" t="str">
        <f aca="false">IF(A403="","",IF(OR(AND(R403&lt;&gt;"",R403&lt;0),AND(S403&lt;&gt;"",S403&lt;0)),"EXPIRED",IF(OR(AND(R403&lt;&gt;"",R403&lt;=Settings!$B$15),AND(S403&lt;&gt;"",S403&lt;=Settings!$B$15)),"EXPIRING SOON","OK")))</f>
        <v/>
      </c>
      <c r="U403" s="24" t="str">
        <f aca="false">IF(AND(C403="Own",Q403="Active"),COUNTIFS($C$5:C403,"Own",$Q$5:Q403,"Active"),"")</f>
        <v/>
      </c>
      <c r="V403" s="26" t="str">
        <f aca="false">IF(C403&lt;&gt;"Own","",IF(K403="Hourly",N403,(L403+M403)/(Settings!$B$11*Settings!$B$12)))</f>
        <v/>
      </c>
    </row>
    <row r="404" customFormat="false" ht="15" hidden="false" customHeight="false" outlineLevel="0" collapsed="false">
      <c r="R404" s="25" t="str">
        <f aca="true">IF(I404="","",I404-TODAY())</f>
        <v/>
      </c>
      <c r="S404" s="25" t="str">
        <f aca="true">IF(J404="","",J404-TODAY())</f>
        <v/>
      </c>
      <c r="T404" s="24" t="str">
        <f aca="false">IF(A404="","",IF(OR(AND(R404&lt;&gt;"",R404&lt;0),AND(S404&lt;&gt;"",S404&lt;0)),"EXPIRED",IF(OR(AND(R404&lt;&gt;"",R404&lt;=Settings!$B$15),AND(S404&lt;&gt;"",S404&lt;=Settings!$B$15)),"EXPIRING SOON","OK")))</f>
        <v/>
      </c>
      <c r="U404" s="24" t="str">
        <f aca="false">IF(AND(C404="Own",Q404="Active"),COUNTIFS($C$5:C404,"Own",$Q$5:Q404,"Active"),"")</f>
        <v/>
      </c>
      <c r="V404" s="26" t="str">
        <f aca="false">IF(C404&lt;&gt;"Own","",IF(K404="Hourly",N404,(L404+M404)/(Settings!$B$11*Settings!$B$12)))</f>
        <v/>
      </c>
    </row>
    <row r="405" customFormat="false" ht="15" hidden="false" customHeight="false" outlineLevel="0" collapsed="false">
      <c r="R405" s="25" t="str">
        <f aca="true">IF(I405="","",I405-TODAY())</f>
        <v/>
      </c>
      <c r="S405" s="25" t="str">
        <f aca="true">IF(J405="","",J405-TODAY())</f>
        <v/>
      </c>
      <c r="T405" s="24" t="str">
        <f aca="false">IF(A405="","",IF(OR(AND(R405&lt;&gt;"",R405&lt;0),AND(S405&lt;&gt;"",S405&lt;0)),"EXPIRED",IF(OR(AND(R405&lt;&gt;"",R405&lt;=Settings!$B$15),AND(S405&lt;&gt;"",S405&lt;=Settings!$B$15)),"EXPIRING SOON","OK")))</f>
        <v/>
      </c>
      <c r="U405" s="24" t="str">
        <f aca="false">IF(AND(C405="Own",Q405="Active"),COUNTIFS($C$5:C405,"Own",$Q$5:Q405,"Active"),"")</f>
        <v/>
      </c>
      <c r="V405" s="26" t="str">
        <f aca="false">IF(C405&lt;&gt;"Own","",IF(K405="Hourly",N405,(L405+M405)/(Settings!$B$11*Settings!$B$12)))</f>
        <v/>
      </c>
    </row>
    <row r="406" customFormat="false" ht="15" hidden="false" customHeight="false" outlineLevel="0" collapsed="false">
      <c r="R406" s="25" t="str">
        <f aca="true">IF(I406="","",I406-TODAY())</f>
        <v/>
      </c>
      <c r="S406" s="25" t="str">
        <f aca="true">IF(J406="","",J406-TODAY())</f>
        <v/>
      </c>
      <c r="T406" s="24" t="str">
        <f aca="false">IF(A406="","",IF(OR(AND(R406&lt;&gt;"",R406&lt;0),AND(S406&lt;&gt;"",S406&lt;0)),"EXPIRED",IF(OR(AND(R406&lt;&gt;"",R406&lt;=Settings!$B$15),AND(S406&lt;&gt;"",S406&lt;=Settings!$B$15)),"EXPIRING SOON","OK")))</f>
        <v/>
      </c>
      <c r="U406" s="24" t="str">
        <f aca="false">IF(AND(C406="Own",Q406="Active"),COUNTIFS($C$5:C406,"Own",$Q$5:Q406,"Active"),"")</f>
        <v/>
      </c>
      <c r="V406" s="26" t="str">
        <f aca="false">IF(C406&lt;&gt;"Own","",IF(K406="Hourly",N406,(L406+M406)/(Settings!$B$11*Settings!$B$12)))</f>
        <v/>
      </c>
    </row>
    <row r="407" customFormat="false" ht="15" hidden="false" customHeight="false" outlineLevel="0" collapsed="false">
      <c r="R407" s="25" t="str">
        <f aca="true">IF(I407="","",I407-TODAY())</f>
        <v/>
      </c>
      <c r="S407" s="25" t="str">
        <f aca="true">IF(J407="","",J407-TODAY())</f>
        <v/>
      </c>
      <c r="T407" s="24" t="str">
        <f aca="false">IF(A407="","",IF(OR(AND(R407&lt;&gt;"",R407&lt;0),AND(S407&lt;&gt;"",S407&lt;0)),"EXPIRED",IF(OR(AND(R407&lt;&gt;"",R407&lt;=Settings!$B$15),AND(S407&lt;&gt;"",S407&lt;=Settings!$B$15)),"EXPIRING SOON","OK")))</f>
        <v/>
      </c>
      <c r="U407" s="24" t="str">
        <f aca="false">IF(AND(C407="Own",Q407="Active"),COUNTIFS($C$5:C407,"Own",$Q$5:Q407,"Active"),"")</f>
        <v/>
      </c>
      <c r="V407" s="26" t="str">
        <f aca="false">IF(C407&lt;&gt;"Own","",IF(K407="Hourly",N407,(L407+M407)/(Settings!$B$11*Settings!$B$12)))</f>
        <v/>
      </c>
    </row>
    <row r="408" customFormat="false" ht="15" hidden="false" customHeight="false" outlineLevel="0" collapsed="false">
      <c r="R408" s="25" t="str">
        <f aca="true">IF(I408="","",I408-TODAY())</f>
        <v/>
      </c>
      <c r="S408" s="25" t="str">
        <f aca="true">IF(J408="","",J408-TODAY())</f>
        <v/>
      </c>
      <c r="T408" s="24" t="str">
        <f aca="false">IF(A408="","",IF(OR(AND(R408&lt;&gt;"",R408&lt;0),AND(S408&lt;&gt;"",S408&lt;0)),"EXPIRED",IF(OR(AND(R408&lt;&gt;"",R408&lt;=Settings!$B$15),AND(S408&lt;&gt;"",S408&lt;=Settings!$B$15)),"EXPIRING SOON","OK")))</f>
        <v/>
      </c>
      <c r="U408" s="24" t="str">
        <f aca="false">IF(AND(C408="Own",Q408="Active"),COUNTIFS($C$5:C408,"Own",$Q$5:Q408,"Active"),"")</f>
        <v/>
      </c>
      <c r="V408" s="26" t="str">
        <f aca="false">IF(C408&lt;&gt;"Own","",IF(K408="Hourly",N408,(L408+M408)/(Settings!$B$11*Settings!$B$12)))</f>
        <v/>
      </c>
    </row>
    <row r="409" customFormat="false" ht="15" hidden="false" customHeight="false" outlineLevel="0" collapsed="false">
      <c r="R409" s="25" t="str">
        <f aca="true">IF(I409="","",I409-TODAY())</f>
        <v/>
      </c>
      <c r="S409" s="25" t="str">
        <f aca="true">IF(J409="","",J409-TODAY())</f>
        <v/>
      </c>
      <c r="T409" s="24" t="str">
        <f aca="false">IF(A409="","",IF(OR(AND(R409&lt;&gt;"",R409&lt;0),AND(S409&lt;&gt;"",S409&lt;0)),"EXPIRED",IF(OR(AND(R409&lt;&gt;"",R409&lt;=Settings!$B$15),AND(S409&lt;&gt;"",S409&lt;=Settings!$B$15)),"EXPIRING SOON","OK")))</f>
        <v/>
      </c>
      <c r="U409" s="24" t="str">
        <f aca="false">IF(AND(C409="Own",Q409="Active"),COUNTIFS($C$5:C409,"Own",$Q$5:Q409,"Active"),"")</f>
        <v/>
      </c>
      <c r="V409" s="26" t="str">
        <f aca="false">IF(C409&lt;&gt;"Own","",IF(K409="Hourly",N409,(L409+M409)/(Settings!$B$11*Settings!$B$12)))</f>
        <v/>
      </c>
    </row>
    <row r="410" customFormat="false" ht="15" hidden="false" customHeight="false" outlineLevel="0" collapsed="false">
      <c r="R410" s="25" t="str">
        <f aca="true">IF(I410="","",I410-TODAY())</f>
        <v/>
      </c>
      <c r="S410" s="25" t="str">
        <f aca="true">IF(J410="","",J410-TODAY())</f>
        <v/>
      </c>
      <c r="T410" s="24" t="str">
        <f aca="false">IF(A410="","",IF(OR(AND(R410&lt;&gt;"",R410&lt;0),AND(S410&lt;&gt;"",S410&lt;0)),"EXPIRED",IF(OR(AND(R410&lt;&gt;"",R410&lt;=Settings!$B$15),AND(S410&lt;&gt;"",S410&lt;=Settings!$B$15)),"EXPIRING SOON","OK")))</f>
        <v/>
      </c>
      <c r="U410" s="24" t="str">
        <f aca="false">IF(AND(C410="Own",Q410="Active"),COUNTIFS($C$5:C410,"Own",$Q$5:Q410,"Active"),"")</f>
        <v/>
      </c>
      <c r="V410" s="26" t="str">
        <f aca="false">IF(C410&lt;&gt;"Own","",IF(K410="Hourly",N410,(L410+M410)/(Settings!$B$11*Settings!$B$12)))</f>
        <v/>
      </c>
    </row>
    <row r="411" customFormat="false" ht="15" hidden="false" customHeight="false" outlineLevel="0" collapsed="false">
      <c r="R411" s="25" t="str">
        <f aca="true">IF(I411="","",I411-TODAY())</f>
        <v/>
      </c>
      <c r="S411" s="25" t="str">
        <f aca="true">IF(J411="","",J411-TODAY())</f>
        <v/>
      </c>
      <c r="T411" s="24" t="str">
        <f aca="false">IF(A411="","",IF(OR(AND(R411&lt;&gt;"",R411&lt;0),AND(S411&lt;&gt;"",S411&lt;0)),"EXPIRED",IF(OR(AND(R411&lt;&gt;"",R411&lt;=Settings!$B$15),AND(S411&lt;&gt;"",S411&lt;=Settings!$B$15)),"EXPIRING SOON","OK")))</f>
        <v/>
      </c>
      <c r="U411" s="24" t="str">
        <f aca="false">IF(AND(C411="Own",Q411="Active"),COUNTIFS($C$5:C411,"Own",$Q$5:Q411,"Active"),"")</f>
        <v/>
      </c>
      <c r="V411" s="26" t="str">
        <f aca="false">IF(C411&lt;&gt;"Own","",IF(K411="Hourly",N411,(L411+M411)/(Settings!$B$11*Settings!$B$12)))</f>
        <v/>
      </c>
    </row>
    <row r="412" customFormat="false" ht="15" hidden="false" customHeight="false" outlineLevel="0" collapsed="false">
      <c r="R412" s="25" t="str">
        <f aca="true">IF(I412="","",I412-TODAY())</f>
        <v/>
      </c>
      <c r="S412" s="25" t="str">
        <f aca="true">IF(J412="","",J412-TODAY())</f>
        <v/>
      </c>
      <c r="T412" s="24" t="str">
        <f aca="false">IF(A412="","",IF(OR(AND(R412&lt;&gt;"",R412&lt;0),AND(S412&lt;&gt;"",S412&lt;0)),"EXPIRED",IF(OR(AND(R412&lt;&gt;"",R412&lt;=Settings!$B$15),AND(S412&lt;&gt;"",S412&lt;=Settings!$B$15)),"EXPIRING SOON","OK")))</f>
        <v/>
      </c>
      <c r="U412" s="24" t="str">
        <f aca="false">IF(AND(C412="Own",Q412="Active"),COUNTIFS($C$5:C412,"Own",$Q$5:Q412,"Active"),"")</f>
        <v/>
      </c>
      <c r="V412" s="26" t="str">
        <f aca="false">IF(C412&lt;&gt;"Own","",IF(K412="Hourly",N412,(L412+M412)/(Settings!$B$11*Settings!$B$12)))</f>
        <v/>
      </c>
    </row>
    <row r="413" customFormat="false" ht="15" hidden="false" customHeight="false" outlineLevel="0" collapsed="false">
      <c r="R413" s="25" t="str">
        <f aca="true">IF(I413="","",I413-TODAY())</f>
        <v/>
      </c>
      <c r="S413" s="25" t="str">
        <f aca="true">IF(J413="","",J413-TODAY())</f>
        <v/>
      </c>
      <c r="T413" s="24" t="str">
        <f aca="false">IF(A413="","",IF(OR(AND(R413&lt;&gt;"",R413&lt;0),AND(S413&lt;&gt;"",S413&lt;0)),"EXPIRED",IF(OR(AND(R413&lt;&gt;"",R413&lt;=Settings!$B$15),AND(S413&lt;&gt;"",S413&lt;=Settings!$B$15)),"EXPIRING SOON","OK")))</f>
        <v/>
      </c>
      <c r="U413" s="24" t="str">
        <f aca="false">IF(AND(C413="Own",Q413="Active"),COUNTIFS($C$5:C413,"Own",$Q$5:Q413,"Active"),"")</f>
        <v/>
      </c>
      <c r="V413" s="26" t="str">
        <f aca="false">IF(C413&lt;&gt;"Own","",IF(K413="Hourly",N413,(L413+M413)/(Settings!$B$11*Settings!$B$12)))</f>
        <v/>
      </c>
    </row>
    <row r="414" customFormat="false" ht="15" hidden="false" customHeight="false" outlineLevel="0" collapsed="false">
      <c r="R414" s="25" t="str">
        <f aca="true">IF(I414="","",I414-TODAY())</f>
        <v/>
      </c>
      <c r="S414" s="25" t="str">
        <f aca="true">IF(J414="","",J414-TODAY())</f>
        <v/>
      </c>
      <c r="T414" s="24" t="str">
        <f aca="false">IF(A414="","",IF(OR(AND(R414&lt;&gt;"",R414&lt;0),AND(S414&lt;&gt;"",S414&lt;0)),"EXPIRED",IF(OR(AND(R414&lt;&gt;"",R414&lt;=Settings!$B$15),AND(S414&lt;&gt;"",S414&lt;=Settings!$B$15)),"EXPIRING SOON","OK")))</f>
        <v/>
      </c>
      <c r="U414" s="24" t="str">
        <f aca="false">IF(AND(C414="Own",Q414="Active"),COUNTIFS($C$5:C414,"Own",$Q$5:Q414,"Active"),"")</f>
        <v/>
      </c>
      <c r="V414" s="26" t="str">
        <f aca="false">IF(C414&lt;&gt;"Own","",IF(K414="Hourly",N414,(L414+M414)/(Settings!$B$11*Settings!$B$12)))</f>
        <v/>
      </c>
    </row>
    <row r="415" customFormat="false" ht="15" hidden="false" customHeight="false" outlineLevel="0" collapsed="false">
      <c r="R415" s="25" t="str">
        <f aca="true">IF(I415="","",I415-TODAY())</f>
        <v/>
      </c>
      <c r="S415" s="25" t="str">
        <f aca="true">IF(J415="","",J415-TODAY())</f>
        <v/>
      </c>
      <c r="T415" s="24" t="str">
        <f aca="false">IF(A415="","",IF(OR(AND(R415&lt;&gt;"",R415&lt;0),AND(S415&lt;&gt;"",S415&lt;0)),"EXPIRED",IF(OR(AND(R415&lt;&gt;"",R415&lt;=Settings!$B$15),AND(S415&lt;&gt;"",S415&lt;=Settings!$B$15)),"EXPIRING SOON","OK")))</f>
        <v/>
      </c>
      <c r="U415" s="24" t="str">
        <f aca="false">IF(AND(C415="Own",Q415="Active"),COUNTIFS($C$5:C415,"Own",$Q$5:Q415,"Active"),"")</f>
        <v/>
      </c>
      <c r="V415" s="26" t="str">
        <f aca="false">IF(C415&lt;&gt;"Own","",IF(K415="Hourly",N415,(L415+M415)/(Settings!$B$11*Settings!$B$12)))</f>
        <v/>
      </c>
    </row>
    <row r="416" customFormat="false" ht="15" hidden="false" customHeight="false" outlineLevel="0" collapsed="false">
      <c r="R416" s="25" t="str">
        <f aca="true">IF(I416="","",I416-TODAY())</f>
        <v/>
      </c>
      <c r="S416" s="25" t="str">
        <f aca="true">IF(J416="","",J416-TODAY())</f>
        <v/>
      </c>
      <c r="T416" s="24" t="str">
        <f aca="false">IF(A416="","",IF(OR(AND(R416&lt;&gt;"",R416&lt;0),AND(S416&lt;&gt;"",S416&lt;0)),"EXPIRED",IF(OR(AND(R416&lt;&gt;"",R416&lt;=Settings!$B$15),AND(S416&lt;&gt;"",S416&lt;=Settings!$B$15)),"EXPIRING SOON","OK")))</f>
        <v/>
      </c>
      <c r="U416" s="24" t="str">
        <f aca="false">IF(AND(C416="Own",Q416="Active"),COUNTIFS($C$5:C416,"Own",$Q$5:Q416,"Active"),"")</f>
        <v/>
      </c>
      <c r="V416" s="26" t="str">
        <f aca="false">IF(C416&lt;&gt;"Own","",IF(K416="Hourly",N416,(L416+M416)/(Settings!$B$11*Settings!$B$12)))</f>
        <v/>
      </c>
    </row>
    <row r="417" customFormat="false" ht="15" hidden="false" customHeight="false" outlineLevel="0" collapsed="false">
      <c r="R417" s="25" t="str">
        <f aca="true">IF(I417="","",I417-TODAY())</f>
        <v/>
      </c>
      <c r="S417" s="25" t="str">
        <f aca="true">IF(J417="","",J417-TODAY())</f>
        <v/>
      </c>
      <c r="T417" s="24" t="str">
        <f aca="false">IF(A417="","",IF(OR(AND(R417&lt;&gt;"",R417&lt;0),AND(S417&lt;&gt;"",S417&lt;0)),"EXPIRED",IF(OR(AND(R417&lt;&gt;"",R417&lt;=Settings!$B$15),AND(S417&lt;&gt;"",S417&lt;=Settings!$B$15)),"EXPIRING SOON","OK")))</f>
        <v/>
      </c>
      <c r="U417" s="24" t="str">
        <f aca="false">IF(AND(C417="Own",Q417="Active"),COUNTIFS($C$5:C417,"Own",$Q$5:Q417,"Active"),"")</f>
        <v/>
      </c>
      <c r="V417" s="26" t="str">
        <f aca="false">IF(C417&lt;&gt;"Own","",IF(K417="Hourly",N417,(L417+M417)/(Settings!$B$11*Settings!$B$12)))</f>
        <v/>
      </c>
    </row>
    <row r="418" customFormat="false" ht="15" hidden="false" customHeight="false" outlineLevel="0" collapsed="false">
      <c r="R418" s="25" t="str">
        <f aca="true">IF(I418="","",I418-TODAY())</f>
        <v/>
      </c>
      <c r="S418" s="25" t="str">
        <f aca="true">IF(J418="","",J418-TODAY())</f>
        <v/>
      </c>
      <c r="T418" s="24" t="str">
        <f aca="false">IF(A418="","",IF(OR(AND(R418&lt;&gt;"",R418&lt;0),AND(S418&lt;&gt;"",S418&lt;0)),"EXPIRED",IF(OR(AND(R418&lt;&gt;"",R418&lt;=Settings!$B$15),AND(S418&lt;&gt;"",S418&lt;=Settings!$B$15)),"EXPIRING SOON","OK")))</f>
        <v/>
      </c>
      <c r="U418" s="24" t="str">
        <f aca="false">IF(AND(C418="Own",Q418="Active"),COUNTIFS($C$5:C418,"Own",$Q$5:Q418,"Active"),"")</f>
        <v/>
      </c>
      <c r="V418" s="26" t="str">
        <f aca="false">IF(C418&lt;&gt;"Own","",IF(K418="Hourly",N418,(L418+M418)/(Settings!$B$11*Settings!$B$12)))</f>
        <v/>
      </c>
    </row>
    <row r="419" customFormat="false" ht="15" hidden="false" customHeight="false" outlineLevel="0" collapsed="false">
      <c r="R419" s="25" t="str">
        <f aca="true">IF(I419="","",I419-TODAY())</f>
        <v/>
      </c>
      <c r="S419" s="25" t="str">
        <f aca="true">IF(J419="","",J419-TODAY())</f>
        <v/>
      </c>
      <c r="T419" s="24" t="str">
        <f aca="false">IF(A419="","",IF(OR(AND(R419&lt;&gt;"",R419&lt;0),AND(S419&lt;&gt;"",S419&lt;0)),"EXPIRED",IF(OR(AND(R419&lt;&gt;"",R419&lt;=Settings!$B$15),AND(S419&lt;&gt;"",S419&lt;=Settings!$B$15)),"EXPIRING SOON","OK")))</f>
        <v/>
      </c>
      <c r="U419" s="24" t="str">
        <f aca="false">IF(AND(C419="Own",Q419="Active"),COUNTIFS($C$5:C419,"Own",$Q$5:Q419,"Active"),"")</f>
        <v/>
      </c>
      <c r="V419" s="26" t="str">
        <f aca="false">IF(C419&lt;&gt;"Own","",IF(K419="Hourly",N419,(L419+M419)/(Settings!$B$11*Settings!$B$12)))</f>
        <v/>
      </c>
    </row>
    <row r="420" customFormat="false" ht="15" hidden="false" customHeight="false" outlineLevel="0" collapsed="false">
      <c r="R420" s="25" t="str">
        <f aca="true">IF(I420="","",I420-TODAY())</f>
        <v/>
      </c>
      <c r="S420" s="25" t="str">
        <f aca="true">IF(J420="","",J420-TODAY())</f>
        <v/>
      </c>
      <c r="T420" s="24" t="str">
        <f aca="false">IF(A420="","",IF(OR(AND(R420&lt;&gt;"",R420&lt;0),AND(S420&lt;&gt;"",S420&lt;0)),"EXPIRED",IF(OR(AND(R420&lt;&gt;"",R420&lt;=Settings!$B$15),AND(S420&lt;&gt;"",S420&lt;=Settings!$B$15)),"EXPIRING SOON","OK")))</f>
        <v/>
      </c>
      <c r="U420" s="24" t="str">
        <f aca="false">IF(AND(C420="Own",Q420="Active"),COUNTIFS($C$5:C420,"Own",$Q$5:Q420,"Active"),"")</f>
        <v/>
      </c>
      <c r="V420" s="26" t="str">
        <f aca="false">IF(C420&lt;&gt;"Own","",IF(K420="Hourly",N420,(L420+M420)/(Settings!$B$11*Settings!$B$12)))</f>
        <v/>
      </c>
    </row>
    <row r="421" customFormat="false" ht="15" hidden="false" customHeight="false" outlineLevel="0" collapsed="false">
      <c r="R421" s="25" t="str">
        <f aca="true">IF(I421="","",I421-TODAY())</f>
        <v/>
      </c>
      <c r="S421" s="25" t="str">
        <f aca="true">IF(J421="","",J421-TODAY())</f>
        <v/>
      </c>
      <c r="T421" s="24" t="str">
        <f aca="false">IF(A421="","",IF(OR(AND(R421&lt;&gt;"",R421&lt;0),AND(S421&lt;&gt;"",S421&lt;0)),"EXPIRED",IF(OR(AND(R421&lt;&gt;"",R421&lt;=Settings!$B$15),AND(S421&lt;&gt;"",S421&lt;=Settings!$B$15)),"EXPIRING SOON","OK")))</f>
        <v/>
      </c>
      <c r="U421" s="24" t="str">
        <f aca="false">IF(AND(C421="Own",Q421="Active"),COUNTIFS($C$5:C421,"Own",$Q$5:Q421,"Active"),"")</f>
        <v/>
      </c>
      <c r="V421" s="26" t="str">
        <f aca="false">IF(C421&lt;&gt;"Own","",IF(K421="Hourly",N421,(L421+M421)/(Settings!$B$11*Settings!$B$12)))</f>
        <v/>
      </c>
    </row>
    <row r="422" customFormat="false" ht="15" hidden="false" customHeight="false" outlineLevel="0" collapsed="false">
      <c r="R422" s="25" t="str">
        <f aca="true">IF(I422="","",I422-TODAY())</f>
        <v/>
      </c>
      <c r="S422" s="25" t="str">
        <f aca="true">IF(J422="","",J422-TODAY())</f>
        <v/>
      </c>
      <c r="T422" s="24" t="str">
        <f aca="false">IF(A422="","",IF(OR(AND(R422&lt;&gt;"",R422&lt;0),AND(S422&lt;&gt;"",S422&lt;0)),"EXPIRED",IF(OR(AND(R422&lt;&gt;"",R422&lt;=Settings!$B$15),AND(S422&lt;&gt;"",S422&lt;=Settings!$B$15)),"EXPIRING SOON","OK")))</f>
        <v/>
      </c>
      <c r="U422" s="24" t="str">
        <f aca="false">IF(AND(C422="Own",Q422="Active"),COUNTIFS($C$5:C422,"Own",$Q$5:Q422,"Active"),"")</f>
        <v/>
      </c>
      <c r="V422" s="26" t="str">
        <f aca="false">IF(C422&lt;&gt;"Own","",IF(K422="Hourly",N422,(L422+M422)/(Settings!$B$11*Settings!$B$12)))</f>
        <v/>
      </c>
    </row>
    <row r="423" customFormat="false" ht="15" hidden="false" customHeight="false" outlineLevel="0" collapsed="false">
      <c r="R423" s="25" t="str">
        <f aca="true">IF(I423="","",I423-TODAY())</f>
        <v/>
      </c>
      <c r="S423" s="25" t="str">
        <f aca="true">IF(J423="","",J423-TODAY())</f>
        <v/>
      </c>
      <c r="T423" s="24" t="str">
        <f aca="false">IF(A423="","",IF(OR(AND(R423&lt;&gt;"",R423&lt;0),AND(S423&lt;&gt;"",S423&lt;0)),"EXPIRED",IF(OR(AND(R423&lt;&gt;"",R423&lt;=Settings!$B$15),AND(S423&lt;&gt;"",S423&lt;=Settings!$B$15)),"EXPIRING SOON","OK")))</f>
        <v/>
      </c>
      <c r="U423" s="24" t="str">
        <f aca="false">IF(AND(C423="Own",Q423="Active"),COUNTIFS($C$5:C423,"Own",$Q$5:Q423,"Active"),"")</f>
        <v/>
      </c>
      <c r="V423" s="26" t="str">
        <f aca="false">IF(C423&lt;&gt;"Own","",IF(K423="Hourly",N423,(L423+M423)/(Settings!$B$11*Settings!$B$12)))</f>
        <v/>
      </c>
    </row>
    <row r="424" customFormat="false" ht="15" hidden="false" customHeight="false" outlineLevel="0" collapsed="false">
      <c r="R424" s="25" t="str">
        <f aca="true">IF(I424="","",I424-TODAY())</f>
        <v/>
      </c>
      <c r="S424" s="25" t="str">
        <f aca="true">IF(J424="","",J424-TODAY())</f>
        <v/>
      </c>
      <c r="T424" s="24" t="str">
        <f aca="false">IF(A424="","",IF(OR(AND(R424&lt;&gt;"",R424&lt;0),AND(S424&lt;&gt;"",S424&lt;0)),"EXPIRED",IF(OR(AND(R424&lt;&gt;"",R424&lt;=Settings!$B$15),AND(S424&lt;&gt;"",S424&lt;=Settings!$B$15)),"EXPIRING SOON","OK")))</f>
        <v/>
      </c>
      <c r="U424" s="24" t="str">
        <f aca="false">IF(AND(C424="Own",Q424="Active"),COUNTIFS($C$5:C424,"Own",$Q$5:Q424,"Active"),"")</f>
        <v/>
      </c>
      <c r="V424" s="26" t="str">
        <f aca="false">IF(C424&lt;&gt;"Own","",IF(K424="Hourly",N424,(L424+M424)/(Settings!$B$11*Settings!$B$12)))</f>
        <v/>
      </c>
    </row>
    <row r="425" customFormat="false" ht="15" hidden="false" customHeight="false" outlineLevel="0" collapsed="false">
      <c r="R425" s="25" t="str">
        <f aca="true">IF(I425="","",I425-TODAY())</f>
        <v/>
      </c>
      <c r="S425" s="25" t="str">
        <f aca="true">IF(J425="","",J425-TODAY())</f>
        <v/>
      </c>
      <c r="T425" s="24" t="str">
        <f aca="false">IF(A425="","",IF(OR(AND(R425&lt;&gt;"",R425&lt;0),AND(S425&lt;&gt;"",S425&lt;0)),"EXPIRED",IF(OR(AND(R425&lt;&gt;"",R425&lt;=Settings!$B$15),AND(S425&lt;&gt;"",S425&lt;=Settings!$B$15)),"EXPIRING SOON","OK")))</f>
        <v/>
      </c>
      <c r="U425" s="24" t="str">
        <f aca="false">IF(AND(C425="Own",Q425="Active"),COUNTIFS($C$5:C425,"Own",$Q$5:Q425,"Active"),"")</f>
        <v/>
      </c>
      <c r="V425" s="26" t="str">
        <f aca="false">IF(C425&lt;&gt;"Own","",IF(K425="Hourly",N425,(L425+M425)/(Settings!$B$11*Settings!$B$12)))</f>
        <v/>
      </c>
    </row>
    <row r="426" customFormat="false" ht="15" hidden="false" customHeight="false" outlineLevel="0" collapsed="false">
      <c r="R426" s="25" t="str">
        <f aca="true">IF(I426="","",I426-TODAY())</f>
        <v/>
      </c>
      <c r="S426" s="25" t="str">
        <f aca="true">IF(J426="","",J426-TODAY())</f>
        <v/>
      </c>
      <c r="T426" s="24" t="str">
        <f aca="false">IF(A426="","",IF(OR(AND(R426&lt;&gt;"",R426&lt;0),AND(S426&lt;&gt;"",S426&lt;0)),"EXPIRED",IF(OR(AND(R426&lt;&gt;"",R426&lt;=Settings!$B$15),AND(S426&lt;&gt;"",S426&lt;=Settings!$B$15)),"EXPIRING SOON","OK")))</f>
        <v/>
      </c>
      <c r="U426" s="24" t="str">
        <f aca="false">IF(AND(C426="Own",Q426="Active"),COUNTIFS($C$5:C426,"Own",$Q$5:Q426,"Active"),"")</f>
        <v/>
      </c>
      <c r="V426" s="26" t="str">
        <f aca="false">IF(C426&lt;&gt;"Own","",IF(K426="Hourly",N426,(L426+M426)/(Settings!$B$11*Settings!$B$12)))</f>
        <v/>
      </c>
    </row>
    <row r="427" customFormat="false" ht="15" hidden="false" customHeight="false" outlineLevel="0" collapsed="false">
      <c r="R427" s="25" t="str">
        <f aca="true">IF(I427="","",I427-TODAY())</f>
        <v/>
      </c>
      <c r="S427" s="25" t="str">
        <f aca="true">IF(J427="","",J427-TODAY())</f>
        <v/>
      </c>
      <c r="T427" s="24" t="str">
        <f aca="false">IF(A427="","",IF(OR(AND(R427&lt;&gt;"",R427&lt;0),AND(S427&lt;&gt;"",S427&lt;0)),"EXPIRED",IF(OR(AND(R427&lt;&gt;"",R427&lt;=Settings!$B$15),AND(S427&lt;&gt;"",S427&lt;=Settings!$B$15)),"EXPIRING SOON","OK")))</f>
        <v/>
      </c>
      <c r="U427" s="24" t="str">
        <f aca="false">IF(AND(C427="Own",Q427="Active"),COUNTIFS($C$5:C427,"Own",$Q$5:Q427,"Active"),"")</f>
        <v/>
      </c>
      <c r="V427" s="26" t="str">
        <f aca="false">IF(C427&lt;&gt;"Own","",IF(K427="Hourly",N427,(L427+M427)/(Settings!$B$11*Settings!$B$12)))</f>
        <v/>
      </c>
    </row>
    <row r="428" customFormat="false" ht="15" hidden="false" customHeight="false" outlineLevel="0" collapsed="false">
      <c r="R428" s="25" t="str">
        <f aca="true">IF(I428="","",I428-TODAY())</f>
        <v/>
      </c>
      <c r="S428" s="25" t="str">
        <f aca="true">IF(J428="","",J428-TODAY())</f>
        <v/>
      </c>
      <c r="T428" s="24" t="str">
        <f aca="false">IF(A428="","",IF(OR(AND(R428&lt;&gt;"",R428&lt;0),AND(S428&lt;&gt;"",S428&lt;0)),"EXPIRED",IF(OR(AND(R428&lt;&gt;"",R428&lt;=Settings!$B$15),AND(S428&lt;&gt;"",S428&lt;=Settings!$B$15)),"EXPIRING SOON","OK")))</f>
        <v/>
      </c>
      <c r="U428" s="24" t="str">
        <f aca="false">IF(AND(C428="Own",Q428="Active"),COUNTIFS($C$5:C428,"Own",$Q$5:Q428,"Active"),"")</f>
        <v/>
      </c>
      <c r="V428" s="26" t="str">
        <f aca="false">IF(C428&lt;&gt;"Own","",IF(K428="Hourly",N428,(L428+M428)/(Settings!$B$11*Settings!$B$12)))</f>
        <v/>
      </c>
    </row>
    <row r="429" customFormat="false" ht="15" hidden="false" customHeight="false" outlineLevel="0" collapsed="false">
      <c r="R429" s="25" t="str">
        <f aca="true">IF(I429="","",I429-TODAY())</f>
        <v/>
      </c>
      <c r="S429" s="25" t="str">
        <f aca="true">IF(J429="","",J429-TODAY())</f>
        <v/>
      </c>
      <c r="T429" s="24" t="str">
        <f aca="false">IF(A429="","",IF(OR(AND(R429&lt;&gt;"",R429&lt;0),AND(S429&lt;&gt;"",S429&lt;0)),"EXPIRED",IF(OR(AND(R429&lt;&gt;"",R429&lt;=Settings!$B$15),AND(S429&lt;&gt;"",S429&lt;=Settings!$B$15)),"EXPIRING SOON","OK")))</f>
        <v/>
      </c>
      <c r="U429" s="24" t="str">
        <f aca="false">IF(AND(C429="Own",Q429="Active"),COUNTIFS($C$5:C429,"Own",$Q$5:Q429,"Active"),"")</f>
        <v/>
      </c>
      <c r="V429" s="26" t="str">
        <f aca="false">IF(C429&lt;&gt;"Own","",IF(K429="Hourly",N429,(L429+M429)/(Settings!$B$11*Settings!$B$12)))</f>
        <v/>
      </c>
    </row>
    <row r="430" customFormat="false" ht="15" hidden="false" customHeight="false" outlineLevel="0" collapsed="false">
      <c r="R430" s="25" t="str">
        <f aca="true">IF(I430="","",I430-TODAY())</f>
        <v/>
      </c>
      <c r="S430" s="25" t="str">
        <f aca="true">IF(J430="","",J430-TODAY())</f>
        <v/>
      </c>
      <c r="T430" s="24" t="str">
        <f aca="false">IF(A430="","",IF(OR(AND(R430&lt;&gt;"",R430&lt;0),AND(S430&lt;&gt;"",S430&lt;0)),"EXPIRED",IF(OR(AND(R430&lt;&gt;"",R430&lt;=Settings!$B$15),AND(S430&lt;&gt;"",S430&lt;=Settings!$B$15)),"EXPIRING SOON","OK")))</f>
        <v/>
      </c>
      <c r="U430" s="24" t="str">
        <f aca="false">IF(AND(C430="Own",Q430="Active"),COUNTIFS($C$5:C430,"Own",$Q$5:Q430,"Active"),"")</f>
        <v/>
      </c>
      <c r="V430" s="26" t="str">
        <f aca="false">IF(C430&lt;&gt;"Own","",IF(K430="Hourly",N430,(L430+M430)/(Settings!$B$11*Settings!$B$12)))</f>
        <v/>
      </c>
    </row>
    <row r="431" customFormat="false" ht="15" hidden="false" customHeight="false" outlineLevel="0" collapsed="false">
      <c r="R431" s="25" t="str">
        <f aca="true">IF(I431="","",I431-TODAY())</f>
        <v/>
      </c>
      <c r="S431" s="25" t="str">
        <f aca="true">IF(J431="","",J431-TODAY())</f>
        <v/>
      </c>
      <c r="T431" s="24" t="str">
        <f aca="false">IF(A431="","",IF(OR(AND(R431&lt;&gt;"",R431&lt;0),AND(S431&lt;&gt;"",S431&lt;0)),"EXPIRED",IF(OR(AND(R431&lt;&gt;"",R431&lt;=Settings!$B$15),AND(S431&lt;&gt;"",S431&lt;=Settings!$B$15)),"EXPIRING SOON","OK")))</f>
        <v/>
      </c>
      <c r="U431" s="24" t="str">
        <f aca="false">IF(AND(C431="Own",Q431="Active"),COUNTIFS($C$5:C431,"Own",$Q$5:Q431,"Active"),"")</f>
        <v/>
      </c>
      <c r="V431" s="26" t="str">
        <f aca="false">IF(C431&lt;&gt;"Own","",IF(K431="Hourly",N431,(L431+M431)/(Settings!$B$11*Settings!$B$12)))</f>
        <v/>
      </c>
    </row>
    <row r="432" customFormat="false" ht="15" hidden="false" customHeight="false" outlineLevel="0" collapsed="false">
      <c r="R432" s="25" t="str">
        <f aca="true">IF(I432="","",I432-TODAY())</f>
        <v/>
      </c>
      <c r="S432" s="25" t="str">
        <f aca="true">IF(J432="","",J432-TODAY())</f>
        <v/>
      </c>
      <c r="T432" s="24" t="str">
        <f aca="false">IF(A432="","",IF(OR(AND(R432&lt;&gt;"",R432&lt;0),AND(S432&lt;&gt;"",S432&lt;0)),"EXPIRED",IF(OR(AND(R432&lt;&gt;"",R432&lt;=Settings!$B$15),AND(S432&lt;&gt;"",S432&lt;=Settings!$B$15)),"EXPIRING SOON","OK")))</f>
        <v/>
      </c>
      <c r="U432" s="24" t="str">
        <f aca="false">IF(AND(C432="Own",Q432="Active"),COUNTIFS($C$5:C432,"Own",$Q$5:Q432,"Active"),"")</f>
        <v/>
      </c>
      <c r="V432" s="26" t="str">
        <f aca="false">IF(C432&lt;&gt;"Own","",IF(K432="Hourly",N432,(L432+M432)/(Settings!$B$11*Settings!$B$12)))</f>
        <v/>
      </c>
    </row>
    <row r="433" customFormat="false" ht="15" hidden="false" customHeight="false" outlineLevel="0" collapsed="false">
      <c r="R433" s="25" t="str">
        <f aca="true">IF(I433="","",I433-TODAY())</f>
        <v/>
      </c>
      <c r="S433" s="25" t="str">
        <f aca="true">IF(J433="","",J433-TODAY())</f>
        <v/>
      </c>
      <c r="T433" s="24" t="str">
        <f aca="false">IF(A433="","",IF(OR(AND(R433&lt;&gt;"",R433&lt;0),AND(S433&lt;&gt;"",S433&lt;0)),"EXPIRED",IF(OR(AND(R433&lt;&gt;"",R433&lt;=Settings!$B$15),AND(S433&lt;&gt;"",S433&lt;=Settings!$B$15)),"EXPIRING SOON","OK")))</f>
        <v/>
      </c>
      <c r="U433" s="24" t="str">
        <f aca="false">IF(AND(C433="Own",Q433="Active"),COUNTIFS($C$5:C433,"Own",$Q$5:Q433,"Active"),"")</f>
        <v/>
      </c>
      <c r="V433" s="26" t="str">
        <f aca="false">IF(C433&lt;&gt;"Own","",IF(K433="Hourly",N433,(L433+M433)/(Settings!$B$11*Settings!$B$12)))</f>
        <v/>
      </c>
    </row>
    <row r="434" customFormat="false" ht="15" hidden="false" customHeight="false" outlineLevel="0" collapsed="false">
      <c r="R434" s="25" t="str">
        <f aca="true">IF(I434="","",I434-TODAY())</f>
        <v/>
      </c>
      <c r="S434" s="25" t="str">
        <f aca="true">IF(J434="","",J434-TODAY())</f>
        <v/>
      </c>
      <c r="T434" s="24" t="str">
        <f aca="false">IF(A434="","",IF(OR(AND(R434&lt;&gt;"",R434&lt;0),AND(S434&lt;&gt;"",S434&lt;0)),"EXPIRED",IF(OR(AND(R434&lt;&gt;"",R434&lt;=Settings!$B$15),AND(S434&lt;&gt;"",S434&lt;=Settings!$B$15)),"EXPIRING SOON","OK")))</f>
        <v/>
      </c>
      <c r="U434" s="24" t="str">
        <f aca="false">IF(AND(C434="Own",Q434="Active"),COUNTIFS($C$5:C434,"Own",$Q$5:Q434,"Active"),"")</f>
        <v/>
      </c>
      <c r="V434" s="26" t="str">
        <f aca="false">IF(C434&lt;&gt;"Own","",IF(K434="Hourly",N434,(L434+M434)/(Settings!$B$11*Settings!$B$12)))</f>
        <v/>
      </c>
    </row>
    <row r="435" customFormat="false" ht="15" hidden="false" customHeight="false" outlineLevel="0" collapsed="false">
      <c r="R435" s="25" t="str">
        <f aca="true">IF(I435="","",I435-TODAY())</f>
        <v/>
      </c>
      <c r="S435" s="25" t="str">
        <f aca="true">IF(J435="","",J435-TODAY())</f>
        <v/>
      </c>
      <c r="T435" s="24" t="str">
        <f aca="false">IF(A435="","",IF(OR(AND(R435&lt;&gt;"",R435&lt;0),AND(S435&lt;&gt;"",S435&lt;0)),"EXPIRED",IF(OR(AND(R435&lt;&gt;"",R435&lt;=Settings!$B$15),AND(S435&lt;&gt;"",S435&lt;=Settings!$B$15)),"EXPIRING SOON","OK")))</f>
        <v/>
      </c>
      <c r="U435" s="24" t="str">
        <f aca="false">IF(AND(C435="Own",Q435="Active"),COUNTIFS($C$5:C435,"Own",$Q$5:Q435,"Active"),"")</f>
        <v/>
      </c>
      <c r="V435" s="26" t="str">
        <f aca="false">IF(C435&lt;&gt;"Own","",IF(K435="Hourly",N435,(L435+M435)/(Settings!$B$11*Settings!$B$12)))</f>
        <v/>
      </c>
    </row>
    <row r="436" customFormat="false" ht="15" hidden="false" customHeight="false" outlineLevel="0" collapsed="false">
      <c r="R436" s="25" t="str">
        <f aca="true">IF(I436="","",I436-TODAY())</f>
        <v/>
      </c>
      <c r="S436" s="25" t="str">
        <f aca="true">IF(J436="","",J436-TODAY())</f>
        <v/>
      </c>
      <c r="T436" s="24" t="str">
        <f aca="false">IF(A436="","",IF(OR(AND(R436&lt;&gt;"",R436&lt;0),AND(S436&lt;&gt;"",S436&lt;0)),"EXPIRED",IF(OR(AND(R436&lt;&gt;"",R436&lt;=Settings!$B$15),AND(S436&lt;&gt;"",S436&lt;=Settings!$B$15)),"EXPIRING SOON","OK")))</f>
        <v/>
      </c>
      <c r="U436" s="24" t="str">
        <f aca="false">IF(AND(C436="Own",Q436="Active"),COUNTIFS($C$5:C436,"Own",$Q$5:Q436,"Active"),"")</f>
        <v/>
      </c>
      <c r="V436" s="26" t="str">
        <f aca="false">IF(C436&lt;&gt;"Own","",IF(K436="Hourly",N436,(L436+M436)/(Settings!$B$11*Settings!$B$12)))</f>
        <v/>
      </c>
    </row>
    <row r="437" customFormat="false" ht="15" hidden="false" customHeight="false" outlineLevel="0" collapsed="false">
      <c r="R437" s="25" t="str">
        <f aca="true">IF(I437="","",I437-TODAY())</f>
        <v/>
      </c>
      <c r="S437" s="25" t="str">
        <f aca="true">IF(J437="","",J437-TODAY())</f>
        <v/>
      </c>
      <c r="T437" s="24" t="str">
        <f aca="false">IF(A437="","",IF(OR(AND(R437&lt;&gt;"",R437&lt;0),AND(S437&lt;&gt;"",S437&lt;0)),"EXPIRED",IF(OR(AND(R437&lt;&gt;"",R437&lt;=Settings!$B$15),AND(S437&lt;&gt;"",S437&lt;=Settings!$B$15)),"EXPIRING SOON","OK")))</f>
        <v/>
      </c>
      <c r="U437" s="24" t="str">
        <f aca="false">IF(AND(C437="Own",Q437="Active"),COUNTIFS($C$5:C437,"Own",$Q$5:Q437,"Active"),"")</f>
        <v/>
      </c>
      <c r="V437" s="26" t="str">
        <f aca="false">IF(C437&lt;&gt;"Own","",IF(K437="Hourly",N437,(L437+M437)/(Settings!$B$11*Settings!$B$12)))</f>
        <v/>
      </c>
    </row>
    <row r="438" customFormat="false" ht="15" hidden="false" customHeight="false" outlineLevel="0" collapsed="false">
      <c r="R438" s="25" t="str">
        <f aca="true">IF(I438="","",I438-TODAY())</f>
        <v/>
      </c>
      <c r="S438" s="25" t="str">
        <f aca="true">IF(J438="","",J438-TODAY())</f>
        <v/>
      </c>
      <c r="T438" s="24" t="str">
        <f aca="false">IF(A438="","",IF(OR(AND(R438&lt;&gt;"",R438&lt;0),AND(S438&lt;&gt;"",S438&lt;0)),"EXPIRED",IF(OR(AND(R438&lt;&gt;"",R438&lt;=Settings!$B$15),AND(S438&lt;&gt;"",S438&lt;=Settings!$B$15)),"EXPIRING SOON","OK")))</f>
        <v/>
      </c>
      <c r="U438" s="24" t="str">
        <f aca="false">IF(AND(C438="Own",Q438="Active"),COUNTIFS($C$5:C438,"Own",$Q$5:Q438,"Active"),"")</f>
        <v/>
      </c>
      <c r="V438" s="26" t="str">
        <f aca="false">IF(C438&lt;&gt;"Own","",IF(K438="Hourly",N438,(L438+M438)/(Settings!$B$11*Settings!$B$12)))</f>
        <v/>
      </c>
    </row>
    <row r="439" customFormat="false" ht="15" hidden="false" customHeight="false" outlineLevel="0" collapsed="false">
      <c r="R439" s="25" t="str">
        <f aca="true">IF(I439="","",I439-TODAY())</f>
        <v/>
      </c>
      <c r="S439" s="25" t="str">
        <f aca="true">IF(J439="","",J439-TODAY())</f>
        <v/>
      </c>
      <c r="T439" s="24" t="str">
        <f aca="false">IF(A439="","",IF(OR(AND(R439&lt;&gt;"",R439&lt;0),AND(S439&lt;&gt;"",S439&lt;0)),"EXPIRED",IF(OR(AND(R439&lt;&gt;"",R439&lt;=Settings!$B$15),AND(S439&lt;&gt;"",S439&lt;=Settings!$B$15)),"EXPIRING SOON","OK")))</f>
        <v/>
      </c>
      <c r="U439" s="24" t="str">
        <f aca="false">IF(AND(C439="Own",Q439="Active"),COUNTIFS($C$5:C439,"Own",$Q$5:Q439,"Active"),"")</f>
        <v/>
      </c>
      <c r="V439" s="26" t="str">
        <f aca="false">IF(C439&lt;&gt;"Own","",IF(K439="Hourly",N439,(L439+M439)/(Settings!$B$11*Settings!$B$12)))</f>
        <v/>
      </c>
    </row>
    <row r="440" customFormat="false" ht="15" hidden="false" customHeight="false" outlineLevel="0" collapsed="false">
      <c r="R440" s="25" t="str">
        <f aca="true">IF(I440="","",I440-TODAY())</f>
        <v/>
      </c>
      <c r="S440" s="25" t="str">
        <f aca="true">IF(J440="","",J440-TODAY())</f>
        <v/>
      </c>
      <c r="T440" s="24" t="str">
        <f aca="false">IF(A440="","",IF(OR(AND(R440&lt;&gt;"",R440&lt;0),AND(S440&lt;&gt;"",S440&lt;0)),"EXPIRED",IF(OR(AND(R440&lt;&gt;"",R440&lt;=Settings!$B$15),AND(S440&lt;&gt;"",S440&lt;=Settings!$B$15)),"EXPIRING SOON","OK")))</f>
        <v/>
      </c>
      <c r="U440" s="24" t="str">
        <f aca="false">IF(AND(C440="Own",Q440="Active"),COUNTIFS($C$5:C440,"Own",$Q$5:Q440,"Active"),"")</f>
        <v/>
      </c>
      <c r="V440" s="26" t="str">
        <f aca="false">IF(C440&lt;&gt;"Own","",IF(K440="Hourly",N440,(L440+M440)/(Settings!$B$11*Settings!$B$12)))</f>
        <v/>
      </c>
    </row>
    <row r="441" customFormat="false" ht="15" hidden="false" customHeight="false" outlineLevel="0" collapsed="false">
      <c r="R441" s="25" t="str">
        <f aca="true">IF(I441="","",I441-TODAY())</f>
        <v/>
      </c>
      <c r="S441" s="25" t="str">
        <f aca="true">IF(J441="","",J441-TODAY())</f>
        <v/>
      </c>
      <c r="T441" s="24" t="str">
        <f aca="false">IF(A441="","",IF(OR(AND(R441&lt;&gt;"",R441&lt;0),AND(S441&lt;&gt;"",S441&lt;0)),"EXPIRED",IF(OR(AND(R441&lt;&gt;"",R441&lt;=Settings!$B$15),AND(S441&lt;&gt;"",S441&lt;=Settings!$B$15)),"EXPIRING SOON","OK")))</f>
        <v/>
      </c>
      <c r="U441" s="24" t="str">
        <f aca="false">IF(AND(C441="Own",Q441="Active"),COUNTIFS($C$5:C441,"Own",$Q$5:Q441,"Active"),"")</f>
        <v/>
      </c>
      <c r="V441" s="26" t="str">
        <f aca="false">IF(C441&lt;&gt;"Own","",IF(K441="Hourly",N441,(L441+M441)/(Settings!$B$11*Settings!$B$12)))</f>
        <v/>
      </c>
    </row>
    <row r="442" customFormat="false" ht="15" hidden="false" customHeight="false" outlineLevel="0" collapsed="false">
      <c r="R442" s="25" t="str">
        <f aca="true">IF(I442="","",I442-TODAY())</f>
        <v/>
      </c>
      <c r="S442" s="25" t="str">
        <f aca="true">IF(J442="","",J442-TODAY())</f>
        <v/>
      </c>
      <c r="T442" s="24" t="str">
        <f aca="false">IF(A442="","",IF(OR(AND(R442&lt;&gt;"",R442&lt;0),AND(S442&lt;&gt;"",S442&lt;0)),"EXPIRED",IF(OR(AND(R442&lt;&gt;"",R442&lt;=Settings!$B$15),AND(S442&lt;&gt;"",S442&lt;=Settings!$B$15)),"EXPIRING SOON","OK")))</f>
        <v/>
      </c>
      <c r="U442" s="24" t="str">
        <f aca="false">IF(AND(C442="Own",Q442="Active"),COUNTIFS($C$5:C442,"Own",$Q$5:Q442,"Active"),"")</f>
        <v/>
      </c>
      <c r="V442" s="26" t="str">
        <f aca="false">IF(C442&lt;&gt;"Own","",IF(K442="Hourly",N442,(L442+M442)/(Settings!$B$11*Settings!$B$12)))</f>
        <v/>
      </c>
    </row>
    <row r="443" customFormat="false" ht="15" hidden="false" customHeight="false" outlineLevel="0" collapsed="false">
      <c r="R443" s="25" t="str">
        <f aca="true">IF(I443="","",I443-TODAY())</f>
        <v/>
      </c>
      <c r="S443" s="25" t="str">
        <f aca="true">IF(J443="","",J443-TODAY())</f>
        <v/>
      </c>
      <c r="T443" s="24" t="str">
        <f aca="false">IF(A443="","",IF(OR(AND(R443&lt;&gt;"",R443&lt;0),AND(S443&lt;&gt;"",S443&lt;0)),"EXPIRED",IF(OR(AND(R443&lt;&gt;"",R443&lt;=Settings!$B$15),AND(S443&lt;&gt;"",S443&lt;=Settings!$B$15)),"EXPIRING SOON","OK")))</f>
        <v/>
      </c>
      <c r="U443" s="24" t="str">
        <f aca="false">IF(AND(C443="Own",Q443="Active"),COUNTIFS($C$5:C443,"Own",$Q$5:Q443,"Active"),"")</f>
        <v/>
      </c>
      <c r="V443" s="26" t="str">
        <f aca="false">IF(C443&lt;&gt;"Own","",IF(K443="Hourly",N443,(L443+M443)/(Settings!$B$11*Settings!$B$12)))</f>
        <v/>
      </c>
    </row>
    <row r="444" customFormat="false" ht="15" hidden="false" customHeight="false" outlineLevel="0" collapsed="false">
      <c r="R444" s="25" t="str">
        <f aca="true">IF(I444="","",I444-TODAY())</f>
        <v/>
      </c>
      <c r="S444" s="25" t="str">
        <f aca="true">IF(J444="","",J444-TODAY())</f>
        <v/>
      </c>
      <c r="T444" s="24" t="str">
        <f aca="false">IF(A444="","",IF(OR(AND(R444&lt;&gt;"",R444&lt;0),AND(S444&lt;&gt;"",S444&lt;0)),"EXPIRED",IF(OR(AND(R444&lt;&gt;"",R444&lt;=Settings!$B$15),AND(S444&lt;&gt;"",S444&lt;=Settings!$B$15)),"EXPIRING SOON","OK")))</f>
        <v/>
      </c>
      <c r="U444" s="24" t="str">
        <f aca="false">IF(AND(C444="Own",Q444="Active"),COUNTIFS($C$5:C444,"Own",$Q$5:Q444,"Active"),"")</f>
        <v/>
      </c>
      <c r="V444" s="26" t="str">
        <f aca="false">IF(C444&lt;&gt;"Own","",IF(K444="Hourly",N444,(L444+M444)/(Settings!$B$11*Settings!$B$12)))</f>
        <v/>
      </c>
    </row>
    <row r="445" customFormat="false" ht="15" hidden="false" customHeight="false" outlineLevel="0" collapsed="false">
      <c r="R445" s="25" t="str">
        <f aca="true">IF(I445="","",I445-TODAY())</f>
        <v/>
      </c>
      <c r="S445" s="25" t="str">
        <f aca="true">IF(J445="","",J445-TODAY())</f>
        <v/>
      </c>
      <c r="T445" s="24" t="str">
        <f aca="false">IF(A445="","",IF(OR(AND(R445&lt;&gt;"",R445&lt;0),AND(S445&lt;&gt;"",S445&lt;0)),"EXPIRED",IF(OR(AND(R445&lt;&gt;"",R445&lt;=Settings!$B$15),AND(S445&lt;&gt;"",S445&lt;=Settings!$B$15)),"EXPIRING SOON","OK")))</f>
        <v/>
      </c>
      <c r="U445" s="24" t="str">
        <f aca="false">IF(AND(C445="Own",Q445="Active"),COUNTIFS($C$5:C445,"Own",$Q$5:Q445,"Active"),"")</f>
        <v/>
      </c>
      <c r="V445" s="26" t="str">
        <f aca="false">IF(C445&lt;&gt;"Own","",IF(K445="Hourly",N445,(L445+M445)/(Settings!$B$11*Settings!$B$12)))</f>
        <v/>
      </c>
    </row>
    <row r="446" customFormat="false" ht="15" hidden="false" customHeight="false" outlineLevel="0" collapsed="false">
      <c r="R446" s="25" t="str">
        <f aca="true">IF(I446="","",I446-TODAY())</f>
        <v/>
      </c>
      <c r="S446" s="25" t="str">
        <f aca="true">IF(J446="","",J446-TODAY())</f>
        <v/>
      </c>
      <c r="T446" s="24" t="str">
        <f aca="false">IF(A446="","",IF(OR(AND(R446&lt;&gt;"",R446&lt;0),AND(S446&lt;&gt;"",S446&lt;0)),"EXPIRED",IF(OR(AND(R446&lt;&gt;"",R446&lt;=Settings!$B$15),AND(S446&lt;&gt;"",S446&lt;=Settings!$B$15)),"EXPIRING SOON","OK")))</f>
        <v/>
      </c>
      <c r="U446" s="24" t="str">
        <f aca="false">IF(AND(C446="Own",Q446="Active"),COUNTIFS($C$5:C446,"Own",$Q$5:Q446,"Active"),"")</f>
        <v/>
      </c>
      <c r="V446" s="26" t="str">
        <f aca="false">IF(C446&lt;&gt;"Own","",IF(K446="Hourly",N446,(L446+M446)/(Settings!$B$11*Settings!$B$12)))</f>
        <v/>
      </c>
    </row>
    <row r="447" customFormat="false" ht="15" hidden="false" customHeight="false" outlineLevel="0" collapsed="false">
      <c r="R447" s="25" t="str">
        <f aca="true">IF(I447="","",I447-TODAY())</f>
        <v/>
      </c>
      <c r="S447" s="25" t="str">
        <f aca="true">IF(J447="","",J447-TODAY())</f>
        <v/>
      </c>
      <c r="T447" s="24" t="str">
        <f aca="false">IF(A447="","",IF(OR(AND(R447&lt;&gt;"",R447&lt;0),AND(S447&lt;&gt;"",S447&lt;0)),"EXPIRED",IF(OR(AND(R447&lt;&gt;"",R447&lt;=Settings!$B$15),AND(S447&lt;&gt;"",S447&lt;=Settings!$B$15)),"EXPIRING SOON","OK")))</f>
        <v/>
      </c>
      <c r="U447" s="24" t="str">
        <f aca="false">IF(AND(C447="Own",Q447="Active"),COUNTIFS($C$5:C447,"Own",$Q$5:Q447,"Active"),"")</f>
        <v/>
      </c>
      <c r="V447" s="26" t="str">
        <f aca="false">IF(C447&lt;&gt;"Own","",IF(K447="Hourly",N447,(L447+M447)/(Settings!$B$11*Settings!$B$12)))</f>
        <v/>
      </c>
    </row>
    <row r="448" customFormat="false" ht="15" hidden="false" customHeight="false" outlineLevel="0" collapsed="false">
      <c r="R448" s="25" t="str">
        <f aca="true">IF(I448="","",I448-TODAY())</f>
        <v/>
      </c>
      <c r="S448" s="25" t="str">
        <f aca="true">IF(J448="","",J448-TODAY())</f>
        <v/>
      </c>
      <c r="T448" s="24" t="str">
        <f aca="false">IF(A448="","",IF(OR(AND(R448&lt;&gt;"",R448&lt;0),AND(S448&lt;&gt;"",S448&lt;0)),"EXPIRED",IF(OR(AND(R448&lt;&gt;"",R448&lt;=Settings!$B$15),AND(S448&lt;&gt;"",S448&lt;=Settings!$B$15)),"EXPIRING SOON","OK")))</f>
        <v/>
      </c>
      <c r="U448" s="24" t="str">
        <f aca="false">IF(AND(C448="Own",Q448="Active"),COUNTIFS($C$5:C448,"Own",$Q$5:Q448,"Active"),"")</f>
        <v/>
      </c>
      <c r="V448" s="26" t="str">
        <f aca="false">IF(C448&lt;&gt;"Own","",IF(K448="Hourly",N448,(L448+M448)/(Settings!$B$11*Settings!$B$12)))</f>
        <v/>
      </c>
    </row>
    <row r="449" customFormat="false" ht="15" hidden="false" customHeight="false" outlineLevel="0" collapsed="false">
      <c r="R449" s="25" t="str">
        <f aca="true">IF(I449="","",I449-TODAY())</f>
        <v/>
      </c>
      <c r="S449" s="25" t="str">
        <f aca="true">IF(J449="","",J449-TODAY())</f>
        <v/>
      </c>
      <c r="T449" s="24" t="str">
        <f aca="false">IF(A449="","",IF(OR(AND(R449&lt;&gt;"",R449&lt;0),AND(S449&lt;&gt;"",S449&lt;0)),"EXPIRED",IF(OR(AND(R449&lt;&gt;"",R449&lt;=Settings!$B$15),AND(S449&lt;&gt;"",S449&lt;=Settings!$B$15)),"EXPIRING SOON","OK")))</f>
        <v/>
      </c>
      <c r="U449" s="24" t="str">
        <f aca="false">IF(AND(C449="Own",Q449="Active"),COUNTIFS($C$5:C449,"Own",$Q$5:Q449,"Active"),"")</f>
        <v/>
      </c>
      <c r="V449" s="26" t="str">
        <f aca="false">IF(C449&lt;&gt;"Own","",IF(K449="Hourly",N449,(L449+M449)/(Settings!$B$11*Settings!$B$12)))</f>
        <v/>
      </c>
    </row>
    <row r="450" customFormat="false" ht="15" hidden="false" customHeight="false" outlineLevel="0" collapsed="false">
      <c r="R450" s="25" t="str">
        <f aca="true">IF(I450="","",I450-TODAY())</f>
        <v/>
      </c>
      <c r="S450" s="25" t="str">
        <f aca="true">IF(J450="","",J450-TODAY())</f>
        <v/>
      </c>
      <c r="T450" s="24" t="str">
        <f aca="false">IF(A450="","",IF(OR(AND(R450&lt;&gt;"",R450&lt;0),AND(S450&lt;&gt;"",S450&lt;0)),"EXPIRED",IF(OR(AND(R450&lt;&gt;"",R450&lt;=Settings!$B$15),AND(S450&lt;&gt;"",S450&lt;=Settings!$B$15)),"EXPIRING SOON","OK")))</f>
        <v/>
      </c>
      <c r="U450" s="24" t="str">
        <f aca="false">IF(AND(C450="Own",Q450="Active"),COUNTIFS($C$5:C450,"Own",$Q$5:Q450,"Active"),"")</f>
        <v/>
      </c>
      <c r="V450" s="26" t="str">
        <f aca="false">IF(C450&lt;&gt;"Own","",IF(K450="Hourly",N450,(L450+M450)/(Settings!$B$11*Settings!$B$12)))</f>
        <v/>
      </c>
    </row>
    <row r="451" customFormat="false" ht="15" hidden="false" customHeight="false" outlineLevel="0" collapsed="false">
      <c r="R451" s="25" t="str">
        <f aca="true">IF(I451="","",I451-TODAY())</f>
        <v/>
      </c>
      <c r="S451" s="25" t="str">
        <f aca="true">IF(J451="","",J451-TODAY())</f>
        <v/>
      </c>
      <c r="T451" s="24" t="str">
        <f aca="false">IF(A451="","",IF(OR(AND(R451&lt;&gt;"",R451&lt;0),AND(S451&lt;&gt;"",S451&lt;0)),"EXPIRED",IF(OR(AND(R451&lt;&gt;"",R451&lt;=Settings!$B$15),AND(S451&lt;&gt;"",S451&lt;=Settings!$B$15)),"EXPIRING SOON","OK")))</f>
        <v/>
      </c>
      <c r="U451" s="24" t="str">
        <f aca="false">IF(AND(C451="Own",Q451="Active"),COUNTIFS($C$5:C451,"Own",$Q$5:Q451,"Active"),"")</f>
        <v/>
      </c>
      <c r="V451" s="26" t="str">
        <f aca="false">IF(C451&lt;&gt;"Own","",IF(K451="Hourly",N451,(L451+M451)/(Settings!$B$11*Settings!$B$12)))</f>
        <v/>
      </c>
    </row>
    <row r="452" customFormat="false" ht="15" hidden="false" customHeight="false" outlineLevel="0" collapsed="false">
      <c r="R452" s="25" t="str">
        <f aca="true">IF(I452="","",I452-TODAY())</f>
        <v/>
      </c>
      <c r="S452" s="25" t="str">
        <f aca="true">IF(J452="","",J452-TODAY())</f>
        <v/>
      </c>
      <c r="T452" s="24" t="str">
        <f aca="false">IF(A452="","",IF(OR(AND(R452&lt;&gt;"",R452&lt;0),AND(S452&lt;&gt;"",S452&lt;0)),"EXPIRED",IF(OR(AND(R452&lt;&gt;"",R452&lt;=Settings!$B$15),AND(S452&lt;&gt;"",S452&lt;=Settings!$B$15)),"EXPIRING SOON","OK")))</f>
        <v/>
      </c>
      <c r="U452" s="24" t="str">
        <f aca="false">IF(AND(C452="Own",Q452="Active"),COUNTIFS($C$5:C452,"Own",$Q$5:Q452,"Active"),"")</f>
        <v/>
      </c>
      <c r="V452" s="26" t="str">
        <f aca="false">IF(C452&lt;&gt;"Own","",IF(K452="Hourly",N452,(L452+M452)/(Settings!$B$11*Settings!$B$12)))</f>
        <v/>
      </c>
    </row>
    <row r="453" customFormat="false" ht="15" hidden="false" customHeight="false" outlineLevel="0" collapsed="false">
      <c r="R453" s="25" t="str">
        <f aca="true">IF(I453="","",I453-TODAY())</f>
        <v/>
      </c>
      <c r="S453" s="25" t="str">
        <f aca="true">IF(J453="","",J453-TODAY())</f>
        <v/>
      </c>
      <c r="T453" s="24" t="str">
        <f aca="false">IF(A453="","",IF(OR(AND(R453&lt;&gt;"",R453&lt;0),AND(S453&lt;&gt;"",S453&lt;0)),"EXPIRED",IF(OR(AND(R453&lt;&gt;"",R453&lt;=Settings!$B$15),AND(S453&lt;&gt;"",S453&lt;=Settings!$B$15)),"EXPIRING SOON","OK")))</f>
        <v/>
      </c>
      <c r="U453" s="24" t="str">
        <f aca="false">IF(AND(C453="Own",Q453="Active"),COUNTIFS($C$5:C453,"Own",$Q$5:Q453,"Active"),"")</f>
        <v/>
      </c>
      <c r="V453" s="26" t="str">
        <f aca="false">IF(C453&lt;&gt;"Own","",IF(K453="Hourly",N453,(L453+M453)/(Settings!$B$11*Settings!$B$12)))</f>
        <v/>
      </c>
    </row>
    <row r="454" customFormat="false" ht="15" hidden="false" customHeight="false" outlineLevel="0" collapsed="false">
      <c r="R454" s="25" t="str">
        <f aca="true">IF(I454="","",I454-TODAY())</f>
        <v/>
      </c>
      <c r="S454" s="25" t="str">
        <f aca="true">IF(J454="","",J454-TODAY())</f>
        <v/>
      </c>
      <c r="T454" s="24" t="str">
        <f aca="false">IF(A454="","",IF(OR(AND(R454&lt;&gt;"",R454&lt;0),AND(S454&lt;&gt;"",S454&lt;0)),"EXPIRED",IF(OR(AND(R454&lt;&gt;"",R454&lt;=Settings!$B$15),AND(S454&lt;&gt;"",S454&lt;=Settings!$B$15)),"EXPIRING SOON","OK")))</f>
        <v/>
      </c>
      <c r="U454" s="24" t="str">
        <f aca="false">IF(AND(C454="Own",Q454="Active"),COUNTIFS($C$5:C454,"Own",$Q$5:Q454,"Active"),"")</f>
        <v/>
      </c>
      <c r="V454" s="26" t="str">
        <f aca="false">IF(C454&lt;&gt;"Own","",IF(K454="Hourly",N454,(L454+M454)/(Settings!$B$11*Settings!$B$12)))</f>
        <v/>
      </c>
    </row>
    <row r="455" customFormat="false" ht="15" hidden="false" customHeight="false" outlineLevel="0" collapsed="false">
      <c r="R455" s="25" t="str">
        <f aca="true">IF(I455="","",I455-TODAY())</f>
        <v/>
      </c>
      <c r="S455" s="25" t="str">
        <f aca="true">IF(J455="","",J455-TODAY())</f>
        <v/>
      </c>
      <c r="T455" s="24" t="str">
        <f aca="false">IF(A455="","",IF(OR(AND(R455&lt;&gt;"",R455&lt;0),AND(S455&lt;&gt;"",S455&lt;0)),"EXPIRED",IF(OR(AND(R455&lt;&gt;"",R455&lt;=Settings!$B$15),AND(S455&lt;&gt;"",S455&lt;=Settings!$B$15)),"EXPIRING SOON","OK")))</f>
        <v/>
      </c>
      <c r="U455" s="24" t="str">
        <f aca="false">IF(AND(C455="Own",Q455="Active"),COUNTIFS($C$5:C455,"Own",$Q$5:Q455,"Active"),"")</f>
        <v/>
      </c>
      <c r="V455" s="26" t="str">
        <f aca="false">IF(C455&lt;&gt;"Own","",IF(K455="Hourly",N455,(L455+M455)/(Settings!$B$11*Settings!$B$12)))</f>
        <v/>
      </c>
    </row>
    <row r="456" customFormat="false" ht="15" hidden="false" customHeight="false" outlineLevel="0" collapsed="false">
      <c r="R456" s="25" t="str">
        <f aca="true">IF(I456="","",I456-TODAY())</f>
        <v/>
      </c>
      <c r="S456" s="25" t="str">
        <f aca="true">IF(J456="","",J456-TODAY())</f>
        <v/>
      </c>
      <c r="T456" s="24" t="str">
        <f aca="false">IF(A456="","",IF(OR(AND(R456&lt;&gt;"",R456&lt;0),AND(S456&lt;&gt;"",S456&lt;0)),"EXPIRED",IF(OR(AND(R456&lt;&gt;"",R456&lt;=Settings!$B$15),AND(S456&lt;&gt;"",S456&lt;=Settings!$B$15)),"EXPIRING SOON","OK")))</f>
        <v/>
      </c>
      <c r="U456" s="24" t="str">
        <f aca="false">IF(AND(C456="Own",Q456="Active"),COUNTIFS($C$5:C456,"Own",$Q$5:Q456,"Active"),"")</f>
        <v/>
      </c>
      <c r="V456" s="26" t="str">
        <f aca="false">IF(C456&lt;&gt;"Own","",IF(K456="Hourly",N456,(L456+M456)/(Settings!$B$11*Settings!$B$12)))</f>
        <v/>
      </c>
    </row>
    <row r="457" customFormat="false" ht="15" hidden="false" customHeight="false" outlineLevel="0" collapsed="false">
      <c r="R457" s="25" t="str">
        <f aca="true">IF(I457="","",I457-TODAY())</f>
        <v/>
      </c>
      <c r="S457" s="25" t="str">
        <f aca="true">IF(J457="","",J457-TODAY())</f>
        <v/>
      </c>
      <c r="T457" s="24" t="str">
        <f aca="false">IF(A457="","",IF(OR(AND(R457&lt;&gt;"",R457&lt;0),AND(S457&lt;&gt;"",S457&lt;0)),"EXPIRED",IF(OR(AND(R457&lt;&gt;"",R457&lt;=Settings!$B$15),AND(S457&lt;&gt;"",S457&lt;=Settings!$B$15)),"EXPIRING SOON","OK")))</f>
        <v/>
      </c>
      <c r="U457" s="24" t="str">
        <f aca="false">IF(AND(C457="Own",Q457="Active"),COUNTIFS($C$5:C457,"Own",$Q$5:Q457,"Active"),"")</f>
        <v/>
      </c>
      <c r="V457" s="26" t="str">
        <f aca="false">IF(C457&lt;&gt;"Own","",IF(K457="Hourly",N457,(L457+M457)/(Settings!$B$11*Settings!$B$12)))</f>
        <v/>
      </c>
    </row>
    <row r="458" customFormat="false" ht="15" hidden="false" customHeight="false" outlineLevel="0" collapsed="false">
      <c r="R458" s="25" t="str">
        <f aca="true">IF(I458="","",I458-TODAY())</f>
        <v/>
      </c>
      <c r="S458" s="25" t="str">
        <f aca="true">IF(J458="","",J458-TODAY())</f>
        <v/>
      </c>
      <c r="T458" s="24" t="str">
        <f aca="false">IF(A458="","",IF(OR(AND(R458&lt;&gt;"",R458&lt;0),AND(S458&lt;&gt;"",S458&lt;0)),"EXPIRED",IF(OR(AND(R458&lt;&gt;"",R458&lt;=Settings!$B$15),AND(S458&lt;&gt;"",S458&lt;=Settings!$B$15)),"EXPIRING SOON","OK")))</f>
        <v/>
      </c>
      <c r="U458" s="24" t="str">
        <f aca="false">IF(AND(C458="Own",Q458="Active"),COUNTIFS($C$5:C458,"Own",$Q$5:Q458,"Active"),"")</f>
        <v/>
      </c>
      <c r="V458" s="26" t="str">
        <f aca="false">IF(C458&lt;&gt;"Own","",IF(K458="Hourly",N458,(L458+M458)/(Settings!$B$11*Settings!$B$12)))</f>
        <v/>
      </c>
    </row>
    <row r="459" customFormat="false" ht="15" hidden="false" customHeight="false" outlineLevel="0" collapsed="false">
      <c r="R459" s="25" t="str">
        <f aca="true">IF(I459="","",I459-TODAY())</f>
        <v/>
      </c>
      <c r="S459" s="25" t="str">
        <f aca="true">IF(J459="","",J459-TODAY())</f>
        <v/>
      </c>
      <c r="T459" s="24" t="str">
        <f aca="false">IF(A459="","",IF(OR(AND(R459&lt;&gt;"",R459&lt;0),AND(S459&lt;&gt;"",S459&lt;0)),"EXPIRED",IF(OR(AND(R459&lt;&gt;"",R459&lt;=Settings!$B$15),AND(S459&lt;&gt;"",S459&lt;=Settings!$B$15)),"EXPIRING SOON","OK")))</f>
        <v/>
      </c>
      <c r="U459" s="24" t="str">
        <f aca="false">IF(AND(C459="Own",Q459="Active"),COUNTIFS($C$5:C459,"Own",$Q$5:Q459,"Active"),"")</f>
        <v/>
      </c>
      <c r="V459" s="26" t="str">
        <f aca="false">IF(C459&lt;&gt;"Own","",IF(K459="Hourly",N459,(L459+M459)/(Settings!$B$11*Settings!$B$12)))</f>
        <v/>
      </c>
    </row>
    <row r="460" customFormat="false" ht="15" hidden="false" customHeight="false" outlineLevel="0" collapsed="false">
      <c r="R460" s="25" t="str">
        <f aca="true">IF(I460="","",I460-TODAY())</f>
        <v/>
      </c>
      <c r="S460" s="25" t="str">
        <f aca="true">IF(J460="","",J460-TODAY())</f>
        <v/>
      </c>
      <c r="T460" s="24" t="str">
        <f aca="false">IF(A460="","",IF(OR(AND(R460&lt;&gt;"",R460&lt;0),AND(S460&lt;&gt;"",S460&lt;0)),"EXPIRED",IF(OR(AND(R460&lt;&gt;"",R460&lt;=Settings!$B$15),AND(S460&lt;&gt;"",S460&lt;=Settings!$B$15)),"EXPIRING SOON","OK")))</f>
        <v/>
      </c>
      <c r="U460" s="24" t="str">
        <f aca="false">IF(AND(C460="Own",Q460="Active"),COUNTIFS($C$5:C460,"Own",$Q$5:Q460,"Active"),"")</f>
        <v/>
      </c>
      <c r="V460" s="26" t="str">
        <f aca="false">IF(C460&lt;&gt;"Own","",IF(K460="Hourly",N460,(L460+M460)/(Settings!$B$11*Settings!$B$12)))</f>
        <v/>
      </c>
    </row>
    <row r="461" customFormat="false" ht="15" hidden="false" customHeight="false" outlineLevel="0" collapsed="false">
      <c r="R461" s="25" t="str">
        <f aca="true">IF(I461="","",I461-TODAY())</f>
        <v/>
      </c>
      <c r="S461" s="25" t="str">
        <f aca="true">IF(J461="","",J461-TODAY())</f>
        <v/>
      </c>
      <c r="T461" s="24" t="str">
        <f aca="false">IF(A461="","",IF(OR(AND(R461&lt;&gt;"",R461&lt;0),AND(S461&lt;&gt;"",S461&lt;0)),"EXPIRED",IF(OR(AND(R461&lt;&gt;"",R461&lt;=Settings!$B$15),AND(S461&lt;&gt;"",S461&lt;=Settings!$B$15)),"EXPIRING SOON","OK")))</f>
        <v/>
      </c>
      <c r="U461" s="24" t="str">
        <f aca="false">IF(AND(C461="Own",Q461="Active"),COUNTIFS($C$5:C461,"Own",$Q$5:Q461,"Active"),"")</f>
        <v/>
      </c>
      <c r="V461" s="26" t="str">
        <f aca="false">IF(C461&lt;&gt;"Own","",IF(K461="Hourly",N461,(L461+M461)/(Settings!$B$11*Settings!$B$12)))</f>
        <v/>
      </c>
    </row>
    <row r="462" customFormat="false" ht="15" hidden="false" customHeight="false" outlineLevel="0" collapsed="false">
      <c r="R462" s="25" t="str">
        <f aca="true">IF(I462="","",I462-TODAY())</f>
        <v/>
      </c>
      <c r="S462" s="25" t="str">
        <f aca="true">IF(J462="","",J462-TODAY())</f>
        <v/>
      </c>
      <c r="T462" s="24" t="str">
        <f aca="false">IF(A462="","",IF(OR(AND(R462&lt;&gt;"",R462&lt;0),AND(S462&lt;&gt;"",S462&lt;0)),"EXPIRED",IF(OR(AND(R462&lt;&gt;"",R462&lt;=Settings!$B$15),AND(S462&lt;&gt;"",S462&lt;=Settings!$B$15)),"EXPIRING SOON","OK")))</f>
        <v/>
      </c>
      <c r="U462" s="24" t="str">
        <f aca="false">IF(AND(C462="Own",Q462="Active"),COUNTIFS($C$5:C462,"Own",$Q$5:Q462,"Active"),"")</f>
        <v/>
      </c>
      <c r="V462" s="26" t="str">
        <f aca="false">IF(C462&lt;&gt;"Own","",IF(K462="Hourly",N462,(L462+M462)/(Settings!$B$11*Settings!$B$12)))</f>
        <v/>
      </c>
    </row>
    <row r="463" customFormat="false" ht="15" hidden="false" customHeight="false" outlineLevel="0" collapsed="false">
      <c r="R463" s="25" t="str">
        <f aca="true">IF(I463="","",I463-TODAY())</f>
        <v/>
      </c>
      <c r="S463" s="25" t="str">
        <f aca="true">IF(J463="","",J463-TODAY())</f>
        <v/>
      </c>
      <c r="T463" s="24" t="str">
        <f aca="false">IF(A463="","",IF(OR(AND(R463&lt;&gt;"",R463&lt;0),AND(S463&lt;&gt;"",S463&lt;0)),"EXPIRED",IF(OR(AND(R463&lt;&gt;"",R463&lt;=Settings!$B$15),AND(S463&lt;&gt;"",S463&lt;=Settings!$B$15)),"EXPIRING SOON","OK")))</f>
        <v/>
      </c>
      <c r="U463" s="24" t="str">
        <f aca="false">IF(AND(C463="Own",Q463="Active"),COUNTIFS($C$5:C463,"Own",$Q$5:Q463,"Active"),"")</f>
        <v/>
      </c>
      <c r="V463" s="26" t="str">
        <f aca="false">IF(C463&lt;&gt;"Own","",IF(K463="Hourly",N463,(L463+M463)/(Settings!$B$11*Settings!$B$12)))</f>
        <v/>
      </c>
    </row>
    <row r="464" customFormat="false" ht="15" hidden="false" customHeight="false" outlineLevel="0" collapsed="false">
      <c r="R464" s="25" t="str">
        <f aca="true">IF(I464="","",I464-TODAY())</f>
        <v/>
      </c>
      <c r="S464" s="25" t="str">
        <f aca="true">IF(J464="","",J464-TODAY())</f>
        <v/>
      </c>
      <c r="T464" s="24" t="str">
        <f aca="false">IF(A464="","",IF(OR(AND(R464&lt;&gt;"",R464&lt;0),AND(S464&lt;&gt;"",S464&lt;0)),"EXPIRED",IF(OR(AND(R464&lt;&gt;"",R464&lt;=Settings!$B$15),AND(S464&lt;&gt;"",S464&lt;=Settings!$B$15)),"EXPIRING SOON","OK")))</f>
        <v/>
      </c>
      <c r="U464" s="24" t="str">
        <f aca="false">IF(AND(C464="Own",Q464="Active"),COUNTIFS($C$5:C464,"Own",$Q$5:Q464,"Active"),"")</f>
        <v/>
      </c>
      <c r="V464" s="26" t="str">
        <f aca="false">IF(C464&lt;&gt;"Own","",IF(K464="Hourly",N464,(L464+M464)/(Settings!$B$11*Settings!$B$12)))</f>
        <v/>
      </c>
    </row>
    <row r="465" customFormat="false" ht="15" hidden="false" customHeight="false" outlineLevel="0" collapsed="false">
      <c r="R465" s="25" t="str">
        <f aca="true">IF(I465="","",I465-TODAY())</f>
        <v/>
      </c>
      <c r="S465" s="25" t="str">
        <f aca="true">IF(J465="","",J465-TODAY())</f>
        <v/>
      </c>
      <c r="T465" s="24" t="str">
        <f aca="false">IF(A465="","",IF(OR(AND(R465&lt;&gt;"",R465&lt;0),AND(S465&lt;&gt;"",S465&lt;0)),"EXPIRED",IF(OR(AND(R465&lt;&gt;"",R465&lt;=Settings!$B$15),AND(S465&lt;&gt;"",S465&lt;=Settings!$B$15)),"EXPIRING SOON","OK")))</f>
        <v/>
      </c>
      <c r="U465" s="24" t="str">
        <f aca="false">IF(AND(C465="Own",Q465="Active"),COUNTIFS($C$5:C465,"Own",$Q$5:Q465,"Active"),"")</f>
        <v/>
      </c>
      <c r="V465" s="26" t="str">
        <f aca="false">IF(C465&lt;&gt;"Own","",IF(K465="Hourly",N465,(L465+M465)/(Settings!$B$11*Settings!$B$12)))</f>
        <v/>
      </c>
    </row>
    <row r="466" customFormat="false" ht="15" hidden="false" customHeight="false" outlineLevel="0" collapsed="false">
      <c r="R466" s="25" t="str">
        <f aca="true">IF(I466="","",I466-TODAY())</f>
        <v/>
      </c>
      <c r="S466" s="25" t="str">
        <f aca="true">IF(J466="","",J466-TODAY())</f>
        <v/>
      </c>
      <c r="T466" s="24" t="str">
        <f aca="false">IF(A466="","",IF(OR(AND(R466&lt;&gt;"",R466&lt;0),AND(S466&lt;&gt;"",S466&lt;0)),"EXPIRED",IF(OR(AND(R466&lt;&gt;"",R466&lt;=Settings!$B$15),AND(S466&lt;&gt;"",S466&lt;=Settings!$B$15)),"EXPIRING SOON","OK")))</f>
        <v/>
      </c>
      <c r="U466" s="24" t="str">
        <f aca="false">IF(AND(C466="Own",Q466="Active"),COUNTIFS($C$5:C466,"Own",$Q$5:Q466,"Active"),"")</f>
        <v/>
      </c>
      <c r="V466" s="26" t="str">
        <f aca="false">IF(C466&lt;&gt;"Own","",IF(K466="Hourly",N466,(L466+M466)/(Settings!$B$11*Settings!$B$12)))</f>
        <v/>
      </c>
    </row>
    <row r="467" customFormat="false" ht="15" hidden="false" customHeight="false" outlineLevel="0" collapsed="false">
      <c r="R467" s="25" t="str">
        <f aca="true">IF(I467="","",I467-TODAY())</f>
        <v/>
      </c>
      <c r="S467" s="25" t="str">
        <f aca="true">IF(J467="","",J467-TODAY())</f>
        <v/>
      </c>
      <c r="T467" s="24" t="str">
        <f aca="false">IF(A467="","",IF(OR(AND(R467&lt;&gt;"",R467&lt;0),AND(S467&lt;&gt;"",S467&lt;0)),"EXPIRED",IF(OR(AND(R467&lt;&gt;"",R467&lt;=Settings!$B$15),AND(S467&lt;&gt;"",S467&lt;=Settings!$B$15)),"EXPIRING SOON","OK")))</f>
        <v/>
      </c>
      <c r="U467" s="24" t="str">
        <f aca="false">IF(AND(C467="Own",Q467="Active"),COUNTIFS($C$5:C467,"Own",$Q$5:Q467,"Active"),"")</f>
        <v/>
      </c>
      <c r="V467" s="26" t="str">
        <f aca="false">IF(C467&lt;&gt;"Own","",IF(K467="Hourly",N467,(L467+M467)/(Settings!$B$11*Settings!$B$12)))</f>
        <v/>
      </c>
    </row>
    <row r="468" customFormat="false" ht="15" hidden="false" customHeight="false" outlineLevel="0" collapsed="false">
      <c r="R468" s="25" t="str">
        <f aca="true">IF(I468="","",I468-TODAY())</f>
        <v/>
      </c>
      <c r="S468" s="25" t="str">
        <f aca="true">IF(J468="","",J468-TODAY())</f>
        <v/>
      </c>
      <c r="T468" s="24" t="str">
        <f aca="false">IF(A468="","",IF(OR(AND(R468&lt;&gt;"",R468&lt;0),AND(S468&lt;&gt;"",S468&lt;0)),"EXPIRED",IF(OR(AND(R468&lt;&gt;"",R468&lt;=Settings!$B$15),AND(S468&lt;&gt;"",S468&lt;=Settings!$B$15)),"EXPIRING SOON","OK")))</f>
        <v/>
      </c>
      <c r="U468" s="24" t="str">
        <f aca="false">IF(AND(C468="Own",Q468="Active"),COUNTIFS($C$5:C468,"Own",$Q$5:Q468,"Active"),"")</f>
        <v/>
      </c>
      <c r="V468" s="26" t="str">
        <f aca="false">IF(C468&lt;&gt;"Own","",IF(K468="Hourly",N468,(L468+M468)/(Settings!$B$11*Settings!$B$12)))</f>
        <v/>
      </c>
    </row>
    <row r="469" customFormat="false" ht="15" hidden="false" customHeight="false" outlineLevel="0" collapsed="false">
      <c r="R469" s="25" t="str">
        <f aca="true">IF(I469="","",I469-TODAY())</f>
        <v/>
      </c>
      <c r="S469" s="25" t="str">
        <f aca="true">IF(J469="","",J469-TODAY())</f>
        <v/>
      </c>
      <c r="T469" s="24" t="str">
        <f aca="false">IF(A469="","",IF(OR(AND(R469&lt;&gt;"",R469&lt;0),AND(S469&lt;&gt;"",S469&lt;0)),"EXPIRED",IF(OR(AND(R469&lt;&gt;"",R469&lt;=Settings!$B$15),AND(S469&lt;&gt;"",S469&lt;=Settings!$B$15)),"EXPIRING SOON","OK")))</f>
        <v/>
      </c>
      <c r="U469" s="24" t="str">
        <f aca="false">IF(AND(C469="Own",Q469="Active"),COUNTIFS($C$5:C469,"Own",$Q$5:Q469,"Active"),"")</f>
        <v/>
      </c>
      <c r="V469" s="26" t="str">
        <f aca="false">IF(C469&lt;&gt;"Own","",IF(K469="Hourly",N469,(L469+M469)/(Settings!$B$11*Settings!$B$12)))</f>
        <v/>
      </c>
    </row>
    <row r="470" customFormat="false" ht="15" hidden="false" customHeight="false" outlineLevel="0" collapsed="false">
      <c r="R470" s="25" t="str">
        <f aca="true">IF(I470="","",I470-TODAY())</f>
        <v/>
      </c>
      <c r="S470" s="25" t="str">
        <f aca="true">IF(J470="","",J470-TODAY())</f>
        <v/>
      </c>
      <c r="T470" s="24" t="str">
        <f aca="false">IF(A470="","",IF(OR(AND(R470&lt;&gt;"",R470&lt;0),AND(S470&lt;&gt;"",S470&lt;0)),"EXPIRED",IF(OR(AND(R470&lt;&gt;"",R470&lt;=Settings!$B$15),AND(S470&lt;&gt;"",S470&lt;=Settings!$B$15)),"EXPIRING SOON","OK")))</f>
        <v/>
      </c>
      <c r="U470" s="24" t="str">
        <f aca="false">IF(AND(C470="Own",Q470="Active"),COUNTIFS($C$5:C470,"Own",$Q$5:Q470,"Active"),"")</f>
        <v/>
      </c>
      <c r="V470" s="26" t="str">
        <f aca="false">IF(C470&lt;&gt;"Own","",IF(K470="Hourly",N470,(L470+M470)/(Settings!$B$11*Settings!$B$12)))</f>
        <v/>
      </c>
    </row>
    <row r="471" customFormat="false" ht="15" hidden="false" customHeight="false" outlineLevel="0" collapsed="false">
      <c r="R471" s="25" t="str">
        <f aca="true">IF(I471="","",I471-TODAY())</f>
        <v/>
      </c>
      <c r="S471" s="25" t="str">
        <f aca="true">IF(J471="","",J471-TODAY())</f>
        <v/>
      </c>
      <c r="T471" s="24" t="str">
        <f aca="false">IF(A471="","",IF(OR(AND(R471&lt;&gt;"",R471&lt;0),AND(S471&lt;&gt;"",S471&lt;0)),"EXPIRED",IF(OR(AND(R471&lt;&gt;"",R471&lt;=Settings!$B$15),AND(S471&lt;&gt;"",S471&lt;=Settings!$B$15)),"EXPIRING SOON","OK")))</f>
        <v/>
      </c>
      <c r="U471" s="24" t="str">
        <f aca="false">IF(AND(C471="Own",Q471="Active"),COUNTIFS($C$5:C471,"Own",$Q$5:Q471,"Active"),"")</f>
        <v/>
      </c>
      <c r="V471" s="26" t="str">
        <f aca="false">IF(C471&lt;&gt;"Own","",IF(K471="Hourly",N471,(L471+M471)/(Settings!$B$11*Settings!$B$12)))</f>
        <v/>
      </c>
    </row>
    <row r="472" customFormat="false" ht="15" hidden="false" customHeight="false" outlineLevel="0" collapsed="false">
      <c r="R472" s="25" t="str">
        <f aca="true">IF(I472="","",I472-TODAY())</f>
        <v/>
      </c>
      <c r="S472" s="25" t="str">
        <f aca="true">IF(J472="","",J472-TODAY())</f>
        <v/>
      </c>
      <c r="T472" s="24" t="str">
        <f aca="false">IF(A472="","",IF(OR(AND(R472&lt;&gt;"",R472&lt;0),AND(S472&lt;&gt;"",S472&lt;0)),"EXPIRED",IF(OR(AND(R472&lt;&gt;"",R472&lt;=Settings!$B$15),AND(S472&lt;&gt;"",S472&lt;=Settings!$B$15)),"EXPIRING SOON","OK")))</f>
        <v/>
      </c>
      <c r="U472" s="24" t="str">
        <f aca="false">IF(AND(C472="Own",Q472="Active"),COUNTIFS($C$5:C472,"Own",$Q$5:Q472,"Active"),"")</f>
        <v/>
      </c>
      <c r="V472" s="26" t="str">
        <f aca="false">IF(C472&lt;&gt;"Own","",IF(K472="Hourly",N472,(L472+M472)/(Settings!$B$11*Settings!$B$12)))</f>
        <v/>
      </c>
    </row>
    <row r="473" customFormat="false" ht="15" hidden="false" customHeight="false" outlineLevel="0" collapsed="false">
      <c r="R473" s="25" t="str">
        <f aca="true">IF(I473="","",I473-TODAY())</f>
        <v/>
      </c>
      <c r="S473" s="25" t="str">
        <f aca="true">IF(J473="","",J473-TODAY())</f>
        <v/>
      </c>
      <c r="T473" s="24" t="str">
        <f aca="false">IF(A473="","",IF(OR(AND(R473&lt;&gt;"",R473&lt;0),AND(S473&lt;&gt;"",S473&lt;0)),"EXPIRED",IF(OR(AND(R473&lt;&gt;"",R473&lt;=Settings!$B$15),AND(S473&lt;&gt;"",S473&lt;=Settings!$B$15)),"EXPIRING SOON","OK")))</f>
        <v/>
      </c>
      <c r="U473" s="24" t="str">
        <f aca="false">IF(AND(C473="Own",Q473="Active"),COUNTIFS($C$5:C473,"Own",$Q$5:Q473,"Active"),"")</f>
        <v/>
      </c>
      <c r="V473" s="26" t="str">
        <f aca="false">IF(C473&lt;&gt;"Own","",IF(K473="Hourly",N473,(L473+M473)/(Settings!$B$11*Settings!$B$12)))</f>
        <v/>
      </c>
    </row>
    <row r="474" customFormat="false" ht="15" hidden="false" customHeight="false" outlineLevel="0" collapsed="false">
      <c r="R474" s="25" t="str">
        <f aca="true">IF(I474="","",I474-TODAY())</f>
        <v/>
      </c>
      <c r="S474" s="25" t="str">
        <f aca="true">IF(J474="","",J474-TODAY())</f>
        <v/>
      </c>
      <c r="T474" s="24" t="str">
        <f aca="false">IF(A474="","",IF(OR(AND(R474&lt;&gt;"",R474&lt;0),AND(S474&lt;&gt;"",S474&lt;0)),"EXPIRED",IF(OR(AND(R474&lt;&gt;"",R474&lt;=Settings!$B$15),AND(S474&lt;&gt;"",S474&lt;=Settings!$B$15)),"EXPIRING SOON","OK")))</f>
        <v/>
      </c>
      <c r="U474" s="24" t="str">
        <f aca="false">IF(AND(C474="Own",Q474="Active"),COUNTIFS($C$5:C474,"Own",$Q$5:Q474,"Active"),"")</f>
        <v/>
      </c>
      <c r="V474" s="26" t="str">
        <f aca="false">IF(C474&lt;&gt;"Own","",IF(K474="Hourly",N474,(L474+M474)/(Settings!$B$11*Settings!$B$12)))</f>
        <v/>
      </c>
    </row>
    <row r="475" customFormat="false" ht="15" hidden="false" customHeight="false" outlineLevel="0" collapsed="false">
      <c r="R475" s="25" t="str">
        <f aca="true">IF(I475="","",I475-TODAY())</f>
        <v/>
      </c>
      <c r="S475" s="25" t="str">
        <f aca="true">IF(J475="","",J475-TODAY())</f>
        <v/>
      </c>
      <c r="T475" s="24" t="str">
        <f aca="false">IF(A475="","",IF(OR(AND(R475&lt;&gt;"",R475&lt;0),AND(S475&lt;&gt;"",S475&lt;0)),"EXPIRED",IF(OR(AND(R475&lt;&gt;"",R475&lt;=Settings!$B$15),AND(S475&lt;&gt;"",S475&lt;=Settings!$B$15)),"EXPIRING SOON","OK")))</f>
        <v/>
      </c>
      <c r="U475" s="24" t="str">
        <f aca="false">IF(AND(C475="Own",Q475="Active"),COUNTIFS($C$5:C475,"Own",$Q$5:Q475,"Active"),"")</f>
        <v/>
      </c>
      <c r="V475" s="26" t="str">
        <f aca="false">IF(C475&lt;&gt;"Own","",IF(K475="Hourly",N475,(L475+M475)/(Settings!$B$11*Settings!$B$12)))</f>
        <v/>
      </c>
    </row>
    <row r="476" customFormat="false" ht="15" hidden="false" customHeight="false" outlineLevel="0" collapsed="false">
      <c r="R476" s="25" t="str">
        <f aca="true">IF(I476="","",I476-TODAY())</f>
        <v/>
      </c>
      <c r="S476" s="25" t="str">
        <f aca="true">IF(J476="","",J476-TODAY())</f>
        <v/>
      </c>
      <c r="T476" s="24" t="str">
        <f aca="false">IF(A476="","",IF(OR(AND(R476&lt;&gt;"",R476&lt;0),AND(S476&lt;&gt;"",S476&lt;0)),"EXPIRED",IF(OR(AND(R476&lt;&gt;"",R476&lt;=Settings!$B$15),AND(S476&lt;&gt;"",S476&lt;=Settings!$B$15)),"EXPIRING SOON","OK")))</f>
        <v/>
      </c>
      <c r="U476" s="24" t="str">
        <f aca="false">IF(AND(C476="Own",Q476="Active"),COUNTIFS($C$5:C476,"Own",$Q$5:Q476,"Active"),"")</f>
        <v/>
      </c>
      <c r="V476" s="26" t="str">
        <f aca="false">IF(C476&lt;&gt;"Own","",IF(K476="Hourly",N476,(L476+M476)/(Settings!$B$11*Settings!$B$12)))</f>
        <v/>
      </c>
    </row>
    <row r="477" customFormat="false" ht="15" hidden="false" customHeight="false" outlineLevel="0" collapsed="false">
      <c r="R477" s="25" t="str">
        <f aca="true">IF(I477="","",I477-TODAY())</f>
        <v/>
      </c>
      <c r="S477" s="25" t="str">
        <f aca="true">IF(J477="","",J477-TODAY())</f>
        <v/>
      </c>
      <c r="T477" s="24" t="str">
        <f aca="false">IF(A477="","",IF(OR(AND(R477&lt;&gt;"",R477&lt;0),AND(S477&lt;&gt;"",S477&lt;0)),"EXPIRED",IF(OR(AND(R477&lt;&gt;"",R477&lt;=Settings!$B$15),AND(S477&lt;&gt;"",S477&lt;=Settings!$B$15)),"EXPIRING SOON","OK")))</f>
        <v/>
      </c>
      <c r="U477" s="24" t="str">
        <f aca="false">IF(AND(C477="Own",Q477="Active"),COUNTIFS($C$5:C477,"Own",$Q$5:Q477,"Active"),"")</f>
        <v/>
      </c>
      <c r="V477" s="26" t="str">
        <f aca="false">IF(C477&lt;&gt;"Own","",IF(K477="Hourly",N477,(L477+M477)/(Settings!$B$11*Settings!$B$12)))</f>
        <v/>
      </c>
    </row>
    <row r="478" customFormat="false" ht="15" hidden="false" customHeight="false" outlineLevel="0" collapsed="false">
      <c r="R478" s="25" t="str">
        <f aca="true">IF(I478="","",I478-TODAY())</f>
        <v/>
      </c>
      <c r="S478" s="25" t="str">
        <f aca="true">IF(J478="","",J478-TODAY())</f>
        <v/>
      </c>
      <c r="T478" s="24" t="str">
        <f aca="false">IF(A478="","",IF(OR(AND(R478&lt;&gt;"",R478&lt;0),AND(S478&lt;&gt;"",S478&lt;0)),"EXPIRED",IF(OR(AND(R478&lt;&gt;"",R478&lt;=Settings!$B$15),AND(S478&lt;&gt;"",S478&lt;=Settings!$B$15)),"EXPIRING SOON","OK")))</f>
        <v/>
      </c>
      <c r="U478" s="24" t="str">
        <f aca="false">IF(AND(C478="Own",Q478="Active"),COUNTIFS($C$5:C478,"Own",$Q$5:Q478,"Active"),"")</f>
        <v/>
      </c>
      <c r="V478" s="26" t="str">
        <f aca="false">IF(C478&lt;&gt;"Own","",IF(K478="Hourly",N478,(L478+M478)/(Settings!$B$11*Settings!$B$12)))</f>
        <v/>
      </c>
    </row>
    <row r="479" customFormat="false" ht="15" hidden="false" customHeight="false" outlineLevel="0" collapsed="false">
      <c r="R479" s="25" t="str">
        <f aca="true">IF(I479="","",I479-TODAY())</f>
        <v/>
      </c>
      <c r="S479" s="25" t="str">
        <f aca="true">IF(J479="","",J479-TODAY())</f>
        <v/>
      </c>
      <c r="T479" s="24" t="str">
        <f aca="false">IF(A479="","",IF(OR(AND(R479&lt;&gt;"",R479&lt;0),AND(S479&lt;&gt;"",S479&lt;0)),"EXPIRED",IF(OR(AND(R479&lt;&gt;"",R479&lt;=Settings!$B$15),AND(S479&lt;&gt;"",S479&lt;=Settings!$B$15)),"EXPIRING SOON","OK")))</f>
        <v/>
      </c>
      <c r="U479" s="24" t="str">
        <f aca="false">IF(AND(C479="Own",Q479="Active"),COUNTIFS($C$5:C479,"Own",$Q$5:Q479,"Active"),"")</f>
        <v/>
      </c>
      <c r="V479" s="26" t="str">
        <f aca="false">IF(C479&lt;&gt;"Own","",IF(K479="Hourly",N479,(L479+M479)/(Settings!$B$11*Settings!$B$12)))</f>
        <v/>
      </c>
    </row>
    <row r="480" customFormat="false" ht="15" hidden="false" customHeight="false" outlineLevel="0" collapsed="false">
      <c r="R480" s="25" t="str">
        <f aca="true">IF(I480="","",I480-TODAY())</f>
        <v/>
      </c>
      <c r="S480" s="25" t="str">
        <f aca="true">IF(J480="","",J480-TODAY())</f>
        <v/>
      </c>
      <c r="T480" s="24" t="str">
        <f aca="false">IF(A480="","",IF(OR(AND(R480&lt;&gt;"",R480&lt;0),AND(S480&lt;&gt;"",S480&lt;0)),"EXPIRED",IF(OR(AND(R480&lt;&gt;"",R480&lt;=Settings!$B$15),AND(S480&lt;&gt;"",S480&lt;=Settings!$B$15)),"EXPIRING SOON","OK")))</f>
        <v/>
      </c>
      <c r="U480" s="24" t="str">
        <f aca="false">IF(AND(C480="Own",Q480="Active"),COUNTIFS($C$5:C480,"Own",$Q$5:Q480,"Active"),"")</f>
        <v/>
      </c>
      <c r="V480" s="26" t="str">
        <f aca="false">IF(C480&lt;&gt;"Own","",IF(K480="Hourly",N480,(L480+M480)/(Settings!$B$11*Settings!$B$12)))</f>
        <v/>
      </c>
    </row>
    <row r="481" customFormat="false" ht="15" hidden="false" customHeight="false" outlineLevel="0" collapsed="false">
      <c r="R481" s="25" t="str">
        <f aca="true">IF(I481="","",I481-TODAY())</f>
        <v/>
      </c>
      <c r="S481" s="25" t="str">
        <f aca="true">IF(J481="","",J481-TODAY())</f>
        <v/>
      </c>
      <c r="T481" s="24" t="str">
        <f aca="false">IF(A481="","",IF(OR(AND(R481&lt;&gt;"",R481&lt;0),AND(S481&lt;&gt;"",S481&lt;0)),"EXPIRED",IF(OR(AND(R481&lt;&gt;"",R481&lt;=Settings!$B$15),AND(S481&lt;&gt;"",S481&lt;=Settings!$B$15)),"EXPIRING SOON","OK")))</f>
        <v/>
      </c>
      <c r="U481" s="24" t="str">
        <f aca="false">IF(AND(C481="Own",Q481="Active"),COUNTIFS($C$5:C481,"Own",$Q$5:Q481,"Active"),"")</f>
        <v/>
      </c>
      <c r="V481" s="26" t="str">
        <f aca="false">IF(C481&lt;&gt;"Own","",IF(K481="Hourly",N481,(L481+M481)/(Settings!$B$11*Settings!$B$12)))</f>
        <v/>
      </c>
    </row>
    <row r="482" customFormat="false" ht="15" hidden="false" customHeight="false" outlineLevel="0" collapsed="false">
      <c r="R482" s="25" t="str">
        <f aca="true">IF(I482="","",I482-TODAY())</f>
        <v/>
      </c>
      <c r="S482" s="25" t="str">
        <f aca="true">IF(J482="","",J482-TODAY())</f>
        <v/>
      </c>
      <c r="T482" s="24" t="str">
        <f aca="false">IF(A482="","",IF(OR(AND(R482&lt;&gt;"",R482&lt;0),AND(S482&lt;&gt;"",S482&lt;0)),"EXPIRED",IF(OR(AND(R482&lt;&gt;"",R482&lt;=Settings!$B$15),AND(S482&lt;&gt;"",S482&lt;=Settings!$B$15)),"EXPIRING SOON","OK")))</f>
        <v/>
      </c>
      <c r="U482" s="24" t="str">
        <f aca="false">IF(AND(C482="Own",Q482="Active"),COUNTIFS($C$5:C482,"Own",$Q$5:Q482,"Active"),"")</f>
        <v/>
      </c>
      <c r="V482" s="26" t="str">
        <f aca="false">IF(C482&lt;&gt;"Own","",IF(K482="Hourly",N482,(L482+M482)/(Settings!$B$11*Settings!$B$12)))</f>
        <v/>
      </c>
    </row>
    <row r="483" customFormat="false" ht="15" hidden="false" customHeight="false" outlineLevel="0" collapsed="false">
      <c r="R483" s="25" t="str">
        <f aca="true">IF(I483="","",I483-TODAY())</f>
        <v/>
      </c>
      <c r="S483" s="25" t="str">
        <f aca="true">IF(J483="","",J483-TODAY())</f>
        <v/>
      </c>
      <c r="T483" s="24" t="str">
        <f aca="false">IF(A483="","",IF(OR(AND(R483&lt;&gt;"",R483&lt;0),AND(S483&lt;&gt;"",S483&lt;0)),"EXPIRED",IF(OR(AND(R483&lt;&gt;"",R483&lt;=Settings!$B$15),AND(S483&lt;&gt;"",S483&lt;=Settings!$B$15)),"EXPIRING SOON","OK")))</f>
        <v/>
      </c>
      <c r="U483" s="24" t="str">
        <f aca="false">IF(AND(C483="Own",Q483="Active"),COUNTIFS($C$5:C483,"Own",$Q$5:Q483,"Active"),"")</f>
        <v/>
      </c>
      <c r="V483" s="26" t="str">
        <f aca="false">IF(C483&lt;&gt;"Own","",IF(K483="Hourly",N483,(L483+M483)/(Settings!$B$11*Settings!$B$12)))</f>
        <v/>
      </c>
    </row>
    <row r="484" customFormat="false" ht="15" hidden="false" customHeight="false" outlineLevel="0" collapsed="false">
      <c r="R484" s="25" t="str">
        <f aca="true">IF(I484="","",I484-TODAY())</f>
        <v/>
      </c>
      <c r="S484" s="25" t="str">
        <f aca="true">IF(J484="","",J484-TODAY())</f>
        <v/>
      </c>
      <c r="T484" s="24" t="str">
        <f aca="false">IF(A484="","",IF(OR(AND(R484&lt;&gt;"",R484&lt;0),AND(S484&lt;&gt;"",S484&lt;0)),"EXPIRED",IF(OR(AND(R484&lt;&gt;"",R484&lt;=Settings!$B$15),AND(S484&lt;&gt;"",S484&lt;=Settings!$B$15)),"EXPIRING SOON","OK")))</f>
        <v/>
      </c>
      <c r="U484" s="24" t="str">
        <f aca="false">IF(AND(C484="Own",Q484="Active"),COUNTIFS($C$5:C484,"Own",$Q$5:Q484,"Active"),"")</f>
        <v/>
      </c>
      <c r="V484" s="26" t="str">
        <f aca="false">IF(C484&lt;&gt;"Own","",IF(K484="Hourly",N484,(L484+M484)/(Settings!$B$11*Settings!$B$12)))</f>
        <v/>
      </c>
    </row>
    <row r="485" customFormat="false" ht="15" hidden="false" customHeight="false" outlineLevel="0" collapsed="false">
      <c r="R485" s="25" t="str">
        <f aca="true">IF(I485="","",I485-TODAY())</f>
        <v/>
      </c>
      <c r="S485" s="25" t="str">
        <f aca="true">IF(J485="","",J485-TODAY())</f>
        <v/>
      </c>
      <c r="T485" s="24" t="str">
        <f aca="false">IF(A485="","",IF(OR(AND(R485&lt;&gt;"",R485&lt;0),AND(S485&lt;&gt;"",S485&lt;0)),"EXPIRED",IF(OR(AND(R485&lt;&gt;"",R485&lt;=Settings!$B$15),AND(S485&lt;&gt;"",S485&lt;=Settings!$B$15)),"EXPIRING SOON","OK")))</f>
        <v/>
      </c>
      <c r="U485" s="24" t="str">
        <f aca="false">IF(AND(C485="Own",Q485="Active"),COUNTIFS($C$5:C485,"Own",$Q$5:Q485,"Active"),"")</f>
        <v/>
      </c>
      <c r="V485" s="26" t="str">
        <f aca="false">IF(C485&lt;&gt;"Own","",IF(K485="Hourly",N485,(L485+M485)/(Settings!$B$11*Settings!$B$12)))</f>
        <v/>
      </c>
    </row>
    <row r="486" customFormat="false" ht="15" hidden="false" customHeight="false" outlineLevel="0" collapsed="false">
      <c r="R486" s="25" t="str">
        <f aca="true">IF(I486="","",I486-TODAY())</f>
        <v/>
      </c>
      <c r="S486" s="25" t="str">
        <f aca="true">IF(J486="","",J486-TODAY())</f>
        <v/>
      </c>
      <c r="T486" s="24" t="str">
        <f aca="false">IF(A486="","",IF(OR(AND(R486&lt;&gt;"",R486&lt;0),AND(S486&lt;&gt;"",S486&lt;0)),"EXPIRED",IF(OR(AND(R486&lt;&gt;"",R486&lt;=Settings!$B$15),AND(S486&lt;&gt;"",S486&lt;=Settings!$B$15)),"EXPIRING SOON","OK")))</f>
        <v/>
      </c>
      <c r="U486" s="24" t="str">
        <f aca="false">IF(AND(C486="Own",Q486="Active"),COUNTIFS($C$5:C486,"Own",$Q$5:Q486,"Active"),"")</f>
        <v/>
      </c>
      <c r="V486" s="26" t="str">
        <f aca="false">IF(C486&lt;&gt;"Own","",IF(K486="Hourly",N486,(L486+M486)/(Settings!$B$11*Settings!$B$12)))</f>
        <v/>
      </c>
    </row>
    <row r="487" customFormat="false" ht="15" hidden="false" customHeight="false" outlineLevel="0" collapsed="false">
      <c r="R487" s="25" t="str">
        <f aca="true">IF(I487="","",I487-TODAY())</f>
        <v/>
      </c>
      <c r="S487" s="25" t="str">
        <f aca="true">IF(J487="","",J487-TODAY())</f>
        <v/>
      </c>
      <c r="T487" s="24" t="str">
        <f aca="false">IF(A487="","",IF(OR(AND(R487&lt;&gt;"",R487&lt;0),AND(S487&lt;&gt;"",S487&lt;0)),"EXPIRED",IF(OR(AND(R487&lt;&gt;"",R487&lt;=Settings!$B$15),AND(S487&lt;&gt;"",S487&lt;=Settings!$B$15)),"EXPIRING SOON","OK")))</f>
        <v/>
      </c>
      <c r="U487" s="24" t="str">
        <f aca="false">IF(AND(C487="Own",Q487="Active"),COUNTIFS($C$5:C487,"Own",$Q$5:Q487,"Active"),"")</f>
        <v/>
      </c>
      <c r="V487" s="26" t="str">
        <f aca="false">IF(C487&lt;&gt;"Own","",IF(K487="Hourly",N487,(L487+M487)/(Settings!$B$11*Settings!$B$12)))</f>
        <v/>
      </c>
    </row>
    <row r="488" customFormat="false" ht="15" hidden="false" customHeight="false" outlineLevel="0" collapsed="false">
      <c r="R488" s="25" t="str">
        <f aca="true">IF(I488="","",I488-TODAY())</f>
        <v/>
      </c>
      <c r="S488" s="25" t="str">
        <f aca="true">IF(J488="","",J488-TODAY())</f>
        <v/>
      </c>
      <c r="T488" s="24" t="str">
        <f aca="false">IF(A488="","",IF(OR(AND(R488&lt;&gt;"",R488&lt;0),AND(S488&lt;&gt;"",S488&lt;0)),"EXPIRED",IF(OR(AND(R488&lt;&gt;"",R488&lt;=Settings!$B$15),AND(S488&lt;&gt;"",S488&lt;=Settings!$B$15)),"EXPIRING SOON","OK")))</f>
        <v/>
      </c>
      <c r="U488" s="24" t="str">
        <f aca="false">IF(AND(C488="Own",Q488="Active"),COUNTIFS($C$5:C488,"Own",$Q$5:Q488,"Active"),"")</f>
        <v/>
      </c>
      <c r="V488" s="26" t="str">
        <f aca="false">IF(C488&lt;&gt;"Own","",IF(K488="Hourly",N488,(L488+M488)/(Settings!$B$11*Settings!$B$12)))</f>
        <v/>
      </c>
    </row>
    <row r="489" customFormat="false" ht="15" hidden="false" customHeight="false" outlineLevel="0" collapsed="false">
      <c r="R489" s="25" t="str">
        <f aca="true">IF(I489="","",I489-TODAY())</f>
        <v/>
      </c>
      <c r="S489" s="25" t="str">
        <f aca="true">IF(J489="","",J489-TODAY())</f>
        <v/>
      </c>
      <c r="T489" s="24" t="str">
        <f aca="false">IF(A489="","",IF(OR(AND(R489&lt;&gt;"",R489&lt;0),AND(S489&lt;&gt;"",S489&lt;0)),"EXPIRED",IF(OR(AND(R489&lt;&gt;"",R489&lt;=Settings!$B$15),AND(S489&lt;&gt;"",S489&lt;=Settings!$B$15)),"EXPIRING SOON","OK")))</f>
        <v/>
      </c>
      <c r="U489" s="24" t="str">
        <f aca="false">IF(AND(C489="Own",Q489="Active"),COUNTIFS($C$5:C489,"Own",$Q$5:Q489,"Active"),"")</f>
        <v/>
      </c>
      <c r="V489" s="26" t="str">
        <f aca="false">IF(C489&lt;&gt;"Own","",IF(K489="Hourly",N489,(L489+M489)/(Settings!$B$11*Settings!$B$12)))</f>
        <v/>
      </c>
    </row>
    <row r="490" customFormat="false" ht="15" hidden="false" customHeight="false" outlineLevel="0" collapsed="false">
      <c r="R490" s="25" t="str">
        <f aca="true">IF(I490="","",I490-TODAY())</f>
        <v/>
      </c>
      <c r="S490" s="25" t="str">
        <f aca="true">IF(J490="","",J490-TODAY())</f>
        <v/>
      </c>
      <c r="T490" s="24" t="str">
        <f aca="false">IF(A490="","",IF(OR(AND(R490&lt;&gt;"",R490&lt;0),AND(S490&lt;&gt;"",S490&lt;0)),"EXPIRED",IF(OR(AND(R490&lt;&gt;"",R490&lt;=Settings!$B$15),AND(S490&lt;&gt;"",S490&lt;=Settings!$B$15)),"EXPIRING SOON","OK")))</f>
        <v/>
      </c>
      <c r="U490" s="24" t="str">
        <f aca="false">IF(AND(C490="Own",Q490="Active"),COUNTIFS($C$5:C490,"Own",$Q$5:Q490,"Active"),"")</f>
        <v/>
      </c>
      <c r="V490" s="26" t="str">
        <f aca="false">IF(C490&lt;&gt;"Own","",IF(K490="Hourly",N490,(L490+M490)/(Settings!$B$11*Settings!$B$12)))</f>
        <v/>
      </c>
    </row>
    <row r="491" customFormat="false" ht="15" hidden="false" customHeight="false" outlineLevel="0" collapsed="false">
      <c r="R491" s="25" t="str">
        <f aca="true">IF(I491="","",I491-TODAY())</f>
        <v/>
      </c>
      <c r="S491" s="25" t="str">
        <f aca="true">IF(J491="","",J491-TODAY())</f>
        <v/>
      </c>
      <c r="T491" s="24" t="str">
        <f aca="false">IF(A491="","",IF(OR(AND(R491&lt;&gt;"",R491&lt;0),AND(S491&lt;&gt;"",S491&lt;0)),"EXPIRED",IF(OR(AND(R491&lt;&gt;"",R491&lt;=Settings!$B$15),AND(S491&lt;&gt;"",S491&lt;=Settings!$B$15)),"EXPIRING SOON","OK")))</f>
        <v/>
      </c>
      <c r="U491" s="24" t="str">
        <f aca="false">IF(AND(C491="Own",Q491="Active"),COUNTIFS($C$5:C491,"Own",$Q$5:Q491,"Active"),"")</f>
        <v/>
      </c>
      <c r="V491" s="26" t="str">
        <f aca="false">IF(C491&lt;&gt;"Own","",IF(K491="Hourly",N491,(L491+M491)/(Settings!$B$11*Settings!$B$12)))</f>
        <v/>
      </c>
    </row>
    <row r="492" customFormat="false" ht="15" hidden="false" customHeight="false" outlineLevel="0" collapsed="false">
      <c r="R492" s="25" t="str">
        <f aca="true">IF(I492="","",I492-TODAY())</f>
        <v/>
      </c>
      <c r="S492" s="25" t="str">
        <f aca="true">IF(J492="","",J492-TODAY())</f>
        <v/>
      </c>
      <c r="T492" s="24" t="str">
        <f aca="false">IF(A492="","",IF(OR(AND(R492&lt;&gt;"",R492&lt;0),AND(S492&lt;&gt;"",S492&lt;0)),"EXPIRED",IF(OR(AND(R492&lt;&gt;"",R492&lt;=Settings!$B$15),AND(S492&lt;&gt;"",S492&lt;=Settings!$B$15)),"EXPIRING SOON","OK")))</f>
        <v/>
      </c>
      <c r="U492" s="24" t="str">
        <f aca="false">IF(AND(C492="Own",Q492="Active"),COUNTIFS($C$5:C492,"Own",$Q$5:Q492,"Active"),"")</f>
        <v/>
      </c>
      <c r="V492" s="26" t="str">
        <f aca="false">IF(C492&lt;&gt;"Own","",IF(K492="Hourly",N492,(L492+M492)/(Settings!$B$11*Settings!$B$12)))</f>
        <v/>
      </c>
    </row>
    <row r="493" customFormat="false" ht="15" hidden="false" customHeight="false" outlineLevel="0" collapsed="false">
      <c r="R493" s="25" t="str">
        <f aca="true">IF(I493="","",I493-TODAY())</f>
        <v/>
      </c>
      <c r="S493" s="25" t="str">
        <f aca="true">IF(J493="","",J493-TODAY())</f>
        <v/>
      </c>
      <c r="T493" s="24" t="str">
        <f aca="false">IF(A493="","",IF(OR(AND(R493&lt;&gt;"",R493&lt;0),AND(S493&lt;&gt;"",S493&lt;0)),"EXPIRED",IF(OR(AND(R493&lt;&gt;"",R493&lt;=Settings!$B$15),AND(S493&lt;&gt;"",S493&lt;=Settings!$B$15)),"EXPIRING SOON","OK")))</f>
        <v/>
      </c>
      <c r="U493" s="24" t="str">
        <f aca="false">IF(AND(C493="Own",Q493="Active"),COUNTIFS($C$5:C493,"Own",$Q$5:Q493,"Active"),"")</f>
        <v/>
      </c>
      <c r="V493" s="26" t="str">
        <f aca="false">IF(C493&lt;&gt;"Own","",IF(K493="Hourly",N493,(L493+M493)/(Settings!$B$11*Settings!$B$12)))</f>
        <v/>
      </c>
    </row>
    <row r="494" customFormat="false" ht="15" hidden="false" customHeight="false" outlineLevel="0" collapsed="false">
      <c r="R494" s="25" t="str">
        <f aca="true">IF(I494="","",I494-TODAY())</f>
        <v/>
      </c>
      <c r="S494" s="25" t="str">
        <f aca="true">IF(J494="","",J494-TODAY())</f>
        <v/>
      </c>
      <c r="T494" s="24" t="str">
        <f aca="false">IF(A494="","",IF(OR(AND(R494&lt;&gt;"",R494&lt;0),AND(S494&lt;&gt;"",S494&lt;0)),"EXPIRED",IF(OR(AND(R494&lt;&gt;"",R494&lt;=Settings!$B$15),AND(S494&lt;&gt;"",S494&lt;=Settings!$B$15)),"EXPIRING SOON","OK")))</f>
        <v/>
      </c>
      <c r="U494" s="24" t="str">
        <f aca="false">IF(AND(C494="Own",Q494="Active"),COUNTIFS($C$5:C494,"Own",$Q$5:Q494,"Active"),"")</f>
        <v/>
      </c>
      <c r="V494" s="26" t="str">
        <f aca="false">IF(C494&lt;&gt;"Own","",IF(K494="Hourly",N494,(L494+M494)/(Settings!$B$11*Settings!$B$12)))</f>
        <v/>
      </c>
    </row>
    <row r="495" customFormat="false" ht="15" hidden="false" customHeight="false" outlineLevel="0" collapsed="false">
      <c r="R495" s="25" t="str">
        <f aca="true">IF(I495="","",I495-TODAY())</f>
        <v/>
      </c>
      <c r="S495" s="25" t="str">
        <f aca="true">IF(J495="","",J495-TODAY())</f>
        <v/>
      </c>
      <c r="T495" s="24" t="str">
        <f aca="false">IF(A495="","",IF(OR(AND(R495&lt;&gt;"",R495&lt;0),AND(S495&lt;&gt;"",S495&lt;0)),"EXPIRED",IF(OR(AND(R495&lt;&gt;"",R495&lt;=Settings!$B$15),AND(S495&lt;&gt;"",S495&lt;=Settings!$B$15)),"EXPIRING SOON","OK")))</f>
        <v/>
      </c>
      <c r="U495" s="24" t="str">
        <f aca="false">IF(AND(C495="Own",Q495="Active"),COUNTIFS($C$5:C495,"Own",$Q$5:Q495,"Active"),"")</f>
        <v/>
      </c>
      <c r="V495" s="26" t="str">
        <f aca="false">IF(C495&lt;&gt;"Own","",IF(K495="Hourly",N495,(L495+M495)/(Settings!$B$11*Settings!$B$12)))</f>
        <v/>
      </c>
    </row>
    <row r="496" customFormat="false" ht="15" hidden="false" customHeight="false" outlineLevel="0" collapsed="false">
      <c r="R496" s="25" t="str">
        <f aca="true">IF(I496="","",I496-TODAY())</f>
        <v/>
      </c>
      <c r="S496" s="25" t="str">
        <f aca="true">IF(J496="","",J496-TODAY())</f>
        <v/>
      </c>
      <c r="T496" s="24" t="str">
        <f aca="false">IF(A496="","",IF(OR(AND(R496&lt;&gt;"",R496&lt;0),AND(S496&lt;&gt;"",S496&lt;0)),"EXPIRED",IF(OR(AND(R496&lt;&gt;"",R496&lt;=Settings!$B$15),AND(S496&lt;&gt;"",S496&lt;=Settings!$B$15)),"EXPIRING SOON","OK")))</f>
        <v/>
      </c>
      <c r="U496" s="24" t="str">
        <f aca="false">IF(AND(C496="Own",Q496="Active"),COUNTIFS($C$5:C496,"Own",$Q$5:Q496,"Active"),"")</f>
        <v/>
      </c>
      <c r="V496" s="26" t="str">
        <f aca="false">IF(C496&lt;&gt;"Own","",IF(K496="Hourly",N496,(L496+M496)/(Settings!$B$11*Settings!$B$12)))</f>
        <v/>
      </c>
    </row>
    <row r="497" customFormat="false" ht="15" hidden="false" customHeight="false" outlineLevel="0" collapsed="false">
      <c r="R497" s="25" t="str">
        <f aca="true">IF(I497="","",I497-TODAY())</f>
        <v/>
      </c>
      <c r="S497" s="25" t="str">
        <f aca="true">IF(J497="","",J497-TODAY())</f>
        <v/>
      </c>
      <c r="T497" s="24" t="str">
        <f aca="false">IF(A497="","",IF(OR(AND(R497&lt;&gt;"",R497&lt;0),AND(S497&lt;&gt;"",S497&lt;0)),"EXPIRED",IF(OR(AND(R497&lt;&gt;"",R497&lt;=Settings!$B$15),AND(S497&lt;&gt;"",S497&lt;=Settings!$B$15)),"EXPIRING SOON","OK")))</f>
        <v/>
      </c>
      <c r="U497" s="24" t="str">
        <f aca="false">IF(AND(C497="Own",Q497="Active"),COUNTIFS($C$5:C497,"Own",$Q$5:Q497,"Active"),"")</f>
        <v/>
      </c>
      <c r="V497" s="26" t="str">
        <f aca="false">IF(C497&lt;&gt;"Own","",IF(K497="Hourly",N497,(L497+M497)/(Settings!$B$11*Settings!$B$12)))</f>
        <v/>
      </c>
    </row>
    <row r="498" customFormat="false" ht="15" hidden="false" customHeight="false" outlineLevel="0" collapsed="false">
      <c r="R498" s="25" t="str">
        <f aca="true">IF(I498="","",I498-TODAY())</f>
        <v/>
      </c>
      <c r="S498" s="25" t="str">
        <f aca="true">IF(J498="","",J498-TODAY())</f>
        <v/>
      </c>
      <c r="T498" s="24" t="str">
        <f aca="false">IF(A498="","",IF(OR(AND(R498&lt;&gt;"",R498&lt;0),AND(S498&lt;&gt;"",S498&lt;0)),"EXPIRED",IF(OR(AND(R498&lt;&gt;"",R498&lt;=Settings!$B$15),AND(S498&lt;&gt;"",S498&lt;=Settings!$B$15)),"EXPIRING SOON","OK")))</f>
        <v/>
      </c>
      <c r="U498" s="24" t="str">
        <f aca="false">IF(AND(C498="Own",Q498="Active"),COUNTIFS($C$5:C498,"Own",$Q$5:Q498,"Active"),"")</f>
        <v/>
      </c>
      <c r="V498" s="26" t="str">
        <f aca="false">IF(C498&lt;&gt;"Own","",IF(K498="Hourly",N498,(L498+M498)/(Settings!$B$11*Settings!$B$12)))</f>
        <v/>
      </c>
    </row>
    <row r="499" customFormat="false" ht="15" hidden="false" customHeight="false" outlineLevel="0" collapsed="false">
      <c r="R499" s="25" t="str">
        <f aca="true">IF(I499="","",I499-TODAY())</f>
        <v/>
      </c>
      <c r="S499" s="25" t="str">
        <f aca="true">IF(J499="","",J499-TODAY())</f>
        <v/>
      </c>
      <c r="T499" s="24" t="str">
        <f aca="false">IF(A499="","",IF(OR(AND(R499&lt;&gt;"",R499&lt;0),AND(S499&lt;&gt;"",S499&lt;0)),"EXPIRED",IF(OR(AND(R499&lt;&gt;"",R499&lt;=Settings!$B$15),AND(S499&lt;&gt;"",S499&lt;=Settings!$B$15)),"EXPIRING SOON","OK")))</f>
        <v/>
      </c>
      <c r="U499" s="24" t="str">
        <f aca="false">IF(AND(C499="Own",Q499="Active"),COUNTIFS($C$5:C499,"Own",$Q$5:Q499,"Active"),"")</f>
        <v/>
      </c>
      <c r="V499" s="26" t="str">
        <f aca="false">IF(C499&lt;&gt;"Own","",IF(K499="Hourly",N499,(L499+M499)/(Settings!$B$11*Settings!$B$12)))</f>
        <v/>
      </c>
    </row>
    <row r="500" customFormat="false" ht="15" hidden="false" customHeight="false" outlineLevel="0" collapsed="false">
      <c r="R500" s="25" t="str">
        <f aca="true">IF(I500="","",I500-TODAY())</f>
        <v/>
      </c>
      <c r="S500" s="25" t="str">
        <f aca="true">IF(J500="","",J500-TODAY())</f>
        <v/>
      </c>
      <c r="T500" s="24" t="str">
        <f aca="false">IF(A500="","",IF(OR(AND(R500&lt;&gt;"",R500&lt;0),AND(S500&lt;&gt;"",S500&lt;0)),"EXPIRED",IF(OR(AND(R500&lt;&gt;"",R500&lt;=Settings!$B$15),AND(S500&lt;&gt;"",S500&lt;=Settings!$B$15)),"EXPIRING SOON","OK")))</f>
        <v/>
      </c>
      <c r="U500" s="24" t="str">
        <f aca="false">IF(AND(C500="Own",Q500="Active"),COUNTIFS($C$5:C500,"Own",$Q$5:Q500,"Active"),"")</f>
        <v/>
      </c>
      <c r="V500" s="26" t="str">
        <f aca="false">IF(C500&lt;&gt;"Own","",IF(K500="Hourly",N500,(L500+M500)/(Settings!$B$11*Settings!$B$12)))</f>
        <v/>
      </c>
    </row>
    <row r="501" customFormat="false" ht="15" hidden="false" customHeight="false" outlineLevel="0" collapsed="false">
      <c r="R501" s="25" t="str">
        <f aca="true">IF(I501="","",I501-TODAY())</f>
        <v/>
      </c>
      <c r="S501" s="25" t="str">
        <f aca="true">IF(J501="","",J501-TODAY())</f>
        <v/>
      </c>
      <c r="T501" s="24" t="str">
        <f aca="false">IF(A501="","",IF(OR(AND(R501&lt;&gt;"",R501&lt;0),AND(S501&lt;&gt;"",S501&lt;0)),"EXPIRED",IF(OR(AND(R501&lt;&gt;"",R501&lt;=Settings!$B$15),AND(S501&lt;&gt;"",S501&lt;=Settings!$B$15)),"EXPIRING SOON","OK")))</f>
        <v/>
      </c>
      <c r="U501" s="24" t="str">
        <f aca="false">IF(AND(C501="Own",Q501="Active"),COUNTIFS($C$5:C501,"Own",$Q$5:Q501,"Active"),"")</f>
        <v/>
      </c>
      <c r="V501" s="26" t="str">
        <f aca="false">IF(C501&lt;&gt;"Own","",IF(K501="Hourly",N501,(L501+M501)/(Settings!$B$11*Settings!$B$12)))</f>
        <v/>
      </c>
    </row>
    <row r="502" customFormat="false" ht="15" hidden="false" customHeight="false" outlineLevel="0" collapsed="false">
      <c r="R502" s="25" t="str">
        <f aca="true">IF(I502="","",I502-TODAY())</f>
        <v/>
      </c>
      <c r="S502" s="25" t="str">
        <f aca="true">IF(J502="","",J502-TODAY())</f>
        <v/>
      </c>
      <c r="T502" s="24" t="str">
        <f aca="false">IF(A502="","",IF(OR(AND(R502&lt;&gt;"",R502&lt;0),AND(S502&lt;&gt;"",S502&lt;0)),"EXPIRED",IF(OR(AND(R502&lt;&gt;"",R502&lt;=Settings!$B$15),AND(S502&lt;&gt;"",S502&lt;=Settings!$B$15)),"EXPIRING SOON","OK")))</f>
        <v/>
      </c>
      <c r="U502" s="24" t="str">
        <f aca="false">IF(AND(C502="Own",Q502="Active"),COUNTIFS($C$5:C502,"Own",$Q$5:Q502,"Active"),"")</f>
        <v/>
      </c>
      <c r="V502" s="26" t="str">
        <f aca="false">IF(C502&lt;&gt;"Own","",IF(K502="Hourly",N502,(L502+M502)/(Settings!$B$11*Settings!$B$12)))</f>
        <v/>
      </c>
    </row>
    <row r="503" customFormat="false" ht="15" hidden="false" customHeight="false" outlineLevel="0" collapsed="false">
      <c r="R503" s="25" t="str">
        <f aca="true">IF(I503="","",I503-TODAY())</f>
        <v/>
      </c>
      <c r="S503" s="25" t="str">
        <f aca="true">IF(J503="","",J503-TODAY())</f>
        <v/>
      </c>
      <c r="T503" s="24" t="str">
        <f aca="false">IF(A503="","",IF(OR(AND(R503&lt;&gt;"",R503&lt;0),AND(S503&lt;&gt;"",S503&lt;0)),"EXPIRED",IF(OR(AND(R503&lt;&gt;"",R503&lt;=Settings!$B$15),AND(S503&lt;&gt;"",S503&lt;=Settings!$B$15)),"EXPIRING SOON","OK")))</f>
        <v/>
      </c>
      <c r="U503" s="24" t="str">
        <f aca="false">IF(AND(C503="Own",Q503="Active"),COUNTIFS($C$5:C503,"Own",$Q$5:Q503,"Active"),"")</f>
        <v/>
      </c>
      <c r="V503" s="26" t="str">
        <f aca="false">IF(C503&lt;&gt;"Own","",IF(K503="Hourly",N503,(L503+M503)/(Settings!$B$11*Settings!$B$12)))</f>
        <v/>
      </c>
    </row>
    <row r="504" customFormat="false" ht="15" hidden="false" customHeight="false" outlineLevel="0" collapsed="false">
      <c r="R504" s="25" t="str">
        <f aca="true">IF(I504="","",I504-TODAY())</f>
        <v/>
      </c>
      <c r="S504" s="25" t="str">
        <f aca="true">IF(J504="","",J504-TODAY())</f>
        <v/>
      </c>
      <c r="T504" s="24" t="str">
        <f aca="false">IF(A504="","",IF(OR(AND(R504&lt;&gt;"",R504&lt;0),AND(S504&lt;&gt;"",S504&lt;0)),"EXPIRED",IF(OR(AND(R504&lt;&gt;"",R504&lt;=Settings!$B$15),AND(S504&lt;&gt;"",S504&lt;=Settings!$B$15)),"EXPIRING SOON","OK")))</f>
        <v/>
      </c>
      <c r="U504" s="24" t="str">
        <f aca="false">IF(AND(C504="Own",Q504="Active"),COUNTIFS($C$5:C504,"Own",$Q$5:Q504,"Active"),"")</f>
        <v/>
      </c>
      <c r="V504" s="26" t="str">
        <f aca="false">IF(C504&lt;&gt;"Own","",IF(K504="Hourly",N504,(L504+M504)/(Settings!$B$11*Settings!$B$12)))</f>
        <v/>
      </c>
    </row>
    <row r="505" customFormat="false" ht="15" hidden="false" customHeight="false" outlineLevel="0" collapsed="false">
      <c r="R505" s="25" t="str">
        <f aca="true">IF(I505="","",I505-TODAY())</f>
        <v/>
      </c>
      <c r="S505" s="25" t="str">
        <f aca="true">IF(J505="","",J505-TODAY())</f>
        <v/>
      </c>
      <c r="T505" s="24" t="str">
        <f aca="false">IF(A505="","",IF(OR(AND(R505&lt;&gt;"",R505&lt;0),AND(S505&lt;&gt;"",S505&lt;0)),"EXPIRED",IF(OR(AND(R505&lt;&gt;"",R505&lt;=Settings!$B$15),AND(S505&lt;&gt;"",S505&lt;=Settings!$B$15)),"EXPIRING SOON","OK")))</f>
        <v/>
      </c>
      <c r="U505" s="24" t="str">
        <f aca="false">IF(AND(C505="Own",Q505="Active"),COUNTIFS($C$5:C505,"Own",$Q$5:Q505,"Active"),"")</f>
        <v/>
      </c>
      <c r="V505" s="26" t="str">
        <f aca="false">IF(C505&lt;&gt;"Own","",IF(K505="Hourly",N505,(L505+M505)/(Settings!$B$11*Settings!$B$12)))</f>
        <v/>
      </c>
    </row>
    <row r="506" customFormat="false" ht="15" hidden="false" customHeight="false" outlineLevel="0" collapsed="false">
      <c r="R506" s="25" t="str">
        <f aca="true">IF(I506="","",I506-TODAY())</f>
        <v/>
      </c>
      <c r="S506" s="25" t="str">
        <f aca="true">IF(J506="","",J506-TODAY())</f>
        <v/>
      </c>
      <c r="T506" s="24" t="str">
        <f aca="false">IF(A506="","",IF(OR(AND(R506&lt;&gt;"",R506&lt;0),AND(S506&lt;&gt;"",S506&lt;0)),"EXPIRED",IF(OR(AND(R506&lt;&gt;"",R506&lt;=Settings!$B$15),AND(S506&lt;&gt;"",S506&lt;=Settings!$B$15)),"EXPIRING SOON","OK")))</f>
        <v/>
      </c>
      <c r="U506" s="24" t="str">
        <f aca="false">IF(AND(C506="Own",Q506="Active"),COUNTIFS($C$5:C506,"Own",$Q$5:Q506,"Active"),"")</f>
        <v/>
      </c>
      <c r="V506" s="26" t="str">
        <f aca="false">IF(C506&lt;&gt;"Own","",IF(K506="Hourly",N506,(L506+M506)/(Settings!$B$11*Settings!$B$12)))</f>
        <v/>
      </c>
    </row>
    <row r="507" customFormat="false" ht="15" hidden="false" customHeight="false" outlineLevel="0" collapsed="false">
      <c r="R507" s="25" t="str">
        <f aca="true">IF(I507="","",I507-TODAY())</f>
        <v/>
      </c>
      <c r="S507" s="25" t="str">
        <f aca="true">IF(J507="","",J507-TODAY())</f>
        <v/>
      </c>
      <c r="T507" s="24" t="str">
        <f aca="false">IF(A507="","",IF(OR(AND(R507&lt;&gt;"",R507&lt;0),AND(S507&lt;&gt;"",S507&lt;0)),"EXPIRED",IF(OR(AND(R507&lt;&gt;"",R507&lt;=Settings!$B$15),AND(S507&lt;&gt;"",S507&lt;=Settings!$B$15)),"EXPIRING SOON","OK")))</f>
        <v/>
      </c>
      <c r="U507" s="24" t="str">
        <f aca="false">IF(AND(C507="Own",Q507="Active"),COUNTIFS($C$5:C507,"Own",$Q$5:Q507,"Active"),"")</f>
        <v/>
      </c>
      <c r="V507" s="26" t="str">
        <f aca="false">IF(C507&lt;&gt;"Own","",IF(K507="Hourly",N507,(L507+M507)/(Settings!$B$11*Settings!$B$12)))</f>
        <v/>
      </c>
    </row>
    <row r="508" customFormat="false" ht="15" hidden="false" customHeight="false" outlineLevel="0" collapsed="false">
      <c r="R508" s="25" t="str">
        <f aca="true">IF(I508="","",I508-TODAY())</f>
        <v/>
      </c>
      <c r="S508" s="25" t="str">
        <f aca="true">IF(J508="","",J508-TODAY())</f>
        <v/>
      </c>
      <c r="T508" s="24" t="str">
        <f aca="false">IF(A508="","",IF(OR(AND(R508&lt;&gt;"",R508&lt;0),AND(S508&lt;&gt;"",S508&lt;0)),"EXPIRED",IF(OR(AND(R508&lt;&gt;"",R508&lt;=Settings!$B$15),AND(S508&lt;&gt;"",S508&lt;=Settings!$B$15)),"EXPIRING SOON","OK")))</f>
        <v/>
      </c>
      <c r="U508" s="24" t="str">
        <f aca="false">IF(AND(C508="Own",Q508="Active"),COUNTIFS($C$5:C508,"Own",$Q$5:Q508,"Active"),"")</f>
        <v/>
      </c>
      <c r="V508" s="26" t="str">
        <f aca="false">IF(C508&lt;&gt;"Own","",IF(K508="Hourly",N508,(L508+M508)/(Settings!$B$11*Settings!$B$12)))</f>
        <v/>
      </c>
    </row>
    <row r="509" customFormat="false" ht="15" hidden="false" customHeight="false" outlineLevel="0" collapsed="false">
      <c r="R509" s="25" t="str">
        <f aca="true">IF(I509="","",I509-TODAY())</f>
        <v/>
      </c>
      <c r="S509" s="25" t="str">
        <f aca="true">IF(J509="","",J509-TODAY())</f>
        <v/>
      </c>
      <c r="T509" s="24" t="str">
        <f aca="false">IF(A509="","",IF(OR(AND(R509&lt;&gt;"",R509&lt;0),AND(S509&lt;&gt;"",S509&lt;0)),"EXPIRED",IF(OR(AND(R509&lt;&gt;"",R509&lt;=Settings!$B$15),AND(S509&lt;&gt;"",S509&lt;=Settings!$B$15)),"EXPIRING SOON","OK")))</f>
        <v/>
      </c>
      <c r="U509" s="24" t="str">
        <f aca="false">IF(AND(C509="Own",Q509="Active"),COUNTIFS($C$5:C509,"Own",$Q$5:Q509,"Active"),"")</f>
        <v/>
      </c>
      <c r="V509" s="26" t="str">
        <f aca="false">IF(C509&lt;&gt;"Own","",IF(K509="Hourly",N509,(L509+M509)/(Settings!$B$11*Settings!$B$12)))</f>
        <v/>
      </c>
    </row>
    <row r="510" customFormat="false" ht="15" hidden="false" customHeight="false" outlineLevel="0" collapsed="false">
      <c r="R510" s="25" t="str">
        <f aca="true">IF(I510="","",I510-TODAY())</f>
        <v/>
      </c>
      <c r="S510" s="25" t="str">
        <f aca="true">IF(J510="","",J510-TODAY())</f>
        <v/>
      </c>
      <c r="T510" s="24" t="str">
        <f aca="false">IF(A510="","",IF(OR(AND(R510&lt;&gt;"",R510&lt;0),AND(S510&lt;&gt;"",S510&lt;0)),"EXPIRED",IF(OR(AND(R510&lt;&gt;"",R510&lt;=Settings!$B$15),AND(S510&lt;&gt;"",S510&lt;=Settings!$B$15)),"EXPIRING SOON","OK")))</f>
        <v/>
      </c>
      <c r="U510" s="24" t="str">
        <f aca="false">IF(AND(C510="Own",Q510="Active"),COUNTIFS($C$5:C510,"Own",$Q$5:Q510,"Active"),"")</f>
        <v/>
      </c>
      <c r="V510" s="26" t="str">
        <f aca="false">IF(C510&lt;&gt;"Own","",IF(K510="Hourly",N510,(L510+M510)/(Settings!$B$11*Settings!$B$12)))</f>
        <v/>
      </c>
    </row>
    <row r="511" customFormat="false" ht="15" hidden="false" customHeight="false" outlineLevel="0" collapsed="false">
      <c r="R511" s="25" t="str">
        <f aca="true">IF(I511="","",I511-TODAY())</f>
        <v/>
      </c>
      <c r="S511" s="25" t="str">
        <f aca="true">IF(J511="","",J511-TODAY())</f>
        <v/>
      </c>
      <c r="T511" s="24" t="str">
        <f aca="false">IF(A511="","",IF(OR(AND(R511&lt;&gt;"",R511&lt;0),AND(S511&lt;&gt;"",S511&lt;0)),"EXPIRED",IF(OR(AND(R511&lt;&gt;"",R511&lt;=Settings!$B$15),AND(S511&lt;&gt;"",S511&lt;=Settings!$B$15)),"EXPIRING SOON","OK")))</f>
        <v/>
      </c>
      <c r="U511" s="24" t="str">
        <f aca="false">IF(AND(C511="Own",Q511="Active"),COUNTIFS($C$5:C511,"Own",$Q$5:Q511,"Active"),"")</f>
        <v/>
      </c>
      <c r="V511" s="26" t="str">
        <f aca="false">IF(C511&lt;&gt;"Own","",IF(K511="Hourly",N511,(L511+M511)/(Settings!$B$11*Settings!$B$12)))</f>
        <v/>
      </c>
    </row>
    <row r="512" customFormat="false" ht="15" hidden="false" customHeight="false" outlineLevel="0" collapsed="false">
      <c r="R512" s="25" t="str">
        <f aca="true">IF(I512="","",I512-TODAY())</f>
        <v/>
      </c>
      <c r="S512" s="25" t="str">
        <f aca="true">IF(J512="","",J512-TODAY())</f>
        <v/>
      </c>
      <c r="T512" s="24" t="str">
        <f aca="false">IF(A512="","",IF(OR(AND(R512&lt;&gt;"",R512&lt;0),AND(S512&lt;&gt;"",S512&lt;0)),"EXPIRED",IF(OR(AND(R512&lt;&gt;"",R512&lt;=Settings!$B$15),AND(S512&lt;&gt;"",S512&lt;=Settings!$B$15)),"EXPIRING SOON","OK")))</f>
        <v/>
      </c>
      <c r="U512" s="24" t="str">
        <f aca="false">IF(AND(C512="Own",Q512="Active"),COUNTIFS($C$5:C512,"Own",$Q$5:Q512,"Active"),"")</f>
        <v/>
      </c>
      <c r="V512" s="26" t="str">
        <f aca="false">IF(C512&lt;&gt;"Own","",IF(K512="Hourly",N512,(L512+M512)/(Settings!$B$11*Settings!$B$12)))</f>
        <v/>
      </c>
    </row>
    <row r="513" customFormat="false" ht="15" hidden="false" customHeight="false" outlineLevel="0" collapsed="false">
      <c r="R513" s="25" t="str">
        <f aca="true">IF(I513="","",I513-TODAY())</f>
        <v/>
      </c>
      <c r="S513" s="25" t="str">
        <f aca="true">IF(J513="","",J513-TODAY())</f>
        <v/>
      </c>
      <c r="T513" s="24" t="str">
        <f aca="false">IF(A513="","",IF(OR(AND(R513&lt;&gt;"",R513&lt;0),AND(S513&lt;&gt;"",S513&lt;0)),"EXPIRED",IF(OR(AND(R513&lt;&gt;"",R513&lt;=Settings!$B$15),AND(S513&lt;&gt;"",S513&lt;=Settings!$B$15)),"EXPIRING SOON","OK")))</f>
        <v/>
      </c>
      <c r="U513" s="24" t="str">
        <f aca="false">IF(AND(C513="Own",Q513="Active"),COUNTIFS($C$5:C513,"Own",$Q$5:Q513,"Active"),"")</f>
        <v/>
      </c>
      <c r="V513" s="26" t="str">
        <f aca="false">IF(C513&lt;&gt;"Own","",IF(K513="Hourly",N513,(L513+M513)/(Settings!$B$11*Settings!$B$12)))</f>
        <v/>
      </c>
    </row>
    <row r="514" customFormat="false" ht="15" hidden="false" customHeight="false" outlineLevel="0" collapsed="false">
      <c r="R514" s="25" t="str">
        <f aca="true">IF(I514="","",I514-TODAY())</f>
        <v/>
      </c>
      <c r="S514" s="25" t="str">
        <f aca="true">IF(J514="","",J514-TODAY())</f>
        <v/>
      </c>
      <c r="T514" s="24" t="str">
        <f aca="false">IF(A514="","",IF(OR(AND(R514&lt;&gt;"",R514&lt;0),AND(S514&lt;&gt;"",S514&lt;0)),"EXPIRED",IF(OR(AND(R514&lt;&gt;"",R514&lt;=Settings!$B$15),AND(S514&lt;&gt;"",S514&lt;=Settings!$B$15)),"EXPIRING SOON","OK")))</f>
        <v/>
      </c>
      <c r="U514" s="24" t="str">
        <f aca="false">IF(AND(C514="Own",Q514="Active"),COUNTIFS($C$5:C514,"Own",$Q$5:Q514,"Active"),"")</f>
        <v/>
      </c>
      <c r="V514" s="26" t="str">
        <f aca="false">IF(C514&lt;&gt;"Own","",IF(K514="Hourly",N514,(L514+M514)/(Settings!$B$11*Settings!$B$12)))</f>
        <v/>
      </c>
    </row>
    <row r="515" customFormat="false" ht="15" hidden="false" customHeight="false" outlineLevel="0" collapsed="false">
      <c r="R515" s="25" t="str">
        <f aca="true">IF(I515="","",I515-TODAY())</f>
        <v/>
      </c>
      <c r="S515" s="25" t="str">
        <f aca="true">IF(J515="","",J515-TODAY())</f>
        <v/>
      </c>
      <c r="T515" s="24" t="str">
        <f aca="false">IF(A515="","",IF(OR(AND(R515&lt;&gt;"",R515&lt;0),AND(S515&lt;&gt;"",S515&lt;0)),"EXPIRED",IF(OR(AND(R515&lt;&gt;"",R515&lt;=Settings!$B$15),AND(S515&lt;&gt;"",S515&lt;=Settings!$B$15)),"EXPIRING SOON","OK")))</f>
        <v/>
      </c>
      <c r="U515" s="24" t="str">
        <f aca="false">IF(AND(C515="Own",Q515="Active"),COUNTIFS($C$5:C515,"Own",$Q$5:Q515,"Active"),"")</f>
        <v/>
      </c>
      <c r="V515" s="26" t="str">
        <f aca="false">IF(C515&lt;&gt;"Own","",IF(K515="Hourly",N515,(L515+M515)/(Settings!$B$11*Settings!$B$12)))</f>
        <v/>
      </c>
    </row>
    <row r="516" customFormat="false" ht="15" hidden="false" customHeight="false" outlineLevel="0" collapsed="false">
      <c r="R516" s="25" t="str">
        <f aca="true">IF(I516="","",I516-TODAY())</f>
        <v/>
      </c>
      <c r="S516" s="25" t="str">
        <f aca="true">IF(J516="","",J516-TODAY())</f>
        <v/>
      </c>
      <c r="T516" s="24" t="str">
        <f aca="false">IF(A516="","",IF(OR(AND(R516&lt;&gt;"",R516&lt;0),AND(S516&lt;&gt;"",S516&lt;0)),"EXPIRED",IF(OR(AND(R516&lt;&gt;"",R516&lt;=Settings!$B$15),AND(S516&lt;&gt;"",S516&lt;=Settings!$B$15)),"EXPIRING SOON","OK")))</f>
        <v/>
      </c>
      <c r="U516" s="24" t="str">
        <f aca="false">IF(AND(C516="Own",Q516="Active"),COUNTIFS($C$5:C516,"Own",$Q$5:Q516,"Active"),"")</f>
        <v/>
      </c>
      <c r="V516" s="26" t="str">
        <f aca="false">IF(C516&lt;&gt;"Own","",IF(K516="Hourly",N516,(L516+M516)/(Settings!$B$11*Settings!$B$12)))</f>
        <v/>
      </c>
    </row>
    <row r="517" customFormat="false" ht="15" hidden="false" customHeight="false" outlineLevel="0" collapsed="false">
      <c r="R517" s="25" t="str">
        <f aca="true">IF(I517="","",I517-TODAY())</f>
        <v/>
      </c>
      <c r="S517" s="25" t="str">
        <f aca="true">IF(J517="","",J517-TODAY())</f>
        <v/>
      </c>
      <c r="T517" s="24" t="str">
        <f aca="false">IF(A517="","",IF(OR(AND(R517&lt;&gt;"",R517&lt;0),AND(S517&lt;&gt;"",S517&lt;0)),"EXPIRED",IF(OR(AND(R517&lt;&gt;"",R517&lt;=Settings!$B$15),AND(S517&lt;&gt;"",S517&lt;=Settings!$B$15)),"EXPIRING SOON","OK")))</f>
        <v/>
      </c>
      <c r="U517" s="24" t="str">
        <f aca="false">IF(AND(C517="Own",Q517="Active"),COUNTIFS($C$5:C517,"Own",$Q$5:Q517,"Active"),"")</f>
        <v/>
      </c>
      <c r="V517" s="26" t="str">
        <f aca="false">IF(C517&lt;&gt;"Own","",IF(K517="Hourly",N517,(L517+M517)/(Settings!$B$11*Settings!$B$12)))</f>
        <v/>
      </c>
    </row>
    <row r="518" customFormat="false" ht="15" hidden="false" customHeight="false" outlineLevel="0" collapsed="false">
      <c r="R518" s="25" t="str">
        <f aca="true">IF(I518="","",I518-TODAY())</f>
        <v/>
      </c>
      <c r="S518" s="25" t="str">
        <f aca="true">IF(J518="","",J518-TODAY())</f>
        <v/>
      </c>
      <c r="T518" s="24" t="str">
        <f aca="false">IF(A518="","",IF(OR(AND(R518&lt;&gt;"",R518&lt;0),AND(S518&lt;&gt;"",S518&lt;0)),"EXPIRED",IF(OR(AND(R518&lt;&gt;"",R518&lt;=Settings!$B$15),AND(S518&lt;&gt;"",S518&lt;=Settings!$B$15)),"EXPIRING SOON","OK")))</f>
        <v/>
      </c>
      <c r="U518" s="24" t="str">
        <f aca="false">IF(AND(C518="Own",Q518="Active"),COUNTIFS($C$5:C518,"Own",$Q$5:Q518,"Active"),"")</f>
        <v/>
      </c>
      <c r="V518" s="26" t="str">
        <f aca="false">IF(C518&lt;&gt;"Own","",IF(K518="Hourly",N518,(L518+M518)/(Settings!$B$11*Settings!$B$12)))</f>
        <v/>
      </c>
    </row>
    <row r="519" customFormat="false" ht="15" hidden="false" customHeight="false" outlineLevel="0" collapsed="false">
      <c r="R519" s="25" t="str">
        <f aca="true">IF(I519="","",I519-TODAY())</f>
        <v/>
      </c>
      <c r="S519" s="25" t="str">
        <f aca="true">IF(J519="","",J519-TODAY())</f>
        <v/>
      </c>
      <c r="T519" s="24" t="str">
        <f aca="false">IF(A519="","",IF(OR(AND(R519&lt;&gt;"",R519&lt;0),AND(S519&lt;&gt;"",S519&lt;0)),"EXPIRED",IF(OR(AND(R519&lt;&gt;"",R519&lt;=Settings!$B$15),AND(S519&lt;&gt;"",S519&lt;=Settings!$B$15)),"EXPIRING SOON","OK")))</f>
        <v/>
      </c>
      <c r="U519" s="24" t="str">
        <f aca="false">IF(AND(C519="Own",Q519="Active"),COUNTIFS($C$5:C519,"Own",$Q$5:Q519,"Active"),"")</f>
        <v/>
      </c>
      <c r="V519" s="26" t="str">
        <f aca="false">IF(C519&lt;&gt;"Own","",IF(K519="Hourly",N519,(L519+M519)/(Settings!$B$11*Settings!$B$12)))</f>
        <v/>
      </c>
    </row>
    <row r="520" customFormat="false" ht="15" hidden="false" customHeight="false" outlineLevel="0" collapsed="false">
      <c r="R520" s="25" t="str">
        <f aca="true">IF(I520="","",I520-TODAY())</f>
        <v/>
      </c>
      <c r="S520" s="25" t="str">
        <f aca="true">IF(J520="","",J520-TODAY())</f>
        <v/>
      </c>
      <c r="T520" s="24" t="str">
        <f aca="false">IF(A520="","",IF(OR(AND(R520&lt;&gt;"",R520&lt;0),AND(S520&lt;&gt;"",S520&lt;0)),"EXPIRED",IF(OR(AND(R520&lt;&gt;"",R520&lt;=Settings!$B$15),AND(S520&lt;&gt;"",S520&lt;=Settings!$B$15)),"EXPIRING SOON","OK")))</f>
        <v/>
      </c>
      <c r="U520" s="24" t="str">
        <f aca="false">IF(AND(C520="Own",Q520="Active"),COUNTIFS($C$5:C520,"Own",$Q$5:Q520,"Active"),"")</f>
        <v/>
      </c>
      <c r="V520" s="26" t="str">
        <f aca="false">IF(C520&lt;&gt;"Own","",IF(K520="Hourly",N520,(L520+M520)/(Settings!$B$11*Settings!$B$12)))</f>
        <v/>
      </c>
    </row>
    <row r="521" customFormat="false" ht="15" hidden="false" customHeight="false" outlineLevel="0" collapsed="false">
      <c r="R521" s="25" t="str">
        <f aca="true">IF(I521="","",I521-TODAY())</f>
        <v/>
      </c>
      <c r="S521" s="25" t="str">
        <f aca="true">IF(J521="","",J521-TODAY())</f>
        <v/>
      </c>
      <c r="T521" s="24" t="str">
        <f aca="false">IF(A521="","",IF(OR(AND(R521&lt;&gt;"",R521&lt;0),AND(S521&lt;&gt;"",S521&lt;0)),"EXPIRED",IF(OR(AND(R521&lt;&gt;"",R521&lt;=Settings!$B$15),AND(S521&lt;&gt;"",S521&lt;=Settings!$B$15)),"EXPIRING SOON","OK")))</f>
        <v/>
      </c>
      <c r="U521" s="24" t="str">
        <f aca="false">IF(AND(C521="Own",Q521="Active"),COUNTIFS($C$5:C521,"Own",$Q$5:Q521,"Active"),"")</f>
        <v/>
      </c>
      <c r="V521" s="26" t="str">
        <f aca="false">IF(C521&lt;&gt;"Own","",IF(K521="Hourly",N521,(L521+M521)/(Settings!$B$11*Settings!$B$12)))</f>
        <v/>
      </c>
    </row>
    <row r="522" customFormat="false" ht="15" hidden="false" customHeight="false" outlineLevel="0" collapsed="false">
      <c r="R522" s="25" t="str">
        <f aca="true">IF(I522="","",I522-TODAY())</f>
        <v/>
      </c>
      <c r="S522" s="25" t="str">
        <f aca="true">IF(J522="","",J522-TODAY())</f>
        <v/>
      </c>
      <c r="T522" s="24" t="str">
        <f aca="false">IF(A522="","",IF(OR(AND(R522&lt;&gt;"",R522&lt;0),AND(S522&lt;&gt;"",S522&lt;0)),"EXPIRED",IF(OR(AND(R522&lt;&gt;"",R522&lt;=Settings!$B$15),AND(S522&lt;&gt;"",S522&lt;=Settings!$B$15)),"EXPIRING SOON","OK")))</f>
        <v/>
      </c>
      <c r="U522" s="24" t="str">
        <f aca="false">IF(AND(C522="Own",Q522="Active"),COUNTIFS($C$5:C522,"Own",$Q$5:Q522,"Active"),"")</f>
        <v/>
      </c>
      <c r="V522" s="26" t="str">
        <f aca="false">IF(C522&lt;&gt;"Own","",IF(K522="Hourly",N522,(L522+M522)/(Settings!$B$11*Settings!$B$12)))</f>
        <v/>
      </c>
    </row>
    <row r="523" customFormat="false" ht="15" hidden="false" customHeight="false" outlineLevel="0" collapsed="false">
      <c r="R523" s="25" t="str">
        <f aca="true">IF(I523="","",I523-TODAY())</f>
        <v/>
      </c>
      <c r="S523" s="25" t="str">
        <f aca="true">IF(J523="","",J523-TODAY())</f>
        <v/>
      </c>
      <c r="T523" s="24" t="str">
        <f aca="false">IF(A523="","",IF(OR(AND(R523&lt;&gt;"",R523&lt;0),AND(S523&lt;&gt;"",S523&lt;0)),"EXPIRED",IF(OR(AND(R523&lt;&gt;"",R523&lt;=Settings!$B$15),AND(S523&lt;&gt;"",S523&lt;=Settings!$B$15)),"EXPIRING SOON","OK")))</f>
        <v/>
      </c>
      <c r="U523" s="24" t="str">
        <f aca="false">IF(AND(C523="Own",Q523="Active"),COUNTIFS($C$5:C523,"Own",$Q$5:Q523,"Active"),"")</f>
        <v/>
      </c>
      <c r="V523" s="26" t="str">
        <f aca="false">IF(C523&lt;&gt;"Own","",IF(K523="Hourly",N523,(L523+M523)/(Settings!$B$11*Settings!$B$12)))</f>
        <v/>
      </c>
    </row>
    <row r="524" customFormat="false" ht="15" hidden="false" customHeight="false" outlineLevel="0" collapsed="false">
      <c r="R524" s="25" t="str">
        <f aca="true">IF(I524="","",I524-TODAY())</f>
        <v/>
      </c>
      <c r="S524" s="25" t="str">
        <f aca="true">IF(J524="","",J524-TODAY())</f>
        <v/>
      </c>
      <c r="T524" s="24" t="str">
        <f aca="false">IF(A524="","",IF(OR(AND(R524&lt;&gt;"",R524&lt;0),AND(S524&lt;&gt;"",S524&lt;0)),"EXPIRED",IF(OR(AND(R524&lt;&gt;"",R524&lt;=Settings!$B$15),AND(S524&lt;&gt;"",S524&lt;=Settings!$B$15)),"EXPIRING SOON","OK")))</f>
        <v/>
      </c>
      <c r="U524" s="24" t="str">
        <f aca="false">IF(AND(C524="Own",Q524="Active"),COUNTIFS($C$5:C524,"Own",$Q$5:Q524,"Active"),"")</f>
        <v/>
      </c>
      <c r="V524" s="26" t="str">
        <f aca="false">IF(C524&lt;&gt;"Own","",IF(K524="Hourly",N524,(L524+M524)/(Settings!$B$11*Settings!$B$12)))</f>
        <v/>
      </c>
    </row>
    <row r="525" customFormat="false" ht="15" hidden="false" customHeight="false" outlineLevel="0" collapsed="false">
      <c r="R525" s="25" t="str">
        <f aca="true">IF(I525="","",I525-TODAY())</f>
        <v/>
      </c>
      <c r="S525" s="25" t="str">
        <f aca="true">IF(J525="","",J525-TODAY())</f>
        <v/>
      </c>
      <c r="T525" s="24" t="str">
        <f aca="false">IF(A525="","",IF(OR(AND(R525&lt;&gt;"",R525&lt;0),AND(S525&lt;&gt;"",S525&lt;0)),"EXPIRED",IF(OR(AND(R525&lt;&gt;"",R525&lt;=Settings!$B$15),AND(S525&lt;&gt;"",S525&lt;=Settings!$B$15)),"EXPIRING SOON","OK")))</f>
        <v/>
      </c>
      <c r="U525" s="24" t="str">
        <f aca="false">IF(AND(C525="Own",Q525="Active"),COUNTIFS($C$5:C525,"Own",$Q$5:Q525,"Active"),"")</f>
        <v/>
      </c>
      <c r="V525" s="26" t="str">
        <f aca="false">IF(C525&lt;&gt;"Own","",IF(K525="Hourly",N525,(L525+M525)/(Settings!$B$11*Settings!$B$12)))</f>
        <v/>
      </c>
    </row>
    <row r="526" customFormat="false" ht="15" hidden="false" customHeight="false" outlineLevel="0" collapsed="false">
      <c r="R526" s="25" t="str">
        <f aca="true">IF(I526="","",I526-TODAY())</f>
        <v/>
      </c>
      <c r="S526" s="25" t="str">
        <f aca="true">IF(J526="","",J526-TODAY())</f>
        <v/>
      </c>
      <c r="T526" s="24" t="str">
        <f aca="false">IF(A526="","",IF(OR(AND(R526&lt;&gt;"",R526&lt;0),AND(S526&lt;&gt;"",S526&lt;0)),"EXPIRED",IF(OR(AND(R526&lt;&gt;"",R526&lt;=Settings!$B$15),AND(S526&lt;&gt;"",S526&lt;=Settings!$B$15)),"EXPIRING SOON","OK")))</f>
        <v/>
      </c>
      <c r="U526" s="24" t="str">
        <f aca="false">IF(AND(C526="Own",Q526="Active"),COUNTIFS($C$5:C526,"Own",$Q$5:Q526,"Active"),"")</f>
        <v/>
      </c>
      <c r="V526" s="26" t="str">
        <f aca="false">IF(C526&lt;&gt;"Own","",IF(K526="Hourly",N526,(L526+M526)/(Settings!$B$11*Settings!$B$12)))</f>
        <v/>
      </c>
    </row>
    <row r="527" customFormat="false" ht="15" hidden="false" customHeight="false" outlineLevel="0" collapsed="false">
      <c r="R527" s="25" t="str">
        <f aca="true">IF(I527="","",I527-TODAY())</f>
        <v/>
      </c>
      <c r="S527" s="25" t="str">
        <f aca="true">IF(J527="","",J527-TODAY())</f>
        <v/>
      </c>
      <c r="T527" s="24" t="str">
        <f aca="false">IF(A527="","",IF(OR(AND(R527&lt;&gt;"",R527&lt;0),AND(S527&lt;&gt;"",S527&lt;0)),"EXPIRED",IF(OR(AND(R527&lt;&gt;"",R527&lt;=Settings!$B$15),AND(S527&lt;&gt;"",S527&lt;=Settings!$B$15)),"EXPIRING SOON","OK")))</f>
        <v/>
      </c>
      <c r="U527" s="24" t="str">
        <f aca="false">IF(AND(C527="Own",Q527="Active"),COUNTIFS($C$5:C527,"Own",$Q$5:Q527,"Active"),"")</f>
        <v/>
      </c>
      <c r="V527" s="26" t="str">
        <f aca="false">IF(C527&lt;&gt;"Own","",IF(K527="Hourly",N527,(L527+M527)/(Settings!$B$11*Settings!$B$12)))</f>
        <v/>
      </c>
    </row>
    <row r="528" customFormat="false" ht="15" hidden="false" customHeight="false" outlineLevel="0" collapsed="false">
      <c r="R528" s="25" t="str">
        <f aca="true">IF(I528="","",I528-TODAY())</f>
        <v/>
      </c>
      <c r="S528" s="25" t="str">
        <f aca="true">IF(J528="","",J528-TODAY())</f>
        <v/>
      </c>
      <c r="T528" s="24" t="str">
        <f aca="false">IF(A528="","",IF(OR(AND(R528&lt;&gt;"",R528&lt;0),AND(S528&lt;&gt;"",S528&lt;0)),"EXPIRED",IF(OR(AND(R528&lt;&gt;"",R528&lt;=Settings!$B$15),AND(S528&lt;&gt;"",S528&lt;=Settings!$B$15)),"EXPIRING SOON","OK")))</f>
        <v/>
      </c>
      <c r="U528" s="24" t="str">
        <f aca="false">IF(AND(C528="Own",Q528="Active"),COUNTIFS($C$5:C528,"Own",$Q$5:Q528,"Active"),"")</f>
        <v/>
      </c>
      <c r="V528" s="26" t="str">
        <f aca="false">IF(C528&lt;&gt;"Own","",IF(K528="Hourly",N528,(L528+M528)/(Settings!$B$11*Settings!$B$12)))</f>
        <v/>
      </c>
    </row>
    <row r="529" customFormat="false" ht="15" hidden="false" customHeight="false" outlineLevel="0" collapsed="false">
      <c r="R529" s="25" t="str">
        <f aca="true">IF(I529="","",I529-TODAY())</f>
        <v/>
      </c>
      <c r="S529" s="25" t="str">
        <f aca="true">IF(J529="","",J529-TODAY())</f>
        <v/>
      </c>
      <c r="T529" s="24" t="str">
        <f aca="false">IF(A529="","",IF(OR(AND(R529&lt;&gt;"",R529&lt;0),AND(S529&lt;&gt;"",S529&lt;0)),"EXPIRED",IF(OR(AND(R529&lt;&gt;"",R529&lt;=Settings!$B$15),AND(S529&lt;&gt;"",S529&lt;=Settings!$B$15)),"EXPIRING SOON","OK")))</f>
        <v/>
      </c>
      <c r="U529" s="24" t="str">
        <f aca="false">IF(AND(C529="Own",Q529="Active"),COUNTIFS($C$5:C529,"Own",$Q$5:Q529,"Active"),"")</f>
        <v/>
      </c>
      <c r="V529" s="26" t="str">
        <f aca="false">IF(C529&lt;&gt;"Own","",IF(K529="Hourly",N529,(L529+M529)/(Settings!$B$11*Settings!$B$12)))</f>
        <v/>
      </c>
    </row>
    <row r="530" customFormat="false" ht="15" hidden="false" customHeight="false" outlineLevel="0" collapsed="false">
      <c r="R530" s="25" t="str">
        <f aca="true">IF(I530="","",I530-TODAY())</f>
        <v/>
      </c>
      <c r="S530" s="25" t="str">
        <f aca="true">IF(J530="","",J530-TODAY())</f>
        <v/>
      </c>
      <c r="T530" s="24" t="str">
        <f aca="false">IF(A530="","",IF(OR(AND(R530&lt;&gt;"",R530&lt;0),AND(S530&lt;&gt;"",S530&lt;0)),"EXPIRED",IF(OR(AND(R530&lt;&gt;"",R530&lt;=Settings!$B$15),AND(S530&lt;&gt;"",S530&lt;=Settings!$B$15)),"EXPIRING SOON","OK")))</f>
        <v/>
      </c>
      <c r="U530" s="24" t="str">
        <f aca="false">IF(AND(C530="Own",Q530="Active"),COUNTIFS($C$5:C530,"Own",$Q$5:Q530,"Active"),"")</f>
        <v/>
      </c>
      <c r="V530" s="26" t="str">
        <f aca="false">IF(C530&lt;&gt;"Own","",IF(K530="Hourly",N530,(L530+M530)/(Settings!$B$11*Settings!$B$12)))</f>
        <v/>
      </c>
    </row>
    <row r="531" customFormat="false" ht="15" hidden="false" customHeight="false" outlineLevel="0" collapsed="false">
      <c r="R531" s="25" t="str">
        <f aca="true">IF(I531="","",I531-TODAY())</f>
        <v/>
      </c>
      <c r="S531" s="25" t="str">
        <f aca="true">IF(J531="","",J531-TODAY())</f>
        <v/>
      </c>
      <c r="T531" s="24" t="str">
        <f aca="false">IF(A531="","",IF(OR(AND(R531&lt;&gt;"",R531&lt;0),AND(S531&lt;&gt;"",S531&lt;0)),"EXPIRED",IF(OR(AND(R531&lt;&gt;"",R531&lt;=Settings!$B$15),AND(S531&lt;&gt;"",S531&lt;=Settings!$B$15)),"EXPIRING SOON","OK")))</f>
        <v/>
      </c>
      <c r="U531" s="24" t="str">
        <f aca="false">IF(AND(C531="Own",Q531="Active"),COUNTIFS($C$5:C531,"Own",$Q$5:Q531,"Active"),"")</f>
        <v/>
      </c>
      <c r="V531" s="26" t="str">
        <f aca="false">IF(C531&lt;&gt;"Own","",IF(K531="Hourly",N531,(L531+M531)/(Settings!$B$11*Settings!$B$12)))</f>
        <v/>
      </c>
    </row>
    <row r="532" customFormat="false" ht="15" hidden="false" customHeight="false" outlineLevel="0" collapsed="false">
      <c r="R532" s="25" t="str">
        <f aca="true">IF(I532="","",I532-TODAY())</f>
        <v/>
      </c>
      <c r="S532" s="25" t="str">
        <f aca="true">IF(J532="","",J532-TODAY())</f>
        <v/>
      </c>
      <c r="T532" s="24" t="str">
        <f aca="false">IF(A532="","",IF(OR(AND(R532&lt;&gt;"",R532&lt;0),AND(S532&lt;&gt;"",S532&lt;0)),"EXPIRED",IF(OR(AND(R532&lt;&gt;"",R532&lt;=Settings!$B$15),AND(S532&lt;&gt;"",S532&lt;=Settings!$B$15)),"EXPIRING SOON","OK")))</f>
        <v/>
      </c>
      <c r="U532" s="24" t="str">
        <f aca="false">IF(AND(C532="Own",Q532="Active"),COUNTIFS($C$5:C532,"Own",$Q$5:Q532,"Active"),"")</f>
        <v/>
      </c>
      <c r="V532" s="26" t="str">
        <f aca="false">IF(C532&lt;&gt;"Own","",IF(K532="Hourly",N532,(L532+M532)/(Settings!$B$11*Settings!$B$12)))</f>
        <v/>
      </c>
    </row>
    <row r="533" customFormat="false" ht="15" hidden="false" customHeight="false" outlineLevel="0" collapsed="false">
      <c r="R533" s="25" t="str">
        <f aca="true">IF(I533="","",I533-TODAY())</f>
        <v/>
      </c>
      <c r="S533" s="25" t="str">
        <f aca="true">IF(J533="","",J533-TODAY())</f>
        <v/>
      </c>
      <c r="T533" s="24" t="str">
        <f aca="false">IF(A533="","",IF(OR(AND(R533&lt;&gt;"",R533&lt;0),AND(S533&lt;&gt;"",S533&lt;0)),"EXPIRED",IF(OR(AND(R533&lt;&gt;"",R533&lt;=Settings!$B$15),AND(S533&lt;&gt;"",S533&lt;=Settings!$B$15)),"EXPIRING SOON","OK")))</f>
        <v/>
      </c>
      <c r="U533" s="24" t="str">
        <f aca="false">IF(AND(C533="Own",Q533="Active"),COUNTIFS($C$5:C533,"Own",$Q$5:Q533,"Active"),"")</f>
        <v/>
      </c>
      <c r="V533" s="26" t="str">
        <f aca="false">IF(C533&lt;&gt;"Own","",IF(K533="Hourly",N533,(L533+M533)/(Settings!$B$11*Settings!$B$12)))</f>
        <v/>
      </c>
    </row>
    <row r="534" customFormat="false" ht="15" hidden="false" customHeight="false" outlineLevel="0" collapsed="false">
      <c r="R534" s="25" t="str">
        <f aca="true">IF(I534="","",I534-TODAY())</f>
        <v/>
      </c>
      <c r="S534" s="25" t="str">
        <f aca="true">IF(J534="","",J534-TODAY())</f>
        <v/>
      </c>
      <c r="T534" s="24" t="str">
        <f aca="false">IF(A534="","",IF(OR(AND(R534&lt;&gt;"",R534&lt;0),AND(S534&lt;&gt;"",S534&lt;0)),"EXPIRED",IF(OR(AND(R534&lt;&gt;"",R534&lt;=Settings!$B$15),AND(S534&lt;&gt;"",S534&lt;=Settings!$B$15)),"EXPIRING SOON","OK")))</f>
        <v/>
      </c>
      <c r="U534" s="24" t="str">
        <f aca="false">IF(AND(C534="Own",Q534="Active"),COUNTIFS($C$5:C534,"Own",$Q$5:Q534,"Active"),"")</f>
        <v/>
      </c>
      <c r="V534" s="26" t="str">
        <f aca="false">IF(C534&lt;&gt;"Own","",IF(K534="Hourly",N534,(L534+M534)/(Settings!$B$11*Settings!$B$12)))</f>
        <v/>
      </c>
    </row>
    <row r="535" customFormat="false" ht="15" hidden="false" customHeight="false" outlineLevel="0" collapsed="false">
      <c r="R535" s="25" t="str">
        <f aca="true">IF(I535="","",I535-TODAY())</f>
        <v/>
      </c>
      <c r="S535" s="25" t="str">
        <f aca="true">IF(J535="","",J535-TODAY())</f>
        <v/>
      </c>
      <c r="T535" s="24" t="str">
        <f aca="false">IF(A535="","",IF(OR(AND(R535&lt;&gt;"",R535&lt;0),AND(S535&lt;&gt;"",S535&lt;0)),"EXPIRED",IF(OR(AND(R535&lt;&gt;"",R535&lt;=Settings!$B$15),AND(S535&lt;&gt;"",S535&lt;=Settings!$B$15)),"EXPIRING SOON","OK")))</f>
        <v/>
      </c>
      <c r="U535" s="24" t="str">
        <f aca="false">IF(AND(C535="Own",Q535="Active"),COUNTIFS($C$5:C535,"Own",$Q$5:Q535,"Active"),"")</f>
        <v/>
      </c>
      <c r="V535" s="26" t="str">
        <f aca="false">IF(C535&lt;&gt;"Own","",IF(K535="Hourly",N535,(L535+M535)/(Settings!$B$11*Settings!$B$12)))</f>
        <v/>
      </c>
    </row>
    <row r="536" customFormat="false" ht="15" hidden="false" customHeight="false" outlineLevel="0" collapsed="false">
      <c r="R536" s="25" t="str">
        <f aca="true">IF(I536="","",I536-TODAY())</f>
        <v/>
      </c>
      <c r="S536" s="25" t="str">
        <f aca="true">IF(J536="","",J536-TODAY())</f>
        <v/>
      </c>
      <c r="T536" s="24" t="str">
        <f aca="false">IF(A536="","",IF(OR(AND(R536&lt;&gt;"",R536&lt;0),AND(S536&lt;&gt;"",S536&lt;0)),"EXPIRED",IF(OR(AND(R536&lt;&gt;"",R536&lt;=Settings!$B$15),AND(S536&lt;&gt;"",S536&lt;=Settings!$B$15)),"EXPIRING SOON","OK")))</f>
        <v/>
      </c>
      <c r="U536" s="24" t="str">
        <f aca="false">IF(AND(C536="Own",Q536="Active"),COUNTIFS($C$5:C536,"Own",$Q$5:Q536,"Active"),"")</f>
        <v/>
      </c>
      <c r="V536" s="26" t="str">
        <f aca="false">IF(C536&lt;&gt;"Own","",IF(K536="Hourly",N536,(L536+M536)/(Settings!$B$11*Settings!$B$12)))</f>
        <v/>
      </c>
    </row>
    <row r="537" customFormat="false" ht="15" hidden="false" customHeight="false" outlineLevel="0" collapsed="false">
      <c r="R537" s="25" t="str">
        <f aca="true">IF(I537="","",I537-TODAY())</f>
        <v/>
      </c>
      <c r="S537" s="25" t="str">
        <f aca="true">IF(J537="","",J537-TODAY())</f>
        <v/>
      </c>
      <c r="T537" s="24" t="str">
        <f aca="false">IF(A537="","",IF(OR(AND(R537&lt;&gt;"",R537&lt;0),AND(S537&lt;&gt;"",S537&lt;0)),"EXPIRED",IF(OR(AND(R537&lt;&gt;"",R537&lt;=Settings!$B$15),AND(S537&lt;&gt;"",S537&lt;=Settings!$B$15)),"EXPIRING SOON","OK")))</f>
        <v/>
      </c>
      <c r="U537" s="24" t="str">
        <f aca="false">IF(AND(C537="Own",Q537="Active"),COUNTIFS($C$5:C537,"Own",$Q$5:Q537,"Active"),"")</f>
        <v/>
      </c>
      <c r="V537" s="26" t="str">
        <f aca="false">IF(C537&lt;&gt;"Own","",IF(K537="Hourly",N537,(L537+M537)/(Settings!$B$11*Settings!$B$12)))</f>
        <v/>
      </c>
    </row>
    <row r="538" customFormat="false" ht="15" hidden="false" customHeight="false" outlineLevel="0" collapsed="false">
      <c r="R538" s="25" t="str">
        <f aca="true">IF(I538="","",I538-TODAY())</f>
        <v/>
      </c>
      <c r="S538" s="25" t="str">
        <f aca="true">IF(J538="","",J538-TODAY())</f>
        <v/>
      </c>
      <c r="T538" s="24" t="str">
        <f aca="false">IF(A538="","",IF(OR(AND(R538&lt;&gt;"",R538&lt;0),AND(S538&lt;&gt;"",S538&lt;0)),"EXPIRED",IF(OR(AND(R538&lt;&gt;"",R538&lt;=Settings!$B$15),AND(S538&lt;&gt;"",S538&lt;=Settings!$B$15)),"EXPIRING SOON","OK")))</f>
        <v/>
      </c>
      <c r="U538" s="24" t="str">
        <f aca="false">IF(AND(C538="Own",Q538="Active"),COUNTIFS($C$5:C538,"Own",$Q$5:Q538,"Active"),"")</f>
        <v/>
      </c>
      <c r="V538" s="26" t="str">
        <f aca="false">IF(C538&lt;&gt;"Own","",IF(K538="Hourly",N538,(L538+M538)/(Settings!$B$11*Settings!$B$12)))</f>
        <v/>
      </c>
    </row>
    <row r="539" customFormat="false" ht="15" hidden="false" customHeight="false" outlineLevel="0" collapsed="false">
      <c r="R539" s="25" t="str">
        <f aca="true">IF(I539="","",I539-TODAY())</f>
        <v/>
      </c>
      <c r="S539" s="25" t="str">
        <f aca="true">IF(J539="","",J539-TODAY())</f>
        <v/>
      </c>
      <c r="T539" s="24" t="str">
        <f aca="false">IF(A539="","",IF(OR(AND(R539&lt;&gt;"",R539&lt;0),AND(S539&lt;&gt;"",S539&lt;0)),"EXPIRED",IF(OR(AND(R539&lt;&gt;"",R539&lt;=Settings!$B$15),AND(S539&lt;&gt;"",S539&lt;=Settings!$B$15)),"EXPIRING SOON","OK")))</f>
        <v/>
      </c>
      <c r="U539" s="24" t="str">
        <f aca="false">IF(AND(C539="Own",Q539="Active"),COUNTIFS($C$5:C539,"Own",$Q$5:Q539,"Active"),"")</f>
        <v/>
      </c>
      <c r="V539" s="26" t="str">
        <f aca="false">IF(C539&lt;&gt;"Own","",IF(K539="Hourly",N539,(L539+M539)/(Settings!$B$11*Settings!$B$12)))</f>
        <v/>
      </c>
    </row>
    <row r="540" customFormat="false" ht="15" hidden="false" customHeight="false" outlineLevel="0" collapsed="false">
      <c r="R540" s="25" t="str">
        <f aca="true">IF(I540="","",I540-TODAY())</f>
        <v/>
      </c>
      <c r="S540" s="25" t="str">
        <f aca="true">IF(J540="","",J540-TODAY())</f>
        <v/>
      </c>
      <c r="T540" s="24" t="str">
        <f aca="false">IF(A540="","",IF(OR(AND(R540&lt;&gt;"",R540&lt;0),AND(S540&lt;&gt;"",S540&lt;0)),"EXPIRED",IF(OR(AND(R540&lt;&gt;"",R540&lt;=Settings!$B$15),AND(S540&lt;&gt;"",S540&lt;=Settings!$B$15)),"EXPIRING SOON","OK")))</f>
        <v/>
      </c>
      <c r="U540" s="24" t="str">
        <f aca="false">IF(AND(C540="Own",Q540="Active"),COUNTIFS($C$5:C540,"Own",$Q$5:Q540,"Active"),"")</f>
        <v/>
      </c>
      <c r="V540" s="26" t="str">
        <f aca="false">IF(C540&lt;&gt;"Own","",IF(K540="Hourly",N540,(L540+M540)/(Settings!$B$11*Settings!$B$12)))</f>
        <v/>
      </c>
    </row>
    <row r="541" customFormat="false" ht="15" hidden="false" customHeight="false" outlineLevel="0" collapsed="false">
      <c r="R541" s="25" t="str">
        <f aca="true">IF(I541="","",I541-TODAY())</f>
        <v/>
      </c>
      <c r="S541" s="25" t="str">
        <f aca="true">IF(J541="","",J541-TODAY())</f>
        <v/>
      </c>
      <c r="T541" s="24" t="str">
        <f aca="false">IF(A541="","",IF(OR(AND(R541&lt;&gt;"",R541&lt;0),AND(S541&lt;&gt;"",S541&lt;0)),"EXPIRED",IF(OR(AND(R541&lt;&gt;"",R541&lt;=Settings!$B$15),AND(S541&lt;&gt;"",S541&lt;=Settings!$B$15)),"EXPIRING SOON","OK")))</f>
        <v/>
      </c>
      <c r="U541" s="24" t="str">
        <f aca="false">IF(AND(C541="Own",Q541="Active"),COUNTIFS($C$5:C541,"Own",$Q$5:Q541,"Active"),"")</f>
        <v/>
      </c>
      <c r="V541" s="26" t="str">
        <f aca="false">IF(C541&lt;&gt;"Own","",IF(K541="Hourly",N541,(L541+M541)/(Settings!$B$11*Settings!$B$12)))</f>
        <v/>
      </c>
    </row>
    <row r="542" customFormat="false" ht="15" hidden="false" customHeight="false" outlineLevel="0" collapsed="false">
      <c r="R542" s="25" t="str">
        <f aca="true">IF(I542="","",I542-TODAY())</f>
        <v/>
      </c>
      <c r="S542" s="25" t="str">
        <f aca="true">IF(J542="","",J542-TODAY())</f>
        <v/>
      </c>
      <c r="T542" s="24" t="str">
        <f aca="false">IF(A542="","",IF(OR(AND(R542&lt;&gt;"",R542&lt;0),AND(S542&lt;&gt;"",S542&lt;0)),"EXPIRED",IF(OR(AND(R542&lt;&gt;"",R542&lt;=Settings!$B$15),AND(S542&lt;&gt;"",S542&lt;=Settings!$B$15)),"EXPIRING SOON","OK")))</f>
        <v/>
      </c>
      <c r="U542" s="24" t="str">
        <f aca="false">IF(AND(C542="Own",Q542="Active"),COUNTIFS($C$5:C542,"Own",$Q$5:Q542,"Active"),"")</f>
        <v/>
      </c>
      <c r="V542" s="26" t="str">
        <f aca="false">IF(C542&lt;&gt;"Own","",IF(K542="Hourly",N542,(L542+M542)/(Settings!$B$11*Settings!$B$12)))</f>
        <v/>
      </c>
    </row>
    <row r="543" customFormat="false" ht="15" hidden="false" customHeight="false" outlineLevel="0" collapsed="false">
      <c r="R543" s="25" t="str">
        <f aca="true">IF(I543="","",I543-TODAY())</f>
        <v/>
      </c>
      <c r="S543" s="25" t="str">
        <f aca="true">IF(J543="","",J543-TODAY())</f>
        <v/>
      </c>
      <c r="T543" s="24" t="str">
        <f aca="false">IF(A543="","",IF(OR(AND(R543&lt;&gt;"",R543&lt;0),AND(S543&lt;&gt;"",S543&lt;0)),"EXPIRED",IF(OR(AND(R543&lt;&gt;"",R543&lt;=Settings!$B$15),AND(S543&lt;&gt;"",S543&lt;=Settings!$B$15)),"EXPIRING SOON","OK")))</f>
        <v/>
      </c>
      <c r="U543" s="24" t="str">
        <f aca="false">IF(AND(C543="Own",Q543="Active"),COUNTIFS($C$5:C543,"Own",$Q$5:Q543,"Active"),"")</f>
        <v/>
      </c>
      <c r="V543" s="26" t="str">
        <f aca="false">IF(C543&lt;&gt;"Own","",IF(K543="Hourly",N543,(L543+M543)/(Settings!$B$11*Settings!$B$12)))</f>
        <v/>
      </c>
    </row>
    <row r="544" customFormat="false" ht="15" hidden="false" customHeight="false" outlineLevel="0" collapsed="false">
      <c r="R544" s="25" t="str">
        <f aca="true">IF(I544="","",I544-TODAY())</f>
        <v/>
      </c>
      <c r="S544" s="25" t="str">
        <f aca="true">IF(J544="","",J544-TODAY())</f>
        <v/>
      </c>
      <c r="T544" s="24" t="str">
        <f aca="false">IF(A544="","",IF(OR(AND(R544&lt;&gt;"",R544&lt;0),AND(S544&lt;&gt;"",S544&lt;0)),"EXPIRED",IF(OR(AND(R544&lt;&gt;"",R544&lt;=Settings!$B$15),AND(S544&lt;&gt;"",S544&lt;=Settings!$B$15)),"EXPIRING SOON","OK")))</f>
        <v/>
      </c>
      <c r="U544" s="24" t="str">
        <f aca="false">IF(AND(C544="Own",Q544="Active"),COUNTIFS($C$5:C544,"Own",$Q$5:Q544,"Active"),"")</f>
        <v/>
      </c>
      <c r="V544" s="26" t="str">
        <f aca="false">IF(C544&lt;&gt;"Own","",IF(K544="Hourly",N544,(L544+M544)/(Settings!$B$11*Settings!$B$12)))</f>
        <v/>
      </c>
    </row>
    <row r="545" customFormat="false" ht="15" hidden="false" customHeight="false" outlineLevel="0" collapsed="false">
      <c r="R545" s="25" t="str">
        <f aca="true">IF(I545="","",I545-TODAY())</f>
        <v/>
      </c>
      <c r="S545" s="25" t="str">
        <f aca="true">IF(J545="","",J545-TODAY())</f>
        <v/>
      </c>
      <c r="T545" s="24" t="str">
        <f aca="false">IF(A545="","",IF(OR(AND(R545&lt;&gt;"",R545&lt;0),AND(S545&lt;&gt;"",S545&lt;0)),"EXPIRED",IF(OR(AND(R545&lt;&gt;"",R545&lt;=Settings!$B$15),AND(S545&lt;&gt;"",S545&lt;=Settings!$B$15)),"EXPIRING SOON","OK")))</f>
        <v/>
      </c>
      <c r="U545" s="24" t="str">
        <f aca="false">IF(AND(C545="Own",Q545="Active"),COUNTIFS($C$5:C545,"Own",$Q$5:Q545,"Active"),"")</f>
        <v/>
      </c>
      <c r="V545" s="26" t="str">
        <f aca="false">IF(C545&lt;&gt;"Own","",IF(K545="Hourly",N545,(L545+M545)/(Settings!$B$11*Settings!$B$12)))</f>
        <v/>
      </c>
    </row>
    <row r="546" customFormat="false" ht="15" hidden="false" customHeight="false" outlineLevel="0" collapsed="false">
      <c r="R546" s="25" t="str">
        <f aca="true">IF(I546="","",I546-TODAY())</f>
        <v/>
      </c>
      <c r="S546" s="25" t="str">
        <f aca="true">IF(J546="","",J546-TODAY())</f>
        <v/>
      </c>
      <c r="T546" s="24" t="str">
        <f aca="false">IF(A546="","",IF(OR(AND(R546&lt;&gt;"",R546&lt;0),AND(S546&lt;&gt;"",S546&lt;0)),"EXPIRED",IF(OR(AND(R546&lt;&gt;"",R546&lt;=Settings!$B$15),AND(S546&lt;&gt;"",S546&lt;=Settings!$B$15)),"EXPIRING SOON","OK")))</f>
        <v/>
      </c>
      <c r="U546" s="24" t="str">
        <f aca="false">IF(AND(C546="Own",Q546="Active"),COUNTIFS($C$5:C546,"Own",$Q$5:Q546,"Active"),"")</f>
        <v/>
      </c>
      <c r="V546" s="26" t="str">
        <f aca="false">IF(C546&lt;&gt;"Own","",IF(K546="Hourly",N546,(L546+M546)/(Settings!$B$11*Settings!$B$12)))</f>
        <v/>
      </c>
    </row>
    <row r="547" customFormat="false" ht="15" hidden="false" customHeight="false" outlineLevel="0" collapsed="false">
      <c r="R547" s="25" t="str">
        <f aca="true">IF(I547="","",I547-TODAY())</f>
        <v/>
      </c>
      <c r="S547" s="25" t="str">
        <f aca="true">IF(J547="","",J547-TODAY())</f>
        <v/>
      </c>
      <c r="T547" s="24" t="str">
        <f aca="false">IF(A547="","",IF(OR(AND(R547&lt;&gt;"",R547&lt;0),AND(S547&lt;&gt;"",S547&lt;0)),"EXPIRED",IF(OR(AND(R547&lt;&gt;"",R547&lt;=Settings!$B$15),AND(S547&lt;&gt;"",S547&lt;=Settings!$B$15)),"EXPIRING SOON","OK")))</f>
        <v/>
      </c>
      <c r="U547" s="24" t="str">
        <f aca="false">IF(AND(C547="Own",Q547="Active"),COUNTIFS($C$5:C547,"Own",$Q$5:Q547,"Active"),"")</f>
        <v/>
      </c>
      <c r="V547" s="26" t="str">
        <f aca="false">IF(C547&lt;&gt;"Own","",IF(K547="Hourly",N547,(L547+M547)/(Settings!$B$11*Settings!$B$12)))</f>
        <v/>
      </c>
    </row>
    <row r="548" customFormat="false" ht="15" hidden="false" customHeight="false" outlineLevel="0" collapsed="false">
      <c r="R548" s="25" t="str">
        <f aca="true">IF(I548="","",I548-TODAY())</f>
        <v/>
      </c>
      <c r="S548" s="25" t="str">
        <f aca="true">IF(J548="","",J548-TODAY())</f>
        <v/>
      </c>
      <c r="T548" s="24" t="str">
        <f aca="false">IF(A548="","",IF(OR(AND(R548&lt;&gt;"",R548&lt;0),AND(S548&lt;&gt;"",S548&lt;0)),"EXPIRED",IF(OR(AND(R548&lt;&gt;"",R548&lt;=Settings!$B$15),AND(S548&lt;&gt;"",S548&lt;=Settings!$B$15)),"EXPIRING SOON","OK")))</f>
        <v/>
      </c>
      <c r="U548" s="24" t="str">
        <f aca="false">IF(AND(C548="Own",Q548="Active"),COUNTIFS($C$5:C548,"Own",$Q$5:Q548,"Active"),"")</f>
        <v/>
      </c>
      <c r="V548" s="26" t="str">
        <f aca="false">IF(C548&lt;&gt;"Own","",IF(K548="Hourly",N548,(L548+M548)/(Settings!$B$11*Settings!$B$12)))</f>
        <v/>
      </c>
    </row>
    <row r="549" customFormat="false" ht="15" hidden="false" customHeight="false" outlineLevel="0" collapsed="false">
      <c r="R549" s="25" t="str">
        <f aca="true">IF(I549="","",I549-TODAY())</f>
        <v/>
      </c>
      <c r="S549" s="25" t="str">
        <f aca="true">IF(J549="","",J549-TODAY())</f>
        <v/>
      </c>
      <c r="T549" s="24" t="str">
        <f aca="false">IF(A549="","",IF(OR(AND(R549&lt;&gt;"",R549&lt;0),AND(S549&lt;&gt;"",S549&lt;0)),"EXPIRED",IF(OR(AND(R549&lt;&gt;"",R549&lt;=Settings!$B$15),AND(S549&lt;&gt;"",S549&lt;=Settings!$B$15)),"EXPIRING SOON","OK")))</f>
        <v/>
      </c>
      <c r="U549" s="24" t="str">
        <f aca="false">IF(AND(C549="Own",Q549="Active"),COUNTIFS($C$5:C549,"Own",$Q$5:Q549,"Active"),"")</f>
        <v/>
      </c>
      <c r="V549" s="26" t="str">
        <f aca="false">IF(C549&lt;&gt;"Own","",IF(K549="Hourly",N549,(L549+M549)/(Settings!$B$11*Settings!$B$12)))</f>
        <v/>
      </c>
    </row>
    <row r="550" customFormat="false" ht="15" hidden="false" customHeight="false" outlineLevel="0" collapsed="false">
      <c r="R550" s="25" t="str">
        <f aca="true">IF(I550="","",I550-TODAY())</f>
        <v/>
      </c>
      <c r="S550" s="25" t="str">
        <f aca="true">IF(J550="","",J550-TODAY())</f>
        <v/>
      </c>
      <c r="T550" s="24" t="str">
        <f aca="false">IF(A550="","",IF(OR(AND(R550&lt;&gt;"",R550&lt;0),AND(S550&lt;&gt;"",S550&lt;0)),"EXPIRED",IF(OR(AND(R550&lt;&gt;"",R550&lt;=Settings!$B$15),AND(S550&lt;&gt;"",S550&lt;=Settings!$B$15)),"EXPIRING SOON","OK")))</f>
        <v/>
      </c>
      <c r="U550" s="24" t="str">
        <f aca="false">IF(AND(C550="Own",Q550="Active"),COUNTIFS($C$5:C550,"Own",$Q$5:Q550,"Active"),"")</f>
        <v/>
      </c>
      <c r="V550" s="26" t="str">
        <f aca="false">IF(C550&lt;&gt;"Own","",IF(K550="Hourly",N550,(L550+M550)/(Settings!$B$11*Settings!$B$12)))</f>
        <v/>
      </c>
    </row>
    <row r="551" customFormat="false" ht="15" hidden="false" customHeight="false" outlineLevel="0" collapsed="false">
      <c r="R551" s="25" t="str">
        <f aca="true">IF(I551="","",I551-TODAY())</f>
        <v/>
      </c>
      <c r="S551" s="25" t="str">
        <f aca="true">IF(J551="","",J551-TODAY())</f>
        <v/>
      </c>
      <c r="T551" s="24" t="str">
        <f aca="false">IF(A551="","",IF(OR(AND(R551&lt;&gt;"",R551&lt;0),AND(S551&lt;&gt;"",S551&lt;0)),"EXPIRED",IF(OR(AND(R551&lt;&gt;"",R551&lt;=Settings!$B$15),AND(S551&lt;&gt;"",S551&lt;=Settings!$B$15)),"EXPIRING SOON","OK")))</f>
        <v/>
      </c>
      <c r="U551" s="24" t="str">
        <f aca="false">IF(AND(C551="Own",Q551="Active"),COUNTIFS($C$5:C551,"Own",$Q$5:Q551,"Active"),"")</f>
        <v/>
      </c>
      <c r="V551" s="26" t="str">
        <f aca="false">IF(C551&lt;&gt;"Own","",IF(K551="Hourly",N551,(L551+M551)/(Settings!$B$11*Settings!$B$12)))</f>
        <v/>
      </c>
    </row>
    <row r="552" customFormat="false" ht="15" hidden="false" customHeight="false" outlineLevel="0" collapsed="false">
      <c r="R552" s="25" t="str">
        <f aca="true">IF(I552="","",I552-TODAY())</f>
        <v/>
      </c>
      <c r="S552" s="25" t="str">
        <f aca="true">IF(J552="","",J552-TODAY())</f>
        <v/>
      </c>
      <c r="T552" s="24" t="str">
        <f aca="false">IF(A552="","",IF(OR(AND(R552&lt;&gt;"",R552&lt;0),AND(S552&lt;&gt;"",S552&lt;0)),"EXPIRED",IF(OR(AND(R552&lt;&gt;"",R552&lt;=Settings!$B$15),AND(S552&lt;&gt;"",S552&lt;=Settings!$B$15)),"EXPIRING SOON","OK")))</f>
        <v/>
      </c>
      <c r="U552" s="24" t="str">
        <f aca="false">IF(AND(C552="Own",Q552="Active"),COUNTIFS($C$5:C552,"Own",$Q$5:Q552,"Active"),"")</f>
        <v/>
      </c>
      <c r="V552" s="26" t="str">
        <f aca="false">IF(C552&lt;&gt;"Own","",IF(K552="Hourly",N552,(L552+M552)/(Settings!$B$11*Settings!$B$12)))</f>
        <v/>
      </c>
    </row>
    <row r="553" customFormat="false" ht="15" hidden="false" customHeight="false" outlineLevel="0" collapsed="false">
      <c r="R553" s="25" t="str">
        <f aca="true">IF(I553="","",I553-TODAY())</f>
        <v/>
      </c>
      <c r="S553" s="25" t="str">
        <f aca="true">IF(J553="","",J553-TODAY())</f>
        <v/>
      </c>
      <c r="T553" s="24" t="str">
        <f aca="false">IF(A553="","",IF(OR(AND(R553&lt;&gt;"",R553&lt;0),AND(S553&lt;&gt;"",S553&lt;0)),"EXPIRED",IF(OR(AND(R553&lt;&gt;"",R553&lt;=Settings!$B$15),AND(S553&lt;&gt;"",S553&lt;=Settings!$B$15)),"EXPIRING SOON","OK")))</f>
        <v/>
      </c>
      <c r="U553" s="24" t="str">
        <f aca="false">IF(AND(C553="Own",Q553="Active"),COUNTIFS($C$5:C553,"Own",$Q$5:Q553,"Active"),"")</f>
        <v/>
      </c>
      <c r="V553" s="26" t="str">
        <f aca="false">IF(C553&lt;&gt;"Own","",IF(K553="Hourly",N553,(L553+M553)/(Settings!$B$11*Settings!$B$12)))</f>
        <v/>
      </c>
    </row>
    <row r="554" customFormat="false" ht="15" hidden="false" customHeight="false" outlineLevel="0" collapsed="false">
      <c r="R554" s="25" t="str">
        <f aca="true">IF(I554="","",I554-TODAY())</f>
        <v/>
      </c>
      <c r="S554" s="25" t="str">
        <f aca="true">IF(J554="","",J554-TODAY())</f>
        <v/>
      </c>
      <c r="T554" s="24" t="str">
        <f aca="false">IF(A554="","",IF(OR(AND(R554&lt;&gt;"",R554&lt;0),AND(S554&lt;&gt;"",S554&lt;0)),"EXPIRED",IF(OR(AND(R554&lt;&gt;"",R554&lt;=Settings!$B$15),AND(S554&lt;&gt;"",S554&lt;=Settings!$B$15)),"EXPIRING SOON","OK")))</f>
        <v/>
      </c>
      <c r="U554" s="24" t="str">
        <f aca="false">IF(AND(C554="Own",Q554="Active"),COUNTIFS($C$5:C554,"Own",$Q$5:Q554,"Active"),"")</f>
        <v/>
      </c>
      <c r="V554" s="26" t="str">
        <f aca="false">IF(C554&lt;&gt;"Own","",IF(K554="Hourly",N554,(L554+M554)/(Settings!$B$11*Settings!$B$12)))</f>
        <v/>
      </c>
    </row>
    <row r="555" customFormat="false" ht="15" hidden="false" customHeight="false" outlineLevel="0" collapsed="false">
      <c r="R555" s="25" t="str">
        <f aca="true">IF(I555="","",I555-TODAY())</f>
        <v/>
      </c>
      <c r="S555" s="25" t="str">
        <f aca="true">IF(J555="","",J555-TODAY())</f>
        <v/>
      </c>
      <c r="T555" s="24" t="str">
        <f aca="false">IF(A555="","",IF(OR(AND(R555&lt;&gt;"",R555&lt;0),AND(S555&lt;&gt;"",S555&lt;0)),"EXPIRED",IF(OR(AND(R555&lt;&gt;"",R555&lt;=Settings!$B$15),AND(S555&lt;&gt;"",S555&lt;=Settings!$B$15)),"EXPIRING SOON","OK")))</f>
        <v/>
      </c>
      <c r="U555" s="24" t="str">
        <f aca="false">IF(AND(C555="Own",Q555="Active"),COUNTIFS($C$5:C555,"Own",$Q$5:Q555,"Active"),"")</f>
        <v/>
      </c>
      <c r="V555" s="26" t="str">
        <f aca="false">IF(C555&lt;&gt;"Own","",IF(K555="Hourly",N555,(L555+M555)/(Settings!$B$11*Settings!$B$12)))</f>
        <v/>
      </c>
    </row>
    <row r="556" customFormat="false" ht="15" hidden="false" customHeight="false" outlineLevel="0" collapsed="false">
      <c r="R556" s="25" t="str">
        <f aca="true">IF(I556="","",I556-TODAY())</f>
        <v/>
      </c>
      <c r="S556" s="25" t="str">
        <f aca="true">IF(J556="","",J556-TODAY())</f>
        <v/>
      </c>
      <c r="T556" s="24" t="str">
        <f aca="false">IF(A556="","",IF(OR(AND(R556&lt;&gt;"",R556&lt;0),AND(S556&lt;&gt;"",S556&lt;0)),"EXPIRED",IF(OR(AND(R556&lt;&gt;"",R556&lt;=Settings!$B$15),AND(S556&lt;&gt;"",S556&lt;=Settings!$B$15)),"EXPIRING SOON","OK")))</f>
        <v/>
      </c>
      <c r="U556" s="24" t="str">
        <f aca="false">IF(AND(C556="Own",Q556="Active"),COUNTIFS($C$5:C556,"Own",$Q$5:Q556,"Active"),"")</f>
        <v/>
      </c>
      <c r="V556" s="26" t="str">
        <f aca="false">IF(C556&lt;&gt;"Own","",IF(K556="Hourly",N556,(L556+M556)/(Settings!$B$11*Settings!$B$12)))</f>
        <v/>
      </c>
    </row>
    <row r="557" customFormat="false" ht="15" hidden="false" customHeight="false" outlineLevel="0" collapsed="false">
      <c r="R557" s="25" t="str">
        <f aca="true">IF(I557="","",I557-TODAY())</f>
        <v/>
      </c>
      <c r="S557" s="25" t="str">
        <f aca="true">IF(J557="","",J557-TODAY())</f>
        <v/>
      </c>
      <c r="T557" s="24" t="str">
        <f aca="false">IF(A557="","",IF(OR(AND(R557&lt;&gt;"",R557&lt;0),AND(S557&lt;&gt;"",S557&lt;0)),"EXPIRED",IF(OR(AND(R557&lt;&gt;"",R557&lt;=Settings!$B$15),AND(S557&lt;&gt;"",S557&lt;=Settings!$B$15)),"EXPIRING SOON","OK")))</f>
        <v/>
      </c>
      <c r="U557" s="24" t="str">
        <f aca="false">IF(AND(C557="Own",Q557="Active"),COUNTIFS($C$5:C557,"Own",$Q$5:Q557,"Active"),"")</f>
        <v/>
      </c>
      <c r="V557" s="26" t="str">
        <f aca="false">IF(C557&lt;&gt;"Own","",IF(K557="Hourly",N557,(L557+M557)/(Settings!$B$11*Settings!$B$12)))</f>
        <v/>
      </c>
    </row>
    <row r="558" customFormat="false" ht="15" hidden="false" customHeight="false" outlineLevel="0" collapsed="false">
      <c r="R558" s="25" t="str">
        <f aca="true">IF(I558="","",I558-TODAY())</f>
        <v/>
      </c>
      <c r="S558" s="25" t="str">
        <f aca="true">IF(J558="","",J558-TODAY())</f>
        <v/>
      </c>
      <c r="T558" s="24" t="str">
        <f aca="false">IF(A558="","",IF(OR(AND(R558&lt;&gt;"",R558&lt;0),AND(S558&lt;&gt;"",S558&lt;0)),"EXPIRED",IF(OR(AND(R558&lt;&gt;"",R558&lt;=Settings!$B$15),AND(S558&lt;&gt;"",S558&lt;=Settings!$B$15)),"EXPIRING SOON","OK")))</f>
        <v/>
      </c>
      <c r="U558" s="24" t="str">
        <f aca="false">IF(AND(C558="Own",Q558="Active"),COUNTIFS($C$5:C558,"Own",$Q$5:Q558,"Active"),"")</f>
        <v/>
      </c>
      <c r="V558" s="26" t="str">
        <f aca="false">IF(C558&lt;&gt;"Own","",IF(K558="Hourly",N558,(L558+M558)/(Settings!$B$11*Settings!$B$12)))</f>
        <v/>
      </c>
    </row>
    <row r="559" customFormat="false" ht="15" hidden="false" customHeight="false" outlineLevel="0" collapsed="false">
      <c r="R559" s="25" t="str">
        <f aca="true">IF(I559="","",I559-TODAY())</f>
        <v/>
      </c>
      <c r="S559" s="25" t="str">
        <f aca="true">IF(J559="","",J559-TODAY())</f>
        <v/>
      </c>
      <c r="T559" s="24" t="str">
        <f aca="false">IF(A559="","",IF(OR(AND(R559&lt;&gt;"",R559&lt;0),AND(S559&lt;&gt;"",S559&lt;0)),"EXPIRED",IF(OR(AND(R559&lt;&gt;"",R559&lt;=Settings!$B$15),AND(S559&lt;&gt;"",S559&lt;=Settings!$B$15)),"EXPIRING SOON","OK")))</f>
        <v/>
      </c>
      <c r="U559" s="24" t="str">
        <f aca="false">IF(AND(C559="Own",Q559="Active"),COUNTIFS($C$5:C559,"Own",$Q$5:Q559,"Active"),"")</f>
        <v/>
      </c>
      <c r="V559" s="26" t="str">
        <f aca="false">IF(C559&lt;&gt;"Own","",IF(K559="Hourly",N559,(L559+M559)/(Settings!$B$11*Settings!$B$12)))</f>
        <v/>
      </c>
    </row>
    <row r="560" customFormat="false" ht="15" hidden="false" customHeight="false" outlineLevel="0" collapsed="false">
      <c r="R560" s="25" t="str">
        <f aca="true">IF(I560="","",I560-TODAY())</f>
        <v/>
      </c>
      <c r="S560" s="25" t="str">
        <f aca="true">IF(J560="","",J560-TODAY())</f>
        <v/>
      </c>
      <c r="T560" s="24" t="str">
        <f aca="false">IF(A560="","",IF(OR(AND(R560&lt;&gt;"",R560&lt;0),AND(S560&lt;&gt;"",S560&lt;0)),"EXPIRED",IF(OR(AND(R560&lt;&gt;"",R560&lt;=Settings!$B$15),AND(S560&lt;&gt;"",S560&lt;=Settings!$B$15)),"EXPIRING SOON","OK")))</f>
        <v/>
      </c>
      <c r="U560" s="24" t="str">
        <f aca="false">IF(AND(C560="Own",Q560="Active"),COUNTIFS($C$5:C560,"Own",$Q$5:Q560,"Active"),"")</f>
        <v/>
      </c>
      <c r="V560" s="26" t="str">
        <f aca="false">IF(C560&lt;&gt;"Own","",IF(K560="Hourly",N560,(L560+M560)/(Settings!$B$11*Settings!$B$12)))</f>
        <v/>
      </c>
    </row>
    <row r="561" customFormat="false" ht="15" hidden="false" customHeight="false" outlineLevel="0" collapsed="false">
      <c r="R561" s="25" t="str">
        <f aca="true">IF(I561="","",I561-TODAY())</f>
        <v/>
      </c>
      <c r="S561" s="25" t="str">
        <f aca="true">IF(J561="","",J561-TODAY())</f>
        <v/>
      </c>
      <c r="T561" s="24" t="str">
        <f aca="false">IF(A561="","",IF(OR(AND(R561&lt;&gt;"",R561&lt;0),AND(S561&lt;&gt;"",S561&lt;0)),"EXPIRED",IF(OR(AND(R561&lt;&gt;"",R561&lt;=Settings!$B$15),AND(S561&lt;&gt;"",S561&lt;=Settings!$B$15)),"EXPIRING SOON","OK")))</f>
        <v/>
      </c>
      <c r="U561" s="24" t="str">
        <f aca="false">IF(AND(C561="Own",Q561="Active"),COUNTIFS($C$5:C561,"Own",$Q$5:Q561,"Active"),"")</f>
        <v/>
      </c>
      <c r="V561" s="26" t="str">
        <f aca="false">IF(C561&lt;&gt;"Own","",IF(K561="Hourly",N561,(L561+M561)/(Settings!$B$11*Settings!$B$12)))</f>
        <v/>
      </c>
    </row>
    <row r="562" customFormat="false" ht="15" hidden="false" customHeight="false" outlineLevel="0" collapsed="false">
      <c r="R562" s="25" t="str">
        <f aca="true">IF(I562="","",I562-TODAY())</f>
        <v/>
      </c>
      <c r="S562" s="25" t="str">
        <f aca="true">IF(J562="","",J562-TODAY())</f>
        <v/>
      </c>
      <c r="T562" s="24" t="str">
        <f aca="false">IF(A562="","",IF(OR(AND(R562&lt;&gt;"",R562&lt;0),AND(S562&lt;&gt;"",S562&lt;0)),"EXPIRED",IF(OR(AND(R562&lt;&gt;"",R562&lt;=Settings!$B$15),AND(S562&lt;&gt;"",S562&lt;=Settings!$B$15)),"EXPIRING SOON","OK")))</f>
        <v/>
      </c>
      <c r="U562" s="24" t="str">
        <f aca="false">IF(AND(C562="Own",Q562="Active"),COUNTIFS($C$5:C562,"Own",$Q$5:Q562,"Active"),"")</f>
        <v/>
      </c>
      <c r="V562" s="26" t="str">
        <f aca="false">IF(C562&lt;&gt;"Own","",IF(K562="Hourly",N562,(L562+M562)/(Settings!$B$11*Settings!$B$12)))</f>
        <v/>
      </c>
    </row>
    <row r="563" customFormat="false" ht="15" hidden="false" customHeight="false" outlineLevel="0" collapsed="false">
      <c r="R563" s="25" t="str">
        <f aca="true">IF(I563="","",I563-TODAY())</f>
        <v/>
      </c>
      <c r="S563" s="25" t="str">
        <f aca="true">IF(J563="","",J563-TODAY())</f>
        <v/>
      </c>
      <c r="T563" s="24" t="str">
        <f aca="false">IF(A563="","",IF(OR(AND(R563&lt;&gt;"",R563&lt;0),AND(S563&lt;&gt;"",S563&lt;0)),"EXPIRED",IF(OR(AND(R563&lt;&gt;"",R563&lt;=Settings!$B$15),AND(S563&lt;&gt;"",S563&lt;=Settings!$B$15)),"EXPIRING SOON","OK")))</f>
        <v/>
      </c>
      <c r="U563" s="24" t="str">
        <f aca="false">IF(AND(C563="Own",Q563="Active"),COUNTIFS($C$5:C563,"Own",$Q$5:Q563,"Active"),"")</f>
        <v/>
      </c>
      <c r="V563" s="26" t="str">
        <f aca="false">IF(C563&lt;&gt;"Own","",IF(K563="Hourly",N563,(L563+M563)/(Settings!$B$11*Settings!$B$12)))</f>
        <v/>
      </c>
    </row>
    <row r="564" customFormat="false" ht="15" hidden="false" customHeight="false" outlineLevel="0" collapsed="false">
      <c r="R564" s="25" t="str">
        <f aca="true">IF(I564="","",I564-TODAY())</f>
        <v/>
      </c>
      <c r="S564" s="25" t="str">
        <f aca="true">IF(J564="","",J564-TODAY())</f>
        <v/>
      </c>
      <c r="T564" s="24" t="str">
        <f aca="false">IF(A564="","",IF(OR(AND(R564&lt;&gt;"",R564&lt;0),AND(S564&lt;&gt;"",S564&lt;0)),"EXPIRED",IF(OR(AND(R564&lt;&gt;"",R564&lt;=Settings!$B$15),AND(S564&lt;&gt;"",S564&lt;=Settings!$B$15)),"EXPIRING SOON","OK")))</f>
        <v/>
      </c>
      <c r="U564" s="24" t="str">
        <f aca="false">IF(AND(C564="Own",Q564="Active"),COUNTIFS($C$5:C564,"Own",$Q$5:Q564,"Active"),"")</f>
        <v/>
      </c>
      <c r="V564" s="26" t="str">
        <f aca="false">IF(C564&lt;&gt;"Own","",IF(K564="Hourly",N564,(L564+M564)/(Settings!$B$11*Settings!$B$12)))</f>
        <v/>
      </c>
    </row>
    <row r="565" customFormat="false" ht="15" hidden="false" customHeight="false" outlineLevel="0" collapsed="false">
      <c r="R565" s="25" t="str">
        <f aca="true">IF(I565="","",I565-TODAY())</f>
        <v/>
      </c>
      <c r="S565" s="25" t="str">
        <f aca="true">IF(J565="","",J565-TODAY())</f>
        <v/>
      </c>
      <c r="T565" s="24" t="str">
        <f aca="false">IF(A565="","",IF(OR(AND(R565&lt;&gt;"",R565&lt;0),AND(S565&lt;&gt;"",S565&lt;0)),"EXPIRED",IF(OR(AND(R565&lt;&gt;"",R565&lt;=Settings!$B$15),AND(S565&lt;&gt;"",S565&lt;=Settings!$B$15)),"EXPIRING SOON","OK")))</f>
        <v/>
      </c>
      <c r="U565" s="24" t="str">
        <f aca="false">IF(AND(C565="Own",Q565="Active"),COUNTIFS($C$5:C565,"Own",$Q$5:Q565,"Active"),"")</f>
        <v/>
      </c>
      <c r="V565" s="26" t="str">
        <f aca="false">IF(C565&lt;&gt;"Own","",IF(K565="Hourly",N565,(L565+M565)/(Settings!$B$11*Settings!$B$12)))</f>
        <v/>
      </c>
    </row>
    <row r="566" customFormat="false" ht="15" hidden="false" customHeight="false" outlineLevel="0" collapsed="false">
      <c r="R566" s="25" t="str">
        <f aca="true">IF(I566="","",I566-TODAY())</f>
        <v/>
      </c>
      <c r="S566" s="25" t="str">
        <f aca="true">IF(J566="","",J566-TODAY())</f>
        <v/>
      </c>
      <c r="T566" s="24" t="str">
        <f aca="false">IF(A566="","",IF(OR(AND(R566&lt;&gt;"",R566&lt;0),AND(S566&lt;&gt;"",S566&lt;0)),"EXPIRED",IF(OR(AND(R566&lt;&gt;"",R566&lt;=Settings!$B$15),AND(S566&lt;&gt;"",S566&lt;=Settings!$B$15)),"EXPIRING SOON","OK")))</f>
        <v/>
      </c>
      <c r="U566" s="24" t="str">
        <f aca="false">IF(AND(C566="Own",Q566="Active"),COUNTIFS($C$5:C566,"Own",$Q$5:Q566,"Active"),"")</f>
        <v/>
      </c>
      <c r="V566" s="26" t="str">
        <f aca="false">IF(C566&lt;&gt;"Own","",IF(K566="Hourly",N566,(L566+M566)/(Settings!$B$11*Settings!$B$12)))</f>
        <v/>
      </c>
    </row>
    <row r="567" customFormat="false" ht="15" hidden="false" customHeight="false" outlineLevel="0" collapsed="false">
      <c r="R567" s="25" t="str">
        <f aca="true">IF(I567="","",I567-TODAY())</f>
        <v/>
      </c>
      <c r="S567" s="25" t="str">
        <f aca="true">IF(J567="","",J567-TODAY())</f>
        <v/>
      </c>
      <c r="T567" s="24" t="str">
        <f aca="false">IF(A567="","",IF(OR(AND(R567&lt;&gt;"",R567&lt;0),AND(S567&lt;&gt;"",S567&lt;0)),"EXPIRED",IF(OR(AND(R567&lt;&gt;"",R567&lt;=Settings!$B$15),AND(S567&lt;&gt;"",S567&lt;=Settings!$B$15)),"EXPIRING SOON","OK")))</f>
        <v/>
      </c>
      <c r="U567" s="24" t="str">
        <f aca="false">IF(AND(C567="Own",Q567="Active"),COUNTIFS($C$5:C567,"Own",$Q$5:Q567,"Active"),"")</f>
        <v/>
      </c>
      <c r="V567" s="26" t="str">
        <f aca="false">IF(C567&lt;&gt;"Own","",IF(K567="Hourly",N567,(L567+M567)/(Settings!$B$11*Settings!$B$12)))</f>
        <v/>
      </c>
    </row>
    <row r="568" customFormat="false" ht="15" hidden="false" customHeight="false" outlineLevel="0" collapsed="false">
      <c r="R568" s="25" t="str">
        <f aca="true">IF(I568="","",I568-TODAY())</f>
        <v/>
      </c>
      <c r="S568" s="25" t="str">
        <f aca="true">IF(J568="","",J568-TODAY())</f>
        <v/>
      </c>
      <c r="T568" s="24" t="str">
        <f aca="false">IF(A568="","",IF(OR(AND(R568&lt;&gt;"",R568&lt;0),AND(S568&lt;&gt;"",S568&lt;0)),"EXPIRED",IF(OR(AND(R568&lt;&gt;"",R568&lt;=Settings!$B$15),AND(S568&lt;&gt;"",S568&lt;=Settings!$B$15)),"EXPIRING SOON","OK")))</f>
        <v/>
      </c>
      <c r="U568" s="24" t="str">
        <f aca="false">IF(AND(C568="Own",Q568="Active"),COUNTIFS($C$5:C568,"Own",$Q$5:Q568,"Active"),"")</f>
        <v/>
      </c>
      <c r="V568" s="26" t="str">
        <f aca="false">IF(C568&lt;&gt;"Own","",IF(K568="Hourly",N568,(L568+M568)/(Settings!$B$11*Settings!$B$12)))</f>
        <v/>
      </c>
    </row>
    <row r="569" customFormat="false" ht="15" hidden="false" customHeight="false" outlineLevel="0" collapsed="false">
      <c r="R569" s="25" t="str">
        <f aca="true">IF(I569="","",I569-TODAY())</f>
        <v/>
      </c>
      <c r="S569" s="25" t="str">
        <f aca="true">IF(J569="","",J569-TODAY())</f>
        <v/>
      </c>
      <c r="T569" s="24" t="str">
        <f aca="false">IF(A569="","",IF(OR(AND(R569&lt;&gt;"",R569&lt;0),AND(S569&lt;&gt;"",S569&lt;0)),"EXPIRED",IF(OR(AND(R569&lt;&gt;"",R569&lt;=Settings!$B$15),AND(S569&lt;&gt;"",S569&lt;=Settings!$B$15)),"EXPIRING SOON","OK")))</f>
        <v/>
      </c>
      <c r="U569" s="24" t="str">
        <f aca="false">IF(AND(C569="Own",Q569="Active"),COUNTIFS($C$5:C569,"Own",$Q$5:Q569,"Active"),"")</f>
        <v/>
      </c>
      <c r="V569" s="26" t="str">
        <f aca="false">IF(C569&lt;&gt;"Own","",IF(K569="Hourly",N569,(L569+M569)/(Settings!$B$11*Settings!$B$12)))</f>
        <v/>
      </c>
    </row>
    <row r="570" customFormat="false" ht="15" hidden="false" customHeight="false" outlineLevel="0" collapsed="false">
      <c r="R570" s="25" t="str">
        <f aca="true">IF(I570="","",I570-TODAY())</f>
        <v/>
      </c>
      <c r="S570" s="25" t="str">
        <f aca="true">IF(J570="","",J570-TODAY())</f>
        <v/>
      </c>
      <c r="T570" s="24" t="str">
        <f aca="false">IF(A570="","",IF(OR(AND(R570&lt;&gt;"",R570&lt;0),AND(S570&lt;&gt;"",S570&lt;0)),"EXPIRED",IF(OR(AND(R570&lt;&gt;"",R570&lt;=Settings!$B$15),AND(S570&lt;&gt;"",S570&lt;=Settings!$B$15)),"EXPIRING SOON","OK")))</f>
        <v/>
      </c>
      <c r="U570" s="24" t="str">
        <f aca="false">IF(AND(C570="Own",Q570="Active"),COUNTIFS($C$5:C570,"Own",$Q$5:Q570,"Active"),"")</f>
        <v/>
      </c>
      <c r="V570" s="26" t="str">
        <f aca="false">IF(C570&lt;&gt;"Own","",IF(K570="Hourly",N570,(L570+M570)/(Settings!$B$11*Settings!$B$12)))</f>
        <v/>
      </c>
    </row>
    <row r="571" customFormat="false" ht="15" hidden="false" customHeight="false" outlineLevel="0" collapsed="false">
      <c r="R571" s="25" t="str">
        <f aca="true">IF(I571="","",I571-TODAY())</f>
        <v/>
      </c>
      <c r="S571" s="25" t="str">
        <f aca="true">IF(J571="","",J571-TODAY())</f>
        <v/>
      </c>
      <c r="T571" s="24" t="str">
        <f aca="false">IF(A571="","",IF(OR(AND(R571&lt;&gt;"",R571&lt;0),AND(S571&lt;&gt;"",S571&lt;0)),"EXPIRED",IF(OR(AND(R571&lt;&gt;"",R571&lt;=Settings!$B$15),AND(S571&lt;&gt;"",S571&lt;=Settings!$B$15)),"EXPIRING SOON","OK")))</f>
        <v/>
      </c>
      <c r="U571" s="24" t="str">
        <f aca="false">IF(AND(C571="Own",Q571="Active"),COUNTIFS($C$5:C571,"Own",$Q$5:Q571,"Active"),"")</f>
        <v/>
      </c>
      <c r="V571" s="26" t="str">
        <f aca="false">IF(C571&lt;&gt;"Own","",IF(K571="Hourly",N571,(L571+M571)/(Settings!$B$11*Settings!$B$12)))</f>
        <v/>
      </c>
    </row>
    <row r="572" customFormat="false" ht="15" hidden="false" customHeight="false" outlineLevel="0" collapsed="false">
      <c r="R572" s="25" t="str">
        <f aca="true">IF(I572="","",I572-TODAY())</f>
        <v/>
      </c>
      <c r="S572" s="25" t="str">
        <f aca="true">IF(J572="","",J572-TODAY())</f>
        <v/>
      </c>
      <c r="T572" s="24" t="str">
        <f aca="false">IF(A572="","",IF(OR(AND(R572&lt;&gt;"",R572&lt;0),AND(S572&lt;&gt;"",S572&lt;0)),"EXPIRED",IF(OR(AND(R572&lt;&gt;"",R572&lt;=Settings!$B$15),AND(S572&lt;&gt;"",S572&lt;=Settings!$B$15)),"EXPIRING SOON","OK")))</f>
        <v/>
      </c>
      <c r="U572" s="24" t="str">
        <f aca="false">IF(AND(C572="Own",Q572="Active"),COUNTIFS($C$5:C572,"Own",$Q$5:Q572,"Active"),"")</f>
        <v/>
      </c>
      <c r="V572" s="26" t="str">
        <f aca="false">IF(C572&lt;&gt;"Own","",IF(K572="Hourly",N572,(L572+M572)/(Settings!$B$11*Settings!$B$12)))</f>
        <v/>
      </c>
    </row>
    <row r="573" customFormat="false" ht="15" hidden="false" customHeight="false" outlineLevel="0" collapsed="false">
      <c r="R573" s="25" t="str">
        <f aca="true">IF(I573="","",I573-TODAY())</f>
        <v/>
      </c>
      <c r="S573" s="25" t="str">
        <f aca="true">IF(J573="","",J573-TODAY())</f>
        <v/>
      </c>
      <c r="T573" s="24" t="str">
        <f aca="false">IF(A573="","",IF(OR(AND(R573&lt;&gt;"",R573&lt;0),AND(S573&lt;&gt;"",S573&lt;0)),"EXPIRED",IF(OR(AND(R573&lt;&gt;"",R573&lt;=Settings!$B$15),AND(S573&lt;&gt;"",S573&lt;=Settings!$B$15)),"EXPIRING SOON","OK")))</f>
        <v/>
      </c>
      <c r="U573" s="24" t="str">
        <f aca="false">IF(AND(C573="Own",Q573="Active"),COUNTIFS($C$5:C573,"Own",$Q$5:Q573,"Active"),"")</f>
        <v/>
      </c>
      <c r="V573" s="26" t="str">
        <f aca="false">IF(C573&lt;&gt;"Own","",IF(K573="Hourly",N573,(L573+M573)/(Settings!$B$11*Settings!$B$12)))</f>
        <v/>
      </c>
    </row>
    <row r="574" customFormat="false" ht="15" hidden="false" customHeight="false" outlineLevel="0" collapsed="false">
      <c r="R574" s="25" t="str">
        <f aca="true">IF(I574="","",I574-TODAY())</f>
        <v/>
      </c>
      <c r="S574" s="25" t="str">
        <f aca="true">IF(J574="","",J574-TODAY())</f>
        <v/>
      </c>
      <c r="T574" s="24" t="str">
        <f aca="false">IF(A574="","",IF(OR(AND(R574&lt;&gt;"",R574&lt;0),AND(S574&lt;&gt;"",S574&lt;0)),"EXPIRED",IF(OR(AND(R574&lt;&gt;"",R574&lt;=Settings!$B$15),AND(S574&lt;&gt;"",S574&lt;=Settings!$B$15)),"EXPIRING SOON","OK")))</f>
        <v/>
      </c>
      <c r="U574" s="24" t="str">
        <f aca="false">IF(AND(C574="Own",Q574="Active"),COUNTIFS($C$5:C574,"Own",$Q$5:Q574,"Active"),"")</f>
        <v/>
      </c>
      <c r="V574" s="26" t="str">
        <f aca="false">IF(C574&lt;&gt;"Own","",IF(K574="Hourly",N574,(L574+M574)/(Settings!$B$11*Settings!$B$12)))</f>
        <v/>
      </c>
    </row>
    <row r="575" customFormat="false" ht="15" hidden="false" customHeight="false" outlineLevel="0" collapsed="false">
      <c r="R575" s="25" t="str">
        <f aca="true">IF(I575="","",I575-TODAY())</f>
        <v/>
      </c>
      <c r="S575" s="25" t="str">
        <f aca="true">IF(J575="","",J575-TODAY())</f>
        <v/>
      </c>
      <c r="T575" s="24" t="str">
        <f aca="false">IF(A575="","",IF(OR(AND(R575&lt;&gt;"",R575&lt;0),AND(S575&lt;&gt;"",S575&lt;0)),"EXPIRED",IF(OR(AND(R575&lt;&gt;"",R575&lt;=Settings!$B$15),AND(S575&lt;&gt;"",S575&lt;=Settings!$B$15)),"EXPIRING SOON","OK")))</f>
        <v/>
      </c>
      <c r="U575" s="24" t="str">
        <f aca="false">IF(AND(C575="Own",Q575="Active"),COUNTIFS($C$5:C575,"Own",$Q$5:Q575,"Active"),"")</f>
        <v/>
      </c>
      <c r="V575" s="26" t="str">
        <f aca="false">IF(C575&lt;&gt;"Own","",IF(K575="Hourly",N575,(L575+M575)/(Settings!$B$11*Settings!$B$12)))</f>
        <v/>
      </c>
    </row>
    <row r="576" customFormat="false" ht="15" hidden="false" customHeight="false" outlineLevel="0" collapsed="false">
      <c r="R576" s="25" t="str">
        <f aca="true">IF(I576="","",I576-TODAY())</f>
        <v/>
      </c>
      <c r="S576" s="25" t="str">
        <f aca="true">IF(J576="","",J576-TODAY())</f>
        <v/>
      </c>
      <c r="T576" s="24" t="str">
        <f aca="false">IF(A576="","",IF(OR(AND(R576&lt;&gt;"",R576&lt;0),AND(S576&lt;&gt;"",S576&lt;0)),"EXPIRED",IF(OR(AND(R576&lt;&gt;"",R576&lt;=Settings!$B$15),AND(S576&lt;&gt;"",S576&lt;=Settings!$B$15)),"EXPIRING SOON","OK")))</f>
        <v/>
      </c>
      <c r="U576" s="24" t="str">
        <f aca="false">IF(AND(C576="Own",Q576="Active"),COUNTIFS($C$5:C576,"Own",$Q$5:Q576,"Active"),"")</f>
        <v/>
      </c>
      <c r="V576" s="26" t="str">
        <f aca="false">IF(C576&lt;&gt;"Own","",IF(K576="Hourly",N576,(L576+M576)/(Settings!$B$11*Settings!$B$12)))</f>
        <v/>
      </c>
    </row>
    <row r="577" customFormat="false" ht="15" hidden="false" customHeight="false" outlineLevel="0" collapsed="false">
      <c r="R577" s="25" t="str">
        <f aca="true">IF(I577="","",I577-TODAY())</f>
        <v/>
      </c>
      <c r="S577" s="25" t="str">
        <f aca="true">IF(J577="","",J577-TODAY())</f>
        <v/>
      </c>
      <c r="T577" s="24" t="str">
        <f aca="false">IF(A577="","",IF(OR(AND(R577&lt;&gt;"",R577&lt;0),AND(S577&lt;&gt;"",S577&lt;0)),"EXPIRED",IF(OR(AND(R577&lt;&gt;"",R577&lt;=Settings!$B$15),AND(S577&lt;&gt;"",S577&lt;=Settings!$B$15)),"EXPIRING SOON","OK")))</f>
        <v/>
      </c>
      <c r="U577" s="24" t="str">
        <f aca="false">IF(AND(C577="Own",Q577="Active"),COUNTIFS($C$5:C577,"Own",$Q$5:Q577,"Active"),"")</f>
        <v/>
      </c>
      <c r="V577" s="26" t="str">
        <f aca="false">IF(C577&lt;&gt;"Own","",IF(K577="Hourly",N577,(L577+M577)/(Settings!$B$11*Settings!$B$12)))</f>
        <v/>
      </c>
    </row>
    <row r="578" customFormat="false" ht="15" hidden="false" customHeight="false" outlineLevel="0" collapsed="false">
      <c r="R578" s="25" t="str">
        <f aca="true">IF(I578="","",I578-TODAY())</f>
        <v/>
      </c>
      <c r="S578" s="25" t="str">
        <f aca="true">IF(J578="","",J578-TODAY())</f>
        <v/>
      </c>
      <c r="T578" s="24" t="str">
        <f aca="false">IF(A578="","",IF(OR(AND(R578&lt;&gt;"",R578&lt;0),AND(S578&lt;&gt;"",S578&lt;0)),"EXPIRED",IF(OR(AND(R578&lt;&gt;"",R578&lt;=Settings!$B$15),AND(S578&lt;&gt;"",S578&lt;=Settings!$B$15)),"EXPIRING SOON","OK")))</f>
        <v/>
      </c>
      <c r="U578" s="24" t="str">
        <f aca="false">IF(AND(C578="Own",Q578="Active"),COUNTIFS($C$5:C578,"Own",$Q$5:Q578,"Active"),"")</f>
        <v/>
      </c>
      <c r="V578" s="26" t="str">
        <f aca="false">IF(C578&lt;&gt;"Own","",IF(K578="Hourly",N578,(L578+M578)/(Settings!$B$11*Settings!$B$12)))</f>
        <v/>
      </c>
    </row>
    <row r="579" customFormat="false" ht="15" hidden="false" customHeight="false" outlineLevel="0" collapsed="false">
      <c r="R579" s="25" t="str">
        <f aca="true">IF(I579="","",I579-TODAY())</f>
        <v/>
      </c>
      <c r="S579" s="25" t="str">
        <f aca="true">IF(J579="","",J579-TODAY())</f>
        <v/>
      </c>
      <c r="T579" s="24" t="str">
        <f aca="false">IF(A579="","",IF(OR(AND(R579&lt;&gt;"",R579&lt;0),AND(S579&lt;&gt;"",S579&lt;0)),"EXPIRED",IF(OR(AND(R579&lt;&gt;"",R579&lt;=Settings!$B$15),AND(S579&lt;&gt;"",S579&lt;=Settings!$B$15)),"EXPIRING SOON","OK")))</f>
        <v/>
      </c>
      <c r="U579" s="24" t="str">
        <f aca="false">IF(AND(C579="Own",Q579="Active"),COUNTIFS($C$5:C579,"Own",$Q$5:Q579,"Active"),"")</f>
        <v/>
      </c>
      <c r="V579" s="26" t="str">
        <f aca="false">IF(C579&lt;&gt;"Own","",IF(K579="Hourly",N579,(L579+M579)/(Settings!$B$11*Settings!$B$12)))</f>
        <v/>
      </c>
    </row>
    <row r="580" customFormat="false" ht="15" hidden="false" customHeight="false" outlineLevel="0" collapsed="false">
      <c r="R580" s="25" t="str">
        <f aca="true">IF(I580="","",I580-TODAY())</f>
        <v/>
      </c>
      <c r="S580" s="25" t="str">
        <f aca="true">IF(J580="","",J580-TODAY())</f>
        <v/>
      </c>
      <c r="T580" s="24" t="str">
        <f aca="false">IF(A580="","",IF(OR(AND(R580&lt;&gt;"",R580&lt;0),AND(S580&lt;&gt;"",S580&lt;0)),"EXPIRED",IF(OR(AND(R580&lt;&gt;"",R580&lt;=Settings!$B$15),AND(S580&lt;&gt;"",S580&lt;=Settings!$B$15)),"EXPIRING SOON","OK")))</f>
        <v/>
      </c>
      <c r="U580" s="24" t="str">
        <f aca="false">IF(AND(C580="Own",Q580="Active"),COUNTIFS($C$5:C580,"Own",$Q$5:Q580,"Active"),"")</f>
        <v/>
      </c>
      <c r="V580" s="26" t="str">
        <f aca="false">IF(C580&lt;&gt;"Own","",IF(K580="Hourly",N580,(L580+M580)/(Settings!$B$11*Settings!$B$12)))</f>
        <v/>
      </c>
    </row>
    <row r="581" customFormat="false" ht="15" hidden="false" customHeight="false" outlineLevel="0" collapsed="false">
      <c r="R581" s="25" t="str">
        <f aca="true">IF(I581="","",I581-TODAY())</f>
        <v/>
      </c>
      <c r="S581" s="25" t="str">
        <f aca="true">IF(J581="","",J581-TODAY())</f>
        <v/>
      </c>
      <c r="T581" s="24" t="str">
        <f aca="false">IF(A581="","",IF(OR(AND(R581&lt;&gt;"",R581&lt;0),AND(S581&lt;&gt;"",S581&lt;0)),"EXPIRED",IF(OR(AND(R581&lt;&gt;"",R581&lt;=Settings!$B$15),AND(S581&lt;&gt;"",S581&lt;=Settings!$B$15)),"EXPIRING SOON","OK")))</f>
        <v/>
      </c>
      <c r="U581" s="24" t="str">
        <f aca="false">IF(AND(C581="Own",Q581="Active"),COUNTIFS($C$5:C581,"Own",$Q$5:Q581,"Active"),"")</f>
        <v/>
      </c>
      <c r="V581" s="26" t="str">
        <f aca="false">IF(C581&lt;&gt;"Own","",IF(K581="Hourly",N581,(L581+M581)/(Settings!$B$11*Settings!$B$12)))</f>
        <v/>
      </c>
    </row>
    <row r="582" customFormat="false" ht="15" hidden="false" customHeight="false" outlineLevel="0" collapsed="false">
      <c r="R582" s="25" t="str">
        <f aca="true">IF(I582="","",I582-TODAY())</f>
        <v/>
      </c>
      <c r="S582" s="25" t="str">
        <f aca="true">IF(J582="","",J582-TODAY())</f>
        <v/>
      </c>
      <c r="T582" s="24" t="str">
        <f aca="false">IF(A582="","",IF(OR(AND(R582&lt;&gt;"",R582&lt;0),AND(S582&lt;&gt;"",S582&lt;0)),"EXPIRED",IF(OR(AND(R582&lt;&gt;"",R582&lt;=Settings!$B$15),AND(S582&lt;&gt;"",S582&lt;=Settings!$B$15)),"EXPIRING SOON","OK")))</f>
        <v/>
      </c>
      <c r="U582" s="24" t="str">
        <f aca="false">IF(AND(C582="Own",Q582="Active"),COUNTIFS($C$5:C582,"Own",$Q$5:Q582,"Active"),"")</f>
        <v/>
      </c>
      <c r="V582" s="26" t="str">
        <f aca="false">IF(C582&lt;&gt;"Own","",IF(K582="Hourly",N582,(L582+M582)/(Settings!$B$11*Settings!$B$12)))</f>
        <v/>
      </c>
    </row>
    <row r="583" customFormat="false" ht="15" hidden="false" customHeight="false" outlineLevel="0" collapsed="false">
      <c r="R583" s="25" t="str">
        <f aca="true">IF(I583="","",I583-TODAY())</f>
        <v/>
      </c>
      <c r="S583" s="25" t="str">
        <f aca="true">IF(J583="","",J583-TODAY())</f>
        <v/>
      </c>
      <c r="T583" s="24" t="str">
        <f aca="false">IF(A583="","",IF(OR(AND(R583&lt;&gt;"",R583&lt;0),AND(S583&lt;&gt;"",S583&lt;0)),"EXPIRED",IF(OR(AND(R583&lt;&gt;"",R583&lt;=Settings!$B$15),AND(S583&lt;&gt;"",S583&lt;=Settings!$B$15)),"EXPIRING SOON","OK")))</f>
        <v/>
      </c>
      <c r="U583" s="24" t="str">
        <f aca="false">IF(AND(C583="Own",Q583="Active"),COUNTIFS($C$5:C583,"Own",$Q$5:Q583,"Active"),"")</f>
        <v/>
      </c>
      <c r="V583" s="26" t="str">
        <f aca="false">IF(C583&lt;&gt;"Own","",IF(K583="Hourly",N583,(L583+M583)/(Settings!$B$11*Settings!$B$12)))</f>
        <v/>
      </c>
    </row>
    <row r="584" customFormat="false" ht="15" hidden="false" customHeight="false" outlineLevel="0" collapsed="false">
      <c r="R584" s="25" t="str">
        <f aca="true">IF(I584="","",I584-TODAY())</f>
        <v/>
      </c>
      <c r="S584" s="25" t="str">
        <f aca="true">IF(J584="","",J584-TODAY())</f>
        <v/>
      </c>
      <c r="T584" s="24" t="str">
        <f aca="false">IF(A584="","",IF(OR(AND(R584&lt;&gt;"",R584&lt;0),AND(S584&lt;&gt;"",S584&lt;0)),"EXPIRED",IF(OR(AND(R584&lt;&gt;"",R584&lt;=Settings!$B$15),AND(S584&lt;&gt;"",S584&lt;=Settings!$B$15)),"EXPIRING SOON","OK")))</f>
        <v/>
      </c>
      <c r="U584" s="24" t="str">
        <f aca="false">IF(AND(C584="Own",Q584="Active"),COUNTIFS($C$5:C584,"Own",$Q$5:Q584,"Active"),"")</f>
        <v/>
      </c>
      <c r="V584" s="26" t="str">
        <f aca="false">IF(C584&lt;&gt;"Own","",IF(K584="Hourly",N584,(L584+M584)/(Settings!$B$11*Settings!$B$12)))</f>
        <v/>
      </c>
    </row>
    <row r="585" customFormat="false" ht="15" hidden="false" customHeight="false" outlineLevel="0" collapsed="false">
      <c r="R585" s="25" t="str">
        <f aca="true">IF(I585="","",I585-TODAY())</f>
        <v/>
      </c>
      <c r="S585" s="25" t="str">
        <f aca="true">IF(J585="","",J585-TODAY())</f>
        <v/>
      </c>
      <c r="T585" s="24" t="str">
        <f aca="false">IF(A585="","",IF(OR(AND(R585&lt;&gt;"",R585&lt;0),AND(S585&lt;&gt;"",S585&lt;0)),"EXPIRED",IF(OR(AND(R585&lt;&gt;"",R585&lt;=Settings!$B$15),AND(S585&lt;&gt;"",S585&lt;=Settings!$B$15)),"EXPIRING SOON","OK")))</f>
        <v/>
      </c>
      <c r="U585" s="24" t="str">
        <f aca="false">IF(AND(C585="Own",Q585="Active"),COUNTIFS($C$5:C585,"Own",$Q$5:Q585,"Active"),"")</f>
        <v/>
      </c>
      <c r="V585" s="26" t="str">
        <f aca="false">IF(C585&lt;&gt;"Own","",IF(K585="Hourly",N585,(L585+M585)/(Settings!$B$11*Settings!$B$12)))</f>
        <v/>
      </c>
    </row>
    <row r="586" customFormat="false" ht="15" hidden="false" customHeight="false" outlineLevel="0" collapsed="false">
      <c r="R586" s="25" t="str">
        <f aca="true">IF(I586="","",I586-TODAY())</f>
        <v/>
      </c>
      <c r="S586" s="25" t="str">
        <f aca="true">IF(J586="","",J586-TODAY())</f>
        <v/>
      </c>
      <c r="T586" s="24" t="str">
        <f aca="false">IF(A586="","",IF(OR(AND(R586&lt;&gt;"",R586&lt;0),AND(S586&lt;&gt;"",S586&lt;0)),"EXPIRED",IF(OR(AND(R586&lt;&gt;"",R586&lt;=Settings!$B$15),AND(S586&lt;&gt;"",S586&lt;=Settings!$B$15)),"EXPIRING SOON","OK")))</f>
        <v/>
      </c>
      <c r="U586" s="24" t="str">
        <f aca="false">IF(AND(C586="Own",Q586="Active"),COUNTIFS($C$5:C586,"Own",$Q$5:Q586,"Active"),"")</f>
        <v/>
      </c>
      <c r="V586" s="26" t="str">
        <f aca="false">IF(C586&lt;&gt;"Own","",IF(K586="Hourly",N586,(L586+M586)/(Settings!$B$11*Settings!$B$12)))</f>
        <v/>
      </c>
    </row>
    <row r="587" customFormat="false" ht="15" hidden="false" customHeight="false" outlineLevel="0" collapsed="false">
      <c r="R587" s="25" t="str">
        <f aca="true">IF(I587="","",I587-TODAY())</f>
        <v/>
      </c>
      <c r="S587" s="25" t="str">
        <f aca="true">IF(J587="","",J587-TODAY())</f>
        <v/>
      </c>
      <c r="T587" s="24" t="str">
        <f aca="false">IF(A587="","",IF(OR(AND(R587&lt;&gt;"",R587&lt;0),AND(S587&lt;&gt;"",S587&lt;0)),"EXPIRED",IF(OR(AND(R587&lt;&gt;"",R587&lt;=Settings!$B$15),AND(S587&lt;&gt;"",S587&lt;=Settings!$B$15)),"EXPIRING SOON","OK")))</f>
        <v/>
      </c>
      <c r="U587" s="24" t="str">
        <f aca="false">IF(AND(C587="Own",Q587="Active"),COUNTIFS($C$5:C587,"Own",$Q$5:Q587,"Active"),"")</f>
        <v/>
      </c>
      <c r="V587" s="26" t="str">
        <f aca="false">IF(C587&lt;&gt;"Own","",IF(K587="Hourly",N587,(L587+M587)/(Settings!$B$11*Settings!$B$12)))</f>
        <v/>
      </c>
    </row>
    <row r="588" customFormat="false" ht="15" hidden="false" customHeight="false" outlineLevel="0" collapsed="false">
      <c r="R588" s="25" t="str">
        <f aca="true">IF(I588="","",I588-TODAY())</f>
        <v/>
      </c>
      <c r="S588" s="25" t="str">
        <f aca="true">IF(J588="","",J588-TODAY())</f>
        <v/>
      </c>
      <c r="T588" s="24" t="str">
        <f aca="false">IF(A588="","",IF(OR(AND(R588&lt;&gt;"",R588&lt;0),AND(S588&lt;&gt;"",S588&lt;0)),"EXPIRED",IF(OR(AND(R588&lt;&gt;"",R588&lt;=Settings!$B$15),AND(S588&lt;&gt;"",S588&lt;=Settings!$B$15)),"EXPIRING SOON","OK")))</f>
        <v/>
      </c>
      <c r="U588" s="24" t="str">
        <f aca="false">IF(AND(C588="Own",Q588="Active"),COUNTIFS($C$5:C588,"Own",$Q$5:Q588,"Active"),"")</f>
        <v/>
      </c>
      <c r="V588" s="26" t="str">
        <f aca="false">IF(C588&lt;&gt;"Own","",IF(K588="Hourly",N588,(L588+M588)/(Settings!$B$11*Settings!$B$12)))</f>
        <v/>
      </c>
    </row>
    <row r="589" customFormat="false" ht="15" hidden="false" customHeight="false" outlineLevel="0" collapsed="false">
      <c r="R589" s="25" t="str">
        <f aca="true">IF(I589="","",I589-TODAY())</f>
        <v/>
      </c>
      <c r="S589" s="25" t="str">
        <f aca="true">IF(J589="","",J589-TODAY())</f>
        <v/>
      </c>
      <c r="T589" s="24" t="str">
        <f aca="false">IF(A589="","",IF(OR(AND(R589&lt;&gt;"",R589&lt;0),AND(S589&lt;&gt;"",S589&lt;0)),"EXPIRED",IF(OR(AND(R589&lt;&gt;"",R589&lt;=Settings!$B$15),AND(S589&lt;&gt;"",S589&lt;=Settings!$B$15)),"EXPIRING SOON","OK")))</f>
        <v/>
      </c>
      <c r="U589" s="24" t="str">
        <f aca="false">IF(AND(C589="Own",Q589="Active"),COUNTIFS($C$5:C589,"Own",$Q$5:Q589,"Active"),"")</f>
        <v/>
      </c>
      <c r="V589" s="26" t="str">
        <f aca="false">IF(C589&lt;&gt;"Own","",IF(K589="Hourly",N589,(L589+M589)/(Settings!$B$11*Settings!$B$12)))</f>
        <v/>
      </c>
    </row>
    <row r="590" customFormat="false" ht="15" hidden="false" customHeight="false" outlineLevel="0" collapsed="false">
      <c r="R590" s="25" t="str">
        <f aca="true">IF(I590="","",I590-TODAY())</f>
        <v/>
      </c>
      <c r="S590" s="25" t="str">
        <f aca="true">IF(J590="","",J590-TODAY())</f>
        <v/>
      </c>
      <c r="T590" s="24" t="str">
        <f aca="false">IF(A590="","",IF(OR(AND(R590&lt;&gt;"",R590&lt;0),AND(S590&lt;&gt;"",S590&lt;0)),"EXPIRED",IF(OR(AND(R590&lt;&gt;"",R590&lt;=Settings!$B$15),AND(S590&lt;&gt;"",S590&lt;=Settings!$B$15)),"EXPIRING SOON","OK")))</f>
        <v/>
      </c>
      <c r="U590" s="24" t="str">
        <f aca="false">IF(AND(C590="Own",Q590="Active"),COUNTIFS($C$5:C590,"Own",$Q$5:Q590,"Active"),"")</f>
        <v/>
      </c>
      <c r="V590" s="26" t="str">
        <f aca="false">IF(C590&lt;&gt;"Own","",IF(K590="Hourly",N590,(L590+M590)/(Settings!$B$11*Settings!$B$12)))</f>
        <v/>
      </c>
    </row>
    <row r="591" customFormat="false" ht="15" hidden="false" customHeight="false" outlineLevel="0" collapsed="false">
      <c r="R591" s="25" t="str">
        <f aca="true">IF(I591="","",I591-TODAY())</f>
        <v/>
      </c>
      <c r="S591" s="25" t="str">
        <f aca="true">IF(J591="","",J591-TODAY())</f>
        <v/>
      </c>
      <c r="T591" s="24" t="str">
        <f aca="false">IF(A591="","",IF(OR(AND(R591&lt;&gt;"",R591&lt;0),AND(S591&lt;&gt;"",S591&lt;0)),"EXPIRED",IF(OR(AND(R591&lt;&gt;"",R591&lt;=Settings!$B$15),AND(S591&lt;&gt;"",S591&lt;=Settings!$B$15)),"EXPIRING SOON","OK")))</f>
        <v/>
      </c>
      <c r="U591" s="24" t="str">
        <f aca="false">IF(AND(C591="Own",Q591="Active"),COUNTIFS($C$5:C591,"Own",$Q$5:Q591,"Active"),"")</f>
        <v/>
      </c>
      <c r="V591" s="26" t="str">
        <f aca="false">IF(C591&lt;&gt;"Own","",IF(K591="Hourly",N591,(L591+M591)/(Settings!$B$11*Settings!$B$12)))</f>
        <v/>
      </c>
    </row>
    <row r="592" customFormat="false" ht="15" hidden="false" customHeight="false" outlineLevel="0" collapsed="false">
      <c r="R592" s="25" t="str">
        <f aca="true">IF(I592="","",I592-TODAY())</f>
        <v/>
      </c>
      <c r="S592" s="25" t="str">
        <f aca="true">IF(J592="","",J592-TODAY())</f>
        <v/>
      </c>
      <c r="T592" s="24" t="str">
        <f aca="false">IF(A592="","",IF(OR(AND(R592&lt;&gt;"",R592&lt;0),AND(S592&lt;&gt;"",S592&lt;0)),"EXPIRED",IF(OR(AND(R592&lt;&gt;"",R592&lt;=Settings!$B$15),AND(S592&lt;&gt;"",S592&lt;=Settings!$B$15)),"EXPIRING SOON","OK")))</f>
        <v/>
      </c>
      <c r="U592" s="24" t="str">
        <f aca="false">IF(AND(C592="Own",Q592="Active"),COUNTIFS($C$5:C592,"Own",$Q$5:Q592,"Active"),"")</f>
        <v/>
      </c>
      <c r="V592" s="26" t="str">
        <f aca="false">IF(C592&lt;&gt;"Own","",IF(K592="Hourly",N592,(L592+M592)/(Settings!$B$11*Settings!$B$12)))</f>
        <v/>
      </c>
    </row>
    <row r="593" customFormat="false" ht="15" hidden="false" customHeight="false" outlineLevel="0" collapsed="false">
      <c r="R593" s="25" t="str">
        <f aca="true">IF(I593="","",I593-TODAY())</f>
        <v/>
      </c>
      <c r="S593" s="25" t="str">
        <f aca="true">IF(J593="","",J593-TODAY())</f>
        <v/>
      </c>
      <c r="T593" s="24" t="str">
        <f aca="false">IF(A593="","",IF(OR(AND(R593&lt;&gt;"",R593&lt;0),AND(S593&lt;&gt;"",S593&lt;0)),"EXPIRED",IF(OR(AND(R593&lt;&gt;"",R593&lt;=Settings!$B$15),AND(S593&lt;&gt;"",S593&lt;=Settings!$B$15)),"EXPIRING SOON","OK")))</f>
        <v/>
      </c>
      <c r="U593" s="24" t="str">
        <f aca="false">IF(AND(C593="Own",Q593="Active"),COUNTIFS($C$5:C593,"Own",$Q$5:Q593,"Active"),"")</f>
        <v/>
      </c>
      <c r="V593" s="26" t="str">
        <f aca="false">IF(C593&lt;&gt;"Own","",IF(K593="Hourly",N593,(L593+M593)/(Settings!$B$11*Settings!$B$12)))</f>
        <v/>
      </c>
    </row>
    <row r="594" customFormat="false" ht="15" hidden="false" customHeight="false" outlineLevel="0" collapsed="false">
      <c r="R594" s="25" t="str">
        <f aca="true">IF(I594="","",I594-TODAY())</f>
        <v/>
      </c>
      <c r="S594" s="25" t="str">
        <f aca="true">IF(J594="","",J594-TODAY())</f>
        <v/>
      </c>
      <c r="T594" s="24" t="str">
        <f aca="false">IF(A594="","",IF(OR(AND(R594&lt;&gt;"",R594&lt;0),AND(S594&lt;&gt;"",S594&lt;0)),"EXPIRED",IF(OR(AND(R594&lt;&gt;"",R594&lt;=Settings!$B$15),AND(S594&lt;&gt;"",S594&lt;=Settings!$B$15)),"EXPIRING SOON","OK")))</f>
        <v/>
      </c>
      <c r="U594" s="24" t="str">
        <f aca="false">IF(AND(C594="Own",Q594="Active"),COUNTIFS($C$5:C594,"Own",$Q$5:Q594,"Active"),"")</f>
        <v/>
      </c>
      <c r="V594" s="26" t="str">
        <f aca="false">IF(C594&lt;&gt;"Own","",IF(K594="Hourly",N594,(L594+M594)/(Settings!$B$11*Settings!$B$12)))</f>
        <v/>
      </c>
    </row>
    <row r="595" customFormat="false" ht="15" hidden="false" customHeight="false" outlineLevel="0" collapsed="false">
      <c r="R595" s="25" t="str">
        <f aca="true">IF(I595="","",I595-TODAY())</f>
        <v/>
      </c>
      <c r="S595" s="25" t="str">
        <f aca="true">IF(J595="","",J595-TODAY())</f>
        <v/>
      </c>
      <c r="T595" s="24" t="str">
        <f aca="false">IF(A595="","",IF(OR(AND(R595&lt;&gt;"",R595&lt;0),AND(S595&lt;&gt;"",S595&lt;0)),"EXPIRED",IF(OR(AND(R595&lt;&gt;"",R595&lt;=Settings!$B$15),AND(S595&lt;&gt;"",S595&lt;=Settings!$B$15)),"EXPIRING SOON","OK")))</f>
        <v/>
      </c>
      <c r="U595" s="24" t="str">
        <f aca="false">IF(AND(C595="Own",Q595="Active"),COUNTIFS($C$5:C595,"Own",$Q$5:Q595,"Active"),"")</f>
        <v/>
      </c>
      <c r="V595" s="26" t="str">
        <f aca="false">IF(C595&lt;&gt;"Own","",IF(K595="Hourly",N595,(L595+M595)/(Settings!$B$11*Settings!$B$12)))</f>
        <v/>
      </c>
    </row>
    <row r="596" customFormat="false" ht="15" hidden="false" customHeight="false" outlineLevel="0" collapsed="false">
      <c r="R596" s="25" t="str">
        <f aca="true">IF(I596="","",I596-TODAY())</f>
        <v/>
      </c>
      <c r="S596" s="25" t="str">
        <f aca="true">IF(J596="","",J596-TODAY())</f>
        <v/>
      </c>
      <c r="T596" s="24" t="str">
        <f aca="false">IF(A596="","",IF(OR(AND(R596&lt;&gt;"",R596&lt;0),AND(S596&lt;&gt;"",S596&lt;0)),"EXPIRED",IF(OR(AND(R596&lt;&gt;"",R596&lt;=Settings!$B$15),AND(S596&lt;&gt;"",S596&lt;=Settings!$B$15)),"EXPIRING SOON","OK")))</f>
        <v/>
      </c>
      <c r="U596" s="24" t="str">
        <f aca="false">IF(AND(C596="Own",Q596="Active"),COUNTIFS($C$5:C596,"Own",$Q$5:Q596,"Active"),"")</f>
        <v/>
      </c>
      <c r="V596" s="26" t="str">
        <f aca="false">IF(C596&lt;&gt;"Own","",IF(K596="Hourly",N596,(L596+M596)/(Settings!$B$11*Settings!$B$12)))</f>
        <v/>
      </c>
    </row>
    <row r="597" customFormat="false" ht="15" hidden="false" customHeight="false" outlineLevel="0" collapsed="false">
      <c r="R597" s="25" t="str">
        <f aca="true">IF(I597="","",I597-TODAY())</f>
        <v/>
      </c>
      <c r="S597" s="25" t="str">
        <f aca="true">IF(J597="","",J597-TODAY())</f>
        <v/>
      </c>
      <c r="T597" s="24" t="str">
        <f aca="false">IF(A597="","",IF(OR(AND(R597&lt;&gt;"",R597&lt;0),AND(S597&lt;&gt;"",S597&lt;0)),"EXPIRED",IF(OR(AND(R597&lt;&gt;"",R597&lt;=Settings!$B$15),AND(S597&lt;&gt;"",S597&lt;=Settings!$B$15)),"EXPIRING SOON","OK")))</f>
        <v/>
      </c>
      <c r="U597" s="24" t="str">
        <f aca="false">IF(AND(C597="Own",Q597="Active"),COUNTIFS($C$5:C597,"Own",$Q$5:Q597,"Active"),"")</f>
        <v/>
      </c>
      <c r="V597" s="26" t="str">
        <f aca="false">IF(C597&lt;&gt;"Own","",IF(K597="Hourly",N597,(L597+M597)/(Settings!$B$11*Settings!$B$12)))</f>
        <v/>
      </c>
    </row>
    <row r="598" customFormat="false" ht="15" hidden="false" customHeight="false" outlineLevel="0" collapsed="false">
      <c r="R598" s="25" t="str">
        <f aca="true">IF(I598="","",I598-TODAY())</f>
        <v/>
      </c>
      <c r="S598" s="25" t="str">
        <f aca="true">IF(J598="","",J598-TODAY())</f>
        <v/>
      </c>
      <c r="T598" s="24" t="str">
        <f aca="false">IF(A598="","",IF(OR(AND(R598&lt;&gt;"",R598&lt;0),AND(S598&lt;&gt;"",S598&lt;0)),"EXPIRED",IF(OR(AND(R598&lt;&gt;"",R598&lt;=Settings!$B$15),AND(S598&lt;&gt;"",S598&lt;=Settings!$B$15)),"EXPIRING SOON","OK")))</f>
        <v/>
      </c>
      <c r="U598" s="24" t="str">
        <f aca="false">IF(AND(C598="Own",Q598="Active"),COUNTIFS($C$5:C598,"Own",$Q$5:Q598,"Active"),"")</f>
        <v/>
      </c>
      <c r="V598" s="26" t="str">
        <f aca="false">IF(C598&lt;&gt;"Own","",IF(K598="Hourly",N598,(L598+M598)/(Settings!$B$11*Settings!$B$12)))</f>
        <v/>
      </c>
    </row>
    <row r="599" customFormat="false" ht="15" hidden="false" customHeight="false" outlineLevel="0" collapsed="false">
      <c r="R599" s="25" t="str">
        <f aca="true">IF(I599="","",I599-TODAY())</f>
        <v/>
      </c>
      <c r="S599" s="25" t="str">
        <f aca="true">IF(J599="","",J599-TODAY())</f>
        <v/>
      </c>
      <c r="T599" s="24" t="str">
        <f aca="false">IF(A599="","",IF(OR(AND(R599&lt;&gt;"",R599&lt;0),AND(S599&lt;&gt;"",S599&lt;0)),"EXPIRED",IF(OR(AND(R599&lt;&gt;"",R599&lt;=Settings!$B$15),AND(S599&lt;&gt;"",S599&lt;=Settings!$B$15)),"EXPIRING SOON","OK")))</f>
        <v/>
      </c>
      <c r="U599" s="24" t="str">
        <f aca="false">IF(AND(C599="Own",Q599="Active"),COUNTIFS($C$5:C599,"Own",$Q$5:Q599,"Active"),"")</f>
        <v/>
      </c>
      <c r="V599" s="26" t="str">
        <f aca="false">IF(C599&lt;&gt;"Own","",IF(K599="Hourly",N599,(L599+M599)/(Settings!$B$11*Settings!$B$12)))</f>
        <v/>
      </c>
    </row>
    <row r="600" customFormat="false" ht="15" hidden="false" customHeight="false" outlineLevel="0" collapsed="false">
      <c r="R600" s="25" t="str">
        <f aca="true">IF(I600="","",I600-TODAY())</f>
        <v/>
      </c>
      <c r="S600" s="25" t="str">
        <f aca="true">IF(J600="","",J600-TODAY())</f>
        <v/>
      </c>
      <c r="T600" s="24" t="str">
        <f aca="false">IF(A600="","",IF(OR(AND(R600&lt;&gt;"",R600&lt;0),AND(S600&lt;&gt;"",S600&lt;0)),"EXPIRED",IF(OR(AND(R600&lt;&gt;"",R600&lt;=Settings!$B$15),AND(S600&lt;&gt;"",S600&lt;=Settings!$B$15)),"EXPIRING SOON","OK")))</f>
        <v/>
      </c>
      <c r="U600" s="24" t="str">
        <f aca="false">IF(AND(C600="Own",Q600="Active"),COUNTIFS($C$5:C600,"Own",$Q$5:Q600,"Active"),"")</f>
        <v/>
      </c>
      <c r="V600" s="26" t="str">
        <f aca="false">IF(C600&lt;&gt;"Own","",IF(K600="Hourly",N600,(L600+M600)/(Settings!$B$11*Settings!$B$12)))</f>
        <v/>
      </c>
    </row>
    <row r="601" customFormat="false" ht="15" hidden="false" customHeight="false" outlineLevel="0" collapsed="false">
      <c r="R601" s="25" t="str">
        <f aca="true">IF(I601="","",I601-TODAY())</f>
        <v/>
      </c>
      <c r="S601" s="25" t="str">
        <f aca="true">IF(J601="","",J601-TODAY())</f>
        <v/>
      </c>
      <c r="T601" s="24" t="str">
        <f aca="false">IF(A601="","",IF(OR(AND(R601&lt;&gt;"",R601&lt;0),AND(S601&lt;&gt;"",S601&lt;0)),"EXPIRED",IF(OR(AND(R601&lt;&gt;"",R601&lt;=Settings!$B$15),AND(S601&lt;&gt;"",S601&lt;=Settings!$B$15)),"EXPIRING SOON","OK")))</f>
        <v/>
      </c>
      <c r="U601" s="24" t="str">
        <f aca="false">IF(AND(C601="Own",Q601="Active"),COUNTIFS($C$5:C601,"Own",$Q$5:Q601,"Active"),"")</f>
        <v/>
      </c>
      <c r="V601" s="26" t="str">
        <f aca="false">IF(C601&lt;&gt;"Own","",IF(K601="Hourly",N601,(L601+M601)/(Settings!$B$11*Settings!$B$12)))</f>
        <v/>
      </c>
    </row>
    <row r="602" customFormat="false" ht="15" hidden="false" customHeight="false" outlineLevel="0" collapsed="false">
      <c r="R602" s="25" t="str">
        <f aca="true">IF(I602="","",I602-TODAY())</f>
        <v/>
      </c>
      <c r="S602" s="25" t="str">
        <f aca="true">IF(J602="","",J602-TODAY())</f>
        <v/>
      </c>
      <c r="T602" s="24" t="str">
        <f aca="false">IF(A602="","",IF(OR(AND(R602&lt;&gt;"",R602&lt;0),AND(S602&lt;&gt;"",S602&lt;0)),"EXPIRED",IF(OR(AND(R602&lt;&gt;"",R602&lt;=Settings!$B$15),AND(S602&lt;&gt;"",S602&lt;=Settings!$B$15)),"EXPIRING SOON","OK")))</f>
        <v/>
      </c>
      <c r="U602" s="24" t="str">
        <f aca="false">IF(AND(C602="Own",Q602="Active"),COUNTIFS($C$5:C602,"Own",$Q$5:Q602,"Active"),"")</f>
        <v/>
      </c>
      <c r="V602" s="26" t="str">
        <f aca="false">IF(C602&lt;&gt;"Own","",IF(K602="Hourly",N602,(L602+M602)/(Settings!$B$11*Settings!$B$12)))</f>
        <v/>
      </c>
    </row>
    <row r="603" customFormat="false" ht="15" hidden="false" customHeight="false" outlineLevel="0" collapsed="false">
      <c r="R603" s="25" t="str">
        <f aca="true">IF(I603="","",I603-TODAY())</f>
        <v/>
      </c>
      <c r="S603" s="25" t="str">
        <f aca="true">IF(J603="","",J603-TODAY())</f>
        <v/>
      </c>
      <c r="T603" s="24" t="str">
        <f aca="false">IF(A603="","",IF(OR(AND(R603&lt;&gt;"",R603&lt;0),AND(S603&lt;&gt;"",S603&lt;0)),"EXPIRED",IF(OR(AND(R603&lt;&gt;"",R603&lt;=Settings!$B$15),AND(S603&lt;&gt;"",S603&lt;=Settings!$B$15)),"EXPIRING SOON","OK")))</f>
        <v/>
      </c>
      <c r="U603" s="24" t="str">
        <f aca="false">IF(AND(C603="Own",Q603="Active"),COUNTIFS($C$5:C603,"Own",$Q$5:Q603,"Active"),"")</f>
        <v/>
      </c>
      <c r="V603" s="26" t="str">
        <f aca="false">IF(C603&lt;&gt;"Own","",IF(K603="Hourly",N603,(L603+M603)/(Settings!$B$11*Settings!$B$12)))</f>
        <v/>
      </c>
    </row>
    <row r="604" customFormat="false" ht="15" hidden="false" customHeight="false" outlineLevel="0" collapsed="false">
      <c r="R604" s="25" t="str">
        <f aca="true">IF(I604="","",I604-TODAY())</f>
        <v/>
      </c>
      <c r="S604" s="25" t="str">
        <f aca="true">IF(J604="","",J604-TODAY())</f>
        <v/>
      </c>
      <c r="T604" s="24" t="str">
        <f aca="false">IF(A604="","",IF(OR(AND(R604&lt;&gt;"",R604&lt;0),AND(S604&lt;&gt;"",S604&lt;0)),"EXPIRED",IF(OR(AND(R604&lt;&gt;"",R604&lt;=Settings!$B$15),AND(S604&lt;&gt;"",S604&lt;=Settings!$B$15)),"EXPIRING SOON","OK")))</f>
        <v/>
      </c>
      <c r="U604" s="24" t="str">
        <f aca="false">IF(AND(C604="Own",Q604="Active"),COUNTIFS($C$5:C604,"Own",$Q$5:Q604,"Active"),"")</f>
        <v/>
      </c>
      <c r="V604" s="26" t="str">
        <f aca="false">IF(C604&lt;&gt;"Own","",IF(K604="Hourly",N604,(L604+M604)/(Settings!$B$11*Settings!$B$12)))</f>
        <v/>
      </c>
    </row>
    <row r="605" customFormat="false" ht="15" hidden="false" customHeight="false" outlineLevel="0" collapsed="false">
      <c r="R605" s="25" t="str">
        <f aca="true">IF(I605="","",I605-TODAY())</f>
        <v/>
      </c>
      <c r="S605" s="25" t="str">
        <f aca="true">IF(J605="","",J605-TODAY())</f>
        <v/>
      </c>
      <c r="T605" s="24" t="str">
        <f aca="false">IF(A605="","",IF(OR(AND(R605&lt;&gt;"",R605&lt;0),AND(S605&lt;&gt;"",S605&lt;0)),"EXPIRED",IF(OR(AND(R605&lt;&gt;"",R605&lt;=Settings!$B$15),AND(S605&lt;&gt;"",S605&lt;=Settings!$B$15)),"EXPIRING SOON","OK")))</f>
        <v/>
      </c>
      <c r="U605" s="24" t="str">
        <f aca="false">IF(AND(C605="Own",Q605="Active"),COUNTIFS($C$5:C605,"Own",$Q$5:Q605,"Active"),"")</f>
        <v/>
      </c>
      <c r="V605" s="26" t="str">
        <f aca="false">IF(C605&lt;&gt;"Own","",IF(K605="Hourly",N605,(L605+M605)/(Settings!$B$11*Settings!$B$12)))</f>
        <v/>
      </c>
    </row>
    <row r="606" customFormat="false" ht="15" hidden="false" customHeight="false" outlineLevel="0" collapsed="false">
      <c r="R606" s="25" t="str">
        <f aca="true">IF(I606="","",I606-TODAY())</f>
        <v/>
      </c>
      <c r="S606" s="25" t="str">
        <f aca="true">IF(J606="","",J606-TODAY())</f>
        <v/>
      </c>
      <c r="T606" s="24" t="str">
        <f aca="false">IF(A606="","",IF(OR(AND(R606&lt;&gt;"",R606&lt;0),AND(S606&lt;&gt;"",S606&lt;0)),"EXPIRED",IF(OR(AND(R606&lt;&gt;"",R606&lt;=Settings!$B$15),AND(S606&lt;&gt;"",S606&lt;=Settings!$B$15)),"EXPIRING SOON","OK")))</f>
        <v/>
      </c>
      <c r="U606" s="24" t="str">
        <f aca="false">IF(AND(C606="Own",Q606="Active"),COUNTIFS($C$5:C606,"Own",$Q$5:Q606,"Active"),"")</f>
        <v/>
      </c>
      <c r="V606" s="26" t="str">
        <f aca="false">IF(C606&lt;&gt;"Own","",IF(K606="Hourly",N606,(L606+M606)/(Settings!$B$11*Settings!$B$12)))</f>
        <v/>
      </c>
    </row>
    <row r="607" customFormat="false" ht="15" hidden="false" customHeight="false" outlineLevel="0" collapsed="false">
      <c r="R607" s="25" t="str">
        <f aca="true">IF(I607="","",I607-TODAY())</f>
        <v/>
      </c>
      <c r="S607" s="25" t="str">
        <f aca="true">IF(J607="","",J607-TODAY())</f>
        <v/>
      </c>
      <c r="T607" s="24" t="str">
        <f aca="false">IF(A607="","",IF(OR(AND(R607&lt;&gt;"",R607&lt;0),AND(S607&lt;&gt;"",S607&lt;0)),"EXPIRED",IF(OR(AND(R607&lt;&gt;"",R607&lt;=Settings!$B$15),AND(S607&lt;&gt;"",S607&lt;=Settings!$B$15)),"EXPIRING SOON","OK")))</f>
        <v/>
      </c>
      <c r="U607" s="24" t="str">
        <f aca="false">IF(AND(C607="Own",Q607="Active"),COUNTIFS($C$5:C607,"Own",$Q$5:Q607,"Active"),"")</f>
        <v/>
      </c>
      <c r="V607" s="26" t="str">
        <f aca="false">IF(C607&lt;&gt;"Own","",IF(K607="Hourly",N607,(L607+M607)/(Settings!$B$11*Settings!$B$12)))</f>
        <v/>
      </c>
    </row>
    <row r="608" customFormat="false" ht="15" hidden="false" customHeight="false" outlineLevel="0" collapsed="false">
      <c r="R608" s="25" t="str">
        <f aca="true">IF(I608="","",I608-TODAY())</f>
        <v/>
      </c>
      <c r="S608" s="25" t="str">
        <f aca="true">IF(J608="","",J608-TODAY())</f>
        <v/>
      </c>
      <c r="T608" s="24" t="str">
        <f aca="false">IF(A608="","",IF(OR(AND(R608&lt;&gt;"",R608&lt;0),AND(S608&lt;&gt;"",S608&lt;0)),"EXPIRED",IF(OR(AND(R608&lt;&gt;"",R608&lt;=Settings!$B$15),AND(S608&lt;&gt;"",S608&lt;=Settings!$B$15)),"EXPIRING SOON","OK")))</f>
        <v/>
      </c>
      <c r="U608" s="24" t="str">
        <f aca="false">IF(AND(C608="Own",Q608="Active"),COUNTIFS($C$5:C608,"Own",$Q$5:Q608,"Active"),"")</f>
        <v/>
      </c>
      <c r="V608" s="26" t="str">
        <f aca="false">IF(C608&lt;&gt;"Own","",IF(K608="Hourly",N608,(L608+M608)/(Settings!$B$11*Settings!$B$12)))</f>
        <v/>
      </c>
    </row>
    <row r="609" customFormat="false" ht="15" hidden="false" customHeight="false" outlineLevel="0" collapsed="false">
      <c r="R609" s="25" t="str">
        <f aca="true">IF(I609="","",I609-TODAY())</f>
        <v/>
      </c>
      <c r="S609" s="25" t="str">
        <f aca="true">IF(J609="","",J609-TODAY())</f>
        <v/>
      </c>
      <c r="T609" s="24" t="str">
        <f aca="false">IF(A609="","",IF(OR(AND(R609&lt;&gt;"",R609&lt;0),AND(S609&lt;&gt;"",S609&lt;0)),"EXPIRED",IF(OR(AND(R609&lt;&gt;"",R609&lt;=Settings!$B$15),AND(S609&lt;&gt;"",S609&lt;=Settings!$B$15)),"EXPIRING SOON","OK")))</f>
        <v/>
      </c>
      <c r="U609" s="24" t="str">
        <f aca="false">IF(AND(C609="Own",Q609="Active"),COUNTIFS($C$5:C609,"Own",$Q$5:Q609,"Active"),"")</f>
        <v/>
      </c>
      <c r="V609" s="26" t="str">
        <f aca="false">IF(C609&lt;&gt;"Own","",IF(K609="Hourly",N609,(L609+M609)/(Settings!$B$11*Settings!$B$12)))</f>
        <v/>
      </c>
    </row>
    <row r="610" customFormat="false" ht="15" hidden="false" customHeight="false" outlineLevel="0" collapsed="false">
      <c r="R610" s="25" t="str">
        <f aca="true">IF(I610="","",I610-TODAY())</f>
        <v/>
      </c>
      <c r="S610" s="25" t="str">
        <f aca="true">IF(J610="","",J610-TODAY())</f>
        <v/>
      </c>
      <c r="T610" s="24" t="str">
        <f aca="false">IF(A610="","",IF(OR(AND(R610&lt;&gt;"",R610&lt;0),AND(S610&lt;&gt;"",S610&lt;0)),"EXPIRED",IF(OR(AND(R610&lt;&gt;"",R610&lt;=Settings!$B$15),AND(S610&lt;&gt;"",S610&lt;=Settings!$B$15)),"EXPIRING SOON","OK")))</f>
        <v/>
      </c>
      <c r="U610" s="24" t="str">
        <f aca="false">IF(AND(C610="Own",Q610="Active"),COUNTIFS($C$5:C610,"Own",$Q$5:Q610,"Active"),"")</f>
        <v/>
      </c>
      <c r="V610" s="26" t="str">
        <f aca="false">IF(C610&lt;&gt;"Own","",IF(K610="Hourly",N610,(L610+M610)/(Settings!$B$11*Settings!$B$12)))</f>
        <v/>
      </c>
    </row>
    <row r="611" customFormat="false" ht="15" hidden="false" customHeight="false" outlineLevel="0" collapsed="false">
      <c r="R611" s="25" t="str">
        <f aca="true">IF(I611="","",I611-TODAY())</f>
        <v/>
      </c>
      <c r="S611" s="25" t="str">
        <f aca="true">IF(J611="","",J611-TODAY())</f>
        <v/>
      </c>
      <c r="T611" s="24" t="str">
        <f aca="false">IF(A611="","",IF(OR(AND(R611&lt;&gt;"",R611&lt;0),AND(S611&lt;&gt;"",S611&lt;0)),"EXPIRED",IF(OR(AND(R611&lt;&gt;"",R611&lt;=Settings!$B$15),AND(S611&lt;&gt;"",S611&lt;=Settings!$B$15)),"EXPIRING SOON","OK")))</f>
        <v/>
      </c>
      <c r="U611" s="24" t="str">
        <f aca="false">IF(AND(C611="Own",Q611="Active"),COUNTIFS($C$5:C611,"Own",$Q$5:Q611,"Active"),"")</f>
        <v/>
      </c>
      <c r="V611" s="26" t="str">
        <f aca="false">IF(C611&lt;&gt;"Own","",IF(K611="Hourly",N611,(L611+M611)/(Settings!$B$11*Settings!$B$12)))</f>
        <v/>
      </c>
    </row>
    <row r="612" customFormat="false" ht="15" hidden="false" customHeight="false" outlineLevel="0" collapsed="false">
      <c r="R612" s="25" t="str">
        <f aca="true">IF(I612="","",I612-TODAY())</f>
        <v/>
      </c>
      <c r="S612" s="25" t="str">
        <f aca="true">IF(J612="","",J612-TODAY())</f>
        <v/>
      </c>
      <c r="T612" s="24" t="str">
        <f aca="false">IF(A612="","",IF(OR(AND(R612&lt;&gt;"",R612&lt;0),AND(S612&lt;&gt;"",S612&lt;0)),"EXPIRED",IF(OR(AND(R612&lt;&gt;"",R612&lt;=Settings!$B$15),AND(S612&lt;&gt;"",S612&lt;=Settings!$B$15)),"EXPIRING SOON","OK")))</f>
        <v/>
      </c>
      <c r="U612" s="24" t="str">
        <f aca="false">IF(AND(C612="Own",Q612="Active"),COUNTIFS($C$5:C612,"Own",$Q$5:Q612,"Active"),"")</f>
        <v/>
      </c>
      <c r="V612" s="26" t="str">
        <f aca="false">IF(C612&lt;&gt;"Own","",IF(K612="Hourly",N612,(L612+M612)/(Settings!$B$11*Settings!$B$12)))</f>
        <v/>
      </c>
    </row>
    <row r="613" customFormat="false" ht="15" hidden="false" customHeight="false" outlineLevel="0" collapsed="false">
      <c r="R613" s="25" t="str">
        <f aca="true">IF(I613="","",I613-TODAY())</f>
        <v/>
      </c>
      <c r="S613" s="25" t="str">
        <f aca="true">IF(J613="","",J613-TODAY())</f>
        <v/>
      </c>
      <c r="T613" s="24" t="str">
        <f aca="false">IF(A613="","",IF(OR(AND(R613&lt;&gt;"",R613&lt;0),AND(S613&lt;&gt;"",S613&lt;0)),"EXPIRED",IF(OR(AND(R613&lt;&gt;"",R613&lt;=Settings!$B$15),AND(S613&lt;&gt;"",S613&lt;=Settings!$B$15)),"EXPIRING SOON","OK")))</f>
        <v/>
      </c>
      <c r="U613" s="24" t="str">
        <f aca="false">IF(AND(C613="Own",Q613="Active"),COUNTIFS($C$5:C613,"Own",$Q$5:Q613,"Active"),"")</f>
        <v/>
      </c>
      <c r="V613" s="26" t="str">
        <f aca="false">IF(C613&lt;&gt;"Own","",IF(K613="Hourly",N613,(L613+M613)/(Settings!$B$11*Settings!$B$12)))</f>
        <v/>
      </c>
    </row>
    <row r="614" customFormat="false" ht="15" hidden="false" customHeight="false" outlineLevel="0" collapsed="false">
      <c r="R614" s="25" t="str">
        <f aca="true">IF(I614="","",I614-TODAY())</f>
        <v/>
      </c>
      <c r="S614" s="25" t="str">
        <f aca="true">IF(J614="","",J614-TODAY())</f>
        <v/>
      </c>
      <c r="T614" s="24" t="str">
        <f aca="false">IF(A614="","",IF(OR(AND(R614&lt;&gt;"",R614&lt;0),AND(S614&lt;&gt;"",S614&lt;0)),"EXPIRED",IF(OR(AND(R614&lt;&gt;"",R614&lt;=Settings!$B$15),AND(S614&lt;&gt;"",S614&lt;=Settings!$B$15)),"EXPIRING SOON","OK")))</f>
        <v/>
      </c>
      <c r="U614" s="24" t="str">
        <f aca="false">IF(AND(C614="Own",Q614="Active"),COUNTIFS($C$5:C614,"Own",$Q$5:Q614,"Active"),"")</f>
        <v/>
      </c>
      <c r="V614" s="26" t="str">
        <f aca="false">IF(C614&lt;&gt;"Own","",IF(K614="Hourly",N614,(L614+M614)/(Settings!$B$11*Settings!$B$12)))</f>
        <v/>
      </c>
    </row>
    <row r="615" customFormat="false" ht="15" hidden="false" customHeight="false" outlineLevel="0" collapsed="false">
      <c r="R615" s="25" t="str">
        <f aca="true">IF(I615="","",I615-TODAY())</f>
        <v/>
      </c>
      <c r="S615" s="25" t="str">
        <f aca="true">IF(J615="","",J615-TODAY())</f>
        <v/>
      </c>
      <c r="T615" s="24" t="str">
        <f aca="false">IF(A615="","",IF(OR(AND(R615&lt;&gt;"",R615&lt;0),AND(S615&lt;&gt;"",S615&lt;0)),"EXPIRED",IF(OR(AND(R615&lt;&gt;"",R615&lt;=Settings!$B$15),AND(S615&lt;&gt;"",S615&lt;=Settings!$B$15)),"EXPIRING SOON","OK")))</f>
        <v/>
      </c>
      <c r="U615" s="24" t="str">
        <f aca="false">IF(AND(C615="Own",Q615="Active"),COUNTIFS($C$5:C615,"Own",$Q$5:Q615,"Active"),"")</f>
        <v/>
      </c>
      <c r="V615" s="26" t="str">
        <f aca="false">IF(C615&lt;&gt;"Own","",IF(K615="Hourly",N615,(L615+M615)/(Settings!$B$11*Settings!$B$12)))</f>
        <v/>
      </c>
    </row>
    <row r="616" customFormat="false" ht="15" hidden="false" customHeight="false" outlineLevel="0" collapsed="false">
      <c r="R616" s="25" t="str">
        <f aca="true">IF(I616="","",I616-TODAY())</f>
        <v/>
      </c>
      <c r="S616" s="25" t="str">
        <f aca="true">IF(J616="","",J616-TODAY())</f>
        <v/>
      </c>
      <c r="T616" s="24" t="str">
        <f aca="false">IF(A616="","",IF(OR(AND(R616&lt;&gt;"",R616&lt;0),AND(S616&lt;&gt;"",S616&lt;0)),"EXPIRED",IF(OR(AND(R616&lt;&gt;"",R616&lt;=Settings!$B$15),AND(S616&lt;&gt;"",S616&lt;=Settings!$B$15)),"EXPIRING SOON","OK")))</f>
        <v/>
      </c>
      <c r="U616" s="24" t="str">
        <f aca="false">IF(AND(C616="Own",Q616="Active"),COUNTIFS($C$5:C616,"Own",$Q$5:Q616,"Active"),"")</f>
        <v/>
      </c>
      <c r="V616" s="26" t="str">
        <f aca="false">IF(C616&lt;&gt;"Own","",IF(K616="Hourly",N616,(L616+M616)/(Settings!$B$11*Settings!$B$12)))</f>
        <v/>
      </c>
    </row>
    <row r="617" customFormat="false" ht="15" hidden="false" customHeight="false" outlineLevel="0" collapsed="false">
      <c r="R617" s="25" t="str">
        <f aca="true">IF(I617="","",I617-TODAY())</f>
        <v/>
      </c>
      <c r="S617" s="25" t="str">
        <f aca="true">IF(J617="","",J617-TODAY())</f>
        <v/>
      </c>
      <c r="T617" s="24" t="str">
        <f aca="false">IF(A617="","",IF(OR(AND(R617&lt;&gt;"",R617&lt;0),AND(S617&lt;&gt;"",S617&lt;0)),"EXPIRED",IF(OR(AND(R617&lt;&gt;"",R617&lt;=Settings!$B$15),AND(S617&lt;&gt;"",S617&lt;=Settings!$B$15)),"EXPIRING SOON","OK")))</f>
        <v/>
      </c>
      <c r="U617" s="24" t="str">
        <f aca="false">IF(AND(C617="Own",Q617="Active"),COUNTIFS($C$5:C617,"Own",$Q$5:Q617,"Active"),"")</f>
        <v/>
      </c>
      <c r="V617" s="26" t="str">
        <f aca="false">IF(C617&lt;&gt;"Own","",IF(K617="Hourly",N617,(L617+M617)/(Settings!$B$11*Settings!$B$12)))</f>
        <v/>
      </c>
    </row>
    <row r="618" customFormat="false" ht="15" hidden="false" customHeight="false" outlineLevel="0" collapsed="false">
      <c r="R618" s="25" t="str">
        <f aca="true">IF(I618="","",I618-TODAY())</f>
        <v/>
      </c>
      <c r="S618" s="25" t="str">
        <f aca="true">IF(J618="","",J618-TODAY())</f>
        <v/>
      </c>
      <c r="T618" s="24" t="str">
        <f aca="false">IF(A618="","",IF(OR(AND(R618&lt;&gt;"",R618&lt;0),AND(S618&lt;&gt;"",S618&lt;0)),"EXPIRED",IF(OR(AND(R618&lt;&gt;"",R618&lt;=Settings!$B$15),AND(S618&lt;&gt;"",S618&lt;=Settings!$B$15)),"EXPIRING SOON","OK")))</f>
        <v/>
      </c>
      <c r="U618" s="24" t="str">
        <f aca="false">IF(AND(C618="Own",Q618="Active"),COUNTIFS($C$5:C618,"Own",$Q$5:Q618,"Active"),"")</f>
        <v/>
      </c>
      <c r="V618" s="26" t="str">
        <f aca="false">IF(C618&lt;&gt;"Own","",IF(K618="Hourly",N618,(L618+M618)/(Settings!$B$11*Settings!$B$12)))</f>
        <v/>
      </c>
    </row>
    <row r="619" customFormat="false" ht="15" hidden="false" customHeight="false" outlineLevel="0" collapsed="false">
      <c r="R619" s="25" t="str">
        <f aca="true">IF(I619="","",I619-TODAY())</f>
        <v/>
      </c>
      <c r="S619" s="25" t="str">
        <f aca="true">IF(J619="","",J619-TODAY())</f>
        <v/>
      </c>
      <c r="T619" s="24" t="str">
        <f aca="false">IF(A619="","",IF(OR(AND(R619&lt;&gt;"",R619&lt;0),AND(S619&lt;&gt;"",S619&lt;0)),"EXPIRED",IF(OR(AND(R619&lt;&gt;"",R619&lt;=Settings!$B$15),AND(S619&lt;&gt;"",S619&lt;=Settings!$B$15)),"EXPIRING SOON","OK")))</f>
        <v/>
      </c>
      <c r="U619" s="24" t="str">
        <f aca="false">IF(AND(C619="Own",Q619="Active"),COUNTIFS($C$5:C619,"Own",$Q$5:Q619,"Active"),"")</f>
        <v/>
      </c>
      <c r="V619" s="26" t="str">
        <f aca="false">IF(C619&lt;&gt;"Own","",IF(K619="Hourly",N619,(L619+M619)/(Settings!$B$11*Settings!$B$12)))</f>
        <v/>
      </c>
    </row>
    <row r="620" customFormat="false" ht="15" hidden="false" customHeight="false" outlineLevel="0" collapsed="false">
      <c r="R620" s="25" t="str">
        <f aca="true">IF(I620="","",I620-TODAY())</f>
        <v/>
      </c>
      <c r="S620" s="25" t="str">
        <f aca="true">IF(J620="","",J620-TODAY())</f>
        <v/>
      </c>
      <c r="T620" s="24" t="str">
        <f aca="false">IF(A620="","",IF(OR(AND(R620&lt;&gt;"",R620&lt;0),AND(S620&lt;&gt;"",S620&lt;0)),"EXPIRED",IF(OR(AND(R620&lt;&gt;"",R620&lt;=Settings!$B$15),AND(S620&lt;&gt;"",S620&lt;=Settings!$B$15)),"EXPIRING SOON","OK")))</f>
        <v/>
      </c>
      <c r="U620" s="24" t="str">
        <f aca="false">IF(AND(C620="Own",Q620="Active"),COUNTIFS($C$5:C620,"Own",$Q$5:Q620,"Active"),"")</f>
        <v/>
      </c>
      <c r="V620" s="26" t="str">
        <f aca="false">IF(C620&lt;&gt;"Own","",IF(K620="Hourly",N620,(L620+M620)/(Settings!$B$11*Settings!$B$12)))</f>
        <v/>
      </c>
    </row>
    <row r="621" customFormat="false" ht="15" hidden="false" customHeight="false" outlineLevel="0" collapsed="false">
      <c r="R621" s="25" t="str">
        <f aca="true">IF(I621="","",I621-TODAY())</f>
        <v/>
      </c>
      <c r="S621" s="25" t="str">
        <f aca="true">IF(J621="","",J621-TODAY())</f>
        <v/>
      </c>
      <c r="T621" s="24" t="str">
        <f aca="false">IF(A621="","",IF(OR(AND(R621&lt;&gt;"",R621&lt;0),AND(S621&lt;&gt;"",S621&lt;0)),"EXPIRED",IF(OR(AND(R621&lt;&gt;"",R621&lt;=Settings!$B$15),AND(S621&lt;&gt;"",S621&lt;=Settings!$B$15)),"EXPIRING SOON","OK")))</f>
        <v/>
      </c>
      <c r="U621" s="24" t="str">
        <f aca="false">IF(AND(C621="Own",Q621="Active"),COUNTIFS($C$5:C621,"Own",$Q$5:Q621,"Active"),"")</f>
        <v/>
      </c>
      <c r="V621" s="26" t="str">
        <f aca="false">IF(C621&lt;&gt;"Own","",IF(K621="Hourly",N621,(L621+M621)/(Settings!$B$11*Settings!$B$12)))</f>
        <v/>
      </c>
    </row>
    <row r="622" customFormat="false" ht="15" hidden="false" customHeight="false" outlineLevel="0" collapsed="false">
      <c r="R622" s="25" t="str">
        <f aca="true">IF(I622="","",I622-TODAY())</f>
        <v/>
      </c>
      <c r="S622" s="25" t="str">
        <f aca="true">IF(J622="","",J622-TODAY())</f>
        <v/>
      </c>
      <c r="T622" s="24" t="str">
        <f aca="false">IF(A622="","",IF(OR(AND(R622&lt;&gt;"",R622&lt;0),AND(S622&lt;&gt;"",S622&lt;0)),"EXPIRED",IF(OR(AND(R622&lt;&gt;"",R622&lt;=Settings!$B$15),AND(S622&lt;&gt;"",S622&lt;=Settings!$B$15)),"EXPIRING SOON","OK")))</f>
        <v/>
      </c>
      <c r="U622" s="24" t="str">
        <f aca="false">IF(AND(C622="Own",Q622="Active"),COUNTIFS($C$5:C622,"Own",$Q$5:Q622,"Active"),"")</f>
        <v/>
      </c>
      <c r="V622" s="26" t="str">
        <f aca="false">IF(C622&lt;&gt;"Own","",IF(K622="Hourly",N622,(L622+M622)/(Settings!$B$11*Settings!$B$12)))</f>
        <v/>
      </c>
    </row>
    <row r="623" customFormat="false" ht="15" hidden="false" customHeight="false" outlineLevel="0" collapsed="false">
      <c r="R623" s="25" t="str">
        <f aca="true">IF(I623="","",I623-TODAY())</f>
        <v/>
      </c>
      <c r="S623" s="25" t="str">
        <f aca="true">IF(J623="","",J623-TODAY())</f>
        <v/>
      </c>
      <c r="T623" s="24" t="str">
        <f aca="false">IF(A623="","",IF(OR(AND(R623&lt;&gt;"",R623&lt;0),AND(S623&lt;&gt;"",S623&lt;0)),"EXPIRED",IF(OR(AND(R623&lt;&gt;"",R623&lt;=Settings!$B$15),AND(S623&lt;&gt;"",S623&lt;=Settings!$B$15)),"EXPIRING SOON","OK")))</f>
        <v/>
      </c>
      <c r="U623" s="24" t="str">
        <f aca="false">IF(AND(C623="Own",Q623="Active"),COUNTIFS($C$5:C623,"Own",$Q$5:Q623,"Active"),"")</f>
        <v/>
      </c>
      <c r="V623" s="26" t="str">
        <f aca="false">IF(C623&lt;&gt;"Own","",IF(K623="Hourly",N623,(L623+M623)/(Settings!$B$11*Settings!$B$12)))</f>
        <v/>
      </c>
    </row>
    <row r="624" customFormat="false" ht="15" hidden="false" customHeight="false" outlineLevel="0" collapsed="false">
      <c r="R624" s="25" t="str">
        <f aca="true">IF(I624="","",I624-TODAY())</f>
        <v/>
      </c>
      <c r="S624" s="25" t="str">
        <f aca="true">IF(J624="","",J624-TODAY())</f>
        <v/>
      </c>
      <c r="T624" s="24" t="str">
        <f aca="false">IF(A624="","",IF(OR(AND(R624&lt;&gt;"",R624&lt;0),AND(S624&lt;&gt;"",S624&lt;0)),"EXPIRED",IF(OR(AND(R624&lt;&gt;"",R624&lt;=Settings!$B$15),AND(S624&lt;&gt;"",S624&lt;=Settings!$B$15)),"EXPIRING SOON","OK")))</f>
        <v/>
      </c>
      <c r="U624" s="24" t="str">
        <f aca="false">IF(AND(C624="Own",Q624="Active"),COUNTIFS($C$5:C624,"Own",$Q$5:Q624,"Active"),"")</f>
        <v/>
      </c>
      <c r="V624" s="26" t="str">
        <f aca="false">IF(C624&lt;&gt;"Own","",IF(K624="Hourly",N624,(L624+M624)/(Settings!$B$11*Settings!$B$12)))</f>
        <v/>
      </c>
    </row>
    <row r="625" customFormat="false" ht="15" hidden="false" customHeight="false" outlineLevel="0" collapsed="false">
      <c r="R625" s="25" t="str">
        <f aca="true">IF(I625="","",I625-TODAY())</f>
        <v/>
      </c>
      <c r="S625" s="25" t="str">
        <f aca="true">IF(J625="","",J625-TODAY())</f>
        <v/>
      </c>
      <c r="T625" s="24" t="str">
        <f aca="false">IF(A625="","",IF(OR(AND(R625&lt;&gt;"",R625&lt;0),AND(S625&lt;&gt;"",S625&lt;0)),"EXPIRED",IF(OR(AND(R625&lt;&gt;"",R625&lt;=Settings!$B$15),AND(S625&lt;&gt;"",S625&lt;=Settings!$B$15)),"EXPIRING SOON","OK")))</f>
        <v/>
      </c>
      <c r="U625" s="24" t="str">
        <f aca="false">IF(AND(C625="Own",Q625="Active"),COUNTIFS($C$5:C625,"Own",$Q$5:Q625,"Active"),"")</f>
        <v/>
      </c>
      <c r="V625" s="26" t="str">
        <f aca="false">IF(C625&lt;&gt;"Own","",IF(K625="Hourly",N625,(L625+M625)/(Settings!$B$11*Settings!$B$12)))</f>
        <v/>
      </c>
    </row>
    <row r="626" customFormat="false" ht="15" hidden="false" customHeight="false" outlineLevel="0" collapsed="false">
      <c r="R626" s="25" t="str">
        <f aca="true">IF(I626="","",I626-TODAY())</f>
        <v/>
      </c>
      <c r="S626" s="25" t="str">
        <f aca="true">IF(J626="","",J626-TODAY())</f>
        <v/>
      </c>
      <c r="T626" s="24" t="str">
        <f aca="false">IF(A626="","",IF(OR(AND(R626&lt;&gt;"",R626&lt;0),AND(S626&lt;&gt;"",S626&lt;0)),"EXPIRED",IF(OR(AND(R626&lt;&gt;"",R626&lt;=Settings!$B$15),AND(S626&lt;&gt;"",S626&lt;=Settings!$B$15)),"EXPIRING SOON","OK")))</f>
        <v/>
      </c>
      <c r="U626" s="24" t="str">
        <f aca="false">IF(AND(C626="Own",Q626="Active"),COUNTIFS($C$5:C626,"Own",$Q$5:Q626,"Active"),"")</f>
        <v/>
      </c>
      <c r="V626" s="26" t="str">
        <f aca="false">IF(C626&lt;&gt;"Own","",IF(K626="Hourly",N626,(L626+M626)/(Settings!$B$11*Settings!$B$12)))</f>
        <v/>
      </c>
    </row>
    <row r="627" customFormat="false" ht="15" hidden="false" customHeight="false" outlineLevel="0" collapsed="false">
      <c r="R627" s="25" t="str">
        <f aca="true">IF(I627="","",I627-TODAY())</f>
        <v/>
      </c>
      <c r="S627" s="25" t="str">
        <f aca="true">IF(J627="","",J627-TODAY())</f>
        <v/>
      </c>
      <c r="T627" s="24" t="str">
        <f aca="false">IF(A627="","",IF(OR(AND(R627&lt;&gt;"",R627&lt;0),AND(S627&lt;&gt;"",S627&lt;0)),"EXPIRED",IF(OR(AND(R627&lt;&gt;"",R627&lt;=Settings!$B$15),AND(S627&lt;&gt;"",S627&lt;=Settings!$B$15)),"EXPIRING SOON","OK")))</f>
        <v/>
      </c>
      <c r="U627" s="24" t="str">
        <f aca="false">IF(AND(C627="Own",Q627="Active"),COUNTIFS($C$5:C627,"Own",$Q$5:Q627,"Active"),"")</f>
        <v/>
      </c>
      <c r="V627" s="26" t="str">
        <f aca="false">IF(C627&lt;&gt;"Own","",IF(K627="Hourly",N627,(L627+M627)/(Settings!$B$11*Settings!$B$12)))</f>
        <v/>
      </c>
    </row>
    <row r="628" customFormat="false" ht="15" hidden="false" customHeight="false" outlineLevel="0" collapsed="false">
      <c r="R628" s="25" t="str">
        <f aca="true">IF(I628="","",I628-TODAY())</f>
        <v/>
      </c>
      <c r="S628" s="25" t="str">
        <f aca="true">IF(J628="","",J628-TODAY())</f>
        <v/>
      </c>
      <c r="T628" s="24" t="str">
        <f aca="false">IF(A628="","",IF(OR(AND(R628&lt;&gt;"",R628&lt;0),AND(S628&lt;&gt;"",S628&lt;0)),"EXPIRED",IF(OR(AND(R628&lt;&gt;"",R628&lt;=Settings!$B$15),AND(S628&lt;&gt;"",S628&lt;=Settings!$B$15)),"EXPIRING SOON","OK")))</f>
        <v/>
      </c>
      <c r="U628" s="24" t="str">
        <f aca="false">IF(AND(C628="Own",Q628="Active"),COUNTIFS($C$5:C628,"Own",$Q$5:Q628,"Active"),"")</f>
        <v/>
      </c>
      <c r="V628" s="26" t="str">
        <f aca="false">IF(C628&lt;&gt;"Own","",IF(K628="Hourly",N628,(L628+M628)/(Settings!$B$11*Settings!$B$12)))</f>
        <v/>
      </c>
    </row>
    <row r="629" customFormat="false" ht="15" hidden="false" customHeight="false" outlineLevel="0" collapsed="false">
      <c r="R629" s="25" t="str">
        <f aca="true">IF(I629="","",I629-TODAY())</f>
        <v/>
      </c>
      <c r="S629" s="25" t="str">
        <f aca="true">IF(J629="","",J629-TODAY())</f>
        <v/>
      </c>
      <c r="T629" s="24" t="str">
        <f aca="false">IF(A629="","",IF(OR(AND(R629&lt;&gt;"",R629&lt;0),AND(S629&lt;&gt;"",S629&lt;0)),"EXPIRED",IF(OR(AND(R629&lt;&gt;"",R629&lt;=Settings!$B$15),AND(S629&lt;&gt;"",S629&lt;=Settings!$B$15)),"EXPIRING SOON","OK")))</f>
        <v/>
      </c>
      <c r="U629" s="24" t="str">
        <f aca="false">IF(AND(C629="Own",Q629="Active"),COUNTIFS($C$5:C629,"Own",$Q$5:Q629,"Active"),"")</f>
        <v/>
      </c>
      <c r="V629" s="26" t="str">
        <f aca="false">IF(C629&lt;&gt;"Own","",IF(K629="Hourly",N629,(L629+M629)/(Settings!$B$11*Settings!$B$12)))</f>
        <v/>
      </c>
    </row>
    <row r="630" customFormat="false" ht="15" hidden="false" customHeight="false" outlineLevel="0" collapsed="false">
      <c r="R630" s="25" t="str">
        <f aca="true">IF(I630="","",I630-TODAY())</f>
        <v/>
      </c>
      <c r="S630" s="25" t="str">
        <f aca="true">IF(J630="","",J630-TODAY())</f>
        <v/>
      </c>
      <c r="T630" s="24" t="str">
        <f aca="false">IF(A630="","",IF(OR(AND(R630&lt;&gt;"",R630&lt;0),AND(S630&lt;&gt;"",S630&lt;0)),"EXPIRED",IF(OR(AND(R630&lt;&gt;"",R630&lt;=Settings!$B$15),AND(S630&lt;&gt;"",S630&lt;=Settings!$B$15)),"EXPIRING SOON","OK")))</f>
        <v/>
      </c>
      <c r="U630" s="24" t="str">
        <f aca="false">IF(AND(C630="Own",Q630="Active"),COUNTIFS($C$5:C630,"Own",$Q$5:Q630,"Active"),"")</f>
        <v/>
      </c>
      <c r="V630" s="26" t="str">
        <f aca="false">IF(C630&lt;&gt;"Own","",IF(K630="Hourly",N630,(L630+M630)/(Settings!$B$11*Settings!$B$12)))</f>
        <v/>
      </c>
    </row>
    <row r="631" customFormat="false" ht="15" hidden="false" customHeight="false" outlineLevel="0" collapsed="false">
      <c r="R631" s="25" t="str">
        <f aca="true">IF(I631="","",I631-TODAY())</f>
        <v/>
      </c>
      <c r="S631" s="25" t="str">
        <f aca="true">IF(J631="","",J631-TODAY())</f>
        <v/>
      </c>
      <c r="T631" s="24" t="str">
        <f aca="false">IF(A631="","",IF(OR(AND(R631&lt;&gt;"",R631&lt;0),AND(S631&lt;&gt;"",S631&lt;0)),"EXPIRED",IF(OR(AND(R631&lt;&gt;"",R631&lt;=Settings!$B$15),AND(S631&lt;&gt;"",S631&lt;=Settings!$B$15)),"EXPIRING SOON","OK")))</f>
        <v/>
      </c>
      <c r="U631" s="24" t="str">
        <f aca="false">IF(AND(C631="Own",Q631="Active"),COUNTIFS($C$5:C631,"Own",$Q$5:Q631,"Active"),"")</f>
        <v/>
      </c>
      <c r="V631" s="26" t="str">
        <f aca="false">IF(C631&lt;&gt;"Own","",IF(K631="Hourly",N631,(L631+M631)/(Settings!$B$11*Settings!$B$12)))</f>
        <v/>
      </c>
    </row>
    <row r="632" customFormat="false" ht="15" hidden="false" customHeight="false" outlineLevel="0" collapsed="false">
      <c r="R632" s="25" t="str">
        <f aca="true">IF(I632="","",I632-TODAY())</f>
        <v/>
      </c>
      <c r="S632" s="25" t="str">
        <f aca="true">IF(J632="","",J632-TODAY())</f>
        <v/>
      </c>
      <c r="T632" s="24" t="str">
        <f aca="false">IF(A632="","",IF(OR(AND(R632&lt;&gt;"",R632&lt;0),AND(S632&lt;&gt;"",S632&lt;0)),"EXPIRED",IF(OR(AND(R632&lt;&gt;"",R632&lt;=Settings!$B$15),AND(S632&lt;&gt;"",S632&lt;=Settings!$B$15)),"EXPIRING SOON","OK")))</f>
        <v/>
      </c>
      <c r="U632" s="24" t="str">
        <f aca="false">IF(AND(C632="Own",Q632="Active"),COUNTIFS($C$5:C632,"Own",$Q$5:Q632,"Active"),"")</f>
        <v/>
      </c>
      <c r="V632" s="26" t="str">
        <f aca="false">IF(C632&lt;&gt;"Own","",IF(K632="Hourly",N632,(L632+M632)/(Settings!$B$11*Settings!$B$12)))</f>
        <v/>
      </c>
    </row>
    <row r="633" customFormat="false" ht="15" hidden="false" customHeight="false" outlineLevel="0" collapsed="false">
      <c r="R633" s="25" t="str">
        <f aca="true">IF(I633="","",I633-TODAY())</f>
        <v/>
      </c>
      <c r="S633" s="25" t="str">
        <f aca="true">IF(J633="","",J633-TODAY())</f>
        <v/>
      </c>
      <c r="T633" s="24" t="str">
        <f aca="false">IF(A633="","",IF(OR(AND(R633&lt;&gt;"",R633&lt;0),AND(S633&lt;&gt;"",S633&lt;0)),"EXPIRED",IF(OR(AND(R633&lt;&gt;"",R633&lt;=Settings!$B$15),AND(S633&lt;&gt;"",S633&lt;=Settings!$B$15)),"EXPIRING SOON","OK")))</f>
        <v/>
      </c>
      <c r="U633" s="24" t="str">
        <f aca="false">IF(AND(C633="Own",Q633="Active"),COUNTIFS($C$5:C633,"Own",$Q$5:Q633,"Active"),"")</f>
        <v/>
      </c>
      <c r="V633" s="26" t="str">
        <f aca="false">IF(C633&lt;&gt;"Own","",IF(K633="Hourly",N633,(L633+M633)/(Settings!$B$11*Settings!$B$12)))</f>
        <v/>
      </c>
    </row>
    <row r="634" customFormat="false" ht="15" hidden="false" customHeight="false" outlineLevel="0" collapsed="false">
      <c r="R634" s="25" t="str">
        <f aca="true">IF(I634="","",I634-TODAY())</f>
        <v/>
      </c>
      <c r="S634" s="25" t="str">
        <f aca="true">IF(J634="","",J634-TODAY())</f>
        <v/>
      </c>
      <c r="T634" s="24" t="str">
        <f aca="false">IF(A634="","",IF(OR(AND(R634&lt;&gt;"",R634&lt;0),AND(S634&lt;&gt;"",S634&lt;0)),"EXPIRED",IF(OR(AND(R634&lt;&gt;"",R634&lt;=Settings!$B$15),AND(S634&lt;&gt;"",S634&lt;=Settings!$B$15)),"EXPIRING SOON","OK")))</f>
        <v/>
      </c>
      <c r="U634" s="24" t="str">
        <f aca="false">IF(AND(C634="Own",Q634="Active"),COUNTIFS($C$5:C634,"Own",$Q$5:Q634,"Active"),"")</f>
        <v/>
      </c>
      <c r="V634" s="26" t="str">
        <f aca="false">IF(C634&lt;&gt;"Own","",IF(K634="Hourly",N634,(L634+M634)/(Settings!$B$11*Settings!$B$12)))</f>
        <v/>
      </c>
    </row>
    <row r="635" customFormat="false" ht="15" hidden="false" customHeight="false" outlineLevel="0" collapsed="false">
      <c r="R635" s="25" t="str">
        <f aca="true">IF(I635="","",I635-TODAY())</f>
        <v/>
      </c>
      <c r="S635" s="25" t="str">
        <f aca="true">IF(J635="","",J635-TODAY())</f>
        <v/>
      </c>
      <c r="T635" s="24" t="str">
        <f aca="false">IF(A635="","",IF(OR(AND(R635&lt;&gt;"",R635&lt;0),AND(S635&lt;&gt;"",S635&lt;0)),"EXPIRED",IF(OR(AND(R635&lt;&gt;"",R635&lt;=Settings!$B$15),AND(S635&lt;&gt;"",S635&lt;=Settings!$B$15)),"EXPIRING SOON","OK")))</f>
        <v/>
      </c>
      <c r="U635" s="24" t="str">
        <f aca="false">IF(AND(C635="Own",Q635="Active"),COUNTIFS($C$5:C635,"Own",$Q$5:Q635,"Active"),"")</f>
        <v/>
      </c>
      <c r="V635" s="26" t="str">
        <f aca="false">IF(C635&lt;&gt;"Own","",IF(K635="Hourly",N635,(L635+M635)/(Settings!$B$11*Settings!$B$12)))</f>
        <v/>
      </c>
    </row>
    <row r="636" customFormat="false" ht="15" hidden="false" customHeight="false" outlineLevel="0" collapsed="false">
      <c r="R636" s="25" t="str">
        <f aca="true">IF(I636="","",I636-TODAY())</f>
        <v/>
      </c>
      <c r="S636" s="25" t="str">
        <f aca="true">IF(J636="","",J636-TODAY())</f>
        <v/>
      </c>
      <c r="T636" s="24" t="str">
        <f aca="false">IF(A636="","",IF(OR(AND(R636&lt;&gt;"",R636&lt;0),AND(S636&lt;&gt;"",S636&lt;0)),"EXPIRED",IF(OR(AND(R636&lt;&gt;"",R636&lt;=Settings!$B$15),AND(S636&lt;&gt;"",S636&lt;=Settings!$B$15)),"EXPIRING SOON","OK")))</f>
        <v/>
      </c>
      <c r="U636" s="24" t="str">
        <f aca="false">IF(AND(C636="Own",Q636="Active"),COUNTIFS($C$5:C636,"Own",$Q$5:Q636,"Active"),"")</f>
        <v/>
      </c>
      <c r="V636" s="26" t="str">
        <f aca="false">IF(C636&lt;&gt;"Own","",IF(K636="Hourly",N636,(L636+M636)/(Settings!$B$11*Settings!$B$12)))</f>
        <v/>
      </c>
    </row>
    <row r="637" customFormat="false" ht="15" hidden="false" customHeight="false" outlineLevel="0" collapsed="false">
      <c r="R637" s="25" t="str">
        <f aca="true">IF(I637="","",I637-TODAY())</f>
        <v/>
      </c>
      <c r="S637" s="25" t="str">
        <f aca="true">IF(J637="","",J637-TODAY())</f>
        <v/>
      </c>
      <c r="T637" s="24" t="str">
        <f aca="false">IF(A637="","",IF(OR(AND(R637&lt;&gt;"",R637&lt;0),AND(S637&lt;&gt;"",S637&lt;0)),"EXPIRED",IF(OR(AND(R637&lt;&gt;"",R637&lt;=Settings!$B$15),AND(S637&lt;&gt;"",S637&lt;=Settings!$B$15)),"EXPIRING SOON","OK")))</f>
        <v/>
      </c>
      <c r="U637" s="24" t="str">
        <f aca="false">IF(AND(C637="Own",Q637="Active"),COUNTIFS($C$5:C637,"Own",$Q$5:Q637,"Active"),"")</f>
        <v/>
      </c>
      <c r="V637" s="26" t="str">
        <f aca="false">IF(C637&lt;&gt;"Own","",IF(K637="Hourly",N637,(L637+M637)/(Settings!$B$11*Settings!$B$12)))</f>
        <v/>
      </c>
    </row>
    <row r="638" customFormat="false" ht="15" hidden="false" customHeight="false" outlineLevel="0" collapsed="false">
      <c r="R638" s="25" t="str">
        <f aca="true">IF(I638="","",I638-TODAY())</f>
        <v/>
      </c>
      <c r="S638" s="25" t="str">
        <f aca="true">IF(J638="","",J638-TODAY())</f>
        <v/>
      </c>
      <c r="T638" s="24" t="str">
        <f aca="false">IF(A638="","",IF(OR(AND(R638&lt;&gt;"",R638&lt;0),AND(S638&lt;&gt;"",S638&lt;0)),"EXPIRED",IF(OR(AND(R638&lt;&gt;"",R638&lt;=Settings!$B$15),AND(S638&lt;&gt;"",S638&lt;=Settings!$B$15)),"EXPIRING SOON","OK")))</f>
        <v/>
      </c>
      <c r="U638" s="24" t="str">
        <f aca="false">IF(AND(C638="Own",Q638="Active"),COUNTIFS($C$5:C638,"Own",$Q$5:Q638,"Active"),"")</f>
        <v/>
      </c>
      <c r="V638" s="26" t="str">
        <f aca="false">IF(C638&lt;&gt;"Own","",IF(K638="Hourly",N638,(L638+M638)/(Settings!$B$11*Settings!$B$12)))</f>
        <v/>
      </c>
    </row>
    <row r="639" customFormat="false" ht="15" hidden="false" customHeight="false" outlineLevel="0" collapsed="false">
      <c r="R639" s="25" t="str">
        <f aca="true">IF(I639="","",I639-TODAY())</f>
        <v/>
      </c>
      <c r="S639" s="25" t="str">
        <f aca="true">IF(J639="","",J639-TODAY())</f>
        <v/>
      </c>
      <c r="T639" s="24" t="str">
        <f aca="false">IF(A639="","",IF(OR(AND(R639&lt;&gt;"",R639&lt;0),AND(S639&lt;&gt;"",S639&lt;0)),"EXPIRED",IF(OR(AND(R639&lt;&gt;"",R639&lt;=Settings!$B$15),AND(S639&lt;&gt;"",S639&lt;=Settings!$B$15)),"EXPIRING SOON","OK")))</f>
        <v/>
      </c>
      <c r="U639" s="24" t="str">
        <f aca="false">IF(AND(C639="Own",Q639="Active"),COUNTIFS($C$5:C639,"Own",$Q$5:Q639,"Active"),"")</f>
        <v/>
      </c>
      <c r="V639" s="26" t="str">
        <f aca="false">IF(C639&lt;&gt;"Own","",IF(K639="Hourly",N639,(L639+M639)/(Settings!$B$11*Settings!$B$12)))</f>
        <v/>
      </c>
    </row>
    <row r="640" customFormat="false" ht="15" hidden="false" customHeight="false" outlineLevel="0" collapsed="false">
      <c r="R640" s="25" t="str">
        <f aca="true">IF(I640="","",I640-TODAY())</f>
        <v/>
      </c>
      <c r="S640" s="25" t="str">
        <f aca="true">IF(J640="","",J640-TODAY())</f>
        <v/>
      </c>
      <c r="T640" s="24" t="str">
        <f aca="false">IF(A640="","",IF(OR(AND(R640&lt;&gt;"",R640&lt;0),AND(S640&lt;&gt;"",S640&lt;0)),"EXPIRED",IF(OR(AND(R640&lt;&gt;"",R640&lt;=Settings!$B$15),AND(S640&lt;&gt;"",S640&lt;=Settings!$B$15)),"EXPIRING SOON","OK")))</f>
        <v/>
      </c>
      <c r="U640" s="24" t="str">
        <f aca="false">IF(AND(C640="Own",Q640="Active"),COUNTIFS($C$5:C640,"Own",$Q$5:Q640,"Active"),"")</f>
        <v/>
      </c>
      <c r="V640" s="26" t="str">
        <f aca="false">IF(C640&lt;&gt;"Own","",IF(K640="Hourly",N640,(L640+M640)/(Settings!$B$11*Settings!$B$12)))</f>
        <v/>
      </c>
    </row>
    <row r="641" customFormat="false" ht="15" hidden="false" customHeight="false" outlineLevel="0" collapsed="false">
      <c r="R641" s="25" t="str">
        <f aca="true">IF(I641="","",I641-TODAY())</f>
        <v/>
      </c>
      <c r="S641" s="25" t="str">
        <f aca="true">IF(J641="","",J641-TODAY())</f>
        <v/>
      </c>
      <c r="T641" s="24" t="str">
        <f aca="false">IF(A641="","",IF(OR(AND(R641&lt;&gt;"",R641&lt;0),AND(S641&lt;&gt;"",S641&lt;0)),"EXPIRED",IF(OR(AND(R641&lt;&gt;"",R641&lt;=Settings!$B$15),AND(S641&lt;&gt;"",S641&lt;=Settings!$B$15)),"EXPIRING SOON","OK")))</f>
        <v/>
      </c>
      <c r="U641" s="24" t="str">
        <f aca="false">IF(AND(C641="Own",Q641="Active"),COUNTIFS($C$5:C641,"Own",$Q$5:Q641,"Active"),"")</f>
        <v/>
      </c>
      <c r="V641" s="26" t="str">
        <f aca="false">IF(C641&lt;&gt;"Own","",IF(K641="Hourly",N641,(L641+M641)/(Settings!$B$11*Settings!$B$12)))</f>
        <v/>
      </c>
    </row>
    <row r="642" customFormat="false" ht="15" hidden="false" customHeight="false" outlineLevel="0" collapsed="false">
      <c r="R642" s="25" t="str">
        <f aca="true">IF(I642="","",I642-TODAY())</f>
        <v/>
      </c>
      <c r="S642" s="25" t="str">
        <f aca="true">IF(J642="","",J642-TODAY())</f>
        <v/>
      </c>
      <c r="T642" s="24" t="str">
        <f aca="false">IF(A642="","",IF(OR(AND(R642&lt;&gt;"",R642&lt;0),AND(S642&lt;&gt;"",S642&lt;0)),"EXPIRED",IF(OR(AND(R642&lt;&gt;"",R642&lt;=Settings!$B$15),AND(S642&lt;&gt;"",S642&lt;=Settings!$B$15)),"EXPIRING SOON","OK")))</f>
        <v/>
      </c>
      <c r="U642" s="24" t="str">
        <f aca="false">IF(AND(C642="Own",Q642="Active"),COUNTIFS($C$5:C642,"Own",$Q$5:Q642,"Active"),"")</f>
        <v/>
      </c>
      <c r="V642" s="26" t="str">
        <f aca="false">IF(C642&lt;&gt;"Own","",IF(K642="Hourly",N642,(L642+M642)/(Settings!$B$11*Settings!$B$12)))</f>
        <v/>
      </c>
    </row>
    <row r="643" customFormat="false" ht="15" hidden="false" customHeight="false" outlineLevel="0" collapsed="false">
      <c r="R643" s="25" t="str">
        <f aca="true">IF(I643="","",I643-TODAY())</f>
        <v/>
      </c>
      <c r="S643" s="25" t="str">
        <f aca="true">IF(J643="","",J643-TODAY())</f>
        <v/>
      </c>
      <c r="T643" s="24" t="str">
        <f aca="false">IF(A643="","",IF(OR(AND(R643&lt;&gt;"",R643&lt;0),AND(S643&lt;&gt;"",S643&lt;0)),"EXPIRED",IF(OR(AND(R643&lt;&gt;"",R643&lt;=Settings!$B$15),AND(S643&lt;&gt;"",S643&lt;=Settings!$B$15)),"EXPIRING SOON","OK")))</f>
        <v/>
      </c>
      <c r="U643" s="24" t="str">
        <f aca="false">IF(AND(C643="Own",Q643="Active"),COUNTIFS($C$5:C643,"Own",$Q$5:Q643,"Active"),"")</f>
        <v/>
      </c>
      <c r="V643" s="26" t="str">
        <f aca="false">IF(C643&lt;&gt;"Own","",IF(K643="Hourly",N643,(L643+M643)/(Settings!$B$11*Settings!$B$12)))</f>
        <v/>
      </c>
    </row>
    <row r="644" customFormat="false" ht="15" hidden="false" customHeight="false" outlineLevel="0" collapsed="false">
      <c r="R644" s="25" t="str">
        <f aca="true">IF(I644="","",I644-TODAY())</f>
        <v/>
      </c>
      <c r="S644" s="25" t="str">
        <f aca="true">IF(J644="","",J644-TODAY())</f>
        <v/>
      </c>
      <c r="T644" s="24" t="str">
        <f aca="false">IF(A644="","",IF(OR(AND(R644&lt;&gt;"",R644&lt;0),AND(S644&lt;&gt;"",S644&lt;0)),"EXPIRED",IF(OR(AND(R644&lt;&gt;"",R644&lt;=Settings!$B$15),AND(S644&lt;&gt;"",S644&lt;=Settings!$B$15)),"EXPIRING SOON","OK")))</f>
        <v/>
      </c>
      <c r="U644" s="24" t="str">
        <f aca="false">IF(AND(C644="Own",Q644="Active"),COUNTIFS($C$5:C644,"Own",$Q$5:Q644,"Active"),"")</f>
        <v/>
      </c>
      <c r="V644" s="26" t="str">
        <f aca="false">IF(C644&lt;&gt;"Own","",IF(K644="Hourly",N644,(L644+M644)/(Settings!$B$11*Settings!$B$12)))</f>
        <v/>
      </c>
    </row>
    <row r="645" customFormat="false" ht="15" hidden="false" customHeight="false" outlineLevel="0" collapsed="false">
      <c r="R645" s="25" t="str">
        <f aca="true">IF(I645="","",I645-TODAY())</f>
        <v/>
      </c>
      <c r="S645" s="25" t="str">
        <f aca="true">IF(J645="","",J645-TODAY())</f>
        <v/>
      </c>
      <c r="T645" s="24" t="str">
        <f aca="false">IF(A645="","",IF(OR(AND(R645&lt;&gt;"",R645&lt;0),AND(S645&lt;&gt;"",S645&lt;0)),"EXPIRED",IF(OR(AND(R645&lt;&gt;"",R645&lt;=Settings!$B$15),AND(S645&lt;&gt;"",S645&lt;=Settings!$B$15)),"EXPIRING SOON","OK")))</f>
        <v/>
      </c>
      <c r="U645" s="24" t="str">
        <f aca="false">IF(AND(C645="Own",Q645="Active"),COUNTIFS($C$5:C645,"Own",$Q$5:Q645,"Active"),"")</f>
        <v/>
      </c>
      <c r="V645" s="26" t="str">
        <f aca="false">IF(C645&lt;&gt;"Own","",IF(K645="Hourly",N645,(L645+M645)/(Settings!$B$11*Settings!$B$12)))</f>
        <v/>
      </c>
    </row>
    <row r="646" customFormat="false" ht="15" hidden="false" customHeight="false" outlineLevel="0" collapsed="false">
      <c r="R646" s="25" t="str">
        <f aca="true">IF(I646="","",I646-TODAY())</f>
        <v/>
      </c>
      <c r="S646" s="25" t="str">
        <f aca="true">IF(J646="","",J646-TODAY())</f>
        <v/>
      </c>
      <c r="T646" s="24" t="str">
        <f aca="false">IF(A646="","",IF(OR(AND(R646&lt;&gt;"",R646&lt;0),AND(S646&lt;&gt;"",S646&lt;0)),"EXPIRED",IF(OR(AND(R646&lt;&gt;"",R646&lt;=Settings!$B$15),AND(S646&lt;&gt;"",S646&lt;=Settings!$B$15)),"EXPIRING SOON","OK")))</f>
        <v/>
      </c>
      <c r="U646" s="24" t="str">
        <f aca="false">IF(AND(C646="Own",Q646="Active"),COUNTIFS($C$5:C646,"Own",$Q$5:Q646,"Active"),"")</f>
        <v/>
      </c>
      <c r="V646" s="26" t="str">
        <f aca="false">IF(C646&lt;&gt;"Own","",IF(K646="Hourly",N646,(L646+M646)/(Settings!$B$11*Settings!$B$12)))</f>
        <v/>
      </c>
    </row>
    <row r="647" customFormat="false" ht="15" hidden="false" customHeight="false" outlineLevel="0" collapsed="false">
      <c r="R647" s="25" t="str">
        <f aca="true">IF(I647="","",I647-TODAY())</f>
        <v/>
      </c>
      <c r="S647" s="25" t="str">
        <f aca="true">IF(J647="","",J647-TODAY())</f>
        <v/>
      </c>
      <c r="T647" s="24" t="str">
        <f aca="false">IF(A647="","",IF(OR(AND(R647&lt;&gt;"",R647&lt;0),AND(S647&lt;&gt;"",S647&lt;0)),"EXPIRED",IF(OR(AND(R647&lt;&gt;"",R647&lt;=Settings!$B$15),AND(S647&lt;&gt;"",S647&lt;=Settings!$B$15)),"EXPIRING SOON","OK")))</f>
        <v/>
      </c>
      <c r="U647" s="24" t="str">
        <f aca="false">IF(AND(C647="Own",Q647="Active"),COUNTIFS($C$5:C647,"Own",$Q$5:Q647,"Active"),"")</f>
        <v/>
      </c>
      <c r="V647" s="26" t="str">
        <f aca="false">IF(C647&lt;&gt;"Own","",IF(K647="Hourly",N647,(L647+M647)/(Settings!$B$11*Settings!$B$12)))</f>
        <v/>
      </c>
    </row>
    <row r="648" customFormat="false" ht="15" hidden="false" customHeight="false" outlineLevel="0" collapsed="false">
      <c r="R648" s="25" t="str">
        <f aca="true">IF(I648="","",I648-TODAY())</f>
        <v/>
      </c>
      <c r="S648" s="25" t="str">
        <f aca="true">IF(J648="","",J648-TODAY())</f>
        <v/>
      </c>
      <c r="T648" s="24" t="str">
        <f aca="false">IF(A648="","",IF(OR(AND(R648&lt;&gt;"",R648&lt;0),AND(S648&lt;&gt;"",S648&lt;0)),"EXPIRED",IF(OR(AND(R648&lt;&gt;"",R648&lt;=Settings!$B$15),AND(S648&lt;&gt;"",S648&lt;=Settings!$B$15)),"EXPIRING SOON","OK")))</f>
        <v/>
      </c>
      <c r="U648" s="24" t="str">
        <f aca="false">IF(AND(C648="Own",Q648="Active"),COUNTIFS($C$5:C648,"Own",$Q$5:Q648,"Active"),"")</f>
        <v/>
      </c>
      <c r="V648" s="26" t="str">
        <f aca="false">IF(C648&lt;&gt;"Own","",IF(K648="Hourly",N648,(L648+M648)/(Settings!$B$11*Settings!$B$12)))</f>
        <v/>
      </c>
    </row>
    <row r="649" customFormat="false" ht="15" hidden="false" customHeight="false" outlineLevel="0" collapsed="false">
      <c r="R649" s="25" t="str">
        <f aca="true">IF(I649="","",I649-TODAY())</f>
        <v/>
      </c>
      <c r="S649" s="25" t="str">
        <f aca="true">IF(J649="","",J649-TODAY())</f>
        <v/>
      </c>
      <c r="T649" s="24" t="str">
        <f aca="false">IF(A649="","",IF(OR(AND(R649&lt;&gt;"",R649&lt;0),AND(S649&lt;&gt;"",S649&lt;0)),"EXPIRED",IF(OR(AND(R649&lt;&gt;"",R649&lt;=Settings!$B$15),AND(S649&lt;&gt;"",S649&lt;=Settings!$B$15)),"EXPIRING SOON","OK")))</f>
        <v/>
      </c>
      <c r="U649" s="24" t="str">
        <f aca="false">IF(AND(C649="Own",Q649="Active"),COUNTIFS($C$5:C649,"Own",$Q$5:Q649,"Active"),"")</f>
        <v/>
      </c>
      <c r="V649" s="26" t="str">
        <f aca="false">IF(C649&lt;&gt;"Own","",IF(K649="Hourly",N649,(L649+M649)/(Settings!$B$11*Settings!$B$12)))</f>
        <v/>
      </c>
    </row>
    <row r="650" customFormat="false" ht="15" hidden="false" customHeight="false" outlineLevel="0" collapsed="false">
      <c r="R650" s="25" t="str">
        <f aca="true">IF(I650="","",I650-TODAY())</f>
        <v/>
      </c>
      <c r="S650" s="25" t="str">
        <f aca="true">IF(J650="","",J650-TODAY())</f>
        <v/>
      </c>
      <c r="T650" s="24" t="str">
        <f aca="false">IF(A650="","",IF(OR(AND(R650&lt;&gt;"",R650&lt;0),AND(S650&lt;&gt;"",S650&lt;0)),"EXPIRED",IF(OR(AND(R650&lt;&gt;"",R650&lt;=Settings!$B$15),AND(S650&lt;&gt;"",S650&lt;=Settings!$B$15)),"EXPIRING SOON","OK")))</f>
        <v/>
      </c>
      <c r="U650" s="24" t="str">
        <f aca="false">IF(AND(C650="Own",Q650="Active"),COUNTIFS($C$5:C650,"Own",$Q$5:Q650,"Active"),"")</f>
        <v/>
      </c>
      <c r="V650" s="26" t="str">
        <f aca="false">IF(C650&lt;&gt;"Own","",IF(K650="Hourly",N650,(L650+M650)/(Settings!$B$11*Settings!$B$12)))</f>
        <v/>
      </c>
    </row>
    <row r="651" customFormat="false" ht="15" hidden="false" customHeight="false" outlineLevel="0" collapsed="false">
      <c r="R651" s="25" t="str">
        <f aca="true">IF(I651="","",I651-TODAY())</f>
        <v/>
      </c>
      <c r="S651" s="25" t="str">
        <f aca="true">IF(J651="","",J651-TODAY())</f>
        <v/>
      </c>
      <c r="T651" s="24" t="str">
        <f aca="false">IF(A651="","",IF(OR(AND(R651&lt;&gt;"",R651&lt;0),AND(S651&lt;&gt;"",S651&lt;0)),"EXPIRED",IF(OR(AND(R651&lt;&gt;"",R651&lt;=Settings!$B$15),AND(S651&lt;&gt;"",S651&lt;=Settings!$B$15)),"EXPIRING SOON","OK")))</f>
        <v/>
      </c>
      <c r="U651" s="24" t="str">
        <f aca="false">IF(AND(C651="Own",Q651="Active"),COUNTIFS($C$5:C651,"Own",$Q$5:Q651,"Active"),"")</f>
        <v/>
      </c>
      <c r="V651" s="26" t="str">
        <f aca="false">IF(C651&lt;&gt;"Own","",IF(K651="Hourly",N651,(L651+M651)/(Settings!$B$11*Settings!$B$12)))</f>
        <v/>
      </c>
    </row>
    <row r="652" customFormat="false" ht="15" hidden="false" customHeight="false" outlineLevel="0" collapsed="false">
      <c r="R652" s="25" t="str">
        <f aca="true">IF(I652="","",I652-TODAY())</f>
        <v/>
      </c>
      <c r="S652" s="25" t="str">
        <f aca="true">IF(J652="","",J652-TODAY())</f>
        <v/>
      </c>
      <c r="T652" s="24" t="str">
        <f aca="false">IF(A652="","",IF(OR(AND(R652&lt;&gt;"",R652&lt;0),AND(S652&lt;&gt;"",S652&lt;0)),"EXPIRED",IF(OR(AND(R652&lt;&gt;"",R652&lt;=Settings!$B$15),AND(S652&lt;&gt;"",S652&lt;=Settings!$B$15)),"EXPIRING SOON","OK")))</f>
        <v/>
      </c>
      <c r="U652" s="24" t="str">
        <f aca="false">IF(AND(C652="Own",Q652="Active"),COUNTIFS($C$5:C652,"Own",$Q$5:Q652,"Active"),"")</f>
        <v/>
      </c>
      <c r="V652" s="26" t="str">
        <f aca="false">IF(C652&lt;&gt;"Own","",IF(K652="Hourly",N652,(L652+M652)/(Settings!$B$11*Settings!$B$12)))</f>
        <v/>
      </c>
    </row>
    <row r="653" customFormat="false" ht="15" hidden="false" customHeight="false" outlineLevel="0" collapsed="false">
      <c r="R653" s="25" t="str">
        <f aca="true">IF(I653="","",I653-TODAY())</f>
        <v/>
      </c>
      <c r="S653" s="25" t="str">
        <f aca="true">IF(J653="","",J653-TODAY())</f>
        <v/>
      </c>
      <c r="T653" s="24" t="str">
        <f aca="false">IF(A653="","",IF(OR(AND(R653&lt;&gt;"",R653&lt;0),AND(S653&lt;&gt;"",S653&lt;0)),"EXPIRED",IF(OR(AND(R653&lt;&gt;"",R653&lt;=Settings!$B$15),AND(S653&lt;&gt;"",S653&lt;=Settings!$B$15)),"EXPIRING SOON","OK")))</f>
        <v/>
      </c>
      <c r="U653" s="24" t="str">
        <f aca="false">IF(AND(C653="Own",Q653="Active"),COUNTIFS($C$5:C653,"Own",$Q$5:Q653,"Active"),"")</f>
        <v/>
      </c>
      <c r="V653" s="26" t="str">
        <f aca="false">IF(C653&lt;&gt;"Own","",IF(K653="Hourly",N653,(L653+M653)/(Settings!$B$11*Settings!$B$12)))</f>
        <v/>
      </c>
    </row>
    <row r="654" customFormat="false" ht="15" hidden="false" customHeight="false" outlineLevel="0" collapsed="false">
      <c r="R654" s="25" t="str">
        <f aca="true">IF(I654="","",I654-TODAY())</f>
        <v/>
      </c>
      <c r="S654" s="25" t="str">
        <f aca="true">IF(J654="","",J654-TODAY())</f>
        <v/>
      </c>
      <c r="T654" s="24" t="str">
        <f aca="false">IF(A654="","",IF(OR(AND(R654&lt;&gt;"",R654&lt;0),AND(S654&lt;&gt;"",S654&lt;0)),"EXPIRED",IF(OR(AND(R654&lt;&gt;"",R654&lt;=Settings!$B$15),AND(S654&lt;&gt;"",S654&lt;=Settings!$B$15)),"EXPIRING SOON","OK")))</f>
        <v/>
      </c>
      <c r="U654" s="24" t="str">
        <f aca="false">IF(AND(C654="Own",Q654="Active"),COUNTIFS($C$5:C654,"Own",$Q$5:Q654,"Active"),"")</f>
        <v/>
      </c>
      <c r="V654" s="26" t="str">
        <f aca="false">IF(C654&lt;&gt;"Own","",IF(K654="Hourly",N654,(L654+M654)/(Settings!$B$11*Settings!$B$12)))</f>
        <v/>
      </c>
    </row>
    <row r="655" customFormat="false" ht="15" hidden="false" customHeight="false" outlineLevel="0" collapsed="false">
      <c r="R655" s="25" t="str">
        <f aca="true">IF(I655="","",I655-TODAY())</f>
        <v/>
      </c>
      <c r="S655" s="25" t="str">
        <f aca="true">IF(J655="","",J655-TODAY())</f>
        <v/>
      </c>
      <c r="T655" s="24" t="str">
        <f aca="false">IF(A655="","",IF(OR(AND(R655&lt;&gt;"",R655&lt;0),AND(S655&lt;&gt;"",S655&lt;0)),"EXPIRED",IF(OR(AND(R655&lt;&gt;"",R655&lt;=Settings!$B$15),AND(S655&lt;&gt;"",S655&lt;=Settings!$B$15)),"EXPIRING SOON","OK")))</f>
        <v/>
      </c>
      <c r="U655" s="24" t="str">
        <f aca="false">IF(AND(C655="Own",Q655="Active"),COUNTIFS($C$5:C655,"Own",$Q$5:Q655,"Active"),"")</f>
        <v/>
      </c>
      <c r="V655" s="26" t="str">
        <f aca="false">IF(C655&lt;&gt;"Own","",IF(K655="Hourly",N655,(L655+M655)/(Settings!$B$11*Settings!$B$12)))</f>
        <v/>
      </c>
    </row>
    <row r="656" customFormat="false" ht="15" hidden="false" customHeight="false" outlineLevel="0" collapsed="false">
      <c r="R656" s="25" t="str">
        <f aca="true">IF(I656="","",I656-TODAY())</f>
        <v/>
      </c>
      <c r="S656" s="25" t="str">
        <f aca="true">IF(J656="","",J656-TODAY())</f>
        <v/>
      </c>
      <c r="T656" s="24" t="str">
        <f aca="false">IF(A656="","",IF(OR(AND(R656&lt;&gt;"",R656&lt;0),AND(S656&lt;&gt;"",S656&lt;0)),"EXPIRED",IF(OR(AND(R656&lt;&gt;"",R656&lt;=Settings!$B$15),AND(S656&lt;&gt;"",S656&lt;=Settings!$B$15)),"EXPIRING SOON","OK")))</f>
        <v/>
      </c>
      <c r="U656" s="24" t="str">
        <f aca="false">IF(AND(C656="Own",Q656="Active"),COUNTIFS($C$5:C656,"Own",$Q$5:Q656,"Active"),"")</f>
        <v/>
      </c>
      <c r="V656" s="26" t="str">
        <f aca="false">IF(C656&lt;&gt;"Own","",IF(K656="Hourly",N656,(L656+M656)/(Settings!$B$11*Settings!$B$12)))</f>
        <v/>
      </c>
    </row>
    <row r="657" customFormat="false" ht="15" hidden="false" customHeight="false" outlineLevel="0" collapsed="false">
      <c r="R657" s="25" t="str">
        <f aca="true">IF(I657="","",I657-TODAY())</f>
        <v/>
      </c>
      <c r="S657" s="25" t="str">
        <f aca="true">IF(J657="","",J657-TODAY())</f>
        <v/>
      </c>
      <c r="T657" s="24" t="str">
        <f aca="false">IF(A657="","",IF(OR(AND(R657&lt;&gt;"",R657&lt;0),AND(S657&lt;&gt;"",S657&lt;0)),"EXPIRED",IF(OR(AND(R657&lt;&gt;"",R657&lt;=Settings!$B$15),AND(S657&lt;&gt;"",S657&lt;=Settings!$B$15)),"EXPIRING SOON","OK")))</f>
        <v/>
      </c>
      <c r="U657" s="24" t="str">
        <f aca="false">IF(AND(C657="Own",Q657="Active"),COUNTIFS($C$5:C657,"Own",$Q$5:Q657,"Active"),"")</f>
        <v/>
      </c>
      <c r="V657" s="26" t="str">
        <f aca="false">IF(C657&lt;&gt;"Own","",IF(K657="Hourly",N657,(L657+M657)/(Settings!$B$11*Settings!$B$12)))</f>
        <v/>
      </c>
    </row>
    <row r="658" customFormat="false" ht="15" hidden="false" customHeight="false" outlineLevel="0" collapsed="false">
      <c r="R658" s="25" t="str">
        <f aca="true">IF(I658="","",I658-TODAY())</f>
        <v/>
      </c>
      <c r="S658" s="25" t="str">
        <f aca="true">IF(J658="","",J658-TODAY())</f>
        <v/>
      </c>
      <c r="T658" s="24" t="str">
        <f aca="false">IF(A658="","",IF(OR(AND(R658&lt;&gt;"",R658&lt;0),AND(S658&lt;&gt;"",S658&lt;0)),"EXPIRED",IF(OR(AND(R658&lt;&gt;"",R658&lt;=Settings!$B$15),AND(S658&lt;&gt;"",S658&lt;=Settings!$B$15)),"EXPIRING SOON","OK")))</f>
        <v/>
      </c>
      <c r="U658" s="24" t="str">
        <f aca="false">IF(AND(C658="Own",Q658="Active"),COUNTIFS($C$5:C658,"Own",$Q$5:Q658,"Active"),"")</f>
        <v/>
      </c>
      <c r="V658" s="26" t="str">
        <f aca="false">IF(C658&lt;&gt;"Own","",IF(K658="Hourly",N658,(L658+M658)/(Settings!$B$11*Settings!$B$12)))</f>
        <v/>
      </c>
    </row>
    <row r="659" customFormat="false" ht="15" hidden="false" customHeight="false" outlineLevel="0" collapsed="false">
      <c r="R659" s="25" t="str">
        <f aca="true">IF(I659="","",I659-TODAY())</f>
        <v/>
      </c>
      <c r="S659" s="25" t="str">
        <f aca="true">IF(J659="","",J659-TODAY())</f>
        <v/>
      </c>
      <c r="T659" s="24" t="str">
        <f aca="false">IF(A659="","",IF(OR(AND(R659&lt;&gt;"",R659&lt;0),AND(S659&lt;&gt;"",S659&lt;0)),"EXPIRED",IF(OR(AND(R659&lt;&gt;"",R659&lt;=Settings!$B$15),AND(S659&lt;&gt;"",S659&lt;=Settings!$B$15)),"EXPIRING SOON","OK")))</f>
        <v/>
      </c>
      <c r="U659" s="24" t="str">
        <f aca="false">IF(AND(C659="Own",Q659="Active"),COUNTIFS($C$5:C659,"Own",$Q$5:Q659,"Active"),"")</f>
        <v/>
      </c>
      <c r="V659" s="26" t="str">
        <f aca="false">IF(C659&lt;&gt;"Own","",IF(K659="Hourly",N659,(L659+M659)/(Settings!$B$11*Settings!$B$12)))</f>
        <v/>
      </c>
    </row>
    <row r="660" customFormat="false" ht="15" hidden="false" customHeight="false" outlineLevel="0" collapsed="false">
      <c r="R660" s="25" t="str">
        <f aca="true">IF(I660="","",I660-TODAY())</f>
        <v/>
      </c>
      <c r="S660" s="25" t="str">
        <f aca="true">IF(J660="","",J660-TODAY())</f>
        <v/>
      </c>
      <c r="T660" s="24" t="str">
        <f aca="false">IF(A660="","",IF(OR(AND(R660&lt;&gt;"",R660&lt;0),AND(S660&lt;&gt;"",S660&lt;0)),"EXPIRED",IF(OR(AND(R660&lt;&gt;"",R660&lt;=Settings!$B$15),AND(S660&lt;&gt;"",S660&lt;=Settings!$B$15)),"EXPIRING SOON","OK")))</f>
        <v/>
      </c>
      <c r="U660" s="24" t="str">
        <f aca="false">IF(AND(C660="Own",Q660="Active"),COUNTIFS($C$5:C660,"Own",$Q$5:Q660,"Active"),"")</f>
        <v/>
      </c>
      <c r="V660" s="26" t="str">
        <f aca="false">IF(C660&lt;&gt;"Own","",IF(K660="Hourly",N660,(L660+M660)/(Settings!$B$11*Settings!$B$12)))</f>
        <v/>
      </c>
    </row>
    <row r="661" customFormat="false" ht="15" hidden="false" customHeight="false" outlineLevel="0" collapsed="false">
      <c r="R661" s="25" t="str">
        <f aca="true">IF(I661="","",I661-TODAY())</f>
        <v/>
      </c>
      <c r="S661" s="25" t="str">
        <f aca="true">IF(J661="","",J661-TODAY())</f>
        <v/>
      </c>
      <c r="T661" s="24" t="str">
        <f aca="false">IF(A661="","",IF(OR(AND(R661&lt;&gt;"",R661&lt;0),AND(S661&lt;&gt;"",S661&lt;0)),"EXPIRED",IF(OR(AND(R661&lt;&gt;"",R661&lt;=Settings!$B$15),AND(S661&lt;&gt;"",S661&lt;=Settings!$B$15)),"EXPIRING SOON","OK")))</f>
        <v/>
      </c>
      <c r="U661" s="24" t="str">
        <f aca="false">IF(AND(C661="Own",Q661="Active"),COUNTIFS($C$5:C661,"Own",$Q$5:Q661,"Active"),"")</f>
        <v/>
      </c>
      <c r="V661" s="26" t="str">
        <f aca="false">IF(C661&lt;&gt;"Own","",IF(K661="Hourly",N661,(L661+M661)/(Settings!$B$11*Settings!$B$12)))</f>
        <v/>
      </c>
    </row>
    <row r="662" customFormat="false" ht="15" hidden="false" customHeight="false" outlineLevel="0" collapsed="false">
      <c r="R662" s="25" t="str">
        <f aca="true">IF(I662="","",I662-TODAY())</f>
        <v/>
      </c>
      <c r="S662" s="25" t="str">
        <f aca="true">IF(J662="","",J662-TODAY())</f>
        <v/>
      </c>
      <c r="T662" s="24" t="str">
        <f aca="false">IF(A662="","",IF(OR(AND(R662&lt;&gt;"",R662&lt;0),AND(S662&lt;&gt;"",S662&lt;0)),"EXPIRED",IF(OR(AND(R662&lt;&gt;"",R662&lt;=Settings!$B$15),AND(S662&lt;&gt;"",S662&lt;=Settings!$B$15)),"EXPIRING SOON","OK")))</f>
        <v/>
      </c>
      <c r="U662" s="24" t="str">
        <f aca="false">IF(AND(C662="Own",Q662="Active"),COUNTIFS($C$5:C662,"Own",$Q$5:Q662,"Active"),"")</f>
        <v/>
      </c>
      <c r="V662" s="26" t="str">
        <f aca="false">IF(C662&lt;&gt;"Own","",IF(K662="Hourly",N662,(L662+M662)/(Settings!$B$11*Settings!$B$12)))</f>
        <v/>
      </c>
    </row>
    <row r="663" customFormat="false" ht="15" hidden="false" customHeight="false" outlineLevel="0" collapsed="false">
      <c r="R663" s="25" t="str">
        <f aca="true">IF(I663="","",I663-TODAY())</f>
        <v/>
      </c>
      <c r="S663" s="25" t="str">
        <f aca="true">IF(J663="","",J663-TODAY())</f>
        <v/>
      </c>
      <c r="T663" s="24" t="str">
        <f aca="false">IF(A663="","",IF(OR(AND(R663&lt;&gt;"",R663&lt;0),AND(S663&lt;&gt;"",S663&lt;0)),"EXPIRED",IF(OR(AND(R663&lt;&gt;"",R663&lt;=Settings!$B$15),AND(S663&lt;&gt;"",S663&lt;=Settings!$B$15)),"EXPIRING SOON","OK")))</f>
        <v/>
      </c>
      <c r="U663" s="24" t="str">
        <f aca="false">IF(AND(C663="Own",Q663="Active"),COUNTIFS($C$5:C663,"Own",$Q$5:Q663,"Active"),"")</f>
        <v/>
      </c>
      <c r="V663" s="26" t="str">
        <f aca="false">IF(C663&lt;&gt;"Own","",IF(K663="Hourly",N663,(L663+M663)/(Settings!$B$11*Settings!$B$12)))</f>
        <v/>
      </c>
    </row>
    <row r="664" customFormat="false" ht="15" hidden="false" customHeight="false" outlineLevel="0" collapsed="false">
      <c r="R664" s="25" t="str">
        <f aca="true">IF(I664="","",I664-TODAY())</f>
        <v/>
      </c>
      <c r="S664" s="25" t="str">
        <f aca="true">IF(J664="","",J664-TODAY())</f>
        <v/>
      </c>
      <c r="T664" s="24" t="str">
        <f aca="false">IF(A664="","",IF(OR(AND(R664&lt;&gt;"",R664&lt;0),AND(S664&lt;&gt;"",S664&lt;0)),"EXPIRED",IF(OR(AND(R664&lt;&gt;"",R664&lt;=Settings!$B$15),AND(S664&lt;&gt;"",S664&lt;=Settings!$B$15)),"EXPIRING SOON","OK")))</f>
        <v/>
      </c>
      <c r="U664" s="24" t="str">
        <f aca="false">IF(AND(C664="Own",Q664="Active"),COUNTIFS($C$5:C664,"Own",$Q$5:Q664,"Active"),"")</f>
        <v/>
      </c>
      <c r="V664" s="26" t="str">
        <f aca="false">IF(C664&lt;&gt;"Own","",IF(K664="Hourly",N664,(L664+M664)/(Settings!$B$11*Settings!$B$12)))</f>
        <v/>
      </c>
    </row>
    <row r="665" customFormat="false" ht="15" hidden="false" customHeight="false" outlineLevel="0" collapsed="false">
      <c r="R665" s="25" t="str">
        <f aca="true">IF(I665="","",I665-TODAY())</f>
        <v/>
      </c>
      <c r="S665" s="25" t="str">
        <f aca="true">IF(J665="","",J665-TODAY())</f>
        <v/>
      </c>
      <c r="T665" s="24" t="str">
        <f aca="false">IF(A665="","",IF(OR(AND(R665&lt;&gt;"",R665&lt;0),AND(S665&lt;&gt;"",S665&lt;0)),"EXPIRED",IF(OR(AND(R665&lt;&gt;"",R665&lt;=Settings!$B$15),AND(S665&lt;&gt;"",S665&lt;=Settings!$B$15)),"EXPIRING SOON","OK")))</f>
        <v/>
      </c>
      <c r="U665" s="24" t="str">
        <f aca="false">IF(AND(C665="Own",Q665="Active"),COUNTIFS($C$5:C665,"Own",$Q$5:Q665,"Active"),"")</f>
        <v/>
      </c>
      <c r="V665" s="26" t="str">
        <f aca="false">IF(C665&lt;&gt;"Own","",IF(K665="Hourly",N665,(L665+M665)/(Settings!$B$11*Settings!$B$12)))</f>
        <v/>
      </c>
    </row>
    <row r="666" customFormat="false" ht="15" hidden="false" customHeight="false" outlineLevel="0" collapsed="false">
      <c r="R666" s="25" t="str">
        <f aca="true">IF(I666="","",I666-TODAY())</f>
        <v/>
      </c>
      <c r="S666" s="25" t="str">
        <f aca="true">IF(J666="","",J666-TODAY())</f>
        <v/>
      </c>
      <c r="T666" s="24" t="str">
        <f aca="false">IF(A666="","",IF(OR(AND(R666&lt;&gt;"",R666&lt;0),AND(S666&lt;&gt;"",S666&lt;0)),"EXPIRED",IF(OR(AND(R666&lt;&gt;"",R666&lt;=Settings!$B$15),AND(S666&lt;&gt;"",S666&lt;=Settings!$B$15)),"EXPIRING SOON","OK")))</f>
        <v/>
      </c>
      <c r="U666" s="24" t="str">
        <f aca="false">IF(AND(C666="Own",Q666="Active"),COUNTIFS($C$5:C666,"Own",$Q$5:Q666,"Active"),"")</f>
        <v/>
      </c>
      <c r="V666" s="26" t="str">
        <f aca="false">IF(C666&lt;&gt;"Own","",IF(K666="Hourly",N666,(L666+M666)/(Settings!$B$11*Settings!$B$12)))</f>
        <v/>
      </c>
    </row>
    <row r="667" customFormat="false" ht="15" hidden="false" customHeight="false" outlineLevel="0" collapsed="false">
      <c r="R667" s="25" t="str">
        <f aca="true">IF(I667="","",I667-TODAY())</f>
        <v/>
      </c>
      <c r="S667" s="25" t="str">
        <f aca="true">IF(J667="","",J667-TODAY())</f>
        <v/>
      </c>
      <c r="T667" s="24" t="str">
        <f aca="false">IF(A667="","",IF(OR(AND(R667&lt;&gt;"",R667&lt;0),AND(S667&lt;&gt;"",S667&lt;0)),"EXPIRED",IF(OR(AND(R667&lt;&gt;"",R667&lt;=Settings!$B$15),AND(S667&lt;&gt;"",S667&lt;=Settings!$B$15)),"EXPIRING SOON","OK")))</f>
        <v/>
      </c>
      <c r="U667" s="24" t="str">
        <f aca="false">IF(AND(C667="Own",Q667="Active"),COUNTIFS($C$5:C667,"Own",$Q$5:Q667,"Active"),"")</f>
        <v/>
      </c>
      <c r="V667" s="26" t="str">
        <f aca="false">IF(C667&lt;&gt;"Own","",IF(K667="Hourly",N667,(L667+M667)/(Settings!$B$11*Settings!$B$12)))</f>
        <v/>
      </c>
    </row>
    <row r="668" customFormat="false" ht="15" hidden="false" customHeight="false" outlineLevel="0" collapsed="false">
      <c r="R668" s="25" t="str">
        <f aca="true">IF(I668="","",I668-TODAY())</f>
        <v/>
      </c>
      <c r="S668" s="25" t="str">
        <f aca="true">IF(J668="","",J668-TODAY())</f>
        <v/>
      </c>
      <c r="T668" s="24" t="str">
        <f aca="false">IF(A668="","",IF(OR(AND(R668&lt;&gt;"",R668&lt;0),AND(S668&lt;&gt;"",S668&lt;0)),"EXPIRED",IF(OR(AND(R668&lt;&gt;"",R668&lt;=Settings!$B$15),AND(S668&lt;&gt;"",S668&lt;=Settings!$B$15)),"EXPIRING SOON","OK")))</f>
        <v/>
      </c>
      <c r="U668" s="24" t="str">
        <f aca="false">IF(AND(C668="Own",Q668="Active"),COUNTIFS($C$5:C668,"Own",$Q$5:Q668,"Active"),"")</f>
        <v/>
      </c>
      <c r="V668" s="26" t="str">
        <f aca="false">IF(C668&lt;&gt;"Own","",IF(K668="Hourly",N668,(L668+M668)/(Settings!$B$11*Settings!$B$12)))</f>
        <v/>
      </c>
    </row>
    <row r="669" customFormat="false" ht="15" hidden="false" customHeight="false" outlineLevel="0" collapsed="false">
      <c r="R669" s="25" t="str">
        <f aca="true">IF(I669="","",I669-TODAY())</f>
        <v/>
      </c>
      <c r="S669" s="25" t="str">
        <f aca="true">IF(J669="","",J669-TODAY())</f>
        <v/>
      </c>
      <c r="T669" s="24" t="str">
        <f aca="false">IF(A669="","",IF(OR(AND(R669&lt;&gt;"",R669&lt;0),AND(S669&lt;&gt;"",S669&lt;0)),"EXPIRED",IF(OR(AND(R669&lt;&gt;"",R669&lt;=Settings!$B$15),AND(S669&lt;&gt;"",S669&lt;=Settings!$B$15)),"EXPIRING SOON","OK")))</f>
        <v/>
      </c>
      <c r="U669" s="24" t="str">
        <f aca="false">IF(AND(C669="Own",Q669="Active"),COUNTIFS($C$5:C669,"Own",$Q$5:Q669,"Active"),"")</f>
        <v/>
      </c>
      <c r="V669" s="26" t="str">
        <f aca="false">IF(C669&lt;&gt;"Own","",IF(K669="Hourly",N669,(L669+M669)/(Settings!$B$11*Settings!$B$12)))</f>
        <v/>
      </c>
    </row>
    <row r="670" customFormat="false" ht="15" hidden="false" customHeight="false" outlineLevel="0" collapsed="false">
      <c r="R670" s="25" t="str">
        <f aca="true">IF(I670="","",I670-TODAY())</f>
        <v/>
      </c>
      <c r="S670" s="25" t="str">
        <f aca="true">IF(J670="","",J670-TODAY())</f>
        <v/>
      </c>
      <c r="T670" s="24" t="str">
        <f aca="false">IF(A670="","",IF(OR(AND(R670&lt;&gt;"",R670&lt;0),AND(S670&lt;&gt;"",S670&lt;0)),"EXPIRED",IF(OR(AND(R670&lt;&gt;"",R670&lt;=Settings!$B$15),AND(S670&lt;&gt;"",S670&lt;=Settings!$B$15)),"EXPIRING SOON","OK")))</f>
        <v/>
      </c>
      <c r="U670" s="24" t="str">
        <f aca="false">IF(AND(C670="Own",Q670="Active"),COUNTIFS($C$5:C670,"Own",$Q$5:Q670,"Active"),"")</f>
        <v/>
      </c>
      <c r="V670" s="26" t="str">
        <f aca="false">IF(C670&lt;&gt;"Own","",IF(K670="Hourly",N670,(L670+M670)/(Settings!$B$11*Settings!$B$12)))</f>
        <v/>
      </c>
    </row>
    <row r="671" customFormat="false" ht="15" hidden="false" customHeight="false" outlineLevel="0" collapsed="false">
      <c r="R671" s="25" t="str">
        <f aca="true">IF(I671="","",I671-TODAY())</f>
        <v/>
      </c>
      <c r="S671" s="25" t="str">
        <f aca="true">IF(J671="","",J671-TODAY())</f>
        <v/>
      </c>
      <c r="T671" s="24" t="str">
        <f aca="false">IF(A671="","",IF(OR(AND(R671&lt;&gt;"",R671&lt;0),AND(S671&lt;&gt;"",S671&lt;0)),"EXPIRED",IF(OR(AND(R671&lt;&gt;"",R671&lt;=Settings!$B$15),AND(S671&lt;&gt;"",S671&lt;=Settings!$B$15)),"EXPIRING SOON","OK")))</f>
        <v/>
      </c>
      <c r="U671" s="24" t="str">
        <f aca="false">IF(AND(C671="Own",Q671="Active"),COUNTIFS($C$5:C671,"Own",$Q$5:Q671,"Active"),"")</f>
        <v/>
      </c>
      <c r="V671" s="26" t="str">
        <f aca="false">IF(C671&lt;&gt;"Own","",IF(K671="Hourly",N671,(L671+M671)/(Settings!$B$11*Settings!$B$12)))</f>
        <v/>
      </c>
    </row>
    <row r="672" customFormat="false" ht="15" hidden="false" customHeight="false" outlineLevel="0" collapsed="false">
      <c r="R672" s="25" t="str">
        <f aca="true">IF(I672="","",I672-TODAY())</f>
        <v/>
      </c>
      <c r="S672" s="25" t="str">
        <f aca="true">IF(J672="","",J672-TODAY())</f>
        <v/>
      </c>
      <c r="T672" s="24" t="str">
        <f aca="false">IF(A672="","",IF(OR(AND(R672&lt;&gt;"",R672&lt;0),AND(S672&lt;&gt;"",S672&lt;0)),"EXPIRED",IF(OR(AND(R672&lt;&gt;"",R672&lt;=Settings!$B$15),AND(S672&lt;&gt;"",S672&lt;=Settings!$B$15)),"EXPIRING SOON","OK")))</f>
        <v/>
      </c>
      <c r="U672" s="24" t="str">
        <f aca="false">IF(AND(C672="Own",Q672="Active"),COUNTIFS($C$5:C672,"Own",$Q$5:Q672,"Active"),"")</f>
        <v/>
      </c>
      <c r="V672" s="26" t="str">
        <f aca="false">IF(C672&lt;&gt;"Own","",IF(K672="Hourly",N672,(L672+M672)/(Settings!$B$11*Settings!$B$12)))</f>
        <v/>
      </c>
    </row>
    <row r="673" customFormat="false" ht="15" hidden="false" customHeight="false" outlineLevel="0" collapsed="false">
      <c r="R673" s="25" t="str">
        <f aca="true">IF(I673="","",I673-TODAY())</f>
        <v/>
      </c>
      <c r="S673" s="25" t="str">
        <f aca="true">IF(J673="","",J673-TODAY())</f>
        <v/>
      </c>
      <c r="T673" s="24" t="str">
        <f aca="false">IF(A673="","",IF(OR(AND(R673&lt;&gt;"",R673&lt;0),AND(S673&lt;&gt;"",S673&lt;0)),"EXPIRED",IF(OR(AND(R673&lt;&gt;"",R673&lt;=Settings!$B$15),AND(S673&lt;&gt;"",S673&lt;=Settings!$B$15)),"EXPIRING SOON","OK")))</f>
        <v/>
      </c>
      <c r="U673" s="24" t="str">
        <f aca="false">IF(AND(C673="Own",Q673="Active"),COUNTIFS($C$5:C673,"Own",$Q$5:Q673,"Active"),"")</f>
        <v/>
      </c>
      <c r="V673" s="26" t="str">
        <f aca="false">IF(C673&lt;&gt;"Own","",IF(K673="Hourly",N673,(L673+M673)/(Settings!$B$11*Settings!$B$12)))</f>
        <v/>
      </c>
    </row>
    <row r="674" customFormat="false" ht="15" hidden="false" customHeight="false" outlineLevel="0" collapsed="false">
      <c r="R674" s="25" t="str">
        <f aca="true">IF(I674="","",I674-TODAY())</f>
        <v/>
      </c>
      <c r="S674" s="25" t="str">
        <f aca="true">IF(J674="","",J674-TODAY())</f>
        <v/>
      </c>
      <c r="T674" s="24" t="str">
        <f aca="false">IF(A674="","",IF(OR(AND(R674&lt;&gt;"",R674&lt;0),AND(S674&lt;&gt;"",S674&lt;0)),"EXPIRED",IF(OR(AND(R674&lt;&gt;"",R674&lt;=Settings!$B$15),AND(S674&lt;&gt;"",S674&lt;=Settings!$B$15)),"EXPIRING SOON","OK")))</f>
        <v/>
      </c>
      <c r="U674" s="24" t="str">
        <f aca="false">IF(AND(C674="Own",Q674="Active"),COUNTIFS($C$5:C674,"Own",$Q$5:Q674,"Active"),"")</f>
        <v/>
      </c>
      <c r="V674" s="26" t="str">
        <f aca="false">IF(C674&lt;&gt;"Own","",IF(K674="Hourly",N674,(L674+M674)/(Settings!$B$11*Settings!$B$12)))</f>
        <v/>
      </c>
    </row>
    <row r="675" customFormat="false" ht="15" hidden="false" customHeight="false" outlineLevel="0" collapsed="false">
      <c r="R675" s="25" t="str">
        <f aca="true">IF(I675="","",I675-TODAY())</f>
        <v/>
      </c>
      <c r="S675" s="25" t="str">
        <f aca="true">IF(J675="","",J675-TODAY())</f>
        <v/>
      </c>
      <c r="T675" s="24" t="str">
        <f aca="false">IF(A675="","",IF(OR(AND(R675&lt;&gt;"",R675&lt;0),AND(S675&lt;&gt;"",S675&lt;0)),"EXPIRED",IF(OR(AND(R675&lt;&gt;"",R675&lt;=Settings!$B$15),AND(S675&lt;&gt;"",S675&lt;=Settings!$B$15)),"EXPIRING SOON","OK")))</f>
        <v/>
      </c>
      <c r="U675" s="24" t="str">
        <f aca="false">IF(AND(C675="Own",Q675="Active"),COUNTIFS($C$5:C675,"Own",$Q$5:Q675,"Active"),"")</f>
        <v/>
      </c>
      <c r="V675" s="26" t="str">
        <f aca="false">IF(C675&lt;&gt;"Own","",IF(K675="Hourly",N675,(L675+M675)/(Settings!$B$11*Settings!$B$12)))</f>
        <v/>
      </c>
    </row>
    <row r="676" customFormat="false" ht="15" hidden="false" customHeight="false" outlineLevel="0" collapsed="false">
      <c r="R676" s="25" t="str">
        <f aca="true">IF(I676="","",I676-TODAY())</f>
        <v/>
      </c>
      <c r="S676" s="25" t="str">
        <f aca="true">IF(J676="","",J676-TODAY())</f>
        <v/>
      </c>
      <c r="T676" s="24" t="str">
        <f aca="false">IF(A676="","",IF(OR(AND(R676&lt;&gt;"",R676&lt;0),AND(S676&lt;&gt;"",S676&lt;0)),"EXPIRED",IF(OR(AND(R676&lt;&gt;"",R676&lt;=Settings!$B$15),AND(S676&lt;&gt;"",S676&lt;=Settings!$B$15)),"EXPIRING SOON","OK")))</f>
        <v/>
      </c>
      <c r="U676" s="24" t="str">
        <f aca="false">IF(AND(C676="Own",Q676="Active"),COUNTIFS($C$5:C676,"Own",$Q$5:Q676,"Active"),"")</f>
        <v/>
      </c>
      <c r="V676" s="26" t="str">
        <f aca="false">IF(C676&lt;&gt;"Own","",IF(K676="Hourly",N676,(L676+M676)/(Settings!$B$11*Settings!$B$12)))</f>
        <v/>
      </c>
    </row>
    <row r="677" customFormat="false" ht="15" hidden="false" customHeight="false" outlineLevel="0" collapsed="false">
      <c r="R677" s="25" t="str">
        <f aca="true">IF(I677="","",I677-TODAY())</f>
        <v/>
      </c>
      <c r="S677" s="25" t="str">
        <f aca="true">IF(J677="","",J677-TODAY())</f>
        <v/>
      </c>
      <c r="T677" s="24" t="str">
        <f aca="false">IF(A677="","",IF(OR(AND(R677&lt;&gt;"",R677&lt;0),AND(S677&lt;&gt;"",S677&lt;0)),"EXPIRED",IF(OR(AND(R677&lt;&gt;"",R677&lt;=Settings!$B$15),AND(S677&lt;&gt;"",S677&lt;=Settings!$B$15)),"EXPIRING SOON","OK")))</f>
        <v/>
      </c>
      <c r="U677" s="24" t="str">
        <f aca="false">IF(AND(C677="Own",Q677="Active"),COUNTIFS($C$5:C677,"Own",$Q$5:Q677,"Active"),"")</f>
        <v/>
      </c>
      <c r="V677" s="26" t="str">
        <f aca="false">IF(C677&lt;&gt;"Own","",IF(K677="Hourly",N677,(L677+M677)/(Settings!$B$11*Settings!$B$12)))</f>
        <v/>
      </c>
    </row>
    <row r="678" customFormat="false" ht="15" hidden="false" customHeight="false" outlineLevel="0" collapsed="false">
      <c r="R678" s="25" t="str">
        <f aca="true">IF(I678="","",I678-TODAY())</f>
        <v/>
      </c>
      <c r="S678" s="25" t="str">
        <f aca="true">IF(J678="","",J678-TODAY())</f>
        <v/>
      </c>
      <c r="T678" s="24" t="str">
        <f aca="false">IF(A678="","",IF(OR(AND(R678&lt;&gt;"",R678&lt;0),AND(S678&lt;&gt;"",S678&lt;0)),"EXPIRED",IF(OR(AND(R678&lt;&gt;"",R678&lt;=Settings!$B$15),AND(S678&lt;&gt;"",S678&lt;=Settings!$B$15)),"EXPIRING SOON","OK")))</f>
        <v/>
      </c>
      <c r="U678" s="24" t="str">
        <f aca="false">IF(AND(C678="Own",Q678="Active"),COUNTIFS($C$5:C678,"Own",$Q$5:Q678,"Active"),"")</f>
        <v/>
      </c>
      <c r="V678" s="26" t="str">
        <f aca="false">IF(C678&lt;&gt;"Own","",IF(K678="Hourly",N678,(L678+M678)/(Settings!$B$11*Settings!$B$12)))</f>
        <v/>
      </c>
    </row>
    <row r="679" customFormat="false" ht="15" hidden="false" customHeight="false" outlineLevel="0" collapsed="false">
      <c r="R679" s="25" t="str">
        <f aca="true">IF(I679="","",I679-TODAY())</f>
        <v/>
      </c>
      <c r="S679" s="25" t="str">
        <f aca="true">IF(J679="","",J679-TODAY())</f>
        <v/>
      </c>
      <c r="T679" s="24" t="str">
        <f aca="false">IF(A679="","",IF(OR(AND(R679&lt;&gt;"",R679&lt;0),AND(S679&lt;&gt;"",S679&lt;0)),"EXPIRED",IF(OR(AND(R679&lt;&gt;"",R679&lt;=Settings!$B$15),AND(S679&lt;&gt;"",S679&lt;=Settings!$B$15)),"EXPIRING SOON","OK")))</f>
        <v/>
      </c>
      <c r="U679" s="24" t="str">
        <f aca="false">IF(AND(C679="Own",Q679="Active"),COUNTIFS($C$5:C679,"Own",$Q$5:Q679,"Active"),"")</f>
        <v/>
      </c>
      <c r="V679" s="26" t="str">
        <f aca="false">IF(C679&lt;&gt;"Own","",IF(K679="Hourly",N679,(L679+M679)/(Settings!$B$11*Settings!$B$12)))</f>
        <v/>
      </c>
    </row>
    <row r="680" customFormat="false" ht="15" hidden="false" customHeight="false" outlineLevel="0" collapsed="false">
      <c r="R680" s="25" t="str">
        <f aca="true">IF(I680="","",I680-TODAY())</f>
        <v/>
      </c>
      <c r="S680" s="25" t="str">
        <f aca="true">IF(J680="","",J680-TODAY())</f>
        <v/>
      </c>
      <c r="T680" s="24" t="str">
        <f aca="false">IF(A680="","",IF(OR(AND(R680&lt;&gt;"",R680&lt;0),AND(S680&lt;&gt;"",S680&lt;0)),"EXPIRED",IF(OR(AND(R680&lt;&gt;"",R680&lt;=Settings!$B$15),AND(S680&lt;&gt;"",S680&lt;=Settings!$B$15)),"EXPIRING SOON","OK")))</f>
        <v/>
      </c>
      <c r="U680" s="24" t="str">
        <f aca="false">IF(AND(C680="Own",Q680="Active"),COUNTIFS($C$5:C680,"Own",$Q$5:Q680,"Active"),"")</f>
        <v/>
      </c>
      <c r="V680" s="26" t="str">
        <f aca="false">IF(C680&lt;&gt;"Own","",IF(K680="Hourly",N680,(L680+M680)/(Settings!$B$11*Settings!$B$12)))</f>
        <v/>
      </c>
    </row>
    <row r="681" customFormat="false" ht="15" hidden="false" customHeight="false" outlineLevel="0" collapsed="false">
      <c r="R681" s="25" t="str">
        <f aca="true">IF(I681="","",I681-TODAY())</f>
        <v/>
      </c>
      <c r="S681" s="25" t="str">
        <f aca="true">IF(J681="","",J681-TODAY())</f>
        <v/>
      </c>
      <c r="T681" s="24" t="str">
        <f aca="false">IF(A681="","",IF(OR(AND(R681&lt;&gt;"",R681&lt;0),AND(S681&lt;&gt;"",S681&lt;0)),"EXPIRED",IF(OR(AND(R681&lt;&gt;"",R681&lt;=Settings!$B$15),AND(S681&lt;&gt;"",S681&lt;=Settings!$B$15)),"EXPIRING SOON","OK")))</f>
        <v/>
      </c>
      <c r="U681" s="24" t="str">
        <f aca="false">IF(AND(C681="Own",Q681="Active"),COUNTIFS($C$5:C681,"Own",$Q$5:Q681,"Active"),"")</f>
        <v/>
      </c>
      <c r="V681" s="26" t="str">
        <f aca="false">IF(C681&lt;&gt;"Own","",IF(K681="Hourly",N681,(L681+M681)/(Settings!$B$11*Settings!$B$12)))</f>
        <v/>
      </c>
    </row>
    <row r="682" customFormat="false" ht="15" hidden="false" customHeight="false" outlineLevel="0" collapsed="false">
      <c r="R682" s="25" t="str">
        <f aca="true">IF(I682="","",I682-TODAY())</f>
        <v/>
      </c>
      <c r="S682" s="25" t="str">
        <f aca="true">IF(J682="","",J682-TODAY())</f>
        <v/>
      </c>
      <c r="T682" s="24" t="str">
        <f aca="false">IF(A682="","",IF(OR(AND(R682&lt;&gt;"",R682&lt;0),AND(S682&lt;&gt;"",S682&lt;0)),"EXPIRED",IF(OR(AND(R682&lt;&gt;"",R682&lt;=Settings!$B$15),AND(S682&lt;&gt;"",S682&lt;=Settings!$B$15)),"EXPIRING SOON","OK")))</f>
        <v/>
      </c>
      <c r="U682" s="24" t="str">
        <f aca="false">IF(AND(C682="Own",Q682="Active"),COUNTIFS($C$5:C682,"Own",$Q$5:Q682,"Active"),"")</f>
        <v/>
      </c>
      <c r="V682" s="26" t="str">
        <f aca="false">IF(C682&lt;&gt;"Own","",IF(K682="Hourly",N682,(L682+M682)/(Settings!$B$11*Settings!$B$12)))</f>
        <v/>
      </c>
    </row>
    <row r="683" customFormat="false" ht="15" hidden="false" customHeight="false" outlineLevel="0" collapsed="false">
      <c r="R683" s="25" t="str">
        <f aca="true">IF(I683="","",I683-TODAY())</f>
        <v/>
      </c>
      <c r="S683" s="25" t="str">
        <f aca="true">IF(J683="","",J683-TODAY())</f>
        <v/>
      </c>
      <c r="T683" s="24" t="str">
        <f aca="false">IF(A683="","",IF(OR(AND(R683&lt;&gt;"",R683&lt;0),AND(S683&lt;&gt;"",S683&lt;0)),"EXPIRED",IF(OR(AND(R683&lt;&gt;"",R683&lt;=Settings!$B$15),AND(S683&lt;&gt;"",S683&lt;=Settings!$B$15)),"EXPIRING SOON","OK")))</f>
        <v/>
      </c>
      <c r="U683" s="24" t="str">
        <f aca="false">IF(AND(C683="Own",Q683="Active"),COUNTIFS($C$5:C683,"Own",$Q$5:Q683,"Active"),"")</f>
        <v/>
      </c>
      <c r="V683" s="26" t="str">
        <f aca="false">IF(C683&lt;&gt;"Own","",IF(K683="Hourly",N683,(L683+M683)/(Settings!$B$11*Settings!$B$12)))</f>
        <v/>
      </c>
    </row>
    <row r="684" customFormat="false" ht="15" hidden="false" customHeight="false" outlineLevel="0" collapsed="false">
      <c r="R684" s="25" t="str">
        <f aca="true">IF(I684="","",I684-TODAY())</f>
        <v/>
      </c>
      <c r="S684" s="25" t="str">
        <f aca="true">IF(J684="","",J684-TODAY())</f>
        <v/>
      </c>
      <c r="T684" s="24" t="str">
        <f aca="false">IF(A684="","",IF(OR(AND(R684&lt;&gt;"",R684&lt;0),AND(S684&lt;&gt;"",S684&lt;0)),"EXPIRED",IF(OR(AND(R684&lt;&gt;"",R684&lt;=Settings!$B$15),AND(S684&lt;&gt;"",S684&lt;=Settings!$B$15)),"EXPIRING SOON","OK")))</f>
        <v/>
      </c>
      <c r="U684" s="24" t="str">
        <f aca="false">IF(AND(C684="Own",Q684="Active"),COUNTIFS($C$5:C684,"Own",$Q$5:Q684,"Active"),"")</f>
        <v/>
      </c>
      <c r="V684" s="26" t="str">
        <f aca="false">IF(C684&lt;&gt;"Own","",IF(K684="Hourly",N684,(L684+M684)/(Settings!$B$11*Settings!$B$12)))</f>
        <v/>
      </c>
    </row>
    <row r="685" customFormat="false" ht="15" hidden="false" customHeight="false" outlineLevel="0" collapsed="false">
      <c r="R685" s="25" t="str">
        <f aca="true">IF(I685="","",I685-TODAY())</f>
        <v/>
      </c>
      <c r="S685" s="25" t="str">
        <f aca="true">IF(J685="","",J685-TODAY())</f>
        <v/>
      </c>
      <c r="T685" s="24" t="str">
        <f aca="false">IF(A685="","",IF(OR(AND(R685&lt;&gt;"",R685&lt;0),AND(S685&lt;&gt;"",S685&lt;0)),"EXPIRED",IF(OR(AND(R685&lt;&gt;"",R685&lt;=Settings!$B$15),AND(S685&lt;&gt;"",S685&lt;=Settings!$B$15)),"EXPIRING SOON","OK")))</f>
        <v/>
      </c>
      <c r="U685" s="24" t="str">
        <f aca="false">IF(AND(C685="Own",Q685="Active"),COUNTIFS($C$5:C685,"Own",$Q$5:Q685,"Active"),"")</f>
        <v/>
      </c>
      <c r="V685" s="26" t="str">
        <f aca="false">IF(C685&lt;&gt;"Own","",IF(K685="Hourly",N685,(L685+M685)/(Settings!$B$11*Settings!$B$12)))</f>
        <v/>
      </c>
    </row>
    <row r="686" customFormat="false" ht="15" hidden="false" customHeight="false" outlineLevel="0" collapsed="false">
      <c r="R686" s="25" t="str">
        <f aca="true">IF(I686="","",I686-TODAY())</f>
        <v/>
      </c>
      <c r="S686" s="25" t="str">
        <f aca="true">IF(J686="","",J686-TODAY())</f>
        <v/>
      </c>
      <c r="T686" s="24" t="str">
        <f aca="false">IF(A686="","",IF(OR(AND(R686&lt;&gt;"",R686&lt;0),AND(S686&lt;&gt;"",S686&lt;0)),"EXPIRED",IF(OR(AND(R686&lt;&gt;"",R686&lt;=Settings!$B$15),AND(S686&lt;&gt;"",S686&lt;=Settings!$B$15)),"EXPIRING SOON","OK")))</f>
        <v/>
      </c>
      <c r="U686" s="24" t="str">
        <f aca="false">IF(AND(C686="Own",Q686="Active"),COUNTIFS($C$5:C686,"Own",$Q$5:Q686,"Active"),"")</f>
        <v/>
      </c>
      <c r="V686" s="26" t="str">
        <f aca="false">IF(C686&lt;&gt;"Own","",IF(K686="Hourly",N686,(L686+M686)/(Settings!$B$11*Settings!$B$12)))</f>
        <v/>
      </c>
    </row>
    <row r="687" customFormat="false" ht="15" hidden="false" customHeight="false" outlineLevel="0" collapsed="false">
      <c r="R687" s="25" t="str">
        <f aca="true">IF(I687="","",I687-TODAY())</f>
        <v/>
      </c>
      <c r="S687" s="25" t="str">
        <f aca="true">IF(J687="","",J687-TODAY())</f>
        <v/>
      </c>
      <c r="T687" s="24" t="str">
        <f aca="false">IF(A687="","",IF(OR(AND(R687&lt;&gt;"",R687&lt;0),AND(S687&lt;&gt;"",S687&lt;0)),"EXPIRED",IF(OR(AND(R687&lt;&gt;"",R687&lt;=Settings!$B$15),AND(S687&lt;&gt;"",S687&lt;=Settings!$B$15)),"EXPIRING SOON","OK")))</f>
        <v/>
      </c>
      <c r="U687" s="24" t="str">
        <f aca="false">IF(AND(C687="Own",Q687="Active"),COUNTIFS($C$5:C687,"Own",$Q$5:Q687,"Active"),"")</f>
        <v/>
      </c>
      <c r="V687" s="26" t="str">
        <f aca="false">IF(C687&lt;&gt;"Own","",IF(K687="Hourly",N687,(L687+M687)/(Settings!$B$11*Settings!$B$12)))</f>
        <v/>
      </c>
    </row>
    <row r="688" customFormat="false" ht="15" hidden="false" customHeight="false" outlineLevel="0" collapsed="false">
      <c r="R688" s="25" t="str">
        <f aca="true">IF(I688="","",I688-TODAY())</f>
        <v/>
      </c>
      <c r="S688" s="25" t="str">
        <f aca="true">IF(J688="","",J688-TODAY())</f>
        <v/>
      </c>
      <c r="T688" s="24" t="str">
        <f aca="false">IF(A688="","",IF(OR(AND(R688&lt;&gt;"",R688&lt;0),AND(S688&lt;&gt;"",S688&lt;0)),"EXPIRED",IF(OR(AND(R688&lt;&gt;"",R688&lt;=Settings!$B$15),AND(S688&lt;&gt;"",S688&lt;=Settings!$B$15)),"EXPIRING SOON","OK")))</f>
        <v/>
      </c>
      <c r="U688" s="24" t="str">
        <f aca="false">IF(AND(C688="Own",Q688="Active"),COUNTIFS($C$5:C688,"Own",$Q$5:Q688,"Active"),"")</f>
        <v/>
      </c>
      <c r="V688" s="26" t="str">
        <f aca="false">IF(C688&lt;&gt;"Own","",IF(K688="Hourly",N688,(L688+M688)/(Settings!$B$11*Settings!$B$12)))</f>
        <v/>
      </c>
    </row>
    <row r="689" customFormat="false" ht="15" hidden="false" customHeight="false" outlineLevel="0" collapsed="false">
      <c r="R689" s="25" t="str">
        <f aca="true">IF(I689="","",I689-TODAY())</f>
        <v/>
      </c>
      <c r="S689" s="25" t="str">
        <f aca="true">IF(J689="","",J689-TODAY())</f>
        <v/>
      </c>
      <c r="T689" s="24" t="str">
        <f aca="false">IF(A689="","",IF(OR(AND(R689&lt;&gt;"",R689&lt;0),AND(S689&lt;&gt;"",S689&lt;0)),"EXPIRED",IF(OR(AND(R689&lt;&gt;"",R689&lt;=Settings!$B$15),AND(S689&lt;&gt;"",S689&lt;=Settings!$B$15)),"EXPIRING SOON","OK")))</f>
        <v/>
      </c>
      <c r="U689" s="24" t="str">
        <f aca="false">IF(AND(C689="Own",Q689="Active"),COUNTIFS($C$5:C689,"Own",$Q$5:Q689,"Active"),"")</f>
        <v/>
      </c>
      <c r="V689" s="26" t="str">
        <f aca="false">IF(C689&lt;&gt;"Own","",IF(K689="Hourly",N689,(L689+M689)/(Settings!$B$11*Settings!$B$12)))</f>
        <v/>
      </c>
    </row>
    <row r="690" customFormat="false" ht="15" hidden="false" customHeight="false" outlineLevel="0" collapsed="false">
      <c r="R690" s="25" t="str">
        <f aca="true">IF(I690="","",I690-TODAY())</f>
        <v/>
      </c>
      <c r="S690" s="25" t="str">
        <f aca="true">IF(J690="","",J690-TODAY())</f>
        <v/>
      </c>
      <c r="T690" s="24" t="str">
        <f aca="false">IF(A690="","",IF(OR(AND(R690&lt;&gt;"",R690&lt;0),AND(S690&lt;&gt;"",S690&lt;0)),"EXPIRED",IF(OR(AND(R690&lt;&gt;"",R690&lt;=Settings!$B$15),AND(S690&lt;&gt;"",S690&lt;=Settings!$B$15)),"EXPIRING SOON","OK")))</f>
        <v/>
      </c>
      <c r="U690" s="24" t="str">
        <f aca="false">IF(AND(C690="Own",Q690="Active"),COUNTIFS($C$5:C690,"Own",$Q$5:Q690,"Active"),"")</f>
        <v/>
      </c>
      <c r="V690" s="26" t="str">
        <f aca="false">IF(C690&lt;&gt;"Own","",IF(K690="Hourly",N690,(L690+M690)/(Settings!$B$11*Settings!$B$12)))</f>
        <v/>
      </c>
    </row>
    <row r="691" customFormat="false" ht="15" hidden="false" customHeight="false" outlineLevel="0" collapsed="false">
      <c r="R691" s="25" t="str">
        <f aca="true">IF(I691="","",I691-TODAY())</f>
        <v/>
      </c>
      <c r="S691" s="25" t="str">
        <f aca="true">IF(J691="","",J691-TODAY())</f>
        <v/>
      </c>
      <c r="T691" s="24" t="str">
        <f aca="false">IF(A691="","",IF(OR(AND(R691&lt;&gt;"",R691&lt;0),AND(S691&lt;&gt;"",S691&lt;0)),"EXPIRED",IF(OR(AND(R691&lt;&gt;"",R691&lt;=Settings!$B$15),AND(S691&lt;&gt;"",S691&lt;=Settings!$B$15)),"EXPIRING SOON","OK")))</f>
        <v/>
      </c>
      <c r="U691" s="24" t="str">
        <f aca="false">IF(AND(C691="Own",Q691="Active"),COUNTIFS($C$5:C691,"Own",$Q$5:Q691,"Active"),"")</f>
        <v/>
      </c>
      <c r="V691" s="26" t="str">
        <f aca="false">IF(C691&lt;&gt;"Own","",IF(K691="Hourly",N691,(L691+M691)/(Settings!$B$11*Settings!$B$12)))</f>
        <v/>
      </c>
    </row>
    <row r="692" customFormat="false" ht="15" hidden="false" customHeight="false" outlineLevel="0" collapsed="false">
      <c r="R692" s="25" t="str">
        <f aca="true">IF(I692="","",I692-TODAY())</f>
        <v/>
      </c>
      <c r="S692" s="25" t="str">
        <f aca="true">IF(J692="","",J692-TODAY())</f>
        <v/>
      </c>
      <c r="T692" s="24" t="str">
        <f aca="false">IF(A692="","",IF(OR(AND(R692&lt;&gt;"",R692&lt;0),AND(S692&lt;&gt;"",S692&lt;0)),"EXPIRED",IF(OR(AND(R692&lt;&gt;"",R692&lt;=Settings!$B$15),AND(S692&lt;&gt;"",S692&lt;=Settings!$B$15)),"EXPIRING SOON","OK")))</f>
        <v/>
      </c>
      <c r="U692" s="24" t="str">
        <f aca="false">IF(AND(C692="Own",Q692="Active"),COUNTIFS($C$5:C692,"Own",$Q$5:Q692,"Active"),"")</f>
        <v/>
      </c>
      <c r="V692" s="26" t="str">
        <f aca="false">IF(C692&lt;&gt;"Own","",IF(K692="Hourly",N692,(L692+M692)/(Settings!$B$11*Settings!$B$12)))</f>
        <v/>
      </c>
    </row>
    <row r="693" customFormat="false" ht="15" hidden="false" customHeight="false" outlineLevel="0" collapsed="false">
      <c r="R693" s="25" t="str">
        <f aca="true">IF(I693="","",I693-TODAY())</f>
        <v/>
      </c>
      <c r="S693" s="25" t="str">
        <f aca="true">IF(J693="","",J693-TODAY())</f>
        <v/>
      </c>
      <c r="T693" s="24" t="str">
        <f aca="false">IF(A693="","",IF(OR(AND(R693&lt;&gt;"",R693&lt;0),AND(S693&lt;&gt;"",S693&lt;0)),"EXPIRED",IF(OR(AND(R693&lt;&gt;"",R693&lt;=Settings!$B$15),AND(S693&lt;&gt;"",S693&lt;=Settings!$B$15)),"EXPIRING SOON","OK")))</f>
        <v/>
      </c>
      <c r="U693" s="24" t="str">
        <f aca="false">IF(AND(C693="Own",Q693="Active"),COUNTIFS($C$5:C693,"Own",$Q$5:Q693,"Active"),"")</f>
        <v/>
      </c>
      <c r="V693" s="26" t="str">
        <f aca="false">IF(C693&lt;&gt;"Own","",IF(K693="Hourly",N693,(L693+M693)/(Settings!$B$11*Settings!$B$12)))</f>
        <v/>
      </c>
    </row>
    <row r="694" customFormat="false" ht="15" hidden="false" customHeight="false" outlineLevel="0" collapsed="false">
      <c r="R694" s="25" t="str">
        <f aca="true">IF(I694="","",I694-TODAY())</f>
        <v/>
      </c>
      <c r="S694" s="25" t="str">
        <f aca="true">IF(J694="","",J694-TODAY())</f>
        <v/>
      </c>
      <c r="T694" s="24" t="str">
        <f aca="false">IF(A694="","",IF(OR(AND(R694&lt;&gt;"",R694&lt;0),AND(S694&lt;&gt;"",S694&lt;0)),"EXPIRED",IF(OR(AND(R694&lt;&gt;"",R694&lt;=Settings!$B$15),AND(S694&lt;&gt;"",S694&lt;=Settings!$B$15)),"EXPIRING SOON","OK")))</f>
        <v/>
      </c>
      <c r="U694" s="24" t="str">
        <f aca="false">IF(AND(C694="Own",Q694="Active"),COUNTIFS($C$5:C694,"Own",$Q$5:Q694,"Active"),"")</f>
        <v/>
      </c>
      <c r="V694" s="26" t="str">
        <f aca="false">IF(C694&lt;&gt;"Own","",IF(K694="Hourly",N694,(L694+M694)/(Settings!$B$11*Settings!$B$12)))</f>
        <v/>
      </c>
    </row>
    <row r="695" customFormat="false" ht="15" hidden="false" customHeight="false" outlineLevel="0" collapsed="false">
      <c r="R695" s="25" t="str">
        <f aca="true">IF(I695="","",I695-TODAY())</f>
        <v/>
      </c>
      <c r="S695" s="25" t="str">
        <f aca="true">IF(J695="","",J695-TODAY())</f>
        <v/>
      </c>
      <c r="T695" s="24" t="str">
        <f aca="false">IF(A695="","",IF(OR(AND(R695&lt;&gt;"",R695&lt;0),AND(S695&lt;&gt;"",S695&lt;0)),"EXPIRED",IF(OR(AND(R695&lt;&gt;"",R695&lt;=Settings!$B$15),AND(S695&lt;&gt;"",S695&lt;=Settings!$B$15)),"EXPIRING SOON","OK")))</f>
        <v/>
      </c>
      <c r="U695" s="24" t="str">
        <f aca="false">IF(AND(C695="Own",Q695="Active"),COUNTIFS($C$5:C695,"Own",$Q$5:Q695,"Active"),"")</f>
        <v/>
      </c>
      <c r="V695" s="26" t="str">
        <f aca="false">IF(C695&lt;&gt;"Own","",IF(K695="Hourly",N695,(L695+M695)/(Settings!$B$11*Settings!$B$12)))</f>
        <v/>
      </c>
    </row>
    <row r="696" customFormat="false" ht="15" hidden="false" customHeight="false" outlineLevel="0" collapsed="false">
      <c r="R696" s="25" t="str">
        <f aca="true">IF(I696="","",I696-TODAY())</f>
        <v/>
      </c>
      <c r="S696" s="25" t="str">
        <f aca="true">IF(J696="","",J696-TODAY())</f>
        <v/>
      </c>
      <c r="T696" s="24" t="str">
        <f aca="false">IF(A696="","",IF(OR(AND(R696&lt;&gt;"",R696&lt;0),AND(S696&lt;&gt;"",S696&lt;0)),"EXPIRED",IF(OR(AND(R696&lt;&gt;"",R696&lt;=Settings!$B$15),AND(S696&lt;&gt;"",S696&lt;=Settings!$B$15)),"EXPIRING SOON","OK")))</f>
        <v/>
      </c>
      <c r="U696" s="24" t="str">
        <f aca="false">IF(AND(C696="Own",Q696="Active"),COUNTIFS($C$5:C696,"Own",$Q$5:Q696,"Active"),"")</f>
        <v/>
      </c>
      <c r="V696" s="26" t="str">
        <f aca="false">IF(C696&lt;&gt;"Own","",IF(K696="Hourly",N696,(L696+M696)/(Settings!$B$11*Settings!$B$12)))</f>
        <v/>
      </c>
    </row>
    <row r="697" customFormat="false" ht="15" hidden="false" customHeight="false" outlineLevel="0" collapsed="false">
      <c r="R697" s="25" t="str">
        <f aca="true">IF(I697="","",I697-TODAY())</f>
        <v/>
      </c>
      <c r="S697" s="25" t="str">
        <f aca="true">IF(J697="","",J697-TODAY())</f>
        <v/>
      </c>
      <c r="T697" s="24" t="str">
        <f aca="false">IF(A697="","",IF(OR(AND(R697&lt;&gt;"",R697&lt;0),AND(S697&lt;&gt;"",S697&lt;0)),"EXPIRED",IF(OR(AND(R697&lt;&gt;"",R697&lt;=Settings!$B$15),AND(S697&lt;&gt;"",S697&lt;=Settings!$B$15)),"EXPIRING SOON","OK")))</f>
        <v/>
      </c>
      <c r="U697" s="24" t="str">
        <f aca="false">IF(AND(C697="Own",Q697="Active"),COUNTIFS($C$5:C697,"Own",$Q$5:Q697,"Active"),"")</f>
        <v/>
      </c>
      <c r="V697" s="26" t="str">
        <f aca="false">IF(C697&lt;&gt;"Own","",IF(K697="Hourly",N697,(L697+M697)/(Settings!$B$11*Settings!$B$12)))</f>
        <v/>
      </c>
    </row>
    <row r="698" customFormat="false" ht="15" hidden="false" customHeight="false" outlineLevel="0" collapsed="false">
      <c r="R698" s="25" t="str">
        <f aca="true">IF(I698="","",I698-TODAY())</f>
        <v/>
      </c>
      <c r="S698" s="25" t="str">
        <f aca="true">IF(J698="","",J698-TODAY())</f>
        <v/>
      </c>
      <c r="T698" s="24" t="str">
        <f aca="false">IF(A698="","",IF(OR(AND(R698&lt;&gt;"",R698&lt;0),AND(S698&lt;&gt;"",S698&lt;0)),"EXPIRED",IF(OR(AND(R698&lt;&gt;"",R698&lt;=Settings!$B$15),AND(S698&lt;&gt;"",S698&lt;=Settings!$B$15)),"EXPIRING SOON","OK")))</f>
        <v/>
      </c>
      <c r="U698" s="24" t="str">
        <f aca="false">IF(AND(C698="Own",Q698="Active"),COUNTIFS($C$5:C698,"Own",$Q$5:Q698,"Active"),"")</f>
        <v/>
      </c>
      <c r="V698" s="26" t="str">
        <f aca="false">IF(C698&lt;&gt;"Own","",IF(K698="Hourly",N698,(L698+M698)/(Settings!$B$11*Settings!$B$12)))</f>
        <v/>
      </c>
    </row>
    <row r="699" customFormat="false" ht="15" hidden="false" customHeight="false" outlineLevel="0" collapsed="false">
      <c r="R699" s="25" t="str">
        <f aca="true">IF(I699="","",I699-TODAY())</f>
        <v/>
      </c>
      <c r="S699" s="25" t="str">
        <f aca="true">IF(J699="","",J699-TODAY())</f>
        <v/>
      </c>
      <c r="T699" s="24" t="str">
        <f aca="false">IF(A699="","",IF(OR(AND(R699&lt;&gt;"",R699&lt;0),AND(S699&lt;&gt;"",S699&lt;0)),"EXPIRED",IF(OR(AND(R699&lt;&gt;"",R699&lt;=Settings!$B$15),AND(S699&lt;&gt;"",S699&lt;=Settings!$B$15)),"EXPIRING SOON","OK")))</f>
        <v/>
      </c>
      <c r="U699" s="24" t="str">
        <f aca="false">IF(AND(C699="Own",Q699="Active"),COUNTIFS($C$5:C699,"Own",$Q$5:Q699,"Active"),"")</f>
        <v/>
      </c>
      <c r="V699" s="26" t="str">
        <f aca="false">IF(C699&lt;&gt;"Own","",IF(K699="Hourly",N699,(L699+M699)/(Settings!$B$11*Settings!$B$12)))</f>
        <v/>
      </c>
    </row>
    <row r="700" customFormat="false" ht="15" hidden="false" customHeight="false" outlineLevel="0" collapsed="false">
      <c r="R700" s="25" t="str">
        <f aca="true">IF(I700="","",I700-TODAY())</f>
        <v/>
      </c>
      <c r="S700" s="25" t="str">
        <f aca="true">IF(J700="","",J700-TODAY())</f>
        <v/>
      </c>
      <c r="T700" s="24" t="str">
        <f aca="false">IF(A700="","",IF(OR(AND(R700&lt;&gt;"",R700&lt;0),AND(S700&lt;&gt;"",S700&lt;0)),"EXPIRED",IF(OR(AND(R700&lt;&gt;"",R700&lt;=Settings!$B$15),AND(S700&lt;&gt;"",S700&lt;=Settings!$B$15)),"EXPIRING SOON","OK")))</f>
        <v/>
      </c>
      <c r="U700" s="24" t="str">
        <f aca="false">IF(AND(C700="Own",Q700="Active"),COUNTIFS($C$5:C700,"Own",$Q$5:Q700,"Active"),"")</f>
        <v/>
      </c>
      <c r="V700" s="26" t="str">
        <f aca="false">IF(C700&lt;&gt;"Own","",IF(K700="Hourly",N700,(L700+M700)/(Settings!$B$11*Settings!$B$12)))</f>
        <v/>
      </c>
    </row>
    <row r="701" customFormat="false" ht="15" hidden="false" customHeight="false" outlineLevel="0" collapsed="false">
      <c r="R701" s="25" t="str">
        <f aca="true">IF(I701="","",I701-TODAY())</f>
        <v/>
      </c>
      <c r="S701" s="25" t="str">
        <f aca="true">IF(J701="","",J701-TODAY())</f>
        <v/>
      </c>
      <c r="T701" s="24" t="str">
        <f aca="false">IF(A701="","",IF(OR(AND(R701&lt;&gt;"",R701&lt;0),AND(S701&lt;&gt;"",S701&lt;0)),"EXPIRED",IF(OR(AND(R701&lt;&gt;"",R701&lt;=Settings!$B$15),AND(S701&lt;&gt;"",S701&lt;=Settings!$B$15)),"EXPIRING SOON","OK")))</f>
        <v/>
      </c>
      <c r="U701" s="24" t="str">
        <f aca="false">IF(AND(C701="Own",Q701="Active"),COUNTIFS($C$5:C701,"Own",$Q$5:Q701,"Active"),"")</f>
        <v/>
      </c>
      <c r="V701" s="26" t="str">
        <f aca="false">IF(C701&lt;&gt;"Own","",IF(K701="Hourly",N701,(L701+M701)/(Settings!$B$11*Settings!$B$12)))</f>
        <v/>
      </c>
    </row>
    <row r="702" customFormat="false" ht="15" hidden="false" customHeight="false" outlineLevel="0" collapsed="false">
      <c r="R702" s="25" t="str">
        <f aca="true">IF(I702="","",I702-TODAY())</f>
        <v/>
      </c>
      <c r="S702" s="25" t="str">
        <f aca="true">IF(J702="","",J702-TODAY())</f>
        <v/>
      </c>
      <c r="T702" s="24" t="str">
        <f aca="false">IF(A702="","",IF(OR(AND(R702&lt;&gt;"",R702&lt;0),AND(S702&lt;&gt;"",S702&lt;0)),"EXPIRED",IF(OR(AND(R702&lt;&gt;"",R702&lt;=Settings!$B$15),AND(S702&lt;&gt;"",S702&lt;=Settings!$B$15)),"EXPIRING SOON","OK")))</f>
        <v/>
      </c>
      <c r="U702" s="24" t="str">
        <f aca="false">IF(AND(C702="Own",Q702="Active"),COUNTIFS($C$5:C702,"Own",$Q$5:Q702,"Active"),"")</f>
        <v/>
      </c>
      <c r="V702" s="26" t="str">
        <f aca="false">IF(C702&lt;&gt;"Own","",IF(K702="Hourly",N702,(L702+M702)/(Settings!$B$11*Settings!$B$12)))</f>
        <v/>
      </c>
    </row>
    <row r="703" customFormat="false" ht="15" hidden="false" customHeight="false" outlineLevel="0" collapsed="false">
      <c r="R703" s="25" t="str">
        <f aca="true">IF(I703="","",I703-TODAY())</f>
        <v/>
      </c>
      <c r="S703" s="25" t="str">
        <f aca="true">IF(J703="","",J703-TODAY())</f>
        <v/>
      </c>
      <c r="T703" s="24" t="str">
        <f aca="false">IF(A703="","",IF(OR(AND(R703&lt;&gt;"",R703&lt;0),AND(S703&lt;&gt;"",S703&lt;0)),"EXPIRED",IF(OR(AND(R703&lt;&gt;"",R703&lt;=Settings!$B$15),AND(S703&lt;&gt;"",S703&lt;=Settings!$B$15)),"EXPIRING SOON","OK")))</f>
        <v/>
      </c>
      <c r="U703" s="24" t="str">
        <f aca="false">IF(AND(C703="Own",Q703="Active"),COUNTIFS($C$5:C703,"Own",$Q$5:Q703,"Active"),"")</f>
        <v/>
      </c>
      <c r="V703" s="26" t="str">
        <f aca="false">IF(C703&lt;&gt;"Own","",IF(K703="Hourly",N703,(L703+M703)/(Settings!$B$11*Settings!$B$12)))</f>
        <v/>
      </c>
    </row>
    <row r="704" customFormat="false" ht="15" hidden="false" customHeight="false" outlineLevel="0" collapsed="false">
      <c r="R704" s="25" t="str">
        <f aca="true">IF(I704="","",I704-TODAY())</f>
        <v/>
      </c>
      <c r="S704" s="25" t="str">
        <f aca="true">IF(J704="","",J704-TODAY())</f>
        <v/>
      </c>
      <c r="T704" s="24" t="str">
        <f aca="false">IF(A704="","",IF(OR(AND(R704&lt;&gt;"",R704&lt;0),AND(S704&lt;&gt;"",S704&lt;0)),"EXPIRED",IF(OR(AND(R704&lt;&gt;"",R704&lt;=Settings!$B$15),AND(S704&lt;&gt;"",S704&lt;=Settings!$B$15)),"EXPIRING SOON","OK")))</f>
        <v/>
      </c>
      <c r="U704" s="24" t="str">
        <f aca="false">IF(AND(C704="Own",Q704="Active"),COUNTIFS($C$5:C704,"Own",$Q$5:Q704,"Active"),"")</f>
        <v/>
      </c>
      <c r="V704" s="26" t="str">
        <f aca="false">IF(C704&lt;&gt;"Own","",IF(K704="Hourly",N704,(L704+M704)/(Settings!$B$11*Settings!$B$12)))</f>
        <v/>
      </c>
    </row>
    <row r="705" customFormat="false" ht="15" hidden="false" customHeight="false" outlineLevel="0" collapsed="false">
      <c r="R705" s="25" t="str">
        <f aca="true">IF(I705="","",I705-TODAY())</f>
        <v/>
      </c>
      <c r="S705" s="25" t="str">
        <f aca="true">IF(J705="","",J705-TODAY())</f>
        <v/>
      </c>
      <c r="T705" s="24" t="str">
        <f aca="false">IF(A705="","",IF(OR(AND(R705&lt;&gt;"",R705&lt;0),AND(S705&lt;&gt;"",S705&lt;0)),"EXPIRED",IF(OR(AND(R705&lt;&gt;"",R705&lt;=Settings!$B$15),AND(S705&lt;&gt;"",S705&lt;=Settings!$B$15)),"EXPIRING SOON","OK")))</f>
        <v/>
      </c>
      <c r="U705" s="24" t="str">
        <f aca="false">IF(AND(C705="Own",Q705="Active"),COUNTIFS($C$5:C705,"Own",$Q$5:Q705,"Active"),"")</f>
        <v/>
      </c>
      <c r="V705" s="26" t="str">
        <f aca="false">IF(C705&lt;&gt;"Own","",IF(K705="Hourly",N705,(L705+M705)/(Settings!$B$11*Settings!$B$12)))</f>
        <v/>
      </c>
    </row>
    <row r="706" customFormat="false" ht="15" hidden="false" customHeight="false" outlineLevel="0" collapsed="false">
      <c r="R706" s="25" t="str">
        <f aca="true">IF(I706="","",I706-TODAY())</f>
        <v/>
      </c>
      <c r="S706" s="25" t="str">
        <f aca="true">IF(J706="","",J706-TODAY())</f>
        <v/>
      </c>
      <c r="T706" s="24" t="str">
        <f aca="false">IF(A706="","",IF(OR(AND(R706&lt;&gt;"",R706&lt;0),AND(S706&lt;&gt;"",S706&lt;0)),"EXPIRED",IF(OR(AND(R706&lt;&gt;"",R706&lt;=Settings!$B$15),AND(S706&lt;&gt;"",S706&lt;=Settings!$B$15)),"EXPIRING SOON","OK")))</f>
        <v/>
      </c>
      <c r="U706" s="24" t="str">
        <f aca="false">IF(AND(C706="Own",Q706="Active"),COUNTIFS($C$5:C706,"Own",$Q$5:Q706,"Active"),"")</f>
        <v/>
      </c>
      <c r="V706" s="26" t="str">
        <f aca="false">IF(C706&lt;&gt;"Own","",IF(K706="Hourly",N706,(L706+M706)/(Settings!$B$11*Settings!$B$12)))</f>
        <v/>
      </c>
    </row>
    <row r="707" customFormat="false" ht="15" hidden="false" customHeight="false" outlineLevel="0" collapsed="false">
      <c r="R707" s="25" t="str">
        <f aca="true">IF(I707="","",I707-TODAY())</f>
        <v/>
      </c>
      <c r="S707" s="25" t="str">
        <f aca="true">IF(J707="","",J707-TODAY())</f>
        <v/>
      </c>
      <c r="T707" s="24" t="str">
        <f aca="false">IF(A707="","",IF(OR(AND(R707&lt;&gt;"",R707&lt;0),AND(S707&lt;&gt;"",S707&lt;0)),"EXPIRED",IF(OR(AND(R707&lt;&gt;"",R707&lt;=Settings!$B$15),AND(S707&lt;&gt;"",S707&lt;=Settings!$B$15)),"EXPIRING SOON","OK")))</f>
        <v/>
      </c>
      <c r="U707" s="24" t="str">
        <f aca="false">IF(AND(C707="Own",Q707="Active"),COUNTIFS($C$5:C707,"Own",$Q$5:Q707,"Active"),"")</f>
        <v/>
      </c>
      <c r="V707" s="26" t="str">
        <f aca="false">IF(C707&lt;&gt;"Own","",IF(K707="Hourly",N707,(L707+M707)/(Settings!$B$11*Settings!$B$12)))</f>
        <v/>
      </c>
    </row>
    <row r="708" customFormat="false" ht="15" hidden="false" customHeight="false" outlineLevel="0" collapsed="false">
      <c r="R708" s="25" t="str">
        <f aca="true">IF(I708="","",I708-TODAY())</f>
        <v/>
      </c>
      <c r="S708" s="25" t="str">
        <f aca="true">IF(J708="","",J708-TODAY())</f>
        <v/>
      </c>
      <c r="T708" s="24" t="str">
        <f aca="false">IF(A708="","",IF(OR(AND(R708&lt;&gt;"",R708&lt;0),AND(S708&lt;&gt;"",S708&lt;0)),"EXPIRED",IF(OR(AND(R708&lt;&gt;"",R708&lt;=Settings!$B$15),AND(S708&lt;&gt;"",S708&lt;=Settings!$B$15)),"EXPIRING SOON","OK")))</f>
        <v/>
      </c>
      <c r="U708" s="24" t="str">
        <f aca="false">IF(AND(C708="Own",Q708="Active"),COUNTIFS($C$5:C708,"Own",$Q$5:Q708,"Active"),"")</f>
        <v/>
      </c>
      <c r="V708" s="26" t="str">
        <f aca="false">IF(C708&lt;&gt;"Own","",IF(K708="Hourly",N708,(L708+M708)/(Settings!$B$11*Settings!$B$12)))</f>
        <v/>
      </c>
    </row>
    <row r="709" customFormat="false" ht="15" hidden="false" customHeight="false" outlineLevel="0" collapsed="false">
      <c r="R709" s="25" t="str">
        <f aca="true">IF(I709="","",I709-TODAY())</f>
        <v/>
      </c>
      <c r="S709" s="25" t="str">
        <f aca="true">IF(J709="","",J709-TODAY())</f>
        <v/>
      </c>
      <c r="T709" s="24" t="str">
        <f aca="false">IF(A709="","",IF(OR(AND(R709&lt;&gt;"",R709&lt;0),AND(S709&lt;&gt;"",S709&lt;0)),"EXPIRED",IF(OR(AND(R709&lt;&gt;"",R709&lt;=Settings!$B$15),AND(S709&lt;&gt;"",S709&lt;=Settings!$B$15)),"EXPIRING SOON","OK")))</f>
        <v/>
      </c>
      <c r="U709" s="24" t="str">
        <f aca="false">IF(AND(C709="Own",Q709="Active"),COUNTIFS($C$5:C709,"Own",$Q$5:Q709,"Active"),"")</f>
        <v/>
      </c>
      <c r="V709" s="26" t="str">
        <f aca="false">IF(C709&lt;&gt;"Own","",IF(K709="Hourly",N709,(L709+M709)/(Settings!$B$11*Settings!$B$12)))</f>
        <v/>
      </c>
    </row>
    <row r="710" customFormat="false" ht="15" hidden="false" customHeight="false" outlineLevel="0" collapsed="false">
      <c r="R710" s="25" t="str">
        <f aca="true">IF(I710="","",I710-TODAY())</f>
        <v/>
      </c>
      <c r="S710" s="25" t="str">
        <f aca="true">IF(J710="","",J710-TODAY())</f>
        <v/>
      </c>
      <c r="T710" s="24" t="str">
        <f aca="false">IF(A710="","",IF(OR(AND(R710&lt;&gt;"",R710&lt;0),AND(S710&lt;&gt;"",S710&lt;0)),"EXPIRED",IF(OR(AND(R710&lt;&gt;"",R710&lt;=Settings!$B$15),AND(S710&lt;&gt;"",S710&lt;=Settings!$B$15)),"EXPIRING SOON","OK")))</f>
        <v/>
      </c>
      <c r="U710" s="24" t="str">
        <f aca="false">IF(AND(C710="Own",Q710="Active"),COUNTIFS($C$5:C710,"Own",$Q$5:Q710,"Active"),"")</f>
        <v/>
      </c>
      <c r="V710" s="26" t="str">
        <f aca="false">IF(C710&lt;&gt;"Own","",IF(K710="Hourly",N710,(L710+M710)/(Settings!$B$11*Settings!$B$12)))</f>
        <v/>
      </c>
    </row>
    <row r="711" customFormat="false" ht="15" hidden="false" customHeight="false" outlineLevel="0" collapsed="false">
      <c r="R711" s="25" t="str">
        <f aca="true">IF(I711="","",I711-TODAY())</f>
        <v/>
      </c>
      <c r="S711" s="25" t="str">
        <f aca="true">IF(J711="","",J711-TODAY())</f>
        <v/>
      </c>
      <c r="T711" s="24" t="str">
        <f aca="false">IF(A711="","",IF(OR(AND(R711&lt;&gt;"",R711&lt;0),AND(S711&lt;&gt;"",S711&lt;0)),"EXPIRED",IF(OR(AND(R711&lt;&gt;"",R711&lt;=Settings!$B$15),AND(S711&lt;&gt;"",S711&lt;=Settings!$B$15)),"EXPIRING SOON","OK")))</f>
        <v/>
      </c>
      <c r="U711" s="24" t="str">
        <f aca="false">IF(AND(C711="Own",Q711="Active"),COUNTIFS($C$5:C711,"Own",$Q$5:Q711,"Active"),"")</f>
        <v/>
      </c>
      <c r="V711" s="26" t="str">
        <f aca="false">IF(C711&lt;&gt;"Own","",IF(K711="Hourly",N711,(L711+M711)/(Settings!$B$11*Settings!$B$12)))</f>
        <v/>
      </c>
    </row>
    <row r="712" customFormat="false" ht="15" hidden="false" customHeight="false" outlineLevel="0" collapsed="false">
      <c r="R712" s="25" t="str">
        <f aca="true">IF(I712="","",I712-TODAY())</f>
        <v/>
      </c>
      <c r="S712" s="25" t="str">
        <f aca="true">IF(J712="","",J712-TODAY())</f>
        <v/>
      </c>
      <c r="T712" s="24" t="str">
        <f aca="false">IF(A712="","",IF(OR(AND(R712&lt;&gt;"",R712&lt;0),AND(S712&lt;&gt;"",S712&lt;0)),"EXPIRED",IF(OR(AND(R712&lt;&gt;"",R712&lt;=Settings!$B$15),AND(S712&lt;&gt;"",S712&lt;=Settings!$B$15)),"EXPIRING SOON","OK")))</f>
        <v/>
      </c>
      <c r="U712" s="24" t="str">
        <f aca="false">IF(AND(C712="Own",Q712="Active"),COUNTIFS($C$5:C712,"Own",$Q$5:Q712,"Active"),"")</f>
        <v/>
      </c>
      <c r="V712" s="26" t="str">
        <f aca="false">IF(C712&lt;&gt;"Own","",IF(K712="Hourly",N712,(L712+M712)/(Settings!$B$11*Settings!$B$12)))</f>
        <v/>
      </c>
    </row>
    <row r="713" customFormat="false" ht="15" hidden="false" customHeight="false" outlineLevel="0" collapsed="false">
      <c r="R713" s="25" t="str">
        <f aca="true">IF(I713="","",I713-TODAY())</f>
        <v/>
      </c>
      <c r="S713" s="25" t="str">
        <f aca="true">IF(J713="","",J713-TODAY())</f>
        <v/>
      </c>
      <c r="T713" s="24" t="str">
        <f aca="false">IF(A713="","",IF(OR(AND(R713&lt;&gt;"",R713&lt;0),AND(S713&lt;&gt;"",S713&lt;0)),"EXPIRED",IF(OR(AND(R713&lt;&gt;"",R713&lt;=Settings!$B$15),AND(S713&lt;&gt;"",S713&lt;=Settings!$B$15)),"EXPIRING SOON","OK")))</f>
        <v/>
      </c>
      <c r="U713" s="24" t="str">
        <f aca="false">IF(AND(C713="Own",Q713="Active"),COUNTIFS($C$5:C713,"Own",$Q$5:Q713,"Active"),"")</f>
        <v/>
      </c>
      <c r="V713" s="26" t="str">
        <f aca="false">IF(C713&lt;&gt;"Own","",IF(K713="Hourly",N713,(L713+M713)/(Settings!$B$11*Settings!$B$12)))</f>
        <v/>
      </c>
    </row>
    <row r="714" customFormat="false" ht="15" hidden="false" customHeight="false" outlineLevel="0" collapsed="false">
      <c r="R714" s="25" t="str">
        <f aca="true">IF(I714="","",I714-TODAY())</f>
        <v/>
      </c>
      <c r="S714" s="25" t="str">
        <f aca="true">IF(J714="","",J714-TODAY())</f>
        <v/>
      </c>
      <c r="T714" s="24" t="str">
        <f aca="false">IF(A714="","",IF(OR(AND(R714&lt;&gt;"",R714&lt;0),AND(S714&lt;&gt;"",S714&lt;0)),"EXPIRED",IF(OR(AND(R714&lt;&gt;"",R714&lt;=Settings!$B$15),AND(S714&lt;&gt;"",S714&lt;=Settings!$B$15)),"EXPIRING SOON","OK")))</f>
        <v/>
      </c>
      <c r="U714" s="24" t="str">
        <f aca="false">IF(AND(C714="Own",Q714="Active"),COUNTIFS($C$5:C714,"Own",$Q$5:Q714,"Active"),"")</f>
        <v/>
      </c>
      <c r="V714" s="26" t="str">
        <f aca="false">IF(C714&lt;&gt;"Own","",IF(K714="Hourly",N714,(L714+M714)/(Settings!$B$11*Settings!$B$12)))</f>
        <v/>
      </c>
    </row>
    <row r="715" customFormat="false" ht="15" hidden="false" customHeight="false" outlineLevel="0" collapsed="false">
      <c r="R715" s="25" t="str">
        <f aca="true">IF(I715="","",I715-TODAY())</f>
        <v/>
      </c>
      <c r="S715" s="25" t="str">
        <f aca="true">IF(J715="","",J715-TODAY())</f>
        <v/>
      </c>
      <c r="T715" s="24" t="str">
        <f aca="false">IF(A715="","",IF(OR(AND(R715&lt;&gt;"",R715&lt;0),AND(S715&lt;&gt;"",S715&lt;0)),"EXPIRED",IF(OR(AND(R715&lt;&gt;"",R715&lt;=Settings!$B$15),AND(S715&lt;&gt;"",S715&lt;=Settings!$B$15)),"EXPIRING SOON","OK")))</f>
        <v/>
      </c>
      <c r="U715" s="24" t="str">
        <f aca="false">IF(AND(C715="Own",Q715="Active"),COUNTIFS($C$5:C715,"Own",$Q$5:Q715,"Active"),"")</f>
        <v/>
      </c>
      <c r="V715" s="26" t="str">
        <f aca="false">IF(C715&lt;&gt;"Own","",IF(K715="Hourly",N715,(L715+M715)/(Settings!$B$11*Settings!$B$12)))</f>
        <v/>
      </c>
    </row>
    <row r="716" customFormat="false" ht="15" hidden="false" customHeight="false" outlineLevel="0" collapsed="false">
      <c r="R716" s="25" t="str">
        <f aca="true">IF(I716="","",I716-TODAY())</f>
        <v/>
      </c>
      <c r="S716" s="25" t="str">
        <f aca="true">IF(J716="","",J716-TODAY())</f>
        <v/>
      </c>
      <c r="T716" s="24" t="str">
        <f aca="false">IF(A716="","",IF(OR(AND(R716&lt;&gt;"",R716&lt;0),AND(S716&lt;&gt;"",S716&lt;0)),"EXPIRED",IF(OR(AND(R716&lt;&gt;"",R716&lt;=Settings!$B$15),AND(S716&lt;&gt;"",S716&lt;=Settings!$B$15)),"EXPIRING SOON","OK")))</f>
        <v/>
      </c>
      <c r="U716" s="24" t="str">
        <f aca="false">IF(AND(C716="Own",Q716="Active"),COUNTIFS($C$5:C716,"Own",$Q$5:Q716,"Active"),"")</f>
        <v/>
      </c>
      <c r="V716" s="26" t="str">
        <f aca="false">IF(C716&lt;&gt;"Own","",IF(K716="Hourly",N716,(L716+M716)/(Settings!$B$11*Settings!$B$12)))</f>
        <v/>
      </c>
    </row>
    <row r="717" customFormat="false" ht="15" hidden="false" customHeight="false" outlineLevel="0" collapsed="false">
      <c r="R717" s="25" t="str">
        <f aca="true">IF(I717="","",I717-TODAY())</f>
        <v/>
      </c>
      <c r="S717" s="25" t="str">
        <f aca="true">IF(J717="","",J717-TODAY())</f>
        <v/>
      </c>
      <c r="T717" s="24" t="str">
        <f aca="false">IF(A717="","",IF(OR(AND(R717&lt;&gt;"",R717&lt;0),AND(S717&lt;&gt;"",S717&lt;0)),"EXPIRED",IF(OR(AND(R717&lt;&gt;"",R717&lt;=Settings!$B$15),AND(S717&lt;&gt;"",S717&lt;=Settings!$B$15)),"EXPIRING SOON","OK")))</f>
        <v/>
      </c>
      <c r="U717" s="24" t="str">
        <f aca="false">IF(AND(C717="Own",Q717="Active"),COUNTIFS($C$5:C717,"Own",$Q$5:Q717,"Active"),"")</f>
        <v/>
      </c>
      <c r="V717" s="26" t="str">
        <f aca="false">IF(C717&lt;&gt;"Own","",IF(K717="Hourly",N717,(L717+M717)/(Settings!$B$11*Settings!$B$12)))</f>
        <v/>
      </c>
    </row>
    <row r="718" customFormat="false" ht="15" hidden="false" customHeight="false" outlineLevel="0" collapsed="false">
      <c r="R718" s="25" t="str">
        <f aca="true">IF(I718="","",I718-TODAY())</f>
        <v/>
      </c>
      <c r="S718" s="25" t="str">
        <f aca="true">IF(J718="","",J718-TODAY())</f>
        <v/>
      </c>
      <c r="T718" s="24" t="str">
        <f aca="false">IF(A718="","",IF(OR(AND(R718&lt;&gt;"",R718&lt;0),AND(S718&lt;&gt;"",S718&lt;0)),"EXPIRED",IF(OR(AND(R718&lt;&gt;"",R718&lt;=Settings!$B$15),AND(S718&lt;&gt;"",S718&lt;=Settings!$B$15)),"EXPIRING SOON","OK")))</f>
        <v/>
      </c>
      <c r="U718" s="24" t="str">
        <f aca="false">IF(AND(C718="Own",Q718="Active"),COUNTIFS($C$5:C718,"Own",$Q$5:Q718,"Active"),"")</f>
        <v/>
      </c>
      <c r="V718" s="26" t="str">
        <f aca="false">IF(C718&lt;&gt;"Own","",IF(K718="Hourly",N718,(L718+M718)/(Settings!$B$11*Settings!$B$12)))</f>
        <v/>
      </c>
    </row>
    <row r="719" customFormat="false" ht="15" hidden="false" customHeight="false" outlineLevel="0" collapsed="false">
      <c r="R719" s="25" t="str">
        <f aca="true">IF(I719="","",I719-TODAY())</f>
        <v/>
      </c>
      <c r="S719" s="25" t="str">
        <f aca="true">IF(J719="","",J719-TODAY())</f>
        <v/>
      </c>
      <c r="T719" s="24" t="str">
        <f aca="false">IF(A719="","",IF(OR(AND(R719&lt;&gt;"",R719&lt;0),AND(S719&lt;&gt;"",S719&lt;0)),"EXPIRED",IF(OR(AND(R719&lt;&gt;"",R719&lt;=Settings!$B$15),AND(S719&lt;&gt;"",S719&lt;=Settings!$B$15)),"EXPIRING SOON","OK")))</f>
        <v/>
      </c>
      <c r="U719" s="24" t="str">
        <f aca="false">IF(AND(C719="Own",Q719="Active"),COUNTIFS($C$5:C719,"Own",$Q$5:Q719,"Active"),"")</f>
        <v/>
      </c>
      <c r="V719" s="26" t="str">
        <f aca="false">IF(C719&lt;&gt;"Own","",IF(K719="Hourly",N719,(L719+M719)/(Settings!$B$11*Settings!$B$12)))</f>
        <v/>
      </c>
    </row>
    <row r="720" customFormat="false" ht="15" hidden="false" customHeight="false" outlineLevel="0" collapsed="false">
      <c r="R720" s="25" t="str">
        <f aca="true">IF(I720="","",I720-TODAY())</f>
        <v/>
      </c>
      <c r="S720" s="25" t="str">
        <f aca="true">IF(J720="","",J720-TODAY())</f>
        <v/>
      </c>
      <c r="T720" s="24" t="str">
        <f aca="false">IF(A720="","",IF(OR(AND(R720&lt;&gt;"",R720&lt;0),AND(S720&lt;&gt;"",S720&lt;0)),"EXPIRED",IF(OR(AND(R720&lt;&gt;"",R720&lt;=Settings!$B$15),AND(S720&lt;&gt;"",S720&lt;=Settings!$B$15)),"EXPIRING SOON","OK")))</f>
        <v/>
      </c>
      <c r="U720" s="24" t="str">
        <f aca="false">IF(AND(C720="Own",Q720="Active"),COUNTIFS($C$5:C720,"Own",$Q$5:Q720,"Active"),"")</f>
        <v/>
      </c>
      <c r="V720" s="26" t="str">
        <f aca="false">IF(C720&lt;&gt;"Own","",IF(K720="Hourly",N720,(L720+M720)/(Settings!$B$11*Settings!$B$12)))</f>
        <v/>
      </c>
    </row>
    <row r="721" customFormat="false" ht="15" hidden="false" customHeight="false" outlineLevel="0" collapsed="false">
      <c r="R721" s="25" t="str">
        <f aca="true">IF(I721="","",I721-TODAY())</f>
        <v/>
      </c>
      <c r="S721" s="25" t="str">
        <f aca="true">IF(J721="","",J721-TODAY())</f>
        <v/>
      </c>
      <c r="T721" s="24" t="str">
        <f aca="false">IF(A721="","",IF(OR(AND(R721&lt;&gt;"",R721&lt;0),AND(S721&lt;&gt;"",S721&lt;0)),"EXPIRED",IF(OR(AND(R721&lt;&gt;"",R721&lt;=Settings!$B$15),AND(S721&lt;&gt;"",S721&lt;=Settings!$B$15)),"EXPIRING SOON","OK")))</f>
        <v/>
      </c>
      <c r="U721" s="24" t="str">
        <f aca="false">IF(AND(C721="Own",Q721="Active"),COUNTIFS($C$5:C721,"Own",$Q$5:Q721,"Active"),"")</f>
        <v/>
      </c>
      <c r="V721" s="26" t="str">
        <f aca="false">IF(C721&lt;&gt;"Own","",IF(K721="Hourly",N721,(L721+M721)/(Settings!$B$11*Settings!$B$12)))</f>
        <v/>
      </c>
    </row>
    <row r="722" customFormat="false" ht="15" hidden="false" customHeight="false" outlineLevel="0" collapsed="false">
      <c r="R722" s="25" t="str">
        <f aca="true">IF(I722="","",I722-TODAY())</f>
        <v/>
      </c>
      <c r="S722" s="25" t="str">
        <f aca="true">IF(J722="","",J722-TODAY())</f>
        <v/>
      </c>
      <c r="T722" s="24" t="str">
        <f aca="false">IF(A722="","",IF(OR(AND(R722&lt;&gt;"",R722&lt;0),AND(S722&lt;&gt;"",S722&lt;0)),"EXPIRED",IF(OR(AND(R722&lt;&gt;"",R722&lt;=Settings!$B$15),AND(S722&lt;&gt;"",S722&lt;=Settings!$B$15)),"EXPIRING SOON","OK")))</f>
        <v/>
      </c>
      <c r="U722" s="24" t="str">
        <f aca="false">IF(AND(C722="Own",Q722="Active"),COUNTIFS($C$5:C722,"Own",$Q$5:Q722,"Active"),"")</f>
        <v/>
      </c>
      <c r="V722" s="26" t="str">
        <f aca="false">IF(C722&lt;&gt;"Own","",IF(K722="Hourly",N722,(L722+M722)/(Settings!$B$11*Settings!$B$12)))</f>
        <v/>
      </c>
    </row>
    <row r="723" customFormat="false" ht="15" hidden="false" customHeight="false" outlineLevel="0" collapsed="false">
      <c r="R723" s="25" t="str">
        <f aca="true">IF(I723="","",I723-TODAY())</f>
        <v/>
      </c>
      <c r="S723" s="25" t="str">
        <f aca="true">IF(J723="","",J723-TODAY())</f>
        <v/>
      </c>
      <c r="T723" s="24" t="str">
        <f aca="false">IF(A723="","",IF(OR(AND(R723&lt;&gt;"",R723&lt;0),AND(S723&lt;&gt;"",S723&lt;0)),"EXPIRED",IF(OR(AND(R723&lt;&gt;"",R723&lt;=Settings!$B$15),AND(S723&lt;&gt;"",S723&lt;=Settings!$B$15)),"EXPIRING SOON","OK")))</f>
        <v/>
      </c>
      <c r="U723" s="24" t="str">
        <f aca="false">IF(AND(C723="Own",Q723="Active"),COUNTIFS($C$5:C723,"Own",$Q$5:Q723,"Active"),"")</f>
        <v/>
      </c>
      <c r="V723" s="26" t="str">
        <f aca="false">IF(C723&lt;&gt;"Own","",IF(K723="Hourly",N723,(L723+M723)/(Settings!$B$11*Settings!$B$12)))</f>
        <v/>
      </c>
    </row>
    <row r="724" customFormat="false" ht="15" hidden="false" customHeight="false" outlineLevel="0" collapsed="false">
      <c r="R724" s="25" t="str">
        <f aca="true">IF(I724="","",I724-TODAY())</f>
        <v/>
      </c>
      <c r="S724" s="25" t="str">
        <f aca="true">IF(J724="","",J724-TODAY())</f>
        <v/>
      </c>
      <c r="T724" s="24" t="str">
        <f aca="false">IF(A724="","",IF(OR(AND(R724&lt;&gt;"",R724&lt;0),AND(S724&lt;&gt;"",S724&lt;0)),"EXPIRED",IF(OR(AND(R724&lt;&gt;"",R724&lt;=Settings!$B$15),AND(S724&lt;&gt;"",S724&lt;=Settings!$B$15)),"EXPIRING SOON","OK")))</f>
        <v/>
      </c>
      <c r="U724" s="24" t="str">
        <f aca="false">IF(AND(C724="Own",Q724="Active"),COUNTIFS($C$5:C724,"Own",$Q$5:Q724,"Active"),"")</f>
        <v/>
      </c>
      <c r="V724" s="26" t="str">
        <f aca="false">IF(C724&lt;&gt;"Own","",IF(K724="Hourly",N724,(L724+M724)/(Settings!$B$11*Settings!$B$12)))</f>
        <v/>
      </c>
    </row>
    <row r="725" customFormat="false" ht="15" hidden="false" customHeight="false" outlineLevel="0" collapsed="false">
      <c r="R725" s="25" t="str">
        <f aca="true">IF(I725="","",I725-TODAY())</f>
        <v/>
      </c>
      <c r="S725" s="25" t="str">
        <f aca="true">IF(J725="","",J725-TODAY())</f>
        <v/>
      </c>
      <c r="T725" s="24" t="str">
        <f aca="false">IF(A725="","",IF(OR(AND(R725&lt;&gt;"",R725&lt;0),AND(S725&lt;&gt;"",S725&lt;0)),"EXPIRED",IF(OR(AND(R725&lt;&gt;"",R725&lt;=Settings!$B$15),AND(S725&lt;&gt;"",S725&lt;=Settings!$B$15)),"EXPIRING SOON","OK")))</f>
        <v/>
      </c>
      <c r="U725" s="24" t="str">
        <f aca="false">IF(AND(C725="Own",Q725="Active"),COUNTIFS($C$5:C725,"Own",$Q$5:Q725,"Active"),"")</f>
        <v/>
      </c>
      <c r="V725" s="26" t="str">
        <f aca="false">IF(C725&lt;&gt;"Own","",IF(K725="Hourly",N725,(L725+M725)/(Settings!$B$11*Settings!$B$12)))</f>
        <v/>
      </c>
    </row>
    <row r="726" customFormat="false" ht="15" hidden="false" customHeight="false" outlineLevel="0" collapsed="false">
      <c r="R726" s="25" t="str">
        <f aca="true">IF(I726="","",I726-TODAY())</f>
        <v/>
      </c>
      <c r="S726" s="25" t="str">
        <f aca="true">IF(J726="","",J726-TODAY())</f>
        <v/>
      </c>
      <c r="T726" s="24" t="str">
        <f aca="false">IF(A726="","",IF(OR(AND(R726&lt;&gt;"",R726&lt;0),AND(S726&lt;&gt;"",S726&lt;0)),"EXPIRED",IF(OR(AND(R726&lt;&gt;"",R726&lt;=Settings!$B$15),AND(S726&lt;&gt;"",S726&lt;=Settings!$B$15)),"EXPIRING SOON","OK")))</f>
        <v/>
      </c>
      <c r="U726" s="24" t="str">
        <f aca="false">IF(AND(C726="Own",Q726="Active"),COUNTIFS($C$5:C726,"Own",$Q$5:Q726,"Active"),"")</f>
        <v/>
      </c>
      <c r="V726" s="26" t="str">
        <f aca="false">IF(C726&lt;&gt;"Own","",IF(K726="Hourly",N726,(L726+M726)/(Settings!$B$11*Settings!$B$12)))</f>
        <v/>
      </c>
    </row>
    <row r="727" customFormat="false" ht="15" hidden="false" customHeight="false" outlineLevel="0" collapsed="false">
      <c r="R727" s="25" t="str">
        <f aca="true">IF(I727="","",I727-TODAY())</f>
        <v/>
      </c>
      <c r="S727" s="25" t="str">
        <f aca="true">IF(J727="","",J727-TODAY())</f>
        <v/>
      </c>
      <c r="T727" s="24" t="str">
        <f aca="false">IF(A727="","",IF(OR(AND(R727&lt;&gt;"",R727&lt;0),AND(S727&lt;&gt;"",S727&lt;0)),"EXPIRED",IF(OR(AND(R727&lt;&gt;"",R727&lt;=Settings!$B$15),AND(S727&lt;&gt;"",S727&lt;=Settings!$B$15)),"EXPIRING SOON","OK")))</f>
        <v/>
      </c>
      <c r="U727" s="24" t="str">
        <f aca="false">IF(AND(C727="Own",Q727="Active"),COUNTIFS($C$5:C727,"Own",$Q$5:Q727,"Active"),"")</f>
        <v/>
      </c>
      <c r="V727" s="26" t="str">
        <f aca="false">IF(C727&lt;&gt;"Own","",IF(K727="Hourly",N727,(L727+M727)/(Settings!$B$11*Settings!$B$12)))</f>
        <v/>
      </c>
    </row>
    <row r="728" customFormat="false" ht="15" hidden="false" customHeight="false" outlineLevel="0" collapsed="false">
      <c r="R728" s="25" t="str">
        <f aca="true">IF(I728="","",I728-TODAY())</f>
        <v/>
      </c>
      <c r="S728" s="25" t="str">
        <f aca="true">IF(J728="","",J728-TODAY())</f>
        <v/>
      </c>
      <c r="T728" s="24" t="str">
        <f aca="false">IF(A728="","",IF(OR(AND(R728&lt;&gt;"",R728&lt;0),AND(S728&lt;&gt;"",S728&lt;0)),"EXPIRED",IF(OR(AND(R728&lt;&gt;"",R728&lt;=Settings!$B$15),AND(S728&lt;&gt;"",S728&lt;=Settings!$B$15)),"EXPIRING SOON","OK")))</f>
        <v/>
      </c>
      <c r="U728" s="24" t="str">
        <f aca="false">IF(AND(C728="Own",Q728="Active"),COUNTIFS($C$5:C728,"Own",$Q$5:Q728,"Active"),"")</f>
        <v/>
      </c>
      <c r="V728" s="26" t="str">
        <f aca="false">IF(C728&lt;&gt;"Own","",IF(K728="Hourly",N728,(L728+M728)/(Settings!$B$11*Settings!$B$12)))</f>
        <v/>
      </c>
    </row>
    <row r="729" customFormat="false" ht="15" hidden="false" customHeight="false" outlineLevel="0" collapsed="false">
      <c r="R729" s="25" t="str">
        <f aca="true">IF(I729="","",I729-TODAY())</f>
        <v/>
      </c>
      <c r="S729" s="25" t="str">
        <f aca="true">IF(J729="","",J729-TODAY())</f>
        <v/>
      </c>
      <c r="T729" s="24" t="str">
        <f aca="false">IF(A729="","",IF(OR(AND(R729&lt;&gt;"",R729&lt;0),AND(S729&lt;&gt;"",S729&lt;0)),"EXPIRED",IF(OR(AND(R729&lt;&gt;"",R729&lt;=Settings!$B$15),AND(S729&lt;&gt;"",S729&lt;=Settings!$B$15)),"EXPIRING SOON","OK")))</f>
        <v/>
      </c>
      <c r="U729" s="24" t="str">
        <f aca="false">IF(AND(C729="Own",Q729="Active"),COUNTIFS($C$5:C729,"Own",$Q$5:Q729,"Active"),"")</f>
        <v/>
      </c>
      <c r="V729" s="26" t="str">
        <f aca="false">IF(C729&lt;&gt;"Own","",IF(K729="Hourly",N729,(L729+M729)/(Settings!$B$11*Settings!$B$12)))</f>
        <v/>
      </c>
    </row>
    <row r="730" customFormat="false" ht="15" hidden="false" customHeight="false" outlineLevel="0" collapsed="false">
      <c r="R730" s="25" t="str">
        <f aca="true">IF(I730="","",I730-TODAY())</f>
        <v/>
      </c>
      <c r="S730" s="25" t="str">
        <f aca="true">IF(J730="","",J730-TODAY())</f>
        <v/>
      </c>
      <c r="T730" s="24" t="str">
        <f aca="false">IF(A730="","",IF(OR(AND(R730&lt;&gt;"",R730&lt;0),AND(S730&lt;&gt;"",S730&lt;0)),"EXPIRED",IF(OR(AND(R730&lt;&gt;"",R730&lt;=Settings!$B$15),AND(S730&lt;&gt;"",S730&lt;=Settings!$B$15)),"EXPIRING SOON","OK")))</f>
        <v/>
      </c>
      <c r="U730" s="24" t="str">
        <f aca="false">IF(AND(C730="Own",Q730="Active"),COUNTIFS($C$5:C730,"Own",$Q$5:Q730,"Active"),"")</f>
        <v/>
      </c>
      <c r="V730" s="26" t="str">
        <f aca="false">IF(C730&lt;&gt;"Own","",IF(K730="Hourly",N730,(L730+M730)/(Settings!$B$11*Settings!$B$12)))</f>
        <v/>
      </c>
    </row>
    <row r="731" customFormat="false" ht="15" hidden="false" customHeight="false" outlineLevel="0" collapsed="false">
      <c r="R731" s="25" t="str">
        <f aca="true">IF(I731="","",I731-TODAY())</f>
        <v/>
      </c>
      <c r="S731" s="25" t="str">
        <f aca="true">IF(J731="","",J731-TODAY())</f>
        <v/>
      </c>
      <c r="T731" s="24" t="str">
        <f aca="false">IF(A731="","",IF(OR(AND(R731&lt;&gt;"",R731&lt;0),AND(S731&lt;&gt;"",S731&lt;0)),"EXPIRED",IF(OR(AND(R731&lt;&gt;"",R731&lt;=Settings!$B$15),AND(S731&lt;&gt;"",S731&lt;=Settings!$B$15)),"EXPIRING SOON","OK")))</f>
        <v/>
      </c>
      <c r="U731" s="24" t="str">
        <f aca="false">IF(AND(C731="Own",Q731="Active"),COUNTIFS($C$5:C731,"Own",$Q$5:Q731,"Active"),"")</f>
        <v/>
      </c>
      <c r="V731" s="26" t="str">
        <f aca="false">IF(C731&lt;&gt;"Own","",IF(K731="Hourly",N731,(L731+M731)/(Settings!$B$11*Settings!$B$12)))</f>
        <v/>
      </c>
    </row>
    <row r="732" customFormat="false" ht="15" hidden="false" customHeight="false" outlineLevel="0" collapsed="false">
      <c r="R732" s="25" t="str">
        <f aca="true">IF(I732="","",I732-TODAY())</f>
        <v/>
      </c>
      <c r="S732" s="25" t="str">
        <f aca="true">IF(J732="","",J732-TODAY())</f>
        <v/>
      </c>
      <c r="T732" s="24" t="str">
        <f aca="false">IF(A732="","",IF(OR(AND(R732&lt;&gt;"",R732&lt;0),AND(S732&lt;&gt;"",S732&lt;0)),"EXPIRED",IF(OR(AND(R732&lt;&gt;"",R732&lt;=Settings!$B$15),AND(S732&lt;&gt;"",S732&lt;=Settings!$B$15)),"EXPIRING SOON","OK")))</f>
        <v/>
      </c>
      <c r="U732" s="24" t="str">
        <f aca="false">IF(AND(C732="Own",Q732="Active"),COUNTIFS($C$5:C732,"Own",$Q$5:Q732,"Active"),"")</f>
        <v/>
      </c>
      <c r="V732" s="26" t="str">
        <f aca="false">IF(C732&lt;&gt;"Own","",IF(K732="Hourly",N732,(L732+M732)/(Settings!$B$11*Settings!$B$12)))</f>
        <v/>
      </c>
    </row>
    <row r="733" customFormat="false" ht="15" hidden="false" customHeight="false" outlineLevel="0" collapsed="false">
      <c r="R733" s="25" t="str">
        <f aca="true">IF(I733="","",I733-TODAY())</f>
        <v/>
      </c>
      <c r="S733" s="25" t="str">
        <f aca="true">IF(J733="","",J733-TODAY())</f>
        <v/>
      </c>
      <c r="T733" s="24" t="str">
        <f aca="false">IF(A733="","",IF(OR(AND(R733&lt;&gt;"",R733&lt;0),AND(S733&lt;&gt;"",S733&lt;0)),"EXPIRED",IF(OR(AND(R733&lt;&gt;"",R733&lt;=Settings!$B$15),AND(S733&lt;&gt;"",S733&lt;=Settings!$B$15)),"EXPIRING SOON","OK")))</f>
        <v/>
      </c>
      <c r="U733" s="24" t="str">
        <f aca="false">IF(AND(C733="Own",Q733="Active"),COUNTIFS($C$5:C733,"Own",$Q$5:Q733,"Active"),"")</f>
        <v/>
      </c>
      <c r="V733" s="26" t="str">
        <f aca="false">IF(C733&lt;&gt;"Own","",IF(K733="Hourly",N733,(L733+M733)/(Settings!$B$11*Settings!$B$12)))</f>
        <v/>
      </c>
    </row>
    <row r="734" customFormat="false" ht="15" hidden="false" customHeight="false" outlineLevel="0" collapsed="false">
      <c r="R734" s="25" t="str">
        <f aca="true">IF(I734="","",I734-TODAY())</f>
        <v/>
      </c>
      <c r="S734" s="25" t="str">
        <f aca="true">IF(J734="","",J734-TODAY())</f>
        <v/>
      </c>
      <c r="T734" s="24" t="str">
        <f aca="false">IF(A734="","",IF(OR(AND(R734&lt;&gt;"",R734&lt;0),AND(S734&lt;&gt;"",S734&lt;0)),"EXPIRED",IF(OR(AND(R734&lt;&gt;"",R734&lt;=Settings!$B$15),AND(S734&lt;&gt;"",S734&lt;=Settings!$B$15)),"EXPIRING SOON","OK")))</f>
        <v/>
      </c>
      <c r="U734" s="24" t="str">
        <f aca="false">IF(AND(C734="Own",Q734="Active"),COUNTIFS($C$5:C734,"Own",$Q$5:Q734,"Active"),"")</f>
        <v/>
      </c>
      <c r="V734" s="26" t="str">
        <f aca="false">IF(C734&lt;&gt;"Own","",IF(K734="Hourly",N734,(L734+M734)/(Settings!$B$11*Settings!$B$12)))</f>
        <v/>
      </c>
    </row>
    <row r="735" customFormat="false" ht="15" hidden="false" customHeight="false" outlineLevel="0" collapsed="false">
      <c r="R735" s="25" t="str">
        <f aca="true">IF(I735="","",I735-TODAY())</f>
        <v/>
      </c>
      <c r="S735" s="25" t="str">
        <f aca="true">IF(J735="","",J735-TODAY())</f>
        <v/>
      </c>
      <c r="T735" s="24" t="str">
        <f aca="false">IF(A735="","",IF(OR(AND(R735&lt;&gt;"",R735&lt;0),AND(S735&lt;&gt;"",S735&lt;0)),"EXPIRED",IF(OR(AND(R735&lt;&gt;"",R735&lt;=Settings!$B$15),AND(S735&lt;&gt;"",S735&lt;=Settings!$B$15)),"EXPIRING SOON","OK")))</f>
        <v/>
      </c>
      <c r="U735" s="24" t="str">
        <f aca="false">IF(AND(C735="Own",Q735="Active"),COUNTIFS($C$5:C735,"Own",$Q$5:Q735,"Active"),"")</f>
        <v/>
      </c>
      <c r="V735" s="26" t="str">
        <f aca="false">IF(C735&lt;&gt;"Own","",IF(K735="Hourly",N735,(L735+M735)/(Settings!$B$11*Settings!$B$12)))</f>
        <v/>
      </c>
    </row>
    <row r="736" customFormat="false" ht="15" hidden="false" customHeight="false" outlineLevel="0" collapsed="false">
      <c r="R736" s="25" t="str">
        <f aca="true">IF(I736="","",I736-TODAY())</f>
        <v/>
      </c>
      <c r="S736" s="25" t="str">
        <f aca="true">IF(J736="","",J736-TODAY())</f>
        <v/>
      </c>
      <c r="T736" s="24" t="str">
        <f aca="false">IF(A736="","",IF(OR(AND(R736&lt;&gt;"",R736&lt;0),AND(S736&lt;&gt;"",S736&lt;0)),"EXPIRED",IF(OR(AND(R736&lt;&gt;"",R736&lt;=Settings!$B$15),AND(S736&lt;&gt;"",S736&lt;=Settings!$B$15)),"EXPIRING SOON","OK")))</f>
        <v/>
      </c>
      <c r="U736" s="24" t="str">
        <f aca="false">IF(AND(C736="Own",Q736="Active"),COUNTIFS($C$5:C736,"Own",$Q$5:Q736,"Active"),"")</f>
        <v/>
      </c>
      <c r="V736" s="26" t="str">
        <f aca="false">IF(C736&lt;&gt;"Own","",IF(K736="Hourly",N736,(L736+M736)/(Settings!$B$11*Settings!$B$12)))</f>
        <v/>
      </c>
    </row>
    <row r="737" customFormat="false" ht="15" hidden="false" customHeight="false" outlineLevel="0" collapsed="false">
      <c r="R737" s="25" t="str">
        <f aca="true">IF(I737="","",I737-TODAY())</f>
        <v/>
      </c>
      <c r="S737" s="25" t="str">
        <f aca="true">IF(J737="","",J737-TODAY())</f>
        <v/>
      </c>
      <c r="T737" s="24" t="str">
        <f aca="false">IF(A737="","",IF(OR(AND(R737&lt;&gt;"",R737&lt;0),AND(S737&lt;&gt;"",S737&lt;0)),"EXPIRED",IF(OR(AND(R737&lt;&gt;"",R737&lt;=Settings!$B$15),AND(S737&lt;&gt;"",S737&lt;=Settings!$B$15)),"EXPIRING SOON","OK")))</f>
        <v/>
      </c>
      <c r="U737" s="24" t="str">
        <f aca="false">IF(AND(C737="Own",Q737="Active"),COUNTIFS($C$5:C737,"Own",$Q$5:Q737,"Active"),"")</f>
        <v/>
      </c>
      <c r="V737" s="26" t="str">
        <f aca="false">IF(C737&lt;&gt;"Own","",IF(K737="Hourly",N737,(L737+M737)/(Settings!$B$11*Settings!$B$12)))</f>
        <v/>
      </c>
    </row>
    <row r="738" customFormat="false" ht="15" hidden="false" customHeight="false" outlineLevel="0" collapsed="false">
      <c r="R738" s="25" t="str">
        <f aca="true">IF(I738="","",I738-TODAY())</f>
        <v/>
      </c>
      <c r="S738" s="25" t="str">
        <f aca="true">IF(J738="","",J738-TODAY())</f>
        <v/>
      </c>
      <c r="T738" s="24" t="str">
        <f aca="false">IF(A738="","",IF(OR(AND(R738&lt;&gt;"",R738&lt;0),AND(S738&lt;&gt;"",S738&lt;0)),"EXPIRED",IF(OR(AND(R738&lt;&gt;"",R738&lt;=Settings!$B$15),AND(S738&lt;&gt;"",S738&lt;=Settings!$B$15)),"EXPIRING SOON","OK")))</f>
        <v/>
      </c>
      <c r="U738" s="24" t="str">
        <f aca="false">IF(AND(C738="Own",Q738="Active"),COUNTIFS($C$5:C738,"Own",$Q$5:Q738,"Active"),"")</f>
        <v/>
      </c>
      <c r="V738" s="26" t="str">
        <f aca="false">IF(C738&lt;&gt;"Own","",IF(K738="Hourly",N738,(L738+M738)/(Settings!$B$11*Settings!$B$12)))</f>
        <v/>
      </c>
    </row>
    <row r="739" customFormat="false" ht="15" hidden="false" customHeight="false" outlineLevel="0" collapsed="false">
      <c r="R739" s="25" t="str">
        <f aca="true">IF(I739="","",I739-TODAY())</f>
        <v/>
      </c>
      <c r="S739" s="25" t="str">
        <f aca="true">IF(J739="","",J739-TODAY())</f>
        <v/>
      </c>
      <c r="T739" s="24" t="str">
        <f aca="false">IF(A739="","",IF(OR(AND(R739&lt;&gt;"",R739&lt;0),AND(S739&lt;&gt;"",S739&lt;0)),"EXPIRED",IF(OR(AND(R739&lt;&gt;"",R739&lt;=Settings!$B$15),AND(S739&lt;&gt;"",S739&lt;=Settings!$B$15)),"EXPIRING SOON","OK")))</f>
        <v/>
      </c>
      <c r="U739" s="24" t="str">
        <f aca="false">IF(AND(C739="Own",Q739="Active"),COUNTIFS($C$5:C739,"Own",$Q$5:Q739,"Active"),"")</f>
        <v/>
      </c>
      <c r="V739" s="26" t="str">
        <f aca="false">IF(C739&lt;&gt;"Own","",IF(K739="Hourly",N739,(L739+M739)/(Settings!$B$11*Settings!$B$12)))</f>
        <v/>
      </c>
    </row>
    <row r="740" customFormat="false" ht="15" hidden="false" customHeight="false" outlineLevel="0" collapsed="false">
      <c r="R740" s="25" t="str">
        <f aca="true">IF(I740="","",I740-TODAY())</f>
        <v/>
      </c>
      <c r="S740" s="25" t="str">
        <f aca="true">IF(J740="","",J740-TODAY())</f>
        <v/>
      </c>
      <c r="T740" s="24" t="str">
        <f aca="false">IF(A740="","",IF(OR(AND(R740&lt;&gt;"",R740&lt;0),AND(S740&lt;&gt;"",S740&lt;0)),"EXPIRED",IF(OR(AND(R740&lt;&gt;"",R740&lt;=Settings!$B$15),AND(S740&lt;&gt;"",S740&lt;=Settings!$B$15)),"EXPIRING SOON","OK")))</f>
        <v/>
      </c>
      <c r="U740" s="24" t="str">
        <f aca="false">IF(AND(C740="Own",Q740="Active"),COUNTIFS($C$5:C740,"Own",$Q$5:Q740,"Active"),"")</f>
        <v/>
      </c>
      <c r="V740" s="26" t="str">
        <f aca="false">IF(C740&lt;&gt;"Own","",IF(K740="Hourly",N740,(L740+M740)/(Settings!$B$11*Settings!$B$12)))</f>
        <v/>
      </c>
    </row>
    <row r="741" customFormat="false" ht="15" hidden="false" customHeight="false" outlineLevel="0" collapsed="false">
      <c r="R741" s="25" t="str">
        <f aca="true">IF(I741="","",I741-TODAY())</f>
        <v/>
      </c>
      <c r="S741" s="25" t="str">
        <f aca="true">IF(J741="","",J741-TODAY())</f>
        <v/>
      </c>
      <c r="T741" s="24" t="str">
        <f aca="false">IF(A741="","",IF(OR(AND(R741&lt;&gt;"",R741&lt;0),AND(S741&lt;&gt;"",S741&lt;0)),"EXPIRED",IF(OR(AND(R741&lt;&gt;"",R741&lt;=Settings!$B$15),AND(S741&lt;&gt;"",S741&lt;=Settings!$B$15)),"EXPIRING SOON","OK")))</f>
        <v/>
      </c>
      <c r="U741" s="24" t="str">
        <f aca="false">IF(AND(C741="Own",Q741="Active"),COUNTIFS($C$5:C741,"Own",$Q$5:Q741,"Active"),"")</f>
        <v/>
      </c>
      <c r="V741" s="26" t="str">
        <f aca="false">IF(C741&lt;&gt;"Own","",IF(K741="Hourly",N741,(L741+M741)/(Settings!$B$11*Settings!$B$12)))</f>
        <v/>
      </c>
    </row>
    <row r="742" customFormat="false" ht="15" hidden="false" customHeight="false" outlineLevel="0" collapsed="false">
      <c r="R742" s="25" t="str">
        <f aca="true">IF(I742="","",I742-TODAY())</f>
        <v/>
      </c>
      <c r="S742" s="25" t="str">
        <f aca="true">IF(J742="","",J742-TODAY())</f>
        <v/>
      </c>
      <c r="T742" s="24" t="str">
        <f aca="false">IF(A742="","",IF(OR(AND(R742&lt;&gt;"",R742&lt;0),AND(S742&lt;&gt;"",S742&lt;0)),"EXPIRED",IF(OR(AND(R742&lt;&gt;"",R742&lt;=Settings!$B$15),AND(S742&lt;&gt;"",S742&lt;=Settings!$B$15)),"EXPIRING SOON","OK")))</f>
        <v/>
      </c>
      <c r="U742" s="24" t="str">
        <f aca="false">IF(AND(C742="Own",Q742="Active"),COUNTIFS($C$5:C742,"Own",$Q$5:Q742,"Active"),"")</f>
        <v/>
      </c>
      <c r="V742" s="26" t="str">
        <f aca="false">IF(C742&lt;&gt;"Own","",IF(K742="Hourly",N742,(L742+M742)/(Settings!$B$11*Settings!$B$12)))</f>
        <v/>
      </c>
    </row>
    <row r="743" customFormat="false" ht="15" hidden="false" customHeight="false" outlineLevel="0" collapsed="false">
      <c r="R743" s="25" t="str">
        <f aca="true">IF(I743="","",I743-TODAY())</f>
        <v/>
      </c>
      <c r="S743" s="25" t="str">
        <f aca="true">IF(J743="","",J743-TODAY())</f>
        <v/>
      </c>
      <c r="T743" s="24" t="str">
        <f aca="false">IF(A743="","",IF(OR(AND(R743&lt;&gt;"",R743&lt;0),AND(S743&lt;&gt;"",S743&lt;0)),"EXPIRED",IF(OR(AND(R743&lt;&gt;"",R743&lt;=Settings!$B$15),AND(S743&lt;&gt;"",S743&lt;=Settings!$B$15)),"EXPIRING SOON","OK")))</f>
        <v/>
      </c>
      <c r="U743" s="24" t="str">
        <f aca="false">IF(AND(C743="Own",Q743="Active"),COUNTIFS($C$5:C743,"Own",$Q$5:Q743,"Active"),"")</f>
        <v/>
      </c>
      <c r="V743" s="26" t="str">
        <f aca="false">IF(C743&lt;&gt;"Own","",IF(K743="Hourly",N743,(L743+M743)/(Settings!$B$11*Settings!$B$12)))</f>
        <v/>
      </c>
    </row>
    <row r="744" customFormat="false" ht="15" hidden="false" customHeight="false" outlineLevel="0" collapsed="false">
      <c r="R744" s="25" t="str">
        <f aca="true">IF(I744="","",I744-TODAY())</f>
        <v/>
      </c>
      <c r="S744" s="25" t="str">
        <f aca="true">IF(J744="","",J744-TODAY())</f>
        <v/>
      </c>
      <c r="T744" s="24" t="str">
        <f aca="false">IF(A744="","",IF(OR(AND(R744&lt;&gt;"",R744&lt;0),AND(S744&lt;&gt;"",S744&lt;0)),"EXPIRED",IF(OR(AND(R744&lt;&gt;"",R744&lt;=Settings!$B$15),AND(S744&lt;&gt;"",S744&lt;=Settings!$B$15)),"EXPIRING SOON","OK")))</f>
        <v/>
      </c>
      <c r="U744" s="24" t="str">
        <f aca="false">IF(AND(C744="Own",Q744="Active"),COUNTIFS($C$5:C744,"Own",$Q$5:Q744,"Active"),"")</f>
        <v/>
      </c>
      <c r="V744" s="26" t="str">
        <f aca="false">IF(C744&lt;&gt;"Own","",IF(K744="Hourly",N744,(L744+M744)/(Settings!$B$11*Settings!$B$12)))</f>
        <v/>
      </c>
    </row>
    <row r="745" customFormat="false" ht="15" hidden="false" customHeight="false" outlineLevel="0" collapsed="false">
      <c r="R745" s="25" t="str">
        <f aca="true">IF(I745="","",I745-TODAY())</f>
        <v/>
      </c>
      <c r="S745" s="25" t="str">
        <f aca="true">IF(J745="","",J745-TODAY())</f>
        <v/>
      </c>
      <c r="T745" s="24" t="str">
        <f aca="false">IF(A745="","",IF(OR(AND(R745&lt;&gt;"",R745&lt;0),AND(S745&lt;&gt;"",S745&lt;0)),"EXPIRED",IF(OR(AND(R745&lt;&gt;"",R745&lt;=Settings!$B$15),AND(S745&lt;&gt;"",S745&lt;=Settings!$B$15)),"EXPIRING SOON","OK")))</f>
        <v/>
      </c>
      <c r="U745" s="24" t="str">
        <f aca="false">IF(AND(C745="Own",Q745="Active"),COUNTIFS($C$5:C745,"Own",$Q$5:Q745,"Active"),"")</f>
        <v/>
      </c>
      <c r="V745" s="26" t="str">
        <f aca="false">IF(C745&lt;&gt;"Own","",IF(K745="Hourly",N745,(L745+M745)/(Settings!$B$11*Settings!$B$12)))</f>
        <v/>
      </c>
    </row>
    <row r="746" customFormat="false" ht="15" hidden="false" customHeight="false" outlineLevel="0" collapsed="false">
      <c r="R746" s="25" t="str">
        <f aca="true">IF(I746="","",I746-TODAY())</f>
        <v/>
      </c>
      <c r="S746" s="25" t="str">
        <f aca="true">IF(J746="","",J746-TODAY())</f>
        <v/>
      </c>
      <c r="T746" s="24" t="str">
        <f aca="false">IF(A746="","",IF(OR(AND(R746&lt;&gt;"",R746&lt;0),AND(S746&lt;&gt;"",S746&lt;0)),"EXPIRED",IF(OR(AND(R746&lt;&gt;"",R746&lt;=Settings!$B$15),AND(S746&lt;&gt;"",S746&lt;=Settings!$B$15)),"EXPIRING SOON","OK")))</f>
        <v/>
      </c>
      <c r="U746" s="24" t="str">
        <f aca="false">IF(AND(C746="Own",Q746="Active"),COUNTIFS($C$5:C746,"Own",$Q$5:Q746,"Active"),"")</f>
        <v/>
      </c>
      <c r="V746" s="26" t="str">
        <f aca="false">IF(C746&lt;&gt;"Own","",IF(K746="Hourly",N746,(L746+M746)/(Settings!$B$11*Settings!$B$12)))</f>
        <v/>
      </c>
    </row>
    <row r="747" customFormat="false" ht="15" hidden="false" customHeight="false" outlineLevel="0" collapsed="false">
      <c r="R747" s="25" t="str">
        <f aca="true">IF(I747="","",I747-TODAY())</f>
        <v/>
      </c>
      <c r="S747" s="25" t="str">
        <f aca="true">IF(J747="","",J747-TODAY())</f>
        <v/>
      </c>
      <c r="T747" s="24" t="str">
        <f aca="false">IF(A747="","",IF(OR(AND(R747&lt;&gt;"",R747&lt;0),AND(S747&lt;&gt;"",S747&lt;0)),"EXPIRED",IF(OR(AND(R747&lt;&gt;"",R747&lt;=Settings!$B$15),AND(S747&lt;&gt;"",S747&lt;=Settings!$B$15)),"EXPIRING SOON","OK")))</f>
        <v/>
      </c>
      <c r="U747" s="24" t="str">
        <f aca="false">IF(AND(C747="Own",Q747="Active"),COUNTIFS($C$5:C747,"Own",$Q$5:Q747,"Active"),"")</f>
        <v/>
      </c>
      <c r="V747" s="26" t="str">
        <f aca="false">IF(C747&lt;&gt;"Own","",IF(K747="Hourly",N747,(L747+M747)/(Settings!$B$11*Settings!$B$12)))</f>
        <v/>
      </c>
    </row>
    <row r="748" customFormat="false" ht="15" hidden="false" customHeight="false" outlineLevel="0" collapsed="false">
      <c r="R748" s="25" t="str">
        <f aca="true">IF(I748="","",I748-TODAY())</f>
        <v/>
      </c>
      <c r="S748" s="25" t="str">
        <f aca="true">IF(J748="","",J748-TODAY())</f>
        <v/>
      </c>
      <c r="T748" s="24" t="str">
        <f aca="false">IF(A748="","",IF(OR(AND(R748&lt;&gt;"",R748&lt;0),AND(S748&lt;&gt;"",S748&lt;0)),"EXPIRED",IF(OR(AND(R748&lt;&gt;"",R748&lt;=Settings!$B$15),AND(S748&lt;&gt;"",S748&lt;=Settings!$B$15)),"EXPIRING SOON","OK")))</f>
        <v/>
      </c>
      <c r="U748" s="24" t="str">
        <f aca="false">IF(AND(C748="Own",Q748="Active"),COUNTIFS($C$5:C748,"Own",$Q$5:Q748,"Active"),"")</f>
        <v/>
      </c>
      <c r="V748" s="26" t="str">
        <f aca="false">IF(C748&lt;&gt;"Own","",IF(K748="Hourly",N748,(L748+M748)/(Settings!$B$11*Settings!$B$12)))</f>
        <v/>
      </c>
    </row>
    <row r="749" customFormat="false" ht="15" hidden="false" customHeight="false" outlineLevel="0" collapsed="false">
      <c r="R749" s="25" t="str">
        <f aca="true">IF(I749="","",I749-TODAY())</f>
        <v/>
      </c>
      <c r="S749" s="25" t="str">
        <f aca="true">IF(J749="","",J749-TODAY())</f>
        <v/>
      </c>
      <c r="T749" s="24" t="str">
        <f aca="false">IF(A749="","",IF(OR(AND(R749&lt;&gt;"",R749&lt;0),AND(S749&lt;&gt;"",S749&lt;0)),"EXPIRED",IF(OR(AND(R749&lt;&gt;"",R749&lt;=Settings!$B$15),AND(S749&lt;&gt;"",S749&lt;=Settings!$B$15)),"EXPIRING SOON","OK")))</f>
        <v/>
      </c>
      <c r="U749" s="24" t="str">
        <f aca="false">IF(AND(C749="Own",Q749="Active"),COUNTIFS($C$5:C749,"Own",$Q$5:Q749,"Active"),"")</f>
        <v/>
      </c>
      <c r="V749" s="26" t="str">
        <f aca="false">IF(C749&lt;&gt;"Own","",IF(K749="Hourly",N749,(L749+M749)/(Settings!$B$11*Settings!$B$12)))</f>
        <v/>
      </c>
    </row>
    <row r="750" customFormat="false" ht="15" hidden="false" customHeight="false" outlineLevel="0" collapsed="false">
      <c r="R750" s="25" t="str">
        <f aca="true">IF(I750="","",I750-TODAY())</f>
        <v/>
      </c>
      <c r="S750" s="25" t="str">
        <f aca="true">IF(J750="","",J750-TODAY())</f>
        <v/>
      </c>
      <c r="T750" s="24" t="str">
        <f aca="false">IF(A750="","",IF(OR(AND(R750&lt;&gt;"",R750&lt;0),AND(S750&lt;&gt;"",S750&lt;0)),"EXPIRED",IF(OR(AND(R750&lt;&gt;"",R750&lt;=Settings!$B$15),AND(S750&lt;&gt;"",S750&lt;=Settings!$B$15)),"EXPIRING SOON","OK")))</f>
        <v/>
      </c>
      <c r="U750" s="24" t="str">
        <f aca="false">IF(AND(C750="Own",Q750="Active"),COUNTIFS($C$5:C750,"Own",$Q$5:Q750,"Active"),"")</f>
        <v/>
      </c>
      <c r="V750" s="26" t="str">
        <f aca="false">IF(C750&lt;&gt;"Own","",IF(K750="Hourly",N750,(L750+M750)/(Settings!$B$11*Settings!$B$12)))</f>
        <v/>
      </c>
    </row>
    <row r="751" customFormat="false" ht="15" hidden="false" customHeight="false" outlineLevel="0" collapsed="false">
      <c r="R751" s="25" t="str">
        <f aca="true">IF(I751="","",I751-TODAY())</f>
        <v/>
      </c>
      <c r="S751" s="25" t="str">
        <f aca="true">IF(J751="","",J751-TODAY())</f>
        <v/>
      </c>
      <c r="T751" s="24" t="str">
        <f aca="false">IF(A751="","",IF(OR(AND(R751&lt;&gt;"",R751&lt;0),AND(S751&lt;&gt;"",S751&lt;0)),"EXPIRED",IF(OR(AND(R751&lt;&gt;"",R751&lt;=Settings!$B$15),AND(S751&lt;&gt;"",S751&lt;=Settings!$B$15)),"EXPIRING SOON","OK")))</f>
        <v/>
      </c>
      <c r="U751" s="24" t="str">
        <f aca="false">IF(AND(C751="Own",Q751="Active"),COUNTIFS($C$5:C751,"Own",$Q$5:Q751,"Active"),"")</f>
        <v/>
      </c>
      <c r="V751" s="26" t="str">
        <f aca="false">IF(C751&lt;&gt;"Own","",IF(K751="Hourly",N751,(L751+M751)/(Settings!$B$11*Settings!$B$12)))</f>
        <v/>
      </c>
    </row>
    <row r="752" customFormat="false" ht="15" hidden="false" customHeight="false" outlineLevel="0" collapsed="false">
      <c r="R752" s="25" t="str">
        <f aca="true">IF(I752="","",I752-TODAY())</f>
        <v/>
      </c>
      <c r="S752" s="25" t="str">
        <f aca="true">IF(J752="","",J752-TODAY())</f>
        <v/>
      </c>
      <c r="T752" s="24" t="str">
        <f aca="false">IF(A752="","",IF(OR(AND(R752&lt;&gt;"",R752&lt;0),AND(S752&lt;&gt;"",S752&lt;0)),"EXPIRED",IF(OR(AND(R752&lt;&gt;"",R752&lt;=Settings!$B$15),AND(S752&lt;&gt;"",S752&lt;=Settings!$B$15)),"EXPIRING SOON","OK")))</f>
        <v/>
      </c>
      <c r="U752" s="24" t="str">
        <f aca="false">IF(AND(C752="Own",Q752="Active"),COUNTIFS($C$5:C752,"Own",$Q$5:Q752,"Active"),"")</f>
        <v/>
      </c>
      <c r="V752" s="26" t="str">
        <f aca="false">IF(C752&lt;&gt;"Own","",IF(K752="Hourly",N752,(L752+M752)/(Settings!$B$11*Settings!$B$12)))</f>
        <v/>
      </c>
    </row>
    <row r="753" customFormat="false" ht="15" hidden="false" customHeight="false" outlineLevel="0" collapsed="false">
      <c r="R753" s="25" t="str">
        <f aca="true">IF(I753="","",I753-TODAY())</f>
        <v/>
      </c>
      <c r="S753" s="25" t="str">
        <f aca="true">IF(J753="","",J753-TODAY())</f>
        <v/>
      </c>
      <c r="T753" s="24" t="str">
        <f aca="false">IF(A753="","",IF(OR(AND(R753&lt;&gt;"",R753&lt;0),AND(S753&lt;&gt;"",S753&lt;0)),"EXPIRED",IF(OR(AND(R753&lt;&gt;"",R753&lt;=Settings!$B$15),AND(S753&lt;&gt;"",S753&lt;=Settings!$B$15)),"EXPIRING SOON","OK")))</f>
        <v/>
      </c>
      <c r="U753" s="24" t="str">
        <f aca="false">IF(AND(C753="Own",Q753="Active"),COUNTIFS($C$5:C753,"Own",$Q$5:Q753,"Active"),"")</f>
        <v/>
      </c>
      <c r="V753" s="26" t="str">
        <f aca="false">IF(C753&lt;&gt;"Own","",IF(K753="Hourly",N753,(L753+M753)/(Settings!$B$11*Settings!$B$12)))</f>
        <v/>
      </c>
    </row>
    <row r="754" customFormat="false" ht="15" hidden="false" customHeight="false" outlineLevel="0" collapsed="false">
      <c r="R754" s="25" t="str">
        <f aca="true">IF(I754="","",I754-TODAY())</f>
        <v/>
      </c>
      <c r="S754" s="25" t="str">
        <f aca="true">IF(J754="","",J754-TODAY())</f>
        <v/>
      </c>
      <c r="T754" s="24" t="str">
        <f aca="false">IF(A754="","",IF(OR(AND(R754&lt;&gt;"",R754&lt;0),AND(S754&lt;&gt;"",S754&lt;0)),"EXPIRED",IF(OR(AND(R754&lt;&gt;"",R754&lt;=Settings!$B$15),AND(S754&lt;&gt;"",S754&lt;=Settings!$B$15)),"EXPIRING SOON","OK")))</f>
        <v/>
      </c>
      <c r="U754" s="24" t="str">
        <f aca="false">IF(AND(C754="Own",Q754="Active"),COUNTIFS($C$5:C754,"Own",$Q$5:Q754,"Active"),"")</f>
        <v/>
      </c>
      <c r="V754" s="26" t="str">
        <f aca="false">IF(C754&lt;&gt;"Own","",IF(K754="Hourly",N754,(L754+M754)/(Settings!$B$11*Settings!$B$12)))</f>
        <v/>
      </c>
    </row>
    <row r="755" customFormat="false" ht="15" hidden="false" customHeight="false" outlineLevel="0" collapsed="false">
      <c r="R755" s="25" t="str">
        <f aca="true">IF(I755="","",I755-TODAY())</f>
        <v/>
      </c>
      <c r="S755" s="25" t="str">
        <f aca="true">IF(J755="","",J755-TODAY())</f>
        <v/>
      </c>
      <c r="T755" s="24" t="str">
        <f aca="false">IF(A755="","",IF(OR(AND(R755&lt;&gt;"",R755&lt;0),AND(S755&lt;&gt;"",S755&lt;0)),"EXPIRED",IF(OR(AND(R755&lt;&gt;"",R755&lt;=Settings!$B$15),AND(S755&lt;&gt;"",S755&lt;=Settings!$B$15)),"EXPIRING SOON","OK")))</f>
        <v/>
      </c>
      <c r="U755" s="24" t="str">
        <f aca="false">IF(AND(C755="Own",Q755="Active"),COUNTIFS($C$5:C755,"Own",$Q$5:Q755,"Active"),"")</f>
        <v/>
      </c>
      <c r="V755" s="26" t="str">
        <f aca="false">IF(C755&lt;&gt;"Own","",IF(K755="Hourly",N755,(L755+M755)/(Settings!$B$11*Settings!$B$12)))</f>
        <v/>
      </c>
    </row>
    <row r="756" customFormat="false" ht="15" hidden="false" customHeight="false" outlineLevel="0" collapsed="false">
      <c r="R756" s="25" t="str">
        <f aca="true">IF(I756="","",I756-TODAY())</f>
        <v/>
      </c>
      <c r="S756" s="25" t="str">
        <f aca="true">IF(J756="","",J756-TODAY())</f>
        <v/>
      </c>
      <c r="T756" s="24" t="str">
        <f aca="false">IF(A756="","",IF(OR(AND(R756&lt;&gt;"",R756&lt;0),AND(S756&lt;&gt;"",S756&lt;0)),"EXPIRED",IF(OR(AND(R756&lt;&gt;"",R756&lt;=Settings!$B$15),AND(S756&lt;&gt;"",S756&lt;=Settings!$B$15)),"EXPIRING SOON","OK")))</f>
        <v/>
      </c>
      <c r="U756" s="24" t="str">
        <f aca="false">IF(AND(C756="Own",Q756="Active"),COUNTIFS($C$5:C756,"Own",$Q$5:Q756,"Active"),"")</f>
        <v/>
      </c>
      <c r="V756" s="26" t="str">
        <f aca="false">IF(C756&lt;&gt;"Own","",IF(K756="Hourly",N756,(L756+M756)/(Settings!$B$11*Settings!$B$12)))</f>
        <v/>
      </c>
    </row>
    <row r="757" customFormat="false" ht="15" hidden="false" customHeight="false" outlineLevel="0" collapsed="false">
      <c r="R757" s="25" t="str">
        <f aca="true">IF(I757="","",I757-TODAY())</f>
        <v/>
      </c>
      <c r="S757" s="25" t="str">
        <f aca="true">IF(J757="","",J757-TODAY())</f>
        <v/>
      </c>
      <c r="T757" s="24" t="str">
        <f aca="false">IF(A757="","",IF(OR(AND(R757&lt;&gt;"",R757&lt;0),AND(S757&lt;&gt;"",S757&lt;0)),"EXPIRED",IF(OR(AND(R757&lt;&gt;"",R757&lt;=Settings!$B$15),AND(S757&lt;&gt;"",S757&lt;=Settings!$B$15)),"EXPIRING SOON","OK")))</f>
        <v/>
      </c>
      <c r="U757" s="24" t="str">
        <f aca="false">IF(AND(C757="Own",Q757="Active"),COUNTIFS($C$5:C757,"Own",$Q$5:Q757,"Active"),"")</f>
        <v/>
      </c>
      <c r="V757" s="26" t="str">
        <f aca="false">IF(C757&lt;&gt;"Own","",IF(K757="Hourly",N757,(L757+M757)/(Settings!$B$11*Settings!$B$12)))</f>
        <v/>
      </c>
    </row>
    <row r="758" customFormat="false" ht="15" hidden="false" customHeight="false" outlineLevel="0" collapsed="false">
      <c r="R758" s="25" t="str">
        <f aca="true">IF(I758="","",I758-TODAY())</f>
        <v/>
      </c>
      <c r="S758" s="25" t="str">
        <f aca="true">IF(J758="","",J758-TODAY())</f>
        <v/>
      </c>
      <c r="T758" s="24" t="str">
        <f aca="false">IF(A758="","",IF(OR(AND(R758&lt;&gt;"",R758&lt;0),AND(S758&lt;&gt;"",S758&lt;0)),"EXPIRED",IF(OR(AND(R758&lt;&gt;"",R758&lt;=Settings!$B$15),AND(S758&lt;&gt;"",S758&lt;=Settings!$B$15)),"EXPIRING SOON","OK")))</f>
        <v/>
      </c>
      <c r="U758" s="24" t="str">
        <f aca="false">IF(AND(C758="Own",Q758="Active"),COUNTIFS($C$5:C758,"Own",$Q$5:Q758,"Active"),"")</f>
        <v/>
      </c>
      <c r="V758" s="26" t="str">
        <f aca="false">IF(C758&lt;&gt;"Own","",IF(K758="Hourly",N758,(L758+M758)/(Settings!$B$11*Settings!$B$12)))</f>
        <v/>
      </c>
    </row>
    <row r="759" customFormat="false" ht="15" hidden="false" customHeight="false" outlineLevel="0" collapsed="false">
      <c r="R759" s="25" t="str">
        <f aca="true">IF(I759="","",I759-TODAY())</f>
        <v/>
      </c>
      <c r="S759" s="25" t="str">
        <f aca="true">IF(J759="","",J759-TODAY())</f>
        <v/>
      </c>
      <c r="T759" s="24" t="str">
        <f aca="false">IF(A759="","",IF(OR(AND(R759&lt;&gt;"",R759&lt;0),AND(S759&lt;&gt;"",S759&lt;0)),"EXPIRED",IF(OR(AND(R759&lt;&gt;"",R759&lt;=Settings!$B$15),AND(S759&lt;&gt;"",S759&lt;=Settings!$B$15)),"EXPIRING SOON","OK")))</f>
        <v/>
      </c>
      <c r="U759" s="24" t="str">
        <f aca="false">IF(AND(C759="Own",Q759="Active"),COUNTIFS($C$5:C759,"Own",$Q$5:Q759,"Active"),"")</f>
        <v/>
      </c>
      <c r="V759" s="26" t="str">
        <f aca="false">IF(C759&lt;&gt;"Own","",IF(K759="Hourly",N759,(L759+M759)/(Settings!$B$11*Settings!$B$12)))</f>
        <v/>
      </c>
    </row>
    <row r="760" customFormat="false" ht="15" hidden="false" customHeight="false" outlineLevel="0" collapsed="false">
      <c r="R760" s="25" t="str">
        <f aca="true">IF(I760="","",I760-TODAY())</f>
        <v/>
      </c>
      <c r="S760" s="25" t="str">
        <f aca="true">IF(J760="","",J760-TODAY())</f>
        <v/>
      </c>
      <c r="T760" s="24" t="str">
        <f aca="false">IF(A760="","",IF(OR(AND(R760&lt;&gt;"",R760&lt;0),AND(S760&lt;&gt;"",S760&lt;0)),"EXPIRED",IF(OR(AND(R760&lt;&gt;"",R760&lt;=Settings!$B$15),AND(S760&lt;&gt;"",S760&lt;=Settings!$B$15)),"EXPIRING SOON","OK")))</f>
        <v/>
      </c>
      <c r="U760" s="24" t="str">
        <f aca="false">IF(AND(C760="Own",Q760="Active"),COUNTIFS($C$5:C760,"Own",$Q$5:Q760,"Active"),"")</f>
        <v/>
      </c>
      <c r="V760" s="26" t="str">
        <f aca="false">IF(C760&lt;&gt;"Own","",IF(K760="Hourly",N760,(L760+M760)/(Settings!$B$11*Settings!$B$12)))</f>
        <v/>
      </c>
    </row>
    <row r="761" customFormat="false" ht="15" hidden="false" customHeight="false" outlineLevel="0" collapsed="false">
      <c r="R761" s="25" t="str">
        <f aca="true">IF(I761="","",I761-TODAY())</f>
        <v/>
      </c>
      <c r="S761" s="25" t="str">
        <f aca="true">IF(J761="","",J761-TODAY())</f>
        <v/>
      </c>
      <c r="T761" s="24" t="str">
        <f aca="false">IF(A761="","",IF(OR(AND(R761&lt;&gt;"",R761&lt;0),AND(S761&lt;&gt;"",S761&lt;0)),"EXPIRED",IF(OR(AND(R761&lt;&gt;"",R761&lt;=Settings!$B$15),AND(S761&lt;&gt;"",S761&lt;=Settings!$B$15)),"EXPIRING SOON","OK")))</f>
        <v/>
      </c>
      <c r="U761" s="24" t="str">
        <f aca="false">IF(AND(C761="Own",Q761="Active"),COUNTIFS($C$5:C761,"Own",$Q$5:Q761,"Active"),"")</f>
        <v/>
      </c>
      <c r="V761" s="26" t="str">
        <f aca="false">IF(C761&lt;&gt;"Own","",IF(K761="Hourly",N761,(L761+M761)/(Settings!$B$11*Settings!$B$12)))</f>
        <v/>
      </c>
    </row>
    <row r="762" customFormat="false" ht="15" hidden="false" customHeight="false" outlineLevel="0" collapsed="false">
      <c r="R762" s="25" t="str">
        <f aca="true">IF(I762="","",I762-TODAY())</f>
        <v/>
      </c>
      <c r="S762" s="25" t="str">
        <f aca="true">IF(J762="","",J762-TODAY())</f>
        <v/>
      </c>
      <c r="T762" s="24" t="str">
        <f aca="false">IF(A762="","",IF(OR(AND(R762&lt;&gt;"",R762&lt;0),AND(S762&lt;&gt;"",S762&lt;0)),"EXPIRED",IF(OR(AND(R762&lt;&gt;"",R762&lt;=Settings!$B$15),AND(S762&lt;&gt;"",S762&lt;=Settings!$B$15)),"EXPIRING SOON","OK")))</f>
        <v/>
      </c>
      <c r="U762" s="24" t="str">
        <f aca="false">IF(AND(C762="Own",Q762="Active"),COUNTIFS($C$5:C762,"Own",$Q$5:Q762,"Active"),"")</f>
        <v/>
      </c>
      <c r="V762" s="26" t="str">
        <f aca="false">IF(C762&lt;&gt;"Own","",IF(K762="Hourly",N762,(L762+M762)/(Settings!$B$11*Settings!$B$12)))</f>
        <v/>
      </c>
    </row>
    <row r="763" customFormat="false" ht="15" hidden="false" customHeight="false" outlineLevel="0" collapsed="false">
      <c r="R763" s="25" t="str">
        <f aca="true">IF(I763="","",I763-TODAY())</f>
        <v/>
      </c>
      <c r="S763" s="25" t="str">
        <f aca="true">IF(J763="","",J763-TODAY())</f>
        <v/>
      </c>
      <c r="T763" s="24" t="str">
        <f aca="false">IF(A763="","",IF(OR(AND(R763&lt;&gt;"",R763&lt;0),AND(S763&lt;&gt;"",S763&lt;0)),"EXPIRED",IF(OR(AND(R763&lt;&gt;"",R763&lt;=Settings!$B$15),AND(S763&lt;&gt;"",S763&lt;=Settings!$B$15)),"EXPIRING SOON","OK")))</f>
        <v/>
      </c>
      <c r="U763" s="24" t="str">
        <f aca="false">IF(AND(C763="Own",Q763="Active"),COUNTIFS($C$5:C763,"Own",$Q$5:Q763,"Active"),"")</f>
        <v/>
      </c>
      <c r="V763" s="26" t="str">
        <f aca="false">IF(C763&lt;&gt;"Own","",IF(K763="Hourly",N763,(L763+M763)/(Settings!$B$11*Settings!$B$12)))</f>
        <v/>
      </c>
    </row>
    <row r="764" customFormat="false" ht="15" hidden="false" customHeight="false" outlineLevel="0" collapsed="false">
      <c r="R764" s="25" t="str">
        <f aca="true">IF(I764="","",I764-TODAY())</f>
        <v/>
      </c>
      <c r="S764" s="25" t="str">
        <f aca="true">IF(J764="","",J764-TODAY())</f>
        <v/>
      </c>
      <c r="T764" s="24" t="str">
        <f aca="false">IF(A764="","",IF(OR(AND(R764&lt;&gt;"",R764&lt;0),AND(S764&lt;&gt;"",S764&lt;0)),"EXPIRED",IF(OR(AND(R764&lt;&gt;"",R764&lt;=Settings!$B$15),AND(S764&lt;&gt;"",S764&lt;=Settings!$B$15)),"EXPIRING SOON","OK")))</f>
        <v/>
      </c>
      <c r="U764" s="24" t="str">
        <f aca="false">IF(AND(C764="Own",Q764="Active"),COUNTIFS($C$5:C764,"Own",$Q$5:Q764,"Active"),"")</f>
        <v/>
      </c>
      <c r="V764" s="26" t="str">
        <f aca="false">IF(C764&lt;&gt;"Own","",IF(K764="Hourly",N764,(L764+M764)/(Settings!$B$11*Settings!$B$12)))</f>
        <v/>
      </c>
    </row>
    <row r="765" customFormat="false" ht="15" hidden="false" customHeight="false" outlineLevel="0" collapsed="false">
      <c r="R765" s="25" t="str">
        <f aca="true">IF(I765="","",I765-TODAY())</f>
        <v/>
      </c>
      <c r="S765" s="25" t="str">
        <f aca="true">IF(J765="","",J765-TODAY())</f>
        <v/>
      </c>
      <c r="T765" s="24" t="str">
        <f aca="false">IF(A765="","",IF(OR(AND(R765&lt;&gt;"",R765&lt;0),AND(S765&lt;&gt;"",S765&lt;0)),"EXPIRED",IF(OR(AND(R765&lt;&gt;"",R765&lt;=Settings!$B$15),AND(S765&lt;&gt;"",S765&lt;=Settings!$B$15)),"EXPIRING SOON","OK")))</f>
        <v/>
      </c>
      <c r="U765" s="24" t="str">
        <f aca="false">IF(AND(C765="Own",Q765="Active"),COUNTIFS($C$5:C765,"Own",$Q$5:Q765,"Active"),"")</f>
        <v/>
      </c>
      <c r="V765" s="26" t="str">
        <f aca="false">IF(C765&lt;&gt;"Own","",IF(K765="Hourly",N765,(L765+M765)/(Settings!$B$11*Settings!$B$12)))</f>
        <v/>
      </c>
    </row>
    <row r="766" customFormat="false" ht="15" hidden="false" customHeight="false" outlineLevel="0" collapsed="false">
      <c r="R766" s="25" t="str">
        <f aca="true">IF(I766="","",I766-TODAY())</f>
        <v/>
      </c>
      <c r="S766" s="25" t="str">
        <f aca="true">IF(J766="","",J766-TODAY())</f>
        <v/>
      </c>
      <c r="T766" s="24" t="str">
        <f aca="false">IF(A766="","",IF(OR(AND(R766&lt;&gt;"",R766&lt;0),AND(S766&lt;&gt;"",S766&lt;0)),"EXPIRED",IF(OR(AND(R766&lt;&gt;"",R766&lt;=Settings!$B$15),AND(S766&lt;&gt;"",S766&lt;=Settings!$B$15)),"EXPIRING SOON","OK")))</f>
        <v/>
      </c>
      <c r="U766" s="24" t="str">
        <f aca="false">IF(AND(C766="Own",Q766="Active"),COUNTIFS($C$5:C766,"Own",$Q$5:Q766,"Active"),"")</f>
        <v/>
      </c>
      <c r="V766" s="26" t="str">
        <f aca="false">IF(C766&lt;&gt;"Own","",IF(K766="Hourly",N766,(L766+M766)/(Settings!$B$11*Settings!$B$12)))</f>
        <v/>
      </c>
    </row>
    <row r="767" customFormat="false" ht="15" hidden="false" customHeight="false" outlineLevel="0" collapsed="false">
      <c r="R767" s="25" t="str">
        <f aca="true">IF(I767="","",I767-TODAY())</f>
        <v/>
      </c>
      <c r="S767" s="25" t="str">
        <f aca="true">IF(J767="","",J767-TODAY())</f>
        <v/>
      </c>
      <c r="T767" s="24" t="str">
        <f aca="false">IF(A767="","",IF(OR(AND(R767&lt;&gt;"",R767&lt;0),AND(S767&lt;&gt;"",S767&lt;0)),"EXPIRED",IF(OR(AND(R767&lt;&gt;"",R767&lt;=Settings!$B$15),AND(S767&lt;&gt;"",S767&lt;=Settings!$B$15)),"EXPIRING SOON","OK")))</f>
        <v/>
      </c>
      <c r="U767" s="24" t="str">
        <f aca="false">IF(AND(C767="Own",Q767="Active"),COUNTIFS($C$5:C767,"Own",$Q$5:Q767,"Active"),"")</f>
        <v/>
      </c>
      <c r="V767" s="26" t="str">
        <f aca="false">IF(C767&lt;&gt;"Own","",IF(K767="Hourly",N767,(L767+M767)/(Settings!$B$11*Settings!$B$12)))</f>
        <v/>
      </c>
    </row>
    <row r="768" customFormat="false" ht="15" hidden="false" customHeight="false" outlineLevel="0" collapsed="false">
      <c r="R768" s="25" t="str">
        <f aca="true">IF(I768="","",I768-TODAY())</f>
        <v/>
      </c>
      <c r="S768" s="25" t="str">
        <f aca="true">IF(J768="","",J768-TODAY())</f>
        <v/>
      </c>
      <c r="T768" s="24" t="str">
        <f aca="false">IF(A768="","",IF(OR(AND(R768&lt;&gt;"",R768&lt;0),AND(S768&lt;&gt;"",S768&lt;0)),"EXPIRED",IF(OR(AND(R768&lt;&gt;"",R768&lt;=Settings!$B$15),AND(S768&lt;&gt;"",S768&lt;=Settings!$B$15)),"EXPIRING SOON","OK")))</f>
        <v/>
      </c>
      <c r="U768" s="24" t="str">
        <f aca="false">IF(AND(C768="Own",Q768="Active"),COUNTIFS($C$5:C768,"Own",$Q$5:Q768,"Active"),"")</f>
        <v/>
      </c>
      <c r="V768" s="26" t="str">
        <f aca="false">IF(C768&lt;&gt;"Own","",IF(K768="Hourly",N768,(L768+M768)/(Settings!$B$11*Settings!$B$12)))</f>
        <v/>
      </c>
    </row>
    <row r="769" customFormat="false" ht="15" hidden="false" customHeight="false" outlineLevel="0" collapsed="false">
      <c r="R769" s="25" t="str">
        <f aca="true">IF(I769="","",I769-TODAY())</f>
        <v/>
      </c>
      <c r="S769" s="25" t="str">
        <f aca="true">IF(J769="","",J769-TODAY())</f>
        <v/>
      </c>
      <c r="T769" s="24" t="str">
        <f aca="false">IF(A769="","",IF(OR(AND(R769&lt;&gt;"",R769&lt;0),AND(S769&lt;&gt;"",S769&lt;0)),"EXPIRED",IF(OR(AND(R769&lt;&gt;"",R769&lt;=Settings!$B$15),AND(S769&lt;&gt;"",S769&lt;=Settings!$B$15)),"EXPIRING SOON","OK")))</f>
        <v/>
      </c>
      <c r="U769" s="24" t="str">
        <f aca="false">IF(AND(C769="Own",Q769="Active"),COUNTIFS($C$5:C769,"Own",$Q$5:Q769,"Active"),"")</f>
        <v/>
      </c>
      <c r="V769" s="26" t="str">
        <f aca="false">IF(C769&lt;&gt;"Own","",IF(K769="Hourly",N769,(L769+M769)/(Settings!$B$11*Settings!$B$12)))</f>
        <v/>
      </c>
    </row>
    <row r="770" customFormat="false" ht="15" hidden="false" customHeight="false" outlineLevel="0" collapsed="false">
      <c r="R770" s="25" t="str">
        <f aca="true">IF(I770="","",I770-TODAY())</f>
        <v/>
      </c>
      <c r="S770" s="25" t="str">
        <f aca="true">IF(J770="","",J770-TODAY())</f>
        <v/>
      </c>
      <c r="T770" s="24" t="str">
        <f aca="false">IF(A770="","",IF(OR(AND(R770&lt;&gt;"",R770&lt;0),AND(S770&lt;&gt;"",S770&lt;0)),"EXPIRED",IF(OR(AND(R770&lt;&gt;"",R770&lt;=Settings!$B$15),AND(S770&lt;&gt;"",S770&lt;=Settings!$B$15)),"EXPIRING SOON","OK")))</f>
        <v/>
      </c>
      <c r="U770" s="24" t="str">
        <f aca="false">IF(AND(C770="Own",Q770="Active"),COUNTIFS($C$5:C770,"Own",$Q$5:Q770,"Active"),"")</f>
        <v/>
      </c>
      <c r="V770" s="26" t="str">
        <f aca="false">IF(C770&lt;&gt;"Own","",IF(K770="Hourly",N770,(L770+M770)/(Settings!$B$11*Settings!$B$12)))</f>
        <v/>
      </c>
    </row>
    <row r="771" customFormat="false" ht="15" hidden="false" customHeight="false" outlineLevel="0" collapsed="false">
      <c r="R771" s="25" t="str">
        <f aca="true">IF(I771="","",I771-TODAY())</f>
        <v/>
      </c>
      <c r="S771" s="25" t="str">
        <f aca="true">IF(J771="","",J771-TODAY())</f>
        <v/>
      </c>
      <c r="T771" s="24" t="str">
        <f aca="false">IF(A771="","",IF(OR(AND(R771&lt;&gt;"",R771&lt;0),AND(S771&lt;&gt;"",S771&lt;0)),"EXPIRED",IF(OR(AND(R771&lt;&gt;"",R771&lt;=Settings!$B$15),AND(S771&lt;&gt;"",S771&lt;=Settings!$B$15)),"EXPIRING SOON","OK")))</f>
        <v/>
      </c>
      <c r="U771" s="24" t="str">
        <f aca="false">IF(AND(C771="Own",Q771="Active"),COUNTIFS($C$5:C771,"Own",$Q$5:Q771,"Active"),"")</f>
        <v/>
      </c>
      <c r="V771" s="26" t="str">
        <f aca="false">IF(C771&lt;&gt;"Own","",IF(K771="Hourly",N771,(L771+M771)/(Settings!$B$11*Settings!$B$12)))</f>
        <v/>
      </c>
    </row>
    <row r="772" customFormat="false" ht="15" hidden="false" customHeight="false" outlineLevel="0" collapsed="false">
      <c r="R772" s="25" t="str">
        <f aca="true">IF(I772="","",I772-TODAY())</f>
        <v/>
      </c>
      <c r="S772" s="25" t="str">
        <f aca="true">IF(J772="","",J772-TODAY())</f>
        <v/>
      </c>
      <c r="T772" s="24" t="str">
        <f aca="false">IF(A772="","",IF(OR(AND(R772&lt;&gt;"",R772&lt;0),AND(S772&lt;&gt;"",S772&lt;0)),"EXPIRED",IF(OR(AND(R772&lt;&gt;"",R772&lt;=Settings!$B$15),AND(S772&lt;&gt;"",S772&lt;=Settings!$B$15)),"EXPIRING SOON","OK")))</f>
        <v/>
      </c>
      <c r="U772" s="24" t="str">
        <f aca="false">IF(AND(C772="Own",Q772="Active"),COUNTIFS($C$5:C772,"Own",$Q$5:Q772,"Active"),"")</f>
        <v/>
      </c>
      <c r="V772" s="26" t="str">
        <f aca="false">IF(C772&lt;&gt;"Own","",IF(K772="Hourly",N772,(L772+M772)/(Settings!$B$11*Settings!$B$12)))</f>
        <v/>
      </c>
    </row>
    <row r="773" customFormat="false" ht="15" hidden="false" customHeight="false" outlineLevel="0" collapsed="false">
      <c r="R773" s="25" t="str">
        <f aca="true">IF(I773="","",I773-TODAY())</f>
        <v/>
      </c>
      <c r="S773" s="25" t="str">
        <f aca="true">IF(J773="","",J773-TODAY())</f>
        <v/>
      </c>
      <c r="T773" s="24" t="str">
        <f aca="false">IF(A773="","",IF(OR(AND(R773&lt;&gt;"",R773&lt;0),AND(S773&lt;&gt;"",S773&lt;0)),"EXPIRED",IF(OR(AND(R773&lt;&gt;"",R773&lt;=Settings!$B$15),AND(S773&lt;&gt;"",S773&lt;=Settings!$B$15)),"EXPIRING SOON","OK")))</f>
        <v/>
      </c>
      <c r="U773" s="24" t="str">
        <f aca="false">IF(AND(C773="Own",Q773="Active"),COUNTIFS($C$5:C773,"Own",$Q$5:Q773,"Active"),"")</f>
        <v/>
      </c>
      <c r="V773" s="26" t="str">
        <f aca="false">IF(C773&lt;&gt;"Own","",IF(K773="Hourly",N773,(L773+M773)/(Settings!$B$11*Settings!$B$12)))</f>
        <v/>
      </c>
    </row>
    <row r="774" customFormat="false" ht="15" hidden="false" customHeight="false" outlineLevel="0" collapsed="false">
      <c r="R774" s="25" t="str">
        <f aca="true">IF(I774="","",I774-TODAY())</f>
        <v/>
      </c>
      <c r="S774" s="25" t="str">
        <f aca="true">IF(J774="","",J774-TODAY())</f>
        <v/>
      </c>
      <c r="T774" s="24" t="str">
        <f aca="false">IF(A774="","",IF(OR(AND(R774&lt;&gt;"",R774&lt;0),AND(S774&lt;&gt;"",S774&lt;0)),"EXPIRED",IF(OR(AND(R774&lt;&gt;"",R774&lt;=Settings!$B$15),AND(S774&lt;&gt;"",S774&lt;=Settings!$B$15)),"EXPIRING SOON","OK")))</f>
        <v/>
      </c>
      <c r="U774" s="24" t="str">
        <f aca="false">IF(AND(C774="Own",Q774="Active"),COUNTIFS($C$5:C774,"Own",$Q$5:Q774,"Active"),"")</f>
        <v/>
      </c>
      <c r="V774" s="26" t="str">
        <f aca="false">IF(C774&lt;&gt;"Own","",IF(K774="Hourly",N774,(L774+M774)/(Settings!$B$11*Settings!$B$12)))</f>
        <v/>
      </c>
    </row>
    <row r="775" customFormat="false" ht="15" hidden="false" customHeight="false" outlineLevel="0" collapsed="false">
      <c r="R775" s="25" t="str">
        <f aca="true">IF(I775="","",I775-TODAY())</f>
        <v/>
      </c>
      <c r="S775" s="25" t="str">
        <f aca="true">IF(J775="","",J775-TODAY())</f>
        <v/>
      </c>
      <c r="T775" s="24" t="str">
        <f aca="false">IF(A775="","",IF(OR(AND(R775&lt;&gt;"",R775&lt;0),AND(S775&lt;&gt;"",S775&lt;0)),"EXPIRED",IF(OR(AND(R775&lt;&gt;"",R775&lt;=Settings!$B$15),AND(S775&lt;&gt;"",S775&lt;=Settings!$B$15)),"EXPIRING SOON","OK")))</f>
        <v/>
      </c>
      <c r="U775" s="24" t="str">
        <f aca="false">IF(AND(C775="Own",Q775="Active"),COUNTIFS($C$5:C775,"Own",$Q$5:Q775,"Active"),"")</f>
        <v/>
      </c>
      <c r="V775" s="26" t="str">
        <f aca="false">IF(C775&lt;&gt;"Own","",IF(K775="Hourly",N775,(L775+M775)/(Settings!$B$11*Settings!$B$12)))</f>
        <v/>
      </c>
    </row>
    <row r="776" customFormat="false" ht="15" hidden="false" customHeight="false" outlineLevel="0" collapsed="false">
      <c r="R776" s="25" t="str">
        <f aca="true">IF(I776="","",I776-TODAY())</f>
        <v/>
      </c>
      <c r="S776" s="25" t="str">
        <f aca="true">IF(J776="","",J776-TODAY())</f>
        <v/>
      </c>
      <c r="T776" s="24" t="str">
        <f aca="false">IF(A776="","",IF(OR(AND(R776&lt;&gt;"",R776&lt;0),AND(S776&lt;&gt;"",S776&lt;0)),"EXPIRED",IF(OR(AND(R776&lt;&gt;"",R776&lt;=Settings!$B$15),AND(S776&lt;&gt;"",S776&lt;=Settings!$B$15)),"EXPIRING SOON","OK")))</f>
        <v/>
      </c>
      <c r="U776" s="24" t="str">
        <f aca="false">IF(AND(C776="Own",Q776="Active"),COUNTIFS($C$5:C776,"Own",$Q$5:Q776,"Active"),"")</f>
        <v/>
      </c>
      <c r="V776" s="26" t="str">
        <f aca="false">IF(C776&lt;&gt;"Own","",IF(K776="Hourly",N776,(L776+M776)/(Settings!$B$11*Settings!$B$12)))</f>
        <v/>
      </c>
    </row>
    <row r="777" customFormat="false" ht="15" hidden="false" customHeight="false" outlineLevel="0" collapsed="false">
      <c r="R777" s="25" t="str">
        <f aca="true">IF(I777="","",I777-TODAY())</f>
        <v/>
      </c>
      <c r="S777" s="25" t="str">
        <f aca="true">IF(J777="","",J777-TODAY())</f>
        <v/>
      </c>
      <c r="T777" s="24" t="str">
        <f aca="false">IF(A777="","",IF(OR(AND(R777&lt;&gt;"",R777&lt;0),AND(S777&lt;&gt;"",S777&lt;0)),"EXPIRED",IF(OR(AND(R777&lt;&gt;"",R777&lt;=Settings!$B$15),AND(S777&lt;&gt;"",S777&lt;=Settings!$B$15)),"EXPIRING SOON","OK")))</f>
        <v/>
      </c>
      <c r="U777" s="24" t="str">
        <f aca="false">IF(AND(C777="Own",Q777="Active"),COUNTIFS($C$5:C777,"Own",$Q$5:Q777,"Active"),"")</f>
        <v/>
      </c>
      <c r="V777" s="26" t="str">
        <f aca="false">IF(C777&lt;&gt;"Own","",IF(K777="Hourly",N777,(L777+M777)/(Settings!$B$11*Settings!$B$12)))</f>
        <v/>
      </c>
    </row>
    <row r="778" customFormat="false" ht="15" hidden="false" customHeight="false" outlineLevel="0" collapsed="false">
      <c r="R778" s="25" t="str">
        <f aca="true">IF(I778="","",I778-TODAY())</f>
        <v/>
      </c>
      <c r="S778" s="25" t="str">
        <f aca="true">IF(J778="","",J778-TODAY())</f>
        <v/>
      </c>
      <c r="T778" s="24" t="str">
        <f aca="false">IF(A778="","",IF(OR(AND(R778&lt;&gt;"",R778&lt;0),AND(S778&lt;&gt;"",S778&lt;0)),"EXPIRED",IF(OR(AND(R778&lt;&gt;"",R778&lt;=Settings!$B$15),AND(S778&lt;&gt;"",S778&lt;=Settings!$B$15)),"EXPIRING SOON","OK")))</f>
        <v/>
      </c>
      <c r="U778" s="24" t="str">
        <f aca="false">IF(AND(C778="Own",Q778="Active"),COUNTIFS($C$5:C778,"Own",$Q$5:Q778,"Active"),"")</f>
        <v/>
      </c>
      <c r="V778" s="26" t="str">
        <f aca="false">IF(C778&lt;&gt;"Own","",IF(K778="Hourly",N778,(L778+M778)/(Settings!$B$11*Settings!$B$12)))</f>
        <v/>
      </c>
    </row>
    <row r="779" customFormat="false" ht="15" hidden="false" customHeight="false" outlineLevel="0" collapsed="false">
      <c r="R779" s="25" t="str">
        <f aca="true">IF(I779="","",I779-TODAY())</f>
        <v/>
      </c>
      <c r="S779" s="25" t="str">
        <f aca="true">IF(J779="","",J779-TODAY())</f>
        <v/>
      </c>
      <c r="T779" s="24" t="str">
        <f aca="false">IF(A779="","",IF(OR(AND(R779&lt;&gt;"",R779&lt;0),AND(S779&lt;&gt;"",S779&lt;0)),"EXPIRED",IF(OR(AND(R779&lt;&gt;"",R779&lt;=Settings!$B$15),AND(S779&lt;&gt;"",S779&lt;=Settings!$B$15)),"EXPIRING SOON","OK")))</f>
        <v/>
      </c>
      <c r="U779" s="24" t="str">
        <f aca="false">IF(AND(C779="Own",Q779="Active"),COUNTIFS($C$5:C779,"Own",$Q$5:Q779,"Active"),"")</f>
        <v/>
      </c>
      <c r="V779" s="26" t="str">
        <f aca="false">IF(C779&lt;&gt;"Own","",IF(K779="Hourly",N779,(L779+M779)/(Settings!$B$11*Settings!$B$12)))</f>
        <v/>
      </c>
    </row>
    <row r="780" customFormat="false" ht="15" hidden="false" customHeight="false" outlineLevel="0" collapsed="false">
      <c r="R780" s="25" t="str">
        <f aca="true">IF(I780="","",I780-TODAY())</f>
        <v/>
      </c>
      <c r="S780" s="25" t="str">
        <f aca="true">IF(J780="","",J780-TODAY())</f>
        <v/>
      </c>
      <c r="T780" s="24" t="str">
        <f aca="false">IF(A780="","",IF(OR(AND(R780&lt;&gt;"",R780&lt;0),AND(S780&lt;&gt;"",S780&lt;0)),"EXPIRED",IF(OR(AND(R780&lt;&gt;"",R780&lt;=Settings!$B$15),AND(S780&lt;&gt;"",S780&lt;=Settings!$B$15)),"EXPIRING SOON","OK")))</f>
        <v/>
      </c>
      <c r="U780" s="24" t="str">
        <f aca="false">IF(AND(C780="Own",Q780="Active"),COUNTIFS($C$5:C780,"Own",$Q$5:Q780,"Active"),"")</f>
        <v/>
      </c>
      <c r="V780" s="26" t="str">
        <f aca="false">IF(C780&lt;&gt;"Own","",IF(K780="Hourly",N780,(L780+M780)/(Settings!$B$11*Settings!$B$12)))</f>
        <v/>
      </c>
    </row>
    <row r="781" customFormat="false" ht="15" hidden="false" customHeight="false" outlineLevel="0" collapsed="false">
      <c r="R781" s="25" t="str">
        <f aca="true">IF(I781="","",I781-TODAY())</f>
        <v/>
      </c>
      <c r="S781" s="25" t="str">
        <f aca="true">IF(J781="","",J781-TODAY())</f>
        <v/>
      </c>
      <c r="T781" s="24" t="str">
        <f aca="false">IF(A781="","",IF(OR(AND(R781&lt;&gt;"",R781&lt;0),AND(S781&lt;&gt;"",S781&lt;0)),"EXPIRED",IF(OR(AND(R781&lt;&gt;"",R781&lt;=Settings!$B$15),AND(S781&lt;&gt;"",S781&lt;=Settings!$B$15)),"EXPIRING SOON","OK")))</f>
        <v/>
      </c>
      <c r="U781" s="24" t="str">
        <f aca="false">IF(AND(C781="Own",Q781="Active"),COUNTIFS($C$5:C781,"Own",$Q$5:Q781,"Active"),"")</f>
        <v/>
      </c>
      <c r="V781" s="26" t="str">
        <f aca="false">IF(C781&lt;&gt;"Own","",IF(K781="Hourly",N781,(L781+M781)/(Settings!$B$11*Settings!$B$12)))</f>
        <v/>
      </c>
    </row>
    <row r="782" customFormat="false" ht="15" hidden="false" customHeight="false" outlineLevel="0" collapsed="false">
      <c r="R782" s="25" t="str">
        <f aca="true">IF(I782="","",I782-TODAY())</f>
        <v/>
      </c>
      <c r="S782" s="25" t="str">
        <f aca="true">IF(J782="","",J782-TODAY())</f>
        <v/>
      </c>
      <c r="T782" s="24" t="str">
        <f aca="false">IF(A782="","",IF(OR(AND(R782&lt;&gt;"",R782&lt;0),AND(S782&lt;&gt;"",S782&lt;0)),"EXPIRED",IF(OR(AND(R782&lt;&gt;"",R782&lt;=Settings!$B$15),AND(S782&lt;&gt;"",S782&lt;=Settings!$B$15)),"EXPIRING SOON","OK")))</f>
        <v/>
      </c>
      <c r="U782" s="24" t="str">
        <f aca="false">IF(AND(C782="Own",Q782="Active"),COUNTIFS($C$5:C782,"Own",$Q$5:Q782,"Active"),"")</f>
        <v/>
      </c>
      <c r="V782" s="26" t="str">
        <f aca="false">IF(C782&lt;&gt;"Own","",IF(K782="Hourly",N782,(L782+M782)/(Settings!$B$11*Settings!$B$12)))</f>
        <v/>
      </c>
    </row>
    <row r="783" customFormat="false" ht="15" hidden="false" customHeight="false" outlineLevel="0" collapsed="false">
      <c r="R783" s="25" t="str">
        <f aca="true">IF(I783="","",I783-TODAY())</f>
        <v/>
      </c>
      <c r="S783" s="25" t="str">
        <f aca="true">IF(J783="","",J783-TODAY())</f>
        <v/>
      </c>
      <c r="T783" s="24" t="str">
        <f aca="false">IF(A783="","",IF(OR(AND(R783&lt;&gt;"",R783&lt;0),AND(S783&lt;&gt;"",S783&lt;0)),"EXPIRED",IF(OR(AND(R783&lt;&gt;"",R783&lt;=Settings!$B$15),AND(S783&lt;&gt;"",S783&lt;=Settings!$B$15)),"EXPIRING SOON","OK")))</f>
        <v/>
      </c>
      <c r="U783" s="24" t="str">
        <f aca="false">IF(AND(C783="Own",Q783="Active"),COUNTIFS($C$5:C783,"Own",$Q$5:Q783,"Active"),"")</f>
        <v/>
      </c>
      <c r="V783" s="26" t="str">
        <f aca="false">IF(C783&lt;&gt;"Own","",IF(K783="Hourly",N783,(L783+M783)/(Settings!$B$11*Settings!$B$12)))</f>
        <v/>
      </c>
    </row>
    <row r="784" customFormat="false" ht="15" hidden="false" customHeight="false" outlineLevel="0" collapsed="false">
      <c r="R784" s="25" t="str">
        <f aca="true">IF(I784="","",I784-TODAY())</f>
        <v/>
      </c>
      <c r="S784" s="25" t="str">
        <f aca="true">IF(J784="","",J784-TODAY())</f>
        <v/>
      </c>
      <c r="T784" s="24" t="str">
        <f aca="false">IF(A784="","",IF(OR(AND(R784&lt;&gt;"",R784&lt;0),AND(S784&lt;&gt;"",S784&lt;0)),"EXPIRED",IF(OR(AND(R784&lt;&gt;"",R784&lt;=Settings!$B$15),AND(S784&lt;&gt;"",S784&lt;=Settings!$B$15)),"EXPIRING SOON","OK")))</f>
        <v/>
      </c>
      <c r="U784" s="24" t="str">
        <f aca="false">IF(AND(C784="Own",Q784="Active"),COUNTIFS($C$5:C784,"Own",$Q$5:Q784,"Active"),"")</f>
        <v/>
      </c>
      <c r="V784" s="26" t="str">
        <f aca="false">IF(C784&lt;&gt;"Own","",IF(K784="Hourly",N784,(L784+M784)/(Settings!$B$11*Settings!$B$12)))</f>
        <v/>
      </c>
    </row>
    <row r="785" customFormat="false" ht="15" hidden="false" customHeight="false" outlineLevel="0" collapsed="false">
      <c r="R785" s="25" t="str">
        <f aca="true">IF(I785="","",I785-TODAY())</f>
        <v/>
      </c>
      <c r="S785" s="25" t="str">
        <f aca="true">IF(J785="","",J785-TODAY())</f>
        <v/>
      </c>
      <c r="T785" s="24" t="str">
        <f aca="false">IF(A785="","",IF(OR(AND(R785&lt;&gt;"",R785&lt;0),AND(S785&lt;&gt;"",S785&lt;0)),"EXPIRED",IF(OR(AND(R785&lt;&gt;"",R785&lt;=Settings!$B$15),AND(S785&lt;&gt;"",S785&lt;=Settings!$B$15)),"EXPIRING SOON","OK")))</f>
        <v/>
      </c>
      <c r="U785" s="24" t="str">
        <f aca="false">IF(AND(C785="Own",Q785="Active"),COUNTIFS($C$5:C785,"Own",$Q$5:Q785,"Active"),"")</f>
        <v/>
      </c>
      <c r="V785" s="26" t="str">
        <f aca="false">IF(C785&lt;&gt;"Own","",IF(K785="Hourly",N785,(L785+M785)/(Settings!$B$11*Settings!$B$12)))</f>
        <v/>
      </c>
    </row>
    <row r="786" customFormat="false" ht="15" hidden="false" customHeight="false" outlineLevel="0" collapsed="false">
      <c r="R786" s="25" t="str">
        <f aca="true">IF(I786="","",I786-TODAY())</f>
        <v/>
      </c>
      <c r="S786" s="25" t="str">
        <f aca="true">IF(J786="","",J786-TODAY())</f>
        <v/>
      </c>
      <c r="T786" s="24" t="str">
        <f aca="false">IF(A786="","",IF(OR(AND(R786&lt;&gt;"",R786&lt;0),AND(S786&lt;&gt;"",S786&lt;0)),"EXPIRED",IF(OR(AND(R786&lt;&gt;"",R786&lt;=Settings!$B$15),AND(S786&lt;&gt;"",S786&lt;=Settings!$B$15)),"EXPIRING SOON","OK")))</f>
        <v/>
      </c>
      <c r="U786" s="24" t="str">
        <f aca="false">IF(AND(C786="Own",Q786="Active"),COUNTIFS($C$5:C786,"Own",$Q$5:Q786,"Active"),"")</f>
        <v/>
      </c>
      <c r="V786" s="26" t="str">
        <f aca="false">IF(C786&lt;&gt;"Own","",IF(K786="Hourly",N786,(L786+M786)/(Settings!$B$11*Settings!$B$12)))</f>
        <v/>
      </c>
    </row>
    <row r="787" customFormat="false" ht="15" hidden="false" customHeight="false" outlineLevel="0" collapsed="false">
      <c r="R787" s="25" t="str">
        <f aca="true">IF(I787="","",I787-TODAY())</f>
        <v/>
      </c>
      <c r="S787" s="25" t="str">
        <f aca="true">IF(J787="","",J787-TODAY())</f>
        <v/>
      </c>
      <c r="T787" s="24" t="str">
        <f aca="false">IF(A787="","",IF(OR(AND(R787&lt;&gt;"",R787&lt;0),AND(S787&lt;&gt;"",S787&lt;0)),"EXPIRED",IF(OR(AND(R787&lt;&gt;"",R787&lt;=Settings!$B$15),AND(S787&lt;&gt;"",S787&lt;=Settings!$B$15)),"EXPIRING SOON","OK")))</f>
        <v/>
      </c>
      <c r="U787" s="24" t="str">
        <f aca="false">IF(AND(C787="Own",Q787="Active"),COUNTIFS($C$5:C787,"Own",$Q$5:Q787,"Active"),"")</f>
        <v/>
      </c>
      <c r="V787" s="26" t="str">
        <f aca="false">IF(C787&lt;&gt;"Own","",IF(K787="Hourly",N787,(L787+M787)/(Settings!$B$11*Settings!$B$12)))</f>
        <v/>
      </c>
    </row>
    <row r="788" customFormat="false" ht="15" hidden="false" customHeight="false" outlineLevel="0" collapsed="false">
      <c r="R788" s="25" t="str">
        <f aca="true">IF(I788="","",I788-TODAY())</f>
        <v/>
      </c>
      <c r="S788" s="25" t="str">
        <f aca="true">IF(J788="","",J788-TODAY())</f>
        <v/>
      </c>
      <c r="T788" s="24" t="str">
        <f aca="false">IF(A788="","",IF(OR(AND(R788&lt;&gt;"",R788&lt;0),AND(S788&lt;&gt;"",S788&lt;0)),"EXPIRED",IF(OR(AND(R788&lt;&gt;"",R788&lt;=Settings!$B$15),AND(S788&lt;&gt;"",S788&lt;=Settings!$B$15)),"EXPIRING SOON","OK")))</f>
        <v/>
      </c>
      <c r="U788" s="24" t="str">
        <f aca="false">IF(AND(C788="Own",Q788="Active"),COUNTIFS($C$5:C788,"Own",$Q$5:Q788,"Active"),"")</f>
        <v/>
      </c>
      <c r="V788" s="26" t="str">
        <f aca="false">IF(C788&lt;&gt;"Own","",IF(K788="Hourly",N788,(L788+M788)/(Settings!$B$11*Settings!$B$12)))</f>
        <v/>
      </c>
    </row>
    <row r="789" customFormat="false" ht="15" hidden="false" customHeight="false" outlineLevel="0" collapsed="false">
      <c r="R789" s="25" t="str">
        <f aca="true">IF(I789="","",I789-TODAY())</f>
        <v/>
      </c>
      <c r="S789" s="25" t="str">
        <f aca="true">IF(J789="","",J789-TODAY())</f>
        <v/>
      </c>
      <c r="T789" s="24" t="str">
        <f aca="false">IF(A789="","",IF(OR(AND(R789&lt;&gt;"",R789&lt;0),AND(S789&lt;&gt;"",S789&lt;0)),"EXPIRED",IF(OR(AND(R789&lt;&gt;"",R789&lt;=Settings!$B$15),AND(S789&lt;&gt;"",S789&lt;=Settings!$B$15)),"EXPIRING SOON","OK")))</f>
        <v/>
      </c>
      <c r="U789" s="24" t="str">
        <f aca="false">IF(AND(C789="Own",Q789="Active"),COUNTIFS($C$5:C789,"Own",$Q$5:Q789,"Active"),"")</f>
        <v/>
      </c>
      <c r="V789" s="26" t="str">
        <f aca="false">IF(C789&lt;&gt;"Own","",IF(K789="Hourly",N789,(L789+M789)/(Settings!$B$11*Settings!$B$12)))</f>
        <v/>
      </c>
    </row>
    <row r="790" customFormat="false" ht="15" hidden="false" customHeight="false" outlineLevel="0" collapsed="false">
      <c r="R790" s="25" t="str">
        <f aca="true">IF(I790="","",I790-TODAY())</f>
        <v/>
      </c>
      <c r="S790" s="25" t="str">
        <f aca="true">IF(J790="","",J790-TODAY())</f>
        <v/>
      </c>
      <c r="T790" s="24" t="str">
        <f aca="false">IF(A790="","",IF(OR(AND(R790&lt;&gt;"",R790&lt;0),AND(S790&lt;&gt;"",S790&lt;0)),"EXPIRED",IF(OR(AND(R790&lt;&gt;"",R790&lt;=Settings!$B$15),AND(S790&lt;&gt;"",S790&lt;=Settings!$B$15)),"EXPIRING SOON","OK")))</f>
        <v/>
      </c>
      <c r="U790" s="24" t="str">
        <f aca="false">IF(AND(C790="Own",Q790="Active"),COUNTIFS($C$5:C790,"Own",$Q$5:Q790,"Active"),"")</f>
        <v/>
      </c>
      <c r="V790" s="26" t="str">
        <f aca="false">IF(C790&lt;&gt;"Own","",IF(K790="Hourly",N790,(L790+M790)/(Settings!$B$11*Settings!$B$12)))</f>
        <v/>
      </c>
    </row>
    <row r="791" customFormat="false" ht="15" hidden="false" customHeight="false" outlineLevel="0" collapsed="false">
      <c r="R791" s="25" t="str">
        <f aca="true">IF(I791="","",I791-TODAY())</f>
        <v/>
      </c>
      <c r="S791" s="25" t="str">
        <f aca="true">IF(J791="","",J791-TODAY())</f>
        <v/>
      </c>
      <c r="T791" s="24" t="str">
        <f aca="false">IF(A791="","",IF(OR(AND(R791&lt;&gt;"",R791&lt;0),AND(S791&lt;&gt;"",S791&lt;0)),"EXPIRED",IF(OR(AND(R791&lt;&gt;"",R791&lt;=Settings!$B$15),AND(S791&lt;&gt;"",S791&lt;=Settings!$B$15)),"EXPIRING SOON","OK")))</f>
        <v/>
      </c>
      <c r="U791" s="24" t="str">
        <f aca="false">IF(AND(C791="Own",Q791="Active"),COUNTIFS($C$5:C791,"Own",$Q$5:Q791,"Active"),"")</f>
        <v/>
      </c>
      <c r="V791" s="26" t="str">
        <f aca="false">IF(C791&lt;&gt;"Own","",IF(K791="Hourly",N791,(L791+M791)/(Settings!$B$11*Settings!$B$12)))</f>
        <v/>
      </c>
    </row>
    <row r="792" customFormat="false" ht="15" hidden="false" customHeight="false" outlineLevel="0" collapsed="false">
      <c r="R792" s="25" t="str">
        <f aca="true">IF(I792="","",I792-TODAY())</f>
        <v/>
      </c>
      <c r="S792" s="25" t="str">
        <f aca="true">IF(J792="","",J792-TODAY())</f>
        <v/>
      </c>
      <c r="T792" s="24" t="str">
        <f aca="false">IF(A792="","",IF(OR(AND(R792&lt;&gt;"",R792&lt;0),AND(S792&lt;&gt;"",S792&lt;0)),"EXPIRED",IF(OR(AND(R792&lt;&gt;"",R792&lt;=Settings!$B$15),AND(S792&lt;&gt;"",S792&lt;=Settings!$B$15)),"EXPIRING SOON","OK")))</f>
        <v/>
      </c>
      <c r="U792" s="24" t="str">
        <f aca="false">IF(AND(C792="Own",Q792="Active"),COUNTIFS($C$5:C792,"Own",$Q$5:Q792,"Active"),"")</f>
        <v/>
      </c>
      <c r="V792" s="26" t="str">
        <f aca="false">IF(C792&lt;&gt;"Own","",IF(K792="Hourly",N792,(L792+M792)/(Settings!$B$11*Settings!$B$12)))</f>
        <v/>
      </c>
    </row>
    <row r="793" customFormat="false" ht="15" hidden="false" customHeight="false" outlineLevel="0" collapsed="false">
      <c r="R793" s="25" t="str">
        <f aca="true">IF(I793="","",I793-TODAY())</f>
        <v/>
      </c>
      <c r="S793" s="25" t="str">
        <f aca="true">IF(J793="","",J793-TODAY())</f>
        <v/>
      </c>
      <c r="T793" s="24" t="str">
        <f aca="false">IF(A793="","",IF(OR(AND(R793&lt;&gt;"",R793&lt;0),AND(S793&lt;&gt;"",S793&lt;0)),"EXPIRED",IF(OR(AND(R793&lt;&gt;"",R793&lt;=Settings!$B$15),AND(S793&lt;&gt;"",S793&lt;=Settings!$B$15)),"EXPIRING SOON","OK")))</f>
        <v/>
      </c>
      <c r="U793" s="24" t="str">
        <f aca="false">IF(AND(C793="Own",Q793="Active"),COUNTIFS($C$5:C793,"Own",$Q$5:Q793,"Active"),"")</f>
        <v/>
      </c>
      <c r="V793" s="26" t="str">
        <f aca="false">IF(C793&lt;&gt;"Own","",IF(K793="Hourly",N793,(L793+M793)/(Settings!$B$11*Settings!$B$12)))</f>
        <v/>
      </c>
    </row>
    <row r="794" customFormat="false" ht="15" hidden="false" customHeight="false" outlineLevel="0" collapsed="false">
      <c r="R794" s="25" t="str">
        <f aca="true">IF(I794="","",I794-TODAY())</f>
        <v/>
      </c>
      <c r="S794" s="25" t="str">
        <f aca="true">IF(J794="","",J794-TODAY())</f>
        <v/>
      </c>
      <c r="T794" s="24" t="str">
        <f aca="false">IF(A794="","",IF(OR(AND(R794&lt;&gt;"",R794&lt;0),AND(S794&lt;&gt;"",S794&lt;0)),"EXPIRED",IF(OR(AND(R794&lt;&gt;"",R794&lt;=Settings!$B$15),AND(S794&lt;&gt;"",S794&lt;=Settings!$B$15)),"EXPIRING SOON","OK")))</f>
        <v/>
      </c>
      <c r="U794" s="24" t="str">
        <f aca="false">IF(AND(C794="Own",Q794="Active"),COUNTIFS($C$5:C794,"Own",$Q$5:Q794,"Active"),"")</f>
        <v/>
      </c>
      <c r="V794" s="26" t="str">
        <f aca="false">IF(C794&lt;&gt;"Own","",IF(K794="Hourly",N794,(L794+M794)/(Settings!$B$11*Settings!$B$12)))</f>
        <v/>
      </c>
    </row>
    <row r="795" customFormat="false" ht="15" hidden="false" customHeight="false" outlineLevel="0" collapsed="false">
      <c r="R795" s="25" t="str">
        <f aca="true">IF(I795="","",I795-TODAY())</f>
        <v/>
      </c>
      <c r="S795" s="25" t="str">
        <f aca="true">IF(J795="","",J795-TODAY())</f>
        <v/>
      </c>
      <c r="T795" s="24" t="str">
        <f aca="false">IF(A795="","",IF(OR(AND(R795&lt;&gt;"",R795&lt;0),AND(S795&lt;&gt;"",S795&lt;0)),"EXPIRED",IF(OR(AND(R795&lt;&gt;"",R795&lt;=Settings!$B$15),AND(S795&lt;&gt;"",S795&lt;=Settings!$B$15)),"EXPIRING SOON","OK")))</f>
        <v/>
      </c>
      <c r="U795" s="24" t="str">
        <f aca="false">IF(AND(C795="Own",Q795="Active"),COUNTIFS($C$5:C795,"Own",$Q$5:Q795,"Active"),"")</f>
        <v/>
      </c>
      <c r="V795" s="26" t="str">
        <f aca="false">IF(C795&lt;&gt;"Own","",IF(K795="Hourly",N795,(L795+M795)/(Settings!$B$11*Settings!$B$12)))</f>
        <v/>
      </c>
    </row>
    <row r="796" customFormat="false" ht="15" hidden="false" customHeight="false" outlineLevel="0" collapsed="false">
      <c r="R796" s="25" t="str">
        <f aca="true">IF(I796="","",I796-TODAY())</f>
        <v/>
      </c>
      <c r="S796" s="25" t="str">
        <f aca="true">IF(J796="","",J796-TODAY())</f>
        <v/>
      </c>
      <c r="T796" s="24" t="str">
        <f aca="false">IF(A796="","",IF(OR(AND(R796&lt;&gt;"",R796&lt;0),AND(S796&lt;&gt;"",S796&lt;0)),"EXPIRED",IF(OR(AND(R796&lt;&gt;"",R796&lt;=Settings!$B$15),AND(S796&lt;&gt;"",S796&lt;=Settings!$B$15)),"EXPIRING SOON","OK")))</f>
        <v/>
      </c>
      <c r="U796" s="24" t="str">
        <f aca="false">IF(AND(C796="Own",Q796="Active"),COUNTIFS($C$5:C796,"Own",$Q$5:Q796,"Active"),"")</f>
        <v/>
      </c>
      <c r="V796" s="26" t="str">
        <f aca="false">IF(C796&lt;&gt;"Own","",IF(K796="Hourly",N796,(L796+M796)/(Settings!$B$11*Settings!$B$12)))</f>
        <v/>
      </c>
    </row>
    <row r="797" customFormat="false" ht="15" hidden="false" customHeight="false" outlineLevel="0" collapsed="false">
      <c r="R797" s="25" t="str">
        <f aca="true">IF(I797="","",I797-TODAY())</f>
        <v/>
      </c>
      <c r="S797" s="25" t="str">
        <f aca="true">IF(J797="","",J797-TODAY())</f>
        <v/>
      </c>
      <c r="T797" s="24" t="str">
        <f aca="false">IF(A797="","",IF(OR(AND(R797&lt;&gt;"",R797&lt;0),AND(S797&lt;&gt;"",S797&lt;0)),"EXPIRED",IF(OR(AND(R797&lt;&gt;"",R797&lt;=Settings!$B$15),AND(S797&lt;&gt;"",S797&lt;=Settings!$B$15)),"EXPIRING SOON","OK")))</f>
        <v/>
      </c>
      <c r="U797" s="24" t="str">
        <f aca="false">IF(AND(C797="Own",Q797="Active"),COUNTIFS($C$5:C797,"Own",$Q$5:Q797,"Active"),"")</f>
        <v/>
      </c>
      <c r="V797" s="26" t="str">
        <f aca="false">IF(C797&lt;&gt;"Own","",IF(K797="Hourly",N797,(L797+M797)/(Settings!$B$11*Settings!$B$12)))</f>
        <v/>
      </c>
    </row>
    <row r="798" customFormat="false" ht="15" hidden="false" customHeight="false" outlineLevel="0" collapsed="false">
      <c r="R798" s="25" t="str">
        <f aca="true">IF(I798="","",I798-TODAY())</f>
        <v/>
      </c>
      <c r="S798" s="25" t="str">
        <f aca="true">IF(J798="","",J798-TODAY())</f>
        <v/>
      </c>
      <c r="T798" s="24" t="str">
        <f aca="false">IF(A798="","",IF(OR(AND(R798&lt;&gt;"",R798&lt;0),AND(S798&lt;&gt;"",S798&lt;0)),"EXPIRED",IF(OR(AND(R798&lt;&gt;"",R798&lt;=Settings!$B$15),AND(S798&lt;&gt;"",S798&lt;=Settings!$B$15)),"EXPIRING SOON","OK")))</f>
        <v/>
      </c>
      <c r="U798" s="24" t="str">
        <f aca="false">IF(AND(C798="Own",Q798="Active"),COUNTIFS($C$5:C798,"Own",$Q$5:Q798,"Active"),"")</f>
        <v/>
      </c>
      <c r="V798" s="26" t="str">
        <f aca="false">IF(C798&lt;&gt;"Own","",IF(K798="Hourly",N798,(L798+M798)/(Settings!$B$11*Settings!$B$12)))</f>
        <v/>
      </c>
    </row>
    <row r="799" customFormat="false" ht="15" hidden="false" customHeight="false" outlineLevel="0" collapsed="false">
      <c r="R799" s="25" t="str">
        <f aca="true">IF(I799="","",I799-TODAY())</f>
        <v/>
      </c>
      <c r="S799" s="25" t="str">
        <f aca="true">IF(J799="","",J799-TODAY())</f>
        <v/>
      </c>
      <c r="T799" s="24" t="str">
        <f aca="false">IF(A799="","",IF(OR(AND(R799&lt;&gt;"",R799&lt;0),AND(S799&lt;&gt;"",S799&lt;0)),"EXPIRED",IF(OR(AND(R799&lt;&gt;"",R799&lt;=Settings!$B$15),AND(S799&lt;&gt;"",S799&lt;=Settings!$B$15)),"EXPIRING SOON","OK")))</f>
        <v/>
      </c>
      <c r="U799" s="24" t="str">
        <f aca="false">IF(AND(C799="Own",Q799="Active"),COUNTIFS($C$5:C799,"Own",$Q$5:Q799,"Active"),"")</f>
        <v/>
      </c>
      <c r="V799" s="26" t="str">
        <f aca="false">IF(C799&lt;&gt;"Own","",IF(K799="Hourly",N799,(L799+M799)/(Settings!$B$11*Settings!$B$12)))</f>
        <v/>
      </c>
    </row>
    <row r="800" customFormat="false" ht="15" hidden="false" customHeight="false" outlineLevel="0" collapsed="false">
      <c r="R800" s="25" t="str">
        <f aca="true">IF(I800="","",I800-TODAY())</f>
        <v/>
      </c>
      <c r="S800" s="25" t="str">
        <f aca="true">IF(J800="","",J800-TODAY())</f>
        <v/>
      </c>
      <c r="T800" s="24" t="str">
        <f aca="false">IF(A800="","",IF(OR(AND(R800&lt;&gt;"",R800&lt;0),AND(S800&lt;&gt;"",S800&lt;0)),"EXPIRED",IF(OR(AND(R800&lt;&gt;"",R800&lt;=Settings!$B$15),AND(S800&lt;&gt;"",S800&lt;=Settings!$B$15)),"EXPIRING SOON","OK")))</f>
        <v/>
      </c>
      <c r="U800" s="24" t="str">
        <f aca="false">IF(AND(C800="Own",Q800="Active"),COUNTIFS($C$5:C800,"Own",$Q$5:Q800,"Active"),"")</f>
        <v/>
      </c>
      <c r="V800" s="26" t="str">
        <f aca="false">IF(C800&lt;&gt;"Own","",IF(K800="Hourly",N800,(L800+M800)/(Settings!$B$11*Settings!$B$12)))</f>
        <v/>
      </c>
    </row>
    <row r="801" customFormat="false" ht="15" hidden="false" customHeight="false" outlineLevel="0" collapsed="false">
      <c r="R801" s="25" t="str">
        <f aca="true">IF(I801="","",I801-TODAY())</f>
        <v/>
      </c>
      <c r="S801" s="25" t="str">
        <f aca="true">IF(J801="","",J801-TODAY())</f>
        <v/>
      </c>
      <c r="T801" s="24" t="str">
        <f aca="false">IF(A801="","",IF(OR(AND(R801&lt;&gt;"",R801&lt;0),AND(S801&lt;&gt;"",S801&lt;0)),"EXPIRED",IF(OR(AND(R801&lt;&gt;"",R801&lt;=Settings!$B$15),AND(S801&lt;&gt;"",S801&lt;=Settings!$B$15)),"EXPIRING SOON","OK")))</f>
        <v/>
      </c>
      <c r="U801" s="24" t="str">
        <f aca="false">IF(AND(C801="Own",Q801="Active"),COUNTIFS($C$5:C801,"Own",$Q$5:Q801,"Active"),"")</f>
        <v/>
      </c>
      <c r="V801" s="26" t="str">
        <f aca="false">IF(C801&lt;&gt;"Own","",IF(K801="Hourly",N801,(L801+M801)/(Settings!$B$11*Settings!$B$12)))</f>
        <v/>
      </c>
    </row>
    <row r="802" customFormat="false" ht="15" hidden="false" customHeight="false" outlineLevel="0" collapsed="false">
      <c r="R802" s="25" t="str">
        <f aca="true">IF(I802="","",I802-TODAY())</f>
        <v/>
      </c>
      <c r="S802" s="25" t="str">
        <f aca="true">IF(J802="","",J802-TODAY())</f>
        <v/>
      </c>
      <c r="T802" s="24" t="str">
        <f aca="false">IF(A802="","",IF(OR(AND(R802&lt;&gt;"",R802&lt;0),AND(S802&lt;&gt;"",S802&lt;0)),"EXPIRED",IF(OR(AND(R802&lt;&gt;"",R802&lt;=Settings!$B$15),AND(S802&lt;&gt;"",S802&lt;=Settings!$B$15)),"EXPIRING SOON","OK")))</f>
        <v/>
      </c>
      <c r="U802" s="24" t="str">
        <f aca="false">IF(AND(C802="Own",Q802="Active"),COUNTIFS($C$5:C802,"Own",$Q$5:Q802,"Active"),"")</f>
        <v/>
      </c>
      <c r="V802" s="26" t="str">
        <f aca="false">IF(C802&lt;&gt;"Own","",IF(K802="Hourly",N802,(L802+M802)/(Settings!$B$11*Settings!$B$12)))</f>
        <v/>
      </c>
    </row>
    <row r="803" customFormat="false" ht="15" hidden="false" customHeight="false" outlineLevel="0" collapsed="false">
      <c r="R803" s="25" t="str">
        <f aca="true">IF(I803="","",I803-TODAY())</f>
        <v/>
      </c>
      <c r="S803" s="25" t="str">
        <f aca="true">IF(J803="","",J803-TODAY())</f>
        <v/>
      </c>
      <c r="T803" s="24" t="str">
        <f aca="false">IF(A803="","",IF(OR(AND(R803&lt;&gt;"",R803&lt;0),AND(S803&lt;&gt;"",S803&lt;0)),"EXPIRED",IF(OR(AND(R803&lt;&gt;"",R803&lt;=Settings!$B$15),AND(S803&lt;&gt;"",S803&lt;=Settings!$B$15)),"EXPIRING SOON","OK")))</f>
        <v/>
      </c>
      <c r="U803" s="24" t="str">
        <f aca="false">IF(AND(C803="Own",Q803="Active"),COUNTIFS($C$5:C803,"Own",$Q$5:Q803,"Active"),"")</f>
        <v/>
      </c>
      <c r="V803" s="26" t="str">
        <f aca="false">IF(C803&lt;&gt;"Own","",IF(K803="Hourly",N803,(L803+M803)/(Settings!$B$11*Settings!$B$12)))</f>
        <v/>
      </c>
    </row>
    <row r="804" customFormat="false" ht="15" hidden="false" customHeight="false" outlineLevel="0" collapsed="false">
      <c r="R804" s="25" t="str">
        <f aca="true">IF(I804="","",I804-TODAY())</f>
        <v/>
      </c>
      <c r="S804" s="25" t="str">
        <f aca="true">IF(J804="","",J804-TODAY())</f>
        <v/>
      </c>
      <c r="T804" s="24" t="str">
        <f aca="false">IF(A804="","",IF(OR(AND(R804&lt;&gt;"",R804&lt;0),AND(S804&lt;&gt;"",S804&lt;0)),"EXPIRED",IF(OR(AND(R804&lt;&gt;"",R804&lt;=Settings!$B$15),AND(S804&lt;&gt;"",S804&lt;=Settings!$B$15)),"EXPIRING SOON","OK")))</f>
        <v/>
      </c>
      <c r="U804" s="24" t="str">
        <f aca="false">IF(AND(C804="Own",Q804="Active"),COUNTIFS($C$5:C804,"Own",$Q$5:Q804,"Active"),"")</f>
        <v/>
      </c>
      <c r="V804" s="26" t="str">
        <f aca="false">IF(C804&lt;&gt;"Own","",IF(K804="Hourly",N804,(L804+M804)/(Settings!$B$11*Settings!$B$12)))</f>
        <v/>
      </c>
    </row>
    <row r="805" customFormat="false" ht="15" hidden="false" customHeight="false" outlineLevel="0" collapsed="false">
      <c r="R805" s="25" t="str">
        <f aca="true">IF(I805="","",I805-TODAY())</f>
        <v/>
      </c>
      <c r="S805" s="25" t="str">
        <f aca="true">IF(J805="","",J805-TODAY())</f>
        <v/>
      </c>
      <c r="T805" s="24" t="str">
        <f aca="false">IF(A805="","",IF(OR(AND(R805&lt;&gt;"",R805&lt;0),AND(S805&lt;&gt;"",S805&lt;0)),"EXPIRED",IF(OR(AND(R805&lt;&gt;"",R805&lt;=Settings!$B$15),AND(S805&lt;&gt;"",S805&lt;=Settings!$B$15)),"EXPIRING SOON","OK")))</f>
        <v/>
      </c>
      <c r="U805" s="24" t="str">
        <f aca="false">IF(AND(C805="Own",Q805="Active"),COUNTIFS($C$5:C805,"Own",$Q$5:Q805,"Active"),"")</f>
        <v/>
      </c>
      <c r="V805" s="26" t="str">
        <f aca="false">IF(C805&lt;&gt;"Own","",IF(K805="Hourly",N805,(L805+M805)/(Settings!$B$11*Settings!$B$12)))</f>
        <v/>
      </c>
    </row>
    <row r="806" customFormat="false" ht="15" hidden="false" customHeight="false" outlineLevel="0" collapsed="false">
      <c r="R806" s="25" t="str">
        <f aca="true">IF(I806="","",I806-TODAY())</f>
        <v/>
      </c>
      <c r="S806" s="25" t="str">
        <f aca="true">IF(J806="","",J806-TODAY())</f>
        <v/>
      </c>
      <c r="T806" s="24" t="str">
        <f aca="false">IF(A806="","",IF(OR(AND(R806&lt;&gt;"",R806&lt;0),AND(S806&lt;&gt;"",S806&lt;0)),"EXPIRED",IF(OR(AND(R806&lt;&gt;"",R806&lt;=Settings!$B$15),AND(S806&lt;&gt;"",S806&lt;=Settings!$B$15)),"EXPIRING SOON","OK")))</f>
        <v/>
      </c>
      <c r="U806" s="24" t="str">
        <f aca="false">IF(AND(C806="Own",Q806="Active"),COUNTIFS($C$5:C806,"Own",$Q$5:Q806,"Active"),"")</f>
        <v/>
      </c>
      <c r="V806" s="26" t="str">
        <f aca="false">IF(C806&lt;&gt;"Own","",IF(K806="Hourly",N806,(L806+M806)/(Settings!$B$11*Settings!$B$12)))</f>
        <v/>
      </c>
    </row>
    <row r="807" customFormat="false" ht="15" hidden="false" customHeight="false" outlineLevel="0" collapsed="false">
      <c r="R807" s="25" t="str">
        <f aca="true">IF(I807="","",I807-TODAY())</f>
        <v/>
      </c>
      <c r="S807" s="25" t="str">
        <f aca="true">IF(J807="","",J807-TODAY())</f>
        <v/>
      </c>
      <c r="T807" s="24" t="str">
        <f aca="false">IF(A807="","",IF(OR(AND(R807&lt;&gt;"",R807&lt;0),AND(S807&lt;&gt;"",S807&lt;0)),"EXPIRED",IF(OR(AND(R807&lt;&gt;"",R807&lt;=Settings!$B$15),AND(S807&lt;&gt;"",S807&lt;=Settings!$B$15)),"EXPIRING SOON","OK")))</f>
        <v/>
      </c>
      <c r="U807" s="24" t="str">
        <f aca="false">IF(AND(C807="Own",Q807="Active"),COUNTIFS($C$5:C807,"Own",$Q$5:Q807,"Active"),"")</f>
        <v/>
      </c>
      <c r="V807" s="26" t="str">
        <f aca="false">IF(C807&lt;&gt;"Own","",IF(K807="Hourly",N807,(L807+M807)/(Settings!$B$11*Settings!$B$12)))</f>
        <v/>
      </c>
    </row>
    <row r="808" customFormat="false" ht="15" hidden="false" customHeight="false" outlineLevel="0" collapsed="false">
      <c r="R808" s="25" t="str">
        <f aca="true">IF(I808="","",I808-TODAY())</f>
        <v/>
      </c>
      <c r="S808" s="25" t="str">
        <f aca="true">IF(J808="","",J808-TODAY())</f>
        <v/>
      </c>
      <c r="T808" s="24" t="str">
        <f aca="false">IF(A808="","",IF(OR(AND(R808&lt;&gt;"",R808&lt;0),AND(S808&lt;&gt;"",S808&lt;0)),"EXPIRED",IF(OR(AND(R808&lt;&gt;"",R808&lt;=Settings!$B$15),AND(S808&lt;&gt;"",S808&lt;=Settings!$B$15)),"EXPIRING SOON","OK")))</f>
        <v/>
      </c>
      <c r="U808" s="24" t="str">
        <f aca="false">IF(AND(C808="Own",Q808="Active"),COUNTIFS($C$5:C808,"Own",$Q$5:Q808,"Active"),"")</f>
        <v/>
      </c>
      <c r="V808" s="26" t="str">
        <f aca="false">IF(C808&lt;&gt;"Own","",IF(K808="Hourly",N808,(L808+M808)/(Settings!$B$11*Settings!$B$12)))</f>
        <v/>
      </c>
    </row>
    <row r="809" customFormat="false" ht="15" hidden="false" customHeight="false" outlineLevel="0" collapsed="false">
      <c r="R809" s="25" t="str">
        <f aca="true">IF(I809="","",I809-TODAY())</f>
        <v/>
      </c>
      <c r="S809" s="25" t="str">
        <f aca="true">IF(J809="","",J809-TODAY())</f>
        <v/>
      </c>
      <c r="T809" s="24" t="str">
        <f aca="false">IF(A809="","",IF(OR(AND(R809&lt;&gt;"",R809&lt;0),AND(S809&lt;&gt;"",S809&lt;0)),"EXPIRED",IF(OR(AND(R809&lt;&gt;"",R809&lt;=Settings!$B$15),AND(S809&lt;&gt;"",S809&lt;=Settings!$B$15)),"EXPIRING SOON","OK")))</f>
        <v/>
      </c>
      <c r="U809" s="24" t="str">
        <f aca="false">IF(AND(C809="Own",Q809="Active"),COUNTIFS($C$5:C809,"Own",$Q$5:Q809,"Active"),"")</f>
        <v/>
      </c>
      <c r="V809" s="26" t="str">
        <f aca="false">IF(C809&lt;&gt;"Own","",IF(K809="Hourly",N809,(L809+M809)/(Settings!$B$11*Settings!$B$12)))</f>
        <v/>
      </c>
    </row>
    <row r="810" customFormat="false" ht="15" hidden="false" customHeight="false" outlineLevel="0" collapsed="false">
      <c r="R810" s="25" t="str">
        <f aca="true">IF(I810="","",I810-TODAY())</f>
        <v/>
      </c>
      <c r="S810" s="25" t="str">
        <f aca="true">IF(J810="","",J810-TODAY())</f>
        <v/>
      </c>
      <c r="T810" s="24" t="str">
        <f aca="false">IF(A810="","",IF(OR(AND(R810&lt;&gt;"",R810&lt;0),AND(S810&lt;&gt;"",S810&lt;0)),"EXPIRED",IF(OR(AND(R810&lt;&gt;"",R810&lt;=Settings!$B$15),AND(S810&lt;&gt;"",S810&lt;=Settings!$B$15)),"EXPIRING SOON","OK")))</f>
        <v/>
      </c>
      <c r="U810" s="24" t="str">
        <f aca="false">IF(AND(C810="Own",Q810="Active"),COUNTIFS($C$5:C810,"Own",$Q$5:Q810,"Active"),"")</f>
        <v/>
      </c>
      <c r="V810" s="26" t="str">
        <f aca="false">IF(C810&lt;&gt;"Own","",IF(K810="Hourly",N810,(L810+M810)/(Settings!$B$11*Settings!$B$12)))</f>
        <v/>
      </c>
    </row>
    <row r="811" customFormat="false" ht="15" hidden="false" customHeight="false" outlineLevel="0" collapsed="false">
      <c r="R811" s="25" t="str">
        <f aca="true">IF(I811="","",I811-TODAY())</f>
        <v/>
      </c>
      <c r="S811" s="25" t="str">
        <f aca="true">IF(J811="","",J811-TODAY())</f>
        <v/>
      </c>
      <c r="T811" s="24" t="str">
        <f aca="false">IF(A811="","",IF(OR(AND(R811&lt;&gt;"",R811&lt;0),AND(S811&lt;&gt;"",S811&lt;0)),"EXPIRED",IF(OR(AND(R811&lt;&gt;"",R811&lt;=Settings!$B$15),AND(S811&lt;&gt;"",S811&lt;=Settings!$B$15)),"EXPIRING SOON","OK")))</f>
        <v/>
      </c>
      <c r="U811" s="24" t="str">
        <f aca="false">IF(AND(C811="Own",Q811="Active"),COUNTIFS($C$5:C811,"Own",$Q$5:Q811,"Active"),"")</f>
        <v/>
      </c>
      <c r="V811" s="26" t="str">
        <f aca="false">IF(C811&lt;&gt;"Own","",IF(K811="Hourly",N811,(L811+M811)/(Settings!$B$11*Settings!$B$12)))</f>
        <v/>
      </c>
    </row>
    <row r="812" customFormat="false" ht="15" hidden="false" customHeight="false" outlineLevel="0" collapsed="false">
      <c r="R812" s="25" t="str">
        <f aca="true">IF(I812="","",I812-TODAY())</f>
        <v/>
      </c>
      <c r="S812" s="25" t="str">
        <f aca="true">IF(J812="","",J812-TODAY())</f>
        <v/>
      </c>
      <c r="T812" s="24" t="str">
        <f aca="false">IF(A812="","",IF(OR(AND(R812&lt;&gt;"",R812&lt;0),AND(S812&lt;&gt;"",S812&lt;0)),"EXPIRED",IF(OR(AND(R812&lt;&gt;"",R812&lt;=Settings!$B$15),AND(S812&lt;&gt;"",S812&lt;=Settings!$B$15)),"EXPIRING SOON","OK")))</f>
        <v/>
      </c>
      <c r="U812" s="24" t="str">
        <f aca="false">IF(AND(C812="Own",Q812="Active"),COUNTIFS($C$5:C812,"Own",$Q$5:Q812,"Active"),"")</f>
        <v/>
      </c>
      <c r="V812" s="26" t="str">
        <f aca="false">IF(C812&lt;&gt;"Own","",IF(K812="Hourly",N812,(L812+M812)/(Settings!$B$11*Settings!$B$12)))</f>
        <v/>
      </c>
    </row>
    <row r="813" customFormat="false" ht="15" hidden="false" customHeight="false" outlineLevel="0" collapsed="false">
      <c r="R813" s="25" t="str">
        <f aca="true">IF(I813="","",I813-TODAY())</f>
        <v/>
      </c>
      <c r="S813" s="25" t="str">
        <f aca="true">IF(J813="","",J813-TODAY())</f>
        <v/>
      </c>
      <c r="T813" s="24" t="str">
        <f aca="false">IF(A813="","",IF(OR(AND(R813&lt;&gt;"",R813&lt;0),AND(S813&lt;&gt;"",S813&lt;0)),"EXPIRED",IF(OR(AND(R813&lt;&gt;"",R813&lt;=Settings!$B$15),AND(S813&lt;&gt;"",S813&lt;=Settings!$B$15)),"EXPIRING SOON","OK")))</f>
        <v/>
      </c>
      <c r="U813" s="24" t="str">
        <f aca="false">IF(AND(C813="Own",Q813="Active"),COUNTIFS($C$5:C813,"Own",$Q$5:Q813,"Active"),"")</f>
        <v/>
      </c>
      <c r="V813" s="26" t="str">
        <f aca="false">IF(C813&lt;&gt;"Own","",IF(K813="Hourly",N813,(L813+M813)/(Settings!$B$11*Settings!$B$12)))</f>
        <v/>
      </c>
    </row>
    <row r="814" customFormat="false" ht="15" hidden="false" customHeight="false" outlineLevel="0" collapsed="false">
      <c r="R814" s="25" t="str">
        <f aca="true">IF(I814="","",I814-TODAY())</f>
        <v/>
      </c>
      <c r="S814" s="25" t="str">
        <f aca="true">IF(J814="","",J814-TODAY())</f>
        <v/>
      </c>
      <c r="T814" s="24" t="str">
        <f aca="false">IF(A814="","",IF(OR(AND(R814&lt;&gt;"",R814&lt;0),AND(S814&lt;&gt;"",S814&lt;0)),"EXPIRED",IF(OR(AND(R814&lt;&gt;"",R814&lt;=Settings!$B$15),AND(S814&lt;&gt;"",S814&lt;=Settings!$B$15)),"EXPIRING SOON","OK")))</f>
        <v/>
      </c>
      <c r="U814" s="24" t="str">
        <f aca="false">IF(AND(C814="Own",Q814="Active"),COUNTIFS($C$5:C814,"Own",$Q$5:Q814,"Active"),"")</f>
        <v/>
      </c>
      <c r="V814" s="26" t="str">
        <f aca="false">IF(C814&lt;&gt;"Own","",IF(K814="Hourly",N814,(L814+M814)/(Settings!$B$11*Settings!$B$12)))</f>
        <v/>
      </c>
    </row>
    <row r="815" customFormat="false" ht="15" hidden="false" customHeight="false" outlineLevel="0" collapsed="false">
      <c r="R815" s="25" t="str">
        <f aca="true">IF(I815="","",I815-TODAY())</f>
        <v/>
      </c>
      <c r="S815" s="25" t="str">
        <f aca="true">IF(J815="","",J815-TODAY())</f>
        <v/>
      </c>
      <c r="T815" s="24" t="str">
        <f aca="false">IF(A815="","",IF(OR(AND(R815&lt;&gt;"",R815&lt;0),AND(S815&lt;&gt;"",S815&lt;0)),"EXPIRED",IF(OR(AND(R815&lt;&gt;"",R815&lt;=Settings!$B$15),AND(S815&lt;&gt;"",S815&lt;=Settings!$B$15)),"EXPIRING SOON","OK")))</f>
        <v/>
      </c>
      <c r="U815" s="24" t="str">
        <f aca="false">IF(AND(C815="Own",Q815="Active"),COUNTIFS($C$5:C815,"Own",$Q$5:Q815,"Active"),"")</f>
        <v/>
      </c>
      <c r="V815" s="26" t="str">
        <f aca="false">IF(C815&lt;&gt;"Own","",IF(K815="Hourly",N815,(L815+M815)/(Settings!$B$11*Settings!$B$12)))</f>
        <v/>
      </c>
    </row>
    <row r="816" customFormat="false" ht="15" hidden="false" customHeight="false" outlineLevel="0" collapsed="false">
      <c r="R816" s="25" t="str">
        <f aca="true">IF(I816="","",I816-TODAY())</f>
        <v/>
      </c>
      <c r="S816" s="25" t="str">
        <f aca="true">IF(J816="","",J816-TODAY())</f>
        <v/>
      </c>
      <c r="T816" s="24" t="str">
        <f aca="false">IF(A816="","",IF(OR(AND(R816&lt;&gt;"",R816&lt;0),AND(S816&lt;&gt;"",S816&lt;0)),"EXPIRED",IF(OR(AND(R816&lt;&gt;"",R816&lt;=Settings!$B$15),AND(S816&lt;&gt;"",S816&lt;=Settings!$B$15)),"EXPIRING SOON","OK")))</f>
        <v/>
      </c>
      <c r="U816" s="24" t="str">
        <f aca="false">IF(AND(C816="Own",Q816="Active"),COUNTIFS($C$5:C816,"Own",$Q$5:Q816,"Active"),"")</f>
        <v/>
      </c>
      <c r="V816" s="26" t="str">
        <f aca="false">IF(C816&lt;&gt;"Own","",IF(K816="Hourly",N816,(L816+M816)/(Settings!$B$11*Settings!$B$12)))</f>
        <v/>
      </c>
    </row>
    <row r="817" customFormat="false" ht="15" hidden="false" customHeight="false" outlineLevel="0" collapsed="false">
      <c r="R817" s="25" t="str">
        <f aca="true">IF(I817="","",I817-TODAY())</f>
        <v/>
      </c>
      <c r="S817" s="25" t="str">
        <f aca="true">IF(J817="","",J817-TODAY())</f>
        <v/>
      </c>
      <c r="T817" s="24" t="str">
        <f aca="false">IF(A817="","",IF(OR(AND(R817&lt;&gt;"",R817&lt;0),AND(S817&lt;&gt;"",S817&lt;0)),"EXPIRED",IF(OR(AND(R817&lt;&gt;"",R817&lt;=Settings!$B$15),AND(S817&lt;&gt;"",S817&lt;=Settings!$B$15)),"EXPIRING SOON","OK")))</f>
        <v/>
      </c>
      <c r="U817" s="24" t="str">
        <f aca="false">IF(AND(C817="Own",Q817="Active"),COUNTIFS($C$5:C817,"Own",$Q$5:Q817,"Active"),"")</f>
        <v/>
      </c>
      <c r="V817" s="26" t="str">
        <f aca="false">IF(C817&lt;&gt;"Own","",IF(K817="Hourly",N817,(L817+M817)/(Settings!$B$11*Settings!$B$12)))</f>
        <v/>
      </c>
    </row>
    <row r="818" customFormat="false" ht="15" hidden="false" customHeight="false" outlineLevel="0" collapsed="false">
      <c r="R818" s="25" t="str">
        <f aca="true">IF(I818="","",I818-TODAY())</f>
        <v/>
      </c>
      <c r="S818" s="25" t="str">
        <f aca="true">IF(J818="","",J818-TODAY())</f>
        <v/>
      </c>
      <c r="T818" s="24" t="str">
        <f aca="false">IF(A818="","",IF(OR(AND(R818&lt;&gt;"",R818&lt;0),AND(S818&lt;&gt;"",S818&lt;0)),"EXPIRED",IF(OR(AND(R818&lt;&gt;"",R818&lt;=Settings!$B$15),AND(S818&lt;&gt;"",S818&lt;=Settings!$B$15)),"EXPIRING SOON","OK")))</f>
        <v/>
      </c>
      <c r="U818" s="24" t="str">
        <f aca="false">IF(AND(C818="Own",Q818="Active"),COUNTIFS($C$5:C818,"Own",$Q$5:Q818,"Active"),"")</f>
        <v/>
      </c>
      <c r="V818" s="26" t="str">
        <f aca="false">IF(C818&lt;&gt;"Own","",IF(K818="Hourly",N818,(L818+M818)/(Settings!$B$11*Settings!$B$12)))</f>
        <v/>
      </c>
    </row>
    <row r="819" customFormat="false" ht="15" hidden="false" customHeight="false" outlineLevel="0" collapsed="false">
      <c r="R819" s="25" t="str">
        <f aca="true">IF(I819="","",I819-TODAY())</f>
        <v/>
      </c>
      <c r="S819" s="25" t="str">
        <f aca="true">IF(J819="","",J819-TODAY())</f>
        <v/>
      </c>
      <c r="T819" s="24" t="str">
        <f aca="false">IF(A819="","",IF(OR(AND(R819&lt;&gt;"",R819&lt;0),AND(S819&lt;&gt;"",S819&lt;0)),"EXPIRED",IF(OR(AND(R819&lt;&gt;"",R819&lt;=Settings!$B$15),AND(S819&lt;&gt;"",S819&lt;=Settings!$B$15)),"EXPIRING SOON","OK")))</f>
        <v/>
      </c>
      <c r="U819" s="24" t="str">
        <f aca="false">IF(AND(C819="Own",Q819="Active"),COUNTIFS($C$5:C819,"Own",$Q$5:Q819,"Active"),"")</f>
        <v/>
      </c>
      <c r="V819" s="26" t="str">
        <f aca="false">IF(C819&lt;&gt;"Own","",IF(K819="Hourly",N819,(L819+M819)/(Settings!$B$11*Settings!$B$12)))</f>
        <v/>
      </c>
    </row>
    <row r="820" customFormat="false" ht="15" hidden="false" customHeight="false" outlineLevel="0" collapsed="false">
      <c r="R820" s="25" t="str">
        <f aca="true">IF(I820="","",I820-TODAY())</f>
        <v/>
      </c>
      <c r="S820" s="25" t="str">
        <f aca="true">IF(J820="","",J820-TODAY())</f>
        <v/>
      </c>
      <c r="T820" s="24" t="str">
        <f aca="false">IF(A820="","",IF(OR(AND(R820&lt;&gt;"",R820&lt;0),AND(S820&lt;&gt;"",S820&lt;0)),"EXPIRED",IF(OR(AND(R820&lt;&gt;"",R820&lt;=Settings!$B$15),AND(S820&lt;&gt;"",S820&lt;=Settings!$B$15)),"EXPIRING SOON","OK")))</f>
        <v/>
      </c>
      <c r="U820" s="24" t="str">
        <f aca="false">IF(AND(C820="Own",Q820="Active"),COUNTIFS($C$5:C820,"Own",$Q$5:Q820,"Active"),"")</f>
        <v/>
      </c>
      <c r="V820" s="26" t="str">
        <f aca="false">IF(C820&lt;&gt;"Own","",IF(K820="Hourly",N820,(L820+M820)/(Settings!$B$11*Settings!$B$12)))</f>
        <v/>
      </c>
    </row>
    <row r="821" customFormat="false" ht="15" hidden="false" customHeight="false" outlineLevel="0" collapsed="false">
      <c r="R821" s="25" t="str">
        <f aca="true">IF(I821="","",I821-TODAY())</f>
        <v/>
      </c>
      <c r="S821" s="25" t="str">
        <f aca="true">IF(J821="","",J821-TODAY())</f>
        <v/>
      </c>
      <c r="T821" s="24" t="str">
        <f aca="false">IF(A821="","",IF(OR(AND(R821&lt;&gt;"",R821&lt;0),AND(S821&lt;&gt;"",S821&lt;0)),"EXPIRED",IF(OR(AND(R821&lt;&gt;"",R821&lt;=Settings!$B$15),AND(S821&lt;&gt;"",S821&lt;=Settings!$B$15)),"EXPIRING SOON","OK")))</f>
        <v/>
      </c>
      <c r="U821" s="24" t="str">
        <f aca="false">IF(AND(C821="Own",Q821="Active"),COUNTIFS($C$5:C821,"Own",$Q$5:Q821,"Active"),"")</f>
        <v/>
      </c>
      <c r="V821" s="26" t="str">
        <f aca="false">IF(C821&lt;&gt;"Own","",IF(K821="Hourly",N821,(L821+M821)/(Settings!$B$11*Settings!$B$12)))</f>
        <v/>
      </c>
    </row>
    <row r="822" customFormat="false" ht="15" hidden="false" customHeight="false" outlineLevel="0" collapsed="false">
      <c r="R822" s="25" t="str">
        <f aca="true">IF(I822="","",I822-TODAY())</f>
        <v/>
      </c>
      <c r="S822" s="25" t="str">
        <f aca="true">IF(J822="","",J822-TODAY())</f>
        <v/>
      </c>
      <c r="T822" s="24" t="str">
        <f aca="false">IF(A822="","",IF(OR(AND(R822&lt;&gt;"",R822&lt;0),AND(S822&lt;&gt;"",S822&lt;0)),"EXPIRED",IF(OR(AND(R822&lt;&gt;"",R822&lt;=Settings!$B$15),AND(S822&lt;&gt;"",S822&lt;=Settings!$B$15)),"EXPIRING SOON","OK")))</f>
        <v/>
      </c>
      <c r="U822" s="24" t="str">
        <f aca="false">IF(AND(C822="Own",Q822="Active"),COUNTIFS($C$5:C822,"Own",$Q$5:Q822,"Active"),"")</f>
        <v/>
      </c>
      <c r="V822" s="26" t="str">
        <f aca="false">IF(C822&lt;&gt;"Own","",IF(K822="Hourly",N822,(L822+M822)/(Settings!$B$11*Settings!$B$12)))</f>
        <v/>
      </c>
    </row>
    <row r="823" customFormat="false" ht="15" hidden="false" customHeight="false" outlineLevel="0" collapsed="false">
      <c r="R823" s="25" t="str">
        <f aca="true">IF(I823="","",I823-TODAY())</f>
        <v/>
      </c>
      <c r="S823" s="25" t="str">
        <f aca="true">IF(J823="","",J823-TODAY())</f>
        <v/>
      </c>
      <c r="T823" s="24" t="str">
        <f aca="false">IF(A823="","",IF(OR(AND(R823&lt;&gt;"",R823&lt;0),AND(S823&lt;&gt;"",S823&lt;0)),"EXPIRED",IF(OR(AND(R823&lt;&gt;"",R823&lt;=Settings!$B$15),AND(S823&lt;&gt;"",S823&lt;=Settings!$B$15)),"EXPIRING SOON","OK")))</f>
        <v/>
      </c>
      <c r="U823" s="24" t="str">
        <f aca="false">IF(AND(C823="Own",Q823="Active"),COUNTIFS($C$5:C823,"Own",$Q$5:Q823,"Active"),"")</f>
        <v/>
      </c>
      <c r="V823" s="26" t="str">
        <f aca="false">IF(C823&lt;&gt;"Own","",IF(K823="Hourly",N823,(L823+M823)/(Settings!$B$11*Settings!$B$12)))</f>
        <v/>
      </c>
    </row>
    <row r="824" customFormat="false" ht="15" hidden="false" customHeight="false" outlineLevel="0" collapsed="false">
      <c r="R824" s="25" t="str">
        <f aca="true">IF(I824="","",I824-TODAY())</f>
        <v/>
      </c>
      <c r="S824" s="25" t="str">
        <f aca="true">IF(J824="","",J824-TODAY())</f>
        <v/>
      </c>
      <c r="T824" s="24" t="str">
        <f aca="false">IF(A824="","",IF(OR(AND(R824&lt;&gt;"",R824&lt;0),AND(S824&lt;&gt;"",S824&lt;0)),"EXPIRED",IF(OR(AND(R824&lt;&gt;"",R824&lt;=Settings!$B$15),AND(S824&lt;&gt;"",S824&lt;=Settings!$B$15)),"EXPIRING SOON","OK")))</f>
        <v/>
      </c>
      <c r="U824" s="24" t="str">
        <f aca="false">IF(AND(C824="Own",Q824="Active"),COUNTIFS($C$5:C824,"Own",$Q$5:Q824,"Active"),"")</f>
        <v/>
      </c>
      <c r="V824" s="26" t="str">
        <f aca="false">IF(C824&lt;&gt;"Own","",IF(K824="Hourly",N824,(L824+M824)/(Settings!$B$11*Settings!$B$12)))</f>
        <v/>
      </c>
    </row>
    <row r="825" customFormat="false" ht="15" hidden="false" customHeight="false" outlineLevel="0" collapsed="false">
      <c r="R825" s="25" t="str">
        <f aca="true">IF(I825="","",I825-TODAY())</f>
        <v/>
      </c>
      <c r="S825" s="25" t="str">
        <f aca="true">IF(J825="","",J825-TODAY())</f>
        <v/>
      </c>
      <c r="T825" s="24" t="str">
        <f aca="false">IF(A825="","",IF(OR(AND(R825&lt;&gt;"",R825&lt;0),AND(S825&lt;&gt;"",S825&lt;0)),"EXPIRED",IF(OR(AND(R825&lt;&gt;"",R825&lt;=Settings!$B$15),AND(S825&lt;&gt;"",S825&lt;=Settings!$B$15)),"EXPIRING SOON","OK")))</f>
        <v/>
      </c>
      <c r="U825" s="24" t="str">
        <f aca="false">IF(AND(C825="Own",Q825="Active"),COUNTIFS($C$5:C825,"Own",$Q$5:Q825,"Active"),"")</f>
        <v/>
      </c>
      <c r="V825" s="26" t="str">
        <f aca="false">IF(C825&lt;&gt;"Own","",IF(K825="Hourly",N825,(L825+M825)/(Settings!$B$11*Settings!$B$12)))</f>
        <v/>
      </c>
    </row>
    <row r="826" customFormat="false" ht="15" hidden="false" customHeight="false" outlineLevel="0" collapsed="false">
      <c r="R826" s="25" t="str">
        <f aca="true">IF(I826="","",I826-TODAY())</f>
        <v/>
      </c>
      <c r="S826" s="25" t="str">
        <f aca="true">IF(J826="","",J826-TODAY())</f>
        <v/>
      </c>
      <c r="T826" s="24" t="str">
        <f aca="false">IF(A826="","",IF(OR(AND(R826&lt;&gt;"",R826&lt;0),AND(S826&lt;&gt;"",S826&lt;0)),"EXPIRED",IF(OR(AND(R826&lt;&gt;"",R826&lt;=Settings!$B$15),AND(S826&lt;&gt;"",S826&lt;=Settings!$B$15)),"EXPIRING SOON","OK")))</f>
        <v/>
      </c>
      <c r="U826" s="24" t="str">
        <f aca="false">IF(AND(C826="Own",Q826="Active"),COUNTIFS($C$5:C826,"Own",$Q$5:Q826,"Active"),"")</f>
        <v/>
      </c>
      <c r="V826" s="26" t="str">
        <f aca="false">IF(C826&lt;&gt;"Own","",IF(K826="Hourly",N826,(L826+M826)/(Settings!$B$11*Settings!$B$12)))</f>
        <v/>
      </c>
    </row>
    <row r="827" customFormat="false" ht="15" hidden="false" customHeight="false" outlineLevel="0" collapsed="false">
      <c r="R827" s="25" t="str">
        <f aca="true">IF(I827="","",I827-TODAY())</f>
        <v/>
      </c>
      <c r="S827" s="25" t="str">
        <f aca="true">IF(J827="","",J827-TODAY())</f>
        <v/>
      </c>
      <c r="T827" s="24" t="str">
        <f aca="false">IF(A827="","",IF(OR(AND(R827&lt;&gt;"",R827&lt;0),AND(S827&lt;&gt;"",S827&lt;0)),"EXPIRED",IF(OR(AND(R827&lt;&gt;"",R827&lt;=Settings!$B$15),AND(S827&lt;&gt;"",S827&lt;=Settings!$B$15)),"EXPIRING SOON","OK")))</f>
        <v/>
      </c>
      <c r="U827" s="24" t="str">
        <f aca="false">IF(AND(C827="Own",Q827="Active"),COUNTIFS($C$5:C827,"Own",$Q$5:Q827,"Active"),"")</f>
        <v/>
      </c>
      <c r="V827" s="26" t="str">
        <f aca="false">IF(C827&lt;&gt;"Own","",IF(K827="Hourly",N827,(L827+M827)/(Settings!$B$11*Settings!$B$12)))</f>
        <v/>
      </c>
    </row>
    <row r="828" customFormat="false" ht="15" hidden="false" customHeight="false" outlineLevel="0" collapsed="false">
      <c r="R828" s="25" t="str">
        <f aca="true">IF(I828="","",I828-TODAY())</f>
        <v/>
      </c>
      <c r="S828" s="25" t="str">
        <f aca="true">IF(J828="","",J828-TODAY())</f>
        <v/>
      </c>
      <c r="T828" s="24" t="str">
        <f aca="false">IF(A828="","",IF(OR(AND(R828&lt;&gt;"",R828&lt;0),AND(S828&lt;&gt;"",S828&lt;0)),"EXPIRED",IF(OR(AND(R828&lt;&gt;"",R828&lt;=Settings!$B$15),AND(S828&lt;&gt;"",S828&lt;=Settings!$B$15)),"EXPIRING SOON","OK")))</f>
        <v/>
      </c>
      <c r="U828" s="24" t="str">
        <f aca="false">IF(AND(C828="Own",Q828="Active"),COUNTIFS($C$5:C828,"Own",$Q$5:Q828,"Active"),"")</f>
        <v/>
      </c>
      <c r="V828" s="26" t="str">
        <f aca="false">IF(C828&lt;&gt;"Own","",IF(K828="Hourly",N828,(L828+M828)/(Settings!$B$11*Settings!$B$12)))</f>
        <v/>
      </c>
    </row>
    <row r="829" customFormat="false" ht="15" hidden="false" customHeight="false" outlineLevel="0" collapsed="false">
      <c r="R829" s="25" t="str">
        <f aca="true">IF(I829="","",I829-TODAY())</f>
        <v/>
      </c>
      <c r="S829" s="25" t="str">
        <f aca="true">IF(J829="","",J829-TODAY())</f>
        <v/>
      </c>
      <c r="T829" s="24" t="str">
        <f aca="false">IF(A829="","",IF(OR(AND(R829&lt;&gt;"",R829&lt;0),AND(S829&lt;&gt;"",S829&lt;0)),"EXPIRED",IF(OR(AND(R829&lt;&gt;"",R829&lt;=Settings!$B$15),AND(S829&lt;&gt;"",S829&lt;=Settings!$B$15)),"EXPIRING SOON","OK")))</f>
        <v/>
      </c>
      <c r="U829" s="24" t="str">
        <f aca="false">IF(AND(C829="Own",Q829="Active"),COUNTIFS($C$5:C829,"Own",$Q$5:Q829,"Active"),"")</f>
        <v/>
      </c>
      <c r="V829" s="26" t="str">
        <f aca="false">IF(C829&lt;&gt;"Own","",IF(K829="Hourly",N829,(L829+M829)/(Settings!$B$11*Settings!$B$12)))</f>
        <v/>
      </c>
    </row>
    <row r="830" customFormat="false" ht="15" hidden="false" customHeight="false" outlineLevel="0" collapsed="false">
      <c r="R830" s="25" t="str">
        <f aca="true">IF(I830="","",I830-TODAY())</f>
        <v/>
      </c>
      <c r="S830" s="25" t="str">
        <f aca="true">IF(J830="","",J830-TODAY())</f>
        <v/>
      </c>
      <c r="T830" s="24" t="str">
        <f aca="false">IF(A830="","",IF(OR(AND(R830&lt;&gt;"",R830&lt;0),AND(S830&lt;&gt;"",S830&lt;0)),"EXPIRED",IF(OR(AND(R830&lt;&gt;"",R830&lt;=Settings!$B$15),AND(S830&lt;&gt;"",S830&lt;=Settings!$B$15)),"EXPIRING SOON","OK")))</f>
        <v/>
      </c>
      <c r="U830" s="24" t="str">
        <f aca="false">IF(AND(C830="Own",Q830="Active"),COUNTIFS($C$5:C830,"Own",$Q$5:Q830,"Active"),"")</f>
        <v/>
      </c>
      <c r="V830" s="26" t="str">
        <f aca="false">IF(C830&lt;&gt;"Own","",IF(K830="Hourly",N830,(L830+M830)/(Settings!$B$11*Settings!$B$12)))</f>
        <v/>
      </c>
    </row>
    <row r="831" customFormat="false" ht="15" hidden="false" customHeight="false" outlineLevel="0" collapsed="false">
      <c r="R831" s="25" t="str">
        <f aca="true">IF(I831="","",I831-TODAY())</f>
        <v/>
      </c>
      <c r="S831" s="25" t="str">
        <f aca="true">IF(J831="","",J831-TODAY())</f>
        <v/>
      </c>
      <c r="T831" s="24" t="str">
        <f aca="false">IF(A831="","",IF(OR(AND(R831&lt;&gt;"",R831&lt;0),AND(S831&lt;&gt;"",S831&lt;0)),"EXPIRED",IF(OR(AND(R831&lt;&gt;"",R831&lt;=Settings!$B$15),AND(S831&lt;&gt;"",S831&lt;=Settings!$B$15)),"EXPIRING SOON","OK")))</f>
        <v/>
      </c>
      <c r="U831" s="24" t="str">
        <f aca="false">IF(AND(C831="Own",Q831="Active"),COUNTIFS($C$5:C831,"Own",$Q$5:Q831,"Active"),"")</f>
        <v/>
      </c>
      <c r="V831" s="26" t="str">
        <f aca="false">IF(C831&lt;&gt;"Own","",IF(K831="Hourly",N831,(L831+M831)/(Settings!$B$11*Settings!$B$12)))</f>
        <v/>
      </c>
    </row>
    <row r="832" customFormat="false" ht="15" hidden="false" customHeight="false" outlineLevel="0" collapsed="false">
      <c r="R832" s="25" t="str">
        <f aca="true">IF(I832="","",I832-TODAY())</f>
        <v/>
      </c>
      <c r="S832" s="25" t="str">
        <f aca="true">IF(J832="","",J832-TODAY())</f>
        <v/>
      </c>
      <c r="T832" s="24" t="str">
        <f aca="false">IF(A832="","",IF(OR(AND(R832&lt;&gt;"",R832&lt;0),AND(S832&lt;&gt;"",S832&lt;0)),"EXPIRED",IF(OR(AND(R832&lt;&gt;"",R832&lt;=Settings!$B$15),AND(S832&lt;&gt;"",S832&lt;=Settings!$B$15)),"EXPIRING SOON","OK")))</f>
        <v/>
      </c>
      <c r="U832" s="24" t="str">
        <f aca="false">IF(AND(C832="Own",Q832="Active"),COUNTIFS($C$5:C832,"Own",$Q$5:Q832,"Active"),"")</f>
        <v/>
      </c>
      <c r="V832" s="26" t="str">
        <f aca="false">IF(C832&lt;&gt;"Own","",IF(K832="Hourly",N832,(L832+M832)/(Settings!$B$11*Settings!$B$12)))</f>
        <v/>
      </c>
    </row>
    <row r="833" customFormat="false" ht="15" hidden="false" customHeight="false" outlineLevel="0" collapsed="false">
      <c r="R833" s="25" t="str">
        <f aca="true">IF(I833="","",I833-TODAY())</f>
        <v/>
      </c>
      <c r="S833" s="25" t="str">
        <f aca="true">IF(J833="","",J833-TODAY())</f>
        <v/>
      </c>
      <c r="T833" s="24" t="str">
        <f aca="false">IF(A833="","",IF(OR(AND(R833&lt;&gt;"",R833&lt;0),AND(S833&lt;&gt;"",S833&lt;0)),"EXPIRED",IF(OR(AND(R833&lt;&gt;"",R833&lt;=Settings!$B$15),AND(S833&lt;&gt;"",S833&lt;=Settings!$B$15)),"EXPIRING SOON","OK")))</f>
        <v/>
      </c>
      <c r="U833" s="24" t="str">
        <f aca="false">IF(AND(C833="Own",Q833="Active"),COUNTIFS($C$5:C833,"Own",$Q$5:Q833,"Active"),"")</f>
        <v/>
      </c>
      <c r="V833" s="26" t="str">
        <f aca="false">IF(C833&lt;&gt;"Own","",IF(K833="Hourly",N833,(L833+M833)/(Settings!$B$11*Settings!$B$12)))</f>
        <v/>
      </c>
    </row>
    <row r="834" customFormat="false" ht="15" hidden="false" customHeight="false" outlineLevel="0" collapsed="false">
      <c r="R834" s="25" t="str">
        <f aca="true">IF(I834="","",I834-TODAY())</f>
        <v/>
      </c>
      <c r="S834" s="25" t="str">
        <f aca="true">IF(J834="","",J834-TODAY())</f>
        <v/>
      </c>
      <c r="T834" s="24" t="str">
        <f aca="false">IF(A834="","",IF(OR(AND(R834&lt;&gt;"",R834&lt;0),AND(S834&lt;&gt;"",S834&lt;0)),"EXPIRED",IF(OR(AND(R834&lt;&gt;"",R834&lt;=Settings!$B$15),AND(S834&lt;&gt;"",S834&lt;=Settings!$B$15)),"EXPIRING SOON","OK")))</f>
        <v/>
      </c>
      <c r="U834" s="24" t="str">
        <f aca="false">IF(AND(C834="Own",Q834="Active"),COUNTIFS($C$5:C834,"Own",$Q$5:Q834,"Active"),"")</f>
        <v/>
      </c>
      <c r="V834" s="26" t="str">
        <f aca="false">IF(C834&lt;&gt;"Own","",IF(K834="Hourly",N834,(L834+M834)/(Settings!$B$11*Settings!$B$12)))</f>
        <v/>
      </c>
    </row>
    <row r="835" customFormat="false" ht="15" hidden="false" customHeight="false" outlineLevel="0" collapsed="false">
      <c r="R835" s="25" t="str">
        <f aca="true">IF(I835="","",I835-TODAY())</f>
        <v/>
      </c>
      <c r="S835" s="25" t="str">
        <f aca="true">IF(J835="","",J835-TODAY())</f>
        <v/>
      </c>
      <c r="T835" s="24" t="str">
        <f aca="false">IF(A835="","",IF(OR(AND(R835&lt;&gt;"",R835&lt;0),AND(S835&lt;&gt;"",S835&lt;0)),"EXPIRED",IF(OR(AND(R835&lt;&gt;"",R835&lt;=Settings!$B$15),AND(S835&lt;&gt;"",S835&lt;=Settings!$B$15)),"EXPIRING SOON","OK")))</f>
        <v/>
      </c>
      <c r="U835" s="24" t="str">
        <f aca="false">IF(AND(C835="Own",Q835="Active"),COUNTIFS($C$5:C835,"Own",$Q$5:Q835,"Active"),"")</f>
        <v/>
      </c>
      <c r="V835" s="26" t="str">
        <f aca="false">IF(C835&lt;&gt;"Own","",IF(K835="Hourly",N835,(L835+M835)/(Settings!$B$11*Settings!$B$12)))</f>
        <v/>
      </c>
    </row>
    <row r="836" customFormat="false" ht="15" hidden="false" customHeight="false" outlineLevel="0" collapsed="false">
      <c r="R836" s="25" t="str">
        <f aca="true">IF(I836="","",I836-TODAY())</f>
        <v/>
      </c>
      <c r="S836" s="25" t="str">
        <f aca="true">IF(J836="","",J836-TODAY())</f>
        <v/>
      </c>
      <c r="T836" s="24" t="str">
        <f aca="false">IF(A836="","",IF(OR(AND(R836&lt;&gt;"",R836&lt;0),AND(S836&lt;&gt;"",S836&lt;0)),"EXPIRED",IF(OR(AND(R836&lt;&gt;"",R836&lt;=Settings!$B$15),AND(S836&lt;&gt;"",S836&lt;=Settings!$B$15)),"EXPIRING SOON","OK")))</f>
        <v/>
      </c>
      <c r="U836" s="24" t="str">
        <f aca="false">IF(AND(C836="Own",Q836="Active"),COUNTIFS($C$5:C836,"Own",$Q$5:Q836,"Active"),"")</f>
        <v/>
      </c>
      <c r="V836" s="26" t="str">
        <f aca="false">IF(C836&lt;&gt;"Own","",IF(K836="Hourly",N836,(L836+M836)/(Settings!$B$11*Settings!$B$12)))</f>
        <v/>
      </c>
    </row>
    <row r="837" customFormat="false" ht="15" hidden="false" customHeight="false" outlineLevel="0" collapsed="false">
      <c r="R837" s="25" t="str">
        <f aca="true">IF(I837="","",I837-TODAY())</f>
        <v/>
      </c>
      <c r="S837" s="25" t="str">
        <f aca="true">IF(J837="","",J837-TODAY())</f>
        <v/>
      </c>
      <c r="T837" s="24" t="str">
        <f aca="false">IF(A837="","",IF(OR(AND(R837&lt;&gt;"",R837&lt;0),AND(S837&lt;&gt;"",S837&lt;0)),"EXPIRED",IF(OR(AND(R837&lt;&gt;"",R837&lt;=Settings!$B$15),AND(S837&lt;&gt;"",S837&lt;=Settings!$B$15)),"EXPIRING SOON","OK")))</f>
        <v/>
      </c>
      <c r="U837" s="24" t="str">
        <f aca="false">IF(AND(C837="Own",Q837="Active"),COUNTIFS($C$5:C837,"Own",$Q$5:Q837,"Active"),"")</f>
        <v/>
      </c>
      <c r="V837" s="26" t="str">
        <f aca="false">IF(C837&lt;&gt;"Own","",IF(K837="Hourly",N837,(L837+M837)/(Settings!$B$11*Settings!$B$12)))</f>
        <v/>
      </c>
    </row>
    <row r="838" customFormat="false" ht="15" hidden="false" customHeight="false" outlineLevel="0" collapsed="false">
      <c r="R838" s="25" t="str">
        <f aca="true">IF(I838="","",I838-TODAY())</f>
        <v/>
      </c>
      <c r="S838" s="25" t="str">
        <f aca="true">IF(J838="","",J838-TODAY())</f>
        <v/>
      </c>
      <c r="T838" s="24" t="str">
        <f aca="false">IF(A838="","",IF(OR(AND(R838&lt;&gt;"",R838&lt;0),AND(S838&lt;&gt;"",S838&lt;0)),"EXPIRED",IF(OR(AND(R838&lt;&gt;"",R838&lt;=Settings!$B$15),AND(S838&lt;&gt;"",S838&lt;=Settings!$B$15)),"EXPIRING SOON","OK")))</f>
        <v/>
      </c>
      <c r="U838" s="24" t="str">
        <f aca="false">IF(AND(C838="Own",Q838="Active"),COUNTIFS($C$5:C838,"Own",$Q$5:Q838,"Active"),"")</f>
        <v/>
      </c>
      <c r="V838" s="26" t="str">
        <f aca="false">IF(C838&lt;&gt;"Own","",IF(K838="Hourly",N838,(L838+M838)/(Settings!$B$11*Settings!$B$12)))</f>
        <v/>
      </c>
    </row>
    <row r="839" customFormat="false" ht="15" hidden="false" customHeight="false" outlineLevel="0" collapsed="false">
      <c r="R839" s="25" t="str">
        <f aca="true">IF(I839="","",I839-TODAY())</f>
        <v/>
      </c>
      <c r="S839" s="25" t="str">
        <f aca="true">IF(J839="","",J839-TODAY())</f>
        <v/>
      </c>
      <c r="T839" s="24" t="str">
        <f aca="false">IF(A839="","",IF(OR(AND(R839&lt;&gt;"",R839&lt;0),AND(S839&lt;&gt;"",S839&lt;0)),"EXPIRED",IF(OR(AND(R839&lt;&gt;"",R839&lt;=Settings!$B$15),AND(S839&lt;&gt;"",S839&lt;=Settings!$B$15)),"EXPIRING SOON","OK")))</f>
        <v/>
      </c>
      <c r="U839" s="24" t="str">
        <f aca="false">IF(AND(C839="Own",Q839="Active"),COUNTIFS($C$5:C839,"Own",$Q$5:Q839,"Active"),"")</f>
        <v/>
      </c>
      <c r="V839" s="26" t="str">
        <f aca="false">IF(C839&lt;&gt;"Own","",IF(K839="Hourly",N839,(L839+M839)/(Settings!$B$11*Settings!$B$12)))</f>
        <v/>
      </c>
    </row>
    <row r="840" customFormat="false" ht="15" hidden="false" customHeight="false" outlineLevel="0" collapsed="false">
      <c r="R840" s="25" t="str">
        <f aca="true">IF(I840="","",I840-TODAY())</f>
        <v/>
      </c>
      <c r="S840" s="25" t="str">
        <f aca="true">IF(J840="","",J840-TODAY())</f>
        <v/>
      </c>
      <c r="T840" s="24" t="str">
        <f aca="false">IF(A840="","",IF(OR(AND(R840&lt;&gt;"",R840&lt;0),AND(S840&lt;&gt;"",S840&lt;0)),"EXPIRED",IF(OR(AND(R840&lt;&gt;"",R840&lt;=Settings!$B$15),AND(S840&lt;&gt;"",S840&lt;=Settings!$B$15)),"EXPIRING SOON","OK")))</f>
        <v/>
      </c>
      <c r="U840" s="24" t="str">
        <f aca="false">IF(AND(C840="Own",Q840="Active"),COUNTIFS($C$5:C840,"Own",$Q$5:Q840,"Active"),"")</f>
        <v/>
      </c>
      <c r="V840" s="26" t="str">
        <f aca="false">IF(C840&lt;&gt;"Own","",IF(K840="Hourly",N840,(L840+M840)/(Settings!$B$11*Settings!$B$12)))</f>
        <v/>
      </c>
    </row>
    <row r="841" customFormat="false" ht="15" hidden="false" customHeight="false" outlineLevel="0" collapsed="false">
      <c r="R841" s="25" t="str">
        <f aca="true">IF(I841="","",I841-TODAY())</f>
        <v/>
      </c>
      <c r="S841" s="25" t="str">
        <f aca="true">IF(J841="","",J841-TODAY())</f>
        <v/>
      </c>
      <c r="T841" s="24" t="str">
        <f aca="false">IF(A841="","",IF(OR(AND(R841&lt;&gt;"",R841&lt;0),AND(S841&lt;&gt;"",S841&lt;0)),"EXPIRED",IF(OR(AND(R841&lt;&gt;"",R841&lt;=Settings!$B$15),AND(S841&lt;&gt;"",S841&lt;=Settings!$B$15)),"EXPIRING SOON","OK")))</f>
        <v/>
      </c>
      <c r="U841" s="24" t="str">
        <f aca="false">IF(AND(C841="Own",Q841="Active"),COUNTIFS($C$5:C841,"Own",$Q$5:Q841,"Active"),"")</f>
        <v/>
      </c>
      <c r="V841" s="26" t="str">
        <f aca="false">IF(C841&lt;&gt;"Own","",IF(K841="Hourly",N841,(L841+M841)/(Settings!$B$11*Settings!$B$12)))</f>
        <v/>
      </c>
    </row>
    <row r="842" customFormat="false" ht="15" hidden="false" customHeight="false" outlineLevel="0" collapsed="false">
      <c r="R842" s="25" t="str">
        <f aca="true">IF(I842="","",I842-TODAY())</f>
        <v/>
      </c>
      <c r="S842" s="25" t="str">
        <f aca="true">IF(J842="","",J842-TODAY())</f>
        <v/>
      </c>
      <c r="T842" s="24" t="str">
        <f aca="false">IF(A842="","",IF(OR(AND(R842&lt;&gt;"",R842&lt;0),AND(S842&lt;&gt;"",S842&lt;0)),"EXPIRED",IF(OR(AND(R842&lt;&gt;"",R842&lt;=Settings!$B$15),AND(S842&lt;&gt;"",S842&lt;=Settings!$B$15)),"EXPIRING SOON","OK")))</f>
        <v/>
      </c>
      <c r="U842" s="24" t="str">
        <f aca="false">IF(AND(C842="Own",Q842="Active"),COUNTIFS($C$5:C842,"Own",$Q$5:Q842,"Active"),"")</f>
        <v/>
      </c>
      <c r="V842" s="26" t="str">
        <f aca="false">IF(C842&lt;&gt;"Own","",IF(K842="Hourly",N842,(L842+M842)/(Settings!$B$11*Settings!$B$12)))</f>
        <v/>
      </c>
    </row>
    <row r="843" customFormat="false" ht="15" hidden="false" customHeight="false" outlineLevel="0" collapsed="false">
      <c r="R843" s="25" t="str">
        <f aca="true">IF(I843="","",I843-TODAY())</f>
        <v/>
      </c>
      <c r="S843" s="25" t="str">
        <f aca="true">IF(J843="","",J843-TODAY())</f>
        <v/>
      </c>
      <c r="T843" s="24" t="str">
        <f aca="false">IF(A843="","",IF(OR(AND(R843&lt;&gt;"",R843&lt;0),AND(S843&lt;&gt;"",S843&lt;0)),"EXPIRED",IF(OR(AND(R843&lt;&gt;"",R843&lt;=Settings!$B$15),AND(S843&lt;&gt;"",S843&lt;=Settings!$B$15)),"EXPIRING SOON","OK")))</f>
        <v/>
      </c>
      <c r="U843" s="24" t="str">
        <f aca="false">IF(AND(C843="Own",Q843="Active"),COUNTIFS($C$5:C843,"Own",$Q$5:Q843,"Active"),"")</f>
        <v/>
      </c>
      <c r="V843" s="26" t="str">
        <f aca="false">IF(C843&lt;&gt;"Own","",IF(K843="Hourly",N843,(L843+M843)/(Settings!$B$11*Settings!$B$12)))</f>
        <v/>
      </c>
    </row>
    <row r="844" customFormat="false" ht="15" hidden="false" customHeight="false" outlineLevel="0" collapsed="false">
      <c r="R844" s="25" t="str">
        <f aca="true">IF(I844="","",I844-TODAY())</f>
        <v/>
      </c>
      <c r="S844" s="25" t="str">
        <f aca="true">IF(J844="","",J844-TODAY())</f>
        <v/>
      </c>
      <c r="T844" s="24" t="str">
        <f aca="false">IF(A844="","",IF(OR(AND(R844&lt;&gt;"",R844&lt;0),AND(S844&lt;&gt;"",S844&lt;0)),"EXPIRED",IF(OR(AND(R844&lt;&gt;"",R844&lt;=Settings!$B$15),AND(S844&lt;&gt;"",S844&lt;=Settings!$B$15)),"EXPIRING SOON","OK")))</f>
        <v/>
      </c>
      <c r="U844" s="24" t="str">
        <f aca="false">IF(AND(C844="Own",Q844="Active"),COUNTIFS($C$5:C844,"Own",$Q$5:Q844,"Active"),"")</f>
        <v/>
      </c>
      <c r="V844" s="26" t="str">
        <f aca="false">IF(C844&lt;&gt;"Own","",IF(K844="Hourly",N844,(L844+M844)/(Settings!$B$11*Settings!$B$12)))</f>
        <v/>
      </c>
    </row>
    <row r="845" customFormat="false" ht="15" hidden="false" customHeight="false" outlineLevel="0" collapsed="false">
      <c r="R845" s="25" t="str">
        <f aca="true">IF(I845="","",I845-TODAY())</f>
        <v/>
      </c>
      <c r="S845" s="25" t="str">
        <f aca="true">IF(J845="","",J845-TODAY())</f>
        <v/>
      </c>
      <c r="T845" s="24" t="str">
        <f aca="false">IF(A845="","",IF(OR(AND(R845&lt;&gt;"",R845&lt;0),AND(S845&lt;&gt;"",S845&lt;0)),"EXPIRED",IF(OR(AND(R845&lt;&gt;"",R845&lt;=Settings!$B$15),AND(S845&lt;&gt;"",S845&lt;=Settings!$B$15)),"EXPIRING SOON","OK")))</f>
        <v/>
      </c>
      <c r="U845" s="24" t="str">
        <f aca="false">IF(AND(C845="Own",Q845="Active"),COUNTIFS($C$5:C845,"Own",$Q$5:Q845,"Active"),"")</f>
        <v/>
      </c>
      <c r="V845" s="26" t="str">
        <f aca="false">IF(C845&lt;&gt;"Own","",IF(K845="Hourly",N845,(L845+M845)/(Settings!$B$11*Settings!$B$12)))</f>
        <v/>
      </c>
    </row>
    <row r="846" customFormat="false" ht="15" hidden="false" customHeight="false" outlineLevel="0" collapsed="false">
      <c r="R846" s="25" t="str">
        <f aca="true">IF(I846="","",I846-TODAY())</f>
        <v/>
      </c>
      <c r="S846" s="25" t="str">
        <f aca="true">IF(J846="","",J846-TODAY())</f>
        <v/>
      </c>
      <c r="T846" s="24" t="str">
        <f aca="false">IF(A846="","",IF(OR(AND(R846&lt;&gt;"",R846&lt;0),AND(S846&lt;&gt;"",S846&lt;0)),"EXPIRED",IF(OR(AND(R846&lt;&gt;"",R846&lt;=Settings!$B$15),AND(S846&lt;&gt;"",S846&lt;=Settings!$B$15)),"EXPIRING SOON","OK")))</f>
        <v/>
      </c>
      <c r="U846" s="24" t="str">
        <f aca="false">IF(AND(C846="Own",Q846="Active"),COUNTIFS($C$5:C846,"Own",$Q$5:Q846,"Active"),"")</f>
        <v/>
      </c>
      <c r="V846" s="26" t="str">
        <f aca="false">IF(C846&lt;&gt;"Own","",IF(K846="Hourly",N846,(L846+M846)/(Settings!$B$11*Settings!$B$12)))</f>
        <v/>
      </c>
    </row>
    <row r="847" customFormat="false" ht="15" hidden="false" customHeight="false" outlineLevel="0" collapsed="false">
      <c r="R847" s="25" t="str">
        <f aca="true">IF(I847="","",I847-TODAY())</f>
        <v/>
      </c>
      <c r="S847" s="25" t="str">
        <f aca="true">IF(J847="","",J847-TODAY())</f>
        <v/>
      </c>
      <c r="T847" s="24" t="str">
        <f aca="false">IF(A847="","",IF(OR(AND(R847&lt;&gt;"",R847&lt;0),AND(S847&lt;&gt;"",S847&lt;0)),"EXPIRED",IF(OR(AND(R847&lt;&gt;"",R847&lt;=Settings!$B$15),AND(S847&lt;&gt;"",S847&lt;=Settings!$B$15)),"EXPIRING SOON","OK")))</f>
        <v/>
      </c>
      <c r="U847" s="24" t="str">
        <f aca="false">IF(AND(C847="Own",Q847="Active"),COUNTIFS($C$5:C847,"Own",$Q$5:Q847,"Active"),"")</f>
        <v/>
      </c>
      <c r="V847" s="26" t="str">
        <f aca="false">IF(C847&lt;&gt;"Own","",IF(K847="Hourly",N847,(L847+M847)/(Settings!$B$11*Settings!$B$12)))</f>
        <v/>
      </c>
    </row>
    <row r="848" customFormat="false" ht="15" hidden="false" customHeight="false" outlineLevel="0" collapsed="false">
      <c r="R848" s="25" t="str">
        <f aca="true">IF(I848="","",I848-TODAY())</f>
        <v/>
      </c>
      <c r="S848" s="25" t="str">
        <f aca="true">IF(J848="","",J848-TODAY())</f>
        <v/>
      </c>
      <c r="T848" s="24" t="str">
        <f aca="false">IF(A848="","",IF(OR(AND(R848&lt;&gt;"",R848&lt;0),AND(S848&lt;&gt;"",S848&lt;0)),"EXPIRED",IF(OR(AND(R848&lt;&gt;"",R848&lt;=Settings!$B$15),AND(S848&lt;&gt;"",S848&lt;=Settings!$B$15)),"EXPIRING SOON","OK")))</f>
        <v/>
      </c>
      <c r="U848" s="24" t="str">
        <f aca="false">IF(AND(C848="Own",Q848="Active"),COUNTIFS($C$5:C848,"Own",$Q$5:Q848,"Active"),"")</f>
        <v/>
      </c>
      <c r="V848" s="26" t="str">
        <f aca="false">IF(C848&lt;&gt;"Own","",IF(K848="Hourly",N848,(L848+M848)/(Settings!$B$11*Settings!$B$12)))</f>
        <v/>
      </c>
    </row>
    <row r="849" customFormat="false" ht="15" hidden="false" customHeight="false" outlineLevel="0" collapsed="false">
      <c r="R849" s="25" t="str">
        <f aca="true">IF(I849="","",I849-TODAY())</f>
        <v/>
      </c>
      <c r="S849" s="25" t="str">
        <f aca="true">IF(J849="","",J849-TODAY())</f>
        <v/>
      </c>
      <c r="T849" s="24" t="str">
        <f aca="false">IF(A849="","",IF(OR(AND(R849&lt;&gt;"",R849&lt;0),AND(S849&lt;&gt;"",S849&lt;0)),"EXPIRED",IF(OR(AND(R849&lt;&gt;"",R849&lt;=Settings!$B$15),AND(S849&lt;&gt;"",S849&lt;=Settings!$B$15)),"EXPIRING SOON","OK")))</f>
        <v/>
      </c>
      <c r="U849" s="24" t="str">
        <f aca="false">IF(AND(C849="Own",Q849="Active"),COUNTIFS($C$5:C849,"Own",$Q$5:Q849,"Active"),"")</f>
        <v/>
      </c>
      <c r="V849" s="26" t="str">
        <f aca="false">IF(C849&lt;&gt;"Own","",IF(K849="Hourly",N849,(L849+M849)/(Settings!$B$11*Settings!$B$12)))</f>
        <v/>
      </c>
    </row>
    <row r="850" customFormat="false" ht="15" hidden="false" customHeight="false" outlineLevel="0" collapsed="false">
      <c r="R850" s="25" t="str">
        <f aca="true">IF(I850="","",I850-TODAY())</f>
        <v/>
      </c>
      <c r="S850" s="25" t="str">
        <f aca="true">IF(J850="","",J850-TODAY())</f>
        <v/>
      </c>
      <c r="T850" s="24" t="str">
        <f aca="false">IF(A850="","",IF(OR(AND(R850&lt;&gt;"",R850&lt;0),AND(S850&lt;&gt;"",S850&lt;0)),"EXPIRED",IF(OR(AND(R850&lt;&gt;"",R850&lt;=Settings!$B$15),AND(S850&lt;&gt;"",S850&lt;=Settings!$B$15)),"EXPIRING SOON","OK")))</f>
        <v/>
      </c>
      <c r="U850" s="24" t="str">
        <f aca="false">IF(AND(C850="Own",Q850="Active"),COUNTIFS($C$5:C850,"Own",$Q$5:Q850,"Active"),"")</f>
        <v/>
      </c>
      <c r="V850" s="26" t="str">
        <f aca="false">IF(C850&lt;&gt;"Own","",IF(K850="Hourly",N850,(L850+M850)/(Settings!$B$11*Settings!$B$12)))</f>
        <v/>
      </c>
    </row>
    <row r="851" customFormat="false" ht="15" hidden="false" customHeight="false" outlineLevel="0" collapsed="false">
      <c r="R851" s="25" t="str">
        <f aca="true">IF(I851="","",I851-TODAY())</f>
        <v/>
      </c>
      <c r="S851" s="25" t="str">
        <f aca="true">IF(J851="","",J851-TODAY())</f>
        <v/>
      </c>
      <c r="T851" s="24" t="str">
        <f aca="false">IF(A851="","",IF(OR(AND(R851&lt;&gt;"",R851&lt;0),AND(S851&lt;&gt;"",S851&lt;0)),"EXPIRED",IF(OR(AND(R851&lt;&gt;"",R851&lt;=Settings!$B$15),AND(S851&lt;&gt;"",S851&lt;=Settings!$B$15)),"EXPIRING SOON","OK")))</f>
        <v/>
      </c>
      <c r="U851" s="24" t="str">
        <f aca="false">IF(AND(C851="Own",Q851="Active"),COUNTIFS($C$5:C851,"Own",$Q$5:Q851,"Active"),"")</f>
        <v/>
      </c>
      <c r="V851" s="26" t="str">
        <f aca="false">IF(C851&lt;&gt;"Own","",IF(K851="Hourly",N851,(L851+M851)/(Settings!$B$11*Settings!$B$12)))</f>
        <v/>
      </c>
    </row>
    <row r="852" customFormat="false" ht="15" hidden="false" customHeight="false" outlineLevel="0" collapsed="false">
      <c r="R852" s="25" t="str">
        <f aca="true">IF(I852="","",I852-TODAY())</f>
        <v/>
      </c>
      <c r="S852" s="25" t="str">
        <f aca="true">IF(J852="","",J852-TODAY())</f>
        <v/>
      </c>
      <c r="T852" s="24" t="str">
        <f aca="false">IF(A852="","",IF(OR(AND(R852&lt;&gt;"",R852&lt;0),AND(S852&lt;&gt;"",S852&lt;0)),"EXPIRED",IF(OR(AND(R852&lt;&gt;"",R852&lt;=Settings!$B$15),AND(S852&lt;&gt;"",S852&lt;=Settings!$B$15)),"EXPIRING SOON","OK")))</f>
        <v/>
      </c>
      <c r="U852" s="24" t="str">
        <f aca="false">IF(AND(C852="Own",Q852="Active"),COUNTIFS($C$5:C852,"Own",$Q$5:Q852,"Active"),"")</f>
        <v/>
      </c>
      <c r="V852" s="26" t="str">
        <f aca="false">IF(C852&lt;&gt;"Own","",IF(K852="Hourly",N852,(L852+M852)/(Settings!$B$11*Settings!$B$12)))</f>
        <v/>
      </c>
    </row>
    <row r="853" customFormat="false" ht="15" hidden="false" customHeight="false" outlineLevel="0" collapsed="false">
      <c r="R853" s="25" t="str">
        <f aca="true">IF(I853="","",I853-TODAY())</f>
        <v/>
      </c>
      <c r="S853" s="25" t="str">
        <f aca="true">IF(J853="","",J853-TODAY())</f>
        <v/>
      </c>
      <c r="T853" s="24" t="str">
        <f aca="false">IF(A853="","",IF(OR(AND(R853&lt;&gt;"",R853&lt;0),AND(S853&lt;&gt;"",S853&lt;0)),"EXPIRED",IF(OR(AND(R853&lt;&gt;"",R853&lt;=Settings!$B$15),AND(S853&lt;&gt;"",S853&lt;=Settings!$B$15)),"EXPIRING SOON","OK")))</f>
        <v/>
      </c>
      <c r="U853" s="24" t="str">
        <f aca="false">IF(AND(C853="Own",Q853="Active"),COUNTIFS($C$5:C853,"Own",$Q$5:Q853,"Active"),"")</f>
        <v/>
      </c>
      <c r="V853" s="26" t="str">
        <f aca="false">IF(C853&lt;&gt;"Own","",IF(K853="Hourly",N853,(L853+M853)/(Settings!$B$11*Settings!$B$12)))</f>
        <v/>
      </c>
    </row>
    <row r="854" customFormat="false" ht="15" hidden="false" customHeight="false" outlineLevel="0" collapsed="false">
      <c r="R854" s="25" t="str">
        <f aca="true">IF(I854="","",I854-TODAY())</f>
        <v/>
      </c>
      <c r="S854" s="25" t="str">
        <f aca="true">IF(J854="","",J854-TODAY())</f>
        <v/>
      </c>
      <c r="T854" s="24" t="str">
        <f aca="false">IF(A854="","",IF(OR(AND(R854&lt;&gt;"",R854&lt;0),AND(S854&lt;&gt;"",S854&lt;0)),"EXPIRED",IF(OR(AND(R854&lt;&gt;"",R854&lt;=Settings!$B$15),AND(S854&lt;&gt;"",S854&lt;=Settings!$B$15)),"EXPIRING SOON","OK")))</f>
        <v/>
      </c>
      <c r="U854" s="24" t="str">
        <f aca="false">IF(AND(C854="Own",Q854="Active"),COUNTIFS($C$5:C854,"Own",$Q$5:Q854,"Active"),"")</f>
        <v/>
      </c>
      <c r="V854" s="26" t="str">
        <f aca="false">IF(C854&lt;&gt;"Own","",IF(K854="Hourly",N854,(L854+M854)/(Settings!$B$11*Settings!$B$12)))</f>
        <v/>
      </c>
    </row>
    <row r="855" customFormat="false" ht="15" hidden="false" customHeight="false" outlineLevel="0" collapsed="false">
      <c r="R855" s="25" t="str">
        <f aca="true">IF(I855="","",I855-TODAY())</f>
        <v/>
      </c>
      <c r="S855" s="25" t="str">
        <f aca="true">IF(J855="","",J855-TODAY())</f>
        <v/>
      </c>
      <c r="T855" s="24" t="str">
        <f aca="false">IF(A855="","",IF(OR(AND(R855&lt;&gt;"",R855&lt;0),AND(S855&lt;&gt;"",S855&lt;0)),"EXPIRED",IF(OR(AND(R855&lt;&gt;"",R855&lt;=Settings!$B$15),AND(S855&lt;&gt;"",S855&lt;=Settings!$B$15)),"EXPIRING SOON","OK")))</f>
        <v/>
      </c>
      <c r="U855" s="24" t="str">
        <f aca="false">IF(AND(C855="Own",Q855="Active"),COUNTIFS($C$5:C855,"Own",$Q$5:Q855,"Active"),"")</f>
        <v/>
      </c>
      <c r="V855" s="26" t="str">
        <f aca="false">IF(C855&lt;&gt;"Own","",IF(K855="Hourly",N855,(L855+M855)/(Settings!$B$11*Settings!$B$12)))</f>
        <v/>
      </c>
    </row>
    <row r="856" customFormat="false" ht="15" hidden="false" customHeight="false" outlineLevel="0" collapsed="false">
      <c r="R856" s="25" t="str">
        <f aca="true">IF(I856="","",I856-TODAY())</f>
        <v/>
      </c>
      <c r="S856" s="25" t="str">
        <f aca="true">IF(J856="","",J856-TODAY())</f>
        <v/>
      </c>
      <c r="T856" s="24" t="str">
        <f aca="false">IF(A856="","",IF(OR(AND(R856&lt;&gt;"",R856&lt;0),AND(S856&lt;&gt;"",S856&lt;0)),"EXPIRED",IF(OR(AND(R856&lt;&gt;"",R856&lt;=Settings!$B$15),AND(S856&lt;&gt;"",S856&lt;=Settings!$B$15)),"EXPIRING SOON","OK")))</f>
        <v/>
      </c>
      <c r="U856" s="24" t="str">
        <f aca="false">IF(AND(C856="Own",Q856="Active"),COUNTIFS($C$5:C856,"Own",$Q$5:Q856,"Active"),"")</f>
        <v/>
      </c>
      <c r="V856" s="26" t="str">
        <f aca="false">IF(C856&lt;&gt;"Own","",IF(K856="Hourly",N856,(L856+M856)/(Settings!$B$11*Settings!$B$12)))</f>
        <v/>
      </c>
    </row>
    <row r="857" customFormat="false" ht="15" hidden="false" customHeight="false" outlineLevel="0" collapsed="false">
      <c r="R857" s="25" t="str">
        <f aca="true">IF(I857="","",I857-TODAY())</f>
        <v/>
      </c>
      <c r="S857" s="25" t="str">
        <f aca="true">IF(J857="","",J857-TODAY())</f>
        <v/>
      </c>
      <c r="T857" s="24" t="str">
        <f aca="false">IF(A857="","",IF(OR(AND(R857&lt;&gt;"",R857&lt;0),AND(S857&lt;&gt;"",S857&lt;0)),"EXPIRED",IF(OR(AND(R857&lt;&gt;"",R857&lt;=Settings!$B$15),AND(S857&lt;&gt;"",S857&lt;=Settings!$B$15)),"EXPIRING SOON","OK")))</f>
        <v/>
      </c>
      <c r="U857" s="24" t="str">
        <f aca="false">IF(AND(C857="Own",Q857="Active"),COUNTIFS($C$5:C857,"Own",$Q$5:Q857,"Active"),"")</f>
        <v/>
      </c>
      <c r="V857" s="26" t="str">
        <f aca="false">IF(C857&lt;&gt;"Own","",IF(K857="Hourly",N857,(L857+M857)/(Settings!$B$11*Settings!$B$12)))</f>
        <v/>
      </c>
    </row>
    <row r="858" customFormat="false" ht="15" hidden="false" customHeight="false" outlineLevel="0" collapsed="false">
      <c r="R858" s="25" t="str">
        <f aca="true">IF(I858="","",I858-TODAY())</f>
        <v/>
      </c>
      <c r="S858" s="25" t="str">
        <f aca="true">IF(J858="","",J858-TODAY())</f>
        <v/>
      </c>
      <c r="T858" s="24" t="str">
        <f aca="false">IF(A858="","",IF(OR(AND(R858&lt;&gt;"",R858&lt;0),AND(S858&lt;&gt;"",S858&lt;0)),"EXPIRED",IF(OR(AND(R858&lt;&gt;"",R858&lt;=Settings!$B$15),AND(S858&lt;&gt;"",S858&lt;=Settings!$B$15)),"EXPIRING SOON","OK")))</f>
        <v/>
      </c>
      <c r="U858" s="24" t="str">
        <f aca="false">IF(AND(C858="Own",Q858="Active"),COUNTIFS($C$5:C858,"Own",$Q$5:Q858,"Active"),"")</f>
        <v/>
      </c>
      <c r="V858" s="26" t="str">
        <f aca="false">IF(C858&lt;&gt;"Own","",IF(K858="Hourly",N858,(L858+M858)/(Settings!$B$11*Settings!$B$12)))</f>
        <v/>
      </c>
    </row>
    <row r="859" customFormat="false" ht="15" hidden="false" customHeight="false" outlineLevel="0" collapsed="false">
      <c r="R859" s="25" t="str">
        <f aca="true">IF(I859="","",I859-TODAY())</f>
        <v/>
      </c>
      <c r="S859" s="25" t="str">
        <f aca="true">IF(J859="","",J859-TODAY())</f>
        <v/>
      </c>
      <c r="T859" s="24" t="str">
        <f aca="false">IF(A859="","",IF(OR(AND(R859&lt;&gt;"",R859&lt;0),AND(S859&lt;&gt;"",S859&lt;0)),"EXPIRED",IF(OR(AND(R859&lt;&gt;"",R859&lt;=Settings!$B$15),AND(S859&lt;&gt;"",S859&lt;=Settings!$B$15)),"EXPIRING SOON","OK")))</f>
        <v/>
      </c>
      <c r="U859" s="24" t="str">
        <f aca="false">IF(AND(C859="Own",Q859="Active"),COUNTIFS($C$5:C859,"Own",$Q$5:Q859,"Active"),"")</f>
        <v/>
      </c>
      <c r="V859" s="26" t="str">
        <f aca="false">IF(C859&lt;&gt;"Own","",IF(K859="Hourly",N859,(L859+M859)/(Settings!$B$11*Settings!$B$12)))</f>
        <v/>
      </c>
    </row>
    <row r="860" customFormat="false" ht="15" hidden="false" customHeight="false" outlineLevel="0" collapsed="false">
      <c r="R860" s="25" t="str">
        <f aca="true">IF(I860="","",I860-TODAY())</f>
        <v/>
      </c>
      <c r="S860" s="25" t="str">
        <f aca="true">IF(J860="","",J860-TODAY())</f>
        <v/>
      </c>
      <c r="T860" s="24" t="str">
        <f aca="false">IF(A860="","",IF(OR(AND(R860&lt;&gt;"",R860&lt;0),AND(S860&lt;&gt;"",S860&lt;0)),"EXPIRED",IF(OR(AND(R860&lt;&gt;"",R860&lt;=Settings!$B$15),AND(S860&lt;&gt;"",S860&lt;=Settings!$B$15)),"EXPIRING SOON","OK")))</f>
        <v/>
      </c>
      <c r="U860" s="24" t="str">
        <f aca="false">IF(AND(C860="Own",Q860="Active"),COUNTIFS($C$5:C860,"Own",$Q$5:Q860,"Active"),"")</f>
        <v/>
      </c>
      <c r="V860" s="26" t="str">
        <f aca="false">IF(C860&lt;&gt;"Own","",IF(K860="Hourly",N860,(L860+M860)/(Settings!$B$11*Settings!$B$12)))</f>
        <v/>
      </c>
    </row>
    <row r="861" customFormat="false" ht="15" hidden="false" customHeight="false" outlineLevel="0" collapsed="false">
      <c r="R861" s="25" t="str">
        <f aca="true">IF(I861="","",I861-TODAY())</f>
        <v/>
      </c>
      <c r="S861" s="25" t="str">
        <f aca="true">IF(J861="","",J861-TODAY())</f>
        <v/>
      </c>
      <c r="T861" s="24" t="str">
        <f aca="false">IF(A861="","",IF(OR(AND(R861&lt;&gt;"",R861&lt;0),AND(S861&lt;&gt;"",S861&lt;0)),"EXPIRED",IF(OR(AND(R861&lt;&gt;"",R861&lt;=Settings!$B$15),AND(S861&lt;&gt;"",S861&lt;=Settings!$B$15)),"EXPIRING SOON","OK")))</f>
        <v/>
      </c>
      <c r="U861" s="24" t="str">
        <f aca="false">IF(AND(C861="Own",Q861="Active"),COUNTIFS($C$5:C861,"Own",$Q$5:Q861,"Active"),"")</f>
        <v/>
      </c>
      <c r="V861" s="26" t="str">
        <f aca="false">IF(C861&lt;&gt;"Own","",IF(K861="Hourly",N861,(L861+M861)/(Settings!$B$11*Settings!$B$12)))</f>
        <v/>
      </c>
    </row>
    <row r="862" customFormat="false" ht="15" hidden="false" customHeight="false" outlineLevel="0" collapsed="false">
      <c r="R862" s="25" t="str">
        <f aca="true">IF(I862="","",I862-TODAY())</f>
        <v/>
      </c>
      <c r="S862" s="25" t="str">
        <f aca="true">IF(J862="","",J862-TODAY())</f>
        <v/>
      </c>
      <c r="T862" s="24" t="str">
        <f aca="false">IF(A862="","",IF(OR(AND(R862&lt;&gt;"",R862&lt;0),AND(S862&lt;&gt;"",S862&lt;0)),"EXPIRED",IF(OR(AND(R862&lt;&gt;"",R862&lt;=Settings!$B$15),AND(S862&lt;&gt;"",S862&lt;=Settings!$B$15)),"EXPIRING SOON","OK")))</f>
        <v/>
      </c>
      <c r="U862" s="24" t="str">
        <f aca="false">IF(AND(C862="Own",Q862="Active"),COUNTIFS($C$5:C862,"Own",$Q$5:Q862,"Active"),"")</f>
        <v/>
      </c>
      <c r="V862" s="26" t="str">
        <f aca="false">IF(C862&lt;&gt;"Own","",IF(K862="Hourly",N862,(L862+M862)/(Settings!$B$11*Settings!$B$12)))</f>
        <v/>
      </c>
    </row>
    <row r="863" customFormat="false" ht="15" hidden="false" customHeight="false" outlineLevel="0" collapsed="false">
      <c r="R863" s="25" t="str">
        <f aca="true">IF(I863="","",I863-TODAY())</f>
        <v/>
      </c>
      <c r="S863" s="25" t="str">
        <f aca="true">IF(J863="","",J863-TODAY())</f>
        <v/>
      </c>
      <c r="T863" s="24" t="str">
        <f aca="false">IF(A863="","",IF(OR(AND(R863&lt;&gt;"",R863&lt;0),AND(S863&lt;&gt;"",S863&lt;0)),"EXPIRED",IF(OR(AND(R863&lt;&gt;"",R863&lt;=Settings!$B$15),AND(S863&lt;&gt;"",S863&lt;=Settings!$B$15)),"EXPIRING SOON","OK")))</f>
        <v/>
      </c>
      <c r="U863" s="24" t="str">
        <f aca="false">IF(AND(C863="Own",Q863="Active"),COUNTIFS($C$5:C863,"Own",$Q$5:Q863,"Active"),"")</f>
        <v/>
      </c>
      <c r="V863" s="26" t="str">
        <f aca="false">IF(C863&lt;&gt;"Own","",IF(K863="Hourly",N863,(L863+M863)/(Settings!$B$11*Settings!$B$12)))</f>
        <v/>
      </c>
    </row>
    <row r="864" customFormat="false" ht="15" hidden="false" customHeight="false" outlineLevel="0" collapsed="false">
      <c r="R864" s="25" t="str">
        <f aca="true">IF(I864="","",I864-TODAY())</f>
        <v/>
      </c>
      <c r="S864" s="25" t="str">
        <f aca="true">IF(J864="","",J864-TODAY())</f>
        <v/>
      </c>
      <c r="T864" s="24" t="str">
        <f aca="false">IF(A864="","",IF(OR(AND(R864&lt;&gt;"",R864&lt;0),AND(S864&lt;&gt;"",S864&lt;0)),"EXPIRED",IF(OR(AND(R864&lt;&gt;"",R864&lt;=Settings!$B$15),AND(S864&lt;&gt;"",S864&lt;=Settings!$B$15)),"EXPIRING SOON","OK")))</f>
        <v/>
      </c>
      <c r="U864" s="24" t="str">
        <f aca="false">IF(AND(C864="Own",Q864="Active"),COUNTIFS($C$5:C864,"Own",$Q$5:Q864,"Active"),"")</f>
        <v/>
      </c>
      <c r="V864" s="26" t="str">
        <f aca="false">IF(C864&lt;&gt;"Own","",IF(K864="Hourly",N864,(L864+M864)/(Settings!$B$11*Settings!$B$12)))</f>
        <v/>
      </c>
    </row>
    <row r="865" customFormat="false" ht="15" hidden="false" customHeight="false" outlineLevel="0" collapsed="false">
      <c r="R865" s="25" t="str">
        <f aca="true">IF(I865="","",I865-TODAY())</f>
        <v/>
      </c>
      <c r="S865" s="25" t="str">
        <f aca="true">IF(J865="","",J865-TODAY())</f>
        <v/>
      </c>
      <c r="T865" s="24" t="str">
        <f aca="false">IF(A865="","",IF(OR(AND(R865&lt;&gt;"",R865&lt;0),AND(S865&lt;&gt;"",S865&lt;0)),"EXPIRED",IF(OR(AND(R865&lt;&gt;"",R865&lt;=Settings!$B$15),AND(S865&lt;&gt;"",S865&lt;=Settings!$B$15)),"EXPIRING SOON","OK")))</f>
        <v/>
      </c>
      <c r="U865" s="24" t="str">
        <f aca="false">IF(AND(C865="Own",Q865="Active"),COUNTIFS($C$5:C865,"Own",$Q$5:Q865,"Active"),"")</f>
        <v/>
      </c>
      <c r="V865" s="26" t="str">
        <f aca="false">IF(C865&lt;&gt;"Own","",IF(K865="Hourly",N865,(L865+M865)/(Settings!$B$11*Settings!$B$12)))</f>
        <v/>
      </c>
    </row>
    <row r="866" customFormat="false" ht="15" hidden="false" customHeight="false" outlineLevel="0" collapsed="false">
      <c r="R866" s="25" t="str">
        <f aca="true">IF(I866="","",I866-TODAY())</f>
        <v/>
      </c>
      <c r="S866" s="25" t="str">
        <f aca="true">IF(J866="","",J866-TODAY())</f>
        <v/>
      </c>
      <c r="T866" s="24" t="str">
        <f aca="false">IF(A866="","",IF(OR(AND(R866&lt;&gt;"",R866&lt;0),AND(S866&lt;&gt;"",S866&lt;0)),"EXPIRED",IF(OR(AND(R866&lt;&gt;"",R866&lt;=Settings!$B$15),AND(S866&lt;&gt;"",S866&lt;=Settings!$B$15)),"EXPIRING SOON","OK")))</f>
        <v/>
      </c>
      <c r="U866" s="24" t="str">
        <f aca="false">IF(AND(C866="Own",Q866="Active"),COUNTIFS($C$5:C866,"Own",$Q$5:Q866,"Active"),"")</f>
        <v/>
      </c>
      <c r="V866" s="26" t="str">
        <f aca="false">IF(C866&lt;&gt;"Own","",IF(K866="Hourly",N866,(L866+M866)/(Settings!$B$11*Settings!$B$12)))</f>
        <v/>
      </c>
    </row>
    <row r="867" customFormat="false" ht="15" hidden="false" customHeight="false" outlineLevel="0" collapsed="false">
      <c r="R867" s="25" t="str">
        <f aca="true">IF(I867="","",I867-TODAY())</f>
        <v/>
      </c>
      <c r="S867" s="25" t="str">
        <f aca="true">IF(J867="","",J867-TODAY())</f>
        <v/>
      </c>
      <c r="T867" s="24" t="str">
        <f aca="false">IF(A867="","",IF(OR(AND(R867&lt;&gt;"",R867&lt;0),AND(S867&lt;&gt;"",S867&lt;0)),"EXPIRED",IF(OR(AND(R867&lt;&gt;"",R867&lt;=Settings!$B$15),AND(S867&lt;&gt;"",S867&lt;=Settings!$B$15)),"EXPIRING SOON","OK")))</f>
        <v/>
      </c>
      <c r="U867" s="24" t="str">
        <f aca="false">IF(AND(C867="Own",Q867="Active"),COUNTIFS($C$5:C867,"Own",$Q$5:Q867,"Active"),"")</f>
        <v/>
      </c>
      <c r="V867" s="26" t="str">
        <f aca="false">IF(C867&lt;&gt;"Own","",IF(K867="Hourly",N867,(L867+M867)/(Settings!$B$11*Settings!$B$12)))</f>
        <v/>
      </c>
    </row>
    <row r="868" customFormat="false" ht="15" hidden="false" customHeight="false" outlineLevel="0" collapsed="false">
      <c r="R868" s="25" t="str">
        <f aca="true">IF(I868="","",I868-TODAY())</f>
        <v/>
      </c>
      <c r="S868" s="25" t="str">
        <f aca="true">IF(J868="","",J868-TODAY())</f>
        <v/>
      </c>
      <c r="T868" s="24" t="str">
        <f aca="false">IF(A868="","",IF(OR(AND(R868&lt;&gt;"",R868&lt;0),AND(S868&lt;&gt;"",S868&lt;0)),"EXPIRED",IF(OR(AND(R868&lt;&gt;"",R868&lt;=Settings!$B$15),AND(S868&lt;&gt;"",S868&lt;=Settings!$B$15)),"EXPIRING SOON","OK")))</f>
        <v/>
      </c>
      <c r="U868" s="24" t="str">
        <f aca="false">IF(AND(C868="Own",Q868="Active"),COUNTIFS($C$5:C868,"Own",$Q$5:Q868,"Active"),"")</f>
        <v/>
      </c>
      <c r="V868" s="26" t="str">
        <f aca="false">IF(C868&lt;&gt;"Own","",IF(K868="Hourly",N868,(L868+M868)/(Settings!$B$11*Settings!$B$12)))</f>
        <v/>
      </c>
    </row>
    <row r="869" customFormat="false" ht="15" hidden="false" customHeight="false" outlineLevel="0" collapsed="false">
      <c r="R869" s="25" t="str">
        <f aca="true">IF(I869="","",I869-TODAY())</f>
        <v/>
      </c>
      <c r="S869" s="25" t="str">
        <f aca="true">IF(J869="","",J869-TODAY())</f>
        <v/>
      </c>
      <c r="T869" s="24" t="str">
        <f aca="false">IF(A869="","",IF(OR(AND(R869&lt;&gt;"",R869&lt;0),AND(S869&lt;&gt;"",S869&lt;0)),"EXPIRED",IF(OR(AND(R869&lt;&gt;"",R869&lt;=Settings!$B$15),AND(S869&lt;&gt;"",S869&lt;=Settings!$B$15)),"EXPIRING SOON","OK")))</f>
        <v/>
      </c>
      <c r="U869" s="24" t="str">
        <f aca="false">IF(AND(C869="Own",Q869="Active"),COUNTIFS($C$5:C869,"Own",$Q$5:Q869,"Active"),"")</f>
        <v/>
      </c>
      <c r="V869" s="26" t="str">
        <f aca="false">IF(C869&lt;&gt;"Own","",IF(K869="Hourly",N869,(L869+M869)/(Settings!$B$11*Settings!$B$12)))</f>
        <v/>
      </c>
    </row>
    <row r="870" customFormat="false" ht="15" hidden="false" customHeight="false" outlineLevel="0" collapsed="false">
      <c r="R870" s="25" t="str">
        <f aca="true">IF(I870="","",I870-TODAY())</f>
        <v/>
      </c>
      <c r="S870" s="25" t="str">
        <f aca="true">IF(J870="","",J870-TODAY())</f>
        <v/>
      </c>
      <c r="T870" s="24" t="str">
        <f aca="false">IF(A870="","",IF(OR(AND(R870&lt;&gt;"",R870&lt;0),AND(S870&lt;&gt;"",S870&lt;0)),"EXPIRED",IF(OR(AND(R870&lt;&gt;"",R870&lt;=Settings!$B$15),AND(S870&lt;&gt;"",S870&lt;=Settings!$B$15)),"EXPIRING SOON","OK")))</f>
        <v/>
      </c>
      <c r="U870" s="24" t="str">
        <f aca="false">IF(AND(C870="Own",Q870="Active"),COUNTIFS($C$5:C870,"Own",$Q$5:Q870,"Active"),"")</f>
        <v/>
      </c>
      <c r="V870" s="26" t="str">
        <f aca="false">IF(C870&lt;&gt;"Own","",IF(K870="Hourly",N870,(L870+M870)/(Settings!$B$11*Settings!$B$12)))</f>
        <v/>
      </c>
    </row>
    <row r="871" customFormat="false" ht="15" hidden="false" customHeight="false" outlineLevel="0" collapsed="false">
      <c r="R871" s="25" t="str">
        <f aca="true">IF(I871="","",I871-TODAY())</f>
        <v/>
      </c>
      <c r="S871" s="25" t="str">
        <f aca="true">IF(J871="","",J871-TODAY())</f>
        <v/>
      </c>
      <c r="T871" s="24" t="str">
        <f aca="false">IF(A871="","",IF(OR(AND(R871&lt;&gt;"",R871&lt;0),AND(S871&lt;&gt;"",S871&lt;0)),"EXPIRED",IF(OR(AND(R871&lt;&gt;"",R871&lt;=Settings!$B$15),AND(S871&lt;&gt;"",S871&lt;=Settings!$B$15)),"EXPIRING SOON","OK")))</f>
        <v/>
      </c>
      <c r="U871" s="24" t="str">
        <f aca="false">IF(AND(C871="Own",Q871="Active"),COUNTIFS($C$5:C871,"Own",$Q$5:Q871,"Active"),"")</f>
        <v/>
      </c>
      <c r="V871" s="26" t="str">
        <f aca="false">IF(C871&lt;&gt;"Own","",IF(K871="Hourly",N871,(L871+M871)/(Settings!$B$11*Settings!$B$12)))</f>
        <v/>
      </c>
    </row>
    <row r="872" customFormat="false" ht="15" hidden="false" customHeight="false" outlineLevel="0" collapsed="false">
      <c r="R872" s="25" t="str">
        <f aca="true">IF(I872="","",I872-TODAY())</f>
        <v/>
      </c>
      <c r="S872" s="25" t="str">
        <f aca="true">IF(J872="","",J872-TODAY())</f>
        <v/>
      </c>
      <c r="T872" s="24" t="str">
        <f aca="false">IF(A872="","",IF(OR(AND(R872&lt;&gt;"",R872&lt;0),AND(S872&lt;&gt;"",S872&lt;0)),"EXPIRED",IF(OR(AND(R872&lt;&gt;"",R872&lt;=Settings!$B$15),AND(S872&lt;&gt;"",S872&lt;=Settings!$B$15)),"EXPIRING SOON","OK")))</f>
        <v/>
      </c>
      <c r="U872" s="24" t="str">
        <f aca="false">IF(AND(C872="Own",Q872="Active"),COUNTIFS($C$5:C872,"Own",$Q$5:Q872,"Active"),"")</f>
        <v/>
      </c>
      <c r="V872" s="26" t="str">
        <f aca="false">IF(C872&lt;&gt;"Own","",IF(K872="Hourly",N872,(L872+M872)/(Settings!$B$11*Settings!$B$12)))</f>
        <v/>
      </c>
    </row>
    <row r="873" customFormat="false" ht="15" hidden="false" customHeight="false" outlineLevel="0" collapsed="false">
      <c r="R873" s="25" t="str">
        <f aca="true">IF(I873="","",I873-TODAY())</f>
        <v/>
      </c>
      <c r="S873" s="25" t="str">
        <f aca="true">IF(J873="","",J873-TODAY())</f>
        <v/>
      </c>
      <c r="T873" s="24" t="str">
        <f aca="false">IF(A873="","",IF(OR(AND(R873&lt;&gt;"",R873&lt;0),AND(S873&lt;&gt;"",S873&lt;0)),"EXPIRED",IF(OR(AND(R873&lt;&gt;"",R873&lt;=Settings!$B$15),AND(S873&lt;&gt;"",S873&lt;=Settings!$B$15)),"EXPIRING SOON","OK")))</f>
        <v/>
      </c>
      <c r="U873" s="24" t="str">
        <f aca="false">IF(AND(C873="Own",Q873="Active"),COUNTIFS($C$5:C873,"Own",$Q$5:Q873,"Active"),"")</f>
        <v/>
      </c>
      <c r="V873" s="26" t="str">
        <f aca="false">IF(C873&lt;&gt;"Own","",IF(K873="Hourly",N873,(L873+M873)/(Settings!$B$11*Settings!$B$12)))</f>
        <v/>
      </c>
    </row>
    <row r="874" customFormat="false" ht="15" hidden="false" customHeight="false" outlineLevel="0" collapsed="false">
      <c r="R874" s="25" t="str">
        <f aca="true">IF(I874="","",I874-TODAY())</f>
        <v/>
      </c>
      <c r="S874" s="25" t="str">
        <f aca="true">IF(J874="","",J874-TODAY())</f>
        <v/>
      </c>
      <c r="T874" s="24" t="str">
        <f aca="false">IF(A874="","",IF(OR(AND(R874&lt;&gt;"",R874&lt;0),AND(S874&lt;&gt;"",S874&lt;0)),"EXPIRED",IF(OR(AND(R874&lt;&gt;"",R874&lt;=Settings!$B$15),AND(S874&lt;&gt;"",S874&lt;=Settings!$B$15)),"EXPIRING SOON","OK")))</f>
        <v/>
      </c>
      <c r="U874" s="24" t="str">
        <f aca="false">IF(AND(C874="Own",Q874="Active"),COUNTIFS($C$5:C874,"Own",$Q$5:Q874,"Active"),"")</f>
        <v/>
      </c>
      <c r="V874" s="26" t="str">
        <f aca="false">IF(C874&lt;&gt;"Own","",IF(K874="Hourly",N874,(L874+M874)/(Settings!$B$11*Settings!$B$12)))</f>
        <v/>
      </c>
    </row>
    <row r="875" customFormat="false" ht="15" hidden="false" customHeight="false" outlineLevel="0" collapsed="false">
      <c r="R875" s="25" t="str">
        <f aca="true">IF(I875="","",I875-TODAY())</f>
        <v/>
      </c>
      <c r="S875" s="25" t="str">
        <f aca="true">IF(J875="","",J875-TODAY())</f>
        <v/>
      </c>
      <c r="T875" s="24" t="str">
        <f aca="false">IF(A875="","",IF(OR(AND(R875&lt;&gt;"",R875&lt;0),AND(S875&lt;&gt;"",S875&lt;0)),"EXPIRED",IF(OR(AND(R875&lt;&gt;"",R875&lt;=Settings!$B$15),AND(S875&lt;&gt;"",S875&lt;=Settings!$B$15)),"EXPIRING SOON","OK")))</f>
        <v/>
      </c>
      <c r="U875" s="24" t="str">
        <f aca="false">IF(AND(C875="Own",Q875="Active"),COUNTIFS($C$5:C875,"Own",$Q$5:Q875,"Active"),"")</f>
        <v/>
      </c>
      <c r="V875" s="26" t="str">
        <f aca="false">IF(C875&lt;&gt;"Own","",IF(K875="Hourly",N875,(L875+M875)/(Settings!$B$11*Settings!$B$12)))</f>
        <v/>
      </c>
    </row>
    <row r="876" customFormat="false" ht="15" hidden="false" customHeight="false" outlineLevel="0" collapsed="false">
      <c r="R876" s="25" t="str">
        <f aca="true">IF(I876="","",I876-TODAY())</f>
        <v/>
      </c>
      <c r="S876" s="25" t="str">
        <f aca="true">IF(J876="","",J876-TODAY())</f>
        <v/>
      </c>
      <c r="T876" s="24" t="str">
        <f aca="false">IF(A876="","",IF(OR(AND(R876&lt;&gt;"",R876&lt;0),AND(S876&lt;&gt;"",S876&lt;0)),"EXPIRED",IF(OR(AND(R876&lt;&gt;"",R876&lt;=Settings!$B$15),AND(S876&lt;&gt;"",S876&lt;=Settings!$B$15)),"EXPIRING SOON","OK")))</f>
        <v/>
      </c>
      <c r="U876" s="24" t="str">
        <f aca="false">IF(AND(C876="Own",Q876="Active"),COUNTIFS($C$5:C876,"Own",$Q$5:Q876,"Active"),"")</f>
        <v/>
      </c>
      <c r="V876" s="26" t="str">
        <f aca="false">IF(C876&lt;&gt;"Own","",IF(K876="Hourly",N876,(L876+M876)/(Settings!$B$11*Settings!$B$12)))</f>
        <v/>
      </c>
    </row>
    <row r="877" customFormat="false" ht="15" hidden="false" customHeight="false" outlineLevel="0" collapsed="false">
      <c r="R877" s="25" t="str">
        <f aca="true">IF(I877="","",I877-TODAY())</f>
        <v/>
      </c>
      <c r="S877" s="25" t="str">
        <f aca="true">IF(J877="","",J877-TODAY())</f>
        <v/>
      </c>
      <c r="T877" s="24" t="str">
        <f aca="false">IF(A877="","",IF(OR(AND(R877&lt;&gt;"",R877&lt;0),AND(S877&lt;&gt;"",S877&lt;0)),"EXPIRED",IF(OR(AND(R877&lt;&gt;"",R877&lt;=Settings!$B$15),AND(S877&lt;&gt;"",S877&lt;=Settings!$B$15)),"EXPIRING SOON","OK")))</f>
        <v/>
      </c>
      <c r="U877" s="24" t="str">
        <f aca="false">IF(AND(C877="Own",Q877="Active"),COUNTIFS($C$5:C877,"Own",$Q$5:Q877,"Active"),"")</f>
        <v/>
      </c>
      <c r="V877" s="26" t="str">
        <f aca="false">IF(C877&lt;&gt;"Own","",IF(K877="Hourly",N877,(L877+M877)/(Settings!$B$11*Settings!$B$12)))</f>
        <v/>
      </c>
    </row>
    <row r="878" customFormat="false" ht="15" hidden="false" customHeight="false" outlineLevel="0" collapsed="false">
      <c r="R878" s="25" t="str">
        <f aca="true">IF(I878="","",I878-TODAY())</f>
        <v/>
      </c>
      <c r="S878" s="25" t="str">
        <f aca="true">IF(J878="","",J878-TODAY())</f>
        <v/>
      </c>
      <c r="T878" s="24" t="str">
        <f aca="false">IF(A878="","",IF(OR(AND(R878&lt;&gt;"",R878&lt;0),AND(S878&lt;&gt;"",S878&lt;0)),"EXPIRED",IF(OR(AND(R878&lt;&gt;"",R878&lt;=Settings!$B$15),AND(S878&lt;&gt;"",S878&lt;=Settings!$B$15)),"EXPIRING SOON","OK")))</f>
        <v/>
      </c>
      <c r="U878" s="24" t="str">
        <f aca="false">IF(AND(C878="Own",Q878="Active"),COUNTIFS($C$5:C878,"Own",$Q$5:Q878,"Active"),"")</f>
        <v/>
      </c>
      <c r="V878" s="26" t="str">
        <f aca="false">IF(C878&lt;&gt;"Own","",IF(K878="Hourly",N878,(L878+M878)/(Settings!$B$11*Settings!$B$12)))</f>
        <v/>
      </c>
    </row>
    <row r="879" customFormat="false" ht="15" hidden="false" customHeight="false" outlineLevel="0" collapsed="false">
      <c r="R879" s="25" t="str">
        <f aca="true">IF(I879="","",I879-TODAY())</f>
        <v/>
      </c>
      <c r="S879" s="25" t="str">
        <f aca="true">IF(J879="","",J879-TODAY())</f>
        <v/>
      </c>
      <c r="T879" s="24" t="str">
        <f aca="false">IF(A879="","",IF(OR(AND(R879&lt;&gt;"",R879&lt;0),AND(S879&lt;&gt;"",S879&lt;0)),"EXPIRED",IF(OR(AND(R879&lt;&gt;"",R879&lt;=Settings!$B$15),AND(S879&lt;&gt;"",S879&lt;=Settings!$B$15)),"EXPIRING SOON","OK")))</f>
        <v/>
      </c>
      <c r="U879" s="24" t="str">
        <f aca="false">IF(AND(C879="Own",Q879="Active"),COUNTIFS($C$5:C879,"Own",$Q$5:Q879,"Active"),"")</f>
        <v/>
      </c>
      <c r="V879" s="26" t="str">
        <f aca="false">IF(C879&lt;&gt;"Own","",IF(K879="Hourly",N879,(L879+M879)/(Settings!$B$11*Settings!$B$12)))</f>
        <v/>
      </c>
    </row>
    <row r="880" customFormat="false" ht="15" hidden="false" customHeight="false" outlineLevel="0" collapsed="false">
      <c r="R880" s="25" t="str">
        <f aca="true">IF(I880="","",I880-TODAY())</f>
        <v/>
      </c>
      <c r="S880" s="25" t="str">
        <f aca="true">IF(J880="","",J880-TODAY())</f>
        <v/>
      </c>
      <c r="T880" s="24" t="str">
        <f aca="false">IF(A880="","",IF(OR(AND(R880&lt;&gt;"",R880&lt;0),AND(S880&lt;&gt;"",S880&lt;0)),"EXPIRED",IF(OR(AND(R880&lt;&gt;"",R880&lt;=Settings!$B$15),AND(S880&lt;&gt;"",S880&lt;=Settings!$B$15)),"EXPIRING SOON","OK")))</f>
        <v/>
      </c>
      <c r="U880" s="24" t="str">
        <f aca="false">IF(AND(C880="Own",Q880="Active"),COUNTIFS($C$5:C880,"Own",$Q$5:Q880,"Active"),"")</f>
        <v/>
      </c>
      <c r="V880" s="26" t="str">
        <f aca="false">IF(C880&lt;&gt;"Own","",IF(K880="Hourly",N880,(L880+M880)/(Settings!$B$11*Settings!$B$12)))</f>
        <v/>
      </c>
    </row>
    <row r="881" customFormat="false" ht="15" hidden="false" customHeight="false" outlineLevel="0" collapsed="false">
      <c r="R881" s="25" t="str">
        <f aca="true">IF(I881="","",I881-TODAY())</f>
        <v/>
      </c>
      <c r="S881" s="25" t="str">
        <f aca="true">IF(J881="","",J881-TODAY())</f>
        <v/>
      </c>
      <c r="T881" s="24" t="str">
        <f aca="false">IF(A881="","",IF(OR(AND(R881&lt;&gt;"",R881&lt;0),AND(S881&lt;&gt;"",S881&lt;0)),"EXPIRED",IF(OR(AND(R881&lt;&gt;"",R881&lt;=Settings!$B$15),AND(S881&lt;&gt;"",S881&lt;=Settings!$B$15)),"EXPIRING SOON","OK")))</f>
        <v/>
      </c>
      <c r="U881" s="24" t="str">
        <f aca="false">IF(AND(C881="Own",Q881="Active"),COUNTIFS($C$5:C881,"Own",$Q$5:Q881,"Active"),"")</f>
        <v/>
      </c>
      <c r="V881" s="26" t="str">
        <f aca="false">IF(C881&lt;&gt;"Own","",IF(K881="Hourly",N881,(L881+M881)/(Settings!$B$11*Settings!$B$12)))</f>
        <v/>
      </c>
    </row>
    <row r="882" customFormat="false" ht="15" hidden="false" customHeight="false" outlineLevel="0" collapsed="false">
      <c r="R882" s="25" t="str">
        <f aca="true">IF(I882="","",I882-TODAY())</f>
        <v/>
      </c>
      <c r="S882" s="25" t="str">
        <f aca="true">IF(J882="","",J882-TODAY())</f>
        <v/>
      </c>
      <c r="T882" s="24" t="str">
        <f aca="false">IF(A882="","",IF(OR(AND(R882&lt;&gt;"",R882&lt;0),AND(S882&lt;&gt;"",S882&lt;0)),"EXPIRED",IF(OR(AND(R882&lt;&gt;"",R882&lt;=Settings!$B$15),AND(S882&lt;&gt;"",S882&lt;=Settings!$B$15)),"EXPIRING SOON","OK")))</f>
        <v/>
      </c>
      <c r="U882" s="24" t="str">
        <f aca="false">IF(AND(C882="Own",Q882="Active"),COUNTIFS($C$5:C882,"Own",$Q$5:Q882,"Active"),"")</f>
        <v/>
      </c>
      <c r="V882" s="26" t="str">
        <f aca="false">IF(C882&lt;&gt;"Own","",IF(K882="Hourly",N882,(L882+M882)/(Settings!$B$11*Settings!$B$12)))</f>
        <v/>
      </c>
    </row>
    <row r="883" customFormat="false" ht="15" hidden="false" customHeight="false" outlineLevel="0" collapsed="false">
      <c r="R883" s="25" t="str">
        <f aca="true">IF(I883="","",I883-TODAY())</f>
        <v/>
      </c>
      <c r="S883" s="25" t="str">
        <f aca="true">IF(J883="","",J883-TODAY())</f>
        <v/>
      </c>
      <c r="T883" s="24" t="str">
        <f aca="false">IF(A883="","",IF(OR(AND(R883&lt;&gt;"",R883&lt;0),AND(S883&lt;&gt;"",S883&lt;0)),"EXPIRED",IF(OR(AND(R883&lt;&gt;"",R883&lt;=Settings!$B$15),AND(S883&lt;&gt;"",S883&lt;=Settings!$B$15)),"EXPIRING SOON","OK")))</f>
        <v/>
      </c>
      <c r="U883" s="24" t="str">
        <f aca="false">IF(AND(C883="Own",Q883="Active"),COUNTIFS($C$5:C883,"Own",$Q$5:Q883,"Active"),"")</f>
        <v/>
      </c>
      <c r="V883" s="26" t="str">
        <f aca="false">IF(C883&lt;&gt;"Own","",IF(K883="Hourly",N883,(L883+M883)/(Settings!$B$11*Settings!$B$12)))</f>
        <v/>
      </c>
    </row>
    <row r="884" customFormat="false" ht="15" hidden="false" customHeight="false" outlineLevel="0" collapsed="false">
      <c r="R884" s="25" t="str">
        <f aca="true">IF(I884="","",I884-TODAY())</f>
        <v/>
      </c>
      <c r="S884" s="25" t="str">
        <f aca="true">IF(J884="","",J884-TODAY())</f>
        <v/>
      </c>
      <c r="T884" s="24" t="str">
        <f aca="false">IF(A884="","",IF(OR(AND(R884&lt;&gt;"",R884&lt;0),AND(S884&lt;&gt;"",S884&lt;0)),"EXPIRED",IF(OR(AND(R884&lt;&gt;"",R884&lt;=Settings!$B$15),AND(S884&lt;&gt;"",S884&lt;=Settings!$B$15)),"EXPIRING SOON","OK")))</f>
        <v/>
      </c>
      <c r="U884" s="24" t="str">
        <f aca="false">IF(AND(C884="Own",Q884="Active"),COUNTIFS($C$5:C884,"Own",$Q$5:Q884,"Active"),"")</f>
        <v/>
      </c>
      <c r="V884" s="26" t="str">
        <f aca="false">IF(C884&lt;&gt;"Own","",IF(K884="Hourly",N884,(L884+M884)/(Settings!$B$11*Settings!$B$12)))</f>
        <v/>
      </c>
    </row>
    <row r="885" customFormat="false" ht="15" hidden="false" customHeight="false" outlineLevel="0" collapsed="false">
      <c r="R885" s="25" t="str">
        <f aca="true">IF(I885="","",I885-TODAY())</f>
        <v/>
      </c>
      <c r="S885" s="25" t="str">
        <f aca="true">IF(J885="","",J885-TODAY())</f>
        <v/>
      </c>
      <c r="T885" s="24" t="str">
        <f aca="false">IF(A885="","",IF(OR(AND(R885&lt;&gt;"",R885&lt;0),AND(S885&lt;&gt;"",S885&lt;0)),"EXPIRED",IF(OR(AND(R885&lt;&gt;"",R885&lt;=Settings!$B$15),AND(S885&lt;&gt;"",S885&lt;=Settings!$B$15)),"EXPIRING SOON","OK")))</f>
        <v/>
      </c>
      <c r="U885" s="24" t="str">
        <f aca="false">IF(AND(C885="Own",Q885="Active"),COUNTIFS($C$5:C885,"Own",$Q$5:Q885,"Active"),"")</f>
        <v/>
      </c>
      <c r="V885" s="26" t="str">
        <f aca="false">IF(C885&lt;&gt;"Own","",IF(K885="Hourly",N885,(L885+M885)/(Settings!$B$11*Settings!$B$12)))</f>
        <v/>
      </c>
    </row>
    <row r="886" customFormat="false" ht="15" hidden="false" customHeight="false" outlineLevel="0" collapsed="false">
      <c r="R886" s="25" t="str">
        <f aca="true">IF(I886="","",I886-TODAY())</f>
        <v/>
      </c>
      <c r="S886" s="25" t="str">
        <f aca="true">IF(J886="","",J886-TODAY())</f>
        <v/>
      </c>
      <c r="T886" s="24" t="str">
        <f aca="false">IF(A886="","",IF(OR(AND(R886&lt;&gt;"",R886&lt;0),AND(S886&lt;&gt;"",S886&lt;0)),"EXPIRED",IF(OR(AND(R886&lt;&gt;"",R886&lt;=Settings!$B$15),AND(S886&lt;&gt;"",S886&lt;=Settings!$B$15)),"EXPIRING SOON","OK")))</f>
        <v/>
      </c>
      <c r="U886" s="24" t="str">
        <f aca="false">IF(AND(C886="Own",Q886="Active"),COUNTIFS($C$5:C886,"Own",$Q$5:Q886,"Active"),"")</f>
        <v/>
      </c>
      <c r="V886" s="26" t="str">
        <f aca="false">IF(C886&lt;&gt;"Own","",IF(K886="Hourly",N886,(L886+M886)/(Settings!$B$11*Settings!$B$12)))</f>
        <v/>
      </c>
    </row>
    <row r="887" customFormat="false" ht="15" hidden="false" customHeight="false" outlineLevel="0" collapsed="false">
      <c r="R887" s="25" t="str">
        <f aca="true">IF(I887="","",I887-TODAY())</f>
        <v/>
      </c>
      <c r="S887" s="25" t="str">
        <f aca="true">IF(J887="","",J887-TODAY())</f>
        <v/>
      </c>
      <c r="T887" s="24" t="str">
        <f aca="false">IF(A887="","",IF(OR(AND(R887&lt;&gt;"",R887&lt;0),AND(S887&lt;&gt;"",S887&lt;0)),"EXPIRED",IF(OR(AND(R887&lt;&gt;"",R887&lt;=Settings!$B$15),AND(S887&lt;&gt;"",S887&lt;=Settings!$B$15)),"EXPIRING SOON","OK")))</f>
        <v/>
      </c>
      <c r="U887" s="24" t="str">
        <f aca="false">IF(AND(C887="Own",Q887="Active"),COUNTIFS($C$5:C887,"Own",$Q$5:Q887,"Active"),"")</f>
        <v/>
      </c>
      <c r="V887" s="26" t="str">
        <f aca="false">IF(C887&lt;&gt;"Own","",IF(K887="Hourly",N887,(L887+M887)/(Settings!$B$11*Settings!$B$12)))</f>
        <v/>
      </c>
    </row>
    <row r="888" customFormat="false" ht="15" hidden="false" customHeight="false" outlineLevel="0" collapsed="false">
      <c r="R888" s="25" t="str">
        <f aca="true">IF(I888="","",I888-TODAY())</f>
        <v/>
      </c>
      <c r="S888" s="25" t="str">
        <f aca="true">IF(J888="","",J888-TODAY())</f>
        <v/>
      </c>
      <c r="T888" s="24" t="str">
        <f aca="false">IF(A888="","",IF(OR(AND(R888&lt;&gt;"",R888&lt;0),AND(S888&lt;&gt;"",S888&lt;0)),"EXPIRED",IF(OR(AND(R888&lt;&gt;"",R888&lt;=Settings!$B$15),AND(S888&lt;&gt;"",S888&lt;=Settings!$B$15)),"EXPIRING SOON","OK")))</f>
        <v/>
      </c>
      <c r="U888" s="24" t="str">
        <f aca="false">IF(AND(C888="Own",Q888="Active"),COUNTIFS($C$5:C888,"Own",$Q$5:Q888,"Active"),"")</f>
        <v/>
      </c>
      <c r="V888" s="26" t="str">
        <f aca="false">IF(C888&lt;&gt;"Own","",IF(K888="Hourly",N888,(L888+M888)/(Settings!$B$11*Settings!$B$12)))</f>
        <v/>
      </c>
    </row>
    <row r="889" customFormat="false" ht="15" hidden="false" customHeight="false" outlineLevel="0" collapsed="false">
      <c r="R889" s="25" t="str">
        <f aca="true">IF(I889="","",I889-TODAY())</f>
        <v/>
      </c>
      <c r="S889" s="25" t="str">
        <f aca="true">IF(J889="","",J889-TODAY())</f>
        <v/>
      </c>
      <c r="T889" s="24" t="str">
        <f aca="false">IF(A889="","",IF(OR(AND(R889&lt;&gt;"",R889&lt;0),AND(S889&lt;&gt;"",S889&lt;0)),"EXPIRED",IF(OR(AND(R889&lt;&gt;"",R889&lt;=Settings!$B$15),AND(S889&lt;&gt;"",S889&lt;=Settings!$B$15)),"EXPIRING SOON","OK")))</f>
        <v/>
      </c>
      <c r="U889" s="24" t="str">
        <f aca="false">IF(AND(C889="Own",Q889="Active"),COUNTIFS($C$5:C889,"Own",$Q$5:Q889,"Active"),"")</f>
        <v/>
      </c>
      <c r="V889" s="26" t="str">
        <f aca="false">IF(C889&lt;&gt;"Own","",IF(K889="Hourly",N889,(L889+M889)/(Settings!$B$11*Settings!$B$12)))</f>
        <v/>
      </c>
    </row>
    <row r="890" customFormat="false" ht="15" hidden="false" customHeight="false" outlineLevel="0" collapsed="false">
      <c r="R890" s="25" t="str">
        <f aca="true">IF(I890="","",I890-TODAY())</f>
        <v/>
      </c>
      <c r="S890" s="25" t="str">
        <f aca="true">IF(J890="","",J890-TODAY())</f>
        <v/>
      </c>
      <c r="T890" s="24" t="str">
        <f aca="false">IF(A890="","",IF(OR(AND(R890&lt;&gt;"",R890&lt;0),AND(S890&lt;&gt;"",S890&lt;0)),"EXPIRED",IF(OR(AND(R890&lt;&gt;"",R890&lt;=Settings!$B$15),AND(S890&lt;&gt;"",S890&lt;=Settings!$B$15)),"EXPIRING SOON","OK")))</f>
        <v/>
      </c>
      <c r="U890" s="24" t="str">
        <f aca="false">IF(AND(C890="Own",Q890="Active"),COUNTIFS($C$5:C890,"Own",$Q$5:Q890,"Active"),"")</f>
        <v/>
      </c>
      <c r="V890" s="26" t="str">
        <f aca="false">IF(C890&lt;&gt;"Own","",IF(K890="Hourly",N890,(L890+M890)/(Settings!$B$11*Settings!$B$12)))</f>
        <v/>
      </c>
    </row>
    <row r="891" customFormat="false" ht="15" hidden="false" customHeight="false" outlineLevel="0" collapsed="false">
      <c r="R891" s="25" t="str">
        <f aca="true">IF(I891="","",I891-TODAY())</f>
        <v/>
      </c>
      <c r="S891" s="25" t="str">
        <f aca="true">IF(J891="","",J891-TODAY())</f>
        <v/>
      </c>
      <c r="T891" s="24" t="str">
        <f aca="false">IF(A891="","",IF(OR(AND(R891&lt;&gt;"",R891&lt;0),AND(S891&lt;&gt;"",S891&lt;0)),"EXPIRED",IF(OR(AND(R891&lt;&gt;"",R891&lt;=Settings!$B$15),AND(S891&lt;&gt;"",S891&lt;=Settings!$B$15)),"EXPIRING SOON","OK")))</f>
        <v/>
      </c>
      <c r="U891" s="24" t="str">
        <f aca="false">IF(AND(C891="Own",Q891="Active"),COUNTIFS($C$5:C891,"Own",$Q$5:Q891,"Active"),"")</f>
        <v/>
      </c>
      <c r="V891" s="26" t="str">
        <f aca="false">IF(C891&lt;&gt;"Own","",IF(K891="Hourly",N891,(L891+M891)/(Settings!$B$11*Settings!$B$12)))</f>
        <v/>
      </c>
    </row>
    <row r="892" customFormat="false" ht="15" hidden="false" customHeight="false" outlineLevel="0" collapsed="false">
      <c r="R892" s="25" t="str">
        <f aca="true">IF(I892="","",I892-TODAY())</f>
        <v/>
      </c>
      <c r="S892" s="25" t="str">
        <f aca="true">IF(J892="","",J892-TODAY())</f>
        <v/>
      </c>
      <c r="T892" s="24" t="str">
        <f aca="false">IF(A892="","",IF(OR(AND(R892&lt;&gt;"",R892&lt;0),AND(S892&lt;&gt;"",S892&lt;0)),"EXPIRED",IF(OR(AND(R892&lt;&gt;"",R892&lt;=Settings!$B$15),AND(S892&lt;&gt;"",S892&lt;=Settings!$B$15)),"EXPIRING SOON","OK")))</f>
        <v/>
      </c>
      <c r="U892" s="24" t="str">
        <f aca="false">IF(AND(C892="Own",Q892="Active"),COUNTIFS($C$5:C892,"Own",$Q$5:Q892,"Active"),"")</f>
        <v/>
      </c>
      <c r="V892" s="26" t="str">
        <f aca="false">IF(C892&lt;&gt;"Own","",IF(K892="Hourly",N892,(L892+M892)/(Settings!$B$11*Settings!$B$12)))</f>
        <v/>
      </c>
    </row>
    <row r="893" customFormat="false" ht="15" hidden="false" customHeight="false" outlineLevel="0" collapsed="false">
      <c r="R893" s="25" t="str">
        <f aca="true">IF(I893="","",I893-TODAY())</f>
        <v/>
      </c>
      <c r="S893" s="25" t="str">
        <f aca="true">IF(J893="","",J893-TODAY())</f>
        <v/>
      </c>
      <c r="T893" s="24" t="str">
        <f aca="false">IF(A893="","",IF(OR(AND(R893&lt;&gt;"",R893&lt;0),AND(S893&lt;&gt;"",S893&lt;0)),"EXPIRED",IF(OR(AND(R893&lt;&gt;"",R893&lt;=Settings!$B$15),AND(S893&lt;&gt;"",S893&lt;=Settings!$B$15)),"EXPIRING SOON","OK")))</f>
        <v/>
      </c>
      <c r="U893" s="24" t="str">
        <f aca="false">IF(AND(C893="Own",Q893="Active"),COUNTIFS($C$5:C893,"Own",$Q$5:Q893,"Active"),"")</f>
        <v/>
      </c>
      <c r="V893" s="26" t="str">
        <f aca="false">IF(C893&lt;&gt;"Own","",IF(K893="Hourly",N893,(L893+M893)/(Settings!$B$11*Settings!$B$12)))</f>
        <v/>
      </c>
    </row>
    <row r="894" customFormat="false" ht="15" hidden="false" customHeight="false" outlineLevel="0" collapsed="false">
      <c r="R894" s="25" t="str">
        <f aca="true">IF(I894="","",I894-TODAY())</f>
        <v/>
      </c>
      <c r="S894" s="25" t="str">
        <f aca="true">IF(J894="","",J894-TODAY())</f>
        <v/>
      </c>
      <c r="T894" s="24" t="str">
        <f aca="false">IF(A894="","",IF(OR(AND(R894&lt;&gt;"",R894&lt;0),AND(S894&lt;&gt;"",S894&lt;0)),"EXPIRED",IF(OR(AND(R894&lt;&gt;"",R894&lt;=Settings!$B$15),AND(S894&lt;&gt;"",S894&lt;=Settings!$B$15)),"EXPIRING SOON","OK")))</f>
        <v/>
      </c>
      <c r="U894" s="24" t="str">
        <f aca="false">IF(AND(C894="Own",Q894="Active"),COUNTIFS($C$5:C894,"Own",$Q$5:Q894,"Active"),"")</f>
        <v/>
      </c>
      <c r="V894" s="26" t="str">
        <f aca="false">IF(C894&lt;&gt;"Own","",IF(K894="Hourly",N894,(L894+M894)/(Settings!$B$11*Settings!$B$12)))</f>
        <v/>
      </c>
    </row>
    <row r="895" customFormat="false" ht="15" hidden="false" customHeight="false" outlineLevel="0" collapsed="false">
      <c r="R895" s="25" t="str">
        <f aca="true">IF(I895="","",I895-TODAY())</f>
        <v/>
      </c>
      <c r="S895" s="25" t="str">
        <f aca="true">IF(J895="","",J895-TODAY())</f>
        <v/>
      </c>
      <c r="T895" s="24" t="str">
        <f aca="false">IF(A895="","",IF(OR(AND(R895&lt;&gt;"",R895&lt;0),AND(S895&lt;&gt;"",S895&lt;0)),"EXPIRED",IF(OR(AND(R895&lt;&gt;"",R895&lt;=Settings!$B$15),AND(S895&lt;&gt;"",S895&lt;=Settings!$B$15)),"EXPIRING SOON","OK")))</f>
        <v/>
      </c>
      <c r="U895" s="24" t="str">
        <f aca="false">IF(AND(C895="Own",Q895="Active"),COUNTIFS($C$5:C895,"Own",$Q$5:Q895,"Active"),"")</f>
        <v/>
      </c>
      <c r="V895" s="26" t="str">
        <f aca="false">IF(C895&lt;&gt;"Own","",IF(K895="Hourly",N895,(L895+M895)/(Settings!$B$11*Settings!$B$12)))</f>
        <v/>
      </c>
    </row>
    <row r="896" customFormat="false" ht="15" hidden="false" customHeight="false" outlineLevel="0" collapsed="false">
      <c r="R896" s="25" t="str">
        <f aca="true">IF(I896="","",I896-TODAY())</f>
        <v/>
      </c>
      <c r="S896" s="25" t="str">
        <f aca="true">IF(J896="","",J896-TODAY())</f>
        <v/>
      </c>
      <c r="T896" s="24" t="str">
        <f aca="false">IF(A896="","",IF(OR(AND(R896&lt;&gt;"",R896&lt;0),AND(S896&lt;&gt;"",S896&lt;0)),"EXPIRED",IF(OR(AND(R896&lt;&gt;"",R896&lt;=Settings!$B$15),AND(S896&lt;&gt;"",S896&lt;=Settings!$B$15)),"EXPIRING SOON","OK")))</f>
        <v/>
      </c>
      <c r="U896" s="24" t="str">
        <f aca="false">IF(AND(C896="Own",Q896="Active"),COUNTIFS($C$5:C896,"Own",$Q$5:Q896,"Active"),"")</f>
        <v/>
      </c>
      <c r="V896" s="26" t="str">
        <f aca="false">IF(C896&lt;&gt;"Own","",IF(K896="Hourly",N896,(L896+M896)/(Settings!$B$11*Settings!$B$12)))</f>
        <v/>
      </c>
    </row>
    <row r="897" customFormat="false" ht="15" hidden="false" customHeight="false" outlineLevel="0" collapsed="false">
      <c r="R897" s="25" t="str">
        <f aca="true">IF(I897="","",I897-TODAY())</f>
        <v/>
      </c>
      <c r="S897" s="25" t="str">
        <f aca="true">IF(J897="","",J897-TODAY())</f>
        <v/>
      </c>
      <c r="T897" s="24" t="str">
        <f aca="false">IF(A897="","",IF(OR(AND(R897&lt;&gt;"",R897&lt;0),AND(S897&lt;&gt;"",S897&lt;0)),"EXPIRED",IF(OR(AND(R897&lt;&gt;"",R897&lt;=Settings!$B$15),AND(S897&lt;&gt;"",S897&lt;=Settings!$B$15)),"EXPIRING SOON","OK")))</f>
        <v/>
      </c>
      <c r="U897" s="24" t="str">
        <f aca="false">IF(AND(C897="Own",Q897="Active"),COUNTIFS($C$5:C897,"Own",$Q$5:Q897,"Active"),"")</f>
        <v/>
      </c>
      <c r="V897" s="26" t="str">
        <f aca="false">IF(C897&lt;&gt;"Own","",IF(K897="Hourly",N897,(L897+M897)/(Settings!$B$11*Settings!$B$12)))</f>
        <v/>
      </c>
    </row>
    <row r="898" customFormat="false" ht="15" hidden="false" customHeight="false" outlineLevel="0" collapsed="false">
      <c r="R898" s="25" t="str">
        <f aca="true">IF(I898="","",I898-TODAY())</f>
        <v/>
      </c>
      <c r="S898" s="25" t="str">
        <f aca="true">IF(J898="","",J898-TODAY())</f>
        <v/>
      </c>
      <c r="T898" s="24" t="str">
        <f aca="false">IF(A898="","",IF(OR(AND(R898&lt;&gt;"",R898&lt;0),AND(S898&lt;&gt;"",S898&lt;0)),"EXPIRED",IF(OR(AND(R898&lt;&gt;"",R898&lt;=Settings!$B$15),AND(S898&lt;&gt;"",S898&lt;=Settings!$B$15)),"EXPIRING SOON","OK")))</f>
        <v/>
      </c>
      <c r="U898" s="24" t="str">
        <f aca="false">IF(AND(C898="Own",Q898="Active"),COUNTIFS($C$5:C898,"Own",$Q$5:Q898,"Active"),"")</f>
        <v/>
      </c>
      <c r="V898" s="26" t="str">
        <f aca="false">IF(C898&lt;&gt;"Own","",IF(K898="Hourly",N898,(L898+M898)/(Settings!$B$11*Settings!$B$12)))</f>
        <v/>
      </c>
    </row>
    <row r="899" customFormat="false" ht="15" hidden="false" customHeight="false" outlineLevel="0" collapsed="false">
      <c r="R899" s="25" t="str">
        <f aca="true">IF(I899="","",I899-TODAY())</f>
        <v/>
      </c>
      <c r="S899" s="25" t="str">
        <f aca="true">IF(J899="","",J899-TODAY())</f>
        <v/>
      </c>
      <c r="T899" s="24" t="str">
        <f aca="false">IF(A899="","",IF(OR(AND(R899&lt;&gt;"",R899&lt;0),AND(S899&lt;&gt;"",S899&lt;0)),"EXPIRED",IF(OR(AND(R899&lt;&gt;"",R899&lt;=Settings!$B$15),AND(S899&lt;&gt;"",S899&lt;=Settings!$B$15)),"EXPIRING SOON","OK")))</f>
        <v/>
      </c>
      <c r="U899" s="24" t="str">
        <f aca="false">IF(AND(C899="Own",Q899="Active"),COUNTIFS($C$5:C899,"Own",$Q$5:Q899,"Active"),"")</f>
        <v/>
      </c>
      <c r="V899" s="26" t="str">
        <f aca="false">IF(C899&lt;&gt;"Own","",IF(K899="Hourly",N899,(L899+M899)/(Settings!$B$11*Settings!$B$12)))</f>
        <v/>
      </c>
    </row>
    <row r="900" customFormat="false" ht="15" hidden="false" customHeight="false" outlineLevel="0" collapsed="false">
      <c r="R900" s="25" t="str">
        <f aca="true">IF(I900="","",I900-TODAY())</f>
        <v/>
      </c>
      <c r="S900" s="25" t="str">
        <f aca="true">IF(J900="","",J900-TODAY())</f>
        <v/>
      </c>
      <c r="T900" s="24" t="str">
        <f aca="false">IF(A900="","",IF(OR(AND(R900&lt;&gt;"",R900&lt;0),AND(S900&lt;&gt;"",S900&lt;0)),"EXPIRED",IF(OR(AND(R900&lt;&gt;"",R900&lt;=Settings!$B$15),AND(S900&lt;&gt;"",S900&lt;=Settings!$B$15)),"EXPIRING SOON","OK")))</f>
        <v/>
      </c>
      <c r="U900" s="24" t="str">
        <f aca="false">IF(AND(C900="Own",Q900="Active"),COUNTIFS($C$5:C900,"Own",$Q$5:Q900,"Active"),"")</f>
        <v/>
      </c>
      <c r="V900" s="26" t="str">
        <f aca="false">IF(C900&lt;&gt;"Own","",IF(K900="Hourly",N900,(L900+M900)/(Settings!$B$11*Settings!$B$12)))</f>
        <v/>
      </c>
    </row>
    <row r="901" customFormat="false" ht="15" hidden="false" customHeight="false" outlineLevel="0" collapsed="false">
      <c r="R901" s="25" t="str">
        <f aca="true">IF(I901="","",I901-TODAY())</f>
        <v/>
      </c>
      <c r="S901" s="25" t="str">
        <f aca="true">IF(J901="","",J901-TODAY())</f>
        <v/>
      </c>
      <c r="T901" s="24" t="str">
        <f aca="false">IF(A901="","",IF(OR(AND(R901&lt;&gt;"",R901&lt;0),AND(S901&lt;&gt;"",S901&lt;0)),"EXPIRED",IF(OR(AND(R901&lt;&gt;"",R901&lt;=Settings!$B$15),AND(S901&lt;&gt;"",S901&lt;=Settings!$B$15)),"EXPIRING SOON","OK")))</f>
        <v/>
      </c>
      <c r="U901" s="24" t="str">
        <f aca="false">IF(AND(C901="Own",Q901="Active"),COUNTIFS($C$5:C901,"Own",$Q$5:Q901,"Active"),"")</f>
        <v/>
      </c>
      <c r="V901" s="26" t="str">
        <f aca="false">IF(C901&lt;&gt;"Own","",IF(K901="Hourly",N901,(L901+M901)/(Settings!$B$11*Settings!$B$12)))</f>
        <v/>
      </c>
    </row>
    <row r="902" customFormat="false" ht="15" hidden="false" customHeight="false" outlineLevel="0" collapsed="false">
      <c r="R902" s="25" t="str">
        <f aca="true">IF(I902="","",I902-TODAY())</f>
        <v/>
      </c>
      <c r="S902" s="25" t="str">
        <f aca="true">IF(J902="","",J902-TODAY())</f>
        <v/>
      </c>
      <c r="T902" s="24" t="str">
        <f aca="false">IF(A902="","",IF(OR(AND(R902&lt;&gt;"",R902&lt;0),AND(S902&lt;&gt;"",S902&lt;0)),"EXPIRED",IF(OR(AND(R902&lt;&gt;"",R902&lt;=Settings!$B$15),AND(S902&lt;&gt;"",S902&lt;=Settings!$B$15)),"EXPIRING SOON","OK")))</f>
        <v/>
      </c>
      <c r="U902" s="24" t="str">
        <f aca="false">IF(AND(C902="Own",Q902="Active"),COUNTIFS($C$5:C902,"Own",$Q$5:Q902,"Active"),"")</f>
        <v/>
      </c>
      <c r="V902" s="26" t="str">
        <f aca="false">IF(C902&lt;&gt;"Own","",IF(K902="Hourly",N902,(L902+M902)/(Settings!$B$11*Settings!$B$12)))</f>
        <v/>
      </c>
    </row>
    <row r="903" customFormat="false" ht="15" hidden="false" customHeight="false" outlineLevel="0" collapsed="false">
      <c r="R903" s="25" t="str">
        <f aca="true">IF(I903="","",I903-TODAY())</f>
        <v/>
      </c>
      <c r="S903" s="25" t="str">
        <f aca="true">IF(J903="","",J903-TODAY())</f>
        <v/>
      </c>
      <c r="T903" s="24" t="str">
        <f aca="false">IF(A903="","",IF(OR(AND(R903&lt;&gt;"",R903&lt;0),AND(S903&lt;&gt;"",S903&lt;0)),"EXPIRED",IF(OR(AND(R903&lt;&gt;"",R903&lt;=Settings!$B$15),AND(S903&lt;&gt;"",S903&lt;=Settings!$B$15)),"EXPIRING SOON","OK")))</f>
        <v/>
      </c>
      <c r="U903" s="24" t="str">
        <f aca="false">IF(AND(C903="Own",Q903="Active"),COUNTIFS($C$5:C903,"Own",$Q$5:Q903,"Active"),"")</f>
        <v/>
      </c>
      <c r="V903" s="26" t="str">
        <f aca="false">IF(C903&lt;&gt;"Own","",IF(K903="Hourly",N903,(L903+M903)/(Settings!$B$11*Settings!$B$12)))</f>
        <v/>
      </c>
    </row>
    <row r="904" customFormat="false" ht="15" hidden="false" customHeight="false" outlineLevel="0" collapsed="false">
      <c r="R904" s="25" t="str">
        <f aca="true">IF(I904="","",I904-TODAY())</f>
        <v/>
      </c>
      <c r="S904" s="25" t="str">
        <f aca="true">IF(J904="","",J904-TODAY())</f>
        <v/>
      </c>
      <c r="T904" s="24" t="str">
        <f aca="false">IF(A904="","",IF(OR(AND(R904&lt;&gt;"",R904&lt;0),AND(S904&lt;&gt;"",S904&lt;0)),"EXPIRED",IF(OR(AND(R904&lt;&gt;"",R904&lt;=Settings!$B$15),AND(S904&lt;&gt;"",S904&lt;=Settings!$B$15)),"EXPIRING SOON","OK")))</f>
        <v/>
      </c>
      <c r="U904" s="24" t="str">
        <f aca="false">IF(AND(C904="Own",Q904="Active"),COUNTIFS($C$5:C904,"Own",$Q$5:Q904,"Active"),"")</f>
        <v/>
      </c>
      <c r="V904" s="26" t="str">
        <f aca="false">IF(C904&lt;&gt;"Own","",IF(K904="Hourly",N904,(L904+M904)/(Settings!$B$11*Settings!$B$12)))</f>
        <v/>
      </c>
    </row>
    <row r="905" customFormat="false" ht="15" hidden="false" customHeight="false" outlineLevel="0" collapsed="false">
      <c r="R905" s="25" t="str">
        <f aca="true">IF(I905="","",I905-TODAY())</f>
        <v/>
      </c>
      <c r="S905" s="25" t="str">
        <f aca="true">IF(J905="","",J905-TODAY())</f>
        <v/>
      </c>
      <c r="T905" s="24" t="str">
        <f aca="false">IF(A905="","",IF(OR(AND(R905&lt;&gt;"",R905&lt;0),AND(S905&lt;&gt;"",S905&lt;0)),"EXPIRED",IF(OR(AND(R905&lt;&gt;"",R905&lt;=Settings!$B$15),AND(S905&lt;&gt;"",S905&lt;=Settings!$B$15)),"EXPIRING SOON","OK")))</f>
        <v/>
      </c>
      <c r="U905" s="24" t="str">
        <f aca="false">IF(AND(C905="Own",Q905="Active"),COUNTIFS($C$5:C905,"Own",$Q$5:Q905,"Active"),"")</f>
        <v/>
      </c>
      <c r="V905" s="26" t="str">
        <f aca="false">IF(C905&lt;&gt;"Own","",IF(K905="Hourly",N905,(L905+M905)/(Settings!$B$11*Settings!$B$12)))</f>
        <v/>
      </c>
    </row>
    <row r="906" customFormat="false" ht="15" hidden="false" customHeight="false" outlineLevel="0" collapsed="false">
      <c r="R906" s="25" t="str">
        <f aca="true">IF(I906="","",I906-TODAY())</f>
        <v/>
      </c>
      <c r="S906" s="25" t="str">
        <f aca="true">IF(J906="","",J906-TODAY())</f>
        <v/>
      </c>
      <c r="T906" s="24" t="str">
        <f aca="false">IF(A906="","",IF(OR(AND(R906&lt;&gt;"",R906&lt;0),AND(S906&lt;&gt;"",S906&lt;0)),"EXPIRED",IF(OR(AND(R906&lt;&gt;"",R906&lt;=Settings!$B$15),AND(S906&lt;&gt;"",S906&lt;=Settings!$B$15)),"EXPIRING SOON","OK")))</f>
        <v/>
      </c>
      <c r="U906" s="24" t="str">
        <f aca="false">IF(AND(C906="Own",Q906="Active"),COUNTIFS($C$5:C906,"Own",$Q$5:Q906,"Active"),"")</f>
        <v/>
      </c>
      <c r="V906" s="26" t="str">
        <f aca="false">IF(C906&lt;&gt;"Own","",IF(K906="Hourly",N906,(L906+M906)/(Settings!$B$11*Settings!$B$12)))</f>
        <v/>
      </c>
    </row>
    <row r="907" customFormat="false" ht="15" hidden="false" customHeight="false" outlineLevel="0" collapsed="false">
      <c r="R907" s="25" t="str">
        <f aca="true">IF(I907="","",I907-TODAY())</f>
        <v/>
      </c>
      <c r="S907" s="25" t="str">
        <f aca="true">IF(J907="","",J907-TODAY())</f>
        <v/>
      </c>
      <c r="T907" s="24" t="str">
        <f aca="false">IF(A907="","",IF(OR(AND(R907&lt;&gt;"",R907&lt;0),AND(S907&lt;&gt;"",S907&lt;0)),"EXPIRED",IF(OR(AND(R907&lt;&gt;"",R907&lt;=Settings!$B$15),AND(S907&lt;&gt;"",S907&lt;=Settings!$B$15)),"EXPIRING SOON","OK")))</f>
        <v/>
      </c>
      <c r="U907" s="24" t="str">
        <f aca="false">IF(AND(C907="Own",Q907="Active"),COUNTIFS($C$5:C907,"Own",$Q$5:Q907,"Active"),"")</f>
        <v/>
      </c>
      <c r="V907" s="26" t="str">
        <f aca="false">IF(C907&lt;&gt;"Own","",IF(K907="Hourly",N907,(L907+M907)/(Settings!$B$11*Settings!$B$12)))</f>
        <v/>
      </c>
    </row>
    <row r="908" customFormat="false" ht="15" hidden="false" customHeight="false" outlineLevel="0" collapsed="false">
      <c r="R908" s="25" t="str">
        <f aca="true">IF(I908="","",I908-TODAY())</f>
        <v/>
      </c>
      <c r="S908" s="25" t="str">
        <f aca="true">IF(J908="","",J908-TODAY())</f>
        <v/>
      </c>
      <c r="T908" s="24" t="str">
        <f aca="false">IF(A908="","",IF(OR(AND(R908&lt;&gt;"",R908&lt;0),AND(S908&lt;&gt;"",S908&lt;0)),"EXPIRED",IF(OR(AND(R908&lt;&gt;"",R908&lt;=Settings!$B$15),AND(S908&lt;&gt;"",S908&lt;=Settings!$B$15)),"EXPIRING SOON","OK")))</f>
        <v/>
      </c>
      <c r="U908" s="24" t="str">
        <f aca="false">IF(AND(C908="Own",Q908="Active"),COUNTIFS($C$5:C908,"Own",$Q$5:Q908,"Active"),"")</f>
        <v/>
      </c>
      <c r="V908" s="26" t="str">
        <f aca="false">IF(C908&lt;&gt;"Own","",IF(K908="Hourly",N908,(L908+M908)/(Settings!$B$11*Settings!$B$12)))</f>
        <v/>
      </c>
    </row>
    <row r="909" customFormat="false" ht="15" hidden="false" customHeight="false" outlineLevel="0" collapsed="false">
      <c r="R909" s="25" t="str">
        <f aca="true">IF(I909="","",I909-TODAY())</f>
        <v/>
      </c>
      <c r="S909" s="25" t="str">
        <f aca="true">IF(J909="","",J909-TODAY())</f>
        <v/>
      </c>
      <c r="T909" s="24" t="str">
        <f aca="false">IF(A909="","",IF(OR(AND(R909&lt;&gt;"",R909&lt;0),AND(S909&lt;&gt;"",S909&lt;0)),"EXPIRED",IF(OR(AND(R909&lt;&gt;"",R909&lt;=Settings!$B$15),AND(S909&lt;&gt;"",S909&lt;=Settings!$B$15)),"EXPIRING SOON","OK")))</f>
        <v/>
      </c>
      <c r="U909" s="24" t="str">
        <f aca="false">IF(AND(C909="Own",Q909="Active"),COUNTIFS($C$5:C909,"Own",$Q$5:Q909,"Active"),"")</f>
        <v/>
      </c>
      <c r="V909" s="26" t="str">
        <f aca="false">IF(C909&lt;&gt;"Own","",IF(K909="Hourly",N909,(L909+M909)/(Settings!$B$11*Settings!$B$12)))</f>
        <v/>
      </c>
    </row>
    <row r="910" customFormat="false" ht="15" hidden="false" customHeight="false" outlineLevel="0" collapsed="false">
      <c r="R910" s="25" t="str">
        <f aca="true">IF(I910="","",I910-TODAY())</f>
        <v/>
      </c>
      <c r="S910" s="25" t="str">
        <f aca="true">IF(J910="","",J910-TODAY())</f>
        <v/>
      </c>
      <c r="T910" s="24" t="str">
        <f aca="false">IF(A910="","",IF(OR(AND(R910&lt;&gt;"",R910&lt;0),AND(S910&lt;&gt;"",S910&lt;0)),"EXPIRED",IF(OR(AND(R910&lt;&gt;"",R910&lt;=Settings!$B$15),AND(S910&lt;&gt;"",S910&lt;=Settings!$B$15)),"EXPIRING SOON","OK")))</f>
        <v/>
      </c>
      <c r="U910" s="24" t="str">
        <f aca="false">IF(AND(C910="Own",Q910="Active"),COUNTIFS($C$5:C910,"Own",$Q$5:Q910,"Active"),"")</f>
        <v/>
      </c>
      <c r="V910" s="26" t="str">
        <f aca="false">IF(C910&lt;&gt;"Own","",IF(K910="Hourly",N910,(L910+M910)/(Settings!$B$11*Settings!$B$12)))</f>
        <v/>
      </c>
    </row>
    <row r="911" customFormat="false" ht="15" hidden="false" customHeight="false" outlineLevel="0" collapsed="false">
      <c r="R911" s="25" t="str">
        <f aca="true">IF(I911="","",I911-TODAY())</f>
        <v/>
      </c>
      <c r="S911" s="25" t="str">
        <f aca="true">IF(J911="","",J911-TODAY())</f>
        <v/>
      </c>
      <c r="T911" s="24" t="str">
        <f aca="false">IF(A911="","",IF(OR(AND(R911&lt;&gt;"",R911&lt;0),AND(S911&lt;&gt;"",S911&lt;0)),"EXPIRED",IF(OR(AND(R911&lt;&gt;"",R911&lt;=Settings!$B$15),AND(S911&lt;&gt;"",S911&lt;=Settings!$B$15)),"EXPIRING SOON","OK")))</f>
        <v/>
      </c>
      <c r="U911" s="24" t="str">
        <f aca="false">IF(AND(C911="Own",Q911="Active"),COUNTIFS($C$5:C911,"Own",$Q$5:Q911,"Active"),"")</f>
        <v/>
      </c>
      <c r="V911" s="26" t="str">
        <f aca="false">IF(C911&lt;&gt;"Own","",IF(K911="Hourly",N911,(L911+M911)/(Settings!$B$11*Settings!$B$12)))</f>
        <v/>
      </c>
    </row>
    <row r="912" customFormat="false" ht="15" hidden="false" customHeight="false" outlineLevel="0" collapsed="false">
      <c r="R912" s="25" t="str">
        <f aca="true">IF(I912="","",I912-TODAY())</f>
        <v/>
      </c>
      <c r="S912" s="25" t="str">
        <f aca="true">IF(J912="","",J912-TODAY())</f>
        <v/>
      </c>
      <c r="T912" s="24" t="str">
        <f aca="false">IF(A912="","",IF(OR(AND(R912&lt;&gt;"",R912&lt;0),AND(S912&lt;&gt;"",S912&lt;0)),"EXPIRED",IF(OR(AND(R912&lt;&gt;"",R912&lt;=Settings!$B$15),AND(S912&lt;&gt;"",S912&lt;=Settings!$B$15)),"EXPIRING SOON","OK")))</f>
        <v/>
      </c>
      <c r="U912" s="24" t="str">
        <f aca="false">IF(AND(C912="Own",Q912="Active"),COUNTIFS($C$5:C912,"Own",$Q$5:Q912,"Active"),"")</f>
        <v/>
      </c>
      <c r="V912" s="26" t="str">
        <f aca="false">IF(C912&lt;&gt;"Own","",IF(K912="Hourly",N912,(L912+M912)/(Settings!$B$11*Settings!$B$12)))</f>
        <v/>
      </c>
    </row>
    <row r="913" customFormat="false" ht="15" hidden="false" customHeight="false" outlineLevel="0" collapsed="false">
      <c r="R913" s="25" t="str">
        <f aca="true">IF(I913="","",I913-TODAY())</f>
        <v/>
      </c>
      <c r="S913" s="25" t="str">
        <f aca="true">IF(J913="","",J913-TODAY())</f>
        <v/>
      </c>
      <c r="T913" s="24" t="str">
        <f aca="false">IF(A913="","",IF(OR(AND(R913&lt;&gt;"",R913&lt;0),AND(S913&lt;&gt;"",S913&lt;0)),"EXPIRED",IF(OR(AND(R913&lt;&gt;"",R913&lt;=Settings!$B$15),AND(S913&lt;&gt;"",S913&lt;=Settings!$B$15)),"EXPIRING SOON","OK")))</f>
        <v/>
      </c>
      <c r="U913" s="24" t="str">
        <f aca="false">IF(AND(C913="Own",Q913="Active"),COUNTIFS($C$5:C913,"Own",$Q$5:Q913,"Active"),"")</f>
        <v/>
      </c>
      <c r="V913" s="26" t="str">
        <f aca="false">IF(C913&lt;&gt;"Own","",IF(K913="Hourly",N913,(L913+M913)/(Settings!$B$11*Settings!$B$12)))</f>
        <v/>
      </c>
    </row>
    <row r="914" customFormat="false" ht="15" hidden="false" customHeight="false" outlineLevel="0" collapsed="false">
      <c r="R914" s="25" t="str">
        <f aca="true">IF(I914="","",I914-TODAY())</f>
        <v/>
      </c>
      <c r="S914" s="25" t="str">
        <f aca="true">IF(J914="","",J914-TODAY())</f>
        <v/>
      </c>
      <c r="T914" s="24" t="str">
        <f aca="false">IF(A914="","",IF(OR(AND(R914&lt;&gt;"",R914&lt;0),AND(S914&lt;&gt;"",S914&lt;0)),"EXPIRED",IF(OR(AND(R914&lt;&gt;"",R914&lt;=Settings!$B$15),AND(S914&lt;&gt;"",S914&lt;=Settings!$B$15)),"EXPIRING SOON","OK")))</f>
        <v/>
      </c>
      <c r="U914" s="24" t="str">
        <f aca="false">IF(AND(C914="Own",Q914="Active"),COUNTIFS($C$5:C914,"Own",$Q$5:Q914,"Active"),"")</f>
        <v/>
      </c>
      <c r="V914" s="26" t="str">
        <f aca="false">IF(C914&lt;&gt;"Own","",IF(K914="Hourly",N914,(L914+M914)/(Settings!$B$11*Settings!$B$12)))</f>
        <v/>
      </c>
    </row>
    <row r="915" customFormat="false" ht="15" hidden="false" customHeight="false" outlineLevel="0" collapsed="false">
      <c r="R915" s="25" t="str">
        <f aca="true">IF(I915="","",I915-TODAY())</f>
        <v/>
      </c>
      <c r="S915" s="25" t="str">
        <f aca="true">IF(J915="","",J915-TODAY())</f>
        <v/>
      </c>
      <c r="T915" s="24" t="str">
        <f aca="false">IF(A915="","",IF(OR(AND(R915&lt;&gt;"",R915&lt;0),AND(S915&lt;&gt;"",S915&lt;0)),"EXPIRED",IF(OR(AND(R915&lt;&gt;"",R915&lt;=Settings!$B$15),AND(S915&lt;&gt;"",S915&lt;=Settings!$B$15)),"EXPIRING SOON","OK")))</f>
        <v/>
      </c>
      <c r="U915" s="24" t="str">
        <f aca="false">IF(AND(C915="Own",Q915="Active"),COUNTIFS($C$5:C915,"Own",$Q$5:Q915,"Active"),"")</f>
        <v/>
      </c>
      <c r="V915" s="26" t="str">
        <f aca="false">IF(C915&lt;&gt;"Own","",IF(K915="Hourly",N915,(L915+M915)/(Settings!$B$11*Settings!$B$12)))</f>
        <v/>
      </c>
    </row>
    <row r="916" customFormat="false" ht="15" hidden="false" customHeight="false" outlineLevel="0" collapsed="false">
      <c r="R916" s="25" t="str">
        <f aca="true">IF(I916="","",I916-TODAY())</f>
        <v/>
      </c>
      <c r="S916" s="25" t="str">
        <f aca="true">IF(J916="","",J916-TODAY())</f>
        <v/>
      </c>
      <c r="T916" s="24" t="str">
        <f aca="false">IF(A916="","",IF(OR(AND(R916&lt;&gt;"",R916&lt;0),AND(S916&lt;&gt;"",S916&lt;0)),"EXPIRED",IF(OR(AND(R916&lt;&gt;"",R916&lt;=Settings!$B$15),AND(S916&lt;&gt;"",S916&lt;=Settings!$B$15)),"EXPIRING SOON","OK")))</f>
        <v/>
      </c>
      <c r="U916" s="24" t="str">
        <f aca="false">IF(AND(C916="Own",Q916="Active"),COUNTIFS($C$5:C916,"Own",$Q$5:Q916,"Active"),"")</f>
        <v/>
      </c>
      <c r="V916" s="26" t="str">
        <f aca="false">IF(C916&lt;&gt;"Own","",IF(K916="Hourly",N916,(L916+M916)/(Settings!$B$11*Settings!$B$12)))</f>
        <v/>
      </c>
    </row>
    <row r="917" customFormat="false" ht="15" hidden="false" customHeight="false" outlineLevel="0" collapsed="false">
      <c r="R917" s="25" t="str">
        <f aca="true">IF(I917="","",I917-TODAY())</f>
        <v/>
      </c>
      <c r="S917" s="25" t="str">
        <f aca="true">IF(J917="","",J917-TODAY())</f>
        <v/>
      </c>
      <c r="T917" s="24" t="str">
        <f aca="false">IF(A917="","",IF(OR(AND(R917&lt;&gt;"",R917&lt;0),AND(S917&lt;&gt;"",S917&lt;0)),"EXPIRED",IF(OR(AND(R917&lt;&gt;"",R917&lt;=Settings!$B$15),AND(S917&lt;&gt;"",S917&lt;=Settings!$B$15)),"EXPIRING SOON","OK")))</f>
        <v/>
      </c>
      <c r="U917" s="24" t="str">
        <f aca="false">IF(AND(C917="Own",Q917="Active"),COUNTIFS($C$5:C917,"Own",$Q$5:Q917,"Active"),"")</f>
        <v/>
      </c>
      <c r="V917" s="26" t="str">
        <f aca="false">IF(C917&lt;&gt;"Own","",IF(K917="Hourly",N917,(L917+M917)/(Settings!$B$11*Settings!$B$12)))</f>
        <v/>
      </c>
    </row>
    <row r="918" customFormat="false" ht="15" hidden="false" customHeight="false" outlineLevel="0" collapsed="false">
      <c r="R918" s="25" t="str">
        <f aca="true">IF(I918="","",I918-TODAY())</f>
        <v/>
      </c>
      <c r="S918" s="25" t="str">
        <f aca="true">IF(J918="","",J918-TODAY())</f>
        <v/>
      </c>
      <c r="T918" s="24" t="str">
        <f aca="false">IF(A918="","",IF(OR(AND(R918&lt;&gt;"",R918&lt;0),AND(S918&lt;&gt;"",S918&lt;0)),"EXPIRED",IF(OR(AND(R918&lt;&gt;"",R918&lt;=Settings!$B$15),AND(S918&lt;&gt;"",S918&lt;=Settings!$B$15)),"EXPIRING SOON","OK")))</f>
        <v/>
      </c>
      <c r="U918" s="24" t="str">
        <f aca="false">IF(AND(C918="Own",Q918="Active"),COUNTIFS($C$5:C918,"Own",$Q$5:Q918,"Active"),"")</f>
        <v/>
      </c>
      <c r="V918" s="26" t="str">
        <f aca="false">IF(C918&lt;&gt;"Own","",IF(K918="Hourly",N918,(L918+M918)/(Settings!$B$11*Settings!$B$12)))</f>
        <v/>
      </c>
    </row>
    <row r="919" customFormat="false" ht="15" hidden="false" customHeight="false" outlineLevel="0" collapsed="false">
      <c r="R919" s="25" t="str">
        <f aca="true">IF(I919="","",I919-TODAY())</f>
        <v/>
      </c>
      <c r="S919" s="25" t="str">
        <f aca="true">IF(J919="","",J919-TODAY())</f>
        <v/>
      </c>
      <c r="T919" s="24" t="str">
        <f aca="false">IF(A919="","",IF(OR(AND(R919&lt;&gt;"",R919&lt;0),AND(S919&lt;&gt;"",S919&lt;0)),"EXPIRED",IF(OR(AND(R919&lt;&gt;"",R919&lt;=Settings!$B$15),AND(S919&lt;&gt;"",S919&lt;=Settings!$B$15)),"EXPIRING SOON","OK")))</f>
        <v/>
      </c>
      <c r="U919" s="24" t="str">
        <f aca="false">IF(AND(C919="Own",Q919="Active"),COUNTIFS($C$5:C919,"Own",$Q$5:Q919,"Active"),"")</f>
        <v/>
      </c>
      <c r="V919" s="26" t="str">
        <f aca="false">IF(C919&lt;&gt;"Own","",IF(K919="Hourly",N919,(L919+M919)/(Settings!$B$11*Settings!$B$12)))</f>
        <v/>
      </c>
    </row>
    <row r="920" customFormat="false" ht="15" hidden="false" customHeight="false" outlineLevel="0" collapsed="false">
      <c r="R920" s="25" t="str">
        <f aca="true">IF(I920="","",I920-TODAY())</f>
        <v/>
      </c>
      <c r="S920" s="25" t="str">
        <f aca="true">IF(J920="","",J920-TODAY())</f>
        <v/>
      </c>
      <c r="T920" s="24" t="str">
        <f aca="false">IF(A920="","",IF(OR(AND(R920&lt;&gt;"",R920&lt;0),AND(S920&lt;&gt;"",S920&lt;0)),"EXPIRED",IF(OR(AND(R920&lt;&gt;"",R920&lt;=Settings!$B$15),AND(S920&lt;&gt;"",S920&lt;=Settings!$B$15)),"EXPIRING SOON","OK")))</f>
        <v/>
      </c>
      <c r="U920" s="24" t="str">
        <f aca="false">IF(AND(C920="Own",Q920="Active"),COUNTIFS($C$5:C920,"Own",$Q$5:Q920,"Active"),"")</f>
        <v/>
      </c>
      <c r="V920" s="26" t="str">
        <f aca="false">IF(C920&lt;&gt;"Own","",IF(K920="Hourly",N920,(L920+M920)/(Settings!$B$11*Settings!$B$12)))</f>
        <v/>
      </c>
    </row>
    <row r="921" customFormat="false" ht="15" hidden="false" customHeight="false" outlineLevel="0" collapsed="false">
      <c r="R921" s="25" t="str">
        <f aca="true">IF(I921="","",I921-TODAY())</f>
        <v/>
      </c>
      <c r="S921" s="25" t="str">
        <f aca="true">IF(J921="","",J921-TODAY())</f>
        <v/>
      </c>
      <c r="T921" s="24" t="str">
        <f aca="false">IF(A921="","",IF(OR(AND(R921&lt;&gt;"",R921&lt;0),AND(S921&lt;&gt;"",S921&lt;0)),"EXPIRED",IF(OR(AND(R921&lt;&gt;"",R921&lt;=Settings!$B$15),AND(S921&lt;&gt;"",S921&lt;=Settings!$B$15)),"EXPIRING SOON","OK")))</f>
        <v/>
      </c>
      <c r="U921" s="24" t="str">
        <f aca="false">IF(AND(C921="Own",Q921="Active"),COUNTIFS($C$5:C921,"Own",$Q$5:Q921,"Active"),"")</f>
        <v/>
      </c>
      <c r="V921" s="26" t="str">
        <f aca="false">IF(C921&lt;&gt;"Own","",IF(K921="Hourly",N921,(L921+M921)/(Settings!$B$11*Settings!$B$12)))</f>
        <v/>
      </c>
    </row>
    <row r="922" customFormat="false" ht="15" hidden="false" customHeight="false" outlineLevel="0" collapsed="false">
      <c r="R922" s="25" t="str">
        <f aca="true">IF(I922="","",I922-TODAY())</f>
        <v/>
      </c>
      <c r="S922" s="25" t="str">
        <f aca="true">IF(J922="","",J922-TODAY())</f>
        <v/>
      </c>
      <c r="T922" s="24" t="str">
        <f aca="false">IF(A922="","",IF(OR(AND(R922&lt;&gt;"",R922&lt;0),AND(S922&lt;&gt;"",S922&lt;0)),"EXPIRED",IF(OR(AND(R922&lt;&gt;"",R922&lt;=Settings!$B$15),AND(S922&lt;&gt;"",S922&lt;=Settings!$B$15)),"EXPIRING SOON","OK")))</f>
        <v/>
      </c>
      <c r="U922" s="24" t="str">
        <f aca="false">IF(AND(C922="Own",Q922="Active"),COUNTIFS($C$5:C922,"Own",$Q$5:Q922,"Active"),"")</f>
        <v/>
      </c>
      <c r="V922" s="26" t="str">
        <f aca="false">IF(C922&lt;&gt;"Own","",IF(K922="Hourly",N922,(L922+M922)/(Settings!$B$11*Settings!$B$12)))</f>
        <v/>
      </c>
    </row>
    <row r="923" customFormat="false" ht="15" hidden="false" customHeight="false" outlineLevel="0" collapsed="false">
      <c r="R923" s="25" t="str">
        <f aca="true">IF(I923="","",I923-TODAY())</f>
        <v/>
      </c>
      <c r="S923" s="25" t="str">
        <f aca="true">IF(J923="","",J923-TODAY())</f>
        <v/>
      </c>
      <c r="T923" s="24" t="str">
        <f aca="false">IF(A923="","",IF(OR(AND(R923&lt;&gt;"",R923&lt;0),AND(S923&lt;&gt;"",S923&lt;0)),"EXPIRED",IF(OR(AND(R923&lt;&gt;"",R923&lt;=Settings!$B$15),AND(S923&lt;&gt;"",S923&lt;=Settings!$B$15)),"EXPIRING SOON","OK")))</f>
        <v/>
      </c>
      <c r="U923" s="24" t="str">
        <f aca="false">IF(AND(C923="Own",Q923="Active"),COUNTIFS($C$5:C923,"Own",$Q$5:Q923,"Active"),"")</f>
        <v/>
      </c>
      <c r="V923" s="26" t="str">
        <f aca="false">IF(C923&lt;&gt;"Own","",IF(K923="Hourly",N923,(L923+M923)/(Settings!$B$11*Settings!$B$12)))</f>
        <v/>
      </c>
    </row>
    <row r="924" customFormat="false" ht="15" hidden="false" customHeight="false" outlineLevel="0" collapsed="false">
      <c r="R924" s="25" t="str">
        <f aca="true">IF(I924="","",I924-TODAY())</f>
        <v/>
      </c>
      <c r="S924" s="25" t="str">
        <f aca="true">IF(J924="","",J924-TODAY())</f>
        <v/>
      </c>
      <c r="T924" s="24" t="str">
        <f aca="false">IF(A924="","",IF(OR(AND(R924&lt;&gt;"",R924&lt;0),AND(S924&lt;&gt;"",S924&lt;0)),"EXPIRED",IF(OR(AND(R924&lt;&gt;"",R924&lt;=Settings!$B$15),AND(S924&lt;&gt;"",S924&lt;=Settings!$B$15)),"EXPIRING SOON","OK")))</f>
        <v/>
      </c>
      <c r="U924" s="24" t="str">
        <f aca="false">IF(AND(C924="Own",Q924="Active"),COUNTIFS($C$5:C924,"Own",$Q$5:Q924,"Active"),"")</f>
        <v/>
      </c>
      <c r="V924" s="26" t="str">
        <f aca="false">IF(C924&lt;&gt;"Own","",IF(K924="Hourly",N924,(L924+M924)/(Settings!$B$11*Settings!$B$12)))</f>
        <v/>
      </c>
    </row>
    <row r="925" customFormat="false" ht="15" hidden="false" customHeight="false" outlineLevel="0" collapsed="false">
      <c r="R925" s="25" t="str">
        <f aca="true">IF(I925="","",I925-TODAY())</f>
        <v/>
      </c>
      <c r="S925" s="25" t="str">
        <f aca="true">IF(J925="","",J925-TODAY())</f>
        <v/>
      </c>
      <c r="T925" s="24" t="str">
        <f aca="false">IF(A925="","",IF(OR(AND(R925&lt;&gt;"",R925&lt;0),AND(S925&lt;&gt;"",S925&lt;0)),"EXPIRED",IF(OR(AND(R925&lt;&gt;"",R925&lt;=Settings!$B$15),AND(S925&lt;&gt;"",S925&lt;=Settings!$B$15)),"EXPIRING SOON","OK")))</f>
        <v/>
      </c>
      <c r="U925" s="24" t="str">
        <f aca="false">IF(AND(C925="Own",Q925="Active"),COUNTIFS($C$5:C925,"Own",$Q$5:Q925,"Active"),"")</f>
        <v/>
      </c>
      <c r="V925" s="26" t="str">
        <f aca="false">IF(C925&lt;&gt;"Own","",IF(K925="Hourly",N925,(L925+M925)/(Settings!$B$11*Settings!$B$12)))</f>
        <v/>
      </c>
    </row>
    <row r="926" customFormat="false" ht="15" hidden="false" customHeight="false" outlineLevel="0" collapsed="false">
      <c r="R926" s="25" t="str">
        <f aca="true">IF(I926="","",I926-TODAY())</f>
        <v/>
      </c>
      <c r="S926" s="25" t="str">
        <f aca="true">IF(J926="","",J926-TODAY())</f>
        <v/>
      </c>
      <c r="T926" s="24" t="str">
        <f aca="false">IF(A926="","",IF(OR(AND(R926&lt;&gt;"",R926&lt;0),AND(S926&lt;&gt;"",S926&lt;0)),"EXPIRED",IF(OR(AND(R926&lt;&gt;"",R926&lt;=Settings!$B$15),AND(S926&lt;&gt;"",S926&lt;=Settings!$B$15)),"EXPIRING SOON","OK")))</f>
        <v/>
      </c>
      <c r="U926" s="24" t="str">
        <f aca="false">IF(AND(C926="Own",Q926="Active"),COUNTIFS($C$5:C926,"Own",$Q$5:Q926,"Active"),"")</f>
        <v/>
      </c>
      <c r="V926" s="26" t="str">
        <f aca="false">IF(C926&lt;&gt;"Own","",IF(K926="Hourly",N926,(L926+M926)/(Settings!$B$11*Settings!$B$12)))</f>
        <v/>
      </c>
    </row>
    <row r="927" customFormat="false" ht="15" hidden="false" customHeight="false" outlineLevel="0" collapsed="false">
      <c r="R927" s="25" t="str">
        <f aca="true">IF(I927="","",I927-TODAY())</f>
        <v/>
      </c>
      <c r="S927" s="25" t="str">
        <f aca="true">IF(J927="","",J927-TODAY())</f>
        <v/>
      </c>
      <c r="T927" s="24" t="str">
        <f aca="false">IF(A927="","",IF(OR(AND(R927&lt;&gt;"",R927&lt;0),AND(S927&lt;&gt;"",S927&lt;0)),"EXPIRED",IF(OR(AND(R927&lt;&gt;"",R927&lt;=Settings!$B$15),AND(S927&lt;&gt;"",S927&lt;=Settings!$B$15)),"EXPIRING SOON","OK")))</f>
        <v/>
      </c>
      <c r="U927" s="24" t="str">
        <f aca="false">IF(AND(C927="Own",Q927="Active"),COUNTIFS($C$5:C927,"Own",$Q$5:Q927,"Active"),"")</f>
        <v/>
      </c>
      <c r="V927" s="26" t="str">
        <f aca="false">IF(C927&lt;&gt;"Own","",IF(K927="Hourly",N927,(L927+M927)/(Settings!$B$11*Settings!$B$12)))</f>
        <v/>
      </c>
    </row>
    <row r="928" customFormat="false" ht="15" hidden="false" customHeight="false" outlineLevel="0" collapsed="false">
      <c r="R928" s="25" t="str">
        <f aca="true">IF(I928="","",I928-TODAY())</f>
        <v/>
      </c>
      <c r="S928" s="25" t="str">
        <f aca="true">IF(J928="","",J928-TODAY())</f>
        <v/>
      </c>
      <c r="T928" s="24" t="str">
        <f aca="false">IF(A928="","",IF(OR(AND(R928&lt;&gt;"",R928&lt;0),AND(S928&lt;&gt;"",S928&lt;0)),"EXPIRED",IF(OR(AND(R928&lt;&gt;"",R928&lt;=Settings!$B$15),AND(S928&lt;&gt;"",S928&lt;=Settings!$B$15)),"EXPIRING SOON","OK")))</f>
        <v/>
      </c>
      <c r="U928" s="24" t="str">
        <f aca="false">IF(AND(C928="Own",Q928="Active"),COUNTIFS($C$5:C928,"Own",$Q$5:Q928,"Active"),"")</f>
        <v/>
      </c>
      <c r="V928" s="26" t="str">
        <f aca="false">IF(C928&lt;&gt;"Own","",IF(K928="Hourly",N928,(L928+M928)/(Settings!$B$11*Settings!$B$12)))</f>
        <v/>
      </c>
    </row>
    <row r="929" customFormat="false" ht="15" hidden="false" customHeight="false" outlineLevel="0" collapsed="false">
      <c r="R929" s="25" t="str">
        <f aca="true">IF(I929="","",I929-TODAY())</f>
        <v/>
      </c>
      <c r="S929" s="25" t="str">
        <f aca="true">IF(J929="","",J929-TODAY())</f>
        <v/>
      </c>
      <c r="T929" s="24" t="str">
        <f aca="false">IF(A929="","",IF(OR(AND(R929&lt;&gt;"",R929&lt;0),AND(S929&lt;&gt;"",S929&lt;0)),"EXPIRED",IF(OR(AND(R929&lt;&gt;"",R929&lt;=Settings!$B$15),AND(S929&lt;&gt;"",S929&lt;=Settings!$B$15)),"EXPIRING SOON","OK")))</f>
        <v/>
      </c>
      <c r="U929" s="24" t="str">
        <f aca="false">IF(AND(C929="Own",Q929="Active"),COUNTIFS($C$5:C929,"Own",$Q$5:Q929,"Active"),"")</f>
        <v/>
      </c>
      <c r="V929" s="26" t="str">
        <f aca="false">IF(C929&lt;&gt;"Own","",IF(K929="Hourly",N929,(L929+M929)/(Settings!$B$11*Settings!$B$12)))</f>
        <v/>
      </c>
    </row>
    <row r="930" customFormat="false" ht="15" hidden="false" customHeight="false" outlineLevel="0" collapsed="false">
      <c r="R930" s="25" t="str">
        <f aca="true">IF(I930="","",I930-TODAY())</f>
        <v/>
      </c>
      <c r="S930" s="25" t="str">
        <f aca="true">IF(J930="","",J930-TODAY())</f>
        <v/>
      </c>
      <c r="T930" s="24" t="str">
        <f aca="false">IF(A930="","",IF(OR(AND(R930&lt;&gt;"",R930&lt;0),AND(S930&lt;&gt;"",S930&lt;0)),"EXPIRED",IF(OR(AND(R930&lt;&gt;"",R930&lt;=Settings!$B$15),AND(S930&lt;&gt;"",S930&lt;=Settings!$B$15)),"EXPIRING SOON","OK")))</f>
        <v/>
      </c>
      <c r="U930" s="24" t="str">
        <f aca="false">IF(AND(C930="Own",Q930="Active"),COUNTIFS($C$5:C930,"Own",$Q$5:Q930,"Active"),"")</f>
        <v/>
      </c>
      <c r="V930" s="26" t="str">
        <f aca="false">IF(C930&lt;&gt;"Own","",IF(K930="Hourly",N930,(L930+M930)/(Settings!$B$11*Settings!$B$12)))</f>
        <v/>
      </c>
    </row>
    <row r="931" customFormat="false" ht="15" hidden="false" customHeight="false" outlineLevel="0" collapsed="false">
      <c r="R931" s="25" t="str">
        <f aca="true">IF(I931="","",I931-TODAY())</f>
        <v/>
      </c>
      <c r="S931" s="25" t="str">
        <f aca="true">IF(J931="","",J931-TODAY())</f>
        <v/>
      </c>
      <c r="T931" s="24" t="str">
        <f aca="false">IF(A931="","",IF(OR(AND(R931&lt;&gt;"",R931&lt;0),AND(S931&lt;&gt;"",S931&lt;0)),"EXPIRED",IF(OR(AND(R931&lt;&gt;"",R931&lt;=Settings!$B$15),AND(S931&lt;&gt;"",S931&lt;=Settings!$B$15)),"EXPIRING SOON","OK")))</f>
        <v/>
      </c>
      <c r="U931" s="24" t="str">
        <f aca="false">IF(AND(C931="Own",Q931="Active"),COUNTIFS($C$5:C931,"Own",$Q$5:Q931,"Active"),"")</f>
        <v/>
      </c>
      <c r="V931" s="26" t="str">
        <f aca="false">IF(C931&lt;&gt;"Own","",IF(K931="Hourly",N931,(L931+M931)/(Settings!$B$11*Settings!$B$12)))</f>
        <v/>
      </c>
    </row>
    <row r="932" customFormat="false" ht="15" hidden="false" customHeight="false" outlineLevel="0" collapsed="false">
      <c r="R932" s="25" t="str">
        <f aca="true">IF(I932="","",I932-TODAY())</f>
        <v/>
      </c>
      <c r="S932" s="25" t="str">
        <f aca="true">IF(J932="","",J932-TODAY())</f>
        <v/>
      </c>
      <c r="T932" s="24" t="str">
        <f aca="false">IF(A932="","",IF(OR(AND(R932&lt;&gt;"",R932&lt;0),AND(S932&lt;&gt;"",S932&lt;0)),"EXPIRED",IF(OR(AND(R932&lt;&gt;"",R932&lt;=Settings!$B$15),AND(S932&lt;&gt;"",S932&lt;=Settings!$B$15)),"EXPIRING SOON","OK")))</f>
        <v/>
      </c>
      <c r="U932" s="24" t="str">
        <f aca="false">IF(AND(C932="Own",Q932="Active"),COUNTIFS($C$5:C932,"Own",$Q$5:Q932,"Active"),"")</f>
        <v/>
      </c>
      <c r="V932" s="26" t="str">
        <f aca="false">IF(C932&lt;&gt;"Own","",IF(K932="Hourly",N932,(L932+M932)/(Settings!$B$11*Settings!$B$12)))</f>
        <v/>
      </c>
    </row>
    <row r="933" customFormat="false" ht="15" hidden="false" customHeight="false" outlineLevel="0" collapsed="false">
      <c r="R933" s="25" t="str">
        <f aca="true">IF(I933="","",I933-TODAY())</f>
        <v/>
      </c>
      <c r="S933" s="25" t="str">
        <f aca="true">IF(J933="","",J933-TODAY())</f>
        <v/>
      </c>
      <c r="T933" s="24" t="str">
        <f aca="false">IF(A933="","",IF(OR(AND(R933&lt;&gt;"",R933&lt;0),AND(S933&lt;&gt;"",S933&lt;0)),"EXPIRED",IF(OR(AND(R933&lt;&gt;"",R933&lt;=Settings!$B$15),AND(S933&lt;&gt;"",S933&lt;=Settings!$B$15)),"EXPIRING SOON","OK")))</f>
        <v/>
      </c>
      <c r="U933" s="24" t="str">
        <f aca="false">IF(AND(C933="Own",Q933="Active"),COUNTIFS($C$5:C933,"Own",$Q$5:Q933,"Active"),"")</f>
        <v/>
      </c>
      <c r="V933" s="26" t="str">
        <f aca="false">IF(C933&lt;&gt;"Own","",IF(K933="Hourly",N933,(L933+M933)/(Settings!$B$11*Settings!$B$12)))</f>
        <v/>
      </c>
    </row>
    <row r="934" customFormat="false" ht="15" hidden="false" customHeight="false" outlineLevel="0" collapsed="false">
      <c r="R934" s="25" t="str">
        <f aca="true">IF(I934="","",I934-TODAY())</f>
        <v/>
      </c>
      <c r="S934" s="25" t="str">
        <f aca="true">IF(J934="","",J934-TODAY())</f>
        <v/>
      </c>
      <c r="T934" s="24" t="str">
        <f aca="false">IF(A934="","",IF(OR(AND(R934&lt;&gt;"",R934&lt;0),AND(S934&lt;&gt;"",S934&lt;0)),"EXPIRED",IF(OR(AND(R934&lt;&gt;"",R934&lt;=Settings!$B$15),AND(S934&lt;&gt;"",S934&lt;=Settings!$B$15)),"EXPIRING SOON","OK")))</f>
        <v/>
      </c>
      <c r="U934" s="24" t="str">
        <f aca="false">IF(AND(C934="Own",Q934="Active"),COUNTIFS($C$5:C934,"Own",$Q$5:Q934,"Active"),"")</f>
        <v/>
      </c>
      <c r="V934" s="26" t="str">
        <f aca="false">IF(C934&lt;&gt;"Own","",IF(K934="Hourly",N934,(L934+M934)/(Settings!$B$11*Settings!$B$12)))</f>
        <v/>
      </c>
    </row>
    <row r="935" customFormat="false" ht="15" hidden="false" customHeight="false" outlineLevel="0" collapsed="false">
      <c r="R935" s="25" t="str">
        <f aca="true">IF(I935="","",I935-TODAY())</f>
        <v/>
      </c>
      <c r="S935" s="25" t="str">
        <f aca="true">IF(J935="","",J935-TODAY())</f>
        <v/>
      </c>
      <c r="T935" s="24" t="str">
        <f aca="false">IF(A935="","",IF(OR(AND(R935&lt;&gt;"",R935&lt;0),AND(S935&lt;&gt;"",S935&lt;0)),"EXPIRED",IF(OR(AND(R935&lt;&gt;"",R935&lt;=Settings!$B$15),AND(S935&lt;&gt;"",S935&lt;=Settings!$B$15)),"EXPIRING SOON","OK")))</f>
        <v/>
      </c>
      <c r="U935" s="24" t="str">
        <f aca="false">IF(AND(C935="Own",Q935="Active"),COUNTIFS($C$5:C935,"Own",$Q$5:Q935,"Active"),"")</f>
        <v/>
      </c>
      <c r="V935" s="26" t="str">
        <f aca="false">IF(C935&lt;&gt;"Own","",IF(K935="Hourly",N935,(L935+M935)/(Settings!$B$11*Settings!$B$12)))</f>
        <v/>
      </c>
    </row>
    <row r="936" customFormat="false" ht="15" hidden="false" customHeight="false" outlineLevel="0" collapsed="false">
      <c r="R936" s="25" t="str">
        <f aca="true">IF(I936="","",I936-TODAY())</f>
        <v/>
      </c>
      <c r="S936" s="25" t="str">
        <f aca="true">IF(J936="","",J936-TODAY())</f>
        <v/>
      </c>
      <c r="T936" s="24" t="str">
        <f aca="false">IF(A936="","",IF(OR(AND(R936&lt;&gt;"",R936&lt;0),AND(S936&lt;&gt;"",S936&lt;0)),"EXPIRED",IF(OR(AND(R936&lt;&gt;"",R936&lt;=Settings!$B$15),AND(S936&lt;&gt;"",S936&lt;=Settings!$B$15)),"EXPIRING SOON","OK")))</f>
        <v/>
      </c>
      <c r="U936" s="24" t="str">
        <f aca="false">IF(AND(C936="Own",Q936="Active"),COUNTIFS($C$5:C936,"Own",$Q$5:Q936,"Active"),"")</f>
        <v/>
      </c>
      <c r="V936" s="26" t="str">
        <f aca="false">IF(C936&lt;&gt;"Own","",IF(K936="Hourly",N936,(L936+M936)/(Settings!$B$11*Settings!$B$12)))</f>
        <v/>
      </c>
    </row>
    <row r="937" customFormat="false" ht="15" hidden="false" customHeight="false" outlineLevel="0" collapsed="false">
      <c r="R937" s="25" t="str">
        <f aca="true">IF(I937="","",I937-TODAY())</f>
        <v/>
      </c>
      <c r="S937" s="25" t="str">
        <f aca="true">IF(J937="","",J937-TODAY())</f>
        <v/>
      </c>
      <c r="T937" s="24" t="str">
        <f aca="false">IF(A937="","",IF(OR(AND(R937&lt;&gt;"",R937&lt;0),AND(S937&lt;&gt;"",S937&lt;0)),"EXPIRED",IF(OR(AND(R937&lt;&gt;"",R937&lt;=Settings!$B$15),AND(S937&lt;&gt;"",S937&lt;=Settings!$B$15)),"EXPIRING SOON","OK")))</f>
        <v/>
      </c>
      <c r="U937" s="24" t="str">
        <f aca="false">IF(AND(C937="Own",Q937="Active"),COUNTIFS($C$5:C937,"Own",$Q$5:Q937,"Active"),"")</f>
        <v/>
      </c>
      <c r="V937" s="26" t="str">
        <f aca="false">IF(C937&lt;&gt;"Own","",IF(K937="Hourly",N937,(L937+M937)/(Settings!$B$11*Settings!$B$12)))</f>
        <v/>
      </c>
    </row>
    <row r="938" customFormat="false" ht="15" hidden="false" customHeight="false" outlineLevel="0" collapsed="false">
      <c r="R938" s="25" t="str">
        <f aca="true">IF(I938="","",I938-TODAY())</f>
        <v/>
      </c>
      <c r="S938" s="25" t="str">
        <f aca="true">IF(J938="","",J938-TODAY())</f>
        <v/>
      </c>
      <c r="T938" s="24" t="str">
        <f aca="false">IF(A938="","",IF(OR(AND(R938&lt;&gt;"",R938&lt;0),AND(S938&lt;&gt;"",S938&lt;0)),"EXPIRED",IF(OR(AND(R938&lt;&gt;"",R938&lt;=Settings!$B$15),AND(S938&lt;&gt;"",S938&lt;=Settings!$B$15)),"EXPIRING SOON","OK")))</f>
        <v/>
      </c>
      <c r="U938" s="24" t="str">
        <f aca="false">IF(AND(C938="Own",Q938="Active"),COUNTIFS($C$5:C938,"Own",$Q$5:Q938,"Active"),"")</f>
        <v/>
      </c>
      <c r="V938" s="26" t="str">
        <f aca="false">IF(C938&lt;&gt;"Own","",IF(K938="Hourly",N938,(L938+M938)/(Settings!$B$11*Settings!$B$12)))</f>
        <v/>
      </c>
    </row>
    <row r="939" customFormat="false" ht="15" hidden="false" customHeight="false" outlineLevel="0" collapsed="false">
      <c r="R939" s="25" t="str">
        <f aca="true">IF(I939="","",I939-TODAY())</f>
        <v/>
      </c>
      <c r="S939" s="25" t="str">
        <f aca="true">IF(J939="","",J939-TODAY())</f>
        <v/>
      </c>
      <c r="T939" s="24" t="str">
        <f aca="false">IF(A939="","",IF(OR(AND(R939&lt;&gt;"",R939&lt;0),AND(S939&lt;&gt;"",S939&lt;0)),"EXPIRED",IF(OR(AND(R939&lt;&gt;"",R939&lt;=Settings!$B$15),AND(S939&lt;&gt;"",S939&lt;=Settings!$B$15)),"EXPIRING SOON","OK")))</f>
        <v/>
      </c>
      <c r="U939" s="24" t="str">
        <f aca="false">IF(AND(C939="Own",Q939="Active"),COUNTIFS($C$5:C939,"Own",$Q$5:Q939,"Active"),"")</f>
        <v/>
      </c>
      <c r="V939" s="26" t="str">
        <f aca="false">IF(C939&lt;&gt;"Own","",IF(K939="Hourly",N939,(L939+M939)/(Settings!$B$11*Settings!$B$12)))</f>
        <v/>
      </c>
    </row>
    <row r="940" customFormat="false" ht="15" hidden="false" customHeight="false" outlineLevel="0" collapsed="false">
      <c r="R940" s="25" t="str">
        <f aca="true">IF(I940="","",I940-TODAY())</f>
        <v/>
      </c>
      <c r="S940" s="25" t="str">
        <f aca="true">IF(J940="","",J940-TODAY())</f>
        <v/>
      </c>
      <c r="T940" s="24" t="str">
        <f aca="false">IF(A940="","",IF(OR(AND(R940&lt;&gt;"",R940&lt;0),AND(S940&lt;&gt;"",S940&lt;0)),"EXPIRED",IF(OR(AND(R940&lt;&gt;"",R940&lt;=Settings!$B$15),AND(S940&lt;&gt;"",S940&lt;=Settings!$B$15)),"EXPIRING SOON","OK")))</f>
        <v/>
      </c>
      <c r="U940" s="24" t="str">
        <f aca="false">IF(AND(C940="Own",Q940="Active"),COUNTIFS($C$5:C940,"Own",$Q$5:Q940,"Active"),"")</f>
        <v/>
      </c>
      <c r="V940" s="26" t="str">
        <f aca="false">IF(C940&lt;&gt;"Own","",IF(K940="Hourly",N940,(L940+M940)/(Settings!$B$11*Settings!$B$12)))</f>
        <v/>
      </c>
    </row>
    <row r="941" customFormat="false" ht="15" hidden="false" customHeight="false" outlineLevel="0" collapsed="false">
      <c r="R941" s="25" t="str">
        <f aca="true">IF(I941="","",I941-TODAY())</f>
        <v/>
      </c>
      <c r="S941" s="25" t="str">
        <f aca="true">IF(J941="","",J941-TODAY())</f>
        <v/>
      </c>
      <c r="T941" s="24" t="str">
        <f aca="false">IF(A941="","",IF(OR(AND(R941&lt;&gt;"",R941&lt;0),AND(S941&lt;&gt;"",S941&lt;0)),"EXPIRED",IF(OR(AND(R941&lt;&gt;"",R941&lt;=Settings!$B$15),AND(S941&lt;&gt;"",S941&lt;=Settings!$B$15)),"EXPIRING SOON","OK")))</f>
        <v/>
      </c>
      <c r="U941" s="24" t="str">
        <f aca="false">IF(AND(C941="Own",Q941="Active"),COUNTIFS($C$5:C941,"Own",$Q$5:Q941,"Active"),"")</f>
        <v/>
      </c>
      <c r="V941" s="26" t="str">
        <f aca="false">IF(C941&lt;&gt;"Own","",IF(K941="Hourly",N941,(L941+M941)/(Settings!$B$11*Settings!$B$12)))</f>
        <v/>
      </c>
    </row>
    <row r="942" customFormat="false" ht="15" hidden="false" customHeight="false" outlineLevel="0" collapsed="false">
      <c r="R942" s="25" t="str">
        <f aca="true">IF(I942="","",I942-TODAY())</f>
        <v/>
      </c>
      <c r="S942" s="25" t="str">
        <f aca="true">IF(J942="","",J942-TODAY())</f>
        <v/>
      </c>
      <c r="T942" s="24" t="str">
        <f aca="false">IF(A942="","",IF(OR(AND(R942&lt;&gt;"",R942&lt;0),AND(S942&lt;&gt;"",S942&lt;0)),"EXPIRED",IF(OR(AND(R942&lt;&gt;"",R942&lt;=Settings!$B$15),AND(S942&lt;&gt;"",S942&lt;=Settings!$B$15)),"EXPIRING SOON","OK")))</f>
        <v/>
      </c>
      <c r="U942" s="24" t="str">
        <f aca="false">IF(AND(C942="Own",Q942="Active"),COUNTIFS($C$5:C942,"Own",$Q$5:Q942,"Active"),"")</f>
        <v/>
      </c>
      <c r="V942" s="26" t="str">
        <f aca="false">IF(C942&lt;&gt;"Own","",IF(K942="Hourly",N942,(L942+M942)/(Settings!$B$11*Settings!$B$12)))</f>
        <v/>
      </c>
    </row>
    <row r="943" customFormat="false" ht="15" hidden="false" customHeight="false" outlineLevel="0" collapsed="false">
      <c r="R943" s="25" t="str">
        <f aca="true">IF(I943="","",I943-TODAY())</f>
        <v/>
      </c>
      <c r="S943" s="25" t="str">
        <f aca="true">IF(J943="","",J943-TODAY())</f>
        <v/>
      </c>
      <c r="T943" s="24" t="str">
        <f aca="false">IF(A943="","",IF(OR(AND(R943&lt;&gt;"",R943&lt;0),AND(S943&lt;&gt;"",S943&lt;0)),"EXPIRED",IF(OR(AND(R943&lt;&gt;"",R943&lt;=Settings!$B$15),AND(S943&lt;&gt;"",S943&lt;=Settings!$B$15)),"EXPIRING SOON","OK")))</f>
        <v/>
      </c>
      <c r="U943" s="24" t="str">
        <f aca="false">IF(AND(C943="Own",Q943="Active"),COUNTIFS($C$5:C943,"Own",$Q$5:Q943,"Active"),"")</f>
        <v/>
      </c>
      <c r="V943" s="26" t="str">
        <f aca="false">IF(C943&lt;&gt;"Own","",IF(K943="Hourly",N943,(L943+M943)/(Settings!$B$11*Settings!$B$12)))</f>
        <v/>
      </c>
    </row>
    <row r="944" customFormat="false" ht="15" hidden="false" customHeight="false" outlineLevel="0" collapsed="false">
      <c r="R944" s="25" t="str">
        <f aca="true">IF(I944="","",I944-TODAY())</f>
        <v/>
      </c>
      <c r="S944" s="25" t="str">
        <f aca="true">IF(J944="","",J944-TODAY())</f>
        <v/>
      </c>
      <c r="T944" s="24" t="str">
        <f aca="false">IF(A944="","",IF(OR(AND(R944&lt;&gt;"",R944&lt;0),AND(S944&lt;&gt;"",S944&lt;0)),"EXPIRED",IF(OR(AND(R944&lt;&gt;"",R944&lt;=Settings!$B$15),AND(S944&lt;&gt;"",S944&lt;=Settings!$B$15)),"EXPIRING SOON","OK")))</f>
        <v/>
      </c>
      <c r="U944" s="24" t="str">
        <f aca="false">IF(AND(C944="Own",Q944="Active"),COUNTIFS($C$5:C944,"Own",$Q$5:Q944,"Active"),"")</f>
        <v/>
      </c>
      <c r="V944" s="26" t="str">
        <f aca="false">IF(C944&lt;&gt;"Own","",IF(K944="Hourly",N944,(L944+M944)/(Settings!$B$11*Settings!$B$12)))</f>
        <v/>
      </c>
    </row>
    <row r="945" customFormat="false" ht="15" hidden="false" customHeight="false" outlineLevel="0" collapsed="false">
      <c r="R945" s="25" t="str">
        <f aca="true">IF(I945="","",I945-TODAY())</f>
        <v/>
      </c>
      <c r="S945" s="25" t="str">
        <f aca="true">IF(J945="","",J945-TODAY())</f>
        <v/>
      </c>
      <c r="T945" s="24" t="str">
        <f aca="false">IF(A945="","",IF(OR(AND(R945&lt;&gt;"",R945&lt;0),AND(S945&lt;&gt;"",S945&lt;0)),"EXPIRED",IF(OR(AND(R945&lt;&gt;"",R945&lt;=Settings!$B$15),AND(S945&lt;&gt;"",S945&lt;=Settings!$B$15)),"EXPIRING SOON","OK")))</f>
        <v/>
      </c>
      <c r="U945" s="24" t="str">
        <f aca="false">IF(AND(C945="Own",Q945="Active"),COUNTIFS($C$5:C945,"Own",$Q$5:Q945,"Active"),"")</f>
        <v/>
      </c>
      <c r="V945" s="26" t="str">
        <f aca="false">IF(C945&lt;&gt;"Own","",IF(K945="Hourly",N945,(L945+M945)/(Settings!$B$11*Settings!$B$12)))</f>
        <v/>
      </c>
    </row>
    <row r="946" customFormat="false" ht="15" hidden="false" customHeight="false" outlineLevel="0" collapsed="false">
      <c r="R946" s="25" t="str">
        <f aca="true">IF(I946="","",I946-TODAY())</f>
        <v/>
      </c>
      <c r="S946" s="25" t="str">
        <f aca="true">IF(J946="","",J946-TODAY())</f>
        <v/>
      </c>
      <c r="T946" s="24" t="str">
        <f aca="false">IF(A946="","",IF(OR(AND(R946&lt;&gt;"",R946&lt;0),AND(S946&lt;&gt;"",S946&lt;0)),"EXPIRED",IF(OR(AND(R946&lt;&gt;"",R946&lt;=Settings!$B$15),AND(S946&lt;&gt;"",S946&lt;=Settings!$B$15)),"EXPIRING SOON","OK")))</f>
        <v/>
      </c>
      <c r="U946" s="24" t="str">
        <f aca="false">IF(AND(C946="Own",Q946="Active"),COUNTIFS($C$5:C946,"Own",$Q$5:Q946,"Active"),"")</f>
        <v/>
      </c>
      <c r="V946" s="26" t="str">
        <f aca="false">IF(C946&lt;&gt;"Own","",IF(K946="Hourly",N946,(L946+M946)/(Settings!$B$11*Settings!$B$12)))</f>
        <v/>
      </c>
    </row>
    <row r="947" customFormat="false" ht="15" hidden="false" customHeight="false" outlineLevel="0" collapsed="false">
      <c r="R947" s="25" t="str">
        <f aca="true">IF(I947="","",I947-TODAY())</f>
        <v/>
      </c>
      <c r="S947" s="25" t="str">
        <f aca="true">IF(J947="","",J947-TODAY())</f>
        <v/>
      </c>
      <c r="T947" s="24" t="str">
        <f aca="false">IF(A947="","",IF(OR(AND(R947&lt;&gt;"",R947&lt;0),AND(S947&lt;&gt;"",S947&lt;0)),"EXPIRED",IF(OR(AND(R947&lt;&gt;"",R947&lt;=Settings!$B$15),AND(S947&lt;&gt;"",S947&lt;=Settings!$B$15)),"EXPIRING SOON","OK")))</f>
        <v/>
      </c>
      <c r="U947" s="24" t="str">
        <f aca="false">IF(AND(C947="Own",Q947="Active"),COUNTIFS($C$5:C947,"Own",$Q$5:Q947,"Active"),"")</f>
        <v/>
      </c>
      <c r="V947" s="26" t="str">
        <f aca="false">IF(C947&lt;&gt;"Own","",IF(K947="Hourly",N947,(L947+M947)/(Settings!$B$11*Settings!$B$12)))</f>
        <v/>
      </c>
    </row>
    <row r="948" customFormat="false" ht="15" hidden="false" customHeight="false" outlineLevel="0" collapsed="false">
      <c r="R948" s="25" t="str">
        <f aca="true">IF(I948="","",I948-TODAY())</f>
        <v/>
      </c>
      <c r="S948" s="25" t="str">
        <f aca="true">IF(J948="","",J948-TODAY())</f>
        <v/>
      </c>
      <c r="T948" s="24" t="str">
        <f aca="false">IF(A948="","",IF(OR(AND(R948&lt;&gt;"",R948&lt;0),AND(S948&lt;&gt;"",S948&lt;0)),"EXPIRED",IF(OR(AND(R948&lt;&gt;"",R948&lt;=Settings!$B$15),AND(S948&lt;&gt;"",S948&lt;=Settings!$B$15)),"EXPIRING SOON","OK")))</f>
        <v/>
      </c>
      <c r="U948" s="24" t="str">
        <f aca="false">IF(AND(C948="Own",Q948="Active"),COUNTIFS($C$5:C948,"Own",$Q$5:Q948,"Active"),"")</f>
        <v/>
      </c>
      <c r="V948" s="26" t="str">
        <f aca="false">IF(C948&lt;&gt;"Own","",IF(K948="Hourly",N948,(L948+M948)/(Settings!$B$11*Settings!$B$12)))</f>
        <v/>
      </c>
    </row>
    <row r="949" customFormat="false" ht="15" hidden="false" customHeight="false" outlineLevel="0" collapsed="false">
      <c r="R949" s="25" t="str">
        <f aca="true">IF(I949="","",I949-TODAY())</f>
        <v/>
      </c>
      <c r="S949" s="25" t="str">
        <f aca="true">IF(J949="","",J949-TODAY())</f>
        <v/>
      </c>
      <c r="T949" s="24" t="str">
        <f aca="false">IF(A949="","",IF(OR(AND(R949&lt;&gt;"",R949&lt;0),AND(S949&lt;&gt;"",S949&lt;0)),"EXPIRED",IF(OR(AND(R949&lt;&gt;"",R949&lt;=Settings!$B$15),AND(S949&lt;&gt;"",S949&lt;=Settings!$B$15)),"EXPIRING SOON","OK")))</f>
        <v/>
      </c>
      <c r="U949" s="24" t="str">
        <f aca="false">IF(AND(C949="Own",Q949="Active"),COUNTIFS($C$5:C949,"Own",$Q$5:Q949,"Active"),"")</f>
        <v/>
      </c>
      <c r="V949" s="26" t="str">
        <f aca="false">IF(C949&lt;&gt;"Own","",IF(K949="Hourly",N949,(L949+M949)/(Settings!$B$11*Settings!$B$12)))</f>
        <v/>
      </c>
    </row>
    <row r="950" customFormat="false" ht="15" hidden="false" customHeight="false" outlineLevel="0" collapsed="false">
      <c r="R950" s="25" t="str">
        <f aca="true">IF(I950="","",I950-TODAY())</f>
        <v/>
      </c>
      <c r="S950" s="25" t="str">
        <f aca="true">IF(J950="","",J950-TODAY())</f>
        <v/>
      </c>
      <c r="T950" s="24" t="str">
        <f aca="false">IF(A950="","",IF(OR(AND(R950&lt;&gt;"",R950&lt;0),AND(S950&lt;&gt;"",S950&lt;0)),"EXPIRED",IF(OR(AND(R950&lt;&gt;"",R950&lt;=Settings!$B$15),AND(S950&lt;&gt;"",S950&lt;=Settings!$B$15)),"EXPIRING SOON","OK")))</f>
        <v/>
      </c>
      <c r="U950" s="24" t="str">
        <f aca="false">IF(AND(C950="Own",Q950="Active"),COUNTIFS($C$5:C950,"Own",$Q$5:Q950,"Active"),"")</f>
        <v/>
      </c>
      <c r="V950" s="26" t="str">
        <f aca="false">IF(C950&lt;&gt;"Own","",IF(K950="Hourly",N950,(L950+M950)/(Settings!$B$11*Settings!$B$12)))</f>
        <v/>
      </c>
    </row>
    <row r="951" customFormat="false" ht="15" hidden="false" customHeight="false" outlineLevel="0" collapsed="false">
      <c r="R951" s="25" t="str">
        <f aca="true">IF(I951="","",I951-TODAY())</f>
        <v/>
      </c>
      <c r="S951" s="25" t="str">
        <f aca="true">IF(J951="","",J951-TODAY())</f>
        <v/>
      </c>
      <c r="T951" s="24" t="str">
        <f aca="false">IF(A951="","",IF(OR(AND(R951&lt;&gt;"",R951&lt;0),AND(S951&lt;&gt;"",S951&lt;0)),"EXPIRED",IF(OR(AND(R951&lt;&gt;"",R951&lt;=Settings!$B$15),AND(S951&lt;&gt;"",S951&lt;=Settings!$B$15)),"EXPIRING SOON","OK")))</f>
        <v/>
      </c>
      <c r="U951" s="24" t="str">
        <f aca="false">IF(AND(C951="Own",Q951="Active"),COUNTIFS($C$5:C951,"Own",$Q$5:Q951,"Active"),"")</f>
        <v/>
      </c>
      <c r="V951" s="26" t="str">
        <f aca="false">IF(C951&lt;&gt;"Own","",IF(K951="Hourly",N951,(L951+M951)/(Settings!$B$11*Settings!$B$12)))</f>
        <v/>
      </c>
    </row>
    <row r="952" customFormat="false" ht="15" hidden="false" customHeight="false" outlineLevel="0" collapsed="false">
      <c r="R952" s="25" t="str">
        <f aca="true">IF(I952="","",I952-TODAY())</f>
        <v/>
      </c>
      <c r="S952" s="25" t="str">
        <f aca="true">IF(J952="","",J952-TODAY())</f>
        <v/>
      </c>
      <c r="T952" s="24" t="str">
        <f aca="false">IF(A952="","",IF(OR(AND(R952&lt;&gt;"",R952&lt;0),AND(S952&lt;&gt;"",S952&lt;0)),"EXPIRED",IF(OR(AND(R952&lt;&gt;"",R952&lt;=Settings!$B$15),AND(S952&lt;&gt;"",S952&lt;=Settings!$B$15)),"EXPIRING SOON","OK")))</f>
        <v/>
      </c>
      <c r="U952" s="24" t="str">
        <f aca="false">IF(AND(C952="Own",Q952="Active"),COUNTIFS($C$5:C952,"Own",$Q$5:Q952,"Active"),"")</f>
        <v/>
      </c>
      <c r="V952" s="26" t="str">
        <f aca="false">IF(C952&lt;&gt;"Own","",IF(K952="Hourly",N952,(L952+M952)/(Settings!$B$11*Settings!$B$12)))</f>
        <v/>
      </c>
    </row>
    <row r="953" customFormat="false" ht="15" hidden="false" customHeight="false" outlineLevel="0" collapsed="false">
      <c r="R953" s="25" t="str">
        <f aca="true">IF(I953="","",I953-TODAY())</f>
        <v/>
      </c>
      <c r="S953" s="25" t="str">
        <f aca="true">IF(J953="","",J953-TODAY())</f>
        <v/>
      </c>
      <c r="T953" s="24" t="str">
        <f aca="false">IF(A953="","",IF(OR(AND(R953&lt;&gt;"",R953&lt;0),AND(S953&lt;&gt;"",S953&lt;0)),"EXPIRED",IF(OR(AND(R953&lt;&gt;"",R953&lt;=Settings!$B$15),AND(S953&lt;&gt;"",S953&lt;=Settings!$B$15)),"EXPIRING SOON","OK")))</f>
        <v/>
      </c>
      <c r="U953" s="24" t="str">
        <f aca="false">IF(AND(C953="Own",Q953="Active"),COUNTIFS($C$5:C953,"Own",$Q$5:Q953,"Active"),"")</f>
        <v/>
      </c>
      <c r="V953" s="26" t="str">
        <f aca="false">IF(C953&lt;&gt;"Own","",IF(K953="Hourly",N953,(L953+M953)/(Settings!$B$11*Settings!$B$12)))</f>
        <v/>
      </c>
    </row>
    <row r="954" customFormat="false" ht="15" hidden="false" customHeight="false" outlineLevel="0" collapsed="false">
      <c r="R954" s="25" t="str">
        <f aca="true">IF(I954="","",I954-TODAY())</f>
        <v/>
      </c>
      <c r="S954" s="25" t="str">
        <f aca="true">IF(J954="","",J954-TODAY())</f>
        <v/>
      </c>
      <c r="T954" s="24" t="str">
        <f aca="false">IF(A954="","",IF(OR(AND(R954&lt;&gt;"",R954&lt;0),AND(S954&lt;&gt;"",S954&lt;0)),"EXPIRED",IF(OR(AND(R954&lt;&gt;"",R954&lt;=Settings!$B$15),AND(S954&lt;&gt;"",S954&lt;=Settings!$B$15)),"EXPIRING SOON","OK")))</f>
        <v/>
      </c>
      <c r="U954" s="24" t="str">
        <f aca="false">IF(AND(C954="Own",Q954="Active"),COUNTIFS($C$5:C954,"Own",$Q$5:Q954,"Active"),"")</f>
        <v/>
      </c>
      <c r="V954" s="26" t="str">
        <f aca="false">IF(C954&lt;&gt;"Own","",IF(K954="Hourly",N954,(L954+M954)/(Settings!$B$11*Settings!$B$12)))</f>
        <v/>
      </c>
    </row>
    <row r="955" customFormat="false" ht="15" hidden="false" customHeight="false" outlineLevel="0" collapsed="false">
      <c r="R955" s="25" t="str">
        <f aca="true">IF(I955="","",I955-TODAY())</f>
        <v/>
      </c>
      <c r="S955" s="25" t="str">
        <f aca="true">IF(J955="","",J955-TODAY())</f>
        <v/>
      </c>
      <c r="T955" s="24" t="str">
        <f aca="false">IF(A955="","",IF(OR(AND(R955&lt;&gt;"",R955&lt;0),AND(S955&lt;&gt;"",S955&lt;0)),"EXPIRED",IF(OR(AND(R955&lt;&gt;"",R955&lt;=Settings!$B$15),AND(S955&lt;&gt;"",S955&lt;=Settings!$B$15)),"EXPIRING SOON","OK")))</f>
        <v/>
      </c>
      <c r="U955" s="24" t="str">
        <f aca="false">IF(AND(C955="Own",Q955="Active"),COUNTIFS($C$5:C955,"Own",$Q$5:Q955,"Active"),"")</f>
        <v/>
      </c>
      <c r="V955" s="26" t="str">
        <f aca="false">IF(C955&lt;&gt;"Own","",IF(K955="Hourly",N955,(L955+M955)/(Settings!$B$11*Settings!$B$12)))</f>
        <v/>
      </c>
    </row>
    <row r="956" customFormat="false" ht="15" hidden="false" customHeight="false" outlineLevel="0" collapsed="false">
      <c r="R956" s="25" t="str">
        <f aca="true">IF(I956="","",I956-TODAY())</f>
        <v/>
      </c>
      <c r="S956" s="25" t="str">
        <f aca="true">IF(J956="","",J956-TODAY())</f>
        <v/>
      </c>
      <c r="T956" s="24" t="str">
        <f aca="false">IF(A956="","",IF(OR(AND(R956&lt;&gt;"",R956&lt;0),AND(S956&lt;&gt;"",S956&lt;0)),"EXPIRED",IF(OR(AND(R956&lt;&gt;"",R956&lt;=Settings!$B$15),AND(S956&lt;&gt;"",S956&lt;=Settings!$B$15)),"EXPIRING SOON","OK")))</f>
        <v/>
      </c>
      <c r="U956" s="24" t="str">
        <f aca="false">IF(AND(C956="Own",Q956="Active"),COUNTIFS($C$5:C956,"Own",$Q$5:Q956,"Active"),"")</f>
        <v/>
      </c>
      <c r="V956" s="26" t="str">
        <f aca="false">IF(C956&lt;&gt;"Own","",IF(K956="Hourly",N956,(L956+M956)/(Settings!$B$11*Settings!$B$12)))</f>
        <v/>
      </c>
    </row>
    <row r="957" customFormat="false" ht="15" hidden="false" customHeight="false" outlineLevel="0" collapsed="false">
      <c r="R957" s="25" t="str">
        <f aca="true">IF(I957="","",I957-TODAY())</f>
        <v/>
      </c>
      <c r="S957" s="25" t="str">
        <f aca="true">IF(J957="","",J957-TODAY())</f>
        <v/>
      </c>
      <c r="T957" s="24" t="str">
        <f aca="false">IF(A957="","",IF(OR(AND(R957&lt;&gt;"",R957&lt;0),AND(S957&lt;&gt;"",S957&lt;0)),"EXPIRED",IF(OR(AND(R957&lt;&gt;"",R957&lt;=Settings!$B$15),AND(S957&lt;&gt;"",S957&lt;=Settings!$B$15)),"EXPIRING SOON","OK")))</f>
        <v/>
      </c>
      <c r="U957" s="24" t="str">
        <f aca="false">IF(AND(C957="Own",Q957="Active"),COUNTIFS($C$5:C957,"Own",$Q$5:Q957,"Active"),"")</f>
        <v/>
      </c>
      <c r="V957" s="26" t="str">
        <f aca="false">IF(C957&lt;&gt;"Own","",IF(K957="Hourly",N957,(L957+M957)/(Settings!$B$11*Settings!$B$12)))</f>
        <v/>
      </c>
    </row>
    <row r="958" customFormat="false" ht="15" hidden="false" customHeight="false" outlineLevel="0" collapsed="false">
      <c r="R958" s="25" t="str">
        <f aca="true">IF(I958="","",I958-TODAY())</f>
        <v/>
      </c>
      <c r="S958" s="25" t="str">
        <f aca="true">IF(J958="","",J958-TODAY())</f>
        <v/>
      </c>
      <c r="T958" s="24" t="str">
        <f aca="false">IF(A958="","",IF(OR(AND(R958&lt;&gt;"",R958&lt;0),AND(S958&lt;&gt;"",S958&lt;0)),"EXPIRED",IF(OR(AND(R958&lt;&gt;"",R958&lt;=Settings!$B$15),AND(S958&lt;&gt;"",S958&lt;=Settings!$B$15)),"EXPIRING SOON","OK")))</f>
        <v/>
      </c>
      <c r="U958" s="24" t="str">
        <f aca="false">IF(AND(C958="Own",Q958="Active"),COUNTIFS($C$5:C958,"Own",$Q$5:Q958,"Active"),"")</f>
        <v/>
      </c>
      <c r="V958" s="26" t="str">
        <f aca="false">IF(C958&lt;&gt;"Own","",IF(K958="Hourly",N958,(L958+M958)/(Settings!$B$11*Settings!$B$12)))</f>
        <v/>
      </c>
    </row>
    <row r="959" customFormat="false" ht="15" hidden="false" customHeight="false" outlineLevel="0" collapsed="false">
      <c r="R959" s="25" t="str">
        <f aca="true">IF(I959="","",I959-TODAY())</f>
        <v/>
      </c>
      <c r="S959" s="25" t="str">
        <f aca="true">IF(J959="","",J959-TODAY())</f>
        <v/>
      </c>
      <c r="T959" s="24" t="str">
        <f aca="false">IF(A959="","",IF(OR(AND(R959&lt;&gt;"",R959&lt;0),AND(S959&lt;&gt;"",S959&lt;0)),"EXPIRED",IF(OR(AND(R959&lt;&gt;"",R959&lt;=Settings!$B$15),AND(S959&lt;&gt;"",S959&lt;=Settings!$B$15)),"EXPIRING SOON","OK")))</f>
        <v/>
      </c>
      <c r="U959" s="24" t="str">
        <f aca="false">IF(AND(C959="Own",Q959="Active"),COUNTIFS($C$5:C959,"Own",$Q$5:Q959,"Active"),"")</f>
        <v/>
      </c>
      <c r="V959" s="26" t="str">
        <f aca="false">IF(C959&lt;&gt;"Own","",IF(K959="Hourly",N959,(L959+M959)/(Settings!$B$11*Settings!$B$12)))</f>
        <v/>
      </c>
    </row>
    <row r="960" customFormat="false" ht="15" hidden="false" customHeight="false" outlineLevel="0" collapsed="false">
      <c r="R960" s="25" t="str">
        <f aca="true">IF(I960="","",I960-TODAY())</f>
        <v/>
      </c>
      <c r="S960" s="25" t="str">
        <f aca="true">IF(J960="","",J960-TODAY())</f>
        <v/>
      </c>
      <c r="T960" s="24" t="str">
        <f aca="false">IF(A960="","",IF(OR(AND(R960&lt;&gt;"",R960&lt;0),AND(S960&lt;&gt;"",S960&lt;0)),"EXPIRED",IF(OR(AND(R960&lt;&gt;"",R960&lt;=Settings!$B$15),AND(S960&lt;&gt;"",S960&lt;=Settings!$B$15)),"EXPIRING SOON","OK")))</f>
        <v/>
      </c>
      <c r="U960" s="24" t="str">
        <f aca="false">IF(AND(C960="Own",Q960="Active"),COUNTIFS($C$5:C960,"Own",$Q$5:Q960,"Active"),"")</f>
        <v/>
      </c>
      <c r="V960" s="26" t="str">
        <f aca="false">IF(C960&lt;&gt;"Own","",IF(K960="Hourly",N960,(L960+M960)/(Settings!$B$11*Settings!$B$12)))</f>
        <v/>
      </c>
    </row>
    <row r="961" customFormat="false" ht="15" hidden="false" customHeight="false" outlineLevel="0" collapsed="false">
      <c r="R961" s="25" t="str">
        <f aca="true">IF(I961="","",I961-TODAY())</f>
        <v/>
      </c>
      <c r="S961" s="25" t="str">
        <f aca="true">IF(J961="","",J961-TODAY())</f>
        <v/>
      </c>
      <c r="T961" s="24" t="str">
        <f aca="false">IF(A961="","",IF(OR(AND(R961&lt;&gt;"",R961&lt;0),AND(S961&lt;&gt;"",S961&lt;0)),"EXPIRED",IF(OR(AND(R961&lt;&gt;"",R961&lt;=Settings!$B$15),AND(S961&lt;&gt;"",S961&lt;=Settings!$B$15)),"EXPIRING SOON","OK")))</f>
        <v/>
      </c>
      <c r="U961" s="24" t="str">
        <f aca="false">IF(AND(C961="Own",Q961="Active"),COUNTIFS($C$5:C961,"Own",$Q$5:Q961,"Active"),"")</f>
        <v/>
      </c>
      <c r="V961" s="26" t="str">
        <f aca="false">IF(C961&lt;&gt;"Own","",IF(K961="Hourly",N961,(L961+M961)/(Settings!$B$11*Settings!$B$12)))</f>
        <v/>
      </c>
    </row>
    <row r="962" customFormat="false" ht="15" hidden="false" customHeight="false" outlineLevel="0" collapsed="false">
      <c r="R962" s="25" t="str">
        <f aca="true">IF(I962="","",I962-TODAY())</f>
        <v/>
      </c>
      <c r="S962" s="25" t="str">
        <f aca="true">IF(J962="","",J962-TODAY())</f>
        <v/>
      </c>
      <c r="T962" s="24" t="str">
        <f aca="false">IF(A962="","",IF(OR(AND(R962&lt;&gt;"",R962&lt;0),AND(S962&lt;&gt;"",S962&lt;0)),"EXPIRED",IF(OR(AND(R962&lt;&gt;"",R962&lt;=Settings!$B$15),AND(S962&lt;&gt;"",S962&lt;=Settings!$B$15)),"EXPIRING SOON","OK")))</f>
        <v/>
      </c>
      <c r="U962" s="24" t="str">
        <f aca="false">IF(AND(C962="Own",Q962="Active"),COUNTIFS($C$5:C962,"Own",$Q$5:Q962,"Active"),"")</f>
        <v/>
      </c>
      <c r="V962" s="26" t="str">
        <f aca="false">IF(C962&lt;&gt;"Own","",IF(K962="Hourly",N962,(L962+M962)/(Settings!$B$11*Settings!$B$12)))</f>
        <v/>
      </c>
    </row>
    <row r="963" customFormat="false" ht="15" hidden="false" customHeight="false" outlineLevel="0" collapsed="false">
      <c r="R963" s="25" t="str">
        <f aca="true">IF(I963="","",I963-TODAY())</f>
        <v/>
      </c>
      <c r="S963" s="25" t="str">
        <f aca="true">IF(J963="","",J963-TODAY())</f>
        <v/>
      </c>
      <c r="T963" s="24" t="str">
        <f aca="false">IF(A963="","",IF(OR(AND(R963&lt;&gt;"",R963&lt;0),AND(S963&lt;&gt;"",S963&lt;0)),"EXPIRED",IF(OR(AND(R963&lt;&gt;"",R963&lt;=Settings!$B$15),AND(S963&lt;&gt;"",S963&lt;=Settings!$B$15)),"EXPIRING SOON","OK")))</f>
        <v/>
      </c>
      <c r="U963" s="24" t="str">
        <f aca="false">IF(AND(C963="Own",Q963="Active"),COUNTIFS($C$5:C963,"Own",$Q$5:Q963,"Active"),"")</f>
        <v/>
      </c>
      <c r="V963" s="26" t="str">
        <f aca="false">IF(C963&lt;&gt;"Own","",IF(K963="Hourly",N963,(L963+M963)/(Settings!$B$11*Settings!$B$12)))</f>
        <v/>
      </c>
    </row>
    <row r="964" customFormat="false" ht="15" hidden="false" customHeight="false" outlineLevel="0" collapsed="false">
      <c r="R964" s="25" t="str">
        <f aca="true">IF(I964="","",I964-TODAY())</f>
        <v/>
      </c>
      <c r="S964" s="25" t="str">
        <f aca="true">IF(J964="","",J964-TODAY())</f>
        <v/>
      </c>
      <c r="T964" s="24" t="str">
        <f aca="false">IF(A964="","",IF(OR(AND(R964&lt;&gt;"",R964&lt;0),AND(S964&lt;&gt;"",S964&lt;0)),"EXPIRED",IF(OR(AND(R964&lt;&gt;"",R964&lt;=Settings!$B$15),AND(S964&lt;&gt;"",S964&lt;=Settings!$B$15)),"EXPIRING SOON","OK")))</f>
        <v/>
      </c>
      <c r="U964" s="24" t="str">
        <f aca="false">IF(AND(C964="Own",Q964="Active"),COUNTIFS($C$5:C964,"Own",$Q$5:Q964,"Active"),"")</f>
        <v/>
      </c>
      <c r="V964" s="26" t="str">
        <f aca="false">IF(C964&lt;&gt;"Own","",IF(K964="Hourly",N964,(L964+M964)/(Settings!$B$11*Settings!$B$12)))</f>
        <v/>
      </c>
    </row>
    <row r="965" customFormat="false" ht="15" hidden="false" customHeight="false" outlineLevel="0" collapsed="false">
      <c r="R965" s="25" t="str">
        <f aca="true">IF(I965="","",I965-TODAY())</f>
        <v/>
      </c>
      <c r="S965" s="25" t="str">
        <f aca="true">IF(J965="","",J965-TODAY())</f>
        <v/>
      </c>
      <c r="T965" s="24" t="str">
        <f aca="false">IF(A965="","",IF(OR(AND(R965&lt;&gt;"",R965&lt;0),AND(S965&lt;&gt;"",S965&lt;0)),"EXPIRED",IF(OR(AND(R965&lt;&gt;"",R965&lt;=Settings!$B$15),AND(S965&lt;&gt;"",S965&lt;=Settings!$B$15)),"EXPIRING SOON","OK")))</f>
        <v/>
      </c>
      <c r="U965" s="24" t="str">
        <f aca="false">IF(AND(C965="Own",Q965="Active"),COUNTIFS($C$5:C965,"Own",$Q$5:Q965,"Active"),"")</f>
        <v/>
      </c>
      <c r="V965" s="26" t="str">
        <f aca="false">IF(C965&lt;&gt;"Own","",IF(K965="Hourly",N965,(L965+M965)/(Settings!$B$11*Settings!$B$12)))</f>
        <v/>
      </c>
    </row>
    <row r="966" customFormat="false" ht="15" hidden="false" customHeight="false" outlineLevel="0" collapsed="false">
      <c r="R966" s="25" t="str">
        <f aca="true">IF(I966="","",I966-TODAY())</f>
        <v/>
      </c>
      <c r="S966" s="25" t="str">
        <f aca="true">IF(J966="","",J966-TODAY())</f>
        <v/>
      </c>
      <c r="T966" s="24" t="str">
        <f aca="false">IF(A966="","",IF(OR(AND(R966&lt;&gt;"",R966&lt;0),AND(S966&lt;&gt;"",S966&lt;0)),"EXPIRED",IF(OR(AND(R966&lt;&gt;"",R966&lt;=Settings!$B$15),AND(S966&lt;&gt;"",S966&lt;=Settings!$B$15)),"EXPIRING SOON","OK")))</f>
        <v/>
      </c>
      <c r="U966" s="24" t="str">
        <f aca="false">IF(AND(C966="Own",Q966="Active"),COUNTIFS($C$5:C966,"Own",$Q$5:Q966,"Active"),"")</f>
        <v/>
      </c>
      <c r="V966" s="26" t="str">
        <f aca="false">IF(C966&lt;&gt;"Own","",IF(K966="Hourly",N966,(L966+M966)/(Settings!$B$11*Settings!$B$12)))</f>
        <v/>
      </c>
    </row>
    <row r="967" customFormat="false" ht="15" hidden="false" customHeight="false" outlineLevel="0" collapsed="false">
      <c r="R967" s="25" t="str">
        <f aca="true">IF(I967="","",I967-TODAY())</f>
        <v/>
      </c>
      <c r="S967" s="25" t="str">
        <f aca="true">IF(J967="","",J967-TODAY())</f>
        <v/>
      </c>
      <c r="T967" s="24" t="str">
        <f aca="false">IF(A967="","",IF(OR(AND(R967&lt;&gt;"",R967&lt;0),AND(S967&lt;&gt;"",S967&lt;0)),"EXPIRED",IF(OR(AND(R967&lt;&gt;"",R967&lt;=Settings!$B$15),AND(S967&lt;&gt;"",S967&lt;=Settings!$B$15)),"EXPIRING SOON","OK")))</f>
        <v/>
      </c>
      <c r="U967" s="24" t="str">
        <f aca="false">IF(AND(C967="Own",Q967="Active"),COUNTIFS($C$5:C967,"Own",$Q$5:Q967,"Active"),"")</f>
        <v/>
      </c>
      <c r="V967" s="26" t="str">
        <f aca="false">IF(C967&lt;&gt;"Own","",IF(K967="Hourly",N967,(L967+M967)/(Settings!$B$11*Settings!$B$12)))</f>
        <v/>
      </c>
    </row>
    <row r="968" customFormat="false" ht="15" hidden="false" customHeight="false" outlineLevel="0" collapsed="false">
      <c r="R968" s="25" t="str">
        <f aca="true">IF(I968="","",I968-TODAY())</f>
        <v/>
      </c>
      <c r="S968" s="25" t="str">
        <f aca="true">IF(J968="","",J968-TODAY())</f>
        <v/>
      </c>
      <c r="T968" s="24" t="str">
        <f aca="false">IF(A968="","",IF(OR(AND(R968&lt;&gt;"",R968&lt;0),AND(S968&lt;&gt;"",S968&lt;0)),"EXPIRED",IF(OR(AND(R968&lt;&gt;"",R968&lt;=Settings!$B$15),AND(S968&lt;&gt;"",S968&lt;=Settings!$B$15)),"EXPIRING SOON","OK")))</f>
        <v/>
      </c>
      <c r="U968" s="24" t="str">
        <f aca="false">IF(AND(C968="Own",Q968="Active"),COUNTIFS($C$5:C968,"Own",$Q$5:Q968,"Active"),"")</f>
        <v/>
      </c>
      <c r="V968" s="26" t="str">
        <f aca="false">IF(C968&lt;&gt;"Own","",IF(K968="Hourly",N968,(L968+M968)/(Settings!$B$11*Settings!$B$12)))</f>
        <v/>
      </c>
    </row>
    <row r="969" customFormat="false" ht="15" hidden="false" customHeight="false" outlineLevel="0" collapsed="false">
      <c r="R969" s="25" t="str">
        <f aca="true">IF(I969="","",I969-TODAY())</f>
        <v/>
      </c>
      <c r="S969" s="25" t="str">
        <f aca="true">IF(J969="","",J969-TODAY())</f>
        <v/>
      </c>
      <c r="T969" s="24" t="str">
        <f aca="false">IF(A969="","",IF(OR(AND(R969&lt;&gt;"",R969&lt;0),AND(S969&lt;&gt;"",S969&lt;0)),"EXPIRED",IF(OR(AND(R969&lt;&gt;"",R969&lt;=Settings!$B$15),AND(S969&lt;&gt;"",S969&lt;=Settings!$B$15)),"EXPIRING SOON","OK")))</f>
        <v/>
      </c>
      <c r="U969" s="24" t="str">
        <f aca="false">IF(AND(C969="Own",Q969="Active"),COUNTIFS($C$5:C969,"Own",$Q$5:Q969,"Active"),"")</f>
        <v/>
      </c>
      <c r="V969" s="26" t="str">
        <f aca="false">IF(C969&lt;&gt;"Own","",IF(K969="Hourly",N969,(L969+M969)/(Settings!$B$11*Settings!$B$12)))</f>
        <v/>
      </c>
    </row>
    <row r="970" customFormat="false" ht="15" hidden="false" customHeight="false" outlineLevel="0" collapsed="false">
      <c r="R970" s="25" t="str">
        <f aca="true">IF(I970="","",I970-TODAY())</f>
        <v/>
      </c>
      <c r="S970" s="25" t="str">
        <f aca="true">IF(J970="","",J970-TODAY())</f>
        <v/>
      </c>
      <c r="T970" s="24" t="str">
        <f aca="false">IF(A970="","",IF(OR(AND(R970&lt;&gt;"",R970&lt;0),AND(S970&lt;&gt;"",S970&lt;0)),"EXPIRED",IF(OR(AND(R970&lt;&gt;"",R970&lt;=Settings!$B$15),AND(S970&lt;&gt;"",S970&lt;=Settings!$B$15)),"EXPIRING SOON","OK")))</f>
        <v/>
      </c>
      <c r="U970" s="24" t="str">
        <f aca="false">IF(AND(C970="Own",Q970="Active"),COUNTIFS($C$5:C970,"Own",$Q$5:Q970,"Active"),"")</f>
        <v/>
      </c>
      <c r="V970" s="26" t="str">
        <f aca="false">IF(C970&lt;&gt;"Own","",IF(K970="Hourly",N970,(L970+M970)/(Settings!$B$11*Settings!$B$12)))</f>
        <v/>
      </c>
    </row>
    <row r="971" customFormat="false" ht="15" hidden="false" customHeight="false" outlineLevel="0" collapsed="false">
      <c r="R971" s="25" t="str">
        <f aca="true">IF(I971="","",I971-TODAY())</f>
        <v/>
      </c>
      <c r="S971" s="25" t="str">
        <f aca="true">IF(J971="","",J971-TODAY())</f>
        <v/>
      </c>
      <c r="T971" s="24" t="str">
        <f aca="false">IF(A971="","",IF(OR(AND(R971&lt;&gt;"",R971&lt;0),AND(S971&lt;&gt;"",S971&lt;0)),"EXPIRED",IF(OR(AND(R971&lt;&gt;"",R971&lt;=Settings!$B$15),AND(S971&lt;&gt;"",S971&lt;=Settings!$B$15)),"EXPIRING SOON","OK")))</f>
        <v/>
      </c>
      <c r="U971" s="24" t="str">
        <f aca="false">IF(AND(C971="Own",Q971="Active"),COUNTIFS($C$5:C971,"Own",$Q$5:Q971,"Active"),"")</f>
        <v/>
      </c>
      <c r="V971" s="26" t="str">
        <f aca="false">IF(C971&lt;&gt;"Own","",IF(K971="Hourly",N971,(L971+M971)/(Settings!$B$11*Settings!$B$12)))</f>
        <v/>
      </c>
    </row>
    <row r="972" customFormat="false" ht="15" hidden="false" customHeight="false" outlineLevel="0" collapsed="false">
      <c r="R972" s="25" t="str">
        <f aca="true">IF(I972="","",I972-TODAY())</f>
        <v/>
      </c>
      <c r="S972" s="25" t="str">
        <f aca="true">IF(J972="","",J972-TODAY())</f>
        <v/>
      </c>
      <c r="T972" s="24" t="str">
        <f aca="false">IF(A972="","",IF(OR(AND(R972&lt;&gt;"",R972&lt;0),AND(S972&lt;&gt;"",S972&lt;0)),"EXPIRED",IF(OR(AND(R972&lt;&gt;"",R972&lt;=Settings!$B$15),AND(S972&lt;&gt;"",S972&lt;=Settings!$B$15)),"EXPIRING SOON","OK")))</f>
        <v/>
      </c>
      <c r="U972" s="24" t="str">
        <f aca="false">IF(AND(C972="Own",Q972="Active"),COUNTIFS($C$5:C972,"Own",$Q$5:Q972,"Active"),"")</f>
        <v/>
      </c>
      <c r="V972" s="26" t="str">
        <f aca="false">IF(C972&lt;&gt;"Own","",IF(K972="Hourly",N972,(L972+M972)/(Settings!$B$11*Settings!$B$12)))</f>
        <v/>
      </c>
    </row>
    <row r="973" customFormat="false" ht="15" hidden="false" customHeight="false" outlineLevel="0" collapsed="false">
      <c r="R973" s="25" t="str">
        <f aca="true">IF(I973="","",I973-TODAY())</f>
        <v/>
      </c>
      <c r="S973" s="25" t="str">
        <f aca="true">IF(J973="","",J973-TODAY())</f>
        <v/>
      </c>
      <c r="T973" s="24" t="str">
        <f aca="false">IF(A973="","",IF(OR(AND(R973&lt;&gt;"",R973&lt;0),AND(S973&lt;&gt;"",S973&lt;0)),"EXPIRED",IF(OR(AND(R973&lt;&gt;"",R973&lt;=Settings!$B$15),AND(S973&lt;&gt;"",S973&lt;=Settings!$B$15)),"EXPIRING SOON","OK")))</f>
        <v/>
      </c>
      <c r="U973" s="24" t="str">
        <f aca="false">IF(AND(C973="Own",Q973="Active"),COUNTIFS($C$5:C973,"Own",$Q$5:Q973,"Active"),"")</f>
        <v/>
      </c>
      <c r="V973" s="26" t="str">
        <f aca="false">IF(C973&lt;&gt;"Own","",IF(K973="Hourly",N973,(L973+M973)/(Settings!$B$11*Settings!$B$12)))</f>
        <v/>
      </c>
    </row>
    <row r="974" customFormat="false" ht="15" hidden="false" customHeight="false" outlineLevel="0" collapsed="false">
      <c r="R974" s="25" t="str">
        <f aca="true">IF(I974="","",I974-TODAY())</f>
        <v/>
      </c>
      <c r="S974" s="25" t="str">
        <f aca="true">IF(J974="","",J974-TODAY())</f>
        <v/>
      </c>
      <c r="T974" s="24" t="str">
        <f aca="false">IF(A974="","",IF(OR(AND(R974&lt;&gt;"",R974&lt;0),AND(S974&lt;&gt;"",S974&lt;0)),"EXPIRED",IF(OR(AND(R974&lt;&gt;"",R974&lt;=Settings!$B$15),AND(S974&lt;&gt;"",S974&lt;=Settings!$B$15)),"EXPIRING SOON","OK")))</f>
        <v/>
      </c>
      <c r="U974" s="24" t="str">
        <f aca="false">IF(AND(C974="Own",Q974="Active"),COUNTIFS($C$5:C974,"Own",$Q$5:Q974,"Active"),"")</f>
        <v/>
      </c>
      <c r="V974" s="26" t="str">
        <f aca="false">IF(C974&lt;&gt;"Own","",IF(K974="Hourly",N974,(L974+M974)/(Settings!$B$11*Settings!$B$12)))</f>
        <v/>
      </c>
    </row>
    <row r="975" customFormat="false" ht="15" hidden="false" customHeight="false" outlineLevel="0" collapsed="false">
      <c r="R975" s="25" t="str">
        <f aca="true">IF(I975="","",I975-TODAY())</f>
        <v/>
      </c>
      <c r="S975" s="25" t="str">
        <f aca="true">IF(J975="","",J975-TODAY())</f>
        <v/>
      </c>
      <c r="T975" s="24" t="str">
        <f aca="false">IF(A975="","",IF(OR(AND(R975&lt;&gt;"",R975&lt;0),AND(S975&lt;&gt;"",S975&lt;0)),"EXPIRED",IF(OR(AND(R975&lt;&gt;"",R975&lt;=Settings!$B$15),AND(S975&lt;&gt;"",S975&lt;=Settings!$B$15)),"EXPIRING SOON","OK")))</f>
        <v/>
      </c>
      <c r="U975" s="24" t="str">
        <f aca="false">IF(AND(C975="Own",Q975="Active"),COUNTIFS($C$5:C975,"Own",$Q$5:Q975,"Active"),"")</f>
        <v/>
      </c>
      <c r="V975" s="26" t="str">
        <f aca="false">IF(C975&lt;&gt;"Own","",IF(K975="Hourly",N975,(L975+M975)/(Settings!$B$11*Settings!$B$12)))</f>
        <v/>
      </c>
    </row>
    <row r="976" customFormat="false" ht="15" hidden="false" customHeight="false" outlineLevel="0" collapsed="false">
      <c r="R976" s="25" t="str">
        <f aca="true">IF(I976="","",I976-TODAY())</f>
        <v/>
      </c>
      <c r="S976" s="25" t="str">
        <f aca="true">IF(J976="","",J976-TODAY())</f>
        <v/>
      </c>
      <c r="T976" s="24" t="str">
        <f aca="false">IF(A976="","",IF(OR(AND(R976&lt;&gt;"",R976&lt;0),AND(S976&lt;&gt;"",S976&lt;0)),"EXPIRED",IF(OR(AND(R976&lt;&gt;"",R976&lt;=Settings!$B$15),AND(S976&lt;&gt;"",S976&lt;=Settings!$B$15)),"EXPIRING SOON","OK")))</f>
        <v/>
      </c>
      <c r="U976" s="24" t="str">
        <f aca="false">IF(AND(C976="Own",Q976="Active"),COUNTIFS($C$5:C976,"Own",$Q$5:Q976,"Active"),"")</f>
        <v/>
      </c>
      <c r="V976" s="26" t="str">
        <f aca="false">IF(C976&lt;&gt;"Own","",IF(K976="Hourly",N976,(L976+M976)/(Settings!$B$11*Settings!$B$12)))</f>
        <v/>
      </c>
    </row>
    <row r="977" customFormat="false" ht="15" hidden="false" customHeight="false" outlineLevel="0" collapsed="false">
      <c r="R977" s="25" t="str">
        <f aca="true">IF(I977="","",I977-TODAY())</f>
        <v/>
      </c>
      <c r="S977" s="25" t="str">
        <f aca="true">IF(J977="","",J977-TODAY())</f>
        <v/>
      </c>
      <c r="T977" s="24" t="str">
        <f aca="false">IF(A977="","",IF(OR(AND(R977&lt;&gt;"",R977&lt;0),AND(S977&lt;&gt;"",S977&lt;0)),"EXPIRED",IF(OR(AND(R977&lt;&gt;"",R977&lt;=Settings!$B$15),AND(S977&lt;&gt;"",S977&lt;=Settings!$B$15)),"EXPIRING SOON","OK")))</f>
        <v/>
      </c>
      <c r="U977" s="24" t="str">
        <f aca="false">IF(AND(C977="Own",Q977="Active"),COUNTIFS($C$5:C977,"Own",$Q$5:Q977,"Active"),"")</f>
        <v/>
      </c>
      <c r="V977" s="26" t="str">
        <f aca="false">IF(C977&lt;&gt;"Own","",IF(K977="Hourly",N977,(L977+M977)/(Settings!$B$11*Settings!$B$12)))</f>
        <v/>
      </c>
    </row>
    <row r="978" customFormat="false" ht="15" hidden="false" customHeight="false" outlineLevel="0" collapsed="false">
      <c r="R978" s="25" t="str">
        <f aca="true">IF(I978="","",I978-TODAY())</f>
        <v/>
      </c>
      <c r="S978" s="25" t="str">
        <f aca="true">IF(J978="","",J978-TODAY())</f>
        <v/>
      </c>
      <c r="T978" s="24" t="str">
        <f aca="false">IF(A978="","",IF(OR(AND(R978&lt;&gt;"",R978&lt;0),AND(S978&lt;&gt;"",S978&lt;0)),"EXPIRED",IF(OR(AND(R978&lt;&gt;"",R978&lt;=Settings!$B$15),AND(S978&lt;&gt;"",S978&lt;=Settings!$B$15)),"EXPIRING SOON","OK")))</f>
        <v/>
      </c>
      <c r="U978" s="24" t="str">
        <f aca="false">IF(AND(C978="Own",Q978="Active"),COUNTIFS($C$5:C978,"Own",$Q$5:Q978,"Active"),"")</f>
        <v/>
      </c>
      <c r="V978" s="26" t="str">
        <f aca="false">IF(C978&lt;&gt;"Own","",IF(K978="Hourly",N978,(L978+M978)/(Settings!$B$11*Settings!$B$12)))</f>
        <v/>
      </c>
    </row>
    <row r="979" customFormat="false" ht="15" hidden="false" customHeight="false" outlineLevel="0" collapsed="false">
      <c r="R979" s="25" t="str">
        <f aca="true">IF(I979="","",I979-TODAY())</f>
        <v/>
      </c>
      <c r="S979" s="25" t="str">
        <f aca="true">IF(J979="","",J979-TODAY())</f>
        <v/>
      </c>
      <c r="T979" s="24" t="str">
        <f aca="false">IF(A979="","",IF(OR(AND(R979&lt;&gt;"",R979&lt;0),AND(S979&lt;&gt;"",S979&lt;0)),"EXPIRED",IF(OR(AND(R979&lt;&gt;"",R979&lt;=Settings!$B$15),AND(S979&lt;&gt;"",S979&lt;=Settings!$B$15)),"EXPIRING SOON","OK")))</f>
        <v/>
      </c>
      <c r="U979" s="24" t="str">
        <f aca="false">IF(AND(C979="Own",Q979="Active"),COUNTIFS($C$5:C979,"Own",$Q$5:Q979,"Active"),"")</f>
        <v/>
      </c>
      <c r="V979" s="26" t="str">
        <f aca="false">IF(C979&lt;&gt;"Own","",IF(K979="Hourly",N979,(L979+M979)/(Settings!$B$11*Settings!$B$12)))</f>
        <v/>
      </c>
    </row>
    <row r="980" customFormat="false" ht="15" hidden="false" customHeight="false" outlineLevel="0" collapsed="false">
      <c r="R980" s="25" t="str">
        <f aca="true">IF(I980="","",I980-TODAY())</f>
        <v/>
      </c>
      <c r="S980" s="25" t="str">
        <f aca="true">IF(J980="","",J980-TODAY())</f>
        <v/>
      </c>
      <c r="T980" s="24" t="str">
        <f aca="false">IF(A980="","",IF(OR(AND(R980&lt;&gt;"",R980&lt;0),AND(S980&lt;&gt;"",S980&lt;0)),"EXPIRED",IF(OR(AND(R980&lt;&gt;"",R980&lt;=Settings!$B$15),AND(S980&lt;&gt;"",S980&lt;=Settings!$B$15)),"EXPIRING SOON","OK")))</f>
        <v/>
      </c>
      <c r="U980" s="24" t="str">
        <f aca="false">IF(AND(C980="Own",Q980="Active"),COUNTIFS($C$5:C980,"Own",$Q$5:Q980,"Active"),"")</f>
        <v/>
      </c>
      <c r="V980" s="26" t="str">
        <f aca="false">IF(C980&lt;&gt;"Own","",IF(K980="Hourly",N980,(L980+M980)/(Settings!$B$11*Settings!$B$12)))</f>
        <v/>
      </c>
    </row>
    <row r="981" customFormat="false" ht="15" hidden="false" customHeight="false" outlineLevel="0" collapsed="false">
      <c r="R981" s="25" t="str">
        <f aca="true">IF(I981="","",I981-TODAY())</f>
        <v/>
      </c>
      <c r="S981" s="25" t="str">
        <f aca="true">IF(J981="","",J981-TODAY())</f>
        <v/>
      </c>
      <c r="T981" s="24" t="str">
        <f aca="false">IF(A981="","",IF(OR(AND(R981&lt;&gt;"",R981&lt;0),AND(S981&lt;&gt;"",S981&lt;0)),"EXPIRED",IF(OR(AND(R981&lt;&gt;"",R981&lt;=Settings!$B$15),AND(S981&lt;&gt;"",S981&lt;=Settings!$B$15)),"EXPIRING SOON","OK")))</f>
        <v/>
      </c>
      <c r="U981" s="24" t="str">
        <f aca="false">IF(AND(C981="Own",Q981="Active"),COUNTIFS($C$5:C981,"Own",$Q$5:Q981,"Active"),"")</f>
        <v/>
      </c>
      <c r="V981" s="26" t="str">
        <f aca="false">IF(C981&lt;&gt;"Own","",IF(K981="Hourly",N981,(L981+M981)/(Settings!$B$11*Settings!$B$12)))</f>
        <v/>
      </c>
    </row>
    <row r="982" customFormat="false" ht="15" hidden="false" customHeight="false" outlineLevel="0" collapsed="false">
      <c r="R982" s="25" t="str">
        <f aca="true">IF(I982="","",I982-TODAY())</f>
        <v/>
      </c>
      <c r="S982" s="25" t="str">
        <f aca="true">IF(J982="","",J982-TODAY())</f>
        <v/>
      </c>
      <c r="T982" s="24" t="str">
        <f aca="false">IF(A982="","",IF(OR(AND(R982&lt;&gt;"",R982&lt;0),AND(S982&lt;&gt;"",S982&lt;0)),"EXPIRED",IF(OR(AND(R982&lt;&gt;"",R982&lt;=Settings!$B$15),AND(S982&lt;&gt;"",S982&lt;=Settings!$B$15)),"EXPIRING SOON","OK")))</f>
        <v/>
      </c>
      <c r="U982" s="24" t="str">
        <f aca="false">IF(AND(C982="Own",Q982="Active"),COUNTIFS($C$5:C982,"Own",$Q$5:Q982,"Active"),"")</f>
        <v/>
      </c>
      <c r="V982" s="26" t="str">
        <f aca="false">IF(C982&lt;&gt;"Own","",IF(K982="Hourly",N982,(L982+M982)/(Settings!$B$11*Settings!$B$12)))</f>
        <v/>
      </c>
    </row>
    <row r="983" customFormat="false" ht="15" hidden="false" customHeight="false" outlineLevel="0" collapsed="false">
      <c r="R983" s="25" t="str">
        <f aca="true">IF(I983="","",I983-TODAY())</f>
        <v/>
      </c>
      <c r="S983" s="25" t="str">
        <f aca="true">IF(J983="","",J983-TODAY())</f>
        <v/>
      </c>
      <c r="T983" s="24" t="str">
        <f aca="false">IF(A983="","",IF(OR(AND(R983&lt;&gt;"",R983&lt;0),AND(S983&lt;&gt;"",S983&lt;0)),"EXPIRED",IF(OR(AND(R983&lt;&gt;"",R983&lt;=Settings!$B$15),AND(S983&lt;&gt;"",S983&lt;=Settings!$B$15)),"EXPIRING SOON","OK")))</f>
        <v/>
      </c>
      <c r="U983" s="24" t="str">
        <f aca="false">IF(AND(C983="Own",Q983="Active"),COUNTIFS($C$5:C983,"Own",$Q$5:Q983,"Active"),"")</f>
        <v/>
      </c>
      <c r="V983" s="26" t="str">
        <f aca="false">IF(C983&lt;&gt;"Own","",IF(K983="Hourly",N983,(L983+M983)/(Settings!$B$11*Settings!$B$12)))</f>
        <v/>
      </c>
    </row>
    <row r="984" customFormat="false" ht="15" hidden="false" customHeight="false" outlineLevel="0" collapsed="false">
      <c r="R984" s="25" t="str">
        <f aca="true">IF(I984="","",I984-TODAY())</f>
        <v/>
      </c>
      <c r="S984" s="25" t="str">
        <f aca="true">IF(J984="","",J984-TODAY())</f>
        <v/>
      </c>
      <c r="T984" s="24" t="str">
        <f aca="false">IF(A984="","",IF(OR(AND(R984&lt;&gt;"",R984&lt;0),AND(S984&lt;&gt;"",S984&lt;0)),"EXPIRED",IF(OR(AND(R984&lt;&gt;"",R984&lt;=Settings!$B$15),AND(S984&lt;&gt;"",S984&lt;=Settings!$B$15)),"EXPIRING SOON","OK")))</f>
        <v/>
      </c>
      <c r="U984" s="24" t="str">
        <f aca="false">IF(AND(C984="Own",Q984="Active"),COUNTIFS($C$5:C984,"Own",$Q$5:Q984,"Active"),"")</f>
        <v/>
      </c>
      <c r="V984" s="26" t="str">
        <f aca="false">IF(C984&lt;&gt;"Own","",IF(K984="Hourly",N984,(L984+M984)/(Settings!$B$11*Settings!$B$12)))</f>
        <v/>
      </c>
    </row>
    <row r="985" customFormat="false" ht="15" hidden="false" customHeight="false" outlineLevel="0" collapsed="false">
      <c r="R985" s="25" t="str">
        <f aca="true">IF(I985="","",I985-TODAY())</f>
        <v/>
      </c>
      <c r="S985" s="25" t="str">
        <f aca="true">IF(J985="","",J985-TODAY())</f>
        <v/>
      </c>
      <c r="T985" s="24" t="str">
        <f aca="false">IF(A985="","",IF(OR(AND(R985&lt;&gt;"",R985&lt;0),AND(S985&lt;&gt;"",S985&lt;0)),"EXPIRED",IF(OR(AND(R985&lt;&gt;"",R985&lt;=Settings!$B$15),AND(S985&lt;&gt;"",S985&lt;=Settings!$B$15)),"EXPIRING SOON","OK")))</f>
        <v/>
      </c>
      <c r="U985" s="24" t="str">
        <f aca="false">IF(AND(C985="Own",Q985="Active"),COUNTIFS($C$5:C985,"Own",$Q$5:Q985,"Active"),"")</f>
        <v/>
      </c>
      <c r="V985" s="26" t="str">
        <f aca="false">IF(C985&lt;&gt;"Own","",IF(K985="Hourly",N985,(L985+M985)/(Settings!$B$11*Settings!$B$12)))</f>
        <v/>
      </c>
    </row>
    <row r="986" customFormat="false" ht="15" hidden="false" customHeight="false" outlineLevel="0" collapsed="false">
      <c r="R986" s="25" t="str">
        <f aca="true">IF(I986="","",I986-TODAY())</f>
        <v/>
      </c>
      <c r="S986" s="25" t="str">
        <f aca="true">IF(J986="","",J986-TODAY())</f>
        <v/>
      </c>
      <c r="T986" s="24" t="str">
        <f aca="false">IF(A986="","",IF(OR(AND(R986&lt;&gt;"",R986&lt;0),AND(S986&lt;&gt;"",S986&lt;0)),"EXPIRED",IF(OR(AND(R986&lt;&gt;"",R986&lt;=Settings!$B$15),AND(S986&lt;&gt;"",S986&lt;=Settings!$B$15)),"EXPIRING SOON","OK")))</f>
        <v/>
      </c>
      <c r="U986" s="24" t="str">
        <f aca="false">IF(AND(C986="Own",Q986="Active"),COUNTIFS($C$5:C986,"Own",$Q$5:Q986,"Active"),"")</f>
        <v/>
      </c>
      <c r="V986" s="26" t="str">
        <f aca="false">IF(C986&lt;&gt;"Own","",IF(K986="Hourly",N986,(L986+M986)/(Settings!$B$11*Settings!$B$12)))</f>
        <v/>
      </c>
    </row>
    <row r="987" customFormat="false" ht="15" hidden="false" customHeight="false" outlineLevel="0" collapsed="false">
      <c r="R987" s="25" t="str">
        <f aca="true">IF(I987="","",I987-TODAY())</f>
        <v/>
      </c>
      <c r="S987" s="25" t="str">
        <f aca="true">IF(J987="","",J987-TODAY())</f>
        <v/>
      </c>
      <c r="T987" s="24" t="str">
        <f aca="false">IF(A987="","",IF(OR(AND(R987&lt;&gt;"",R987&lt;0),AND(S987&lt;&gt;"",S987&lt;0)),"EXPIRED",IF(OR(AND(R987&lt;&gt;"",R987&lt;=Settings!$B$15),AND(S987&lt;&gt;"",S987&lt;=Settings!$B$15)),"EXPIRING SOON","OK")))</f>
        <v/>
      </c>
      <c r="U987" s="24" t="str">
        <f aca="false">IF(AND(C987="Own",Q987="Active"),COUNTIFS($C$5:C987,"Own",$Q$5:Q987,"Active"),"")</f>
        <v/>
      </c>
      <c r="V987" s="26" t="str">
        <f aca="false">IF(C987&lt;&gt;"Own","",IF(K987="Hourly",N987,(L987+M987)/(Settings!$B$11*Settings!$B$12)))</f>
        <v/>
      </c>
    </row>
    <row r="988" customFormat="false" ht="15" hidden="false" customHeight="false" outlineLevel="0" collapsed="false">
      <c r="R988" s="25" t="str">
        <f aca="true">IF(I988="","",I988-TODAY())</f>
        <v/>
      </c>
      <c r="S988" s="25" t="str">
        <f aca="true">IF(J988="","",J988-TODAY())</f>
        <v/>
      </c>
      <c r="T988" s="24" t="str">
        <f aca="false">IF(A988="","",IF(OR(AND(R988&lt;&gt;"",R988&lt;0),AND(S988&lt;&gt;"",S988&lt;0)),"EXPIRED",IF(OR(AND(R988&lt;&gt;"",R988&lt;=Settings!$B$15),AND(S988&lt;&gt;"",S988&lt;=Settings!$B$15)),"EXPIRING SOON","OK")))</f>
        <v/>
      </c>
      <c r="U988" s="24" t="str">
        <f aca="false">IF(AND(C988="Own",Q988="Active"),COUNTIFS($C$5:C988,"Own",$Q$5:Q988,"Active"),"")</f>
        <v/>
      </c>
      <c r="V988" s="26" t="str">
        <f aca="false">IF(C988&lt;&gt;"Own","",IF(K988="Hourly",N988,(L988+M988)/(Settings!$B$11*Settings!$B$12)))</f>
        <v/>
      </c>
    </row>
    <row r="989" customFormat="false" ht="15" hidden="false" customHeight="false" outlineLevel="0" collapsed="false">
      <c r="R989" s="25" t="str">
        <f aca="true">IF(I989="","",I989-TODAY())</f>
        <v/>
      </c>
      <c r="S989" s="25" t="str">
        <f aca="true">IF(J989="","",J989-TODAY())</f>
        <v/>
      </c>
      <c r="T989" s="24" t="str">
        <f aca="false">IF(A989="","",IF(OR(AND(R989&lt;&gt;"",R989&lt;0),AND(S989&lt;&gt;"",S989&lt;0)),"EXPIRED",IF(OR(AND(R989&lt;&gt;"",R989&lt;=Settings!$B$15),AND(S989&lt;&gt;"",S989&lt;=Settings!$B$15)),"EXPIRING SOON","OK")))</f>
        <v/>
      </c>
      <c r="U989" s="24" t="str">
        <f aca="false">IF(AND(C989="Own",Q989="Active"),COUNTIFS($C$5:C989,"Own",$Q$5:Q989,"Active"),"")</f>
        <v/>
      </c>
      <c r="V989" s="26" t="str">
        <f aca="false">IF(C989&lt;&gt;"Own","",IF(K989="Hourly",N989,(L989+M989)/(Settings!$B$11*Settings!$B$12)))</f>
        <v/>
      </c>
    </row>
    <row r="990" customFormat="false" ht="15" hidden="false" customHeight="false" outlineLevel="0" collapsed="false">
      <c r="R990" s="25" t="str">
        <f aca="true">IF(I990="","",I990-TODAY())</f>
        <v/>
      </c>
      <c r="S990" s="25" t="str">
        <f aca="true">IF(J990="","",J990-TODAY())</f>
        <v/>
      </c>
      <c r="T990" s="24" t="str">
        <f aca="false">IF(A990="","",IF(OR(AND(R990&lt;&gt;"",R990&lt;0),AND(S990&lt;&gt;"",S990&lt;0)),"EXPIRED",IF(OR(AND(R990&lt;&gt;"",R990&lt;=Settings!$B$15),AND(S990&lt;&gt;"",S990&lt;=Settings!$B$15)),"EXPIRING SOON","OK")))</f>
        <v/>
      </c>
      <c r="U990" s="24" t="str">
        <f aca="false">IF(AND(C990="Own",Q990="Active"),COUNTIFS($C$5:C990,"Own",$Q$5:Q990,"Active"),"")</f>
        <v/>
      </c>
      <c r="V990" s="26" t="str">
        <f aca="false">IF(C990&lt;&gt;"Own","",IF(K990="Hourly",N990,(L990+M990)/(Settings!$B$11*Settings!$B$12)))</f>
        <v/>
      </c>
    </row>
    <row r="991" customFormat="false" ht="15" hidden="false" customHeight="false" outlineLevel="0" collapsed="false">
      <c r="R991" s="25" t="str">
        <f aca="true">IF(I991="","",I991-TODAY())</f>
        <v/>
      </c>
      <c r="S991" s="25" t="str">
        <f aca="true">IF(J991="","",J991-TODAY())</f>
        <v/>
      </c>
      <c r="T991" s="24" t="str">
        <f aca="false">IF(A991="","",IF(OR(AND(R991&lt;&gt;"",R991&lt;0),AND(S991&lt;&gt;"",S991&lt;0)),"EXPIRED",IF(OR(AND(R991&lt;&gt;"",R991&lt;=Settings!$B$15),AND(S991&lt;&gt;"",S991&lt;=Settings!$B$15)),"EXPIRING SOON","OK")))</f>
        <v/>
      </c>
      <c r="U991" s="24" t="str">
        <f aca="false">IF(AND(C991="Own",Q991="Active"),COUNTIFS($C$5:C991,"Own",$Q$5:Q991,"Active"),"")</f>
        <v/>
      </c>
      <c r="V991" s="26" t="str">
        <f aca="false">IF(C991&lt;&gt;"Own","",IF(K991="Hourly",N991,(L991+M991)/(Settings!$B$11*Settings!$B$12)))</f>
        <v/>
      </c>
    </row>
    <row r="992" customFormat="false" ht="15" hidden="false" customHeight="false" outlineLevel="0" collapsed="false">
      <c r="R992" s="25" t="str">
        <f aca="true">IF(I992="","",I992-TODAY())</f>
        <v/>
      </c>
      <c r="S992" s="25" t="str">
        <f aca="true">IF(J992="","",J992-TODAY())</f>
        <v/>
      </c>
      <c r="T992" s="24" t="str">
        <f aca="false">IF(A992="","",IF(OR(AND(R992&lt;&gt;"",R992&lt;0),AND(S992&lt;&gt;"",S992&lt;0)),"EXPIRED",IF(OR(AND(R992&lt;&gt;"",R992&lt;=Settings!$B$15),AND(S992&lt;&gt;"",S992&lt;=Settings!$B$15)),"EXPIRING SOON","OK")))</f>
        <v/>
      </c>
      <c r="U992" s="24" t="str">
        <f aca="false">IF(AND(C992="Own",Q992="Active"),COUNTIFS($C$5:C992,"Own",$Q$5:Q992,"Active"),"")</f>
        <v/>
      </c>
      <c r="V992" s="26" t="str">
        <f aca="false">IF(C992&lt;&gt;"Own","",IF(K992="Hourly",N992,(L992+M992)/(Settings!$B$11*Settings!$B$12)))</f>
        <v/>
      </c>
    </row>
    <row r="993" customFormat="false" ht="15" hidden="false" customHeight="false" outlineLevel="0" collapsed="false">
      <c r="R993" s="25" t="str">
        <f aca="true">IF(I993="","",I993-TODAY())</f>
        <v/>
      </c>
      <c r="S993" s="25" t="str">
        <f aca="true">IF(J993="","",J993-TODAY())</f>
        <v/>
      </c>
      <c r="T993" s="24" t="str">
        <f aca="false">IF(A993="","",IF(OR(AND(R993&lt;&gt;"",R993&lt;0),AND(S993&lt;&gt;"",S993&lt;0)),"EXPIRED",IF(OR(AND(R993&lt;&gt;"",R993&lt;=Settings!$B$15),AND(S993&lt;&gt;"",S993&lt;=Settings!$B$15)),"EXPIRING SOON","OK")))</f>
        <v/>
      </c>
      <c r="U993" s="24" t="str">
        <f aca="false">IF(AND(C993="Own",Q993="Active"),COUNTIFS($C$5:C993,"Own",$Q$5:Q993,"Active"),"")</f>
        <v/>
      </c>
      <c r="V993" s="26" t="str">
        <f aca="false">IF(C993&lt;&gt;"Own","",IF(K993="Hourly",N993,(L993+M993)/(Settings!$B$11*Settings!$B$12)))</f>
        <v/>
      </c>
    </row>
    <row r="994" customFormat="false" ht="15" hidden="false" customHeight="false" outlineLevel="0" collapsed="false">
      <c r="R994" s="25" t="str">
        <f aca="true">IF(I994="","",I994-TODAY())</f>
        <v/>
      </c>
      <c r="S994" s="25" t="str">
        <f aca="true">IF(J994="","",J994-TODAY())</f>
        <v/>
      </c>
      <c r="T994" s="24" t="str">
        <f aca="false">IF(A994="","",IF(OR(AND(R994&lt;&gt;"",R994&lt;0),AND(S994&lt;&gt;"",S994&lt;0)),"EXPIRED",IF(OR(AND(R994&lt;&gt;"",R994&lt;=Settings!$B$15),AND(S994&lt;&gt;"",S994&lt;=Settings!$B$15)),"EXPIRING SOON","OK")))</f>
        <v/>
      </c>
      <c r="U994" s="24" t="str">
        <f aca="false">IF(AND(C994="Own",Q994="Active"),COUNTIFS($C$5:C994,"Own",$Q$5:Q994,"Active"),"")</f>
        <v/>
      </c>
      <c r="V994" s="26" t="str">
        <f aca="false">IF(C994&lt;&gt;"Own","",IF(K994="Hourly",N994,(L994+M994)/(Settings!$B$11*Settings!$B$12)))</f>
        <v/>
      </c>
    </row>
    <row r="995" customFormat="false" ht="15" hidden="false" customHeight="false" outlineLevel="0" collapsed="false">
      <c r="R995" s="25" t="str">
        <f aca="true">IF(I995="","",I995-TODAY())</f>
        <v/>
      </c>
      <c r="S995" s="25" t="str">
        <f aca="true">IF(J995="","",J995-TODAY())</f>
        <v/>
      </c>
      <c r="T995" s="24" t="str">
        <f aca="false">IF(A995="","",IF(OR(AND(R995&lt;&gt;"",R995&lt;0),AND(S995&lt;&gt;"",S995&lt;0)),"EXPIRED",IF(OR(AND(R995&lt;&gt;"",R995&lt;=Settings!$B$15),AND(S995&lt;&gt;"",S995&lt;=Settings!$B$15)),"EXPIRING SOON","OK")))</f>
        <v/>
      </c>
      <c r="U995" s="24" t="str">
        <f aca="false">IF(AND(C995="Own",Q995="Active"),COUNTIFS($C$5:C995,"Own",$Q$5:Q995,"Active"),"")</f>
        <v/>
      </c>
      <c r="V995" s="26" t="str">
        <f aca="false">IF(C995&lt;&gt;"Own","",IF(K995="Hourly",N995,(L995+M995)/(Settings!$B$11*Settings!$B$12)))</f>
        <v/>
      </c>
    </row>
    <row r="996" customFormat="false" ht="15" hidden="false" customHeight="false" outlineLevel="0" collapsed="false">
      <c r="R996" s="25" t="str">
        <f aca="true">IF(I996="","",I996-TODAY())</f>
        <v/>
      </c>
      <c r="S996" s="25" t="str">
        <f aca="true">IF(J996="","",J996-TODAY())</f>
        <v/>
      </c>
      <c r="T996" s="24" t="str">
        <f aca="false">IF(A996="","",IF(OR(AND(R996&lt;&gt;"",R996&lt;0),AND(S996&lt;&gt;"",S996&lt;0)),"EXPIRED",IF(OR(AND(R996&lt;&gt;"",R996&lt;=Settings!$B$15),AND(S996&lt;&gt;"",S996&lt;=Settings!$B$15)),"EXPIRING SOON","OK")))</f>
        <v/>
      </c>
      <c r="U996" s="24" t="str">
        <f aca="false">IF(AND(C996="Own",Q996="Active"),COUNTIFS($C$5:C996,"Own",$Q$5:Q996,"Active"),"")</f>
        <v/>
      </c>
      <c r="V996" s="26" t="str">
        <f aca="false">IF(C996&lt;&gt;"Own","",IF(K996="Hourly",N996,(L996+M996)/(Settings!$B$11*Settings!$B$12)))</f>
        <v/>
      </c>
    </row>
    <row r="997" customFormat="false" ht="15" hidden="false" customHeight="false" outlineLevel="0" collapsed="false">
      <c r="R997" s="25" t="str">
        <f aca="true">IF(I997="","",I997-TODAY())</f>
        <v/>
      </c>
      <c r="S997" s="25" t="str">
        <f aca="true">IF(J997="","",J997-TODAY())</f>
        <v/>
      </c>
      <c r="T997" s="24" t="str">
        <f aca="false">IF(A997="","",IF(OR(AND(R997&lt;&gt;"",R997&lt;0),AND(S997&lt;&gt;"",S997&lt;0)),"EXPIRED",IF(OR(AND(R997&lt;&gt;"",R997&lt;=Settings!$B$15),AND(S997&lt;&gt;"",S997&lt;=Settings!$B$15)),"EXPIRING SOON","OK")))</f>
        <v/>
      </c>
      <c r="U997" s="24" t="str">
        <f aca="false">IF(AND(C997="Own",Q997="Active"),COUNTIFS($C$5:C997,"Own",$Q$5:Q997,"Active"),"")</f>
        <v/>
      </c>
      <c r="V997" s="26" t="str">
        <f aca="false">IF(C997&lt;&gt;"Own","",IF(K997="Hourly",N997,(L997+M997)/(Settings!$B$11*Settings!$B$12)))</f>
        <v/>
      </c>
    </row>
    <row r="998" customFormat="false" ht="15" hidden="false" customHeight="false" outlineLevel="0" collapsed="false">
      <c r="R998" s="25" t="str">
        <f aca="true">IF(I998="","",I998-TODAY())</f>
        <v/>
      </c>
      <c r="S998" s="25" t="str">
        <f aca="true">IF(J998="","",J998-TODAY())</f>
        <v/>
      </c>
      <c r="T998" s="24" t="str">
        <f aca="false">IF(A998="","",IF(OR(AND(R998&lt;&gt;"",R998&lt;0),AND(S998&lt;&gt;"",S998&lt;0)),"EXPIRED",IF(OR(AND(R998&lt;&gt;"",R998&lt;=Settings!$B$15),AND(S998&lt;&gt;"",S998&lt;=Settings!$B$15)),"EXPIRING SOON","OK")))</f>
        <v/>
      </c>
      <c r="U998" s="24" t="str">
        <f aca="false">IF(AND(C998="Own",Q998="Active"),COUNTIFS($C$5:C998,"Own",$Q$5:Q998,"Active"),"")</f>
        <v/>
      </c>
      <c r="V998" s="26" t="str">
        <f aca="false">IF(C998&lt;&gt;"Own","",IF(K998="Hourly",N998,(L998+M998)/(Settings!$B$11*Settings!$B$12)))</f>
        <v/>
      </c>
    </row>
    <row r="999" customFormat="false" ht="15" hidden="false" customHeight="false" outlineLevel="0" collapsed="false">
      <c r="R999" s="25" t="str">
        <f aca="true">IF(I999="","",I999-TODAY())</f>
        <v/>
      </c>
      <c r="S999" s="25" t="str">
        <f aca="true">IF(J999="","",J999-TODAY())</f>
        <v/>
      </c>
      <c r="T999" s="24" t="str">
        <f aca="false">IF(A999="","",IF(OR(AND(R999&lt;&gt;"",R999&lt;0),AND(S999&lt;&gt;"",S999&lt;0)),"EXPIRED",IF(OR(AND(R999&lt;&gt;"",R999&lt;=Settings!$B$15),AND(S999&lt;&gt;"",S999&lt;=Settings!$B$15)),"EXPIRING SOON","OK")))</f>
        <v/>
      </c>
      <c r="U999" s="24" t="str">
        <f aca="false">IF(AND(C999="Own",Q999="Active"),COUNTIFS($C$5:C999,"Own",$Q$5:Q999,"Active"),"")</f>
        <v/>
      </c>
      <c r="V999" s="26" t="str">
        <f aca="false">IF(C999&lt;&gt;"Own","",IF(K999="Hourly",N999,(L999+M999)/(Settings!$B$11*Settings!$B$12)))</f>
        <v/>
      </c>
    </row>
    <row r="1000" customFormat="false" ht="15" hidden="false" customHeight="false" outlineLevel="0" collapsed="false">
      <c r="R1000" s="25" t="str">
        <f aca="true">IF(I1000="","",I1000-TODAY())</f>
        <v/>
      </c>
      <c r="S1000" s="25" t="str">
        <f aca="true">IF(J1000="","",J1000-TODAY())</f>
        <v/>
      </c>
      <c r="T1000" s="24" t="str">
        <f aca="false">IF(A1000="","",IF(OR(AND(R1000&lt;&gt;"",R1000&lt;0),AND(S1000&lt;&gt;"",S1000&lt;0)),"EXPIRED",IF(OR(AND(R1000&lt;&gt;"",R1000&lt;=Settings!$B$15),AND(S1000&lt;&gt;"",S1000&lt;=Settings!$B$15)),"EXPIRING SOON","OK")))</f>
        <v/>
      </c>
      <c r="U1000" s="24" t="str">
        <f aca="false">IF(AND(C1000="Own",Q1000="Active"),COUNTIFS($C$5:C1000,"Own",$Q$5:Q1000,"Active"),"")</f>
        <v/>
      </c>
      <c r="V1000" s="26" t="str">
        <f aca="false">IF(C1000&lt;&gt;"Own","",IF(K1000="Hourly",N1000,(L1000+M1000)/(Settings!$B$11*Settings!$B$12)))</f>
        <v/>
      </c>
    </row>
    <row r="1001" customFormat="false" ht="15" hidden="false" customHeight="false" outlineLevel="0" collapsed="false">
      <c r="R1001" s="25" t="str">
        <f aca="true">IF(I1001="","",I1001-TODAY())</f>
        <v/>
      </c>
      <c r="S1001" s="25" t="str">
        <f aca="true">IF(J1001="","",J1001-TODAY())</f>
        <v/>
      </c>
      <c r="T1001" s="24" t="str">
        <f aca="false">IF(A1001="","",IF(OR(AND(R1001&lt;&gt;"",R1001&lt;0),AND(S1001&lt;&gt;"",S1001&lt;0)),"EXPIRED",IF(OR(AND(R1001&lt;&gt;"",R1001&lt;=Settings!$B$15),AND(S1001&lt;&gt;"",S1001&lt;=Settings!$B$15)),"EXPIRING SOON","OK")))</f>
        <v/>
      </c>
      <c r="U1001" s="24" t="str">
        <f aca="false">IF(AND(C1001="Own",Q1001="Active"),COUNTIFS($C$5:C1001,"Own",$Q$5:Q1001,"Active"),"")</f>
        <v/>
      </c>
      <c r="V1001" s="26" t="str">
        <f aca="false">IF(C1001&lt;&gt;"Own","",IF(K1001="Hourly",N1001,(L1001+M1001)/(Settings!$B$11*Settings!$B$12)))</f>
        <v/>
      </c>
    </row>
    <row r="1002" customFormat="false" ht="15" hidden="false" customHeight="false" outlineLevel="0" collapsed="false">
      <c r="R1002" s="25" t="str">
        <f aca="true">IF(I1002="","",I1002-TODAY())</f>
        <v/>
      </c>
      <c r="S1002" s="25" t="str">
        <f aca="true">IF(J1002="","",J1002-TODAY())</f>
        <v/>
      </c>
      <c r="T1002" s="24" t="str">
        <f aca="false">IF(A1002="","",IF(OR(AND(R1002&lt;&gt;"",R1002&lt;0),AND(S1002&lt;&gt;"",S1002&lt;0)),"EXPIRED",IF(OR(AND(R1002&lt;&gt;"",R1002&lt;=Settings!$B$15),AND(S1002&lt;&gt;"",S1002&lt;=Settings!$B$15)),"EXPIRING SOON","OK")))</f>
        <v/>
      </c>
      <c r="U1002" s="24" t="str">
        <f aca="false">IF(AND(C1002="Own",Q1002="Active"),COUNTIFS($C$5:C1002,"Own",$Q$5:Q1002,"Active"),"")</f>
        <v/>
      </c>
      <c r="V1002" s="26" t="str">
        <f aca="false">IF(C1002&lt;&gt;"Own","",IF(K1002="Hourly",N1002,(L1002+M1002)/(Settings!$B$11*Settings!$B$12)))</f>
        <v/>
      </c>
    </row>
    <row r="1003" customFormat="false" ht="15" hidden="false" customHeight="false" outlineLevel="0" collapsed="false">
      <c r="R1003" s="25" t="str">
        <f aca="true">IF(I1003="","",I1003-TODAY())</f>
        <v/>
      </c>
      <c r="S1003" s="25" t="str">
        <f aca="true">IF(J1003="","",J1003-TODAY())</f>
        <v/>
      </c>
      <c r="T1003" s="24" t="str">
        <f aca="false">IF(A1003="","",IF(OR(AND(R1003&lt;&gt;"",R1003&lt;0),AND(S1003&lt;&gt;"",S1003&lt;0)),"EXPIRED",IF(OR(AND(R1003&lt;&gt;"",R1003&lt;=Settings!$B$15),AND(S1003&lt;&gt;"",S1003&lt;=Settings!$B$15)),"EXPIRING SOON","OK")))</f>
        <v/>
      </c>
      <c r="U1003" s="24" t="str">
        <f aca="false">IF(AND(C1003="Own",Q1003="Active"),COUNTIFS($C$5:C1003,"Own",$Q$5:Q1003,"Active"),"")</f>
        <v/>
      </c>
      <c r="V1003" s="26" t="str">
        <f aca="false">IF(C1003&lt;&gt;"Own","",IF(K1003="Hourly",N1003,(L1003+M1003)/(Settings!$B$11*Settings!$B$12)))</f>
        <v/>
      </c>
    </row>
    <row r="1004" customFormat="false" ht="15" hidden="false" customHeight="false" outlineLevel="0" collapsed="false">
      <c r="R1004" s="25" t="str">
        <f aca="true">IF(I1004="","",I1004-TODAY())</f>
        <v/>
      </c>
      <c r="S1004" s="25" t="str">
        <f aca="true">IF(J1004="","",J1004-TODAY())</f>
        <v/>
      </c>
      <c r="T1004" s="24" t="str">
        <f aca="false">IF(A1004="","",IF(OR(AND(R1004&lt;&gt;"",R1004&lt;0),AND(S1004&lt;&gt;"",S1004&lt;0)),"EXPIRED",IF(OR(AND(R1004&lt;&gt;"",R1004&lt;=Settings!$B$15),AND(S1004&lt;&gt;"",S1004&lt;=Settings!$B$15)),"EXPIRING SOON","OK")))</f>
        <v/>
      </c>
      <c r="U1004" s="24" t="str">
        <f aca="false">IF(AND(C1004="Own",Q1004="Active"),COUNTIFS($C$5:C1004,"Own",$Q$5:Q1004,"Active"),"")</f>
        <v/>
      </c>
      <c r="V1004" s="26" t="str">
        <f aca="false">IF(C1004&lt;&gt;"Own","",IF(K1004="Hourly",N1004,(L1004+M1004)/(Settings!$B$11*Settings!$B$12)))</f>
        <v/>
      </c>
    </row>
    <row r="1005" customFormat="false" ht="15" hidden="false" customHeight="false" outlineLevel="0" collapsed="false">
      <c r="R1005" s="25" t="str">
        <f aca="true">IF(I1005="","",I1005-TODAY())</f>
        <v/>
      </c>
      <c r="S1005" s="25" t="str">
        <f aca="true">IF(J1005="","",J1005-TODAY())</f>
        <v/>
      </c>
      <c r="T1005" s="24" t="str">
        <f aca="false">IF(A1005="","",IF(OR(AND(R1005&lt;&gt;"",R1005&lt;0),AND(S1005&lt;&gt;"",S1005&lt;0)),"EXPIRED",IF(OR(AND(R1005&lt;&gt;"",R1005&lt;=Settings!$B$15),AND(S1005&lt;&gt;"",S1005&lt;=Settings!$B$15)),"EXPIRING SOON","OK")))</f>
        <v/>
      </c>
      <c r="U1005" s="24" t="str">
        <f aca="false">IF(AND(C1005="Own",Q1005="Active"),COUNTIFS($C$5:C1005,"Own",$Q$5:Q1005,"Active"),"")</f>
        <v/>
      </c>
      <c r="V1005" s="26" t="str">
        <f aca="false">IF(C1005&lt;&gt;"Own","",IF(K1005="Hourly",N1005,(L1005+M1005)/(Settings!$B$11*Settings!$B$12)))</f>
        <v/>
      </c>
    </row>
    <row r="1006" customFormat="false" ht="15" hidden="false" customHeight="false" outlineLevel="0" collapsed="false">
      <c r="R1006" s="25" t="str">
        <f aca="true">IF(I1006="","",I1006-TODAY())</f>
        <v/>
      </c>
      <c r="S1006" s="25" t="str">
        <f aca="true">IF(J1006="","",J1006-TODAY())</f>
        <v/>
      </c>
      <c r="T1006" s="24" t="str">
        <f aca="false">IF(A1006="","",IF(OR(AND(R1006&lt;&gt;"",R1006&lt;0),AND(S1006&lt;&gt;"",S1006&lt;0)),"EXPIRED",IF(OR(AND(R1006&lt;&gt;"",R1006&lt;=Settings!$B$15),AND(S1006&lt;&gt;"",S1006&lt;=Settings!$B$15)),"EXPIRING SOON","OK")))</f>
        <v/>
      </c>
      <c r="U1006" s="24" t="str">
        <f aca="false">IF(AND(C1006="Own",Q1006="Active"),COUNTIFS($C$5:C1006,"Own",$Q$5:Q1006,"Active"),"")</f>
        <v/>
      </c>
      <c r="V1006" s="26" t="str">
        <f aca="false">IF(C1006&lt;&gt;"Own","",IF(K1006="Hourly",N1006,(L1006+M1006)/(Settings!$B$11*Settings!$B$12)))</f>
        <v/>
      </c>
    </row>
    <row r="1007" customFormat="false" ht="15" hidden="false" customHeight="false" outlineLevel="0" collapsed="false">
      <c r="R1007" s="25" t="str">
        <f aca="true">IF(I1007="","",I1007-TODAY())</f>
        <v/>
      </c>
      <c r="S1007" s="25" t="str">
        <f aca="true">IF(J1007="","",J1007-TODAY())</f>
        <v/>
      </c>
      <c r="T1007" s="24" t="str">
        <f aca="false">IF(A1007="","",IF(OR(AND(R1007&lt;&gt;"",R1007&lt;0),AND(S1007&lt;&gt;"",S1007&lt;0)),"EXPIRED",IF(OR(AND(R1007&lt;&gt;"",R1007&lt;=Settings!$B$15),AND(S1007&lt;&gt;"",S1007&lt;=Settings!$B$15)),"EXPIRING SOON","OK")))</f>
        <v/>
      </c>
      <c r="U1007" s="24" t="str">
        <f aca="false">IF(AND(C1007="Own",Q1007="Active"),COUNTIFS($C$5:C1007,"Own",$Q$5:Q1007,"Active"),"")</f>
        <v/>
      </c>
      <c r="V1007" s="26" t="str">
        <f aca="false">IF(C1007&lt;&gt;"Own","",IF(K1007="Hourly",N1007,(L1007+M1007)/(Settings!$B$11*Settings!$B$12)))</f>
        <v/>
      </c>
    </row>
    <row r="1008" customFormat="false" ht="15" hidden="false" customHeight="false" outlineLevel="0" collapsed="false">
      <c r="R1008" s="25" t="str">
        <f aca="true">IF(I1008="","",I1008-TODAY())</f>
        <v/>
      </c>
      <c r="S1008" s="25" t="str">
        <f aca="true">IF(J1008="","",J1008-TODAY())</f>
        <v/>
      </c>
      <c r="T1008" s="24" t="str">
        <f aca="false">IF(A1008="","",IF(OR(AND(R1008&lt;&gt;"",R1008&lt;0),AND(S1008&lt;&gt;"",S1008&lt;0)),"EXPIRED",IF(OR(AND(R1008&lt;&gt;"",R1008&lt;=Settings!$B$15),AND(S1008&lt;&gt;"",S1008&lt;=Settings!$B$15)),"EXPIRING SOON","OK")))</f>
        <v/>
      </c>
      <c r="U1008" s="24" t="str">
        <f aca="false">IF(AND(C1008="Own",Q1008="Active"),COUNTIFS($C$5:C1008,"Own",$Q$5:Q1008,"Active"),"")</f>
        <v/>
      </c>
      <c r="V1008" s="26" t="str">
        <f aca="false">IF(C1008&lt;&gt;"Own","",IF(K1008="Hourly",N1008,(L1008+M1008)/(Settings!$B$11*Settings!$B$12)))</f>
        <v/>
      </c>
    </row>
    <row r="1009" customFormat="false" ht="15" hidden="false" customHeight="false" outlineLevel="0" collapsed="false">
      <c r="R1009" s="25" t="str">
        <f aca="true">IF(I1009="","",I1009-TODAY())</f>
        <v/>
      </c>
      <c r="S1009" s="25" t="str">
        <f aca="true">IF(J1009="","",J1009-TODAY())</f>
        <v/>
      </c>
      <c r="T1009" s="24" t="str">
        <f aca="false">IF(A1009="","",IF(OR(AND(R1009&lt;&gt;"",R1009&lt;0),AND(S1009&lt;&gt;"",S1009&lt;0)),"EXPIRED",IF(OR(AND(R1009&lt;&gt;"",R1009&lt;=Settings!$B$15),AND(S1009&lt;&gt;"",S1009&lt;=Settings!$B$15)),"EXPIRING SOON","OK")))</f>
        <v/>
      </c>
      <c r="U1009" s="24" t="str">
        <f aca="false">IF(AND(C1009="Own",Q1009="Active"),COUNTIFS($C$5:C1009,"Own",$Q$5:Q1009,"Active"),"")</f>
        <v/>
      </c>
      <c r="V1009" s="26" t="str">
        <f aca="false">IF(C1009&lt;&gt;"Own","",IF(K1009="Hourly",N1009,(L1009+M1009)/(Settings!$B$11*Settings!$B$12)))</f>
        <v/>
      </c>
    </row>
    <row r="1010" customFormat="false" ht="15" hidden="false" customHeight="false" outlineLevel="0" collapsed="false">
      <c r="R1010" s="25" t="str">
        <f aca="true">IF(I1010="","",I1010-TODAY())</f>
        <v/>
      </c>
      <c r="S1010" s="25" t="str">
        <f aca="true">IF(J1010="","",J1010-TODAY())</f>
        <v/>
      </c>
      <c r="T1010" s="24" t="str">
        <f aca="false">IF(A1010="","",IF(OR(AND(R1010&lt;&gt;"",R1010&lt;0),AND(S1010&lt;&gt;"",S1010&lt;0)),"EXPIRED",IF(OR(AND(R1010&lt;&gt;"",R1010&lt;=Settings!$B$15),AND(S1010&lt;&gt;"",S1010&lt;=Settings!$B$15)),"EXPIRING SOON","OK")))</f>
        <v/>
      </c>
      <c r="U1010" s="24" t="str">
        <f aca="false">IF(AND(C1010="Own",Q1010="Active"),COUNTIFS($C$5:C1010,"Own",$Q$5:Q1010,"Active"),"")</f>
        <v/>
      </c>
      <c r="V1010" s="26" t="str">
        <f aca="false">IF(C1010&lt;&gt;"Own","",IF(K1010="Hourly",N1010,(L1010+M1010)/(Settings!$B$11*Settings!$B$12)))</f>
        <v/>
      </c>
    </row>
    <row r="1011" customFormat="false" ht="15" hidden="false" customHeight="false" outlineLevel="0" collapsed="false">
      <c r="R1011" s="25" t="str">
        <f aca="true">IF(I1011="","",I1011-TODAY())</f>
        <v/>
      </c>
      <c r="S1011" s="25" t="str">
        <f aca="true">IF(J1011="","",J1011-TODAY())</f>
        <v/>
      </c>
      <c r="T1011" s="24" t="str">
        <f aca="false">IF(A1011="","",IF(OR(AND(R1011&lt;&gt;"",R1011&lt;0),AND(S1011&lt;&gt;"",S1011&lt;0)),"EXPIRED",IF(OR(AND(R1011&lt;&gt;"",R1011&lt;=Settings!$B$15),AND(S1011&lt;&gt;"",S1011&lt;=Settings!$B$15)),"EXPIRING SOON","OK")))</f>
        <v/>
      </c>
      <c r="U1011" s="24" t="str">
        <f aca="false">IF(AND(C1011="Own",Q1011="Active"),COUNTIFS($C$5:C1011,"Own",$Q$5:Q1011,"Active"),"")</f>
        <v/>
      </c>
      <c r="V1011" s="26" t="str">
        <f aca="false">IF(C1011&lt;&gt;"Own","",IF(K1011="Hourly",N1011,(L1011+M1011)/(Settings!$B$11*Settings!$B$12)))</f>
        <v/>
      </c>
    </row>
    <row r="1012" customFormat="false" ht="15" hidden="false" customHeight="false" outlineLevel="0" collapsed="false">
      <c r="R1012" s="25" t="str">
        <f aca="true">IF(I1012="","",I1012-TODAY())</f>
        <v/>
      </c>
      <c r="S1012" s="25" t="str">
        <f aca="true">IF(J1012="","",J1012-TODAY())</f>
        <v/>
      </c>
      <c r="T1012" s="24" t="str">
        <f aca="false">IF(A1012="","",IF(OR(AND(R1012&lt;&gt;"",R1012&lt;0),AND(S1012&lt;&gt;"",S1012&lt;0)),"EXPIRED",IF(OR(AND(R1012&lt;&gt;"",R1012&lt;=Settings!$B$15),AND(S1012&lt;&gt;"",S1012&lt;=Settings!$B$15)),"EXPIRING SOON","OK")))</f>
        <v/>
      </c>
      <c r="U1012" s="24" t="str">
        <f aca="false">IF(AND(C1012="Own",Q1012="Active"),COUNTIFS($C$5:C1012,"Own",$Q$5:Q1012,"Active"),"")</f>
        <v/>
      </c>
      <c r="V1012" s="26" t="str">
        <f aca="false">IF(C1012&lt;&gt;"Own","",IF(K1012="Hourly",N1012,(L1012+M1012)/(Settings!$B$11*Settings!$B$12)))</f>
        <v/>
      </c>
    </row>
    <row r="1013" customFormat="false" ht="15" hidden="false" customHeight="false" outlineLevel="0" collapsed="false">
      <c r="R1013" s="25" t="str">
        <f aca="true">IF(I1013="","",I1013-TODAY())</f>
        <v/>
      </c>
      <c r="S1013" s="25" t="str">
        <f aca="true">IF(J1013="","",J1013-TODAY())</f>
        <v/>
      </c>
      <c r="T1013" s="24" t="str">
        <f aca="false">IF(A1013="","",IF(OR(AND(R1013&lt;&gt;"",R1013&lt;0),AND(S1013&lt;&gt;"",S1013&lt;0)),"EXPIRED",IF(OR(AND(R1013&lt;&gt;"",R1013&lt;=Settings!$B$15),AND(S1013&lt;&gt;"",S1013&lt;=Settings!$B$15)),"EXPIRING SOON","OK")))</f>
        <v/>
      </c>
      <c r="U1013" s="24" t="str">
        <f aca="false">IF(AND(C1013="Own",Q1013="Active"),COUNTIFS($C$5:C1013,"Own",$Q$5:Q1013,"Active"),"")</f>
        <v/>
      </c>
      <c r="V1013" s="26" t="str">
        <f aca="false">IF(C1013&lt;&gt;"Own","",IF(K1013="Hourly",N1013,(L1013+M1013)/(Settings!$B$11*Settings!$B$12)))</f>
        <v/>
      </c>
    </row>
    <row r="1014" customFormat="false" ht="15" hidden="false" customHeight="false" outlineLevel="0" collapsed="false">
      <c r="R1014" s="25" t="str">
        <f aca="true">IF(I1014="","",I1014-TODAY())</f>
        <v/>
      </c>
      <c r="S1014" s="25" t="str">
        <f aca="true">IF(J1014="","",J1014-TODAY())</f>
        <v/>
      </c>
      <c r="T1014" s="24" t="str">
        <f aca="false">IF(A1014="","",IF(OR(AND(R1014&lt;&gt;"",R1014&lt;0),AND(S1014&lt;&gt;"",S1014&lt;0)),"EXPIRED",IF(OR(AND(R1014&lt;&gt;"",R1014&lt;=Settings!$B$15),AND(S1014&lt;&gt;"",S1014&lt;=Settings!$B$15)),"EXPIRING SOON","OK")))</f>
        <v/>
      </c>
      <c r="U1014" s="24" t="str">
        <f aca="false">IF(AND(C1014="Own",Q1014="Active"),COUNTIFS($C$5:C1014,"Own",$Q$5:Q1014,"Active"),"")</f>
        <v/>
      </c>
      <c r="V1014" s="26" t="str">
        <f aca="false">IF(C1014&lt;&gt;"Own","",IF(K1014="Hourly",N1014,(L1014+M1014)/(Settings!$B$11*Settings!$B$12)))</f>
        <v/>
      </c>
    </row>
    <row r="1015" customFormat="false" ht="15" hidden="false" customHeight="false" outlineLevel="0" collapsed="false">
      <c r="R1015" s="25" t="str">
        <f aca="true">IF(I1015="","",I1015-TODAY())</f>
        <v/>
      </c>
      <c r="S1015" s="25" t="str">
        <f aca="true">IF(J1015="","",J1015-TODAY())</f>
        <v/>
      </c>
      <c r="T1015" s="24" t="str">
        <f aca="false">IF(A1015="","",IF(OR(AND(R1015&lt;&gt;"",R1015&lt;0),AND(S1015&lt;&gt;"",S1015&lt;0)),"EXPIRED",IF(OR(AND(R1015&lt;&gt;"",R1015&lt;=Settings!$B$15),AND(S1015&lt;&gt;"",S1015&lt;=Settings!$B$15)),"EXPIRING SOON","OK")))</f>
        <v/>
      </c>
      <c r="U1015" s="24" t="str">
        <f aca="false">IF(AND(C1015="Own",Q1015="Active"),COUNTIFS($C$5:C1015,"Own",$Q$5:Q1015,"Active"),"")</f>
        <v/>
      </c>
      <c r="V1015" s="26" t="str">
        <f aca="false">IF(C1015&lt;&gt;"Own","",IF(K1015="Hourly",N1015,(L1015+M1015)/(Settings!$B$11*Settings!$B$12)))</f>
        <v/>
      </c>
    </row>
    <row r="1016" customFormat="false" ht="15" hidden="false" customHeight="false" outlineLevel="0" collapsed="false">
      <c r="R1016" s="25" t="str">
        <f aca="true">IF(I1016="","",I1016-TODAY())</f>
        <v/>
      </c>
      <c r="S1016" s="25" t="str">
        <f aca="true">IF(J1016="","",J1016-TODAY())</f>
        <v/>
      </c>
      <c r="T1016" s="24" t="str">
        <f aca="false">IF(A1016="","",IF(OR(AND(R1016&lt;&gt;"",R1016&lt;0),AND(S1016&lt;&gt;"",S1016&lt;0)),"EXPIRED",IF(OR(AND(R1016&lt;&gt;"",R1016&lt;=Settings!$B$15),AND(S1016&lt;&gt;"",S1016&lt;=Settings!$B$15)),"EXPIRING SOON","OK")))</f>
        <v/>
      </c>
      <c r="U1016" s="24" t="str">
        <f aca="false">IF(AND(C1016="Own",Q1016="Active"),COUNTIFS($C$5:C1016,"Own",$Q$5:Q1016,"Active"),"")</f>
        <v/>
      </c>
      <c r="V1016" s="26" t="str">
        <f aca="false">IF(C1016&lt;&gt;"Own","",IF(K1016="Hourly",N1016,(L1016+M1016)/(Settings!$B$11*Settings!$B$12)))</f>
        <v/>
      </c>
    </row>
    <row r="1017" customFormat="false" ht="15" hidden="false" customHeight="false" outlineLevel="0" collapsed="false">
      <c r="R1017" s="25" t="str">
        <f aca="true">IF(I1017="","",I1017-TODAY())</f>
        <v/>
      </c>
      <c r="S1017" s="25" t="str">
        <f aca="true">IF(J1017="","",J1017-TODAY())</f>
        <v/>
      </c>
      <c r="T1017" s="24" t="str">
        <f aca="false">IF(A1017="","",IF(OR(AND(R1017&lt;&gt;"",R1017&lt;0),AND(S1017&lt;&gt;"",S1017&lt;0)),"EXPIRED",IF(OR(AND(R1017&lt;&gt;"",R1017&lt;=Settings!$B$15),AND(S1017&lt;&gt;"",S1017&lt;=Settings!$B$15)),"EXPIRING SOON","OK")))</f>
        <v/>
      </c>
      <c r="U1017" s="24" t="str">
        <f aca="false">IF(AND(C1017="Own",Q1017="Active"),COUNTIFS($C$5:C1017,"Own",$Q$5:Q1017,"Active"),"")</f>
        <v/>
      </c>
      <c r="V1017" s="26" t="str">
        <f aca="false">IF(C1017&lt;&gt;"Own","",IF(K1017="Hourly",N1017,(L1017+M1017)/(Settings!$B$11*Settings!$B$12)))</f>
        <v/>
      </c>
    </row>
    <row r="1018" customFormat="false" ht="15" hidden="false" customHeight="false" outlineLevel="0" collapsed="false">
      <c r="R1018" s="25" t="str">
        <f aca="true">IF(I1018="","",I1018-TODAY())</f>
        <v/>
      </c>
      <c r="S1018" s="25" t="str">
        <f aca="true">IF(J1018="","",J1018-TODAY())</f>
        <v/>
      </c>
      <c r="T1018" s="24" t="str">
        <f aca="false">IF(A1018="","",IF(OR(AND(R1018&lt;&gt;"",R1018&lt;0),AND(S1018&lt;&gt;"",S1018&lt;0)),"EXPIRED",IF(OR(AND(R1018&lt;&gt;"",R1018&lt;=Settings!$B$15),AND(S1018&lt;&gt;"",S1018&lt;=Settings!$B$15)),"EXPIRING SOON","OK")))</f>
        <v/>
      </c>
      <c r="U1018" s="24" t="str">
        <f aca="false">IF(AND(C1018="Own",Q1018="Active"),COUNTIFS($C$5:C1018,"Own",$Q$5:Q1018,"Active"),"")</f>
        <v/>
      </c>
      <c r="V1018" s="26" t="str">
        <f aca="false">IF(C1018&lt;&gt;"Own","",IF(K1018="Hourly",N1018,(L1018+M1018)/(Settings!$B$11*Settings!$B$12)))</f>
        <v/>
      </c>
    </row>
    <row r="1019" customFormat="false" ht="15" hidden="false" customHeight="false" outlineLevel="0" collapsed="false">
      <c r="R1019" s="25" t="str">
        <f aca="true">IF(I1019="","",I1019-TODAY())</f>
        <v/>
      </c>
      <c r="S1019" s="25" t="str">
        <f aca="true">IF(J1019="","",J1019-TODAY())</f>
        <v/>
      </c>
      <c r="T1019" s="24" t="str">
        <f aca="false">IF(A1019="","",IF(OR(AND(R1019&lt;&gt;"",R1019&lt;0),AND(S1019&lt;&gt;"",S1019&lt;0)),"EXPIRED",IF(OR(AND(R1019&lt;&gt;"",R1019&lt;=Settings!$B$15),AND(S1019&lt;&gt;"",S1019&lt;=Settings!$B$15)),"EXPIRING SOON","OK")))</f>
        <v/>
      </c>
      <c r="U1019" s="24" t="str">
        <f aca="false">IF(AND(C1019="Own",Q1019="Active"),COUNTIFS($C$5:C1019,"Own",$Q$5:Q1019,"Active"),"")</f>
        <v/>
      </c>
      <c r="V1019" s="26" t="str">
        <f aca="false">IF(C1019&lt;&gt;"Own","",IF(K1019="Hourly",N1019,(L1019+M1019)/(Settings!$B$11*Settings!$B$12)))</f>
        <v/>
      </c>
    </row>
    <row r="1020" customFormat="false" ht="15" hidden="false" customHeight="false" outlineLevel="0" collapsed="false">
      <c r="R1020" s="25" t="str">
        <f aca="true">IF(I1020="","",I1020-TODAY())</f>
        <v/>
      </c>
      <c r="S1020" s="25" t="str">
        <f aca="true">IF(J1020="","",J1020-TODAY())</f>
        <v/>
      </c>
      <c r="T1020" s="24" t="str">
        <f aca="false">IF(A1020="","",IF(OR(AND(R1020&lt;&gt;"",R1020&lt;0),AND(S1020&lt;&gt;"",S1020&lt;0)),"EXPIRED",IF(OR(AND(R1020&lt;&gt;"",R1020&lt;=Settings!$B$15),AND(S1020&lt;&gt;"",S1020&lt;=Settings!$B$15)),"EXPIRING SOON","OK")))</f>
        <v/>
      </c>
      <c r="U1020" s="24" t="str">
        <f aca="false">IF(AND(C1020="Own",Q1020="Active"),COUNTIFS($C$5:C1020,"Own",$Q$5:Q1020,"Active"),"")</f>
        <v/>
      </c>
      <c r="V1020" s="26" t="str">
        <f aca="false">IF(C1020&lt;&gt;"Own","",IF(K1020="Hourly",N1020,(L1020+M1020)/(Settings!$B$11*Settings!$B$12)))</f>
        <v/>
      </c>
    </row>
    <row r="1021" customFormat="false" ht="15" hidden="false" customHeight="false" outlineLevel="0" collapsed="false">
      <c r="R1021" s="25" t="str">
        <f aca="true">IF(I1021="","",I1021-TODAY())</f>
        <v/>
      </c>
      <c r="S1021" s="25" t="str">
        <f aca="true">IF(J1021="","",J1021-TODAY())</f>
        <v/>
      </c>
      <c r="T1021" s="24" t="str">
        <f aca="false">IF(A1021="","",IF(OR(AND(R1021&lt;&gt;"",R1021&lt;0),AND(S1021&lt;&gt;"",S1021&lt;0)),"EXPIRED",IF(OR(AND(R1021&lt;&gt;"",R1021&lt;=Settings!$B$15),AND(S1021&lt;&gt;"",S1021&lt;=Settings!$B$15)),"EXPIRING SOON","OK")))</f>
        <v/>
      </c>
      <c r="U1021" s="24" t="str">
        <f aca="false">IF(AND(C1021="Own",Q1021="Active"),COUNTIFS($C$5:C1021,"Own",$Q$5:Q1021,"Active"),"")</f>
        <v/>
      </c>
      <c r="V1021" s="26" t="str">
        <f aca="false">IF(C1021&lt;&gt;"Own","",IF(K1021="Hourly",N1021,(L1021+M1021)/(Settings!$B$11*Settings!$B$12)))</f>
        <v/>
      </c>
    </row>
    <row r="1022" customFormat="false" ht="15" hidden="false" customHeight="false" outlineLevel="0" collapsed="false">
      <c r="R1022" s="25" t="str">
        <f aca="true">IF(I1022="","",I1022-TODAY())</f>
        <v/>
      </c>
      <c r="S1022" s="25" t="str">
        <f aca="true">IF(J1022="","",J1022-TODAY())</f>
        <v/>
      </c>
      <c r="T1022" s="24" t="str">
        <f aca="false">IF(A1022="","",IF(OR(AND(R1022&lt;&gt;"",R1022&lt;0),AND(S1022&lt;&gt;"",S1022&lt;0)),"EXPIRED",IF(OR(AND(R1022&lt;&gt;"",R1022&lt;=Settings!$B$15),AND(S1022&lt;&gt;"",S1022&lt;=Settings!$B$15)),"EXPIRING SOON","OK")))</f>
        <v/>
      </c>
      <c r="U1022" s="24" t="str">
        <f aca="false">IF(AND(C1022="Own",Q1022="Active"),COUNTIFS($C$5:C1022,"Own",$Q$5:Q1022,"Active"),"")</f>
        <v/>
      </c>
      <c r="V1022" s="26" t="str">
        <f aca="false">IF(C1022&lt;&gt;"Own","",IF(K1022="Hourly",N1022,(L1022+M1022)/(Settings!$B$11*Settings!$B$12)))</f>
        <v/>
      </c>
    </row>
    <row r="1023" customFormat="false" ht="15" hidden="false" customHeight="false" outlineLevel="0" collapsed="false">
      <c r="R1023" s="25" t="str">
        <f aca="true">IF(I1023="","",I1023-TODAY())</f>
        <v/>
      </c>
      <c r="S1023" s="25" t="str">
        <f aca="true">IF(J1023="","",J1023-TODAY())</f>
        <v/>
      </c>
      <c r="T1023" s="24" t="str">
        <f aca="false">IF(A1023="","",IF(OR(AND(R1023&lt;&gt;"",R1023&lt;0),AND(S1023&lt;&gt;"",S1023&lt;0)),"EXPIRED",IF(OR(AND(R1023&lt;&gt;"",R1023&lt;=Settings!$B$15),AND(S1023&lt;&gt;"",S1023&lt;=Settings!$B$15)),"EXPIRING SOON","OK")))</f>
        <v/>
      </c>
      <c r="U1023" s="24" t="str">
        <f aca="false">IF(AND(C1023="Own",Q1023="Active"),COUNTIFS($C$5:C1023,"Own",$Q$5:Q1023,"Active"),"")</f>
        <v/>
      </c>
      <c r="V1023" s="26" t="str">
        <f aca="false">IF(C1023&lt;&gt;"Own","",IF(K1023="Hourly",N1023,(L1023+M1023)/(Settings!$B$11*Settings!$B$12)))</f>
        <v/>
      </c>
    </row>
    <row r="1024" customFormat="false" ht="15" hidden="false" customHeight="false" outlineLevel="0" collapsed="false">
      <c r="R1024" s="25" t="str">
        <f aca="true">IF(I1024="","",I1024-TODAY())</f>
        <v/>
      </c>
      <c r="S1024" s="25" t="str">
        <f aca="true">IF(J1024="","",J1024-TODAY())</f>
        <v/>
      </c>
      <c r="T1024" s="24" t="str">
        <f aca="false">IF(A1024="","",IF(OR(AND(R1024&lt;&gt;"",R1024&lt;0),AND(S1024&lt;&gt;"",S1024&lt;0)),"EXPIRED",IF(OR(AND(R1024&lt;&gt;"",R1024&lt;=Settings!$B$15),AND(S1024&lt;&gt;"",S1024&lt;=Settings!$B$15)),"EXPIRING SOON","OK")))</f>
        <v/>
      </c>
      <c r="U1024" s="24" t="str">
        <f aca="false">IF(AND(C1024="Own",Q1024="Active"),COUNTIFS($C$5:C1024,"Own",$Q$5:Q1024,"Active"),"")</f>
        <v/>
      </c>
      <c r="V1024" s="26" t="str">
        <f aca="false">IF(C1024&lt;&gt;"Own","",IF(K1024="Hourly",N1024,(L1024+M1024)/(Settings!$B$11*Settings!$B$12)))</f>
        <v/>
      </c>
    </row>
    <row r="1025" customFormat="false" ht="15" hidden="false" customHeight="false" outlineLevel="0" collapsed="false">
      <c r="R1025" s="25" t="str">
        <f aca="true">IF(I1025="","",I1025-TODAY())</f>
        <v/>
      </c>
      <c r="S1025" s="25" t="str">
        <f aca="true">IF(J1025="","",J1025-TODAY())</f>
        <v/>
      </c>
      <c r="T1025" s="24" t="str">
        <f aca="false">IF(A1025="","",IF(OR(AND(R1025&lt;&gt;"",R1025&lt;0),AND(S1025&lt;&gt;"",S1025&lt;0)),"EXPIRED",IF(OR(AND(R1025&lt;&gt;"",R1025&lt;=Settings!$B$15),AND(S1025&lt;&gt;"",S1025&lt;=Settings!$B$15)),"EXPIRING SOON","OK")))</f>
        <v/>
      </c>
      <c r="U1025" s="24" t="str">
        <f aca="false">IF(AND(C1025="Own",Q1025="Active"),COUNTIFS($C$5:C1025,"Own",$Q$5:Q1025,"Active"),"")</f>
        <v/>
      </c>
      <c r="V1025" s="26" t="str">
        <f aca="false">IF(C1025&lt;&gt;"Own","",IF(K1025="Hourly",N1025,(L1025+M1025)/(Settings!$B$11*Settings!$B$12)))</f>
        <v/>
      </c>
    </row>
    <row r="1026" customFormat="false" ht="15" hidden="false" customHeight="false" outlineLevel="0" collapsed="false">
      <c r="R1026" s="25" t="str">
        <f aca="true">IF(I1026="","",I1026-TODAY())</f>
        <v/>
      </c>
      <c r="S1026" s="25" t="str">
        <f aca="true">IF(J1026="","",J1026-TODAY())</f>
        <v/>
      </c>
      <c r="T1026" s="24" t="str">
        <f aca="false">IF(A1026="","",IF(OR(AND(R1026&lt;&gt;"",R1026&lt;0),AND(S1026&lt;&gt;"",S1026&lt;0)),"EXPIRED",IF(OR(AND(R1026&lt;&gt;"",R1026&lt;=Settings!$B$15),AND(S1026&lt;&gt;"",S1026&lt;=Settings!$B$15)),"EXPIRING SOON","OK")))</f>
        <v/>
      </c>
      <c r="U1026" s="24" t="str">
        <f aca="false">IF(AND(C1026="Own",Q1026="Active"),COUNTIFS($C$5:C1026,"Own",$Q$5:Q1026,"Active"),"")</f>
        <v/>
      </c>
      <c r="V1026" s="26" t="str">
        <f aca="false">IF(C1026&lt;&gt;"Own","",IF(K1026="Hourly",N1026,(L1026+M1026)/(Settings!$B$11*Settings!$B$12)))</f>
        <v/>
      </c>
    </row>
    <row r="1027" customFormat="false" ht="15" hidden="false" customHeight="false" outlineLevel="0" collapsed="false">
      <c r="R1027" s="25" t="str">
        <f aca="true">IF(I1027="","",I1027-TODAY())</f>
        <v/>
      </c>
      <c r="S1027" s="25" t="str">
        <f aca="true">IF(J1027="","",J1027-TODAY())</f>
        <v/>
      </c>
      <c r="T1027" s="24" t="str">
        <f aca="false">IF(A1027="","",IF(OR(AND(R1027&lt;&gt;"",R1027&lt;0),AND(S1027&lt;&gt;"",S1027&lt;0)),"EXPIRED",IF(OR(AND(R1027&lt;&gt;"",R1027&lt;=Settings!$B$15),AND(S1027&lt;&gt;"",S1027&lt;=Settings!$B$15)),"EXPIRING SOON","OK")))</f>
        <v/>
      </c>
      <c r="U1027" s="24" t="str">
        <f aca="false">IF(AND(C1027="Own",Q1027="Active"),COUNTIFS($C$5:C1027,"Own",$Q$5:Q1027,"Active"),"")</f>
        <v/>
      </c>
      <c r="V1027" s="26" t="str">
        <f aca="false">IF(C1027&lt;&gt;"Own","",IF(K1027="Hourly",N1027,(L1027+M1027)/(Settings!$B$11*Settings!$B$12)))</f>
        <v/>
      </c>
    </row>
    <row r="1028" customFormat="false" ht="15" hidden="false" customHeight="false" outlineLevel="0" collapsed="false">
      <c r="R1028" s="25" t="str">
        <f aca="true">IF(I1028="","",I1028-TODAY())</f>
        <v/>
      </c>
      <c r="S1028" s="25" t="str">
        <f aca="true">IF(J1028="","",J1028-TODAY())</f>
        <v/>
      </c>
      <c r="T1028" s="24" t="str">
        <f aca="false">IF(A1028="","",IF(OR(AND(R1028&lt;&gt;"",R1028&lt;0),AND(S1028&lt;&gt;"",S1028&lt;0)),"EXPIRED",IF(OR(AND(R1028&lt;&gt;"",R1028&lt;=Settings!$B$15),AND(S1028&lt;&gt;"",S1028&lt;=Settings!$B$15)),"EXPIRING SOON","OK")))</f>
        <v/>
      </c>
      <c r="U1028" s="24" t="str">
        <f aca="false">IF(AND(C1028="Own",Q1028="Active"),COUNTIFS($C$5:C1028,"Own",$Q$5:Q1028,"Active"),"")</f>
        <v/>
      </c>
      <c r="V1028" s="26" t="str">
        <f aca="false">IF(C1028&lt;&gt;"Own","",IF(K1028="Hourly",N1028,(L1028+M1028)/(Settings!$B$11*Settings!$B$12)))</f>
        <v/>
      </c>
    </row>
    <row r="1029" customFormat="false" ht="15" hidden="false" customHeight="false" outlineLevel="0" collapsed="false">
      <c r="R1029" s="25" t="str">
        <f aca="true">IF(I1029="","",I1029-TODAY())</f>
        <v/>
      </c>
      <c r="S1029" s="25" t="str">
        <f aca="true">IF(J1029="","",J1029-TODAY())</f>
        <v/>
      </c>
      <c r="T1029" s="24" t="str">
        <f aca="false">IF(A1029="","",IF(OR(AND(R1029&lt;&gt;"",R1029&lt;0),AND(S1029&lt;&gt;"",S1029&lt;0)),"EXPIRED",IF(OR(AND(R1029&lt;&gt;"",R1029&lt;=Settings!$B$15),AND(S1029&lt;&gt;"",S1029&lt;=Settings!$B$15)),"EXPIRING SOON","OK")))</f>
        <v/>
      </c>
      <c r="U1029" s="24" t="str">
        <f aca="false">IF(AND(C1029="Own",Q1029="Active"),COUNTIFS($C$5:C1029,"Own",$Q$5:Q1029,"Active"),"")</f>
        <v/>
      </c>
      <c r="V1029" s="26" t="str">
        <f aca="false">IF(C1029&lt;&gt;"Own","",IF(K1029="Hourly",N1029,(L1029+M1029)/(Settings!$B$11*Settings!$B$12)))</f>
        <v/>
      </c>
    </row>
    <row r="1030" customFormat="false" ht="15" hidden="false" customHeight="false" outlineLevel="0" collapsed="false">
      <c r="R1030" s="25" t="str">
        <f aca="true">IF(I1030="","",I1030-TODAY())</f>
        <v/>
      </c>
      <c r="S1030" s="25" t="str">
        <f aca="true">IF(J1030="","",J1030-TODAY())</f>
        <v/>
      </c>
      <c r="T1030" s="24" t="str">
        <f aca="false">IF(A1030="","",IF(OR(AND(R1030&lt;&gt;"",R1030&lt;0),AND(S1030&lt;&gt;"",S1030&lt;0)),"EXPIRED",IF(OR(AND(R1030&lt;&gt;"",R1030&lt;=Settings!$B$15),AND(S1030&lt;&gt;"",S1030&lt;=Settings!$B$15)),"EXPIRING SOON","OK")))</f>
        <v/>
      </c>
      <c r="U1030" s="24" t="str">
        <f aca="false">IF(AND(C1030="Own",Q1030="Active"),COUNTIFS($C$5:C1030,"Own",$Q$5:Q1030,"Active"),"")</f>
        <v/>
      </c>
      <c r="V1030" s="26" t="str">
        <f aca="false">IF(C1030&lt;&gt;"Own","",IF(K1030="Hourly",N1030,(L1030+M1030)/(Settings!$B$11*Settings!$B$12)))</f>
        <v/>
      </c>
    </row>
    <row r="1031" customFormat="false" ht="15" hidden="false" customHeight="false" outlineLevel="0" collapsed="false">
      <c r="R1031" s="25" t="str">
        <f aca="true">IF(I1031="","",I1031-TODAY())</f>
        <v/>
      </c>
      <c r="S1031" s="25" t="str">
        <f aca="true">IF(J1031="","",J1031-TODAY())</f>
        <v/>
      </c>
      <c r="T1031" s="24" t="str">
        <f aca="false">IF(A1031="","",IF(OR(AND(R1031&lt;&gt;"",R1031&lt;0),AND(S1031&lt;&gt;"",S1031&lt;0)),"EXPIRED",IF(OR(AND(R1031&lt;&gt;"",R1031&lt;=Settings!$B$15),AND(S1031&lt;&gt;"",S1031&lt;=Settings!$B$15)),"EXPIRING SOON","OK")))</f>
        <v/>
      </c>
      <c r="U1031" s="24" t="str">
        <f aca="false">IF(AND(C1031="Own",Q1031="Active"),COUNTIFS($C$5:C1031,"Own",$Q$5:Q1031,"Active"),"")</f>
        <v/>
      </c>
      <c r="V1031" s="26" t="str">
        <f aca="false">IF(C1031&lt;&gt;"Own","",IF(K1031="Hourly",N1031,(L1031+M1031)/(Settings!$B$11*Settings!$B$12)))</f>
        <v/>
      </c>
    </row>
    <row r="1032" customFormat="false" ht="15" hidden="false" customHeight="false" outlineLevel="0" collapsed="false">
      <c r="R1032" s="25" t="str">
        <f aca="true">IF(I1032="","",I1032-TODAY())</f>
        <v/>
      </c>
      <c r="S1032" s="25" t="str">
        <f aca="true">IF(J1032="","",J1032-TODAY())</f>
        <v/>
      </c>
      <c r="T1032" s="24" t="str">
        <f aca="false">IF(A1032="","",IF(OR(AND(R1032&lt;&gt;"",R1032&lt;0),AND(S1032&lt;&gt;"",S1032&lt;0)),"EXPIRED",IF(OR(AND(R1032&lt;&gt;"",R1032&lt;=Settings!$B$15),AND(S1032&lt;&gt;"",S1032&lt;=Settings!$B$15)),"EXPIRING SOON","OK")))</f>
        <v/>
      </c>
      <c r="U1032" s="24" t="str">
        <f aca="false">IF(AND(C1032="Own",Q1032="Active"),COUNTIFS($C$5:C1032,"Own",$Q$5:Q1032,"Active"),"")</f>
        <v/>
      </c>
      <c r="V1032" s="26" t="str">
        <f aca="false">IF(C1032&lt;&gt;"Own","",IF(K1032="Hourly",N1032,(L1032+M1032)/(Settings!$B$11*Settings!$B$12)))</f>
        <v/>
      </c>
    </row>
    <row r="1033" customFormat="false" ht="15" hidden="false" customHeight="false" outlineLevel="0" collapsed="false">
      <c r="R1033" s="25" t="str">
        <f aca="true">IF(I1033="","",I1033-TODAY())</f>
        <v/>
      </c>
      <c r="S1033" s="25" t="str">
        <f aca="true">IF(J1033="","",J1033-TODAY())</f>
        <v/>
      </c>
      <c r="T1033" s="24" t="str">
        <f aca="false">IF(A1033="","",IF(OR(AND(R1033&lt;&gt;"",R1033&lt;0),AND(S1033&lt;&gt;"",S1033&lt;0)),"EXPIRED",IF(OR(AND(R1033&lt;&gt;"",R1033&lt;=Settings!$B$15),AND(S1033&lt;&gt;"",S1033&lt;=Settings!$B$15)),"EXPIRING SOON","OK")))</f>
        <v/>
      </c>
      <c r="U1033" s="24" t="str">
        <f aca="false">IF(AND(C1033="Own",Q1033="Active"),COUNTIFS($C$5:C1033,"Own",$Q$5:Q1033,"Active"),"")</f>
        <v/>
      </c>
      <c r="V1033" s="26" t="str">
        <f aca="false">IF(C1033&lt;&gt;"Own","",IF(K1033="Hourly",N1033,(L1033+M1033)/(Settings!$B$11*Settings!$B$12)))</f>
        <v/>
      </c>
    </row>
    <row r="1034" customFormat="false" ht="15" hidden="false" customHeight="false" outlineLevel="0" collapsed="false">
      <c r="R1034" s="25" t="str">
        <f aca="true">IF(I1034="","",I1034-TODAY())</f>
        <v/>
      </c>
      <c r="S1034" s="25" t="str">
        <f aca="true">IF(J1034="","",J1034-TODAY())</f>
        <v/>
      </c>
      <c r="T1034" s="24" t="str">
        <f aca="false">IF(A1034="","",IF(OR(AND(R1034&lt;&gt;"",R1034&lt;0),AND(S1034&lt;&gt;"",S1034&lt;0)),"EXPIRED",IF(OR(AND(R1034&lt;&gt;"",R1034&lt;=Settings!$B$15),AND(S1034&lt;&gt;"",S1034&lt;=Settings!$B$15)),"EXPIRING SOON","OK")))</f>
        <v/>
      </c>
      <c r="U1034" s="24" t="str">
        <f aca="false">IF(AND(C1034="Own",Q1034="Active"),COUNTIFS($C$5:C1034,"Own",$Q$5:Q1034,"Active"),"")</f>
        <v/>
      </c>
      <c r="V1034" s="26" t="str">
        <f aca="false">IF(C1034&lt;&gt;"Own","",IF(K1034="Hourly",N1034,(L1034+M1034)/(Settings!$B$11*Settings!$B$12)))</f>
        <v/>
      </c>
    </row>
    <row r="1035" customFormat="false" ht="15" hidden="false" customHeight="false" outlineLevel="0" collapsed="false">
      <c r="R1035" s="25" t="str">
        <f aca="true">IF(I1035="","",I1035-TODAY())</f>
        <v/>
      </c>
      <c r="S1035" s="25" t="str">
        <f aca="true">IF(J1035="","",J1035-TODAY())</f>
        <v/>
      </c>
      <c r="T1035" s="24" t="str">
        <f aca="false">IF(A1035="","",IF(OR(AND(R1035&lt;&gt;"",R1035&lt;0),AND(S1035&lt;&gt;"",S1035&lt;0)),"EXPIRED",IF(OR(AND(R1035&lt;&gt;"",R1035&lt;=Settings!$B$15),AND(S1035&lt;&gt;"",S1035&lt;=Settings!$B$15)),"EXPIRING SOON","OK")))</f>
        <v/>
      </c>
      <c r="U1035" s="24" t="str">
        <f aca="false">IF(AND(C1035="Own",Q1035="Active"),COUNTIFS($C$5:C1035,"Own",$Q$5:Q1035,"Active"),"")</f>
        <v/>
      </c>
      <c r="V1035" s="26" t="str">
        <f aca="false">IF(C1035&lt;&gt;"Own","",IF(K1035="Hourly",N1035,(L1035+M1035)/(Settings!$B$11*Settings!$B$12)))</f>
        <v/>
      </c>
    </row>
    <row r="1036" customFormat="false" ht="15" hidden="false" customHeight="false" outlineLevel="0" collapsed="false">
      <c r="R1036" s="25" t="str">
        <f aca="true">IF(I1036="","",I1036-TODAY())</f>
        <v/>
      </c>
      <c r="S1036" s="25" t="str">
        <f aca="true">IF(J1036="","",J1036-TODAY())</f>
        <v/>
      </c>
      <c r="T1036" s="24" t="str">
        <f aca="false">IF(A1036="","",IF(OR(AND(R1036&lt;&gt;"",R1036&lt;0),AND(S1036&lt;&gt;"",S1036&lt;0)),"EXPIRED",IF(OR(AND(R1036&lt;&gt;"",R1036&lt;=Settings!$B$15),AND(S1036&lt;&gt;"",S1036&lt;=Settings!$B$15)),"EXPIRING SOON","OK")))</f>
        <v/>
      </c>
      <c r="U1036" s="24" t="str">
        <f aca="false">IF(AND(C1036="Own",Q1036="Active"),COUNTIFS($C$5:C1036,"Own",$Q$5:Q1036,"Active"),"")</f>
        <v/>
      </c>
      <c r="V1036" s="26" t="str">
        <f aca="false">IF(C1036&lt;&gt;"Own","",IF(K1036="Hourly",N1036,(L1036+M1036)/(Settings!$B$11*Settings!$B$12)))</f>
        <v/>
      </c>
    </row>
    <row r="1037" customFormat="false" ht="15" hidden="false" customHeight="false" outlineLevel="0" collapsed="false">
      <c r="R1037" s="25" t="str">
        <f aca="true">IF(I1037="","",I1037-TODAY())</f>
        <v/>
      </c>
      <c r="S1037" s="25" t="str">
        <f aca="true">IF(J1037="","",J1037-TODAY())</f>
        <v/>
      </c>
      <c r="T1037" s="24" t="str">
        <f aca="false">IF(A1037="","",IF(OR(AND(R1037&lt;&gt;"",R1037&lt;0),AND(S1037&lt;&gt;"",S1037&lt;0)),"EXPIRED",IF(OR(AND(R1037&lt;&gt;"",R1037&lt;=Settings!$B$15),AND(S1037&lt;&gt;"",S1037&lt;=Settings!$B$15)),"EXPIRING SOON","OK")))</f>
        <v/>
      </c>
      <c r="U1037" s="24" t="str">
        <f aca="false">IF(AND(C1037="Own",Q1037="Active"),COUNTIFS($C$5:C1037,"Own",$Q$5:Q1037,"Active"),"")</f>
        <v/>
      </c>
      <c r="V1037" s="26" t="str">
        <f aca="false">IF(C1037&lt;&gt;"Own","",IF(K1037="Hourly",N1037,(L1037+M1037)/(Settings!$B$11*Settings!$B$12)))</f>
        <v/>
      </c>
    </row>
    <row r="1038" customFormat="false" ht="15" hidden="false" customHeight="false" outlineLevel="0" collapsed="false">
      <c r="R1038" s="25" t="str">
        <f aca="true">IF(I1038="","",I1038-TODAY())</f>
        <v/>
      </c>
      <c r="S1038" s="25" t="str">
        <f aca="true">IF(J1038="","",J1038-TODAY())</f>
        <v/>
      </c>
      <c r="T1038" s="24" t="str">
        <f aca="false">IF(A1038="","",IF(OR(AND(R1038&lt;&gt;"",R1038&lt;0),AND(S1038&lt;&gt;"",S1038&lt;0)),"EXPIRED",IF(OR(AND(R1038&lt;&gt;"",R1038&lt;=Settings!$B$15),AND(S1038&lt;&gt;"",S1038&lt;=Settings!$B$15)),"EXPIRING SOON","OK")))</f>
        <v/>
      </c>
      <c r="U1038" s="24" t="str">
        <f aca="false">IF(AND(C1038="Own",Q1038="Active"),COUNTIFS($C$5:C1038,"Own",$Q$5:Q1038,"Active"),"")</f>
        <v/>
      </c>
      <c r="V1038" s="26" t="str">
        <f aca="false">IF(C1038&lt;&gt;"Own","",IF(K1038="Hourly",N1038,(L1038+M1038)/(Settings!$B$11*Settings!$B$12)))</f>
        <v/>
      </c>
    </row>
    <row r="1039" customFormat="false" ht="15" hidden="false" customHeight="false" outlineLevel="0" collapsed="false">
      <c r="R1039" s="25" t="str">
        <f aca="true">IF(I1039="","",I1039-TODAY())</f>
        <v/>
      </c>
      <c r="S1039" s="25" t="str">
        <f aca="true">IF(J1039="","",J1039-TODAY())</f>
        <v/>
      </c>
      <c r="T1039" s="24" t="str">
        <f aca="false">IF(A1039="","",IF(OR(AND(R1039&lt;&gt;"",R1039&lt;0),AND(S1039&lt;&gt;"",S1039&lt;0)),"EXPIRED",IF(OR(AND(R1039&lt;&gt;"",R1039&lt;=Settings!$B$15),AND(S1039&lt;&gt;"",S1039&lt;=Settings!$B$15)),"EXPIRING SOON","OK")))</f>
        <v/>
      </c>
      <c r="U1039" s="24" t="str">
        <f aca="false">IF(AND(C1039="Own",Q1039="Active"),COUNTIFS($C$5:C1039,"Own",$Q$5:Q1039,"Active"),"")</f>
        <v/>
      </c>
      <c r="V1039" s="26" t="str">
        <f aca="false">IF(C1039&lt;&gt;"Own","",IF(K1039="Hourly",N1039,(L1039+M1039)/(Settings!$B$11*Settings!$B$12)))</f>
        <v/>
      </c>
    </row>
    <row r="1040" customFormat="false" ht="15" hidden="false" customHeight="false" outlineLevel="0" collapsed="false">
      <c r="R1040" s="25" t="str">
        <f aca="true">IF(I1040="","",I1040-TODAY())</f>
        <v/>
      </c>
      <c r="S1040" s="25" t="str">
        <f aca="true">IF(J1040="","",J1040-TODAY())</f>
        <v/>
      </c>
      <c r="T1040" s="24" t="str">
        <f aca="false">IF(A1040="","",IF(OR(AND(R1040&lt;&gt;"",R1040&lt;0),AND(S1040&lt;&gt;"",S1040&lt;0)),"EXPIRED",IF(OR(AND(R1040&lt;&gt;"",R1040&lt;=Settings!$B$15),AND(S1040&lt;&gt;"",S1040&lt;=Settings!$B$15)),"EXPIRING SOON","OK")))</f>
        <v/>
      </c>
      <c r="U1040" s="24" t="str">
        <f aca="false">IF(AND(C1040="Own",Q1040="Active"),COUNTIFS($C$5:C1040,"Own",$Q$5:Q1040,"Active"),"")</f>
        <v/>
      </c>
      <c r="V1040" s="26" t="str">
        <f aca="false">IF(C1040&lt;&gt;"Own","",IF(K1040="Hourly",N1040,(L1040+M1040)/(Settings!$B$11*Settings!$B$12)))</f>
        <v/>
      </c>
    </row>
    <row r="1041" customFormat="false" ht="15" hidden="false" customHeight="false" outlineLevel="0" collapsed="false">
      <c r="R1041" s="25" t="str">
        <f aca="true">IF(I1041="","",I1041-TODAY())</f>
        <v/>
      </c>
      <c r="S1041" s="25" t="str">
        <f aca="true">IF(J1041="","",J1041-TODAY())</f>
        <v/>
      </c>
      <c r="T1041" s="24" t="str">
        <f aca="false">IF(A1041="","",IF(OR(AND(R1041&lt;&gt;"",R1041&lt;0),AND(S1041&lt;&gt;"",S1041&lt;0)),"EXPIRED",IF(OR(AND(R1041&lt;&gt;"",R1041&lt;=Settings!$B$15),AND(S1041&lt;&gt;"",S1041&lt;=Settings!$B$15)),"EXPIRING SOON","OK")))</f>
        <v/>
      </c>
      <c r="U1041" s="24" t="str">
        <f aca="false">IF(AND(C1041="Own",Q1041="Active"),COUNTIFS($C$5:C1041,"Own",$Q$5:Q1041,"Active"),"")</f>
        <v/>
      </c>
      <c r="V1041" s="26" t="str">
        <f aca="false">IF(C1041&lt;&gt;"Own","",IF(K1041="Hourly",N1041,(L1041+M1041)/(Settings!$B$11*Settings!$B$12)))</f>
        <v/>
      </c>
    </row>
    <row r="1042" customFormat="false" ht="15" hidden="false" customHeight="false" outlineLevel="0" collapsed="false">
      <c r="R1042" s="25" t="str">
        <f aca="true">IF(I1042="","",I1042-TODAY())</f>
        <v/>
      </c>
      <c r="S1042" s="25" t="str">
        <f aca="true">IF(J1042="","",J1042-TODAY())</f>
        <v/>
      </c>
      <c r="T1042" s="24" t="str">
        <f aca="false">IF(A1042="","",IF(OR(AND(R1042&lt;&gt;"",R1042&lt;0),AND(S1042&lt;&gt;"",S1042&lt;0)),"EXPIRED",IF(OR(AND(R1042&lt;&gt;"",R1042&lt;=Settings!$B$15),AND(S1042&lt;&gt;"",S1042&lt;=Settings!$B$15)),"EXPIRING SOON","OK")))</f>
        <v/>
      </c>
      <c r="U1042" s="24" t="str">
        <f aca="false">IF(AND(C1042="Own",Q1042="Active"),COUNTIFS($C$5:C1042,"Own",$Q$5:Q1042,"Active"),"")</f>
        <v/>
      </c>
      <c r="V1042" s="26" t="str">
        <f aca="false">IF(C1042&lt;&gt;"Own","",IF(K1042="Hourly",N1042,(L1042+M1042)/(Settings!$B$11*Settings!$B$12)))</f>
        <v/>
      </c>
    </row>
    <row r="1043" customFormat="false" ht="15" hidden="false" customHeight="false" outlineLevel="0" collapsed="false">
      <c r="R1043" s="25" t="str">
        <f aca="true">IF(I1043="","",I1043-TODAY())</f>
        <v/>
      </c>
      <c r="S1043" s="25" t="str">
        <f aca="true">IF(J1043="","",J1043-TODAY())</f>
        <v/>
      </c>
      <c r="T1043" s="24" t="str">
        <f aca="false">IF(A1043="","",IF(OR(AND(R1043&lt;&gt;"",R1043&lt;0),AND(S1043&lt;&gt;"",S1043&lt;0)),"EXPIRED",IF(OR(AND(R1043&lt;&gt;"",R1043&lt;=Settings!$B$15),AND(S1043&lt;&gt;"",S1043&lt;=Settings!$B$15)),"EXPIRING SOON","OK")))</f>
        <v/>
      </c>
      <c r="U1043" s="24" t="str">
        <f aca="false">IF(AND(C1043="Own",Q1043="Active"),COUNTIFS($C$5:C1043,"Own",$Q$5:Q1043,"Active"),"")</f>
        <v/>
      </c>
      <c r="V1043" s="26" t="str">
        <f aca="false">IF(C1043&lt;&gt;"Own","",IF(K1043="Hourly",N1043,(L1043+M1043)/(Settings!$B$11*Settings!$B$12)))</f>
        <v/>
      </c>
    </row>
    <row r="1044" customFormat="false" ht="15" hidden="false" customHeight="false" outlineLevel="0" collapsed="false">
      <c r="R1044" s="25" t="str">
        <f aca="true">IF(I1044="","",I1044-TODAY())</f>
        <v/>
      </c>
      <c r="S1044" s="25" t="str">
        <f aca="true">IF(J1044="","",J1044-TODAY())</f>
        <v/>
      </c>
      <c r="T1044" s="24" t="str">
        <f aca="false">IF(A1044="","",IF(OR(AND(R1044&lt;&gt;"",R1044&lt;0),AND(S1044&lt;&gt;"",S1044&lt;0)),"EXPIRED",IF(OR(AND(R1044&lt;&gt;"",R1044&lt;=Settings!$B$15),AND(S1044&lt;&gt;"",S1044&lt;=Settings!$B$15)),"EXPIRING SOON","OK")))</f>
        <v/>
      </c>
      <c r="U1044" s="24" t="str">
        <f aca="false">IF(AND(C1044="Own",Q1044="Active"),COUNTIFS($C$5:C1044,"Own",$Q$5:Q1044,"Active"),"")</f>
        <v/>
      </c>
      <c r="V1044" s="26" t="str">
        <f aca="false">IF(C1044&lt;&gt;"Own","",IF(K1044="Hourly",N1044,(L1044+M1044)/(Settings!$B$11*Settings!$B$12)))</f>
        <v/>
      </c>
    </row>
    <row r="1045" customFormat="false" ht="15" hidden="false" customHeight="false" outlineLevel="0" collapsed="false">
      <c r="R1045" s="25" t="str">
        <f aca="true">IF(I1045="","",I1045-TODAY())</f>
        <v/>
      </c>
      <c r="S1045" s="25" t="str">
        <f aca="true">IF(J1045="","",J1045-TODAY())</f>
        <v/>
      </c>
      <c r="T1045" s="24" t="str">
        <f aca="false">IF(A1045="","",IF(OR(AND(R1045&lt;&gt;"",R1045&lt;0),AND(S1045&lt;&gt;"",S1045&lt;0)),"EXPIRED",IF(OR(AND(R1045&lt;&gt;"",R1045&lt;=Settings!$B$15),AND(S1045&lt;&gt;"",S1045&lt;=Settings!$B$15)),"EXPIRING SOON","OK")))</f>
        <v/>
      </c>
      <c r="U1045" s="24" t="str">
        <f aca="false">IF(AND(C1045="Own",Q1045="Active"),COUNTIFS($C$5:C1045,"Own",$Q$5:Q1045,"Active"),"")</f>
        <v/>
      </c>
      <c r="V1045" s="26" t="str">
        <f aca="false">IF(C1045&lt;&gt;"Own","",IF(K1045="Hourly",N1045,(L1045+M1045)/(Settings!$B$11*Settings!$B$12)))</f>
        <v/>
      </c>
    </row>
    <row r="1046" customFormat="false" ht="15" hidden="false" customHeight="false" outlineLevel="0" collapsed="false">
      <c r="R1046" s="25" t="str">
        <f aca="true">IF(I1046="","",I1046-TODAY())</f>
        <v/>
      </c>
      <c r="S1046" s="25" t="str">
        <f aca="true">IF(J1046="","",J1046-TODAY())</f>
        <v/>
      </c>
      <c r="T1046" s="24" t="str">
        <f aca="false">IF(A1046="","",IF(OR(AND(R1046&lt;&gt;"",R1046&lt;0),AND(S1046&lt;&gt;"",S1046&lt;0)),"EXPIRED",IF(OR(AND(R1046&lt;&gt;"",R1046&lt;=Settings!$B$15),AND(S1046&lt;&gt;"",S1046&lt;=Settings!$B$15)),"EXPIRING SOON","OK")))</f>
        <v/>
      </c>
      <c r="U1046" s="24" t="str">
        <f aca="false">IF(AND(C1046="Own",Q1046="Active"),COUNTIFS($C$5:C1046,"Own",$Q$5:Q1046,"Active"),"")</f>
        <v/>
      </c>
      <c r="V1046" s="26" t="str">
        <f aca="false">IF(C1046&lt;&gt;"Own","",IF(K1046="Hourly",N1046,(L1046+M1046)/(Settings!$B$11*Settings!$B$12)))</f>
        <v/>
      </c>
    </row>
    <row r="1047" customFormat="false" ht="15" hidden="false" customHeight="false" outlineLevel="0" collapsed="false">
      <c r="R1047" s="25" t="str">
        <f aca="true">IF(I1047="","",I1047-TODAY())</f>
        <v/>
      </c>
      <c r="S1047" s="25" t="str">
        <f aca="true">IF(J1047="","",J1047-TODAY())</f>
        <v/>
      </c>
      <c r="T1047" s="24" t="str">
        <f aca="false">IF(A1047="","",IF(OR(AND(R1047&lt;&gt;"",R1047&lt;0),AND(S1047&lt;&gt;"",S1047&lt;0)),"EXPIRED",IF(OR(AND(R1047&lt;&gt;"",R1047&lt;=Settings!$B$15),AND(S1047&lt;&gt;"",S1047&lt;=Settings!$B$15)),"EXPIRING SOON","OK")))</f>
        <v/>
      </c>
      <c r="U1047" s="24" t="str">
        <f aca="false">IF(AND(C1047="Own",Q1047="Active"),COUNTIFS($C$5:C1047,"Own",$Q$5:Q1047,"Active"),"")</f>
        <v/>
      </c>
      <c r="V1047" s="26" t="str">
        <f aca="false">IF(C1047&lt;&gt;"Own","",IF(K1047="Hourly",N1047,(L1047+M1047)/(Settings!$B$11*Settings!$B$12)))</f>
        <v/>
      </c>
    </row>
    <row r="1048" customFormat="false" ht="15" hidden="false" customHeight="false" outlineLevel="0" collapsed="false">
      <c r="R1048" s="25" t="str">
        <f aca="true">IF(I1048="","",I1048-TODAY())</f>
        <v/>
      </c>
      <c r="S1048" s="25" t="str">
        <f aca="true">IF(J1048="","",J1048-TODAY())</f>
        <v/>
      </c>
      <c r="T1048" s="24" t="str">
        <f aca="false">IF(A1048="","",IF(OR(AND(R1048&lt;&gt;"",R1048&lt;0),AND(S1048&lt;&gt;"",S1048&lt;0)),"EXPIRED",IF(OR(AND(R1048&lt;&gt;"",R1048&lt;=Settings!$B$15),AND(S1048&lt;&gt;"",S1048&lt;=Settings!$B$15)),"EXPIRING SOON","OK")))</f>
        <v/>
      </c>
      <c r="U1048" s="24" t="str">
        <f aca="false">IF(AND(C1048="Own",Q1048="Active"),COUNTIFS($C$5:C1048,"Own",$Q$5:Q1048,"Active"),"")</f>
        <v/>
      </c>
      <c r="V1048" s="26" t="str">
        <f aca="false">IF(C1048&lt;&gt;"Own","",IF(K1048="Hourly",N1048,(L1048+M1048)/(Settings!$B$11*Settings!$B$12)))</f>
        <v/>
      </c>
    </row>
    <row r="1049" customFormat="false" ht="15" hidden="false" customHeight="false" outlineLevel="0" collapsed="false">
      <c r="R1049" s="25" t="str">
        <f aca="true">IF(I1049="","",I1049-TODAY())</f>
        <v/>
      </c>
      <c r="S1049" s="25" t="str">
        <f aca="true">IF(J1049="","",J1049-TODAY())</f>
        <v/>
      </c>
      <c r="T1049" s="24" t="str">
        <f aca="false">IF(A1049="","",IF(OR(AND(R1049&lt;&gt;"",R1049&lt;0),AND(S1049&lt;&gt;"",S1049&lt;0)),"EXPIRED",IF(OR(AND(R1049&lt;&gt;"",R1049&lt;=Settings!$B$15),AND(S1049&lt;&gt;"",S1049&lt;=Settings!$B$15)),"EXPIRING SOON","OK")))</f>
        <v/>
      </c>
      <c r="U1049" s="24" t="str">
        <f aca="false">IF(AND(C1049="Own",Q1049="Active"),COUNTIFS($C$5:C1049,"Own",$Q$5:Q1049,"Active"),"")</f>
        <v/>
      </c>
      <c r="V1049" s="26" t="str">
        <f aca="false">IF(C1049&lt;&gt;"Own","",IF(K1049="Hourly",N1049,(L1049+M1049)/(Settings!$B$11*Settings!$B$12)))</f>
        <v/>
      </c>
    </row>
    <row r="1050" customFormat="false" ht="15" hidden="false" customHeight="false" outlineLevel="0" collapsed="false">
      <c r="R1050" s="25" t="str">
        <f aca="true">IF(I1050="","",I1050-TODAY())</f>
        <v/>
      </c>
      <c r="S1050" s="25" t="str">
        <f aca="true">IF(J1050="","",J1050-TODAY())</f>
        <v/>
      </c>
      <c r="T1050" s="24" t="str">
        <f aca="false">IF(A1050="","",IF(OR(AND(R1050&lt;&gt;"",R1050&lt;0),AND(S1050&lt;&gt;"",S1050&lt;0)),"EXPIRED",IF(OR(AND(R1050&lt;&gt;"",R1050&lt;=Settings!$B$15),AND(S1050&lt;&gt;"",S1050&lt;=Settings!$B$15)),"EXPIRING SOON","OK")))</f>
        <v/>
      </c>
      <c r="U1050" s="24" t="str">
        <f aca="false">IF(AND(C1050="Own",Q1050="Active"),COUNTIFS($C$5:C1050,"Own",$Q$5:Q1050,"Active"),"")</f>
        <v/>
      </c>
      <c r="V1050" s="26" t="str">
        <f aca="false">IF(C1050&lt;&gt;"Own","",IF(K1050="Hourly",N1050,(L1050+M1050)/(Settings!$B$11*Settings!$B$12)))</f>
        <v/>
      </c>
    </row>
    <row r="1051" customFormat="false" ht="15" hidden="false" customHeight="false" outlineLevel="0" collapsed="false">
      <c r="R1051" s="25" t="str">
        <f aca="true">IF(I1051="","",I1051-TODAY())</f>
        <v/>
      </c>
      <c r="S1051" s="25" t="str">
        <f aca="true">IF(J1051="","",J1051-TODAY())</f>
        <v/>
      </c>
      <c r="T1051" s="24" t="str">
        <f aca="false">IF(A1051="","",IF(OR(AND(R1051&lt;&gt;"",R1051&lt;0),AND(S1051&lt;&gt;"",S1051&lt;0)),"EXPIRED",IF(OR(AND(R1051&lt;&gt;"",R1051&lt;=Settings!$B$15),AND(S1051&lt;&gt;"",S1051&lt;=Settings!$B$15)),"EXPIRING SOON","OK")))</f>
        <v/>
      </c>
      <c r="U1051" s="24" t="str">
        <f aca="false">IF(AND(C1051="Own",Q1051="Active"),COUNTIFS($C$5:C1051,"Own",$Q$5:Q1051,"Active"),"")</f>
        <v/>
      </c>
      <c r="V1051" s="26" t="str">
        <f aca="false">IF(C1051&lt;&gt;"Own","",IF(K1051="Hourly",N1051,(L1051+M1051)/(Settings!$B$11*Settings!$B$12)))</f>
        <v/>
      </c>
    </row>
    <row r="1052" customFormat="false" ht="15" hidden="false" customHeight="false" outlineLevel="0" collapsed="false">
      <c r="R1052" s="25" t="str">
        <f aca="true">IF(I1052="","",I1052-TODAY())</f>
        <v/>
      </c>
      <c r="S1052" s="25" t="str">
        <f aca="true">IF(J1052="","",J1052-TODAY())</f>
        <v/>
      </c>
      <c r="T1052" s="24" t="str">
        <f aca="false">IF(A1052="","",IF(OR(AND(R1052&lt;&gt;"",R1052&lt;0),AND(S1052&lt;&gt;"",S1052&lt;0)),"EXPIRED",IF(OR(AND(R1052&lt;&gt;"",R1052&lt;=Settings!$B$15),AND(S1052&lt;&gt;"",S1052&lt;=Settings!$B$15)),"EXPIRING SOON","OK")))</f>
        <v/>
      </c>
      <c r="U1052" s="24" t="str">
        <f aca="false">IF(AND(C1052="Own",Q1052="Active"),COUNTIFS($C$5:C1052,"Own",$Q$5:Q1052,"Active"),"")</f>
        <v/>
      </c>
      <c r="V1052" s="26" t="str">
        <f aca="false">IF(C1052&lt;&gt;"Own","",IF(K1052="Hourly",N1052,(L1052+M1052)/(Settings!$B$11*Settings!$B$12)))</f>
        <v/>
      </c>
    </row>
    <row r="1053" customFormat="false" ht="15" hidden="false" customHeight="false" outlineLevel="0" collapsed="false">
      <c r="R1053" s="25" t="str">
        <f aca="true">IF(I1053="","",I1053-TODAY())</f>
        <v/>
      </c>
      <c r="S1053" s="25" t="str">
        <f aca="true">IF(J1053="","",J1053-TODAY())</f>
        <v/>
      </c>
      <c r="T1053" s="24" t="str">
        <f aca="false">IF(A1053="","",IF(OR(AND(R1053&lt;&gt;"",R1053&lt;0),AND(S1053&lt;&gt;"",S1053&lt;0)),"EXPIRED",IF(OR(AND(R1053&lt;&gt;"",R1053&lt;=Settings!$B$15),AND(S1053&lt;&gt;"",S1053&lt;=Settings!$B$15)),"EXPIRING SOON","OK")))</f>
        <v/>
      </c>
      <c r="U1053" s="24" t="str">
        <f aca="false">IF(AND(C1053="Own",Q1053="Active"),COUNTIFS($C$5:C1053,"Own",$Q$5:Q1053,"Active"),"")</f>
        <v/>
      </c>
      <c r="V1053" s="26" t="str">
        <f aca="false">IF(C1053&lt;&gt;"Own","",IF(K1053="Hourly",N1053,(L1053+M1053)/(Settings!$B$11*Settings!$B$12)))</f>
        <v/>
      </c>
    </row>
    <row r="1054" customFormat="false" ht="15" hidden="false" customHeight="false" outlineLevel="0" collapsed="false">
      <c r="R1054" s="25" t="str">
        <f aca="true">IF(I1054="","",I1054-TODAY())</f>
        <v/>
      </c>
      <c r="S1054" s="25" t="str">
        <f aca="true">IF(J1054="","",J1054-TODAY())</f>
        <v/>
      </c>
      <c r="T1054" s="24" t="str">
        <f aca="false">IF(A1054="","",IF(OR(AND(R1054&lt;&gt;"",R1054&lt;0),AND(S1054&lt;&gt;"",S1054&lt;0)),"EXPIRED",IF(OR(AND(R1054&lt;&gt;"",R1054&lt;=Settings!$B$15),AND(S1054&lt;&gt;"",S1054&lt;=Settings!$B$15)),"EXPIRING SOON","OK")))</f>
        <v/>
      </c>
      <c r="U1054" s="24" t="str">
        <f aca="false">IF(AND(C1054="Own",Q1054="Active"),COUNTIFS($C$5:C1054,"Own",$Q$5:Q1054,"Active"),"")</f>
        <v/>
      </c>
      <c r="V1054" s="26" t="str">
        <f aca="false">IF(C1054&lt;&gt;"Own","",IF(K1054="Hourly",N1054,(L1054+M1054)/(Settings!$B$11*Settings!$B$12)))</f>
        <v/>
      </c>
    </row>
    <row r="1055" customFormat="false" ht="15" hidden="false" customHeight="false" outlineLevel="0" collapsed="false">
      <c r="R1055" s="25" t="str">
        <f aca="true">IF(I1055="","",I1055-TODAY())</f>
        <v/>
      </c>
      <c r="S1055" s="25" t="str">
        <f aca="true">IF(J1055="","",J1055-TODAY())</f>
        <v/>
      </c>
      <c r="T1055" s="24" t="str">
        <f aca="false">IF(A1055="","",IF(OR(AND(R1055&lt;&gt;"",R1055&lt;0),AND(S1055&lt;&gt;"",S1055&lt;0)),"EXPIRED",IF(OR(AND(R1055&lt;&gt;"",R1055&lt;=Settings!$B$15),AND(S1055&lt;&gt;"",S1055&lt;=Settings!$B$15)),"EXPIRING SOON","OK")))</f>
        <v/>
      </c>
      <c r="U1055" s="24" t="str">
        <f aca="false">IF(AND(C1055="Own",Q1055="Active"),COUNTIFS($C$5:C1055,"Own",$Q$5:Q1055,"Active"),"")</f>
        <v/>
      </c>
      <c r="V1055" s="26" t="str">
        <f aca="false">IF(C1055&lt;&gt;"Own","",IF(K1055="Hourly",N1055,(L1055+M1055)/(Settings!$B$11*Settings!$B$12)))</f>
        <v/>
      </c>
    </row>
    <row r="1056" customFormat="false" ht="15" hidden="false" customHeight="false" outlineLevel="0" collapsed="false">
      <c r="R1056" s="25" t="str">
        <f aca="true">IF(I1056="","",I1056-TODAY())</f>
        <v/>
      </c>
      <c r="S1056" s="25" t="str">
        <f aca="true">IF(J1056="","",J1056-TODAY())</f>
        <v/>
      </c>
      <c r="T1056" s="24" t="str">
        <f aca="false">IF(A1056="","",IF(OR(AND(R1056&lt;&gt;"",R1056&lt;0),AND(S1056&lt;&gt;"",S1056&lt;0)),"EXPIRED",IF(OR(AND(R1056&lt;&gt;"",R1056&lt;=Settings!$B$15),AND(S1056&lt;&gt;"",S1056&lt;=Settings!$B$15)),"EXPIRING SOON","OK")))</f>
        <v/>
      </c>
      <c r="U1056" s="24" t="str">
        <f aca="false">IF(AND(C1056="Own",Q1056="Active"),COUNTIFS($C$5:C1056,"Own",$Q$5:Q1056,"Active"),"")</f>
        <v/>
      </c>
      <c r="V1056" s="26" t="str">
        <f aca="false">IF(C1056&lt;&gt;"Own","",IF(K1056="Hourly",N1056,(L1056+M1056)/(Settings!$B$11*Settings!$B$12)))</f>
        <v/>
      </c>
    </row>
    <row r="1057" customFormat="false" ht="15" hidden="false" customHeight="false" outlineLevel="0" collapsed="false">
      <c r="R1057" s="25" t="str">
        <f aca="true">IF(I1057="","",I1057-TODAY())</f>
        <v/>
      </c>
      <c r="S1057" s="25" t="str">
        <f aca="true">IF(J1057="","",J1057-TODAY())</f>
        <v/>
      </c>
      <c r="T1057" s="24" t="str">
        <f aca="false">IF(A1057="","",IF(OR(AND(R1057&lt;&gt;"",R1057&lt;0),AND(S1057&lt;&gt;"",S1057&lt;0)),"EXPIRED",IF(OR(AND(R1057&lt;&gt;"",R1057&lt;=Settings!$B$15),AND(S1057&lt;&gt;"",S1057&lt;=Settings!$B$15)),"EXPIRING SOON","OK")))</f>
        <v/>
      </c>
      <c r="U1057" s="24" t="str">
        <f aca="false">IF(AND(C1057="Own",Q1057="Active"),COUNTIFS($C$5:C1057,"Own",$Q$5:Q1057,"Active"),"")</f>
        <v/>
      </c>
      <c r="V1057" s="26" t="str">
        <f aca="false">IF(C1057&lt;&gt;"Own","",IF(K1057="Hourly",N1057,(L1057+M1057)/(Settings!$B$11*Settings!$B$12)))</f>
        <v/>
      </c>
    </row>
    <row r="1058" customFormat="false" ht="15" hidden="false" customHeight="false" outlineLevel="0" collapsed="false">
      <c r="R1058" s="25" t="str">
        <f aca="true">IF(I1058="","",I1058-TODAY())</f>
        <v/>
      </c>
      <c r="S1058" s="25" t="str">
        <f aca="true">IF(J1058="","",J1058-TODAY())</f>
        <v/>
      </c>
      <c r="T1058" s="24" t="str">
        <f aca="false">IF(A1058="","",IF(OR(AND(R1058&lt;&gt;"",R1058&lt;0),AND(S1058&lt;&gt;"",S1058&lt;0)),"EXPIRED",IF(OR(AND(R1058&lt;&gt;"",R1058&lt;=Settings!$B$15),AND(S1058&lt;&gt;"",S1058&lt;=Settings!$B$15)),"EXPIRING SOON","OK")))</f>
        <v/>
      </c>
      <c r="U1058" s="24" t="str">
        <f aca="false">IF(AND(C1058="Own",Q1058="Active"),COUNTIFS($C$5:C1058,"Own",$Q$5:Q1058,"Active"),"")</f>
        <v/>
      </c>
      <c r="V1058" s="26" t="str">
        <f aca="false">IF(C1058&lt;&gt;"Own","",IF(K1058="Hourly",N1058,(L1058+M1058)/(Settings!$B$11*Settings!$B$12)))</f>
        <v/>
      </c>
    </row>
    <row r="1059" customFormat="false" ht="15" hidden="false" customHeight="false" outlineLevel="0" collapsed="false">
      <c r="R1059" s="25" t="str">
        <f aca="true">IF(I1059="","",I1059-TODAY())</f>
        <v/>
      </c>
      <c r="S1059" s="25" t="str">
        <f aca="true">IF(J1059="","",J1059-TODAY())</f>
        <v/>
      </c>
      <c r="T1059" s="24" t="str">
        <f aca="false">IF(A1059="","",IF(OR(AND(R1059&lt;&gt;"",R1059&lt;0),AND(S1059&lt;&gt;"",S1059&lt;0)),"EXPIRED",IF(OR(AND(R1059&lt;&gt;"",R1059&lt;=Settings!$B$15),AND(S1059&lt;&gt;"",S1059&lt;=Settings!$B$15)),"EXPIRING SOON","OK")))</f>
        <v/>
      </c>
      <c r="U1059" s="24" t="str">
        <f aca="false">IF(AND(C1059="Own",Q1059="Active"),COUNTIFS($C$5:C1059,"Own",$Q$5:Q1059,"Active"),"")</f>
        <v/>
      </c>
      <c r="V1059" s="26" t="str">
        <f aca="false">IF(C1059&lt;&gt;"Own","",IF(K1059="Hourly",N1059,(L1059+M1059)/(Settings!$B$11*Settings!$B$12)))</f>
        <v/>
      </c>
    </row>
    <row r="1060" customFormat="false" ht="15" hidden="false" customHeight="false" outlineLevel="0" collapsed="false">
      <c r="R1060" s="25" t="str">
        <f aca="true">IF(I1060="","",I1060-TODAY())</f>
        <v/>
      </c>
      <c r="S1060" s="25" t="str">
        <f aca="true">IF(J1060="","",J1060-TODAY())</f>
        <v/>
      </c>
      <c r="T1060" s="24" t="str">
        <f aca="false">IF(A1060="","",IF(OR(AND(R1060&lt;&gt;"",R1060&lt;0),AND(S1060&lt;&gt;"",S1060&lt;0)),"EXPIRED",IF(OR(AND(R1060&lt;&gt;"",R1060&lt;=Settings!$B$15),AND(S1060&lt;&gt;"",S1060&lt;=Settings!$B$15)),"EXPIRING SOON","OK")))</f>
        <v/>
      </c>
      <c r="U1060" s="24" t="str">
        <f aca="false">IF(AND(C1060="Own",Q1060="Active"),COUNTIFS($C$5:C1060,"Own",$Q$5:Q1060,"Active"),"")</f>
        <v/>
      </c>
      <c r="V1060" s="26" t="str">
        <f aca="false">IF(C1060&lt;&gt;"Own","",IF(K1060="Hourly",N1060,(L1060+M1060)/(Settings!$B$11*Settings!$B$12)))</f>
        <v/>
      </c>
    </row>
    <row r="1061" customFormat="false" ht="15" hidden="false" customHeight="false" outlineLevel="0" collapsed="false">
      <c r="R1061" s="25" t="str">
        <f aca="true">IF(I1061="","",I1061-TODAY())</f>
        <v/>
      </c>
      <c r="S1061" s="25" t="str">
        <f aca="true">IF(J1061="","",J1061-TODAY())</f>
        <v/>
      </c>
      <c r="T1061" s="24" t="str">
        <f aca="false">IF(A1061="","",IF(OR(AND(R1061&lt;&gt;"",R1061&lt;0),AND(S1061&lt;&gt;"",S1061&lt;0)),"EXPIRED",IF(OR(AND(R1061&lt;&gt;"",R1061&lt;=Settings!$B$15),AND(S1061&lt;&gt;"",S1061&lt;=Settings!$B$15)),"EXPIRING SOON","OK")))</f>
        <v/>
      </c>
      <c r="U1061" s="24" t="str">
        <f aca="false">IF(AND(C1061="Own",Q1061="Active"),COUNTIFS($C$5:C1061,"Own",$Q$5:Q1061,"Active"),"")</f>
        <v/>
      </c>
      <c r="V1061" s="26" t="str">
        <f aca="false">IF(C1061&lt;&gt;"Own","",IF(K1061="Hourly",N1061,(L1061+M1061)/(Settings!$B$11*Settings!$B$12)))</f>
        <v/>
      </c>
    </row>
    <row r="1062" customFormat="false" ht="15" hidden="false" customHeight="false" outlineLevel="0" collapsed="false">
      <c r="R1062" s="25" t="str">
        <f aca="true">IF(I1062="","",I1062-TODAY())</f>
        <v/>
      </c>
      <c r="S1062" s="25" t="str">
        <f aca="true">IF(J1062="","",J1062-TODAY())</f>
        <v/>
      </c>
      <c r="T1062" s="24" t="str">
        <f aca="false">IF(A1062="","",IF(OR(AND(R1062&lt;&gt;"",R1062&lt;0),AND(S1062&lt;&gt;"",S1062&lt;0)),"EXPIRED",IF(OR(AND(R1062&lt;&gt;"",R1062&lt;=Settings!$B$15),AND(S1062&lt;&gt;"",S1062&lt;=Settings!$B$15)),"EXPIRING SOON","OK")))</f>
        <v/>
      </c>
      <c r="U1062" s="24" t="str">
        <f aca="false">IF(AND(C1062="Own",Q1062="Active"),COUNTIFS($C$5:C1062,"Own",$Q$5:Q1062,"Active"),"")</f>
        <v/>
      </c>
      <c r="V1062" s="26" t="str">
        <f aca="false">IF(C1062&lt;&gt;"Own","",IF(K1062="Hourly",N1062,(L1062+M1062)/(Settings!$B$11*Settings!$B$12)))</f>
        <v/>
      </c>
    </row>
    <row r="1063" customFormat="false" ht="15" hidden="false" customHeight="false" outlineLevel="0" collapsed="false">
      <c r="R1063" s="25" t="str">
        <f aca="true">IF(I1063="","",I1063-TODAY())</f>
        <v/>
      </c>
      <c r="S1063" s="25" t="str">
        <f aca="true">IF(J1063="","",J1063-TODAY())</f>
        <v/>
      </c>
      <c r="T1063" s="24" t="str">
        <f aca="false">IF(A1063="","",IF(OR(AND(R1063&lt;&gt;"",R1063&lt;0),AND(S1063&lt;&gt;"",S1063&lt;0)),"EXPIRED",IF(OR(AND(R1063&lt;&gt;"",R1063&lt;=Settings!$B$15),AND(S1063&lt;&gt;"",S1063&lt;=Settings!$B$15)),"EXPIRING SOON","OK")))</f>
        <v/>
      </c>
      <c r="U1063" s="24" t="str">
        <f aca="false">IF(AND(C1063="Own",Q1063="Active"),COUNTIFS($C$5:C1063,"Own",$Q$5:Q1063,"Active"),"")</f>
        <v/>
      </c>
      <c r="V1063" s="26" t="str">
        <f aca="false">IF(C1063&lt;&gt;"Own","",IF(K1063="Hourly",N1063,(L1063+M1063)/(Settings!$B$11*Settings!$B$12)))</f>
        <v/>
      </c>
    </row>
    <row r="1064" customFormat="false" ht="15" hidden="false" customHeight="false" outlineLevel="0" collapsed="false">
      <c r="R1064" s="25" t="str">
        <f aca="true">IF(I1064="","",I1064-TODAY())</f>
        <v/>
      </c>
      <c r="S1064" s="25" t="str">
        <f aca="true">IF(J1064="","",J1064-TODAY())</f>
        <v/>
      </c>
      <c r="T1064" s="24" t="str">
        <f aca="false">IF(A1064="","",IF(OR(AND(R1064&lt;&gt;"",R1064&lt;0),AND(S1064&lt;&gt;"",S1064&lt;0)),"EXPIRED",IF(OR(AND(R1064&lt;&gt;"",R1064&lt;=Settings!$B$15),AND(S1064&lt;&gt;"",S1064&lt;=Settings!$B$15)),"EXPIRING SOON","OK")))</f>
        <v/>
      </c>
      <c r="U1064" s="24" t="str">
        <f aca="false">IF(AND(C1064="Own",Q1064="Active"),COUNTIFS($C$5:C1064,"Own",$Q$5:Q1064,"Active"),"")</f>
        <v/>
      </c>
      <c r="V1064" s="26" t="str">
        <f aca="false">IF(C1064&lt;&gt;"Own","",IF(K1064="Hourly",N1064,(L1064+M1064)/(Settings!$B$11*Settings!$B$12)))</f>
        <v/>
      </c>
    </row>
    <row r="1065" customFormat="false" ht="15" hidden="false" customHeight="false" outlineLevel="0" collapsed="false">
      <c r="R1065" s="25" t="str">
        <f aca="true">IF(I1065="","",I1065-TODAY())</f>
        <v/>
      </c>
      <c r="S1065" s="25" t="str">
        <f aca="true">IF(J1065="","",J1065-TODAY())</f>
        <v/>
      </c>
      <c r="T1065" s="24" t="str">
        <f aca="false">IF(A1065="","",IF(OR(AND(R1065&lt;&gt;"",R1065&lt;0),AND(S1065&lt;&gt;"",S1065&lt;0)),"EXPIRED",IF(OR(AND(R1065&lt;&gt;"",R1065&lt;=Settings!$B$15),AND(S1065&lt;&gt;"",S1065&lt;=Settings!$B$15)),"EXPIRING SOON","OK")))</f>
        <v/>
      </c>
      <c r="U1065" s="24" t="str">
        <f aca="false">IF(AND(C1065="Own",Q1065="Active"),COUNTIFS($C$5:C1065,"Own",$Q$5:Q1065,"Active"),"")</f>
        <v/>
      </c>
      <c r="V1065" s="26" t="str">
        <f aca="false">IF(C1065&lt;&gt;"Own","",IF(K1065="Hourly",N1065,(L1065+M1065)/(Settings!$B$11*Settings!$B$12)))</f>
        <v/>
      </c>
    </row>
    <row r="1066" customFormat="false" ht="15" hidden="false" customHeight="false" outlineLevel="0" collapsed="false">
      <c r="R1066" s="25" t="str">
        <f aca="true">IF(I1066="","",I1066-TODAY())</f>
        <v/>
      </c>
      <c r="S1066" s="25" t="str">
        <f aca="true">IF(J1066="","",J1066-TODAY())</f>
        <v/>
      </c>
      <c r="T1066" s="24" t="str">
        <f aca="false">IF(A1066="","",IF(OR(AND(R1066&lt;&gt;"",R1066&lt;0),AND(S1066&lt;&gt;"",S1066&lt;0)),"EXPIRED",IF(OR(AND(R1066&lt;&gt;"",R1066&lt;=Settings!$B$15),AND(S1066&lt;&gt;"",S1066&lt;=Settings!$B$15)),"EXPIRING SOON","OK")))</f>
        <v/>
      </c>
      <c r="U1066" s="24" t="str">
        <f aca="false">IF(AND(C1066="Own",Q1066="Active"),COUNTIFS($C$5:C1066,"Own",$Q$5:Q1066,"Active"),"")</f>
        <v/>
      </c>
      <c r="V1066" s="26" t="str">
        <f aca="false">IF(C1066&lt;&gt;"Own","",IF(K1066="Hourly",N1066,(L1066+M1066)/(Settings!$B$11*Settings!$B$12)))</f>
        <v/>
      </c>
    </row>
    <row r="1067" customFormat="false" ht="15" hidden="false" customHeight="false" outlineLevel="0" collapsed="false">
      <c r="R1067" s="25" t="str">
        <f aca="true">IF(I1067="","",I1067-TODAY())</f>
        <v/>
      </c>
      <c r="S1067" s="25" t="str">
        <f aca="true">IF(J1067="","",J1067-TODAY())</f>
        <v/>
      </c>
      <c r="T1067" s="24" t="str">
        <f aca="false">IF(A1067="","",IF(OR(AND(R1067&lt;&gt;"",R1067&lt;0),AND(S1067&lt;&gt;"",S1067&lt;0)),"EXPIRED",IF(OR(AND(R1067&lt;&gt;"",R1067&lt;=Settings!$B$15),AND(S1067&lt;&gt;"",S1067&lt;=Settings!$B$15)),"EXPIRING SOON","OK")))</f>
        <v/>
      </c>
      <c r="U1067" s="24" t="str">
        <f aca="false">IF(AND(C1067="Own",Q1067="Active"),COUNTIFS($C$5:C1067,"Own",$Q$5:Q1067,"Active"),"")</f>
        <v/>
      </c>
      <c r="V1067" s="26" t="str">
        <f aca="false">IF(C1067&lt;&gt;"Own","",IF(K1067="Hourly",N1067,(L1067+M1067)/(Settings!$B$11*Settings!$B$12)))</f>
        <v/>
      </c>
    </row>
    <row r="1068" customFormat="false" ht="15" hidden="false" customHeight="false" outlineLevel="0" collapsed="false">
      <c r="R1068" s="25" t="str">
        <f aca="true">IF(I1068="","",I1068-TODAY())</f>
        <v/>
      </c>
      <c r="S1068" s="25" t="str">
        <f aca="true">IF(J1068="","",J1068-TODAY())</f>
        <v/>
      </c>
      <c r="T1068" s="24" t="str">
        <f aca="false">IF(A1068="","",IF(OR(AND(R1068&lt;&gt;"",R1068&lt;0),AND(S1068&lt;&gt;"",S1068&lt;0)),"EXPIRED",IF(OR(AND(R1068&lt;&gt;"",R1068&lt;=Settings!$B$15),AND(S1068&lt;&gt;"",S1068&lt;=Settings!$B$15)),"EXPIRING SOON","OK")))</f>
        <v/>
      </c>
      <c r="U1068" s="24" t="str">
        <f aca="false">IF(AND(C1068="Own",Q1068="Active"),COUNTIFS($C$5:C1068,"Own",$Q$5:Q1068,"Active"),"")</f>
        <v/>
      </c>
      <c r="V1068" s="26" t="str">
        <f aca="false">IF(C1068&lt;&gt;"Own","",IF(K1068="Hourly",N1068,(L1068+M1068)/(Settings!$B$11*Settings!$B$12)))</f>
        <v/>
      </c>
    </row>
    <row r="1069" customFormat="false" ht="15" hidden="false" customHeight="false" outlineLevel="0" collapsed="false">
      <c r="R1069" s="25" t="str">
        <f aca="true">IF(I1069="","",I1069-TODAY())</f>
        <v/>
      </c>
      <c r="S1069" s="25" t="str">
        <f aca="true">IF(J1069="","",J1069-TODAY())</f>
        <v/>
      </c>
      <c r="T1069" s="24" t="str">
        <f aca="false">IF(A1069="","",IF(OR(AND(R1069&lt;&gt;"",R1069&lt;0),AND(S1069&lt;&gt;"",S1069&lt;0)),"EXPIRED",IF(OR(AND(R1069&lt;&gt;"",R1069&lt;=Settings!$B$15),AND(S1069&lt;&gt;"",S1069&lt;=Settings!$B$15)),"EXPIRING SOON","OK")))</f>
        <v/>
      </c>
      <c r="U1069" s="24" t="str">
        <f aca="false">IF(AND(C1069="Own",Q1069="Active"),COUNTIFS($C$5:C1069,"Own",$Q$5:Q1069,"Active"),"")</f>
        <v/>
      </c>
      <c r="V1069" s="26" t="str">
        <f aca="false">IF(C1069&lt;&gt;"Own","",IF(K1069="Hourly",N1069,(L1069+M1069)/(Settings!$B$11*Settings!$B$12)))</f>
        <v/>
      </c>
    </row>
    <row r="1070" customFormat="false" ht="15" hidden="false" customHeight="false" outlineLevel="0" collapsed="false">
      <c r="R1070" s="25" t="str">
        <f aca="true">IF(I1070="","",I1070-TODAY())</f>
        <v/>
      </c>
      <c r="S1070" s="25" t="str">
        <f aca="true">IF(J1070="","",J1070-TODAY())</f>
        <v/>
      </c>
      <c r="T1070" s="24" t="str">
        <f aca="false">IF(A1070="","",IF(OR(AND(R1070&lt;&gt;"",R1070&lt;0),AND(S1070&lt;&gt;"",S1070&lt;0)),"EXPIRED",IF(OR(AND(R1070&lt;&gt;"",R1070&lt;=Settings!$B$15),AND(S1070&lt;&gt;"",S1070&lt;=Settings!$B$15)),"EXPIRING SOON","OK")))</f>
        <v/>
      </c>
      <c r="U1070" s="24" t="str">
        <f aca="false">IF(AND(C1070="Own",Q1070="Active"),COUNTIFS($C$5:C1070,"Own",$Q$5:Q1070,"Active"),"")</f>
        <v/>
      </c>
      <c r="V1070" s="26" t="str">
        <f aca="false">IF(C1070&lt;&gt;"Own","",IF(K1070="Hourly",N1070,(L1070+M1070)/(Settings!$B$11*Settings!$B$12)))</f>
        <v/>
      </c>
    </row>
    <row r="1071" customFormat="false" ht="15" hidden="false" customHeight="false" outlineLevel="0" collapsed="false">
      <c r="R1071" s="25" t="str">
        <f aca="true">IF(I1071="","",I1071-TODAY())</f>
        <v/>
      </c>
      <c r="S1071" s="25" t="str">
        <f aca="true">IF(J1071="","",J1071-TODAY())</f>
        <v/>
      </c>
      <c r="T1071" s="24" t="str">
        <f aca="false">IF(A1071="","",IF(OR(AND(R1071&lt;&gt;"",R1071&lt;0),AND(S1071&lt;&gt;"",S1071&lt;0)),"EXPIRED",IF(OR(AND(R1071&lt;&gt;"",R1071&lt;=Settings!$B$15),AND(S1071&lt;&gt;"",S1071&lt;=Settings!$B$15)),"EXPIRING SOON","OK")))</f>
        <v/>
      </c>
      <c r="U1071" s="24" t="str">
        <f aca="false">IF(AND(C1071="Own",Q1071="Active"),COUNTIFS($C$5:C1071,"Own",$Q$5:Q1071,"Active"),"")</f>
        <v/>
      </c>
      <c r="V1071" s="26" t="str">
        <f aca="false">IF(C1071&lt;&gt;"Own","",IF(K1071="Hourly",N1071,(L1071+M1071)/(Settings!$B$11*Settings!$B$12)))</f>
        <v/>
      </c>
    </row>
    <row r="1072" customFormat="false" ht="15" hidden="false" customHeight="false" outlineLevel="0" collapsed="false">
      <c r="R1072" s="25" t="str">
        <f aca="true">IF(I1072="","",I1072-TODAY())</f>
        <v/>
      </c>
      <c r="S1072" s="25" t="str">
        <f aca="true">IF(J1072="","",J1072-TODAY())</f>
        <v/>
      </c>
      <c r="T1072" s="24" t="str">
        <f aca="false">IF(A1072="","",IF(OR(AND(R1072&lt;&gt;"",R1072&lt;0),AND(S1072&lt;&gt;"",S1072&lt;0)),"EXPIRED",IF(OR(AND(R1072&lt;&gt;"",R1072&lt;=Settings!$B$15),AND(S1072&lt;&gt;"",S1072&lt;=Settings!$B$15)),"EXPIRING SOON","OK")))</f>
        <v/>
      </c>
      <c r="U1072" s="24" t="str">
        <f aca="false">IF(AND(C1072="Own",Q1072="Active"),COUNTIFS($C$5:C1072,"Own",$Q$5:Q1072,"Active"),"")</f>
        <v/>
      </c>
      <c r="V1072" s="26" t="str">
        <f aca="false">IF(C1072&lt;&gt;"Own","",IF(K1072="Hourly",N1072,(L1072+M1072)/(Settings!$B$11*Settings!$B$12)))</f>
        <v/>
      </c>
    </row>
    <row r="1073" customFormat="false" ht="15" hidden="false" customHeight="false" outlineLevel="0" collapsed="false">
      <c r="R1073" s="25" t="str">
        <f aca="true">IF(I1073="","",I1073-TODAY())</f>
        <v/>
      </c>
      <c r="S1073" s="25" t="str">
        <f aca="true">IF(J1073="","",J1073-TODAY())</f>
        <v/>
      </c>
      <c r="T1073" s="24" t="str">
        <f aca="false">IF(A1073="","",IF(OR(AND(R1073&lt;&gt;"",R1073&lt;0),AND(S1073&lt;&gt;"",S1073&lt;0)),"EXPIRED",IF(OR(AND(R1073&lt;&gt;"",R1073&lt;=Settings!$B$15),AND(S1073&lt;&gt;"",S1073&lt;=Settings!$B$15)),"EXPIRING SOON","OK")))</f>
        <v/>
      </c>
      <c r="U1073" s="24" t="str">
        <f aca="false">IF(AND(C1073="Own",Q1073="Active"),COUNTIFS($C$5:C1073,"Own",$Q$5:Q1073,"Active"),"")</f>
        <v/>
      </c>
      <c r="V1073" s="26" t="str">
        <f aca="false">IF(C1073&lt;&gt;"Own","",IF(K1073="Hourly",N1073,(L1073+M1073)/(Settings!$B$11*Settings!$B$12)))</f>
        <v/>
      </c>
    </row>
    <row r="1074" customFormat="false" ht="15" hidden="false" customHeight="false" outlineLevel="0" collapsed="false">
      <c r="R1074" s="25" t="str">
        <f aca="true">IF(I1074="","",I1074-TODAY())</f>
        <v/>
      </c>
      <c r="S1074" s="25" t="str">
        <f aca="true">IF(J1074="","",J1074-TODAY())</f>
        <v/>
      </c>
      <c r="T1074" s="24" t="str">
        <f aca="false">IF(A1074="","",IF(OR(AND(R1074&lt;&gt;"",R1074&lt;0),AND(S1074&lt;&gt;"",S1074&lt;0)),"EXPIRED",IF(OR(AND(R1074&lt;&gt;"",R1074&lt;=Settings!$B$15),AND(S1074&lt;&gt;"",S1074&lt;=Settings!$B$15)),"EXPIRING SOON","OK")))</f>
        <v/>
      </c>
      <c r="U1074" s="24" t="str">
        <f aca="false">IF(AND(C1074="Own",Q1074="Active"),COUNTIFS($C$5:C1074,"Own",$Q$5:Q1074,"Active"),"")</f>
        <v/>
      </c>
      <c r="V1074" s="26" t="str">
        <f aca="false">IF(C1074&lt;&gt;"Own","",IF(K1074="Hourly",N1074,(L1074+M1074)/(Settings!$B$11*Settings!$B$12)))</f>
        <v/>
      </c>
    </row>
    <row r="1075" customFormat="false" ht="15" hidden="false" customHeight="false" outlineLevel="0" collapsed="false">
      <c r="R1075" s="25" t="str">
        <f aca="true">IF(I1075="","",I1075-TODAY())</f>
        <v/>
      </c>
      <c r="S1075" s="25" t="str">
        <f aca="true">IF(J1075="","",J1075-TODAY())</f>
        <v/>
      </c>
      <c r="T1075" s="24" t="str">
        <f aca="false">IF(A1075="","",IF(OR(AND(R1075&lt;&gt;"",R1075&lt;0),AND(S1075&lt;&gt;"",S1075&lt;0)),"EXPIRED",IF(OR(AND(R1075&lt;&gt;"",R1075&lt;=Settings!$B$15),AND(S1075&lt;&gt;"",S1075&lt;=Settings!$B$15)),"EXPIRING SOON","OK")))</f>
        <v/>
      </c>
      <c r="U1075" s="24" t="str">
        <f aca="false">IF(AND(C1075="Own",Q1075="Active"),COUNTIFS($C$5:C1075,"Own",$Q$5:Q1075,"Active"),"")</f>
        <v/>
      </c>
      <c r="V1075" s="26" t="str">
        <f aca="false">IF(C1075&lt;&gt;"Own","",IF(K1075="Hourly",N1075,(L1075+M1075)/(Settings!$B$11*Settings!$B$12)))</f>
        <v/>
      </c>
    </row>
    <row r="1076" customFormat="false" ht="15" hidden="false" customHeight="false" outlineLevel="0" collapsed="false">
      <c r="R1076" s="25" t="str">
        <f aca="true">IF(I1076="","",I1076-TODAY())</f>
        <v/>
      </c>
      <c r="S1076" s="25" t="str">
        <f aca="true">IF(J1076="","",J1076-TODAY())</f>
        <v/>
      </c>
      <c r="T1076" s="24" t="str">
        <f aca="false">IF(A1076="","",IF(OR(AND(R1076&lt;&gt;"",R1076&lt;0),AND(S1076&lt;&gt;"",S1076&lt;0)),"EXPIRED",IF(OR(AND(R1076&lt;&gt;"",R1076&lt;=Settings!$B$15),AND(S1076&lt;&gt;"",S1076&lt;=Settings!$B$15)),"EXPIRING SOON","OK")))</f>
        <v/>
      </c>
      <c r="U1076" s="24" t="str">
        <f aca="false">IF(AND(C1076="Own",Q1076="Active"),COUNTIFS($C$5:C1076,"Own",$Q$5:Q1076,"Active"),"")</f>
        <v/>
      </c>
      <c r="V1076" s="26" t="str">
        <f aca="false">IF(C1076&lt;&gt;"Own","",IF(K1076="Hourly",N1076,(L1076+M1076)/(Settings!$B$11*Settings!$B$12)))</f>
        <v/>
      </c>
    </row>
    <row r="1077" customFormat="false" ht="15" hidden="false" customHeight="false" outlineLevel="0" collapsed="false">
      <c r="R1077" s="25" t="str">
        <f aca="true">IF(I1077="","",I1077-TODAY())</f>
        <v/>
      </c>
      <c r="S1077" s="25" t="str">
        <f aca="true">IF(J1077="","",J1077-TODAY())</f>
        <v/>
      </c>
      <c r="T1077" s="24" t="str">
        <f aca="false">IF(A1077="","",IF(OR(AND(R1077&lt;&gt;"",R1077&lt;0),AND(S1077&lt;&gt;"",S1077&lt;0)),"EXPIRED",IF(OR(AND(R1077&lt;&gt;"",R1077&lt;=Settings!$B$15),AND(S1077&lt;&gt;"",S1077&lt;=Settings!$B$15)),"EXPIRING SOON","OK")))</f>
        <v/>
      </c>
      <c r="U1077" s="24" t="str">
        <f aca="false">IF(AND(C1077="Own",Q1077="Active"),COUNTIFS($C$5:C1077,"Own",$Q$5:Q1077,"Active"),"")</f>
        <v/>
      </c>
      <c r="V1077" s="26" t="str">
        <f aca="false">IF(C1077&lt;&gt;"Own","",IF(K1077="Hourly",N1077,(L1077+M1077)/(Settings!$B$11*Settings!$B$12)))</f>
        <v/>
      </c>
    </row>
    <row r="1078" customFormat="false" ht="15" hidden="false" customHeight="false" outlineLevel="0" collapsed="false">
      <c r="R1078" s="25" t="str">
        <f aca="true">IF(I1078="","",I1078-TODAY())</f>
        <v/>
      </c>
      <c r="S1078" s="25" t="str">
        <f aca="true">IF(J1078="","",J1078-TODAY())</f>
        <v/>
      </c>
      <c r="T1078" s="24" t="str">
        <f aca="false">IF(A1078="","",IF(OR(AND(R1078&lt;&gt;"",R1078&lt;0),AND(S1078&lt;&gt;"",S1078&lt;0)),"EXPIRED",IF(OR(AND(R1078&lt;&gt;"",R1078&lt;=Settings!$B$15),AND(S1078&lt;&gt;"",S1078&lt;=Settings!$B$15)),"EXPIRING SOON","OK")))</f>
        <v/>
      </c>
      <c r="U1078" s="24" t="str">
        <f aca="false">IF(AND(C1078="Own",Q1078="Active"),COUNTIFS($C$5:C1078,"Own",$Q$5:Q1078,"Active"),"")</f>
        <v/>
      </c>
      <c r="V1078" s="26" t="str">
        <f aca="false">IF(C1078&lt;&gt;"Own","",IF(K1078="Hourly",N1078,(L1078+M1078)/(Settings!$B$11*Settings!$B$12)))</f>
        <v/>
      </c>
    </row>
    <row r="1079" customFormat="false" ht="15" hidden="false" customHeight="false" outlineLevel="0" collapsed="false">
      <c r="R1079" s="25" t="str">
        <f aca="true">IF(I1079="","",I1079-TODAY())</f>
        <v/>
      </c>
      <c r="S1079" s="25" t="str">
        <f aca="true">IF(J1079="","",J1079-TODAY())</f>
        <v/>
      </c>
      <c r="T1079" s="24" t="str">
        <f aca="false">IF(A1079="","",IF(OR(AND(R1079&lt;&gt;"",R1079&lt;0),AND(S1079&lt;&gt;"",S1079&lt;0)),"EXPIRED",IF(OR(AND(R1079&lt;&gt;"",R1079&lt;=Settings!$B$15),AND(S1079&lt;&gt;"",S1079&lt;=Settings!$B$15)),"EXPIRING SOON","OK")))</f>
        <v/>
      </c>
      <c r="U1079" s="24" t="str">
        <f aca="false">IF(AND(C1079="Own",Q1079="Active"),COUNTIFS($C$5:C1079,"Own",$Q$5:Q1079,"Active"),"")</f>
        <v/>
      </c>
      <c r="V1079" s="26" t="str">
        <f aca="false">IF(C1079&lt;&gt;"Own","",IF(K1079="Hourly",N1079,(L1079+M1079)/(Settings!$B$11*Settings!$B$12)))</f>
        <v/>
      </c>
    </row>
    <row r="1080" customFormat="false" ht="15" hidden="false" customHeight="false" outlineLevel="0" collapsed="false">
      <c r="R1080" s="25" t="str">
        <f aca="true">IF(I1080="","",I1080-TODAY())</f>
        <v/>
      </c>
      <c r="S1080" s="25" t="str">
        <f aca="true">IF(J1080="","",J1080-TODAY())</f>
        <v/>
      </c>
      <c r="T1080" s="24" t="str">
        <f aca="false">IF(A1080="","",IF(OR(AND(R1080&lt;&gt;"",R1080&lt;0),AND(S1080&lt;&gt;"",S1080&lt;0)),"EXPIRED",IF(OR(AND(R1080&lt;&gt;"",R1080&lt;=Settings!$B$15),AND(S1080&lt;&gt;"",S1080&lt;=Settings!$B$15)),"EXPIRING SOON","OK")))</f>
        <v/>
      </c>
      <c r="U1080" s="24" t="str">
        <f aca="false">IF(AND(C1080="Own",Q1080="Active"),COUNTIFS($C$5:C1080,"Own",$Q$5:Q1080,"Active"),"")</f>
        <v/>
      </c>
      <c r="V1080" s="26" t="str">
        <f aca="false">IF(C1080&lt;&gt;"Own","",IF(K1080="Hourly",N1080,(L1080+M1080)/(Settings!$B$11*Settings!$B$12)))</f>
        <v/>
      </c>
    </row>
    <row r="1081" customFormat="false" ht="15" hidden="false" customHeight="false" outlineLevel="0" collapsed="false">
      <c r="R1081" s="25" t="str">
        <f aca="true">IF(I1081="","",I1081-TODAY())</f>
        <v/>
      </c>
      <c r="S1081" s="25" t="str">
        <f aca="true">IF(J1081="","",J1081-TODAY())</f>
        <v/>
      </c>
      <c r="T1081" s="24" t="str">
        <f aca="false">IF(A1081="","",IF(OR(AND(R1081&lt;&gt;"",R1081&lt;0),AND(S1081&lt;&gt;"",S1081&lt;0)),"EXPIRED",IF(OR(AND(R1081&lt;&gt;"",R1081&lt;=Settings!$B$15),AND(S1081&lt;&gt;"",S1081&lt;=Settings!$B$15)),"EXPIRING SOON","OK")))</f>
        <v/>
      </c>
      <c r="U1081" s="24" t="str">
        <f aca="false">IF(AND(C1081="Own",Q1081="Active"),COUNTIFS($C$5:C1081,"Own",$Q$5:Q1081,"Active"),"")</f>
        <v/>
      </c>
      <c r="V1081" s="26" t="str">
        <f aca="false">IF(C1081&lt;&gt;"Own","",IF(K1081="Hourly",N1081,(L1081+M1081)/(Settings!$B$11*Settings!$B$12)))</f>
        <v/>
      </c>
    </row>
    <row r="1082" customFormat="false" ht="15" hidden="false" customHeight="false" outlineLevel="0" collapsed="false">
      <c r="R1082" s="25" t="str">
        <f aca="true">IF(I1082="","",I1082-TODAY())</f>
        <v/>
      </c>
      <c r="S1082" s="25" t="str">
        <f aca="true">IF(J1082="","",J1082-TODAY())</f>
        <v/>
      </c>
      <c r="T1082" s="24" t="str">
        <f aca="false">IF(A1082="","",IF(OR(AND(R1082&lt;&gt;"",R1082&lt;0),AND(S1082&lt;&gt;"",S1082&lt;0)),"EXPIRED",IF(OR(AND(R1082&lt;&gt;"",R1082&lt;=Settings!$B$15),AND(S1082&lt;&gt;"",S1082&lt;=Settings!$B$15)),"EXPIRING SOON","OK")))</f>
        <v/>
      </c>
      <c r="U1082" s="24" t="str">
        <f aca="false">IF(AND(C1082="Own",Q1082="Active"),COUNTIFS($C$5:C1082,"Own",$Q$5:Q1082,"Active"),"")</f>
        <v/>
      </c>
      <c r="V1082" s="26" t="str">
        <f aca="false">IF(C1082&lt;&gt;"Own","",IF(K1082="Hourly",N1082,(L1082+M1082)/(Settings!$B$11*Settings!$B$12)))</f>
        <v/>
      </c>
    </row>
    <row r="1083" customFormat="false" ht="15" hidden="false" customHeight="false" outlineLevel="0" collapsed="false">
      <c r="R1083" s="25" t="str">
        <f aca="true">IF(I1083="","",I1083-TODAY())</f>
        <v/>
      </c>
      <c r="S1083" s="25" t="str">
        <f aca="true">IF(J1083="","",J1083-TODAY())</f>
        <v/>
      </c>
      <c r="T1083" s="24" t="str">
        <f aca="false">IF(A1083="","",IF(OR(AND(R1083&lt;&gt;"",R1083&lt;0),AND(S1083&lt;&gt;"",S1083&lt;0)),"EXPIRED",IF(OR(AND(R1083&lt;&gt;"",R1083&lt;=Settings!$B$15),AND(S1083&lt;&gt;"",S1083&lt;=Settings!$B$15)),"EXPIRING SOON","OK")))</f>
        <v/>
      </c>
      <c r="U1083" s="24" t="str">
        <f aca="false">IF(AND(C1083="Own",Q1083="Active"),COUNTIFS($C$5:C1083,"Own",$Q$5:Q1083,"Active"),"")</f>
        <v/>
      </c>
      <c r="V1083" s="26" t="str">
        <f aca="false">IF(C1083&lt;&gt;"Own","",IF(K1083="Hourly",N1083,(L1083+M1083)/(Settings!$B$11*Settings!$B$12)))</f>
        <v/>
      </c>
    </row>
    <row r="1084" customFormat="false" ht="15" hidden="false" customHeight="false" outlineLevel="0" collapsed="false">
      <c r="R1084" s="25" t="str">
        <f aca="true">IF(I1084="","",I1084-TODAY())</f>
        <v/>
      </c>
      <c r="S1084" s="25" t="str">
        <f aca="true">IF(J1084="","",J1084-TODAY())</f>
        <v/>
      </c>
      <c r="T1084" s="24" t="str">
        <f aca="false">IF(A1084="","",IF(OR(AND(R1084&lt;&gt;"",R1084&lt;0),AND(S1084&lt;&gt;"",S1084&lt;0)),"EXPIRED",IF(OR(AND(R1084&lt;&gt;"",R1084&lt;=Settings!$B$15),AND(S1084&lt;&gt;"",S1084&lt;=Settings!$B$15)),"EXPIRING SOON","OK")))</f>
        <v/>
      </c>
      <c r="U1084" s="24" t="str">
        <f aca="false">IF(AND(C1084="Own",Q1084="Active"),COUNTIFS($C$5:C1084,"Own",$Q$5:Q1084,"Active"),"")</f>
        <v/>
      </c>
      <c r="V1084" s="26" t="str">
        <f aca="false">IF(C1084&lt;&gt;"Own","",IF(K1084="Hourly",N1084,(L1084+M1084)/(Settings!$B$11*Settings!$B$12)))</f>
        <v/>
      </c>
    </row>
    <row r="1085" customFormat="false" ht="15" hidden="false" customHeight="false" outlineLevel="0" collapsed="false">
      <c r="R1085" s="25" t="str">
        <f aca="true">IF(I1085="","",I1085-TODAY())</f>
        <v/>
      </c>
      <c r="S1085" s="25" t="str">
        <f aca="true">IF(J1085="","",J1085-TODAY())</f>
        <v/>
      </c>
      <c r="T1085" s="24" t="str">
        <f aca="false">IF(A1085="","",IF(OR(AND(R1085&lt;&gt;"",R1085&lt;0),AND(S1085&lt;&gt;"",S1085&lt;0)),"EXPIRED",IF(OR(AND(R1085&lt;&gt;"",R1085&lt;=Settings!$B$15),AND(S1085&lt;&gt;"",S1085&lt;=Settings!$B$15)),"EXPIRING SOON","OK")))</f>
        <v/>
      </c>
      <c r="U1085" s="24" t="str">
        <f aca="false">IF(AND(C1085="Own",Q1085="Active"),COUNTIFS($C$5:C1085,"Own",$Q$5:Q1085,"Active"),"")</f>
        <v/>
      </c>
      <c r="V1085" s="26" t="str">
        <f aca="false">IF(C1085&lt;&gt;"Own","",IF(K1085="Hourly",N1085,(L1085+M1085)/(Settings!$B$11*Settings!$B$12)))</f>
        <v/>
      </c>
    </row>
    <row r="1086" customFormat="false" ht="15" hidden="false" customHeight="false" outlineLevel="0" collapsed="false">
      <c r="R1086" s="25" t="str">
        <f aca="true">IF(I1086="","",I1086-TODAY())</f>
        <v/>
      </c>
      <c r="S1086" s="25" t="str">
        <f aca="true">IF(J1086="","",J1086-TODAY())</f>
        <v/>
      </c>
      <c r="T1086" s="24" t="str">
        <f aca="false">IF(A1086="","",IF(OR(AND(R1086&lt;&gt;"",R1086&lt;0),AND(S1086&lt;&gt;"",S1086&lt;0)),"EXPIRED",IF(OR(AND(R1086&lt;&gt;"",R1086&lt;=Settings!$B$15),AND(S1086&lt;&gt;"",S1086&lt;=Settings!$B$15)),"EXPIRING SOON","OK")))</f>
        <v/>
      </c>
      <c r="U1086" s="24" t="str">
        <f aca="false">IF(AND(C1086="Own",Q1086="Active"),COUNTIFS($C$5:C1086,"Own",$Q$5:Q1086,"Active"),"")</f>
        <v/>
      </c>
      <c r="V1086" s="26" t="str">
        <f aca="false">IF(C1086&lt;&gt;"Own","",IF(K1086="Hourly",N1086,(L1086+M1086)/(Settings!$B$11*Settings!$B$12)))</f>
        <v/>
      </c>
    </row>
    <row r="1087" customFormat="false" ht="15" hidden="false" customHeight="false" outlineLevel="0" collapsed="false">
      <c r="R1087" s="25" t="str">
        <f aca="true">IF(I1087="","",I1087-TODAY())</f>
        <v/>
      </c>
      <c r="S1087" s="25" t="str">
        <f aca="true">IF(J1087="","",J1087-TODAY())</f>
        <v/>
      </c>
      <c r="T1087" s="24" t="str">
        <f aca="false">IF(A1087="","",IF(OR(AND(R1087&lt;&gt;"",R1087&lt;0),AND(S1087&lt;&gt;"",S1087&lt;0)),"EXPIRED",IF(OR(AND(R1087&lt;&gt;"",R1087&lt;=Settings!$B$15),AND(S1087&lt;&gt;"",S1087&lt;=Settings!$B$15)),"EXPIRING SOON","OK")))</f>
        <v/>
      </c>
      <c r="U1087" s="24" t="str">
        <f aca="false">IF(AND(C1087="Own",Q1087="Active"),COUNTIFS($C$5:C1087,"Own",$Q$5:Q1087,"Active"),"")</f>
        <v/>
      </c>
      <c r="V1087" s="26" t="str">
        <f aca="false">IF(C1087&lt;&gt;"Own","",IF(K1087="Hourly",N1087,(L1087+M1087)/(Settings!$B$11*Settings!$B$12)))</f>
        <v/>
      </c>
    </row>
    <row r="1088" customFormat="false" ht="15" hidden="false" customHeight="false" outlineLevel="0" collapsed="false">
      <c r="R1088" s="25" t="str">
        <f aca="true">IF(I1088="","",I1088-TODAY())</f>
        <v/>
      </c>
      <c r="S1088" s="25" t="str">
        <f aca="true">IF(J1088="","",J1088-TODAY())</f>
        <v/>
      </c>
      <c r="T1088" s="24" t="str">
        <f aca="false">IF(A1088="","",IF(OR(AND(R1088&lt;&gt;"",R1088&lt;0),AND(S1088&lt;&gt;"",S1088&lt;0)),"EXPIRED",IF(OR(AND(R1088&lt;&gt;"",R1088&lt;=Settings!$B$15),AND(S1088&lt;&gt;"",S1088&lt;=Settings!$B$15)),"EXPIRING SOON","OK")))</f>
        <v/>
      </c>
      <c r="U1088" s="24" t="str">
        <f aca="false">IF(AND(C1088="Own",Q1088="Active"),COUNTIFS($C$5:C1088,"Own",$Q$5:Q1088,"Active"),"")</f>
        <v/>
      </c>
      <c r="V1088" s="26" t="str">
        <f aca="false">IF(C1088&lt;&gt;"Own","",IF(K1088="Hourly",N1088,(L1088+M1088)/(Settings!$B$11*Settings!$B$12)))</f>
        <v/>
      </c>
    </row>
    <row r="1089" customFormat="false" ht="15" hidden="false" customHeight="false" outlineLevel="0" collapsed="false">
      <c r="R1089" s="25" t="str">
        <f aca="true">IF(I1089="","",I1089-TODAY())</f>
        <v/>
      </c>
      <c r="S1089" s="25" t="str">
        <f aca="true">IF(J1089="","",J1089-TODAY())</f>
        <v/>
      </c>
      <c r="T1089" s="24" t="str">
        <f aca="false">IF(A1089="","",IF(OR(AND(R1089&lt;&gt;"",R1089&lt;0),AND(S1089&lt;&gt;"",S1089&lt;0)),"EXPIRED",IF(OR(AND(R1089&lt;&gt;"",R1089&lt;=Settings!$B$15),AND(S1089&lt;&gt;"",S1089&lt;=Settings!$B$15)),"EXPIRING SOON","OK")))</f>
        <v/>
      </c>
      <c r="U1089" s="24" t="str">
        <f aca="false">IF(AND(C1089="Own",Q1089="Active"),COUNTIFS($C$5:C1089,"Own",$Q$5:Q1089,"Active"),"")</f>
        <v/>
      </c>
      <c r="V1089" s="26" t="str">
        <f aca="false">IF(C1089&lt;&gt;"Own","",IF(K1089="Hourly",N1089,(L1089+M1089)/(Settings!$B$11*Settings!$B$12)))</f>
        <v/>
      </c>
    </row>
    <row r="1090" customFormat="false" ht="15" hidden="false" customHeight="false" outlineLevel="0" collapsed="false">
      <c r="R1090" s="25" t="str">
        <f aca="true">IF(I1090="","",I1090-TODAY())</f>
        <v/>
      </c>
      <c r="S1090" s="25" t="str">
        <f aca="true">IF(J1090="","",J1090-TODAY())</f>
        <v/>
      </c>
      <c r="T1090" s="24" t="str">
        <f aca="false">IF(A1090="","",IF(OR(AND(R1090&lt;&gt;"",R1090&lt;0),AND(S1090&lt;&gt;"",S1090&lt;0)),"EXPIRED",IF(OR(AND(R1090&lt;&gt;"",R1090&lt;=Settings!$B$15),AND(S1090&lt;&gt;"",S1090&lt;=Settings!$B$15)),"EXPIRING SOON","OK")))</f>
        <v/>
      </c>
      <c r="U1090" s="24" t="str">
        <f aca="false">IF(AND(C1090="Own",Q1090="Active"),COUNTIFS($C$5:C1090,"Own",$Q$5:Q1090,"Active"),"")</f>
        <v/>
      </c>
      <c r="V1090" s="26" t="str">
        <f aca="false">IF(C1090&lt;&gt;"Own","",IF(K1090="Hourly",N1090,(L1090+M1090)/(Settings!$B$11*Settings!$B$12)))</f>
        <v/>
      </c>
    </row>
    <row r="1091" customFormat="false" ht="15" hidden="false" customHeight="false" outlineLevel="0" collapsed="false">
      <c r="R1091" s="25" t="str">
        <f aca="true">IF(I1091="","",I1091-TODAY())</f>
        <v/>
      </c>
      <c r="S1091" s="25" t="str">
        <f aca="true">IF(J1091="","",J1091-TODAY())</f>
        <v/>
      </c>
      <c r="T1091" s="24" t="str">
        <f aca="false">IF(A1091="","",IF(OR(AND(R1091&lt;&gt;"",R1091&lt;0),AND(S1091&lt;&gt;"",S1091&lt;0)),"EXPIRED",IF(OR(AND(R1091&lt;&gt;"",R1091&lt;=Settings!$B$15),AND(S1091&lt;&gt;"",S1091&lt;=Settings!$B$15)),"EXPIRING SOON","OK")))</f>
        <v/>
      </c>
      <c r="U1091" s="24" t="str">
        <f aca="false">IF(AND(C1091="Own",Q1091="Active"),COUNTIFS($C$5:C1091,"Own",$Q$5:Q1091,"Active"),"")</f>
        <v/>
      </c>
      <c r="V1091" s="26" t="str">
        <f aca="false">IF(C1091&lt;&gt;"Own","",IF(K1091="Hourly",N1091,(L1091+M1091)/(Settings!$B$11*Settings!$B$12)))</f>
        <v/>
      </c>
    </row>
    <row r="1092" customFormat="false" ht="15" hidden="false" customHeight="false" outlineLevel="0" collapsed="false">
      <c r="R1092" s="25" t="str">
        <f aca="true">IF(I1092="","",I1092-TODAY())</f>
        <v/>
      </c>
      <c r="S1092" s="25" t="str">
        <f aca="true">IF(J1092="","",J1092-TODAY())</f>
        <v/>
      </c>
      <c r="T1092" s="24" t="str">
        <f aca="false">IF(A1092="","",IF(OR(AND(R1092&lt;&gt;"",R1092&lt;0),AND(S1092&lt;&gt;"",S1092&lt;0)),"EXPIRED",IF(OR(AND(R1092&lt;&gt;"",R1092&lt;=Settings!$B$15),AND(S1092&lt;&gt;"",S1092&lt;=Settings!$B$15)),"EXPIRING SOON","OK")))</f>
        <v/>
      </c>
      <c r="U1092" s="24" t="str">
        <f aca="false">IF(AND(C1092="Own",Q1092="Active"),COUNTIFS($C$5:C1092,"Own",$Q$5:Q1092,"Active"),"")</f>
        <v/>
      </c>
      <c r="V1092" s="26" t="str">
        <f aca="false">IF(C1092&lt;&gt;"Own","",IF(K1092="Hourly",N1092,(L1092+M1092)/(Settings!$B$11*Settings!$B$12)))</f>
        <v/>
      </c>
    </row>
    <row r="1093" customFormat="false" ht="15" hidden="false" customHeight="false" outlineLevel="0" collapsed="false">
      <c r="R1093" s="25" t="str">
        <f aca="true">IF(I1093="","",I1093-TODAY())</f>
        <v/>
      </c>
      <c r="S1093" s="25" t="str">
        <f aca="true">IF(J1093="","",J1093-TODAY())</f>
        <v/>
      </c>
      <c r="T1093" s="24" t="str">
        <f aca="false">IF(A1093="","",IF(OR(AND(R1093&lt;&gt;"",R1093&lt;0),AND(S1093&lt;&gt;"",S1093&lt;0)),"EXPIRED",IF(OR(AND(R1093&lt;&gt;"",R1093&lt;=Settings!$B$15),AND(S1093&lt;&gt;"",S1093&lt;=Settings!$B$15)),"EXPIRING SOON","OK")))</f>
        <v/>
      </c>
      <c r="U1093" s="24" t="str">
        <f aca="false">IF(AND(C1093="Own",Q1093="Active"),COUNTIFS($C$5:C1093,"Own",$Q$5:Q1093,"Active"),"")</f>
        <v/>
      </c>
      <c r="V1093" s="26" t="str">
        <f aca="false">IF(C1093&lt;&gt;"Own","",IF(K1093="Hourly",N1093,(L1093+M1093)/(Settings!$B$11*Settings!$B$12)))</f>
        <v/>
      </c>
    </row>
    <row r="1094" customFormat="false" ht="15" hidden="false" customHeight="false" outlineLevel="0" collapsed="false">
      <c r="R1094" s="25" t="str">
        <f aca="true">IF(I1094="","",I1094-TODAY())</f>
        <v/>
      </c>
      <c r="S1094" s="25" t="str">
        <f aca="true">IF(J1094="","",J1094-TODAY())</f>
        <v/>
      </c>
      <c r="T1094" s="24" t="str">
        <f aca="false">IF(A1094="","",IF(OR(AND(R1094&lt;&gt;"",R1094&lt;0),AND(S1094&lt;&gt;"",S1094&lt;0)),"EXPIRED",IF(OR(AND(R1094&lt;&gt;"",R1094&lt;=Settings!$B$15),AND(S1094&lt;&gt;"",S1094&lt;=Settings!$B$15)),"EXPIRING SOON","OK")))</f>
        <v/>
      </c>
      <c r="U1094" s="24" t="str">
        <f aca="false">IF(AND(C1094="Own",Q1094="Active"),COUNTIFS($C$5:C1094,"Own",$Q$5:Q1094,"Active"),"")</f>
        <v/>
      </c>
      <c r="V1094" s="26" t="str">
        <f aca="false">IF(C1094&lt;&gt;"Own","",IF(K1094="Hourly",N1094,(L1094+M1094)/(Settings!$B$11*Settings!$B$12)))</f>
        <v/>
      </c>
    </row>
    <row r="1095" customFormat="false" ht="15" hidden="false" customHeight="false" outlineLevel="0" collapsed="false">
      <c r="R1095" s="25" t="str">
        <f aca="true">IF(I1095="","",I1095-TODAY())</f>
        <v/>
      </c>
      <c r="S1095" s="25" t="str">
        <f aca="true">IF(J1095="","",J1095-TODAY())</f>
        <v/>
      </c>
      <c r="T1095" s="24" t="str">
        <f aca="false">IF(A1095="","",IF(OR(AND(R1095&lt;&gt;"",R1095&lt;0),AND(S1095&lt;&gt;"",S1095&lt;0)),"EXPIRED",IF(OR(AND(R1095&lt;&gt;"",R1095&lt;=Settings!$B$15),AND(S1095&lt;&gt;"",S1095&lt;=Settings!$B$15)),"EXPIRING SOON","OK")))</f>
        <v/>
      </c>
      <c r="U1095" s="24" t="str">
        <f aca="false">IF(AND(C1095="Own",Q1095="Active"),COUNTIFS($C$5:C1095,"Own",$Q$5:Q1095,"Active"),"")</f>
        <v/>
      </c>
      <c r="V1095" s="26" t="str">
        <f aca="false">IF(C1095&lt;&gt;"Own","",IF(K1095="Hourly",N1095,(L1095+M1095)/(Settings!$B$11*Settings!$B$12)))</f>
        <v/>
      </c>
    </row>
    <row r="1096" customFormat="false" ht="15" hidden="false" customHeight="false" outlineLevel="0" collapsed="false">
      <c r="R1096" s="25" t="str">
        <f aca="true">IF(I1096="","",I1096-TODAY())</f>
        <v/>
      </c>
      <c r="S1096" s="25" t="str">
        <f aca="true">IF(J1096="","",J1096-TODAY())</f>
        <v/>
      </c>
      <c r="T1096" s="24" t="str">
        <f aca="false">IF(A1096="","",IF(OR(AND(R1096&lt;&gt;"",R1096&lt;0),AND(S1096&lt;&gt;"",S1096&lt;0)),"EXPIRED",IF(OR(AND(R1096&lt;&gt;"",R1096&lt;=Settings!$B$15),AND(S1096&lt;&gt;"",S1096&lt;=Settings!$B$15)),"EXPIRING SOON","OK")))</f>
        <v/>
      </c>
      <c r="U1096" s="24" t="str">
        <f aca="false">IF(AND(C1096="Own",Q1096="Active"),COUNTIFS($C$5:C1096,"Own",$Q$5:Q1096,"Active"),"")</f>
        <v/>
      </c>
      <c r="V1096" s="26" t="str">
        <f aca="false">IF(C1096&lt;&gt;"Own","",IF(K1096="Hourly",N1096,(L1096+M1096)/(Settings!$B$11*Settings!$B$12)))</f>
        <v/>
      </c>
    </row>
    <row r="1097" customFormat="false" ht="15" hidden="false" customHeight="false" outlineLevel="0" collapsed="false">
      <c r="R1097" s="25" t="str">
        <f aca="true">IF(I1097="","",I1097-TODAY())</f>
        <v/>
      </c>
      <c r="S1097" s="25" t="str">
        <f aca="true">IF(J1097="","",J1097-TODAY())</f>
        <v/>
      </c>
      <c r="T1097" s="24" t="str">
        <f aca="false">IF(A1097="","",IF(OR(AND(R1097&lt;&gt;"",R1097&lt;0),AND(S1097&lt;&gt;"",S1097&lt;0)),"EXPIRED",IF(OR(AND(R1097&lt;&gt;"",R1097&lt;=Settings!$B$15),AND(S1097&lt;&gt;"",S1097&lt;=Settings!$B$15)),"EXPIRING SOON","OK")))</f>
        <v/>
      </c>
      <c r="U1097" s="24" t="str">
        <f aca="false">IF(AND(C1097="Own",Q1097="Active"),COUNTIFS($C$5:C1097,"Own",$Q$5:Q1097,"Active"),"")</f>
        <v/>
      </c>
      <c r="V1097" s="26" t="str">
        <f aca="false">IF(C1097&lt;&gt;"Own","",IF(K1097="Hourly",N1097,(L1097+M1097)/(Settings!$B$11*Settings!$B$12)))</f>
        <v/>
      </c>
    </row>
    <row r="1098" customFormat="false" ht="15" hidden="false" customHeight="false" outlineLevel="0" collapsed="false">
      <c r="R1098" s="25" t="str">
        <f aca="true">IF(I1098="","",I1098-TODAY())</f>
        <v/>
      </c>
      <c r="S1098" s="25" t="str">
        <f aca="true">IF(J1098="","",J1098-TODAY())</f>
        <v/>
      </c>
      <c r="T1098" s="24" t="str">
        <f aca="false">IF(A1098="","",IF(OR(AND(R1098&lt;&gt;"",R1098&lt;0),AND(S1098&lt;&gt;"",S1098&lt;0)),"EXPIRED",IF(OR(AND(R1098&lt;&gt;"",R1098&lt;=Settings!$B$15),AND(S1098&lt;&gt;"",S1098&lt;=Settings!$B$15)),"EXPIRING SOON","OK")))</f>
        <v/>
      </c>
      <c r="U1098" s="24" t="str">
        <f aca="false">IF(AND(C1098="Own",Q1098="Active"),COUNTIFS($C$5:C1098,"Own",$Q$5:Q1098,"Active"),"")</f>
        <v/>
      </c>
      <c r="V1098" s="26" t="str">
        <f aca="false">IF(C1098&lt;&gt;"Own","",IF(K1098="Hourly",N1098,(L1098+M1098)/(Settings!$B$11*Settings!$B$12)))</f>
        <v/>
      </c>
    </row>
    <row r="1099" customFormat="false" ht="15" hidden="false" customHeight="false" outlineLevel="0" collapsed="false">
      <c r="R1099" s="25" t="str">
        <f aca="true">IF(I1099="","",I1099-TODAY())</f>
        <v/>
      </c>
      <c r="S1099" s="25" t="str">
        <f aca="true">IF(J1099="","",J1099-TODAY())</f>
        <v/>
      </c>
      <c r="T1099" s="24" t="str">
        <f aca="false">IF(A1099="","",IF(OR(AND(R1099&lt;&gt;"",R1099&lt;0),AND(S1099&lt;&gt;"",S1099&lt;0)),"EXPIRED",IF(OR(AND(R1099&lt;&gt;"",R1099&lt;=Settings!$B$15),AND(S1099&lt;&gt;"",S1099&lt;=Settings!$B$15)),"EXPIRING SOON","OK")))</f>
        <v/>
      </c>
      <c r="U1099" s="24" t="str">
        <f aca="false">IF(AND(C1099="Own",Q1099="Active"),COUNTIFS($C$5:C1099,"Own",$Q$5:Q1099,"Active"),"")</f>
        <v/>
      </c>
      <c r="V1099" s="26" t="str">
        <f aca="false">IF(C1099&lt;&gt;"Own","",IF(K1099="Hourly",N1099,(L1099+M1099)/(Settings!$B$11*Settings!$B$12)))</f>
        <v/>
      </c>
    </row>
    <row r="1100" customFormat="false" ht="15" hidden="false" customHeight="false" outlineLevel="0" collapsed="false">
      <c r="R1100" s="25" t="str">
        <f aca="true">IF(I1100="","",I1100-TODAY())</f>
        <v/>
      </c>
      <c r="S1100" s="25" t="str">
        <f aca="true">IF(J1100="","",J1100-TODAY())</f>
        <v/>
      </c>
      <c r="T1100" s="24" t="str">
        <f aca="false">IF(A1100="","",IF(OR(AND(R1100&lt;&gt;"",R1100&lt;0),AND(S1100&lt;&gt;"",S1100&lt;0)),"EXPIRED",IF(OR(AND(R1100&lt;&gt;"",R1100&lt;=Settings!$B$15),AND(S1100&lt;&gt;"",S1100&lt;=Settings!$B$15)),"EXPIRING SOON","OK")))</f>
        <v/>
      </c>
      <c r="U1100" s="24" t="str">
        <f aca="false">IF(AND(C1100="Own",Q1100="Active"),COUNTIFS($C$5:C1100,"Own",$Q$5:Q1100,"Active"),"")</f>
        <v/>
      </c>
      <c r="V1100" s="26" t="str">
        <f aca="false">IF(C1100&lt;&gt;"Own","",IF(K1100="Hourly",N1100,(L1100+M1100)/(Settings!$B$11*Settings!$B$12)))</f>
        <v/>
      </c>
    </row>
    <row r="1101" customFormat="false" ht="15" hidden="false" customHeight="false" outlineLevel="0" collapsed="false">
      <c r="R1101" s="25" t="str">
        <f aca="true">IF(I1101="","",I1101-TODAY())</f>
        <v/>
      </c>
      <c r="S1101" s="25" t="str">
        <f aca="true">IF(J1101="","",J1101-TODAY())</f>
        <v/>
      </c>
      <c r="T1101" s="24" t="str">
        <f aca="false">IF(A1101="","",IF(OR(AND(R1101&lt;&gt;"",R1101&lt;0),AND(S1101&lt;&gt;"",S1101&lt;0)),"EXPIRED",IF(OR(AND(R1101&lt;&gt;"",R1101&lt;=Settings!$B$15),AND(S1101&lt;&gt;"",S1101&lt;=Settings!$B$15)),"EXPIRING SOON","OK")))</f>
        <v/>
      </c>
      <c r="U1101" s="24" t="str">
        <f aca="false">IF(AND(C1101="Own",Q1101="Active"),COUNTIFS($C$5:C1101,"Own",$Q$5:Q1101,"Active"),"")</f>
        <v/>
      </c>
      <c r="V1101" s="26" t="str">
        <f aca="false">IF(C1101&lt;&gt;"Own","",IF(K1101="Hourly",N1101,(L1101+M1101)/(Settings!$B$11*Settings!$B$12)))</f>
        <v/>
      </c>
    </row>
    <row r="1102" customFormat="false" ht="15" hidden="false" customHeight="false" outlineLevel="0" collapsed="false">
      <c r="R1102" s="25" t="str">
        <f aca="true">IF(I1102="","",I1102-TODAY())</f>
        <v/>
      </c>
      <c r="S1102" s="25" t="str">
        <f aca="true">IF(J1102="","",J1102-TODAY())</f>
        <v/>
      </c>
      <c r="T1102" s="24" t="str">
        <f aca="false">IF(A1102="","",IF(OR(AND(R1102&lt;&gt;"",R1102&lt;0),AND(S1102&lt;&gt;"",S1102&lt;0)),"EXPIRED",IF(OR(AND(R1102&lt;&gt;"",R1102&lt;=Settings!$B$15),AND(S1102&lt;&gt;"",S1102&lt;=Settings!$B$15)),"EXPIRING SOON","OK")))</f>
        <v/>
      </c>
      <c r="U1102" s="24" t="str">
        <f aca="false">IF(AND(C1102="Own",Q1102="Active"),COUNTIFS($C$5:C1102,"Own",$Q$5:Q1102,"Active"),"")</f>
        <v/>
      </c>
      <c r="V1102" s="26" t="str">
        <f aca="false">IF(C1102&lt;&gt;"Own","",IF(K1102="Hourly",N1102,(L1102+M1102)/(Settings!$B$11*Settings!$B$12)))</f>
        <v/>
      </c>
    </row>
    <row r="1103" customFormat="false" ht="15" hidden="false" customHeight="false" outlineLevel="0" collapsed="false">
      <c r="R1103" s="25" t="str">
        <f aca="true">IF(I1103="","",I1103-TODAY())</f>
        <v/>
      </c>
      <c r="S1103" s="25" t="str">
        <f aca="true">IF(J1103="","",J1103-TODAY())</f>
        <v/>
      </c>
      <c r="T1103" s="24" t="str">
        <f aca="false">IF(A1103="","",IF(OR(AND(R1103&lt;&gt;"",R1103&lt;0),AND(S1103&lt;&gt;"",S1103&lt;0)),"EXPIRED",IF(OR(AND(R1103&lt;&gt;"",R1103&lt;=Settings!$B$15),AND(S1103&lt;&gt;"",S1103&lt;=Settings!$B$15)),"EXPIRING SOON","OK")))</f>
        <v/>
      </c>
      <c r="U1103" s="24" t="str">
        <f aca="false">IF(AND(C1103="Own",Q1103="Active"),COUNTIFS($C$5:C1103,"Own",$Q$5:Q1103,"Active"),"")</f>
        <v/>
      </c>
      <c r="V1103" s="26" t="str">
        <f aca="false">IF(C1103&lt;&gt;"Own","",IF(K1103="Hourly",N1103,(L1103+M1103)/(Settings!$B$11*Settings!$B$12)))</f>
        <v/>
      </c>
    </row>
    <row r="1104" customFormat="false" ht="15" hidden="false" customHeight="false" outlineLevel="0" collapsed="false">
      <c r="R1104" s="25" t="str">
        <f aca="true">IF(I1104="","",I1104-TODAY())</f>
        <v/>
      </c>
      <c r="S1104" s="25" t="str">
        <f aca="true">IF(J1104="","",J1104-TODAY())</f>
        <v/>
      </c>
      <c r="T1104" s="24" t="str">
        <f aca="false">IF(A1104="","",IF(OR(AND(R1104&lt;&gt;"",R1104&lt;0),AND(S1104&lt;&gt;"",S1104&lt;0)),"EXPIRED",IF(OR(AND(R1104&lt;&gt;"",R1104&lt;=Settings!$B$15),AND(S1104&lt;&gt;"",S1104&lt;=Settings!$B$15)),"EXPIRING SOON","OK")))</f>
        <v/>
      </c>
      <c r="U1104" s="24" t="str">
        <f aca="false">IF(AND(C1104="Own",Q1104="Active"),COUNTIFS($C$5:C1104,"Own",$Q$5:Q1104,"Active"),"")</f>
        <v/>
      </c>
      <c r="V1104" s="26" t="str">
        <f aca="false">IF(C1104&lt;&gt;"Own","",IF(K1104="Hourly",N1104,(L1104+M1104)/(Settings!$B$11*Settings!$B$12)))</f>
        <v/>
      </c>
    </row>
    <row r="1105" customFormat="false" ht="15" hidden="false" customHeight="false" outlineLevel="0" collapsed="false">
      <c r="R1105" s="25" t="str">
        <f aca="true">IF(I1105="","",I1105-TODAY())</f>
        <v/>
      </c>
      <c r="S1105" s="25" t="str">
        <f aca="true">IF(J1105="","",J1105-TODAY())</f>
        <v/>
      </c>
      <c r="T1105" s="24" t="str">
        <f aca="false">IF(A1105="","",IF(OR(AND(R1105&lt;&gt;"",R1105&lt;0),AND(S1105&lt;&gt;"",S1105&lt;0)),"EXPIRED",IF(OR(AND(R1105&lt;&gt;"",R1105&lt;=Settings!$B$15),AND(S1105&lt;&gt;"",S1105&lt;=Settings!$B$15)),"EXPIRING SOON","OK")))</f>
        <v/>
      </c>
      <c r="U1105" s="24" t="str">
        <f aca="false">IF(AND(C1105="Own",Q1105="Active"),COUNTIFS($C$5:C1105,"Own",$Q$5:Q1105,"Active"),"")</f>
        <v/>
      </c>
      <c r="V1105" s="26" t="str">
        <f aca="false">IF(C1105&lt;&gt;"Own","",IF(K1105="Hourly",N1105,(L1105+M1105)/(Settings!$B$11*Settings!$B$12)))</f>
        <v/>
      </c>
    </row>
    <row r="1106" customFormat="false" ht="15" hidden="false" customHeight="false" outlineLevel="0" collapsed="false">
      <c r="R1106" s="25" t="str">
        <f aca="true">IF(I1106="","",I1106-TODAY())</f>
        <v/>
      </c>
      <c r="S1106" s="25" t="str">
        <f aca="true">IF(J1106="","",J1106-TODAY())</f>
        <v/>
      </c>
      <c r="T1106" s="24" t="str">
        <f aca="false">IF(A1106="","",IF(OR(AND(R1106&lt;&gt;"",R1106&lt;0),AND(S1106&lt;&gt;"",S1106&lt;0)),"EXPIRED",IF(OR(AND(R1106&lt;&gt;"",R1106&lt;=Settings!$B$15),AND(S1106&lt;&gt;"",S1106&lt;=Settings!$B$15)),"EXPIRING SOON","OK")))</f>
        <v/>
      </c>
      <c r="U1106" s="24" t="str">
        <f aca="false">IF(AND(C1106="Own",Q1106="Active"),COUNTIFS($C$5:C1106,"Own",$Q$5:Q1106,"Active"),"")</f>
        <v/>
      </c>
      <c r="V1106" s="26" t="str">
        <f aca="false">IF(C1106&lt;&gt;"Own","",IF(K1106="Hourly",N1106,(L1106+M1106)/(Settings!$B$11*Settings!$B$12)))</f>
        <v/>
      </c>
    </row>
    <row r="1107" customFormat="false" ht="15" hidden="false" customHeight="false" outlineLevel="0" collapsed="false">
      <c r="R1107" s="25" t="str">
        <f aca="true">IF(I1107="","",I1107-TODAY())</f>
        <v/>
      </c>
      <c r="S1107" s="25" t="str">
        <f aca="true">IF(J1107="","",J1107-TODAY())</f>
        <v/>
      </c>
      <c r="T1107" s="24" t="str">
        <f aca="false">IF(A1107="","",IF(OR(AND(R1107&lt;&gt;"",R1107&lt;0),AND(S1107&lt;&gt;"",S1107&lt;0)),"EXPIRED",IF(OR(AND(R1107&lt;&gt;"",R1107&lt;=Settings!$B$15),AND(S1107&lt;&gt;"",S1107&lt;=Settings!$B$15)),"EXPIRING SOON","OK")))</f>
        <v/>
      </c>
      <c r="U1107" s="24" t="str">
        <f aca="false">IF(AND(C1107="Own",Q1107="Active"),COUNTIFS($C$5:C1107,"Own",$Q$5:Q1107,"Active"),"")</f>
        <v/>
      </c>
      <c r="V1107" s="26" t="str">
        <f aca="false">IF(C1107&lt;&gt;"Own","",IF(K1107="Hourly",N1107,(L1107+M1107)/(Settings!$B$11*Settings!$B$12)))</f>
        <v/>
      </c>
    </row>
    <row r="1108" customFormat="false" ht="15" hidden="false" customHeight="false" outlineLevel="0" collapsed="false">
      <c r="R1108" s="25" t="str">
        <f aca="true">IF(I1108="","",I1108-TODAY())</f>
        <v/>
      </c>
      <c r="S1108" s="25" t="str">
        <f aca="true">IF(J1108="","",J1108-TODAY())</f>
        <v/>
      </c>
      <c r="T1108" s="24" t="str">
        <f aca="false">IF(A1108="","",IF(OR(AND(R1108&lt;&gt;"",R1108&lt;0),AND(S1108&lt;&gt;"",S1108&lt;0)),"EXPIRED",IF(OR(AND(R1108&lt;&gt;"",R1108&lt;=Settings!$B$15),AND(S1108&lt;&gt;"",S1108&lt;=Settings!$B$15)),"EXPIRING SOON","OK")))</f>
        <v/>
      </c>
      <c r="U1108" s="24" t="str">
        <f aca="false">IF(AND(C1108="Own",Q1108="Active"),COUNTIFS($C$5:C1108,"Own",$Q$5:Q1108,"Active"),"")</f>
        <v/>
      </c>
      <c r="V1108" s="26" t="str">
        <f aca="false">IF(C1108&lt;&gt;"Own","",IF(K1108="Hourly",N1108,(L1108+M1108)/(Settings!$B$11*Settings!$B$12)))</f>
        <v/>
      </c>
    </row>
    <row r="1109" customFormat="false" ht="15" hidden="false" customHeight="false" outlineLevel="0" collapsed="false">
      <c r="R1109" s="25" t="str">
        <f aca="true">IF(I1109="","",I1109-TODAY())</f>
        <v/>
      </c>
      <c r="S1109" s="25" t="str">
        <f aca="true">IF(J1109="","",J1109-TODAY())</f>
        <v/>
      </c>
      <c r="T1109" s="24" t="str">
        <f aca="false">IF(A1109="","",IF(OR(AND(R1109&lt;&gt;"",R1109&lt;0),AND(S1109&lt;&gt;"",S1109&lt;0)),"EXPIRED",IF(OR(AND(R1109&lt;&gt;"",R1109&lt;=Settings!$B$15),AND(S1109&lt;&gt;"",S1109&lt;=Settings!$B$15)),"EXPIRING SOON","OK")))</f>
        <v/>
      </c>
      <c r="U1109" s="24" t="str">
        <f aca="false">IF(AND(C1109="Own",Q1109="Active"),COUNTIFS($C$5:C1109,"Own",$Q$5:Q1109,"Active"),"")</f>
        <v/>
      </c>
      <c r="V1109" s="26" t="str">
        <f aca="false">IF(C1109&lt;&gt;"Own","",IF(K1109="Hourly",N1109,(L1109+M1109)/(Settings!$B$11*Settings!$B$12)))</f>
        <v/>
      </c>
    </row>
    <row r="1110" customFormat="false" ht="15" hidden="false" customHeight="false" outlineLevel="0" collapsed="false">
      <c r="R1110" s="25" t="str">
        <f aca="true">IF(I1110="","",I1110-TODAY())</f>
        <v/>
      </c>
      <c r="S1110" s="25" t="str">
        <f aca="true">IF(J1110="","",J1110-TODAY())</f>
        <v/>
      </c>
      <c r="T1110" s="24" t="str">
        <f aca="false">IF(A1110="","",IF(OR(AND(R1110&lt;&gt;"",R1110&lt;0),AND(S1110&lt;&gt;"",S1110&lt;0)),"EXPIRED",IF(OR(AND(R1110&lt;&gt;"",R1110&lt;=Settings!$B$15),AND(S1110&lt;&gt;"",S1110&lt;=Settings!$B$15)),"EXPIRING SOON","OK")))</f>
        <v/>
      </c>
      <c r="U1110" s="24" t="str">
        <f aca="false">IF(AND(C1110="Own",Q1110="Active"),COUNTIFS($C$5:C1110,"Own",$Q$5:Q1110,"Active"),"")</f>
        <v/>
      </c>
      <c r="V1110" s="26" t="str">
        <f aca="false">IF(C1110&lt;&gt;"Own","",IF(K1110="Hourly",N1110,(L1110+M1110)/(Settings!$B$11*Settings!$B$12)))</f>
        <v/>
      </c>
    </row>
    <row r="1111" customFormat="false" ht="15" hidden="false" customHeight="false" outlineLevel="0" collapsed="false">
      <c r="R1111" s="25" t="str">
        <f aca="true">IF(I1111="","",I1111-TODAY())</f>
        <v/>
      </c>
      <c r="S1111" s="25" t="str">
        <f aca="true">IF(J1111="","",J1111-TODAY())</f>
        <v/>
      </c>
      <c r="T1111" s="24" t="str">
        <f aca="false">IF(A1111="","",IF(OR(AND(R1111&lt;&gt;"",R1111&lt;0),AND(S1111&lt;&gt;"",S1111&lt;0)),"EXPIRED",IF(OR(AND(R1111&lt;&gt;"",R1111&lt;=Settings!$B$15),AND(S1111&lt;&gt;"",S1111&lt;=Settings!$B$15)),"EXPIRING SOON","OK")))</f>
        <v/>
      </c>
      <c r="U1111" s="24" t="str">
        <f aca="false">IF(AND(C1111="Own",Q1111="Active"),COUNTIFS($C$5:C1111,"Own",$Q$5:Q1111,"Active"),"")</f>
        <v/>
      </c>
      <c r="V1111" s="26" t="str">
        <f aca="false">IF(C1111&lt;&gt;"Own","",IF(K1111="Hourly",N1111,(L1111+M1111)/(Settings!$B$11*Settings!$B$12)))</f>
        <v/>
      </c>
    </row>
    <row r="1112" customFormat="false" ht="15" hidden="false" customHeight="false" outlineLevel="0" collapsed="false">
      <c r="R1112" s="25" t="str">
        <f aca="true">IF(I1112="","",I1112-TODAY())</f>
        <v/>
      </c>
      <c r="S1112" s="25" t="str">
        <f aca="true">IF(J1112="","",J1112-TODAY())</f>
        <v/>
      </c>
      <c r="T1112" s="24" t="str">
        <f aca="false">IF(A1112="","",IF(OR(AND(R1112&lt;&gt;"",R1112&lt;0),AND(S1112&lt;&gt;"",S1112&lt;0)),"EXPIRED",IF(OR(AND(R1112&lt;&gt;"",R1112&lt;=Settings!$B$15),AND(S1112&lt;&gt;"",S1112&lt;=Settings!$B$15)),"EXPIRING SOON","OK")))</f>
        <v/>
      </c>
      <c r="U1112" s="24" t="str">
        <f aca="false">IF(AND(C1112="Own",Q1112="Active"),COUNTIFS($C$5:C1112,"Own",$Q$5:Q1112,"Active"),"")</f>
        <v/>
      </c>
      <c r="V1112" s="26" t="str">
        <f aca="false">IF(C1112&lt;&gt;"Own","",IF(K1112="Hourly",N1112,(L1112+M1112)/(Settings!$B$11*Settings!$B$12)))</f>
        <v/>
      </c>
    </row>
    <row r="1113" customFormat="false" ht="15" hidden="false" customHeight="false" outlineLevel="0" collapsed="false">
      <c r="R1113" s="25" t="str">
        <f aca="true">IF(I1113="","",I1113-TODAY())</f>
        <v/>
      </c>
      <c r="S1113" s="25" t="str">
        <f aca="true">IF(J1113="","",J1113-TODAY())</f>
        <v/>
      </c>
      <c r="T1113" s="24" t="str">
        <f aca="false">IF(A1113="","",IF(OR(AND(R1113&lt;&gt;"",R1113&lt;0),AND(S1113&lt;&gt;"",S1113&lt;0)),"EXPIRED",IF(OR(AND(R1113&lt;&gt;"",R1113&lt;=Settings!$B$15),AND(S1113&lt;&gt;"",S1113&lt;=Settings!$B$15)),"EXPIRING SOON","OK")))</f>
        <v/>
      </c>
      <c r="U1113" s="24" t="str">
        <f aca="false">IF(AND(C1113="Own",Q1113="Active"),COUNTIFS($C$5:C1113,"Own",$Q$5:Q1113,"Active"),"")</f>
        <v/>
      </c>
      <c r="V1113" s="26" t="str">
        <f aca="false">IF(C1113&lt;&gt;"Own","",IF(K1113="Hourly",N1113,(L1113+M1113)/(Settings!$B$11*Settings!$B$12)))</f>
        <v/>
      </c>
    </row>
    <row r="1114" customFormat="false" ht="15" hidden="false" customHeight="false" outlineLevel="0" collapsed="false">
      <c r="R1114" s="25" t="str">
        <f aca="true">IF(I1114="","",I1114-TODAY())</f>
        <v/>
      </c>
      <c r="S1114" s="25" t="str">
        <f aca="true">IF(J1114="","",J1114-TODAY())</f>
        <v/>
      </c>
      <c r="T1114" s="24" t="str">
        <f aca="false">IF(A1114="","",IF(OR(AND(R1114&lt;&gt;"",R1114&lt;0),AND(S1114&lt;&gt;"",S1114&lt;0)),"EXPIRED",IF(OR(AND(R1114&lt;&gt;"",R1114&lt;=Settings!$B$15),AND(S1114&lt;&gt;"",S1114&lt;=Settings!$B$15)),"EXPIRING SOON","OK")))</f>
        <v/>
      </c>
      <c r="U1114" s="24" t="str">
        <f aca="false">IF(AND(C1114="Own",Q1114="Active"),COUNTIFS($C$5:C1114,"Own",$Q$5:Q1114,"Active"),"")</f>
        <v/>
      </c>
      <c r="V1114" s="26" t="str">
        <f aca="false">IF(C1114&lt;&gt;"Own","",IF(K1114="Hourly",N1114,(L1114+M1114)/(Settings!$B$11*Settings!$B$12)))</f>
        <v/>
      </c>
    </row>
    <row r="1115" customFormat="false" ht="15" hidden="false" customHeight="false" outlineLevel="0" collapsed="false">
      <c r="R1115" s="25" t="str">
        <f aca="true">IF(I1115="","",I1115-TODAY())</f>
        <v/>
      </c>
      <c r="S1115" s="25" t="str">
        <f aca="true">IF(J1115="","",J1115-TODAY())</f>
        <v/>
      </c>
      <c r="T1115" s="24" t="str">
        <f aca="false">IF(A1115="","",IF(OR(AND(R1115&lt;&gt;"",R1115&lt;0),AND(S1115&lt;&gt;"",S1115&lt;0)),"EXPIRED",IF(OR(AND(R1115&lt;&gt;"",R1115&lt;=Settings!$B$15),AND(S1115&lt;&gt;"",S1115&lt;=Settings!$B$15)),"EXPIRING SOON","OK")))</f>
        <v/>
      </c>
      <c r="U1115" s="24" t="str">
        <f aca="false">IF(AND(C1115="Own",Q1115="Active"),COUNTIFS($C$5:C1115,"Own",$Q$5:Q1115,"Active"),"")</f>
        <v/>
      </c>
      <c r="V1115" s="26" t="str">
        <f aca="false">IF(C1115&lt;&gt;"Own","",IF(K1115="Hourly",N1115,(L1115+M1115)/(Settings!$B$11*Settings!$B$12)))</f>
        <v/>
      </c>
    </row>
    <row r="1116" customFormat="false" ht="15" hidden="false" customHeight="false" outlineLevel="0" collapsed="false">
      <c r="R1116" s="25" t="str">
        <f aca="true">IF(I1116="","",I1116-TODAY())</f>
        <v/>
      </c>
      <c r="S1116" s="25" t="str">
        <f aca="true">IF(J1116="","",J1116-TODAY())</f>
        <v/>
      </c>
      <c r="T1116" s="24" t="str">
        <f aca="false">IF(A1116="","",IF(OR(AND(R1116&lt;&gt;"",R1116&lt;0),AND(S1116&lt;&gt;"",S1116&lt;0)),"EXPIRED",IF(OR(AND(R1116&lt;&gt;"",R1116&lt;=Settings!$B$15),AND(S1116&lt;&gt;"",S1116&lt;=Settings!$B$15)),"EXPIRING SOON","OK")))</f>
        <v/>
      </c>
      <c r="U1116" s="24" t="str">
        <f aca="false">IF(AND(C1116="Own",Q1116="Active"),COUNTIFS($C$5:C1116,"Own",$Q$5:Q1116,"Active"),"")</f>
        <v/>
      </c>
      <c r="V1116" s="26" t="str">
        <f aca="false">IF(C1116&lt;&gt;"Own","",IF(K1116="Hourly",N1116,(L1116+M1116)/(Settings!$B$11*Settings!$B$12)))</f>
        <v/>
      </c>
    </row>
    <row r="1117" customFormat="false" ht="15" hidden="false" customHeight="false" outlineLevel="0" collapsed="false">
      <c r="R1117" s="25" t="str">
        <f aca="true">IF(I1117="","",I1117-TODAY())</f>
        <v/>
      </c>
      <c r="S1117" s="25" t="str">
        <f aca="true">IF(J1117="","",J1117-TODAY())</f>
        <v/>
      </c>
      <c r="T1117" s="24" t="str">
        <f aca="false">IF(A1117="","",IF(OR(AND(R1117&lt;&gt;"",R1117&lt;0),AND(S1117&lt;&gt;"",S1117&lt;0)),"EXPIRED",IF(OR(AND(R1117&lt;&gt;"",R1117&lt;=Settings!$B$15),AND(S1117&lt;&gt;"",S1117&lt;=Settings!$B$15)),"EXPIRING SOON","OK")))</f>
        <v/>
      </c>
      <c r="U1117" s="24" t="str">
        <f aca="false">IF(AND(C1117="Own",Q1117="Active"),COUNTIFS($C$5:C1117,"Own",$Q$5:Q1117,"Active"),"")</f>
        <v/>
      </c>
      <c r="V1117" s="26" t="str">
        <f aca="false">IF(C1117&lt;&gt;"Own","",IF(K1117="Hourly",N1117,(L1117+M1117)/(Settings!$B$11*Settings!$B$12)))</f>
        <v/>
      </c>
    </row>
    <row r="1118" customFormat="false" ht="15" hidden="false" customHeight="false" outlineLevel="0" collapsed="false">
      <c r="R1118" s="25" t="str">
        <f aca="true">IF(I1118="","",I1118-TODAY())</f>
        <v/>
      </c>
      <c r="S1118" s="25" t="str">
        <f aca="true">IF(J1118="","",J1118-TODAY())</f>
        <v/>
      </c>
      <c r="T1118" s="24" t="str">
        <f aca="false">IF(A1118="","",IF(OR(AND(R1118&lt;&gt;"",R1118&lt;0),AND(S1118&lt;&gt;"",S1118&lt;0)),"EXPIRED",IF(OR(AND(R1118&lt;&gt;"",R1118&lt;=Settings!$B$15),AND(S1118&lt;&gt;"",S1118&lt;=Settings!$B$15)),"EXPIRING SOON","OK")))</f>
        <v/>
      </c>
      <c r="U1118" s="24" t="str">
        <f aca="false">IF(AND(C1118="Own",Q1118="Active"),COUNTIFS($C$5:C1118,"Own",$Q$5:Q1118,"Active"),"")</f>
        <v/>
      </c>
      <c r="V1118" s="26" t="str">
        <f aca="false">IF(C1118&lt;&gt;"Own","",IF(K1118="Hourly",N1118,(L1118+M1118)/(Settings!$B$11*Settings!$B$12)))</f>
        <v/>
      </c>
    </row>
    <row r="1119" customFormat="false" ht="15" hidden="false" customHeight="false" outlineLevel="0" collapsed="false">
      <c r="R1119" s="25" t="str">
        <f aca="true">IF(I1119="","",I1119-TODAY())</f>
        <v/>
      </c>
      <c r="S1119" s="25" t="str">
        <f aca="true">IF(J1119="","",J1119-TODAY())</f>
        <v/>
      </c>
      <c r="T1119" s="24" t="str">
        <f aca="false">IF(A1119="","",IF(OR(AND(R1119&lt;&gt;"",R1119&lt;0),AND(S1119&lt;&gt;"",S1119&lt;0)),"EXPIRED",IF(OR(AND(R1119&lt;&gt;"",R1119&lt;=Settings!$B$15),AND(S1119&lt;&gt;"",S1119&lt;=Settings!$B$15)),"EXPIRING SOON","OK")))</f>
        <v/>
      </c>
      <c r="U1119" s="24" t="str">
        <f aca="false">IF(AND(C1119="Own",Q1119="Active"),COUNTIFS($C$5:C1119,"Own",$Q$5:Q1119,"Active"),"")</f>
        <v/>
      </c>
      <c r="V1119" s="26" t="str">
        <f aca="false">IF(C1119&lt;&gt;"Own","",IF(K1119="Hourly",N1119,(L1119+M1119)/(Settings!$B$11*Settings!$B$12)))</f>
        <v/>
      </c>
    </row>
    <row r="1120" customFormat="false" ht="15" hidden="false" customHeight="false" outlineLevel="0" collapsed="false">
      <c r="R1120" s="25" t="str">
        <f aca="true">IF(I1120="","",I1120-TODAY())</f>
        <v/>
      </c>
      <c r="S1120" s="25" t="str">
        <f aca="true">IF(J1120="","",J1120-TODAY())</f>
        <v/>
      </c>
      <c r="T1120" s="24" t="str">
        <f aca="false">IF(A1120="","",IF(OR(AND(R1120&lt;&gt;"",R1120&lt;0),AND(S1120&lt;&gt;"",S1120&lt;0)),"EXPIRED",IF(OR(AND(R1120&lt;&gt;"",R1120&lt;=Settings!$B$15),AND(S1120&lt;&gt;"",S1120&lt;=Settings!$B$15)),"EXPIRING SOON","OK")))</f>
        <v/>
      </c>
      <c r="U1120" s="24" t="str">
        <f aca="false">IF(AND(C1120="Own",Q1120="Active"),COUNTIFS($C$5:C1120,"Own",$Q$5:Q1120,"Active"),"")</f>
        <v/>
      </c>
      <c r="V1120" s="26" t="str">
        <f aca="false">IF(C1120&lt;&gt;"Own","",IF(K1120="Hourly",N1120,(L1120+M1120)/(Settings!$B$11*Settings!$B$12)))</f>
        <v/>
      </c>
    </row>
    <row r="1121" customFormat="false" ht="15" hidden="false" customHeight="false" outlineLevel="0" collapsed="false">
      <c r="R1121" s="25" t="str">
        <f aca="true">IF(I1121="","",I1121-TODAY())</f>
        <v/>
      </c>
      <c r="S1121" s="25" t="str">
        <f aca="true">IF(J1121="","",J1121-TODAY())</f>
        <v/>
      </c>
      <c r="T1121" s="24" t="str">
        <f aca="false">IF(A1121="","",IF(OR(AND(R1121&lt;&gt;"",R1121&lt;0),AND(S1121&lt;&gt;"",S1121&lt;0)),"EXPIRED",IF(OR(AND(R1121&lt;&gt;"",R1121&lt;=Settings!$B$15),AND(S1121&lt;&gt;"",S1121&lt;=Settings!$B$15)),"EXPIRING SOON","OK")))</f>
        <v/>
      </c>
      <c r="U1121" s="24" t="str">
        <f aca="false">IF(AND(C1121="Own",Q1121="Active"),COUNTIFS($C$5:C1121,"Own",$Q$5:Q1121,"Active"),"")</f>
        <v/>
      </c>
      <c r="V1121" s="26" t="str">
        <f aca="false">IF(C1121&lt;&gt;"Own","",IF(K1121="Hourly",N1121,(L1121+M1121)/(Settings!$B$11*Settings!$B$12)))</f>
        <v/>
      </c>
    </row>
    <row r="1122" customFormat="false" ht="15" hidden="false" customHeight="false" outlineLevel="0" collapsed="false">
      <c r="R1122" s="25" t="str">
        <f aca="true">IF(I1122="","",I1122-TODAY())</f>
        <v/>
      </c>
      <c r="S1122" s="25" t="str">
        <f aca="true">IF(J1122="","",J1122-TODAY())</f>
        <v/>
      </c>
      <c r="T1122" s="24" t="str">
        <f aca="false">IF(A1122="","",IF(OR(AND(R1122&lt;&gt;"",R1122&lt;0),AND(S1122&lt;&gt;"",S1122&lt;0)),"EXPIRED",IF(OR(AND(R1122&lt;&gt;"",R1122&lt;=Settings!$B$15),AND(S1122&lt;&gt;"",S1122&lt;=Settings!$B$15)),"EXPIRING SOON","OK")))</f>
        <v/>
      </c>
      <c r="U1122" s="24" t="str">
        <f aca="false">IF(AND(C1122="Own",Q1122="Active"),COUNTIFS($C$5:C1122,"Own",$Q$5:Q1122,"Active"),"")</f>
        <v/>
      </c>
      <c r="V1122" s="26" t="str">
        <f aca="false">IF(C1122&lt;&gt;"Own","",IF(K1122="Hourly",N1122,(L1122+M1122)/(Settings!$B$11*Settings!$B$12)))</f>
        <v/>
      </c>
    </row>
    <row r="1123" customFormat="false" ht="15" hidden="false" customHeight="false" outlineLevel="0" collapsed="false">
      <c r="R1123" s="25" t="str">
        <f aca="true">IF(I1123="","",I1123-TODAY())</f>
        <v/>
      </c>
      <c r="S1123" s="25" t="str">
        <f aca="true">IF(J1123="","",J1123-TODAY())</f>
        <v/>
      </c>
      <c r="T1123" s="24" t="str">
        <f aca="false">IF(A1123="","",IF(OR(AND(R1123&lt;&gt;"",R1123&lt;0),AND(S1123&lt;&gt;"",S1123&lt;0)),"EXPIRED",IF(OR(AND(R1123&lt;&gt;"",R1123&lt;=Settings!$B$15),AND(S1123&lt;&gt;"",S1123&lt;=Settings!$B$15)),"EXPIRING SOON","OK")))</f>
        <v/>
      </c>
      <c r="U1123" s="24" t="str">
        <f aca="false">IF(AND(C1123="Own",Q1123="Active"),COUNTIFS($C$5:C1123,"Own",$Q$5:Q1123,"Active"),"")</f>
        <v/>
      </c>
      <c r="V1123" s="26" t="str">
        <f aca="false">IF(C1123&lt;&gt;"Own","",IF(K1123="Hourly",N1123,(L1123+M1123)/(Settings!$B$11*Settings!$B$12)))</f>
        <v/>
      </c>
    </row>
    <row r="1124" customFormat="false" ht="15" hidden="false" customHeight="false" outlineLevel="0" collapsed="false">
      <c r="R1124" s="25" t="str">
        <f aca="true">IF(I1124="","",I1124-TODAY())</f>
        <v/>
      </c>
      <c r="S1124" s="25" t="str">
        <f aca="true">IF(J1124="","",J1124-TODAY())</f>
        <v/>
      </c>
      <c r="T1124" s="24" t="str">
        <f aca="false">IF(A1124="","",IF(OR(AND(R1124&lt;&gt;"",R1124&lt;0),AND(S1124&lt;&gt;"",S1124&lt;0)),"EXPIRED",IF(OR(AND(R1124&lt;&gt;"",R1124&lt;=Settings!$B$15),AND(S1124&lt;&gt;"",S1124&lt;=Settings!$B$15)),"EXPIRING SOON","OK")))</f>
        <v/>
      </c>
      <c r="U1124" s="24" t="str">
        <f aca="false">IF(AND(C1124="Own",Q1124="Active"),COUNTIFS($C$5:C1124,"Own",$Q$5:Q1124,"Active"),"")</f>
        <v/>
      </c>
      <c r="V1124" s="26" t="str">
        <f aca="false">IF(C1124&lt;&gt;"Own","",IF(K1124="Hourly",N1124,(L1124+M1124)/(Settings!$B$11*Settings!$B$12)))</f>
        <v/>
      </c>
    </row>
    <row r="1125" customFormat="false" ht="15" hidden="false" customHeight="false" outlineLevel="0" collapsed="false">
      <c r="R1125" s="25" t="str">
        <f aca="true">IF(I1125="","",I1125-TODAY())</f>
        <v/>
      </c>
      <c r="S1125" s="25" t="str">
        <f aca="true">IF(J1125="","",J1125-TODAY())</f>
        <v/>
      </c>
      <c r="T1125" s="24" t="str">
        <f aca="false">IF(A1125="","",IF(OR(AND(R1125&lt;&gt;"",R1125&lt;0),AND(S1125&lt;&gt;"",S1125&lt;0)),"EXPIRED",IF(OR(AND(R1125&lt;&gt;"",R1125&lt;=Settings!$B$15),AND(S1125&lt;&gt;"",S1125&lt;=Settings!$B$15)),"EXPIRING SOON","OK")))</f>
        <v/>
      </c>
      <c r="U1125" s="24" t="str">
        <f aca="false">IF(AND(C1125="Own",Q1125="Active"),COUNTIFS($C$5:C1125,"Own",$Q$5:Q1125,"Active"),"")</f>
        <v/>
      </c>
      <c r="V1125" s="26" t="str">
        <f aca="false">IF(C1125&lt;&gt;"Own","",IF(K1125="Hourly",N1125,(L1125+M1125)/(Settings!$B$11*Settings!$B$12)))</f>
        <v/>
      </c>
    </row>
    <row r="1126" customFormat="false" ht="15" hidden="false" customHeight="false" outlineLevel="0" collapsed="false">
      <c r="R1126" s="25" t="str">
        <f aca="true">IF(I1126="","",I1126-TODAY())</f>
        <v/>
      </c>
      <c r="S1126" s="25" t="str">
        <f aca="true">IF(J1126="","",J1126-TODAY())</f>
        <v/>
      </c>
      <c r="T1126" s="24" t="str">
        <f aca="false">IF(A1126="","",IF(OR(AND(R1126&lt;&gt;"",R1126&lt;0),AND(S1126&lt;&gt;"",S1126&lt;0)),"EXPIRED",IF(OR(AND(R1126&lt;&gt;"",R1126&lt;=Settings!$B$15),AND(S1126&lt;&gt;"",S1126&lt;=Settings!$B$15)),"EXPIRING SOON","OK")))</f>
        <v/>
      </c>
      <c r="U1126" s="24" t="str">
        <f aca="false">IF(AND(C1126="Own",Q1126="Active"),COUNTIFS($C$5:C1126,"Own",$Q$5:Q1126,"Active"),"")</f>
        <v/>
      </c>
      <c r="V1126" s="26" t="str">
        <f aca="false">IF(C1126&lt;&gt;"Own","",IF(K1126="Hourly",N1126,(L1126+M1126)/(Settings!$B$11*Settings!$B$12)))</f>
        <v/>
      </c>
    </row>
    <row r="1127" customFormat="false" ht="15" hidden="false" customHeight="false" outlineLevel="0" collapsed="false">
      <c r="R1127" s="25" t="str">
        <f aca="true">IF(I1127="","",I1127-TODAY())</f>
        <v/>
      </c>
      <c r="S1127" s="25" t="str">
        <f aca="true">IF(J1127="","",J1127-TODAY())</f>
        <v/>
      </c>
      <c r="T1127" s="24" t="str">
        <f aca="false">IF(A1127="","",IF(OR(AND(R1127&lt;&gt;"",R1127&lt;0),AND(S1127&lt;&gt;"",S1127&lt;0)),"EXPIRED",IF(OR(AND(R1127&lt;&gt;"",R1127&lt;=Settings!$B$15),AND(S1127&lt;&gt;"",S1127&lt;=Settings!$B$15)),"EXPIRING SOON","OK")))</f>
        <v/>
      </c>
      <c r="U1127" s="24" t="str">
        <f aca="false">IF(AND(C1127="Own",Q1127="Active"),COUNTIFS($C$5:C1127,"Own",$Q$5:Q1127,"Active"),"")</f>
        <v/>
      </c>
      <c r="V1127" s="26" t="str">
        <f aca="false">IF(C1127&lt;&gt;"Own","",IF(K1127="Hourly",N1127,(L1127+M1127)/(Settings!$B$11*Settings!$B$12)))</f>
        <v/>
      </c>
    </row>
    <row r="1128" customFormat="false" ht="15" hidden="false" customHeight="false" outlineLevel="0" collapsed="false">
      <c r="R1128" s="25" t="str">
        <f aca="true">IF(I1128="","",I1128-TODAY())</f>
        <v/>
      </c>
      <c r="S1128" s="25" t="str">
        <f aca="true">IF(J1128="","",J1128-TODAY())</f>
        <v/>
      </c>
      <c r="T1128" s="24" t="str">
        <f aca="false">IF(A1128="","",IF(OR(AND(R1128&lt;&gt;"",R1128&lt;0),AND(S1128&lt;&gt;"",S1128&lt;0)),"EXPIRED",IF(OR(AND(R1128&lt;&gt;"",R1128&lt;=Settings!$B$15),AND(S1128&lt;&gt;"",S1128&lt;=Settings!$B$15)),"EXPIRING SOON","OK")))</f>
        <v/>
      </c>
      <c r="U1128" s="24" t="str">
        <f aca="false">IF(AND(C1128="Own",Q1128="Active"),COUNTIFS($C$5:C1128,"Own",$Q$5:Q1128,"Active"),"")</f>
        <v/>
      </c>
      <c r="V1128" s="26" t="str">
        <f aca="false">IF(C1128&lt;&gt;"Own","",IF(K1128="Hourly",N1128,(L1128+M1128)/(Settings!$B$11*Settings!$B$12)))</f>
        <v/>
      </c>
    </row>
    <row r="1129" customFormat="false" ht="15" hidden="false" customHeight="false" outlineLevel="0" collapsed="false">
      <c r="R1129" s="25" t="str">
        <f aca="true">IF(I1129="","",I1129-TODAY())</f>
        <v/>
      </c>
      <c r="S1129" s="25" t="str">
        <f aca="true">IF(J1129="","",J1129-TODAY())</f>
        <v/>
      </c>
      <c r="T1129" s="24" t="str">
        <f aca="false">IF(A1129="","",IF(OR(AND(R1129&lt;&gt;"",R1129&lt;0),AND(S1129&lt;&gt;"",S1129&lt;0)),"EXPIRED",IF(OR(AND(R1129&lt;&gt;"",R1129&lt;=Settings!$B$15),AND(S1129&lt;&gt;"",S1129&lt;=Settings!$B$15)),"EXPIRING SOON","OK")))</f>
        <v/>
      </c>
      <c r="U1129" s="24" t="str">
        <f aca="false">IF(AND(C1129="Own",Q1129="Active"),COUNTIFS($C$5:C1129,"Own",$Q$5:Q1129,"Active"),"")</f>
        <v/>
      </c>
      <c r="V1129" s="26" t="str">
        <f aca="false">IF(C1129&lt;&gt;"Own","",IF(K1129="Hourly",N1129,(L1129+M1129)/(Settings!$B$11*Settings!$B$12)))</f>
        <v/>
      </c>
    </row>
    <row r="1130" customFormat="false" ht="15" hidden="false" customHeight="false" outlineLevel="0" collapsed="false">
      <c r="R1130" s="25" t="str">
        <f aca="true">IF(I1130="","",I1130-TODAY())</f>
        <v/>
      </c>
      <c r="S1130" s="25" t="str">
        <f aca="true">IF(J1130="","",J1130-TODAY())</f>
        <v/>
      </c>
      <c r="T1130" s="24" t="str">
        <f aca="false">IF(A1130="","",IF(OR(AND(R1130&lt;&gt;"",R1130&lt;0),AND(S1130&lt;&gt;"",S1130&lt;0)),"EXPIRED",IF(OR(AND(R1130&lt;&gt;"",R1130&lt;=Settings!$B$15),AND(S1130&lt;&gt;"",S1130&lt;=Settings!$B$15)),"EXPIRING SOON","OK")))</f>
        <v/>
      </c>
      <c r="U1130" s="24" t="str">
        <f aca="false">IF(AND(C1130="Own",Q1130="Active"),COUNTIFS($C$5:C1130,"Own",$Q$5:Q1130,"Active"),"")</f>
        <v/>
      </c>
      <c r="V1130" s="26" t="str">
        <f aca="false">IF(C1130&lt;&gt;"Own","",IF(K1130="Hourly",N1130,(L1130+M1130)/(Settings!$B$11*Settings!$B$12)))</f>
        <v/>
      </c>
    </row>
    <row r="1131" customFormat="false" ht="15" hidden="false" customHeight="false" outlineLevel="0" collapsed="false">
      <c r="R1131" s="25" t="str">
        <f aca="true">IF(I1131="","",I1131-TODAY())</f>
        <v/>
      </c>
      <c r="S1131" s="25" t="str">
        <f aca="true">IF(J1131="","",J1131-TODAY())</f>
        <v/>
      </c>
      <c r="T1131" s="24" t="str">
        <f aca="false">IF(A1131="","",IF(OR(AND(R1131&lt;&gt;"",R1131&lt;0),AND(S1131&lt;&gt;"",S1131&lt;0)),"EXPIRED",IF(OR(AND(R1131&lt;&gt;"",R1131&lt;=Settings!$B$15),AND(S1131&lt;&gt;"",S1131&lt;=Settings!$B$15)),"EXPIRING SOON","OK")))</f>
        <v/>
      </c>
      <c r="U1131" s="24" t="str">
        <f aca="false">IF(AND(C1131="Own",Q1131="Active"),COUNTIFS($C$5:C1131,"Own",$Q$5:Q1131,"Active"),"")</f>
        <v/>
      </c>
      <c r="V1131" s="26" t="str">
        <f aca="false">IF(C1131&lt;&gt;"Own","",IF(K1131="Hourly",N1131,(L1131+M1131)/(Settings!$B$11*Settings!$B$12)))</f>
        <v/>
      </c>
    </row>
    <row r="1132" customFormat="false" ht="15" hidden="false" customHeight="false" outlineLevel="0" collapsed="false">
      <c r="R1132" s="25" t="str">
        <f aca="true">IF(I1132="","",I1132-TODAY())</f>
        <v/>
      </c>
      <c r="S1132" s="25" t="str">
        <f aca="true">IF(J1132="","",J1132-TODAY())</f>
        <v/>
      </c>
      <c r="T1132" s="24" t="str">
        <f aca="false">IF(A1132="","",IF(OR(AND(R1132&lt;&gt;"",R1132&lt;0),AND(S1132&lt;&gt;"",S1132&lt;0)),"EXPIRED",IF(OR(AND(R1132&lt;&gt;"",R1132&lt;=Settings!$B$15),AND(S1132&lt;&gt;"",S1132&lt;=Settings!$B$15)),"EXPIRING SOON","OK")))</f>
        <v/>
      </c>
      <c r="U1132" s="24" t="str">
        <f aca="false">IF(AND(C1132="Own",Q1132="Active"),COUNTIFS($C$5:C1132,"Own",$Q$5:Q1132,"Active"),"")</f>
        <v/>
      </c>
      <c r="V1132" s="26" t="str">
        <f aca="false">IF(C1132&lt;&gt;"Own","",IF(K1132="Hourly",N1132,(L1132+M1132)/(Settings!$B$11*Settings!$B$12)))</f>
        <v/>
      </c>
    </row>
    <row r="1133" customFormat="false" ht="15" hidden="false" customHeight="false" outlineLevel="0" collapsed="false">
      <c r="R1133" s="25" t="str">
        <f aca="true">IF(I1133="","",I1133-TODAY())</f>
        <v/>
      </c>
      <c r="S1133" s="25" t="str">
        <f aca="true">IF(J1133="","",J1133-TODAY())</f>
        <v/>
      </c>
      <c r="T1133" s="24" t="str">
        <f aca="false">IF(A1133="","",IF(OR(AND(R1133&lt;&gt;"",R1133&lt;0),AND(S1133&lt;&gt;"",S1133&lt;0)),"EXPIRED",IF(OR(AND(R1133&lt;&gt;"",R1133&lt;=Settings!$B$15),AND(S1133&lt;&gt;"",S1133&lt;=Settings!$B$15)),"EXPIRING SOON","OK")))</f>
        <v/>
      </c>
      <c r="U1133" s="24" t="str">
        <f aca="false">IF(AND(C1133="Own",Q1133="Active"),COUNTIFS($C$5:C1133,"Own",$Q$5:Q1133,"Active"),"")</f>
        <v/>
      </c>
      <c r="V1133" s="26" t="str">
        <f aca="false">IF(C1133&lt;&gt;"Own","",IF(K1133="Hourly",N1133,(L1133+M1133)/(Settings!$B$11*Settings!$B$12)))</f>
        <v/>
      </c>
    </row>
    <row r="1134" customFormat="false" ht="15" hidden="false" customHeight="false" outlineLevel="0" collapsed="false">
      <c r="R1134" s="25" t="str">
        <f aca="true">IF(I1134="","",I1134-TODAY())</f>
        <v/>
      </c>
      <c r="S1134" s="25" t="str">
        <f aca="true">IF(J1134="","",J1134-TODAY())</f>
        <v/>
      </c>
      <c r="T1134" s="24" t="str">
        <f aca="false">IF(A1134="","",IF(OR(AND(R1134&lt;&gt;"",R1134&lt;0),AND(S1134&lt;&gt;"",S1134&lt;0)),"EXPIRED",IF(OR(AND(R1134&lt;&gt;"",R1134&lt;=Settings!$B$15),AND(S1134&lt;&gt;"",S1134&lt;=Settings!$B$15)),"EXPIRING SOON","OK")))</f>
        <v/>
      </c>
      <c r="U1134" s="24" t="str">
        <f aca="false">IF(AND(C1134="Own",Q1134="Active"),COUNTIFS($C$5:C1134,"Own",$Q$5:Q1134,"Active"),"")</f>
        <v/>
      </c>
      <c r="V1134" s="26" t="str">
        <f aca="false">IF(C1134&lt;&gt;"Own","",IF(K1134="Hourly",N1134,(L1134+M1134)/(Settings!$B$11*Settings!$B$12)))</f>
        <v/>
      </c>
    </row>
    <row r="1135" customFormat="false" ht="15" hidden="false" customHeight="false" outlineLevel="0" collapsed="false">
      <c r="R1135" s="25" t="str">
        <f aca="true">IF(I1135="","",I1135-TODAY())</f>
        <v/>
      </c>
      <c r="S1135" s="25" t="str">
        <f aca="true">IF(J1135="","",J1135-TODAY())</f>
        <v/>
      </c>
      <c r="T1135" s="24" t="str">
        <f aca="false">IF(A1135="","",IF(OR(AND(R1135&lt;&gt;"",R1135&lt;0),AND(S1135&lt;&gt;"",S1135&lt;0)),"EXPIRED",IF(OR(AND(R1135&lt;&gt;"",R1135&lt;=Settings!$B$15),AND(S1135&lt;&gt;"",S1135&lt;=Settings!$B$15)),"EXPIRING SOON","OK")))</f>
        <v/>
      </c>
      <c r="U1135" s="24" t="str">
        <f aca="false">IF(AND(C1135="Own",Q1135="Active"),COUNTIFS($C$5:C1135,"Own",$Q$5:Q1135,"Active"),"")</f>
        <v/>
      </c>
      <c r="V1135" s="26" t="str">
        <f aca="false">IF(C1135&lt;&gt;"Own","",IF(K1135="Hourly",N1135,(L1135+M1135)/(Settings!$B$11*Settings!$B$12)))</f>
        <v/>
      </c>
    </row>
    <row r="1136" customFormat="false" ht="15" hidden="false" customHeight="false" outlineLevel="0" collapsed="false">
      <c r="R1136" s="25" t="str">
        <f aca="true">IF(I1136="","",I1136-TODAY())</f>
        <v/>
      </c>
      <c r="S1136" s="25" t="str">
        <f aca="true">IF(J1136="","",J1136-TODAY())</f>
        <v/>
      </c>
      <c r="T1136" s="24" t="str">
        <f aca="false">IF(A1136="","",IF(OR(AND(R1136&lt;&gt;"",R1136&lt;0),AND(S1136&lt;&gt;"",S1136&lt;0)),"EXPIRED",IF(OR(AND(R1136&lt;&gt;"",R1136&lt;=Settings!$B$15),AND(S1136&lt;&gt;"",S1136&lt;=Settings!$B$15)),"EXPIRING SOON","OK")))</f>
        <v/>
      </c>
      <c r="U1136" s="24" t="str">
        <f aca="false">IF(AND(C1136="Own",Q1136="Active"),COUNTIFS($C$5:C1136,"Own",$Q$5:Q1136,"Active"),"")</f>
        <v/>
      </c>
      <c r="V1136" s="26" t="str">
        <f aca="false">IF(C1136&lt;&gt;"Own","",IF(K1136="Hourly",N1136,(L1136+M1136)/(Settings!$B$11*Settings!$B$12)))</f>
        <v/>
      </c>
    </row>
    <row r="1137" customFormat="false" ht="15" hidden="false" customHeight="false" outlineLevel="0" collapsed="false">
      <c r="R1137" s="25" t="str">
        <f aca="true">IF(I1137="","",I1137-TODAY())</f>
        <v/>
      </c>
      <c r="S1137" s="25" t="str">
        <f aca="true">IF(J1137="","",J1137-TODAY())</f>
        <v/>
      </c>
      <c r="T1137" s="24" t="str">
        <f aca="false">IF(A1137="","",IF(OR(AND(R1137&lt;&gt;"",R1137&lt;0),AND(S1137&lt;&gt;"",S1137&lt;0)),"EXPIRED",IF(OR(AND(R1137&lt;&gt;"",R1137&lt;=Settings!$B$15),AND(S1137&lt;&gt;"",S1137&lt;=Settings!$B$15)),"EXPIRING SOON","OK")))</f>
        <v/>
      </c>
      <c r="U1137" s="24" t="str">
        <f aca="false">IF(AND(C1137="Own",Q1137="Active"),COUNTIFS($C$5:C1137,"Own",$Q$5:Q1137,"Active"),"")</f>
        <v/>
      </c>
      <c r="V1137" s="26" t="str">
        <f aca="false">IF(C1137&lt;&gt;"Own","",IF(K1137="Hourly",N1137,(L1137+M1137)/(Settings!$B$11*Settings!$B$12)))</f>
        <v/>
      </c>
    </row>
    <row r="1138" customFormat="false" ht="15" hidden="false" customHeight="false" outlineLevel="0" collapsed="false">
      <c r="R1138" s="25" t="str">
        <f aca="true">IF(I1138="","",I1138-TODAY())</f>
        <v/>
      </c>
      <c r="S1138" s="25" t="str">
        <f aca="true">IF(J1138="","",J1138-TODAY())</f>
        <v/>
      </c>
      <c r="T1138" s="24" t="str">
        <f aca="false">IF(A1138="","",IF(OR(AND(R1138&lt;&gt;"",R1138&lt;0),AND(S1138&lt;&gt;"",S1138&lt;0)),"EXPIRED",IF(OR(AND(R1138&lt;&gt;"",R1138&lt;=Settings!$B$15),AND(S1138&lt;&gt;"",S1138&lt;=Settings!$B$15)),"EXPIRING SOON","OK")))</f>
        <v/>
      </c>
      <c r="U1138" s="24" t="str">
        <f aca="false">IF(AND(C1138="Own",Q1138="Active"),COUNTIFS($C$5:C1138,"Own",$Q$5:Q1138,"Active"),"")</f>
        <v/>
      </c>
      <c r="V1138" s="26" t="str">
        <f aca="false">IF(C1138&lt;&gt;"Own","",IF(K1138="Hourly",N1138,(L1138+M1138)/(Settings!$B$11*Settings!$B$12)))</f>
        <v/>
      </c>
    </row>
    <row r="1139" customFormat="false" ht="15" hidden="false" customHeight="false" outlineLevel="0" collapsed="false">
      <c r="R1139" s="25" t="str">
        <f aca="true">IF(I1139="","",I1139-TODAY())</f>
        <v/>
      </c>
      <c r="S1139" s="25" t="str">
        <f aca="true">IF(J1139="","",J1139-TODAY())</f>
        <v/>
      </c>
      <c r="T1139" s="24" t="str">
        <f aca="false">IF(A1139="","",IF(OR(AND(R1139&lt;&gt;"",R1139&lt;0),AND(S1139&lt;&gt;"",S1139&lt;0)),"EXPIRED",IF(OR(AND(R1139&lt;&gt;"",R1139&lt;=Settings!$B$15),AND(S1139&lt;&gt;"",S1139&lt;=Settings!$B$15)),"EXPIRING SOON","OK")))</f>
        <v/>
      </c>
      <c r="U1139" s="24" t="str">
        <f aca="false">IF(AND(C1139="Own",Q1139="Active"),COUNTIFS($C$5:C1139,"Own",$Q$5:Q1139,"Active"),"")</f>
        <v/>
      </c>
      <c r="V1139" s="26" t="str">
        <f aca="false">IF(C1139&lt;&gt;"Own","",IF(K1139="Hourly",N1139,(L1139+M1139)/(Settings!$B$11*Settings!$B$12)))</f>
        <v/>
      </c>
    </row>
    <row r="1140" customFormat="false" ht="15" hidden="false" customHeight="false" outlineLevel="0" collapsed="false">
      <c r="R1140" s="25" t="str">
        <f aca="true">IF(I1140="","",I1140-TODAY())</f>
        <v/>
      </c>
      <c r="S1140" s="25" t="str">
        <f aca="true">IF(J1140="","",J1140-TODAY())</f>
        <v/>
      </c>
      <c r="T1140" s="24" t="str">
        <f aca="false">IF(A1140="","",IF(OR(AND(R1140&lt;&gt;"",R1140&lt;0),AND(S1140&lt;&gt;"",S1140&lt;0)),"EXPIRED",IF(OR(AND(R1140&lt;&gt;"",R1140&lt;=Settings!$B$15),AND(S1140&lt;&gt;"",S1140&lt;=Settings!$B$15)),"EXPIRING SOON","OK")))</f>
        <v/>
      </c>
      <c r="U1140" s="24" t="str">
        <f aca="false">IF(AND(C1140="Own",Q1140="Active"),COUNTIFS($C$5:C1140,"Own",$Q$5:Q1140,"Active"),"")</f>
        <v/>
      </c>
      <c r="V1140" s="26" t="str">
        <f aca="false">IF(C1140&lt;&gt;"Own","",IF(K1140="Hourly",N1140,(L1140+M1140)/(Settings!$B$11*Settings!$B$12)))</f>
        <v/>
      </c>
    </row>
    <row r="1141" customFormat="false" ht="15" hidden="false" customHeight="false" outlineLevel="0" collapsed="false">
      <c r="R1141" s="25" t="str">
        <f aca="true">IF(I1141="","",I1141-TODAY())</f>
        <v/>
      </c>
      <c r="S1141" s="25" t="str">
        <f aca="true">IF(J1141="","",J1141-TODAY())</f>
        <v/>
      </c>
      <c r="T1141" s="24" t="str">
        <f aca="false">IF(A1141="","",IF(OR(AND(R1141&lt;&gt;"",R1141&lt;0),AND(S1141&lt;&gt;"",S1141&lt;0)),"EXPIRED",IF(OR(AND(R1141&lt;&gt;"",R1141&lt;=Settings!$B$15),AND(S1141&lt;&gt;"",S1141&lt;=Settings!$B$15)),"EXPIRING SOON","OK")))</f>
        <v/>
      </c>
      <c r="U1141" s="24" t="str">
        <f aca="false">IF(AND(C1141="Own",Q1141="Active"),COUNTIFS($C$5:C1141,"Own",$Q$5:Q1141,"Active"),"")</f>
        <v/>
      </c>
      <c r="V1141" s="26" t="str">
        <f aca="false">IF(C1141&lt;&gt;"Own","",IF(K1141="Hourly",N1141,(L1141+M1141)/(Settings!$B$11*Settings!$B$12)))</f>
        <v/>
      </c>
    </row>
    <row r="1142" customFormat="false" ht="15" hidden="false" customHeight="false" outlineLevel="0" collapsed="false">
      <c r="R1142" s="25" t="str">
        <f aca="true">IF(I1142="","",I1142-TODAY())</f>
        <v/>
      </c>
      <c r="S1142" s="25" t="str">
        <f aca="true">IF(J1142="","",J1142-TODAY())</f>
        <v/>
      </c>
      <c r="T1142" s="24" t="str">
        <f aca="false">IF(A1142="","",IF(OR(AND(R1142&lt;&gt;"",R1142&lt;0),AND(S1142&lt;&gt;"",S1142&lt;0)),"EXPIRED",IF(OR(AND(R1142&lt;&gt;"",R1142&lt;=Settings!$B$15),AND(S1142&lt;&gt;"",S1142&lt;=Settings!$B$15)),"EXPIRING SOON","OK")))</f>
        <v/>
      </c>
      <c r="U1142" s="24" t="str">
        <f aca="false">IF(AND(C1142="Own",Q1142="Active"),COUNTIFS($C$5:C1142,"Own",$Q$5:Q1142,"Active"),"")</f>
        <v/>
      </c>
      <c r="V1142" s="26" t="str">
        <f aca="false">IF(C1142&lt;&gt;"Own","",IF(K1142="Hourly",N1142,(L1142+M1142)/(Settings!$B$11*Settings!$B$12)))</f>
        <v/>
      </c>
    </row>
    <row r="1143" customFormat="false" ht="15" hidden="false" customHeight="false" outlineLevel="0" collapsed="false">
      <c r="R1143" s="25" t="str">
        <f aca="true">IF(I1143="","",I1143-TODAY())</f>
        <v/>
      </c>
      <c r="S1143" s="25" t="str">
        <f aca="true">IF(J1143="","",J1143-TODAY())</f>
        <v/>
      </c>
      <c r="T1143" s="24" t="str">
        <f aca="false">IF(A1143="","",IF(OR(AND(R1143&lt;&gt;"",R1143&lt;0),AND(S1143&lt;&gt;"",S1143&lt;0)),"EXPIRED",IF(OR(AND(R1143&lt;&gt;"",R1143&lt;=Settings!$B$15),AND(S1143&lt;&gt;"",S1143&lt;=Settings!$B$15)),"EXPIRING SOON","OK")))</f>
        <v/>
      </c>
      <c r="U1143" s="24" t="str">
        <f aca="false">IF(AND(C1143="Own",Q1143="Active"),COUNTIFS($C$5:C1143,"Own",$Q$5:Q1143,"Active"),"")</f>
        <v/>
      </c>
      <c r="V1143" s="26" t="str">
        <f aca="false">IF(C1143&lt;&gt;"Own","",IF(K1143="Hourly",N1143,(L1143+M1143)/(Settings!$B$11*Settings!$B$12)))</f>
        <v/>
      </c>
    </row>
    <row r="1144" customFormat="false" ht="15" hidden="false" customHeight="false" outlineLevel="0" collapsed="false">
      <c r="R1144" s="25" t="str">
        <f aca="true">IF(I1144="","",I1144-TODAY())</f>
        <v/>
      </c>
      <c r="S1144" s="25" t="str">
        <f aca="true">IF(J1144="","",J1144-TODAY())</f>
        <v/>
      </c>
      <c r="T1144" s="24" t="str">
        <f aca="false">IF(A1144="","",IF(OR(AND(R1144&lt;&gt;"",R1144&lt;0),AND(S1144&lt;&gt;"",S1144&lt;0)),"EXPIRED",IF(OR(AND(R1144&lt;&gt;"",R1144&lt;=Settings!$B$15),AND(S1144&lt;&gt;"",S1144&lt;=Settings!$B$15)),"EXPIRING SOON","OK")))</f>
        <v/>
      </c>
      <c r="U1144" s="24" t="str">
        <f aca="false">IF(AND(C1144="Own",Q1144="Active"),COUNTIFS($C$5:C1144,"Own",$Q$5:Q1144,"Active"),"")</f>
        <v/>
      </c>
      <c r="V1144" s="26" t="str">
        <f aca="false">IF(C1144&lt;&gt;"Own","",IF(K1144="Hourly",N1144,(L1144+M1144)/(Settings!$B$11*Settings!$B$12)))</f>
        <v/>
      </c>
    </row>
    <row r="1145" customFormat="false" ht="15" hidden="false" customHeight="false" outlineLevel="0" collapsed="false">
      <c r="R1145" s="25" t="str">
        <f aca="true">IF(I1145="","",I1145-TODAY())</f>
        <v/>
      </c>
      <c r="S1145" s="25" t="str">
        <f aca="true">IF(J1145="","",J1145-TODAY())</f>
        <v/>
      </c>
      <c r="T1145" s="24" t="str">
        <f aca="false">IF(A1145="","",IF(OR(AND(R1145&lt;&gt;"",R1145&lt;0),AND(S1145&lt;&gt;"",S1145&lt;0)),"EXPIRED",IF(OR(AND(R1145&lt;&gt;"",R1145&lt;=Settings!$B$15),AND(S1145&lt;&gt;"",S1145&lt;=Settings!$B$15)),"EXPIRING SOON","OK")))</f>
        <v/>
      </c>
      <c r="U1145" s="24" t="str">
        <f aca="false">IF(AND(C1145="Own",Q1145="Active"),COUNTIFS($C$5:C1145,"Own",$Q$5:Q1145,"Active"),"")</f>
        <v/>
      </c>
      <c r="V1145" s="26" t="str">
        <f aca="false">IF(C1145&lt;&gt;"Own","",IF(K1145="Hourly",N1145,(L1145+M1145)/(Settings!$B$11*Settings!$B$12)))</f>
        <v/>
      </c>
    </row>
    <row r="1146" customFormat="false" ht="15" hidden="false" customHeight="false" outlineLevel="0" collapsed="false">
      <c r="R1146" s="25" t="str">
        <f aca="true">IF(I1146="","",I1146-TODAY())</f>
        <v/>
      </c>
      <c r="S1146" s="25" t="str">
        <f aca="true">IF(J1146="","",J1146-TODAY())</f>
        <v/>
      </c>
      <c r="T1146" s="24" t="str">
        <f aca="false">IF(A1146="","",IF(OR(AND(R1146&lt;&gt;"",R1146&lt;0),AND(S1146&lt;&gt;"",S1146&lt;0)),"EXPIRED",IF(OR(AND(R1146&lt;&gt;"",R1146&lt;=Settings!$B$15),AND(S1146&lt;&gt;"",S1146&lt;=Settings!$B$15)),"EXPIRING SOON","OK")))</f>
        <v/>
      </c>
      <c r="U1146" s="24" t="str">
        <f aca="false">IF(AND(C1146="Own",Q1146="Active"),COUNTIFS($C$5:C1146,"Own",$Q$5:Q1146,"Active"),"")</f>
        <v/>
      </c>
      <c r="V1146" s="26" t="str">
        <f aca="false">IF(C1146&lt;&gt;"Own","",IF(K1146="Hourly",N1146,(L1146+M1146)/(Settings!$B$11*Settings!$B$12)))</f>
        <v/>
      </c>
    </row>
    <row r="1147" customFormat="false" ht="15" hidden="false" customHeight="false" outlineLevel="0" collapsed="false">
      <c r="R1147" s="25" t="str">
        <f aca="true">IF(I1147="","",I1147-TODAY())</f>
        <v/>
      </c>
      <c r="S1147" s="25" t="str">
        <f aca="true">IF(J1147="","",J1147-TODAY())</f>
        <v/>
      </c>
      <c r="T1147" s="24" t="str">
        <f aca="false">IF(A1147="","",IF(OR(AND(R1147&lt;&gt;"",R1147&lt;0),AND(S1147&lt;&gt;"",S1147&lt;0)),"EXPIRED",IF(OR(AND(R1147&lt;&gt;"",R1147&lt;=Settings!$B$15),AND(S1147&lt;&gt;"",S1147&lt;=Settings!$B$15)),"EXPIRING SOON","OK")))</f>
        <v/>
      </c>
      <c r="U1147" s="24" t="str">
        <f aca="false">IF(AND(C1147="Own",Q1147="Active"),COUNTIFS($C$5:C1147,"Own",$Q$5:Q1147,"Active"),"")</f>
        <v/>
      </c>
      <c r="V1147" s="26" t="str">
        <f aca="false">IF(C1147&lt;&gt;"Own","",IF(K1147="Hourly",N1147,(L1147+M1147)/(Settings!$B$11*Settings!$B$12)))</f>
        <v/>
      </c>
    </row>
    <row r="1148" customFormat="false" ht="15" hidden="false" customHeight="false" outlineLevel="0" collapsed="false">
      <c r="R1148" s="25" t="str">
        <f aca="true">IF(I1148="","",I1148-TODAY())</f>
        <v/>
      </c>
      <c r="S1148" s="25" t="str">
        <f aca="true">IF(J1148="","",J1148-TODAY())</f>
        <v/>
      </c>
      <c r="T1148" s="24" t="str">
        <f aca="false">IF(A1148="","",IF(OR(AND(R1148&lt;&gt;"",R1148&lt;0),AND(S1148&lt;&gt;"",S1148&lt;0)),"EXPIRED",IF(OR(AND(R1148&lt;&gt;"",R1148&lt;=Settings!$B$15),AND(S1148&lt;&gt;"",S1148&lt;=Settings!$B$15)),"EXPIRING SOON","OK")))</f>
        <v/>
      </c>
      <c r="U1148" s="24" t="str">
        <f aca="false">IF(AND(C1148="Own",Q1148="Active"),COUNTIFS($C$5:C1148,"Own",$Q$5:Q1148,"Active"),"")</f>
        <v/>
      </c>
      <c r="V1148" s="26" t="str">
        <f aca="false">IF(C1148&lt;&gt;"Own","",IF(K1148="Hourly",N1148,(L1148+M1148)/(Settings!$B$11*Settings!$B$12)))</f>
        <v/>
      </c>
    </row>
    <row r="1149" customFormat="false" ht="15" hidden="false" customHeight="false" outlineLevel="0" collapsed="false">
      <c r="R1149" s="25" t="str">
        <f aca="true">IF(I1149="","",I1149-TODAY())</f>
        <v/>
      </c>
      <c r="S1149" s="25" t="str">
        <f aca="true">IF(J1149="","",J1149-TODAY())</f>
        <v/>
      </c>
      <c r="T1149" s="24" t="str">
        <f aca="false">IF(A1149="","",IF(OR(AND(R1149&lt;&gt;"",R1149&lt;0),AND(S1149&lt;&gt;"",S1149&lt;0)),"EXPIRED",IF(OR(AND(R1149&lt;&gt;"",R1149&lt;=Settings!$B$15),AND(S1149&lt;&gt;"",S1149&lt;=Settings!$B$15)),"EXPIRING SOON","OK")))</f>
        <v/>
      </c>
      <c r="U1149" s="24" t="str">
        <f aca="false">IF(AND(C1149="Own",Q1149="Active"),COUNTIFS($C$5:C1149,"Own",$Q$5:Q1149,"Active"),"")</f>
        <v/>
      </c>
      <c r="V1149" s="26" t="str">
        <f aca="false">IF(C1149&lt;&gt;"Own","",IF(K1149="Hourly",N1149,(L1149+M1149)/(Settings!$B$11*Settings!$B$12)))</f>
        <v/>
      </c>
    </row>
    <row r="1150" customFormat="false" ht="15" hidden="false" customHeight="false" outlineLevel="0" collapsed="false">
      <c r="R1150" s="25" t="str">
        <f aca="true">IF(I1150="","",I1150-TODAY())</f>
        <v/>
      </c>
      <c r="S1150" s="25" t="str">
        <f aca="true">IF(J1150="","",J1150-TODAY())</f>
        <v/>
      </c>
      <c r="T1150" s="24" t="str">
        <f aca="false">IF(A1150="","",IF(OR(AND(R1150&lt;&gt;"",R1150&lt;0),AND(S1150&lt;&gt;"",S1150&lt;0)),"EXPIRED",IF(OR(AND(R1150&lt;&gt;"",R1150&lt;=Settings!$B$15),AND(S1150&lt;&gt;"",S1150&lt;=Settings!$B$15)),"EXPIRING SOON","OK")))</f>
        <v/>
      </c>
      <c r="U1150" s="24" t="str">
        <f aca="false">IF(AND(C1150="Own",Q1150="Active"),COUNTIFS($C$5:C1150,"Own",$Q$5:Q1150,"Active"),"")</f>
        <v/>
      </c>
      <c r="V1150" s="26" t="str">
        <f aca="false">IF(C1150&lt;&gt;"Own","",IF(K1150="Hourly",N1150,(L1150+M1150)/(Settings!$B$11*Settings!$B$12)))</f>
        <v/>
      </c>
    </row>
    <row r="1151" customFormat="false" ht="15" hidden="false" customHeight="false" outlineLevel="0" collapsed="false">
      <c r="R1151" s="25" t="str">
        <f aca="true">IF(I1151="","",I1151-TODAY())</f>
        <v/>
      </c>
      <c r="S1151" s="25" t="str">
        <f aca="true">IF(J1151="","",J1151-TODAY())</f>
        <v/>
      </c>
      <c r="T1151" s="24" t="str">
        <f aca="false">IF(A1151="","",IF(OR(AND(R1151&lt;&gt;"",R1151&lt;0),AND(S1151&lt;&gt;"",S1151&lt;0)),"EXPIRED",IF(OR(AND(R1151&lt;&gt;"",R1151&lt;=Settings!$B$15),AND(S1151&lt;&gt;"",S1151&lt;=Settings!$B$15)),"EXPIRING SOON","OK")))</f>
        <v/>
      </c>
      <c r="U1151" s="24" t="str">
        <f aca="false">IF(AND(C1151="Own",Q1151="Active"),COUNTIFS($C$5:C1151,"Own",$Q$5:Q1151,"Active"),"")</f>
        <v/>
      </c>
      <c r="V1151" s="26" t="str">
        <f aca="false">IF(C1151&lt;&gt;"Own","",IF(K1151="Hourly",N1151,(L1151+M1151)/(Settings!$B$11*Settings!$B$12)))</f>
        <v/>
      </c>
    </row>
    <row r="1152" customFormat="false" ht="15" hidden="false" customHeight="false" outlineLevel="0" collapsed="false">
      <c r="R1152" s="25" t="str">
        <f aca="true">IF(I1152="","",I1152-TODAY())</f>
        <v/>
      </c>
      <c r="S1152" s="25" t="str">
        <f aca="true">IF(J1152="","",J1152-TODAY())</f>
        <v/>
      </c>
      <c r="T1152" s="24" t="str">
        <f aca="false">IF(A1152="","",IF(OR(AND(R1152&lt;&gt;"",R1152&lt;0),AND(S1152&lt;&gt;"",S1152&lt;0)),"EXPIRED",IF(OR(AND(R1152&lt;&gt;"",R1152&lt;=Settings!$B$15),AND(S1152&lt;&gt;"",S1152&lt;=Settings!$B$15)),"EXPIRING SOON","OK")))</f>
        <v/>
      </c>
      <c r="U1152" s="24" t="str">
        <f aca="false">IF(AND(C1152="Own",Q1152="Active"),COUNTIFS($C$5:C1152,"Own",$Q$5:Q1152,"Active"),"")</f>
        <v/>
      </c>
      <c r="V1152" s="26" t="str">
        <f aca="false">IF(C1152&lt;&gt;"Own","",IF(K1152="Hourly",N1152,(L1152+M1152)/(Settings!$B$11*Settings!$B$12)))</f>
        <v/>
      </c>
    </row>
    <row r="1153" customFormat="false" ht="15" hidden="false" customHeight="false" outlineLevel="0" collapsed="false">
      <c r="R1153" s="25" t="str">
        <f aca="true">IF(I1153="","",I1153-TODAY())</f>
        <v/>
      </c>
      <c r="S1153" s="25" t="str">
        <f aca="true">IF(J1153="","",J1153-TODAY())</f>
        <v/>
      </c>
      <c r="T1153" s="24" t="str">
        <f aca="false">IF(A1153="","",IF(OR(AND(R1153&lt;&gt;"",R1153&lt;0),AND(S1153&lt;&gt;"",S1153&lt;0)),"EXPIRED",IF(OR(AND(R1153&lt;&gt;"",R1153&lt;=Settings!$B$15),AND(S1153&lt;&gt;"",S1153&lt;=Settings!$B$15)),"EXPIRING SOON","OK")))</f>
        <v/>
      </c>
      <c r="U1153" s="24" t="str">
        <f aca="false">IF(AND(C1153="Own",Q1153="Active"),COUNTIFS($C$5:C1153,"Own",$Q$5:Q1153,"Active"),"")</f>
        <v/>
      </c>
      <c r="V1153" s="26" t="str">
        <f aca="false">IF(C1153&lt;&gt;"Own","",IF(K1153="Hourly",N1153,(L1153+M1153)/(Settings!$B$11*Settings!$B$12)))</f>
        <v/>
      </c>
    </row>
    <row r="1154" customFormat="false" ht="15" hidden="false" customHeight="false" outlineLevel="0" collapsed="false">
      <c r="R1154" s="25" t="str">
        <f aca="true">IF(I1154="","",I1154-TODAY())</f>
        <v/>
      </c>
      <c r="S1154" s="25" t="str">
        <f aca="true">IF(J1154="","",J1154-TODAY())</f>
        <v/>
      </c>
      <c r="T1154" s="24" t="str">
        <f aca="false">IF(A1154="","",IF(OR(AND(R1154&lt;&gt;"",R1154&lt;0),AND(S1154&lt;&gt;"",S1154&lt;0)),"EXPIRED",IF(OR(AND(R1154&lt;&gt;"",R1154&lt;=Settings!$B$15),AND(S1154&lt;&gt;"",S1154&lt;=Settings!$B$15)),"EXPIRING SOON","OK")))</f>
        <v/>
      </c>
      <c r="U1154" s="24" t="str">
        <f aca="false">IF(AND(C1154="Own",Q1154="Active"),COUNTIFS($C$5:C1154,"Own",$Q$5:Q1154,"Active"),"")</f>
        <v/>
      </c>
      <c r="V1154" s="26" t="str">
        <f aca="false">IF(C1154&lt;&gt;"Own","",IF(K1154="Hourly",N1154,(L1154+M1154)/(Settings!$B$11*Settings!$B$12)))</f>
        <v/>
      </c>
    </row>
    <row r="1155" customFormat="false" ht="15" hidden="false" customHeight="false" outlineLevel="0" collapsed="false">
      <c r="R1155" s="25" t="str">
        <f aca="true">IF(I1155="","",I1155-TODAY())</f>
        <v/>
      </c>
      <c r="S1155" s="25" t="str">
        <f aca="true">IF(J1155="","",J1155-TODAY())</f>
        <v/>
      </c>
      <c r="T1155" s="24" t="str">
        <f aca="false">IF(A1155="","",IF(OR(AND(R1155&lt;&gt;"",R1155&lt;0),AND(S1155&lt;&gt;"",S1155&lt;0)),"EXPIRED",IF(OR(AND(R1155&lt;&gt;"",R1155&lt;=Settings!$B$15),AND(S1155&lt;&gt;"",S1155&lt;=Settings!$B$15)),"EXPIRING SOON","OK")))</f>
        <v/>
      </c>
      <c r="U1155" s="24" t="str">
        <f aca="false">IF(AND(C1155="Own",Q1155="Active"),COUNTIFS($C$5:C1155,"Own",$Q$5:Q1155,"Active"),"")</f>
        <v/>
      </c>
      <c r="V1155" s="26" t="str">
        <f aca="false">IF(C1155&lt;&gt;"Own","",IF(K1155="Hourly",N1155,(L1155+M1155)/(Settings!$B$11*Settings!$B$12)))</f>
        <v/>
      </c>
    </row>
    <row r="1156" customFormat="false" ht="15" hidden="false" customHeight="false" outlineLevel="0" collapsed="false">
      <c r="R1156" s="25" t="str">
        <f aca="true">IF(I1156="","",I1156-TODAY())</f>
        <v/>
      </c>
      <c r="S1156" s="25" t="str">
        <f aca="true">IF(J1156="","",J1156-TODAY())</f>
        <v/>
      </c>
      <c r="T1156" s="24" t="str">
        <f aca="false">IF(A1156="","",IF(OR(AND(R1156&lt;&gt;"",R1156&lt;0),AND(S1156&lt;&gt;"",S1156&lt;0)),"EXPIRED",IF(OR(AND(R1156&lt;&gt;"",R1156&lt;=Settings!$B$15),AND(S1156&lt;&gt;"",S1156&lt;=Settings!$B$15)),"EXPIRING SOON","OK")))</f>
        <v/>
      </c>
      <c r="U1156" s="24" t="str">
        <f aca="false">IF(AND(C1156="Own",Q1156="Active"),COUNTIFS($C$5:C1156,"Own",$Q$5:Q1156,"Active"),"")</f>
        <v/>
      </c>
      <c r="V1156" s="26" t="str">
        <f aca="false">IF(C1156&lt;&gt;"Own","",IF(K1156="Hourly",N1156,(L1156+M1156)/(Settings!$B$11*Settings!$B$12)))</f>
        <v/>
      </c>
    </row>
    <row r="1157" customFormat="false" ht="15" hidden="false" customHeight="false" outlineLevel="0" collapsed="false">
      <c r="R1157" s="25" t="str">
        <f aca="true">IF(I1157="","",I1157-TODAY())</f>
        <v/>
      </c>
      <c r="S1157" s="25" t="str">
        <f aca="true">IF(J1157="","",J1157-TODAY())</f>
        <v/>
      </c>
      <c r="T1157" s="24" t="str">
        <f aca="false">IF(A1157="","",IF(OR(AND(R1157&lt;&gt;"",R1157&lt;0),AND(S1157&lt;&gt;"",S1157&lt;0)),"EXPIRED",IF(OR(AND(R1157&lt;&gt;"",R1157&lt;=Settings!$B$15),AND(S1157&lt;&gt;"",S1157&lt;=Settings!$B$15)),"EXPIRING SOON","OK")))</f>
        <v/>
      </c>
      <c r="U1157" s="24" t="str">
        <f aca="false">IF(AND(C1157="Own",Q1157="Active"),COUNTIFS($C$5:C1157,"Own",$Q$5:Q1157,"Active"),"")</f>
        <v/>
      </c>
      <c r="V1157" s="26" t="str">
        <f aca="false">IF(C1157&lt;&gt;"Own","",IF(K1157="Hourly",N1157,(L1157+M1157)/(Settings!$B$11*Settings!$B$12)))</f>
        <v/>
      </c>
    </row>
    <row r="1158" customFormat="false" ht="15" hidden="false" customHeight="false" outlineLevel="0" collapsed="false">
      <c r="R1158" s="25" t="str">
        <f aca="true">IF(I1158="","",I1158-TODAY())</f>
        <v/>
      </c>
      <c r="S1158" s="25" t="str">
        <f aca="true">IF(J1158="","",J1158-TODAY())</f>
        <v/>
      </c>
      <c r="T1158" s="24" t="str">
        <f aca="false">IF(A1158="","",IF(OR(AND(R1158&lt;&gt;"",R1158&lt;0),AND(S1158&lt;&gt;"",S1158&lt;0)),"EXPIRED",IF(OR(AND(R1158&lt;&gt;"",R1158&lt;=Settings!$B$15),AND(S1158&lt;&gt;"",S1158&lt;=Settings!$B$15)),"EXPIRING SOON","OK")))</f>
        <v/>
      </c>
      <c r="U1158" s="24" t="str">
        <f aca="false">IF(AND(C1158="Own",Q1158="Active"),COUNTIFS($C$5:C1158,"Own",$Q$5:Q1158,"Active"),"")</f>
        <v/>
      </c>
      <c r="V1158" s="26" t="str">
        <f aca="false">IF(C1158&lt;&gt;"Own","",IF(K1158="Hourly",N1158,(L1158+M1158)/(Settings!$B$11*Settings!$B$12)))</f>
        <v/>
      </c>
    </row>
    <row r="1159" customFormat="false" ht="15" hidden="false" customHeight="false" outlineLevel="0" collapsed="false">
      <c r="R1159" s="25" t="str">
        <f aca="true">IF(I1159="","",I1159-TODAY())</f>
        <v/>
      </c>
      <c r="S1159" s="25" t="str">
        <f aca="true">IF(J1159="","",J1159-TODAY())</f>
        <v/>
      </c>
      <c r="T1159" s="24" t="str">
        <f aca="false">IF(A1159="","",IF(OR(AND(R1159&lt;&gt;"",R1159&lt;0),AND(S1159&lt;&gt;"",S1159&lt;0)),"EXPIRED",IF(OR(AND(R1159&lt;&gt;"",R1159&lt;=Settings!$B$15),AND(S1159&lt;&gt;"",S1159&lt;=Settings!$B$15)),"EXPIRING SOON","OK")))</f>
        <v/>
      </c>
      <c r="U1159" s="24" t="str">
        <f aca="false">IF(AND(C1159="Own",Q1159="Active"),COUNTIFS($C$5:C1159,"Own",$Q$5:Q1159,"Active"),"")</f>
        <v/>
      </c>
      <c r="V1159" s="26" t="str">
        <f aca="false">IF(C1159&lt;&gt;"Own","",IF(K1159="Hourly",N1159,(L1159+M1159)/(Settings!$B$11*Settings!$B$12)))</f>
        <v/>
      </c>
    </row>
    <row r="1160" customFormat="false" ht="15" hidden="false" customHeight="false" outlineLevel="0" collapsed="false">
      <c r="R1160" s="25" t="str">
        <f aca="true">IF(I1160="","",I1160-TODAY())</f>
        <v/>
      </c>
      <c r="S1160" s="25" t="str">
        <f aca="true">IF(J1160="","",J1160-TODAY())</f>
        <v/>
      </c>
      <c r="T1160" s="24" t="str">
        <f aca="false">IF(A1160="","",IF(OR(AND(R1160&lt;&gt;"",R1160&lt;0),AND(S1160&lt;&gt;"",S1160&lt;0)),"EXPIRED",IF(OR(AND(R1160&lt;&gt;"",R1160&lt;=Settings!$B$15),AND(S1160&lt;&gt;"",S1160&lt;=Settings!$B$15)),"EXPIRING SOON","OK")))</f>
        <v/>
      </c>
      <c r="U1160" s="24" t="str">
        <f aca="false">IF(AND(C1160="Own",Q1160="Active"),COUNTIFS($C$5:C1160,"Own",$Q$5:Q1160,"Active"),"")</f>
        <v/>
      </c>
      <c r="V1160" s="26" t="str">
        <f aca="false">IF(C1160&lt;&gt;"Own","",IF(K1160="Hourly",N1160,(L1160+M1160)/(Settings!$B$11*Settings!$B$12)))</f>
        <v/>
      </c>
    </row>
    <row r="1161" customFormat="false" ht="15" hidden="false" customHeight="false" outlineLevel="0" collapsed="false">
      <c r="R1161" s="25" t="str">
        <f aca="true">IF(I1161="","",I1161-TODAY())</f>
        <v/>
      </c>
      <c r="S1161" s="25" t="str">
        <f aca="true">IF(J1161="","",J1161-TODAY())</f>
        <v/>
      </c>
      <c r="T1161" s="24" t="str">
        <f aca="false">IF(A1161="","",IF(OR(AND(R1161&lt;&gt;"",R1161&lt;0),AND(S1161&lt;&gt;"",S1161&lt;0)),"EXPIRED",IF(OR(AND(R1161&lt;&gt;"",R1161&lt;=Settings!$B$15),AND(S1161&lt;&gt;"",S1161&lt;=Settings!$B$15)),"EXPIRING SOON","OK")))</f>
        <v/>
      </c>
      <c r="U1161" s="24" t="str">
        <f aca="false">IF(AND(C1161="Own",Q1161="Active"),COUNTIFS($C$5:C1161,"Own",$Q$5:Q1161,"Active"),"")</f>
        <v/>
      </c>
      <c r="V1161" s="26" t="str">
        <f aca="false">IF(C1161&lt;&gt;"Own","",IF(K1161="Hourly",N1161,(L1161+M1161)/(Settings!$B$11*Settings!$B$12)))</f>
        <v/>
      </c>
    </row>
    <row r="1162" customFormat="false" ht="15" hidden="false" customHeight="false" outlineLevel="0" collapsed="false">
      <c r="R1162" s="25" t="str">
        <f aca="true">IF(I1162="","",I1162-TODAY())</f>
        <v/>
      </c>
      <c r="S1162" s="25" t="str">
        <f aca="true">IF(J1162="","",J1162-TODAY())</f>
        <v/>
      </c>
      <c r="T1162" s="24" t="str">
        <f aca="false">IF(A1162="","",IF(OR(AND(R1162&lt;&gt;"",R1162&lt;0),AND(S1162&lt;&gt;"",S1162&lt;0)),"EXPIRED",IF(OR(AND(R1162&lt;&gt;"",R1162&lt;=Settings!$B$15),AND(S1162&lt;&gt;"",S1162&lt;=Settings!$B$15)),"EXPIRING SOON","OK")))</f>
        <v/>
      </c>
      <c r="U1162" s="24" t="str">
        <f aca="false">IF(AND(C1162="Own",Q1162="Active"),COUNTIFS($C$5:C1162,"Own",$Q$5:Q1162,"Active"),"")</f>
        <v/>
      </c>
      <c r="V1162" s="26" t="str">
        <f aca="false">IF(C1162&lt;&gt;"Own","",IF(K1162="Hourly",N1162,(L1162+M1162)/(Settings!$B$11*Settings!$B$12)))</f>
        <v/>
      </c>
    </row>
    <row r="1163" customFormat="false" ht="15" hidden="false" customHeight="false" outlineLevel="0" collapsed="false">
      <c r="R1163" s="25" t="str">
        <f aca="true">IF(I1163="","",I1163-TODAY())</f>
        <v/>
      </c>
      <c r="S1163" s="25" t="str">
        <f aca="true">IF(J1163="","",J1163-TODAY())</f>
        <v/>
      </c>
      <c r="T1163" s="24" t="str">
        <f aca="false">IF(A1163="","",IF(OR(AND(R1163&lt;&gt;"",R1163&lt;0),AND(S1163&lt;&gt;"",S1163&lt;0)),"EXPIRED",IF(OR(AND(R1163&lt;&gt;"",R1163&lt;=Settings!$B$15),AND(S1163&lt;&gt;"",S1163&lt;=Settings!$B$15)),"EXPIRING SOON","OK")))</f>
        <v/>
      </c>
      <c r="U1163" s="24" t="str">
        <f aca="false">IF(AND(C1163="Own",Q1163="Active"),COUNTIFS($C$5:C1163,"Own",$Q$5:Q1163,"Active"),"")</f>
        <v/>
      </c>
      <c r="V1163" s="26" t="str">
        <f aca="false">IF(C1163&lt;&gt;"Own","",IF(K1163="Hourly",N1163,(L1163+M1163)/(Settings!$B$11*Settings!$B$12)))</f>
        <v/>
      </c>
    </row>
    <row r="1164" customFormat="false" ht="15" hidden="false" customHeight="false" outlineLevel="0" collapsed="false">
      <c r="R1164" s="25" t="str">
        <f aca="true">IF(I1164="","",I1164-TODAY())</f>
        <v/>
      </c>
      <c r="S1164" s="25" t="str">
        <f aca="true">IF(J1164="","",J1164-TODAY())</f>
        <v/>
      </c>
      <c r="T1164" s="24" t="str">
        <f aca="false">IF(A1164="","",IF(OR(AND(R1164&lt;&gt;"",R1164&lt;0),AND(S1164&lt;&gt;"",S1164&lt;0)),"EXPIRED",IF(OR(AND(R1164&lt;&gt;"",R1164&lt;=Settings!$B$15),AND(S1164&lt;&gt;"",S1164&lt;=Settings!$B$15)),"EXPIRING SOON","OK")))</f>
        <v/>
      </c>
      <c r="U1164" s="24" t="str">
        <f aca="false">IF(AND(C1164="Own",Q1164="Active"),COUNTIFS($C$5:C1164,"Own",$Q$5:Q1164,"Active"),"")</f>
        <v/>
      </c>
      <c r="V1164" s="26" t="str">
        <f aca="false">IF(C1164&lt;&gt;"Own","",IF(K1164="Hourly",N1164,(L1164+M1164)/(Settings!$B$11*Settings!$B$12)))</f>
        <v/>
      </c>
    </row>
    <row r="1165" customFormat="false" ht="15" hidden="false" customHeight="false" outlineLevel="0" collapsed="false">
      <c r="R1165" s="25" t="str">
        <f aca="true">IF(I1165="","",I1165-TODAY())</f>
        <v/>
      </c>
      <c r="S1165" s="25" t="str">
        <f aca="true">IF(J1165="","",J1165-TODAY())</f>
        <v/>
      </c>
      <c r="T1165" s="24" t="str">
        <f aca="false">IF(A1165="","",IF(OR(AND(R1165&lt;&gt;"",R1165&lt;0),AND(S1165&lt;&gt;"",S1165&lt;0)),"EXPIRED",IF(OR(AND(R1165&lt;&gt;"",R1165&lt;=Settings!$B$15),AND(S1165&lt;&gt;"",S1165&lt;=Settings!$B$15)),"EXPIRING SOON","OK")))</f>
        <v/>
      </c>
      <c r="U1165" s="24" t="str">
        <f aca="false">IF(AND(C1165="Own",Q1165="Active"),COUNTIFS($C$5:C1165,"Own",$Q$5:Q1165,"Active"),"")</f>
        <v/>
      </c>
      <c r="V1165" s="26" t="str">
        <f aca="false">IF(C1165&lt;&gt;"Own","",IF(K1165="Hourly",N1165,(L1165+M1165)/(Settings!$B$11*Settings!$B$12)))</f>
        <v/>
      </c>
    </row>
    <row r="1166" customFormat="false" ht="15" hidden="false" customHeight="false" outlineLevel="0" collapsed="false">
      <c r="R1166" s="25" t="str">
        <f aca="true">IF(I1166="","",I1166-TODAY())</f>
        <v/>
      </c>
      <c r="S1166" s="25" t="str">
        <f aca="true">IF(J1166="","",J1166-TODAY())</f>
        <v/>
      </c>
      <c r="T1166" s="24" t="str">
        <f aca="false">IF(A1166="","",IF(OR(AND(R1166&lt;&gt;"",R1166&lt;0),AND(S1166&lt;&gt;"",S1166&lt;0)),"EXPIRED",IF(OR(AND(R1166&lt;&gt;"",R1166&lt;=Settings!$B$15),AND(S1166&lt;&gt;"",S1166&lt;=Settings!$B$15)),"EXPIRING SOON","OK")))</f>
        <v/>
      </c>
      <c r="U1166" s="24" t="str">
        <f aca="false">IF(AND(C1166="Own",Q1166="Active"),COUNTIFS($C$5:C1166,"Own",$Q$5:Q1166,"Active"),"")</f>
        <v/>
      </c>
      <c r="V1166" s="26" t="str">
        <f aca="false">IF(C1166&lt;&gt;"Own","",IF(K1166="Hourly",N1166,(L1166+M1166)/(Settings!$B$11*Settings!$B$12)))</f>
        <v/>
      </c>
    </row>
    <row r="1167" customFormat="false" ht="15" hidden="false" customHeight="false" outlineLevel="0" collapsed="false">
      <c r="R1167" s="25" t="str">
        <f aca="true">IF(I1167="","",I1167-TODAY())</f>
        <v/>
      </c>
      <c r="S1167" s="25" t="str">
        <f aca="true">IF(J1167="","",J1167-TODAY())</f>
        <v/>
      </c>
      <c r="T1167" s="24" t="str">
        <f aca="false">IF(A1167="","",IF(OR(AND(R1167&lt;&gt;"",R1167&lt;0),AND(S1167&lt;&gt;"",S1167&lt;0)),"EXPIRED",IF(OR(AND(R1167&lt;&gt;"",R1167&lt;=Settings!$B$15),AND(S1167&lt;&gt;"",S1167&lt;=Settings!$B$15)),"EXPIRING SOON","OK")))</f>
        <v/>
      </c>
      <c r="U1167" s="24" t="str">
        <f aca="false">IF(AND(C1167="Own",Q1167="Active"),COUNTIFS($C$5:C1167,"Own",$Q$5:Q1167,"Active"),"")</f>
        <v/>
      </c>
      <c r="V1167" s="26" t="str">
        <f aca="false">IF(C1167&lt;&gt;"Own","",IF(K1167="Hourly",N1167,(L1167+M1167)/(Settings!$B$11*Settings!$B$12)))</f>
        <v/>
      </c>
    </row>
    <row r="1168" customFormat="false" ht="15" hidden="false" customHeight="false" outlineLevel="0" collapsed="false">
      <c r="R1168" s="25" t="str">
        <f aca="true">IF(I1168="","",I1168-TODAY())</f>
        <v/>
      </c>
      <c r="S1168" s="25" t="str">
        <f aca="true">IF(J1168="","",J1168-TODAY())</f>
        <v/>
      </c>
      <c r="T1168" s="24" t="str">
        <f aca="false">IF(A1168="","",IF(OR(AND(R1168&lt;&gt;"",R1168&lt;0),AND(S1168&lt;&gt;"",S1168&lt;0)),"EXPIRED",IF(OR(AND(R1168&lt;&gt;"",R1168&lt;=Settings!$B$15),AND(S1168&lt;&gt;"",S1168&lt;=Settings!$B$15)),"EXPIRING SOON","OK")))</f>
        <v/>
      </c>
      <c r="U1168" s="24" t="str">
        <f aca="false">IF(AND(C1168="Own",Q1168="Active"),COUNTIFS($C$5:C1168,"Own",$Q$5:Q1168,"Active"),"")</f>
        <v/>
      </c>
      <c r="V1168" s="26" t="str">
        <f aca="false">IF(C1168&lt;&gt;"Own","",IF(K1168="Hourly",N1168,(L1168+M1168)/(Settings!$B$11*Settings!$B$12)))</f>
        <v/>
      </c>
    </row>
    <row r="1169" customFormat="false" ht="15" hidden="false" customHeight="false" outlineLevel="0" collapsed="false">
      <c r="R1169" s="25" t="str">
        <f aca="true">IF(I1169="","",I1169-TODAY())</f>
        <v/>
      </c>
      <c r="S1169" s="25" t="str">
        <f aca="true">IF(J1169="","",J1169-TODAY())</f>
        <v/>
      </c>
      <c r="T1169" s="24" t="str">
        <f aca="false">IF(A1169="","",IF(OR(AND(R1169&lt;&gt;"",R1169&lt;0),AND(S1169&lt;&gt;"",S1169&lt;0)),"EXPIRED",IF(OR(AND(R1169&lt;&gt;"",R1169&lt;=Settings!$B$15),AND(S1169&lt;&gt;"",S1169&lt;=Settings!$B$15)),"EXPIRING SOON","OK")))</f>
        <v/>
      </c>
      <c r="U1169" s="24" t="str">
        <f aca="false">IF(AND(C1169="Own",Q1169="Active"),COUNTIFS($C$5:C1169,"Own",$Q$5:Q1169,"Active"),"")</f>
        <v/>
      </c>
      <c r="V1169" s="26" t="str">
        <f aca="false">IF(C1169&lt;&gt;"Own","",IF(K1169="Hourly",N1169,(L1169+M1169)/(Settings!$B$11*Settings!$B$12)))</f>
        <v/>
      </c>
    </row>
    <row r="1170" customFormat="false" ht="15" hidden="false" customHeight="false" outlineLevel="0" collapsed="false">
      <c r="R1170" s="25" t="str">
        <f aca="true">IF(I1170="","",I1170-TODAY())</f>
        <v/>
      </c>
      <c r="S1170" s="25" t="str">
        <f aca="true">IF(J1170="","",J1170-TODAY())</f>
        <v/>
      </c>
      <c r="T1170" s="24" t="str">
        <f aca="false">IF(A1170="","",IF(OR(AND(R1170&lt;&gt;"",R1170&lt;0),AND(S1170&lt;&gt;"",S1170&lt;0)),"EXPIRED",IF(OR(AND(R1170&lt;&gt;"",R1170&lt;=Settings!$B$15),AND(S1170&lt;&gt;"",S1170&lt;=Settings!$B$15)),"EXPIRING SOON","OK")))</f>
        <v/>
      </c>
      <c r="U1170" s="24" t="str">
        <f aca="false">IF(AND(C1170="Own",Q1170="Active"),COUNTIFS($C$5:C1170,"Own",$Q$5:Q1170,"Active"),"")</f>
        <v/>
      </c>
      <c r="V1170" s="26" t="str">
        <f aca="false">IF(C1170&lt;&gt;"Own","",IF(K1170="Hourly",N1170,(L1170+M1170)/(Settings!$B$11*Settings!$B$12)))</f>
        <v/>
      </c>
    </row>
    <row r="1171" customFormat="false" ht="15" hidden="false" customHeight="false" outlineLevel="0" collapsed="false">
      <c r="R1171" s="25" t="str">
        <f aca="true">IF(I1171="","",I1171-TODAY())</f>
        <v/>
      </c>
      <c r="S1171" s="25" t="str">
        <f aca="true">IF(J1171="","",J1171-TODAY())</f>
        <v/>
      </c>
      <c r="T1171" s="24" t="str">
        <f aca="false">IF(A1171="","",IF(OR(AND(R1171&lt;&gt;"",R1171&lt;0),AND(S1171&lt;&gt;"",S1171&lt;0)),"EXPIRED",IF(OR(AND(R1171&lt;&gt;"",R1171&lt;=Settings!$B$15),AND(S1171&lt;&gt;"",S1171&lt;=Settings!$B$15)),"EXPIRING SOON","OK")))</f>
        <v/>
      </c>
      <c r="U1171" s="24" t="str">
        <f aca="false">IF(AND(C1171="Own",Q1171="Active"),COUNTIFS($C$5:C1171,"Own",$Q$5:Q1171,"Active"),"")</f>
        <v/>
      </c>
      <c r="V1171" s="26" t="str">
        <f aca="false">IF(C1171&lt;&gt;"Own","",IF(K1171="Hourly",N1171,(L1171+M1171)/(Settings!$B$11*Settings!$B$12)))</f>
        <v/>
      </c>
    </row>
    <row r="1172" customFormat="false" ht="15" hidden="false" customHeight="false" outlineLevel="0" collapsed="false">
      <c r="R1172" s="25" t="str">
        <f aca="true">IF(I1172="","",I1172-TODAY())</f>
        <v/>
      </c>
      <c r="S1172" s="25" t="str">
        <f aca="true">IF(J1172="","",J1172-TODAY())</f>
        <v/>
      </c>
      <c r="T1172" s="24" t="str">
        <f aca="false">IF(A1172="","",IF(OR(AND(R1172&lt;&gt;"",R1172&lt;0),AND(S1172&lt;&gt;"",S1172&lt;0)),"EXPIRED",IF(OR(AND(R1172&lt;&gt;"",R1172&lt;=Settings!$B$15),AND(S1172&lt;&gt;"",S1172&lt;=Settings!$B$15)),"EXPIRING SOON","OK")))</f>
        <v/>
      </c>
      <c r="U1172" s="24" t="str">
        <f aca="false">IF(AND(C1172="Own",Q1172="Active"),COUNTIFS($C$5:C1172,"Own",$Q$5:Q1172,"Active"),"")</f>
        <v/>
      </c>
      <c r="V1172" s="26" t="str">
        <f aca="false">IF(C1172&lt;&gt;"Own","",IF(K1172="Hourly",N1172,(L1172+M1172)/(Settings!$B$11*Settings!$B$12)))</f>
        <v/>
      </c>
    </row>
    <row r="1173" customFormat="false" ht="15" hidden="false" customHeight="false" outlineLevel="0" collapsed="false">
      <c r="R1173" s="25" t="str">
        <f aca="true">IF(I1173="","",I1173-TODAY())</f>
        <v/>
      </c>
      <c r="S1173" s="25" t="str">
        <f aca="true">IF(J1173="","",J1173-TODAY())</f>
        <v/>
      </c>
      <c r="T1173" s="24" t="str">
        <f aca="false">IF(A1173="","",IF(OR(AND(R1173&lt;&gt;"",R1173&lt;0),AND(S1173&lt;&gt;"",S1173&lt;0)),"EXPIRED",IF(OR(AND(R1173&lt;&gt;"",R1173&lt;=Settings!$B$15),AND(S1173&lt;&gt;"",S1173&lt;=Settings!$B$15)),"EXPIRING SOON","OK")))</f>
        <v/>
      </c>
      <c r="U1173" s="24" t="str">
        <f aca="false">IF(AND(C1173="Own",Q1173="Active"),COUNTIFS($C$5:C1173,"Own",$Q$5:Q1173,"Active"),"")</f>
        <v/>
      </c>
      <c r="V1173" s="26" t="str">
        <f aca="false">IF(C1173&lt;&gt;"Own","",IF(K1173="Hourly",N1173,(L1173+M1173)/(Settings!$B$11*Settings!$B$12)))</f>
        <v/>
      </c>
    </row>
    <row r="1174" customFormat="false" ht="15" hidden="false" customHeight="false" outlineLevel="0" collapsed="false">
      <c r="R1174" s="25" t="str">
        <f aca="true">IF(I1174="","",I1174-TODAY())</f>
        <v/>
      </c>
      <c r="S1174" s="25" t="str">
        <f aca="true">IF(J1174="","",J1174-TODAY())</f>
        <v/>
      </c>
      <c r="T1174" s="24" t="str">
        <f aca="false">IF(A1174="","",IF(OR(AND(R1174&lt;&gt;"",R1174&lt;0),AND(S1174&lt;&gt;"",S1174&lt;0)),"EXPIRED",IF(OR(AND(R1174&lt;&gt;"",R1174&lt;=Settings!$B$15),AND(S1174&lt;&gt;"",S1174&lt;=Settings!$B$15)),"EXPIRING SOON","OK")))</f>
        <v/>
      </c>
      <c r="U1174" s="24" t="str">
        <f aca="false">IF(AND(C1174="Own",Q1174="Active"),COUNTIFS($C$5:C1174,"Own",$Q$5:Q1174,"Active"),"")</f>
        <v/>
      </c>
      <c r="V1174" s="26" t="str">
        <f aca="false">IF(C1174&lt;&gt;"Own","",IF(K1174="Hourly",N1174,(L1174+M1174)/(Settings!$B$11*Settings!$B$12)))</f>
        <v/>
      </c>
    </row>
    <row r="1175" customFormat="false" ht="15" hidden="false" customHeight="false" outlineLevel="0" collapsed="false">
      <c r="R1175" s="25" t="str">
        <f aca="true">IF(I1175="","",I1175-TODAY())</f>
        <v/>
      </c>
      <c r="S1175" s="25" t="str">
        <f aca="true">IF(J1175="","",J1175-TODAY())</f>
        <v/>
      </c>
      <c r="T1175" s="24" t="str">
        <f aca="false">IF(A1175="","",IF(OR(AND(R1175&lt;&gt;"",R1175&lt;0),AND(S1175&lt;&gt;"",S1175&lt;0)),"EXPIRED",IF(OR(AND(R1175&lt;&gt;"",R1175&lt;=Settings!$B$15),AND(S1175&lt;&gt;"",S1175&lt;=Settings!$B$15)),"EXPIRING SOON","OK")))</f>
        <v/>
      </c>
      <c r="U1175" s="24" t="str">
        <f aca="false">IF(AND(C1175="Own",Q1175="Active"),COUNTIFS($C$5:C1175,"Own",$Q$5:Q1175,"Active"),"")</f>
        <v/>
      </c>
      <c r="V1175" s="26" t="str">
        <f aca="false">IF(C1175&lt;&gt;"Own","",IF(K1175="Hourly",N1175,(L1175+M1175)/(Settings!$B$11*Settings!$B$12)))</f>
        <v/>
      </c>
    </row>
    <row r="1176" customFormat="false" ht="15" hidden="false" customHeight="false" outlineLevel="0" collapsed="false">
      <c r="R1176" s="25" t="str">
        <f aca="true">IF(I1176="","",I1176-TODAY())</f>
        <v/>
      </c>
      <c r="S1176" s="25" t="str">
        <f aca="true">IF(J1176="","",J1176-TODAY())</f>
        <v/>
      </c>
      <c r="T1176" s="24" t="str">
        <f aca="false">IF(A1176="","",IF(OR(AND(R1176&lt;&gt;"",R1176&lt;0),AND(S1176&lt;&gt;"",S1176&lt;0)),"EXPIRED",IF(OR(AND(R1176&lt;&gt;"",R1176&lt;=Settings!$B$15),AND(S1176&lt;&gt;"",S1176&lt;=Settings!$B$15)),"EXPIRING SOON","OK")))</f>
        <v/>
      </c>
      <c r="U1176" s="24" t="str">
        <f aca="false">IF(AND(C1176="Own",Q1176="Active"),COUNTIFS($C$5:C1176,"Own",$Q$5:Q1176,"Active"),"")</f>
        <v/>
      </c>
      <c r="V1176" s="26" t="str">
        <f aca="false">IF(C1176&lt;&gt;"Own","",IF(K1176="Hourly",N1176,(L1176+M1176)/(Settings!$B$11*Settings!$B$12)))</f>
        <v/>
      </c>
    </row>
    <row r="1177" customFormat="false" ht="15" hidden="false" customHeight="false" outlineLevel="0" collapsed="false">
      <c r="R1177" s="25" t="str">
        <f aca="true">IF(I1177="","",I1177-TODAY())</f>
        <v/>
      </c>
      <c r="S1177" s="25" t="str">
        <f aca="true">IF(J1177="","",J1177-TODAY())</f>
        <v/>
      </c>
      <c r="T1177" s="24" t="str">
        <f aca="false">IF(A1177="","",IF(OR(AND(R1177&lt;&gt;"",R1177&lt;0),AND(S1177&lt;&gt;"",S1177&lt;0)),"EXPIRED",IF(OR(AND(R1177&lt;&gt;"",R1177&lt;=Settings!$B$15),AND(S1177&lt;&gt;"",S1177&lt;=Settings!$B$15)),"EXPIRING SOON","OK")))</f>
        <v/>
      </c>
      <c r="U1177" s="24" t="str">
        <f aca="false">IF(AND(C1177="Own",Q1177="Active"),COUNTIFS($C$5:C1177,"Own",$Q$5:Q1177,"Active"),"")</f>
        <v/>
      </c>
      <c r="V1177" s="26" t="str">
        <f aca="false">IF(C1177&lt;&gt;"Own","",IF(K1177="Hourly",N1177,(L1177+M1177)/(Settings!$B$11*Settings!$B$12)))</f>
        <v/>
      </c>
    </row>
    <row r="1178" customFormat="false" ht="15" hidden="false" customHeight="false" outlineLevel="0" collapsed="false">
      <c r="R1178" s="25" t="str">
        <f aca="true">IF(I1178="","",I1178-TODAY())</f>
        <v/>
      </c>
      <c r="S1178" s="25" t="str">
        <f aca="true">IF(J1178="","",J1178-TODAY())</f>
        <v/>
      </c>
      <c r="T1178" s="24" t="str">
        <f aca="false">IF(A1178="","",IF(OR(AND(R1178&lt;&gt;"",R1178&lt;0),AND(S1178&lt;&gt;"",S1178&lt;0)),"EXPIRED",IF(OR(AND(R1178&lt;&gt;"",R1178&lt;=Settings!$B$15),AND(S1178&lt;&gt;"",S1178&lt;=Settings!$B$15)),"EXPIRING SOON","OK")))</f>
        <v/>
      </c>
      <c r="U1178" s="24" t="str">
        <f aca="false">IF(AND(C1178="Own",Q1178="Active"),COUNTIFS($C$5:C1178,"Own",$Q$5:Q1178,"Active"),"")</f>
        <v/>
      </c>
      <c r="V1178" s="26" t="str">
        <f aca="false">IF(C1178&lt;&gt;"Own","",IF(K1178="Hourly",N1178,(L1178+M1178)/(Settings!$B$11*Settings!$B$12)))</f>
        <v/>
      </c>
    </row>
    <row r="1179" customFormat="false" ht="15" hidden="false" customHeight="false" outlineLevel="0" collapsed="false">
      <c r="R1179" s="25" t="str">
        <f aca="true">IF(I1179="","",I1179-TODAY())</f>
        <v/>
      </c>
      <c r="S1179" s="25" t="str">
        <f aca="true">IF(J1179="","",J1179-TODAY())</f>
        <v/>
      </c>
      <c r="T1179" s="24" t="str">
        <f aca="false">IF(A1179="","",IF(OR(AND(R1179&lt;&gt;"",R1179&lt;0),AND(S1179&lt;&gt;"",S1179&lt;0)),"EXPIRED",IF(OR(AND(R1179&lt;&gt;"",R1179&lt;=Settings!$B$15),AND(S1179&lt;&gt;"",S1179&lt;=Settings!$B$15)),"EXPIRING SOON","OK")))</f>
        <v/>
      </c>
      <c r="U1179" s="24" t="str">
        <f aca="false">IF(AND(C1179="Own",Q1179="Active"),COUNTIFS($C$5:C1179,"Own",$Q$5:Q1179,"Active"),"")</f>
        <v/>
      </c>
      <c r="V1179" s="26" t="str">
        <f aca="false">IF(C1179&lt;&gt;"Own","",IF(K1179="Hourly",N1179,(L1179+M1179)/(Settings!$B$11*Settings!$B$12)))</f>
        <v/>
      </c>
    </row>
    <row r="1180" customFormat="false" ht="15" hidden="false" customHeight="false" outlineLevel="0" collapsed="false">
      <c r="R1180" s="25" t="str">
        <f aca="true">IF(I1180="","",I1180-TODAY())</f>
        <v/>
      </c>
      <c r="S1180" s="25" t="str">
        <f aca="true">IF(J1180="","",J1180-TODAY())</f>
        <v/>
      </c>
      <c r="T1180" s="24" t="str">
        <f aca="false">IF(A1180="","",IF(OR(AND(R1180&lt;&gt;"",R1180&lt;0),AND(S1180&lt;&gt;"",S1180&lt;0)),"EXPIRED",IF(OR(AND(R1180&lt;&gt;"",R1180&lt;=Settings!$B$15),AND(S1180&lt;&gt;"",S1180&lt;=Settings!$B$15)),"EXPIRING SOON","OK")))</f>
        <v/>
      </c>
      <c r="U1180" s="24" t="str">
        <f aca="false">IF(AND(C1180="Own",Q1180="Active"),COUNTIFS($C$5:C1180,"Own",$Q$5:Q1180,"Active"),"")</f>
        <v/>
      </c>
      <c r="V1180" s="26" t="str">
        <f aca="false">IF(C1180&lt;&gt;"Own","",IF(K1180="Hourly",N1180,(L1180+M1180)/(Settings!$B$11*Settings!$B$12)))</f>
        <v/>
      </c>
    </row>
    <row r="1181" customFormat="false" ht="15" hidden="false" customHeight="false" outlineLevel="0" collapsed="false">
      <c r="R1181" s="25" t="str">
        <f aca="true">IF(I1181="","",I1181-TODAY())</f>
        <v/>
      </c>
      <c r="S1181" s="25" t="str">
        <f aca="true">IF(J1181="","",J1181-TODAY())</f>
        <v/>
      </c>
      <c r="T1181" s="24" t="str">
        <f aca="false">IF(A1181="","",IF(OR(AND(R1181&lt;&gt;"",R1181&lt;0),AND(S1181&lt;&gt;"",S1181&lt;0)),"EXPIRED",IF(OR(AND(R1181&lt;&gt;"",R1181&lt;=Settings!$B$15),AND(S1181&lt;&gt;"",S1181&lt;=Settings!$B$15)),"EXPIRING SOON","OK")))</f>
        <v/>
      </c>
      <c r="U1181" s="24" t="str">
        <f aca="false">IF(AND(C1181="Own",Q1181="Active"),COUNTIFS($C$5:C1181,"Own",$Q$5:Q1181,"Active"),"")</f>
        <v/>
      </c>
      <c r="V1181" s="26" t="str">
        <f aca="false">IF(C1181&lt;&gt;"Own","",IF(K1181="Hourly",N1181,(L1181+M1181)/(Settings!$B$11*Settings!$B$12)))</f>
        <v/>
      </c>
    </row>
    <row r="1182" customFormat="false" ht="15" hidden="false" customHeight="false" outlineLevel="0" collapsed="false">
      <c r="R1182" s="25" t="str">
        <f aca="true">IF(I1182="","",I1182-TODAY())</f>
        <v/>
      </c>
      <c r="S1182" s="25" t="str">
        <f aca="true">IF(J1182="","",J1182-TODAY())</f>
        <v/>
      </c>
      <c r="T1182" s="24" t="str">
        <f aca="false">IF(A1182="","",IF(OR(AND(R1182&lt;&gt;"",R1182&lt;0),AND(S1182&lt;&gt;"",S1182&lt;0)),"EXPIRED",IF(OR(AND(R1182&lt;&gt;"",R1182&lt;=Settings!$B$15),AND(S1182&lt;&gt;"",S1182&lt;=Settings!$B$15)),"EXPIRING SOON","OK")))</f>
        <v/>
      </c>
      <c r="U1182" s="24" t="str">
        <f aca="false">IF(AND(C1182="Own",Q1182="Active"),COUNTIFS($C$5:C1182,"Own",$Q$5:Q1182,"Active"),"")</f>
        <v/>
      </c>
      <c r="V1182" s="26" t="str">
        <f aca="false">IF(C1182&lt;&gt;"Own","",IF(K1182="Hourly",N1182,(L1182+M1182)/(Settings!$B$11*Settings!$B$12)))</f>
        <v/>
      </c>
    </row>
    <row r="1183" customFormat="false" ht="15" hidden="false" customHeight="false" outlineLevel="0" collapsed="false">
      <c r="R1183" s="25" t="str">
        <f aca="true">IF(I1183="","",I1183-TODAY())</f>
        <v/>
      </c>
      <c r="S1183" s="25" t="str">
        <f aca="true">IF(J1183="","",J1183-TODAY())</f>
        <v/>
      </c>
      <c r="T1183" s="24" t="str">
        <f aca="false">IF(A1183="","",IF(OR(AND(R1183&lt;&gt;"",R1183&lt;0),AND(S1183&lt;&gt;"",S1183&lt;0)),"EXPIRED",IF(OR(AND(R1183&lt;&gt;"",R1183&lt;=Settings!$B$15),AND(S1183&lt;&gt;"",S1183&lt;=Settings!$B$15)),"EXPIRING SOON","OK")))</f>
        <v/>
      </c>
      <c r="U1183" s="24" t="str">
        <f aca="false">IF(AND(C1183="Own",Q1183="Active"),COUNTIFS($C$5:C1183,"Own",$Q$5:Q1183,"Active"),"")</f>
        <v/>
      </c>
      <c r="V1183" s="26" t="str">
        <f aca="false">IF(C1183&lt;&gt;"Own","",IF(K1183="Hourly",N1183,(L1183+M1183)/(Settings!$B$11*Settings!$B$12)))</f>
        <v/>
      </c>
    </row>
    <row r="1184" customFormat="false" ht="15" hidden="false" customHeight="false" outlineLevel="0" collapsed="false">
      <c r="R1184" s="25" t="str">
        <f aca="true">IF(I1184="","",I1184-TODAY())</f>
        <v/>
      </c>
      <c r="S1184" s="25" t="str">
        <f aca="true">IF(J1184="","",J1184-TODAY())</f>
        <v/>
      </c>
      <c r="T1184" s="24" t="str">
        <f aca="false">IF(A1184="","",IF(OR(AND(R1184&lt;&gt;"",R1184&lt;0),AND(S1184&lt;&gt;"",S1184&lt;0)),"EXPIRED",IF(OR(AND(R1184&lt;&gt;"",R1184&lt;=Settings!$B$15),AND(S1184&lt;&gt;"",S1184&lt;=Settings!$B$15)),"EXPIRING SOON","OK")))</f>
        <v/>
      </c>
      <c r="U1184" s="24" t="str">
        <f aca="false">IF(AND(C1184="Own",Q1184="Active"),COUNTIFS($C$5:C1184,"Own",$Q$5:Q1184,"Active"),"")</f>
        <v/>
      </c>
      <c r="V1184" s="26" t="str">
        <f aca="false">IF(C1184&lt;&gt;"Own","",IF(K1184="Hourly",N1184,(L1184+M1184)/(Settings!$B$11*Settings!$B$12)))</f>
        <v/>
      </c>
    </row>
    <row r="1185" customFormat="false" ht="15" hidden="false" customHeight="false" outlineLevel="0" collapsed="false">
      <c r="R1185" s="25" t="str">
        <f aca="true">IF(I1185="","",I1185-TODAY())</f>
        <v/>
      </c>
      <c r="S1185" s="25" t="str">
        <f aca="true">IF(J1185="","",J1185-TODAY())</f>
        <v/>
      </c>
      <c r="T1185" s="24" t="str">
        <f aca="false">IF(A1185="","",IF(OR(AND(R1185&lt;&gt;"",R1185&lt;0),AND(S1185&lt;&gt;"",S1185&lt;0)),"EXPIRED",IF(OR(AND(R1185&lt;&gt;"",R1185&lt;=Settings!$B$15),AND(S1185&lt;&gt;"",S1185&lt;=Settings!$B$15)),"EXPIRING SOON","OK")))</f>
        <v/>
      </c>
      <c r="U1185" s="24" t="str">
        <f aca="false">IF(AND(C1185="Own",Q1185="Active"),COUNTIFS($C$5:C1185,"Own",$Q$5:Q1185,"Active"),"")</f>
        <v/>
      </c>
      <c r="V1185" s="26" t="str">
        <f aca="false">IF(C1185&lt;&gt;"Own","",IF(K1185="Hourly",N1185,(L1185+M1185)/(Settings!$B$11*Settings!$B$12)))</f>
        <v/>
      </c>
    </row>
    <row r="1186" customFormat="false" ht="15" hidden="false" customHeight="false" outlineLevel="0" collapsed="false">
      <c r="R1186" s="25" t="str">
        <f aca="true">IF(I1186="","",I1186-TODAY())</f>
        <v/>
      </c>
      <c r="S1186" s="25" t="str">
        <f aca="true">IF(J1186="","",J1186-TODAY())</f>
        <v/>
      </c>
      <c r="T1186" s="24" t="str">
        <f aca="false">IF(A1186="","",IF(OR(AND(R1186&lt;&gt;"",R1186&lt;0),AND(S1186&lt;&gt;"",S1186&lt;0)),"EXPIRED",IF(OR(AND(R1186&lt;&gt;"",R1186&lt;=Settings!$B$15),AND(S1186&lt;&gt;"",S1186&lt;=Settings!$B$15)),"EXPIRING SOON","OK")))</f>
        <v/>
      </c>
      <c r="U1186" s="24" t="str">
        <f aca="false">IF(AND(C1186="Own",Q1186="Active"),COUNTIFS($C$5:C1186,"Own",$Q$5:Q1186,"Active"),"")</f>
        <v/>
      </c>
      <c r="V1186" s="26" t="str">
        <f aca="false">IF(C1186&lt;&gt;"Own","",IF(K1186="Hourly",N1186,(L1186+M1186)/(Settings!$B$11*Settings!$B$12)))</f>
        <v/>
      </c>
    </row>
    <row r="1187" customFormat="false" ht="15" hidden="false" customHeight="false" outlineLevel="0" collapsed="false">
      <c r="R1187" s="25" t="str">
        <f aca="true">IF(I1187="","",I1187-TODAY())</f>
        <v/>
      </c>
      <c r="S1187" s="25" t="str">
        <f aca="true">IF(J1187="","",J1187-TODAY())</f>
        <v/>
      </c>
      <c r="T1187" s="24" t="str">
        <f aca="false">IF(A1187="","",IF(OR(AND(R1187&lt;&gt;"",R1187&lt;0),AND(S1187&lt;&gt;"",S1187&lt;0)),"EXPIRED",IF(OR(AND(R1187&lt;&gt;"",R1187&lt;=Settings!$B$15),AND(S1187&lt;&gt;"",S1187&lt;=Settings!$B$15)),"EXPIRING SOON","OK")))</f>
        <v/>
      </c>
      <c r="U1187" s="24" t="str">
        <f aca="false">IF(AND(C1187="Own",Q1187="Active"),COUNTIFS($C$5:C1187,"Own",$Q$5:Q1187,"Active"),"")</f>
        <v/>
      </c>
      <c r="V1187" s="26" t="str">
        <f aca="false">IF(C1187&lt;&gt;"Own","",IF(K1187="Hourly",N1187,(L1187+M1187)/(Settings!$B$11*Settings!$B$12)))</f>
        <v/>
      </c>
    </row>
    <row r="1188" customFormat="false" ht="15" hidden="false" customHeight="false" outlineLevel="0" collapsed="false">
      <c r="R1188" s="25" t="str">
        <f aca="true">IF(I1188="","",I1188-TODAY())</f>
        <v/>
      </c>
      <c r="S1188" s="25" t="str">
        <f aca="true">IF(J1188="","",J1188-TODAY())</f>
        <v/>
      </c>
      <c r="T1188" s="24" t="str">
        <f aca="false">IF(A1188="","",IF(OR(AND(R1188&lt;&gt;"",R1188&lt;0),AND(S1188&lt;&gt;"",S1188&lt;0)),"EXPIRED",IF(OR(AND(R1188&lt;&gt;"",R1188&lt;=Settings!$B$15),AND(S1188&lt;&gt;"",S1188&lt;=Settings!$B$15)),"EXPIRING SOON","OK")))</f>
        <v/>
      </c>
      <c r="U1188" s="24" t="str">
        <f aca="false">IF(AND(C1188="Own",Q1188="Active"),COUNTIFS($C$5:C1188,"Own",$Q$5:Q1188,"Active"),"")</f>
        <v/>
      </c>
      <c r="V1188" s="26" t="str">
        <f aca="false">IF(C1188&lt;&gt;"Own","",IF(K1188="Hourly",N1188,(L1188+M1188)/(Settings!$B$11*Settings!$B$12)))</f>
        <v/>
      </c>
    </row>
    <row r="1189" customFormat="false" ht="15" hidden="false" customHeight="false" outlineLevel="0" collapsed="false">
      <c r="R1189" s="25" t="str">
        <f aca="true">IF(I1189="","",I1189-TODAY())</f>
        <v/>
      </c>
      <c r="S1189" s="25" t="str">
        <f aca="true">IF(J1189="","",J1189-TODAY())</f>
        <v/>
      </c>
      <c r="T1189" s="24" t="str">
        <f aca="false">IF(A1189="","",IF(OR(AND(R1189&lt;&gt;"",R1189&lt;0),AND(S1189&lt;&gt;"",S1189&lt;0)),"EXPIRED",IF(OR(AND(R1189&lt;&gt;"",R1189&lt;=Settings!$B$15),AND(S1189&lt;&gt;"",S1189&lt;=Settings!$B$15)),"EXPIRING SOON","OK")))</f>
        <v/>
      </c>
      <c r="U1189" s="24" t="str">
        <f aca="false">IF(AND(C1189="Own",Q1189="Active"),COUNTIFS($C$5:C1189,"Own",$Q$5:Q1189,"Active"),"")</f>
        <v/>
      </c>
      <c r="V1189" s="26" t="str">
        <f aca="false">IF(C1189&lt;&gt;"Own","",IF(K1189="Hourly",N1189,(L1189+M1189)/(Settings!$B$11*Settings!$B$12)))</f>
        <v/>
      </c>
    </row>
    <row r="1190" customFormat="false" ht="15" hidden="false" customHeight="false" outlineLevel="0" collapsed="false">
      <c r="R1190" s="25" t="str">
        <f aca="true">IF(I1190="","",I1190-TODAY())</f>
        <v/>
      </c>
      <c r="S1190" s="25" t="str">
        <f aca="true">IF(J1190="","",J1190-TODAY())</f>
        <v/>
      </c>
      <c r="T1190" s="24" t="str">
        <f aca="false">IF(A1190="","",IF(OR(AND(R1190&lt;&gt;"",R1190&lt;0),AND(S1190&lt;&gt;"",S1190&lt;0)),"EXPIRED",IF(OR(AND(R1190&lt;&gt;"",R1190&lt;=Settings!$B$15),AND(S1190&lt;&gt;"",S1190&lt;=Settings!$B$15)),"EXPIRING SOON","OK")))</f>
        <v/>
      </c>
      <c r="U1190" s="24" t="str">
        <f aca="false">IF(AND(C1190="Own",Q1190="Active"),COUNTIFS($C$5:C1190,"Own",$Q$5:Q1190,"Active"),"")</f>
        <v/>
      </c>
      <c r="V1190" s="26" t="str">
        <f aca="false">IF(C1190&lt;&gt;"Own","",IF(K1190="Hourly",N1190,(L1190+M1190)/(Settings!$B$11*Settings!$B$12)))</f>
        <v/>
      </c>
    </row>
    <row r="1191" customFormat="false" ht="15" hidden="false" customHeight="false" outlineLevel="0" collapsed="false">
      <c r="R1191" s="25" t="str">
        <f aca="true">IF(I1191="","",I1191-TODAY())</f>
        <v/>
      </c>
      <c r="S1191" s="25" t="str">
        <f aca="true">IF(J1191="","",J1191-TODAY())</f>
        <v/>
      </c>
      <c r="T1191" s="24" t="str">
        <f aca="false">IF(A1191="","",IF(OR(AND(R1191&lt;&gt;"",R1191&lt;0),AND(S1191&lt;&gt;"",S1191&lt;0)),"EXPIRED",IF(OR(AND(R1191&lt;&gt;"",R1191&lt;=Settings!$B$15),AND(S1191&lt;&gt;"",S1191&lt;=Settings!$B$15)),"EXPIRING SOON","OK")))</f>
        <v/>
      </c>
      <c r="U1191" s="24" t="str">
        <f aca="false">IF(AND(C1191="Own",Q1191="Active"),COUNTIFS($C$5:C1191,"Own",$Q$5:Q1191,"Active"),"")</f>
        <v/>
      </c>
      <c r="V1191" s="26" t="str">
        <f aca="false">IF(C1191&lt;&gt;"Own","",IF(K1191="Hourly",N1191,(L1191+M1191)/(Settings!$B$11*Settings!$B$12)))</f>
        <v/>
      </c>
    </row>
    <row r="1192" customFormat="false" ht="15" hidden="false" customHeight="false" outlineLevel="0" collapsed="false">
      <c r="R1192" s="25" t="str">
        <f aca="true">IF(I1192="","",I1192-TODAY())</f>
        <v/>
      </c>
      <c r="S1192" s="25" t="str">
        <f aca="true">IF(J1192="","",J1192-TODAY())</f>
        <v/>
      </c>
      <c r="T1192" s="24" t="str">
        <f aca="false">IF(A1192="","",IF(OR(AND(R1192&lt;&gt;"",R1192&lt;0),AND(S1192&lt;&gt;"",S1192&lt;0)),"EXPIRED",IF(OR(AND(R1192&lt;&gt;"",R1192&lt;=Settings!$B$15),AND(S1192&lt;&gt;"",S1192&lt;=Settings!$B$15)),"EXPIRING SOON","OK")))</f>
        <v/>
      </c>
      <c r="U1192" s="24" t="str">
        <f aca="false">IF(AND(C1192="Own",Q1192="Active"),COUNTIFS($C$5:C1192,"Own",$Q$5:Q1192,"Active"),"")</f>
        <v/>
      </c>
      <c r="V1192" s="26" t="str">
        <f aca="false">IF(C1192&lt;&gt;"Own","",IF(K1192="Hourly",N1192,(L1192+M1192)/(Settings!$B$11*Settings!$B$12)))</f>
        <v/>
      </c>
    </row>
    <row r="1193" customFormat="false" ht="15" hidden="false" customHeight="false" outlineLevel="0" collapsed="false">
      <c r="R1193" s="25" t="str">
        <f aca="true">IF(I1193="","",I1193-TODAY())</f>
        <v/>
      </c>
      <c r="S1193" s="25" t="str">
        <f aca="true">IF(J1193="","",J1193-TODAY())</f>
        <v/>
      </c>
      <c r="T1193" s="24" t="str">
        <f aca="false">IF(A1193="","",IF(OR(AND(R1193&lt;&gt;"",R1193&lt;0),AND(S1193&lt;&gt;"",S1193&lt;0)),"EXPIRED",IF(OR(AND(R1193&lt;&gt;"",R1193&lt;=Settings!$B$15),AND(S1193&lt;&gt;"",S1193&lt;=Settings!$B$15)),"EXPIRING SOON","OK")))</f>
        <v/>
      </c>
      <c r="U1193" s="24" t="str">
        <f aca="false">IF(AND(C1193="Own",Q1193="Active"),COUNTIFS($C$5:C1193,"Own",$Q$5:Q1193,"Active"),"")</f>
        <v/>
      </c>
      <c r="V1193" s="26" t="str">
        <f aca="false">IF(C1193&lt;&gt;"Own","",IF(K1193="Hourly",N1193,(L1193+M1193)/(Settings!$B$11*Settings!$B$12)))</f>
        <v/>
      </c>
    </row>
    <row r="1194" customFormat="false" ht="15" hidden="false" customHeight="false" outlineLevel="0" collapsed="false">
      <c r="R1194" s="25" t="str">
        <f aca="true">IF(I1194="","",I1194-TODAY())</f>
        <v/>
      </c>
      <c r="S1194" s="25" t="str">
        <f aca="true">IF(J1194="","",J1194-TODAY())</f>
        <v/>
      </c>
      <c r="T1194" s="24" t="str">
        <f aca="false">IF(A1194="","",IF(OR(AND(R1194&lt;&gt;"",R1194&lt;0),AND(S1194&lt;&gt;"",S1194&lt;0)),"EXPIRED",IF(OR(AND(R1194&lt;&gt;"",R1194&lt;=Settings!$B$15),AND(S1194&lt;&gt;"",S1194&lt;=Settings!$B$15)),"EXPIRING SOON","OK")))</f>
        <v/>
      </c>
      <c r="U1194" s="24" t="str">
        <f aca="false">IF(AND(C1194="Own",Q1194="Active"),COUNTIFS($C$5:C1194,"Own",$Q$5:Q1194,"Active"),"")</f>
        <v/>
      </c>
      <c r="V1194" s="26" t="str">
        <f aca="false">IF(C1194&lt;&gt;"Own","",IF(K1194="Hourly",N1194,(L1194+M1194)/(Settings!$B$11*Settings!$B$12)))</f>
        <v/>
      </c>
    </row>
    <row r="1195" customFormat="false" ht="15" hidden="false" customHeight="false" outlineLevel="0" collapsed="false">
      <c r="R1195" s="25" t="str">
        <f aca="true">IF(I1195="","",I1195-TODAY())</f>
        <v/>
      </c>
      <c r="S1195" s="25" t="str">
        <f aca="true">IF(J1195="","",J1195-TODAY())</f>
        <v/>
      </c>
      <c r="T1195" s="24" t="str">
        <f aca="false">IF(A1195="","",IF(OR(AND(R1195&lt;&gt;"",R1195&lt;0),AND(S1195&lt;&gt;"",S1195&lt;0)),"EXPIRED",IF(OR(AND(R1195&lt;&gt;"",R1195&lt;=Settings!$B$15),AND(S1195&lt;&gt;"",S1195&lt;=Settings!$B$15)),"EXPIRING SOON","OK")))</f>
        <v/>
      </c>
      <c r="U1195" s="24" t="str">
        <f aca="false">IF(AND(C1195="Own",Q1195="Active"),COUNTIFS($C$5:C1195,"Own",$Q$5:Q1195,"Active"),"")</f>
        <v/>
      </c>
      <c r="V1195" s="26" t="str">
        <f aca="false">IF(C1195&lt;&gt;"Own","",IF(K1195="Hourly",N1195,(L1195+M1195)/(Settings!$B$11*Settings!$B$12)))</f>
        <v/>
      </c>
    </row>
    <row r="1196" customFormat="false" ht="15" hidden="false" customHeight="false" outlineLevel="0" collapsed="false">
      <c r="R1196" s="25" t="str">
        <f aca="true">IF(I1196="","",I1196-TODAY())</f>
        <v/>
      </c>
      <c r="S1196" s="25" t="str">
        <f aca="true">IF(J1196="","",J1196-TODAY())</f>
        <v/>
      </c>
      <c r="T1196" s="24" t="str">
        <f aca="false">IF(A1196="","",IF(OR(AND(R1196&lt;&gt;"",R1196&lt;0),AND(S1196&lt;&gt;"",S1196&lt;0)),"EXPIRED",IF(OR(AND(R1196&lt;&gt;"",R1196&lt;=Settings!$B$15),AND(S1196&lt;&gt;"",S1196&lt;=Settings!$B$15)),"EXPIRING SOON","OK")))</f>
        <v/>
      </c>
      <c r="U1196" s="24" t="str">
        <f aca="false">IF(AND(C1196="Own",Q1196="Active"),COUNTIFS($C$5:C1196,"Own",$Q$5:Q1196,"Active"),"")</f>
        <v/>
      </c>
      <c r="V1196" s="26" t="str">
        <f aca="false">IF(C1196&lt;&gt;"Own","",IF(K1196="Hourly",N1196,(L1196+M1196)/(Settings!$B$11*Settings!$B$12)))</f>
        <v/>
      </c>
    </row>
    <row r="1197" customFormat="false" ht="15" hidden="false" customHeight="false" outlineLevel="0" collapsed="false">
      <c r="R1197" s="25" t="str">
        <f aca="true">IF(I1197="","",I1197-TODAY())</f>
        <v/>
      </c>
      <c r="S1197" s="25" t="str">
        <f aca="true">IF(J1197="","",J1197-TODAY())</f>
        <v/>
      </c>
      <c r="T1197" s="24" t="str">
        <f aca="false">IF(A1197="","",IF(OR(AND(R1197&lt;&gt;"",R1197&lt;0),AND(S1197&lt;&gt;"",S1197&lt;0)),"EXPIRED",IF(OR(AND(R1197&lt;&gt;"",R1197&lt;=Settings!$B$15),AND(S1197&lt;&gt;"",S1197&lt;=Settings!$B$15)),"EXPIRING SOON","OK")))</f>
        <v/>
      </c>
      <c r="U1197" s="24" t="str">
        <f aca="false">IF(AND(C1197="Own",Q1197="Active"),COUNTIFS($C$5:C1197,"Own",$Q$5:Q1197,"Active"),"")</f>
        <v/>
      </c>
      <c r="V1197" s="26" t="str">
        <f aca="false">IF(C1197&lt;&gt;"Own","",IF(K1197="Hourly",N1197,(L1197+M1197)/(Settings!$B$11*Settings!$B$12)))</f>
        <v/>
      </c>
    </row>
    <row r="1198" customFormat="false" ht="15" hidden="false" customHeight="false" outlineLevel="0" collapsed="false">
      <c r="R1198" s="25" t="str">
        <f aca="true">IF(I1198="","",I1198-TODAY())</f>
        <v/>
      </c>
      <c r="S1198" s="25" t="str">
        <f aca="true">IF(J1198="","",J1198-TODAY())</f>
        <v/>
      </c>
      <c r="T1198" s="24" t="str">
        <f aca="false">IF(A1198="","",IF(OR(AND(R1198&lt;&gt;"",R1198&lt;0),AND(S1198&lt;&gt;"",S1198&lt;0)),"EXPIRED",IF(OR(AND(R1198&lt;&gt;"",R1198&lt;=Settings!$B$15),AND(S1198&lt;&gt;"",S1198&lt;=Settings!$B$15)),"EXPIRING SOON","OK")))</f>
        <v/>
      </c>
      <c r="U1198" s="24" t="str">
        <f aca="false">IF(AND(C1198="Own",Q1198="Active"),COUNTIFS($C$5:C1198,"Own",$Q$5:Q1198,"Active"),"")</f>
        <v/>
      </c>
      <c r="V1198" s="26" t="str">
        <f aca="false">IF(C1198&lt;&gt;"Own","",IF(K1198="Hourly",N1198,(L1198+M1198)/(Settings!$B$11*Settings!$B$12)))</f>
        <v/>
      </c>
    </row>
    <row r="1199" customFormat="false" ht="15" hidden="false" customHeight="false" outlineLevel="0" collapsed="false">
      <c r="R1199" s="25" t="str">
        <f aca="true">IF(I1199="","",I1199-TODAY())</f>
        <v/>
      </c>
      <c r="S1199" s="25" t="str">
        <f aca="true">IF(J1199="","",J1199-TODAY())</f>
        <v/>
      </c>
      <c r="T1199" s="24" t="str">
        <f aca="false">IF(A1199="","",IF(OR(AND(R1199&lt;&gt;"",R1199&lt;0),AND(S1199&lt;&gt;"",S1199&lt;0)),"EXPIRED",IF(OR(AND(R1199&lt;&gt;"",R1199&lt;=Settings!$B$15),AND(S1199&lt;&gt;"",S1199&lt;=Settings!$B$15)),"EXPIRING SOON","OK")))</f>
        <v/>
      </c>
      <c r="U1199" s="24" t="str">
        <f aca="false">IF(AND(C1199="Own",Q1199="Active"),COUNTIFS($C$5:C1199,"Own",$Q$5:Q1199,"Active"),"")</f>
        <v/>
      </c>
      <c r="V1199" s="26" t="str">
        <f aca="false">IF(C1199&lt;&gt;"Own","",IF(K1199="Hourly",N1199,(L1199+M1199)/(Settings!$B$11*Settings!$B$12)))</f>
        <v/>
      </c>
    </row>
    <row r="1200" customFormat="false" ht="15" hidden="false" customHeight="false" outlineLevel="0" collapsed="false">
      <c r="R1200" s="25" t="str">
        <f aca="true">IF(I1200="","",I1200-TODAY())</f>
        <v/>
      </c>
      <c r="S1200" s="25" t="str">
        <f aca="true">IF(J1200="","",J1200-TODAY())</f>
        <v/>
      </c>
      <c r="T1200" s="24" t="str">
        <f aca="false">IF(A1200="","",IF(OR(AND(R1200&lt;&gt;"",R1200&lt;0),AND(S1200&lt;&gt;"",S1200&lt;0)),"EXPIRED",IF(OR(AND(R1200&lt;&gt;"",R1200&lt;=Settings!$B$15),AND(S1200&lt;&gt;"",S1200&lt;=Settings!$B$15)),"EXPIRING SOON","OK")))</f>
        <v/>
      </c>
      <c r="U1200" s="24" t="str">
        <f aca="false">IF(AND(C1200="Own",Q1200="Active"),COUNTIFS($C$5:C1200,"Own",$Q$5:Q1200,"Active"),"")</f>
        <v/>
      </c>
      <c r="V1200" s="26" t="str">
        <f aca="false">IF(C1200&lt;&gt;"Own","",IF(K1200="Hourly",N1200,(L1200+M1200)/(Settings!$B$11*Settings!$B$12)))</f>
        <v/>
      </c>
    </row>
    <row r="1201" customFormat="false" ht="15" hidden="false" customHeight="false" outlineLevel="0" collapsed="false">
      <c r="R1201" s="25" t="str">
        <f aca="true">IF(I1201="","",I1201-TODAY())</f>
        <v/>
      </c>
      <c r="S1201" s="25" t="str">
        <f aca="true">IF(J1201="","",J1201-TODAY())</f>
        <v/>
      </c>
      <c r="T1201" s="24" t="str">
        <f aca="false">IF(A1201="","",IF(OR(AND(R1201&lt;&gt;"",R1201&lt;0),AND(S1201&lt;&gt;"",S1201&lt;0)),"EXPIRED",IF(OR(AND(R1201&lt;&gt;"",R1201&lt;=Settings!$B$15),AND(S1201&lt;&gt;"",S1201&lt;=Settings!$B$15)),"EXPIRING SOON","OK")))</f>
        <v/>
      </c>
      <c r="U1201" s="24" t="str">
        <f aca="false">IF(AND(C1201="Own",Q1201="Active"),COUNTIFS($C$5:C1201,"Own",$Q$5:Q1201,"Active"),"")</f>
        <v/>
      </c>
      <c r="V1201" s="26" t="str">
        <f aca="false">IF(C1201&lt;&gt;"Own","",IF(K1201="Hourly",N1201,(L1201+M1201)/(Settings!$B$11*Settings!$B$12)))</f>
        <v/>
      </c>
    </row>
    <row r="1202" customFormat="false" ht="15" hidden="false" customHeight="false" outlineLevel="0" collapsed="false">
      <c r="R1202" s="25" t="str">
        <f aca="true">IF(I1202="","",I1202-TODAY())</f>
        <v/>
      </c>
      <c r="S1202" s="25" t="str">
        <f aca="true">IF(J1202="","",J1202-TODAY())</f>
        <v/>
      </c>
      <c r="T1202" s="24" t="str">
        <f aca="false">IF(A1202="","",IF(OR(AND(R1202&lt;&gt;"",R1202&lt;0),AND(S1202&lt;&gt;"",S1202&lt;0)),"EXPIRED",IF(OR(AND(R1202&lt;&gt;"",R1202&lt;=Settings!$B$15),AND(S1202&lt;&gt;"",S1202&lt;=Settings!$B$15)),"EXPIRING SOON","OK")))</f>
        <v/>
      </c>
      <c r="U1202" s="24" t="str">
        <f aca="false">IF(AND(C1202="Own",Q1202="Active"),COUNTIFS($C$5:C1202,"Own",$Q$5:Q1202,"Active"),"")</f>
        <v/>
      </c>
      <c r="V1202" s="26" t="str">
        <f aca="false">IF(C1202&lt;&gt;"Own","",IF(K1202="Hourly",N1202,(L1202+M1202)/(Settings!$B$11*Settings!$B$12)))</f>
        <v/>
      </c>
    </row>
    <row r="1203" customFormat="false" ht="15" hidden="false" customHeight="false" outlineLevel="0" collapsed="false">
      <c r="R1203" s="25" t="str">
        <f aca="true">IF(I1203="","",I1203-TODAY())</f>
        <v/>
      </c>
      <c r="S1203" s="25" t="str">
        <f aca="true">IF(J1203="","",J1203-TODAY())</f>
        <v/>
      </c>
      <c r="T1203" s="24" t="str">
        <f aca="false">IF(A1203="","",IF(OR(AND(R1203&lt;&gt;"",R1203&lt;0),AND(S1203&lt;&gt;"",S1203&lt;0)),"EXPIRED",IF(OR(AND(R1203&lt;&gt;"",R1203&lt;=Settings!$B$15),AND(S1203&lt;&gt;"",S1203&lt;=Settings!$B$15)),"EXPIRING SOON","OK")))</f>
        <v/>
      </c>
      <c r="U1203" s="24" t="str">
        <f aca="false">IF(AND(C1203="Own",Q1203="Active"),COUNTIFS($C$5:C1203,"Own",$Q$5:Q1203,"Active"),"")</f>
        <v/>
      </c>
      <c r="V1203" s="26" t="str">
        <f aca="false">IF(C1203&lt;&gt;"Own","",IF(K1203="Hourly",N1203,(L1203+M1203)/(Settings!$B$11*Settings!$B$12)))</f>
        <v/>
      </c>
    </row>
    <row r="1204" customFormat="false" ht="15" hidden="false" customHeight="false" outlineLevel="0" collapsed="false">
      <c r="R1204" s="25" t="str">
        <f aca="true">IF(I1204="","",I1204-TODAY())</f>
        <v/>
      </c>
      <c r="S1204" s="25" t="str">
        <f aca="true">IF(J1204="","",J1204-TODAY())</f>
        <v/>
      </c>
      <c r="T1204" s="24" t="str">
        <f aca="false">IF(A1204="","",IF(OR(AND(R1204&lt;&gt;"",R1204&lt;0),AND(S1204&lt;&gt;"",S1204&lt;0)),"EXPIRED",IF(OR(AND(R1204&lt;&gt;"",R1204&lt;=Settings!$B$15),AND(S1204&lt;&gt;"",S1204&lt;=Settings!$B$15)),"EXPIRING SOON","OK")))</f>
        <v/>
      </c>
      <c r="U1204" s="24" t="str">
        <f aca="false">IF(AND(C1204="Own",Q1204="Active"),COUNTIFS($C$5:C1204,"Own",$Q$5:Q1204,"Active"),"")</f>
        <v/>
      </c>
      <c r="V1204" s="26" t="str">
        <f aca="false">IF(C1204&lt;&gt;"Own","",IF(K1204="Hourly",N1204,(L1204+M1204)/(Settings!$B$11*Settings!$B$12)))</f>
        <v/>
      </c>
    </row>
    <row r="1205" customFormat="false" ht="15" hidden="false" customHeight="false" outlineLevel="0" collapsed="false">
      <c r="R1205" s="25" t="str">
        <f aca="true">IF(I1205="","",I1205-TODAY())</f>
        <v/>
      </c>
      <c r="S1205" s="25" t="str">
        <f aca="true">IF(J1205="","",J1205-TODAY())</f>
        <v/>
      </c>
      <c r="T1205" s="24" t="str">
        <f aca="false">IF(A1205="","",IF(OR(AND(R1205&lt;&gt;"",R1205&lt;0),AND(S1205&lt;&gt;"",S1205&lt;0)),"EXPIRED",IF(OR(AND(R1205&lt;&gt;"",R1205&lt;=Settings!$B$15),AND(S1205&lt;&gt;"",S1205&lt;=Settings!$B$15)),"EXPIRING SOON","OK")))</f>
        <v/>
      </c>
      <c r="U1205" s="24" t="str">
        <f aca="false">IF(AND(C1205="Own",Q1205="Active"),COUNTIFS($C$5:C1205,"Own",$Q$5:Q1205,"Active"),"")</f>
        <v/>
      </c>
      <c r="V1205" s="26" t="str">
        <f aca="false">IF(C1205&lt;&gt;"Own","",IF(K1205="Hourly",N1205,(L1205+M1205)/(Settings!$B$11*Settings!$B$12)))</f>
        <v/>
      </c>
    </row>
    <row r="1206" customFormat="false" ht="15" hidden="false" customHeight="false" outlineLevel="0" collapsed="false">
      <c r="R1206" s="25" t="str">
        <f aca="true">IF(I1206="","",I1206-TODAY())</f>
        <v/>
      </c>
      <c r="S1206" s="25" t="str">
        <f aca="true">IF(J1206="","",J1206-TODAY())</f>
        <v/>
      </c>
      <c r="T1206" s="24" t="str">
        <f aca="false">IF(A1206="","",IF(OR(AND(R1206&lt;&gt;"",R1206&lt;0),AND(S1206&lt;&gt;"",S1206&lt;0)),"EXPIRED",IF(OR(AND(R1206&lt;&gt;"",R1206&lt;=Settings!$B$15),AND(S1206&lt;&gt;"",S1206&lt;=Settings!$B$15)),"EXPIRING SOON","OK")))</f>
        <v/>
      </c>
      <c r="U1206" s="24" t="str">
        <f aca="false">IF(AND(C1206="Own",Q1206="Active"),COUNTIFS($C$5:C1206,"Own",$Q$5:Q1206,"Active"),"")</f>
        <v/>
      </c>
      <c r="V1206" s="26" t="str">
        <f aca="false">IF(C1206&lt;&gt;"Own","",IF(K1206="Hourly",N1206,(L1206+M1206)/(Settings!$B$11*Settings!$B$12)))</f>
        <v/>
      </c>
    </row>
    <row r="1207" customFormat="false" ht="15" hidden="false" customHeight="false" outlineLevel="0" collapsed="false">
      <c r="R1207" s="25" t="str">
        <f aca="true">IF(I1207="","",I1207-TODAY())</f>
        <v/>
      </c>
      <c r="S1207" s="25" t="str">
        <f aca="true">IF(J1207="","",J1207-TODAY())</f>
        <v/>
      </c>
      <c r="T1207" s="24" t="str">
        <f aca="false">IF(A1207="","",IF(OR(AND(R1207&lt;&gt;"",R1207&lt;0),AND(S1207&lt;&gt;"",S1207&lt;0)),"EXPIRED",IF(OR(AND(R1207&lt;&gt;"",R1207&lt;=Settings!$B$15),AND(S1207&lt;&gt;"",S1207&lt;=Settings!$B$15)),"EXPIRING SOON","OK")))</f>
        <v/>
      </c>
      <c r="U1207" s="24" t="str">
        <f aca="false">IF(AND(C1207="Own",Q1207="Active"),COUNTIFS($C$5:C1207,"Own",$Q$5:Q1207,"Active"),"")</f>
        <v/>
      </c>
      <c r="V1207" s="26" t="str">
        <f aca="false">IF(C1207&lt;&gt;"Own","",IF(K1207="Hourly",N1207,(L1207+M1207)/(Settings!$B$11*Settings!$B$12)))</f>
        <v/>
      </c>
    </row>
    <row r="1208" customFormat="false" ht="15" hidden="false" customHeight="false" outlineLevel="0" collapsed="false">
      <c r="R1208" s="25" t="str">
        <f aca="true">IF(I1208="","",I1208-TODAY())</f>
        <v/>
      </c>
      <c r="S1208" s="25" t="str">
        <f aca="true">IF(J1208="","",J1208-TODAY())</f>
        <v/>
      </c>
      <c r="T1208" s="24" t="str">
        <f aca="false">IF(A1208="","",IF(OR(AND(R1208&lt;&gt;"",R1208&lt;0),AND(S1208&lt;&gt;"",S1208&lt;0)),"EXPIRED",IF(OR(AND(R1208&lt;&gt;"",R1208&lt;=Settings!$B$15),AND(S1208&lt;&gt;"",S1208&lt;=Settings!$B$15)),"EXPIRING SOON","OK")))</f>
        <v/>
      </c>
      <c r="U1208" s="24" t="str">
        <f aca="false">IF(AND(C1208="Own",Q1208="Active"),COUNTIFS($C$5:C1208,"Own",$Q$5:Q1208,"Active"),"")</f>
        <v/>
      </c>
      <c r="V1208" s="26" t="str">
        <f aca="false">IF(C1208&lt;&gt;"Own","",IF(K1208="Hourly",N1208,(L1208+M1208)/(Settings!$B$11*Settings!$B$12)))</f>
        <v/>
      </c>
    </row>
    <row r="1209" customFormat="false" ht="15" hidden="false" customHeight="false" outlineLevel="0" collapsed="false">
      <c r="R1209" s="25" t="str">
        <f aca="true">IF(I1209="","",I1209-TODAY())</f>
        <v/>
      </c>
      <c r="S1209" s="25" t="str">
        <f aca="true">IF(J1209="","",J1209-TODAY())</f>
        <v/>
      </c>
      <c r="T1209" s="24" t="str">
        <f aca="false">IF(A1209="","",IF(OR(AND(R1209&lt;&gt;"",R1209&lt;0),AND(S1209&lt;&gt;"",S1209&lt;0)),"EXPIRED",IF(OR(AND(R1209&lt;&gt;"",R1209&lt;=Settings!$B$15),AND(S1209&lt;&gt;"",S1209&lt;=Settings!$B$15)),"EXPIRING SOON","OK")))</f>
        <v/>
      </c>
      <c r="U1209" s="24" t="str">
        <f aca="false">IF(AND(C1209="Own",Q1209="Active"),COUNTIFS($C$5:C1209,"Own",$Q$5:Q1209,"Active"),"")</f>
        <v/>
      </c>
      <c r="V1209" s="26" t="str">
        <f aca="false">IF(C1209&lt;&gt;"Own","",IF(K1209="Hourly",N1209,(L1209+M1209)/(Settings!$B$11*Settings!$B$12)))</f>
        <v/>
      </c>
    </row>
    <row r="1210" customFormat="false" ht="15" hidden="false" customHeight="false" outlineLevel="0" collapsed="false">
      <c r="R1210" s="25" t="str">
        <f aca="true">IF(I1210="","",I1210-TODAY())</f>
        <v/>
      </c>
      <c r="S1210" s="25" t="str">
        <f aca="true">IF(J1210="","",J1210-TODAY())</f>
        <v/>
      </c>
      <c r="T1210" s="24" t="str">
        <f aca="false">IF(A1210="","",IF(OR(AND(R1210&lt;&gt;"",R1210&lt;0),AND(S1210&lt;&gt;"",S1210&lt;0)),"EXPIRED",IF(OR(AND(R1210&lt;&gt;"",R1210&lt;=Settings!$B$15),AND(S1210&lt;&gt;"",S1210&lt;=Settings!$B$15)),"EXPIRING SOON","OK")))</f>
        <v/>
      </c>
      <c r="U1210" s="24" t="str">
        <f aca="false">IF(AND(C1210="Own",Q1210="Active"),COUNTIFS($C$5:C1210,"Own",$Q$5:Q1210,"Active"),"")</f>
        <v/>
      </c>
      <c r="V1210" s="26" t="str">
        <f aca="false">IF(C1210&lt;&gt;"Own","",IF(K1210="Hourly",N1210,(L1210+M1210)/(Settings!$B$11*Settings!$B$12)))</f>
        <v/>
      </c>
    </row>
    <row r="1211" customFormat="false" ht="15" hidden="false" customHeight="false" outlineLevel="0" collapsed="false">
      <c r="R1211" s="25" t="str">
        <f aca="true">IF(I1211="","",I1211-TODAY())</f>
        <v/>
      </c>
      <c r="S1211" s="25" t="str">
        <f aca="true">IF(J1211="","",J1211-TODAY())</f>
        <v/>
      </c>
      <c r="T1211" s="24" t="str">
        <f aca="false">IF(A1211="","",IF(OR(AND(R1211&lt;&gt;"",R1211&lt;0),AND(S1211&lt;&gt;"",S1211&lt;0)),"EXPIRED",IF(OR(AND(R1211&lt;&gt;"",R1211&lt;=Settings!$B$15),AND(S1211&lt;&gt;"",S1211&lt;=Settings!$B$15)),"EXPIRING SOON","OK")))</f>
        <v/>
      </c>
      <c r="U1211" s="24" t="str">
        <f aca="false">IF(AND(C1211="Own",Q1211="Active"),COUNTIFS($C$5:C1211,"Own",$Q$5:Q1211,"Active"),"")</f>
        <v/>
      </c>
      <c r="V1211" s="26" t="str">
        <f aca="false">IF(C1211&lt;&gt;"Own","",IF(K1211="Hourly",N1211,(L1211+M1211)/(Settings!$B$11*Settings!$B$12)))</f>
        <v/>
      </c>
    </row>
    <row r="1212" customFormat="false" ht="15" hidden="false" customHeight="false" outlineLevel="0" collapsed="false">
      <c r="R1212" s="25" t="str">
        <f aca="true">IF(I1212="","",I1212-TODAY())</f>
        <v/>
      </c>
      <c r="S1212" s="25" t="str">
        <f aca="true">IF(J1212="","",J1212-TODAY())</f>
        <v/>
      </c>
      <c r="T1212" s="24" t="str">
        <f aca="false">IF(A1212="","",IF(OR(AND(R1212&lt;&gt;"",R1212&lt;0),AND(S1212&lt;&gt;"",S1212&lt;0)),"EXPIRED",IF(OR(AND(R1212&lt;&gt;"",R1212&lt;=Settings!$B$15),AND(S1212&lt;&gt;"",S1212&lt;=Settings!$B$15)),"EXPIRING SOON","OK")))</f>
        <v/>
      </c>
      <c r="U1212" s="24" t="str">
        <f aca="false">IF(AND(C1212="Own",Q1212="Active"),COUNTIFS($C$5:C1212,"Own",$Q$5:Q1212,"Active"),"")</f>
        <v/>
      </c>
      <c r="V1212" s="26" t="str">
        <f aca="false">IF(C1212&lt;&gt;"Own","",IF(K1212="Hourly",N1212,(L1212+M1212)/(Settings!$B$11*Settings!$B$12)))</f>
        <v/>
      </c>
    </row>
    <row r="1213" customFormat="false" ht="15" hidden="false" customHeight="false" outlineLevel="0" collapsed="false">
      <c r="R1213" s="25" t="str">
        <f aca="true">IF(I1213="","",I1213-TODAY())</f>
        <v/>
      </c>
      <c r="S1213" s="25" t="str">
        <f aca="true">IF(J1213="","",J1213-TODAY())</f>
        <v/>
      </c>
      <c r="T1213" s="24" t="str">
        <f aca="false">IF(A1213="","",IF(OR(AND(R1213&lt;&gt;"",R1213&lt;0),AND(S1213&lt;&gt;"",S1213&lt;0)),"EXPIRED",IF(OR(AND(R1213&lt;&gt;"",R1213&lt;=Settings!$B$15),AND(S1213&lt;&gt;"",S1213&lt;=Settings!$B$15)),"EXPIRING SOON","OK")))</f>
        <v/>
      </c>
      <c r="U1213" s="24" t="str">
        <f aca="false">IF(AND(C1213="Own",Q1213="Active"),COUNTIFS($C$5:C1213,"Own",$Q$5:Q1213,"Active"),"")</f>
        <v/>
      </c>
      <c r="V1213" s="26" t="str">
        <f aca="false">IF(C1213&lt;&gt;"Own","",IF(K1213="Hourly",N1213,(L1213+M1213)/(Settings!$B$11*Settings!$B$12)))</f>
        <v/>
      </c>
    </row>
    <row r="1214" customFormat="false" ht="15" hidden="false" customHeight="false" outlineLevel="0" collapsed="false">
      <c r="R1214" s="25" t="str">
        <f aca="true">IF(I1214="","",I1214-TODAY())</f>
        <v/>
      </c>
      <c r="S1214" s="25" t="str">
        <f aca="true">IF(J1214="","",J1214-TODAY())</f>
        <v/>
      </c>
      <c r="T1214" s="24" t="str">
        <f aca="false">IF(A1214="","",IF(OR(AND(R1214&lt;&gt;"",R1214&lt;0),AND(S1214&lt;&gt;"",S1214&lt;0)),"EXPIRED",IF(OR(AND(R1214&lt;&gt;"",R1214&lt;=Settings!$B$15),AND(S1214&lt;&gt;"",S1214&lt;=Settings!$B$15)),"EXPIRING SOON","OK")))</f>
        <v/>
      </c>
      <c r="U1214" s="24" t="str">
        <f aca="false">IF(AND(C1214="Own",Q1214="Active"),COUNTIFS($C$5:C1214,"Own",$Q$5:Q1214,"Active"),"")</f>
        <v/>
      </c>
      <c r="V1214" s="26" t="str">
        <f aca="false">IF(C1214&lt;&gt;"Own","",IF(K1214="Hourly",N1214,(L1214+M1214)/(Settings!$B$11*Settings!$B$12)))</f>
        <v/>
      </c>
    </row>
    <row r="1215" customFormat="false" ht="15" hidden="false" customHeight="false" outlineLevel="0" collapsed="false">
      <c r="R1215" s="25" t="str">
        <f aca="true">IF(I1215="","",I1215-TODAY())</f>
        <v/>
      </c>
      <c r="S1215" s="25" t="str">
        <f aca="true">IF(J1215="","",J1215-TODAY())</f>
        <v/>
      </c>
      <c r="T1215" s="24" t="str">
        <f aca="false">IF(A1215="","",IF(OR(AND(R1215&lt;&gt;"",R1215&lt;0),AND(S1215&lt;&gt;"",S1215&lt;0)),"EXPIRED",IF(OR(AND(R1215&lt;&gt;"",R1215&lt;=Settings!$B$15),AND(S1215&lt;&gt;"",S1215&lt;=Settings!$B$15)),"EXPIRING SOON","OK")))</f>
        <v/>
      </c>
      <c r="U1215" s="24" t="str">
        <f aca="false">IF(AND(C1215="Own",Q1215="Active"),COUNTIFS($C$5:C1215,"Own",$Q$5:Q1215,"Active"),"")</f>
        <v/>
      </c>
      <c r="V1215" s="26" t="str">
        <f aca="false">IF(C1215&lt;&gt;"Own","",IF(K1215="Hourly",N1215,(L1215+M1215)/(Settings!$B$11*Settings!$B$12)))</f>
        <v/>
      </c>
    </row>
    <row r="1216" customFormat="false" ht="15" hidden="false" customHeight="false" outlineLevel="0" collapsed="false">
      <c r="R1216" s="25" t="str">
        <f aca="true">IF(I1216="","",I1216-TODAY())</f>
        <v/>
      </c>
      <c r="S1216" s="25" t="str">
        <f aca="true">IF(J1216="","",J1216-TODAY())</f>
        <v/>
      </c>
      <c r="T1216" s="24" t="str">
        <f aca="false">IF(A1216="","",IF(OR(AND(R1216&lt;&gt;"",R1216&lt;0),AND(S1216&lt;&gt;"",S1216&lt;0)),"EXPIRED",IF(OR(AND(R1216&lt;&gt;"",R1216&lt;=Settings!$B$15),AND(S1216&lt;&gt;"",S1216&lt;=Settings!$B$15)),"EXPIRING SOON","OK")))</f>
        <v/>
      </c>
      <c r="U1216" s="24" t="str">
        <f aca="false">IF(AND(C1216="Own",Q1216="Active"),COUNTIFS($C$5:C1216,"Own",$Q$5:Q1216,"Active"),"")</f>
        <v/>
      </c>
      <c r="V1216" s="26" t="str">
        <f aca="false">IF(C1216&lt;&gt;"Own","",IF(K1216="Hourly",N1216,(L1216+M1216)/(Settings!$B$11*Settings!$B$12)))</f>
        <v/>
      </c>
    </row>
    <row r="1217" customFormat="false" ht="15" hidden="false" customHeight="false" outlineLevel="0" collapsed="false">
      <c r="R1217" s="25" t="str">
        <f aca="true">IF(I1217="","",I1217-TODAY())</f>
        <v/>
      </c>
      <c r="S1217" s="25" t="str">
        <f aca="true">IF(J1217="","",J1217-TODAY())</f>
        <v/>
      </c>
      <c r="T1217" s="24" t="str">
        <f aca="false">IF(A1217="","",IF(OR(AND(R1217&lt;&gt;"",R1217&lt;0),AND(S1217&lt;&gt;"",S1217&lt;0)),"EXPIRED",IF(OR(AND(R1217&lt;&gt;"",R1217&lt;=Settings!$B$15),AND(S1217&lt;&gt;"",S1217&lt;=Settings!$B$15)),"EXPIRING SOON","OK")))</f>
        <v/>
      </c>
      <c r="U1217" s="24" t="str">
        <f aca="false">IF(AND(C1217="Own",Q1217="Active"),COUNTIFS($C$5:C1217,"Own",$Q$5:Q1217,"Active"),"")</f>
        <v/>
      </c>
      <c r="V1217" s="26" t="str">
        <f aca="false">IF(C1217&lt;&gt;"Own","",IF(K1217="Hourly",N1217,(L1217+M1217)/(Settings!$B$11*Settings!$B$12)))</f>
        <v/>
      </c>
    </row>
    <row r="1218" customFormat="false" ht="15" hidden="false" customHeight="false" outlineLevel="0" collapsed="false">
      <c r="R1218" s="25" t="str">
        <f aca="true">IF(I1218="","",I1218-TODAY())</f>
        <v/>
      </c>
      <c r="S1218" s="25" t="str">
        <f aca="true">IF(J1218="","",J1218-TODAY())</f>
        <v/>
      </c>
      <c r="T1218" s="24" t="str">
        <f aca="false">IF(A1218="","",IF(OR(AND(R1218&lt;&gt;"",R1218&lt;0),AND(S1218&lt;&gt;"",S1218&lt;0)),"EXPIRED",IF(OR(AND(R1218&lt;&gt;"",R1218&lt;=Settings!$B$15),AND(S1218&lt;&gt;"",S1218&lt;=Settings!$B$15)),"EXPIRING SOON","OK")))</f>
        <v/>
      </c>
      <c r="U1218" s="24" t="str">
        <f aca="false">IF(AND(C1218="Own",Q1218="Active"),COUNTIFS($C$5:C1218,"Own",$Q$5:Q1218,"Active"),"")</f>
        <v/>
      </c>
      <c r="V1218" s="26" t="str">
        <f aca="false">IF(C1218&lt;&gt;"Own","",IF(K1218="Hourly",N1218,(L1218+M1218)/(Settings!$B$11*Settings!$B$12)))</f>
        <v/>
      </c>
    </row>
    <row r="1219" customFormat="false" ht="15" hidden="false" customHeight="false" outlineLevel="0" collapsed="false">
      <c r="R1219" s="25" t="str">
        <f aca="true">IF(I1219="","",I1219-TODAY())</f>
        <v/>
      </c>
      <c r="S1219" s="25" t="str">
        <f aca="true">IF(J1219="","",J1219-TODAY())</f>
        <v/>
      </c>
      <c r="T1219" s="24" t="str">
        <f aca="false">IF(A1219="","",IF(OR(AND(R1219&lt;&gt;"",R1219&lt;0),AND(S1219&lt;&gt;"",S1219&lt;0)),"EXPIRED",IF(OR(AND(R1219&lt;&gt;"",R1219&lt;=Settings!$B$15),AND(S1219&lt;&gt;"",S1219&lt;=Settings!$B$15)),"EXPIRING SOON","OK")))</f>
        <v/>
      </c>
      <c r="U1219" s="24" t="str">
        <f aca="false">IF(AND(C1219="Own",Q1219="Active"),COUNTIFS($C$5:C1219,"Own",$Q$5:Q1219,"Active"),"")</f>
        <v/>
      </c>
      <c r="V1219" s="26" t="str">
        <f aca="false">IF(C1219&lt;&gt;"Own","",IF(K1219="Hourly",N1219,(L1219+M1219)/(Settings!$B$11*Settings!$B$12)))</f>
        <v/>
      </c>
    </row>
    <row r="1220" customFormat="false" ht="15" hidden="false" customHeight="false" outlineLevel="0" collapsed="false">
      <c r="R1220" s="25" t="str">
        <f aca="true">IF(I1220="","",I1220-TODAY())</f>
        <v/>
      </c>
      <c r="S1220" s="25" t="str">
        <f aca="true">IF(J1220="","",J1220-TODAY())</f>
        <v/>
      </c>
      <c r="T1220" s="24" t="str">
        <f aca="false">IF(A1220="","",IF(OR(AND(R1220&lt;&gt;"",R1220&lt;0),AND(S1220&lt;&gt;"",S1220&lt;0)),"EXPIRED",IF(OR(AND(R1220&lt;&gt;"",R1220&lt;=Settings!$B$15),AND(S1220&lt;&gt;"",S1220&lt;=Settings!$B$15)),"EXPIRING SOON","OK")))</f>
        <v/>
      </c>
      <c r="U1220" s="24" t="str">
        <f aca="false">IF(AND(C1220="Own",Q1220="Active"),COUNTIFS($C$5:C1220,"Own",$Q$5:Q1220,"Active"),"")</f>
        <v/>
      </c>
      <c r="V1220" s="26" t="str">
        <f aca="false">IF(C1220&lt;&gt;"Own","",IF(K1220="Hourly",N1220,(L1220+M1220)/(Settings!$B$11*Settings!$B$12)))</f>
        <v/>
      </c>
    </row>
    <row r="1221" customFormat="false" ht="15" hidden="false" customHeight="false" outlineLevel="0" collapsed="false">
      <c r="R1221" s="25" t="str">
        <f aca="true">IF(I1221="","",I1221-TODAY())</f>
        <v/>
      </c>
      <c r="S1221" s="25" t="str">
        <f aca="true">IF(J1221="","",J1221-TODAY())</f>
        <v/>
      </c>
      <c r="T1221" s="24" t="str">
        <f aca="false">IF(A1221="","",IF(OR(AND(R1221&lt;&gt;"",R1221&lt;0),AND(S1221&lt;&gt;"",S1221&lt;0)),"EXPIRED",IF(OR(AND(R1221&lt;&gt;"",R1221&lt;=Settings!$B$15),AND(S1221&lt;&gt;"",S1221&lt;=Settings!$B$15)),"EXPIRING SOON","OK")))</f>
        <v/>
      </c>
      <c r="U1221" s="24" t="str">
        <f aca="false">IF(AND(C1221="Own",Q1221="Active"),COUNTIFS($C$5:C1221,"Own",$Q$5:Q1221,"Active"),"")</f>
        <v/>
      </c>
      <c r="V1221" s="26" t="str">
        <f aca="false">IF(C1221&lt;&gt;"Own","",IF(K1221="Hourly",N1221,(L1221+M1221)/(Settings!$B$11*Settings!$B$12)))</f>
        <v/>
      </c>
    </row>
    <row r="1222" customFormat="false" ht="15" hidden="false" customHeight="false" outlineLevel="0" collapsed="false">
      <c r="R1222" s="25" t="str">
        <f aca="true">IF(I1222="","",I1222-TODAY())</f>
        <v/>
      </c>
      <c r="S1222" s="25" t="str">
        <f aca="true">IF(J1222="","",J1222-TODAY())</f>
        <v/>
      </c>
      <c r="T1222" s="24" t="str">
        <f aca="false">IF(A1222="","",IF(OR(AND(R1222&lt;&gt;"",R1222&lt;0),AND(S1222&lt;&gt;"",S1222&lt;0)),"EXPIRED",IF(OR(AND(R1222&lt;&gt;"",R1222&lt;=Settings!$B$15),AND(S1222&lt;&gt;"",S1222&lt;=Settings!$B$15)),"EXPIRING SOON","OK")))</f>
        <v/>
      </c>
      <c r="U1222" s="24" t="str">
        <f aca="false">IF(AND(C1222="Own",Q1222="Active"),COUNTIFS($C$5:C1222,"Own",$Q$5:Q1222,"Active"),"")</f>
        <v/>
      </c>
      <c r="V1222" s="26" t="str">
        <f aca="false">IF(C1222&lt;&gt;"Own","",IF(K1222="Hourly",N1222,(L1222+M1222)/(Settings!$B$11*Settings!$B$12)))</f>
        <v/>
      </c>
    </row>
    <row r="1223" customFormat="false" ht="15" hidden="false" customHeight="false" outlineLevel="0" collapsed="false">
      <c r="R1223" s="25" t="str">
        <f aca="true">IF(I1223="","",I1223-TODAY())</f>
        <v/>
      </c>
      <c r="S1223" s="25" t="str">
        <f aca="true">IF(J1223="","",J1223-TODAY())</f>
        <v/>
      </c>
      <c r="T1223" s="24" t="str">
        <f aca="false">IF(A1223="","",IF(OR(AND(R1223&lt;&gt;"",R1223&lt;0),AND(S1223&lt;&gt;"",S1223&lt;0)),"EXPIRED",IF(OR(AND(R1223&lt;&gt;"",R1223&lt;=Settings!$B$15),AND(S1223&lt;&gt;"",S1223&lt;=Settings!$B$15)),"EXPIRING SOON","OK")))</f>
        <v/>
      </c>
      <c r="U1223" s="24" t="str">
        <f aca="false">IF(AND(C1223="Own",Q1223="Active"),COUNTIFS($C$5:C1223,"Own",$Q$5:Q1223,"Active"),"")</f>
        <v/>
      </c>
      <c r="V1223" s="26" t="str">
        <f aca="false">IF(C1223&lt;&gt;"Own","",IF(K1223="Hourly",N1223,(L1223+M1223)/(Settings!$B$11*Settings!$B$12)))</f>
        <v/>
      </c>
    </row>
    <row r="1224" customFormat="false" ht="15" hidden="false" customHeight="false" outlineLevel="0" collapsed="false">
      <c r="R1224" s="25" t="str">
        <f aca="true">IF(I1224="","",I1224-TODAY())</f>
        <v/>
      </c>
      <c r="S1224" s="25" t="str">
        <f aca="true">IF(J1224="","",J1224-TODAY())</f>
        <v/>
      </c>
      <c r="T1224" s="24" t="str">
        <f aca="false">IF(A1224="","",IF(OR(AND(R1224&lt;&gt;"",R1224&lt;0),AND(S1224&lt;&gt;"",S1224&lt;0)),"EXPIRED",IF(OR(AND(R1224&lt;&gt;"",R1224&lt;=Settings!$B$15),AND(S1224&lt;&gt;"",S1224&lt;=Settings!$B$15)),"EXPIRING SOON","OK")))</f>
        <v/>
      </c>
      <c r="U1224" s="24" t="str">
        <f aca="false">IF(AND(C1224="Own",Q1224="Active"),COUNTIFS($C$5:C1224,"Own",$Q$5:Q1224,"Active"),"")</f>
        <v/>
      </c>
      <c r="V1224" s="26" t="str">
        <f aca="false">IF(C1224&lt;&gt;"Own","",IF(K1224="Hourly",N1224,(L1224+M1224)/(Settings!$B$11*Settings!$B$12)))</f>
        <v/>
      </c>
    </row>
    <row r="1225" customFormat="false" ht="15" hidden="false" customHeight="false" outlineLevel="0" collapsed="false">
      <c r="R1225" s="25" t="str">
        <f aca="true">IF(I1225="","",I1225-TODAY())</f>
        <v/>
      </c>
      <c r="S1225" s="25" t="str">
        <f aca="true">IF(J1225="","",J1225-TODAY())</f>
        <v/>
      </c>
      <c r="T1225" s="24" t="str">
        <f aca="false">IF(A1225="","",IF(OR(AND(R1225&lt;&gt;"",R1225&lt;0),AND(S1225&lt;&gt;"",S1225&lt;0)),"EXPIRED",IF(OR(AND(R1225&lt;&gt;"",R1225&lt;=Settings!$B$15),AND(S1225&lt;&gt;"",S1225&lt;=Settings!$B$15)),"EXPIRING SOON","OK")))</f>
        <v/>
      </c>
      <c r="U1225" s="24" t="str">
        <f aca="false">IF(AND(C1225="Own",Q1225="Active"),COUNTIFS($C$5:C1225,"Own",$Q$5:Q1225,"Active"),"")</f>
        <v/>
      </c>
      <c r="V1225" s="26" t="str">
        <f aca="false">IF(C1225&lt;&gt;"Own","",IF(K1225="Hourly",N1225,(L1225+M1225)/(Settings!$B$11*Settings!$B$12)))</f>
        <v/>
      </c>
    </row>
    <row r="1226" customFormat="false" ht="15" hidden="false" customHeight="false" outlineLevel="0" collapsed="false">
      <c r="R1226" s="25" t="str">
        <f aca="true">IF(I1226="","",I1226-TODAY())</f>
        <v/>
      </c>
      <c r="S1226" s="25" t="str">
        <f aca="true">IF(J1226="","",J1226-TODAY())</f>
        <v/>
      </c>
      <c r="T1226" s="24" t="str">
        <f aca="false">IF(A1226="","",IF(OR(AND(R1226&lt;&gt;"",R1226&lt;0),AND(S1226&lt;&gt;"",S1226&lt;0)),"EXPIRED",IF(OR(AND(R1226&lt;&gt;"",R1226&lt;=Settings!$B$15),AND(S1226&lt;&gt;"",S1226&lt;=Settings!$B$15)),"EXPIRING SOON","OK")))</f>
        <v/>
      </c>
      <c r="U1226" s="24" t="str">
        <f aca="false">IF(AND(C1226="Own",Q1226="Active"),COUNTIFS($C$5:C1226,"Own",$Q$5:Q1226,"Active"),"")</f>
        <v/>
      </c>
      <c r="V1226" s="26" t="str">
        <f aca="false">IF(C1226&lt;&gt;"Own","",IF(K1226="Hourly",N1226,(L1226+M1226)/(Settings!$B$11*Settings!$B$12)))</f>
        <v/>
      </c>
    </row>
    <row r="1227" customFormat="false" ht="15" hidden="false" customHeight="false" outlineLevel="0" collapsed="false">
      <c r="R1227" s="25" t="str">
        <f aca="true">IF(I1227="","",I1227-TODAY())</f>
        <v/>
      </c>
      <c r="S1227" s="25" t="str">
        <f aca="true">IF(J1227="","",J1227-TODAY())</f>
        <v/>
      </c>
      <c r="T1227" s="24" t="str">
        <f aca="false">IF(A1227="","",IF(OR(AND(R1227&lt;&gt;"",R1227&lt;0),AND(S1227&lt;&gt;"",S1227&lt;0)),"EXPIRED",IF(OR(AND(R1227&lt;&gt;"",R1227&lt;=Settings!$B$15),AND(S1227&lt;&gt;"",S1227&lt;=Settings!$B$15)),"EXPIRING SOON","OK")))</f>
        <v/>
      </c>
      <c r="U1227" s="24" t="str">
        <f aca="false">IF(AND(C1227="Own",Q1227="Active"),COUNTIFS($C$5:C1227,"Own",$Q$5:Q1227,"Active"),"")</f>
        <v/>
      </c>
      <c r="V1227" s="26" t="str">
        <f aca="false">IF(C1227&lt;&gt;"Own","",IF(K1227="Hourly",N1227,(L1227+M1227)/(Settings!$B$11*Settings!$B$12)))</f>
        <v/>
      </c>
    </row>
    <row r="1228" customFormat="false" ht="15" hidden="false" customHeight="false" outlineLevel="0" collapsed="false">
      <c r="R1228" s="25" t="str">
        <f aca="true">IF(I1228="","",I1228-TODAY())</f>
        <v/>
      </c>
      <c r="S1228" s="25" t="str">
        <f aca="true">IF(J1228="","",J1228-TODAY())</f>
        <v/>
      </c>
      <c r="T1228" s="24" t="str">
        <f aca="false">IF(A1228="","",IF(OR(AND(R1228&lt;&gt;"",R1228&lt;0),AND(S1228&lt;&gt;"",S1228&lt;0)),"EXPIRED",IF(OR(AND(R1228&lt;&gt;"",R1228&lt;=Settings!$B$15),AND(S1228&lt;&gt;"",S1228&lt;=Settings!$B$15)),"EXPIRING SOON","OK")))</f>
        <v/>
      </c>
      <c r="U1228" s="24" t="str">
        <f aca="false">IF(AND(C1228="Own",Q1228="Active"),COUNTIFS($C$5:C1228,"Own",$Q$5:Q1228,"Active"),"")</f>
        <v/>
      </c>
      <c r="V1228" s="26" t="str">
        <f aca="false">IF(C1228&lt;&gt;"Own","",IF(K1228="Hourly",N1228,(L1228+M1228)/(Settings!$B$11*Settings!$B$12)))</f>
        <v/>
      </c>
    </row>
    <row r="1229" customFormat="false" ht="15" hidden="false" customHeight="false" outlineLevel="0" collapsed="false">
      <c r="R1229" s="25" t="str">
        <f aca="true">IF(I1229="","",I1229-TODAY())</f>
        <v/>
      </c>
      <c r="S1229" s="25" t="str">
        <f aca="true">IF(J1229="","",J1229-TODAY())</f>
        <v/>
      </c>
      <c r="T1229" s="24" t="str">
        <f aca="false">IF(A1229="","",IF(OR(AND(R1229&lt;&gt;"",R1229&lt;0),AND(S1229&lt;&gt;"",S1229&lt;0)),"EXPIRED",IF(OR(AND(R1229&lt;&gt;"",R1229&lt;=Settings!$B$15),AND(S1229&lt;&gt;"",S1229&lt;=Settings!$B$15)),"EXPIRING SOON","OK")))</f>
        <v/>
      </c>
      <c r="U1229" s="24" t="str">
        <f aca="false">IF(AND(C1229="Own",Q1229="Active"),COUNTIFS($C$5:C1229,"Own",$Q$5:Q1229,"Active"),"")</f>
        <v/>
      </c>
      <c r="V1229" s="26" t="str">
        <f aca="false">IF(C1229&lt;&gt;"Own","",IF(K1229="Hourly",N1229,(L1229+M1229)/(Settings!$B$11*Settings!$B$12)))</f>
        <v/>
      </c>
    </row>
    <row r="1230" customFormat="false" ht="15" hidden="false" customHeight="false" outlineLevel="0" collapsed="false">
      <c r="R1230" s="25" t="str">
        <f aca="true">IF(I1230="","",I1230-TODAY())</f>
        <v/>
      </c>
      <c r="S1230" s="25" t="str">
        <f aca="true">IF(J1230="","",J1230-TODAY())</f>
        <v/>
      </c>
      <c r="T1230" s="24" t="str">
        <f aca="false">IF(A1230="","",IF(OR(AND(R1230&lt;&gt;"",R1230&lt;0),AND(S1230&lt;&gt;"",S1230&lt;0)),"EXPIRED",IF(OR(AND(R1230&lt;&gt;"",R1230&lt;=Settings!$B$15),AND(S1230&lt;&gt;"",S1230&lt;=Settings!$B$15)),"EXPIRING SOON","OK")))</f>
        <v/>
      </c>
      <c r="U1230" s="24" t="str">
        <f aca="false">IF(AND(C1230="Own",Q1230="Active"),COUNTIFS($C$5:C1230,"Own",$Q$5:Q1230,"Active"),"")</f>
        <v/>
      </c>
      <c r="V1230" s="26" t="str">
        <f aca="false">IF(C1230&lt;&gt;"Own","",IF(K1230="Hourly",N1230,(L1230+M1230)/(Settings!$B$11*Settings!$B$12)))</f>
        <v/>
      </c>
    </row>
    <row r="1231" customFormat="false" ht="15" hidden="false" customHeight="false" outlineLevel="0" collapsed="false">
      <c r="R1231" s="25" t="str">
        <f aca="true">IF(I1231="","",I1231-TODAY())</f>
        <v/>
      </c>
      <c r="S1231" s="25" t="str">
        <f aca="true">IF(J1231="","",J1231-TODAY())</f>
        <v/>
      </c>
      <c r="T1231" s="24" t="str">
        <f aca="false">IF(A1231="","",IF(OR(AND(R1231&lt;&gt;"",R1231&lt;0),AND(S1231&lt;&gt;"",S1231&lt;0)),"EXPIRED",IF(OR(AND(R1231&lt;&gt;"",R1231&lt;=Settings!$B$15),AND(S1231&lt;&gt;"",S1231&lt;=Settings!$B$15)),"EXPIRING SOON","OK")))</f>
        <v/>
      </c>
      <c r="U1231" s="24" t="str">
        <f aca="false">IF(AND(C1231="Own",Q1231="Active"),COUNTIFS($C$5:C1231,"Own",$Q$5:Q1231,"Active"),"")</f>
        <v/>
      </c>
      <c r="V1231" s="26" t="str">
        <f aca="false">IF(C1231&lt;&gt;"Own","",IF(K1231="Hourly",N1231,(L1231+M1231)/(Settings!$B$11*Settings!$B$12)))</f>
        <v/>
      </c>
    </row>
    <row r="1232" customFormat="false" ht="15" hidden="false" customHeight="false" outlineLevel="0" collapsed="false">
      <c r="R1232" s="25" t="str">
        <f aca="true">IF(I1232="","",I1232-TODAY())</f>
        <v/>
      </c>
      <c r="S1232" s="25" t="str">
        <f aca="true">IF(J1232="","",J1232-TODAY())</f>
        <v/>
      </c>
      <c r="T1232" s="24" t="str">
        <f aca="false">IF(A1232="","",IF(OR(AND(R1232&lt;&gt;"",R1232&lt;0),AND(S1232&lt;&gt;"",S1232&lt;0)),"EXPIRED",IF(OR(AND(R1232&lt;&gt;"",R1232&lt;=Settings!$B$15),AND(S1232&lt;&gt;"",S1232&lt;=Settings!$B$15)),"EXPIRING SOON","OK")))</f>
        <v/>
      </c>
      <c r="U1232" s="24" t="str">
        <f aca="false">IF(AND(C1232="Own",Q1232="Active"),COUNTIFS($C$5:C1232,"Own",$Q$5:Q1232,"Active"),"")</f>
        <v/>
      </c>
      <c r="V1232" s="26" t="str">
        <f aca="false">IF(C1232&lt;&gt;"Own","",IF(K1232="Hourly",N1232,(L1232+M1232)/(Settings!$B$11*Settings!$B$12)))</f>
        <v/>
      </c>
    </row>
    <row r="1233" customFormat="false" ht="15" hidden="false" customHeight="false" outlineLevel="0" collapsed="false">
      <c r="R1233" s="25" t="str">
        <f aca="true">IF(I1233="","",I1233-TODAY())</f>
        <v/>
      </c>
      <c r="S1233" s="25" t="str">
        <f aca="true">IF(J1233="","",J1233-TODAY())</f>
        <v/>
      </c>
      <c r="T1233" s="24" t="str">
        <f aca="false">IF(A1233="","",IF(OR(AND(R1233&lt;&gt;"",R1233&lt;0),AND(S1233&lt;&gt;"",S1233&lt;0)),"EXPIRED",IF(OR(AND(R1233&lt;&gt;"",R1233&lt;=Settings!$B$15),AND(S1233&lt;&gt;"",S1233&lt;=Settings!$B$15)),"EXPIRING SOON","OK")))</f>
        <v/>
      </c>
      <c r="U1233" s="24" t="str">
        <f aca="false">IF(AND(C1233="Own",Q1233="Active"),COUNTIFS($C$5:C1233,"Own",$Q$5:Q1233,"Active"),"")</f>
        <v/>
      </c>
      <c r="V1233" s="26" t="str">
        <f aca="false">IF(C1233&lt;&gt;"Own","",IF(K1233="Hourly",N1233,(L1233+M1233)/(Settings!$B$11*Settings!$B$12)))</f>
        <v/>
      </c>
    </row>
    <row r="1234" customFormat="false" ht="15" hidden="false" customHeight="false" outlineLevel="0" collapsed="false">
      <c r="R1234" s="25" t="str">
        <f aca="true">IF(I1234="","",I1234-TODAY())</f>
        <v/>
      </c>
      <c r="S1234" s="25" t="str">
        <f aca="true">IF(J1234="","",J1234-TODAY())</f>
        <v/>
      </c>
      <c r="T1234" s="24" t="str">
        <f aca="false">IF(A1234="","",IF(OR(AND(R1234&lt;&gt;"",R1234&lt;0),AND(S1234&lt;&gt;"",S1234&lt;0)),"EXPIRED",IF(OR(AND(R1234&lt;&gt;"",R1234&lt;=Settings!$B$15),AND(S1234&lt;&gt;"",S1234&lt;=Settings!$B$15)),"EXPIRING SOON","OK")))</f>
        <v/>
      </c>
      <c r="U1234" s="24" t="str">
        <f aca="false">IF(AND(C1234="Own",Q1234="Active"),COUNTIFS($C$5:C1234,"Own",$Q$5:Q1234,"Active"),"")</f>
        <v/>
      </c>
      <c r="V1234" s="26" t="str">
        <f aca="false">IF(C1234&lt;&gt;"Own","",IF(K1234="Hourly",N1234,(L1234+M1234)/(Settings!$B$11*Settings!$B$12)))</f>
        <v/>
      </c>
    </row>
    <row r="1235" customFormat="false" ht="15" hidden="false" customHeight="false" outlineLevel="0" collapsed="false">
      <c r="R1235" s="25" t="str">
        <f aca="true">IF(I1235="","",I1235-TODAY())</f>
        <v/>
      </c>
      <c r="S1235" s="25" t="str">
        <f aca="true">IF(J1235="","",J1235-TODAY())</f>
        <v/>
      </c>
      <c r="T1235" s="24" t="str">
        <f aca="false">IF(A1235="","",IF(OR(AND(R1235&lt;&gt;"",R1235&lt;0),AND(S1235&lt;&gt;"",S1235&lt;0)),"EXPIRED",IF(OR(AND(R1235&lt;&gt;"",R1235&lt;=Settings!$B$15),AND(S1235&lt;&gt;"",S1235&lt;=Settings!$B$15)),"EXPIRING SOON","OK")))</f>
        <v/>
      </c>
      <c r="U1235" s="24" t="str">
        <f aca="false">IF(AND(C1235="Own",Q1235="Active"),COUNTIFS($C$5:C1235,"Own",$Q$5:Q1235,"Active"),"")</f>
        <v/>
      </c>
      <c r="V1235" s="26" t="str">
        <f aca="false">IF(C1235&lt;&gt;"Own","",IF(K1235="Hourly",N1235,(L1235+M1235)/(Settings!$B$11*Settings!$B$12)))</f>
        <v/>
      </c>
    </row>
    <row r="1236" customFormat="false" ht="15" hidden="false" customHeight="false" outlineLevel="0" collapsed="false">
      <c r="R1236" s="25" t="str">
        <f aca="true">IF(I1236="","",I1236-TODAY())</f>
        <v/>
      </c>
      <c r="S1236" s="25" t="str">
        <f aca="true">IF(J1236="","",J1236-TODAY())</f>
        <v/>
      </c>
      <c r="T1236" s="24" t="str">
        <f aca="false">IF(A1236="","",IF(OR(AND(R1236&lt;&gt;"",R1236&lt;0),AND(S1236&lt;&gt;"",S1236&lt;0)),"EXPIRED",IF(OR(AND(R1236&lt;&gt;"",R1236&lt;=Settings!$B$15),AND(S1236&lt;&gt;"",S1236&lt;=Settings!$B$15)),"EXPIRING SOON","OK")))</f>
        <v/>
      </c>
      <c r="U1236" s="24" t="str">
        <f aca="false">IF(AND(C1236="Own",Q1236="Active"),COUNTIFS($C$5:C1236,"Own",$Q$5:Q1236,"Active"),"")</f>
        <v/>
      </c>
      <c r="V1236" s="26" t="str">
        <f aca="false">IF(C1236&lt;&gt;"Own","",IF(K1236="Hourly",N1236,(L1236+M1236)/(Settings!$B$11*Settings!$B$12)))</f>
        <v/>
      </c>
    </row>
    <row r="1237" customFormat="false" ht="15" hidden="false" customHeight="false" outlineLevel="0" collapsed="false">
      <c r="R1237" s="25" t="str">
        <f aca="true">IF(I1237="","",I1237-TODAY())</f>
        <v/>
      </c>
      <c r="S1237" s="25" t="str">
        <f aca="true">IF(J1237="","",J1237-TODAY())</f>
        <v/>
      </c>
      <c r="T1237" s="24" t="str">
        <f aca="false">IF(A1237="","",IF(OR(AND(R1237&lt;&gt;"",R1237&lt;0),AND(S1237&lt;&gt;"",S1237&lt;0)),"EXPIRED",IF(OR(AND(R1237&lt;&gt;"",R1237&lt;=Settings!$B$15),AND(S1237&lt;&gt;"",S1237&lt;=Settings!$B$15)),"EXPIRING SOON","OK")))</f>
        <v/>
      </c>
      <c r="U1237" s="24" t="str">
        <f aca="false">IF(AND(C1237="Own",Q1237="Active"),COUNTIFS($C$5:C1237,"Own",$Q$5:Q1237,"Active"),"")</f>
        <v/>
      </c>
      <c r="V1237" s="26" t="str">
        <f aca="false">IF(C1237&lt;&gt;"Own","",IF(K1237="Hourly",N1237,(L1237+M1237)/(Settings!$B$11*Settings!$B$12)))</f>
        <v/>
      </c>
    </row>
    <row r="1238" customFormat="false" ht="15" hidden="false" customHeight="false" outlineLevel="0" collapsed="false">
      <c r="R1238" s="25" t="str">
        <f aca="true">IF(I1238="","",I1238-TODAY())</f>
        <v/>
      </c>
      <c r="S1238" s="25" t="str">
        <f aca="true">IF(J1238="","",J1238-TODAY())</f>
        <v/>
      </c>
      <c r="T1238" s="24" t="str">
        <f aca="false">IF(A1238="","",IF(OR(AND(R1238&lt;&gt;"",R1238&lt;0),AND(S1238&lt;&gt;"",S1238&lt;0)),"EXPIRED",IF(OR(AND(R1238&lt;&gt;"",R1238&lt;=Settings!$B$15),AND(S1238&lt;&gt;"",S1238&lt;=Settings!$B$15)),"EXPIRING SOON","OK")))</f>
        <v/>
      </c>
      <c r="U1238" s="24" t="str">
        <f aca="false">IF(AND(C1238="Own",Q1238="Active"),COUNTIFS($C$5:C1238,"Own",$Q$5:Q1238,"Active"),"")</f>
        <v/>
      </c>
      <c r="V1238" s="26" t="str">
        <f aca="false">IF(C1238&lt;&gt;"Own","",IF(K1238="Hourly",N1238,(L1238+M1238)/(Settings!$B$11*Settings!$B$12)))</f>
        <v/>
      </c>
    </row>
    <row r="1239" customFormat="false" ht="15" hidden="false" customHeight="false" outlineLevel="0" collapsed="false">
      <c r="R1239" s="25" t="str">
        <f aca="true">IF(I1239="","",I1239-TODAY())</f>
        <v/>
      </c>
      <c r="S1239" s="25" t="str">
        <f aca="true">IF(J1239="","",J1239-TODAY())</f>
        <v/>
      </c>
      <c r="T1239" s="24" t="str">
        <f aca="false">IF(A1239="","",IF(OR(AND(R1239&lt;&gt;"",R1239&lt;0),AND(S1239&lt;&gt;"",S1239&lt;0)),"EXPIRED",IF(OR(AND(R1239&lt;&gt;"",R1239&lt;=Settings!$B$15),AND(S1239&lt;&gt;"",S1239&lt;=Settings!$B$15)),"EXPIRING SOON","OK")))</f>
        <v/>
      </c>
      <c r="U1239" s="24" t="str">
        <f aca="false">IF(AND(C1239="Own",Q1239="Active"),COUNTIFS($C$5:C1239,"Own",$Q$5:Q1239,"Active"),"")</f>
        <v/>
      </c>
      <c r="V1239" s="26" t="str">
        <f aca="false">IF(C1239&lt;&gt;"Own","",IF(K1239="Hourly",N1239,(L1239+M1239)/(Settings!$B$11*Settings!$B$12)))</f>
        <v/>
      </c>
    </row>
    <row r="1240" customFormat="false" ht="15" hidden="false" customHeight="false" outlineLevel="0" collapsed="false">
      <c r="R1240" s="25" t="str">
        <f aca="true">IF(I1240="","",I1240-TODAY())</f>
        <v/>
      </c>
      <c r="S1240" s="25" t="str">
        <f aca="true">IF(J1240="","",J1240-TODAY())</f>
        <v/>
      </c>
      <c r="T1240" s="24" t="str">
        <f aca="false">IF(A1240="","",IF(OR(AND(R1240&lt;&gt;"",R1240&lt;0),AND(S1240&lt;&gt;"",S1240&lt;0)),"EXPIRED",IF(OR(AND(R1240&lt;&gt;"",R1240&lt;=Settings!$B$15),AND(S1240&lt;&gt;"",S1240&lt;=Settings!$B$15)),"EXPIRING SOON","OK")))</f>
        <v/>
      </c>
      <c r="U1240" s="24" t="str">
        <f aca="false">IF(AND(C1240="Own",Q1240="Active"),COUNTIFS($C$5:C1240,"Own",$Q$5:Q1240,"Active"),"")</f>
        <v/>
      </c>
      <c r="V1240" s="26" t="str">
        <f aca="false">IF(C1240&lt;&gt;"Own","",IF(K1240="Hourly",N1240,(L1240+M1240)/(Settings!$B$11*Settings!$B$12)))</f>
        <v/>
      </c>
    </row>
    <row r="1241" customFormat="false" ht="15" hidden="false" customHeight="false" outlineLevel="0" collapsed="false">
      <c r="R1241" s="25" t="str">
        <f aca="true">IF(I1241="","",I1241-TODAY())</f>
        <v/>
      </c>
      <c r="S1241" s="25" t="str">
        <f aca="true">IF(J1241="","",J1241-TODAY())</f>
        <v/>
      </c>
      <c r="T1241" s="24" t="str">
        <f aca="false">IF(A1241="","",IF(OR(AND(R1241&lt;&gt;"",R1241&lt;0),AND(S1241&lt;&gt;"",S1241&lt;0)),"EXPIRED",IF(OR(AND(R1241&lt;&gt;"",R1241&lt;=Settings!$B$15),AND(S1241&lt;&gt;"",S1241&lt;=Settings!$B$15)),"EXPIRING SOON","OK")))</f>
        <v/>
      </c>
      <c r="U1241" s="24" t="str">
        <f aca="false">IF(AND(C1241="Own",Q1241="Active"),COUNTIFS($C$5:C1241,"Own",$Q$5:Q1241,"Active"),"")</f>
        <v/>
      </c>
      <c r="V1241" s="26" t="str">
        <f aca="false">IF(C1241&lt;&gt;"Own","",IF(K1241="Hourly",N1241,(L1241+M1241)/(Settings!$B$11*Settings!$B$12)))</f>
        <v/>
      </c>
    </row>
    <row r="1242" customFormat="false" ht="15" hidden="false" customHeight="false" outlineLevel="0" collapsed="false">
      <c r="R1242" s="25" t="str">
        <f aca="true">IF(I1242="","",I1242-TODAY())</f>
        <v/>
      </c>
      <c r="S1242" s="25" t="str">
        <f aca="true">IF(J1242="","",J1242-TODAY())</f>
        <v/>
      </c>
      <c r="T1242" s="24" t="str">
        <f aca="false">IF(A1242="","",IF(OR(AND(R1242&lt;&gt;"",R1242&lt;0),AND(S1242&lt;&gt;"",S1242&lt;0)),"EXPIRED",IF(OR(AND(R1242&lt;&gt;"",R1242&lt;=Settings!$B$15),AND(S1242&lt;&gt;"",S1242&lt;=Settings!$B$15)),"EXPIRING SOON","OK")))</f>
        <v/>
      </c>
      <c r="U1242" s="24" t="str">
        <f aca="false">IF(AND(C1242="Own",Q1242="Active"),COUNTIFS($C$5:C1242,"Own",$Q$5:Q1242,"Active"),"")</f>
        <v/>
      </c>
      <c r="V1242" s="26" t="str">
        <f aca="false">IF(C1242&lt;&gt;"Own","",IF(K1242="Hourly",N1242,(L1242+M1242)/(Settings!$B$11*Settings!$B$12)))</f>
        <v/>
      </c>
    </row>
    <row r="1243" customFormat="false" ht="15" hidden="false" customHeight="false" outlineLevel="0" collapsed="false">
      <c r="R1243" s="25" t="str">
        <f aca="true">IF(I1243="","",I1243-TODAY())</f>
        <v/>
      </c>
      <c r="S1243" s="25" t="str">
        <f aca="true">IF(J1243="","",J1243-TODAY())</f>
        <v/>
      </c>
      <c r="T1243" s="24" t="str">
        <f aca="false">IF(A1243="","",IF(OR(AND(R1243&lt;&gt;"",R1243&lt;0),AND(S1243&lt;&gt;"",S1243&lt;0)),"EXPIRED",IF(OR(AND(R1243&lt;&gt;"",R1243&lt;=Settings!$B$15),AND(S1243&lt;&gt;"",S1243&lt;=Settings!$B$15)),"EXPIRING SOON","OK")))</f>
        <v/>
      </c>
      <c r="U1243" s="24" t="str">
        <f aca="false">IF(AND(C1243="Own",Q1243="Active"),COUNTIFS($C$5:C1243,"Own",$Q$5:Q1243,"Active"),"")</f>
        <v/>
      </c>
      <c r="V1243" s="26" t="str">
        <f aca="false">IF(C1243&lt;&gt;"Own","",IF(K1243="Hourly",N1243,(L1243+M1243)/(Settings!$B$11*Settings!$B$12)))</f>
        <v/>
      </c>
    </row>
    <row r="1244" customFormat="false" ht="15" hidden="false" customHeight="false" outlineLevel="0" collapsed="false">
      <c r="R1244" s="25" t="str">
        <f aca="true">IF(I1244="","",I1244-TODAY())</f>
        <v/>
      </c>
      <c r="S1244" s="25" t="str">
        <f aca="true">IF(J1244="","",J1244-TODAY())</f>
        <v/>
      </c>
      <c r="T1244" s="24" t="str">
        <f aca="false">IF(A1244="","",IF(OR(AND(R1244&lt;&gt;"",R1244&lt;0),AND(S1244&lt;&gt;"",S1244&lt;0)),"EXPIRED",IF(OR(AND(R1244&lt;&gt;"",R1244&lt;=Settings!$B$15),AND(S1244&lt;&gt;"",S1244&lt;=Settings!$B$15)),"EXPIRING SOON","OK")))</f>
        <v/>
      </c>
      <c r="U1244" s="24" t="str">
        <f aca="false">IF(AND(C1244="Own",Q1244="Active"),COUNTIFS($C$5:C1244,"Own",$Q$5:Q1244,"Active"),"")</f>
        <v/>
      </c>
      <c r="V1244" s="26" t="str">
        <f aca="false">IF(C1244&lt;&gt;"Own","",IF(K1244="Hourly",N1244,(L1244+M1244)/(Settings!$B$11*Settings!$B$12)))</f>
        <v/>
      </c>
    </row>
    <row r="1245" customFormat="false" ht="15" hidden="false" customHeight="false" outlineLevel="0" collapsed="false">
      <c r="R1245" s="25" t="str">
        <f aca="true">IF(I1245="","",I1245-TODAY())</f>
        <v/>
      </c>
      <c r="S1245" s="25" t="str">
        <f aca="true">IF(J1245="","",J1245-TODAY())</f>
        <v/>
      </c>
      <c r="T1245" s="24" t="str">
        <f aca="false">IF(A1245="","",IF(OR(AND(R1245&lt;&gt;"",R1245&lt;0),AND(S1245&lt;&gt;"",S1245&lt;0)),"EXPIRED",IF(OR(AND(R1245&lt;&gt;"",R1245&lt;=Settings!$B$15),AND(S1245&lt;&gt;"",S1245&lt;=Settings!$B$15)),"EXPIRING SOON","OK")))</f>
        <v/>
      </c>
      <c r="U1245" s="24" t="str">
        <f aca="false">IF(AND(C1245="Own",Q1245="Active"),COUNTIFS($C$5:C1245,"Own",$Q$5:Q1245,"Active"),"")</f>
        <v/>
      </c>
      <c r="V1245" s="26" t="str">
        <f aca="false">IF(C1245&lt;&gt;"Own","",IF(K1245="Hourly",N1245,(L1245+M1245)/(Settings!$B$11*Settings!$B$12)))</f>
        <v/>
      </c>
    </row>
    <row r="1246" customFormat="false" ht="15" hidden="false" customHeight="false" outlineLevel="0" collapsed="false">
      <c r="R1246" s="25" t="str">
        <f aca="true">IF(I1246="","",I1246-TODAY())</f>
        <v/>
      </c>
      <c r="S1246" s="25" t="str">
        <f aca="true">IF(J1246="","",J1246-TODAY())</f>
        <v/>
      </c>
      <c r="T1246" s="24" t="str">
        <f aca="false">IF(A1246="","",IF(OR(AND(R1246&lt;&gt;"",R1246&lt;0),AND(S1246&lt;&gt;"",S1246&lt;0)),"EXPIRED",IF(OR(AND(R1246&lt;&gt;"",R1246&lt;=Settings!$B$15),AND(S1246&lt;&gt;"",S1246&lt;=Settings!$B$15)),"EXPIRING SOON","OK")))</f>
        <v/>
      </c>
      <c r="U1246" s="24" t="str">
        <f aca="false">IF(AND(C1246="Own",Q1246="Active"),COUNTIFS($C$5:C1246,"Own",$Q$5:Q1246,"Active"),"")</f>
        <v/>
      </c>
      <c r="V1246" s="26" t="str">
        <f aca="false">IF(C1246&lt;&gt;"Own","",IF(K1246="Hourly",N1246,(L1246+M1246)/(Settings!$B$11*Settings!$B$12)))</f>
        <v/>
      </c>
    </row>
    <row r="1247" customFormat="false" ht="15" hidden="false" customHeight="false" outlineLevel="0" collapsed="false">
      <c r="R1247" s="25" t="str">
        <f aca="true">IF(I1247="","",I1247-TODAY())</f>
        <v/>
      </c>
      <c r="S1247" s="25" t="str">
        <f aca="true">IF(J1247="","",J1247-TODAY())</f>
        <v/>
      </c>
      <c r="T1247" s="24" t="str">
        <f aca="false">IF(A1247="","",IF(OR(AND(R1247&lt;&gt;"",R1247&lt;0),AND(S1247&lt;&gt;"",S1247&lt;0)),"EXPIRED",IF(OR(AND(R1247&lt;&gt;"",R1247&lt;=Settings!$B$15),AND(S1247&lt;&gt;"",S1247&lt;=Settings!$B$15)),"EXPIRING SOON","OK")))</f>
        <v/>
      </c>
      <c r="U1247" s="24" t="str">
        <f aca="false">IF(AND(C1247="Own",Q1247="Active"),COUNTIFS($C$5:C1247,"Own",$Q$5:Q1247,"Active"),"")</f>
        <v/>
      </c>
      <c r="V1247" s="26" t="str">
        <f aca="false">IF(C1247&lt;&gt;"Own","",IF(K1247="Hourly",N1247,(L1247+M1247)/(Settings!$B$11*Settings!$B$12)))</f>
        <v/>
      </c>
    </row>
    <row r="1248" customFormat="false" ht="15" hidden="false" customHeight="false" outlineLevel="0" collapsed="false">
      <c r="R1248" s="25" t="str">
        <f aca="true">IF(I1248="","",I1248-TODAY())</f>
        <v/>
      </c>
      <c r="S1248" s="25" t="str">
        <f aca="true">IF(J1248="","",J1248-TODAY())</f>
        <v/>
      </c>
      <c r="T1248" s="24" t="str">
        <f aca="false">IF(A1248="","",IF(OR(AND(R1248&lt;&gt;"",R1248&lt;0),AND(S1248&lt;&gt;"",S1248&lt;0)),"EXPIRED",IF(OR(AND(R1248&lt;&gt;"",R1248&lt;=Settings!$B$15),AND(S1248&lt;&gt;"",S1248&lt;=Settings!$B$15)),"EXPIRING SOON","OK")))</f>
        <v/>
      </c>
      <c r="U1248" s="24" t="str">
        <f aca="false">IF(AND(C1248="Own",Q1248="Active"),COUNTIFS($C$5:C1248,"Own",$Q$5:Q1248,"Active"),"")</f>
        <v/>
      </c>
      <c r="V1248" s="26" t="str">
        <f aca="false">IF(C1248&lt;&gt;"Own","",IF(K1248="Hourly",N1248,(L1248+M1248)/(Settings!$B$11*Settings!$B$12)))</f>
        <v/>
      </c>
    </row>
    <row r="1249" customFormat="false" ht="15" hidden="false" customHeight="false" outlineLevel="0" collapsed="false">
      <c r="R1249" s="25" t="str">
        <f aca="true">IF(I1249="","",I1249-TODAY())</f>
        <v/>
      </c>
      <c r="S1249" s="25" t="str">
        <f aca="true">IF(J1249="","",J1249-TODAY())</f>
        <v/>
      </c>
      <c r="T1249" s="24" t="str">
        <f aca="false">IF(A1249="","",IF(OR(AND(R1249&lt;&gt;"",R1249&lt;0),AND(S1249&lt;&gt;"",S1249&lt;0)),"EXPIRED",IF(OR(AND(R1249&lt;&gt;"",R1249&lt;=Settings!$B$15),AND(S1249&lt;&gt;"",S1249&lt;=Settings!$B$15)),"EXPIRING SOON","OK")))</f>
        <v/>
      </c>
      <c r="U1249" s="24" t="str">
        <f aca="false">IF(AND(C1249="Own",Q1249="Active"),COUNTIFS($C$5:C1249,"Own",$Q$5:Q1249,"Active"),"")</f>
        <v/>
      </c>
      <c r="V1249" s="26" t="str">
        <f aca="false">IF(C1249&lt;&gt;"Own","",IF(K1249="Hourly",N1249,(L1249+M1249)/(Settings!$B$11*Settings!$B$12)))</f>
        <v/>
      </c>
    </row>
    <row r="1250" customFormat="false" ht="15" hidden="false" customHeight="false" outlineLevel="0" collapsed="false">
      <c r="R1250" s="25" t="str">
        <f aca="true">IF(I1250="","",I1250-TODAY())</f>
        <v/>
      </c>
      <c r="S1250" s="25" t="str">
        <f aca="true">IF(J1250="","",J1250-TODAY())</f>
        <v/>
      </c>
      <c r="T1250" s="24" t="str">
        <f aca="false">IF(A1250="","",IF(OR(AND(R1250&lt;&gt;"",R1250&lt;0),AND(S1250&lt;&gt;"",S1250&lt;0)),"EXPIRED",IF(OR(AND(R1250&lt;&gt;"",R1250&lt;=Settings!$B$15),AND(S1250&lt;&gt;"",S1250&lt;=Settings!$B$15)),"EXPIRING SOON","OK")))</f>
        <v/>
      </c>
      <c r="U1250" s="24" t="str">
        <f aca="false">IF(AND(C1250="Own",Q1250="Active"),COUNTIFS($C$5:C1250,"Own",$Q$5:Q1250,"Active"),"")</f>
        <v/>
      </c>
      <c r="V1250" s="26" t="str">
        <f aca="false">IF(C1250&lt;&gt;"Own","",IF(K1250="Hourly",N1250,(L1250+M1250)/(Settings!$B$11*Settings!$B$12)))</f>
        <v/>
      </c>
    </row>
    <row r="1251" customFormat="false" ht="15" hidden="false" customHeight="false" outlineLevel="0" collapsed="false">
      <c r="R1251" s="25" t="str">
        <f aca="true">IF(I1251="","",I1251-TODAY())</f>
        <v/>
      </c>
      <c r="S1251" s="25" t="str">
        <f aca="true">IF(J1251="","",J1251-TODAY())</f>
        <v/>
      </c>
      <c r="T1251" s="24" t="str">
        <f aca="false">IF(A1251="","",IF(OR(AND(R1251&lt;&gt;"",R1251&lt;0),AND(S1251&lt;&gt;"",S1251&lt;0)),"EXPIRED",IF(OR(AND(R1251&lt;&gt;"",R1251&lt;=Settings!$B$15),AND(S1251&lt;&gt;"",S1251&lt;=Settings!$B$15)),"EXPIRING SOON","OK")))</f>
        <v/>
      </c>
      <c r="U1251" s="24" t="str">
        <f aca="false">IF(AND(C1251="Own",Q1251="Active"),COUNTIFS($C$5:C1251,"Own",$Q$5:Q1251,"Active"),"")</f>
        <v/>
      </c>
      <c r="V1251" s="26" t="str">
        <f aca="false">IF(C1251&lt;&gt;"Own","",IF(K1251="Hourly",N1251,(L1251+M1251)/(Settings!$B$11*Settings!$B$12)))</f>
        <v/>
      </c>
    </row>
    <row r="1252" customFormat="false" ht="15" hidden="false" customHeight="false" outlineLevel="0" collapsed="false">
      <c r="R1252" s="25" t="str">
        <f aca="true">IF(I1252="","",I1252-TODAY())</f>
        <v/>
      </c>
      <c r="S1252" s="25" t="str">
        <f aca="true">IF(J1252="","",J1252-TODAY())</f>
        <v/>
      </c>
      <c r="T1252" s="24" t="str">
        <f aca="false">IF(A1252="","",IF(OR(AND(R1252&lt;&gt;"",R1252&lt;0),AND(S1252&lt;&gt;"",S1252&lt;0)),"EXPIRED",IF(OR(AND(R1252&lt;&gt;"",R1252&lt;=Settings!$B$15),AND(S1252&lt;&gt;"",S1252&lt;=Settings!$B$15)),"EXPIRING SOON","OK")))</f>
        <v/>
      </c>
      <c r="U1252" s="24" t="str">
        <f aca="false">IF(AND(C1252="Own",Q1252="Active"),COUNTIFS($C$5:C1252,"Own",$Q$5:Q1252,"Active"),"")</f>
        <v/>
      </c>
      <c r="V1252" s="26" t="str">
        <f aca="false">IF(C1252&lt;&gt;"Own","",IF(K1252="Hourly",N1252,(L1252+M1252)/(Settings!$B$11*Settings!$B$12)))</f>
        <v/>
      </c>
    </row>
    <row r="1253" customFormat="false" ht="15" hidden="false" customHeight="false" outlineLevel="0" collapsed="false">
      <c r="R1253" s="25" t="str">
        <f aca="true">IF(I1253="","",I1253-TODAY())</f>
        <v/>
      </c>
      <c r="S1253" s="25" t="str">
        <f aca="true">IF(J1253="","",J1253-TODAY())</f>
        <v/>
      </c>
      <c r="T1253" s="24" t="str">
        <f aca="false">IF(A1253="","",IF(OR(AND(R1253&lt;&gt;"",R1253&lt;0),AND(S1253&lt;&gt;"",S1253&lt;0)),"EXPIRED",IF(OR(AND(R1253&lt;&gt;"",R1253&lt;=Settings!$B$15),AND(S1253&lt;&gt;"",S1253&lt;=Settings!$B$15)),"EXPIRING SOON","OK")))</f>
        <v/>
      </c>
      <c r="U1253" s="24" t="str">
        <f aca="false">IF(AND(C1253="Own",Q1253="Active"),COUNTIFS($C$5:C1253,"Own",$Q$5:Q1253,"Active"),"")</f>
        <v/>
      </c>
      <c r="V1253" s="26" t="str">
        <f aca="false">IF(C1253&lt;&gt;"Own","",IF(K1253="Hourly",N1253,(L1253+M1253)/(Settings!$B$11*Settings!$B$12)))</f>
        <v/>
      </c>
    </row>
    <row r="1254" customFormat="false" ht="15" hidden="false" customHeight="false" outlineLevel="0" collapsed="false">
      <c r="R1254" s="25" t="str">
        <f aca="true">IF(I1254="","",I1254-TODAY())</f>
        <v/>
      </c>
      <c r="S1254" s="25" t="str">
        <f aca="true">IF(J1254="","",J1254-TODAY())</f>
        <v/>
      </c>
      <c r="T1254" s="24" t="str">
        <f aca="false">IF(A1254="","",IF(OR(AND(R1254&lt;&gt;"",R1254&lt;0),AND(S1254&lt;&gt;"",S1254&lt;0)),"EXPIRED",IF(OR(AND(R1254&lt;&gt;"",R1254&lt;=Settings!$B$15),AND(S1254&lt;&gt;"",S1254&lt;=Settings!$B$15)),"EXPIRING SOON","OK")))</f>
        <v/>
      </c>
      <c r="U1254" s="24" t="str">
        <f aca="false">IF(AND(C1254="Own",Q1254="Active"),COUNTIFS($C$5:C1254,"Own",$Q$5:Q1254,"Active"),"")</f>
        <v/>
      </c>
      <c r="V1254" s="26" t="str">
        <f aca="false">IF(C1254&lt;&gt;"Own","",IF(K1254="Hourly",N1254,(L1254+M1254)/(Settings!$B$11*Settings!$B$12)))</f>
        <v/>
      </c>
    </row>
    <row r="1255" customFormat="false" ht="15" hidden="false" customHeight="false" outlineLevel="0" collapsed="false">
      <c r="R1255" s="25" t="str">
        <f aca="true">IF(I1255="","",I1255-TODAY())</f>
        <v/>
      </c>
      <c r="S1255" s="25" t="str">
        <f aca="true">IF(J1255="","",J1255-TODAY())</f>
        <v/>
      </c>
      <c r="T1255" s="24" t="str">
        <f aca="false">IF(A1255="","",IF(OR(AND(R1255&lt;&gt;"",R1255&lt;0),AND(S1255&lt;&gt;"",S1255&lt;0)),"EXPIRED",IF(OR(AND(R1255&lt;&gt;"",R1255&lt;=Settings!$B$15),AND(S1255&lt;&gt;"",S1255&lt;=Settings!$B$15)),"EXPIRING SOON","OK")))</f>
        <v/>
      </c>
      <c r="U1255" s="24" t="str">
        <f aca="false">IF(AND(C1255="Own",Q1255="Active"),COUNTIFS($C$5:C1255,"Own",$Q$5:Q1255,"Active"),"")</f>
        <v/>
      </c>
      <c r="V1255" s="26" t="str">
        <f aca="false">IF(C1255&lt;&gt;"Own","",IF(K1255="Hourly",N1255,(L1255+M1255)/(Settings!$B$11*Settings!$B$12)))</f>
        <v/>
      </c>
    </row>
    <row r="1256" customFormat="false" ht="15" hidden="false" customHeight="false" outlineLevel="0" collapsed="false">
      <c r="R1256" s="25" t="str">
        <f aca="true">IF(I1256="","",I1256-TODAY())</f>
        <v/>
      </c>
      <c r="S1256" s="25" t="str">
        <f aca="true">IF(J1256="","",J1256-TODAY())</f>
        <v/>
      </c>
      <c r="T1256" s="24" t="str">
        <f aca="false">IF(A1256="","",IF(OR(AND(R1256&lt;&gt;"",R1256&lt;0),AND(S1256&lt;&gt;"",S1256&lt;0)),"EXPIRED",IF(OR(AND(R1256&lt;&gt;"",R1256&lt;=Settings!$B$15),AND(S1256&lt;&gt;"",S1256&lt;=Settings!$B$15)),"EXPIRING SOON","OK")))</f>
        <v/>
      </c>
      <c r="U1256" s="24" t="str">
        <f aca="false">IF(AND(C1256="Own",Q1256="Active"),COUNTIFS($C$5:C1256,"Own",$Q$5:Q1256,"Active"),"")</f>
        <v/>
      </c>
      <c r="V1256" s="26" t="str">
        <f aca="false">IF(C1256&lt;&gt;"Own","",IF(K1256="Hourly",N1256,(L1256+M1256)/(Settings!$B$11*Settings!$B$12)))</f>
        <v/>
      </c>
    </row>
    <row r="1257" customFormat="false" ht="15" hidden="false" customHeight="false" outlineLevel="0" collapsed="false">
      <c r="R1257" s="25" t="str">
        <f aca="true">IF(I1257="","",I1257-TODAY())</f>
        <v/>
      </c>
      <c r="S1257" s="25" t="str">
        <f aca="true">IF(J1257="","",J1257-TODAY())</f>
        <v/>
      </c>
      <c r="T1257" s="24" t="str">
        <f aca="false">IF(A1257="","",IF(OR(AND(R1257&lt;&gt;"",R1257&lt;0),AND(S1257&lt;&gt;"",S1257&lt;0)),"EXPIRED",IF(OR(AND(R1257&lt;&gt;"",R1257&lt;=Settings!$B$15),AND(S1257&lt;&gt;"",S1257&lt;=Settings!$B$15)),"EXPIRING SOON","OK")))</f>
        <v/>
      </c>
      <c r="U1257" s="24" t="str">
        <f aca="false">IF(AND(C1257="Own",Q1257="Active"),COUNTIFS($C$5:C1257,"Own",$Q$5:Q1257,"Active"),"")</f>
        <v/>
      </c>
      <c r="V1257" s="26" t="str">
        <f aca="false">IF(C1257&lt;&gt;"Own","",IF(K1257="Hourly",N1257,(L1257+M1257)/(Settings!$B$11*Settings!$B$12)))</f>
        <v/>
      </c>
    </row>
    <row r="1258" customFormat="false" ht="15" hidden="false" customHeight="false" outlineLevel="0" collapsed="false">
      <c r="R1258" s="25" t="str">
        <f aca="true">IF(I1258="","",I1258-TODAY())</f>
        <v/>
      </c>
      <c r="S1258" s="25" t="str">
        <f aca="true">IF(J1258="","",J1258-TODAY())</f>
        <v/>
      </c>
      <c r="T1258" s="24" t="str">
        <f aca="false">IF(A1258="","",IF(OR(AND(R1258&lt;&gt;"",R1258&lt;0),AND(S1258&lt;&gt;"",S1258&lt;0)),"EXPIRED",IF(OR(AND(R1258&lt;&gt;"",R1258&lt;=Settings!$B$15),AND(S1258&lt;&gt;"",S1258&lt;=Settings!$B$15)),"EXPIRING SOON","OK")))</f>
        <v/>
      </c>
      <c r="U1258" s="24" t="str">
        <f aca="false">IF(AND(C1258="Own",Q1258="Active"),COUNTIFS($C$5:C1258,"Own",$Q$5:Q1258,"Active"),"")</f>
        <v/>
      </c>
      <c r="V1258" s="26" t="str">
        <f aca="false">IF(C1258&lt;&gt;"Own","",IF(K1258="Hourly",N1258,(L1258+M1258)/(Settings!$B$11*Settings!$B$12)))</f>
        <v/>
      </c>
    </row>
    <row r="1259" customFormat="false" ht="15" hidden="false" customHeight="false" outlineLevel="0" collapsed="false">
      <c r="R1259" s="25" t="str">
        <f aca="true">IF(I1259="","",I1259-TODAY())</f>
        <v/>
      </c>
      <c r="S1259" s="25" t="str">
        <f aca="true">IF(J1259="","",J1259-TODAY())</f>
        <v/>
      </c>
      <c r="T1259" s="24" t="str">
        <f aca="false">IF(A1259="","",IF(OR(AND(R1259&lt;&gt;"",R1259&lt;0),AND(S1259&lt;&gt;"",S1259&lt;0)),"EXPIRED",IF(OR(AND(R1259&lt;&gt;"",R1259&lt;=Settings!$B$15),AND(S1259&lt;&gt;"",S1259&lt;=Settings!$B$15)),"EXPIRING SOON","OK")))</f>
        <v/>
      </c>
      <c r="U1259" s="24" t="str">
        <f aca="false">IF(AND(C1259="Own",Q1259="Active"),COUNTIFS($C$5:C1259,"Own",$Q$5:Q1259,"Active"),"")</f>
        <v/>
      </c>
      <c r="V1259" s="26" t="str">
        <f aca="false">IF(C1259&lt;&gt;"Own","",IF(K1259="Hourly",N1259,(L1259+M1259)/(Settings!$B$11*Settings!$B$12)))</f>
        <v/>
      </c>
    </row>
    <row r="1260" customFormat="false" ht="15" hidden="false" customHeight="false" outlineLevel="0" collapsed="false">
      <c r="R1260" s="25" t="str">
        <f aca="true">IF(I1260="","",I1260-TODAY())</f>
        <v/>
      </c>
      <c r="S1260" s="25" t="str">
        <f aca="true">IF(J1260="","",J1260-TODAY())</f>
        <v/>
      </c>
      <c r="T1260" s="24" t="str">
        <f aca="false">IF(A1260="","",IF(OR(AND(R1260&lt;&gt;"",R1260&lt;0),AND(S1260&lt;&gt;"",S1260&lt;0)),"EXPIRED",IF(OR(AND(R1260&lt;&gt;"",R1260&lt;=Settings!$B$15),AND(S1260&lt;&gt;"",S1260&lt;=Settings!$B$15)),"EXPIRING SOON","OK")))</f>
        <v/>
      </c>
      <c r="U1260" s="24" t="str">
        <f aca="false">IF(AND(C1260="Own",Q1260="Active"),COUNTIFS($C$5:C1260,"Own",$Q$5:Q1260,"Active"),"")</f>
        <v/>
      </c>
      <c r="V1260" s="26" t="str">
        <f aca="false">IF(C1260&lt;&gt;"Own","",IF(K1260="Hourly",N1260,(L1260+M1260)/(Settings!$B$11*Settings!$B$12)))</f>
        <v/>
      </c>
    </row>
    <row r="1261" customFormat="false" ht="15" hidden="false" customHeight="false" outlineLevel="0" collapsed="false">
      <c r="R1261" s="25" t="str">
        <f aca="true">IF(I1261="","",I1261-TODAY())</f>
        <v/>
      </c>
      <c r="S1261" s="25" t="str">
        <f aca="true">IF(J1261="","",J1261-TODAY())</f>
        <v/>
      </c>
      <c r="T1261" s="24" t="str">
        <f aca="false">IF(A1261="","",IF(OR(AND(R1261&lt;&gt;"",R1261&lt;0),AND(S1261&lt;&gt;"",S1261&lt;0)),"EXPIRED",IF(OR(AND(R1261&lt;&gt;"",R1261&lt;=Settings!$B$15),AND(S1261&lt;&gt;"",S1261&lt;=Settings!$B$15)),"EXPIRING SOON","OK")))</f>
        <v/>
      </c>
      <c r="U1261" s="24" t="str">
        <f aca="false">IF(AND(C1261="Own",Q1261="Active"),COUNTIFS($C$5:C1261,"Own",$Q$5:Q1261,"Active"),"")</f>
        <v/>
      </c>
      <c r="V1261" s="26" t="str">
        <f aca="false">IF(C1261&lt;&gt;"Own","",IF(K1261="Hourly",N1261,(L1261+M1261)/(Settings!$B$11*Settings!$B$12)))</f>
        <v/>
      </c>
    </row>
    <row r="1262" customFormat="false" ht="15" hidden="false" customHeight="false" outlineLevel="0" collapsed="false">
      <c r="R1262" s="25" t="str">
        <f aca="true">IF(I1262="","",I1262-TODAY())</f>
        <v/>
      </c>
      <c r="S1262" s="25" t="str">
        <f aca="true">IF(J1262="","",J1262-TODAY())</f>
        <v/>
      </c>
      <c r="T1262" s="24" t="str">
        <f aca="false">IF(A1262="","",IF(OR(AND(R1262&lt;&gt;"",R1262&lt;0),AND(S1262&lt;&gt;"",S1262&lt;0)),"EXPIRED",IF(OR(AND(R1262&lt;&gt;"",R1262&lt;=Settings!$B$15),AND(S1262&lt;&gt;"",S1262&lt;=Settings!$B$15)),"EXPIRING SOON","OK")))</f>
        <v/>
      </c>
      <c r="U1262" s="24" t="str">
        <f aca="false">IF(AND(C1262="Own",Q1262="Active"),COUNTIFS($C$5:C1262,"Own",$Q$5:Q1262,"Active"),"")</f>
        <v/>
      </c>
      <c r="V1262" s="26" t="str">
        <f aca="false">IF(C1262&lt;&gt;"Own","",IF(K1262="Hourly",N1262,(L1262+M1262)/(Settings!$B$11*Settings!$B$12)))</f>
        <v/>
      </c>
    </row>
    <row r="1263" customFormat="false" ht="15" hidden="false" customHeight="false" outlineLevel="0" collapsed="false">
      <c r="R1263" s="25" t="str">
        <f aca="true">IF(I1263="","",I1263-TODAY())</f>
        <v/>
      </c>
      <c r="S1263" s="25" t="str">
        <f aca="true">IF(J1263="","",J1263-TODAY())</f>
        <v/>
      </c>
      <c r="T1263" s="24" t="str">
        <f aca="false">IF(A1263="","",IF(OR(AND(R1263&lt;&gt;"",R1263&lt;0),AND(S1263&lt;&gt;"",S1263&lt;0)),"EXPIRED",IF(OR(AND(R1263&lt;&gt;"",R1263&lt;=Settings!$B$15),AND(S1263&lt;&gt;"",S1263&lt;=Settings!$B$15)),"EXPIRING SOON","OK")))</f>
        <v/>
      </c>
      <c r="U1263" s="24" t="str">
        <f aca="false">IF(AND(C1263="Own",Q1263="Active"),COUNTIFS($C$5:C1263,"Own",$Q$5:Q1263,"Active"),"")</f>
        <v/>
      </c>
      <c r="V1263" s="26" t="str">
        <f aca="false">IF(C1263&lt;&gt;"Own","",IF(K1263="Hourly",N1263,(L1263+M1263)/(Settings!$B$11*Settings!$B$12)))</f>
        <v/>
      </c>
    </row>
    <row r="1264" customFormat="false" ht="15" hidden="false" customHeight="false" outlineLevel="0" collapsed="false">
      <c r="R1264" s="25" t="str">
        <f aca="true">IF(I1264="","",I1264-TODAY())</f>
        <v/>
      </c>
      <c r="S1264" s="25" t="str">
        <f aca="true">IF(J1264="","",J1264-TODAY())</f>
        <v/>
      </c>
      <c r="T1264" s="24" t="str">
        <f aca="false">IF(A1264="","",IF(OR(AND(R1264&lt;&gt;"",R1264&lt;0),AND(S1264&lt;&gt;"",S1264&lt;0)),"EXPIRED",IF(OR(AND(R1264&lt;&gt;"",R1264&lt;=Settings!$B$15),AND(S1264&lt;&gt;"",S1264&lt;=Settings!$B$15)),"EXPIRING SOON","OK")))</f>
        <v/>
      </c>
      <c r="U1264" s="24" t="str">
        <f aca="false">IF(AND(C1264="Own",Q1264="Active"),COUNTIFS($C$5:C1264,"Own",$Q$5:Q1264,"Active"),"")</f>
        <v/>
      </c>
      <c r="V1264" s="26" t="str">
        <f aca="false">IF(C1264&lt;&gt;"Own","",IF(K1264="Hourly",N1264,(L1264+M1264)/(Settings!$B$11*Settings!$B$12)))</f>
        <v/>
      </c>
    </row>
    <row r="1265" customFormat="false" ht="15" hidden="false" customHeight="false" outlineLevel="0" collapsed="false">
      <c r="R1265" s="25" t="str">
        <f aca="true">IF(I1265="","",I1265-TODAY())</f>
        <v/>
      </c>
      <c r="S1265" s="25" t="str">
        <f aca="true">IF(J1265="","",J1265-TODAY())</f>
        <v/>
      </c>
      <c r="T1265" s="24" t="str">
        <f aca="false">IF(A1265="","",IF(OR(AND(R1265&lt;&gt;"",R1265&lt;0),AND(S1265&lt;&gt;"",S1265&lt;0)),"EXPIRED",IF(OR(AND(R1265&lt;&gt;"",R1265&lt;=Settings!$B$15),AND(S1265&lt;&gt;"",S1265&lt;=Settings!$B$15)),"EXPIRING SOON","OK")))</f>
        <v/>
      </c>
      <c r="U1265" s="24" t="str">
        <f aca="false">IF(AND(C1265="Own",Q1265="Active"),COUNTIFS($C$5:C1265,"Own",$Q$5:Q1265,"Active"),"")</f>
        <v/>
      </c>
      <c r="V1265" s="26" t="str">
        <f aca="false">IF(C1265&lt;&gt;"Own","",IF(K1265="Hourly",N1265,(L1265+M1265)/(Settings!$B$11*Settings!$B$12)))</f>
        <v/>
      </c>
    </row>
    <row r="1266" customFormat="false" ht="15" hidden="false" customHeight="false" outlineLevel="0" collapsed="false">
      <c r="R1266" s="25" t="str">
        <f aca="true">IF(I1266="","",I1266-TODAY())</f>
        <v/>
      </c>
      <c r="S1266" s="25" t="str">
        <f aca="true">IF(J1266="","",J1266-TODAY())</f>
        <v/>
      </c>
      <c r="T1266" s="24" t="str">
        <f aca="false">IF(A1266="","",IF(OR(AND(R1266&lt;&gt;"",R1266&lt;0),AND(S1266&lt;&gt;"",S1266&lt;0)),"EXPIRED",IF(OR(AND(R1266&lt;&gt;"",R1266&lt;=Settings!$B$15),AND(S1266&lt;&gt;"",S1266&lt;=Settings!$B$15)),"EXPIRING SOON","OK")))</f>
        <v/>
      </c>
      <c r="U1266" s="24" t="str">
        <f aca="false">IF(AND(C1266="Own",Q1266="Active"),COUNTIFS($C$5:C1266,"Own",$Q$5:Q1266,"Active"),"")</f>
        <v/>
      </c>
      <c r="V1266" s="26" t="str">
        <f aca="false">IF(C1266&lt;&gt;"Own","",IF(K1266="Hourly",N1266,(L1266+M1266)/(Settings!$B$11*Settings!$B$12)))</f>
        <v/>
      </c>
    </row>
    <row r="1267" customFormat="false" ht="15" hidden="false" customHeight="false" outlineLevel="0" collapsed="false">
      <c r="R1267" s="25" t="str">
        <f aca="true">IF(I1267="","",I1267-TODAY())</f>
        <v/>
      </c>
      <c r="S1267" s="25" t="str">
        <f aca="true">IF(J1267="","",J1267-TODAY())</f>
        <v/>
      </c>
      <c r="T1267" s="24" t="str">
        <f aca="false">IF(A1267="","",IF(OR(AND(R1267&lt;&gt;"",R1267&lt;0),AND(S1267&lt;&gt;"",S1267&lt;0)),"EXPIRED",IF(OR(AND(R1267&lt;&gt;"",R1267&lt;=Settings!$B$15),AND(S1267&lt;&gt;"",S1267&lt;=Settings!$B$15)),"EXPIRING SOON","OK")))</f>
        <v/>
      </c>
      <c r="U1267" s="24" t="str">
        <f aca="false">IF(AND(C1267="Own",Q1267="Active"),COUNTIFS($C$5:C1267,"Own",$Q$5:Q1267,"Active"),"")</f>
        <v/>
      </c>
      <c r="V1267" s="26" t="str">
        <f aca="false">IF(C1267&lt;&gt;"Own","",IF(K1267="Hourly",N1267,(L1267+M1267)/(Settings!$B$11*Settings!$B$12)))</f>
        <v/>
      </c>
    </row>
    <row r="1268" customFormat="false" ht="15" hidden="false" customHeight="false" outlineLevel="0" collapsed="false">
      <c r="R1268" s="25" t="str">
        <f aca="true">IF(I1268="","",I1268-TODAY())</f>
        <v/>
      </c>
      <c r="S1268" s="25" t="str">
        <f aca="true">IF(J1268="","",J1268-TODAY())</f>
        <v/>
      </c>
      <c r="T1268" s="24" t="str">
        <f aca="false">IF(A1268="","",IF(OR(AND(R1268&lt;&gt;"",R1268&lt;0),AND(S1268&lt;&gt;"",S1268&lt;0)),"EXPIRED",IF(OR(AND(R1268&lt;&gt;"",R1268&lt;=Settings!$B$15),AND(S1268&lt;&gt;"",S1268&lt;=Settings!$B$15)),"EXPIRING SOON","OK")))</f>
        <v/>
      </c>
      <c r="U1268" s="24" t="str">
        <f aca="false">IF(AND(C1268="Own",Q1268="Active"),COUNTIFS($C$5:C1268,"Own",$Q$5:Q1268,"Active"),"")</f>
        <v/>
      </c>
      <c r="V1268" s="26" t="str">
        <f aca="false">IF(C1268&lt;&gt;"Own","",IF(K1268="Hourly",N1268,(L1268+M1268)/(Settings!$B$11*Settings!$B$12)))</f>
        <v/>
      </c>
    </row>
    <row r="1269" customFormat="false" ht="15" hidden="false" customHeight="false" outlineLevel="0" collapsed="false">
      <c r="R1269" s="25" t="str">
        <f aca="true">IF(I1269="","",I1269-TODAY())</f>
        <v/>
      </c>
      <c r="S1269" s="25" t="str">
        <f aca="true">IF(J1269="","",J1269-TODAY())</f>
        <v/>
      </c>
      <c r="T1269" s="24" t="str">
        <f aca="false">IF(A1269="","",IF(OR(AND(R1269&lt;&gt;"",R1269&lt;0),AND(S1269&lt;&gt;"",S1269&lt;0)),"EXPIRED",IF(OR(AND(R1269&lt;&gt;"",R1269&lt;=Settings!$B$15),AND(S1269&lt;&gt;"",S1269&lt;=Settings!$B$15)),"EXPIRING SOON","OK")))</f>
        <v/>
      </c>
      <c r="U1269" s="24" t="str">
        <f aca="false">IF(AND(C1269="Own",Q1269="Active"),COUNTIFS($C$5:C1269,"Own",$Q$5:Q1269,"Active"),"")</f>
        <v/>
      </c>
      <c r="V1269" s="26" t="str">
        <f aca="false">IF(C1269&lt;&gt;"Own","",IF(K1269="Hourly",N1269,(L1269+M1269)/(Settings!$B$11*Settings!$B$12)))</f>
        <v/>
      </c>
    </row>
    <row r="1270" customFormat="false" ht="15" hidden="false" customHeight="false" outlineLevel="0" collapsed="false">
      <c r="R1270" s="25" t="str">
        <f aca="true">IF(I1270="","",I1270-TODAY())</f>
        <v/>
      </c>
      <c r="S1270" s="25" t="str">
        <f aca="true">IF(J1270="","",J1270-TODAY())</f>
        <v/>
      </c>
      <c r="T1270" s="24" t="str">
        <f aca="false">IF(A1270="","",IF(OR(AND(R1270&lt;&gt;"",R1270&lt;0),AND(S1270&lt;&gt;"",S1270&lt;0)),"EXPIRED",IF(OR(AND(R1270&lt;&gt;"",R1270&lt;=Settings!$B$15),AND(S1270&lt;&gt;"",S1270&lt;=Settings!$B$15)),"EXPIRING SOON","OK")))</f>
        <v/>
      </c>
      <c r="U1270" s="24" t="str">
        <f aca="false">IF(AND(C1270="Own",Q1270="Active"),COUNTIFS($C$5:C1270,"Own",$Q$5:Q1270,"Active"),"")</f>
        <v/>
      </c>
      <c r="V1270" s="26" t="str">
        <f aca="false">IF(C1270&lt;&gt;"Own","",IF(K1270="Hourly",N1270,(L1270+M1270)/(Settings!$B$11*Settings!$B$12)))</f>
        <v/>
      </c>
    </row>
    <row r="1271" customFormat="false" ht="15" hidden="false" customHeight="false" outlineLevel="0" collapsed="false">
      <c r="R1271" s="25" t="str">
        <f aca="true">IF(I1271="","",I1271-TODAY())</f>
        <v/>
      </c>
      <c r="S1271" s="25" t="str">
        <f aca="true">IF(J1271="","",J1271-TODAY())</f>
        <v/>
      </c>
      <c r="T1271" s="24" t="str">
        <f aca="false">IF(A1271="","",IF(OR(AND(R1271&lt;&gt;"",R1271&lt;0),AND(S1271&lt;&gt;"",S1271&lt;0)),"EXPIRED",IF(OR(AND(R1271&lt;&gt;"",R1271&lt;=Settings!$B$15),AND(S1271&lt;&gt;"",S1271&lt;=Settings!$B$15)),"EXPIRING SOON","OK")))</f>
        <v/>
      </c>
      <c r="U1271" s="24" t="str">
        <f aca="false">IF(AND(C1271="Own",Q1271="Active"),COUNTIFS($C$5:C1271,"Own",$Q$5:Q1271,"Active"),"")</f>
        <v/>
      </c>
      <c r="V1271" s="26" t="str">
        <f aca="false">IF(C1271&lt;&gt;"Own","",IF(K1271="Hourly",N1271,(L1271+M1271)/(Settings!$B$11*Settings!$B$12)))</f>
        <v/>
      </c>
    </row>
    <row r="1272" customFormat="false" ht="15" hidden="false" customHeight="false" outlineLevel="0" collapsed="false">
      <c r="R1272" s="25" t="str">
        <f aca="true">IF(I1272="","",I1272-TODAY())</f>
        <v/>
      </c>
      <c r="S1272" s="25" t="str">
        <f aca="true">IF(J1272="","",J1272-TODAY())</f>
        <v/>
      </c>
      <c r="T1272" s="24" t="str">
        <f aca="false">IF(A1272="","",IF(OR(AND(R1272&lt;&gt;"",R1272&lt;0),AND(S1272&lt;&gt;"",S1272&lt;0)),"EXPIRED",IF(OR(AND(R1272&lt;&gt;"",R1272&lt;=Settings!$B$15),AND(S1272&lt;&gt;"",S1272&lt;=Settings!$B$15)),"EXPIRING SOON","OK")))</f>
        <v/>
      </c>
      <c r="U1272" s="24" t="str">
        <f aca="false">IF(AND(C1272="Own",Q1272="Active"),COUNTIFS($C$5:C1272,"Own",$Q$5:Q1272,"Active"),"")</f>
        <v/>
      </c>
      <c r="V1272" s="26" t="str">
        <f aca="false">IF(C1272&lt;&gt;"Own","",IF(K1272="Hourly",N1272,(L1272+M1272)/(Settings!$B$11*Settings!$B$12)))</f>
        <v/>
      </c>
    </row>
    <row r="1273" customFormat="false" ht="15" hidden="false" customHeight="false" outlineLevel="0" collapsed="false">
      <c r="R1273" s="25" t="str">
        <f aca="true">IF(I1273="","",I1273-TODAY())</f>
        <v/>
      </c>
      <c r="S1273" s="25" t="str">
        <f aca="true">IF(J1273="","",J1273-TODAY())</f>
        <v/>
      </c>
      <c r="T1273" s="24" t="str">
        <f aca="false">IF(A1273="","",IF(OR(AND(R1273&lt;&gt;"",R1273&lt;0),AND(S1273&lt;&gt;"",S1273&lt;0)),"EXPIRED",IF(OR(AND(R1273&lt;&gt;"",R1273&lt;=Settings!$B$15),AND(S1273&lt;&gt;"",S1273&lt;=Settings!$B$15)),"EXPIRING SOON","OK")))</f>
        <v/>
      </c>
      <c r="U1273" s="24" t="str">
        <f aca="false">IF(AND(C1273="Own",Q1273="Active"),COUNTIFS($C$5:C1273,"Own",$Q$5:Q1273,"Active"),"")</f>
        <v/>
      </c>
      <c r="V1273" s="26" t="str">
        <f aca="false">IF(C1273&lt;&gt;"Own","",IF(K1273="Hourly",N1273,(L1273+M1273)/(Settings!$B$11*Settings!$B$12)))</f>
        <v/>
      </c>
    </row>
    <row r="1274" customFormat="false" ht="15" hidden="false" customHeight="false" outlineLevel="0" collapsed="false">
      <c r="R1274" s="25" t="str">
        <f aca="true">IF(I1274="","",I1274-TODAY())</f>
        <v/>
      </c>
      <c r="S1274" s="25" t="str">
        <f aca="true">IF(J1274="","",J1274-TODAY())</f>
        <v/>
      </c>
      <c r="T1274" s="24" t="str">
        <f aca="false">IF(A1274="","",IF(OR(AND(R1274&lt;&gt;"",R1274&lt;0),AND(S1274&lt;&gt;"",S1274&lt;0)),"EXPIRED",IF(OR(AND(R1274&lt;&gt;"",R1274&lt;=Settings!$B$15),AND(S1274&lt;&gt;"",S1274&lt;=Settings!$B$15)),"EXPIRING SOON","OK")))</f>
        <v/>
      </c>
      <c r="U1274" s="24" t="str">
        <f aca="false">IF(AND(C1274="Own",Q1274="Active"),COUNTIFS($C$5:C1274,"Own",$Q$5:Q1274,"Active"),"")</f>
        <v/>
      </c>
      <c r="V1274" s="26" t="str">
        <f aca="false">IF(C1274&lt;&gt;"Own","",IF(K1274="Hourly",N1274,(L1274+M1274)/(Settings!$B$11*Settings!$B$12)))</f>
        <v/>
      </c>
    </row>
    <row r="1275" customFormat="false" ht="15" hidden="false" customHeight="false" outlineLevel="0" collapsed="false">
      <c r="R1275" s="25" t="str">
        <f aca="true">IF(I1275="","",I1275-TODAY())</f>
        <v/>
      </c>
      <c r="S1275" s="25" t="str">
        <f aca="true">IF(J1275="","",J1275-TODAY())</f>
        <v/>
      </c>
      <c r="T1275" s="24" t="str">
        <f aca="false">IF(A1275="","",IF(OR(AND(R1275&lt;&gt;"",R1275&lt;0),AND(S1275&lt;&gt;"",S1275&lt;0)),"EXPIRED",IF(OR(AND(R1275&lt;&gt;"",R1275&lt;=Settings!$B$15),AND(S1275&lt;&gt;"",S1275&lt;=Settings!$B$15)),"EXPIRING SOON","OK")))</f>
        <v/>
      </c>
      <c r="U1275" s="24" t="str">
        <f aca="false">IF(AND(C1275="Own",Q1275="Active"),COUNTIFS($C$5:C1275,"Own",$Q$5:Q1275,"Active"),"")</f>
        <v/>
      </c>
      <c r="V1275" s="26" t="str">
        <f aca="false">IF(C1275&lt;&gt;"Own","",IF(K1275="Hourly",N1275,(L1275+M1275)/(Settings!$B$11*Settings!$B$12)))</f>
        <v/>
      </c>
    </row>
    <row r="1276" customFormat="false" ht="15" hidden="false" customHeight="false" outlineLevel="0" collapsed="false">
      <c r="R1276" s="25" t="str">
        <f aca="true">IF(I1276="","",I1276-TODAY())</f>
        <v/>
      </c>
      <c r="S1276" s="25" t="str">
        <f aca="true">IF(J1276="","",J1276-TODAY())</f>
        <v/>
      </c>
      <c r="T1276" s="24" t="str">
        <f aca="false">IF(A1276="","",IF(OR(AND(R1276&lt;&gt;"",R1276&lt;0),AND(S1276&lt;&gt;"",S1276&lt;0)),"EXPIRED",IF(OR(AND(R1276&lt;&gt;"",R1276&lt;=Settings!$B$15),AND(S1276&lt;&gt;"",S1276&lt;=Settings!$B$15)),"EXPIRING SOON","OK")))</f>
        <v/>
      </c>
      <c r="U1276" s="24" t="str">
        <f aca="false">IF(AND(C1276="Own",Q1276="Active"),COUNTIFS($C$5:C1276,"Own",$Q$5:Q1276,"Active"),"")</f>
        <v/>
      </c>
      <c r="V1276" s="26" t="str">
        <f aca="false">IF(C1276&lt;&gt;"Own","",IF(K1276="Hourly",N1276,(L1276+M1276)/(Settings!$B$11*Settings!$B$12)))</f>
        <v/>
      </c>
    </row>
    <row r="1277" customFormat="false" ht="15" hidden="false" customHeight="false" outlineLevel="0" collapsed="false">
      <c r="R1277" s="25" t="str">
        <f aca="true">IF(I1277="","",I1277-TODAY())</f>
        <v/>
      </c>
      <c r="S1277" s="25" t="str">
        <f aca="true">IF(J1277="","",J1277-TODAY())</f>
        <v/>
      </c>
      <c r="T1277" s="24" t="str">
        <f aca="false">IF(A1277="","",IF(OR(AND(R1277&lt;&gt;"",R1277&lt;0),AND(S1277&lt;&gt;"",S1277&lt;0)),"EXPIRED",IF(OR(AND(R1277&lt;&gt;"",R1277&lt;=Settings!$B$15),AND(S1277&lt;&gt;"",S1277&lt;=Settings!$B$15)),"EXPIRING SOON","OK")))</f>
        <v/>
      </c>
      <c r="U1277" s="24" t="str">
        <f aca="false">IF(AND(C1277="Own",Q1277="Active"),COUNTIFS($C$5:C1277,"Own",$Q$5:Q1277,"Active"),"")</f>
        <v/>
      </c>
      <c r="V1277" s="26" t="str">
        <f aca="false">IF(C1277&lt;&gt;"Own","",IF(K1277="Hourly",N1277,(L1277+M1277)/(Settings!$B$11*Settings!$B$12)))</f>
        <v/>
      </c>
    </row>
    <row r="1278" customFormat="false" ht="15" hidden="false" customHeight="false" outlineLevel="0" collapsed="false">
      <c r="R1278" s="25" t="str">
        <f aca="true">IF(I1278="","",I1278-TODAY())</f>
        <v/>
      </c>
      <c r="S1278" s="25" t="str">
        <f aca="true">IF(J1278="","",J1278-TODAY())</f>
        <v/>
      </c>
      <c r="T1278" s="24" t="str">
        <f aca="false">IF(A1278="","",IF(OR(AND(R1278&lt;&gt;"",R1278&lt;0),AND(S1278&lt;&gt;"",S1278&lt;0)),"EXPIRED",IF(OR(AND(R1278&lt;&gt;"",R1278&lt;=Settings!$B$15),AND(S1278&lt;&gt;"",S1278&lt;=Settings!$B$15)),"EXPIRING SOON","OK")))</f>
        <v/>
      </c>
      <c r="U1278" s="24" t="str">
        <f aca="false">IF(AND(C1278="Own",Q1278="Active"),COUNTIFS($C$5:C1278,"Own",$Q$5:Q1278,"Active"),"")</f>
        <v/>
      </c>
      <c r="V1278" s="26" t="str">
        <f aca="false">IF(C1278&lt;&gt;"Own","",IF(K1278="Hourly",N1278,(L1278+M1278)/(Settings!$B$11*Settings!$B$12)))</f>
        <v/>
      </c>
    </row>
    <row r="1279" customFormat="false" ht="15" hidden="false" customHeight="false" outlineLevel="0" collapsed="false">
      <c r="R1279" s="25" t="str">
        <f aca="true">IF(I1279="","",I1279-TODAY())</f>
        <v/>
      </c>
      <c r="S1279" s="25" t="str">
        <f aca="true">IF(J1279="","",J1279-TODAY())</f>
        <v/>
      </c>
      <c r="T1279" s="24" t="str">
        <f aca="false">IF(A1279="","",IF(OR(AND(R1279&lt;&gt;"",R1279&lt;0),AND(S1279&lt;&gt;"",S1279&lt;0)),"EXPIRED",IF(OR(AND(R1279&lt;&gt;"",R1279&lt;=Settings!$B$15),AND(S1279&lt;&gt;"",S1279&lt;=Settings!$B$15)),"EXPIRING SOON","OK")))</f>
        <v/>
      </c>
      <c r="U1279" s="24" t="str">
        <f aca="false">IF(AND(C1279="Own",Q1279="Active"),COUNTIFS($C$5:C1279,"Own",$Q$5:Q1279,"Active"),"")</f>
        <v/>
      </c>
      <c r="V1279" s="26" t="str">
        <f aca="false">IF(C1279&lt;&gt;"Own","",IF(K1279="Hourly",N1279,(L1279+M1279)/(Settings!$B$11*Settings!$B$12)))</f>
        <v/>
      </c>
    </row>
    <row r="1280" customFormat="false" ht="15" hidden="false" customHeight="false" outlineLevel="0" collapsed="false">
      <c r="R1280" s="25" t="str">
        <f aca="true">IF(I1280="","",I1280-TODAY())</f>
        <v/>
      </c>
      <c r="S1280" s="25" t="str">
        <f aca="true">IF(J1280="","",J1280-TODAY())</f>
        <v/>
      </c>
      <c r="T1280" s="24" t="str">
        <f aca="false">IF(A1280="","",IF(OR(AND(R1280&lt;&gt;"",R1280&lt;0),AND(S1280&lt;&gt;"",S1280&lt;0)),"EXPIRED",IF(OR(AND(R1280&lt;&gt;"",R1280&lt;=Settings!$B$15),AND(S1280&lt;&gt;"",S1280&lt;=Settings!$B$15)),"EXPIRING SOON","OK")))</f>
        <v/>
      </c>
      <c r="U1280" s="24" t="str">
        <f aca="false">IF(AND(C1280="Own",Q1280="Active"),COUNTIFS($C$5:C1280,"Own",$Q$5:Q1280,"Active"),"")</f>
        <v/>
      </c>
      <c r="V1280" s="26" t="str">
        <f aca="false">IF(C1280&lt;&gt;"Own","",IF(K1280="Hourly",N1280,(L1280+M1280)/(Settings!$B$11*Settings!$B$12)))</f>
        <v/>
      </c>
    </row>
    <row r="1281" customFormat="false" ht="15" hidden="false" customHeight="false" outlineLevel="0" collapsed="false">
      <c r="R1281" s="25" t="str">
        <f aca="true">IF(I1281="","",I1281-TODAY())</f>
        <v/>
      </c>
      <c r="S1281" s="25" t="str">
        <f aca="true">IF(J1281="","",J1281-TODAY())</f>
        <v/>
      </c>
      <c r="T1281" s="24" t="str">
        <f aca="false">IF(A1281="","",IF(OR(AND(R1281&lt;&gt;"",R1281&lt;0),AND(S1281&lt;&gt;"",S1281&lt;0)),"EXPIRED",IF(OR(AND(R1281&lt;&gt;"",R1281&lt;=Settings!$B$15),AND(S1281&lt;&gt;"",S1281&lt;=Settings!$B$15)),"EXPIRING SOON","OK")))</f>
        <v/>
      </c>
      <c r="U1281" s="24" t="str">
        <f aca="false">IF(AND(C1281="Own",Q1281="Active"),COUNTIFS($C$5:C1281,"Own",$Q$5:Q1281,"Active"),"")</f>
        <v/>
      </c>
      <c r="V1281" s="26" t="str">
        <f aca="false">IF(C1281&lt;&gt;"Own","",IF(K1281="Hourly",N1281,(L1281+M1281)/(Settings!$B$11*Settings!$B$12)))</f>
        <v/>
      </c>
    </row>
    <row r="1282" customFormat="false" ht="15" hidden="false" customHeight="false" outlineLevel="0" collapsed="false">
      <c r="R1282" s="25" t="str">
        <f aca="true">IF(I1282="","",I1282-TODAY())</f>
        <v/>
      </c>
      <c r="S1282" s="25" t="str">
        <f aca="true">IF(J1282="","",J1282-TODAY())</f>
        <v/>
      </c>
      <c r="T1282" s="24" t="str">
        <f aca="false">IF(A1282="","",IF(OR(AND(R1282&lt;&gt;"",R1282&lt;0),AND(S1282&lt;&gt;"",S1282&lt;0)),"EXPIRED",IF(OR(AND(R1282&lt;&gt;"",R1282&lt;=Settings!$B$15),AND(S1282&lt;&gt;"",S1282&lt;=Settings!$B$15)),"EXPIRING SOON","OK")))</f>
        <v/>
      </c>
      <c r="U1282" s="24" t="str">
        <f aca="false">IF(AND(C1282="Own",Q1282="Active"),COUNTIFS($C$5:C1282,"Own",$Q$5:Q1282,"Active"),"")</f>
        <v/>
      </c>
      <c r="V1282" s="26" t="str">
        <f aca="false">IF(C1282&lt;&gt;"Own","",IF(K1282="Hourly",N1282,(L1282+M1282)/(Settings!$B$11*Settings!$B$12)))</f>
        <v/>
      </c>
    </row>
    <row r="1283" customFormat="false" ht="15" hidden="false" customHeight="false" outlineLevel="0" collapsed="false">
      <c r="R1283" s="25" t="str">
        <f aca="true">IF(I1283="","",I1283-TODAY())</f>
        <v/>
      </c>
      <c r="S1283" s="25" t="str">
        <f aca="true">IF(J1283="","",J1283-TODAY())</f>
        <v/>
      </c>
      <c r="T1283" s="24" t="str">
        <f aca="false">IF(A1283="","",IF(OR(AND(R1283&lt;&gt;"",R1283&lt;0),AND(S1283&lt;&gt;"",S1283&lt;0)),"EXPIRED",IF(OR(AND(R1283&lt;&gt;"",R1283&lt;=Settings!$B$15),AND(S1283&lt;&gt;"",S1283&lt;=Settings!$B$15)),"EXPIRING SOON","OK")))</f>
        <v/>
      </c>
      <c r="U1283" s="24" t="str">
        <f aca="false">IF(AND(C1283="Own",Q1283="Active"),COUNTIFS($C$5:C1283,"Own",$Q$5:Q1283,"Active"),"")</f>
        <v/>
      </c>
      <c r="V1283" s="26" t="str">
        <f aca="false">IF(C1283&lt;&gt;"Own","",IF(K1283="Hourly",N1283,(L1283+M1283)/(Settings!$B$11*Settings!$B$12)))</f>
        <v/>
      </c>
    </row>
    <row r="1284" customFormat="false" ht="15" hidden="false" customHeight="false" outlineLevel="0" collapsed="false">
      <c r="R1284" s="25" t="str">
        <f aca="true">IF(I1284="","",I1284-TODAY())</f>
        <v/>
      </c>
      <c r="S1284" s="25" t="str">
        <f aca="true">IF(J1284="","",J1284-TODAY())</f>
        <v/>
      </c>
      <c r="T1284" s="24" t="str">
        <f aca="false">IF(A1284="","",IF(OR(AND(R1284&lt;&gt;"",R1284&lt;0),AND(S1284&lt;&gt;"",S1284&lt;0)),"EXPIRED",IF(OR(AND(R1284&lt;&gt;"",R1284&lt;=Settings!$B$15),AND(S1284&lt;&gt;"",S1284&lt;=Settings!$B$15)),"EXPIRING SOON","OK")))</f>
        <v/>
      </c>
      <c r="U1284" s="24" t="str">
        <f aca="false">IF(AND(C1284="Own",Q1284="Active"),COUNTIFS($C$5:C1284,"Own",$Q$5:Q1284,"Active"),"")</f>
        <v/>
      </c>
      <c r="V1284" s="26" t="str">
        <f aca="false">IF(C1284&lt;&gt;"Own","",IF(K1284="Hourly",N1284,(L1284+M1284)/(Settings!$B$11*Settings!$B$12)))</f>
        <v/>
      </c>
    </row>
    <row r="1285" customFormat="false" ht="15" hidden="false" customHeight="false" outlineLevel="0" collapsed="false">
      <c r="R1285" s="25" t="str">
        <f aca="true">IF(I1285="","",I1285-TODAY())</f>
        <v/>
      </c>
      <c r="S1285" s="25" t="str">
        <f aca="true">IF(J1285="","",J1285-TODAY())</f>
        <v/>
      </c>
      <c r="T1285" s="24" t="str">
        <f aca="false">IF(A1285="","",IF(OR(AND(R1285&lt;&gt;"",R1285&lt;0),AND(S1285&lt;&gt;"",S1285&lt;0)),"EXPIRED",IF(OR(AND(R1285&lt;&gt;"",R1285&lt;=Settings!$B$15),AND(S1285&lt;&gt;"",S1285&lt;=Settings!$B$15)),"EXPIRING SOON","OK")))</f>
        <v/>
      </c>
      <c r="U1285" s="24" t="str">
        <f aca="false">IF(AND(C1285="Own",Q1285="Active"),COUNTIFS($C$5:C1285,"Own",$Q$5:Q1285,"Active"),"")</f>
        <v/>
      </c>
      <c r="V1285" s="26" t="str">
        <f aca="false">IF(C1285&lt;&gt;"Own","",IF(K1285="Hourly",N1285,(L1285+M1285)/(Settings!$B$11*Settings!$B$12)))</f>
        <v/>
      </c>
    </row>
    <row r="1286" customFormat="false" ht="15" hidden="false" customHeight="false" outlineLevel="0" collapsed="false">
      <c r="R1286" s="25" t="str">
        <f aca="true">IF(I1286="","",I1286-TODAY())</f>
        <v/>
      </c>
      <c r="S1286" s="25" t="str">
        <f aca="true">IF(J1286="","",J1286-TODAY())</f>
        <v/>
      </c>
      <c r="T1286" s="24" t="str">
        <f aca="false">IF(A1286="","",IF(OR(AND(R1286&lt;&gt;"",R1286&lt;0),AND(S1286&lt;&gt;"",S1286&lt;0)),"EXPIRED",IF(OR(AND(R1286&lt;&gt;"",R1286&lt;=Settings!$B$15),AND(S1286&lt;&gt;"",S1286&lt;=Settings!$B$15)),"EXPIRING SOON","OK")))</f>
        <v/>
      </c>
      <c r="U1286" s="24" t="str">
        <f aca="false">IF(AND(C1286="Own",Q1286="Active"),COUNTIFS($C$5:C1286,"Own",$Q$5:Q1286,"Active"),"")</f>
        <v/>
      </c>
      <c r="V1286" s="26" t="str">
        <f aca="false">IF(C1286&lt;&gt;"Own","",IF(K1286="Hourly",N1286,(L1286+M1286)/(Settings!$B$11*Settings!$B$12)))</f>
        <v/>
      </c>
    </row>
    <row r="1287" customFormat="false" ht="15" hidden="false" customHeight="false" outlineLevel="0" collapsed="false">
      <c r="R1287" s="25" t="str">
        <f aca="true">IF(I1287="","",I1287-TODAY())</f>
        <v/>
      </c>
      <c r="S1287" s="25" t="str">
        <f aca="true">IF(J1287="","",J1287-TODAY())</f>
        <v/>
      </c>
      <c r="T1287" s="24" t="str">
        <f aca="false">IF(A1287="","",IF(OR(AND(R1287&lt;&gt;"",R1287&lt;0),AND(S1287&lt;&gt;"",S1287&lt;0)),"EXPIRED",IF(OR(AND(R1287&lt;&gt;"",R1287&lt;=Settings!$B$15),AND(S1287&lt;&gt;"",S1287&lt;=Settings!$B$15)),"EXPIRING SOON","OK")))</f>
        <v/>
      </c>
      <c r="U1287" s="24" t="str">
        <f aca="false">IF(AND(C1287="Own",Q1287="Active"),COUNTIFS($C$5:C1287,"Own",$Q$5:Q1287,"Active"),"")</f>
        <v/>
      </c>
      <c r="V1287" s="26" t="str">
        <f aca="false">IF(C1287&lt;&gt;"Own","",IF(K1287="Hourly",N1287,(L1287+M1287)/(Settings!$B$11*Settings!$B$12)))</f>
        <v/>
      </c>
    </row>
    <row r="1288" customFormat="false" ht="15" hidden="false" customHeight="false" outlineLevel="0" collapsed="false">
      <c r="R1288" s="25" t="str">
        <f aca="true">IF(I1288="","",I1288-TODAY())</f>
        <v/>
      </c>
      <c r="S1288" s="25" t="str">
        <f aca="true">IF(J1288="","",J1288-TODAY())</f>
        <v/>
      </c>
      <c r="T1288" s="24" t="str">
        <f aca="false">IF(A1288="","",IF(OR(AND(R1288&lt;&gt;"",R1288&lt;0),AND(S1288&lt;&gt;"",S1288&lt;0)),"EXPIRED",IF(OR(AND(R1288&lt;&gt;"",R1288&lt;=Settings!$B$15),AND(S1288&lt;&gt;"",S1288&lt;=Settings!$B$15)),"EXPIRING SOON","OK")))</f>
        <v/>
      </c>
      <c r="U1288" s="24" t="str">
        <f aca="false">IF(AND(C1288="Own",Q1288="Active"),COUNTIFS($C$5:C1288,"Own",$Q$5:Q1288,"Active"),"")</f>
        <v/>
      </c>
      <c r="V1288" s="26" t="str">
        <f aca="false">IF(C1288&lt;&gt;"Own","",IF(K1288="Hourly",N1288,(L1288+M1288)/(Settings!$B$11*Settings!$B$12)))</f>
        <v/>
      </c>
    </row>
    <row r="1289" customFormat="false" ht="15" hidden="false" customHeight="false" outlineLevel="0" collapsed="false">
      <c r="R1289" s="25" t="str">
        <f aca="true">IF(I1289="","",I1289-TODAY())</f>
        <v/>
      </c>
      <c r="S1289" s="25" t="str">
        <f aca="true">IF(J1289="","",J1289-TODAY())</f>
        <v/>
      </c>
      <c r="T1289" s="24" t="str">
        <f aca="false">IF(A1289="","",IF(OR(AND(R1289&lt;&gt;"",R1289&lt;0),AND(S1289&lt;&gt;"",S1289&lt;0)),"EXPIRED",IF(OR(AND(R1289&lt;&gt;"",R1289&lt;=Settings!$B$15),AND(S1289&lt;&gt;"",S1289&lt;=Settings!$B$15)),"EXPIRING SOON","OK")))</f>
        <v/>
      </c>
      <c r="U1289" s="24" t="str">
        <f aca="false">IF(AND(C1289="Own",Q1289="Active"),COUNTIFS($C$5:C1289,"Own",$Q$5:Q1289,"Active"),"")</f>
        <v/>
      </c>
      <c r="V1289" s="26" t="str">
        <f aca="false">IF(C1289&lt;&gt;"Own","",IF(K1289="Hourly",N1289,(L1289+M1289)/(Settings!$B$11*Settings!$B$12)))</f>
        <v/>
      </c>
    </row>
    <row r="1290" customFormat="false" ht="15" hidden="false" customHeight="false" outlineLevel="0" collapsed="false">
      <c r="R1290" s="25" t="str">
        <f aca="true">IF(I1290="","",I1290-TODAY())</f>
        <v/>
      </c>
      <c r="S1290" s="25" t="str">
        <f aca="true">IF(J1290="","",J1290-TODAY())</f>
        <v/>
      </c>
      <c r="T1290" s="24" t="str">
        <f aca="false">IF(A1290="","",IF(OR(AND(R1290&lt;&gt;"",R1290&lt;0),AND(S1290&lt;&gt;"",S1290&lt;0)),"EXPIRED",IF(OR(AND(R1290&lt;&gt;"",R1290&lt;=Settings!$B$15),AND(S1290&lt;&gt;"",S1290&lt;=Settings!$B$15)),"EXPIRING SOON","OK")))</f>
        <v/>
      </c>
      <c r="U1290" s="24" t="str">
        <f aca="false">IF(AND(C1290="Own",Q1290="Active"),COUNTIFS($C$5:C1290,"Own",$Q$5:Q1290,"Active"),"")</f>
        <v/>
      </c>
      <c r="V1290" s="26" t="str">
        <f aca="false">IF(C1290&lt;&gt;"Own","",IF(K1290="Hourly",N1290,(L1290+M1290)/(Settings!$B$11*Settings!$B$12)))</f>
        <v/>
      </c>
    </row>
    <row r="1291" customFormat="false" ht="15" hidden="false" customHeight="false" outlineLevel="0" collapsed="false">
      <c r="R1291" s="25" t="str">
        <f aca="true">IF(I1291="","",I1291-TODAY())</f>
        <v/>
      </c>
      <c r="S1291" s="25" t="str">
        <f aca="true">IF(J1291="","",J1291-TODAY())</f>
        <v/>
      </c>
      <c r="T1291" s="24" t="str">
        <f aca="false">IF(A1291="","",IF(OR(AND(R1291&lt;&gt;"",R1291&lt;0),AND(S1291&lt;&gt;"",S1291&lt;0)),"EXPIRED",IF(OR(AND(R1291&lt;&gt;"",R1291&lt;=Settings!$B$15),AND(S1291&lt;&gt;"",S1291&lt;=Settings!$B$15)),"EXPIRING SOON","OK")))</f>
        <v/>
      </c>
      <c r="U1291" s="24" t="str">
        <f aca="false">IF(AND(C1291="Own",Q1291="Active"),COUNTIFS($C$5:C1291,"Own",$Q$5:Q1291,"Active"),"")</f>
        <v/>
      </c>
      <c r="V1291" s="26" t="str">
        <f aca="false">IF(C1291&lt;&gt;"Own","",IF(K1291="Hourly",N1291,(L1291+M1291)/(Settings!$B$11*Settings!$B$12)))</f>
        <v/>
      </c>
    </row>
    <row r="1292" customFormat="false" ht="15" hidden="false" customHeight="false" outlineLevel="0" collapsed="false">
      <c r="R1292" s="25" t="str">
        <f aca="true">IF(I1292="","",I1292-TODAY())</f>
        <v/>
      </c>
      <c r="S1292" s="25" t="str">
        <f aca="true">IF(J1292="","",J1292-TODAY())</f>
        <v/>
      </c>
      <c r="T1292" s="24" t="str">
        <f aca="false">IF(A1292="","",IF(OR(AND(R1292&lt;&gt;"",R1292&lt;0),AND(S1292&lt;&gt;"",S1292&lt;0)),"EXPIRED",IF(OR(AND(R1292&lt;&gt;"",R1292&lt;=Settings!$B$15),AND(S1292&lt;&gt;"",S1292&lt;=Settings!$B$15)),"EXPIRING SOON","OK")))</f>
        <v/>
      </c>
      <c r="U1292" s="24" t="str">
        <f aca="false">IF(AND(C1292="Own",Q1292="Active"),COUNTIFS($C$5:C1292,"Own",$Q$5:Q1292,"Active"),"")</f>
        <v/>
      </c>
      <c r="V1292" s="26" t="str">
        <f aca="false">IF(C1292&lt;&gt;"Own","",IF(K1292="Hourly",N1292,(L1292+M1292)/(Settings!$B$11*Settings!$B$12)))</f>
        <v/>
      </c>
    </row>
    <row r="1293" customFormat="false" ht="15" hidden="false" customHeight="false" outlineLevel="0" collapsed="false">
      <c r="R1293" s="25" t="str">
        <f aca="true">IF(I1293="","",I1293-TODAY())</f>
        <v/>
      </c>
      <c r="S1293" s="25" t="str">
        <f aca="true">IF(J1293="","",J1293-TODAY())</f>
        <v/>
      </c>
      <c r="T1293" s="24" t="str">
        <f aca="false">IF(A1293="","",IF(OR(AND(R1293&lt;&gt;"",R1293&lt;0),AND(S1293&lt;&gt;"",S1293&lt;0)),"EXPIRED",IF(OR(AND(R1293&lt;&gt;"",R1293&lt;=Settings!$B$15),AND(S1293&lt;&gt;"",S1293&lt;=Settings!$B$15)),"EXPIRING SOON","OK")))</f>
        <v/>
      </c>
      <c r="U1293" s="24" t="str">
        <f aca="false">IF(AND(C1293="Own",Q1293="Active"),COUNTIFS($C$5:C1293,"Own",$Q$5:Q1293,"Active"),"")</f>
        <v/>
      </c>
      <c r="V1293" s="26" t="str">
        <f aca="false">IF(C1293&lt;&gt;"Own","",IF(K1293="Hourly",N1293,(L1293+M1293)/(Settings!$B$11*Settings!$B$12)))</f>
        <v/>
      </c>
    </row>
    <row r="1294" customFormat="false" ht="15" hidden="false" customHeight="false" outlineLevel="0" collapsed="false">
      <c r="R1294" s="25" t="str">
        <f aca="true">IF(I1294="","",I1294-TODAY())</f>
        <v/>
      </c>
      <c r="S1294" s="25" t="str">
        <f aca="true">IF(J1294="","",J1294-TODAY())</f>
        <v/>
      </c>
      <c r="T1294" s="24" t="str">
        <f aca="false">IF(A1294="","",IF(OR(AND(R1294&lt;&gt;"",R1294&lt;0),AND(S1294&lt;&gt;"",S1294&lt;0)),"EXPIRED",IF(OR(AND(R1294&lt;&gt;"",R1294&lt;=Settings!$B$15),AND(S1294&lt;&gt;"",S1294&lt;=Settings!$B$15)),"EXPIRING SOON","OK")))</f>
        <v/>
      </c>
      <c r="U1294" s="24" t="str">
        <f aca="false">IF(AND(C1294="Own",Q1294="Active"),COUNTIFS($C$5:C1294,"Own",$Q$5:Q1294,"Active"),"")</f>
        <v/>
      </c>
      <c r="V1294" s="26" t="str">
        <f aca="false">IF(C1294&lt;&gt;"Own","",IF(K1294="Hourly",N1294,(L1294+M1294)/(Settings!$B$11*Settings!$B$12)))</f>
        <v/>
      </c>
    </row>
    <row r="1295" customFormat="false" ht="15" hidden="false" customHeight="false" outlineLevel="0" collapsed="false">
      <c r="R1295" s="25" t="str">
        <f aca="true">IF(I1295="","",I1295-TODAY())</f>
        <v/>
      </c>
      <c r="S1295" s="25" t="str">
        <f aca="true">IF(J1295="","",J1295-TODAY())</f>
        <v/>
      </c>
      <c r="T1295" s="24" t="str">
        <f aca="false">IF(A1295="","",IF(OR(AND(R1295&lt;&gt;"",R1295&lt;0),AND(S1295&lt;&gt;"",S1295&lt;0)),"EXPIRED",IF(OR(AND(R1295&lt;&gt;"",R1295&lt;=Settings!$B$15),AND(S1295&lt;&gt;"",S1295&lt;=Settings!$B$15)),"EXPIRING SOON","OK")))</f>
        <v/>
      </c>
      <c r="U1295" s="24" t="str">
        <f aca="false">IF(AND(C1295="Own",Q1295="Active"),COUNTIFS($C$5:C1295,"Own",$Q$5:Q1295,"Active"),"")</f>
        <v/>
      </c>
      <c r="V1295" s="26" t="str">
        <f aca="false">IF(C1295&lt;&gt;"Own","",IF(K1295="Hourly",N1295,(L1295+M1295)/(Settings!$B$11*Settings!$B$12)))</f>
        <v/>
      </c>
    </row>
    <row r="1296" customFormat="false" ht="15" hidden="false" customHeight="false" outlineLevel="0" collapsed="false">
      <c r="R1296" s="25" t="str">
        <f aca="true">IF(I1296="","",I1296-TODAY())</f>
        <v/>
      </c>
      <c r="S1296" s="25" t="str">
        <f aca="true">IF(J1296="","",J1296-TODAY())</f>
        <v/>
      </c>
      <c r="T1296" s="24" t="str">
        <f aca="false">IF(A1296="","",IF(OR(AND(R1296&lt;&gt;"",R1296&lt;0),AND(S1296&lt;&gt;"",S1296&lt;0)),"EXPIRED",IF(OR(AND(R1296&lt;&gt;"",R1296&lt;=Settings!$B$15),AND(S1296&lt;&gt;"",S1296&lt;=Settings!$B$15)),"EXPIRING SOON","OK")))</f>
        <v/>
      </c>
      <c r="U1296" s="24" t="str">
        <f aca="false">IF(AND(C1296="Own",Q1296="Active"),COUNTIFS($C$5:C1296,"Own",$Q$5:Q1296,"Active"),"")</f>
        <v/>
      </c>
      <c r="V1296" s="26" t="str">
        <f aca="false">IF(C1296&lt;&gt;"Own","",IF(K1296="Hourly",N1296,(L1296+M1296)/(Settings!$B$11*Settings!$B$12)))</f>
        <v/>
      </c>
    </row>
    <row r="1297" customFormat="false" ht="15" hidden="false" customHeight="false" outlineLevel="0" collapsed="false">
      <c r="R1297" s="25" t="str">
        <f aca="true">IF(I1297="","",I1297-TODAY())</f>
        <v/>
      </c>
      <c r="S1297" s="25" t="str">
        <f aca="true">IF(J1297="","",J1297-TODAY())</f>
        <v/>
      </c>
      <c r="T1297" s="24" t="str">
        <f aca="false">IF(A1297="","",IF(OR(AND(R1297&lt;&gt;"",R1297&lt;0),AND(S1297&lt;&gt;"",S1297&lt;0)),"EXPIRED",IF(OR(AND(R1297&lt;&gt;"",R1297&lt;=Settings!$B$15),AND(S1297&lt;&gt;"",S1297&lt;=Settings!$B$15)),"EXPIRING SOON","OK")))</f>
        <v/>
      </c>
      <c r="U1297" s="24" t="str">
        <f aca="false">IF(AND(C1297="Own",Q1297="Active"),COUNTIFS($C$5:C1297,"Own",$Q$5:Q1297,"Active"),"")</f>
        <v/>
      </c>
      <c r="V1297" s="26" t="str">
        <f aca="false">IF(C1297&lt;&gt;"Own","",IF(K1297="Hourly",N1297,(L1297+M1297)/(Settings!$B$11*Settings!$B$12)))</f>
        <v/>
      </c>
    </row>
    <row r="1298" customFormat="false" ht="15" hidden="false" customHeight="false" outlineLevel="0" collapsed="false">
      <c r="R1298" s="25" t="str">
        <f aca="true">IF(I1298="","",I1298-TODAY())</f>
        <v/>
      </c>
      <c r="S1298" s="25" t="str">
        <f aca="true">IF(J1298="","",J1298-TODAY())</f>
        <v/>
      </c>
      <c r="T1298" s="24" t="str">
        <f aca="false">IF(A1298="","",IF(OR(AND(R1298&lt;&gt;"",R1298&lt;0),AND(S1298&lt;&gt;"",S1298&lt;0)),"EXPIRED",IF(OR(AND(R1298&lt;&gt;"",R1298&lt;=Settings!$B$15),AND(S1298&lt;&gt;"",S1298&lt;=Settings!$B$15)),"EXPIRING SOON","OK")))</f>
        <v/>
      </c>
      <c r="U1298" s="24" t="str">
        <f aca="false">IF(AND(C1298="Own",Q1298="Active"),COUNTIFS($C$5:C1298,"Own",$Q$5:Q1298,"Active"),"")</f>
        <v/>
      </c>
      <c r="V1298" s="26" t="str">
        <f aca="false">IF(C1298&lt;&gt;"Own","",IF(K1298="Hourly",N1298,(L1298+M1298)/(Settings!$B$11*Settings!$B$12)))</f>
        <v/>
      </c>
    </row>
    <row r="1299" customFormat="false" ht="15" hidden="false" customHeight="false" outlineLevel="0" collapsed="false">
      <c r="R1299" s="25" t="str">
        <f aca="true">IF(I1299="","",I1299-TODAY())</f>
        <v/>
      </c>
      <c r="S1299" s="25" t="str">
        <f aca="true">IF(J1299="","",J1299-TODAY())</f>
        <v/>
      </c>
      <c r="T1299" s="24" t="str">
        <f aca="false">IF(A1299="","",IF(OR(AND(R1299&lt;&gt;"",R1299&lt;0),AND(S1299&lt;&gt;"",S1299&lt;0)),"EXPIRED",IF(OR(AND(R1299&lt;&gt;"",R1299&lt;=Settings!$B$15),AND(S1299&lt;&gt;"",S1299&lt;=Settings!$B$15)),"EXPIRING SOON","OK")))</f>
        <v/>
      </c>
      <c r="U1299" s="24" t="str">
        <f aca="false">IF(AND(C1299="Own",Q1299="Active"),COUNTIFS($C$5:C1299,"Own",$Q$5:Q1299,"Active"),"")</f>
        <v/>
      </c>
      <c r="V1299" s="26" t="str">
        <f aca="false">IF(C1299&lt;&gt;"Own","",IF(K1299="Hourly",N1299,(L1299+M1299)/(Settings!$B$11*Settings!$B$12)))</f>
        <v/>
      </c>
    </row>
    <row r="1300" customFormat="false" ht="15" hidden="false" customHeight="false" outlineLevel="0" collapsed="false">
      <c r="R1300" s="25" t="str">
        <f aca="true">IF(I1300="","",I1300-TODAY())</f>
        <v/>
      </c>
      <c r="S1300" s="25" t="str">
        <f aca="true">IF(J1300="","",J1300-TODAY())</f>
        <v/>
      </c>
      <c r="T1300" s="24" t="str">
        <f aca="false">IF(A1300="","",IF(OR(AND(R1300&lt;&gt;"",R1300&lt;0),AND(S1300&lt;&gt;"",S1300&lt;0)),"EXPIRED",IF(OR(AND(R1300&lt;&gt;"",R1300&lt;=Settings!$B$15),AND(S1300&lt;&gt;"",S1300&lt;=Settings!$B$15)),"EXPIRING SOON","OK")))</f>
        <v/>
      </c>
      <c r="U1300" s="24" t="str">
        <f aca="false">IF(AND(C1300="Own",Q1300="Active"),COUNTIFS($C$5:C1300,"Own",$Q$5:Q1300,"Active"),"")</f>
        <v/>
      </c>
      <c r="V1300" s="26" t="str">
        <f aca="false">IF(C1300&lt;&gt;"Own","",IF(K1300="Hourly",N1300,(L1300+M1300)/(Settings!$B$11*Settings!$B$12)))</f>
        <v/>
      </c>
    </row>
    <row r="1301" customFormat="false" ht="15" hidden="false" customHeight="false" outlineLevel="0" collapsed="false">
      <c r="R1301" s="25" t="str">
        <f aca="true">IF(I1301="","",I1301-TODAY())</f>
        <v/>
      </c>
      <c r="S1301" s="25" t="str">
        <f aca="true">IF(J1301="","",J1301-TODAY())</f>
        <v/>
      </c>
      <c r="T1301" s="24" t="str">
        <f aca="false">IF(A1301="","",IF(OR(AND(R1301&lt;&gt;"",R1301&lt;0),AND(S1301&lt;&gt;"",S1301&lt;0)),"EXPIRED",IF(OR(AND(R1301&lt;&gt;"",R1301&lt;=Settings!$B$15),AND(S1301&lt;&gt;"",S1301&lt;=Settings!$B$15)),"EXPIRING SOON","OK")))</f>
        <v/>
      </c>
      <c r="U1301" s="24" t="str">
        <f aca="false">IF(AND(C1301="Own",Q1301="Active"),COUNTIFS($C$5:C1301,"Own",$Q$5:Q1301,"Active"),"")</f>
        <v/>
      </c>
      <c r="V1301" s="26" t="str">
        <f aca="false">IF(C1301&lt;&gt;"Own","",IF(K1301="Hourly",N1301,(L1301+M1301)/(Settings!$B$11*Settings!$B$12)))</f>
        <v/>
      </c>
    </row>
    <row r="1302" customFormat="false" ht="15" hidden="false" customHeight="false" outlineLevel="0" collapsed="false">
      <c r="R1302" s="25" t="str">
        <f aca="true">IF(I1302="","",I1302-TODAY())</f>
        <v/>
      </c>
      <c r="S1302" s="25" t="str">
        <f aca="true">IF(J1302="","",J1302-TODAY())</f>
        <v/>
      </c>
      <c r="T1302" s="24" t="str">
        <f aca="false">IF(A1302="","",IF(OR(AND(R1302&lt;&gt;"",R1302&lt;0),AND(S1302&lt;&gt;"",S1302&lt;0)),"EXPIRED",IF(OR(AND(R1302&lt;&gt;"",R1302&lt;=Settings!$B$15),AND(S1302&lt;&gt;"",S1302&lt;=Settings!$B$15)),"EXPIRING SOON","OK")))</f>
        <v/>
      </c>
      <c r="U1302" s="24" t="str">
        <f aca="false">IF(AND(C1302="Own",Q1302="Active"),COUNTIFS($C$5:C1302,"Own",$Q$5:Q1302,"Active"),"")</f>
        <v/>
      </c>
      <c r="V1302" s="26" t="str">
        <f aca="false">IF(C1302&lt;&gt;"Own","",IF(K1302="Hourly",N1302,(L1302+M1302)/(Settings!$B$11*Settings!$B$12)))</f>
        <v/>
      </c>
    </row>
    <row r="1303" customFormat="false" ht="15" hidden="false" customHeight="false" outlineLevel="0" collapsed="false">
      <c r="R1303" s="25" t="str">
        <f aca="true">IF(I1303="","",I1303-TODAY())</f>
        <v/>
      </c>
      <c r="S1303" s="25" t="str">
        <f aca="true">IF(J1303="","",J1303-TODAY())</f>
        <v/>
      </c>
      <c r="T1303" s="24" t="str">
        <f aca="false">IF(A1303="","",IF(OR(AND(R1303&lt;&gt;"",R1303&lt;0),AND(S1303&lt;&gt;"",S1303&lt;0)),"EXPIRED",IF(OR(AND(R1303&lt;&gt;"",R1303&lt;=Settings!$B$15),AND(S1303&lt;&gt;"",S1303&lt;=Settings!$B$15)),"EXPIRING SOON","OK")))</f>
        <v/>
      </c>
      <c r="U1303" s="24" t="str">
        <f aca="false">IF(AND(C1303="Own",Q1303="Active"),COUNTIFS($C$5:C1303,"Own",$Q$5:Q1303,"Active"),"")</f>
        <v/>
      </c>
      <c r="V1303" s="26" t="str">
        <f aca="false">IF(C1303&lt;&gt;"Own","",IF(K1303="Hourly",N1303,(L1303+M1303)/(Settings!$B$11*Settings!$B$12)))</f>
        <v/>
      </c>
    </row>
    <row r="1304" customFormat="false" ht="15" hidden="false" customHeight="false" outlineLevel="0" collapsed="false">
      <c r="R1304" s="25" t="str">
        <f aca="true">IF(I1304="","",I1304-TODAY())</f>
        <v/>
      </c>
      <c r="S1304" s="25" t="str">
        <f aca="true">IF(J1304="","",J1304-TODAY())</f>
        <v/>
      </c>
      <c r="T1304" s="24" t="str">
        <f aca="false">IF(A1304="","",IF(OR(AND(R1304&lt;&gt;"",R1304&lt;0),AND(S1304&lt;&gt;"",S1304&lt;0)),"EXPIRED",IF(OR(AND(R1304&lt;&gt;"",R1304&lt;=Settings!$B$15),AND(S1304&lt;&gt;"",S1304&lt;=Settings!$B$15)),"EXPIRING SOON","OK")))</f>
        <v/>
      </c>
      <c r="U1304" s="24" t="str">
        <f aca="false">IF(AND(C1304="Own",Q1304="Active"),COUNTIFS($C$5:C1304,"Own",$Q$5:Q1304,"Active"),"")</f>
        <v/>
      </c>
      <c r="V1304" s="26" t="str">
        <f aca="false">IF(C1304&lt;&gt;"Own","",IF(K1304="Hourly",N1304,(L1304+M1304)/(Settings!$B$11*Settings!$B$12)))</f>
        <v/>
      </c>
    </row>
    <row r="1305" customFormat="false" ht="15" hidden="false" customHeight="false" outlineLevel="0" collapsed="false">
      <c r="R1305" s="25" t="str">
        <f aca="true">IF(I1305="","",I1305-TODAY())</f>
        <v/>
      </c>
      <c r="S1305" s="25" t="str">
        <f aca="true">IF(J1305="","",J1305-TODAY())</f>
        <v/>
      </c>
      <c r="T1305" s="24" t="str">
        <f aca="false">IF(A1305="","",IF(OR(AND(R1305&lt;&gt;"",R1305&lt;0),AND(S1305&lt;&gt;"",S1305&lt;0)),"EXPIRED",IF(OR(AND(R1305&lt;&gt;"",R1305&lt;=Settings!$B$15),AND(S1305&lt;&gt;"",S1305&lt;=Settings!$B$15)),"EXPIRING SOON","OK")))</f>
        <v/>
      </c>
      <c r="U1305" s="24" t="str">
        <f aca="false">IF(AND(C1305="Own",Q1305="Active"),COUNTIFS($C$5:C1305,"Own",$Q$5:Q1305,"Active"),"")</f>
        <v/>
      </c>
      <c r="V1305" s="26" t="str">
        <f aca="false">IF(C1305&lt;&gt;"Own","",IF(K1305="Hourly",N1305,(L1305+M1305)/(Settings!$B$11*Settings!$B$12)))</f>
        <v/>
      </c>
    </row>
    <row r="1306" customFormat="false" ht="15" hidden="false" customHeight="false" outlineLevel="0" collapsed="false">
      <c r="R1306" s="25" t="str">
        <f aca="true">IF(I1306="","",I1306-TODAY())</f>
        <v/>
      </c>
      <c r="S1306" s="25" t="str">
        <f aca="true">IF(J1306="","",J1306-TODAY())</f>
        <v/>
      </c>
      <c r="T1306" s="24" t="str">
        <f aca="false">IF(A1306="","",IF(OR(AND(R1306&lt;&gt;"",R1306&lt;0),AND(S1306&lt;&gt;"",S1306&lt;0)),"EXPIRED",IF(OR(AND(R1306&lt;&gt;"",R1306&lt;=Settings!$B$15),AND(S1306&lt;&gt;"",S1306&lt;=Settings!$B$15)),"EXPIRING SOON","OK")))</f>
        <v/>
      </c>
      <c r="U1306" s="24" t="str">
        <f aca="false">IF(AND(C1306="Own",Q1306="Active"),COUNTIFS($C$5:C1306,"Own",$Q$5:Q1306,"Active"),"")</f>
        <v/>
      </c>
      <c r="V1306" s="26" t="str">
        <f aca="false">IF(C1306&lt;&gt;"Own","",IF(K1306="Hourly",N1306,(L1306+M1306)/(Settings!$B$11*Settings!$B$12)))</f>
        <v/>
      </c>
    </row>
    <row r="1307" customFormat="false" ht="15" hidden="false" customHeight="false" outlineLevel="0" collapsed="false">
      <c r="R1307" s="25" t="str">
        <f aca="true">IF(I1307="","",I1307-TODAY())</f>
        <v/>
      </c>
      <c r="S1307" s="25" t="str">
        <f aca="true">IF(J1307="","",J1307-TODAY())</f>
        <v/>
      </c>
      <c r="T1307" s="24" t="str">
        <f aca="false">IF(A1307="","",IF(OR(AND(R1307&lt;&gt;"",R1307&lt;0),AND(S1307&lt;&gt;"",S1307&lt;0)),"EXPIRED",IF(OR(AND(R1307&lt;&gt;"",R1307&lt;=Settings!$B$15),AND(S1307&lt;&gt;"",S1307&lt;=Settings!$B$15)),"EXPIRING SOON","OK")))</f>
        <v/>
      </c>
      <c r="U1307" s="24" t="str">
        <f aca="false">IF(AND(C1307="Own",Q1307="Active"),COUNTIFS($C$5:C1307,"Own",$Q$5:Q1307,"Active"),"")</f>
        <v/>
      </c>
      <c r="V1307" s="26" t="str">
        <f aca="false">IF(C1307&lt;&gt;"Own","",IF(K1307="Hourly",N1307,(L1307+M1307)/(Settings!$B$11*Settings!$B$12)))</f>
        <v/>
      </c>
    </row>
    <row r="1308" customFormat="false" ht="15" hidden="false" customHeight="false" outlineLevel="0" collapsed="false">
      <c r="R1308" s="25" t="str">
        <f aca="true">IF(I1308="","",I1308-TODAY())</f>
        <v/>
      </c>
      <c r="S1308" s="25" t="str">
        <f aca="true">IF(J1308="","",J1308-TODAY())</f>
        <v/>
      </c>
      <c r="T1308" s="24" t="str">
        <f aca="false">IF(A1308="","",IF(OR(AND(R1308&lt;&gt;"",R1308&lt;0),AND(S1308&lt;&gt;"",S1308&lt;0)),"EXPIRED",IF(OR(AND(R1308&lt;&gt;"",R1308&lt;=Settings!$B$15),AND(S1308&lt;&gt;"",S1308&lt;=Settings!$B$15)),"EXPIRING SOON","OK")))</f>
        <v/>
      </c>
      <c r="U1308" s="24" t="str">
        <f aca="false">IF(AND(C1308="Own",Q1308="Active"),COUNTIFS($C$5:C1308,"Own",$Q$5:Q1308,"Active"),"")</f>
        <v/>
      </c>
      <c r="V1308" s="26" t="str">
        <f aca="false">IF(C1308&lt;&gt;"Own","",IF(K1308="Hourly",N1308,(L1308+M1308)/(Settings!$B$11*Settings!$B$12)))</f>
        <v/>
      </c>
    </row>
    <row r="1309" customFormat="false" ht="15" hidden="false" customHeight="false" outlineLevel="0" collapsed="false">
      <c r="R1309" s="25" t="str">
        <f aca="true">IF(I1309="","",I1309-TODAY())</f>
        <v/>
      </c>
      <c r="S1309" s="25" t="str">
        <f aca="true">IF(J1309="","",J1309-TODAY())</f>
        <v/>
      </c>
      <c r="T1309" s="24" t="str">
        <f aca="false">IF(A1309="","",IF(OR(AND(R1309&lt;&gt;"",R1309&lt;0),AND(S1309&lt;&gt;"",S1309&lt;0)),"EXPIRED",IF(OR(AND(R1309&lt;&gt;"",R1309&lt;=Settings!$B$15),AND(S1309&lt;&gt;"",S1309&lt;=Settings!$B$15)),"EXPIRING SOON","OK")))</f>
        <v/>
      </c>
      <c r="U1309" s="24" t="str">
        <f aca="false">IF(AND(C1309="Own",Q1309="Active"),COUNTIFS($C$5:C1309,"Own",$Q$5:Q1309,"Active"),"")</f>
        <v/>
      </c>
      <c r="V1309" s="26" t="str">
        <f aca="false">IF(C1309&lt;&gt;"Own","",IF(K1309="Hourly",N1309,(L1309+M1309)/(Settings!$B$11*Settings!$B$12)))</f>
        <v/>
      </c>
    </row>
    <row r="1310" customFormat="false" ht="15" hidden="false" customHeight="false" outlineLevel="0" collapsed="false">
      <c r="R1310" s="25" t="str">
        <f aca="true">IF(I1310="","",I1310-TODAY())</f>
        <v/>
      </c>
      <c r="S1310" s="25" t="str">
        <f aca="true">IF(J1310="","",J1310-TODAY())</f>
        <v/>
      </c>
      <c r="T1310" s="24" t="str">
        <f aca="false">IF(A1310="","",IF(OR(AND(R1310&lt;&gt;"",R1310&lt;0),AND(S1310&lt;&gt;"",S1310&lt;0)),"EXPIRED",IF(OR(AND(R1310&lt;&gt;"",R1310&lt;=Settings!$B$15),AND(S1310&lt;&gt;"",S1310&lt;=Settings!$B$15)),"EXPIRING SOON","OK")))</f>
        <v/>
      </c>
      <c r="U1310" s="24" t="str">
        <f aca="false">IF(AND(C1310="Own",Q1310="Active"),COUNTIFS($C$5:C1310,"Own",$Q$5:Q1310,"Active"),"")</f>
        <v/>
      </c>
      <c r="V1310" s="26" t="str">
        <f aca="false">IF(C1310&lt;&gt;"Own","",IF(K1310="Hourly",N1310,(L1310+M1310)/(Settings!$B$11*Settings!$B$12)))</f>
        <v/>
      </c>
    </row>
    <row r="1311" customFormat="false" ht="15" hidden="false" customHeight="false" outlineLevel="0" collapsed="false">
      <c r="R1311" s="25" t="str">
        <f aca="true">IF(I1311="","",I1311-TODAY())</f>
        <v/>
      </c>
      <c r="S1311" s="25" t="str">
        <f aca="true">IF(J1311="","",J1311-TODAY())</f>
        <v/>
      </c>
      <c r="T1311" s="24" t="str">
        <f aca="false">IF(A1311="","",IF(OR(AND(R1311&lt;&gt;"",R1311&lt;0),AND(S1311&lt;&gt;"",S1311&lt;0)),"EXPIRED",IF(OR(AND(R1311&lt;&gt;"",R1311&lt;=Settings!$B$15),AND(S1311&lt;&gt;"",S1311&lt;=Settings!$B$15)),"EXPIRING SOON","OK")))</f>
        <v/>
      </c>
      <c r="U1311" s="24" t="str">
        <f aca="false">IF(AND(C1311="Own",Q1311="Active"),COUNTIFS($C$5:C1311,"Own",$Q$5:Q1311,"Active"),"")</f>
        <v/>
      </c>
      <c r="V1311" s="26" t="str">
        <f aca="false">IF(C1311&lt;&gt;"Own","",IF(K1311="Hourly",N1311,(L1311+M1311)/(Settings!$B$11*Settings!$B$12)))</f>
        <v/>
      </c>
    </row>
    <row r="1312" customFormat="false" ht="15" hidden="false" customHeight="false" outlineLevel="0" collapsed="false">
      <c r="R1312" s="25" t="str">
        <f aca="true">IF(I1312="","",I1312-TODAY())</f>
        <v/>
      </c>
      <c r="S1312" s="25" t="str">
        <f aca="true">IF(J1312="","",J1312-TODAY())</f>
        <v/>
      </c>
      <c r="T1312" s="24" t="str">
        <f aca="false">IF(A1312="","",IF(OR(AND(R1312&lt;&gt;"",R1312&lt;0),AND(S1312&lt;&gt;"",S1312&lt;0)),"EXPIRED",IF(OR(AND(R1312&lt;&gt;"",R1312&lt;=Settings!$B$15),AND(S1312&lt;&gt;"",S1312&lt;=Settings!$B$15)),"EXPIRING SOON","OK")))</f>
        <v/>
      </c>
      <c r="U1312" s="24" t="str">
        <f aca="false">IF(AND(C1312="Own",Q1312="Active"),COUNTIFS($C$5:C1312,"Own",$Q$5:Q1312,"Active"),"")</f>
        <v/>
      </c>
      <c r="V1312" s="26" t="str">
        <f aca="false">IF(C1312&lt;&gt;"Own","",IF(K1312="Hourly",N1312,(L1312+M1312)/(Settings!$B$11*Settings!$B$12)))</f>
        <v/>
      </c>
    </row>
    <row r="1313" customFormat="false" ht="15" hidden="false" customHeight="false" outlineLevel="0" collapsed="false">
      <c r="R1313" s="25" t="str">
        <f aca="true">IF(I1313="","",I1313-TODAY())</f>
        <v/>
      </c>
      <c r="S1313" s="25" t="str">
        <f aca="true">IF(J1313="","",J1313-TODAY())</f>
        <v/>
      </c>
      <c r="T1313" s="24" t="str">
        <f aca="false">IF(A1313="","",IF(OR(AND(R1313&lt;&gt;"",R1313&lt;0),AND(S1313&lt;&gt;"",S1313&lt;0)),"EXPIRED",IF(OR(AND(R1313&lt;&gt;"",R1313&lt;=Settings!$B$15),AND(S1313&lt;&gt;"",S1313&lt;=Settings!$B$15)),"EXPIRING SOON","OK")))</f>
        <v/>
      </c>
      <c r="U1313" s="24" t="str">
        <f aca="false">IF(AND(C1313="Own",Q1313="Active"),COUNTIFS($C$5:C1313,"Own",$Q$5:Q1313,"Active"),"")</f>
        <v/>
      </c>
      <c r="V1313" s="26" t="str">
        <f aca="false">IF(C1313&lt;&gt;"Own","",IF(K1313="Hourly",N1313,(L1313+M1313)/(Settings!$B$11*Settings!$B$12)))</f>
        <v/>
      </c>
    </row>
    <row r="1314" customFormat="false" ht="15" hidden="false" customHeight="false" outlineLevel="0" collapsed="false">
      <c r="R1314" s="25" t="str">
        <f aca="true">IF(I1314="","",I1314-TODAY())</f>
        <v/>
      </c>
      <c r="S1314" s="25" t="str">
        <f aca="true">IF(J1314="","",J1314-TODAY())</f>
        <v/>
      </c>
      <c r="T1314" s="24" t="str">
        <f aca="false">IF(A1314="","",IF(OR(AND(R1314&lt;&gt;"",R1314&lt;0),AND(S1314&lt;&gt;"",S1314&lt;0)),"EXPIRED",IF(OR(AND(R1314&lt;&gt;"",R1314&lt;=Settings!$B$15),AND(S1314&lt;&gt;"",S1314&lt;=Settings!$B$15)),"EXPIRING SOON","OK")))</f>
        <v/>
      </c>
      <c r="U1314" s="24" t="str">
        <f aca="false">IF(AND(C1314="Own",Q1314="Active"),COUNTIFS($C$5:C1314,"Own",$Q$5:Q1314,"Active"),"")</f>
        <v/>
      </c>
      <c r="V1314" s="26" t="str">
        <f aca="false">IF(C1314&lt;&gt;"Own","",IF(K1314="Hourly",N1314,(L1314+M1314)/(Settings!$B$11*Settings!$B$12)))</f>
        <v/>
      </c>
    </row>
    <row r="1315" customFormat="false" ht="15" hidden="false" customHeight="false" outlineLevel="0" collapsed="false">
      <c r="R1315" s="25" t="str">
        <f aca="true">IF(I1315="","",I1315-TODAY())</f>
        <v/>
      </c>
      <c r="S1315" s="25" t="str">
        <f aca="true">IF(J1315="","",J1315-TODAY())</f>
        <v/>
      </c>
      <c r="T1315" s="24" t="str">
        <f aca="false">IF(A1315="","",IF(OR(AND(R1315&lt;&gt;"",R1315&lt;0),AND(S1315&lt;&gt;"",S1315&lt;0)),"EXPIRED",IF(OR(AND(R1315&lt;&gt;"",R1315&lt;=Settings!$B$15),AND(S1315&lt;&gt;"",S1315&lt;=Settings!$B$15)),"EXPIRING SOON","OK")))</f>
        <v/>
      </c>
      <c r="U1315" s="24" t="str">
        <f aca="false">IF(AND(C1315="Own",Q1315="Active"),COUNTIFS($C$5:C1315,"Own",$Q$5:Q1315,"Active"),"")</f>
        <v/>
      </c>
      <c r="V1315" s="26" t="str">
        <f aca="false">IF(C1315&lt;&gt;"Own","",IF(K1315="Hourly",N1315,(L1315+M1315)/(Settings!$B$11*Settings!$B$12)))</f>
        <v/>
      </c>
    </row>
    <row r="1316" customFormat="false" ht="15" hidden="false" customHeight="false" outlineLevel="0" collapsed="false">
      <c r="R1316" s="25" t="str">
        <f aca="true">IF(I1316="","",I1316-TODAY())</f>
        <v/>
      </c>
      <c r="S1316" s="25" t="str">
        <f aca="true">IF(J1316="","",J1316-TODAY())</f>
        <v/>
      </c>
      <c r="T1316" s="24" t="str">
        <f aca="false">IF(A1316="","",IF(OR(AND(R1316&lt;&gt;"",R1316&lt;0),AND(S1316&lt;&gt;"",S1316&lt;0)),"EXPIRED",IF(OR(AND(R1316&lt;&gt;"",R1316&lt;=Settings!$B$15),AND(S1316&lt;&gt;"",S1316&lt;=Settings!$B$15)),"EXPIRING SOON","OK")))</f>
        <v/>
      </c>
      <c r="U1316" s="24" t="str">
        <f aca="false">IF(AND(C1316="Own",Q1316="Active"),COUNTIFS($C$5:C1316,"Own",$Q$5:Q1316,"Active"),"")</f>
        <v/>
      </c>
      <c r="V1316" s="26" t="str">
        <f aca="false">IF(C1316&lt;&gt;"Own","",IF(K1316="Hourly",N1316,(L1316+M1316)/(Settings!$B$11*Settings!$B$12)))</f>
        <v/>
      </c>
    </row>
    <row r="1317" customFormat="false" ht="15" hidden="false" customHeight="false" outlineLevel="0" collapsed="false">
      <c r="R1317" s="25" t="str">
        <f aca="true">IF(I1317="","",I1317-TODAY())</f>
        <v/>
      </c>
      <c r="S1317" s="25" t="str">
        <f aca="true">IF(J1317="","",J1317-TODAY())</f>
        <v/>
      </c>
      <c r="T1317" s="24" t="str">
        <f aca="false">IF(A1317="","",IF(OR(AND(R1317&lt;&gt;"",R1317&lt;0),AND(S1317&lt;&gt;"",S1317&lt;0)),"EXPIRED",IF(OR(AND(R1317&lt;&gt;"",R1317&lt;=Settings!$B$15),AND(S1317&lt;&gt;"",S1317&lt;=Settings!$B$15)),"EXPIRING SOON","OK")))</f>
        <v/>
      </c>
      <c r="U1317" s="24" t="str">
        <f aca="false">IF(AND(C1317="Own",Q1317="Active"),COUNTIFS($C$5:C1317,"Own",$Q$5:Q1317,"Active"),"")</f>
        <v/>
      </c>
      <c r="V1317" s="26" t="str">
        <f aca="false">IF(C1317&lt;&gt;"Own","",IF(K1317="Hourly",N1317,(L1317+M1317)/(Settings!$B$11*Settings!$B$12)))</f>
        <v/>
      </c>
    </row>
    <row r="1318" customFormat="false" ht="15" hidden="false" customHeight="false" outlineLevel="0" collapsed="false">
      <c r="R1318" s="25" t="str">
        <f aca="true">IF(I1318="","",I1318-TODAY())</f>
        <v/>
      </c>
      <c r="S1318" s="25" t="str">
        <f aca="true">IF(J1318="","",J1318-TODAY())</f>
        <v/>
      </c>
      <c r="T1318" s="24" t="str">
        <f aca="false">IF(A1318="","",IF(OR(AND(R1318&lt;&gt;"",R1318&lt;0),AND(S1318&lt;&gt;"",S1318&lt;0)),"EXPIRED",IF(OR(AND(R1318&lt;&gt;"",R1318&lt;=Settings!$B$15),AND(S1318&lt;&gt;"",S1318&lt;=Settings!$B$15)),"EXPIRING SOON","OK")))</f>
        <v/>
      </c>
      <c r="U1318" s="24" t="str">
        <f aca="false">IF(AND(C1318="Own",Q1318="Active"),COUNTIFS($C$5:C1318,"Own",$Q$5:Q1318,"Active"),"")</f>
        <v/>
      </c>
      <c r="V1318" s="26" t="str">
        <f aca="false">IF(C1318&lt;&gt;"Own","",IF(K1318="Hourly",N1318,(L1318+M1318)/(Settings!$B$11*Settings!$B$12)))</f>
        <v/>
      </c>
    </row>
    <row r="1319" customFormat="false" ht="15" hidden="false" customHeight="false" outlineLevel="0" collapsed="false">
      <c r="R1319" s="25" t="str">
        <f aca="true">IF(I1319="","",I1319-TODAY())</f>
        <v/>
      </c>
      <c r="S1319" s="25" t="str">
        <f aca="true">IF(J1319="","",J1319-TODAY())</f>
        <v/>
      </c>
      <c r="T1319" s="24" t="str">
        <f aca="false">IF(A1319="","",IF(OR(AND(R1319&lt;&gt;"",R1319&lt;0),AND(S1319&lt;&gt;"",S1319&lt;0)),"EXPIRED",IF(OR(AND(R1319&lt;&gt;"",R1319&lt;=Settings!$B$15),AND(S1319&lt;&gt;"",S1319&lt;=Settings!$B$15)),"EXPIRING SOON","OK")))</f>
        <v/>
      </c>
      <c r="U1319" s="24" t="str">
        <f aca="false">IF(AND(C1319="Own",Q1319="Active"),COUNTIFS($C$5:C1319,"Own",$Q$5:Q1319,"Active"),"")</f>
        <v/>
      </c>
      <c r="V1319" s="26" t="str">
        <f aca="false">IF(C1319&lt;&gt;"Own","",IF(K1319="Hourly",N1319,(L1319+M1319)/(Settings!$B$11*Settings!$B$12)))</f>
        <v/>
      </c>
    </row>
    <row r="1320" customFormat="false" ht="15" hidden="false" customHeight="false" outlineLevel="0" collapsed="false">
      <c r="R1320" s="25" t="str">
        <f aca="true">IF(I1320="","",I1320-TODAY())</f>
        <v/>
      </c>
      <c r="S1320" s="25" t="str">
        <f aca="true">IF(J1320="","",J1320-TODAY())</f>
        <v/>
      </c>
      <c r="T1320" s="24" t="str">
        <f aca="false">IF(A1320="","",IF(OR(AND(R1320&lt;&gt;"",R1320&lt;0),AND(S1320&lt;&gt;"",S1320&lt;0)),"EXPIRED",IF(OR(AND(R1320&lt;&gt;"",R1320&lt;=Settings!$B$15),AND(S1320&lt;&gt;"",S1320&lt;=Settings!$B$15)),"EXPIRING SOON","OK")))</f>
        <v/>
      </c>
      <c r="U1320" s="24" t="str">
        <f aca="false">IF(AND(C1320="Own",Q1320="Active"),COUNTIFS($C$5:C1320,"Own",$Q$5:Q1320,"Active"),"")</f>
        <v/>
      </c>
      <c r="V1320" s="26" t="str">
        <f aca="false">IF(C1320&lt;&gt;"Own","",IF(K1320="Hourly",N1320,(L1320+M1320)/(Settings!$B$11*Settings!$B$12)))</f>
        <v/>
      </c>
    </row>
    <row r="1321" customFormat="false" ht="15" hidden="false" customHeight="false" outlineLevel="0" collapsed="false">
      <c r="R1321" s="25" t="str">
        <f aca="true">IF(I1321="","",I1321-TODAY())</f>
        <v/>
      </c>
      <c r="S1321" s="25" t="str">
        <f aca="true">IF(J1321="","",J1321-TODAY())</f>
        <v/>
      </c>
      <c r="T1321" s="24" t="str">
        <f aca="false">IF(A1321="","",IF(OR(AND(R1321&lt;&gt;"",R1321&lt;0),AND(S1321&lt;&gt;"",S1321&lt;0)),"EXPIRED",IF(OR(AND(R1321&lt;&gt;"",R1321&lt;=Settings!$B$15),AND(S1321&lt;&gt;"",S1321&lt;=Settings!$B$15)),"EXPIRING SOON","OK")))</f>
        <v/>
      </c>
      <c r="U1321" s="24" t="str">
        <f aca="false">IF(AND(C1321="Own",Q1321="Active"),COUNTIFS($C$5:C1321,"Own",$Q$5:Q1321,"Active"),"")</f>
        <v/>
      </c>
      <c r="V1321" s="26" t="str">
        <f aca="false">IF(C1321&lt;&gt;"Own","",IF(K1321="Hourly",N1321,(L1321+M1321)/(Settings!$B$11*Settings!$B$12)))</f>
        <v/>
      </c>
    </row>
    <row r="1322" customFormat="false" ht="15" hidden="false" customHeight="false" outlineLevel="0" collapsed="false">
      <c r="R1322" s="25" t="str">
        <f aca="true">IF(I1322="","",I1322-TODAY())</f>
        <v/>
      </c>
      <c r="S1322" s="25" t="str">
        <f aca="true">IF(J1322="","",J1322-TODAY())</f>
        <v/>
      </c>
      <c r="T1322" s="24" t="str">
        <f aca="false">IF(A1322="","",IF(OR(AND(R1322&lt;&gt;"",R1322&lt;0),AND(S1322&lt;&gt;"",S1322&lt;0)),"EXPIRED",IF(OR(AND(R1322&lt;&gt;"",R1322&lt;=Settings!$B$15),AND(S1322&lt;&gt;"",S1322&lt;=Settings!$B$15)),"EXPIRING SOON","OK")))</f>
        <v/>
      </c>
      <c r="U1322" s="24" t="str">
        <f aca="false">IF(AND(C1322="Own",Q1322="Active"),COUNTIFS($C$5:C1322,"Own",$Q$5:Q1322,"Active"),"")</f>
        <v/>
      </c>
      <c r="V1322" s="26" t="str">
        <f aca="false">IF(C1322&lt;&gt;"Own","",IF(K1322="Hourly",N1322,(L1322+M1322)/(Settings!$B$11*Settings!$B$12)))</f>
        <v/>
      </c>
    </row>
    <row r="1323" customFormat="false" ht="15" hidden="false" customHeight="false" outlineLevel="0" collapsed="false">
      <c r="R1323" s="25" t="str">
        <f aca="true">IF(I1323="","",I1323-TODAY())</f>
        <v/>
      </c>
      <c r="S1323" s="25" t="str">
        <f aca="true">IF(J1323="","",J1323-TODAY())</f>
        <v/>
      </c>
      <c r="T1323" s="24" t="str">
        <f aca="false">IF(A1323="","",IF(OR(AND(R1323&lt;&gt;"",R1323&lt;0),AND(S1323&lt;&gt;"",S1323&lt;0)),"EXPIRED",IF(OR(AND(R1323&lt;&gt;"",R1323&lt;=Settings!$B$15),AND(S1323&lt;&gt;"",S1323&lt;=Settings!$B$15)),"EXPIRING SOON","OK")))</f>
        <v/>
      </c>
      <c r="U1323" s="24" t="str">
        <f aca="false">IF(AND(C1323="Own",Q1323="Active"),COUNTIFS($C$5:C1323,"Own",$Q$5:Q1323,"Active"),"")</f>
        <v/>
      </c>
      <c r="V1323" s="26" t="str">
        <f aca="false">IF(C1323&lt;&gt;"Own","",IF(K1323="Hourly",N1323,(L1323+M1323)/(Settings!$B$11*Settings!$B$12)))</f>
        <v/>
      </c>
    </row>
    <row r="1324" customFormat="false" ht="15" hidden="false" customHeight="false" outlineLevel="0" collapsed="false">
      <c r="R1324" s="25" t="str">
        <f aca="true">IF(I1324="","",I1324-TODAY())</f>
        <v/>
      </c>
      <c r="S1324" s="25" t="str">
        <f aca="true">IF(J1324="","",J1324-TODAY())</f>
        <v/>
      </c>
      <c r="T1324" s="24" t="str">
        <f aca="false">IF(A1324="","",IF(OR(AND(R1324&lt;&gt;"",R1324&lt;0),AND(S1324&lt;&gt;"",S1324&lt;0)),"EXPIRED",IF(OR(AND(R1324&lt;&gt;"",R1324&lt;=Settings!$B$15),AND(S1324&lt;&gt;"",S1324&lt;=Settings!$B$15)),"EXPIRING SOON","OK")))</f>
        <v/>
      </c>
      <c r="U1324" s="24" t="str">
        <f aca="false">IF(AND(C1324="Own",Q1324="Active"),COUNTIFS($C$5:C1324,"Own",$Q$5:Q1324,"Active"),"")</f>
        <v/>
      </c>
      <c r="V1324" s="26" t="str">
        <f aca="false">IF(C1324&lt;&gt;"Own","",IF(K1324="Hourly",N1324,(L1324+M1324)/(Settings!$B$11*Settings!$B$12)))</f>
        <v/>
      </c>
    </row>
    <row r="1325" customFormat="false" ht="15" hidden="false" customHeight="false" outlineLevel="0" collapsed="false">
      <c r="R1325" s="25" t="str">
        <f aca="true">IF(I1325="","",I1325-TODAY())</f>
        <v/>
      </c>
      <c r="S1325" s="25" t="str">
        <f aca="true">IF(J1325="","",J1325-TODAY())</f>
        <v/>
      </c>
      <c r="T1325" s="24" t="str">
        <f aca="false">IF(A1325="","",IF(OR(AND(R1325&lt;&gt;"",R1325&lt;0),AND(S1325&lt;&gt;"",S1325&lt;0)),"EXPIRED",IF(OR(AND(R1325&lt;&gt;"",R1325&lt;=Settings!$B$15),AND(S1325&lt;&gt;"",S1325&lt;=Settings!$B$15)),"EXPIRING SOON","OK")))</f>
        <v/>
      </c>
      <c r="U1325" s="24" t="str">
        <f aca="false">IF(AND(C1325="Own",Q1325="Active"),COUNTIFS($C$5:C1325,"Own",$Q$5:Q1325,"Active"),"")</f>
        <v/>
      </c>
      <c r="V1325" s="26" t="str">
        <f aca="false">IF(C1325&lt;&gt;"Own","",IF(K1325="Hourly",N1325,(L1325+M1325)/(Settings!$B$11*Settings!$B$12)))</f>
        <v/>
      </c>
    </row>
    <row r="1326" customFormat="false" ht="15" hidden="false" customHeight="false" outlineLevel="0" collapsed="false">
      <c r="R1326" s="25" t="str">
        <f aca="true">IF(I1326="","",I1326-TODAY())</f>
        <v/>
      </c>
      <c r="S1326" s="25" t="str">
        <f aca="true">IF(J1326="","",J1326-TODAY())</f>
        <v/>
      </c>
      <c r="T1326" s="24" t="str">
        <f aca="false">IF(A1326="","",IF(OR(AND(R1326&lt;&gt;"",R1326&lt;0),AND(S1326&lt;&gt;"",S1326&lt;0)),"EXPIRED",IF(OR(AND(R1326&lt;&gt;"",R1326&lt;=Settings!$B$15),AND(S1326&lt;&gt;"",S1326&lt;=Settings!$B$15)),"EXPIRING SOON","OK")))</f>
        <v/>
      </c>
      <c r="U1326" s="24" t="str">
        <f aca="false">IF(AND(C1326="Own",Q1326="Active"),COUNTIFS($C$5:C1326,"Own",$Q$5:Q1326,"Active"),"")</f>
        <v/>
      </c>
      <c r="V1326" s="26" t="str">
        <f aca="false">IF(C1326&lt;&gt;"Own","",IF(K1326="Hourly",N1326,(L1326+M1326)/(Settings!$B$11*Settings!$B$12)))</f>
        <v/>
      </c>
    </row>
    <row r="1327" customFormat="false" ht="15" hidden="false" customHeight="false" outlineLevel="0" collapsed="false">
      <c r="R1327" s="25" t="str">
        <f aca="true">IF(I1327="","",I1327-TODAY())</f>
        <v/>
      </c>
      <c r="S1327" s="25" t="str">
        <f aca="true">IF(J1327="","",J1327-TODAY())</f>
        <v/>
      </c>
      <c r="T1327" s="24" t="str">
        <f aca="false">IF(A1327="","",IF(OR(AND(R1327&lt;&gt;"",R1327&lt;0),AND(S1327&lt;&gt;"",S1327&lt;0)),"EXPIRED",IF(OR(AND(R1327&lt;&gt;"",R1327&lt;=Settings!$B$15),AND(S1327&lt;&gt;"",S1327&lt;=Settings!$B$15)),"EXPIRING SOON","OK")))</f>
        <v/>
      </c>
      <c r="U1327" s="24" t="str">
        <f aca="false">IF(AND(C1327="Own",Q1327="Active"),COUNTIFS($C$5:C1327,"Own",$Q$5:Q1327,"Active"),"")</f>
        <v/>
      </c>
      <c r="V1327" s="26" t="str">
        <f aca="false">IF(C1327&lt;&gt;"Own","",IF(K1327="Hourly",N1327,(L1327+M1327)/(Settings!$B$11*Settings!$B$12)))</f>
        <v/>
      </c>
    </row>
    <row r="1328" customFormat="false" ht="15" hidden="false" customHeight="false" outlineLevel="0" collapsed="false">
      <c r="R1328" s="25" t="str">
        <f aca="true">IF(I1328="","",I1328-TODAY())</f>
        <v/>
      </c>
      <c r="S1328" s="25" t="str">
        <f aca="true">IF(J1328="","",J1328-TODAY())</f>
        <v/>
      </c>
      <c r="T1328" s="24" t="str">
        <f aca="false">IF(A1328="","",IF(OR(AND(R1328&lt;&gt;"",R1328&lt;0),AND(S1328&lt;&gt;"",S1328&lt;0)),"EXPIRED",IF(OR(AND(R1328&lt;&gt;"",R1328&lt;=Settings!$B$15),AND(S1328&lt;&gt;"",S1328&lt;=Settings!$B$15)),"EXPIRING SOON","OK")))</f>
        <v/>
      </c>
      <c r="U1328" s="24" t="str">
        <f aca="false">IF(AND(C1328="Own",Q1328="Active"),COUNTIFS($C$5:C1328,"Own",$Q$5:Q1328,"Active"),"")</f>
        <v/>
      </c>
      <c r="V1328" s="26" t="str">
        <f aca="false">IF(C1328&lt;&gt;"Own","",IF(K1328="Hourly",N1328,(L1328+M1328)/(Settings!$B$11*Settings!$B$12)))</f>
        <v/>
      </c>
    </row>
    <row r="1329" customFormat="false" ht="15" hidden="false" customHeight="false" outlineLevel="0" collapsed="false">
      <c r="R1329" s="25" t="str">
        <f aca="true">IF(I1329="","",I1329-TODAY())</f>
        <v/>
      </c>
      <c r="S1329" s="25" t="str">
        <f aca="true">IF(J1329="","",J1329-TODAY())</f>
        <v/>
      </c>
      <c r="T1329" s="24" t="str">
        <f aca="false">IF(A1329="","",IF(OR(AND(R1329&lt;&gt;"",R1329&lt;0),AND(S1329&lt;&gt;"",S1329&lt;0)),"EXPIRED",IF(OR(AND(R1329&lt;&gt;"",R1329&lt;=Settings!$B$15),AND(S1329&lt;&gt;"",S1329&lt;=Settings!$B$15)),"EXPIRING SOON","OK")))</f>
        <v/>
      </c>
      <c r="U1329" s="24" t="str">
        <f aca="false">IF(AND(C1329="Own",Q1329="Active"),COUNTIFS($C$5:C1329,"Own",$Q$5:Q1329,"Active"),"")</f>
        <v/>
      </c>
      <c r="V1329" s="26" t="str">
        <f aca="false">IF(C1329&lt;&gt;"Own","",IF(K1329="Hourly",N1329,(L1329+M1329)/(Settings!$B$11*Settings!$B$12)))</f>
        <v/>
      </c>
    </row>
    <row r="1330" customFormat="false" ht="15" hidden="false" customHeight="false" outlineLevel="0" collapsed="false">
      <c r="R1330" s="25" t="str">
        <f aca="true">IF(I1330="","",I1330-TODAY())</f>
        <v/>
      </c>
      <c r="S1330" s="25" t="str">
        <f aca="true">IF(J1330="","",J1330-TODAY())</f>
        <v/>
      </c>
      <c r="T1330" s="24" t="str">
        <f aca="false">IF(A1330="","",IF(OR(AND(R1330&lt;&gt;"",R1330&lt;0),AND(S1330&lt;&gt;"",S1330&lt;0)),"EXPIRED",IF(OR(AND(R1330&lt;&gt;"",R1330&lt;=Settings!$B$15),AND(S1330&lt;&gt;"",S1330&lt;=Settings!$B$15)),"EXPIRING SOON","OK")))</f>
        <v/>
      </c>
      <c r="U1330" s="24" t="str">
        <f aca="false">IF(AND(C1330="Own",Q1330="Active"),COUNTIFS($C$5:C1330,"Own",$Q$5:Q1330,"Active"),"")</f>
        <v/>
      </c>
      <c r="V1330" s="26" t="str">
        <f aca="false">IF(C1330&lt;&gt;"Own","",IF(K1330="Hourly",N1330,(L1330+M1330)/(Settings!$B$11*Settings!$B$12)))</f>
        <v/>
      </c>
    </row>
    <row r="1331" customFormat="false" ht="15" hidden="false" customHeight="false" outlineLevel="0" collapsed="false">
      <c r="R1331" s="25" t="str">
        <f aca="true">IF(I1331="","",I1331-TODAY())</f>
        <v/>
      </c>
      <c r="S1331" s="25" t="str">
        <f aca="true">IF(J1331="","",J1331-TODAY())</f>
        <v/>
      </c>
      <c r="T1331" s="24" t="str">
        <f aca="false">IF(A1331="","",IF(OR(AND(R1331&lt;&gt;"",R1331&lt;0),AND(S1331&lt;&gt;"",S1331&lt;0)),"EXPIRED",IF(OR(AND(R1331&lt;&gt;"",R1331&lt;=Settings!$B$15),AND(S1331&lt;&gt;"",S1331&lt;=Settings!$B$15)),"EXPIRING SOON","OK")))</f>
        <v/>
      </c>
      <c r="U1331" s="24" t="str">
        <f aca="false">IF(AND(C1331="Own",Q1331="Active"),COUNTIFS($C$5:C1331,"Own",$Q$5:Q1331,"Active"),"")</f>
        <v/>
      </c>
      <c r="V1331" s="26" t="str">
        <f aca="false">IF(C1331&lt;&gt;"Own","",IF(K1331="Hourly",N1331,(L1331+M1331)/(Settings!$B$11*Settings!$B$12)))</f>
        <v/>
      </c>
    </row>
    <row r="1332" customFormat="false" ht="15" hidden="false" customHeight="false" outlineLevel="0" collapsed="false">
      <c r="R1332" s="25" t="str">
        <f aca="true">IF(I1332="","",I1332-TODAY())</f>
        <v/>
      </c>
      <c r="S1332" s="25" t="str">
        <f aca="true">IF(J1332="","",J1332-TODAY())</f>
        <v/>
      </c>
      <c r="T1332" s="24" t="str">
        <f aca="false">IF(A1332="","",IF(OR(AND(R1332&lt;&gt;"",R1332&lt;0),AND(S1332&lt;&gt;"",S1332&lt;0)),"EXPIRED",IF(OR(AND(R1332&lt;&gt;"",R1332&lt;=Settings!$B$15),AND(S1332&lt;&gt;"",S1332&lt;=Settings!$B$15)),"EXPIRING SOON","OK")))</f>
        <v/>
      </c>
      <c r="U1332" s="24" t="str">
        <f aca="false">IF(AND(C1332="Own",Q1332="Active"),COUNTIFS($C$5:C1332,"Own",$Q$5:Q1332,"Active"),"")</f>
        <v/>
      </c>
      <c r="V1332" s="26" t="str">
        <f aca="false">IF(C1332&lt;&gt;"Own","",IF(K1332="Hourly",N1332,(L1332+M1332)/(Settings!$B$11*Settings!$B$12)))</f>
        <v/>
      </c>
    </row>
    <row r="1333" customFormat="false" ht="15" hidden="false" customHeight="false" outlineLevel="0" collapsed="false">
      <c r="R1333" s="25" t="str">
        <f aca="true">IF(I1333="","",I1333-TODAY())</f>
        <v/>
      </c>
      <c r="S1333" s="25" t="str">
        <f aca="true">IF(J1333="","",J1333-TODAY())</f>
        <v/>
      </c>
      <c r="T1333" s="24" t="str">
        <f aca="false">IF(A1333="","",IF(OR(AND(R1333&lt;&gt;"",R1333&lt;0),AND(S1333&lt;&gt;"",S1333&lt;0)),"EXPIRED",IF(OR(AND(R1333&lt;&gt;"",R1333&lt;=Settings!$B$15),AND(S1333&lt;&gt;"",S1333&lt;=Settings!$B$15)),"EXPIRING SOON","OK")))</f>
        <v/>
      </c>
      <c r="U1333" s="24" t="str">
        <f aca="false">IF(AND(C1333="Own",Q1333="Active"),COUNTIFS($C$5:C1333,"Own",$Q$5:Q1333,"Active"),"")</f>
        <v/>
      </c>
      <c r="V1333" s="26" t="str">
        <f aca="false">IF(C1333&lt;&gt;"Own","",IF(K1333="Hourly",N1333,(L1333+M1333)/(Settings!$B$11*Settings!$B$12)))</f>
        <v/>
      </c>
    </row>
    <row r="1334" customFormat="false" ht="15" hidden="false" customHeight="false" outlineLevel="0" collapsed="false">
      <c r="R1334" s="25" t="str">
        <f aca="true">IF(I1334="","",I1334-TODAY())</f>
        <v/>
      </c>
      <c r="S1334" s="25" t="str">
        <f aca="true">IF(J1334="","",J1334-TODAY())</f>
        <v/>
      </c>
      <c r="T1334" s="24" t="str">
        <f aca="false">IF(A1334="","",IF(OR(AND(R1334&lt;&gt;"",R1334&lt;0),AND(S1334&lt;&gt;"",S1334&lt;0)),"EXPIRED",IF(OR(AND(R1334&lt;&gt;"",R1334&lt;=Settings!$B$15),AND(S1334&lt;&gt;"",S1334&lt;=Settings!$B$15)),"EXPIRING SOON","OK")))</f>
        <v/>
      </c>
      <c r="U1334" s="24" t="str">
        <f aca="false">IF(AND(C1334="Own",Q1334="Active"),COUNTIFS($C$5:C1334,"Own",$Q$5:Q1334,"Active"),"")</f>
        <v/>
      </c>
      <c r="V1334" s="26" t="str">
        <f aca="false">IF(C1334&lt;&gt;"Own","",IF(K1334="Hourly",N1334,(L1334+M1334)/(Settings!$B$11*Settings!$B$12)))</f>
        <v/>
      </c>
    </row>
    <row r="1335" customFormat="false" ht="15" hidden="false" customHeight="false" outlineLevel="0" collapsed="false">
      <c r="R1335" s="25" t="str">
        <f aca="true">IF(I1335="","",I1335-TODAY())</f>
        <v/>
      </c>
      <c r="S1335" s="25" t="str">
        <f aca="true">IF(J1335="","",J1335-TODAY())</f>
        <v/>
      </c>
      <c r="T1335" s="24" t="str">
        <f aca="false">IF(A1335="","",IF(OR(AND(R1335&lt;&gt;"",R1335&lt;0),AND(S1335&lt;&gt;"",S1335&lt;0)),"EXPIRED",IF(OR(AND(R1335&lt;&gt;"",R1335&lt;=Settings!$B$15),AND(S1335&lt;&gt;"",S1335&lt;=Settings!$B$15)),"EXPIRING SOON","OK")))</f>
        <v/>
      </c>
      <c r="U1335" s="24" t="str">
        <f aca="false">IF(AND(C1335="Own",Q1335="Active"),COUNTIFS($C$5:C1335,"Own",$Q$5:Q1335,"Active"),"")</f>
        <v/>
      </c>
      <c r="V1335" s="26" t="str">
        <f aca="false">IF(C1335&lt;&gt;"Own","",IF(K1335="Hourly",N1335,(L1335+M1335)/(Settings!$B$11*Settings!$B$12)))</f>
        <v/>
      </c>
    </row>
    <row r="1336" customFormat="false" ht="15" hidden="false" customHeight="false" outlineLevel="0" collapsed="false">
      <c r="R1336" s="25" t="str">
        <f aca="true">IF(I1336="","",I1336-TODAY())</f>
        <v/>
      </c>
      <c r="S1336" s="25" t="str">
        <f aca="true">IF(J1336="","",J1336-TODAY())</f>
        <v/>
      </c>
      <c r="T1336" s="24" t="str">
        <f aca="false">IF(A1336="","",IF(OR(AND(R1336&lt;&gt;"",R1336&lt;0),AND(S1336&lt;&gt;"",S1336&lt;0)),"EXPIRED",IF(OR(AND(R1336&lt;&gt;"",R1336&lt;=Settings!$B$15),AND(S1336&lt;&gt;"",S1336&lt;=Settings!$B$15)),"EXPIRING SOON","OK")))</f>
        <v/>
      </c>
      <c r="U1336" s="24" t="str">
        <f aca="false">IF(AND(C1336="Own",Q1336="Active"),COUNTIFS($C$5:C1336,"Own",$Q$5:Q1336,"Active"),"")</f>
        <v/>
      </c>
      <c r="V1336" s="26" t="str">
        <f aca="false">IF(C1336&lt;&gt;"Own","",IF(K1336="Hourly",N1336,(L1336+M1336)/(Settings!$B$11*Settings!$B$12)))</f>
        <v/>
      </c>
    </row>
    <row r="1337" customFormat="false" ht="15" hidden="false" customHeight="false" outlineLevel="0" collapsed="false">
      <c r="R1337" s="25" t="str">
        <f aca="true">IF(I1337="","",I1337-TODAY())</f>
        <v/>
      </c>
      <c r="S1337" s="25" t="str">
        <f aca="true">IF(J1337="","",J1337-TODAY())</f>
        <v/>
      </c>
      <c r="T1337" s="24" t="str">
        <f aca="false">IF(A1337="","",IF(OR(AND(R1337&lt;&gt;"",R1337&lt;0),AND(S1337&lt;&gt;"",S1337&lt;0)),"EXPIRED",IF(OR(AND(R1337&lt;&gt;"",R1337&lt;=Settings!$B$15),AND(S1337&lt;&gt;"",S1337&lt;=Settings!$B$15)),"EXPIRING SOON","OK")))</f>
        <v/>
      </c>
      <c r="U1337" s="24" t="str">
        <f aca="false">IF(AND(C1337="Own",Q1337="Active"),COUNTIFS($C$5:C1337,"Own",$Q$5:Q1337,"Active"),"")</f>
        <v/>
      </c>
      <c r="V1337" s="26" t="str">
        <f aca="false">IF(C1337&lt;&gt;"Own","",IF(K1337="Hourly",N1337,(L1337+M1337)/(Settings!$B$11*Settings!$B$12)))</f>
        <v/>
      </c>
    </row>
    <row r="1338" customFormat="false" ht="15" hidden="false" customHeight="false" outlineLevel="0" collapsed="false">
      <c r="R1338" s="25" t="str">
        <f aca="true">IF(I1338="","",I1338-TODAY())</f>
        <v/>
      </c>
      <c r="S1338" s="25" t="str">
        <f aca="true">IF(J1338="","",J1338-TODAY())</f>
        <v/>
      </c>
      <c r="T1338" s="24" t="str">
        <f aca="false">IF(A1338="","",IF(OR(AND(R1338&lt;&gt;"",R1338&lt;0),AND(S1338&lt;&gt;"",S1338&lt;0)),"EXPIRED",IF(OR(AND(R1338&lt;&gt;"",R1338&lt;=Settings!$B$15),AND(S1338&lt;&gt;"",S1338&lt;=Settings!$B$15)),"EXPIRING SOON","OK")))</f>
        <v/>
      </c>
      <c r="U1338" s="24" t="str">
        <f aca="false">IF(AND(C1338="Own",Q1338="Active"),COUNTIFS($C$5:C1338,"Own",$Q$5:Q1338,"Active"),"")</f>
        <v/>
      </c>
      <c r="V1338" s="26" t="str">
        <f aca="false">IF(C1338&lt;&gt;"Own","",IF(K1338="Hourly",N1338,(L1338+M1338)/(Settings!$B$11*Settings!$B$12)))</f>
        <v/>
      </c>
    </row>
    <row r="1339" customFormat="false" ht="15" hidden="false" customHeight="false" outlineLevel="0" collapsed="false">
      <c r="R1339" s="25" t="str">
        <f aca="true">IF(I1339="","",I1339-TODAY())</f>
        <v/>
      </c>
      <c r="S1339" s="25" t="str">
        <f aca="true">IF(J1339="","",J1339-TODAY())</f>
        <v/>
      </c>
      <c r="T1339" s="24" t="str">
        <f aca="false">IF(A1339="","",IF(OR(AND(R1339&lt;&gt;"",R1339&lt;0),AND(S1339&lt;&gt;"",S1339&lt;0)),"EXPIRED",IF(OR(AND(R1339&lt;&gt;"",R1339&lt;=Settings!$B$15),AND(S1339&lt;&gt;"",S1339&lt;=Settings!$B$15)),"EXPIRING SOON","OK")))</f>
        <v/>
      </c>
      <c r="U1339" s="24" t="str">
        <f aca="false">IF(AND(C1339="Own",Q1339="Active"),COUNTIFS($C$5:C1339,"Own",$Q$5:Q1339,"Active"),"")</f>
        <v/>
      </c>
      <c r="V1339" s="26" t="str">
        <f aca="false">IF(C1339&lt;&gt;"Own","",IF(K1339="Hourly",N1339,(L1339+M1339)/(Settings!$B$11*Settings!$B$12)))</f>
        <v/>
      </c>
    </row>
    <row r="1340" customFormat="false" ht="15" hidden="false" customHeight="false" outlineLevel="0" collapsed="false">
      <c r="R1340" s="25" t="str">
        <f aca="true">IF(I1340="","",I1340-TODAY())</f>
        <v/>
      </c>
      <c r="S1340" s="25" t="str">
        <f aca="true">IF(J1340="","",J1340-TODAY())</f>
        <v/>
      </c>
      <c r="T1340" s="24" t="str">
        <f aca="false">IF(A1340="","",IF(OR(AND(R1340&lt;&gt;"",R1340&lt;0),AND(S1340&lt;&gt;"",S1340&lt;0)),"EXPIRED",IF(OR(AND(R1340&lt;&gt;"",R1340&lt;=Settings!$B$15),AND(S1340&lt;&gt;"",S1340&lt;=Settings!$B$15)),"EXPIRING SOON","OK")))</f>
        <v/>
      </c>
      <c r="U1340" s="24" t="str">
        <f aca="false">IF(AND(C1340="Own",Q1340="Active"),COUNTIFS($C$5:C1340,"Own",$Q$5:Q1340,"Active"),"")</f>
        <v/>
      </c>
      <c r="V1340" s="26" t="str">
        <f aca="false">IF(C1340&lt;&gt;"Own","",IF(K1340="Hourly",N1340,(L1340+M1340)/(Settings!$B$11*Settings!$B$12)))</f>
        <v/>
      </c>
    </row>
    <row r="1341" customFormat="false" ht="15" hidden="false" customHeight="false" outlineLevel="0" collapsed="false">
      <c r="R1341" s="25" t="str">
        <f aca="true">IF(I1341="","",I1341-TODAY())</f>
        <v/>
      </c>
      <c r="S1341" s="25" t="str">
        <f aca="true">IF(J1341="","",J1341-TODAY())</f>
        <v/>
      </c>
      <c r="T1341" s="24" t="str">
        <f aca="false">IF(A1341="","",IF(OR(AND(R1341&lt;&gt;"",R1341&lt;0),AND(S1341&lt;&gt;"",S1341&lt;0)),"EXPIRED",IF(OR(AND(R1341&lt;&gt;"",R1341&lt;=Settings!$B$15),AND(S1341&lt;&gt;"",S1341&lt;=Settings!$B$15)),"EXPIRING SOON","OK")))</f>
        <v/>
      </c>
      <c r="U1341" s="24" t="str">
        <f aca="false">IF(AND(C1341="Own",Q1341="Active"),COUNTIFS($C$5:C1341,"Own",$Q$5:Q1341,"Active"),"")</f>
        <v/>
      </c>
      <c r="V1341" s="26" t="str">
        <f aca="false">IF(C1341&lt;&gt;"Own","",IF(K1341="Hourly",N1341,(L1341+M1341)/(Settings!$B$11*Settings!$B$12)))</f>
        <v/>
      </c>
    </row>
    <row r="1342" customFormat="false" ht="15" hidden="false" customHeight="false" outlineLevel="0" collapsed="false">
      <c r="R1342" s="25" t="str">
        <f aca="true">IF(I1342="","",I1342-TODAY())</f>
        <v/>
      </c>
      <c r="S1342" s="25" t="str">
        <f aca="true">IF(J1342="","",J1342-TODAY())</f>
        <v/>
      </c>
      <c r="T1342" s="24" t="str">
        <f aca="false">IF(A1342="","",IF(OR(AND(R1342&lt;&gt;"",R1342&lt;0),AND(S1342&lt;&gt;"",S1342&lt;0)),"EXPIRED",IF(OR(AND(R1342&lt;&gt;"",R1342&lt;=Settings!$B$15),AND(S1342&lt;&gt;"",S1342&lt;=Settings!$B$15)),"EXPIRING SOON","OK")))</f>
        <v/>
      </c>
      <c r="U1342" s="24" t="str">
        <f aca="false">IF(AND(C1342="Own",Q1342="Active"),COUNTIFS($C$5:C1342,"Own",$Q$5:Q1342,"Active"),"")</f>
        <v/>
      </c>
      <c r="V1342" s="26" t="str">
        <f aca="false">IF(C1342&lt;&gt;"Own","",IF(K1342="Hourly",N1342,(L1342+M1342)/(Settings!$B$11*Settings!$B$12)))</f>
        <v/>
      </c>
    </row>
    <row r="1343" customFormat="false" ht="15" hidden="false" customHeight="false" outlineLevel="0" collapsed="false">
      <c r="R1343" s="25" t="str">
        <f aca="true">IF(I1343="","",I1343-TODAY())</f>
        <v/>
      </c>
      <c r="S1343" s="25" t="str">
        <f aca="true">IF(J1343="","",J1343-TODAY())</f>
        <v/>
      </c>
      <c r="T1343" s="24" t="str">
        <f aca="false">IF(A1343="","",IF(OR(AND(R1343&lt;&gt;"",R1343&lt;0),AND(S1343&lt;&gt;"",S1343&lt;0)),"EXPIRED",IF(OR(AND(R1343&lt;&gt;"",R1343&lt;=Settings!$B$15),AND(S1343&lt;&gt;"",S1343&lt;=Settings!$B$15)),"EXPIRING SOON","OK")))</f>
        <v/>
      </c>
      <c r="U1343" s="24" t="str">
        <f aca="false">IF(AND(C1343="Own",Q1343="Active"),COUNTIFS($C$5:C1343,"Own",$Q$5:Q1343,"Active"),"")</f>
        <v/>
      </c>
      <c r="V1343" s="26" t="str">
        <f aca="false">IF(C1343&lt;&gt;"Own","",IF(K1343="Hourly",N1343,(L1343+M1343)/(Settings!$B$11*Settings!$B$12)))</f>
        <v/>
      </c>
    </row>
    <row r="1344" customFormat="false" ht="15" hidden="false" customHeight="false" outlineLevel="0" collapsed="false">
      <c r="R1344" s="25" t="str">
        <f aca="true">IF(I1344="","",I1344-TODAY())</f>
        <v/>
      </c>
      <c r="S1344" s="25" t="str">
        <f aca="true">IF(J1344="","",J1344-TODAY())</f>
        <v/>
      </c>
      <c r="T1344" s="24" t="str">
        <f aca="false">IF(A1344="","",IF(OR(AND(R1344&lt;&gt;"",R1344&lt;0),AND(S1344&lt;&gt;"",S1344&lt;0)),"EXPIRED",IF(OR(AND(R1344&lt;&gt;"",R1344&lt;=Settings!$B$15),AND(S1344&lt;&gt;"",S1344&lt;=Settings!$B$15)),"EXPIRING SOON","OK")))</f>
        <v/>
      </c>
      <c r="U1344" s="24" t="str">
        <f aca="false">IF(AND(C1344="Own",Q1344="Active"),COUNTIFS($C$5:C1344,"Own",$Q$5:Q1344,"Active"),"")</f>
        <v/>
      </c>
      <c r="V1344" s="26" t="str">
        <f aca="false">IF(C1344&lt;&gt;"Own","",IF(K1344="Hourly",N1344,(L1344+M1344)/(Settings!$B$11*Settings!$B$12)))</f>
        <v/>
      </c>
    </row>
    <row r="1345" customFormat="false" ht="15" hidden="false" customHeight="false" outlineLevel="0" collapsed="false">
      <c r="R1345" s="25" t="str">
        <f aca="true">IF(I1345="","",I1345-TODAY())</f>
        <v/>
      </c>
      <c r="S1345" s="25" t="str">
        <f aca="true">IF(J1345="","",J1345-TODAY())</f>
        <v/>
      </c>
      <c r="T1345" s="24" t="str">
        <f aca="false">IF(A1345="","",IF(OR(AND(R1345&lt;&gt;"",R1345&lt;0),AND(S1345&lt;&gt;"",S1345&lt;0)),"EXPIRED",IF(OR(AND(R1345&lt;&gt;"",R1345&lt;=Settings!$B$15),AND(S1345&lt;&gt;"",S1345&lt;=Settings!$B$15)),"EXPIRING SOON","OK")))</f>
        <v/>
      </c>
      <c r="U1345" s="24" t="str">
        <f aca="false">IF(AND(C1345="Own",Q1345="Active"),COUNTIFS($C$5:C1345,"Own",$Q$5:Q1345,"Active"),"")</f>
        <v/>
      </c>
      <c r="V1345" s="26" t="str">
        <f aca="false">IF(C1345&lt;&gt;"Own","",IF(K1345="Hourly",N1345,(L1345+M1345)/(Settings!$B$11*Settings!$B$12)))</f>
        <v/>
      </c>
    </row>
    <row r="1346" customFormat="false" ht="15" hidden="false" customHeight="false" outlineLevel="0" collapsed="false">
      <c r="R1346" s="25" t="str">
        <f aca="true">IF(I1346="","",I1346-TODAY())</f>
        <v/>
      </c>
      <c r="S1346" s="25" t="str">
        <f aca="true">IF(J1346="","",J1346-TODAY())</f>
        <v/>
      </c>
      <c r="T1346" s="24" t="str">
        <f aca="false">IF(A1346="","",IF(OR(AND(R1346&lt;&gt;"",R1346&lt;0),AND(S1346&lt;&gt;"",S1346&lt;0)),"EXPIRED",IF(OR(AND(R1346&lt;&gt;"",R1346&lt;=Settings!$B$15),AND(S1346&lt;&gt;"",S1346&lt;=Settings!$B$15)),"EXPIRING SOON","OK")))</f>
        <v/>
      </c>
      <c r="U1346" s="24" t="str">
        <f aca="false">IF(AND(C1346="Own",Q1346="Active"),COUNTIFS($C$5:C1346,"Own",$Q$5:Q1346,"Active"),"")</f>
        <v/>
      </c>
      <c r="V1346" s="26" t="str">
        <f aca="false">IF(C1346&lt;&gt;"Own","",IF(K1346="Hourly",N1346,(L1346+M1346)/(Settings!$B$11*Settings!$B$12)))</f>
        <v/>
      </c>
    </row>
    <row r="1347" customFormat="false" ht="15" hidden="false" customHeight="false" outlineLevel="0" collapsed="false">
      <c r="R1347" s="25" t="str">
        <f aca="true">IF(I1347="","",I1347-TODAY())</f>
        <v/>
      </c>
      <c r="S1347" s="25" t="str">
        <f aca="true">IF(J1347="","",J1347-TODAY())</f>
        <v/>
      </c>
      <c r="T1347" s="24" t="str">
        <f aca="false">IF(A1347="","",IF(OR(AND(R1347&lt;&gt;"",R1347&lt;0),AND(S1347&lt;&gt;"",S1347&lt;0)),"EXPIRED",IF(OR(AND(R1347&lt;&gt;"",R1347&lt;=Settings!$B$15),AND(S1347&lt;&gt;"",S1347&lt;=Settings!$B$15)),"EXPIRING SOON","OK")))</f>
        <v/>
      </c>
      <c r="U1347" s="24" t="str">
        <f aca="false">IF(AND(C1347="Own",Q1347="Active"),COUNTIFS($C$5:C1347,"Own",$Q$5:Q1347,"Active"),"")</f>
        <v/>
      </c>
      <c r="V1347" s="26" t="str">
        <f aca="false">IF(C1347&lt;&gt;"Own","",IF(K1347="Hourly",N1347,(L1347+M1347)/(Settings!$B$11*Settings!$B$12)))</f>
        <v/>
      </c>
    </row>
    <row r="1348" customFormat="false" ht="15" hidden="false" customHeight="false" outlineLevel="0" collapsed="false">
      <c r="R1348" s="25" t="str">
        <f aca="true">IF(I1348="","",I1348-TODAY())</f>
        <v/>
      </c>
      <c r="S1348" s="25" t="str">
        <f aca="true">IF(J1348="","",J1348-TODAY())</f>
        <v/>
      </c>
      <c r="T1348" s="24" t="str">
        <f aca="false">IF(A1348="","",IF(OR(AND(R1348&lt;&gt;"",R1348&lt;0),AND(S1348&lt;&gt;"",S1348&lt;0)),"EXPIRED",IF(OR(AND(R1348&lt;&gt;"",R1348&lt;=Settings!$B$15),AND(S1348&lt;&gt;"",S1348&lt;=Settings!$B$15)),"EXPIRING SOON","OK")))</f>
        <v/>
      </c>
      <c r="U1348" s="24" t="str">
        <f aca="false">IF(AND(C1348="Own",Q1348="Active"),COUNTIFS($C$5:C1348,"Own",$Q$5:Q1348,"Active"),"")</f>
        <v/>
      </c>
      <c r="V1348" s="26" t="str">
        <f aca="false">IF(C1348&lt;&gt;"Own","",IF(K1348="Hourly",N1348,(L1348+M1348)/(Settings!$B$11*Settings!$B$12)))</f>
        <v/>
      </c>
    </row>
    <row r="1349" customFormat="false" ht="15" hidden="false" customHeight="false" outlineLevel="0" collapsed="false">
      <c r="R1349" s="25" t="str">
        <f aca="true">IF(I1349="","",I1349-TODAY())</f>
        <v/>
      </c>
      <c r="S1349" s="25" t="str">
        <f aca="true">IF(J1349="","",J1349-TODAY())</f>
        <v/>
      </c>
      <c r="T1349" s="24" t="str">
        <f aca="false">IF(A1349="","",IF(OR(AND(R1349&lt;&gt;"",R1349&lt;0),AND(S1349&lt;&gt;"",S1349&lt;0)),"EXPIRED",IF(OR(AND(R1349&lt;&gt;"",R1349&lt;=Settings!$B$15),AND(S1349&lt;&gt;"",S1349&lt;=Settings!$B$15)),"EXPIRING SOON","OK")))</f>
        <v/>
      </c>
      <c r="U1349" s="24" t="str">
        <f aca="false">IF(AND(C1349="Own",Q1349="Active"),COUNTIFS($C$5:C1349,"Own",$Q$5:Q1349,"Active"),"")</f>
        <v/>
      </c>
      <c r="V1349" s="26" t="str">
        <f aca="false">IF(C1349&lt;&gt;"Own","",IF(K1349="Hourly",N1349,(L1349+M1349)/(Settings!$B$11*Settings!$B$12)))</f>
        <v/>
      </c>
    </row>
    <row r="1350" customFormat="false" ht="15" hidden="false" customHeight="false" outlineLevel="0" collapsed="false">
      <c r="R1350" s="25" t="str">
        <f aca="true">IF(I1350="","",I1350-TODAY())</f>
        <v/>
      </c>
      <c r="S1350" s="25" t="str">
        <f aca="true">IF(J1350="","",J1350-TODAY())</f>
        <v/>
      </c>
      <c r="T1350" s="24" t="str">
        <f aca="false">IF(A1350="","",IF(OR(AND(R1350&lt;&gt;"",R1350&lt;0),AND(S1350&lt;&gt;"",S1350&lt;0)),"EXPIRED",IF(OR(AND(R1350&lt;&gt;"",R1350&lt;=Settings!$B$15),AND(S1350&lt;&gt;"",S1350&lt;=Settings!$B$15)),"EXPIRING SOON","OK")))</f>
        <v/>
      </c>
      <c r="U1350" s="24" t="str">
        <f aca="false">IF(AND(C1350="Own",Q1350="Active"),COUNTIFS($C$5:C1350,"Own",$Q$5:Q1350,"Active"),"")</f>
        <v/>
      </c>
      <c r="V1350" s="26" t="str">
        <f aca="false">IF(C1350&lt;&gt;"Own","",IF(K1350="Hourly",N1350,(L1350+M1350)/(Settings!$B$11*Settings!$B$12)))</f>
        <v/>
      </c>
    </row>
    <row r="1351" customFormat="false" ht="15" hidden="false" customHeight="false" outlineLevel="0" collapsed="false">
      <c r="R1351" s="25" t="str">
        <f aca="true">IF(I1351="","",I1351-TODAY())</f>
        <v/>
      </c>
      <c r="S1351" s="25" t="str">
        <f aca="true">IF(J1351="","",J1351-TODAY())</f>
        <v/>
      </c>
      <c r="T1351" s="24" t="str">
        <f aca="false">IF(A1351="","",IF(OR(AND(R1351&lt;&gt;"",R1351&lt;0),AND(S1351&lt;&gt;"",S1351&lt;0)),"EXPIRED",IF(OR(AND(R1351&lt;&gt;"",R1351&lt;=Settings!$B$15),AND(S1351&lt;&gt;"",S1351&lt;=Settings!$B$15)),"EXPIRING SOON","OK")))</f>
        <v/>
      </c>
      <c r="U1351" s="24" t="str">
        <f aca="false">IF(AND(C1351="Own",Q1351="Active"),COUNTIFS($C$5:C1351,"Own",$Q$5:Q1351,"Active"),"")</f>
        <v/>
      </c>
      <c r="V1351" s="26" t="str">
        <f aca="false">IF(C1351&lt;&gt;"Own","",IF(K1351="Hourly",N1351,(L1351+M1351)/(Settings!$B$11*Settings!$B$12)))</f>
        <v/>
      </c>
    </row>
    <row r="1352" customFormat="false" ht="15" hidden="false" customHeight="false" outlineLevel="0" collapsed="false">
      <c r="R1352" s="25" t="str">
        <f aca="true">IF(I1352="","",I1352-TODAY())</f>
        <v/>
      </c>
      <c r="S1352" s="25" t="str">
        <f aca="true">IF(J1352="","",J1352-TODAY())</f>
        <v/>
      </c>
      <c r="T1352" s="24" t="str">
        <f aca="false">IF(A1352="","",IF(OR(AND(R1352&lt;&gt;"",R1352&lt;0),AND(S1352&lt;&gt;"",S1352&lt;0)),"EXPIRED",IF(OR(AND(R1352&lt;&gt;"",R1352&lt;=Settings!$B$15),AND(S1352&lt;&gt;"",S1352&lt;=Settings!$B$15)),"EXPIRING SOON","OK")))</f>
        <v/>
      </c>
      <c r="U1352" s="24" t="str">
        <f aca="false">IF(AND(C1352="Own",Q1352="Active"),COUNTIFS($C$5:C1352,"Own",$Q$5:Q1352,"Active"),"")</f>
        <v/>
      </c>
      <c r="V1352" s="26" t="str">
        <f aca="false">IF(C1352&lt;&gt;"Own","",IF(K1352="Hourly",N1352,(L1352+M1352)/(Settings!$B$11*Settings!$B$12)))</f>
        <v/>
      </c>
    </row>
    <row r="1353" customFormat="false" ht="15" hidden="false" customHeight="false" outlineLevel="0" collapsed="false">
      <c r="R1353" s="25" t="str">
        <f aca="true">IF(I1353="","",I1353-TODAY())</f>
        <v/>
      </c>
      <c r="S1353" s="25" t="str">
        <f aca="true">IF(J1353="","",J1353-TODAY())</f>
        <v/>
      </c>
      <c r="T1353" s="24" t="str">
        <f aca="false">IF(A1353="","",IF(OR(AND(R1353&lt;&gt;"",R1353&lt;0),AND(S1353&lt;&gt;"",S1353&lt;0)),"EXPIRED",IF(OR(AND(R1353&lt;&gt;"",R1353&lt;=Settings!$B$15),AND(S1353&lt;&gt;"",S1353&lt;=Settings!$B$15)),"EXPIRING SOON","OK")))</f>
        <v/>
      </c>
      <c r="U1353" s="24" t="str">
        <f aca="false">IF(AND(C1353="Own",Q1353="Active"),COUNTIFS($C$5:C1353,"Own",$Q$5:Q1353,"Active"),"")</f>
        <v/>
      </c>
      <c r="V1353" s="26" t="str">
        <f aca="false">IF(C1353&lt;&gt;"Own","",IF(K1353="Hourly",N1353,(L1353+M1353)/(Settings!$B$11*Settings!$B$12)))</f>
        <v/>
      </c>
    </row>
    <row r="1354" customFormat="false" ht="15" hidden="false" customHeight="false" outlineLevel="0" collapsed="false">
      <c r="R1354" s="25" t="str">
        <f aca="true">IF(I1354="","",I1354-TODAY())</f>
        <v/>
      </c>
      <c r="S1354" s="25" t="str">
        <f aca="true">IF(J1354="","",J1354-TODAY())</f>
        <v/>
      </c>
      <c r="T1354" s="24" t="str">
        <f aca="false">IF(A1354="","",IF(OR(AND(R1354&lt;&gt;"",R1354&lt;0),AND(S1354&lt;&gt;"",S1354&lt;0)),"EXPIRED",IF(OR(AND(R1354&lt;&gt;"",R1354&lt;=Settings!$B$15),AND(S1354&lt;&gt;"",S1354&lt;=Settings!$B$15)),"EXPIRING SOON","OK")))</f>
        <v/>
      </c>
      <c r="U1354" s="24" t="str">
        <f aca="false">IF(AND(C1354="Own",Q1354="Active"),COUNTIFS($C$5:C1354,"Own",$Q$5:Q1354,"Active"),"")</f>
        <v/>
      </c>
      <c r="V1354" s="26" t="str">
        <f aca="false">IF(C1354&lt;&gt;"Own","",IF(K1354="Hourly",N1354,(L1354+M1354)/(Settings!$B$11*Settings!$B$12)))</f>
        <v/>
      </c>
    </row>
    <row r="1355" customFormat="false" ht="15" hidden="false" customHeight="false" outlineLevel="0" collapsed="false">
      <c r="R1355" s="25" t="str">
        <f aca="true">IF(I1355="","",I1355-TODAY())</f>
        <v/>
      </c>
      <c r="S1355" s="25" t="str">
        <f aca="true">IF(J1355="","",J1355-TODAY())</f>
        <v/>
      </c>
      <c r="T1355" s="24" t="str">
        <f aca="false">IF(A1355="","",IF(OR(AND(R1355&lt;&gt;"",R1355&lt;0),AND(S1355&lt;&gt;"",S1355&lt;0)),"EXPIRED",IF(OR(AND(R1355&lt;&gt;"",R1355&lt;=Settings!$B$15),AND(S1355&lt;&gt;"",S1355&lt;=Settings!$B$15)),"EXPIRING SOON","OK")))</f>
        <v/>
      </c>
      <c r="U1355" s="24" t="str">
        <f aca="false">IF(AND(C1355="Own",Q1355="Active"),COUNTIFS($C$5:C1355,"Own",$Q$5:Q1355,"Active"),"")</f>
        <v/>
      </c>
      <c r="V1355" s="26" t="str">
        <f aca="false">IF(C1355&lt;&gt;"Own","",IF(K1355="Hourly",N1355,(L1355+M1355)/(Settings!$B$11*Settings!$B$12)))</f>
        <v/>
      </c>
    </row>
    <row r="1356" customFormat="false" ht="15" hidden="false" customHeight="false" outlineLevel="0" collapsed="false">
      <c r="R1356" s="25" t="str">
        <f aca="true">IF(I1356="","",I1356-TODAY())</f>
        <v/>
      </c>
      <c r="S1356" s="25" t="str">
        <f aca="true">IF(J1356="","",J1356-TODAY())</f>
        <v/>
      </c>
      <c r="T1356" s="24" t="str">
        <f aca="false">IF(A1356="","",IF(OR(AND(R1356&lt;&gt;"",R1356&lt;0),AND(S1356&lt;&gt;"",S1356&lt;0)),"EXPIRED",IF(OR(AND(R1356&lt;&gt;"",R1356&lt;=Settings!$B$15),AND(S1356&lt;&gt;"",S1356&lt;=Settings!$B$15)),"EXPIRING SOON","OK")))</f>
        <v/>
      </c>
      <c r="U1356" s="24" t="str">
        <f aca="false">IF(AND(C1356="Own",Q1356="Active"),COUNTIFS($C$5:C1356,"Own",$Q$5:Q1356,"Active"),"")</f>
        <v/>
      </c>
      <c r="V1356" s="26" t="str">
        <f aca="false">IF(C1356&lt;&gt;"Own","",IF(K1356="Hourly",N1356,(L1356+M1356)/(Settings!$B$11*Settings!$B$12)))</f>
        <v/>
      </c>
    </row>
    <row r="1357" customFormat="false" ht="15" hidden="false" customHeight="false" outlineLevel="0" collapsed="false">
      <c r="R1357" s="25" t="str">
        <f aca="true">IF(I1357="","",I1357-TODAY())</f>
        <v/>
      </c>
      <c r="S1357" s="25" t="str">
        <f aca="true">IF(J1357="","",J1357-TODAY())</f>
        <v/>
      </c>
      <c r="T1357" s="24" t="str">
        <f aca="false">IF(A1357="","",IF(OR(AND(R1357&lt;&gt;"",R1357&lt;0),AND(S1357&lt;&gt;"",S1357&lt;0)),"EXPIRED",IF(OR(AND(R1357&lt;&gt;"",R1357&lt;=Settings!$B$15),AND(S1357&lt;&gt;"",S1357&lt;=Settings!$B$15)),"EXPIRING SOON","OK")))</f>
        <v/>
      </c>
      <c r="U1357" s="24" t="str">
        <f aca="false">IF(AND(C1357="Own",Q1357="Active"),COUNTIFS($C$5:C1357,"Own",$Q$5:Q1357,"Active"),"")</f>
        <v/>
      </c>
      <c r="V1357" s="26" t="str">
        <f aca="false">IF(C1357&lt;&gt;"Own","",IF(K1357="Hourly",N1357,(L1357+M1357)/(Settings!$B$11*Settings!$B$12)))</f>
        <v/>
      </c>
    </row>
    <row r="1358" customFormat="false" ht="15" hidden="false" customHeight="false" outlineLevel="0" collapsed="false">
      <c r="R1358" s="25" t="str">
        <f aca="true">IF(I1358="","",I1358-TODAY())</f>
        <v/>
      </c>
      <c r="S1358" s="25" t="str">
        <f aca="true">IF(J1358="","",J1358-TODAY())</f>
        <v/>
      </c>
      <c r="T1358" s="24" t="str">
        <f aca="false">IF(A1358="","",IF(OR(AND(R1358&lt;&gt;"",R1358&lt;0),AND(S1358&lt;&gt;"",S1358&lt;0)),"EXPIRED",IF(OR(AND(R1358&lt;&gt;"",R1358&lt;=Settings!$B$15),AND(S1358&lt;&gt;"",S1358&lt;=Settings!$B$15)),"EXPIRING SOON","OK")))</f>
        <v/>
      </c>
      <c r="U1358" s="24" t="str">
        <f aca="false">IF(AND(C1358="Own",Q1358="Active"),COUNTIFS($C$5:C1358,"Own",$Q$5:Q1358,"Active"),"")</f>
        <v/>
      </c>
      <c r="V1358" s="26" t="str">
        <f aca="false">IF(C1358&lt;&gt;"Own","",IF(K1358="Hourly",N1358,(L1358+M1358)/(Settings!$B$11*Settings!$B$12)))</f>
        <v/>
      </c>
    </row>
    <row r="1359" customFormat="false" ht="15" hidden="false" customHeight="false" outlineLevel="0" collapsed="false">
      <c r="R1359" s="25" t="str">
        <f aca="true">IF(I1359="","",I1359-TODAY())</f>
        <v/>
      </c>
      <c r="S1359" s="25" t="str">
        <f aca="true">IF(J1359="","",J1359-TODAY())</f>
        <v/>
      </c>
      <c r="T1359" s="24" t="str">
        <f aca="false">IF(A1359="","",IF(OR(AND(R1359&lt;&gt;"",R1359&lt;0),AND(S1359&lt;&gt;"",S1359&lt;0)),"EXPIRED",IF(OR(AND(R1359&lt;&gt;"",R1359&lt;=Settings!$B$15),AND(S1359&lt;&gt;"",S1359&lt;=Settings!$B$15)),"EXPIRING SOON","OK")))</f>
        <v/>
      </c>
      <c r="U1359" s="24" t="str">
        <f aca="false">IF(AND(C1359="Own",Q1359="Active"),COUNTIFS($C$5:C1359,"Own",$Q$5:Q1359,"Active"),"")</f>
        <v/>
      </c>
      <c r="V1359" s="26" t="str">
        <f aca="false">IF(C1359&lt;&gt;"Own","",IF(K1359="Hourly",N1359,(L1359+M1359)/(Settings!$B$11*Settings!$B$12)))</f>
        <v/>
      </c>
    </row>
    <row r="1360" customFormat="false" ht="15" hidden="false" customHeight="false" outlineLevel="0" collapsed="false">
      <c r="R1360" s="25" t="str">
        <f aca="true">IF(I1360="","",I1360-TODAY())</f>
        <v/>
      </c>
      <c r="S1360" s="25" t="str">
        <f aca="true">IF(J1360="","",J1360-TODAY())</f>
        <v/>
      </c>
      <c r="T1360" s="24" t="str">
        <f aca="false">IF(A1360="","",IF(OR(AND(R1360&lt;&gt;"",R1360&lt;0),AND(S1360&lt;&gt;"",S1360&lt;0)),"EXPIRED",IF(OR(AND(R1360&lt;&gt;"",R1360&lt;=Settings!$B$15),AND(S1360&lt;&gt;"",S1360&lt;=Settings!$B$15)),"EXPIRING SOON","OK")))</f>
        <v/>
      </c>
      <c r="U1360" s="24" t="str">
        <f aca="false">IF(AND(C1360="Own",Q1360="Active"),COUNTIFS($C$5:C1360,"Own",$Q$5:Q1360,"Active"),"")</f>
        <v/>
      </c>
      <c r="V1360" s="26" t="str">
        <f aca="false">IF(C1360&lt;&gt;"Own","",IF(K1360="Hourly",N1360,(L1360+M1360)/(Settings!$B$11*Settings!$B$12)))</f>
        <v/>
      </c>
    </row>
    <row r="1361" customFormat="false" ht="15" hidden="false" customHeight="false" outlineLevel="0" collapsed="false">
      <c r="R1361" s="25" t="str">
        <f aca="true">IF(I1361="","",I1361-TODAY())</f>
        <v/>
      </c>
      <c r="S1361" s="25" t="str">
        <f aca="true">IF(J1361="","",J1361-TODAY())</f>
        <v/>
      </c>
      <c r="T1361" s="24" t="str">
        <f aca="false">IF(A1361="","",IF(OR(AND(R1361&lt;&gt;"",R1361&lt;0),AND(S1361&lt;&gt;"",S1361&lt;0)),"EXPIRED",IF(OR(AND(R1361&lt;&gt;"",R1361&lt;=Settings!$B$15),AND(S1361&lt;&gt;"",S1361&lt;=Settings!$B$15)),"EXPIRING SOON","OK")))</f>
        <v/>
      </c>
      <c r="U1361" s="24" t="str">
        <f aca="false">IF(AND(C1361="Own",Q1361="Active"),COUNTIFS($C$5:C1361,"Own",$Q$5:Q1361,"Active"),"")</f>
        <v/>
      </c>
      <c r="V1361" s="26" t="str">
        <f aca="false">IF(C1361&lt;&gt;"Own","",IF(K1361="Hourly",N1361,(L1361+M1361)/(Settings!$B$11*Settings!$B$12)))</f>
        <v/>
      </c>
    </row>
    <row r="1362" customFormat="false" ht="15" hidden="false" customHeight="false" outlineLevel="0" collapsed="false">
      <c r="R1362" s="25" t="str">
        <f aca="true">IF(I1362="","",I1362-TODAY())</f>
        <v/>
      </c>
      <c r="S1362" s="25" t="str">
        <f aca="true">IF(J1362="","",J1362-TODAY())</f>
        <v/>
      </c>
      <c r="T1362" s="24" t="str">
        <f aca="false">IF(A1362="","",IF(OR(AND(R1362&lt;&gt;"",R1362&lt;0),AND(S1362&lt;&gt;"",S1362&lt;0)),"EXPIRED",IF(OR(AND(R1362&lt;&gt;"",R1362&lt;=Settings!$B$15),AND(S1362&lt;&gt;"",S1362&lt;=Settings!$B$15)),"EXPIRING SOON","OK")))</f>
        <v/>
      </c>
      <c r="U1362" s="24" t="str">
        <f aca="false">IF(AND(C1362="Own",Q1362="Active"),COUNTIFS($C$5:C1362,"Own",$Q$5:Q1362,"Active"),"")</f>
        <v/>
      </c>
      <c r="V1362" s="26" t="str">
        <f aca="false">IF(C1362&lt;&gt;"Own","",IF(K1362="Hourly",N1362,(L1362+M1362)/(Settings!$B$11*Settings!$B$12)))</f>
        <v/>
      </c>
    </row>
    <row r="1363" customFormat="false" ht="15" hidden="false" customHeight="false" outlineLevel="0" collapsed="false">
      <c r="R1363" s="25" t="str">
        <f aca="true">IF(I1363="","",I1363-TODAY())</f>
        <v/>
      </c>
      <c r="S1363" s="25" t="str">
        <f aca="true">IF(J1363="","",J1363-TODAY())</f>
        <v/>
      </c>
      <c r="T1363" s="24" t="str">
        <f aca="false">IF(A1363="","",IF(OR(AND(R1363&lt;&gt;"",R1363&lt;0),AND(S1363&lt;&gt;"",S1363&lt;0)),"EXPIRED",IF(OR(AND(R1363&lt;&gt;"",R1363&lt;=Settings!$B$15),AND(S1363&lt;&gt;"",S1363&lt;=Settings!$B$15)),"EXPIRING SOON","OK")))</f>
        <v/>
      </c>
      <c r="U1363" s="24" t="str">
        <f aca="false">IF(AND(C1363="Own",Q1363="Active"),COUNTIFS($C$5:C1363,"Own",$Q$5:Q1363,"Active"),"")</f>
        <v/>
      </c>
      <c r="V1363" s="26" t="str">
        <f aca="false">IF(C1363&lt;&gt;"Own","",IF(K1363="Hourly",N1363,(L1363+M1363)/(Settings!$B$11*Settings!$B$12)))</f>
        <v/>
      </c>
    </row>
    <row r="1364" customFormat="false" ht="15" hidden="false" customHeight="false" outlineLevel="0" collapsed="false">
      <c r="R1364" s="25" t="str">
        <f aca="true">IF(I1364="","",I1364-TODAY())</f>
        <v/>
      </c>
      <c r="S1364" s="25" t="str">
        <f aca="true">IF(J1364="","",J1364-TODAY())</f>
        <v/>
      </c>
      <c r="T1364" s="24" t="str">
        <f aca="false">IF(A1364="","",IF(OR(AND(R1364&lt;&gt;"",R1364&lt;0),AND(S1364&lt;&gt;"",S1364&lt;0)),"EXPIRED",IF(OR(AND(R1364&lt;&gt;"",R1364&lt;=Settings!$B$15),AND(S1364&lt;&gt;"",S1364&lt;=Settings!$B$15)),"EXPIRING SOON","OK")))</f>
        <v/>
      </c>
      <c r="U1364" s="24" t="str">
        <f aca="false">IF(AND(C1364="Own",Q1364="Active"),COUNTIFS($C$5:C1364,"Own",$Q$5:Q1364,"Active"),"")</f>
        <v/>
      </c>
      <c r="V1364" s="26" t="str">
        <f aca="false">IF(C1364&lt;&gt;"Own","",IF(K1364="Hourly",N1364,(L1364+M1364)/(Settings!$B$11*Settings!$B$12)))</f>
        <v/>
      </c>
    </row>
    <row r="1365" customFormat="false" ht="15" hidden="false" customHeight="false" outlineLevel="0" collapsed="false">
      <c r="R1365" s="25" t="str">
        <f aca="true">IF(I1365="","",I1365-TODAY())</f>
        <v/>
      </c>
      <c r="S1365" s="25" t="str">
        <f aca="true">IF(J1365="","",J1365-TODAY())</f>
        <v/>
      </c>
      <c r="T1365" s="24" t="str">
        <f aca="false">IF(A1365="","",IF(OR(AND(R1365&lt;&gt;"",R1365&lt;0),AND(S1365&lt;&gt;"",S1365&lt;0)),"EXPIRED",IF(OR(AND(R1365&lt;&gt;"",R1365&lt;=Settings!$B$15),AND(S1365&lt;&gt;"",S1365&lt;=Settings!$B$15)),"EXPIRING SOON","OK")))</f>
        <v/>
      </c>
      <c r="U1365" s="24" t="str">
        <f aca="false">IF(AND(C1365="Own",Q1365="Active"),COUNTIFS($C$5:C1365,"Own",$Q$5:Q1365,"Active"),"")</f>
        <v/>
      </c>
      <c r="V1365" s="26" t="str">
        <f aca="false">IF(C1365&lt;&gt;"Own","",IF(K1365="Hourly",N1365,(L1365+M1365)/(Settings!$B$11*Settings!$B$12)))</f>
        <v/>
      </c>
    </row>
    <row r="1366" customFormat="false" ht="15" hidden="false" customHeight="false" outlineLevel="0" collapsed="false">
      <c r="R1366" s="25" t="str">
        <f aca="true">IF(I1366="","",I1366-TODAY())</f>
        <v/>
      </c>
      <c r="S1366" s="25" t="str">
        <f aca="true">IF(J1366="","",J1366-TODAY())</f>
        <v/>
      </c>
      <c r="T1366" s="24" t="str">
        <f aca="false">IF(A1366="","",IF(OR(AND(R1366&lt;&gt;"",R1366&lt;0),AND(S1366&lt;&gt;"",S1366&lt;0)),"EXPIRED",IF(OR(AND(R1366&lt;&gt;"",R1366&lt;=Settings!$B$15),AND(S1366&lt;&gt;"",S1366&lt;=Settings!$B$15)),"EXPIRING SOON","OK")))</f>
        <v/>
      </c>
      <c r="U1366" s="24" t="str">
        <f aca="false">IF(AND(C1366="Own",Q1366="Active"),COUNTIFS($C$5:C1366,"Own",$Q$5:Q1366,"Active"),"")</f>
        <v/>
      </c>
      <c r="V1366" s="26" t="str">
        <f aca="false">IF(C1366&lt;&gt;"Own","",IF(K1366="Hourly",N1366,(L1366+M1366)/(Settings!$B$11*Settings!$B$12)))</f>
        <v/>
      </c>
    </row>
    <row r="1367" customFormat="false" ht="15" hidden="false" customHeight="false" outlineLevel="0" collapsed="false">
      <c r="R1367" s="25" t="str">
        <f aca="true">IF(I1367="","",I1367-TODAY())</f>
        <v/>
      </c>
      <c r="S1367" s="25" t="str">
        <f aca="true">IF(J1367="","",J1367-TODAY())</f>
        <v/>
      </c>
      <c r="T1367" s="24" t="str">
        <f aca="false">IF(A1367="","",IF(OR(AND(R1367&lt;&gt;"",R1367&lt;0),AND(S1367&lt;&gt;"",S1367&lt;0)),"EXPIRED",IF(OR(AND(R1367&lt;&gt;"",R1367&lt;=Settings!$B$15),AND(S1367&lt;&gt;"",S1367&lt;=Settings!$B$15)),"EXPIRING SOON","OK")))</f>
        <v/>
      </c>
      <c r="U1367" s="24" t="str">
        <f aca="false">IF(AND(C1367="Own",Q1367="Active"),COUNTIFS($C$5:C1367,"Own",$Q$5:Q1367,"Active"),"")</f>
        <v/>
      </c>
      <c r="V1367" s="26" t="str">
        <f aca="false">IF(C1367&lt;&gt;"Own","",IF(K1367="Hourly",N1367,(L1367+M1367)/(Settings!$B$11*Settings!$B$12)))</f>
        <v/>
      </c>
    </row>
    <row r="1368" customFormat="false" ht="15" hidden="false" customHeight="false" outlineLevel="0" collapsed="false">
      <c r="R1368" s="25" t="str">
        <f aca="true">IF(I1368="","",I1368-TODAY())</f>
        <v/>
      </c>
      <c r="S1368" s="25" t="str">
        <f aca="true">IF(J1368="","",J1368-TODAY())</f>
        <v/>
      </c>
      <c r="T1368" s="24" t="str">
        <f aca="false">IF(A1368="","",IF(OR(AND(R1368&lt;&gt;"",R1368&lt;0),AND(S1368&lt;&gt;"",S1368&lt;0)),"EXPIRED",IF(OR(AND(R1368&lt;&gt;"",R1368&lt;=Settings!$B$15),AND(S1368&lt;&gt;"",S1368&lt;=Settings!$B$15)),"EXPIRING SOON","OK")))</f>
        <v/>
      </c>
      <c r="U1368" s="24" t="str">
        <f aca="false">IF(AND(C1368="Own",Q1368="Active"),COUNTIFS($C$5:C1368,"Own",$Q$5:Q1368,"Active"),"")</f>
        <v/>
      </c>
      <c r="V1368" s="26" t="str">
        <f aca="false">IF(C1368&lt;&gt;"Own","",IF(K1368="Hourly",N1368,(L1368+M1368)/(Settings!$B$11*Settings!$B$12)))</f>
        <v/>
      </c>
    </row>
    <row r="1369" customFormat="false" ht="15" hidden="false" customHeight="false" outlineLevel="0" collapsed="false">
      <c r="R1369" s="25" t="str">
        <f aca="true">IF(I1369="","",I1369-TODAY())</f>
        <v/>
      </c>
      <c r="S1369" s="25" t="str">
        <f aca="true">IF(J1369="","",J1369-TODAY())</f>
        <v/>
      </c>
      <c r="T1369" s="24" t="str">
        <f aca="false">IF(A1369="","",IF(OR(AND(R1369&lt;&gt;"",R1369&lt;0),AND(S1369&lt;&gt;"",S1369&lt;0)),"EXPIRED",IF(OR(AND(R1369&lt;&gt;"",R1369&lt;=Settings!$B$15),AND(S1369&lt;&gt;"",S1369&lt;=Settings!$B$15)),"EXPIRING SOON","OK")))</f>
        <v/>
      </c>
      <c r="U1369" s="24" t="str">
        <f aca="false">IF(AND(C1369="Own",Q1369="Active"),COUNTIFS($C$5:C1369,"Own",$Q$5:Q1369,"Active"),"")</f>
        <v/>
      </c>
      <c r="V1369" s="26" t="str">
        <f aca="false">IF(C1369&lt;&gt;"Own","",IF(K1369="Hourly",N1369,(L1369+M1369)/(Settings!$B$11*Settings!$B$12)))</f>
        <v/>
      </c>
    </row>
    <row r="1370" customFormat="false" ht="15" hidden="false" customHeight="false" outlineLevel="0" collapsed="false">
      <c r="R1370" s="25" t="str">
        <f aca="true">IF(I1370="","",I1370-TODAY())</f>
        <v/>
      </c>
      <c r="S1370" s="25" t="str">
        <f aca="true">IF(J1370="","",J1370-TODAY())</f>
        <v/>
      </c>
      <c r="T1370" s="24" t="str">
        <f aca="false">IF(A1370="","",IF(OR(AND(R1370&lt;&gt;"",R1370&lt;0),AND(S1370&lt;&gt;"",S1370&lt;0)),"EXPIRED",IF(OR(AND(R1370&lt;&gt;"",R1370&lt;=Settings!$B$15),AND(S1370&lt;&gt;"",S1370&lt;=Settings!$B$15)),"EXPIRING SOON","OK")))</f>
        <v/>
      </c>
      <c r="U1370" s="24" t="str">
        <f aca="false">IF(AND(C1370="Own",Q1370="Active"),COUNTIFS($C$5:C1370,"Own",$Q$5:Q1370,"Active"),"")</f>
        <v/>
      </c>
      <c r="V1370" s="26" t="str">
        <f aca="false">IF(C1370&lt;&gt;"Own","",IF(K1370="Hourly",N1370,(L1370+M1370)/(Settings!$B$11*Settings!$B$12)))</f>
        <v/>
      </c>
    </row>
    <row r="1371" customFormat="false" ht="15" hidden="false" customHeight="false" outlineLevel="0" collapsed="false">
      <c r="R1371" s="25" t="str">
        <f aca="true">IF(I1371="","",I1371-TODAY())</f>
        <v/>
      </c>
      <c r="S1371" s="25" t="str">
        <f aca="true">IF(J1371="","",J1371-TODAY())</f>
        <v/>
      </c>
      <c r="T1371" s="24" t="str">
        <f aca="false">IF(A1371="","",IF(OR(AND(R1371&lt;&gt;"",R1371&lt;0),AND(S1371&lt;&gt;"",S1371&lt;0)),"EXPIRED",IF(OR(AND(R1371&lt;&gt;"",R1371&lt;=Settings!$B$15),AND(S1371&lt;&gt;"",S1371&lt;=Settings!$B$15)),"EXPIRING SOON","OK")))</f>
        <v/>
      </c>
      <c r="U1371" s="24" t="str">
        <f aca="false">IF(AND(C1371="Own",Q1371="Active"),COUNTIFS($C$5:C1371,"Own",$Q$5:Q1371,"Active"),"")</f>
        <v/>
      </c>
      <c r="V1371" s="26" t="str">
        <f aca="false">IF(C1371&lt;&gt;"Own","",IF(K1371="Hourly",N1371,(L1371+M1371)/(Settings!$B$11*Settings!$B$12)))</f>
        <v/>
      </c>
    </row>
    <row r="1372" customFormat="false" ht="15" hidden="false" customHeight="false" outlineLevel="0" collapsed="false">
      <c r="R1372" s="25" t="str">
        <f aca="true">IF(I1372="","",I1372-TODAY())</f>
        <v/>
      </c>
      <c r="S1372" s="25" t="str">
        <f aca="true">IF(J1372="","",J1372-TODAY())</f>
        <v/>
      </c>
      <c r="T1372" s="24" t="str">
        <f aca="false">IF(A1372="","",IF(OR(AND(R1372&lt;&gt;"",R1372&lt;0),AND(S1372&lt;&gt;"",S1372&lt;0)),"EXPIRED",IF(OR(AND(R1372&lt;&gt;"",R1372&lt;=Settings!$B$15),AND(S1372&lt;&gt;"",S1372&lt;=Settings!$B$15)),"EXPIRING SOON","OK")))</f>
        <v/>
      </c>
      <c r="U1372" s="24" t="str">
        <f aca="false">IF(AND(C1372="Own",Q1372="Active"),COUNTIFS($C$5:C1372,"Own",$Q$5:Q1372,"Active"),"")</f>
        <v/>
      </c>
      <c r="V1372" s="26" t="str">
        <f aca="false">IF(C1372&lt;&gt;"Own","",IF(K1372="Hourly",N1372,(L1372+M1372)/(Settings!$B$11*Settings!$B$12)))</f>
        <v/>
      </c>
    </row>
    <row r="1373" customFormat="false" ht="15" hidden="false" customHeight="false" outlineLevel="0" collapsed="false">
      <c r="R1373" s="25" t="str">
        <f aca="true">IF(I1373="","",I1373-TODAY())</f>
        <v/>
      </c>
      <c r="S1373" s="25" t="str">
        <f aca="true">IF(J1373="","",J1373-TODAY())</f>
        <v/>
      </c>
      <c r="T1373" s="24" t="str">
        <f aca="false">IF(A1373="","",IF(OR(AND(R1373&lt;&gt;"",R1373&lt;0),AND(S1373&lt;&gt;"",S1373&lt;0)),"EXPIRED",IF(OR(AND(R1373&lt;&gt;"",R1373&lt;=Settings!$B$15),AND(S1373&lt;&gt;"",S1373&lt;=Settings!$B$15)),"EXPIRING SOON","OK")))</f>
        <v/>
      </c>
      <c r="U1373" s="24" t="str">
        <f aca="false">IF(AND(C1373="Own",Q1373="Active"),COUNTIFS($C$5:C1373,"Own",$Q$5:Q1373,"Active"),"")</f>
        <v/>
      </c>
      <c r="V1373" s="26" t="str">
        <f aca="false">IF(C1373&lt;&gt;"Own","",IF(K1373="Hourly",N1373,(L1373+M1373)/(Settings!$B$11*Settings!$B$12)))</f>
        <v/>
      </c>
    </row>
    <row r="1374" customFormat="false" ht="15" hidden="false" customHeight="false" outlineLevel="0" collapsed="false">
      <c r="R1374" s="25" t="str">
        <f aca="true">IF(I1374="","",I1374-TODAY())</f>
        <v/>
      </c>
      <c r="S1374" s="25" t="str">
        <f aca="true">IF(J1374="","",J1374-TODAY())</f>
        <v/>
      </c>
      <c r="T1374" s="24" t="str">
        <f aca="false">IF(A1374="","",IF(OR(AND(R1374&lt;&gt;"",R1374&lt;0),AND(S1374&lt;&gt;"",S1374&lt;0)),"EXPIRED",IF(OR(AND(R1374&lt;&gt;"",R1374&lt;=Settings!$B$15),AND(S1374&lt;&gt;"",S1374&lt;=Settings!$B$15)),"EXPIRING SOON","OK")))</f>
        <v/>
      </c>
      <c r="U1374" s="24" t="str">
        <f aca="false">IF(AND(C1374="Own",Q1374="Active"),COUNTIFS($C$5:C1374,"Own",$Q$5:Q1374,"Active"),"")</f>
        <v/>
      </c>
      <c r="V1374" s="26" t="str">
        <f aca="false">IF(C1374&lt;&gt;"Own","",IF(K1374="Hourly",N1374,(L1374+M1374)/(Settings!$B$11*Settings!$B$12)))</f>
        <v/>
      </c>
    </row>
    <row r="1375" customFormat="false" ht="15" hidden="false" customHeight="false" outlineLevel="0" collapsed="false">
      <c r="R1375" s="25" t="str">
        <f aca="true">IF(I1375="","",I1375-TODAY())</f>
        <v/>
      </c>
      <c r="S1375" s="25" t="str">
        <f aca="true">IF(J1375="","",J1375-TODAY())</f>
        <v/>
      </c>
      <c r="T1375" s="24" t="str">
        <f aca="false">IF(A1375="","",IF(OR(AND(R1375&lt;&gt;"",R1375&lt;0),AND(S1375&lt;&gt;"",S1375&lt;0)),"EXPIRED",IF(OR(AND(R1375&lt;&gt;"",R1375&lt;=Settings!$B$15),AND(S1375&lt;&gt;"",S1375&lt;=Settings!$B$15)),"EXPIRING SOON","OK")))</f>
        <v/>
      </c>
      <c r="U1375" s="24" t="str">
        <f aca="false">IF(AND(C1375="Own",Q1375="Active"),COUNTIFS($C$5:C1375,"Own",$Q$5:Q1375,"Active"),"")</f>
        <v/>
      </c>
      <c r="V1375" s="26" t="str">
        <f aca="false">IF(C1375&lt;&gt;"Own","",IF(K1375="Hourly",N1375,(L1375+M1375)/(Settings!$B$11*Settings!$B$12)))</f>
        <v/>
      </c>
    </row>
    <row r="1376" customFormat="false" ht="15" hidden="false" customHeight="false" outlineLevel="0" collapsed="false">
      <c r="R1376" s="25" t="str">
        <f aca="true">IF(I1376="","",I1376-TODAY())</f>
        <v/>
      </c>
      <c r="S1376" s="25" t="str">
        <f aca="true">IF(J1376="","",J1376-TODAY())</f>
        <v/>
      </c>
      <c r="T1376" s="24" t="str">
        <f aca="false">IF(A1376="","",IF(OR(AND(R1376&lt;&gt;"",R1376&lt;0),AND(S1376&lt;&gt;"",S1376&lt;0)),"EXPIRED",IF(OR(AND(R1376&lt;&gt;"",R1376&lt;=Settings!$B$15),AND(S1376&lt;&gt;"",S1376&lt;=Settings!$B$15)),"EXPIRING SOON","OK")))</f>
        <v/>
      </c>
      <c r="U1376" s="24" t="str">
        <f aca="false">IF(AND(C1376="Own",Q1376="Active"),COUNTIFS($C$5:C1376,"Own",$Q$5:Q1376,"Active"),"")</f>
        <v/>
      </c>
      <c r="V1376" s="26" t="str">
        <f aca="false">IF(C1376&lt;&gt;"Own","",IF(K1376="Hourly",N1376,(L1376+M1376)/(Settings!$B$11*Settings!$B$12)))</f>
        <v/>
      </c>
    </row>
    <row r="1377" customFormat="false" ht="15" hidden="false" customHeight="false" outlineLevel="0" collapsed="false">
      <c r="R1377" s="25" t="str">
        <f aca="true">IF(I1377="","",I1377-TODAY())</f>
        <v/>
      </c>
      <c r="S1377" s="25" t="str">
        <f aca="true">IF(J1377="","",J1377-TODAY())</f>
        <v/>
      </c>
      <c r="T1377" s="24" t="str">
        <f aca="false">IF(A1377="","",IF(OR(AND(R1377&lt;&gt;"",R1377&lt;0),AND(S1377&lt;&gt;"",S1377&lt;0)),"EXPIRED",IF(OR(AND(R1377&lt;&gt;"",R1377&lt;=Settings!$B$15),AND(S1377&lt;&gt;"",S1377&lt;=Settings!$B$15)),"EXPIRING SOON","OK")))</f>
        <v/>
      </c>
      <c r="U1377" s="24" t="str">
        <f aca="false">IF(AND(C1377="Own",Q1377="Active"),COUNTIFS($C$5:C1377,"Own",$Q$5:Q1377,"Active"),"")</f>
        <v/>
      </c>
      <c r="V1377" s="26" t="str">
        <f aca="false">IF(C1377&lt;&gt;"Own","",IF(K1377="Hourly",N1377,(L1377+M1377)/(Settings!$B$11*Settings!$B$12)))</f>
        <v/>
      </c>
    </row>
    <row r="1378" customFormat="false" ht="15" hidden="false" customHeight="false" outlineLevel="0" collapsed="false">
      <c r="R1378" s="25" t="str">
        <f aca="true">IF(I1378="","",I1378-TODAY())</f>
        <v/>
      </c>
      <c r="S1378" s="25" t="str">
        <f aca="true">IF(J1378="","",J1378-TODAY())</f>
        <v/>
      </c>
      <c r="T1378" s="24" t="str">
        <f aca="false">IF(A1378="","",IF(OR(AND(R1378&lt;&gt;"",R1378&lt;0),AND(S1378&lt;&gt;"",S1378&lt;0)),"EXPIRED",IF(OR(AND(R1378&lt;&gt;"",R1378&lt;=Settings!$B$15),AND(S1378&lt;&gt;"",S1378&lt;=Settings!$B$15)),"EXPIRING SOON","OK")))</f>
        <v/>
      </c>
      <c r="U1378" s="24" t="str">
        <f aca="false">IF(AND(C1378="Own",Q1378="Active"),COUNTIFS($C$5:C1378,"Own",$Q$5:Q1378,"Active"),"")</f>
        <v/>
      </c>
      <c r="V1378" s="26" t="str">
        <f aca="false">IF(C1378&lt;&gt;"Own","",IF(K1378="Hourly",N1378,(L1378+M1378)/(Settings!$B$11*Settings!$B$12)))</f>
        <v/>
      </c>
    </row>
    <row r="1379" customFormat="false" ht="15" hidden="false" customHeight="false" outlineLevel="0" collapsed="false">
      <c r="R1379" s="25" t="str">
        <f aca="true">IF(I1379="","",I1379-TODAY())</f>
        <v/>
      </c>
      <c r="S1379" s="25" t="str">
        <f aca="true">IF(J1379="","",J1379-TODAY())</f>
        <v/>
      </c>
      <c r="T1379" s="24" t="str">
        <f aca="false">IF(A1379="","",IF(OR(AND(R1379&lt;&gt;"",R1379&lt;0),AND(S1379&lt;&gt;"",S1379&lt;0)),"EXPIRED",IF(OR(AND(R1379&lt;&gt;"",R1379&lt;=Settings!$B$15),AND(S1379&lt;&gt;"",S1379&lt;=Settings!$B$15)),"EXPIRING SOON","OK")))</f>
        <v/>
      </c>
      <c r="U1379" s="24" t="str">
        <f aca="false">IF(AND(C1379="Own",Q1379="Active"),COUNTIFS($C$5:C1379,"Own",$Q$5:Q1379,"Active"),"")</f>
        <v/>
      </c>
      <c r="V1379" s="26" t="str">
        <f aca="false">IF(C1379&lt;&gt;"Own","",IF(K1379="Hourly",N1379,(L1379+M1379)/(Settings!$B$11*Settings!$B$12)))</f>
        <v/>
      </c>
    </row>
    <row r="1380" customFormat="false" ht="15" hidden="false" customHeight="false" outlineLevel="0" collapsed="false">
      <c r="R1380" s="25" t="str">
        <f aca="true">IF(I1380="","",I1380-TODAY())</f>
        <v/>
      </c>
      <c r="S1380" s="25" t="str">
        <f aca="true">IF(J1380="","",J1380-TODAY())</f>
        <v/>
      </c>
      <c r="T1380" s="24" t="str">
        <f aca="false">IF(A1380="","",IF(OR(AND(R1380&lt;&gt;"",R1380&lt;0),AND(S1380&lt;&gt;"",S1380&lt;0)),"EXPIRED",IF(OR(AND(R1380&lt;&gt;"",R1380&lt;=Settings!$B$15),AND(S1380&lt;&gt;"",S1380&lt;=Settings!$B$15)),"EXPIRING SOON","OK")))</f>
        <v/>
      </c>
      <c r="U1380" s="24" t="str">
        <f aca="false">IF(AND(C1380="Own",Q1380="Active"),COUNTIFS($C$5:C1380,"Own",$Q$5:Q1380,"Active"),"")</f>
        <v/>
      </c>
      <c r="V1380" s="26" t="str">
        <f aca="false">IF(C1380&lt;&gt;"Own","",IF(K1380="Hourly",N1380,(L1380+M1380)/(Settings!$B$11*Settings!$B$12)))</f>
        <v/>
      </c>
    </row>
    <row r="1381" customFormat="false" ht="15" hidden="false" customHeight="false" outlineLevel="0" collapsed="false">
      <c r="R1381" s="25" t="str">
        <f aca="true">IF(I1381="","",I1381-TODAY())</f>
        <v/>
      </c>
      <c r="S1381" s="25" t="str">
        <f aca="true">IF(J1381="","",J1381-TODAY())</f>
        <v/>
      </c>
      <c r="T1381" s="24" t="str">
        <f aca="false">IF(A1381="","",IF(OR(AND(R1381&lt;&gt;"",R1381&lt;0),AND(S1381&lt;&gt;"",S1381&lt;0)),"EXPIRED",IF(OR(AND(R1381&lt;&gt;"",R1381&lt;=Settings!$B$15),AND(S1381&lt;&gt;"",S1381&lt;=Settings!$B$15)),"EXPIRING SOON","OK")))</f>
        <v/>
      </c>
      <c r="U1381" s="24" t="str">
        <f aca="false">IF(AND(C1381="Own",Q1381="Active"),COUNTIFS($C$5:C1381,"Own",$Q$5:Q1381,"Active"),"")</f>
        <v/>
      </c>
      <c r="V1381" s="26" t="str">
        <f aca="false">IF(C1381&lt;&gt;"Own","",IF(K1381="Hourly",N1381,(L1381+M1381)/(Settings!$B$11*Settings!$B$12)))</f>
        <v/>
      </c>
    </row>
    <row r="1382" customFormat="false" ht="15" hidden="false" customHeight="false" outlineLevel="0" collapsed="false">
      <c r="R1382" s="25" t="str">
        <f aca="true">IF(I1382="","",I1382-TODAY())</f>
        <v/>
      </c>
      <c r="S1382" s="25" t="str">
        <f aca="true">IF(J1382="","",J1382-TODAY())</f>
        <v/>
      </c>
      <c r="T1382" s="24" t="str">
        <f aca="false">IF(A1382="","",IF(OR(AND(R1382&lt;&gt;"",R1382&lt;0),AND(S1382&lt;&gt;"",S1382&lt;0)),"EXPIRED",IF(OR(AND(R1382&lt;&gt;"",R1382&lt;=Settings!$B$15),AND(S1382&lt;&gt;"",S1382&lt;=Settings!$B$15)),"EXPIRING SOON","OK")))</f>
        <v/>
      </c>
      <c r="U1382" s="24" t="str">
        <f aca="false">IF(AND(C1382="Own",Q1382="Active"),COUNTIFS($C$5:C1382,"Own",$Q$5:Q1382,"Active"),"")</f>
        <v/>
      </c>
      <c r="V1382" s="26" t="str">
        <f aca="false">IF(C1382&lt;&gt;"Own","",IF(K1382="Hourly",N1382,(L1382+M1382)/(Settings!$B$11*Settings!$B$12)))</f>
        <v/>
      </c>
    </row>
    <row r="1383" customFormat="false" ht="15" hidden="false" customHeight="false" outlineLevel="0" collapsed="false">
      <c r="R1383" s="25" t="str">
        <f aca="true">IF(I1383="","",I1383-TODAY())</f>
        <v/>
      </c>
      <c r="S1383" s="25" t="str">
        <f aca="true">IF(J1383="","",J1383-TODAY())</f>
        <v/>
      </c>
      <c r="T1383" s="24" t="str">
        <f aca="false">IF(A1383="","",IF(OR(AND(R1383&lt;&gt;"",R1383&lt;0),AND(S1383&lt;&gt;"",S1383&lt;0)),"EXPIRED",IF(OR(AND(R1383&lt;&gt;"",R1383&lt;=Settings!$B$15),AND(S1383&lt;&gt;"",S1383&lt;=Settings!$B$15)),"EXPIRING SOON","OK")))</f>
        <v/>
      </c>
      <c r="U1383" s="24" t="str">
        <f aca="false">IF(AND(C1383="Own",Q1383="Active"),COUNTIFS($C$5:C1383,"Own",$Q$5:Q1383,"Active"),"")</f>
        <v/>
      </c>
      <c r="V1383" s="26" t="str">
        <f aca="false">IF(C1383&lt;&gt;"Own","",IF(K1383="Hourly",N1383,(L1383+M1383)/(Settings!$B$11*Settings!$B$12)))</f>
        <v/>
      </c>
    </row>
    <row r="1384" customFormat="false" ht="15" hidden="false" customHeight="false" outlineLevel="0" collapsed="false">
      <c r="R1384" s="25" t="str">
        <f aca="true">IF(I1384="","",I1384-TODAY())</f>
        <v/>
      </c>
      <c r="S1384" s="25" t="str">
        <f aca="true">IF(J1384="","",J1384-TODAY())</f>
        <v/>
      </c>
      <c r="T1384" s="24" t="str">
        <f aca="false">IF(A1384="","",IF(OR(AND(R1384&lt;&gt;"",R1384&lt;0),AND(S1384&lt;&gt;"",S1384&lt;0)),"EXPIRED",IF(OR(AND(R1384&lt;&gt;"",R1384&lt;=Settings!$B$15),AND(S1384&lt;&gt;"",S1384&lt;=Settings!$B$15)),"EXPIRING SOON","OK")))</f>
        <v/>
      </c>
      <c r="U1384" s="24" t="str">
        <f aca="false">IF(AND(C1384="Own",Q1384="Active"),COUNTIFS($C$5:C1384,"Own",$Q$5:Q1384,"Active"),"")</f>
        <v/>
      </c>
      <c r="V1384" s="26" t="str">
        <f aca="false">IF(C1384&lt;&gt;"Own","",IF(K1384="Hourly",N1384,(L1384+M1384)/(Settings!$B$11*Settings!$B$12)))</f>
        <v/>
      </c>
    </row>
    <row r="1385" customFormat="false" ht="15" hidden="false" customHeight="false" outlineLevel="0" collapsed="false">
      <c r="R1385" s="25" t="str">
        <f aca="true">IF(I1385="","",I1385-TODAY())</f>
        <v/>
      </c>
      <c r="S1385" s="25" t="str">
        <f aca="true">IF(J1385="","",J1385-TODAY())</f>
        <v/>
      </c>
      <c r="T1385" s="24" t="str">
        <f aca="false">IF(A1385="","",IF(OR(AND(R1385&lt;&gt;"",R1385&lt;0),AND(S1385&lt;&gt;"",S1385&lt;0)),"EXPIRED",IF(OR(AND(R1385&lt;&gt;"",R1385&lt;=Settings!$B$15),AND(S1385&lt;&gt;"",S1385&lt;=Settings!$B$15)),"EXPIRING SOON","OK")))</f>
        <v/>
      </c>
      <c r="U1385" s="24" t="str">
        <f aca="false">IF(AND(C1385="Own",Q1385="Active"),COUNTIFS($C$5:C1385,"Own",$Q$5:Q1385,"Active"),"")</f>
        <v/>
      </c>
      <c r="V1385" s="26" t="str">
        <f aca="false">IF(C1385&lt;&gt;"Own","",IF(K1385="Hourly",N1385,(L1385+M1385)/(Settings!$B$11*Settings!$B$12)))</f>
        <v/>
      </c>
    </row>
    <row r="1386" customFormat="false" ht="15" hidden="false" customHeight="false" outlineLevel="0" collapsed="false">
      <c r="R1386" s="25" t="str">
        <f aca="true">IF(I1386="","",I1386-TODAY())</f>
        <v/>
      </c>
      <c r="S1386" s="25" t="str">
        <f aca="true">IF(J1386="","",J1386-TODAY())</f>
        <v/>
      </c>
      <c r="T1386" s="24" t="str">
        <f aca="false">IF(A1386="","",IF(OR(AND(R1386&lt;&gt;"",R1386&lt;0),AND(S1386&lt;&gt;"",S1386&lt;0)),"EXPIRED",IF(OR(AND(R1386&lt;&gt;"",R1386&lt;=Settings!$B$15),AND(S1386&lt;&gt;"",S1386&lt;=Settings!$B$15)),"EXPIRING SOON","OK")))</f>
        <v/>
      </c>
      <c r="U1386" s="24" t="str">
        <f aca="false">IF(AND(C1386="Own",Q1386="Active"),COUNTIFS($C$5:C1386,"Own",$Q$5:Q1386,"Active"),"")</f>
        <v/>
      </c>
      <c r="V1386" s="26" t="str">
        <f aca="false">IF(C1386&lt;&gt;"Own","",IF(K1386="Hourly",N1386,(L1386+M1386)/(Settings!$B$11*Settings!$B$12)))</f>
        <v/>
      </c>
    </row>
    <row r="1387" customFormat="false" ht="15" hidden="false" customHeight="false" outlineLevel="0" collapsed="false">
      <c r="R1387" s="25" t="str">
        <f aca="true">IF(I1387="","",I1387-TODAY())</f>
        <v/>
      </c>
      <c r="S1387" s="25" t="str">
        <f aca="true">IF(J1387="","",J1387-TODAY())</f>
        <v/>
      </c>
      <c r="T1387" s="24" t="str">
        <f aca="false">IF(A1387="","",IF(OR(AND(R1387&lt;&gt;"",R1387&lt;0),AND(S1387&lt;&gt;"",S1387&lt;0)),"EXPIRED",IF(OR(AND(R1387&lt;&gt;"",R1387&lt;=Settings!$B$15),AND(S1387&lt;&gt;"",S1387&lt;=Settings!$B$15)),"EXPIRING SOON","OK")))</f>
        <v/>
      </c>
      <c r="U1387" s="24" t="str">
        <f aca="false">IF(AND(C1387="Own",Q1387="Active"),COUNTIFS($C$5:C1387,"Own",$Q$5:Q1387,"Active"),"")</f>
        <v/>
      </c>
      <c r="V1387" s="26" t="str">
        <f aca="false">IF(C1387&lt;&gt;"Own","",IF(K1387="Hourly",N1387,(L1387+M1387)/(Settings!$B$11*Settings!$B$12)))</f>
        <v/>
      </c>
    </row>
    <row r="1388" customFormat="false" ht="15" hidden="false" customHeight="false" outlineLevel="0" collapsed="false">
      <c r="R1388" s="25" t="str">
        <f aca="true">IF(I1388="","",I1388-TODAY())</f>
        <v/>
      </c>
      <c r="S1388" s="25" t="str">
        <f aca="true">IF(J1388="","",J1388-TODAY())</f>
        <v/>
      </c>
      <c r="T1388" s="24" t="str">
        <f aca="false">IF(A1388="","",IF(OR(AND(R1388&lt;&gt;"",R1388&lt;0),AND(S1388&lt;&gt;"",S1388&lt;0)),"EXPIRED",IF(OR(AND(R1388&lt;&gt;"",R1388&lt;=Settings!$B$15),AND(S1388&lt;&gt;"",S1388&lt;=Settings!$B$15)),"EXPIRING SOON","OK")))</f>
        <v/>
      </c>
      <c r="U1388" s="24" t="str">
        <f aca="false">IF(AND(C1388="Own",Q1388="Active"),COUNTIFS($C$5:C1388,"Own",$Q$5:Q1388,"Active"),"")</f>
        <v/>
      </c>
      <c r="V1388" s="26" t="str">
        <f aca="false">IF(C1388&lt;&gt;"Own","",IF(K1388="Hourly",N1388,(L1388+M1388)/(Settings!$B$11*Settings!$B$12)))</f>
        <v/>
      </c>
    </row>
    <row r="1389" customFormat="false" ht="15" hidden="false" customHeight="false" outlineLevel="0" collapsed="false">
      <c r="R1389" s="25" t="str">
        <f aca="true">IF(I1389="","",I1389-TODAY())</f>
        <v/>
      </c>
      <c r="S1389" s="25" t="str">
        <f aca="true">IF(J1389="","",J1389-TODAY())</f>
        <v/>
      </c>
      <c r="T1389" s="24" t="str">
        <f aca="false">IF(A1389="","",IF(OR(AND(R1389&lt;&gt;"",R1389&lt;0),AND(S1389&lt;&gt;"",S1389&lt;0)),"EXPIRED",IF(OR(AND(R1389&lt;&gt;"",R1389&lt;=Settings!$B$15),AND(S1389&lt;&gt;"",S1389&lt;=Settings!$B$15)),"EXPIRING SOON","OK")))</f>
        <v/>
      </c>
      <c r="U1389" s="24" t="str">
        <f aca="false">IF(AND(C1389="Own",Q1389="Active"),COUNTIFS($C$5:C1389,"Own",$Q$5:Q1389,"Active"),"")</f>
        <v/>
      </c>
      <c r="V1389" s="26" t="str">
        <f aca="false">IF(C1389&lt;&gt;"Own","",IF(K1389="Hourly",N1389,(L1389+M1389)/(Settings!$B$11*Settings!$B$12)))</f>
        <v/>
      </c>
    </row>
    <row r="1390" customFormat="false" ht="15" hidden="false" customHeight="false" outlineLevel="0" collapsed="false">
      <c r="R1390" s="25" t="str">
        <f aca="true">IF(I1390="","",I1390-TODAY())</f>
        <v/>
      </c>
      <c r="S1390" s="25" t="str">
        <f aca="true">IF(J1390="","",J1390-TODAY())</f>
        <v/>
      </c>
      <c r="T1390" s="24" t="str">
        <f aca="false">IF(A1390="","",IF(OR(AND(R1390&lt;&gt;"",R1390&lt;0),AND(S1390&lt;&gt;"",S1390&lt;0)),"EXPIRED",IF(OR(AND(R1390&lt;&gt;"",R1390&lt;=Settings!$B$15),AND(S1390&lt;&gt;"",S1390&lt;=Settings!$B$15)),"EXPIRING SOON","OK")))</f>
        <v/>
      </c>
      <c r="U1390" s="24" t="str">
        <f aca="false">IF(AND(C1390="Own",Q1390="Active"),COUNTIFS($C$5:C1390,"Own",$Q$5:Q1390,"Active"),"")</f>
        <v/>
      </c>
      <c r="V1390" s="26" t="str">
        <f aca="false">IF(C1390&lt;&gt;"Own","",IF(K1390="Hourly",N1390,(L1390+M1390)/(Settings!$B$11*Settings!$B$12)))</f>
        <v/>
      </c>
    </row>
    <row r="1391" customFormat="false" ht="15" hidden="false" customHeight="false" outlineLevel="0" collapsed="false">
      <c r="R1391" s="25" t="str">
        <f aca="true">IF(I1391="","",I1391-TODAY())</f>
        <v/>
      </c>
      <c r="S1391" s="25" t="str">
        <f aca="true">IF(J1391="","",J1391-TODAY())</f>
        <v/>
      </c>
      <c r="T1391" s="24" t="str">
        <f aca="false">IF(A1391="","",IF(OR(AND(R1391&lt;&gt;"",R1391&lt;0),AND(S1391&lt;&gt;"",S1391&lt;0)),"EXPIRED",IF(OR(AND(R1391&lt;&gt;"",R1391&lt;=Settings!$B$15),AND(S1391&lt;&gt;"",S1391&lt;=Settings!$B$15)),"EXPIRING SOON","OK")))</f>
        <v/>
      </c>
      <c r="U1391" s="24" t="str">
        <f aca="false">IF(AND(C1391="Own",Q1391="Active"),COUNTIFS($C$5:C1391,"Own",$Q$5:Q1391,"Active"),"")</f>
        <v/>
      </c>
      <c r="V1391" s="26" t="str">
        <f aca="false">IF(C1391&lt;&gt;"Own","",IF(K1391="Hourly",N1391,(L1391+M1391)/(Settings!$B$11*Settings!$B$12)))</f>
        <v/>
      </c>
    </row>
    <row r="1392" customFormat="false" ht="15" hidden="false" customHeight="false" outlineLevel="0" collapsed="false">
      <c r="R1392" s="25" t="str">
        <f aca="true">IF(I1392="","",I1392-TODAY())</f>
        <v/>
      </c>
      <c r="S1392" s="25" t="str">
        <f aca="true">IF(J1392="","",J1392-TODAY())</f>
        <v/>
      </c>
      <c r="T1392" s="24" t="str">
        <f aca="false">IF(A1392="","",IF(OR(AND(R1392&lt;&gt;"",R1392&lt;0),AND(S1392&lt;&gt;"",S1392&lt;0)),"EXPIRED",IF(OR(AND(R1392&lt;&gt;"",R1392&lt;=Settings!$B$15),AND(S1392&lt;&gt;"",S1392&lt;=Settings!$B$15)),"EXPIRING SOON","OK")))</f>
        <v/>
      </c>
      <c r="U1392" s="24" t="str">
        <f aca="false">IF(AND(C1392="Own",Q1392="Active"),COUNTIFS($C$5:C1392,"Own",$Q$5:Q1392,"Active"),"")</f>
        <v/>
      </c>
      <c r="V1392" s="26" t="str">
        <f aca="false">IF(C1392&lt;&gt;"Own","",IF(K1392="Hourly",N1392,(L1392+M1392)/(Settings!$B$11*Settings!$B$12)))</f>
        <v/>
      </c>
    </row>
    <row r="1393" customFormat="false" ht="15" hidden="false" customHeight="false" outlineLevel="0" collapsed="false">
      <c r="R1393" s="25" t="str">
        <f aca="true">IF(I1393="","",I1393-TODAY())</f>
        <v/>
      </c>
      <c r="S1393" s="25" t="str">
        <f aca="true">IF(J1393="","",J1393-TODAY())</f>
        <v/>
      </c>
      <c r="T1393" s="24" t="str">
        <f aca="false">IF(A1393="","",IF(OR(AND(R1393&lt;&gt;"",R1393&lt;0),AND(S1393&lt;&gt;"",S1393&lt;0)),"EXPIRED",IF(OR(AND(R1393&lt;&gt;"",R1393&lt;=Settings!$B$15),AND(S1393&lt;&gt;"",S1393&lt;=Settings!$B$15)),"EXPIRING SOON","OK")))</f>
        <v/>
      </c>
      <c r="U1393" s="24" t="str">
        <f aca="false">IF(AND(C1393="Own",Q1393="Active"),COUNTIFS($C$5:C1393,"Own",$Q$5:Q1393,"Active"),"")</f>
        <v/>
      </c>
      <c r="V1393" s="26" t="str">
        <f aca="false">IF(C1393&lt;&gt;"Own","",IF(K1393="Hourly",N1393,(L1393+M1393)/(Settings!$B$11*Settings!$B$12)))</f>
        <v/>
      </c>
    </row>
    <row r="1394" customFormat="false" ht="15" hidden="false" customHeight="false" outlineLevel="0" collapsed="false">
      <c r="R1394" s="25" t="str">
        <f aca="true">IF(I1394="","",I1394-TODAY())</f>
        <v/>
      </c>
      <c r="S1394" s="25" t="str">
        <f aca="true">IF(J1394="","",J1394-TODAY())</f>
        <v/>
      </c>
      <c r="T1394" s="24" t="str">
        <f aca="false">IF(A1394="","",IF(OR(AND(R1394&lt;&gt;"",R1394&lt;0),AND(S1394&lt;&gt;"",S1394&lt;0)),"EXPIRED",IF(OR(AND(R1394&lt;&gt;"",R1394&lt;=Settings!$B$15),AND(S1394&lt;&gt;"",S1394&lt;=Settings!$B$15)),"EXPIRING SOON","OK")))</f>
        <v/>
      </c>
      <c r="U1394" s="24" t="str">
        <f aca="false">IF(AND(C1394="Own",Q1394="Active"),COUNTIFS($C$5:C1394,"Own",$Q$5:Q1394,"Active"),"")</f>
        <v/>
      </c>
      <c r="V1394" s="26" t="str">
        <f aca="false">IF(C1394&lt;&gt;"Own","",IF(K1394="Hourly",N1394,(L1394+M1394)/(Settings!$B$11*Settings!$B$12)))</f>
        <v/>
      </c>
    </row>
    <row r="1395" customFormat="false" ht="15" hidden="false" customHeight="false" outlineLevel="0" collapsed="false">
      <c r="R1395" s="25" t="str">
        <f aca="true">IF(I1395="","",I1395-TODAY())</f>
        <v/>
      </c>
      <c r="S1395" s="25" t="str">
        <f aca="true">IF(J1395="","",J1395-TODAY())</f>
        <v/>
      </c>
      <c r="T1395" s="24" t="str">
        <f aca="false">IF(A1395="","",IF(OR(AND(R1395&lt;&gt;"",R1395&lt;0),AND(S1395&lt;&gt;"",S1395&lt;0)),"EXPIRED",IF(OR(AND(R1395&lt;&gt;"",R1395&lt;=Settings!$B$15),AND(S1395&lt;&gt;"",S1395&lt;=Settings!$B$15)),"EXPIRING SOON","OK")))</f>
        <v/>
      </c>
      <c r="U1395" s="24" t="str">
        <f aca="false">IF(AND(C1395="Own",Q1395="Active"),COUNTIFS($C$5:C1395,"Own",$Q$5:Q1395,"Active"),"")</f>
        <v/>
      </c>
      <c r="V1395" s="26" t="str">
        <f aca="false">IF(C1395&lt;&gt;"Own","",IF(K1395="Hourly",N1395,(L1395+M1395)/(Settings!$B$11*Settings!$B$12)))</f>
        <v/>
      </c>
    </row>
    <row r="1396" customFormat="false" ht="15" hidden="false" customHeight="false" outlineLevel="0" collapsed="false">
      <c r="R1396" s="25" t="str">
        <f aca="true">IF(I1396="","",I1396-TODAY())</f>
        <v/>
      </c>
      <c r="S1396" s="25" t="str">
        <f aca="true">IF(J1396="","",J1396-TODAY())</f>
        <v/>
      </c>
      <c r="T1396" s="24" t="str">
        <f aca="false">IF(A1396="","",IF(OR(AND(R1396&lt;&gt;"",R1396&lt;0),AND(S1396&lt;&gt;"",S1396&lt;0)),"EXPIRED",IF(OR(AND(R1396&lt;&gt;"",R1396&lt;=Settings!$B$15),AND(S1396&lt;&gt;"",S1396&lt;=Settings!$B$15)),"EXPIRING SOON","OK")))</f>
        <v/>
      </c>
      <c r="U1396" s="24" t="str">
        <f aca="false">IF(AND(C1396="Own",Q1396="Active"),COUNTIFS($C$5:C1396,"Own",$Q$5:Q1396,"Active"),"")</f>
        <v/>
      </c>
      <c r="V1396" s="26" t="str">
        <f aca="false">IF(C1396&lt;&gt;"Own","",IF(K1396="Hourly",N1396,(L1396+M1396)/(Settings!$B$11*Settings!$B$12)))</f>
        <v/>
      </c>
    </row>
    <row r="1397" customFormat="false" ht="15" hidden="false" customHeight="false" outlineLevel="0" collapsed="false">
      <c r="R1397" s="25" t="str">
        <f aca="true">IF(I1397="","",I1397-TODAY())</f>
        <v/>
      </c>
      <c r="S1397" s="25" t="str">
        <f aca="true">IF(J1397="","",J1397-TODAY())</f>
        <v/>
      </c>
      <c r="T1397" s="24" t="str">
        <f aca="false">IF(A1397="","",IF(OR(AND(R1397&lt;&gt;"",R1397&lt;0),AND(S1397&lt;&gt;"",S1397&lt;0)),"EXPIRED",IF(OR(AND(R1397&lt;&gt;"",R1397&lt;=Settings!$B$15),AND(S1397&lt;&gt;"",S1397&lt;=Settings!$B$15)),"EXPIRING SOON","OK")))</f>
        <v/>
      </c>
      <c r="U1397" s="24" t="str">
        <f aca="false">IF(AND(C1397="Own",Q1397="Active"),COUNTIFS($C$5:C1397,"Own",$Q$5:Q1397,"Active"),"")</f>
        <v/>
      </c>
      <c r="V1397" s="26" t="str">
        <f aca="false">IF(C1397&lt;&gt;"Own","",IF(K1397="Hourly",N1397,(L1397+M1397)/(Settings!$B$11*Settings!$B$12)))</f>
        <v/>
      </c>
    </row>
    <row r="1398" customFormat="false" ht="15" hidden="false" customHeight="false" outlineLevel="0" collapsed="false">
      <c r="R1398" s="25" t="str">
        <f aca="true">IF(I1398="","",I1398-TODAY())</f>
        <v/>
      </c>
      <c r="S1398" s="25" t="str">
        <f aca="true">IF(J1398="","",J1398-TODAY())</f>
        <v/>
      </c>
      <c r="T1398" s="24" t="str">
        <f aca="false">IF(A1398="","",IF(OR(AND(R1398&lt;&gt;"",R1398&lt;0),AND(S1398&lt;&gt;"",S1398&lt;0)),"EXPIRED",IF(OR(AND(R1398&lt;&gt;"",R1398&lt;=Settings!$B$15),AND(S1398&lt;&gt;"",S1398&lt;=Settings!$B$15)),"EXPIRING SOON","OK")))</f>
        <v/>
      </c>
      <c r="U1398" s="24" t="str">
        <f aca="false">IF(AND(C1398="Own",Q1398="Active"),COUNTIFS($C$5:C1398,"Own",$Q$5:Q1398,"Active"),"")</f>
        <v/>
      </c>
      <c r="V1398" s="26" t="str">
        <f aca="false">IF(C1398&lt;&gt;"Own","",IF(K1398="Hourly",N1398,(L1398+M1398)/(Settings!$B$11*Settings!$B$12)))</f>
        <v/>
      </c>
    </row>
    <row r="1399" customFormat="false" ht="15" hidden="false" customHeight="false" outlineLevel="0" collapsed="false">
      <c r="R1399" s="25" t="str">
        <f aca="true">IF(I1399="","",I1399-TODAY())</f>
        <v/>
      </c>
      <c r="S1399" s="25" t="str">
        <f aca="true">IF(J1399="","",J1399-TODAY())</f>
        <v/>
      </c>
      <c r="T1399" s="24" t="str">
        <f aca="false">IF(A1399="","",IF(OR(AND(R1399&lt;&gt;"",R1399&lt;0),AND(S1399&lt;&gt;"",S1399&lt;0)),"EXPIRED",IF(OR(AND(R1399&lt;&gt;"",R1399&lt;=Settings!$B$15),AND(S1399&lt;&gt;"",S1399&lt;=Settings!$B$15)),"EXPIRING SOON","OK")))</f>
        <v/>
      </c>
      <c r="U1399" s="24" t="str">
        <f aca="false">IF(AND(C1399="Own",Q1399="Active"),COUNTIFS($C$5:C1399,"Own",$Q$5:Q1399,"Active"),"")</f>
        <v/>
      </c>
      <c r="V1399" s="26" t="str">
        <f aca="false">IF(C1399&lt;&gt;"Own","",IF(K1399="Hourly",N1399,(L1399+M1399)/(Settings!$B$11*Settings!$B$12)))</f>
        <v/>
      </c>
    </row>
    <row r="1400" customFormat="false" ht="15" hidden="false" customHeight="false" outlineLevel="0" collapsed="false">
      <c r="R1400" s="25" t="str">
        <f aca="true">IF(I1400="","",I1400-TODAY())</f>
        <v/>
      </c>
      <c r="S1400" s="25" t="str">
        <f aca="true">IF(J1400="","",J1400-TODAY())</f>
        <v/>
      </c>
      <c r="T1400" s="24" t="str">
        <f aca="false">IF(A1400="","",IF(OR(AND(R1400&lt;&gt;"",R1400&lt;0),AND(S1400&lt;&gt;"",S1400&lt;0)),"EXPIRED",IF(OR(AND(R1400&lt;&gt;"",R1400&lt;=Settings!$B$15),AND(S1400&lt;&gt;"",S1400&lt;=Settings!$B$15)),"EXPIRING SOON","OK")))</f>
        <v/>
      </c>
      <c r="U1400" s="24" t="str">
        <f aca="false">IF(AND(C1400="Own",Q1400="Active"),COUNTIFS($C$5:C1400,"Own",$Q$5:Q1400,"Active"),"")</f>
        <v/>
      </c>
      <c r="V1400" s="26" t="str">
        <f aca="false">IF(C1400&lt;&gt;"Own","",IF(K1400="Hourly",N1400,(L1400+M1400)/(Settings!$B$11*Settings!$B$12)))</f>
        <v/>
      </c>
    </row>
    <row r="1401" customFormat="false" ht="15" hidden="false" customHeight="false" outlineLevel="0" collapsed="false">
      <c r="R1401" s="25" t="str">
        <f aca="true">IF(I1401="","",I1401-TODAY())</f>
        <v/>
      </c>
      <c r="S1401" s="25" t="str">
        <f aca="true">IF(J1401="","",J1401-TODAY())</f>
        <v/>
      </c>
      <c r="T1401" s="24" t="str">
        <f aca="false">IF(A1401="","",IF(OR(AND(R1401&lt;&gt;"",R1401&lt;0),AND(S1401&lt;&gt;"",S1401&lt;0)),"EXPIRED",IF(OR(AND(R1401&lt;&gt;"",R1401&lt;=Settings!$B$15),AND(S1401&lt;&gt;"",S1401&lt;=Settings!$B$15)),"EXPIRING SOON","OK")))</f>
        <v/>
      </c>
      <c r="U1401" s="24" t="str">
        <f aca="false">IF(AND(C1401="Own",Q1401="Active"),COUNTIFS($C$5:C1401,"Own",$Q$5:Q1401,"Active"),"")</f>
        <v/>
      </c>
      <c r="V1401" s="26" t="str">
        <f aca="false">IF(C1401&lt;&gt;"Own","",IF(K1401="Hourly",N1401,(L1401+M1401)/(Settings!$B$11*Settings!$B$12)))</f>
        <v/>
      </c>
    </row>
    <row r="1402" customFormat="false" ht="15" hidden="false" customHeight="false" outlineLevel="0" collapsed="false">
      <c r="R1402" s="25" t="str">
        <f aca="true">IF(I1402="","",I1402-TODAY())</f>
        <v/>
      </c>
      <c r="S1402" s="25" t="str">
        <f aca="true">IF(J1402="","",J1402-TODAY())</f>
        <v/>
      </c>
      <c r="T1402" s="24" t="str">
        <f aca="false">IF(A1402="","",IF(OR(AND(R1402&lt;&gt;"",R1402&lt;0),AND(S1402&lt;&gt;"",S1402&lt;0)),"EXPIRED",IF(OR(AND(R1402&lt;&gt;"",R1402&lt;=Settings!$B$15),AND(S1402&lt;&gt;"",S1402&lt;=Settings!$B$15)),"EXPIRING SOON","OK")))</f>
        <v/>
      </c>
      <c r="U1402" s="24" t="str">
        <f aca="false">IF(AND(C1402="Own",Q1402="Active"),COUNTIFS($C$5:C1402,"Own",$Q$5:Q1402,"Active"),"")</f>
        <v/>
      </c>
      <c r="V1402" s="26" t="str">
        <f aca="false">IF(C1402&lt;&gt;"Own","",IF(K1402="Hourly",N1402,(L1402+M1402)/(Settings!$B$11*Settings!$B$12)))</f>
        <v/>
      </c>
    </row>
    <row r="1403" customFormat="false" ht="15" hidden="false" customHeight="false" outlineLevel="0" collapsed="false">
      <c r="R1403" s="25" t="str">
        <f aca="true">IF(I1403="","",I1403-TODAY())</f>
        <v/>
      </c>
      <c r="S1403" s="25" t="str">
        <f aca="true">IF(J1403="","",J1403-TODAY())</f>
        <v/>
      </c>
      <c r="T1403" s="24" t="str">
        <f aca="false">IF(A1403="","",IF(OR(AND(R1403&lt;&gt;"",R1403&lt;0),AND(S1403&lt;&gt;"",S1403&lt;0)),"EXPIRED",IF(OR(AND(R1403&lt;&gt;"",R1403&lt;=Settings!$B$15),AND(S1403&lt;&gt;"",S1403&lt;=Settings!$B$15)),"EXPIRING SOON","OK")))</f>
        <v/>
      </c>
      <c r="U1403" s="24" t="str">
        <f aca="false">IF(AND(C1403="Own",Q1403="Active"),COUNTIFS($C$5:C1403,"Own",$Q$5:Q1403,"Active"),"")</f>
        <v/>
      </c>
      <c r="V1403" s="26" t="str">
        <f aca="false">IF(C1403&lt;&gt;"Own","",IF(K1403="Hourly",N1403,(L1403+M1403)/(Settings!$B$11*Settings!$B$12)))</f>
        <v/>
      </c>
    </row>
    <row r="1404" customFormat="false" ht="15" hidden="false" customHeight="false" outlineLevel="0" collapsed="false">
      <c r="R1404" s="25" t="str">
        <f aca="true">IF(I1404="","",I1404-TODAY())</f>
        <v/>
      </c>
      <c r="S1404" s="25" t="str">
        <f aca="true">IF(J1404="","",J1404-TODAY())</f>
        <v/>
      </c>
      <c r="T1404" s="24" t="str">
        <f aca="false">IF(A1404="","",IF(OR(AND(R1404&lt;&gt;"",R1404&lt;0),AND(S1404&lt;&gt;"",S1404&lt;0)),"EXPIRED",IF(OR(AND(R1404&lt;&gt;"",R1404&lt;=Settings!$B$15),AND(S1404&lt;&gt;"",S1404&lt;=Settings!$B$15)),"EXPIRING SOON","OK")))</f>
        <v/>
      </c>
      <c r="U1404" s="24" t="str">
        <f aca="false">IF(AND(C1404="Own",Q1404="Active"),COUNTIFS($C$5:C1404,"Own",$Q$5:Q1404,"Active"),"")</f>
        <v/>
      </c>
      <c r="V1404" s="26" t="str">
        <f aca="false">IF(C1404&lt;&gt;"Own","",IF(K1404="Hourly",N1404,(L1404+M1404)/(Settings!$B$11*Settings!$B$12)))</f>
        <v/>
      </c>
    </row>
    <row r="1405" customFormat="false" ht="15" hidden="false" customHeight="false" outlineLevel="0" collapsed="false">
      <c r="R1405" s="25" t="str">
        <f aca="true">IF(I1405="","",I1405-TODAY())</f>
        <v/>
      </c>
      <c r="S1405" s="25" t="str">
        <f aca="true">IF(J1405="","",J1405-TODAY())</f>
        <v/>
      </c>
      <c r="T1405" s="24" t="str">
        <f aca="false">IF(A1405="","",IF(OR(AND(R1405&lt;&gt;"",R1405&lt;0),AND(S1405&lt;&gt;"",S1405&lt;0)),"EXPIRED",IF(OR(AND(R1405&lt;&gt;"",R1405&lt;=Settings!$B$15),AND(S1405&lt;&gt;"",S1405&lt;=Settings!$B$15)),"EXPIRING SOON","OK")))</f>
        <v/>
      </c>
      <c r="U1405" s="24" t="str">
        <f aca="false">IF(AND(C1405="Own",Q1405="Active"),COUNTIFS($C$5:C1405,"Own",$Q$5:Q1405,"Active"),"")</f>
        <v/>
      </c>
      <c r="V1405" s="26" t="str">
        <f aca="false">IF(C1405&lt;&gt;"Own","",IF(K1405="Hourly",N1405,(L1405+M1405)/(Settings!$B$11*Settings!$B$12)))</f>
        <v/>
      </c>
    </row>
    <row r="1406" customFormat="false" ht="15" hidden="false" customHeight="false" outlineLevel="0" collapsed="false">
      <c r="R1406" s="25" t="str">
        <f aca="true">IF(I1406="","",I1406-TODAY())</f>
        <v/>
      </c>
      <c r="S1406" s="25" t="str">
        <f aca="true">IF(J1406="","",J1406-TODAY())</f>
        <v/>
      </c>
      <c r="T1406" s="24" t="str">
        <f aca="false">IF(A1406="","",IF(OR(AND(R1406&lt;&gt;"",R1406&lt;0),AND(S1406&lt;&gt;"",S1406&lt;0)),"EXPIRED",IF(OR(AND(R1406&lt;&gt;"",R1406&lt;=Settings!$B$15),AND(S1406&lt;&gt;"",S1406&lt;=Settings!$B$15)),"EXPIRING SOON","OK")))</f>
        <v/>
      </c>
      <c r="U1406" s="24" t="str">
        <f aca="false">IF(AND(C1406="Own",Q1406="Active"),COUNTIFS($C$5:C1406,"Own",$Q$5:Q1406,"Active"),"")</f>
        <v/>
      </c>
      <c r="V1406" s="26" t="str">
        <f aca="false">IF(C1406&lt;&gt;"Own","",IF(K1406="Hourly",N1406,(L1406+M1406)/(Settings!$B$11*Settings!$B$12)))</f>
        <v/>
      </c>
    </row>
    <row r="1407" customFormat="false" ht="15" hidden="false" customHeight="false" outlineLevel="0" collapsed="false">
      <c r="R1407" s="25" t="str">
        <f aca="true">IF(I1407="","",I1407-TODAY())</f>
        <v/>
      </c>
      <c r="S1407" s="25" t="str">
        <f aca="true">IF(J1407="","",J1407-TODAY())</f>
        <v/>
      </c>
      <c r="T1407" s="24" t="str">
        <f aca="false">IF(A1407="","",IF(OR(AND(R1407&lt;&gt;"",R1407&lt;0),AND(S1407&lt;&gt;"",S1407&lt;0)),"EXPIRED",IF(OR(AND(R1407&lt;&gt;"",R1407&lt;=Settings!$B$15),AND(S1407&lt;&gt;"",S1407&lt;=Settings!$B$15)),"EXPIRING SOON","OK")))</f>
        <v/>
      </c>
      <c r="U1407" s="24" t="str">
        <f aca="false">IF(AND(C1407="Own",Q1407="Active"),COUNTIFS($C$5:C1407,"Own",$Q$5:Q1407,"Active"),"")</f>
        <v/>
      </c>
      <c r="V1407" s="26" t="str">
        <f aca="false">IF(C1407&lt;&gt;"Own","",IF(K1407="Hourly",N1407,(L1407+M1407)/(Settings!$B$11*Settings!$B$12)))</f>
        <v/>
      </c>
    </row>
    <row r="1408" customFormat="false" ht="15" hidden="false" customHeight="false" outlineLevel="0" collapsed="false">
      <c r="R1408" s="25" t="str">
        <f aca="true">IF(I1408="","",I1408-TODAY())</f>
        <v/>
      </c>
      <c r="S1408" s="25" t="str">
        <f aca="true">IF(J1408="","",J1408-TODAY())</f>
        <v/>
      </c>
      <c r="T1408" s="24" t="str">
        <f aca="false">IF(A1408="","",IF(OR(AND(R1408&lt;&gt;"",R1408&lt;0),AND(S1408&lt;&gt;"",S1408&lt;0)),"EXPIRED",IF(OR(AND(R1408&lt;&gt;"",R1408&lt;=Settings!$B$15),AND(S1408&lt;&gt;"",S1408&lt;=Settings!$B$15)),"EXPIRING SOON","OK")))</f>
        <v/>
      </c>
      <c r="U1408" s="24" t="str">
        <f aca="false">IF(AND(C1408="Own",Q1408="Active"),COUNTIFS($C$5:C1408,"Own",$Q$5:Q1408,"Active"),"")</f>
        <v/>
      </c>
      <c r="V1408" s="26" t="str">
        <f aca="false">IF(C1408&lt;&gt;"Own","",IF(K1408="Hourly",N1408,(L1408+M1408)/(Settings!$B$11*Settings!$B$12)))</f>
        <v/>
      </c>
    </row>
    <row r="1409" customFormat="false" ht="15" hidden="false" customHeight="false" outlineLevel="0" collapsed="false">
      <c r="R1409" s="25" t="str">
        <f aca="true">IF(I1409="","",I1409-TODAY())</f>
        <v/>
      </c>
      <c r="S1409" s="25" t="str">
        <f aca="true">IF(J1409="","",J1409-TODAY())</f>
        <v/>
      </c>
      <c r="T1409" s="24" t="str">
        <f aca="false">IF(A1409="","",IF(OR(AND(R1409&lt;&gt;"",R1409&lt;0),AND(S1409&lt;&gt;"",S1409&lt;0)),"EXPIRED",IF(OR(AND(R1409&lt;&gt;"",R1409&lt;=Settings!$B$15),AND(S1409&lt;&gt;"",S1409&lt;=Settings!$B$15)),"EXPIRING SOON","OK")))</f>
        <v/>
      </c>
      <c r="U1409" s="24" t="str">
        <f aca="false">IF(AND(C1409="Own",Q1409="Active"),COUNTIFS($C$5:C1409,"Own",$Q$5:Q1409,"Active"),"")</f>
        <v/>
      </c>
      <c r="V1409" s="26" t="str">
        <f aca="false">IF(C1409&lt;&gt;"Own","",IF(K1409="Hourly",N1409,(L1409+M1409)/(Settings!$B$11*Settings!$B$12)))</f>
        <v/>
      </c>
    </row>
    <row r="1410" customFormat="false" ht="15" hidden="false" customHeight="false" outlineLevel="0" collapsed="false">
      <c r="R1410" s="25" t="str">
        <f aca="true">IF(I1410="","",I1410-TODAY())</f>
        <v/>
      </c>
      <c r="S1410" s="25" t="str">
        <f aca="true">IF(J1410="","",J1410-TODAY())</f>
        <v/>
      </c>
      <c r="T1410" s="24" t="str">
        <f aca="false">IF(A1410="","",IF(OR(AND(R1410&lt;&gt;"",R1410&lt;0),AND(S1410&lt;&gt;"",S1410&lt;0)),"EXPIRED",IF(OR(AND(R1410&lt;&gt;"",R1410&lt;=Settings!$B$15),AND(S1410&lt;&gt;"",S1410&lt;=Settings!$B$15)),"EXPIRING SOON","OK")))</f>
        <v/>
      </c>
      <c r="U1410" s="24" t="str">
        <f aca="false">IF(AND(C1410="Own",Q1410="Active"),COUNTIFS($C$5:C1410,"Own",$Q$5:Q1410,"Active"),"")</f>
        <v/>
      </c>
      <c r="V1410" s="26" t="str">
        <f aca="false">IF(C1410&lt;&gt;"Own","",IF(K1410="Hourly",N1410,(L1410+M1410)/(Settings!$B$11*Settings!$B$12)))</f>
        <v/>
      </c>
    </row>
    <row r="1411" customFormat="false" ht="15" hidden="false" customHeight="false" outlineLevel="0" collapsed="false">
      <c r="R1411" s="25" t="str">
        <f aca="true">IF(I1411="","",I1411-TODAY())</f>
        <v/>
      </c>
      <c r="S1411" s="25" t="str">
        <f aca="true">IF(J1411="","",J1411-TODAY())</f>
        <v/>
      </c>
      <c r="T1411" s="24" t="str">
        <f aca="false">IF(A1411="","",IF(OR(AND(R1411&lt;&gt;"",R1411&lt;0),AND(S1411&lt;&gt;"",S1411&lt;0)),"EXPIRED",IF(OR(AND(R1411&lt;&gt;"",R1411&lt;=Settings!$B$15),AND(S1411&lt;&gt;"",S1411&lt;=Settings!$B$15)),"EXPIRING SOON","OK")))</f>
        <v/>
      </c>
      <c r="U1411" s="24" t="str">
        <f aca="false">IF(AND(C1411="Own",Q1411="Active"),COUNTIFS($C$5:C1411,"Own",$Q$5:Q1411,"Active"),"")</f>
        <v/>
      </c>
      <c r="V1411" s="26" t="str">
        <f aca="false">IF(C1411&lt;&gt;"Own","",IF(K1411="Hourly",N1411,(L1411+M1411)/(Settings!$B$11*Settings!$B$12)))</f>
        <v/>
      </c>
    </row>
    <row r="1412" customFormat="false" ht="15" hidden="false" customHeight="false" outlineLevel="0" collapsed="false">
      <c r="R1412" s="25" t="str">
        <f aca="true">IF(I1412="","",I1412-TODAY())</f>
        <v/>
      </c>
      <c r="S1412" s="25" t="str">
        <f aca="true">IF(J1412="","",J1412-TODAY())</f>
        <v/>
      </c>
      <c r="T1412" s="24" t="str">
        <f aca="false">IF(A1412="","",IF(OR(AND(R1412&lt;&gt;"",R1412&lt;0),AND(S1412&lt;&gt;"",S1412&lt;0)),"EXPIRED",IF(OR(AND(R1412&lt;&gt;"",R1412&lt;=Settings!$B$15),AND(S1412&lt;&gt;"",S1412&lt;=Settings!$B$15)),"EXPIRING SOON","OK")))</f>
        <v/>
      </c>
      <c r="U1412" s="24" t="str">
        <f aca="false">IF(AND(C1412="Own",Q1412="Active"),COUNTIFS($C$5:C1412,"Own",$Q$5:Q1412,"Active"),"")</f>
        <v/>
      </c>
      <c r="V1412" s="26" t="str">
        <f aca="false">IF(C1412&lt;&gt;"Own","",IF(K1412="Hourly",N1412,(L1412+M1412)/(Settings!$B$11*Settings!$B$12)))</f>
        <v/>
      </c>
    </row>
    <row r="1413" customFormat="false" ht="15" hidden="false" customHeight="false" outlineLevel="0" collapsed="false">
      <c r="R1413" s="25" t="str">
        <f aca="true">IF(I1413="","",I1413-TODAY())</f>
        <v/>
      </c>
      <c r="S1413" s="25" t="str">
        <f aca="true">IF(J1413="","",J1413-TODAY())</f>
        <v/>
      </c>
      <c r="T1413" s="24" t="str">
        <f aca="false">IF(A1413="","",IF(OR(AND(R1413&lt;&gt;"",R1413&lt;0),AND(S1413&lt;&gt;"",S1413&lt;0)),"EXPIRED",IF(OR(AND(R1413&lt;&gt;"",R1413&lt;=Settings!$B$15),AND(S1413&lt;&gt;"",S1413&lt;=Settings!$B$15)),"EXPIRING SOON","OK")))</f>
        <v/>
      </c>
      <c r="U1413" s="24" t="str">
        <f aca="false">IF(AND(C1413="Own",Q1413="Active"),COUNTIFS($C$5:C1413,"Own",$Q$5:Q1413,"Active"),"")</f>
        <v/>
      </c>
      <c r="V1413" s="26" t="str">
        <f aca="false">IF(C1413&lt;&gt;"Own","",IF(K1413="Hourly",N1413,(L1413+M1413)/(Settings!$B$11*Settings!$B$12)))</f>
        <v/>
      </c>
    </row>
    <row r="1414" customFormat="false" ht="15" hidden="false" customHeight="false" outlineLevel="0" collapsed="false">
      <c r="R1414" s="25" t="str">
        <f aca="true">IF(I1414="","",I1414-TODAY())</f>
        <v/>
      </c>
      <c r="S1414" s="25" t="str">
        <f aca="true">IF(J1414="","",J1414-TODAY())</f>
        <v/>
      </c>
      <c r="T1414" s="24" t="str">
        <f aca="false">IF(A1414="","",IF(OR(AND(R1414&lt;&gt;"",R1414&lt;0),AND(S1414&lt;&gt;"",S1414&lt;0)),"EXPIRED",IF(OR(AND(R1414&lt;&gt;"",R1414&lt;=Settings!$B$15),AND(S1414&lt;&gt;"",S1414&lt;=Settings!$B$15)),"EXPIRING SOON","OK")))</f>
        <v/>
      </c>
      <c r="U1414" s="24" t="str">
        <f aca="false">IF(AND(C1414="Own",Q1414="Active"),COUNTIFS($C$5:C1414,"Own",$Q$5:Q1414,"Active"),"")</f>
        <v/>
      </c>
      <c r="V1414" s="26" t="str">
        <f aca="false">IF(C1414&lt;&gt;"Own","",IF(K1414="Hourly",N1414,(L1414+M1414)/(Settings!$B$11*Settings!$B$12)))</f>
        <v/>
      </c>
    </row>
    <row r="1415" customFormat="false" ht="15" hidden="false" customHeight="false" outlineLevel="0" collapsed="false">
      <c r="R1415" s="25" t="str">
        <f aca="true">IF(I1415="","",I1415-TODAY())</f>
        <v/>
      </c>
      <c r="S1415" s="25" t="str">
        <f aca="true">IF(J1415="","",J1415-TODAY())</f>
        <v/>
      </c>
      <c r="T1415" s="24" t="str">
        <f aca="false">IF(A1415="","",IF(OR(AND(R1415&lt;&gt;"",R1415&lt;0),AND(S1415&lt;&gt;"",S1415&lt;0)),"EXPIRED",IF(OR(AND(R1415&lt;&gt;"",R1415&lt;=Settings!$B$15),AND(S1415&lt;&gt;"",S1415&lt;=Settings!$B$15)),"EXPIRING SOON","OK")))</f>
        <v/>
      </c>
      <c r="U1415" s="24" t="str">
        <f aca="false">IF(AND(C1415="Own",Q1415="Active"),COUNTIFS($C$5:C1415,"Own",$Q$5:Q1415,"Active"),"")</f>
        <v/>
      </c>
      <c r="V1415" s="26" t="str">
        <f aca="false">IF(C1415&lt;&gt;"Own","",IF(K1415="Hourly",N1415,(L1415+M1415)/(Settings!$B$11*Settings!$B$12)))</f>
        <v/>
      </c>
    </row>
    <row r="1416" customFormat="false" ht="15" hidden="false" customHeight="false" outlineLevel="0" collapsed="false">
      <c r="R1416" s="25" t="str">
        <f aca="true">IF(I1416="","",I1416-TODAY())</f>
        <v/>
      </c>
      <c r="S1416" s="25" t="str">
        <f aca="true">IF(J1416="","",J1416-TODAY())</f>
        <v/>
      </c>
      <c r="T1416" s="24" t="str">
        <f aca="false">IF(A1416="","",IF(OR(AND(R1416&lt;&gt;"",R1416&lt;0),AND(S1416&lt;&gt;"",S1416&lt;0)),"EXPIRED",IF(OR(AND(R1416&lt;&gt;"",R1416&lt;=Settings!$B$15),AND(S1416&lt;&gt;"",S1416&lt;=Settings!$B$15)),"EXPIRING SOON","OK")))</f>
        <v/>
      </c>
      <c r="U1416" s="24" t="str">
        <f aca="false">IF(AND(C1416="Own",Q1416="Active"),COUNTIFS($C$5:C1416,"Own",$Q$5:Q1416,"Active"),"")</f>
        <v/>
      </c>
      <c r="V1416" s="26" t="str">
        <f aca="false">IF(C1416&lt;&gt;"Own","",IF(K1416="Hourly",N1416,(L1416+M1416)/(Settings!$B$11*Settings!$B$12)))</f>
        <v/>
      </c>
    </row>
    <row r="1417" customFormat="false" ht="15" hidden="false" customHeight="false" outlineLevel="0" collapsed="false">
      <c r="R1417" s="25" t="str">
        <f aca="true">IF(I1417="","",I1417-TODAY())</f>
        <v/>
      </c>
      <c r="S1417" s="25" t="str">
        <f aca="true">IF(J1417="","",J1417-TODAY())</f>
        <v/>
      </c>
      <c r="T1417" s="24" t="str">
        <f aca="false">IF(A1417="","",IF(OR(AND(R1417&lt;&gt;"",R1417&lt;0),AND(S1417&lt;&gt;"",S1417&lt;0)),"EXPIRED",IF(OR(AND(R1417&lt;&gt;"",R1417&lt;=Settings!$B$15),AND(S1417&lt;&gt;"",S1417&lt;=Settings!$B$15)),"EXPIRING SOON","OK")))</f>
        <v/>
      </c>
      <c r="U1417" s="24" t="str">
        <f aca="false">IF(AND(C1417="Own",Q1417="Active"),COUNTIFS($C$5:C1417,"Own",$Q$5:Q1417,"Active"),"")</f>
        <v/>
      </c>
      <c r="V1417" s="26" t="str">
        <f aca="false">IF(C1417&lt;&gt;"Own","",IF(K1417="Hourly",N1417,(L1417+M1417)/(Settings!$B$11*Settings!$B$12)))</f>
        <v/>
      </c>
    </row>
    <row r="1418" customFormat="false" ht="15" hidden="false" customHeight="false" outlineLevel="0" collapsed="false">
      <c r="R1418" s="25" t="str">
        <f aca="true">IF(I1418="","",I1418-TODAY())</f>
        <v/>
      </c>
      <c r="S1418" s="25" t="str">
        <f aca="true">IF(J1418="","",J1418-TODAY())</f>
        <v/>
      </c>
      <c r="T1418" s="24" t="str">
        <f aca="false">IF(A1418="","",IF(OR(AND(R1418&lt;&gt;"",R1418&lt;0),AND(S1418&lt;&gt;"",S1418&lt;0)),"EXPIRED",IF(OR(AND(R1418&lt;&gt;"",R1418&lt;=Settings!$B$15),AND(S1418&lt;&gt;"",S1418&lt;=Settings!$B$15)),"EXPIRING SOON","OK")))</f>
        <v/>
      </c>
      <c r="U1418" s="24" t="str">
        <f aca="false">IF(AND(C1418="Own",Q1418="Active"),COUNTIFS($C$5:C1418,"Own",$Q$5:Q1418,"Active"),"")</f>
        <v/>
      </c>
      <c r="V1418" s="26" t="str">
        <f aca="false">IF(C1418&lt;&gt;"Own","",IF(K1418="Hourly",N1418,(L1418+M1418)/(Settings!$B$11*Settings!$B$12)))</f>
        <v/>
      </c>
    </row>
    <row r="1419" customFormat="false" ht="15" hidden="false" customHeight="false" outlineLevel="0" collapsed="false">
      <c r="R1419" s="25" t="str">
        <f aca="true">IF(I1419="","",I1419-TODAY())</f>
        <v/>
      </c>
      <c r="S1419" s="25" t="str">
        <f aca="true">IF(J1419="","",J1419-TODAY())</f>
        <v/>
      </c>
      <c r="T1419" s="24" t="str">
        <f aca="false">IF(A1419="","",IF(OR(AND(R1419&lt;&gt;"",R1419&lt;0),AND(S1419&lt;&gt;"",S1419&lt;0)),"EXPIRED",IF(OR(AND(R1419&lt;&gt;"",R1419&lt;=Settings!$B$15),AND(S1419&lt;&gt;"",S1419&lt;=Settings!$B$15)),"EXPIRING SOON","OK")))</f>
        <v/>
      </c>
      <c r="U1419" s="24" t="str">
        <f aca="false">IF(AND(C1419="Own",Q1419="Active"),COUNTIFS($C$5:C1419,"Own",$Q$5:Q1419,"Active"),"")</f>
        <v/>
      </c>
      <c r="V1419" s="26" t="str">
        <f aca="false">IF(C1419&lt;&gt;"Own","",IF(K1419="Hourly",N1419,(L1419+M1419)/(Settings!$B$11*Settings!$B$12)))</f>
        <v/>
      </c>
    </row>
    <row r="1420" customFormat="false" ht="15" hidden="false" customHeight="false" outlineLevel="0" collapsed="false">
      <c r="R1420" s="25" t="str">
        <f aca="true">IF(I1420="","",I1420-TODAY())</f>
        <v/>
      </c>
      <c r="S1420" s="25" t="str">
        <f aca="true">IF(J1420="","",J1420-TODAY())</f>
        <v/>
      </c>
      <c r="T1420" s="24" t="str">
        <f aca="false">IF(A1420="","",IF(OR(AND(R1420&lt;&gt;"",R1420&lt;0),AND(S1420&lt;&gt;"",S1420&lt;0)),"EXPIRED",IF(OR(AND(R1420&lt;&gt;"",R1420&lt;=Settings!$B$15),AND(S1420&lt;&gt;"",S1420&lt;=Settings!$B$15)),"EXPIRING SOON","OK")))</f>
        <v/>
      </c>
      <c r="U1420" s="24" t="str">
        <f aca="false">IF(AND(C1420="Own",Q1420="Active"),COUNTIFS($C$5:C1420,"Own",$Q$5:Q1420,"Active"),"")</f>
        <v/>
      </c>
      <c r="V1420" s="26" t="str">
        <f aca="false">IF(C1420&lt;&gt;"Own","",IF(K1420="Hourly",N1420,(L1420+M1420)/(Settings!$B$11*Settings!$B$12)))</f>
        <v/>
      </c>
    </row>
    <row r="1421" customFormat="false" ht="15" hidden="false" customHeight="false" outlineLevel="0" collapsed="false">
      <c r="R1421" s="25" t="str">
        <f aca="true">IF(I1421="","",I1421-TODAY())</f>
        <v/>
      </c>
      <c r="S1421" s="25" t="str">
        <f aca="true">IF(J1421="","",J1421-TODAY())</f>
        <v/>
      </c>
      <c r="T1421" s="24" t="str">
        <f aca="false">IF(A1421="","",IF(OR(AND(R1421&lt;&gt;"",R1421&lt;0),AND(S1421&lt;&gt;"",S1421&lt;0)),"EXPIRED",IF(OR(AND(R1421&lt;&gt;"",R1421&lt;=Settings!$B$15),AND(S1421&lt;&gt;"",S1421&lt;=Settings!$B$15)),"EXPIRING SOON","OK")))</f>
        <v/>
      </c>
      <c r="U1421" s="24" t="str">
        <f aca="false">IF(AND(C1421="Own",Q1421="Active"),COUNTIFS($C$5:C1421,"Own",$Q$5:Q1421,"Active"),"")</f>
        <v/>
      </c>
      <c r="V1421" s="26" t="str">
        <f aca="false">IF(C1421&lt;&gt;"Own","",IF(K1421="Hourly",N1421,(L1421+M1421)/(Settings!$B$11*Settings!$B$12)))</f>
        <v/>
      </c>
    </row>
    <row r="1422" customFormat="false" ht="15" hidden="false" customHeight="false" outlineLevel="0" collapsed="false">
      <c r="R1422" s="25" t="str">
        <f aca="true">IF(I1422="","",I1422-TODAY())</f>
        <v/>
      </c>
      <c r="S1422" s="25" t="str">
        <f aca="true">IF(J1422="","",J1422-TODAY())</f>
        <v/>
      </c>
      <c r="T1422" s="24" t="str">
        <f aca="false">IF(A1422="","",IF(OR(AND(R1422&lt;&gt;"",R1422&lt;0),AND(S1422&lt;&gt;"",S1422&lt;0)),"EXPIRED",IF(OR(AND(R1422&lt;&gt;"",R1422&lt;=Settings!$B$15),AND(S1422&lt;&gt;"",S1422&lt;=Settings!$B$15)),"EXPIRING SOON","OK")))</f>
        <v/>
      </c>
      <c r="U1422" s="24" t="str">
        <f aca="false">IF(AND(C1422="Own",Q1422="Active"),COUNTIFS($C$5:C1422,"Own",$Q$5:Q1422,"Active"),"")</f>
        <v/>
      </c>
      <c r="V1422" s="26" t="str">
        <f aca="false">IF(C1422&lt;&gt;"Own","",IF(K1422="Hourly",N1422,(L1422+M1422)/(Settings!$B$11*Settings!$B$12)))</f>
        <v/>
      </c>
    </row>
    <row r="1423" customFormat="false" ht="15" hidden="false" customHeight="false" outlineLevel="0" collapsed="false">
      <c r="R1423" s="25" t="str">
        <f aca="true">IF(I1423="","",I1423-TODAY())</f>
        <v/>
      </c>
      <c r="S1423" s="25" t="str">
        <f aca="true">IF(J1423="","",J1423-TODAY())</f>
        <v/>
      </c>
      <c r="T1423" s="24" t="str">
        <f aca="false">IF(A1423="","",IF(OR(AND(R1423&lt;&gt;"",R1423&lt;0),AND(S1423&lt;&gt;"",S1423&lt;0)),"EXPIRED",IF(OR(AND(R1423&lt;&gt;"",R1423&lt;=Settings!$B$15),AND(S1423&lt;&gt;"",S1423&lt;=Settings!$B$15)),"EXPIRING SOON","OK")))</f>
        <v/>
      </c>
      <c r="U1423" s="24" t="str">
        <f aca="false">IF(AND(C1423="Own",Q1423="Active"),COUNTIFS($C$5:C1423,"Own",$Q$5:Q1423,"Active"),"")</f>
        <v/>
      </c>
      <c r="V1423" s="26" t="str">
        <f aca="false">IF(C1423&lt;&gt;"Own","",IF(K1423="Hourly",N1423,(L1423+M1423)/(Settings!$B$11*Settings!$B$12)))</f>
        <v/>
      </c>
    </row>
    <row r="1424" customFormat="false" ht="15" hidden="false" customHeight="false" outlineLevel="0" collapsed="false">
      <c r="R1424" s="25" t="str">
        <f aca="true">IF(I1424="","",I1424-TODAY())</f>
        <v/>
      </c>
      <c r="S1424" s="25" t="str">
        <f aca="true">IF(J1424="","",J1424-TODAY())</f>
        <v/>
      </c>
      <c r="T1424" s="24" t="str">
        <f aca="false">IF(A1424="","",IF(OR(AND(R1424&lt;&gt;"",R1424&lt;0),AND(S1424&lt;&gt;"",S1424&lt;0)),"EXPIRED",IF(OR(AND(R1424&lt;&gt;"",R1424&lt;=Settings!$B$15),AND(S1424&lt;&gt;"",S1424&lt;=Settings!$B$15)),"EXPIRING SOON","OK")))</f>
        <v/>
      </c>
      <c r="U1424" s="24" t="str">
        <f aca="false">IF(AND(C1424="Own",Q1424="Active"),COUNTIFS($C$5:C1424,"Own",$Q$5:Q1424,"Active"),"")</f>
        <v/>
      </c>
      <c r="V1424" s="26" t="str">
        <f aca="false">IF(C1424&lt;&gt;"Own","",IF(K1424="Hourly",N1424,(L1424+M1424)/(Settings!$B$11*Settings!$B$12)))</f>
        <v/>
      </c>
    </row>
    <row r="1425" customFormat="false" ht="15" hidden="false" customHeight="false" outlineLevel="0" collapsed="false">
      <c r="R1425" s="25" t="str">
        <f aca="true">IF(I1425="","",I1425-TODAY())</f>
        <v/>
      </c>
      <c r="S1425" s="25" t="str">
        <f aca="true">IF(J1425="","",J1425-TODAY())</f>
        <v/>
      </c>
      <c r="T1425" s="24" t="str">
        <f aca="false">IF(A1425="","",IF(OR(AND(R1425&lt;&gt;"",R1425&lt;0),AND(S1425&lt;&gt;"",S1425&lt;0)),"EXPIRED",IF(OR(AND(R1425&lt;&gt;"",R1425&lt;=Settings!$B$15),AND(S1425&lt;&gt;"",S1425&lt;=Settings!$B$15)),"EXPIRING SOON","OK")))</f>
        <v/>
      </c>
      <c r="U1425" s="24" t="str">
        <f aca="false">IF(AND(C1425="Own",Q1425="Active"),COUNTIFS($C$5:C1425,"Own",$Q$5:Q1425,"Active"),"")</f>
        <v/>
      </c>
      <c r="V1425" s="26" t="str">
        <f aca="false">IF(C1425&lt;&gt;"Own","",IF(K1425="Hourly",N1425,(L1425+M1425)/(Settings!$B$11*Settings!$B$12)))</f>
        <v/>
      </c>
    </row>
    <row r="1426" customFormat="false" ht="15" hidden="false" customHeight="false" outlineLevel="0" collapsed="false">
      <c r="R1426" s="25" t="str">
        <f aca="true">IF(I1426="","",I1426-TODAY())</f>
        <v/>
      </c>
      <c r="S1426" s="25" t="str">
        <f aca="true">IF(J1426="","",J1426-TODAY())</f>
        <v/>
      </c>
      <c r="T1426" s="24" t="str">
        <f aca="false">IF(A1426="","",IF(OR(AND(R1426&lt;&gt;"",R1426&lt;0),AND(S1426&lt;&gt;"",S1426&lt;0)),"EXPIRED",IF(OR(AND(R1426&lt;&gt;"",R1426&lt;=Settings!$B$15),AND(S1426&lt;&gt;"",S1426&lt;=Settings!$B$15)),"EXPIRING SOON","OK")))</f>
        <v/>
      </c>
      <c r="U1426" s="24" t="str">
        <f aca="false">IF(AND(C1426="Own",Q1426="Active"),COUNTIFS($C$5:C1426,"Own",$Q$5:Q1426,"Active"),"")</f>
        <v/>
      </c>
      <c r="V1426" s="26" t="str">
        <f aca="false">IF(C1426&lt;&gt;"Own","",IF(K1426="Hourly",N1426,(L1426+M1426)/(Settings!$B$11*Settings!$B$12)))</f>
        <v/>
      </c>
    </row>
    <row r="1427" customFormat="false" ht="15" hidden="false" customHeight="false" outlineLevel="0" collapsed="false">
      <c r="R1427" s="25" t="str">
        <f aca="true">IF(I1427="","",I1427-TODAY())</f>
        <v/>
      </c>
      <c r="S1427" s="25" t="str">
        <f aca="true">IF(J1427="","",J1427-TODAY())</f>
        <v/>
      </c>
      <c r="T1427" s="24" t="str">
        <f aca="false">IF(A1427="","",IF(OR(AND(R1427&lt;&gt;"",R1427&lt;0),AND(S1427&lt;&gt;"",S1427&lt;0)),"EXPIRED",IF(OR(AND(R1427&lt;&gt;"",R1427&lt;=Settings!$B$15),AND(S1427&lt;&gt;"",S1427&lt;=Settings!$B$15)),"EXPIRING SOON","OK")))</f>
        <v/>
      </c>
      <c r="U1427" s="24" t="str">
        <f aca="false">IF(AND(C1427="Own",Q1427="Active"),COUNTIFS($C$5:C1427,"Own",$Q$5:Q1427,"Active"),"")</f>
        <v/>
      </c>
      <c r="V1427" s="26" t="str">
        <f aca="false">IF(C1427&lt;&gt;"Own","",IF(K1427="Hourly",N1427,(L1427+M1427)/(Settings!$B$11*Settings!$B$12)))</f>
        <v/>
      </c>
    </row>
    <row r="1428" customFormat="false" ht="15" hidden="false" customHeight="false" outlineLevel="0" collapsed="false">
      <c r="R1428" s="25" t="str">
        <f aca="true">IF(I1428="","",I1428-TODAY())</f>
        <v/>
      </c>
      <c r="S1428" s="25" t="str">
        <f aca="true">IF(J1428="","",J1428-TODAY())</f>
        <v/>
      </c>
      <c r="T1428" s="24" t="str">
        <f aca="false">IF(A1428="","",IF(OR(AND(R1428&lt;&gt;"",R1428&lt;0),AND(S1428&lt;&gt;"",S1428&lt;0)),"EXPIRED",IF(OR(AND(R1428&lt;&gt;"",R1428&lt;=Settings!$B$15),AND(S1428&lt;&gt;"",S1428&lt;=Settings!$B$15)),"EXPIRING SOON","OK")))</f>
        <v/>
      </c>
      <c r="U1428" s="24" t="str">
        <f aca="false">IF(AND(C1428="Own",Q1428="Active"),COUNTIFS($C$5:C1428,"Own",$Q$5:Q1428,"Active"),"")</f>
        <v/>
      </c>
      <c r="V1428" s="26" t="str">
        <f aca="false">IF(C1428&lt;&gt;"Own","",IF(K1428="Hourly",N1428,(L1428+M1428)/(Settings!$B$11*Settings!$B$12)))</f>
        <v/>
      </c>
    </row>
    <row r="1429" customFormat="false" ht="15" hidden="false" customHeight="false" outlineLevel="0" collapsed="false">
      <c r="R1429" s="25" t="str">
        <f aca="true">IF(I1429="","",I1429-TODAY())</f>
        <v/>
      </c>
      <c r="S1429" s="25" t="str">
        <f aca="true">IF(J1429="","",J1429-TODAY())</f>
        <v/>
      </c>
      <c r="T1429" s="24" t="str">
        <f aca="false">IF(A1429="","",IF(OR(AND(R1429&lt;&gt;"",R1429&lt;0),AND(S1429&lt;&gt;"",S1429&lt;0)),"EXPIRED",IF(OR(AND(R1429&lt;&gt;"",R1429&lt;=Settings!$B$15),AND(S1429&lt;&gt;"",S1429&lt;=Settings!$B$15)),"EXPIRING SOON","OK")))</f>
        <v/>
      </c>
      <c r="U1429" s="24" t="str">
        <f aca="false">IF(AND(C1429="Own",Q1429="Active"),COUNTIFS($C$5:C1429,"Own",$Q$5:Q1429,"Active"),"")</f>
        <v/>
      </c>
      <c r="V1429" s="26" t="str">
        <f aca="false">IF(C1429&lt;&gt;"Own","",IF(K1429="Hourly",N1429,(L1429+M1429)/(Settings!$B$11*Settings!$B$12)))</f>
        <v/>
      </c>
    </row>
    <row r="1430" customFormat="false" ht="15" hidden="false" customHeight="false" outlineLevel="0" collapsed="false">
      <c r="R1430" s="25" t="str">
        <f aca="true">IF(I1430="","",I1430-TODAY())</f>
        <v/>
      </c>
      <c r="S1430" s="25" t="str">
        <f aca="true">IF(J1430="","",J1430-TODAY())</f>
        <v/>
      </c>
      <c r="T1430" s="24" t="str">
        <f aca="false">IF(A1430="","",IF(OR(AND(R1430&lt;&gt;"",R1430&lt;0),AND(S1430&lt;&gt;"",S1430&lt;0)),"EXPIRED",IF(OR(AND(R1430&lt;&gt;"",R1430&lt;=Settings!$B$15),AND(S1430&lt;&gt;"",S1430&lt;=Settings!$B$15)),"EXPIRING SOON","OK")))</f>
        <v/>
      </c>
      <c r="U1430" s="24" t="str">
        <f aca="false">IF(AND(C1430="Own",Q1430="Active"),COUNTIFS($C$5:C1430,"Own",$Q$5:Q1430,"Active"),"")</f>
        <v/>
      </c>
      <c r="V1430" s="26" t="str">
        <f aca="false">IF(C1430&lt;&gt;"Own","",IF(K1430="Hourly",N1430,(L1430+M1430)/(Settings!$B$11*Settings!$B$12)))</f>
        <v/>
      </c>
    </row>
    <row r="1431" customFormat="false" ht="15" hidden="false" customHeight="false" outlineLevel="0" collapsed="false">
      <c r="R1431" s="25" t="str">
        <f aca="true">IF(I1431="","",I1431-TODAY())</f>
        <v/>
      </c>
      <c r="S1431" s="25" t="str">
        <f aca="true">IF(J1431="","",J1431-TODAY())</f>
        <v/>
      </c>
      <c r="T1431" s="24" t="str">
        <f aca="false">IF(A1431="","",IF(OR(AND(R1431&lt;&gt;"",R1431&lt;0),AND(S1431&lt;&gt;"",S1431&lt;0)),"EXPIRED",IF(OR(AND(R1431&lt;&gt;"",R1431&lt;=Settings!$B$15),AND(S1431&lt;&gt;"",S1431&lt;=Settings!$B$15)),"EXPIRING SOON","OK")))</f>
        <v/>
      </c>
      <c r="U1431" s="24" t="str">
        <f aca="false">IF(AND(C1431="Own",Q1431="Active"),COUNTIFS($C$5:C1431,"Own",$Q$5:Q1431,"Active"),"")</f>
        <v/>
      </c>
      <c r="V1431" s="26" t="str">
        <f aca="false">IF(C1431&lt;&gt;"Own","",IF(K1431="Hourly",N1431,(L1431+M1431)/(Settings!$B$11*Settings!$B$12)))</f>
        <v/>
      </c>
    </row>
    <row r="1432" customFormat="false" ht="15" hidden="false" customHeight="false" outlineLevel="0" collapsed="false">
      <c r="R1432" s="25" t="str">
        <f aca="true">IF(I1432="","",I1432-TODAY())</f>
        <v/>
      </c>
      <c r="S1432" s="25" t="str">
        <f aca="true">IF(J1432="","",J1432-TODAY())</f>
        <v/>
      </c>
      <c r="T1432" s="24" t="str">
        <f aca="false">IF(A1432="","",IF(OR(AND(R1432&lt;&gt;"",R1432&lt;0),AND(S1432&lt;&gt;"",S1432&lt;0)),"EXPIRED",IF(OR(AND(R1432&lt;&gt;"",R1432&lt;=Settings!$B$15),AND(S1432&lt;&gt;"",S1432&lt;=Settings!$B$15)),"EXPIRING SOON","OK")))</f>
        <v/>
      </c>
      <c r="U1432" s="24" t="str">
        <f aca="false">IF(AND(C1432="Own",Q1432="Active"),COUNTIFS($C$5:C1432,"Own",$Q$5:Q1432,"Active"),"")</f>
        <v/>
      </c>
      <c r="V1432" s="26" t="str">
        <f aca="false">IF(C1432&lt;&gt;"Own","",IF(K1432="Hourly",N1432,(L1432+M1432)/(Settings!$B$11*Settings!$B$12)))</f>
        <v/>
      </c>
    </row>
    <row r="1433" customFormat="false" ht="15" hidden="false" customHeight="false" outlineLevel="0" collapsed="false">
      <c r="R1433" s="25" t="str">
        <f aca="true">IF(I1433="","",I1433-TODAY())</f>
        <v/>
      </c>
      <c r="S1433" s="25" t="str">
        <f aca="true">IF(J1433="","",J1433-TODAY())</f>
        <v/>
      </c>
      <c r="T1433" s="24" t="str">
        <f aca="false">IF(A1433="","",IF(OR(AND(R1433&lt;&gt;"",R1433&lt;0),AND(S1433&lt;&gt;"",S1433&lt;0)),"EXPIRED",IF(OR(AND(R1433&lt;&gt;"",R1433&lt;=Settings!$B$15),AND(S1433&lt;&gt;"",S1433&lt;=Settings!$B$15)),"EXPIRING SOON","OK")))</f>
        <v/>
      </c>
      <c r="U1433" s="24" t="str">
        <f aca="false">IF(AND(C1433="Own",Q1433="Active"),COUNTIFS($C$5:C1433,"Own",$Q$5:Q1433,"Active"),"")</f>
        <v/>
      </c>
      <c r="V1433" s="26" t="str">
        <f aca="false">IF(C1433&lt;&gt;"Own","",IF(K1433="Hourly",N1433,(L1433+M1433)/(Settings!$B$11*Settings!$B$12)))</f>
        <v/>
      </c>
    </row>
    <row r="1434" customFormat="false" ht="15" hidden="false" customHeight="false" outlineLevel="0" collapsed="false">
      <c r="R1434" s="25" t="str">
        <f aca="true">IF(I1434="","",I1434-TODAY())</f>
        <v/>
      </c>
      <c r="S1434" s="25" t="str">
        <f aca="true">IF(J1434="","",J1434-TODAY())</f>
        <v/>
      </c>
      <c r="T1434" s="24" t="str">
        <f aca="false">IF(A1434="","",IF(OR(AND(R1434&lt;&gt;"",R1434&lt;0),AND(S1434&lt;&gt;"",S1434&lt;0)),"EXPIRED",IF(OR(AND(R1434&lt;&gt;"",R1434&lt;=Settings!$B$15),AND(S1434&lt;&gt;"",S1434&lt;=Settings!$B$15)),"EXPIRING SOON","OK")))</f>
        <v/>
      </c>
      <c r="U1434" s="24" t="str">
        <f aca="false">IF(AND(C1434="Own",Q1434="Active"),COUNTIFS($C$5:C1434,"Own",$Q$5:Q1434,"Active"),"")</f>
        <v/>
      </c>
      <c r="V1434" s="26" t="str">
        <f aca="false">IF(C1434&lt;&gt;"Own","",IF(K1434="Hourly",N1434,(L1434+M1434)/(Settings!$B$11*Settings!$B$12)))</f>
        <v/>
      </c>
    </row>
    <row r="1435" customFormat="false" ht="15" hidden="false" customHeight="false" outlineLevel="0" collapsed="false">
      <c r="R1435" s="25" t="str">
        <f aca="true">IF(I1435="","",I1435-TODAY())</f>
        <v/>
      </c>
      <c r="S1435" s="25" t="str">
        <f aca="true">IF(J1435="","",J1435-TODAY())</f>
        <v/>
      </c>
      <c r="T1435" s="24" t="str">
        <f aca="false">IF(A1435="","",IF(OR(AND(R1435&lt;&gt;"",R1435&lt;0),AND(S1435&lt;&gt;"",S1435&lt;0)),"EXPIRED",IF(OR(AND(R1435&lt;&gt;"",R1435&lt;=Settings!$B$15),AND(S1435&lt;&gt;"",S1435&lt;=Settings!$B$15)),"EXPIRING SOON","OK")))</f>
        <v/>
      </c>
      <c r="U1435" s="24" t="str">
        <f aca="false">IF(AND(C1435="Own",Q1435="Active"),COUNTIFS($C$5:C1435,"Own",$Q$5:Q1435,"Active"),"")</f>
        <v/>
      </c>
      <c r="V1435" s="26" t="str">
        <f aca="false">IF(C1435&lt;&gt;"Own","",IF(K1435="Hourly",N1435,(L1435+M1435)/(Settings!$B$11*Settings!$B$12)))</f>
        <v/>
      </c>
    </row>
    <row r="1436" customFormat="false" ht="15" hidden="false" customHeight="false" outlineLevel="0" collapsed="false">
      <c r="R1436" s="25" t="str">
        <f aca="true">IF(I1436="","",I1436-TODAY())</f>
        <v/>
      </c>
      <c r="S1436" s="25" t="str">
        <f aca="true">IF(J1436="","",J1436-TODAY())</f>
        <v/>
      </c>
      <c r="T1436" s="24" t="str">
        <f aca="false">IF(A1436="","",IF(OR(AND(R1436&lt;&gt;"",R1436&lt;0),AND(S1436&lt;&gt;"",S1436&lt;0)),"EXPIRED",IF(OR(AND(R1436&lt;&gt;"",R1436&lt;=Settings!$B$15),AND(S1436&lt;&gt;"",S1436&lt;=Settings!$B$15)),"EXPIRING SOON","OK")))</f>
        <v/>
      </c>
      <c r="U1436" s="24" t="str">
        <f aca="false">IF(AND(C1436="Own",Q1436="Active"),COUNTIFS($C$5:C1436,"Own",$Q$5:Q1436,"Active"),"")</f>
        <v/>
      </c>
      <c r="V1436" s="26" t="str">
        <f aca="false">IF(C1436&lt;&gt;"Own","",IF(K1436="Hourly",N1436,(L1436+M1436)/(Settings!$B$11*Settings!$B$12)))</f>
        <v/>
      </c>
    </row>
    <row r="1437" customFormat="false" ht="15" hidden="false" customHeight="false" outlineLevel="0" collapsed="false">
      <c r="R1437" s="25" t="str">
        <f aca="true">IF(I1437="","",I1437-TODAY())</f>
        <v/>
      </c>
      <c r="S1437" s="25" t="str">
        <f aca="true">IF(J1437="","",J1437-TODAY())</f>
        <v/>
      </c>
      <c r="T1437" s="24" t="str">
        <f aca="false">IF(A1437="","",IF(OR(AND(R1437&lt;&gt;"",R1437&lt;0),AND(S1437&lt;&gt;"",S1437&lt;0)),"EXPIRED",IF(OR(AND(R1437&lt;&gt;"",R1437&lt;=Settings!$B$15),AND(S1437&lt;&gt;"",S1437&lt;=Settings!$B$15)),"EXPIRING SOON","OK")))</f>
        <v/>
      </c>
      <c r="U1437" s="24" t="str">
        <f aca="false">IF(AND(C1437="Own",Q1437="Active"),COUNTIFS($C$5:C1437,"Own",$Q$5:Q1437,"Active"),"")</f>
        <v/>
      </c>
      <c r="V1437" s="26" t="str">
        <f aca="false">IF(C1437&lt;&gt;"Own","",IF(K1437="Hourly",N1437,(L1437+M1437)/(Settings!$B$11*Settings!$B$12)))</f>
        <v/>
      </c>
    </row>
    <row r="1438" customFormat="false" ht="15" hidden="false" customHeight="false" outlineLevel="0" collapsed="false">
      <c r="R1438" s="25" t="str">
        <f aca="true">IF(I1438="","",I1438-TODAY())</f>
        <v/>
      </c>
      <c r="S1438" s="25" t="str">
        <f aca="true">IF(J1438="","",J1438-TODAY())</f>
        <v/>
      </c>
      <c r="T1438" s="24" t="str">
        <f aca="false">IF(A1438="","",IF(OR(AND(R1438&lt;&gt;"",R1438&lt;0),AND(S1438&lt;&gt;"",S1438&lt;0)),"EXPIRED",IF(OR(AND(R1438&lt;&gt;"",R1438&lt;=Settings!$B$15),AND(S1438&lt;&gt;"",S1438&lt;=Settings!$B$15)),"EXPIRING SOON","OK")))</f>
        <v/>
      </c>
      <c r="U1438" s="24" t="str">
        <f aca="false">IF(AND(C1438="Own",Q1438="Active"),COUNTIFS($C$5:C1438,"Own",$Q$5:Q1438,"Active"),"")</f>
        <v/>
      </c>
      <c r="V1438" s="26" t="str">
        <f aca="false">IF(C1438&lt;&gt;"Own","",IF(K1438="Hourly",N1438,(L1438+M1438)/(Settings!$B$11*Settings!$B$12)))</f>
        <v/>
      </c>
    </row>
    <row r="1439" customFormat="false" ht="15" hidden="false" customHeight="false" outlineLevel="0" collapsed="false">
      <c r="R1439" s="25" t="str">
        <f aca="true">IF(I1439="","",I1439-TODAY())</f>
        <v/>
      </c>
      <c r="S1439" s="25" t="str">
        <f aca="true">IF(J1439="","",J1439-TODAY())</f>
        <v/>
      </c>
      <c r="T1439" s="24" t="str">
        <f aca="false">IF(A1439="","",IF(OR(AND(R1439&lt;&gt;"",R1439&lt;0),AND(S1439&lt;&gt;"",S1439&lt;0)),"EXPIRED",IF(OR(AND(R1439&lt;&gt;"",R1439&lt;=Settings!$B$15),AND(S1439&lt;&gt;"",S1439&lt;=Settings!$B$15)),"EXPIRING SOON","OK")))</f>
        <v/>
      </c>
      <c r="U1439" s="24" t="str">
        <f aca="false">IF(AND(C1439="Own",Q1439="Active"),COUNTIFS($C$5:C1439,"Own",$Q$5:Q1439,"Active"),"")</f>
        <v/>
      </c>
      <c r="V1439" s="26" t="str">
        <f aca="false">IF(C1439&lt;&gt;"Own","",IF(K1439="Hourly",N1439,(L1439+M1439)/(Settings!$B$11*Settings!$B$12)))</f>
        <v/>
      </c>
    </row>
    <row r="1440" customFormat="false" ht="15" hidden="false" customHeight="false" outlineLevel="0" collapsed="false">
      <c r="R1440" s="25" t="str">
        <f aca="true">IF(I1440="","",I1440-TODAY())</f>
        <v/>
      </c>
      <c r="S1440" s="25" t="str">
        <f aca="true">IF(J1440="","",J1440-TODAY())</f>
        <v/>
      </c>
      <c r="T1440" s="24" t="str">
        <f aca="false">IF(A1440="","",IF(OR(AND(R1440&lt;&gt;"",R1440&lt;0),AND(S1440&lt;&gt;"",S1440&lt;0)),"EXPIRED",IF(OR(AND(R1440&lt;&gt;"",R1440&lt;=Settings!$B$15),AND(S1440&lt;&gt;"",S1440&lt;=Settings!$B$15)),"EXPIRING SOON","OK")))</f>
        <v/>
      </c>
      <c r="U1440" s="24" t="str">
        <f aca="false">IF(AND(C1440="Own",Q1440="Active"),COUNTIFS($C$5:C1440,"Own",$Q$5:Q1440,"Active"),"")</f>
        <v/>
      </c>
      <c r="V1440" s="26" t="str">
        <f aca="false">IF(C1440&lt;&gt;"Own","",IF(K1440="Hourly",N1440,(L1440+M1440)/(Settings!$B$11*Settings!$B$12)))</f>
        <v/>
      </c>
    </row>
    <row r="1441" customFormat="false" ht="15" hidden="false" customHeight="false" outlineLevel="0" collapsed="false">
      <c r="R1441" s="25" t="str">
        <f aca="true">IF(I1441="","",I1441-TODAY())</f>
        <v/>
      </c>
      <c r="S1441" s="25" t="str">
        <f aca="true">IF(J1441="","",J1441-TODAY())</f>
        <v/>
      </c>
      <c r="T1441" s="24" t="str">
        <f aca="false">IF(A1441="","",IF(OR(AND(R1441&lt;&gt;"",R1441&lt;0),AND(S1441&lt;&gt;"",S1441&lt;0)),"EXPIRED",IF(OR(AND(R1441&lt;&gt;"",R1441&lt;=Settings!$B$15),AND(S1441&lt;&gt;"",S1441&lt;=Settings!$B$15)),"EXPIRING SOON","OK")))</f>
        <v/>
      </c>
      <c r="U1441" s="24" t="str">
        <f aca="false">IF(AND(C1441="Own",Q1441="Active"),COUNTIFS($C$5:C1441,"Own",$Q$5:Q1441,"Active"),"")</f>
        <v/>
      </c>
      <c r="V1441" s="26" t="str">
        <f aca="false">IF(C1441&lt;&gt;"Own","",IF(K1441="Hourly",N1441,(L1441+M1441)/(Settings!$B$11*Settings!$B$12)))</f>
        <v/>
      </c>
    </row>
    <row r="1442" customFormat="false" ht="15" hidden="false" customHeight="false" outlineLevel="0" collapsed="false">
      <c r="R1442" s="25" t="str">
        <f aca="true">IF(I1442="","",I1442-TODAY())</f>
        <v/>
      </c>
      <c r="S1442" s="25" t="str">
        <f aca="true">IF(J1442="","",J1442-TODAY())</f>
        <v/>
      </c>
      <c r="T1442" s="24" t="str">
        <f aca="false">IF(A1442="","",IF(OR(AND(R1442&lt;&gt;"",R1442&lt;0),AND(S1442&lt;&gt;"",S1442&lt;0)),"EXPIRED",IF(OR(AND(R1442&lt;&gt;"",R1442&lt;=Settings!$B$15),AND(S1442&lt;&gt;"",S1442&lt;=Settings!$B$15)),"EXPIRING SOON","OK")))</f>
        <v/>
      </c>
      <c r="U1442" s="24" t="str">
        <f aca="false">IF(AND(C1442="Own",Q1442="Active"),COUNTIFS($C$5:C1442,"Own",$Q$5:Q1442,"Active"),"")</f>
        <v/>
      </c>
      <c r="V1442" s="26" t="str">
        <f aca="false">IF(C1442&lt;&gt;"Own","",IF(K1442="Hourly",N1442,(L1442+M1442)/(Settings!$B$11*Settings!$B$12)))</f>
        <v/>
      </c>
    </row>
    <row r="1443" customFormat="false" ht="15" hidden="false" customHeight="false" outlineLevel="0" collapsed="false">
      <c r="R1443" s="25" t="str">
        <f aca="true">IF(I1443="","",I1443-TODAY())</f>
        <v/>
      </c>
      <c r="S1443" s="25" t="str">
        <f aca="true">IF(J1443="","",J1443-TODAY())</f>
        <v/>
      </c>
      <c r="T1443" s="24" t="str">
        <f aca="false">IF(A1443="","",IF(OR(AND(R1443&lt;&gt;"",R1443&lt;0),AND(S1443&lt;&gt;"",S1443&lt;0)),"EXPIRED",IF(OR(AND(R1443&lt;&gt;"",R1443&lt;=Settings!$B$15),AND(S1443&lt;&gt;"",S1443&lt;=Settings!$B$15)),"EXPIRING SOON","OK")))</f>
        <v/>
      </c>
      <c r="U1443" s="24" t="str">
        <f aca="false">IF(AND(C1443="Own",Q1443="Active"),COUNTIFS($C$5:C1443,"Own",$Q$5:Q1443,"Active"),"")</f>
        <v/>
      </c>
      <c r="V1443" s="26" t="str">
        <f aca="false">IF(C1443&lt;&gt;"Own","",IF(K1443="Hourly",N1443,(L1443+M1443)/(Settings!$B$11*Settings!$B$12)))</f>
        <v/>
      </c>
    </row>
    <row r="1444" customFormat="false" ht="15" hidden="false" customHeight="false" outlineLevel="0" collapsed="false">
      <c r="R1444" s="25" t="str">
        <f aca="true">IF(I1444="","",I1444-TODAY())</f>
        <v/>
      </c>
      <c r="S1444" s="25" t="str">
        <f aca="true">IF(J1444="","",J1444-TODAY())</f>
        <v/>
      </c>
      <c r="T1444" s="24" t="str">
        <f aca="false">IF(A1444="","",IF(OR(AND(R1444&lt;&gt;"",R1444&lt;0),AND(S1444&lt;&gt;"",S1444&lt;0)),"EXPIRED",IF(OR(AND(R1444&lt;&gt;"",R1444&lt;=Settings!$B$15),AND(S1444&lt;&gt;"",S1444&lt;=Settings!$B$15)),"EXPIRING SOON","OK")))</f>
        <v/>
      </c>
      <c r="U1444" s="24" t="str">
        <f aca="false">IF(AND(C1444="Own",Q1444="Active"),COUNTIFS($C$5:C1444,"Own",$Q$5:Q1444,"Active"),"")</f>
        <v/>
      </c>
      <c r="V1444" s="26" t="str">
        <f aca="false">IF(C1444&lt;&gt;"Own","",IF(K1444="Hourly",N1444,(L1444+M1444)/(Settings!$B$11*Settings!$B$12)))</f>
        <v/>
      </c>
    </row>
    <row r="1445" customFormat="false" ht="15" hidden="false" customHeight="false" outlineLevel="0" collapsed="false">
      <c r="R1445" s="25" t="str">
        <f aca="true">IF(I1445="","",I1445-TODAY())</f>
        <v/>
      </c>
      <c r="S1445" s="25" t="str">
        <f aca="true">IF(J1445="","",J1445-TODAY())</f>
        <v/>
      </c>
      <c r="T1445" s="24" t="str">
        <f aca="false">IF(A1445="","",IF(OR(AND(R1445&lt;&gt;"",R1445&lt;0),AND(S1445&lt;&gt;"",S1445&lt;0)),"EXPIRED",IF(OR(AND(R1445&lt;&gt;"",R1445&lt;=Settings!$B$15),AND(S1445&lt;&gt;"",S1445&lt;=Settings!$B$15)),"EXPIRING SOON","OK")))</f>
        <v/>
      </c>
      <c r="U1445" s="24" t="str">
        <f aca="false">IF(AND(C1445="Own",Q1445="Active"),COUNTIFS($C$5:C1445,"Own",$Q$5:Q1445,"Active"),"")</f>
        <v/>
      </c>
      <c r="V1445" s="26" t="str">
        <f aca="false">IF(C1445&lt;&gt;"Own","",IF(K1445="Hourly",N1445,(L1445+M1445)/(Settings!$B$11*Settings!$B$12)))</f>
        <v/>
      </c>
    </row>
    <row r="1446" customFormat="false" ht="15" hidden="false" customHeight="false" outlineLevel="0" collapsed="false">
      <c r="R1446" s="25" t="str">
        <f aca="true">IF(I1446="","",I1446-TODAY())</f>
        <v/>
      </c>
      <c r="S1446" s="25" t="str">
        <f aca="true">IF(J1446="","",J1446-TODAY())</f>
        <v/>
      </c>
      <c r="T1446" s="24" t="str">
        <f aca="false">IF(A1446="","",IF(OR(AND(R1446&lt;&gt;"",R1446&lt;0),AND(S1446&lt;&gt;"",S1446&lt;0)),"EXPIRED",IF(OR(AND(R1446&lt;&gt;"",R1446&lt;=Settings!$B$15),AND(S1446&lt;&gt;"",S1446&lt;=Settings!$B$15)),"EXPIRING SOON","OK")))</f>
        <v/>
      </c>
      <c r="U1446" s="24" t="str">
        <f aca="false">IF(AND(C1446="Own",Q1446="Active"),COUNTIFS($C$5:C1446,"Own",$Q$5:Q1446,"Active"),"")</f>
        <v/>
      </c>
      <c r="V1446" s="26" t="str">
        <f aca="false">IF(C1446&lt;&gt;"Own","",IF(K1446="Hourly",N1446,(L1446+M1446)/(Settings!$B$11*Settings!$B$12)))</f>
        <v/>
      </c>
    </row>
    <row r="1447" customFormat="false" ht="15" hidden="false" customHeight="false" outlineLevel="0" collapsed="false">
      <c r="R1447" s="25" t="str">
        <f aca="true">IF(I1447="","",I1447-TODAY())</f>
        <v/>
      </c>
      <c r="S1447" s="25" t="str">
        <f aca="true">IF(J1447="","",J1447-TODAY())</f>
        <v/>
      </c>
      <c r="T1447" s="24" t="str">
        <f aca="false">IF(A1447="","",IF(OR(AND(R1447&lt;&gt;"",R1447&lt;0),AND(S1447&lt;&gt;"",S1447&lt;0)),"EXPIRED",IF(OR(AND(R1447&lt;&gt;"",R1447&lt;=Settings!$B$15),AND(S1447&lt;&gt;"",S1447&lt;=Settings!$B$15)),"EXPIRING SOON","OK")))</f>
        <v/>
      </c>
      <c r="U1447" s="24" t="str">
        <f aca="false">IF(AND(C1447="Own",Q1447="Active"),COUNTIFS($C$5:C1447,"Own",$Q$5:Q1447,"Active"),"")</f>
        <v/>
      </c>
      <c r="V1447" s="26" t="str">
        <f aca="false">IF(C1447&lt;&gt;"Own","",IF(K1447="Hourly",N1447,(L1447+M1447)/(Settings!$B$11*Settings!$B$12)))</f>
        <v/>
      </c>
    </row>
    <row r="1448" customFormat="false" ht="15" hidden="false" customHeight="false" outlineLevel="0" collapsed="false">
      <c r="R1448" s="25" t="str">
        <f aca="true">IF(I1448="","",I1448-TODAY())</f>
        <v/>
      </c>
      <c r="S1448" s="25" t="str">
        <f aca="true">IF(J1448="","",J1448-TODAY())</f>
        <v/>
      </c>
      <c r="T1448" s="24" t="str">
        <f aca="false">IF(A1448="","",IF(OR(AND(R1448&lt;&gt;"",R1448&lt;0),AND(S1448&lt;&gt;"",S1448&lt;0)),"EXPIRED",IF(OR(AND(R1448&lt;&gt;"",R1448&lt;=Settings!$B$15),AND(S1448&lt;&gt;"",S1448&lt;=Settings!$B$15)),"EXPIRING SOON","OK")))</f>
        <v/>
      </c>
      <c r="U1448" s="24" t="str">
        <f aca="false">IF(AND(C1448="Own",Q1448="Active"),COUNTIFS($C$5:C1448,"Own",$Q$5:Q1448,"Active"),"")</f>
        <v/>
      </c>
      <c r="V1448" s="26" t="str">
        <f aca="false">IF(C1448&lt;&gt;"Own","",IF(K1448="Hourly",N1448,(L1448+M1448)/(Settings!$B$11*Settings!$B$12)))</f>
        <v/>
      </c>
    </row>
    <row r="1449" customFormat="false" ht="15" hidden="false" customHeight="false" outlineLevel="0" collapsed="false">
      <c r="R1449" s="25" t="str">
        <f aca="true">IF(I1449="","",I1449-TODAY())</f>
        <v/>
      </c>
      <c r="S1449" s="25" t="str">
        <f aca="true">IF(J1449="","",J1449-TODAY())</f>
        <v/>
      </c>
      <c r="T1449" s="24" t="str">
        <f aca="false">IF(A1449="","",IF(OR(AND(R1449&lt;&gt;"",R1449&lt;0),AND(S1449&lt;&gt;"",S1449&lt;0)),"EXPIRED",IF(OR(AND(R1449&lt;&gt;"",R1449&lt;=Settings!$B$15),AND(S1449&lt;&gt;"",S1449&lt;=Settings!$B$15)),"EXPIRING SOON","OK")))</f>
        <v/>
      </c>
      <c r="U1449" s="24" t="str">
        <f aca="false">IF(AND(C1449="Own",Q1449="Active"),COUNTIFS($C$5:C1449,"Own",$Q$5:Q1449,"Active"),"")</f>
        <v/>
      </c>
      <c r="V1449" s="26" t="str">
        <f aca="false">IF(C1449&lt;&gt;"Own","",IF(K1449="Hourly",N1449,(L1449+M1449)/(Settings!$B$11*Settings!$B$12)))</f>
        <v/>
      </c>
    </row>
    <row r="1450" customFormat="false" ht="15" hidden="false" customHeight="false" outlineLevel="0" collapsed="false">
      <c r="R1450" s="25" t="str">
        <f aca="true">IF(I1450="","",I1450-TODAY())</f>
        <v/>
      </c>
      <c r="S1450" s="25" t="str">
        <f aca="true">IF(J1450="","",J1450-TODAY())</f>
        <v/>
      </c>
      <c r="T1450" s="24" t="str">
        <f aca="false">IF(A1450="","",IF(OR(AND(R1450&lt;&gt;"",R1450&lt;0),AND(S1450&lt;&gt;"",S1450&lt;0)),"EXPIRED",IF(OR(AND(R1450&lt;&gt;"",R1450&lt;=Settings!$B$15),AND(S1450&lt;&gt;"",S1450&lt;=Settings!$B$15)),"EXPIRING SOON","OK")))</f>
        <v/>
      </c>
      <c r="U1450" s="24" t="str">
        <f aca="false">IF(AND(C1450="Own",Q1450="Active"),COUNTIFS($C$5:C1450,"Own",$Q$5:Q1450,"Active"),"")</f>
        <v/>
      </c>
      <c r="V1450" s="26" t="str">
        <f aca="false">IF(C1450&lt;&gt;"Own","",IF(K1450="Hourly",N1450,(L1450+M1450)/(Settings!$B$11*Settings!$B$12)))</f>
        <v/>
      </c>
    </row>
    <row r="1451" customFormat="false" ht="15" hidden="false" customHeight="false" outlineLevel="0" collapsed="false">
      <c r="R1451" s="25" t="str">
        <f aca="true">IF(I1451="","",I1451-TODAY())</f>
        <v/>
      </c>
      <c r="S1451" s="25" t="str">
        <f aca="true">IF(J1451="","",J1451-TODAY())</f>
        <v/>
      </c>
      <c r="T1451" s="24" t="str">
        <f aca="false">IF(A1451="","",IF(OR(AND(R1451&lt;&gt;"",R1451&lt;0),AND(S1451&lt;&gt;"",S1451&lt;0)),"EXPIRED",IF(OR(AND(R1451&lt;&gt;"",R1451&lt;=Settings!$B$15),AND(S1451&lt;&gt;"",S1451&lt;=Settings!$B$15)),"EXPIRING SOON","OK")))</f>
        <v/>
      </c>
      <c r="U1451" s="24" t="str">
        <f aca="false">IF(AND(C1451="Own",Q1451="Active"),COUNTIFS($C$5:C1451,"Own",$Q$5:Q1451,"Active"),"")</f>
        <v/>
      </c>
      <c r="V1451" s="26" t="str">
        <f aca="false">IF(C1451&lt;&gt;"Own","",IF(K1451="Hourly",N1451,(L1451+M1451)/(Settings!$B$11*Settings!$B$12)))</f>
        <v/>
      </c>
    </row>
    <row r="1452" customFormat="false" ht="15" hidden="false" customHeight="false" outlineLevel="0" collapsed="false">
      <c r="R1452" s="25" t="str">
        <f aca="true">IF(I1452="","",I1452-TODAY())</f>
        <v/>
      </c>
      <c r="S1452" s="25" t="str">
        <f aca="true">IF(J1452="","",J1452-TODAY())</f>
        <v/>
      </c>
      <c r="T1452" s="24" t="str">
        <f aca="false">IF(A1452="","",IF(OR(AND(R1452&lt;&gt;"",R1452&lt;0),AND(S1452&lt;&gt;"",S1452&lt;0)),"EXPIRED",IF(OR(AND(R1452&lt;&gt;"",R1452&lt;=Settings!$B$15),AND(S1452&lt;&gt;"",S1452&lt;=Settings!$B$15)),"EXPIRING SOON","OK")))</f>
        <v/>
      </c>
      <c r="U1452" s="24" t="str">
        <f aca="false">IF(AND(C1452="Own",Q1452="Active"),COUNTIFS($C$5:C1452,"Own",$Q$5:Q1452,"Active"),"")</f>
        <v/>
      </c>
      <c r="V1452" s="26" t="str">
        <f aca="false">IF(C1452&lt;&gt;"Own","",IF(K1452="Hourly",N1452,(L1452+M1452)/(Settings!$B$11*Settings!$B$12)))</f>
        <v/>
      </c>
    </row>
    <row r="1453" customFormat="false" ht="15" hidden="false" customHeight="false" outlineLevel="0" collapsed="false">
      <c r="R1453" s="25" t="str">
        <f aca="true">IF(I1453="","",I1453-TODAY())</f>
        <v/>
      </c>
      <c r="S1453" s="25" t="str">
        <f aca="true">IF(J1453="","",J1453-TODAY())</f>
        <v/>
      </c>
      <c r="T1453" s="24" t="str">
        <f aca="false">IF(A1453="","",IF(OR(AND(R1453&lt;&gt;"",R1453&lt;0),AND(S1453&lt;&gt;"",S1453&lt;0)),"EXPIRED",IF(OR(AND(R1453&lt;&gt;"",R1453&lt;=Settings!$B$15),AND(S1453&lt;&gt;"",S1453&lt;=Settings!$B$15)),"EXPIRING SOON","OK")))</f>
        <v/>
      </c>
      <c r="U1453" s="24" t="str">
        <f aca="false">IF(AND(C1453="Own",Q1453="Active"),COUNTIFS($C$5:C1453,"Own",$Q$5:Q1453,"Active"),"")</f>
        <v/>
      </c>
      <c r="V1453" s="26" t="str">
        <f aca="false">IF(C1453&lt;&gt;"Own","",IF(K1453="Hourly",N1453,(L1453+M1453)/(Settings!$B$11*Settings!$B$12)))</f>
        <v/>
      </c>
    </row>
    <row r="1454" customFormat="false" ht="15" hidden="false" customHeight="false" outlineLevel="0" collapsed="false">
      <c r="R1454" s="25" t="str">
        <f aca="true">IF(I1454="","",I1454-TODAY())</f>
        <v/>
      </c>
      <c r="S1454" s="25" t="str">
        <f aca="true">IF(J1454="","",J1454-TODAY())</f>
        <v/>
      </c>
      <c r="T1454" s="24" t="str">
        <f aca="false">IF(A1454="","",IF(OR(AND(R1454&lt;&gt;"",R1454&lt;0),AND(S1454&lt;&gt;"",S1454&lt;0)),"EXPIRED",IF(OR(AND(R1454&lt;&gt;"",R1454&lt;=Settings!$B$15),AND(S1454&lt;&gt;"",S1454&lt;=Settings!$B$15)),"EXPIRING SOON","OK")))</f>
        <v/>
      </c>
      <c r="U1454" s="24" t="str">
        <f aca="false">IF(AND(C1454="Own",Q1454="Active"),COUNTIFS($C$5:C1454,"Own",$Q$5:Q1454,"Active"),"")</f>
        <v/>
      </c>
      <c r="V1454" s="26" t="str">
        <f aca="false">IF(C1454&lt;&gt;"Own","",IF(K1454="Hourly",N1454,(L1454+M1454)/(Settings!$B$11*Settings!$B$12)))</f>
        <v/>
      </c>
    </row>
    <row r="1455" customFormat="false" ht="15" hidden="false" customHeight="false" outlineLevel="0" collapsed="false">
      <c r="R1455" s="25" t="str">
        <f aca="true">IF(I1455="","",I1455-TODAY())</f>
        <v/>
      </c>
      <c r="S1455" s="25" t="str">
        <f aca="true">IF(J1455="","",J1455-TODAY())</f>
        <v/>
      </c>
      <c r="T1455" s="24" t="str">
        <f aca="false">IF(A1455="","",IF(OR(AND(R1455&lt;&gt;"",R1455&lt;0),AND(S1455&lt;&gt;"",S1455&lt;0)),"EXPIRED",IF(OR(AND(R1455&lt;&gt;"",R1455&lt;=Settings!$B$15),AND(S1455&lt;&gt;"",S1455&lt;=Settings!$B$15)),"EXPIRING SOON","OK")))</f>
        <v/>
      </c>
      <c r="U1455" s="24" t="str">
        <f aca="false">IF(AND(C1455="Own",Q1455="Active"),COUNTIFS($C$5:C1455,"Own",$Q$5:Q1455,"Active"),"")</f>
        <v/>
      </c>
      <c r="V1455" s="26" t="str">
        <f aca="false">IF(C1455&lt;&gt;"Own","",IF(K1455="Hourly",N1455,(L1455+M1455)/(Settings!$B$11*Settings!$B$12)))</f>
        <v/>
      </c>
    </row>
    <row r="1456" customFormat="false" ht="15" hidden="false" customHeight="false" outlineLevel="0" collapsed="false">
      <c r="R1456" s="25" t="str">
        <f aca="true">IF(I1456="","",I1456-TODAY())</f>
        <v/>
      </c>
      <c r="S1456" s="25" t="str">
        <f aca="true">IF(J1456="","",J1456-TODAY())</f>
        <v/>
      </c>
      <c r="T1456" s="24" t="str">
        <f aca="false">IF(A1456="","",IF(OR(AND(R1456&lt;&gt;"",R1456&lt;0),AND(S1456&lt;&gt;"",S1456&lt;0)),"EXPIRED",IF(OR(AND(R1456&lt;&gt;"",R1456&lt;=Settings!$B$15),AND(S1456&lt;&gt;"",S1456&lt;=Settings!$B$15)),"EXPIRING SOON","OK")))</f>
        <v/>
      </c>
      <c r="U1456" s="24" t="str">
        <f aca="false">IF(AND(C1456="Own",Q1456="Active"),COUNTIFS($C$5:C1456,"Own",$Q$5:Q1456,"Active"),"")</f>
        <v/>
      </c>
      <c r="V1456" s="26" t="str">
        <f aca="false">IF(C1456&lt;&gt;"Own","",IF(K1456="Hourly",N1456,(L1456+M1456)/(Settings!$B$11*Settings!$B$12)))</f>
        <v/>
      </c>
    </row>
    <row r="1457" customFormat="false" ht="15" hidden="false" customHeight="false" outlineLevel="0" collapsed="false">
      <c r="R1457" s="25" t="str">
        <f aca="true">IF(I1457="","",I1457-TODAY())</f>
        <v/>
      </c>
      <c r="S1457" s="25" t="str">
        <f aca="true">IF(J1457="","",J1457-TODAY())</f>
        <v/>
      </c>
      <c r="T1457" s="24" t="str">
        <f aca="false">IF(A1457="","",IF(OR(AND(R1457&lt;&gt;"",R1457&lt;0),AND(S1457&lt;&gt;"",S1457&lt;0)),"EXPIRED",IF(OR(AND(R1457&lt;&gt;"",R1457&lt;=Settings!$B$15),AND(S1457&lt;&gt;"",S1457&lt;=Settings!$B$15)),"EXPIRING SOON","OK")))</f>
        <v/>
      </c>
      <c r="U1457" s="24" t="str">
        <f aca="false">IF(AND(C1457="Own",Q1457="Active"),COUNTIFS($C$5:C1457,"Own",$Q$5:Q1457,"Active"),"")</f>
        <v/>
      </c>
      <c r="V1457" s="26" t="str">
        <f aca="false">IF(C1457&lt;&gt;"Own","",IF(K1457="Hourly",N1457,(L1457+M1457)/(Settings!$B$11*Settings!$B$12)))</f>
        <v/>
      </c>
    </row>
    <row r="1458" customFormat="false" ht="15" hidden="false" customHeight="false" outlineLevel="0" collapsed="false">
      <c r="R1458" s="25" t="str">
        <f aca="true">IF(I1458="","",I1458-TODAY())</f>
        <v/>
      </c>
      <c r="S1458" s="25" t="str">
        <f aca="true">IF(J1458="","",J1458-TODAY())</f>
        <v/>
      </c>
      <c r="T1458" s="24" t="str">
        <f aca="false">IF(A1458="","",IF(OR(AND(R1458&lt;&gt;"",R1458&lt;0),AND(S1458&lt;&gt;"",S1458&lt;0)),"EXPIRED",IF(OR(AND(R1458&lt;&gt;"",R1458&lt;=Settings!$B$15),AND(S1458&lt;&gt;"",S1458&lt;=Settings!$B$15)),"EXPIRING SOON","OK")))</f>
        <v/>
      </c>
      <c r="U1458" s="24" t="str">
        <f aca="false">IF(AND(C1458="Own",Q1458="Active"),COUNTIFS($C$5:C1458,"Own",$Q$5:Q1458,"Active"),"")</f>
        <v/>
      </c>
      <c r="V1458" s="26" t="str">
        <f aca="false">IF(C1458&lt;&gt;"Own","",IF(K1458="Hourly",N1458,(L1458+M1458)/(Settings!$B$11*Settings!$B$12)))</f>
        <v/>
      </c>
    </row>
    <row r="1459" customFormat="false" ht="15" hidden="false" customHeight="false" outlineLevel="0" collapsed="false">
      <c r="R1459" s="25" t="str">
        <f aca="true">IF(I1459="","",I1459-TODAY())</f>
        <v/>
      </c>
      <c r="S1459" s="25" t="str">
        <f aca="true">IF(J1459="","",J1459-TODAY())</f>
        <v/>
      </c>
      <c r="T1459" s="24" t="str">
        <f aca="false">IF(A1459="","",IF(OR(AND(R1459&lt;&gt;"",R1459&lt;0),AND(S1459&lt;&gt;"",S1459&lt;0)),"EXPIRED",IF(OR(AND(R1459&lt;&gt;"",R1459&lt;=Settings!$B$15),AND(S1459&lt;&gt;"",S1459&lt;=Settings!$B$15)),"EXPIRING SOON","OK")))</f>
        <v/>
      </c>
      <c r="U1459" s="24" t="str">
        <f aca="false">IF(AND(C1459="Own",Q1459="Active"),COUNTIFS($C$5:C1459,"Own",$Q$5:Q1459,"Active"),"")</f>
        <v/>
      </c>
      <c r="V1459" s="26" t="str">
        <f aca="false">IF(C1459&lt;&gt;"Own","",IF(K1459="Hourly",N1459,(L1459+M1459)/(Settings!$B$11*Settings!$B$12)))</f>
        <v/>
      </c>
    </row>
    <row r="1460" customFormat="false" ht="15" hidden="false" customHeight="false" outlineLevel="0" collapsed="false">
      <c r="R1460" s="25" t="str">
        <f aca="true">IF(I1460="","",I1460-TODAY())</f>
        <v/>
      </c>
      <c r="S1460" s="25" t="str">
        <f aca="true">IF(J1460="","",J1460-TODAY())</f>
        <v/>
      </c>
      <c r="T1460" s="24" t="str">
        <f aca="false">IF(A1460="","",IF(OR(AND(R1460&lt;&gt;"",R1460&lt;0),AND(S1460&lt;&gt;"",S1460&lt;0)),"EXPIRED",IF(OR(AND(R1460&lt;&gt;"",R1460&lt;=Settings!$B$15),AND(S1460&lt;&gt;"",S1460&lt;=Settings!$B$15)),"EXPIRING SOON","OK")))</f>
        <v/>
      </c>
      <c r="U1460" s="24" t="str">
        <f aca="false">IF(AND(C1460="Own",Q1460="Active"),COUNTIFS($C$5:C1460,"Own",$Q$5:Q1460,"Active"),"")</f>
        <v/>
      </c>
      <c r="V1460" s="26" t="str">
        <f aca="false">IF(C1460&lt;&gt;"Own","",IF(K1460="Hourly",N1460,(L1460+M1460)/(Settings!$B$11*Settings!$B$12)))</f>
        <v/>
      </c>
    </row>
    <row r="1461" customFormat="false" ht="15" hidden="false" customHeight="false" outlineLevel="0" collapsed="false">
      <c r="R1461" s="25" t="str">
        <f aca="true">IF(I1461="","",I1461-TODAY())</f>
        <v/>
      </c>
      <c r="S1461" s="25" t="str">
        <f aca="true">IF(J1461="","",J1461-TODAY())</f>
        <v/>
      </c>
      <c r="T1461" s="24" t="str">
        <f aca="false">IF(A1461="","",IF(OR(AND(R1461&lt;&gt;"",R1461&lt;0),AND(S1461&lt;&gt;"",S1461&lt;0)),"EXPIRED",IF(OR(AND(R1461&lt;&gt;"",R1461&lt;=Settings!$B$15),AND(S1461&lt;&gt;"",S1461&lt;=Settings!$B$15)),"EXPIRING SOON","OK")))</f>
        <v/>
      </c>
      <c r="U1461" s="24" t="str">
        <f aca="false">IF(AND(C1461="Own",Q1461="Active"),COUNTIFS($C$5:C1461,"Own",$Q$5:Q1461,"Active"),"")</f>
        <v/>
      </c>
      <c r="V1461" s="26" t="str">
        <f aca="false">IF(C1461&lt;&gt;"Own","",IF(K1461="Hourly",N1461,(L1461+M1461)/(Settings!$B$11*Settings!$B$12)))</f>
        <v/>
      </c>
    </row>
    <row r="1462" customFormat="false" ht="15" hidden="false" customHeight="false" outlineLevel="0" collapsed="false">
      <c r="R1462" s="25" t="str">
        <f aca="true">IF(I1462="","",I1462-TODAY())</f>
        <v/>
      </c>
      <c r="S1462" s="25" t="str">
        <f aca="true">IF(J1462="","",J1462-TODAY())</f>
        <v/>
      </c>
      <c r="T1462" s="24" t="str">
        <f aca="false">IF(A1462="","",IF(OR(AND(R1462&lt;&gt;"",R1462&lt;0),AND(S1462&lt;&gt;"",S1462&lt;0)),"EXPIRED",IF(OR(AND(R1462&lt;&gt;"",R1462&lt;=Settings!$B$15),AND(S1462&lt;&gt;"",S1462&lt;=Settings!$B$15)),"EXPIRING SOON","OK")))</f>
        <v/>
      </c>
      <c r="U1462" s="24" t="str">
        <f aca="false">IF(AND(C1462="Own",Q1462="Active"),COUNTIFS($C$5:C1462,"Own",$Q$5:Q1462,"Active"),"")</f>
        <v/>
      </c>
      <c r="V1462" s="26" t="str">
        <f aca="false">IF(C1462&lt;&gt;"Own","",IF(K1462="Hourly",N1462,(L1462+M1462)/(Settings!$B$11*Settings!$B$12)))</f>
        <v/>
      </c>
    </row>
    <row r="1463" customFormat="false" ht="15" hidden="false" customHeight="false" outlineLevel="0" collapsed="false">
      <c r="R1463" s="25" t="str">
        <f aca="true">IF(I1463="","",I1463-TODAY())</f>
        <v/>
      </c>
      <c r="S1463" s="25" t="str">
        <f aca="true">IF(J1463="","",J1463-TODAY())</f>
        <v/>
      </c>
      <c r="T1463" s="24" t="str">
        <f aca="false">IF(A1463="","",IF(OR(AND(R1463&lt;&gt;"",R1463&lt;0),AND(S1463&lt;&gt;"",S1463&lt;0)),"EXPIRED",IF(OR(AND(R1463&lt;&gt;"",R1463&lt;=Settings!$B$15),AND(S1463&lt;&gt;"",S1463&lt;=Settings!$B$15)),"EXPIRING SOON","OK")))</f>
        <v/>
      </c>
      <c r="U1463" s="24" t="str">
        <f aca="false">IF(AND(C1463="Own",Q1463="Active"),COUNTIFS($C$5:C1463,"Own",$Q$5:Q1463,"Active"),"")</f>
        <v/>
      </c>
      <c r="V1463" s="26" t="str">
        <f aca="false">IF(C1463&lt;&gt;"Own","",IF(K1463="Hourly",N1463,(L1463+M1463)/(Settings!$B$11*Settings!$B$12)))</f>
        <v/>
      </c>
    </row>
    <row r="1464" customFormat="false" ht="15" hidden="false" customHeight="false" outlineLevel="0" collapsed="false">
      <c r="R1464" s="25" t="str">
        <f aca="true">IF(I1464="","",I1464-TODAY())</f>
        <v/>
      </c>
      <c r="S1464" s="25" t="str">
        <f aca="true">IF(J1464="","",J1464-TODAY())</f>
        <v/>
      </c>
      <c r="T1464" s="24" t="str">
        <f aca="false">IF(A1464="","",IF(OR(AND(R1464&lt;&gt;"",R1464&lt;0),AND(S1464&lt;&gt;"",S1464&lt;0)),"EXPIRED",IF(OR(AND(R1464&lt;&gt;"",R1464&lt;=Settings!$B$15),AND(S1464&lt;&gt;"",S1464&lt;=Settings!$B$15)),"EXPIRING SOON","OK")))</f>
        <v/>
      </c>
      <c r="U1464" s="24" t="str">
        <f aca="false">IF(AND(C1464="Own",Q1464="Active"),COUNTIFS($C$5:C1464,"Own",$Q$5:Q1464,"Active"),"")</f>
        <v/>
      </c>
      <c r="V1464" s="26" t="str">
        <f aca="false">IF(C1464&lt;&gt;"Own","",IF(K1464="Hourly",N1464,(L1464+M1464)/(Settings!$B$11*Settings!$B$12)))</f>
        <v/>
      </c>
    </row>
    <row r="1465" customFormat="false" ht="15" hidden="false" customHeight="false" outlineLevel="0" collapsed="false">
      <c r="R1465" s="25" t="str">
        <f aca="true">IF(I1465="","",I1465-TODAY())</f>
        <v/>
      </c>
      <c r="S1465" s="25" t="str">
        <f aca="true">IF(J1465="","",J1465-TODAY())</f>
        <v/>
      </c>
      <c r="T1465" s="24" t="str">
        <f aca="false">IF(A1465="","",IF(OR(AND(R1465&lt;&gt;"",R1465&lt;0),AND(S1465&lt;&gt;"",S1465&lt;0)),"EXPIRED",IF(OR(AND(R1465&lt;&gt;"",R1465&lt;=Settings!$B$15),AND(S1465&lt;&gt;"",S1465&lt;=Settings!$B$15)),"EXPIRING SOON","OK")))</f>
        <v/>
      </c>
      <c r="U1465" s="24" t="str">
        <f aca="false">IF(AND(C1465="Own",Q1465="Active"),COUNTIFS($C$5:C1465,"Own",$Q$5:Q1465,"Active"),"")</f>
        <v/>
      </c>
      <c r="V1465" s="26" t="str">
        <f aca="false">IF(C1465&lt;&gt;"Own","",IF(K1465="Hourly",N1465,(L1465+M1465)/(Settings!$B$11*Settings!$B$12)))</f>
        <v/>
      </c>
    </row>
    <row r="1466" customFormat="false" ht="15" hidden="false" customHeight="false" outlineLevel="0" collapsed="false">
      <c r="R1466" s="25" t="str">
        <f aca="true">IF(I1466="","",I1466-TODAY())</f>
        <v/>
      </c>
      <c r="S1466" s="25" t="str">
        <f aca="true">IF(J1466="","",J1466-TODAY())</f>
        <v/>
      </c>
      <c r="T1466" s="24" t="str">
        <f aca="false">IF(A1466="","",IF(OR(AND(R1466&lt;&gt;"",R1466&lt;0),AND(S1466&lt;&gt;"",S1466&lt;0)),"EXPIRED",IF(OR(AND(R1466&lt;&gt;"",R1466&lt;=Settings!$B$15),AND(S1466&lt;&gt;"",S1466&lt;=Settings!$B$15)),"EXPIRING SOON","OK")))</f>
        <v/>
      </c>
      <c r="U1466" s="24" t="str">
        <f aca="false">IF(AND(C1466="Own",Q1466="Active"),COUNTIFS($C$5:C1466,"Own",$Q$5:Q1466,"Active"),"")</f>
        <v/>
      </c>
      <c r="V1466" s="26" t="str">
        <f aca="false">IF(C1466&lt;&gt;"Own","",IF(K1466="Hourly",N1466,(L1466+M1466)/(Settings!$B$11*Settings!$B$12)))</f>
        <v/>
      </c>
    </row>
    <row r="1467" customFormat="false" ht="15" hidden="false" customHeight="false" outlineLevel="0" collapsed="false">
      <c r="R1467" s="25" t="str">
        <f aca="true">IF(I1467="","",I1467-TODAY())</f>
        <v/>
      </c>
      <c r="S1467" s="25" t="str">
        <f aca="true">IF(J1467="","",J1467-TODAY())</f>
        <v/>
      </c>
      <c r="T1467" s="24" t="str">
        <f aca="false">IF(A1467="","",IF(OR(AND(R1467&lt;&gt;"",R1467&lt;0),AND(S1467&lt;&gt;"",S1467&lt;0)),"EXPIRED",IF(OR(AND(R1467&lt;&gt;"",R1467&lt;=Settings!$B$15),AND(S1467&lt;&gt;"",S1467&lt;=Settings!$B$15)),"EXPIRING SOON","OK")))</f>
        <v/>
      </c>
      <c r="U1467" s="24" t="str">
        <f aca="false">IF(AND(C1467="Own",Q1467="Active"),COUNTIFS($C$5:C1467,"Own",$Q$5:Q1467,"Active"),"")</f>
        <v/>
      </c>
      <c r="V1467" s="26" t="str">
        <f aca="false">IF(C1467&lt;&gt;"Own","",IF(K1467="Hourly",N1467,(L1467+M1467)/(Settings!$B$11*Settings!$B$12)))</f>
        <v/>
      </c>
    </row>
    <row r="1468" customFormat="false" ht="15" hidden="false" customHeight="false" outlineLevel="0" collapsed="false">
      <c r="R1468" s="25" t="str">
        <f aca="true">IF(I1468="","",I1468-TODAY())</f>
        <v/>
      </c>
      <c r="S1468" s="25" t="str">
        <f aca="true">IF(J1468="","",J1468-TODAY())</f>
        <v/>
      </c>
      <c r="T1468" s="24" t="str">
        <f aca="false">IF(A1468="","",IF(OR(AND(R1468&lt;&gt;"",R1468&lt;0),AND(S1468&lt;&gt;"",S1468&lt;0)),"EXPIRED",IF(OR(AND(R1468&lt;&gt;"",R1468&lt;=Settings!$B$15),AND(S1468&lt;&gt;"",S1468&lt;=Settings!$B$15)),"EXPIRING SOON","OK")))</f>
        <v/>
      </c>
      <c r="U1468" s="24" t="str">
        <f aca="false">IF(AND(C1468="Own",Q1468="Active"),COUNTIFS($C$5:C1468,"Own",$Q$5:Q1468,"Active"),"")</f>
        <v/>
      </c>
      <c r="V1468" s="26" t="str">
        <f aca="false">IF(C1468&lt;&gt;"Own","",IF(K1468="Hourly",N1468,(L1468+M1468)/(Settings!$B$11*Settings!$B$12)))</f>
        <v/>
      </c>
    </row>
    <row r="1469" customFormat="false" ht="15" hidden="false" customHeight="false" outlineLevel="0" collapsed="false">
      <c r="R1469" s="25" t="str">
        <f aca="true">IF(I1469="","",I1469-TODAY())</f>
        <v/>
      </c>
      <c r="S1469" s="25" t="str">
        <f aca="true">IF(J1469="","",J1469-TODAY())</f>
        <v/>
      </c>
      <c r="T1469" s="24" t="str">
        <f aca="false">IF(A1469="","",IF(OR(AND(R1469&lt;&gt;"",R1469&lt;0),AND(S1469&lt;&gt;"",S1469&lt;0)),"EXPIRED",IF(OR(AND(R1469&lt;&gt;"",R1469&lt;=Settings!$B$15),AND(S1469&lt;&gt;"",S1469&lt;=Settings!$B$15)),"EXPIRING SOON","OK")))</f>
        <v/>
      </c>
      <c r="U1469" s="24" t="str">
        <f aca="false">IF(AND(C1469="Own",Q1469="Active"),COUNTIFS($C$5:C1469,"Own",$Q$5:Q1469,"Active"),"")</f>
        <v/>
      </c>
      <c r="V1469" s="26" t="str">
        <f aca="false">IF(C1469&lt;&gt;"Own","",IF(K1469="Hourly",N1469,(L1469+M1469)/(Settings!$B$11*Settings!$B$12)))</f>
        <v/>
      </c>
    </row>
    <row r="1470" customFormat="false" ht="15" hidden="false" customHeight="false" outlineLevel="0" collapsed="false">
      <c r="R1470" s="25" t="str">
        <f aca="true">IF(I1470="","",I1470-TODAY())</f>
        <v/>
      </c>
      <c r="S1470" s="25" t="str">
        <f aca="true">IF(J1470="","",J1470-TODAY())</f>
        <v/>
      </c>
      <c r="T1470" s="24" t="str">
        <f aca="false">IF(A1470="","",IF(OR(AND(R1470&lt;&gt;"",R1470&lt;0),AND(S1470&lt;&gt;"",S1470&lt;0)),"EXPIRED",IF(OR(AND(R1470&lt;&gt;"",R1470&lt;=Settings!$B$15),AND(S1470&lt;&gt;"",S1470&lt;=Settings!$B$15)),"EXPIRING SOON","OK")))</f>
        <v/>
      </c>
      <c r="U1470" s="24" t="str">
        <f aca="false">IF(AND(C1470="Own",Q1470="Active"),COUNTIFS($C$5:C1470,"Own",$Q$5:Q1470,"Active"),"")</f>
        <v/>
      </c>
      <c r="V1470" s="26" t="str">
        <f aca="false">IF(C1470&lt;&gt;"Own","",IF(K1470="Hourly",N1470,(L1470+M1470)/(Settings!$B$11*Settings!$B$12)))</f>
        <v/>
      </c>
    </row>
    <row r="1471" customFormat="false" ht="15" hidden="false" customHeight="false" outlineLevel="0" collapsed="false">
      <c r="R1471" s="25" t="str">
        <f aca="true">IF(I1471="","",I1471-TODAY())</f>
        <v/>
      </c>
      <c r="S1471" s="25" t="str">
        <f aca="true">IF(J1471="","",J1471-TODAY())</f>
        <v/>
      </c>
      <c r="T1471" s="24" t="str">
        <f aca="false">IF(A1471="","",IF(OR(AND(R1471&lt;&gt;"",R1471&lt;0),AND(S1471&lt;&gt;"",S1471&lt;0)),"EXPIRED",IF(OR(AND(R1471&lt;&gt;"",R1471&lt;=Settings!$B$15),AND(S1471&lt;&gt;"",S1471&lt;=Settings!$B$15)),"EXPIRING SOON","OK")))</f>
        <v/>
      </c>
      <c r="U1471" s="24" t="str">
        <f aca="false">IF(AND(C1471="Own",Q1471="Active"),COUNTIFS($C$5:C1471,"Own",$Q$5:Q1471,"Active"),"")</f>
        <v/>
      </c>
      <c r="V1471" s="26" t="str">
        <f aca="false">IF(C1471&lt;&gt;"Own","",IF(K1471="Hourly",N1471,(L1471+M1471)/(Settings!$B$11*Settings!$B$12)))</f>
        <v/>
      </c>
    </row>
    <row r="1472" customFormat="false" ht="15" hidden="false" customHeight="false" outlineLevel="0" collapsed="false">
      <c r="R1472" s="25" t="str">
        <f aca="true">IF(I1472="","",I1472-TODAY())</f>
        <v/>
      </c>
      <c r="S1472" s="25" t="str">
        <f aca="true">IF(J1472="","",J1472-TODAY())</f>
        <v/>
      </c>
      <c r="T1472" s="24" t="str">
        <f aca="false">IF(A1472="","",IF(OR(AND(R1472&lt;&gt;"",R1472&lt;0),AND(S1472&lt;&gt;"",S1472&lt;0)),"EXPIRED",IF(OR(AND(R1472&lt;&gt;"",R1472&lt;=Settings!$B$15),AND(S1472&lt;&gt;"",S1472&lt;=Settings!$B$15)),"EXPIRING SOON","OK")))</f>
        <v/>
      </c>
      <c r="U1472" s="24" t="str">
        <f aca="false">IF(AND(C1472="Own",Q1472="Active"),COUNTIFS($C$5:C1472,"Own",$Q$5:Q1472,"Active"),"")</f>
        <v/>
      </c>
      <c r="V1472" s="26" t="str">
        <f aca="false">IF(C1472&lt;&gt;"Own","",IF(K1472="Hourly",N1472,(L1472+M1472)/(Settings!$B$11*Settings!$B$12)))</f>
        <v/>
      </c>
    </row>
    <row r="1473" customFormat="false" ht="15" hidden="false" customHeight="false" outlineLevel="0" collapsed="false">
      <c r="R1473" s="25" t="str">
        <f aca="true">IF(I1473="","",I1473-TODAY())</f>
        <v/>
      </c>
      <c r="S1473" s="25" t="str">
        <f aca="true">IF(J1473="","",J1473-TODAY())</f>
        <v/>
      </c>
      <c r="T1473" s="24" t="str">
        <f aca="false">IF(A1473="","",IF(OR(AND(R1473&lt;&gt;"",R1473&lt;0),AND(S1473&lt;&gt;"",S1473&lt;0)),"EXPIRED",IF(OR(AND(R1473&lt;&gt;"",R1473&lt;=Settings!$B$15),AND(S1473&lt;&gt;"",S1473&lt;=Settings!$B$15)),"EXPIRING SOON","OK")))</f>
        <v/>
      </c>
      <c r="U1473" s="24" t="str">
        <f aca="false">IF(AND(C1473="Own",Q1473="Active"),COUNTIFS($C$5:C1473,"Own",$Q$5:Q1473,"Active"),"")</f>
        <v/>
      </c>
      <c r="V1473" s="26" t="str">
        <f aca="false">IF(C1473&lt;&gt;"Own","",IF(K1473="Hourly",N1473,(L1473+M1473)/(Settings!$B$11*Settings!$B$12)))</f>
        <v/>
      </c>
    </row>
    <row r="1474" customFormat="false" ht="15" hidden="false" customHeight="false" outlineLevel="0" collapsed="false">
      <c r="R1474" s="25" t="str">
        <f aca="true">IF(I1474="","",I1474-TODAY())</f>
        <v/>
      </c>
      <c r="S1474" s="25" t="str">
        <f aca="true">IF(J1474="","",J1474-TODAY())</f>
        <v/>
      </c>
      <c r="T1474" s="24" t="str">
        <f aca="false">IF(A1474="","",IF(OR(AND(R1474&lt;&gt;"",R1474&lt;0),AND(S1474&lt;&gt;"",S1474&lt;0)),"EXPIRED",IF(OR(AND(R1474&lt;&gt;"",R1474&lt;=Settings!$B$15),AND(S1474&lt;&gt;"",S1474&lt;=Settings!$B$15)),"EXPIRING SOON","OK")))</f>
        <v/>
      </c>
      <c r="U1474" s="24" t="str">
        <f aca="false">IF(AND(C1474="Own",Q1474="Active"),COUNTIFS($C$5:C1474,"Own",$Q$5:Q1474,"Active"),"")</f>
        <v/>
      </c>
      <c r="V1474" s="26" t="str">
        <f aca="false">IF(C1474&lt;&gt;"Own","",IF(K1474="Hourly",N1474,(L1474+M1474)/(Settings!$B$11*Settings!$B$12)))</f>
        <v/>
      </c>
    </row>
    <row r="1475" customFormat="false" ht="15" hidden="false" customHeight="false" outlineLevel="0" collapsed="false">
      <c r="R1475" s="25" t="str">
        <f aca="true">IF(I1475="","",I1475-TODAY())</f>
        <v/>
      </c>
      <c r="S1475" s="25" t="str">
        <f aca="true">IF(J1475="","",J1475-TODAY())</f>
        <v/>
      </c>
      <c r="T1475" s="24" t="str">
        <f aca="false">IF(A1475="","",IF(OR(AND(R1475&lt;&gt;"",R1475&lt;0),AND(S1475&lt;&gt;"",S1475&lt;0)),"EXPIRED",IF(OR(AND(R1475&lt;&gt;"",R1475&lt;=Settings!$B$15),AND(S1475&lt;&gt;"",S1475&lt;=Settings!$B$15)),"EXPIRING SOON","OK")))</f>
        <v/>
      </c>
      <c r="U1475" s="24" t="str">
        <f aca="false">IF(AND(C1475="Own",Q1475="Active"),COUNTIFS($C$5:C1475,"Own",$Q$5:Q1475,"Active"),"")</f>
        <v/>
      </c>
      <c r="V1475" s="26" t="str">
        <f aca="false">IF(C1475&lt;&gt;"Own","",IF(K1475="Hourly",N1475,(L1475+M1475)/(Settings!$B$11*Settings!$B$12)))</f>
        <v/>
      </c>
    </row>
    <row r="1476" customFormat="false" ht="15" hidden="false" customHeight="false" outlineLevel="0" collapsed="false">
      <c r="R1476" s="25" t="str">
        <f aca="true">IF(I1476="","",I1476-TODAY())</f>
        <v/>
      </c>
      <c r="S1476" s="25" t="str">
        <f aca="true">IF(J1476="","",J1476-TODAY())</f>
        <v/>
      </c>
      <c r="T1476" s="24" t="str">
        <f aca="false">IF(A1476="","",IF(OR(AND(R1476&lt;&gt;"",R1476&lt;0),AND(S1476&lt;&gt;"",S1476&lt;0)),"EXPIRED",IF(OR(AND(R1476&lt;&gt;"",R1476&lt;=Settings!$B$15),AND(S1476&lt;&gt;"",S1476&lt;=Settings!$B$15)),"EXPIRING SOON","OK")))</f>
        <v/>
      </c>
      <c r="U1476" s="24" t="str">
        <f aca="false">IF(AND(C1476="Own",Q1476="Active"),COUNTIFS($C$5:C1476,"Own",$Q$5:Q1476,"Active"),"")</f>
        <v/>
      </c>
      <c r="V1476" s="26" t="str">
        <f aca="false">IF(C1476&lt;&gt;"Own","",IF(K1476="Hourly",N1476,(L1476+M1476)/(Settings!$B$11*Settings!$B$12)))</f>
        <v/>
      </c>
    </row>
    <row r="1477" customFormat="false" ht="15" hidden="false" customHeight="false" outlineLevel="0" collapsed="false">
      <c r="R1477" s="25" t="str">
        <f aca="true">IF(I1477="","",I1477-TODAY())</f>
        <v/>
      </c>
      <c r="S1477" s="25" t="str">
        <f aca="true">IF(J1477="","",J1477-TODAY())</f>
        <v/>
      </c>
      <c r="T1477" s="24" t="str">
        <f aca="false">IF(A1477="","",IF(OR(AND(R1477&lt;&gt;"",R1477&lt;0),AND(S1477&lt;&gt;"",S1477&lt;0)),"EXPIRED",IF(OR(AND(R1477&lt;&gt;"",R1477&lt;=Settings!$B$15),AND(S1477&lt;&gt;"",S1477&lt;=Settings!$B$15)),"EXPIRING SOON","OK")))</f>
        <v/>
      </c>
      <c r="U1477" s="24" t="str">
        <f aca="false">IF(AND(C1477="Own",Q1477="Active"),COUNTIFS($C$5:C1477,"Own",$Q$5:Q1477,"Active"),"")</f>
        <v/>
      </c>
      <c r="V1477" s="26" t="str">
        <f aca="false">IF(C1477&lt;&gt;"Own","",IF(K1477="Hourly",N1477,(L1477+M1477)/(Settings!$B$11*Settings!$B$12)))</f>
        <v/>
      </c>
    </row>
    <row r="1478" customFormat="false" ht="15" hidden="false" customHeight="false" outlineLevel="0" collapsed="false">
      <c r="R1478" s="25" t="str">
        <f aca="true">IF(I1478="","",I1478-TODAY())</f>
        <v/>
      </c>
      <c r="S1478" s="25" t="str">
        <f aca="true">IF(J1478="","",J1478-TODAY())</f>
        <v/>
      </c>
      <c r="T1478" s="24" t="str">
        <f aca="false">IF(A1478="","",IF(OR(AND(R1478&lt;&gt;"",R1478&lt;0),AND(S1478&lt;&gt;"",S1478&lt;0)),"EXPIRED",IF(OR(AND(R1478&lt;&gt;"",R1478&lt;=Settings!$B$15),AND(S1478&lt;&gt;"",S1478&lt;=Settings!$B$15)),"EXPIRING SOON","OK")))</f>
        <v/>
      </c>
      <c r="U1478" s="24" t="str">
        <f aca="false">IF(AND(C1478="Own",Q1478="Active"),COUNTIFS($C$5:C1478,"Own",$Q$5:Q1478,"Active"),"")</f>
        <v/>
      </c>
      <c r="V1478" s="26" t="str">
        <f aca="false">IF(C1478&lt;&gt;"Own","",IF(K1478="Hourly",N1478,(L1478+M1478)/(Settings!$B$11*Settings!$B$12)))</f>
        <v/>
      </c>
    </row>
    <row r="1479" customFormat="false" ht="15" hidden="false" customHeight="false" outlineLevel="0" collapsed="false">
      <c r="R1479" s="25" t="str">
        <f aca="true">IF(I1479="","",I1479-TODAY())</f>
        <v/>
      </c>
      <c r="S1479" s="25" t="str">
        <f aca="true">IF(J1479="","",J1479-TODAY())</f>
        <v/>
      </c>
      <c r="T1479" s="24" t="str">
        <f aca="false">IF(A1479="","",IF(OR(AND(R1479&lt;&gt;"",R1479&lt;0),AND(S1479&lt;&gt;"",S1479&lt;0)),"EXPIRED",IF(OR(AND(R1479&lt;&gt;"",R1479&lt;=Settings!$B$15),AND(S1479&lt;&gt;"",S1479&lt;=Settings!$B$15)),"EXPIRING SOON","OK")))</f>
        <v/>
      </c>
      <c r="U1479" s="24" t="str">
        <f aca="false">IF(AND(C1479="Own",Q1479="Active"),COUNTIFS($C$5:C1479,"Own",$Q$5:Q1479,"Active"),"")</f>
        <v/>
      </c>
      <c r="V1479" s="26" t="str">
        <f aca="false">IF(C1479&lt;&gt;"Own","",IF(K1479="Hourly",N1479,(L1479+M1479)/(Settings!$B$11*Settings!$B$12)))</f>
        <v/>
      </c>
    </row>
    <row r="1480" customFormat="false" ht="15" hidden="false" customHeight="false" outlineLevel="0" collapsed="false">
      <c r="R1480" s="25" t="str">
        <f aca="true">IF(I1480="","",I1480-TODAY())</f>
        <v/>
      </c>
      <c r="S1480" s="25" t="str">
        <f aca="true">IF(J1480="","",J1480-TODAY())</f>
        <v/>
      </c>
      <c r="T1480" s="24" t="str">
        <f aca="false">IF(A1480="","",IF(OR(AND(R1480&lt;&gt;"",R1480&lt;0),AND(S1480&lt;&gt;"",S1480&lt;0)),"EXPIRED",IF(OR(AND(R1480&lt;&gt;"",R1480&lt;=Settings!$B$15),AND(S1480&lt;&gt;"",S1480&lt;=Settings!$B$15)),"EXPIRING SOON","OK")))</f>
        <v/>
      </c>
      <c r="U1480" s="24" t="str">
        <f aca="false">IF(AND(C1480="Own",Q1480="Active"),COUNTIFS($C$5:C1480,"Own",$Q$5:Q1480,"Active"),"")</f>
        <v/>
      </c>
      <c r="V1480" s="26" t="str">
        <f aca="false">IF(C1480&lt;&gt;"Own","",IF(K1480="Hourly",N1480,(L1480+M1480)/(Settings!$B$11*Settings!$B$12)))</f>
        <v/>
      </c>
    </row>
    <row r="1481" customFormat="false" ht="15" hidden="false" customHeight="false" outlineLevel="0" collapsed="false">
      <c r="R1481" s="25" t="str">
        <f aca="true">IF(I1481="","",I1481-TODAY())</f>
        <v/>
      </c>
      <c r="S1481" s="25" t="str">
        <f aca="true">IF(J1481="","",J1481-TODAY())</f>
        <v/>
      </c>
      <c r="T1481" s="24" t="str">
        <f aca="false">IF(A1481="","",IF(OR(AND(R1481&lt;&gt;"",R1481&lt;0),AND(S1481&lt;&gt;"",S1481&lt;0)),"EXPIRED",IF(OR(AND(R1481&lt;&gt;"",R1481&lt;=Settings!$B$15),AND(S1481&lt;&gt;"",S1481&lt;=Settings!$B$15)),"EXPIRING SOON","OK")))</f>
        <v/>
      </c>
      <c r="U1481" s="24" t="str">
        <f aca="false">IF(AND(C1481="Own",Q1481="Active"),COUNTIFS($C$5:C1481,"Own",$Q$5:Q1481,"Active"),"")</f>
        <v/>
      </c>
      <c r="V1481" s="26" t="str">
        <f aca="false">IF(C1481&lt;&gt;"Own","",IF(K1481="Hourly",N1481,(L1481+M1481)/(Settings!$B$11*Settings!$B$12)))</f>
        <v/>
      </c>
    </row>
    <row r="1482" customFormat="false" ht="15" hidden="false" customHeight="false" outlineLevel="0" collapsed="false">
      <c r="R1482" s="25" t="str">
        <f aca="true">IF(I1482="","",I1482-TODAY())</f>
        <v/>
      </c>
      <c r="S1482" s="25" t="str">
        <f aca="true">IF(J1482="","",J1482-TODAY())</f>
        <v/>
      </c>
      <c r="T1482" s="24" t="str">
        <f aca="false">IF(A1482="","",IF(OR(AND(R1482&lt;&gt;"",R1482&lt;0),AND(S1482&lt;&gt;"",S1482&lt;0)),"EXPIRED",IF(OR(AND(R1482&lt;&gt;"",R1482&lt;=Settings!$B$15),AND(S1482&lt;&gt;"",S1482&lt;=Settings!$B$15)),"EXPIRING SOON","OK")))</f>
        <v/>
      </c>
      <c r="U1482" s="24" t="str">
        <f aca="false">IF(AND(C1482="Own",Q1482="Active"),COUNTIFS($C$5:C1482,"Own",$Q$5:Q1482,"Active"),"")</f>
        <v/>
      </c>
      <c r="V1482" s="26" t="str">
        <f aca="false">IF(C1482&lt;&gt;"Own","",IF(K1482="Hourly",N1482,(L1482+M1482)/(Settings!$B$11*Settings!$B$12)))</f>
        <v/>
      </c>
    </row>
    <row r="1483" customFormat="false" ht="15" hidden="false" customHeight="false" outlineLevel="0" collapsed="false">
      <c r="R1483" s="25" t="str">
        <f aca="true">IF(I1483="","",I1483-TODAY())</f>
        <v/>
      </c>
      <c r="S1483" s="25" t="str">
        <f aca="true">IF(J1483="","",J1483-TODAY())</f>
        <v/>
      </c>
      <c r="T1483" s="24" t="str">
        <f aca="false">IF(A1483="","",IF(OR(AND(R1483&lt;&gt;"",R1483&lt;0),AND(S1483&lt;&gt;"",S1483&lt;0)),"EXPIRED",IF(OR(AND(R1483&lt;&gt;"",R1483&lt;=Settings!$B$15),AND(S1483&lt;&gt;"",S1483&lt;=Settings!$B$15)),"EXPIRING SOON","OK")))</f>
        <v/>
      </c>
      <c r="U1483" s="24" t="str">
        <f aca="false">IF(AND(C1483="Own",Q1483="Active"),COUNTIFS($C$5:C1483,"Own",$Q$5:Q1483,"Active"),"")</f>
        <v/>
      </c>
      <c r="V1483" s="26" t="str">
        <f aca="false">IF(C1483&lt;&gt;"Own","",IF(K1483="Hourly",N1483,(L1483+M1483)/(Settings!$B$11*Settings!$B$12)))</f>
        <v/>
      </c>
    </row>
    <row r="1484" customFormat="false" ht="15" hidden="false" customHeight="false" outlineLevel="0" collapsed="false">
      <c r="R1484" s="25" t="str">
        <f aca="true">IF(I1484="","",I1484-TODAY())</f>
        <v/>
      </c>
      <c r="S1484" s="25" t="str">
        <f aca="true">IF(J1484="","",J1484-TODAY())</f>
        <v/>
      </c>
      <c r="T1484" s="24" t="str">
        <f aca="false">IF(A1484="","",IF(OR(AND(R1484&lt;&gt;"",R1484&lt;0),AND(S1484&lt;&gt;"",S1484&lt;0)),"EXPIRED",IF(OR(AND(R1484&lt;&gt;"",R1484&lt;=Settings!$B$15),AND(S1484&lt;&gt;"",S1484&lt;=Settings!$B$15)),"EXPIRING SOON","OK")))</f>
        <v/>
      </c>
      <c r="U1484" s="24" t="str">
        <f aca="false">IF(AND(C1484="Own",Q1484="Active"),COUNTIFS($C$5:C1484,"Own",$Q$5:Q1484,"Active"),"")</f>
        <v/>
      </c>
      <c r="V1484" s="26" t="str">
        <f aca="false">IF(C1484&lt;&gt;"Own","",IF(K1484="Hourly",N1484,(L1484+M1484)/(Settings!$B$11*Settings!$B$12)))</f>
        <v/>
      </c>
    </row>
    <row r="1485" customFormat="false" ht="15" hidden="false" customHeight="false" outlineLevel="0" collapsed="false">
      <c r="R1485" s="25" t="str">
        <f aca="true">IF(I1485="","",I1485-TODAY())</f>
        <v/>
      </c>
      <c r="S1485" s="25" t="str">
        <f aca="true">IF(J1485="","",J1485-TODAY())</f>
        <v/>
      </c>
      <c r="T1485" s="24" t="str">
        <f aca="false">IF(A1485="","",IF(OR(AND(R1485&lt;&gt;"",R1485&lt;0),AND(S1485&lt;&gt;"",S1485&lt;0)),"EXPIRED",IF(OR(AND(R1485&lt;&gt;"",R1485&lt;=Settings!$B$15),AND(S1485&lt;&gt;"",S1485&lt;=Settings!$B$15)),"EXPIRING SOON","OK")))</f>
        <v/>
      </c>
      <c r="U1485" s="24" t="str">
        <f aca="false">IF(AND(C1485="Own",Q1485="Active"),COUNTIFS($C$5:C1485,"Own",$Q$5:Q1485,"Active"),"")</f>
        <v/>
      </c>
      <c r="V1485" s="26" t="str">
        <f aca="false">IF(C1485&lt;&gt;"Own","",IF(K1485="Hourly",N1485,(L1485+M1485)/(Settings!$B$11*Settings!$B$12)))</f>
        <v/>
      </c>
    </row>
    <row r="1486" customFormat="false" ht="15" hidden="false" customHeight="false" outlineLevel="0" collapsed="false">
      <c r="R1486" s="25" t="str">
        <f aca="true">IF(I1486="","",I1486-TODAY())</f>
        <v/>
      </c>
      <c r="S1486" s="25" t="str">
        <f aca="true">IF(J1486="","",J1486-TODAY())</f>
        <v/>
      </c>
      <c r="T1486" s="24" t="str">
        <f aca="false">IF(A1486="","",IF(OR(AND(R1486&lt;&gt;"",R1486&lt;0),AND(S1486&lt;&gt;"",S1486&lt;0)),"EXPIRED",IF(OR(AND(R1486&lt;&gt;"",R1486&lt;=Settings!$B$15),AND(S1486&lt;&gt;"",S1486&lt;=Settings!$B$15)),"EXPIRING SOON","OK")))</f>
        <v/>
      </c>
      <c r="U1486" s="24" t="str">
        <f aca="false">IF(AND(C1486="Own",Q1486="Active"),COUNTIFS($C$5:C1486,"Own",$Q$5:Q1486,"Active"),"")</f>
        <v/>
      </c>
      <c r="V1486" s="26" t="str">
        <f aca="false">IF(C1486&lt;&gt;"Own","",IF(K1486="Hourly",N1486,(L1486+M1486)/(Settings!$B$11*Settings!$B$12)))</f>
        <v/>
      </c>
    </row>
    <row r="1487" customFormat="false" ht="15" hidden="false" customHeight="false" outlineLevel="0" collapsed="false">
      <c r="R1487" s="25" t="str">
        <f aca="true">IF(I1487="","",I1487-TODAY())</f>
        <v/>
      </c>
      <c r="S1487" s="25" t="str">
        <f aca="true">IF(J1487="","",J1487-TODAY())</f>
        <v/>
      </c>
      <c r="T1487" s="24" t="str">
        <f aca="false">IF(A1487="","",IF(OR(AND(R1487&lt;&gt;"",R1487&lt;0),AND(S1487&lt;&gt;"",S1487&lt;0)),"EXPIRED",IF(OR(AND(R1487&lt;&gt;"",R1487&lt;=Settings!$B$15),AND(S1487&lt;&gt;"",S1487&lt;=Settings!$B$15)),"EXPIRING SOON","OK")))</f>
        <v/>
      </c>
      <c r="U1487" s="24" t="str">
        <f aca="false">IF(AND(C1487="Own",Q1487="Active"),COUNTIFS($C$5:C1487,"Own",$Q$5:Q1487,"Active"),"")</f>
        <v/>
      </c>
      <c r="V1487" s="26" t="str">
        <f aca="false">IF(C1487&lt;&gt;"Own","",IF(K1487="Hourly",N1487,(L1487+M1487)/(Settings!$B$11*Settings!$B$12)))</f>
        <v/>
      </c>
    </row>
    <row r="1488" customFormat="false" ht="15" hidden="false" customHeight="false" outlineLevel="0" collapsed="false">
      <c r="R1488" s="25" t="str">
        <f aca="true">IF(I1488="","",I1488-TODAY())</f>
        <v/>
      </c>
      <c r="S1488" s="25" t="str">
        <f aca="true">IF(J1488="","",J1488-TODAY())</f>
        <v/>
      </c>
      <c r="T1488" s="24" t="str">
        <f aca="false">IF(A1488="","",IF(OR(AND(R1488&lt;&gt;"",R1488&lt;0),AND(S1488&lt;&gt;"",S1488&lt;0)),"EXPIRED",IF(OR(AND(R1488&lt;&gt;"",R1488&lt;=Settings!$B$15),AND(S1488&lt;&gt;"",S1488&lt;=Settings!$B$15)),"EXPIRING SOON","OK")))</f>
        <v/>
      </c>
      <c r="U1488" s="24" t="str">
        <f aca="false">IF(AND(C1488="Own",Q1488="Active"),COUNTIFS($C$5:C1488,"Own",$Q$5:Q1488,"Active"),"")</f>
        <v/>
      </c>
      <c r="V1488" s="26" t="str">
        <f aca="false">IF(C1488&lt;&gt;"Own","",IF(K1488="Hourly",N1488,(L1488+M1488)/(Settings!$B$11*Settings!$B$12)))</f>
        <v/>
      </c>
    </row>
    <row r="1489" customFormat="false" ht="15" hidden="false" customHeight="false" outlineLevel="0" collapsed="false">
      <c r="R1489" s="25" t="str">
        <f aca="true">IF(I1489="","",I1489-TODAY())</f>
        <v/>
      </c>
      <c r="S1489" s="25" t="str">
        <f aca="true">IF(J1489="","",J1489-TODAY())</f>
        <v/>
      </c>
      <c r="T1489" s="24" t="str">
        <f aca="false">IF(A1489="","",IF(OR(AND(R1489&lt;&gt;"",R1489&lt;0),AND(S1489&lt;&gt;"",S1489&lt;0)),"EXPIRED",IF(OR(AND(R1489&lt;&gt;"",R1489&lt;=Settings!$B$15),AND(S1489&lt;&gt;"",S1489&lt;=Settings!$B$15)),"EXPIRING SOON","OK")))</f>
        <v/>
      </c>
      <c r="U1489" s="24" t="str">
        <f aca="false">IF(AND(C1489="Own",Q1489="Active"),COUNTIFS($C$5:C1489,"Own",$Q$5:Q1489,"Active"),"")</f>
        <v/>
      </c>
      <c r="V1489" s="26" t="str">
        <f aca="false">IF(C1489&lt;&gt;"Own","",IF(K1489="Hourly",N1489,(L1489+M1489)/(Settings!$B$11*Settings!$B$12)))</f>
        <v/>
      </c>
    </row>
    <row r="1490" customFormat="false" ht="15" hidden="false" customHeight="false" outlineLevel="0" collapsed="false">
      <c r="R1490" s="25" t="str">
        <f aca="true">IF(I1490="","",I1490-TODAY())</f>
        <v/>
      </c>
      <c r="S1490" s="25" t="str">
        <f aca="true">IF(J1490="","",J1490-TODAY())</f>
        <v/>
      </c>
      <c r="T1490" s="24" t="str">
        <f aca="false">IF(A1490="","",IF(OR(AND(R1490&lt;&gt;"",R1490&lt;0),AND(S1490&lt;&gt;"",S1490&lt;0)),"EXPIRED",IF(OR(AND(R1490&lt;&gt;"",R1490&lt;=Settings!$B$15),AND(S1490&lt;&gt;"",S1490&lt;=Settings!$B$15)),"EXPIRING SOON","OK")))</f>
        <v/>
      </c>
      <c r="U1490" s="24" t="str">
        <f aca="false">IF(AND(C1490="Own",Q1490="Active"),COUNTIFS($C$5:C1490,"Own",$Q$5:Q1490,"Active"),"")</f>
        <v/>
      </c>
      <c r="V1490" s="26" t="str">
        <f aca="false">IF(C1490&lt;&gt;"Own","",IF(K1490="Hourly",N1490,(L1490+M1490)/(Settings!$B$11*Settings!$B$12)))</f>
        <v/>
      </c>
    </row>
    <row r="1491" customFormat="false" ht="15" hidden="false" customHeight="false" outlineLevel="0" collapsed="false">
      <c r="R1491" s="25" t="str">
        <f aca="true">IF(I1491="","",I1491-TODAY())</f>
        <v/>
      </c>
      <c r="S1491" s="25" t="str">
        <f aca="true">IF(J1491="","",J1491-TODAY())</f>
        <v/>
      </c>
      <c r="T1491" s="24" t="str">
        <f aca="false">IF(A1491="","",IF(OR(AND(R1491&lt;&gt;"",R1491&lt;0),AND(S1491&lt;&gt;"",S1491&lt;0)),"EXPIRED",IF(OR(AND(R1491&lt;&gt;"",R1491&lt;=Settings!$B$15),AND(S1491&lt;&gt;"",S1491&lt;=Settings!$B$15)),"EXPIRING SOON","OK")))</f>
        <v/>
      </c>
      <c r="U1491" s="24" t="str">
        <f aca="false">IF(AND(C1491="Own",Q1491="Active"),COUNTIFS($C$5:C1491,"Own",$Q$5:Q1491,"Active"),"")</f>
        <v/>
      </c>
      <c r="V1491" s="26" t="str">
        <f aca="false">IF(C1491&lt;&gt;"Own","",IF(K1491="Hourly",N1491,(L1491+M1491)/(Settings!$B$11*Settings!$B$12)))</f>
        <v/>
      </c>
    </row>
    <row r="1492" customFormat="false" ht="15" hidden="false" customHeight="false" outlineLevel="0" collapsed="false">
      <c r="R1492" s="25" t="str">
        <f aca="true">IF(I1492="","",I1492-TODAY())</f>
        <v/>
      </c>
      <c r="S1492" s="25" t="str">
        <f aca="true">IF(J1492="","",J1492-TODAY())</f>
        <v/>
      </c>
      <c r="T1492" s="24" t="str">
        <f aca="false">IF(A1492="","",IF(OR(AND(R1492&lt;&gt;"",R1492&lt;0),AND(S1492&lt;&gt;"",S1492&lt;0)),"EXPIRED",IF(OR(AND(R1492&lt;&gt;"",R1492&lt;=Settings!$B$15),AND(S1492&lt;&gt;"",S1492&lt;=Settings!$B$15)),"EXPIRING SOON","OK")))</f>
        <v/>
      </c>
      <c r="U1492" s="24" t="str">
        <f aca="false">IF(AND(C1492="Own",Q1492="Active"),COUNTIFS($C$5:C1492,"Own",$Q$5:Q1492,"Active"),"")</f>
        <v/>
      </c>
      <c r="V1492" s="26" t="str">
        <f aca="false">IF(C1492&lt;&gt;"Own","",IF(K1492="Hourly",N1492,(L1492+M1492)/(Settings!$B$11*Settings!$B$12)))</f>
        <v/>
      </c>
    </row>
    <row r="1493" customFormat="false" ht="15" hidden="false" customHeight="false" outlineLevel="0" collapsed="false">
      <c r="R1493" s="25" t="str">
        <f aca="true">IF(I1493="","",I1493-TODAY())</f>
        <v/>
      </c>
      <c r="S1493" s="25" t="str">
        <f aca="true">IF(J1493="","",J1493-TODAY())</f>
        <v/>
      </c>
      <c r="T1493" s="24" t="str">
        <f aca="false">IF(A1493="","",IF(OR(AND(R1493&lt;&gt;"",R1493&lt;0),AND(S1493&lt;&gt;"",S1493&lt;0)),"EXPIRED",IF(OR(AND(R1493&lt;&gt;"",R1493&lt;=Settings!$B$15),AND(S1493&lt;&gt;"",S1493&lt;=Settings!$B$15)),"EXPIRING SOON","OK")))</f>
        <v/>
      </c>
      <c r="U1493" s="24" t="str">
        <f aca="false">IF(AND(C1493="Own",Q1493="Active"),COUNTIFS($C$5:C1493,"Own",$Q$5:Q1493,"Active"),"")</f>
        <v/>
      </c>
      <c r="V1493" s="26" t="str">
        <f aca="false">IF(C1493&lt;&gt;"Own","",IF(K1493="Hourly",N1493,(L1493+M1493)/(Settings!$B$11*Settings!$B$12)))</f>
        <v/>
      </c>
    </row>
    <row r="1494" customFormat="false" ht="15" hidden="false" customHeight="false" outlineLevel="0" collapsed="false">
      <c r="R1494" s="25" t="str">
        <f aca="true">IF(I1494="","",I1494-TODAY())</f>
        <v/>
      </c>
      <c r="S1494" s="25" t="str">
        <f aca="true">IF(J1494="","",J1494-TODAY())</f>
        <v/>
      </c>
      <c r="T1494" s="24" t="str">
        <f aca="false">IF(A1494="","",IF(OR(AND(R1494&lt;&gt;"",R1494&lt;0),AND(S1494&lt;&gt;"",S1494&lt;0)),"EXPIRED",IF(OR(AND(R1494&lt;&gt;"",R1494&lt;=Settings!$B$15),AND(S1494&lt;&gt;"",S1494&lt;=Settings!$B$15)),"EXPIRING SOON","OK")))</f>
        <v/>
      </c>
      <c r="U1494" s="24" t="str">
        <f aca="false">IF(AND(C1494="Own",Q1494="Active"),COUNTIFS($C$5:C1494,"Own",$Q$5:Q1494,"Active"),"")</f>
        <v/>
      </c>
      <c r="V1494" s="26" t="str">
        <f aca="false">IF(C1494&lt;&gt;"Own","",IF(K1494="Hourly",N1494,(L1494+M1494)/(Settings!$B$11*Settings!$B$12)))</f>
        <v/>
      </c>
    </row>
    <row r="1495" customFormat="false" ht="15" hidden="false" customHeight="false" outlineLevel="0" collapsed="false">
      <c r="R1495" s="25" t="str">
        <f aca="true">IF(I1495="","",I1495-TODAY())</f>
        <v/>
      </c>
      <c r="S1495" s="25" t="str">
        <f aca="true">IF(J1495="","",J1495-TODAY())</f>
        <v/>
      </c>
      <c r="T1495" s="24" t="str">
        <f aca="false">IF(A1495="","",IF(OR(AND(R1495&lt;&gt;"",R1495&lt;0),AND(S1495&lt;&gt;"",S1495&lt;0)),"EXPIRED",IF(OR(AND(R1495&lt;&gt;"",R1495&lt;=Settings!$B$15),AND(S1495&lt;&gt;"",S1495&lt;=Settings!$B$15)),"EXPIRING SOON","OK")))</f>
        <v/>
      </c>
      <c r="U1495" s="24" t="str">
        <f aca="false">IF(AND(C1495="Own",Q1495="Active"),COUNTIFS($C$5:C1495,"Own",$Q$5:Q1495,"Active"),"")</f>
        <v/>
      </c>
      <c r="V1495" s="26" t="str">
        <f aca="false">IF(C1495&lt;&gt;"Own","",IF(K1495="Hourly",N1495,(L1495+M1495)/(Settings!$B$11*Settings!$B$12)))</f>
        <v/>
      </c>
    </row>
    <row r="1496" customFormat="false" ht="15" hidden="false" customHeight="false" outlineLevel="0" collapsed="false">
      <c r="R1496" s="25" t="str">
        <f aca="true">IF(I1496="","",I1496-TODAY())</f>
        <v/>
      </c>
      <c r="S1496" s="25" t="str">
        <f aca="true">IF(J1496="","",J1496-TODAY())</f>
        <v/>
      </c>
      <c r="T1496" s="24" t="str">
        <f aca="false">IF(A1496="","",IF(OR(AND(R1496&lt;&gt;"",R1496&lt;0),AND(S1496&lt;&gt;"",S1496&lt;0)),"EXPIRED",IF(OR(AND(R1496&lt;&gt;"",R1496&lt;=Settings!$B$15),AND(S1496&lt;&gt;"",S1496&lt;=Settings!$B$15)),"EXPIRING SOON","OK")))</f>
        <v/>
      </c>
      <c r="U1496" s="24" t="str">
        <f aca="false">IF(AND(C1496="Own",Q1496="Active"),COUNTIFS($C$5:C1496,"Own",$Q$5:Q1496,"Active"),"")</f>
        <v/>
      </c>
      <c r="V1496" s="26" t="str">
        <f aca="false">IF(C1496&lt;&gt;"Own","",IF(K1496="Hourly",N1496,(L1496+M1496)/(Settings!$B$11*Settings!$B$12)))</f>
        <v/>
      </c>
    </row>
    <row r="1497" customFormat="false" ht="15" hidden="false" customHeight="false" outlineLevel="0" collapsed="false">
      <c r="R1497" s="25" t="str">
        <f aca="true">IF(I1497="","",I1497-TODAY())</f>
        <v/>
      </c>
      <c r="S1497" s="25" t="str">
        <f aca="true">IF(J1497="","",J1497-TODAY())</f>
        <v/>
      </c>
      <c r="T1497" s="24" t="str">
        <f aca="false">IF(A1497="","",IF(OR(AND(R1497&lt;&gt;"",R1497&lt;0),AND(S1497&lt;&gt;"",S1497&lt;0)),"EXPIRED",IF(OR(AND(R1497&lt;&gt;"",R1497&lt;=Settings!$B$15),AND(S1497&lt;&gt;"",S1497&lt;=Settings!$B$15)),"EXPIRING SOON","OK")))</f>
        <v/>
      </c>
      <c r="U1497" s="24" t="str">
        <f aca="false">IF(AND(C1497="Own",Q1497="Active"),COUNTIFS($C$5:C1497,"Own",$Q$5:Q1497,"Active"),"")</f>
        <v/>
      </c>
      <c r="V1497" s="26" t="str">
        <f aca="false">IF(C1497&lt;&gt;"Own","",IF(K1497="Hourly",N1497,(L1497+M1497)/(Settings!$B$11*Settings!$B$12)))</f>
        <v/>
      </c>
    </row>
    <row r="1498" customFormat="false" ht="15" hidden="false" customHeight="false" outlineLevel="0" collapsed="false">
      <c r="R1498" s="25" t="str">
        <f aca="true">IF(I1498="","",I1498-TODAY())</f>
        <v/>
      </c>
      <c r="S1498" s="25" t="str">
        <f aca="true">IF(J1498="","",J1498-TODAY())</f>
        <v/>
      </c>
      <c r="T1498" s="24" t="str">
        <f aca="false">IF(A1498="","",IF(OR(AND(R1498&lt;&gt;"",R1498&lt;0),AND(S1498&lt;&gt;"",S1498&lt;0)),"EXPIRED",IF(OR(AND(R1498&lt;&gt;"",R1498&lt;=Settings!$B$15),AND(S1498&lt;&gt;"",S1498&lt;=Settings!$B$15)),"EXPIRING SOON","OK")))</f>
        <v/>
      </c>
      <c r="U1498" s="24" t="str">
        <f aca="false">IF(AND(C1498="Own",Q1498="Active"),COUNTIFS($C$5:C1498,"Own",$Q$5:Q1498,"Active"),"")</f>
        <v/>
      </c>
      <c r="V1498" s="26" t="str">
        <f aca="false">IF(C1498&lt;&gt;"Own","",IF(K1498="Hourly",N1498,(L1498+M1498)/(Settings!$B$11*Settings!$B$12)))</f>
        <v/>
      </c>
    </row>
    <row r="1499" customFormat="false" ht="15" hidden="false" customHeight="false" outlineLevel="0" collapsed="false">
      <c r="R1499" s="25" t="str">
        <f aca="true">IF(I1499="","",I1499-TODAY())</f>
        <v/>
      </c>
      <c r="S1499" s="25" t="str">
        <f aca="true">IF(J1499="","",J1499-TODAY())</f>
        <v/>
      </c>
      <c r="T1499" s="24" t="str">
        <f aca="false">IF(A1499="","",IF(OR(AND(R1499&lt;&gt;"",R1499&lt;0),AND(S1499&lt;&gt;"",S1499&lt;0)),"EXPIRED",IF(OR(AND(R1499&lt;&gt;"",R1499&lt;=Settings!$B$15),AND(S1499&lt;&gt;"",S1499&lt;=Settings!$B$15)),"EXPIRING SOON","OK")))</f>
        <v/>
      </c>
      <c r="U1499" s="24" t="str">
        <f aca="false">IF(AND(C1499="Own",Q1499="Active"),COUNTIFS($C$5:C1499,"Own",$Q$5:Q1499,"Active"),"")</f>
        <v/>
      </c>
      <c r="V1499" s="26" t="str">
        <f aca="false">IF(C1499&lt;&gt;"Own","",IF(K1499="Hourly",N1499,(L1499+M1499)/(Settings!$B$11*Settings!$B$12)))</f>
        <v/>
      </c>
    </row>
    <row r="1500" customFormat="false" ht="15" hidden="false" customHeight="false" outlineLevel="0" collapsed="false">
      <c r="R1500" s="25" t="str">
        <f aca="true">IF(I1500="","",I1500-TODAY())</f>
        <v/>
      </c>
      <c r="S1500" s="25" t="str">
        <f aca="true">IF(J1500="","",J1500-TODAY())</f>
        <v/>
      </c>
      <c r="T1500" s="24" t="str">
        <f aca="false">IF(A1500="","",IF(OR(AND(R1500&lt;&gt;"",R1500&lt;0),AND(S1500&lt;&gt;"",S1500&lt;0)),"EXPIRED",IF(OR(AND(R1500&lt;&gt;"",R1500&lt;=Settings!$B$15),AND(S1500&lt;&gt;"",S1500&lt;=Settings!$B$15)),"EXPIRING SOON","OK")))</f>
        <v/>
      </c>
      <c r="U1500" s="24" t="str">
        <f aca="false">IF(AND(C1500="Own",Q1500="Active"),COUNTIFS($C$5:C1500,"Own",$Q$5:Q1500,"Active"),"")</f>
        <v/>
      </c>
      <c r="V1500" s="26" t="str">
        <f aca="false">IF(C1500&lt;&gt;"Own","",IF(K1500="Hourly",N1500,(L1500+M1500)/(Settings!$B$11*Settings!$B$12)))</f>
        <v/>
      </c>
    </row>
    <row r="1501" customFormat="false" ht="15" hidden="false" customHeight="false" outlineLevel="0" collapsed="false">
      <c r="R1501" s="25" t="str">
        <f aca="true">IF(I1501="","",I1501-TODAY())</f>
        <v/>
      </c>
      <c r="S1501" s="25" t="str">
        <f aca="true">IF(J1501="","",J1501-TODAY())</f>
        <v/>
      </c>
      <c r="T1501" s="24" t="str">
        <f aca="false">IF(A1501="","",IF(OR(AND(R1501&lt;&gt;"",R1501&lt;0),AND(S1501&lt;&gt;"",S1501&lt;0)),"EXPIRED",IF(OR(AND(R1501&lt;&gt;"",R1501&lt;=Settings!$B$15),AND(S1501&lt;&gt;"",S1501&lt;=Settings!$B$15)),"EXPIRING SOON","OK")))</f>
        <v/>
      </c>
      <c r="U1501" s="24" t="str">
        <f aca="false">IF(AND(C1501="Own",Q1501="Active"),COUNTIFS($C$5:C1501,"Own",$Q$5:Q1501,"Active"),"")</f>
        <v/>
      </c>
      <c r="V1501" s="26" t="str">
        <f aca="false">IF(C1501&lt;&gt;"Own","",IF(K1501="Hourly",N1501,(L1501+M1501)/(Settings!$B$11*Settings!$B$12)))</f>
        <v/>
      </c>
    </row>
    <row r="1502" customFormat="false" ht="15" hidden="false" customHeight="false" outlineLevel="0" collapsed="false">
      <c r="R1502" s="25" t="str">
        <f aca="true">IF(I1502="","",I1502-TODAY())</f>
        <v/>
      </c>
      <c r="S1502" s="25" t="str">
        <f aca="true">IF(J1502="","",J1502-TODAY())</f>
        <v/>
      </c>
      <c r="T1502" s="24" t="str">
        <f aca="false">IF(A1502="","",IF(OR(AND(R1502&lt;&gt;"",R1502&lt;0),AND(S1502&lt;&gt;"",S1502&lt;0)),"EXPIRED",IF(OR(AND(R1502&lt;&gt;"",R1502&lt;=Settings!$B$15),AND(S1502&lt;&gt;"",S1502&lt;=Settings!$B$15)),"EXPIRING SOON","OK")))</f>
        <v/>
      </c>
      <c r="U1502" s="24" t="str">
        <f aca="false">IF(AND(C1502="Own",Q1502="Active"),COUNTIFS($C$5:C1502,"Own",$Q$5:Q1502,"Active"),"")</f>
        <v/>
      </c>
      <c r="V1502" s="26" t="str">
        <f aca="false">IF(C1502&lt;&gt;"Own","",IF(K1502="Hourly",N1502,(L1502+M1502)/(Settings!$B$11*Settings!$B$12)))</f>
        <v/>
      </c>
    </row>
    <row r="1503" customFormat="false" ht="15" hidden="false" customHeight="false" outlineLevel="0" collapsed="false">
      <c r="R1503" s="25" t="str">
        <f aca="true">IF(I1503="","",I1503-TODAY())</f>
        <v/>
      </c>
      <c r="S1503" s="25" t="str">
        <f aca="true">IF(J1503="","",J1503-TODAY())</f>
        <v/>
      </c>
      <c r="T1503" s="24" t="str">
        <f aca="false">IF(A1503="","",IF(OR(AND(R1503&lt;&gt;"",R1503&lt;0),AND(S1503&lt;&gt;"",S1503&lt;0)),"EXPIRED",IF(OR(AND(R1503&lt;&gt;"",R1503&lt;=Settings!$B$15),AND(S1503&lt;&gt;"",S1503&lt;=Settings!$B$15)),"EXPIRING SOON","OK")))</f>
        <v/>
      </c>
      <c r="U1503" s="24" t="str">
        <f aca="false">IF(AND(C1503="Own",Q1503="Active"),COUNTIFS($C$5:C1503,"Own",$Q$5:Q1503,"Active"),"")</f>
        <v/>
      </c>
      <c r="V1503" s="26" t="str">
        <f aca="false">IF(C1503&lt;&gt;"Own","",IF(K1503="Hourly",N1503,(L1503+M1503)/(Settings!$B$11*Settings!$B$12)))</f>
        <v/>
      </c>
    </row>
    <row r="1504" customFormat="false" ht="15" hidden="false" customHeight="false" outlineLevel="0" collapsed="false">
      <c r="R1504" s="25" t="str">
        <f aca="true">IF(I1504="","",I1504-TODAY())</f>
        <v/>
      </c>
      <c r="S1504" s="25" t="str">
        <f aca="true">IF(J1504="","",J1504-TODAY())</f>
        <v/>
      </c>
      <c r="T1504" s="24" t="str">
        <f aca="false">IF(A1504="","",IF(OR(AND(R1504&lt;&gt;"",R1504&lt;0),AND(S1504&lt;&gt;"",S1504&lt;0)),"EXPIRED",IF(OR(AND(R1504&lt;&gt;"",R1504&lt;=Settings!$B$15),AND(S1504&lt;&gt;"",S1504&lt;=Settings!$B$15)),"EXPIRING SOON","OK")))</f>
        <v/>
      </c>
      <c r="U1504" s="24" t="str">
        <f aca="false">IF(AND(C1504="Own",Q1504="Active"),COUNTIFS($C$5:C1504,"Own",$Q$5:Q1504,"Active"),"")</f>
        <v/>
      </c>
      <c r="V1504" s="26" t="str">
        <f aca="false">IF(C1504&lt;&gt;"Own","",IF(K1504="Hourly",N1504,(L1504+M1504)/(Settings!$B$11*Settings!$B$12)))</f>
        <v/>
      </c>
    </row>
    <row r="1505" customFormat="false" ht="15" hidden="false" customHeight="false" outlineLevel="0" collapsed="false">
      <c r="R1505" s="25" t="str">
        <f aca="true">IF(I1505="","",I1505-TODAY())</f>
        <v/>
      </c>
      <c r="S1505" s="25" t="str">
        <f aca="true">IF(J1505="","",J1505-TODAY())</f>
        <v/>
      </c>
      <c r="T1505" s="24" t="str">
        <f aca="false">IF(A1505="","",IF(OR(AND(R1505&lt;&gt;"",R1505&lt;0),AND(S1505&lt;&gt;"",S1505&lt;0)),"EXPIRED",IF(OR(AND(R1505&lt;&gt;"",R1505&lt;=Settings!$B$15),AND(S1505&lt;&gt;"",S1505&lt;=Settings!$B$15)),"EXPIRING SOON","OK")))</f>
        <v/>
      </c>
      <c r="U1505" s="24" t="str">
        <f aca="false">IF(AND(C1505="Own",Q1505="Active"),COUNTIFS($C$5:C1505,"Own",$Q$5:Q1505,"Active"),"")</f>
        <v/>
      </c>
      <c r="V1505" s="26" t="str">
        <f aca="false">IF(C1505&lt;&gt;"Own","",IF(K1505="Hourly",N1505,(L1505+M1505)/(Settings!$B$11*Settings!$B$12)))</f>
        <v/>
      </c>
    </row>
    <row r="1506" customFormat="false" ht="15" hidden="false" customHeight="false" outlineLevel="0" collapsed="false">
      <c r="R1506" s="25" t="str">
        <f aca="true">IF(I1506="","",I1506-TODAY())</f>
        <v/>
      </c>
      <c r="S1506" s="25" t="str">
        <f aca="true">IF(J1506="","",J1506-TODAY())</f>
        <v/>
      </c>
      <c r="T1506" s="24" t="str">
        <f aca="false">IF(A1506="","",IF(OR(AND(R1506&lt;&gt;"",R1506&lt;0),AND(S1506&lt;&gt;"",S1506&lt;0)),"EXPIRED",IF(OR(AND(R1506&lt;&gt;"",R1506&lt;=Settings!$B$15),AND(S1506&lt;&gt;"",S1506&lt;=Settings!$B$15)),"EXPIRING SOON","OK")))</f>
        <v/>
      </c>
      <c r="U1506" s="24" t="str">
        <f aca="false">IF(AND(C1506="Own",Q1506="Active"),COUNTIFS($C$5:C1506,"Own",$Q$5:Q1506,"Active"),"")</f>
        <v/>
      </c>
      <c r="V1506" s="26" t="str">
        <f aca="false">IF(C1506&lt;&gt;"Own","",IF(K1506="Hourly",N1506,(L1506+M1506)/(Settings!$B$11*Settings!$B$12)))</f>
        <v/>
      </c>
    </row>
    <row r="1507" customFormat="false" ht="15" hidden="false" customHeight="false" outlineLevel="0" collapsed="false">
      <c r="R1507" s="25" t="str">
        <f aca="true">IF(I1507="","",I1507-TODAY())</f>
        <v/>
      </c>
      <c r="S1507" s="25" t="str">
        <f aca="true">IF(J1507="","",J1507-TODAY())</f>
        <v/>
      </c>
      <c r="T1507" s="24" t="str">
        <f aca="false">IF(A1507="","",IF(OR(AND(R1507&lt;&gt;"",R1507&lt;0),AND(S1507&lt;&gt;"",S1507&lt;0)),"EXPIRED",IF(OR(AND(R1507&lt;&gt;"",R1507&lt;=Settings!$B$15),AND(S1507&lt;&gt;"",S1507&lt;=Settings!$B$15)),"EXPIRING SOON","OK")))</f>
        <v/>
      </c>
      <c r="U1507" s="24" t="str">
        <f aca="false">IF(AND(C1507="Own",Q1507="Active"),COUNTIFS($C$5:C1507,"Own",$Q$5:Q1507,"Active"),"")</f>
        <v/>
      </c>
      <c r="V1507" s="26" t="str">
        <f aca="false">IF(C1507&lt;&gt;"Own","",IF(K1507="Hourly",N1507,(L1507+M1507)/(Settings!$B$11*Settings!$B$12)))</f>
        <v/>
      </c>
    </row>
    <row r="1508" customFormat="false" ht="15" hidden="false" customHeight="false" outlineLevel="0" collapsed="false">
      <c r="R1508" s="25" t="str">
        <f aca="true">IF(I1508="","",I1508-TODAY())</f>
        <v/>
      </c>
      <c r="S1508" s="25" t="str">
        <f aca="true">IF(J1508="","",J1508-TODAY())</f>
        <v/>
      </c>
      <c r="T1508" s="24" t="str">
        <f aca="false">IF(A1508="","",IF(OR(AND(R1508&lt;&gt;"",R1508&lt;0),AND(S1508&lt;&gt;"",S1508&lt;0)),"EXPIRED",IF(OR(AND(R1508&lt;&gt;"",R1508&lt;=Settings!$B$15),AND(S1508&lt;&gt;"",S1508&lt;=Settings!$B$15)),"EXPIRING SOON","OK")))</f>
        <v/>
      </c>
      <c r="U1508" s="24" t="str">
        <f aca="false">IF(AND(C1508="Own",Q1508="Active"),COUNTIFS($C$5:C1508,"Own",$Q$5:Q1508,"Active"),"")</f>
        <v/>
      </c>
      <c r="V1508" s="26" t="str">
        <f aca="false">IF(C1508&lt;&gt;"Own","",IF(K1508="Hourly",N1508,(L1508+M1508)/(Settings!$B$11*Settings!$B$12)))</f>
        <v/>
      </c>
    </row>
    <row r="1509" customFormat="false" ht="15" hidden="false" customHeight="false" outlineLevel="0" collapsed="false">
      <c r="R1509" s="25" t="str">
        <f aca="true">IF(I1509="","",I1509-TODAY())</f>
        <v/>
      </c>
      <c r="S1509" s="25" t="str">
        <f aca="true">IF(J1509="","",J1509-TODAY())</f>
        <v/>
      </c>
      <c r="T1509" s="24" t="str">
        <f aca="false">IF(A1509="","",IF(OR(AND(R1509&lt;&gt;"",R1509&lt;0),AND(S1509&lt;&gt;"",S1509&lt;0)),"EXPIRED",IF(OR(AND(R1509&lt;&gt;"",R1509&lt;=Settings!$B$15),AND(S1509&lt;&gt;"",S1509&lt;=Settings!$B$15)),"EXPIRING SOON","OK")))</f>
        <v/>
      </c>
      <c r="U1509" s="24" t="str">
        <f aca="false">IF(AND(C1509="Own",Q1509="Active"),COUNTIFS($C$5:C1509,"Own",$Q$5:Q1509,"Active"),"")</f>
        <v/>
      </c>
      <c r="V1509" s="26" t="str">
        <f aca="false">IF(C1509&lt;&gt;"Own","",IF(K1509="Hourly",N1509,(L1509+M1509)/(Settings!$B$11*Settings!$B$12)))</f>
        <v/>
      </c>
    </row>
    <row r="1510" customFormat="false" ht="15" hidden="false" customHeight="false" outlineLevel="0" collapsed="false">
      <c r="R1510" s="25" t="str">
        <f aca="true">IF(I1510="","",I1510-TODAY())</f>
        <v/>
      </c>
      <c r="S1510" s="25" t="str">
        <f aca="true">IF(J1510="","",J1510-TODAY())</f>
        <v/>
      </c>
      <c r="T1510" s="24" t="str">
        <f aca="false">IF(A1510="","",IF(OR(AND(R1510&lt;&gt;"",R1510&lt;0),AND(S1510&lt;&gt;"",S1510&lt;0)),"EXPIRED",IF(OR(AND(R1510&lt;&gt;"",R1510&lt;=Settings!$B$15),AND(S1510&lt;&gt;"",S1510&lt;=Settings!$B$15)),"EXPIRING SOON","OK")))</f>
        <v/>
      </c>
      <c r="U1510" s="24" t="str">
        <f aca="false">IF(AND(C1510="Own",Q1510="Active"),COUNTIFS($C$5:C1510,"Own",$Q$5:Q1510,"Active"),"")</f>
        <v/>
      </c>
      <c r="V1510" s="26" t="str">
        <f aca="false">IF(C1510&lt;&gt;"Own","",IF(K1510="Hourly",N1510,(L1510+M1510)/(Settings!$B$11*Settings!$B$12)))</f>
        <v/>
      </c>
    </row>
    <row r="1511" customFormat="false" ht="15" hidden="false" customHeight="false" outlineLevel="0" collapsed="false">
      <c r="R1511" s="25" t="str">
        <f aca="true">IF(I1511="","",I1511-TODAY())</f>
        <v/>
      </c>
      <c r="S1511" s="25" t="str">
        <f aca="true">IF(J1511="","",J1511-TODAY())</f>
        <v/>
      </c>
      <c r="T1511" s="24" t="str">
        <f aca="false">IF(A1511="","",IF(OR(AND(R1511&lt;&gt;"",R1511&lt;0),AND(S1511&lt;&gt;"",S1511&lt;0)),"EXPIRED",IF(OR(AND(R1511&lt;&gt;"",R1511&lt;=Settings!$B$15),AND(S1511&lt;&gt;"",S1511&lt;=Settings!$B$15)),"EXPIRING SOON","OK")))</f>
        <v/>
      </c>
      <c r="U1511" s="24" t="str">
        <f aca="false">IF(AND(C1511="Own",Q1511="Active"),COUNTIFS($C$5:C1511,"Own",$Q$5:Q1511,"Active"),"")</f>
        <v/>
      </c>
      <c r="V1511" s="26" t="str">
        <f aca="false">IF(C1511&lt;&gt;"Own","",IF(K1511="Hourly",N1511,(L1511+M1511)/(Settings!$B$11*Settings!$B$12)))</f>
        <v/>
      </c>
    </row>
    <row r="1512" customFormat="false" ht="15" hidden="false" customHeight="false" outlineLevel="0" collapsed="false">
      <c r="R1512" s="25" t="str">
        <f aca="true">IF(I1512="","",I1512-TODAY())</f>
        <v/>
      </c>
      <c r="S1512" s="25" t="str">
        <f aca="true">IF(J1512="","",J1512-TODAY())</f>
        <v/>
      </c>
      <c r="T1512" s="24" t="str">
        <f aca="false">IF(A1512="","",IF(OR(AND(R1512&lt;&gt;"",R1512&lt;0),AND(S1512&lt;&gt;"",S1512&lt;0)),"EXPIRED",IF(OR(AND(R1512&lt;&gt;"",R1512&lt;=Settings!$B$15),AND(S1512&lt;&gt;"",S1512&lt;=Settings!$B$15)),"EXPIRING SOON","OK")))</f>
        <v/>
      </c>
      <c r="U1512" s="24" t="str">
        <f aca="false">IF(AND(C1512="Own",Q1512="Active"),COUNTIFS($C$5:C1512,"Own",$Q$5:Q1512,"Active"),"")</f>
        <v/>
      </c>
      <c r="V1512" s="26" t="str">
        <f aca="false">IF(C1512&lt;&gt;"Own","",IF(K1512="Hourly",N1512,(L1512+M1512)/(Settings!$B$11*Settings!$B$12)))</f>
        <v/>
      </c>
    </row>
    <row r="1513" customFormat="false" ht="15" hidden="false" customHeight="false" outlineLevel="0" collapsed="false">
      <c r="R1513" s="25" t="str">
        <f aca="true">IF(I1513="","",I1513-TODAY())</f>
        <v/>
      </c>
      <c r="S1513" s="25" t="str">
        <f aca="true">IF(J1513="","",J1513-TODAY())</f>
        <v/>
      </c>
      <c r="T1513" s="24" t="str">
        <f aca="false">IF(A1513="","",IF(OR(AND(R1513&lt;&gt;"",R1513&lt;0),AND(S1513&lt;&gt;"",S1513&lt;0)),"EXPIRED",IF(OR(AND(R1513&lt;&gt;"",R1513&lt;=Settings!$B$15),AND(S1513&lt;&gt;"",S1513&lt;=Settings!$B$15)),"EXPIRING SOON","OK")))</f>
        <v/>
      </c>
      <c r="U1513" s="24" t="str">
        <f aca="false">IF(AND(C1513="Own",Q1513="Active"),COUNTIFS($C$5:C1513,"Own",$Q$5:Q1513,"Active"),"")</f>
        <v/>
      </c>
      <c r="V1513" s="26" t="str">
        <f aca="false">IF(C1513&lt;&gt;"Own","",IF(K1513="Hourly",N1513,(L1513+M1513)/(Settings!$B$11*Settings!$B$12)))</f>
        <v/>
      </c>
    </row>
    <row r="1514" customFormat="false" ht="15" hidden="false" customHeight="false" outlineLevel="0" collapsed="false">
      <c r="R1514" s="25" t="str">
        <f aca="true">IF(I1514="","",I1514-TODAY())</f>
        <v/>
      </c>
      <c r="S1514" s="25" t="str">
        <f aca="true">IF(J1514="","",J1514-TODAY())</f>
        <v/>
      </c>
      <c r="T1514" s="24" t="str">
        <f aca="false">IF(A1514="","",IF(OR(AND(R1514&lt;&gt;"",R1514&lt;0),AND(S1514&lt;&gt;"",S1514&lt;0)),"EXPIRED",IF(OR(AND(R1514&lt;&gt;"",R1514&lt;=Settings!$B$15),AND(S1514&lt;&gt;"",S1514&lt;=Settings!$B$15)),"EXPIRING SOON","OK")))</f>
        <v/>
      </c>
      <c r="U1514" s="24" t="str">
        <f aca="false">IF(AND(C1514="Own",Q1514="Active"),COUNTIFS($C$5:C1514,"Own",$Q$5:Q1514,"Active"),"")</f>
        <v/>
      </c>
      <c r="V1514" s="26" t="str">
        <f aca="false">IF(C1514&lt;&gt;"Own","",IF(K1514="Hourly",N1514,(L1514+M1514)/(Settings!$B$11*Settings!$B$12)))</f>
        <v/>
      </c>
    </row>
    <row r="1515" customFormat="false" ht="15" hidden="false" customHeight="false" outlineLevel="0" collapsed="false">
      <c r="R1515" s="25" t="str">
        <f aca="true">IF(I1515="","",I1515-TODAY())</f>
        <v/>
      </c>
      <c r="S1515" s="25" t="str">
        <f aca="true">IF(J1515="","",J1515-TODAY())</f>
        <v/>
      </c>
      <c r="T1515" s="24" t="str">
        <f aca="false">IF(A1515="","",IF(OR(AND(R1515&lt;&gt;"",R1515&lt;0),AND(S1515&lt;&gt;"",S1515&lt;0)),"EXPIRED",IF(OR(AND(R1515&lt;&gt;"",R1515&lt;=Settings!$B$15),AND(S1515&lt;&gt;"",S1515&lt;=Settings!$B$15)),"EXPIRING SOON","OK")))</f>
        <v/>
      </c>
      <c r="U1515" s="24" t="str">
        <f aca="false">IF(AND(C1515="Own",Q1515="Active"),COUNTIFS($C$5:C1515,"Own",$Q$5:Q1515,"Active"),"")</f>
        <v/>
      </c>
      <c r="V1515" s="26" t="str">
        <f aca="false">IF(C1515&lt;&gt;"Own","",IF(K1515="Hourly",N1515,(L1515+M1515)/(Settings!$B$11*Settings!$B$12)))</f>
        <v/>
      </c>
    </row>
    <row r="1516" customFormat="false" ht="15" hidden="false" customHeight="false" outlineLevel="0" collapsed="false">
      <c r="R1516" s="25" t="str">
        <f aca="true">IF(I1516="","",I1516-TODAY())</f>
        <v/>
      </c>
      <c r="S1516" s="25" t="str">
        <f aca="true">IF(J1516="","",J1516-TODAY())</f>
        <v/>
      </c>
      <c r="T1516" s="24" t="str">
        <f aca="false">IF(A1516="","",IF(OR(AND(R1516&lt;&gt;"",R1516&lt;0),AND(S1516&lt;&gt;"",S1516&lt;0)),"EXPIRED",IF(OR(AND(R1516&lt;&gt;"",R1516&lt;=Settings!$B$15),AND(S1516&lt;&gt;"",S1516&lt;=Settings!$B$15)),"EXPIRING SOON","OK")))</f>
        <v/>
      </c>
      <c r="U1516" s="24" t="str">
        <f aca="false">IF(AND(C1516="Own",Q1516="Active"),COUNTIFS($C$5:C1516,"Own",$Q$5:Q1516,"Active"),"")</f>
        <v/>
      </c>
      <c r="V1516" s="26" t="str">
        <f aca="false">IF(C1516&lt;&gt;"Own","",IF(K1516="Hourly",N1516,(L1516+M1516)/(Settings!$B$11*Settings!$B$12)))</f>
        <v/>
      </c>
    </row>
    <row r="1517" customFormat="false" ht="15" hidden="false" customHeight="false" outlineLevel="0" collapsed="false">
      <c r="R1517" s="25" t="str">
        <f aca="true">IF(I1517="","",I1517-TODAY())</f>
        <v/>
      </c>
      <c r="S1517" s="25" t="str">
        <f aca="true">IF(J1517="","",J1517-TODAY())</f>
        <v/>
      </c>
      <c r="T1517" s="24" t="str">
        <f aca="false">IF(A1517="","",IF(OR(AND(R1517&lt;&gt;"",R1517&lt;0),AND(S1517&lt;&gt;"",S1517&lt;0)),"EXPIRED",IF(OR(AND(R1517&lt;&gt;"",R1517&lt;=Settings!$B$15),AND(S1517&lt;&gt;"",S1517&lt;=Settings!$B$15)),"EXPIRING SOON","OK")))</f>
        <v/>
      </c>
      <c r="U1517" s="24" t="str">
        <f aca="false">IF(AND(C1517="Own",Q1517="Active"),COUNTIFS($C$5:C1517,"Own",$Q$5:Q1517,"Active"),"")</f>
        <v/>
      </c>
      <c r="V1517" s="26" t="str">
        <f aca="false">IF(C1517&lt;&gt;"Own","",IF(K1517="Hourly",N1517,(L1517+M1517)/(Settings!$B$11*Settings!$B$12)))</f>
        <v/>
      </c>
    </row>
    <row r="1518" customFormat="false" ht="15" hidden="false" customHeight="false" outlineLevel="0" collapsed="false">
      <c r="R1518" s="25" t="str">
        <f aca="true">IF(I1518="","",I1518-TODAY())</f>
        <v/>
      </c>
      <c r="S1518" s="25" t="str">
        <f aca="true">IF(J1518="","",J1518-TODAY())</f>
        <v/>
      </c>
      <c r="T1518" s="24" t="str">
        <f aca="false">IF(A1518="","",IF(OR(AND(R1518&lt;&gt;"",R1518&lt;0),AND(S1518&lt;&gt;"",S1518&lt;0)),"EXPIRED",IF(OR(AND(R1518&lt;&gt;"",R1518&lt;=Settings!$B$15),AND(S1518&lt;&gt;"",S1518&lt;=Settings!$B$15)),"EXPIRING SOON","OK")))</f>
        <v/>
      </c>
      <c r="U1518" s="24" t="str">
        <f aca="false">IF(AND(C1518="Own",Q1518="Active"),COUNTIFS($C$5:C1518,"Own",$Q$5:Q1518,"Active"),"")</f>
        <v/>
      </c>
      <c r="V1518" s="26" t="str">
        <f aca="false">IF(C1518&lt;&gt;"Own","",IF(K1518="Hourly",N1518,(L1518+M1518)/(Settings!$B$11*Settings!$B$12)))</f>
        <v/>
      </c>
    </row>
    <row r="1519" customFormat="false" ht="15" hidden="false" customHeight="false" outlineLevel="0" collapsed="false">
      <c r="R1519" s="25" t="str">
        <f aca="true">IF(I1519="","",I1519-TODAY())</f>
        <v/>
      </c>
      <c r="S1519" s="25" t="str">
        <f aca="true">IF(J1519="","",J1519-TODAY())</f>
        <v/>
      </c>
      <c r="T1519" s="24" t="str">
        <f aca="false">IF(A1519="","",IF(OR(AND(R1519&lt;&gt;"",R1519&lt;0),AND(S1519&lt;&gt;"",S1519&lt;0)),"EXPIRED",IF(OR(AND(R1519&lt;&gt;"",R1519&lt;=Settings!$B$15),AND(S1519&lt;&gt;"",S1519&lt;=Settings!$B$15)),"EXPIRING SOON","OK")))</f>
        <v/>
      </c>
      <c r="U1519" s="24" t="str">
        <f aca="false">IF(AND(C1519="Own",Q1519="Active"),COUNTIFS($C$5:C1519,"Own",$Q$5:Q1519,"Active"),"")</f>
        <v/>
      </c>
      <c r="V1519" s="26" t="str">
        <f aca="false">IF(C1519&lt;&gt;"Own","",IF(K1519="Hourly",N1519,(L1519+M1519)/(Settings!$B$11*Settings!$B$12)))</f>
        <v/>
      </c>
    </row>
    <row r="1520" customFormat="false" ht="15" hidden="false" customHeight="false" outlineLevel="0" collapsed="false">
      <c r="R1520" s="25" t="str">
        <f aca="true">IF(I1520="","",I1520-TODAY())</f>
        <v/>
      </c>
      <c r="S1520" s="25" t="str">
        <f aca="true">IF(J1520="","",J1520-TODAY())</f>
        <v/>
      </c>
      <c r="T1520" s="24" t="str">
        <f aca="false">IF(A1520="","",IF(OR(AND(R1520&lt;&gt;"",R1520&lt;0),AND(S1520&lt;&gt;"",S1520&lt;0)),"EXPIRED",IF(OR(AND(R1520&lt;&gt;"",R1520&lt;=Settings!$B$15),AND(S1520&lt;&gt;"",S1520&lt;=Settings!$B$15)),"EXPIRING SOON","OK")))</f>
        <v/>
      </c>
      <c r="U1520" s="24" t="str">
        <f aca="false">IF(AND(C1520="Own",Q1520="Active"),COUNTIFS($C$5:C1520,"Own",$Q$5:Q1520,"Active"),"")</f>
        <v/>
      </c>
      <c r="V1520" s="26" t="str">
        <f aca="false">IF(C1520&lt;&gt;"Own","",IF(K1520="Hourly",N1520,(L1520+M1520)/(Settings!$B$11*Settings!$B$12)))</f>
        <v/>
      </c>
    </row>
    <row r="1521" customFormat="false" ht="15" hidden="false" customHeight="false" outlineLevel="0" collapsed="false">
      <c r="R1521" s="25" t="str">
        <f aca="true">IF(I1521="","",I1521-TODAY())</f>
        <v/>
      </c>
      <c r="S1521" s="25" t="str">
        <f aca="true">IF(J1521="","",J1521-TODAY())</f>
        <v/>
      </c>
      <c r="T1521" s="24" t="str">
        <f aca="false">IF(A1521="","",IF(OR(AND(R1521&lt;&gt;"",R1521&lt;0),AND(S1521&lt;&gt;"",S1521&lt;0)),"EXPIRED",IF(OR(AND(R1521&lt;&gt;"",R1521&lt;=Settings!$B$15),AND(S1521&lt;&gt;"",S1521&lt;=Settings!$B$15)),"EXPIRING SOON","OK")))</f>
        <v/>
      </c>
      <c r="U1521" s="24" t="str">
        <f aca="false">IF(AND(C1521="Own",Q1521="Active"),COUNTIFS($C$5:C1521,"Own",$Q$5:Q1521,"Active"),"")</f>
        <v/>
      </c>
      <c r="V1521" s="26" t="str">
        <f aca="false">IF(C1521&lt;&gt;"Own","",IF(K1521="Hourly",N1521,(L1521+M1521)/(Settings!$B$11*Settings!$B$12)))</f>
        <v/>
      </c>
    </row>
    <row r="1522" customFormat="false" ht="15" hidden="false" customHeight="false" outlineLevel="0" collapsed="false">
      <c r="R1522" s="25" t="str">
        <f aca="true">IF(I1522="","",I1522-TODAY())</f>
        <v/>
      </c>
      <c r="S1522" s="25" t="str">
        <f aca="true">IF(J1522="","",J1522-TODAY())</f>
        <v/>
      </c>
      <c r="T1522" s="24" t="str">
        <f aca="false">IF(A1522="","",IF(OR(AND(R1522&lt;&gt;"",R1522&lt;0),AND(S1522&lt;&gt;"",S1522&lt;0)),"EXPIRED",IF(OR(AND(R1522&lt;&gt;"",R1522&lt;=Settings!$B$15),AND(S1522&lt;&gt;"",S1522&lt;=Settings!$B$15)),"EXPIRING SOON","OK")))</f>
        <v/>
      </c>
      <c r="U1522" s="24" t="str">
        <f aca="false">IF(AND(C1522="Own",Q1522="Active"),COUNTIFS($C$5:C1522,"Own",$Q$5:Q1522,"Active"),"")</f>
        <v/>
      </c>
      <c r="V1522" s="26" t="str">
        <f aca="false">IF(C1522&lt;&gt;"Own","",IF(K1522="Hourly",N1522,(L1522+M1522)/(Settings!$B$11*Settings!$B$12)))</f>
        <v/>
      </c>
    </row>
    <row r="1523" customFormat="false" ht="15" hidden="false" customHeight="false" outlineLevel="0" collapsed="false">
      <c r="R1523" s="25" t="str">
        <f aca="true">IF(I1523="","",I1523-TODAY())</f>
        <v/>
      </c>
      <c r="S1523" s="25" t="str">
        <f aca="true">IF(J1523="","",J1523-TODAY())</f>
        <v/>
      </c>
      <c r="T1523" s="24" t="str">
        <f aca="false">IF(A1523="","",IF(OR(AND(R1523&lt;&gt;"",R1523&lt;0),AND(S1523&lt;&gt;"",S1523&lt;0)),"EXPIRED",IF(OR(AND(R1523&lt;&gt;"",R1523&lt;=Settings!$B$15),AND(S1523&lt;&gt;"",S1523&lt;=Settings!$B$15)),"EXPIRING SOON","OK")))</f>
        <v/>
      </c>
      <c r="U1523" s="24" t="str">
        <f aca="false">IF(AND(C1523="Own",Q1523="Active"),COUNTIFS($C$5:C1523,"Own",$Q$5:Q1523,"Active"),"")</f>
        <v/>
      </c>
      <c r="V1523" s="26" t="str">
        <f aca="false">IF(C1523&lt;&gt;"Own","",IF(K1523="Hourly",N1523,(L1523+M1523)/(Settings!$B$11*Settings!$B$12)))</f>
        <v/>
      </c>
    </row>
    <row r="1524" customFormat="false" ht="15" hidden="false" customHeight="false" outlineLevel="0" collapsed="false">
      <c r="R1524" s="25" t="str">
        <f aca="true">IF(I1524="","",I1524-TODAY())</f>
        <v/>
      </c>
      <c r="S1524" s="25" t="str">
        <f aca="true">IF(J1524="","",J1524-TODAY())</f>
        <v/>
      </c>
      <c r="T1524" s="24" t="str">
        <f aca="false">IF(A1524="","",IF(OR(AND(R1524&lt;&gt;"",R1524&lt;0),AND(S1524&lt;&gt;"",S1524&lt;0)),"EXPIRED",IF(OR(AND(R1524&lt;&gt;"",R1524&lt;=Settings!$B$15),AND(S1524&lt;&gt;"",S1524&lt;=Settings!$B$15)),"EXPIRING SOON","OK")))</f>
        <v/>
      </c>
      <c r="U1524" s="24" t="str">
        <f aca="false">IF(AND(C1524="Own",Q1524="Active"),COUNTIFS($C$5:C1524,"Own",$Q$5:Q1524,"Active"),"")</f>
        <v/>
      </c>
      <c r="V1524" s="26" t="str">
        <f aca="false">IF(C1524&lt;&gt;"Own","",IF(K1524="Hourly",N1524,(L1524+M1524)/(Settings!$B$11*Settings!$B$12)))</f>
        <v/>
      </c>
    </row>
    <row r="1525" customFormat="false" ht="15" hidden="false" customHeight="false" outlineLevel="0" collapsed="false">
      <c r="R1525" s="25" t="str">
        <f aca="true">IF(I1525="","",I1525-TODAY())</f>
        <v/>
      </c>
      <c r="S1525" s="25" t="str">
        <f aca="true">IF(J1525="","",J1525-TODAY())</f>
        <v/>
      </c>
      <c r="T1525" s="24" t="str">
        <f aca="false">IF(A1525="","",IF(OR(AND(R1525&lt;&gt;"",R1525&lt;0),AND(S1525&lt;&gt;"",S1525&lt;0)),"EXPIRED",IF(OR(AND(R1525&lt;&gt;"",R1525&lt;=Settings!$B$15),AND(S1525&lt;&gt;"",S1525&lt;=Settings!$B$15)),"EXPIRING SOON","OK")))</f>
        <v/>
      </c>
      <c r="U1525" s="24" t="str">
        <f aca="false">IF(AND(C1525="Own",Q1525="Active"),COUNTIFS($C$5:C1525,"Own",$Q$5:Q1525,"Active"),"")</f>
        <v/>
      </c>
      <c r="V1525" s="26" t="str">
        <f aca="false">IF(C1525&lt;&gt;"Own","",IF(K1525="Hourly",N1525,(L1525+M1525)/(Settings!$B$11*Settings!$B$12)))</f>
        <v/>
      </c>
    </row>
    <row r="1526" customFormat="false" ht="15" hidden="false" customHeight="false" outlineLevel="0" collapsed="false">
      <c r="R1526" s="25" t="str">
        <f aca="true">IF(I1526="","",I1526-TODAY())</f>
        <v/>
      </c>
      <c r="S1526" s="25" t="str">
        <f aca="true">IF(J1526="","",J1526-TODAY())</f>
        <v/>
      </c>
      <c r="T1526" s="24" t="str">
        <f aca="false">IF(A1526="","",IF(OR(AND(R1526&lt;&gt;"",R1526&lt;0),AND(S1526&lt;&gt;"",S1526&lt;0)),"EXPIRED",IF(OR(AND(R1526&lt;&gt;"",R1526&lt;=Settings!$B$15),AND(S1526&lt;&gt;"",S1526&lt;=Settings!$B$15)),"EXPIRING SOON","OK")))</f>
        <v/>
      </c>
      <c r="U1526" s="24" t="str">
        <f aca="false">IF(AND(C1526="Own",Q1526="Active"),COUNTIFS($C$5:C1526,"Own",$Q$5:Q1526,"Active"),"")</f>
        <v/>
      </c>
      <c r="V1526" s="26" t="str">
        <f aca="false">IF(C1526&lt;&gt;"Own","",IF(K1526="Hourly",N1526,(L1526+M1526)/(Settings!$B$11*Settings!$B$12)))</f>
        <v/>
      </c>
    </row>
    <row r="1527" customFormat="false" ht="15" hidden="false" customHeight="false" outlineLevel="0" collapsed="false">
      <c r="R1527" s="25" t="str">
        <f aca="true">IF(I1527="","",I1527-TODAY())</f>
        <v/>
      </c>
      <c r="S1527" s="25" t="str">
        <f aca="true">IF(J1527="","",J1527-TODAY())</f>
        <v/>
      </c>
      <c r="T1527" s="24" t="str">
        <f aca="false">IF(A1527="","",IF(OR(AND(R1527&lt;&gt;"",R1527&lt;0),AND(S1527&lt;&gt;"",S1527&lt;0)),"EXPIRED",IF(OR(AND(R1527&lt;&gt;"",R1527&lt;=Settings!$B$15),AND(S1527&lt;&gt;"",S1527&lt;=Settings!$B$15)),"EXPIRING SOON","OK")))</f>
        <v/>
      </c>
      <c r="U1527" s="24" t="str">
        <f aca="false">IF(AND(C1527="Own",Q1527="Active"),COUNTIFS($C$5:C1527,"Own",$Q$5:Q1527,"Active"),"")</f>
        <v/>
      </c>
      <c r="V1527" s="26" t="str">
        <f aca="false">IF(C1527&lt;&gt;"Own","",IF(K1527="Hourly",N1527,(L1527+M1527)/(Settings!$B$11*Settings!$B$12)))</f>
        <v/>
      </c>
    </row>
    <row r="1528" customFormat="false" ht="15" hidden="false" customHeight="false" outlineLevel="0" collapsed="false">
      <c r="R1528" s="25" t="str">
        <f aca="true">IF(I1528="","",I1528-TODAY())</f>
        <v/>
      </c>
      <c r="S1528" s="25" t="str">
        <f aca="true">IF(J1528="","",J1528-TODAY())</f>
        <v/>
      </c>
      <c r="T1528" s="24" t="str">
        <f aca="false">IF(A1528="","",IF(OR(AND(R1528&lt;&gt;"",R1528&lt;0),AND(S1528&lt;&gt;"",S1528&lt;0)),"EXPIRED",IF(OR(AND(R1528&lt;&gt;"",R1528&lt;=Settings!$B$15),AND(S1528&lt;&gt;"",S1528&lt;=Settings!$B$15)),"EXPIRING SOON","OK")))</f>
        <v/>
      </c>
      <c r="U1528" s="24" t="str">
        <f aca="false">IF(AND(C1528="Own",Q1528="Active"),COUNTIFS($C$5:C1528,"Own",$Q$5:Q1528,"Active"),"")</f>
        <v/>
      </c>
      <c r="V1528" s="26" t="str">
        <f aca="false">IF(C1528&lt;&gt;"Own","",IF(K1528="Hourly",N1528,(L1528+M1528)/(Settings!$B$11*Settings!$B$12)))</f>
        <v/>
      </c>
    </row>
    <row r="1529" customFormat="false" ht="15" hidden="false" customHeight="false" outlineLevel="0" collapsed="false">
      <c r="R1529" s="25" t="str">
        <f aca="true">IF(I1529="","",I1529-TODAY())</f>
        <v/>
      </c>
      <c r="S1529" s="25" t="str">
        <f aca="true">IF(J1529="","",J1529-TODAY())</f>
        <v/>
      </c>
      <c r="T1529" s="24" t="str">
        <f aca="false">IF(A1529="","",IF(OR(AND(R1529&lt;&gt;"",R1529&lt;0),AND(S1529&lt;&gt;"",S1529&lt;0)),"EXPIRED",IF(OR(AND(R1529&lt;&gt;"",R1529&lt;=Settings!$B$15),AND(S1529&lt;&gt;"",S1529&lt;=Settings!$B$15)),"EXPIRING SOON","OK")))</f>
        <v/>
      </c>
      <c r="U1529" s="24" t="str">
        <f aca="false">IF(AND(C1529="Own",Q1529="Active"),COUNTIFS($C$5:C1529,"Own",$Q$5:Q1529,"Active"),"")</f>
        <v/>
      </c>
      <c r="V1529" s="26" t="str">
        <f aca="false">IF(C1529&lt;&gt;"Own","",IF(K1529="Hourly",N1529,(L1529+M1529)/(Settings!$B$11*Settings!$B$12)))</f>
        <v/>
      </c>
    </row>
    <row r="1530" customFormat="false" ht="15" hidden="false" customHeight="false" outlineLevel="0" collapsed="false">
      <c r="R1530" s="25" t="str">
        <f aca="true">IF(I1530="","",I1530-TODAY())</f>
        <v/>
      </c>
      <c r="S1530" s="25" t="str">
        <f aca="true">IF(J1530="","",J1530-TODAY())</f>
        <v/>
      </c>
      <c r="T1530" s="24" t="str">
        <f aca="false">IF(A1530="","",IF(OR(AND(R1530&lt;&gt;"",R1530&lt;0),AND(S1530&lt;&gt;"",S1530&lt;0)),"EXPIRED",IF(OR(AND(R1530&lt;&gt;"",R1530&lt;=Settings!$B$15),AND(S1530&lt;&gt;"",S1530&lt;=Settings!$B$15)),"EXPIRING SOON","OK")))</f>
        <v/>
      </c>
      <c r="U1530" s="24" t="str">
        <f aca="false">IF(AND(C1530="Own",Q1530="Active"),COUNTIFS($C$5:C1530,"Own",$Q$5:Q1530,"Active"),"")</f>
        <v/>
      </c>
      <c r="V1530" s="26" t="str">
        <f aca="false">IF(C1530&lt;&gt;"Own","",IF(K1530="Hourly",N1530,(L1530+M1530)/(Settings!$B$11*Settings!$B$12)))</f>
        <v/>
      </c>
    </row>
    <row r="1531" customFormat="false" ht="15" hidden="false" customHeight="false" outlineLevel="0" collapsed="false">
      <c r="R1531" s="25" t="str">
        <f aca="true">IF(I1531="","",I1531-TODAY())</f>
        <v/>
      </c>
      <c r="S1531" s="25" t="str">
        <f aca="true">IF(J1531="","",J1531-TODAY())</f>
        <v/>
      </c>
      <c r="T1531" s="24" t="str">
        <f aca="false">IF(A1531="","",IF(OR(AND(R1531&lt;&gt;"",R1531&lt;0),AND(S1531&lt;&gt;"",S1531&lt;0)),"EXPIRED",IF(OR(AND(R1531&lt;&gt;"",R1531&lt;=Settings!$B$15),AND(S1531&lt;&gt;"",S1531&lt;=Settings!$B$15)),"EXPIRING SOON","OK")))</f>
        <v/>
      </c>
      <c r="U1531" s="24" t="str">
        <f aca="false">IF(AND(C1531="Own",Q1531="Active"),COUNTIFS($C$5:C1531,"Own",$Q$5:Q1531,"Active"),"")</f>
        <v/>
      </c>
      <c r="V1531" s="26" t="str">
        <f aca="false">IF(C1531&lt;&gt;"Own","",IF(K1531="Hourly",N1531,(L1531+M1531)/(Settings!$B$11*Settings!$B$12)))</f>
        <v/>
      </c>
    </row>
    <row r="1532" customFormat="false" ht="15" hidden="false" customHeight="false" outlineLevel="0" collapsed="false">
      <c r="R1532" s="25" t="str">
        <f aca="true">IF(I1532="","",I1532-TODAY())</f>
        <v/>
      </c>
      <c r="S1532" s="25" t="str">
        <f aca="true">IF(J1532="","",J1532-TODAY())</f>
        <v/>
      </c>
      <c r="T1532" s="24" t="str">
        <f aca="false">IF(A1532="","",IF(OR(AND(R1532&lt;&gt;"",R1532&lt;0),AND(S1532&lt;&gt;"",S1532&lt;0)),"EXPIRED",IF(OR(AND(R1532&lt;&gt;"",R1532&lt;=Settings!$B$15),AND(S1532&lt;&gt;"",S1532&lt;=Settings!$B$15)),"EXPIRING SOON","OK")))</f>
        <v/>
      </c>
      <c r="U1532" s="24" t="str">
        <f aca="false">IF(AND(C1532="Own",Q1532="Active"),COUNTIFS($C$5:C1532,"Own",$Q$5:Q1532,"Active"),"")</f>
        <v/>
      </c>
      <c r="V1532" s="26" t="str">
        <f aca="false">IF(C1532&lt;&gt;"Own","",IF(K1532="Hourly",N1532,(L1532+M1532)/(Settings!$B$11*Settings!$B$12)))</f>
        <v/>
      </c>
    </row>
    <row r="1533" customFormat="false" ht="15" hidden="false" customHeight="false" outlineLevel="0" collapsed="false">
      <c r="R1533" s="25" t="str">
        <f aca="true">IF(I1533="","",I1533-TODAY())</f>
        <v/>
      </c>
      <c r="S1533" s="25" t="str">
        <f aca="true">IF(J1533="","",J1533-TODAY())</f>
        <v/>
      </c>
      <c r="T1533" s="24" t="str">
        <f aca="false">IF(A1533="","",IF(OR(AND(R1533&lt;&gt;"",R1533&lt;0),AND(S1533&lt;&gt;"",S1533&lt;0)),"EXPIRED",IF(OR(AND(R1533&lt;&gt;"",R1533&lt;=Settings!$B$15),AND(S1533&lt;&gt;"",S1533&lt;=Settings!$B$15)),"EXPIRING SOON","OK")))</f>
        <v/>
      </c>
      <c r="U1533" s="24" t="str">
        <f aca="false">IF(AND(C1533="Own",Q1533="Active"),COUNTIFS($C$5:C1533,"Own",$Q$5:Q1533,"Active"),"")</f>
        <v/>
      </c>
      <c r="V1533" s="26" t="str">
        <f aca="false">IF(C1533&lt;&gt;"Own","",IF(K1533="Hourly",N1533,(L1533+M1533)/(Settings!$B$11*Settings!$B$12)))</f>
        <v/>
      </c>
    </row>
    <row r="1534" customFormat="false" ht="15" hidden="false" customHeight="false" outlineLevel="0" collapsed="false">
      <c r="R1534" s="25" t="str">
        <f aca="true">IF(I1534="","",I1534-TODAY())</f>
        <v/>
      </c>
      <c r="S1534" s="25" t="str">
        <f aca="true">IF(J1534="","",J1534-TODAY())</f>
        <v/>
      </c>
      <c r="T1534" s="24" t="str">
        <f aca="false">IF(A1534="","",IF(OR(AND(R1534&lt;&gt;"",R1534&lt;0),AND(S1534&lt;&gt;"",S1534&lt;0)),"EXPIRED",IF(OR(AND(R1534&lt;&gt;"",R1534&lt;=Settings!$B$15),AND(S1534&lt;&gt;"",S1534&lt;=Settings!$B$15)),"EXPIRING SOON","OK")))</f>
        <v/>
      </c>
      <c r="U1534" s="24" t="str">
        <f aca="false">IF(AND(C1534="Own",Q1534="Active"),COUNTIFS($C$5:C1534,"Own",$Q$5:Q1534,"Active"),"")</f>
        <v/>
      </c>
      <c r="V1534" s="26" t="str">
        <f aca="false">IF(C1534&lt;&gt;"Own","",IF(K1534="Hourly",N1534,(L1534+M1534)/(Settings!$B$11*Settings!$B$12)))</f>
        <v/>
      </c>
    </row>
    <row r="1535" customFormat="false" ht="15" hidden="false" customHeight="false" outlineLevel="0" collapsed="false">
      <c r="R1535" s="25" t="str">
        <f aca="true">IF(I1535="","",I1535-TODAY())</f>
        <v/>
      </c>
      <c r="S1535" s="25" t="str">
        <f aca="true">IF(J1535="","",J1535-TODAY())</f>
        <v/>
      </c>
      <c r="T1535" s="24" t="str">
        <f aca="false">IF(A1535="","",IF(OR(AND(R1535&lt;&gt;"",R1535&lt;0),AND(S1535&lt;&gt;"",S1535&lt;0)),"EXPIRED",IF(OR(AND(R1535&lt;&gt;"",R1535&lt;=Settings!$B$15),AND(S1535&lt;&gt;"",S1535&lt;=Settings!$B$15)),"EXPIRING SOON","OK")))</f>
        <v/>
      </c>
      <c r="U1535" s="24" t="str">
        <f aca="false">IF(AND(C1535="Own",Q1535="Active"),COUNTIFS($C$5:C1535,"Own",$Q$5:Q1535,"Active"),"")</f>
        <v/>
      </c>
      <c r="V1535" s="26" t="str">
        <f aca="false">IF(C1535&lt;&gt;"Own","",IF(K1535="Hourly",N1535,(L1535+M1535)/(Settings!$B$11*Settings!$B$12)))</f>
        <v/>
      </c>
    </row>
    <row r="1536" customFormat="false" ht="15" hidden="false" customHeight="false" outlineLevel="0" collapsed="false">
      <c r="R1536" s="25" t="str">
        <f aca="true">IF(I1536="","",I1536-TODAY())</f>
        <v/>
      </c>
      <c r="S1536" s="25" t="str">
        <f aca="true">IF(J1536="","",J1536-TODAY())</f>
        <v/>
      </c>
      <c r="T1536" s="24" t="str">
        <f aca="false">IF(A1536="","",IF(OR(AND(R1536&lt;&gt;"",R1536&lt;0),AND(S1536&lt;&gt;"",S1536&lt;0)),"EXPIRED",IF(OR(AND(R1536&lt;&gt;"",R1536&lt;=Settings!$B$15),AND(S1536&lt;&gt;"",S1536&lt;=Settings!$B$15)),"EXPIRING SOON","OK")))</f>
        <v/>
      </c>
      <c r="U1536" s="24" t="str">
        <f aca="false">IF(AND(C1536="Own",Q1536="Active"),COUNTIFS($C$5:C1536,"Own",$Q$5:Q1536,"Active"),"")</f>
        <v/>
      </c>
      <c r="V1536" s="26" t="str">
        <f aca="false">IF(C1536&lt;&gt;"Own","",IF(K1536="Hourly",N1536,(L1536+M1536)/(Settings!$B$11*Settings!$B$12)))</f>
        <v/>
      </c>
    </row>
    <row r="1537" customFormat="false" ht="15" hidden="false" customHeight="false" outlineLevel="0" collapsed="false">
      <c r="R1537" s="25" t="str">
        <f aca="true">IF(I1537="","",I1537-TODAY())</f>
        <v/>
      </c>
      <c r="S1537" s="25" t="str">
        <f aca="true">IF(J1537="","",J1537-TODAY())</f>
        <v/>
      </c>
      <c r="T1537" s="24" t="str">
        <f aca="false">IF(A1537="","",IF(OR(AND(R1537&lt;&gt;"",R1537&lt;0),AND(S1537&lt;&gt;"",S1537&lt;0)),"EXPIRED",IF(OR(AND(R1537&lt;&gt;"",R1537&lt;=Settings!$B$15),AND(S1537&lt;&gt;"",S1537&lt;=Settings!$B$15)),"EXPIRING SOON","OK")))</f>
        <v/>
      </c>
      <c r="U1537" s="24" t="str">
        <f aca="false">IF(AND(C1537="Own",Q1537="Active"),COUNTIFS($C$5:C1537,"Own",$Q$5:Q1537,"Active"),"")</f>
        <v/>
      </c>
      <c r="V1537" s="26" t="str">
        <f aca="false">IF(C1537&lt;&gt;"Own","",IF(K1537="Hourly",N1537,(L1537+M1537)/(Settings!$B$11*Settings!$B$12)))</f>
        <v/>
      </c>
    </row>
    <row r="1538" customFormat="false" ht="15" hidden="false" customHeight="false" outlineLevel="0" collapsed="false">
      <c r="R1538" s="25" t="str">
        <f aca="true">IF(I1538="","",I1538-TODAY())</f>
        <v/>
      </c>
      <c r="S1538" s="25" t="str">
        <f aca="true">IF(J1538="","",J1538-TODAY())</f>
        <v/>
      </c>
      <c r="T1538" s="24" t="str">
        <f aca="false">IF(A1538="","",IF(OR(AND(R1538&lt;&gt;"",R1538&lt;0),AND(S1538&lt;&gt;"",S1538&lt;0)),"EXPIRED",IF(OR(AND(R1538&lt;&gt;"",R1538&lt;=Settings!$B$15),AND(S1538&lt;&gt;"",S1538&lt;=Settings!$B$15)),"EXPIRING SOON","OK")))</f>
        <v/>
      </c>
      <c r="U1538" s="24" t="str">
        <f aca="false">IF(AND(C1538="Own",Q1538="Active"),COUNTIFS($C$5:C1538,"Own",$Q$5:Q1538,"Active"),"")</f>
        <v/>
      </c>
      <c r="V1538" s="26" t="str">
        <f aca="false">IF(C1538&lt;&gt;"Own","",IF(K1538="Hourly",N1538,(L1538+M1538)/(Settings!$B$11*Settings!$B$12)))</f>
        <v/>
      </c>
    </row>
    <row r="1539" customFormat="false" ht="15" hidden="false" customHeight="false" outlineLevel="0" collapsed="false">
      <c r="R1539" s="25" t="str">
        <f aca="true">IF(I1539="","",I1539-TODAY())</f>
        <v/>
      </c>
      <c r="S1539" s="25" t="str">
        <f aca="true">IF(J1539="","",J1539-TODAY())</f>
        <v/>
      </c>
      <c r="T1539" s="24" t="str">
        <f aca="false">IF(A1539="","",IF(OR(AND(R1539&lt;&gt;"",R1539&lt;0),AND(S1539&lt;&gt;"",S1539&lt;0)),"EXPIRED",IF(OR(AND(R1539&lt;&gt;"",R1539&lt;=Settings!$B$15),AND(S1539&lt;&gt;"",S1539&lt;=Settings!$B$15)),"EXPIRING SOON","OK")))</f>
        <v/>
      </c>
      <c r="U1539" s="24" t="str">
        <f aca="false">IF(AND(C1539="Own",Q1539="Active"),COUNTIFS($C$5:C1539,"Own",$Q$5:Q1539,"Active"),"")</f>
        <v/>
      </c>
      <c r="V1539" s="26" t="str">
        <f aca="false">IF(C1539&lt;&gt;"Own","",IF(K1539="Hourly",N1539,(L1539+M1539)/(Settings!$B$11*Settings!$B$12)))</f>
        <v/>
      </c>
    </row>
    <row r="1540" customFormat="false" ht="15" hidden="false" customHeight="false" outlineLevel="0" collapsed="false">
      <c r="R1540" s="25" t="str">
        <f aca="true">IF(I1540="","",I1540-TODAY())</f>
        <v/>
      </c>
      <c r="S1540" s="25" t="str">
        <f aca="true">IF(J1540="","",J1540-TODAY())</f>
        <v/>
      </c>
      <c r="T1540" s="24" t="str">
        <f aca="false">IF(A1540="","",IF(OR(AND(R1540&lt;&gt;"",R1540&lt;0),AND(S1540&lt;&gt;"",S1540&lt;0)),"EXPIRED",IF(OR(AND(R1540&lt;&gt;"",R1540&lt;=Settings!$B$15),AND(S1540&lt;&gt;"",S1540&lt;=Settings!$B$15)),"EXPIRING SOON","OK")))</f>
        <v/>
      </c>
      <c r="U1540" s="24" t="str">
        <f aca="false">IF(AND(C1540="Own",Q1540="Active"),COUNTIFS($C$5:C1540,"Own",$Q$5:Q1540,"Active"),"")</f>
        <v/>
      </c>
      <c r="V1540" s="26" t="str">
        <f aca="false">IF(C1540&lt;&gt;"Own","",IF(K1540="Hourly",N1540,(L1540+M1540)/(Settings!$B$11*Settings!$B$12)))</f>
        <v/>
      </c>
    </row>
    <row r="1541" customFormat="false" ht="15" hidden="false" customHeight="false" outlineLevel="0" collapsed="false">
      <c r="R1541" s="25" t="str">
        <f aca="true">IF(I1541="","",I1541-TODAY())</f>
        <v/>
      </c>
      <c r="S1541" s="25" t="str">
        <f aca="true">IF(J1541="","",J1541-TODAY())</f>
        <v/>
      </c>
      <c r="T1541" s="24" t="str">
        <f aca="false">IF(A1541="","",IF(OR(AND(R1541&lt;&gt;"",R1541&lt;0),AND(S1541&lt;&gt;"",S1541&lt;0)),"EXPIRED",IF(OR(AND(R1541&lt;&gt;"",R1541&lt;=Settings!$B$15),AND(S1541&lt;&gt;"",S1541&lt;=Settings!$B$15)),"EXPIRING SOON","OK")))</f>
        <v/>
      </c>
      <c r="U1541" s="24" t="str">
        <f aca="false">IF(AND(C1541="Own",Q1541="Active"),COUNTIFS($C$5:C1541,"Own",$Q$5:Q1541,"Active"),"")</f>
        <v/>
      </c>
      <c r="V1541" s="26" t="str">
        <f aca="false">IF(C1541&lt;&gt;"Own","",IF(K1541="Hourly",N1541,(L1541+M1541)/(Settings!$B$11*Settings!$B$12)))</f>
        <v/>
      </c>
    </row>
    <row r="1542" customFormat="false" ht="15" hidden="false" customHeight="false" outlineLevel="0" collapsed="false">
      <c r="R1542" s="25" t="str">
        <f aca="true">IF(I1542="","",I1542-TODAY())</f>
        <v/>
      </c>
      <c r="S1542" s="25" t="str">
        <f aca="true">IF(J1542="","",J1542-TODAY())</f>
        <v/>
      </c>
      <c r="T1542" s="24" t="str">
        <f aca="false">IF(A1542="","",IF(OR(AND(R1542&lt;&gt;"",R1542&lt;0),AND(S1542&lt;&gt;"",S1542&lt;0)),"EXPIRED",IF(OR(AND(R1542&lt;&gt;"",R1542&lt;=Settings!$B$15),AND(S1542&lt;&gt;"",S1542&lt;=Settings!$B$15)),"EXPIRING SOON","OK")))</f>
        <v/>
      </c>
      <c r="U1542" s="24" t="str">
        <f aca="false">IF(AND(C1542="Own",Q1542="Active"),COUNTIFS($C$5:C1542,"Own",$Q$5:Q1542,"Active"),"")</f>
        <v/>
      </c>
      <c r="V1542" s="26" t="str">
        <f aca="false">IF(C1542&lt;&gt;"Own","",IF(K1542="Hourly",N1542,(L1542+M1542)/(Settings!$B$11*Settings!$B$12)))</f>
        <v/>
      </c>
    </row>
    <row r="1543" customFormat="false" ht="15" hidden="false" customHeight="false" outlineLevel="0" collapsed="false">
      <c r="R1543" s="25" t="str">
        <f aca="true">IF(I1543="","",I1543-TODAY())</f>
        <v/>
      </c>
      <c r="S1543" s="25" t="str">
        <f aca="true">IF(J1543="","",J1543-TODAY())</f>
        <v/>
      </c>
      <c r="T1543" s="24" t="str">
        <f aca="false">IF(A1543="","",IF(OR(AND(R1543&lt;&gt;"",R1543&lt;0),AND(S1543&lt;&gt;"",S1543&lt;0)),"EXPIRED",IF(OR(AND(R1543&lt;&gt;"",R1543&lt;=Settings!$B$15),AND(S1543&lt;&gt;"",S1543&lt;=Settings!$B$15)),"EXPIRING SOON","OK")))</f>
        <v/>
      </c>
      <c r="U1543" s="24" t="str">
        <f aca="false">IF(AND(C1543="Own",Q1543="Active"),COUNTIFS($C$5:C1543,"Own",$Q$5:Q1543,"Active"),"")</f>
        <v/>
      </c>
      <c r="V1543" s="26" t="str">
        <f aca="false">IF(C1543&lt;&gt;"Own","",IF(K1543="Hourly",N1543,(L1543+M1543)/(Settings!$B$11*Settings!$B$12)))</f>
        <v/>
      </c>
    </row>
    <row r="1544" customFormat="false" ht="15" hidden="false" customHeight="false" outlineLevel="0" collapsed="false">
      <c r="R1544" s="25" t="str">
        <f aca="true">IF(I1544="","",I1544-TODAY())</f>
        <v/>
      </c>
      <c r="S1544" s="25" t="str">
        <f aca="true">IF(J1544="","",J1544-TODAY())</f>
        <v/>
      </c>
      <c r="T1544" s="24" t="str">
        <f aca="false">IF(A1544="","",IF(OR(AND(R1544&lt;&gt;"",R1544&lt;0),AND(S1544&lt;&gt;"",S1544&lt;0)),"EXPIRED",IF(OR(AND(R1544&lt;&gt;"",R1544&lt;=Settings!$B$15),AND(S1544&lt;&gt;"",S1544&lt;=Settings!$B$15)),"EXPIRING SOON","OK")))</f>
        <v/>
      </c>
      <c r="U1544" s="24" t="str">
        <f aca="false">IF(AND(C1544="Own",Q1544="Active"),COUNTIFS($C$5:C1544,"Own",$Q$5:Q1544,"Active"),"")</f>
        <v/>
      </c>
      <c r="V1544" s="26" t="str">
        <f aca="false">IF(C1544&lt;&gt;"Own","",IF(K1544="Hourly",N1544,(L1544+M1544)/(Settings!$B$11*Settings!$B$12)))</f>
        <v/>
      </c>
    </row>
    <row r="1545" customFormat="false" ht="15" hidden="false" customHeight="false" outlineLevel="0" collapsed="false">
      <c r="R1545" s="25" t="str">
        <f aca="true">IF(I1545="","",I1545-TODAY())</f>
        <v/>
      </c>
      <c r="S1545" s="25" t="str">
        <f aca="true">IF(J1545="","",J1545-TODAY())</f>
        <v/>
      </c>
      <c r="T1545" s="24" t="str">
        <f aca="false">IF(A1545="","",IF(OR(AND(R1545&lt;&gt;"",R1545&lt;0),AND(S1545&lt;&gt;"",S1545&lt;0)),"EXPIRED",IF(OR(AND(R1545&lt;&gt;"",R1545&lt;=Settings!$B$15),AND(S1545&lt;&gt;"",S1545&lt;=Settings!$B$15)),"EXPIRING SOON","OK")))</f>
        <v/>
      </c>
      <c r="U1545" s="24" t="str">
        <f aca="false">IF(AND(C1545="Own",Q1545="Active"),COUNTIFS($C$5:C1545,"Own",$Q$5:Q1545,"Active"),"")</f>
        <v/>
      </c>
      <c r="V1545" s="26" t="str">
        <f aca="false">IF(C1545&lt;&gt;"Own","",IF(K1545="Hourly",N1545,(L1545+M1545)/(Settings!$B$11*Settings!$B$12)))</f>
        <v/>
      </c>
    </row>
    <row r="1546" customFormat="false" ht="15" hidden="false" customHeight="false" outlineLevel="0" collapsed="false">
      <c r="R1546" s="25" t="str">
        <f aca="true">IF(I1546="","",I1546-TODAY())</f>
        <v/>
      </c>
      <c r="S1546" s="25" t="str">
        <f aca="true">IF(J1546="","",J1546-TODAY())</f>
        <v/>
      </c>
      <c r="T1546" s="24" t="str">
        <f aca="false">IF(A1546="","",IF(OR(AND(R1546&lt;&gt;"",R1546&lt;0),AND(S1546&lt;&gt;"",S1546&lt;0)),"EXPIRED",IF(OR(AND(R1546&lt;&gt;"",R1546&lt;=Settings!$B$15),AND(S1546&lt;&gt;"",S1546&lt;=Settings!$B$15)),"EXPIRING SOON","OK")))</f>
        <v/>
      </c>
      <c r="U1546" s="24" t="str">
        <f aca="false">IF(AND(C1546="Own",Q1546="Active"),COUNTIFS($C$5:C1546,"Own",$Q$5:Q1546,"Active"),"")</f>
        <v/>
      </c>
      <c r="V1546" s="26" t="str">
        <f aca="false">IF(C1546&lt;&gt;"Own","",IF(K1546="Hourly",N1546,(L1546+M1546)/(Settings!$B$11*Settings!$B$12)))</f>
        <v/>
      </c>
    </row>
    <row r="1547" customFormat="false" ht="15" hidden="false" customHeight="false" outlineLevel="0" collapsed="false">
      <c r="R1547" s="25" t="str">
        <f aca="true">IF(I1547="","",I1547-TODAY())</f>
        <v/>
      </c>
      <c r="S1547" s="25" t="str">
        <f aca="true">IF(J1547="","",J1547-TODAY())</f>
        <v/>
      </c>
      <c r="T1547" s="24" t="str">
        <f aca="false">IF(A1547="","",IF(OR(AND(R1547&lt;&gt;"",R1547&lt;0),AND(S1547&lt;&gt;"",S1547&lt;0)),"EXPIRED",IF(OR(AND(R1547&lt;&gt;"",R1547&lt;=Settings!$B$15),AND(S1547&lt;&gt;"",S1547&lt;=Settings!$B$15)),"EXPIRING SOON","OK")))</f>
        <v/>
      </c>
      <c r="U1547" s="24" t="str">
        <f aca="false">IF(AND(C1547="Own",Q1547="Active"),COUNTIFS($C$5:C1547,"Own",$Q$5:Q1547,"Active"),"")</f>
        <v/>
      </c>
      <c r="V1547" s="26" t="str">
        <f aca="false">IF(C1547&lt;&gt;"Own","",IF(K1547="Hourly",N1547,(L1547+M1547)/(Settings!$B$11*Settings!$B$12)))</f>
        <v/>
      </c>
    </row>
    <row r="1548" customFormat="false" ht="15" hidden="false" customHeight="false" outlineLevel="0" collapsed="false">
      <c r="R1548" s="25" t="str">
        <f aca="true">IF(I1548="","",I1548-TODAY())</f>
        <v/>
      </c>
      <c r="S1548" s="25" t="str">
        <f aca="true">IF(J1548="","",J1548-TODAY())</f>
        <v/>
      </c>
      <c r="T1548" s="24" t="str">
        <f aca="false">IF(A1548="","",IF(OR(AND(R1548&lt;&gt;"",R1548&lt;0),AND(S1548&lt;&gt;"",S1548&lt;0)),"EXPIRED",IF(OR(AND(R1548&lt;&gt;"",R1548&lt;=Settings!$B$15),AND(S1548&lt;&gt;"",S1548&lt;=Settings!$B$15)),"EXPIRING SOON","OK")))</f>
        <v/>
      </c>
      <c r="U1548" s="24" t="str">
        <f aca="false">IF(AND(C1548="Own",Q1548="Active"),COUNTIFS($C$5:C1548,"Own",$Q$5:Q1548,"Active"),"")</f>
        <v/>
      </c>
      <c r="V1548" s="26" t="str">
        <f aca="false">IF(C1548&lt;&gt;"Own","",IF(K1548="Hourly",N1548,(L1548+M1548)/(Settings!$B$11*Settings!$B$12)))</f>
        <v/>
      </c>
    </row>
    <row r="1549" customFormat="false" ht="15" hidden="false" customHeight="false" outlineLevel="0" collapsed="false">
      <c r="R1549" s="25" t="str">
        <f aca="true">IF(I1549="","",I1549-TODAY())</f>
        <v/>
      </c>
      <c r="S1549" s="25" t="str">
        <f aca="true">IF(J1549="","",J1549-TODAY())</f>
        <v/>
      </c>
      <c r="T1549" s="24" t="str">
        <f aca="false">IF(A1549="","",IF(OR(AND(R1549&lt;&gt;"",R1549&lt;0),AND(S1549&lt;&gt;"",S1549&lt;0)),"EXPIRED",IF(OR(AND(R1549&lt;&gt;"",R1549&lt;=Settings!$B$15),AND(S1549&lt;&gt;"",S1549&lt;=Settings!$B$15)),"EXPIRING SOON","OK")))</f>
        <v/>
      </c>
      <c r="U1549" s="24" t="str">
        <f aca="false">IF(AND(C1549="Own",Q1549="Active"),COUNTIFS($C$5:C1549,"Own",$Q$5:Q1549,"Active"),"")</f>
        <v/>
      </c>
      <c r="V1549" s="26" t="str">
        <f aca="false">IF(C1549&lt;&gt;"Own","",IF(K1549="Hourly",N1549,(L1549+M1549)/(Settings!$B$11*Settings!$B$12)))</f>
        <v/>
      </c>
    </row>
    <row r="1550" customFormat="false" ht="15" hidden="false" customHeight="false" outlineLevel="0" collapsed="false">
      <c r="R1550" s="25" t="str">
        <f aca="true">IF(I1550="","",I1550-TODAY())</f>
        <v/>
      </c>
      <c r="S1550" s="25" t="str">
        <f aca="true">IF(J1550="","",J1550-TODAY())</f>
        <v/>
      </c>
      <c r="T1550" s="24" t="str">
        <f aca="false">IF(A1550="","",IF(OR(AND(R1550&lt;&gt;"",R1550&lt;0),AND(S1550&lt;&gt;"",S1550&lt;0)),"EXPIRED",IF(OR(AND(R1550&lt;&gt;"",R1550&lt;=Settings!$B$15),AND(S1550&lt;&gt;"",S1550&lt;=Settings!$B$15)),"EXPIRING SOON","OK")))</f>
        <v/>
      </c>
      <c r="U1550" s="24" t="str">
        <f aca="false">IF(AND(C1550="Own",Q1550="Active"),COUNTIFS($C$5:C1550,"Own",$Q$5:Q1550,"Active"),"")</f>
        <v/>
      </c>
      <c r="V1550" s="26" t="str">
        <f aca="false">IF(C1550&lt;&gt;"Own","",IF(K1550="Hourly",N1550,(L1550+M1550)/(Settings!$B$11*Settings!$B$12)))</f>
        <v/>
      </c>
    </row>
    <row r="1551" customFormat="false" ht="15" hidden="false" customHeight="false" outlineLevel="0" collapsed="false">
      <c r="R1551" s="25" t="str">
        <f aca="true">IF(I1551="","",I1551-TODAY())</f>
        <v/>
      </c>
      <c r="S1551" s="25" t="str">
        <f aca="true">IF(J1551="","",J1551-TODAY())</f>
        <v/>
      </c>
      <c r="T1551" s="24" t="str">
        <f aca="false">IF(A1551="","",IF(OR(AND(R1551&lt;&gt;"",R1551&lt;0),AND(S1551&lt;&gt;"",S1551&lt;0)),"EXPIRED",IF(OR(AND(R1551&lt;&gt;"",R1551&lt;=Settings!$B$15),AND(S1551&lt;&gt;"",S1551&lt;=Settings!$B$15)),"EXPIRING SOON","OK")))</f>
        <v/>
      </c>
      <c r="U1551" s="24" t="str">
        <f aca="false">IF(AND(C1551="Own",Q1551="Active"),COUNTIFS($C$5:C1551,"Own",$Q$5:Q1551,"Active"),"")</f>
        <v/>
      </c>
      <c r="V1551" s="26" t="str">
        <f aca="false">IF(C1551&lt;&gt;"Own","",IF(K1551="Hourly",N1551,(L1551+M1551)/(Settings!$B$11*Settings!$B$12)))</f>
        <v/>
      </c>
    </row>
    <row r="1552" customFormat="false" ht="15" hidden="false" customHeight="false" outlineLevel="0" collapsed="false">
      <c r="R1552" s="25" t="str">
        <f aca="true">IF(I1552="","",I1552-TODAY())</f>
        <v/>
      </c>
      <c r="S1552" s="25" t="str">
        <f aca="true">IF(J1552="","",J1552-TODAY())</f>
        <v/>
      </c>
      <c r="T1552" s="24" t="str">
        <f aca="false">IF(A1552="","",IF(OR(AND(R1552&lt;&gt;"",R1552&lt;0),AND(S1552&lt;&gt;"",S1552&lt;0)),"EXPIRED",IF(OR(AND(R1552&lt;&gt;"",R1552&lt;=Settings!$B$15),AND(S1552&lt;&gt;"",S1552&lt;=Settings!$B$15)),"EXPIRING SOON","OK")))</f>
        <v/>
      </c>
      <c r="U1552" s="24" t="str">
        <f aca="false">IF(AND(C1552="Own",Q1552="Active"),COUNTIFS($C$5:C1552,"Own",$Q$5:Q1552,"Active"),"")</f>
        <v/>
      </c>
      <c r="V1552" s="26" t="str">
        <f aca="false">IF(C1552&lt;&gt;"Own","",IF(K1552="Hourly",N1552,(L1552+M1552)/(Settings!$B$11*Settings!$B$12)))</f>
        <v/>
      </c>
    </row>
    <row r="1553" customFormat="false" ht="15" hidden="false" customHeight="false" outlineLevel="0" collapsed="false">
      <c r="R1553" s="25" t="str">
        <f aca="true">IF(I1553="","",I1553-TODAY())</f>
        <v/>
      </c>
      <c r="S1553" s="25" t="str">
        <f aca="true">IF(J1553="","",J1553-TODAY())</f>
        <v/>
      </c>
      <c r="T1553" s="24" t="str">
        <f aca="false">IF(A1553="","",IF(OR(AND(R1553&lt;&gt;"",R1553&lt;0),AND(S1553&lt;&gt;"",S1553&lt;0)),"EXPIRED",IF(OR(AND(R1553&lt;&gt;"",R1553&lt;=Settings!$B$15),AND(S1553&lt;&gt;"",S1553&lt;=Settings!$B$15)),"EXPIRING SOON","OK")))</f>
        <v/>
      </c>
      <c r="U1553" s="24" t="str">
        <f aca="false">IF(AND(C1553="Own",Q1553="Active"),COUNTIFS($C$5:C1553,"Own",$Q$5:Q1553,"Active"),"")</f>
        <v/>
      </c>
      <c r="V1553" s="26" t="str">
        <f aca="false">IF(C1553&lt;&gt;"Own","",IF(K1553="Hourly",N1553,(L1553+M1553)/(Settings!$B$11*Settings!$B$12)))</f>
        <v/>
      </c>
    </row>
    <row r="1554" customFormat="false" ht="15" hidden="false" customHeight="false" outlineLevel="0" collapsed="false">
      <c r="R1554" s="25" t="str">
        <f aca="true">IF(I1554="","",I1554-TODAY())</f>
        <v/>
      </c>
      <c r="S1554" s="25" t="str">
        <f aca="true">IF(J1554="","",J1554-TODAY())</f>
        <v/>
      </c>
      <c r="T1554" s="24" t="str">
        <f aca="false">IF(A1554="","",IF(OR(AND(R1554&lt;&gt;"",R1554&lt;0),AND(S1554&lt;&gt;"",S1554&lt;0)),"EXPIRED",IF(OR(AND(R1554&lt;&gt;"",R1554&lt;=Settings!$B$15),AND(S1554&lt;&gt;"",S1554&lt;=Settings!$B$15)),"EXPIRING SOON","OK")))</f>
        <v/>
      </c>
      <c r="U1554" s="24" t="str">
        <f aca="false">IF(AND(C1554="Own",Q1554="Active"),COUNTIFS($C$5:C1554,"Own",$Q$5:Q1554,"Active"),"")</f>
        <v/>
      </c>
      <c r="V1554" s="26" t="str">
        <f aca="false">IF(C1554&lt;&gt;"Own","",IF(K1554="Hourly",N1554,(L1554+M1554)/(Settings!$B$11*Settings!$B$12)))</f>
        <v/>
      </c>
    </row>
    <row r="1555" customFormat="false" ht="15" hidden="false" customHeight="false" outlineLevel="0" collapsed="false">
      <c r="R1555" s="25" t="str">
        <f aca="true">IF(I1555="","",I1555-TODAY())</f>
        <v/>
      </c>
      <c r="S1555" s="25" t="str">
        <f aca="true">IF(J1555="","",J1555-TODAY())</f>
        <v/>
      </c>
      <c r="T1555" s="24" t="str">
        <f aca="false">IF(A1555="","",IF(OR(AND(R1555&lt;&gt;"",R1555&lt;0),AND(S1555&lt;&gt;"",S1555&lt;0)),"EXPIRED",IF(OR(AND(R1555&lt;&gt;"",R1555&lt;=Settings!$B$15),AND(S1555&lt;&gt;"",S1555&lt;=Settings!$B$15)),"EXPIRING SOON","OK")))</f>
        <v/>
      </c>
      <c r="U1555" s="24" t="str">
        <f aca="false">IF(AND(C1555="Own",Q1555="Active"),COUNTIFS($C$5:C1555,"Own",$Q$5:Q1555,"Active"),"")</f>
        <v/>
      </c>
      <c r="V1555" s="26" t="str">
        <f aca="false">IF(C1555&lt;&gt;"Own","",IF(K1555="Hourly",N1555,(L1555+M1555)/(Settings!$B$11*Settings!$B$12)))</f>
        <v/>
      </c>
    </row>
    <row r="1556" customFormat="false" ht="15" hidden="false" customHeight="false" outlineLevel="0" collapsed="false">
      <c r="R1556" s="25" t="str">
        <f aca="true">IF(I1556="","",I1556-TODAY())</f>
        <v/>
      </c>
      <c r="S1556" s="25" t="str">
        <f aca="true">IF(J1556="","",J1556-TODAY())</f>
        <v/>
      </c>
      <c r="T1556" s="24" t="str">
        <f aca="false">IF(A1556="","",IF(OR(AND(R1556&lt;&gt;"",R1556&lt;0),AND(S1556&lt;&gt;"",S1556&lt;0)),"EXPIRED",IF(OR(AND(R1556&lt;&gt;"",R1556&lt;=Settings!$B$15),AND(S1556&lt;&gt;"",S1556&lt;=Settings!$B$15)),"EXPIRING SOON","OK")))</f>
        <v/>
      </c>
      <c r="U1556" s="24" t="str">
        <f aca="false">IF(AND(C1556="Own",Q1556="Active"),COUNTIFS($C$5:C1556,"Own",$Q$5:Q1556,"Active"),"")</f>
        <v/>
      </c>
      <c r="V1556" s="26" t="str">
        <f aca="false">IF(C1556&lt;&gt;"Own","",IF(K1556="Hourly",N1556,(L1556+M1556)/(Settings!$B$11*Settings!$B$12)))</f>
        <v/>
      </c>
    </row>
    <row r="1557" customFormat="false" ht="15" hidden="false" customHeight="false" outlineLevel="0" collapsed="false">
      <c r="R1557" s="25" t="str">
        <f aca="true">IF(I1557="","",I1557-TODAY())</f>
        <v/>
      </c>
      <c r="S1557" s="25" t="str">
        <f aca="true">IF(J1557="","",J1557-TODAY())</f>
        <v/>
      </c>
      <c r="T1557" s="24" t="str">
        <f aca="false">IF(A1557="","",IF(OR(AND(R1557&lt;&gt;"",R1557&lt;0),AND(S1557&lt;&gt;"",S1557&lt;0)),"EXPIRED",IF(OR(AND(R1557&lt;&gt;"",R1557&lt;=Settings!$B$15),AND(S1557&lt;&gt;"",S1557&lt;=Settings!$B$15)),"EXPIRING SOON","OK")))</f>
        <v/>
      </c>
      <c r="U1557" s="24" t="str">
        <f aca="false">IF(AND(C1557="Own",Q1557="Active"),COUNTIFS($C$5:C1557,"Own",$Q$5:Q1557,"Active"),"")</f>
        <v/>
      </c>
      <c r="V1557" s="26" t="str">
        <f aca="false">IF(C1557&lt;&gt;"Own","",IF(K1557="Hourly",N1557,(L1557+M1557)/(Settings!$B$11*Settings!$B$12)))</f>
        <v/>
      </c>
    </row>
    <row r="1558" customFormat="false" ht="15" hidden="false" customHeight="false" outlineLevel="0" collapsed="false">
      <c r="R1558" s="25" t="str">
        <f aca="true">IF(I1558="","",I1558-TODAY())</f>
        <v/>
      </c>
      <c r="S1558" s="25" t="str">
        <f aca="true">IF(J1558="","",J1558-TODAY())</f>
        <v/>
      </c>
      <c r="T1558" s="24" t="str">
        <f aca="false">IF(A1558="","",IF(OR(AND(R1558&lt;&gt;"",R1558&lt;0),AND(S1558&lt;&gt;"",S1558&lt;0)),"EXPIRED",IF(OR(AND(R1558&lt;&gt;"",R1558&lt;=Settings!$B$15),AND(S1558&lt;&gt;"",S1558&lt;=Settings!$B$15)),"EXPIRING SOON","OK")))</f>
        <v/>
      </c>
      <c r="U1558" s="24" t="str">
        <f aca="false">IF(AND(C1558="Own",Q1558="Active"),COUNTIFS($C$5:C1558,"Own",$Q$5:Q1558,"Active"),"")</f>
        <v/>
      </c>
      <c r="V1558" s="26" t="str">
        <f aca="false">IF(C1558&lt;&gt;"Own","",IF(K1558="Hourly",N1558,(L1558+M1558)/(Settings!$B$11*Settings!$B$12)))</f>
        <v/>
      </c>
    </row>
    <row r="1559" customFormat="false" ht="15" hidden="false" customHeight="false" outlineLevel="0" collapsed="false">
      <c r="R1559" s="25" t="str">
        <f aca="true">IF(I1559="","",I1559-TODAY())</f>
        <v/>
      </c>
      <c r="S1559" s="25" t="str">
        <f aca="true">IF(J1559="","",J1559-TODAY())</f>
        <v/>
      </c>
      <c r="T1559" s="24" t="str">
        <f aca="false">IF(A1559="","",IF(OR(AND(R1559&lt;&gt;"",R1559&lt;0),AND(S1559&lt;&gt;"",S1559&lt;0)),"EXPIRED",IF(OR(AND(R1559&lt;&gt;"",R1559&lt;=Settings!$B$15),AND(S1559&lt;&gt;"",S1559&lt;=Settings!$B$15)),"EXPIRING SOON","OK")))</f>
        <v/>
      </c>
      <c r="U1559" s="24" t="str">
        <f aca="false">IF(AND(C1559="Own",Q1559="Active"),COUNTIFS($C$5:C1559,"Own",$Q$5:Q1559,"Active"),"")</f>
        <v/>
      </c>
      <c r="V1559" s="26" t="str">
        <f aca="false">IF(C1559&lt;&gt;"Own","",IF(K1559="Hourly",N1559,(L1559+M1559)/(Settings!$B$11*Settings!$B$12)))</f>
        <v/>
      </c>
    </row>
    <row r="1560" customFormat="false" ht="15" hidden="false" customHeight="false" outlineLevel="0" collapsed="false">
      <c r="R1560" s="25" t="str">
        <f aca="true">IF(I1560="","",I1560-TODAY())</f>
        <v/>
      </c>
      <c r="S1560" s="25" t="str">
        <f aca="true">IF(J1560="","",J1560-TODAY())</f>
        <v/>
      </c>
      <c r="T1560" s="24" t="str">
        <f aca="false">IF(A1560="","",IF(OR(AND(R1560&lt;&gt;"",R1560&lt;0),AND(S1560&lt;&gt;"",S1560&lt;0)),"EXPIRED",IF(OR(AND(R1560&lt;&gt;"",R1560&lt;=Settings!$B$15),AND(S1560&lt;&gt;"",S1560&lt;=Settings!$B$15)),"EXPIRING SOON","OK")))</f>
        <v/>
      </c>
      <c r="U1560" s="24" t="str">
        <f aca="false">IF(AND(C1560="Own",Q1560="Active"),COUNTIFS($C$5:C1560,"Own",$Q$5:Q1560,"Active"),"")</f>
        <v/>
      </c>
      <c r="V1560" s="26" t="str">
        <f aca="false">IF(C1560&lt;&gt;"Own","",IF(K1560="Hourly",N1560,(L1560+M1560)/(Settings!$B$11*Settings!$B$12)))</f>
        <v/>
      </c>
    </row>
    <row r="1561" customFormat="false" ht="15" hidden="false" customHeight="false" outlineLevel="0" collapsed="false">
      <c r="R1561" s="25" t="str">
        <f aca="true">IF(I1561="","",I1561-TODAY())</f>
        <v/>
      </c>
      <c r="S1561" s="25" t="str">
        <f aca="true">IF(J1561="","",J1561-TODAY())</f>
        <v/>
      </c>
      <c r="T1561" s="24" t="str">
        <f aca="false">IF(A1561="","",IF(OR(AND(R1561&lt;&gt;"",R1561&lt;0),AND(S1561&lt;&gt;"",S1561&lt;0)),"EXPIRED",IF(OR(AND(R1561&lt;&gt;"",R1561&lt;=Settings!$B$15),AND(S1561&lt;&gt;"",S1561&lt;=Settings!$B$15)),"EXPIRING SOON","OK")))</f>
        <v/>
      </c>
      <c r="U1561" s="24" t="str">
        <f aca="false">IF(AND(C1561="Own",Q1561="Active"),COUNTIFS($C$5:C1561,"Own",$Q$5:Q1561,"Active"),"")</f>
        <v/>
      </c>
      <c r="V1561" s="26" t="str">
        <f aca="false">IF(C1561&lt;&gt;"Own","",IF(K1561="Hourly",N1561,(L1561+M1561)/(Settings!$B$11*Settings!$B$12)))</f>
        <v/>
      </c>
    </row>
    <row r="1562" customFormat="false" ht="15" hidden="false" customHeight="false" outlineLevel="0" collapsed="false">
      <c r="R1562" s="25" t="str">
        <f aca="true">IF(I1562="","",I1562-TODAY())</f>
        <v/>
      </c>
      <c r="S1562" s="25" t="str">
        <f aca="true">IF(J1562="","",J1562-TODAY())</f>
        <v/>
      </c>
      <c r="T1562" s="24" t="str">
        <f aca="false">IF(A1562="","",IF(OR(AND(R1562&lt;&gt;"",R1562&lt;0),AND(S1562&lt;&gt;"",S1562&lt;0)),"EXPIRED",IF(OR(AND(R1562&lt;&gt;"",R1562&lt;=Settings!$B$15),AND(S1562&lt;&gt;"",S1562&lt;=Settings!$B$15)),"EXPIRING SOON","OK")))</f>
        <v/>
      </c>
      <c r="U1562" s="24" t="str">
        <f aca="false">IF(AND(C1562="Own",Q1562="Active"),COUNTIFS($C$5:C1562,"Own",$Q$5:Q1562,"Active"),"")</f>
        <v/>
      </c>
      <c r="V1562" s="26" t="str">
        <f aca="false">IF(C1562&lt;&gt;"Own","",IF(K1562="Hourly",N1562,(L1562+M1562)/(Settings!$B$11*Settings!$B$12)))</f>
        <v/>
      </c>
    </row>
    <row r="1563" customFormat="false" ht="15" hidden="false" customHeight="false" outlineLevel="0" collapsed="false">
      <c r="R1563" s="25" t="str">
        <f aca="true">IF(I1563="","",I1563-TODAY())</f>
        <v/>
      </c>
      <c r="S1563" s="25" t="str">
        <f aca="true">IF(J1563="","",J1563-TODAY())</f>
        <v/>
      </c>
      <c r="T1563" s="24" t="str">
        <f aca="false">IF(A1563="","",IF(OR(AND(R1563&lt;&gt;"",R1563&lt;0),AND(S1563&lt;&gt;"",S1563&lt;0)),"EXPIRED",IF(OR(AND(R1563&lt;&gt;"",R1563&lt;=Settings!$B$15),AND(S1563&lt;&gt;"",S1563&lt;=Settings!$B$15)),"EXPIRING SOON","OK")))</f>
        <v/>
      </c>
      <c r="U1563" s="24" t="str">
        <f aca="false">IF(AND(C1563="Own",Q1563="Active"),COUNTIFS($C$5:C1563,"Own",$Q$5:Q1563,"Active"),"")</f>
        <v/>
      </c>
      <c r="V1563" s="26" t="str">
        <f aca="false">IF(C1563&lt;&gt;"Own","",IF(K1563="Hourly",N1563,(L1563+M1563)/(Settings!$B$11*Settings!$B$12)))</f>
        <v/>
      </c>
    </row>
    <row r="1564" customFormat="false" ht="15" hidden="false" customHeight="false" outlineLevel="0" collapsed="false">
      <c r="R1564" s="25" t="str">
        <f aca="true">IF(I1564="","",I1564-TODAY())</f>
        <v/>
      </c>
      <c r="S1564" s="25" t="str">
        <f aca="true">IF(J1564="","",J1564-TODAY())</f>
        <v/>
      </c>
      <c r="T1564" s="24" t="str">
        <f aca="false">IF(A1564="","",IF(OR(AND(R1564&lt;&gt;"",R1564&lt;0),AND(S1564&lt;&gt;"",S1564&lt;0)),"EXPIRED",IF(OR(AND(R1564&lt;&gt;"",R1564&lt;=Settings!$B$15),AND(S1564&lt;&gt;"",S1564&lt;=Settings!$B$15)),"EXPIRING SOON","OK")))</f>
        <v/>
      </c>
      <c r="U1564" s="24" t="str">
        <f aca="false">IF(AND(C1564="Own",Q1564="Active"),COUNTIFS($C$5:C1564,"Own",$Q$5:Q1564,"Active"),"")</f>
        <v/>
      </c>
      <c r="V1564" s="26" t="str">
        <f aca="false">IF(C1564&lt;&gt;"Own","",IF(K1564="Hourly",N1564,(L1564+M1564)/(Settings!$B$11*Settings!$B$12)))</f>
        <v/>
      </c>
    </row>
    <row r="1565" customFormat="false" ht="15" hidden="false" customHeight="false" outlineLevel="0" collapsed="false">
      <c r="R1565" s="25" t="str">
        <f aca="true">IF(I1565="","",I1565-TODAY())</f>
        <v/>
      </c>
      <c r="S1565" s="25" t="str">
        <f aca="true">IF(J1565="","",J1565-TODAY())</f>
        <v/>
      </c>
      <c r="T1565" s="24" t="str">
        <f aca="false">IF(A1565="","",IF(OR(AND(R1565&lt;&gt;"",R1565&lt;0),AND(S1565&lt;&gt;"",S1565&lt;0)),"EXPIRED",IF(OR(AND(R1565&lt;&gt;"",R1565&lt;=Settings!$B$15),AND(S1565&lt;&gt;"",S1565&lt;=Settings!$B$15)),"EXPIRING SOON","OK")))</f>
        <v/>
      </c>
      <c r="U1565" s="24" t="str">
        <f aca="false">IF(AND(C1565="Own",Q1565="Active"),COUNTIFS($C$5:C1565,"Own",$Q$5:Q1565,"Active"),"")</f>
        <v/>
      </c>
      <c r="V1565" s="26" t="str">
        <f aca="false">IF(C1565&lt;&gt;"Own","",IF(K1565="Hourly",N1565,(L1565+M1565)/(Settings!$B$11*Settings!$B$12)))</f>
        <v/>
      </c>
    </row>
    <row r="1566" customFormat="false" ht="15" hidden="false" customHeight="false" outlineLevel="0" collapsed="false">
      <c r="R1566" s="25" t="str">
        <f aca="true">IF(I1566="","",I1566-TODAY())</f>
        <v/>
      </c>
      <c r="S1566" s="25" t="str">
        <f aca="true">IF(J1566="","",J1566-TODAY())</f>
        <v/>
      </c>
      <c r="T1566" s="24" t="str">
        <f aca="false">IF(A1566="","",IF(OR(AND(R1566&lt;&gt;"",R1566&lt;0),AND(S1566&lt;&gt;"",S1566&lt;0)),"EXPIRED",IF(OR(AND(R1566&lt;&gt;"",R1566&lt;=Settings!$B$15),AND(S1566&lt;&gt;"",S1566&lt;=Settings!$B$15)),"EXPIRING SOON","OK")))</f>
        <v/>
      </c>
      <c r="U1566" s="24" t="str">
        <f aca="false">IF(AND(C1566="Own",Q1566="Active"),COUNTIFS($C$5:C1566,"Own",$Q$5:Q1566,"Active"),"")</f>
        <v/>
      </c>
      <c r="V1566" s="26" t="str">
        <f aca="false">IF(C1566&lt;&gt;"Own","",IF(K1566="Hourly",N1566,(L1566+M1566)/(Settings!$B$11*Settings!$B$12)))</f>
        <v/>
      </c>
    </row>
    <row r="1567" customFormat="false" ht="15" hidden="false" customHeight="false" outlineLevel="0" collapsed="false">
      <c r="R1567" s="25" t="str">
        <f aca="true">IF(I1567="","",I1567-TODAY())</f>
        <v/>
      </c>
      <c r="S1567" s="25" t="str">
        <f aca="true">IF(J1567="","",J1567-TODAY())</f>
        <v/>
      </c>
      <c r="T1567" s="24" t="str">
        <f aca="false">IF(A1567="","",IF(OR(AND(R1567&lt;&gt;"",R1567&lt;0),AND(S1567&lt;&gt;"",S1567&lt;0)),"EXPIRED",IF(OR(AND(R1567&lt;&gt;"",R1567&lt;=Settings!$B$15),AND(S1567&lt;&gt;"",S1567&lt;=Settings!$B$15)),"EXPIRING SOON","OK")))</f>
        <v/>
      </c>
      <c r="U1567" s="24" t="str">
        <f aca="false">IF(AND(C1567="Own",Q1567="Active"),COUNTIFS($C$5:C1567,"Own",$Q$5:Q1567,"Active"),"")</f>
        <v/>
      </c>
      <c r="V1567" s="26" t="str">
        <f aca="false">IF(C1567&lt;&gt;"Own","",IF(K1567="Hourly",N1567,(L1567+M1567)/(Settings!$B$11*Settings!$B$12)))</f>
        <v/>
      </c>
    </row>
    <row r="1568" customFormat="false" ht="15" hidden="false" customHeight="false" outlineLevel="0" collapsed="false">
      <c r="R1568" s="25" t="str">
        <f aca="true">IF(I1568="","",I1568-TODAY())</f>
        <v/>
      </c>
      <c r="S1568" s="25" t="str">
        <f aca="true">IF(J1568="","",J1568-TODAY())</f>
        <v/>
      </c>
      <c r="T1568" s="24" t="str">
        <f aca="false">IF(A1568="","",IF(OR(AND(R1568&lt;&gt;"",R1568&lt;0),AND(S1568&lt;&gt;"",S1568&lt;0)),"EXPIRED",IF(OR(AND(R1568&lt;&gt;"",R1568&lt;=Settings!$B$15),AND(S1568&lt;&gt;"",S1568&lt;=Settings!$B$15)),"EXPIRING SOON","OK")))</f>
        <v/>
      </c>
      <c r="U1568" s="24" t="str">
        <f aca="false">IF(AND(C1568="Own",Q1568="Active"),COUNTIFS($C$5:C1568,"Own",$Q$5:Q1568,"Active"),"")</f>
        <v/>
      </c>
      <c r="V1568" s="26" t="str">
        <f aca="false">IF(C1568&lt;&gt;"Own","",IF(K1568="Hourly",N1568,(L1568+M1568)/(Settings!$B$11*Settings!$B$12)))</f>
        <v/>
      </c>
    </row>
    <row r="1569" customFormat="false" ht="15" hidden="false" customHeight="false" outlineLevel="0" collapsed="false">
      <c r="R1569" s="25" t="str">
        <f aca="true">IF(I1569="","",I1569-TODAY())</f>
        <v/>
      </c>
      <c r="S1569" s="25" t="str">
        <f aca="true">IF(J1569="","",J1569-TODAY())</f>
        <v/>
      </c>
      <c r="T1569" s="24" t="str">
        <f aca="false">IF(A1569="","",IF(OR(AND(R1569&lt;&gt;"",R1569&lt;0),AND(S1569&lt;&gt;"",S1569&lt;0)),"EXPIRED",IF(OR(AND(R1569&lt;&gt;"",R1569&lt;=Settings!$B$15),AND(S1569&lt;&gt;"",S1569&lt;=Settings!$B$15)),"EXPIRING SOON","OK")))</f>
        <v/>
      </c>
      <c r="U1569" s="24" t="str">
        <f aca="false">IF(AND(C1569="Own",Q1569="Active"),COUNTIFS($C$5:C1569,"Own",$Q$5:Q1569,"Active"),"")</f>
        <v/>
      </c>
      <c r="V1569" s="26" t="str">
        <f aca="false">IF(C1569&lt;&gt;"Own","",IF(K1569="Hourly",N1569,(L1569+M1569)/(Settings!$B$11*Settings!$B$12)))</f>
        <v/>
      </c>
    </row>
    <row r="1570" customFormat="false" ht="15" hidden="false" customHeight="false" outlineLevel="0" collapsed="false">
      <c r="R1570" s="25" t="str">
        <f aca="true">IF(I1570="","",I1570-TODAY())</f>
        <v/>
      </c>
      <c r="S1570" s="25" t="str">
        <f aca="true">IF(J1570="","",J1570-TODAY())</f>
        <v/>
      </c>
      <c r="T1570" s="24" t="str">
        <f aca="false">IF(A1570="","",IF(OR(AND(R1570&lt;&gt;"",R1570&lt;0),AND(S1570&lt;&gt;"",S1570&lt;0)),"EXPIRED",IF(OR(AND(R1570&lt;&gt;"",R1570&lt;=Settings!$B$15),AND(S1570&lt;&gt;"",S1570&lt;=Settings!$B$15)),"EXPIRING SOON","OK")))</f>
        <v/>
      </c>
      <c r="U1570" s="24" t="str">
        <f aca="false">IF(AND(C1570="Own",Q1570="Active"),COUNTIFS($C$5:C1570,"Own",$Q$5:Q1570,"Active"),"")</f>
        <v/>
      </c>
      <c r="V1570" s="26" t="str">
        <f aca="false">IF(C1570&lt;&gt;"Own","",IF(K1570="Hourly",N1570,(L1570+M1570)/(Settings!$B$11*Settings!$B$12)))</f>
        <v/>
      </c>
    </row>
    <row r="1571" customFormat="false" ht="15" hidden="false" customHeight="false" outlineLevel="0" collapsed="false">
      <c r="R1571" s="25" t="str">
        <f aca="true">IF(I1571="","",I1571-TODAY())</f>
        <v/>
      </c>
      <c r="S1571" s="25" t="str">
        <f aca="true">IF(J1571="","",J1571-TODAY())</f>
        <v/>
      </c>
      <c r="T1571" s="24" t="str">
        <f aca="false">IF(A1571="","",IF(OR(AND(R1571&lt;&gt;"",R1571&lt;0),AND(S1571&lt;&gt;"",S1571&lt;0)),"EXPIRED",IF(OR(AND(R1571&lt;&gt;"",R1571&lt;=Settings!$B$15),AND(S1571&lt;&gt;"",S1571&lt;=Settings!$B$15)),"EXPIRING SOON","OK")))</f>
        <v/>
      </c>
      <c r="U1571" s="24" t="str">
        <f aca="false">IF(AND(C1571="Own",Q1571="Active"),COUNTIFS($C$5:C1571,"Own",$Q$5:Q1571,"Active"),"")</f>
        <v/>
      </c>
      <c r="V1571" s="26" t="str">
        <f aca="false">IF(C1571&lt;&gt;"Own","",IF(K1571="Hourly",N1571,(L1571+M1571)/(Settings!$B$11*Settings!$B$12)))</f>
        <v/>
      </c>
    </row>
    <row r="1572" customFormat="false" ht="15" hidden="false" customHeight="false" outlineLevel="0" collapsed="false">
      <c r="R1572" s="25" t="str">
        <f aca="true">IF(I1572="","",I1572-TODAY())</f>
        <v/>
      </c>
      <c r="S1572" s="25" t="str">
        <f aca="true">IF(J1572="","",J1572-TODAY())</f>
        <v/>
      </c>
      <c r="T1572" s="24" t="str">
        <f aca="false">IF(A1572="","",IF(OR(AND(R1572&lt;&gt;"",R1572&lt;0),AND(S1572&lt;&gt;"",S1572&lt;0)),"EXPIRED",IF(OR(AND(R1572&lt;&gt;"",R1572&lt;=Settings!$B$15),AND(S1572&lt;&gt;"",S1572&lt;=Settings!$B$15)),"EXPIRING SOON","OK")))</f>
        <v/>
      </c>
      <c r="U1572" s="24" t="str">
        <f aca="false">IF(AND(C1572="Own",Q1572="Active"),COUNTIFS($C$5:C1572,"Own",$Q$5:Q1572,"Active"),"")</f>
        <v/>
      </c>
      <c r="V1572" s="26" t="str">
        <f aca="false">IF(C1572&lt;&gt;"Own","",IF(K1572="Hourly",N1572,(L1572+M1572)/(Settings!$B$11*Settings!$B$12)))</f>
        <v/>
      </c>
    </row>
    <row r="1573" customFormat="false" ht="15" hidden="false" customHeight="false" outlineLevel="0" collapsed="false">
      <c r="R1573" s="25" t="str">
        <f aca="true">IF(I1573="","",I1573-TODAY())</f>
        <v/>
      </c>
      <c r="S1573" s="25" t="str">
        <f aca="true">IF(J1573="","",J1573-TODAY())</f>
        <v/>
      </c>
      <c r="T1573" s="24" t="str">
        <f aca="false">IF(A1573="","",IF(OR(AND(R1573&lt;&gt;"",R1573&lt;0),AND(S1573&lt;&gt;"",S1573&lt;0)),"EXPIRED",IF(OR(AND(R1573&lt;&gt;"",R1573&lt;=Settings!$B$15),AND(S1573&lt;&gt;"",S1573&lt;=Settings!$B$15)),"EXPIRING SOON","OK")))</f>
        <v/>
      </c>
      <c r="U1573" s="24" t="str">
        <f aca="false">IF(AND(C1573="Own",Q1573="Active"),COUNTIFS($C$5:C1573,"Own",$Q$5:Q1573,"Active"),"")</f>
        <v/>
      </c>
      <c r="V1573" s="26" t="str">
        <f aca="false">IF(C1573&lt;&gt;"Own","",IF(K1573="Hourly",N1573,(L1573+M1573)/(Settings!$B$11*Settings!$B$12)))</f>
        <v/>
      </c>
    </row>
    <row r="1574" customFormat="false" ht="15" hidden="false" customHeight="false" outlineLevel="0" collapsed="false">
      <c r="R1574" s="25" t="str">
        <f aca="true">IF(I1574="","",I1574-TODAY())</f>
        <v/>
      </c>
      <c r="S1574" s="25" t="str">
        <f aca="true">IF(J1574="","",J1574-TODAY())</f>
        <v/>
      </c>
      <c r="T1574" s="24" t="str">
        <f aca="false">IF(A1574="","",IF(OR(AND(R1574&lt;&gt;"",R1574&lt;0),AND(S1574&lt;&gt;"",S1574&lt;0)),"EXPIRED",IF(OR(AND(R1574&lt;&gt;"",R1574&lt;=Settings!$B$15),AND(S1574&lt;&gt;"",S1574&lt;=Settings!$B$15)),"EXPIRING SOON","OK")))</f>
        <v/>
      </c>
      <c r="U1574" s="24" t="str">
        <f aca="false">IF(AND(C1574="Own",Q1574="Active"),COUNTIFS($C$5:C1574,"Own",$Q$5:Q1574,"Active"),"")</f>
        <v/>
      </c>
      <c r="V1574" s="26" t="str">
        <f aca="false">IF(C1574&lt;&gt;"Own","",IF(K1574="Hourly",N1574,(L1574+M1574)/(Settings!$B$11*Settings!$B$12)))</f>
        <v/>
      </c>
    </row>
    <row r="1575" customFormat="false" ht="15" hidden="false" customHeight="false" outlineLevel="0" collapsed="false">
      <c r="R1575" s="25" t="str">
        <f aca="true">IF(I1575="","",I1575-TODAY())</f>
        <v/>
      </c>
      <c r="S1575" s="25" t="str">
        <f aca="true">IF(J1575="","",J1575-TODAY())</f>
        <v/>
      </c>
      <c r="T1575" s="24" t="str">
        <f aca="false">IF(A1575="","",IF(OR(AND(R1575&lt;&gt;"",R1575&lt;0),AND(S1575&lt;&gt;"",S1575&lt;0)),"EXPIRED",IF(OR(AND(R1575&lt;&gt;"",R1575&lt;=Settings!$B$15),AND(S1575&lt;&gt;"",S1575&lt;=Settings!$B$15)),"EXPIRING SOON","OK")))</f>
        <v/>
      </c>
      <c r="U1575" s="24" t="str">
        <f aca="false">IF(AND(C1575="Own",Q1575="Active"),COUNTIFS($C$5:C1575,"Own",$Q$5:Q1575,"Active"),"")</f>
        <v/>
      </c>
      <c r="V1575" s="26" t="str">
        <f aca="false">IF(C1575&lt;&gt;"Own","",IF(K1575="Hourly",N1575,(L1575+M1575)/(Settings!$B$11*Settings!$B$12)))</f>
        <v/>
      </c>
    </row>
    <row r="1576" customFormat="false" ht="15" hidden="false" customHeight="false" outlineLevel="0" collapsed="false">
      <c r="R1576" s="25" t="str">
        <f aca="true">IF(I1576="","",I1576-TODAY())</f>
        <v/>
      </c>
      <c r="S1576" s="25" t="str">
        <f aca="true">IF(J1576="","",J1576-TODAY())</f>
        <v/>
      </c>
      <c r="T1576" s="24" t="str">
        <f aca="false">IF(A1576="","",IF(OR(AND(R1576&lt;&gt;"",R1576&lt;0),AND(S1576&lt;&gt;"",S1576&lt;0)),"EXPIRED",IF(OR(AND(R1576&lt;&gt;"",R1576&lt;=Settings!$B$15),AND(S1576&lt;&gt;"",S1576&lt;=Settings!$B$15)),"EXPIRING SOON","OK")))</f>
        <v/>
      </c>
      <c r="U1576" s="24" t="str">
        <f aca="false">IF(AND(C1576="Own",Q1576="Active"),COUNTIFS($C$5:C1576,"Own",$Q$5:Q1576,"Active"),"")</f>
        <v/>
      </c>
      <c r="V1576" s="26" t="str">
        <f aca="false">IF(C1576&lt;&gt;"Own","",IF(K1576="Hourly",N1576,(L1576+M1576)/(Settings!$B$11*Settings!$B$12)))</f>
        <v/>
      </c>
    </row>
    <row r="1577" customFormat="false" ht="15" hidden="false" customHeight="false" outlineLevel="0" collapsed="false">
      <c r="R1577" s="25" t="str">
        <f aca="true">IF(I1577="","",I1577-TODAY())</f>
        <v/>
      </c>
      <c r="S1577" s="25" t="str">
        <f aca="true">IF(J1577="","",J1577-TODAY())</f>
        <v/>
      </c>
      <c r="T1577" s="24" t="str">
        <f aca="false">IF(A1577="","",IF(OR(AND(R1577&lt;&gt;"",R1577&lt;0),AND(S1577&lt;&gt;"",S1577&lt;0)),"EXPIRED",IF(OR(AND(R1577&lt;&gt;"",R1577&lt;=Settings!$B$15),AND(S1577&lt;&gt;"",S1577&lt;=Settings!$B$15)),"EXPIRING SOON","OK")))</f>
        <v/>
      </c>
      <c r="U1577" s="24" t="str">
        <f aca="false">IF(AND(C1577="Own",Q1577="Active"),COUNTIFS($C$5:C1577,"Own",$Q$5:Q1577,"Active"),"")</f>
        <v/>
      </c>
      <c r="V1577" s="26" t="str">
        <f aca="false">IF(C1577&lt;&gt;"Own","",IF(K1577="Hourly",N1577,(L1577+M1577)/(Settings!$B$11*Settings!$B$12)))</f>
        <v/>
      </c>
    </row>
    <row r="1578" customFormat="false" ht="15" hidden="false" customHeight="false" outlineLevel="0" collapsed="false">
      <c r="R1578" s="25" t="str">
        <f aca="true">IF(I1578="","",I1578-TODAY())</f>
        <v/>
      </c>
      <c r="S1578" s="25" t="str">
        <f aca="true">IF(J1578="","",J1578-TODAY())</f>
        <v/>
      </c>
      <c r="T1578" s="24" t="str">
        <f aca="false">IF(A1578="","",IF(OR(AND(R1578&lt;&gt;"",R1578&lt;0),AND(S1578&lt;&gt;"",S1578&lt;0)),"EXPIRED",IF(OR(AND(R1578&lt;&gt;"",R1578&lt;=Settings!$B$15),AND(S1578&lt;&gt;"",S1578&lt;=Settings!$B$15)),"EXPIRING SOON","OK")))</f>
        <v/>
      </c>
      <c r="U1578" s="24" t="str">
        <f aca="false">IF(AND(C1578="Own",Q1578="Active"),COUNTIFS($C$5:C1578,"Own",$Q$5:Q1578,"Active"),"")</f>
        <v/>
      </c>
      <c r="V1578" s="26" t="str">
        <f aca="false">IF(C1578&lt;&gt;"Own","",IF(K1578="Hourly",N1578,(L1578+M1578)/(Settings!$B$11*Settings!$B$12)))</f>
        <v/>
      </c>
    </row>
    <row r="1579" customFormat="false" ht="15" hidden="false" customHeight="false" outlineLevel="0" collapsed="false">
      <c r="R1579" s="25" t="str">
        <f aca="true">IF(I1579="","",I1579-TODAY())</f>
        <v/>
      </c>
      <c r="S1579" s="25" t="str">
        <f aca="true">IF(J1579="","",J1579-TODAY())</f>
        <v/>
      </c>
      <c r="T1579" s="24" t="str">
        <f aca="false">IF(A1579="","",IF(OR(AND(R1579&lt;&gt;"",R1579&lt;0),AND(S1579&lt;&gt;"",S1579&lt;0)),"EXPIRED",IF(OR(AND(R1579&lt;&gt;"",R1579&lt;=Settings!$B$15),AND(S1579&lt;&gt;"",S1579&lt;=Settings!$B$15)),"EXPIRING SOON","OK")))</f>
        <v/>
      </c>
      <c r="U1579" s="24" t="str">
        <f aca="false">IF(AND(C1579="Own",Q1579="Active"),COUNTIFS($C$5:C1579,"Own",$Q$5:Q1579,"Active"),"")</f>
        <v/>
      </c>
      <c r="V1579" s="26" t="str">
        <f aca="false">IF(C1579&lt;&gt;"Own","",IF(K1579="Hourly",N1579,(L1579+M1579)/(Settings!$B$11*Settings!$B$12)))</f>
        <v/>
      </c>
    </row>
    <row r="1580" customFormat="false" ht="15" hidden="false" customHeight="false" outlineLevel="0" collapsed="false">
      <c r="R1580" s="25" t="str">
        <f aca="true">IF(I1580="","",I1580-TODAY())</f>
        <v/>
      </c>
      <c r="S1580" s="25" t="str">
        <f aca="true">IF(J1580="","",J1580-TODAY())</f>
        <v/>
      </c>
      <c r="T1580" s="24" t="str">
        <f aca="false">IF(A1580="","",IF(OR(AND(R1580&lt;&gt;"",R1580&lt;0),AND(S1580&lt;&gt;"",S1580&lt;0)),"EXPIRED",IF(OR(AND(R1580&lt;&gt;"",R1580&lt;=Settings!$B$15),AND(S1580&lt;&gt;"",S1580&lt;=Settings!$B$15)),"EXPIRING SOON","OK")))</f>
        <v/>
      </c>
      <c r="U1580" s="24" t="str">
        <f aca="false">IF(AND(C1580="Own",Q1580="Active"),COUNTIFS($C$5:C1580,"Own",$Q$5:Q1580,"Active"),"")</f>
        <v/>
      </c>
      <c r="V1580" s="26" t="str">
        <f aca="false">IF(C1580&lt;&gt;"Own","",IF(K1580="Hourly",N1580,(L1580+M1580)/(Settings!$B$11*Settings!$B$12)))</f>
        <v/>
      </c>
    </row>
    <row r="1581" customFormat="false" ht="15" hidden="false" customHeight="false" outlineLevel="0" collapsed="false">
      <c r="R1581" s="25" t="str">
        <f aca="true">IF(I1581="","",I1581-TODAY())</f>
        <v/>
      </c>
      <c r="S1581" s="25" t="str">
        <f aca="true">IF(J1581="","",J1581-TODAY())</f>
        <v/>
      </c>
      <c r="T1581" s="24" t="str">
        <f aca="false">IF(A1581="","",IF(OR(AND(R1581&lt;&gt;"",R1581&lt;0),AND(S1581&lt;&gt;"",S1581&lt;0)),"EXPIRED",IF(OR(AND(R1581&lt;&gt;"",R1581&lt;=Settings!$B$15),AND(S1581&lt;&gt;"",S1581&lt;=Settings!$B$15)),"EXPIRING SOON","OK")))</f>
        <v/>
      </c>
      <c r="U1581" s="24" t="str">
        <f aca="false">IF(AND(C1581="Own",Q1581="Active"),COUNTIFS($C$5:C1581,"Own",$Q$5:Q1581,"Active"),"")</f>
        <v/>
      </c>
      <c r="V1581" s="26" t="str">
        <f aca="false">IF(C1581&lt;&gt;"Own","",IF(K1581="Hourly",N1581,(L1581+M1581)/(Settings!$B$11*Settings!$B$12)))</f>
        <v/>
      </c>
    </row>
    <row r="1582" customFormat="false" ht="15" hidden="false" customHeight="false" outlineLevel="0" collapsed="false">
      <c r="R1582" s="25" t="str">
        <f aca="true">IF(I1582="","",I1582-TODAY())</f>
        <v/>
      </c>
      <c r="S1582" s="25" t="str">
        <f aca="true">IF(J1582="","",J1582-TODAY())</f>
        <v/>
      </c>
      <c r="T1582" s="24" t="str">
        <f aca="false">IF(A1582="","",IF(OR(AND(R1582&lt;&gt;"",R1582&lt;0),AND(S1582&lt;&gt;"",S1582&lt;0)),"EXPIRED",IF(OR(AND(R1582&lt;&gt;"",R1582&lt;=Settings!$B$15),AND(S1582&lt;&gt;"",S1582&lt;=Settings!$B$15)),"EXPIRING SOON","OK")))</f>
        <v/>
      </c>
      <c r="U1582" s="24" t="str">
        <f aca="false">IF(AND(C1582="Own",Q1582="Active"),COUNTIFS($C$5:C1582,"Own",$Q$5:Q1582,"Active"),"")</f>
        <v/>
      </c>
      <c r="V1582" s="26" t="str">
        <f aca="false">IF(C1582&lt;&gt;"Own","",IF(K1582="Hourly",N1582,(L1582+M1582)/(Settings!$B$11*Settings!$B$12)))</f>
        <v/>
      </c>
    </row>
    <row r="1583" customFormat="false" ht="15" hidden="false" customHeight="false" outlineLevel="0" collapsed="false">
      <c r="R1583" s="25" t="str">
        <f aca="true">IF(I1583="","",I1583-TODAY())</f>
        <v/>
      </c>
      <c r="S1583" s="25" t="str">
        <f aca="true">IF(J1583="","",J1583-TODAY())</f>
        <v/>
      </c>
      <c r="T1583" s="24" t="str">
        <f aca="false">IF(A1583="","",IF(OR(AND(R1583&lt;&gt;"",R1583&lt;0),AND(S1583&lt;&gt;"",S1583&lt;0)),"EXPIRED",IF(OR(AND(R1583&lt;&gt;"",R1583&lt;=Settings!$B$15),AND(S1583&lt;&gt;"",S1583&lt;=Settings!$B$15)),"EXPIRING SOON","OK")))</f>
        <v/>
      </c>
      <c r="U1583" s="24" t="str">
        <f aca="false">IF(AND(C1583="Own",Q1583="Active"),COUNTIFS($C$5:C1583,"Own",$Q$5:Q1583,"Active"),"")</f>
        <v/>
      </c>
      <c r="V1583" s="26" t="str">
        <f aca="false">IF(C1583&lt;&gt;"Own","",IF(K1583="Hourly",N1583,(L1583+M1583)/(Settings!$B$11*Settings!$B$12)))</f>
        <v/>
      </c>
    </row>
    <row r="1584" customFormat="false" ht="15" hidden="false" customHeight="false" outlineLevel="0" collapsed="false">
      <c r="R1584" s="25" t="str">
        <f aca="true">IF(I1584="","",I1584-TODAY())</f>
        <v/>
      </c>
      <c r="S1584" s="25" t="str">
        <f aca="true">IF(J1584="","",J1584-TODAY())</f>
        <v/>
      </c>
      <c r="T1584" s="24" t="str">
        <f aca="false">IF(A1584="","",IF(OR(AND(R1584&lt;&gt;"",R1584&lt;0),AND(S1584&lt;&gt;"",S1584&lt;0)),"EXPIRED",IF(OR(AND(R1584&lt;&gt;"",R1584&lt;=Settings!$B$15),AND(S1584&lt;&gt;"",S1584&lt;=Settings!$B$15)),"EXPIRING SOON","OK")))</f>
        <v/>
      </c>
      <c r="U1584" s="24" t="str">
        <f aca="false">IF(AND(C1584="Own",Q1584="Active"),COUNTIFS($C$5:C1584,"Own",$Q$5:Q1584,"Active"),"")</f>
        <v/>
      </c>
      <c r="V1584" s="26" t="str">
        <f aca="false">IF(C1584&lt;&gt;"Own","",IF(K1584="Hourly",N1584,(L1584+M1584)/(Settings!$B$11*Settings!$B$12)))</f>
        <v/>
      </c>
    </row>
    <row r="1585" customFormat="false" ht="15" hidden="false" customHeight="false" outlineLevel="0" collapsed="false">
      <c r="R1585" s="25" t="str">
        <f aca="true">IF(I1585="","",I1585-TODAY())</f>
        <v/>
      </c>
      <c r="S1585" s="25" t="str">
        <f aca="true">IF(J1585="","",J1585-TODAY())</f>
        <v/>
      </c>
      <c r="T1585" s="24" t="str">
        <f aca="false">IF(A1585="","",IF(OR(AND(R1585&lt;&gt;"",R1585&lt;0),AND(S1585&lt;&gt;"",S1585&lt;0)),"EXPIRED",IF(OR(AND(R1585&lt;&gt;"",R1585&lt;=Settings!$B$15),AND(S1585&lt;&gt;"",S1585&lt;=Settings!$B$15)),"EXPIRING SOON","OK")))</f>
        <v/>
      </c>
      <c r="U1585" s="24" t="str">
        <f aca="false">IF(AND(C1585="Own",Q1585="Active"),COUNTIFS($C$5:C1585,"Own",$Q$5:Q1585,"Active"),"")</f>
        <v/>
      </c>
      <c r="V1585" s="26" t="str">
        <f aca="false">IF(C1585&lt;&gt;"Own","",IF(K1585="Hourly",N1585,(L1585+M1585)/(Settings!$B$11*Settings!$B$12)))</f>
        <v/>
      </c>
    </row>
    <row r="1586" customFormat="false" ht="15" hidden="false" customHeight="false" outlineLevel="0" collapsed="false">
      <c r="R1586" s="25" t="str">
        <f aca="true">IF(I1586="","",I1586-TODAY())</f>
        <v/>
      </c>
      <c r="S1586" s="25" t="str">
        <f aca="true">IF(J1586="","",J1586-TODAY())</f>
        <v/>
      </c>
      <c r="T1586" s="24" t="str">
        <f aca="false">IF(A1586="","",IF(OR(AND(R1586&lt;&gt;"",R1586&lt;0),AND(S1586&lt;&gt;"",S1586&lt;0)),"EXPIRED",IF(OR(AND(R1586&lt;&gt;"",R1586&lt;=Settings!$B$15),AND(S1586&lt;&gt;"",S1586&lt;=Settings!$B$15)),"EXPIRING SOON","OK")))</f>
        <v/>
      </c>
      <c r="U1586" s="24" t="str">
        <f aca="false">IF(AND(C1586="Own",Q1586="Active"),COUNTIFS($C$5:C1586,"Own",$Q$5:Q1586,"Active"),"")</f>
        <v/>
      </c>
      <c r="V1586" s="26" t="str">
        <f aca="false">IF(C1586&lt;&gt;"Own","",IF(K1586="Hourly",N1586,(L1586+M1586)/(Settings!$B$11*Settings!$B$12)))</f>
        <v/>
      </c>
    </row>
    <row r="1587" customFormat="false" ht="15" hidden="false" customHeight="false" outlineLevel="0" collapsed="false">
      <c r="R1587" s="25" t="str">
        <f aca="true">IF(I1587="","",I1587-TODAY())</f>
        <v/>
      </c>
      <c r="S1587" s="25" t="str">
        <f aca="true">IF(J1587="","",J1587-TODAY())</f>
        <v/>
      </c>
      <c r="T1587" s="24" t="str">
        <f aca="false">IF(A1587="","",IF(OR(AND(R1587&lt;&gt;"",R1587&lt;0),AND(S1587&lt;&gt;"",S1587&lt;0)),"EXPIRED",IF(OR(AND(R1587&lt;&gt;"",R1587&lt;=Settings!$B$15),AND(S1587&lt;&gt;"",S1587&lt;=Settings!$B$15)),"EXPIRING SOON","OK")))</f>
        <v/>
      </c>
      <c r="U1587" s="24" t="str">
        <f aca="false">IF(AND(C1587="Own",Q1587="Active"),COUNTIFS($C$5:C1587,"Own",$Q$5:Q1587,"Active"),"")</f>
        <v/>
      </c>
      <c r="V1587" s="26" t="str">
        <f aca="false">IF(C1587&lt;&gt;"Own","",IF(K1587="Hourly",N1587,(L1587+M1587)/(Settings!$B$11*Settings!$B$12)))</f>
        <v/>
      </c>
    </row>
    <row r="1588" customFormat="false" ht="15" hidden="false" customHeight="false" outlineLevel="0" collapsed="false">
      <c r="R1588" s="25" t="str">
        <f aca="true">IF(I1588="","",I1588-TODAY())</f>
        <v/>
      </c>
      <c r="S1588" s="25" t="str">
        <f aca="true">IF(J1588="","",J1588-TODAY())</f>
        <v/>
      </c>
      <c r="T1588" s="24" t="str">
        <f aca="false">IF(A1588="","",IF(OR(AND(R1588&lt;&gt;"",R1588&lt;0),AND(S1588&lt;&gt;"",S1588&lt;0)),"EXPIRED",IF(OR(AND(R1588&lt;&gt;"",R1588&lt;=Settings!$B$15),AND(S1588&lt;&gt;"",S1588&lt;=Settings!$B$15)),"EXPIRING SOON","OK")))</f>
        <v/>
      </c>
      <c r="U1588" s="24" t="str">
        <f aca="false">IF(AND(C1588="Own",Q1588="Active"),COUNTIFS($C$5:C1588,"Own",$Q$5:Q1588,"Active"),"")</f>
        <v/>
      </c>
      <c r="V1588" s="26" t="str">
        <f aca="false">IF(C1588&lt;&gt;"Own","",IF(K1588="Hourly",N1588,(L1588+M1588)/(Settings!$B$11*Settings!$B$12)))</f>
        <v/>
      </c>
    </row>
    <row r="1589" customFormat="false" ht="15" hidden="false" customHeight="false" outlineLevel="0" collapsed="false">
      <c r="R1589" s="25" t="str">
        <f aca="true">IF(I1589="","",I1589-TODAY())</f>
        <v/>
      </c>
      <c r="S1589" s="25" t="str">
        <f aca="true">IF(J1589="","",J1589-TODAY())</f>
        <v/>
      </c>
      <c r="T1589" s="24" t="str">
        <f aca="false">IF(A1589="","",IF(OR(AND(R1589&lt;&gt;"",R1589&lt;0),AND(S1589&lt;&gt;"",S1589&lt;0)),"EXPIRED",IF(OR(AND(R1589&lt;&gt;"",R1589&lt;=Settings!$B$15),AND(S1589&lt;&gt;"",S1589&lt;=Settings!$B$15)),"EXPIRING SOON","OK")))</f>
        <v/>
      </c>
      <c r="U1589" s="24" t="str">
        <f aca="false">IF(AND(C1589="Own",Q1589="Active"),COUNTIFS($C$5:C1589,"Own",$Q$5:Q1589,"Active"),"")</f>
        <v/>
      </c>
      <c r="V1589" s="26" t="str">
        <f aca="false">IF(C1589&lt;&gt;"Own","",IF(K1589="Hourly",N1589,(L1589+M1589)/(Settings!$B$11*Settings!$B$12)))</f>
        <v/>
      </c>
    </row>
    <row r="1590" customFormat="false" ht="15" hidden="false" customHeight="false" outlineLevel="0" collapsed="false">
      <c r="R1590" s="25" t="str">
        <f aca="true">IF(I1590="","",I1590-TODAY())</f>
        <v/>
      </c>
      <c r="S1590" s="25" t="str">
        <f aca="true">IF(J1590="","",J1590-TODAY())</f>
        <v/>
      </c>
      <c r="T1590" s="24" t="str">
        <f aca="false">IF(A1590="","",IF(OR(AND(R1590&lt;&gt;"",R1590&lt;0),AND(S1590&lt;&gt;"",S1590&lt;0)),"EXPIRED",IF(OR(AND(R1590&lt;&gt;"",R1590&lt;=Settings!$B$15),AND(S1590&lt;&gt;"",S1590&lt;=Settings!$B$15)),"EXPIRING SOON","OK")))</f>
        <v/>
      </c>
      <c r="U1590" s="24" t="str">
        <f aca="false">IF(AND(C1590="Own",Q1590="Active"),COUNTIFS($C$5:C1590,"Own",$Q$5:Q1590,"Active"),"")</f>
        <v/>
      </c>
      <c r="V1590" s="26" t="str">
        <f aca="false">IF(C1590&lt;&gt;"Own","",IF(K1590="Hourly",N1590,(L1590+M1590)/(Settings!$B$11*Settings!$B$12)))</f>
        <v/>
      </c>
    </row>
    <row r="1591" customFormat="false" ht="15" hidden="false" customHeight="false" outlineLevel="0" collapsed="false">
      <c r="R1591" s="25" t="str">
        <f aca="true">IF(I1591="","",I1591-TODAY())</f>
        <v/>
      </c>
      <c r="S1591" s="25" t="str">
        <f aca="true">IF(J1591="","",J1591-TODAY())</f>
        <v/>
      </c>
      <c r="T1591" s="24" t="str">
        <f aca="false">IF(A1591="","",IF(OR(AND(R1591&lt;&gt;"",R1591&lt;0),AND(S1591&lt;&gt;"",S1591&lt;0)),"EXPIRED",IF(OR(AND(R1591&lt;&gt;"",R1591&lt;=Settings!$B$15),AND(S1591&lt;&gt;"",S1591&lt;=Settings!$B$15)),"EXPIRING SOON","OK")))</f>
        <v/>
      </c>
      <c r="U1591" s="24" t="str">
        <f aca="false">IF(AND(C1591="Own",Q1591="Active"),COUNTIFS($C$5:C1591,"Own",$Q$5:Q1591,"Active"),"")</f>
        <v/>
      </c>
      <c r="V1591" s="26" t="str">
        <f aca="false">IF(C1591&lt;&gt;"Own","",IF(K1591="Hourly",N1591,(L1591+M1591)/(Settings!$B$11*Settings!$B$12)))</f>
        <v/>
      </c>
    </row>
    <row r="1592" customFormat="false" ht="15" hidden="false" customHeight="false" outlineLevel="0" collapsed="false">
      <c r="R1592" s="25" t="str">
        <f aca="true">IF(I1592="","",I1592-TODAY())</f>
        <v/>
      </c>
      <c r="S1592" s="25" t="str">
        <f aca="true">IF(J1592="","",J1592-TODAY())</f>
        <v/>
      </c>
      <c r="T1592" s="24" t="str">
        <f aca="false">IF(A1592="","",IF(OR(AND(R1592&lt;&gt;"",R1592&lt;0),AND(S1592&lt;&gt;"",S1592&lt;0)),"EXPIRED",IF(OR(AND(R1592&lt;&gt;"",R1592&lt;=Settings!$B$15),AND(S1592&lt;&gt;"",S1592&lt;=Settings!$B$15)),"EXPIRING SOON","OK")))</f>
        <v/>
      </c>
      <c r="U1592" s="24" t="str">
        <f aca="false">IF(AND(C1592="Own",Q1592="Active"),COUNTIFS($C$5:C1592,"Own",$Q$5:Q1592,"Active"),"")</f>
        <v/>
      </c>
      <c r="V1592" s="26" t="str">
        <f aca="false">IF(C1592&lt;&gt;"Own","",IF(K1592="Hourly",N1592,(L1592+M1592)/(Settings!$B$11*Settings!$B$12)))</f>
        <v/>
      </c>
    </row>
    <row r="1593" customFormat="false" ht="15" hidden="false" customHeight="false" outlineLevel="0" collapsed="false">
      <c r="R1593" s="25" t="str">
        <f aca="true">IF(I1593="","",I1593-TODAY())</f>
        <v/>
      </c>
      <c r="S1593" s="25" t="str">
        <f aca="true">IF(J1593="","",J1593-TODAY())</f>
        <v/>
      </c>
      <c r="T1593" s="24" t="str">
        <f aca="false">IF(A1593="","",IF(OR(AND(R1593&lt;&gt;"",R1593&lt;0),AND(S1593&lt;&gt;"",S1593&lt;0)),"EXPIRED",IF(OR(AND(R1593&lt;&gt;"",R1593&lt;=Settings!$B$15),AND(S1593&lt;&gt;"",S1593&lt;=Settings!$B$15)),"EXPIRING SOON","OK")))</f>
        <v/>
      </c>
      <c r="U1593" s="24" t="str">
        <f aca="false">IF(AND(C1593="Own",Q1593="Active"),COUNTIFS($C$5:C1593,"Own",$Q$5:Q1593,"Active"),"")</f>
        <v/>
      </c>
      <c r="V1593" s="26" t="str">
        <f aca="false">IF(C1593&lt;&gt;"Own","",IF(K1593="Hourly",N1593,(L1593+M1593)/(Settings!$B$11*Settings!$B$12)))</f>
        <v/>
      </c>
    </row>
    <row r="1594" customFormat="false" ht="15" hidden="false" customHeight="false" outlineLevel="0" collapsed="false">
      <c r="R1594" s="25" t="str">
        <f aca="true">IF(I1594="","",I1594-TODAY())</f>
        <v/>
      </c>
      <c r="S1594" s="25" t="str">
        <f aca="true">IF(J1594="","",J1594-TODAY())</f>
        <v/>
      </c>
      <c r="T1594" s="24" t="str">
        <f aca="false">IF(A1594="","",IF(OR(AND(R1594&lt;&gt;"",R1594&lt;0),AND(S1594&lt;&gt;"",S1594&lt;0)),"EXPIRED",IF(OR(AND(R1594&lt;&gt;"",R1594&lt;=Settings!$B$15),AND(S1594&lt;&gt;"",S1594&lt;=Settings!$B$15)),"EXPIRING SOON","OK")))</f>
        <v/>
      </c>
      <c r="U1594" s="24" t="str">
        <f aca="false">IF(AND(C1594="Own",Q1594="Active"),COUNTIFS($C$5:C1594,"Own",$Q$5:Q1594,"Active"),"")</f>
        <v/>
      </c>
      <c r="V1594" s="26" t="str">
        <f aca="false">IF(C1594&lt;&gt;"Own","",IF(K1594="Hourly",N1594,(L1594+M1594)/(Settings!$B$11*Settings!$B$12)))</f>
        <v/>
      </c>
    </row>
    <row r="1595" customFormat="false" ht="15" hidden="false" customHeight="false" outlineLevel="0" collapsed="false">
      <c r="R1595" s="25" t="str">
        <f aca="true">IF(I1595="","",I1595-TODAY())</f>
        <v/>
      </c>
      <c r="S1595" s="25" t="str">
        <f aca="true">IF(J1595="","",J1595-TODAY())</f>
        <v/>
      </c>
      <c r="T1595" s="24" t="str">
        <f aca="false">IF(A1595="","",IF(OR(AND(R1595&lt;&gt;"",R1595&lt;0),AND(S1595&lt;&gt;"",S1595&lt;0)),"EXPIRED",IF(OR(AND(R1595&lt;&gt;"",R1595&lt;=Settings!$B$15),AND(S1595&lt;&gt;"",S1595&lt;=Settings!$B$15)),"EXPIRING SOON","OK")))</f>
        <v/>
      </c>
      <c r="U1595" s="24" t="str">
        <f aca="false">IF(AND(C1595="Own",Q1595="Active"),COUNTIFS($C$5:C1595,"Own",$Q$5:Q1595,"Active"),"")</f>
        <v/>
      </c>
      <c r="V1595" s="26" t="str">
        <f aca="false">IF(C1595&lt;&gt;"Own","",IF(K1595="Hourly",N1595,(L1595+M1595)/(Settings!$B$11*Settings!$B$12)))</f>
        <v/>
      </c>
    </row>
    <row r="1596" customFormat="false" ht="15" hidden="false" customHeight="false" outlineLevel="0" collapsed="false">
      <c r="R1596" s="25" t="str">
        <f aca="true">IF(I1596="","",I1596-TODAY())</f>
        <v/>
      </c>
      <c r="S1596" s="25" t="str">
        <f aca="true">IF(J1596="","",J1596-TODAY())</f>
        <v/>
      </c>
      <c r="T1596" s="24" t="str">
        <f aca="false">IF(A1596="","",IF(OR(AND(R1596&lt;&gt;"",R1596&lt;0),AND(S1596&lt;&gt;"",S1596&lt;0)),"EXPIRED",IF(OR(AND(R1596&lt;&gt;"",R1596&lt;=Settings!$B$15),AND(S1596&lt;&gt;"",S1596&lt;=Settings!$B$15)),"EXPIRING SOON","OK")))</f>
        <v/>
      </c>
      <c r="U1596" s="24" t="str">
        <f aca="false">IF(AND(C1596="Own",Q1596="Active"),COUNTIFS($C$5:C1596,"Own",$Q$5:Q1596,"Active"),"")</f>
        <v/>
      </c>
      <c r="V1596" s="26" t="str">
        <f aca="false">IF(C1596&lt;&gt;"Own","",IF(K1596="Hourly",N1596,(L1596+M1596)/(Settings!$B$11*Settings!$B$12)))</f>
        <v/>
      </c>
    </row>
    <row r="1597" customFormat="false" ht="15" hidden="false" customHeight="false" outlineLevel="0" collapsed="false">
      <c r="R1597" s="25" t="str">
        <f aca="true">IF(I1597="","",I1597-TODAY())</f>
        <v/>
      </c>
      <c r="S1597" s="25" t="str">
        <f aca="true">IF(J1597="","",J1597-TODAY())</f>
        <v/>
      </c>
      <c r="T1597" s="24" t="str">
        <f aca="false">IF(A1597="","",IF(OR(AND(R1597&lt;&gt;"",R1597&lt;0),AND(S1597&lt;&gt;"",S1597&lt;0)),"EXPIRED",IF(OR(AND(R1597&lt;&gt;"",R1597&lt;=Settings!$B$15),AND(S1597&lt;&gt;"",S1597&lt;=Settings!$B$15)),"EXPIRING SOON","OK")))</f>
        <v/>
      </c>
      <c r="U1597" s="24" t="str">
        <f aca="false">IF(AND(C1597="Own",Q1597="Active"),COUNTIFS($C$5:C1597,"Own",$Q$5:Q1597,"Active"),"")</f>
        <v/>
      </c>
      <c r="V1597" s="26" t="str">
        <f aca="false">IF(C1597&lt;&gt;"Own","",IF(K1597="Hourly",N1597,(L1597+M1597)/(Settings!$B$11*Settings!$B$12)))</f>
        <v/>
      </c>
    </row>
    <row r="1598" customFormat="false" ht="15" hidden="false" customHeight="false" outlineLevel="0" collapsed="false">
      <c r="R1598" s="25" t="str">
        <f aca="true">IF(I1598="","",I1598-TODAY())</f>
        <v/>
      </c>
      <c r="S1598" s="25" t="str">
        <f aca="true">IF(J1598="","",J1598-TODAY())</f>
        <v/>
      </c>
      <c r="T1598" s="24" t="str">
        <f aca="false">IF(A1598="","",IF(OR(AND(R1598&lt;&gt;"",R1598&lt;0),AND(S1598&lt;&gt;"",S1598&lt;0)),"EXPIRED",IF(OR(AND(R1598&lt;&gt;"",R1598&lt;=Settings!$B$15),AND(S1598&lt;&gt;"",S1598&lt;=Settings!$B$15)),"EXPIRING SOON","OK")))</f>
        <v/>
      </c>
      <c r="U1598" s="24" t="str">
        <f aca="false">IF(AND(C1598="Own",Q1598="Active"),COUNTIFS($C$5:C1598,"Own",$Q$5:Q1598,"Active"),"")</f>
        <v/>
      </c>
      <c r="V1598" s="26" t="str">
        <f aca="false">IF(C1598&lt;&gt;"Own","",IF(K1598="Hourly",N1598,(L1598+M1598)/(Settings!$B$11*Settings!$B$12)))</f>
        <v/>
      </c>
    </row>
    <row r="1599" customFormat="false" ht="15" hidden="false" customHeight="false" outlineLevel="0" collapsed="false">
      <c r="R1599" s="25" t="str">
        <f aca="true">IF(I1599="","",I1599-TODAY())</f>
        <v/>
      </c>
      <c r="S1599" s="25" t="str">
        <f aca="true">IF(J1599="","",J1599-TODAY())</f>
        <v/>
      </c>
      <c r="T1599" s="24" t="str">
        <f aca="false">IF(A1599="","",IF(OR(AND(R1599&lt;&gt;"",R1599&lt;0),AND(S1599&lt;&gt;"",S1599&lt;0)),"EXPIRED",IF(OR(AND(R1599&lt;&gt;"",R1599&lt;=Settings!$B$15),AND(S1599&lt;&gt;"",S1599&lt;=Settings!$B$15)),"EXPIRING SOON","OK")))</f>
        <v/>
      </c>
      <c r="U1599" s="24" t="str">
        <f aca="false">IF(AND(C1599="Own",Q1599="Active"),COUNTIFS($C$5:C1599,"Own",$Q$5:Q1599,"Active"),"")</f>
        <v/>
      </c>
      <c r="V1599" s="26" t="str">
        <f aca="false">IF(C1599&lt;&gt;"Own","",IF(K1599="Hourly",N1599,(L1599+M1599)/(Settings!$B$11*Settings!$B$12)))</f>
        <v/>
      </c>
    </row>
    <row r="1600" customFormat="false" ht="15" hidden="false" customHeight="false" outlineLevel="0" collapsed="false">
      <c r="R1600" s="25" t="str">
        <f aca="true">IF(I1600="","",I1600-TODAY())</f>
        <v/>
      </c>
      <c r="S1600" s="25" t="str">
        <f aca="true">IF(J1600="","",J1600-TODAY())</f>
        <v/>
      </c>
      <c r="T1600" s="24" t="str">
        <f aca="false">IF(A1600="","",IF(OR(AND(R1600&lt;&gt;"",R1600&lt;0),AND(S1600&lt;&gt;"",S1600&lt;0)),"EXPIRED",IF(OR(AND(R1600&lt;&gt;"",R1600&lt;=Settings!$B$15),AND(S1600&lt;&gt;"",S1600&lt;=Settings!$B$15)),"EXPIRING SOON","OK")))</f>
        <v/>
      </c>
      <c r="U1600" s="24" t="str">
        <f aca="false">IF(AND(C1600="Own",Q1600="Active"),COUNTIFS($C$5:C1600,"Own",$Q$5:Q1600,"Active"),"")</f>
        <v/>
      </c>
      <c r="V1600" s="26" t="str">
        <f aca="false">IF(C1600&lt;&gt;"Own","",IF(K1600="Hourly",N1600,(L1600+M1600)/(Settings!$B$11*Settings!$B$12)))</f>
        <v/>
      </c>
    </row>
    <row r="1601" customFormat="false" ht="15" hidden="false" customHeight="false" outlineLevel="0" collapsed="false">
      <c r="R1601" s="25" t="str">
        <f aca="true">IF(I1601="","",I1601-TODAY())</f>
        <v/>
      </c>
      <c r="S1601" s="25" t="str">
        <f aca="true">IF(J1601="","",J1601-TODAY())</f>
        <v/>
      </c>
      <c r="T1601" s="24" t="str">
        <f aca="false">IF(A1601="","",IF(OR(AND(R1601&lt;&gt;"",R1601&lt;0),AND(S1601&lt;&gt;"",S1601&lt;0)),"EXPIRED",IF(OR(AND(R1601&lt;&gt;"",R1601&lt;=Settings!$B$15),AND(S1601&lt;&gt;"",S1601&lt;=Settings!$B$15)),"EXPIRING SOON","OK")))</f>
        <v/>
      </c>
      <c r="U1601" s="24" t="str">
        <f aca="false">IF(AND(C1601="Own",Q1601="Active"),COUNTIFS($C$5:C1601,"Own",$Q$5:Q1601,"Active"),"")</f>
        <v/>
      </c>
      <c r="V1601" s="26" t="str">
        <f aca="false">IF(C1601&lt;&gt;"Own","",IF(K1601="Hourly",N1601,(L1601+M1601)/(Settings!$B$11*Settings!$B$12)))</f>
        <v/>
      </c>
    </row>
    <row r="1602" customFormat="false" ht="15" hidden="false" customHeight="false" outlineLevel="0" collapsed="false">
      <c r="R1602" s="25" t="str">
        <f aca="true">IF(I1602="","",I1602-TODAY())</f>
        <v/>
      </c>
      <c r="S1602" s="25" t="str">
        <f aca="true">IF(J1602="","",J1602-TODAY())</f>
        <v/>
      </c>
      <c r="T1602" s="24" t="str">
        <f aca="false">IF(A1602="","",IF(OR(AND(R1602&lt;&gt;"",R1602&lt;0),AND(S1602&lt;&gt;"",S1602&lt;0)),"EXPIRED",IF(OR(AND(R1602&lt;&gt;"",R1602&lt;=Settings!$B$15),AND(S1602&lt;&gt;"",S1602&lt;=Settings!$B$15)),"EXPIRING SOON","OK")))</f>
        <v/>
      </c>
      <c r="U1602" s="24" t="str">
        <f aca="false">IF(AND(C1602="Own",Q1602="Active"),COUNTIFS($C$5:C1602,"Own",$Q$5:Q1602,"Active"),"")</f>
        <v/>
      </c>
      <c r="V1602" s="26" t="str">
        <f aca="false">IF(C1602&lt;&gt;"Own","",IF(K1602="Hourly",N1602,(L1602+M1602)/(Settings!$B$11*Settings!$B$12)))</f>
        <v/>
      </c>
    </row>
    <row r="1603" customFormat="false" ht="15" hidden="false" customHeight="false" outlineLevel="0" collapsed="false">
      <c r="R1603" s="25" t="str">
        <f aca="true">IF(I1603="","",I1603-TODAY())</f>
        <v/>
      </c>
      <c r="S1603" s="25" t="str">
        <f aca="true">IF(J1603="","",J1603-TODAY())</f>
        <v/>
      </c>
      <c r="T1603" s="24" t="str">
        <f aca="false">IF(A1603="","",IF(OR(AND(R1603&lt;&gt;"",R1603&lt;0),AND(S1603&lt;&gt;"",S1603&lt;0)),"EXPIRED",IF(OR(AND(R1603&lt;&gt;"",R1603&lt;=Settings!$B$15),AND(S1603&lt;&gt;"",S1603&lt;=Settings!$B$15)),"EXPIRING SOON","OK")))</f>
        <v/>
      </c>
      <c r="U1603" s="24" t="str">
        <f aca="false">IF(AND(C1603="Own",Q1603="Active"),COUNTIFS($C$5:C1603,"Own",$Q$5:Q1603,"Active"),"")</f>
        <v/>
      </c>
      <c r="V1603" s="26" t="str">
        <f aca="false">IF(C1603&lt;&gt;"Own","",IF(K1603="Hourly",N1603,(L1603+M1603)/(Settings!$B$11*Settings!$B$12)))</f>
        <v/>
      </c>
    </row>
    <row r="1604" customFormat="false" ht="15" hidden="false" customHeight="false" outlineLevel="0" collapsed="false">
      <c r="R1604" s="25" t="str">
        <f aca="true">IF(I1604="","",I1604-TODAY())</f>
        <v/>
      </c>
      <c r="S1604" s="25" t="str">
        <f aca="true">IF(J1604="","",J1604-TODAY())</f>
        <v/>
      </c>
      <c r="T1604" s="24" t="str">
        <f aca="false">IF(A1604="","",IF(OR(AND(R1604&lt;&gt;"",R1604&lt;0),AND(S1604&lt;&gt;"",S1604&lt;0)),"EXPIRED",IF(OR(AND(R1604&lt;&gt;"",R1604&lt;=Settings!$B$15),AND(S1604&lt;&gt;"",S1604&lt;=Settings!$B$15)),"EXPIRING SOON","OK")))</f>
        <v/>
      </c>
      <c r="U1604" s="24" t="str">
        <f aca="false">IF(AND(C1604="Own",Q1604="Active"),COUNTIFS($C$5:C1604,"Own",$Q$5:Q1604,"Active"),"")</f>
        <v/>
      </c>
      <c r="V1604" s="26" t="str">
        <f aca="false">IF(C1604&lt;&gt;"Own","",IF(K1604="Hourly",N1604,(L1604+M1604)/(Settings!$B$11*Settings!$B$12)))</f>
        <v/>
      </c>
    </row>
    <row r="1605" customFormat="false" ht="15" hidden="false" customHeight="false" outlineLevel="0" collapsed="false">
      <c r="R1605" s="25" t="str">
        <f aca="true">IF(I1605="","",I1605-TODAY())</f>
        <v/>
      </c>
      <c r="S1605" s="25" t="str">
        <f aca="true">IF(J1605="","",J1605-TODAY())</f>
        <v/>
      </c>
      <c r="T1605" s="24" t="str">
        <f aca="false">IF(A1605="","",IF(OR(AND(R1605&lt;&gt;"",R1605&lt;0),AND(S1605&lt;&gt;"",S1605&lt;0)),"EXPIRED",IF(OR(AND(R1605&lt;&gt;"",R1605&lt;=Settings!$B$15),AND(S1605&lt;&gt;"",S1605&lt;=Settings!$B$15)),"EXPIRING SOON","OK")))</f>
        <v/>
      </c>
      <c r="U1605" s="24" t="str">
        <f aca="false">IF(AND(C1605="Own",Q1605="Active"),COUNTIFS($C$5:C1605,"Own",$Q$5:Q1605,"Active"),"")</f>
        <v/>
      </c>
      <c r="V1605" s="26" t="str">
        <f aca="false">IF(C1605&lt;&gt;"Own","",IF(K1605="Hourly",N1605,(L1605+M1605)/(Settings!$B$11*Settings!$B$12)))</f>
        <v/>
      </c>
    </row>
    <row r="1606" customFormat="false" ht="15" hidden="false" customHeight="false" outlineLevel="0" collapsed="false">
      <c r="R1606" s="25" t="str">
        <f aca="true">IF(I1606="","",I1606-TODAY())</f>
        <v/>
      </c>
      <c r="S1606" s="25" t="str">
        <f aca="true">IF(J1606="","",J1606-TODAY())</f>
        <v/>
      </c>
      <c r="T1606" s="24" t="str">
        <f aca="false">IF(A1606="","",IF(OR(AND(R1606&lt;&gt;"",R1606&lt;0),AND(S1606&lt;&gt;"",S1606&lt;0)),"EXPIRED",IF(OR(AND(R1606&lt;&gt;"",R1606&lt;=Settings!$B$15),AND(S1606&lt;&gt;"",S1606&lt;=Settings!$B$15)),"EXPIRING SOON","OK")))</f>
        <v/>
      </c>
      <c r="U1606" s="24" t="str">
        <f aca="false">IF(AND(C1606="Own",Q1606="Active"),COUNTIFS($C$5:C1606,"Own",$Q$5:Q1606,"Active"),"")</f>
        <v/>
      </c>
      <c r="V1606" s="26" t="str">
        <f aca="false">IF(C1606&lt;&gt;"Own","",IF(K1606="Hourly",N1606,(L1606+M1606)/(Settings!$B$11*Settings!$B$12)))</f>
        <v/>
      </c>
    </row>
    <row r="1607" customFormat="false" ht="15" hidden="false" customHeight="false" outlineLevel="0" collapsed="false">
      <c r="R1607" s="25" t="str">
        <f aca="true">IF(I1607="","",I1607-TODAY())</f>
        <v/>
      </c>
      <c r="S1607" s="25" t="str">
        <f aca="true">IF(J1607="","",J1607-TODAY())</f>
        <v/>
      </c>
      <c r="T1607" s="24" t="str">
        <f aca="false">IF(A1607="","",IF(OR(AND(R1607&lt;&gt;"",R1607&lt;0),AND(S1607&lt;&gt;"",S1607&lt;0)),"EXPIRED",IF(OR(AND(R1607&lt;&gt;"",R1607&lt;=Settings!$B$15),AND(S1607&lt;&gt;"",S1607&lt;=Settings!$B$15)),"EXPIRING SOON","OK")))</f>
        <v/>
      </c>
      <c r="U1607" s="24" t="str">
        <f aca="false">IF(AND(C1607="Own",Q1607="Active"),COUNTIFS($C$5:C1607,"Own",$Q$5:Q1607,"Active"),"")</f>
        <v/>
      </c>
      <c r="V1607" s="26" t="str">
        <f aca="false">IF(C1607&lt;&gt;"Own","",IF(K1607="Hourly",N1607,(L1607+M1607)/(Settings!$B$11*Settings!$B$12)))</f>
        <v/>
      </c>
    </row>
    <row r="1608" customFormat="false" ht="15" hidden="false" customHeight="false" outlineLevel="0" collapsed="false">
      <c r="R1608" s="25" t="str">
        <f aca="true">IF(I1608="","",I1608-TODAY())</f>
        <v/>
      </c>
      <c r="S1608" s="25" t="str">
        <f aca="true">IF(J1608="","",J1608-TODAY())</f>
        <v/>
      </c>
      <c r="T1608" s="24" t="str">
        <f aca="false">IF(A1608="","",IF(OR(AND(R1608&lt;&gt;"",R1608&lt;0),AND(S1608&lt;&gt;"",S1608&lt;0)),"EXPIRED",IF(OR(AND(R1608&lt;&gt;"",R1608&lt;=Settings!$B$15),AND(S1608&lt;&gt;"",S1608&lt;=Settings!$B$15)),"EXPIRING SOON","OK")))</f>
        <v/>
      </c>
      <c r="U1608" s="24" t="str">
        <f aca="false">IF(AND(C1608="Own",Q1608="Active"),COUNTIFS($C$5:C1608,"Own",$Q$5:Q1608,"Active"),"")</f>
        <v/>
      </c>
      <c r="V1608" s="26" t="str">
        <f aca="false">IF(C1608&lt;&gt;"Own","",IF(K1608="Hourly",N1608,(L1608+M1608)/(Settings!$B$11*Settings!$B$12)))</f>
        <v/>
      </c>
    </row>
    <row r="1609" customFormat="false" ht="15" hidden="false" customHeight="false" outlineLevel="0" collapsed="false">
      <c r="R1609" s="25" t="str">
        <f aca="true">IF(I1609="","",I1609-TODAY())</f>
        <v/>
      </c>
      <c r="S1609" s="25" t="str">
        <f aca="true">IF(J1609="","",J1609-TODAY())</f>
        <v/>
      </c>
      <c r="T1609" s="24" t="str">
        <f aca="false">IF(A1609="","",IF(OR(AND(R1609&lt;&gt;"",R1609&lt;0),AND(S1609&lt;&gt;"",S1609&lt;0)),"EXPIRED",IF(OR(AND(R1609&lt;&gt;"",R1609&lt;=Settings!$B$15),AND(S1609&lt;&gt;"",S1609&lt;=Settings!$B$15)),"EXPIRING SOON","OK")))</f>
        <v/>
      </c>
      <c r="U1609" s="24" t="str">
        <f aca="false">IF(AND(C1609="Own",Q1609="Active"),COUNTIFS($C$5:C1609,"Own",$Q$5:Q1609,"Active"),"")</f>
        <v/>
      </c>
      <c r="V1609" s="26" t="str">
        <f aca="false">IF(C1609&lt;&gt;"Own","",IF(K1609="Hourly",N1609,(L1609+M1609)/(Settings!$B$11*Settings!$B$12)))</f>
        <v/>
      </c>
    </row>
    <row r="1610" customFormat="false" ht="15" hidden="false" customHeight="false" outlineLevel="0" collapsed="false">
      <c r="R1610" s="25" t="str">
        <f aca="true">IF(I1610="","",I1610-TODAY())</f>
        <v/>
      </c>
      <c r="S1610" s="25" t="str">
        <f aca="true">IF(J1610="","",J1610-TODAY())</f>
        <v/>
      </c>
      <c r="T1610" s="24" t="str">
        <f aca="false">IF(A1610="","",IF(OR(AND(R1610&lt;&gt;"",R1610&lt;0),AND(S1610&lt;&gt;"",S1610&lt;0)),"EXPIRED",IF(OR(AND(R1610&lt;&gt;"",R1610&lt;=Settings!$B$15),AND(S1610&lt;&gt;"",S1610&lt;=Settings!$B$15)),"EXPIRING SOON","OK")))</f>
        <v/>
      </c>
      <c r="U1610" s="24" t="str">
        <f aca="false">IF(AND(C1610="Own",Q1610="Active"),COUNTIFS($C$5:C1610,"Own",$Q$5:Q1610,"Active"),"")</f>
        <v/>
      </c>
      <c r="V1610" s="26" t="str">
        <f aca="false">IF(C1610&lt;&gt;"Own","",IF(K1610="Hourly",N1610,(L1610+M1610)/(Settings!$B$11*Settings!$B$12)))</f>
        <v/>
      </c>
    </row>
    <row r="1611" customFormat="false" ht="15" hidden="false" customHeight="false" outlineLevel="0" collapsed="false">
      <c r="R1611" s="25" t="str">
        <f aca="true">IF(I1611="","",I1611-TODAY())</f>
        <v/>
      </c>
      <c r="S1611" s="25" t="str">
        <f aca="true">IF(J1611="","",J1611-TODAY())</f>
        <v/>
      </c>
      <c r="T1611" s="24" t="str">
        <f aca="false">IF(A1611="","",IF(OR(AND(R1611&lt;&gt;"",R1611&lt;0),AND(S1611&lt;&gt;"",S1611&lt;0)),"EXPIRED",IF(OR(AND(R1611&lt;&gt;"",R1611&lt;=Settings!$B$15),AND(S1611&lt;&gt;"",S1611&lt;=Settings!$B$15)),"EXPIRING SOON","OK")))</f>
        <v/>
      </c>
      <c r="U1611" s="24" t="str">
        <f aca="false">IF(AND(C1611="Own",Q1611="Active"),COUNTIFS($C$5:C1611,"Own",$Q$5:Q1611,"Active"),"")</f>
        <v/>
      </c>
      <c r="V1611" s="26" t="str">
        <f aca="false">IF(C1611&lt;&gt;"Own","",IF(K1611="Hourly",N1611,(L1611+M1611)/(Settings!$B$11*Settings!$B$12)))</f>
        <v/>
      </c>
    </row>
    <row r="1612" customFormat="false" ht="15" hidden="false" customHeight="false" outlineLevel="0" collapsed="false">
      <c r="R1612" s="25" t="str">
        <f aca="true">IF(I1612="","",I1612-TODAY())</f>
        <v/>
      </c>
      <c r="S1612" s="25" t="str">
        <f aca="true">IF(J1612="","",J1612-TODAY())</f>
        <v/>
      </c>
      <c r="T1612" s="24" t="str">
        <f aca="false">IF(A1612="","",IF(OR(AND(R1612&lt;&gt;"",R1612&lt;0),AND(S1612&lt;&gt;"",S1612&lt;0)),"EXPIRED",IF(OR(AND(R1612&lt;&gt;"",R1612&lt;=Settings!$B$15),AND(S1612&lt;&gt;"",S1612&lt;=Settings!$B$15)),"EXPIRING SOON","OK")))</f>
        <v/>
      </c>
      <c r="U1612" s="24" t="str">
        <f aca="false">IF(AND(C1612="Own",Q1612="Active"),COUNTIFS($C$5:C1612,"Own",$Q$5:Q1612,"Active"),"")</f>
        <v/>
      </c>
      <c r="V1612" s="26" t="str">
        <f aca="false">IF(C1612&lt;&gt;"Own","",IF(K1612="Hourly",N1612,(L1612+M1612)/(Settings!$B$11*Settings!$B$12)))</f>
        <v/>
      </c>
    </row>
    <row r="1613" customFormat="false" ht="15" hidden="false" customHeight="false" outlineLevel="0" collapsed="false">
      <c r="R1613" s="25" t="str">
        <f aca="true">IF(I1613="","",I1613-TODAY())</f>
        <v/>
      </c>
      <c r="S1613" s="25" t="str">
        <f aca="true">IF(J1613="","",J1613-TODAY())</f>
        <v/>
      </c>
      <c r="T1613" s="24" t="str">
        <f aca="false">IF(A1613="","",IF(OR(AND(R1613&lt;&gt;"",R1613&lt;0),AND(S1613&lt;&gt;"",S1613&lt;0)),"EXPIRED",IF(OR(AND(R1613&lt;&gt;"",R1613&lt;=Settings!$B$15),AND(S1613&lt;&gt;"",S1613&lt;=Settings!$B$15)),"EXPIRING SOON","OK")))</f>
        <v/>
      </c>
      <c r="U1613" s="24" t="str">
        <f aca="false">IF(AND(C1613="Own",Q1613="Active"),COUNTIFS($C$5:C1613,"Own",$Q$5:Q1613,"Active"),"")</f>
        <v/>
      </c>
      <c r="V1613" s="26" t="str">
        <f aca="false">IF(C1613&lt;&gt;"Own","",IF(K1613="Hourly",N1613,(L1613+M1613)/(Settings!$B$11*Settings!$B$12)))</f>
        <v/>
      </c>
    </row>
    <row r="1614" customFormat="false" ht="15" hidden="false" customHeight="false" outlineLevel="0" collapsed="false">
      <c r="R1614" s="25" t="str">
        <f aca="true">IF(I1614="","",I1614-TODAY())</f>
        <v/>
      </c>
      <c r="S1614" s="25" t="str">
        <f aca="true">IF(J1614="","",J1614-TODAY())</f>
        <v/>
      </c>
      <c r="T1614" s="24" t="str">
        <f aca="false">IF(A1614="","",IF(OR(AND(R1614&lt;&gt;"",R1614&lt;0),AND(S1614&lt;&gt;"",S1614&lt;0)),"EXPIRED",IF(OR(AND(R1614&lt;&gt;"",R1614&lt;=Settings!$B$15),AND(S1614&lt;&gt;"",S1614&lt;=Settings!$B$15)),"EXPIRING SOON","OK")))</f>
        <v/>
      </c>
      <c r="U1614" s="24" t="str">
        <f aca="false">IF(AND(C1614="Own",Q1614="Active"),COUNTIFS($C$5:C1614,"Own",$Q$5:Q1614,"Active"),"")</f>
        <v/>
      </c>
      <c r="V1614" s="26" t="str">
        <f aca="false">IF(C1614&lt;&gt;"Own","",IF(K1614="Hourly",N1614,(L1614+M1614)/(Settings!$B$11*Settings!$B$12)))</f>
        <v/>
      </c>
    </row>
    <row r="1615" customFormat="false" ht="15" hidden="false" customHeight="false" outlineLevel="0" collapsed="false">
      <c r="R1615" s="25" t="str">
        <f aca="true">IF(I1615="","",I1615-TODAY())</f>
        <v/>
      </c>
      <c r="S1615" s="25" t="str">
        <f aca="true">IF(J1615="","",J1615-TODAY())</f>
        <v/>
      </c>
      <c r="T1615" s="24" t="str">
        <f aca="false">IF(A1615="","",IF(OR(AND(R1615&lt;&gt;"",R1615&lt;0),AND(S1615&lt;&gt;"",S1615&lt;0)),"EXPIRED",IF(OR(AND(R1615&lt;&gt;"",R1615&lt;=Settings!$B$15),AND(S1615&lt;&gt;"",S1615&lt;=Settings!$B$15)),"EXPIRING SOON","OK")))</f>
        <v/>
      </c>
      <c r="U1615" s="24" t="str">
        <f aca="false">IF(AND(C1615="Own",Q1615="Active"),COUNTIFS($C$5:C1615,"Own",$Q$5:Q1615,"Active"),"")</f>
        <v/>
      </c>
      <c r="V1615" s="26" t="str">
        <f aca="false">IF(C1615&lt;&gt;"Own","",IF(K1615="Hourly",N1615,(L1615+M1615)/(Settings!$B$11*Settings!$B$12)))</f>
        <v/>
      </c>
    </row>
    <row r="1616" customFormat="false" ht="15" hidden="false" customHeight="false" outlineLevel="0" collapsed="false">
      <c r="R1616" s="25" t="str">
        <f aca="true">IF(I1616="","",I1616-TODAY())</f>
        <v/>
      </c>
      <c r="S1616" s="25" t="str">
        <f aca="true">IF(J1616="","",J1616-TODAY())</f>
        <v/>
      </c>
      <c r="T1616" s="24" t="str">
        <f aca="false">IF(A1616="","",IF(OR(AND(R1616&lt;&gt;"",R1616&lt;0),AND(S1616&lt;&gt;"",S1616&lt;0)),"EXPIRED",IF(OR(AND(R1616&lt;&gt;"",R1616&lt;=Settings!$B$15),AND(S1616&lt;&gt;"",S1616&lt;=Settings!$B$15)),"EXPIRING SOON","OK")))</f>
        <v/>
      </c>
      <c r="U1616" s="24" t="str">
        <f aca="false">IF(AND(C1616="Own",Q1616="Active"),COUNTIFS($C$5:C1616,"Own",$Q$5:Q1616,"Active"),"")</f>
        <v/>
      </c>
      <c r="V1616" s="26" t="str">
        <f aca="false">IF(C1616&lt;&gt;"Own","",IF(K1616="Hourly",N1616,(L1616+M1616)/(Settings!$B$11*Settings!$B$12)))</f>
        <v/>
      </c>
    </row>
    <row r="1617" customFormat="false" ht="15" hidden="false" customHeight="false" outlineLevel="0" collapsed="false">
      <c r="R1617" s="25" t="str">
        <f aca="true">IF(I1617="","",I1617-TODAY())</f>
        <v/>
      </c>
      <c r="S1617" s="25" t="str">
        <f aca="true">IF(J1617="","",J1617-TODAY())</f>
        <v/>
      </c>
      <c r="T1617" s="24" t="str">
        <f aca="false">IF(A1617="","",IF(OR(AND(R1617&lt;&gt;"",R1617&lt;0),AND(S1617&lt;&gt;"",S1617&lt;0)),"EXPIRED",IF(OR(AND(R1617&lt;&gt;"",R1617&lt;=Settings!$B$15),AND(S1617&lt;&gt;"",S1617&lt;=Settings!$B$15)),"EXPIRING SOON","OK")))</f>
        <v/>
      </c>
      <c r="U1617" s="24" t="str">
        <f aca="false">IF(AND(C1617="Own",Q1617="Active"),COUNTIFS($C$5:C1617,"Own",$Q$5:Q1617,"Active"),"")</f>
        <v/>
      </c>
      <c r="V1617" s="26" t="str">
        <f aca="false">IF(C1617&lt;&gt;"Own","",IF(K1617="Hourly",N1617,(L1617+M1617)/(Settings!$B$11*Settings!$B$12)))</f>
        <v/>
      </c>
    </row>
    <row r="1618" customFormat="false" ht="15" hidden="false" customHeight="false" outlineLevel="0" collapsed="false">
      <c r="R1618" s="25" t="str">
        <f aca="true">IF(I1618="","",I1618-TODAY())</f>
        <v/>
      </c>
      <c r="S1618" s="25" t="str">
        <f aca="true">IF(J1618="","",J1618-TODAY())</f>
        <v/>
      </c>
      <c r="T1618" s="24" t="str">
        <f aca="false">IF(A1618="","",IF(OR(AND(R1618&lt;&gt;"",R1618&lt;0),AND(S1618&lt;&gt;"",S1618&lt;0)),"EXPIRED",IF(OR(AND(R1618&lt;&gt;"",R1618&lt;=Settings!$B$15),AND(S1618&lt;&gt;"",S1618&lt;=Settings!$B$15)),"EXPIRING SOON","OK")))</f>
        <v/>
      </c>
      <c r="U1618" s="24" t="str">
        <f aca="false">IF(AND(C1618="Own",Q1618="Active"),COUNTIFS($C$5:C1618,"Own",$Q$5:Q1618,"Active"),"")</f>
        <v/>
      </c>
      <c r="V1618" s="26" t="str">
        <f aca="false">IF(C1618&lt;&gt;"Own","",IF(K1618="Hourly",N1618,(L1618+M1618)/(Settings!$B$11*Settings!$B$12)))</f>
        <v/>
      </c>
    </row>
    <row r="1619" customFormat="false" ht="15" hidden="false" customHeight="false" outlineLevel="0" collapsed="false">
      <c r="R1619" s="25" t="str">
        <f aca="true">IF(I1619="","",I1619-TODAY())</f>
        <v/>
      </c>
      <c r="S1619" s="25" t="str">
        <f aca="true">IF(J1619="","",J1619-TODAY())</f>
        <v/>
      </c>
      <c r="T1619" s="24" t="str">
        <f aca="false">IF(A1619="","",IF(OR(AND(R1619&lt;&gt;"",R1619&lt;0),AND(S1619&lt;&gt;"",S1619&lt;0)),"EXPIRED",IF(OR(AND(R1619&lt;&gt;"",R1619&lt;=Settings!$B$15),AND(S1619&lt;&gt;"",S1619&lt;=Settings!$B$15)),"EXPIRING SOON","OK")))</f>
        <v/>
      </c>
      <c r="U1619" s="24" t="str">
        <f aca="false">IF(AND(C1619="Own",Q1619="Active"),COUNTIFS($C$5:C1619,"Own",$Q$5:Q1619,"Active"),"")</f>
        <v/>
      </c>
      <c r="V1619" s="26" t="str">
        <f aca="false">IF(C1619&lt;&gt;"Own","",IF(K1619="Hourly",N1619,(L1619+M1619)/(Settings!$B$11*Settings!$B$12)))</f>
        <v/>
      </c>
    </row>
    <row r="1620" customFormat="false" ht="15" hidden="false" customHeight="false" outlineLevel="0" collapsed="false">
      <c r="R1620" s="25" t="str">
        <f aca="true">IF(I1620="","",I1620-TODAY())</f>
        <v/>
      </c>
      <c r="S1620" s="25" t="str">
        <f aca="true">IF(J1620="","",J1620-TODAY())</f>
        <v/>
      </c>
      <c r="T1620" s="24" t="str">
        <f aca="false">IF(A1620="","",IF(OR(AND(R1620&lt;&gt;"",R1620&lt;0),AND(S1620&lt;&gt;"",S1620&lt;0)),"EXPIRED",IF(OR(AND(R1620&lt;&gt;"",R1620&lt;=Settings!$B$15),AND(S1620&lt;&gt;"",S1620&lt;=Settings!$B$15)),"EXPIRING SOON","OK")))</f>
        <v/>
      </c>
      <c r="U1620" s="24" t="str">
        <f aca="false">IF(AND(C1620="Own",Q1620="Active"),COUNTIFS($C$5:C1620,"Own",$Q$5:Q1620,"Active"),"")</f>
        <v/>
      </c>
      <c r="V1620" s="26" t="str">
        <f aca="false">IF(C1620&lt;&gt;"Own","",IF(K1620="Hourly",N1620,(L1620+M1620)/(Settings!$B$11*Settings!$B$12)))</f>
        <v/>
      </c>
    </row>
    <row r="1621" customFormat="false" ht="15" hidden="false" customHeight="false" outlineLevel="0" collapsed="false">
      <c r="R1621" s="25" t="str">
        <f aca="true">IF(I1621="","",I1621-TODAY())</f>
        <v/>
      </c>
      <c r="S1621" s="25" t="str">
        <f aca="true">IF(J1621="","",J1621-TODAY())</f>
        <v/>
      </c>
      <c r="T1621" s="24" t="str">
        <f aca="false">IF(A1621="","",IF(OR(AND(R1621&lt;&gt;"",R1621&lt;0),AND(S1621&lt;&gt;"",S1621&lt;0)),"EXPIRED",IF(OR(AND(R1621&lt;&gt;"",R1621&lt;=Settings!$B$15),AND(S1621&lt;&gt;"",S1621&lt;=Settings!$B$15)),"EXPIRING SOON","OK")))</f>
        <v/>
      </c>
      <c r="U1621" s="24" t="str">
        <f aca="false">IF(AND(C1621="Own",Q1621="Active"),COUNTIFS($C$5:C1621,"Own",$Q$5:Q1621,"Active"),"")</f>
        <v/>
      </c>
      <c r="V1621" s="26" t="str">
        <f aca="false">IF(C1621&lt;&gt;"Own","",IF(K1621="Hourly",N1621,(L1621+M1621)/(Settings!$B$11*Settings!$B$12)))</f>
        <v/>
      </c>
    </row>
    <row r="1622" customFormat="false" ht="15" hidden="false" customHeight="false" outlineLevel="0" collapsed="false">
      <c r="R1622" s="25" t="str">
        <f aca="true">IF(I1622="","",I1622-TODAY())</f>
        <v/>
      </c>
      <c r="S1622" s="25" t="str">
        <f aca="true">IF(J1622="","",J1622-TODAY())</f>
        <v/>
      </c>
      <c r="T1622" s="24" t="str">
        <f aca="false">IF(A1622="","",IF(OR(AND(R1622&lt;&gt;"",R1622&lt;0),AND(S1622&lt;&gt;"",S1622&lt;0)),"EXPIRED",IF(OR(AND(R1622&lt;&gt;"",R1622&lt;=Settings!$B$15),AND(S1622&lt;&gt;"",S1622&lt;=Settings!$B$15)),"EXPIRING SOON","OK")))</f>
        <v/>
      </c>
      <c r="U1622" s="24" t="str">
        <f aca="false">IF(AND(C1622="Own",Q1622="Active"),COUNTIFS($C$5:C1622,"Own",$Q$5:Q1622,"Active"),"")</f>
        <v/>
      </c>
      <c r="V1622" s="26" t="str">
        <f aca="false">IF(C1622&lt;&gt;"Own","",IF(K1622="Hourly",N1622,(L1622+M1622)/(Settings!$B$11*Settings!$B$12)))</f>
        <v/>
      </c>
    </row>
    <row r="1623" customFormat="false" ht="15" hidden="false" customHeight="false" outlineLevel="0" collapsed="false">
      <c r="R1623" s="25" t="str">
        <f aca="true">IF(I1623="","",I1623-TODAY())</f>
        <v/>
      </c>
      <c r="S1623" s="25" t="str">
        <f aca="true">IF(J1623="","",J1623-TODAY())</f>
        <v/>
      </c>
      <c r="T1623" s="24" t="str">
        <f aca="false">IF(A1623="","",IF(OR(AND(R1623&lt;&gt;"",R1623&lt;0),AND(S1623&lt;&gt;"",S1623&lt;0)),"EXPIRED",IF(OR(AND(R1623&lt;&gt;"",R1623&lt;=Settings!$B$15),AND(S1623&lt;&gt;"",S1623&lt;=Settings!$B$15)),"EXPIRING SOON","OK")))</f>
        <v/>
      </c>
      <c r="U1623" s="24" t="str">
        <f aca="false">IF(AND(C1623="Own",Q1623="Active"),COUNTIFS($C$5:C1623,"Own",$Q$5:Q1623,"Active"),"")</f>
        <v/>
      </c>
      <c r="V1623" s="26" t="str">
        <f aca="false">IF(C1623&lt;&gt;"Own","",IF(K1623="Hourly",N1623,(L1623+M1623)/(Settings!$B$11*Settings!$B$12)))</f>
        <v/>
      </c>
    </row>
    <row r="1624" customFormat="false" ht="15" hidden="false" customHeight="false" outlineLevel="0" collapsed="false">
      <c r="R1624" s="25" t="str">
        <f aca="true">IF(I1624="","",I1624-TODAY())</f>
        <v/>
      </c>
      <c r="S1624" s="25" t="str">
        <f aca="true">IF(J1624="","",J1624-TODAY())</f>
        <v/>
      </c>
      <c r="T1624" s="24" t="str">
        <f aca="false">IF(A1624="","",IF(OR(AND(R1624&lt;&gt;"",R1624&lt;0),AND(S1624&lt;&gt;"",S1624&lt;0)),"EXPIRED",IF(OR(AND(R1624&lt;&gt;"",R1624&lt;=Settings!$B$15),AND(S1624&lt;&gt;"",S1624&lt;=Settings!$B$15)),"EXPIRING SOON","OK")))</f>
        <v/>
      </c>
      <c r="U1624" s="24" t="str">
        <f aca="false">IF(AND(C1624="Own",Q1624="Active"),COUNTIFS($C$5:C1624,"Own",$Q$5:Q1624,"Active"),"")</f>
        <v/>
      </c>
      <c r="V1624" s="26" t="str">
        <f aca="false">IF(C1624&lt;&gt;"Own","",IF(K1624="Hourly",N1624,(L1624+M1624)/(Settings!$B$11*Settings!$B$12)))</f>
        <v/>
      </c>
    </row>
    <row r="1625" customFormat="false" ht="15" hidden="false" customHeight="false" outlineLevel="0" collapsed="false">
      <c r="R1625" s="25" t="str">
        <f aca="true">IF(I1625="","",I1625-TODAY())</f>
        <v/>
      </c>
      <c r="S1625" s="25" t="str">
        <f aca="true">IF(J1625="","",J1625-TODAY())</f>
        <v/>
      </c>
      <c r="T1625" s="24" t="str">
        <f aca="false">IF(A1625="","",IF(OR(AND(R1625&lt;&gt;"",R1625&lt;0),AND(S1625&lt;&gt;"",S1625&lt;0)),"EXPIRED",IF(OR(AND(R1625&lt;&gt;"",R1625&lt;=Settings!$B$15),AND(S1625&lt;&gt;"",S1625&lt;=Settings!$B$15)),"EXPIRING SOON","OK")))</f>
        <v/>
      </c>
      <c r="U1625" s="24" t="str">
        <f aca="false">IF(AND(C1625="Own",Q1625="Active"),COUNTIFS($C$5:C1625,"Own",$Q$5:Q1625,"Active"),"")</f>
        <v/>
      </c>
      <c r="V1625" s="26" t="str">
        <f aca="false">IF(C1625&lt;&gt;"Own","",IF(K1625="Hourly",N1625,(L1625+M1625)/(Settings!$B$11*Settings!$B$12)))</f>
        <v/>
      </c>
    </row>
    <row r="1626" customFormat="false" ht="15" hidden="false" customHeight="false" outlineLevel="0" collapsed="false">
      <c r="R1626" s="25" t="str">
        <f aca="true">IF(I1626="","",I1626-TODAY())</f>
        <v/>
      </c>
      <c r="S1626" s="25" t="str">
        <f aca="true">IF(J1626="","",J1626-TODAY())</f>
        <v/>
      </c>
      <c r="T1626" s="24" t="str">
        <f aca="false">IF(A1626="","",IF(OR(AND(R1626&lt;&gt;"",R1626&lt;0),AND(S1626&lt;&gt;"",S1626&lt;0)),"EXPIRED",IF(OR(AND(R1626&lt;&gt;"",R1626&lt;=Settings!$B$15),AND(S1626&lt;&gt;"",S1626&lt;=Settings!$B$15)),"EXPIRING SOON","OK")))</f>
        <v/>
      </c>
      <c r="U1626" s="24" t="str">
        <f aca="false">IF(AND(C1626="Own",Q1626="Active"),COUNTIFS($C$5:C1626,"Own",$Q$5:Q1626,"Active"),"")</f>
        <v/>
      </c>
      <c r="V1626" s="26" t="str">
        <f aca="false">IF(C1626&lt;&gt;"Own","",IF(K1626="Hourly",N1626,(L1626+M1626)/(Settings!$B$11*Settings!$B$12)))</f>
        <v/>
      </c>
    </row>
    <row r="1627" customFormat="false" ht="15" hidden="false" customHeight="false" outlineLevel="0" collapsed="false">
      <c r="R1627" s="25" t="str">
        <f aca="true">IF(I1627="","",I1627-TODAY())</f>
        <v/>
      </c>
      <c r="S1627" s="25" t="str">
        <f aca="true">IF(J1627="","",J1627-TODAY())</f>
        <v/>
      </c>
      <c r="T1627" s="24" t="str">
        <f aca="false">IF(A1627="","",IF(OR(AND(R1627&lt;&gt;"",R1627&lt;0),AND(S1627&lt;&gt;"",S1627&lt;0)),"EXPIRED",IF(OR(AND(R1627&lt;&gt;"",R1627&lt;=Settings!$B$15),AND(S1627&lt;&gt;"",S1627&lt;=Settings!$B$15)),"EXPIRING SOON","OK")))</f>
        <v/>
      </c>
      <c r="U1627" s="24" t="str">
        <f aca="false">IF(AND(C1627="Own",Q1627="Active"),COUNTIFS($C$5:C1627,"Own",$Q$5:Q1627,"Active"),"")</f>
        <v/>
      </c>
      <c r="V1627" s="26" t="str">
        <f aca="false">IF(C1627&lt;&gt;"Own","",IF(K1627="Hourly",N1627,(L1627+M1627)/(Settings!$B$11*Settings!$B$12)))</f>
        <v/>
      </c>
    </row>
    <row r="1628" customFormat="false" ht="15" hidden="false" customHeight="false" outlineLevel="0" collapsed="false">
      <c r="R1628" s="25" t="str">
        <f aca="true">IF(I1628="","",I1628-TODAY())</f>
        <v/>
      </c>
      <c r="S1628" s="25" t="str">
        <f aca="true">IF(J1628="","",J1628-TODAY())</f>
        <v/>
      </c>
      <c r="T1628" s="24" t="str">
        <f aca="false">IF(A1628="","",IF(OR(AND(R1628&lt;&gt;"",R1628&lt;0),AND(S1628&lt;&gt;"",S1628&lt;0)),"EXPIRED",IF(OR(AND(R1628&lt;&gt;"",R1628&lt;=Settings!$B$15),AND(S1628&lt;&gt;"",S1628&lt;=Settings!$B$15)),"EXPIRING SOON","OK")))</f>
        <v/>
      </c>
      <c r="U1628" s="24" t="str">
        <f aca="false">IF(AND(C1628="Own",Q1628="Active"),COUNTIFS($C$5:C1628,"Own",$Q$5:Q1628,"Active"),"")</f>
        <v/>
      </c>
      <c r="V1628" s="26" t="str">
        <f aca="false">IF(C1628&lt;&gt;"Own","",IF(K1628="Hourly",N1628,(L1628+M1628)/(Settings!$B$11*Settings!$B$12)))</f>
        <v/>
      </c>
    </row>
    <row r="1629" customFormat="false" ht="15" hidden="false" customHeight="false" outlineLevel="0" collapsed="false">
      <c r="R1629" s="25" t="str">
        <f aca="true">IF(I1629="","",I1629-TODAY())</f>
        <v/>
      </c>
      <c r="S1629" s="25" t="str">
        <f aca="true">IF(J1629="","",J1629-TODAY())</f>
        <v/>
      </c>
      <c r="T1629" s="24" t="str">
        <f aca="false">IF(A1629="","",IF(OR(AND(R1629&lt;&gt;"",R1629&lt;0),AND(S1629&lt;&gt;"",S1629&lt;0)),"EXPIRED",IF(OR(AND(R1629&lt;&gt;"",R1629&lt;=Settings!$B$15),AND(S1629&lt;&gt;"",S1629&lt;=Settings!$B$15)),"EXPIRING SOON","OK")))</f>
        <v/>
      </c>
      <c r="U1629" s="24" t="str">
        <f aca="false">IF(AND(C1629="Own",Q1629="Active"),COUNTIFS($C$5:C1629,"Own",$Q$5:Q1629,"Active"),"")</f>
        <v/>
      </c>
      <c r="V1629" s="26" t="str">
        <f aca="false">IF(C1629&lt;&gt;"Own","",IF(K1629="Hourly",N1629,(L1629+M1629)/(Settings!$B$11*Settings!$B$12)))</f>
        <v/>
      </c>
    </row>
    <row r="1630" customFormat="false" ht="15" hidden="false" customHeight="false" outlineLevel="0" collapsed="false">
      <c r="R1630" s="25" t="str">
        <f aca="true">IF(I1630="","",I1630-TODAY())</f>
        <v/>
      </c>
      <c r="S1630" s="25" t="str">
        <f aca="true">IF(J1630="","",J1630-TODAY())</f>
        <v/>
      </c>
      <c r="T1630" s="24" t="str">
        <f aca="false">IF(A1630="","",IF(OR(AND(R1630&lt;&gt;"",R1630&lt;0),AND(S1630&lt;&gt;"",S1630&lt;0)),"EXPIRED",IF(OR(AND(R1630&lt;&gt;"",R1630&lt;=Settings!$B$15),AND(S1630&lt;&gt;"",S1630&lt;=Settings!$B$15)),"EXPIRING SOON","OK")))</f>
        <v/>
      </c>
      <c r="U1630" s="24" t="str">
        <f aca="false">IF(AND(C1630="Own",Q1630="Active"),COUNTIFS($C$5:C1630,"Own",$Q$5:Q1630,"Active"),"")</f>
        <v/>
      </c>
      <c r="V1630" s="26" t="str">
        <f aca="false">IF(C1630&lt;&gt;"Own","",IF(K1630="Hourly",N1630,(L1630+M1630)/(Settings!$B$11*Settings!$B$12)))</f>
        <v/>
      </c>
    </row>
    <row r="1631" customFormat="false" ht="15" hidden="false" customHeight="false" outlineLevel="0" collapsed="false">
      <c r="R1631" s="25" t="str">
        <f aca="true">IF(I1631="","",I1631-TODAY())</f>
        <v/>
      </c>
      <c r="S1631" s="25" t="str">
        <f aca="true">IF(J1631="","",J1631-TODAY())</f>
        <v/>
      </c>
      <c r="T1631" s="24" t="str">
        <f aca="false">IF(A1631="","",IF(OR(AND(R1631&lt;&gt;"",R1631&lt;0),AND(S1631&lt;&gt;"",S1631&lt;0)),"EXPIRED",IF(OR(AND(R1631&lt;&gt;"",R1631&lt;=Settings!$B$15),AND(S1631&lt;&gt;"",S1631&lt;=Settings!$B$15)),"EXPIRING SOON","OK")))</f>
        <v/>
      </c>
      <c r="U1631" s="24" t="str">
        <f aca="false">IF(AND(C1631="Own",Q1631="Active"),COUNTIFS($C$5:C1631,"Own",$Q$5:Q1631,"Active"),"")</f>
        <v/>
      </c>
      <c r="V1631" s="26" t="str">
        <f aca="false">IF(C1631&lt;&gt;"Own","",IF(K1631="Hourly",N1631,(L1631+M1631)/(Settings!$B$11*Settings!$B$12)))</f>
        <v/>
      </c>
    </row>
    <row r="1632" customFormat="false" ht="15" hidden="false" customHeight="false" outlineLevel="0" collapsed="false">
      <c r="R1632" s="25" t="str">
        <f aca="true">IF(I1632="","",I1632-TODAY())</f>
        <v/>
      </c>
      <c r="S1632" s="25" t="str">
        <f aca="true">IF(J1632="","",J1632-TODAY())</f>
        <v/>
      </c>
      <c r="T1632" s="24" t="str">
        <f aca="false">IF(A1632="","",IF(OR(AND(R1632&lt;&gt;"",R1632&lt;0),AND(S1632&lt;&gt;"",S1632&lt;0)),"EXPIRED",IF(OR(AND(R1632&lt;&gt;"",R1632&lt;=Settings!$B$15),AND(S1632&lt;&gt;"",S1632&lt;=Settings!$B$15)),"EXPIRING SOON","OK")))</f>
        <v/>
      </c>
      <c r="U1632" s="24" t="str">
        <f aca="false">IF(AND(C1632="Own",Q1632="Active"),COUNTIFS($C$5:C1632,"Own",$Q$5:Q1632,"Active"),"")</f>
        <v/>
      </c>
      <c r="V1632" s="26" t="str">
        <f aca="false">IF(C1632&lt;&gt;"Own","",IF(K1632="Hourly",N1632,(L1632+M1632)/(Settings!$B$11*Settings!$B$12)))</f>
        <v/>
      </c>
    </row>
    <row r="1633" customFormat="false" ht="15" hidden="false" customHeight="false" outlineLevel="0" collapsed="false">
      <c r="R1633" s="25" t="str">
        <f aca="true">IF(I1633="","",I1633-TODAY())</f>
        <v/>
      </c>
      <c r="S1633" s="25" t="str">
        <f aca="true">IF(J1633="","",J1633-TODAY())</f>
        <v/>
      </c>
      <c r="T1633" s="24" t="str">
        <f aca="false">IF(A1633="","",IF(OR(AND(R1633&lt;&gt;"",R1633&lt;0),AND(S1633&lt;&gt;"",S1633&lt;0)),"EXPIRED",IF(OR(AND(R1633&lt;&gt;"",R1633&lt;=Settings!$B$15),AND(S1633&lt;&gt;"",S1633&lt;=Settings!$B$15)),"EXPIRING SOON","OK")))</f>
        <v/>
      </c>
      <c r="U1633" s="24" t="str">
        <f aca="false">IF(AND(C1633="Own",Q1633="Active"),COUNTIFS($C$5:C1633,"Own",$Q$5:Q1633,"Active"),"")</f>
        <v/>
      </c>
      <c r="V1633" s="26" t="str">
        <f aca="false">IF(C1633&lt;&gt;"Own","",IF(K1633="Hourly",N1633,(L1633+M1633)/(Settings!$B$11*Settings!$B$12)))</f>
        <v/>
      </c>
    </row>
    <row r="1634" customFormat="false" ht="15" hidden="false" customHeight="false" outlineLevel="0" collapsed="false">
      <c r="R1634" s="25" t="str">
        <f aca="true">IF(I1634="","",I1634-TODAY())</f>
        <v/>
      </c>
      <c r="S1634" s="25" t="str">
        <f aca="true">IF(J1634="","",J1634-TODAY())</f>
        <v/>
      </c>
      <c r="T1634" s="24" t="str">
        <f aca="false">IF(A1634="","",IF(OR(AND(R1634&lt;&gt;"",R1634&lt;0),AND(S1634&lt;&gt;"",S1634&lt;0)),"EXPIRED",IF(OR(AND(R1634&lt;&gt;"",R1634&lt;=Settings!$B$15),AND(S1634&lt;&gt;"",S1634&lt;=Settings!$B$15)),"EXPIRING SOON","OK")))</f>
        <v/>
      </c>
      <c r="U1634" s="24" t="str">
        <f aca="false">IF(AND(C1634="Own",Q1634="Active"),COUNTIFS($C$5:C1634,"Own",$Q$5:Q1634,"Active"),"")</f>
        <v/>
      </c>
      <c r="V1634" s="26" t="str">
        <f aca="false">IF(C1634&lt;&gt;"Own","",IF(K1634="Hourly",N1634,(L1634+M1634)/(Settings!$B$11*Settings!$B$12)))</f>
        <v/>
      </c>
    </row>
    <row r="1635" customFormat="false" ht="15" hidden="false" customHeight="false" outlineLevel="0" collapsed="false">
      <c r="R1635" s="25" t="str">
        <f aca="true">IF(I1635="","",I1635-TODAY())</f>
        <v/>
      </c>
      <c r="S1635" s="25" t="str">
        <f aca="true">IF(J1635="","",J1635-TODAY())</f>
        <v/>
      </c>
      <c r="T1635" s="24" t="str">
        <f aca="false">IF(A1635="","",IF(OR(AND(R1635&lt;&gt;"",R1635&lt;0),AND(S1635&lt;&gt;"",S1635&lt;0)),"EXPIRED",IF(OR(AND(R1635&lt;&gt;"",R1635&lt;=Settings!$B$15),AND(S1635&lt;&gt;"",S1635&lt;=Settings!$B$15)),"EXPIRING SOON","OK")))</f>
        <v/>
      </c>
      <c r="U1635" s="24" t="str">
        <f aca="false">IF(AND(C1635="Own",Q1635="Active"),COUNTIFS($C$5:C1635,"Own",$Q$5:Q1635,"Active"),"")</f>
        <v/>
      </c>
      <c r="V1635" s="26" t="str">
        <f aca="false">IF(C1635&lt;&gt;"Own","",IF(K1635="Hourly",N1635,(L1635+M1635)/(Settings!$B$11*Settings!$B$12)))</f>
        <v/>
      </c>
    </row>
    <row r="1636" customFormat="false" ht="15" hidden="false" customHeight="false" outlineLevel="0" collapsed="false">
      <c r="R1636" s="25" t="str">
        <f aca="true">IF(I1636="","",I1636-TODAY())</f>
        <v/>
      </c>
      <c r="S1636" s="25" t="str">
        <f aca="true">IF(J1636="","",J1636-TODAY())</f>
        <v/>
      </c>
      <c r="T1636" s="24" t="str">
        <f aca="false">IF(A1636="","",IF(OR(AND(R1636&lt;&gt;"",R1636&lt;0),AND(S1636&lt;&gt;"",S1636&lt;0)),"EXPIRED",IF(OR(AND(R1636&lt;&gt;"",R1636&lt;=Settings!$B$15),AND(S1636&lt;&gt;"",S1636&lt;=Settings!$B$15)),"EXPIRING SOON","OK")))</f>
        <v/>
      </c>
      <c r="U1636" s="24" t="str">
        <f aca="false">IF(AND(C1636="Own",Q1636="Active"),COUNTIFS($C$5:C1636,"Own",$Q$5:Q1636,"Active"),"")</f>
        <v/>
      </c>
      <c r="V1636" s="26" t="str">
        <f aca="false">IF(C1636&lt;&gt;"Own","",IF(K1636="Hourly",N1636,(L1636+M1636)/(Settings!$B$11*Settings!$B$12)))</f>
        <v/>
      </c>
    </row>
    <row r="1637" customFormat="false" ht="15" hidden="false" customHeight="false" outlineLevel="0" collapsed="false">
      <c r="R1637" s="25" t="str">
        <f aca="true">IF(I1637="","",I1637-TODAY())</f>
        <v/>
      </c>
      <c r="S1637" s="25" t="str">
        <f aca="true">IF(J1637="","",J1637-TODAY())</f>
        <v/>
      </c>
      <c r="T1637" s="24" t="str">
        <f aca="false">IF(A1637="","",IF(OR(AND(R1637&lt;&gt;"",R1637&lt;0),AND(S1637&lt;&gt;"",S1637&lt;0)),"EXPIRED",IF(OR(AND(R1637&lt;&gt;"",R1637&lt;=Settings!$B$15),AND(S1637&lt;&gt;"",S1637&lt;=Settings!$B$15)),"EXPIRING SOON","OK")))</f>
        <v/>
      </c>
      <c r="U1637" s="24" t="str">
        <f aca="false">IF(AND(C1637="Own",Q1637="Active"),COUNTIFS($C$5:C1637,"Own",$Q$5:Q1637,"Active"),"")</f>
        <v/>
      </c>
      <c r="V1637" s="26" t="str">
        <f aca="false">IF(C1637&lt;&gt;"Own","",IF(K1637="Hourly",N1637,(L1637+M1637)/(Settings!$B$11*Settings!$B$12)))</f>
        <v/>
      </c>
    </row>
    <row r="1638" customFormat="false" ht="15" hidden="false" customHeight="false" outlineLevel="0" collapsed="false">
      <c r="R1638" s="25" t="str">
        <f aca="true">IF(I1638="","",I1638-TODAY())</f>
        <v/>
      </c>
      <c r="S1638" s="25" t="str">
        <f aca="true">IF(J1638="","",J1638-TODAY())</f>
        <v/>
      </c>
      <c r="T1638" s="24" t="str">
        <f aca="false">IF(A1638="","",IF(OR(AND(R1638&lt;&gt;"",R1638&lt;0),AND(S1638&lt;&gt;"",S1638&lt;0)),"EXPIRED",IF(OR(AND(R1638&lt;&gt;"",R1638&lt;=Settings!$B$15),AND(S1638&lt;&gt;"",S1638&lt;=Settings!$B$15)),"EXPIRING SOON","OK")))</f>
        <v/>
      </c>
      <c r="U1638" s="24" t="str">
        <f aca="false">IF(AND(C1638="Own",Q1638="Active"),COUNTIFS($C$5:C1638,"Own",$Q$5:Q1638,"Active"),"")</f>
        <v/>
      </c>
      <c r="V1638" s="26" t="str">
        <f aca="false">IF(C1638&lt;&gt;"Own","",IF(K1638="Hourly",N1638,(L1638+M1638)/(Settings!$B$11*Settings!$B$12)))</f>
        <v/>
      </c>
    </row>
    <row r="1639" customFormat="false" ht="15" hidden="false" customHeight="false" outlineLevel="0" collapsed="false">
      <c r="R1639" s="25" t="str">
        <f aca="true">IF(I1639="","",I1639-TODAY())</f>
        <v/>
      </c>
      <c r="S1639" s="25" t="str">
        <f aca="true">IF(J1639="","",J1639-TODAY())</f>
        <v/>
      </c>
      <c r="T1639" s="24" t="str">
        <f aca="false">IF(A1639="","",IF(OR(AND(R1639&lt;&gt;"",R1639&lt;0),AND(S1639&lt;&gt;"",S1639&lt;0)),"EXPIRED",IF(OR(AND(R1639&lt;&gt;"",R1639&lt;=Settings!$B$15),AND(S1639&lt;&gt;"",S1639&lt;=Settings!$B$15)),"EXPIRING SOON","OK")))</f>
        <v/>
      </c>
      <c r="U1639" s="24" t="str">
        <f aca="false">IF(AND(C1639="Own",Q1639="Active"),COUNTIFS($C$5:C1639,"Own",$Q$5:Q1639,"Active"),"")</f>
        <v/>
      </c>
      <c r="V1639" s="26" t="str">
        <f aca="false">IF(C1639&lt;&gt;"Own","",IF(K1639="Hourly",N1639,(L1639+M1639)/(Settings!$B$11*Settings!$B$12)))</f>
        <v/>
      </c>
    </row>
    <row r="1640" customFormat="false" ht="15" hidden="false" customHeight="false" outlineLevel="0" collapsed="false">
      <c r="R1640" s="25" t="str">
        <f aca="true">IF(I1640="","",I1640-TODAY())</f>
        <v/>
      </c>
      <c r="S1640" s="25" t="str">
        <f aca="true">IF(J1640="","",J1640-TODAY())</f>
        <v/>
      </c>
      <c r="T1640" s="24" t="str">
        <f aca="false">IF(A1640="","",IF(OR(AND(R1640&lt;&gt;"",R1640&lt;0),AND(S1640&lt;&gt;"",S1640&lt;0)),"EXPIRED",IF(OR(AND(R1640&lt;&gt;"",R1640&lt;=Settings!$B$15),AND(S1640&lt;&gt;"",S1640&lt;=Settings!$B$15)),"EXPIRING SOON","OK")))</f>
        <v/>
      </c>
      <c r="U1640" s="24" t="str">
        <f aca="false">IF(AND(C1640="Own",Q1640="Active"),COUNTIFS($C$5:C1640,"Own",$Q$5:Q1640,"Active"),"")</f>
        <v/>
      </c>
      <c r="V1640" s="26" t="str">
        <f aca="false">IF(C1640&lt;&gt;"Own","",IF(K1640="Hourly",N1640,(L1640+M1640)/(Settings!$B$11*Settings!$B$12)))</f>
        <v/>
      </c>
    </row>
    <row r="1641" customFormat="false" ht="15" hidden="false" customHeight="false" outlineLevel="0" collapsed="false">
      <c r="R1641" s="25" t="str">
        <f aca="true">IF(I1641="","",I1641-TODAY())</f>
        <v/>
      </c>
      <c r="S1641" s="25" t="str">
        <f aca="true">IF(J1641="","",J1641-TODAY())</f>
        <v/>
      </c>
      <c r="T1641" s="24" t="str">
        <f aca="false">IF(A1641="","",IF(OR(AND(R1641&lt;&gt;"",R1641&lt;0),AND(S1641&lt;&gt;"",S1641&lt;0)),"EXPIRED",IF(OR(AND(R1641&lt;&gt;"",R1641&lt;=Settings!$B$15),AND(S1641&lt;&gt;"",S1641&lt;=Settings!$B$15)),"EXPIRING SOON","OK")))</f>
        <v/>
      </c>
      <c r="U1641" s="24" t="str">
        <f aca="false">IF(AND(C1641="Own",Q1641="Active"),COUNTIFS($C$5:C1641,"Own",$Q$5:Q1641,"Active"),"")</f>
        <v/>
      </c>
      <c r="V1641" s="26" t="str">
        <f aca="false">IF(C1641&lt;&gt;"Own","",IF(K1641="Hourly",N1641,(L1641+M1641)/(Settings!$B$11*Settings!$B$12)))</f>
        <v/>
      </c>
    </row>
    <row r="1642" customFormat="false" ht="15" hidden="false" customHeight="false" outlineLevel="0" collapsed="false">
      <c r="R1642" s="25" t="str">
        <f aca="true">IF(I1642="","",I1642-TODAY())</f>
        <v/>
      </c>
      <c r="S1642" s="25" t="str">
        <f aca="true">IF(J1642="","",J1642-TODAY())</f>
        <v/>
      </c>
      <c r="T1642" s="24" t="str">
        <f aca="false">IF(A1642="","",IF(OR(AND(R1642&lt;&gt;"",R1642&lt;0),AND(S1642&lt;&gt;"",S1642&lt;0)),"EXPIRED",IF(OR(AND(R1642&lt;&gt;"",R1642&lt;=Settings!$B$15),AND(S1642&lt;&gt;"",S1642&lt;=Settings!$B$15)),"EXPIRING SOON","OK")))</f>
        <v/>
      </c>
      <c r="U1642" s="24" t="str">
        <f aca="false">IF(AND(C1642="Own",Q1642="Active"),COUNTIFS($C$5:C1642,"Own",$Q$5:Q1642,"Active"),"")</f>
        <v/>
      </c>
      <c r="V1642" s="26" t="str">
        <f aca="false">IF(C1642&lt;&gt;"Own","",IF(K1642="Hourly",N1642,(L1642+M1642)/(Settings!$B$11*Settings!$B$12)))</f>
        <v/>
      </c>
    </row>
    <row r="1643" customFormat="false" ht="15" hidden="false" customHeight="false" outlineLevel="0" collapsed="false">
      <c r="R1643" s="25" t="str">
        <f aca="true">IF(I1643="","",I1643-TODAY())</f>
        <v/>
      </c>
      <c r="S1643" s="25" t="str">
        <f aca="true">IF(J1643="","",J1643-TODAY())</f>
        <v/>
      </c>
      <c r="T1643" s="24" t="str">
        <f aca="false">IF(A1643="","",IF(OR(AND(R1643&lt;&gt;"",R1643&lt;0),AND(S1643&lt;&gt;"",S1643&lt;0)),"EXPIRED",IF(OR(AND(R1643&lt;&gt;"",R1643&lt;=Settings!$B$15),AND(S1643&lt;&gt;"",S1643&lt;=Settings!$B$15)),"EXPIRING SOON","OK")))</f>
        <v/>
      </c>
      <c r="U1643" s="24" t="str">
        <f aca="false">IF(AND(C1643="Own",Q1643="Active"),COUNTIFS($C$5:C1643,"Own",$Q$5:Q1643,"Active"),"")</f>
        <v/>
      </c>
      <c r="V1643" s="26" t="str">
        <f aca="false">IF(C1643&lt;&gt;"Own","",IF(K1643="Hourly",N1643,(L1643+M1643)/(Settings!$B$11*Settings!$B$12)))</f>
        <v/>
      </c>
    </row>
    <row r="1644" customFormat="false" ht="15" hidden="false" customHeight="false" outlineLevel="0" collapsed="false">
      <c r="R1644" s="25" t="str">
        <f aca="true">IF(I1644="","",I1644-TODAY())</f>
        <v/>
      </c>
      <c r="S1644" s="25" t="str">
        <f aca="true">IF(J1644="","",J1644-TODAY())</f>
        <v/>
      </c>
      <c r="T1644" s="24" t="str">
        <f aca="false">IF(A1644="","",IF(OR(AND(R1644&lt;&gt;"",R1644&lt;0),AND(S1644&lt;&gt;"",S1644&lt;0)),"EXPIRED",IF(OR(AND(R1644&lt;&gt;"",R1644&lt;=Settings!$B$15),AND(S1644&lt;&gt;"",S1644&lt;=Settings!$B$15)),"EXPIRING SOON","OK")))</f>
        <v/>
      </c>
      <c r="U1644" s="24" t="str">
        <f aca="false">IF(AND(C1644="Own",Q1644="Active"),COUNTIFS($C$5:C1644,"Own",$Q$5:Q1644,"Active"),"")</f>
        <v/>
      </c>
      <c r="V1644" s="26" t="str">
        <f aca="false">IF(C1644&lt;&gt;"Own","",IF(K1644="Hourly",N1644,(L1644+M1644)/(Settings!$B$11*Settings!$B$12)))</f>
        <v/>
      </c>
    </row>
    <row r="1645" customFormat="false" ht="15" hidden="false" customHeight="false" outlineLevel="0" collapsed="false">
      <c r="R1645" s="25" t="str">
        <f aca="true">IF(I1645="","",I1645-TODAY())</f>
        <v/>
      </c>
      <c r="S1645" s="25" t="str">
        <f aca="true">IF(J1645="","",J1645-TODAY())</f>
        <v/>
      </c>
      <c r="T1645" s="24" t="str">
        <f aca="false">IF(A1645="","",IF(OR(AND(R1645&lt;&gt;"",R1645&lt;0),AND(S1645&lt;&gt;"",S1645&lt;0)),"EXPIRED",IF(OR(AND(R1645&lt;&gt;"",R1645&lt;=Settings!$B$15),AND(S1645&lt;&gt;"",S1645&lt;=Settings!$B$15)),"EXPIRING SOON","OK")))</f>
        <v/>
      </c>
      <c r="U1645" s="24" t="str">
        <f aca="false">IF(AND(C1645="Own",Q1645="Active"),COUNTIFS($C$5:C1645,"Own",$Q$5:Q1645,"Active"),"")</f>
        <v/>
      </c>
      <c r="V1645" s="26" t="str">
        <f aca="false">IF(C1645&lt;&gt;"Own","",IF(K1645="Hourly",N1645,(L1645+M1645)/(Settings!$B$11*Settings!$B$12)))</f>
        <v/>
      </c>
    </row>
    <row r="1646" customFormat="false" ht="15" hidden="false" customHeight="false" outlineLevel="0" collapsed="false">
      <c r="R1646" s="25" t="str">
        <f aca="true">IF(I1646="","",I1646-TODAY())</f>
        <v/>
      </c>
      <c r="S1646" s="25" t="str">
        <f aca="true">IF(J1646="","",J1646-TODAY())</f>
        <v/>
      </c>
      <c r="T1646" s="24" t="str">
        <f aca="false">IF(A1646="","",IF(OR(AND(R1646&lt;&gt;"",R1646&lt;0),AND(S1646&lt;&gt;"",S1646&lt;0)),"EXPIRED",IF(OR(AND(R1646&lt;&gt;"",R1646&lt;=Settings!$B$15),AND(S1646&lt;&gt;"",S1646&lt;=Settings!$B$15)),"EXPIRING SOON","OK")))</f>
        <v/>
      </c>
      <c r="U1646" s="24" t="str">
        <f aca="false">IF(AND(C1646="Own",Q1646="Active"),COUNTIFS($C$5:C1646,"Own",$Q$5:Q1646,"Active"),"")</f>
        <v/>
      </c>
      <c r="V1646" s="26" t="str">
        <f aca="false">IF(C1646&lt;&gt;"Own","",IF(K1646="Hourly",N1646,(L1646+M1646)/(Settings!$B$11*Settings!$B$12)))</f>
        <v/>
      </c>
    </row>
    <row r="1647" customFormat="false" ht="15" hidden="false" customHeight="false" outlineLevel="0" collapsed="false">
      <c r="R1647" s="25" t="str">
        <f aca="true">IF(I1647="","",I1647-TODAY())</f>
        <v/>
      </c>
      <c r="S1647" s="25" t="str">
        <f aca="true">IF(J1647="","",J1647-TODAY())</f>
        <v/>
      </c>
      <c r="T1647" s="24" t="str">
        <f aca="false">IF(A1647="","",IF(OR(AND(R1647&lt;&gt;"",R1647&lt;0),AND(S1647&lt;&gt;"",S1647&lt;0)),"EXPIRED",IF(OR(AND(R1647&lt;&gt;"",R1647&lt;=Settings!$B$15),AND(S1647&lt;&gt;"",S1647&lt;=Settings!$B$15)),"EXPIRING SOON","OK")))</f>
        <v/>
      </c>
      <c r="U1647" s="24" t="str">
        <f aca="false">IF(AND(C1647="Own",Q1647="Active"),COUNTIFS($C$5:C1647,"Own",$Q$5:Q1647,"Active"),"")</f>
        <v/>
      </c>
      <c r="V1647" s="26" t="str">
        <f aca="false">IF(C1647&lt;&gt;"Own","",IF(K1647="Hourly",N1647,(L1647+M1647)/(Settings!$B$11*Settings!$B$12)))</f>
        <v/>
      </c>
    </row>
    <row r="1648" customFormat="false" ht="15" hidden="false" customHeight="false" outlineLevel="0" collapsed="false">
      <c r="R1648" s="25" t="str">
        <f aca="true">IF(I1648="","",I1648-TODAY())</f>
        <v/>
      </c>
      <c r="S1648" s="25" t="str">
        <f aca="true">IF(J1648="","",J1648-TODAY())</f>
        <v/>
      </c>
      <c r="T1648" s="24" t="str">
        <f aca="false">IF(A1648="","",IF(OR(AND(R1648&lt;&gt;"",R1648&lt;0),AND(S1648&lt;&gt;"",S1648&lt;0)),"EXPIRED",IF(OR(AND(R1648&lt;&gt;"",R1648&lt;=Settings!$B$15),AND(S1648&lt;&gt;"",S1648&lt;=Settings!$B$15)),"EXPIRING SOON","OK")))</f>
        <v/>
      </c>
      <c r="U1648" s="24" t="str">
        <f aca="false">IF(AND(C1648="Own",Q1648="Active"),COUNTIFS($C$5:C1648,"Own",$Q$5:Q1648,"Active"),"")</f>
        <v/>
      </c>
      <c r="V1648" s="26" t="str">
        <f aca="false">IF(C1648&lt;&gt;"Own","",IF(K1648="Hourly",N1648,(L1648+M1648)/(Settings!$B$11*Settings!$B$12)))</f>
        <v/>
      </c>
    </row>
    <row r="1649" customFormat="false" ht="15" hidden="false" customHeight="false" outlineLevel="0" collapsed="false">
      <c r="R1649" s="25" t="str">
        <f aca="true">IF(I1649="","",I1649-TODAY())</f>
        <v/>
      </c>
      <c r="S1649" s="25" t="str">
        <f aca="true">IF(J1649="","",J1649-TODAY())</f>
        <v/>
      </c>
      <c r="T1649" s="24" t="str">
        <f aca="false">IF(A1649="","",IF(OR(AND(R1649&lt;&gt;"",R1649&lt;0),AND(S1649&lt;&gt;"",S1649&lt;0)),"EXPIRED",IF(OR(AND(R1649&lt;&gt;"",R1649&lt;=Settings!$B$15),AND(S1649&lt;&gt;"",S1649&lt;=Settings!$B$15)),"EXPIRING SOON","OK")))</f>
        <v/>
      </c>
      <c r="U1649" s="24" t="str">
        <f aca="false">IF(AND(C1649="Own",Q1649="Active"),COUNTIFS($C$5:C1649,"Own",$Q$5:Q1649,"Active"),"")</f>
        <v/>
      </c>
      <c r="V1649" s="26" t="str">
        <f aca="false">IF(C1649&lt;&gt;"Own","",IF(K1649="Hourly",N1649,(L1649+M1649)/(Settings!$B$11*Settings!$B$12)))</f>
        <v/>
      </c>
    </row>
    <row r="1650" customFormat="false" ht="15" hidden="false" customHeight="false" outlineLevel="0" collapsed="false">
      <c r="R1650" s="25" t="str">
        <f aca="true">IF(I1650="","",I1650-TODAY())</f>
        <v/>
      </c>
      <c r="S1650" s="25" t="str">
        <f aca="true">IF(J1650="","",J1650-TODAY())</f>
        <v/>
      </c>
      <c r="T1650" s="24" t="str">
        <f aca="false">IF(A1650="","",IF(OR(AND(R1650&lt;&gt;"",R1650&lt;0),AND(S1650&lt;&gt;"",S1650&lt;0)),"EXPIRED",IF(OR(AND(R1650&lt;&gt;"",R1650&lt;=Settings!$B$15),AND(S1650&lt;&gt;"",S1650&lt;=Settings!$B$15)),"EXPIRING SOON","OK")))</f>
        <v/>
      </c>
      <c r="U1650" s="24" t="str">
        <f aca="false">IF(AND(C1650="Own",Q1650="Active"),COUNTIFS($C$5:C1650,"Own",$Q$5:Q1650,"Active"),"")</f>
        <v/>
      </c>
      <c r="V1650" s="26" t="str">
        <f aca="false">IF(C1650&lt;&gt;"Own","",IF(K1650="Hourly",N1650,(L1650+M1650)/(Settings!$B$11*Settings!$B$12)))</f>
        <v/>
      </c>
    </row>
    <row r="1651" customFormat="false" ht="15" hidden="false" customHeight="false" outlineLevel="0" collapsed="false">
      <c r="R1651" s="25" t="str">
        <f aca="true">IF(I1651="","",I1651-TODAY())</f>
        <v/>
      </c>
      <c r="S1651" s="25" t="str">
        <f aca="true">IF(J1651="","",J1651-TODAY())</f>
        <v/>
      </c>
      <c r="T1651" s="24" t="str">
        <f aca="false">IF(A1651="","",IF(OR(AND(R1651&lt;&gt;"",R1651&lt;0),AND(S1651&lt;&gt;"",S1651&lt;0)),"EXPIRED",IF(OR(AND(R1651&lt;&gt;"",R1651&lt;=Settings!$B$15),AND(S1651&lt;&gt;"",S1651&lt;=Settings!$B$15)),"EXPIRING SOON","OK")))</f>
        <v/>
      </c>
      <c r="U1651" s="24" t="str">
        <f aca="false">IF(AND(C1651="Own",Q1651="Active"),COUNTIFS($C$5:C1651,"Own",$Q$5:Q1651,"Active"),"")</f>
        <v/>
      </c>
      <c r="V1651" s="26" t="str">
        <f aca="false">IF(C1651&lt;&gt;"Own","",IF(K1651="Hourly",N1651,(L1651+M1651)/(Settings!$B$11*Settings!$B$12)))</f>
        <v/>
      </c>
    </row>
    <row r="1652" customFormat="false" ht="15" hidden="false" customHeight="false" outlineLevel="0" collapsed="false">
      <c r="R1652" s="25" t="str">
        <f aca="true">IF(I1652="","",I1652-TODAY())</f>
        <v/>
      </c>
      <c r="S1652" s="25" t="str">
        <f aca="true">IF(J1652="","",J1652-TODAY())</f>
        <v/>
      </c>
      <c r="T1652" s="24" t="str">
        <f aca="false">IF(A1652="","",IF(OR(AND(R1652&lt;&gt;"",R1652&lt;0),AND(S1652&lt;&gt;"",S1652&lt;0)),"EXPIRED",IF(OR(AND(R1652&lt;&gt;"",R1652&lt;=Settings!$B$15),AND(S1652&lt;&gt;"",S1652&lt;=Settings!$B$15)),"EXPIRING SOON","OK")))</f>
        <v/>
      </c>
      <c r="U1652" s="24" t="str">
        <f aca="false">IF(AND(C1652="Own",Q1652="Active"),COUNTIFS($C$5:C1652,"Own",$Q$5:Q1652,"Active"),"")</f>
        <v/>
      </c>
      <c r="V1652" s="26" t="str">
        <f aca="false">IF(C1652&lt;&gt;"Own","",IF(K1652="Hourly",N1652,(L1652+M1652)/(Settings!$B$11*Settings!$B$12)))</f>
        <v/>
      </c>
    </row>
    <row r="1653" customFormat="false" ht="15" hidden="false" customHeight="false" outlineLevel="0" collapsed="false">
      <c r="R1653" s="25" t="str">
        <f aca="true">IF(I1653="","",I1653-TODAY())</f>
        <v/>
      </c>
      <c r="S1653" s="25" t="str">
        <f aca="true">IF(J1653="","",J1653-TODAY())</f>
        <v/>
      </c>
      <c r="T1653" s="24" t="str">
        <f aca="false">IF(A1653="","",IF(OR(AND(R1653&lt;&gt;"",R1653&lt;0),AND(S1653&lt;&gt;"",S1653&lt;0)),"EXPIRED",IF(OR(AND(R1653&lt;&gt;"",R1653&lt;=Settings!$B$15),AND(S1653&lt;&gt;"",S1653&lt;=Settings!$B$15)),"EXPIRING SOON","OK")))</f>
        <v/>
      </c>
      <c r="U1653" s="24" t="str">
        <f aca="false">IF(AND(C1653="Own",Q1653="Active"),COUNTIFS($C$5:C1653,"Own",$Q$5:Q1653,"Active"),"")</f>
        <v/>
      </c>
      <c r="V1653" s="26" t="str">
        <f aca="false">IF(C1653&lt;&gt;"Own","",IF(K1653="Hourly",N1653,(L1653+M1653)/(Settings!$B$11*Settings!$B$12)))</f>
        <v/>
      </c>
    </row>
    <row r="1654" customFormat="false" ht="15" hidden="false" customHeight="false" outlineLevel="0" collapsed="false">
      <c r="R1654" s="25" t="str">
        <f aca="true">IF(I1654="","",I1654-TODAY())</f>
        <v/>
      </c>
      <c r="S1654" s="25" t="str">
        <f aca="true">IF(J1654="","",J1654-TODAY())</f>
        <v/>
      </c>
      <c r="T1654" s="24" t="str">
        <f aca="false">IF(A1654="","",IF(OR(AND(R1654&lt;&gt;"",R1654&lt;0),AND(S1654&lt;&gt;"",S1654&lt;0)),"EXPIRED",IF(OR(AND(R1654&lt;&gt;"",R1654&lt;=Settings!$B$15),AND(S1654&lt;&gt;"",S1654&lt;=Settings!$B$15)),"EXPIRING SOON","OK")))</f>
        <v/>
      </c>
      <c r="U1654" s="24" t="str">
        <f aca="false">IF(AND(C1654="Own",Q1654="Active"),COUNTIFS($C$5:C1654,"Own",$Q$5:Q1654,"Active"),"")</f>
        <v/>
      </c>
      <c r="V1654" s="26" t="str">
        <f aca="false">IF(C1654&lt;&gt;"Own","",IF(K1654="Hourly",N1654,(L1654+M1654)/(Settings!$B$11*Settings!$B$12)))</f>
        <v/>
      </c>
    </row>
    <row r="1655" customFormat="false" ht="15" hidden="false" customHeight="false" outlineLevel="0" collapsed="false">
      <c r="R1655" s="25" t="str">
        <f aca="true">IF(I1655="","",I1655-TODAY())</f>
        <v/>
      </c>
      <c r="S1655" s="25" t="str">
        <f aca="true">IF(J1655="","",J1655-TODAY())</f>
        <v/>
      </c>
      <c r="T1655" s="24" t="str">
        <f aca="false">IF(A1655="","",IF(OR(AND(R1655&lt;&gt;"",R1655&lt;0),AND(S1655&lt;&gt;"",S1655&lt;0)),"EXPIRED",IF(OR(AND(R1655&lt;&gt;"",R1655&lt;=Settings!$B$15),AND(S1655&lt;&gt;"",S1655&lt;=Settings!$B$15)),"EXPIRING SOON","OK")))</f>
        <v/>
      </c>
      <c r="U1655" s="24" t="str">
        <f aca="false">IF(AND(C1655="Own",Q1655="Active"),COUNTIFS($C$5:C1655,"Own",$Q$5:Q1655,"Active"),"")</f>
        <v/>
      </c>
      <c r="V1655" s="26" t="str">
        <f aca="false">IF(C1655&lt;&gt;"Own","",IF(K1655="Hourly",N1655,(L1655+M1655)/(Settings!$B$11*Settings!$B$12)))</f>
        <v/>
      </c>
    </row>
    <row r="1656" customFormat="false" ht="15" hidden="false" customHeight="false" outlineLevel="0" collapsed="false">
      <c r="R1656" s="25" t="str">
        <f aca="true">IF(I1656="","",I1656-TODAY())</f>
        <v/>
      </c>
      <c r="S1656" s="25" t="str">
        <f aca="true">IF(J1656="","",J1656-TODAY())</f>
        <v/>
      </c>
      <c r="T1656" s="24" t="str">
        <f aca="false">IF(A1656="","",IF(OR(AND(R1656&lt;&gt;"",R1656&lt;0),AND(S1656&lt;&gt;"",S1656&lt;0)),"EXPIRED",IF(OR(AND(R1656&lt;&gt;"",R1656&lt;=Settings!$B$15),AND(S1656&lt;&gt;"",S1656&lt;=Settings!$B$15)),"EXPIRING SOON","OK")))</f>
        <v/>
      </c>
      <c r="U1656" s="24" t="str">
        <f aca="false">IF(AND(C1656="Own",Q1656="Active"),COUNTIFS($C$5:C1656,"Own",$Q$5:Q1656,"Active"),"")</f>
        <v/>
      </c>
      <c r="V1656" s="26" t="str">
        <f aca="false">IF(C1656&lt;&gt;"Own","",IF(K1656="Hourly",N1656,(L1656+M1656)/(Settings!$B$11*Settings!$B$12)))</f>
        <v/>
      </c>
    </row>
    <row r="1657" customFormat="false" ht="15" hidden="false" customHeight="false" outlineLevel="0" collapsed="false">
      <c r="R1657" s="25" t="str">
        <f aca="true">IF(I1657="","",I1657-TODAY())</f>
        <v/>
      </c>
      <c r="S1657" s="25" t="str">
        <f aca="true">IF(J1657="","",J1657-TODAY())</f>
        <v/>
      </c>
      <c r="T1657" s="24" t="str">
        <f aca="false">IF(A1657="","",IF(OR(AND(R1657&lt;&gt;"",R1657&lt;0),AND(S1657&lt;&gt;"",S1657&lt;0)),"EXPIRED",IF(OR(AND(R1657&lt;&gt;"",R1657&lt;=Settings!$B$15),AND(S1657&lt;&gt;"",S1657&lt;=Settings!$B$15)),"EXPIRING SOON","OK")))</f>
        <v/>
      </c>
      <c r="U1657" s="24" t="str">
        <f aca="false">IF(AND(C1657="Own",Q1657="Active"),COUNTIFS($C$5:C1657,"Own",$Q$5:Q1657,"Active"),"")</f>
        <v/>
      </c>
      <c r="V1657" s="26" t="str">
        <f aca="false">IF(C1657&lt;&gt;"Own","",IF(K1657="Hourly",N1657,(L1657+M1657)/(Settings!$B$11*Settings!$B$12)))</f>
        <v/>
      </c>
    </row>
    <row r="1658" customFormat="false" ht="15" hidden="false" customHeight="false" outlineLevel="0" collapsed="false">
      <c r="R1658" s="25" t="str">
        <f aca="true">IF(I1658="","",I1658-TODAY())</f>
        <v/>
      </c>
      <c r="S1658" s="25" t="str">
        <f aca="true">IF(J1658="","",J1658-TODAY())</f>
        <v/>
      </c>
      <c r="T1658" s="24" t="str">
        <f aca="false">IF(A1658="","",IF(OR(AND(R1658&lt;&gt;"",R1658&lt;0),AND(S1658&lt;&gt;"",S1658&lt;0)),"EXPIRED",IF(OR(AND(R1658&lt;&gt;"",R1658&lt;=Settings!$B$15),AND(S1658&lt;&gt;"",S1658&lt;=Settings!$B$15)),"EXPIRING SOON","OK")))</f>
        <v/>
      </c>
      <c r="U1658" s="24" t="str">
        <f aca="false">IF(AND(C1658="Own",Q1658="Active"),COUNTIFS($C$5:C1658,"Own",$Q$5:Q1658,"Active"),"")</f>
        <v/>
      </c>
      <c r="V1658" s="26" t="str">
        <f aca="false">IF(C1658&lt;&gt;"Own","",IF(K1658="Hourly",N1658,(L1658+M1658)/(Settings!$B$11*Settings!$B$12)))</f>
        <v/>
      </c>
    </row>
    <row r="1659" customFormat="false" ht="15" hidden="false" customHeight="false" outlineLevel="0" collapsed="false">
      <c r="R1659" s="25" t="str">
        <f aca="true">IF(I1659="","",I1659-TODAY())</f>
        <v/>
      </c>
      <c r="S1659" s="25" t="str">
        <f aca="true">IF(J1659="","",J1659-TODAY())</f>
        <v/>
      </c>
      <c r="T1659" s="24" t="str">
        <f aca="false">IF(A1659="","",IF(OR(AND(R1659&lt;&gt;"",R1659&lt;0),AND(S1659&lt;&gt;"",S1659&lt;0)),"EXPIRED",IF(OR(AND(R1659&lt;&gt;"",R1659&lt;=Settings!$B$15),AND(S1659&lt;&gt;"",S1659&lt;=Settings!$B$15)),"EXPIRING SOON","OK")))</f>
        <v/>
      </c>
      <c r="U1659" s="24" t="str">
        <f aca="false">IF(AND(C1659="Own",Q1659="Active"),COUNTIFS($C$5:C1659,"Own",$Q$5:Q1659,"Active"),"")</f>
        <v/>
      </c>
      <c r="V1659" s="26" t="str">
        <f aca="false">IF(C1659&lt;&gt;"Own","",IF(K1659="Hourly",N1659,(L1659+M1659)/(Settings!$B$11*Settings!$B$12)))</f>
        <v/>
      </c>
    </row>
    <row r="1660" customFormat="false" ht="15" hidden="false" customHeight="false" outlineLevel="0" collapsed="false">
      <c r="R1660" s="25" t="str">
        <f aca="true">IF(I1660="","",I1660-TODAY())</f>
        <v/>
      </c>
      <c r="S1660" s="25" t="str">
        <f aca="true">IF(J1660="","",J1660-TODAY())</f>
        <v/>
      </c>
      <c r="T1660" s="24" t="str">
        <f aca="false">IF(A1660="","",IF(OR(AND(R1660&lt;&gt;"",R1660&lt;0),AND(S1660&lt;&gt;"",S1660&lt;0)),"EXPIRED",IF(OR(AND(R1660&lt;&gt;"",R1660&lt;=Settings!$B$15),AND(S1660&lt;&gt;"",S1660&lt;=Settings!$B$15)),"EXPIRING SOON","OK")))</f>
        <v/>
      </c>
      <c r="U1660" s="24" t="str">
        <f aca="false">IF(AND(C1660="Own",Q1660="Active"),COUNTIFS($C$5:C1660,"Own",$Q$5:Q1660,"Active"),"")</f>
        <v/>
      </c>
      <c r="V1660" s="26" t="str">
        <f aca="false">IF(C1660&lt;&gt;"Own","",IF(K1660="Hourly",N1660,(L1660+M1660)/(Settings!$B$11*Settings!$B$12)))</f>
        <v/>
      </c>
    </row>
    <row r="1661" customFormat="false" ht="15" hidden="false" customHeight="false" outlineLevel="0" collapsed="false">
      <c r="R1661" s="25" t="str">
        <f aca="true">IF(I1661="","",I1661-TODAY())</f>
        <v/>
      </c>
      <c r="S1661" s="25" t="str">
        <f aca="true">IF(J1661="","",J1661-TODAY())</f>
        <v/>
      </c>
      <c r="T1661" s="24" t="str">
        <f aca="false">IF(A1661="","",IF(OR(AND(R1661&lt;&gt;"",R1661&lt;0),AND(S1661&lt;&gt;"",S1661&lt;0)),"EXPIRED",IF(OR(AND(R1661&lt;&gt;"",R1661&lt;=Settings!$B$15),AND(S1661&lt;&gt;"",S1661&lt;=Settings!$B$15)),"EXPIRING SOON","OK")))</f>
        <v/>
      </c>
      <c r="U1661" s="24" t="str">
        <f aca="false">IF(AND(C1661="Own",Q1661="Active"),COUNTIFS($C$5:C1661,"Own",$Q$5:Q1661,"Active"),"")</f>
        <v/>
      </c>
      <c r="V1661" s="26" t="str">
        <f aca="false">IF(C1661&lt;&gt;"Own","",IF(K1661="Hourly",N1661,(L1661+M1661)/(Settings!$B$11*Settings!$B$12)))</f>
        <v/>
      </c>
    </row>
    <row r="1662" customFormat="false" ht="15" hidden="false" customHeight="false" outlineLevel="0" collapsed="false">
      <c r="R1662" s="25" t="str">
        <f aca="true">IF(I1662="","",I1662-TODAY())</f>
        <v/>
      </c>
      <c r="S1662" s="25" t="str">
        <f aca="true">IF(J1662="","",J1662-TODAY())</f>
        <v/>
      </c>
      <c r="T1662" s="24" t="str">
        <f aca="false">IF(A1662="","",IF(OR(AND(R1662&lt;&gt;"",R1662&lt;0),AND(S1662&lt;&gt;"",S1662&lt;0)),"EXPIRED",IF(OR(AND(R1662&lt;&gt;"",R1662&lt;=Settings!$B$15),AND(S1662&lt;&gt;"",S1662&lt;=Settings!$B$15)),"EXPIRING SOON","OK")))</f>
        <v/>
      </c>
      <c r="U1662" s="24" t="str">
        <f aca="false">IF(AND(C1662="Own",Q1662="Active"),COUNTIFS($C$5:C1662,"Own",$Q$5:Q1662,"Active"),"")</f>
        <v/>
      </c>
      <c r="V1662" s="26" t="str">
        <f aca="false">IF(C1662&lt;&gt;"Own","",IF(K1662="Hourly",N1662,(L1662+M1662)/(Settings!$B$11*Settings!$B$12)))</f>
        <v/>
      </c>
    </row>
    <row r="1663" customFormat="false" ht="15" hidden="false" customHeight="false" outlineLevel="0" collapsed="false">
      <c r="R1663" s="25" t="str">
        <f aca="true">IF(I1663="","",I1663-TODAY())</f>
        <v/>
      </c>
      <c r="S1663" s="25" t="str">
        <f aca="true">IF(J1663="","",J1663-TODAY())</f>
        <v/>
      </c>
      <c r="T1663" s="24" t="str">
        <f aca="false">IF(A1663="","",IF(OR(AND(R1663&lt;&gt;"",R1663&lt;0),AND(S1663&lt;&gt;"",S1663&lt;0)),"EXPIRED",IF(OR(AND(R1663&lt;&gt;"",R1663&lt;=Settings!$B$15),AND(S1663&lt;&gt;"",S1663&lt;=Settings!$B$15)),"EXPIRING SOON","OK")))</f>
        <v/>
      </c>
      <c r="U1663" s="24" t="str">
        <f aca="false">IF(AND(C1663="Own",Q1663="Active"),COUNTIFS($C$5:C1663,"Own",$Q$5:Q1663,"Active"),"")</f>
        <v/>
      </c>
      <c r="V1663" s="26" t="str">
        <f aca="false">IF(C1663&lt;&gt;"Own","",IF(K1663="Hourly",N1663,(L1663+M1663)/(Settings!$B$11*Settings!$B$12)))</f>
        <v/>
      </c>
    </row>
    <row r="1664" customFormat="false" ht="15" hidden="false" customHeight="false" outlineLevel="0" collapsed="false">
      <c r="R1664" s="25" t="str">
        <f aca="true">IF(I1664="","",I1664-TODAY())</f>
        <v/>
      </c>
      <c r="S1664" s="25" t="str">
        <f aca="true">IF(J1664="","",J1664-TODAY())</f>
        <v/>
      </c>
      <c r="T1664" s="24" t="str">
        <f aca="false">IF(A1664="","",IF(OR(AND(R1664&lt;&gt;"",R1664&lt;0),AND(S1664&lt;&gt;"",S1664&lt;0)),"EXPIRED",IF(OR(AND(R1664&lt;&gt;"",R1664&lt;=Settings!$B$15),AND(S1664&lt;&gt;"",S1664&lt;=Settings!$B$15)),"EXPIRING SOON","OK")))</f>
        <v/>
      </c>
      <c r="U1664" s="24" t="str">
        <f aca="false">IF(AND(C1664="Own",Q1664="Active"),COUNTIFS($C$5:C1664,"Own",$Q$5:Q1664,"Active"),"")</f>
        <v/>
      </c>
      <c r="V1664" s="26" t="str">
        <f aca="false">IF(C1664&lt;&gt;"Own","",IF(K1664="Hourly",N1664,(L1664+M1664)/(Settings!$B$11*Settings!$B$12)))</f>
        <v/>
      </c>
    </row>
    <row r="1665" customFormat="false" ht="15" hidden="false" customHeight="false" outlineLevel="0" collapsed="false">
      <c r="R1665" s="25" t="str">
        <f aca="true">IF(I1665="","",I1665-TODAY())</f>
        <v/>
      </c>
      <c r="S1665" s="25" t="str">
        <f aca="true">IF(J1665="","",J1665-TODAY())</f>
        <v/>
      </c>
      <c r="T1665" s="24" t="str">
        <f aca="false">IF(A1665="","",IF(OR(AND(R1665&lt;&gt;"",R1665&lt;0),AND(S1665&lt;&gt;"",S1665&lt;0)),"EXPIRED",IF(OR(AND(R1665&lt;&gt;"",R1665&lt;=Settings!$B$15),AND(S1665&lt;&gt;"",S1665&lt;=Settings!$B$15)),"EXPIRING SOON","OK")))</f>
        <v/>
      </c>
      <c r="U1665" s="24" t="str">
        <f aca="false">IF(AND(C1665="Own",Q1665="Active"),COUNTIFS($C$5:C1665,"Own",$Q$5:Q1665,"Active"),"")</f>
        <v/>
      </c>
      <c r="V1665" s="26" t="str">
        <f aca="false">IF(C1665&lt;&gt;"Own","",IF(K1665="Hourly",N1665,(L1665+M1665)/(Settings!$B$11*Settings!$B$12)))</f>
        <v/>
      </c>
    </row>
    <row r="1666" customFormat="false" ht="15" hidden="false" customHeight="false" outlineLevel="0" collapsed="false">
      <c r="R1666" s="25" t="str">
        <f aca="true">IF(I1666="","",I1666-TODAY())</f>
        <v/>
      </c>
      <c r="S1666" s="25" t="str">
        <f aca="true">IF(J1666="","",J1666-TODAY())</f>
        <v/>
      </c>
      <c r="T1666" s="24" t="str">
        <f aca="false">IF(A1666="","",IF(OR(AND(R1666&lt;&gt;"",R1666&lt;0),AND(S1666&lt;&gt;"",S1666&lt;0)),"EXPIRED",IF(OR(AND(R1666&lt;&gt;"",R1666&lt;=Settings!$B$15),AND(S1666&lt;&gt;"",S1666&lt;=Settings!$B$15)),"EXPIRING SOON","OK")))</f>
        <v/>
      </c>
      <c r="U1666" s="24" t="str">
        <f aca="false">IF(AND(C1666="Own",Q1666="Active"),COUNTIFS($C$5:C1666,"Own",$Q$5:Q1666,"Active"),"")</f>
        <v/>
      </c>
      <c r="V1666" s="26" t="str">
        <f aca="false">IF(C1666&lt;&gt;"Own","",IF(K1666="Hourly",N1666,(L1666+M1666)/(Settings!$B$11*Settings!$B$12)))</f>
        <v/>
      </c>
    </row>
    <row r="1667" customFormat="false" ht="15" hidden="false" customHeight="false" outlineLevel="0" collapsed="false">
      <c r="R1667" s="25" t="str">
        <f aca="true">IF(I1667="","",I1667-TODAY())</f>
        <v/>
      </c>
      <c r="S1667" s="25" t="str">
        <f aca="true">IF(J1667="","",J1667-TODAY())</f>
        <v/>
      </c>
      <c r="T1667" s="24" t="str">
        <f aca="false">IF(A1667="","",IF(OR(AND(R1667&lt;&gt;"",R1667&lt;0),AND(S1667&lt;&gt;"",S1667&lt;0)),"EXPIRED",IF(OR(AND(R1667&lt;&gt;"",R1667&lt;=Settings!$B$15),AND(S1667&lt;&gt;"",S1667&lt;=Settings!$B$15)),"EXPIRING SOON","OK")))</f>
        <v/>
      </c>
      <c r="U1667" s="24" t="str">
        <f aca="false">IF(AND(C1667="Own",Q1667="Active"),COUNTIFS($C$5:C1667,"Own",$Q$5:Q1667,"Active"),"")</f>
        <v/>
      </c>
      <c r="V1667" s="26" t="str">
        <f aca="false">IF(C1667&lt;&gt;"Own","",IF(K1667="Hourly",N1667,(L1667+M1667)/(Settings!$B$11*Settings!$B$12)))</f>
        <v/>
      </c>
    </row>
    <row r="1668" customFormat="false" ht="15" hidden="false" customHeight="false" outlineLevel="0" collapsed="false">
      <c r="R1668" s="25" t="str">
        <f aca="true">IF(I1668="","",I1668-TODAY())</f>
        <v/>
      </c>
      <c r="S1668" s="25" t="str">
        <f aca="true">IF(J1668="","",J1668-TODAY())</f>
        <v/>
      </c>
      <c r="T1668" s="24" t="str">
        <f aca="false">IF(A1668="","",IF(OR(AND(R1668&lt;&gt;"",R1668&lt;0),AND(S1668&lt;&gt;"",S1668&lt;0)),"EXPIRED",IF(OR(AND(R1668&lt;&gt;"",R1668&lt;=Settings!$B$15),AND(S1668&lt;&gt;"",S1668&lt;=Settings!$B$15)),"EXPIRING SOON","OK")))</f>
        <v/>
      </c>
      <c r="U1668" s="24" t="str">
        <f aca="false">IF(AND(C1668="Own",Q1668="Active"),COUNTIFS($C$5:C1668,"Own",$Q$5:Q1668,"Active"),"")</f>
        <v/>
      </c>
      <c r="V1668" s="26" t="str">
        <f aca="false">IF(C1668&lt;&gt;"Own","",IF(K1668="Hourly",N1668,(L1668+M1668)/(Settings!$B$11*Settings!$B$12)))</f>
        <v/>
      </c>
    </row>
    <row r="1669" customFormat="false" ht="15" hidden="false" customHeight="false" outlineLevel="0" collapsed="false">
      <c r="R1669" s="25" t="str">
        <f aca="true">IF(I1669="","",I1669-TODAY())</f>
        <v/>
      </c>
      <c r="S1669" s="25" t="str">
        <f aca="true">IF(J1669="","",J1669-TODAY())</f>
        <v/>
      </c>
      <c r="T1669" s="24" t="str">
        <f aca="false">IF(A1669="","",IF(OR(AND(R1669&lt;&gt;"",R1669&lt;0),AND(S1669&lt;&gt;"",S1669&lt;0)),"EXPIRED",IF(OR(AND(R1669&lt;&gt;"",R1669&lt;=Settings!$B$15),AND(S1669&lt;&gt;"",S1669&lt;=Settings!$B$15)),"EXPIRING SOON","OK")))</f>
        <v/>
      </c>
      <c r="U1669" s="24" t="str">
        <f aca="false">IF(AND(C1669="Own",Q1669="Active"),COUNTIFS($C$5:C1669,"Own",$Q$5:Q1669,"Active"),"")</f>
        <v/>
      </c>
      <c r="V1669" s="26" t="str">
        <f aca="false">IF(C1669&lt;&gt;"Own","",IF(K1669="Hourly",N1669,(L1669+M1669)/(Settings!$B$11*Settings!$B$12)))</f>
        <v/>
      </c>
    </row>
    <row r="1670" customFormat="false" ht="15" hidden="false" customHeight="false" outlineLevel="0" collapsed="false">
      <c r="R1670" s="25" t="str">
        <f aca="true">IF(I1670="","",I1670-TODAY())</f>
        <v/>
      </c>
      <c r="S1670" s="25" t="str">
        <f aca="true">IF(J1670="","",J1670-TODAY())</f>
        <v/>
      </c>
      <c r="T1670" s="24" t="str">
        <f aca="false">IF(A1670="","",IF(OR(AND(R1670&lt;&gt;"",R1670&lt;0),AND(S1670&lt;&gt;"",S1670&lt;0)),"EXPIRED",IF(OR(AND(R1670&lt;&gt;"",R1670&lt;=Settings!$B$15),AND(S1670&lt;&gt;"",S1670&lt;=Settings!$B$15)),"EXPIRING SOON","OK")))</f>
        <v/>
      </c>
      <c r="U1670" s="24" t="str">
        <f aca="false">IF(AND(C1670="Own",Q1670="Active"),COUNTIFS($C$5:C1670,"Own",$Q$5:Q1670,"Active"),"")</f>
        <v/>
      </c>
      <c r="V1670" s="26" t="str">
        <f aca="false">IF(C1670&lt;&gt;"Own","",IF(K1670="Hourly",N1670,(L1670+M1670)/(Settings!$B$11*Settings!$B$12)))</f>
        <v/>
      </c>
    </row>
    <row r="1671" customFormat="false" ht="15" hidden="false" customHeight="false" outlineLevel="0" collapsed="false">
      <c r="R1671" s="25" t="str">
        <f aca="true">IF(I1671="","",I1671-TODAY())</f>
        <v/>
      </c>
      <c r="S1671" s="25" t="str">
        <f aca="true">IF(J1671="","",J1671-TODAY())</f>
        <v/>
      </c>
      <c r="T1671" s="24" t="str">
        <f aca="false">IF(A1671="","",IF(OR(AND(R1671&lt;&gt;"",R1671&lt;0),AND(S1671&lt;&gt;"",S1671&lt;0)),"EXPIRED",IF(OR(AND(R1671&lt;&gt;"",R1671&lt;=Settings!$B$15),AND(S1671&lt;&gt;"",S1671&lt;=Settings!$B$15)),"EXPIRING SOON","OK")))</f>
        <v/>
      </c>
      <c r="U1671" s="24" t="str">
        <f aca="false">IF(AND(C1671="Own",Q1671="Active"),COUNTIFS($C$5:C1671,"Own",$Q$5:Q1671,"Active"),"")</f>
        <v/>
      </c>
      <c r="V1671" s="26" t="str">
        <f aca="false">IF(C1671&lt;&gt;"Own","",IF(K1671="Hourly",N1671,(L1671+M1671)/(Settings!$B$11*Settings!$B$12)))</f>
        <v/>
      </c>
    </row>
    <row r="1672" customFormat="false" ht="15" hidden="false" customHeight="false" outlineLevel="0" collapsed="false">
      <c r="R1672" s="25" t="str">
        <f aca="true">IF(I1672="","",I1672-TODAY())</f>
        <v/>
      </c>
      <c r="S1672" s="25" t="str">
        <f aca="true">IF(J1672="","",J1672-TODAY())</f>
        <v/>
      </c>
      <c r="T1672" s="24" t="str">
        <f aca="false">IF(A1672="","",IF(OR(AND(R1672&lt;&gt;"",R1672&lt;0),AND(S1672&lt;&gt;"",S1672&lt;0)),"EXPIRED",IF(OR(AND(R1672&lt;&gt;"",R1672&lt;=Settings!$B$15),AND(S1672&lt;&gt;"",S1672&lt;=Settings!$B$15)),"EXPIRING SOON","OK")))</f>
        <v/>
      </c>
      <c r="U1672" s="24" t="str">
        <f aca="false">IF(AND(C1672="Own",Q1672="Active"),COUNTIFS($C$5:C1672,"Own",$Q$5:Q1672,"Active"),"")</f>
        <v/>
      </c>
      <c r="V1672" s="26" t="str">
        <f aca="false">IF(C1672&lt;&gt;"Own","",IF(K1672="Hourly",N1672,(L1672+M1672)/(Settings!$B$11*Settings!$B$12)))</f>
        <v/>
      </c>
    </row>
    <row r="1673" customFormat="false" ht="15" hidden="false" customHeight="false" outlineLevel="0" collapsed="false">
      <c r="R1673" s="25" t="str">
        <f aca="true">IF(I1673="","",I1673-TODAY())</f>
        <v/>
      </c>
      <c r="S1673" s="25" t="str">
        <f aca="true">IF(J1673="","",J1673-TODAY())</f>
        <v/>
      </c>
      <c r="T1673" s="24" t="str">
        <f aca="false">IF(A1673="","",IF(OR(AND(R1673&lt;&gt;"",R1673&lt;0),AND(S1673&lt;&gt;"",S1673&lt;0)),"EXPIRED",IF(OR(AND(R1673&lt;&gt;"",R1673&lt;=Settings!$B$15),AND(S1673&lt;&gt;"",S1673&lt;=Settings!$B$15)),"EXPIRING SOON","OK")))</f>
        <v/>
      </c>
      <c r="U1673" s="24" t="str">
        <f aca="false">IF(AND(C1673="Own",Q1673="Active"),COUNTIFS($C$5:C1673,"Own",$Q$5:Q1673,"Active"),"")</f>
        <v/>
      </c>
      <c r="V1673" s="26" t="str">
        <f aca="false">IF(C1673&lt;&gt;"Own","",IF(K1673="Hourly",N1673,(L1673+M1673)/(Settings!$B$11*Settings!$B$12)))</f>
        <v/>
      </c>
    </row>
    <row r="1674" customFormat="false" ht="15" hidden="false" customHeight="false" outlineLevel="0" collapsed="false">
      <c r="R1674" s="25" t="str">
        <f aca="true">IF(I1674="","",I1674-TODAY())</f>
        <v/>
      </c>
      <c r="S1674" s="25" t="str">
        <f aca="true">IF(J1674="","",J1674-TODAY())</f>
        <v/>
      </c>
      <c r="T1674" s="24" t="str">
        <f aca="false">IF(A1674="","",IF(OR(AND(R1674&lt;&gt;"",R1674&lt;0),AND(S1674&lt;&gt;"",S1674&lt;0)),"EXPIRED",IF(OR(AND(R1674&lt;&gt;"",R1674&lt;=Settings!$B$15),AND(S1674&lt;&gt;"",S1674&lt;=Settings!$B$15)),"EXPIRING SOON","OK")))</f>
        <v/>
      </c>
      <c r="U1674" s="24" t="str">
        <f aca="false">IF(AND(C1674="Own",Q1674="Active"),COUNTIFS($C$5:C1674,"Own",$Q$5:Q1674,"Active"),"")</f>
        <v/>
      </c>
      <c r="V1674" s="26" t="str">
        <f aca="false">IF(C1674&lt;&gt;"Own","",IF(K1674="Hourly",N1674,(L1674+M1674)/(Settings!$B$11*Settings!$B$12)))</f>
        <v/>
      </c>
    </row>
    <row r="1675" customFormat="false" ht="15" hidden="false" customHeight="false" outlineLevel="0" collapsed="false">
      <c r="R1675" s="25" t="str">
        <f aca="true">IF(I1675="","",I1675-TODAY())</f>
        <v/>
      </c>
      <c r="S1675" s="25" t="str">
        <f aca="true">IF(J1675="","",J1675-TODAY())</f>
        <v/>
      </c>
      <c r="T1675" s="24" t="str">
        <f aca="false">IF(A1675="","",IF(OR(AND(R1675&lt;&gt;"",R1675&lt;0),AND(S1675&lt;&gt;"",S1675&lt;0)),"EXPIRED",IF(OR(AND(R1675&lt;&gt;"",R1675&lt;=Settings!$B$15),AND(S1675&lt;&gt;"",S1675&lt;=Settings!$B$15)),"EXPIRING SOON","OK")))</f>
        <v/>
      </c>
      <c r="U1675" s="24" t="str">
        <f aca="false">IF(AND(C1675="Own",Q1675="Active"),COUNTIFS($C$5:C1675,"Own",$Q$5:Q1675,"Active"),"")</f>
        <v/>
      </c>
      <c r="V1675" s="26" t="str">
        <f aca="false">IF(C1675&lt;&gt;"Own","",IF(K1675="Hourly",N1675,(L1675+M1675)/(Settings!$B$11*Settings!$B$12)))</f>
        <v/>
      </c>
    </row>
    <row r="1676" customFormat="false" ht="15" hidden="false" customHeight="false" outlineLevel="0" collapsed="false">
      <c r="R1676" s="25" t="str">
        <f aca="true">IF(I1676="","",I1676-TODAY())</f>
        <v/>
      </c>
      <c r="S1676" s="25" t="str">
        <f aca="true">IF(J1676="","",J1676-TODAY())</f>
        <v/>
      </c>
      <c r="T1676" s="24" t="str">
        <f aca="false">IF(A1676="","",IF(OR(AND(R1676&lt;&gt;"",R1676&lt;0),AND(S1676&lt;&gt;"",S1676&lt;0)),"EXPIRED",IF(OR(AND(R1676&lt;&gt;"",R1676&lt;=Settings!$B$15),AND(S1676&lt;&gt;"",S1676&lt;=Settings!$B$15)),"EXPIRING SOON","OK")))</f>
        <v/>
      </c>
      <c r="U1676" s="24" t="str">
        <f aca="false">IF(AND(C1676="Own",Q1676="Active"),COUNTIFS($C$5:C1676,"Own",$Q$5:Q1676,"Active"),"")</f>
        <v/>
      </c>
      <c r="V1676" s="26" t="str">
        <f aca="false">IF(C1676&lt;&gt;"Own","",IF(K1676="Hourly",N1676,(L1676+M1676)/(Settings!$B$11*Settings!$B$12)))</f>
        <v/>
      </c>
    </row>
    <row r="1677" customFormat="false" ht="15" hidden="false" customHeight="false" outlineLevel="0" collapsed="false">
      <c r="R1677" s="25" t="str">
        <f aca="true">IF(I1677="","",I1677-TODAY())</f>
        <v/>
      </c>
      <c r="S1677" s="25" t="str">
        <f aca="true">IF(J1677="","",J1677-TODAY())</f>
        <v/>
      </c>
      <c r="T1677" s="24" t="str">
        <f aca="false">IF(A1677="","",IF(OR(AND(R1677&lt;&gt;"",R1677&lt;0),AND(S1677&lt;&gt;"",S1677&lt;0)),"EXPIRED",IF(OR(AND(R1677&lt;&gt;"",R1677&lt;=Settings!$B$15),AND(S1677&lt;&gt;"",S1677&lt;=Settings!$B$15)),"EXPIRING SOON","OK")))</f>
        <v/>
      </c>
      <c r="U1677" s="24" t="str">
        <f aca="false">IF(AND(C1677="Own",Q1677="Active"),COUNTIFS($C$5:C1677,"Own",$Q$5:Q1677,"Active"),"")</f>
        <v/>
      </c>
      <c r="V1677" s="26" t="str">
        <f aca="false">IF(C1677&lt;&gt;"Own","",IF(K1677="Hourly",N1677,(L1677+M1677)/(Settings!$B$11*Settings!$B$12)))</f>
        <v/>
      </c>
    </row>
    <row r="1678" customFormat="false" ht="15" hidden="false" customHeight="false" outlineLevel="0" collapsed="false">
      <c r="R1678" s="25" t="str">
        <f aca="true">IF(I1678="","",I1678-TODAY())</f>
        <v/>
      </c>
      <c r="S1678" s="25" t="str">
        <f aca="true">IF(J1678="","",J1678-TODAY())</f>
        <v/>
      </c>
      <c r="T1678" s="24" t="str">
        <f aca="false">IF(A1678="","",IF(OR(AND(R1678&lt;&gt;"",R1678&lt;0),AND(S1678&lt;&gt;"",S1678&lt;0)),"EXPIRED",IF(OR(AND(R1678&lt;&gt;"",R1678&lt;=Settings!$B$15),AND(S1678&lt;&gt;"",S1678&lt;=Settings!$B$15)),"EXPIRING SOON","OK")))</f>
        <v/>
      </c>
      <c r="U1678" s="24" t="str">
        <f aca="false">IF(AND(C1678="Own",Q1678="Active"),COUNTIFS($C$5:C1678,"Own",$Q$5:Q1678,"Active"),"")</f>
        <v/>
      </c>
      <c r="V1678" s="26" t="str">
        <f aca="false">IF(C1678&lt;&gt;"Own","",IF(K1678="Hourly",N1678,(L1678+M1678)/(Settings!$B$11*Settings!$B$12)))</f>
        <v/>
      </c>
    </row>
    <row r="1679" customFormat="false" ht="15" hidden="false" customHeight="false" outlineLevel="0" collapsed="false">
      <c r="R1679" s="25" t="str">
        <f aca="true">IF(I1679="","",I1679-TODAY())</f>
        <v/>
      </c>
      <c r="S1679" s="25" t="str">
        <f aca="true">IF(J1679="","",J1679-TODAY())</f>
        <v/>
      </c>
      <c r="T1679" s="24" t="str">
        <f aca="false">IF(A1679="","",IF(OR(AND(R1679&lt;&gt;"",R1679&lt;0),AND(S1679&lt;&gt;"",S1679&lt;0)),"EXPIRED",IF(OR(AND(R1679&lt;&gt;"",R1679&lt;=Settings!$B$15),AND(S1679&lt;&gt;"",S1679&lt;=Settings!$B$15)),"EXPIRING SOON","OK")))</f>
        <v/>
      </c>
      <c r="U1679" s="24" t="str">
        <f aca="false">IF(AND(C1679="Own",Q1679="Active"),COUNTIFS($C$5:C1679,"Own",$Q$5:Q1679,"Active"),"")</f>
        <v/>
      </c>
      <c r="V1679" s="26" t="str">
        <f aca="false">IF(C1679&lt;&gt;"Own","",IF(K1679="Hourly",N1679,(L1679+M1679)/(Settings!$B$11*Settings!$B$12)))</f>
        <v/>
      </c>
    </row>
    <row r="1680" customFormat="false" ht="15" hidden="false" customHeight="false" outlineLevel="0" collapsed="false">
      <c r="R1680" s="25" t="str">
        <f aca="true">IF(I1680="","",I1680-TODAY())</f>
        <v/>
      </c>
      <c r="S1680" s="25" t="str">
        <f aca="true">IF(J1680="","",J1680-TODAY())</f>
        <v/>
      </c>
      <c r="T1680" s="24" t="str">
        <f aca="false">IF(A1680="","",IF(OR(AND(R1680&lt;&gt;"",R1680&lt;0),AND(S1680&lt;&gt;"",S1680&lt;0)),"EXPIRED",IF(OR(AND(R1680&lt;&gt;"",R1680&lt;=Settings!$B$15),AND(S1680&lt;&gt;"",S1680&lt;=Settings!$B$15)),"EXPIRING SOON","OK")))</f>
        <v/>
      </c>
      <c r="U1680" s="24" t="str">
        <f aca="false">IF(AND(C1680="Own",Q1680="Active"),COUNTIFS($C$5:C1680,"Own",$Q$5:Q1680,"Active"),"")</f>
        <v/>
      </c>
      <c r="V1680" s="26" t="str">
        <f aca="false">IF(C1680&lt;&gt;"Own","",IF(K1680="Hourly",N1680,(L1680+M1680)/(Settings!$B$11*Settings!$B$12)))</f>
        <v/>
      </c>
    </row>
    <row r="1681" customFormat="false" ht="15" hidden="false" customHeight="false" outlineLevel="0" collapsed="false">
      <c r="R1681" s="25" t="str">
        <f aca="true">IF(I1681="","",I1681-TODAY())</f>
        <v/>
      </c>
      <c r="S1681" s="25" t="str">
        <f aca="true">IF(J1681="","",J1681-TODAY())</f>
        <v/>
      </c>
      <c r="T1681" s="24" t="str">
        <f aca="false">IF(A1681="","",IF(OR(AND(R1681&lt;&gt;"",R1681&lt;0),AND(S1681&lt;&gt;"",S1681&lt;0)),"EXPIRED",IF(OR(AND(R1681&lt;&gt;"",R1681&lt;=Settings!$B$15),AND(S1681&lt;&gt;"",S1681&lt;=Settings!$B$15)),"EXPIRING SOON","OK")))</f>
        <v/>
      </c>
      <c r="U1681" s="24" t="str">
        <f aca="false">IF(AND(C1681="Own",Q1681="Active"),COUNTIFS($C$5:C1681,"Own",$Q$5:Q1681,"Active"),"")</f>
        <v/>
      </c>
      <c r="V1681" s="26" t="str">
        <f aca="false">IF(C1681&lt;&gt;"Own","",IF(K1681="Hourly",N1681,(L1681+M1681)/(Settings!$B$11*Settings!$B$12)))</f>
        <v/>
      </c>
    </row>
    <row r="1682" customFormat="false" ht="15" hidden="false" customHeight="false" outlineLevel="0" collapsed="false">
      <c r="R1682" s="25" t="str">
        <f aca="true">IF(I1682="","",I1682-TODAY())</f>
        <v/>
      </c>
      <c r="S1682" s="25" t="str">
        <f aca="true">IF(J1682="","",J1682-TODAY())</f>
        <v/>
      </c>
      <c r="T1682" s="24" t="str">
        <f aca="false">IF(A1682="","",IF(OR(AND(R1682&lt;&gt;"",R1682&lt;0),AND(S1682&lt;&gt;"",S1682&lt;0)),"EXPIRED",IF(OR(AND(R1682&lt;&gt;"",R1682&lt;=Settings!$B$15),AND(S1682&lt;&gt;"",S1682&lt;=Settings!$B$15)),"EXPIRING SOON","OK")))</f>
        <v/>
      </c>
      <c r="U1682" s="24" t="str">
        <f aca="false">IF(AND(C1682="Own",Q1682="Active"),COUNTIFS($C$5:C1682,"Own",$Q$5:Q1682,"Active"),"")</f>
        <v/>
      </c>
      <c r="V1682" s="26" t="str">
        <f aca="false">IF(C1682&lt;&gt;"Own","",IF(K1682="Hourly",N1682,(L1682+M1682)/(Settings!$B$11*Settings!$B$12)))</f>
        <v/>
      </c>
    </row>
    <row r="1683" customFormat="false" ht="15" hidden="false" customHeight="false" outlineLevel="0" collapsed="false">
      <c r="R1683" s="25" t="str">
        <f aca="true">IF(I1683="","",I1683-TODAY())</f>
        <v/>
      </c>
      <c r="S1683" s="25" t="str">
        <f aca="true">IF(J1683="","",J1683-TODAY())</f>
        <v/>
      </c>
      <c r="T1683" s="24" t="str">
        <f aca="false">IF(A1683="","",IF(OR(AND(R1683&lt;&gt;"",R1683&lt;0),AND(S1683&lt;&gt;"",S1683&lt;0)),"EXPIRED",IF(OR(AND(R1683&lt;&gt;"",R1683&lt;=Settings!$B$15),AND(S1683&lt;&gt;"",S1683&lt;=Settings!$B$15)),"EXPIRING SOON","OK")))</f>
        <v/>
      </c>
      <c r="U1683" s="24" t="str">
        <f aca="false">IF(AND(C1683="Own",Q1683="Active"),COUNTIFS($C$5:C1683,"Own",$Q$5:Q1683,"Active"),"")</f>
        <v/>
      </c>
      <c r="V1683" s="26" t="str">
        <f aca="false">IF(C1683&lt;&gt;"Own","",IF(K1683="Hourly",N1683,(L1683+M1683)/(Settings!$B$11*Settings!$B$12)))</f>
        <v/>
      </c>
    </row>
    <row r="1684" customFormat="false" ht="15" hidden="false" customHeight="false" outlineLevel="0" collapsed="false">
      <c r="R1684" s="25" t="str">
        <f aca="true">IF(I1684="","",I1684-TODAY())</f>
        <v/>
      </c>
      <c r="S1684" s="25" t="str">
        <f aca="true">IF(J1684="","",J1684-TODAY())</f>
        <v/>
      </c>
      <c r="T1684" s="24" t="str">
        <f aca="false">IF(A1684="","",IF(OR(AND(R1684&lt;&gt;"",R1684&lt;0),AND(S1684&lt;&gt;"",S1684&lt;0)),"EXPIRED",IF(OR(AND(R1684&lt;&gt;"",R1684&lt;=Settings!$B$15),AND(S1684&lt;&gt;"",S1684&lt;=Settings!$B$15)),"EXPIRING SOON","OK")))</f>
        <v/>
      </c>
      <c r="U1684" s="24" t="str">
        <f aca="false">IF(AND(C1684="Own",Q1684="Active"),COUNTIFS($C$5:C1684,"Own",$Q$5:Q1684,"Active"),"")</f>
        <v/>
      </c>
      <c r="V1684" s="26" t="str">
        <f aca="false">IF(C1684&lt;&gt;"Own","",IF(K1684="Hourly",N1684,(L1684+M1684)/(Settings!$B$11*Settings!$B$12)))</f>
        <v/>
      </c>
    </row>
    <row r="1685" customFormat="false" ht="15" hidden="false" customHeight="false" outlineLevel="0" collapsed="false">
      <c r="R1685" s="25" t="str">
        <f aca="true">IF(I1685="","",I1685-TODAY())</f>
        <v/>
      </c>
      <c r="S1685" s="25" t="str">
        <f aca="true">IF(J1685="","",J1685-TODAY())</f>
        <v/>
      </c>
      <c r="T1685" s="24" t="str">
        <f aca="false">IF(A1685="","",IF(OR(AND(R1685&lt;&gt;"",R1685&lt;0),AND(S1685&lt;&gt;"",S1685&lt;0)),"EXPIRED",IF(OR(AND(R1685&lt;&gt;"",R1685&lt;=Settings!$B$15),AND(S1685&lt;&gt;"",S1685&lt;=Settings!$B$15)),"EXPIRING SOON","OK")))</f>
        <v/>
      </c>
      <c r="U1685" s="24" t="str">
        <f aca="false">IF(AND(C1685="Own",Q1685="Active"),COUNTIFS($C$5:C1685,"Own",$Q$5:Q1685,"Active"),"")</f>
        <v/>
      </c>
      <c r="V1685" s="26" t="str">
        <f aca="false">IF(C1685&lt;&gt;"Own","",IF(K1685="Hourly",N1685,(L1685+M1685)/(Settings!$B$11*Settings!$B$12)))</f>
        <v/>
      </c>
    </row>
    <row r="1686" customFormat="false" ht="15" hidden="false" customHeight="false" outlineLevel="0" collapsed="false">
      <c r="R1686" s="25" t="str">
        <f aca="true">IF(I1686="","",I1686-TODAY())</f>
        <v/>
      </c>
      <c r="S1686" s="25" t="str">
        <f aca="true">IF(J1686="","",J1686-TODAY())</f>
        <v/>
      </c>
      <c r="T1686" s="24" t="str">
        <f aca="false">IF(A1686="","",IF(OR(AND(R1686&lt;&gt;"",R1686&lt;0),AND(S1686&lt;&gt;"",S1686&lt;0)),"EXPIRED",IF(OR(AND(R1686&lt;&gt;"",R1686&lt;=Settings!$B$15),AND(S1686&lt;&gt;"",S1686&lt;=Settings!$B$15)),"EXPIRING SOON","OK")))</f>
        <v/>
      </c>
      <c r="U1686" s="24" t="str">
        <f aca="false">IF(AND(C1686="Own",Q1686="Active"),COUNTIFS($C$5:C1686,"Own",$Q$5:Q1686,"Active"),"")</f>
        <v/>
      </c>
      <c r="V1686" s="26" t="str">
        <f aca="false">IF(C1686&lt;&gt;"Own","",IF(K1686="Hourly",N1686,(L1686+M1686)/(Settings!$B$11*Settings!$B$12)))</f>
        <v/>
      </c>
    </row>
    <row r="1687" customFormat="false" ht="15" hidden="false" customHeight="false" outlineLevel="0" collapsed="false">
      <c r="R1687" s="25" t="str">
        <f aca="true">IF(I1687="","",I1687-TODAY())</f>
        <v/>
      </c>
      <c r="S1687" s="25" t="str">
        <f aca="true">IF(J1687="","",J1687-TODAY())</f>
        <v/>
      </c>
      <c r="T1687" s="24" t="str">
        <f aca="false">IF(A1687="","",IF(OR(AND(R1687&lt;&gt;"",R1687&lt;0),AND(S1687&lt;&gt;"",S1687&lt;0)),"EXPIRED",IF(OR(AND(R1687&lt;&gt;"",R1687&lt;=Settings!$B$15),AND(S1687&lt;&gt;"",S1687&lt;=Settings!$B$15)),"EXPIRING SOON","OK")))</f>
        <v/>
      </c>
      <c r="U1687" s="24" t="str">
        <f aca="false">IF(AND(C1687="Own",Q1687="Active"),COUNTIFS($C$5:C1687,"Own",$Q$5:Q1687,"Active"),"")</f>
        <v/>
      </c>
      <c r="V1687" s="26" t="str">
        <f aca="false">IF(C1687&lt;&gt;"Own","",IF(K1687="Hourly",N1687,(L1687+M1687)/(Settings!$B$11*Settings!$B$12)))</f>
        <v/>
      </c>
    </row>
    <row r="1688" customFormat="false" ht="15" hidden="false" customHeight="false" outlineLevel="0" collapsed="false">
      <c r="R1688" s="25" t="str">
        <f aca="true">IF(I1688="","",I1688-TODAY())</f>
        <v/>
      </c>
      <c r="S1688" s="25" t="str">
        <f aca="true">IF(J1688="","",J1688-TODAY())</f>
        <v/>
      </c>
      <c r="T1688" s="24" t="str">
        <f aca="false">IF(A1688="","",IF(OR(AND(R1688&lt;&gt;"",R1688&lt;0),AND(S1688&lt;&gt;"",S1688&lt;0)),"EXPIRED",IF(OR(AND(R1688&lt;&gt;"",R1688&lt;=Settings!$B$15),AND(S1688&lt;&gt;"",S1688&lt;=Settings!$B$15)),"EXPIRING SOON","OK")))</f>
        <v/>
      </c>
      <c r="U1688" s="24" t="str">
        <f aca="false">IF(AND(C1688="Own",Q1688="Active"),COUNTIFS($C$5:C1688,"Own",$Q$5:Q1688,"Active"),"")</f>
        <v/>
      </c>
      <c r="V1688" s="26" t="str">
        <f aca="false">IF(C1688&lt;&gt;"Own","",IF(K1688="Hourly",N1688,(L1688+M1688)/(Settings!$B$11*Settings!$B$12)))</f>
        <v/>
      </c>
    </row>
    <row r="1689" customFormat="false" ht="15" hidden="false" customHeight="false" outlineLevel="0" collapsed="false">
      <c r="R1689" s="25" t="str">
        <f aca="true">IF(I1689="","",I1689-TODAY())</f>
        <v/>
      </c>
      <c r="S1689" s="25" t="str">
        <f aca="true">IF(J1689="","",J1689-TODAY())</f>
        <v/>
      </c>
      <c r="T1689" s="24" t="str">
        <f aca="false">IF(A1689="","",IF(OR(AND(R1689&lt;&gt;"",R1689&lt;0),AND(S1689&lt;&gt;"",S1689&lt;0)),"EXPIRED",IF(OR(AND(R1689&lt;&gt;"",R1689&lt;=Settings!$B$15),AND(S1689&lt;&gt;"",S1689&lt;=Settings!$B$15)),"EXPIRING SOON","OK")))</f>
        <v/>
      </c>
      <c r="U1689" s="24" t="str">
        <f aca="false">IF(AND(C1689="Own",Q1689="Active"),COUNTIFS($C$5:C1689,"Own",$Q$5:Q1689,"Active"),"")</f>
        <v/>
      </c>
      <c r="V1689" s="26" t="str">
        <f aca="false">IF(C1689&lt;&gt;"Own","",IF(K1689="Hourly",N1689,(L1689+M1689)/(Settings!$B$11*Settings!$B$12)))</f>
        <v/>
      </c>
    </row>
    <row r="1690" customFormat="false" ht="15" hidden="false" customHeight="false" outlineLevel="0" collapsed="false">
      <c r="R1690" s="25" t="str">
        <f aca="true">IF(I1690="","",I1690-TODAY())</f>
        <v/>
      </c>
      <c r="S1690" s="25" t="str">
        <f aca="true">IF(J1690="","",J1690-TODAY())</f>
        <v/>
      </c>
      <c r="T1690" s="24" t="str">
        <f aca="false">IF(A1690="","",IF(OR(AND(R1690&lt;&gt;"",R1690&lt;0),AND(S1690&lt;&gt;"",S1690&lt;0)),"EXPIRED",IF(OR(AND(R1690&lt;&gt;"",R1690&lt;=Settings!$B$15),AND(S1690&lt;&gt;"",S1690&lt;=Settings!$B$15)),"EXPIRING SOON","OK")))</f>
        <v/>
      </c>
      <c r="U1690" s="24" t="str">
        <f aca="false">IF(AND(C1690="Own",Q1690="Active"),COUNTIFS($C$5:C1690,"Own",$Q$5:Q1690,"Active"),"")</f>
        <v/>
      </c>
      <c r="V1690" s="26" t="str">
        <f aca="false">IF(C1690&lt;&gt;"Own","",IF(K1690="Hourly",N1690,(L1690+M1690)/(Settings!$B$11*Settings!$B$12)))</f>
        <v/>
      </c>
    </row>
    <row r="1691" customFormat="false" ht="15" hidden="false" customHeight="false" outlineLevel="0" collapsed="false">
      <c r="R1691" s="25" t="str">
        <f aca="true">IF(I1691="","",I1691-TODAY())</f>
        <v/>
      </c>
      <c r="S1691" s="25" t="str">
        <f aca="true">IF(J1691="","",J1691-TODAY())</f>
        <v/>
      </c>
      <c r="T1691" s="24" t="str">
        <f aca="false">IF(A1691="","",IF(OR(AND(R1691&lt;&gt;"",R1691&lt;0),AND(S1691&lt;&gt;"",S1691&lt;0)),"EXPIRED",IF(OR(AND(R1691&lt;&gt;"",R1691&lt;=Settings!$B$15),AND(S1691&lt;&gt;"",S1691&lt;=Settings!$B$15)),"EXPIRING SOON","OK")))</f>
        <v/>
      </c>
      <c r="U1691" s="24" t="str">
        <f aca="false">IF(AND(C1691="Own",Q1691="Active"),COUNTIFS($C$5:C1691,"Own",$Q$5:Q1691,"Active"),"")</f>
        <v/>
      </c>
      <c r="V1691" s="26" t="str">
        <f aca="false">IF(C1691&lt;&gt;"Own","",IF(K1691="Hourly",N1691,(L1691+M1691)/(Settings!$B$11*Settings!$B$12)))</f>
        <v/>
      </c>
    </row>
    <row r="1692" customFormat="false" ht="15" hidden="false" customHeight="false" outlineLevel="0" collapsed="false">
      <c r="R1692" s="25" t="str">
        <f aca="true">IF(I1692="","",I1692-TODAY())</f>
        <v/>
      </c>
      <c r="S1692" s="25" t="str">
        <f aca="true">IF(J1692="","",J1692-TODAY())</f>
        <v/>
      </c>
      <c r="T1692" s="24" t="str">
        <f aca="false">IF(A1692="","",IF(OR(AND(R1692&lt;&gt;"",R1692&lt;0),AND(S1692&lt;&gt;"",S1692&lt;0)),"EXPIRED",IF(OR(AND(R1692&lt;&gt;"",R1692&lt;=Settings!$B$15),AND(S1692&lt;&gt;"",S1692&lt;=Settings!$B$15)),"EXPIRING SOON","OK")))</f>
        <v/>
      </c>
      <c r="U1692" s="24" t="str">
        <f aca="false">IF(AND(C1692="Own",Q1692="Active"),COUNTIFS($C$5:C1692,"Own",$Q$5:Q1692,"Active"),"")</f>
        <v/>
      </c>
      <c r="V1692" s="26" t="str">
        <f aca="false">IF(C1692&lt;&gt;"Own","",IF(K1692="Hourly",N1692,(L1692+M1692)/(Settings!$B$11*Settings!$B$12)))</f>
        <v/>
      </c>
    </row>
    <row r="1693" customFormat="false" ht="15" hidden="false" customHeight="false" outlineLevel="0" collapsed="false">
      <c r="R1693" s="25" t="str">
        <f aca="true">IF(I1693="","",I1693-TODAY())</f>
        <v/>
      </c>
      <c r="S1693" s="25" t="str">
        <f aca="true">IF(J1693="","",J1693-TODAY())</f>
        <v/>
      </c>
      <c r="T1693" s="24" t="str">
        <f aca="false">IF(A1693="","",IF(OR(AND(R1693&lt;&gt;"",R1693&lt;0),AND(S1693&lt;&gt;"",S1693&lt;0)),"EXPIRED",IF(OR(AND(R1693&lt;&gt;"",R1693&lt;=Settings!$B$15),AND(S1693&lt;&gt;"",S1693&lt;=Settings!$B$15)),"EXPIRING SOON","OK")))</f>
        <v/>
      </c>
      <c r="U1693" s="24" t="str">
        <f aca="false">IF(AND(C1693="Own",Q1693="Active"),COUNTIFS($C$5:C1693,"Own",$Q$5:Q1693,"Active"),"")</f>
        <v/>
      </c>
      <c r="V1693" s="26" t="str">
        <f aca="false">IF(C1693&lt;&gt;"Own","",IF(K1693="Hourly",N1693,(L1693+M1693)/(Settings!$B$11*Settings!$B$12)))</f>
        <v/>
      </c>
    </row>
    <row r="1694" customFormat="false" ht="15" hidden="false" customHeight="false" outlineLevel="0" collapsed="false">
      <c r="R1694" s="25" t="str">
        <f aca="true">IF(I1694="","",I1694-TODAY())</f>
        <v/>
      </c>
      <c r="S1694" s="25" t="str">
        <f aca="true">IF(J1694="","",J1694-TODAY())</f>
        <v/>
      </c>
      <c r="T1694" s="24" t="str">
        <f aca="false">IF(A1694="","",IF(OR(AND(R1694&lt;&gt;"",R1694&lt;0),AND(S1694&lt;&gt;"",S1694&lt;0)),"EXPIRED",IF(OR(AND(R1694&lt;&gt;"",R1694&lt;=Settings!$B$15),AND(S1694&lt;&gt;"",S1694&lt;=Settings!$B$15)),"EXPIRING SOON","OK")))</f>
        <v/>
      </c>
      <c r="U1694" s="24" t="str">
        <f aca="false">IF(AND(C1694="Own",Q1694="Active"),COUNTIFS($C$5:C1694,"Own",$Q$5:Q1694,"Active"),"")</f>
        <v/>
      </c>
      <c r="V1694" s="26" t="str">
        <f aca="false">IF(C1694&lt;&gt;"Own","",IF(K1694="Hourly",N1694,(L1694+M1694)/(Settings!$B$11*Settings!$B$12)))</f>
        <v/>
      </c>
    </row>
    <row r="1695" customFormat="false" ht="15" hidden="false" customHeight="false" outlineLevel="0" collapsed="false">
      <c r="R1695" s="25" t="str">
        <f aca="true">IF(I1695="","",I1695-TODAY())</f>
        <v/>
      </c>
      <c r="S1695" s="25" t="str">
        <f aca="true">IF(J1695="","",J1695-TODAY())</f>
        <v/>
      </c>
      <c r="T1695" s="24" t="str">
        <f aca="false">IF(A1695="","",IF(OR(AND(R1695&lt;&gt;"",R1695&lt;0),AND(S1695&lt;&gt;"",S1695&lt;0)),"EXPIRED",IF(OR(AND(R1695&lt;&gt;"",R1695&lt;=Settings!$B$15),AND(S1695&lt;&gt;"",S1695&lt;=Settings!$B$15)),"EXPIRING SOON","OK")))</f>
        <v/>
      </c>
      <c r="U1695" s="24" t="str">
        <f aca="false">IF(AND(C1695="Own",Q1695="Active"),COUNTIFS($C$5:C1695,"Own",$Q$5:Q1695,"Active"),"")</f>
        <v/>
      </c>
      <c r="V1695" s="26" t="str">
        <f aca="false">IF(C1695&lt;&gt;"Own","",IF(K1695="Hourly",N1695,(L1695+M1695)/(Settings!$B$11*Settings!$B$12)))</f>
        <v/>
      </c>
    </row>
    <row r="1696" customFormat="false" ht="15" hidden="false" customHeight="false" outlineLevel="0" collapsed="false">
      <c r="R1696" s="25" t="str">
        <f aca="true">IF(I1696="","",I1696-TODAY())</f>
        <v/>
      </c>
      <c r="S1696" s="25" t="str">
        <f aca="true">IF(J1696="","",J1696-TODAY())</f>
        <v/>
      </c>
      <c r="T1696" s="24" t="str">
        <f aca="false">IF(A1696="","",IF(OR(AND(R1696&lt;&gt;"",R1696&lt;0),AND(S1696&lt;&gt;"",S1696&lt;0)),"EXPIRED",IF(OR(AND(R1696&lt;&gt;"",R1696&lt;=Settings!$B$15),AND(S1696&lt;&gt;"",S1696&lt;=Settings!$B$15)),"EXPIRING SOON","OK")))</f>
        <v/>
      </c>
      <c r="U1696" s="24" t="str">
        <f aca="false">IF(AND(C1696="Own",Q1696="Active"),COUNTIFS($C$5:C1696,"Own",$Q$5:Q1696,"Active"),"")</f>
        <v/>
      </c>
      <c r="V1696" s="26" t="str">
        <f aca="false">IF(C1696&lt;&gt;"Own","",IF(K1696="Hourly",N1696,(L1696+M1696)/(Settings!$B$11*Settings!$B$12)))</f>
        <v/>
      </c>
    </row>
    <row r="1697" customFormat="false" ht="15" hidden="false" customHeight="false" outlineLevel="0" collapsed="false">
      <c r="R1697" s="25" t="str">
        <f aca="true">IF(I1697="","",I1697-TODAY())</f>
        <v/>
      </c>
      <c r="S1697" s="25" t="str">
        <f aca="true">IF(J1697="","",J1697-TODAY())</f>
        <v/>
      </c>
      <c r="T1697" s="24" t="str">
        <f aca="false">IF(A1697="","",IF(OR(AND(R1697&lt;&gt;"",R1697&lt;0),AND(S1697&lt;&gt;"",S1697&lt;0)),"EXPIRED",IF(OR(AND(R1697&lt;&gt;"",R1697&lt;=Settings!$B$15),AND(S1697&lt;&gt;"",S1697&lt;=Settings!$B$15)),"EXPIRING SOON","OK")))</f>
        <v/>
      </c>
      <c r="U1697" s="24" t="str">
        <f aca="false">IF(AND(C1697="Own",Q1697="Active"),COUNTIFS($C$5:C1697,"Own",$Q$5:Q1697,"Active"),"")</f>
        <v/>
      </c>
      <c r="V1697" s="26" t="str">
        <f aca="false">IF(C1697&lt;&gt;"Own","",IF(K1697="Hourly",N1697,(L1697+M1697)/(Settings!$B$11*Settings!$B$12)))</f>
        <v/>
      </c>
    </row>
    <row r="1698" customFormat="false" ht="15" hidden="false" customHeight="false" outlineLevel="0" collapsed="false">
      <c r="R1698" s="25" t="str">
        <f aca="true">IF(I1698="","",I1698-TODAY())</f>
        <v/>
      </c>
      <c r="S1698" s="25" t="str">
        <f aca="true">IF(J1698="","",J1698-TODAY())</f>
        <v/>
      </c>
      <c r="T1698" s="24" t="str">
        <f aca="false">IF(A1698="","",IF(OR(AND(R1698&lt;&gt;"",R1698&lt;0),AND(S1698&lt;&gt;"",S1698&lt;0)),"EXPIRED",IF(OR(AND(R1698&lt;&gt;"",R1698&lt;=Settings!$B$15),AND(S1698&lt;&gt;"",S1698&lt;=Settings!$B$15)),"EXPIRING SOON","OK")))</f>
        <v/>
      </c>
      <c r="U1698" s="24" t="str">
        <f aca="false">IF(AND(C1698="Own",Q1698="Active"),COUNTIFS($C$5:C1698,"Own",$Q$5:Q1698,"Active"),"")</f>
        <v/>
      </c>
      <c r="V1698" s="26" t="str">
        <f aca="false">IF(C1698&lt;&gt;"Own","",IF(K1698="Hourly",N1698,(L1698+M1698)/(Settings!$B$11*Settings!$B$12)))</f>
        <v/>
      </c>
    </row>
    <row r="1699" customFormat="false" ht="15" hidden="false" customHeight="false" outlineLevel="0" collapsed="false">
      <c r="R1699" s="25" t="str">
        <f aca="true">IF(I1699="","",I1699-TODAY())</f>
        <v/>
      </c>
      <c r="S1699" s="25" t="str">
        <f aca="true">IF(J1699="","",J1699-TODAY())</f>
        <v/>
      </c>
      <c r="T1699" s="24" t="str">
        <f aca="false">IF(A1699="","",IF(OR(AND(R1699&lt;&gt;"",R1699&lt;0),AND(S1699&lt;&gt;"",S1699&lt;0)),"EXPIRED",IF(OR(AND(R1699&lt;&gt;"",R1699&lt;=Settings!$B$15),AND(S1699&lt;&gt;"",S1699&lt;=Settings!$B$15)),"EXPIRING SOON","OK")))</f>
        <v/>
      </c>
      <c r="U1699" s="24" t="str">
        <f aca="false">IF(AND(C1699="Own",Q1699="Active"),COUNTIFS($C$5:C1699,"Own",$Q$5:Q1699,"Active"),"")</f>
        <v/>
      </c>
      <c r="V1699" s="26" t="str">
        <f aca="false">IF(C1699&lt;&gt;"Own","",IF(K1699="Hourly",N1699,(L1699+M1699)/(Settings!$B$11*Settings!$B$12)))</f>
        <v/>
      </c>
    </row>
    <row r="1700" customFormat="false" ht="15" hidden="false" customHeight="false" outlineLevel="0" collapsed="false">
      <c r="R1700" s="25" t="str">
        <f aca="true">IF(I1700="","",I1700-TODAY())</f>
        <v/>
      </c>
      <c r="S1700" s="25" t="str">
        <f aca="true">IF(J1700="","",J1700-TODAY())</f>
        <v/>
      </c>
      <c r="T1700" s="24" t="str">
        <f aca="false">IF(A1700="","",IF(OR(AND(R1700&lt;&gt;"",R1700&lt;0),AND(S1700&lt;&gt;"",S1700&lt;0)),"EXPIRED",IF(OR(AND(R1700&lt;&gt;"",R1700&lt;=Settings!$B$15),AND(S1700&lt;&gt;"",S1700&lt;=Settings!$B$15)),"EXPIRING SOON","OK")))</f>
        <v/>
      </c>
      <c r="U1700" s="24" t="str">
        <f aca="false">IF(AND(C1700="Own",Q1700="Active"),COUNTIFS($C$5:C1700,"Own",$Q$5:Q1700,"Active"),"")</f>
        <v/>
      </c>
      <c r="V1700" s="26" t="str">
        <f aca="false">IF(C1700&lt;&gt;"Own","",IF(K1700="Hourly",N1700,(L1700+M1700)/(Settings!$B$11*Settings!$B$12)))</f>
        <v/>
      </c>
    </row>
    <row r="1701" customFormat="false" ht="15" hidden="false" customHeight="false" outlineLevel="0" collapsed="false">
      <c r="R1701" s="25" t="str">
        <f aca="true">IF(I1701="","",I1701-TODAY())</f>
        <v/>
      </c>
      <c r="S1701" s="25" t="str">
        <f aca="true">IF(J1701="","",J1701-TODAY())</f>
        <v/>
      </c>
      <c r="T1701" s="24" t="str">
        <f aca="false">IF(A1701="","",IF(OR(AND(R1701&lt;&gt;"",R1701&lt;0),AND(S1701&lt;&gt;"",S1701&lt;0)),"EXPIRED",IF(OR(AND(R1701&lt;&gt;"",R1701&lt;=Settings!$B$15),AND(S1701&lt;&gt;"",S1701&lt;=Settings!$B$15)),"EXPIRING SOON","OK")))</f>
        <v/>
      </c>
      <c r="U1701" s="24" t="str">
        <f aca="false">IF(AND(C1701="Own",Q1701="Active"),COUNTIFS($C$5:C1701,"Own",$Q$5:Q1701,"Active"),"")</f>
        <v/>
      </c>
      <c r="V1701" s="26" t="str">
        <f aca="false">IF(C1701&lt;&gt;"Own","",IF(K1701="Hourly",N1701,(L1701+M1701)/(Settings!$B$11*Settings!$B$12)))</f>
        <v/>
      </c>
    </row>
    <row r="1702" customFormat="false" ht="15" hidden="false" customHeight="false" outlineLevel="0" collapsed="false">
      <c r="R1702" s="25" t="str">
        <f aca="true">IF(I1702="","",I1702-TODAY())</f>
        <v/>
      </c>
      <c r="S1702" s="25" t="str">
        <f aca="true">IF(J1702="","",J1702-TODAY())</f>
        <v/>
      </c>
      <c r="T1702" s="24" t="str">
        <f aca="false">IF(A1702="","",IF(OR(AND(R1702&lt;&gt;"",R1702&lt;0),AND(S1702&lt;&gt;"",S1702&lt;0)),"EXPIRED",IF(OR(AND(R1702&lt;&gt;"",R1702&lt;=Settings!$B$15),AND(S1702&lt;&gt;"",S1702&lt;=Settings!$B$15)),"EXPIRING SOON","OK")))</f>
        <v/>
      </c>
      <c r="U1702" s="24" t="str">
        <f aca="false">IF(AND(C1702="Own",Q1702="Active"),COUNTIFS($C$5:C1702,"Own",$Q$5:Q1702,"Active"),"")</f>
        <v/>
      </c>
      <c r="V1702" s="26" t="str">
        <f aca="false">IF(C1702&lt;&gt;"Own","",IF(K1702="Hourly",N1702,(L1702+M1702)/(Settings!$B$11*Settings!$B$12)))</f>
        <v/>
      </c>
    </row>
    <row r="1703" customFormat="false" ht="15" hidden="false" customHeight="false" outlineLevel="0" collapsed="false">
      <c r="R1703" s="25" t="str">
        <f aca="true">IF(I1703="","",I1703-TODAY())</f>
        <v/>
      </c>
      <c r="S1703" s="25" t="str">
        <f aca="true">IF(J1703="","",J1703-TODAY())</f>
        <v/>
      </c>
      <c r="T1703" s="24" t="str">
        <f aca="false">IF(A1703="","",IF(OR(AND(R1703&lt;&gt;"",R1703&lt;0),AND(S1703&lt;&gt;"",S1703&lt;0)),"EXPIRED",IF(OR(AND(R1703&lt;&gt;"",R1703&lt;=Settings!$B$15),AND(S1703&lt;&gt;"",S1703&lt;=Settings!$B$15)),"EXPIRING SOON","OK")))</f>
        <v/>
      </c>
      <c r="U1703" s="24" t="str">
        <f aca="false">IF(AND(C1703="Own",Q1703="Active"),COUNTIFS($C$5:C1703,"Own",$Q$5:Q1703,"Active"),"")</f>
        <v/>
      </c>
      <c r="V1703" s="26" t="str">
        <f aca="false">IF(C1703&lt;&gt;"Own","",IF(K1703="Hourly",N1703,(L1703+M1703)/(Settings!$B$11*Settings!$B$12)))</f>
        <v/>
      </c>
    </row>
    <row r="1704" customFormat="false" ht="15" hidden="false" customHeight="false" outlineLevel="0" collapsed="false">
      <c r="R1704" s="25" t="str">
        <f aca="true">IF(I1704="","",I1704-TODAY())</f>
        <v/>
      </c>
      <c r="S1704" s="25" t="str">
        <f aca="true">IF(J1704="","",J1704-TODAY())</f>
        <v/>
      </c>
      <c r="T1704" s="24" t="str">
        <f aca="false">IF(A1704="","",IF(OR(AND(R1704&lt;&gt;"",R1704&lt;0),AND(S1704&lt;&gt;"",S1704&lt;0)),"EXPIRED",IF(OR(AND(R1704&lt;&gt;"",R1704&lt;=Settings!$B$15),AND(S1704&lt;&gt;"",S1704&lt;=Settings!$B$15)),"EXPIRING SOON","OK")))</f>
        <v/>
      </c>
      <c r="U1704" s="24" t="str">
        <f aca="false">IF(AND(C1704="Own",Q1704="Active"),COUNTIFS($C$5:C1704,"Own",$Q$5:Q1704,"Active"),"")</f>
        <v/>
      </c>
      <c r="V1704" s="26" t="str">
        <f aca="false">IF(C1704&lt;&gt;"Own","",IF(K1704="Hourly",N1704,(L1704+M1704)/(Settings!$B$11*Settings!$B$12)))</f>
        <v/>
      </c>
    </row>
    <row r="1705" customFormat="false" ht="15" hidden="false" customHeight="false" outlineLevel="0" collapsed="false">
      <c r="R1705" s="25" t="str">
        <f aca="true">IF(I1705="","",I1705-TODAY())</f>
        <v/>
      </c>
      <c r="S1705" s="25" t="str">
        <f aca="true">IF(J1705="","",J1705-TODAY())</f>
        <v/>
      </c>
      <c r="T1705" s="24" t="str">
        <f aca="false">IF(A1705="","",IF(OR(AND(R1705&lt;&gt;"",R1705&lt;0),AND(S1705&lt;&gt;"",S1705&lt;0)),"EXPIRED",IF(OR(AND(R1705&lt;&gt;"",R1705&lt;=Settings!$B$15),AND(S1705&lt;&gt;"",S1705&lt;=Settings!$B$15)),"EXPIRING SOON","OK")))</f>
        <v/>
      </c>
      <c r="U1705" s="24" t="str">
        <f aca="false">IF(AND(C1705="Own",Q1705="Active"),COUNTIFS($C$5:C1705,"Own",$Q$5:Q1705,"Active"),"")</f>
        <v/>
      </c>
      <c r="V1705" s="26" t="str">
        <f aca="false">IF(C1705&lt;&gt;"Own","",IF(K1705="Hourly",N1705,(L1705+M1705)/(Settings!$B$11*Settings!$B$12)))</f>
        <v/>
      </c>
    </row>
    <row r="1706" customFormat="false" ht="15" hidden="false" customHeight="false" outlineLevel="0" collapsed="false">
      <c r="R1706" s="25" t="str">
        <f aca="true">IF(I1706="","",I1706-TODAY())</f>
        <v/>
      </c>
      <c r="S1706" s="25" t="str">
        <f aca="true">IF(J1706="","",J1706-TODAY())</f>
        <v/>
      </c>
      <c r="T1706" s="24" t="str">
        <f aca="false">IF(A1706="","",IF(OR(AND(R1706&lt;&gt;"",R1706&lt;0),AND(S1706&lt;&gt;"",S1706&lt;0)),"EXPIRED",IF(OR(AND(R1706&lt;&gt;"",R1706&lt;=Settings!$B$15),AND(S1706&lt;&gt;"",S1706&lt;=Settings!$B$15)),"EXPIRING SOON","OK")))</f>
        <v/>
      </c>
      <c r="U1706" s="24" t="str">
        <f aca="false">IF(AND(C1706="Own",Q1706="Active"),COUNTIFS($C$5:C1706,"Own",$Q$5:Q1706,"Active"),"")</f>
        <v/>
      </c>
      <c r="V1706" s="26" t="str">
        <f aca="false">IF(C1706&lt;&gt;"Own","",IF(K1706="Hourly",N1706,(L1706+M1706)/(Settings!$B$11*Settings!$B$12)))</f>
        <v/>
      </c>
    </row>
    <row r="1707" customFormat="false" ht="15" hidden="false" customHeight="false" outlineLevel="0" collapsed="false">
      <c r="R1707" s="25" t="str">
        <f aca="true">IF(I1707="","",I1707-TODAY())</f>
        <v/>
      </c>
      <c r="S1707" s="25" t="str">
        <f aca="true">IF(J1707="","",J1707-TODAY())</f>
        <v/>
      </c>
      <c r="T1707" s="24" t="str">
        <f aca="false">IF(A1707="","",IF(OR(AND(R1707&lt;&gt;"",R1707&lt;0),AND(S1707&lt;&gt;"",S1707&lt;0)),"EXPIRED",IF(OR(AND(R1707&lt;&gt;"",R1707&lt;=Settings!$B$15),AND(S1707&lt;&gt;"",S1707&lt;=Settings!$B$15)),"EXPIRING SOON","OK")))</f>
        <v/>
      </c>
      <c r="U1707" s="24" t="str">
        <f aca="false">IF(AND(C1707="Own",Q1707="Active"),COUNTIFS($C$5:C1707,"Own",$Q$5:Q1707,"Active"),"")</f>
        <v/>
      </c>
      <c r="V1707" s="26" t="str">
        <f aca="false">IF(C1707&lt;&gt;"Own","",IF(K1707="Hourly",N1707,(L1707+M1707)/(Settings!$B$11*Settings!$B$12)))</f>
        <v/>
      </c>
    </row>
    <row r="1708" customFormat="false" ht="15" hidden="false" customHeight="false" outlineLevel="0" collapsed="false">
      <c r="R1708" s="25" t="str">
        <f aca="true">IF(I1708="","",I1708-TODAY())</f>
        <v/>
      </c>
      <c r="S1708" s="25" t="str">
        <f aca="true">IF(J1708="","",J1708-TODAY())</f>
        <v/>
      </c>
      <c r="T1708" s="24" t="str">
        <f aca="false">IF(A1708="","",IF(OR(AND(R1708&lt;&gt;"",R1708&lt;0),AND(S1708&lt;&gt;"",S1708&lt;0)),"EXPIRED",IF(OR(AND(R1708&lt;&gt;"",R1708&lt;=Settings!$B$15),AND(S1708&lt;&gt;"",S1708&lt;=Settings!$B$15)),"EXPIRING SOON","OK")))</f>
        <v/>
      </c>
      <c r="U1708" s="24" t="str">
        <f aca="false">IF(AND(C1708="Own",Q1708="Active"),COUNTIFS($C$5:C1708,"Own",$Q$5:Q1708,"Active"),"")</f>
        <v/>
      </c>
      <c r="V1708" s="26" t="str">
        <f aca="false">IF(C1708&lt;&gt;"Own","",IF(K1708="Hourly",N1708,(L1708+M1708)/(Settings!$B$11*Settings!$B$12)))</f>
        <v/>
      </c>
    </row>
    <row r="1709" customFormat="false" ht="15" hidden="false" customHeight="false" outlineLevel="0" collapsed="false">
      <c r="R1709" s="25" t="str">
        <f aca="true">IF(I1709="","",I1709-TODAY())</f>
        <v/>
      </c>
      <c r="S1709" s="25" t="str">
        <f aca="true">IF(J1709="","",J1709-TODAY())</f>
        <v/>
      </c>
      <c r="T1709" s="24" t="str">
        <f aca="false">IF(A1709="","",IF(OR(AND(R1709&lt;&gt;"",R1709&lt;0),AND(S1709&lt;&gt;"",S1709&lt;0)),"EXPIRED",IF(OR(AND(R1709&lt;&gt;"",R1709&lt;=Settings!$B$15),AND(S1709&lt;&gt;"",S1709&lt;=Settings!$B$15)),"EXPIRING SOON","OK")))</f>
        <v/>
      </c>
      <c r="U1709" s="24" t="str">
        <f aca="false">IF(AND(C1709="Own",Q1709="Active"),COUNTIFS($C$5:C1709,"Own",$Q$5:Q1709,"Active"),"")</f>
        <v/>
      </c>
      <c r="V1709" s="26" t="str">
        <f aca="false">IF(C1709&lt;&gt;"Own","",IF(K1709="Hourly",N1709,(L1709+M1709)/(Settings!$B$11*Settings!$B$12)))</f>
        <v/>
      </c>
    </row>
    <row r="1710" customFormat="false" ht="15" hidden="false" customHeight="false" outlineLevel="0" collapsed="false">
      <c r="R1710" s="25" t="str">
        <f aca="true">IF(I1710="","",I1710-TODAY())</f>
        <v/>
      </c>
      <c r="S1710" s="25" t="str">
        <f aca="true">IF(J1710="","",J1710-TODAY())</f>
        <v/>
      </c>
      <c r="T1710" s="24" t="str">
        <f aca="false">IF(A1710="","",IF(OR(AND(R1710&lt;&gt;"",R1710&lt;0),AND(S1710&lt;&gt;"",S1710&lt;0)),"EXPIRED",IF(OR(AND(R1710&lt;&gt;"",R1710&lt;=Settings!$B$15),AND(S1710&lt;&gt;"",S1710&lt;=Settings!$B$15)),"EXPIRING SOON","OK")))</f>
        <v/>
      </c>
      <c r="U1710" s="24" t="str">
        <f aca="false">IF(AND(C1710="Own",Q1710="Active"),COUNTIFS($C$5:C1710,"Own",$Q$5:Q1710,"Active"),"")</f>
        <v/>
      </c>
      <c r="V1710" s="26" t="str">
        <f aca="false">IF(C1710&lt;&gt;"Own","",IF(K1710="Hourly",N1710,(L1710+M1710)/(Settings!$B$11*Settings!$B$12)))</f>
        <v/>
      </c>
    </row>
    <row r="1711" customFormat="false" ht="15" hidden="false" customHeight="false" outlineLevel="0" collapsed="false">
      <c r="R1711" s="25" t="str">
        <f aca="true">IF(I1711="","",I1711-TODAY())</f>
        <v/>
      </c>
      <c r="S1711" s="25" t="str">
        <f aca="true">IF(J1711="","",J1711-TODAY())</f>
        <v/>
      </c>
      <c r="T1711" s="24" t="str">
        <f aca="false">IF(A1711="","",IF(OR(AND(R1711&lt;&gt;"",R1711&lt;0),AND(S1711&lt;&gt;"",S1711&lt;0)),"EXPIRED",IF(OR(AND(R1711&lt;&gt;"",R1711&lt;=Settings!$B$15),AND(S1711&lt;&gt;"",S1711&lt;=Settings!$B$15)),"EXPIRING SOON","OK")))</f>
        <v/>
      </c>
      <c r="U1711" s="24" t="str">
        <f aca="false">IF(AND(C1711="Own",Q1711="Active"),COUNTIFS($C$5:C1711,"Own",$Q$5:Q1711,"Active"),"")</f>
        <v/>
      </c>
      <c r="V1711" s="26" t="str">
        <f aca="false">IF(C1711&lt;&gt;"Own","",IF(K1711="Hourly",N1711,(L1711+M1711)/(Settings!$B$11*Settings!$B$12)))</f>
        <v/>
      </c>
    </row>
    <row r="1712" customFormat="false" ht="15" hidden="false" customHeight="false" outlineLevel="0" collapsed="false">
      <c r="R1712" s="25" t="str">
        <f aca="true">IF(I1712="","",I1712-TODAY())</f>
        <v/>
      </c>
      <c r="S1712" s="25" t="str">
        <f aca="true">IF(J1712="","",J1712-TODAY())</f>
        <v/>
      </c>
      <c r="T1712" s="24" t="str">
        <f aca="false">IF(A1712="","",IF(OR(AND(R1712&lt;&gt;"",R1712&lt;0),AND(S1712&lt;&gt;"",S1712&lt;0)),"EXPIRED",IF(OR(AND(R1712&lt;&gt;"",R1712&lt;=Settings!$B$15),AND(S1712&lt;&gt;"",S1712&lt;=Settings!$B$15)),"EXPIRING SOON","OK")))</f>
        <v/>
      </c>
      <c r="U1712" s="24" t="str">
        <f aca="false">IF(AND(C1712="Own",Q1712="Active"),COUNTIFS($C$5:C1712,"Own",$Q$5:Q1712,"Active"),"")</f>
        <v/>
      </c>
      <c r="V1712" s="26" t="str">
        <f aca="false">IF(C1712&lt;&gt;"Own","",IF(K1712="Hourly",N1712,(L1712+M1712)/(Settings!$B$11*Settings!$B$12)))</f>
        <v/>
      </c>
    </row>
    <row r="1713" customFormat="false" ht="15" hidden="false" customHeight="false" outlineLevel="0" collapsed="false">
      <c r="R1713" s="25" t="str">
        <f aca="true">IF(I1713="","",I1713-TODAY())</f>
        <v/>
      </c>
      <c r="S1713" s="25" t="str">
        <f aca="true">IF(J1713="","",J1713-TODAY())</f>
        <v/>
      </c>
      <c r="T1713" s="24" t="str">
        <f aca="false">IF(A1713="","",IF(OR(AND(R1713&lt;&gt;"",R1713&lt;0),AND(S1713&lt;&gt;"",S1713&lt;0)),"EXPIRED",IF(OR(AND(R1713&lt;&gt;"",R1713&lt;=Settings!$B$15),AND(S1713&lt;&gt;"",S1713&lt;=Settings!$B$15)),"EXPIRING SOON","OK")))</f>
        <v/>
      </c>
      <c r="U1713" s="24" t="str">
        <f aca="false">IF(AND(C1713="Own",Q1713="Active"),COUNTIFS($C$5:C1713,"Own",$Q$5:Q1713,"Active"),"")</f>
        <v/>
      </c>
      <c r="V1713" s="26" t="str">
        <f aca="false">IF(C1713&lt;&gt;"Own","",IF(K1713="Hourly",N1713,(L1713+M1713)/(Settings!$B$11*Settings!$B$12)))</f>
        <v/>
      </c>
    </row>
    <row r="1714" customFormat="false" ht="15" hidden="false" customHeight="false" outlineLevel="0" collapsed="false">
      <c r="R1714" s="25" t="str">
        <f aca="true">IF(I1714="","",I1714-TODAY())</f>
        <v/>
      </c>
      <c r="S1714" s="25" t="str">
        <f aca="true">IF(J1714="","",J1714-TODAY())</f>
        <v/>
      </c>
      <c r="T1714" s="24" t="str">
        <f aca="false">IF(A1714="","",IF(OR(AND(R1714&lt;&gt;"",R1714&lt;0),AND(S1714&lt;&gt;"",S1714&lt;0)),"EXPIRED",IF(OR(AND(R1714&lt;&gt;"",R1714&lt;=Settings!$B$15),AND(S1714&lt;&gt;"",S1714&lt;=Settings!$B$15)),"EXPIRING SOON","OK")))</f>
        <v/>
      </c>
      <c r="U1714" s="24" t="str">
        <f aca="false">IF(AND(C1714="Own",Q1714="Active"),COUNTIFS($C$5:C1714,"Own",$Q$5:Q1714,"Active"),"")</f>
        <v/>
      </c>
      <c r="V1714" s="26" t="str">
        <f aca="false">IF(C1714&lt;&gt;"Own","",IF(K1714="Hourly",N1714,(L1714+M1714)/(Settings!$B$11*Settings!$B$12)))</f>
        <v/>
      </c>
    </row>
    <row r="1715" customFormat="false" ht="15" hidden="false" customHeight="false" outlineLevel="0" collapsed="false">
      <c r="R1715" s="25" t="str">
        <f aca="true">IF(I1715="","",I1715-TODAY())</f>
        <v/>
      </c>
      <c r="S1715" s="25" t="str">
        <f aca="true">IF(J1715="","",J1715-TODAY())</f>
        <v/>
      </c>
      <c r="T1715" s="24" t="str">
        <f aca="false">IF(A1715="","",IF(OR(AND(R1715&lt;&gt;"",R1715&lt;0),AND(S1715&lt;&gt;"",S1715&lt;0)),"EXPIRED",IF(OR(AND(R1715&lt;&gt;"",R1715&lt;=Settings!$B$15),AND(S1715&lt;&gt;"",S1715&lt;=Settings!$B$15)),"EXPIRING SOON","OK")))</f>
        <v/>
      </c>
      <c r="U1715" s="24" t="str">
        <f aca="false">IF(AND(C1715="Own",Q1715="Active"),COUNTIFS($C$5:C1715,"Own",$Q$5:Q1715,"Active"),"")</f>
        <v/>
      </c>
      <c r="V1715" s="26" t="str">
        <f aca="false">IF(C1715&lt;&gt;"Own","",IF(K1715="Hourly",N1715,(L1715+M1715)/(Settings!$B$11*Settings!$B$12)))</f>
        <v/>
      </c>
    </row>
    <row r="1716" customFormat="false" ht="15" hidden="false" customHeight="false" outlineLevel="0" collapsed="false">
      <c r="R1716" s="25" t="str">
        <f aca="true">IF(I1716="","",I1716-TODAY())</f>
        <v/>
      </c>
      <c r="S1716" s="25" t="str">
        <f aca="true">IF(J1716="","",J1716-TODAY())</f>
        <v/>
      </c>
      <c r="T1716" s="24" t="str">
        <f aca="false">IF(A1716="","",IF(OR(AND(R1716&lt;&gt;"",R1716&lt;0),AND(S1716&lt;&gt;"",S1716&lt;0)),"EXPIRED",IF(OR(AND(R1716&lt;&gt;"",R1716&lt;=Settings!$B$15),AND(S1716&lt;&gt;"",S1716&lt;=Settings!$B$15)),"EXPIRING SOON","OK")))</f>
        <v/>
      </c>
      <c r="U1716" s="24" t="str">
        <f aca="false">IF(AND(C1716="Own",Q1716="Active"),COUNTIFS($C$5:C1716,"Own",$Q$5:Q1716,"Active"),"")</f>
        <v/>
      </c>
      <c r="V1716" s="26" t="str">
        <f aca="false">IF(C1716&lt;&gt;"Own","",IF(K1716="Hourly",N1716,(L1716+M1716)/(Settings!$B$11*Settings!$B$12)))</f>
        <v/>
      </c>
    </row>
    <row r="1717" customFormat="false" ht="15" hidden="false" customHeight="false" outlineLevel="0" collapsed="false">
      <c r="R1717" s="25" t="str">
        <f aca="true">IF(I1717="","",I1717-TODAY())</f>
        <v/>
      </c>
      <c r="S1717" s="25" t="str">
        <f aca="true">IF(J1717="","",J1717-TODAY())</f>
        <v/>
      </c>
      <c r="T1717" s="24" t="str">
        <f aca="false">IF(A1717="","",IF(OR(AND(R1717&lt;&gt;"",R1717&lt;0),AND(S1717&lt;&gt;"",S1717&lt;0)),"EXPIRED",IF(OR(AND(R1717&lt;&gt;"",R1717&lt;=Settings!$B$15),AND(S1717&lt;&gt;"",S1717&lt;=Settings!$B$15)),"EXPIRING SOON","OK")))</f>
        <v/>
      </c>
      <c r="U1717" s="24" t="str">
        <f aca="false">IF(AND(C1717="Own",Q1717="Active"),COUNTIFS($C$5:C1717,"Own",$Q$5:Q1717,"Active"),"")</f>
        <v/>
      </c>
      <c r="V1717" s="26" t="str">
        <f aca="false">IF(C1717&lt;&gt;"Own","",IF(K1717="Hourly",N1717,(L1717+M1717)/(Settings!$B$11*Settings!$B$12)))</f>
        <v/>
      </c>
    </row>
    <row r="1718" customFormat="false" ht="15" hidden="false" customHeight="false" outlineLevel="0" collapsed="false">
      <c r="R1718" s="25" t="str">
        <f aca="true">IF(I1718="","",I1718-TODAY())</f>
        <v/>
      </c>
      <c r="S1718" s="25" t="str">
        <f aca="true">IF(J1718="","",J1718-TODAY())</f>
        <v/>
      </c>
      <c r="T1718" s="24" t="str">
        <f aca="false">IF(A1718="","",IF(OR(AND(R1718&lt;&gt;"",R1718&lt;0),AND(S1718&lt;&gt;"",S1718&lt;0)),"EXPIRED",IF(OR(AND(R1718&lt;&gt;"",R1718&lt;=Settings!$B$15),AND(S1718&lt;&gt;"",S1718&lt;=Settings!$B$15)),"EXPIRING SOON","OK")))</f>
        <v/>
      </c>
      <c r="U1718" s="24" t="str">
        <f aca="false">IF(AND(C1718="Own",Q1718="Active"),COUNTIFS($C$5:C1718,"Own",$Q$5:Q1718,"Active"),"")</f>
        <v/>
      </c>
      <c r="V1718" s="26" t="str">
        <f aca="false">IF(C1718&lt;&gt;"Own","",IF(K1718="Hourly",N1718,(L1718+M1718)/(Settings!$B$11*Settings!$B$12)))</f>
        <v/>
      </c>
    </row>
    <row r="1719" customFormat="false" ht="15" hidden="false" customHeight="false" outlineLevel="0" collapsed="false">
      <c r="R1719" s="25" t="str">
        <f aca="true">IF(I1719="","",I1719-TODAY())</f>
        <v/>
      </c>
      <c r="S1719" s="25" t="str">
        <f aca="true">IF(J1719="","",J1719-TODAY())</f>
        <v/>
      </c>
      <c r="T1719" s="24" t="str">
        <f aca="false">IF(A1719="","",IF(OR(AND(R1719&lt;&gt;"",R1719&lt;0),AND(S1719&lt;&gt;"",S1719&lt;0)),"EXPIRED",IF(OR(AND(R1719&lt;&gt;"",R1719&lt;=Settings!$B$15),AND(S1719&lt;&gt;"",S1719&lt;=Settings!$B$15)),"EXPIRING SOON","OK")))</f>
        <v/>
      </c>
      <c r="U1719" s="24" t="str">
        <f aca="false">IF(AND(C1719="Own",Q1719="Active"),COUNTIFS($C$5:C1719,"Own",$Q$5:Q1719,"Active"),"")</f>
        <v/>
      </c>
      <c r="V1719" s="26" t="str">
        <f aca="false">IF(C1719&lt;&gt;"Own","",IF(K1719="Hourly",N1719,(L1719+M1719)/(Settings!$B$11*Settings!$B$12)))</f>
        <v/>
      </c>
    </row>
    <row r="1720" customFormat="false" ht="15" hidden="false" customHeight="false" outlineLevel="0" collapsed="false">
      <c r="R1720" s="25" t="str">
        <f aca="true">IF(I1720="","",I1720-TODAY())</f>
        <v/>
      </c>
      <c r="S1720" s="25" t="str">
        <f aca="true">IF(J1720="","",J1720-TODAY())</f>
        <v/>
      </c>
      <c r="T1720" s="24" t="str">
        <f aca="false">IF(A1720="","",IF(OR(AND(R1720&lt;&gt;"",R1720&lt;0),AND(S1720&lt;&gt;"",S1720&lt;0)),"EXPIRED",IF(OR(AND(R1720&lt;&gt;"",R1720&lt;=Settings!$B$15),AND(S1720&lt;&gt;"",S1720&lt;=Settings!$B$15)),"EXPIRING SOON","OK")))</f>
        <v/>
      </c>
      <c r="U1720" s="24" t="str">
        <f aca="false">IF(AND(C1720="Own",Q1720="Active"),COUNTIFS($C$5:C1720,"Own",$Q$5:Q1720,"Active"),"")</f>
        <v/>
      </c>
      <c r="V1720" s="26" t="str">
        <f aca="false">IF(C1720&lt;&gt;"Own","",IF(K1720="Hourly",N1720,(L1720+M1720)/(Settings!$B$11*Settings!$B$12)))</f>
        <v/>
      </c>
    </row>
    <row r="1721" customFormat="false" ht="15" hidden="false" customHeight="false" outlineLevel="0" collapsed="false">
      <c r="R1721" s="25" t="str">
        <f aca="true">IF(I1721="","",I1721-TODAY())</f>
        <v/>
      </c>
      <c r="S1721" s="25" t="str">
        <f aca="true">IF(J1721="","",J1721-TODAY())</f>
        <v/>
      </c>
      <c r="T1721" s="24" t="str">
        <f aca="false">IF(A1721="","",IF(OR(AND(R1721&lt;&gt;"",R1721&lt;0),AND(S1721&lt;&gt;"",S1721&lt;0)),"EXPIRED",IF(OR(AND(R1721&lt;&gt;"",R1721&lt;=Settings!$B$15),AND(S1721&lt;&gt;"",S1721&lt;=Settings!$B$15)),"EXPIRING SOON","OK")))</f>
        <v/>
      </c>
      <c r="U1721" s="24" t="str">
        <f aca="false">IF(AND(C1721="Own",Q1721="Active"),COUNTIFS($C$5:C1721,"Own",$Q$5:Q1721,"Active"),"")</f>
        <v/>
      </c>
      <c r="V1721" s="26" t="str">
        <f aca="false">IF(C1721&lt;&gt;"Own","",IF(K1721="Hourly",N1721,(L1721+M1721)/(Settings!$B$11*Settings!$B$12)))</f>
        <v/>
      </c>
    </row>
    <row r="1722" customFormat="false" ht="15" hidden="false" customHeight="false" outlineLevel="0" collapsed="false">
      <c r="R1722" s="25" t="str">
        <f aca="true">IF(I1722="","",I1722-TODAY())</f>
        <v/>
      </c>
      <c r="S1722" s="25" t="str">
        <f aca="true">IF(J1722="","",J1722-TODAY())</f>
        <v/>
      </c>
      <c r="T1722" s="24" t="str">
        <f aca="false">IF(A1722="","",IF(OR(AND(R1722&lt;&gt;"",R1722&lt;0),AND(S1722&lt;&gt;"",S1722&lt;0)),"EXPIRED",IF(OR(AND(R1722&lt;&gt;"",R1722&lt;=Settings!$B$15),AND(S1722&lt;&gt;"",S1722&lt;=Settings!$B$15)),"EXPIRING SOON","OK")))</f>
        <v/>
      </c>
      <c r="U1722" s="24" t="str">
        <f aca="false">IF(AND(C1722="Own",Q1722="Active"),COUNTIFS($C$5:C1722,"Own",$Q$5:Q1722,"Active"),"")</f>
        <v/>
      </c>
      <c r="V1722" s="26" t="str">
        <f aca="false">IF(C1722&lt;&gt;"Own","",IF(K1722="Hourly",N1722,(L1722+M1722)/(Settings!$B$11*Settings!$B$12)))</f>
        <v/>
      </c>
    </row>
    <row r="1723" customFormat="false" ht="15" hidden="false" customHeight="false" outlineLevel="0" collapsed="false">
      <c r="R1723" s="25" t="str">
        <f aca="true">IF(I1723="","",I1723-TODAY())</f>
        <v/>
      </c>
      <c r="S1723" s="25" t="str">
        <f aca="true">IF(J1723="","",J1723-TODAY())</f>
        <v/>
      </c>
      <c r="T1723" s="24" t="str">
        <f aca="false">IF(A1723="","",IF(OR(AND(R1723&lt;&gt;"",R1723&lt;0),AND(S1723&lt;&gt;"",S1723&lt;0)),"EXPIRED",IF(OR(AND(R1723&lt;&gt;"",R1723&lt;=Settings!$B$15),AND(S1723&lt;&gt;"",S1723&lt;=Settings!$B$15)),"EXPIRING SOON","OK")))</f>
        <v/>
      </c>
      <c r="U1723" s="24" t="str">
        <f aca="false">IF(AND(C1723="Own",Q1723="Active"),COUNTIFS($C$5:C1723,"Own",$Q$5:Q1723,"Active"),"")</f>
        <v/>
      </c>
      <c r="V1723" s="26" t="str">
        <f aca="false">IF(C1723&lt;&gt;"Own","",IF(K1723="Hourly",N1723,(L1723+M1723)/(Settings!$B$11*Settings!$B$12)))</f>
        <v/>
      </c>
    </row>
    <row r="1724" customFormat="false" ht="15" hidden="false" customHeight="false" outlineLevel="0" collapsed="false">
      <c r="R1724" s="25" t="str">
        <f aca="true">IF(I1724="","",I1724-TODAY())</f>
        <v/>
      </c>
      <c r="S1724" s="25" t="str">
        <f aca="true">IF(J1724="","",J1724-TODAY())</f>
        <v/>
      </c>
      <c r="T1724" s="24" t="str">
        <f aca="false">IF(A1724="","",IF(OR(AND(R1724&lt;&gt;"",R1724&lt;0),AND(S1724&lt;&gt;"",S1724&lt;0)),"EXPIRED",IF(OR(AND(R1724&lt;&gt;"",R1724&lt;=Settings!$B$15),AND(S1724&lt;&gt;"",S1724&lt;=Settings!$B$15)),"EXPIRING SOON","OK")))</f>
        <v/>
      </c>
      <c r="U1724" s="24" t="str">
        <f aca="false">IF(AND(C1724="Own",Q1724="Active"),COUNTIFS($C$5:C1724,"Own",$Q$5:Q1724,"Active"),"")</f>
        <v/>
      </c>
      <c r="V1724" s="26" t="str">
        <f aca="false">IF(C1724&lt;&gt;"Own","",IF(K1724="Hourly",N1724,(L1724+M1724)/(Settings!$B$11*Settings!$B$12)))</f>
        <v/>
      </c>
    </row>
    <row r="1725" customFormat="false" ht="15" hidden="false" customHeight="false" outlineLevel="0" collapsed="false">
      <c r="R1725" s="25" t="str">
        <f aca="true">IF(I1725="","",I1725-TODAY())</f>
        <v/>
      </c>
      <c r="S1725" s="25" t="str">
        <f aca="true">IF(J1725="","",J1725-TODAY())</f>
        <v/>
      </c>
      <c r="T1725" s="24" t="str">
        <f aca="false">IF(A1725="","",IF(OR(AND(R1725&lt;&gt;"",R1725&lt;0),AND(S1725&lt;&gt;"",S1725&lt;0)),"EXPIRED",IF(OR(AND(R1725&lt;&gt;"",R1725&lt;=Settings!$B$15),AND(S1725&lt;&gt;"",S1725&lt;=Settings!$B$15)),"EXPIRING SOON","OK")))</f>
        <v/>
      </c>
      <c r="U1725" s="24" t="str">
        <f aca="false">IF(AND(C1725="Own",Q1725="Active"),COUNTIFS($C$5:C1725,"Own",$Q$5:Q1725,"Active"),"")</f>
        <v/>
      </c>
      <c r="V1725" s="26" t="str">
        <f aca="false">IF(C1725&lt;&gt;"Own","",IF(K1725="Hourly",N1725,(L1725+M1725)/(Settings!$B$11*Settings!$B$12)))</f>
        <v/>
      </c>
    </row>
    <row r="1726" customFormat="false" ht="15" hidden="false" customHeight="false" outlineLevel="0" collapsed="false">
      <c r="R1726" s="25" t="str">
        <f aca="true">IF(I1726="","",I1726-TODAY())</f>
        <v/>
      </c>
      <c r="S1726" s="25" t="str">
        <f aca="true">IF(J1726="","",J1726-TODAY())</f>
        <v/>
      </c>
      <c r="T1726" s="24" t="str">
        <f aca="false">IF(A1726="","",IF(OR(AND(R1726&lt;&gt;"",R1726&lt;0),AND(S1726&lt;&gt;"",S1726&lt;0)),"EXPIRED",IF(OR(AND(R1726&lt;&gt;"",R1726&lt;=Settings!$B$15),AND(S1726&lt;&gt;"",S1726&lt;=Settings!$B$15)),"EXPIRING SOON","OK")))</f>
        <v/>
      </c>
      <c r="U1726" s="24" t="str">
        <f aca="false">IF(AND(C1726="Own",Q1726="Active"),COUNTIFS($C$5:C1726,"Own",$Q$5:Q1726,"Active"),"")</f>
        <v/>
      </c>
      <c r="V1726" s="26" t="str">
        <f aca="false">IF(C1726&lt;&gt;"Own","",IF(K1726="Hourly",N1726,(L1726+M1726)/(Settings!$B$11*Settings!$B$12)))</f>
        <v/>
      </c>
    </row>
    <row r="1727" customFormat="false" ht="15" hidden="false" customHeight="false" outlineLevel="0" collapsed="false">
      <c r="R1727" s="25" t="str">
        <f aca="true">IF(I1727="","",I1727-TODAY())</f>
        <v/>
      </c>
      <c r="S1727" s="25" t="str">
        <f aca="true">IF(J1727="","",J1727-TODAY())</f>
        <v/>
      </c>
      <c r="T1727" s="24" t="str">
        <f aca="false">IF(A1727="","",IF(OR(AND(R1727&lt;&gt;"",R1727&lt;0),AND(S1727&lt;&gt;"",S1727&lt;0)),"EXPIRED",IF(OR(AND(R1727&lt;&gt;"",R1727&lt;=Settings!$B$15),AND(S1727&lt;&gt;"",S1727&lt;=Settings!$B$15)),"EXPIRING SOON","OK")))</f>
        <v/>
      </c>
      <c r="U1727" s="24" t="str">
        <f aca="false">IF(AND(C1727="Own",Q1727="Active"),COUNTIFS($C$5:C1727,"Own",$Q$5:Q1727,"Active"),"")</f>
        <v/>
      </c>
      <c r="V1727" s="26" t="str">
        <f aca="false">IF(C1727&lt;&gt;"Own","",IF(K1727="Hourly",N1727,(L1727+M1727)/(Settings!$B$11*Settings!$B$12)))</f>
        <v/>
      </c>
    </row>
    <row r="1728" customFormat="false" ht="15" hidden="false" customHeight="false" outlineLevel="0" collapsed="false">
      <c r="R1728" s="25" t="str">
        <f aca="true">IF(I1728="","",I1728-TODAY())</f>
        <v/>
      </c>
      <c r="S1728" s="25" t="str">
        <f aca="true">IF(J1728="","",J1728-TODAY())</f>
        <v/>
      </c>
      <c r="T1728" s="24" t="str">
        <f aca="false">IF(A1728="","",IF(OR(AND(R1728&lt;&gt;"",R1728&lt;0),AND(S1728&lt;&gt;"",S1728&lt;0)),"EXPIRED",IF(OR(AND(R1728&lt;&gt;"",R1728&lt;=Settings!$B$15),AND(S1728&lt;&gt;"",S1728&lt;=Settings!$B$15)),"EXPIRING SOON","OK")))</f>
        <v/>
      </c>
      <c r="U1728" s="24" t="str">
        <f aca="false">IF(AND(C1728="Own",Q1728="Active"),COUNTIFS($C$5:C1728,"Own",$Q$5:Q1728,"Active"),"")</f>
        <v/>
      </c>
      <c r="V1728" s="26" t="str">
        <f aca="false">IF(C1728&lt;&gt;"Own","",IF(K1728="Hourly",N1728,(L1728+M1728)/(Settings!$B$11*Settings!$B$12)))</f>
        <v/>
      </c>
    </row>
    <row r="1729" customFormat="false" ht="15" hidden="false" customHeight="false" outlineLevel="0" collapsed="false">
      <c r="R1729" s="25" t="str">
        <f aca="true">IF(I1729="","",I1729-TODAY())</f>
        <v/>
      </c>
      <c r="S1729" s="25" t="str">
        <f aca="true">IF(J1729="","",J1729-TODAY())</f>
        <v/>
      </c>
      <c r="T1729" s="24" t="str">
        <f aca="false">IF(A1729="","",IF(OR(AND(R1729&lt;&gt;"",R1729&lt;0),AND(S1729&lt;&gt;"",S1729&lt;0)),"EXPIRED",IF(OR(AND(R1729&lt;&gt;"",R1729&lt;=Settings!$B$15),AND(S1729&lt;&gt;"",S1729&lt;=Settings!$B$15)),"EXPIRING SOON","OK")))</f>
        <v/>
      </c>
      <c r="U1729" s="24" t="str">
        <f aca="false">IF(AND(C1729="Own",Q1729="Active"),COUNTIFS($C$5:C1729,"Own",$Q$5:Q1729,"Active"),"")</f>
        <v/>
      </c>
      <c r="V1729" s="26" t="str">
        <f aca="false">IF(C1729&lt;&gt;"Own","",IF(K1729="Hourly",N1729,(L1729+M1729)/(Settings!$B$11*Settings!$B$12)))</f>
        <v/>
      </c>
    </row>
    <row r="1730" customFormat="false" ht="15" hidden="false" customHeight="false" outlineLevel="0" collapsed="false">
      <c r="R1730" s="25" t="str">
        <f aca="true">IF(I1730="","",I1730-TODAY())</f>
        <v/>
      </c>
      <c r="S1730" s="25" t="str">
        <f aca="true">IF(J1730="","",J1730-TODAY())</f>
        <v/>
      </c>
      <c r="T1730" s="24" t="str">
        <f aca="false">IF(A1730="","",IF(OR(AND(R1730&lt;&gt;"",R1730&lt;0),AND(S1730&lt;&gt;"",S1730&lt;0)),"EXPIRED",IF(OR(AND(R1730&lt;&gt;"",R1730&lt;=Settings!$B$15),AND(S1730&lt;&gt;"",S1730&lt;=Settings!$B$15)),"EXPIRING SOON","OK")))</f>
        <v/>
      </c>
      <c r="U1730" s="24" t="str">
        <f aca="false">IF(AND(C1730="Own",Q1730="Active"),COUNTIFS($C$5:C1730,"Own",$Q$5:Q1730,"Active"),"")</f>
        <v/>
      </c>
      <c r="V1730" s="26" t="str">
        <f aca="false">IF(C1730&lt;&gt;"Own","",IF(K1730="Hourly",N1730,(L1730+M1730)/(Settings!$B$11*Settings!$B$12)))</f>
        <v/>
      </c>
    </row>
    <row r="1731" customFormat="false" ht="15" hidden="false" customHeight="false" outlineLevel="0" collapsed="false">
      <c r="R1731" s="25" t="str">
        <f aca="true">IF(I1731="","",I1731-TODAY())</f>
        <v/>
      </c>
      <c r="S1731" s="25" t="str">
        <f aca="true">IF(J1731="","",J1731-TODAY())</f>
        <v/>
      </c>
      <c r="T1731" s="24" t="str">
        <f aca="false">IF(A1731="","",IF(OR(AND(R1731&lt;&gt;"",R1731&lt;0),AND(S1731&lt;&gt;"",S1731&lt;0)),"EXPIRED",IF(OR(AND(R1731&lt;&gt;"",R1731&lt;=Settings!$B$15),AND(S1731&lt;&gt;"",S1731&lt;=Settings!$B$15)),"EXPIRING SOON","OK")))</f>
        <v/>
      </c>
      <c r="U1731" s="24" t="str">
        <f aca="false">IF(AND(C1731="Own",Q1731="Active"),COUNTIFS($C$5:C1731,"Own",$Q$5:Q1731,"Active"),"")</f>
        <v/>
      </c>
      <c r="V1731" s="26" t="str">
        <f aca="false">IF(C1731&lt;&gt;"Own","",IF(K1731="Hourly",N1731,(L1731+M1731)/(Settings!$B$11*Settings!$B$12)))</f>
        <v/>
      </c>
    </row>
    <row r="1732" customFormat="false" ht="15" hidden="false" customHeight="false" outlineLevel="0" collapsed="false">
      <c r="R1732" s="25" t="str">
        <f aca="true">IF(I1732="","",I1732-TODAY())</f>
        <v/>
      </c>
      <c r="S1732" s="25" t="str">
        <f aca="true">IF(J1732="","",J1732-TODAY())</f>
        <v/>
      </c>
      <c r="T1732" s="24" t="str">
        <f aca="false">IF(A1732="","",IF(OR(AND(R1732&lt;&gt;"",R1732&lt;0),AND(S1732&lt;&gt;"",S1732&lt;0)),"EXPIRED",IF(OR(AND(R1732&lt;&gt;"",R1732&lt;=Settings!$B$15),AND(S1732&lt;&gt;"",S1732&lt;=Settings!$B$15)),"EXPIRING SOON","OK")))</f>
        <v/>
      </c>
      <c r="U1732" s="24" t="str">
        <f aca="false">IF(AND(C1732="Own",Q1732="Active"),COUNTIFS($C$5:C1732,"Own",$Q$5:Q1732,"Active"),"")</f>
        <v/>
      </c>
      <c r="V1732" s="26" t="str">
        <f aca="false">IF(C1732&lt;&gt;"Own","",IF(K1732="Hourly",N1732,(L1732+M1732)/(Settings!$B$11*Settings!$B$12)))</f>
        <v/>
      </c>
    </row>
    <row r="1733" customFormat="false" ht="15" hidden="false" customHeight="false" outlineLevel="0" collapsed="false">
      <c r="R1733" s="25" t="str">
        <f aca="true">IF(I1733="","",I1733-TODAY())</f>
        <v/>
      </c>
      <c r="S1733" s="25" t="str">
        <f aca="true">IF(J1733="","",J1733-TODAY())</f>
        <v/>
      </c>
      <c r="T1733" s="24" t="str">
        <f aca="false">IF(A1733="","",IF(OR(AND(R1733&lt;&gt;"",R1733&lt;0),AND(S1733&lt;&gt;"",S1733&lt;0)),"EXPIRED",IF(OR(AND(R1733&lt;&gt;"",R1733&lt;=Settings!$B$15),AND(S1733&lt;&gt;"",S1733&lt;=Settings!$B$15)),"EXPIRING SOON","OK")))</f>
        <v/>
      </c>
      <c r="U1733" s="24" t="str">
        <f aca="false">IF(AND(C1733="Own",Q1733="Active"),COUNTIFS($C$5:C1733,"Own",$Q$5:Q1733,"Active"),"")</f>
        <v/>
      </c>
      <c r="V1733" s="26" t="str">
        <f aca="false">IF(C1733&lt;&gt;"Own","",IF(K1733="Hourly",N1733,(L1733+M1733)/(Settings!$B$11*Settings!$B$12)))</f>
        <v/>
      </c>
    </row>
    <row r="1734" customFormat="false" ht="15" hidden="false" customHeight="false" outlineLevel="0" collapsed="false">
      <c r="R1734" s="25" t="str">
        <f aca="true">IF(I1734="","",I1734-TODAY())</f>
        <v/>
      </c>
      <c r="S1734" s="25" t="str">
        <f aca="true">IF(J1734="","",J1734-TODAY())</f>
        <v/>
      </c>
      <c r="T1734" s="24" t="str">
        <f aca="false">IF(A1734="","",IF(OR(AND(R1734&lt;&gt;"",R1734&lt;0),AND(S1734&lt;&gt;"",S1734&lt;0)),"EXPIRED",IF(OR(AND(R1734&lt;&gt;"",R1734&lt;=Settings!$B$15),AND(S1734&lt;&gt;"",S1734&lt;=Settings!$B$15)),"EXPIRING SOON","OK")))</f>
        <v/>
      </c>
      <c r="U1734" s="24" t="str">
        <f aca="false">IF(AND(C1734="Own",Q1734="Active"),COUNTIFS($C$5:C1734,"Own",$Q$5:Q1734,"Active"),"")</f>
        <v/>
      </c>
      <c r="V1734" s="26" t="str">
        <f aca="false">IF(C1734&lt;&gt;"Own","",IF(K1734="Hourly",N1734,(L1734+M1734)/(Settings!$B$11*Settings!$B$12)))</f>
        <v/>
      </c>
    </row>
    <row r="1735" customFormat="false" ht="15" hidden="false" customHeight="false" outlineLevel="0" collapsed="false">
      <c r="R1735" s="25" t="str">
        <f aca="true">IF(I1735="","",I1735-TODAY())</f>
        <v/>
      </c>
      <c r="S1735" s="25" t="str">
        <f aca="true">IF(J1735="","",J1735-TODAY())</f>
        <v/>
      </c>
      <c r="T1735" s="24" t="str">
        <f aca="false">IF(A1735="","",IF(OR(AND(R1735&lt;&gt;"",R1735&lt;0),AND(S1735&lt;&gt;"",S1735&lt;0)),"EXPIRED",IF(OR(AND(R1735&lt;&gt;"",R1735&lt;=Settings!$B$15),AND(S1735&lt;&gt;"",S1735&lt;=Settings!$B$15)),"EXPIRING SOON","OK")))</f>
        <v/>
      </c>
      <c r="U1735" s="24" t="str">
        <f aca="false">IF(AND(C1735="Own",Q1735="Active"),COUNTIFS($C$5:C1735,"Own",$Q$5:Q1735,"Active"),"")</f>
        <v/>
      </c>
      <c r="V1735" s="26" t="str">
        <f aca="false">IF(C1735&lt;&gt;"Own","",IF(K1735="Hourly",N1735,(L1735+M1735)/(Settings!$B$11*Settings!$B$12)))</f>
        <v/>
      </c>
    </row>
    <row r="1736" customFormat="false" ht="15" hidden="false" customHeight="false" outlineLevel="0" collapsed="false">
      <c r="R1736" s="25" t="str">
        <f aca="true">IF(I1736="","",I1736-TODAY())</f>
        <v/>
      </c>
      <c r="S1736" s="25" t="str">
        <f aca="true">IF(J1736="","",J1736-TODAY())</f>
        <v/>
      </c>
      <c r="T1736" s="24" t="str">
        <f aca="false">IF(A1736="","",IF(OR(AND(R1736&lt;&gt;"",R1736&lt;0),AND(S1736&lt;&gt;"",S1736&lt;0)),"EXPIRED",IF(OR(AND(R1736&lt;&gt;"",R1736&lt;=Settings!$B$15),AND(S1736&lt;&gt;"",S1736&lt;=Settings!$B$15)),"EXPIRING SOON","OK")))</f>
        <v/>
      </c>
      <c r="U1736" s="24" t="str">
        <f aca="false">IF(AND(C1736="Own",Q1736="Active"),COUNTIFS($C$5:C1736,"Own",$Q$5:Q1736,"Active"),"")</f>
        <v/>
      </c>
      <c r="V1736" s="26" t="str">
        <f aca="false">IF(C1736&lt;&gt;"Own","",IF(K1736="Hourly",N1736,(L1736+M1736)/(Settings!$B$11*Settings!$B$12)))</f>
        <v/>
      </c>
    </row>
    <row r="1737" customFormat="false" ht="15" hidden="false" customHeight="false" outlineLevel="0" collapsed="false">
      <c r="R1737" s="25" t="str">
        <f aca="true">IF(I1737="","",I1737-TODAY())</f>
        <v/>
      </c>
      <c r="S1737" s="25" t="str">
        <f aca="true">IF(J1737="","",J1737-TODAY())</f>
        <v/>
      </c>
      <c r="T1737" s="24" t="str">
        <f aca="false">IF(A1737="","",IF(OR(AND(R1737&lt;&gt;"",R1737&lt;0),AND(S1737&lt;&gt;"",S1737&lt;0)),"EXPIRED",IF(OR(AND(R1737&lt;&gt;"",R1737&lt;=Settings!$B$15),AND(S1737&lt;&gt;"",S1737&lt;=Settings!$B$15)),"EXPIRING SOON","OK")))</f>
        <v/>
      </c>
      <c r="U1737" s="24" t="str">
        <f aca="false">IF(AND(C1737="Own",Q1737="Active"),COUNTIFS($C$5:C1737,"Own",$Q$5:Q1737,"Active"),"")</f>
        <v/>
      </c>
      <c r="V1737" s="26" t="str">
        <f aca="false">IF(C1737&lt;&gt;"Own","",IF(K1737="Hourly",N1737,(L1737+M1737)/(Settings!$B$11*Settings!$B$12)))</f>
        <v/>
      </c>
    </row>
    <row r="1738" customFormat="false" ht="15" hidden="false" customHeight="false" outlineLevel="0" collapsed="false">
      <c r="R1738" s="25" t="str">
        <f aca="true">IF(I1738="","",I1738-TODAY())</f>
        <v/>
      </c>
      <c r="S1738" s="25" t="str">
        <f aca="true">IF(J1738="","",J1738-TODAY())</f>
        <v/>
      </c>
      <c r="T1738" s="24" t="str">
        <f aca="false">IF(A1738="","",IF(OR(AND(R1738&lt;&gt;"",R1738&lt;0),AND(S1738&lt;&gt;"",S1738&lt;0)),"EXPIRED",IF(OR(AND(R1738&lt;&gt;"",R1738&lt;=Settings!$B$15),AND(S1738&lt;&gt;"",S1738&lt;=Settings!$B$15)),"EXPIRING SOON","OK")))</f>
        <v/>
      </c>
      <c r="U1738" s="24" t="str">
        <f aca="false">IF(AND(C1738="Own",Q1738="Active"),COUNTIFS($C$5:C1738,"Own",$Q$5:Q1738,"Active"),"")</f>
        <v/>
      </c>
      <c r="V1738" s="26" t="str">
        <f aca="false">IF(C1738&lt;&gt;"Own","",IF(K1738="Hourly",N1738,(L1738+M1738)/(Settings!$B$11*Settings!$B$12)))</f>
        <v/>
      </c>
    </row>
    <row r="1739" customFormat="false" ht="15" hidden="false" customHeight="false" outlineLevel="0" collapsed="false">
      <c r="R1739" s="25" t="str">
        <f aca="true">IF(I1739="","",I1739-TODAY())</f>
        <v/>
      </c>
      <c r="S1739" s="25" t="str">
        <f aca="true">IF(J1739="","",J1739-TODAY())</f>
        <v/>
      </c>
      <c r="T1739" s="24" t="str">
        <f aca="false">IF(A1739="","",IF(OR(AND(R1739&lt;&gt;"",R1739&lt;0),AND(S1739&lt;&gt;"",S1739&lt;0)),"EXPIRED",IF(OR(AND(R1739&lt;&gt;"",R1739&lt;=Settings!$B$15),AND(S1739&lt;&gt;"",S1739&lt;=Settings!$B$15)),"EXPIRING SOON","OK")))</f>
        <v/>
      </c>
      <c r="U1739" s="24" t="str">
        <f aca="false">IF(AND(C1739="Own",Q1739="Active"),COUNTIFS($C$5:C1739,"Own",$Q$5:Q1739,"Active"),"")</f>
        <v/>
      </c>
      <c r="V1739" s="26" t="str">
        <f aca="false">IF(C1739&lt;&gt;"Own","",IF(K1739="Hourly",N1739,(L1739+M1739)/(Settings!$B$11*Settings!$B$12)))</f>
        <v/>
      </c>
    </row>
    <row r="1740" customFormat="false" ht="15" hidden="false" customHeight="false" outlineLevel="0" collapsed="false">
      <c r="R1740" s="25" t="str">
        <f aca="true">IF(I1740="","",I1740-TODAY())</f>
        <v/>
      </c>
      <c r="S1740" s="25" t="str">
        <f aca="true">IF(J1740="","",J1740-TODAY())</f>
        <v/>
      </c>
      <c r="T1740" s="24" t="str">
        <f aca="false">IF(A1740="","",IF(OR(AND(R1740&lt;&gt;"",R1740&lt;0),AND(S1740&lt;&gt;"",S1740&lt;0)),"EXPIRED",IF(OR(AND(R1740&lt;&gt;"",R1740&lt;=Settings!$B$15),AND(S1740&lt;&gt;"",S1740&lt;=Settings!$B$15)),"EXPIRING SOON","OK")))</f>
        <v/>
      </c>
      <c r="U1740" s="24" t="str">
        <f aca="false">IF(AND(C1740="Own",Q1740="Active"),COUNTIFS($C$5:C1740,"Own",$Q$5:Q1740,"Active"),"")</f>
        <v/>
      </c>
      <c r="V1740" s="26" t="str">
        <f aca="false">IF(C1740&lt;&gt;"Own","",IF(K1740="Hourly",N1740,(L1740+M1740)/(Settings!$B$11*Settings!$B$12)))</f>
        <v/>
      </c>
    </row>
    <row r="1741" customFormat="false" ht="15" hidden="false" customHeight="false" outlineLevel="0" collapsed="false">
      <c r="R1741" s="25" t="str">
        <f aca="true">IF(I1741="","",I1741-TODAY())</f>
        <v/>
      </c>
      <c r="S1741" s="25" t="str">
        <f aca="true">IF(J1741="","",J1741-TODAY())</f>
        <v/>
      </c>
      <c r="T1741" s="24" t="str">
        <f aca="false">IF(A1741="","",IF(OR(AND(R1741&lt;&gt;"",R1741&lt;0),AND(S1741&lt;&gt;"",S1741&lt;0)),"EXPIRED",IF(OR(AND(R1741&lt;&gt;"",R1741&lt;=Settings!$B$15),AND(S1741&lt;&gt;"",S1741&lt;=Settings!$B$15)),"EXPIRING SOON","OK")))</f>
        <v/>
      </c>
      <c r="U1741" s="24" t="str">
        <f aca="false">IF(AND(C1741="Own",Q1741="Active"),COUNTIFS($C$5:C1741,"Own",$Q$5:Q1741,"Active"),"")</f>
        <v/>
      </c>
      <c r="V1741" s="26" t="str">
        <f aca="false">IF(C1741&lt;&gt;"Own","",IF(K1741="Hourly",N1741,(L1741+M1741)/(Settings!$B$11*Settings!$B$12)))</f>
        <v/>
      </c>
    </row>
    <row r="1742" customFormat="false" ht="15" hidden="false" customHeight="false" outlineLevel="0" collapsed="false">
      <c r="R1742" s="25" t="str">
        <f aca="true">IF(I1742="","",I1742-TODAY())</f>
        <v/>
      </c>
      <c r="S1742" s="25" t="str">
        <f aca="true">IF(J1742="","",J1742-TODAY())</f>
        <v/>
      </c>
      <c r="T1742" s="24" t="str">
        <f aca="false">IF(A1742="","",IF(OR(AND(R1742&lt;&gt;"",R1742&lt;0),AND(S1742&lt;&gt;"",S1742&lt;0)),"EXPIRED",IF(OR(AND(R1742&lt;&gt;"",R1742&lt;=Settings!$B$15),AND(S1742&lt;&gt;"",S1742&lt;=Settings!$B$15)),"EXPIRING SOON","OK")))</f>
        <v/>
      </c>
      <c r="U1742" s="24" t="str">
        <f aca="false">IF(AND(C1742="Own",Q1742="Active"),COUNTIFS($C$5:C1742,"Own",$Q$5:Q1742,"Active"),"")</f>
        <v/>
      </c>
      <c r="V1742" s="26" t="str">
        <f aca="false">IF(C1742&lt;&gt;"Own","",IF(K1742="Hourly",N1742,(L1742+M1742)/(Settings!$B$11*Settings!$B$12)))</f>
        <v/>
      </c>
    </row>
    <row r="1743" customFormat="false" ht="15" hidden="false" customHeight="false" outlineLevel="0" collapsed="false">
      <c r="R1743" s="25" t="str">
        <f aca="true">IF(I1743="","",I1743-TODAY())</f>
        <v/>
      </c>
      <c r="S1743" s="25" t="str">
        <f aca="true">IF(J1743="","",J1743-TODAY())</f>
        <v/>
      </c>
      <c r="T1743" s="24" t="str">
        <f aca="false">IF(A1743="","",IF(OR(AND(R1743&lt;&gt;"",R1743&lt;0),AND(S1743&lt;&gt;"",S1743&lt;0)),"EXPIRED",IF(OR(AND(R1743&lt;&gt;"",R1743&lt;=Settings!$B$15),AND(S1743&lt;&gt;"",S1743&lt;=Settings!$B$15)),"EXPIRING SOON","OK")))</f>
        <v/>
      </c>
      <c r="U1743" s="24" t="str">
        <f aca="false">IF(AND(C1743="Own",Q1743="Active"),COUNTIFS($C$5:C1743,"Own",$Q$5:Q1743,"Active"),"")</f>
        <v/>
      </c>
      <c r="V1743" s="26" t="str">
        <f aca="false">IF(C1743&lt;&gt;"Own","",IF(K1743="Hourly",N1743,(L1743+M1743)/(Settings!$B$11*Settings!$B$12)))</f>
        <v/>
      </c>
    </row>
    <row r="1744" customFormat="false" ht="15" hidden="false" customHeight="false" outlineLevel="0" collapsed="false">
      <c r="R1744" s="25" t="str">
        <f aca="true">IF(I1744="","",I1744-TODAY())</f>
        <v/>
      </c>
      <c r="S1744" s="25" t="str">
        <f aca="true">IF(J1744="","",J1744-TODAY())</f>
        <v/>
      </c>
      <c r="T1744" s="24" t="str">
        <f aca="false">IF(A1744="","",IF(OR(AND(R1744&lt;&gt;"",R1744&lt;0),AND(S1744&lt;&gt;"",S1744&lt;0)),"EXPIRED",IF(OR(AND(R1744&lt;&gt;"",R1744&lt;=Settings!$B$15),AND(S1744&lt;&gt;"",S1744&lt;=Settings!$B$15)),"EXPIRING SOON","OK")))</f>
        <v/>
      </c>
      <c r="U1744" s="24" t="str">
        <f aca="false">IF(AND(C1744="Own",Q1744="Active"),COUNTIFS($C$5:C1744,"Own",$Q$5:Q1744,"Active"),"")</f>
        <v/>
      </c>
      <c r="V1744" s="26" t="str">
        <f aca="false">IF(C1744&lt;&gt;"Own","",IF(K1744="Hourly",N1744,(L1744+M1744)/(Settings!$B$11*Settings!$B$12)))</f>
        <v/>
      </c>
    </row>
    <row r="1745" customFormat="false" ht="15" hidden="false" customHeight="false" outlineLevel="0" collapsed="false">
      <c r="R1745" s="25" t="str">
        <f aca="true">IF(I1745="","",I1745-TODAY())</f>
        <v/>
      </c>
      <c r="S1745" s="25" t="str">
        <f aca="true">IF(J1745="","",J1745-TODAY())</f>
        <v/>
      </c>
      <c r="T1745" s="24" t="str">
        <f aca="false">IF(A1745="","",IF(OR(AND(R1745&lt;&gt;"",R1745&lt;0),AND(S1745&lt;&gt;"",S1745&lt;0)),"EXPIRED",IF(OR(AND(R1745&lt;&gt;"",R1745&lt;=Settings!$B$15),AND(S1745&lt;&gt;"",S1745&lt;=Settings!$B$15)),"EXPIRING SOON","OK")))</f>
        <v/>
      </c>
      <c r="U1745" s="24" t="str">
        <f aca="false">IF(AND(C1745="Own",Q1745="Active"),COUNTIFS($C$5:C1745,"Own",$Q$5:Q1745,"Active"),"")</f>
        <v/>
      </c>
      <c r="V1745" s="26" t="str">
        <f aca="false">IF(C1745&lt;&gt;"Own","",IF(K1745="Hourly",N1745,(L1745+M1745)/(Settings!$B$11*Settings!$B$12)))</f>
        <v/>
      </c>
    </row>
    <row r="1746" customFormat="false" ht="15" hidden="false" customHeight="false" outlineLevel="0" collapsed="false">
      <c r="R1746" s="25" t="str">
        <f aca="true">IF(I1746="","",I1746-TODAY())</f>
        <v/>
      </c>
      <c r="S1746" s="25" t="str">
        <f aca="true">IF(J1746="","",J1746-TODAY())</f>
        <v/>
      </c>
      <c r="T1746" s="24" t="str">
        <f aca="false">IF(A1746="","",IF(OR(AND(R1746&lt;&gt;"",R1746&lt;0),AND(S1746&lt;&gt;"",S1746&lt;0)),"EXPIRED",IF(OR(AND(R1746&lt;&gt;"",R1746&lt;=Settings!$B$15),AND(S1746&lt;&gt;"",S1746&lt;=Settings!$B$15)),"EXPIRING SOON","OK")))</f>
        <v/>
      </c>
      <c r="U1746" s="24" t="str">
        <f aca="false">IF(AND(C1746="Own",Q1746="Active"),COUNTIFS($C$5:C1746,"Own",$Q$5:Q1746,"Active"),"")</f>
        <v/>
      </c>
      <c r="V1746" s="26" t="str">
        <f aca="false">IF(C1746&lt;&gt;"Own","",IF(K1746="Hourly",N1746,(L1746+M1746)/(Settings!$B$11*Settings!$B$12)))</f>
        <v/>
      </c>
    </row>
    <row r="1747" customFormat="false" ht="15" hidden="false" customHeight="false" outlineLevel="0" collapsed="false">
      <c r="R1747" s="25" t="str">
        <f aca="true">IF(I1747="","",I1747-TODAY())</f>
        <v/>
      </c>
      <c r="S1747" s="25" t="str">
        <f aca="true">IF(J1747="","",J1747-TODAY())</f>
        <v/>
      </c>
      <c r="T1747" s="24" t="str">
        <f aca="false">IF(A1747="","",IF(OR(AND(R1747&lt;&gt;"",R1747&lt;0),AND(S1747&lt;&gt;"",S1747&lt;0)),"EXPIRED",IF(OR(AND(R1747&lt;&gt;"",R1747&lt;=Settings!$B$15),AND(S1747&lt;&gt;"",S1747&lt;=Settings!$B$15)),"EXPIRING SOON","OK")))</f>
        <v/>
      </c>
      <c r="U1747" s="24" t="str">
        <f aca="false">IF(AND(C1747="Own",Q1747="Active"),COUNTIFS($C$5:C1747,"Own",$Q$5:Q1747,"Active"),"")</f>
        <v/>
      </c>
      <c r="V1747" s="26" t="str">
        <f aca="false">IF(C1747&lt;&gt;"Own","",IF(K1747="Hourly",N1747,(L1747+M1747)/(Settings!$B$11*Settings!$B$12)))</f>
        <v/>
      </c>
    </row>
    <row r="1748" customFormat="false" ht="15" hidden="false" customHeight="false" outlineLevel="0" collapsed="false">
      <c r="R1748" s="25" t="str">
        <f aca="true">IF(I1748="","",I1748-TODAY())</f>
        <v/>
      </c>
      <c r="S1748" s="25" t="str">
        <f aca="true">IF(J1748="","",J1748-TODAY())</f>
        <v/>
      </c>
      <c r="T1748" s="24" t="str">
        <f aca="false">IF(A1748="","",IF(OR(AND(R1748&lt;&gt;"",R1748&lt;0),AND(S1748&lt;&gt;"",S1748&lt;0)),"EXPIRED",IF(OR(AND(R1748&lt;&gt;"",R1748&lt;=Settings!$B$15),AND(S1748&lt;&gt;"",S1748&lt;=Settings!$B$15)),"EXPIRING SOON","OK")))</f>
        <v/>
      </c>
      <c r="U1748" s="24" t="str">
        <f aca="false">IF(AND(C1748="Own",Q1748="Active"),COUNTIFS($C$5:C1748,"Own",$Q$5:Q1748,"Active"),"")</f>
        <v/>
      </c>
      <c r="V1748" s="26" t="str">
        <f aca="false">IF(C1748&lt;&gt;"Own","",IF(K1748="Hourly",N1748,(L1748+M1748)/(Settings!$B$11*Settings!$B$12)))</f>
        <v/>
      </c>
    </row>
    <row r="1749" customFormat="false" ht="15" hidden="false" customHeight="false" outlineLevel="0" collapsed="false">
      <c r="R1749" s="25" t="str">
        <f aca="true">IF(I1749="","",I1749-TODAY())</f>
        <v/>
      </c>
      <c r="S1749" s="25" t="str">
        <f aca="true">IF(J1749="","",J1749-TODAY())</f>
        <v/>
      </c>
      <c r="T1749" s="24" t="str">
        <f aca="false">IF(A1749="","",IF(OR(AND(R1749&lt;&gt;"",R1749&lt;0),AND(S1749&lt;&gt;"",S1749&lt;0)),"EXPIRED",IF(OR(AND(R1749&lt;&gt;"",R1749&lt;=Settings!$B$15),AND(S1749&lt;&gt;"",S1749&lt;=Settings!$B$15)),"EXPIRING SOON","OK")))</f>
        <v/>
      </c>
      <c r="U1749" s="24" t="str">
        <f aca="false">IF(AND(C1749="Own",Q1749="Active"),COUNTIFS($C$5:C1749,"Own",$Q$5:Q1749,"Active"),"")</f>
        <v/>
      </c>
      <c r="V1749" s="26" t="str">
        <f aca="false">IF(C1749&lt;&gt;"Own","",IF(K1749="Hourly",N1749,(L1749+M1749)/(Settings!$B$11*Settings!$B$12)))</f>
        <v/>
      </c>
    </row>
    <row r="1750" customFormat="false" ht="15" hidden="false" customHeight="false" outlineLevel="0" collapsed="false">
      <c r="R1750" s="25" t="str">
        <f aca="true">IF(I1750="","",I1750-TODAY())</f>
        <v/>
      </c>
      <c r="S1750" s="25" t="str">
        <f aca="true">IF(J1750="","",J1750-TODAY())</f>
        <v/>
      </c>
      <c r="T1750" s="24" t="str">
        <f aca="false">IF(A1750="","",IF(OR(AND(R1750&lt;&gt;"",R1750&lt;0),AND(S1750&lt;&gt;"",S1750&lt;0)),"EXPIRED",IF(OR(AND(R1750&lt;&gt;"",R1750&lt;=Settings!$B$15),AND(S1750&lt;&gt;"",S1750&lt;=Settings!$B$15)),"EXPIRING SOON","OK")))</f>
        <v/>
      </c>
      <c r="U1750" s="24" t="str">
        <f aca="false">IF(AND(C1750="Own",Q1750="Active"),COUNTIFS($C$5:C1750,"Own",$Q$5:Q1750,"Active"),"")</f>
        <v/>
      </c>
      <c r="V1750" s="26" t="str">
        <f aca="false">IF(C1750&lt;&gt;"Own","",IF(K1750="Hourly",N1750,(L1750+M1750)/(Settings!$B$11*Settings!$B$12)))</f>
        <v/>
      </c>
    </row>
    <row r="1751" customFormat="false" ht="15" hidden="false" customHeight="false" outlineLevel="0" collapsed="false">
      <c r="R1751" s="25" t="str">
        <f aca="true">IF(I1751="","",I1751-TODAY())</f>
        <v/>
      </c>
      <c r="S1751" s="25" t="str">
        <f aca="true">IF(J1751="","",J1751-TODAY())</f>
        <v/>
      </c>
      <c r="T1751" s="24" t="str">
        <f aca="false">IF(A1751="","",IF(OR(AND(R1751&lt;&gt;"",R1751&lt;0),AND(S1751&lt;&gt;"",S1751&lt;0)),"EXPIRED",IF(OR(AND(R1751&lt;&gt;"",R1751&lt;=Settings!$B$15),AND(S1751&lt;&gt;"",S1751&lt;=Settings!$B$15)),"EXPIRING SOON","OK")))</f>
        <v/>
      </c>
      <c r="U1751" s="24" t="str">
        <f aca="false">IF(AND(C1751="Own",Q1751="Active"),COUNTIFS($C$5:C1751,"Own",$Q$5:Q1751,"Active"),"")</f>
        <v/>
      </c>
      <c r="V1751" s="26" t="str">
        <f aca="false">IF(C1751&lt;&gt;"Own","",IF(K1751="Hourly",N1751,(L1751+M1751)/(Settings!$B$11*Settings!$B$12)))</f>
        <v/>
      </c>
    </row>
    <row r="1752" customFormat="false" ht="15" hidden="false" customHeight="false" outlineLevel="0" collapsed="false">
      <c r="R1752" s="25" t="str">
        <f aca="true">IF(I1752="","",I1752-TODAY())</f>
        <v/>
      </c>
      <c r="S1752" s="25" t="str">
        <f aca="true">IF(J1752="","",J1752-TODAY())</f>
        <v/>
      </c>
      <c r="T1752" s="24" t="str">
        <f aca="false">IF(A1752="","",IF(OR(AND(R1752&lt;&gt;"",R1752&lt;0),AND(S1752&lt;&gt;"",S1752&lt;0)),"EXPIRED",IF(OR(AND(R1752&lt;&gt;"",R1752&lt;=Settings!$B$15),AND(S1752&lt;&gt;"",S1752&lt;=Settings!$B$15)),"EXPIRING SOON","OK")))</f>
        <v/>
      </c>
      <c r="U1752" s="24" t="str">
        <f aca="false">IF(AND(C1752="Own",Q1752="Active"),COUNTIFS($C$5:C1752,"Own",$Q$5:Q1752,"Active"),"")</f>
        <v/>
      </c>
      <c r="V1752" s="26" t="str">
        <f aca="false">IF(C1752&lt;&gt;"Own","",IF(K1752="Hourly",N1752,(L1752+M1752)/(Settings!$B$11*Settings!$B$12)))</f>
        <v/>
      </c>
    </row>
    <row r="1753" customFormat="false" ht="15" hidden="false" customHeight="false" outlineLevel="0" collapsed="false">
      <c r="R1753" s="25" t="str">
        <f aca="true">IF(I1753="","",I1753-TODAY())</f>
        <v/>
      </c>
      <c r="S1753" s="25" t="str">
        <f aca="true">IF(J1753="","",J1753-TODAY())</f>
        <v/>
      </c>
      <c r="T1753" s="24" t="str">
        <f aca="false">IF(A1753="","",IF(OR(AND(R1753&lt;&gt;"",R1753&lt;0),AND(S1753&lt;&gt;"",S1753&lt;0)),"EXPIRED",IF(OR(AND(R1753&lt;&gt;"",R1753&lt;=Settings!$B$15),AND(S1753&lt;&gt;"",S1753&lt;=Settings!$B$15)),"EXPIRING SOON","OK")))</f>
        <v/>
      </c>
      <c r="U1753" s="24" t="str">
        <f aca="false">IF(AND(C1753="Own",Q1753="Active"),COUNTIFS($C$5:C1753,"Own",$Q$5:Q1753,"Active"),"")</f>
        <v/>
      </c>
      <c r="V1753" s="26" t="str">
        <f aca="false">IF(C1753&lt;&gt;"Own","",IF(K1753="Hourly",N1753,(L1753+M1753)/(Settings!$B$11*Settings!$B$12)))</f>
        <v/>
      </c>
    </row>
    <row r="1754" customFormat="false" ht="15" hidden="false" customHeight="false" outlineLevel="0" collapsed="false">
      <c r="R1754" s="25" t="str">
        <f aca="true">IF(I1754="","",I1754-TODAY())</f>
        <v/>
      </c>
      <c r="S1754" s="25" t="str">
        <f aca="true">IF(J1754="","",J1754-TODAY())</f>
        <v/>
      </c>
      <c r="T1754" s="24" t="str">
        <f aca="false">IF(A1754="","",IF(OR(AND(R1754&lt;&gt;"",R1754&lt;0),AND(S1754&lt;&gt;"",S1754&lt;0)),"EXPIRED",IF(OR(AND(R1754&lt;&gt;"",R1754&lt;=Settings!$B$15),AND(S1754&lt;&gt;"",S1754&lt;=Settings!$B$15)),"EXPIRING SOON","OK")))</f>
        <v/>
      </c>
      <c r="U1754" s="24" t="str">
        <f aca="false">IF(AND(C1754="Own",Q1754="Active"),COUNTIFS($C$5:C1754,"Own",$Q$5:Q1754,"Active"),"")</f>
        <v/>
      </c>
      <c r="V1754" s="26" t="str">
        <f aca="false">IF(C1754&lt;&gt;"Own","",IF(K1754="Hourly",N1754,(L1754+M1754)/(Settings!$B$11*Settings!$B$12)))</f>
        <v/>
      </c>
    </row>
    <row r="1755" customFormat="false" ht="15" hidden="false" customHeight="false" outlineLevel="0" collapsed="false">
      <c r="R1755" s="25" t="str">
        <f aca="true">IF(I1755="","",I1755-TODAY())</f>
        <v/>
      </c>
      <c r="S1755" s="25" t="str">
        <f aca="true">IF(J1755="","",J1755-TODAY())</f>
        <v/>
      </c>
      <c r="T1755" s="24" t="str">
        <f aca="false">IF(A1755="","",IF(OR(AND(R1755&lt;&gt;"",R1755&lt;0),AND(S1755&lt;&gt;"",S1755&lt;0)),"EXPIRED",IF(OR(AND(R1755&lt;&gt;"",R1755&lt;=Settings!$B$15),AND(S1755&lt;&gt;"",S1755&lt;=Settings!$B$15)),"EXPIRING SOON","OK")))</f>
        <v/>
      </c>
      <c r="U1755" s="24" t="str">
        <f aca="false">IF(AND(C1755="Own",Q1755="Active"),COUNTIFS($C$5:C1755,"Own",$Q$5:Q1755,"Active"),"")</f>
        <v/>
      </c>
      <c r="V1755" s="26" t="str">
        <f aca="false">IF(C1755&lt;&gt;"Own","",IF(K1755="Hourly",N1755,(L1755+M1755)/(Settings!$B$11*Settings!$B$12)))</f>
        <v/>
      </c>
    </row>
    <row r="1756" customFormat="false" ht="15" hidden="false" customHeight="false" outlineLevel="0" collapsed="false">
      <c r="R1756" s="25" t="str">
        <f aca="true">IF(I1756="","",I1756-TODAY())</f>
        <v/>
      </c>
      <c r="S1756" s="25" t="str">
        <f aca="true">IF(J1756="","",J1756-TODAY())</f>
        <v/>
      </c>
      <c r="T1756" s="24" t="str">
        <f aca="false">IF(A1756="","",IF(OR(AND(R1756&lt;&gt;"",R1756&lt;0),AND(S1756&lt;&gt;"",S1756&lt;0)),"EXPIRED",IF(OR(AND(R1756&lt;&gt;"",R1756&lt;=Settings!$B$15),AND(S1756&lt;&gt;"",S1756&lt;=Settings!$B$15)),"EXPIRING SOON","OK")))</f>
        <v/>
      </c>
      <c r="U1756" s="24" t="str">
        <f aca="false">IF(AND(C1756="Own",Q1756="Active"),COUNTIFS($C$5:C1756,"Own",$Q$5:Q1756,"Active"),"")</f>
        <v/>
      </c>
      <c r="V1756" s="26" t="str">
        <f aca="false">IF(C1756&lt;&gt;"Own","",IF(K1756="Hourly",N1756,(L1756+M1756)/(Settings!$B$11*Settings!$B$12)))</f>
        <v/>
      </c>
    </row>
    <row r="1757" customFormat="false" ht="15" hidden="false" customHeight="false" outlineLevel="0" collapsed="false">
      <c r="R1757" s="25" t="str">
        <f aca="true">IF(I1757="","",I1757-TODAY())</f>
        <v/>
      </c>
      <c r="S1757" s="25" t="str">
        <f aca="true">IF(J1757="","",J1757-TODAY())</f>
        <v/>
      </c>
      <c r="T1757" s="24" t="str">
        <f aca="false">IF(A1757="","",IF(OR(AND(R1757&lt;&gt;"",R1757&lt;0),AND(S1757&lt;&gt;"",S1757&lt;0)),"EXPIRED",IF(OR(AND(R1757&lt;&gt;"",R1757&lt;=Settings!$B$15),AND(S1757&lt;&gt;"",S1757&lt;=Settings!$B$15)),"EXPIRING SOON","OK")))</f>
        <v/>
      </c>
      <c r="U1757" s="24" t="str">
        <f aca="false">IF(AND(C1757="Own",Q1757="Active"),COUNTIFS($C$5:C1757,"Own",$Q$5:Q1757,"Active"),"")</f>
        <v/>
      </c>
      <c r="V1757" s="26" t="str">
        <f aca="false">IF(C1757&lt;&gt;"Own","",IF(K1757="Hourly",N1757,(L1757+M1757)/(Settings!$B$11*Settings!$B$12)))</f>
        <v/>
      </c>
    </row>
    <row r="1758" customFormat="false" ht="15" hidden="false" customHeight="false" outlineLevel="0" collapsed="false">
      <c r="R1758" s="25" t="str">
        <f aca="true">IF(I1758="","",I1758-TODAY())</f>
        <v/>
      </c>
      <c r="S1758" s="25" t="str">
        <f aca="true">IF(J1758="","",J1758-TODAY())</f>
        <v/>
      </c>
      <c r="T1758" s="24" t="str">
        <f aca="false">IF(A1758="","",IF(OR(AND(R1758&lt;&gt;"",R1758&lt;0),AND(S1758&lt;&gt;"",S1758&lt;0)),"EXPIRED",IF(OR(AND(R1758&lt;&gt;"",R1758&lt;=Settings!$B$15),AND(S1758&lt;&gt;"",S1758&lt;=Settings!$B$15)),"EXPIRING SOON","OK")))</f>
        <v/>
      </c>
      <c r="U1758" s="24" t="str">
        <f aca="false">IF(AND(C1758="Own",Q1758="Active"),COUNTIFS($C$5:C1758,"Own",$Q$5:Q1758,"Active"),"")</f>
        <v/>
      </c>
      <c r="V1758" s="26" t="str">
        <f aca="false">IF(C1758&lt;&gt;"Own","",IF(K1758="Hourly",N1758,(L1758+M1758)/(Settings!$B$11*Settings!$B$12)))</f>
        <v/>
      </c>
    </row>
    <row r="1759" customFormat="false" ht="15" hidden="false" customHeight="false" outlineLevel="0" collapsed="false">
      <c r="R1759" s="25" t="str">
        <f aca="true">IF(I1759="","",I1759-TODAY())</f>
        <v/>
      </c>
      <c r="S1759" s="25" t="str">
        <f aca="true">IF(J1759="","",J1759-TODAY())</f>
        <v/>
      </c>
      <c r="T1759" s="24" t="str">
        <f aca="false">IF(A1759="","",IF(OR(AND(R1759&lt;&gt;"",R1759&lt;0),AND(S1759&lt;&gt;"",S1759&lt;0)),"EXPIRED",IF(OR(AND(R1759&lt;&gt;"",R1759&lt;=Settings!$B$15),AND(S1759&lt;&gt;"",S1759&lt;=Settings!$B$15)),"EXPIRING SOON","OK")))</f>
        <v/>
      </c>
      <c r="U1759" s="24" t="str">
        <f aca="false">IF(AND(C1759="Own",Q1759="Active"),COUNTIFS($C$5:C1759,"Own",$Q$5:Q1759,"Active"),"")</f>
        <v/>
      </c>
      <c r="V1759" s="26" t="str">
        <f aca="false">IF(C1759&lt;&gt;"Own","",IF(K1759="Hourly",N1759,(L1759+M1759)/(Settings!$B$11*Settings!$B$12)))</f>
        <v/>
      </c>
    </row>
    <row r="1760" customFormat="false" ht="15" hidden="false" customHeight="false" outlineLevel="0" collapsed="false">
      <c r="R1760" s="25" t="str">
        <f aca="true">IF(I1760="","",I1760-TODAY())</f>
        <v/>
      </c>
      <c r="S1760" s="25" t="str">
        <f aca="true">IF(J1760="","",J1760-TODAY())</f>
        <v/>
      </c>
      <c r="T1760" s="24" t="str">
        <f aca="false">IF(A1760="","",IF(OR(AND(R1760&lt;&gt;"",R1760&lt;0),AND(S1760&lt;&gt;"",S1760&lt;0)),"EXPIRED",IF(OR(AND(R1760&lt;&gt;"",R1760&lt;=Settings!$B$15),AND(S1760&lt;&gt;"",S1760&lt;=Settings!$B$15)),"EXPIRING SOON","OK")))</f>
        <v/>
      </c>
      <c r="U1760" s="24" t="str">
        <f aca="false">IF(AND(C1760="Own",Q1760="Active"),COUNTIFS($C$5:C1760,"Own",$Q$5:Q1760,"Active"),"")</f>
        <v/>
      </c>
      <c r="V1760" s="26" t="str">
        <f aca="false">IF(C1760&lt;&gt;"Own","",IF(K1760="Hourly",N1760,(L1760+M1760)/(Settings!$B$11*Settings!$B$12)))</f>
        <v/>
      </c>
    </row>
    <row r="1761" customFormat="false" ht="15" hidden="false" customHeight="false" outlineLevel="0" collapsed="false">
      <c r="R1761" s="25" t="str">
        <f aca="true">IF(I1761="","",I1761-TODAY())</f>
        <v/>
      </c>
      <c r="S1761" s="25" t="str">
        <f aca="true">IF(J1761="","",J1761-TODAY())</f>
        <v/>
      </c>
      <c r="T1761" s="24" t="str">
        <f aca="false">IF(A1761="","",IF(OR(AND(R1761&lt;&gt;"",R1761&lt;0),AND(S1761&lt;&gt;"",S1761&lt;0)),"EXPIRED",IF(OR(AND(R1761&lt;&gt;"",R1761&lt;=Settings!$B$15),AND(S1761&lt;&gt;"",S1761&lt;=Settings!$B$15)),"EXPIRING SOON","OK")))</f>
        <v/>
      </c>
      <c r="U1761" s="24" t="str">
        <f aca="false">IF(AND(C1761="Own",Q1761="Active"),COUNTIFS($C$5:C1761,"Own",$Q$5:Q1761,"Active"),"")</f>
        <v/>
      </c>
      <c r="V1761" s="26" t="str">
        <f aca="false">IF(C1761&lt;&gt;"Own","",IF(K1761="Hourly",N1761,(L1761+M1761)/(Settings!$B$11*Settings!$B$12)))</f>
        <v/>
      </c>
    </row>
    <row r="1762" customFormat="false" ht="15" hidden="false" customHeight="false" outlineLevel="0" collapsed="false">
      <c r="R1762" s="25" t="str">
        <f aca="true">IF(I1762="","",I1762-TODAY())</f>
        <v/>
      </c>
      <c r="S1762" s="25" t="str">
        <f aca="true">IF(J1762="","",J1762-TODAY())</f>
        <v/>
      </c>
      <c r="T1762" s="24" t="str">
        <f aca="false">IF(A1762="","",IF(OR(AND(R1762&lt;&gt;"",R1762&lt;0),AND(S1762&lt;&gt;"",S1762&lt;0)),"EXPIRED",IF(OR(AND(R1762&lt;&gt;"",R1762&lt;=Settings!$B$15),AND(S1762&lt;&gt;"",S1762&lt;=Settings!$B$15)),"EXPIRING SOON","OK")))</f>
        <v/>
      </c>
      <c r="U1762" s="24" t="str">
        <f aca="false">IF(AND(C1762="Own",Q1762="Active"),COUNTIFS($C$5:C1762,"Own",$Q$5:Q1762,"Active"),"")</f>
        <v/>
      </c>
      <c r="V1762" s="26" t="str">
        <f aca="false">IF(C1762&lt;&gt;"Own","",IF(K1762="Hourly",N1762,(L1762+M1762)/(Settings!$B$11*Settings!$B$12)))</f>
        <v/>
      </c>
    </row>
    <row r="1763" customFormat="false" ht="15" hidden="false" customHeight="false" outlineLevel="0" collapsed="false">
      <c r="R1763" s="25" t="str">
        <f aca="true">IF(I1763="","",I1763-TODAY())</f>
        <v/>
      </c>
      <c r="S1763" s="25" t="str">
        <f aca="true">IF(J1763="","",J1763-TODAY())</f>
        <v/>
      </c>
      <c r="T1763" s="24" t="str">
        <f aca="false">IF(A1763="","",IF(OR(AND(R1763&lt;&gt;"",R1763&lt;0),AND(S1763&lt;&gt;"",S1763&lt;0)),"EXPIRED",IF(OR(AND(R1763&lt;&gt;"",R1763&lt;=Settings!$B$15),AND(S1763&lt;&gt;"",S1763&lt;=Settings!$B$15)),"EXPIRING SOON","OK")))</f>
        <v/>
      </c>
      <c r="U1763" s="24" t="str">
        <f aca="false">IF(AND(C1763="Own",Q1763="Active"),COUNTIFS($C$5:C1763,"Own",$Q$5:Q1763,"Active"),"")</f>
        <v/>
      </c>
      <c r="V1763" s="26" t="str">
        <f aca="false">IF(C1763&lt;&gt;"Own","",IF(K1763="Hourly",N1763,(L1763+M1763)/(Settings!$B$11*Settings!$B$12)))</f>
        <v/>
      </c>
    </row>
    <row r="1764" customFormat="false" ht="15" hidden="false" customHeight="false" outlineLevel="0" collapsed="false">
      <c r="R1764" s="25" t="str">
        <f aca="true">IF(I1764="","",I1764-TODAY())</f>
        <v/>
      </c>
      <c r="S1764" s="25" t="str">
        <f aca="true">IF(J1764="","",J1764-TODAY())</f>
        <v/>
      </c>
      <c r="T1764" s="24" t="str">
        <f aca="false">IF(A1764="","",IF(OR(AND(R1764&lt;&gt;"",R1764&lt;0),AND(S1764&lt;&gt;"",S1764&lt;0)),"EXPIRED",IF(OR(AND(R1764&lt;&gt;"",R1764&lt;=Settings!$B$15),AND(S1764&lt;&gt;"",S1764&lt;=Settings!$B$15)),"EXPIRING SOON","OK")))</f>
        <v/>
      </c>
      <c r="U1764" s="24" t="str">
        <f aca="false">IF(AND(C1764="Own",Q1764="Active"),COUNTIFS($C$5:C1764,"Own",$Q$5:Q1764,"Active"),"")</f>
        <v/>
      </c>
      <c r="V1764" s="26" t="str">
        <f aca="false">IF(C1764&lt;&gt;"Own","",IF(K1764="Hourly",N1764,(L1764+M1764)/(Settings!$B$11*Settings!$B$12)))</f>
        <v/>
      </c>
    </row>
    <row r="1765" customFormat="false" ht="15" hidden="false" customHeight="false" outlineLevel="0" collapsed="false">
      <c r="R1765" s="25" t="str">
        <f aca="true">IF(I1765="","",I1765-TODAY())</f>
        <v/>
      </c>
      <c r="S1765" s="25" t="str">
        <f aca="true">IF(J1765="","",J1765-TODAY())</f>
        <v/>
      </c>
      <c r="T1765" s="24" t="str">
        <f aca="false">IF(A1765="","",IF(OR(AND(R1765&lt;&gt;"",R1765&lt;0),AND(S1765&lt;&gt;"",S1765&lt;0)),"EXPIRED",IF(OR(AND(R1765&lt;&gt;"",R1765&lt;=Settings!$B$15),AND(S1765&lt;&gt;"",S1765&lt;=Settings!$B$15)),"EXPIRING SOON","OK")))</f>
        <v/>
      </c>
      <c r="U1765" s="24" t="str">
        <f aca="false">IF(AND(C1765="Own",Q1765="Active"),COUNTIFS($C$5:C1765,"Own",$Q$5:Q1765,"Active"),"")</f>
        <v/>
      </c>
      <c r="V1765" s="26" t="str">
        <f aca="false">IF(C1765&lt;&gt;"Own","",IF(K1765="Hourly",N1765,(L1765+M1765)/(Settings!$B$11*Settings!$B$12)))</f>
        <v/>
      </c>
    </row>
    <row r="1766" customFormat="false" ht="15" hidden="false" customHeight="false" outlineLevel="0" collapsed="false">
      <c r="R1766" s="25" t="str">
        <f aca="true">IF(I1766="","",I1766-TODAY())</f>
        <v/>
      </c>
      <c r="S1766" s="25" t="str">
        <f aca="true">IF(J1766="","",J1766-TODAY())</f>
        <v/>
      </c>
      <c r="T1766" s="24" t="str">
        <f aca="false">IF(A1766="","",IF(OR(AND(R1766&lt;&gt;"",R1766&lt;0),AND(S1766&lt;&gt;"",S1766&lt;0)),"EXPIRED",IF(OR(AND(R1766&lt;&gt;"",R1766&lt;=Settings!$B$15),AND(S1766&lt;&gt;"",S1766&lt;=Settings!$B$15)),"EXPIRING SOON","OK")))</f>
        <v/>
      </c>
      <c r="U1766" s="24" t="str">
        <f aca="false">IF(AND(C1766="Own",Q1766="Active"),COUNTIFS($C$5:C1766,"Own",$Q$5:Q1766,"Active"),"")</f>
        <v/>
      </c>
      <c r="V1766" s="26" t="str">
        <f aca="false">IF(C1766&lt;&gt;"Own","",IF(K1766="Hourly",N1766,(L1766+M1766)/(Settings!$B$11*Settings!$B$12)))</f>
        <v/>
      </c>
    </row>
    <row r="1767" customFormat="false" ht="15" hidden="false" customHeight="false" outlineLevel="0" collapsed="false">
      <c r="R1767" s="25" t="str">
        <f aca="true">IF(I1767="","",I1767-TODAY())</f>
        <v/>
      </c>
      <c r="S1767" s="25" t="str">
        <f aca="true">IF(J1767="","",J1767-TODAY())</f>
        <v/>
      </c>
      <c r="T1767" s="24" t="str">
        <f aca="false">IF(A1767="","",IF(OR(AND(R1767&lt;&gt;"",R1767&lt;0),AND(S1767&lt;&gt;"",S1767&lt;0)),"EXPIRED",IF(OR(AND(R1767&lt;&gt;"",R1767&lt;=Settings!$B$15),AND(S1767&lt;&gt;"",S1767&lt;=Settings!$B$15)),"EXPIRING SOON","OK")))</f>
        <v/>
      </c>
      <c r="U1767" s="24" t="str">
        <f aca="false">IF(AND(C1767="Own",Q1767="Active"),COUNTIFS($C$5:C1767,"Own",$Q$5:Q1767,"Active"),"")</f>
        <v/>
      </c>
      <c r="V1767" s="26" t="str">
        <f aca="false">IF(C1767&lt;&gt;"Own","",IF(K1767="Hourly",N1767,(L1767+M1767)/(Settings!$B$11*Settings!$B$12)))</f>
        <v/>
      </c>
    </row>
    <row r="1768" customFormat="false" ht="15" hidden="false" customHeight="false" outlineLevel="0" collapsed="false">
      <c r="R1768" s="25" t="str">
        <f aca="true">IF(I1768="","",I1768-TODAY())</f>
        <v/>
      </c>
      <c r="S1768" s="25" t="str">
        <f aca="true">IF(J1768="","",J1768-TODAY())</f>
        <v/>
      </c>
      <c r="T1768" s="24" t="str">
        <f aca="false">IF(A1768="","",IF(OR(AND(R1768&lt;&gt;"",R1768&lt;0),AND(S1768&lt;&gt;"",S1768&lt;0)),"EXPIRED",IF(OR(AND(R1768&lt;&gt;"",R1768&lt;=Settings!$B$15),AND(S1768&lt;&gt;"",S1768&lt;=Settings!$B$15)),"EXPIRING SOON","OK")))</f>
        <v/>
      </c>
      <c r="U1768" s="24" t="str">
        <f aca="false">IF(AND(C1768="Own",Q1768="Active"),COUNTIFS($C$5:C1768,"Own",$Q$5:Q1768,"Active"),"")</f>
        <v/>
      </c>
      <c r="V1768" s="26" t="str">
        <f aca="false">IF(C1768&lt;&gt;"Own","",IF(K1768="Hourly",N1768,(L1768+M1768)/(Settings!$B$11*Settings!$B$12)))</f>
        <v/>
      </c>
    </row>
    <row r="1769" customFormat="false" ht="15" hidden="false" customHeight="false" outlineLevel="0" collapsed="false">
      <c r="R1769" s="25" t="str">
        <f aca="true">IF(I1769="","",I1769-TODAY())</f>
        <v/>
      </c>
      <c r="S1769" s="25" t="str">
        <f aca="true">IF(J1769="","",J1769-TODAY())</f>
        <v/>
      </c>
      <c r="T1769" s="24" t="str">
        <f aca="false">IF(A1769="","",IF(OR(AND(R1769&lt;&gt;"",R1769&lt;0),AND(S1769&lt;&gt;"",S1769&lt;0)),"EXPIRED",IF(OR(AND(R1769&lt;&gt;"",R1769&lt;=Settings!$B$15),AND(S1769&lt;&gt;"",S1769&lt;=Settings!$B$15)),"EXPIRING SOON","OK")))</f>
        <v/>
      </c>
      <c r="U1769" s="24" t="str">
        <f aca="false">IF(AND(C1769="Own",Q1769="Active"),COUNTIFS($C$5:C1769,"Own",$Q$5:Q1769,"Active"),"")</f>
        <v/>
      </c>
      <c r="V1769" s="26" t="str">
        <f aca="false">IF(C1769&lt;&gt;"Own","",IF(K1769="Hourly",N1769,(L1769+M1769)/(Settings!$B$11*Settings!$B$12)))</f>
        <v/>
      </c>
    </row>
    <row r="1770" customFormat="false" ht="15" hidden="false" customHeight="false" outlineLevel="0" collapsed="false">
      <c r="R1770" s="25" t="str">
        <f aca="true">IF(I1770="","",I1770-TODAY())</f>
        <v/>
      </c>
      <c r="S1770" s="25" t="str">
        <f aca="true">IF(J1770="","",J1770-TODAY())</f>
        <v/>
      </c>
      <c r="T1770" s="24" t="str">
        <f aca="false">IF(A1770="","",IF(OR(AND(R1770&lt;&gt;"",R1770&lt;0),AND(S1770&lt;&gt;"",S1770&lt;0)),"EXPIRED",IF(OR(AND(R1770&lt;&gt;"",R1770&lt;=Settings!$B$15),AND(S1770&lt;&gt;"",S1770&lt;=Settings!$B$15)),"EXPIRING SOON","OK")))</f>
        <v/>
      </c>
      <c r="U1770" s="24" t="str">
        <f aca="false">IF(AND(C1770="Own",Q1770="Active"),COUNTIFS($C$5:C1770,"Own",$Q$5:Q1770,"Active"),"")</f>
        <v/>
      </c>
      <c r="V1770" s="26" t="str">
        <f aca="false">IF(C1770&lt;&gt;"Own","",IF(K1770="Hourly",N1770,(L1770+M1770)/(Settings!$B$11*Settings!$B$12)))</f>
        <v/>
      </c>
    </row>
    <row r="1771" customFormat="false" ht="15" hidden="false" customHeight="false" outlineLevel="0" collapsed="false">
      <c r="R1771" s="25" t="str">
        <f aca="true">IF(I1771="","",I1771-TODAY())</f>
        <v/>
      </c>
      <c r="S1771" s="25" t="str">
        <f aca="true">IF(J1771="","",J1771-TODAY())</f>
        <v/>
      </c>
      <c r="T1771" s="24" t="str">
        <f aca="false">IF(A1771="","",IF(OR(AND(R1771&lt;&gt;"",R1771&lt;0),AND(S1771&lt;&gt;"",S1771&lt;0)),"EXPIRED",IF(OR(AND(R1771&lt;&gt;"",R1771&lt;=Settings!$B$15),AND(S1771&lt;&gt;"",S1771&lt;=Settings!$B$15)),"EXPIRING SOON","OK")))</f>
        <v/>
      </c>
      <c r="U1771" s="24" t="str">
        <f aca="false">IF(AND(C1771="Own",Q1771="Active"),COUNTIFS($C$5:C1771,"Own",$Q$5:Q1771,"Active"),"")</f>
        <v/>
      </c>
      <c r="V1771" s="26" t="str">
        <f aca="false">IF(C1771&lt;&gt;"Own","",IF(K1771="Hourly",N1771,(L1771+M1771)/(Settings!$B$11*Settings!$B$12)))</f>
        <v/>
      </c>
    </row>
    <row r="1772" customFormat="false" ht="15" hidden="false" customHeight="false" outlineLevel="0" collapsed="false">
      <c r="R1772" s="25" t="str">
        <f aca="true">IF(I1772="","",I1772-TODAY())</f>
        <v/>
      </c>
      <c r="S1772" s="25" t="str">
        <f aca="true">IF(J1772="","",J1772-TODAY())</f>
        <v/>
      </c>
      <c r="T1772" s="24" t="str">
        <f aca="false">IF(A1772="","",IF(OR(AND(R1772&lt;&gt;"",R1772&lt;0),AND(S1772&lt;&gt;"",S1772&lt;0)),"EXPIRED",IF(OR(AND(R1772&lt;&gt;"",R1772&lt;=Settings!$B$15),AND(S1772&lt;&gt;"",S1772&lt;=Settings!$B$15)),"EXPIRING SOON","OK")))</f>
        <v/>
      </c>
      <c r="U1772" s="24" t="str">
        <f aca="false">IF(AND(C1772="Own",Q1772="Active"),COUNTIFS($C$5:C1772,"Own",$Q$5:Q1772,"Active"),"")</f>
        <v/>
      </c>
      <c r="V1772" s="26" t="str">
        <f aca="false">IF(C1772&lt;&gt;"Own","",IF(K1772="Hourly",N1772,(L1772+M1772)/(Settings!$B$11*Settings!$B$12)))</f>
        <v/>
      </c>
    </row>
    <row r="1773" customFormat="false" ht="15" hidden="false" customHeight="false" outlineLevel="0" collapsed="false">
      <c r="R1773" s="25" t="str">
        <f aca="true">IF(I1773="","",I1773-TODAY())</f>
        <v/>
      </c>
      <c r="S1773" s="25" t="str">
        <f aca="true">IF(J1773="","",J1773-TODAY())</f>
        <v/>
      </c>
      <c r="T1773" s="24" t="str">
        <f aca="false">IF(A1773="","",IF(OR(AND(R1773&lt;&gt;"",R1773&lt;0),AND(S1773&lt;&gt;"",S1773&lt;0)),"EXPIRED",IF(OR(AND(R1773&lt;&gt;"",R1773&lt;=Settings!$B$15),AND(S1773&lt;&gt;"",S1773&lt;=Settings!$B$15)),"EXPIRING SOON","OK")))</f>
        <v/>
      </c>
      <c r="U1773" s="24" t="str">
        <f aca="false">IF(AND(C1773="Own",Q1773="Active"),COUNTIFS($C$5:C1773,"Own",$Q$5:Q1773,"Active"),"")</f>
        <v/>
      </c>
      <c r="V1773" s="26" t="str">
        <f aca="false">IF(C1773&lt;&gt;"Own","",IF(K1773="Hourly",N1773,(L1773+M1773)/(Settings!$B$11*Settings!$B$12)))</f>
        <v/>
      </c>
    </row>
    <row r="1774" customFormat="false" ht="15" hidden="false" customHeight="false" outlineLevel="0" collapsed="false">
      <c r="R1774" s="25" t="str">
        <f aca="true">IF(I1774="","",I1774-TODAY())</f>
        <v/>
      </c>
      <c r="S1774" s="25" t="str">
        <f aca="true">IF(J1774="","",J1774-TODAY())</f>
        <v/>
      </c>
      <c r="T1774" s="24" t="str">
        <f aca="false">IF(A1774="","",IF(OR(AND(R1774&lt;&gt;"",R1774&lt;0),AND(S1774&lt;&gt;"",S1774&lt;0)),"EXPIRED",IF(OR(AND(R1774&lt;&gt;"",R1774&lt;=Settings!$B$15),AND(S1774&lt;&gt;"",S1774&lt;=Settings!$B$15)),"EXPIRING SOON","OK")))</f>
        <v/>
      </c>
      <c r="U1774" s="24" t="str">
        <f aca="false">IF(AND(C1774="Own",Q1774="Active"),COUNTIFS($C$5:C1774,"Own",$Q$5:Q1774,"Active"),"")</f>
        <v/>
      </c>
      <c r="V1774" s="26" t="str">
        <f aca="false">IF(C1774&lt;&gt;"Own","",IF(K1774="Hourly",N1774,(L1774+M1774)/(Settings!$B$11*Settings!$B$12)))</f>
        <v/>
      </c>
    </row>
    <row r="1775" customFormat="false" ht="15" hidden="false" customHeight="false" outlineLevel="0" collapsed="false">
      <c r="R1775" s="25" t="str">
        <f aca="true">IF(I1775="","",I1775-TODAY())</f>
        <v/>
      </c>
      <c r="S1775" s="25" t="str">
        <f aca="true">IF(J1775="","",J1775-TODAY())</f>
        <v/>
      </c>
      <c r="T1775" s="24" t="str">
        <f aca="false">IF(A1775="","",IF(OR(AND(R1775&lt;&gt;"",R1775&lt;0),AND(S1775&lt;&gt;"",S1775&lt;0)),"EXPIRED",IF(OR(AND(R1775&lt;&gt;"",R1775&lt;=Settings!$B$15),AND(S1775&lt;&gt;"",S1775&lt;=Settings!$B$15)),"EXPIRING SOON","OK")))</f>
        <v/>
      </c>
      <c r="U1775" s="24" t="str">
        <f aca="false">IF(AND(C1775="Own",Q1775="Active"),COUNTIFS($C$5:C1775,"Own",$Q$5:Q1775,"Active"),"")</f>
        <v/>
      </c>
      <c r="V1775" s="26" t="str">
        <f aca="false">IF(C1775&lt;&gt;"Own","",IF(K1775="Hourly",N1775,(L1775+M1775)/(Settings!$B$11*Settings!$B$12)))</f>
        <v/>
      </c>
    </row>
    <row r="1776" customFormat="false" ht="15" hidden="false" customHeight="false" outlineLevel="0" collapsed="false">
      <c r="R1776" s="25" t="str">
        <f aca="true">IF(I1776="","",I1776-TODAY())</f>
        <v/>
      </c>
      <c r="S1776" s="25" t="str">
        <f aca="true">IF(J1776="","",J1776-TODAY())</f>
        <v/>
      </c>
      <c r="T1776" s="24" t="str">
        <f aca="false">IF(A1776="","",IF(OR(AND(R1776&lt;&gt;"",R1776&lt;0),AND(S1776&lt;&gt;"",S1776&lt;0)),"EXPIRED",IF(OR(AND(R1776&lt;&gt;"",R1776&lt;=Settings!$B$15),AND(S1776&lt;&gt;"",S1776&lt;=Settings!$B$15)),"EXPIRING SOON","OK")))</f>
        <v/>
      </c>
      <c r="U1776" s="24" t="str">
        <f aca="false">IF(AND(C1776="Own",Q1776="Active"),COUNTIFS($C$5:C1776,"Own",$Q$5:Q1776,"Active"),"")</f>
        <v/>
      </c>
      <c r="V1776" s="26" t="str">
        <f aca="false">IF(C1776&lt;&gt;"Own","",IF(K1776="Hourly",N1776,(L1776+M1776)/(Settings!$B$11*Settings!$B$12)))</f>
        <v/>
      </c>
    </row>
    <row r="1777" customFormat="false" ht="15" hidden="false" customHeight="false" outlineLevel="0" collapsed="false">
      <c r="R1777" s="25" t="str">
        <f aca="true">IF(I1777="","",I1777-TODAY())</f>
        <v/>
      </c>
      <c r="S1777" s="25" t="str">
        <f aca="true">IF(J1777="","",J1777-TODAY())</f>
        <v/>
      </c>
      <c r="T1777" s="24" t="str">
        <f aca="false">IF(A1777="","",IF(OR(AND(R1777&lt;&gt;"",R1777&lt;0),AND(S1777&lt;&gt;"",S1777&lt;0)),"EXPIRED",IF(OR(AND(R1777&lt;&gt;"",R1777&lt;=Settings!$B$15),AND(S1777&lt;&gt;"",S1777&lt;=Settings!$B$15)),"EXPIRING SOON","OK")))</f>
        <v/>
      </c>
      <c r="U1777" s="24" t="str">
        <f aca="false">IF(AND(C1777="Own",Q1777="Active"),COUNTIFS($C$5:C1777,"Own",$Q$5:Q1777,"Active"),"")</f>
        <v/>
      </c>
      <c r="V1777" s="26" t="str">
        <f aca="false">IF(C1777&lt;&gt;"Own","",IF(K1777="Hourly",N1777,(L1777+M1777)/(Settings!$B$11*Settings!$B$12)))</f>
        <v/>
      </c>
    </row>
    <row r="1778" customFormat="false" ht="15" hidden="false" customHeight="false" outlineLevel="0" collapsed="false">
      <c r="R1778" s="25" t="str">
        <f aca="true">IF(I1778="","",I1778-TODAY())</f>
        <v/>
      </c>
      <c r="S1778" s="25" t="str">
        <f aca="true">IF(J1778="","",J1778-TODAY())</f>
        <v/>
      </c>
      <c r="T1778" s="24" t="str">
        <f aca="false">IF(A1778="","",IF(OR(AND(R1778&lt;&gt;"",R1778&lt;0),AND(S1778&lt;&gt;"",S1778&lt;0)),"EXPIRED",IF(OR(AND(R1778&lt;&gt;"",R1778&lt;=Settings!$B$15),AND(S1778&lt;&gt;"",S1778&lt;=Settings!$B$15)),"EXPIRING SOON","OK")))</f>
        <v/>
      </c>
      <c r="U1778" s="24" t="str">
        <f aca="false">IF(AND(C1778="Own",Q1778="Active"),COUNTIFS($C$5:C1778,"Own",$Q$5:Q1778,"Active"),"")</f>
        <v/>
      </c>
      <c r="V1778" s="26" t="str">
        <f aca="false">IF(C1778&lt;&gt;"Own","",IF(K1778="Hourly",N1778,(L1778+M1778)/(Settings!$B$11*Settings!$B$12)))</f>
        <v/>
      </c>
    </row>
    <row r="1779" customFormat="false" ht="15" hidden="false" customHeight="false" outlineLevel="0" collapsed="false">
      <c r="R1779" s="25" t="str">
        <f aca="true">IF(I1779="","",I1779-TODAY())</f>
        <v/>
      </c>
      <c r="S1779" s="25" t="str">
        <f aca="true">IF(J1779="","",J1779-TODAY())</f>
        <v/>
      </c>
      <c r="T1779" s="24" t="str">
        <f aca="false">IF(A1779="","",IF(OR(AND(R1779&lt;&gt;"",R1779&lt;0),AND(S1779&lt;&gt;"",S1779&lt;0)),"EXPIRED",IF(OR(AND(R1779&lt;&gt;"",R1779&lt;=Settings!$B$15),AND(S1779&lt;&gt;"",S1779&lt;=Settings!$B$15)),"EXPIRING SOON","OK")))</f>
        <v/>
      </c>
      <c r="U1779" s="24" t="str">
        <f aca="false">IF(AND(C1779="Own",Q1779="Active"),COUNTIFS($C$5:C1779,"Own",$Q$5:Q1779,"Active"),"")</f>
        <v/>
      </c>
      <c r="V1779" s="26" t="str">
        <f aca="false">IF(C1779&lt;&gt;"Own","",IF(K1779="Hourly",N1779,(L1779+M1779)/(Settings!$B$11*Settings!$B$12)))</f>
        <v/>
      </c>
    </row>
    <row r="1780" customFormat="false" ht="15" hidden="false" customHeight="false" outlineLevel="0" collapsed="false">
      <c r="R1780" s="25" t="str">
        <f aca="true">IF(I1780="","",I1780-TODAY())</f>
        <v/>
      </c>
      <c r="S1780" s="25" t="str">
        <f aca="true">IF(J1780="","",J1780-TODAY())</f>
        <v/>
      </c>
      <c r="T1780" s="24" t="str">
        <f aca="false">IF(A1780="","",IF(OR(AND(R1780&lt;&gt;"",R1780&lt;0),AND(S1780&lt;&gt;"",S1780&lt;0)),"EXPIRED",IF(OR(AND(R1780&lt;&gt;"",R1780&lt;=Settings!$B$15),AND(S1780&lt;&gt;"",S1780&lt;=Settings!$B$15)),"EXPIRING SOON","OK")))</f>
        <v/>
      </c>
      <c r="U1780" s="24" t="str">
        <f aca="false">IF(AND(C1780="Own",Q1780="Active"),COUNTIFS($C$5:C1780,"Own",$Q$5:Q1780,"Active"),"")</f>
        <v/>
      </c>
      <c r="V1780" s="26" t="str">
        <f aca="false">IF(C1780&lt;&gt;"Own","",IF(K1780="Hourly",N1780,(L1780+M1780)/(Settings!$B$11*Settings!$B$12)))</f>
        <v/>
      </c>
    </row>
    <row r="1781" customFormat="false" ht="15" hidden="false" customHeight="false" outlineLevel="0" collapsed="false">
      <c r="R1781" s="25" t="str">
        <f aca="true">IF(I1781="","",I1781-TODAY())</f>
        <v/>
      </c>
      <c r="S1781" s="25" t="str">
        <f aca="true">IF(J1781="","",J1781-TODAY())</f>
        <v/>
      </c>
      <c r="T1781" s="24" t="str">
        <f aca="false">IF(A1781="","",IF(OR(AND(R1781&lt;&gt;"",R1781&lt;0),AND(S1781&lt;&gt;"",S1781&lt;0)),"EXPIRED",IF(OR(AND(R1781&lt;&gt;"",R1781&lt;=Settings!$B$15),AND(S1781&lt;&gt;"",S1781&lt;=Settings!$B$15)),"EXPIRING SOON","OK")))</f>
        <v/>
      </c>
      <c r="U1781" s="24" t="str">
        <f aca="false">IF(AND(C1781="Own",Q1781="Active"),COUNTIFS($C$5:C1781,"Own",$Q$5:Q1781,"Active"),"")</f>
        <v/>
      </c>
      <c r="V1781" s="26" t="str">
        <f aca="false">IF(C1781&lt;&gt;"Own","",IF(K1781="Hourly",N1781,(L1781+M1781)/(Settings!$B$11*Settings!$B$12)))</f>
        <v/>
      </c>
    </row>
    <row r="1782" customFormat="false" ht="15" hidden="false" customHeight="false" outlineLevel="0" collapsed="false">
      <c r="R1782" s="25" t="str">
        <f aca="true">IF(I1782="","",I1782-TODAY())</f>
        <v/>
      </c>
      <c r="S1782" s="25" t="str">
        <f aca="true">IF(J1782="","",J1782-TODAY())</f>
        <v/>
      </c>
      <c r="T1782" s="24" t="str">
        <f aca="false">IF(A1782="","",IF(OR(AND(R1782&lt;&gt;"",R1782&lt;0),AND(S1782&lt;&gt;"",S1782&lt;0)),"EXPIRED",IF(OR(AND(R1782&lt;&gt;"",R1782&lt;=Settings!$B$15),AND(S1782&lt;&gt;"",S1782&lt;=Settings!$B$15)),"EXPIRING SOON","OK")))</f>
        <v/>
      </c>
      <c r="U1782" s="24" t="str">
        <f aca="false">IF(AND(C1782="Own",Q1782="Active"),COUNTIFS($C$5:C1782,"Own",$Q$5:Q1782,"Active"),"")</f>
        <v/>
      </c>
      <c r="V1782" s="26" t="str">
        <f aca="false">IF(C1782&lt;&gt;"Own","",IF(K1782="Hourly",N1782,(L1782+M1782)/(Settings!$B$11*Settings!$B$12)))</f>
        <v/>
      </c>
    </row>
    <row r="1783" customFormat="false" ht="15" hidden="false" customHeight="false" outlineLevel="0" collapsed="false">
      <c r="R1783" s="25" t="str">
        <f aca="true">IF(I1783="","",I1783-TODAY())</f>
        <v/>
      </c>
      <c r="S1783" s="25" t="str">
        <f aca="true">IF(J1783="","",J1783-TODAY())</f>
        <v/>
      </c>
      <c r="T1783" s="24" t="str">
        <f aca="false">IF(A1783="","",IF(OR(AND(R1783&lt;&gt;"",R1783&lt;0),AND(S1783&lt;&gt;"",S1783&lt;0)),"EXPIRED",IF(OR(AND(R1783&lt;&gt;"",R1783&lt;=Settings!$B$15),AND(S1783&lt;&gt;"",S1783&lt;=Settings!$B$15)),"EXPIRING SOON","OK")))</f>
        <v/>
      </c>
      <c r="U1783" s="24" t="str">
        <f aca="false">IF(AND(C1783="Own",Q1783="Active"),COUNTIFS($C$5:C1783,"Own",$Q$5:Q1783,"Active"),"")</f>
        <v/>
      </c>
      <c r="V1783" s="26" t="str">
        <f aca="false">IF(C1783&lt;&gt;"Own","",IF(K1783="Hourly",N1783,(L1783+M1783)/(Settings!$B$11*Settings!$B$12)))</f>
        <v/>
      </c>
    </row>
    <row r="1784" customFormat="false" ht="15" hidden="false" customHeight="false" outlineLevel="0" collapsed="false">
      <c r="R1784" s="25" t="str">
        <f aca="true">IF(I1784="","",I1784-TODAY())</f>
        <v/>
      </c>
      <c r="S1784" s="25" t="str">
        <f aca="true">IF(J1784="","",J1784-TODAY())</f>
        <v/>
      </c>
      <c r="T1784" s="24" t="str">
        <f aca="false">IF(A1784="","",IF(OR(AND(R1784&lt;&gt;"",R1784&lt;0),AND(S1784&lt;&gt;"",S1784&lt;0)),"EXPIRED",IF(OR(AND(R1784&lt;&gt;"",R1784&lt;=Settings!$B$15),AND(S1784&lt;&gt;"",S1784&lt;=Settings!$B$15)),"EXPIRING SOON","OK")))</f>
        <v/>
      </c>
      <c r="U1784" s="24" t="str">
        <f aca="false">IF(AND(C1784="Own",Q1784="Active"),COUNTIFS($C$5:C1784,"Own",$Q$5:Q1784,"Active"),"")</f>
        <v/>
      </c>
      <c r="V1784" s="26" t="str">
        <f aca="false">IF(C1784&lt;&gt;"Own","",IF(K1784="Hourly",N1784,(L1784+M1784)/(Settings!$B$11*Settings!$B$12)))</f>
        <v/>
      </c>
    </row>
    <row r="1785" customFormat="false" ht="15" hidden="false" customHeight="false" outlineLevel="0" collapsed="false">
      <c r="R1785" s="25" t="str">
        <f aca="true">IF(I1785="","",I1785-TODAY())</f>
        <v/>
      </c>
      <c r="S1785" s="25" t="str">
        <f aca="true">IF(J1785="","",J1785-TODAY())</f>
        <v/>
      </c>
      <c r="T1785" s="24" t="str">
        <f aca="false">IF(A1785="","",IF(OR(AND(R1785&lt;&gt;"",R1785&lt;0),AND(S1785&lt;&gt;"",S1785&lt;0)),"EXPIRED",IF(OR(AND(R1785&lt;&gt;"",R1785&lt;=Settings!$B$15),AND(S1785&lt;&gt;"",S1785&lt;=Settings!$B$15)),"EXPIRING SOON","OK")))</f>
        <v/>
      </c>
      <c r="U1785" s="24" t="str">
        <f aca="false">IF(AND(C1785="Own",Q1785="Active"),COUNTIFS($C$5:C1785,"Own",$Q$5:Q1785,"Active"),"")</f>
        <v/>
      </c>
      <c r="V1785" s="26" t="str">
        <f aca="false">IF(C1785&lt;&gt;"Own","",IF(K1785="Hourly",N1785,(L1785+M1785)/(Settings!$B$11*Settings!$B$12)))</f>
        <v/>
      </c>
    </row>
    <row r="1786" customFormat="false" ht="15" hidden="false" customHeight="false" outlineLevel="0" collapsed="false">
      <c r="R1786" s="25" t="str">
        <f aca="true">IF(I1786="","",I1786-TODAY())</f>
        <v/>
      </c>
      <c r="S1786" s="25" t="str">
        <f aca="true">IF(J1786="","",J1786-TODAY())</f>
        <v/>
      </c>
      <c r="T1786" s="24" t="str">
        <f aca="false">IF(A1786="","",IF(OR(AND(R1786&lt;&gt;"",R1786&lt;0),AND(S1786&lt;&gt;"",S1786&lt;0)),"EXPIRED",IF(OR(AND(R1786&lt;&gt;"",R1786&lt;=Settings!$B$15),AND(S1786&lt;&gt;"",S1786&lt;=Settings!$B$15)),"EXPIRING SOON","OK")))</f>
        <v/>
      </c>
      <c r="U1786" s="24" t="str">
        <f aca="false">IF(AND(C1786="Own",Q1786="Active"),COUNTIFS($C$5:C1786,"Own",$Q$5:Q1786,"Active"),"")</f>
        <v/>
      </c>
      <c r="V1786" s="26" t="str">
        <f aca="false">IF(C1786&lt;&gt;"Own","",IF(K1786="Hourly",N1786,(L1786+M1786)/(Settings!$B$11*Settings!$B$12)))</f>
        <v/>
      </c>
    </row>
    <row r="1787" customFormat="false" ht="15" hidden="false" customHeight="false" outlineLevel="0" collapsed="false">
      <c r="R1787" s="25" t="str">
        <f aca="true">IF(I1787="","",I1787-TODAY())</f>
        <v/>
      </c>
      <c r="S1787" s="25" t="str">
        <f aca="true">IF(J1787="","",J1787-TODAY())</f>
        <v/>
      </c>
      <c r="T1787" s="24" t="str">
        <f aca="false">IF(A1787="","",IF(OR(AND(R1787&lt;&gt;"",R1787&lt;0),AND(S1787&lt;&gt;"",S1787&lt;0)),"EXPIRED",IF(OR(AND(R1787&lt;&gt;"",R1787&lt;=Settings!$B$15),AND(S1787&lt;&gt;"",S1787&lt;=Settings!$B$15)),"EXPIRING SOON","OK")))</f>
        <v/>
      </c>
      <c r="U1787" s="24" t="str">
        <f aca="false">IF(AND(C1787="Own",Q1787="Active"),COUNTIFS($C$5:C1787,"Own",$Q$5:Q1787,"Active"),"")</f>
        <v/>
      </c>
      <c r="V1787" s="26" t="str">
        <f aca="false">IF(C1787&lt;&gt;"Own","",IF(K1787="Hourly",N1787,(L1787+M1787)/(Settings!$B$11*Settings!$B$12)))</f>
        <v/>
      </c>
    </row>
    <row r="1788" customFormat="false" ht="15" hidden="false" customHeight="false" outlineLevel="0" collapsed="false">
      <c r="R1788" s="25" t="str">
        <f aca="true">IF(I1788="","",I1788-TODAY())</f>
        <v/>
      </c>
      <c r="S1788" s="25" t="str">
        <f aca="true">IF(J1788="","",J1788-TODAY())</f>
        <v/>
      </c>
      <c r="T1788" s="24" t="str">
        <f aca="false">IF(A1788="","",IF(OR(AND(R1788&lt;&gt;"",R1788&lt;0),AND(S1788&lt;&gt;"",S1788&lt;0)),"EXPIRED",IF(OR(AND(R1788&lt;&gt;"",R1788&lt;=Settings!$B$15),AND(S1788&lt;&gt;"",S1788&lt;=Settings!$B$15)),"EXPIRING SOON","OK")))</f>
        <v/>
      </c>
      <c r="U1788" s="24" t="str">
        <f aca="false">IF(AND(C1788="Own",Q1788="Active"),COUNTIFS($C$5:C1788,"Own",$Q$5:Q1788,"Active"),"")</f>
        <v/>
      </c>
      <c r="V1788" s="26" t="str">
        <f aca="false">IF(C1788&lt;&gt;"Own","",IF(K1788="Hourly",N1788,(L1788+M1788)/(Settings!$B$11*Settings!$B$12)))</f>
        <v/>
      </c>
    </row>
    <row r="1789" customFormat="false" ht="15" hidden="false" customHeight="false" outlineLevel="0" collapsed="false">
      <c r="R1789" s="25" t="str">
        <f aca="true">IF(I1789="","",I1789-TODAY())</f>
        <v/>
      </c>
      <c r="S1789" s="25" t="str">
        <f aca="true">IF(J1789="","",J1789-TODAY())</f>
        <v/>
      </c>
      <c r="T1789" s="24" t="str">
        <f aca="false">IF(A1789="","",IF(OR(AND(R1789&lt;&gt;"",R1789&lt;0),AND(S1789&lt;&gt;"",S1789&lt;0)),"EXPIRED",IF(OR(AND(R1789&lt;&gt;"",R1789&lt;=Settings!$B$15),AND(S1789&lt;&gt;"",S1789&lt;=Settings!$B$15)),"EXPIRING SOON","OK")))</f>
        <v/>
      </c>
      <c r="U1789" s="24" t="str">
        <f aca="false">IF(AND(C1789="Own",Q1789="Active"),COUNTIFS($C$5:C1789,"Own",$Q$5:Q1789,"Active"),"")</f>
        <v/>
      </c>
      <c r="V1789" s="26" t="str">
        <f aca="false">IF(C1789&lt;&gt;"Own","",IF(K1789="Hourly",N1789,(L1789+M1789)/(Settings!$B$11*Settings!$B$12)))</f>
        <v/>
      </c>
    </row>
    <row r="1790" customFormat="false" ht="15" hidden="false" customHeight="false" outlineLevel="0" collapsed="false">
      <c r="R1790" s="25" t="str">
        <f aca="true">IF(I1790="","",I1790-TODAY())</f>
        <v/>
      </c>
      <c r="S1790" s="25" t="str">
        <f aca="true">IF(J1790="","",J1790-TODAY())</f>
        <v/>
      </c>
      <c r="T1790" s="24" t="str">
        <f aca="false">IF(A1790="","",IF(OR(AND(R1790&lt;&gt;"",R1790&lt;0),AND(S1790&lt;&gt;"",S1790&lt;0)),"EXPIRED",IF(OR(AND(R1790&lt;&gt;"",R1790&lt;=Settings!$B$15),AND(S1790&lt;&gt;"",S1790&lt;=Settings!$B$15)),"EXPIRING SOON","OK")))</f>
        <v/>
      </c>
      <c r="U1790" s="24" t="str">
        <f aca="false">IF(AND(C1790="Own",Q1790="Active"),COUNTIFS($C$5:C1790,"Own",$Q$5:Q1790,"Active"),"")</f>
        <v/>
      </c>
      <c r="V1790" s="26" t="str">
        <f aca="false">IF(C1790&lt;&gt;"Own","",IF(K1790="Hourly",N1790,(L1790+M1790)/(Settings!$B$11*Settings!$B$12)))</f>
        <v/>
      </c>
    </row>
    <row r="1791" customFormat="false" ht="15" hidden="false" customHeight="false" outlineLevel="0" collapsed="false">
      <c r="R1791" s="25" t="str">
        <f aca="true">IF(I1791="","",I1791-TODAY())</f>
        <v/>
      </c>
      <c r="S1791" s="25" t="str">
        <f aca="true">IF(J1791="","",J1791-TODAY())</f>
        <v/>
      </c>
      <c r="T1791" s="24" t="str">
        <f aca="false">IF(A1791="","",IF(OR(AND(R1791&lt;&gt;"",R1791&lt;0),AND(S1791&lt;&gt;"",S1791&lt;0)),"EXPIRED",IF(OR(AND(R1791&lt;&gt;"",R1791&lt;=Settings!$B$15),AND(S1791&lt;&gt;"",S1791&lt;=Settings!$B$15)),"EXPIRING SOON","OK")))</f>
        <v/>
      </c>
      <c r="U1791" s="24" t="str">
        <f aca="false">IF(AND(C1791="Own",Q1791="Active"),COUNTIFS($C$5:C1791,"Own",$Q$5:Q1791,"Active"),"")</f>
        <v/>
      </c>
      <c r="V1791" s="26" t="str">
        <f aca="false">IF(C1791&lt;&gt;"Own","",IF(K1791="Hourly",N1791,(L1791+M1791)/(Settings!$B$11*Settings!$B$12)))</f>
        <v/>
      </c>
    </row>
    <row r="1792" customFormat="false" ht="15" hidden="false" customHeight="false" outlineLevel="0" collapsed="false">
      <c r="R1792" s="25" t="str">
        <f aca="true">IF(I1792="","",I1792-TODAY())</f>
        <v/>
      </c>
      <c r="S1792" s="25" t="str">
        <f aca="true">IF(J1792="","",J1792-TODAY())</f>
        <v/>
      </c>
      <c r="T1792" s="24" t="str">
        <f aca="false">IF(A1792="","",IF(OR(AND(R1792&lt;&gt;"",R1792&lt;0),AND(S1792&lt;&gt;"",S1792&lt;0)),"EXPIRED",IF(OR(AND(R1792&lt;&gt;"",R1792&lt;=Settings!$B$15),AND(S1792&lt;&gt;"",S1792&lt;=Settings!$B$15)),"EXPIRING SOON","OK")))</f>
        <v/>
      </c>
      <c r="U1792" s="24" t="str">
        <f aca="false">IF(AND(C1792="Own",Q1792="Active"),COUNTIFS($C$5:C1792,"Own",$Q$5:Q1792,"Active"),"")</f>
        <v/>
      </c>
      <c r="V1792" s="26" t="str">
        <f aca="false">IF(C1792&lt;&gt;"Own","",IF(K1792="Hourly",N1792,(L1792+M1792)/(Settings!$B$11*Settings!$B$12)))</f>
        <v/>
      </c>
    </row>
    <row r="1793" customFormat="false" ht="15" hidden="false" customHeight="false" outlineLevel="0" collapsed="false">
      <c r="R1793" s="25" t="str">
        <f aca="true">IF(I1793="","",I1793-TODAY())</f>
        <v/>
      </c>
      <c r="S1793" s="25" t="str">
        <f aca="true">IF(J1793="","",J1793-TODAY())</f>
        <v/>
      </c>
      <c r="T1793" s="24" t="str">
        <f aca="false">IF(A1793="","",IF(OR(AND(R1793&lt;&gt;"",R1793&lt;0),AND(S1793&lt;&gt;"",S1793&lt;0)),"EXPIRED",IF(OR(AND(R1793&lt;&gt;"",R1793&lt;=Settings!$B$15),AND(S1793&lt;&gt;"",S1793&lt;=Settings!$B$15)),"EXPIRING SOON","OK")))</f>
        <v/>
      </c>
      <c r="U1793" s="24" t="str">
        <f aca="false">IF(AND(C1793="Own",Q1793="Active"),COUNTIFS($C$5:C1793,"Own",$Q$5:Q1793,"Active"),"")</f>
        <v/>
      </c>
      <c r="V1793" s="26" t="str">
        <f aca="false">IF(C1793&lt;&gt;"Own","",IF(K1793="Hourly",N1793,(L1793+M1793)/(Settings!$B$11*Settings!$B$12)))</f>
        <v/>
      </c>
    </row>
    <row r="1794" customFormat="false" ht="15" hidden="false" customHeight="false" outlineLevel="0" collapsed="false">
      <c r="R1794" s="25" t="str">
        <f aca="true">IF(I1794="","",I1794-TODAY())</f>
        <v/>
      </c>
      <c r="S1794" s="25" t="str">
        <f aca="true">IF(J1794="","",J1794-TODAY())</f>
        <v/>
      </c>
      <c r="T1794" s="24" t="str">
        <f aca="false">IF(A1794="","",IF(OR(AND(R1794&lt;&gt;"",R1794&lt;0),AND(S1794&lt;&gt;"",S1794&lt;0)),"EXPIRED",IF(OR(AND(R1794&lt;&gt;"",R1794&lt;=Settings!$B$15),AND(S1794&lt;&gt;"",S1794&lt;=Settings!$B$15)),"EXPIRING SOON","OK")))</f>
        <v/>
      </c>
      <c r="U1794" s="24" t="str">
        <f aca="false">IF(AND(C1794="Own",Q1794="Active"),COUNTIFS($C$5:C1794,"Own",$Q$5:Q1794,"Active"),"")</f>
        <v/>
      </c>
      <c r="V1794" s="26" t="str">
        <f aca="false">IF(C1794&lt;&gt;"Own","",IF(K1794="Hourly",N1794,(L1794+M1794)/(Settings!$B$11*Settings!$B$12)))</f>
        <v/>
      </c>
    </row>
    <row r="1795" customFormat="false" ht="15" hidden="false" customHeight="false" outlineLevel="0" collapsed="false">
      <c r="R1795" s="25" t="str">
        <f aca="true">IF(I1795="","",I1795-TODAY())</f>
        <v/>
      </c>
      <c r="S1795" s="25" t="str">
        <f aca="true">IF(J1795="","",J1795-TODAY())</f>
        <v/>
      </c>
      <c r="T1795" s="24" t="str">
        <f aca="false">IF(A1795="","",IF(OR(AND(R1795&lt;&gt;"",R1795&lt;0),AND(S1795&lt;&gt;"",S1795&lt;0)),"EXPIRED",IF(OR(AND(R1795&lt;&gt;"",R1795&lt;=Settings!$B$15),AND(S1795&lt;&gt;"",S1795&lt;=Settings!$B$15)),"EXPIRING SOON","OK")))</f>
        <v/>
      </c>
      <c r="U1795" s="24" t="str">
        <f aca="false">IF(AND(C1795="Own",Q1795="Active"),COUNTIFS($C$5:C1795,"Own",$Q$5:Q1795,"Active"),"")</f>
        <v/>
      </c>
      <c r="V1795" s="26" t="str">
        <f aca="false">IF(C1795&lt;&gt;"Own","",IF(K1795="Hourly",N1795,(L1795+M1795)/(Settings!$B$11*Settings!$B$12)))</f>
        <v/>
      </c>
    </row>
    <row r="1796" customFormat="false" ht="15" hidden="false" customHeight="false" outlineLevel="0" collapsed="false">
      <c r="R1796" s="25" t="str">
        <f aca="true">IF(I1796="","",I1796-TODAY())</f>
        <v/>
      </c>
      <c r="S1796" s="25" t="str">
        <f aca="true">IF(J1796="","",J1796-TODAY())</f>
        <v/>
      </c>
      <c r="T1796" s="24" t="str">
        <f aca="false">IF(A1796="","",IF(OR(AND(R1796&lt;&gt;"",R1796&lt;0),AND(S1796&lt;&gt;"",S1796&lt;0)),"EXPIRED",IF(OR(AND(R1796&lt;&gt;"",R1796&lt;=Settings!$B$15),AND(S1796&lt;&gt;"",S1796&lt;=Settings!$B$15)),"EXPIRING SOON","OK")))</f>
        <v/>
      </c>
      <c r="U1796" s="24" t="str">
        <f aca="false">IF(AND(C1796="Own",Q1796="Active"),COUNTIFS($C$5:C1796,"Own",$Q$5:Q1796,"Active"),"")</f>
        <v/>
      </c>
      <c r="V1796" s="26" t="str">
        <f aca="false">IF(C1796&lt;&gt;"Own","",IF(K1796="Hourly",N1796,(L1796+M1796)/(Settings!$B$11*Settings!$B$12)))</f>
        <v/>
      </c>
    </row>
    <row r="1797" customFormat="false" ht="15" hidden="false" customHeight="false" outlineLevel="0" collapsed="false">
      <c r="R1797" s="25" t="str">
        <f aca="true">IF(I1797="","",I1797-TODAY())</f>
        <v/>
      </c>
      <c r="S1797" s="25" t="str">
        <f aca="true">IF(J1797="","",J1797-TODAY())</f>
        <v/>
      </c>
      <c r="T1797" s="24" t="str">
        <f aca="false">IF(A1797="","",IF(OR(AND(R1797&lt;&gt;"",R1797&lt;0),AND(S1797&lt;&gt;"",S1797&lt;0)),"EXPIRED",IF(OR(AND(R1797&lt;&gt;"",R1797&lt;=Settings!$B$15),AND(S1797&lt;&gt;"",S1797&lt;=Settings!$B$15)),"EXPIRING SOON","OK")))</f>
        <v/>
      </c>
      <c r="U1797" s="24" t="str">
        <f aca="false">IF(AND(C1797="Own",Q1797="Active"),COUNTIFS($C$5:C1797,"Own",$Q$5:Q1797,"Active"),"")</f>
        <v/>
      </c>
      <c r="V1797" s="26" t="str">
        <f aca="false">IF(C1797&lt;&gt;"Own","",IF(K1797="Hourly",N1797,(L1797+M1797)/(Settings!$B$11*Settings!$B$12)))</f>
        <v/>
      </c>
    </row>
    <row r="1798" customFormat="false" ht="15" hidden="false" customHeight="false" outlineLevel="0" collapsed="false">
      <c r="R1798" s="25" t="str">
        <f aca="true">IF(I1798="","",I1798-TODAY())</f>
        <v/>
      </c>
      <c r="S1798" s="25" t="str">
        <f aca="true">IF(J1798="","",J1798-TODAY())</f>
        <v/>
      </c>
      <c r="T1798" s="24" t="str">
        <f aca="false">IF(A1798="","",IF(OR(AND(R1798&lt;&gt;"",R1798&lt;0),AND(S1798&lt;&gt;"",S1798&lt;0)),"EXPIRED",IF(OR(AND(R1798&lt;&gt;"",R1798&lt;=Settings!$B$15),AND(S1798&lt;&gt;"",S1798&lt;=Settings!$B$15)),"EXPIRING SOON","OK")))</f>
        <v/>
      </c>
      <c r="U1798" s="24" t="str">
        <f aca="false">IF(AND(C1798="Own",Q1798="Active"),COUNTIFS($C$5:C1798,"Own",$Q$5:Q1798,"Active"),"")</f>
        <v/>
      </c>
      <c r="V1798" s="26" t="str">
        <f aca="false">IF(C1798&lt;&gt;"Own","",IF(K1798="Hourly",N1798,(L1798+M1798)/(Settings!$B$11*Settings!$B$12)))</f>
        <v/>
      </c>
    </row>
    <row r="1799" customFormat="false" ht="15" hidden="false" customHeight="false" outlineLevel="0" collapsed="false">
      <c r="R1799" s="25" t="str">
        <f aca="true">IF(I1799="","",I1799-TODAY())</f>
        <v/>
      </c>
      <c r="S1799" s="25" t="str">
        <f aca="true">IF(J1799="","",J1799-TODAY())</f>
        <v/>
      </c>
      <c r="T1799" s="24" t="str">
        <f aca="false">IF(A1799="","",IF(OR(AND(R1799&lt;&gt;"",R1799&lt;0),AND(S1799&lt;&gt;"",S1799&lt;0)),"EXPIRED",IF(OR(AND(R1799&lt;&gt;"",R1799&lt;=Settings!$B$15),AND(S1799&lt;&gt;"",S1799&lt;=Settings!$B$15)),"EXPIRING SOON","OK")))</f>
        <v/>
      </c>
      <c r="U1799" s="24" t="str">
        <f aca="false">IF(AND(C1799="Own",Q1799="Active"),COUNTIFS($C$5:C1799,"Own",$Q$5:Q1799,"Active"),"")</f>
        <v/>
      </c>
      <c r="V1799" s="26" t="str">
        <f aca="false">IF(C1799&lt;&gt;"Own","",IF(K1799="Hourly",N1799,(L1799+M1799)/(Settings!$B$11*Settings!$B$12)))</f>
        <v/>
      </c>
    </row>
    <row r="1800" customFormat="false" ht="15" hidden="false" customHeight="false" outlineLevel="0" collapsed="false">
      <c r="R1800" s="25" t="str">
        <f aca="true">IF(I1800="","",I1800-TODAY())</f>
        <v/>
      </c>
      <c r="S1800" s="25" t="str">
        <f aca="true">IF(J1800="","",J1800-TODAY())</f>
        <v/>
      </c>
      <c r="T1800" s="24" t="str">
        <f aca="false">IF(A1800="","",IF(OR(AND(R1800&lt;&gt;"",R1800&lt;0),AND(S1800&lt;&gt;"",S1800&lt;0)),"EXPIRED",IF(OR(AND(R1800&lt;&gt;"",R1800&lt;=Settings!$B$15),AND(S1800&lt;&gt;"",S1800&lt;=Settings!$B$15)),"EXPIRING SOON","OK")))</f>
        <v/>
      </c>
      <c r="U1800" s="24" t="str">
        <f aca="false">IF(AND(C1800="Own",Q1800="Active"),COUNTIFS($C$5:C1800,"Own",$Q$5:Q1800,"Active"),"")</f>
        <v/>
      </c>
      <c r="V1800" s="26" t="str">
        <f aca="false">IF(C1800&lt;&gt;"Own","",IF(K1800="Hourly",N1800,(L1800+M1800)/(Settings!$B$11*Settings!$B$12)))</f>
        <v/>
      </c>
    </row>
    <row r="1801" customFormat="false" ht="15" hidden="false" customHeight="false" outlineLevel="0" collapsed="false">
      <c r="R1801" s="25" t="str">
        <f aca="true">IF(I1801="","",I1801-TODAY())</f>
        <v/>
      </c>
      <c r="S1801" s="25" t="str">
        <f aca="true">IF(J1801="","",J1801-TODAY())</f>
        <v/>
      </c>
      <c r="T1801" s="24" t="str">
        <f aca="false">IF(A1801="","",IF(OR(AND(R1801&lt;&gt;"",R1801&lt;0),AND(S1801&lt;&gt;"",S1801&lt;0)),"EXPIRED",IF(OR(AND(R1801&lt;&gt;"",R1801&lt;=Settings!$B$15),AND(S1801&lt;&gt;"",S1801&lt;=Settings!$B$15)),"EXPIRING SOON","OK")))</f>
        <v/>
      </c>
      <c r="U1801" s="24" t="str">
        <f aca="false">IF(AND(C1801="Own",Q1801="Active"),COUNTIFS($C$5:C1801,"Own",$Q$5:Q1801,"Active"),"")</f>
        <v/>
      </c>
      <c r="V1801" s="26" t="str">
        <f aca="false">IF(C1801&lt;&gt;"Own","",IF(K1801="Hourly",N1801,(L1801+M1801)/(Settings!$B$11*Settings!$B$12)))</f>
        <v/>
      </c>
    </row>
    <row r="1802" customFormat="false" ht="15" hidden="false" customHeight="false" outlineLevel="0" collapsed="false">
      <c r="R1802" s="25" t="str">
        <f aca="true">IF(I1802="","",I1802-TODAY())</f>
        <v/>
      </c>
      <c r="S1802" s="25" t="str">
        <f aca="true">IF(J1802="","",J1802-TODAY())</f>
        <v/>
      </c>
      <c r="T1802" s="24" t="str">
        <f aca="false">IF(A1802="","",IF(OR(AND(R1802&lt;&gt;"",R1802&lt;0),AND(S1802&lt;&gt;"",S1802&lt;0)),"EXPIRED",IF(OR(AND(R1802&lt;&gt;"",R1802&lt;=Settings!$B$15),AND(S1802&lt;&gt;"",S1802&lt;=Settings!$B$15)),"EXPIRING SOON","OK")))</f>
        <v/>
      </c>
      <c r="U1802" s="24" t="str">
        <f aca="false">IF(AND(C1802="Own",Q1802="Active"),COUNTIFS($C$5:C1802,"Own",$Q$5:Q1802,"Active"),"")</f>
        <v/>
      </c>
      <c r="V1802" s="26" t="str">
        <f aca="false">IF(C1802&lt;&gt;"Own","",IF(K1802="Hourly",N1802,(L1802+M1802)/(Settings!$B$11*Settings!$B$12)))</f>
        <v/>
      </c>
    </row>
    <row r="1803" customFormat="false" ht="15" hidden="false" customHeight="false" outlineLevel="0" collapsed="false">
      <c r="R1803" s="25" t="str">
        <f aca="true">IF(I1803="","",I1803-TODAY())</f>
        <v/>
      </c>
      <c r="S1803" s="25" t="str">
        <f aca="true">IF(J1803="","",J1803-TODAY())</f>
        <v/>
      </c>
      <c r="T1803" s="24" t="str">
        <f aca="false">IF(A1803="","",IF(OR(AND(R1803&lt;&gt;"",R1803&lt;0),AND(S1803&lt;&gt;"",S1803&lt;0)),"EXPIRED",IF(OR(AND(R1803&lt;&gt;"",R1803&lt;=Settings!$B$15),AND(S1803&lt;&gt;"",S1803&lt;=Settings!$B$15)),"EXPIRING SOON","OK")))</f>
        <v/>
      </c>
      <c r="U1803" s="24" t="str">
        <f aca="false">IF(AND(C1803="Own",Q1803="Active"),COUNTIFS($C$5:C1803,"Own",$Q$5:Q1803,"Active"),"")</f>
        <v/>
      </c>
      <c r="V1803" s="26" t="str">
        <f aca="false">IF(C1803&lt;&gt;"Own","",IF(K1803="Hourly",N1803,(L1803+M1803)/(Settings!$B$11*Settings!$B$12)))</f>
        <v/>
      </c>
    </row>
    <row r="1804" customFormat="false" ht="15" hidden="false" customHeight="false" outlineLevel="0" collapsed="false">
      <c r="R1804" s="25" t="str">
        <f aca="true">IF(I1804="","",I1804-TODAY())</f>
        <v/>
      </c>
      <c r="S1804" s="25" t="str">
        <f aca="true">IF(J1804="","",J1804-TODAY())</f>
        <v/>
      </c>
      <c r="T1804" s="24" t="str">
        <f aca="false">IF(A1804="","",IF(OR(AND(R1804&lt;&gt;"",R1804&lt;0),AND(S1804&lt;&gt;"",S1804&lt;0)),"EXPIRED",IF(OR(AND(R1804&lt;&gt;"",R1804&lt;=Settings!$B$15),AND(S1804&lt;&gt;"",S1804&lt;=Settings!$B$15)),"EXPIRING SOON","OK")))</f>
        <v/>
      </c>
      <c r="U1804" s="24" t="str">
        <f aca="false">IF(AND(C1804="Own",Q1804="Active"),COUNTIFS($C$5:C1804,"Own",$Q$5:Q1804,"Active"),"")</f>
        <v/>
      </c>
      <c r="V1804" s="26" t="str">
        <f aca="false">IF(C1804&lt;&gt;"Own","",IF(K1804="Hourly",N1804,(L1804+M1804)/(Settings!$B$11*Settings!$B$12)))</f>
        <v/>
      </c>
    </row>
    <row r="1805" customFormat="false" ht="15" hidden="false" customHeight="false" outlineLevel="0" collapsed="false">
      <c r="R1805" s="25" t="str">
        <f aca="true">IF(I1805="","",I1805-TODAY())</f>
        <v/>
      </c>
      <c r="S1805" s="25" t="str">
        <f aca="true">IF(J1805="","",J1805-TODAY())</f>
        <v/>
      </c>
      <c r="T1805" s="24" t="str">
        <f aca="false">IF(A1805="","",IF(OR(AND(R1805&lt;&gt;"",R1805&lt;0),AND(S1805&lt;&gt;"",S1805&lt;0)),"EXPIRED",IF(OR(AND(R1805&lt;&gt;"",R1805&lt;=Settings!$B$15),AND(S1805&lt;&gt;"",S1805&lt;=Settings!$B$15)),"EXPIRING SOON","OK")))</f>
        <v/>
      </c>
      <c r="U1805" s="24" t="str">
        <f aca="false">IF(AND(C1805="Own",Q1805="Active"),COUNTIFS($C$5:C1805,"Own",$Q$5:Q1805,"Active"),"")</f>
        <v/>
      </c>
      <c r="V1805" s="26" t="str">
        <f aca="false">IF(C1805&lt;&gt;"Own","",IF(K1805="Hourly",N1805,(L1805+M1805)/(Settings!$B$11*Settings!$B$12)))</f>
        <v/>
      </c>
    </row>
    <row r="1806" customFormat="false" ht="15" hidden="false" customHeight="false" outlineLevel="0" collapsed="false">
      <c r="R1806" s="25" t="str">
        <f aca="true">IF(I1806="","",I1806-TODAY())</f>
        <v/>
      </c>
      <c r="S1806" s="25" t="str">
        <f aca="true">IF(J1806="","",J1806-TODAY())</f>
        <v/>
      </c>
      <c r="T1806" s="24" t="str">
        <f aca="false">IF(A1806="","",IF(OR(AND(R1806&lt;&gt;"",R1806&lt;0),AND(S1806&lt;&gt;"",S1806&lt;0)),"EXPIRED",IF(OR(AND(R1806&lt;&gt;"",R1806&lt;=Settings!$B$15),AND(S1806&lt;&gt;"",S1806&lt;=Settings!$B$15)),"EXPIRING SOON","OK")))</f>
        <v/>
      </c>
      <c r="U1806" s="24" t="str">
        <f aca="false">IF(AND(C1806="Own",Q1806="Active"),COUNTIFS($C$5:C1806,"Own",$Q$5:Q1806,"Active"),"")</f>
        <v/>
      </c>
      <c r="V1806" s="26" t="str">
        <f aca="false">IF(C1806&lt;&gt;"Own","",IF(K1806="Hourly",N1806,(L1806+M1806)/(Settings!$B$11*Settings!$B$12)))</f>
        <v/>
      </c>
    </row>
    <row r="1807" customFormat="false" ht="15" hidden="false" customHeight="false" outlineLevel="0" collapsed="false">
      <c r="R1807" s="25" t="str">
        <f aca="true">IF(I1807="","",I1807-TODAY())</f>
        <v/>
      </c>
      <c r="S1807" s="25" t="str">
        <f aca="true">IF(J1807="","",J1807-TODAY())</f>
        <v/>
      </c>
      <c r="T1807" s="24" t="str">
        <f aca="false">IF(A1807="","",IF(OR(AND(R1807&lt;&gt;"",R1807&lt;0),AND(S1807&lt;&gt;"",S1807&lt;0)),"EXPIRED",IF(OR(AND(R1807&lt;&gt;"",R1807&lt;=Settings!$B$15),AND(S1807&lt;&gt;"",S1807&lt;=Settings!$B$15)),"EXPIRING SOON","OK")))</f>
        <v/>
      </c>
      <c r="U1807" s="24" t="str">
        <f aca="false">IF(AND(C1807="Own",Q1807="Active"),COUNTIFS($C$5:C1807,"Own",$Q$5:Q1807,"Active"),"")</f>
        <v/>
      </c>
      <c r="V1807" s="26" t="str">
        <f aca="false">IF(C1807&lt;&gt;"Own","",IF(K1807="Hourly",N1807,(L1807+M1807)/(Settings!$B$11*Settings!$B$12)))</f>
        <v/>
      </c>
    </row>
    <row r="1808" customFormat="false" ht="15" hidden="false" customHeight="false" outlineLevel="0" collapsed="false">
      <c r="R1808" s="25" t="str">
        <f aca="true">IF(I1808="","",I1808-TODAY())</f>
        <v/>
      </c>
      <c r="S1808" s="25" t="str">
        <f aca="true">IF(J1808="","",J1808-TODAY())</f>
        <v/>
      </c>
      <c r="T1808" s="24" t="str">
        <f aca="false">IF(A1808="","",IF(OR(AND(R1808&lt;&gt;"",R1808&lt;0),AND(S1808&lt;&gt;"",S1808&lt;0)),"EXPIRED",IF(OR(AND(R1808&lt;&gt;"",R1808&lt;=Settings!$B$15),AND(S1808&lt;&gt;"",S1808&lt;=Settings!$B$15)),"EXPIRING SOON","OK")))</f>
        <v/>
      </c>
      <c r="U1808" s="24" t="str">
        <f aca="false">IF(AND(C1808="Own",Q1808="Active"),COUNTIFS($C$5:C1808,"Own",$Q$5:Q1808,"Active"),"")</f>
        <v/>
      </c>
      <c r="V1808" s="26" t="str">
        <f aca="false">IF(C1808&lt;&gt;"Own","",IF(K1808="Hourly",N1808,(L1808+M1808)/(Settings!$B$11*Settings!$B$12)))</f>
        <v/>
      </c>
    </row>
    <row r="1809" customFormat="false" ht="15" hidden="false" customHeight="false" outlineLevel="0" collapsed="false">
      <c r="R1809" s="25" t="str">
        <f aca="true">IF(I1809="","",I1809-TODAY())</f>
        <v/>
      </c>
      <c r="S1809" s="25" t="str">
        <f aca="true">IF(J1809="","",J1809-TODAY())</f>
        <v/>
      </c>
      <c r="T1809" s="24" t="str">
        <f aca="false">IF(A1809="","",IF(OR(AND(R1809&lt;&gt;"",R1809&lt;0),AND(S1809&lt;&gt;"",S1809&lt;0)),"EXPIRED",IF(OR(AND(R1809&lt;&gt;"",R1809&lt;=Settings!$B$15),AND(S1809&lt;&gt;"",S1809&lt;=Settings!$B$15)),"EXPIRING SOON","OK")))</f>
        <v/>
      </c>
      <c r="U1809" s="24" t="str">
        <f aca="false">IF(AND(C1809="Own",Q1809="Active"),COUNTIFS($C$5:C1809,"Own",$Q$5:Q1809,"Active"),"")</f>
        <v/>
      </c>
      <c r="V1809" s="26" t="str">
        <f aca="false">IF(C1809&lt;&gt;"Own","",IF(K1809="Hourly",N1809,(L1809+M1809)/(Settings!$B$11*Settings!$B$12)))</f>
        <v/>
      </c>
    </row>
    <row r="1810" customFormat="false" ht="15" hidden="false" customHeight="false" outlineLevel="0" collapsed="false">
      <c r="R1810" s="25" t="str">
        <f aca="true">IF(I1810="","",I1810-TODAY())</f>
        <v/>
      </c>
      <c r="S1810" s="25" t="str">
        <f aca="true">IF(J1810="","",J1810-TODAY())</f>
        <v/>
      </c>
      <c r="T1810" s="24" t="str">
        <f aca="false">IF(A1810="","",IF(OR(AND(R1810&lt;&gt;"",R1810&lt;0),AND(S1810&lt;&gt;"",S1810&lt;0)),"EXPIRED",IF(OR(AND(R1810&lt;&gt;"",R1810&lt;=Settings!$B$15),AND(S1810&lt;&gt;"",S1810&lt;=Settings!$B$15)),"EXPIRING SOON","OK")))</f>
        <v/>
      </c>
      <c r="U1810" s="24" t="str">
        <f aca="false">IF(AND(C1810="Own",Q1810="Active"),COUNTIFS($C$5:C1810,"Own",$Q$5:Q1810,"Active"),"")</f>
        <v/>
      </c>
      <c r="V1810" s="26" t="str">
        <f aca="false">IF(C1810&lt;&gt;"Own","",IF(K1810="Hourly",N1810,(L1810+M1810)/(Settings!$B$11*Settings!$B$12)))</f>
        <v/>
      </c>
    </row>
    <row r="1811" customFormat="false" ht="15" hidden="false" customHeight="false" outlineLevel="0" collapsed="false">
      <c r="R1811" s="25" t="str">
        <f aca="true">IF(I1811="","",I1811-TODAY())</f>
        <v/>
      </c>
      <c r="S1811" s="25" t="str">
        <f aca="true">IF(J1811="","",J1811-TODAY())</f>
        <v/>
      </c>
      <c r="T1811" s="24" t="str">
        <f aca="false">IF(A1811="","",IF(OR(AND(R1811&lt;&gt;"",R1811&lt;0),AND(S1811&lt;&gt;"",S1811&lt;0)),"EXPIRED",IF(OR(AND(R1811&lt;&gt;"",R1811&lt;=Settings!$B$15),AND(S1811&lt;&gt;"",S1811&lt;=Settings!$B$15)),"EXPIRING SOON","OK")))</f>
        <v/>
      </c>
      <c r="U1811" s="24" t="str">
        <f aca="false">IF(AND(C1811="Own",Q1811="Active"),COUNTIFS($C$5:C1811,"Own",$Q$5:Q1811,"Active"),"")</f>
        <v/>
      </c>
      <c r="V1811" s="26" t="str">
        <f aca="false">IF(C1811&lt;&gt;"Own","",IF(K1811="Hourly",N1811,(L1811+M1811)/(Settings!$B$11*Settings!$B$12)))</f>
        <v/>
      </c>
    </row>
    <row r="1812" customFormat="false" ht="15" hidden="false" customHeight="false" outlineLevel="0" collapsed="false">
      <c r="R1812" s="25" t="str">
        <f aca="true">IF(I1812="","",I1812-TODAY())</f>
        <v/>
      </c>
      <c r="S1812" s="25" t="str">
        <f aca="true">IF(J1812="","",J1812-TODAY())</f>
        <v/>
      </c>
      <c r="T1812" s="24" t="str">
        <f aca="false">IF(A1812="","",IF(OR(AND(R1812&lt;&gt;"",R1812&lt;0),AND(S1812&lt;&gt;"",S1812&lt;0)),"EXPIRED",IF(OR(AND(R1812&lt;&gt;"",R1812&lt;=Settings!$B$15),AND(S1812&lt;&gt;"",S1812&lt;=Settings!$B$15)),"EXPIRING SOON","OK")))</f>
        <v/>
      </c>
      <c r="U1812" s="24" t="str">
        <f aca="false">IF(AND(C1812="Own",Q1812="Active"),COUNTIFS($C$5:C1812,"Own",$Q$5:Q1812,"Active"),"")</f>
        <v/>
      </c>
      <c r="V1812" s="26" t="str">
        <f aca="false">IF(C1812&lt;&gt;"Own","",IF(K1812="Hourly",N1812,(L1812+M1812)/(Settings!$B$11*Settings!$B$12)))</f>
        <v/>
      </c>
    </row>
    <row r="1813" customFormat="false" ht="15" hidden="false" customHeight="false" outlineLevel="0" collapsed="false">
      <c r="R1813" s="25" t="str">
        <f aca="true">IF(I1813="","",I1813-TODAY())</f>
        <v/>
      </c>
      <c r="S1813" s="25" t="str">
        <f aca="true">IF(J1813="","",J1813-TODAY())</f>
        <v/>
      </c>
      <c r="T1813" s="24" t="str">
        <f aca="false">IF(A1813="","",IF(OR(AND(R1813&lt;&gt;"",R1813&lt;0),AND(S1813&lt;&gt;"",S1813&lt;0)),"EXPIRED",IF(OR(AND(R1813&lt;&gt;"",R1813&lt;=Settings!$B$15),AND(S1813&lt;&gt;"",S1813&lt;=Settings!$B$15)),"EXPIRING SOON","OK")))</f>
        <v/>
      </c>
      <c r="U1813" s="24" t="str">
        <f aca="false">IF(AND(C1813="Own",Q1813="Active"),COUNTIFS($C$5:C1813,"Own",$Q$5:Q1813,"Active"),"")</f>
        <v/>
      </c>
      <c r="V1813" s="26" t="str">
        <f aca="false">IF(C1813&lt;&gt;"Own","",IF(K1813="Hourly",N1813,(L1813+M1813)/(Settings!$B$11*Settings!$B$12)))</f>
        <v/>
      </c>
    </row>
    <row r="1814" customFormat="false" ht="15" hidden="false" customHeight="false" outlineLevel="0" collapsed="false">
      <c r="R1814" s="25" t="str">
        <f aca="true">IF(I1814="","",I1814-TODAY())</f>
        <v/>
      </c>
      <c r="S1814" s="25" t="str">
        <f aca="true">IF(J1814="","",J1814-TODAY())</f>
        <v/>
      </c>
      <c r="T1814" s="24" t="str">
        <f aca="false">IF(A1814="","",IF(OR(AND(R1814&lt;&gt;"",R1814&lt;0),AND(S1814&lt;&gt;"",S1814&lt;0)),"EXPIRED",IF(OR(AND(R1814&lt;&gt;"",R1814&lt;=Settings!$B$15),AND(S1814&lt;&gt;"",S1814&lt;=Settings!$B$15)),"EXPIRING SOON","OK")))</f>
        <v/>
      </c>
      <c r="U1814" s="24" t="str">
        <f aca="false">IF(AND(C1814="Own",Q1814="Active"),COUNTIFS($C$5:C1814,"Own",$Q$5:Q1814,"Active"),"")</f>
        <v/>
      </c>
      <c r="V1814" s="26" t="str">
        <f aca="false">IF(C1814&lt;&gt;"Own","",IF(K1814="Hourly",N1814,(L1814+M1814)/(Settings!$B$11*Settings!$B$12)))</f>
        <v/>
      </c>
    </row>
    <row r="1815" customFormat="false" ht="15" hidden="false" customHeight="false" outlineLevel="0" collapsed="false">
      <c r="R1815" s="25" t="str">
        <f aca="true">IF(I1815="","",I1815-TODAY())</f>
        <v/>
      </c>
      <c r="S1815" s="25" t="str">
        <f aca="true">IF(J1815="","",J1815-TODAY())</f>
        <v/>
      </c>
      <c r="T1815" s="24" t="str">
        <f aca="false">IF(A1815="","",IF(OR(AND(R1815&lt;&gt;"",R1815&lt;0),AND(S1815&lt;&gt;"",S1815&lt;0)),"EXPIRED",IF(OR(AND(R1815&lt;&gt;"",R1815&lt;=Settings!$B$15),AND(S1815&lt;&gt;"",S1815&lt;=Settings!$B$15)),"EXPIRING SOON","OK")))</f>
        <v/>
      </c>
      <c r="U1815" s="24" t="str">
        <f aca="false">IF(AND(C1815="Own",Q1815="Active"),COUNTIFS($C$5:C1815,"Own",$Q$5:Q1815,"Active"),"")</f>
        <v/>
      </c>
      <c r="V1815" s="26" t="str">
        <f aca="false">IF(C1815&lt;&gt;"Own","",IF(K1815="Hourly",N1815,(L1815+M1815)/(Settings!$B$11*Settings!$B$12)))</f>
        <v/>
      </c>
    </row>
    <row r="1816" customFormat="false" ht="15" hidden="false" customHeight="false" outlineLevel="0" collapsed="false">
      <c r="R1816" s="25" t="str">
        <f aca="true">IF(I1816="","",I1816-TODAY())</f>
        <v/>
      </c>
      <c r="S1816" s="25" t="str">
        <f aca="true">IF(J1816="","",J1816-TODAY())</f>
        <v/>
      </c>
      <c r="T1816" s="24" t="str">
        <f aca="false">IF(A1816="","",IF(OR(AND(R1816&lt;&gt;"",R1816&lt;0),AND(S1816&lt;&gt;"",S1816&lt;0)),"EXPIRED",IF(OR(AND(R1816&lt;&gt;"",R1816&lt;=Settings!$B$15),AND(S1816&lt;&gt;"",S1816&lt;=Settings!$B$15)),"EXPIRING SOON","OK")))</f>
        <v/>
      </c>
      <c r="U1816" s="24" t="str">
        <f aca="false">IF(AND(C1816="Own",Q1816="Active"),COUNTIFS($C$5:C1816,"Own",$Q$5:Q1816,"Active"),"")</f>
        <v/>
      </c>
      <c r="V1816" s="26" t="str">
        <f aca="false">IF(C1816&lt;&gt;"Own","",IF(K1816="Hourly",N1816,(L1816+M1816)/(Settings!$B$11*Settings!$B$12)))</f>
        <v/>
      </c>
    </row>
    <row r="1817" customFormat="false" ht="15" hidden="false" customHeight="false" outlineLevel="0" collapsed="false">
      <c r="R1817" s="25" t="str">
        <f aca="true">IF(I1817="","",I1817-TODAY())</f>
        <v/>
      </c>
      <c r="S1817" s="25" t="str">
        <f aca="true">IF(J1817="","",J1817-TODAY())</f>
        <v/>
      </c>
      <c r="T1817" s="24" t="str">
        <f aca="false">IF(A1817="","",IF(OR(AND(R1817&lt;&gt;"",R1817&lt;0),AND(S1817&lt;&gt;"",S1817&lt;0)),"EXPIRED",IF(OR(AND(R1817&lt;&gt;"",R1817&lt;=Settings!$B$15),AND(S1817&lt;&gt;"",S1817&lt;=Settings!$B$15)),"EXPIRING SOON","OK")))</f>
        <v/>
      </c>
      <c r="U1817" s="24" t="str">
        <f aca="false">IF(AND(C1817="Own",Q1817="Active"),COUNTIFS($C$5:C1817,"Own",$Q$5:Q1817,"Active"),"")</f>
        <v/>
      </c>
      <c r="V1817" s="26" t="str">
        <f aca="false">IF(C1817&lt;&gt;"Own","",IF(K1817="Hourly",N1817,(L1817+M1817)/(Settings!$B$11*Settings!$B$12)))</f>
        <v/>
      </c>
    </row>
    <row r="1818" customFormat="false" ht="15" hidden="false" customHeight="false" outlineLevel="0" collapsed="false">
      <c r="R1818" s="25" t="str">
        <f aca="true">IF(I1818="","",I1818-TODAY())</f>
        <v/>
      </c>
      <c r="S1818" s="25" t="str">
        <f aca="true">IF(J1818="","",J1818-TODAY())</f>
        <v/>
      </c>
      <c r="T1818" s="24" t="str">
        <f aca="false">IF(A1818="","",IF(OR(AND(R1818&lt;&gt;"",R1818&lt;0),AND(S1818&lt;&gt;"",S1818&lt;0)),"EXPIRED",IF(OR(AND(R1818&lt;&gt;"",R1818&lt;=Settings!$B$15),AND(S1818&lt;&gt;"",S1818&lt;=Settings!$B$15)),"EXPIRING SOON","OK")))</f>
        <v/>
      </c>
      <c r="U1818" s="24" t="str">
        <f aca="false">IF(AND(C1818="Own",Q1818="Active"),COUNTIFS($C$5:C1818,"Own",$Q$5:Q1818,"Active"),"")</f>
        <v/>
      </c>
      <c r="V1818" s="26" t="str">
        <f aca="false">IF(C1818&lt;&gt;"Own","",IF(K1818="Hourly",N1818,(L1818+M1818)/(Settings!$B$11*Settings!$B$12)))</f>
        <v/>
      </c>
    </row>
    <row r="1819" customFormat="false" ht="15" hidden="false" customHeight="false" outlineLevel="0" collapsed="false">
      <c r="R1819" s="25" t="str">
        <f aca="true">IF(I1819="","",I1819-TODAY())</f>
        <v/>
      </c>
      <c r="S1819" s="25" t="str">
        <f aca="true">IF(J1819="","",J1819-TODAY())</f>
        <v/>
      </c>
      <c r="T1819" s="24" t="str">
        <f aca="false">IF(A1819="","",IF(OR(AND(R1819&lt;&gt;"",R1819&lt;0),AND(S1819&lt;&gt;"",S1819&lt;0)),"EXPIRED",IF(OR(AND(R1819&lt;&gt;"",R1819&lt;=Settings!$B$15),AND(S1819&lt;&gt;"",S1819&lt;=Settings!$B$15)),"EXPIRING SOON","OK")))</f>
        <v/>
      </c>
      <c r="U1819" s="24" t="str">
        <f aca="false">IF(AND(C1819="Own",Q1819="Active"),COUNTIFS($C$5:C1819,"Own",$Q$5:Q1819,"Active"),"")</f>
        <v/>
      </c>
      <c r="V1819" s="26" t="str">
        <f aca="false">IF(C1819&lt;&gt;"Own","",IF(K1819="Hourly",N1819,(L1819+M1819)/(Settings!$B$11*Settings!$B$12)))</f>
        <v/>
      </c>
    </row>
    <row r="1820" customFormat="false" ht="15" hidden="false" customHeight="false" outlineLevel="0" collapsed="false">
      <c r="R1820" s="25" t="str">
        <f aca="true">IF(I1820="","",I1820-TODAY())</f>
        <v/>
      </c>
      <c r="S1820" s="25" t="str">
        <f aca="true">IF(J1820="","",J1820-TODAY())</f>
        <v/>
      </c>
      <c r="T1820" s="24" t="str">
        <f aca="false">IF(A1820="","",IF(OR(AND(R1820&lt;&gt;"",R1820&lt;0),AND(S1820&lt;&gt;"",S1820&lt;0)),"EXPIRED",IF(OR(AND(R1820&lt;&gt;"",R1820&lt;=Settings!$B$15),AND(S1820&lt;&gt;"",S1820&lt;=Settings!$B$15)),"EXPIRING SOON","OK")))</f>
        <v/>
      </c>
      <c r="U1820" s="24" t="str">
        <f aca="false">IF(AND(C1820="Own",Q1820="Active"),COUNTIFS($C$5:C1820,"Own",$Q$5:Q1820,"Active"),"")</f>
        <v/>
      </c>
      <c r="V1820" s="26" t="str">
        <f aca="false">IF(C1820&lt;&gt;"Own","",IF(K1820="Hourly",N1820,(L1820+M1820)/(Settings!$B$11*Settings!$B$12)))</f>
        <v/>
      </c>
    </row>
    <row r="1821" customFormat="false" ht="15" hidden="false" customHeight="false" outlineLevel="0" collapsed="false">
      <c r="R1821" s="25" t="str">
        <f aca="true">IF(I1821="","",I1821-TODAY())</f>
        <v/>
      </c>
      <c r="S1821" s="25" t="str">
        <f aca="true">IF(J1821="","",J1821-TODAY())</f>
        <v/>
      </c>
      <c r="T1821" s="24" t="str">
        <f aca="false">IF(A1821="","",IF(OR(AND(R1821&lt;&gt;"",R1821&lt;0),AND(S1821&lt;&gt;"",S1821&lt;0)),"EXPIRED",IF(OR(AND(R1821&lt;&gt;"",R1821&lt;=Settings!$B$15),AND(S1821&lt;&gt;"",S1821&lt;=Settings!$B$15)),"EXPIRING SOON","OK")))</f>
        <v/>
      </c>
      <c r="U1821" s="24" t="str">
        <f aca="false">IF(AND(C1821="Own",Q1821="Active"),COUNTIFS($C$5:C1821,"Own",$Q$5:Q1821,"Active"),"")</f>
        <v/>
      </c>
      <c r="V1821" s="26" t="str">
        <f aca="false">IF(C1821&lt;&gt;"Own","",IF(K1821="Hourly",N1821,(L1821+M1821)/(Settings!$B$11*Settings!$B$12)))</f>
        <v/>
      </c>
    </row>
    <row r="1822" customFormat="false" ht="15" hidden="false" customHeight="false" outlineLevel="0" collapsed="false">
      <c r="R1822" s="25" t="str">
        <f aca="true">IF(I1822="","",I1822-TODAY())</f>
        <v/>
      </c>
      <c r="S1822" s="25" t="str">
        <f aca="true">IF(J1822="","",J1822-TODAY())</f>
        <v/>
      </c>
      <c r="T1822" s="24" t="str">
        <f aca="false">IF(A1822="","",IF(OR(AND(R1822&lt;&gt;"",R1822&lt;0),AND(S1822&lt;&gt;"",S1822&lt;0)),"EXPIRED",IF(OR(AND(R1822&lt;&gt;"",R1822&lt;=Settings!$B$15),AND(S1822&lt;&gt;"",S1822&lt;=Settings!$B$15)),"EXPIRING SOON","OK")))</f>
        <v/>
      </c>
      <c r="U1822" s="24" t="str">
        <f aca="false">IF(AND(C1822="Own",Q1822="Active"),COUNTIFS($C$5:C1822,"Own",$Q$5:Q1822,"Active"),"")</f>
        <v/>
      </c>
      <c r="V1822" s="26" t="str">
        <f aca="false">IF(C1822&lt;&gt;"Own","",IF(K1822="Hourly",N1822,(L1822+M1822)/(Settings!$B$11*Settings!$B$12)))</f>
        <v/>
      </c>
    </row>
    <row r="1823" customFormat="false" ht="15" hidden="false" customHeight="false" outlineLevel="0" collapsed="false">
      <c r="R1823" s="25" t="str">
        <f aca="true">IF(I1823="","",I1823-TODAY())</f>
        <v/>
      </c>
      <c r="S1823" s="25" t="str">
        <f aca="true">IF(J1823="","",J1823-TODAY())</f>
        <v/>
      </c>
      <c r="T1823" s="24" t="str">
        <f aca="false">IF(A1823="","",IF(OR(AND(R1823&lt;&gt;"",R1823&lt;0),AND(S1823&lt;&gt;"",S1823&lt;0)),"EXPIRED",IF(OR(AND(R1823&lt;&gt;"",R1823&lt;=Settings!$B$15),AND(S1823&lt;&gt;"",S1823&lt;=Settings!$B$15)),"EXPIRING SOON","OK")))</f>
        <v/>
      </c>
      <c r="U1823" s="24" t="str">
        <f aca="false">IF(AND(C1823="Own",Q1823="Active"),COUNTIFS($C$5:C1823,"Own",$Q$5:Q1823,"Active"),"")</f>
        <v/>
      </c>
      <c r="V1823" s="26" t="str">
        <f aca="false">IF(C1823&lt;&gt;"Own","",IF(K1823="Hourly",N1823,(L1823+M1823)/(Settings!$B$11*Settings!$B$12)))</f>
        <v/>
      </c>
    </row>
    <row r="1824" customFormat="false" ht="15" hidden="false" customHeight="false" outlineLevel="0" collapsed="false">
      <c r="R1824" s="25" t="str">
        <f aca="true">IF(I1824="","",I1824-TODAY())</f>
        <v/>
      </c>
      <c r="S1824" s="25" t="str">
        <f aca="true">IF(J1824="","",J1824-TODAY())</f>
        <v/>
      </c>
      <c r="T1824" s="24" t="str">
        <f aca="false">IF(A1824="","",IF(OR(AND(R1824&lt;&gt;"",R1824&lt;0),AND(S1824&lt;&gt;"",S1824&lt;0)),"EXPIRED",IF(OR(AND(R1824&lt;&gt;"",R1824&lt;=Settings!$B$15),AND(S1824&lt;&gt;"",S1824&lt;=Settings!$B$15)),"EXPIRING SOON","OK")))</f>
        <v/>
      </c>
      <c r="U1824" s="24" t="str">
        <f aca="false">IF(AND(C1824="Own",Q1824="Active"),COUNTIFS($C$5:C1824,"Own",$Q$5:Q1824,"Active"),"")</f>
        <v/>
      </c>
      <c r="V1824" s="26" t="str">
        <f aca="false">IF(C1824&lt;&gt;"Own","",IF(K1824="Hourly",N1824,(L1824+M1824)/(Settings!$B$11*Settings!$B$12)))</f>
        <v/>
      </c>
    </row>
    <row r="1825" customFormat="false" ht="15" hidden="false" customHeight="false" outlineLevel="0" collapsed="false">
      <c r="R1825" s="25" t="str">
        <f aca="true">IF(I1825="","",I1825-TODAY())</f>
        <v/>
      </c>
      <c r="S1825" s="25" t="str">
        <f aca="true">IF(J1825="","",J1825-TODAY())</f>
        <v/>
      </c>
      <c r="T1825" s="24" t="str">
        <f aca="false">IF(A1825="","",IF(OR(AND(R1825&lt;&gt;"",R1825&lt;0),AND(S1825&lt;&gt;"",S1825&lt;0)),"EXPIRED",IF(OR(AND(R1825&lt;&gt;"",R1825&lt;=Settings!$B$15),AND(S1825&lt;&gt;"",S1825&lt;=Settings!$B$15)),"EXPIRING SOON","OK")))</f>
        <v/>
      </c>
      <c r="U1825" s="24" t="str">
        <f aca="false">IF(AND(C1825="Own",Q1825="Active"),COUNTIFS($C$5:C1825,"Own",$Q$5:Q1825,"Active"),"")</f>
        <v/>
      </c>
      <c r="V1825" s="26" t="str">
        <f aca="false">IF(C1825&lt;&gt;"Own","",IF(K1825="Hourly",N1825,(L1825+M1825)/(Settings!$B$11*Settings!$B$12)))</f>
        <v/>
      </c>
    </row>
    <row r="1826" customFormat="false" ht="15" hidden="false" customHeight="false" outlineLevel="0" collapsed="false">
      <c r="R1826" s="25" t="str">
        <f aca="true">IF(I1826="","",I1826-TODAY())</f>
        <v/>
      </c>
      <c r="S1826" s="25" t="str">
        <f aca="true">IF(J1826="","",J1826-TODAY())</f>
        <v/>
      </c>
      <c r="T1826" s="24" t="str">
        <f aca="false">IF(A1826="","",IF(OR(AND(R1826&lt;&gt;"",R1826&lt;0),AND(S1826&lt;&gt;"",S1826&lt;0)),"EXPIRED",IF(OR(AND(R1826&lt;&gt;"",R1826&lt;=Settings!$B$15),AND(S1826&lt;&gt;"",S1826&lt;=Settings!$B$15)),"EXPIRING SOON","OK")))</f>
        <v/>
      </c>
      <c r="U1826" s="24" t="str">
        <f aca="false">IF(AND(C1826="Own",Q1826="Active"),COUNTIFS($C$5:C1826,"Own",$Q$5:Q1826,"Active"),"")</f>
        <v/>
      </c>
      <c r="V1826" s="26" t="str">
        <f aca="false">IF(C1826&lt;&gt;"Own","",IF(K1826="Hourly",N1826,(L1826+M1826)/(Settings!$B$11*Settings!$B$12)))</f>
        <v/>
      </c>
    </row>
    <row r="1827" customFormat="false" ht="15" hidden="false" customHeight="false" outlineLevel="0" collapsed="false">
      <c r="R1827" s="25" t="str">
        <f aca="true">IF(I1827="","",I1827-TODAY())</f>
        <v/>
      </c>
      <c r="S1827" s="25" t="str">
        <f aca="true">IF(J1827="","",J1827-TODAY())</f>
        <v/>
      </c>
      <c r="T1827" s="24" t="str">
        <f aca="false">IF(A1827="","",IF(OR(AND(R1827&lt;&gt;"",R1827&lt;0),AND(S1827&lt;&gt;"",S1827&lt;0)),"EXPIRED",IF(OR(AND(R1827&lt;&gt;"",R1827&lt;=Settings!$B$15),AND(S1827&lt;&gt;"",S1827&lt;=Settings!$B$15)),"EXPIRING SOON","OK")))</f>
        <v/>
      </c>
      <c r="U1827" s="24" t="str">
        <f aca="false">IF(AND(C1827="Own",Q1827="Active"),COUNTIFS($C$5:C1827,"Own",$Q$5:Q1827,"Active"),"")</f>
        <v/>
      </c>
      <c r="V1827" s="26" t="str">
        <f aca="false">IF(C1827&lt;&gt;"Own","",IF(K1827="Hourly",N1827,(L1827+M1827)/(Settings!$B$11*Settings!$B$12)))</f>
        <v/>
      </c>
    </row>
    <row r="1828" customFormat="false" ht="15" hidden="false" customHeight="false" outlineLevel="0" collapsed="false">
      <c r="R1828" s="25" t="str">
        <f aca="true">IF(I1828="","",I1828-TODAY())</f>
        <v/>
      </c>
      <c r="S1828" s="25" t="str">
        <f aca="true">IF(J1828="","",J1828-TODAY())</f>
        <v/>
      </c>
      <c r="T1828" s="24" t="str">
        <f aca="false">IF(A1828="","",IF(OR(AND(R1828&lt;&gt;"",R1828&lt;0),AND(S1828&lt;&gt;"",S1828&lt;0)),"EXPIRED",IF(OR(AND(R1828&lt;&gt;"",R1828&lt;=Settings!$B$15),AND(S1828&lt;&gt;"",S1828&lt;=Settings!$B$15)),"EXPIRING SOON","OK")))</f>
        <v/>
      </c>
      <c r="U1828" s="24" t="str">
        <f aca="false">IF(AND(C1828="Own",Q1828="Active"),COUNTIFS($C$5:C1828,"Own",$Q$5:Q1828,"Active"),"")</f>
        <v/>
      </c>
      <c r="V1828" s="26" t="str">
        <f aca="false">IF(C1828&lt;&gt;"Own","",IF(K1828="Hourly",N1828,(L1828+M1828)/(Settings!$B$11*Settings!$B$12)))</f>
        <v/>
      </c>
    </row>
    <row r="1829" customFormat="false" ht="15" hidden="false" customHeight="false" outlineLevel="0" collapsed="false">
      <c r="R1829" s="25" t="str">
        <f aca="true">IF(I1829="","",I1829-TODAY())</f>
        <v/>
      </c>
      <c r="S1829" s="25" t="str">
        <f aca="true">IF(J1829="","",J1829-TODAY())</f>
        <v/>
      </c>
      <c r="T1829" s="24" t="str">
        <f aca="false">IF(A1829="","",IF(OR(AND(R1829&lt;&gt;"",R1829&lt;0),AND(S1829&lt;&gt;"",S1829&lt;0)),"EXPIRED",IF(OR(AND(R1829&lt;&gt;"",R1829&lt;=Settings!$B$15),AND(S1829&lt;&gt;"",S1829&lt;=Settings!$B$15)),"EXPIRING SOON","OK")))</f>
        <v/>
      </c>
      <c r="U1829" s="24" t="str">
        <f aca="false">IF(AND(C1829="Own",Q1829="Active"),COUNTIFS($C$5:C1829,"Own",$Q$5:Q1829,"Active"),"")</f>
        <v/>
      </c>
      <c r="V1829" s="26" t="str">
        <f aca="false">IF(C1829&lt;&gt;"Own","",IF(K1829="Hourly",N1829,(L1829+M1829)/(Settings!$B$11*Settings!$B$12)))</f>
        <v/>
      </c>
    </row>
    <row r="1830" customFormat="false" ht="15" hidden="false" customHeight="false" outlineLevel="0" collapsed="false">
      <c r="R1830" s="25" t="str">
        <f aca="true">IF(I1830="","",I1830-TODAY())</f>
        <v/>
      </c>
      <c r="S1830" s="25" t="str">
        <f aca="true">IF(J1830="","",J1830-TODAY())</f>
        <v/>
      </c>
      <c r="T1830" s="24" t="str">
        <f aca="false">IF(A1830="","",IF(OR(AND(R1830&lt;&gt;"",R1830&lt;0),AND(S1830&lt;&gt;"",S1830&lt;0)),"EXPIRED",IF(OR(AND(R1830&lt;&gt;"",R1830&lt;=Settings!$B$15),AND(S1830&lt;&gt;"",S1830&lt;=Settings!$B$15)),"EXPIRING SOON","OK")))</f>
        <v/>
      </c>
      <c r="U1830" s="24" t="str">
        <f aca="false">IF(AND(C1830="Own",Q1830="Active"),COUNTIFS($C$5:C1830,"Own",$Q$5:Q1830,"Active"),"")</f>
        <v/>
      </c>
      <c r="V1830" s="26" t="str">
        <f aca="false">IF(C1830&lt;&gt;"Own","",IF(K1830="Hourly",N1830,(L1830+M1830)/(Settings!$B$11*Settings!$B$12)))</f>
        <v/>
      </c>
    </row>
    <row r="1831" customFormat="false" ht="15" hidden="false" customHeight="false" outlineLevel="0" collapsed="false">
      <c r="R1831" s="25" t="str">
        <f aca="true">IF(I1831="","",I1831-TODAY())</f>
        <v/>
      </c>
      <c r="S1831" s="25" t="str">
        <f aca="true">IF(J1831="","",J1831-TODAY())</f>
        <v/>
      </c>
      <c r="T1831" s="24" t="str">
        <f aca="false">IF(A1831="","",IF(OR(AND(R1831&lt;&gt;"",R1831&lt;0),AND(S1831&lt;&gt;"",S1831&lt;0)),"EXPIRED",IF(OR(AND(R1831&lt;&gt;"",R1831&lt;=Settings!$B$15),AND(S1831&lt;&gt;"",S1831&lt;=Settings!$B$15)),"EXPIRING SOON","OK")))</f>
        <v/>
      </c>
      <c r="U1831" s="24" t="str">
        <f aca="false">IF(AND(C1831="Own",Q1831="Active"),COUNTIFS($C$5:C1831,"Own",$Q$5:Q1831,"Active"),"")</f>
        <v/>
      </c>
      <c r="V1831" s="26" t="str">
        <f aca="false">IF(C1831&lt;&gt;"Own","",IF(K1831="Hourly",N1831,(L1831+M1831)/(Settings!$B$11*Settings!$B$12)))</f>
        <v/>
      </c>
    </row>
    <row r="1832" customFormat="false" ht="15" hidden="false" customHeight="false" outlineLevel="0" collapsed="false">
      <c r="R1832" s="25" t="str">
        <f aca="true">IF(I1832="","",I1832-TODAY())</f>
        <v/>
      </c>
      <c r="S1832" s="25" t="str">
        <f aca="true">IF(J1832="","",J1832-TODAY())</f>
        <v/>
      </c>
      <c r="T1832" s="24" t="str">
        <f aca="false">IF(A1832="","",IF(OR(AND(R1832&lt;&gt;"",R1832&lt;0),AND(S1832&lt;&gt;"",S1832&lt;0)),"EXPIRED",IF(OR(AND(R1832&lt;&gt;"",R1832&lt;=Settings!$B$15),AND(S1832&lt;&gt;"",S1832&lt;=Settings!$B$15)),"EXPIRING SOON","OK")))</f>
        <v/>
      </c>
      <c r="U1832" s="24" t="str">
        <f aca="false">IF(AND(C1832="Own",Q1832="Active"),COUNTIFS($C$5:C1832,"Own",$Q$5:Q1832,"Active"),"")</f>
        <v/>
      </c>
      <c r="V1832" s="26" t="str">
        <f aca="false">IF(C1832&lt;&gt;"Own","",IF(K1832="Hourly",N1832,(L1832+M1832)/(Settings!$B$11*Settings!$B$12)))</f>
        <v/>
      </c>
    </row>
    <row r="1833" customFormat="false" ht="15" hidden="false" customHeight="false" outlineLevel="0" collapsed="false">
      <c r="R1833" s="25" t="str">
        <f aca="true">IF(I1833="","",I1833-TODAY())</f>
        <v/>
      </c>
      <c r="S1833" s="25" t="str">
        <f aca="true">IF(J1833="","",J1833-TODAY())</f>
        <v/>
      </c>
      <c r="T1833" s="24" t="str">
        <f aca="false">IF(A1833="","",IF(OR(AND(R1833&lt;&gt;"",R1833&lt;0),AND(S1833&lt;&gt;"",S1833&lt;0)),"EXPIRED",IF(OR(AND(R1833&lt;&gt;"",R1833&lt;=Settings!$B$15),AND(S1833&lt;&gt;"",S1833&lt;=Settings!$B$15)),"EXPIRING SOON","OK")))</f>
        <v/>
      </c>
      <c r="U1833" s="24" t="str">
        <f aca="false">IF(AND(C1833="Own",Q1833="Active"),COUNTIFS($C$5:C1833,"Own",$Q$5:Q1833,"Active"),"")</f>
        <v/>
      </c>
      <c r="V1833" s="26" t="str">
        <f aca="false">IF(C1833&lt;&gt;"Own","",IF(K1833="Hourly",N1833,(L1833+M1833)/(Settings!$B$11*Settings!$B$12)))</f>
        <v/>
      </c>
    </row>
    <row r="1834" customFormat="false" ht="15" hidden="false" customHeight="false" outlineLevel="0" collapsed="false">
      <c r="R1834" s="25" t="str">
        <f aca="true">IF(I1834="","",I1834-TODAY())</f>
        <v/>
      </c>
      <c r="S1834" s="25" t="str">
        <f aca="true">IF(J1834="","",J1834-TODAY())</f>
        <v/>
      </c>
      <c r="T1834" s="24" t="str">
        <f aca="false">IF(A1834="","",IF(OR(AND(R1834&lt;&gt;"",R1834&lt;0),AND(S1834&lt;&gt;"",S1834&lt;0)),"EXPIRED",IF(OR(AND(R1834&lt;&gt;"",R1834&lt;=Settings!$B$15),AND(S1834&lt;&gt;"",S1834&lt;=Settings!$B$15)),"EXPIRING SOON","OK")))</f>
        <v/>
      </c>
      <c r="U1834" s="24" t="str">
        <f aca="false">IF(AND(C1834="Own",Q1834="Active"),COUNTIFS($C$5:C1834,"Own",$Q$5:Q1834,"Active"),"")</f>
        <v/>
      </c>
      <c r="V1834" s="26" t="str">
        <f aca="false">IF(C1834&lt;&gt;"Own","",IF(K1834="Hourly",N1834,(L1834+M1834)/(Settings!$B$11*Settings!$B$12)))</f>
        <v/>
      </c>
    </row>
    <row r="1835" customFormat="false" ht="15" hidden="false" customHeight="false" outlineLevel="0" collapsed="false">
      <c r="R1835" s="25" t="str">
        <f aca="true">IF(I1835="","",I1835-TODAY())</f>
        <v/>
      </c>
      <c r="S1835" s="25" t="str">
        <f aca="true">IF(J1835="","",J1835-TODAY())</f>
        <v/>
      </c>
      <c r="T1835" s="24" t="str">
        <f aca="false">IF(A1835="","",IF(OR(AND(R1835&lt;&gt;"",R1835&lt;0),AND(S1835&lt;&gt;"",S1835&lt;0)),"EXPIRED",IF(OR(AND(R1835&lt;&gt;"",R1835&lt;=Settings!$B$15),AND(S1835&lt;&gt;"",S1835&lt;=Settings!$B$15)),"EXPIRING SOON","OK")))</f>
        <v/>
      </c>
      <c r="U1835" s="24" t="str">
        <f aca="false">IF(AND(C1835="Own",Q1835="Active"),COUNTIFS($C$5:C1835,"Own",$Q$5:Q1835,"Active"),"")</f>
        <v/>
      </c>
      <c r="V1835" s="26" t="str">
        <f aca="false">IF(C1835&lt;&gt;"Own","",IF(K1835="Hourly",N1835,(L1835+M1835)/(Settings!$B$11*Settings!$B$12)))</f>
        <v/>
      </c>
    </row>
    <row r="1836" customFormat="false" ht="15" hidden="false" customHeight="false" outlineLevel="0" collapsed="false">
      <c r="R1836" s="25" t="str">
        <f aca="true">IF(I1836="","",I1836-TODAY())</f>
        <v/>
      </c>
      <c r="S1836" s="25" t="str">
        <f aca="true">IF(J1836="","",J1836-TODAY())</f>
        <v/>
      </c>
      <c r="T1836" s="24" t="str">
        <f aca="false">IF(A1836="","",IF(OR(AND(R1836&lt;&gt;"",R1836&lt;0),AND(S1836&lt;&gt;"",S1836&lt;0)),"EXPIRED",IF(OR(AND(R1836&lt;&gt;"",R1836&lt;=Settings!$B$15),AND(S1836&lt;&gt;"",S1836&lt;=Settings!$B$15)),"EXPIRING SOON","OK")))</f>
        <v/>
      </c>
      <c r="U1836" s="24" t="str">
        <f aca="false">IF(AND(C1836="Own",Q1836="Active"),COUNTIFS($C$5:C1836,"Own",$Q$5:Q1836,"Active"),"")</f>
        <v/>
      </c>
      <c r="V1836" s="26" t="str">
        <f aca="false">IF(C1836&lt;&gt;"Own","",IF(K1836="Hourly",N1836,(L1836+M1836)/(Settings!$B$11*Settings!$B$12)))</f>
        <v/>
      </c>
    </row>
    <row r="1837" customFormat="false" ht="15" hidden="false" customHeight="false" outlineLevel="0" collapsed="false">
      <c r="R1837" s="25" t="str">
        <f aca="true">IF(I1837="","",I1837-TODAY())</f>
        <v/>
      </c>
      <c r="S1837" s="25" t="str">
        <f aca="true">IF(J1837="","",J1837-TODAY())</f>
        <v/>
      </c>
      <c r="T1837" s="24" t="str">
        <f aca="false">IF(A1837="","",IF(OR(AND(R1837&lt;&gt;"",R1837&lt;0),AND(S1837&lt;&gt;"",S1837&lt;0)),"EXPIRED",IF(OR(AND(R1837&lt;&gt;"",R1837&lt;=Settings!$B$15),AND(S1837&lt;&gt;"",S1837&lt;=Settings!$B$15)),"EXPIRING SOON","OK")))</f>
        <v/>
      </c>
      <c r="U1837" s="24" t="str">
        <f aca="false">IF(AND(C1837="Own",Q1837="Active"),COUNTIFS($C$5:C1837,"Own",$Q$5:Q1837,"Active"),"")</f>
        <v/>
      </c>
      <c r="V1837" s="26" t="str">
        <f aca="false">IF(C1837&lt;&gt;"Own","",IF(K1837="Hourly",N1837,(L1837+M1837)/(Settings!$B$11*Settings!$B$12)))</f>
        <v/>
      </c>
    </row>
    <row r="1838" customFormat="false" ht="15" hidden="false" customHeight="false" outlineLevel="0" collapsed="false">
      <c r="R1838" s="25" t="str">
        <f aca="true">IF(I1838="","",I1838-TODAY())</f>
        <v/>
      </c>
      <c r="S1838" s="25" t="str">
        <f aca="true">IF(J1838="","",J1838-TODAY())</f>
        <v/>
      </c>
      <c r="T1838" s="24" t="str">
        <f aca="false">IF(A1838="","",IF(OR(AND(R1838&lt;&gt;"",R1838&lt;0),AND(S1838&lt;&gt;"",S1838&lt;0)),"EXPIRED",IF(OR(AND(R1838&lt;&gt;"",R1838&lt;=Settings!$B$15),AND(S1838&lt;&gt;"",S1838&lt;=Settings!$B$15)),"EXPIRING SOON","OK")))</f>
        <v/>
      </c>
      <c r="U1838" s="24" t="str">
        <f aca="false">IF(AND(C1838="Own",Q1838="Active"),COUNTIFS($C$5:C1838,"Own",$Q$5:Q1838,"Active"),"")</f>
        <v/>
      </c>
      <c r="V1838" s="26" t="str">
        <f aca="false">IF(C1838&lt;&gt;"Own","",IF(K1838="Hourly",N1838,(L1838+M1838)/(Settings!$B$11*Settings!$B$12)))</f>
        <v/>
      </c>
    </row>
    <row r="1839" customFormat="false" ht="15" hidden="false" customHeight="false" outlineLevel="0" collapsed="false">
      <c r="R1839" s="25" t="str">
        <f aca="true">IF(I1839="","",I1839-TODAY())</f>
        <v/>
      </c>
      <c r="S1839" s="25" t="str">
        <f aca="true">IF(J1839="","",J1839-TODAY())</f>
        <v/>
      </c>
      <c r="T1839" s="24" t="str">
        <f aca="false">IF(A1839="","",IF(OR(AND(R1839&lt;&gt;"",R1839&lt;0),AND(S1839&lt;&gt;"",S1839&lt;0)),"EXPIRED",IF(OR(AND(R1839&lt;&gt;"",R1839&lt;=Settings!$B$15),AND(S1839&lt;&gt;"",S1839&lt;=Settings!$B$15)),"EXPIRING SOON","OK")))</f>
        <v/>
      </c>
      <c r="U1839" s="24" t="str">
        <f aca="false">IF(AND(C1839="Own",Q1839="Active"),COUNTIFS($C$5:C1839,"Own",$Q$5:Q1839,"Active"),"")</f>
        <v/>
      </c>
      <c r="V1839" s="26" t="str">
        <f aca="false">IF(C1839&lt;&gt;"Own","",IF(K1839="Hourly",N1839,(L1839+M1839)/(Settings!$B$11*Settings!$B$12)))</f>
        <v/>
      </c>
    </row>
    <row r="1840" customFormat="false" ht="15" hidden="false" customHeight="false" outlineLevel="0" collapsed="false">
      <c r="R1840" s="25" t="str">
        <f aca="true">IF(I1840="","",I1840-TODAY())</f>
        <v/>
      </c>
      <c r="S1840" s="25" t="str">
        <f aca="true">IF(J1840="","",J1840-TODAY())</f>
        <v/>
      </c>
      <c r="T1840" s="24" t="str">
        <f aca="false">IF(A1840="","",IF(OR(AND(R1840&lt;&gt;"",R1840&lt;0),AND(S1840&lt;&gt;"",S1840&lt;0)),"EXPIRED",IF(OR(AND(R1840&lt;&gt;"",R1840&lt;=Settings!$B$15),AND(S1840&lt;&gt;"",S1840&lt;=Settings!$B$15)),"EXPIRING SOON","OK")))</f>
        <v/>
      </c>
      <c r="U1840" s="24" t="str">
        <f aca="false">IF(AND(C1840="Own",Q1840="Active"),COUNTIFS($C$5:C1840,"Own",$Q$5:Q1840,"Active"),"")</f>
        <v/>
      </c>
      <c r="V1840" s="26" t="str">
        <f aca="false">IF(C1840&lt;&gt;"Own","",IF(K1840="Hourly",N1840,(L1840+M1840)/(Settings!$B$11*Settings!$B$12)))</f>
        <v/>
      </c>
    </row>
    <row r="1841" customFormat="false" ht="15" hidden="false" customHeight="false" outlineLevel="0" collapsed="false">
      <c r="R1841" s="25" t="str">
        <f aca="true">IF(I1841="","",I1841-TODAY())</f>
        <v/>
      </c>
      <c r="S1841" s="25" t="str">
        <f aca="true">IF(J1841="","",J1841-TODAY())</f>
        <v/>
      </c>
      <c r="T1841" s="24" t="str">
        <f aca="false">IF(A1841="","",IF(OR(AND(R1841&lt;&gt;"",R1841&lt;0),AND(S1841&lt;&gt;"",S1841&lt;0)),"EXPIRED",IF(OR(AND(R1841&lt;&gt;"",R1841&lt;=Settings!$B$15),AND(S1841&lt;&gt;"",S1841&lt;=Settings!$B$15)),"EXPIRING SOON","OK")))</f>
        <v/>
      </c>
      <c r="U1841" s="24" t="str">
        <f aca="false">IF(AND(C1841="Own",Q1841="Active"),COUNTIFS($C$5:C1841,"Own",$Q$5:Q1841,"Active"),"")</f>
        <v/>
      </c>
      <c r="V1841" s="26" t="str">
        <f aca="false">IF(C1841&lt;&gt;"Own","",IF(K1841="Hourly",N1841,(L1841+M1841)/(Settings!$B$11*Settings!$B$12)))</f>
        <v/>
      </c>
    </row>
    <row r="1842" customFormat="false" ht="15" hidden="false" customHeight="false" outlineLevel="0" collapsed="false">
      <c r="R1842" s="25" t="str">
        <f aca="true">IF(I1842="","",I1842-TODAY())</f>
        <v/>
      </c>
      <c r="S1842" s="25" t="str">
        <f aca="true">IF(J1842="","",J1842-TODAY())</f>
        <v/>
      </c>
      <c r="T1842" s="24" t="str">
        <f aca="false">IF(A1842="","",IF(OR(AND(R1842&lt;&gt;"",R1842&lt;0),AND(S1842&lt;&gt;"",S1842&lt;0)),"EXPIRED",IF(OR(AND(R1842&lt;&gt;"",R1842&lt;=Settings!$B$15),AND(S1842&lt;&gt;"",S1842&lt;=Settings!$B$15)),"EXPIRING SOON","OK")))</f>
        <v/>
      </c>
      <c r="U1842" s="24" t="str">
        <f aca="false">IF(AND(C1842="Own",Q1842="Active"),COUNTIFS($C$5:C1842,"Own",$Q$5:Q1842,"Active"),"")</f>
        <v/>
      </c>
      <c r="V1842" s="26" t="str">
        <f aca="false">IF(C1842&lt;&gt;"Own","",IF(K1842="Hourly",N1842,(L1842+M1842)/(Settings!$B$11*Settings!$B$12)))</f>
        <v/>
      </c>
    </row>
    <row r="1843" customFormat="false" ht="15" hidden="false" customHeight="false" outlineLevel="0" collapsed="false">
      <c r="R1843" s="25" t="str">
        <f aca="true">IF(I1843="","",I1843-TODAY())</f>
        <v/>
      </c>
      <c r="S1843" s="25" t="str">
        <f aca="true">IF(J1843="","",J1843-TODAY())</f>
        <v/>
      </c>
      <c r="T1843" s="24" t="str">
        <f aca="false">IF(A1843="","",IF(OR(AND(R1843&lt;&gt;"",R1843&lt;0),AND(S1843&lt;&gt;"",S1843&lt;0)),"EXPIRED",IF(OR(AND(R1843&lt;&gt;"",R1843&lt;=Settings!$B$15),AND(S1843&lt;&gt;"",S1843&lt;=Settings!$B$15)),"EXPIRING SOON","OK")))</f>
        <v/>
      </c>
      <c r="U1843" s="24" t="str">
        <f aca="false">IF(AND(C1843="Own",Q1843="Active"),COUNTIFS($C$5:C1843,"Own",$Q$5:Q1843,"Active"),"")</f>
        <v/>
      </c>
      <c r="V1843" s="26" t="str">
        <f aca="false">IF(C1843&lt;&gt;"Own","",IF(K1843="Hourly",N1843,(L1843+M1843)/(Settings!$B$11*Settings!$B$12)))</f>
        <v/>
      </c>
    </row>
    <row r="1844" customFormat="false" ht="15" hidden="false" customHeight="false" outlineLevel="0" collapsed="false">
      <c r="R1844" s="25" t="str">
        <f aca="true">IF(I1844="","",I1844-TODAY())</f>
        <v/>
      </c>
      <c r="S1844" s="25" t="str">
        <f aca="true">IF(J1844="","",J1844-TODAY())</f>
        <v/>
      </c>
      <c r="T1844" s="24" t="str">
        <f aca="false">IF(A1844="","",IF(OR(AND(R1844&lt;&gt;"",R1844&lt;0),AND(S1844&lt;&gt;"",S1844&lt;0)),"EXPIRED",IF(OR(AND(R1844&lt;&gt;"",R1844&lt;=Settings!$B$15),AND(S1844&lt;&gt;"",S1844&lt;=Settings!$B$15)),"EXPIRING SOON","OK")))</f>
        <v/>
      </c>
      <c r="U1844" s="24" t="str">
        <f aca="false">IF(AND(C1844="Own",Q1844="Active"),COUNTIFS($C$5:C1844,"Own",$Q$5:Q1844,"Active"),"")</f>
        <v/>
      </c>
      <c r="V1844" s="26" t="str">
        <f aca="false">IF(C1844&lt;&gt;"Own","",IF(K1844="Hourly",N1844,(L1844+M1844)/(Settings!$B$11*Settings!$B$12)))</f>
        <v/>
      </c>
    </row>
    <row r="1845" customFormat="false" ht="15" hidden="false" customHeight="false" outlineLevel="0" collapsed="false">
      <c r="R1845" s="25" t="str">
        <f aca="true">IF(I1845="","",I1845-TODAY())</f>
        <v/>
      </c>
      <c r="S1845" s="25" t="str">
        <f aca="true">IF(J1845="","",J1845-TODAY())</f>
        <v/>
      </c>
      <c r="T1845" s="24" t="str">
        <f aca="false">IF(A1845="","",IF(OR(AND(R1845&lt;&gt;"",R1845&lt;0),AND(S1845&lt;&gt;"",S1845&lt;0)),"EXPIRED",IF(OR(AND(R1845&lt;&gt;"",R1845&lt;=Settings!$B$15),AND(S1845&lt;&gt;"",S1845&lt;=Settings!$B$15)),"EXPIRING SOON","OK")))</f>
        <v/>
      </c>
      <c r="U1845" s="24" t="str">
        <f aca="false">IF(AND(C1845="Own",Q1845="Active"),COUNTIFS($C$5:C1845,"Own",$Q$5:Q1845,"Active"),"")</f>
        <v/>
      </c>
      <c r="V1845" s="26" t="str">
        <f aca="false">IF(C1845&lt;&gt;"Own","",IF(K1845="Hourly",N1845,(L1845+M1845)/(Settings!$B$11*Settings!$B$12)))</f>
        <v/>
      </c>
    </row>
    <row r="1846" customFormat="false" ht="15" hidden="false" customHeight="false" outlineLevel="0" collapsed="false">
      <c r="R1846" s="25" t="str">
        <f aca="true">IF(I1846="","",I1846-TODAY())</f>
        <v/>
      </c>
      <c r="S1846" s="25" t="str">
        <f aca="true">IF(J1846="","",J1846-TODAY())</f>
        <v/>
      </c>
      <c r="T1846" s="24" t="str">
        <f aca="false">IF(A1846="","",IF(OR(AND(R1846&lt;&gt;"",R1846&lt;0),AND(S1846&lt;&gt;"",S1846&lt;0)),"EXPIRED",IF(OR(AND(R1846&lt;&gt;"",R1846&lt;=Settings!$B$15),AND(S1846&lt;&gt;"",S1846&lt;=Settings!$B$15)),"EXPIRING SOON","OK")))</f>
        <v/>
      </c>
      <c r="U1846" s="24" t="str">
        <f aca="false">IF(AND(C1846="Own",Q1846="Active"),COUNTIFS($C$5:C1846,"Own",$Q$5:Q1846,"Active"),"")</f>
        <v/>
      </c>
      <c r="V1846" s="26" t="str">
        <f aca="false">IF(C1846&lt;&gt;"Own","",IF(K1846="Hourly",N1846,(L1846+M1846)/(Settings!$B$11*Settings!$B$12)))</f>
        <v/>
      </c>
    </row>
    <row r="1847" customFormat="false" ht="15" hidden="false" customHeight="false" outlineLevel="0" collapsed="false">
      <c r="R1847" s="25" t="str">
        <f aca="true">IF(I1847="","",I1847-TODAY())</f>
        <v/>
      </c>
      <c r="S1847" s="25" t="str">
        <f aca="true">IF(J1847="","",J1847-TODAY())</f>
        <v/>
      </c>
      <c r="T1847" s="24" t="str">
        <f aca="false">IF(A1847="","",IF(OR(AND(R1847&lt;&gt;"",R1847&lt;0),AND(S1847&lt;&gt;"",S1847&lt;0)),"EXPIRED",IF(OR(AND(R1847&lt;&gt;"",R1847&lt;=Settings!$B$15),AND(S1847&lt;&gt;"",S1847&lt;=Settings!$B$15)),"EXPIRING SOON","OK")))</f>
        <v/>
      </c>
      <c r="U1847" s="24" t="str">
        <f aca="false">IF(AND(C1847="Own",Q1847="Active"),COUNTIFS($C$5:C1847,"Own",$Q$5:Q1847,"Active"),"")</f>
        <v/>
      </c>
      <c r="V1847" s="26" t="str">
        <f aca="false">IF(C1847&lt;&gt;"Own","",IF(K1847="Hourly",N1847,(L1847+M1847)/(Settings!$B$11*Settings!$B$12)))</f>
        <v/>
      </c>
    </row>
    <row r="1848" customFormat="false" ht="15" hidden="false" customHeight="false" outlineLevel="0" collapsed="false">
      <c r="R1848" s="25" t="str">
        <f aca="true">IF(I1848="","",I1848-TODAY())</f>
        <v/>
      </c>
      <c r="S1848" s="25" t="str">
        <f aca="true">IF(J1848="","",J1848-TODAY())</f>
        <v/>
      </c>
      <c r="T1848" s="24" t="str">
        <f aca="false">IF(A1848="","",IF(OR(AND(R1848&lt;&gt;"",R1848&lt;0),AND(S1848&lt;&gt;"",S1848&lt;0)),"EXPIRED",IF(OR(AND(R1848&lt;&gt;"",R1848&lt;=Settings!$B$15),AND(S1848&lt;&gt;"",S1848&lt;=Settings!$B$15)),"EXPIRING SOON","OK")))</f>
        <v/>
      </c>
      <c r="U1848" s="24" t="str">
        <f aca="false">IF(AND(C1848="Own",Q1848="Active"),COUNTIFS($C$5:C1848,"Own",$Q$5:Q1848,"Active"),"")</f>
        <v/>
      </c>
      <c r="V1848" s="26" t="str">
        <f aca="false">IF(C1848&lt;&gt;"Own","",IF(K1848="Hourly",N1848,(L1848+M1848)/(Settings!$B$11*Settings!$B$12)))</f>
        <v/>
      </c>
    </row>
    <row r="1849" customFormat="false" ht="15" hidden="false" customHeight="false" outlineLevel="0" collapsed="false">
      <c r="R1849" s="25" t="str">
        <f aca="true">IF(I1849="","",I1849-TODAY())</f>
        <v/>
      </c>
      <c r="S1849" s="25" t="str">
        <f aca="true">IF(J1849="","",J1849-TODAY())</f>
        <v/>
      </c>
      <c r="T1849" s="24" t="str">
        <f aca="false">IF(A1849="","",IF(OR(AND(R1849&lt;&gt;"",R1849&lt;0),AND(S1849&lt;&gt;"",S1849&lt;0)),"EXPIRED",IF(OR(AND(R1849&lt;&gt;"",R1849&lt;=Settings!$B$15),AND(S1849&lt;&gt;"",S1849&lt;=Settings!$B$15)),"EXPIRING SOON","OK")))</f>
        <v/>
      </c>
      <c r="U1849" s="24" t="str">
        <f aca="false">IF(AND(C1849="Own",Q1849="Active"),COUNTIFS($C$5:C1849,"Own",$Q$5:Q1849,"Active"),"")</f>
        <v/>
      </c>
      <c r="V1849" s="26" t="str">
        <f aca="false">IF(C1849&lt;&gt;"Own","",IF(K1849="Hourly",N1849,(L1849+M1849)/(Settings!$B$11*Settings!$B$12)))</f>
        <v/>
      </c>
    </row>
    <row r="1850" customFormat="false" ht="15" hidden="false" customHeight="false" outlineLevel="0" collapsed="false">
      <c r="R1850" s="25" t="str">
        <f aca="true">IF(I1850="","",I1850-TODAY())</f>
        <v/>
      </c>
      <c r="S1850" s="25" t="str">
        <f aca="true">IF(J1850="","",J1850-TODAY())</f>
        <v/>
      </c>
      <c r="T1850" s="24" t="str">
        <f aca="false">IF(A1850="","",IF(OR(AND(R1850&lt;&gt;"",R1850&lt;0),AND(S1850&lt;&gt;"",S1850&lt;0)),"EXPIRED",IF(OR(AND(R1850&lt;&gt;"",R1850&lt;=Settings!$B$15),AND(S1850&lt;&gt;"",S1850&lt;=Settings!$B$15)),"EXPIRING SOON","OK")))</f>
        <v/>
      </c>
      <c r="U1850" s="24" t="str">
        <f aca="false">IF(AND(C1850="Own",Q1850="Active"),COUNTIFS($C$5:C1850,"Own",$Q$5:Q1850,"Active"),"")</f>
        <v/>
      </c>
      <c r="V1850" s="26" t="str">
        <f aca="false">IF(C1850&lt;&gt;"Own","",IF(K1850="Hourly",N1850,(L1850+M1850)/(Settings!$B$11*Settings!$B$12)))</f>
        <v/>
      </c>
    </row>
    <row r="1851" customFormat="false" ht="15" hidden="false" customHeight="false" outlineLevel="0" collapsed="false">
      <c r="R1851" s="25" t="str">
        <f aca="true">IF(I1851="","",I1851-TODAY())</f>
        <v/>
      </c>
      <c r="S1851" s="25" t="str">
        <f aca="true">IF(J1851="","",J1851-TODAY())</f>
        <v/>
      </c>
      <c r="T1851" s="24" t="str">
        <f aca="false">IF(A1851="","",IF(OR(AND(R1851&lt;&gt;"",R1851&lt;0),AND(S1851&lt;&gt;"",S1851&lt;0)),"EXPIRED",IF(OR(AND(R1851&lt;&gt;"",R1851&lt;=Settings!$B$15),AND(S1851&lt;&gt;"",S1851&lt;=Settings!$B$15)),"EXPIRING SOON","OK")))</f>
        <v/>
      </c>
      <c r="U1851" s="24" t="str">
        <f aca="false">IF(AND(C1851="Own",Q1851="Active"),COUNTIFS($C$5:C1851,"Own",$Q$5:Q1851,"Active"),"")</f>
        <v/>
      </c>
      <c r="V1851" s="26" t="str">
        <f aca="false">IF(C1851&lt;&gt;"Own","",IF(K1851="Hourly",N1851,(L1851+M1851)/(Settings!$B$11*Settings!$B$12)))</f>
        <v/>
      </c>
    </row>
    <row r="1852" customFormat="false" ht="15" hidden="false" customHeight="false" outlineLevel="0" collapsed="false">
      <c r="R1852" s="25" t="str">
        <f aca="true">IF(I1852="","",I1852-TODAY())</f>
        <v/>
      </c>
      <c r="S1852" s="25" t="str">
        <f aca="true">IF(J1852="","",J1852-TODAY())</f>
        <v/>
      </c>
      <c r="T1852" s="24" t="str">
        <f aca="false">IF(A1852="","",IF(OR(AND(R1852&lt;&gt;"",R1852&lt;0),AND(S1852&lt;&gt;"",S1852&lt;0)),"EXPIRED",IF(OR(AND(R1852&lt;&gt;"",R1852&lt;=Settings!$B$15),AND(S1852&lt;&gt;"",S1852&lt;=Settings!$B$15)),"EXPIRING SOON","OK")))</f>
        <v/>
      </c>
      <c r="U1852" s="24" t="str">
        <f aca="false">IF(AND(C1852="Own",Q1852="Active"),COUNTIFS($C$5:C1852,"Own",$Q$5:Q1852,"Active"),"")</f>
        <v/>
      </c>
      <c r="V1852" s="26" t="str">
        <f aca="false">IF(C1852&lt;&gt;"Own","",IF(K1852="Hourly",N1852,(L1852+M1852)/(Settings!$B$11*Settings!$B$12)))</f>
        <v/>
      </c>
    </row>
    <row r="1853" customFormat="false" ht="15" hidden="false" customHeight="false" outlineLevel="0" collapsed="false">
      <c r="R1853" s="25" t="str">
        <f aca="true">IF(I1853="","",I1853-TODAY())</f>
        <v/>
      </c>
      <c r="S1853" s="25" t="str">
        <f aca="true">IF(J1853="","",J1853-TODAY())</f>
        <v/>
      </c>
      <c r="T1853" s="24" t="str">
        <f aca="false">IF(A1853="","",IF(OR(AND(R1853&lt;&gt;"",R1853&lt;0),AND(S1853&lt;&gt;"",S1853&lt;0)),"EXPIRED",IF(OR(AND(R1853&lt;&gt;"",R1853&lt;=Settings!$B$15),AND(S1853&lt;&gt;"",S1853&lt;=Settings!$B$15)),"EXPIRING SOON","OK")))</f>
        <v/>
      </c>
      <c r="U1853" s="24" t="str">
        <f aca="false">IF(AND(C1853="Own",Q1853="Active"),COUNTIFS($C$5:C1853,"Own",$Q$5:Q1853,"Active"),"")</f>
        <v/>
      </c>
      <c r="V1853" s="26" t="str">
        <f aca="false">IF(C1853&lt;&gt;"Own","",IF(K1853="Hourly",N1853,(L1853+M1853)/(Settings!$B$11*Settings!$B$12)))</f>
        <v/>
      </c>
    </row>
    <row r="1854" customFormat="false" ht="15" hidden="false" customHeight="false" outlineLevel="0" collapsed="false">
      <c r="R1854" s="25" t="str">
        <f aca="true">IF(I1854="","",I1854-TODAY())</f>
        <v/>
      </c>
      <c r="S1854" s="25" t="str">
        <f aca="true">IF(J1854="","",J1854-TODAY())</f>
        <v/>
      </c>
      <c r="T1854" s="24" t="str">
        <f aca="false">IF(A1854="","",IF(OR(AND(R1854&lt;&gt;"",R1854&lt;0),AND(S1854&lt;&gt;"",S1854&lt;0)),"EXPIRED",IF(OR(AND(R1854&lt;&gt;"",R1854&lt;=Settings!$B$15),AND(S1854&lt;&gt;"",S1854&lt;=Settings!$B$15)),"EXPIRING SOON","OK")))</f>
        <v/>
      </c>
      <c r="U1854" s="24" t="str">
        <f aca="false">IF(AND(C1854="Own",Q1854="Active"),COUNTIFS($C$5:C1854,"Own",$Q$5:Q1854,"Active"),"")</f>
        <v/>
      </c>
      <c r="V1854" s="26" t="str">
        <f aca="false">IF(C1854&lt;&gt;"Own","",IF(K1854="Hourly",N1854,(L1854+M1854)/(Settings!$B$11*Settings!$B$12)))</f>
        <v/>
      </c>
    </row>
    <row r="1855" customFormat="false" ht="15" hidden="false" customHeight="false" outlineLevel="0" collapsed="false">
      <c r="R1855" s="25" t="str">
        <f aca="true">IF(I1855="","",I1855-TODAY())</f>
        <v/>
      </c>
      <c r="S1855" s="25" t="str">
        <f aca="true">IF(J1855="","",J1855-TODAY())</f>
        <v/>
      </c>
      <c r="T1855" s="24" t="str">
        <f aca="false">IF(A1855="","",IF(OR(AND(R1855&lt;&gt;"",R1855&lt;0),AND(S1855&lt;&gt;"",S1855&lt;0)),"EXPIRED",IF(OR(AND(R1855&lt;&gt;"",R1855&lt;=Settings!$B$15),AND(S1855&lt;&gt;"",S1855&lt;=Settings!$B$15)),"EXPIRING SOON","OK")))</f>
        <v/>
      </c>
      <c r="U1855" s="24" t="str">
        <f aca="false">IF(AND(C1855="Own",Q1855="Active"),COUNTIFS($C$5:C1855,"Own",$Q$5:Q1855,"Active"),"")</f>
        <v/>
      </c>
      <c r="V1855" s="26" t="str">
        <f aca="false">IF(C1855&lt;&gt;"Own","",IF(K1855="Hourly",N1855,(L1855+M1855)/(Settings!$B$11*Settings!$B$12)))</f>
        <v/>
      </c>
    </row>
    <row r="1856" customFormat="false" ht="15" hidden="false" customHeight="false" outlineLevel="0" collapsed="false">
      <c r="R1856" s="25" t="str">
        <f aca="true">IF(I1856="","",I1856-TODAY())</f>
        <v/>
      </c>
      <c r="S1856" s="25" t="str">
        <f aca="true">IF(J1856="","",J1856-TODAY())</f>
        <v/>
      </c>
      <c r="T1856" s="24" t="str">
        <f aca="false">IF(A1856="","",IF(OR(AND(R1856&lt;&gt;"",R1856&lt;0),AND(S1856&lt;&gt;"",S1856&lt;0)),"EXPIRED",IF(OR(AND(R1856&lt;&gt;"",R1856&lt;=Settings!$B$15),AND(S1856&lt;&gt;"",S1856&lt;=Settings!$B$15)),"EXPIRING SOON","OK")))</f>
        <v/>
      </c>
      <c r="U1856" s="24" t="str">
        <f aca="false">IF(AND(C1856="Own",Q1856="Active"),COUNTIFS($C$5:C1856,"Own",$Q$5:Q1856,"Active"),"")</f>
        <v/>
      </c>
      <c r="V1856" s="26" t="str">
        <f aca="false">IF(C1856&lt;&gt;"Own","",IF(K1856="Hourly",N1856,(L1856+M1856)/(Settings!$B$11*Settings!$B$12)))</f>
        <v/>
      </c>
    </row>
    <row r="1857" customFormat="false" ht="15" hidden="false" customHeight="false" outlineLevel="0" collapsed="false">
      <c r="R1857" s="25" t="str">
        <f aca="true">IF(I1857="","",I1857-TODAY())</f>
        <v/>
      </c>
      <c r="S1857" s="25" t="str">
        <f aca="true">IF(J1857="","",J1857-TODAY())</f>
        <v/>
      </c>
      <c r="T1857" s="24" t="str">
        <f aca="false">IF(A1857="","",IF(OR(AND(R1857&lt;&gt;"",R1857&lt;0),AND(S1857&lt;&gt;"",S1857&lt;0)),"EXPIRED",IF(OR(AND(R1857&lt;&gt;"",R1857&lt;=Settings!$B$15),AND(S1857&lt;&gt;"",S1857&lt;=Settings!$B$15)),"EXPIRING SOON","OK")))</f>
        <v/>
      </c>
      <c r="U1857" s="24" t="str">
        <f aca="false">IF(AND(C1857="Own",Q1857="Active"),COUNTIFS($C$5:C1857,"Own",$Q$5:Q1857,"Active"),"")</f>
        <v/>
      </c>
      <c r="V1857" s="26" t="str">
        <f aca="false">IF(C1857&lt;&gt;"Own","",IF(K1857="Hourly",N1857,(L1857+M1857)/(Settings!$B$11*Settings!$B$12)))</f>
        <v/>
      </c>
    </row>
    <row r="1858" customFormat="false" ht="15" hidden="false" customHeight="false" outlineLevel="0" collapsed="false">
      <c r="R1858" s="25" t="str">
        <f aca="true">IF(I1858="","",I1858-TODAY())</f>
        <v/>
      </c>
      <c r="S1858" s="25" t="str">
        <f aca="true">IF(J1858="","",J1858-TODAY())</f>
        <v/>
      </c>
      <c r="T1858" s="24" t="str">
        <f aca="false">IF(A1858="","",IF(OR(AND(R1858&lt;&gt;"",R1858&lt;0),AND(S1858&lt;&gt;"",S1858&lt;0)),"EXPIRED",IF(OR(AND(R1858&lt;&gt;"",R1858&lt;=Settings!$B$15),AND(S1858&lt;&gt;"",S1858&lt;=Settings!$B$15)),"EXPIRING SOON","OK")))</f>
        <v/>
      </c>
      <c r="U1858" s="24" t="str">
        <f aca="false">IF(AND(C1858="Own",Q1858="Active"),COUNTIFS($C$5:C1858,"Own",$Q$5:Q1858,"Active"),"")</f>
        <v/>
      </c>
      <c r="V1858" s="26" t="str">
        <f aca="false">IF(C1858&lt;&gt;"Own","",IF(K1858="Hourly",N1858,(L1858+M1858)/(Settings!$B$11*Settings!$B$12)))</f>
        <v/>
      </c>
    </row>
    <row r="1859" customFormat="false" ht="15" hidden="false" customHeight="false" outlineLevel="0" collapsed="false">
      <c r="R1859" s="25" t="str">
        <f aca="true">IF(I1859="","",I1859-TODAY())</f>
        <v/>
      </c>
      <c r="S1859" s="25" t="str">
        <f aca="true">IF(J1859="","",J1859-TODAY())</f>
        <v/>
      </c>
      <c r="T1859" s="24" t="str">
        <f aca="false">IF(A1859="","",IF(OR(AND(R1859&lt;&gt;"",R1859&lt;0),AND(S1859&lt;&gt;"",S1859&lt;0)),"EXPIRED",IF(OR(AND(R1859&lt;&gt;"",R1859&lt;=Settings!$B$15),AND(S1859&lt;&gt;"",S1859&lt;=Settings!$B$15)),"EXPIRING SOON","OK")))</f>
        <v/>
      </c>
      <c r="U1859" s="24" t="str">
        <f aca="false">IF(AND(C1859="Own",Q1859="Active"),COUNTIFS($C$5:C1859,"Own",$Q$5:Q1859,"Active"),"")</f>
        <v/>
      </c>
      <c r="V1859" s="26" t="str">
        <f aca="false">IF(C1859&lt;&gt;"Own","",IF(K1859="Hourly",N1859,(L1859+M1859)/(Settings!$B$11*Settings!$B$12)))</f>
        <v/>
      </c>
    </row>
    <row r="1860" customFormat="false" ht="15" hidden="false" customHeight="false" outlineLevel="0" collapsed="false">
      <c r="R1860" s="25" t="str">
        <f aca="true">IF(I1860="","",I1860-TODAY())</f>
        <v/>
      </c>
      <c r="S1860" s="25" t="str">
        <f aca="true">IF(J1860="","",J1860-TODAY())</f>
        <v/>
      </c>
      <c r="T1860" s="24" t="str">
        <f aca="false">IF(A1860="","",IF(OR(AND(R1860&lt;&gt;"",R1860&lt;0),AND(S1860&lt;&gt;"",S1860&lt;0)),"EXPIRED",IF(OR(AND(R1860&lt;&gt;"",R1860&lt;=Settings!$B$15),AND(S1860&lt;&gt;"",S1860&lt;=Settings!$B$15)),"EXPIRING SOON","OK")))</f>
        <v/>
      </c>
      <c r="U1860" s="24" t="str">
        <f aca="false">IF(AND(C1860="Own",Q1860="Active"),COUNTIFS($C$5:C1860,"Own",$Q$5:Q1860,"Active"),"")</f>
        <v/>
      </c>
      <c r="V1860" s="26" t="str">
        <f aca="false">IF(C1860&lt;&gt;"Own","",IF(K1860="Hourly",N1860,(L1860+M1860)/(Settings!$B$11*Settings!$B$12)))</f>
        <v/>
      </c>
    </row>
    <row r="1861" customFormat="false" ht="15" hidden="false" customHeight="false" outlineLevel="0" collapsed="false">
      <c r="R1861" s="25" t="str">
        <f aca="true">IF(I1861="","",I1861-TODAY())</f>
        <v/>
      </c>
      <c r="S1861" s="25" t="str">
        <f aca="true">IF(J1861="","",J1861-TODAY())</f>
        <v/>
      </c>
      <c r="T1861" s="24" t="str">
        <f aca="false">IF(A1861="","",IF(OR(AND(R1861&lt;&gt;"",R1861&lt;0),AND(S1861&lt;&gt;"",S1861&lt;0)),"EXPIRED",IF(OR(AND(R1861&lt;&gt;"",R1861&lt;=Settings!$B$15),AND(S1861&lt;&gt;"",S1861&lt;=Settings!$B$15)),"EXPIRING SOON","OK")))</f>
        <v/>
      </c>
      <c r="U1861" s="24" t="str">
        <f aca="false">IF(AND(C1861="Own",Q1861="Active"),COUNTIFS($C$5:C1861,"Own",$Q$5:Q1861,"Active"),"")</f>
        <v/>
      </c>
      <c r="V1861" s="26" t="str">
        <f aca="false">IF(C1861&lt;&gt;"Own","",IF(K1861="Hourly",N1861,(L1861+M1861)/(Settings!$B$11*Settings!$B$12)))</f>
        <v/>
      </c>
    </row>
    <row r="1862" customFormat="false" ht="15" hidden="false" customHeight="false" outlineLevel="0" collapsed="false">
      <c r="R1862" s="25" t="str">
        <f aca="true">IF(I1862="","",I1862-TODAY())</f>
        <v/>
      </c>
      <c r="S1862" s="25" t="str">
        <f aca="true">IF(J1862="","",J1862-TODAY())</f>
        <v/>
      </c>
      <c r="T1862" s="24" t="str">
        <f aca="false">IF(A1862="","",IF(OR(AND(R1862&lt;&gt;"",R1862&lt;0),AND(S1862&lt;&gt;"",S1862&lt;0)),"EXPIRED",IF(OR(AND(R1862&lt;&gt;"",R1862&lt;=Settings!$B$15),AND(S1862&lt;&gt;"",S1862&lt;=Settings!$B$15)),"EXPIRING SOON","OK")))</f>
        <v/>
      </c>
      <c r="U1862" s="24" t="str">
        <f aca="false">IF(AND(C1862="Own",Q1862="Active"),COUNTIFS($C$5:C1862,"Own",$Q$5:Q1862,"Active"),"")</f>
        <v/>
      </c>
      <c r="V1862" s="26" t="str">
        <f aca="false">IF(C1862&lt;&gt;"Own","",IF(K1862="Hourly",N1862,(L1862+M1862)/(Settings!$B$11*Settings!$B$12)))</f>
        <v/>
      </c>
    </row>
    <row r="1863" customFormat="false" ht="15" hidden="false" customHeight="false" outlineLevel="0" collapsed="false">
      <c r="R1863" s="25" t="str">
        <f aca="true">IF(I1863="","",I1863-TODAY())</f>
        <v/>
      </c>
      <c r="S1863" s="25" t="str">
        <f aca="true">IF(J1863="","",J1863-TODAY())</f>
        <v/>
      </c>
      <c r="T1863" s="24" t="str">
        <f aca="false">IF(A1863="","",IF(OR(AND(R1863&lt;&gt;"",R1863&lt;0),AND(S1863&lt;&gt;"",S1863&lt;0)),"EXPIRED",IF(OR(AND(R1863&lt;&gt;"",R1863&lt;=Settings!$B$15),AND(S1863&lt;&gt;"",S1863&lt;=Settings!$B$15)),"EXPIRING SOON","OK")))</f>
        <v/>
      </c>
      <c r="U1863" s="24" t="str">
        <f aca="false">IF(AND(C1863="Own",Q1863="Active"),COUNTIFS($C$5:C1863,"Own",$Q$5:Q1863,"Active"),"")</f>
        <v/>
      </c>
      <c r="V1863" s="26" t="str">
        <f aca="false">IF(C1863&lt;&gt;"Own","",IF(K1863="Hourly",N1863,(L1863+M1863)/(Settings!$B$11*Settings!$B$12)))</f>
        <v/>
      </c>
    </row>
    <row r="1864" customFormat="false" ht="15" hidden="false" customHeight="false" outlineLevel="0" collapsed="false">
      <c r="R1864" s="25" t="str">
        <f aca="true">IF(I1864="","",I1864-TODAY())</f>
        <v/>
      </c>
      <c r="S1864" s="25" t="str">
        <f aca="true">IF(J1864="","",J1864-TODAY())</f>
        <v/>
      </c>
      <c r="T1864" s="24" t="str">
        <f aca="false">IF(A1864="","",IF(OR(AND(R1864&lt;&gt;"",R1864&lt;0),AND(S1864&lt;&gt;"",S1864&lt;0)),"EXPIRED",IF(OR(AND(R1864&lt;&gt;"",R1864&lt;=Settings!$B$15),AND(S1864&lt;&gt;"",S1864&lt;=Settings!$B$15)),"EXPIRING SOON","OK")))</f>
        <v/>
      </c>
      <c r="U1864" s="24" t="str">
        <f aca="false">IF(AND(C1864="Own",Q1864="Active"),COUNTIFS($C$5:C1864,"Own",$Q$5:Q1864,"Active"),"")</f>
        <v/>
      </c>
      <c r="V1864" s="26" t="str">
        <f aca="false">IF(C1864&lt;&gt;"Own","",IF(K1864="Hourly",N1864,(L1864+M1864)/(Settings!$B$11*Settings!$B$12)))</f>
        <v/>
      </c>
    </row>
    <row r="1865" customFormat="false" ht="15" hidden="false" customHeight="false" outlineLevel="0" collapsed="false">
      <c r="R1865" s="25" t="str">
        <f aca="true">IF(I1865="","",I1865-TODAY())</f>
        <v/>
      </c>
      <c r="S1865" s="25" t="str">
        <f aca="true">IF(J1865="","",J1865-TODAY())</f>
        <v/>
      </c>
      <c r="T1865" s="24" t="str">
        <f aca="false">IF(A1865="","",IF(OR(AND(R1865&lt;&gt;"",R1865&lt;0),AND(S1865&lt;&gt;"",S1865&lt;0)),"EXPIRED",IF(OR(AND(R1865&lt;&gt;"",R1865&lt;=Settings!$B$15),AND(S1865&lt;&gt;"",S1865&lt;=Settings!$B$15)),"EXPIRING SOON","OK")))</f>
        <v/>
      </c>
      <c r="U1865" s="24" t="str">
        <f aca="false">IF(AND(C1865="Own",Q1865="Active"),COUNTIFS($C$5:C1865,"Own",$Q$5:Q1865,"Active"),"")</f>
        <v/>
      </c>
      <c r="V1865" s="26" t="str">
        <f aca="false">IF(C1865&lt;&gt;"Own","",IF(K1865="Hourly",N1865,(L1865+M1865)/(Settings!$B$11*Settings!$B$12)))</f>
        <v/>
      </c>
    </row>
    <row r="1866" customFormat="false" ht="15" hidden="false" customHeight="false" outlineLevel="0" collapsed="false">
      <c r="R1866" s="25" t="str">
        <f aca="true">IF(I1866="","",I1866-TODAY())</f>
        <v/>
      </c>
      <c r="S1866" s="25" t="str">
        <f aca="true">IF(J1866="","",J1866-TODAY())</f>
        <v/>
      </c>
      <c r="T1866" s="24" t="str">
        <f aca="false">IF(A1866="","",IF(OR(AND(R1866&lt;&gt;"",R1866&lt;0),AND(S1866&lt;&gt;"",S1866&lt;0)),"EXPIRED",IF(OR(AND(R1866&lt;&gt;"",R1866&lt;=Settings!$B$15),AND(S1866&lt;&gt;"",S1866&lt;=Settings!$B$15)),"EXPIRING SOON","OK")))</f>
        <v/>
      </c>
      <c r="U1866" s="24" t="str">
        <f aca="false">IF(AND(C1866="Own",Q1866="Active"),COUNTIFS($C$5:C1866,"Own",$Q$5:Q1866,"Active"),"")</f>
        <v/>
      </c>
      <c r="V1866" s="26" t="str">
        <f aca="false">IF(C1866&lt;&gt;"Own","",IF(K1866="Hourly",N1866,(L1866+M1866)/(Settings!$B$11*Settings!$B$12)))</f>
        <v/>
      </c>
    </row>
    <row r="1867" customFormat="false" ht="15" hidden="false" customHeight="false" outlineLevel="0" collapsed="false">
      <c r="R1867" s="25" t="str">
        <f aca="true">IF(I1867="","",I1867-TODAY())</f>
        <v/>
      </c>
      <c r="S1867" s="25" t="str">
        <f aca="true">IF(J1867="","",J1867-TODAY())</f>
        <v/>
      </c>
      <c r="T1867" s="24" t="str">
        <f aca="false">IF(A1867="","",IF(OR(AND(R1867&lt;&gt;"",R1867&lt;0),AND(S1867&lt;&gt;"",S1867&lt;0)),"EXPIRED",IF(OR(AND(R1867&lt;&gt;"",R1867&lt;=Settings!$B$15),AND(S1867&lt;&gt;"",S1867&lt;=Settings!$B$15)),"EXPIRING SOON","OK")))</f>
        <v/>
      </c>
      <c r="U1867" s="24" t="str">
        <f aca="false">IF(AND(C1867="Own",Q1867="Active"),COUNTIFS($C$5:C1867,"Own",$Q$5:Q1867,"Active"),"")</f>
        <v/>
      </c>
      <c r="V1867" s="26" t="str">
        <f aca="false">IF(C1867&lt;&gt;"Own","",IF(K1867="Hourly",N1867,(L1867+M1867)/(Settings!$B$11*Settings!$B$12)))</f>
        <v/>
      </c>
    </row>
    <row r="1868" customFormat="false" ht="15" hidden="false" customHeight="false" outlineLevel="0" collapsed="false">
      <c r="R1868" s="25" t="str">
        <f aca="true">IF(I1868="","",I1868-TODAY())</f>
        <v/>
      </c>
      <c r="S1868" s="25" t="str">
        <f aca="true">IF(J1868="","",J1868-TODAY())</f>
        <v/>
      </c>
      <c r="T1868" s="24" t="str">
        <f aca="false">IF(A1868="","",IF(OR(AND(R1868&lt;&gt;"",R1868&lt;0),AND(S1868&lt;&gt;"",S1868&lt;0)),"EXPIRED",IF(OR(AND(R1868&lt;&gt;"",R1868&lt;=Settings!$B$15),AND(S1868&lt;&gt;"",S1868&lt;=Settings!$B$15)),"EXPIRING SOON","OK")))</f>
        <v/>
      </c>
      <c r="U1868" s="24" t="str">
        <f aca="false">IF(AND(C1868="Own",Q1868="Active"),COUNTIFS($C$5:C1868,"Own",$Q$5:Q1868,"Active"),"")</f>
        <v/>
      </c>
      <c r="V1868" s="26" t="str">
        <f aca="false">IF(C1868&lt;&gt;"Own","",IF(K1868="Hourly",N1868,(L1868+M1868)/(Settings!$B$11*Settings!$B$12)))</f>
        <v/>
      </c>
    </row>
    <row r="1869" customFormat="false" ht="15" hidden="false" customHeight="false" outlineLevel="0" collapsed="false">
      <c r="R1869" s="25" t="str">
        <f aca="true">IF(I1869="","",I1869-TODAY())</f>
        <v/>
      </c>
      <c r="S1869" s="25" t="str">
        <f aca="true">IF(J1869="","",J1869-TODAY())</f>
        <v/>
      </c>
      <c r="T1869" s="24" t="str">
        <f aca="false">IF(A1869="","",IF(OR(AND(R1869&lt;&gt;"",R1869&lt;0),AND(S1869&lt;&gt;"",S1869&lt;0)),"EXPIRED",IF(OR(AND(R1869&lt;&gt;"",R1869&lt;=Settings!$B$15),AND(S1869&lt;&gt;"",S1869&lt;=Settings!$B$15)),"EXPIRING SOON","OK")))</f>
        <v/>
      </c>
      <c r="U1869" s="24" t="str">
        <f aca="false">IF(AND(C1869="Own",Q1869="Active"),COUNTIFS($C$5:C1869,"Own",$Q$5:Q1869,"Active"),"")</f>
        <v/>
      </c>
      <c r="V1869" s="26" t="str">
        <f aca="false">IF(C1869&lt;&gt;"Own","",IF(K1869="Hourly",N1869,(L1869+M1869)/(Settings!$B$11*Settings!$B$12)))</f>
        <v/>
      </c>
    </row>
    <row r="1870" customFormat="false" ht="15" hidden="false" customHeight="false" outlineLevel="0" collapsed="false">
      <c r="R1870" s="25" t="str">
        <f aca="true">IF(I1870="","",I1870-TODAY())</f>
        <v/>
      </c>
      <c r="S1870" s="25" t="str">
        <f aca="true">IF(J1870="","",J1870-TODAY())</f>
        <v/>
      </c>
      <c r="T1870" s="24" t="str">
        <f aca="false">IF(A1870="","",IF(OR(AND(R1870&lt;&gt;"",R1870&lt;0),AND(S1870&lt;&gt;"",S1870&lt;0)),"EXPIRED",IF(OR(AND(R1870&lt;&gt;"",R1870&lt;=Settings!$B$15),AND(S1870&lt;&gt;"",S1870&lt;=Settings!$B$15)),"EXPIRING SOON","OK")))</f>
        <v/>
      </c>
      <c r="U1870" s="24" t="str">
        <f aca="false">IF(AND(C1870="Own",Q1870="Active"),COUNTIFS($C$5:C1870,"Own",$Q$5:Q1870,"Active"),"")</f>
        <v/>
      </c>
      <c r="V1870" s="26" t="str">
        <f aca="false">IF(C1870&lt;&gt;"Own","",IF(K1870="Hourly",N1870,(L1870+M1870)/(Settings!$B$11*Settings!$B$12)))</f>
        <v/>
      </c>
    </row>
    <row r="1871" customFormat="false" ht="15" hidden="false" customHeight="false" outlineLevel="0" collapsed="false">
      <c r="R1871" s="25" t="str">
        <f aca="true">IF(I1871="","",I1871-TODAY())</f>
        <v/>
      </c>
      <c r="S1871" s="25" t="str">
        <f aca="true">IF(J1871="","",J1871-TODAY())</f>
        <v/>
      </c>
      <c r="T1871" s="24" t="str">
        <f aca="false">IF(A1871="","",IF(OR(AND(R1871&lt;&gt;"",R1871&lt;0),AND(S1871&lt;&gt;"",S1871&lt;0)),"EXPIRED",IF(OR(AND(R1871&lt;&gt;"",R1871&lt;=Settings!$B$15),AND(S1871&lt;&gt;"",S1871&lt;=Settings!$B$15)),"EXPIRING SOON","OK")))</f>
        <v/>
      </c>
      <c r="U1871" s="24" t="str">
        <f aca="false">IF(AND(C1871="Own",Q1871="Active"),COUNTIFS($C$5:C1871,"Own",$Q$5:Q1871,"Active"),"")</f>
        <v/>
      </c>
      <c r="V1871" s="26" t="str">
        <f aca="false">IF(C1871&lt;&gt;"Own","",IF(K1871="Hourly",N1871,(L1871+M1871)/(Settings!$B$11*Settings!$B$12)))</f>
        <v/>
      </c>
    </row>
    <row r="1872" customFormat="false" ht="15" hidden="false" customHeight="false" outlineLevel="0" collapsed="false">
      <c r="R1872" s="25" t="str">
        <f aca="true">IF(I1872="","",I1872-TODAY())</f>
        <v/>
      </c>
      <c r="S1872" s="25" t="str">
        <f aca="true">IF(J1872="","",J1872-TODAY())</f>
        <v/>
      </c>
      <c r="T1872" s="24" t="str">
        <f aca="false">IF(A1872="","",IF(OR(AND(R1872&lt;&gt;"",R1872&lt;0),AND(S1872&lt;&gt;"",S1872&lt;0)),"EXPIRED",IF(OR(AND(R1872&lt;&gt;"",R1872&lt;=Settings!$B$15),AND(S1872&lt;&gt;"",S1872&lt;=Settings!$B$15)),"EXPIRING SOON","OK")))</f>
        <v/>
      </c>
      <c r="U1872" s="24" t="str">
        <f aca="false">IF(AND(C1872="Own",Q1872="Active"),COUNTIFS($C$5:C1872,"Own",$Q$5:Q1872,"Active"),"")</f>
        <v/>
      </c>
      <c r="V1872" s="26" t="str">
        <f aca="false">IF(C1872&lt;&gt;"Own","",IF(K1872="Hourly",N1872,(L1872+M1872)/(Settings!$B$11*Settings!$B$12)))</f>
        <v/>
      </c>
    </row>
    <row r="1873" customFormat="false" ht="15" hidden="false" customHeight="false" outlineLevel="0" collapsed="false">
      <c r="R1873" s="25" t="str">
        <f aca="true">IF(I1873="","",I1873-TODAY())</f>
        <v/>
      </c>
      <c r="S1873" s="25" t="str">
        <f aca="true">IF(J1873="","",J1873-TODAY())</f>
        <v/>
      </c>
      <c r="T1873" s="24" t="str">
        <f aca="false">IF(A1873="","",IF(OR(AND(R1873&lt;&gt;"",R1873&lt;0),AND(S1873&lt;&gt;"",S1873&lt;0)),"EXPIRED",IF(OR(AND(R1873&lt;&gt;"",R1873&lt;=Settings!$B$15),AND(S1873&lt;&gt;"",S1873&lt;=Settings!$B$15)),"EXPIRING SOON","OK")))</f>
        <v/>
      </c>
      <c r="U1873" s="24" t="str">
        <f aca="false">IF(AND(C1873="Own",Q1873="Active"),COUNTIFS($C$5:C1873,"Own",$Q$5:Q1873,"Active"),"")</f>
        <v/>
      </c>
      <c r="V1873" s="26" t="str">
        <f aca="false">IF(C1873&lt;&gt;"Own","",IF(K1873="Hourly",N1873,(L1873+M1873)/(Settings!$B$11*Settings!$B$12)))</f>
        <v/>
      </c>
    </row>
    <row r="1874" customFormat="false" ht="15" hidden="false" customHeight="false" outlineLevel="0" collapsed="false">
      <c r="R1874" s="25" t="str">
        <f aca="true">IF(I1874="","",I1874-TODAY())</f>
        <v/>
      </c>
      <c r="S1874" s="25" t="str">
        <f aca="true">IF(J1874="","",J1874-TODAY())</f>
        <v/>
      </c>
      <c r="T1874" s="24" t="str">
        <f aca="false">IF(A1874="","",IF(OR(AND(R1874&lt;&gt;"",R1874&lt;0),AND(S1874&lt;&gt;"",S1874&lt;0)),"EXPIRED",IF(OR(AND(R1874&lt;&gt;"",R1874&lt;=Settings!$B$15),AND(S1874&lt;&gt;"",S1874&lt;=Settings!$B$15)),"EXPIRING SOON","OK")))</f>
        <v/>
      </c>
      <c r="U1874" s="24" t="str">
        <f aca="false">IF(AND(C1874="Own",Q1874="Active"),COUNTIFS($C$5:C1874,"Own",$Q$5:Q1874,"Active"),"")</f>
        <v/>
      </c>
      <c r="V1874" s="26" t="str">
        <f aca="false">IF(C1874&lt;&gt;"Own","",IF(K1874="Hourly",N1874,(L1874+M1874)/(Settings!$B$11*Settings!$B$12)))</f>
        <v/>
      </c>
    </row>
    <row r="1875" customFormat="false" ht="15" hidden="false" customHeight="false" outlineLevel="0" collapsed="false">
      <c r="R1875" s="25" t="str">
        <f aca="true">IF(I1875="","",I1875-TODAY())</f>
        <v/>
      </c>
      <c r="S1875" s="25" t="str">
        <f aca="true">IF(J1875="","",J1875-TODAY())</f>
        <v/>
      </c>
      <c r="T1875" s="24" t="str">
        <f aca="false">IF(A1875="","",IF(OR(AND(R1875&lt;&gt;"",R1875&lt;0),AND(S1875&lt;&gt;"",S1875&lt;0)),"EXPIRED",IF(OR(AND(R1875&lt;&gt;"",R1875&lt;=Settings!$B$15),AND(S1875&lt;&gt;"",S1875&lt;=Settings!$B$15)),"EXPIRING SOON","OK")))</f>
        <v/>
      </c>
      <c r="U1875" s="24" t="str">
        <f aca="false">IF(AND(C1875="Own",Q1875="Active"),COUNTIFS($C$5:C1875,"Own",$Q$5:Q1875,"Active"),"")</f>
        <v/>
      </c>
      <c r="V1875" s="26" t="str">
        <f aca="false">IF(C1875&lt;&gt;"Own","",IF(K1875="Hourly",N1875,(L1875+M1875)/(Settings!$B$11*Settings!$B$12)))</f>
        <v/>
      </c>
    </row>
    <row r="1876" customFormat="false" ht="15" hidden="false" customHeight="false" outlineLevel="0" collapsed="false">
      <c r="R1876" s="25" t="str">
        <f aca="true">IF(I1876="","",I1876-TODAY())</f>
        <v/>
      </c>
      <c r="S1876" s="25" t="str">
        <f aca="true">IF(J1876="","",J1876-TODAY())</f>
        <v/>
      </c>
      <c r="T1876" s="24" t="str">
        <f aca="false">IF(A1876="","",IF(OR(AND(R1876&lt;&gt;"",R1876&lt;0),AND(S1876&lt;&gt;"",S1876&lt;0)),"EXPIRED",IF(OR(AND(R1876&lt;&gt;"",R1876&lt;=Settings!$B$15),AND(S1876&lt;&gt;"",S1876&lt;=Settings!$B$15)),"EXPIRING SOON","OK")))</f>
        <v/>
      </c>
      <c r="U1876" s="24" t="str">
        <f aca="false">IF(AND(C1876="Own",Q1876="Active"),COUNTIFS($C$5:C1876,"Own",$Q$5:Q1876,"Active"),"")</f>
        <v/>
      </c>
      <c r="V1876" s="26" t="str">
        <f aca="false">IF(C1876&lt;&gt;"Own","",IF(K1876="Hourly",N1876,(L1876+M1876)/(Settings!$B$11*Settings!$B$12)))</f>
        <v/>
      </c>
    </row>
    <row r="1877" customFormat="false" ht="15" hidden="false" customHeight="false" outlineLevel="0" collapsed="false">
      <c r="R1877" s="25" t="str">
        <f aca="true">IF(I1877="","",I1877-TODAY())</f>
        <v/>
      </c>
      <c r="S1877" s="25" t="str">
        <f aca="true">IF(J1877="","",J1877-TODAY())</f>
        <v/>
      </c>
      <c r="T1877" s="24" t="str">
        <f aca="false">IF(A1877="","",IF(OR(AND(R1877&lt;&gt;"",R1877&lt;0),AND(S1877&lt;&gt;"",S1877&lt;0)),"EXPIRED",IF(OR(AND(R1877&lt;&gt;"",R1877&lt;=Settings!$B$15),AND(S1877&lt;&gt;"",S1877&lt;=Settings!$B$15)),"EXPIRING SOON","OK")))</f>
        <v/>
      </c>
      <c r="U1877" s="24" t="str">
        <f aca="false">IF(AND(C1877="Own",Q1877="Active"),COUNTIFS($C$5:C1877,"Own",$Q$5:Q1877,"Active"),"")</f>
        <v/>
      </c>
      <c r="V1877" s="26" t="str">
        <f aca="false">IF(C1877&lt;&gt;"Own","",IF(K1877="Hourly",N1877,(L1877+M1877)/(Settings!$B$11*Settings!$B$12)))</f>
        <v/>
      </c>
    </row>
    <row r="1878" customFormat="false" ht="15" hidden="false" customHeight="false" outlineLevel="0" collapsed="false">
      <c r="R1878" s="25" t="str">
        <f aca="true">IF(I1878="","",I1878-TODAY())</f>
        <v/>
      </c>
      <c r="S1878" s="25" t="str">
        <f aca="true">IF(J1878="","",J1878-TODAY())</f>
        <v/>
      </c>
      <c r="T1878" s="24" t="str">
        <f aca="false">IF(A1878="","",IF(OR(AND(R1878&lt;&gt;"",R1878&lt;0),AND(S1878&lt;&gt;"",S1878&lt;0)),"EXPIRED",IF(OR(AND(R1878&lt;&gt;"",R1878&lt;=Settings!$B$15),AND(S1878&lt;&gt;"",S1878&lt;=Settings!$B$15)),"EXPIRING SOON","OK")))</f>
        <v/>
      </c>
      <c r="U1878" s="24" t="str">
        <f aca="false">IF(AND(C1878="Own",Q1878="Active"),COUNTIFS($C$5:C1878,"Own",$Q$5:Q1878,"Active"),"")</f>
        <v/>
      </c>
      <c r="V1878" s="26" t="str">
        <f aca="false">IF(C1878&lt;&gt;"Own","",IF(K1878="Hourly",N1878,(L1878+M1878)/(Settings!$B$11*Settings!$B$12)))</f>
        <v/>
      </c>
    </row>
    <row r="1879" customFormat="false" ht="15" hidden="false" customHeight="false" outlineLevel="0" collapsed="false">
      <c r="R1879" s="25" t="str">
        <f aca="true">IF(I1879="","",I1879-TODAY())</f>
        <v/>
      </c>
      <c r="S1879" s="25" t="str">
        <f aca="true">IF(J1879="","",J1879-TODAY())</f>
        <v/>
      </c>
      <c r="T1879" s="24" t="str">
        <f aca="false">IF(A1879="","",IF(OR(AND(R1879&lt;&gt;"",R1879&lt;0),AND(S1879&lt;&gt;"",S1879&lt;0)),"EXPIRED",IF(OR(AND(R1879&lt;&gt;"",R1879&lt;=Settings!$B$15),AND(S1879&lt;&gt;"",S1879&lt;=Settings!$B$15)),"EXPIRING SOON","OK")))</f>
        <v/>
      </c>
      <c r="U1879" s="24" t="str">
        <f aca="false">IF(AND(C1879="Own",Q1879="Active"),COUNTIFS($C$5:C1879,"Own",$Q$5:Q1879,"Active"),"")</f>
        <v/>
      </c>
      <c r="V1879" s="26" t="str">
        <f aca="false">IF(C1879&lt;&gt;"Own","",IF(K1879="Hourly",N1879,(L1879+M1879)/(Settings!$B$11*Settings!$B$12)))</f>
        <v/>
      </c>
    </row>
    <row r="1880" customFormat="false" ht="15" hidden="false" customHeight="false" outlineLevel="0" collapsed="false">
      <c r="R1880" s="25" t="str">
        <f aca="true">IF(I1880="","",I1880-TODAY())</f>
        <v/>
      </c>
      <c r="S1880" s="25" t="str">
        <f aca="true">IF(J1880="","",J1880-TODAY())</f>
        <v/>
      </c>
      <c r="T1880" s="24" t="str">
        <f aca="false">IF(A1880="","",IF(OR(AND(R1880&lt;&gt;"",R1880&lt;0),AND(S1880&lt;&gt;"",S1880&lt;0)),"EXPIRED",IF(OR(AND(R1880&lt;&gt;"",R1880&lt;=Settings!$B$15),AND(S1880&lt;&gt;"",S1880&lt;=Settings!$B$15)),"EXPIRING SOON","OK")))</f>
        <v/>
      </c>
      <c r="U1880" s="24" t="str">
        <f aca="false">IF(AND(C1880="Own",Q1880="Active"),COUNTIFS($C$5:C1880,"Own",$Q$5:Q1880,"Active"),"")</f>
        <v/>
      </c>
      <c r="V1880" s="26" t="str">
        <f aca="false">IF(C1880&lt;&gt;"Own","",IF(K1880="Hourly",N1880,(L1880+M1880)/(Settings!$B$11*Settings!$B$12)))</f>
        <v/>
      </c>
    </row>
    <row r="1881" customFormat="false" ht="15" hidden="false" customHeight="false" outlineLevel="0" collapsed="false">
      <c r="R1881" s="25" t="str">
        <f aca="true">IF(I1881="","",I1881-TODAY())</f>
        <v/>
      </c>
      <c r="S1881" s="25" t="str">
        <f aca="true">IF(J1881="","",J1881-TODAY())</f>
        <v/>
      </c>
      <c r="T1881" s="24" t="str">
        <f aca="false">IF(A1881="","",IF(OR(AND(R1881&lt;&gt;"",R1881&lt;0),AND(S1881&lt;&gt;"",S1881&lt;0)),"EXPIRED",IF(OR(AND(R1881&lt;&gt;"",R1881&lt;=Settings!$B$15),AND(S1881&lt;&gt;"",S1881&lt;=Settings!$B$15)),"EXPIRING SOON","OK")))</f>
        <v/>
      </c>
      <c r="U1881" s="24" t="str">
        <f aca="false">IF(AND(C1881="Own",Q1881="Active"),COUNTIFS($C$5:C1881,"Own",$Q$5:Q1881,"Active"),"")</f>
        <v/>
      </c>
      <c r="V1881" s="26" t="str">
        <f aca="false">IF(C1881&lt;&gt;"Own","",IF(K1881="Hourly",N1881,(L1881+M1881)/(Settings!$B$11*Settings!$B$12)))</f>
        <v/>
      </c>
    </row>
    <row r="1882" customFormat="false" ht="15" hidden="false" customHeight="false" outlineLevel="0" collapsed="false">
      <c r="R1882" s="25" t="str">
        <f aca="true">IF(I1882="","",I1882-TODAY())</f>
        <v/>
      </c>
      <c r="S1882" s="25" t="str">
        <f aca="true">IF(J1882="","",J1882-TODAY())</f>
        <v/>
      </c>
      <c r="T1882" s="24" t="str">
        <f aca="false">IF(A1882="","",IF(OR(AND(R1882&lt;&gt;"",R1882&lt;0),AND(S1882&lt;&gt;"",S1882&lt;0)),"EXPIRED",IF(OR(AND(R1882&lt;&gt;"",R1882&lt;=Settings!$B$15),AND(S1882&lt;&gt;"",S1882&lt;=Settings!$B$15)),"EXPIRING SOON","OK")))</f>
        <v/>
      </c>
      <c r="U1882" s="24" t="str">
        <f aca="false">IF(AND(C1882="Own",Q1882="Active"),COUNTIFS($C$5:C1882,"Own",$Q$5:Q1882,"Active"),"")</f>
        <v/>
      </c>
      <c r="V1882" s="26" t="str">
        <f aca="false">IF(C1882&lt;&gt;"Own","",IF(K1882="Hourly",N1882,(L1882+M1882)/(Settings!$B$11*Settings!$B$12)))</f>
        <v/>
      </c>
    </row>
    <row r="1883" customFormat="false" ht="15" hidden="false" customHeight="false" outlineLevel="0" collapsed="false">
      <c r="R1883" s="25" t="str">
        <f aca="true">IF(I1883="","",I1883-TODAY())</f>
        <v/>
      </c>
      <c r="S1883" s="25" t="str">
        <f aca="true">IF(J1883="","",J1883-TODAY())</f>
        <v/>
      </c>
      <c r="T1883" s="24" t="str">
        <f aca="false">IF(A1883="","",IF(OR(AND(R1883&lt;&gt;"",R1883&lt;0),AND(S1883&lt;&gt;"",S1883&lt;0)),"EXPIRED",IF(OR(AND(R1883&lt;&gt;"",R1883&lt;=Settings!$B$15),AND(S1883&lt;&gt;"",S1883&lt;=Settings!$B$15)),"EXPIRING SOON","OK")))</f>
        <v/>
      </c>
      <c r="U1883" s="24" t="str">
        <f aca="false">IF(AND(C1883="Own",Q1883="Active"),COUNTIFS($C$5:C1883,"Own",$Q$5:Q1883,"Active"),"")</f>
        <v/>
      </c>
      <c r="V1883" s="26" t="str">
        <f aca="false">IF(C1883&lt;&gt;"Own","",IF(K1883="Hourly",N1883,(L1883+M1883)/(Settings!$B$11*Settings!$B$12)))</f>
        <v/>
      </c>
    </row>
    <row r="1884" customFormat="false" ht="15" hidden="false" customHeight="false" outlineLevel="0" collapsed="false">
      <c r="R1884" s="25" t="str">
        <f aca="true">IF(I1884="","",I1884-TODAY())</f>
        <v/>
      </c>
      <c r="S1884" s="25" t="str">
        <f aca="true">IF(J1884="","",J1884-TODAY())</f>
        <v/>
      </c>
      <c r="T1884" s="24" t="str">
        <f aca="false">IF(A1884="","",IF(OR(AND(R1884&lt;&gt;"",R1884&lt;0),AND(S1884&lt;&gt;"",S1884&lt;0)),"EXPIRED",IF(OR(AND(R1884&lt;&gt;"",R1884&lt;=Settings!$B$15),AND(S1884&lt;&gt;"",S1884&lt;=Settings!$B$15)),"EXPIRING SOON","OK")))</f>
        <v/>
      </c>
      <c r="U1884" s="24" t="str">
        <f aca="false">IF(AND(C1884="Own",Q1884="Active"),COUNTIFS($C$5:C1884,"Own",$Q$5:Q1884,"Active"),"")</f>
        <v/>
      </c>
      <c r="V1884" s="26" t="str">
        <f aca="false">IF(C1884&lt;&gt;"Own","",IF(K1884="Hourly",N1884,(L1884+M1884)/(Settings!$B$11*Settings!$B$12)))</f>
        <v/>
      </c>
    </row>
    <row r="1885" customFormat="false" ht="15" hidden="false" customHeight="false" outlineLevel="0" collapsed="false">
      <c r="R1885" s="25" t="str">
        <f aca="true">IF(I1885="","",I1885-TODAY())</f>
        <v/>
      </c>
      <c r="S1885" s="25" t="str">
        <f aca="true">IF(J1885="","",J1885-TODAY())</f>
        <v/>
      </c>
      <c r="T1885" s="24" t="str">
        <f aca="false">IF(A1885="","",IF(OR(AND(R1885&lt;&gt;"",R1885&lt;0),AND(S1885&lt;&gt;"",S1885&lt;0)),"EXPIRED",IF(OR(AND(R1885&lt;&gt;"",R1885&lt;=Settings!$B$15),AND(S1885&lt;&gt;"",S1885&lt;=Settings!$B$15)),"EXPIRING SOON","OK")))</f>
        <v/>
      </c>
      <c r="U1885" s="24" t="str">
        <f aca="false">IF(AND(C1885="Own",Q1885="Active"),COUNTIFS($C$5:C1885,"Own",$Q$5:Q1885,"Active"),"")</f>
        <v/>
      </c>
      <c r="V1885" s="26" t="str">
        <f aca="false">IF(C1885&lt;&gt;"Own","",IF(K1885="Hourly",N1885,(L1885+M1885)/(Settings!$B$11*Settings!$B$12)))</f>
        <v/>
      </c>
    </row>
    <row r="1886" customFormat="false" ht="15" hidden="false" customHeight="false" outlineLevel="0" collapsed="false">
      <c r="R1886" s="25" t="str">
        <f aca="true">IF(I1886="","",I1886-TODAY())</f>
        <v/>
      </c>
      <c r="S1886" s="25" t="str">
        <f aca="true">IF(J1886="","",J1886-TODAY())</f>
        <v/>
      </c>
      <c r="T1886" s="24" t="str">
        <f aca="false">IF(A1886="","",IF(OR(AND(R1886&lt;&gt;"",R1886&lt;0),AND(S1886&lt;&gt;"",S1886&lt;0)),"EXPIRED",IF(OR(AND(R1886&lt;&gt;"",R1886&lt;=Settings!$B$15),AND(S1886&lt;&gt;"",S1886&lt;=Settings!$B$15)),"EXPIRING SOON","OK")))</f>
        <v/>
      </c>
      <c r="U1886" s="24" t="str">
        <f aca="false">IF(AND(C1886="Own",Q1886="Active"),COUNTIFS($C$5:C1886,"Own",$Q$5:Q1886,"Active"),"")</f>
        <v/>
      </c>
      <c r="V1886" s="26" t="str">
        <f aca="false">IF(C1886&lt;&gt;"Own","",IF(K1886="Hourly",N1886,(L1886+M1886)/(Settings!$B$11*Settings!$B$12)))</f>
        <v/>
      </c>
    </row>
    <row r="1887" customFormat="false" ht="15" hidden="false" customHeight="false" outlineLevel="0" collapsed="false">
      <c r="R1887" s="25" t="str">
        <f aca="true">IF(I1887="","",I1887-TODAY())</f>
        <v/>
      </c>
      <c r="S1887" s="25" t="str">
        <f aca="true">IF(J1887="","",J1887-TODAY())</f>
        <v/>
      </c>
      <c r="T1887" s="24" t="str">
        <f aca="false">IF(A1887="","",IF(OR(AND(R1887&lt;&gt;"",R1887&lt;0),AND(S1887&lt;&gt;"",S1887&lt;0)),"EXPIRED",IF(OR(AND(R1887&lt;&gt;"",R1887&lt;=Settings!$B$15),AND(S1887&lt;&gt;"",S1887&lt;=Settings!$B$15)),"EXPIRING SOON","OK")))</f>
        <v/>
      </c>
      <c r="U1887" s="24" t="str">
        <f aca="false">IF(AND(C1887="Own",Q1887="Active"),COUNTIFS($C$5:C1887,"Own",$Q$5:Q1887,"Active"),"")</f>
        <v/>
      </c>
      <c r="V1887" s="26" t="str">
        <f aca="false">IF(C1887&lt;&gt;"Own","",IF(K1887="Hourly",N1887,(L1887+M1887)/(Settings!$B$11*Settings!$B$12)))</f>
        <v/>
      </c>
    </row>
    <row r="1888" customFormat="false" ht="15" hidden="false" customHeight="false" outlineLevel="0" collapsed="false">
      <c r="R1888" s="25" t="str">
        <f aca="true">IF(I1888="","",I1888-TODAY())</f>
        <v/>
      </c>
      <c r="S1888" s="25" t="str">
        <f aca="true">IF(J1888="","",J1888-TODAY())</f>
        <v/>
      </c>
      <c r="T1888" s="24" t="str">
        <f aca="false">IF(A1888="","",IF(OR(AND(R1888&lt;&gt;"",R1888&lt;0),AND(S1888&lt;&gt;"",S1888&lt;0)),"EXPIRED",IF(OR(AND(R1888&lt;&gt;"",R1888&lt;=Settings!$B$15),AND(S1888&lt;&gt;"",S1888&lt;=Settings!$B$15)),"EXPIRING SOON","OK")))</f>
        <v/>
      </c>
      <c r="U1888" s="24" t="str">
        <f aca="false">IF(AND(C1888="Own",Q1888="Active"),COUNTIFS($C$5:C1888,"Own",$Q$5:Q1888,"Active"),"")</f>
        <v/>
      </c>
      <c r="V1888" s="26" t="str">
        <f aca="false">IF(C1888&lt;&gt;"Own","",IF(K1888="Hourly",N1888,(L1888+M1888)/(Settings!$B$11*Settings!$B$12)))</f>
        <v/>
      </c>
    </row>
    <row r="1889" customFormat="false" ht="15" hidden="false" customHeight="false" outlineLevel="0" collapsed="false">
      <c r="R1889" s="25" t="str">
        <f aca="true">IF(I1889="","",I1889-TODAY())</f>
        <v/>
      </c>
      <c r="S1889" s="25" t="str">
        <f aca="true">IF(J1889="","",J1889-TODAY())</f>
        <v/>
      </c>
      <c r="T1889" s="24" t="str">
        <f aca="false">IF(A1889="","",IF(OR(AND(R1889&lt;&gt;"",R1889&lt;0),AND(S1889&lt;&gt;"",S1889&lt;0)),"EXPIRED",IF(OR(AND(R1889&lt;&gt;"",R1889&lt;=Settings!$B$15),AND(S1889&lt;&gt;"",S1889&lt;=Settings!$B$15)),"EXPIRING SOON","OK")))</f>
        <v/>
      </c>
      <c r="U1889" s="24" t="str">
        <f aca="false">IF(AND(C1889="Own",Q1889="Active"),COUNTIFS($C$5:C1889,"Own",$Q$5:Q1889,"Active"),"")</f>
        <v/>
      </c>
      <c r="V1889" s="26" t="str">
        <f aca="false">IF(C1889&lt;&gt;"Own","",IF(K1889="Hourly",N1889,(L1889+M1889)/(Settings!$B$11*Settings!$B$12)))</f>
        <v/>
      </c>
    </row>
    <row r="1890" customFormat="false" ht="15" hidden="false" customHeight="false" outlineLevel="0" collapsed="false">
      <c r="R1890" s="25" t="str">
        <f aca="true">IF(I1890="","",I1890-TODAY())</f>
        <v/>
      </c>
      <c r="S1890" s="25" t="str">
        <f aca="true">IF(J1890="","",J1890-TODAY())</f>
        <v/>
      </c>
      <c r="T1890" s="24" t="str">
        <f aca="false">IF(A1890="","",IF(OR(AND(R1890&lt;&gt;"",R1890&lt;0),AND(S1890&lt;&gt;"",S1890&lt;0)),"EXPIRED",IF(OR(AND(R1890&lt;&gt;"",R1890&lt;=Settings!$B$15),AND(S1890&lt;&gt;"",S1890&lt;=Settings!$B$15)),"EXPIRING SOON","OK")))</f>
        <v/>
      </c>
      <c r="U1890" s="24" t="str">
        <f aca="false">IF(AND(C1890="Own",Q1890="Active"),COUNTIFS($C$5:C1890,"Own",$Q$5:Q1890,"Active"),"")</f>
        <v/>
      </c>
      <c r="V1890" s="26" t="str">
        <f aca="false">IF(C1890&lt;&gt;"Own","",IF(K1890="Hourly",N1890,(L1890+M1890)/(Settings!$B$11*Settings!$B$12)))</f>
        <v/>
      </c>
    </row>
    <row r="1891" customFormat="false" ht="15" hidden="false" customHeight="false" outlineLevel="0" collapsed="false">
      <c r="R1891" s="25" t="str">
        <f aca="true">IF(I1891="","",I1891-TODAY())</f>
        <v/>
      </c>
      <c r="S1891" s="25" t="str">
        <f aca="true">IF(J1891="","",J1891-TODAY())</f>
        <v/>
      </c>
      <c r="T1891" s="24" t="str">
        <f aca="false">IF(A1891="","",IF(OR(AND(R1891&lt;&gt;"",R1891&lt;0),AND(S1891&lt;&gt;"",S1891&lt;0)),"EXPIRED",IF(OR(AND(R1891&lt;&gt;"",R1891&lt;=Settings!$B$15),AND(S1891&lt;&gt;"",S1891&lt;=Settings!$B$15)),"EXPIRING SOON","OK")))</f>
        <v/>
      </c>
      <c r="U1891" s="24" t="str">
        <f aca="false">IF(AND(C1891="Own",Q1891="Active"),COUNTIFS($C$5:C1891,"Own",$Q$5:Q1891,"Active"),"")</f>
        <v/>
      </c>
      <c r="V1891" s="26" t="str">
        <f aca="false">IF(C1891&lt;&gt;"Own","",IF(K1891="Hourly",N1891,(L1891+M1891)/(Settings!$B$11*Settings!$B$12)))</f>
        <v/>
      </c>
    </row>
    <row r="1892" customFormat="false" ht="15" hidden="false" customHeight="false" outlineLevel="0" collapsed="false">
      <c r="R1892" s="25" t="str">
        <f aca="true">IF(I1892="","",I1892-TODAY())</f>
        <v/>
      </c>
      <c r="S1892" s="25" t="str">
        <f aca="true">IF(J1892="","",J1892-TODAY())</f>
        <v/>
      </c>
      <c r="T1892" s="24" t="str">
        <f aca="false">IF(A1892="","",IF(OR(AND(R1892&lt;&gt;"",R1892&lt;0),AND(S1892&lt;&gt;"",S1892&lt;0)),"EXPIRED",IF(OR(AND(R1892&lt;&gt;"",R1892&lt;=Settings!$B$15),AND(S1892&lt;&gt;"",S1892&lt;=Settings!$B$15)),"EXPIRING SOON","OK")))</f>
        <v/>
      </c>
      <c r="U1892" s="24" t="str">
        <f aca="false">IF(AND(C1892="Own",Q1892="Active"),COUNTIFS($C$5:C1892,"Own",$Q$5:Q1892,"Active"),"")</f>
        <v/>
      </c>
      <c r="V1892" s="26" t="str">
        <f aca="false">IF(C1892&lt;&gt;"Own","",IF(K1892="Hourly",N1892,(L1892+M1892)/(Settings!$B$11*Settings!$B$12)))</f>
        <v/>
      </c>
    </row>
    <row r="1893" customFormat="false" ht="15" hidden="false" customHeight="false" outlineLevel="0" collapsed="false">
      <c r="R1893" s="25" t="str">
        <f aca="true">IF(I1893="","",I1893-TODAY())</f>
        <v/>
      </c>
      <c r="S1893" s="25" t="str">
        <f aca="true">IF(J1893="","",J1893-TODAY())</f>
        <v/>
      </c>
      <c r="T1893" s="24" t="str">
        <f aca="false">IF(A1893="","",IF(OR(AND(R1893&lt;&gt;"",R1893&lt;0),AND(S1893&lt;&gt;"",S1893&lt;0)),"EXPIRED",IF(OR(AND(R1893&lt;&gt;"",R1893&lt;=Settings!$B$15),AND(S1893&lt;&gt;"",S1893&lt;=Settings!$B$15)),"EXPIRING SOON","OK")))</f>
        <v/>
      </c>
      <c r="U1893" s="24" t="str">
        <f aca="false">IF(AND(C1893="Own",Q1893="Active"),COUNTIFS($C$5:C1893,"Own",$Q$5:Q1893,"Active"),"")</f>
        <v/>
      </c>
      <c r="V1893" s="26" t="str">
        <f aca="false">IF(C1893&lt;&gt;"Own","",IF(K1893="Hourly",N1893,(L1893+M1893)/(Settings!$B$11*Settings!$B$12)))</f>
        <v/>
      </c>
    </row>
    <row r="1894" customFormat="false" ht="15" hidden="false" customHeight="false" outlineLevel="0" collapsed="false">
      <c r="R1894" s="25" t="str">
        <f aca="true">IF(I1894="","",I1894-TODAY())</f>
        <v/>
      </c>
      <c r="S1894" s="25" t="str">
        <f aca="true">IF(J1894="","",J1894-TODAY())</f>
        <v/>
      </c>
      <c r="T1894" s="24" t="str">
        <f aca="false">IF(A1894="","",IF(OR(AND(R1894&lt;&gt;"",R1894&lt;0),AND(S1894&lt;&gt;"",S1894&lt;0)),"EXPIRED",IF(OR(AND(R1894&lt;&gt;"",R1894&lt;=Settings!$B$15),AND(S1894&lt;&gt;"",S1894&lt;=Settings!$B$15)),"EXPIRING SOON","OK")))</f>
        <v/>
      </c>
      <c r="U1894" s="24" t="str">
        <f aca="false">IF(AND(C1894="Own",Q1894="Active"),COUNTIFS($C$5:C1894,"Own",$Q$5:Q1894,"Active"),"")</f>
        <v/>
      </c>
      <c r="V1894" s="26" t="str">
        <f aca="false">IF(C1894&lt;&gt;"Own","",IF(K1894="Hourly",N1894,(L1894+M1894)/(Settings!$B$11*Settings!$B$12)))</f>
        <v/>
      </c>
    </row>
    <row r="1895" customFormat="false" ht="15" hidden="false" customHeight="false" outlineLevel="0" collapsed="false">
      <c r="R1895" s="25" t="str">
        <f aca="true">IF(I1895="","",I1895-TODAY())</f>
        <v/>
      </c>
      <c r="S1895" s="25" t="str">
        <f aca="true">IF(J1895="","",J1895-TODAY())</f>
        <v/>
      </c>
      <c r="T1895" s="24" t="str">
        <f aca="false">IF(A1895="","",IF(OR(AND(R1895&lt;&gt;"",R1895&lt;0),AND(S1895&lt;&gt;"",S1895&lt;0)),"EXPIRED",IF(OR(AND(R1895&lt;&gt;"",R1895&lt;=Settings!$B$15),AND(S1895&lt;&gt;"",S1895&lt;=Settings!$B$15)),"EXPIRING SOON","OK")))</f>
        <v/>
      </c>
      <c r="U1895" s="24" t="str">
        <f aca="false">IF(AND(C1895="Own",Q1895="Active"),COUNTIFS($C$5:C1895,"Own",$Q$5:Q1895,"Active"),"")</f>
        <v/>
      </c>
      <c r="V1895" s="26" t="str">
        <f aca="false">IF(C1895&lt;&gt;"Own","",IF(K1895="Hourly",N1895,(L1895+M1895)/(Settings!$B$11*Settings!$B$12)))</f>
        <v/>
      </c>
    </row>
    <row r="1896" customFormat="false" ht="15" hidden="false" customHeight="false" outlineLevel="0" collapsed="false">
      <c r="R1896" s="25" t="str">
        <f aca="true">IF(I1896="","",I1896-TODAY())</f>
        <v/>
      </c>
      <c r="S1896" s="25" t="str">
        <f aca="true">IF(J1896="","",J1896-TODAY())</f>
        <v/>
      </c>
      <c r="T1896" s="24" t="str">
        <f aca="false">IF(A1896="","",IF(OR(AND(R1896&lt;&gt;"",R1896&lt;0),AND(S1896&lt;&gt;"",S1896&lt;0)),"EXPIRED",IF(OR(AND(R1896&lt;&gt;"",R1896&lt;=Settings!$B$15),AND(S1896&lt;&gt;"",S1896&lt;=Settings!$B$15)),"EXPIRING SOON","OK")))</f>
        <v/>
      </c>
      <c r="U1896" s="24" t="str">
        <f aca="false">IF(AND(C1896="Own",Q1896="Active"),COUNTIFS($C$5:C1896,"Own",$Q$5:Q1896,"Active"),"")</f>
        <v/>
      </c>
      <c r="V1896" s="26" t="str">
        <f aca="false">IF(C1896&lt;&gt;"Own","",IF(K1896="Hourly",N1896,(L1896+M1896)/(Settings!$B$11*Settings!$B$12)))</f>
        <v/>
      </c>
    </row>
    <row r="1897" customFormat="false" ht="15" hidden="false" customHeight="false" outlineLevel="0" collapsed="false">
      <c r="R1897" s="25" t="str">
        <f aca="true">IF(I1897="","",I1897-TODAY())</f>
        <v/>
      </c>
      <c r="S1897" s="25" t="str">
        <f aca="true">IF(J1897="","",J1897-TODAY())</f>
        <v/>
      </c>
      <c r="T1897" s="24" t="str">
        <f aca="false">IF(A1897="","",IF(OR(AND(R1897&lt;&gt;"",R1897&lt;0),AND(S1897&lt;&gt;"",S1897&lt;0)),"EXPIRED",IF(OR(AND(R1897&lt;&gt;"",R1897&lt;=Settings!$B$15),AND(S1897&lt;&gt;"",S1897&lt;=Settings!$B$15)),"EXPIRING SOON","OK")))</f>
        <v/>
      </c>
      <c r="U1897" s="24" t="str">
        <f aca="false">IF(AND(C1897="Own",Q1897="Active"),COUNTIFS($C$5:C1897,"Own",$Q$5:Q1897,"Active"),"")</f>
        <v/>
      </c>
      <c r="V1897" s="26" t="str">
        <f aca="false">IF(C1897&lt;&gt;"Own","",IF(K1897="Hourly",N1897,(L1897+M1897)/(Settings!$B$11*Settings!$B$12)))</f>
        <v/>
      </c>
    </row>
    <row r="1898" customFormat="false" ht="15" hidden="false" customHeight="false" outlineLevel="0" collapsed="false">
      <c r="R1898" s="25" t="str">
        <f aca="true">IF(I1898="","",I1898-TODAY())</f>
        <v/>
      </c>
      <c r="S1898" s="25" t="str">
        <f aca="true">IF(J1898="","",J1898-TODAY())</f>
        <v/>
      </c>
      <c r="T1898" s="24" t="str">
        <f aca="false">IF(A1898="","",IF(OR(AND(R1898&lt;&gt;"",R1898&lt;0),AND(S1898&lt;&gt;"",S1898&lt;0)),"EXPIRED",IF(OR(AND(R1898&lt;&gt;"",R1898&lt;=Settings!$B$15),AND(S1898&lt;&gt;"",S1898&lt;=Settings!$B$15)),"EXPIRING SOON","OK")))</f>
        <v/>
      </c>
      <c r="U1898" s="24" t="str">
        <f aca="false">IF(AND(C1898="Own",Q1898="Active"),COUNTIFS($C$5:C1898,"Own",$Q$5:Q1898,"Active"),"")</f>
        <v/>
      </c>
      <c r="V1898" s="26" t="str">
        <f aca="false">IF(C1898&lt;&gt;"Own","",IF(K1898="Hourly",N1898,(L1898+M1898)/(Settings!$B$11*Settings!$B$12)))</f>
        <v/>
      </c>
    </row>
    <row r="1899" customFormat="false" ht="15" hidden="false" customHeight="false" outlineLevel="0" collapsed="false">
      <c r="R1899" s="25" t="str">
        <f aca="true">IF(I1899="","",I1899-TODAY())</f>
        <v/>
      </c>
      <c r="S1899" s="25" t="str">
        <f aca="true">IF(J1899="","",J1899-TODAY())</f>
        <v/>
      </c>
      <c r="T1899" s="24" t="str">
        <f aca="false">IF(A1899="","",IF(OR(AND(R1899&lt;&gt;"",R1899&lt;0),AND(S1899&lt;&gt;"",S1899&lt;0)),"EXPIRED",IF(OR(AND(R1899&lt;&gt;"",R1899&lt;=Settings!$B$15),AND(S1899&lt;&gt;"",S1899&lt;=Settings!$B$15)),"EXPIRING SOON","OK")))</f>
        <v/>
      </c>
      <c r="U1899" s="24" t="str">
        <f aca="false">IF(AND(C1899="Own",Q1899="Active"),COUNTIFS($C$5:C1899,"Own",$Q$5:Q1899,"Active"),"")</f>
        <v/>
      </c>
      <c r="V1899" s="26" t="str">
        <f aca="false">IF(C1899&lt;&gt;"Own","",IF(K1899="Hourly",N1899,(L1899+M1899)/(Settings!$B$11*Settings!$B$12)))</f>
        <v/>
      </c>
    </row>
    <row r="1900" customFormat="false" ht="15" hidden="false" customHeight="false" outlineLevel="0" collapsed="false">
      <c r="R1900" s="25" t="str">
        <f aca="true">IF(I1900="","",I1900-TODAY())</f>
        <v/>
      </c>
      <c r="S1900" s="25" t="str">
        <f aca="true">IF(J1900="","",J1900-TODAY())</f>
        <v/>
      </c>
      <c r="T1900" s="24" t="str">
        <f aca="false">IF(A1900="","",IF(OR(AND(R1900&lt;&gt;"",R1900&lt;0),AND(S1900&lt;&gt;"",S1900&lt;0)),"EXPIRED",IF(OR(AND(R1900&lt;&gt;"",R1900&lt;=Settings!$B$15),AND(S1900&lt;&gt;"",S1900&lt;=Settings!$B$15)),"EXPIRING SOON","OK")))</f>
        <v/>
      </c>
      <c r="U1900" s="24" t="str">
        <f aca="false">IF(AND(C1900="Own",Q1900="Active"),COUNTIFS($C$5:C1900,"Own",$Q$5:Q1900,"Active"),"")</f>
        <v/>
      </c>
      <c r="V1900" s="26" t="str">
        <f aca="false">IF(C1900&lt;&gt;"Own","",IF(K1900="Hourly",N1900,(L1900+M1900)/(Settings!$B$11*Settings!$B$12)))</f>
        <v/>
      </c>
    </row>
    <row r="1901" customFormat="false" ht="15" hidden="false" customHeight="false" outlineLevel="0" collapsed="false">
      <c r="R1901" s="25" t="str">
        <f aca="true">IF(I1901="","",I1901-TODAY())</f>
        <v/>
      </c>
      <c r="S1901" s="25" t="str">
        <f aca="true">IF(J1901="","",J1901-TODAY())</f>
        <v/>
      </c>
      <c r="T1901" s="24" t="str">
        <f aca="false">IF(A1901="","",IF(OR(AND(R1901&lt;&gt;"",R1901&lt;0),AND(S1901&lt;&gt;"",S1901&lt;0)),"EXPIRED",IF(OR(AND(R1901&lt;&gt;"",R1901&lt;=Settings!$B$15),AND(S1901&lt;&gt;"",S1901&lt;=Settings!$B$15)),"EXPIRING SOON","OK")))</f>
        <v/>
      </c>
      <c r="U1901" s="24" t="str">
        <f aca="false">IF(AND(C1901="Own",Q1901="Active"),COUNTIFS($C$5:C1901,"Own",$Q$5:Q1901,"Active"),"")</f>
        <v/>
      </c>
      <c r="V1901" s="26" t="str">
        <f aca="false">IF(C1901&lt;&gt;"Own","",IF(K1901="Hourly",N1901,(L1901+M1901)/(Settings!$B$11*Settings!$B$12)))</f>
        <v/>
      </c>
    </row>
    <row r="1902" customFormat="false" ht="15" hidden="false" customHeight="false" outlineLevel="0" collapsed="false">
      <c r="R1902" s="25" t="str">
        <f aca="true">IF(I1902="","",I1902-TODAY())</f>
        <v/>
      </c>
      <c r="S1902" s="25" t="str">
        <f aca="true">IF(J1902="","",J1902-TODAY())</f>
        <v/>
      </c>
      <c r="T1902" s="24" t="str">
        <f aca="false">IF(A1902="","",IF(OR(AND(R1902&lt;&gt;"",R1902&lt;0),AND(S1902&lt;&gt;"",S1902&lt;0)),"EXPIRED",IF(OR(AND(R1902&lt;&gt;"",R1902&lt;=Settings!$B$15),AND(S1902&lt;&gt;"",S1902&lt;=Settings!$B$15)),"EXPIRING SOON","OK")))</f>
        <v/>
      </c>
      <c r="U1902" s="24" t="str">
        <f aca="false">IF(AND(C1902="Own",Q1902="Active"),COUNTIFS($C$5:C1902,"Own",$Q$5:Q1902,"Active"),"")</f>
        <v/>
      </c>
      <c r="V1902" s="26" t="str">
        <f aca="false">IF(C1902&lt;&gt;"Own","",IF(K1902="Hourly",N1902,(L1902+M1902)/(Settings!$B$11*Settings!$B$12)))</f>
        <v/>
      </c>
    </row>
    <row r="1903" customFormat="false" ht="15" hidden="false" customHeight="false" outlineLevel="0" collapsed="false">
      <c r="R1903" s="25" t="str">
        <f aca="true">IF(I1903="","",I1903-TODAY())</f>
        <v/>
      </c>
      <c r="S1903" s="25" t="str">
        <f aca="true">IF(J1903="","",J1903-TODAY())</f>
        <v/>
      </c>
      <c r="T1903" s="24" t="str">
        <f aca="false">IF(A1903="","",IF(OR(AND(R1903&lt;&gt;"",R1903&lt;0),AND(S1903&lt;&gt;"",S1903&lt;0)),"EXPIRED",IF(OR(AND(R1903&lt;&gt;"",R1903&lt;=Settings!$B$15),AND(S1903&lt;&gt;"",S1903&lt;=Settings!$B$15)),"EXPIRING SOON","OK")))</f>
        <v/>
      </c>
      <c r="U1903" s="24" t="str">
        <f aca="false">IF(AND(C1903="Own",Q1903="Active"),COUNTIFS($C$5:C1903,"Own",$Q$5:Q1903,"Active"),"")</f>
        <v/>
      </c>
      <c r="V1903" s="26" t="str">
        <f aca="false">IF(C1903&lt;&gt;"Own","",IF(K1903="Hourly",N1903,(L1903+M1903)/(Settings!$B$11*Settings!$B$12)))</f>
        <v/>
      </c>
    </row>
    <row r="1904" customFormat="false" ht="15" hidden="false" customHeight="false" outlineLevel="0" collapsed="false">
      <c r="R1904" s="25" t="str">
        <f aca="true">IF(I1904="","",I1904-TODAY())</f>
        <v/>
      </c>
      <c r="S1904" s="25" t="str">
        <f aca="true">IF(J1904="","",J1904-TODAY())</f>
        <v/>
      </c>
      <c r="T1904" s="24" t="str">
        <f aca="false">IF(A1904="","",IF(OR(AND(R1904&lt;&gt;"",R1904&lt;0),AND(S1904&lt;&gt;"",S1904&lt;0)),"EXPIRED",IF(OR(AND(R1904&lt;&gt;"",R1904&lt;=Settings!$B$15),AND(S1904&lt;&gt;"",S1904&lt;=Settings!$B$15)),"EXPIRING SOON","OK")))</f>
        <v/>
      </c>
      <c r="U1904" s="24" t="str">
        <f aca="false">IF(AND(C1904="Own",Q1904="Active"),COUNTIFS($C$5:C1904,"Own",$Q$5:Q1904,"Active"),"")</f>
        <v/>
      </c>
      <c r="V1904" s="26" t="str">
        <f aca="false">IF(C1904&lt;&gt;"Own","",IF(K1904="Hourly",N1904,(L1904+M1904)/(Settings!$B$11*Settings!$B$12)))</f>
        <v/>
      </c>
    </row>
    <row r="1905" customFormat="false" ht="15" hidden="false" customHeight="false" outlineLevel="0" collapsed="false">
      <c r="R1905" s="25" t="str">
        <f aca="true">IF(I1905="","",I1905-TODAY())</f>
        <v/>
      </c>
      <c r="S1905" s="25" t="str">
        <f aca="true">IF(J1905="","",J1905-TODAY())</f>
        <v/>
      </c>
      <c r="T1905" s="24" t="str">
        <f aca="false">IF(A1905="","",IF(OR(AND(R1905&lt;&gt;"",R1905&lt;0),AND(S1905&lt;&gt;"",S1905&lt;0)),"EXPIRED",IF(OR(AND(R1905&lt;&gt;"",R1905&lt;=Settings!$B$15),AND(S1905&lt;&gt;"",S1905&lt;=Settings!$B$15)),"EXPIRING SOON","OK")))</f>
        <v/>
      </c>
      <c r="U1905" s="24" t="str">
        <f aca="false">IF(AND(C1905="Own",Q1905="Active"),COUNTIFS($C$5:C1905,"Own",$Q$5:Q1905,"Active"),"")</f>
        <v/>
      </c>
      <c r="V1905" s="26" t="str">
        <f aca="false">IF(C1905&lt;&gt;"Own","",IF(K1905="Hourly",N1905,(L1905+M1905)/(Settings!$B$11*Settings!$B$12)))</f>
        <v/>
      </c>
    </row>
    <row r="1906" customFormat="false" ht="15" hidden="false" customHeight="false" outlineLevel="0" collapsed="false">
      <c r="R1906" s="25" t="str">
        <f aca="true">IF(I1906="","",I1906-TODAY())</f>
        <v/>
      </c>
      <c r="S1906" s="25" t="str">
        <f aca="true">IF(J1906="","",J1906-TODAY())</f>
        <v/>
      </c>
      <c r="T1906" s="24" t="str">
        <f aca="false">IF(A1906="","",IF(OR(AND(R1906&lt;&gt;"",R1906&lt;0),AND(S1906&lt;&gt;"",S1906&lt;0)),"EXPIRED",IF(OR(AND(R1906&lt;&gt;"",R1906&lt;=Settings!$B$15),AND(S1906&lt;&gt;"",S1906&lt;=Settings!$B$15)),"EXPIRING SOON","OK")))</f>
        <v/>
      </c>
      <c r="U1906" s="24" t="str">
        <f aca="false">IF(AND(C1906="Own",Q1906="Active"),COUNTIFS($C$5:C1906,"Own",$Q$5:Q1906,"Active"),"")</f>
        <v/>
      </c>
      <c r="V1906" s="26" t="str">
        <f aca="false">IF(C1906&lt;&gt;"Own","",IF(K1906="Hourly",N1906,(L1906+M1906)/(Settings!$B$11*Settings!$B$12)))</f>
        <v/>
      </c>
    </row>
    <row r="1907" customFormat="false" ht="15" hidden="false" customHeight="false" outlineLevel="0" collapsed="false">
      <c r="R1907" s="25" t="str">
        <f aca="true">IF(I1907="","",I1907-TODAY())</f>
        <v/>
      </c>
      <c r="S1907" s="25" t="str">
        <f aca="true">IF(J1907="","",J1907-TODAY())</f>
        <v/>
      </c>
      <c r="T1907" s="24" t="str">
        <f aca="false">IF(A1907="","",IF(OR(AND(R1907&lt;&gt;"",R1907&lt;0),AND(S1907&lt;&gt;"",S1907&lt;0)),"EXPIRED",IF(OR(AND(R1907&lt;&gt;"",R1907&lt;=Settings!$B$15),AND(S1907&lt;&gt;"",S1907&lt;=Settings!$B$15)),"EXPIRING SOON","OK")))</f>
        <v/>
      </c>
      <c r="U1907" s="24" t="str">
        <f aca="false">IF(AND(C1907="Own",Q1907="Active"),COUNTIFS($C$5:C1907,"Own",$Q$5:Q1907,"Active"),"")</f>
        <v/>
      </c>
      <c r="V1907" s="26" t="str">
        <f aca="false">IF(C1907&lt;&gt;"Own","",IF(K1907="Hourly",N1907,(L1907+M1907)/(Settings!$B$11*Settings!$B$12)))</f>
        <v/>
      </c>
    </row>
    <row r="1908" customFormat="false" ht="15" hidden="false" customHeight="false" outlineLevel="0" collapsed="false">
      <c r="R1908" s="25" t="str">
        <f aca="true">IF(I1908="","",I1908-TODAY())</f>
        <v/>
      </c>
      <c r="S1908" s="25" t="str">
        <f aca="true">IF(J1908="","",J1908-TODAY())</f>
        <v/>
      </c>
      <c r="T1908" s="24" t="str">
        <f aca="false">IF(A1908="","",IF(OR(AND(R1908&lt;&gt;"",R1908&lt;0),AND(S1908&lt;&gt;"",S1908&lt;0)),"EXPIRED",IF(OR(AND(R1908&lt;&gt;"",R1908&lt;=Settings!$B$15),AND(S1908&lt;&gt;"",S1908&lt;=Settings!$B$15)),"EXPIRING SOON","OK")))</f>
        <v/>
      </c>
      <c r="U1908" s="24" t="str">
        <f aca="false">IF(AND(C1908="Own",Q1908="Active"),COUNTIFS($C$5:C1908,"Own",$Q$5:Q1908,"Active"),"")</f>
        <v/>
      </c>
      <c r="V1908" s="26" t="str">
        <f aca="false">IF(C1908&lt;&gt;"Own","",IF(K1908="Hourly",N1908,(L1908+M1908)/(Settings!$B$11*Settings!$B$12)))</f>
        <v/>
      </c>
    </row>
    <row r="1909" customFormat="false" ht="15" hidden="false" customHeight="false" outlineLevel="0" collapsed="false">
      <c r="R1909" s="25" t="str">
        <f aca="true">IF(I1909="","",I1909-TODAY())</f>
        <v/>
      </c>
      <c r="S1909" s="25" t="str">
        <f aca="true">IF(J1909="","",J1909-TODAY())</f>
        <v/>
      </c>
      <c r="T1909" s="24" t="str">
        <f aca="false">IF(A1909="","",IF(OR(AND(R1909&lt;&gt;"",R1909&lt;0),AND(S1909&lt;&gt;"",S1909&lt;0)),"EXPIRED",IF(OR(AND(R1909&lt;&gt;"",R1909&lt;=Settings!$B$15),AND(S1909&lt;&gt;"",S1909&lt;=Settings!$B$15)),"EXPIRING SOON","OK")))</f>
        <v/>
      </c>
      <c r="U1909" s="24" t="str">
        <f aca="false">IF(AND(C1909="Own",Q1909="Active"),COUNTIFS($C$5:C1909,"Own",$Q$5:Q1909,"Active"),"")</f>
        <v/>
      </c>
      <c r="V1909" s="26" t="str">
        <f aca="false">IF(C1909&lt;&gt;"Own","",IF(K1909="Hourly",N1909,(L1909+M1909)/(Settings!$B$11*Settings!$B$12)))</f>
        <v/>
      </c>
    </row>
    <row r="1910" customFormat="false" ht="15" hidden="false" customHeight="false" outlineLevel="0" collapsed="false">
      <c r="R1910" s="25" t="str">
        <f aca="true">IF(I1910="","",I1910-TODAY())</f>
        <v/>
      </c>
      <c r="S1910" s="25" t="str">
        <f aca="true">IF(J1910="","",J1910-TODAY())</f>
        <v/>
      </c>
      <c r="T1910" s="24" t="str">
        <f aca="false">IF(A1910="","",IF(OR(AND(R1910&lt;&gt;"",R1910&lt;0),AND(S1910&lt;&gt;"",S1910&lt;0)),"EXPIRED",IF(OR(AND(R1910&lt;&gt;"",R1910&lt;=Settings!$B$15),AND(S1910&lt;&gt;"",S1910&lt;=Settings!$B$15)),"EXPIRING SOON","OK")))</f>
        <v/>
      </c>
      <c r="U1910" s="24" t="str">
        <f aca="false">IF(AND(C1910="Own",Q1910="Active"),COUNTIFS($C$5:C1910,"Own",$Q$5:Q1910,"Active"),"")</f>
        <v/>
      </c>
      <c r="V1910" s="26" t="str">
        <f aca="false">IF(C1910&lt;&gt;"Own","",IF(K1910="Hourly",N1910,(L1910+M1910)/(Settings!$B$11*Settings!$B$12)))</f>
        <v/>
      </c>
    </row>
    <row r="1911" customFormat="false" ht="15" hidden="false" customHeight="false" outlineLevel="0" collapsed="false">
      <c r="R1911" s="25" t="str">
        <f aca="true">IF(I1911="","",I1911-TODAY())</f>
        <v/>
      </c>
      <c r="S1911" s="25" t="str">
        <f aca="true">IF(J1911="","",J1911-TODAY())</f>
        <v/>
      </c>
      <c r="T1911" s="24" t="str">
        <f aca="false">IF(A1911="","",IF(OR(AND(R1911&lt;&gt;"",R1911&lt;0),AND(S1911&lt;&gt;"",S1911&lt;0)),"EXPIRED",IF(OR(AND(R1911&lt;&gt;"",R1911&lt;=Settings!$B$15),AND(S1911&lt;&gt;"",S1911&lt;=Settings!$B$15)),"EXPIRING SOON","OK")))</f>
        <v/>
      </c>
      <c r="U1911" s="24" t="str">
        <f aca="false">IF(AND(C1911="Own",Q1911="Active"),COUNTIFS($C$5:C1911,"Own",$Q$5:Q1911,"Active"),"")</f>
        <v/>
      </c>
      <c r="V1911" s="26" t="str">
        <f aca="false">IF(C1911&lt;&gt;"Own","",IF(K1911="Hourly",N1911,(L1911+M1911)/(Settings!$B$11*Settings!$B$12)))</f>
        <v/>
      </c>
    </row>
    <row r="1912" customFormat="false" ht="15" hidden="false" customHeight="false" outlineLevel="0" collapsed="false">
      <c r="R1912" s="25" t="str">
        <f aca="true">IF(I1912="","",I1912-TODAY())</f>
        <v/>
      </c>
      <c r="S1912" s="25" t="str">
        <f aca="true">IF(J1912="","",J1912-TODAY())</f>
        <v/>
      </c>
      <c r="T1912" s="24" t="str">
        <f aca="false">IF(A1912="","",IF(OR(AND(R1912&lt;&gt;"",R1912&lt;0),AND(S1912&lt;&gt;"",S1912&lt;0)),"EXPIRED",IF(OR(AND(R1912&lt;&gt;"",R1912&lt;=Settings!$B$15),AND(S1912&lt;&gt;"",S1912&lt;=Settings!$B$15)),"EXPIRING SOON","OK")))</f>
        <v/>
      </c>
      <c r="U1912" s="24" t="str">
        <f aca="false">IF(AND(C1912="Own",Q1912="Active"),COUNTIFS($C$5:C1912,"Own",$Q$5:Q1912,"Active"),"")</f>
        <v/>
      </c>
      <c r="V1912" s="26" t="str">
        <f aca="false">IF(C1912&lt;&gt;"Own","",IF(K1912="Hourly",N1912,(L1912+M1912)/(Settings!$B$11*Settings!$B$12)))</f>
        <v/>
      </c>
    </row>
    <row r="1913" customFormat="false" ht="15" hidden="false" customHeight="false" outlineLevel="0" collapsed="false">
      <c r="R1913" s="25" t="str">
        <f aca="true">IF(I1913="","",I1913-TODAY())</f>
        <v/>
      </c>
      <c r="S1913" s="25" t="str">
        <f aca="true">IF(J1913="","",J1913-TODAY())</f>
        <v/>
      </c>
      <c r="T1913" s="24" t="str">
        <f aca="false">IF(A1913="","",IF(OR(AND(R1913&lt;&gt;"",R1913&lt;0),AND(S1913&lt;&gt;"",S1913&lt;0)),"EXPIRED",IF(OR(AND(R1913&lt;&gt;"",R1913&lt;=Settings!$B$15),AND(S1913&lt;&gt;"",S1913&lt;=Settings!$B$15)),"EXPIRING SOON","OK")))</f>
        <v/>
      </c>
      <c r="U1913" s="24" t="str">
        <f aca="false">IF(AND(C1913="Own",Q1913="Active"),COUNTIFS($C$5:C1913,"Own",$Q$5:Q1913,"Active"),"")</f>
        <v/>
      </c>
      <c r="V1913" s="26" t="str">
        <f aca="false">IF(C1913&lt;&gt;"Own","",IF(K1913="Hourly",N1913,(L1913+M1913)/(Settings!$B$11*Settings!$B$12)))</f>
        <v/>
      </c>
    </row>
    <row r="1914" customFormat="false" ht="15" hidden="false" customHeight="false" outlineLevel="0" collapsed="false">
      <c r="R1914" s="25" t="str">
        <f aca="true">IF(I1914="","",I1914-TODAY())</f>
        <v/>
      </c>
      <c r="S1914" s="25" t="str">
        <f aca="true">IF(J1914="","",J1914-TODAY())</f>
        <v/>
      </c>
      <c r="T1914" s="24" t="str">
        <f aca="false">IF(A1914="","",IF(OR(AND(R1914&lt;&gt;"",R1914&lt;0),AND(S1914&lt;&gt;"",S1914&lt;0)),"EXPIRED",IF(OR(AND(R1914&lt;&gt;"",R1914&lt;=Settings!$B$15),AND(S1914&lt;&gt;"",S1914&lt;=Settings!$B$15)),"EXPIRING SOON","OK")))</f>
        <v/>
      </c>
      <c r="U1914" s="24" t="str">
        <f aca="false">IF(AND(C1914="Own",Q1914="Active"),COUNTIFS($C$5:C1914,"Own",$Q$5:Q1914,"Active"),"")</f>
        <v/>
      </c>
      <c r="V1914" s="26" t="str">
        <f aca="false">IF(C1914&lt;&gt;"Own","",IF(K1914="Hourly",N1914,(L1914+M1914)/(Settings!$B$11*Settings!$B$12)))</f>
        <v/>
      </c>
    </row>
    <row r="1915" customFormat="false" ht="15" hidden="false" customHeight="false" outlineLevel="0" collapsed="false">
      <c r="R1915" s="25" t="str">
        <f aca="true">IF(I1915="","",I1915-TODAY())</f>
        <v/>
      </c>
      <c r="S1915" s="25" t="str">
        <f aca="true">IF(J1915="","",J1915-TODAY())</f>
        <v/>
      </c>
      <c r="T1915" s="24" t="str">
        <f aca="false">IF(A1915="","",IF(OR(AND(R1915&lt;&gt;"",R1915&lt;0),AND(S1915&lt;&gt;"",S1915&lt;0)),"EXPIRED",IF(OR(AND(R1915&lt;&gt;"",R1915&lt;=Settings!$B$15),AND(S1915&lt;&gt;"",S1915&lt;=Settings!$B$15)),"EXPIRING SOON","OK")))</f>
        <v/>
      </c>
      <c r="U1915" s="24" t="str">
        <f aca="false">IF(AND(C1915="Own",Q1915="Active"),COUNTIFS($C$5:C1915,"Own",$Q$5:Q1915,"Active"),"")</f>
        <v/>
      </c>
      <c r="V1915" s="26" t="str">
        <f aca="false">IF(C1915&lt;&gt;"Own","",IF(K1915="Hourly",N1915,(L1915+M1915)/(Settings!$B$11*Settings!$B$12)))</f>
        <v/>
      </c>
    </row>
    <row r="1916" customFormat="false" ht="15" hidden="false" customHeight="false" outlineLevel="0" collapsed="false">
      <c r="R1916" s="25" t="str">
        <f aca="true">IF(I1916="","",I1916-TODAY())</f>
        <v/>
      </c>
      <c r="S1916" s="25" t="str">
        <f aca="true">IF(J1916="","",J1916-TODAY())</f>
        <v/>
      </c>
      <c r="T1916" s="24" t="str">
        <f aca="false">IF(A1916="","",IF(OR(AND(R1916&lt;&gt;"",R1916&lt;0),AND(S1916&lt;&gt;"",S1916&lt;0)),"EXPIRED",IF(OR(AND(R1916&lt;&gt;"",R1916&lt;=Settings!$B$15),AND(S1916&lt;&gt;"",S1916&lt;=Settings!$B$15)),"EXPIRING SOON","OK")))</f>
        <v/>
      </c>
      <c r="U1916" s="24" t="str">
        <f aca="false">IF(AND(C1916="Own",Q1916="Active"),COUNTIFS($C$5:C1916,"Own",$Q$5:Q1916,"Active"),"")</f>
        <v/>
      </c>
      <c r="V1916" s="26" t="str">
        <f aca="false">IF(C1916&lt;&gt;"Own","",IF(K1916="Hourly",N1916,(L1916+M1916)/(Settings!$B$11*Settings!$B$12)))</f>
        <v/>
      </c>
    </row>
    <row r="1917" customFormat="false" ht="15" hidden="false" customHeight="false" outlineLevel="0" collapsed="false">
      <c r="R1917" s="25" t="str">
        <f aca="true">IF(I1917="","",I1917-TODAY())</f>
        <v/>
      </c>
      <c r="S1917" s="25" t="str">
        <f aca="true">IF(J1917="","",J1917-TODAY())</f>
        <v/>
      </c>
      <c r="T1917" s="24" t="str">
        <f aca="false">IF(A1917="","",IF(OR(AND(R1917&lt;&gt;"",R1917&lt;0),AND(S1917&lt;&gt;"",S1917&lt;0)),"EXPIRED",IF(OR(AND(R1917&lt;&gt;"",R1917&lt;=Settings!$B$15),AND(S1917&lt;&gt;"",S1917&lt;=Settings!$B$15)),"EXPIRING SOON","OK")))</f>
        <v/>
      </c>
      <c r="U1917" s="24" t="str">
        <f aca="false">IF(AND(C1917="Own",Q1917="Active"),COUNTIFS($C$5:C1917,"Own",$Q$5:Q1917,"Active"),"")</f>
        <v/>
      </c>
      <c r="V1917" s="26" t="str">
        <f aca="false">IF(C1917&lt;&gt;"Own","",IF(K1917="Hourly",N1917,(L1917+M1917)/(Settings!$B$11*Settings!$B$12)))</f>
        <v/>
      </c>
    </row>
    <row r="1918" customFormat="false" ht="15" hidden="false" customHeight="false" outlineLevel="0" collapsed="false">
      <c r="R1918" s="25" t="str">
        <f aca="true">IF(I1918="","",I1918-TODAY())</f>
        <v/>
      </c>
      <c r="S1918" s="25" t="str">
        <f aca="true">IF(J1918="","",J1918-TODAY())</f>
        <v/>
      </c>
      <c r="T1918" s="24" t="str">
        <f aca="false">IF(A1918="","",IF(OR(AND(R1918&lt;&gt;"",R1918&lt;0),AND(S1918&lt;&gt;"",S1918&lt;0)),"EXPIRED",IF(OR(AND(R1918&lt;&gt;"",R1918&lt;=Settings!$B$15),AND(S1918&lt;&gt;"",S1918&lt;=Settings!$B$15)),"EXPIRING SOON","OK")))</f>
        <v/>
      </c>
      <c r="U1918" s="24" t="str">
        <f aca="false">IF(AND(C1918="Own",Q1918="Active"),COUNTIFS($C$5:C1918,"Own",$Q$5:Q1918,"Active"),"")</f>
        <v/>
      </c>
      <c r="V1918" s="26" t="str">
        <f aca="false">IF(C1918&lt;&gt;"Own","",IF(K1918="Hourly",N1918,(L1918+M1918)/(Settings!$B$11*Settings!$B$12)))</f>
        <v/>
      </c>
    </row>
    <row r="1919" customFormat="false" ht="15" hidden="false" customHeight="false" outlineLevel="0" collapsed="false">
      <c r="R1919" s="25" t="str">
        <f aca="true">IF(I1919="","",I1919-TODAY())</f>
        <v/>
      </c>
      <c r="S1919" s="25" t="str">
        <f aca="true">IF(J1919="","",J1919-TODAY())</f>
        <v/>
      </c>
      <c r="T1919" s="24" t="str">
        <f aca="false">IF(A1919="","",IF(OR(AND(R1919&lt;&gt;"",R1919&lt;0),AND(S1919&lt;&gt;"",S1919&lt;0)),"EXPIRED",IF(OR(AND(R1919&lt;&gt;"",R1919&lt;=Settings!$B$15),AND(S1919&lt;&gt;"",S1919&lt;=Settings!$B$15)),"EXPIRING SOON","OK")))</f>
        <v/>
      </c>
      <c r="U1919" s="24" t="str">
        <f aca="false">IF(AND(C1919="Own",Q1919="Active"),COUNTIFS($C$5:C1919,"Own",$Q$5:Q1919,"Active"),"")</f>
        <v/>
      </c>
      <c r="V1919" s="26" t="str">
        <f aca="false">IF(C1919&lt;&gt;"Own","",IF(K1919="Hourly",N1919,(L1919+M1919)/(Settings!$B$11*Settings!$B$12)))</f>
        <v/>
      </c>
    </row>
    <row r="1920" customFormat="false" ht="15" hidden="false" customHeight="false" outlineLevel="0" collapsed="false">
      <c r="R1920" s="25" t="str">
        <f aca="true">IF(I1920="","",I1920-TODAY())</f>
        <v/>
      </c>
      <c r="S1920" s="25" t="str">
        <f aca="true">IF(J1920="","",J1920-TODAY())</f>
        <v/>
      </c>
      <c r="T1920" s="24" t="str">
        <f aca="false">IF(A1920="","",IF(OR(AND(R1920&lt;&gt;"",R1920&lt;0),AND(S1920&lt;&gt;"",S1920&lt;0)),"EXPIRED",IF(OR(AND(R1920&lt;&gt;"",R1920&lt;=Settings!$B$15),AND(S1920&lt;&gt;"",S1920&lt;=Settings!$B$15)),"EXPIRING SOON","OK")))</f>
        <v/>
      </c>
      <c r="U1920" s="24" t="str">
        <f aca="false">IF(AND(C1920="Own",Q1920="Active"),COUNTIFS($C$5:C1920,"Own",$Q$5:Q1920,"Active"),"")</f>
        <v/>
      </c>
      <c r="V1920" s="26" t="str">
        <f aca="false">IF(C1920&lt;&gt;"Own","",IF(K1920="Hourly",N1920,(L1920+M1920)/(Settings!$B$11*Settings!$B$12)))</f>
        <v/>
      </c>
    </row>
    <row r="1921" customFormat="false" ht="15" hidden="false" customHeight="false" outlineLevel="0" collapsed="false">
      <c r="R1921" s="25" t="str">
        <f aca="true">IF(I1921="","",I1921-TODAY())</f>
        <v/>
      </c>
      <c r="S1921" s="25" t="str">
        <f aca="true">IF(J1921="","",J1921-TODAY())</f>
        <v/>
      </c>
      <c r="T1921" s="24" t="str">
        <f aca="false">IF(A1921="","",IF(OR(AND(R1921&lt;&gt;"",R1921&lt;0),AND(S1921&lt;&gt;"",S1921&lt;0)),"EXPIRED",IF(OR(AND(R1921&lt;&gt;"",R1921&lt;=Settings!$B$15),AND(S1921&lt;&gt;"",S1921&lt;=Settings!$B$15)),"EXPIRING SOON","OK")))</f>
        <v/>
      </c>
      <c r="U1921" s="24" t="str">
        <f aca="false">IF(AND(C1921="Own",Q1921="Active"),COUNTIFS($C$5:C1921,"Own",$Q$5:Q1921,"Active"),"")</f>
        <v/>
      </c>
      <c r="V1921" s="26" t="str">
        <f aca="false">IF(C1921&lt;&gt;"Own","",IF(K1921="Hourly",N1921,(L1921+M1921)/(Settings!$B$11*Settings!$B$12)))</f>
        <v/>
      </c>
    </row>
    <row r="1922" customFormat="false" ht="15" hidden="false" customHeight="false" outlineLevel="0" collapsed="false">
      <c r="R1922" s="25" t="str">
        <f aca="true">IF(I1922="","",I1922-TODAY())</f>
        <v/>
      </c>
      <c r="S1922" s="25" t="str">
        <f aca="true">IF(J1922="","",J1922-TODAY())</f>
        <v/>
      </c>
      <c r="T1922" s="24" t="str">
        <f aca="false">IF(A1922="","",IF(OR(AND(R1922&lt;&gt;"",R1922&lt;0),AND(S1922&lt;&gt;"",S1922&lt;0)),"EXPIRED",IF(OR(AND(R1922&lt;&gt;"",R1922&lt;=Settings!$B$15),AND(S1922&lt;&gt;"",S1922&lt;=Settings!$B$15)),"EXPIRING SOON","OK")))</f>
        <v/>
      </c>
      <c r="U1922" s="24" t="str">
        <f aca="false">IF(AND(C1922="Own",Q1922="Active"),COUNTIFS($C$5:C1922,"Own",$Q$5:Q1922,"Active"),"")</f>
        <v/>
      </c>
      <c r="V1922" s="26" t="str">
        <f aca="false">IF(C1922&lt;&gt;"Own","",IF(K1922="Hourly",N1922,(L1922+M1922)/(Settings!$B$11*Settings!$B$12)))</f>
        <v/>
      </c>
    </row>
    <row r="1923" customFormat="false" ht="15" hidden="false" customHeight="false" outlineLevel="0" collapsed="false">
      <c r="R1923" s="25" t="str">
        <f aca="true">IF(I1923="","",I1923-TODAY())</f>
        <v/>
      </c>
      <c r="S1923" s="25" t="str">
        <f aca="true">IF(J1923="","",J1923-TODAY())</f>
        <v/>
      </c>
      <c r="T1923" s="24" t="str">
        <f aca="false">IF(A1923="","",IF(OR(AND(R1923&lt;&gt;"",R1923&lt;0),AND(S1923&lt;&gt;"",S1923&lt;0)),"EXPIRED",IF(OR(AND(R1923&lt;&gt;"",R1923&lt;=Settings!$B$15),AND(S1923&lt;&gt;"",S1923&lt;=Settings!$B$15)),"EXPIRING SOON","OK")))</f>
        <v/>
      </c>
      <c r="U1923" s="24" t="str">
        <f aca="false">IF(AND(C1923="Own",Q1923="Active"),COUNTIFS($C$5:C1923,"Own",$Q$5:Q1923,"Active"),"")</f>
        <v/>
      </c>
      <c r="V1923" s="26" t="str">
        <f aca="false">IF(C1923&lt;&gt;"Own","",IF(K1923="Hourly",N1923,(L1923+M1923)/(Settings!$B$11*Settings!$B$12)))</f>
        <v/>
      </c>
    </row>
    <row r="1924" customFormat="false" ht="15" hidden="false" customHeight="false" outlineLevel="0" collapsed="false">
      <c r="R1924" s="25" t="str">
        <f aca="true">IF(I1924="","",I1924-TODAY())</f>
        <v/>
      </c>
      <c r="S1924" s="25" t="str">
        <f aca="true">IF(J1924="","",J1924-TODAY())</f>
        <v/>
      </c>
      <c r="T1924" s="24" t="str">
        <f aca="false">IF(A1924="","",IF(OR(AND(R1924&lt;&gt;"",R1924&lt;0),AND(S1924&lt;&gt;"",S1924&lt;0)),"EXPIRED",IF(OR(AND(R1924&lt;&gt;"",R1924&lt;=Settings!$B$15),AND(S1924&lt;&gt;"",S1924&lt;=Settings!$B$15)),"EXPIRING SOON","OK")))</f>
        <v/>
      </c>
      <c r="U1924" s="24" t="str">
        <f aca="false">IF(AND(C1924="Own",Q1924="Active"),COUNTIFS($C$5:C1924,"Own",$Q$5:Q1924,"Active"),"")</f>
        <v/>
      </c>
      <c r="V1924" s="26" t="str">
        <f aca="false">IF(C1924&lt;&gt;"Own","",IF(K1924="Hourly",N1924,(L1924+M1924)/(Settings!$B$11*Settings!$B$12)))</f>
        <v/>
      </c>
    </row>
    <row r="1925" customFormat="false" ht="15" hidden="false" customHeight="false" outlineLevel="0" collapsed="false">
      <c r="R1925" s="25" t="str">
        <f aca="true">IF(I1925="","",I1925-TODAY())</f>
        <v/>
      </c>
      <c r="S1925" s="25" t="str">
        <f aca="true">IF(J1925="","",J1925-TODAY())</f>
        <v/>
      </c>
      <c r="T1925" s="24" t="str">
        <f aca="false">IF(A1925="","",IF(OR(AND(R1925&lt;&gt;"",R1925&lt;0),AND(S1925&lt;&gt;"",S1925&lt;0)),"EXPIRED",IF(OR(AND(R1925&lt;&gt;"",R1925&lt;=Settings!$B$15),AND(S1925&lt;&gt;"",S1925&lt;=Settings!$B$15)),"EXPIRING SOON","OK")))</f>
        <v/>
      </c>
      <c r="U1925" s="24" t="str">
        <f aca="false">IF(AND(C1925="Own",Q1925="Active"),COUNTIFS($C$5:C1925,"Own",$Q$5:Q1925,"Active"),"")</f>
        <v/>
      </c>
      <c r="V1925" s="26" t="str">
        <f aca="false">IF(C1925&lt;&gt;"Own","",IF(K1925="Hourly",N1925,(L1925+M1925)/(Settings!$B$11*Settings!$B$12)))</f>
        <v/>
      </c>
    </row>
    <row r="1926" customFormat="false" ht="15" hidden="false" customHeight="false" outlineLevel="0" collapsed="false">
      <c r="R1926" s="25" t="str">
        <f aca="true">IF(I1926="","",I1926-TODAY())</f>
        <v/>
      </c>
      <c r="S1926" s="25" t="str">
        <f aca="true">IF(J1926="","",J1926-TODAY())</f>
        <v/>
      </c>
      <c r="T1926" s="24" t="str">
        <f aca="false">IF(A1926="","",IF(OR(AND(R1926&lt;&gt;"",R1926&lt;0),AND(S1926&lt;&gt;"",S1926&lt;0)),"EXPIRED",IF(OR(AND(R1926&lt;&gt;"",R1926&lt;=Settings!$B$15),AND(S1926&lt;&gt;"",S1926&lt;=Settings!$B$15)),"EXPIRING SOON","OK")))</f>
        <v/>
      </c>
      <c r="U1926" s="24" t="str">
        <f aca="false">IF(AND(C1926="Own",Q1926="Active"),COUNTIFS($C$5:C1926,"Own",$Q$5:Q1926,"Active"),"")</f>
        <v/>
      </c>
      <c r="V1926" s="26" t="str">
        <f aca="false">IF(C1926&lt;&gt;"Own","",IF(K1926="Hourly",N1926,(L1926+M1926)/(Settings!$B$11*Settings!$B$12)))</f>
        <v/>
      </c>
    </row>
    <row r="1927" customFormat="false" ht="15" hidden="false" customHeight="false" outlineLevel="0" collapsed="false">
      <c r="R1927" s="25" t="str">
        <f aca="true">IF(I1927="","",I1927-TODAY())</f>
        <v/>
      </c>
      <c r="S1927" s="25" t="str">
        <f aca="true">IF(J1927="","",J1927-TODAY())</f>
        <v/>
      </c>
      <c r="T1927" s="24" t="str">
        <f aca="false">IF(A1927="","",IF(OR(AND(R1927&lt;&gt;"",R1927&lt;0),AND(S1927&lt;&gt;"",S1927&lt;0)),"EXPIRED",IF(OR(AND(R1927&lt;&gt;"",R1927&lt;=Settings!$B$15),AND(S1927&lt;&gt;"",S1927&lt;=Settings!$B$15)),"EXPIRING SOON","OK")))</f>
        <v/>
      </c>
      <c r="U1927" s="24" t="str">
        <f aca="false">IF(AND(C1927="Own",Q1927="Active"),COUNTIFS($C$5:C1927,"Own",$Q$5:Q1927,"Active"),"")</f>
        <v/>
      </c>
      <c r="V1927" s="26" t="str">
        <f aca="false">IF(C1927&lt;&gt;"Own","",IF(K1927="Hourly",N1927,(L1927+M1927)/(Settings!$B$11*Settings!$B$12)))</f>
        <v/>
      </c>
    </row>
    <row r="1928" customFormat="false" ht="15" hidden="false" customHeight="false" outlineLevel="0" collapsed="false">
      <c r="R1928" s="25" t="str">
        <f aca="true">IF(I1928="","",I1928-TODAY())</f>
        <v/>
      </c>
      <c r="S1928" s="25" t="str">
        <f aca="true">IF(J1928="","",J1928-TODAY())</f>
        <v/>
      </c>
      <c r="T1928" s="24" t="str">
        <f aca="false">IF(A1928="","",IF(OR(AND(R1928&lt;&gt;"",R1928&lt;0),AND(S1928&lt;&gt;"",S1928&lt;0)),"EXPIRED",IF(OR(AND(R1928&lt;&gt;"",R1928&lt;=Settings!$B$15),AND(S1928&lt;&gt;"",S1928&lt;=Settings!$B$15)),"EXPIRING SOON","OK")))</f>
        <v/>
      </c>
      <c r="U1928" s="24" t="str">
        <f aca="false">IF(AND(C1928="Own",Q1928="Active"),COUNTIFS($C$5:C1928,"Own",$Q$5:Q1928,"Active"),"")</f>
        <v/>
      </c>
      <c r="V1928" s="26" t="str">
        <f aca="false">IF(C1928&lt;&gt;"Own","",IF(K1928="Hourly",N1928,(L1928+M1928)/(Settings!$B$11*Settings!$B$12)))</f>
        <v/>
      </c>
    </row>
    <row r="1929" customFormat="false" ht="15" hidden="false" customHeight="false" outlineLevel="0" collapsed="false">
      <c r="R1929" s="25" t="str">
        <f aca="true">IF(I1929="","",I1929-TODAY())</f>
        <v/>
      </c>
      <c r="S1929" s="25" t="str">
        <f aca="true">IF(J1929="","",J1929-TODAY())</f>
        <v/>
      </c>
      <c r="T1929" s="24" t="str">
        <f aca="false">IF(A1929="","",IF(OR(AND(R1929&lt;&gt;"",R1929&lt;0),AND(S1929&lt;&gt;"",S1929&lt;0)),"EXPIRED",IF(OR(AND(R1929&lt;&gt;"",R1929&lt;=Settings!$B$15),AND(S1929&lt;&gt;"",S1929&lt;=Settings!$B$15)),"EXPIRING SOON","OK")))</f>
        <v/>
      </c>
      <c r="U1929" s="24" t="str">
        <f aca="false">IF(AND(C1929="Own",Q1929="Active"),COUNTIFS($C$5:C1929,"Own",$Q$5:Q1929,"Active"),"")</f>
        <v/>
      </c>
      <c r="V1929" s="26" t="str">
        <f aca="false">IF(C1929&lt;&gt;"Own","",IF(K1929="Hourly",N1929,(L1929+M1929)/(Settings!$B$11*Settings!$B$12)))</f>
        <v/>
      </c>
    </row>
    <row r="1930" customFormat="false" ht="15" hidden="false" customHeight="false" outlineLevel="0" collapsed="false">
      <c r="R1930" s="25" t="str">
        <f aca="true">IF(I1930="","",I1930-TODAY())</f>
        <v/>
      </c>
      <c r="S1930" s="25" t="str">
        <f aca="true">IF(J1930="","",J1930-TODAY())</f>
        <v/>
      </c>
      <c r="T1930" s="24" t="str">
        <f aca="false">IF(A1930="","",IF(OR(AND(R1930&lt;&gt;"",R1930&lt;0),AND(S1930&lt;&gt;"",S1930&lt;0)),"EXPIRED",IF(OR(AND(R1930&lt;&gt;"",R1930&lt;=Settings!$B$15),AND(S1930&lt;&gt;"",S1930&lt;=Settings!$B$15)),"EXPIRING SOON","OK")))</f>
        <v/>
      </c>
      <c r="U1930" s="24" t="str">
        <f aca="false">IF(AND(C1930="Own",Q1930="Active"),COUNTIFS($C$5:C1930,"Own",$Q$5:Q1930,"Active"),"")</f>
        <v/>
      </c>
      <c r="V1930" s="26" t="str">
        <f aca="false">IF(C1930&lt;&gt;"Own","",IF(K1930="Hourly",N1930,(L1930+M1930)/(Settings!$B$11*Settings!$B$12)))</f>
        <v/>
      </c>
    </row>
    <row r="1931" customFormat="false" ht="15" hidden="false" customHeight="false" outlineLevel="0" collapsed="false">
      <c r="R1931" s="25" t="str">
        <f aca="true">IF(I1931="","",I1931-TODAY())</f>
        <v/>
      </c>
      <c r="S1931" s="25" t="str">
        <f aca="true">IF(J1931="","",J1931-TODAY())</f>
        <v/>
      </c>
      <c r="T1931" s="24" t="str">
        <f aca="false">IF(A1931="","",IF(OR(AND(R1931&lt;&gt;"",R1931&lt;0),AND(S1931&lt;&gt;"",S1931&lt;0)),"EXPIRED",IF(OR(AND(R1931&lt;&gt;"",R1931&lt;=Settings!$B$15),AND(S1931&lt;&gt;"",S1931&lt;=Settings!$B$15)),"EXPIRING SOON","OK")))</f>
        <v/>
      </c>
      <c r="U1931" s="24" t="str">
        <f aca="false">IF(AND(C1931="Own",Q1931="Active"),COUNTIFS($C$5:C1931,"Own",$Q$5:Q1931,"Active"),"")</f>
        <v/>
      </c>
      <c r="V1931" s="26" t="str">
        <f aca="false">IF(C1931&lt;&gt;"Own","",IF(K1931="Hourly",N1931,(L1931+M1931)/(Settings!$B$11*Settings!$B$12)))</f>
        <v/>
      </c>
    </row>
    <row r="1932" customFormat="false" ht="15" hidden="false" customHeight="false" outlineLevel="0" collapsed="false">
      <c r="R1932" s="25" t="str">
        <f aca="true">IF(I1932="","",I1932-TODAY())</f>
        <v/>
      </c>
      <c r="S1932" s="25" t="str">
        <f aca="true">IF(J1932="","",J1932-TODAY())</f>
        <v/>
      </c>
      <c r="T1932" s="24" t="str">
        <f aca="false">IF(A1932="","",IF(OR(AND(R1932&lt;&gt;"",R1932&lt;0),AND(S1932&lt;&gt;"",S1932&lt;0)),"EXPIRED",IF(OR(AND(R1932&lt;&gt;"",R1932&lt;=Settings!$B$15),AND(S1932&lt;&gt;"",S1932&lt;=Settings!$B$15)),"EXPIRING SOON","OK")))</f>
        <v/>
      </c>
      <c r="U1932" s="24" t="str">
        <f aca="false">IF(AND(C1932="Own",Q1932="Active"),COUNTIFS($C$5:C1932,"Own",$Q$5:Q1932,"Active"),"")</f>
        <v/>
      </c>
      <c r="V1932" s="26" t="str">
        <f aca="false">IF(C1932&lt;&gt;"Own","",IF(K1932="Hourly",N1932,(L1932+M1932)/(Settings!$B$11*Settings!$B$12)))</f>
        <v/>
      </c>
    </row>
    <row r="1933" customFormat="false" ht="15" hidden="false" customHeight="false" outlineLevel="0" collapsed="false">
      <c r="R1933" s="25" t="str">
        <f aca="true">IF(I1933="","",I1933-TODAY())</f>
        <v/>
      </c>
      <c r="S1933" s="25" t="str">
        <f aca="true">IF(J1933="","",J1933-TODAY())</f>
        <v/>
      </c>
      <c r="T1933" s="24" t="str">
        <f aca="false">IF(A1933="","",IF(OR(AND(R1933&lt;&gt;"",R1933&lt;0),AND(S1933&lt;&gt;"",S1933&lt;0)),"EXPIRED",IF(OR(AND(R1933&lt;&gt;"",R1933&lt;=Settings!$B$15),AND(S1933&lt;&gt;"",S1933&lt;=Settings!$B$15)),"EXPIRING SOON","OK")))</f>
        <v/>
      </c>
      <c r="U1933" s="24" t="str">
        <f aca="false">IF(AND(C1933="Own",Q1933="Active"),COUNTIFS($C$5:C1933,"Own",$Q$5:Q1933,"Active"),"")</f>
        <v/>
      </c>
      <c r="V1933" s="26" t="str">
        <f aca="false">IF(C1933&lt;&gt;"Own","",IF(K1933="Hourly",N1933,(L1933+M1933)/(Settings!$B$11*Settings!$B$12)))</f>
        <v/>
      </c>
    </row>
    <row r="1934" customFormat="false" ht="15" hidden="false" customHeight="false" outlineLevel="0" collapsed="false">
      <c r="R1934" s="25" t="str">
        <f aca="true">IF(I1934="","",I1934-TODAY())</f>
        <v/>
      </c>
      <c r="S1934" s="25" t="str">
        <f aca="true">IF(J1934="","",J1934-TODAY())</f>
        <v/>
      </c>
      <c r="T1934" s="24" t="str">
        <f aca="false">IF(A1934="","",IF(OR(AND(R1934&lt;&gt;"",R1934&lt;0),AND(S1934&lt;&gt;"",S1934&lt;0)),"EXPIRED",IF(OR(AND(R1934&lt;&gt;"",R1934&lt;=Settings!$B$15),AND(S1934&lt;&gt;"",S1934&lt;=Settings!$B$15)),"EXPIRING SOON","OK")))</f>
        <v/>
      </c>
      <c r="U1934" s="24" t="str">
        <f aca="false">IF(AND(C1934="Own",Q1934="Active"),COUNTIFS($C$5:C1934,"Own",$Q$5:Q1934,"Active"),"")</f>
        <v/>
      </c>
      <c r="V1934" s="26" t="str">
        <f aca="false">IF(C1934&lt;&gt;"Own","",IF(K1934="Hourly",N1934,(L1934+M1934)/(Settings!$B$11*Settings!$B$12)))</f>
        <v/>
      </c>
    </row>
    <row r="1935" customFormat="false" ht="15" hidden="false" customHeight="false" outlineLevel="0" collapsed="false">
      <c r="R1935" s="25" t="str">
        <f aca="true">IF(I1935="","",I1935-TODAY())</f>
        <v/>
      </c>
      <c r="S1935" s="25" t="str">
        <f aca="true">IF(J1935="","",J1935-TODAY())</f>
        <v/>
      </c>
      <c r="T1935" s="24" t="str">
        <f aca="false">IF(A1935="","",IF(OR(AND(R1935&lt;&gt;"",R1935&lt;0),AND(S1935&lt;&gt;"",S1935&lt;0)),"EXPIRED",IF(OR(AND(R1935&lt;&gt;"",R1935&lt;=Settings!$B$15),AND(S1935&lt;&gt;"",S1935&lt;=Settings!$B$15)),"EXPIRING SOON","OK")))</f>
        <v/>
      </c>
      <c r="U1935" s="24" t="str">
        <f aca="false">IF(AND(C1935="Own",Q1935="Active"),COUNTIFS($C$5:C1935,"Own",$Q$5:Q1935,"Active"),"")</f>
        <v/>
      </c>
      <c r="V1935" s="26" t="str">
        <f aca="false">IF(C1935&lt;&gt;"Own","",IF(K1935="Hourly",N1935,(L1935+M1935)/(Settings!$B$11*Settings!$B$12)))</f>
        <v/>
      </c>
    </row>
    <row r="1936" customFormat="false" ht="15" hidden="false" customHeight="false" outlineLevel="0" collapsed="false">
      <c r="R1936" s="25" t="str">
        <f aca="true">IF(I1936="","",I1936-TODAY())</f>
        <v/>
      </c>
      <c r="S1936" s="25" t="str">
        <f aca="true">IF(J1936="","",J1936-TODAY())</f>
        <v/>
      </c>
      <c r="T1936" s="24" t="str">
        <f aca="false">IF(A1936="","",IF(OR(AND(R1936&lt;&gt;"",R1936&lt;0),AND(S1936&lt;&gt;"",S1936&lt;0)),"EXPIRED",IF(OR(AND(R1936&lt;&gt;"",R1936&lt;=Settings!$B$15),AND(S1936&lt;&gt;"",S1936&lt;=Settings!$B$15)),"EXPIRING SOON","OK")))</f>
        <v/>
      </c>
      <c r="U1936" s="24" t="str">
        <f aca="false">IF(AND(C1936="Own",Q1936="Active"),COUNTIFS($C$5:C1936,"Own",$Q$5:Q1936,"Active"),"")</f>
        <v/>
      </c>
      <c r="V1936" s="26" t="str">
        <f aca="false">IF(C1936&lt;&gt;"Own","",IF(K1936="Hourly",N1936,(L1936+M1936)/(Settings!$B$11*Settings!$B$12)))</f>
        <v/>
      </c>
    </row>
    <row r="1937" customFormat="false" ht="15" hidden="false" customHeight="false" outlineLevel="0" collapsed="false">
      <c r="R1937" s="25" t="str">
        <f aca="true">IF(I1937="","",I1937-TODAY())</f>
        <v/>
      </c>
      <c r="S1937" s="25" t="str">
        <f aca="true">IF(J1937="","",J1937-TODAY())</f>
        <v/>
      </c>
      <c r="T1937" s="24" t="str">
        <f aca="false">IF(A1937="","",IF(OR(AND(R1937&lt;&gt;"",R1937&lt;0),AND(S1937&lt;&gt;"",S1937&lt;0)),"EXPIRED",IF(OR(AND(R1937&lt;&gt;"",R1937&lt;=Settings!$B$15),AND(S1937&lt;&gt;"",S1937&lt;=Settings!$B$15)),"EXPIRING SOON","OK")))</f>
        <v/>
      </c>
      <c r="U1937" s="24" t="str">
        <f aca="false">IF(AND(C1937="Own",Q1937="Active"),COUNTIFS($C$5:C1937,"Own",$Q$5:Q1937,"Active"),"")</f>
        <v/>
      </c>
      <c r="V1937" s="26" t="str">
        <f aca="false">IF(C1937&lt;&gt;"Own","",IF(K1937="Hourly",N1937,(L1937+M1937)/(Settings!$B$11*Settings!$B$12)))</f>
        <v/>
      </c>
    </row>
    <row r="1938" customFormat="false" ht="15" hidden="false" customHeight="false" outlineLevel="0" collapsed="false">
      <c r="R1938" s="25" t="str">
        <f aca="true">IF(I1938="","",I1938-TODAY())</f>
        <v/>
      </c>
      <c r="S1938" s="25" t="str">
        <f aca="true">IF(J1938="","",J1938-TODAY())</f>
        <v/>
      </c>
      <c r="T1938" s="24" t="str">
        <f aca="false">IF(A1938="","",IF(OR(AND(R1938&lt;&gt;"",R1938&lt;0),AND(S1938&lt;&gt;"",S1938&lt;0)),"EXPIRED",IF(OR(AND(R1938&lt;&gt;"",R1938&lt;=Settings!$B$15),AND(S1938&lt;&gt;"",S1938&lt;=Settings!$B$15)),"EXPIRING SOON","OK")))</f>
        <v/>
      </c>
      <c r="U1938" s="24" t="str">
        <f aca="false">IF(AND(C1938="Own",Q1938="Active"),COUNTIFS($C$5:C1938,"Own",$Q$5:Q1938,"Active"),"")</f>
        <v/>
      </c>
      <c r="V1938" s="26" t="str">
        <f aca="false">IF(C1938&lt;&gt;"Own","",IF(K1938="Hourly",N1938,(L1938+M1938)/(Settings!$B$11*Settings!$B$12)))</f>
        <v/>
      </c>
    </row>
    <row r="1939" customFormat="false" ht="15" hidden="false" customHeight="false" outlineLevel="0" collapsed="false">
      <c r="R1939" s="25" t="str">
        <f aca="true">IF(I1939="","",I1939-TODAY())</f>
        <v/>
      </c>
      <c r="S1939" s="25" t="str">
        <f aca="true">IF(J1939="","",J1939-TODAY())</f>
        <v/>
      </c>
      <c r="T1939" s="24" t="str">
        <f aca="false">IF(A1939="","",IF(OR(AND(R1939&lt;&gt;"",R1939&lt;0),AND(S1939&lt;&gt;"",S1939&lt;0)),"EXPIRED",IF(OR(AND(R1939&lt;&gt;"",R1939&lt;=Settings!$B$15),AND(S1939&lt;&gt;"",S1939&lt;=Settings!$B$15)),"EXPIRING SOON","OK")))</f>
        <v/>
      </c>
      <c r="U1939" s="24" t="str">
        <f aca="false">IF(AND(C1939="Own",Q1939="Active"),COUNTIFS($C$5:C1939,"Own",$Q$5:Q1939,"Active"),"")</f>
        <v/>
      </c>
      <c r="V1939" s="26" t="str">
        <f aca="false">IF(C1939&lt;&gt;"Own","",IF(K1939="Hourly",N1939,(L1939+M1939)/(Settings!$B$11*Settings!$B$12)))</f>
        <v/>
      </c>
    </row>
    <row r="1940" customFormat="false" ht="15" hidden="false" customHeight="false" outlineLevel="0" collapsed="false">
      <c r="R1940" s="25" t="str">
        <f aca="true">IF(I1940="","",I1940-TODAY())</f>
        <v/>
      </c>
      <c r="S1940" s="25" t="str">
        <f aca="true">IF(J1940="","",J1940-TODAY())</f>
        <v/>
      </c>
      <c r="T1940" s="24" t="str">
        <f aca="false">IF(A1940="","",IF(OR(AND(R1940&lt;&gt;"",R1940&lt;0),AND(S1940&lt;&gt;"",S1940&lt;0)),"EXPIRED",IF(OR(AND(R1940&lt;&gt;"",R1940&lt;=Settings!$B$15),AND(S1940&lt;&gt;"",S1940&lt;=Settings!$B$15)),"EXPIRING SOON","OK")))</f>
        <v/>
      </c>
      <c r="U1940" s="24" t="str">
        <f aca="false">IF(AND(C1940="Own",Q1940="Active"),COUNTIFS($C$5:C1940,"Own",$Q$5:Q1940,"Active"),"")</f>
        <v/>
      </c>
      <c r="V1940" s="26" t="str">
        <f aca="false">IF(C1940&lt;&gt;"Own","",IF(K1940="Hourly",N1940,(L1940+M1940)/(Settings!$B$11*Settings!$B$12)))</f>
        <v/>
      </c>
    </row>
    <row r="1941" customFormat="false" ht="15" hidden="false" customHeight="false" outlineLevel="0" collapsed="false">
      <c r="R1941" s="25" t="str">
        <f aca="true">IF(I1941="","",I1941-TODAY())</f>
        <v/>
      </c>
      <c r="S1941" s="25" t="str">
        <f aca="true">IF(J1941="","",J1941-TODAY())</f>
        <v/>
      </c>
      <c r="T1941" s="24" t="str">
        <f aca="false">IF(A1941="","",IF(OR(AND(R1941&lt;&gt;"",R1941&lt;0),AND(S1941&lt;&gt;"",S1941&lt;0)),"EXPIRED",IF(OR(AND(R1941&lt;&gt;"",R1941&lt;=Settings!$B$15),AND(S1941&lt;&gt;"",S1941&lt;=Settings!$B$15)),"EXPIRING SOON","OK")))</f>
        <v/>
      </c>
      <c r="U1941" s="24" t="str">
        <f aca="false">IF(AND(C1941="Own",Q1941="Active"),COUNTIFS($C$5:C1941,"Own",$Q$5:Q1941,"Active"),"")</f>
        <v/>
      </c>
      <c r="V1941" s="26" t="str">
        <f aca="false">IF(C1941&lt;&gt;"Own","",IF(K1941="Hourly",N1941,(L1941+M1941)/(Settings!$B$11*Settings!$B$12)))</f>
        <v/>
      </c>
    </row>
    <row r="1942" customFormat="false" ht="15" hidden="false" customHeight="false" outlineLevel="0" collapsed="false">
      <c r="R1942" s="25" t="str">
        <f aca="true">IF(I1942="","",I1942-TODAY())</f>
        <v/>
      </c>
      <c r="S1942" s="25" t="str">
        <f aca="true">IF(J1942="","",J1942-TODAY())</f>
        <v/>
      </c>
      <c r="T1942" s="24" t="str">
        <f aca="false">IF(A1942="","",IF(OR(AND(R1942&lt;&gt;"",R1942&lt;0),AND(S1942&lt;&gt;"",S1942&lt;0)),"EXPIRED",IF(OR(AND(R1942&lt;&gt;"",R1942&lt;=Settings!$B$15),AND(S1942&lt;&gt;"",S1942&lt;=Settings!$B$15)),"EXPIRING SOON","OK")))</f>
        <v/>
      </c>
      <c r="U1942" s="24" t="str">
        <f aca="false">IF(AND(C1942="Own",Q1942="Active"),COUNTIFS($C$5:C1942,"Own",$Q$5:Q1942,"Active"),"")</f>
        <v/>
      </c>
      <c r="V1942" s="26" t="str">
        <f aca="false">IF(C1942&lt;&gt;"Own","",IF(K1942="Hourly",N1942,(L1942+M1942)/(Settings!$B$11*Settings!$B$12)))</f>
        <v/>
      </c>
    </row>
    <row r="1943" customFormat="false" ht="15" hidden="false" customHeight="false" outlineLevel="0" collapsed="false">
      <c r="R1943" s="25" t="str">
        <f aca="true">IF(I1943="","",I1943-TODAY())</f>
        <v/>
      </c>
      <c r="S1943" s="25" t="str">
        <f aca="true">IF(J1943="","",J1943-TODAY())</f>
        <v/>
      </c>
      <c r="T1943" s="24" t="str">
        <f aca="false">IF(A1943="","",IF(OR(AND(R1943&lt;&gt;"",R1943&lt;0),AND(S1943&lt;&gt;"",S1943&lt;0)),"EXPIRED",IF(OR(AND(R1943&lt;&gt;"",R1943&lt;=Settings!$B$15),AND(S1943&lt;&gt;"",S1943&lt;=Settings!$B$15)),"EXPIRING SOON","OK")))</f>
        <v/>
      </c>
      <c r="U1943" s="24" t="str">
        <f aca="false">IF(AND(C1943="Own",Q1943="Active"),COUNTIFS($C$5:C1943,"Own",$Q$5:Q1943,"Active"),"")</f>
        <v/>
      </c>
      <c r="V1943" s="26" t="str">
        <f aca="false">IF(C1943&lt;&gt;"Own","",IF(K1943="Hourly",N1943,(L1943+M1943)/(Settings!$B$11*Settings!$B$12)))</f>
        <v/>
      </c>
    </row>
    <row r="1944" customFormat="false" ht="15" hidden="false" customHeight="false" outlineLevel="0" collapsed="false">
      <c r="R1944" s="25" t="str">
        <f aca="true">IF(I1944="","",I1944-TODAY())</f>
        <v/>
      </c>
      <c r="S1944" s="25" t="str">
        <f aca="true">IF(J1944="","",J1944-TODAY())</f>
        <v/>
      </c>
      <c r="T1944" s="24" t="str">
        <f aca="false">IF(A1944="","",IF(OR(AND(R1944&lt;&gt;"",R1944&lt;0),AND(S1944&lt;&gt;"",S1944&lt;0)),"EXPIRED",IF(OR(AND(R1944&lt;&gt;"",R1944&lt;=Settings!$B$15),AND(S1944&lt;&gt;"",S1944&lt;=Settings!$B$15)),"EXPIRING SOON","OK")))</f>
        <v/>
      </c>
      <c r="U1944" s="24" t="str">
        <f aca="false">IF(AND(C1944="Own",Q1944="Active"),COUNTIFS($C$5:C1944,"Own",$Q$5:Q1944,"Active"),"")</f>
        <v/>
      </c>
      <c r="V1944" s="26" t="str">
        <f aca="false">IF(C1944&lt;&gt;"Own","",IF(K1944="Hourly",N1944,(L1944+M1944)/(Settings!$B$11*Settings!$B$12)))</f>
        <v/>
      </c>
    </row>
    <row r="1945" customFormat="false" ht="15" hidden="false" customHeight="false" outlineLevel="0" collapsed="false">
      <c r="R1945" s="25" t="str">
        <f aca="true">IF(I1945="","",I1945-TODAY())</f>
        <v/>
      </c>
      <c r="S1945" s="25" t="str">
        <f aca="true">IF(J1945="","",J1945-TODAY())</f>
        <v/>
      </c>
      <c r="T1945" s="24" t="str">
        <f aca="false">IF(A1945="","",IF(OR(AND(R1945&lt;&gt;"",R1945&lt;0),AND(S1945&lt;&gt;"",S1945&lt;0)),"EXPIRED",IF(OR(AND(R1945&lt;&gt;"",R1945&lt;=Settings!$B$15),AND(S1945&lt;&gt;"",S1945&lt;=Settings!$B$15)),"EXPIRING SOON","OK")))</f>
        <v/>
      </c>
      <c r="U1945" s="24" t="str">
        <f aca="false">IF(AND(C1945="Own",Q1945="Active"),COUNTIFS($C$5:C1945,"Own",$Q$5:Q1945,"Active"),"")</f>
        <v/>
      </c>
      <c r="V1945" s="26" t="str">
        <f aca="false">IF(C1945&lt;&gt;"Own","",IF(K1945="Hourly",N1945,(L1945+M1945)/(Settings!$B$11*Settings!$B$12)))</f>
        <v/>
      </c>
    </row>
    <row r="1946" customFormat="false" ht="15" hidden="false" customHeight="false" outlineLevel="0" collapsed="false">
      <c r="R1946" s="25" t="str">
        <f aca="true">IF(I1946="","",I1946-TODAY())</f>
        <v/>
      </c>
      <c r="S1946" s="25" t="str">
        <f aca="true">IF(J1946="","",J1946-TODAY())</f>
        <v/>
      </c>
      <c r="T1946" s="24" t="str">
        <f aca="false">IF(A1946="","",IF(OR(AND(R1946&lt;&gt;"",R1946&lt;0),AND(S1946&lt;&gt;"",S1946&lt;0)),"EXPIRED",IF(OR(AND(R1946&lt;&gt;"",R1946&lt;=Settings!$B$15),AND(S1946&lt;&gt;"",S1946&lt;=Settings!$B$15)),"EXPIRING SOON","OK")))</f>
        <v/>
      </c>
      <c r="U1946" s="24" t="str">
        <f aca="false">IF(AND(C1946="Own",Q1946="Active"),COUNTIFS($C$5:C1946,"Own",$Q$5:Q1946,"Active"),"")</f>
        <v/>
      </c>
      <c r="V1946" s="26" t="str">
        <f aca="false">IF(C1946&lt;&gt;"Own","",IF(K1946="Hourly",N1946,(L1946+M1946)/(Settings!$B$11*Settings!$B$12)))</f>
        <v/>
      </c>
    </row>
    <row r="1947" customFormat="false" ht="15" hidden="false" customHeight="false" outlineLevel="0" collapsed="false">
      <c r="R1947" s="25" t="str">
        <f aca="true">IF(I1947="","",I1947-TODAY())</f>
        <v/>
      </c>
      <c r="S1947" s="25" t="str">
        <f aca="true">IF(J1947="","",J1947-TODAY())</f>
        <v/>
      </c>
      <c r="T1947" s="24" t="str">
        <f aca="false">IF(A1947="","",IF(OR(AND(R1947&lt;&gt;"",R1947&lt;0),AND(S1947&lt;&gt;"",S1947&lt;0)),"EXPIRED",IF(OR(AND(R1947&lt;&gt;"",R1947&lt;=Settings!$B$15),AND(S1947&lt;&gt;"",S1947&lt;=Settings!$B$15)),"EXPIRING SOON","OK")))</f>
        <v/>
      </c>
      <c r="U1947" s="24" t="str">
        <f aca="false">IF(AND(C1947="Own",Q1947="Active"),COUNTIFS($C$5:C1947,"Own",$Q$5:Q1947,"Active"),"")</f>
        <v/>
      </c>
      <c r="V1947" s="26" t="str">
        <f aca="false">IF(C1947&lt;&gt;"Own","",IF(K1947="Hourly",N1947,(L1947+M1947)/(Settings!$B$11*Settings!$B$12)))</f>
        <v/>
      </c>
    </row>
    <row r="1948" customFormat="false" ht="15" hidden="false" customHeight="false" outlineLevel="0" collapsed="false">
      <c r="R1948" s="25" t="str">
        <f aca="true">IF(I1948="","",I1948-TODAY())</f>
        <v/>
      </c>
      <c r="S1948" s="25" t="str">
        <f aca="true">IF(J1948="","",J1948-TODAY())</f>
        <v/>
      </c>
      <c r="T1948" s="24" t="str">
        <f aca="false">IF(A1948="","",IF(OR(AND(R1948&lt;&gt;"",R1948&lt;0),AND(S1948&lt;&gt;"",S1948&lt;0)),"EXPIRED",IF(OR(AND(R1948&lt;&gt;"",R1948&lt;=Settings!$B$15),AND(S1948&lt;&gt;"",S1948&lt;=Settings!$B$15)),"EXPIRING SOON","OK")))</f>
        <v/>
      </c>
      <c r="U1948" s="24" t="str">
        <f aca="false">IF(AND(C1948="Own",Q1948="Active"),COUNTIFS($C$5:C1948,"Own",$Q$5:Q1948,"Active"),"")</f>
        <v/>
      </c>
      <c r="V1948" s="26" t="str">
        <f aca="false">IF(C1948&lt;&gt;"Own","",IF(K1948="Hourly",N1948,(L1948+M1948)/(Settings!$B$11*Settings!$B$12)))</f>
        <v/>
      </c>
    </row>
    <row r="1949" customFormat="false" ht="15" hidden="false" customHeight="false" outlineLevel="0" collapsed="false">
      <c r="R1949" s="25" t="str">
        <f aca="true">IF(I1949="","",I1949-TODAY())</f>
        <v/>
      </c>
      <c r="S1949" s="25" t="str">
        <f aca="true">IF(J1949="","",J1949-TODAY())</f>
        <v/>
      </c>
      <c r="T1949" s="24" t="str">
        <f aca="false">IF(A1949="","",IF(OR(AND(R1949&lt;&gt;"",R1949&lt;0),AND(S1949&lt;&gt;"",S1949&lt;0)),"EXPIRED",IF(OR(AND(R1949&lt;&gt;"",R1949&lt;=Settings!$B$15),AND(S1949&lt;&gt;"",S1949&lt;=Settings!$B$15)),"EXPIRING SOON","OK")))</f>
        <v/>
      </c>
      <c r="U1949" s="24" t="str">
        <f aca="false">IF(AND(C1949="Own",Q1949="Active"),COUNTIFS($C$5:C1949,"Own",$Q$5:Q1949,"Active"),"")</f>
        <v/>
      </c>
      <c r="V1949" s="26" t="str">
        <f aca="false">IF(C1949&lt;&gt;"Own","",IF(K1949="Hourly",N1949,(L1949+M1949)/(Settings!$B$11*Settings!$B$12)))</f>
        <v/>
      </c>
    </row>
    <row r="1950" customFormat="false" ht="15" hidden="false" customHeight="false" outlineLevel="0" collapsed="false">
      <c r="R1950" s="25" t="str">
        <f aca="true">IF(I1950="","",I1950-TODAY())</f>
        <v/>
      </c>
      <c r="S1950" s="25" t="str">
        <f aca="true">IF(J1950="","",J1950-TODAY())</f>
        <v/>
      </c>
      <c r="T1950" s="24" t="str">
        <f aca="false">IF(A1950="","",IF(OR(AND(R1950&lt;&gt;"",R1950&lt;0),AND(S1950&lt;&gt;"",S1950&lt;0)),"EXPIRED",IF(OR(AND(R1950&lt;&gt;"",R1950&lt;=Settings!$B$15),AND(S1950&lt;&gt;"",S1950&lt;=Settings!$B$15)),"EXPIRING SOON","OK")))</f>
        <v/>
      </c>
      <c r="U1950" s="24" t="str">
        <f aca="false">IF(AND(C1950="Own",Q1950="Active"),COUNTIFS($C$5:C1950,"Own",$Q$5:Q1950,"Active"),"")</f>
        <v/>
      </c>
      <c r="V1950" s="26" t="str">
        <f aca="false">IF(C1950&lt;&gt;"Own","",IF(K1950="Hourly",N1950,(L1950+M1950)/(Settings!$B$11*Settings!$B$12)))</f>
        <v/>
      </c>
    </row>
    <row r="1951" customFormat="false" ht="15" hidden="false" customHeight="false" outlineLevel="0" collapsed="false">
      <c r="R1951" s="25" t="str">
        <f aca="true">IF(I1951="","",I1951-TODAY())</f>
        <v/>
      </c>
      <c r="S1951" s="25" t="str">
        <f aca="true">IF(J1951="","",J1951-TODAY())</f>
        <v/>
      </c>
      <c r="T1951" s="24" t="str">
        <f aca="false">IF(A1951="","",IF(OR(AND(R1951&lt;&gt;"",R1951&lt;0),AND(S1951&lt;&gt;"",S1951&lt;0)),"EXPIRED",IF(OR(AND(R1951&lt;&gt;"",R1951&lt;=Settings!$B$15),AND(S1951&lt;&gt;"",S1951&lt;=Settings!$B$15)),"EXPIRING SOON","OK")))</f>
        <v/>
      </c>
      <c r="U1951" s="24" t="str">
        <f aca="false">IF(AND(C1951="Own",Q1951="Active"),COUNTIFS($C$5:C1951,"Own",$Q$5:Q1951,"Active"),"")</f>
        <v/>
      </c>
      <c r="V1951" s="26" t="str">
        <f aca="false">IF(C1951&lt;&gt;"Own","",IF(K1951="Hourly",N1951,(L1951+M1951)/(Settings!$B$11*Settings!$B$12)))</f>
        <v/>
      </c>
    </row>
    <row r="1952" customFormat="false" ht="15" hidden="false" customHeight="false" outlineLevel="0" collapsed="false">
      <c r="R1952" s="25" t="str">
        <f aca="true">IF(I1952="","",I1952-TODAY())</f>
        <v/>
      </c>
      <c r="S1952" s="25" t="str">
        <f aca="true">IF(J1952="","",J1952-TODAY())</f>
        <v/>
      </c>
      <c r="T1952" s="24" t="str">
        <f aca="false">IF(A1952="","",IF(OR(AND(R1952&lt;&gt;"",R1952&lt;0),AND(S1952&lt;&gt;"",S1952&lt;0)),"EXPIRED",IF(OR(AND(R1952&lt;&gt;"",R1952&lt;=Settings!$B$15),AND(S1952&lt;&gt;"",S1952&lt;=Settings!$B$15)),"EXPIRING SOON","OK")))</f>
        <v/>
      </c>
      <c r="U1952" s="24" t="str">
        <f aca="false">IF(AND(C1952="Own",Q1952="Active"),COUNTIFS($C$5:C1952,"Own",$Q$5:Q1952,"Active"),"")</f>
        <v/>
      </c>
      <c r="V1952" s="26" t="str">
        <f aca="false">IF(C1952&lt;&gt;"Own","",IF(K1952="Hourly",N1952,(L1952+M1952)/(Settings!$B$11*Settings!$B$12)))</f>
        <v/>
      </c>
    </row>
    <row r="1953" customFormat="false" ht="15" hidden="false" customHeight="false" outlineLevel="0" collapsed="false">
      <c r="R1953" s="25" t="str">
        <f aca="true">IF(I1953="","",I1953-TODAY())</f>
        <v/>
      </c>
      <c r="S1953" s="25" t="str">
        <f aca="true">IF(J1953="","",J1953-TODAY())</f>
        <v/>
      </c>
      <c r="T1953" s="24" t="str">
        <f aca="false">IF(A1953="","",IF(OR(AND(R1953&lt;&gt;"",R1953&lt;0),AND(S1953&lt;&gt;"",S1953&lt;0)),"EXPIRED",IF(OR(AND(R1953&lt;&gt;"",R1953&lt;=Settings!$B$15),AND(S1953&lt;&gt;"",S1953&lt;=Settings!$B$15)),"EXPIRING SOON","OK")))</f>
        <v/>
      </c>
      <c r="U1953" s="24" t="str">
        <f aca="false">IF(AND(C1953="Own",Q1953="Active"),COUNTIFS($C$5:C1953,"Own",$Q$5:Q1953,"Active"),"")</f>
        <v/>
      </c>
      <c r="V1953" s="26" t="str">
        <f aca="false">IF(C1953&lt;&gt;"Own","",IF(K1953="Hourly",N1953,(L1953+M1953)/(Settings!$B$11*Settings!$B$12)))</f>
        <v/>
      </c>
    </row>
    <row r="1954" customFormat="false" ht="15" hidden="false" customHeight="false" outlineLevel="0" collapsed="false">
      <c r="R1954" s="25" t="str">
        <f aca="true">IF(I1954="","",I1954-TODAY())</f>
        <v/>
      </c>
      <c r="S1954" s="25" t="str">
        <f aca="true">IF(J1954="","",J1954-TODAY())</f>
        <v/>
      </c>
      <c r="T1954" s="24" t="str">
        <f aca="false">IF(A1954="","",IF(OR(AND(R1954&lt;&gt;"",R1954&lt;0),AND(S1954&lt;&gt;"",S1954&lt;0)),"EXPIRED",IF(OR(AND(R1954&lt;&gt;"",R1954&lt;=Settings!$B$15),AND(S1954&lt;&gt;"",S1954&lt;=Settings!$B$15)),"EXPIRING SOON","OK")))</f>
        <v/>
      </c>
      <c r="U1954" s="24" t="str">
        <f aca="false">IF(AND(C1954="Own",Q1954="Active"),COUNTIFS($C$5:C1954,"Own",$Q$5:Q1954,"Active"),"")</f>
        <v/>
      </c>
      <c r="V1954" s="26" t="str">
        <f aca="false">IF(C1954&lt;&gt;"Own","",IF(K1954="Hourly",N1954,(L1954+M1954)/(Settings!$B$11*Settings!$B$12)))</f>
        <v/>
      </c>
    </row>
    <row r="1955" customFormat="false" ht="15" hidden="false" customHeight="false" outlineLevel="0" collapsed="false">
      <c r="R1955" s="25" t="str">
        <f aca="true">IF(I1955="","",I1955-TODAY())</f>
        <v/>
      </c>
      <c r="S1955" s="25" t="str">
        <f aca="true">IF(J1955="","",J1955-TODAY())</f>
        <v/>
      </c>
      <c r="T1955" s="24" t="str">
        <f aca="false">IF(A1955="","",IF(OR(AND(R1955&lt;&gt;"",R1955&lt;0),AND(S1955&lt;&gt;"",S1955&lt;0)),"EXPIRED",IF(OR(AND(R1955&lt;&gt;"",R1955&lt;=Settings!$B$15),AND(S1955&lt;&gt;"",S1955&lt;=Settings!$B$15)),"EXPIRING SOON","OK")))</f>
        <v/>
      </c>
      <c r="U1955" s="24" t="str">
        <f aca="false">IF(AND(C1955="Own",Q1955="Active"),COUNTIFS($C$5:C1955,"Own",$Q$5:Q1955,"Active"),"")</f>
        <v/>
      </c>
      <c r="V1955" s="26" t="str">
        <f aca="false">IF(C1955&lt;&gt;"Own","",IF(K1955="Hourly",N1955,(L1955+M1955)/(Settings!$B$11*Settings!$B$12)))</f>
        <v/>
      </c>
    </row>
    <row r="1956" customFormat="false" ht="15" hidden="false" customHeight="false" outlineLevel="0" collapsed="false">
      <c r="R1956" s="25" t="str">
        <f aca="true">IF(I1956="","",I1956-TODAY())</f>
        <v/>
      </c>
      <c r="S1956" s="25" t="str">
        <f aca="true">IF(J1956="","",J1956-TODAY())</f>
        <v/>
      </c>
      <c r="T1956" s="24" t="str">
        <f aca="false">IF(A1956="","",IF(OR(AND(R1956&lt;&gt;"",R1956&lt;0),AND(S1956&lt;&gt;"",S1956&lt;0)),"EXPIRED",IF(OR(AND(R1956&lt;&gt;"",R1956&lt;=Settings!$B$15),AND(S1956&lt;&gt;"",S1956&lt;=Settings!$B$15)),"EXPIRING SOON","OK")))</f>
        <v/>
      </c>
      <c r="U1956" s="24" t="str">
        <f aca="false">IF(AND(C1956="Own",Q1956="Active"),COUNTIFS($C$5:C1956,"Own",$Q$5:Q1956,"Active"),"")</f>
        <v/>
      </c>
      <c r="V1956" s="26" t="str">
        <f aca="false">IF(C1956&lt;&gt;"Own","",IF(K1956="Hourly",N1956,(L1956+M1956)/(Settings!$B$11*Settings!$B$12)))</f>
        <v/>
      </c>
    </row>
    <row r="1957" customFormat="false" ht="15" hidden="false" customHeight="false" outlineLevel="0" collapsed="false">
      <c r="R1957" s="25" t="str">
        <f aca="true">IF(I1957="","",I1957-TODAY())</f>
        <v/>
      </c>
      <c r="S1957" s="25" t="str">
        <f aca="true">IF(J1957="","",J1957-TODAY())</f>
        <v/>
      </c>
      <c r="T1957" s="24" t="str">
        <f aca="false">IF(A1957="","",IF(OR(AND(R1957&lt;&gt;"",R1957&lt;0),AND(S1957&lt;&gt;"",S1957&lt;0)),"EXPIRED",IF(OR(AND(R1957&lt;&gt;"",R1957&lt;=Settings!$B$15),AND(S1957&lt;&gt;"",S1957&lt;=Settings!$B$15)),"EXPIRING SOON","OK")))</f>
        <v/>
      </c>
      <c r="U1957" s="24" t="str">
        <f aca="false">IF(AND(C1957="Own",Q1957="Active"),COUNTIFS($C$5:C1957,"Own",$Q$5:Q1957,"Active"),"")</f>
        <v/>
      </c>
      <c r="V1957" s="26" t="str">
        <f aca="false">IF(C1957&lt;&gt;"Own","",IF(K1957="Hourly",N1957,(L1957+M1957)/(Settings!$B$11*Settings!$B$12)))</f>
        <v/>
      </c>
    </row>
    <row r="1958" customFormat="false" ht="15" hidden="false" customHeight="false" outlineLevel="0" collapsed="false">
      <c r="R1958" s="25" t="str">
        <f aca="true">IF(I1958="","",I1958-TODAY())</f>
        <v/>
      </c>
      <c r="S1958" s="25" t="str">
        <f aca="true">IF(J1958="","",J1958-TODAY())</f>
        <v/>
      </c>
      <c r="T1958" s="24" t="str">
        <f aca="false">IF(A1958="","",IF(OR(AND(R1958&lt;&gt;"",R1958&lt;0),AND(S1958&lt;&gt;"",S1958&lt;0)),"EXPIRED",IF(OR(AND(R1958&lt;&gt;"",R1958&lt;=Settings!$B$15),AND(S1958&lt;&gt;"",S1958&lt;=Settings!$B$15)),"EXPIRING SOON","OK")))</f>
        <v/>
      </c>
      <c r="U1958" s="24" t="str">
        <f aca="false">IF(AND(C1958="Own",Q1958="Active"),COUNTIFS($C$5:C1958,"Own",$Q$5:Q1958,"Active"),"")</f>
        <v/>
      </c>
      <c r="V1958" s="26" t="str">
        <f aca="false">IF(C1958&lt;&gt;"Own","",IF(K1958="Hourly",N1958,(L1958+M1958)/(Settings!$B$11*Settings!$B$12)))</f>
        <v/>
      </c>
    </row>
    <row r="1959" customFormat="false" ht="15" hidden="false" customHeight="false" outlineLevel="0" collapsed="false">
      <c r="R1959" s="25" t="str">
        <f aca="true">IF(I1959="","",I1959-TODAY())</f>
        <v/>
      </c>
      <c r="S1959" s="25" t="str">
        <f aca="true">IF(J1959="","",J1959-TODAY())</f>
        <v/>
      </c>
      <c r="T1959" s="24" t="str">
        <f aca="false">IF(A1959="","",IF(OR(AND(R1959&lt;&gt;"",R1959&lt;0),AND(S1959&lt;&gt;"",S1959&lt;0)),"EXPIRED",IF(OR(AND(R1959&lt;&gt;"",R1959&lt;=Settings!$B$15),AND(S1959&lt;&gt;"",S1959&lt;=Settings!$B$15)),"EXPIRING SOON","OK")))</f>
        <v/>
      </c>
      <c r="U1959" s="24" t="str">
        <f aca="false">IF(AND(C1959="Own",Q1959="Active"),COUNTIFS($C$5:C1959,"Own",$Q$5:Q1959,"Active"),"")</f>
        <v/>
      </c>
      <c r="V1959" s="26" t="str">
        <f aca="false">IF(C1959&lt;&gt;"Own","",IF(K1959="Hourly",N1959,(L1959+M1959)/(Settings!$B$11*Settings!$B$12)))</f>
        <v/>
      </c>
    </row>
    <row r="1960" customFormat="false" ht="15" hidden="false" customHeight="false" outlineLevel="0" collapsed="false">
      <c r="R1960" s="25" t="str">
        <f aca="true">IF(I1960="","",I1960-TODAY())</f>
        <v/>
      </c>
      <c r="S1960" s="25" t="str">
        <f aca="true">IF(J1960="","",J1960-TODAY())</f>
        <v/>
      </c>
      <c r="T1960" s="24" t="str">
        <f aca="false">IF(A1960="","",IF(OR(AND(R1960&lt;&gt;"",R1960&lt;0),AND(S1960&lt;&gt;"",S1960&lt;0)),"EXPIRED",IF(OR(AND(R1960&lt;&gt;"",R1960&lt;=Settings!$B$15),AND(S1960&lt;&gt;"",S1960&lt;=Settings!$B$15)),"EXPIRING SOON","OK")))</f>
        <v/>
      </c>
      <c r="U1960" s="24" t="str">
        <f aca="false">IF(AND(C1960="Own",Q1960="Active"),COUNTIFS($C$5:C1960,"Own",$Q$5:Q1960,"Active"),"")</f>
        <v/>
      </c>
      <c r="V1960" s="26" t="str">
        <f aca="false">IF(C1960&lt;&gt;"Own","",IF(K1960="Hourly",N1960,(L1960+M1960)/(Settings!$B$11*Settings!$B$12)))</f>
        <v/>
      </c>
    </row>
    <row r="1961" customFormat="false" ht="15" hidden="false" customHeight="false" outlineLevel="0" collapsed="false">
      <c r="R1961" s="25" t="str">
        <f aca="true">IF(I1961="","",I1961-TODAY())</f>
        <v/>
      </c>
      <c r="S1961" s="25" t="str">
        <f aca="true">IF(J1961="","",J1961-TODAY())</f>
        <v/>
      </c>
      <c r="T1961" s="24" t="str">
        <f aca="false">IF(A1961="","",IF(OR(AND(R1961&lt;&gt;"",R1961&lt;0),AND(S1961&lt;&gt;"",S1961&lt;0)),"EXPIRED",IF(OR(AND(R1961&lt;&gt;"",R1961&lt;=Settings!$B$15),AND(S1961&lt;&gt;"",S1961&lt;=Settings!$B$15)),"EXPIRING SOON","OK")))</f>
        <v/>
      </c>
      <c r="U1961" s="24" t="str">
        <f aca="false">IF(AND(C1961="Own",Q1961="Active"),COUNTIFS($C$5:C1961,"Own",$Q$5:Q1961,"Active"),"")</f>
        <v/>
      </c>
      <c r="V1961" s="26" t="str">
        <f aca="false">IF(C1961&lt;&gt;"Own","",IF(K1961="Hourly",N1961,(L1961+M1961)/(Settings!$B$11*Settings!$B$12)))</f>
        <v/>
      </c>
    </row>
    <row r="1962" customFormat="false" ht="15" hidden="false" customHeight="false" outlineLevel="0" collapsed="false">
      <c r="R1962" s="25" t="str">
        <f aca="true">IF(I1962="","",I1962-TODAY())</f>
        <v/>
      </c>
      <c r="S1962" s="25" t="str">
        <f aca="true">IF(J1962="","",J1962-TODAY())</f>
        <v/>
      </c>
      <c r="T1962" s="24" t="str">
        <f aca="false">IF(A1962="","",IF(OR(AND(R1962&lt;&gt;"",R1962&lt;0),AND(S1962&lt;&gt;"",S1962&lt;0)),"EXPIRED",IF(OR(AND(R1962&lt;&gt;"",R1962&lt;=Settings!$B$15),AND(S1962&lt;&gt;"",S1962&lt;=Settings!$B$15)),"EXPIRING SOON","OK")))</f>
        <v/>
      </c>
      <c r="U1962" s="24" t="str">
        <f aca="false">IF(AND(C1962="Own",Q1962="Active"),COUNTIFS($C$5:C1962,"Own",$Q$5:Q1962,"Active"),"")</f>
        <v/>
      </c>
      <c r="V1962" s="26" t="str">
        <f aca="false">IF(C1962&lt;&gt;"Own","",IF(K1962="Hourly",N1962,(L1962+M1962)/(Settings!$B$11*Settings!$B$12)))</f>
        <v/>
      </c>
    </row>
    <row r="1963" customFormat="false" ht="15" hidden="false" customHeight="false" outlineLevel="0" collapsed="false">
      <c r="R1963" s="25" t="str">
        <f aca="true">IF(I1963="","",I1963-TODAY())</f>
        <v/>
      </c>
      <c r="S1963" s="25" t="str">
        <f aca="true">IF(J1963="","",J1963-TODAY())</f>
        <v/>
      </c>
      <c r="T1963" s="24" t="str">
        <f aca="false">IF(A1963="","",IF(OR(AND(R1963&lt;&gt;"",R1963&lt;0),AND(S1963&lt;&gt;"",S1963&lt;0)),"EXPIRED",IF(OR(AND(R1963&lt;&gt;"",R1963&lt;=Settings!$B$15),AND(S1963&lt;&gt;"",S1963&lt;=Settings!$B$15)),"EXPIRING SOON","OK")))</f>
        <v/>
      </c>
      <c r="U1963" s="24" t="str">
        <f aca="false">IF(AND(C1963="Own",Q1963="Active"),COUNTIFS($C$5:C1963,"Own",$Q$5:Q1963,"Active"),"")</f>
        <v/>
      </c>
      <c r="V1963" s="26" t="str">
        <f aca="false">IF(C1963&lt;&gt;"Own","",IF(K1963="Hourly",N1963,(L1963+M1963)/(Settings!$B$11*Settings!$B$12)))</f>
        <v/>
      </c>
    </row>
    <row r="1964" customFormat="false" ht="15" hidden="false" customHeight="false" outlineLevel="0" collapsed="false">
      <c r="R1964" s="25" t="str">
        <f aca="true">IF(I1964="","",I1964-TODAY())</f>
        <v/>
      </c>
      <c r="S1964" s="25" t="str">
        <f aca="true">IF(J1964="","",J1964-TODAY())</f>
        <v/>
      </c>
      <c r="T1964" s="24" t="str">
        <f aca="false">IF(A1964="","",IF(OR(AND(R1964&lt;&gt;"",R1964&lt;0),AND(S1964&lt;&gt;"",S1964&lt;0)),"EXPIRED",IF(OR(AND(R1964&lt;&gt;"",R1964&lt;=Settings!$B$15),AND(S1964&lt;&gt;"",S1964&lt;=Settings!$B$15)),"EXPIRING SOON","OK")))</f>
        <v/>
      </c>
      <c r="U1964" s="24" t="str">
        <f aca="false">IF(AND(C1964="Own",Q1964="Active"),COUNTIFS($C$5:C1964,"Own",$Q$5:Q1964,"Active"),"")</f>
        <v/>
      </c>
      <c r="V1964" s="26" t="str">
        <f aca="false">IF(C1964&lt;&gt;"Own","",IF(K1964="Hourly",N1964,(L1964+M1964)/(Settings!$B$11*Settings!$B$12)))</f>
        <v/>
      </c>
    </row>
    <row r="1965" customFormat="false" ht="15" hidden="false" customHeight="false" outlineLevel="0" collapsed="false">
      <c r="R1965" s="25" t="str">
        <f aca="true">IF(I1965="","",I1965-TODAY())</f>
        <v/>
      </c>
      <c r="S1965" s="25" t="str">
        <f aca="true">IF(J1965="","",J1965-TODAY())</f>
        <v/>
      </c>
      <c r="T1965" s="24" t="str">
        <f aca="false">IF(A1965="","",IF(OR(AND(R1965&lt;&gt;"",R1965&lt;0),AND(S1965&lt;&gt;"",S1965&lt;0)),"EXPIRED",IF(OR(AND(R1965&lt;&gt;"",R1965&lt;=Settings!$B$15),AND(S1965&lt;&gt;"",S1965&lt;=Settings!$B$15)),"EXPIRING SOON","OK")))</f>
        <v/>
      </c>
      <c r="U1965" s="24" t="str">
        <f aca="false">IF(AND(C1965="Own",Q1965="Active"),COUNTIFS($C$5:C1965,"Own",$Q$5:Q1965,"Active"),"")</f>
        <v/>
      </c>
      <c r="V1965" s="26" t="str">
        <f aca="false">IF(C1965&lt;&gt;"Own","",IF(K1965="Hourly",N1965,(L1965+M1965)/(Settings!$B$11*Settings!$B$12)))</f>
        <v/>
      </c>
    </row>
    <row r="1966" customFormat="false" ht="15" hidden="false" customHeight="false" outlineLevel="0" collapsed="false">
      <c r="R1966" s="25" t="str">
        <f aca="true">IF(I1966="","",I1966-TODAY())</f>
        <v/>
      </c>
      <c r="S1966" s="25" t="str">
        <f aca="true">IF(J1966="","",J1966-TODAY())</f>
        <v/>
      </c>
      <c r="T1966" s="24" t="str">
        <f aca="false">IF(A1966="","",IF(OR(AND(R1966&lt;&gt;"",R1966&lt;0),AND(S1966&lt;&gt;"",S1966&lt;0)),"EXPIRED",IF(OR(AND(R1966&lt;&gt;"",R1966&lt;=Settings!$B$15),AND(S1966&lt;&gt;"",S1966&lt;=Settings!$B$15)),"EXPIRING SOON","OK")))</f>
        <v/>
      </c>
      <c r="U1966" s="24" t="str">
        <f aca="false">IF(AND(C1966="Own",Q1966="Active"),COUNTIFS($C$5:C1966,"Own",$Q$5:Q1966,"Active"),"")</f>
        <v/>
      </c>
      <c r="V1966" s="26" t="str">
        <f aca="false">IF(C1966&lt;&gt;"Own","",IF(K1966="Hourly",N1966,(L1966+M1966)/(Settings!$B$11*Settings!$B$12)))</f>
        <v/>
      </c>
    </row>
    <row r="1967" customFormat="false" ht="15" hidden="false" customHeight="false" outlineLevel="0" collapsed="false">
      <c r="R1967" s="25" t="str">
        <f aca="true">IF(I1967="","",I1967-TODAY())</f>
        <v/>
      </c>
      <c r="S1967" s="25" t="str">
        <f aca="true">IF(J1967="","",J1967-TODAY())</f>
        <v/>
      </c>
      <c r="T1967" s="24" t="str">
        <f aca="false">IF(A1967="","",IF(OR(AND(R1967&lt;&gt;"",R1967&lt;0),AND(S1967&lt;&gt;"",S1967&lt;0)),"EXPIRED",IF(OR(AND(R1967&lt;&gt;"",R1967&lt;=Settings!$B$15),AND(S1967&lt;&gt;"",S1967&lt;=Settings!$B$15)),"EXPIRING SOON","OK")))</f>
        <v/>
      </c>
      <c r="U1967" s="24" t="str">
        <f aca="false">IF(AND(C1967="Own",Q1967="Active"),COUNTIFS($C$5:C1967,"Own",$Q$5:Q1967,"Active"),"")</f>
        <v/>
      </c>
      <c r="V1967" s="26" t="str">
        <f aca="false">IF(C1967&lt;&gt;"Own","",IF(K1967="Hourly",N1967,(L1967+M1967)/(Settings!$B$11*Settings!$B$12)))</f>
        <v/>
      </c>
    </row>
    <row r="1968" customFormat="false" ht="15" hidden="false" customHeight="false" outlineLevel="0" collapsed="false">
      <c r="R1968" s="25" t="str">
        <f aca="true">IF(I1968="","",I1968-TODAY())</f>
        <v/>
      </c>
      <c r="S1968" s="25" t="str">
        <f aca="true">IF(J1968="","",J1968-TODAY())</f>
        <v/>
      </c>
      <c r="T1968" s="24" t="str">
        <f aca="false">IF(A1968="","",IF(OR(AND(R1968&lt;&gt;"",R1968&lt;0),AND(S1968&lt;&gt;"",S1968&lt;0)),"EXPIRED",IF(OR(AND(R1968&lt;&gt;"",R1968&lt;=Settings!$B$15),AND(S1968&lt;&gt;"",S1968&lt;=Settings!$B$15)),"EXPIRING SOON","OK")))</f>
        <v/>
      </c>
      <c r="U1968" s="24" t="str">
        <f aca="false">IF(AND(C1968="Own",Q1968="Active"),COUNTIFS($C$5:C1968,"Own",$Q$5:Q1968,"Active"),"")</f>
        <v/>
      </c>
      <c r="V1968" s="26" t="str">
        <f aca="false">IF(C1968&lt;&gt;"Own","",IF(K1968="Hourly",N1968,(L1968+M1968)/(Settings!$B$11*Settings!$B$12)))</f>
        <v/>
      </c>
    </row>
    <row r="1969" customFormat="false" ht="15" hidden="false" customHeight="false" outlineLevel="0" collapsed="false">
      <c r="R1969" s="25" t="str">
        <f aca="true">IF(I1969="","",I1969-TODAY())</f>
        <v/>
      </c>
      <c r="S1969" s="25" t="str">
        <f aca="true">IF(J1969="","",J1969-TODAY())</f>
        <v/>
      </c>
      <c r="T1969" s="24" t="str">
        <f aca="false">IF(A1969="","",IF(OR(AND(R1969&lt;&gt;"",R1969&lt;0),AND(S1969&lt;&gt;"",S1969&lt;0)),"EXPIRED",IF(OR(AND(R1969&lt;&gt;"",R1969&lt;=Settings!$B$15),AND(S1969&lt;&gt;"",S1969&lt;=Settings!$B$15)),"EXPIRING SOON","OK")))</f>
        <v/>
      </c>
      <c r="U1969" s="24" t="str">
        <f aca="false">IF(AND(C1969="Own",Q1969="Active"),COUNTIFS($C$5:C1969,"Own",$Q$5:Q1969,"Active"),"")</f>
        <v/>
      </c>
      <c r="V1969" s="26" t="str">
        <f aca="false">IF(C1969&lt;&gt;"Own","",IF(K1969="Hourly",N1969,(L1969+M1969)/(Settings!$B$11*Settings!$B$12)))</f>
        <v/>
      </c>
    </row>
    <row r="1970" customFormat="false" ht="15" hidden="false" customHeight="false" outlineLevel="0" collapsed="false">
      <c r="R1970" s="25" t="str">
        <f aca="true">IF(I1970="","",I1970-TODAY())</f>
        <v/>
      </c>
      <c r="S1970" s="25" t="str">
        <f aca="true">IF(J1970="","",J1970-TODAY())</f>
        <v/>
      </c>
      <c r="T1970" s="24" t="str">
        <f aca="false">IF(A1970="","",IF(OR(AND(R1970&lt;&gt;"",R1970&lt;0),AND(S1970&lt;&gt;"",S1970&lt;0)),"EXPIRED",IF(OR(AND(R1970&lt;&gt;"",R1970&lt;=Settings!$B$15),AND(S1970&lt;&gt;"",S1970&lt;=Settings!$B$15)),"EXPIRING SOON","OK")))</f>
        <v/>
      </c>
      <c r="U1970" s="24" t="str">
        <f aca="false">IF(AND(C1970="Own",Q1970="Active"),COUNTIFS($C$5:C1970,"Own",$Q$5:Q1970,"Active"),"")</f>
        <v/>
      </c>
      <c r="V1970" s="26" t="str">
        <f aca="false">IF(C1970&lt;&gt;"Own","",IF(K1970="Hourly",N1970,(L1970+M1970)/(Settings!$B$11*Settings!$B$12)))</f>
        <v/>
      </c>
    </row>
    <row r="1971" customFormat="false" ht="15" hidden="false" customHeight="false" outlineLevel="0" collapsed="false">
      <c r="R1971" s="25" t="str">
        <f aca="true">IF(I1971="","",I1971-TODAY())</f>
        <v/>
      </c>
      <c r="S1971" s="25" t="str">
        <f aca="true">IF(J1971="","",J1971-TODAY())</f>
        <v/>
      </c>
      <c r="T1971" s="24" t="str">
        <f aca="false">IF(A1971="","",IF(OR(AND(R1971&lt;&gt;"",R1971&lt;0),AND(S1971&lt;&gt;"",S1971&lt;0)),"EXPIRED",IF(OR(AND(R1971&lt;&gt;"",R1971&lt;=Settings!$B$15),AND(S1971&lt;&gt;"",S1971&lt;=Settings!$B$15)),"EXPIRING SOON","OK")))</f>
        <v/>
      </c>
      <c r="U1971" s="24" t="str">
        <f aca="false">IF(AND(C1971="Own",Q1971="Active"),COUNTIFS($C$5:C1971,"Own",$Q$5:Q1971,"Active"),"")</f>
        <v/>
      </c>
      <c r="V1971" s="26" t="str">
        <f aca="false">IF(C1971&lt;&gt;"Own","",IF(K1971="Hourly",N1971,(L1971+M1971)/(Settings!$B$11*Settings!$B$12)))</f>
        <v/>
      </c>
    </row>
    <row r="1972" customFormat="false" ht="15" hidden="false" customHeight="false" outlineLevel="0" collapsed="false">
      <c r="R1972" s="25" t="str">
        <f aca="true">IF(I1972="","",I1972-TODAY())</f>
        <v/>
      </c>
      <c r="S1972" s="25" t="str">
        <f aca="true">IF(J1972="","",J1972-TODAY())</f>
        <v/>
      </c>
      <c r="T1972" s="24" t="str">
        <f aca="false">IF(A1972="","",IF(OR(AND(R1972&lt;&gt;"",R1972&lt;0),AND(S1972&lt;&gt;"",S1972&lt;0)),"EXPIRED",IF(OR(AND(R1972&lt;&gt;"",R1972&lt;=Settings!$B$15),AND(S1972&lt;&gt;"",S1972&lt;=Settings!$B$15)),"EXPIRING SOON","OK")))</f>
        <v/>
      </c>
      <c r="U1972" s="24" t="str">
        <f aca="false">IF(AND(C1972="Own",Q1972="Active"),COUNTIFS($C$5:C1972,"Own",$Q$5:Q1972,"Active"),"")</f>
        <v/>
      </c>
      <c r="V1972" s="26" t="str">
        <f aca="false">IF(C1972&lt;&gt;"Own","",IF(K1972="Hourly",N1972,(L1972+M1972)/(Settings!$B$11*Settings!$B$12)))</f>
        <v/>
      </c>
    </row>
    <row r="1973" customFormat="false" ht="15" hidden="false" customHeight="false" outlineLevel="0" collapsed="false">
      <c r="R1973" s="25" t="str">
        <f aca="true">IF(I1973="","",I1973-TODAY())</f>
        <v/>
      </c>
      <c r="S1973" s="25" t="str">
        <f aca="true">IF(J1973="","",J1973-TODAY())</f>
        <v/>
      </c>
      <c r="T1973" s="24" t="str">
        <f aca="false">IF(A1973="","",IF(OR(AND(R1973&lt;&gt;"",R1973&lt;0),AND(S1973&lt;&gt;"",S1973&lt;0)),"EXPIRED",IF(OR(AND(R1973&lt;&gt;"",R1973&lt;=Settings!$B$15),AND(S1973&lt;&gt;"",S1973&lt;=Settings!$B$15)),"EXPIRING SOON","OK")))</f>
        <v/>
      </c>
      <c r="U1973" s="24" t="str">
        <f aca="false">IF(AND(C1973="Own",Q1973="Active"),COUNTIFS($C$5:C1973,"Own",$Q$5:Q1973,"Active"),"")</f>
        <v/>
      </c>
      <c r="V1973" s="26" t="str">
        <f aca="false">IF(C1973&lt;&gt;"Own","",IF(K1973="Hourly",N1973,(L1973+M1973)/(Settings!$B$11*Settings!$B$12)))</f>
        <v/>
      </c>
    </row>
    <row r="1974" customFormat="false" ht="15" hidden="false" customHeight="false" outlineLevel="0" collapsed="false">
      <c r="R1974" s="25" t="str">
        <f aca="true">IF(I1974="","",I1974-TODAY())</f>
        <v/>
      </c>
      <c r="S1974" s="25" t="str">
        <f aca="true">IF(J1974="","",J1974-TODAY())</f>
        <v/>
      </c>
      <c r="T1974" s="24" t="str">
        <f aca="false">IF(A1974="","",IF(OR(AND(R1974&lt;&gt;"",R1974&lt;0),AND(S1974&lt;&gt;"",S1974&lt;0)),"EXPIRED",IF(OR(AND(R1974&lt;&gt;"",R1974&lt;=Settings!$B$15),AND(S1974&lt;&gt;"",S1974&lt;=Settings!$B$15)),"EXPIRING SOON","OK")))</f>
        <v/>
      </c>
      <c r="U1974" s="24" t="str">
        <f aca="false">IF(AND(C1974="Own",Q1974="Active"),COUNTIFS($C$5:C1974,"Own",$Q$5:Q1974,"Active"),"")</f>
        <v/>
      </c>
      <c r="V1974" s="26" t="str">
        <f aca="false">IF(C1974&lt;&gt;"Own","",IF(K1974="Hourly",N1974,(L1974+M1974)/(Settings!$B$11*Settings!$B$12)))</f>
        <v/>
      </c>
    </row>
    <row r="1975" customFormat="false" ht="15" hidden="false" customHeight="false" outlineLevel="0" collapsed="false">
      <c r="R1975" s="25" t="str">
        <f aca="true">IF(I1975="","",I1975-TODAY())</f>
        <v/>
      </c>
      <c r="S1975" s="25" t="str">
        <f aca="true">IF(J1975="","",J1975-TODAY())</f>
        <v/>
      </c>
      <c r="T1975" s="24" t="str">
        <f aca="false">IF(A1975="","",IF(OR(AND(R1975&lt;&gt;"",R1975&lt;0),AND(S1975&lt;&gt;"",S1975&lt;0)),"EXPIRED",IF(OR(AND(R1975&lt;&gt;"",R1975&lt;=Settings!$B$15),AND(S1975&lt;&gt;"",S1975&lt;=Settings!$B$15)),"EXPIRING SOON","OK")))</f>
        <v/>
      </c>
      <c r="U1975" s="24" t="str">
        <f aca="false">IF(AND(C1975="Own",Q1975="Active"),COUNTIFS($C$5:C1975,"Own",$Q$5:Q1975,"Active"),"")</f>
        <v/>
      </c>
      <c r="V1975" s="26" t="str">
        <f aca="false">IF(C1975&lt;&gt;"Own","",IF(K1975="Hourly",N1975,(L1975+M1975)/(Settings!$B$11*Settings!$B$12)))</f>
        <v/>
      </c>
    </row>
    <row r="1976" customFormat="false" ht="15" hidden="false" customHeight="false" outlineLevel="0" collapsed="false">
      <c r="R1976" s="25" t="str">
        <f aca="true">IF(I1976="","",I1976-TODAY())</f>
        <v/>
      </c>
      <c r="S1976" s="25" t="str">
        <f aca="true">IF(J1976="","",J1976-TODAY())</f>
        <v/>
      </c>
      <c r="T1976" s="24" t="str">
        <f aca="false">IF(A1976="","",IF(OR(AND(R1976&lt;&gt;"",R1976&lt;0),AND(S1976&lt;&gt;"",S1976&lt;0)),"EXPIRED",IF(OR(AND(R1976&lt;&gt;"",R1976&lt;=Settings!$B$15),AND(S1976&lt;&gt;"",S1976&lt;=Settings!$B$15)),"EXPIRING SOON","OK")))</f>
        <v/>
      </c>
      <c r="U1976" s="24" t="str">
        <f aca="false">IF(AND(C1976="Own",Q1976="Active"),COUNTIFS($C$5:C1976,"Own",$Q$5:Q1976,"Active"),"")</f>
        <v/>
      </c>
      <c r="V1976" s="26" t="str">
        <f aca="false">IF(C1976&lt;&gt;"Own","",IF(K1976="Hourly",N1976,(L1976+M1976)/(Settings!$B$11*Settings!$B$12)))</f>
        <v/>
      </c>
    </row>
    <row r="1977" customFormat="false" ht="15" hidden="false" customHeight="false" outlineLevel="0" collapsed="false">
      <c r="R1977" s="25" t="str">
        <f aca="true">IF(I1977="","",I1977-TODAY())</f>
        <v/>
      </c>
      <c r="S1977" s="25" t="str">
        <f aca="true">IF(J1977="","",J1977-TODAY())</f>
        <v/>
      </c>
      <c r="T1977" s="24" t="str">
        <f aca="false">IF(A1977="","",IF(OR(AND(R1977&lt;&gt;"",R1977&lt;0),AND(S1977&lt;&gt;"",S1977&lt;0)),"EXPIRED",IF(OR(AND(R1977&lt;&gt;"",R1977&lt;=Settings!$B$15),AND(S1977&lt;&gt;"",S1977&lt;=Settings!$B$15)),"EXPIRING SOON","OK")))</f>
        <v/>
      </c>
      <c r="U1977" s="24" t="str">
        <f aca="false">IF(AND(C1977="Own",Q1977="Active"),COUNTIFS($C$5:C1977,"Own",$Q$5:Q1977,"Active"),"")</f>
        <v/>
      </c>
      <c r="V1977" s="26" t="str">
        <f aca="false">IF(C1977&lt;&gt;"Own","",IF(K1977="Hourly",N1977,(L1977+M1977)/(Settings!$B$11*Settings!$B$12)))</f>
        <v/>
      </c>
    </row>
    <row r="1978" customFormat="false" ht="15" hidden="false" customHeight="false" outlineLevel="0" collapsed="false">
      <c r="R1978" s="25" t="str">
        <f aca="true">IF(I1978="","",I1978-TODAY())</f>
        <v/>
      </c>
      <c r="S1978" s="25" t="str">
        <f aca="true">IF(J1978="","",J1978-TODAY())</f>
        <v/>
      </c>
      <c r="T1978" s="24" t="str">
        <f aca="false">IF(A1978="","",IF(OR(AND(R1978&lt;&gt;"",R1978&lt;0),AND(S1978&lt;&gt;"",S1978&lt;0)),"EXPIRED",IF(OR(AND(R1978&lt;&gt;"",R1978&lt;=Settings!$B$15),AND(S1978&lt;&gt;"",S1978&lt;=Settings!$B$15)),"EXPIRING SOON","OK")))</f>
        <v/>
      </c>
      <c r="U1978" s="24" t="str">
        <f aca="false">IF(AND(C1978="Own",Q1978="Active"),COUNTIFS($C$5:C1978,"Own",$Q$5:Q1978,"Active"),"")</f>
        <v/>
      </c>
      <c r="V1978" s="26" t="str">
        <f aca="false">IF(C1978&lt;&gt;"Own","",IF(K1978="Hourly",N1978,(L1978+M1978)/(Settings!$B$11*Settings!$B$12)))</f>
        <v/>
      </c>
    </row>
    <row r="1979" customFormat="false" ht="15" hidden="false" customHeight="false" outlineLevel="0" collapsed="false">
      <c r="R1979" s="25" t="str">
        <f aca="true">IF(I1979="","",I1979-TODAY())</f>
        <v/>
      </c>
      <c r="S1979" s="25" t="str">
        <f aca="true">IF(J1979="","",J1979-TODAY())</f>
        <v/>
      </c>
      <c r="T1979" s="24" t="str">
        <f aca="false">IF(A1979="","",IF(OR(AND(R1979&lt;&gt;"",R1979&lt;0),AND(S1979&lt;&gt;"",S1979&lt;0)),"EXPIRED",IF(OR(AND(R1979&lt;&gt;"",R1979&lt;=Settings!$B$15),AND(S1979&lt;&gt;"",S1979&lt;=Settings!$B$15)),"EXPIRING SOON","OK")))</f>
        <v/>
      </c>
      <c r="U1979" s="24" t="str">
        <f aca="false">IF(AND(C1979="Own",Q1979="Active"),COUNTIFS($C$5:C1979,"Own",$Q$5:Q1979,"Active"),"")</f>
        <v/>
      </c>
      <c r="V1979" s="26" t="str">
        <f aca="false">IF(C1979&lt;&gt;"Own","",IF(K1979="Hourly",N1979,(L1979+M1979)/(Settings!$B$11*Settings!$B$12)))</f>
        <v/>
      </c>
    </row>
    <row r="1980" customFormat="false" ht="15" hidden="false" customHeight="false" outlineLevel="0" collapsed="false">
      <c r="R1980" s="25" t="str">
        <f aca="true">IF(I1980="","",I1980-TODAY())</f>
        <v/>
      </c>
      <c r="S1980" s="25" t="str">
        <f aca="true">IF(J1980="","",J1980-TODAY())</f>
        <v/>
      </c>
      <c r="T1980" s="24" t="str">
        <f aca="false">IF(A1980="","",IF(OR(AND(R1980&lt;&gt;"",R1980&lt;0),AND(S1980&lt;&gt;"",S1980&lt;0)),"EXPIRED",IF(OR(AND(R1980&lt;&gt;"",R1980&lt;=Settings!$B$15),AND(S1980&lt;&gt;"",S1980&lt;=Settings!$B$15)),"EXPIRING SOON","OK")))</f>
        <v/>
      </c>
      <c r="U1980" s="24" t="str">
        <f aca="false">IF(AND(C1980="Own",Q1980="Active"),COUNTIFS($C$5:C1980,"Own",$Q$5:Q1980,"Active"),"")</f>
        <v/>
      </c>
      <c r="V1980" s="26" t="str">
        <f aca="false">IF(C1980&lt;&gt;"Own","",IF(K1980="Hourly",N1980,(L1980+M1980)/(Settings!$B$11*Settings!$B$12)))</f>
        <v/>
      </c>
    </row>
    <row r="1981" customFormat="false" ht="15" hidden="false" customHeight="false" outlineLevel="0" collapsed="false">
      <c r="R1981" s="25" t="str">
        <f aca="true">IF(I1981="","",I1981-TODAY())</f>
        <v/>
      </c>
      <c r="S1981" s="25" t="str">
        <f aca="true">IF(J1981="","",J1981-TODAY())</f>
        <v/>
      </c>
      <c r="T1981" s="24" t="str">
        <f aca="false">IF(A1981="","",IF(OR(AND(R1981&lt;&gt;"",R1981&lt;0),AND(S1981&lt;&gt;"",S1981&lt;0)),"EXPIRED",IF(OR(AND(R1981&lt;&gt;"",R1981&lt;=Settings!$B$15),AND(S1981&lt;&gt;"",S1981&lt;=Settings!$B$15)),"EXPIRING SOON","OK")))</f>
        <v/>
      </c>
      <c r="U1981" s="24" t="str">
        <f aca="false">IF(AND(C1981="Own",Q1981="Active"),COUNTIFS($C$5:C1981,"Own",$Q$5:Q1981,"Active"),"")</f>
        <v/>
      </c>
      <c r="V1981" s="26" t="str">
        <f aca="false">IF(C1981&lt;&gt;"Own","",IF(K1981="Hourly",N1981,(L1981+M1981)/(Settings!$B$11*Settings!$B$12)))</f>
        <v/>
      </c>
    </row>
    <row r="1982" customFormat="false" ht="15" hidden="false" customHeight="false" outlineLevel="0" collapsed="false">
      <c r="R1982" s="25" t="str">
        <f aca="true">IF(I1982="","",I1982-TODAY())</f>
        <v/>
      </c>
      <c r="S1982" s="25" t="str">
        <f aca="true">IF(J1982="","",J1982-TODAY())</f>
        <v/>
      </c>
      <c r="T1982" s="24" t="str">
        <f aca="false">IF(A1982="","",IF(OR(AND(R1982&lt;&gt;"",R1982&lt;0),AND(S1982&lt;&gt;"",S1982&lt;0)),"EXPIRED",IF(OR(AND(R1982&lt;&gt;"",R1982&lt;=Settings!$B$15),AND(S1982&lt;&gt;"",S1982&lt;=Settings!$B$15)),"EXPIRING SOON","OK")))</f>
        <v/>
      </c>
      <c r="U1982" s="24" t="str">
        <f aca="false">IF(AND(C1982="Own",Q1982="Active"),COUNTIFS($C$5:C1982,"Own",$Q$5:Q1982,"Active"),"")</f>
        <v/>
      </c>
      <c r="V1982" s="26" t="str">
        <f aca="false">IF(C1982&lt;&gt;"Own","",IF(K1982="Hourly",N1982,(L1982+M1982)/(Settings!$B$11*Settings!$B$12)))</f>
        <v/>
      </c>
    </row>
    <row r="1983" customFormat="false" ht="15" hidden="false" customHeight="false" outlineLevel="0" collapsed="false">
      <c r="R1983" s="25" t="str">
        <f aca="true">IF(I1983="","",I1983-TODAY())</f>
        <v/>
      </c>
      <c r="S1983" s="25" t="str">
        <f aca="true">IF(J1983="","",J1983-TODAY())</f>
        <v/>
      </c>
      <c r="T1983" s="24" t="str">
        <f aca="false">IF(A1983="","",IF(OR(AND(R1983&lt;&gt;"",R1983&lt;0),AND(S1983&lt;&gt;"",S1983&lt;0)),"EXPIRED",IF(OR(AND(R1983&lt;&gt;"",R1983&lt;=Settings!$B$15),AND(S1983&lt;&gt;"",S1983&lt;=Settings!$B$15)),"EXPIRING SOON","OK")))</f>
        <v/>
      </c>
      <c r="U1983" s="24" t="str">
        <f aca="false">IF(AND(C1983="Own",Q1983="Active"),COUNTIFS($C$5:C1983,"Own",$Q$5:Q1983,"Active"),"")</f>
        <v/>
      </c>
      <c r="V1983" s="26" t="str">
        <f aca="false">IF(C1983&lt;&gt;"Own","",IF(K1983="Hourly",N1983,(L1983+M1983)/(Settings!$B$11*Settings!$B$12)))</f>
        <v/>
      </c>
    </row>
    <row r="1984" customFormat="false" ht="15" hidden="false" customHeight="false" outlineLevel="0" collapsed="false">
      <c r="R1984" s="25" t="str">
        <f aca="true">IF(I1984="","",I1984-TODAY())</f>
        <v/>
      </c>
      <c r="S1984" s="25" t="str">
        <f aca="true">IF(J1984="","",J1984-TODAY())</f>
        <v/>
      </c>
      <c r="T1984" s="24" t="str">
        <f aca="false">IF(A1984="","",IF(OR(AND(R1984&lt;&gt;"",R1984&lt;0),AND(S1984&lt;&gt;"",S1984&lt;0)),"EXPIRED",IF(OR(AND(R1984&lt;&gt;"",R1984&lt;=Settings!$B$15),AND(S1984&lt;&gt;"",S1984&lt;=Settings!$B$15)),"EXPIRING SOON","OK")))</f>
        <v/>
      </c>
      <c r="U1984" s="24" t="str">
        <f aca="false">IF(AND(C1984="Own",Q1984="Active"),COUNTIFS($C$5:C1984,"Own",$Q$5:Q1984,"Active"),"")</f>
        <v/>
      </c>
      <c r="V1984" s="26" t="str">
        <f aca="false">IF(C1984&lt;&gt;"Own","",IF(K1984="Hourly",N1984,(L1984+M1984)/(Settings!$B$11*Settings!$B$12)))</f>
        <v/>
      </c>
    </row>
    <row r="1985" customFormat="false" ht="15" hidden="false" customHeight="false" outlineLevel="0" collapsed="false">
      <c r="R1985" s="25" t="str">
        <f aca="true">IF(I1985="","",I1985-TODAY())</f>
        <v/>
      </c>
      <c r="S1985" s="25" t="str">
        <f aca="true">IF(J1985="","",J1985-TODAY())</f>
        <v/>
      </c>
      <c r="T1985" s="24" t="str">
        <f aca="false">IF(A1985="","",IF(OR(AND(R1985&lt;&gt;"",R1985&lt;0),AND(S1985&lt;&gt;"",S1985&lt;0)),"EXPIRED",IF(OR(AND(R1985&lt;&gt;"",R1985&lt;=Settings!$B$15),AND(S1985&lt;&gt;"",S1985&lt;=Settings!$B$15)),"EXPIRING SOON","OK")))</f>
        <v/>
      </c>
      <c r="U1985" s="24" t="str">
        <f aca="false">IF(AND(C1985="Own",Q1985="Active"),COUNTIFS($C$5:C1985,"Own",$Q$5:Q1985,"Active"),"")</f>
        <v/>
      </c>
      <c r="V1985" s="26" t="str">
        <f aca="false">IF(C1985&lt;&gt;"Own","",IF(K1985="Hourly",N1985,(L1985+M1985)/(Settings!$B$11*Settings!$B$12)))</f>
        <v/>
      </c>
    </row>
    <row r="1986" customFormat="false" ht="15" hidden="false" customHeight="false" outlineLevel="0" collapsed="false">
      <c r="R1986" s="25" t="str">
        <f aca="true">IF(I1986="","",I1986-TODAY())</f>
        <v/>
      </c>
      <c r="S1986" s="25" t="str">
        <f aca="true">IF(J1986="","",J1986-TODAY())</f>
        <v/>
      </c>
      <c r="T1986" s="24" t="str">
        <f aca="false">IF(A1986="","",IF(OR(AND(R1986&lt;&gt;"",R1986&lt;0),AND(S1986&lt;&gt;"",S1986&lt;0)),"EXPIRED",IF(OR(AND(R1986&lt;&gt;"",R1986&lt;=Settings!$B$15),AND(S1986&lt;&gt;"",S1986&lt;=Settings!$B$15)),"EXPIRING SOON","OK")))</f>
        <v/>
      </c>
      <c r="U1986" s="24" t="str">
        <f aca="false">IF(AND(C1986="Own",Q1986="Active"),COUNTIFS($C$5:C1986,"Own",$Q$5:Q1986,"Active"),"")</f>
        <v/>
      </c>
      <c r="V1986" s="26" t="str">
        <f aca="false">IF(C1986&lt;&gt;"Own","",IF(K1986="Hourly",N1986,(L1986+M1986)/(Settings!$B$11*Settings!$B$12)))</f>
        <v/>
      </c>
    </row>
    <row r="1987" customFormat="false" ht="15" hidden="false" customHeight="false" outlineLevel="0" collapsed="false">
      <c r="R1987" s="25" t="str">
        <f aca="true">IF(I1987="","",I1987-TODAY())</f>
        <v/>
      </c>
      <c r="S1987" s="25" t="str">
        <f aca="true">IF(J1987="","",J1987-TODAY())</f>
        <v/>
      </c>
      <c r="T1987" s="24" t="str">
        <f aca="false">IF(A1987="","",IF(OR(AND(R1987&lt;&gt;"",R1987&lt;0),AND(S1987&lt;&gt;"",S1987&lt;0)),"EXPIRED",IF(OR(AND(R1987&lt;&gt;"",R1987&lt;=Settings!$B$15),AND(S1987&lt;&gt;"",S1987&lt;=Settings!$B$15)),"EXPIRING SOON","OK")))</f>
        <v/>
      </c>
      <c r="U1987" s="24" t="str">
        <f aca="false">IF(AND(C1987="Own",Q1987="Active"),COUNTIFS($C$5:C1987,"Own",$Q$5:Q1987,"Active"),"")</f>
        <v/>
      </c>
      <c r="V1987" s="26" t="str">
        <f aca="false">IF(C1987&lt;&gt;"Own","",IF(K1987="Hourly",N1987,(L1987+M1987)/(Settings!$B$11*Settings!$B$12)))</f>
        <v/>
      </c>
    </row>
    <row r="1988" customFormat="false" ht="15" hidden="false" customHeight="false" outlineLevel="0" collapsed="false">
      <c r="R1988" s="25" t="str">
        <f aca="true">IF(I1988="","",I1988-TODAY())</f>
        <v/>
      </c>
      <c r="S1988" s="25" t="str">
        <f aca="true">IF(J1988="","",J1988-TODAY())</f>
        <v/>
      </c>
      <c r="T1988" s="24" t="str">
        <f aca="false">IF(A1988="","",IF(OR(AND(R1988&lt;&gt;"",R1988&lt;0),AND(S1988&lt;&gt;"",S1988&lt;0)),"EXPIRED",IF(OR(AND(R1988&lt;&gt;"",R1988&lt;=Settings!$B$15),AND(S1988&lt;&gt;"",S1988&lt;=Settings!$B$15)),"EXPIRING SOON","OK")))</f>
        <v/>
      </c>
      <c r="U1988" s="24" t="str">
        <f aca="false">IF(AND(C1988="Own",Q1988="Active"),COUNTIFS($C$5:C1988,"Own",$Q$5:Q1988,"Active"),"")</f>
        <v/>
      </c>
      <c r="V1988" s="26" t="str">
        <f aca="false">IF(C1988&lt;&gt;"Own","",IF(K1988="Hourly",N1988,(L1988+M1988)/(Settings!$B$11*Settings!$B$12)))</f>
        <v/>
      </c>
    </row>
    <row r="1989" customFormat="false" ht="15" hidden="false" customHeight="false" outlineLevel="0" collapsed="false">
      <c r="R1989" s="25" t="str">
        <f aca="true">IF(I1989="","",I1989-TODAY())</f>
        <v/>
      </c>
      <c r="S1989" s="25" t="str">
        <f aca="true">IF(J1989="","",J1989-TODAY())</f>
        <v/>
      </c>
      <c r="T1989" s="24" t="str">
        <f aca="false">IF(A1989="","",IF(OR(AND(R1989&lt;&gt;"",R1989&lt;0),AND(S1989&lt;&gt;"",S1989&lt;0)),"EXPIRED",IF(OR(AND(R1989&lt;&gt;"",R1989&lt;=Settings!$B$15),AND(S1989&lt;&gt;"",S1989&lt;=Settings!$B$15)),"EXPIRING SOON","OK")))</f>
        <v/>
      </c>
      <c r="U1989" s="24" t="str">
        <f aca="false">IF(AND(C1989="Own",Q1989="Active"),COUNTIFS($C$5:C1989,"Own",$Q$5:Q1989,"Active"),"")</f>
        <v/>
      </c>
      <c r="V1989" s="26" t="str">
        <f aca="false">IF(C1989&lt;&gt;"Own","",IF(K1989="Hourly",N1989,(L1989+M1989)/(Settings!$B$11*Settings!$B$12)))</f>
        <v/>
      </c>
    </row>
    <row r="1990" customFormat="false" ht="15" hidden="false" customHeight="false" outlineLevel="0" collapsed="false">
      <c r="R1990" s="25" t="str">
        <f aca="true">IF(I1990="","",I1990-TODAY())</f>
        <v/>
      </c>
      <c r="S1990" s="25" t="str">
        <f aca="true">IF(J1990="","",J1990-TODAY())</f>
        <v/>
      </c>
      <c r="T1990" s="24" t="str">
        <f aca="false">IF(A1990="","",IF(OR(AND(R1990&lt;&gt;"",R1990&lt;0),AND(S1990&lt;&gt;"",S1990&lt;0)),"EXPIRED",IF(OR(AND(R1990&lt;&gt;"",R1990&lt;=Settings!$B$15),AND(S1990&lt;&gt;"",S1990&lt;=Settings!$B$15)),"EXPIRING SOON","OK")))</f>
        <v/>
      </c>
      <c r="U1990" s="24" t="str">
        <f aca="false">IF(AND(C1990="Own",Q1990="Active"),COUNTIFS($C$5:C1990,"Own",$Q$5:Q1990,"Active"),"")</f>
        <v/>
      </c>
      <c r="V1990" s="26" t="str">
        <f aca="false">IF(C1990&lt;&gt;"Own","",IF(K1990="Hourly",N1990,(L1990+M1990)/(Settings!$B$11*Settings!$B$12)))</f>
        <v/>
      </c>
    </row>
    <row r="1991" customFormat="false" ht="15" hidden="false" customHeight="false" outlineLevel="0" collapsed="false">
      <c r="R1991" s="25" t="str">
        <f aca="true">IF(I1991="","",I1991-TODAY())</f>
        <v/>
      </c>
      <c r="S1991" s="25" t="str">
        <f aca="true">IF(J1991="","",J1991-TODAY())</f>
        <v/>
      </c>
      <c r="T1991" s="24" t="str">
        <f aca="false">IF(A1991="","",IF(OR(AND(R1991&lt;&gt;"",R1991&lt;0),AND(S1991&lt;&gt;"",S1991&lt;0)),"EXPIRED",IF(OR(AND(R1991&lt;&gt;"",R1991&lt;=Settings!$B$15),AND(S1991&lt;&gt;"",S1991&lt;=Settings!$B$15)),"EXPIRING SOON","OK")))</f>
        <v/>
      </c>
      <c r="U1991" s="24" t="str">
        <f aca="false">IF(AND(C1991="Own",Q1991="Active"),COUNTIFS($C$5:C1991,"Own",$Q$5:Q1991,"Active"),"")</f>
        <v/>
      </c>
      <c r="V1991" s="26" t="str">
        <f aca="false">IF(C1991&lt;&gt;"Own","",IF(K1991="Hourly",N1991,(L1991+M1991)/(Settings!$B$11*Settings!$B$12)))</f>
        <v/>
      </c>
    </row>
    <row r="1992" customFormat="false" ht="15" hidden="false" customHeight="false" outlineLevel="0" collapsed="false">
      <c r="R1992" s="25" t="str">
        <f aca="true">IF(I1992="","",I1992-TODAY())</f>
        <v/>
      </c>
      <c r="S1992" s="25" t="str">
        <f aca="true">IF(J1992="","",J1992-TODAY())</f>
        <v/>
      </c>
      <c r="T1992" s="24" t="str">
        <f aca="false">IF(A1992="","",IF(OR(AND(R1992&lt;&gt;"",R1992&lt;0),AND(S1992&lt;&gt;"",S1992&lt;0)),"EXPIRED",IF(OR(AND(R1992&lt;&gt;"",R1992&lt;=Settings!$B$15),AND(S1992&lt;&gt;"",S1992&lt;=Settings!$B$15)),"EXPIRING SOON","OK")))</f>
        <v/>
      </c>
      <c r="U1992" s="24" t="str">
        <f aca="false">IF(AND(C1992="Own",Q1992="Active"),COUNTIFS($C$5:C1992,"Own",$Q$5:Q1992,"Active"),"")</f>
        <v/>
      </c>
      <c r="V1992" s="26" t="str">
        <f aca="false">IF(C1992&lt;&gt;"Own","",IF(K1992="Hourly",N1992,(L1992+M1992)/(Settings!$B$11*Settings!$B$12)))</f>
        <v/>
      </c>
    </row>
    <row r="1993" customFormat="false" ht="15" hidden="false" customHeight="false" outlineLevel="0" collapsed="false">
      <c r="R1993" s="25" t="str">
        <f aca="true">IF(I1993="","",I1993-TODAY())</f>
        <v/>
      </c>
      <c r="S1993" s="25" t="str">
        <f aca="true">IF(J1993="","",J1993-TODAY())</f>
        <v/>
      </c>
      <c r="T1993" s="24" t="str">
        <f aca="false">IF(A1993="","",IF(OR(AND(R1993&lt;&gt;"",R1993&lt;0),AND(S1993&lt;&gt;"",S1993&lt;0)),"EXPIRED",IF(OR(AND(R1993&lt;&gt;"",R1993&lt;=Settings!$B$15),AND(S1993&lt;&gt;"",S1993&lt;=Settings!$B$15)),"EXPIRING SOON","OK")))</f>
        <v/>
      </c>
      <c r="U1993" s="24" t="str">
        <f aca="false">IF(AND(C1993="Own",Q1993="Active"),COUNTIFS($C$5:C1993,"Own",$Q$5:Q1993,"Active"),"")</f>
        <v/>
      </c>
      <c r="V1993" s="26" t="str">
        <f aca="false">IF(C1993&lt;&gt;"Own","",IF(K1993="Hourly",N1993,(L1993+M1993)/(Settings!$B$11*Settings!$B$12)))</f>
        <v/>
      </c>
    </row>
    <row r="1994" customFormat="false" ht="15" hidden="false" customHeight="false" outlineLevel="0" collapsed="false">
      <c r="R1994" s="25" t="str">
        <f aca="true">IF(I1994="","",I1994-TODAY())</f>
        <v/>
      </c>
      <c r="S1994" s="25" t="str">
        <f aca="true">IF(J1994="","",J1994-TODAY())</f>
        <v/>
      </c>
      <c r="T1994" s="24" t="str">
        <f aca="false">IF(A1994="","",IF(OR(AND(R1994&lt;&gt;"",R1994&lt;0),AND(S1994&lt;&gt;"",S1994&lt;0)),"EXPIRED",IF(OR(AND(R1994&lt;&gt;"",R1994&lt;=Settings!$B$15),AND(S1994&lt;&gt;"",S1994&lt;=Settings!$B$15)),"EXPIRING SOON","OK")))</f>
        <v/>
      </c>
      <c r="U1994" s="24" t="str">
        <f aca="false">IF(AND(C1994="Own",Q1994="Active"),COUNTIFS($C$5:C1994,"Own",$Q$5:Q1994,"Active"),"")</f>
        <v/>
      </c>
      <c r="V1994" s="26" t="str">
        <f aca="false">IF(C1994&lt;&gt;"Own","",IF(K1994="Hourly",N1994,(L1994+M1994)/(Settings!$B$11*Settings!$B$12)))</f>
        <v/>
      </c>
    </row>
    <row r="1995" customFormat="false" ht="15" hidden="false" customHeight="false" outlineLevel="0" collapsed="false">
      <c r="R1995" s="25" t="str">
        <f aca="true">IF(I1995="","",I1995-TODAY())</f>
        <v/>
      </c>
      <c r="S1995" s="25" t="str">
        <f aca="true">IF(J1995="","",J1995-TODAY())</f>
        <v/>
      </c>
      <c r="T1995" s="24" t="str">
        <f aca="false">IF(A1995="","",IF(OR(AND(R1995&lt;&gt;"",R1995&lt;0),AND(S1995&lt;&gt;"",S1995&lt;0)),"EXPIRED",IF(OR(AND(R1995&lt;&gt;"",R1995&lt;=Settings!$B$15),AND(S1995&lt;&gt;"",S1995&lt;=Settings!$B$15)),"EXPIRING SOON","OK")))</f>
        <v/>
      </c>
      <c r="U1995" s="24" t="str">
        <f aca="false">IF(AND(C1995="Own",Q1995="Active"),COUNTIFS($C$5:C1995,"Own",$Q$5:Q1995,"Active"),"")</f>
        <v/>
      </c>
      <c r="V1995" s="26" t="str">
        <f aca="false">IF(C1995&lt;&gt;"Own","",IF(K1995="Hourly",N1995,(L1995+M1995)/(Settings!$B$11*Settings!$B$12)))</f>
        <v/>
      </c>
    </row>
    <row r="1996" customFormat="false" ht="15" hidden="false" customHeight="false" outlineLevel="0" collapsed="false">
      <c r="R1996" s="25" t="str">
        <f aca="true">IF(I1996="","",I1996-TODAY())</f>
        <v/>
      </c>
      <c r="S1996" s="25" t="str">
        <f aca="true">IF(J1996="","",J1996-TODAY())</f>
        <v/>
      </c>
      <c r="T1996" s="24" t="str">
        <f aca="false">IF(A1996="","",IF(OR(AND(R1996&lt;&gt;"",R1996&lt;0),AND(S1996&lt;&gt;"",S1996&lt;0)),"EXPIRED",IF(OR(AND(R1996&lt;&gt;"",R1996&lt;=Settings!$B$15),AND(S1996&lt;&gt;"",S1996&lt;=Settings!$B$15)),"EXPIRING SOON","OK")))</f>
        <v/>
      </c>
      <c r="U1996" s="24" t="str">
        <f aca="false">IF(AND(C1996="Own",Q1996="Active"),COUNTIFS($C$5:C1996,"Own",$Q$5:Q1996,"Active"),"")</f>
        <v/>
      </c>
      <c r="V1996" s="26" t="str">
        <f aca="false">IF(C1996&lt;&gt;"Own","",IF(K1996="Hourly",N1996,(L1996+M1996)/(Settings!$B$11*Settings!$B$12)))</f>
        <v/>
      </c>
    </row>
    <row r="1997" customFormat="false" ht="15" hidden="false" customHeight="false" outlineLevel="0" collapsed="false">
      <c r="R1997" s="25" t="str">
        <f aca="true">IF(I1997="","",I1997-TODAY())</f>
        <v/>
      </c>
      <c r="S1997" s="25" t="str">
        <f aca="true">IF(J1997="","",J1997-TODAY())</f>
        <v/>
      </c>
      <c r="T1997" s="24" t="str">
        <f aca="false">IF(A1997="","",IF(OR(AND(R1997&lt;&gt;"",R1997&lt;0),AND(S1997&lt;&gt;"",S1997&lt;0)),"EXPIRED",IF(OR(AND(R1997&lt;&gt;"",R1997&lt;=Settings!$B$15),AND(S1997&lt;&gt;"",S1997&lt;=Settings!$B$15)),"EXPIRING SOON","OK")))</f>
        <v/>
      </c>
      <c r="U1997" s="24" t="str">
        <f aca="false">IF(AND(C1997="Own",Q1997="Active"),COUNTIFS($C$5:C1997,"Own",$Q$5:Q1997,"Active"),"")</f>
        <v/>
      </c>
      <c r="V1997" s="26" t="str">
        <f aca="false">IF(C1997&lt;&gt;"Own","",IF(K1997="Hourly",N1997,(L1997+M1997)/(Settings!$B$11*Settings!$B$12)))</f>
        <v/>
      </c>
    </row>
    <row r="1998" customFormat="false" ht="15" hidden="false" customHeight="false" outlineLevel="0" collapsed="false">
      <c r="R1998" s="25" t="str">
        <f aca="true">IF(I1998="","",I1998-TODAY())</f>
        <v/>
      </c>
      <c r="S1998" s="25" t="str">
        <f aca="true">IF(J1998="","",J1998-TODAY())</f>
        <v/>
      </c>
      <c r="T1998" s="24" t="str">
        <f aca="false">IF(A1998="","",IF(OR(AND(R1998&lt;&gt;"",R1998&lt;0),AND(S1998&lt;&gt;"",S1998&lt;0)),"EXPIRED",IF(OR(AND(R1998&lt;&gt;"",R1998&lt;=Settings!$B$15),AND(S1998&lt;&gt;"",S1998&lt;=Settings!$B$15)),"EXPIRING SOON","OK")))</f>
        <v/>
      </c>
      <c r="U1998" s="24" t="str">
        <f aca="false">IF(AND(C1998="Own",Q1998="Active"),COUNTIFS($C$5:C1998,"Own",$Q$5:Q1998,"Active"),"")</f>
        <v/>
      </c>
      <c r="V1998" s="26" t="str">
        <f aca="false">IF(C1998&lt;&gt;"Own","",IF(K1998="Hourly",N1998,(L1998+M1998)/(Settings!$B$11*Settings!$B$12)))</f>
        <v/>
      </c>
    </row>
    <row r="1999" customFormat="false" ht="15" hidden="false" customHeight="false" outlineLevel="0" collapsed="false">
      <c r="R1999" s="25" t="str">
        <f aca="true">IF(I1999="","",I1999-TODAY())</f>
        <v/>
      </c>
      <c r="S1999" s="25" t="str">
        <f aca="true">IF(J1999="","",J1999-TODAY())</f>
        <v/>
      </c>
      <c r="T1999" s="24" t="str">
        <f aca="false">IF(A1999="","",IF(OR(AND(R1999&lt;&gt;"",R1999&lt;0),AND(S1999&lt;&gt;"",S1999&lt;0)),"EXPIRED",IF(OR(AND(R1999&lt;&gt;"",R1999&lt;=Settings!$B$15),AND(S1999&lt;&gt;"",S1999&lt;=Settings!$B$15)),"EXPIRING SOON","OK")))</f>
        <v/>
      </c>
      <c r="U1999" s="24" t="str">
        <f aca="false">IF(AND(C1999="Own",Q1999="Active"),COUNTIFS($C$5:C1999,"Own",$Q$5:Q1999,"Active"),"")</f>
        <v/>
      </c>
      <c r="V1999" s="26" t="str">
        <f aca="false">IF(C1999&lt;&gt;"Own","",IF(K1999="Hourly",N1999,(L1999+M1999)/(Settings!$B$11*Settings!$B$12)))</f>
        <v/>
      </c>
    </row>
    <row r="2000" customFormat="false" ht="15" hidden="false" customHeight="false" outlineLevel="0" collapsed="false">
      <c r="R2000" s="25" t="str">
        <f aca="true">IF(I2000="","",I2000-TODAY())</f>
        <v/>
      </c>
      <c r="S2000" s="25" t="str">
        <f aca="true">IF(J2000="","",J2000-TODAY())</f>
        <v/>
      </c>
      <c r="T2000" s="24" t="str">
        <f aca="false">IF(A2000="","",IF(OR(AND(R2000&lt;&gt;"",R2000&lt;0),AND(S2000&lt;&gt;"",S2000&lt;0)),"EXPIRED",IF(OR(AND(R2000&lt;&gt;"",R2000&lt;=Settings!$B$15),AND(S2000&lt;&gt;"",S2000&lt;=Settings!$B$15)),"EXPIRING SOON","OK")))</f>
        <v/>
      </c>
      <c r="U2000" s="24" t="str">
        <f aca="false">IF(AND(C2000="Own",Q2000="Active"),COUNTIFS($C$5:C2000,"Own",$Q$5:Q2000,"Active"),"")</f>
        <v/>
      </c>
      <c r="V2000" s="26" t="str">
        <f aca="false">IF(C2000&lt;&gt;"Own","",IF(K2000="Hourly",N2000,(L2000+M2000)/(Settings!$B$11*Settings!$B$12)))</f>
        <v/>
      </c>
    </row>
    <row r="2001" customFormat="false" ht="15" hidden="false" customHeight="false" outlineLevel="0" collapsed="false">
      <c r="R2001" s="25" t="str">
        <f aca="true">IF(I2001="","",I2001-TODAY())</f>
        <v/>
      </c>
      <c r="S2001" s="25" t="str">
        <f aca="true">IF(J2001="","",J2001-TODAY())</f>
        <v/>
      </c>
      <c r="T2001" s="24" t="str">
        <f aca="false">IF(A2001="","",IF(OR(AND(R2001&lt;&gt;"",R2001&lt;0),AND(S2001&lt;&gt;"",S2001&lt;0)),"EXPIRED",IF(OR(AND(R2001&lt;&gt;"",R2001&lt;=Settings!$B$15),AND(S2001&lt;&gt;"",S2001&lt;=Settings!$B$15)),"EXPIRING SOON","OK")))</f>
        <v/>
      </c>
      <c r="U2001" s="24" t="str">
        <f aca="false">IF(AND(C2001="Own",Q2001="Active"),COUNTIFS($C$5:C2001,"Own",$Q$5:Q2001,"Active"),"")</f>
        <v/>
      </c>
      <c r="V2001" s="26" t="str">
        <f aca="false">IF(C2001&lt;&gt;"Own","",IF(K2001="Hourly",N2001,(L2001+M2001)/(Settings!$B$11*Settings!$B$12)))</f>
        <v/>
      </c>
    </row>
    <row r="2002" customFormat="false" ht="15" hidden="false" customHeight="false" outlineLevel="0" collapsed="false">
      <c r="R2002" s="25" t="str">
        <f aca="true">IF(I2002="","",I2002-TODAY())</f>
        <v/>
      </c>
      <c r="S2002" s="25" t="str">
        <f aca="true">IF(J2002="","",J2002-TODAY())</f>
        <v/>
      </c>
      <c r="T2002" s="24" t="str">
        <f aca="false">IF(A2002="","",IF(OR(AND(R2002&lt;&gt;"",R2002&lt;0),AND(S2002&lt;&gt;"",S2002&lt;0)),"EXPIRED",IF(OR(AND(R2002&lt;&gt;"",R2002&lt;=Settings!$B$15),AND(S2002&lt;&gt;"",S2002&lt;=Settings!$B$15)),"EXPIRING SOON","OK")))</f>
        <v/>
      </c>
      <c r="U2002" s="24" t="str">
        <f aca="false">IF(AND(C2002="Own",Q2002="Active"),COUNTIFS($C$5:C2002,"Own",$Q$5:Q2002,"Active"),"")</f>
        <v/>
      </c>
      <c r="V2002" s="26" t="str">
        <f aca="false">IF(C2002&lt;&gt;"Own","",IF(K2002="Hourly",N2002,(L2002+M2002)/(Settings!$B$11*Settings!$B$12)))</f>
        <v/>
      </c>
    </row>
    <row r="2003" customFormat="false" ht="15" hidden="false" customHeight="false" outlineLevel="0" collapsed="false">
      <c r="R2003" s="25" t="str">
        <f aca="true">IF(I2003="","",I2003-TODAY())</f>
        <v/>
      </c>
      <c r="S2003" s="25" t="str">
        <f aca="true">IF(J2003="","",J2003-TODAY())</f>
        <v/>
      </c>
      <c r="T2003" s="24" t="str">
        <f aca="false">IF(A2003="","",IF(OR(AND(R2003&lt;&gt;"",R2003&lt;0),AND(S2003&lt;&gt;"",S2003&lt;0)),"EXPIRED",IF(OR(AND(R2003&lt;&gt;"",R2003&lt;=Settings!$B$15),AND(S2003&lt;&gt;"",S2003&lt;=Settings!$B$15)),"EXPIRING SOON","OK")))</f>
        <v/>
      </c>
      <c r="U2003" s="24" t="str">
        <f aca="false">IF(AND(C2003="Own",Q2003="Active"),COUNTIFS($C$5:C2003,"Own",$Q$5:Q2003,"Active"),"")</f>
        <v/>
      </c>
      <c r="V2003" s="26" t="str">
        <f aca="false">IF(C2003&lt;&gt;"Own","",IF(K2003="Hourly",N2003,(L2003+M2003)/(Settings!$B$11*Settings!$B$12)))</f>
        <v/>
      </c>
    </row>
    <row r="2004" customFormat="false" ht="15" hidden="false" customHeight="false" outlineLevel="0" collapsed="false">
      <c r="R2004" s="25" t="str">
        <f aca="true">IF(I2004="","",I2004-TODAY())</f>
        <v/>
      </c>
      <c r="S2004" s="25" t="str">
        <f aca="true">IF(J2004="","",J2004-TODAY())</f>
        <v/>
      </c>
      <c r="T2004" s="24" t="str">
        <f aca="false">IF(A2004="","",IF(OR(AND(R2004&lt;&gt;"",R2004&lt;0),AND(S2004&lt;&gt;"",S2004&lt;0)),"EXPIRED",IF(OR(AND(R2004&lt;&gt;"",R2004&lt;=Settings!$B$15),AND(S2004&lt;&gt;"",S2004&lt;=Settings!$B$15)),"EXPIRING SOON","OK")))</f>
        <v/>
      </c>
      <c r="U2004" s="24" t="str">
        <f aca="false">IF(AND(C2004="Own",Q2004="Active"),COUNTIFS($C$5:C2004,"Own",$Q$5:Q2004,"Active"),"")</f>
        <v/>
      </c>
      <c r="V2004" s="26" t="str">
        <f aca="false">IF(C2004&lt;&gt;"Own","",IF(K2004="Hourly",N2004,(L2004+M2004)/(Settings!$B$11*Settings!$B$12)))</f>
        <v/>
      </c>
    </row>
  </sheetData>
  <autoFilter ref="A4:V2004"/>
  <conditionalFormatting sqref="A5:T2004">
    <cfRule type="expression" priority="2" aboveAverage="0" equalAverage="0" bottom="0" percent="0" rank="0" text="" dxfId="0">
      <formula>$T5="EXPIRED"</formula>
    </cfRule>
    <cfRule type="expression" priority="3" aboveAverage="0" equalAverage="0" bottom="0" percent="0" rank="0" text="" dxfId="9">
      <formula>$T5="EXPIRING SOON"</formula>
    </cfRule>
  </conditionalFormatting>
  <dataValidations count="5">
    <dataValidation allowBlank="true" error="Please pick a value from the list" errorStyle="stop" operator="between" showDropDown="false" showErrorMessage="false" showInputMessage="false" sqref="C5:C2004" type="list">
      <formula1>Settings!$F$5:$F$6</formula1>
      <formula2>0</formula2>
    </dataValidation>
    <dataValidation allowBlank="true" error="Please pick a value from the list" errorStyle="stop" operator="between" showDropDown="false" showErrorMessage="false" showInputMessage="false" sqref="D5:D2004" type="list">
      <formula1>Suppliers!$A$5:$A$200</formula1>
      <formula2>0</formula2>
    </dataValidation>
    <dataValidation allowBlank="true" error="Please pick a value from the list" errorStyle="stop" operator="between" showDropDown="false" showErrorMessage="false" showInputMessage="false" sqref="E5:E2004" type="list">
      <formula1>Settings!$D$5:$D$13</formula1>
      <formula2>0</formula2>
    </dataValidation>
    <dataValidation allowBlank="true" error="Please pick a value from the list" errorStyle="stop" operator="between" showDropDown="false" showErrorMessage="false" showInputMessage="false" sqref="K5:K2004" type="list">
      <formula1>Settings!$H$5:$H$6</formula1>
      <formula2>0</formula2>
    </dataValidation>
    <dataValidation allowBlank="true" error="Please pick a value from the list" errorStyle="stop" operator="between" showDropDown="false" showErrorMessage="false" showInputMessage="false" sqref="Q5:Q2004" type="list">
      <formula1>Settings!$L$5:$L$6</formula1>
      <formula2>0</formula2>
    </dataValidation>
  </dataValidations>
  <hyperlinks>
    <hyperlink ref="C1" r:id="rId1" location="'HOME'!A1" display="« HO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T3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14"/>
    <col collapsed="false" customWidth="true" hidden="false" outlineLevel="0" max="9" min="9" style="0" width="20"/>
    <col collapsed="false" customWidth="true" hidden="false" outlineLevel="0" max="11" min="10" style="0" width="9"/>
    <col collapsed="false" customWidth="true" hidden="false" outlineLevel="0" max="12" min="12" style="0" width="13"/>
    <col collapsed="false" customWidth="true" hidden="false" outlineLevel="0" max="14" min="13" style="0" width="9"/>
    <col collapsed="false" customWidth="true" hidden="false" outlineLevel="0" max="15" min="15" style="0" width="13"/>
    <col collapsed="false" customWidth="true" hidden="false" outlineLevel="0" max="17" min="16" style="0" width="9"/>
    <col collapsed="false" customWidth="true" hidden="false" outlineLevel="0" max="20" min="18" style="0" width="12"/>
  </cols>
  <sheetData>
    <row r="1" customFormat="false" ht="17.35" hidden="false" customHeight="false" outlineLevel="0" collapsed="false">
      <c r="A1" s="14" t="s">
        <v>527</v>
      </c>
      <c r="E1" s="15" t="s">
        <v>38</v>
      </c>
    </row>
    <row r="2" customFormat="false" ht="15" hidden="false" customHeight="false" outlineLevel="0" collapsed="false">
      <c r="A2" s="13" t="s">
        <v>528</v>
      </c>
    </row>
    <row r="4" customFormat="false" ht="31.5" hidden="false" customHeight="true" outlineLevel="0" collapsed="false">
      <c r="A4" s="38" t="s">
        <v>529</v>
      </c>
      <c r="B4" s="38" t="s">
        <v>94</v>
      </c>
      <c r="C4" s="38" t="s">
        <v>530</v>
      </c>
      <c r="D4" s="38" t="s">
        <v>219</v>
      </c>
      <c r="E4" s="38" t="s">
        <v>531</v>
      </c>
      <c r="F4" s="38" t="s">
        <v>532</v>
      </c>
      <c r="G4" s="38" t="s">
        <v>533</v>
      </c>
      <c r="H4" s="38" t="s">
        <v>534</v>
      </c>
      <c r="I4" s="40" t="s">
        <v>535</v>
      </c>
      <c r="J4" s="40" t="s">
        <v>121</v>
      </c>
      <c r="K4" s="40" t="s">
        <v>191</v>
      </c>
      <c r="L4" s="40" t="s">
        <v>212</v>
      </c>
      <c r="M4" s="40" t="s">
        <v>536</v>
      </c>
      <c r="N4" s="40" t="s">
        <v>537</v>
      </c>
      <c r="O4" s="40" t="s">
        <v>538</v>
      </c>
      <c r="P4" s="40" t="s">
        <v>539</v>
      </c>
      <c r="Q4" s="40" t="s">
        <v>540</v>
      </c>
      <c r="R4" s="40" t="s">
        <v>541</v>
      </c>
      <c r="S4" s="40" t="s">
        <v>542</v>
      </c>
      <c r="T4" s="40" t="s">
        <v>1</v>
      </c>
    </row>
    <row r="5" customFormat="false" ht="15" hidden="false" customHeight="false" outlineLevel="0" collapsed="false">
      <c r="A5" s="41" t="n">
        <v>46296</v>
      </c>
      <c r="B5" s="33" t="s">
        <v>172</v>
      </c>
      <c r="C5" s="33" t="s">
        <v>543</v>
      </c>
      <c r="D5" s="33" t="s">
        <v>236</v>
      </c>
      <c r="E5" s="33" t="n">
        <v>26</v>
      </c>
      <c r="F5" s="33" t="n">
        <v>208</v>
      </c>
      <c r="G5" s="33" t="n">
        <v>26</v>
      </c>
      <c r="H5" s="33" t="s">
        <v>544</v>
      </c>
      <c r="I5" s="24" t="str">
        <f aca="false">IF($D5="","",IFERROR(INDEX(Workers!$B$5:$B$2004,MATCH($D5,Workers!$A$5:$A$2004,0)),"NOT FOUND"))</f>
        <v>Marlon Khan</v>
      </c>
      <c r="J5" s="24" t="str">
        <f aca="false">IF($D5="","",IFERROR(INDEX(Workers!$C$5:$C$2004,MATCH($D5,Workers!$A$5:$A$2004,0)),""))</f>
        <v>Own</v>
      </c>
      <c r="K5" s="24" t="str">
        <f aca="false">IF($D5="","",IFERROR(IF(INDEX(Workers!$D$5:$D$2004,MATCH($D5,Workers!$A$5:$A$2004,0))=0,"",INDEX(Workers!$D$5:$D$2004,MATCH($D5,Workers!$A$5:$A$2004,0))),""))</f>
        <v/>
      </c>
      <c r="L5" s="24" t="str">
        <f aca="false">IF($D5="","",IFERROR(INDEX(Workers!$E$5:$E$2004,MATCH($D5,Workers!$A$5:$A$2004,0)),""))</f>
        <v>Steel Fixer</v>
      </c>
      <c r="M5" s="26" t="n">
        <f aca="false">IF($D5="","",IFERROR(INDEX(ClientRates!$D$5:$D$500,MATCH($B5&amp;"|"&amp;$L5,ClientRates!$A$5:$A$500,0)),0))</f>
        <v>25.3</v>
      </c>
      <c r="N5" s="26" t="n">
        <f aca="false">IF($D5="","",IFERROR(INDEX(ClientRates!$E$5:$E$500,MATCH($B5&amp;"|"&amp;$L5,ClientRates!$A$5:$A$500,0)),0))</f>
        <v>31.62</v>
      </c>
      <c r="O5" s="26" t="n">
        <f aca="false">IF($D5="","",F5*M5+G5*N5)</f>
        <v>6084.52</v>
      </c>
      <c r="P5" s="26" t="str">
        <f aca="false">IF(OR($D5="",$J5&lt;&gt;"Supplier"),"",IFERROR(INDEX(SupplierRates!$D$5:$D$500,MATCH($K5&amp;"|"&amp;$L5,SupplierRates!$A$5:$A$500,0)),0))</f>
        <v/>
      </c>
      <c r="Q5" s="26" t="str">
        <f aca="false">IF(OR($D5="",$J5&lt;&gt;"Supplier"),"",IFERROR(INDEX(SupplierRates!$E$5:$E$500,MATCH($K5&amp;"|"&amp;$L5,SupplierRates!$A$5:$A$500,0)),0))</f>
        <v/>
      </c>
      <c r="R5" s="26" t="n">
        <f aca="false">IF(OR($D5="",$J5&lt;&gt;"Supplier"),0,F5*P5+G5*Q5)</f>
        <v>0</v>
      </c>
      <c r="S5" s="26" t="n">
        <f aca="false">IF(OR($D5="",$J5&lt;&gt;"Own"),0,IFERROR((F5+G5*Settings!$B$13)*INDEX(Workers!$V$5:$V$2004,MATCH($D5,Workers!$A$5:$A$2004,0)),0))</f>
        <v>2081.25</v>
      </c>
      <c r="T5" s="26" t="n">
        <f aca="false">IF($D5="","",O5-R5-S5)</f>
        <v>4003.27</v>
      </c>
    </row>
    <row r="6" customFormat="false" ht="15" hidden="false" customHeight="false" outlineLevel="0" collapsed="false">
      <c r="A6" s="41" t="n">
        <v>46296</v>
      </c>
      <c r="B6" s="33" t="s">
        <v>166</v>
      </c>
      <c r="C6" s="33" t="s">
        <v>545</v>
      </c>
      <c r="D6" s="33" t="s">
        <v>243</v>
      </c>
      <c r="E6" s="33" t="n">
        <v>25</v>
      </c>
      <c r="F6" s="33" t="n">
        <v>200</v>
      </c>
      <c r="G6" s="33" t="n">
        <v>26</v>
      </c>
      <c r="H6" s="33" t="s">
        <v>546</v>
      </c>
      <c r="I6" s="24" t="str">
        <f aca="false">IF($D6="","",IFERROR(INDEX(Workers!$B$5:$B$2004,MATCH($D6,Workers!$A$5:$A$2004,0)),"NOT FOUND"))</f>
        <v>Rohan Ali</v>
      </c>
      <c r="J6" s="24" t="str">
        <f aca="false">IF($D6="","",IFERROR(INDEX(Workers!$C$5:$C$2004,MATCH($D6,Workers!$A$5:$A$2004,0)),""))</f>
        <v>Own</v>
      </c>
      <c r="K6" s="24" t="str">
        <f aca="false">IF($D6="","",IFERROR(IF(INDEX(Workers!$D$5:$D$2004,MATCH($D6,Workers!$A$5:$A$2004,0))=0,"",INDEX(Workers!$D$5:$D$2004,MATCH($D6,Workers!$A$5:$A$2004,0))),""))</f>
        <v/>
      </c>
      <c r="L6" s="24" t="str">
        <f aca="false">IF($D6="","",IFERROR(INDEX(Workers!$E$5:$E$2004,MATCH($D6,Workers!$A$5:$A$2004,0)),""))</f>
        <v>Helper</v>
      </c>
      <c r="M6" s="26" t="n">
        <f aca="false">IF($D6="","",IFERROR(INDEX(ClientRates!$D$5:$D$500,MATCH($B6&amp;"|"&amp;$L6,ClientRates!$A$5:$A$500,0)),0))</f>
        <v>16</v>
      </c>
      <c r="N6" s="26" t="n">
        <f aca="false">IF($D6="","",IFERROR(INDEX(ClientRates!$E$5:$E$500,MATCH($B6&amp;"|"&amp;$L6,ClientRates!$A$5:$A$500,0)),0))</f>
        <v>20</v>
      </c>
      <c r="O6" s="26" t="n">
        <f aca="false">IF($D6="","",F6*M6+G6*N6)</f>
        <v>3720</v>
      </c>
      <c r="P6" s="26" t="str">
        <f aca="false">IF(OR($D6="",$J6&lt;&gt;"Supplier"),"",IFERROR(INDEX(SupplierRates!$D$5:$D$500,MATCH($K6&amp;"|"&amp;$L6,SupplierRates!$A$5:$A$500,0)),0))</f>
        <v/>
      </c>
      <c r="Q6" s="26" t="str">
        <f aca="false">IF(OR($D6="",$J6&lt;&gt;"Supplier"),"",IFERROR(INDEX(SupplierRates!$E$5:$E$500,MATCH($K6&amp;"|"&amp;$L6,SupplierRates!$A$5:$A$500,0)),0))</f>
        <v/>
      </c>
      <c r="R6" s="26" t="n">
        <f aca="false">IF(OR($D6="",$J6&lt;&gt;"Supplier"),0,F6*P6+G6*Q6)</f>
        <v>0</v>
      </c>
      <c r="S6" s="26" t="n">
        <f aca="false">IF(OR($D6="",$J6&lt;&gt;"Own"),0,IFERROR((F6+G6*Settings!$B$13)*INDEX(Workers!$V$5:$V$2004,MATCH($D6,Workers!$A$5:$A$2004,0)),0))</f>
        <v>1900.24038461538</v>
      </c>
      <c r="T6" s="26" t="n">
        <f aca="false">IF($D6="","",O6-R6-S6)</f>
        <v>1819.75961538462</v>
      </c>
    </row>
    <row r="7" customFormat="false" ht="15" hidden="false" customHeight="false" outlineLevel="0" collapsed="false">
      <c r="A7" s="41" t="n">
        <v>46296</v>
      </c>
      <c r="B7" s="33" t="s">
        <v>166</v>
      </c>
      <c r="C7" s="33" t="s">
        <v>545</v>
      </c>
      <c r="D7" s="33" t="s">
        <v>250</v>
      </c>
      <c r="E7" s="33" t="n">
        <v>25</v>
      </c>
      <c r="F7" s="33" t="n">
        <v>200</v>
      </c>
      <c r="G7" s="33" t="n">
        <v>26</v>
      </c>
      <c r="H7" s="33" t="s">
        <v>546</v>
      </c>
      <c r="I7" s="24" t="str">
        <f aca="false">IF($D7="","",IFERROR(INDEX(Workers!$B$5:$B$2004,MATCH($D7,Workers!$A$5:$A$2004,0)),"NOT FOUND"))</f>
        <v>Ronel Thapa</v>
      </c>
      <c r="J7" s="24" t="str">
        <f aca="false">IF($D7="","",IFERROR(INDEX(Workers!$C$5:$C$2004,MATCH($D7,Workers!$A$5:$A$2004,0)),""))</f>
        <v>Own</v>
      </c>
      <c r="K7" s="24" t="str">
        <f aca="false">IF($D7="","",IFERROR(IF(INDEX(Workers!$D$5:$D$2004,MATCH($D7,Workers!$A$5:$A$2004,0))=0,"",INDEX(Workers!$D$5:$D$2004,MATCH($D7,Workers!$A$5:$A$2004,0))),""))</f>
        <v/>
      </c>
      <c r="L7" s="24" t="str">
        <f aca="false">IF($D7="","",IFERROR(INDEX(Workers!$E$5:$E$2004,MATCH($D7,Workers!$A$5:$A$2004,0)),""))</f>
        <v>Mason</v>
      </c>
      <c r="M7" s="26" t="n">
        <f aca="false">IF($D7="","",IFERROR(INDEX(ClientRates!$D$5:$D$500,MATCH($B7&amp;"|"&amp;$L7,ClientRates!$A$5:$A$500,0)),0))</f>
        <v>22</v>
      </c>
      <c r="N7" s="26" t="n">
        <f aca="false">IF($D7="","",IFERROR(INDEX(ClientRates!$E$5:$E$500,MATCH($B7&amp;"|"&amp;$L7,ClientRates!$A$5:$A$500,0)),0))</f>
        <v>27.5</v>
      </c>
      <c r="O7" s="26" t="n">
        <f aca="false">IF($D7="","",F7*M7+G7*N7)</f>
        <v>5115</v>
      </c>
      <c r="P7" s="26" t="str">
        <f aca="false">IF(OR($D7="",$J7&lt;&gt;"Supplier"),"",IFERROR(INDEX(SupplierRates!$D$5:$D$500,MATCH($K7&amp;"|"&amp;$L7,SupplierRates!$A$5:$A$500,0)),0))</f>
        <v/>
      </c>
      <c r="Q7" s="26" t="str">
        <f aca="false">IF(OR($D7="",$J7&lt;&gt;"Supplier"),"",IFERROR(INDEX(SupplierRates!$E$5:$E$500,MATCH($K7&amp;"|"&amp;$L7,SupplierRates!$A$5:$A$500,0)),0))</f>
        <v/>
      </c>
      <c r="R7" s="26" t="n">
        <f aca="false">IF(OR($D7="",$J7&lt;&gt;"Supplier"),0,F7*P7+G7*Q7)</f>
        <v>0</v>
      </c>
      <c r="S7" s="26" t="n">
        <f aca="false">IF(OR($D7="",$J7&lt;&gt;"Own"),0,IFERROR((F7+G7*Settings!$B$13)*INDEX(Workers!$V$5:$V$2004,MATCH($D7,Workers!$A$5:$A$2004,0)),0))</f>
        <v>2235.57692307692</v>
      </c>
      <c r="T7" s="26" t="n">
        <f aca="false">IF($D7="","",O7-R7-S7)</f>
        <v>2879.42307692308</v>
      </c>
    </row>
    <row r="8" customFormat="false" ht="15" hidden="false" customHeight="false" outlineLevel="0" collapsed="false">
      <c r="A8" s="41" t="n">
        <v>46296</v>
      </c>
      <c r="B8" s="33" t="s">
        <v>172</v>
      </c>
      <c r="C8" s="33" t="s">
        <v>547</v>
      </c>
      <c r="D8" s="33" t="s">
        <v>256</v>
      </c>
      <c r="E8" s="33" t="n">
        <v>24</v>
      </c>
      <c r="F8" s="33" t="n">
        <v>192</v>
      </c>
      <c r="G8" s="33" t="n">
        <v>16</v>
      </c>
      <c r="H8" s="33" t="s">
        <v>544</v>
      </c>
      <c r="I8" s="24" t="str">
        <f aca="false">IF($D8="","",IFERROR(INDEX(Workers!$B$5:$B$2004,MATCH($D8,Workers!$A$5:$A$2004,0)),"NOT FOUND"))</f>
        <v>Tariq Varghese</v>
      </c>
      <c r="J8" s="24" t="str">
        <f aca="false">IF($D8="","",IFERROR(INDEX(Workers!$C$5:$C$2004,MATCH($D8,Workers!$A$5:$A$2004,0)),""))</f>
        <v>Own</v>
      </c>
      <c r="K8" s="24" t="str">
        <f aca="false">IF($D8="","",IFERROR(IF(INDEX(Workers!$D$5:$D$2004,MATCH($D8,Workers!$A$5:$A$2004,0))=0,"",INDEX(Workers!$D$5:$D$2004,MATCH($D8,Workers!$A$5:$A$2004,0))),""))</f>
        <v/>
      </c>
      <c r="L8" s="24" t="str">
        <f aca="false">IF($D8="","",IFERROR(INDEX(Workers!$E$5:$E$2004,MATCH($D8,Workers!$A$5:$A$2004,0)),""))</f>
        <v>Helper</v>
      </c>
      <c r="M8" s="26" t="n">
        <f aca="false">IF($D8="","",IFERROR(INDEX(ClientRates!$D$5:$D$500,MATCH($B8&amp;"|"&amp;$L8,ClientRates!$A$5:$A$500,0)),0))</f>
        <v>17.6</v>
      </c>
      <c r="N8" s="26" t="n">
        <f aca="false">IF($D8="","",IFERROR(INDEX(ClientRates!$E$5:$E$500,MATCH($B8&amp;"|"&amp;$L8,ClientRates!$A$5:$A$500,0)),0))</f>
        <v>22</v>
      </c>
      <c r="O8" s="26" t="n">
        <f aca="false">IF($D8="","",F8*M8+G8*N8)</f>
        <v>3731.2</v>
      </c>
      <c r="P8" s="26" t="str">
        <f aca="false">IF(OR($D8="",$J8&lt;&gt;"Supplier"),"",IFERROR(INDEX(SupplierRates!$D$5:$D$500,MATCH($K8&amp;"|"&amp;$L8,SupplierRates!$A$5:$A$500,0)),0))</f>
        <v/>
      </c>
      <c r="Q8" s="26" t="str">
        <f aca="false">IF(OR($D8="",$J8&lt;&gt;"Supplier"),"",IFERROR(INDEX(SupplierRates!$E$5:$E$500,MATCH($K8&amp;"|"&amp;$L8,SupplierRates!$A$5:$A$500,0)),0))</f>
        <v/>
      </c>
      <c r="R8" s="26" t="n">
        <f aca="false">IF(OR($D8="",$J8&lt;&gt;"Supplier"),0,F8*P8+G8*Q8)</f>
        <v>0</v>
      </c>
      <c r="S8" s="26" t="n">
        <f aca="false">IF(OR($D8="",$J8&lt;&gt;"Own"),0,IFERROR((F8+G8*Settings!$B$13)*INDEX(Workers!$V$5:$V$2004,MATCH($D8,Workers!$A$5:$A$2004,0)),0))</f>
        <v>2344.23076923077</v>
      </c>
      <c r="T8" s="26" t="n">
        <f aca="false">IF($D8="","",O8-R8-S8)</f>
        <v>1386.96923076923</v>
      </c>
    </row>
    <row r="9" customFormat="false" ht="15" hidden="false" customHeight="false" outlineLevel="0" collapsed="false">
      <c r="A9" s="41" t="n">
        <v>46296</v>
      </c>
      <c r="B9" s="33" t="s">
        <v>166</v>
      </c>
      <c r="C9" s="33" t="s">
        <v>548</v>
      </c>
      <c r="D9" s="33" t="s">
        <v>261</v>
      </c>
      <c r="E9" s="33" t="n">
        <v>26</v>
      </c>
      <c r="F9" s="33" t="n">
        <v>208</v>
      </c>
      <c r="G9" s="33" t="n">
        <v>26</v>
      </c>
      <c r="H9" s="33" t="s">
        <v>546</v>
      </c>
      <c r="I9" s="24" t="str">
        <f aca="false">IF($D9="","",IFERROR(INDEX(Workers!$B$5:$B$2004,MATCH($D9,Workers!$A$5:$A$2004,0)),"NOT FOUND"))</f>
        <v>Joseph Ahmed</v>
      </c>
      <c r="J9" s="24" t="str">
        <f aca="false">IF($D9="","",IFERROR(INDEX(Workers!$C$5:$C$2004,MATCH($D9,Workers!$A$5:$A$2004,0)),""))</f>
        <v>Own</v>
      </c>
      <c r="K9" s="24" t="str">
        <f aca="false">IF($D9="","",IFERROR(IF(INDEX(Workers!$D$5:$D$2004,MATCH($D9,Workers!$A$5:$A$2004,0))=0,"",INDEX(Workers!$D$5:$D$2004,MATCH($D9,Workers!$A$5:$A$2004,0))),""))</f>
        <v/>
      </c>
      <c r="L9" s="24" t="str">
        <f aca="false">IF($D9="","",IFERROR(INDEX(Workers!$E$5:$E$2004,MATCH($D9,Workers!$A$5:$A$2004,0)),""))</f>
        <v>Helper</v>
      </c>
      <c r="M9" s="26" t="n">
        <f aca="false">IF($D9="","",IFERROR(INDEX(ClientRates!$D$5:$D$500,MATCH($B9&amp;"|"&amp;$L9,ClientRates!$A$5:$A$500,0)),0))</f>
        <v>16</v>
      </c>
      <c r="N9" s="26" t="n">
        <f aca="false">IF($D9="","",IFERROR(INDEX(ClientRates!$E$5:$E$500,MATCH($B9&amp;"|"&amp;$L9,ClientRates!$A$5:$A$500,0)),0))</f>
        <v>20</v>
      </c>
      <c r="O9" s="26" t="n">
        <f aca="false">IF($D9="","",F9*M9+G9*N9)</f>
        <v>3848</v>
      </c>
      <c r="P9" s="26" t="str">
        <f aca="false">IF(OR($D9="",$J9&lt;&gt;"Supplier"),"",IFERROR(INDEX(SupplierRates!$D$5:$D$500,MATCH($K9&amp;"|"&amp;$L9,SupplierRates!$A$5:$A$500,0)),0))</f>
        <v/>
      </c>
      <c r="Q9" s="26" t="str">
        <f aca="false">IF(OR($D9="",$J9&lt;&gt;"Supplier"),"",IFERROR(INDEX(SupplierRates!$E$5:$E$500,MATCH($K9&amp;"|"&amp;$L9,SupplierRates!$A$5:$A$500,0)),0))</f>
        <v/>
      </c>
      <c r="R9" s="26" t="n">
        <f aca="false">IF(OR($D9="",$J9&lt;&gt;"Supplier"),0,F9*P9+G9*Q9)</f>
        <v>0</v>
      </c>
      <c r="S9" s="26" t="n">
        <f aca="false">IF(OR($D9="",$J9&lt;&gt;"Own"),0,IFERROR((F9+G9*Settings!$B$13)*INDEX(Workers!$V$5:$V$2004,MATCH($D9,Workers!$A$5:$A$2004,0)),0))</f>
        <v>1850</v>
      </c>
      <c r="T9" s="26" t="n">
        <f aca="false">IF($D9="","",O9-R9-S9)</f>
        <v>1998</v>
      </c>
    </row>
    <row r="10" customFormat="false" ht="15" hidden="false" customHeight="false" outlineLevel="0" collapsed="false">
      <c r="A10" s="41" t="n">
        <v>46296</v>
      </c>
      <c r="B10" s="33" t="s">
        <v>178</v>
      </c>
      <c r="C10" s="33" t="s">
        <v>549</v>
      </c>
      <c r="D10" s="33" t="s">
        <v>266</v>
      </c>
      <c r="E10" s="33" t="n">
        <v>22</v>
      </c>
      <c r="F10" s="33" t="n">
        <v>176</v>
      </c>
      <c r="G10" s="33" t="n">
        <v>0</v>
      </c>
      <c r="H10" s="33" t="s">
        <v>550</v>
      </c>
      <c r="I10" s="24" t="str">
        <f aca="false">IF($D10="","",IFERROR(INDEX(Workers!$B$5:$B$2004,MATCH($D10,Workers!$A$5:$A$2004,0)),"NOT FOUND"))</f>
        <v>Dinesh Shrestha</v>
      </c>
      <c r="J10" s="24" t="str">
        <f aca="false">IF($D10="","",IFERROR(INDEX(Workers!$C$5:$C$2004,MATCH($D10,Workers!$A$5:$A$2004,0)),""))</f>
        <v>Own</v>
      </c>
      <c r="K10" s="24" t="str">
        <f aca="false">IF($D10="","",IFERROR(IF(INDEX(Workers!$D$5:$D$2004,MATCH($D10,Workers!$A$5:$A$2004,0))=0,"",INDEX(Workers!$D$5:$D$2004,MATCH($D10,Workers!$A$5:$A$2004,0))),""))</f>
        <v/>
      </c>
      <c r="L10" s="24" t="str">
        <f aca="false">IF($D10="","",IFERROR(INDEX(Workers!$E$5:$E$2004,MATCH($D10,Workers!$A$5:$A$2004,0)),""))</f>
        <v>Driver</v>
      </c>
      <c r="M10" s="26" t="n">
        <f aca="false">IF($D10="","",IFERROR(INDEX(ClientRates!$D$5:$D$500,MATCH($B10&amp;"|"&amp;$L10,ClientRates!$A$5:$A$500,0)),0))</f>
        <v>22.8</v>
      </c>
      <c r="N10" s="26" t="n">
        <f aca="false">IF($D10="","",IFERROR(INDEX(ClientRates!$E$5:$E$500,MATCH($B10&amp;"|"&amp;$L10,ClientRates!$A$5:$A$500,0)),0))</f>
        <v>28.5</v>
      </c>
      <c r="O10" s="26" t="n">
        <f aca="false">IF($D10="","",F10*M10+G10*N10)</f>
        <v>4012.8</v>
      </c>
      <c r="P10" s="26" t="str">
        <f aca="false">IF(OR($D10="",$J10&lt;&gt;"Supplier"),"",IFERROR(INDEX(SupplierRates!$D$5:$D$500,MATCH($K10&amp;"|"&amp;$L10,SupplierRates!$A$5:$A$500,0)),0))</f>
        <v/>
      </c>
      <c r="Q10" s="26" t="str">
        <f aca="false">IF(OR($D10="",$J10&lt;&gt;"Supplier"),"",IFERROR(INDEX(SupplierRates!$E$5:$E$500,MATCH($K10&amp;"|"&amp;$L10,SupplierRates!$A$5:$A$500,0)),0))</f>
        <v/>
      </c>
      <c r="R10" s="26" t="n">
        <f aca="false">IF(OR($D10="",$J10&lt;&gt;"Supplier"),0,F10*P10+G10*Q10)</f>
        <v>0</v>
      </c>
      <c r="S10" s="26" t="n">
        <f aca="false">IF(OR($D10="",$J10&lt;&gt;"Own"),0,IFERROR((F10+G10*Settings!$B$13)*INDEX(Workers!$V$5:$V$2004,MATCH($D10,Workers!$A$5:$A$2004,0)),0))</f>
        <v>1269.23076923077</v>
      </c>
      <c r="T10" s="26" t="n">
        <f aca="false">IF($D10="","",O10-R10-S10)</f>
        <v>2743.56923076923</v>
      </c>
    </row>
    <row r="11" customFormat="false" ht="15" hidden="false" customHeight="false" outlineLevel="0" collapsed="false">
      <c r="A11" s="41" t="n">
        <v>46296</v>
      </c>
      <c r="B11" s="33" t="s">
        <v>166</v>
      </c>
      <c r="C11" s="33" t="s">
        <v>548</v>
      </c>
      <c r="D11" s="33" t="s">
        <v>271</v>
      </c>
      <c r="E11" s="33" t="n">
        <v>24</v>
      </c>
      <c r="F11" s="33" t="n">
        <v>192</v>
      </c>
      <c r="G11" s="33" t="n">
        <v>26</v>
      </c>
      <c r="H11" s="33" t="s">
        <v>546</v>
      </c>
      <c r="I11" s="24" t="str">
        <f aca="false">IF($D11="","",IFERROR(INDEX(Workers!$B$5:$B$2004,MATCH($D11,Workers!$A$5:$A$2004,0)),"NOT FOUND"))</f>
        <v>Rahul Kumar</v>
      </c>
      <c r="J11" s="24" t="str">
        <f aca="false">IF($D11="","",IFERROR(INDEX(Workers!$C$5:$C$2004,MATCH($D11,Workers!$A$5:$A$2004,0)),""))</f>
        <v>Own</v>
      </c>
      <c r="K11" s="24" t="str">
        <f aca="false">IF($D11="","",IFERROR(IF(INDEX(Workers!$D$5:$D$2004,MATCH($D11,Workers!$A$5:$A$2004,0))=0,"",INDEX(Workers!$D$5:$D$2004,MATCH($D11,Workers!$A$5:$A$2004,0))),""))</f>
        <v/>
      </c>
      <c r="L11" s="24" t="str">
        <f aca="false">IF($D11="","",IFERROR(INDEX(Workers!$E$5:$E$2004,MATCH($D11,Workers!$A$5:$A$2004,0)),""))</f>
        <v>Mason</v>
      </c>
      <c r="M11" s="26" t="n">
        <f aca="false">IF($D11="","",IFERROR(INDEX(ClientRates!$D$5:$D$500,MATCH($B11&amp;"|"&amp;$L11,ClientRates!$A$5:$A$500,0)),0))</f>
        <v>22</v>
      </c>
      <c r="N11" s="26" t="n">
        <f aca="false">IF($D11="","",IFERROR(INDEX(ClientRates!$E$5:$E$500,MATCH($B11&amp;"|"&amp;$L11,ClientRates!$A$5:$A$500,0)),0))</f>
        <v>27.5</v>
      </c>
      <c r="O11" s="26" t="n">
        <f aca="false">IF($D11="","",F11*M11+G11*N11)</f>
        <v>4939</v>
      </c>
      <c r="P11" s="26" t="str">
        <f aca="false">IF(OR($D11="",$J11&lt;&gt;"Supplier"),"",IFERROR(INDEX(SupplierRates!$D$5:$D$500,MATCH($K11&amp;"|"&amp;$L11,SupplierRates!$A$5:$A$500,0)),0))</f>
        <v/>
      </c>
      <c r="Q11" s="26" t="str">
        <f aca="false">IF(OR($D11="",$J11&lt;&gt;"Supplier"),"",IFERROR(INDEX(SupplierRates!$E$5:$E$500,MATCH($K11&amp;"|"&amp;$L11,SupplierRates!$A$5:$A$500,0)),0))</f>
        <v/>
      </c>
      <c r="R11" s="26" t="n">
        <f aca="false">IF(OR($D11="",$J11&lt;&gt;"Supplier"),0,F11*P11+G11*Q11)</f>
        <v>0</v>
      </c>
      <c r="S11" s="26" t="n">
        <f aca="false">IF(OR($D11="",$J11&lt;&gt;"Own"),0,IFERROR((F11+G11*Settings!$B$13)*INDEX(Workers!$V$5:$V$2004,MATCH($D11,Workers!$A$5:$A$2004,0)),0))</f>
        <v>2590.38461538462</v>
      </c>
      <c r="T11" s="26" t="n">
        <f aca="false">IF($D11="","",O11-R11-S11)</f>
        <v>2348.61538461538</v>
      </c>
    </row>
    <row r="12" customFormat="false" ht="15" hidden="false" customHeight="false" outlineLevel="0" collapsed="false">
      <c r="A12" s="41" t="n">
        <v>46296</v>
      </c>
      <c r="B12" s="33" t="s">
        <v>172</v>
      </c>
      <c r="C12" s="33" t="s">
        <v>547</v>
      </c>
      <c r="D12" s="33" t="s">
        <v>276</v>
      </c>
      <c r="E12" s="33" t="n">
        <v>26</v>
      </c>
      <c r="F12" s="33" t="n">
        <v>208</v>
      </c>
      <c r="G12" s="33" t="n">
        <v>20</v>
      </c>
      <c r="H12" s="33" t="s">
        <v>544</v>
      </c>
      <c r="I12" s="24" t="str">
        <f aca="false">IF($D12="","",IFERROR(INDEX(Workers!$B$5:$B$2004,MATCH($D12,Workers!$A$5:$A$2004,0)),"NOT FOUND"))</f>
        <v>Mohan Nair</v>
      </c>
      <c r="J12" s="24" t="str">
        <f aca="false">IF($D12="","",IFERROR(INDEX(Workers!$C$5:$C$2004,MATCH($D12,Workers!$A$5:$A$2004,0)),""))</f>
        <v>Own</v>
      </c>
      <c r="K12" s="24" t="str">
        <f aca="false">IF($D12="","",IFERROR(IF(INDEX(Workers!$D$5:$D$2004,MATCH($D12,Workers!$A$5:$A$2004,0))=0,"",INDEX(Workers!$D$5:$D$2004,MATCH($D12,Workers!$A$5:$A$2004,0))),""))</f>
        <v/>
      </c>
      <c r="L12" s="24" t="str">
        <f aca="false">IF($D12="","",IFERROR(INDEX(Workers!$E$5:$E$2004,MATCH($D12,Workers!$A$5:$A$2004,0)),""))</f>
        <v>Helper</v>
      </c>
      <c r="M12" s="26" t="n">
        <f aca="false">IF($D12="","",IFERROR(INDEX(ClientRates!$D$5:$D$500,MATCH($B12&amp;"|"&amp;$L12,ClientRates!$A$5:$A$500,0)),0))</f>
        <v>17.6</v>
      </c>
      <c r="N12" s="26" t="n">
        <f aca="false">IF($D12="","",IFERROR(INDEX(ClientRates!$E$5:$E$500,MATCH($B12&amp;"|"&amp;$L12,ClientRates!$A$5:$A$500,0)),0))</f>
        <v>22</v>
      </c>
      <c r="O12" s="26" t="n">
        <f aca="false">IF($D12="","",F12*M12+G12*N12)</f>
        <v>4100.8</v>
      </c>
      <c r="P12" s="26" t="str">
        <f aca="false">IF(OR($D12="",$J12&lt;&gt;"Supplier"),"",IFERROR(INDEX(SupplierRates!$D$5:$D$500,MATCH($K12&amp;"|"&amp;$L12,SupplierRates!$A$5:$A$500,0)),0))</f>
        <v/>
      </c>
      <c r="Q12" s="26" t="str">
        <f aca="false">IF(OR($D12="",$J12&lt;&gt;"Supplier"),"",IFERROR(INDEX(SupplierRates!$E$5:$E$500,MATCH($K12&amp;"|"&amp;$L12,SupplierRates!$A$5:$A$500,0)),0))</f>
        <v/>
      </c>
      <c r="R12" s="26" t="n">
        <f aca="false">IF(OR($D12="",$J12&lt;&gt;"Supplier"),0,F12*P12+G12*Q12)</f>
        <v>0</v>
      </c>
      <c r="S12" s="26" t="n">
        <f aca="false">IF(OR($D12="",$J12&lt;&gt;"Own"),0,IFERROR((F12+G12*Settings!$B$13)*INDEX(Workers!$V$5:$V$2004,MATCH($D12,Workers!$A$5:$A$2004,0)),0))</f>
        <v>2097</v>
      </c>
      <c r="T12" s="26" t="n">
        <f aca="false">IF($D12="","",O12-R12-S12)</f>
        <v>2003.8</v>
      </c>
    </row>
    <row r="13" customFormat="false" ht="15" hidden="false" customHeight="false" outlineLevel="0" collapsed="false">
      <c r="A13" s="41" t="n">
        <v>46296</v>
      </c>
      <c r="B13" s="33" t="s">
        <v>172</v>
      </c>
      <c r="C13" s="33" t="s">
        <v>547</v>
      </c>
      <c r="D13" s="33" t="s">
        <v>282</v>
      </c>
      <c r="E13" s="33" t="n">
        <v>25</v>
      </c>
      <c r="F13" s="33" t="n">
        <v>200</v>
      </c>
      <c r="G13" s="33" t="n">
        <v>20</v>
      </c>
      <c r="H13" s="33" t="s">
        <v>544</v>
      </c>
      <c r="I13" s="24" t="str">
        <f aca="false">IF($D13="","",IFERROR(INDEX(Workers!$B$5:$B$2004,MATCH($D13,Workers!$A$5:$A$2004,0)),"NOT FOUND"))</f>
        <v>Anwar Shrestha</v>
      </c>
      <c r="J13" s="24" t="str">
        <f aca="false">IF($D13="","",IFERROR(INDEX(Workers!$C$5:$C$2004,MATCH($D13,Workers!$A$5:$A$2004,0)),""))</f>
        <v>Own</v>
      </c>
      <c r="K13" s="24" t="str">
        <f aca="false">IF($D13="","",IFERROR(IF(INDEX(Workers!$D$5:$D$2004,MATCH($D13,Workers!$A$5:$A$2004,0))=0,"",INDEX(Workers!$D$5:$D$2004,MATCH($D13,Workers!$A$5:$A$2004,0))),""))</f>
        <v/>
      </c>
      <c r="L13" s="24" t="str">
        <f aca="false">IF($D13="","",IFERROR(INDEX(Workers!$E$5:$E$2004,MATCH($D13,Workers!$A$5:$A$2004,0)),""))</f>
        <v>Electrician</v>
      </c>
      <c r="M13" s="26" t="n">
        <f aca="false">IF($D13="","",IFERROR(INDEX(ClientRates!$D$5:$D$500,MATCH($B13&amp;"|"&amp;$L13,ClientRates!$A$5:$A$500,0)),0))</f>
        <v>28.6</v>
      </c>
      <c r="N13" s="26" t="n">
        <f aca="false">IF($D13="","",IFERROR(INDEX(ClientRates!$E$5:$E$500,MATCH($B13&amp;"|"&amp;$L13,ClientRates!$A$5:$A$500,0)),0))</f>
        <v>35.75</v>
      </c>
      <c r="O13" s="26" t="n">
        <f aca="false">IF($D13="","",F13*M13+G13*N13)</f>
        <v>6435</v>
      </c>
      <c r="P13" s="26" t="str">
        <f aca="false">IF(OR($D13="",$J13&lt;&gt;"Supplier"),"",IFERROR(INDEX(SupplierRates!$D$5:$D$500,MATCH($K13&amp;"|"&amp;$L13,SupplierRates!$A$5:$A$500,0)),0))</f>
        <v/>
      </c>
      <c r="Q13" s="26" t="str">
        <f aca="false">IF(OR($D13="",$J13&lt;&gt;"Supplier"),"",IFERROR(INDEX(SupplierRates!$E$5:$E$500,MATCH($K13&amp;"|"&amp;$L13,SupplierRates!$A$5:$A$500,0)),0))</f>
        <v/>
      </c>
      <c r="R13" s="26" t="n">
        <f aca="false">IF(OR($D13="",$J13&lt;&gt;"Supplier"),0,F13*P13+G13*Q13)</f>
        <v>0</v>
      </c>
      <c r="S13" s="26" t="n">
        <f aca="false">IF(OR($D13="",$J13&lt;&gt;"Own"),0,IFERROR((F13+G13*Settings!$B$13)*INDEX(Workers!$V$5:$V$2004,MATCH($D13,Workers!$A$5:$A$2004,0)),0))</f>
        <v>3245.19230769231</v>
      </c>
      <c r="T13" s="26" t="n">
        <f aca="false">IF($D13="","",O13-R13-S13)</f>
        <v>3189.80769230769</v>
      </c>
    </row>
    <row r="14" customFormat="false" ht="15" hidden="false" customHeight="false" outlineLevel="0" collapsed="false">
      <c r="A14" s="41" t="n">
        <v>46296</v>
      </c>
      <c r="B14" s="33" t="s">
        <v>178</v>
      </c>
      <c r="C14" s="33" t="s">
        <v>549</v>
      </c>
      <c r="D14" s="33" t="s">
        <v>287</v>
      </c>
      <c r="E14" s="33" t="n">
        <v>25</v>
      </c>
      <c r="F14" s="33" t="n">
        <v>200</v>
      </c>
      <c r="G14" s="33" t="n">
        <v>0</v>
      </c>
      <c r="H14" s="33" t="s">
        <v>550</v>
      </c>
      <c r="I14" s="24" t="str">
        <f aca="false">IF($D14="","",IFERROR(INDEX(Workers!$B$5:$B$2004,MATCH($D14,Workers!$A$5:$A$2004,0)),"NOT FOUND"))</f>
        <v>Hari Nair</v>
      </c>
      <c r="J14" s="24" t="str">
        <f aca="false">IF($D14="","",IFERROR(INDEX(Workers!$C$5:$C$2004,MATCH($D14,Workers!$A$5:$A$2004,0)),""))</f>
        <v>Own</v>
      </c>
      <c r="K14" s="24" t="str">
        <f aca="false">IF($D14="","",IFERROR(IF(INDEX(Workers!$D$5:$D$2004,MATCH($D14,Workers!$A$5:$A$2004,0))=0,"",INDEX(Workers!$D$5:$D$2004,MATCH($D14,Workers!$A$5:$A$2004,0))),""))</f>
        <v/>
      </c>
      <c r="L14" s="24" t="str">
        <f aca="false">IF($D14="","",IFERROR(INDEX(Workers!$E$5:$E$2004,MATCH($D14,Workers!$A$5:$A$2004,0)),""))</f>
        <v>Helper</v>
      </c>
      <c r="M14" s="26" t="n">
        <f aca="false">IF($D14="","",IFERROR(INDEX(ClientRates!$D$5:$D$500,MATCH($B14&amp;"|"&amp;$L14,ClientRates!$A$5:$A$500,0)),0))</f>
        <v>15.2</v>
      </c>
      <c r="N14" s="26" t="n">
        <f aca="false">IF($D14="","",IFERROR(INDEX(ClientRates!$E$5:$E$500,MATCH($B14&amp;"|"&amp;$L14,ClientRates!$A$5:$A$500,0)),0))</f>
        <v>19</v>
      </c>
      <c r="O14" s="26" t="n">
        <f aca="false">IF($D14="","",F14*M14+G14*N14)</f>
        <v>3040</v>
      </c>
      <c r="P14" s="26" t="str">
        <f aca="false">IF(OR($D14="",$J14&lt;&gt;"Supplier"),"",IFERROR(INDEX(SupplierRates!$D$5:$D$500,MATCH($K14&amp;"|"&amp;$L14,SupplierRates!$A$5:$A$500,0)),0))</f>
        <v/>
      </c>
      <c r="Q14" s="26" t="str">
        <f aca="false">IF(OR($D14="",$J14&lt;&gt;"Supplier"),"",IFERROR(INDEX(SupplierRates!$E$5:$E$500,MATCH($K14&amp;"|"&amp;$L14,SupplierRates!$A$5:$A$500,0)),0))</f>
        <v/>
      </c>
      <c r="R14" s="26" t="n">
        <f aca="false">IF(OR($D14="",$J14&lt;&gt;"Supplier"),0,F14*P14+G14*Q14)</f>
        <v>0</v>
      </c>
      <c r="S14" s="26" t="n">
        <f aca="false">IF(OR($D14="",$J14&lt;&gt;"Own"),0,IFERROR((F14+G14*Settings!$B$13)*INDEX(Workers!$V$5:$V$2004,MATCH($D14,Workers!$A$5:$A$2004,0)),0))</f>
        <v>2403.84615384615</v>
      </c>
      <c r="T14" s="26" t="n">
        <f aca="false">IF($D14="","",O14-R14-S14)</f>
        <v>636.153846153846</v>
      </c>
    </row>
    <row r="15" customFormat="false" ht="15" hidden="false" customHeight="false" outlineLevel="0" collapsed="false">
      <c r="A15" s="41" t="n">
        <v>46296</v>
      </c>
      <c r="B15" s="33" t="s">
        <v>172</v>
      </c>
      <c r="C15" s="33" t="s">
        <v>543</v>
      </c>
      <c r="D15" s="33" t="s">
        <v>292</v>
      </c>
      <c r="E15" s="33" t="n">
        <v>25</v>
      </c>
      <c r="F15" s="33" t="n">
        <v>200</v>
      </c>
      <c r="G15" s="33" t="n">
        <v>26</v>
      </c>
      <c r="H15" s="33" t="s">
        <v>544</v>
      </c>
      <c r="I15" s="24" t="str">
        <f aca="false">IF($D15="","",IFERROR(INDEX(Workers!$B$5:$B$2004,MATCH($D15,Workers!$A$5:$A$2004,0)),"NOT FOUND"))</f>
        <v>Dinesh Menon</v>
      </c>
      <c r="J15" s="24" t="str">
        <f aca="false">IF($D15="","",IFERROR(INDEX(Workers!$C$5:$C$2004,MATCH($D15,Workers!$A$5:$A$2004,0)),""))</f>
        <v>Own</v>
      </c>
      <c r="K15" s="24" t="str">
        <f aca="false">IF($D15="","",IFERROR(IF(INDEX(Workers!$D$5:$D$2004,MATCH($D15,Workers!$A$5:$A$2004,0))=0,"",INDEX(Workers!$D$5:$D$2004,MATCH($D15,Workers!$A$5:$A$2004,0))),""))</f>
        <v/>
      </c>
      <c r="L15" s="24" t="str">
        <f aca="false">IF($D15="","",IFERROR(INDEX(Workers!$E$5:$E$2004,MATCH($D15,Workers!$A$5:$A$2004,0)),""))</f>
        <v>Driver</v>
      </c>
      <c r="M15" s="26" t="n">
        <f aca="false">IF($D15="","",IFERROR(INDEX(ClientRates!$D$5:$D$500,MATCH($B15&amp;"|"&amp;$L15,ClientRates!$A$5:$A$500,0)),0))</f>
        <v>26.4</v>
      </c>
      <c r="N15" s="26" t="n">
        <f aca="false">IF($D15="","",IFERROR(INDEX(ClientRates!$E$5:$E$500,MATCH($B15&amp;"|"&amp;$L15,ClientRates!$A$5:$A$500,0)),0))</f>
        <v>33</v>
      </c>
      <c r="O15" s="26" t="n">
        <f aca="false">IF($D15="","",F15*M15+G15*N15)</f>
        <v>6138</v>
      </c>
      <c r="P15" s="26" t="str">
        <f aca="false">IF(OR($D15="",$J15&lt;&gt;"Supplier"),"",IFERROR(INDEX(SupplierRates!$D$5:$D$500,MATCH($K15&amp;"|"&amp;$L15,SupplierRates!$A$5:$A$500,0)),0))</f>
        <v/>
      </c>
      <c r="Q15" s="26" t="str">
        <f aca="false">IF(OR($D15="",$J15&lt;&gt;"Supplier"),"",IFERROR(INDEX(SupplierRates!$E$5:$E$500,MATCH($K15&amp;"|"&amp;$L15,SupplierRates!$A$5:$A$500,0)),0))</f>
        <v/>
      </c>
      <c r="R15" s="26" t="n">
        <f aca="false">IF(OR($D15="",$J15&lt;&gt;"Supplier"),0,F15*P15+G15*Q15)</f>
        <v>0</v>
      </c>
      <c r="S15" s="26" t="n">
        <f aca="false">IF(OR($D15="",$J15&lt;&gt;"Own"),0,IFERROR((F15+G15*Settings!$B$13)*INDEX(Workers!$V$5:$V$2004,MATCH($D15,Workers!$A$5:$A$2004,0)),0))</f>
        <v>1676.68269230769</v>
      </c>
      <c r="T15" s="26" t="n">
        <f aca="false">IF($D15="","",O15-R15-S15)</f>
        <v>4461.31730769231</v>
      </c>
    </row>
    <row r="16" customFormat="false" ht="15" hidden="false" customHeight="false" outlineLevel="0" collapsed="false">
      <c r="A16" s="41" t="n">
        <v>46296</v>
      </c>
      <c r="B16" s="33" t="s">
        <v>178</v>
      </c>
      <c r="C16" s="33" t="s">
        <v>549</v>
      </c>
      <c r="D16" s="33" t="s">
        <v>297</v>
      </c>
      <c r="E16" s="33" t="n">
        <v>22</v>
      </c>
      <c r="F16" s="33" t="n">
        <v>176</v>
      </c>
      <c r="G16" s="33" t="n">
        <v>16</v>
      </c>
      <c r="H16" s="33" t="s">
        <v>550</v>
      </c>
      <c r="I16" s="24" t="str">
        <f aca="false">IF($D16="","",IFERROR(INDEX(Workers!$B$5:$B$2004,MATCH($D16,Workers!$A$5:$A$2004,0)),"NOT FOUND"))</f>
        <v>Imran Ali</v>
      </c>
      <c r="J16" s="24" t="str">
        <f aca="false">IF($D16="","",IFERROR(INDEX(Workers!$C$5:$C$2004,MATCH($D16,Workers!$A$5:$A$2004,0)),""))</f>
        <v>Own</v>
      </c>
      <c r="K16" s="24" t="str">
        <f aca="false">IF($D16="","",IFERROR(IF(INDEX(Workers!$D$5:$D$2004,MATCH($D16,Workers!$A$5:$A$2004,0))=0,"",INDEX(Workers!$D$5:$D$2004,MATCH($D16,Workers!$A$5:$A$2004,0))),""))</f>
        <v/>
      </c>
      <c r="L16" s="24" t="str">
        <f aca="false">IF($D16="","",IFERROR(INDEX(Workers!$E$5:$E$2004,MATCH($D16,Workers!$A$5:$A$2004,0)),""))</f>
        <v>Helper</v>
      </c>
      <c r="M16" s="26" t="n">
        <f aca="false">IF($D16="","",IFERROR(INDEX(ClientRates!$D$5:$D$500,MATCH($B16&amp;"|"&amp;$L16,ClientRates!$A$5:$A$500,0)),0))</f>
        <v>15.2</v>
      </c>
      <c r="N16" s="26" t="n">
        <f aca="false">IF($D16="","",IFERROR(INDEX(ClientRates!$E$5:$E$500,MATCH($B16&amp;"|"&amp;$L16,ClientRates!$A$5:$A$500,0)),0))</f>
        <v>19</v>
      </c>
      <c r="O16" s="26" t="n">
        <f aca="false">IF($D16="","",F16*M16+G16*N16)</f>
        <v>2979.2</v>
      </c>
      <c r="P16" s="26" t="str">
        <f aca="false">IF(OR($D16="",$J16&lt;&gt;"Supplier"),"",IFERROR(INDEX(SupplierRates!$D$5:$D$500,MATCH($K16&amp;"|"&amp;$L16,SupplierRates!$A$5:$A$500,0)),0))</f>
        <v/>
      </c>
      <c r="Q16" s="26" t="str">
        <f aca="false">IF(OR($D16="",$J16&lt;&gt;"Supplier"),"",IFERROR(INDEX(SupplierRates!$E$5:$E$500,MATCH($K16&amp;"|"&amp;$L16,SupplierRates!$A$5:$A$500,0)),0))</f>
        <v/>
      </c>
      <c r="R16" s="26" t="n">
        <f aca="false">IF(OR($D16="",$J16&lt;&gt;"Supplier"),0,F16*P16+G16*Q16)</f>
        <v>0</v>
      </c>
      <c r="S16" s="26" t="n">
        <f aca="false">IF(OR($D16="",$J16&lt;&gt;"Own"),0,IFERROR((F16+G16*Settings!$B$13)*INDEX(Workers!$V$5:$V$2004,MATCH($D16,Workers!$A$5:$A$2004,0)),0))</f>
        <v>2167.30769230769</v>
      </c>
      <c r="T16" s="26" t="n">
        <f aca="false">IF($D16="","",O16-R16-S16)</f>
        <v>811.892307692307</v>
      </c>
    </row>
    <row r="17" customFormat="false" ht="15" hidden="false" customHeight="false" outlineLevel="0" collapsed="false">
      <c r="A17" s="41" t="n">
        <v>46296</v>
      </c>
      <c r="B17" s="33" t="s">
        <v>166</v>
      </c>
      <c r="C17" s="33" t="s">
        <v>545</v>
      </c>
      <c r="D17" s="33" t="s">
        <v>302</v>
      </c>
      <c r="E17" s="33" t="n">
        <v>13</v>
      </c>
      <c r="F17" s="33" t="n">
        <v>104</v>
      </c>
      <c r="G17" s="33" t="n">
        <v>10</v>
      </c>
      <c r="H17" s="33" t="s">
        <v>546</v>
      </c>
      <c r="I17" s="24" t="str">
        <f aca="false">IF($D17="","",IFERROR(INDEX(Workers!$B$5:$B$2004,MATCH($D17,Workers!$A$5:$A$2004,0)),"NOT FOUND"))</f>
        <v>Suresh Shrestha</v>
      </c>
      <c r="J17" s="24" t="str">
        <f aca="false">IF($D17="","",IFERROR(INDEX(Workers!$C$5:$C$2004,MATCH($D17,Workers!$A$5:$A$2004,0)),""))</f>
        <v>Own</v>
      </c>
      <c r="K17" s="24" t="str">
        <f aca="false">IF($D17="","",IFERROR(IF(INDEX(Workers!$D$5:$D$2004,MATCH($D17,Workers!$A$5:$A$2004,0))=0,"",INDEX(Workers!$D$5:$D$2004,MATCH($D17,Workers!$A$5:$A$2004,0))),""))</f>
        <v/>
      </c>
      <c r="L17" s="24" t="str">
        <f aca="false">IF($D17="","",IFERROR(INDEX(Workers!$E$5:$E$2004,MATCH($D17,Workers!$A$5:$A$2004,0)),""))</f>
        <v>Plumber</v>
      </c>
      <c r="M17" s="26" t="n">
        <f aca="false">IF($D17="","",IFERROR(INDEX(ClientRates!$D$5:$D$500,MATCH($B17&amp;"|"&amp;$L17,ClientRates!$A$5:$A$500,0)),0))</f>
        <v>25</v>
      </c>
      <c r="N17" s="26" t="n">
        <f aca="false">IF($D17="","",IFERROR(INDEX(ClientRates!$E$5:$E$500,MATCH($B17&amp;"|"&amp;$L17,ClientRates!$A$5:$A$500,0)),0))</f>
        <v>31.25</v>
      </c>
      <c r="O17" s="26" t="n">
        <f aca="false">IF($D17="","",F17*M17+G17*N17)</f>
        <v>2912.5</v>
      </c>
      <c r="P17" s="26" t="str">
        <f aca="false">IF(OR($D17="",$J17&lt;&gt;"Supplier"),"",IFERROR(INDEX(SupplierRates!$D$5:$D$500,MATCH($K17&amp;"|"&amp;$L17,SupplierRates!$A$5:$A$500,0)),0))</f>
        <v/>
      </c>
      <c r="Q17" s="26" t="str">
        <f aca="false">IF(OR($D17="",$J17&lt;&gt;"Supplier"),"",IFERROR(INDEX(SupplierRates!$E$5:$E$500,MATCH($K17&amp;"|"&amp;$L17,SupplierRates!$A$5:$A$500,0)),0))</f>
        <v/>
      </c>
      <c r="R17" s="26" t="n">
        <f aca="false">IF(OR($D17="",$J17&lt;&gt;"Supplier"),0,F17*P17+G17*Q17)</f>
        <v>0</v>
      </c>
      <c r="S17" s="26" t="n">
        <f aca="false">IF(OR($D17="",$J17&lt;&gt;"Own"),0,IFERROR((F17+G17*Settings!$B$13)*INDEX(Workers!$V$5:$V$2004,MATCH($D17,Workers!$A$5:$A$2004,0)),0))</f>
        <v>1176.20192307692</v>
      </c>
      <c r="T17" s="26" t="n">
        <f aca="false">IF($D17="","",O17-R17-S17)</f>
        <v>1736.29807692308</v>
      </c>
    </row>
    <row r="18" customFormat="false" ht="15" hidden="false" customHeight="false" outlineLevel="0" collapsed="false">
      <c r="A18" s="41" t="n">
        <v>46296</v>
      </c>
      <c r="B18" s="33" t="s">
        <v>178</v>
      </c>
      <c r="C18" s="33" t="s">
        <v>549</v>
      </c>
      <c r="D18" s="33" t="s">
        <v>302</v>
      </c>
      <c r="E18" s="33" t="n">
        <v>9</v>
      </c>
      <c r="F18" s="33" t="n">
        <v>72</v>
      </c>
      <c r="G18" s="33" t="n">
        <v>0</v>
      </c>
      <c r="H18" s="33" t="s">
        <v>550</v>
      </c>
      <c r="I18" s="24" t="str">
        <f aca="false">IF($D18="","",IFERROR(INDEX(Workers!$B$5:$B$2004,MATCH($D18,Workers!$A$5:$A$2004,0)),"NOT FOUND"))</f>
        <v>Suresh Shrestha</v>
      </c>
      <c r="J18" s="24" t="str">
        <f aca="false">IF($D18="","",IFERROR(INDEX(Workers!$C$5:$C$2004,MATCH($D18,Workers!$A$5:$A$2004,0)),""))</f>
        <v>Own</v>
      </c>
      <c r="K18" s="24" t="str">
        <f aca="false">IF($D18="","",IFERROR(IF(INDEX(Workers!$D$5:$D$2004,MATCH($D18,Workers!$A$5:$A$2004,0))=0,"",INDEX(Workers!$D$5:$D$2004,MATCH($D18,Workers!$A$5:$A$2004,0))),""))</f>
        <v/>
      </c>
      <c r="L18" s="24" t="str">
        <f aca="false">IF($D18="","",IFERROR(INDEX(Workers!$E$5:$E$2004,MATCH($D18,Workers!$A$5:$A$2004,0)),""))</f>
        <v>Plumber</v>
      </c>
      <c r="M18" s="26" t="n">
        <f aca="false">IF($D18="","",IFERROR(INDEX(ClientRates!$D$5:$D$500,MATCH($B18&amp;"|"&amp;$L18,ClientRates!$A$5:$A$500,0)),0))</f>
        <v>23.75</v>
      </c>
      <c r="N18" s="26" t="n">
        <f aca="false">IF($D18="","",IFERROR(INDEX(ClientRates!$E$5:$E$500,MATCH($B18&amp;"|"&amp;$L18,ClientRates!$A$5:$A$500,0)),0))</f>
        <v>29.69</v>
      </c>
      <c r="O18" s="26" t="n">
        <f aca="false">IF($D18="","",F18*M18+G18*N18)</f>
        <v>1710</v>
      </c>
      <c r="P18" s="26" t="str">
        <f aca="false">IF(OR($D18="",$J18&lt;&gt;"Supplier"),"",IFERROR(INDEX(SupplierRates!$D$5:$D$500,MATCH($K18&amp;"|"&amp;$L18,SupplierRates!$A$5:$A$500,0)),0))</f>
        <v/>
      </c>
      <c r="Q18" s="26" t="str">
        <f aca="false">IF(OR($D18="",$J18&lt;&gt;"Supplier"),"",IFERROR(INDEX(SupplierRates!$E$5:$E$500,MATCH($K18&amp;"|"&amp;$L18,SupplierRates!$A$5:$A$500,0)),0))</f>
        <v/>
      </c>
      <c r="R18" s="26" t="n">
        <f aca="false">IF(OR($D18="",$J18&lt;&gt;"Supplier"),0,F18*P18+G18*Q18)</f>
        <v>0</v>
      </c>
      <c r="S18" s="26" t="n">
        <f aca="false">IF(OR($D18="",$J18&lt;&gt;"Own"),0,IFERROR((F18+G18*Settings!$B$13)*INDEX(Workers!$V$5:$V$2004,MATCH($D18,Workers!$A$5:$A$2004,0)),0))</f>
        <v>726.923076923077</v>
      </c>
      <c r="T18" s="26" t="n">
        <f aca="false">IF($D18="","",O18-R18-S18)</f>
        <v>983.076923076923</v>
      </c>
    </row>
    <row r="19" customFormat="false" ht="15" hidden="false" customHeight="false" outlineLevel="0" collapsed="false">
      <c r="A19" s="41" t="n">
        <v>46296</v>
      </c>
      <c r="B19" s="33" t="s">
        <v>172</v>
      </c>
      <c r="C19" s="33" t="s">
        <v>543</v>
      </c>
      <c r="D19" s="33" t="s">
        <v>307</v>
      </c>
      <c r="E19" s="33" t="n">
        <v>24</v>
      </c>
      <c r="F19" s="33" t="n">
        <v>192</v>
      </c>
      <c r="G19" s="33" t="n">
        <v>30</v>
      </c>
      <c r="H19" s="33" t="s">
        <v>544</v>
      </c>
      <c r="I19" s="24" t="str">
        <f aca="false">IF($D19="","",IFERROR(INDEX(Workers!$B$5:$B$2004,MATCH($D19,Workers!$A$5:$A$2004,0)),"NOT FOUND"))</f>
        <v>Prakash Varghese</v>
      </c>
      <c r="J19" s="24" t="str">
        <f aca="false">IF($D19="","",IFERROR(INDEX(Workers!$C$5:$C$2004,MATCH($D19,Workers!$A$5:$A$2004,0)),""))</f>
        <v>Own</v>
      </c>
      <c r="K19" s="24" t="str">
        <f aca="false">IF($D19="","",IFERROR(IF(INDEX(Workers!$D$5:$D$2004,MATCH($D19,Workers!$A$5:$A$2004,0))=0,"",INDEX(Workers!$D$5:$D$2004,MATCH($D19,Workers!$A$5:$A$2004,0))),""))</f>
        <v/>
      </c>
      <c r="L19" s="24" t="str">
        <f aca="false">IF($D19="","",IFERROR(INDEX(Workers!$E$5:$E$2004,MATCH($D19,Workers!$A$5:$A$2004,0)),""))</f>
        <v>Security Guard</v>
      </c>
      <c r="M19" s="26" t="n">
        <f aca="false">IF($D19="","",IFERROR(INDEX(ClientRates!$D$5:$D$500,MATCH($B19&amp;"|"&amp;$L19,ClientRates!$A$5:$A$500,0)),0))</f>
        <v>18.7</v>
      </c>
      <c r="N19" s="26" t="n">
        <f aca="false">IF($D19="","",IFERROR(INDEX(ClientRates!$E$5:$E$500,MATCH($B19&amp;"|"&amp;$L19,ClientRates!$A$5:$A$500,0)),0))</f>
        <v>23.38</v>
      </c>
      <c r="O19" s="26" t="n">
        <f aca="false">IF($D19="","",F19*M19+G19*N19)</f>
        <v>4291.8</v>
      </c>
      <c r="P19" s="26" t="str">
        <f aca="false">IF(OR($D19="",$J19&lt;&gt;"Supplier"),"",IFERROR(INDEX(SupplierRates!$D$5:$D$500,MATCH($K19&amp;"|"&amp;$L19,SupplierRates!$A$5:$A$500,0)),0))</f>
        <v/>
      </c>
      <c r="Q19" s="26" t="str">
        <f aca="false">IF(OR($D19="",$J19&lt;&gt;"Supplier"),"",IFERROR(INDEX(SupplierRates!$E$5:$E$500,MATCH($K19&amp;"|"&amp;$L19,SupplierRates!$A$5:$A$500,0)),0))</f>
        <v/>
      </c>
      <c r="R19" s="26" t="n">
        <f aca="false">IF(OR($D19="",$J19&lt;&gt;"Supplier"),0,F19*P19+G19*Q19)</f>
        <v>0</v>
      </c>
      <c r="S19" s="26" t="n">
        <f aca="false">IF(OR($D19="",$J19&lt;&gt;"Own"),0,IFERROR((F19+G19*Settings!$B$13)*INDEX(Workers!$V$5:$V$2004,MATCH($D19,Workers!$A$5:$A$2004,0)),0))</f>
        <v>1875.72115384615</v>
      </c>
      <c r="T19" s="26" t="n">
        <f aca="false">IF($D19="","",O19-R19-S19)</f>
        <v>2416.07884615385</v>
      </c>
    </row>
    <row r="20" customFormat="false" ht="15" hidden="false" customHeight="false" outlineLevel="0" collapsed="false">
      <c r="A20" s="41" t="n">
        <v>46296</v>
      </c>
      <c r="B20" s="33" t="s">
        <v>184</v>
      </c>
      <c r="C20" s="33" t="s">
        <v>551</v>
      </c>
      <c r="D20" s="33" t="s">
        <v>312</v>
      </c>
      <c r="E20" s="33" t="n">
        <v>25</v>
      </c>
      <c r="F20" s="33" t="n">
        <v>200</v>
      </c>
      <c r="G20" s="33" t="n">
        <v>30</v>
      </c>
      <c r="H20" s="33" t="s">
        <v>552</v>
      </c>
      <c r="I20" s="24" t="str">
        <f aca="false">IF($D20="","",IFERROR(INDEX(Workers!$B$5:$B$2004,MATCH($D20,Workers!$A$5:$A$2004,0)),"NOT FOUND"))</f>
        <v>Rohan Gurung</v>
      </c>
      <c r="J20" s="24" t="str">
        <f aca="false">IF($D20="","",IFERROR(INDEX(Workers!$C$5:$C$2004,MATCH($D20,Workers!$A$5:$A$2004,0)),""))</f>
        <v>Own</v>
      </c>
      <c r="K20" s="24" t="str">
        <f aca="false">IF($D20="","",IFERROR(IF(INDEX(Workers!$D$5:$D$2004,MATCH($D20,Workers!$A$5:$A$2004,0))=0,"",INDEX(Workers!$D$5:$D$2004,MATCH($D20,Workers!$A$5:$A$2004,0))),""))</f>
        <v/>
      </c>
      <c r="L20" s="24" t="str">
        <f aca="false">IF($D20="","",IFERROR(INDEX(Workers!$E$5:$E$2004,MATCH($D20,Workers!$A$5:$A$2004,0)),""))</f>
        <v>Plumber</v>
      </c>
      <c r="M20" s="26" t="n">
        <f aca="false">IF($D20="","",IFERROR(INDEX(ClientRates!$D$5:$D$500,MATCH($B20&amp;"|"&amp;$L20,ClientRates!$A$5:$A$500,0)),0))</f>
        <v>26.25</v>
      </c>
      <c r="N20" s="26" t="n">
        <f aca="false">IF($D20="","",IFERROR(INDEX(ClientRates!$E$5:$E$500,MATCH($B20&amp;"|"&amp;$L20,ClientRates!$A$5:$A$500,0)),0))</f>
        <v>32.81</v>
      </c>
      <c r="O20" s="26" t="n">
        <f aca="false">IF($D20="","",F20*M20+G20*N20)</f>
        <v>6234.3</v>
      </c>
      <c r="P20" s="26" t="str">
        <f aca="false">IF(OR($D20="",$J20&lt;&gt;"Supplier"),"",IFERROR(INDEX(SupplierRates!$D$5:$D$500,MATCH($K20&amp;"|"&amp;$L20,SupplierRates!$A$5:$A$500,0)),0))</f>
        <v/>
      </c>
      <c r="Q20" s="26" t="str">
        <f aca="false">IF(OR($D20="",$J20&lt;&gt;"Supplier"),"",IFERROR(INDEX(SupplierRates!$E$5:$E$500,MATCH($K20&amp;"|"&amp;$L20,SupplierRates!$A$5:$A$500,0)),0))</f>
        <v/>
      </c>
      <c r="R20" s="26" t="n">
        <f aca="false">IF(OR($D20="",$J20&lt;&gt;"Supplier"),0,F20*P20+G20*Q20)</f>
        <v>0</v>
      </c>
      <c r="S20" s="26" t="n">
        <f aca="false">IF(OR($D20="",$J20&lt;&gt;"Own"),0,IFERROR((F20+G20*Settings!$B$13)*INDEX(Workers!$V$5:$V$2004,MATCH($D20,Workers!$A$5:$A$2004,0)),0))</f>
        <v>2854.56730769231</v>
      </c>
      <c r="T20" s="26" t="n">
        <f aca="false">IF($D20="","",O20-R20-S20)</f>
        <v>3379.73269230769</v>
      </c>
    </row>
    <row r="21" customFormat="false" ht="15" hidden="false" customHeight="false" outlineLevel="0" collapsed="false">
      <c r="A21" s="41" t="n">
        <v>46296</v>
      </c>
      <c r="B21" s="33" t="s">
        <v>166</v>
      </c>
      <c r="C21" s="33" t="s">
        <v>548</v>
      </c>
      <c r="D21" s="33" t="s">
        <v>317</v>
      </c>
      <c r="E21" s="33" t="n">
        <v>23</v>
      </c>
      <c r="F21" s="33" t="n">
        <v>184</v>
      </c>
      <c r="G21" s="33" t="n">
        <v>30</v>
      </c>
      <c r="H21" s="33" t="s">
        <v>546</v>
      </c>
      <c r="I21" s="24" t="str">
        <f aca="false">IF($D21="","",IFERROR(INDEX(Workers!$B$5:$B$2004,MATCH($D21,Workers!$A$5:$A$2004,0)),"NOT FOUND"))</f>
        <v>Sanjay Kumar</v>
      </c>
      <c r="J21" s="24" t="str">
        <f aca="false">IF($D21="","",IFERROR(INDEX(Workers!$C$5:$C$2004,MATCH($D21,Workers!$A$5:$A$2004,0)),""))</f>
        <v>Own</v>
      </c>
      <c r="K21" s="24" t="str">
        <f aca="false">IF($D21="","",IFERROR(IF(INDEX(Workers!$D$5:$D$2004,MATCH($D21,Workers!$A$5:$A$2004,0))=0,"",INDEX(Workers!$D$5:$D$2004,MATCH($D21,Workers!$A$5:$A$2004,0))),""))</f>
        <v/>
      </c>
      <c r="L21" s="24" t="str">
        <f aca="false">IF($D21="","",IFERROR(INDEX(Workers!$E$5:$E$2004,MATCH($D21,Workers!$A$5:$A$2004,0)),""))</f>
        <v>Carpenter</v>
      </c>
      <c r="M21" s="26" t="n">
        <f aca="false">IF($D21="","",IFERROR(INDEX(ClientRates!$D$5:$D$500,MATCH($B21&amp;"|"&amp;$L21,ClientRates!$A$5:$A$500,0)),0))</f>
        <v>22</v>
      </c>
      <c r="N21" s="26" t="n">
        <f aca="false">IF($D21="","",IFERROR(INDEX(ClientRates!$E$5:$E$500,MATCH($B21&amp;"|"&amp;$L21,ClientRates!$A$5:$A$500,0)),0))</f>
        <v>27.5</v>
      </c>
      <c r="O21" s="26" t="n">
        <f aca="false">IF($D21="","",F21*M21+G21*N21)</f>
        <v>4873</v>
      </c>
      <c r="P21" s="26" t="str">
        <f aca="false">IF(OR($D21="",$J21&lt;&gt;"Supplier"),"",IFERROR(INDEX(SupplierRates!$D$5:$D$500,MATCH($K21&amp;"|"&amp;$L21,SupplierRates!$A$5:$A$500,0)),0))</f>
        <v/>
      </c>
      <c r="Q21" s="26" t="str">
        <f aca="false">IF(OR($D21="",$J21&lt;&gt;"Supplier"),"",IFERROR(INDEX(SupplierRates!$E$5:$E$500,MATCH($K21&amp;"|"&amp;$L21,SupplierRates!$A$5:$A$500,0)),0))</f>
        <v/>
      </c>
      <c r="R21" s="26" t="n">
        <f aca="false">IF(OR($D21="",$J21&lt;&gt;"Supplier"),0,F21*P21+G21*Q21)</f>
        <v>0</v>
      </c>
      <c r="S21" s="26" t="n">
        <f aca="false">IF(OR($D21="",$J21&lt;&gt;"Own"),0,IFERROR((F21+G21*Settings!$B$13)*INDEX(Workers!$V$5:$V$2004,MATCH($D21,Workers!$A$5:$A$2004,0)),0))</f>
        <v>2436.5</v>
      </c>
      <c r="T21" s="26" t="n">
        <f aca="false">IF($D21="","",O21-R21-S21)</f>
        <v>2436.5</v>
      </c>
    </row>
    <row r="22" customFormat="false" ht="15" hidden="false" customHeight="false" outlineLevel="0" collapsed="false">
      <c r="A22" s="41" t="n">
        <v>46296</v>
      </c>
      <c r="B22" s="33" t="s">
        <v>172</v>
      </c>
      <c r="C22" s="33" t="s">
        <v>547</v>
      </c>
      <c r="D22" s="33" t="s">
        <v>322</v>
      </c>
      <c r="E22" s="33" t="n">
        <v>24</v>
      </c>
      <c r="F22" s="33" t="n">
        <v>192</v>
      </c>
      <c r="G22" s="33" t="n">
        <v>16</v>
      </c>
      <c r="H22" s="33" t="s">
        <v>544</v>
      </c>
      <c r="I22" s="24" t="str">
        <f aca="false">IF($D22="","",IFERROR(INDEX(Workers!$B$5:$B$2004,MATCH($D22,Workers!$A$5:$A$2004,0)),"NOT FOUND"))</f>
        <v>Prakash Khan</v>
      </c>
      <c r="J22" s="24" t="str">
        <f aca="false">IF($D22="","",IFERROR(INDEX(Workers!$C$5:$C$2004,MATCH($D22,Workers!$A$5:$A$2004,0)),""))</f>
        <v>Own</v>
      </c>
      <c r="K22" s="24" t="str">
        <f aca="false">IF($D22="","",IFERROR(IF(INDEX(Workers!$D$5:$D$2004,MATCH($D22,Workers!$A$5:$A$2004,0))=0,"",INDEX(Workers!$D$5:$D$2004,MATCH($D22,Workers!$A$5:$A$2004,0))),""))</f>
        <v/>
      </c>
      <c r="L22" s="24" t="str">
        <f aca="false">IF($D22="","",IFERROR(INDEX(Workers!$E$5:$E$2004,MATCH($D22,Workers!$A$5:$A$2004,0)),""))</f>
        <v>Electrician</v>
      </c>
      <c r="M22" s="26" t="n">
        <f aca="false">IF($D22="","",IFERROR(INDEX(ClientRates!$D$5:$D$500,MATCH($B22&amp;"|"&amp;$L22,ClientRates!$A$5:$A$500,0)),0))</f>
        <v>28.6</v>
      </c>
      <c r="N22" s="26" t="n">
        <f aca="false">IF($D22="","",IFERROR(INDEX(ClientRates!$E$5:$E$500,MATCH($B22&amp;"|"&amp;$L22,ClientRates!$A$5:$A$500,0)),0))</f>
        <v>35.75</v>
      </c>
      <c r="O22" s="26" t="n">
        <f aca="false">IF($D22="","",F22*M22+G22*N22)</f>
        <v>6063.2</v>
      </c>
      <c r="P22" s="26" t="str">
        <f aca="false">IF(OR($D22="",$J22&lt;&gt;"Supplier"),"",IFERROR(INDEX(SupplierRates!$D$5:$D$500,MATCH($K22&amp;"|"&amp;$L22,SupplierRates!$A$5:$A$500,0)),0))</f>
        <v/>
      </c>
      <c r="Q22" s="26" t="str">
        <f aca="false">IF(OR($D22="",$J22&lt;&gt;"Supplier"),"",IFERROR(INDEX(SupplierRates!$E$5:$E$500,MATCH($K22&amp;"|"&amp;$L22,SupplierRates!$A$5:$A$500,0)),0))</f>
        <v/>
      </c>
      <c r="R22" s="26" t="n">
        <f aca="false">IF(OR($D22="",$J22&lt;&gt;"Supplier"),0,F22*P22+G22*Q22)</f>
        <v>0</v>
      </c>
      <c r="S22" s="26" t="n">
        <f aca="false">IF(OR($D22="",$J22&lt;&gt;"Own"),0,IFERROR((F22+G22*Settings!$B$13)*INDEX(Workers!$V$5:$V$2004,MATCH($D22,Workers!$A$5:$A$2004,0)),0))</f>
        <v>1834.61538461538</v>
      </c>
      <c r="T22" s="26" t="n">
        <f aca="false">IF($D22="","",O22-R22-S22)</f>
        <v>4228.58461538462</v>
      </c>
    </row>
    <row r="23" customFormat="false" ht="15" hidden="false" customHeight="false" outlineLevel="0" collapsed="false">
      <c r="A23" s="41" t="n">
        <v>46296</v>
      </c>
      <c r="B23" s="33" t="s">
        <v>178</v>
      </c>
      <c r="C23" s="33" t="s">
        <v>549</v>
      </c>
      <c r="D23" s="33" t="s">
        <v>327</v>
      </c>
      <c r="E23" s="33" t="n">
        <v>26</v>
      </c>
      <c r="F23" s="33" t="n">
        <v>208</v>
      </c>
      <c r="G23" s="33" t="n">
        <v>10</v>
      </c>
      <c r="H23" s="33" t="s">
        <v>550</v>
      </c>
      <c r="I23" s="24" t="str">
        <f aca="false">IF($D23="","",IFERROR(INDEX(Workers!$B$5:$B$2004,MATCH($D23,Workers!$A$5:$A$2004,0)),"NOT FOUND"))</f>
        <v>Nabin Pillai</v>
      </c>
      <c r="J23" s="24" t="str">
        <f aca="false">IF($D23="","",IFERROR(INDEX(Workers!$C$5:$C$2004,MATCH($D23,Workers!$A$5:$A$2004,0)),""))</f>
        <v>Own</v>
      </c>
      <c r="K23" s="24" t="str">
        <f aca="false">IF($D23="","",IFERROR(IF(INDEX(Workers!$D$5:$D$2004,MATCH($D23,Workers!$A$5:$A$2004,0))=0,"",INDEX(Workers!$D$5:$D$2004,MATCH($D23,Workers!$A$5:$A$2004,0))),""))</f>
        <v/>
      </c>
      <c r="L23" s="24" t="str">
        <f aca="false">IF($D23="","",IFERROR(INDEX(Workers!$E$5:$E$2004,MATCH($D23,Workers!$A$5:$A$2004,0)),""))</f>
        <v>Security Guard</v>
      </c>
      <c r="M23" s="26" t="n">
        <f aca="false">IF($D23="","",IFERROR(INDEX(ClientRates!$D$5:$D$500,MATCH($B23&amp;"|"&amp;$L23,ClientRates!$A$5:$A$500,0)),0))</f>
        <v>16.15</v>
      </c>
      <c r="N23" s="26" t="n">
        <f aca="false">IF($D23="","",IFERROR(INDEX(ClientRates!$E$5:$E$500,MATCH($B23&amp;"|"&amp;$L23,ClientRates!$A$5:$A$500,0)),0))</f>
        <v>20.19</v>
      </c>
      <c r="O23" s="26" t="n">
        <f aca="false">IF($D23="","",F23*M23+G23*N23)</f>
        <v>3561.1</v>
      </c>
      <c r="P23" s="26" t="str">
        <f aca="false">IF(OR($D23="",$J23&lt;&gt;"Supplier"),"",IFERROR(INDEX(SupplierRates!$D$5:$D$500,MATCH($K23&amp;"|"&amp;$L23,SupplierRates!$A$5:$A$500,0)),0))</f>
        <v/>
      </c>
      <c r="Q23" s="26" t="str">
        <f aca="false">IF(OR($D23="",$J23&lt;&gt;"Supplier"),"",IFERROR(INDEX(SupplierRates!$E$5:$E$500,MATCH($K23&amp;"|"&amp;$L23,SupplierRates!$A$5:$A$500,0)),0))</f>
        <v/>
      </c>
      <c r="R23" s="26" t="n">
        <f aca="false">IF(OR($D23="",$J23&lt;&gt;"Supplier"),0,F23*P23+G23*Q23)</f>
        <v>0</v>
      </c>
      <c r="S23" s="26" t="n">
        <f aca="false">IF(OR($D23="",$J23&lt;&gt;"Own"),0,IFERROR((F23+G23*Settings!$B$13)*INDEX(Workers!$V$5:$V$2004,MATCH($D23,Workers!$A$5:$A$2004,0)),0))</f>
        <v>2968.26923076923</v>
      </c>
      <c r="T23" s="26" t="n">
        <f aca="false">IF($D23="","",O23-R23-S23)</f>
        <v>592.830769230769</v>
      </c>
    </row>
    <row r="24" customFormat="false" ht="15" hidden="false" customHeight="false" outlineLevel="0" collapsed="false">
      <c r="A24" s="41" t="n">
        <v>46296</v>
      </c>
      <c r="B24" s="33" t="s">
        <v>172</v>
      </c>
      <c r="C24" s="33" t="s">
        <v>547</v>
      </c>
      <c r="D24" s="33" t="s">
        <v>332</v>
      </c>
      <c r="E24" s="33" t="n">
        <v>24</v>
      </c>
      <c r="F24" s="33" t="n">
        <v>192</v>
      </c>
      <c r="G24" s="33" t="n">
        <v>16</v>
      </c>
      <c r="H24" s="33" t="s">
        <v>544</v>
      </c>
      <c r="I24" s="24" t="str">
        <f aca="false">IF($D24="","",IFERROR(INDEX(Workers!$B$5:$B$2004,MATCH($D24,Workers!$A$5:$A$2004,0)),"NOT FOUND"))</f>
        <v>Faisal Ahmed</v>
      </c>
      <c r="J24" s="24" t="str">
        <f aca="false">IF($D24="","",IFERROR(INDEX(Workers!$C$5:$C$2004,MATCH($D24,Workers!$A$5:$A$2004,0)),""))</f>
        <v>Own</v>
      </c>
      <c r="K24" s="24" t="str">
        <f aca="false">IF($D24="","",IFERROR(IF(INDEX(Workers!$D$5:$D$2004,MATCH($D24,Workers!$A$5:$A$2004,0))=0,"",INDEX(Workers!$D$5:$D$2004,MATCH($D24,Workers!$A$5:$A$2004,0))),""))</f>
        <v/>
      </c>
      <c r="L24" s="24" t="str">
        <f aca="false">IF($D24="","",IFERROR(INDEX(Workers!$E$5:$E$2004,MATCH($D24,Workers!$A$5:$A$2004,0)),""))</f>
        <v>Helper</v>
      </c>
      <c r="M24" s="26" t="n">
        <f aca="false">IF($D24="","",IFERROR(INDEX(ClientRates!$D$5:$D$500,MATCH($B24&amp;"|"&amp;$L24,ClientRates!$A$5:$A$500,0)),0))</f>
        <v>17.6</v>
      </c>
      <c r="N24" s="26" t="n">
        <f aca="false">IF($D24="","",IFERROR(INDEX(ClientRates!$E$5:$E$500,MATCH($B24&amp;"|"&amp;$L24,ClientRates!$A$5:$A$500,0)),0))</f>
        <v>22</v>
      </c>
      <c r="O24" s="26" t="n">
        <f aca="false">IF($D24="","",F24*M24+G24*N24)</f>
        <v>3731.2</v>
      </c>
      <c r="P24" s="26" t="str">
        <f aca="false">IF(OR($D24="",$J24&lt;&gt;"Supplier"),"",IFERROR(INDEX(SupplierRates!$D$5:$D$500,MATCH($K24&amp;"|"&amp;$L24,SupplierRates!$A$5:$A$500,0)),0))</f>
        <v/>
      </c>
      <c r="Q24" s="26" t="str">
        <f aca="false">IF(OR($D24="",$J24&lt;&gt;"Supplier"),"",IFERROR(INDEX(SupplierRates!$E$5:$E$500,MATCH($K24&amp;"|"&amp;$L24,SupplierRates!$A$5:$A$500,0)),0))</f>
        <v/>
      </c>
      <c r="R24" s="26" t="n">
        <f aca="false">IF(OR($D24="",$J24&lt;&gt;"Supplier"),0,F24*P24+G24*Q24)</f>
        <v>0</v>
      </c>
      <c r="S24" s="26" t="n">
        <f aca="false">IF(OR($D24="",$J24&lt;&gt;"Own"),0,IFERROR((F24+G24*Settings!$B$13)*INDEX(Workers!$V$5:$V$2004,MATCH($D24,Workers!$A$5:$A$2004,0)),0))</f>
        <v>2344.23076923077</v>
      </c>
      <c r="T24" s="26" t="n">
        <f aca="false">IF($D24="","",O24-R24-S24)</f>
        <v>1386.96923076923</v>
      </c>
    </row>
    <row r="25" customFormat="false" ht="15" hidden="false" customHeight="false" outlineLevel="0" collapsed="false">
      <c r="A25" s="41" t="n">
        <v>46296</v>
      </c>
      <c r="B25" s="33" t="s">
        <v>172</v>
      </c>
      <c r="C25" s="33" t="s">
        <v>547</v>
      </c>
      <c r="D25" s="33" t="s">
        <v>337</v>
      </c>
      <c r="E25" s="33" t="n">
        <v>14</v>
      </c>
      <c r="F25" s="33" t="n">
        <v>112</v>
      </c>
      <c r="G25" s="33" t="n">
        <v>6</v>
      </c>
      <c r="H25" s="33" t="s">
        <v>544</v>
      </c>
      <c r="I25" s="24" t="str">
        <f aca="false">IF($D25="","",IFERROR(INDEX(Workers!$B$5:$B$2004,MATCH($D25,Workers!$A$5:$A$2004,0)),"NOT FOUND"))</f>
        <v>Shafi Nair</v>
      </c>
      <c r="J25" s="24" t="str">
        <f aca="false">IF($D25="","",IFERROR(INDEX(Workers!$C$5:$C$2004,MATCH($D25,Workers!$A$5:$A$2004,0)),""))</f>
        <v>Own</v>
      </c>
      <c r="K25" s="24" t="str">
        <f aca="false">IF($D25="","",IFERROR(IF(INDEX(Workers!$D$5:$D$2004,MATCH($D25,Workers!$A$5:$A$2004,0))=0,"",INDEX(Workers!$D$5:$D$2004,MATCH($D25,Workers!$A$5:$A$2004,0))),""))</f>
        <v/>
      </c>
      <c r="L25" s="24" t="str">
        <f aca="false">IF($D25="","",IFERROR(INDEX(Workers!$E$5:$E$2004,MATCH($D25,Workers!$A$5:$A$2004,0)),""))</f>
        <v>Cleaner</v>
      </c>
      <c r="M25" s="26" t="n">
        <f aca="false">IF($D25="","",IFERROR(INDEX(ClientRates!$D$5:$D$500,MATCH($B25&amp;"|"&amp;$L25,ClientRates!$A$5:$A$500,0)),0))</f>
        <v>16.5</v>
      </c>
      <c r="N25" s="26" t="n">
        <f aca="false">IF($D25="","",IFERROR(INDEX(ClientRates!$E$5:$E$500,MATCH($B25&amp;"|"&amp;$L25,ClientRates!$A$5:$A$500,0)),0))</f>
        <v>20.62</v>
      </c>
      <c r="O25" s="26" t="n">
        <f aca="false">IF($D25="","",F25*M25+G25*N25)</f>
        <v>1971.72</v>
      </c>
      <c r="P25" s="26" t="str">
        <f aca="false">IF(OR($D25="",$J25&lt;&gt;"Supplier"),"",IFERROR(INDEX(SupplierRates!$D$5:$D$500,MATCH($K25&amp;"|"&amp;$L25,SupplierRates!$A$5:$A$500,0)),0))</f>
        <v/>
      </c>
      <c r="Q25" s="26" t="str">
        <f aca="false">IF(OR($D25="",$J25&lt;&gt;"Supplier"),"",IFERROR(INDEX(SupplierRates!$E$5:$E$500,MATCH($K25&amp;"|"&amp;$L25,SupplierRates!$A$5:$A$500,0)),0))</f>
        <v/>
      </c>
      <c r="R25" s="26" t="n">
        <f aca="false">IF(OR($D25="",$J25&lt;&gt;"Supplier"),0,F25*P25+G25*Q25)</f>
        <v>0</v>
      </c>
      <c r="S25" s="26" t="n">
        <f aca="false">IF(OR($D25="",$J25&lt;&gt;"Own"),0,IFERROR((F25+G25*Settings!$B$13)*INDEX(Workers!$V$5:$V$2004,MATCH($D25,Workers!$A$5:$A$2004,0)),0))</f>
        <v>1723.55769230769</v>
      </c>
      <c r="T25" s="26" t="n">
        <f aca="false">IF($D25="","",O25-R25-S25)</f>
        <v>248.162307692308</v>
      </c>
    </row>
    <row r="26" customFormat="false" ht="15" hidden="false" customHeight="false" outlineLevel="0" collapsed="false">
      <c r="A26" s="41" t="n">
        <v>46296</v>
      </c>
      <c r="B26" s="33" t="s">
        <v>184</v>
      </c>
      <c r="C26" s="33" t="s">
        <v>551</v>
      </c>
      <c r="D26" s="33" t="s">
        <v>337</v>
      </c>
      <c r="E26" s="33" t="n">
        <v>11</v>
      </c>
      <c r="F26" s="33" t="n">
        <v>88</v>
      </c>
      <c r="G26" s="33" t="n">
        <v>8</v>
      </c>
      <c r="H26" s="33" t="s">
        <v>552</v>
      </c>
      <c r="I26" s="24" t="str">
        <f aca="false">IF($D26="","",IFERROR(INDEX(Workers!$B$5:$B$2004,MATCH($D26,Workers!$A$5:$A$2004,0)),"NOT FOUND"))</f>
        <v>Shafi Nair</v>
      </c>
      <c r="J26" s="24" t="str">
        <f aca="false">IF($D26="","",IFERROR(INDEX(Workers!$C$5:$C$2004,MATCH($D26,Workers!$A$5:$A$2004,0)),""))</f>
        <v>Own</v>
      </c>
      <c r="K26" s="24" t="str">
        <f aca="false">IF($D26="","",IFERROR(IF(INDEX(Workers!$D$5:$D$2004,MATCH($D26,Workers!$A$5:$A$2004,0))=0,"",INDEX(Workers!$D$5:$D$2004,MATCH($D26,Workers!$A$5:$A$2004,0))),""))</f>
        <v/>
      </c>
      <c r="L26" s="24" t="str">
        <f aca="false">IF($D26="","",IFERROR(INDEX(Workers!$E$5:$E$2004,MATCH($D26,Workers!$A$5:$A$2004,0)),""))</f>
        <v>Cleaner</v>
      </c>
      <c r="M26" s="26" t="n">
        <f aca="false">IF($D26="","",IFERROR(INDEX(ClientRates!$D$5:$D$500,MATCH($B26&amp;"|"&amp;$L26,ClientRates!$A$5:$A$500,0)),0))</f>
        <v>15.75</v>
      </c>
      <c r="N26" s="26" t="n">
        <f aca="false">IF($D26="","",IFERROR(INDEX(ClientRates!$E$5:$E$500,MATCH($B26&amp;"|"&amp;$L26,ClientRates!$A$5:$A$500,0)),0))</f>
        <v>19.69</v>
      </c>
      <c r="O26" s="26" t="n">
        <f aca="false">IF($D26="","",F26*M26+G26*N26)</f>
        <v>1543.52</v>
      </c>
      <c r="P26" s="26" t="str">
        <f aca="false">IF(OR($D26="",$J26&lt;&gt;"Supplier"),"",IFERROR(INDEX(SupplierRates!$D$5:$D$500,MATCH($K26&amp;"|"&amp;$L26,SupplierRates!$A$5:$A$500,0)),0))</f>
        <v/>
      </c>
      <c r="Q26" s="26" t="str">
        <f aca="false">IF(OR($D26="",$J26&lt;&gt;"Supplier"),"",IFERROR(INDEX(SupplierRates!$E$5:$E$500,MATCH($K26&amp;"|"&amp;$L26,SupplierRates!$A$5:$A$500,0)),0))</f>
        <v/>
      </c>
      <c r="R26" s="26" t="n">
        <f aca="false">IF(OR($D26="",$J26&lt;&gt;"Supplier"),0,F26*P26+G26*Q26)</f>
        <v>0</v>
      </c>
      <c r="S26" s="26" t="n">
        <f aca="false">IF(OR($D26="",$J26&lt;&gt;"Own"),0,IFERROR((F26+G26*Settings!$B$13)*INDEX(Workers!$V$5:$V$2004,MATCH($D26,Workers!$A$5:$A$2004,0)),0))</f>
        <v>1413.46153846154</v>
      </c>
      <c r="T26" s="26" t="n">
        <f aca="false">IF($D26="","",O26-R26-S26)</f>
        <v>130.058461538461</v>
      </c>
    </row>
    <row r="27" customFormat="false" ht="15" hidden="false" customHeight="false" outlineLevel="0" collapsed="false">
      <c r="A27" s="41" t="n">
        <v>46296</v>
      </c>
      <c r="B27" s="33" t="s">
        <v>178</v>
      </c>
      <c r="C27" s="33" t="s">
        <v>549</v>
      </c>
      <c r="D27" s="33" t="s">
        <v>343</v>
      </c>
      <c r="E27" s="33" t="n">
        <v>24</v>
      </c>
      <c r="F27" s="33" t="n">
        <v>192</v>
      </c>
      <c r="G27" s="33" t="n">
        <v>20</v>
      </c>
      <c r="H27" s="33" t="s">
        <v>550</v>
      </c>
      <c r="I27" s="24" t="str">
        <f aca="false">IF($D27="","",IFERROR(INDEX(Workers!$B$5:$B$2004,MATCH($D27,Workers!$A$5:$A$2004,0)),"NOT FOUND"))</f>
        <v>Sanjay Ali</v>
      </c>
      <c r="J27" s="24" t="str">
        <f aca="false">IF($D27="","",IFERROR(INDEX(Workers!$C$5:$C$2004,MATCH($D27,Workers!$A$5:$A$2004,0)),""))</f>
        <v>Own</v>
      </c>
      <c r="K27" s="24" t="str">
        <f aca="false">IF($D27="","",IFERROR(IF(INDEX(Workers!$D$5:$D$2004,MATCH($D27,Workers!$A$5:$A$2004,0))=0,"",INDEX(Workers!$D$5:$D$2004,MATCH($D27,Workers!$A$5:$A$2004,0))),""))</f>
        <v/>
      </c>
      <c r="L27" s="24" t="str">
        <f aca="false">IF($D27="","",IFERROR(INDEX(Workers!$E$5:$E$2004,MATCH($D27,Workers!$A$5:$A$2004,0)),""))</f>
        <v>Driver</v>
      </c>
      <c r="M27" s="26" t="n">
        <f aca="false">IF($D27="","",IFERROR(INDEX(ClientRates!$D$5:$D$500,MATCH($B27&amp;"|"&amp;$L27,ClientRates!$A$5:$A$500,0)),0))</f>
        <v>22.8</v>
      </c>
      <c r="N27" s="26" t="n">
        <f aca="false">IF($D27="","",IFERROR(INDEX(ClientRates!$E$5:$E$500,MATCH($B27&amp;"|"&amp;$L27,ClientRates!$A$5:$A$500,0)),0))</f>
        <v>28.5</v>
      </c>
      <c r="O27" s="26" t="n">
        <f aca="false">IF($D27="","",F27*M27+G27*N27)</f>
        <v>4947.6</v>
      </c>
      <c r="P27" s="26" t="str">
        <f aca="false">IF(OR($D27="",$J27&lt;&gt;"Supplier"),"",IFERROR(INDEX(SupplierRates!$D$5:$D$500,MATCH($K27&amp;"|"&amp;$L27,SupplierRates!$A$5:$A$500,0)),0))</f>
        <v/>
      </c>
      <c r="Q27" s="26" t="str">
        <f aca="false">IF(OR($D27="",$J27&lt;&gt;"Supplier"),"",IFERROR(INDEX(SupplierRates!$E$5:$E$500,MATCH($K27&amp;"|"&amp;$L27,SupplierRates!$A$5:$A$500,0)),0))</f>
        <v/>
      </c>
      <c r="R27" s="26" t="n">
        <f aca="false">IF(OR($D27="",$J27&lt;&gt;"Supplier"),0,F27*P27+G27*Q27)</f>
        <v>0</v>
      </c>
      <c r="S27" s="26" t="n">
        <f aca="false">IF(OR($D27="",$J27&lt;&gt;"Own"),0,IFERROR((F27+G27*Settings!$B$13)*INDEX(Workers!$V$5:$V$2004,MATCH($D27,Workers!$A$5:$A$2004,0)),0))</f>
        <v>1982.21153846154</v>
      </c>
      <c r="T27" s="26" t="n">
        <f aca="false">IF($D27="","",O27-R27-S27)</f>
        <v>2965.38846153846</v>
      </c>
    </row>
    <row r="28" customFormat="false" ht="15" hidden="false" customHeight="false" outlineLevel="0" collapsed="false">
      <c r="A28" s="41" t="n">
        <v>46296</v>
      </c>
      <c r="B28" s="33" t="s">
        <v>166</v>
      </c>
      <c r="C28" s="33" t="s">
        <v>545</v>
      </c>
      <c r="D28" s="33" t="s">
        <v>348</v>
      </c>
      <c r="E28" s="33" t="n">
        <v>24</v>
      </c>
      <c r="F28" s="33" t="n">
        <v>192</v>
      </c>
      <c r="G28" s="33" t="n">
        <v>30</v>
      </c>
      <c r="H28" s="33" t="s">
        <v>546</v>
      </c>
      <c r="I28" s="24" t="str">
        <f aca="false">IF($D28="","",IFERROR(INDEX(Workers!$B$5:$B$2004,MATCH($D28,Workers!$A$5:$A$2004,0)),"NOT FOUND"))</f>
        <v>Jamal Varghese</v>
      </c>
      <c r="J28" s="24" t="str">
        <f aca="false">IF($D28="","",IFERROR(INDEX(Workers!$C$5:$C$2004,MATCH($D28,Workers!$A$5:$A$2004,0)),""))</f>
        <v>Own</v>
      </c>
      <c r="K28" s="24" t="str">
        <f aca="false">IF($D28="","",IFERROR(IF(INDEX(Workers!$D$5:$D$2004,MATCH($D28,Workers!$A$5:$A$2004,0))=0,"",INDEX(Workers!$D$5:$D$2004,MATCH($D28,Workers!$A$5:$A$2004,0))),""))</f>
        <v/>
      </c>
      <c r="L28" s="24" t="str">
        <f aca="false">IF($D28="","",IFERROR(INDEX(Workers!$E$5:$E$2004,MATCH($D28,Workers!$A$5:$A$2004,0)),""))</f>
        <v>Cleaner</v>
      </c>
      <c r="M28" s="26" t="n">
        <f aca="false">IF($D28="","",IFERROR(INDEX(ClientRates!$D$5:$D$500,MATCH($B28&amp;"|"&amp;$L28,ClientRates!$A$5:$A$500,0)),0))</f>
        <v>15</v>
      </c>
      <c r="N28" s="26" t="n">
        <f aca="false">IF($D28="","",IFERROR(INDEX(ClientRates!$E$5:$E$500,MATCH($B28&amp;"|"&amp;$L28,ClientRates!$A$5:$A$500,0)),0))</f>
        <v>18.75</v>
      </c>
      <c r="O28" s="26" t="n">
        <f aca="false">IF($D28="","",F28*M28+G28*N28)</f>
        <v>3442.5</v>
      </c>
      <c r="P28" s="26" t="str">
        <f aca="false">IF(OR($D28="",$J28&lt;&gt;"Supplier"),"",IFERROR(INDEX(SupplierRates!$D$5:$D$500,MATCH($K28&amp;"|"&amp;$L28,SupplierRates!$A$5:$A$500,0)),0))</f>
        <v/>
      </c>
      <c r="Q28" s="26" t="str">
        <f aca="false">IF(OR($D28="",$J28&lt;&gt;"Supplier"),"",IFERROR(INDEX(SupplierRates!$E$5:$E$500,MATCH($K28&amp;"|"&amp;$L28,SupplierRates!$A$5:$A$500,0)),0))</f>
        <v/>
      </c>
      <c r="R28" s="26" t="n">
        <f aca="false">IF(OR($D28="",$J28&lt;&gt;"Supplier"),0,F28*P28+G28*Q28)</f>
        <v>0</v>
      </c>
      <c r="S28" s="26" t="n">
        <f aca="false">IF(OR($D28="",$J28&lt;&gt;"Own"),0,IFERROR((F28+G28*Settings!$B$13)*INDEX(Workers!$V$5:$V$2004,MATCH($D28,Workers!$A$5:$A$2004,0)),0))</f>
        <v>2096.39423076923</v>
      </c>
      <c r="T28" s="26" t="n">
        <f aca="false">IF($D28="","",O28-R28-S28)</f>
        <v>1346.10576923077</v>
      </c>
    </row>
    <row r="29" customFormat="false" ht="15" hidden="false" customHeight="false" outlineLevel="0" collapsed="false">
      <c r="A29" s="41" t="n">
        <v>46296</v>
      </c>
      <c r="B29" s="33" t="s">
        <v>184</v>
      </c>
      <c r="C29" s="33" t="s">
        <v>551</v>
      </c>
      <c r="D29" s="33" t="s">
        <v>353</v>
      </c>
      <c r="E29" s="33" t="n">
        <v>10</v>
      </c>
      <c r="F29" s="33" t="n">
        <v>80</v>
      </c>
      <c r="G29" s="33" t="n">
        <v>10</v>
      </c>
      <c r="H29" s="33" t="s">
        <v>552</v>
      </c>
      <c r="I29" s="24" t="str">
        <f aca="false">IF($D29="","",IFERROR(INDEX(Workers!$B$5:$B$2004,MATCH($D29,Workers!$A$5:$A$2004,0)),"NOT FOUND"))</f>
        <v>Bikash Ali</v>
      </c>
      <c r="J29" s="24" t="str">
        <f aca="false">IF($D29="","",IFERROR(INDEX(Workers!$C$5:$C$2004,MATCH($D29,Workers!$A$5:$A$2004,0)),""))</f>
        <v>Own</v>
      </c>
      <c r="K29" s="24" t="str">
        <f aca="false">IF($D29="","",IFERROR(IF(INDEX(Workers!$D$5:$D$2004,MATCH($D29,Workers!$A$5:$A$2004,0))=0,"",INDEX(Workers!$D$5:$D$2004,MATCH($D29,Workers!$A$5:$A$2004,0))),""))</f>
        <v/>
      </c>
      <c r="L29" s="24" t="str">
        <f aca="false">IF($D29="","",IFERROR(INDEX(Workers!$E$5:$E$2004,MATCH($D29,Workers!$A$5:$A$2004,0)),""))</f>
        <v>Electrician</v>
      </c>
      <c r="M29" s="26" t="n">
        <f aca="false">IF($D29="","",IFERROR(INDEX(ClientRates!$D$5:$D$500,MATCH($B29&amp;"|"&amp;$L29,ClientRates!$A$5:$A$500,0)),0))</f>
        <v>27.3</v>
      </c>
      <c r="N29" s="26" t="n">
        <f aca="false">IF($D29="","",IFERROR(INDEX(ClientRates!$E$5:$E$500,MATCH($B29&amp;"|"&amp;$L29,ClientRates!$A$5:$A$500,0)),0))</f>
        <v>34.12</v>
      </c>
      <c r="O29" s="26" t="n">
        <f aca="false">IF($D29="","",F29*M29+G29*N29)</f>
        <v>2525.2</v>
      </c>
      <c r="P29" s="26" t="str">
        <f aca="false">IF(OR($D29="",$J29&lt;&gt;"Supplier"),"",IFERROR(INDEX(SupplierRates!$D$5:$D$500,MATCH($K29&amp;"|"&amp;$L29,SupplierRates!$A$5:$A$500,0)),0))</f>
        <v/>
      </c>
      <c r="Q29" s="26" t="str">
        <f aca="false">IF(OR($D29="",$J29&lt;&gt;"Supplier"),"",IFERROR(INDEX(SupplierRates!$E$5:$E$500,MATCH($K29&amp;"|"&amp;$L29,SupplierRates!$A$5:$A$500,0)),0))</f>
        <v/>
      </c>
      <c r="R29" s="26" t="n">
        <f aca="false">IF(OR($D29="",$J29&lt;&gt;"Supplier"),0,F29*P29+G29*Q29)</f>
        <v>0</v>
      </c>
      <c r="S29" s="26" t="n">
        <f aca="false">IF(OR($D29="",$J29&lt;&gt;"Own"),0,IFERROR((F29+G29*Settings!$B$13)*INDEX(Workers!$V$5:$V$2004,MATCH($D29,Workers!$A$5:$A$2004,0)),0))</f>
        <v>844.951923076923</v>
      </c>
      <c r="T29" s="26" t="n">
        <f aca="false">IF($D29="","",O29-R29-S29)</f>
        <v>1680.24807692308</v>
      </c>
    </row>
    <row r="30" customFormat="false" ht="15" hidden="false" customHeight="false" outlineLevel="0" collapsed="false">
      <c r="A30" s="41" t="n">
        <v>46296</v>
      </c>
      <c r="B30" s="33" t="s">
        <v>178</v>
      </c>
      <c r="C30" s="33" t="s">
        <v>549</v>
      </c>
      <c r="D30" s="33" t="s">
        <v>353</v>
      </c>
      <c r="E30" s="33" t="n">
        <v>12</v>
      </c>
      <c r="F30" s="33" t="n">
        <v>96</v>
      </c>
      <c r="G30" s="33" t="n">
        <v>8</v>
      </c>
      <c r="H30" s="33" t="s">
        <v>550</v>
      </c>
      <c r="I30" s="24" t="str">
        <f aca="false">IF($D30="","",IFERROR(INDEX(Workers!$B$5:$B$2004,MATCH($D30,Workers!$A$5:$A$2004,0)),"NOT FOUND"))</f>
        <v>Bikash Ali</v>
      </c>
      <c r="J30" s="24" t="str">
        <f aca="false">IF($D30="","",IFERROR(INDEX(Workers!$C$5:$C$2004,MATCH($D30,Workers!$A$5:$A$2004,0)),""))</f>
        <v>Own</v>
      </c>
      <c r="K30" s="24" t="str">
        <f aca="false">IF($D30="","",IFERROR(IF(INDEX(Workers!$D$5:$D$2004,MATCH($D30,Workers!$A$5:$A$2004,0))=0,"",INDEX(Workers!$D$5:$D$2004,MATCH($D30,Workers!$A$5:$A$2004,0))),""))</f>
        <v/>
      </c>
      <c r="L30" s="24" t="str">
        <f aca="false">IF($D30="","",IFERROR(INDEX(Workers!$E$5:$E$2004,MATCH($D30,Workers!$A$5:$A$2004,0)),""))</f>
        <v>Electrician</v>
      </c>
      <c r="M30" s="26" t="n">
        <f aca="false">IF($D30="","",IFERROR(INDEX(ClientRates!$D$5:$D$500,MATCH($B30&amp;"|"&amp;$L30,ClientRates!$A$5:$A$500,0)),0))</f>
        <v>24.7</v>
      </c>
      <c r="N30" s="26" t="n">
        <f aca="false">IF($D30="","",IFERROR(INDEX(ClientRates!$E$5:$E$500,MATCH($B30&amp;"|"&amp;$L30,ClientRates!$A$5:$A$500,0)),0))</f>
        <v>30.88</v>
      </c>
      <c r="O30" s="26" t="n">
        <f aca="false">IF($D30="","",F30*M30+G30*N30)</f>
        <v>2618.24</v>
      </c>
      <c r="P30" s="26" t="str">
        <f aca="false">IF(OR($D30="",$J30&lt;&gt;"Supplier"),"",IFERROR(INDEX(SupplierRates!$D$5:$D$500,MATCH($K30&amp;"|"&amp;$L30,SupplierRates!$A$5:$A$500,0)),0))</f>
        <v/>
      </c>
      <c r="Q30" s="26" t="str">
        <f aca="false">IF(OR($D30="",$J30&lt;&gt;"Supplier"),"",IFERROR(INDEX(SupplierRates!$E$5:$E$500,MATCH($K30&amp;"|"&amp;$L30,SupplierRates!$A$5:$A$500,0)),0))</f>
        <v/>
      </c>
      <c r="R30" s="26" t="n">
        <f aca="false">IF(OR($D30="",$J30&lt;&gt;"Supplier"),0,F30*P30+G30*Q30)</f>
        <v>0</v>
      </c>
      <c r="S30" s="26" t="n">
        <f aca="false">IF(OR($D30="",$J30&lt;&gt;"Own"),0,IFERROR((F30+G30*Settings!$B$13)*INDEX(Workers!$V$5:$V$2004,MATCH($D30,Workers!$A$5:$A$2004,0)),0))</f>
        <v>968.269230769231</v>
      </c>
      <c r="T30" s="26" t="n">
        <f aca="false">IF($D30="","",O30-R30-S30)</f>
        <v>1649.97076923077</v>
      </c>
    </row>
    <row r="31" customFormat="false" ht="15" hidden="false" customHeight="false" outlineLevel="0" collapsed="false">
      <c r="A31" s="41" t="n">
        <v>46296</v>
      </c>
      <c r="B31" s="33" t="s">
        <v>166</v>
      </c>
      <c r="C31" s="33" t="s">
        <v>548</v>
      </c>
      <c r="D31" s="33" t="s">
        <v>358</v>
      </c>
      <c r="E31" s="33" t="n">
        <v>22</v>
      </c>
      <c r="F31" s="33" t="n">
        <v>176</v>
      </c>
      <c r="G31" s="33" t="n">
        <v>26</v>
      </c>
      <c r="H31" s="33" t="s">
        <v>546</v>
      </c>
      <c r="I31" s="24" t="str">
        <f aca="false">IF($D31="","",IFERROR(INDEX(Workers!$B$5:$B$2004,MATCH($D31,Workers!$A$5:$A$2004,0)),"NOT FOUND"))</f>
        <v>Tariq Gurung</v>
      </c>
      <c r="J31" s="24" t="str">
        <f aca="false">IF($D31="","",IFERROR(INDEX(Workers!$C$5:$C$2004,MATCH($D31,Workers!$A$5:$A$2004,0)),""))</f>
        <v>Own</v>
      </c>
      <c r="K31" s="24" t="str">
        <f aca="false">IF($D31="","",IFERROR(IF(INDEX(Workers!$D$5:$D$2004,MATCH($D31,Workers!$A$5:$A$2004,0))=0,"",INDEX(Workers!$D$5:$D$2004,MATCH($D31,Workers!$A$5:$A$2004,0))),""))</f>
        <v/>
      </c>
      <c r="L31" s="24" t="str">
        <f aca="false">IF($D31="","",IFERROR(INDEX(Workers!$E$5:$E$2004,MATCH($D31,Workers!$A$5:$A$2004,0)),""))</f>
        <v>Electrician</v>
      </c>
      <c r="M31" s="26" t="n">
        <f aca="false">IF($D31="","",IFERROR(INDEX(ClientRates!$D$5:$D$500,MATCH($B31&amp;"|"&amp;$L31,ClientRates!$A$5:$A$500,0)),0))</f>
        <v>26</v>
      </c>
      <c r="N31" s="26" t="n">
        <f aca="false">IF($D31="","",IFERROR(INDEX(ClientRates!$E$5:$E$500,MATCH($B31&amp;"|"&amp;$L31,ClientRates!$A$5:$A$500,0)),0))</f>
        <v>32.5</v>
      </c>
      <c r="O31" s="26" t="n">
        <f aca="false">IF($D31="","",F31*M31+G31*N31)</f>
        <v>5421</v>
      </c>
      <c r="P31" s="26" t="str">
        <f aca="false">IF(OR($D31="",$J31&lt;&gt;"Supplier"),"",IFERROR(INDEX(SupplierRates!$D$5:$D$500,MATCH($K31&amp;"|"&amp;$L31,SupplierRates!$A$5:$A$500,0)),0))</f>
        <v/>
      </c>
      <c r="Q31" s="26" t="str">
        <f aca="false">IF(OR($D31="",$J31&lt;&gt;"Supplier"),"",IFERROR(INDEX(SupplierRates!$E$5:$E$500,MATCH($K31&amp;"|"&amp;$L31,SupplierRates!$A$5:$A$500,0)),0))</f>
        <v/>
      </c>
      <c r="R31" s="26" t="n">
        <f aca="false">IF(OR($D31="",$J31&lt;&gt;"Supplier"),0,F31*P31+G31*Q31)</f>
        <v>0</v>
      </c>
      <c r="S31" s="26" t="n">
        <f aca="false">IF(OR($D31="",$J31&lt;&gt;"Own"),0,IFERROR((F31+G31*Settings!$B$13)*INDEX(Workers!$V$5:$V$2004,MATCH($D31,Workers!$A$5:$A$2004,0)),0))</f>
        <v>2293.5</v>
      </c>
      <c r="T31" s="26" t="n">
        <f aca="false">IF($D31="","",O31-R31-S31)</f>
        <v>3127.5</v>
      </c>
    </row>
    <row r="32" customFormat="false" ht="15" hidden="false" customHeight="false" outlineLevel="0" collapsed="false">
      <c r="A32" s="41" t="n">
        <v>46296</v>
      </c>
      <c r="B32" s="33" t="s">
        <v>178</v>
      </c>
      <c r="C32" s="33" t="s">
        <v>549</v>
      </c>
      <c r="D32" s="33" t="s">
        <v>363</v>
      </c>
      <c r="E32" s="33" t="n">
        <v>24</v>
      </c>
      <c r="F32" s="33" t="n">
        <v>192</v>
      </c>
      <c r="G32" s="33" t="n">
        <v>30</v>
      </c>
      <c r="H32" s="33" t="s">
        <v>550</v>
      </c>
      <c r="I32" s="24" t="str">
        <f aca="false">IF($D32="","",IFERROR(INDEX(Workers!$B$5:$B$2004,MATCH($D32,Workers!$A$5:$A$2004,0)),"NOT FOUND"))</f>
        <v>Tariq Santos</v>
      </c>
      <c r="J32" s="24" t="str">
        <f aca="false">IF($D32="","",IFERROR(INDEX(Workers!$C$5:$C$2004,MATCH($D32,Workers!$A$5:$A$2004,0)),""))</f>
        <v>Own</v>
      </c>
      <c r="K32" s="24" t="str">
        <f aca="false">IF($D32="","",IFERROR(IF(INDEX(Workers!$D$5:$D$2004,MATCH($D32,Workers!$A$5:$A$2004,0))=0,"",INDEX(Workers!$D$5:$D$2004,MATCH($D32,Workers!$A$5:$A$2004,0))),""))</f>
        <v/>
      </c>
      <c r="L32" s="24" t="str">
        <f aca="false">IF($D32="","",IFERROR(INDEX(Workers!$E$5:$E$2004,MATCH($D32,Workers!$A$5:$A$2004,0)),""))</f>
        <v>Plumber</v>
      </c>
      <c r="M32" s="26" t="n">
        <f aca="false">IF($D32="","",IFERROR(INDEX(ClientRates!$D$5:$D$500,MATCH($B32&amp;"|"&amp;$L32,ClientRates!$A$5:$A$500,0)),0))</f>
        <v>23.75</v>
      </c>
      <c r="N32" s="26" t="n">
        <f aca="false">IF($D32="","",IFERROR(INDEX(ClientRates!$E$5:$E$500,MATCH($B32&amp;"|"&amp;$L32,ClientRates!$A$5:$A$500,0)),0))</f>
        <v>29.69</v>
      </c>
      <c r="O32" s="26" t="n">
        <f aca="false">IF($D32="","",F32*M32+G32*N32)</f>
        <v>5450.7</v>
      </c>
      <c r="P32" s="26" t="str">
        <f aca="false">IF(OR($D32="",$J32&lt;&gt;"Supplier"),"",IFERROR(INDEX(SupplierRates!$D$5:$D$500,MATCH($K32&amp;"|"&amp;$L32,SupplierRates!$A$5:$A$500,0)),0))</f>
        <v/>
      </c>
      <c r="Q32" s="26" t="str">
        <f aca="false">IF(OR($D32="",$J32&lt;&gt;"Supplier"),"",IFERROR(INDEX(SupplierRates!$E$5:$E$500,MATCH($K32&amp;"|"&amp;$L32,SupplierRates!$A$5:$A$500,0)),0))</f>
        <v/>
      </c>
      <c r="R32" s="26" t="n">
        <f aca="false">IF(OR($D32="",$J32&lt;&gt;"Supplier"),0,F32*P32+G32*Q32)</f>
        <v>0</v>
      </c>
      <c r="S32" s="26" t="n">
        <f aca="false">IF(OR($D32="",$J32&lt;&gt;"Own"),0,IFERROR((F32+G32*Settings!$B$13)*INDEX(Workers!$V$5:$V$2004,MATCH($D32,Workers!$A$5:$A$2004,0)),0))</f>
        <v>2648.07692307692</v>
      </c>
      <c r="T32" s="26" t="n">
        <f aca="false">IF($D32="","",O32-R32-S32)</f>
        <v>2802.62307692308</v>
      </c>
    </row>
    <row r="33" customFormat="false" ht="15" hidden="false" customHeight="false" outlineLevel="0" collapsed="false">
      <c r="A33" s="41" t="n">
        <v>46296</v>
      </c>
      <c r="B33" s="33" t="s">
        <v>172</v>
      </c>
      <c r="C33" s="33" t="s">
        <v>547</v>
      </c>
      <c r="D33" s="33" t="s">
        <v>368</v>
      </c>
      <c r="E33" s="33" t="n">
        <v>23</v>
      </c>
      <c r="F33" s="33" t="n">
        <v>184</v>
      </c>
      <c r="G33" s="33" t="n">
        <v>30</v>
      </c>
      <c r="H33" s="33" t="s">
        <v>544</v>
      </c>
      <c r="I33" s="24" t="str">
        <f aca="false">IF($D33="","",IFERROR(INDEX(Workers!$B$5:$B$2004,MATCH($D33,Workers!$A$5:$A$2004,0)),"NOT FOUND"))</f>
        <v>Bikash Thapa</v>
      </c>
      <c r="J33" s="24" t="str">
        <f aca="false">IF($D33="","",IFERROR(INDEX(Workers!$C$5:$C$2004,MATCH($D33,Workers!$A$5:$A$2004,0)),""))</f>
        <v>Own</v>
      </c>
      <c r="K33" s="24" t="str">
        <f aca="false">IF($D33="","",IFERROR(IF(INDEX(Workers!$D$5:$D$2004,MATCH($D33,Workers!$A$5:$A$2004,0))=0,"",INDEX(Workers!$D$5:$D$2004,MATCH($D33,Workers!$A$5:$A$2004,0))),""))</f>
        <v/>
      </c>
      <c r="L33" s="24" t="str">
        <f aca="false">IF($D33="","",IFERROR(INDEX(Workers!$E$5:$E$2004,MATCH($D33,Workers!$A$5:$A$2004,0)),""))</f>
        <v>Steel Fixer</v>
      </c>
      <c r="M33" s="26" t="n">
        <f aca="false">IF($D33="","",IFERROR(INDEX(ClientRates!$D$5:$D$500,MATCH($B33&amp;"|"&amp;$L33,ClientRates!$A$5:$A$500,0)),0))</f>
        <v>25.3</v>
      </c>
      <c r="N33" s="26" t="n">
        <f aca="false">IF($D33="","",IFERROR(INDEX(ClientRates!$E$5:$E$500,MATCH($B33&amp;"|"&amp;$L33,ClientRates!$A$5:$A$500,0)),0))</f>
        <v>31.62</v>
      </c>
      <c r="O33" s="26" t="n">
        <f aca="false">IF($D33="","",F33*M33+G33*N33)</f>
        <v>5603.8</v>
      </c>
      <c r="P33" s="26" t="str">
        <f aca="false">IF(OR($D33="",$J33&lt;&gt;"Supplier"),"",IFERROR(INDEX(SupplierRates!$D$5:$D$500,MATCH($K33&amp;"|"&amp;$L33,SupplierRates!$A$5:$A$500,0)),0))</f>
        <v/>
      </c>
      <c r="Q33" s="26" t="str">
        <f aca="false">IF(OR($D33="",$J33&lt;&gt;"Supplier"),"",IFERROR(INDEX(SupplierRates!$E$5:$E$500,MATCH($K33&amp;"|"&amp;$L33,SupplierRates!$A$5:$A$500,0)),0))</f>
        <v/>
      </c>
      <c r="R33" s="26" t="n">
        <f aca="false">IF(OR($D33="",$J33&lt;&gt;"Supplier"),0,F33*P33+G33*Q33)</f>
        <v>0</v>
      </c>
      <c r="S33" s="26" t="n">
        <f aca="false">IF(OR($D33="",$J33&lt;&gt;"Own"),0,IFERROR((F33+G33*Settings!$B$13)*INDEX(Workers!$V$5:$V$2004,MATCH($D33,Workers!$A$5:$A$2004,0)),0))</f>
        <v>3088.22115384615</v>
      </c>
      <c r="T33" s="26" t="n">
        <f aca="false">IF($D33="","",O33-R33-S33)</f>
        <v>2515.57884615385</v>
      </c>
    </row>
    <row r="34" customFormat="false" ht="15" hidden="false" customHeight="false" outlineLevel="0" collapsed="false">
      <c r="A34" s="41" t="n">
        <v>46296</v>
      </c>
      <c r="B34" s="33" t="s">
        <v>172</v>
      </c>
      <c r="C34" s="33" t="s">
        <v>543</v>
      </c>
      <c r="D34" s="33" t="s">
        <v>373</v>
      </c>
      <c r="E34" s="33" t="n">
        <v>23</v>
      </c>
      <c r="F34" s="33" t="n">
        <v>184</v>
      </c>
      <c r="G34" s="33" t="n">
        <v>20</v>
      </c>
      <c r="H34" s="33" t="s">
        <v>544</v>
      </c>
      <c r="I34" s="24" t="str">
        <f aca="false">IF($D34="","",IFERROR(INDEX(Workers!$B$5:$B$2004,MATCH($D34,Workers!$A$5:$A$2004,0)),"NOT FOUND"))</f>
        <v>Ronel Ahmed</v>
      </c>
      <c r="J34" s="24" t="str">
        <f aca="false">IF($D34="","",IFERROR(INDEX(Workers!$C$5:$C$2004,MATCH($D34,Workers!$A$5:$A$2004,0)),""))</f>
        <v>Own</v>
      </c>
      <c r="K34" s="24" t="str">
        <f aca="false">IF($D34="","",IFERROR(IF(INDEX(Workers!$D$5:$D$2004,MATCH($D34,Workers!$A$5:$A$2004,0))=0,"",INDEX(Workers!$D$5:$D$2004,MATCH($D34,Workers!$A$5:$A$2004,0))),""))</f>
        <v/>
      </c>
      <c r="L34" s="24" t="str">
        <f aca="false">IF($D34="","",IFERROR(INDEX(Workers!$E$5:$E$2004,MATCH($D34,Workers!$A$5:$A$2004,0)),""))</f>
        <v>Plumber</v>
      </c>
      <c r="M34" s="26" t="n">
        <f aca="false">IF($D34="","",IFERROR(INDEX(ClientRates!$D$5:$D$500,MATCH($B34&amp;"|"&amp;$L34,ClientRates!$A$5:$A$500,0)),0))</f>
        <v>27.5</v>
      </c>
      <c r="N34" s="26" t="n">
        <f aca="false">IF($D34="","",IFERROR(INDEX(ClientRates!$E$5:$E$500,MATCH($B34&amp;"|"&amp;$L34,ClientRates!$A$5:$A$500,0)),0))</f>
        <v>34.38</v>
      </c>
      <c r="O34" s="26" t="n">
        <f aca="false">IF($D34="","",F34*M34+G34*N34)</f>
        <v>5747.6</v>
      </c>
      <c r="P34" s="26" t="str">
        <f aca="false">IF(OR($D34="",$J34&lt;&gt;"Supplier"),"",IFERROR(INDEX(SupplierRates!$D$5:$D$500,MATCH($K34&amp;"|"&amp;$L34,SupplierRates!$A$5:$A$500,0)),0))</f>
        <v/>
      </c>
      <c r="Q34" s="26" t="str">
        <f aca="false">IF(OR($D34="",$J34&lt;&gt;"Supplier"),"",IFERROR(INDEX(SupplierRates!$E$5:$E$500,MATCH($K34&amp;"|"&amp;$L34,SupplierRates!$A$5:$A$500,0)),0))</f>
        <v/>
      </c>
      <c r="R34" s="26" t="n">
        <f aca="false">IF(OR($D34="",$J34&lt;&gt;"Supplier"),0,F34*P34+G34*Q34)</f>
        <v>0</v>
      </c>
      <c r="S34" s="26" t="n">
        <f aca="false">IF(OR($D34="",$J34&lt;&gt;"Own"),0,IFERROR((F34+G34*Settings!$B$13)*INDEX(Workers!$V$5:$V$2004,MATCH($D34,Workers!$A$5:$A$2004,0)),0))</f>
        <v>2311.05769230769</v>
      </c>
      <c r="T34" s="26" t="n">
        <f aca="false">IF($D34="","",O34-R34-S34)</f>
        <v>3436.54230769231</v>
      </c>
    </row>
    <row r="35" customFormat="false" ht="15" hidden="false" customHeight="false" outlineLevel="0" collapsed="false">
      <c r="A35" s="41" t="n">
        <v>46296</v>
      </c>
      <c r="B35" s="33" t="s">
        <v>166</v>
      </c>
      <c r="C35" s="33" t="s">
        <v>545</v>
      </c>
      <c r="D35" s="33" t="s">
        <v>378</v>
      </c>
      <c r="E35" s="33" t="n">
        <v>26</v>
      </c>
      <c r="F35" s="33" t="n">
        <v>208</v>
      </c>
      <c r="G35" s="33" t="n">
        <v>0</v>
      </c>
      <c r="H35" s="33" t="s">
        <v>546</v>
      </c>
      <c r="I35" s="24" t="str">
        <f aca="false">IF($D35="","",IFERROR(INDEX(Workers!$B$5:$B$2004,MATCH($D35,Workers!$A$5:$A$2004,0)),"NOT FOUND"))</f>
        <v>Anwar Kumar</v>
      </c>
      <c r="J35" s="24" t="str">
        <f aca="false">IF($D35="","",IFERROR(INDEX(Workers!$C$5:$C$2004,MATCH($D35,Workers!$A$5:$A$2004,0)),""))</f>
        <v>Own</v>
      </c>
      <c r="K35" s="24" t="str">
        <f aca="false">IF($D35="","",IFERROR(IF(INDEX(Workers!$D$5:$D$2004,MATCH($D35,Workers!$A$5:$A$2004,0))=0,"",INDEX(Workers!$D$5:$D$2004,MATCH($D35,Workers!$A$5:$A$2004,0))),""))</f>
        <v/>
      </c>
      <c r="L35" s="24" t="str">
        <f aca="false">IF($D35="","",IFERROR(INDEX(Workers!$E$5:$E$2004,MATCH($D35,Workers!$A$5:$A$2004,0)),""))</f>
        <v>Mason</v>
      </c>
      <c r="M35" s="26" t="n">
        <f aca="false">IF($D35="","",IFERROR(INDEX(ClientRates!$D$5:$D$500,MATCH($B35&amp;"|"&amp;$L35,ClientRates!$A$5:$A$500,0)),0))</f>
        <v>22</v>
      </c>
      <c r="N35" s="26" t="n">
        <f aca="false">IF($D35="","",IFERROR(INDEX(ClientRates!$E$5:$E$500,MATCH($B35&amp;"|"&amp;$L35,ClientRates!$A$5:$A$500,0)),0))</f>
        <v>27.5</v>
      </c>
      <c r="O35" s="26" t="n">
        <f aca="false">IF($D35="","",F35*M35+G35*N35)</f>
        <v>4576</v>
      </c>
      <c r="P35" s="26" t="str">
        <f aca="false">IF(OR($D35="",$J35&lt;&gt;"Supplier"),"",IFERROR(INDEX(SupplierRates!$D$5:$D$500,MATCH($K35&amp;"|"&amp;$L35,SupplierRates!$A$5:$A$500,0)),0))</f>
        <v/>
      </c>
      <c r="Q35" s="26" t="str">
        <f aca="false">IF(OR($D35="",$J35&lt;&gt;"Supplier"),"",IFERROR(INDEX(SupplierRates!$E$5:$E$500,MATCH($K35&amp;"|"&amp;$L35,SupplierRates!$A$5:$A$500,0)),0))</f>
        <v/>
      </c>
      <c r="R35" s="26" t="n">
        <f aca="false">IF(OR($D35="",$J35&lt;&gt;"Supplier"),0,F35*P35+G35*Q35)</f>
        <v>0</v>
      </c>
      <c r="S35" s="26" t="n">
        <f aca="false">IF(OR($D35="",$J35&lt;&gt;"Own"),0,IFERROR((F35+G35*Settings!$B$13)*INDEX(Workers!$V$5:$V$2004,MATCH($D35,Workers!$A$5:$A$2004,0)),0))</f>
        <v>2400</v>
      </c>
      <c r="T35" s="26" t="n">
        <f aca="false">IF($D35="","",O35-R35-S35)</f>
        <v>2176</v>
      </c>
    </row>
    <row r="36" customFormat="false" ht="15" hidden="false" customHeight="false" outlineLevel="0" collapsed="false">
      <c r="A36" s="41" t="n">
        <v>46296</v>
      </c>
      <c r="B36" s="33" t="s">
        <v>184</v>
      </c>
      <c r="C36" s="33" t="s">
        <v>553</v>
      </c>
      <c r="D36" s="33" t="s">
        <v>383</v>
      </c>
      <c r="E36" s="33" t="n">
        <v>23</v>
      </c>
      <c r="F36" s="33" t="n">
        <v>184</v>
      </c>
      <c r="G36" s="33" t="n">
        <v>26</v>
      </c>
      <c r="H36" s="33" t="s">
        <v>552</v>
      </c>
      <c r="I36" s="24" t="str">
        <f aca="false">IF($D36="","",IFERROR(INDEX(Workers!$B$5:$B$2004,MATCH($D36,Workers!$A$5:$A$2004,0)),"NOT FOUND"))</f>
        <v>Joseph Hossain</v>
      </c>
      <c r="J36" s="24" t="str">
        <f aca="false">IF($D36="","",IFERROR(INDEX(Workers!$C$5:$C$2004,MATCH($D36,Workers!$A$5:$A$2004,0)),""))</f>
        <v>Own</v>
      </c>
      <c r="K36" s="24" t="str">
        <f aca="false">IF($D36="","",IFERROR(IF(INDEX(Workers!$D$5:$D$2004,MATCH($D36,Workers!$A$5:$A$2004,0))=0,"",INDEX(Workers!$D$5:$D$2004,MATCH($D36,Workers!$A$5:$A$2004,0))),""))</f>
        <v/>
      </c>
      <c r="L36" s="24" t="str">
        <f aca="false">IF($D36="","",IFERROR(INDEX(Workers!$E$5:$E$2004,MATCH($D36,Workers!$A$5:$A$2004,0)),""))</f>
        <v>Carpenter</v>
      </c>
      <c r="M36" s="26" t="n">
        <f aca="false">IF($D36="","",IFERROR(INDEX(ClientRates!$D$5:$D$500,MATCH($B36&amp;"|"&amp;$L36,ClientRates!$A$5:$A$500,0)),0))</f>
        <v>23.1</v>
      </c>
      <c r="N36" s="26" t="n">
        <f aca="false">IF($D36="","",IFERROR(INDEX(ClientRates!$E$5:$E$500,MATCH($B36&amp;"|"&amp;$L36,ClientRates!$A$5:$A$500,0)),0))</f>
        <v>28.88</v>
      </c>
      <c r="O36" s="26" t="n">
        <f aca="false">IF($D36="","",F36*M36+G36*N36)</f>
        <v>5001.28</v>
      </c>
      <c r="P36" s="26" t="str">
        <f aca="false">IF(OR($D36="",$J36&lt;&gt;"Supplier"),"",IFERROR(INDEX(SupplierRates!$D$5:$D$500,MATCH($K36&amp;"|"&amp;$L36,SupplierRates!$A$5:$A$500,0)),0))</f>
        <v/>
      </c>
      <c r="Q36" s="26" t="str">
        <f aca="false">IF(OR($D36="",$J36&lt;&gt;"Supplier"),"",IFERROR(INDEX(SupplierRates!$E$5:$E$500,MATCH($K36&amp;"|"&amp;$L36,SupplierRates!$A$5:$A$500,0)),0))</f>
        <v/>
      </c>
      <c r="R36" s="26" t="n">
        <f aca="false">IF(OR($D36="",$J36&lt;&gt;"Supplier"),0,F36*P36+G36*Q36)</f>
        <v>0</v>
      </c>
      <c r="S36" s="26" t="n">
        <f aca="false">IF(OR($D36="",$J36&lt;&gt;"Own"),0,IFERROR((F36+G36*Settings!$B$13)*INDEX(Workers!$V$5:$V$2004,MATCH($D36,Workers!$A$5:$A$2004,0)),0))</f>
        <v>1873.55769230769</v>
      </c>
      <c r="T36" s="26" t="n">
        <f aca="false">IF($D36="","",O36-R36-S36)</f>
        <v>3127.72230769231</v>
      </c>
    </row>
    <row r="37" customFormat="false" ht="15" hidden="false" customHeight="false" outlineLevel="0" collapsed="false">
      <c r="A37" s="41" t="n">
        <v>46296</v>
      </c>
      <c r="B37" s="33" t="s">
        <v>166</v>
      </c>
      <c r="C37" s="33" t="s">
        <v>548</v>
      </c>
      <c r="D37" s="33" t="s">
        <v>388</v>
      </c>
      <c r="E37" s="33" t="n">
        <v>9</v>
      </c>
      <c r="F37" s="33" t="n">
        <v>72</v>
      </c>
      <c r="G37" s="33" t="n">
        <v>6</v>
      </c>
      <c r="H37" s="33" t="s">
        <v>546</v>
      </c>
      <c r="I37" s="24" t="str">
        <f aca="false">IF($D37="","",IFERROR(INDEX(Workers!$B$5:$B$2004,MATCH($D37,Workers!$A$5:$A$2004,0)),"NOT FOUND"))</f>
        <v>Asif Reyes</v>
      </c>
      <c r="J37" s="24" t="str">
        <f aca="false">IF($D37="","",IFERROR(INDEX(Workers!$C$5:$C$2004,MATCH($D37,Workers!$A$5:$A$2004,0)),""))</f>
        <v>Own</v>
      </c>
      <c r="K37" s="24" t="str">
        <f aca="false">IF($D37="","",IFERROR(IF(INDEX(Workers!$D$5:$D$2004,MATCH($D37,Workers!$A$5:$A$2004,0))=0,"",INDEX(Workers!$D$5:$D$2004,MATCH($D37,Workers!$A$5:$A$2004,0))),""))</f>
        <v/>
      </c>
      <c r="L37" s="24" t="str">
        <f aca="false">IF($D37="","",IFERROR(INDEX(Workers!$E$5:$E$2004,MATCH($D37,Workers!$A$5:$A$2004,0)),""))</f>
        <v>Cleaner</v>
      </c>
      <c r="M37" s="26" t="n">
        <f aca="false">IF($D37="","",IFERROR(INDEX(ClientRates!$D$5:$D$500,MATCH($B37&amp;"|"&amp;$L37,ClientRates!$A$5:$A$500,0)),0))</f>
        <v>15</v>
      </c>
      <c r="N37" s="26" t="n">
        <f aca="false">IF($D37="","",IFERROR(INDEX(ClientRates!$E$5:$E$500,MATCH($B37&amp;"|"&amp;$L37,ClientRates!$A$5:$A$500,0)),0))</f>
        <v>18.75</v>
      </c>
      <c r="O37" s="26" t="n">
        <f aca="false">IF($D37="","",F37*M37+G37*N37)</f>
        <v>1192.5</v>
      </c>
      <c r="P37" s="26" t="str">
        <f aca="false">IF(OR($D37="",$J37&lt;&gt;"Supplier"),"",IFERROR(INDEX(SupplierRates!$D$5:$D$500,MATCH($K37&amp;"|"&amp;$L37,SupplierRates!$A$5:$A$500,0)),0))</f>
        <v/>
      </c>
      <c r="Q37" s="26" t="str">
        <f aca="false">IF(OR($D37="",$J37&lt;&gt;"Supplier"),"",IFERROR(INDEX(SupplierRates!$E$5:$E$500,MATCH($K37&amp;"|"&amp;$L37,SupplierRates!$A$5:$A$500,0)),0))</f>
        <v/>
      </c>
      <c r="R37" s="26" t="n">
        <f aca="false">IF(OR($D37="",$J37&lt;&gt;"Supplier"),0,F37*P37+G37*Q37)</f>
        <v>0</v>
      </c>
      <c r="S37" s="26" t="n">
        <f aca="false">IF(OR($D37="",$J37&lt;&gt;"Own"),0,IFERROR((F37+G37*Settings!$B$13)*INDEX(Workers!$V$5:$V$2004,MATCH($D37,Workers!$A$5:$A$2004,0)),0))</f>
        <v>802.644230769231</v>
      </c>
      <c r="T37" s="26" t="n">
        <f aca="false">IF($D37="","",O37-R37-S37)</f>
        <v>389.855769230769</v>
      </c>
    </row>
    <row r="38" customFormat="false" ht="15" hidden="false" customHeight="false" outlineLevel="0" collapsed="false">
      <c r="A38" s="41" t="n">
        <v>46296</v>
      </c>
      <c r="B38" s="33" t="s">
        <v>178</v>
      </c>
      <c r="C38" s="33" t="s">
        <v>549</v>
      </c>
      <c r="D38" s="33" t="s">
        <v>388</v>
      </c>
      <c r="E38" s="33" t="n">
        <v>17</v>
      </c>
      <c r="F38" s="33" t="n">
        <v>136</v>
      </c>
      <c r="G38" s="33" t="n">
        <v>8</v>
      </c>
      <c r="H38" s="33" t="s">
        <v>550</v>
      </c>
      <c r="I38" s="24" t="str">
        <f aca="false">IF($D38="","",IFERROR(INDEX(Workers!$B$5:$B$2004,MATCH($D38,Workers!$A$5:$A$2004,0)),"NOT FOUND"))</f>
        <v>Asif Reyes</v>
      </c>
      <c r="J38" s="24" t="str">
        <f aca="false">IF($D38="","",IFERROR(INDEX(Workers!$C$5:$C$2004,MATCH($D38,Workers!$A$5:$A$2004,0)),""))</f>
        <v>Own</v>
      </c>
      <c r="K38" s="24" t="str">
        <f aca="false">IF($D38="","",IFERROR(IF(INDEX(Workers!$D$5:$D$2004,MATCH($D38,Workers!$A$5:$A$2004,0))=0,"",INDEX(Workers!$D$5:$D$2004,MATCH($D38,Workers!$A$5:$A$2004,0))),""))</f>
        <v/>
      </c>
      <c r="L38" s="24" t="str">
        <f aca="false">IF($D38="","",IFERROR(INDEX(Workers!$E$5:$E$2004,MATCH($D38,Workers!$A$5:$A$2004,0)),""))</f>
        <v>Cleaner</v>
      </c>
      <c r="M38" s="26" t="n">
        <f aca="false">IF($D38="","",IFERROR(INDEX(ClientRates!$D$5:$D$500,MATCH($B38&amp;"|"&amp;$L38,ClientRates!$A$5:$A$500,0)),0))</f>
        <v>14.25</v>
      </c>
      <c r="N38" s="26" t="n">
        <f aca="false">IF($D38="","",IFERROR(INDEX(ClientRates!$E$5:$E$500,MATCH($B38&amp;"|"&amp;$L38,ClientRates!$A$5:$A$500,0)),0))</f>
        <v>17.81</v>
      </c>
      <c r="O38" s="26" t="n">
        <f aca="false">IF($D38="","",F38*M38+G38*N38)</f>
        <v>2080.48</v>
      </c>
      <c r="P38" s="26" t="str">
        <f aca="false">IF(OR($D38="",$J38&lt;&gt;"Supplier"),"",IFERROR(INDEX(SupplierRates!$D$5:$D$500,MATCH($K38&amp;"|"&amp;$L38,SupplierRates!$A$5:$A$500,0)),0))</f>
        <v/>
      </c>
      <c r="Q38" s="26" t="str">
        <f aca="false">IF(OR($D38="",$J38&lt;&gt;"Supplier"),"",IFERROR(INDEX(SupplierRates!$E$5:$E$500,MATCH($K38&amp;"|"&amp;$L38,SupplierRates!$A$5:$A$500,0)),0))</f>
        <v/>
      </c>
      <c r="R38" s="26" t="n">
        <f aca="false">IF(OR($D38="",$J38&lt;&gt;"Supplier"),0,F38*P38+G38*Q38)</f>
        <v>0</v>
      </c>
      <c r="S38" s="26" t="n">
        <f aca="false">IF(OR($D38="",$J38&lt;&gt;"Own"),0,IFERROR((F38+G38*Settings!$B$13)*INDEX(Workers!$V$5:$V$2004,MATCH($D38,Workers!$A$5:$A$2004,0)),0))</f>
        <v>1474.03846153846</v>
      </c>
      <c r="T38" s="26" t="n">
        <f aca="false">IF($D38="","",O38-R38-S38)</f>
        <v>606.441538461538</v>
      </c>
    </row>
    <row r="39" customFormat="false" ht="15" hidden="false" customHeight="false" outlineLevel="0" collapsed="false">
      <c r="A39" s="41" t="n">
        <v>46296</v>
      </c>
      <c r="B39" s="33" t="s">
        <v>166</v>
      </c>
      <c r="C39" s="33" t="s">
        <v>548</v>
      </c>
      <c r="D39" s="33" t="s">
        <v>393</v>
      </c>
      <c r="E39" s="33" t="n">
        <v>25</v>
      </c>
      <c r="F39" s="33" t="n">
        <v>200</v>
      </c>
      <c r="G39" s="33" t="n">
        <v>26</v>
      </c>
      <c r="H39" s="33" t="s">
        <v>546</v>
      </c>
      <c r="I39" s="24" t="str">
        <f aca="false">IF($D39="","",IFERROR(INDEX(Workers!$B$5:$B$2004,MATCH($D39,Workers!$A$5:$A$2004,0)),"NOT FOUND"))</f>
        <v>Marlon Kumar</v>
      </c>
      <c r="J39" s="24" t="str">
        <f aca="false">IF($D39="","",IFERROR(INDEX(Workers!$C$5:$C$2004,MATCH($D39,Workers!$A$5:$A$2004,0)),""))</f>
        <v>Own</v>
      </c>
      <c r="K39" s="24" t="str">
        <f aca="false">IF($D39="","",IFERROR(IF(INDEX(Workers!$D$5:$D$2004,MATCH($D39,Workers!$A$5:$A$2004,0))=0,"",INDEX(Workers!$D$5:$D$2004,MATCH($D39,Workers!$A$5:$A$2004,0))),""))</f>
        <v/>
      </c>
      <c r="L39" s="24" t="str">
        <f aca="false">IF($D39="","",IFERROR(INDEX(Workers!$E$5:$E$2004,MATCH($D39,Workers!$A$5:$A$2004,0)),""))</f>
        <v>Mason</v>
      </c>
      <c r="M39" s="26" t="n">
        <f aca="false">IF($D39="","",IFERROR(INDEX(ClientRates!$D$5:$D$500,MATCH($B39&amp;"|"&amp;$L39,ClientRates!$A$5:$A$500,0)),0))</f>
        <v>22</v>
      </c>
      <c r="N39" s="26" t="n">
        <f aca="false">IF($D39="","",IFERROR(INDEX(ClientRates!$E$5:$E$500,MATCH($B39&amp;"|"&amp;$L39,ClientRates!$A$5:$A$500,0)),0))</f>
        <v>27.5</v>
      </c>
      <c r="O39" s="26" t="n">
        <f aca="false">IF($D39="","",F39*M39+G39*N39)</f>
        <v>5115</v>
      </c>
      <c r="P39" s="26" t="str">
        <f aca="false">IF(OR($D39="",$J39&lt;&gt;"Supplier"),"",IFERROR(INDEX(SupplierRates!$D$5:$D$500,MATCH($K39&amp;"|"&amp;$L39,SupplierRates!$A$5:$A$500,0)),0))</f>
        <v/>
      </c>
      <c r="Q39" s="26" t="str">
        <f aca="false">IF(OR($D39="",$J39&lt;&gt;"Supplier"),"",IFERROR(INDEX(SupplierRates!$E$5:$E$500,MATCH($K39&amp;"|"&amp;$L39,SupplierRates!$A$5:$A$500,0)),0))</f>
        <v/>
      </c>
      <c r="R39" s="26" t="n">
        <f aca="false">IF(OR($D39="",$J39&lt;&gt;"Supplier"),0,F39*P39+G39*Q39)</f>
        <v>0</v>
      </c>
      <c r="S39" s="26" t="n">
        <f aca="false">IF(OR($D39="",$J39&lt;&gt;"Own"),0,IFERROR((F39+G39*Settings!$B$13)*INDEX(Workers!$V$5:$V$2004,MATCH($D39,Workers!$A$5:$A$2004,0)),0))</f>
        <v>2794.47115384615</v>
      </c>
      <c r="T39" s="26" t="n">
        <f aca="false">IF($D39="","",O39-R39-S39)</f>
        <v>2320.52884615385</v>
      </c>
    </row>
    <row r="40" customFormat="false" ht="15" hidden="false" customHeight="false" outlineLevel="0" collapsed="false">
      <c r="A40" s="41" t="n">
        <v>46296</v>
      </c>
      <c r="B40" s="33" t="s">
        <v>184</v>
      </c>
      <c r="C40" s="33" t="s">
        <v>551</v>
      </c>
      <c r="D40" s="33" t="s">
        <v>398</v>
      </c>
      <c r="E40" s="33" t="n">
        <v>23</v>
      </c>
      <c r="F40" s="33" t="n">
        <v>184</v>
      </c>
      <c r="G40" s="33" t="n">
        <v>0</v>
      </c>
      <c r="H40" s="33" t="s">
        <v>552</v>
      </c>
      <c r="I40" s="24" t="str">
        <f aca="false">IF($D40="","",IFERROR(INDEX(Workers!$B$5:$B$2004,MATCH($D40,Workers!$A$5:$A$2004,0)),"NOT FOUND"))</f>
        <v>Sanjay Santos</v>
      </c>
      <c r="J40" s="24" t="str">
        <f aca="false">IF($D40="","",IFERROR(INDEX(Workers!$C$5:$C$2004,MATCH($D40,Workers!$A$5:$A$2004,0)),""))</f>
        <v>Own</v>
      </c>
      <c r="K40" s="24" t="str">
        <f aca="false">IF($D40="","",IFERROR(IF(INDEX(Workers!$D$5:$D$2004,MATCH($D40,Workers!$A$5:$A$2004,0))=0,"",INDEX(Workers!$D$5:$D$2004,MATCH($D40,Workers!$A$5:$A$2004,0))),""))</f>
        <v/>
      </c>
      <c r="L40" s="24" t="str">
        <f aca="false">IF($D40="","",IFERROR(INDEX(Workers!$E$5:$E$2004,MATCH($D40,Workers!$A$5:$A$2004,0)),""))</f>
        <v>Steel Fixer</v>
      </c>
      <c r="M40" s="26" t="n">
        <f aca="false">IF($D40="","",IFERROR(INDEX(ClientRates!$D$5:$D$500,MATCH($B40&amp;"|"&amp;$L40,ClientRates!$A$5:$A$500,0)),0))</f>
        <v>24.15</v>
      </c>
      <c r="N40" s="26" t="n">
        <f aca="false">IF($D40="","",IFERROR(INDEX(ClientRates!$E$5:$E$500,MATCH($B40&amp;"|"&amp;$L40,ClientRates!$A$5:$A$500,0)),0))</f>
        <v>30.19</v>
      </c>
      <c r="O40" s="26" t="n">
        <f aca="false">IF($D40="","",F40*M40+G40*N40)</f>
        <v>4443.6</v>
      </c>
      <c r="P40" s="26" t="str">
        <f aca="false">IF(OR($D40="",$J40&lt;&gt;"Supplier"),"",IFERROR(INDEX(SupplierRates!$D$5:$D$500,MATCH($K40&amp;"|"&amp;$L40,SupplierRates!$A$5:$A$500,0)),0))</f>
        <v/>
      </c>
      <c r="Q40" s="26" t="str">
        <f aca="false">IF(OR($D40="",$J40&lt;&gt;"Supplier"),"",IFERROR(INDEX(SupplierRates!$E$5:$E$500,MATCH($K40&amp;"|"&amp;$L40,SupplierRates!$A$5:$A$500,0)),0))</f>
        <v/>
      </c>
      <c r="R40" s="26" t="n">
        <f aca="false">IF(OR($D40="",$J40&lt;&gt;"Supplier"),0,F40*P40+G40*Q40)</f>
        <v>0</v>
      </c>
      <c r="S40" s="26" t="n">
        <f aca="false">IF(OR($D40="",$J40&lt;&gt;"Own"),0,IFERROR((F40+G40*Settings!$B$13)*INDEX(Workers!$V$5:$V$2004,MATCH($D40,Workers!$A$5:$A$2004,0)),0))</f>
        <v>2024</v>
      </c>
      <c r="T40" s="26" t="n">
        <f aca="false">IF($D40="","",O40-R40-S40)</f>
        <v>2419.6</v>
      </c>
    </row>
    <row r="41" customFormat="false" ht="15" hidden="false" customHeight="false" outlineLevel="0" collapsed="false">
      <c r="A41" s="41" t="n">
        <v>46296</v>
      </c>
      <c r="B41" s="33" t="s">
        <v>178</v>
      </c>
      <c r="C41" s="33" t="s">
        <v>549</v>
      </c>
      <c r="D41" s="33" t="s">
        <v>403</v>
      </c>
      <c r="E41" s="33" t="n">
        <v>25</v>
      </c>
      <c r="F41" s="33" t="n">
        <v>200</v>
      </c>
      <c r="G41" s="33" t="n">
        <v>26</v>
      </c>
      <c r="H41" s="33" t="s">
        <v>550</v>
      </c>
      <c r="I41" s="24" t="str">
        <f aca="false">IF($D41="","",IFERROR(INDEX(Workers!$B$5:$B$2004,MATCH($D41,Workers!$A$5:$A$2004,0)),"NOT FOUND"))</f>
        <v>Tariq Varghese</v>
      </c>
      <c r="J41" s="24" t="str">
        <f aca="false">IF($D41="","",IFERROR(INDEX(Workers!$C$5:$C$2004,MATCH($D41,Workers!$A$5:$A$2004,0)),""))</f>
        <v>Own</v>
      </c>
      <c r="K41" s="24" t="str">
        <f aca="false">IF($D41="","",IFERROR(IF(INDEX(Workers!$D$5:$D$2004,MATCH($D41,Workers!$A$5:$A$2004,0))=0,"",INDEX(Workers!$D$5:$D$2004,MATCH($D41,Workers!$A$5:$A$2004,0))),""))</f>
        <v/>
      </c>
      <c r="L41" s="24" t="str">
        <f aca="false">IF($D41="","",IFERROR(INDEX(Workers!$E$5:$E$2004,MATCH($D41,Workers!$A$5:$A$2004,0)),""))</f>
        <v>Steel Fixer</v>
      </c>
      <c r="M41" s="26" t="n">
        <f aca="false">IF($D41="","",IFERROR(INDEX(ClientRates!$D$5:$D$500,MATCH($B41&amp;"|"&amp;$L41,ClientRates!$A$5:$A$500,0)),0))</f>
        <v>21.85</v>
      </c>
      <c r="N41" s="26" t="n">
        <f aca="false">IF($D41="","",IFERROR(INDEX(ClientRates!$E$5:$E$500,MATCH($B41&amp;"|"&amp;$L41,ClientRates!$A$5:$A$500,0)),0))</f>
        <v>27.31</v>
      </c>
      <c r="O41" s="26" t="n">
        <f aca="false">IF($D41="","",F41*M41+G41*N41)</f>
        <v>5080.06</v>
      </c>
      <c r="P41" s="26" t="str">
        <f aca="false">IF(OR($D41="",$J41&lt;&gt;"Supplier"),"",IFERROR(INDEX(SupplierRates!$D$5:$D$500,MATCH($K41&amp;"|"&amp;$L41,SupplierRates!$A$5:$A$500,0)),0))</f>
        <v/>
      </c>
      <c r="Q41" s="26" t="str">
        <f aca="false">IF(OR($D41="",$J41&lt;&gt;"Supplier"),"",IFERROR(INDEX(SupplierRates!$E$5:$E$500,MATCH($K41&amp;"|"&amp;$L41,SupplierRates!$A$5:$A$500,0)),0))</f>
        <v/>
      </c>
      <c r="R41" s="26" t="n">
        <f aca="false">IF(OR($D41="",$J41&lt;&gt;"Supplier"),0,F41*P41+G41*Q41)</f>
        <v>0</v>
      </c>
      <c r="S41" s="26" t="n">
        <f aca="false">IF(OR($D41="",$J41&lt;&gt;"Own"),0,IFERROR((F41+G41*Settings!$B$13)*INDEX(Workers!$V$5:$V$2004,MATCH($D41,Workers!$A$5:$A$2004,0)),0))</f>
        <v>2682.69230769231</v>
      </c>
      <c r="T41" s="26" t="n">
        <f aca="false">IF($D41="","",O41-R41-S41)</f>
        <v>2397.36769230769</v>
      </c>
    </row>
    <row r="42" customFormat="false" ht="15" hidden="false" customHeight="false" outlineLevel="0" collapsed="false">
      <c r="A42" s="41" t="n">
        <v>46296</v>
      </c>
      <c r="B42" s="33" t="s">
        <v>178</v>
      </c>
      <c r="C42" s="33" t="s">
        <v>549</v>
      </c>
      <c r="D42" s="33" t="s">
        <v>407</v>
      </c>
      <c r="E42" s="33" t="n">
        <v>25</v>
      </c>
      <c r="F42" s="33" t="n">
        <v>200</v>
      </c>
      <c r="G42" s="33" t="n">
        <v>26</v>
      </c>
      <c r="H42" s="33" t="s">
        <v>550</v>
      </c>
      <c r="I42" s="24" t="str">
        <f aca="false">IF($D42="","",IFERROR(INDEX(Workers!$B$5:$B$2004,MATCH($D42,Workers!$A$5:$A$2004,0)),"NOT FOUND"))</f>
        <v>Anwar Thapa</v>
      </c>
      <c r="J42" s="24" t="str">
        <f aca="false">IF($D42="","",IFERROR(INDEX(Workers!$C$5:$C$2004,MATCH($D42,Workers!$A$5:$A$2004,0)),""))</f>
        <v>Own</v>
      </c>
      <c r="K42" s="24" t="str">
        <f aca="false">IF($D42="","",IFERROR(IF(INDEX(Workers!$D$5:$D$2004,MATCH($D42,Workers!$A$5:$A$2004,0))=0,"",INDEX(Workers!$D$5:$D$2004,MATCH($D42,Workers!$A$5:$A$2004,0))),""))</f>
        <v/>
      </c>
      <c r="L42" s="24" t="str">
        <f aca="false">IF($D42="","",IFERROR(INDEX(Workers!$E$5:$E$2004,MATCH($D42,Workers!$A$5:$A$2004,0)),""))</f>
        <v>Cleaner</v>
      </c>
      <c r="M42" s="26" t="n">
        <f aca="false">IF($D42="","",IFERROR(INDEX(ClientRates!$D$5:$D$500,MATCH($B42&amp;"|"&amp;$L42,ClientRates!$A$5:$A$500,0)),0))</f>
        <v>14.25</v>
      </c>
      <c r="N42" s="26" t="n">
        <f aca="false">IF($D42="","",IFERROR(INDEX(ClientRates!$E$5:$E$500,MATCH($B42&amp;"|"&amp;$L42,ClientRates!$A$5:$A$500,0)),0))</f>
        <v>17.81</v>
      </c>
      <c r="O42" s="26" t="n">
        <f aca="false">IF($D42="","",F42*M42+G42*N42)</f>
        <v>3313.06</v>
      </c>
      <c r="P42" s="26" t="str">
        <f aca="false">IF(OR($D42="",$J42&lt;&gt;"Supplier"),"",IFERROR(INDEX(SupplierRates!$D$5:$D$500,MATCH($K42&amp;"|"&amp;$L42,SupplierRates!$A$5:$A$500,0)),0))</f>
        <v/>
      </c>
      <c r="Q42" s="26" t="str">
        <f aca="false">IF(OR($D42="",$J42&lt;&gt;"Supplier"),"",IFERROR(INDEX(SupplierRates!$E$5:$E$500,MATCH($K42&amp;"|"&amp;$L42,SupplierRates!$A$5:$A$500,0)),0))</f>
        <v/>
      </c>
      <c r="R42" s="26" t="n">
        <f aca="false">IF(OR($D42="",$J42&lt;&gt;"Supplier"),0,F42*P42+G42*Q42)</f>
        <v>0</v>
      </c>
      <c r="S42" s="26" t="n">
        <f aca="false">IF(OR($D42="",$J42&lt;&gt;"Own"),0,IFERROR((F42+G42*Settings!$B$13)*INDEX(Workers!$V$5:$V$2004,MATCH($D42,Workers!$A$5:$A$2004,0)),0))</f>
        <v>1676.68269230769</v>
      </c>
      <c r="T42" s="26" t="n">
        <f aca="false">IF($D42="","",O42-R42-S42)</f>
        <v>1636.37730769231</v>
      </c>
    </row>
    <row r="43" customFormat="false" ht="15" hidden="false" customHeight="false" outlineLevel="0" collapsed="false">
      <c r="A43" s="41" t="n">
        <v>46296</v>
      </c>
      <c r="B43" s="33" t="s">
        <v>166</v>
      </c>
      <c r="C43" s="33" t="s">
        <v>548</v>
      </c>
      <c r="D43" s="33" t="s">
        <v>412</v>
      </c>
      <c r="E43" s="33" t="n">
        <v>23</v>
      </c>
      <c r="F43" s="33" t="n">
        <v>184</v>
      </c>
      <c r="G43" s="33" t="n">
        <v>0</v>
      </c>
      <c r="H43" s="33" t="s">
        <v>546</v>
      </c>
      <c r="I43" s="24" t="str">
        <f aca="false">IF($D43="","",IFERROR(INDEX(Workers!$B$5:$B$2004,MATCH($D43,Workers!$A$5:$A$2004,0)),"NOT FOUND"))</f>
        <v>Bikash Shrestha</v>
      </c>
      <c r="J43" s="24" t="str">
        <f aca="false">IF($D43="","",IFERROR(INDEX(Workers!$C$5:$C$2004,MATCH($D43,Workers!$A$5:$A$2004,0)),""))</f>
        <v>Own</v>
      </c>
      <c r="K43" s="24" t="str">
        <f aca="false">IF($D43="","",IFERROR(IF(INDEX(Workers!$D$5:$D$2004,MATCH($D43,Workers!$A$5:$A$2004,0))=0,"",INDEX(Workers!$D$5:$D$2004,MATCH($D43,Workers!$A$5:$A$2004,0))),""))</f>
        <v/>
      </c>
      <c r="L43" s="24" t="str">
        <f aca="false">IF($D43="","",IFERROR(INDEX(Workers!$E$5:$E$2004,MATCH($D43,Workers!$A$5:$A$2004,0)),""))</f>
        <v>Plumber</v>
      </c>
      <c r="M43" s="26" t="n">
        <f aca="false">IF($D43="","",IFERROR(INDEX(ClientRates!$D$5:$D$500,MATCH($B43&amp;"|"&amp;$L43,ClientRates!$A$5:$A$500,0)),0))</f>
        <v>25</v>
      </c>
      <c r="N43" s="26" t="n">
        <f aca="false">IF($D43="","",IFERROR(INDEX(ClientRates!$E$5:$E$500,MATCH($B43&amp;"|"&amp;$L43,ClientRates!$A$5:$A$500,0)),0))</f>
        <v>31.25</v>
      </c>
      <c r="O43" s="26" t="n">
        <f aca="false">IF($D43="","",F43*M43+G43*N43)</f>
        <v>4600</v>
      </c>
      <c r="P43" s="26" t="str">
        <f aca="false">IF(OR($D43="",$J43&lt;&gt;"Supplier"),"",IFERROR(INDEX(SupplierRates!$D$5:$D$500,MATCH($K43&amp;"|"&amp;$L43,SupplierRates!$A$5:$A$500,0)),0))</f>
        <v/>
      </c>
      <c r="Q43" s="26" t="str">
        <f aca="false">IF(OR($D43="",$J43&lt;&gt;"Supplier"),"",IFERROR(INDEX(SupplierRates!$E$5:$E$500,MATCH($K43&amp;"|"&amp;$L43,SupplierRates!$A$5:$A$500,0)),0))</f>
        <v/>
      </c>
      <c r="R43" s="26" t="n">
        <f aca="false">IF(OR($D43="",$J43&lt;&gt;"Supplier"),0,F43*P43+G43*Q43)</f>
        <v>0</v>
      </c>
      <c r="S43" s="26" t="n">
        <f aca="false">IF(OR($D43="",$J43&lt;&gt;"Own"),0,IFERROR((F43+G43*Settings!$B$13)*INDEX(Workers!$V$5:$V$2004,MATCH($D43,Workers!$A$5:$A$2004,0)),0))</f>
        <v>2034.61538461538</v>
      </c>
      <c r="T43" s="26" t="n">
        <f aca="false">IF($D43="","",O43-R43-S43)</f>
        <v>2565.38461538462</v>
      </c>
    </row>
    <row r="44" customFormat="false" ht="15" hidden="false" customHeight="false" outlineLevel="0" collapsed="false">
      <c r="A44" s="41" t="n">
        <v>46296</v>
      </c>
      <c r="B44" s="33" t="s">
        <v>166</v>
      </c>
      <c r="C44" s="33" t="s">
        <v>548</v>
      </c>
      <c r="D44" s="33" t="s">
        <v>417</v>
      </c>
      <c r="E44" s="33" t="n">
        <v>24</v>
      </c>
      <c r="F44" s="33" t="n">
        <v>192</v>
      </c>
      <c r="G44" s="33" t="n">
        <v>20</v>
      </c>
      <c r="H44" s="33" t="s">
        <v>546</v>
      </c>
      <c r="I44" s="24" t="str">
        <f aca="false">IF($D44="","",IFERROR(INDEX(Workers!$B$5:$B$2004,MATCH($D44,Workers!$A$5:$A$2004,0)),"NOT FOUND"))</f>
        <v>Dinesh Ahmed</v>
      </c>
      <c r="J44" s="24" t="str">
        <f aca="false">IF($D44="","",IFERROR(INDEX(Workers!$C$5:$C$2004,MATCH($D44,Workers!$A$5:$A$2004,0)),""))</f>
        <v>Own</v>
      </c>
      <c r="K44" s="24" t="str">
        <f aca="false">IF($D44="","",IFERROR(IF(INDEX(Workers!$D$5:$D$2004,MATCH($D44,Workers!$A$5:$A$2004,0))=0,"",INDEX(Workers!$D$5:$D$2004,MATCH($D44,Workers!$A$5:$A$2004,0))),""))</f>
        <v/>
      </c>
      <c r="L44" s="24" t="str">
        <f aca="false">IF($D44="","",IFERROR(INDEX(Workers!$E$5:$E$2004,MATCH($D44,Workers!$A$5:$A$2004,0)),""))</f>
        <v>Mason</v>
      </c>
      <c r="M44" s="26" t="n">
        <f aca="false">IF($D44="","",IFERROR(INDEX(ClientRates!$D$5:$D$500,MATCH($B44&amp;"|"&amp;$L44,ClientRates!$A$5:$A$500,0)),0))</f>
        <v>22</v>
      </c>
      <c r="N44" s="26" t="n">
        <f aca="false">IF($D44="","",IFERROR(INDEX(ClientRates!$E$5:$E$500,MATCH($B44&amp;"|"&amp;$L44,ClientRates!$A$5:$A$500,0)),0))</f>
        <v>27.5</v>
      </c>
      <c r="O44" s="26" t="n">
        <f aca="false">IF($D44="","",F44*M44+G44*N44)</f>
        <v>4774</v>
      </c>
      <c r="P44" s="26" t="str">
        <f aca="false">IF(OR($D44="",$J44&lt;&gt;"Supplier"),"",IFERROR(INDEX(SupplierRates!$D$5:$D$500,MATCH($K44&amp;"|"&amp;$L44,SupplierRates!$A$5:$A$500,0)),0))</f>
        <v/>
      </c>
      <c r="Q44" s="26" t="str">
        <f aca="false">IF(OR($D44="",$J44&lt;&gt;"Supplier"),"",IFERROR(INDEX(SupplierRates!$E$5:$E$500,MATCH($K44&amp;"|"&amp;$L44,SupplierRates!$A$5:$A$500,0)),0))</f>
        <v/>
      </c>
      <c r="R44" s="26" t="n">
        <f aca="false">IF(OR($D44="",$J44&lt;&gt;"Supplier"),0,F44*P44+G44*Q44)</f>
        <v>0</v>
      </c>
      <c r="S44" s="26" t="n">
        <f aca="false">IF(OR($D44="",$J44&lt;&gt;"Own"),0,IFERROR((F44+G44*Settings!$B$13)*INDEX(Workers!$V$5:$V$2004,MATCH($D44,Workers!$A$5:$A$2004,0)),0))</f>
        <v>1773.55769230769</v>
      </c>
      <c r="T44" s="26" t="n">
        <f aca="false">IF($D44="","",O44-R44-S44)</f>
        <v>3000.44230769231</v>
      </c>
    </row>
    <row r="45" customFormat="false" ht="15" hidden="false" customHeight="false" outlineLevel="0" collapsed="false">
      <c r="A45" s="41" t="n">
        <v>46296</v>
      </c>
      <c r="B45" s="33" t="s">
        <v>184</v>
      </c>
      <c r="C45" s="33" t="s">
        <v>551</v>
      </c>
      <c r="D45" s="33" t="s">
        <v>422</v>
      </c>
      <c r="E45" s="33" t="n">
        <v>25</v>
      </c>
      <c r="F45" s="33" t="n">
        <v>200</v>
      </c>
      <c r="G45" s="33" t="n">
        <v>0</v>
      </c>
      <c r="H45" s="33" t="s">
        <v>552</v>
      </c>
      <c r="I45" s="24" t="str">
        <f aca="false">IF($D45="","",IFERROR(INDEX(Workers!$B$5:$B$2004,MATCH($D45,Workers!$A$5:$A$2004,0)),"NOT FOUND"))</f>
        <v>Sanjay Varghese</v>
      </c>
      <c r="J45" s="24" t="str">
        <f aca="false">IF($D45="","",IFERROR(INDEX(Workers!$C$5:$C$2004,MATCH($D45,Workers!$A$5:$A$2004,0)),""))</f>
        <v>Own</v>
      </c>
      <c r="K45" s="24" t="str">
        <f aca="false">IF($D45="","",IFERROR(IF(INDEX(Workers!$D$5:$D$2004,MATCH($D45,Workers!$A$5:$A$2004,0))=0,"",INDEX(Workers!$D$5:$D$2004,MATCH($D45,Workers!$A$5:$A$2004,0))),""))</f>
        <v/>
      </c>
      <c r="L45" s="24" t="str">
        <f aca="false">IF($D45="","",IFERROR(INDEX(Workers!$E$5:$E$2004,MATCH($D45,Workers!$A$5:$A$2004,0)),""))</f>
        <v>Plumber</v>
      </c>
      <c r="M45" s="26" t="n">
        <f aca="false">IF($D45="","",IFERROR(INDEX(ClientRates!$D$5:$D$500,MATCH($B45&amp;"|"&amp;$L45,ClientRates!$A$5:$A$500,0)),0))</f>
        <v>26.25</v>
      </c>
      <c r="N45" s="26" t="n">
        <f aca="false">IF($D45="","",IFERROR(INDEX(ClientRates!$E$5:$E$500,MATCH($B45&amp;"|"&amp;$L45,ClientRates!$A$5:$A$500,0)),0))</f>
        <v>32.81</v>
      </c>
      <c r="O45" s="26" t="n">
        <f aca="false">IF($D45="","",F45*M45+G45*N45)</f>
        <v>5250</v>
      </c>
      <c r="P45" s="26" t="str">
        <f aca="false">IF(OR($D45="",$J45&lt;&gt;"Supplier"),"",IFERROR(INDEX(SupplierRates!$D$5:$D$500,MATCH($K45&amp;"|"&amp;$L45,SupplierRates!$A$5:$A$500,0)),0))</f>
        <v/>
      </c>
      <c r="Q45" s="26" t="str">
        <f aca="false">IF(OR($D45="",$J45&lt;&gt;"Supplier"),"",IFERROR(INDEX(SupplierRates!$E$5:$E$500,MATCH($K45&amp;"|"&amp;$L45,SupplierRates!$A$5:$A$500,0)),0))</f>
        <v/>
      </c>
      <c r="R45" s="26" t="n">
        <f aca="false">IF(OR($D45="",$J45&lt;&gt;"Supplier"),0,F45*P45+G45*Q45)</f>
        <v>0</v>
      </c>
      <c r="S45" s="26" t="n">
        <f aca="false">IF(OR($D45="",$J45&lt;&gt;"Own"),0,IFERROR((F45+G45*Settings!$B$13)*INDEX(Workers!$V$5:$V$2004,MATCH($D45,Workers!$A$5:$A$2004,0)),0))</f>
        <v>2884.61538461538</v>
      </c>
      <c r="T45" s="26" t="n">
        <f aca="false">IF($D45="","",O45-R45-S45)</f>
        <v>2365.38461538462</v>
      </c>
    </row>
    <row r="46" customFormat="false" ht="15" hidden="false" customHeight="false" outlineLevel="0" collapsed="false">
      <c r="A46" s="41" t="n">
        <v>46296</v>
      </c>
      <c r="B46" s="33" t="s">
        <v>172</v>
      </c>
      <c r="C46" s="33" t="s">
        <v>547</v>
      </c>
      <c r="D46" s="33" t="s">
        <v>427</v>
      </c>
      <c r="E46" s="33" t="n">
        <v>25</v>
      </c>
      <c r="F46" s="33" t="n">
        <v>200</v>
      </c>
      <c r="G46" s="33" t="n">
        <v>0</v>
      </c>
      <c r="H46" s="33" t="s">
        <v>544</v>
      </c>
      <c r="I46" s="24" t="str">
        <f aca="false">IF($D46="","",IFERROR(INDEX(Workers!$B$5:$B$2004,MATCH($D46,Workers!$A$5:$A$2004,0)),"NOT FOUND"))</f>
        <v>Bikash Gurung</v>
      </c>
      <c r="J46" s="24" t="str">
        <f aca="false">IF($D46="","",IFERROR(INDEX(Workers!$C$5:$C$2004,MATCH($D46,Workers!$A$5:$A$2004,0)),""))</f>
        <v>Own</v>
      </c>
      <c r="K46" s="24" t="str">
        <f aca="false">IF($D46="","",IFERROR(IF(INDEX(Workers!$D$5:$D$2004,MATCH($D46,Workers!$A$5:$A$2004,0))=0,"",INDEX(Workers!$D$5:$D$2004,MATCH($D46,Workers!$A$5:$A$2004,0))),""))</f>
        <v/>
      </c>
      <c r="L46" s="24" t="str">
        <f aca="false">IF($D46="","",IFERROR(INDEX(Workers!$E$5:$E$2004,MATCH($D46,Workers!$A$5:$A$2004,0)),""))</f>
        <v>Cleaner</v>
      </c>
      <c r="M46" s="26" t="n">
        <f aca="false">IF($D46="","",IFERROR(INDEX(ClientRates!$D$5:$D$500,MATCH($B46&amp;"|"&amp;$L46,ClientRates!$A$5:$A$500,0)),0))</f>
        <v>16.5</v>
      </c>
      <c r="N46" s="26" t="n">
        <f aca="false">IF($D46="","",IFERROR(INDEX(ClientRates!$E$5:$E$500,MATCH($B46&amp;"|"&amp;$L46,ClientRates!$A$5:$A$500,0)),0))</f>
        <v>20.62</v>
      </c>
      <c r="O46" s="26" t="n">
        <f aca="false">IF($D46="","",F46*M46+G46*N46)</f>
        <v>3300</v>
      </c>
      <c r="P46" s="26" t="str">
        <f aca="false">IF(OR($D46="",$J46&lt;&gt;"Supplier"),"",IFERROR(INDEX(SupplierRates!$D$5:$D$500,MATCH($K46&amp;"|"&amp;$L46,SupplierRates!$A$5:$A$500,0)),0))</f>
        <v/>
      </c>
      <c r="Q46" s="26" t="str">
        <f aca="false">IF(OR($D46="",$J46&lt;&gt;"Supplier"),"",IFERROR(INDEX(SupplierRates!$E$5:$E$500,MATCH($K46&amp;"|"&amp;$L46,SupplierRates!$A$5:$A$500,0)),0))</f>
        <v/>
      </c>
      <c r="R46" s="26" t="n">
        <f aca="false">IF(OR($D46="",$J46&lt;&gt;"Supplier"),0,F46*P46+G46*Q46)</f>
        <v>0</v>
      </c>
      <c r="S46" s="26" t="n">
        <f aca="false">IF(OR($D46="",$J46&lt;&gt;"Own"),0,IFERROR((F46+G46*Settings!$B$13)*INDEX(Workers!$V$5:$V$2004,MATCH($D46,Workers!$A$5:$A$2004,0)),0))</f>
        <v>1923.07692307692</v>
      </c>
      <c r="T46" s="26" t="n">
        <f aca="false">IF($D46="","",O46-R46-S46)</f>
        <v>1376.92307692308</v>
      </c>
    </row>
    <row r="47" customFormat="false" ht="15" hidden="false" customHeight="false" outlineLevel="0" collapsed="false">
      <c r="A47" s="41" t="n">
        <v>46296</v>
      </c>
      <c r="B47" s="33" t="s">
        <v>178</v>
      </c>
      <c r="C47" s="33" t="s">
        <v>549</v>
      </c>
      <c r="D47" s="33" t="s">
        <v>432</v>
      </c>
      <c r="E47" s="33" t="n">
        <v>24</v>
      </c>
      <c r="F47" s="33" t="n">
        <v>192</v>
      </c>
      <c r="G47" s="33" t="n">
        <v>10</v>
      </c>
      <c r="H47" s="33" t="s">
        <v>550</v>
      </c>
      <c r="I47" s="24" t="str">
        <f aca="false">IF($D47="","",IFERROR(INDEX(Workers!$B$5:$B$2004,MATCH($D47,Workers!$A$5:$A$2004,0)),"NOT FOUND"))</f>
        <v>Bikash Nair</v>
      </c>
      <c r="J47" s="24" t="str">
        <f aca="false">IF($D47="","",IFERROR(INDEX(Workers!$C$5:$C$2004,MATCH($D47,Workers!$A$5:$A$2004,0)),""))</f>
        <v>Own</v>
      </c>
      <c r="K47" s="24" t="str">
        <f aca="false">IF($D47="","",IFERROR(IF(INDEX(Workers!$D$5:$D$2004,MATCH($D47,Workers!$A$5:$A$2004,0))=0,"",INDEX(Workers!$D$5:$D$2004,MATCH($D47,Workers!$A$5:$A$2004,0))),""))</f>
        <v/>
      </c>
      <c r="L47" s="24" t="str">
        <f aca="false">IF($D47="","",IFERROR(INDEX(Workers!$E$5:$E$2004,MATCH($D47,Workers!$A$5:$A$2004,0)),""))</f>
        <v>Driver</v>
      </c>
      <c r="M47" s="26" t="n">
        <f aca="false">IF($D47="","",IFERROR(INDEX(ClientRates!$D$5:$D$500,MATCH($B47&amp;"|"&amp;$L47,ClientRates!$A$5:$A$500,0)),0))</f>
        <v>22.8</v>
      </c>
      <c r="N47" s="26" t="n">
        <f aca="false">IF($D47="","",IFERROR(INDEX(ClientRates!$E$5:$E$500,MATCH($B47&amp;"|"&amp;$L47,ClientRates!$A$5:$A$500,0)),0))</f>
        <v>28.5</v>
      </c>
      <c r="O47" s="26" t="n">
        <f aca="false">IF($D47="","",F47*M47+G47*N47)</f>
        <v>4662.6</v>
      </c>
      <c r="P47" s="26" t="str">
        <f aca="false">IF(OR($D47="",$J47&lt;&gt;"Supplier"),"",IFERROR(INDEX(SupplierRates!$D$5:$D$500,MATCH($K47&amp;"|"&amp;$L47,SupplierRates!$A$5:$A$500,0)),0))</f>
        <v/>
      </c>
      <c r="Q47" s="26" t="str">
        <f aca="false">IF(OR($D47="",$J47&lt;&gt;"Supplier"),"",IFERROR(INDEX(SupplierRates!$E$5:$E$500,MATCH($K47&amp;"|"&amp;$L47,SupplierRates!$A$5:$A$500,0)),0))</f>
        <v/>
      </c>
      <c r="R47" s="26" t="n">
        <f aca="false">IF(OR($D47="",$J47&lt;&gt;"Supplier"),0,F47*P47+G47*Q47)</f>
        <v>0</v>
      </c>
      <c r="S47" s="26" t="n">
        <f aca="false">IF(OR($D47="",$J47&lt;&gt;"Own"),0,IFERROR((F47+G47*Settings!$B$13)*INDEX(Workers!$V$5:$V$2004,MATCH($D47,Workers!$A$5:$A$2004,0)),0))</f>
        <v>2851.20192307692</v>
      </c>
      <c r="T47" s="26" t="n">
        <f aca="false">IF($D47="","",O47-R47-S47)</f>
        <v>1811.39807692308</v>
      </c>
    </row>
    <row r="48" customFormat="false" ht="15" hidden="false" customHeight="false" outlineLevel="0" collapsed="false">
      <c r="A48" s="41" t="n">
        <v>46296</v>
      </c>
      <c r="B48" s="33" t="s">
        <v>184</v>
      </c>
      <c r="C48" s="33" t="s">
        <v>551</v>
      </c>
      <c r="D48" s="33" t="s">
        <v>437</v>
      </c>
      <c r="E48" s="33" t="n">
        <v>24</v>
      </c>
      <c r="F48" s="33" t="n">
        <v>192</v>
      </c>
      <c r="G48" s="33" t="n">
        <v>30</v>
      </c>
      <c r="H48" s="33" t="s">
        <v>552</v>
      </c>
      <c r="I48" s="24" t="str">
        <f aca="false">IF($D48="","",IFERROR(INDEX(Workers!$B$5:$B$2004,MATCH($D48,Workers!$A$5:$A$2004,0)),"NOT FOUND"))</f>
        <v>Sanjay Reyes</v>
      </c>
      <c r="J48" s="24" t="str">
        <f aca="false">IF($D48="","",IFERROR(INDEX(Workers!$C$5:$C$2004,MATCH($D48,Workers!$A$5:$A$2004,0)),""))</f>
        <v>Own</v>
      </c>
      <c r="K48" s="24" t="str">
        <f aca="false">IF($D48="","",IFERROR(IF(INDEX(Workers!$D$5:$D$2004,MATCH($D48,Workers!$A$5:$A$2004,0))=0,"",INDEX(Workers!$D$5:$D$2004,MATCH($D48,Workers!$A$5:$A$2004,0))),""))</f>
        <v/>
      </c>
      <c r="L48" s="24" t="str">
        <f aca="false">IF($D48="","",IFERROR(INDEX(Workers!$E$5:$E$2004,MATCH($D48,Workers!$A$5:$A$2004,0)),""))</f>
        <v>Helper</v>
      </c>
      <c r="M48" s="26" t="n">
        <f aca="false">IF($D48="","",IFERROR(INDEX(ClientRates!$D$5:$D$500,MATCH($B48&amp;"|"&amp;$L48,ClientRates!$A$5:$A$500,0)),0))</f>
        <v>16.8</v>
      </c>
      <c r="N48" s="26" t="n">
        <f aca="false">IF($D48="","",IFERROR(INDEX(ClientRates!$E$5:$E$500,MATCH($B48&amp;"|"&amp;$L48,ClientRates!$A$5:$A$500,0)),0))</f>
        <v>21</v>
      </c>
      <c r="O48" s="26" t="n">
        <f aca="false">IF($D48="","",F48*M48+G48*N48)</f>
        <v>3855.6</v>
      </c>
      <c r="P48" s="26" t="str">
        <f aca="false">IF(OR($D48="",$J48&lt;&gt;"Supplier"),"",IFERROR(INDEX(SupplierRates!$D$5:$D$500,MATCH($K48&amp;"|"&amp;$L48,SupplierRates!$A$5:$A$500,0)),0))</f>
        <v/>
      </c>
      <c r="Q48" s="26" t="str">
        <f aca="false">IF(OR($D48="",$J48&lt;&gt;"Supplier"),"",IFERROR(INDEX(SupplierRates!$E$5:$E$500,MATCH($K48&amp;"|"&amp;$L48,SupplierRates!$A$5:$A$500,0)),0))</f>
        <v/>
      </c>
      <c r="R48" s="26" t="n">
        <f aca="false">IF(OR($D48="",$J48&lt;&gt;"Supplier"),0,F48*P48+G48*Q48)</f>
        <v>0</v>
      </c>
      <c r="S48" s="26" t="n">
        <f aca="false">IF(OR($D48="",$J48&lt;&gt;"Own"),0,IFERROR((F48+G48*Settings!$B$13)*INDEX(Workers!$V$5:$V$2004,MATCH($D48,Workers!$A$5:$A$2004,0)),0))</f>
        <v>2295</v>
      </c>
      <c r="T48" s="26" t="n">
        <f aca="false">IF($D48="","",O48-R48-S48)</f>
        <v>1560.6</v>
      </c>
    </row>
    <row r="49" customFormat="false" ht="15" hidden="false" customHeight="false" outlineLevel="0" collapsed="false">
      <c r="A49" s="41" t="n">
        <v>46296</v>
      </c>
      <c r="B49" s="33" t="s">
        <v>178</v>
      </c>
      <c r="C49" s="33" t="s">
        <v>549</v>
      </c>
      <c r="D49" s="33" t="s">
        <v>442</v>
      </c>
      <c r="E49" s="33" t="n">
        <v>24</v>
      </c>
      <c r="F49" s="33" t="n">
        <v>192</v>
      </c>
      <c r="G49" s="33" t="n">
        <v>30</v>
      </c>
      <c r="H49" s="33" t="s">
        <v>550</v>
      </c>
      <c r="I49" s="24" t="str">
        <f aca="false">IF($D49="","",IFERROR(INDEX(Workers!$B$5:$B$2004,MATCH($D49,Workers!$A$5:$A$2004,0)),"NOT FOUND"))</f>
        <v>Anwar Gurung</v>
      </c>
      <c r="J49" s="24" t="str">
        <f aca="false">IF($D49="","",IFERROR(INDEX(Workers!$C$5:$C$2004,MATCH($D49,Workers!$A$5:$A$2004,0)),""))</f>
        <v>Supplier</v>
      </c>
      <c r="K49" s="24" t="str">
        <f aca="false">IF($D49="","",IFERROR(IF(INDEX(Workers!$D$5:$D$2004,MATCH($D49,Workers!$A$5:$A$2004,0))=0,"",INDEX(Workers!$D$5:$D$2004,MATCH($D49,Workers!$A$5:$A$2004,0))),""))</f>
        <v>S001</v>
      </c>
      <c r="L49" s="24" t="str">
        <f aca="false">IF($D49="","",IFERROR(INDEX(Workers!$E$5:$E$2004,MATCH($D49,Workers!$A$5:$A$2004,0)),""))</f>
        <v>Carpenter</v>
      </c>
      <c r="M49" s="26" t="n">
        <f aca="false">IF($D49="","",IFERROR(INDEX(ClientRates!$D$5:$D$500,MATCH($B49&amp;"|"&amp;$L49,ClientRates!$A$5:$A$500,0)),0))</f>
        <v>20.9</v>
      </c>
      <c r="N49" s="26" t="n">
        <f aca="false">IF($D49="","",IFERROR(INDEX(ClientRates!$E$5:$E$500,MATCH($B49&amp;"|"&amp;$L49,ClientRates!$A$5:$A$500,0)),0))</f>
        <v>26.12</v>
      </c>
      <c r="O49" s="26" t="n">
        <f aca="false">IF($D49="","",F49*M49+G49*N49)</f>
        <v>4796.4</v>
      </c>
      <c r="P49" s="26" t="n">
        <f aca="false">IF(OR($D49="",$J49&lt;&gt;"Supplier"),"",IFERROR(INDEX(SupplierRates!$D$5:$D$500,MATCH($K49&amp;"|"&amp;$L49,SupplierRates!$A$5:$A$500,0)),0))</f>
        <v>15.84</v>
      </c>
      <c r="Q49" s="26" t="n">
        <f aca="false">IF(OR($D49="",$J49&lt;&gt;"Supplier"),"",IFERROR(INDEX(SupplierRates!$E$5:$E$500,MATCH($K49&amp;"|"&amp;$L49,SupplierRates!$A$5:$A$500,0)),0))</f>
        <v>19.8</v>
      </c>
      <c r="R49" s="26" t="n">
        <f aca="false">IF(OR($D49="",$J49&lt;&gt;"Supplier"),0,F49*P49+G49*Q49)</f>
        <v>3635.28</v>
      </c>
      <c r="S49" s="26" t="n">
        <f aca="false">IF(OR($D49="",$J49&lt;&gt;"Own"),0,IFERROR((F49+G49*Settings!$B$13)*INDEX(Workers!$V$5:$V$2004,MATCH($D49,Workers!$A$5:$A$2004,0)),0))</f>
        <v>0</v>
      </c>
      <c r="T49" s="26" t="n">
        <f aca="false">IF($D49="","",O49-R49-S49)</f>
        <v>1161.12</v>
      </c>
    </row>
    <row r="50" customFormat="false" ht="15" hidden="false" customHeight="false" outlineLevel="0" collapsed="false">
      <c r="A50" s="41" t="n">
        <v>46296</v>
      </c>
      <c r="B50" s="33" t="s">
        <v>184</v>
      </c>
      <c r="C50" s="33" t="s">
        <v>553</v>
      </c>
      <c r="D50" s="33" t="s">
        <v>445</v>
      </c>
      <c r="E50" s="33" t="n">
        <v>25</v>
      </c>
      <c r="F50" s="33" t="n">
        <v>200</v>
      </c>
      <c r="G50" s="33" t="n">
        <v>20</v>
      </c>
      <c r="H50" s="33" t="s">
        <v>552</v>
      </c>
      <c r="I50" s="24" t="str">
        <f aca="false">IF($D50="","",IFERROR(INDEX(Workers!$B$5:$B$2004,MATCH($D50,Workers!$A$5:$A$2004,0)),"NOT FOUND"))</f>
        <v>Rohan Ahmed</v>
      </c>
      <c r="J50" s="24" t="str">
        <f aca="false">IF($D50="","",IFERROR(INDEX(Workers!$C$5:$C$2004,MATCH($D50,Workers!$A$5:$A$2004,0)),""))</f>
        <v>Supplier</v>
      </c>
      <c r="K50" s="24" t="str">
        <f aca="false">IF($D50="","",IFERROR(IF(INDEX(Workers!$D$5:$D$2004,MATCH($D50,Workers!$A$5:$A$2004,0))=0,"",INDEX(Workers!$D$5:$D$2004,MATCH($D50,Workers!$A$5:$A$2004,0))),""))</f>
        <v>S002</v>
      </c>
      <c r="L50" s="24" t="str">
        <f aca="false">IF($D50="","",IFERROR(INDEX(Workers!$E$5:$E$2004,MATCH($D50,Workers!$A$5:$A$2004,0)),""))</f>
        <v>Mason</v>
      </c>
      <c r="M50" s="26" t="n">
        <f aca="false">IF($D50="","",IFERROR(INDEX(ClientRates!$D$5:$D$500,MATCH($B50&amp;"|"&amp;$L50,ClientRates!$A$5:$A$500,0)),0))</f>
        <v>23.1</v>
      </c>
      <c r="N50" s="26" t="n">
        <f aca="false">IF($D50="","",IFERROR(INDEX(ClientRates!$E$5:$E$500,MATCH($B50&amp;"|"&amp;$L50,ClientRates!$A$5:$A$500,0)),0))</f>
        <v>28.88</v>
      </c>
      <c r="O50" s="26" t="n">
        <f aca="false">IF($D50="","",F50*M50+G50*N50)</f>
        <v>5197.6</v>
      </c>
      <c r="P50" s="26" t="n">
        <f aca="false">IF(OR($D50="",$J50&lt;&gt;"Supplier"),"",IFERROR(INDEX(SupplierRates!$D$5:$D$500,MATCH($K50&amp;"|"&amp;$L50,SupplierRates!$A$5:$A$500,0)),0))</f>
        <v>16.5</v>
      </c>
      <c r="Q50" s="26" t="n">
        <f aca="false">IF(OR($D50="",$J50&lt;&gt;"Supplier"),"",IFERROR(INDEX(SupplierRates!$E$5:$E$500,MATCH($K50&amp;"|"&amp;$L50,SupplierRates!$A$5:$A$500,0)),0))</f>
        <v>20.62</v>
      </c>
      <c r="R50" s="26" t="n">
        <f aca="false">IF(OR($D50="",$J50&lt;&gt;"Supplier"),0,F50*P50+G50*Q50)</f>
        <v>3712.4</v>
      </c>
      <c r="S50" s="26" t="n">
        <f aca="false">IF(OR($D50="",$J50&lt;&gt;"Own"),0,IFERROR((F50+G50*Settings!$B$13)*INDEX(Workers!$V$5:$V$2004,MATCH($D50,Workers!$A$5:$A$2004,0)),0))</f>
        <v>0</v>
      </c>
      <c r="T50" s="26" t="n">
        <f aca="false">IF($D50="","",O50-R50-S50)</f>
        <v>1485.2</v>
      </c>
    </row>
    <row r="51" customFormat="false" ht="15" hidden="false" customHeight="false" outlineLevel="0" collapsed="false">
      <c r="A51" s="41" t="n">
        <v>46296</v>
      </c>
      <c r="B51" s="33" t="s">
        <v>178</v>
      </c>
      <c r="C51" s="33" t="s">
        <v>549</v>
      </c>
      <c r="D51" s="33" t="s">
        <v>448</v>
      </c>
      <c r="E51" s="33" t="n">
        <v>26</v>
      </c>
      <c r="F51" s="33" t="n">
        <v>208</v>
      </c>
      <c r="G51" s="33" t="n">
        <v>0</v>
      </c>
      <c r="H51" s="33" t="s">
        <v>550</v>
      </c>
      <c r="I51" s="24" t="str">
        <f aca="false">IF($D51="","",IFERROR(INDEX(Workers!$B$5:$B$2004,MATCH($D51,Workers!$A$5:$A$2004,0)),"NOT FOUND"))</f>
        <v>Shafi Rahman</v>
      </c>
      <c r="J51" s="24" t="str">
        <f aca="false">IF($D51="","",IFERROR(INDEX(Workers!$C$5:$C$2004,MATCH($D51,Workers!$A$5:$A$2004,0)),""))</f>
        <v>Supplier</v>
      </c>
      <c r="K51" s="24" t="str">
        <f aca="false">IF($D51="","",IFERROR(IF(INDEX(Workers!$D$5:$D$2004,MATCH($D51,Workers!$A$5:$A$2004,0))=0,"",INDEX(Workers!$D$5:$D$2004,MATCH($D51,Workers!$A$5:$A$2004,0))),""))</f>
        <v>S003</v>
      </c>
      <c r="L51" s="24" t="str">
        <f aca="false">IF($D51="","",IFERROR(INDEX(Workers!$E$5:$E$2004,MATCH($D51,Workers!$A$5:$A$2004,0)),""))</f>
        <v>Cleaner</v>
      </c>
      <c r="M51" s="26" t="n">
        <f aca="false">IF($D51="","",IFERROR(INDEX(ClientRates!$D$5:$D$500,MATCH($B51&amp;"|"&amp;$L51,ClientRates!$A$5:$A$500,0)),0))</f>
        <v>14.25</v>
      </c>
      <c r="N51" s="26" t="n">
        <f aca="false">IF($D51="","",IFERROR(INDEX(ClientRates!$E$5:$E$500,MATCH($B51&amp;"|"&amp;$L51,ClientRates!$A$5:$A$500,0)),0))</f>
        <v>17.81</v>
      </c>
      <c r="O51" s="26" t="n">
        <f aca="false">IF($D51="","",F51*M51+G51*N51)</f>
        <v>2964</v>
      </c>
      <c r="P51" s="26" t="n">
        <f aca="false">IF(OR($D51="",$J51&lt;&gt;"Supplier"),"",IFERROR(INDEX(SupplierRates!$D$5:$D$500,MATCH($K51&amp;"|"&amp;$L51,SupplierRates!$A$5:$A$500,0)),0))</f>
        <v>10.5</v>
      </c>
      <c r="Q51" s="26" t="n">
        <f aca="false">IF(OR($D51="",$J51&lt;&gt;"Supplier"),"",IFERROR(INDEX(SupplierRates!$E$5:$E$500,MATCH($K51&amp;"|"&amp;$L51,SupplierRates!$A$5:$A$500,0)),0))</f>
        <v>13.12</v>
      </c>
      <c r="R51" s="26" t="n">
        <f aca="false">IF(OR($D51="",$J51&lt;&gt;"Supplier"),0,F51*P51+G51*Q51)</f>
        <v>2184</v>
      </c>
      <c r="S51" s="26" t="n">
        <f aca="false">IF(OR($D51="",$J51&lt;&gt;"Own"),0,IFERROR((F51+G51*Settings!$B$13)*INDEX(Workers!$V$5:$V$2004,MATCH($D51,Workers!$A$5:$A$2004,0)),0))</f>
        <v>0</v>
      </c>
      <c r="T51" s="26" t="n">
        <f aca="false">IF($D51="","",O51-R51-S51)</f>
        <v>780</v>
      </c>
    </row>
    <row r="52" customFormat="false" ht="15" hidden="false" customHeight="false" outlineLevel="0" collapsed="false">
      <c r="A52" s="41" t="n">
        <v>46296</v>
      </c>
      <c r="B52" s="33" t="s">
        <v>184</v>
      </c>
      <c r="C52" s="33" t="s">
        <v>553</v>
      </c>
      <c r="D52" s="33" t="s">
        <v>451</v>
      </c>
      <c r="E52" s="33" t="n">
        <v>22</v>
      </c>
      <c r="F52" s="33" t="n">
        <v>176</v>
      </c>
      <c r="G52" s="33" t="n">
        <v>0</v>
      </c>
      <c r="H52" s="33" t="s">
        <v>552</v>
      </c>
      <c r="I52" s="24" t="str">
        <f aca="false">IF($D52="","",IFERROR(INDEX(Workers!$B$5:$B$2004,MATCH($D52,Workers!$A$5:$A$2004,0)),"NOT FOUND"))</f>
        <v>Tariq Rahman</v>
      </c>
      <c r="J52" s="24" t="str">
        <f aca="false">IF($D52="","",IFERROR(INDEX(Workers!$C$5:$C$2004,MATCH($D52,Workers!$A$5:$A$2004,0)),""))</f>
        <v>Supplier</v>
      </c>
      <c r="K52" s="24" t="str">
        <f aca="false">IF($D52="","",IFERROR(IF(INDEX(Workers!$D$5:$D$2004,MATCH($D52,Workers!$A$5:$A$2004,0))=0,"",INDEX(Workers!$D$5:$D$2004,MATCH($D52,Workers!$A$5:$A$2004,0))),""))</f>
        <v>S001</v>
      </c>
      <c r="L52" s="24" t="str">
        <f aca="false">IF($D52="","",IFERROR(INDEX(Workers!$E$5:$E$2004,MATCH($D52,Workers!$A$5:$A$2004,0)),""))</f>
        <v>Helper</v>
      </c>
      <c r="M52" s="26" t="n">
        <f aca="false">IF($D52="","",IFERROR(INDEX(ClientRates!$D$5:$D$500,MATCH($B52&amp;"|"&amp;$L52,ClientRates!$A$5:$A$500,0)),0))</f>
        <v>16.8</v>
      </c>
      <c r="N52" s="26" t="n">
        <f aca="false">IF($D52="","",IFERROR(INDEX(ClientRates!$E$5:$E$500,MATCH($B52&amp;"|"&amp;$L52,ClientRates!$A$5:$A$500,0)),0))</f>
        <v>21</v>
      </c>
      <c r="O52" s="26" t="n">
        <f aca="false">IF($D52="","",F52*M52+G52*N52)</f>
        <v>2956.8</v>
      </c>
      <c r="P52" s="26" t="n">
        <f aca="false">IF(OR($D52="",$J52&lt;&gt;"Supplier"),"",IFERROR(INDEX(SupplierRates!$D$5:$D$500,MATCH($K52&amp;"|"&amp;$L52,SupplierRates!$A$5:$A$500,0)),0))</f>
        <v>11.52</v>
      </c>
      <c r="Q52" s="26" t="n">
        <f aca="false">IF(OR($D52="",$J52&lt;&gt;"Supplier"),"",IFERROR(INDEX(SupplierRates!$E$5:$E$500,MATCH($K52&amp;"|"&amp;$L52,SupplierRates!$A$5:$A$500,0)),0))</f>
        <v>14.4</v>
      </c>
      <c r="R52" s="26" t="n">
        <f aca="false">IF(OR($D52="",$J52&lt;&gt;"Supplier"),0,F52*P52+G52*Q52)</f>
        <v>2027.52</v>
      </c>
      <c r="S52" s="26" t="n">
        <f aca="false">IF(OR($D52="",$J52&lt;&gt;"Own"),0,IFERROR((F52+G52*Settings!$B$13)*INDEX(Workers!$V$5:$V$2004,MATCH($D52,Workers!$A$5:$A$2004,0)),0))</f>
        <v>0</v>
      </c>
      <c r="T52" s="26" t="n">
        <f aca="false">IF($D52="","",O52-R52-S52)</f>
        <v>929.28</v>
      </c>
    </row>
    <row r="53" customFormat="false" ht="15" hidden="false" customHeight="false" outlineLevel="0" collapsed="false">
      <c r="A53" s="41" t="n">
        <v>46296</v>
      </c>
      <c r="B53" s="33" t="s">
        <v>178</v>
      </c>
      <c r="C53" s="33" t="s">
        <v>549</v>
      </c>
      <c r="D53" s="33" t="s">
        <v>454</v>
      </c>
      <c r="E53" s="33" t="n">
        <v>24</v>
      </c>
      <c r="F53" s="33" t="n">
        <v>192</v>
      </c>
      <c r="G53" s="33" t="n">
        <v>20</v>
      </c>
      <c r="H53" s="33" t="s">
        <v>550</v>
      </c>
      <c r="I53" s="24" t="str">
        <f aca="false">IF($D53="","",IFERROR(INDEX(Workers!$B$5:$B$2004,MATCH($D53,Workers!$A$5:$A$2004,0)),"NOT FOUND"))</f>
        <v>Mohan Ahmed</v>
      </c>
      <c r="J53" s="24" t="str">
        <f aca="false">IF($D53="","",IFERROR(INDEX(Workers!$C$5:$C$2004,MATCH($D53,Workers!$A$5:$A$2004,0)),""))</f>
        <v>Supplier</v>
      </c>
      <c r="K53" s="24" t="str">
        <f aca="false">IF($D53="","",IFERROR(IF(INDEX(Workers!$D$5:$D$2004,MATCH($D53,Workers!$A$5:$A$2004,0))=0,"",INDEX(Workers!$D$5:$D$2004,MATCH($D53,Workers!$A$5:$A$2004,0))),""))</f>
        <v>S002</v>
      </c>
      <c r="L53" s="24" t="str">
        <f aca="false">IF($D53="","",IFERROR(INDEX(Workers!$E$5:$E$2004,MATCH($D53,Workers!$A$5:$A$2004,0)),""))</f>
        <v>Electrician</v>
      </c>
      <c r="M53" s="26" t="n">
        <f aca="false">IF($D53="","",IFERROR(INDEX(ClientRates!$D$5:$D$500,MATCH($B53&amp;"|"&amp;$L53,ClientRates!$A$5:$A$500,0)),0))</f>
        <v>24.7</v>
      </c>
      <c r="N53" s="26" t="n">
        <f aca="false">IF($D53="","",IFERROR(INDEX(ClientRates!$E$5:$E$500,MATCH($B53&amp;"|"&amp;$L53,ClientRates!$A$5:$A$500,0)),0))</f>
        <v>30.88</v>
      </c>
      <c r="O53" s="26" t="n">
        <f aca="false">IF($D53="","",F53*M53+G53*N53)</f>
        <v>5360</v>
      </c>
      <c r="P53" s="26" t="n">
        <f aca="false">IF(OR($D53="",$J53&lt;&gt;"Supplier"),"",IFERROR(INDEX(SupplierRates!$D$5:$D$500,MATCH($K53&amp;"|"&amp;$L53,SupplierRates!$A$5:$A$500,0)),0))</f>
        <v>19.5</v>
      </c>
      <c r="Q53" s="26" t="n">
        <f aca="false">IF(OR($D53="",$J53&lt;&gt;"Supplier"),"",IFERROR(INDEX(SupplierRates!$E$5:$E$500,MATCH($K53&amp;"|"&amp;$L53,SupplierRates!$A$5:$A$500,0)),0))</f>
        <v>24.38</v>
      </c>
      <c r="R53" s="26" t="n">
        <f aca="false">IF(OR($D53="",$J53&lt;&gt;"Supplier"),0,F53*P53+G53*Q53)</f>
        <v>4231.6</v>
      </c>
      <c r="S53" s="26" t="n">
        <f aca="false">IF(OR($D53="",$J53&lt;&gt;"Own"),0,IFERROR((F53+G53*Settings!$B$13)*INDEX(Workers!$V$5:$V$2004,MATCH($D53,Workers!$A$5:$A$2004,0)),0))</f>
        <v>0</v>
      </c>
      <c r="T53" s="26" t="n">
        <f aca="false">IF($D53="","",O53-R53-S53)</f>
        <v>1128.4</v>
      </c>
    </row>
    <row r="54" customFormat="false" ht="15" hidden="false" customHeight="false" outlineLevel="0" collapsed="false">
      <c r="A54" s="41" t="n">
        <v>46296</v>
      </c>
      <c r="B54" s="33" t="s">
        <v>166</v>
      </c>
      <c r="C54" s="33" t="s">
        <v>545</v>
      </c>
      <c r="D54" s="33" t="s">
        <v>457</v>
      </c>
      <c r="E54" s="33" t="n">
        <v>22</v>
      </c>
      <c r="F54" s="33" t="n">
        <v>176</v>
      </c>
      <c r="G54" s="33" t="n">
        <v>26</v>
      </c>
      <c r="H54" s="33" t="s">
        <v>546</v>
      </c>
      <c r="I54" s="24" t="str">
        <f aca="false">IF($D54="","",IFERROR(INDEX(Workers!$B$5:$B$2004,MATCH($D54,Workers!$A$5:$A$2004,0)),"NOT FOUND"))</f>
        <v>Bikash Menon</v>
      </c>
      <c r="J54" s="24" t="str">
        <f aca="false">IF($D54="","",IFERROR(INDEX(Workers!$C$5:$C$2004,MATCH($D54,Workers!$A$5:$A$2004,0)),""))</f>
        <v>Supplier</v>
      </c>
      <c r="K54" s="24" t="str">
        <f aca="false">IF($D54="","",IFERROR(IF(INDEX(Workers!$D$5:$D$2004,MATCH($D54,Workers!$A$5:$A$2004,0))=0,"",INDEX(Workers!$D$5:$D$2004,MATCH($D54,Workers!$A$5:$A$2004,0))),""))</f>
        <v>S003</v>
      </c>
      <c r="L54" s="24" t="str">
        <f aca="false">IF($D54="","",IFERROR(INDEX(Workers!$E$5:$E$2004,MATCH($D54,Workers!$A$5:$A$2004,0)),""))</f>
        <v>Plumber</v>
      </c>
      <c r="M54" s="26" t="n">
        <f aca="false">IF($D54="","",IFERROR(INDEX(ClientRates!$D$5:$D$500,MATCH($B54&amp;"|"&amp;$L54,ClientRates!$A$5:$A$500,0)),0))</f>
        <v>25</v>
      </c>
      <c r="N54" s="26" t="n">
        <f aca="false">IF($D54="","",IFERROR(INDEX(ClientRates!$E$5:$E$500,MATCH($B54&amp;"|"&amp;$L54,ClientRates!$A$5:$A$500,0)),0))</f>
        <v>31.25</v>
      </c>
      <c r="O54" s="26" t="n">
        <f aca="false">IF($D54="","",F54*M54+G54*N54)</f>
        <v>5212.5</v>
      </c>
      <c r="P54" s="26" t="n">
        <f aca="false">IF(OR($D54="",$J54&lt;&gt;"Supplier"),"",IFERROR(INDEX(SupplierRates!$D$5:$D$500,MATCH($K54&amp;"|"&amp;$L54,SupplierRates!$A$5:$A$500,0)),0))</f>
        <v>17.5</v>
      </c>
      <c r="Q54" s="26" t="n">
        <f aca="false">IF(OR($D54="",$J54&lt;&gt;"Supplier"),"",IFERROR(INDEX(SupplierRates!$E$5:$E$500,MATCH($K54&amp;"|"&amp;$L54,SupplierRates!$A$5:$A$500,0)),0))</f>
        <v>21.88</v>
      </c>
      <c r="R54" s="26" t="n">
        <f aca="false">IF(OR($D54="",$J54&lt;&gt;"Supplier"),0,F54*P54+G54*Q54)</f>
        <v>3648.88</v>
      </c>
      <c r="S54" s="26" t="n">
        <f aca="false">IF(OR($D54="",$J54&lt;&gt;"Own"),0,IFERROR((F54+G54*Settings!$B$13)*INDEX(Workers!$V$5:$V$2004,MATCH($D54,Workers!$A$5:$A$2004,0)),0))</f>
        <v>0</v>
      </c>
      <c r="T54" s="26" t="n">
        <f aca="false">IF($D54="","",O54-R54-S54)</f>
        <v>1563.62</v>
      </c>
    </row>
    <row r="55" customFormat="false" ht="15" hidden="false" customHeight="false" outlineLevel="0" collapsed="false">
      <c r="A55" s="41" t="n">
        <v>46296</v>
      </c>
      <c r="B55" s="33" t="s">
        <v>184</v>
      </c>
      <c r="C55" s="33" t="s">
        <v>551</v>
      </c>
      <c r="D55" s="33" t="s">
        <v>460</v>
      </c>
      <c r="E55" s="33" t="n">
        <v>26</v>
      </c>
      <c r="F55" s="33" t="n">
        <v>208</v>
      </c>
      <c r="G55" s="33" t="n">
        <v>16</v>
      </c>
      <c r="H55" s="33" t="s">
        <v>552</v>
      </c>
      <c r="I55" s="24" t="str">
        <f aca="false">IF($D55="","",IFERROR(INDEX(Workers!$B$5:$B$2004,MATCH($D55,Workers!$A$5:$A$2004,0)),"NOT FOUND"))</f>
        <v>Rahul Rahman</v>
      </c>
      <c r="J55" s="24" t="str">
        <f aca="false">IF($D55="","",IFERROR(INDEX(Workers!$C$5:$C$2004,MATCH($D55,Workers!$A$5:$A$2004,0)),""))</f>
        <v>Supplier</v>
      </c>
      <c r="K55" s="24" t="str">
        <f aca="false">IF($D55="","",IFERROR(IF(INDEX(Workers!$D$5:$D$2004,MATCH($D55,Workers!$A$5:$A$2004,0))=0,"",INDEX(Workers!$D$5:$D$2004,MATCH($D55,Workers!$A$5:$A$2004,0))),""))</f>
        <v>S001</v>
      </c>
      <c r="L55" s="24" t="str">
        <f aca="false">IF($D55="","",IFERROR(INDEX(Workers!$E$5:$E$2004,MATCH($D55,Workers!$A$5:$A$2004,0)),""))</f>
        <v>Carpenter</v>
      </c>
      <c r="M55" s="26" t="n">
        <f aca="false">IF($D55="","",IFERROR(INDEX(ClientRates!$D$5:$D$500,MATCH($B55&amp;"|"&amp;$L55,ClientRates!$A$5:$A$500,0)),0))</f>
        <v>23.1</v>
      </c>
      <c r="N55" s="26" t="n">
        <f aca="false">IF($D55="","",IFERROR(INDEX(ClientRates!$E$5:$E$500,MATCH($B55&amp;"|"&amp;$L55,ClientRates!$A$5:$A$500,0)),0))</f>
        <v>28.88</v>
      </c>
      <c r="O55" s="26" t="n">
        <f aca="false">IF($D55="","",F55*M55+G55*N55)</f>
        <v>5266.88</v>
      </c>
      <c r="P55" s="26" t="n">
        <f aca="false">IF(OR($D55="",$J55&lt;&gt;"Supplier"),"",IFERROR(INDEX(SupplierRates!$D$5:$D$500,MATCH($K55&amp;"|"&amp;$L55,SupplierRates!$A$5:$A$500,0)),0))</f>
        <v>15.84</v>
      </c>
      <c r="Q55" s="26" t="n">
        <f aca="false">IF(OR($D55="",$J55&lt;&gt;"Supplier"),"",IFERROR(INDEX(SupplierRates!$E$5:$E$500,MATCH($K55&amp;"|"&amp;$L55,SupplierRates!$A$5:$A$500,0)),0))</f>
        <v>19.8</v>
      </c>
      <c r="R55" s="26" t="n">
        <f aca="false">IF(OR($D55="",$J55&lt;&gt;"Supplier"),0,F55*P55+G55*Q55)</f>
        <v>3611.52</v>
      </c>
      <c r="S55" s="26" t="n">
        <f aca="false">IF(OR($D55="",$J55&lt;&gt;"Own"),0,IFERROR((F55+G55*Settings!$B$13)*INDEX(Workers!$V$5:$V$2004,MATCH($D55,Workers!$A$5:$A$2004,0)),0))</f>
        <v>0</v>
      </c>
      <c r="T55" s="26" t="n">
        <f aca="false">IF($D55="","",O55-R55-S55)</f>
        <v>1655.36</v>
      </c>
    </row>
    <row r="56" customFormat="false" ht="15" hidden="false" customHeight="false" outlineLevel="0" collapsed="false">
      <c r="A56" s="41" t="n">
        <v>46296</v>
      </c>
      <c r="B56" s="33" t="s">
        <v>178</v>
      </c>
      <c r="C56" s="33" t="s">
        <v>549</v>
      </c>
      <c r="D56" s="33" t="s">
        <v>463</v>
      </c>
      <c r="E56" s="33" t="n">
        <v>22</v>
      </c>
      <c r="F56" s="33" t="n">
        <v>176</v>
      </c>
      <c r="G56" s="33" t="n">
        <v>0</v>
      </c>
      <c r="H56" s="33" t="s">
        <v>550</v>
      </c>
      <c r="I56" s="24" t="str">
        <f aca="false">IF($D56="","",IFERROR(INDEX(Workers!$B$5:$B$2004,MATCH($D56,Workers!$A$5:$A$2004,0)),"NOT FOUND"))</f>
        <v>Shafi Thapa</v>
      </c>
      <c r="J56" s="24" t="str">
        <f aca="false">IF($D56="","",IFERROR(INDEX(Workers!$C$5:$C$2004,MATCH($D56,Workers!$A$5:$A$2004,0)),""))</f>
        <v>Supplier</v>
      </c>
      <c r="K56" s="24" t="str">
        <f aca="false">IF($D56="","",IFERROR(IF(INDEX(Workers!$D$5:$D$2004,MATCH($D56,Workers!$A$5:$A$2004,0))=0,"",INDEX(Workers!$D$5:$D$2004,MATCH($D56,Workers!$A$5:$A$2004,0))),""))</f>
        <v>S002</v>
      </c>
      <c r="L56" s="24" t="str">
        <f aca="false">IF($D56="","",IFERROR(INDEX(Workers!$E$5:$E$2004,MATCH($D56,Workers!$A$5:$A$2004,0)),""))</f>
        <v>Electrician</v>
      </c>
      <c r="M56" s="26" t="n">
        <f aca="false">IF($D56="","",IFERROR(INDEX(ClientRates!$D$5:$D$500,MATCH($B56&amp;"|"&amp;$L56,ClientRates!$A$5:$A$500,0)),0))</f>
        <v>24.7</v>
      </c>
      <c r="N56" s="26" t="n">
        <f aca="false">IF($D56="","",IFERROR(INDEX(ClientRates!$E$5:$E$500,MATCH($B56&amp;"|"&amp;$L56,ClientRates!$A$5:$A$500,0)),0))</f>
        <v>30.88</v>
      </c>
      <c r="O56" s="26" t="n">
        <f aca="false">IF($D56="","",F56*M56+G56*N56)</f>
        <v>4347.2</v>
      </c>
      <c r="P56" s="26" t="n">
        <f aca="false">IF(OR($D56="",$J56&lt;&gt;"Supplier"),"",IFERROR(INDEX(SupplierRates!$D$5:$D$500,MATCH($K56&amp;"|"&amp;$L56,SupplierRates!$A$5:$A$500,0)),0))</f>
        <v>19.5</v>
      </c>
      <c r="Q56" s="26" t="n">
        <f aca="false">IF(OR($D56="",$J56&lt;&gt;"Supplier"),"",IFERROR(INDEX(SupplierRates!$E$5:$E$500,MATCH($K56&amp;"|"&amp;$L56,SupplierRates!$A$5:$A$500,0)),0))</f>
        <v>24.38</v>
      </c>
      <c r="R56" s="26" t="n">
        <f aca="false">IF(OR($D56="",$J56&lt;&gt;"Supplier"),0,F56*P56+G56*Q56)</f>
        <v>3432</v>
      </c>
      <c r="S56" s="26" t="n">
        <f aca="false">IF(OR($D56="",$J56&lt;&gt;"Own"),0,IFERROR((F56+G56*Settings!$B$13)*INDEX(Workers!$V$5:$V$2004,MATCH($D56,Workers!$A$5:$A$2004,0)),0))</f>
        <v>0</v>
      </c>
      <c r="T56" s="26" t="n">
        <f aca="false">IF($D56="","",O56-R56-S56)</f>
        <v>915.2</v>
      </c>
    </row>
    <row r="57" customFormat="false" ht="15" hidden="false" customHeight="false" outlineLevel="0" collapsed="false">
      <c r="A57" s="41" t="n">
        <v>46296</v>
      </c>
      <c r="B57" s="33" t="s">
        <v>172</v>
      </c>
      <c r="C57" s="33" t="s">
        <v>543</v>
      </c>
      <c r="D57" s="33" t="s">
        <v>466</v>
      </c>
      <c r="E57" s="33" t="n">
        <v>25</v>
      </c>
      <c r="F57" s="33" t="n">
        <v>200</v>
      </c>
      <c r="G57" s="33" t="n">
        <v>30</v>
      </c>
      <c r="H57" s="33" t="s">
        <v>544</v>
      </c>
      <c r="I57" s="24" t="str">
        <f aca="false">IF($D57="","",IFERROR(INDEX(Workers!$B$5:$B$2004,MATCH($D57,Workers!$A$5:$A$2004,0)),"NOT FOUND"))</f>
        <v>Rohan Nair</v>
      </c>
      <c r="J57" s="24" t="str">
        <f aca="false">IF($D57="","",IFERROR(INDEX(Workers!$C$5:$C$2004,MATCH($D57,Workers!$A$5:$A$2004,0)),""))</f>
        <v>Supplier</v>
      </c>
      <c r="K57" s="24" t="str">
        <f aca="false">IF($D57="","",IFERROR(IF(INDEX(Workers!$D$5:$D$2004,MATCH($D57,Workers!$A$5:$A$2004,0))=0,"",INDEX(Workers!$D$5:$D$2004,MATCH($D57,Workers!$A$5:$A$2004,0))),""))</f>
        <v>S003</v>
      </c>
      <c r="L57" s="24" t="str">
        <f aca="false">IF($D57="","",IFERROR(INDEX(Workers!$E$5:$E$2004,MATCH($D57,Workers!$A$5:$A$2004,0)),""))</f>
        <v>Driver</v>
      </c>
      <c r="M57" s="26" t="n">
        <f aca="false">IF($D57="","",IFERROR(INDEX(ClientRates!$D$5:$D$500,MATCH($B57&amp;"|"&amp;$L57,ClientRates!$A$5:$A$500,0)),0))</f>
        <v>26.4</v>
      </c>
      <c r="N57" s="26" t="n">
        <f aca="false">IF($D57="","",IFERROR(INDEX(ClientRates!$E$5:$E$500,MATCH($B57&amp;"|"&amp;$L57,ClientRates!$A$5:$A$500,0)),0))</f>
        <v>33</v>
      </c>
      <c r="O57" s="26" t="n">
        <f aca="false">IF($D57="","",F57*M57+G57*N57)</f>
        <v>6270</v>
      </c>
      <c r="P57" s="26" t="n">
        <f aca="false">IF(OR($D57="",$J57&lt;&gt;"Supplier"),"",IFERROR(INDEX(SupplierRates!$D$5:$D$500,MATCH($K57&amp;"|"&amp;$L57,SupplierRates!$A$5:$A$500,0)),0))</f>
        <v>16.8</v>
      </c>
      <c r="Q57" s="26" t="n">
        <f aca="false">IF(OR($D57="",$J57&lt;&gt;"Supplier"),"",IFERROR(INDEX(SupplierRates!$E$5:$E$500,MATCH($K57&amp;"|"&amp;$L57,SupplierRates!$A$5:$A$500,0)),0))</f>
        <v>21</v>
      </c>
      <c r="R57" s="26" t="n">
        <f aca="false">IF(OR($D57="",$J57&lt;&gt;"Supplier"),0,F57*P57+G57*Q57)</f>
        <v>3990</v>
      </c>
      <c r="S57" s="26" t="n">
        <f aca="false">IF(OR($D57="",$J57&lt;&gt;"Own"),0,IFERROR((F57+G57*Settings!$B$13)*INDEX(Workers!$V$5:$V$2004,MATCH($D57,Workers!$A$5:$A$2004,0)),0))</f>
        <v>0</v>
      </c>
      <c r="T57" s="26" t="n">
        <f aca="false">IF($D57="","",O57-R57-S57)</f>
        <v>2280</v>
      </c>
    </row>
    <row r="58" customFormat="false" ht="15" hidden="false" customHeight="false" outlineLevel="0" collapsed="false">
      <c r="A58" s="41" t="n">
        <v>46296</v>
      </c>
      <c r="B58" s="33" t="s">
        <v>184</v>
      </c>
      <c r="C58" s="33" t="s">
        <v>551</v>
      </c>
      <c r="D58" s="33" t="s">
        <v>469</v>
      </c>
      <c r="E58" s="33" t="n">
        <v>26</v>
      </c>
      <c r="F58" s="33" t="n">
        <v>208</v>
      </c>
      <c r="G58" s="33" t="n">
        <v>26</v>
      </c>
      <c r="H58" s="33" t="s">
        <v>552</v>
      </c>
      <c r="I58" s="24" t="str">
        <f aca="false">IF($D58="","",IFERROR(INDEX(Workers!$B$5:$B$2004,MATCH($D58,Workers!$A$5:$A$2004,0)),"NOT FOUND"))</f>
        <v>Tariq Santos</v>
      </c>
      <c r="J58" s="24" t="str">
        <f aca="false">IF($D58="","",IFERROR(INDEX(Workers!$C$5:$C$2004,MATCH($D58,Workers!$A$5:$A$2004,0)),""))</f>
        <v>Supplier</v>
      </c>
      <c r="K58" s="24" t="str">
        <f aca="false">IF($D58="","",IFERROR(IF(INDEX(Workers!$D$5:$D$2004,MATCH($D58,Workers!$A$5:$A$2004,0))=0,"",INDEX(Workers!$D$5:$D$2004,MATCH($D58,Workers!$A$5:$A$2004,0))),""))</f>
        <v>S001</v>
      </c>
      <c r="L58" s="24" t="str">
        <f aca="false">IF($D58="","",IFERROR(INDEX(Workers!$E$5:$E$2004,MATCH($D58,Workers!$A$5:$A$2004,0)),""))</f>
        <v>Driver</v>
      </c>
      <c r="M58" s="26" t="n">
        <f aca="false">IF($D58="","",IFERROR(INDEX(ClientRates!$D$5:$D$500,MATCH($B58&amp;"|"&amp;$L58,ClientRates!$A$5:$A$500,0)),0))</f>
        <v>25.2</v>
      </c>
      <c r="N58" s="26" t="n">
        <f aca="false">IF($D58="","",IFERROR(INDEX(ClientRates!$E$5:$E$500,MATCH($B58&amp;"|"&amp;$L58,ClientRates!$A$5:$A$500,0)),0))</f>
        <v>31.5</v>
      </c>
      <c r="O58" s="26" t="n">
        <f aca="false">IF($D58="","",F58*M58+G58*N58)</f>
        <v>6060.6</v>
      </c>
      <c r="P58" s="26" t="n">
        <f aca="false">IF(OR($D58="",$J58&lt;&gt;"Supplier"),"",IFERROR(INDEX(SupplierRates!$D$5:$D$500,MATCH($K58&amp;"|"&amp;$L58,SupplierRates!$A$5:$A$500,0)),0))</f>
        <v>17.28</v>
      </c>
      <c r="Q58" s="26" t="n">
        <f aca="false">IF(OR($D58="",$J58&lt;&gt;"Supplier"),"",IFERROR(INDEX(SupplierRates!$E$5:$E$500,MATCH($K58&amp;"|"&amp;$L58,SupplierRates!$A$5:$A$500,0)),0))</f>
        <v>21.6</v>
      </c>
      <c r="R58" s="26" t="n">
        <f aca="false">IF(OR($D58="",$J58&lt;&gt;"Supplier"),0,F58*P58+G58*Q58)</f>
        <v>4155.84</v>
      </c>
      <c r="S58" s="26" t="n">
        <f aca="false">IF(OR($D58="",$J58&lt;&gt;"Own"),0,IFERROR((F58+G58*Settings!$B$13)*INDEX(Workers!$V$5:$V$2004,MATCH($D58,Workers!$A$5:$A$2004,0)),0))</f>
        <v>0</v>
      </c>
      <c r="T58" s="26" t="n">
        <f aca="false">IF($D58="","",O58-R58-S58)</f>
        <v>1904.76</v>
      </c>
    </row>
    <row r="59" customFormat="false" ht="15" hidden="false" customHeight="false" outlineLevel="0" collapsed="false">
      <c r="A59" s="41" t="n">
        <v>46296</v>
      </c>
      <c r="B59" s="33" t="s">
        <v>166</v>
      </c>
      <c r="C59" s="33" t="s">
        <v>548</v>
      </c>
      <c r="D59" s="33" t="s">
        <v>471</v>
      </c>
      <c r="E59" s="33" t="n">
        <v>23</v>
      </c>
      <c r="F59" s="33" t="n">
        <v>184</v>
      </c>
      <c r="G59" s="33" t="n">
        <v>26</v>
      </c>
      <c r="H59" s="33" t="s">
        <v>546</v>
      </c>
      <c r="I59" s="24" t="str">
        <f aca="false">IF($D59="","",IFERROR(INDEX(Workers!$B$5:$B$2004,MATCH($D59,Workers!$A$5:$A$2004,0)),"NOT FOUND"))</f>
        <v>Mohan Thapa</v>
      </c>
      <c r="J59" s="24" t="str">
        <f aca="false">IF($D59="","",IFERROR(INDEX(Workers!$C$5:$C$2004,MATCH($D59,Workers!$A$5:$A$2004,0)),""))</f>
        <v>Supplier</v>
      </c>
      <c r="K59" s="24" t="str">
        <f aca="false">IF($D59="","",IFERROR(IF(INDEX(Workers!$D$5:$D$2004,MATCH($D59,Workers!$A$5:$A$2004,0))=0,"",INDEX(Workers!$D$5:$D$2004,MATCH($D59,Workers!$A$5:$A$2004,0))),""))</f>
        <v>S002</v>
      </c>
      <c r="L59" s="24" t="str">
        <f aca="false">IF($D59="","",IFERROR(INDEX(Workers!$E$5:$E$2004,MATCH($D59,Workers!$A$5:$A$2004,0)),""))</f>
        <v>Cleaner</v>
      </c>
      <c r="M59" s="26" t="n">
        <f aca="false">IF($D59="","",IFERROR(INDEX(ClientRates!$D$5:$D$500,MATCH($B59&amp;"|"&amp;$L59,ClientRates!$A$5:$A$500,0)),0))</f>
        <v>15</v>
      </c>
      <c r="N59" s="26" t="n">
        <f aca="false">IF($D59="","",IFERROR(INDEX(ClientRates!$E$5:$E$500,MATCH($B59&amp;"|"&amp;$L59,ClientRates!$A$5:$A$500,0)),0))</f>
        <v>18.75</v>
      </c>
      <c r="O59" s="26" t="n">
        <f aca="false">IF($D59="","",F59*M59+G59*N59)</f>
        <v>3247.5</v>
      </c>
      <c r="P59" s="26" t="n">
        <f aca="false">IF(OR($D59="",$J59&lt;&gt;"Supplier"),"",IFERROR(INDEX(SupplierRates!$D$5:$D$500,MATCH($K59&amp;"|"&amp;$L59,SupplierRates!$A$5:$A$500,0)),0))</f>
        <v>11.25</v>
      </c>
      <c r="Q59" s="26" t="n">
        <f aca="false">IF(OR($D59="",$J59&lt;&gt;"Supplier"),"",IFERROR(INDEX(SupplierRates!$E$5:$E$500,MATCH($K59&amp;"|"&amp;$L59,SupplierRates!$A$5:$A$500,0)),0))</f>
        <v>14.06</v>
      </c>
      <c r="R59" s="26" t="n">
        <f aca="false">IF(OR($D59="",$J59&lt;&gt;"Supplier"),0,F59*P59+G59*Q59)</f>
        <v>2435.56</v>
      </c>
      <c r="S59" s="26" t="n">
        <f aca="false">IF(OR($D59="",$J59&lt;&gt;"Own"),0,IFERROR((F59+G59*Settings!$B$13)*INDEX(Workers!$V$5:$V$2004,MATCH($D59,Workers!$A$5:$A$2004,0)),0))</f>
        <v>0</v>
      </c>
      <c r="T59" s="26" t="n">
        <f aca="false">IF($D59="","",O59-R59-S59)</f>
        <v>811.94</v>
      </c>
    </row>
    <row r="60" customFormat="false" ht="15" hidden="false" customHeight="false" outlineLevel="0" collapsed="false">
      <c r="A60" s="41" t="n">
        <v>46296</v>
      </c>
      <c r="B60" s="33" t="s">
        <v>184</v>
      </c>
      <c r="C60" s="33" t="s">
        <v>551</v>
      </c>
      <c r="D60" s="33" t="s">
        <v>474</v>
      </c>
      <c r="E60" s="33" t="n">
        <v>23</v>
      </c>
      <c r="F60" s="33" t="n">
        <v>184</v>
      </c>
      <c r="G60" s="33" t="n">
        <v>26</v>
      </c>
      <c r="H60" s="33" t="s">
        <v>552</v>
      </c>
      <c r="I60" s="24" t="str">
        <f aca="false">IF($D60="","",IFERROR(INDEX(Workers!$B$5:$B$2004,MATCH($D60,Workers!$A$5:$A$2004,0)),"NOT FOUND"))</f>
        <v>Jamal Khan</v>
      </c>
      <c r="J60" s="24" t="str">
        <f aca="false">IF($D60="","",IFERROR(INDEX(Workers!$C$5:$C$2004,MATCH($D60,Workers!$A$5:$A$2004,0)),""))</f>
        <v>Supplier</v>
      </c>
      <c r="K60" s="24" t="str">
        <f aca="false">IF($D60="","",IFERROR(IF(INDEX(Workers!$D$5:$D$2004,MATCH($D60,Workers!$A$5:$A$2004,0))=0,"",INDEX(Workers!$D$5:$D$2004,MATCH($D60,Workers!$A$5:$A$2004,0))),""))</f>
        <v>S003</v>
      </c>
      <c r="L60" s="24" t="str">
        <f aca="false">IF($D60="","",IFERROR(INDEX(Workers!$E$5:$E$2004,MATCH($D60,Workers!$A$5:$A$2004,0)),""))</f>
        <v>Mason</v>
      </c>
      <c r="M60" s="26" t="n">
        <f aca="false">IF($D60="","",IFERROR(INDEX(ClientRates!$D$5:$D$500,MATCH($B60&amp;"|"&amp;$L60,ClientRates!$A$5:$A$500,0)),0))</f>
        <v>23.1</v>
      </c>
      <c r="N60" s="26" t="n">
        <f aca="false">IF($D60="","",IFERROR(INDEX(ClientRates!$E$5:$E$500,MATCH($B60&amp;"|"&amp;$L60,ClientRates!$A$5:$A$500,0)),0))</f>
        <v>28.88</v>
      </c>
      <c r="O60" s="26" t="n">
        <f aca="false">IF($D60="","",F60*M60+G60*N60)</f>
        <v>5001.28</v>
      </c>
      <c r="P60" s="26" t="n">
        <f aca="false">IF(OR($D60="",$J60&lt;&gt;"Supplier"),"",IFERROR(INDEX(SupplierRates!$D$5:$D$500,MATCH($K60&amp;"|"&amp;$L60,SupplierRates!$A$5:$A$500,0)),0))</f>
        <v>15.4</v>
      </c>
      <c r="Q60" s="26" t="n">
        <f aca="false">IF(OR($D60="",$J60&lt;&gt;"Supplier"),"",IFERROR(INDEX(SupplierRates!$E$5:$E$500,MATCH($K60&amp;"|"&amp;$L60,SupplierRates!$A$5:$A$500,0)),0))</f>
        <v>19.25</v>
      </c>
      <c r="R60" s="26" t="n">
        <f aca="false">IF(OR($D60="",$J60&lt;&gt;"Supplier"),0,F60*P60+G60*Q60)</f>
        <v>3334.1</v>
      </c>
      <c r="S60" s="26" t="n">
        <f aca="false">IF(OR($D60="",$J60&lt;&gt;"Own"),0,IFERROR((F60+G60*Settings!$B$13)*INDEX(Workers!$V$5:$V$2004,MATCH($D60,Workers!$A$5:$A$2004,0)),0))</f>
        <v>0</v>
      </c>
      <c r="T60" s="26" t="n">
        <f aca="false">IF($D60="","",O60-R60-S60)</f>
        <v>1667.18</v>
      </c>
    </row>
    <row r="61" customFormat="false" ht="15" hidden="false" customHeight="false" outlineLevel="0" collapsed="false">
      <c r="A61" s="41" t="n">
        <v>46296</v>
      </c>
      <c r="B61" s="33" t="s">
        <v>172</v>
      </c>
      <c r="C61" s="33" t="s">
        <v>547</v>
      </c>
      <c r="D61" s="33" t="s">
        <v>477</v>
      </c>
      <c r="E61" s="33" t="n">
        <v>22</v>
      </c>
      <c r="F61" s="33" t="n">
        <v>176</v>
      </c>
      <c r="G61" s="33" t="n">
        <v>30</v>
      </c>
      <c r="H61" s="33" t="s">
        <v>544</v>
      </c>
      <c r="I61" s="24" t="str">
        <f aca="false">IF($D61="","",IFERROR(INDEX(Workers!$B$5:$B$2004,MATCH($D61,Workers!$A$5:$A$2004,0)),"NOT FOUND"))</f>
        <v>Ajith Nair</v>
      </c>
      <c r="J61" s="24" t="str">
        <f aca="false">IF($D61="","",IFERROR(INDEX(Workers!$C$5:$C$2004,MATCH($D61,Workers!$A$5:$A$2004,0)),""))</f>
        <v>Supplier</v>
      </c>
      <c r="K61" s="24" t="str">
        <f aca="false">IF($D61="","",IFERROR(IF(INDEX(Workers!$D$5:$D$2004,MATCH($D61,Workers!$A$5:$A$2004,0))=0,"",INDEX(Workers!$D$5:$D$2004,MATCH($D61,Workers!$A$5:$A$2004,0))),""))</f>
        <v>S001</v>
      </c>
      <c r="L61" s="24" t="str">
        <f aca="false">IF($D61="","",IFERROR(INDEX(Workers!$E$5:$E$2004,MATCH($D61,Workers!$A$5:$A$2004,0)),""))</f>
        <v>Carpenter</v>
      </c>
      <c r="M61" s="26" t="n">
        <f aca="false">IF($D61="","",IFERROR(INDEX(ClientRates!$D$5:$D$500,MATCH($B61&amp;"|"&amp;$L61,ClientRates!$A$5:$A$500,0)),0))</f>
        <v>24.2</v>
      </c>
      <c r="N61" s="26" t="n">
        <f aca="false">IF($D61="","",IFERROR(INDEX(ClientRates!$E$5:$E$500,MATCH($B61&amp;"|"&amp;$L61,ClientRates!$A$5:$A$500,0)),0))</f>
        <v>30.25</v>
      </c>
      <c r="O61" s="26" t="n">
        <f aca="false">IF($D61="","",F61*M61+G61*N61)</f>
        <v>5166.7</v>
      </c>
      <c r="P61" s="26" t="n">
        <f aca="false">IF(OR($D61="",$J61&lt;&gt;"Supplier"),"",IFERROR(INDEX(SupplierRates!$D$5:$D$500,MATCH($K61&amp;"|"&amp;$L61,SupplierRates!$A$5:$A$500,0)),0))</f>
        <v>15.84</v>
      </c>
      <c r="Q61" s="26" t="n">
        <f aca="false">IF(OR($D61="",$J61&lt;&gt;"Supplier"),"",IFERROR(INDEX(SupplierRates!$E$5:$E$500,MATCH($K61&amp;"|"&amp;$L61,SupplierRates!$A$5:$A$500,0)),0))</f>
        <v>19.8</v>
      </c>
      <c r="R61" s="26" t="n">
        <f aca="false">IF(OR($D61="",$J61&lt;&gt;"Supplier"),0,F61*P61+G61*Q61)</f>
        <v>3381.84</v>
      </c>
      <c r="S61" s="26" t="n">
        <f aca="false">IF(OR($D61="",$J61&lt;&gt;"Own"),0,IFERROR((F61+G61*Settings!$B$13)*INDEX(Workers!$V$5:$V$2004,MATCH($D61,Workers!$A$5:$A$2004,0)),0))</f>
        <v>0</v>
      </c>
      <c r="T61" s="26" t="n">
        <f aca="false">IF($D61="","",O61-R61-S61)</f>
        <v>1784.86</v>
      </c>
    </row>
    <row r="62" customFormat="false" ht="15" hidden="false" customHeight="false" outlineLevel="0" collapsed="false">
      <c r="A62" s="41" t="n">
        <v>46296</v>
      </c>
      <c r="B62" s="33" t="s">
        <v>166</v>
      </c>
      <c r="C62" s="33" t="s">
        <v>545</v>
      </c>
      <c r="D62" s="33" t="s">
        <v>480</v>
      </c>
      <c r="E62" s="33" t="n">
        <v>22</v>
      </c>
      <c r="F62" s="33" t="n">
        <v>176</v>
      </c>
      <c r="G62" s="33" t="n">
        <v>30</v>
      </c>
      <c r="H62" s="33" t="s">
        <v>546</v>
      </c>
      <c r="I62" s="24" t="str">
        <f aca="false">IF($D62="","",IFERROR(INDEX(Workers!$B$5:$B$2004,MATCH($D62,Workers!$A$5:$A$2004,0)),"NOT FOUND"))</f>
        <v>Joseph Kumar</v>
      </c>
      <c r="J62" s="24" t="str">
        <f aca="false">IF($D62="","",IFERROR(INDEX(Workers!$C$5:$C$2004,MATCH($D62,Workers!$A$5:$A$2004,0)),""))</f>
        <v>Supplier</v>
      </c>
      <c r="K62" s="24" t="str">
        <f aca="false">IF($D62="","",IFERROR(IF(INDEX(Workers!$D$5:$D$2004,MATCH($D62,Workers!$A$5:$A$2004,0))=0,"",INDEX(Workers!$D$5:$D$2004,MATCH($D62,Workers!$A$5:$A$2004,0))),""))</f>
        <v>S002</v>
      </c>
      <c r="L62" s="24" t="str">
        <f aca="false">IF($D62="","",IFERROR(INDEX(Workers!$E$5:$E$2004,MATCH($D62,Workers!$A$5:$A$2004,0)),""))</f>
        <v>Cleaner</v>
      </c>
      <c r="M62" s="26" t="n">
        <f aca="false">IF($D62="","",IFERROR(INDEX(ClientRates!$D$5:$D$500,MATCH($B62&amp;"|"&amp;$L62,ClientRates!$A$5:$A$500,0)),0))</f>
        <v>15</v>
      </c>
      <c r="N62" s="26" t="n">
        <f aca="false">IF($D62="","",IFERROR(INDEX(ClientRates!$E$5:$E$500,MATCH($B62&amp;"|"&amp;$L62,ClientRates!$A$5:$A$500,0)),0))</f>
        <v>18.75</v>
      </c>
      <c r="O62" s="26" t="n">
        <f aca="false">IF($D62="","",F62*M62+G62*N62)</f>
        <v>3202.5</v>
      </c>
      <c r="P62" s="26" t="n">
        <f aca="false">IF(OR($D62="",$J62&lt;&gt;"Supplier"),"",IFERROR(INDEX(SupplierRates!$D$5:$D$500,MATCH($K62&amp;"|"&amp;$L62,SupplierRates!$A$5:$A$500,0)),0))</f>
        <v>11.25</v>
      </c>
      <c r="Q62" s="26" t="n">
        <f aca="false">IF(OR($D62="",$J62&lt;&gt;"Supplier"),"",IFERROR(INDEX(SupplierRates!$E$5:$E$500,MATCH($K62&amp;"|"&amp;$L62,SupplierRates!$A$5:$A$500,0)),0))</f>
        <v>14.06</v>
      </c>
      <c r="R62" s="26" t="n">
        <f aca="false">IF(OR($D62="",$J62&lt;&gt;"Supplier"),0,F62*P62+G62*Q62)</f>
        <v>2401.8</v>
      </c>
      <c r="S62" s="26" t="n">
        <f aca="false">IF(OR($D62="",$J62&lt;&gt;"Own"),0,IFERROR((F62+G62*Settings!$B$13)*INDEX(Workers!$V$5:$V$2004,MATCH($D62,Workers!$A$5:$A$2004,0)),0))</f>
        <v>0</v>
      </c>
      <c r="T62" s="26" t="n">
        <f aca="false">IF($D62="","",O62-R62-S62)</f>
        <v>800.7</v>
      </c>
    </row>
    <row r="63" customFormat="false" ht="15" hidden="false" customHeight="false" outlineLevel="0" collapsed="false">
      <c r="A63" s="41" t="n">
        <v>46296</v>
      </c>
      <c r="B63" s="33" t="s">
        <v>172</v>
      </c>
      <c r="C63" s="33" t="s">
        <v>547</v>
      </c>
      <c r="D63" s="33" t="s">
        <v>483</v>
      </c>
      <c r="E63" s="33" t="n">
        <v>24</v>
      </c>
      <c r="F63" s="33" t="n">
        <v>192</v>
      </c>
      <c r="G63" s="33" t="n">
        <v>30</v>
      </c>
      <c r="H63" s="33" t="s">
        <v>544</v>
      </c>
      <c r="I63" s="24" t="str">
        <f aca="false">IF($D63="","",IFERROR(INDEX(Workers!$B$5:$B$2004,MATCH($D63,Workers!$A$5:$A$2004,0)),"NOT FOUND"))</f>
        <v>Rohan Nair</v>
      </c>
      <c r="J63" s="24" t="str">
        <f aca="false">IF($D63="","",IFERROR(INDEX(Workers!$C$5:$C$2004,MATCH($D63,Workers!$A$5:$A$2004,0)),""))</f>
        <v>Supplier</v>
      </c>
      <c r="K63" s="24" t="str">
        <f aca="false">IF($D63="","",IFERROR(IF(INDEX(Workers!$D$5:$D$2004,MATCH($D63,Workers!$A$5:$A$2004,0))=0,"",INDEX(Workers!$D$5:$D$2004,MATCH($D63,Workers!$A$5:$A$2004,0))),""))</f>
        <v>S003</v>
      </c>
      <c r="L63" s="24" t="str">
        <f aca="false">IF($D63="","",IFERROR(INDEX(Workers!$E$5:$E$2004,MATCH($D63,Workers!$A$5:$A$2004,0)),""))</f>
        <v>Driver</v>
      </c>
      <c r="M63" s="26" t="n">
        <f aca="false">IF($D63="","",IFERROR(INDEX(ClientRates!$D$5:$D$500,MATCH($B63&amp;"|"&amp;$L63,ClientRates!$A$5:$A$500,0)),0))</f>
        <v>26.4</v>
      </c>
      <c r="N63" s="26" t="n">
        <f aca="false">IF($D63="","",IFERROR(INDEX(ClientRates!$E$5:$E$500,MATCH($B63&amp;"|"&amp;$L63,ClientRates!$A$5:$A$500,0)),0))</f>
        <v>33</v>
      </c>
      <c r="O63" s="26" t="n">
        <f aca="false">IF($D63="","",F63*M63+G63*N63)</f>
        <v>6058.8</v>
      </c>
      <c r="P63" s="26" t="n">
        <f aca="false">IF(OR($D63="",$J63&lt;&gt;"Supplier"),"",IFERROR(INDEX(SupplierRates!$D$5:$D$500,MATCH($K63&amp;"|"&amp;$L63,SupplierRates!$A$5:$A$500,0)),0))</f>
        <v>16.8</v>
      </c>
      <c r="Q63" s="26" t="n">
        <f aca="false">IF(OR($D63="",$J63&lt;&gt;"Supplier"),"",IFERROR(INDEX(SupplierRates!$E$5:$E$500,MATCH($K63&amp;"|"&amp;$L63,SupplierRates!$A$5:$A$500,0)),0))</f>
        <v>21</v>
      </c>
      <c r="R63" s="26" t="n">
        <f aca="false">IF(OR($D63="",$J63&lt;&gt;"Supplier"),0,F63*P63+G63*Q63)</f>
        <v>3855.6</v>
      </c>
      <c r="S63" s="26" t="n">
        <f aca="false">IF(OR($D63="",$J63&lt;&gt;"Own"),0,IFERROR((F63+G63*Settings!$B$13)*INDEX(Workers!$V$5:$V$2004,MATCH($D63,Workers!$A$5:$A$2004,0)),0))</f>
        <v>0</v>
      </c>
      <c r="T63" s="26" t="n">
        <f aca="false">IF($D63="","",O63-R63-S63)</f>
        <v>2203.2</v>
      </c>
    </row>
    <row r="64" customFormat="false" ht="15" hidden="false" customHeight="false" outlineLevel="0" collapsed="false">
      <c r="A64" s="41" t="n">
        <v>46296</v>
      </c>
      <c r="B64" s="33" t="s">
        <v>178</v>
      </c>
      <c r="C64" s="33" t="s">
        <v>549</v>
      </c>
      <c r="D64" s="33" t="s">
        <v>485</v>
      </c>
      <c r="E64" s="33" t="n">
        <v>23</v>
      </c>
      <c r="F64" s="33" t="n">
        <v>184</v>
      </c>
      <c r="G64" s="33" t="n">
        <v>0</v>
      </c>
      <c r="H64" s="33" t="s">
        <v>550</v>
      </c>
      <c r="I64" s="24" t="str">
        <f aca="false">IF($D64="","",IFERROR(INDEX(Workers!$B$5:$B$2004,MATCH($D64,Workers!$A$5:$A$2004,0)),"NOT FOUND"))</f>
        <v>Shafi Nair</v>
      </c>
      <c r="J64" s="24" t="str">
        <f aca="false">IF($D64="","",IFERROR(INDEX(Workers!$C$5:$C$2004,MATCH($D64,Workers!$A$5:$A$2004,0)),""))</f>
        <v>Supplier</v>
      </c>
      <c r="K64" s="24" t="str">
        <f aca="false">IF($D64="","",IFERROR(IF(INDEX(Workers!$D$5:$D$2004,MATCH($D64,Workers!$A$5:$A$2004,0))=0,"",INDEX(Workers!$D$5:$D$2004,MATCH($D64,Workers!$A$5:$A$2004,0))),""))</f>
        <v>S001</v>
      </c>
      <c r="L64" s="24" t="str">
        <f aca="false">IF($D64="","",IFERROR(INDEX(Workers!$E$5:$E$2004,MATCH($D64,Workers!$A$5:$A$2004,0)),""))</f>
        <v>Security Guard</v>
      </c>
      <c r="M64" s="26" t="n">
        <f aca="false">IF($D64="","",IFERROR(INDEX(ClientRates!$D$5:$D$500,MATCH($B64&amp;"|"&amp;$L64,ClientRates!$A$5:$A$500,0)),0))</f>
        <v>16.15</v>
      </c>
      <c r="N64" s="26" t="n">
        <f aca="false">IF($D64="","",IFERROR(INDEX(ClientRates!$E$5:$E$500,MATCH($B64&amp;"|"&amp;$L64,ClientRates!$A$5:$A$500,0)),0))</f>
        <v>20.19</v>
      </c>
      <c r="O64" s="26" t="n">
        <f aca="false">IF($D64="","",F64*M64+G64*N64)</f>
        <v>2971.6</v>
      </c>
      <c r="P64" s="26" t="n">
        <f aca="false">IF(OR($D64="",$J64&lt;&gt;"Supplier"),"",IFERROR(INDEX(SupplierRates!$D$5:$D$500,MATCH($K64&amp;"|"&amp;$L64,SupplierRates!$A$5:$A$500,0)),0))</f>
        <v>12.24</v>
      </c>
      <c r="Q64" s="26" t="n">
        <f aca="false">IF(OR($D64="",$J64&lt;&gt;"Supplier"),"",IFERROR(INDEX(SupplierRates!$E$5:$E$500,MATCH($K64&amp;"|"&amp;$L64,SupplierRates!$A$5:$A$500,0)),0))</f>
        <v>15.3</v>
      </c>
      <c r="R64" s="26" t="n">
        <f aca="false">IF(OR($D64="",$J64&lt;&gt;"Supplier"),0,F64*P64+G64*Q64)</f>
        <v>2252.16</v>
      </c>
      <c r="S64" s="26" t="n">
        <f aca="false">IF(OR($D64="",$J64&lt;&gt;"Own"),0,IFERROR((F64+G64*Settings!$B$13)*INDEX(Workers!$V$5:$V$2004,MATCH($D64,Workers!$A$5:$A$2004,0)),0))</f>
        <v>0</v>
      </c>
      <c r="T64" s="26" t="n">
        <f aca="false">IF($D64="","",O64-R64-S64)</f>
        <v>719.44</v>
      </c>
    </row>
    <row r="65" customFormat="false" ht="15" hidden="false" customHeight="false" outlineLevel="0" collapsed="false">
      <c r="A65" s="41" t="n">
        <v>46296</v>
      </c>
      <c r="B65" s="33" t="s">
        <v>178</v>
      </c>
      <c r="C65" s="33" t="s">
        <v>549</v>
      </c>
      <c r="D65" s="33" t="s">
        <v>487</v>
      </c>
      <c r="E65" s="33" t="n">
        <v>22</v>
      </c>
      <c r="F65" s="33" t="n">
        <v>176</v>
      </c>
      <c r="G65" s="33" t="n">
        <v>20</v>
      </c>
      <c r="H65" s="33" t="s">
        <v>550</v>
      </c>
      <c r="I65" s="24" t="str">
        <f aca="false">IF($D65="","",IFERROR(INDEX(Workers!$B$5:$B$2004,MATCH($D65,Workers!$A$5:$A$2004,0)),"NOT FOUND"))</f>
        <v>Faisal Ali</v>
      </c>
      <c r="J65" s="24" t="str">
        <f aca="false">IF($D65="","",IFERROR(INDEX(Workers!$C$5:$C$2004,MATCH($D65,Workers!$A$5:$A$2004,0)),""))</f>
        <v>Supplier</v>
      </c>
      <c r="K65" s="24" t="str">
        <f aca="false">IF($D65="","",IFERROR(IF(INDEX(Workers!$D$5:$D$2004,MATCH($D65,Workers!$A$5:$A$2004,0))=0,"",INDEX(Workers!$D$5:$D$2004,MATCH($D65,Workers!$A$5:$A$2004,0))),""))</f>
        <v>S002</v>
      </c>
      <c r="L65" s="24" t="str">
        <f aca="false">IF($D65="","",IFERROR(INDEX(Workers!$E$5:$E$2004,MATCH($D65,Workers!$A$5:$A$2004,0)),""))</f>
        <v>Plumber</v>
      </c>
      <c r="M65" s="26" t="n">
        <f aca="false">IF($D65="","",IFERROR(INDEX(ClientRates!$D$5:$D$500,MATCH($B65&amp;"|"&amp;$L65,ClientRates!$A$5:$A$500,0)),0))</f>
        <v>23.75</v>
      </c>
      <c r="N65" s="26" t="n">
        <f aca="false">IF($D65="","",IFERROR(INDEX(ClientRates!$E$5:$E$500,MATCH($B65&amp;"|"&amp;$L65,ClientRates!$A$5:$A$500,0)),0))</f>
        <v>29.69</v>
      </c>
      <c r="O65" s="26" t="n">
        <f aca="false">IF($D65="","",F65*M65+G65*N65)</f>
        <v>4773.8</v>
      </c>
      <c r="P65" s="26" t="n">
        <f aca="false">IF(OR($D65="",$J65&lt;&gt;"Supplier"),"",IFERROR(INDEX(SupplierRates!$D$5:$D$500,MATCH($K65&amp;"|"&amp;$L65,SupplierRates!$A$5:$A$500,0)),0))</f>
        <v>18.75</v>
      </c>
      <c r="Q65" s="26" t="n">
        <f aca="false">IF(OR($D65="",$J65&lt;&gt;"Supplier"),"",IFERROR(INDEX(SupplierRates!$E$5:$E$500,MATCH($K65&amp;"|"&amp;$L65,SupplierRates!$A$5:$A$500,0)),0))</f>
        <v>23.44</v>
      </c>
      <c r="R65" s="26" t="n">
        <f aca="false">IF(OR($D65="",$J65&lt;&gt;"Supplier"),0,F65*P65+G65*Q65)</f>
        <v>3768.8</v>
      </c>
      <c r="S65" s="26" t="n">
        <f aca="false">IF(OR($D65="",$J65&lt;&gt;"Own"),0,IFERROR((F65+G65*Settings!$B$13)*INDEX(Workers!$V$5:$V$2004,MATCH($D65,Workers!$A$5:$A$2004,0)),0))</f>
        <v>0</v>
      </c>
      <c r="T65" s="26" t="n">
        <f aca="false">IF($D65="","",O65-R65-S65)</f>
        <v>1005</v>
      </c>
    </row>
    <row r="66" customFormat="false" ht="15" hidden="false" customHeight="false" outlineLevel="0" collapsed="false">
      <c r="A66" s="41" t="n">
        <v>46296</v>
      </c>
      <c r="B66" s="33" t="s">
        <v>166</v>
      </c>
      <c r="C66" s="33" t="s">
        <v>548</v>
      </c>
      <c r="D66" s="33" t="s">
        <v>490</v>
      </c>
      <c r="E66" s="33" t="n">
        <v>25</v>
      </c>
      <c r="F66" s="33" t="n">
        <v>200</v>
      </c>
      <c r="G66" s="33" t="n">
        <v>30</v>
      </c>
      <c r="H66" s="33" t="s">
        <v>546</v>
      </c>
      <c r="I66" s="24" t="str">
        <f aca="false">IF($D66="","",IFERROR(INDEX(Workers!$B$5:$B$2004,MATCH($D66,Workers!$A$5:$A$2004,0)),"NOT FOUND"))</f>
        <v>Mohan Kumar</v>
      </c>
      <c r="J66" s="24" t="str">
        <f aca="false">IF($D66="","",IFERROR(INDEX(Workers!$C$5:$C$2004,MATCH($D66,Workers!$A$5:$A$2004,0)),""))</f>
        <v>Supplier</v>
      </c>
      <c r="K66" s="24" t="str">
        <f aca="false">IF($D66="","",IFERROR(IF(INDEX(Workers!$D$5:$D$2004,MATCH($D66,Workers!$A$5:$A$2004,0))=0,"",INDEX(Workers!$D$5:$D$2004,MATCH($D66,Workers!$A$5:$A$2004,0))),""))</f>
        <v>S003</v>
      </c>
      <c r="L66" s="24" t="str">
        <f aca="false">IF($D66="","",IFERROR(INDEX(Workers!$E$5:$E$2004,MATCH($D66,Workers!$A$5:$A$2004,0)),""))</f>
        <v>Carpenter</v>
      </c>
      <c r="M66" s="26" t="n">
        <f aca="false">IF($D66="","",IFERROR(INDEX(ClientRates!$D$5:$D$500,MATCH($B66&amp;"|"&amp;$L66,ClientRates!$A$5:$A$500,0)),0))</f>
        <v>22</v>
      </c>
      <c r="N66" s="26" t="n">
        <f aca="false">IF($D66="","",IFERROR(INDEX(ClientRates!$E$5:$E$500,MATCH($B66&amp;"|"&amp;$L66,ClientRates!$A$5:$A$500,0)),0))</f>
        <v>27.5</v>
      </c>
      <c r="O66" s="26" t="n">
        <f aca="false">IF($D66="","",F66*M66+G66*N66)</f>
        <v>5225</v>
      </c>
      <c r="P66" s="26" t="n">
        <f aca="false">IF(OR($D66="",$J66&lt;&gt;"Supplier"),"",IFERROR(INDEX(SupplierRates!$D$5:$D$500,MATCH($K66&amp;"|"&amp;$L66,SupplierRates!$A$5:$A$500,0)),0))</f>
        <v>15.4</v>
      </c>
      <c r="Q66" s="26" t="n">
        <f aca="false">IF(OR($D66="",$J66&lt;&gt;"Supplier"),"",IFERROR(INDEX(SupplierRates!$E$5:$E$500,MATCH($K66&amp;"|"&amp;$L66,SupplierRates!$A$5:$A$500,0)),0))</f>
        <v>19.25</v>
      </c>
      <c r="R66" s="26" t="n">
        <f aca="false">IF(OR($D66="",$J66&lt;&gt;"Supplier"),0,F66*P66+G66*Q66)</f>
        <v>3657.5</v>
      </c>
      <c r="S66" s="26" t="n">
        <f aca="false">IF(OR($D66="",$J66&lt;&gt;"Own"),0,IFERROR((F66+G66*Settings!$B$13)*INDEX(Workers!$V$5:$V$2004,MATCH($D66,Workers!$A$5:$A$2004,0)),0))</f>
        <v>0</v>
      </c>
      <c r="T66" s="26" t="n">
        <f aca="false">IF($D66="","",O66-R66-S66)</f>
        <v>1567.5</v>
      </c>
    </row>
    <row r="67" customFormat="false" ht="15" hidden="false" customHeight="false" outlineLevel="0" collapsed="false">
      <c r="A67" s="41" t="n">
        <v>46296</v>
      </c>
      <c r="B67" s="33" t="s">
        <v>166</v>
      </c>
      <c r="C67" s="33" t="s">
        <v>545</v>
      </c>
      <c r="D67" s="33" t="s">
        <v>493</v>
      </c>
      <c r="E67" s="33" t="n">
        <v>25</v>
      </c>
      <c r="F67" s="33" t="n">
        <v>200</v>
      </c>
      <c r="G67" s="33" t="n">
        <v>16</v>
      </c>
      <c r="H67" s="33" t="s">
        <v>546</v>
      </c>
      <c r="I67" s="24" t="str">
        <f aca="false">IF($D67="","",IFERROR(INDEX(Workers!$B$5:$B$2004,MATCH($D67,Workers!$A$5:$A$2004,0)),"NOT FOUND"))</f>
        <v>Jamal Rahman</v>
      </c>
      <c r="J67" s="24" t="str">
        <f aca="false">IF($D67="","",IFERROR(INDEX(Workers!$C$5:$C$2004,MATCH($D67,Workers!$A$5:$A$2004,0)),""))</f>
        <v>Supplier</v>
      </c>
      <c r="K67" s="24" t="str">
        <f aca="false">IF($D67="","",IFERROR(IF(INDEX(Workers!$D$5:$D$2004,MATCH($D67,Workers!$A$5:$A$2004,0))=0,"",INDEX(Workers!$D$5:$D$2004,MATCH($D67,Workers!$A$5:$A$2004,0))),""))</f>
        <v>S001</v>
      </c>
      <c r="L67" s="24" t="str">
        <f aca="false">IF($D67="","",IFERROR(INDEX(Workers!$E$5:$E$2004,MATCH($D67,Workers!$A$5:$A$2004,0)),""))</f>
        <v>Driver</v>
      </c>
      <c r="M67" s="26" t="n">
        <f aca="false">IF($D67="","",IFERROR(INDEX(ClientRates!$D$5:$D$500,MATCH($B67&amp;"|"&amp;$L67,ClientRates!$A$5:$A$500,0)),0))</f>
        <v>24</v>
      </c>
      <c r="N67" s="26" t="n">
        <f aca="false">IF($D67="","",IFERROR(INDEX(ClientRates!$E$5:$E$500,MATCH($B67&amp;"|"&amp;$L67,ClientRates!$A$5:$A$500,0)),0))</f>
        <v>30</v>
      </c>
      <c r="O67" s="26" t="n">
        <f aca="false">IF($D67="","",F67*M67+G67*N67)</f>
        <v>5280</v>
      </c>
      <c r="P67" s="26" t="n">
        <f aca="false">IF(OR($D67="",$J67&lt;&gt;"Supplier"),"",IFERROR(INDEX(SupplierRates!$D$5:$D$500,MATCH($K67&amp;"|"&amp;$L67,SupplierRates!$A$5:$A$500,0)),0))</f>
        <v>17.28</v>
      </c>
      <c r="Q67" s="26" t="n">
        <f aca="false">IF(OR($D67="",$J67&lt;&gt;"Supplier"),"",IFERROR(INDEX(SupplierRates!$E$5:$E$500,MATCH($K67&amp;"|"&amp;$L67,SupplierRates!$A$5:$A$500,0)),0))</f>
        <v>21.6</v>
      </c>
      <c r="R67" s="26" t="n">
        <f aca="false">IF(OR($D67="",$J67&lt;&gt;"Supplier"),0,F67*P67+G67*Q67)</f>
        <v>3801.6</v>
      </c>
      <c r="S67" s="26" t="n">
        <f aca="false">IF(OR($D67="",$J67&lt;&gt;"Own"),0,IFERROR((F67+G67*Settings!$B$13)*INDEX(Workers!$V$5:$V$2004,MATCH($D67,Workers!$A$5:$A$2004,0)),0))</f>
        <v>0</v>
      </c>
      <c r="T67" s="26" t="n">
        <f aca="false">IF($D67="","",O67-R67-S67)</f>
        <v>1478.4</v>
      </c>
    </row>
    <row r="68" customFormat="false" ht="15" hidden="false" customHeight="false" outlineLevel="0" collapsed="false">
      <c r="A68" s="41" t="n">
        <v>46296</v>
      </c>
      <c r="B68" s="33" t="s">
        <v>166</v>
      </c>
      <c r="C68" s="33" t="s">
        <v>545</v>
      </c>
      <c r="D68" s="33" t="s">
        <v>496</v>
      </c>
      <c r="E68" s="33" t="n">
        <v>22</v>
      </c>
      <c r="F68" s="33" t="n">
        <v>176</v>
      </c>
      <c r="G68" s="33" t="n">
        <v>20</v>
      </c>
      <c r="H68" s="33" t="s">
        <v>546</v>
      </c>
      <c r="I68" s="24" t="str">
        <f aca="false">IF($D68="","",IFERROR(INDEX(Workers!$B$5:$B$2004,MATCH($D68,Workers!$A$5:$A$2004,0)),"NOT FOUND"))</f>
        <v>Rahul Ali</v>
      </c>
      <c r="J68" s="24" t="str">
        <f aca="false">IF($D68="","",IFERROR(INDEX(Workers!$C$5:$C$2004,MATCH($D68,Workers!$A$5:$A$2004,0)),""))</f>
        <v>Supplier</v>
      </c>
      <c r="K68" s="24" t="str">
        <f aca="false">IF($D68="","",IFERROR(IF(INDEX(Workers!$D$5:$D$2004,MATCH($D68,Workers!$A$5:$A$2004,0))=0,"",INDEX(Workers!$D$5:$D$2004,MATCH($D68,Workers!$A$5:$A$2004,0))),""))</f>
        <v>S002</v>
      </c>
      <c r="L68" s="24" t="str">
        <f aca="false">IF($D68="","",IFERROR(INDEX(Workers!$E$5:$E$2004,MATCH($D68,Workers!$A$5:$A$2004,0)),""))</f>
        <v>Security Guard</v>
      </c>
      <c r="M68" s="26" t="n">
        <f aca="false">IF($D68="","",IFERROR(INDEX(ClientRates!$D$5:$D$500,MATCH($B68&amp;"|"&amp;$L68,ClientRates!$A$5:$A$500,0)),0))</f>
        <v>17</v>
      </c>
      <c r="N68" s="26" t="n">
        <f aca="false">IF($D68="","",IFERROR(INDEX(ClientRates!$E$5:$E$500,MATCH($B68&amp;"|"&amp;$L68,ClientRates!$A$5:$A$500,0)),0))</f>
        <v>21.25</v>
      </c>
      <c r="O68" s="26" t="n">
        <f aca="false">IF($D68="","",F68*M68+G68*N68)</f>
        <v>3417</v>
      </c>
      <c r="P68" s="26" t="n">
        <f aca="false">IF(OR($D68="",$J68&lt;&gt;"Supplier"),"",IFERROR(INDEX(SupplierRates!$D$5:$D$500,MATCH($K68&amp;"|"&amp;$L68,SupplierRates!$A$5:$A$500,0)),0))</f>
        <v>12.75</v>
      </c>
      <c r="Q68" s="26" t="n">
        <f aca="false">IF(OR($D68="",$J68&lt;&gt;"Supplier"),"",IFERROR(INDEX(SupplierRates!$E$5:$E$500,MATCH($K68&amp;"|"&amp;$L68,SupplierRates!$A$5:$A$500,0)),0))</f>
        <v>15.94</v>
      </c>
      <c r="R68" s="26" t="n">
        <f aca="false">IF(OR($D68="",$J68&lt;&gt;"Supplier"),0,F68*P68+G68*Q68)</f>
        <v>2562.8</v>
      </c>
      <c r="S68" s="26" t="n">
        <f aca="false">IF(OR($D68="",$J68&lt;&gt;"Own"),0,IFERROR((F68+G68*Settings!$B$13)*INDEX(Workers!$V$5:$V$2004,MATCH($D68,Workers!$A$5:$A$2004,0)),0))</f>
        <v>0</v>
      </c>
      <c r="T68" s="26" t="n">
        <f aca="false">IF($D68="","",O68-R68-S68)</f>
        <v>854.2</v>
      </c>
    </row>
    <row r="69" customFormat="false" ht="15" hidden="false" customHeight="false" outlineLevel="0" collapsed="false">
      <c r="A69" s="41" t="n">
        <v>46296</v>
      </c>
      <c r="B69" s="33" t="s">
        <v>172</v>
      </c>
      <c r="C69" s="33" t="s">
        <v>547</v>
      </c>
      <c r="D69" s="33" t="s">
        <v>499</v>
      </c>
      <c r="E69" s="33" t="n">
        <v>25</v>
      </c>
      <c r="F69" s="33" t="n">
        <v>200</v>
      </c>
      <c r="G69" s="33" t="n">
        <v>20</v>
      </c>
      <c r="H69" s="33" t="s">
        <v>544</v>
      </c>
      <c r="I69" s="24" t="str">
        <f aca="false">IF($D69="","",IFERROR(INDEX(Workers!$B$5:$B$2004,MATCH($D69,Workers!$A$5:$A$2004,0)),"NOT FOUND"))</f>
        <v>Tariq Varghese</v>
      </c>
      <c r="J69" s="24" t="str">
        <f aca="false">IF($D69="","",IFERROR(INDEX(Workers!$C$5:$C$2004,MATCH($D69,Workers!$A$5:$A$2004,0)),""))</f>
        <v>Supplier</v>
      </c>
      <c r="K69" s="24" t="str">
        <f aca="false">IF($D69="","",IFERROR(IF(INDEX(Workers!$D$5:$D$2004,MATCH($D69,Workers!$A$5:$A$2004,0))=0,"",INDEX(Workers!$D$5:$D$2004,MATCH($D69,Workers!$A$5:$A$2004,0))),""))</f>
        <v>S003</v>
      </c>
      <c r="L69" s="24" t="str">
        <f aca="false">IF($D69="","",IFERROR(INDEX(Workers!$E$5:$E$2004,MATCH($D69,Workers!$A$5:$A$2004,0)),""))</f>
        <v>Plumber</v>
      </c>
      <c r="M69" s="26" t="n">
        <f aca="false">IF($D69="","",IFERROR(INDEX(ClientRates!$D$5:$D$500,MATCH($B69&amp;"|"&amp;$L69,ClientRates!$A$5:$A$500,0)),0))</f>
        <v>27.5</v>
      </c>
      <c r="N69" s="26" t="n">
        <f aca="false">IF($D69="","",IFERROR(INDEX(ClientRates!$E$5:$E$500,MATCH($B69&amp;"|"&amp;$L69,ClientRates!$A$5:$A$500,0)),0))</f>
        <v>34.38</v>
      </c>
      <c r="O69" s="26" t="n">
        <f aca="false">IF($D69="","",F69*M69+G69*N69)</f>
        <v>6187.6</v>
      </c>
      <c r="P69" s="26" t="n">
        <f aca="false">IF(OR($D69="",$J69&lt;&gt;"Supplier"),"",IFERROR(INDEX(SupplierRates!$D$5:$D$500,MATCH($K69&amp;"|"&amp;$L69,SupplierRates!$A$5:$A$500,0)),0))</f>
        <v>17.5</v>
      </c>
      <c r="Q69" s="26" t="n">
        <f aca="false">IF(OR($D69="",$J69&lt;&gt;"Supplier"),"",IFERROR(INDEX(SupplierRates!$E$5:$E$500,MATCH($K69&amp;"|"&amp;$L69,SupplierRates!$A$5:$A$500,0)),0))</f>
        <v>21.88</v>
      </c>
      <c r="R69" s="26" t="n">
        <f aca="false">IF(OR($D69="",$J69&lt;&gt;"Supplier"),0,F69*P69+G69*Q69)</f>
        <v>3937.6</v>
      </c>
      <c r="S69" s="26" t="n">
        <f aca="false">IF(OR($D69="",$J69&lt;&gt;"Own"),0,IFERROR((F69+G69*Settings!$B$13)*INDEX(Workers!$V$5:$V$2004,MATCH($D69,Workers!$A$5:$A$2004,0)),0))</f>
        <v>0</v>
      </c>
      <c r="T69" s="26" t="n">
        <f aca="false">IF($D69="","",O69-R69-S69)</f>
        <v>2250</v>
      </c>
    </row>
    <row r="70" customFormat="false" ht="15" hidden="false" customHeight="false" outlineLevel="0" collapsed="false">
      <c r="A70" s="41" t="n">
        <v>46296</v>
      </c>
      <c r="B70" s="33" t="s">
        <v>166</v>
      </c>
      <c r="C70" s="33" t="s">
        <v>545</v>
      </c>
      <c r="D70" s="33" t="s">
        <v>501</v>
      </c>
      <c r="E70" s="33" t="n">
        <v>22</v>
      </c>
      <c r="F70" s="33" t="n">
        <v>176</v>
      </c>
      <c r="G70" s="33" t="n">
        <v>0</v>
      </c>
      <c r="H70" s="33" t="s">
        <v>546</v>
      </c>
      <c r="I70" s="24" t="str">
        <f aca="false">IF($D70="","",IFERROR(INDEX(Workers!$B$5:$B$2004,MATCH($D70,Workers!$A$5:$A$2004,0)),"NOT FOUND"))</f>
        <v>Sanjay Hossain</v>
      </c>
      <c r="J70" s="24" t="str">
        <f aca="false">IF($D70="","",IFERROR(INDEX(Workers!$C$5:$C$2004,MATCH($D70,Workers!$A$5:$A$2004,0)),""))</f>
        <v>Supplier</v>
      </c>
      <c r="K70" s="24" t="str">
        <f aca="false">IF($D70="","",IFERROR(IF(INDEX(Workers!$D$5:$D$2004,MATCH($D70,Workers!$A$5:$A$2004,0))=0,"",INDEX(Workers!$D$5:$D$2004,MATCH($D70,Workers!$A$5:$A$2004,0))),""))</f>
        <v>S001</v>
      </c>
      <c r="L70" s="24" t="str">
        <f aca="false">IF($D70="","",IFERROR(INDEX(Workers!$E$5:$E$2004,MATCH($D70,Workers!$A$5:$A$2004,0)),""))</f>
        <v>Driver</v>
      </c>
      <c r="M70" s="26" t="n">
        <f aca="false">IF($D70="","",IFERROR(INDEX(ClientRates!$D$5:$D$500,MATCH($B70&amp;"|"&amp;$L70,ClientRates!$A$5:$A$500,0)),0))</f>
        <v>24</v>
      </c>
      <c r="N70" s="26" t="n">
        <f aca="false">IF($D70="","",IFERROR(INDEX(ClientRates!$E$5:$E$500,MATCH($B70&amp;"|"&amp;$L70,ClientRates!$A$5:$A$500,0)),0))</f>
        <v>30</v>
      </c>
      <c r="O70" s="26" t="n">
        <f aca="false">IF($D70="","",F70*M70+G70*N70)</f>
        <v>4224</v>
      </c>
      <c r="P70" s="26" t="n">
        <f aca="false">IF(OR($D70="",$J70&lt;&gt;"Supplier"),"",IFERROR(INDEX(SupplierRates!$D$5:$D$500,MATCH($K70&amp;"|"&amp;$L70,SupplierRates!$A$5:$A$500,0)),0))</f>
        <v>17.28</v>
      </c>
      <c r="Q70" s="26" t="n">
        <f aca="false">IF(OR($D70="",$J70&lt;&gt;"Supplier"),"",IFERROR(INDEX(SupplierRates!$E$5:$E$500,MATCH($K70&amp;"|"&amp;$L70,SupplierRates!$A$5:$A$500,0)),0))</f>
        <v>21.6</v>
      </c>
      <c r="R70" s="26" t="n">
        <f aca="false">IF(OR($D70="",$J70&lt;&gt;"Supplier"),0,F70*P70+G70*Q70)</f>
        <v>3041.28</v>
      </c>
      <c r="S70" s="26" t="n">
        <f aca="false">IF(OR($D70="",$J70&lt;&gt;"Own"),0,IFERROR((F70+G70*Settings!$B$13)*INDEX(Workers!$V$5:$V$2004,MATCH($D70,Workers!$A$5:$A$2004,0)),0))</f>
        <v>0</v>
      </c>
      <c r="T70" s="26" t="n">
        <f aca="false">IF($D70="","",O70-R70-S70)</f>
        <v>1182.72</v>
      </c>
    </row>
    <row r="71" customFormat="false" ht="15" hidden="false" customHeight="false" outlineLevel="0" collapsed="false">
      <c r="A71" s="41" t="n">
        <v>46296</v>
      </c>
      <c r="B71" s="33" t="s">
        <v>172</v>
      </c>
      <c r="C71" s="33" t="s">
        <v>547</v>
      </c>
      <c r="D71" s="33" t="s">
        <v>504</v>
      </c>
      <c r="E71" s="33" t="n">
        <v>22</v>
      </c>
      <c r="F71" s="33" t="n">
        <v>176</v>
      </c>
      <c r="G71" s="33" t="n">
        <v>0</v>
      </c>
      <c r="H71" s="33" t="s">
        <v>544</v>
      </c>
      <c r="I71" s="24" t="str">
        <f aca="false">IF($D71="","",IFERROR(INDEX(Workers!$B$5:$B$2004,MATCH($D71,Workers!$A$5:$A$2004,0)),"NOT FOUND"))</f>
        <v>Kamal Kumar</v>
      </c>
      <c r="J71" s="24" t="str">
        <f aca="false">IF($D71="","",IFERROR(INDEX(Workers!$C$5:$C$2004,MATCH($D71,Workers!$A$5:$A$2004,0)),""))</f>
        <v>Supplier</v>
      </c>
      <c r="K71" s="24" t="str">
        <f aca="false">IF($D71="","",IFERROR(IF(INDEX(Workers!$D$5:$D$2004,MATCH($D71,Workers!$A$5:$A$2004,0))=0,"",INDEX(Workers!$D$5:$D$2004,MATCH($D71,Workers!$A$5:$A$2004,0))),""))</f>
        <v>S002</v>
      </c>
      <c r="L71" s="24" t="str">
        <f aca="false">IF($D71="","",IFERROR(INDEX(Workers!$E$5:$E$2004,MATCH($D71,Workers!$A$5:$A$2004,0)),""))</f>
        <v>Steel Fixer</v>
      </c>
      <c r="M71" s="26" t="n">
        <f aca="false">IF($D71="","",IFERROR(INDEX(ClientRates!$D$5:$D$500,MATCH($B71&amp;"|"&amp;$L71,ClientRates!$A$5:$A$500,0)),0))</f>
        <v>25.3</v>
      </c>
      <c r="N71" s="26" t="n">
        <f aca="false">IF($D71="","",IFERROR(INDEX(ClientRates!$E$5:$E$500,MATCH($B71&amp;"|"&amp;$L71,ClientRates!$A$5:$A$500,0)),0))</f>
        <v>31.62</v>
      </c>
      <c r="O71" s="26" t="n">
        <f aca="false">IF($D71="","",F71*M71+G71*N71)</f>
        <v>4452.8</v>
      </c>
      <c r="P71" s="26" t="n">
        <f aca="false">IF(OR($D71="",$J71&lt;&gt;"Supplier"),"",IFERROR(INDEX(SupplierRates!$D$5:$D$500,MATCH($K71&amp;"|"&amp;$L71,SupplierRates!$A$5:$A$500,0)),0))</f>
        <v>17.25</v>
      </c>
      <c r="Q71" s="26" t="n">
        <f aca="false">IF(OR($D71="",$J71&lt;&gt;"Supplier"),"",IFERROR(INDEX(SupplierRates!$E$5:$E$500,MATCH($K71&amp;"|"&amp;$L71,SupplierRates!$A$5:$A$500,0)),0))</f>
        <v>21.56</v>
      </c>
      <c r="R71" s="26" t="n">
        <f aca="false">IF(OR($D71="",$J71&lt;&gt;"Supplier"),0,F71*P71+G71*Q71)</f>
        <v>3036</v>
      </c>
      <c r="S71" s="26" t="n">
        <f aca="false">IF(OR($D71="",$J71&lt;&gt;"Own"),0,IFERROR((F71+G71*Settings!$B$13)*INDEX(Workers!$V$5:$V$2004,MATCH($D71,Workers!$A$5:$A$2004,0)),0))</f>
        <v>0</v>
      </c>
      <c r="T71" s="26" t="n">
        <f aca="false">IF($D71="","",O71-R71-S71)</f>
        <v>1416.8</v>
      </c>
    </row>
    <row r="72" customFormat="false" ht="15" hidden="false" customHeight="false" outlineLevel="0" collapsed="false">
      <c r="A72" s="41" t="n">
        <v>46296</v>
      </c>
      <c r="B72" s="33" t="s">
        <v>166</v>
      </c>
      <c r="C72" s="33" t="s">
        <v>548</v>
      </c>
      <c r="D72" s="33" t="s">
        <v>507</v>
      </c>
      <c r="E72" s="33" t="n">
        <v>22</v>
      </c>
      <c r="F72" s="33" t="n">
        <v>176</v>
      </c>
      <c r="G72" s="33" t="n">
        <v>0</v>
      </c>
      <c r="H72" s="33" t="s">
        <v>546</v>
      </c>
      <c r="I72" s="24" t="str">
        <f aca="false">IF($D72="","",IFERROR(INDEX(Workers!$B$5:$B$2004,MATCH($D72,Workers!$A$5:$A$2004,0)),"NOT FOUND"))</f>
        <v>Prakash Thapa</v>
      </c>
      <c r="J72" s="24" t="str">
        <f aca="false">IF($D72="","",IFERROR(INDEX(Workers!$C$5:$C$2004,MATCH($D72,Workers!$A$5:$A$2004,0)),""))</f>
        <v>Supplier</v>
      </c>
      <c r="K72" s="24" t="str">
        <f aca="false">IF($D72="","",IFERROR(IF(INDEX(Workers!$D$5:$D$2004,MATCH($D72,Workers!$A$5:$A$2004,0))=0,"",INDEX(Workers!$D$5:$D$2004,MATCH($D72,Workers!$A$5:$A$2004,0))),""))</f>
        <v>S003</v>
      </c>
      <c r="L72" s="24" t="str">
        <f aca="false">IF($D72="","",IFERROR(INDEX(Workers!$E$5:$E$2004,MATCH($D72,Workers!$A$5:$A$2004,0)),""))</f>
        <v>Driver</v>
      </c>
      <c r="M72" s="26" t="n">
        <f aca="false">IF($D72="","",IFERROR(INDEX(ClientRates!$D$5:$D$500,MATCH($B72&amp;"|"&amp;$L72,ClientRates!$A$5:$A$500,0)),0))</f>
        <v>24</v>
      </c>
      <c r="N72" s="26" t="n">
        <f aca="false">IF($D72="","",IFERROR(INDEX(ClientRates!$E$5:$E$500,MATCH($B72&amp;"|"&amp;$L72,ClientRates!$A$5:$A$500,0)),0))</f>
        <v>30</v>
      </c>
      <c r="O72" s="26" t="n">
        <f aca="false">IF($D72="","",F72*M72+G72*N72)</f>
        <v>4224</v>
      </c>
      <c r="P72" s="26" t="n">
        <f aca="false">IF(OR($D72="",$J72&lt;&gt;"Supplier"),"",IFERROR(INDEX(SupplierRates!$D$5:$D$500,MATCH($K72&amp;"|"&amp;$L72,SupplierRates!$A$5:$A$500,0)),0))</f>
        <v>16.8</v>
      </c>
      <c r="Q72" s="26" t="n">
        <f aca="false">IF(OR($D72="",$J72&lt;&gt;"Supplier"),"",IFERROR(INDEX(SupplierRates!$E$5:$E$500,MATCH($K72&amp;"|"&amp;$L72,SupplierRates!$A$5:$A$500,0)),0))</f>
        <v>21</v>
      </c>
      <c r="R72" s="26" t="n">
        <f aca="false">IF(OR($D72="",$J72&lt;&gt;"Supplier"),0,F72*P72+G72*Q72)</f>
        <v>2956.8</v>
      </c>
      <c r="S72" s="26" t="n">
        <f aca="false">IF(OR($D72="",$J72&lt;&gt;"Own"),0,IFERROR((F72+G72*Settings!$B$13)*INDEX(Workers!$V$5:$V$2004,MATCH($D72,Workers!$A$5:$A$2004,0)),0))</f>
        <v>0</v>
      </c>
      <c r="T72" s="26" t="n">
        <f aca="false">IF($D72="","",O72-R72-S72)</f>
        <v>1267.2</v>
      </c>
    </row>
    <row r="73" customFormat="false" ht="15" hidden="false" customHeight="false" outlineLevel="0" collapsed="false">
      <c r="A73" s="41" t="n">
        <v>46296</v>
      </c>
      <c r="B73" s="33" t="s">
        <v>166</v>
      </c>
      <c r="C73" s="33" t="s">
        <v>545</v>
      </c>
      <c r="D73" s="33" t="s">
        <v>510</v>
      </c>
      <c r="E73" s="33" t="n">
        <v>23</v>
      </c>
      <c r="F73" s="33" t="n">
        <v>184</v>
      </c>
      <c r="G73" s="33" t="n">
        <v>0</v>
      </c>
      <c r="H73" s="33" t="s">
        <v>546</v>
      </c>
      <c r="I73" s="24" t="str">
        <f aca="false">IF($D73="","",IFERROR(INDEX(Workers!$B$5:$B$2004,MATCH($D73,Workers!$A$5:$A$2004,0)),"NOT FOUND"))</f>
        <v>Dinesh Khan</v>
      </c>
      <c r="J73" s="24" t="str">
        <f aca="false">IF($D73="","",IFERROR(INDEX(Workers!$C$5:$C$2004,MATCH($D73,Workers!$A$5:$A$2004,0)),""))</f>
        <v>Supplier</v>
      </c>
      <c r="K73" s="24" t="str">
        <f aca="false">IF($D73="","",IFERROR(IF(INDEX(Workers!$D$5:$D$2004,MATCH($D73,Workers!$A$5:$A$2004,0))=0,"",INDEX(Workers!$D$5:$D$2004,MATCH($D73,Workers!$A$5:$A$2004,0))),""))</f>
        <v>S001</v>
      </c>
      <c r="L73" s="24" t="str">
        <f aca="false">IF($D73="","",IFERROR(INDEX(Workers!$E$5:$E$2004,MATCH($D73,Workers!$A$5:$A$2004,0)),""))</f>
        <v>Electrician</v>
      </c>
      <c r="M73" s="26" t="n">
        <f aca="false">IF($D73="","",IFERROR(INDEX(ClientRates!$D$5:$D$500,MATCH($B73&amp;"|"&amp;$L73,ClientRates!$A$5:$A$500,0)),0))</f>
        <v>26</v>
      </c>
      <c r="N73" s="26" t="n">
        <f aca="false">IF($D73="","",IFERROR(INDEX(ClientRates!$E$5:$E$500,MATCH($B73&amp;"|"&amp;$L73,ClientRates!$A$5:$A$500,0)),0))</f>
        <v>32.5</v>
      </c>
      <c r="O73" s="26" t="n">
        <f aca="false">IF($D73="","",F73*M73+G73*N73)</f>
        <v>4784</v>
      </c>
      <c r="P73" s="26" t="n">
        <f aca="false">IF(OR($D73="",$J73&lt;&gt;"Supplier"),"",IFERROR(INDEX(SupplierRates!$D$5:$D$500,MATCH($K73&amp;"|"&amp;$L73,SupplierRates!$A$5:$A$500,0)),0))</f>
        <v>18.72</v>
      </c>
      <c r="Q73" s="26" t="n">
        <f aca="false">IF(OR($D73="",$J73&lt;&gt;"Supplier"),"",IFERROR(INDEX(SupplierRates!$E$5:$E$500,MATCH($K73&amp;"|"&amp;$L73,SupplierRates!$A$5:$A$500,0)),0))</f>
        <v>23.4</v>
      </c>
      <c r="R73" s="26" t="n">
        <f aca="false">IF(OR($D73="",$J73&lt;&gt;"Supplier"),0,F73*P73+G73*Q73)</f>
        <v>3444.48</v>
      </c>
      <c r="S73" s="26" t="n">
        <f aca="false">IF(OR($D73="",$J73&lt;&gt;"Own"),0,IFERROR((F73+G73*Settings!$B$13)*INDEX(Workers!$V$5:$V$2004,MATCH($D73,Workers!$A$5:$A$2004,0)),0))</f>
        <v>0</v>
      </c>
      <c r="T73" s="26" t="n">
        <f aca="false">IF($D73="","",O73-R73-S73)</f>
        <v>1339.52</v>
      </c>
    </row>
    <row r="74" customFormat="false" ht="15" hidden="false" customHeight="false" outlineLevel="0" collapsed="false">
      <c r="A74" s="41" t="n">
        <v>46296</v>
      </c>
      <c r="B74" s="33" t="s">
        <v>178</v>
      </c>
      <c r="C74" s="33" t="s">
        <v>549</v>
      </c>
      <c r="D74" s="33" t="s">
        <v>513</v>
      </c>
      <c r="E74" s="33" t="n">
        <v>26</v>
      </c>
      <c r="F74" s="33" t="n">
        <v>208</v>
      </c>
      <c r="G74" s="33" t="n">
        <v>16</v>
      </c>
      <c r="H74" s="33" t="s">
        <v>550</v>
      </c>
      <c r="I74" s="24" t="str">
        <f aca="false">IF($D74="","",IFERROR(INDEX(Workers!$B$5:$B$2004,MATCH($D74,Workers!$A$5:$A$2004,0)),"NOT FOUND"))</f>
        <v>Ronel Kumar</v>
      </c>
      <c r="J74" s="24" t="str">
        <f aca="false">IF($D74="","",IFERROR(INDEX(Workers!$C$5:$C$2004,MATCH($D74,Workers!$A$5:$A$2004,0)),""))</f>
        <v>Supplier</v>
      </c>
      <c r="K74" s="24" t="str">
        <f aca="false">IF($D74="","",IFERROR(IF(INDEX(Workers!$D$5:$D$2004,MATCH($D74,Workers!$A$5:$A$2004,0))=0,"",INDEX(Workers!$D$5:$D$2004,MATCH($D74,Workers!$A$5:$A$2004,0))),""))</f>
        <v>S002</v>
      </c>
      <c r="L74" s="24" t="str">
        <f aca="false">IF($D74="","",IFERROR(INDEX(Workers!$E$5:$E$2004,MATCH($D74,Workers!$A$5:$A$2004,0)),""))</f>
        <v>Carpenter</v>
      </c>
      <c r="M74" s="26" t="n">
        <f aca="false">IF($D74="","",IFERROR(INDEX(ClientRates!$D$5:$D$500,MATCH($B74&amp;"|"&amp;$L74,ClientRates!$A$5:$A$500,0)),0))</f>
        <v>20.9</v>
      </c>
      <c r="N74" s="26" t="n">
        <f aca="false">IF($D74="","",IFERROR(INDEX(ClientRates!$E$5:$E$500,MATCH($B74&amp;"|"&amp;$L74,ClientRates!$A$5:$A$500,0)),0))</f>
        <v>26.12</v>
      </c>
      <c r="O74" s="26" t="n">
        <f aca="false">IF($D74="","",F74*M74+G74*N74)</f>
        <v>4765.12</v>
      </c>
      <c r="P74" s="26" t="n">
        <f aca="false">IF(OR($D74="",$J74&lt;&gt;"Supplier"),"",IFERROR(INDEX(SupplierRates!$D$5:$D$500,MATCH($K74&amp;"|"&amp;$L74,SupplierRates!$A$5:$A$500,0)),0))</f>
        <v>16.5</v>
      </c>
      <c r="Q74" s="26" t="n">
        <f aca="false">IF(OR($D74="",$J74&lt;&gt;"Supplier"),"",IFERROR(INDEX(SupplierRates!$E$5:$E$500,MATCH($K74&amp;"|"&amp;$L74,SupplierRates!$A$5:$A$500,0)),0))</f>
        <v>20.62</v>
      </c>
      <c r="R74" s="26" t="n">
        <f aca="false">IF(OR($D74="",$J74&lt;&gt;"Supplier"),0,F74*P74+G74*Q74)</f>
        <v>3761.92</v>
      </c>
      <c r="S74" s="26" t="n">
        <f aca="false">IF(OR($D74="",$J74&lt;&gt;"Own"),0,IFERROR((F74+G74*Settings!$B$13)*INDEX(Workers!$V$5:$V$2004,MATCH($D74,Workers!$A$5:$A$2004,0)),0))</f>
        <v>0</v>
      </c>
      <c r="T74" s="26" t="n">
        <f aca="false">IF($D74="","",O74-R74-S74)</f>
        <v>1003.2</v>
      </c>
    </row>
    <row r="75" customFormat="false" ht="15" hidden="false" customHeight="false" outlineLevel="0" collapsed="false">
      <c r="A75" s="41" t="n">
        <v>46296</v>
      </c>
      <c r="B75" s="33" t="s">
        <v>172</v>
      </c>
      <c r="C75" s="33" t="s">
        <v>547</v>
      </c>
      <c r="D75" s="33" t="s">
        <v>516</v>
      </c>
      <c r="E75" s="33" t="n">
        <v>22</v>
      </c>
      <c r="F75" s="33" t="n">
        <v>176</v>
      </c>
      <c r="G75" s="33" t="n">
        <v>30</v>
      </c>
      <c r="H75" s="33" t="s">
        <v>544</v>
      </c>
      <c r="I75" s="24" t="str">
        <f aca="false">IF($D75="","",IFERROR(INDEX(Workers!$B$5:$B$2004,MATCH($D75,Workers!$A$5:$A$2004,0)),"NOT FOUND"))</f>
        <v>Bikash Pillai</v>
      </c>
      <c r="J75" s="24" t="str">
        <f aca="false">IF($D75="","",IFERROR(INDEX(Workers!$C$5:$C$2004,MATCH($D75,Workers!$A$5:$A$2004,0)),""))</f>
        <v>Supplier</v>
      </c>
      <c r="K75" s="24" t="str">
        <f aca="false">IF($D75="","",IFERROR(IF(INDEX(Workers!$D$5:$D$2004,MATCH($D75,Workers!$A$5:$A$2004,0))=0,"",INDEX(Workers!$D$5:$D$2004,MATCH($D75,Workers!$A$5:$A$2004,0))),""))</f>
        <v>S003</v>
      </c>
      <c r="L75" s="24" t="str">
        <f aca="false">IF($D75="","",IFERROR(INDEX(Workers!$E$5:$E$2004,MATCH($D75,Workers!$A$5:$A$2004,0)),""))</f>
        <v>Mason</v>
      </c>
      <c r="M75" s="26" t="n">
        <f aca="false">IF($D75="","",IFERROR(INDEX(ClientRates!$D$5:$D$500,MATCH($B75&amp;"|"&amp;$L75,ClientRates!$A$5:$A$500,0)),0))</f>
        <v>24.2</v>
      </c>
      <c r="N75" s="26" t="n">
        <f aca="false">IF($D75="","",IFERROR(INDEX(ClientRates!$E$5:$E$500,MATCH($B75&amp;"|"&amp;$L75,ClientRates!$A$5:$A$500,0)),0))</f>
        <v>30.25</v>
      </c>
      <c r="O75" s="26" t="n">
        <f aca="false">IF($D75="","",F75*M75+G75*N75)</f>
        <v>5166.7</v>
      </c>
      <c r="P75" s="26" t="n">
        <f aca="false">IF(OR($D75="",$J75&lt;&gt;"Supplier"),"",IFERROR(INDEX(SupplierRates!$D$5:$D$500,MATCH($K75&amp;"|"&amp;$L75,SupplierRates!$A$5:$A$500,0)),0))</f>
        <v>15.4</v>
      </c>
      <c r="Q75" s="26" t="n">
        <f aca="false">IF(OR($D75="",$J75&lt;&gt;"Supplier"),"",IFERROR(INDEX(SupplierRates!$E$5:$E$500,MATCH($K75&amp;"|"&amp;$L75,SupplierRates!$A$5:$A$500,0)),0))</f>
        <v>19.25</v>
      </c>
      <c r="R75" s="26" t="n">
        <f aca="false">IF(OR($D75="",$J75&lt;&gt;"Supplier"),0,F75*P75+G75*Q75)</f>
        <v>3287.9</v>
      </c>
      <c r="S75" s="26" t="n">
        <f aca="false">IF(OR($D75="",$J75&lt;&gt;"Own"),0,IFERROR((F75+G75*Settings!$B$13)*INDEX(Workers!$V$5:$V$2004,MATCH($D75,Workers!$A$5:$A$2004,0)),0))</f>
        <v>0</v>
      </c>
      <c r="T75" s="26" t="n">
        <f aca="false">IF($D75="","",O75-R75-S75)</f>
        <v>1878.8</v>
      </c>
    </row>
    <row r="76" customFormat="false" ht="15" hidden="false" customHeight="false" outlineLevel="0" collapsed="false">
      <c r="A76" s="41" t="n">
        <v>46296</v>
      </c>
      <c r="B76" s="33" t="s">
        <v>172</v>
      </c>
      <c r="C76" s="33" t="s">
        <v>547</v>
      </c>
      <c r="D76" s="33" t="s">
        <v>519</v>
      </c>
      <c r="E76" s="33" t="n">
        <v>22</v>
      </c>
      <c r="F76" s="33" t="n">
        <v>176</v>
      </c>
      <c r="G76" s="33" t="n">
        <v>26</v>
      </c>
      <c r="H76" s="33" t="s">
        <v>544</v>
      </c>
      <c r="I76" s="24" t="str">
        <f aca="false">IF($D76="","",IFERROR(INDEX(Workers!$B$5:$B$2004,MATCH($D76,Workers!$A$5:$A$2004,0)),"NOT FOUND"))</f>
        <v>Mohan Khan</v>
      </c>
      <c r="J76" s="24" t="str">
        <f aca="false">IF($D76="","",IFERROR(INDEX(Workers!$C$5:$C$2004,MATCH($D76,Workers!$A$5:$A$2004,0)),""))</f>
        <v>Supplier</v>
      </c>
      <c r="K76" s="24" t="str">
        <f aca="false">IF($D76="","",IFERROR(IF(INDEX(Workers!$D$5:$D$2004,MATCH($D76,Workers!$A$5:$A$2004,0))=0,"",INDEX(Workers!$D$5:$D$2004,MATCH($D76,Workers!$A$5:$A$2004,0))),""))</f>
        <v>S001</v>
      </c>
      <c r="L76" s="24" t="str">
        <f aca="false">IF($D76="","",IFERROR(INDEX(Workers!$E$5:$E$2004,MATCH($D76,Workers!$A$5:$A$2004,0)),""))</f>
        <v>Carpenter</v>
      </c>
      <c r="M76" s="26" t="n">
        <f aca="false">IF($D76="","",IFERROR(INDEX(ClientRates!$D$5:$D$500,MATCH($B76&amp;"|"&amp;$L76,ClientRates!$A$5:$A$500,0)),0))</f>
        <v>24.2</v>
      </c>
      <c r="N76" s="26" t="n">
        <f aca="false">IF($D76="","",IFERROR(INDEX(ClientRates!$E$5:$E$500,MATCH($B76&amp;"|"&amp;$L76,ClientRates!$A$5:$A$500,0)),0))</f>
        <v>30.25</v>
      </c>
      <c r="O76" s="26" t="n">
        <f aca="false">IF($D76="","",F76*M76+G76*N76)</f>
        <v>5045.7</v>
      </c>
      <c r="P76" s="26" t="n">
        <f aca="false">IF(OR($D76="",$J76&lt;&gt;"Supplier"),"",IFERROR(INDEX(SupplierRates!$D$5:$D$500,MATCH($K76&amp;"|"&amp;$L76,SupplierRates!$A$5:$A$500,0)),0))</f>
        <v>15.84</v>
      </c>
      <c r="Q76" s="26" t="n">
        <f aca="false">IF(OR($D76="",$J76&lt;&gt;"Supplier"),"",IFERROR(INDEX(SupplierRates!$E$5:$E$500,MATCH($K76&amp;"|"&amp;$L76,SupplierRates!$A$5:$A$500,0)),0))</f>
        <v>19.8</v>
      </c>
      <c r="R76" s="26" t="n">
        <f aca="false">IF(OR($D76="",$J76&lt;&gt;"Supplier"),0,F76*P76+G76*Q76)</f>
        <v>3302.64</v>
      </c>
      <c r="S76" s="26" t="n">
        <f aca="false">IF(OR($D76="",$J76&lt;&gt;"Own"),0,IFERROR((F76+G76*Settings!$B$13)*INDEX(Workers!$V$5:$V$2004,MATCH($D76,Workers!$A$5:$A$2004,0)),0))</f>
        <v>0</v>
      </c>
      <c r="T76" s="26" t="n">
        <f aca="false">IF($D76="","",O76-R76-S76)</f>
        <v>1743.06</v>
      </c>
    </row>
    <row r="77" customFormat="false" ht="15" hidden="false" customHeight="false" outlineLevel="0" collapsed="false">
      <c r="A77" s="41" t="n">
        <v>46296</v>
      </c>
      <c r="B77" s="33" t="s">
        <v>184</v>
      </c>
      <c r="C77" s="33" t="s">
        <v>553</v>
      </c>
      <c r="D77" s="33" t="s">
        <v>522</v>
      </c>
      <c r="E77" s="33" t="n">
        <v>25</v>
      </c>
      <c r="F77" s="33" t="n">
        <v>200</v>
      </c>
      <c r="G77" s="33" t="n">
        <v>0</v>
      </c>
      <c r="H77" s="33" t="s">
        <v>552</v>
      </c>
      <c r="I77" s="24" t="str">
        <f aca="false">IF($D77="","",IFERROR(INDEX(Workers!$B$5:$B$2004,MATCH($D77,Workers!$A$5:$A$2004,0)),"NOT FOUND"))</f>
        <v>Bilal Santos</v>
      </c>
      <c r="J77" s="24" t="str">
        <f aca="false">IF($D77="","",IFERROR(INDEX(Workers!$C$5:$C$2004,MATCH($D77,Workers!$A$5:$A$2004,0)),""))</f>
        <v>Supplier</v>
      </c>
      <c r="K77" s="24" t="str">
        <f aca="false">IF($D77="","",IFERROR(IF(INDEX(Workers!$D$5:$D$2004,MATCH($D77,Workers!$A$5:$A$2004,0))=0,"",INDEX(Workers!$D$5:$D$2004,MATCH($D77,Workers!$A$5:$A$2004,0))),""))</f>
        <v>S002</v>
      </c>
      <c r="L77" s="24" t="str">
        <f aca="false">IF($D77="","",IFERROR(INDEX(Workers!$E$5:$E$2004,MATCH($D77,Workers!$A$5:$A$2004,0)),""))</f>
        <v>Carpenter</v>
      </c>
      <c r="M77" s="26" t="n">
        <f aca="false">IF($D77="","",IFERROR(INDEX(ClientRates!$D$5:$D$500,MATCH($B77&amp;"|"&amp;$L77,ClientRates!$A$5:$A$500,0)),0))</f>
        <v>23.1</v>
      </c>
      <c r="N77" s="26" t="n">
        <f aca="false">IF($D77="","",IFERROR(INDEX(ClientRates!$E$5:$E$500,MATCH($B77&amp;"|"&amp;$L77,ClientRates!$A$5:$A$500,0)),0))</f>
        <v>28.88</v>
      </c>
      <c r="O77" s="26" t="n">
        <f aca="false">IF($D77="","",F77*M77+G77*N77)</f>
        <v>4620</v>
      </c>
      <c r="P77" s="26" t="n">
        <f aca="false">IF(OR($D77="",$J77&lt;&gt;"Supplier"),"",IFERROR(INDEX(SupplierRates!$D$5:$D$500,MATCH($K77&amp;"|"&amp;$L77,SupplierRates!$A$5:$A$500,0)),0))</f>
        <v>16.5</v>
      </c>
      <c r="Q77" s="26" t="n">
        <f aca="false">IF(OR($D77="",$J77&lt;&gt;"Supplier"),"",IFERROR(INDEX(SupplierRates!$E$5:$E$500,MATCH($K77&amp;"|"&amp;$L77,SupplierRates!$A$5:$A$500,0)),0))</f>
        <v>20.62</v>
      </c>
      <c r="R77" s="26" t="n">
        <f aca="false">IF(OR($D77="",$J77&lt;&gt;"Supplier"),0,F77*P77+G77*Q77)</f>
        <v>3300</v>
      </c>
      <c r="S77" s="26" t="n">
        <f aca="false">IF(OR($D77="",$J77&lt;&gt;"Own"),0,IFERROR((F77+G77*Settings!$B$13)*INDEX(Workers!$V$5:$V$2004,MATCH($D77,Workers!$A$5:$A$2004,0)),0))</f>
        <v>0</v>
      </c>
      <c r="T77" s="26" t="n">
        <f aca="false">IF($D77="","",O77-R77-S77)</f>
        <v>1320</v>
      </c>
    </row>
    <row r="78" customFormat="false" ht="15" hidden="false" customHeight="false" outlineLevel="0" collapsed="false">
      <c r="A78" s="41" t="n">
        <v>46296</v>
      </c>
      <c r="B78" s="33" t="s">
        <v>166</v>
      </c>
      <c r="C78" s="33" t="s">
        <v>548</v>
      </c>
      <c r="D78" s="33" t="s">
        <v>525</v>
      </c>
      <c r="E78" s="33" t="n">
        <v>22</v>
      </c>
      <c r="F78" s="33" t="n">
        <v>176</v>
      </c>
      <c r="G78" s="33" t="n">
        <v>0</v>
      </c>
      <c r="H78" s="33" t="s">
        <v>546</v>
      </c>
      <c r="I78" s="24" t="str">
        <f aca="false">IF($D78="","",IFERROR(INDEX(Workers!$B$5:$B$2004,MATCH($D78,Workers!$A$5:$A$2004,0)),"NOT FOUND"))</f>
        <v>Anwar Kumar</v>
      </c>
      <c r="J78" s="24" t="str">
        <f aca="false">IF($D78="","",IFERROR(INDEX(Workers!$C$5:$C$2004,MATCH($D78,Workers!$A$5:$A$2004,0)),""))</f>
        <v>Supplier</v>
      </c>
      <c r="K78" s="24" t="str">
        <f aca="false">IF($D78="","",IFERROR(IF(INDEX(Workers!$D$5:$D$2004,MATCH($D78,Workers!$A$5:$A$2004,0))=0,"",INDEX(Workers!$D$5:$D$2004,MATCH($D78,Workers!$A$5:$A$2004,0))),""))</f>
        <v>S003</v>
      </c>
      <c r="L78" s="24" t="str">
        <f aca="false">IF($D78="","",IFERROR(INDEX(Workers!$E$5:$E$2004,MATCH($D78,Workers!$A$5:$A$2004,0)),""))</f>
        <v>Electrician</v>
      </c>
      <c r="M78" s="26" t="n">
        <f aca="false">IF($D78="","",IFERROR(INDEX(ClientRates!$D$5:$D$500,MATCH($B78&amp;"|"&amp;$L78,ClientRates!$A$5:$A$500,0)),0))</f>
        <v>26</v>
      </c>
      <c r="N78" s="26" t="n">
        <f aca="false">IF($D78="","",IFERROR(INDEX(ClientRates!$E$5:$E$500,MATCH($B78&amp;"|"&amp;$L78,ClientRates!$A$5:$A$500,0)),0))</f>
        <v>32.5</v>
      </c>
      <c r="O78" s="26" t="n">
        <f aca="false">IF($D78="","",F78*M78+G78*N78)</f>
        <v>4576</v>
      </c>
      <c r="P78" s="26" t="n">
        <f aca="false">IF(OR($D78="",$J78&lt;&gt;"Supplier"),"",IFERROR(INDEX(SupplierRates!$D$5:$D$500,MATCH($K78&amp;"|"&amp;$L78,SupplierRates!$A$5:$A$500,0)),0))</f>
        <v>18.2</v>
      </c>
      <c r="Q78" s="26" t="n">
        <f aca="false">IF(OR($D78="",$J78&lt;&gt;"Supplier"),"",IFERROR(INDEX(SupplierRates!$E$5:$E$500,MATCH($K78&amp;"|"&amp;$L78,SupplierRates!$A$5:$A$500,0)),0))</f>
        <v>22.75</v>
      </c>
      <c r="R78" s="26" t="n">
        <f aca="false">IF(OR($D78="",$J78&lt;&gt;"Supplier"),0,F78*P78+G78*Q78)</f>
        <v>3203.2</v>
      </c>
      <c r="S78" s="26" t="n">
        <f aca="false">IF(OR($D78="",$J78&lt;&gt;"Own"),0,IFERROR((F78+G78*Settings!$B$13)*INDEX(Workers!$V$5:$V$2004,MATCH($D78,Workers!$A$5:$A$2004,0)),0))</f>
        <v>0</v>
      </c>
      <c r="T78" s="26" t="n">
        <f aca="false">IF($D78="","",O78-R78-S78)</f>
        <v>1372.8</v>
      </c>
    </row>
    <row r="79" customFormat="false" ht="15" hidden="false" customHeight="false" outlineLevel="0" collapsed="false">
      <c r="A79" s="41" t="n">
        <v>46266</v>
      </c>
      <c r="B79" s="33" t="s">
        <v>166</v>
      </c>
      <c r="C79" s="33" t="s">
        <v>548</v>
      </c>
      <c r="D79" s="33" t="s">
        <v>236</v>
      </c>
      <c r="E79" s="33" t="n">
        <v>25</v>
      </c>
      <c r="F79" s="33" t="n">
        <v>200</v>
      </c>
      <c r="G79" s="33" t="n">
        <v>12</v>
      </c>
      <c r="H79" s="33" t="s">
        <v>554</v>
      </c>
      <c r="I79" s="24" t="str">
        <f aca="false">IF($D79="","",IFERROR(INDEX(Workers!$B$5:$B$2004,MATCH($D79,Workers!$A$5:$A$2004,0)),"NOT FOUND"))</f>
        <v>Marlon Khan</v>
      </c>
      <c r="J79" s="24" t="str">
        <f aca="false">IF($D79="","",IFERROR(INDEX(Workers!$C$5:$C$2004,MATCH($D79,Workers!$A$5:$A$2004,0)),""))</f>
        <v>Own</v>
      </c>
      <c r="K79" s="24" t="str">
        <f aca="false">IF($D79="","",IFERROR(IF(INDEX(Workers!$D$5:$D$2004,MATCH($D79,Workers!$A$5:$A$2004,0))=0,"",INDEX(Workers!$D$5:$D$2004,MATCH($D79,Workers!$A$5:$A$2004,0))),""))</f>
        <v/>
      </c>
      <c r="L79" s="24" t="str">
        <f aca="false">IF($D79="","",IFERROR(INDEX(Workers!$E$5:$E$2004,MATCH($D79,Workers!$A$5:$A$2004,0)),""))</f>
        <v>Steel Fixer</v>
      </c>
      <c r="M79" s="26" t="n">
        <f aca="false">IF($D79="","",IFERROR(INDEX(ClientRates!$D$5:$D$500,MATCH($B79&amp;"|"&amp;$L79,ClientRates!$A$5:$A$500,0)),0))</f>
        <v>23</v>
      </c>
      <c r="N79" s="26" t="n">
        <f aca="false">IF($D79="","",IFERROR(INDEX(ClientRates!$E$5:$E$500,MATCH($B79&amp;"|"&amp;$L79,ClientRates!$A$5:$A$500,0)),0))</f>
        <v>28.75</v>
      </c>
      <c r="O79" s="26" t="n">
        <f aca="false">IF($D79="","",F79*M79+G79*N79)</f>
        <v>4945</v>
      </c>
      <c r="P79" s="26" t="str">
        <f aca="false">IF(OR($D79="",$J79&lt;&gt;"Supplier"),"",IFERROR(INDEX(SupplierRates!$D$5:$D$500,MATCH($K79&amp;"|"&amp;$L79,SupplierRates!$A$5:$A$500,0)),0))</f>
        <v/>
      </c>
      <c r="Q79" s="26" t="str">
        <f aca="false">IF(OR($D79="",$J79&lt;&gt;"Supplier"),"",IFERROR(INDEX(SupplierRates!$E$5:$E$500,MATCH($K79&amp;"|"&amp;$L79,SupplierRates!$A$5:$A$500,0)),0))</f>
        <v/>
      </c>
      <c r="R79" s="26" t="n">
        <f aca="false">IF(OR($D79="",$J79&lt;&gt;"Supplier"),0,F79*P79+G79*Q79)</f>
        <v>0</v>
      </c>
      <c r="S79" s="26" t="n">
        <f aca="false">IF(OR($D79="",$J79&lt;&gt;"Own"),0,IFERROR((F79+G79*Settings!$B$13)*INDEX(Workers!$V$5:$V$2004,MATCH($D79,Workers!$A$5:$A$2004,0)),0))</f>
        <v>1860.57692307692</v>
      </c>
      <c r="T79" s="26" t="n">
        <f aca="false">IF($D79="","",O79-R79-S79)</f>
        <v>3084.42307692308</v>
      </c>
    </row>
    <row r="80" customFormat="false" ht="15" hidden="false" customHeight="false" outlineLevel="0" collapsed="false">
      <c r="A80" s="41" t="n">
        <v>46266</v>
      </c>
      <c r="B80" s="33" t="s">
        <v>166</v>
      </c>
      <c r="C80" s="33" t="s">
        <v>548</v>
      </c>
      <c r="D80" s="33" t="s">
        <v>243</v>
      </c>
      <c r="E80" s="33" t="n">
        <v>25</v>
      </c>
      <c r="F80" s="33" t="n">
        <v>200</v>
      </c>
      <c r="G80" s="33" t="n">
        <v>12</v>
      </c>
      <c r="H80" s="33" t="s">
        <v>554</v>
      </c>
      <c r="I80" s="24" t="str">
        <f aca="false">IF($D80="","",IFERROR(INDEX(Workers!$B$5:$B$2004,MATCH($D80,Workers!$A$5:$A$2004,0)),"NOT FOUND"))</f>
        <v>Rohan Ali</v>
      </c>
      <c r="J80" s="24" t="str">
        <f aca="false">IF($D80="","",IFERROR(INDEX(Workers!$C$5:$C$2004,MATCH($D80,Workers!$A$5:$A$2004,0)),""))</f>
        <v>Own</v>
      </c>
      <c r="K80" s="24" t="str">
        <f aca="false">IF($D80="","",IFERROR(IF(INDEX(Workers!$D$5:$D$2004,MATCH($D80,Workers!$A$5:$A$2004,0))=0,"",INDEX(Workers!$D$5:$D$2004,MATCH($D80,Workers!$A$5:$A$2004,0))),""))</f>
        <v/>
      </c>
      <c r="L80" s="24" t="str">
        <f aca="false">IF($D80="","",IFERROR(INDEX(Workers!$E$5:$E$2004,MATCH($D80,Workers!$A$5:$A$2004,0)),""))</f>
        <v>Helper</v>
      </c>
      <c r="M80" s="26" t="n">
        <f aca="false">IF($D80="","",IFERROR(INDEX(ClientRates!$D$5:$D$500,MATCH($B80&amp;"|"&amp;$L80,ClientRates!$A$5:$A$500,0)),0))</f>
        <v>16</v>
      </c>
      <c r="N80" s="26" t="n">
        <f aca="false">IF($D80="","",IFERROR(INDEX(ClientRates!$E$5:$E$500,MATCH($B80&amp;"|"&amp;$L80,ClientRates!$A$5:$A$500,0)),0))</f>
        <v>20</v>
      </c>
      <c r="O80" s="26" t="n">
        <f aca="false">IF($D80="","",F80*M80+G80*N80)</f>
        <v>3440</v>
      </c>
      <c r="P80" s="26" t="str">
        <f aca="false">IF(OR($D80="",$J80&lt;&gt;"Supplier"),"",IFERROR(INDEX(SupplierRates!$D$5:$D$500,MATCH($K80&amp;"|"&amp;$L80,SupplierRates!$A$5:$A$500,0)),0))</f>
        <v/>
      </c>
      <c r="Q80" s="26" t="str">
        <f aca="false">IF(OR($D80="",$J80&lt;&gt;"Supplier"),"",IFERROR(INDEX(SupplierRates!$E$5:$E$500,MATCH($K80&amp;"|"&amp;$L80,SupplierRates!$A$5:$A$500,0)),0))</f>
        <v/>
      </c>
      <c r="R80" s="26" t="n">
        <f aca="false">IF(OR($D80="",$J80&lt;&gt;"Supplier"),0,F80*P80+G80*Q80)</f>
        <v>0</v>
      </c>
      <c r="S80" s="26" t="n">
        <f aca="false">IF(OR($D80="",$J80&lt;&gt;"Own"),0,IFERROR((F80+G80*Settings!$B$13)*INDEX(Workers!$V$5:$V$2004,MATCH($D80,Workers!$A$5:$A$2004,0)),0))</f>
        <v>1757.21153846154</v>
      </c>
      <c r="T80" s="26" t="n">
        <f aca="false">IF($D80="","",O80-R80-S80)</f>
        <v>1682.78846153846</v>
      </c>
    </row>
    <row r="81" customFormat="false" ht="15" hidden="false" customHeight="false" outlineLevel="0" collapsed="false">
      <c r="A81" s="41" t="n">
        <v>46266</v>
      </c>
      <c r="B81" s="33" t="s">
        <v>166</v>
      </c>
      <c r="C81" s="33" t="s">
        <v>548</v>
      </c>
      <c r="D81" s="33" t="s">
        <v>250</v>
      </c>
      <c r="E81" s="33" t="n">
        <v>25</v>
      </c>
      <c r="F81" s="33" t="n">
        <v>200</v>
      </c>
      <c r="G81" s="33" t="n">
        <v>12</v>
      </c>
      <c r="H81" s="33" t="s">
        <v>554</v>
      </c>
      <c r="I81" s="24" t="str">
        <f aca="false">IF($D81="","",IFERROR(INDEX(Workers!$B$5:$B$2004,MATCH($D81,Workers!$A$5:$A$2004,0)),"NOT FOUND"))</f>
        <v>Ronel Thapa</v>
      </c>
      <c r="J81" s="24" t="str">
        <f aca="false">IF($D81="","",IFERROR(INDEX(Workers!$C$5:$C$2004,MATCH($D81,Workers!$A$5:$A$2004,0)),""))</f>
        <v>Own</v>
      </c>
      <c r="K81" s="24" t="str">
        <f aca="false">IF($D81="","",IFERROR(IF(INDEX(Workers!$D$5:$D$2004,MATCH($D81,Workers!$A$5:$A$2004,0))=0,"",INDEX(Workers!$D$5:$D$2004,MATCH($D81,Workers!$A$5:$A$2004,0))),""))</f>
        <v/>
      </c>
      <c r="L81" s="24" t="str">
        <f aca="false">IF($D81="","",IFERROR(INDEX(Workers!$E$5:$E$2004,MATCH($D81,Workers!$A$5:$A$2004,0)),""))</f>
        <v>Mason</v>
      </c>
      <c r="M81" s="26" t="n">
        <f aca="false">IF($D81="","",IFERROR(INDEX(ClientRates!$D$5:$D$500,MATCH($B81&amp;"|"&amp;$L81,ClientRates!$A$5:$A$500,0)),0))</f>
        <v>22</v>
      </c>
      <c r="N81" s="26" t="n">
        <f aca="false">IF($D81="","",IFERROR(INDEX(ClientRates!$E$5:$E$500,MATCH($B81&amp;"|"&amp;$L81,ClientRates!$A$5:$A$500,0)),0))</f>
        <v>27.5</v>
      </c>
      <c r="O81" s="26" t="n">
        <f aca="false">IF($D81="","",F81*M81+G81*N81)</f>
        <v>4730</v>
      </c>
      <c r="P81" s="26" t="str">
        <f aca="false">IF(OR($D81="",$J81&lt;&gt;"Supplier"),"",IFERROR(INDEX(SupplierRates!$D$5:$D$500,MATCH($K81&amp;"|"&amp;$L81,SupplierRates!$A$5:$A$500,0)),0))</f>
        <v/>
      </c>
      <c r="Q81" s="26" t="str">
        <f aca="false">IF(OR($D81="",$J81&lt;&gt;"Supplier"),"",IFERROR(INDEX(SupplierRates!$E$5:$E$500,MATCH($K81&amp;"|"&amp;$L81,SupplierRates!$A$5:$A$500,0)),0))</f>
        <v/>
      </c>
      <c r="R81" s="26" t="n">
        <f aca="false">IF(OR($D81="",$J81&lt;&gt;"Supplier"),0,F81*P81+G81*Q81)</f>
        <v>0</v>
      </c>
      <c r="S81" s="26" t="n">
        <f aca="false">IF(OR($D81="",$J81&lt;&gt;"Own"),0,IFERROR((F81+G81*Settings!$B$13)*INDEX(Workers!$V$5:$V$2004,MATCH($D81,Workers!$A$5:$A$2004,0)),0))</f>
        <v>2067.30769230769</v>
      </c>
      <c r="T81" s="26" t="n">
        <f aca="false">IF($D81="","",O81-R81-S81)</f>
        <v>2662.69230769231</v>
      </c>
    </row>
    <row r="82" customFormat="false" ht="15" hidden="false" customHeight="false" outlineLevel="0" collapsed="false">
      <c r="A82" s="41" t="n">
        <v>46266</v>
      </c>
      <c r="B82" s="33" t="s">
        <v>166</v>
      </c>
      <c r="C82" s="33" t="s">
        <v>548</v>
      </c>
      <c r="D82" s="33" t="s">
        <v>256</v>
      </c>
      <c r="E82" s="33" t="n">
        <v>25</v>
      </c>
      <c r="F82" s="33" t="n">
        <v>200</v>
      </c>
      <c r="G82" s="33" t="n">
        <v>12</v>
      </c>
      <c r="H82" s="33" t="s">
        <v>554</v>
      </c>
      <c r="I82" s="24" t="str">
        <f aca="false">IF($D82="","",IFERROR(INDEX(Workers!$B$5:$B$2004,MATCH($D82,Workers!$A$5:$A$2004,0)),"NOT FOUND"))</f>
        <v>Tariq Varghese</v>
      </c>
      <c r="J82" s="24" t="str">
        <f aca="false">IF($D82="","",IFERROR(INDEX(Workers!$C$5:$C$2004,MATCH($D82,Workers!$A$5:$A$2004,0)),""))</f>
        <v>Own</v>
      </c>
      <c r="K82" s="24" t="str">
        <f aca="false">IF($D82="","",IFERROR(IF(INDEX(Workers!$D$5:$D$2004,MATCH($D82,Workers!$A$5:$A$2004,0))=0,"",INDEX(Workers!$D$5:$D$2004,MATCH($D82,Workers!$A$5:$A$2004,0))),""))</f>
        <v/>
      </c>
      <c r="L82" s="24" t="str">
        <f aca="false">IF($D82="","",IFERROR(INDEX(Workers!$E$5:$E$2004,MATCH($D82,Workers!$A$5:$A$2004,0)),""))</f>
        <v>Helper</v>
      </c>
      <c r="M82" s="26" t="n">
        <f aca="false">IF($D82="","",IFERROR(INDEX(ClientRates!$D$5:$D$500,MATCH($B82&amp;"|"&amp;$L82,ClientRates!$A$5:$A$500,0)),0))</f>
        <v>16</v>
      </c>
      <c r="N82" s="26" t="n">
        <f aca="false">IF($D82="","",IFERROR(INDEX(ClientRates!$E$5:$E$500,MATCH($B82&amp;"|"&amp;$L82,ClientRates!$A$5:$A$500,0)),0))</f>
        <v>20</v>
      </c>
      <c r="O82" s="26" t="n">
        <f aca="false">IF($D82="","",F82*M82+G82*N82)</f>
        <v>3440</v>
      </c>
      <c r="P82" s="26" t="str">
        <f aca="false">IF(OR($D82="",$J82&lt;&gt;"Supplier"),"",IFERROR(INDEX(SupplierRates!$D$5:$D$500,MATCH($K82&amp;"|"&amp;$L82,SupplierRates!$A$5:$A$500,0)),0))</f>
        <v/>
      </c>
      <c r="Q82" s="26" t="str">
        <f aca="false">IF(OR($D82="",$J82&lt;&gt;"Supplier"),"",IFERROR(INDEX(SupplierRates!$E$5:$E$500,MATCH($K82&amp;"|"&amp;$L82,SupplierRates!$A$5:$A$500,0)),0))</f>
        <v/>
      </c>
      <c r="R82" s="26" t="n">
        <f aca="false">IF(OR($D82="",$J82&lt;&gt;"Supplier"),0,F82*P82+G82*Q82)</f>
        <v>0</v>
      </c>
      <c r="S82" s="26" t="n">
        <f aca="false">IF(OR($D82="",$J82&lt;&gt;"Own"),0,IFERROR((F82+G82*Settings!$B$13)*INDEX(Workers!$V$5:$V$2004,MATCH($D82,Workers!$A$5:$A$2004,0)),0))</f>
        <v>2377.40384615385</v>
      </c>
      <c r="T82" s="26" t="n">
        <f aca="false">IF($D82="","",O82-R82-S82)</f>
        <v>1062.59615384615</v>
      </c>
    </row>
    <row r="83" customFormat="false" ht="15" hidden="false" customHeight="false" outlineLevel="0" collapsed="false">
      <c r="A83" s="41" t="n">
        <v>46266</v>
      </c>
      <c r="B83" s="33" t="s">
        <v>166</v>
      </c>
      <c r="C83" s="33" t="s">
        <v>548</v>
      </c>
      <c r="D83" s="33" t="s">
        <v>261</v>
      </c>
      <c r="E83" s="33" t="n">
        <v>25</v>
      </c>
      <c r="F83" s="33" t="n">
        <v>200</v>
      </c>
      <c r="G83" s="33" t="n">
        <v>12</v>
      </c>
      <c r="H83" s="33" t="s">
        <v>554</v>
      </c>
      <c r="I83" s="24" t="str">
        <f aca="false">IF($D83="","",IFERROR(INDEX(Workers!$B$5:$B$2004,MATCH($D83,Workers!$A$5:$A$2004,0)),"NOT FOUND"))</f>
        <v>Joseph Ahmed</v>
      </c>
      <c r="J83" s="24" t="str">
        <f aca="false">IF($D83="","",IFERROR(INDEX(Workers!$C$5:$C$2004,MATCH($D83,Workers!$A$5:$A$2004,0)),""))</f>
        <v>Own</v>
      </c>
      <c r="K83" s="24" t="str">
        <f aca="false">IF($D83="","",IFERROR(IF(INDEX(Workers!$D$5:$D$2004,MATCH($D83,Workers!$A$5:$A$2004,0))=0,"",INDEX(Workers!$D$5:$D$2004,MATCH($D83,Workers!$A$5:$A$2004,0))),""))</f>
        <v/>
      </c>
      <c r="L83" s="24" t="str">
        <f aca="false">IF($D83="","",IFERROR(INDEX(Workers!$E$5:$E$2004,MATCH($D83,Workers!$A$5:$A$2004,0)),""))</f>
        <v>Helper</v>
      </c>
      <c r="M83" s="26" t="n">
        <f aca="false">IF($D83="","",IFERROR(INDEX(ClientRates!$D$5:$D$500,MATCH($B83&amp;"|"&amp;$L83,ClientRates!$A$5:$A$500,0)),0))</f>
        <v>16</v>
      </c>
      <c r="N83" s="26" t="n">
        <f aca="false">IF($D83="","",IFERROR(INDEX(ClientRates!$E$5:$E$500,MATCH($B83&amp;"|"&amp;$L83,ClientRates!$A$5:$A$500,0)),0))</f>
        <v>20</v>
      </c>
      <c r="O83" s="26" t="n">
        <f aca="false">IF($D83="","",F83*M83+G83*N83)</f>
        <v>3440</v>
      </c>
      <c r="P83" s="26" t="str">
        <f aca="false">IF(OR($D83="",$J83&lt;&gt;"Supplier"),"",IFERROR(INDEX(SupplierRates!$D$5:$D$500,MATCH($K83&amp;"|"&amp;$L83,SupplierRates!$A$5:$A$500,0)),0))</f>
        <v/>
      </c>
      <c r="Q83" s="26" t="str">
        <f aca="false">IF(OR($D83="",$J83&lt;&gt;"Supplier"),"",IFERROR(INDEX(SupplierRates!$E$5:$E$500,MATCH($K83&amp;"|"&amp;$L83,SupplierRates!$A$5:$A$500,0)),0))</f>
        <v/>
      </c>
      <c r="R83" s="26" t="n">
        <f aca="false">IF(OR($D83="",$J83&lt;&gt;"Supplier"),0,F83*P83+G83*Q83)</f>
        <v>0</v>
      </c>
      <c r="S83" s="26" t="n">
        <f aca="false">IF(OR($D83="",$J83&lt;&gt;"Own"),0,IFERROR((F83+G83*Settings!$B$13)*INDEX(Workers!$V$5:$V$2004,MATCH($D83,Workers!$A$5:$A$2004,0)),0))</f>
        <v>1653.84615384615</v>
      </c>
      <c r="T83" s="26" t="n">
        <f aca="false">IF($D83="","",O83-R83-S83)</f>
        <v>1786.15384615385</v>
      </c>
    </row>
    <row r="84" customFormat="false" ht="15" hidden="false" customHeight="false" outlineLevel="0" collapsed="false">
      <c r="A84" s="41" t="n">
        <v>46266</v>
      </c>
      <c r="B84" s="33" t="s">
        <v>166</v>
      </c>
      <c r="C84" s="33" t="s">
        <v>548</v>
      </c>
      <c r="D84" s="33" t="s">
        <v>266</v>
      </c>
      <c r="E84" s="33" t="n">
        <v>25</v>
      </c>
      <c r="F84" s="33" t="n">
        <v>200</v>
      </c>
      <c r="G84" s="33" t="n">
        <v>12</v>
      </c>
      <c r="H84" s="33" t="s">
        <v>554</v>
      </c>
      <c r="I84" s="24" t="str">
        <f aca="false">IF($D84="","",IFERROR(INDEX(Workers!$B$5:$B$2004,MATCH($D84,Workers!$A$5:$A$2004,0)),"NOT FOUND"))</f>
        <v>Dinesh Shrestha</v>
      </c>
      <c r="J84" s="24" t="str">
        <f aca="false">IF($D84="","",IFERROR(INDEX(Workers!$C$5:$C$2004,MATCH($D84,Workers!$A$5:$A$2004,0)),""))</f>
        <v>Own</v>
      </c>
      <c r="K84" s="24" t="str">
        <f aca="false">IF($D84="","",IFERROR(IF(INDEX(Workers!$D$5:$D$2004,MATCH($D84,Workers!$A$5:$A$2004,0))=0,"",INDEX(Workers!$D$5:$D$2004,MATCH($D84,Workers!$A$5:$A$2004,0))),""))</f>
        <v/>
      </c>
      <c r="L84" s="24" t="str">
        <f aca="false">IF($D84="","",IFERROR(INDEX(Workers!$E$5:$E$2004,MATCH($D84,Workers!$A$5:$A$2004,0)),""))</f>
        <v>Driver</v>
      </c>
      <c r="M84" s="26" t="n">
        <f aca="false">IF($D84="","",IFERROR(INDEX(ClientRates!$D$5:$D$500,MATCH($B84&amp;"|"&amp;$L84,ClientRates!$A$5:$A$500,0)),0))</f>
        <v>24</v>
      </c>
      <c r="N84" s="26" t="n">
        <f aca="false">IF($D84="","",IFERROR(INDEX(ClientRates!$E$5:$E$500,MATCH($B84&amp;"|"&amp;$L84,ClientRates!$A$5:$A$500,0)),0))</f>
        <v>30</v>
      </c>
      <c r="O84" s="26" t="n">
        <f aca="false">IF($D84="","",F84*M84+G84*N84)</f>
        <v>5160</v>
      </c>
      <c r="P84" s="26" t="str">
        <f aca="false">IF(OR($D84="",$J84&lt;&gt;"Supplier"),"",IFERROR(INDEX(SupplierRates!$D$5:$D$500,MATCH($K84&amp;"|"&amp;$L84,SupplierRates!$A$5:$A$500,0)),0))</f>
        <v/>
      </c>
      <c r="Q84" s="26" t="str">
        <f aca="false">IF(OR($D84="",$J84&lt;&gt;"Supplier"),"",IFERROR(INDEX(SupplierRates!$E$5:$E$500,MATCH($K84&amp;"|"&amp;$L84,SupplierRates!$A$5:$A$500,0)),0))</f>
        <v/>
      </c>
      <c r="R84" s="26" t="n">
        <f aca="false">IF(OR($D84="",$J84&lt;&gt;"Supplier"),0,F84*P84+G84*Q84)</f>
        <v>0</v>
      </c>
      <c r="S84" s="26" t="n">
        <f aca="false">IF(OR($D84="",$J84&lt;&gt;"Own"),0,IFERROR((F84+G84*Settings!$B$13)*INDEX(Workers!$V$5:$V$2004,MATCH($D84,Workers!$A$5:$A$2004,0)),0))</f>
        <v>1550.48076923077</v>
      </c>
      <c r="T84" s="26" t="n">
        <f aca="false">IF($D84="","",O84-R84-S84)</f>
        <v>3609.51923076923</v>
      </c>
    </row>
    <row r="85" customFormat="false" ht="15" hidden="false" customHeight="false" outlineLevel="0" collapsed="false">
      <c r="A85" s="41" t="n">
        <v>46266</v>
      </c>
      <c r="B85" s="33" t="s">
        <v>166</v>
      </c>
      <c r="C85" s="33" t="s">
        <v>548</v>
      </c>
      <c r="D85" s="33" t="s">
        <v>271</v>
      </c>
      <c r="E85" s="33" t="n">
        <v>25</v>
      </c>
      <c r="F85" s="33" t="n">
        <v>200</v>
      </c>
      <c r="G85" s="33" t="n">
        <v>12</v>
      </c>
      <c r="H85" s="33" t="s">
        <v>554</v>
      </c>
      <c r="I85" s="24" t="str">
        <f aca="false">IF($D85="","",IFERROR(INDEX(Workers!$B$5:$B$2004,MATCH($D85,Workers!$A$5:$A$2004,0)),"NOT FOUND"))</f>
        <v>Rahul Kumar</v>
      </c>
      <c r="J85" s="24" t="str">
        <f aca="false">IF($D85="","",IFERROR(INDEX(Workers!$C$5:$C$2004,MATCH($D85,Workers!$A$5:$A$2004,0)),""))</f>
        <v>Own</v>
      </c>
      <c r="K85" s="24" t="str">
        <f aca="false">IF($D85="","",IFERROR(IF(INDEX(Workers!$D$5:$D$2004,MATCH($D85,Workers!$A$5:$A$2004,0))=0,"",INDEX(Workers!$D$5:$D$2004,MATCH($D85,Workers!$A$5:$A$2004,0))),""))</f>
        <v/>
      </c>
      <c r="L85" s="24" t="str">
        <f aca="false">IF($D85="","",IFERROR(INDEX(Workers!$E$5:$E$2004,MATCH($D85,Workers!$A$5:$A$2004,0)),""))</f>
        <v>Mason</v>
      </c>
      <c r="M85" s="26" t="n">
        <f aca="false">IF($D85="","",IFERROR(INDEX(ClientRates!$D$5:$D$500,MATCH($B85&amp;"|"&amp;$L85,ClientRates!$A$5:$A$500,0)),0))</f>
        <v>22</v>
      </c>
      <c r="N85" s="26" t="n">
        <f aca="false">IF($D85="","",IFERROR(INDEX(ClientRates!$E$5:$E$500,MATCH($B85&amp;"|"&amp;$L85,ClientRates!$A$5:$A$500,0)),0))</f>
        <v>27.5</v>
      </c>
      <c r="O85" s="26" t="n">
        <f aca="false">IF($D85="","",F85*M85+G85*N85)</f>
        <v>4730</v>
      </c>
      <c r="P85" s="26" t="str">
        <f aca="false">IF(OR($D85="",$J85&lt;&gt;"Supplier"),"",IFERROR(INDEX(SupplierRates!$D$5:$D$500,MATCH($K85&amp;"|"&amp;$L85,SupplierRates!$A$5:$A$500,0)),0))</f>
        <v/>
      </c>
      <c r="Q85" s="26" t="str">
        <f aca="false">IF(OR($D85="",$J85&lt;&gt;"Supplier"),"",IFERROR(INDEX(SupplierRates!$E$5:$E$500,MATCH($K85&amp;"|"&amp;$L85,SupplierRates!$A$5:$A$500,0)),0))</f>
        <v/>
      </c>
      <c r="R85" s="26" t="n">
        <f aca="false">IF(OR($D85="",$J85&lt;&gt;"Supplier"),0,F85*P85+G85*Q85)</f>
        <v>0</v>
      </c>
      <c r="S85" s="26" t="n">
        <f aca="false">IF(OR($D85="",$J85&lt;&gt;"Own"),0,IFERROR((F85+G85*Settings!$B$13)*INDEX(Workers!$V$5:$V$2004,MATCH($D85,Workers!$A$5:$A$2004,0)),0))</f>
        <v>2480.76923076923</v>
      </c>
      <c r="T85" s="26" t="n">
        <f aca="false">IF($D85="","",O85-R85-S85)</f>
        <v>2249.23076923077</v>
      </c>
    </row>
    <row r="86" customFormat="false" ht="15" hidden="false" customHeight="false" outlineLevel="0" collapsed="false">
      <c r="A86" s="41" t="n">
        <v>46266</v>
      </c>
      <c r="B86" s="33" t="s">
        <v>166</v>
      </c>
      <c r="C86" s="33" t="s">
        <v>548</v>
      </c>
      <c r="D86" s="33" t="s">
        <v>276</v>
      </c>
      <c r="E86" s="33" t="n">
        <v>25</v>
      </c>
      <c r="F86" s="33" t="n">
        <v>200</v>
      </c>
      <c r="G86" s="33" t="n">
        <v>12</v>
      </c>
      <c r="H86" s="33" t="s">
        <v>554</v>
      </c>
      <c r="I86" s="24" t="str">
        <f aca="false">IF($D86="","",IFERROR(INDEX(Workers!$B$5:$B$2004,MATCH($D86,Workers!$A$5:$A$2004,0)),"NOT FOUND"))</f>
        <v>Mohan Nair</v>
      </c>
      <c r="J86" s="24" t="str">
        <f aca="false">IF($D86="","",IFERROR(INDEX(Workers!$C$5:$C$2004,MATCH($D86,Workers!$A$5:$A$2004,0)),""))</f>
        <v>Own</v>
      </c>
      <c r="K86" s="24" t="str">
        <f aca="false">IF($D86="","",IFERROR(IF(INDEX(Workers!$D$5:$D$2004,MATCH($D86,Workers!$A$5:$A$2004,0))=0,"",INDEX(Workers!$D$5:$D$2004,MATCH($D86,Workers!$A$5:$A$2004,0))),""))</f>
        <v/>
      </c>
      <c r="L86" s="24" t="str">
        <f aca="false">IF($D86="","",IFERROR(INDEX(Workers!$E$5:$E$2004,MATCH($D86,Workers!$A$5:$A$2004,0)),""))</f>
        <v>Helper</v>
      </c>
      <c r="M86" s="26" t="n">
        <f aca="false">IF($D86="","",IFERROR(INDEX(ClientRates!$D$5:$D$500,MATCH($B86&amp;"|"&amp;$L86,ClientRates!$A$5:$A$500,0)),0))</f>
        <v>16</v>
      </c>
      <c r="N86" s="26" t="n">
        <f aca="false">IF($D86="","",IFERROR(INDEX(ClientRates!$E$5:$E$500,MATCH($B86&amp;"|"&amp;$L86,ClientRates!$A$5:$A$500,0)),0))</f>
        <v>20</v>
      </c>
      <c r="O86" s="26" t="n">
        <f aca="false">IF($D86="","",F86*M86+G86*N86)</f>
        <v>3440</v>
      </c>
      <c r="P86" s="26" t="str">
        <f aca="false">IF(OR($D86="",$J86&lt;&gt;"Supplier"),"",IFERROR(INDEX(SupplierRates!$D$5:$D$500,MATCH($K86&amp;"|"&amp;$L86,SupplierRates!$A$5:$A$500,0)),0))</f>
        <v/>
      </c>
      <c r="Q86" s="26" t="str">
        <f aca="false">IF(OR($D86="",$J86&lt;&gt;"Supplier"),"",IFERROR(INDEX(SupplierRates!$E$5:$E$500,MATCH($K86&amp;"|"&amp;$L86,SupplierRates!$A$5:$A$500,0)),0))</f>
        <v/>
      </c>
      <c r="R86" s="26" t="n">
        <f aca="false">IF(OR($D86="",$J86&lt;&gt;"Supplier"),0,F86*P86+G86*Q86)</f>
        <v>0</v>
      </c>
      <c r="S86" s="26" t="n">
        <f aca="false">IF(OR($D86="",$J86&lt;&gt;"Own"),0,IFERROR((F86+G86*Settings!$B$13)*INDEX(Workers!$V$5:$V$2004,MATCH($D86,Workers!$A$5:$A$2004,0)),0))</f>
        <v>1935</v>
      </c>
      <c r="T86" s="26" t="n">
        <f aca="false">IF($D86="","",O86-R86-S86)</f>
        <v>1505</v>
      </c>
    </row>
    <row r="87" customFormat="false" ht="15" hidden="false" customHeight="false" outlineLevel="0" collapsed="false">
      <c r="A87" s="41" t="n">
        <v>46266</v>
      </c>
      <c r="B87" s="33" t="s">
        <v>166</v>
      </c>
      <c r="C87" s="33" t="s">
        <v>548</v>
      </c>
      <c r="D87" s="33" t="s">
        <v>282</v>
      </c>
      <c r="E87" s="33" t="n">
        <v>25</v>
      </c>
      <c r="F87" s="33" t="n">
        <v>200</v>
      </c>
      <c r="G87" s="33" t="n">
        <v>12</v>
      </c>
      <c r="H87" s="33" t="s">
        <v>554</v>
      </c>
      <c r="I87" s="24" t="str">
        <f aca="false">IF($D87="","",IFERROR(INDEX(Workers!$B$5:$B$2004,MATCH($D87,Workers!$A$5:$A$2004,0)),"NOT FOUND"))</f>
        <v>Anwar Shrestha</v>
      </c>
      <c r="J87" s="24" t="str">
        <f aca="false">IF($D87="","",IFERROR(INDEX(Workers!$C$5:$C$2004,MATCH($D87,Workers!$A$5:$A$2004,0)),""))</f>
        <v>Own</v>
      </c>
      <c r="K87" s="24" t="str">
        <f aca="false">IF($D87="","",IFERROR(IF(INDEX(Workers!$D$5:$D$2004,MATCH($D87,Workers!$A$5:$A$2004,0))=0,"",INDEX(Workers!$D$5:$D$2004,MATCH($D87,Workers!$A$5:$A$2004,0))),""))</f>
        <v/>
      </c>
      <c r="L87" s="24" t="str">
        <f aca="false">IF($D87="","",IFERROR(INDEX(Workers!$E$5:$E$2004,MATCH($D87,Workers!$A$5:$A$2004,0)),""))</f>
        <v>Electrician</v>
      </c>
      <c r="M87" s="26" t="n">
        <f aca="false">IF($D87="","",IFERROR(INDEX(ClientRates!$D$5:$D$500,MATCH($B87&amp;"|"&amp;$L87,ClientRates!$A$5:$A$500,0)),0))</f>
        <v>26</v>
      </c>
      <c r="N87" s="26" t="n">
        <f aca="false">IF($D87="","",IFERROR(INDEX(ClientRates!$E$5:$E$500,MATCH($B87&amp;"|"&amp;$L87,ClientRates!$A$5:$A$500,0)),0))</f>
        <v>32.5</v>
      </c>
      <c r="O87" s="26" t="n">
        <f aca="false">IF($D87="","",F87*M87+G87*N87)</f>
        <v>5590</v>
      </c>
      <c r="P87" s="26" t="str">
        <f aca="false">IF(OR($D87="",$J87&lt;&gt;"Supplier"),"",IFERROR(INDEX(SupplierRates!$D$5:$D$500,MATCH($K87&amp;"|"&amp;$L87,SupplierRates!$A$5:$A$500,0)),0))</f>
        <v/>
      </c>
      <c r="Q87" s="26" t="str">
        <f aca="false">IF(OR($D87="",$J87&lt;&gt;"Supplier"),"",IFERROR(INDEX(SupplierRates!$E$5:$E$500,MATCH($K87&amp;"|"&amp;$L87,SupplierRates!$A$5:$A$500,0)),0))</f>
        <v/>
      </c>
      <c r="R87" s="26" t="n">
        <f aca="false">IF(OR($D87="",$J87&lt;&gt;"Supplier"),0,F87*P87+G87*Q87)</f>
        <v>0</v>
      </c>
      <c r="S87" s="26" t="n">
        <f aca="false">IF(OR($D87="",$J87&lt;&gt;"Own"),0,IFERROR((F87+G87*Settings!$B$13)*INDEX(Workers!$V$5:$V$2004,MATCH($D87,Workers!$A$5:$A$2004,0)),0))</f>
        <v>3100.96153846154</v>
      </c>
      <c r="T87" s="26" t="n">
        <f aca="false">IF($D87="","",O87-R87-S87)</f>
        <v>2489.03846153846</v>
      </c>
    </row>
    <row r="88" customFormat="false" ht="15" hidden="false" customHeight="false" outlineLevel="0" collapsed="false">
      <c r="A88" s="41" t="n">
        <v>46266</v>
      </c>
      <c r="B88" s="33" t="s">
        <v>166</v>
      </c>
      <c r="C88" s="33" t="s">
        <v>548</v>
      </c>
      <c r="D88" s="33" t="s">
        <v>287</v>
      </c>
      <c r="E88" s="33" t="n">
        <v>25</v>
      </c>
      <c r="F88" s="33" t="n">
        <v>200</v>
      </c>
      <c r="G88" s="33" t="n">
        <v>12</v>
      </c>
      <c r="H88" s="33" t="s">
        <v>554</v>
      </c>
      <c r="I88" s="24" t="str">
        <f aca="false">IF($D88="","",IFERROR(INDEX(Workers!$B$5:$B$2004,MATCH($D88,Workers!$A$5:$A$2004,0)),"NOT FOUND"))</f>
        <v>Hari Nair</v>
      </c>
      <c r="J88" s="24" t="str">
        <f aca="false">IF($D88="","",IFERROR(INDEX(Workers!$C$5:$C$2004,MATCH($D88,Workers!$A$5:$A$2004,0)),""))</f>
        <v>Own</v>
      </c>
      <c r="K88" s="24" t="str">
        <f aca="false">IF($D88="","",IFERROR(IF(INDEX(Workers!$D$5:$D$2004,MATCH($D88,Workers!$A$5:$A$2004,0))=0,"",INDEX(Workers!$D$5:$D$2004,MATCH($D88,Workers!$A$5:$A$2004,0))),""))</f>
        <v/>
      </c>
      <c r="L88" s="24" t="str">
        <f aca="false">IF($D88="","",IFERROR(INDEX(Workers!$E$5:$E$2004,MATCH($D88,Workers!$A$5:$A$2004,0)),""))</f>
        <v>Helper</v>
      </c>
      <c r="M88" s="26" t="n">
        <f aca="false">IF($D88="","",IFERROR(INDEX(ClientRates!$D$5:$D$500,MATCH($B88&amp;"|"&amp;$L88,ClientRates!$A$5:$A$500,0)),0))</f>
        <v>16</v>
      </c>
      <c r="N88" s="26" t="n">
        <f aca="false">IF($D88="","",IFERROR(INDEX(ClientRates!$E$5:$E$500,MATCH($B88&amp;"|"&amp;$L88,ClientRates!$A$5:$A$500,0)),0))</f>
        <v>20</v>
      </c>
      <c r="O88" s="26" t="n">
        <f aca="false">IF($D88="","",F88*M88+G88*N88)</f>
        <v>3440</v>
      </c>
      <c r="P88" s="26" t="str">
        <f aca="false">IF(OR($D88="",$J88&lt;&gt;"Supplier"),"",IFERROR(INDEX(SupplierRates!$D$5:$D$500,MATCH($K88&amp;"|"&amp;$L88,SupplierRates!$A$5:$A$500,0)),0))</f>
        <v/>
      </c>
      <c r="Q88" s="26" t="str">
        <f aca="false">IF(OR($D88="",$J88&lt;&gt;"Supplier"),"",IFERROR(INDEX(SupplierRates!$E$5:$E$500,MATCH($K88&amp;"|"&amp;$L88,SupplierRates!$A$5:$A$500,0)),0))</f>
        <v/>
      </c>
      <c r="R88" s="26" t="n">
        <f aca="false">IF(OR($D88="",$J88&lt;&gt;"Supplier"),0,F88*P88+G88*Q88)</f>
        <v>0</v>
      </c>
      <c r="S88" s="26" t="n">
        <f aca="false">IF(OR($D88="",$J88&lt;&gt;"Own"),0,IFERROR((F88+G88*Settings!$B$13)*INDEX(Workers!$V$5:$V$2004,MATCH($D88,Workers!$A$5:$A$2004,0)),0))</f>
        <v>2584.13461538462</v>
      </c>
      <c r="T88" s="26" t="n">
        <f aca="false">IF($D88="","",O88-R88-S88)</f>
        <v>855.865384615384</v>
      </c>
    </row>
    <row r="89" customFormat="false" ht="15" hidden="false" customHeight="false" outlineLevel="0" collapsed="false">
      <c r="A89" s="41" t="n">
        <v>46266</v>
      </c>
      <c r="B89" s="33" t="s">
        <v>166</v>
      </c>
      <c r="C89" s="33" t="s">
        <v>548</v>
      </c>
      <c r="D89" s="33" t="s">
        <v>292</v>
      </c>
      <c r="E89" s="33" t="n">
        <v>25</v>
      </c>
      <c r="F89" s="33" t="n">
        <v>200</v>
      </c>
      <c r="G89" s="33" t="n">
        <v>12</v>
      </c>
      <c r="H89" s="33" t="s">
        <v>554</v>
      </c>
      <c r="I89" s="24" t="str">
        <f aca="false">IF($D89="","",IFERROR(INDEX(Workers!$B$5:$B$2004,MATCH($D89,Workers!$A$5:$A$2004,0)),"NOT FOUND"))</f>
        <v>Dinesh Menon</v>
      </c>
      <c r="J89" s="24" t="str">
        <f aca="false">IF($D89="","",IFERROR(INDEX(Workers!$C$5:$C$2004,MATCH($D89,Workers!$A$5:$A$2004,0)),""))</f>
        <v>Own</v>
      </c>
      <c r="K89" s="24" t="str">
        <f aca="false">IF($D89="","",IFERROR(IF(INDEX(Workers!$D$5:$D$2004,MATCH($D89,Workers!$A$5:$A$2004,0))=0,"",INDEX(Workers!$D$5:$D$2004,MATCH($D89,Workers!$A$5:$A$2004,0))),""))</f>
        <v/>
      </c>
      <c r="L89" s="24" t="str">
        <f aca="false">IF($D89="","",IFERROR(INDEX(Workers!$E$5:$E$2004,MATCH($D89,Workers!$A$5:$A$2004,0)),""))</f>
        <v>Driver</v>
      </c>
      <c r="M89" s="26" t="n">
        <f aca="false">IF($D89="","",IFERROR(INDEX(ClientRates!$D$5:$D$500,MATCH($B89&amp;"|"&amp;$L89,ClientRates!$A$5:$A$500,0)),0))</f>
        <v>24</v>
      </c>
      <c r="N89" s="26" t="n">
        <f aca="false">IF($D89="","",IFERROR(INDEX(ClientRates!$E$5:$E$500,MATCH($B89&amp;"|"&amp;$L89,ClientRates!$A$5:$A$500,0)),0))</f>
        <v>30</v>
      </c>
      <c r="O89" s="26" t="n">
        <f aca="false">IF($D89="","",F89*M89+G89*N89)</f>
        <v>5160</v>
      </c>
      <c r="P89" s="26" t="str">
        <f aca="false">IF(OR($D89="",$J89&lt;&gt;"Supplier"),"",IFERROR(INDEX(SupplierRates!$D$5:$D$500,MATCH($K89&amp;"|"&amp;$L89,SupplierRates!$A$5:$A$500,0)),0))</f>
        <v/>
      </c>
      <c r="Q89" s="26" t="str">
        <f aca="false">IF(OR($D89="",$J89&lt;&gt;"Supplier"),"",IFERROR(INDEX(SupplierRates!$E$5:$E$500,MATCH($K89&amp;"|"&amp;$L89,SupplierRates!$A$5:$A$500,0)),0))</f>
        <v/>
      </c>
      <c r="R89" s="26" t="n">
        <f aca="false">IF(OR($D89="",$J89&lt;&gt;"Supplier"),0,F89*P89+G89*Q89)</f>
        <v>0</v>
      </c>
      <c r="S89" s="26" t="n">
        <f aca="false">IF(OR($D89="",$J89&lt;&gt;"Own"),0,IFERROR((F89+G89*Settings!$B$13)*INDEX(Workers!$V$5:$V$2004,MATCH($D89,Workers!$A$5:$A$2004,0)),0))</f>
        <v>1550.48076923077</v>
      </c>
      <c r="T89" s="26" t="n">
        <f aca="false">IF($D89="","",O89-R89-S89)</f>
        <v>3609.51923076923</v>
      </c>
    </row>
    <row r="90" customFormat="false" ht="15" hidden="false" customHeight="false" outlineLevel="0" collapsed="false">
      <c r="A90" s="41" t="n">
        <v>46266</v>
      </c>
      <c r="B90" s="33" t="s">
        <v>166</v>
      </c>
      <c r="C90" s="33" t="s">
        <v>548</v>
      </c>
      <c r="D90" s="33" t="s">
        <v>297</v>
      </c>
      <c r="E90" s="33" t="n">
        <v>25</v>
      </c>
      <c r="F90" s="33" t="n">
        <v>200</v>
      </c>
      <c r="G90" s="33" t="n">
        <v>12</v>
      </c>
      <c r="H90" s="33" t="s">
        <v>554</v>
      </c>
      <c r="I90" s="24" t="str">
        <f aca="false">IF($D90="","",IFERROR(INDEX(Workers!$B$5:$B$2004,MATCH($D90,Workers!$A$5:$A$2004,0)),"NOT FOUND"))</f>
        <v>Imran Ali</v>
      </c>
      <c r="J90" s="24" t="str">
        <f aca="false">IF($D90="","",IFERROR(INDEX(Workers!$C$5:$C$2004,MATCH($D90,Workers!$A$5:$A$2004,0)),""))</f>
        <v>Own</v>
      </c>
      <c r="K90" s="24" t="str">
        <f aca="false">IF($D90="","",IFERROR(IF(INDEX(Workers!$D$5:$D$2004,MATCH($D90,Workers!$A$5:$A$2004,0))=0,"",INDEX(Workers!$D$5:$D$2004,MATCH($D90,Workers!$A$5:$A$2004,0))),""))</f>
        <v/>
      </c>
      <c r="L90" s="24" t="str">
        <f aca="false">IF($D90="","",IFERROR(INDEX(Workers!$E$5:$E$2004,MATCH($D90,Workers!$A$5:$A$2004,0)),""))</f>
        <v>Helper</v>
      </c>
      <c r="M90" s="26" t="n">
        <f aca="false">IF($D90="","",IFERROR(INDEX(ClientRates!$D$5:$D$500,MATCH($B90&amp;"|"&amp;$L90,ClientRates!$A$5:$A$500,0)),0))</f>
        <v>16</v>
      </c>
      <c r="N90" s="26" t="n">
        <f aca="false">IF($D90="","",IFERROR(INDEX(ClientRates!$E$5:$E$500,MATCH($B90&amp;"|"&amp;$L90,ClientRates!$A$5:$A$500,0)),0))</f>
        <v>20</v>
      </c>
      <c r="O90" s="26" t="n">
        <f aca="false">IF($D90="","",F90*M90+G90*N90)</f>
        <v>3440</v>
      </c>
      <c r="P90" s="26" t="str">
        <f aca="false">IF(OR($D90="",$J90&lt;&gt;"Supplier"),"",IFERROR(INDEX(SupplierRates!$D$5:$D$500,MATCH($K90&amp;"|"&amp;$L90,SupplierRates!$A$5:$A$500,0)),0))</f>
        <v/>
      </c>
      <c r="Q90" s="26" t="str">
        <f aca="false">IF(OR($D90="",$J90&lt;&gt;"Supplier"),"",IFERROR(INDEX(SupplierRates!$E$5:$E$500,MATCH($K90&amp;"|"&amp;$L90,SupplierRates!$A$5:$A$500,0)),0))</f>
        <v/>
      </c>
      <c r="R90" s="26" t="n">
        <f aca="false">IF(OR($D90="",$J90&lt;&gt;"Supplier"),0,F90*P90+G90*Q90)</f>
        <v>0</v>
      </c>
      <c r="S90" s="26" t="n">
        <f aca="false">IF(OR($D90="",$J90&lt;&gt;"Own"),0,IFERROR((F90+G90*Settings!$B$13)*INDEX(Workers!$V$5:$V$2004,MATCH($D90,Workers!$A$5:$A$2004,0)),0))</f>
        <v>2377.40384615385</v>
      </c>
      <c r="T90" s="26" t="n">
        <f aca="false">IF($D90="","",O90-R90-S90)</f>
        <v>1062.59615384615</v>
      </c>
    </row>
    <row r="91" customFormat="false" ht="15" hidden="false" customHeight="false" outlineLevel="0" collapsed="false">
      <c r="I91" s="24" t="str">
        <f aca="false">IF($D91="","",IFERROR(INDEX(Workers!$B$5:$B$2004,MATCH($D91,Workers!$A$5:$A$2004,0)),"NOT FOUND"))</f>
        <v/>
      </c>
      <c r="J91" s="24" t="str">
        <f aca="false">IF($D91="","",IFERROR(INDEX(Workers!$C$5:$C$2004,MATCH($D91,Workers!$A$5:$A$2004,0)),""))</f>
        <v/>
      </c>
      <c r="K91" s="24" t="str">
        <f aca="false">IF($D91="","",IFERROR(IF(INDEX(Workers!$D$5:$D$2004,MATCH($D91,Workers!$A$5:$A$2004,0))=0,"",INDEX(Workers!$D$5:$D$2004,MATCH($D91,Workers!$A$5:$A$2004,0))),""))</f>
        <v/>
      </c>
      <c r="L91" s="24" t="str">
        <f aca="false">IF($D91="","",IFERROR(INDEX(Workers!$E$5:$E$2004,MATCH($D91,Workers!$A$5:$A$2004,0)),""))</f>
        <v/>
      </c>
      <c r="M91" s="26" t="str">
        <f aca="false">IF($D91="","",IFERROR(INDEX(ClientRates!$D$5:$D$500,MATCH($B91&amp;"|"&amp;$L91,ClientRates!$A$5:$A$500,0)),0))</f>
        <v/>
      </c>
      <c r="N91" s="26" t="str">
        <f aca="false">IF($D91="","",IFERROR(INDEX(ClientRates!$E$5:$E$500,MATCH($B91&amp;"|"&amp;$L91,ClientRates!$A$5:$A$500,0)),0))</f>
        <v/>
      </c>
      <c r="O91" s="26" t="str">
        <f aca="false">IF($D91="","",F91*M91+G91*N91)</f>
        <v/>
      </c>
      <c r="P91" s="26" t="str">
        <f aca="false">IF(OR($D91="",$J91&lt;&gt;"Supplier"),"",IFERROR(INDEX(SupplierRates!$D$5:$D$500,MATCH($K91&amp;"|"&amp;$L91,SupplierRates!$A$5:$A$500,0)),0))</f>
        <v/>
      </c>
      <c r="Q91" s="26" t="str">
        <f aca="false">IF(OR($D91="",$J91&lt;&gt;"Supplier"),"",IFERROR(INDEX(SupplierRates!$E$5:$E$500,MATCH($K91&amp;"|"&amp;$L91,SupplierRates!$A$5:$A$500,0)),0))</f>
        <v/>
      </c>
      <c r="R91" s="26" t="n">
        <f aca="false">IF(OR($D91="",$J91&lt;&gt;"Supplier"),0,F91*P91+G91*Q91)</f>
        <v>0</v>
      </c>
      <c r="S91" s="26" t="n">
        <f aca="false">IF(OR($D91="",$J91&lt;&gt;"Own"),0,IFERROR((F91+G91*Settings!$B$13)*INDEX(Workers!$V$5:$V$2004,MATCH($D91,Workers!$A$5:$A$2004,0)),0))</f>
        <v>0</v>
      </c>
      <c r="T91" s="26" t="str">
        <f aca="false">IF($D91="","",O91-R91-S91)</f>
        <v/>
      </c>
    </row>
    <row r="92" customFormat="false" ht="15" hidden="false" customHeight="false" outlineLevel="0" collapsed="false">
      <c r="I92" s="24" t="str">
        <f aca="false">IF($D92="","",IFERROR(INDEX(Workers!$B$5:$B$2004,MATCH($D92,Workers!$A$5:$A$2004,0)),"NOT FOUND"))</f>
        <v/>
      </c>
      <c r="J92" s="24" t="str">
        <f aca="false">IF($D92="","",IFERROR(INDEX(Workers!$C$5:$C$2004,MATCH($D92,Workers!$A$5:$A$2004,0)),""))</f>
        <v/>
      </c>
      <c r="K92" s="24" t="str">
        <f aca="false">IF($D92="","",IFERROR(IF(INDEX(Workers!$D$5:$D$2004,MATCH($D92,Workers!$A$5:$A$2004,0))=0,"",INDEX(Workers!$D$5:$D$2004,MATCH($D92,Workers!$A$5:$A$2004,0))),""))</f>
        <v/>
      </c>
      <c r="L92" s="24" t="str">
        <f aca="false">IF($D92="","",IFERROR(INDEX(Workers!$E$5:$E$2004,MATCH($D92,Workers!$A$5:$A$2004,0)),""))</f>
        <v/>
      </c>
      <c r="M92" s="26" t="str">
        <f aca="false">IF($D92="","",IFERROR(INDEX(ClientRates!$D$5:$D$500,MATCH($B92&amp;"|"&amp;$L92,ClientRates!$A$5:$A$500,0)),0))</f>
        <v/>
      </c>
      <c r="N92" s="26" t="str">
        <f aca="false">IF($D92="","",IFERROR(INDEX(ClientRates!$E$5:$E$500,MATCH($B92&amp;"|"&amp;$L92,ClientRates!$A$5:$A$500,0)),0))</f>
        <v/>
      </c>
      <c r="O92" s="26" t="str">
        <f aca="false">IF($D92="","",F92*M92+G92*N92)</f>
        <v/>
      </c>
      <c r="P92" s="26" t="str">
        <f aca="false">IF(OR($D92="",$J92&lt;&gt;"Supplier"),"",IFERROR(INDEX(SupplierRates!$D$5:$D$500,MATCH($K92&amp;"|"&amp;$L92,SupplierRates!$A$5:$A$500,0)),0))</f>
        <v/>
      </c>
      <c r="Q92" s="26" t="str">
        <f aca="false">IF(OR($D92="",$J92&lt;&gt;"Supplier"),"",IFERROR(INDEX(SupplierRates!$E$5:$E$500,MATCH($K92&amp;"|"&amp;$L92,SupplierRates!$A$5:$A$500,0)),0))</f>
        <v/>
      </c>
      <c r="R92" s="26" t="n">
        <f aca="false">IF(OR($D92="",$J92&lt;&gt;"Supplier"),0,F92*P92+G92*Q92)</f>
        <v>0</v>
      </c>
      <c r="S92" s="26" t="n">
        <f aca="false">IF(OR($D92="",$J92&lt;&gt;"Own"),0,IFERROR((F92+G92*Settings!$B$13)*INDEX(Workers!$V$5:$V$2004,MATCH($D92,Workers!$A$5:$A$2004,0)),0))</f>
        <v>0</v>
      </c>
      <c r="T92" s="26" t="str">
        <f aca="false">IF($D92="","",O92-R92-S92)</f>
        <v/>
      </c>
    </row>
    <row r="93" customFormat="false" ht="15" hidden="false" customHeight="false" outlineLevel="0" collapsed="false">
      <c r="I93" s="24" t="str">
        <f aca="false">IF($D93="","",IFERROR(INDEX(Workers!$B$5:$B$2004,MATCH($D93,Workers!$A$5:$A$2004,0)),"NOT FOUND"))</f>
        <v/>
      </c>
      <c r="J93" s="24" t="str">
        <f aca="false">IF($D93="","",IFERROR(INDEX(Workers!$C$5:$C$2004,MATCH($D93,Workers!$A$5:$A$2004,0)),""))</f>
        <v/>
      </c>
      <c r="K93" s="24" t="str">
        <f aca="false">IF($D93="","",IFERROR(IF(INDEX(Workers!$D$5:$D$2004,MATCH($D93,Workers!$A$5:$A$2004,0))=0,"",INDEX(Workers!$D$5:$D$2004,MATCH($D93,Workers!$A$5:$A$2004,0))),""))</f>
        <v/>
      </c>
      <c r="L93" s="24" t="str">
        <f aca="false">IF($D93="","",IFERROR(INDEX(Workers!$E$5:$E$2004,MATCH($D93,Workers!$A$5:$A$2004,0)),""))</f>
        <v/>
      </c>
      <c r="M93" s="26" t="str">
        <f aca="false">IF($D93="","",IFERROR(INDEX(ClientRates!$D$5:$D$500,MATCH($B93&amp;"|"&amp;$L93,ClientRates!$A$5:$A$500,0)),0))</f>
        <v/>
      </c>
      <c r="N93" s="26" t="str">
        <f aca="false">IF($D93="","",IFERROR(INDEX(ClientRates!$E$5:$E$500,MATCH($B93&amp;"|"&amp;$L93,ClientRates!$A$5:$A$500,0)),0))</f>
        <v/>
      </c>
      <c r="O93" s="26" t="str">
        <f aca="false">IF($D93="","",F93*M93+G93*N93)</f>
        <v/>
      </c>
      <c r="P93" s="26" t="str">
        <f aca="false">IF(OR($D93="",$J93&lt;&gt;"Supplier"),"",IFERROR(INDEX(SupplierRates!$D$5:$D$500,MATCH($K93&amp;"|"&amp;$L93,SupplierRates!$A$5:$A$500,0)),0))</f>
        <v/>
      </c>
      <c r="Q93" s="26" t="str">
        <f aca="false">IF(OR($D93="",$J93&lt;&gt;"Supplier"),"",IFERROR(INDEX(SupplierRates!$E$5:$E$500,MATCH($K93&amp;"|"&amp;$L93,SupplierRates!$A$5:$A$500,0)),0))</f>
        <v/>
      </c>
      <c r="R93" s="26" t="n">
        <f aca="false">IF(OR($D93="",$J93&lt;&gt;"Supplier"),0,F93*P93+G93*Q93)</f>
        <v>0</v>
      </c>
      <c r="S93" s="26" t="n">
        <f aca="false">IF(OR($D93="",$J93&lt;&gt;"Own"),0,IFERROR((F93+G93*Settings!$B$13)*INDEX(Workers!$V$5:$V$2004,MATCH($D93,Workers!$A$5:$A$2004,0)),0))</f>
        <v>0</v>
      </c>
      <c r="T93" s="26" t="str">
        <f aca="false">IF($D93="","",O93-R93-S93)</f>
        <v/>
      </c>
    </row>
    <row r="94" customFormat="false" ht="15" hidden="false" customHeight="false" outlineLevel="0" collapsed="false">
      <c r="I94" s="24" t="str">
        <f aca="false">IF($D94="","",IFERROR(INDEX(Workers!$B$5:$B$2004,MATCH($D94,Workers!$A$5:$A$2004,0)),"NOT FOUND"))</f>
        <v/>
      </c>
      <c r="J94" s="24" t="str">
        <f aca="false">IF($D94="","",IFERROR(INDEX(Workers!$C$5:$C$2004,MATCH($D94,Workers!$A$5:$A$2004,0)),""))</f>
        <v/>
      </c>
      <c r="K94" s="24" t="str">
        <f aca="false">IF($D94="","",IFERROR(IF(INDEX(Workers!$D$5:$D$2004,MATCH($D94,Workers!$A$5:$A$2004,0))=0,"",INDEX(Workers!$D$5:$D$2004,MATCH($D94,Workers!$A$5:$A$2004,0))),""))</f>
        <v/>
      </c>
      <c r="L94" s="24" t="str">
        <f aca="false">IF($D94="","",IFERROR(INDEX(Workers!$E$5:$E$2004,MATCH($D94,Workers!$A$5:$A$2004,0)),""))</f>
        <v/>
      </c>
      <c r="M94" s="26" t="str">
        <f aca="false">IF($D94="","",IFERROR(INDEX(ClientRates!$D$5:$D$500,MATCH($B94&amp;"|"&amp;$L94,ClientRates!$A$5:$A$500,0)),0))</f>
        <v/>
      </c>
      <c r="N94" s="26" t="str">
        <f aca="false">IF($D94="","",IFERROR(INDEX(ClientRates!$E$5:$E$500,MATCH($B94&amp;"|"&amp;$L94,ClientRates!$A$5:$A$500,0)),0))</f>
        <v/>
      </c>
      <c r="O94" s="26" t="str">
        <f aca="false">IF($D94="","",F94*M94+G94*N94)</f>
        <v/>
      </c>
      <c r="P94" s="26" t="str">
        <f aca="false">IF(OR($D94="",$J94&lt;&gt;"Supplier"),"",IFERROR(INDEX(SupplierRates!$D$5:$D$500,MATCH($K94&amp;"|"&amp;$L94,SupplierRates!$A$5:$A$500,0)),0))</f>
        <v/>
      </c>
      <c r="Q94" s="26" t="str">
        <f aca="false">IF(OR($D94="",$J94&lt;&gt;"Supplier"),"",IFERROR(INDEX(SupplierRates!$E$5:$E$500,MATCH($K94&amp;"|"&amp;$L94,SupplierRates!$A$5:$A$500,0)),0))</f>
        <v/>
      </c>
      <c r="R94" s="26" t="n">
        <f aca="false">IF(OR($D94="",$J94&lt;&gt;"Supplier"),0,F94*P94+G94*Q94)</f>
        <v>0</v>
      </c>
      <c r="S94" s="26" t="n">
        <f aca="false">IF(OR($D94="",$J94&lt;&gt;"Own"),0,IFERROR((F94+G94*Settings!$B$13)*INDEX(Workers!$V$5:$V$2004,MATCH($D94,Workers!$A$5:$A$2004,0)),0))</f>
        <v>0</v>
      </c>
      <c r="T94" s="26" t="str">
        <f aca="false">IF($D94="","",O94-R94-S94)</f>
        <v/>
      </c>
    </row>
    <row r="95" customFormat="false" ht="15" hidden="false" customHeight="false" outlineLevel="0" collapsed="false">
      <c r="I95" s="24" t="str">
        <f aca="false">IF($D95="","",IFERROR(INDEX(Workers!$B$5:$B$2004,MATCH($D95,Workers!$A$5:$A$2004,0)),"NOT FOUND"))</f>
        <v/>
      </c>
      <c r="J95" s="24" t="str">
        <f aca="false">IF($D95="","",IFERROR(INDEX(Workers!$C$5:$C$2004,MATCH($D95,Workers!$A$5:$A$2004,0)),""))</f>
        <v/>
      </c>
      <c r="K95" s="24" t="str">
        <f aca="false">IF($D95="","",IFERROR(IF(INDEX(Workers!$D$5:$D$2004,MATCH($D95,Workers!$A$5:$A$2004,0))=0,"",INDEX(Workers!$D$5:$D$2004,MATCH($D95,Workers!$A$5:$A$2004,0))),""))</f>
        <v/>
      </c>
      <c r="L95" s="24" t="str">
        <f aca="false">IF($D95="","",IFERROR(INDEX(Workers!$E$5:$E$2004,MATCH($D95,Workers!$A$5:$A$2004,0)),""))</f>
        <v/>
      </c>
      <c r="M95" s="26" t="str">
        <f aca="false">IF($D95="","",IFERROR(INDEX(ClientRates!$D$5:$D$500,MATCH($B95&amp;"|"&amp;$L95,ClientRates!$A$5:$A$500,0)),0))</f>
        <v/>
      </c>
      <c r="N95" s="26" t="str">
        <f aca="false">IF($D95="","",IFERROR(INDEX(ClientRates!$E$5:$E$500,MATCH($B95&amp;"|"&amp;$L95,ClientRates!$A$5:$A$500,0)),0))</f>
        <v/>
      </c>
      <c r="O95" s="26" t="str">
        <f aca="false">IF($D95="","",F95*M95+G95*N95)</f>
        <v/>
      </c>
      <c r="P95" s="26" t="str">
        <f aca="false">IF(OR($D95="",$J95&lt;&gt;"Supplier"),"",IFERROR(INDEX(SupplierRates!$D$5:$D$500,MATCH($K95&amp;"|"&amp;$L95,SupplierRates!$A$5:$A$500,0)),0))</f>
        <v/>
      </c>
      <c r="Q95" s="26" t="str">
        <f aca="false">IF(OR($D95="",$J95&lt;&gt;"Supplier"),"",IFERROR(INDEX(SupplierRates!$E$5:$E$500,MATCH($K95&amp;"|"&amp;$L95,SupplierRates!$A$5:$A$500,0)),0))</f>
        <v/>
      </c>
      <c r="R95" s="26" t="n">
        <f aca="false">IF(OR($D95="",$J95&lt;&gt;"Supplier"),0,F95*P95+G95*Q95)</f>
        <v>0</v>
      </c>
      <c r="S95" s="26" t="n">
        <f aca="false">IF(OR($D95="",$J95&lt;&gt;"Own"),0,IFERROR((F95+G95*Settings!$B$13)*INDEX(Workers!$V$5:$V$2004,MATCH($D95,Workers!$A$5:$A$2004,0)),0))</f>
        <v>0</v>
      </c>
      <c r="T95" s="26" t="str">
        <f aca="false">IF($D95="","",O95-R95-S95)</f>
        <v/>
      </c>
    </row>
    <row r="96" customFormat="false" ht="15" hidden="false" customHeight="false" outlineLevel="0" collapsed="false">
      <c r="I96" s="24" t="str">
        <f aca="false">IF($D96="","",IFERROR(INDEX(Workers!$B$5:$B$2004,MATCH($D96,Workers!$A$5:$A$2004,0)),"NOT FOUND"))</f>
        <v/>
      </c>
      <c r="J96" s="24" t="str">
        <f aca="false">IF($D96="","",IFERROR(INDEX(Workers!$C$5:$C$2004,MATCH($D96,Workers!$A$5:$A$2004,0)),""))</f>
        <v/>
      </c>
      <c r="K96" s="24" t="str">
        <f aca="false">IF($D96="","",IFERROR(IF(INDEX(Workers!$D$5:$D$2004,MATCH($D96,Workers!$A$5:$A$2004,0))=0,"",INDEX(Workers!$D$5:$D$2004,MATCH($D96,Workers!$A$5:$A$2004,0))),""))</f>
        <v/>
      </c>
      <c r="L96" s="24" t="str">
        <f aca="false">IF($D96="","",IFERROR(INDEX(Workers!$E$5:$E$2004,MATCH($D96,Workers!$A$5:$A$2004,0)),""))</f>
        <v/>
      </c>
      <c r="M96" s="26" t="str">
        <f aca="false">IF($D96="","",IFERROR(INDEX(ClientRates!$D$5:$D$500,MATCH($B96&amp;"|"&amp;$L96,ClientRates!$A$5:$A$500,0)),0))</f>
        <v/>
      </c>
      <c r="N96" s="26" t="str">
        <f aca="false">IF($D96="","",IFERROR(INDEX(ClientRates!$E$5:$E$500,MATCH($B96&amp;"|"&amp;$L96,ClientRates!$A$5:$A$500,0)),0))</f>
        <v/>
      </c>
      <c r="O96" s="26" t="str">
        <f aca="false">IF($D96="","",F96*M96+G96*N96)</f>
        <v/>
      </c>
      <c r="P96" s="26" t="str">
        <f aca="false">IF(OR($D96="",$J96&lt;&gt;"Supplier"),"",IFERROR(INDEX(SupplierRates!$D$5:$D$500,MATCH($K96&amp;"|"&amp;$L96,SupplierRates!$A$5:$A$500,0)),0))</f>
        <v/>
      </c>
      <c r="Q96" s="26" t="str">
        <f aca="false">IF(OR($D96="",$J96&lt;&gt;"Supplier"),"",IFERROR(INDEX(SupplierRates!$E$5:$E$500,MATCH($K96&amp;"|"&amp;$L96,SupplierRates!$A$5:$A$500,0)),0))</f>
        <v/>
      </c>
      <c r="R96" s="26" t="n">
        <f aca="false">IF(OR($D96="",$J96&lt;&gt;"Supplier"),0,F96*P96+G96*Q96)</f>
        <v>0</v>
      </c>
      <c r="S96" s="26" t="n">
        <f aca="false">IF(OR($D96="",$J96&lt;&gt;"Own"),0,IFERROR((F96+G96*Settings!$B$13)*INDEX(Workers!$V$5:$V$2004,MATCH($D96,Workers!$A$5:$A$2004,0)),0))</f>
        <v>0</v>
      </c>
      <c r="T96" s="26" t="str">
        <f aca="false">IF($D96="","",O96-R96-S96)</f>
        <v/>
      </c>
    </row>
    <row r="97" customFormat="false" ht="15" hidden="false" customHeight="false" outlineLevel="0" collapsed="false">
      <c r="I97" s="24" t="str">
        <f aca="false">IF($D97="","",IFERROR(INDEX(Workers!$B$5:$B$2004,MATCH($D97,Workers!$A$5:$A$2004,0)),"NOT FOUND"))</f>
        <v/>
      </c>
      <c r="J97" s="24" t="str">
        <f aca="false">IF($D97="","",IFERROR(INDEX(Workers!$C$5:$C$2004,MATCH($D97,Workers!$A$5:$A$2004,0)),""))</f>
        <v/>
      </c>
      <c r="K97" s="24" t="str">
        <f aca="false">IF($D97="","",IFERROR(IF(INDEX(Workers!$D$5:$D$2004,MATCH($D97,Workers!$A$5:$A$2004,0))=0,"",INDEX(Workers!$D$5:$D$2004,MATCH($D97,Workers!$A$5:$A$2004,0))),""))</f>
        <v/>
      </c>
      <c r="L97" s="24" t="str">
        <f aca="false">IF($D97="","",IFERROR(INDEX(Workers!$E$5:$E$2004,MATCH($D97,Workers!$A$5:$A$2004,0)),""))</f>
        <v/>
      </c>
      <c r="M97" s="26" t="str">
        <f aca="false">IF($D97="","",IFERROR(INDEX(ClientRates!$D$5:$D$500,MATCH($B97&amp;"|"&amp;$L97,ClientRates!$A$5:$A$500,0)),0))</f>
        <v/>
      </c>
      <c r="N97" s="26" t="str">
        <f aca="false">IF($D97="","",IFERROR(INDEX(ClientRates!$E$5:$E$500,MATCH($B97&amp;"|"&amp;$L97,ClientRates!$A$5:$A$500,0)),0))</f>
        <v/>
      </c>
      <c r="O97" s="26" t="str">
        <f aca="false">IF($D97="","",F97*M97+G97*N97)</f>
        <v/>
      </c>
      <c r="P97" s="26" t="str">
        <f aca="false">IF(OR($D97="",$J97&lt;&gt;"Supplier"),"",IFERROR(INDEX(SupplierRates!$D$5:$D$500,MATCH($K97&amp;"|"&amp;$L97,SupplierRates!$A$5:$A$500,0)),0))</f>
        <v/>
      </c>
      <c r="Q97" s="26" t="str">
        <f aca="false">IF(OR($D97="",$J97&lt;&gt;"Supplier"),"",IFERROR(INDEX(SupplierRates!$E$5:$E$500,MATCH($K97&amp;"|"&amp;$L97,SupplierRates!$A$5:$A$500,0)),0))</f>
        <v/>
      </c>
      <c r="R97" s="26" t="n">
        <f aca="false">IF(OR($D97="",$J97&lt;&gt;"Supplier"),0,F97*P97+G97*Q97)</f>
        <v>0</v>
      </c>
      <c r="S97" s="26" t="n">
        <f aca="false">IF(OR($D97="",$J97&lt;&gt;"Own"),0,IFERROR((F97+G97*Settings!$B$13)*INDEX(Workers!$V$5:$V$2004,MATCH($D97,Workers!$A$5:$A$2004,0)),0))</f>
        <v>0</v>
      </c>
      <c r="T97" s="26" t="str">
        <f aca="false">IF($D97="","",O97-R97-S97)</f>
        <v/>
      </c>
    </row>
    <row r="98" customFormat="false" ht="15" hidden="false" customHeight="false" outlineLevel="0" collapsed="false">
      <c r="I98" s="24" t="str">
        <f aca="false">IF($D98="","",IFERROR(INDEX(Workers!$B$5:$B$2004,MATCH($D98,Workers!$A$5:$A$2004,0)),"NOT FOUND"))</f>
        <v/>
      </c>
      <c r="J98" s="24" t="str">
        <f aca="false">IF($D98="","",IFERROR(INDEX(Workers!$C$5:$C$2004,MATCH($D98,Workers!$A$5:$A$2004,0)),""))</f>
        <v/>
      </c>
      <c r="K98" s="24" t="str">
        <f aca="false">IF($D98="","",IFERROR(IF(INDEX(Workers!$D$5:$D$2004,MATCH($D98,Workers!$A$5:$A$2004,0))=0,"",INDEX(Workers!$D$5:$D$2004,MATCH($D98,Workers!$A$5:$A$2004,0))),""))</f>
        <v/>
      </c>
      <c r="L98" s="24" t="str">
        <f aca="false">IF($D98="","",IFERROR(INDEX(Workers!$E$5:$E$2004,MATCH($D98,Workers!$A$5:$A$2004,0)),""))</f>
        <v/>
      </c>
      <c r="M98" s="26" t="str">
        <f aca="false">IF($D98="","",IFERROR(INDEX(ClientRates!$D$5:$D$500,MATCH($B98&amp;"|"&amp;$L98,ClientRates!$A$5:$A$500,0)),0))</f>
        <v/>
      </c>
      <c r="N98" s="26" t="str">
        <f aca="false">IF($D98="","",IFERROR(INDEX(ClientRates!$E$5:$E$500,MATCH($B98&amp;"|"&amp;$L98,ClientRates!$A$5:$A$500,0)),0))</f>
        <v/>
      </c>
      <c r="O98" s="26" t="str">
        <f aca="false">IF($D98="","",F98*M98+G98*N98)</f>
        <v/>
      </c>
      <c r="P98" s="26" t="str">
        <f aca="false">IF(OR($D98="",$J98&lt;&gt;"Supplier"),"",IFERROR(INDEX(SupplierRates!$D$5:$D$500,MATCH($K98&amp;"|"&amp;$L98,SupplierRates!$A$5:$A$500,0)),0))</f>
        <v/>
      </c>
      <c r="Q98" s="26" t="str">
        <f aca="false">IF(OR($D98="",$J98&lt;&gt;"Supplier"),"",IFERROR(INDEX(SupplierRates!$E$5:$E$500,MATCH($K98&amp;"|"&amp;$L98,SupplierRates!$A$5:$A$500,0)),0))</f>
        <v/>
      </c>
      <c r="R98" s="26" t="n">
        <f aca="false">IF(OR($D98="",$J98&lt;&gt;"Supplier"),0,F98*P98+G98*Q98)</f>
        <v>0</v>
      </c>
      <c r="S98" s="26" t="n">
        <f aca="false">IF(OR($D98="",$J98&lt;&gt;"Own"),0,IFERROR((F98+G98*Settings!$B$13)*INDEX(Workers!$V$5:$V$2004,MATCH($D98,Workers!$A$5:$A$2004,0)),0))</f>
        <v>0</v>
      </c>
      <c r="T98" s="26" t="str">
        <f aca="false">IF($D98="","",O98-R98-S98)</f>
        <v/>
      </c>
    </row>
    <row r="99" customFormat="false" ht="15" hidden="false" customHeight="false" outlineLevel="0" collapsed="false">
      <c r="I99" s="24" t="str">
        <f aca="false">IF($D99="","",IFERROR(INDEX(Workers!$B$5:$B$2004,MATCH($D99,Workers!$A$5:$A$2004,0)),"NOT FOUND"))</f>
        <v/>
      </c>
      <c r="J99" s="24" t="str">
        <f aca="false">IF($D99="","",IFERROR(INDEX(Workers!$C$5:$C$2004,MATCH($D99,Workers!$A$5:$A$2004,0)),""))</f>
        <v/>
      </c>
      <c r="K99" s="24" t="str">
        <f aca="false">IF($D99="","",IFERROR(IF(INDEX(Workers!$D$5:$D$2004,MATCH($D99,Workers!$A$5:$A$2004,0))=0,"",INDEX(Workers!$D$5:$D$2004,MATCH($D99,Workers!$A$5:$A$2004,0))),""))</f>
        <v/>
      </c>
      <c r="L99" s="24" t="str">
        <f aca="false">IF($D99="","",IFERROR(INDEX(Workers!$E$5:$E$2004,MATCH($D99,Workers!$A$5:$A$2004,0)),""))</f>
        <v/>
      </c>
      <c r="M99" s="26" t="str">
        <f aca="false">IF($D99="","",IFERROR(INDEX(ClientRates!$D$5:$D$500,MATCH($B99&amp;"|"&amp;$L99,ClientRates!$A$5:$A$500,0)),0))</f>
        <v/>
      </c>
      <c r="N99" s="26" t="str">
        <f aca="false">IF($D99="","",IFERROR(INDEX(ClientRates!$E$5:$E$500,MATCH($B99&amp;"|"&amp;$L99,ClientRates!$A$5:$A$500,0)),0))</f>
        <v/>
      </c>
      <c r="O99" s="26" t="str">
        <f aca="false">IF($D99="","",F99*M99+G99*N99)</f>
        <v/>
      </c>
      <c r="P99" s="26" t="str">
        <f aca="false">IF(OR($D99="",$J99&lt;&gt;"Supplier"),"",IFERROR(INDEX(SupplierRates!$D$5:$D$500,MATCH($K99&amp;"|"&amp;$L99,SupplierRates!$A$5:$A$500,0)),0))</f>
        <v/>
      </c>
      <c r="Q99" s="26" t="str">
        <f aca="false">IF(OR($D99="",$J99&lt;&gt;"Supplier"),"",IFERROR(INDEX(SupplierRates!$E$5:$E$500,MATCH($K99&amp;"|"&amp;$L99,SupplierRates!$A$5:$A$500,0)),0))</f>
        <v/>
      </c>
      <c r="R99" s="26" t="n">
        <f aca="false">IF(OR($D99="",$J99&lt;&gt;"Supplier"),0,F99*P99+G99*Q99)</f>
        <v>0</v>
      </c>
      <c r="S99" s="26" t="n">
        <f aca="false">IF(OR($D99="",$J99&lt;&gt;"Own"),0,IFERROR((F99+G99*Settings!$B$13)*INDEX(Workers!$V$5:$V$2004,MATCH($D99,Workers!$A$5:$A$2004,0)),0))</f>
        <v>0</v>
      </c>
      <c r="T99" s="26" t="str">
        <f aca="false">IF($D99="","",O99-R99-S99)</f>
        <v/>
      </c>
    </row>
    <row r="100" customFormat="false" ht="15" hidden="false" customHeight="false" outlineLevel="0" collapsed="false">
      <c r="I100" s="24" t="str">
        <f aca="false">IF($D100="","",IFERROR(INDEX(Workers!$B$5:$B$2004,MATCH($D100,Workers!$A$5:$A$2004,0)),"NOT FOUND"))</f>
        <v/>
      </c>
      <c r="J100" s="24" t="str">
        <f aca="false">IF($D100="","",IFERROR(INDEX(Workers!$C$5:$C$2004,MATCH($D100,Workers!$A$5:$A$2004,0)),""))</f>
        <v/>
      </c>
      <c r="K100" s="24" t="str">
        <f aca="false">IF($D100="","",IFERROR(IF(INDEX(Workers!$D$5:$D$2004,MATCH($D100,Workers!$A$5:$A$2004,0))=0,"",INDEX(Workers!$D$5:$D$2004,MATCH($D100,Workers!$A$5:$A$2004,0))),""))</f>
        <v/>
      </c>
      <c r="L100" s="24" t="str">
        <f aca="false">IF($D100="","",IFERROR(INDEX(Workers!$E$5:$E$2004,MATCH($D100,Workers!$A$5:$A$2004,0)),""))</f>
        <v/>
      </c>
      <c r="M100" s="26" t="str">
        <f aca="false">IF($D100="","",IFERROR(INDEX(ClientRates!$D$5:$D$500,MATCH($B100&amp;"|"&amp;$L100,ClientRates!$A$5:$A$500,0)),0))</f>
        <v/>
      </c>
      <c r="N100" s="26" t="str">
        <f aca="false">IF($D100="","",IFERROR(INDEX(ClientRates!$E$5:$E$500,MATCH($B100&amp;"|"&amp;$L100,ClientRates!$A$5:$A$500,0)),0))</f>
        <v/>
      </c>
      <c r="O100" s="26" t="str">
        <f aca="false">IF($D100="","",F100*M100+G100*N100)</f>
        <v/>
      </c>
      <c r="P100" s="26" t="str">
        <f aca="false">IF(OR($D100="",$J100&lt;&gt;"Supplier"),"",IFERROR(INDEX(SupplierRates!$D$5:$D$500,MATCH($K100&amp;"|"&amp;$L100,SupplierRates!$A$5:$A$500,0)),0))</f>
        <v/>
      </c>
      <c r="Q100" s="26" t="str">
        <f aca="false">IF(OR($D100="",$J100&lt;&gt;"Supplier"),"",IFERROR(INDEX(SupplierRates!$E$5:$E$500,MATCH($K100&amp;"|"&amp;$L100,SupplierRates!$A$5:$A$500,0)),0))</f>
        <v/>
      </c>
      <c r="R100" s="26" t="n">
        <f aca="false">IF(OR($D100="",$J100&lt;&gt;"Supplier"),0,F100*P100+G100*Q100)</f>
        <v>0</v>
      </c>
      <c r="S100" s="26" t="n">
        <f aca="false">IF(OR($D100="",$J100&lt;&gt;"Own"),0,IFERROR((F100+G100*Settings!$B$13)*INDEX(Workers!$V$5:$V$2004,MATCH($D100,Workers!$A$5:$A$2004,0)),0))</f>
        <v>0</v>
      </c>
      <c r="T100" s="26" t="str">
        <f aca="false">IF($D100="","",O100-R100-S100)</f>
        <v/>
      </c>
    </row>
    <row r="101" customFormat="false" ht="15" hidden="false" customHeight="false" outlineLevel="0" collapsed="false">
      <c r="I101" s="24" t="str">
        <f aca="false">IF($D101="","",IFERROR(INDEX(Workers!$B$5:$B$2004,MATCH($D101,Workers!$A$5:$A$2004,0)),"NOT FOUND"))</f>
        <v/>
      </c>
      <c r="J101" s="24" t="str">
        <f aca="false">IF($D101="","",IFERROR(INDEX(Workers!$C$5:$C$2004,MATCH($D101,Workers!$A$5:$A$2004,0)),""))</f>
        <v/>
      </c>
      <c r="K101" s="24" t="str">
        <f aca="false">IF($D101="","",IFERROR(IF(INDEX(Workers!$D$5:$D$2004,MATCH($D101,Workers!$A$5:$A$2004,0))=0,"",INDEX(Workers!$D$5:$D$2004,MATCH($D101,Workers!$A$5:$A$2004,0))),""))</f>
        <v/>
      </c>
      <c r="L101" s="24" t="str">
        <f aca="false">IF($D101="","",IFERROR(INDEX(Workers!$E$5:$E$2004,MATCH($D101,Workers!$A$5:$A$2004,0)),""))</f>
        <v/>
      </c>
      <c r="M101" s="26" t="str">
        <f aca="false">IF($D101="","",IFERROR(INDEX(ClientRates!$D$5:$D$500,MATCH($B101&amp;"|"&amp;$L101,ClientRates!$A$5:$A$500,0)),0))</f>
        <v/>
      </c>
      <c r="N101" s="26" t="str">
        <f aca="false">IF($D101="","",IFERROR(INDEX(ClientRates!$E$5:$E$500,MATCH($B101&amp;"|"&amp;$L101,ClientRates!$A$5:$A$500,0)),0))</f>
        <v/>
      </c>
      <c r="O101" s="26" t="str">
        <f aca="false">IF($D101="","",F101*M101+G101*N101)</f>
        <v/>
      </c>
      <c r="P101" s="26" t="str">
        <f aca="false">IF(OR($D101="",$J101&lt;&gt;"Supplier"),"",IFERROR(INDEX(SupplierRates!$D$5:$D$500,MATCH($K101&amp;"|"&amp;$L101,SupplierRates!$A$5:$A$500,0)),0))</f>
        <v/>
      </c>
      <c r="Q101" s="26" t="str">
        <f aca="false">IF(OR($D101="",$J101&lt;&gt;"Supplier"),"",IFERROR(INDEX(SupplierRates!$E$5:$E$500,MATCH($K101&amp;"|"&amp;$L101,SupplierRates!$A$5:$A$500,0)),0))</f>
        <v/>
      </c>
      <c r="R101" s="26" t="n">
        <f aca="false">IF(OR($D101="",$J101&lt;&gt;"Supplier"),0,F101*P101+G101*Q101)</f>
        <v>0</v>
      </c>
      <c r="S101" s="26" t="n">
        <f aca="false">IF(OR($D101="",$J101&lt;&gt;"Own"),0,IFERROR((F101+G101*Settings!$B$13)*INDEX(Workers!$V$5:$V$2004,MATCH($D101,Workers!$A$5:$A$2004,0)),0))</f>
        <v>0</v>
      </c>
      <c r="T101" s="26" t="str">
        <f aca="false">IF($D101="","",O101-R101-S101)</f>
        <v/>
      </c>
    </row>
    <row r="102" customFormat="false" ht="15" hidden="false" customHeight="false" outlineLevel="0" collapsed="false">
      <c r="I102" s="24" t="str">
        <f aca="false">IF($D102="","",IFERROR(INDEX(Workers!$B$5:$B$2004,MATCH($D102,Workers!$A$5:$A$2004,0)),"NOT FOUND"))</f>
        <v/>
      </c>
      <c r="J102" s="24" t="str">
        <f aca="false">IF($D102="","",IFERROR(INDEX(Workers!$C$5:$C$2004,MATCH($D102,Workers!$A$5:$A$2004,0)),""))</f>
        <v/>
      </c>
      <c r="K102" s="24" t="str">
        <f aca="false">IF($D102="","",IFERROR(IF(INDEX(Workers!$D$5:$D$2004,MATCH($D102,Workers!$A$5:$A$2004,0))=0,"",INDEX(Workers!$D$5:$D$2004,MATCH($D102,Workers!$A$5:$A$2004,0))),""))</f>
        <v/>
      </c>
      <c r="L102" s="24" t="str">
        <f aca="false">IF($D102="","",IFERROR(INDEX(Workers!$E$5:$E$2004,MATCH($D102,Workers!$A$5:$A$2004,0)),""))</f>
        <v/>
      </c>
      <c r="M102" s="26" t="str">
        <f aca="false">IF($D102="","",IFERROR(INDEX(ClientRates!$D$5:$D$500,MATCH($B102&amp;"|"&amp;$L102,ClientRates!$A$5:$A$500,0)),0))</f>
        <v/>
      </c>
      <c r="N102" s="26" t="str">
        <f aca="false">IF($D102="","",IFERROR(INDEX(ClientRates!$E$5:$E$500,MATCH($B102&amp;"|"&amp;$L102,ClientRates!$A$5:$A$500,0)),0))</f>
        <v/>
      </c>
      <c r="O102" s="26" t="str">
        <f aca="false">IF($D102="","",F102*M102+G102*N102)</f>
        <v/>
      </c>
      <c r="P102" s="26" t="str">
        <f aca="false">IF(OR($D102="",$J102&lt;&gt;"Supplier"),"",IFERROR(INDEX(SupplierRates!$D$5:$D$500,MATCH($K102&amp;"|"&amp;$L102,SupplierRates!$A$5:$A$500,0)),0))</f>
        <v/>
      </c>
      <c r="Q102" s="26" t="str">
        <f aca="false">IF(OR($D102="",$J102&lt;&gt;"Supplier"),"",IFERROR(INDEX(SupplierRates!$E$5:$E$500,MATCH($K102&amp;"|"&amp;$L102,SupplierRates!$A$5:$A$500,0)),0))</f>
        <v/>
      </c>
      <c r="R102" s="26" t="n">
        <f aca="false">IF(OR($D102="",$J102&lt;&gt;"Supplier"),0,F102*P102+G102*Q102)</f>
        <v>0</v>
      </c>
      <c r="S102" s="26" t="n">
        <f aca="false">IF(OR($D102="",$J102&lt;&gt;"Own"),0,IFERROR((F102+G102*Settings!$B$13)*INDEX(Workers!$V$5:$V$2004,MATCH($D102,Workers!$A$5:$A$2004,0)),0))</f>
        <v>0</v>
      </c>
      <c r="T102" s="26" t="str">
        <f aca="false">IF($D102="","",O102-R102-S102)</f>
        <v/>
      </c>
    </row>
    <row r="103" customFormat="false" ht="15" hidden="false" customHeight="false" outlineLevel="0" collapsed="false">
      <c r="I103" s="24" t="str">
        <f aca="false">IF($D103="","",IFERROR(INDEX(Workers!$B$5:$B$2004,MATCH($D103,Workers!$A$5:$A$2004,0)),"NOT FOUND"))</f>
        <v/>
      </c>
      <c r="J103" s="24" t="str">
        <f aca="false">IF($D103="","",IFERROR(INDEX(Workers!$C$5:$C$2004,MATCH($D103,Workers!$A$5:$A$2004,0)),""))</f>
        <v/>
      </c>
      <c r="K103" s="24" t="str">
        <f aca="false">IF($D103="","",IFERROR(IF(INDEX(Workers!$D$5:$D$2004,MATCH($D103,Workers!$A$5:$A$2004,0))=0,"",INDEX(Workers!$D$5:$D$2004,MATCH($D103,Workers!$A$5:$A$2004,0))),""))</f>
        <v/>
      </c>
      <c r="L103" s="24" t="str">
        <f aca="false">IF($D103="","",IFERROR(INDEX(Workers!$E$5:$E$2004,MATCH($D103,Workers!$A$5:$A$2004,0)),""))</f>
        <v/>
      </c>
      <c r="M103" s="26" t="str">
        <f aca="false">IF($D103="","",IFERROR(INDEX(ClientRates!$D$5:$D$500,MATCH($B103&amp;"|"&amp;$L103,ClientRates!$A$5:$A$500,0)),0))</f>
        <v/>
      </c>
      <c r="N103" s="26" t="str">
        <f aca="false">IF($D103="","",IFERROR(INDEX(ClientRates!$E$5:$E$500,MATCH($B103&amp;"|"&amp;$L103,ClientRates!$A$5:$A$500,0)),0))</f>
        <v/>
      </c>
      <c r="O103" s="26" t="str">
        <f aca="false">IF($D103="","",F103*M103+G103*N103)</f>
        <v/>
      </c>
      <c r="P103" s="26" t="str">
        <f aca="false">IF(OR($D103="",$J103&lt;&gt;"Supplier"),"",IFERROR(INDEX(SupplierRates!$D$5:$D$500,MATCH($K103&amp;"|"&amp;$L103,SupplierRates!$A$5:$A$500,0)),0))</f>
        <v/>
      </c>
      <c r="Q103" s="26" t="str">
        <f aca="false">IF(OR($D103="",$J103&lt;&gt;"Supplier"),"",IFERROR(INDEX(SupplierRates!$E$5:$E$500,MATCH($K103&amp;"|"&amp;$L103,SupplierRates!$A$5:$A$500,0)),0))</f>
        <v/>
      </c>
      <c r="R103" s="26" t="n">
        <f aca="false">IF(OR($D103="",$J103&lt;&gt;"Supplier"),0,F103*P103+G103*Q103)</f>
        <v>0</v>
      </c>
      <c r="S103" s="26" t="n">
        <f aca="false">IF(OR($D103="",$J103&lt;&gt;"Own"),0,IFERROR((F103+G103*Settings!$B$13)*INDEX(Workers!$V$5:$V$2004,MATCH($D103,Workers!$A$5:$A$2004,0)),0))</f>
        <v>0</v>
      </c>
      <c r="T103" s="26" t="str">
        <f aca="false">IF($D103="","",O103-R103-S103)</f>
        <v/>
      </c>
    </row>
    <row r="104" customFormat="false" ht="15" hidden="false" customHeight="false" outlineLevel="0" collapsed="false">
      <c r="I104" s="24" t="str">
        <f aca="false">IF($D104="","",IFERROR(INDEX(Workers!$B$5:$B$2004,MATCH($D104,Workers!$A$5:$A$2004,0)),"NOT FOUND"))</f>
        <v/>
      </c>
      <c r="J104" s="24" t="str">
        <f aca="false">IF($D104="","",IFERROR(INDEX(Workers!$C$5:$C$2004,MATCH($D104,Workers!$A$5:$A$2004,0)),""))</f>
        <v/>
      </c>
      <c r="K104" s="24" t="str">
        <f aca="false">IF($D104="","",IFERROR(IF(INDEX(Workers!$D$5:$D$2004,MATCH($D104,Workers!$A$5:$A$2004,0))=0,"",INDEX(Workers!$D$5:$D$2004,MATCH($D104,Workers!$A$5:$A$2004,0))),""))</f>
        <v/>
      </c>
      <c r="L104" s="24" t="str">
        <f aca="false">IF($D104="","",IFERROR(INDEX(Workers!$E$5:$E$2004,MATCH($D104,Workers!$A$5:$A$2004,0)),""))</f>
        <v/>
      </c>
      <c r="M104" s="26" t="str">
        <f aca="false">IF($D104="","",IFERROR(INDEX(ClientRates!$D$5:$D$500,MATCH($B104&amp;"|"&amp;$L104,ClientRates!$A$5:$A$500,0)),0))</f>
        <v/>
      </c>
      <c r="N104" s="26" t="str">
        <f aca="false">IF($D104="","",IFERROR(INDEX(ClientRates!$E$5:$E$500,MATCH($B104&amp;"|"&amp;$L104,ClientRates!$A$5:$A$500,0)),0))</f>
        <v/>
      </c>
      <c r="O104" s="26" t="str">
        <f aca="false">IF($D104="","",F104*M104+G104*N104)</f>
        <v/>
      </c>
      <c r="P104" s="26" t="str">
        <f aca="false">IF(OR($D104="",$J104&lt;&gt;"Supplier"),"",IFERROR(INDEX(SupplierRates!$D$5:$D$500,MATCH($K104&amp;"|"&amp;$L104,SupplierRates!$A$5:$A$500,0)),0))</f>
        <v/>
      </c>
      <c r="Q104" s="26" t="str">
        <f aca="false">IF(OR($D104="",$J104&lt;&gt;"Supplier"),"",IFERROR(INDEX(SupplierRates!$E$5:$E$500,MATCH($K104&amp;"|"&amp;$L104,SupplierRates!$A$5:$A$500,0)),0))</f>
        <v/>
      </c>
      <c r="R104" s="26" t="n">
        <f aca="false">IF(OR($D104="",$J104&lt;&gt;"Supplier"),0,F104*P104+G104*Q104)</f>
        <v>0</v>
      </c>
      <c r="S104" s="26" t="n">
        <f aca="false">IF(OR($D104="",$J104&lt;&gt;"Own"),0,IFERROR((F104+G104*Settings!$B$13)*INDEX(Workers!$V$5:$V$2004,MATCH($D104,Workers!$A$5:$A$2004,0)),0))</f>
        <v>0</v>
      </c>
      <c r="T104" s="26" t="str">
        <f aca="false">IF($D104="","",O104-R104-S104)</f>
        <v/>
      </c>
    </row>
    <row r="105" customFormat="false" ht="15" hidden="false" customHeight="false" outlineLevel="0" collapsed="false">
      <c r="I105" s="24" t="str">
        <f aca="false">IF($D105="","",IFERROR(INDEX(Workers!$B$5:$B$2004,MATCH($D105,Workers!$A$5:$A$2004,0)),"NOT FOUND"))</f>
        <v/>
      </c>
      <c r="J105" s="24" t="str">
        <f aca="false">IF($D105="","",IFERROR(INDEX(Workers!$C$5:$C$2004,MATCH($D105,Workers!$A$5:$A$2004,0)),""))</f>
        <v/>
      </c>
      <c r="K105" s="24" t="str">
        <f aca="false">IF($D105="","",IFERROR(IF(INDEX(Workers!$D$5:$D$2004,MATCH($D105,Workers!$A$5:$A$2004,0))=0,"",INDEX(Workers!$D$5:$D$2004,MATCH($D105,Workers!$A$5:$A$2004,0))),""))</f>
        <v/>
      </c>
      <c r="L105" s="24" t="str">
        <f aca="false">IF($D105="","",IFERROR(INDEX(Workers!$E$5:$E$2004,MATCH($D105,Workers!$A$5:$A$2004,0)),""))</f>
        <v/>
      </c>
      <c r="M105" s="26" t="str">
        <f aca="false">IF($D105="","",IFERROR(INDEX(ClientRates!$D$5:$D$500,MATCH($B105&amp;"|"&amp;$L105,ClientRates!$A$5:$A$500,0)),0))</f>
        <v/>
      </c>
      <c r="N105" s="26" t="str">
        <f aca="false">IF($D105="","",IFERROR(INDEX(ClientRates!$E$5:$E$500,MATCH($B105&amp;"|"&amp;$L105,ClientRates!$A$5:$A$500,0)),0))</f>
        <v/>
      </c>
      <c r="O105" s="26" t="str">
        <f aca="false">IF($D105="","",F105*M105+G105*N105)</f>
        <v/>
      </c>
      <c r="P105" s="26" t="str">
        <f aca="false">IF(OR($D105="",$J105&lt;&gt;"Supplier"),"",IFERROR(INDEX(SupplierRates!$D$5:$D$500,MATCH($K105&amp;"|"&amp;$L105,SupplierRates!$A$5:$A$500,0)),0))</f>
        <v/>
      </c>
      <c r="Q105" s="26" t="str">
        <f aca="false">IF(OR($D105="",$J105&lt;&gt;"Supplier"),"",IFERROR(INDEX(SupplierRates!$E$5:$E$500,MATCH($K105&amp;"|"&amp;$L105,SupplierRates!$A$5:$A$500,0)),0))</f>
        <v/>
      </c>
      <c r="R105" s="26" t="n">
        <f aca="false">IF(OR($D105="",$J105&lt;&gt;"Supplier"),0,F105*P105+G105*Q105)</f>
        <v>0</v>
      </c>
      <c r="S105" s="26" t="n">
        <f aca="false">IF(OR($D105="",$J105&lt;&gt;"Own"),0,IFERROR((F105+G105*Settings!$B$13)*INDEX(Workers!$V$5:$V$2004,MATCH($D105,Workers!$A$5:$A$2004,0)),0))</f>
        <v>0</v>
      </c>
      <c r="T105" s="26" t="str">
        <f aca="false">IF($D105="","",O105-R105-S105)</f>
        <v/>
      </c>
    </row>
    <row r="106" customFormat="false" ht="15" hidden="false" customHeight="false" outlineLevel="0" collapsed="false">
      <c r="I106" s="24" t="str">
        <f aca="false">IF($D106="","",IFERROR(INDEX(Workers!$B$5:$B$2004,MATCH($D106,Workers!$A$5:$A$2004,0)),"NOT FOUND"))</f>
        <v/>
      </c>
      <c r="J106" s="24" t="str">
        <f aca="false">IF($D106="","",IFERROR(INDEX(Workers!$C$5:$C$2004,MATCH($D106,Workers!$A$5:$A$2004,0)),""))</f>
        <v/>
      </c>
      <c r="K106" s="24" t="str">
        <f aca="false">IF($D106="","",IFERROR(IF(INDEX(Workers!$D$5:$D$2004,MATCH($D106,Workers!$A$5:$A$2004,0))=0,"",INDEX(Workers!$D$5:$D$2004,MATCH($D106,Workers!$A$5:$A$2004,0))),""))</f>
        <v/>
      </c>
      <c r="L106" s="24" t="str">
        <f aca="false">IF($D106="","",IFERROR(INDEX(Workers!$E$5:$E$2004,MATCH($D106,Workers!$A$5:$A$2004,0)),""))</f>
        <v/>
      </c>
      <c r="M106" s="26" t="str">
        <f aca="false">IF($D106="","",IFERROR(INDEX(ClientRates!$D$5:$D$500,MATCH($B106&amp;"|"&amp;$L106,ClientRates!$A$5:$A$500,0)),0))</f>
        <v/>
      </c>
      <c r="N106" s="26" t="str">
        <f aca="false">IF($D106="","",IFERROR(INDEX(ClientRates!$E$5:$E$500,MATCH($B106&amp;"|"&amp;$L106,ClientRates!$A$5:$A$500,0)),0))</f>
        <v/>
      </c>
      <c r="O106" s="26" t="str">
        <f aca="false">IF($D106="","",F106*M106+G106*N106)</f>
        <v/>
      </c>
      <c r="P106" s="26" t="str">
        <f aca="false">IF(OR($D106="",$J106&lt;&gt;"Supplier"),"",IFERROR(INDEX(SupplierRates!$D$5:$D$500,MATCH($K106&amp;"|"&amp;$L106,SupplierRates!$A$5:$A$500,0)),0))</f>
        <v/>
      </c>
      <c r="Q106" s="26" t="str">
        <f aca="false">IF(OR($D106="",$J106&lt;&gt;"Supplier"),"",IFERROR(INDEX(SupplierRates!$E$5:$E$500,MATCH($K106&amp;"|"&amp;$L106,SupplierRates!$A$5:$A$500,0)),0))</f>
        <v/>
      </c>
      <c r="R106" s="26" t="n">
        <f aca="false">IF(OR($D106="",$J106&lt;&gt;"Supplier"),0,F106*P106+G106*Q106)</f>
        <v>0</v>
      </c>
      <c r="S106" s="26" t="n">
        <f aca="false">IF(OR($D106="",$J106&lt;&gt;"Own"),0,IFERROR((F106+G106*Settings!$B$13)*INDEX(Workers!$V$5:$V$2004,MATCH($D106,Workers!$A$5:$A$2004,0)),0))</f>
        <v>0</v>
      </c>
      <c r="T106" s="26" t="str">
        <f aca="false">IF($D106="","",O106-R106-S106)</f>
        <v/>
      </c>
    </row>
    <row r="107" customFormat="false" ht="15" hidden="false" customHeight="false" outlineLevel="0" collapsed="false">
      <c r="I107" s="24" t="str">
        <f aca="false">IF($D107="","",IFERROR(INDEX(Workers!$B$5:$B$2004,MATCH($D107,Workers!$A$5:$A$2004,0)),"NOT FOUND"))</f>
        <v/>
      </c>
      <c r="J107" s="24" t="str">
        <f aca="false">IF($D107="","",IFERROR(INDEX(Workers!$C$5:$C$2004,MATCH($D107,Workers!$A$5:$A$2004,0)),""))</f>
        <v/>
      </c>
      <c r="K107" s="24" t="str">
        <f aca="false">IF($D107="","",IFERROR(IF(INDEX(Workers!$D$5:$D$2004,MATCH($D107,Workers!$A$5:$A$2004,0))=0,"",INDEX(Workers!$D$5:$D$2004,MATCH($D107,Workers!$A$5:$A$2004,0))),""))</f>
        <v/>
      </c>
      <c r="L107" s="24" t="str">
        <f aca="false">IF($D107="","",IFERROR(INDEX(Workers!$E$5:$E$2004,MATCH($D107,Workers!$A$5:$A$2004,0)),""))</f>
        <v/>
      </c>
      <c r="M107" s="26" t="str">
        <f aca="false">IF($D107="","",IFERROR(INDEX(ClientRates!$D$5:$D$500,MATCH($B107&amp;"|"&amp;$L107,ClientRates!$A$5:$A$500,0)),0))</f>
        <v/>
      </c>
      <c r="N107" s="26" t="str">
        <f aca="false">IF($D107="","",IFERROR(INDEX(ClientRates!$E$5:$E$500,MATCH($B107&amp;"|"&amp;$L107,ClientRates!$A$5:$A$500,0)),0))</f>
        <v/>
      </c>
      <c r="O107" s="26" t="str">
        <f aca="false">IF($D107="","",F107*M107+G107*N107)</f>
        <v/>
      </c>
      <c r="P107" s="26" t="str">
        <f aca="false">IF(OR($D107="",$J107&lt;&gt;"Supplier"),"",IFERROR(INDEX(SupplierRates!$D$5:$D$500,MATCH($K107&amp;"|"&amp;$L107,SupplierRates!$A$5:$A$500,0)),0))</f>
        <v/>
      </c>
      <c r="Q107" s="26" t="str">
        <f aca="false">IF(OR($D107="",$J107&lt;&gt;"Supplier"),"",IFERROR(INDEX(SupplierRates!$E$5:$E$500,MATCH($K107&amp;"|"&amp;$L107,SupplierRates!$A$5:$A$500,0)),0))</f>
        <v/>
      </c>
      <c r="R107" s="26" t="n">
        <f aca="false">IF(OR($D107="",$J107&lt;&gt;"Supplier"),0,F107*P107+G107*Q107)</f>
        <v>0</v>
      </c>
      <c r="S107" s="26" t="n">
        <f aca="false">IF(OR($D107="",$J107&lt;&gt;"Own"),0,IFERROR((F107+G107*Settings!$B$13)*INDEX(Workers!$V$5:$V$2004,MATCH($D107,Workers!$A$5:$A$2004,0)),0))</f>
        <v>0</v>
      </c>
      <c r="T107" s="26" t="str">
        <f aca="false">IF($D107="","",O107-R107-S107)</f>
        <v/>
      </c>
    </row>
    <row r="108" customFormat="false" ht="15" hidden="false" customHeight="false" outlineLevel="0" collapsed="false">
      <c r="I108" s="24" t="str">
        <f aca="false">IF($D108="","",IFERROR(INDEX(Workers!$B$5:$B$2004,MATCH($D108,Workers!$A$5:$A$2004,0)),"NOT FOUND"))</f>
        <v/>
      </c>
      <c r="J108" s="24" t="str">
        <f aca="false">IF($D108="","",IFERROR(INDEX(Workers!$C$5:$C$2004,MATCH($D108,Workers!$A$5:$A$2004,0)),""))</f>
        <v/>
      </c>
      <c r="K108" s="24" t="str">
        <f aca="false">IF($D108="","",IFERROR(IF(INDEX(Workers!$D$5:$D$2004,MATCH($D108,Workers!$A$5:$A$2004,0))=0,"",INDEX(Workers!$D$5:$D$2004,MATCH($D108,Workers!$A$5:$A$2004,0))),""))</f>
        <v/>
      </c>
      <c r="L108" s="24" t="str">
        <f aca="false">IF($D108="","",IFERROR(INDEX(Workers!$E$5:$E$2004,MATCH($D108,Workers!$A$5:$A$2004,0)),""))</f>
        <v/>
      </c>
      <c r="M108" s="26" t="str">
        <f aca="false">IF($D108="","",IFERROR(INDEX(ClientRates!$D$5:$D$500,MATCH($B108&amp;"|"&amp;$L108,ClientRates!$A$5:$A$500,0)),0))</f>
        <v/>
      </c>
      <c r="N108" s="26" t="str">
        <f aca="false">IF($D108="","",IFERROR(INDEX(ClientRates!$E$5:$E$500,MATCH($B108&amp;"|"&amp;$L108,ClientRates!$A$5:$A$500,0)),0))</f>
        <v/>
      </c>
      <c r="O108" s="26" t="str">
        <f aca="false">IF($D108="","",F108*M108+G108*N108)</f>
        <v/>
      </c>
      <c r="P108" s="26" t="str">
        <f aca="false">IF(OR($D108="",$J108&lt;&gt;"Supplier"),"",IFERROR(INDEX(SupplierRates!$D$5:$D$500,MATCH($K108&amp;"|"&amp;$L108,SupplierRates!$A$5:$A$500,0)),0))</f>
        <v/>
      </c>
      <c r="Q108" s="26" t="str">
        <f aca="false">IF(OR($D108="",$J108&lt;&gt;"Supplier"),"",IFERROR(INDEX(SupplierRates!$E$5:$E$500,MATCH($K108&amp;"|"&amp;$L108,SupplierRates!$A$5:$A$500,0)),0))</f>
        <v/>
      </c>
      <c r="R108" s="26" t="n">
        <f aca="false">IF(OR($D108="",$J108&lt;&gt;"Supplier"),0,F108*P108+G108*Q108)</f>
        <v>0</v>
      </c>
      <c r="S108" s="26" t="n">
        <f aca="false">IF(OR($D108="",$J108&lt;&gt;"Own"),0,IFERROR((F108+G108*Settings!$B$13)*INDEX(Workers!$V$5:$V$2004,MATCH($D108,Workers!$A$5:$A$2004,0)),0))</f>
        <v>0</v>
      </c>
      <c r="T108" s="26" t="str">
        <f aca="false">IF($D108="","",O108-R108-S108)</f>
        <v/>
      </c>
    </row>
    <row r="109" customFormat="false" ht="15" hidden="false" customHeight="false" outlineLevel="0" collapsed="false">
      <c r="I109" s="24" t="str">
        <f aca="false">IF($D109="","",IFERROR(INDEX(Workers!$B$5:$B$2004,MATCH($D109,Workers!$A$5:$A$2004,0)),"NOT FOUND"))</f>
        <v/>
      </c>
      <c r="J109" s="24" t="str">
        <f aca="false">IF($D109="","",IFERROR(INDEX(Workers!$C$5:$C$2004,MATCH($D109,Workers!$A$5:$A$2004,0)),""))</f>
        <v/>
      </c>
      <c r="K109" s="24" t="str">
        <f aca="false">IF($D109="","",IFERROR(IF(INDEX(Workers!$D$5:$D$2004,MATCH($D109,Workers!$A$5:$A$2004,0))=0,"",INDEX(Workers!$D$5:$D$2004,MATCH($D109,Workers!$A$5:$A$2004,0))),""))</f>
        <v/>
      </c>
      <c r="L109" s="24" t="str">
        <f aca="false">IF($D109="","",IFERROR(INDEX(Workers!$E$5:$E$2004,MATCH($D109,Workers!$A$5:$A$2004,0)),""))</f>
        <v/>
      </c>
      <c r="M109" s="26" t="str">
        <f aca="false">IF($D109="","",IFERROR(INDEX(ClientRates!$D$5:$D$500,MATCH($B109&amp;"|"&amp;$L109,ClientRates!$A$5:$A$500,0)),0))</f>
        <v/>
      </c>
      <c r="N109" s="26" t="str">
        <f aca="false">IF($D109="","",IFERROR(INDEX(ClientRates!$E$5:$E$500,MATCH($B109&amp;"|"&amp;$L109,ClientRates!$A$5:$A$500,0)),0))</f>
        <v/>
      </c>
      <c r="O109" s="26" t="str">
        <f aca="false">IF($D109="","",F109*M109+G109*N109)</f>
        <v/>
      </c>
      <c r="P109" s="26" t="str">
        <f aca="false">IF(OR($D109="",$J109&lt;&gt;"Supplier"),"",IFERROR(INDEX(SupplierRates!$D$5:$D$500,MATCH($K109&amp;"|"&amp;$L109,SupplierRates!$A$5:$A$500,0)),0))</f>
        <v/>
      </c>
      <c r="Q109" s="26" t="str">
        <f aca="false">IF(OR($D109="",$J109&lt;&gt;"Supplier"),"",IFERROR(INDEX(SupplierRates!$E$5:$E$500,MATCH($K109&amp;"|"&amp;$L109,SupplierRates!$A$5:$A$500,0)),0))</f>
        <v/>
      </c>
      <c r="R109" s="26" t="n">
        <f aca="false">IF(OR($D109="",$J109&lt;&gt;"Supplier"),0,F109*P109+G109*Q109)</f>
        <v>0</v>
      </c>
      <c r="S109" s="26" t="n">
        <f aca="false">IF(OR($D109="",$J109&lt;&gt;"Own"),0,IFERROR((F109+G109*Settings!$B$13)*INDEX(Workers!$V$5:$V$2004,MATCH($D109,Workers!$A$5:$A$2004,0)),0))</f>
        <v>0</v>
      </c>
      <c r="T109" s="26" t="str">
        <f aca="false">IF($D109="","",O109-R109-S109)</f>
        <v/>
      </c>
    </row>
    <row r="110" customFormat="false" ht="15" hidden="false" customHeight="false" outlineLevel="0" collapsed="false">
      <c r="I110" s="24" t="str">
        <f aca="false">IF($D110="","",IFERROR(INDEX(Workers!$B$5:$B$2004,MATCH($D110,Workers!$A$5:$A$2004,0)),"NOT FOUND"))</f>
        <v/>
      </c>
      <c r="J110" s="24" t="str">
        <f aca="false">IF($D110="","",IFERROR(INDEX(Workers!$C$5:$C$2004,MATCH($D110,Workers!$A$5:$A$2004,0)),""))</f>
        <v/>
      </c>
      <c r="K110" s="24" t="str">
        <f aca="false">IF($D110="","",IFERROR(IF(INDEX(Workers!$D$5:$D$2004,MATCH($D110,Workers!$A$5:$A$2004,0))=0,"",INDEX(Workers!$D$5:$D$2004,MATCH($D110,Workers!$A$5:$A$2004,0))),""))</f>
        <v/>
      </c>
      <c r="L110" s="24" t="str">
        <f aca="false">IF($D110="","",IFERROR(INDEX(Workers!$E$5:$E$2004,MATCH($D110,Workers!$A$5:$A$2004,0)),""))</f>
        <v/>
      </c>
      <c r="M110" s="26" t="str">
        <f aca="false">IF($D110="","",IFERROR(INDEX(ClientRates!$D$5:$D$500,MATCH($B110&amp;"|"&amp;$L110,ClientRates!$A$5:$A$500,0)),0))</f>
        <v/>
      </c>
      <c r="N110" s="26" t="str">
        <f aca="false">IF($D110="","",IFERROR(INDEX(ClientRates!$E$5:$E$500,MATCH($B110&amp;"|"&amp;$L110,ClientRates!$A$5:$A$500,0)),0))</f>
        <v/>
      </c>
      <c r="O110" s="26" t="str">
        <f aca="false">IF($D110="","",F110*M110+G110*N110)</f>
        <v/>
      </c>
      <c r="P110" s="26" t="str">
        <f aca="false">IF(OR($D110="",$J110&lt;&gt;"Supplier"),"",IFERROR(INDEX(SupplierRates!$D$5:$D$500,MATCH($K110&amp;"|"&amp;$L110,SupplierRates!$A$5:$A$500,0)),0))</f>
        <v/>
      </c>
      <c r="Q110" s="26" t="str">
        <f aca="false">IF(OR($D110="",$J110&lt;&gt;"Supplier"),"",IFERROR(INDEX(SupplierRates!$E$5:$E$500,MATCH($K110&amp;"|"&amp;$L110,SupplierRates!$A$5:$A$500,0)),0))</f>
        <v/>
      </c>
      <c r="R110" s="26" t="n">
        <f aca="false">IF(OR($D110="",$J110&lt;&gt;"Supplier"),0,F110*P110+G110*Q110)</f>
        <v>0</v>
      </c>
      <c r="S110" s="26" t="n">
        <f aca="false">IF(OR($D110="",$J110&lt;&gt;"Own"),0,IFERROR((F110+G110*Settings!$B$13)*INDEX(Workers!$V$5:$V$2004,MATCH($D110,Workers!$A$5:$A$2004,0)),0))</f>
        <v>0</v>
      </c>
      <c r="T110" s="26" t="str">
        <f aca="false">IF($D110="","",O110-R110-S110)</f>
        <v/>
      </c>
    </row>
    <row r="111" customFormat="false" ht="15" hidden="false" customHeight="false" outlineLevel="0" collapsed="false">
      <c r="I111" s="24" t="str">
        <f aca="false">IF($D111="","",IFERROR(INDEX(Workers!$B$5:$B$2004,MATCH($D111,Workers!$A$5:$A$2004,0)),"NOT FOUND"))</f>
        <v/>
      </c>
      <c r="J111" s="24" t="str">
        <f aca="false">IF($D111="","",IFERROR(INDEX(Workers!$C$5:$C$2004,MATCH($D111,Workers!$A$5:$A$2004,0)),""))</f>
        <v/>
      </c>
      <c r="K111" s="24" t="str">
        <f aca="false">IF($D111="","",IFERROR(IF(INDEX(Workers!$D$5:$D$2004,MATCH($D111,Workers!$A$5:$A$2004,0))=0,"",INDEX(Workers!$D$5:$D$2004,MATCH($D111,Workers!$A$5:$A$2004,0))),""))</f>
        <v/>
      </c>
      <c r="L111" s="24" t="str">
        <f aca="false">IF($D111="","",IFERROR(INDEX(Workers!$E$5:$E$2004,MATCH($D111,Workers!$A$5:$A$2004,0)),""))</f>
        <v/>
      </c>
      <c r="M111" s="26" t="str">
        <f aca="false">IF($D111="","",IFERROR(INDEX(ClientRates!$D$5:$D$500,MATCH($B111&amp;"|"&amp;$L111,ClientRates!$A$5:$A$500,0)),0))</f>
        <v/>
      </c>
      <c r="N111" s="26" t="str">
        <f aca="false">IF($D111="","",IFERROR(INDEX(ClientRates!$E$5:$E$500,MATCH($B111&amp;"|"&amp;$L111,ClientRates!$A$5:$A$500,0)),0))</f>
        <v/>
      </c>
      <c r="O111" s="26" t="str">
        <f aca="false">IF($D111="","",F111*M111+G111*N111)</f>
        <v/>
      </c>
      <c r="P111" s="26" t="str">
        <f aca="false">IF(OR($D111="",$J111&lt;&gt;"Supplier"),"",IFERROR(INDEX(SupplierRates!$D$5:$D$500,MATCH($K111&amp;"|"&amp;$L111,SupplierRates!$A$5:$A$500,0)),0))</f>
        <v/>
      </c>
      <c r="Q111" s="26" t="str">
        <f aca="false">IF(OR($D111="",$J111&lt;&gt;"Supplier"),"",IFERROR(INDEX(SupplierRates!$E$5:$E$500,MATCH($K111&amp;"|"&amp;$L111,SupplierRates!$A$5:$A$500,0)),0))</f>
        <v/>
      </c>
      <c r="R111" s="26" t="n">
        <f aca="false">IF(OR($D111="",$J111&lt;&gt;"Supplier"),0,F111*P111+G111*Q111)</f>
        <v>0</v>
      </c>
      <c r="S111" s="26" t="n">
        <f aca="false">IF(OR($D111="",$J111&lt;&gt;"Own"),0,IFERROR((F111+G111*Settings!$B$13)*INDEX(Workers!$V$5:$V$2004,MATCH($D111,Workers!$A$5:$A$2004,0)),0))</f>
        <v>0</v>
      </c>
      <c r="T111" s="26" t="str">
        <f aca="false">IF($D111="","",O111-R111-S111)</f>
        <v/>
      </c>
    </row>
    <row r="112" customFormat="false" ht="15" hidden="false" customHeight="false" outlineLevel="0" collapsed="false">
      <c r="I112" s="24" t="str">
        <f aca="false">IF($D112="","",IFERROR(INDEX(Workers!$B$5:$B$2004,MATCH($D112,Workers!$A$5:$A$2004,0)),"NOT FOUND"))</f>
        <v/>
      </c>
      <c r="J112" s="24" t="str">
        <f aca="false">IF($D112="","",IFERROR(INDEX(Workers!$C$5:$C$2004,MATCH($D112,Workers!$A$5:$A$2004,0)),""))</f>
        <v/>
      </c>
      <c r="K112" s="24" t="str">
        <f aca="false">IF($D112="","",IFERROR(IF(INDEX(Workers!$D$5:$D$2004,MATCH($D112,Workers!$A$5:$A$2004,0))=0,"",INDEX(Workers!$D$5:$D$2004,MATCH($D112,Workers!$A$5:$A$2004,0))),""))</f>
        <v/>
      </c>
      <c r="L112" s="24" t="str">
        <f aca="false">IF($D112="","",IFERROR(INDEX(Workers!$E$5:$E$2004,MATCH($D112,Workers!$A$5:$A$2004,0)),""))</f>
        <v/>
      </c>
      <c r="M112" s="26" t="str">
        <f aca="false">IF($D112="","",IFERROR(INDEX(ClientRates!$D$5:$D$500,MATCH($B112&amp;"|"&amp;$L112,ClientRates!$A$5:$A$500,0)),0))</f>
        <v/>
      </c>
      <c r="N112" s="26" t="str">
        <f aca="false">IF($D112="","",IFERROR(INDEX(ClientRates!$E$5:$E$500,MATCH($B112&amp;"|"&amp;$L112,ClientRates!$A$5:$A$500,0)),0))</f>
        <v/>
      </c>
      <c r="O112" s="26" t="str">
        <f aca="false">IF($D112="","",F112*M112+G112*N112)</f>
        <v/>
      </c>
      <c r="P112" s="26" t="str">
        <f aca="false">IF(OR($D112="",$J112&lt;&gt;"Supplier"),"",IFERROR(INDEX(SupplierRates!$D$5:$D$500,MATCH($K112&amp;"|"&amp;$L112,SupplierRates!$A$5:$A$500,0)),0))</f>
        <v/>
      </c>
      <c r="Q112" s="26" t="str">
        <f aca="false">IF(OR($D112="",$J112&lt;&gt;"Supplier"),"",IFERROR(INDEX(SupplierRates!$E$5:$E$500,MATCH($K112&amp;"|"&amp;$L112,SupplierRates!$A$5:$A$500,0)),0))</f>
        <v/>
      </c>
      <c r="R112" s="26" t="n">
        <f aca="false">IF(OR($D112="",$J112&lt;&gt;"Supplier"),0,F112*P112+G112*Q112)</f>
        <v>0</v>
      </c>
      <c r="S112" s="26" t="n">
        <f aca="false">IF(OR($D112="",$J112&lt;&gt;"Own"),0,IFERROR((F112+G112*Settings!$B$13)*INDEX(Workers!$V$5:$V$2004,MATCH($D112,Workers!$A$5:$A$2004,0)),0))</f>
        <v>0</v>
      </c>
      <c r="T112" s="26" t="str">
        <f aca="false">IF($D112="","",O112-R112-S112)</f>
        <v/>
      </c>
    </row>
    <row r="113" customFormat="false" ht="15" hidden="false" customHeight="false" outlineLevel="0" collapsed="false">
      <c r="I113" s="24" t="str">
        <f aca="false">IF($D113="","",IFERROR(INDEX(Workers!$B$5:$B$2004,MATCH($D113,Workers!$A$5:$A$2004,0)),"NOT FOUND"))</f>
        <v/>
      </c>
      <c r="J113" s="24" t="str">
        <f aca="false">IF($D113="","",IFERROR(INDEX(Workers!$C$5:$C$2004,MATCH($D113,Workers!$A$5:$A$2004,0)),""))</f>
        <v/>
      </c>
      <c r="K113" s="24" t="str">
        <f aca="false">IF($D113="","",IFERROR(IF(INDEX(Workers!$D$5:$D$2004,MATCH($D113,Workers!$A$5:$A$2004,0))=0,"",INDEX(Workers!$D$5:$D$2004,MATCH($D113,Workers!$A$5:$A$2004,0))),""))</f>
        <v/>
      </c>
      <c r="L113" s="24" t="str">
        <f aca="false">IF($D113="","",IFERROR(INDEX(Workers!$E$5:$E$2004,MATCH($D113,Workers!$A$5:$A$2004,0)),""))</f>
        <v/>
      </c>
      <c r="M113" s="26" t="str">
        <f aca="false">IF($D113="","",IFERROR(INDEX(ClientRates!$D$5:$D$500,MATCH($B113&amp;"|"&amp;$L113,ClientRates!$A$5:$A$500,0)),0))</f>
        <v/>
      </c>
      <c r="N113" s="26" t="str">
        <f aca="false">IF($D113="","",IFERROR(INDEX(ClientRates!$E$5:$E$500,MATCH($B113&amp;"|"&amp;$L113,ClientRates!$A$5:$A$500,0)),0))</f>
        <v/>
      </c>
      <c r="O113" s="26" t="str">
        <f aca="false">IF($D113="","",F113*M113+G113*N113)</f>
        <v/>
      </c>
      <c r="P113" s="26" t="str">
        <f aca="false">IF(OR($D113="",$J113&lt;&gt;"Supplier"),"",IFERROR(INDEX(SupplierRates!$D$5:$D$500,MATCH($K113&amp;"|"&amp;$L113,SupplierRates!$A$5:$A$500,0)),0))</f>
        <v/>
      </c>
      <c r="Q113" s="26" t="str">
        <f aca="false">IF(OR($D113="",$J113&lt;&gt;"Supplier"),"",IFERROR(INDEX(SupplierRates!$E$5:$E$500,MATCH($K113&amp;"|"&amp;$L113,SupplierRates!$A$5:$A$500,0)),0))</f>
        <v/>
      </c>
      <c r="R113" s="26" t="n">
        <f aca="false">IF(OR($D113="",$J113&lt;&gt;"Supplier"),0,F113*P113+G113*Q113)</f>
        <v>0</v>
      </c>
      <c r="S113" s="26" t="n">
        <f aca="false">IF(OR($D113="",$J113&lt;&gt;"Own"),0,IFERROR((F113+G113*Settings!$B$13)*INDEX(Workers!$V$5:$V$2004,MATCH($D113,Workers!$A$5:$A$2004,0)),0))</f>
        <v>0</v>
      </c>
      <c r="T113" s="26" t="str">
        <f aca="false">IF($D113="","",O113-R113-S113)</f>
        <v/>
      </c>
    </row>
    <row r="114" customFormat="false" ht="15" hidden="false" customHeight="false" outlineLevel="0" collapsed="false">
      <c r="I114" s="24" t="str">
        <f aca="false">IF($D114="","",IFERROR(INDEX(Workers!$B$5:$B$2004,MATCH($D114,Workers!$A$5:$A$2004,0)),"NOT FOUND"))</f>
        <v/>
      </c>
      <c r="J114" s="24" t="str">
        <f aca="false">IF($D114="","",IFERROR(INDEX(Workers!$C$5:$C$2004,MATCH($D114,Workers!$A$5:$A$2004,0)),""))</f>
        <v/>
      </c>
      <c r="K114" s="24" t="str">
        <f aca="false">IF($D114="","",IFERROR(IF(INDEX(Workers!$D$5:$D$2004,MATCH($D114,Workers!$A$5:$A$2004,0))=0,"",INDEX(Workers!$D$5:$D$2004,MATCH($D114,Workers!$A$5:$A$2004,0))),""))</f>
        <v/>
      </c>
      <c r="L114" s="24" t="str">
        <f aca="false">IF($D114="","",IFERROR(INDEX(Workers!$E$5:$E$2004,MATCH($D114,Workers!$A$5:$A$2004,0)),""))</f>
        <v/>
      </c>
      <c r="M114" s="26" t="str">
        <f aca="false">IF($D114="","",IFERROR(INDEX(ClientRates!$D$5:$D$500,MATCH($B114&amp;"|"&amp;$L114,ClientRates!$A$5:$A$500,0)),0))</f>
        <v/>
      </c>
      <c r="N114" s="26" t="str">
        <f aca="false">IF($D114="","",IFERROR(INDEX(ClientRates!$E$5:$E$500,MATCH($B114&amp;"|"&amp;$L114,ClientRates!$A$5:$A$500,0)),0))</f>
        <v/>
      </c>
      <c r="O114" s="26" t="str">
        <f aca="false">IF($D114="","",F114*M114+G114*N114)</f>
        <v/>
      </c>
      <c r="P114" s="26" t="str">
        <f aca="false">IF(OR($D114="",$J114&lt;&gt;"Supplier"),"",IFERROR(INDEX(SupplierRates!$D$5:$D$500,MATCH($K114&amp;"|"&amp;$L114,SupplierRates!$A$5:$A$500,0)),0))</f>
        <v/>
      </c>
      <c r="Q114" s="26" t="str">
        <f aca="false">IF(OR($D114="",$J114&lt;&gt;"Supplier"),"",IFERROR(INDEX(SupplierRates!$E$5:$E$500,MATCH($K114&amp;"|"&amp;$L114,SupplierRates!$A$5:$A$500,0)),0))</f>
        <v/>
      </c>
      <c r="R114" s="26" t="n">
        <f aca="false">IF(OR($D114="",$J114&lt;&gt;"Supplier"),0,F114*P114+G114*Q114)</f>
        <v>0</v>
      </c>
      <c r="S114" s="26" t="n">
        <f aca="false">IF(OR($D114="",$J114&lt;&gt;"Own"),0,IFERROR((F114+G114*Settings!$B$13)*INDEX(Workers!$V$5:$V$2004,MATCH($D114,Workers!$A$5:$A$2004,0)),0))</f>
        <v>0</v>
      </c>
      <c r="T114" s="26" t="str">
        <f aca="false">IF($D114="","",O114-R114-S114)</f>
        <v/>
      </c>
    </row>
    <row r="115" customFormat="false" ht="15" hidden="false" customHeight="false" outlineLevel="0" collapsed="false">
      <c r="I115" s="24" t="str">
        <f aca="false">IF($D115="","",IFERROR(INDEX(Workers!$B$5:$B$2004,MATCH($D115,Workers!$A$5:$A$2004,0)),"NOT FOUND"))</f>
        <v/>
      </c>
      <c r="J115" s="24" t="str">
        <f aca="false">IF($D115="","",IFERROR(INDEX(Workers!$C$5:$C$2004,MATCH($D115,Workers!$A$5:$A$2004,0)),""))</f>
        <v/>
      </c>
      <c r="K115" s="24" t="str">
        <f aca="false">IF($D115="","",IFERROR(IF(INDEX(Workers!$D$5:$D$2004,MATCH($D115,Workers!$A$5:$A$2004,0))=0,"",INDEX(Workers!$D$5:$D$2004,MATCH($D115,Workers!$A$5:$A$2004,0))),""))</f>
        <v/>
      </c>
      <c r="L115" s="24" t="str">
        <f aca="false">IF($D115="","",IFERROR(INDEX(Workers!$E$5:$E$2004,MATCH($D115,Workers!$A$5:$A$2004,0)),""))</f>
        <v/>
      </c>
      <c r="M115" s="26" t="str">
        <f aca="false">IF($D115="","",IFERROR(INDEX(ClientRates!$D$5:$D$500,MATCH($B115&amp;"|"&amp;$L115,ClientRates!$A$5:$A$500,0)),0))</f>
        <v/>
      </c>
      <c r="N115" s="26" t="str">
        <f aca="false">IF($D115="","",IFERROR(INDEX(ClientRates!$E$5:$E$500,MATCH($B115&amp;"|"&amp;$L115,ClientRates!$A$5:$A$500,0)),0))</f>
        <v/>
      </c>
      <c r="O115" s="26" t="str">
        <f aca="false">IF($D115="","",F115*M115+G115*N115)</f>
        <v/>
      </c>
      <c r="P115" s="26" t="str">
        <f aca="false">IF(OR($D115="",$J115&lt;&gt;"Supplier"),"",IFERROR(INDEX(SupplierRates!$D$5:$D$500,MATCH($K115&amp;"|"&amp;$L115,SupplierRates!$A$5:$A$500,0)),0))</f>
        <v/>
      </c>
      <c r="Q115" s="26" t="str">
        <f aca="false">IF(OR($D115="",$J115&lt;&gt;"Supplier"),"",IFERROR(INDEX(SupplierRates!$E$5:$E$500,MATCH($K115&amp;"|"&amp;$L115,SupplierRates!$A$5:$A$500,0)),0))</f>
        <v/>
      </c>
      <c r="R115" s="26" t="n">
        <f aca="false">IF(OR($D115="",$J115&lt;&gt;"Supplier"),0,F115*P115+G115*Q115)</f>
        <v>0</v>
      </c>
      <c r="S115" s="26" t="n">
        <f aca="false">IF(OR($D115="",$J115&lt;&gt;"Own"),0,IFERROR((F115+G115*Settings!$B$13)*INDEX(Workers!$V$5:$V$2004,MATCH($D115,Workers!$A$5:$A$2004,0)),0))</f>
        <v>0</v>
      </c>
      <c r="T115" s="26" t="str">
        <f aca="false">IF($D115="","",O115-R115-S115)</f>
        <v/>
      </c>
    </row>
    <row r="116" customFormat="false" ht="15" hidden="false" customHeight="false" outlineLevel="0" collapsed="false">
      <c r="I116" s="24" t="str">
        <f aca="false">IF($D116="","",IFERROR(INDEX(Workers!$B$5:$B$2004,MATCH($D116,Workers!$A$5:$A$2004,0)),"NOT FOUND"))</f>
        <v/>
      </c>
      <c r="J116" s="24" t="str">
        <f aca="false">IF($D116="","",IFERROR(INDEX(Workers!$C$5:$C$2004,MATCH($D116,Workers!$A$5:$A$2004,0)),""))</f>
        <v/>
      </c>
      <c r="K116" s="24" t="str">
        <f aca="false">IF($D116="","",IFERROR(IF(INDEX(Workers!$D$5:$D$2004,MATCH($D116,Workers!$A$5:$A$2004,0))=0,"",INDEX(Workers!$D$5:$D$2004,MATCH($D116,Workers!$A$5:$A$2004,0))),""))</f>
        <v/>
      </c>
      <c r="L116" s="24" t="str">
        <f aca="false">IF($D116="","",IFERROR(INDEX(Workers!$E$5:$E$2004,MATCH($D116,Workers!$A$5:$A$2004,0)),""))</f>
        <v/>
      </c>
      <c r="M116" s="26" t="str">
        <f aca="false">IF($D116="","",IFERROR(INDEX(ClientRates!$D$5:$D$500,MATCH($B116&amp;"|"&amp;$L116,ClientRates!$A$5:$A$500,0)),0))</f>
        <v/>
      </c>
      <c r="N116" s="26" t="str">
        <f aca="false">IF($D116="","",IFERROR(INDEX(ClientRates!$E$5:$E$500,MATCH($B116&amp;"|"&amp;$L116,ClientRates!$A$5:$A$500,0)),0))</f>
        <v/>
      </c>
      <c r="O116" s="26" t="str">
        <f aca="false">IF($D116="","",F116*M116+G116*N116)</f>
        <v/>
      </c>
      <c r="P116" s="26" t="str">
        <f aca="false">IF(OR($D116="",$J116&lt;&gt;"Supplier"),"",IFERROR(INDEX(SupplierRates!$D$5:$D$500,MATCH($K116&amp;"|"&amp;$L116,SupplierRates!$A$5:$A$500,0)),0))</f>
        <v/>
      </c>
      <c r="Q116" s="26" t="str">
        <f aca="false">IF(OR($D116="",$J116&lt;&gt;"Supplier"),"",IFERROR(INDEX(SupplierRates!$E$5:$E$500,MATCH($K116&amp;"|"&amp;$L116,SupplierRates!$A$5:$A$500,0)),0))</f>
        <v/>
      </c>
      <c r="R116" s="26" t="n">
        <f aca="false">IF(OR($D116="",$J116&lt;&gt;"Supplier"),0,F116*P116+G116*Q116)</f>
        <v>0</v>
      </c>
      <c r="S116" s="26" t="n">
        <f aca="false">IF(OR($D116="",$J116&lt;&gt;"Own"),0,IFERROR((F116+G116*Settings!$B$13)*INDEX(Workers!$V$5:$V$2004,MATCH($D116,Workers!$A$5:$A$2004,0)),0))</f>
        <v>0</v>
      </c>
      <c r="T116" s="26" t="str">
        <f aca="false">IF($D116="","",O116-R116-S116)</f>
        <v/>
      </c>
    </row>
    <row r="117" customFormat="false" ht="15" hidden="false" customHeight="false" outlineLevel="0" collapsed="false">
      <c r="I117" s="24" t="str">
        <f aca="false">IF($D117="","",IFERROR(INDEX(Workers!$B$5:$B$2004,MATCH($D117,Workers!$A$5:$A$2004,0)),"NOT FOUND"))</f>
        <v/>
      </c>
      <c r="J117" s="24" t="str">
        <f aca="false">IF($D117="","",IFERROR(INDEX(Workers!$C$5:$C$2004,MATCH($D117,Workers!$A$5:$A$2004,0)),""))</f>
        <v/>
      </c>
      <c r="K117" s="24" t="str">
        <f aca="false">IF($D117="","",IFERROR(IF(INDEX(Workers!$D$5:$D$2004,MATCH($D117,Workers!$A$5:$A$2004,0))=0,"",INDEX(Workers!$D$5:$D$2004,MATCH($D117,Workers!$A$5:$A$2004,0))),""))</f>
        <v/>
      </c>
      <c r="L117" s="24" t="str">
        <f aca="false">IF($D117="","",IFERROR(INDEX(Workers!$E$5:$E$2004,MATCH($D117,Workers!$A$5:$A$2004,0)),""))</f>
        <v/>
      </c>
      <c r="M117" s="26" t="str">
        <f aca="false">IF($D117="","",IFERROR(INDEX(ClientRates!$D$5:$D$500,MATCH($B117&amp;"|"&amp;$L117,ClientRates!$A$5:$A$500,0)),0))</f>
        <v/>
      </c>
      <c r="N117" s="26" t="str">
        <f aca="false">IF($D117="","",IFERROR(INDEX(ClientRates!$E$5:$E$500,MATCH($B117&amp;"|"&amp;$L117,ClientRates!$A$5:$A$500,0)),0))</f>
        <v/>
      </c>
      <c r="O117" s="26" t="str">
        <f aca="false">IF($D117="","",F117*M117+G117*N117)</f>
        <v/>
      </c>
      <c r="P117" s="26" t="str">
        <f aca="false">IF(OR($D117="",$J117&lt;&gt;"Supplier"),"",IFERROR(INDEX(SupplierRates!$D$5:$D$500,MATCH($K117&amp;"|"&amp;$L117,SupplierRates!$A$5:$A$500,0)),0))</f>
        <v/>
      </c>
      <c r="Q117" s="26" t="str">
        <f aca="false">IF(OR($D117="",$J117&lt;&gt;"Supplier"),"",IFERROR(INDEX(SupplierRates!$E$5:$E$500,MATCH($K117&amp;"|"&amp;$L117,SupplierRates!$A$5:$A$500,0)),0))</f>
        <v/>
      </c>
      <c r="R117" s="26" t="n">
        <f aca="false">IF(OR($D117="",$J117&lt;&gt;"Supplier"),0,F117*P117+G117*Q117)</f>
        <v>0</v>
      </c>
      <c r="S117" s="26" t="n">
        <f aca="false">IF(OR($D117="",$J117&lt;&gt;"Own"),0,IFERROR((F117+G117*Settings!$B$13)*INDEX(Workers!$V$5:$V$2004,MATCH($D117,Workers!$A$5:$A$2004,0)),0))</f>
        <v>0</v>
      </c>
      <c r="T117" s="26" t="str">
        <f aca="false">IF($D117="","",O117-R117-S117)</f>
        <v/>
      </c>
    </row>
    <row r="118" customFormat="false" ht="15" hidden="false" customHeight="false" outlineLevel="0" collapsed="false">
      <c r="I118" s="24" t="str">
        <f aca="false">IF($D118="","",IFERROR(INDEX(Workers!$B$5:$B$2004,MATCH($D118,Workers!$A$5:$A$2004,0)),"NOT FOUND"))</f>
        <v/>
      </c>
      <c r="J118" s="24" t="str">
        <f aca="false">IF($D118="","",IFERROR(INDEX(Workers!$C$5:$C$2004,MATCH($D118,Workers!$A$5:$A$2004,0)),""))</f>
        <v/>
      </c>
      <c r="K118" s="24" t="str">
        <f aca="false">IF($D118="","",IFERROR(IF(INDEX(Workers!$D$5:$D$2004,MATCH($D118,Workers!$A$5:$A$2004,0))=0,"",INDEX(Workers!$D$5:$D$2004,MATCH($D118,Workers!$A$5:$A$2004,0))),""))</f>
        <v/>
      </c>
      <c r="L118" s="24" t="str">
        <f aca="false">IF($D118="","",IFERROR(INDEX(Workers!$E$5:$E$2004,MATCH($D118,Workers!$A$5:$A$2004,0)),""))</f>
        <v/>
      </c>
      <c r="M118" s="26" t="str">
        <f aca="false">IF($D118="","",IFERROR(INDEX(ClientRates!$D$5:$D$500,MATCH($B118&amp;"|"&amp;$L118,ClientRates!$A$5:$A$500,0)),0))</f>
        <v/>
      </c>
      <c r="N118" s="26" t="str">
        <f aca="false">IF($D118="","",IFERROR(INDEX(ClientRates!$E$5:$E$500,MATCH($B118&amp;"|"&amp;$L118,ClientRates!$A$5:$A$500,0)),0))</f>
        <v/>
      </c>
      <c r="O118" s="26" t="str">
        <f aca="false">IF($D118="","",F118*M118+G118*N118)</f>
        <v/>
      </c>
      <c r="P118" s="26" t="str">
        <f aca="false">IF(OR($D118="",$J118&lt;&gt;"Supplier"),"",IFERROR(INDEX(SupplierRates!$D$5:$D$500,MATCH($K118&amp;"|"&amp;$L118,SupplierRates!$A$5:$A$500,0)),0))</f>
        <v/>
      </c>
      <c r="Q118" s="26" t="str">
        <f aca="false">IF(OR($D118="",$J118&lt;&gt;"Supplier"),"",IFERROR(INDEX(SupplierRates!$E$5:$E$500,MATCH($K118&amp;"|"&amp;$L118,SupplierRates!$A$5:$A$500,0)),0))</f>
        <v/>
      </c>
      <c r="R118" s="26" t="n">
        <f aca="false">IF(OR($D118="",$J118&lt;&gt;"Supplier"),0,F118*P118+G118*Q118)</f>
        <v>0</v>
      </c>
      <c r="S118" s="26" t="n">
        <f aca="false">IF(OR($D118="",$J118&lt;&gt;"Own"),0,IFERROR((F118+G118*Settings!$B$13)*INDEX(Workers!$V$5:$V$2004,MATCH($D118,Workers!$A$5:$A$2004,0)),0))</f>
        <v>0</v>
      </c>
      <c r="T118" s="26" t="str">
        <f aca="false">IF($D118="","",O118-R118-S118)</f>
        <v/>
      </c>
    </row>
    <row r="119" customFormat="false" ht="15" hidden="false" customHeight="false" outlineLevel="0" collapsed="false">
      <c r="I119" s="24" t="str">
        <f aca="false">IF($D119="","",IFERROR(INDEX(Workers!$B$5:$B$2004,MATCH($D119,Workers!$A$5:$A$2004,0)),"NOT FOUND"))</f>
        <v/>
      </c>
      <c r="J119" s="24" t="str">
        <f aca="false">IF($D119="","",IFERROR(INDEX(Workers!$C$5:$C$2004,MATCH($D119,Workers!$A$5:$A$2004,0)),""))</f>
        <v/>
      </c>
      <c r="K119" s="24" t="str">
        <f aca="false">IF($D119="","",IFERROR(IF(INDEX(Workers!$D$5:$D$2004,MATCH($D119,Workers!$A$5:$A$2004,0))=0,"",INDEX(Workers!$D$5:$D$2004,MATCH($D119,Workers!$A$5:$A$2004,0))),""))</f>
        <v/>
      </c>
      <c r="L119" s="24" t="str">
        <f aca="false">IF($D119="","",IFERROR(INDEX(Workers!$E$5:$E$2004,MATCH($D119,Workers!$A$5:$A$2004,0)),""))</f>
        <v/>
      </c>
      <c r="M119" s="26" t="str">
        <f aca="false">IF($D119="","",IFERROR(INDEX(ClientRates!$D$5:$D$500,MATCH($B119&amp;"|"&amp;$L119,ClientRates!$A$5:$A$500,0)),0))</f>
        <v/>
      </c>
      <c r="N119" s="26" t="str">
        <f aca="false">IF($D119="","",IFERROR(INDEX(ClientRates!$E$5:$E$500,MATCH($B119&amp;"|"&amp;$L119,ClientRates!$A$5:$A$500,0)),0))</f>
        <v/>
      </c>
      <c r="O119" s="26" t="str">
        <f aca="false">IF($D119="","",F119*M119+G119*N119)</f>
        <v/>
      </c>
      <c r="P119" s="26" t="str">
        <f aca="false">IF(OR($D119="",$J119&lt;&gt;"Supplier"),"",IFERROR(INDEX(SupplierRates!$D$5:$D$500,MATCH($K119&amp;"|"&amp;$L119,SupplierRates!$A$5:$A$500,0)),0))</f>
        <v/>
      </c>
      <c r="Q119" s="26" t="str">
        <f aca="false">IF(OR($D119="",$J119&lt;&gt;"Supplier"),"",IFERROR(INDEX(SupplierRates!$E$5:$E$500,MATCH($K119&amp;"|"&amp;$L119,SupplierRates!$A$5:$A$500,0)),0))</f>
        <v/>
      </c>
      <c r="R119" s="26" t="n">
        <f aca="false">IF(OR($D119="",$J119&lt;&gt;"Supplier"),0,F119*P119+G119*Q119)</f>
        <v>0</v>
      </c>
      <c r="S119" s="26" t="n">
        <f aca="false">IF(OR($D119="",$J119&lt;&gt;"Own"),0,IFERROR((F119+G119*Settings!$B$13)*INDEX(Workers!$V$5:$V$2004,MATCH($D119,Workers!$A$5:$A$2004,0)),0))</f>
        <v>0</v>
      </c>
      <c r="T119" s="26" t="str">
        <f aca="false">IF($D119="","",O119-R119-S119)</f>
        <v/>
      </c>
    </row>
    <row r="120" customFormat="false" ht="15" hidden="false" customHeight="false" outlineLevel="0" collapsed="false">
      <c r="I120" s="24" t="str">
        <f aca="false">IF($D120="","",IFERROR(INDEX(Workers!$B$5:$B$2004,MATCH($D120,Workers!$A$5:$A$2004,0)),"NOT FOUND"))</f>
        <v/>
      </c>
      <c r="J120" s="24" t="str">
        <f aca="false">IF($D120="","",IFERROR(INDEX(Workers!$C$5:$C$2004,MATCH($D120,Workers!$A$5:$A$2004,0)),""))</f>
        <v/>
      </c>
      <c r="K120" s="24" t="str">
        <f aca="false">IF($D120="","",IFERROR(IF(INDEX(Workers!$D$5:$D$2004,MATCH($D120,Workers!$A$5:$A$2004,0))=0,"",INDEX(Workers!$D$5:$D$2004,MATCH($D120,Workers!$A$5:$A$2004,0))),""))</f>
        <v/>
      </c>
      <c r="L120" s="24" t="str">
        <f aca="false">IF($D120="","",IFERROR(INDEX(Workers!$E$5:$E$2004,MATCH($D120,Workers!$A$5:$A$2004,0)),""))</f>
        <v/>
      </c>
      <c r="M120" s="26" t="str">
        <f aca="false">IF($D120="","",IFERROR(INDEX(ClientRates!$D$5:$D$500,MATCH($B120&amp;"|"&amp;$L120,ClientRates!$A$5:$A$500,0)),0))</f>
        <v/>
      </c>
      <c r="N120" s="26" t="str">
        <f aca="false">IF($D120="","",IFERROR(INDEX(ClientRates!$E$5:$E$500,MATCH($B120&amp;"|"&amp;$L120,ClientRates!$A$5:$A$500,0)),0))</f>
        <v/>
      </c>
      <c r="O120" s="26" t="str">
        <f aca="false">IF($D120="","",F120*M120+G120*N120)</f>
        <v/>
      </c>
      <c r="P120" s="26" t="str">
        <f aca="false">IF(OR($D120="",$J120&lt;&gt;"Supplier"),"",IFERROR(INDEX(SupplierRates!$D$5:$D$500,MATCH($K120&amp;"|"&amp;$L120,SupplierRates!$A$5:$A$500,0)),0))</f>
        <v/>
      </c>
      <c r="Q120" s="26" t="str">
        <f aca="false">IF(OR($D120="",$J120&lt;&gt;"Supplier"),"",IFERROR(INDEX(SupplierRates!$E$5:$E$500,MATCH($K120&amp;"|"&amp;$L120,SupplierRates!$A$5:$A$500,0)),0))</f>
        <v/>
      </c>
      <c r="R120" s="26" t="n">
        <f aca="false">IF(OR($D120="",$J120&lt;&gt;"Supplier"),0,F120*P120+G120*Q120)</f>
        <v>0</v>
      </c>
      <c r="S120" s="26" t="n">
        <f aca="false">IF(OR($D120="",$J120&lt;&gt;"Own"),0,IFERROR((F120+G120*Settings!$B$13)*INDEX(Workers!$V$5:$V$2004,MATCH($D120,Workers!$A$5:$A$2004,0)),0))</f>
        <v>0</v>
      </c>
      <c r="T120" s="26" t="str">
        <f aca="false">IF($D120="","",O120-R120-S120)</f>
        <v/>
      </c>
    </row>
    <row r="121" customFormat="false" ht="15" hidden="false" customHeight="false" outlineLevel="0" collapsed="false">
      <c r="I121" s="24" t="str">
        <f aca="false">IF($D121="","",IFERROR(INDEX(Workers!$B$5:$B$2004,MATCH($D121,Workers!$A$5:$A$2004,0)),"NOT FOUND"))</f>
        <v/>
      </c>
      <c r="J121" s="24" t="str">
        <f aca="false">IF($D121="","",IFERROR(INDEX(Workers!$C$5:$C$2004,MATCH($D121,Workers!$A$5:$A$2004,0)),""))</f>
        <v/>
      </c>
      <c r="K121" s="24" t="str">
        <f aca="false">IF($D121="","",IFERROR(IF(INDEX(Workers!$D$5:$D$2004,MATCH($D121,Workers!$A$5:$A$2004,0))=0,"",INDEX(Workers!$D$5:$D$2004,MATCH($D121,Workers!$A$5:$A$2004,0))),""))</f>
        <v/>
      </c>
      <c r="L121" s="24" t="str">
        <f aca="false">IF($D121="","",IFERROR(INDEX(Workers!$E$5:$E$2004,MATCH($D121,Workers!$A$5:$A$2004,0)),""))</f>
        <v/>
      </c>
      <c r="M121" s="26" t="str">
        <f aca="false">IF($D121="","",IFERROR(INDEX(ClientRates!$D$5:$D$500,MATCH($B121&amp;"|"&amp;$L121,ClientRates!$A$5:$A$500,0)),0))</f>
        <v/>
      </c>
      <c r="N121" s="26" t="str">
        <f aca="false">IF($D121="","",IFERROR(INDEX(ClientRates!$E$5:$E$500,MATCH($B121&amp;"|"&amp;$L121,ClientRates!$A$5:$A$500,0)),0))</f>
        <v/>
      </c>
      <c r="O121" s="26" t="str">
        <f aca="false">IF($D121="","",F121*M121+G121*N121)</f>
        <v/>
      </c>
      <c r="P121" s="26" t="str">
        <f aca="false">IF(OR($D121="",$J121&lt;&gt;"Supplier"),"",IFERROR(INDEX(SupplierRates!$D$5:$D$500,MATCH($K121&amp;"|"&amp;$L121,SupplierRates!$A$5:$A$500,0)),0))</f>
        <v/>
      </c>
      <c r="Q121" s="26" t="str">
        <f aca="false">IF(OR($D121="",$J121&lt;&gt;"Supplier"),"",IFERROR(INDEX(SupplierRates!$E$5:$E$500,MATCH($K121&amp;"|"&amp;$L121,SupplierRates!$A$5:$A$500,0)),0))</f>
        <v/>
      </c>
      <c r="R121" s="26" t="n">
        <f aca="false">IF(OR($D121="",$J121&lt;&gt;"Supplier"),0,F121*P121+G121*Q121)</f>
        <v>0</v>
      </c>
      <c r="S121" s="26" t="n">
        <f aca="false">IF(OR($D121="",$J121&lt;&gt;"Own"),0,IFERROR((F121+G121*Settings!$B$13)*INDEX(Workers!$V$5:$V$2004,MATCH($D121,Workers!$A$5:$A$2004,0)),0))</f>
        <v>0</v>
      </c>
      <c r="T121" s="26" t="str">
        <f aca="false">IF($D121="","",O121-R121-S121)</f>
        <v/>
      </c>
    </row>
    <row r="122" customFormat="false" ht="15" hidden="false" customHeight="false" outlineLevel="0" collapsed="false">
      <c r="I122" s="24" t="str">
        <f aca="false">IF($D122="","",IFERROR(INDEX(Workers!$B$5:$B$2004,MATCH($D122,Workers!$A$5:$A$2004,0)),"NOT FOUND"))</f>
        <v/>
      </c>
      <c r="J122" s="24" t="str">
        <f aca="false">IF($D122="","",IFERROR(INDEX(Workers!$C$5:$C$2004,MATCH($D122,Workers!$A$5:$A$2004,0)),""))</f>
        <v/>
      </c>
      <c r="K122" s="24" t="str">
        <f aca="false">IF($D122="","",IFERROR(IF(INDEX(Workers!$D$5:$D$2004,MATCH($D122,Workers!$A$5:$A$2004,0))=0,"",INDEX(Workers!$D$5:$D$2004,MATCH($D122,Workers!$A$5:$A$2004,0))),""))</f>
        <v/>
      </c>
      <c r="L122" s="24" t="str">
        <f aca="false">IF($D122="","",IFERROR(INDEX(Workers!$E$5:$E$2004,MATCH($D122,Workers!$A$5:$A$2004,0)),""))</f>
        <v/>
      </c>
      <c r="M122" s="26" t="str">
        <f aca="false">IF($D122="","",IFERROR(INDEX(ClientRates!$D$5:$D$500,MATCH($B122&amp;"|"&amp;$L122,ClientRates!$A$5:$A$500,0)),0))</f>
        <v/>
      </c>
      <c r="N122" s="26" t="str">
        <f aca="false">IF($D122="","",IFERROR(INDEX(ClientRates!$E$5:$E$500,MATCH($B122&amp;"|"&amp;$L122,ClientRates!$A$5:$A$500,0)),0))</f>
        <v/>
      </c>
      <c r="O122" s="26" t="str">
        <f aca="false">IF($D122="","",F122*M122+G122*N122)</f>
        <v/>
      </c>
      <c r="P122" s="26" t="str">
        <f aca="false">IF(OR($D122="",$J122&lt;&gt;"Supplier"),"",IFERROR(INDEX(SupplierRates!$D$5:$D$500,MATCH($K122&amp;"|"&amp;$L122,SupplierRates!$A$5:$A$500,0)),0))</f>
        <v/>
      </c>
      <c r="Q122" s="26" t="str">
        <f aca="false">IF(OR($D122="",$J122&lt;&gt;"Supplier"),"",IFERROR(INDEX(SupplierRates!$E$5:$E$500,MATCH($K122&amp;"|"&amp;$L122,SupplierRates!$A$5:$A$500,0)),0))</f>
        <v/>
      </c>
      <c r="R122" s="26" t="n">
        <f aca="false">IF(OR($D122="",$J122&lt;&gt;"Supplier"),0,F122*P122+G122*Q122)</f>
        <v>0</v>
      </c>
      <c r="S122" s="26" t="n">
        <f aca="false">IF(OR($D122="",$J122&lt;&gt;"Own"),0,IFERROR((F122+G122*Settings!$B$13)*INDEX(Workers!$V$5:$V$2004,MATCH($D122,Workers!$A$5:$A$2004,0)),0))</f>
        <v>0</v>
      </c>
      <c r="T122" s="26" t="str">
        <f aca="false">IF($D122="","",O122-R122-S122)</f>
        <v/>
      </c>
    </row>
    <row r="123" customFormat="false" ht="15" hidden="false" customHeight="false" outlineLevel="0" collapsed="false">
      <c r="I123" s="24" t="str">
        <f aca="false">IF($D123="","",IFERROR(INDEX(Workers!$B$5:$B$2004,MATCH($D123,Workers!$A$5:$A$2004,0)),"NOT FOUND"))</f>
        <v/>
      </c>
      <c r="J123" s="24" t="str">
        <f aca="false">IF($D123="","",IFERROR(INDEX(Workers!$C$5:$C$2004,MATCH($D123,Workers!$A$5:$A$2004,0)),""))</f>
        <v/>
      </c>
      <c r="K123" s="24" t="str">
        <f aca="false">IF($D123="","",IFERROR(IF(INDEX(Workers!$D$5:$D$2004,MATCH($D123,Workers!$A$5:$A$2004,0))=0,"",INDEX(Workers!$D$5:$D$2004,MATCH($D123,Workers!$A$5:$A$2004,0))),""))</f>
        <v/>
      </c>
      <c r="L123" s="24" t="str">
        <f aca="false">IF($D123="","",IFERROR(INDEX(Workers!$E$5:$E$2004,MATCH($D123,Workers!$A$5:$A$2004,0)),""))</f>
        <v/>
      </c>
      <c r="M123" s="26" t="str">
        <f aca="false">IF($D123="","",IFERROR(INDEX(ClientRates!$D$5:$D$500,MATCH($B123&amp;"|"&amp;$L123,ClientRates!$A$5:$A$500,0)),0))</f>
        <v/>
      </c>
      <c r="N123" s="26" t="str">
        <f aca="false">IF($D123="","",IFERROR(INDEX(ClientRates!$E$5:$E$500,MATCH($B123&amp;"|"&amp;$L123,ClientRates!$A$5:$A$500,0)),0))</f>
        <v/>
      </c>
      <c r="O123" s="26" t="str">
        <f aca="false">IF($D123="","",F123*M123+G123*N123)</f>
        <v/>
      </c>
      <c r="P123" s="26" t="str">
        <f aca="false">IF(OR($D123="",$J123&lt;&gt;"Supplier"),"",IFERROR(INDEX(SupplierRates!$D$5:$D$500,MATCH($K123&amp;"|"&amp;$L123,SupplierRates!$A$5:$A$500,0)),0))</f>
        <v/>
      </c>
      <c r="Q123" s="26" t="str">
        <f aca="false">IF(OR($D123="",$J123&lt;&gt;"Supplier"),"",IFERROR(INDEX(SupplierRates!$E$5:$E$500,MATCH($K123&amp;"|"&amp;$L123,SupplierRates!$A$5:$A$500,0)),0))</f>
        <v/>
      </c>
      <c r="R123" s="26" t="n">
        <f aca="false">IF(OR($D123="",$J123&lt;&gt;"Supplier"),0,F123*P123+G123*Q123)</f>
        <v>0</v>
      </c>
      <c r="S123" s="26" t="n">
        <f aca="false">IF(OR($D123="",$J123&lt;&gt;"Own"),0,IFERROR((F123+G123*Settings!$B$13)*INDEX(Workers!$V$5:$V$2004,MATCH($D123,Workers!$A$5:$A$2004,0)),0))</f>
        <v>0</v>
      </c>
      <c r="T123" s="26" t="str">
        <f aca="false">IF($D123="","",O123-R123-S123)</f>
        <v/>
      </c>
    </row>
    <row r="124" customFormat="false" ht="15" hidden="false" customHeight="false" outlineLevel="0" collapsed="false">
      <c r="I124" s="24" t="str">
        <f aca="false">IF($D124="","",IFERROR(INDEX(Workers!$B$5:$B$2004,MATCH($D124,Workers!$A$5:$A$2004,0)),"NOT FOUND"))</f>
        <v/>
      </c>
      <c r="J124" s="24" t="str">
        <f aca="false">IF($D124="","",IFERROR(INDEX(Workers!$C$5:$C$2004,MATCH($D124,Workers!$A$5:$A$2004,0)),""))</f>
        <v/>
      </c>
      <c r="K124" s="24" t="str">
        <f aca="false">IF($D124="","",IFERROR(IF(INDEX(Workers!$D$5:$D$2004,MATCH($D124,Workers!$A$5:$A$2004,0))=0,"",INDEX(Workers!$D$5:$D$2004,MATCH($D124,Workers!$A$5:$A$2004,0))),""))</f>
        <v/>
      </c>
      <c r="L124" s="24" t="str">
        <f aca="false">IF($D124="","",IFERROR(INDEX(Workers!$E$5:$E$2004,MATCH($D124,Workers!$A$5:$A$2004,0)),""))</f>
        <v/>
      </c>
      <c r="M124" s="26" t="str">
        <f aca="false">IF($D124="","",IFERROR(INDEX(ClientRates!$D$5:$D$500,MATCH($B124&amp;"|"&amp;$L124,ClientRates!$A$5:$A$500,0)),0))</f>
        <v/>
      </c>
      <c r="N124" s="26" t="str">
        <f aca="false">IF($D124="","",IFERROR(INDEX(ClientRates!$E$5:$E$500,MATCH($B124&amp;"|"&amp;$L124,ClientRates!$A$5:$A$500,0)),0))</f>
        <v/>
      </c>
      <c r="O124" s="26" t="str">
        <f aca="false">IF($D124="","",F124*M124+G124*N124)</f>
        <v/>
      </c>
      <c r="P124" s="26" t="str">
        <f aca="false">IF(OR($D124="",$J124&lt;&gt;"Supplier"),"",IFERROR(INDEX(SupplierRates!$D$5:$D$500,MATCH($K124&amp;"|"&amp;$L124,SupplierRates!$A$5:$A$500,0)),0))</f>
        <v/>
      </c>
      <c r="Q124" s="26" t="str">
        <f aca="false">IF(OR($D124="",$J124&lt;&gt;"Supplier"),"",IFERROR(INDEX(SupplierRates!$E$5:$E$500,MATCH($K124&amp;"|"&amp;$L124,SupplierRates!$A$5:$A$500,0)),0))</f>
        <v/>
      </c>
      <c r="R124" s="26" t="n">
        <f aca="false">IF(OR($D124="",$J124&lt;&gt;"Supplier"),0,F124*P124+G124*Q124)</f>
        <v>0</v>
      </c>
      <c r="S124" s="26" t="n">
        <f aca="false">IF(OR($D124="",$J124&lt;&gt;"Own"),0,IFERROR((F124+G124*Settings!$B$13)*INDEX(Workers!$V$5:$V$2004,MATCH($D124,Workers!$A$5:$A$2004,0)),0))</f>
        <v>0</v>
      </c>
      <c r="T124" s="26" t="str">
        <f aca="false">IF($D124="","",O124-R124-S124)</f>
        <v/>
      </c>
    </row>
    <row r="125" customFormat="false" ht="15" hidden="false" customHeight="false" outlineLevel="0" collapsed="false">
      <c r="I125" s="24" t="str">
        <f aca="false">IF($D125="","",IFERROR(INDEX(Workers!$B$5:$B$2004,MATCH($D125,Workers!$A$5:$A$2004,0)),"NOT FOUND"))</f>
        <v/>
      </c>
      <c r="J125" s="24" t="str">
        <f aca="false">IF($D125="","",IFERROR(INDEX(Workers!$C$5:$C$2004,MATCH($D125,Workers!$A$5:$A$2004,0)),""))</f>
        <v/>
      </c>
      <c r="K125" s="24" t="str">
        <f aca="false">IF($D125="","",IFERROR(IF(INDEX(Workers!$D$5:$D$2004,MATCH($D125,Workers!$A$5:$A$2004,0))=0,"",INDEX(Workers!$D$5:$D$2004,MATCH($D125,Workers!$A$5:$A$2004,0))),""))</f>
        <v/>
      </c>
      <c r="L125" s="24" t="str">
        <f aca="false">IF($D125="","",IFERROR(INDEX(Workers!$E$5:$E$2004,MATCH($D125,Workers!$A$5:$A$2004,0)),""))</f>
        <v/>
      </c>
      <c r="M125" s="26" t="str">
        <f aca="false">IF($D125="","",IFERROR(INDEX(ClientRates!$D$5:$D$500,MATCH($B125&amp;"|"&amp;$L125,ClientRates!$A$5:$A$500,0)),0))</f>
        <v/>
      </c>
      <c r="N125" s="26" t="str">
        <f aca="false">IF($D125="","",IFERROR(INDEX(ClientRates!$E$5:$E$500,MATCH($B125&amp;"|"&amp;$L125,ClientRates!$A$5:$A$500,0)),0))</f>
        <v/>
      </c>
      <c r="O125" s="26" t="str">
        <f aca="false">IF($D125="","",F125*M125+G125*N125)</f>
        <v/>
      </c>
      <c r="P125" s="26" t="str">
        <f aca="false">IF(OR($D125="",$J125&lt;&gt;"Supplier"),"",IFERROR(INDEX(SupplierRates!$D$5:$D$500,MATCH($K125&amp;"|"&amp;$L125,SupplierRates!$A$5:$A$500,0)),0))</f>
        <v/>
      </c>
      <c r="Q125" s="26" t="str">
        <f aca="false">IF(OR($D125="",$J125&lt;&gt;"Supplier"),"",IFERROR(INDEX(SupplierRates!$E$5:$E$500,MATCH($K125&amp;"|"&amp;$L125,SupplierRates!$A$5:$A$500,0)),0))</f>
        <v/>
      </c>
      <c r="R125" s="26" t="n">
        <f aca="false">IF(OR($D125="",$J125&lt;&gt;"Supplier"),0,F125*P125+G125*Q125)</f>
        <v>0</v>
      </c>
      <c r="S125" s="26" t="n">
        <f aca="false">IF(OR($D125="",$J125&lt;&gt;"Own"),0,IFERROR((F125+G125*Settings!$B$13)*INDEX(Workers!$V$5:$V$2004,MATCH($D125,Workers!$A$5:$A$2004,0)),0))</f>
        <v>0</v>
      </c>
      <c r="T125" s="26" t="str">
        <f aca="false">IF($D125="","",O125-R125-S125)</f>
        <v/>
      </c>
    </row>
    <row r="126" customFormat="false" ht="15" hidden="false" customHeight="false" outlineLevel="0" collapsed="false">
      <c r="I126" s="24" t="str">
        <f aca="false">IF($D126="","",IFERROR(INDEX(Workers!$B$5:$B$2004,MATCH($D126,Workers!$A$5:$A$2004,0)),"NOT FOUND"))</f>
        <v/>
      </c>
      <c r="J126" s="24" t="str">
        <f aca="false">IF($D126="","",IFERROR(INDEX(Workers!$C$5:$C$2004,MATCH($D126,Workers!$A$5:$A$2004,0)),""))</f>
        <v/>
      </c>
      <c r="K126" s="24" t="str">
        <f aca="false">IF($D126="","",IFERROR(IF(INDEX(Workers!$D$5:$D$2004,MATCH($D126,Workers!$A$5:$A$2004,0))=0,"",INDEX(Workers!$D$5:$D$2004,MATCH($D126,Workers!$A$5:$A$2004,0))),""))</f>
        <v/>
      </c>
      <c r="L126" s="24" t="str">
        <f aca="false">IF($D126="","",IFERROR(INDEX(Workers!$E$5:$E$2004,MATCH($D126,Workers!$A$5:$A$2004,0)),""))</f>
        <v/>
      </c>
      <c r="M126" s="26" t="str">
        <f aca="false">IF($D126="","",IFERROR(INDEX(ClientRates!$D$5:$D$500,MATCH($B126&amp;"|"&amp;$L126,ClientRates!$A$5:$A$500,0)),0))</f>
        <v/>
      </c>
      <c r="N126" s="26" t="str">
        <f aca="false">IF($D126="","",IFERROR(INDEX(ClientRates!$E$5:$E$500,MATCH($B126&amp;"|"&amp;$L126,ClientRates!$A$5:$A$500,0)),0))</f>
        <v/>
      </c>
      <c r="O126" s="26" t="str">
        <f aca="false">IF($D126="","",F126*M126+G126*N126)</f>
        <v/>
      </c>
      <c r="P126" s="26" t="str">
        <f aca="false">IF(OR($D126="",$J126&lt;&gt;"Supplier"),"",IFERROR(INDEX(SupplierRates!$D$5:$D$500,MATCH($K126&amp;"|"&amp;$L126,SupplierRates!$A$5:$A$500,0)),0))</f>
        <v/>
      </c>
      <c r="Q126" s="26" t="str">
        <f aca="false">IF(OR($D126="",$J126&lt;&gt;"Supplier"),"",IFERROR(INDEX(SupplierRates!$E$5:$E$500,MATCH($K126&amp;"|"&amp;$L126,SupplierRates!$A$5:$A$500,0)),0))</f>
        <v/>
      </c>
      <c r="R126" s="26" t="n">
        <f aca="false">IF(OR($D126="",$J126&lt;&gt;"Supplier"),0,F126*P126+G126*Q126)</f>
        <v>0</v>
      </c>
      <c r="S126" s="26" t="n">
        <f aca="false">IF(OR($D126="",$J126&lt;&gt;"Own"),0,IFERROR((F126+G126*Settings!$B$13)*INDEX(Workers!$V$5:$V$2004,MATCH($D126,Workers!$A$5:$A$2004,0)),0))</f>
        <v>0</v>
      </c>
      <c r="T126" s="26" t="str">
        <f aca="false">IF($D126="","",O126-R126-S126)</f>
        <v/>
      </c>
    </row>
    <row r="127" customFormat="false" ht="15" hidden="false" customHeight="false" outlineLevel="0" collapsed="false">
      <c r="I127" s="24" t="str">
        <f aca="false">IF($D127="","",IFERROR(INDEX(Workers!$B$5:$B$2004,MATCH($D127,Workers!$A$5:$A$2004,0)),"NOT FOUND"))</f>
        <v/>
      </c>
      <c r="J127" s="24" t="str">
        <f aca="false">IF($D127="","",IFERROR(INDEX(Workers!$C$5:$C$2004,MATCH($D127,Workers!$A$5:$A$2004,0)),""))</f>
        <v/>
      </c>
      <c r="K127" s="24" t="str">
        <f aca="false">IF($D127="","",IFERROR(IF(INDEX(Workers!$D$5:$D$2004,MATCH($D127,Workers!$A$5:$A$2004,0))=0,"",INDEX(Workers!$D$5:$D$2004,MATCH($D127,Workers!$A$5:$A$2004,0))),""))</f>
        <v/>
      </c>
      <c r="L127" s="24" t="str">
        <f aca="false">IF($D127="","",IFERROR(INDEX(Workers!$E$5:$E$2004,MATCH($D127,Workers!$A$5:$A$2004,0)),""))</f>
        <v/>
      </c>
      <c r="M127" s="26" t="str">
        <f aca="false">IF($D127="","",IFERROR(INDEX(ClientRates!$D$5:$D$500,MATCH($B127&amp;"|"&amp;$L127,ClientRates!$A$5:$A$500,0)),0))</f>
        <v/>
      </c>
      <c r="N127" s="26" t="str">
        <f aca="false">IF($D127="","",IFERROR(INDEX(ClientRates!$E$5:$E$500,MATCH($B127&amp;"|"&amp;$L127,ClientRates!$A$5:$A$500,0)),0))</f>
        <v/>
      </c>
      <c r="O127" s="26" t="str">
        <f aca="false">IF($D127="","",F127*M127+G127*N127)</f>
        <v/>
      </c>
      <c r="P127" s="26" t="str">
        <f aca="false">IF(OR($D127="",$J127&lt;&gt;"Supplier"),"",IFERROR(INDEX(SupplierRates!$D$5:$D$500,MATCH($K127&amp;"|"&amp;$L127,SupplierRates!$A$5:$A$500,0)),0))</f>
        <v/>
      </c>
      <c r="Q127" s="26" t="str">
        <f aca="false">IF(OR($D127="",$J127&lt;&gt;"Supplier"),"",IFERROR(INDEX(SupplierRates!$E$5:$E$500,MATCH($K127&amp;"|"&amp;$L127,SupplierRates!$A$5:$A$500,0)),0))</f>
        <v/>
      </c>
      <c r="R127" s="26" t="n">
        <f aca="false">IF(OR($D127="",$J127&lt;&gt;"Supplier"),0,F127*P127+G127*Q127)</f>
        <v>0</v>
      </c>
      <c r="S127" s="26" t="n">
        <f aca="false">IF(OR($D127="",$J127&lt;&gt;"Own"),0,IFERROR((F127+G127*Settings!$B$13)*INDEX(Workers!$V$5:$V$2004,MATCH($D127,Workers!$A$5:$A$2004,0)),0))</f>
        <v>0</v>
      </c>
      <c r="T127" s="26" t="str">
        <f aca="false">IF($D127="","",O127-R127-S127)</f>
        <v/>
      </c>
    </row>
    <row r="128" customFormat="false" ht="15" hidden="false" customHeight="false" outlineLevel="0" collapsed="false">
      <c r="I128" s="24" t="str">
        <f aca="false">IF($D128="","",IFERROR(INDEX(Workers!$B$5:$B$2004,MATCH($D128,Workers!$A$5:$A$2004,0)),"NOT FOUND"))</f>
        <v/>
      </c>
      <c r="J128" s="24" t="str">
        <f aca="false">IF($D128="","",IFERROR(INDEX(Workers!$C$5:$C$2004,MATCH($D128,Workers!$A$5:$A$2004,0)),""))</f>
        <v/>
      </c>
      <c r="K128" s="24" t="str">
        <f aca="false">IF($D128="","",IFERROR(IF(INDEX(Workers!$D$5:$D$2004,MATCH($D128,Workers!$A$5:$A$2004,0))=0,"",INDEX(Workers!$D$5:$D$2004,MATCH($D128,Workers!$A$5:$A$2004,0))),""))</f>
        <v/>
      </c>
      <c r="L128" s="24" t="str">
        <f aca="false">IF($D128="","",IFERROR(INDEX(Workers!$E$5:$E$2004,MATCH($D128,Workers!$A$5:$A$2004,0)),""))</f>
        <v/>
      </c>
      <c r="M128" s="26" t="str">
        <f aca="false">IF($D128="","",IFERROR(INDEX(ClientRates!$D$5:$D$500,MATCH($B128&amp;"|"&amp;$L128,ClientRates!$A$5:$A$500,0)),0))</f>
        <v/>
      </c>
      <c r="N128" s="26" t="str">
        <f aca="false">IF($D128="","",IFERROR(INDEX(ClientRates!$E$5:$E$500,MATCH($B128&amp;"|"&amp;$L128,ClientRates!$A$5:$A$500,0)),0))</f>
        <v/>
      </c>
      <c r="O128" s="26" t="str">
        <f aca="false">IF($D128="","",F128*M128+G128*N128)</f>
        <v/>
      </c>
      <c r="P128" s="26" t="str">
        <f aca="false">IF(OR($D128="",$J128&lt;&gt;"Supplier"),"",IFERROR(INDEX(SupplierRates!$D$5:$D$500,MATCH($K128&amp;"|"&amp;$L128,SupplierRates!$A$5:$A$500,0)),0))</f>
        <v/>
      </c>
      <c r="Q128" s="26" t="str">
        <f aca="false">IF(OR($D128="",$J128&lt;&gt;"Supplier"),"",IFERROR(INDEX(SupplierRates!$E$5:$E$500,MATCH($K128&amp;"|"&amp;$L128,SupplierRates!$A$5:$A$500,0)),0))</f>
        <v/>
      </c>
      <c r="R128" s="26" t="n">
        <f aca="false">IF(OR($D128="",$J128&lt;&gt;"Supplier"),0,F128*P128+G128*Q128)</f>
        <v>0</v>
      </c>
      <c r="S128" s="26" t="n">
        <f aca="false">IF(OR($D128="",$J128&lt;&gt;"Own"),0,IFERROR((F128+G128*Settings!$B$13)*INDEX(Workers!$V$5:$V$2004,MATCH($D128,Workers!$A$5:$A$2004,0)),0))</f>
        <v>0</v>
      </c>
      <c r="T128" s="26" t="str">
        <f aca="false">IF($D128="","",O128-R128-S128)</f>
        <v/>
      </c>
    </row>
    <row r="129" customFormat="false" ht="15" hidden="false" customHeight="false" outlineLevel="0" collapsed="false">
      <c r="I129" s="24" t="str">
        <f aca="false">IF($D129="","",IFERROR(INDEX(Workers!$B$5:$B$2004,MATCH($D129,Workers!$A$5:$A$2004,0)),"NOT FOUND"))</f>
        <v/>
      </c>
      <c r="J129" s="24" t="str">
        <f aca="false">IF($D129="","",IFERROR(INDEX(Workers!$C$5:$C$2004,MATCH($D129,Workers!$A$5:$A$2004,0)),""))</f>
        <v/>
      </c>
      <c r="K129" s="24" t="str">
        <f aca="false">IF($D129="","",IFERROR(IF(INDEX(Workers!$D$5:$D$2004,MATCH($D129,Workers!$A$5:$A$2004,0))=0,"",INDEX(Workers!$D$5:$D$2004,MATCH($D129,Workers!$A$5:$A$2004,0))),""))</f>
        <v/>
      </c>
      <c r="L129" s="24" t="str">
        <f aca="false">IF($D129="","",IFERROR(INDEX(Workers!$E$5:$E$2004,MATCH($D129,Workers!$A$5:$A$2004,0)),""))</f>
        <v/>
      </c>
      <c r="M129" s="26" t="str">
        <f aca="false">IF($D129="","",IFERROR(INDEX(ClientRates!$D$5:$D$500,MATCH($B129&amp;"|"&amp;$L129,ClientRates!$A$5:$A$500,0)),0))</f>
        <v/>
      </c>
      <c r="N129" s="26" t="str">
        <f aca="false">IF($D129="","",IFERROR(INDEX(ClientRates!$E$5:$E$500,MATCH($B129&amp;"|"&amp;$L129,ClientRates!$A$5:$A$500,0)),0))</f>
        <v/>
      </c>
      <c r="O129" s="26" t="str">
        <f aca="false">IF($D129="","",F129*M129+G129*N129)</f>
        <v/>
      </c>
      <c r="P129" s="26" t="str">
        <f aca="false">IF(OR($D129="",$J129&lt;&gt;"Supplier"),"",IFERROR(INDEX(SupplierRates!$D$5:$D$500,MATCH($K129&amp;"|"&amp;$L129,SupplierRates!$A$5:$A$500,0)),0))</f>
        <v/>
      </c>
      <c r="Q129" s="26" t="str">
        <f aca="false">IF(OR($D129="",$J129&lt;&gt;"Supplier"),"",IFERROR(INDEX(SupplierRates!$E$5:$E$500,MATCH($K129&amp;"|"&amp;$L129,SupplierRates!$A$5:$A$500,0)),0))</f>
        <v/>
      </c>
      <c r="R129" s="26" t="n">
        <f aca="false">IF(OR($D129="",$J129&lt;&gt;"Supplier"),0,F129*P129+G129*Q129)</f>
        <v>0</v>
      </c>
      <c r="S129" s="26" t="n">
        <f aca="false">IF(OR($D129="",$J129&lt;&gt;"Own"),0,IFERROR((F129+G129*Settings!$B$13)*INDEX(Workers!$V$5:$V$2004,MATCH($D129,Workers!$A$5:$A$2004,0)),0))</f>
        <v>0</v>
      </c>
      <c r="T129" s="26" t="str">
        <f aca="false">IF($D129="","",O129-R129-S129)</f>
        <v/>
      </c>
    </row>
    <row r="130" customFormat="false" ht="15" hidden="false" customHeight="false" outlineLevel="0" collapsed="false">
      <c r="I130" s="24" t="str">
        <f aca="false">IF($D130="","",IFERROR(INDEX(Workers!$B$5:$B$2004,MATCH($D130,Workers!$A$5:$A$2004,0)),"NOT FOUND"))</f>
        <v/>
      </c>
      <c r="J130" s="24" t="str">
        <f aca="false">IF($D130="","",IFERROR(INDEX(Workers!$C$5:$C$2004,MATCH($D130,Workers!$A$5:$A$2004,0)),""))</f>
        <v/>
      </c>
      <c r="K130" s="24" t="str">
        <f aca="false">IF($D130="","",IFERROR(IF(INDEX(Workers!$D$5:$D$2004,MATCH($D130,Workers!$A$5:$A$2004,0))=0,"",INDEX(Workers!$D$5:$D$2004,MATCH($D130,Workers!$A$5:$A$2004,0))),""))</f>
        <v/>
      </c>
      <c r="L130" s="24" t="str">
        <f aca="false">IF($D130="","",IFERROR(INDEX(Workers!$E$5:$E$2004,MATCH($D130,Workers!$A$5:$A$2004,0)),""))</f>
        <v/>
      </c>
      <c r="M130" s="26" t="str">
        <f aca="false">IF($D130="","",IFERROR(INDEX(ClientRates!$D$5:$D$500,MATCH($B130&amp;"|"&amp;$L130,ClientRates!$A$5:$A$500,0)),0))</f>
        <v/>
      </c>
      <c r="N130" s="26" t="str">
        <f aca="false">IF($D130="","",IFERROR(INDEX(ClientRates!$E$5:$E$500,MATCH($B130&amp;"|"&amp;$L130,ClientRates!$A$5:$A$500,0)),0))</f>
        <v/>
      </c>
      <c r="O130" s="26" t="str">
        <f aca="false">IF($D130="","",F130*M130+G130*N130)</f>
        <v/>
      </c>
      <c r="P130" s="26" t="str">
        <f aca="false">IF(OR($D130="",$J130&lt;&gt;"Supplier"),"",IFERROR(INDEX(SupplierRates!$D$5:$D$500,MATCH($K130&amp;"|"&amp;$L130,SupplierRates!$A$5:$A$500,0)),0))</f>
        <v/>
      </c>
      <c r="Q130" s="26" t="str">
        <f aca="false">IF(OR($D130="",$J130&lt;&gt;"Supplier"),"",IFERROR(INDEX(SupplierRates!$E$5:$E$500,MATCH($K130&amp;"|"&amp;$L130,SupplierRates!$A$5:$A$500,0)),0))</f>
        <v/>
      </c>
      <c r="R130" s="26" t="n">
        <f aca="false">IF(OR($D130="",$J130&lt;&gt;"Supplier"),0,F130*P130+G130*Q130)</f>
        <v>0</v>
      </c>
      <c r="S130" s="26" t="n">
        <f aca="false">IF(OR($D130="",$J130&lt;&gt;"Own"),0,IFERROR((F130+G130*Settings!$B$13)*INDEX(Workers!$V$5:$V$2004,MATCH($D130,Workers!$A$5:$A$2004,0)),0))</f>
        <v>0</v>
      </c>
      <c r="T130" s="26" t="str">
        <f aca="false">IF($D130="","",O130-R130-S130)</f>
        <v/>
      </c>
    </row>
    <row r="131" customFormat="false" ht="15" hidden="false" customHeight="false" outlineLevel="0" collapsed="false">
      <c r="I131" s="24" t="str">
        <f aca="false">IF($D131="","",IFERROR(INDEX(Workers!$B$5:$B$2004,MATCH($D131,Workers!$A$5:$A$2004,0)),"NOT FOUND"))</f>
        <v/>
      </c>
      <c r="J131" s="24" t="str">
        <f aca="false">IF($D131="","",IFERROR(INDEX(Workers!$C$5:$C$2004,MATCH($D131,Workers!$A$5:$A$2004,0)),""))</f>
        <v/>
      </c>
      <c r="K131" s="24" t="str">
        <f aca="false">IF($D131="","",IFERROR(IF(INDEX(Workers!$D$5:$D$2004,MATCH($D131,Workers!$A$5:$A$2004,0))=0,"",INDEX(Workers!$D$5:$D$2004,MATCH($D131,Workers!$A$5:$A$2004,0))),""))</f>
        <v/>
      </c>
      <c r="L131" s="24" t="str">
        <f aca="false">IF($D131="","",IFERROR(INDEX(Workers!$E$5:$E$2004,MATCH($D131,Workers!$A$5:$A$2004,0)),""))</f>
        <v/>
      </c>
      <c r="M131" s="26" t="str">
        <f aca="false">IF($D131="","",IFERROR(INDEX(ClientRates!$D$5:$D$500,MATCH($B131&amp;"|"&amp;$L131,ClientRates!$A$5:$A$500,0)),0))</f>
        <v/>
      </c>
      <c r="N131" s="26" t="str">
        <f aca="false">IF($D131="","",IFERROR(INDEX(ClientRates!$E$5:$E$500,MATCH($B131&amp;"|"&amp;$L131,ClientRates!$A$5:$A$500,0)),0))</f>
        <v/>
      </c>
      <c r="O131" s="26" t="str">
        <f aca="false">IF($D131="","",F131*M131+G131*N131)</f>
        <v/>
      </c>
      <c r="P131" s="26" t="str">
        <f aca="false">IF(OR($D131="",$J131&lt;&gt;"Supplier"),"",IFERROR(INDEX(SupplierRates!$D$5:$D$500,MATCH($K131&amp;"|"&amp;$L131,SupplierRates!$A$5:$A$500,0)),0))</f>
        <v/>
      </c>
      <c r="Q131" s="26" t="str">
        <f aca="false">IF(OR($D131="",$J131&lt;&gt;"Supplier"),"",IFERROR(INDEX(SupplierRates!$E$5:$E$500,MATCH($K131&amp;"|"&amp;$L131,SupplierRates!$A$5:$A$500,0)),0))</f>
        <v/>
      </c>
      <c r="R131" s="26" t="n">
        <f aca="false">IF(OR($D131="",$J131&lt;&gt;"Supplier"),0,F131*P131+G131*Q131)</f>
        <v>0</v>
      </c>
      <c r="S131" s="26" t="n">
        <f aca="false">IF(OR($D131="",$J131&lt;&gt;"Own"),0,IFERROR((F131+G131*Settings!$B$13)*INDEX(Workers!$V$5:$V$2004,MATCH($D131,Workers!$A$5:$A$2004,0)),0))</f>
        <v>0</v>
      </c>
      <c r="T131" s="26" t="str">
        <f aca="false">IF($D131="","",O131-R131-S131)</f>
        <v/>
      </c>
    </row>
    <row r="132" customFormat="false" ht="15" hidden="false" customHeight="false" outlineLevel="0" collapsed="false">
      <c r="I132" s="24" t="str">
        <f aca="false">IF($D132="","",IFERROR(INDEX(Workers!$B$5:$B$2004,MATCH($D132,Workers!$A$5:$A$2004,0)),"NOT FOUND"))</f>
        <v/>
      </c>
      <c r="J132" s="24" t="str">
        <f aca="false">IF($D132="","",IFERROR(INDEX(Workers!$C$5:$C$2004,MATCH($D132,Workers!$A$5:$A$2004,0)),""))</f>
        <v/>
      </c>
      <c r="K132" s="24" t="str">
        <f aca="false">IF($D132="","",IFERROR(IF(INDEX(Workers!$D$5:$D$2004,MATCH($D132,Workers!$A$5:$A$2004,0))=0,"",INDEX(Workers!$D$5:$D$2004,MATCH($D132,Workers!$A$5:$A$2004,0))),""))</f>
        <v/>
      </c>
      <c r="L132" s="24" t="str">
        <f aca="false">IF($D132="","",IFERROR(INDEX(Workers!$E$5:$E$2004,MATCH($D132,Workers!$A$5:$A$2004,0)),""))</f>
        <v/>
      </c>
      <c r="M132" s="26" t="str">
        <f aca="false">IF($D132="","",IFERROR(INDEX(ClientRates!$D$5:$D$500,MATCH($B132&amp;"|"&amp;$L132,ClientRates!$A$5:$A$500,0)),0))</f>
        <v/>
      </c>
      <c r="N132" s="26" t="str">
        <f aca="false">IF($D132="","",IFERROR(INDEX(ClientRates!$E$5:$E$500,MATCH($B132&amp;"|"&amp;$L132,ClientRates!$A$5:$A$500,0)),0))</f>
        <v/>
      </c>
      <c r="O132" s="26" t="str">
        <f aca="false">IF($D132="","",F132*M132+G132*N132)</f>
        <v/>
      </c>
      <c r="P132" s="26" t="str">
        <f aca="false">IF(OR($D132="",$J132&lt;&gt;"Supplier"),"",IFERROR(INDEX(SupplierRates!$D$5:$D$500,MATCH($K132&amp;"|"&amp;$L132,SupplierRates!$A$5:$A$500,0)),0))</f>
        <v/>
      </c>
      <c r="Q132" s="26" t="str">
        <f aca="false">IF(OR($D132="",$J132&lt;&gt;"Supplier"),"",IFERROR(INDEX(SupplierRates!$E$5:$E$500,MATCH($K132&amp;"|"&amp;$L132,SupplierRates!$A$5:$A$500,0)),0))</f>
        <v/>
      </c>
      <c r="R132" s="26" t="n">
        <f aca="false">IF(OR($D132="",$J132&lt;&gt;"Supplier"),0,F132*P132+G132*Q132)</f>
        <v>0</v>
      </c>
      <c r="S132" s="26" t="n">
        <f aca="false">IF(OR($D132="",$J132&lt;&gt;"Own"),0,IFERROR((F132+G132*Settings!$B$13)*INDEX(Workers!$V$5:$V$2004,MATCH($D132,Workers!$A$5:$A$2004,0)),0))</f>
        <v>0</v>
      </c>
      <c r="T132" s="26" t="str">
        <f aca="false">IF($D132="","",O132-R132-S132)</f>
        <v/>
      </c>
    </row>
    <row r="133" customFormat="false" ht="15" hidden="false" customHeight="false" outlineLevel="0" collapsed="false">
      <c r="I133" s="24" t="str">
        <f aca="false">IF($D133="","",IFERROR(INDEX(Workers!$B$5:$B$2004,MATCH($D133,Workers!$A$5:$A$2004,0)),"NOT FOUND"))</f>
        <v/>
      </c>
      <c r="J133" s="24" t="str">
        <f aca="false">IF($D133="","",IFERROR(INDEX(Workers!$C$5:$C$2004,MATCH($D133,Workers!$A$5:$A$2004,0)),""))</f>
        <v/>
      </c>
      <c r="K133" s="24" t="str">
        <f aca="false">IF($D133="","",IFERROR(IF(INDEX(Workers!$D$5:$D$2004,MATCH($D133,Workers!$A$5:$A$2004,0))=0,"",INDEX(Workers!$D$5:$D$2004,MATCH($D133,Workers!$A$5:$A$2004,0))),""))</f>
        <v/>
      </c>
      <c r="L133" s="24" t="str">
        <f aca="false">IF($D133="","",IFERROR(INDEX(Workers!$E$5:$E$2004,MATCH($D133,Workers!$A$5:$A$2004,0)),""))</f>
        <v/>
      </c>
      <c r="M133" s="26" t="str">
        <f aca="false">IF($D133="","",IFERROR(INDEX(ClientRates!$D$5:$D$500,MATCH($B133&amp;"|"&amp;$L133,ClientRates!$A$5:$A$500,0)),0))</f>
        <v/>
      </c>
      <c r="N133" s="26" t="str">
        <f aca="false">IF($D133="","",IFERROR(INDEX(ClientRates!$E$5:$E$500,MATCH($B133&amp;"|"&amp;$L133,ClientRates!$A$5:$A$500,0)),0))</f>
        <v/>
      </c>
      <c r="O133" s="26" t="str">
        <f aca="false">IF($D133="","",F133*M133+G133*N133)</f>
        <v/>
      </c>
      <c r="P133" s="26" t="str">
        <f aca="false">IF(OR($D133="",$J133&lt;&gt;"Supplier"),"",IFERROR(INDEX(SupplierRates!$D$5:$D$500,MATCH($K133&amp;"|"&amp;$L133,SupplierRates!$A$5:$A$500,0)),0))</f>
        <v/>
      </c>
      <c r="Q133" s="26" t="str">
        <f aca="false">IF(OR($D133="",$J133&lt;&gt;"Supplier"),"",IFERROR(INDEX(SupplierRates!$E$5:$E$500,MATCH($K133&amp;"|"&amp;$L133,SupplierRates!$A$5:$A$500,0)),0))</f>
        <v/>
      </c>
      <c r="R133" s="26" t="n">
        <f aca="false">IF(OR($D133="",$J133&lt;&gt;"Supplier"),0,F133*P133+G133*Q133)</f>
        <v>0</v>
      </c>
      <c r="S133" s="26" t="n">
        <f aca="false">IF(OR($D133="",$J133&lt;&gt;"Own"),0,IFERROR((F133+G133*Settings!$B$13)*INDEX(Workers!$V$5:$V$2004,MATCH($D133,Workers!$A$5:$A$2004,0)),0))</f>
        <v>0</v>
      </c>
      <c r="T133" s="26" t="str">
        <f aca="false">IF($D133="","",O133-R133-S133)</f>
        <v/>
      </c>
    </row>
    <row r="134" customFormat="false" ht="15" hidden="false" customHeight="false" outlineLevel="0" collapsed="false">
      <c r="I134" s="24" t="str">
        <f aca="false">IF($D134="","",IFERROR(INDEX(Workers!$B$5:$B$2004,MATCH($D134,Workers!$A$5:$A$2004,0)),"NOT FOUND"))</f>
        <v/>
      </c>
      <c r="J134" s="24" t="str">
        <f aca="false">IF($D134="","",IFERROR(INDEX(Workers!$C$5:$C$2004,MATCH($D134,Workers!$A$5:$A$2004,0)),""))</f>
        <v/>
      </c>
      <c r="K134" s="24" t="str">
        <f aca="false">IF($D134="","",IFERROR(IF(INDEX(Workers!$D$5:$D$2004,MATCH($D134,Workers!$A$5:$A$2004,0))=0,"",INDEX(Workers!$D$5:$D$2004,MATCH($D134,Workers!$A$5:$A$2004,0))),""))</f>
        <v/>
      </c>
      <c r="L134" s="24" t="str">
        <f aca="false">IF($D134="","",IFERROR(INDEX(Workers!$E$5:$E$2004,MATCH($D134,Workers!$A$5:$A$2004,0)),""))</f>
        <v/>
      </c>
      <c r="M134" s="26" t="str">
        <f aca="false">IF($D134="","",IFERROR(INDEX(ClientRates!$D$5:$D$500,MATCH($B134&amp;"|"&amp;$L134,ClientRates!$A$5:$A$500,0)),0))</f>
        <v/>
      </c>
      <c r="N134" s="26" t="str">
        <f aca="false">IF($D134="","",IFERROR(INDEX(ClientRates!$E$5:$E$500,MATCH($B134&amp;"|"&amp;$L134,ClientRates!$A$5:$A$500,0)),0))</f>
        <v/>
      </c>
      <c r="O134" s="26" t="str">
        <f aca="false">IF($D134="","",F134*M134+G134*N134)</f>
        <v/>
      </c>
      <c r="P134" s="26" t="str">
        <f aca="false">IF(OR($D134="",$J134&lt;&gt;"Supplier"),"",IFERROR(INDEX(SupplierRates!$D$5:$D$500,MATCH($K134&amp;"|"&amp;$L134,SupplierRates!$A$5:$A$500,0)),0))</f>
        <v/>
      </c>
      <c r="Q134" s="26" t="str">
        <f aca="false">IF(OR($D134="",$J134&lt;&gt;"Supplier"),"",IFERROR(INDEX(SupplierRates!$E$5:$E$500,MATCH($K134&amp;"|"&amp;$L134,SupplierRates!$A$5:$A$500,0)),0))</f>
        <v/>
      </c>
      <c r="R134" s="26" t="n">
        <f aca="false">IF(OR($D134="",$J134&lt;&gt;"Supplier"),0,F134*P134+G134*Q134)</f>
        <v>0</v>
      </c>
      <c r="S134" s="26" t="n">
        <f aca="false">IF(OR($D134="",$J134&lt;&gt;"Own"),0,IFERROR((F134+G134*Settings!$B$13)*INDEX(Workers!$V$5:$V$2004,MATCH($D134,Workers!$A$5:$A$2004,0)),0))</f>
        <v>0</v>
      </c>
      <c r="T134" s="26" t="str">
        <f aca="false">IF($D134="","",O134-R134-S134)</f>
        <v/>
      </c>
    </row>
    <row r="135" customFormat="false" ht="15" hidden="false" customHeight="false" outlineLevel="0" collapsed="false">
      <c r="I135" s="24" t="str">
        <f aca="false">IF($D135="","",IFERROR(INDEX(Workers!$B$5:$B$2004,MATCH($D135,Workers!$A$5:$A$2004,0)),"NOT FOUND"))</f>
        <v/>
      </c>
      <c r="J135" s="24" t="str">
        <f aca="false">IF($D135="","",IFERROR(INDEX(Workers!$C$5:$C$2004,MATCH($D135,Workers!$A$5:$A$2004,0)),""))</f>
        <v/>
      </c>
      <c r="K135" s="24" t="str">
        <f aca="false">IF($D135="","",IFERROR(IF(INDEX(Workers!$D$5:$D$2004,MATCH($D135,Workers!$A$5:$A$2004,0))=0,"",INDEX(Workers!$D$5:$D$2004,MATCH($D135,Workers!$A$5:$A$2004,0))),""))</f>
        <v/>
      </c>
      <c r="L135" s="24" t="str">
        <f aca="false">IF($D135="","",IFERROR(INDEX(Workers!$E$5:$E$2004,MATCH($D135,Workers!$A$5:$A$2004,0)),""))</f>
        <v/>
      </c>
      <c r="M135" s="26" t="str">
        <f aca="false">IF($D135="","",IFERROR(INDEX(ClientRates!$D$5:$D$500,MATCH($B135&amp;"|"&amp;$L135,ClientRates!$A$5:$A$500,0)),0))</f>
        <v/>
      </c>
      <c r="N135" s="26" t="str">
        <f aca="false">IF($D135="","",IFERROR(INDEX(ClientRates!$E$5:$E$500,MATCH($B135&amp;"|"&amp;$L135,ClientRates!$A$5:$A$500,0)),0))</f>
        <v/>
      </c>
      <c r="O135" s="26" t="str">
        <f aca="false">IF($D135="","",F135*M135+G135*N135)</f>
        <v/>
      </c>
      <c r="P135" s="26" t="str">
        <f aca="false">IF(OR($D135="",$J135&lt;&gt;"Supplier"),"",IFERROR(INDEX(SupplierRates!$D$5:$D$500,MATCH($K135&amp;"|"&amp;$L135,SupplierRates!$A$5:$A$500,0)),0))</f>
        <v/>
      </c>
      <c r="Q135" s="26" t="str">
        <f aca="false">IF(OR($D135="",$J135&lt;&gt;"Supplier"),"",IFERROR(INDEX(SupplierRates!$E$5:$E$500,MATCH($K135&amp;"|"&amp;$L135,SupplierRates!$A$5:$A$500,0)),0))</f>
        <v/>
      </c>
      <c r="R135" s="26" t="n">
        <f aca="false">IF(OR($D135="",$J135&lt;&gt;"Supplier"),0,F135*P135+G135*Q135)</f>
        <v>0</v>
      </c>
      <c r="S135" s="26" t="n">
        <f aca="false">IF(OR($D135="",$J135&lt;&gt;"Own"),0,IFERROR((F135+G135*Settings!$B$13)*INDEX(Workers!$V$5:$V$2004,MATCH($D135,Workers!$A$5:$A$2004,0)),0))</f>
        <v>0</v>
      </c>
      <c r="T135" s="26" t="str">
        <f aca="false">IF($D135="","",O135-R135-S135)</f>
        <v/>
      </c>
    </row>
    <row r="136" customFormat="false" ht="15" hidden="false" customHeight="false" outlineLevel="0" collapsed="false">
      <c r="I136" s="24" t="str">
        <f aca="false">IF($D136="","",IFERROR(INDEX(Workers!$B$5:$B$2004,MATCH($D136,Workers!$A$5:$A$2004,0)),"NOT FOUND"))</f>
        <v/>
      </c>
      <c r="J136" s="24" t="str">
        <f aca="false">IF($D136="","",IFERROR(INDEX(Workers!$C$5:$C$2004,MATCH($D136,Workers!$A$5:$A$2004,0)),""))</f>
        <v/>
      </c>
      <c r="K136" s="24" t="str">
        <f aca="false">IF($D136="","",IFERROR(IF(INDEX(Workers!$D$5:$D$2004,MATCH($D136,Workers!$A$5:$A$2004,0))=0,"",INDEX(Workers!$D$5:$D$2004,MATCH($D136,Workers!$A$5:$A$2004,0))),""))</f>
        <v/>
      </c>
      <c r="L136" s="24" t="str">
        <f aca="false">IF($D136="","",IFERROR(INDEX(Workers!$E$5:$E$2004,MATCH($D136,Workers!$A$5:$A$2004,0)),""))</f>
        <v/>
      </c>
      <c r="M136" s="26" t="str">
        <f aca="false">IF($D136="","",IFERROR(INDEX(ClientRates!$D$5:$D$500,MATCH($B136&amp;"|"&amp;$L136,ClientRates!$A$5:$A$500,0)),0))</f>
        <v/>
      </c>
      <c r="N136" s="26" t="str">
        <f aca="false">IF($D136="","",IFERROR(INDEX(ClientRates!$E$5:$E$500,MATCH($B136&amp;"|"&amp;$L136,ClientRates!$A$5:$A$500,0)),0))</f>
        <v/>
      </c>
      <c r="O136" s="26" t="str">
        <f aca="false">IF($D136="","",F136*M136+G136*N136)</f>
        <v/>
      </c>
      <c r="P136" s="26" t="str">
        <f aca="false">IF(OR($D136="",$J136&lt;&gt;"Supplier"),"",IFERROR(INDEX(SupplierRates!$D$5:$D$500,MATCH($K136&amp;"|"&amp;$L136,SupplierRates!$A$5:$A$500,0)),0))</f>
        <v/>
      </c>
      <c r="Q136" s="26" t="str">
        <f aca="false">IF(OR($D136="",$J136&lt;&gt;"Supplier"),"",IFERROR(INDEX(SupplierRates!$E$5:$E$500,MATCH($K136&amp;"|"&amp;$L136,SupplierRates!$A$5:$A$500,0)),0))</f>
        <v/>
      </c>
      <c r="R136" s="26" t="n">
        <f aca="false">IF(OR($D136="",$J136&lt;&gt;"Supplier"),0,F136*P136+G136*Q136)</f>
        <v>0</v>
      </c>
      <c r="S136" s="26" t="n">
        <f aca="false">IF(OR($D136="",$J136&lt;&gt;"Own"),0,IFERROR((F136+G136*Settings!$B$13)*INDEX(Workers!$V$5:$V$2004,MATCH($D136,Workers!$A$5:$A$2004,0)),0))</f>
        <v>0</v>
      </c>
      <c r="T136" s="26" t="str">
        <f aca="false">IF($D136="","",O136-R136-S136)</f>
        <v/>
      </c>
    </row>
    <row r="137" customFormat="false" ht="15" hidden="false" customHeight="false" outlineLevel="0" collapsed="false">
      <c r="I137" s="24" t="str">
        <f aca="false">IF($D137="","",IFERROR(INDEX(Workers!$B$5:$B$2004,MATCH($D137,Workers!$A$5:$A$2004,0)),"NOT FOUND"))</f>
        <v/>
      </c>
      <c r="J137" s="24" t="str">
        <f aca="false">IF($D137="","",IFERROR(INDEX(Workers!$C$5:$C$2004,MATCH($D137,Workers!$A$5:$A$2004,0)),""))</f>
        <v/>
      </c>
      <c r="K137" s="24" t="str">
        <f aca="false">IF($D137="","",IFERROR(IF(INDEX(Workers!$D$5:$D$2004,MATCH($D137,Workers!$A$5:$A$2004,0))=0,"",INDEX(Workers!$D$5:$D$2004,MATCH($D137,Workers!$A$5:$A$2004,0))),""))</f>
        <v/>
      </c>
      <c r="L137" s="24" t="str">
        <f aca="false">IF($D137="","",IFERROR(INDEX(Workers!$E$5:$E$2004,MATCH($D137,Workers!$A$5:$A$2004,0)),""))</f>
        <v/>
      </c>
      <c r="M137" s="26" t="str">
        <f aca="false">IF($D137="","",IFERROR(INDEX(ClientRates!$D$5:$D$500,MATCH($B137&amp;"|"&amp;$L137,ClientRates!$A$5:$A$500,0)),0))</f>
        <v/>
      </c>
      <c r="N137" s="26" t="str">
        <f aca="false">IF($D137="","",IFERROR(INDEX(ClientRates!$E$5:$E$500,MATCH($B137&amp;"|"&amp;$L137,ClientRates!$A$5:$A$500,0)),0))</f>
        <v/>
      </c>
      <c r="O137" s="26" t="str">
        <f aca="false">IF($D137="","",F137*M137+G137*N137)</f>
        <v/>
      </c>
      <c r="P137" s="26" t="str">
        <f aca="false">IF(OR($D137="",$J137&lt;&gt;"Supplier"),"",IFERROR(INDEX(SupplierRates!$D$5:$D$500,MATCH($K137&amp;"|"&amp;$L137,SupplierRates!$A$5:$A$500,0)),0))</f>
        <v/>
      </c>
      <c r="Q137" s="26" t="str">
        <f aca="false">IF(OR($D137="",$J137&lt;&gt;"Supplier"),"",IFERROR(INDEX(SupplierRates!$E$5:$E$500,MATCH($K137&amp;"|"&amp;$L137,SupplierRates!$A$5:$A$500,0)),0))</f>
        <v/>
      </c>
      <c r="R137" s="26" t="n">
        <f aca="false">IF(OR($D137="",$J137&lt;&gt;"Supplier"),0,F137*P137+G137*Q137)</f>
        <v>0</v>
      </c>
      <c r="S137" s="26" t="n">
        <f aca="false">IF(OR($D137="",$J137&lt;&gt;"Own"),0,IFERROR((F137+G137*Settings!$B$13)*INDEX(Workers!$V$5:$V$2004,MATCH($D137,Workers!$A$5:$A$2004,0)),0))</f>
        <v>0</v>
      </c>
      <c r="T137" s="26" t="str">
        <f aca="false">IF($D137="","",O137-R137-S137)</f>
        <v/>
      </c>
    </row>
    <row r="138" customFormat="false" ht="15" hidden="false" customHeight="false" outlineLevel="0" collapsed="false">
      <c r="I138" s="24" t="str">
        <f aca="false">IF($D138="","",IFERROR(INDEX(Workers!$B$5:$B$2004,MATCH($D138,Workers!$A$5:$A$2004,0)),"NOT FOUND"))</f>
        <v/>
      </c>
      <c r="J138" s="24" t="str">
        <f aca="false">IF($D138="","",IFERROR(INDEX(Workers!$C$5:$C$2004,MATCH($D138,Workers!$A$5:$A$2004,0)),""))</f>
        <v/>
      </c>
      <c r="K138" s="24" t="str">
        <f aca="false">IF($D138="","",IFERROR(IF(INDEX(Workers!$D$5:$D$2004,MATCH($D138,Workers!$A$5:$A$2004,0))=0,"",INDEX(Workers!$D$5:$D$2004,MATCH($D138,Workers!$A$5:$A$2004,0))),""))</f>
        <v/>
      </c>
      <c r="L138" s="24" t="str">
        <f aca="false">IF($D138="","",IFERROR(INDEX(Workers!$E$5:$E$2004,MATCH($D138,Workers!$A$5:$A$2004,0)),""))</f>
        <v/>
      </c>
      <c r="M138" s="26" t="str">
        <f aca="false">IF($D138="","",IFERROR(INDEX(ClientRates!$D$5:$D$500,MATCH($B138&amp;"|"&amp;$L138,ClientRates!$A$5:$A$500,0)),0))</f>
        <v/>
      </c>
      <c r="N138" s="26" t="str">
        <f aca="false">IF($D138="","",IFERROR(INDEX(ClientRates!$E$5:$E$500,MATCH($B138&amp;"|"&amp;$L138,ClientRates!$A$5:$A$500,0)),0))</f>
        <v/>
      </c>
      <c r="O138" s="26" t="str">
        <f aca="false">IF($D138="","",F138*M138+G138*N138)</f>
        <v/>
      </c>
      <c r="P138" s="26" t="str">
        <f aca="false">IF(OR($D138="",$J138&lt;&gt;"Supplier"),"",IFERROR(INDEX(SupplierRates!$D$5:$D$500,MATCH($K138&amp;"|"&amp;$L138,SupplierRates!$A$5:$A$500,0)),0))</f>
        <v/>
      </c>
      <c r="Q138" s="26" t="str">
        <f aca="false">IF(OR($D138="",$J138&lt;&gt;"Supplier"),"",IFERROR(INDEX(SupplierRates!$E$5:$E$500,MATCH($K138&amp;"|"&amp;$L138,SupplierRates!$A$5:$A$500,0)),0))</f>
        <v/>
      </c>
      <c r="R138" s="26" t="n">
        <f aca="false">IF(OR($D138="",$J138&lt;&gt;"Supplier"),0,F138*P138+G138*Q138)</f>
        <v>0</v>
      </c>
      <c r="S138" s="26" t="n">
        <f aca="false">IF(OR($D138="",$J138&lt;&gt;"Own"),0,IFERROR((F138+G138*Settings!$B$13)*INDEX(Workers!$V$5:$V$2004,MATCH($D138,Workers!$A$5:$A$2004,0)),0))</f>
        <v>0</v>
      </c>
      <c r="T138" s="26" t="str">
        <f aca="false">IF($D138="","",O138-R138-S138)</f>
        <v/>
      </c>
    </row>
    <row r="139" customFormat="false" ht="15" hidden="false" customHeight="false" outlineLevel="0" collapsed="false">
      <c r="I139" s="24" t="str">
        <f aca="false">IF($D139="","",IFERROR(INDEX(Workers!$B$5:$B$2004,MATCH($D139,Workers!$A$5:$A$2004,0)),"NOT FOUND"))</f>
        <v/>
      </c>
      <c r="J139" s="24" t="str">
        <f aca="false">IF($D139="","",IFERROR(INDEX(Workers!$C$5:$C$2004,MATCH($D139,Workers!$A$5:$A$2004,0)),""))</f>
        <v/>
      </c>
      <c r="K139" s="24" t="str">
        <f aca="false">IF($D139="","",IFERROR(IF(INDEX(Workers!$D$5:$D$2004,MATCH($D139,Workers!$A$5:$A$2004,0))=0,"",INDEX(Workers!$D$5:$D$2004,MATCH($D139,Workers!$A$5:$A$2004,0))),""))</f>
        <v/>
      </c>
      <c r="L139" s="24" t="str">
        <f aca="false">IF($D139="","",IFERROR(INDEX(Workers!$E$5:$E$2004,MATCH($D139,Workers!$A$5:$A$2004,0)),""))</f>
        <v/>
      </c>
      <c r="M139" s="26" t="str">
        <f aca="false">IF($D139="","",IFERROR(INDEX(ClientRates!$D$5:$D$500,MATCH($B139&amp;"|"&amp;$L139,ClientRates!$A$5:$A$500,0)),0))</f>
        <v/>
      </c>
      <c r="N139" s="26" t="str">
        <f aca="false">IF($D139="","",IFERROR(INDEX(ClientRates!$E$5:$E$500,MATCH($B139&amp;"|"&amp;$L139,ClientRates!$A$5:$A$500,0)),0))</f>
        <v/>
      </c>
      <c r="O139" s="26" t="str">
        <f aca="false">IF($D139="","",F139*M139+G139*N139)</f>
        <v/>
      </c>
      <c r="P139" s="26" t="str">
        <f aca="false">IF(OR($D139="",$J139&lt;&gt;"Supplier"),"",IFERROR(INDEX(SupplierRates!$D$5:$D$500,MATCH($K139&amp;"|"&amp;$L139,SupplierRates!$A$5:$A$500,0)),0))</f>
        <v/>
      </c>
      <c r="Q139" s="26" t="str">
        <f aca="false">IF(OR($D139="",$J139&lt;&gt;"Supplier"),"",IFERROR(INDEX(SupplierRates!$E$5:$E$500,MATCH($K139&amp;"|"&amp;$L139,SupplierRates!$A$5:$A$500,0)),0))</f>
        <v/>
      </c>
      <c r="R139" s="26" t="n">
        <f aca="false">IF(OR($D139="",$J139&lt;&gt;"Supplier"),0,F139*P139+G139*Q139)</f>
        <v>0</v>
      </c>
      <c r="S139" s="26" t="n">
        <f aca="false">IF(OR($D139="",$J139&lt;&gt;"Own"),0,IFERROR((F139+G139*Settings!$B$13)*INDEX(Workers!$V$5:$V$2004,MATCH($D139,Workers!$A$5:$A$2004,0)),0))</f>
        <v>0</v>
      </c>
      <c r="T139" s="26" t="str">
        <f aca="false">IF($D139="","",O139-R139-S139)</f>
        <v/>
      </c>
    </row>
    <row r="140" customFormat="false" ht="15" hidden="false" customHeight="false" outlineLevel="0" collapsed="false">
      <c r="I140" s="24" t="str">
        <f aca="false">IF($D140="","",IFERROR(INDEX(Workers!$B$5:$B$2004,MATCH($D140,Workers!$A$5:$A$2004,0)),"NOT FOUND"))</f>
        <v/>
      </c>
      <c r="J140" s="24" t="str">
        <f aca="false">IF($D140="","",IFERROR(INDEX(Workers!$C$5:$C$2004,MATCH($D140,Workers!$A$5:$A$2004,0)),""))</f>
        <v/>
      </c>
      <c r="K140" s="24" t="str">
        <f aca="false">IF($D140="","",IFERROR(IF(INDEX(Workers!$D$5:$D$2004,MATCH($D140,Workers!$A$5:$A$2004,0))=0,"",INDEX(Workers!$D$5:$D$2004,MATCH($D140,Workers!$A$5:$A$2004,0))),""))</f>
        <v/>
      </c>
      <c r="L140" s="24" t="str">
        <f aca="false">IF($D140="","",IFERROR(INDEX(Workers!$E$5:$E$2004,MATCH($D140,Workers!$A$5:$A$2004,0)),""))</f>
        <v/>
      </c>
      <c r="M140" s="26" t="str">
        <f aca="false">IF($D140="","",IFERROR(INDEX(ClientRates!$D$5:$D$500,MATCH($B140&amp;"|"&amp;$L140,ClientRates!$A$5:$A$500,0)),0))</f>
        <v/>
      </c>
      <c r="N140" s="26" t="str">
        <f aca="false">IF($D140="","",IFERROR(INDEX(ClientRates!$E$5:$E$500,MATCH($B140&amp;"|"&amp;$L140,ClientRates!$A$5:$A$500,0)),0))</f>
        <v/>
      </c>
      <c r="O140" s="26" t="str">
        <f aca="false">IF($D140="","",F140*M140+G140*N140)</f>
        <v/>
      </c>
      <c r="P140" s="26" t="str">
        <f aca="false">IF(OR($D140="",$J140&lt;&gt;"Supplier"),"",IFERROR(INDEX(SupplierRates!$D$5:$D$500,MATCH($K140&amp;"|"&amp;$L140,SupplierRates!$A$5:$A$500,0)),0))</f>
        <v/>
      </c>
      <c r="Q140" s="26" t="str">
        <f aca="false">IF(OR($D140="",$J140&lt;&gt;"Supplier"),"",IFERROR(INDEX(SupplierRates!$E$5:$E$500,MATCH($K140&amp;"|"&amp;$L140,SupplierRates!$A$5:$A$500,0)),0))</f>
        <v/>
      </c>
      <c r="R140" s="26" t="n">
        <f aca="false">IF(OR($D140="",$J140&lt;&gt;"Supplier"),0,F140*P140+G140*Q140)</f>
        <v>0</v>
      </c>
      <c r="S140" s="26" t="n">
        <f aca="false">IF(OR($D140="",$J140&lt;&gt;"Own"),0,IFERROR((F140+G140*Settings!$B$13)*INDEX(Workers!$V$5:$V$2004,MATCH($D140,Workers!$A$5:$A$2004,0)),0))</f>
        <v>0</v>
      </c>
      <c r="T140" s="26" t="str">
        <f aca="false">IF($D140="","",O140-R140-S140)</f>
        <v/>
      </c>
    </row>
    <row r="141" customFormat="false" ht="15" hidden="false" customHeight="false" outlineLevel="0" collapsed="false">
      <c r="I141" s="24" t="str">
        <f aca="false">IF($D141="","",IFERROR(INDEX(Workers!$B$5:$B$2004,MATCH($D141,Workers!$A$5:$A$2004,0)),"NOT FOUND"))</f>
        <v/>
      </c>
      <c r="J141" s="24" t="str">
        <f aca="false">IF($D141="","",IFERROR(INDEX(Workers!$C$5:$C$2004,MATCH($D141,Workers!$A$5:$A$2004,0)),""))</f>
        <v/>
      </c>
      <c r="K141" s="24" t="str">
        <f aca="false">IF($D141="","",IFERROR(IF(INDEX(Workers!$D$5:$D$2004,MATCH($D141,Workers!$A$5:$A$2004,0))=0,"",INDEX(Workers!$D$5:$D$2004,MATCH($D141,Workers!$A$5:$A$2004,0))),""))</f>
        <v/>
      </c>
      <c r="L141" s="24" t="str">
        <f aca="false">IF($D141="","",IFERROR(INDEX(Workers!$E$5:$E$2004,MATCH($D141,Workers!$A$5:$A$2004,0)),""))</f>
        <v/>
      </c>
      <c r="M141" s="26" t="str">
        <f aca="false">IF($D141="","",IFERROR(INDEX(ClientRates!$D$5:$D$500,MATCH($B141&amp;"|"&amp;$L141,ClientRates!$A$5:$A$500,0)),0))</f>
        <v/>
      </c>
      <c r="N141" s="26" t="str">
        <f aca="false">IF($D141="","",IFERROR(INDEX(ClientRates!$E$5:$E$500,MATCH($B141&amp;"|"&amp;$L141,ClientRates!$A$5:$A$500,0)),0))</f>
        <v/>
      </c>
      <c r="O141" s="26" t="str">
        <f aca="false">IF($D141="","",F141*M141+G141*N141)</f>
        <v/>
      </c>
      <c r="P141" s="26" t="str">
        <f aca="false">IF(OR($D141="",$J141&lt;&gt;"Supplier"),"",IFERROR(INDEX(SupplierRates!$D$5:$D$500,MATCH($K141&amp;"|"&amp;$L141,SupplierRates!$A$5:$A$500,0)),0))</f>
        <v/>
      </c>
      <c r="Q141" s="26" t="str">
        <f aca="false">IF(OR($D141="",$J141&lt;&gt;"Supplier"),"",IFERROR(INDEX(SupplierRates!$E$5:$E$500,MATCH($K141&amp;"|"&amp;$L141,SupplierRates!$A$5:$A$500,0)),0))</f>
        <v/>
      </c>
      <c r="R141" s="26" t="n">
        <f aca="false">IF(OR($D141="",$J141&lt;&gt;"Supplier"),0,F141*P141+G141*Q141)</f>
        <v>0</v>
      </c>
      <c r="S141" s="26" t="n">
        <f aca="false">IF(OR($D141="",$J141&lt;&gt;"Own"),0,IFERROR((F141+G141*Settings!$B$13)*INDEX(Workers!$V$5:$V$2004,MATCH($D141,Workers!$A$5:$A$2004,0)),0))</f>
        <v>0</v>
      </c>
      <c r="T141" s="26" t="str">
        <f aca="false">IF($D141="","",O141-R141-S141)</f>
        <v/>
      </c>
    </row>
    <row r="142" customFormat="false" ht="15" hidden="false" customHeight="false" outlineLevel="0" collapsed="false">
      <c r="I142" s="24" t="str">
        <f aca="false">IF($D142="","",IFERROR(INDEX(Workers!$B$5:$B$2004,MATCH($D142,Workers!$A$5:$A$2004,0)),"NOT FOUND"))</f>
        <v/>
      </c>
      <c r="J142" s="24" t="str">
        <f aca="false">IF($D142="","",IFERROR(INDEX(Workers!$C$5:$C$2004,MATCH($D142,Workers!$A$5:$A$2004,0)),""))</f>
        <v/>
      </c>
      <c r="K142" s="24" t="str">
        <f aca="false">IF($D142="","",IFERROR(IF(INDEX(Workers!$D$5:$D$2004,MATCH($D142,Workers!$A$5:$A$2004,0))=0,"",INDEX(Workers!$D$5:$D$2004,MATCH($D142,Workers!$A$5:$A$2004,0))),""))</f>
        <v/>
      </c>
      <c r="L142" s="24" t="str">
        <f aca="false">IF($D142="","",IFERROR(INDEX(Workers!$E$5:$E$2004,MATCH($D142,Workers!$A$5:$A$2004,0)),""))</f>
        <v/>
      </c>
      <c r="M142" s="26" t="str">
        <f aca="false">IF($D142="","",IFERROR(INDEX(ClientRates!$D$5:$D$500,MATCH($B142&amp;"|"&amp;$L142,ClientRates!$A$5:$A$500,0)),0))</f>
        <v/>
      </c>
      <c r="N142" s="26" t="str">
        <f aca="false">IF($D142="","",IFERROR(INDEX(ClientRates!$E$5:$E$500,MATCH($B142&amp;"|"&amp;$L142,ClientRates!$A$5:$A$500,0)),0))</f>
        <v/>
      </c>
      <c r="O142" s="26" t="str">
        <f aca="false">IF($D142="","",F142*M142+G142*N142)</f>
        <v/>
      </c>
      <c r="P142" s="26" t="str">
        <f aca="false">IF(OR($D142="",$J142&lt;&gt;"Supplier"),"",IFERROR(INDEX(SupplierRates!$D$5:$D$500,MATCH($K142&amp;"|"&amp;$L142,SupplierRates!$A$5:$A$500,0)),0))</f>
        <v/>
      </c>
      <c r="Q142" s="26" t="str">
        <f aca="false">IF(OR($D142="",$J142&lt;&gt;"Supplier"),"",IFERROR(INDEX(SupplierRates!$E$5:$E$500,MATCH($K142&amp;"|"&amp;$L142,SupplierRates!$A$5:$A$500,0)),0))</f>
        <v/>
      </c>
      <c r="R142" s="26" t="n">
        <f aca="false">IF(OR($D142="",$J142&lt;&gt;"Supplier"),0,F142*P142+G142*Q142)</f>
        <v>0</v>
      </c>
      <c r="S142" s="26" t="n">
        <f aca="false">IF(OR($D142="",$J142&lt;&gt;"Own"),0,IFERROR((F142+G142*Settings!$B$13)*INDEX(Workers!$V$5:$V$2004,MATCH($D142,Workers!$A$5:$A$2004,0)),0))</f>
        <v>0</v>
      </c>
      <c r="T142" s="26" t="str">
        <f aca="false">IF($D142="","",O142-R142-S142)</f>
        <v/>
      </c>
    </row>
    <row r="143" customFormat="false" ht="15" hidden="false" customHeight="false" outlineLevel="0" collapsed="false">
      <c r="I143" s="24" t="str">
        <f aca="false">IF($D143="","",IFERROR(INDEX(Workers!$B$5:$B$2004,MATCH($D143,Workers!$A$5:$A$2004,0)),"NOT FOUND"))</f>
        <v/>
      </c>
      <c r="J143" s="24" t="str">
        <f aca="false">IF($D143="","",IFERROR(INDEX(Workers!$C$5:$C$2004,MATCH($D143,Workers!$A$5:$A$2004,0)),""))</f>
        <v/>
      </c>
      <c r="K143" s="24" t="str">
        <f aca="false">IF($D143="","",IFERROR(IF(INDEX(Workers!$D$5:$D$2004,MATCH($D143,Workers!$A$5:$A$2004,0))=0,"",INDEX(Workers!$D$5:$D$2004,MATCH($D143,Workers!$A$5:$A$2004,0))),""))</f>
        <v/>
      </c>
      <c r="L143" s="24" t="str">
        <f aca="false">IF($D143="","",IFERROR(INDEX(Workers!$E$5:$E$2004,MATCH($D143,Workers!$A$5:$A$2004,0)),""))</f>
        <v/>
      </c>
      <c r="M143" s="26" t="str">
        <f aca="false">IF($D143="","",IFERROR(INDEX(ClientRates!$D$5:$D$500,MATCH($B143&amp;"|"&amp;$L143,ClientRates!$A$5:$A$500,0)),0))</f>
        <v/>
      </c>
      <c r="N143" s="26" t="str">
        <f aca="false">IF($D143="","",IFERROR(INDEX(ClientRates!$E$5:$E$500,MATCH($B143&amp;"|"&amp;$L143,ClientRates!$A$5:$A$500,0)),0))</f>
        <v/>
      </c>
      <c r="O143" s="26" t="str">
        <f aca="false">IF($D143="","",F143*M143+G143*N143)</f>
        <v/>
      </c>
      <c r="P143" s="26" t="str">
        <f aca="false">IF(OR($D143="",$J143&lt;&gt;"Supplier"),"",IFERROR(INDEX(SupplierRates!$D$5:$D$500,MATCH($K143&amp;"|"&amp;$L143,SupplierRates!$A$5:$A$500,0)),0))</f>
        <v/>
      </c>
      <c r="Q143" s="26" t="str">
        <f aca="false">IF(OR($D143="",$J143&lt;&gt;"Supplier"),"",IFERROR(INDEX(SupplierRates!$E$5:$E$500,MATCH($K143&amp;"|"&amp;$L143,SupplierRates!$A$5:$A$500,0)),0))</f>
        <v/>
      </c>
      <c r="R143" s="26" t="n">
        <f aca="false">IF(OR($D143="",$J143&lt;&gt;"Supplier"),0,F143*P143+G143*Q143)</f>
        <v>0</v>
      </c>
      <c r="S143" s="26" t="n">
        <f aca="false">IF(OR($D143="",$J143&lt;&gt;"Own"),0,IFERROR((F143+G143*Settings!$B$13)*INDEX(Workers!$V$5:$V$2004,MATCH($D143,Workers!$A$5:$A$2004,0)),0))</f>
        <v>0</v>
      </c>
      <c r="T143" s="26" t="str">
        <f aca="false">IF($D143="","",O143-R143-S143)</f>
        <v/>
      </c>
    </row>
    <row r="144" customFormat="false" ht="15" hidden="false" customHeight="false" outlineLevel="0" collapsed="false">
      <c r="I144" s="24" t="str">
        <f aca="false">IF($D144="","",IFERROR(INDEX(Workers!$B$5:$B$2004,MATCH($D144,Workers!$A$5:$A$2004,0)),"NOT FOUND"))</f>
        <v/>
      </c>
      <c r="J144" s="24" t="str">
        <f aca="false">IF($D144="","",IFERROR(INDEX(Workers!$C$5:$C$2004,MATCH($D144,Workers!$A$5:$A$2004,0)),""))</f>
        <v/>
      </c>
      <c r="K144" s="24" t="str">
        <f aca="false">IF($D144="","",IFERROR(IF(INDEX(Workers!$D$5:$D$2004,MATCH($D144,Workers!$A$5:$A$2004,0))=0,"",INDEX(Workers!$D$5:$D$2004,MATCH($D144,Workers!$A$5:$A$2004,0))),""))</f>
        <v/>
      </c>
      <c r="L144" s="24" t="str">
        <f aca="false">IF($D144="","",IFERROR(INDEX(Workers!$E$5:$E$2004,MATCH($D144,Workers!$A$5:$A$2004,0)),""))</f>
        <v/>
      </c>
      <c r="M144" s="26" t="str">
        <f aca="false">IF($D144="","",IFERROR(INDEX(ClientRates!$D$5:$D$500,MATCH($B144&amp;"|"&amp;$L144,ClientRates!$A$5:$A$500,0)),0))</f>
        <v/>
      </c>
      <c r="N144" s="26" t="str">
        <f aca="false">IF($D144="","",IFERROR(INDEX(ClientRates!$E$5:$E$500,MATCH($B144&amp;"|"&amp;$L144,ClientRates!$A$5:$A$500,0)),0))</f>
        <v/>
      </c>
      <c r="O144" s="26" t="str">
        <f aca="false">IF($D144="","",F144*M144+G144*N144)</f>
        <v/>
      </c>
      <c r="P144" s="26" t="str">
        <f aca="false">IF(OR($D144="",$J144&lt;&gt;"Supplier"),"",IFERROR(INDEX(SupplierRates!$D$5:$D$500,MATCH($K144&amp;"|"&amp;$L144,SupplierRates!$A$5:$A$500,0)),0))</f>
        <v/>
      </c>
      <c r="Q144" s="26" t="str">
        <f aca="false">IF(OR($D144="",$J144&lt;&gt;"Supplier"),"",IFERROR(INDEX(SupplierRates!$E$5:$E$500,MATCH($K144&amp;"|"&amp;$L144,SupplierRates!$A$5:$A$500,0)),0))</f>
        <v/>
      </c>
      <c r="R144" s="26" t="n">
        <f aca="false">IF(OR($D144="",$J144&lt;&gt;"Supplier"),0,F144*P144+G144*Q144)</f>
        <v>0</v>
      </c>
      <c r="S144" s="26" t="n">
        <f aca="false">IF(OR($D144="",$J144&lt;&gt;"Own"),0,IFERROR((F144+G144*Settings!$B$13)*INDEX(Workers!$V$5:$V$2004,MATCH($D144,Workers!$A$5:$A$2004,0)),0))</f>
        <v>0</v>
      </c>
      <c r="T144" s="26" t="str">
        <f aca="false">IF($D144="","",O144-R144-S144)</f>
        <v/>
      </c>
    </row>
    <row r="145" customFormat="false" ht="15" hidden="false" customHeight="false" outlineLevel="0" collapsed="false">
      <c r="I145" s="24" t="str">
        <f aca="false">IF($D145="","",IFERROR(INDEX(Workers!$B$5:$B$2004,MATCH($D145,Workers!$A$5:$A$2004,0)),"NOT FOUND"))</f>
        <v/>
      </c>
      <c r="J145" s="24" t="str">
        <f aca="false">IF($D145="","",IFERROR(INDEX(Workers!$C$5:$C$2004,MATCH($D145,Workers!$A$5:$A$2004,0)),""))</f>
        <v/>
      </c>
      <c r="K145" s="24" t="str">
        <f aca="false">IF($D145="","",IFERROR(IF(INDEX(Workers!$D$5:$D$2004,MATCH($D145,Workers!$A$5:$A$2004,0))=0,"",INDEX(Workers!$D$5:$D$2004,MATCH($D145,Workers!$A$5:$A$2004,0))),""))</f>
        <v/>
      </c>
      <c r="L145" s="24" t="str">
        <f aca="false">IF($D145="","",IFERROR(INDEX(Workers!$E$5:$E$2004,MATCH($D145,Workers!$A$5:$A$2004,0)),""))</f>
        <v/>
      </c>
      <c r="M145" s="26" t="str">
        <f aca="false">IF($D145="","",IFERROR(INDEX(ClientRates!$D$5:$D$500,MATCH($B145&amp;"|"&amp;$L145,ClientRates!$A$5:$A$500,0)),0))</f>
        <v/>
      </c>
      <c r="N145" s="26" t="str">
        <f aca="false">IF($D145="","",IFERROR(INDEX(ClientRates!$E$5:$E$500,MATCH($B145&amp;"|"&amp;$L145,ClientRates!$A$5:$A$500,0)),0))</f>
        <v/>
      </c>
      <c r="O145" s="26" t="str">
        <f aca="false">IF($D145="","",F145*M145+G145*N145)</f>
        <v/>
      </c>
      <c r="P145" s="26" t="str">
        <f aca="false">IF(OR($D145="",$J145&lt;&gt;"Supplier"),"",IFERROR(INDEX(SupplierRates!$D$5:$D$500,MATCH($K145&amp;"|"&amp;$L145,SupplierRates!$A$5:$A$500,0)),0))</f>
        <v/>
      </c>
      <c r="Q145" s="26" t="str">
        <f aca="false">IF(OR($D145="",$J145&lt;&gt;"Supplier"),"",IFERROR(INDEX(SupplierRates!$E$5:$E$500,MATCH($K145&amp;"|"&amp;$L145,SupplierRates!$A$5:$A$500,0)),0))</f>
        <v/>
      </c>
      <c r="R145" s="26" t="n">
        <f aca="false">IF(OR($D145="",$J145&lt;&gt;"Supplier"),0,F145*P145+G145*Q145)</f>
        <v>0</v>
      </c>
      <c r="S145" s="26" t="n">
        <f aca="false">IF(OR($D145="",$J145&lt;&gt;"Own"),0,IFERROR((F145+G145*Settings!$B$13)*INDEX(Workers!$V$5:$V$2004,MATCH($D145,Workers!$A$5:$A$2004,0)),0))</f>
        <v>0</v>
      </c>
      <c r="T145" s="26" t="str">
        <f aca="false">IF($D145="","",O145-R145-S145)</f>
        <v/>
      </c>
    </row>
    <row r="146" customFormat="false" ht="15" hidden="false" customHeight="false" outlineLevel="0" collapsed="false">
      <c r="I146" s="24" t="str">
        <f aca="false">IF($D146="","",IFERROR(INDEX(Workers!$B$5:$B$2004,MATCH($D146,Workers!$A$5:$A$2004,0)),"NOT FOUND"))</f>
        <v/>
      </c>
      <c r="J146" s="24" t="str">
        <f aca="false">IF($D146="","",IFERROR(INDEX(Workers!$C$5:$C$2004,MATCH($D146,Workers!$A$5:$A$2004,0)),""))</f>
        <v/>
      </c>
      <c r="K146" s="24" t="str">
        <f aca="false">IF($D146="","",IFERROR(IF(INDEX(Workers!$D$5:$D$2004,MATCH($D146,Workers!$A$5:$A$2004,0))=0,"",INDEX(Workers!$D$5:$D$2004,MATCH($D146,Workers!$A$5:$A$2004,0))),""))</f>
        <v/>
      </c>
      <c r="L146" s="24" t="str">
        <f aca="false">IF($D146="","",IFERROR(INDEX(Workers!$E$5:$E$2004,MATCH($D146,Workers!$A$5:$A$2004,0)),""))</f>
        <v/>
      </c>
      <c r="M146" s="26" t="str">
        <f aca="false">IF($D146="","",IFERROR(INDEX(ClientRates!$D$5:$D$500,MATCH($B146&amp;"|"&amp;$L146,ClientRates!$A$5:$A$500,0)),0))</f>
        <v/>
      </c>
      <c r="N146" s="26" t="str">
        <f aca="false">IF($D146="","",IFERROR(INDEX(ClientRates!$E$5:$E$500,MATCH($B146&amp;"|"&amp;$L146,ClientRates!$A$5:$A$500,0)),0))</f>
        <v/>
      </c>
      <c r="O146" s="26" t="str">
        <f aca="false">IF($D146="","",F146*M146+G146*N146)</f>
        <v/>
      </c>
      <c r="P146" s="26" t="str">
        <f aca="false">IF(OR($D146="",$J146&lt;&gt;"Supplier"),"",IFERROR(INDEX(SupplierRates!$D$5:$D$500,MATCH($K146&amp;"|"&amp;$L146,SupplierRates!$A$5:$A$500,0)),0))</f>
        <v/>
      </c>
      <c r="Q146" s="26" t="str">
        <f aca="false">IF(OR($D146="",$J146&lt;&gt;"Supplier"),"",IFERROR(INDEX(SupplierRates!$E$5:$E$500,MATCH($K146&amp;"|"&amp;$L146,SupplierRates!$A$5:$A$500,0)),0))</f>
        <v/>
      </c>
      <c r="R146" s="26" t="n">
        <f aca="false">IF(OR($D146="",$J146&lt;&gt;"Supplier"),0,F146*P146+G146*Q146)</f>
        <v>0</v>
      </c>
      <c r="S146" s="26" t="n">
        <f aca="false">IF(OR($D146="",$J146&lt;&gt;"Own"),0,IFERROR((F146+G146*Settings!$B$13)*INDEX(Workers!$V$5:$V$2004,MATCH($D146,Workers!$A$5:$A$2004,0)),0))</f>
        <v>0</v>
      </c>
      <c r="T146" s="26" t="str">
        <f aca="false">IF($D146="","",O146-R146-S146)</f>
        <v/>
      </c>
    </row>
    <row r="147" customFormat="false" ht="15" hidden="false" customHeight="false" outlineLevel="0" collapsed="false">
      <c r="I147" s="24" t="str">
        <f aca="false">IF($D147="","",IFERROR(INDEX(Workers!$B$5:$B$2004,MATCH($D147,Workers!$A$5:$A$2004,0)),"NOT FOUND"))</f>
        <v/>
      </c>
      <c r="J147" s="24" t="str">
        <f aca="false">IF($D147="","",IFERROR(INDEX(Workers!$C$5:$C$2004,MATCH($D147,Workers!$A$5:$A$2004,0)),""))</f>
        <v/>
      </c>
      <c r="K147" s="24" t="str">
        <f aca="false">IF($D147="","",IFERROR(IF(INDEX(Workers!$D$5:$D$2004,MATCH($D147,Workers!$A$5:$A$2004,0))=0,"",INDEX(Workers!$D$5:$D$2004,MATCH($D147,Workers!$A$5:$A$2004,0))),""))</f>
        <v/>
      </c>
      <c r="L147" s="24" t="str">
        <f aca="false">IF($D147="","",IFERROR(INDEX(Workers!$E$5:$E$2004,MATCH($D147,Workers!$A$5:$A$2004,0)),""))</f>
        <v/>
      </c>
      <c r="M147" s="26" t="str">
        <f aca="false">IF($D147="","",IFERROR(INDEX(ClientRates!$D$5:$D$500,MATCH($B147&amp;"|"&amp;$L147,ClientRates!$A$5:$A$500,0)),0))</f>
        <v/>
      </c>
      <c r="N147" s="26" t="str">
        <f aca="false">IF($D147="","",IFERROR(INDEX(ClientRates!$E$5:$E$500,MATCH($B147&amp;"|"&amp;$L147,ClientRates!$A$5:$A$500,0)),0))</f>
        <v/>
      </c>
      <c r="O147" s="26" t="str">
        <f aca="false">IF($D147="","",F147*M147+G147*N147)</f>
        <v/>
      </c>
      <c r="P147" s="26" t="str">
        <f aca="false">IF(OR($D147="",$J147&lt;&gt;"Supplier"),"",IFERROR(INDEX(SupplierRates!$D$5:$D$500,MATCH($K147&amp;"|"&amp;$L147,SupplierRates!$A$5:$A$500,0)),0))</f>
        <v/>
      </c>
      <c r="Q147" s="26" t="str">
        <f aca="false">IF(OR($D147="",$J147&lt;&gt;"Supplier"),"",IFERROR(INDEX(SupplierRates!$E$5:$E$500,MATCH($K147&amp;"|"&amp;$L147,SupplierRates!$A$5:$A$500,0)),0))</f>
        <v/>
      </c>
      <c r="R147" s="26" t="n">
        <f aca="false">IF(OR($D147="",$J147&lt;&gt;"Supplier"),0,F147*P147+G147*Q147)</f>
        <v>0</v>
      </c>
      <c r="S147" s="26" t="n">
        <f aca="false">IF(OR($D147="",$J147&lt;&gt;"Own"),0,IFERROR((F147+G147*Settings!$B$13)*INDEX(Workers!$V$5:$V$2004,MATCH($D147,Workers!$A$5:$A$2004,0)),0))</f>
        <v>0</v>
      </c>
      <c r="T147" s="26" t="str">
        <f aca="false">IF($D147="","",O147-R147-S147)</f>
        <v/>
      </c>
    </row>
    <row r="148" customFormat="false" ht="15" hidden="false" customHeight="false" outlineLevel="0" collapsed="false">
      <c r="I148" s="24" t="str">
        <f aca="false">IF($D148="","",IFERROR(INDEX(Workers!$B$5:$B$2004,MATCH($D148,Workers!$A$5:$A$2004,0)),"NOT FOUND"))</f>
        <v/>
      </c>
      <c r="J148" s="24" t="str">
        <f aca="false">IF($D148="","",IFERROR(INDEX(Workers!$C$5:$C$2004,MATCH($D148,Workers!$A$5:$A$2004,0)),""))</f>
        <v/>
      </c>
      <c r="K148" s="24" t="str">
        <f aca="false">IF($D148="","",IFERROR(IF(INDEX(Workers!$D$5:$D$2004,MATCH($D148,Workers!$A$5:$A$2004,0))=0,"",INDEX(Workers!$D$5:$D$2004,MATCH($D148,Workers!$A$5:$A$2004,0))),""))</f>
        <v/>
      </c>
      <c r="L148" s="24" t="str">
        <f aca="false">IF($D148="","",IFERROR(INDEX(Workers!$E$5:$E$2004,MATCH($D148,Workers!$A$5:$A$2004,0)),""))</f>
        <v/>
      </c>
      <c r="M148" s="26" t="str">
        <f aca="false">IF($D148="","",IFERROR(INDEX(ClientRates!$D$5:$D$500,MATCH($B148&amp;"|"&amp;$L148,ClientRates!$A$5:$A$500,0)),0))</f>
        <v/>
      </c>
      <c r="N148" s="26" t="str">
        <f aca="false">IF($D148="","",IFERROR(INDEX(ClientRates!$E$5:$E$500,MATCH($B148&amp;"|"&amp;$L148,ClientRates!$A$5:$A$500,0)),0))</f>
        <v/>
      </c>
      <c r="O148" s="26" t="str">
        <f aca="false">IF($D148="","",F148*M148+G148*N148)</f>
        <v/>
      </c>
      <c r="P148" s="26" t="str">
        <f aca="false">IF(OR($D148="",$J148&lt;&gt;"Supplier"),"",IFERROR(INDEX(SupplierRates!$D$5:$D$500,MATCH($K148&amp;"|"&amp;$L148,SupplierRates!$A$5:$A$500,0)),0))</f>
        <v/>
      </c>
      <c r="Q148" s="26" t="str">
        <f aca="false">IF(OR($D148="",$J148&lt;&gt;"Supplier"),"",IFERROR(INDEX(SupplierRates!$E$5:$E$500,MATCH($K148&amp;"|"&amp;$L148,SupplierRates!$A$5:$A$500,0)),0))</f>
        <v/>
      </c>
      <c r="R148" s="26" t="n">
        <f aca="false">IF(OR($D148="",$J148&lt;&gt;"Supplier"),0,F148*P148+G148*Q148)</f>
        <v>0</v>
      </c>
      <c r="S148" s="26" t="n">
        <f aca="false">IF(OR($D148="",$J148&lt;&gt;"Own"),0,IFERROR((F148+G148*Settings!$B$13)*INDEX(Workers!$V$5:$V$2004,MATCH($D148,Workers!$A$5:$A$2004,0)),0))</f>
        <v>0</v>
      </c>
      <c r="T148" s="26" t="str">
        <f aca="false">IF($D148="","",O148-R148-S148)</f>
        <v/>
      </c>
    </row>
    <row r="149" customFormat="false" ht="15" hidden="false" customHeight="false" outlineLevel="0" collapsed="false">
      <c r="I149" s="24" t="str">
        <f aca="false">IF($D149="","",IFERROR(INDEX(Workers!$B$5:$B$2004,MATCH($D149,Workers!$A$5:$A$2004,0)),"NOT FOUND"))</f>
        <v/>
      </c>
      <c r="J149" s="24" t="str">
        <f aca="false">IF($D149="","",IFERROR(INDEX(Workers!$C$5:$C$2004,MATCH($D149,Workers!$A$5:$A$2004,0)),""))</f>
        <v/>
      </c>
      <c r="K149" s="24" t="str">
        <f aca="false">IF($D149="","",IFERROR(IF(INDEX(Workers!$D$5:$D$2004,MATCH($D149,Workers!$A$5:$A$2004,0))=0,"",INDEX(Workers!$D$5:$D$2004,MATCH($D149,Workers!$A$5:$A$2004,0))),""))</f>
        <v/>
      </c>
      <c r="L149" s="24" t="str">
        <f aca="false">IF($D149="","",IFERROR(INDEX(Workers!$E$5:$E$2004,MATCH($D149,Workers!$A$5:$A$2004,0)),""))</f>
        <v/>
      </c>
      <c r="M149" s="26" t="str">
        <f aca="false">IF($D149="","",IFERROR(INDEX(ClientRates!$D$5:$D$500,MATCH($B149&amp;"|"&amp;$L149,ClientRates!$A$5:$A$500,0)),0))</f>
        <v/>
      </c>
      <c r="N149" s="26" t="str">
        <f aca="false">IF($D149="","",IFERROR(INDEX(ClientRates!$E$5:$E$500,MATCH($B149&amp;"|"&amp;$L149,ClientRates!$A$5:$A$500,0)),0))</f>
        <v/>
      </c>
      <c r="O149" s="26" t="str">
        <f aca="false">IF($D149="","",F149*M149+G149*N149)</f>
        <v/>
      </c>
      <c r="P149" s="26" t="str">
        <f aca="false">IF(OR($D149="",$J149&lt;&gt;"Supplier"),"",IFERROR(INDEX(SupplierRates!$D$5:$D$500,MATCH($K149&amp;"|"&amp;$L149,SupplierRates!$A$5:$A$500,0)),0))</f>
        <v/>
      </c>
      <c r="Q149" s="26" t="str">
        <f aca="false">IF(OR($D149="",$J149&lt;&gt;"Supplier"),"",IFERROR(INDEX(SupplierRates!$E$5:$E$500,MATCH($K149&amp;"|"&amp;$L149,SupplierRates!$A$5:$A$500,0)),0))</f>
        <v/>
      </c>
      <c r="R149" s="26" t="n">
        <f aca="false">IF(OR($D149="",$J149&lt;&gt;"Supplier"),0,F149*P149+G149*Q149)</f>
        <v>0</v>
      </c>
      <c r="S149" s="26" t="n">
        <f aca="false">IF(OR($D149="",$J149&lt;&gt;"Own"),0,IFERROR((F149+G149*Settings!$B$13)*INDEX(Workers!$V$5:$V$2004,MATCH($D149,Workers!$A$5:$A$2004,0)),0))</f>
        <v>0</v>
      </c>
      <c r="T149" s="26" t="str">
        <f aca="false">IF($D149="","",O149-R149-S149)</f>
        <v/>
      </c>
    </row>
    <row r="150" customFormat="false" ht="15" hidden="false" customHeight="false" outlineLevel="0" collapsed="false">
      <c r="I150" s="24" t="str">
        <f aca="false">IF($D150="","",IFERROR(INDEX(Workers!$B$5:$B$2004,MATCH($D150,Workers!$A$5:$A$2004,0)),"NOT FOUND"))</f>
        <v/>
      </c>
      <c r="J150" s="24" t="str">
        <f aca="false">IF($D150="","",IFERROR(INDEX(Workers!$C$5:$C$2004,MATCH($D150,Workers!$A$5:$A$2004,0)),""))</f>
        <v/>
      </c>
      <c r="K150" s="24" t="str">
        <f aca="false">IF($D150="","",IFERROR(IF(INDEX(Workers!$D$5:$D$2004,MATCH($D150,Workers!$A$5:$A$2004,0))=0,"",INDEX(Workers!$D$5:$D$2004,MATCH($D150,Workers!$A$5:$A$2004,0))),""))</f>
        <v/>
      </c>
      <c r="L150" s="24" t="str">
        <f aca="false">IF($D150="","",IFERROR(INDEX(Workers!$E$5:$E$2004,MATCH($D150,Workers!$A$5:$A$2004,0)),""))</f>
        <v/>
      </c>
      <c r="M150" s="26" t="str">
        <f aca="false">IF($D150="","",IFERROR(INDEX(ClientRates!$D$5:$D$500,MATCH($B150&amp;"|"&amp;$L150,ClientRates!$A$5:$A$500,0)),0))</f>
        <v/>
      </c>
      <c r="N150" s="26" t="str">
        <f aca="false">IF($D150="","",IFERROR(INDEX(ClientRates!$E$5:$E$500,MATCH($B150&amp;"|"&amp;$L150,ClientRates!$A$5:$A$500,0)),0))</f>
        <v/>
      </c>
      <c r="O150" s="26" t="str">
        <f aca="false">IF($D150="","",F150*M150+G150*N150)</f>
        <v/>
      </c>
      <c r="P150" s="26" t="str">
        <f aca="false">IF(OR($D150="",$J150&lt;&gt;"Supplier"),"",IFERROR(INDEX(SupplierRates!$D$5:$D$500,MATCH($K150&amp;"|"&amp;$L150,SupplierRates!$A$5:$A$500,0)),0))</f>
        <v/>
      </c>
      <c r="Q150" s="26" t="str">
        <f aca="false">IF(OR($D150="",$J150&lt;&gt;"Supplier"),"",IFERROR(INDEX(SupplierRates!$E$5:$E$500,MATCH($K150&amp;"|"&amp;$L150,SupplierRates!$A$5:$A$500,0)),0))</f>
        <v/>
      </c>
      <c r="R150" s="26" t="n">
        <f aca="false">IF(OR($D150="",$J150&lt;&gt;"Supplier"),0,F150*P150+G150*Q150)</f>
        <v>0</v>
      </c>
      <c r="S150" s="26" t="n">
        <f aca="false">IF(OR($D150="",$J150&lt;&gt;"Own"),0,IFERROR((F150+G150*Settings!$B$13)*INDEX(Workers!$V$5:$V$2004,MATCH($D150,Workers!$A$5:$A$2004,0)),0))</f>
        <v>0</v>
      </c>
      <c r="T150" s="26" t="str">
        <f aca="false">IF($D150="","",O150-R150-S150)</f>
        <v/>
      </c>
    </row>
    <row r="151" customFormat="false" ht="15" hidden="false" customHeight="false" outlineLevel="0" collapsed="false">
      <c r="I151" s="24" t="str">
        <f aca="false">IF($D151="","",IFERROR(INDEX(Workers!$B$5:$B$2004,MATCH($D151,Workers!$A$5:$A$2004,0)),"NOT FOUND"))</f>
        <v/>
      </c>
      <c r="J151" s="24" t="str">
        <f aca="false">IF($D151="","",IFERROR(INDEX(Workers!$C$5:$C$2004,MATCH($D151,Workers!$A$5:$A$2004,0)),""))</f>
        <v/>
      </c>
      <c r="K151" s="24" t="str">
        <f aca="false">IF($D151="","",IFERROR(IF(INDEX(Workers!$D$5:$D$2004,MATCH($D151,Workers!$A$5:$A$2004,0))=0,"",INDEX(Workers!$D$5:$D$2004,MATCH($D151,Workers!$A$5:$A$2004,0))),""))</f>
        <v/>
      </c>
      <c r="L151" s="24" t="str">
        <f aca="false">IF($D151="","",IFERROR(INDEX(Workers!$E$5:$E$2004,MATCH($D151,Workers!$A$5:$A$2004,0)),""))</f>
        <v/>
      </c>
      <c r="M151" s="26" t="str">
        <f aca="false">IF($D151="","",IFERROR(INDEX(ClientRates!$D$5:$D$500,MATCH($B151&amp;"|"&amp;$L151,ClientRates!$A$5:$A$500,0)),0))</f>
        <v/>
      </c>
      <c r="N151" s="26" t="str">
        <f aca="false">IF($D151="","",IFERROR(INDEX(ClientRates!$E$5:$E$500,MATCH($B151&amp;"|"&amp;$L151,ClientRates!$A$5:$A$500,0)),0))</f>
        <v/>
      </c>
      <c r="O151" s="26" t="str">
        <f aca="false">IF($D151="","",F151*M151+G151*N151)</f>
        <v/>
      </c>
      <c r="P151" s="26" t="str">
        <f aca="false">IF(OR($D151="",$J151&lt;&gt;"Supplier"),"",IFERROR(INDEX(SupplierRates!$D$5:$D$500,MATCH($K151&amp;"|"&amp;$L151,SupplierRates!$A$5:$A$500,0)),0))</f>
        <v/>
      </c>
      <c r="Q151" s="26" t="str">
        <f aca="false">IF(OR($D151="",$J151&lt;&gt;"Supplier"),"",IFERROR(INDEX(SupplierRates!$E$5:$E$500,MATCH($K151&amp;"|"&amp;$L151,SupplierRates!$A$5:$A$500,0)),0))</f>
        <v/>
      </c>
      <c r="R151" s="26" t="n">
        <f aca="false">IF(OR($D151="",$J151&lt;&gt;"Supplier"),0,F151*P151+G151*Q151)</f>
        <v>0</v>
      </c>
      <c r="S151" s="26" t="n">
        <f aca="false">IF(OR($D151="",$J151&lt;&gt;"Own"),0,IFERROR((F151+G151*Settings!$B$13)*INDEX(Workers!$V$5:$V$2004,MATCH($D151,Workers!$A$5:$A$2004,0)),0))</f>
        <v>0</v>
      </c>
      <c r="T151" s="26" t="str">
        <f aca="false">IF($D151="","",O151-R151-S151)</f>
        <v/>
      </c>
    </row>
    <row r="152" customFormat="false" ht="15" hidden="false" customHeight="false" outlineLevel="0" collapsed="false">
      <c r="I152" s="24" t="str">
        <f aca="false">IF($D152="","",IFERROR(INDEX(Workers!$B$5:$B$2004,MATCH($D152,Workers!$A$5:$A$2004,0)),"NOT FOUND"))</f>
        <v/>
      </c>
      <c r="J152" s="24" t="str">
        <f aca="false">IF($D152="","",IFERROR(INDEX(Workers!$C$5:$C$2004,MATCH($D152,Workers!$A$5:$A$2004,0)),""))</f>
        <v/>
      </c>
      <c r="K152" s="24" t="str">
        <f aca="false">IF($D152="","",IFERROR(IF(INDEX(Workers!$D$5:$D$2004,MATCH($D152,Workers!$A$5:$A$2004,0))=0,"",INDEX(Workers!$D$5:$D$2004,MATCH($D152,Workers!$A$5:$A$2004,0))),""))</f>
        <v/>
      </c>
      <c r="L152" s="24" t="str">
        <f aca="false">IF($D152="","",IFERROR(INDEX(Workers!$E$5:$E$2004,MATCH($D152,Workers!$A$5:$A$2004,0)),""))</f>
        <v/>
      </c>
      <c r="M152" s="26" t="str">
        <f aca="false">IF($D152="","",IFERROR(INDEX(ClientRates!$D$5:$D$500,MATCH($B152&amp;"|"&amp;$L152,ClientRates!$A$5:$A$500,0)),0))</f>
        <v/>
      </c>
      <c r="N152" s="26" t="str">
        <f aca="false">IF($D152="","",IFERROR(INDEX(ClientRates!$E$5:$E$500,MATCH($B152&amp;"|"&amp;$L152,ClientRates!$A$5:$A$500,0)),0))</f>
        <v/>
      </c>
      <c r="O152" s="26" t="str">
        <f aca="false">IF($D152="","",F152*M152+G152*N152)</f>
        <v/>
      </c>
      <c r="P152" s="26" t="str">
        <f aca="false">IF(OR($D152="",$J152&lt;&gt;"Supplier"),"",IFERROR(INDEX(SupplierRates!$D$5:$D$500,MATCH($K152&amp;"|"&amp;$L152,SupplierRates!$A$5:$A$500,0)),0))</f>
        <v/>
      </c>
      <c r="Q152" s="26" t="str">
        <f aca="false">IF(OR($D152="",$J152&lt;&gt;"Supplier"),"",IFERROR(INDEX(SupplierRates!$E$5:$E$500,MATCH($K152&amp;"|"&amp;$L152,SupplierRates!$A$5:$A$500,0)),0))</f>
        <v/>
      </c>
      <c r="R152" s="26" t="n">
        <f aca="false">IF(OR($D152="",$J152&lt;&gt;"Supplier"),0,F152*P152+G152*Q152)</f>
        <v>0</v>
      </c>
      <c r="S152" s="26" t="n">
        <f aca="false">IF(OR($D152="",$J152&lt;&gt;"Own"),0,IFERROR((F152+G152*Settings!$B$13)*INDEX(Workers!$V$5:$V$2004,MATCH($D152,Workers!$A$5:$A$2004,0)),0))</f>
        <v>0</v>
      </c>
      <c r="T152" s="26" t="str">
        <f aca="false">IF($D152="","",O152-R152-S152)</f>
        <v/>
      </c>
    </row>
    <row r="153" customFormat="false" ht="15" hidden="false" customHeight="false" outlineLevel="0" collapsed="false">
      <c r="I153" s="24" t="str">
        <f aca="false">IF($D153="","",IFERROR(INDEX(Workers!$B$5:$B$2004,MATCH($D153,Workers!$A$5:$A$2004,0)),"NOT FOUND"))</f>
        <v/>
      </c>
      <c r="J153" s="24" t="str">
        <f aca="false">IF($D153="","",IFERROR(INDEX(Workers!$C$5:$C$2004,MATCH($D153,Workers!$A$5:$A$2004,0)),""))</f>
        <v/>
      </c>
      <c r="K153" s="24" t="str">
        <f aca="false">IF($D153="","",IFERROR(IF(INDEX(Workers!$D$5:$D$2004,MATCH($D153,Workers!$A$5:$A$2004,0))=0,"",INDEX(Workers!$D$5:$D$2004,MATCH($D153,Workers!$A$5:$A$2004,0))),""))</f>
        <v/>
      </c>
      <c r="L153" s="24" t="str">
        <f aca="false">IF($D153="","",IFERROR(INDEX(Workers!$E$5:$E$2004,MATCH($D153,Workers!$A$5:$A$2004,0)),""))</f>
        <v/>
      </c>
      <c r="M153" s="26" t="str">
        <f aca="false">IF($D153="","",IFERROR(INDEX(ClientRates!$D$5:$D$500,MATCH($B153&amp;"|"&amp;$L153,ClientRates!$A$5:$A$500,0)),0))</f>
        <v/>
      </c>
      <c r="N153" s="26" t="str">
        <f aca="false">IF($D153="","",IFERROR(INDEX(ClientRates!$E$5:$E$500,MATCH($B153&amp;"|"&amp;$L153,ClientRates!$A$5:$A$500,0)),0))</f>
        <v/>
      </c>
      <c r="O153" s="26" t="str">
        <f aca="false">IF($D153="","",F153*M153+G153*N153)</f>
        <v/>
      </c>
      <c r="P153" s="26" t="str">
        <f aca="false">IF(OR($D153="",$J153&lt;&gt;"Supplier"),"",IFERROR(INDEX(SupplierRates!$D$5:$D$500,MATCH($K153&amp;"|"&amp;$L153,SupplierRates!$A$5:$A$500,0)),0))</f>
        <v/>
      </c>
      <c r="Q153" s="26" t="str">
        <f aca="false">IF(OR($D153="",$J153&lt;&gt;"Supplier"),"",IFERROR(INDEX(SupplierRates!$E$5:$E$500,MATCH($K153&amp;"|"&amp;$L153,SupplierRates!$A$5:$A$500,0)),0))</f>
        <v/>
      </c>
      <c r="R153" s="26" t="n">
        <f aca="false">IF(OR($D153="",$J153&lt;&gt;"Supplier"),0,F153*P153+G153*Q153)</f>
        <v>0</v>
      </c>
      <c r="S153" s="26" t="n">
        <f aca="false">IF(OR($D153="",$J153&lt;&gt;"Own"),0,IFERROR((F153+G153*Settings!$B$13)*INDEX(Workers!$V$5:$V$2004,MATCH($D153,Workers!$A$5:$A$2004,0)),0))</f>
        <v>0</v>
      </c>
      <c r="T153" s="26" t="str">
        <f aca="false">IF($D153="","",O153-R153-S153)</f>
        <v/>
      </c>
    </row>
    <row r="154" customFormat="false" ht="15" hidden="false" customHeight="false" outlineLevel="0" collapsed="false">
      <c r="I154" s="24" t="str">
        <f aca="false">IF($D154="","",IFERROR(INDEX(Workers!$B$5:$B$2004,MATCH($D154,Workers!$A$5:$A$2004,0)),"NOT FOUND"))</f>
        <v/>
      </c>
      <c r="J154" s="24" t="str">
        <f aca="false">IF($D154="","",IFERROR(INDEX(Workers!$C$5:$C$2004,MATCH($D154,Workers!$A$5:$A$2004,0)),""))</f>
        <v/>
      </c>
      <c r="K154" s="24" t="str">
        <f aca="false">IF($D154="","",IFERROR(IF(INDEX(Workers!$D$5:$D$2004,MATCH($D154,Workers!$A$5:$A$2004,0))=0,"",INDEX(Workers!$D$5:$D$2004,MATCH($D154,Workers!$A$5:$A$2004,0))),""))</f>
        <v/>
      </c>
      <c r="L154" s="24" t="str">
        <f aca="false">IF($D154="","",IFERROR(INDEX(Workers!$E$5:$E$2004,MATCH($D154,Workers!$A$5:$A$2004,0)),""))</f>
        <v/>
      </c>
      <c r="M154" s="26" t="str">
        <f aca="false">IF($D154="","",IFERROR(INDEX(ClientRates!$D$5:$D$500,MATCH($B154&amp;"|"&amp;$L154,ClientRates!$A$5:$A$500,0)),0))</f>
        <v/>
      </c>
      <c r="N154" s="26" t="str">
        <f aca="false">IF($D154="","",IFERROR(INDEX(ClientRates!$E$5:$E$500,MATCH($B154&amp;"|"&amp;$L154,ClientRates!$A$5:$A$500,0)),0))</f>
        <v/>
      </c>
      <c r="O154" s="26" t="str">
        <f aca="false">IF($D154="","",F154*M154+G154*N154)</f>
        <v/>
      </c>
      <c r="P154" s="26" t="str">
        <f aca="false">IF(OR($D154="",$J154&lt;&gt;"Supplier"),"",IFERROR(INDEX(SupplierRates!$D$5:$D$500,MATCH($K154&amp;"|"&amp;$L154,SupplierRates!$A$5:$A$500,0)),0))</f>
        <v/>
      </c>
      <c r="Q154" s="26" t="str">
        <f aca="false">IF(OR($D154="",$J154&lt;&gt;"Supplier"),"",IFERROR(INDEX(SupplierRates!$E$5:$E$500,MATCH($K154&amp;"|"&amp;$L154,SupplierRates!$A$5:$A$500,0)),0))</f>
        <v/>
      </c>
      <c r="R154" s="26" t="n">
        <f aca="false">IF(OR($D154="",$J154&lt;&gt;"Supplier"),0,F154*P154+G154*Q154)</f>
        <v>0</v>
      </c>
      <c r="S154" s="26" t="n">
        <f aca="false">IF(OR($D154="",$J154&lt;&gt;"Own"),0,IFERROR((F154+G154*Settings!$B$13)*INDEX(Workers!$V$5:$V$2004,MATCH($D154,Workers!$A$5:$A$2004,0)),0))</f>
        <v>0</v>
      </c>
      <c r="T154" s="26" t="str">
        <f aca="false">IF($D154="","",O154-R154-S154)</f>
        <v/>
      </c>
    </row>
    <row r="155" customFormat="false" ht="15" hidden="false" customHeight="false" outlineLevel="0" collapsed="false">
      <c r="I155" s="24" t="str">
        <f aca="false">IF($D155="","",IFERROR(INDEX(Workers!$B$5:$B$2004,MATCH($D155,Workers!$A$5:$A$2004,0)),"NOT FOUND"))</f>
        <v/>
      </c>
      <c r="J155" s="24" t="str">
        <f aca="false">IF($D155="","",IFERROR(INDEX(Workers!$C$5:$C$2004,MATCH($D155,Workers!$A$5:$A$2004,0)),""))</f>
        <v/>
      </c>
      <c r="K155" s="24" t="str">
        <f aca="false">IF($D155="","",IFERROR(IF(INDEX(Workers!$D$5:$D$2004,MATCH($D155,Workers!$A$5:$A$2004,0))=0,"",INDEX(Workers!$D$5:$D$2004,MATCH($D155,Workers!$A$5:$A$2004,0))),""))</f>
        <v/>
      </c>
      <c r="L155" s="24" t="str">
        <f aca="false">IF($D155="","",IFERROR(INDEX(Workers!$E$5:$E$2004,MATCH($D155,Workers!$A$5:$A$2004,0)),""))</f>
        <v/>
      </c>
      <c r="M155" s="26" t="str">
        <f aca="false">IF($D155="","",IFERROR(INDEX(ClientRates!$D$5:$D$500,MATCH($B155&amp;"|"&amp;$L155,ClientRates!$A$5:$A$500,0)),0))</f>
        <v/>
      </c>
      <c r="N155" s="26" t="str">
        <f aca="false">IF($D155="","",IFERROR(INDEX(ClientRates!$E$5:$E$500,MATCH($B155&amp;"|"&amp;$L155,ClientRates!$A$5:$A$500,0)),0))</f>
        <v/>
      </c>
      <c r="O155" s="26" t="str">
        <f aca="false">IF($D155="","",F155*M155+G155*N155)</f>
        <v/>
      </c>
      <c r="P155" s="26" t="str">
        <f aca="false">IF(OR($D155="",$J155&lt;&gt;"Supplier"),"",IFERROR(INDEX(SupplierRates!$D$5:$D$500,MATCH($K155&amp;"|"&amp;$L155,SupplierRates!$A$5:$A$500,0)),0))</f>
        <v/>
      </c>
      <c r="Q155" s="26" t="str">
        <f aca="false">IF(OR($D155="",$J155&lt;&gt;"Supplier"),"",IFERROR(INDEX(SupplierRates!$E$5:$E$500,MATCH($K155&amp;"|"&amp;$L155,SupplierRates!$A$5:$A$500,0)),0))</f>
        <v/>
      </c>
      <c r="R155" s="26" t="n">
        <f aca="false">IF(OR($D155="",$J155&lt;&gt;"Supplier"),0,F155*P155+G155*Q155)</f>
        <v>0</v>
      </c>
      <c r="S155" s="26" t="n">
        <f aca="false">IF(OR($D155="",$J155&lt;&gt;"Own"),0,IFERROR((F155+G155*Settings!$B$13)*INDEX(Workers!$V$5:$V$2004,MATCH($D155,Workers!$A$5:$A$2004,0)),0))</f>
        <v>0</v>
      </c>
      <c r="T155" s="26" t="str">
        <f aca="false">IF($D155="","",O155-R155-S155)</f>
        <v/>
      </c>
    </row>
    <row r="156" customFormat="false" ht="15" hidden="false" customHeight="false" outlineLevel="0" collapsed="false">
      <c r="I156" s="24" t="str">
        <f aca="false">IF($D156="","",IFERROR(INDEX(Workers!$B$5:$B$2004,MATCH($D156,Workers!$A$5:$A$2004,0)),"NOT FOUND"))</f>
        <v/>
      </c>
      <c r="J156" s="24" t="str">
        <f aca="false">IF($D156="","",IFERROR(INDEX(Workers!$C$5:$C$2004,MATCH($D156,Workers!$A$5:$A$2004,0)),""))</f>
        <v/>
      </c>
      <c r="K156" s="24" t="str">
        <f aca="false">IF($D156="","",IFERROR(IF(INDEX(Workers!$D$5:$D$2004,MATCH($D156,Workers!$A$5:$A$2004,0))=0,"",INDEX(Workers!$D$5:$D$2004,MATCH($D156,Workers!$A$5:$A$2004,0))),""))</f>
        <v/>
      </c>
      <c r="L156" s="24" t="str">
        <f aca="false">IF($D156="","",IFERROR(INDEX(Workers!$E$5:$E$2004,MATCH($D156,Workers!$A$5:$A$2004,0)),""))</f>
        <v/>
      </c>
      <c r="M156" s="26" t="str">
        <f aca="false">IF($D156="","",IFERROR(INDEX(ClientRates!$D$5:$D$500,MATCH($B156&amp;"|"&amp;$L156,ClientRates!$A$5:$A$500,0)),0))</f>
        <v/>
      </c>
      <c r="N156" s="26" t="str">
        <f aca="false">IF($D156="","",IFERROR(INDEX(ClientRates!$E$5:$E$500,MATCH($B156&amp;"|"&amp;$L156,ClientRates!$A$5:$A$500,0)),0))</f>
        <v/>
      </c>
      <c r="O156" s="26" t="str">
        <f aca="false">IF($D156="","",F156*M156+G156*N156)</f>
        <v/>
      </c>
      <c r="P156" s="26" t="str">
        <f aca="false">IF(OR($D156="",$J156&lt;&gt;"Supplier"),"",IFERROR(INDEX(SupplierRates!$D$5:$D$500,MATCH($K156&amp;"|"&amp;$L156,SupplierRates!$A$5:$A$500,0)),0))</f>
        <v/>
      </c>
      <c r="Q156" s="26" t="str">
        <f aca="false">IF(OR($D156="",$J156&lt;&gt;"Supplier"),"",IFERROR(INDEX(SupplierRates!$E$5:$E$500,MATCH($K156&amp;"|"&amp;$L156,SupplierRates!$A$5:$A$500,0)),0))</f>
        <v/>
      </c>
      <c r="R156" s="26" t="n">
        <f aca="false">IF(OR($D156="",$J156&lt;&gt;"Supplier"),0,F156*P156+G156*Q156)</f>
        <v>0</v>
      </c>
      <c r="S156" s="26" t="n">
        <f aca="false">IF(OR($D156="",$J156&lt;&gt;"Own"),0,IFERROR((F156+G156*Settings!$B$13)*INDEX(Workers!$V$5:$V$2004,MATCH($D156,Workers!$A$5:$A$2004,0)),0))</f>
        <v>0</v>
      </c>
      <c r="T156" s="26" t="str">
        <f aca="false">IF($D156="","",O156-R156-S156)</f>
        <v/>
      </c>
    </row>
    <row r="157" customFormat="false" ht="15" hidden="false" customHeight="false" outlineLevel="0" collapsed="false">
      <c r="I157" s="24" t="str">
        <f aca="false">IF($D157="","",IFERROR(INDEX(Workers!$B$5:$B$2004,MATCH($D157,Workers!$A$5:$A$2004,0)),"NOT FOUND"))</f>
        <v/>
      </c>
      <c r="J157" s="24" t="str">
        <f aca="false">IF($D157="","",IFERROR(INDEX(Workers!$C$5:$C$2004,MATCH($D157,Workers!$A$5:$A$2004,0)),""))</f>
        <v/>
      </c>
      <c r="K157" s="24" t="str">
        <f aca="false">IF($D157="","",IFERROR(IF(INDEX(Workers!$D$5:$D$2004,MATCH($D157,Workers!$A$5:$A$2004,0))=0,"",INDEX(Workers!$D$5:$D$2004,MATCH($D157,Workers!$A$5:$A$2004,0))),""))</f>
        <v/>
      </c>
      <c r="L157" s="24" t="str">
        <f aca="false">IF($D157="","",IFERROR(INDEX(Workers!$E$5:$E$2004,MATCH($D157,Workers!$A$5:$A$2004,0)),""))</f>
        <v/>
      </c>
      <c r="M157" s="26" t="str">
        <f aca="false">IF($D157="","",IFERROR(INDEX(ClientRates!$D$5:$D$500,MATCH($B157&amp;"|"&amp;$L157,ClientRates!$A$5:$A$500,0)),0))</f>
        <v/>
      </c>
      <c r="N157" s="26" t="str">
        <f aca="false">IF($D157="","",IFERROR(INDEX(ClientRates!$E$5:$E$500,MATCH($B157&amp;"|"&amp;$L157,ClientRates!$A$5:$A$500,0)),0))</f>
        <v/>
      </c>
      <c r="O157" s="26" t="str">
        <f aca="false">IF($D157="","",F157*M157+G157*N157)</f>
        <v/>
      </c>
      <c r="P157" s="26" t="str">
        <f aca="false">IF(OR($D157="",$J157&lt;&gt;"Supplier"),"",IFERROR(INDEX(SupplierRates!$D$5:$D$500,MATCH($K157&amp;"|"&amp;$L157,SupplierRates!$A$5:$A$500,0)),0))</f>
        <v/>
      </c>
      <c r="Q157" s="26" t="str">
        <f aca="false">IF(OR($D157="",$J157&lt;&gt;"Supplier"),"",IFERROR(INDEX(SupplierRates!$E$5:$E$500,MATCH($K157&amp;"|"&amp;$L157,SupplierRates!$A$5:$A$500,0)),0))</f>
        <v/>
      </c>
      <c r="R157" s="26" t="n">
        <f aca="false">IF(OR($D157="",$J157&lt;&gt;"Supplier"),0,F157*P157+G157*Q157)</f>
        <v>0</v>
      </c>
      <c r="S157" s="26" t="n">
        <f aca="false">IF(OR($D157="",$J157&lt;&gt;"Own"),0,IFERROR((F157+G157*Settings!$B$13)*INDEX(Workers!$V$5:$V$2004,MATCH($D157,Workers!$A$5:$A$2004,0)),0))</f>
        <v>0</v>
      </c>
      <c r="T157" s="26" t="str">
        <f aca="false">IF($D157="","",O157-R157-S157)</f>
        <v/>
      </c>
    </row>
    <row r="158" customFormat="false" ht="15" hidden="false" customHeight="false" outlineLevel="0" collapsed="false">
      <c r="I158" s="24" t="str">
        <f aca="false">IF($D158="","",IFERROR(INDEX(Workers!$B$5:$B$2004,MATCH($D158,Workers!$A$5:$A$2004,0)),"NOT FOUND"))</f>
        <v/>
      </c>
      <c r="J158" s="24" t="str">
        <f aca="false">IF($D158="","",IFERROR(INDEX(Workers!$C$5:$C$2004,MATCH($D158,Workers!$A$5:$A$2004,0)),""))</f>
        <v/>
      </c>
      <c r="K158" s="24" t="str">
        <f aca="false">IF($D158="","",IFERROR(IF(INDEX(Workers!$D$5:$D$2004,MATCH($D158,Workers!$A$5:$A$2004,0))=0,"",INDEX(Workers!$D$5:$D$2004,MATCH($D158,Workers!$A$5:$A$2004,0))),""))</f>
        <v/>
      </c>
      <c r="L158" s="24" t="str">
        <f aca="false">IF($D158="","",IFERROR(INDEX(Workers!$E$5:$E$2004,MATCH($D158,Workers!$A$5:$A$2004,0)),""))</f>
        <v/>
      </c>
      <c r="M158" s="26" t="str">
        <f aca="false">IF($D158="","",IFERROR(INDEX(ClientRates!$D$5:$D$500,MATCH($B158&amp;"|"&amp;$L158,ClientRates!$A$5:$A$500,0)),0))</f>
        <v/>
      </c>
      <c r="N158" s="26" t="str">
        <f aca="false">IF($D158="","",IFERROR(INDEX(ClientRates!$E$5:$E$500,MATCH($B158&amp;"|"&amp;$L158,ClientRates!$A$5:$A$500,0)),0))</f>
        <v/>
      </c>
      <c r="O158" s="26" t="str">
        <f aca="false">IF($D158="","",F158*M158+G158*N158)</f>
        <v/>
      </c>
      <c r="P158" s="26" t="str">
        <f aca="false">IF(OR($D158="",$J158&lt;&gt;"Supplier"),"",IFERROR(INDEX(SupplierRates!$D$5:$D$500,MATCH($K158&amp;"|"&amp;$L158,SupplierRates!$A$5:$A$500,0)),0))</f>
        <v/>
      </c>
      <c r="Q158" s="26" t="str">
        <f aca="false">IF(OR($D158="",$J158&lt;&gt;"Supplier"),"",IFERROR(INDEX(SupplierRates!$E$5:$E$500,MATCH($K158&amp;"|"&amp;$L158,SupplierRates!$A$5:$A$500,0)),0))</f>
        <v/>
      </c>
      <c r="R158" s="26" t="n">
        <f aca="false">IF(OR($D158="",$J158&lt;&gt;"Supplier"),0,F158*P158+G158*Q158)</f>
        <v>0</v>
      </c>
      <c r="S158" s="26" t="n">
        <f aca="false">IF(OR($D158="",$J158&lt;&gt;"Own"),0,IFERROR((F158+G158*Settings!$B$13)*INDEX(Workers!$V$5:$V$2004,MATCH($D158,Workers!$A$5:$A$2004,0)),0))</f>
        <v>0</v>
      </c>
      <c r="T158" s="26" t="str">
        <f aca="false">IF($D158="","",O158-R158-S158)</f>
        <v/>
      </c>
    </row>
    <row r="159" customFormat="false" ht="15" hidden="false" customHeight="false" outlineLevel="0" collapsed="false">
      <c r="I159" s="24" t="str">
        <f aca="false">IF($D159="","",IFERROR(INDEX(Workers!$B$5:$B$2004,MATCH($D159,Workers!$A$5:$A$2004,0)),"NOT FOUND"))</f>
        <v/>
      </c>
      <c r="J159" s="24" t="str">
        <f aca="false">IF($D159="","",IFERROR(INDEX(Workers!$C$5:$C$2004,MATCH($D159,Workers!$A$5:$A$2004,0)),""))</f>
        <v/>
      </c>
      <c r="K159" s="24" t="str">
        <f aca="false">IF($D159="","",IFERROR(IF(INDEX(Workers!$D$5:$D$2004,MATCH($D159,Workers!$A$5:$A$2004,0))=0,"",INDEX(Workers!$D$5:$D$2004,MATCH($D159,Workers!$A$5:$A$2004,0))),""))</f>
        <v/>
      </c>
      <c r="L159" s="24" t="str">
        <f aca="false">IF($D159="","",IFERROR(INDEX(Workers!$E$5:$E$2004,MATCH($D159,Workers!$A$5:$A$2004,0)),""))</f>
        <v/>
      </c>
      <c r="M159" s="26" t="str">
        <f aca="false">IF($D159="","",IFERROR(INDEX(ClientRates!$D$5:$D$500,MATCH($B159&amp;"|"&amp;$L159,ClientRates!$A$5:$A$500,0)),0))</f>
        <v/>
      </c>
      <c r="N159" s="26" t="str">
        <f aca="false">IF($D159="","",IFERROR(INDEX(ClientRates!$E$5:$E$500,MATCH($B159&amp;"|"&amp;$L159,ClientRates!$A$5:$A$500,0)),0))</f>
        <v/>
      </c>
      <c r="O159" s="26" t="str">
        <f aca="false">IF($D159="","",F159*M159+G159*N159)</f>
        <v/>
      </c>
      <c r="P159" s="26" t="str">
        <f aca="false">IF(OR($D159="",$J159&lt;&gt;"Supplier"),"",IFERROR(INDEX(SupplierRates!$D$5:$D$500,MATCH($K159&amp;"|"&amp;$L159,SupplierRates!$A$5:$A$500,0)),0))</f>
        <v/>
      </c>
      <c r="Q159" s="26" t="str">
        <f aca="false">IF(OR($D159="",$J159&lt;&gt;"Supplier"),"",IFERROR(INDEX(SupplierRates!$E$5:$E$500,MATCH($K159&amp;"|"&amp;$L159,SupplierRates!$A$5:$A$500,0)),0))</f>
        <v/>
      </c>
      <c r="R159" s="26" t="n">
        <f aca="false">IF(OR($D159="",$J159&lt;&gt;"Supplier"),0,F159*P159+G159*Q159)</f>
        <v>0</v>
      </c>
      <c r="S159" s="26" t="n">
        <f aca="false">IF(OR($D159="",$J159&lt;&gt;"Own"),0,IFERROR((F159+G159*Settings!$B$13)*INDEX(Workers!$V$5:$V$2004,MATCH($D159,Workers!$A$5:$A$2004,0)),0))</f>
        <v>0</v>
      </c>
      <c r="T159" s="26" t="str">
        <f aca="false">IF($D159="","",O159-R159-S159)</f>
        <v/>
      </c>
    </row>
    <row r="160" customFormat="false" ht="15" hidden="false" customHeight="false" outlineLevel="0" collapsed="false">
      <c r="I160" s="24" t="str">
        <f aca="false">IF($D160="","",IFERROR(INDEX(Workers!$B$5:$B$2004,MATCH($D160,Workers!$A$5:$A$2004,0)),"NOT FOUND"))</f>
        <v/>
      </c>
      <c r="J160" s="24" t="str">
        <f aca="false">IF($D160="","",IFERROR(INDEX(Workers!$C$5:$C$2004,MATCH($D160,Workers!$A$5:$A$2004,0)),""))</f>
        <v/>
      </c>
      <c r="K160" s="24" t="str">
        <f aca="false">IF($D160="","",IFERROR(IF(INDEX(Workers!$D$5:$D$2004,MATCH($D160,Workers!$A$5:$A$2004,0))=0,"",INDEX(Workers!$D$5:$D$2004,MATCH($D160,Workers!$A$5:$A$2004,0))),""))</f>
        <v/>
      </c>
      <c r="L160" s="24" t="str">
        <f aca="false">IF($D160="","",IFERROR(INDEX(Workers!$E$5:$E$2004,MATCH($D160,Workers!$A$5:$A$2004,0)),""))</f>
        <v/>
      </c>
      <c r="M160" s="26" t="str">
        <f aca="false">IF($D160="","",IFERROR(INDEX(ClientRates!$D$5:$D$500,MATCH($B160&amp;"|"&amp;$L160,ClientRates!$A$5:$A$500,0)),0))</f>
        <v/>
      </c>
      <c r="N160" s="26" t="str">
        <f aca="false">IF($D160="","",IFERROR(INDEX(ClientRates!$E$5:$E$500,MATCH($B160&amp;"|"&amp;$L160,ClientRates!$A$5:$A$500,0)),0))</f>
        <v/>
      </c>
      <c r="O160" s="26" t="str">
        <f aca="false">IF($D160="","",F160*M160+G160*N160)</f>
        <v/>
      </c>
      <c r="P160" s="26" t="str">
        <f aca="false">IF(OR($D160="",$J160&lt;&gt;"Supplier"),"",IFERROR(INDEX(SupplierRates!$D$5:$D$500,MATCH($K160&amp;"|"&amp;$L160,SupplierRates!$A$5:$A$500,0)),0))</f>
        <v/>
      </c>
      <c r="Q160" s="26" t="str">
        <f aca="false">IF(OR($D160="",$J160&lt;&gt;"Supplier"),"",IFERROR(INDEX(SupplierRates!$E$5:$E$500,MATCH($K160&amp;"|"&amp;$L160,SupplierRates!$A$5:$A$500,0)),0))</f>
        <v/>
      </c>
      <c r="R160" s="26" t="n">
        <f aca="false">IF(OR($D160="",$J160&lt;&gt;"Supplier"),0,F160*P160+G160*Q160)</f>
        <v>0</v>
      </c>
      <c r="S160" s="26" t="n">
        <f aca="false">IF(OR($D160="",$J160&lt;&gt;"Own"),0,IFERROR((F160+G160*Settings!$B$13)*INDEX(Workers!$V$5:$V$2004,MATCH($D160,Workers!$A$5:$A$2004,0)),0))</f>
        <v>0</v>
      </c>
      <c r="T160" s="26" t="str">
        <f aca="false">IF($D160="","",O160-R160-S160)</f>
        <v/>
      </c>
    </row>
    <row r="161" customFormat="false" ht="15" hidden="false" customHeight="false" outlineLevel="0" collapsed="false">
      <c r="I161" s="24" t="str">
        <f aca="false">IF($D161="","",IFERROR(INDEX(Workers!$B$5:$B$2004,MATCH($D161,Workers!$A$5:$A$2004,0)),"NOT FOUND"))</f>
        <v/>
      </c>
      <c r="J161" s="24" t="str">
        <f aca="false">IF($D161="","",IFERROR(INDEX(Workers!$C$5:$C$2004,MATCH($D161,Workers!$A$5:$A$2004,0)),""))</f>
        <v/>
      </c>
      <c r="K161" s="24" t="str">
        <f aca="false">IF($D161="","",IFERROR(IF(INDEX(Workers!$D$5:$D$2004,MATCH($D161,Workers!$A$5:$A$2004,0))=0,"",INDEX(Workers!$D$5:$D$2004,MATCH($D161,Workers!$A$5:$A$2004,0))),""))</f>
        <v/>
      </c>
      <c r="L161" s="24" t="str">
        <f aca="false">IF($D161="","",IFERROR(INDEX(Workers!$E$5:$E$2004,MATCH($D161,Workers!$A$5:$A$2004,0)),""))</f>
        <v/>
      </c>
      <c r="M161" s="26" t="str">
        <f aca="false">IF($D161="","",IFERROR(INDEX(ClientRates!$D$5:$D$500,MATCH($B161&amp;"|"&amp;$L161,ClientRates!$A$5:$A$500,0)),0))</f>
        <v/>
      </c>
      <c r="N161" s="26" t="str">
        <f aca="false">IF($D161="","",IFERROR(INDEX(ClientRates!$E$5:$E$500,MATCH($B161&amp;"|"&amp;$L161,ClientRates!$A$5:$A$500,0)),0))</f>
        <v/>
      </c>
      <c r="O161" s="26" t="str">
        <f aca="false">IF($D161="","",F161*M161+G161*N161)</f>
        <v/>
      </c>
      <c r="P161" s="26" t="str">
        <f aca="false">IF(OR($D161="",$J161&lt;&gt;"Supplier"),"",IFERROR(INDEX(SupplierRates!$D$5:$D$500,MATCH($K161&amp;"|"&amp;$L161,SupplierRates!$A$5:$A$500,0)),0))</f>
        <v/>
      </c>
      <c r="Q161" s="26" t="str">
        <f aca="false">IF(OR($D161="",$J161&lt;&gt;"Supplier"),"",IFERROR(INDEX(SupplierRates!$E$5:$E$500,MATCH($K161&amp;"|"&amp;$L161,SupplierRates!$A$5:$A$500,0)),0))</f>
        <v/>
      </c>
      <c r="R161" s="26" t="n">
        <f aca="false">IF(OR($D161="",$J161&lt;&gt;"Supplier"),0,F161*P161+G161*Q161)</f>
        <v>0</v>
      </c>
      <c r="S161" s="26" t="n">
        <f aca="false">IF(OR($D161="",$J161&lt;&gt;"Own"),0,IFERROR((F161+G161*Settings!$B$13)*INDEX(Workers!$V$5:$V$2004,MATCH($D161,Workers!$A$5:$A$2004,0)),0))</f>
        <v>0</v>
      </c>
      <c r="T161" s="26" t="str">
        <f aca="false">IF($D161="","",O161-R161-S161)</f>
        <v/>
      </c>
    </row>
    <row r="162" customFormat="false" ht="15" hidden="false" customHeight="false" outlineLevel="0" collapsed="false">
      <c r="I162" s="24" t="str">
        <f aca="false">IF($D162="","",IFERROR(INDEX(Workers!$B$5:$B$2004,MATCH($D162,Workers!$A$5:$A$2004,0)),"NOT FOUND"))</f>
        <v/>
      </c>
      <c r="J162" s="24" t="str">
        <f aca="false">IF($D162="","",IFERROR(INDEX(Workers!$C$5:$C$2004,MATCH($D162,Workers!$A$5:$A$2004,0)),""))</f>
        <v/>
      </c>
      <c r="K162" s="24" t="str">
        <f aca="false">IF($D162="","",IFERROR(IF(INDEX(Workers!$D$5:$D$2004,MATCH($D162,Workers!$A$5:$A$2004,0))=0,"",INDEX(Workers!$D$5:$D$2004,MATCH($D162,Workers!$A$5:$A$2004,0))),""))</f>
        <v/>
      </c>
      <c r="L162" s="24" t="str">
        <f aca="false">IF($D162="","",IFERROR(INDEX(Workers!$E$5:$E$2004,MATCH($D162,Workers!$A$5:$A$2004,0)),""))</f>
        <v/>
      </c>
      <c r="M162" s="26" t="str">
        <f aca="false">IF($D162="","",IFERROR(INDEX(ClientRates!$D$5:$D$500,MATCH($B162&amp;"|"&amp;$L162,ClientRates!$A$5:$A$500,0)),0))</f>
        <v/>
      </c>
      <c r="N162" s="26" t="str">
        <f aca="false">IF($D162="","",IFERROR(INDEX(ClientRates!$E$5:$E$500,MATCH($B162&amp;"|"&amp;$L162,ClientRates!$A$5:$A$500,0)),0))</f>
        <v/>
      </c>
      <c r="O162" s="26" t="str">
        <f aca="false">IF($D162="","",F162*M162+G162*N162)</f>
        <v/>
      </c>
      <c r="P162" s="26" t="str">
        <f aca="false">IF(OR($D162="",$J162&lt;&gt;"Supplier"),"",IFERROR(INDEX(SupplierRates!$D$5:$D$500,MATCH($K162&amp;"|"&amp;$L162,SupplierRates!$A$5:$A$500,0)),0))</f>
        <v/>
      </c>
      <c r="Q162" s="26" t="str">
        <f aca="false">IF(OR($D162="",$J162&lt;&gt;"Supplier"),"",IFERROR(INDEX(SupplierRates!$E$5:$E$500,MATCH($K162&amp;"|"&amp;$L162,SupplierRates!$A$5:$A$500,0)),0))</f>
        <v/>
      </c>
      <c r="R162" s="26" t="n">
        <f aca="false">IF(OR($D162="",$J162&lt;&gt;"Supplier"),0,F162*P162+G162*Q162)</f>
        <v>0</v>
      </c>
      <c r="S162" s="26" t="n">
        <f aca="false">IF(OR($D162="",$J162&lt;&gt;"Own"),0,IFERROR((F162+G162*Settings!$B$13)*INDEX(Workers!$V$5:$V$2004,MATCH($D162,Workers!$A$5:$A$2004,0)),0))</f>
        <v>0</v>
      </c>
      <c r="T162" s="26" t="str">
        <f aca="false">IF($D162="","",O162-R162-S162)</f>
        <v/>
      </c>
    </row>
    <row r="163" customFormat="false" ht="15" hidden="false" customHeight="false" outlineLevel="0" collapsed="false">
      <c r="I163" s="24" t="str">
        <f aca="false">IF($D163="","",IFERROR(INDEX(Workers!$B$5:$B$2004,MATCH($D163,Workers!$A$5:$A$2004,0)),"NOT FOUND"))</f>
        <v/>
      </c>
      <c r="J163" s="24" t="str">
        <f aca="false">IF($D163="","",IFERROR(INDEX(Workers!$C$5:$C$2004,MATCH($D163,Workers!$A$5:$A$2004,0)),""))</f>
        <v/>
      </c>
      <c r="K163" s="24" t="str">
        <f aca="false">IF($D163="","",IFERROR(IF(INDEX(Workers!$D$5:$D$2004,MATCH($D163,Workers!$A$5:$A$2004,0))=0,"",INDEX(Workers!$D$5:$D$2004,MATCH($D163,Workers!$A$5:$A$2004,0))),""))</f>
        <v/>
      </c>
      <c r="L163" s="24" t="str">
        <f aca="false">IF($D163="","",IFERROR(INDEX(Workers!$E$5:$E$2004,MATCH($D163,Workers!$A$5:$A$2004,0)),""))</f>
        <v/>
      </c>
      <c r="M163" s="26" t="str">
        <f aca="false">IF($D163="","",IFERROR(INDEX(ClientRates!$D$5:$D$500,MATCH($B163&amp;"|"&amp;$L163,ClientRates!$A$5:$A$500,0)),0))</f>
        <v/>
      </c>
      <c r="N163" s="26" t="str">
        <f aca="false">IF($D163="","",IFERROR(INDEX(ClientRates!$E$5:$E$500,MATCH($B163&amp;"|"&amp;$L163,ClientRates!$A$5:$A$500,0)),0))</f>
        <v/>
      </c>
      <c r="O163" s="26" t="str">
        <f aca="false">IF($D163="","",F163*M163+G163*N163)</f>
        <v/>
      </c>
      <c r="P163" s="26" t="str">
        <f aca="false">IF(OR($D163="",$J163&lt;&gt;"Supplier"),"",IFERROR(INDEX(SupplierRates!$D$5:$D$500,MATCH($K163&amp;"|"&amp;$L163,SupplierRates!$A$5:$A$500,0)),0))</f>
        <v/>
      </c>
      <c r="Q163" s="26" t="str">
        <f aca="false">IF(OR($D163="",$J163&lt;&gt;"Supplier"),"",IFERROR(INDEX(SupplierRates!$E$5:$E$500,MATCH($K163&amp;"|"&amp;$L163,SupplierRates!$A$5:$A$500,0)),0))</f>
        <v/>
      </c>
      <c r="R163" s="26" t="n">
        <f aca="false">IF(OR($D163="",$J163&lt;&gt;"Supplier"),0,F163*P163+G163*Q163)</f>
        <v>0</v>
      </c>
      <c r="S163" s="26" t="n">
        <f aca="false">IF(OR($D163="",$J163&lt;&gt;"Own"),0,IFERROR((F163+G163*Settings!$B$13)*INDEX(Workers!$V$5:$V$2004,MATCH($D163,Workers!$A$5:$A$2004,0)),0))</f>
        <v>0</v>
      </c>
      <c r="T163" s="26" t="str">
        <f aca="false">IF($D163="","",O163-R163-S163)</f>
        <v/>
      </c>
    </row>
    <row r="164" customFormat="false" ht="15" hidden="false" customHeight="false" outlineLevel="0" collapsed="false">
      <c r="I164" s="24" t="str">
        <f aca="false">IF($D164="","",IFERROR(INDEX(Workers!$B$5:$B$2004,MATCH($D164,Workers!$A$5:$A$2004,0)),"NOT FOUND"))</f>
        <v/>
      </c>
      <c r="J164" s="24" t="str">
        <f aca="false">IF($D164="","",IFERROR(INDEX(Workers!$C$5:$C$2004,MATCH($D164,Workers!$A$5:$A$2004,0)),""))</f>
        <v/>
      </c>
      <c r="K164" s="24" t="str">
        <f aca="false">IF($D164="","",IFERROR(IF(INDEX(Workers!$D$5:$D$2004,MATCH($D164,Workers!$A$5:$A$2004,0))=0,"",INDEX(Workers!$D$5:$D$2004,MATCH($D164,Workers!$A$5:$A$2004,0))),""))</f>
        <v/>
      </c>
      <c r="L164" s="24" t="str">
        <f aca="false">IF($D164="","",IFERROR(INDEX(Workers!$E$5:$E$2004,MATCH($D164,Workers!$A$5:$A$2004,0)),""))</f>
        <v/>
      </c>
      <c r="M164" s="26" t="str">
        <f aca="false">IF($D164="","",IFERROR(INDEX(ClientRates!$D$5:$D$500,MATCH($B164&amp;"|"&amp;$L164,ClientRates!$A$5:$A$500,0)),0))</f>
        <v/>
      </c>
      <c r="N164" s="26" t="str">
        <f aca="false">IF($D164="","",IFERROR(INDEX(ClientRates!$E$5:$E$500,MATCH($B164&amp;"|"&amp;$L164,ClientRates!$A$5:$A$500,0)),0))</f>
        <v/>
      </c>
      <c r="O164" s="26" t="str">
        <f aca="false">IF($D164="","",F164*M164+G164*N164)</f>
        <v/>
      </c>
      <c r="P164" s="26" t="str">
        <f aca="false">IF(OR($D164="",$J164&lt;&gt;"Supplier"),"",IFERROR(INDEX(SupplierRates!$D$5:$D$500,MATCH($K164&amp;"|"&amp;$L164,SupplierRates!$A$5:$A$500,0)),0))</f>
        <v/>
      </c>
      <c r="Q164" s="26" t="str">
        <f aca="false">IF(OR($D164="",$J164&lt;&gt;"Supplier"),"",IFERROR(INDEX(SupplierRates!$E$5:$E$500,MATCH($K164&amp;"|"&amp;$L164,SupplierRates!$A$5:$A$500,0)),0))</f>
        <v/>
      </c>
      <c r="R164" s="26" t="n">
        <f aca="false">IF(OR($D164="",$J164&lt;&gt;"Supplier"),0,F164*P164+G164*Q164)</f>
        <v>0</v>
      </c>
      <c r="S164" s="26" t="n">
        <f aca="false">IF(OR($D164="",$J164&lt;&gt;"Own"),0,IFERROR((F164+G164*Settings!$B$13)*INDEX(Workers!$V$5:$V$2004,MATCH($D164,Workers!$A$5:$A$2004,0)),0))</f>
        <v>0</v>
      </c>
      <c r="T164" s="26" t="str">
        <f aca="false">IF($D164="","",O164-R164-S164)</f>
        <v/>
      </c>
    </row>
    <row r="165" customFormat="false" ht="15" hidden="false" customHeight="false" outlineLevel="0" collapsed="false">
      <c r="I165" s="24" t="str">
        <f aca="false">IF($D165="","",IFERROR(INDEX(Workers!$B$5:$B$2004,MATCH($D165,Workers!$A$5:$A$2004,0)),"NOT FOUND"))</f>
        <v/>
      </c>
      <c r="J165" s="24" t="str">
        <f aca="false">IF($D165="","",IFERROR(INDEX(Workers!$C$5:$C$2004,MATCH($D165,Workers!$A$5:$A$2004,0)),""))</f>
        <v/>
      </c>
      <c r="K165" s="24" t="str">
        <f aca="false">IF($D165="","",IFERROR(IF(INDEX(Workers!$D$5:$D$2004,MATCH($D165,Workers!$A$5:$A$2004,0))=0,"",INDEX(Workers!$D$5:$D$2004,MATCH($D165,Workers!$A$5:$A$2004,0))),""))</f>
        <v/>
      </c>
      <c r="L165" s="24" t="str">
        <f aca="false">IF($D165="","",IFERROR(INDEX(Workers!$E$5:$E$2004,MATCH($D165,Workers!$A$5:$A$2004,0)),""))</f>
        <v/>
      </c>
      <c r="M165" s="26" t="str">
        <f aca="false">IF($D165="","",IFERROR(INDEX(ClientRates!$D$5:$D$500,MATCH($B165&amp;"|"&amp;$L165,ClientRates!$A$5:$A$500,0)),0))</f>
        <v/>
      </c>
      <c r="N165" s="26" t="str">
        <f aca="false">IF($D165="","",IFERROR(INDEX(ClientRates!$E$5:$E$500,MATCH($B165&amp;"|"&amp;$L165,ClientRates!$A$5:$A$500,0)),0))</f>
        <v/>
      </c>
      <c r="O165" s="26" t="str">
        <f aca="false">IF($D165="","",F165*M165+G165*N165)</f>
        <v/>
      </c>
      <c r="P165" s="26" t="str">
        <f aca="false">IF(OR($D165="",$J165&lt;&gt;"Supplier"),"",IFERROR(INDEX(SupplierRates!$D$5:$D$500,MATCH($K165&amp;"|"&amp;$L165,SupplierRates!$A$5:$A$500,0)),0))</f>
        <v/>
      </c>
      <c r="Q165" s="26" t="str">
        <f aca="false">IF(OR($D165="",$J165&lt;&gt;"Supplier"),"",IFERROR(INDEX(SupplierRates!$E$5:$E$500,MATCH($K165&amp;"|"&amp;$L165,SupplierRates!$A$5:$A$500,0)),0))</f>
        <v/>
      </c>
      <c r="R165" s="26" t="n">
        <f aca="false">IF(OR($D165="",$J165&lt;&gt;"Supplier"),0,F165*P165+G165*Q165)</f>
        <v>0</v>
      </c>
      <c r="S165" s="26" t="n">
        <f aca="false">IF(OR($D165="",$J165&lt;&gt;"Own"),0,IFERROR((F165+G165*Settings!$B$13)*INDEX(Workers!$V$5:$V$2004,MATCH($D165,Workers!$A$5:$A$2004,0)),0))</f>
        <v>0</v>
      </c>
      <c r="T165" s="26" t="str">
        <f aca="false">IF($D165="","",O165-R165-S165)</f>
        <v/>
      </c>
    </row>
    <row r="166" customFormat="false" ht="15" hidden="false" customHeight="false" outlineLevel="0" collapsed="false">
      <c r="I166" s="24" t="str">
        <f aca="false">IF($D166="","",IFERROR(INDEX(Workers!$B$5:$B$2004,MATCH($D166,Workers!$A$5:$A$2004,0)),"NOT FOUND"))</f>
        <v/>
      </c>
      <c r="J166" s="24" t="str">
        <f aca="false">IF($D166="","",IFERROR(INDEX(Workers!$C$5:$C$2004,MATCH($D166,Workers!$A$5:$A$2004,0)),""))</f>
        <v/>
      </c>
      <c r="K166" s="24" t="str">
        <f aca="false">IF($D166="","",IFERROR(IF(INDEX(Workers!$D$5:$D$2004,MATCH($D166,Workers!$A$5:$A$2004,0))=0,"",INDEX(Workers!$D$5:$D$2004,MATCH($D166,Workers!$A$5:$A$2004,0))),""))</f>
        <v/>
      </c>
      <c r="L166" s="24" t="str">
        <f aca="false">IF($D166="","",IFERROR(INDEX(Workers!$E$5:$E$2004,MATCH($D166,Workers!$A$5:$A$2004,0)),""))</f>
        <v/>
      </c>
      <c r="M166" s="26" t="str">
        <f aca="false">IF($D166="","",IFERROR(INDEX(ClientRates!$D$5:$D$500,MATCH($B166&amp;"|"&amp;$L166,ClientRates!$A$5:$A$500,0)),0))</f>
        <v/>
      </c>
      <c r="N166" s="26" t="str">
        <f aca="false">IF($D166="","",IFERROR(INDEX(ClientRates!$E$5:$E$500,MATCH($B166&amp;"|"&amp;$L166,ClientRates!$A$5:$A$500,0)),0))</f>
        <v/>
      </c>
      <c r="O166" s="26" t="str">
        <f aca="false">IF($D166="","",F166*M166+G166*N166)</f>
        <v/>
      </c>
      <c r="P166" s="26" t="str">
        <f aca="false">IF(OR($D166="",$J166&lt;&gt;"Supplier"),"",IFERROR(INDEX(SupplierRates!$D$5:$D$500,MATCH($K166&amp;"|"&amp;$L166,SupplierRates!$A$5:$A$500,0)),0))</f>
        <v/>
      </c>
      <c r="Q166" s="26" t="str">
        <f aca="false">IF(OR($D166="",$J166&lt;&gt;"Supplier"),"",IFERROR(INDEX(SupplierRates!$E$5:$E$500,MATCH($K166&amp;"|"&amp;$L166,SupplierRates!$A$5:$A$500,0)),0))</f>
        <v/>
      </c>
      <c r="R166" s="26" t="n">
        <f aca="false">IF(OR($D166="",$J166&lt;&gt;"Supplier"),0,F166*P166+G166*Q166)</f>
        <v>0</v>
      </c>
      <c r="S166" s="26" t="n">
        <f aca="false">IF(OR($D166="",$J166&lt;&gt;"Own"),0,IFERROR((F166+G166*Settings!$B$13)*INDEX(Workers!$V$5:$V$2004,MATCH($D166,Workers!$A$5:$A$2004,0)),0))</f>
        <v>0</v>
      </c>
      <c r="T166" s="26" t="str">
        <f aca="false">IF($D166="","",O166-R166-S166)</f>
        <v/>
      </c>
    </row>
    <row r="167" customFormat="false" ht="15" hidden="false" customHeight="false" outlineLevel="0" collapsed="false">
      <c r="I167" s="24" t="str">
        <f aca="false">IF($D167="","",IFERROR(INDEX(Workers!$B$5:$B$2004,MATCH($D167,Workers!$A$5:$A$2004,0)),"NOT FOUND"))</f>
        <v/>
      </c>
      <c r="J167" s="24" t="str">
        <f aca="false">IF($D167="","",IFERROR(INDEX(Workers!$C$5:$C$2004,MATCH($D167,Workers!$A$5:$A$2004,0)),""))</f>
        <v/>
      </c>
      <c r="K167" s="24" t="str">
        <f aca="false">IF($D167="","",IFERROR(IF(INDEX(Workers!$D$5:$D$2004,MATCH($D167,Workers!$A$5:$A$2004,0))=0,"",INDEX(Workers!$D$5:$D$2004,MATCH($D167,Workers!$A$5:$A$2004,0))),""))</f>
        <v/>
      </c>
      <c r="L167" s="24" t="str">
        <f aca="false">IF($D167="","",IFERROR(INDEX(Workers!$E$5:$E$2004,MATCH($D167,Workers!$A$5:$A$2004,0)),""))</f>
        <v/>
      </c>
      <c r="M167" s="26" t="str">
        <f aca="false">IF($D167="","",IFERROR(INDEX(ClientRates!$D$5:$D$500,MATCH($B167&amp;"|"&amp;$L167,ClientRates!$A$5:$A$500,0)),0))</f>
        <v/>
      </c>
      <c r="N167" s="26" t="str">
        <f aca="false">IF($D167="","",IFERROR(INDEX(ClientRates!$E$5:$E$500,MATCH($B167&amp;"|"&amp;$L167,ClientRates!$A$5:$A$500,0)),0))</f>
        <v/>
      </c>
      <c r="O167" s="26" t="str">
        <f aca="false">IF($D167="","",F167*M167+G167*N167)</f>
        <v/>
      </c>
      <c r="P167" s="26" t="str">
        <f aca="false">IF(OR($D167="",$J167&lt;&gt;"Supplier"),"",IFERROR(INDEX(SupplierRates!$D$5:$D$500,MATCH($K167&amp;"|"&amp;$L167,SupplierRates!$A$5:$A$500,0)),0))</f>
        <v/>
      </c>
      <c r="Q167" s="26" t="str">
        <f aca="false">IF(OR($D167="",$J167&lt;&gt;"Supplier"),"",IFERROR(INDEX(SupplierRates!$E$5:$E$500,MATCH($K167&amp;"|"&amp;$L167,SupplierRates!$A$5:$A$500,0)),0))</f>
        <v/>
      </c>
      <c r="R167" s="26" t="n">
        <f aca="false">IF(OR($D167="",$J167&lt;&gt;"Supplier"),0,F167*P167+G167*Q167)</f>
        <v>0</v>
      </c>
      <c r="S167" s="26" t="n">
        <f aca="false">IF(OR($D167="",$J167&lt;&gt;"Own"),0,IFERROR((F167+G167*Settings!$B$13)*INDEX(Workers!$V$5:$V$2004,MATCH($D167,Workers!$A$5:$A$2004,0)),0))</f>
        <v>0</v>
      </c>
      <c r="T167" s="26" t="str">
        <f aca="false">IF($D167="","",O167-R167-S167)</f>
        <v/>
      </c>
    </row>
    <row r="168" customFormat="false" ht="15" hidden="false" customHeight="false" outlineLevel="0" collapsed="false">
      <c r="I168" s="24" t="str">
        <f aca="false">IF($D168="","",IFERROR(INDEX(Workers!$B$5:$B$2004,MATCH($D168,Workers!$A$5:$A$2004,0)),"NOT FOUND"))</f>
        <v/>
      </c>
      <c r="J168" s="24" t="str">
        <f aca="false">IF($D168="","",IFERROR(INDEX(Workers!$C$5:$C$2004,MATCH($D168,Workers!$A$5:$A$2004,0)),""))</f>
        <v/>
      </c>
      <c r="K168" s="24" t="str">
        <f aca="false">IF($D168="","",IFERROR(IF(INDEX(Workers!$D$5:$D$2004,MATCH($D168,Workers!$A$5:$A$2004,0))=0,"",INDEX(Workers!$D$5:$D$2004,MATCH($D168,Workers!$A$5:$A$2004,0))),""))</f>
        <v/>
      </c>
      <c r="L168" s="24" t="str">
        <f aca="false">IF($D168="","",IFERROR(INDEX(Workers!$E$5:$E$2004,MATCH($D168,Workers!$A$5:$A$2004,0)),""))</f>
        <v/>
      </c>
      <c r="M168" s="26" t="str">
        <f aca="false">IF($D168="","",IFERROR(INDEX(ClientRates!$D$5:$D$500,MATCH($B168&amp;"|"&amp;$L168,ClientRates!$A$5:$A$500,0)),0))</f>
        <v/>
      </c>
      <c r="N168" s="26" t="str">
        <f aca="false">IF($D168="","",IFERROR(INDEX(ClientRates!$E$5:$E$500,MATCH($B168&amp;"|"&amp;$L168,ClientRates!$A$5:$A$500,0)),0))</f>
        <v/>
      </c>
      <c r="O168" s="26" t="str">
        <f aca="false">IF($D168="","",F168*M168+G168*N168)</f>
        <v/>
      </c>
      <c r="P168" s="26" t="str">
        <f aca="false">IF(OR($D168="",$J168&lt;&gt;"Supplier"),"",IFERROR(INDEX(SupplierRates!$D$5:$D$500,MATCH($K168&amp;"|"&amp;$L168,SupplierRates!$A$5:$A$500,0)),0))</f>
        <v/>
      </c>
      <c r="Q168" s="26" t="str">
        <f aca="false">IF(OR($D168="",$J168&lt;&gt;"Supplier"),"",IFERROR(INDEX(SupplierRates!$E$5:$E$500,MATCH($K168&amp;"|"&amp;$L168,SupplierRates!$A$5:$A$500,0)),0))</f>
        <v/>
      </c>
      <c r="R168" s="26" t="n">
        <f aca="false">IF(OR($D168="",$J168&lt;&gt;"Supplier"),0,F168*P168+G168*Q168)</f>
        <v>0</v>
      </c>
      <c r="S168" s="26" t="n">
        <f aca="false">IF(OR($D168="",$J168&lt;&gt;"Own"),0,IFERROR((F168+G168*Settings!$B$13)*INDEX(Workers!$V$5:$V$2004,MATCH($D168,Workers!$A$5:$A$2004,0)),0))</f>
        <v>0</v>
      </c>
      <c r="T168" s="26" t="str">
        <f aca="false">IF($D168="","",O168-R168-S168)</f>
        <v/>
      </c>
    </row>
    <row r="169" customFormat="false" ht="15" hidden="false" customHeight="false" outlineLevel="0" collapsed="false">
      <c r="I169" s="24" t="str">
        <f aca="false">IF($D169="","",IFERROR(INDEX(Workers!$B$5:$B$2004,MATCH($D169,Workers!$A$5:$A$2004,0)),"NOT FOUND"))</f>
        <v/>
      </c>
      <c r="J169" s="24" t="str">
        <f aca="false">IF($D169="","",IFERROR(INDEX(Workers!$C$5:$C$2004,MATCH($D169,Workers!$A$5:$A$2004,0)),""))</f>
        <v/>
      </c>
      <c r="K169" s="24" t="str">
        <f aca="false">IF($D169="","",IFERROR(IF(INDEX(Workers!$D$5:$D$2004,MATCH($D169,Workers!$A$5:$A$2004,0))=0,"",INDEX(Workers!$D$5:$D$2004,MATCH($D169,Workers!$A$5:$A$2004,0))),""))</f>
        <v/>
      </c>
      <c r="L169" s="24" t="str">
        <f aca="false">IF($D169="","",IFERROR(INDEX(Workers!$E$5:$E$2004,MATCH($D169,Workers!$A$5:$A$2004,0)),""))</f>
        <v/>
      </c>
      <c r="M169" s="26" t="str">
        <f aca="false">IF($D169="","",IFERROR(INDEX(ClientRates!$D$5:$D$500,MATCH($B169&amp;"|"&amp;$L169,ClientRates!$A$5:$A$500,0)),0))</f>
        <v/>
      </c>
      <c r="N169" s="26" t="str">
        <f aca="false">IF($D169="","",IFERROR(INDEX(ClientRates!$E$5:$E$500,MATCH($B169&amp;"|"&amp;$L169,ClientRates!$A$5:$A$500,0)),0))</f>
        <v/>
      </c>
      <c r="O169" s="26" t="str">
        <f aca="false">IF($D169="","",F169*M169+G169*N169)</f>
        <v/>
      </c>
      <c r="P169" s="26" t="str">
        <f aca="false">IF(OR($D169="",$J169&lt;&gt;"Supplier"),"",IFERROR(INDEX(SupplierRates!$D$5:$D$500,MATCH($K169&amp;"|"&amp;$L169,SupplierRates!$A$5:$A$500,0)),0))</f>
        <v/>
      </c>
      <c r="Q169" s="26" t="str">
        <f aca="false">IF(OR($D169="",$J169&lt;&gt;"Supplier"),"",IFERROR(INDEX(SupplierRates!$E$5:$E$500,MATCH($K169&amp;"|"&amp;$L169,SupplierRates!$A$5:$A$500,0)),0))</f>
        <v/>
      </c>
      <c r="R169" s="26" t="n">
        <f aca="false">IF(OR($D169="",$J169&lt;&gt;"Supplier"),0,F169*P169+G169*Q169)</f>
        <v>0</v>
      </c>
      <c r="S169" s="26" t="n">
        <f aca="false">IF(OR($D169="",$J169&lt;&gt;"Own"),0,IFERROR((F169+G169*Settings!$B$13)*INDEX(Workers!$V$5:$V$2004,MATCH($D169,Workers!$A$5:$A$2004,0)),0))</f>
        <v>0</v>
      </c>
      <c r="T169" s="26" t="str">
        <f aca="false">IF($D169="","",O169-R169-S169)</f>
        <v/>
      </c>
    </row>
    <row r="170" customFormat="false" ht="15" hidden="false" customHeight="false" outlineLevel="0" collapsed="false">
      <c r="I170" s="24" t="str">
        <f aca="false">IF($D170="","",IFERROR(INDEX(Workers!$B$5:$B$2004,MATCH($D170,Workers!$A$5:$A$2004,0)),"NOT FOUND"))</f>
        <v/>
      </c>
      <c r="J170" s="24" t="str">
        <f aca="false">IF($D170="","",IFERROR(INDEX(Workers!$C$5:$C$2004,MATCH($D170,Workers!$A$5:$A$2004,0)),""))</f>
        <v/>
      </c>
      <c r="K170" s="24" t="str">
        <f aca="false">IF($D170="","",IFERROR(IF(INDEX(Workers!$D$5:$D$2004,MATCH($D170,Workers!$A$5:$A$2004,0))=0,"",INDEX(Workers!$D$5:$D$2004,MATCH($D170,Workers!$A$5:$A$2004,0))),""))</f>
        <v/>
      </c>
      <c r="L170" s="24" t="str">
        <f aca="false">IF($D170="","",IFERROR(INDEX(Workers!$E$5:$E$2004,MATCH($D170,Workers!$A$5:$A$2004,0)),""))</f>
        <v/>
      </c>
      <c r="M170" s="26" t="str">
        <f aca="false">IF($D170="","",IFERROR(INDEX(ClientRates!$D$5:$D$500,MATCH($B170&amp;"|"&amp;$L170,ClientRates!$A$5:$A$500,0)),0))</f>
        <v/>
      </c>
      <c r="N170" s="26" t="str">
        <f aca="false">IF($D170="","",IFERROR(INDEX(ClientRates!$E$5:$E$500,MATCH($B170&amp;"|"&amp;$L170,ClientRates!$A$5:$A$500,0)),0))</f>
        <v/>
      </c>
      <c r="O170" s="26" t="str">
        <f aca="false">IF($D170="","",F170*M170+G170*N170)</f>
        <v/>
      </c>
      <c r="P170" s="26" t="str">
        <f aca="false">IF(OR($D170="",$J170&lt;&gt;"Supplier"),"",IFERROR(INDEX(SupplierRates!$D$5:$D$500,MATCH($K170&amp;"|"&amp;$L170,SupplierRates!$A$5:$A$500,0)),0))</f>
        <v/>
      </c>
      <c r="Q170" s="26" t="str">
        <f aca="false">IF(OR($D170="",$J170&lt;&gt;"Supplier"),"",IFERROR(INDEX(SupplierRates!$E$5:$E$500,MATCH($K170&amp;"|"&amp;$L170,SupplierRates!$A$5:$A$500,0)),0))</f>
        <v/>
      </c>
      <c r="R170" s="26" t="n">
        <f aca="false">IF(OR($D170="",$J170&lt;&gt;"Supplier"),0,F170*P170+G170*Q170)</f>
        <v>0</v>
      </c>
      <c r="S170" s="26" t="n">
        <f aca="false">IF(OR($D170="",$J170&lt;&gt;"Own"),0,IFERROR((F170+G170*Settings!$B$13)*INDEX(Workers!$V$5:$V$2004,MATCH($D170,Workers!$A$5:$A$2004,0)),0))</f>
        <v>0</v>
      </c>
      <c r="T170" s="26" t="str">
        <f aca="false">IF($D170="","",O170-R170-S170)</f>
        <v/>
      </c>
    </row>
    <row r="171" customFormat="false" ht="15" hidden="false" customHeight="false" outlineLevel="0" collapsed="false">
      <c r="I171" s="24" t="str">
        <f aca="false">IF($D171="","",IFERROR(INDEX(Workers!$B$5:$B$2004,MATCH($D171,Workers!$A$5:$A$2004,0)),"NOT FOUND"))</f>
        <v/>
      </c>
      <c r="J171" s="24" t="str">
        <f aca="false">IF($D171="","",IFERROR(INDEX(Workers!$C$5:$C$2004,MATCH($D171,Workers!$A$5:$A$2004,0)),""))</f>
        <v/>
      </c>
      <c r="K171" s="24" t="str">
        <f aca="false">IF($D171="","",IFERROR(IF(INDEX(Workers!$D$5:$D$2004,MATCH($D171,Workers!$A$5:$A$2004,0))=0,"",INDEX(Workers!$D$5:$D$2004,MATCH($D171,Workers!$A$5:$A$2004,0))),""))</f>
        <v/>
      </c>
      <c r="L171" s="24" t="str">
        <f aca="false">IF($D171="","",IFERROR(INDEX(Workers!$E$5:$E$2004,MATCH($D171,Workers!$A$5:$A$2004,0)),""))</f>
        <v/>
      </c>
      <c r="M171" s="26" t="str">
        <f aca="false">IF($D171="","",IFERROR(INDEX(ClientRates!$D$5:$D$500,MATCH($B171&amp;"|"&amp;$L171,ClientRates!$A$5:$A$500,0)),0))</f>
        <v/>
      </c>
      <c r="N171" s="26" t="str">
        <f aca="false">IF($D171="","",IFERROR(INDEX(ClientRates!$E$5:$E$500,MATCH($B171&amp;"|"&amp;$L171,ClientRates!$A$5:$A$500,0)),0))</f>
        <v/>
      </c>
      <c r="O171" s="26" t="str">
        <f aca="false">IF($D171="","",F171*M171+G171*N171)</f>
        <v/>
      </c>
      <c r="P171" s="26" t="str">
        <f aca="false">IF(OR($D171="",$J171&lt;&gt;"Supplier"),"",IFERROR(INDEX(SupplierRates!$D$5:$D$500,MATCH($K171&amp;"|"&amp;$L171,SupplierRates!$A$5:$A$500,0)),0))</f>
        <v/>
      </c>
      <c r="Q171" s="26" t="str">
        <f aca="false">IF(OR($D171="",$J171&lt;&gt;"Supplier"),"",IFERROR(INDEX(SupplierRates!$E$5:$E$500,MATCH($K171&amp;"|"&amp;$L171,SupplierRates!$A$5:$A$500,0)),0))</f>
        <v/>
      </c>
      <c r="R171" s="26" t="n">
        <f aca="false">IF(OR($D171="",$J171&lt;&gt;"Supplier"),0,F171*P171+G171*Q171)</f>
        <v>0</v>
      </c>
      <c r="S171" s="26" t="n">
        <f aca="false">IF(OR($D171="",$J171&lt;&gt;"Own"),0,IFERROR((F171+G171*Settings!$B$13)*INDEX(Workers!$V$5:$V$2004,MATCH($D171,Workers!$A$5:$A$2004,0)),0))</f>
        <v>0</v>
      </c>
      <c r="T171" s="26" t="str">
        <f aca="false">IF($D171="","",O171-R171-S171)</f>
        <v/>
      </c>
    </row>
    <row r="172" customFormat="false" ht="15" hidden="false" customHeight="false" outlineLevel="0" collapsed="false">
      <c r="I172" s="24" t="str">
        <f aca="false">IF($D172="","",IFERROR(INDEX(Workers!$B$5:$B$2004,MATCH($D172,Workers!$A$5:$A$2004,0)),"NOT FOUND"))</f>
        <v/>
      </c>
      <c r="J172" s="24" t="str">
        <f aca="false">IF($D172="","",IFERROR(INDEX(Workers!$C$5:$C$2004,MATCH($D172,Workers!$A$5:$A$2004,0)),""))</f>
        <v/>
      </c>
      <c r="K172" s="24" t="str">
        <f aca="false">IF($D172="","",IFERROR(IF(INDEX(Workers!$D$5:$D$2004,MATCH($D172,Workers!$A$5:$A$2004,0))=0,"",INDEX(Workers!$D$5:$D$2004,MATCH($D172,Workers!$A$5:$A$2004,0))),""))</f>
        <v/>
      </c>
      <c r="L172" s="24" t="str">
        <f aca="false">IF($D172="","",IFERROR(INDEX(Workers!$E$5:$E$2004,MATCH($D172,Workers!$A$5:$A$2004,0)),""))</f>
        <v/>
      </c>
      <c r="M172" s="26" t="str">
        <f aca="false">IF($D172="","",IFERROR(INDEX(ClientRates!$D$5:$D$500,MATCH($B172&amp;"|"&amp;$L172,ClientRates!$A$5:$A$500,0)),0))</f>
        <v/>
      </c>
      <c r="N172" s="26" t="str">
        <f aca="false">IF($D172="","",IFERROR(INDEX(ClientRates!$E$5:$E$500,MATCH($B172&amp;"|"&amp;$L172,ClientRates!$A$5:$A$500,0)),0))</f>
        <v/>
      </c>
      <c r="O172" s="26" t="str">
        <f aca="false">IF($D172="","",F172*M172+G172*N172)</f>
        <v/>
      </c>
      <c r="P172" s="26" t="str">
        <f aca="false">IF(OR($D172="",$J172&lt;&gt;"Supplier"),"",IFERROR(INDEX(SupplierRates!$D$5:$D$500,MATCH($K172&amp;"|"&amp;$L172,SupplierRates!$A$5:$A$500,0)),0))</f>
        <v/>
      </c>
      <c r="Q172" s="26" t="str">
        <f aca="false">IF(OR($D172="",$J172&lt;&gt;"Supplier"),"",IFERROR(INDEX(SupplierRates!$E$5:$E$500,MATCH($K172&amp;"|"&amp;$L172,SupplierRates!$A$5:$A$500,0)),0))</f>
        <v/>
      </c>
      <c r="R172" s="26" t="n">
        <f aca="false">IF(OR($D172="",$J172&lt;&gt;"Supplier"),0,F172*P172+G172*Q172)</f>
        <v>0</v>
      </c>
      <c r="S172" s="26" t="n">
        <f aca="false">IF(OR($D172="",$J172&lt;&gt;"Own"),0,IFERROR((F172+G172*Settings!$B$13)*INDEX(Workers!$V$5:$V$2004,MATCH($D172,Workers!$A$5:$A$2004,0)),0))</f>
        <v>0</v>
      </c>
      <c r="T172" s="26" t="str">
        <f aca="false">IF($D172="","",O172-R172-S172)</f>
        <v/>
      </c>
    </row>
    <row r="173" customFormat="false" ht="15" hidden="false" customHeight="false" outlineLevel="0" collapsed="false">
      <c r="I173" s="24" t="str">
        <f aca="false">IF($D173="","",IFERROR(INDEX(Workers!$B$5:$B$2004,MATCH($D173,Workers!$A$5:$A$2004,0)),"NOT FOUND"))</f>
        <v/>
      </c>
      <c r="J173" s="24" t="str">
        <f aca="false">IF($D173="","",IFERROR(INDEX(Workers!$C$5:$C$2004,MATCH($D173,Workers!$A$5:$A$2004,0)),""))</f>
        <v/>
      </c>
      <c r="K173" s="24" t="str">
        <f aca="false">IF($D173="","",IFERROR(IF(INDEX(Workers!$D$5:$D$2004,MATCH($D173,Workers!$A$5:$A$2004,0))=0,"",INDEX(Workers!$D$5:$D$2004,MATCH($D173,Workers!$A$5:$A$2004,0))),""))</f>
        <v/>
      </c>
      <c r="L173" s="24" t="str">
        <f aca="false">IF($D173="","",IFERROR(INDEX(Workers!$E$5:$E$2004,MATCH($D173,Workers!$A$5:$A$2004,0)),""))</f>
        <v/>
      </c>
      <c r="M173" s="26" t="str">
        <f aca="false">IF($D173="","",IFERROR(INDEX(ClientRates!$D$5:$D$500,MATCH($B173&amp;"|"&amp;$L173,ClientRates!$A$5:$A$500,0)),0))</f>
        <v/>
      </c>
      <c r="N173" s="26" t="str">
        <f aca="false">IF($D173="","",IFERROR(INDEX(ClientRates!$E$5:$E$500,MATCH($B173&amp;"|"&amp;$L173,ClientRates!$A$5:$A$500,0)),0))</f>
        <v/>
      </c>
      <c r="O173" s="26" t="str">
        <f aca="false">IF($D173="","",F173*M173+G173*N173)</f>
        <v/>
      </c>
      <c r="P173" s="26" t="str">
        <f aca="false">IF(OR($D173="",$J173&lt;&gt;"Supplier"),"",IFERROR(INDEX(SupplierRates!$D$5:$D$500,MATCH($K173&amp;"|"&amp;$L173,SupplierRates!$A$5:$A$500,0)),0))</f>
        <v/>
      </c>
      <c r="Q173" s="26" t="str">
        <f aca="false">IF(OR($D173="",$J173&lt;&gt;"Supplier"),"",IFERROR(INDEX(SupplierRates!$E$5:$E$500,MATCH($K173&amp;"|"&amp;$L173,SupplierRates!$A$5:$A$500,0)),0))</f>
        <v/>
      </c>
      <c r="R173" s="26" t="n">
        <f aca="false">IF(OR($D173="",$J173&lt;&gt;"Supplier"),0,F173*P173+G173*Q173)</f>
        <v>0</v>
      </c>
      <c r="S173" s="26" t="n">
        <f aca="false">IF(OR($D173="",$J173&lt;&gt;"Own"),0,IFERROR((F173+G173*Settings!$B$13)*INDEX(Workers!$V$5:$V$2004,MATCH($D173,Workers!$A$5:$A$2004,0)),0))</f>
        <v>0</v>
      </c>
      <c r="T173" s="26" t="str">
        <f aca="false">IF($D173="","",O173-R173-S173)</f>
        <v/>
      </c>
    </row>
    <row r="174" customFormat="false" ht="15" hidden="false" customHeight="false" outlineLevel="0" collapsed="false">
      <c r="I174" s="24" t="str">
        <f aca="false">IF($D174="","",IFERROR(INDEX(Workers!$B$5:$B$2004,MATCH($D174,Workers!$A$5:$A$2004,0)),"NOT FOUND"))</f>
        <v/>
      </c>
      <c r="J174" s="24" t="str">
        <f aca="false">IF($D174="","",IFERROR(INDEX(Workers!$C$5:$C$2004,MATCH($D174,Workers!$A$5:$A$2004,0)),""))</f>
        <v/>
      </c>
      <c r="K174" s="24" t="str">
        <f aca="false">IF($D174="","",IFERROR(IF(INDEX(Workers!$D$5:$D$2004,MATCH($D174,Workers!$A$5:$A$2004,0))=0,"",INDEX(Workers!$D$5:$D$2004,MATCH($D174,Workers!$A$5:$A$2004,0))),""))</f>
        <v/>
      </c>
      <c r="L174" s="24" t="str">
        <f aca="false">IF($D174="","",IFERROR(INDEX(Workers!$E$5:$E$2004,MATCH($D174,Workers!$A$5:$A$2004,0)),""))</f>
        <v/>
      </c>
      <c r="M174" s="26" t="str">
        <f aca="false">IF($D174="","",IFERROR(INDEX(ClientRates!$D$5:$D$500,MATCH($B174&amp;"|"&amp;$L174,ClientRates!$A$5:$A$500,0)),0))</f>
        <v/>
      </c>
      <c r="N174" s="26" t="str">
        <f aca="false">IF($D174="","",IFERROR(INDEX(ClientRates!$E$5:$E$500,MATCH($B174&amp;"|"&amp;$L174,ClientRates!$A$5:$A$500,0)),0))</f>
        <v/>
      </c>
      <c r="O174" s="26" t="str">
        <f aca="false">IF($D174="","",F174*M174+G174*N174)</f>
        <v/>
      </c>
      <c r="P174" s="26" t="str">
        <f aca="false">IF(OR($D174="",$J174&lt;&gt;"Supplier"),"",IFERROR(INDEX(SupplierRates!$D$5:$D$500,MATCH($K174&amp;"|"&amp;$L174,SupplierRates!$A$5:$A$500,0)),0))</f>
        <v/>
      </c>
      <c r="Q174" s="26" t="str">
        <f aca="false">IF(OR($D174="",$J174&lt;&gt;"Supplier"),"",IFERROR(INDEX(SupplierRates!$E$5:$E$500,MATCH($K174&amp;"|"&amp;$L174,SupplierRates!$A$5:$A$500,0)),0))</f>
        <v/>
      </c>
      <c r="R174" s="26" t="n">
        <f aca="false">IF(OR($D174="",$J174&lt;&gt;"Supplier"),0,F174*P174+G174*Q174)</f>
        <v>0</v>
      </c>
      <c r="S174" s="26" t="n">
        <f aca="false">IF(OR($D174="",$J174&lt;&gt;"Own"),0,IFERROR((F174+G174*Settings!$B$13)*INDEX(Workers!$V$5:$V$2004,MATCH($D174,Workers!$A$5:$A$2004,0)),0))</f>
        <v>0</v>
      </c>
      <c r="T174" s="26" t="str">
        <f aca="false">IF($D174="","",O174-R174-S174)</f>
        <v/>
      </c>
    </row>
    <row r="175" customFormat="false" ht="15" hidden="false" customHeight="false" outlineLevel="0" collapsed="false">
      <c r="I175" s="24" t="str">
        <f aca="false">IF($D175="","",IFERROR(INDEX(Workers!$B$5:$B$2004,MATCH($D175,Workers!$A$5:$A$2004,0)),"NOT FOUND"))</f>
        <v/>
      </c>
      <c r="J175" s="24" t="str">
        <f aca="false">IF($D175="","",IFERROR(INDEX(Workers!$C$5:$C$2004,MATCH($D175,Workers!$A$5:$A$2004,0)),""))</f>
        <v/>
      </c>
      <c r="K175" s="24" t="str">
        <f aca="false">IF($D175="","",IFERROR(IF(INDEX(Workers!$D$5:$D$2004,MATCH($D175,Workers!$A$5:$A$2004,0))=0,"",INDEX(Workers!$D$5:$D$2004,MATCH($D175,Workers!$A$5:$A$2004,0))),""))</f>
        <v/>
      </c>
      <c r="L175" s="24" t="str">
        <f aca="false">IF($D175="","",IFERROR(INDEX(Workers!$E$5:$E$2004,MATCH($D175,Workers!$A$5:$A$2004,0)),""))</f>
        <v/>
      </c>
      <c r="M175" s="26" t="str">
        <f aca="false">IF($D175="","",IFERROR(INDEX(ClientRates!$D$5:$D$500,MATCH($B175&amp;"|"&amp;$L175,ClientRates!$A$5:$A$500,0)),0))</f>
        <v/>
      </c>
      <c r="N175" s="26" t="str">
        <f aca="false">IF($D175="","",IFERROR(INDEX(ClientRates!$E$5:$E$500,MATCH($B175&amp;"|"&amp;$L175,ClientRates!$A$5:$A$500,0)),0))</f>
        <v/>
      </c>
      <c r="O175" s="26" t="str">
        <f aca="false">IF($D175="","",F175*M175+G175*N175)</f>
        <v/>
      </c>
      <c r="P175" s="26" t="str">
        <f aca="false">IF(OR($D175="",$J175&lt;&gt;"Supplier"),"",IFERROR(INDEX(SupplierRates!$D$5:$D$500,MATCH($K175&amp;"|"&amp;$L175,SupplierRates!$A$5:$A$500,0)),0))</f>
        <v/>
      </c>
      <c r="Q175" s="26" t="str">
        <f aca="false">IF(OR($D175="",$J175&lt;&gt;"Supplier"),"",IFERROR(INDEX(SupplierRates!$E$5:$E$500,MATCH($K175&amp;"|"&amp;$L175,SupplierRates!$A$5:$A$500,0)),0))</f>
        <v/>
      </c>
      <c r="R175" s="26" t="n">
        <f aca="false">IF(OR($D175="",$J175&lt;&gt;"Supplier"),0,F175*P175+G175*Q175)</f>
        <v>0</v>
      </c>
      <c r="S175" s="26" t="n">
        <f aca="false">IF(OR($D175="",$J175&lt;&gt;"Own"),0,IFERROR((F175+G175*Settings!$B$13)*INDEX(Workers!$V$5:$V$2004,MATCH($D175,Workers!$A$5:$A$2004,0)),0))</f>
        <v>0</v>
      </c>
      <c r="T175" s="26" t="str">
        <f aca="false">IF($D175="","",O175-R175-S175)</f>
        <v/>
      </c>
    </row>
    <row r="176" customFormat="false" ht="15" hidden="false" customHeight="false" outlineLevel="0" collapsed="false">
      <c r="I176" s="24" t="str">
        <f aca="false">IF($D176="","",IFERROR(INDEX(Workers!$B$5:$B$2004,MATCH($D176,Workers!$A$5:$A$2004,0)),"NOT FOUND"))</f>
        <v/>
      </c>
      <c r="J176" s="24" t="str">
        <f aca="false">IF($D176="","",IFERROR(INDEX(Workers!$C$5:$C$2004,MATCH($D176,Workers!$A$5:$A$2004,0)),""))</f>
        <v/>
      </c>
      <c r="K176" s="24" t="str">
        <f aca="false">IF($D176="","",IFERROR(IF(INDEX(Workers!$D$5:$D$2004,MATCH($D176,Workers!$A$5:$A$2004,0))=0,"",INDEX(Workers!$D$5:$D$2004,MATCH($D176,Workers!$A$5:$A$2004,0))),""))</f>
        <v/>
      </c>
      <c r="L176" s="24" t="str">
        <f aca="false">IF($D176="","",IFERROR(INDEX(Workers!$E$5:$E$2004,MATCH($D176,Workers!$A$5:$A$2004,0)),""))</f>
        <v/>
      </c>
      <c r="M176" s="26" t="str">
        <f aca="false">IF($D176="","",IFERROR(INDEX(ClientRates!$D$5:$D$500,MATCH($B176&amp;"|"&amp;$L176,ClientRates!$A$5:$A$500,0)),0))</f>
        <v/>
      </c>
      <c r="N176" s="26" t="str">
        <f aca="false">IF($D176="","",IFERROR(INDEX(ClientRates!$E$5:$E$500,MATCH($B176&amp;"|"&amp;$L176,ClientRates!$A$5:$A$500,0)),0))</f>
        <v/>
      </c>
      <c r="O176" s="26" t="str">
        <f aca="false">IF($D176="","",F176*M176+G176*N176)</f>
        <v/>
      </c>
      <c r="P176" s="26" t="str">
        <f aca="false">IF(OR($D176="",$J176&lt;&gt;"Supplier"),"",IFERROR(INDEX(SupplierRates!$D$5:$D$500,MATCH($K176&amp;"|"&amp;$L176,SupplierRates!$A$5:$A$500,0)),0))</f>
        <v/>
      </c>
      <c r="Q176" s="26" t="str">
        <f aca="false">IF(OR($D176="",$J176&lt;&gt;"Supplier"),"",IFERROR(INDEX(SupplierRates!$E$5:$E$500,MATCH($K176&amp;"|"&amp;$L176,SupplierRates!$A$5:$A$500,0)),0))</f>
        <v/>
      </c>
      <c r="R176" s="26" t="n">
        <f aca="false">IF(OR($D176="",$J176&lt;&gt;"Supplier"),0,F176*P176+G176*Q176)</f>
        <v>0</v>
      </c>
      <c r="S176" s="26" t="n">
        <f aca="false">IF(OR($D176="",$J176&lt;&gt;"Own"),0,IFERROR((F176+G176*Settings!$B$13)*INDEX(Workers!$V$5:$V$2004,MATCH($D176,Workers!$A$5:$A$2004,0)),0))</f>
        <v>0</v>
      </c>
      <c r="T176" s="26" t="str">
        <f aca="false">IF($D176="","",O176-R176-S176)</f>
        <v/>
      </c>
    </row>
    <row r="177" customFormat="false" ht="15" hidden="false" customHeight="false" outlineLevel="0" collapsed="false">
      <c r="I177" s="24" t="str">
        <f aca="false">IF($D177="","",IFERROR(INDEX(Workers!$B$5:$B$2004,MATCH($D177,Workers!$A$5:$A$2004,0)),"NOT FOUND"))</f>
        <v/>
      </c>
      <c r="J177" s="24" t="str">
        <f aca="false">IF($D177="","",IFERROR(INDEX(Workers!$C$5:$C$2004,MATCH($D177,Workers!$A$5:$A$2004,0)),""))</f>
        <v/>
      </c>
      <c r="K177" s="24" t="str">
        <f aca="false">IF($D177="","",IFERROR(IF(INDEX(Workers!$D$5:$D$2004,MATCH($D177,Workers!$A$5:$A$2004,0))=0,"",INDEX(Workers!$D$5:$D$2004,MATCH($D177,Workers!$A$5:$A$2004,0))),""))</f>
        <v/>
      </c>
      <c r="L177" s="24" t="str">
        <f aca="false">IF($D177="","",IFERROR(INDEX(Workers!$E$5:$E$2004,MATCH($D177,Workers!$A$5:$A$2004,0)),""))</f>
        <v/>
      </c>
      <c r="M177" s="26" t="str">
        <f aca="false">IF($D177="","",IFERROR(INDEX(ClientRates!$D$5:$D$500,MATCH($B177&amp;"|"&amp;$L177,ClientRates!$A$5:$A$500,0)),0))</f>
        <v/>
      </c>
      <c r="N177" s="26" t="str">
        <f aca="false">IF($D177="","",IFERROR(INDEX(ClientRates!$E$5:$E$500,MATCH($B177&amp;"|"&amp;$L177,ClientRates!$A$5:$A$500,0)),0))</f>
        <v/>
      </c>
      <c r="O177" s="26" t="str">
        <f aca="false">IF($D177="","",F177*M177+G177*N177)</f>
        <v/>
      </c>
      <c r="P177" s="26" t="str">
        <f aca="false">IF(OR($D177="",$J177&lt;&gt;"Supplier"),"",IFERROR(INDEX(SupplierRates!$D$5:$D$500,MATCH($K177&amp;"|"&amp;$L177,SupplierRates!$A$5:$A$500,0)),0))</f>
        <v/>
      </c>
      <c r="Q177" s="26" t="str">
        <f aca="false">IF(OR($D177="",$J177&lt;&gt;"Supplier"),"",IFERROR(INDEX(SupplierRates!$E$5:$E$500,MATCH($K177&amp;"|"&amp;$L177,SupplierRates!$A$5:$A$500,0)),0))</f>
        <v/>
      </c>
      <c r="R177" s="26" t="n">
        <f aca="false">IF(OR($D177="",$J177&lt;&gt;"Supplier"),0,F177*P177+G177*Q177)</f>
        <v>0</v>
      </c>
      <c r="S177" s="26" t="n">
        <f aca="false">IF(OR($D177="",$J177&lt;&gt;"Own"),0,IFERROR((F177+G177*Settings!$B$13)*INDEX(Workers!$V$5:$V$2004,MATCH($D177,Workers!$A$5:$A$2004,0)),0))</f>
        <v>0</v>
      </c>
      <c r="T177" s="26" t="str">
        <f aca="false">IF($D177="","",O177-R177-S177)</f>
        <v/>
      </c>
    </row>
    <row r="178" customFormat="false" ht="15" hidden="false" customHeight="false" outlineLevel="0" collapsed="false">
      <c r="I178" s="24" t="str">
        <f aca="false">IF($D178="","",IFERROR(INDEX(Workers!$B$5:$B$2004,MATCH($D178,Workers!$A$5:$A$2004,0)),"NOT FOUND"))</f>
        <v/>
      </c>
      <c r="J178" s="24" t="str">
        <f aca="false">IF($D178="","",IFERROR(INDEX(Workers!$C$5:$C$2004,MATCH($D178,Workers!$A$5:$A$2004,0)),""))</f>
        <v/>
      </c>
      <c r="K178" s="24" t="str">
        <f aca="false">IF($D178="","",IFERROR(IF(INDEX(Workers!$D$5:$D$2004,MATCH($D178,Workers!$A$5:$A$2004,0))=0,"",INDEX(Workers!$D$5:$D$2004,MATCH($D178,Workers!$A$5:$A$2004,0))),""))</f>
        <v/>
      </c>
      <c r="L178" s="24" t="str">
        <f aca="false">IF($D178="","",IFERROR(INDEX(Workers!$E$5:$E$2004,MATCH($D178,Workers!$A$5:$A$2004,0)),""))</f>
        <v/>
      </c>
      <c r="M178" s="26" t="str">
        <f aca="false">IF($D178="","",IFERROR(INDEX(ClientRates!$D$5:$D$500,MATCH($B178&amp;"|"&amp;$L178,ClientRates!$A$5:$A$500,0)),0))</f>
        <v/>
      </c>
      <c r="N178" s="26" t="str">
        <f aca="false">IF($D178="","",IFERROR(INDEX(ClientRates!$E$5:$E$500,MATCH($B178&amp;"|"&amp;$L178,ClientRates!$A$5:$A$500,0)),0))</f>
        <v/>
      </c>
      <c r="O178" s="26" t="str">
        <f aca="false">IF($D178="","",F178*M178+G178*N178)</f>
        <v/>
      </c>
      <c r="P178" s="26" t="str">
        <f aca="false">IF(OR($D178="",$J178&lt;&gt;"Supplier"),"",IFERROR(INDEX(SupplierRates!$D$5:$D$500,MATCH($K178&amp;"|"&amp;$L178,SupplierRates!$A$5:$A$500,0)),0))</f>
        <v/>
      </c>
      <c r="Q178" s="26" t="str">
        <f aca="false">IF(OR($D178="",$J178&lt;&gt;"Supplier"),"",IFERROR(INDEX(SupplierRates!$E$5:$E$500,MATCH($K178&amp;"|"&amp;$L178,SupplierRates!$A$5:$A$500,0)),0))</f>
        <v/>
      </c>
      <c r="R178" s="26" t="n">
        <f aca="false">IF(OR($D178="",$J178&lt;&gt;"Supplier"),0,F178*P178+G178*Q178)</f>
        <v>0</v>
      </c>
      <c r="S178" s="26" t="n">
        <f aca="false">IF(OR($D178="",$J178&lt;&gt;"Own"),0,IFERROR((F178+G178*Settings!$B$13)*INDEX(Workers!$V$5:$V$2004,MATCH($D178,Workers!$A$5:$A$2004,0)),0))</f>
        <v>0</v>
      </c>
      <c r="T178" s="26" t="str">
        <f aca="false">IF($D178="","",O178-R178-S178)</f>
        <v/>
      </c>
    </row>
    <row r="179" customFormat="false" ht="15" hidden="false" customHeight="false" outlineLevel="0" collapsed="false">
      <c r="I179" s="24" t="str">
        <f aca="false">IF($D179="","",IFERROR(INDEX(Workers!$B$5:$B$2004,MATCH($D179,Workers!$A$5:$A$2004,0)),"NOT FOUND"))</f>
        <v/>
      </c>
      <c r="J179" s="24" t="str">
        <f aca="false">IF($D179="","",IFERROR(INDEX(Workers!$C$5:$C$2004,MATCH($D179,Workers!$A$5:$A$2004,0)),""))</f>
        <v/>
      </c>
      <c r="K179" s="24" t="str">
        <f aca="false">IF($D179="","",IFERROR(IF(INDEX(Workers!$D$5:$D$2004,MATCH($D179,Workers!$A$5:$A$2004,0))=0,"",INDEX(Workers!$D$5:$D$2004,MATCH($D179,Workers!$A$5:$A$2004,0))),""))</f>
        <v/>
      </c>
      <c r="L179" s="24" t="str">
        <f aca="false">IF($D179="","",IFERROR(INDEX(Workers!$E$5:$E$2004,MATCH($D179,Workers!$A$5:$A$2004,0)),""))</f>
        <v/>
      </c>
      <c r="M179" s="26" t="str">
        <f aca="false">IF($D179="","",IFERROR(INDEX(ClientRates!$D$5:$D$500,MATCH($B179&amp;"|"&amp;$L179,ClientRates!$A$5:$A$500,0)),0))</f>
        <v/>
      </c>
      <c r="N179" s="26" t="str">
        <f aca="false">IF($D179="","",IFERROR(INDEX(ClientRates!$E$5:$E$500,MATCH($B179&amp;"|"&amp;$L179,ClientRates!$A$5:$A$500,0)),0))</f>
        <v/>
      </c>
      <c r="O179" s="26" t="str">
        <f aca="false">IF($D179="","",F179*M179+G179*N179)</f>
        <v/>
      </c>
      <c r="P179" s="26" t="str">
        <f aca="false">IF(OR($D179="",$J179&lt;&gt;"Supplier"),"",IFERROR(INDEX(SupplierRates!$D$5:$D$500,MATCH($K179&amp;"|"&amp;$L179,SupplierRates!$A$5:$A$500,0)),0))</f>
        <v/>
      </c>
      <c r="Q179" s="26" t="str">
        <f aca="false">IF(OR($D179="",$J179&lt;&gt;"Supplier"),"",IFERROR(INDEX(SupplierRates!$E$5:$E$500,MATCH($K179&amp;"|"&amp;$L179,SupplierRates!$A$5:$A$500,0)),0))</f>
        <v/>
      </c>
      <c r="R179" s="26" t="n">
        <f aca="false">IF(OR($D179="",$J179&lt;&gt;"Supplier"),0,F179*P179+G179*Q179)</f>
        <v>0</v>
      </c>
      <c r="S179" s="26" t="n">
        <f aca="false">IF(OR($D179="",$J179&lt;&gt;"Own"),0,IFERROR((F179+G179*Settings!$B$13)*INDEX(Workers!$V$5:$V$2004,MATCH($D179,Workers!$A$5:$A$2004,0)),0))</f>
        <v>0</v>
      </c>
      <c r="T179" s="26" t="str">
        <f aca="false">IF($D179="","",O179-R179-S179)</f>
        <v/>
      </c>
    </row>
    <row r="180" customFormat="false" ht="15" hidden="false" customHeight="false" outlineLevel="0" collapsed="false">
      <c r="I180" s="24" t="str">
        <f aca="false">IF($D180="","",IFERROR(INDEX(Workers!$B$5:$B$2004,MATCH($D180,Workers!$A$5:$A$2004,0)),"NOT FOUND"))</f>
        <v/>
      </c>
      <c r="J180" s="24" t="str">
        <f aca="false">IF($D180="","",IFERROR(INDEX(Workers!$C$5:$C$2004,MATCH($D180,Workers!$A$5:$A$2004,0)),""))</f>
        <v/>
      </c>
      <c r="K180" s="24" t="str">
        <f aca="false">IF($D180="","",IFERROR(IF(INDEX(Workers!$D$5:$D$2004,MATCH($D180,Workers!$A$5:$A$2004,0))=0,"",INDEX(Workers!$D$5:$D$2004,MATCH($D180,Workers!$A$5:$A$2004,0))),""))</f>
        <v/>
      </c>
      <c r="L180" s="24" t="str">
        <f aca="false">IF($D180="","",IFERROR(INDEX(Workers!$E$5:$E$2004,MATCH($D180,Workers!$A$5:$A$2004,0)),""))</f>
        <v/>
      </c>
      <c r="M180" s="26" t="str">
        <f aca="false">IF($D180="","",IFERROR(INDEX(ClientRates!$D$5:$D$500,MATCH($B180&amp;"|"&amp;$L180,ClientRates!$A$5:$A$500,0)),0))</f>
        <v/>
      </c>
      <c r="N180" s="26" t="str">
        <f aca="false">IF($D180="","",IFERROR(INDEX(ClientRates!$E$5:$E$500,MATCH($B180&amp;"|"&amp;$L180,ClientRates!$A$5:$A$500,0)),0))</f>
        <v/>
      </c>
      <c r="O180" s="26" t="str">
        <f aca="false">IF($D180="","",F180*M180+G180*N180)</f>
        <v/>
      </c>
      <c r="P180" s="26" t="str">
        <f aca="false">IF(OR($D180="",$J180&lt;&gt;"Supplier"),"",IFERROR(INDEX(SupplierRates!$D$5:$D$500,MATCH($K180&amp;"|"&amp;$L180,SupplierRates!$A$5:$A$500,0)),0))</f>
        <v/>
      </c>
      <c r="Q180" s="26" t="str">
        <f aca="false">IF(OR($D180="",$J180&lt;&gt;"Supplier"),"",IFERROR(INDEX(SupplierRates!$E$5:$E$500,MATCH($K180&amp;"|"&amp;$L180,SupplierRates!$A$5:$A$500,0)),0))</f>
        <v/>
      </c>
      <c r="R180" s="26" t="n">
        <f aca="false">IF(OR($D180="",$J180&lt;&gt;"Supplier"),0,F180*P180+G180*Q180)</f>
        <v>0</v>
      </c>
      <c r="S180" s="26" t="n">
        <f aca="false">IF(OR($D180="",$J180&lt;&gt;"Own"),0,IFERROR((F180+G180*Settings!$B$13)*INDEX(Workers!$V$5:$V$2004,MATCH($D180,Workers!$A$5:$A$2004,0)),0))</f>
        <v>0</v>
      </c>
      <c r="T180" s="26" t="str">
        <f aca="false">IF($D180="","",O180-R180-S180)</f>
        <v/>
      </c>
    </row>
    <row r="181" customFormat="false" ht="15" hidden="false" customHeight="false" outlineLevel="0" collapsed="false">
      <c r="I181" s="24" t="str">
        <f aca="false">IF($D181="","",IFERROR(INDEX(Workers!$B$5:$B$2004,MATCH($D181,Workers!$A$5:$A$2004,0)),"NOT FOUND"))</f>
        <v/>
      </c>
      <c r="J181" s="24" t="str">
        <f aca="false">IF($D181="","",IFERROR(INDEX(Workers!$C$5:$C$2004,MATCH($D181,Workers!$A$5:$A$2004,0)),""))</f>
        <v/>
      </c>
      <c r="K181" s="24" t="str">
        <f aca="false">IF($D181="","",IFERROR(IF(INDEX(Workers!$D$5:$D$2004,MATCH($D181,Workers!$A$5:$A$2004,0))=0,"",INDEX(Workers!$D$5:$D$2004,MATCH($D181,Workers!$A$5:$A$2004,0))),""))</f>
        <v/>
      </c>
      <c r="L181" s="24" t="str">
        <f aca="false">IF($D181="","",IFERROR(INDEX(Workers!$E$5:$E$2004,MATCH($D181,Workers!$A$5:$A$2004,0)),""))</f>
        <v/>
      </c>
      <c r="M181" s="26" t="str">
        <f aca="false">IF($D181="","",IFERROR(INDEX(ClientRates!$D$5:$D$500,MATCH($B181&amp;"|"&amp;$L181,ClientRates!$A$5:$A$500,0)),0))</f>
        <v/>
      </c>
      <c r="N181" s="26" t="str">
        <f aca="false">IF($D181="","",IFERROR(INDEX(ClientRates!$E$5:$E$500,MATCH($B181&amp;"|"&amp;$L181,ClientRates!$A$5:$A$500,0)),0))</f>
        <v/>
      </c>
      <c r="O181" s="26" t="str">
        <f aca="false">IF($D181="","",F181*M181+G181*N181)</f>
        <v/>
      </c>
      <c r="P181" s="26" t="str">
        <f aca="false">IF(OR($D181="",$J181&lt;&gt;"Supplier"),"",IFERROR(INDEX(SupplierRates!$D$5:$D$500,MATCH($K181&amp;"|"&amp;$L181,SupplierRates!$A$5:$A$500,0)),0))</f>
        <v/>
      </c>
      <c r="Q181" s="26" t="str">
        <f aca="false">IF(OR($D181="",$J181&lt;&gt;"Supplier"),"",IFERROR(INDEX(SupplierRates!$E$5:$E$500,MATCH($K181&amp;"|"&amp;$L181,SupplierRates!$A$5:$A$500,0)),0))</f>
        <v/>
      </c>
      <c r="R181" s="26" t="n">
        <f aca="false">IF(OR($D181="",$J181&lt;&gt;"Supplier"),0,F181*P181+G181*Q181)</f>
        <v>0</v>
      </c>
      <c r="S181" s="26" t="n">
        <f aca="false">IF(OR($D181="",$J181&lt;&gt;"Own"),0,IFERROR((F181+G181*Settings!$B$13)*INDEX(Workers!$V$5:$V$2004,MATCH($D181,Workers!$A$5:$A$2004,0)),0))</f>
        <v>0</v>
      </c>
      <c r="T181" s="26" t="str">
        <f aca="false">IF($D181="","",O181-R181-S181)</f>
        <v/>
      </c>
    </row>
    <row r="182" customFormat="false" ht="15" hidden="false" customHeight="false" outlineLevel="0" collapsed="false">
      <c r="I182" s="24" t="str">
        <f aca="false">IF($D182="","",IFERROR(INDEX(Workers!$B$5:$B$2004,MATCH($D182,Workers!$A$5:$A$2004,0)),"NOT FOUND"))</f>
        <v/>
      </c>
      <c r="J182" s="24" t="str">
        <f aca="false">IF($D182="","",IFERROR(INDEX(Workers!$C$5:$C$2004,MATCH($D182,Workers!$A$5:$A$2004,0)),""))</f>
        <v/>
      </c>
      <c r="K182" s="24" t="str">
        <f aca="false">IF($D182="","",IFERROR(IF(INDEX(Workers!$D$5:$D$2004,MATCH($D182,Workers!$A$5:$A$2004,0))=0,"",INDEX(Workers!$D$5:$D$2004,MATCH($D182,Workers!$A$5:$A$2004,0))),""))</f>
        <v/>
      </c>
      <c r="L182" s="24" t="str">
        <f aca="false">IF($D182="","",IFERROR(INDEX(Workers!$E$5:$E$2004,MATCH($D182,Workers!$A$5:$A$2004,0)),""))</f>
        <v/>
      </c>
      <c r="M182" s="26" t="str">
        <f aca="false">IF($D182="","",IFERROR(INDEX(ClientRates!$D$5:$D$500,MATCH($B182&amp;"|"&amp;$L182,ClientRates!$A$5:$A$500,0)),0))</f>
        <v/>
      </c>
      <c r="N182" s="26" t="str">
        <f aca="false">IF($D182="","",IFERROR(INDEX(ClientRates!$E$5:$E$500,MATCH($B182&amp;"|"&amp;$L182,ClientRates!$A$5:$A$500,0)),0))</f>
        <v/>
      </c>
      <c r="O182" s="26" t="str">
        <f aca="false">IF($D182="","",F182*M182+G182*N182)</f>
        <v/>
      </c>
      <c r="P182" s="26" t="str">
        <f aca="false">IF(OR($D182="",$J182&lt;&gt;"Supplier"),"",IFERROR(INDEX(SupplierRates!$D$5:$D$500,MATCH($K182&amp;"|"&amp;$L182,SupplierRates!$A$5:$A$500,0)),0))</f>
        <v/>
      </c>
      <c r="Q182" s="26" t="str">
        <f aca="false">IF(OR($D182="",$J182&lt;&gt;"Supplier"),"",IFERROR(INDEX(SupplierRates!$E$5:$E$500,MATCH($K182&amp;"|"&amp;$L182,SupplierRates!$A$5:$A$500,0)),0))</f>
        <v/>
      </c>
      <c r="R182" s="26" t="n">
        <f aca="false">IF(OR($D182="",$J182&lt;&gt;"Supplier"),0,F182*P182+G182*Q182)</f>
        <v>0</v>
      </c>
      <c r="S182" s="26" t="n">
        <f aca="false">IF(OR($D182="",$J182&lt;&gt;"Own"),0,IFERROR((F182+G182*Settings!$B$13)*INDEX(Workers!$V$5:$V$2004,MATCH($D182,Workers!$A$5:$A$2004,0)),0))</f>
        <v>0</v>
      </c>
      <c r="T182" s="26" t="str">
        <f aca="false">IF($D182="","",O182-R182-S182)</f>
        <v/>
      </c>
    </row>
    <row r="183" customFormat="false" ht="15" hidden="false" customHeight="false" outlineLevel="0" collapsed="false">
      <c r="I183" s="24" t="str">
        <f aca="false">IF($D183="","",IFERROR(INDEX(Workers!$B$5:$B$2004,MATCH($D183,Workers!$A$5:$A$2004,0)),"NOT FOUND"))</f>
        <v/>
      </c>
      <c r="J183" s="24" t="str">
        <f aca="false">IF($D183="","",IFERROR(INDEX(Workers!$C$5:$C$2004,MATCH($D183,Workers!$A$5:$A$2004,0)),""))</f>
        <v/>
      </c>
      <c r="K183" s="24" t="str">
        <f aca="false">IF($D183="","",IFERROR(IF(INDEX(Workers!$D$5:$D$2004,MATCH($D183,Workers!$A$5:$A$2004,0))=0,"",INDEX(Workers!$D$5:$D$2004,MATCH($D183,Workers!$A$5:$A$2004,0))),""))</f>
        <v/>
      </c>
      <c r="L183" s="24" t="str">
        <f aca="false">IF($D183="","",IFERROR(INDEX(Workers!$E$5:$E$2004,MATCH($D183,Workers!$A$5:$A$2004,0)),""))</f>
        <v/>
      </c>
      <c r="M183" s="26" t="str">
        <f aca="false">IF($D183="","",IFERROR(INDEX(ClientRates!$D$5:$D$500,MATCH($B183&amp;"|"&amp;$L183,ClientRates!$A$5:$A$500,0)),0))</f>
        <v/>
      </c>
      <c r="N183" s="26" t="str">
        <f aca="false">IF($D183="","",IFERROR(INDEX(ClientRates!$E$5:$E$500,MATCH($B183&amp;"|"&amp;$L183,ClientRates!$A$5:$A$500,0)),0))</f>
        <v/>
      </c>
      <c r="O183" s="26" t="str">
        <f aca="false">IF($D183="","",F183*M183+G183*N183)</f>
        <v/>
      </c>
      <c r="P183" s="26" t="str">
        <f aca="false">IF(OR($D183="",$J183&lt;&gt;"Supplier"),"",IFERROR(INDEX(SupplierRates!$D$5:$D$500,MATCH($K183&amp;"|"&amp;$L183,SupplierRates!$A$5:$A$500,0)),0))</f>
        <v/>
      </c>
      <c r="Q183" s="26" t="str">
        <f aca="false">IF(OR($D183="",$J183&lt;&gt;"Supplier"),"",IFERROR(INDEX(SupplierRates!$E$5:$E$500,MATCH($K183&amp;"|"&amp;$L183,SupplierRates!$A$5:$A$500,0)),0))</f>
        <v/>
      </c>
      <c r="R183" s="26" t="n">
        <f aca="false">IF(OR($D183="",$J183&lt;&gt;"Supplier"),0,F183*P183+G183*Q183)</f>
        <v>0</v>
      </c>
      <c r="S183" s="26" t="n">
        <f aca="false">IF(OR($D183="",$J183&lt;&gt;"Own"),0,IFERROR((F183+G183*Settings!$B$13)*INDEX(Workers!$V$5:$V$2004,MATCH($D183,Workers!$A$5:$A$2004,0)),0))</f>
        <v>0</v>
      </c>
      <c r="T183" s="26" t="str">
        <f aca="false">IF($D183="","",O183-R183-S183)</f>
        <v/>
      </c>
    </row>
    <row r="184" customFormat="false" ht="15" hidden="false" customHeight="false" outlineLevel="0" collapsed="false">
      <c r="I184" s="24" t="str">
        <f aca="false">IF($D184="","",IFERROR(INDEX(Workers!$B$5:$B$2004,MATCH($D184,Workers!$A$5:$A$2004,0)),"NOT FOUND"))</f>
        <v/>
      </c>
      <c r="J184" s="24" t="str">
        <f aca="false">IF($D184="","",IFERROR(INDEX(Workers!$C$5:$C$2004,MATCH($D184,Workers!$A$5:$A$2004,0)),""))</f>
        <v/>
      </c>
      <c r="K184" s="24" t="str">
        <f aca="false">IF($D184="","",IFERROR(IF(INDEX(Workers!$D$5:$D$2004,MATCH($D184,Workers!$A$5:$A$2004,0))=0,"",INDEX(Workers!$D$5:$D$2004,MATCH($D184,Workers!$A$5:$A$2004,0))),""))</f>
        <v/>
      </c>
      <c r="L184" s="24" t="str">
        <f aca="false">IF($D184="","",IFERROR(INDEX(Workers!$E$5:$E$2004,MATCH($D184,Workers!$A$5:$A$2004,0)),""))</f>
        <v/>
      </c>
      <c r="M184" s="26" t="str">
        <f aca="false">IF($D184="","",IFERROR(INDEX(ClientRates!$D$5:$D$500,MATCH($B184&amp;"|"&amp;$L184,ClientRates!$A$5:$A$500,0)),0))</f>
        <v/>
      </c>
      <c r="N184" s="26" t="str">
        <f aca="false">IF($D184="","",IFERROR(INDEX(ClientRates!$E$5:$E$500,MATCH($B184&amp;"|"&amp;$L184,ClientRates!$A$5:$A$500,0)),0))</f>
        <v/>
      </c>
      <c r="O184" s="26" t="str">
        <f aca="false">IF($D184="","",F184*M184+G184*N184)</f>
        <v/>
      </c>
      <c r="P184" s="26" t="str">
        <f aca="false">IF(OR($D184="",$J184&lt;&gt;"Supplier"),"",IFERROR(INDEX(SupplierRates!$D$5:$D$500,MATCH($K184&amp;"|"&amp;$L184,SupplierRates!$A$5:$A$500,0)),0))</f>
        <v/>
      </c>
      <c r="Q184" s="26" t="str">
        <f aca="false">IF(OR($D184="",$J184&lt;&gt;"Supplier"),"",IFERROR(INDEX(SupplierRates!$E$5:$E$500,MATCH($K184&amp;"|"&amp;$L184,SupplierRates!$A$5:$A$500,0)),0))</f>
        <v/>
      </c>
      <c r="R184" s="26" t="n">
        <f aca="false">IF(OR($D184="",$J184&lt;&gt;"Supplier"),0,F184*P184+G184*Q184)</f>
        <v>0</v>
      </c>
      <c r="S184" s="26" t="n">
        <f aca="false">IF(OR($D184="",$J184&lt;&gt;"Own"),0,IFERROR((F184+G184*Settings!$B$13)*INDEX(Workers!$V$5:$V$2004,MATCH($D184,Workers!$A$5:$A$2004,0)),0))</f>
        <v>0</v>
      </c>
      <c r="T184" s="26" t="str">
        <f aca="false">IF($D184="","",O184-R184-S184)</f>
        <v/>
      </c>
    </row>
    <row r="185" customFormat="false" ht="15" hidden="false" customHeight="false" outlineLevel="0" collapsed="false">
      <c r="I185" s="24" t="str">
        <f aca="false">IF($D185="","",IFERROR(INDEX(Workers!$B$5:$B$2004,MATCH($D185,Workers!$A$5:$A$2004,0)),"NOT FOUND"))</f>
        <v/>
      </c>
      <c r="J185" s="24" t="str">
        <f aca="false">IF($D185="","",IFERROR(INDEX(Workers!$C$5:$C$2004,MATCH($D185,Workers!$A$5:$A$2004,0)),""))</f>
        <v/>
      </c>
      <c r="K185" s="24" t="str">
        <f aca="false">IF($D185="","",IFERROR(IF(INDEX(Workers!$D$5:$D$2004,MATCH($D185,Workers!$A$5:$A$2004,0))=0,"",INDEX(Workers!$D$5:$D$2004,MATCH($D185,Workers!$A$5:$A$2004,0))),""))</f>
        <v/>
      </c>
      <c r="L185" s="24" t="str">
        <f aca="false">IF($D185="","",IFERROR(INDEX(Workers!$E$5:$E$2004,MATCH($D185,Workers!$A$5:$A$2004,0)),""))</f>
        <v/>
      </c>
      <c r="M185" s="26" t="str">
        <f aca="false">IF($D185="","",IFERROR(INDEX(ClientRates!$D$5:$D$500,MATCH($B185&amp;"|"&amp;$L185,ClientRates!$A$5:$A$500,0)),0))</f>
        <v/>
      </c>
      <c r="N185" s="26" t="str">
        <f aca="false">IF($D185="","",IFERROR(INDEX(ClientRates!$E$5:$E$500,MATCH($B185&amp;"|"&amp;$L185,ClientRates!$A$5:$A$500,0)),0))</f>
        <v/>
      </c>
      <c r="O185" s="26" t="str">
        <f aca="false">IF($D185="","",F185*M185+G185*N185)</f>
        <v/>
      </c>
      <c r="P185" s="26" t="str">
        <f aca="false">IF(OR($D185="",$J185&lt;&gt;"Supplier"),"",IFERROR(INDEX(SupplierRates!$D$5:$D$500,MATCH($K185&amp;"|"&amp;$L185,SupplierRates!$A$5:$A$500,0)),0))</f>
        <v/>
      </c>
      <c r="Q185" s="26" t="str">
        <f aca="false">IF(OR($D185="",$J185&lt;&gt;"Supplier"),"",IFERROR(INDEX(SupplierRates!$E$5:$E$500,MATCH($K185&amp;"|"&amp;$L185,SupplierRates!$A$5:$A$500,0)),0))</f>
        <v/>
      </c>
      <c r="R185" s="26" t="n">
        <f aca="false">IF(OR($D185="",$J185&lt;&gt;"Supplier"),0,F185*P185+G185*Q185)</f>
        <v>0</v>
      </c>
      <c r="S185" s="26" t="n">
        <f aca="false">IF(OR($D185="",$J185&lt;&gt;"Own"),0,IFERROR((F185+G185*Settings!$B$13)*INDEX(Workers!$V$5:$V$2004,MATCH($D185,Workers!$A$5:$A$2004,0)),0))</f>
        <v>0</v>
      </c>
      <c r="T185" s="26" t="str">
        <f aca="false">IF($D185="","",O185-R185-S185)</f>
        <v/>
      </c>
    </row>
    <row r="186" customFormat="false" ht="15" hidden="false" customHeight="false" outlineLevel="0" collapsed="false">
      <c r="I186" s="24" t="str">
        <f aca="false">IF($D186="","",IFERROR(INDEX(Workers!$B$5:$B$2004,MATCH($D186,Workers!$A$5:$A$2004,0)),"NOT FOUND"))</f>
        <v/>
      </c>
      <c r="J186" s="24" t="str">
        <f aca="false">IF($D186="","",IFERROR(INDEX(Workers!$C$5:$C$2004,MATCH($D186,Workers!$A$5:$A$2004,0)),""))</f>
        <v/>
      </c>
      <c r="K186" s="24" t="str">
        <f aca="false">IF($D186="","",IFERROR(IF(INDEX(Workers!$D$5:$D$2004,MATCH($D186,Workers!$A$5:$A$2004,0))=0,"",INDEX(Workers!$D$5:$D$2004,MATCH($D186,Workers!$A$5:$A$2004,0))),""))</f>
        <v/>
      </c>
      <c r="L186" s="24" t="str">
        <f aca="false">IF($D186="","",IFERROR(INDEX(Workers!$E$5:$E$2004,MATCH($D186,Workers!$A$5:$A$2004,0)),""))</f>
        <v/>
      </c>
      <c r="M186" s="26" t="str">
        <f aca="false">IF($D186="","",IFERROR(INDEX(ClientRates!$D$5:$D$500,MATCH($B186&amp;"|"&amp;$L186,ClientRates!$A$5:$A$500,0)),0))</f>
        <v/>
      </c>
      <c r="N186" s="26" t="str">
        <f aca="false">IF($D186="","",IFERROR(INDEX(ClientRates!$E$5:$E$500,MATCH($B186&amp;"|"&amp;$L186,ClientRates!$A$5:$A$500,0)),0))</f>
        <v/>
      </c>
      <c r="O186" s="26" t="str">
        <f aca="false">IF($D186="","",F186*M186+G186*N186)</f>
        <v/>
      </c>
      <c r="P186" s="26" t="str">
        <f aca="false">IF(OR($D186="",$J186&lt;&gt;"Supplier"),"",IFERROR(INDEX(SupplierRates!$D$5:$D$500,MATCH($K186&amp;"|"&amp;$L186,SupplierRates!$A$5:$A$500,0)),0))</f>
        <v/>
      </c>
      <c r="Q186" s="26" t="str">
        <f aca="false">IF(OR($D186="",$J186&lt;&gt;"Supplier"),"",IFERROR(INDEX(SupplierRates!$E$5:$E$500,MATCH($K186&amp;"|"&amp;$L186,SupplierRates!$A$5:$A$500,0)),0))</f>
        <v/>
      </c>
      <c r="R186" s="26" t="n">
        <f aca="false">IF(OR($D186="",$J186&lt;&gt;"Supplier"),0,F186*P186+G186*Q186)</f>
        <v>0</v>
      </c>
      <c r="S186" s="26" t="n">
        <f aca="false">IF(OR($D186="",$J186&lt;&gt;"Own"),0,IFERROR((F186+G186*Settings!$B$13)*INDEX(Workers!$V$5:$V$2004,MATCH($D186,Workers!$A$5:$A$2004,0)),0))</f>
        <v>0</v>
      </c>
      <c r="T186" s="26" t="str">
        <f aca="false">IF($D186="","",O186-R186-S186)</f>
        <v/>
      </c>
    </row>
    <row r="187" customFormat="false" ht="15" hidden="false" customHeight="false" outlineLevel="0" collapsed="false">
      <c r="I187" s="24" t="str">
        <f aca="false">IF($D187="","",IFERROR(INDEX(Workers!$B$5:$B$2004,MATCH($D187,Workers!$A$5:$A$2004,0)),"NOT FOUND"))</f>
        <v/>
      </c>
      <c r="J187" s="24" t="str">
        <f aca="false">IF($D187="","",IFERROR(INDEX(Workers!$C$5:$C$2004,MATCH($D187,Workers!$A$5:$A$2004,0)),""))</f>
        <v/>
      </c>
      <c r="K187" s="24" t="str">
        <f aca="false">IF($D187="","",IFERROR(IF(INDEX(Workers!$D$5:$D$2004,MATCH($D187,Workers!$A$5:$A$2004,0))=0,"",INDEX(Workers!$D$5:$D$2004,MATCH($D187,Workers!$A$5:$A$2004,0))),""))</f>
        <v/>
      </c>
      <c r="L187" s="24" t="str">
        <f aca="false">IF($D187="","",IFERROR(INDEX(Workers!$E$5:$E$2004,MATCH($D187,Workers!$A$5:$A$2004,0)),""))</f>
        <v/>
      </c>
      <c r="M187" s="26" t="str">
        <f aca="false">IF($D187="","",IFERROR(INDEX(ClientRates!$D$5:$D$500,MATCH($B187&amp;"|"&amp;$L187,ClientRates!$A$5:$A$500,0)),0))</f>
        <v/>
      </c>
      <c r="N187" s="26" t="str">
        <f aca="false">IF($D187="","",IFERROR(INDEX(ClientRates!$E$5:$E$500,MATCH($B187&amp;"|"&amp;$L187,ClientRates!$A$5:$A$500,0)),0))</f>
        <v/>
      </c>
      <c r="O187" s="26" t="str">
        <f aca="false">IF($D187="","",F187*M187+G187*N187)</f>
        <v/>
      </c>
      <c r="P187" s="26" t="str">
        <f aca="false">IF(OR($D187="",$J187&lt;&gt;"Supplier"),"",IFERROR(INDEX(SupplierRates!$D$5:$D$500,MATCH($K187&amp;"|"&amp;$L187,SupplierRates!$A$5:$A$500,0)),0))</f>
        <v/>
      </c>
      <c r="Q187" s="26" t="str">
        <f aca="false">IF(OR($D187="",$J187&lt;&gt;"Supplier"),"",IFERROR(INDEX(SupplierRates!$E$5:$E$500,MATCH($K187&amp;"|"&amp;$L187,SupplierRates!$A$5:$A$500,0)),0))</f>
        <v/>
      </c>
      <c r="R187" s="26" t="n">
        <f aca="false">IF(OR($D187="",$J187&lt;&gt;"Supplier"),0,F187*P187+G187*Q187)</f>
        <v>0</v>
      </c>
      <c r="S187" s="26" t="n">
        <f aca="false">IF(OR($D187="",$J187&lt;&gt;"Own"),0,IFERROR((F187+G187*Settings!$B$13)*INDEX(Workers!$V$5:$V$2004,MATCH($D187,Workers!$A$5:$A$2004,0)),0))</f>
        <v>0</v>
      </c>
      <c r="T187" s="26" t="str">
        <f aca="false">IF($D187="","",O187-R187-S187)</f>
        <v/>
      </c>
    </row>
    <row r="188" customFormat="false" ht="15" hidden="false" customHeight="false" outlineLevel="0" collapsed="false">
      <c r="I188" s="24" t="str">
        <f aca="false">IF($D188="","",IFERROR(INDEX(Workers!$B$5:$B$2004,MATCH($D188,Workers!$A$5:$A$2004,0)),"NOT FOUND"))</f>
        <v/>
      </c>
      <c r="J188" s="24" t="str">
        <f aca="false">IF($D188="","",IFERROR(INDEX(Workers!$C$5:$C$2004,MATCH($D188,Workers!$A$5:$A$2004,0)),""))</f>
        <v/>
      </c>
      <c r="K188" s="24" t="str">
        <f aca="false">IF($D188="","",IFERROR(IF(INDEX(Workers!$D$5:$D$2004,MATCH($D188,Workers!$A$5:$A$2004,0))=0,"",INDEX(Workers!$D$5:$D$2004,MATCH($D188,Workers!$A$5:$A$2004,0))),""))</f>
        <v/>
      </c>
      <c r="L188" s="24" t="str">
        <f aca="false">IF($D188="","",IFERROR(INDEX(Workers!$E$5:$E$2004,MATCH($D188,Workers!$A$5:$A$2004,0)),""))</f>
        <v/>
      </c>
      <c r="M188" s="26" t="str">
        <f aca="false">IF($D188="","",IFERROR(INDEX(ClientRates!$D$5:$D$500,MATCH($B188&amp;"|"&amp;$L188,ClientRates!$A$5:$A$500,0)),0))</f>
        <v/>
      </c>
      <c r="N188" s="26" t="str">
        <f aca="false">IF($D188="","",IFERROR(INDEX(ClientRates!$E$5:$E$500,MATCH($B188&amp;"|"&amp;$L188,ClientRates!$A$5:$A$500,0)),0))</f>
        <v/>
      </c>
      <c r="O188" s="26" t="str">
        <f aca="false">IF($D188="","",F188*M188+G188*N188)</f>
        <v/>
      </c>
      <c r="P188" s="26" t="str">
        <f aca="false">IF(OR($D188="",$J188&lt;&gt;"Supplier"),"",IFERROR(INDEX(SupplierRates!$D$5:$D$500,MATCH($K188&amp;"|"&amp;$L188,SupplierRates!$A$5:$A$500,0)),0))</f>
        <v/>
      </c>
      <c r="Q188" s="26" t="str">
        <f aca="false">IF(OR($D188="",$J188&lt;&gt;"Supplier"),"",IFERROR(INDEX(SupplierRates!$E$5:$E$500,MATCH($K188&amp;"|"&amp;$L188,SupplierRates!$A$5:$A$500,0)),0))</f>
        <v/>
      </c>
      <c r="R188" s="26" t="n">
        <f aca="false">IF(OR($D188="",$J188&lt;&gt;"Supplier"),0,F188*P188+G188*Q188)</f>
        <v>0</v>
      </c>
      <c r="S188" s="26" t="n">
        <f aca="false">IF(OR($D188="",$J188&lt;&gt;"Own"),0,IFERROR((F188+G188*Settings!$B$13)*INDEX(Workers!$V$5:$V$2004,MATCH($D188,Workers!$A$5:$A$2004,0)),0))</f>
        <v>0</v>
      </c>
      <c r="T188" s="26" t="str">
        <f aca="false">IF($D188="","",O188-R188-S188)</f>
        <v/>
      </c>
    </row>
    <row r="189" customFormat="false" ht="15" hidden="false" customHeight="false" outlineLevel="0" collapsed="false">
      <c r="I189" s="24" t="str">
        <f aca="false">IF($D189="","",IFERROR(INDEX(Workers!$B$5:$B$2004,MATCH($D189,Workers!$A$5:$A$2004,0)),"NOT FOUND"))</f>
        <v/>
      </c>
      <c r="J189" s="24" t="str">
        <f aca="false">IF($D189="","",IFERROR(INDEX(Workers!$C$5:$C$2004,MATCH($D189,Workers!$A$5:$A$2004,0)),""))</f>
        <v/>
      </c>
      <c r="K189" s="24" t="str">
        <f aca="false">IF($D189="","",IFERROR(IF(INDEX(Workers!$D$5:$D$2004,MATCH($D189,Workers!$A$5:$A$2004,0))=0,"",INDEX(Workers!$D$5:$D$2004,MATCH($D189,Workers!$A$5:$A$2004,0))),""))</f>
        <v/>
      </c>
      <c r="L189" s="24" t="str">
        <f aca="false">IF($D189="","",IFERROR(INDEX(Workers!$E$5:$E$2004,MATCH($D189,Workers!$A$5:$A$2004,0)),""))</f>
        <v/>
      </c>
      <c r="M189" s="26" t="str">
        <f aca="false">IF($D189="","",IFERROR(INDEX(ClientRates!$D$5:$D$500,MATCH($B189&amp;"|"&amp;$L189,ClientRates!$A$5:$A$500,0)),0))</f>
        <v/>
      </c>
      <c r="N189" s="26" t="str">
        <f aca="false">IF($D189="","",IFERROR(INDEX(ClientRates!$E$5:$E$500,MATCH($B189&amp;"|"&amp;$L189,ClientRates!$A$5:$A$500,0)),0))</f>
        <v/>
      </c>
      <c r="O189" s="26" t="str">
        <f aca="false">IF($D189="","",F189*M189+G189*N189)</f>
        <v/>
      </c>
      <c r="P189" s="26" t="str">
        <f aca="false">IF(OR($D189="",$J189&lt;&gt;"Supplier"),"",IFERROR(INDEX(SupplierRates!$D$5:$D$500,MATCH($K189&amp;"|"&amp;$L189,SupplierRates!$A$5:$A$500,0)),0))</f>
        <v/>
      </c>
      <c r="Q189" s="26" t="str">
        <f aca="false">IF(OR($D189="",$J189&lt;&gt;"Supplier"),"",IFERROR(INDEX(SupplierRates!$E$5:$E$500,MATCH($K189&amp;"|"&amp;$L189,SupplierRates!$A$5:$A$500,0)),0))</f>
        <v/>
      </c>
      <c r="R189" s="26" t="n">
        <f aca="false">IF(OR($D189="",$J189&lt;&gt;"Supplier"),0,F189*P189+G189*Q189)</f>
        <v>0</v>
      </c>
      <c r="S189" s="26" t="n">
        <f aca="false">IF(OR($D189="",$J189&lt;&gt;"Own"),0,IFERROR((F189+G189*Settings!$B$13)*INDEX(Workers!$V$5:$V$2004,MATCH($D189,Workers!$A$5:$A$2004,0)),0))</f>
        <v>0</v>
      </c>
      <c r="T189" s="26" t="str">
        <f aca="false">IF($D189="","",O189-R189-S189)</f>
        <v/>
      </c>
    </row>
    <row r="190" customFormat="false" ht="15" hidden="false" customHeight="false" outlineLevel="0" collapsed="false">
      <c r="I190" s="24" t="str">
        <f aca="false">IF($D190="","",IFERROR(INDEX(Workers!$B$5:$B$2004,MATCH($D190,Workers!$A$5:$A$2004,0)),"NOT FOUND"))</f>
        <v/>
      </c>
      <c r="J190" s="24" t="str">
        <f aca="false">IF($D190="","",IFERROR(INDEX(Workers!$C$5:$C$2004,MATCH($D190,Workers!$A$5:$A$2004,0)),""))</f>
        <v/>
      </c>
      <c r="K190" s="24" t="str">
        <f aca="false">IF($D190="","",IFERROR(IF(INDEX(Workers!$D$5:$D$2004,MATCH($D190,Workers!$A$5:$A$2004,0))=0,"",INDEX(Workers!$D$5:$D$2004,MATCH($D190,Workers!$A$5:$A$2004,0))),""))</f>
        <v/>
      </c>
      <c r="L190" s="24" t="str">
        <f aca="false">IF($D190="","",IFERROR(INDEX(Workers!$E$5:$E$2004,MATCH($D190,Workers!$A$5:$A$2004,0)),""))</f>
        <v/>
      </c>
      <c r="M190" s="26" t="str">
        <f aca="false">IF($D190="","",IFERROR(INDEX(ClientRates!$D$5:$D$500,MATCH($B190&amp;"|"&amp;$L190,ClientRates!$A$5:$A$500,0)),0))</f>
        <v/>
      </c>
      <c r="N190" s="26" t="str">
        <f aca="false">IF($D190="","",IFERROR(INDEX(ClientRates!$E$5:$E$500,MATCH($B190&amp;"|"&amp;$L190,ClientRates!$A$5:$A$500,0)),0))</f>
        <v/>
      </c>
      <c r="O190" s="26" t="str">
        <f aca="false">IF($D190="","",F190*M190+G190*N190)</f>
        <v/>
      </c>
      <c r="P190" s="26" t="str">
        <f aca="false">IF(OR($D190="",$J190&lt;&gt;"Supplier"),"",IFERROR(INDEX(SupplierRates!$D$5:$D$500,MATCH($K190&amp;"|"&amp;$L190,SupplierRates!$A$5:$A$500,0)),0))</f>
        <v/>
      </c>
      <c r="Q190" s="26" t="str">
        <f aca="false">IF(OR($D190="",$J190&lt;&gt;"Supplier"),"",IFERROR(INDEX(SupplierRates!$E$5:$E$500,MATCH($K190&amp;"|"&amp;$L190,SupplierRates!$A$5:$A$500,0)),0))</f>
        <v/>
      </c>
      <c r="R190" s="26" t="n">
        <f aca="false">IF(OR($D190="",$J190&lt;&gt;"Supplier"),0,F190*P190+G190*Q190)</f>
        <v>0</v>
      </c>
      <c r="S190" s="26" t="n">
        <f aca="false">IF(OR($D190="",$J190&lt;&gt;"Own"),0,IFERROR((F190+G190*Settings!$B$13)*INDEX(Workers!$V$5:$V$2004,MATCH($D190,Workers!$A$5:$A$2004,0)),0))</f>
        <v>0</v>
      </c>
      <c r="T190" s="26" t="str">
        <f aca="false">IF($D190="","",O190-R190-S190)</f>
        <v/>
      </c>
    </row>
    <row r="191" customFormat="false" ht="15" hidden="false" customHeight="false" outlineLevel="0" collapsed="false">
      <c r="I191" s="24" t="str">
        <f aca="false">IF($D191="","",IFERROR(INDEX(Workers!$B$5:$B$2004,MATCH($D191,Workers!$A$5:$A$2004,0)),"NOT FOUND"))</f>
        <v/>
      </c>
      <c r="J191" s="24" t="str">
        <f aca="false">IF($D191="","",IFERROR(INDEX(Workers!$C$5:$C$2004,MATCH($D191,Workers!$A$5:$A$2004,0)),""))</f>
        <v/>
      </c>
      <c r="K191" s="24" t="str">
        <f aca="false">IF($D191="","",IFERROR(IF(INDEX(Workers!$D$5:$D$2004,MATCH($D191,Workers!$A$5:$A$2004,0))=0,"",INDEX(Workers!$D$5:$D$2004,MATCH($D191,Workers!$A$5:$A$2004,0))),""))</f>
        <v/>
      </c>
      <c r="L191" s="24" t="str">
        <f aca="false">IF($D191="","",IFERROR(INDEX(Workers!$E$5:$E$2004,MATCH($D191,Workers!$A$5:$A$2004,0)),""))</f>
        <v/>
      </c>
      <c r="M191" s="26" t="str">
        <f aca="false">IF($D191="","",IFERROR(INDEX(ClientRates!$D$5:$D$500,MATCH($B191&amp;"|"&amp;$L191,ClientRates!$A$5:$A$500,0)),0))</f>
        <v/>
      </c>
      <c r="N191" s="26" t="str">
        <f aca="false">IF($D191="","",IFERROR(INDEX(ClientRates!$E$5:$E$500,MATCH($B191&amp;"|"&amp;$L191,ClientRates!$A$5:$A$500,0)),0))</f>
        <v/>
      </c>
      <c r="O191" s="26" t="str">
        <f aca="false">IF($D191="","",F191*M191+G191*N191)</f>
        <v/>
      </c>
      <c r="P191" s="26" t="str">
        <f aca="false">IF(OR($D191="",$J191&lt;&gt;"Supplier"),"",IFERROR(INDEX(SupplierRates!$D$5:$D$500,MATCH($K191&amp;"|"&amp;$L191,SupplierRates!$A$5:$A$500,0)),0))</f>
        <v/>
      </c>
      <c r="Q191" s="26" t="str">
        <f aca="false">IF(OR($D191="",$J191&lt;&gt;"Supplier"),"",IFERROR(INDEX(SupplierRates!$E$5:$E$500,MATCH($K191&amp;"|"&amp;$L191,SupplierRates!$A$5:$A$500,0)),0))</f>
        <v/>
      </c>
      <c r="R191" s="26" t="n">
        <f aca="false">IF(OR($D191="",$J191&lt;&gt;"Supplier"),0,F191*P191+G191*Q191)</f>
        <v>0</v>
      </c>
      <c r="S191" s="26" t="n">
        <f aca="false">IF(OR($D191="",$J191&lt;&gt;"Own"),0,IFERROR((F191+G191*Settings!$B$13)*INDEX(Workers!$V$5:$V$2004,MATCH($D191,Workers!$A$5:$A$2004,0)),0))</f>
        <v>0</v>
      </c>
      <c r="T191" s="26" t="str">
        <f aca="false">IF($D191="","",O191-R191-S191)</f>
        <v/>
      </c>
    </row>
    <row r="192" customFormat="false" ht="15" hidden="false" customHeight="false" outlineLevel="0" collapsed="false">
      <c r="I192" s="24" t="str">
        <f aca="false">IF($D192="","",IFERROR(INDEX(Workers!$B$5:$B$2004,MATCH($D192,Workers!$A$5:$A$2004,0)),"NOT FOUND"))</f>
        <v/>
      </c>
      <c r="J192" s="24" t="str">
        <f aca="false">IF($D192="","",IFERROR(INDEX(Workers!$C$5:$C$2004,MATCH($D192,Workers!$A$5:$A$2004,0)),""))</f>
        <v/>
      </c>
      <c r="K192" s="24" t="str">
        <f aca="false">IF($D192="","",IFERROR(IF(INDEX(Workers!$D$5:$D$2004,MATCH($D192,Workers!$A$5:$A$2004,0))=0,"",INDEX(Workers!$D$5:$D$2004,MATCH($D192,Workers!$A$5:$A$2004,0))),""))</f>
        <v/>
      </c>
      <c r="L192" s="24" t="str">
        <f aca="false">IF($D192="","",IFERROR(INDEX(Workers!$E$5:$E$2004,MATCH($D192,Workers!$A$5:$A$2004,0)),""))</f>
        <v/>
      </c>
      <c r="M192" s="26" t="str">
        <f aca="false">IF($D192="","",IFERROR(INDEX(ClientRates!$D$5:$D$500,MATCH($B192&amp;"|"&amp;$L192,ClientRates!$A$5:$A$500,0)),0))</f>
        <v/>
      </c>
      <c r="N192" s="26" t="str">
        <f aca="false">IF($D192="","",IFERROR(INDEX(ClientRates!$E$5:$E$500,MATCH($B192&amp;"|"&amp;$L192,ClientRates!$A$5:$A$500,0)),0))</f>
        <v/>
      </c>
      <c r="O192" s="26" t="str">
        <f aca="false">IF($D192="","",F192*M192+G192*N192)</f>
        <v/>
      </c>
      <c r="P192" s="26" t="str">
        <f aca="false">IF(OR($D192="",$J192&lt;&gt;"Supplier"),"",IFERROR(INDEX(SupplierRates!$D$5:$D$500,MATCH($K192&amp;"|"&amp;$L192,SupplierRates!$A$5:$A$500,0)),0))</f>
        <v/>
      </c>
      <c r="Q192" s="26" t="str">
        <f aca="false">IF(OR($D192="",$J192&lt;&gt;"Supplier"),"",IFERROR(INDEX(SupplierRates!$E$5:$E$500,MATCH($K192&amp;"|"&amp;$L192,SupplierRates!$A$5:$A$500,0)),0))</f>
        <v/>
      </c>
      <c r="R192" s="26" t="n">
        <f aca="false">IF(OR($D192="",$J192&lt;&gt;"Supplier"),0,F192*P192+G192*Q192)</f>
        <v>0</v>
      </c>
      <c r="S192" s="26" t="n">
        <f aca="false">IF(OR($D192="",$J192&lt;&gt;"Own"),0,IFERROR((F192+G192*Settings!$B$13)*INDEX(Workers!$V$5:$V$2004,MATCH($D192,Workers!$A$5:$A$2004,0)),0))</f>
        <v>0</v>
      </c>
      <c r="T192" s="26" t="str">
        <f aca="false">IF($D192="","",O192-R192-S192)</f>
        <v/>
      </c>
    </row>
    <row r="193" customFormat="false" ht="15" hidden="false" customHeight="false" outlineLevel="0" collapsed="false">
      <c r="I193" s="24" t="str">
        <f aca="false">IF($D193="","",IFERROR(INDEX(Workers!$B$5:$B$2004,MATCH($D193,Workers!$A$5:$A$2004,0)),"NOT FOUND"))</f>
        <v/>
      </c>
      <c r="J193" s="24" t="str">
        <f aca="false">IF($D193="","",IFERROR(INDEX(Workers!$C$5:$C$2004,MATCH($D193,Workers!$A$5:$A$2004,0)),""))</f>
        <v/>
      </c>
      <c r="K193" s="24" t="str">
        <f aca="false">IF($D193="","",IFERROR(IF(INDEX(Workers!$D$5:$D$2004,MATCH($D193,Workers!$A$5:$A$2004,0))=0,"",INDEX(Workers!$D$5:$D$2004,MATCH($D193,Workers!$A$5:$A$2004,0))),""))</f>
        <v/>
      </c>
      <c r="L193" s="24" t="str">
        <f aca="false">IF($D193="","",IFERROR(INDEX(Workers!$E$5:$E$2004,MATCH($D193,Workers!$A$5:$A$2004,0)),""))</f>
        <v/>
      </c>
      <c r="M193" s="26" t="str">
        <f aca="false">IF($D193="","",IFERROR(INDEX(ClientRates!$D$5:$D$500,MATCH($B193&amp;"|"&amp;$L193,ClientRates!$A$5:$A$500,0)),0))</f>
        <v/>
      </c>
      <c r="N193" s="26" t="str">
        <f aca="false">IF($D193="","",IFERROR(INDEX(ClientRates!$E$5:$E$500,MATCH($B193&amp;"|"&amp;$L193,ClientRates!$A$5:$A$500,0)),0))</f>
        <v/>
      </c>
      <c r="O193" s="26" t="str">
        <f aca="false">IF($D193="","",F193*M193+G193*N193)</f>
        <v/>
      </c>
      <c r="P193" s="26" t="str">
        <f aca="false">IF(OR($D193="",$J193&lt;&gt;"Supplier"),"",IFERROR(INDEX(SupplierRates!$D$5:$D$500,MATCH($K193&amp;"|"&amp;$L193,SupplierRates!$A$5:$A$500,0)),0))</f>
        <v/>
      </c>
      <c r="Q193" s="26" t="str">
        <f aca="false">IF(OR($D193="",$J193&lt;&gt;"Supplier"),"",IFERROR(INDEX(SupplierRates!$E$5:$E$500,MATCH($K193&amp;"|"&amp;$L193,SupplierRates!$A$5:$A$500,0)),0))</f>
        <v/>
      </c>
      <c r="R193" s="26" t="n">
        <f aca="false">IF(OR($D193="",$J193&lt;&gt;"Supplier"),0,F193*P193+G193*Q193)</f>
        <v>0</v>
      </c>
      <c r="S193" s="26" t="n">
        <f aca="false">IF(OR($D193="",$J193&lt;&gt;"Own"),0,IFERROR((F193+G193*Settings!$B$13)*INDEX(Workers!$V$5:$V$2004,MATCH($D193,Workers!$A$5:$A$2004,0)),0))</f>
        <v>0</v>
      </c>
      <c r="T193" s="26" t="str">
        <f aca="false">IF($D193="","",O193-R193-S193)</f>
        <v/>
      </c>
    </row>
    <row r="194" customFormat="false" ht="15" hidden="false" customHeight="false" outlineLevel="0" collapsed="false">
      <c r="I194" s="24" t="str">
        <f aca="false">IF($D194="","",IFERROR(INDEX(Workers!$B$5:$B$2004,MATCH($D194,Workers!$A$5:$A$2004,0)),"NOT FOUND"))</f>
        <v/>
      </c>
      <c r="J194" s="24" t="str">
        <f aca="false">IF($D194="","",IFERROR(INDEX(Workers!$C$5:$C$2004,MATCH($D194,Workers!$A$5:$A$2004,0)),""))</f>
        <v/>
      </c>
      <c r="K194" s="24" t="str">
        <f aca="false">IF($D194="","",IFERROR(IF(INDEX(Workers!$D$5:$D$2004,MATCH($D194,Workers!$A$5:$A$2004,0))=0,"",INDEX(Workers!$D$5:$D$2004,MATCH($D194,Workers!$A$5:$A$2004,0))),""))</f>
        <v/>
      </c>
      <c r="L194" s="24" t="str">
        <f aca="false">IF($D194="","",IFERROR(INDEX(Workers!$E$5:$E$2004,MATCH($D194,Workers!$A$5:$A$2004,0)),""))</f>
        <v/>
      </c>
      <c r="M194" s="26" t="str">
        <f aca="false">IF($D194="","",IFERROR(INDEX(ClientRates!$D$5:$D$500,MATCH($B194&amp;"|"&amp;$L194,ClientRates!$A$5:$A$500,0)),0))</f>
        <v/>
      </c>
      <c r="N194" s="26" t="str">
        <f aca="false">IF($D194="","",IFERROR(INDEX(ClientRates!$E$5:$E$500,MATCH($B194&amp;"|"&amp;$L194,ClientRates!$A$5:$A$500,0)),0))</f>
        <v/>
      </c>
      <c r="O194" s="26" t="str">
        <f aca="false">IF($D194="","",F194*M194+G194*N194)</f>
        <v/>
      </c>
      <c r="P194" s="26" t="str">
        <f aca="false">IF(OR($D194="",$J194&lt;&gt;"Supplier"),"",IFERROR(INDEX(SupplierRates!$D$5:$D$500,MATCH($K194&amp;"|"&amp;$L194,SupplierRates!$A$5:$A$500,0)),0))</f>
        <v/>
      </c>
      <c r="Q194" s="26" t="str">
        <f aca="false">IF(OR($D194="",$J194&lt;&gt;"Supplier"),"",IFERROR(INDEX(SupplierRates!$E$5:$E$500,MATCH($K194&amp;"|"&amp;$L194,SupplierRates!$A$5:$A$500,0)),0))</f>
        <v/>
      </c>
      <c r="R194" s="26" t="n">
        <f aca="false">IF(OR($D194="",$J194&lt;&gt;"Supplier"),0,F194*P194+G194*Q194)</f>
        <v>0</v>
      </c>
      <c r="S194" s="26" t="n">
        <f aca="false">IF(OR($D194="",$J194&lt;&gt;"Own"),0,IFERROR((F194+G194*Settings!$B$13)*INDEX(Workers!$V$5:$V$2004,MATCH($D194,Workers!$A$5:$A$2004,0)),0))</f>
        <v>0</v>
      </c>
      <c r="T194" s="26" t="str">
        <f aca="false">IF($D194="","",O194-R194-S194)</f>
        <v/>
      </c>
    </row>
    <row r="195" customFormat="false" ht="15" hidden="false" customHeight="false" outlineLevel="0" collapsed="false">
      <c r="I195" s="24" t="str">
        <f aca="false">IF($D195="","",IFERROR(INDEX(Workers!$B$5:$B$2004,MATCH($D195,Workers!$A$5:$A$2004,0)),"NOT FOUND"))</f>
        <v/>
      </c>
      <c r="J195" s="24" t="str">
        <f aca="false">IF($D195="","",IFERROR(INDEX(Workers!$C$5:$C$2004,MATCH($D195,Workers!$A$5:$A$2004,0)),""))</f>
        <v/>
      </c>
      <c r="K195" s="24" t="str">
        <f aca="false">IF($D195="","",IFERROR(IF(INDEX(Workers!$D$5:$D$2004,MATCH($D195,Workers!$A$5:$A$2004,0))=0,"",INDEX(Workers!$D$5:$D$2004,MATCH($D195,Workers!$A$5:$A$2004,0))),""))</f>
        <v/>
      </c>
      <c r="L195" s="24" t="str">
        <f aca="false">IF($D195="","",IFERROR(INDEX(Workers!$E$5:$E$2004,MATCH($D195,Workers!$A$5:$A$2004,0)),""))</f>
        <v/>
      </c>
      <c r="M195" s="26" t="str">
        <f aca="false">IF($D195="","",IFERROR(INDEX(ClientRates!$D$5:$D$500,MATCH($B195&amp;"|"&amp;$L195,ClientRates!$A$5:$A$500,0)),0))</f>
        <v/>
      </c>
      <c r="N195" s="26" t="str">
        <f aca="false">IF($D195="","",IFERROR(INDEX(ClientRates!$E$5:$E$500,MATCH($B195&amp;"|"&amp;$L195,ClientRates!$A$5:$A$500,0)),0))</f>
        <v/>
      </c>
      <c r="O195" s="26" t="str">
        <f aca="false">IF($D195="","",F195*M195+G195*N195)</f>
        <v/>
      </c>
      <c r="P195" s="26" t="str">
        <f aca="false">IF(OR($D195="",$J195&lt;&gt;"Supplier"),"",IFERROR(INDEX(SupplierRates!$D$5:$D$500,MATCH($K195&amp;"|"&amp;$L195,SupplierRates!$A$5:$A$500,0)),0))</f>
        <v/>
      </c>
      <c r="Q195" s="26" t="str">
        <f aca="false">IF(OR($D195="",$J195&lt;&gt;"Supplier"),"",IFERROR(INDEX(SupplierRates!$E$5:$E$500,MATCH($K195&amp;"|"&amp;$L195,SupplierRates!$A$5:$A$500,0)),0))</f>
        <v/>
      </c>
      <c r="R195" s="26" t="n">
        <f aca="false">IF(OR($D195="",$J195&lt;&gt;"Supplier"),0,F195*P195+G195*Q195)</f>
        <v>0</v>
      </c>
      <c r="S195" s="26" t="n">
        <f aca="false">IF(OR($D195="",$J195&lt;&gt;"Own"),0,IFERROR((F195+G195*Settings!$B$13)*INDEX(Workers!$V$5:$V$2004,MATCH($D195,Workers!$A$5:$A$2004,0)),0))</f>
        <v>0</v>
      </c>
      <c r="T195" s="26" t="str">
        <f aca="false">IF($D195="","",O195-R195-S195)</f>
        <v/>
      </c>
    </row>
    <row r="196" customFormat="false" ht="15" hidden="false" customHeight="false" outlineLevel="0" collapsed="false">
      <c r="I196" s="24" t="str">
        <f aca="false">IF($D196="","",IFERROR(INDEX(Workers!$B$5:$B$2004,MATCH($D196,Workers!$A$5:$A$2004,0)),"NOT FOUND"))</f>
        <v/>
      </c>
      <c r="J196" s="24" t="str">
        <f aca="false">IF($D196="","",IFERROR(INDEX(Workers!$C$5:$C$2004,MATCH($D196,Workers!$A$5:$A$2004,0)),""))</f>
        <v/>
      </c>
      <c r="K196" s="24" t="str">
        <f aca="false">IF($D196="","",IFERROR(IF(INDEX(Workers!$D$5:$D$2004,MATCH($D196,Workers!$A$5:$A$2004,0))=0,"",INDEX(Workers!$D$5:$D$2004,MATCH($D196,Workers!$A$5:$A$2004,0))),""))</f>
        <v/>
      </c>
      <c r="L196" s="24" t="str">
        <f aca="false">IF($D196="","",IFERROR(INDEX(Workers!$E$5:$E$2004,MATCH($D196,Workers!$A$5:$A$2004,0)),""))</f>
        <v/>
      </c>
      <c r="M196" s="26" t="str">
        <f aca="false">IF($D196="","",IFERROR(INDEX(ClientRates!$D$5:$D$500,MATCH($B196&amp;"|"&amp;$L196,ClientRates!$A$5:$A$500,0)),0))</f>
        <v/>
      </c>
      <c r="N196" s="26" t="str">
        <f aca="false">IF($D196="","",IFERROR(INDEX(ClientRates!$E$5:$E$500,MATCH($B196&amp;"|"&amp;$L196,ClientRates!$A$5:$A$500,0)),0))</f>
        <v/>
      </c>
      <c r="O196" s="26" t="str">
        <f aca="false">IF($D196="","",F196*M196+G196*N196)</f>
        <v/>
      </c>
      <c r="P196" s="26" t="str">
        <f aca="false">IF(OR($D196="",$J196&lt;&gt;"Supplier"),"",IFERROR(INDEX(SupplierRates!$D$5:$D$500,MATCH($K196&amp;"|"&amp;$L196,SupplierRates!$A$5:$A$500,0)),0))</f>
        <v/>
      </c>
      <c r="Q196" s="26" t="str">
        <f aca="false">IF(OR($D196="",$J196&lt;&gt;"Supplier"),"",IFERROR(INDEX(SupplierRates!$E$5:$E$500,MATCH($K196&amp;"|"&amp;$L196,SupplierRates!$A$5:$A$500,0)),0))</f>
        <v/>
      </c>
      <c r="R196" s="26" t="n">
        <f aca="false">IF(OR($D196="",$J196&lt;&gt;"Supplier"),0,F196*P196+G196*Q196)</f>
        <v>0</v>
      </c>
      <c r="S196" s="26" t="n">
        <f aca="false">IF(OR($D196="",$J196&lt;&gt;"Own"),0,IFERROR((F196+G196*Settings!$B$13)*INDEX(Workers!$V$5:$V$2004,MATCH($D196,Workers!$A$5:$A$2004,0)),0))</f>
        <v>0</v>
      </c>
      <c r="T196" s="26" t="str">
        <f aca="false">IF($D196="","",O196-R196-S196)</f>
        <v/>
      </c>
    </row>
    <row r="197" customFormat="false" ht="15" hidden="false" customHeight="false" outlineLevel="0" collapsed="false">
      <c r="I197" s="24" t="str">
        <f aca="false">IF($D197="","",IFERROR(INDEX(Workers!$B$5:$B$2004,MATCH($D197,Workers!$A$5:$A$2004,0)),"NOT FOUND"))</f>
        <v/>
      </c>
      <c r="J197" s="24" t="str">
        <f aca="false">IF($D197="","",IFERROR(INDEX(Workers!$C$5:$C$2004,MATCH($D197,Workers!$A$5:$A$2004,0)),""))</f>
        <v/>
      </c>
      <c r="K197" s="24" t="str">
        <f aca="false">IF($D197="","",IFERROR(IF(INDEX(Workers!$D$5:$D$2004,MATCH($D197,Workers!$A$5:$A$2004,0))=0,"",INDEX(Workers!$D$5:$D$2004,MATCH($D197,Workers!$A$5:$A$2004,0))),""))</f>
        <v/>
      </c>
      <c r="L197" s="24" t="str">
        <f aca="false">IF($D197="","",IFERROR(INDEX(Workers!$E$5:$E$2004,MATCH($D197,Workers!$A$5:$A$2004,0)),""))</f>
        <v/>
      </c>
      <c r="M197" s="26" t="str">
        <f aca="false">IF($D197="","",IFERROR(INDEX(ClientRates!$D$5:$D$500,MATCH($B197&amp;"|"&amp;$L197,ClientRates!$A$5:$A$500,0)),0))</f>
        <v/>
      </c>
      <c r="N197" s="26" t="str">
        <f aca="false">IF($D197="","",IFERROR(INDEX(ClientRates!$E$5:$E$500,MATCH($B197&amp;"|"&amp;$L197,ClientRates!$A$5:$A$500,0)),0))</f>
        <v/>
      </c>
      <c r="O197" s="26" t="str">
        <f aca="false">IF($D197="","",F197*M197+G197*N197)</f>
        <v/>
      </c>
      <c r="P197" s="26" t="str">
        <f aca="false">IF(OR($D197="",$J197&lt;&gt;"Supplier"),"",IFERROR(INDEX(SupplierRates!$D$5:$D$500,MATCH($K197&amp;"|"&amp;$L197,SupplierRates!$A$5:$A$500,0)),0))</f>
        <v/>
      </c>
      <c r="Q197" s="26" t="str">
        <f aca="false">IF(OR($D197="",$J197&lt;&gt;"Supplier"),"",IFERROR(INDEX(SupplierRates!$E$5:$E$500,MATCH($K197&amp;"|"&amp;$L197,SupplierRates!$A$5:$A$500,0)),0))</f>
        <v/>
      </c>
      <c r="R197" s="26" t="n">
        <f aca="false">IF(OR($D197="",$J197&lt;&gt;"Supplier"),0,F197*P197+G197*Q197)</f>
        <v>0</v>
      </c>
      <c r="S197" s="26" t="n">
        <f aca="false">IF(OR($D197="",$J197&lt;&gt;"Own"),0,IFERROR((F197+G197*Settings!$B$13)*INDEX(Workers!$V$5:$V$2004,MATCH($D197,Workers!$A$5:$A$2004,0)),0))</f>
        <v>0</v>
      </c>
      <c r="T197" s="26" t="str">
        <f aca="false">IF($D197="","",O197-R197-S197)</f>
        <v/>
      </c>
    </row>
    <row r="198" customFormat="false" ht="15" hidden="false" customHeight="false" outlineLevel="0" collapsed="false">
      <c r="I198" s="24" t="str">
        <f aca="false">IF($D198="","",IFERROR(INDEX(Workers!$B$5:$B$2004,MATCH($D198,Workers!$A$5:$A$2004,0)),"NOT FOUND"))</f>
        <v/>
      </c>
      <c r="J198" s="24" t="str">
        <f aca="false">IF($D198="","",IFERROR(INDEX(Workers!$C$5:$C$2004,MATCH($D198,Workers!$A$5:$A$2004,0)),""))</f>
        <v/>
      </c>
      <c r="K198" s="24" t="str">
        <f aca="false">IF($D198="","",IFERROR(IF(INDEX(Workers!$D$5:$D$2004,MATCH($D198,Workers!$A$5:$A$2004,0))=0,"",INDEX(Workers!$D$5:$D$2004,MATCH($D198,Workers!$A$5:$A$2004,0))),""))</f>
        <v/>
      </c>
      <c r="L198" s="24" t="str">
        <f aca="false">IF($D198="","",IFERROR(INDEX(Workers!$E$5:$E$2004,MATCH($D198,Workers!$A$5:$A$2004,0)),""))</f>
        <v/>
      </c>
      <c r="M198" s="26" t="str">
        <f aca="false">IF($D198="","",IFERROR(INDEX(ClientRates!$D$5:$D$500,MATCH($B198&amp;"|"&amp;$L198,ClientRates!$A$5:$A$500,0)),0))</f>
        <v/>
      </c>
      <c r="N198" s="26" t="str">
        <f aca="false">IF($D198="","",IFERROR(INDEX(ClientRates!$E$5:$E$500,MATCH($B198&amp;"|"&amp;$L198,ClientRates!$A$5:$A$500,0)),0))</f>
        <v/>
      </c>
      <c r="O198" s="26" t="str">
        <f aca="false">IF($D198="","",F198*M198+G198*N198)</f>
        <v/>
      </c>
      <c r="P198" s="26" t="str">
        <f aca="false">IF(OR($D198="",$J198&lt;&gt;"Supplier"),"",IFERROR(INDEX(SupplierRates!$D$5:$D$500,MATCH($K198&amp;"|"&amp;$L198,SupplierRates!$A$5:$A$500,0)),0))</f>
        <v/>
      </c>
      <c r="Q198" s="26" t="str">
        <f aca="false">IF(OR($D198="",$J198&lt;&gt;"Supplier"),"",IFERROR(INDEX(SupplierRates!$E$5:$E$500,MATCH($K198&amp;"|"&amp;$L198,SupplierRates!$A$5:$A$500,0)),0))</f>
        <v/>
      </c>
      <c r="R198" s="26" t="n">
        <f aca="false">IF(OR($D198="",$J198&lt;&gt;"Supplier"),0,F198*P198+G198*Q198)</f>
        <v>0</v>
      </c>
      <c r="S198" s="26" t="n">
        <f aca="false">IF(OR($D198="",$J198&lt;&gt;"Own"),0,IFERROR((F198+G198*Settings!$B$13)*INDEX(Workers!$V$5:$V$2004,MATCH($D198,Workers!$A$5:$A$2004,0)),0))</f>
        <v>0</v>
      </c>
      <c r="T198" s="26" t="str">
        <f aca="false">IF($D198="","",O198-R198-S198)</f>
        <v/>
      </c>
    </row>
    <row r="199" customFormat="false" ht="15" hidden="false" customHeight="false" outlineLevel="0" collapsed="false">
      <c r="I199" s="24" t="str">
        <f aca="false">IF($D199="","",IFERROR(INDEX(Workers!$B$5:$B$2004,MATCH($D199,Workers!$A$5:$A$2004,0)),"NOT FOUND"))</f>
        <v/>
      </c>
      <c r="J199" s="24" t="str">
        <f aca="false">IF($D199="","",IFERROR(INDEX(Workers!$C$5:$C$2004,MATCH($D199,Workers!$A$5:$A$2004,0)),""))</f>
        <v/>
      </c>
      <c r="K199" s="24" t="str">
        <f aca="false">IF($D199="","",IFERROR(IF(INDEX(Workers!$D$5:$D$2004,MATCH($D199,Workers!$A$5:$A$2004,0))=0,"",INDEX(Workers!$D$5:$D$2004,MATCH($D199,Workers!$A$5:$A$2004,0))),""))</f>
        <v/>
      </c>
      <c r="L199" s="24" t="str">
        <f aca="false">IF($D199="","",IFERROR(INDEX(Workers!$E$5:$E$2004,MATCH($D199,Workers!$A$5:$A$2004,0)),""))</f>
        <v/>
      </c>
      <c r="M199" s="26" t="str">
        <f aca="false">IF($D199="","",IFERROR(INDEX(ClientRates!$D$5:$D$500,MATCH($B199&amp;"|"&amp;$L199,ClientRates!$A$5:$A$500,0)),0))</f>
        <v/>
      </c>
      <c r="N199" s="26" t="str">
        <f aca="false">IF($D199="","",IFERROR(INDEX(ClientRates!$E$5:$E$500,MATCH($B199&amp;"|"&amp;$L199,ClientRates!$A$5:$A$500,0)),0))</f>
        <v/>
      </c>
      <c r="O199" s="26" t="str">
        <f aca="false">IF($D199="","",F199*M199+G199*N199)</f>
        <v/>
      </c>
      <c r="P199" s="26" t="str">
        <f aca="false">IF(OR($D199="",$J199&lt;&gt;"Supplier"),"",IFERROR(INDEX(SupplierRates!$D$5:$D$500,MATCH($K199&amp;"|"&amp;$L199,SupplierRates!$A$5:$A$500,0)),0))</f>
        <v/>
      </c>
      <c r="Q199" s="26" t="str">
        <f aca="false">IF(OR($D199="",$J199&lt;&gt;"Supplier"),"",IFERROR(INDEX(SupplierRates!$E$5:$E$500,MATCH($K199&amp;"|"&amp;$L199,SupplierRates!$A$5:$A$500,0)),0))</f>
        <v/>
      </c>
      <c r="R199" s="26" t="n">
        <f aca="false">IF(OR($D199="",$J199&lt;&gt;"Supplier"),0,F199*P199+G199*Q199)</f>
        <v>0</v>
      </c>
      <c r="S199" s="26" t="n">
        <f aca="false">IF(OR($D199="",$J199&lt;&gt;"Own"),0,IFERROR((F199+G199*Settings!$B$13)*INDEX(Workers!$V$5:$V$2004,MATCH($D199,Workers!$A$5:$A$2004,0)),0))</f>
        <v>0</v>
      </c>
      <c r="T199" s="26" t="str">
        <f aca="false">IF($D199="","",O199-R199-S199)</f>
        <v/>
      </c>
    </row>
    <row r="200" customFormat="false" ht="15" hidden="false" customHeight="false" outlineLevel="0" collapsed="false">
      <c r="I200" s="24" t="str">
        <f aca="false">IF($D200="","",IFERROR(INDEX(Workers!$B$5:$B$2004,MATCH($D200,Workers!$A$5:$A$2004,0)),"NOT FOUND"))</f>
        <v/>
      </c>
      <c r="J200" s="24" t="str">
        <f aca="false">IF($D200="","",IFERROR(INDEX(Workers!$C$5:$C$2004,MATCH($D200,Workers!$A$5:$A$2004,0)),""))</f>
        <v/>
      </c>
      <c r="K200" s="24" t="str">
        <f aca="false">IF($D200="","",IFERROR(IF(INDEX(Workers!$D$5:$D$2004,MATCH($D200,Workers!$A$5:$A$2004,0))=0,"",INDEX(Workers!$D$5:$D$2004,MATCH($D200,Workers!$A$5:$A$2004,0))),""))</f>
        <v/>
      </c>
      <c r="L200" s="24" t="str">
        <f aca="false">IF($D200="","",IFERROR(INDEX(Workers!$E$5:$E$2004,MATCH($D200,Workers!$A$5:$A$2004,0)),""))</f>
        <v/>
      </c>
      <c r="M200" s="26" t="str">
        <f aca="false">IF($D200="","",IFERROR(INDEX(ClientRates!$D$5:$D$500,MATCH($B200&amp;"|"&amp;$L200,ClientRates!$A$5:$A$500,0)),0))</f>
        <v/>
      </c>
      <c r="N200" s="26" t="str">
        <f aca="false">IF($D200="","",IFERROR(INDEX(ClientRates!$E$5:$E$500,MATCH($B200&amp;"|"&amp;$L200,ClientRates!$A$5:$A$500,0)),0))</f>
        <v/>
      </c>
      <c r="O200" s="26" t="str">
        <f aca="false">IF($D200="","",F200*M200+G200*N200)</f>
        <v/>
      </c>
      <c r="P200" s="26" t="str">
        <f aca="false">IF(OR($D200="",$J200&lt;&gt;"Supplier"),"",IFERROR(INDEX(SupplierRates!$D$5:$D$500,MATCH($K200&amp;"|"&amp;$L200,SupplierRates!$A$5:$A$500,0)),0))</f>
        <v/>
      </c>
      <c r="Q200" s="26" t="str">
        <f aca="false">IF(OR($D200="",$J200&lt;&gt;"Supplier"),"",IFERROR(INDEX(SupplierRates!$E$5:$E$500,MATCH($K200&amp;"|"&amp;$L200,SupplierRates!$A$5:$A$500,0)),0))</f>
        <v/>
      </c>
      <c r="R200" s="26" t="n">
        <f aca="false">IF(OR($D200="",$J200&lt;&gt;"Supplier"),0,F200*P200+G200*Q200)</f>
        <v>0</v>
      </c>
      <c r="S200" s="26" t="n">
        <f aca="false">IF(OR($D200="",$J200&lt;&gt;"Own"),0,IFERROR((F200+G200*Settings!$B$13)*INDEX(Workers!$V$5:$V$2004,MATCH($D200,Workers!$A$5:$A$2004,0)),0))</f>
        <v>0</v>
      </c>
      <c r="T200" s="26" t="str">
        <f aca="false">IF($D200="","",O200-R200-S200)</f>
        <v/>
      </c>
    </row>
    <row r="201" customFormat="false" ht="15" hidden="false" customHeight="false" outlineLevel="0" collapsed="false">
      <c r="I201" s="24" t="str">
        <f aca="false">IF($D201="","",IFERROR(INDEX(Workers!$B$5:$B$2004,MATCH($D201,Workers!$A$5:$A$2004,0)),"NOT FOUND"))</f>
        <v/>
      </c>
      <c r="J201" s="24" t="str">
        <f aca="false">IF($D201="","",IFERROR(INDEX(Workers!$C$5:$C$2004,MATCH($D201,Workers!$A$5:$A$2004,0)),""))</f>
        <v/>
      </c>
      <c r="K201" s="24" t="str">
        <f aca="false">IF($D201="","",IFERROR(IF(INDEX(Workers!$D$5:$D$2004,MATCH($D201,Workers!$A$5:$A$2004,0))=0,"",INDEX(Workers!$D$5:$D$2004,MATCH($D201,Workers!$A$5:$A$2004,0))),""))</f>
        <v/>
      </c>
      <c r="L201" s="24" t="str">
        <f aca="false">IF($D201="","",IFERROR(INDEX(Workers!$E$5:$E$2004,MATCH($D201,Workers!$A$5:$A$2004,0)),""))</f>
        <v/>
      </c>
      <c r="M201" s="26" t="str">
        <f aca="false">IF($D201="","",IFERROR(INDEX(ClientRates!$D$5:$D$500,MATCH($B201&amp;"|"&amp;$L201,ClientRates!$A$5:$A$500,0)),0))</f>
        <v/>
      </c>
      <c r="N201" s="26" t="str">
        <f aca="false">IF($D201="","",IFERROR(INDEX(ClientRates!$E$5:$E$500,MATCH($B201&amp;"|"&amp;$L201,ClientRates!$A$5:$A$500,0)),0))</f>
        <v/>
      </c>
      <c r="O201" s="26" t="str">
        <f aca="false">IF($D201="","",F201*M201+G201*N201)</f>
        <v/>
      </c>
      <c r="P201" s="26" t="str">
        <f aca="false">IF(OR($D201="",$J201&lt;&gt;"Supplier"),"",IFERROR(INDEX(SupplierRates!$D$5:$D$500,MATCH($K201&amp;"|"&amp;$L201,SupplierRates!$A$5:$A$500,0)),0))</f>
        <v/>
      </c>
      <c r="Q201" s="26" t="str">
        <f aca="false">IF(OR($D201="",$J201&lt;&gt;"Supplier"),"",IFERROR(INDEX(SupplierRates!$E$5:$E$500,MATCH($K201&amp;"|"&amp;$L201,SupplierRates!$A$5:$A$500,0)),0))</f>
        <v/>
      </c>
      <c r="R201" s="26" t="n">
        <f aca="false">IF(OR($D201="",$J201&lt;&gt;"Supplier"),0,F201*P201+G201*Q201)</f>
        <v>0</v>
      </c>
      <c r="S201" s="26" t="n">
        <f aca="false">IF(OR($D201="",$J201&lt;&gt;"Own"),0,IFERROR((F201+G201*Settings!$B$13)*INDEX(Workers!$V$5:$V$2004,MATCH($D201,Workers!$A$5:$A$2004,0)),0))</f>
        <v>0</v>
      </c>
      <c r="T201" s="26" t="str">
        <f aca="false">IF($D201="","",O201-R201-S201)</f>
        <v/>
      </c>
    </row>
    <row r="202" customFormat="false" ht="15" hidden="false" customHeight="false" outlineLevel="0" collapsed="false">
      <c r="I202" s="24" t="str">
        <f aca="false">IF($D202="","",IFERROR(INDEX(Workers!$B$5:$B$2004,MATCH($D202,Workers!$A$5:$A$2004,0)),"NOT FOUND"))</f>
        <v/>
      </c>
      <c r="J202" s="24" t="str">
        <f aca="false">IF($D202="","",IFERROR(INDEX(Workers!$C$5:$C$2004,MATCH($D202,Workers!$A$5:$A$2004,0)),""))</f>
        <v/>
      </c>
      <c r="K202" s="24" t="str">
        <f aca="false">IF($D202="","",IFERROR(IF(INDEX(Workers!$D$5:$D$2004,MATCH($D202,Workers!$A$5:$A$2004,0))=0,"",INDEX(Workers!$D$5:$D$2004,MATCH($D202,Workers!$A$5:$A$2004,0))),""))</f>
        <v/>
      </c>
      <c r="L202" s="24" t="str">
        <f aca="false">IF($D202="","",IFERROR(INDEX(Workers!$E$5:$E$2004,MATCH($D202,Workers!$A$5:$A$2004,0)),""))</f>
        <v/>
      </c>
      <c r="M202" s="26" t="str">
        <f aca="false">IF($D202="","",IFERROR(INDEX(ClientRates!$D$5:$D$500,MATCH($B202&amp;"|"&amp;$L202,ClientRates!$A$5:$A$500,0)),0))</f>
        <v/>
      </c>
      <c r="N202" s="26" t="str">
        <f aca="false">IF($D202="","",IFERROR(INDEX(ClientRates!$E$5:$E$500,MATCH($B202&amp;"|"&amp;$L202,ClientRates!$A$5:$A$500,0)),0))</f>
        <v/>
      </c>
      <c r="O202" s="26" t="str">
        <f aca="false">IF($D202="","",F202*M202+G202*N202)</f>
        <v/>
      </c>
      <c r="P202" s="26" t="str">
        <f aca="false">IF(OR($D202="",$J202&lt;&gt;"Supplier"),"",IFERROR(INDEX(SupplierRates!$D$5:$D$500,MATCH($K202&amp;"|"&amp;$L202,SupplierRates!$A$5:$A$500,0)),0))</f>
        <v/>
      </c>
      <c r="Q202" s="26" t="str">
        <f aca="false">IF(OR($D202="",$J202&lt;&gt;"Supplier"),"",IFERROR(INDEX(SupplierRates!$E$5:$E$500,MATCH($K202&amp;"|"&amp;$L202,SupplierRates!$A$5:$A$500,0)),0))</f>
        <v/>
      </c>
      <c r="R202" s="26" t="n">
        <f aca="false">IF(OR($D202="",$J202&lt;&gt;"Supplier"),0,F202*P202+G202*Q202)</f>
        <v>0</v>
      </c>
      <c r="S202" s="26" t="n">
        <f aca="false">IF(OR($D202="",$J202&lt;&gt;"Own"),0,IFERROR((F202+G202*Settings!$B$13)*INDEX(Workers!$V$5:$V$2004,MATCH($D202,Workers!$A$5:$A$2004,0)),0))</f>
        <v>0</v>
      </c>
      <c r="T202" s="26" t="str">
        <f aca="false">IF($D202="","",O202-R202-S202)</f>
        <v/>
      </c>
    </row>
    <row r="203" customFormat="false" ht="15" hidden="false" customHeight="false" outlineLevel="0" collapsed="false">
      <c r="I203" s="24" t="str">
        <f aca="false">IF($D203="","",IFERROR(INDEX(Workers!$B$5:$B$2004,MATCH($D203,Workers!$A$5:$A$2004,0)),"NOT FOUND"))</f>
        <v/>
      </c>
      <c r="J203" s="24" t="str">
        <f aca="false">IF($D203="","",IFERROR(INDEX(Workers!$C$5:$C$2004,MATCH($D203,Workers!$A$5:$A$2004,0)),""))</f>
        <v/>
      </c>
      <c r="K203" s="24" t="str">
        <f aca="false">IF($D203="","",IFERROR(IF(INDEX(Workers!$D$5:$D$2004,MATCH($D203,Workers!$A$5:$A$2004,0))=0,"",INDEX(Workers!$D$5:$D$2004,MATCH($D203,Workers!$A$5:$A$2004,0))),""))</f>
        <v/>
      </c>
      <c r="L203" s="24" t="str">
        <f aca="false">IF($D203="","",IFERROR(INDEX(Workers!$E$5:$E$2004,MATCH($D203,Workers!$A$5:$A$2004,0)),""))</f>
        <v/>
      </c>
      <c r="M203" s="26" t="str">
        <f aca="false">IF($D203="","",IFERROR(INDEX(ClientRates!$D$5:$D$500,MATCH($B203&amp;"|"&amp;$L203,ClientRates!$A$5:$A$500,0)),0))</f>
        <v/>
      </c>
      <c r="N203" s="26" t="str">
        <f aca="false">IF($D203="","",IFERROR(INDEX(ClientRates!$E$5:$E$500,MATCH($B203&amp;"|"&amp;$L203,ClientRates!$A$5:$A$500,0)),0))</f>
        <v/>
      </c>
      <c r="O203" s="26" t="str">
        <f aca="false">IF($D203="","",F203*M203+G203*N203)</f>
        <v/>
      </c>
      <c r="P203" s="26" t="str">
        <f aca="false">IF(OR($D203="",$J203&lt;&gt;"Supplier"),"",IFERROR(INDEX(SupplierRates!$D$5:$D$500,MATCH($K203&amp;"|"&amp;$L203,SupplierRates!$A$5:$A$500,0)),0))</f>
        <v/>
      </c>
      <c r="Q203" s="26" t="str">
        <f aca="false">IF(OR($D203="",$J203&lt;&gt;"Supplier"),"",IFERROR(INDEX(SupplierRates!$E$5:$E$500,MATCH($K203&amp;"|"&amp;$L203,SupplierRates!$A$5:$A$500,0)),0))</f>
        <v/>
      </c>
      <c r="R203" s="26" t="n">
        <f aca="false">IF(OR($D203="",$J203&lt;&gt;"Supplier"),0,F203*P203+G203*Q203)</f>
        <v>0</v>
      </c>
      <c r="S203" s="26" t="n">
        <f aca="false">IF(OR($D203="",$J203&lt;&gt;"Own"),0,IFERROR((F203+G203*Settings!$B$13)*INDEX(Workers!$V$5:$V$2004,MATCH($D203,Workers!$A$5:$A$2004,0)),0))</f>
        <v>0</v>
      </c>
      <c r="T203" s="26" t="str">
        <f aca="false">IF($D203="","",O203-R203-S203)</f>
        <v/>
      </c>
    </row>
    <row r="204" customFormat="false" ht="15" hidden="false" customHeight="false" outlineLevel="0" collapsed="false">
      <c r="I204" s="24" t="str">
        <f aca="false">IF($D204="","",IFERROR(INDEX(Workers!$B$5:$B$2004,MATCH($D204,Workers!$A$5:$A$2004,0)),"NOT FOUND"))</f>
        <v/>
      </c>
      <c r="J204" s="24" t="str">
        <f aca="false">IF($D204="","",IFERROR(INDEX(Workers!$C$5:$C$2004,MATCH($D204,Workers!$A$5:$A$2004,0)),""))</f>
        <v/>
      </c>
      <c r="K204" s="24" t="str">
        <f aca="false">IF($D204="","",IFERROR(IF(INDEX(Workers!$D$5:$D$2004,MATCH($D204,Workers!$A$5:$A$2004,0))=0,"",INDEX(Workers!$D$5:$D$2004,MATCH($D204,Workers!$A$5:$A$2004,0))),""))</f>
        <v/>
      </c>
      <c r="L204" s="24" t="str">
        <f aca="false">IF($D204="","",IFERROR(INDEX(Workers!$E$5:$E$2004,MATCH($D204,Workers!$A$5:$A$2004,0)),""))</f>
        <v/>
      </c>
      <c r="M204" s="26" t="str">
        <f aca="false">IF($D204="","",IFERROR(INDEX(ClientRates!$D$5:$D$500,MATCH($B204&amp;"|"&amp;$L204,ClientRates!$A$5:$A$500,0)),0))</f>
        <v/>
      </c>
      <c r="N204" s="26" t="str">
        <f aca="false">IF($D204="","",IFERROR(INDEX(ClientRates!$E$5:$E$500,MATCH($B204&amp;"|"&amp;$L204,ClientRates!$A$5:$A$500,0)),0))</f>
        <v/>
      </c>
      <c r="O204" s="26" t="str">
        <f aca="false">IF($D204="","",F204*M204+G204*N204)</f>
        <v/>
      </c>
      <c r="P204" s="26" t="str">
        <f aca="false">IF(OR($D204="",$J204&lt;&gt;"Supplier"),"",IFERROR(INDEX(SupplierRates!$D$5:$D$500,MATCH($K204&amp;"|"&amp;$L204,SupplierRates!$A$5:$A$500,0)),0))</f>
        <v/>
      </c>
      <c r="Q204" s="26" t="str">
        <f aca="false">IF(OR($D204="",$J204&lt;&gt;"Supplier"),"",IFERROR(INDEX(SupplierRates!$E$5:$E$500,MATCH($K204&amp;"|"&amp;$L204,SupplierRates!$A$5:$A$500,0)),0))</f>
        <v/>
      </c>
      <c r="R204" s="26" t="n">
        <f aca="false">IF(OR($D204="",$J204&lt;&gt;"Supplier"),0,F204*P204+G204*Q204)</f>
        <v>0</v>
      </c>
      <c r="S204" s="26" t="n">
        <f aca="false">IF(OR($D204="",$J204&lt;&gt;"Own"),0,IFERROR((F204+G204*Settings!$B$13)*INDEX(Workers!$V$5:$V$2004,MATCH($D204,Workers!$A$5:$A$2004,0)),0))</f>
        <v>0</v>
      </c>
      <c r="T204" s="26" t="str">
        <f aca="false">IF($D204="","",O204-R204-S204)</f>
        <v/>
      </c>
    </row>
    <row r="205" customFormat="false" ht="15" hidden="false" customHeight="false" outlineLevel="0" collapsed="false">
      <c r="I205" s="24" t="str">
        <f aca="false">IF($D205="","",IFERROR(INDEX(Workers!$B$5:$B$2004,MATCH($D205,Workers!$A$5:$A$2004,0)),"NOT FOUND"))</f>
        <v/>
      </c>
      <c r="J205" s="24" t="str">
        <f aca="false">IF($D205="","",IFERROR(INDEX(Workers!$C$5:$C$2004,MATCH($D205,Workers!$A$5:$A$2004,0)),""))</f>
        <v/>
      </c>
      <c r="K205" s="24" t="str">
        <f aca="false">IF($D205="","",IFERROR(IF(INDEX(Workers!$D$5:$D$2004,MATCH($D205,Workers!$A$5:$A$2004,0))=0,"",INDEX(Workers!$D$5:$D$2004,MATCH($D205,Workers!$A$5:$A$2004,0))),""))</f>
        <v/>
      </c>
      <c r="L205" s="24" t="str">
        <f aca="false">IF($D205="","",IFERROR(INDEX(Workers!$E$5:$E$2004,MATCH($D205,Workers!$A$5:$A$2004,0)),""))</f>
        <v/>
      </c>
      <c r="M205" s="26" t="str">
        <f aca="false">IF($D205="","",IFERROR(INDEX(ClientRates!$D$5:$D$500,MATCH($B205&amp;"|"&amp;$L205,ClientRates!$A$5:$A$500,0)),0))</f>
        <v/>
      </c>
      <c r="N205" s="26" t="str">
        <f aca="false">IF($D205="","",IFERROR(INDEX(ClientRates!$E$5:$E$500,MATCH($B205&amp;"|"&amp;$L205,ClientRates!$A$5:$A$500,0)),0))</f>
        <v/>
      </c>
      <c r="O205" s="26" t="str">
        <f aca="false">IF($D205="","",F205*M205+G205*N205)</f>
        <v/>
      </c>
      <c r="P205" s="26" t="str">
        <f aca="false">IF(OR($D205="",$J205&lt;&gt;"Supplier"),"",IFERROR(INDEX(SupplierRates!$D$5:$D$500,MATCH($K205&amp;"|"&amp;$L205,SupplierRates!$A$5:$A$500,0)),0))</f>
        <v/>
      </c>
      <c r="Q205" s="26" t="str">
        <f aca="false">IF(OR($D205="",$J205&lt;&gt;"Supplier"),"",IFERROR(INDEX(SupplierRates!$E$5:$E$500,MATCH($K205&amp;"|"&amp;$L205,SupplierRates!$A$5:$A$500,0)),0))</f>
        <v/>
      </c>
      <c r="R205" s="26" t="n">
        <f aca="false">IF(OR($D205="",$J205&lt;&gt;"Supplier"),0,F205*P205+G205*Q205)</f>
        <v>0</v>
      </c>
      <c r="S205" s="26" t="n">
        <f aca="false">IF(OR($D205="",$J205&lt;&gt;"Own"),0,IFERROR((F205+G205*Settings!$B$13)*INDEX(Workers!$V$5:$V$2004,MATCH($D205,Workers!$A$5:$A$2004,0)),0))</f>
        <v>0</v>
      </c>
      <c r="T205" s="26" t="str">
        <f aca="false">IF($D205="","",O205-R205-S205)</f>
        <v/>
      </c>
    </row>
    <row r="206" customFormat="false" ht="15" hidden="false" customHeight="false" outlineLevel="0" collapsed="false">
      <c r="I206" s="24" t="str">
        <f aca="false">IF($D206="","",IFERROR(INDEX(Workers!$B$5:$B$2004,MATCH($D206,Workers!$A$5:$A$2004,0)),"NOT FOUND"))</f>
        <v/>
      </c>
      <c r="J206" s="24" t="str">
        <f aca="false">IF($D206="","",IFERROR(INDEX(Workers!$C$5:$C$2004,MATCH($D206,Workers!$A$5:$A$2004,0)),""))</f>
        <v/>
      </c>
      <c r="K206" s="24" t="str">
        <f aca="false">IF($D206="","",IFERROR(IF(INDEX(Workers!$D$5:$D$2004,MATCH($D206,Workers!$A$5:$A$2004,0))=0,"",INDEX(Workers!$D$5:$D$2004,MATCH($D206,Workers!$A$5:$A$2004,0))),""))</f>
        <v/>
      </c>
      <c r="L206" s="24" t="str">
        <f aca="false">IF($D206="","",IFERROR(INDEX(Workers!$E$5:$E$2004,MATCH($D206,Workers!$A$5:$A$2004,0)),""))</f>
        <v/>
      </c>
      <c r="M206" s="26" t="str">
        <f aca="false">IF($D206="","",IFERROR(INDEX(ClientRates!$D$5:$D$500,MATCH($B206&amp;"|"&amp;$L206,ClientRates!$A$5:$A$500,0)),0))</f>
        <v/>
      </c>
      <c r="N206" s="26" t="str">
        <f aca="false">IF($D206="","",IFERROR(INDEX(ClientRates!$E$5:$E$500,MATCH($B206&amp;"|"&amp;$L206,ClientRates!$A$5:$A$500,0)),0))</f>
        <v/>
      </c>
      <c r="O206" s="26" t="str">
        <f aca="false">IF($D206="","",F206*M206+G206*N206)</f>
        <v/>
      </c>
      <c r="P206" s="26" t="str">
        <f aca="false">IF(OR($D206="",$J206&lt;&gt;"Supplier"),"",IFERROR(INDEX(SupplierRates!$D$5:$D$500,MATCH($K206&amp;"|"&amp;$L206,SupplierRates!$A$5:$A$500,0)),0))</f>
        <v/>
      </c>
      <c r="Q206" s="26" t="str">
        <f aca="false">IF(OR($D206="",$J206&lt;&gt;"Supplier"),"",IFERROR(INDEX(SupplierRates!$E$5:$E$500,MATCH($K206&amp;"|"&amp;$L206,SupplierRates!$A$5:$A$500,0)),0))</f>
        <v/>
      </c>
      <c r="R206" s="26" t="n">
        <f aca="false">IF(OR($D206="",$J206&lt;&gt;"Supplier"),0,F206*P206+G206*Q206)</f>
        <v>0</v>
      </c>
      <c r="S206" s="26" t="n">
        <f aca="false">IF(OR($D206="",$J206&lt;&gt;"Own"),0,IFERROR((F206+G206*Settings!$B$13)*INDEX(Workers!$V$5:$V$2004,MATCH($D206,Workers!$A$5:$A$2004,0)),0))</f>
        <v>0</v>
      </c>
      <c r="T206" s="26" t="str">
        <f aca="false">IF($D206="","",O206-R206-S206)</f>
        <v/>
      </c>
    </row>
    <row r="207" customFormat="false" ht="15" hidden="false" customHeight="false" outlineLevel="0" collapsed="false">
      <c r="I207" s="24" t="str">
        <f aca="false">IF($D207="","",IFERROR(INDEX(Workers!$B$5:$B$2004,MATCH($D207,Workers!$A$5:$A$2004,0)),"NOT FOUND"))</f>
        <v/>
      </c>
      <c r="J207" s="24" t="str">
        <f aca="false">IF($D207="","",IFERROR(INDEX(Workers!$C$5:$C$2004,MATCH($D207,Workers!$A$5:$A$2004,0)),""))</f>
        <v/>
      </c>
      <c r="K207" s="24" t="str">
        <f aca="false">IF($D207="","",IFERROR(IF(INDEX(Workers!$D$5:$D$2004,MATCH($D207,Workers!$A$5:$A$2004,0))=0,"",INDEX(Workers!$D$5:$D$2004,MATCH($D207,Workers!$A$5:$A$2004,0))),""))</f>
        <v/>
      </c>
      <c r="L207" s="24" t="str">
        <f aca="false">IF($D207="","",IFERROR(INDEX(Workers!$E$5:$E$2004,MATCH($D207,Workers!$A$5:$A$2004,0)),""))</f>
        <v/>
      </c>
      <c r="M207" s="26" t="str">
        <f aca="false">IF($D207="","",IFERROR(INDEX(ClientRates!$D$5:$D$500,MATCH($B207&amp;"|"&amp;$L207,ClientRates!$A$5:$A$500,0)),0))</f>
        <v/>
      </c>
      <c r="N207" s="26" t="str">
        <f aca="false">IF($D207="","",IFERROR(INDEX(ClientRates!$E$5:$E$500,MATCH($B207&amp;"|"&amp;$L207,ClientRates!$A$5:$A$500,0)),0))</f>
        <v/>
      </c>
      <c r="O207" s="26" t="str">
        <f aca="false">IF($D207="","",F207*M207+G207*N207)</f>
        <v/>
      </c>
      <c r="P207" s="26" t="str">
        <f aca="false">IF(OR($D207="",$J207&lt;&gt;"Supplier"),"",IFERROR(INDEX(SupplierRates!$D$5:$D$500,MATCH($K207&amp;"|"&amp;$L207,SupplierRates!$A$5:$A$500,0)),0))</f>
        <v/>
      </c>
      <c r="Q207" s="26" t="str">
        <f aca="false">IF(OR($D207="",$J207&lt;&gt;"Supplier"),"",IFERROR(INDEX(SupplierRates!$E$5:$E$500,MATCH($K207&amp;"|"&amp;$L207,SupplierRates!$A$5:$A$500,0)),0))</f>
        <v/>
      </c>
      <c r="R207" s="26" t="n">
        <f aca="false">IF(OR($D207="",$J207&lt;&gt;"Supplier"),0,F207*P207+G207*Q207)</f>
        <v>0</v>
      </c>
      <c r="S207" s="26" t="n">
        <f aca="false">IF(OR($D207="",$J207&lt;&gt;"Own"),0,IFERROR((F207+G207*Settings!$B$13)*INDEX(Workers!$V$5:$V$2004,MATCH($D207,Workers!$A$5:$A$2004,0)),0))</f>
        <v>0</v>
      </c>
      <c r="T207" s="26" t="str">
        <f aca="false">IF($D207="","",O207-R207-S207)</f>
        <v/>
      </c>
    </row>
    <row r="208" customFormat="false" ht="15" hidden="false" customHeight="false" outlineLevel="0" collapsed="false">
      <c r="I208" s="24" t="str">
        <f aca="false">IF($D208="","",IFERROR(INDEX(Workers!$B$5:$B$2004,MATCH($D208,Workers!$A$5:$A$2004,0)),"NOT FOUND"))</f>
        <v/>
      </c>
      <c r="J208" s="24" t="str">
        <f aca="false">IF($D208="","",IFERROR(INDEX(Workers!$C$5:$C$2004,MATCH($D208,Workers!$A$5:$A$2004,0)),""))</f>
        <v/>
      </c>
      <c r="K208" s="24" t="str">
        <f aca="false">IF($D208="","",IFERROR(IF(INDEX(Workers!$D$5:$D$2004,MATCH($D208,Workers!$A$5:$A$2004,0))=0,"",INDEX(Workers!$D$5:$D$2004,MATCH($D208,Workers!$A$5:$A$2004,0))),""))</f>
        <v/>
      </c>
      <c r="L208" s="24" t="str">
        <f aca="false">IF($D208="","",IFERROR(INDEX(Workers!$E$5:$E$2004,MATCH($D208,Workers!$A$5:$A$2004,0)),""))</f>
        <v/>
      </c>
      <c r="M208" s="26" t="str">
        <f aca="false">IF($D208="","",IFERROR(INDEX(ClientRates!$D$5:$D$500,MATCH($B208&amp;"|"&amp;$L208,ClientRates!$A$5:$A$500,0)),0))</f>
        <v/>
      </c>
      <c r="N208" s="26" t="str">
        <f aca="false">IF($D208="","",IFERROR(INDEX(ClientRates!$E$5:$E$500,MATCH($B208&amp;"|"&amp;$L208,ClientRates!$A$5:$A$500,0)),0))</f>
        <v/>
      </c>
      <c r="O208" s="26" t="str">
        <f aca="false">IF($D208="","",F208*M208+G208*N208)</f>
        <v/>
      </c>
      <c r="P208" s="26" t="str">
        <f aca="false">IF(OR($D208="",$J208&lt;&gt;"Supplier"),"",IFERROR(INDEX(SupplierRates!$D$5:$D$500,MATCH($K208&amp;"|"&amp;$L208,SupplierRates!$A$5:$A$500,0)),0))</f>
        <v/>
      </c>
      <c r="Q208" s="26" t="str">
        <f aca="false">IF(OR($D208="",$J208&lt;&gt;"Supplier"),"",IFERROR(INDEX(SupplierRates!$E$5:$E$500,MATCH($K208&amp;"|"&amp;$L208,SupplierRates!$A$5:$A$500,0)),0))</f>
        <v/>
      </c>
      <c r="R208" s="26" t="n">
        <f aca="false">IF(OR($D208="",$J208&lt;&gt;"Supplier"),0,F208*P208+G208*Q208)</f>
        <v>0</v>
      </c>
      <c r="S208" s="26" t="n">
        <f aca="false">IF(OR($D208="",$J208&lt;&gt;"Own"),0,IFERROR((F208+G208*Settings!$B$13)*INDEX(Workers!$V$5:$V$2004,MATCH($D208,Workers!$A$5:$A$2004,0)),0))</f>
        <v>0</v>
      </c>
      <c r="T208" s="26" t="str">
        <f aca="false">IF($D208="","",O208-R208-S208)</f>
        <v/>
      </c>
    </row>
    <row r="209" customFormat="false" ht="15" hidden="false" customHeight="false" outlineLevel="0" collapsed="false">
      <c r="I209" s="24" t="str">
        <f aca="false">IF($D209="","",IFERROR(INDEX(Workers!$B$5:$B$2004,MATCH($D209,Workers!$A$5:$A$2004,0)),"NOT FOUND"))</f>
        <v/>
      </c>
      <c r="J209" s="24" t="str">
        <f aca="false">IF($D209="","",IFERROR(INDEX(Workers!$C$5:$C$2004,MATCH($D209,Workers!$A$5:$A$2004,0)),""))</f>
        <v/>
      </c>
      <c r="K209" s="24" t="str">
        <f aca="false">IF($D209="","",IFERROR(IF(INDEX(Workers!$D$5:$D$2004,MATCH($D209,Workers!$A$5:$A$2004,0))=0,"",INDEX(Workers!$D$5:$D$2004,MATCH($D209,Workers!$A$5:$A$2004,0))),""))</f>
        <v/>
      </c>
      <c r="L209" s="24" t="str">
        <f aca="false">IF($D209="","",IFERROR(INDEX(Workers!$E$5:$E$2004,MATCH($D209,Workers!$A$5:$A$2004,0)),""))</f>
        <v/>
      </c>
      <c r="M209" s="26" t="str">
        <f aca="false">IF($D209="","",IFERROR(INDEX(ClientRates!$D$5:$D$500,MATCH($B209&amp;"|"&amp;$L209,ClientRates!$A$5:$A$500,0)),0))</f>
        <v/>
      </c>
      <c r="N209" s="26" t="str">
        <f aca="false">IF($D209="","",IFERROR(INDEX(ClientRates!$E$5:$E$500,MATCH($B209&amp;"|"&amp;$L209,ClientRates!$A$5:$A$500,0)),0))</f>
        <v/>
      </c>
      <c r="O209" s="26" t="str">
        <f aca="false">IF($D209="","",F209*M209+G209*N209)</f>
        <v/>
      </c>
      <c r="P209" s="26" t="str">
        <f aca="false">IF(OR($D209="",$J209&lt;&gt;"Supplier"),"",IFERROR(INDEX(SupplierRates!$D$5:$D$500,MATCH($K209&amp;"|"&amp;$L209,SupplierRates!$A$5:$A$500,0)),0))</f>
        <v/>
      </c>
      <c r="Q209" s="26" t="str">
        <f aca="false">IF(OR($D209="",$J209&lt;&gt;"Supplier"),"",IFERROR(INDEX(SupplierRates!$E$5:$E$500,MATCH($K209&amp;"|"&amp;$L209,SupplierRates!$A$5:$A$500,0)),0))</f>
        <v/>
      </c>
      <c r="R209" s="26" t="n">
        <f aca="false">IF(OR($D209="",$J209&lt;&gt;"Supplier"),0,F209*P209+G209*Q209)</f>
        <v>0</v>
      </c>
      <c r="S209" s="26" t="n">
        <f aca="false">IF(OR($D209="",$J209&lt;&gt;"Own"),0,IFERROR((F209+G209*Settings!$B$13)*INDEX(Workers!$V$5:$V$2004,MATCH($D209,Workers!$A$5:$A$2004,0)),0))</f>
        <v>0</v>
      </c>
      <c r="T209" s="26" t="str">
        <f aca="false">IF($D209="","",O209-R209-S209)</f>
        <v/>
      </c>
    </row>
    <row r="210" customFormat="false" ht="15" hidden="false" customHeight="false" outlineLevel="0" collapsed="false">
      <c r="I210" s="24" t="str">
        <f aca="false">IF($D210="","",IFERROR(INDEX(Workers!$B$5:$B$2004,MATCH($D210,Workers!$A$5:$A$2004,0)),"NOT FOUND"))</f>
        <v/>
      </c>
      <c r="J210" s="24" t="str">
        <f aca="false">IF($D210="","",IFERROR(INDEX(Workers!$C$5:$C$2004,MATCH($D210,Workers!$A$5:$A$2004,0)),""))</f>
        <v/>
      </c>
      <c r="K210" s="24" t="str">
        <f aca="false">IF($D210="","",IFERROR(IF(INDEX(Workers!$D$5:$D$2004,MATCH($D210,Workers!$A$5:$A$2004,0))=0,"",INDEX(Workers!$D$5:$D$2004,MATCH($D210,Workers!$A$5:$A$2004,0))),""))</f>
        <v/>
      </c>
      <c r="L210" s="24" t="str">
        <f aca="false">IF($D210="","",IFERROR(INDEX(Workers!$E$5:$E$2004,MATCH($D210,Workers!$A$5:$A$2004,0)),""))</f>
        <v/>
      </c>
      <c r="M210" s="26" t="str">
        <f aca="false">IF($D210="","",IFERROR(INDEX(ClientRates!$D$5:$D$500,MATCH($B210&amp;"|"&amp;$L210,ClientRates!$A$5:$A$500,0)),0))</f>
        <v/>
      </c>
      <c r="N210" s="26" t="str">
        <f aca="false">IF($D210="","",IFERROR(INDEX(ClientRates!$E$5:$E$500,MATCH($B210&amp;"|"&amp;$L210,ClientRates!$A$5:$A$500,0)),0))</f>
        <v/>
      </c>
      <c r="O210" s="26" t="str">
        <f aca="false">IF($D210="","",F210*M210+G210*N210)</f>
        <v/>
      </c>
      <c r="P210" s="26" t="str">
        <f aca="false">IF(OR($D210="",$J210&lt;&gt;"Supplier"),"",IFERROR(INDEX(SupplierRates!$D$5:$D$500,MATCH($K210&amp;"|"&amp;$L210,SupplierRates!$A$5:$A$500,0)),0))</f>
        <v/>
      </c>
      <c r="Q210" s="26" t="str">
        <f aca="false">IF(OR($D210="",$J210&lt;&gt;"Supplier"),"",IFERROR(INDEX(SupplierRates!$E$5:$E$500,MATCH($K210&amp;"|"&amp;$L210,SupplierRates!$A$5:$A$500,0)),0))</f>
        <v/>
      </c>
      <c r="R210" s="26" t="n">
        <f aca="false">IF(OR($D210="",$J210&lt;&gt;"Supplier"),0,F210*P210+G210*Q210)</f>
        <v>0</v>
      </c>
      <c r="S210" s="26" t="n">
        <f aca="false">IF(OR($D210="",$J210&lt;&gt;"Own"),0,IFERROR((F210+G210*Settings!$B$13)*INDEX(Workers!$V$5:$V$2004,MATCH($D210,Workers!$A$5:$A$2004,0)),0))</f>
        <v>0</v>
      </c>
      <c r="T210" s="26" t="str">
        <f aca="false">IF($D210="","",O210-R210-S210)</f>
        <v/>
      </c>
    </row>
    <row r="211" customFormat="false" ht="15" hidden="false" customHeight="false" outlineLevel="0" collapsed="false">
      <c r="I211" s="24" t="str">
        <f aca="false">IF($D211="","",IFERROR(INDEX(Workers!$B$5:$B$2004,MATCH($D211,Workers!$A$5:$A$2004,0)),"NOT FOUND"))</f>
        <v/>
      </c>
      <c r="J211" s="24" t="str">
        <f aca="false">IF($D211="","",IFERROR(INDEX(Workers!$C$5:$C$2004,MATCH($D211,Workers!$A$5:$A$2004,0)),""))</f>
        <v/>
      </c>
      <c r="K211" s="24" t="str">
        <f aca="false">IF($D211="","",IFERROR(IF(INDEX(Workers!$D$5:$D$2004,MATCH($D211,Workers!$A$5:$A$2004,0))=0,"",INDEX(Workers!$D$5:$D$2004,MATCH($D211,Workers!$A$5:$A$2004,0))),""))</f>
        <v/>
      </c>
      <c r="L211" s="24" t="str">
        <f aca="false">IF($D211="","",IFERROR(INDEX(Workers!$E$5:$E$2004,MATCH($D211,Workers!$A$5:$A$2004,0)),""))</f>
        <v/>
      </c>
      <c r="M211" s="26" t="str">
        <f aca="false">IF($D211="","",IFERROR(INDEX(ClientRates!$D$5:$D$500,MATCH($B211&amp;"|"&amp;$L211,ClientRates!$A$5:$A$500,0)),0))</f>
        <v/>
      </c>
      <c r="N211" s="26" t="str">
        <f aca="false">IF($D211="","",IFERROR(INDEX(ClientRates!$E$5:$E$500,MATCH($B211&amp;"|"&amp;$L211,ClientRates!$A$5:$A$500,0)),0))</f>
        <v/>
      </c>
      <c r="O211" s="26" t="str">
        <f aca="false">IF($D211="","",F211*M211+G211*N211)</f>
        <v/>
      </c>
      <c r="P211" s="26" t="str">
        <f aca="false">IF(OR($D211="",$J211&lt;&gt;"Supplier"),"",IFERROR(INDEX(SupplierRates!$D$5:$D$500,MATCH($K211&amp;"|"&amp;$L211,SupplierRates!$A$5:$A$500,0)),0))</f>
        <v/>
      </c>
      <c r="Q211" s="26" t="str">
        <f aca="false">IF(OR($D211="",$J211&lt;&gt;"Supplier"),"",IFERROR(INDEX(SupplierRates!$E$5:$E$500,MATCH($K211&amp;"|"&amp;$L211,SupplierRates!$A$5:$A$500,0)),0))</f>
        <v/>
      </c>
      <c r="R211" s="26" t="n">
        <f aca="false">IF(OR($D211="",$J211&lt;&gt;"Supplier"),0,F211*P211+G211*Q211)</f>
        <v>0</v>
      </c>
      <c r="S211" s="26" t="n">
        <f aca="false">IF(OR($D211="",$J211&lt;&gt;"Own"),0,IFERROR((F211+G211*Settings!$B$13)*INDEX(Workers!$V$5:$V$2004,MATCH($D211,Workers!$A$5:$A$2004,0)),0))</f>
        <v>0</v>
      </c>
      <c r="T211" s="26" t="str">
        <f aca="false">IF($D211="","",O211-R211-S211)</f>
        <v/>
      </c>
    </row>
    <row r="212" customFormat="false" ht="15" hidden="false" customHeight="false" outlineLevel="0" collapsed="false">
      <c r="I212" s="24" t="str">
        <f aca="false">IF($D212="","",IFERROR(INDEX(Workers!$B$5:$B$2004,MATCH($D212,Workers!$A$5:$A$2004,0)),"NOT FOUND"))</f>
        <v/>
      </c>
      <c r="J212" s="24" t="str">
        <f aca="false">IF($D212="","",IFERROR(INDEX(Workers!$C$5:$C$2004,MATCH($D212,Workers!$A$5:$A$2004,0)),""))</f>
        <v/>
      </c>
      <c r="K212" s="24" t="str">
        <f aca="false">IF($D212="","",IFERROR(IF(INDEX(Workers!$D$5:$D$2004,MATCH($D212,Workers!$A$5:$A$2004,0))=0,"",INDEX(Workers!$D$5:$D$2004,MATCH($D212,Workers!$A$5:$A$2004,0))),""))</f>
        <v/>
      </c>
      <c r="L212" s="24" t="str">
        <f aca="false">IF($D212="","",IFERROR(INDEX(Workers!$E$5:$E$2004,MATCH($D212,Workers!$A$5:$A$2004,0)),""))</f>
        <v/>
      </c>
      <c r="M212" s="26" t="str">
        <f aca="false">IF($D212="","",IFERROR(INDEX(ClientRates!$D$5:$D$500,MATCH($B212&amp;"|"&amp;$L212,ClientRates!$A$5:$A$500,0)),0))</f>
        <v/>
      </c>
      <c r="N212" s="26" t="str">
        <f aca="false">IF($D212="","",IFERROR(INDEX(ClientRates!$E$5:$E$500,MATCH($B212&amp;"|"&amp;$L212,ClientRates!$A$5:$A$500,0)),0))</f>
        <v/>
      </c>
      <c r="O212" s="26" t="str">
        <f aca="false">IF($D212="","",F212*M212+G212*N212)</f>
        <v/>
      </c>
      <c r="P212" s="26" t="str">
        <f aca="false">IF(OR($D212="",$J212&lt;&gt;"Supplier"),"",IFERROR(INDEX(SupplierRates!$D$5:$D$500,MATCH($K212&amp;"|"&amp;$L212,SupplierRates!$A$5:$A$500,0)),0))</f>
        <v/>
      </c>
      <c r="Q212" s="26" t="str">
        <f aca="false">IF(OR($D212="",$J212&lt;&gt;"Supplier"),"",IFERROR(INDEX(SupplierRates!$E$5:$E$500,MATCH($K212&amp;"|"&amp;$L212,SupplierRates!$A$5:$A$500,0)),0))</f>
        <v/>
      </c>
      <c r="R212" s="26" t="n">
        <f aca="false">IF(OR($D212="",$J212&lt;&gt;"Supplier"),0,F212*P212+G212*Q212)</f>
        <v>0</v>
      </c>
      <c r="S212" s="26" t="n">
        <f aca="false">IF(OR($D212="",$J212&lt;&gt;"Own"),0,IFERROR((F212+G212*Settings!$B$13)*INDEX(Workers!$V$5:$V$2004,MATCH($D212,Workers!$A$5:$A$2004,0)),0))</f>
        <v>0</v>
      </c>
      <c r="T212" s="26" t="str">
        <f aca="false">IF($D212="","",O212-R212-S212)</f>
        <v/>
      </c>
    </row>
    <row r="213" customFormat="false" ht="15" hidden="false" customHeight="false" outlineLevel="0" collapsed="false">
      <c r="I213" s="24" t="str">
        <f aca="false">IF($D213="","",IFERROR(INDEX(Workers!$B$5:$B$2004,MATCH($D213,Workers!$A$5:$A$2004,0)),"NOT FOUND"))</f>
        <v/>
      </c>
      <c r="J213" s="24" t="str">
        <f aca="false">IF($D213="","",IFERROR(INDEX(Workers!$C$5:$C$2004,MATCH($D213,Workers!$A$5:$A$2004,0)),""))</f>
        <v/>
      </c>
      <c r="K213" s="24" t="str">
        <f aca="false">IF($D213="","",IFERROR(IF(INDEX(Workers!$D$5:$D$2004,MATCH($D213,Workers!$A$5:$A$2004,0))=0,"",INDEX(Workers!$D$5:$D$2004,MATCH($D213,Workers!$A$5:$A$2004,0))),""))</f>
        <v/>
      </c>
      <c r="L213" s="24" t="str">
        <f aca="false">IF($D213="","",IFERROR(INDEX(Workers!$E$5:$E$2004,MATCH($D213,Workers!$A$5:$A$2004,0)),""))</f>
        <v/>
      </c>
      <c r="M213" s="26" t="str">
        <f aca="false">IF($D213="","",IFERROR(INDEX(ClientRates!$D$5:$D$500,MATCH($B213&amp;"|"&amp;$L213,ClientRates!$A$5:$A$500,0)),0))</f>
        <v/>
      </c>
      <c r="N213" s="26" t="str">
        <f aca="false">IF($D213="","",IFERROR(INDEX(ClientRates!$E$5:$E$500,MATCH($B213&amp;"|"&amp;$L213,ClientRates!$A$5:$A$500,0)),0))</f>
        <v/>
      </c>
      <c r="O213" s="26" t="str">
        <f aca="false">IF($D213="","",F213*M213+G213*N213)</f>
        <v/>
      </c>
      <c r="P213" s="26" t="str">
        <f aca="false">IF(OR($D213="",$J213&lt;&gt;"Supplier"),"",IFERROR(INDEX(SupplierRates!$D$5:$D$500,MATCH($K213&amp;"|"&amp;$L213,SupplierRates!$A$5:$A$500,0)),0))</f>
        <v/>
      </c>
      <c r="Q213" s="26" t="str">
        <f aca="false">IF(OR($D213="",$J213&lt;&gt;"Supplier"),"",IFERROR(INDEX(SupplierRates!$E$5:$E$500,MATCH($K213&amp;"|"&amp;$L213,SupplierRates!$A$5:$A$500,0)),0))</f>
        <v/>
      </c>
      <c r="R213" s="26" t="n">
        <f aca="false">IF(OR($D213="",$J213&lt;&gt;"Supplier"),0,F213*P213+G213*Q213)</f>
        <v>0</v>
      </c>
      <c r="S213" s="26" t="n">
        <f aca="false">IF(OR($D213="",$J213&lt;&gt;"Own"),0,IFERROR((F213+G213*Settings!$B$13)*INDEX(Workers!$V$5:$V$2004,MATCH($D213,Workers!$A$5:$A$2004,0)),0))</f>
        <v>0</v>
      </c>
      <c r="T213" s="26" t="str">
        <f aca="false">IF($D213="","",O213-R213-S213)</f>
        <v/>
      </c>
    </row>
    <row r="214" customFormat="false" ht="15" hidden="false" customHeight="false" outlineLevel="0" collapsed="false">
      <c r="I214" s="24" t="str">
        <f aca="false">IF($D214="","",IFERROR(INDEX(Workers!$B$5:$B$2004,MATCH($D214,Workers!$A$5:$A$2004,0)),"NOT FOUND"))</f>
        <v/>
      </c>
      <c r="J214" s="24" t="str">
        <f aca="false">IF($D214="","",IFERROR(INDEX(Workers!$C$5:$C$2004,MATCH($D214,Workers!$A$5:$A$2004,0)),""))</f>
        <v/>
      </c>
      <c r="K214" s="24" t="str">
        <f aca="false">IF($D214="","",IFERROR(IF(INDEX(Workers!$D$5:$D$2004,MATCH($D214,Workers!$A$5:$A$2004,0))=0,"",INDEX(Workers!$D$5:$D$2004,MATCH($D214,Workers!$A$5:$A$2004,0))),""))</f>
        <v/>
      </c>
      <c r="L214" s="24" t="str">
        <f aca="false">IF($D214="","",IFERROR(INDEX(Workers!$E$5:$E$2004,MATCH($D214,Workers!$A$5:$A$2004,0)),""))</f>
        <v/>
      </c>
      <c r="M214" s="26" t="str">
        <f aca="false">IF($D214="","",IFERROR(INDEX(ClientRates!$D$5:$D$500,MATCH($B214&amp;"|"&amp;$L214,ClientRates!$A$5:$A$500,0)),0))</f>
        <v/>
      </c>
      <c r="N214" s="26" t="str">
        <f aca="false">IF($D214="","",IFERROR(INDEX(ClientRates!$E$5:$E$500,MATCH($B214&amp;"|"&amp;$L214,ClientRates!$A$5:$A$500,0)),0))</f>
        <v/>
      </c>
      <c r="O214" s="26" t="str">
        <f aca="false">IF($D214="","",F214*M214+G214*N214)</f>
        <v/>
      </c>
      <c r="P214" s="26" t="str">
        <f aca="false">IF(OR($D214="",$J214&lt;&gt;"Supplier"),"",IFERROR(INDEX(SupplierRates!$D$5:$D$500,MATCH($K214&amp;"|"&amp;$L214,SupplierRates!$A$5:$A$500,0)),0))</f>
        <v/>
      </c>
      <c r="Q214" s="26" t="str">
        <f aca="false">IF(OR($D214="",$J214&lt;&gt;"Supplier"),"",IFERROR(INDEX(SupplierRates!$E$5:$E$500,MATCH($K214&amp;"|"&amp;$L214,SupplierRates!$A$5:$A$500,0)),0))</f>
        <v/>
      </c>
      <c r="R214" s="26" t="n">
        <f aca="false">IF(OR($D214="",$J214&lt;&gt;"Supplier"),0,F214*P214+G214*Q214)</f>
        <v>0</v>
      </c>
      <c r="S214" s="26" t="n">
        <f aca="false">IF(OR($D214="",$J214&lt;&gt;"Own"),0,IFERROR((F214+G214*Settings!$B$13)*INDEX(Workers!$V$5:$V$2004,MATCH($D214,Workers!$A$5:$A$2004,0)),0))</f>
        <v>0</v>
      </c>
      <c r="T214" s="26" t="str">
        <f aca="false">IF($D214="","",O214-R214-S214)</f>
        <v/>
      </c>
    </row>
    <row r="215" customFormat="false" ht="15" hidden="false" customHeight="false" outlineLevel="0" collapsed="false">
      <c r="I215" s="24" t="str">
        <f aca="false">IF($D215="","",IFERROR(INDEX(Workers!$B$5:$B$2004,MATCH($D215,Workers!$A$5:$A$2004,0)),"NOT FOUND"))</f>
        <v/>
      </c>
      <c r="J215" s="24" t="str">
        <f aca="false">IF($D215="","",IFERROR(INDEX(Workers!$C$5:$C$2004,MATCH($D215,Workers!$A$5:$A$2004,0)),""))</f>
        <v/>
      </c>
      <c r="K215" s="24" t="str">
        <f aca="false">IF($D215="","",IFERROR(IF(INDEX(Workers!$D$5:$D$2004,MATCH($D215,Workers!$A$5:$A$2004,0))=0,"",INDEX(Workers!$D$5:$D$2004,MATCH($D215,Workers!$A$5:$A$2004,0))),""))</f>
        <v/>
      </c>
      <c r="L215" s="24" t="str">
        <f aca="false">IF($D215="","",IFERROR(INDEX(Workers!$E$5:$E$2004,MATCH($D215,Workers!$A$5:$A$2004,0)),""))</f>
        <v/>
      </c>
      <c r="M215" s="26" t="str">
        <f aca="false">IF($D215="","",IFERROR(INDEX(ClientRates!$D$5:$D$500,MATCH($B215&amp;"|"&amp;$L215,ClientRates!$A$5:$A$500,0)),0))</f>
        <v/>
      </c>
      <c r="N215" s="26" t="str">
        <f aca="false">IF($D215="","",IFERROR(INDEX(ClientRates!$E$5:$E$500,MATCH($B215&amp;"|"&amp;$L215,ClientRates!$A$5:$A$500,0)),0))</f>
        <v/>
      </c>
      <c r="O215" s="26" t="str">
        <f aca="false">IF($D215="","",F215*M215+G215*N215)</f>
        <v/>
      </c>
      <c r="P215" s="26" t="str">
        <f aca="false">IF(OR($D215="",$J215&lt;&gt;"Supplier"),"",IFERROR(INDEX(SupplierRates!$D$5:$D$500,MATCH($K215&amp;"|"&amp;$L215,SupplierRates!$A$5:$A$500,0)),0))</f>
        <v/>
      </c>
      <c r="Q215" s="26" t="str">
        <f aca="false">IF(OR($D215="",$J215&lt;&gt;"Supplier"),"",IFERROR(INDEX(SupplierRates!$E$5:$E$500,MATCH($K215&amp;"|"&amp;$L215,SupplierRates!$A$5:$A$500,0)),0))</f>
        <v/>
      </c>
      <c r="R215" s="26" t="n">
        <f aca="false">IF(OR($D215="",$J215&lt;&gt;"Supplier"),0,F215*P215+G215*Q215)</f>
        <v>0</v>
      </c>
      <c r="S215" s="26" t="n">
        <f aca="false">IF(OR($D215="",$J215&lt;&gt;"Own"),0,IFERROR((F215+G215*Settings!$B$13)*INDEX(Workers!$V$5:$V$2004,MATCH($D215,Workers!$A$5:$A$2004,0)),0))</f>
        <v>0</v>
      </c>
      <c r="T215" s="26" t="str">
        <f aca="false">IF($D215="","",O215-R215-S215)</f>
        <v/>
      </c>
    </row>
    <row r="216" customFormat="false" ht="15" hidden="false" customHeight="false" outlineLevel="0" collapsed="false">
      <c r="I216" s="24" t="str">
        <f aca="false">IF($D216="","",IFERROR(INDEX(Workers!$B$5:$B$2004,MATCH($D216,Workers!$A$5:$A$2004,0)),"NOT FOUND"))</f>
        <v/>
      </c>
      <c r="J216" s="24" t="str">
        <f aca="false">IF($D216="","",IFERROR(INDEX(Workers!$C$5:$C$2004,MATCH($D216,Workers!$A$5:$A$2004,0)),""))</f>
        <v/>
      </c>
      <c r="K216" s="24" t="str">
        <f aca="false">IF($D216="","",IFERROR(IF(INDEX(Workers!$D$5:$D$2004,MATCH($D216,Workers!$A$5:$A$2004,0))=0,"",INDEX(Workers!$D$5:$D$2004,MATCH($D216,Workers!$A$5:$A$2004,0))),""))</f>
        <v/>
      </c>
      <c r="L216" s="24" t="str">
        <f aca="false">IF($D216="","",IFERROR(INDEX(Workers!$E$5:$E$2004,MATCH($D216,Workers!$A$5:$A$2004,0)),""))</f>
        <v/>
      </c>
      <c r="M216" s="26" t="str">
        <f aca="false">IF($D216="","",IFERROR(INDEX(ClientRates!$D$5:$D$500,MATCH($B216&amp;"|"&amp;$L216,ClientRates!$A$5:$A$500,0)),0))</f>
        <v/>
      </c>
      <c r="N216" s="26" t="str">
        <f aca="false">IF($D216="","",IFERROR(INDEX(ClientRates!$E$5:$E$500,MATCH($B216&amp;"|"&amp;$L216,ClientRates!$A$5:$A$500,0)),0))</f>
        <v/>
      </c>
      <c r="O216" s="26" t="str">
        <f aca="false">IF($D216="","",F216*M216+G216*N216)</f>
        <v/>
      </c>
      <c r="P216" s="26" t="str">
        <f aca="false">IF(OR($D216="",$J216&lt;&gt;"Supplier"),"",IFERROR(INDEX(SupplierRates!$D$5:$D$500,MATCH($K216&amp;"|"&amp;$L216,SupplierRates!$A$5:$A$500,0)),0))</f>
        <v/>
      </c>
      <c r="Q216" s="26" t="str">
        <f aca="false">IF(OR($D216="",$J216&lt;&gt;"Supplier"),"",IFERROR(INDEX(SupplierRates!$E$5:$E$500,MATCH($K216&amp;"|"&amp;$L216,SupplierRates!$A$5:$A$500,0)),0))</f>
        <v/>
      </c>
      <c r="R216" s="26" t="n">
        <f aca="false">IF(OR($D216="",$J216&lt;&gt;"Supplier"),0,F216*P216+G216*Q216)</f>
        <v>0</v>
      </c>
      <c r="S216" s="26" t="n">
        <f aca="false">IF(OR($D216="",$J216&lt;&gt;"Own"),0,IFERROR((F216+G216*Settings!$B$13)*INDEX(Workers!$V$5:$V$2004,MATCH($D216,Workers!$A$5:$A$2004,0)),0))</f>
        <v>0</v>
      </c>
      <c r="T216" s="26" t="str">
        <f aca="false">IF($D216="","",O216-R216-S216)</f>
        <v/>
      </c>
    </row>
    <row r="217" customFormat="false" ht="15" hidden="false" customHeight="false" outlineLevel="0" collapsed="false">
      <c r="I217" s="24" t="str">
        <f aca="false">IF($D217="","",IFERROR(INDEX(Workers!$B$5:$B$2004,MATCH($D217,Workers!$A$5:$A$2004,0)),"NOT FOUND"))</f>
        <v/>
      </c>
      <c r="J217" s="24" t="str">
        <f aca="false">IF($D217="","",IFERROR(INDEX(Workers!$C$5:$C$2004,MATCH($D217,Workers!$A$5:$A$2004,0)),""))</f>
        <v/>
      </c>
      <c r="K217" s="24" t="str">
        <f aca="false">IF($D217="","",IFERROR(IF(INDEX(Workers!$D$5:$D$2004,MATCH($D217,Workers!$A$5:$A$2004,0))=0,"",INDEX(Workers!$D$5:$D$2004,MATCH($D217,Workers!$A$5:$A$2004,0))),""))</f>
        <v/>
      </c>
      <c r="L217" s="24" t="str">
        <f aca="false">IF($D217="","",IFERROR(INDEX(Workers!$E$5:$E$2004,MATCH($D217,Workers!$A$5:$A$2004,0)),""))</f>
        <v/>
      </c>
      <c r="M217" s="26" t="str">
        <f aca="false">IF($D217="","",IFERROR(INDEX(ClientRates!$D$5:$D$500,MATCH($B217&amp;"|"&amp;$L217,ClientRates!$A$5:$A$500,0)),0))</f>
        <v/>
      </c>
      <c r="N217" s="26" t="str">
        <f aca="false">IF($D217="","",IFERROR(INDEX(ClientRates!$E$5:$E$500,MATCH($B217&amp;"|"&amp;$L217,ClientRates!$A$5:$A$500,0)),0))</f>
        <v/>
      </c>
      <c r="O217" s="26" t="str">
        <f aca="false">IF($D217="","",F217*M217+G217*N217)</f>
        <v/>
      </c>
      <c r="P217" s="26" t="str">
        <f aca="false">IF(OR($D217="",$J217&lt;&gt;"Supplier"),"",IFERROR(INDEX(SupplierRates!$D$5:$D$500,MATCH($K217&amp;"|"&amp;$L217,SupplierRates!$A$5:$A$500,0)),0))</f>
        <v/>
      </c>
      <c r="Q217" s="26" t="str">
        <f aca="false">IF(OR($D217="",$J217&lt;&gt;"Supplier"),"",IFERROR(INDEX(SupplierRates!$E$5:$E$500,MATCH($K217&amp;"|"&amp;$L217,SupplierRates!$A$5:$A$500,0)),0))</f>
        <v/>
      </c>
      <c r="R217" s="26" t="n">
        <f aca="false">IF(OR($D217="",$J217&lt;&gt;"Supplier"),0,F217*P217+G217*Q217)</f>
        <v>0</v>
      </c>
      <c r="S217" s="26" t="n">
        <f aca="false">IF(OR($D217="",$J217&lt;&gt;"Own"),0,IFERROR((F217+G217*Settings!$B$13)*INDEX(Workers!$V$5:$V$2004,MATCH($D217,Workers!$A$5:$A$2004,0)),0))</f>
        <v>0</v>
      </c>
      <c r="T217" s="26" t="str">
        <f aca="false">IF($D217="","",O217-R217-S217)</f>
        <v/>
      </c>
    </row>
    <row r="218" customFormat="false" ht="15" hidden="false" customHeight="false" outlineLevel="0" collapsed="false">
      <c r="I218" s="24" t="str">
        <f aca="false">IF($D218="","",IFERROR(INDEX(Workers!$B$5:$B$2004,MATCH($D218,Workers!$A$5:$A$2004,0)),"NOT FOUND"))</f>
        <v/>
      </c>
      <c r="J218" s="24" t="str">
        <f aca="false">IF($D218="","",IFERROR(INDEX(Workers!$C$5:$C$2004,MATCH($D218,Workers!$A$5:$A$2004,0)),""))</f>
        <v/>
      </c>
      <c r="K218" s="24" t="str">
        <f aca="false">IF($D218="","",IFERROR(IF(INDEX(Workers!$D$5:$D$2004,MATCH($D218,Workers!$A$5:$A$2004,0))=0,"",INDEX(Workers!$D$5:$D$2004,MATCH($D218,Workers!$A$5:$A$2004,0))),""))</f>
        <v/>
      </c>
      <c r="L218" s="24" t="str">
        <f aca="false">IF($D218="","",IFERROR(INDEX(Workers!$E$5:$E$2004,MATCH($D218,Workers!$A$5:$A$2004,0)),""))</f>
        <v/>
      </c>
      <c r="M218" s="26" t="str">
        <f aca="false">IF($D218="","",IFERROR(INDEX(ClientRates!$D$5:$D$500,MATCH($B218&amp;"|"&amp;$L218,ClientRates!$A$5:$A$500,0)),0))</f>
        <v/>
      </c>
      <c r="N218" s="26" t="str">
        <f aca="false">IF($D218="","",IFERROR(INDEX(ClientRates!$E$5:$E$500,MATCH($B218&amp;"|"&amp;$L218,ClientRates!$A$5:$A$500,0)),0))</f>
        <v/>
      </c>
      <c r="O218" s="26" t="str">
        <f aca="false">IF($D218="","",F218*M218+G218*N218)</f>
        <v/>
      </c>
      <c r="P218" s="26" t="str">
        <f aca="false">IF(OR($D218="",$J218&lt;&gt;"Supplier"),"",IFERROR(INDEX(SupplierRates!$D$5:$D$500,MATCH($K218&amp;"|"&amp;$L218,SupplierRates!$A$5:$A$500,0)),0))</f>
        <v/>
      </c>
      <c r="Q218" s="26" t="str">
        <f aca="false">IF(OR($D218="",$J218&lt;&gt;"Supplier"),"",IFERROR(INDEX(SupplierRates!$E$5:$E$500,MATCH($K218&amp;"|"&amp;$L218,SupplierRates!$A$5:$A$500,0)),0))</f>
        <v/>
      </c>
      <c r="R218" s="26" t="n">
        <f aca="false">IF(OR($D218="",$J218&lt;&gt;"Supplier"),0,F218*P218+G218*Q218)</f>
        <v>0</v>
      </c>
      <c r="S218" s="26" t="n">
        <f aca="false">IF(OR($D218="",$J218&lt;&gt;"Own"),0,IFERROR((F218+G218*Settings!$B$13)*INDEX(Workers!$V$5:$V$2004,MATCH($D218,Workers!$A$5:$A$2004,0)),0))</f>
        <v>0</v>
      </c>
      <c r="T218" s="26" t="str">
        <f aca="false">IF($D218="","",O218-R218-S218)</f>
        <v/>
      </c>
    </row>
    <row r="219" customFormat="false" ht="15" hidden="false" customHeight="false" outlineLevel="0" collapsed="false">
      <c r="I219" s="24" t="str">
        <f aca="false">IF($D219="","",IFERROR(INDEX(Workers!$B$5:$B$2004,MATCH($D219,Workers!$A$5:$A$2004,0)),"NOT FOUND"))</f>
        <v/>
      </c>
      <c r="J219" s="24" t="str">
        <f aca="false">IF($D219="","",IFERROR(INDEX(Workers!$C$5:$C$2004,MATCH($D219,Workers!$A$5:$A$2004,0)),""))</f>
        <v/>
      </c>
      <c r="K219" s="24" t="str">
        <f aca="false">IF($D219="","",IFERROR(IF(INDEX(Workers!$D$5:$D$2004,MATCH($D219,Workers!$A$5:$A$2004,0))=0,"",INDEX(Workers!$D$5:$D$2004,MATCH($D219,Workers!$A$5:$A$2004,0))),""))</f>
        <v/>
      </c>
      <c r="L219" s="24" t="str">
        <f aca="false">IF($D219="","",IFERROR(INDEX(Workers!$E$5:$E$2004,MATCH($D219,Workers!$A$5:$A$2004,0)),""))</f>
        <v/>
      </c>
      <c r="M219" s="26" t="str">
        <f aca="false">IF($D219="","",IFERROR(INDEX(ClientRates!$D$5:$D$500,MATCH($B219&amp;"|"&amp;$L219,ClientRates!$A$5:$A$500,0)),0))</f>
        <v/>
      </c>
      <c r="N219" s="26" t="str">
        <f aca="false">IF($D219="","",IFERROR(INDEX(ClientRates!$E$5:$E$500,MATCH($B219&amp;"|"&amp;$L219,ClientRates!$A$5:$A$500,0)),0))</f>
        <v/>
      </c>
      <c r="O219" s="26" t="str">
        <f aca="false">IF($D219="","",F219*M219+G219*N219)</f>
        <v/>
      </c>
      <c r="P219" s="26" t="str">
        <f aca="false">IF(OR($D219="",$J219&lt;&gt;"Supplier"),"",IFERROR(INDEX(SupplierRates!$D$5:$D$500,MATCH($K219&amp;"|"&amp;$L219,SupplierRates!$A$5:$A$500,0)),0))</f>
        <v/>
      </c>
      <c r="Q219" s="26" t="str">
        <f aca="false">IF(OR($D219="",$J219&lt;&gt;"Supplier"),"",IFERROR(INDEX(SupplierRates!$E$5:$E$500,MATCH($K219&amp;"|"&amp;$L219,SupplierRates!$A$5:$A$500,0)),0))</f>
        <v/>
      </c>
      <c r="R219" s="26" t="n">
        <f aca="false">IF(OR($D219="",$J219&lt;&gt;"Supplier"),0,F219*P219+G219*Q219)</f>
        <v>0</v>
      </c>
      <c r="S219" s="26" t="n">
        <f aca="false">IF(OR($D219="",$J219&lt;&gt;"Own"),0,IFERROR((F219+G219*Settings!$B$13)*INDEX(Workers!$V$5:$V$2004,MATCH($D219,Workers!$A$5:$A$2004,0)),0))</f>
        <v>0</v>
      </c>
      <c r="T219" s="26" t="str">
        <f aca="false">IF($D219="","",O219-R219-S219)</f>
        <v/>
      </c>
    </row>
    <row r="220" customFormat="false" ht="15" hidden="false" customHeight="false" outlineLevel="0" collapsed="false">
      <c r="I220" s="24" t="str">
        <f aca="false">IF($D220="","",IFERROR(INDEX(Workers!$B$5:$B$2004,MATCH($D220,Workers!$A$5:$A$2004,0)),"NOT FOUND"))</f>
        <v/>
      </c>
      <c r="J220" s="24" t="str">
        <f aca="false">IF($D220="","",IFERROR(INDEX(Workers!$C$5:$C$2004,MATCH($D220,Workers!$A$5:$A$2004,0)),""))</f>
        <v/>
      </c>
      <c r="K220" s="24" t="str">
        <f aca="false">IF($D220="","",IFERROR(IF(INDEX(Workers!$D$5:$D$2004,MATCH($D220,Workers!$A$5:$A$2004,0))=0,"",INDEX(Workers!$D$5:$D$2004,MATCH($D220,Workers!$A$5:$A$2004,0))),""))</f>
        <v/>
      </c>
      <c r="L220" s="24" t="str">
        <f aca="false">IF($D220="","",IFERROR(INDEX(Workers!$E$5:$E$2004,MATCH($D220,Workers!$A$5:$A$2004,0)),""))</f>
        <v/>
      </c>
      <c r="M220" s="26" t="str">
        <f aca="false">IF($D220="","",IFERROR(INDEX(ClientRates!$D$5:$D$500,MATCH($B220&amp;"|"&amp;$L220,ClientRates!$A$5:$A$500,0)),0))</f>
        <v/>
      </c>
      <c r="N220" s="26" t="str">
        <f aca="false">IF($D220="","",IFERROR(INDEX(ClientRates!$E$5:$E$500,MATCH($B220&amp;"|"&amp;$L220,ClientRates!$A$5:$A$500,0)),0))</f>
        <v/>
      </c>
      <c r="O220" s="26" t="str">
        <f aca="false">IF($D220="","",F220*M220+G220*N220)</f>
        <v/>
      </c>
      <c r="P220" s="26" t="str">
        <f aca="false">IF(OR($D220="",$J220&lt;&gt;"Supplier"),"",IFERROR(INDEX(SupplierRates!$D$5:$D$500,MATCH($K220&amp;"|"&amp;$L220,SupplierRates!$A$5:$A$500,0)),0))</f>
        <v/>
      </c>
      <c r="Q220" s="26" t="str">
        <f aca="false">IF(OR($D220="",$J220&lt;&gt;"Supplier"),"",IFERROR(INDEX(SupplierRates!$E$5:$E$500,MATCH($K220&amp;"|"&amp;$L220,SupplierRates!$A$5:$A$500,0)),0))</f>
        <v/>
      </c>
      <c r="R220" s="26" t="n">
        <f aca="false">IF(OR($D220="",$J220&lt;&gt;"Supplier"),0,F220*P220+G220*Q220)</f>
        <v>0</v>
      </c>
      <c r="S220" s="26" t="n">
        <f aca="false">IF(OR($D220="",$J220&lt;&gt;"Own"),0,IFERROR((F220+G220*Settings!$B$13)*INDEX(Workers!$V$5:$V$2004,MATCH($D220,Workers!$A$5:$A$2004,0)),0))</f>
        <v>0</v>
      </c>
      <c r="T220" s="26" t="str">
        <f aca="false">IF($D220="","",O220-R220-S220)</f>
        <v/>
      </c>
    </row>
    <row r="221" customFormat="false" ht="15" hidden="false" customHeight="false" outlineLevel="0" collapsed="false">
      <c r="I221" s="24" t="str">
        <f aca="false">IF($D221="","",IFERROR(INDEX(Workers!$B$5:$B$2004,MATCH($D221,Workers!$A$5:$A$2004,0)),"NOT FOUND"))</f>
        <v/>
      </c>
      <c r="J221" s="24" t="str">
        <f aca="false">IF($D221="","",IFERROR(INDEX(Workers!$C$5:$C$2004,MATCH($D221,Workers!$A$5:$A$2004,0)),""))</f>
        <v/>
      </c>
      <c r="K221" s="24" t="str">
        <f aca="false">IF($D221="","",IFERROR(IF(INDEX(Workers!$D$5:$D$2004,MATCH($D221,Workers!$A$5:$A$2004,0))=0,"",INDEX(Workers!$D$5:$D$2004,MATCH($D221,Workers!$A$5:$A$2004,0))),""))</f>
        <v/>
      </c>
      <c r="L221" s="24" t="str">
        <f aca="false">IF($D221="","",IFERROR(INDEX(Workers!$E$5:$E$2004,MATCH($D221,Workers!$A$5:$A$2004,0)),""))</f>
        <v/>
      </c>
      <c r="M221" s="26" t="str">
        <f aca="false">IF($D221="","",IFERROR(INDEX(ClientRates!$D$5:$D$500,MATCH($B221&amp;"|"&amp;$L221,ClientRates!$A$5:$A$500,0)),0))</f>
        <v/>
      </c>
      <c r="N221" s="26" t="str">
        <f aca="false">IF($D221="","",IFERROR(INDEX(ClientRates!$E$5:$E$500,MATCH($B221&amp;"|"&amp;$L221,ClientRates!$A$5:$A$500,0)),0))</f>
        <v/>
      </c>
      <c r="O221" s="26" t="str">
        <f aca="false">IF($D221="","",F221*M221+G221*N221)</f>
        <v/>
      </c>
      <c r="P221" s="26" t="str">
        <f aca="false">IF(OR($D221="",$J221&lt;&gt;"Supplier"),"",IFERROR(INDEX(SupplierRates!$D$5:$D$500,MATCH($K221&amp;"|"&amp;$L221,SupplierRates!$A$5:$A$500,0)),0))</f>
        <v/>
      </c>
      <c r="Q221" s="26" t="str">
        <f aca="false">IF(OR($D221="",$J221&lt;&gt;"Supplier"),"",IFERROR(INDEX(SupplierRates!$E$5:$E$500,MATCH($K221&amp;"|"&amp;$L221,SupplierRates!$A$5:$A$500,0)),0))</f>
        <v/>
      </c>
      <c r="R221" s="26" t="n">
        <f aca="false">IF(OR($D221="",$J221&lt;&gt;"Supplier"),0,F221*P221+G221*Q221)</f>
        <v>0</v>
      </c>
      <c r="S221" s="26" t="n">
        <f aca="false">IF(OR($D221="",$J221&lt;&gt;"Own"),0,IFERROR((F221+G221*Settings!$B$13)*INDEX(Workers!$V$5:$V$2004,MATCH($D221,Workers!$A$5:$A$2004,0)),0))</f>
        <v>0</v>
      </c>
      <c r="T221" s="26" t="str">
        <f aca="false">IF($D221="","",O221-R221-S221)</f>
        <v/>
      </c>
    </row>
    <row r="222" customFormat="false" ht="15" hidden="false" customHeight="false" outlineLevel="0" collapsed="false">
      <c r="I222" s="24" t="str">
        <f aca="false">IF($D222="","",IFERROR(INDEX(Workers!$B$5:$B$2004,MATCH($D222,Workers!$A$5:$A$2004,0)),"NOT FOUND"))</f>
        <v/>
      </c>
      <c r="J222" s="24" t="str">
        <f aca="false">IF($D222="","",IFERROR(INDEX(Workers!$C$5:$C$2004,MATCH($D222,Workers!$A$5:$A$2004,0)),""))</f>
        <v/>
      </c>
      <c r="K222" s="24" t="str">
        <f aca="false">IF($D222="","",IFERROR(IF(INDEX(Workers!$D$5:$D$2004,MATCH($D222,Workers!$A$5:$A$2004,0))=0,"",INDEX(Workers!$D$5:$D$2004,MATCH($D222,Workers!$A$5:$A$2004,0))),""))</f>
        <v/>
      </c>
      <c r="L222" s="24" t="str">
        <f aca="false">IF($D222="","",IFERROR(INDEX(Workers!$E$5:$E$2004,MATCH($D222,Workers!$A$5:$A$2004,0)),""))</f>
        <v/>
      </c>
      <c r="M222" s="26" t="str">
        <f aca="false">IF($D222="","",IFERROR(INDEX(ClientRates!$D$5:$D$500,MATCH($B222&amp;"|"&amp;$L222,ClientRates!$A$5:$A$500,0)),0))</f>
        <v/>
      </c>
      <c r="N222" s="26" t="str">
        <f aca="false">IF($D222="","",IFERROR(INDEX(ClientRates!$E$5:$E$500,MATCH($B222&amp;"|"&amp;$L222,ClientRates!$A$5:$A$500,0)),0))</f>
        <v/>
      </c>
      <c r="O222" s="26" t="str">
        <f aca="false">IF($D222="","",F222*M222+G222*N222)</f>
        <v/>
      </c>
      <c r="P222" s="26" t="str">
        <f aca="false">IF(OR($D222="",$J222&lt;&gt;"Supplier"),"",IFERROR(INDEX(SupplierRates!$D$5:$D$500,MATCH($K222&amp;"|"&amp;$L222,SupplierRates!$A$5:$A$500,0)),0))</f>
        <v/>
      </c>
      <c r="Q222" s="26" t="str">
        <f aca="false">IF(OR($D222="",$J222&lt;&gt;"Supplier"),"",IFERROR(INDEX(SupplierRates!$E$5:$E$500,MATCH($K222&amp;"|"&amp;$L222,SupplierRates!$A$5:$A$500,0)),0))</f>
        <v/>
      </c>
      <c r="R222" s="26" t="n">
        <f aca="false">IF(OR($D222="",$J222&lt;&gt;"Supplier"),0,F222*P222+G222*Q222)</f>
        <v>0</v>
      </c>
      <c r="S222" s="26" t="n">
        <f aca="false">IF(OR($D222="",$J222&lt;&gt;"Own"),0,IFERROR((F222+G222*Settings!$B$13)*INDEX(Workers!$V$5:$V$2004,MATCH($D222,Workers!$A$5:$A$2004,0)),0))</f>
        <v>0</v>
      </c>
      <c r="T222" s="26" t="str">
        <f aca="false">IF($D222="","",O222-R222-S222)</f>
        <v/>
      </c>
    </row>
    <row r="223" customFormat="false" ht="15" hidden="false" customHeight="false" outlineLevel="0" collapsed="false">
      <c r="I223" s="24" t="str">
        <f aca="false">IF($D223="","",IFERROR(INDEX(Workers!$B$5:$B$2004,MATCH($D223,Workers!$A$5:$A$2004,0)),"NOT FOUND"))</f>
        <v/>
      </c>
      <c r="J223" s="24" t="str">
        <f aca="false">IF($D223="","",IFERROR(INDEX(Workers!$C$5:$C$2004,MATCH($D223,Workers!$A$5:$A$2004,0)),""))</f>
        <v/>
      </c>
      <c r="K223" s="24" t="str">
        <f aca="false">IF($D223="","",IFERROR(IF(INDEX(Workers!$D$5:$D$2004,MATCH($D223,Workers!$A$5:$A$2004,0))=0,"",INDEX(Workers!$D$5:$D$2004,MATCH($D223,Workers!$A$5:$A$2004,0))),""))</f>
        <v/>
      </c>
      <c r="L223" s="24" t="str">
        <f aca="false">IF($D223="","",IFERROR(INDEX(Workers!$E$5:$E$2004,MATCH($D223,Workers!$A$5:$A$2004,0)),""))</f>
        <v/>
      </c>
      <c r="M223" s="26" t="str">
        <f aca="false">IF($D223="","",IFERROR(INDEX(ClientRates!$D$5:$D$500,MATCH($B223&amp;"|"&amp;$L223,ClientRates!$A$5:$A$500,0)),0))</f>
        <v/>
      </c>
      <c r="N223" s="26" t="str">
        <f aca="false">IF($D223="","",IFERROR(INDEX(ClientRates!$E$5:$E$500,MATCH($B223&amp;"|"&amp;$L223,ClientRates!$A$5:$A$500,0)),0))</f>
        <v/>
      </c>
      <c r="O223" s="26" t="str">
        <f aca="false">IF($D223="","",F223*M223+G223*N223)</f>
        <v/>
      </c>
      <c r="P223" s="26" t="str">
        <f aca="false">IF(OR($D223="",$J223&lt;&gt;"Supplier"),"",IFERROR(INDEX(SupplierRates!$D$5:$D$500,MATCH($K223&amp;"|"&amp;$L223,SupplierRates!$A$5:$A$500,0)),0))</f>
        <v/>
      </c>
      <c r="Q223" s="26" t="str">
        <f aca="false">IF(OR($D223="",$J223&lt;&gt;"Supplier"),"",IFERROR(INDEX(SupplierRates!$E$5:$E$500,MATCH($K223&amp;"|"&amp;$L223,SupplierRates!$A$5:$A$500,0)),0))</f>
        <v/>
      </c>
      <c r="R223" s="26" t="n">
        <f aca="false">IF(OR($D223="",$J223&lt;&gt;"Supplier"),0,F223*P223+G223*Q223)</f>
        <v>0</v>
      </c>
      <c r="S223" s="26" t="n">
        <f aca="false">IF(OR($D223="",$J223&lt;&gt;"Own"),0,IFERROR((F223+G223*Settings!$B$13)*INDEX(Workers!$V$5:$V$2004,MATCH($D223,Workers!$A$5:$A$2004,0)),0))</f>
        <v>0</v>
      </c>
      <c r="T223" s="26" t="str">
        <f aca="false">IF($D223="","",O223-R223-S223)</f>
        <v/>
      </c>
    </row>
    <row r="224" customFormat="false" ht="15" hidden="false" customHeight="false" outlineLevel="0" collapsed="false">
      <c r="I224" s="24" t="str">
        <f aca="false">IF($D224="","",IFERROR(INDEX(Workers!$B$5:$B$2004,MATCH($D224,Workers!$A$5:$A$2004,0)),"NOT FOUND"))</f>
        <v/>
      </c>
      <c r="J224" s="24" t="str">
        <f aca="false">IF($D224="","",IFERROR(INDEX(Workers!$C$5:$C$2004,MATCH($D224,Workers!$A$5:$A$2004,0)),""))</f>
        <v/>
      </c>
      <c r="K224" s="24" t="str">
        <f aca="false">IF($D224="","",IFERROR(IF(INDEX(Workers!$D$5:$D$2004,MATCH($D224,Workers!$A$5:$A$2004,0))=0,"",INDEX(Workers!$D$5:$D$2004,MATCH($D224,Workers!$A$5:$A$2004,0))),""))</f>
        <v/>
      </c>
      <c r="L224" s="24" t="str">
        <f aca="false">IF($D224="","",IFERROR(INDEX(Workers!$E$5:$E$2004,MATCH($D224,Workers!$A$5:$A$2004,0)),""))</f>
        <v/>
      </c>
      <c r="M224" s="26" t="str">
        <f aca="false">IF($D224="","",IFERROR(INDEX(ClientRates!$D$5:$D$500,MATCH($B224&amp;"|"&amp;$L224,ClientRates!$A$5:$A$500,0)),0))</f>
        <v/>
      </c>
      <c r="N224" s="26" t="str">
        <f aca="false">IF($D224="","",IFERROR(INDEX(ClientRates!$E$5:$E$500,MATCH($B224&amp;"|"&amp;$L224,ClientRates!$A$5:$A$500,0)),0))</f>
        <v/>
      </c>
      <c r="O224" s="26" t="str">
        <f aca="false">IF($D224="","",F224*M224+G224*N224)</f>
        <v/>
      </c>
      <c r="P224" s="26" t="str">
        <f aca="false">IF(OR($D224="",$J224&lt;&gt;"Supplier"),"",IFERROR(INDEX(SupplierRates!$D$5:$D$500,MATCH($K224&amp;"|"&amp;$L224,SupplierRates!$A$5:$A$500,0)),0))</f>
        <v/>
      </c>
      <c r="Q224" s="26" t="str">
        <f aca="false">IF(OR($D224="",$J224&lt;&gt;"Supplier"),"",IFERROR(INDEX(SupplierRates!$E$5:$E$500,MATCH($K224&amp;"|"&amp;$L224,SupplierRates!$A$5:$A$500,0)),0))</f>
        <v/>
      </c>
      <c r="R224" s="26" t="n">
        <f aca="false">IF(OR($D224="",$J224&lt;&gt;"Supplier"),0,F224*P224+G224*Q224)</f>
        <v>0</v>
      </c>
      <c r="S224" s="26" t="n">
        <f aca="false">IF(OR($D224="",$J224&lt;&gt;"Own"),0,IFERROR((F224+G224*Settings!$B$13)*INDEX(Workers!$V$5:$V$2004,MATCH($D224,Workers!$A$5:$A$2004,0)),0))</f>
        <v>0</v>
      </c>
      <c r="T224" s="26" t="str">
        <f aca="false">IF($D224="","",O224-R224-S224)</f>
        <v/>
      </c>
    </row>
    <row r="225" customFormat="false" ht="15" hidden="false" customHeight="false" outlineLevel="0" collapsed="false">
      <c r="I225" s="24" t="str">
        <f aca="false">IF($D225="","",IFERROR(INDEX(Workers!$B$5:$B$2004,MATCH($D225,Workers!$A$5:$A$2004,0)),"NOT FOUND"))</f>
        <v/>
      </c>
      <c r="J225" s="24" t="str">
        <f aca="false">IF($D225="","",IFERROR(INDEX(Workers!$C$5:$C$2004,MATCH($D225,Workers!$A$5:$A$2004,0)),""))</f>
        <v/>
      </c>
      <c r="K225" s="24" t="str">
        <f aca="false">IF($D225="","",IFERROR(IF(INDEX(Workers!$D$5:$D$2004,MATCH($D225,Workers!$A$5:$A$2004,0))=0,"",INDEX(Workers!$D$5:$D$2004,MATCH($D225,Workers!$A$5:$A$2004,0))),""))</f>
        <v/>
      </c>
      <c r="L225" s="24" t="str">
        <f aca="false">IF($D225="","",IFERROR(INDEX(Workers!$E$5:$E$2004,MATCH($D225,Workers!$A$5:$A$2004,0)),""))</f>
        <v/>
      </c>
      <c r="M225" s="26" t="str">
        <f aca="false">IF($D225="","",IFERROR(INDEX(ClientRates!$D$5:$D$500,MATCH($B225&amp;"|"&amp;$L225,ClientRates!$A$5:$A$500,0)),0))</f>
        <v/>
      </c>
      <c r="N225" s="26" t="str">
        <f aca="false">IF($D225="","",IFERROR(INDEX(ClientRates!$E$5:$E$500,MATCH($B225&amp;"|"&amp;$L225,ClientRates!$A$5:$A$500,0)),0))</f>
        <v/>
      </c>
      <c r="O225" s="26" t="str">
        <f aca="false">IF($D225="","",F225*M225+G225*N225)</f>
        <v/>
      </c>
      <c r="P225" s="26" t="str">
        <f aca="false">IF(OR($D225="",$J225&lt;&gt;"Supplier"),"",IFERROR(INDEX(SupplierRates!$D$5:$D$500,MATCH($K225&amp;"|"&amp;$L225,SupplierRates!$A$5:$A$500,0)),0))</f>
        <v/>
      </c>
      <c r="Q225" s="26" t="str">
        <f aca="false">IF(OR($D225="",$J225&lt;&gt;"Supplier"),"",IFERROR(INDEX(SupplierRates!$E$5:$E$500,MATCH($K225&amp;"|"&amp;$L225,SupplierRates!$A$5:$A$500,0)),0))</f>
        <v/>
      </c>
      <c r="R225" s="26" t="n">
        <f aca="false">IF(OR($D225="",$J225&lt;&gt;"Supplier"),0,F225*P225+G225*Q225)</f>
        <v>0</v>
      </c>
      <c r="S225" s="26" t="n">
        <f aca="false">IF(OR($D225="",$J225&lt;&gt;"Own"),0,IFERROR((F225+G225*Settings!$B$13)*INDEX(Workers!$V$5:$V$2004,MATCH($D225,Workers!$A$5:$A$2004,0)),0))</f>
        <v>0</v>
      </c>
      <c r="T225" s="26" t="str">
        <f aca="false">IF($D225="","",O225-R225-S225)</f>
        <v/>
      </c>
    </row>
    <row r="226" customFormat="false" ht="15" hidden="false" customHeight="false" outlineLevel="0" collapsed="false">
      <c r="I226" s="24" t="str">
        <f aca="false">IF($D226="","",IFERROR(INDEX(Workers!$B$5:$B$2004,MATCH($D226,Workers!$A$5:$A$2004,0)),"NOT FOUND"))</f>
        <v/>
      </c>
      <c r="J226" s="24" t="str">
        <f aca="false">IF($D226="","",IFERROR(INDEX(Workers!$C$5:$C$2004,MATCH($D226,Workers!$A$5:$A$2004,0)),""))</f>
        <v/>
      </c>
      <c r="K226" s="24" t="str">
        <f aca="false">IF($D226="","",IFERROR(IF(INDEX(Workers!$D$5:$D$2004,MATCH($D226,Workers!$A$5:$A$2004,0))=0,"",INDEX(Workers!$D$5:$D$2004,MATCH($D226,Workers!$A$5:$A$2004,0))),""))</f>
        <v/>
      </c>
      <c r="L226" s="24" t="str">
        <f aca="false">IF($D226="","",IFERROR(INDEX(Workers!$E$5:$E$2004,MATCH($D226,Workers!$A$5:$A$2004,0)),""))</f>
        <v/>
      </c>
      <c r="M226" s="26" t="str">
        <f aca="false">IF($D226="","",IFERROR(INDEX(ClientRates!$D$5:$D$500,MATCH($B226&amp;"|"&amp;$L226,ClientRates!$A$5:$A$500,0)),0))</f>
        <v/>
      </c>
      <c r="N226" s="26" t="str">
        <f aca="false">IF($D226="","",IFERROR(INDEX(ClientRates!$E$5:$E$500,MATCH($B226&amp;"|"&amp;$L226,ClientRates!$A$5:$A$500,0)),0))</f>
        <v/>
      </c>
      <c r="O226" s="26" t="str">
        <f aca="false">IF($D226="","",F226*M226+G226*N226)</f>
        <v/>
      </c>
      <c r="P226" s="26" t="str">
        <f aca="false">IF(OR($D226="",$J226&lt;&gt;"Supplier"),"",IFERROR(INDEX(SupplierRates!$D$5:$D$500,MATCH($K226&amp;"|"&amp;$L226,SupplierRates!$A$5:$A$500,0)),0))</f>
        <v/>
      </c>
      <c r="Q226" s="26" t="str">
        <f aca="false">IF(OR($D226="",$J226&lt;&gt;"Supplier"),"",IFERROR(INDEX(SupplierRates!$E$5:$E$500,MATCH($K226&amp;"|"&amp;$L226,SupplierRates!$A$5:$A$500,0)),0))</f>
        <v/>
      </c>
      <c r="R226" s="26" t="n">
        <f aca="false">IF(OR($D226="",$J226&lt;&gt;"Supplier"),0,F226*P226+G226*Q226)</f>
        <v>0</v>
      </c>
      <c r="S226" s="26" t="n">
        <f aca="false">IF(OR($D226="",$J226&lt;&gt;"Own"),0,IFERROR((F226+G226*Settings!$B$13)*INDEX(Workers!$V$5:$V$2004,MATCH($D226,Workers!$A$5:$A$2004,0)),0))</f>
        <v>0</v>
      </c>
      <c r="T226" s="26" t="str">
        <f aca="false">IF($D226="","",O226-R226-S226)</f>
        <v/>
      </c>
    </row>
    <row r="227" customFormat="false" ht="15" hidden="false" customHeight="false" outlineLevel="0" collapsed="false">
      <c r="I227" s="24" t="str">
        <f aca="false">IF($D227="","",IFERROR(INDEX(Workers!$B$5:$B$2004,MATCH($D227,Workers!$A$5:$A$2004,0)),"NOT FOUND"))</f>
        <v/>
      </c>
      <c r="J227" s="24" t="str">
        <f aca="false">IF($D227="","",IFERROR(INDEX(Workers!$C$5:$C$2004,MATCH($D227,Workers!$A$5:$A$2004,0)),""))</f>
        <v/>
      </c>
      <c r="K227" s="24" t="str">
        <f aca="false">IF($D227="","",IFERROR(IF(INDEX(Workers!$D$5:$D$2004,MATCH($D227,Workers!$A$5:$A$2004,0))=0,"",INDEX(Workers!$D$5:$D$2004,MATCH($D227,Workers!$A$5:$A$2004,0))),""))</f>
        <v/>
      </c>
      <c r="L227" s="24" t="str">
        <f aca="false">IF($D227="","",IFERROR(INDEX(Workers!$E$5:$E$2004,MATCH($D227,Workers!$A$5:$A$2004,0)),""))</f>
        <v/>
      </c>
      <c r="M227" s="26" t="str">
        <f aca="false">IF($D227="","",IFERROR(INDEX(ClientRates!$D$5:$D$500,MATCH($B227&amp;"|"&amp;$L227,ClientRates!$A$5:$A$500,0)),0))</f>
        <v/>
      </c>
      <c r="N227" s="26" t="str">
        <f aca="false">IF($D227="","",IFERROR(INDEX(ClientRates!$E$5:$E$500,MATCH($B227&amp;"|"&amp;$L227,ClientRates!$A$5:$A$500,0)),0))</f>
        <v/>
      </c>
      <c r="O227" s="26" t="str">
        <f aca="false">IF($D227="","",F227*M227+G227*N227)</f>
        <v/>
      </c>
      <c r="P227" s="26" t="str">
        <f aca="false">IF(OR($D227="",$J227&lt;&gt;"Supplier"),"",IFERROR(INDEX(SupplierRates!$D$5:$D$500,MATCH($K227&amp;"|"&amp;$L227,SupplierRates!$A$5:$A$500,0)),0))</f>
        <v/>
      </c>
      <c r="Q227" s="26" t="str">
        <f aca="false">IF(OR($D227="",$J227&lt;&gt;"Supplier"),"",IFERROR(INDEX(SupplierRates!$E$5:$E$500,MATCH($K227&amp;"|"&amp;$L227,SupplierRates!$A$5:$A$500,0)),0))</f>
        <v/>
      </c>
      <c r="R227" s="26" t="n">
        <f aca="false">IF(OR($D227="",$J227&lt;&gt;"Supplier"),0,F227*P227+G227*Q227)</f>
        <v>0</v>
      </c>
      <c r="S227" s="26" t="n">
        <f aca="false">IF(OR($D227="",$J227&lt;&gt;"Own"),0,IFERROR((F227+G227*Settings!$B$13)*INDEX(Workers!$V$5:$V$2004,MATCH($D227,Workers!$A$5:$A$2004,0)),0))</f>
        <v>0</v>
      </c>
      <c r="T227" s="26" t="str">
        <f aca="false">IF($D227="","",O227-R227-S227)</f>
        <v/>
      </c>
    </row>
    <row r="228" customFormat="false" ht="15" hidden="false" customHeight="false" outlineLevel="0" collapsed="false">
      <c r="I228" s="24" t="str">
        <f aca="false">IF($D228="","",IFERROR(INDEX(Workers!$B$5:$B$2004,MATCH($D228,Workers!$A$5:$A$2004,0)),"NOT FOUND"))</f>
        <v/>
      </c>
      <c r="J228" s="24" t="str">
        <f aca="false">IF($D228="","",IFERROR(INDEX(Workers!$C$5:$C$2004,MATCH($D228,Workers!$A$5:$A$2004,0)),""))</f>
        <v/>
      </c>
      <c r="K228" s="24" t="str">
        <f aca="false">IF($D228="","",IFERROR(IF(INDEX(Workers!$D$5:$D$2004,MATCH($D228,Workers!$A$5:$A$2004,0))=0,"",INDEX(Workers!$D$5:$D$2004,MATCH($D228,Workers!$A$5:$A$2004,0))),""))</f>
        <v/>
      </c>
      <c r="L228" s="24" t="str">
        <f aca="false">IF($D228="","",IFERROR(INDEX(Workers!$E$5:$E$2004,MATCH($D228,Workers!$A$5:$A$2004,0)),""))</f>
        <v/>
      </c>
      <c r="M228" s="26" t="str">
        <f aca="false">IF($D228="","",IFERROR(INDEX(ClientRates!$D$5:$D$500,MATCH($B228&amp;"|"&amp;$L228,ClientRates!$A$5:$A$500,0)),0))</f>
        <v/>
      </c>
      <c r="N228" s="26" t="str">
        <f aca="false">IF($D228="","",IFERROR(INDEX(ClientRates!$E$5:$E$500,MATCH($B228&amp;"|"&amp;$L228,ClientRates!$A$5:$A$500,0)),0))</f>
        <v/>
      </c>
      <c r="O228" s="26" t="str">
        <f aca="false">IF($D228="","",F228*M228+G228*N228)</f>
        <v/>
      </c>
      <c r="P228" s="26" t="str">
        <f aca="false">IF(OR($D228="",$J228&lt;&gt;"Supplier"),"",IFERROR(INDEX(SupplierRates!$D$5:$D$500,MATCH($K228&amp;"|"&amp;$L228,SupplierRates!$A$5:$A$500,0)),0))</f>
        <v/>
      </c>
      <c r="Q228" s="26" t="str">
        <f aca="false">IF(OR($D228="",$J228&lt;&gt;"Supplier"),"",IFERROR(INDEX(SupplierRates!$E$5:$E$500,MATCH($K228&amp;"|"&amp;$L228,SupplierRates!$A$5:$A$500,0)),0))</f>
        <v/>
      </c>
      <c r="R228" s="26" t="n">
        <f aca="false">IF(OR($D228="",$J228&lt;&gt;"Supplier"),0,F228*P228+G228*Q228)</f>
        <v>0</v>
      </c>
      <c r="S228" s="26" t="n">
        <f aca="false">IF(OR($D228="",$J228&lt;&gt;"Own"),0,IFERROR((F228+G228*Settings!$B$13)*INDEX(Workers!$V$5:$V$2004,MATCH($D228,Workers!$A$5:$A$2004,0)),0))</f>
        <v>0</v>
      </c>
      <c r="T228" s="26" t="str">
        <f aca="false">IF($D228="","",O228-R228-S228)</f>
        <v/>
      </c>
    </row>
    <row r="229" customFormat="false" ht="15" hidden="false" customHeight="false" outlineLevel="0" collapsed="false">
      <c r="I229" s="24" t="str">
        <f aca="false">IF($D229="","",IFERROR(INDEX(Workers!$B$5:$B$2004,MATCH($D229,Workers!$A$5:$A$2004,0)),"NOT FOUND"))</f>
        <v/>
      </c>
      <c r="J229" s="24" t="str">
        <f aca="false">IF($D229="","",IFERROR(INDEX(Workers!$C$5:$C$2004,MATCH($D229,Workers!$A$5:$A$2004,0)),""))</f>
        <v/>
      </c>
      <c r="K229" s="24" t="str">
        <f aca="false">IF($D229="","",IFERROR(IF(INDEX(Workers!$D$5:$D$2004,MATCH($D229,Workers!$A$5:$A$2004,0))=0,"",INDEX(Workers!$D$5:$D$2004,MATCH($D229,Workers!$A$5:$A$2004,0))),""))</f>
        <v/>
      </c>
      <c r="L229" s="24" t="str">
        <f aca="false">IF($D229="","",IFERROR(INDEX(Workers!$E$5:$E$2004,MATCH($D229,Workers!$A$5:$A$2004,0)),""))</f>
        <v/>
      </c>
      <c r="M229" s="26" t="str">
        <f aca="false">IF($D229="","",IFERROR(INDEX(ClientRates!$D$5:$D$500,MATCH($B229&amp;"|"&amp;$L229,ClientRates!$A$5:$A$500,0)),0))</f>
        <v/>
      </c>
      <c r="N229" s="26" t="str">
        <f aca="false">IF($D229="","",IFERROR(INDEX(ClientRates!$E$5:$E$500,MATCH($B229&amp;"|"&amp;$L229,ClientRates!$A$5:$A$500,0)),0))</f>
        <v/>
      </c>
      <c r="O229" s="26" t="str">
        <f aca="false">IF($D229="","",F229*M229+G229*N229)</f>
        <v/>
      </c>
      <c r="P229" s="26" t="str">
        <f aca="false">IF(OR($D229="",$J229&lt;&gt;"Supplier"),"",IFERROR(INDEX(SupplierRates!$D$5:$D$500,MATCH($K229&amp;"|"&amp;$L229,SupplierRates!$A$5:$A$500,0)),0))</f>
        <v/>
      </c>
      <c r="Q229" s="26" t="str">
        <f aca="false">IF(OR($D229="",$J229&lt;&gt;"Supplier"),"",IFERROR(INDEX(SupplierRates!$E$5:$E$500,MATCH($K229&amp;"|"&amp;$L229,SupplierRates!$A$5:$A$500,0)),0))</f>
        <v/>
      </c>
      <c r="R229" s="26" t="n">
        <f aca="false">IF(OR($D229="",$J229&lt;&gt;"Supplier"),0,F229*P229+G229*Q229)</f>
        <v>0</v>
      </c>
      <c r="S229" s="26" t="n">
        <f aca="false">IF(OR($D229="",$J229&lt;&gt;"Own"),0,IFERROR((F229+G229*Settings!$B$13)*INDEX(Workers!$V$5:$V$2004,MATCH($D229,Workers!$A$5:$A$2004,0)),0))</f>
        <v>0</v>
      </c>
      <c r="T229" s="26" t="str">
        <f aca="false">IF($D229="","",O229-R229-S229)</f>
        <v/>
      </c>
    </row>
    <row r="230" customFormat="false" ht="15" hidden="false" customHeight="false" outlineLevel="0" collapsed="false">
      <c r="I230" s="24" t="str">
        <f aca="false">IF($D230="","",IFERROR(INDEX(Workers!$B$5:$B$2004,MATCH($D230,Workers!$A$5:$A$2004,0)),"NOT FOUND"))</f>
        <v/>
      </c>
      <c r="J230" s="24" t="str">
        <f aca="false">IF($D230="","",IFERROR(INDEX(Workers!$C$5:$C$2004,MATCH($D230,Workers!$A$5:$A$2004,0)),""))</f>
        <v/>
      </c>
      <c r="K230" s="24" t="str">
        <f aca="false">IF($D230="","",IFERROR(IF(INDEX(Workers!$D$5:$D$2004,MATCH($D230,Workers!$A$5:$A$2004,0))=0,"",INDEX(Workers!$D$5:$D$2004,MATCH($D230,Workers!$A$5:$A$2004,0))),""))</f>
        <v/>
      </c>
      <c r="L230" s="24" t="str">
        <f aca="false">IF($D230="","",IFERROR(INDEX(Workers!$E$5:$E$2004,MATCH($D230,Workers!$A$5:$A$2004,0)),""))</f>
        <v/>
      </c>
      <c r="M230" s="26" t="str">
        <f aca="false">IF($D230="","",IFERROR(INDEX(ClientRates!$D$5:$D$500,MATCH($B230&amp;"|"&amp;$L230,ClientRates!$A$5:$A$500,0)),0))</f>
        <v/>
      </c>
      <c r="N230" s="26" t="str">
        <f aca="false">IF($D230="","",IFERROR(INDEX(ClientRates!$E$5:$E$500,MATCH($B230&amp;"|"&amp;$L230,ClientRates!$A$5:$A$500,0)),0))</f>
        <v/>
      </c>
      <c r="O230" s="26" t="str">
        <f aca="false">IF($D230="","",F230*M230+G230*N230)</f>
        <v/>
      </c>
      <c r="P230" s="26" t="str">
        <f aca="false">IF(OR($D230="",$J230&lt;&gt;"Supplier"),"",IFERROR(INDEX(SupplierRates!$D$5:$D$500,MATCH($K230&amp;"|"&amp;$L230,SupplierRates!$A$5:$A$500,0)),0))</f>
        <v/>
      </c>
      <c r="Q230" s="26" t="str">
        <f aca="false">IF(OR($D230="",$J230&lt;&gt;"Supplier"),"",IFERROR(INDEX(SupplierRates!$E$5:$E$500,MATCH($K230&amp;"|"&amp;$L230,SupplierRates!$A$5:$A$500,0)),0))</f>
        <v/>
      </c>
      <c r="R230" s="26" t="n">
        <f aca="false">IF(OR($D230="",$J230&lt;&gt;"Supplier"),0,F230*P230+G230*Q230)</f>
        <v>0</v>
      </c>
      <c r="S230" s="26" t="n">
        <f aca="false">IF(OR($D230="",$J230&lt;&gt;"Own"),0,IFERROR((F230+G230*Settings!$B$13)*INDEX(Workers!$V$5:$V$2004,MATCH($D230,Workers!$A$5:$A$2004,0)),0))</f>
        <v>0</v>
      </c>
      <c r="T230" s="26" t="str">
        <f aca="false">IF($D230="","",O230-R230-S230)</f>
        <v/>
      </c>
    </row>
    <row r="231" customFormat="false" ht="15" hidden="false" customHeight="false" outlineLevel="0" collapsed="false">
      <c r="I231" s="24" t="str">
        <f aca="false">IF($D231="","",IFERROR(INDEX(Workers!$B$5:$B$2004,MATCH($D231,Workers!$A$5:$A$2004,0)),"NOT FOUND"))</f>
        <v/>
      </c>
      <c r="J231" s="24" t="str">
        <f aca="false">IF($D231="","",IFERROR(INDEX(Workers!$C$5:$C$2004,MATCH($D231,Workers!$A$5:$A$2004,0)),""))</f>
        <v/>
      </c>
      <c r="K231" s="24" t="str">
        <f aca="false">IF($D231="","",IFERROR(IF(INDEX(Workers!$D$5:$D$2004,MATCH($D231,Workers!$A$5:$A$2004,0))=0,"",INDEX(Workers!$D$5:$D$2004,MATCH($D231,Workers!$A$5:$A$2004,0))),""))</f>
        <v/>
      </c>
      <c r="L231" s="24" t="str">
        <f aca="false">IF($D231="","",IFERROR(INDEX(Workers!$E$5:$E$2004,MATCH($D231,Workers!$A$5:$A$2004,0)),""))</f>
        <v/>
      </c>
      <c r="M231" s="26" t="str">
        <f aca="false">IF($D231="","",IFERROR(INDEX(ClientRates!$D$5:$D$500,MATCH($B231&amp;"|"&amp;$L231,ClientRates!$A$5:$A$500,0)),0))</f>
        <v/>
      </c>
      <c r="N231" s="26" t="str">
        <f aca="false">IF($D231="","",IFERROR(INDEX(ClientRates!$E$5:$E$500,MATCH($B231&amp;"|"&amp;$L231,ClientRates!$A$5:$A$500,0)),0))</f>
        <v/>
      </c>
      <c r="O231" s="26" t="str">
        <f aca="false">IF($D231="","",F231*M231+G231*N231)</f>
        <v/>
      </c>
      <c r="P231" s="26" t="str">
        <f aca="false">IF(OR($D231="",$J231&lt;&gt;"Supplier"),"",IFERROR(INDEX(SupplierRates!$D$5:$D$500,MATCH($K231&amp;"|"&amp;$L231,SupplierRates!$A$5:$A$500,0)),0))</f>
        <v/>
      </c>
      <c r="Q231" s="26" t="str">
        <f aca="false">IF(OR($D231="",$J231&lt;&gt;"Supplier"),"",IFERROR(INDEX(SupplierRates!$E$5:$E$500,MATCH($K231&amp;"|"&amp;$L231,SupplierRates!$A$5:$A$500,0)),0))</f>
        <v/>
      </c>
      <c r="R231" s="26" t="n">
        <f aca="false">IF(OR($D231="",$J231&lt;&gt;"Supplier"),0,F231*P231+G231*Q231)</f>
        <v>0</v>
      </c>
      <c r="S231" s="26" t="n">
        <f aca="false">IF(OR($D231="",$J231&lt;&gt;"Own"),0,IFERROR((F231+G231*Settings!$B$13)*INDEX(Workers!$V$5:$V$2004,MATCH($D231,Workers!$A$5:$A$2004,0)),0))</f>
        <v>0</v>
      </c>
      <c r="T231" s="26" t="str">
        <f aca="false">IF($D231="","",O231-R231-S231)</f>
        <v/>
      </c>
    </row>
    <row r="232" customFormat="false" ht="15" hidden="false" customHeight="false" outlineLevel="0" collapsed="false">
      <c r="I232" s="24" t="str">
        <f aca="false">IF($D232="","",IFERROR(INDEX(Workers!$B$5:$B$2004,MATCH($D232,Workers!$A$5:$A$2004,0)),"NOT FOUND"))</f>
        <v/>
      </c>
      <c r="J232" s="24" t="str">
        <f aca="false">IF($D232="","",IFERROR(INDEX(Workers!$C$5:$C$2004,MATCH($D232,Workers!$A$5:$A$2004,0)),""))</f>
        <v/>
      </c>
      <c r="K232" s="24" t="str">
        <f aca="false">IF($D232="","",IFERROR(IF(INDEX(Workers!$D$5:$D$2004,MATCH($D232,Workers!$A$5:$A$2004,0))=0,"",INDEX(Workers!$D$5:$D$2004,MATCH($D232,Workers!$A$5:$A$2004,0))),""))</f>
        <v/>
      </c>
      <c r="L232" s="24" t="str">
        <f aca="false">IF($D232="","",IFERROR(INDEX(Workers!$E$5:$E$2004,MATCH($D232,Workers!$A$5:$A$2004,0)),""))</f>
        <v/>
      </c>
      <c r="M232" s="26" t="str">
        <f aca="false">IF($D232="","",IFERROR(INDEX(ClientRates!$D$5:$D$500,MATCH($B232&amp;"|"&amp;$L232,ClientRates!$A$5:$A$500,0)),0))</f>
        <v/>
      </c>
      <c r="N232" s="26" t="str">
        <f aca="false">IF($D232="","",IFERROR(INDEX(ClientRates!$E$5:$E$500,MATCH($B232&amp;"|"&amp;$L232,ClientRates!$A$5:$A$500,0)),0))</f>
        <v/>
      </c>
      <c r="O232" s="26" t="str">
        <f aca="false">IF($D232="","",F232*M232+G232*N232)</f>
        <v/>
      </c>
      <c r="P232" s="26" t="str">
        <f aca="false">IF(OR($D232="",$J232&lt;&gt;"Supplier"),"",IFERROR(INDEX(SupplierRates!$D$5:$D$500,MATCH($K232&amp;"|"&amp;$L232,SupplierRates!$A$5:$A$500,0)),0))</f>
        <v/>
      </c>
      <c r="Q232" s="26" t="str">
        <f aca="false">IF(OR($D232="",$J232&lt;&gt;"Supplier"),"",IFERROR(INDEX(SupplierRates!$E$5:$E$500,MATCH($K232&amp;"|"&amp;$L232,SupplierRates!$A$5:$A$500,0)),0))</f>
        <v/>
      </c>
      <c r="R232" s="26" t="n">
        <f aca="false">IF(OR($D232="",$J232&lt;&gt;"Supplier"),0,F232*P232+G232*Q232)</f>
        <v>0</v>
      </c>
      <c r="S232" s="26" t="n">
        <f aca="false">IF(OR($D232="",$J232&lt;&gt;"Own"),0,IFERROR((F232+G232*Settings!$B$13)*INDEX(Workers!$V$5:$V$2004,MATCH($D232,Workers!$A$5:$A$2004,0)),0))</f>
        <v>0</v>
      </c>
      <c r="T232" s="26" t="str">
        <f aca="false">IF($D232="","",O232-R232-S232)</f>
        <v/>
      </c>
    </row>
    <row r="233" customFormat="false" ht="15" hidden="false" customHeight="false" outlineLevel="0" collapsed="false">
      <c r="I233" s="24" t="str">
        <f aca="false">IF($D233="","",IFERROR(INDEX(Workers!$B$5:$B$2004,MATCH($D233,Workers!$A$5:$A$2004,0)),"NOT FOUND"))</f>
        <v/>
      </c>
      <c r="J233" s="24" t="str">
        <f aca="false">IF($D233="","",IFERROR(INDEX(Workers!$C$5:$C$2004,MATCH($D233,Workers!$A$5:$A$2004,0)),""))</f>
        <v/>
      </c>
      <c r="K233" s="24" t="str">
        <f aca="false">IF($D233="","",IFERROR(IF(INDEX(Workers!$D$5:$D$2004,MATCH($D233,Workers!$A$5:$A$2004,0))=0,"",INDEX(Workers!$D$5:$D$2004,MATCH($D233,Workers!$A$5:$A$2004,0))),""))</f>
        <v/>
      </c>
      <c r="L233" s="24" t="str">
        <f aca="false">IF($D233="","",IFERROR(INDEX(Workers!$E$5:$E$2004,MATCH($D233,Workers!$A$5:$A$2004,0)),""))</f>
        <v/>
      </c>
      <c r="M233" s="26" t="str">
        <f aca="false">IF($D233="","",IFERROR(INDEX(ClientRates!$D$5:$D$500,MATCH($B233&amp;"|"&amp;$L233,ClientRates!$A$5:$A$500,0)),0))</f>
        <v/>
      </c>
      <c r="N233" s="26" t="str">
        <f aca="false">IF($D233="","",IFERROR(INDEX(ClientRates!$E$5:$E$500,MATCH($B233&amp;"|"&amp;$L233,ClientRates!$A$5:$A$500,0)),0))</f>
        <v/>
      </c>
      <c r="O233" s="26" t="str">
        <f aca="false">IF($D233="","",F233*M233+G233*N233)</f>
        <v/>
      </c>
      <c r="P233" s="26" t="str">
        <f aca="false">IF(OR($D233="",$J233&lt;&gt;"Supplier"),"",IFERROR(INDEX(SupplierRates!$D$5:$D$500,MATCH($K233&amp;"|"&amp;$L233,SupplierRates!$A$5:$A$500,0)),0))</f>
        <v/>
      </c>
      <c r="Q233" s="26" t="str">
        <f aca="false">IF(OR($D233="",$J233&lt;&gt;"Supplier"),"",IFERROR(INDEX(SupplierRates!$E$5:$E$500,MATCH($K233&amp;"|"&amp;$L233,SupplierRates!$A$5:$A$500,0)),0))</f>
        <v/>
      </c>
      <c r="R233" s="26" t="n">
        <f aca="false">IF(OR($D233="",$J233&lt;&gt;"Supplier"),0,F233*P233+G233*Q233)</f>
        <v>0</v>
      </c>
      <c r="S233" s="26" t="n">
        <f aca="false">IF(OR($D233="",$J233&lt;&gt;"Own"),0,IFERROR((F233+G233*Settings!$B$13)*INDEX(Workers!$V$5:$V$2004,MATCH($D233,Workers!$A$5:$A$2004,0)),0))</f>
        <v>0</v>
      </c>
      <c r="T233" s="26" t="str">
        <f aca="false">IF($D233="","",O233-R233-S233)</f>
        <v/>
      </c>
    </row>
    <row r="234" customFormat="false" ht="15" hidden="false" customHeight="false" outlineLevel="0" collapsed="false">
      <c r="I234" s="24" t="str">
        <f aca="false">IF($D234="","",IFERROR(INDEX(Workers!$B$5:$B$2004,MATCH($D234,Workers!$A$5:$A$2004,0)),"NOT FOUND"))</f>
        <v/>
      </c>
      <c r="J234" s="24" t="str">
        <f aca="false">IF($D234="","",IFERROR(INDEX(Workers!$C$5:$C$2004,MATCH($D234,Workers!$A$5:$A$2004,0)),""))</f>
        <v/>
      </c>
      <c r="K234" s="24" t="str">
        <f aca="false">IF($D234="","",IFERROR(IF(INDEX(Workers!$D$5:$D$2004,MATCH($D234,Workers!$A$5:$A$2004,0))=0,"",INDEX(Workers!$D$5:$D$2004,MATCH($D234,Workers!$A$5:$A$2004,0))),""))</f>
        <v/>
      </c>
      <c r="L234" s="24" t="str">
        <f aca="false">IF($D234="","",IFERROR(INDEX(Workers!$E$5:$E$2004,MATCH($D234,Workers!$A$5:$A$2004,0)),""))</f>
        <v/>
      </c>
      <c r="M234" s="26" t="str">
        <f aca="false">IF($D234="","",IFERROR(INDEX(ClientRates!$D$5:$D$500,MATCH($B234&amp;"|"&amp;$L234,ClientRates!$A$5:$A$500,0)),0))</f>
        <v/>
      </c>
      <c r="N234" s="26" t="str">
        <f aca="false">IF($D234="","",IFERROR(INDEX(ClientRates!$E$5:$E$500,MATCH($B234&amp;"|"&amp;$L234,ClientRates!$A$5:$A$500,0)),0))</f>
        <v/>
      </c>
      <c r="O234" s="26" t="str">
        <f aca="false">IF($D234="","",F234*M234+G234*N234)</f>
        <v/>
      </c>
      <c r="P234" s="26" t="str">
        <f aca="false">IF(OR($D234="",$J234&lt;&gt;"Supplier"),"",IFERROR(INDEX(SupplierRates!$D$5:$D$500,MATCH($K234&amp;"|"&amp;$L234,SupplierRates!$A$5:$A$500,0)),0))</f>
        <v/>
      </c>
      <c r="Q234" s="26" t="str">
        <f aca="false">IF(OR($D234="",$J234&lt;&gt;"Supplier"),"",IFERROR(INDEX(SupplierRates!$E$5:$E$500,MATCH($K234&amp;"|"&amp;$L234,SupplierRates!$A$5:$A$500,0)),0))</f>
        <v/>
      </c>
      <c r="R234" s="26" t="n">
        <f aca="false">IF(OR($D234="",$J234&lt;&gt;"Supplier"),0,F234*P234+G234*Q234)</f>
        <v>0</v>
      </c>
      <c r="S234" s="26" t="n">
        <f aca="false">IF(OR($D234="",$J234&lt;&gt;"Own"),0,IFERROR((F234+G234*Settings!$B$13)*INDEX(Workers!$V$5:$V$2004,MATCH($D234,Workers!$A$5:$A$2004,0)),0))</f>
        <v>0</v>
      </c>
      <c r="T234" s="26" t="str">
        <f aca="false">IF($D234="","",O234-R234-S234)</f>
        <v/>
      </c>
    </row>
    <row r="235" customFormat="false" ht="15" hidden="false" customHeight="false" outlineLevel="0" collapsed="false">
      <c r="I235" s="24" t="str">
        <f aca="false">IF($D235="","",IFERROR(INDEX(Workers!$B$5:$B$2004,MATCH($D235,Workers!$A$5:$A$2004,0)),"NOT FOUND"))</f>
        <v/>
      </c>
      <c r="J235" s="24" t="str">
        <f aca="false">IF($D235="","",IFERROR(INDEX(Workers!$C$5:$C$2004,MATCH($D235,Workers!$A$5:$A$2004,0)),""))</f>
        <v/>
      </c>
      <c r="K235" s="24" t="str">
        <f aca="false">IF($D235="","",IFERROR(IF(INDEX(Workers!$D$5:$D$2004,MATCH($D235,Workers!$A$5:$A$2004,0))=0,"",INDEX(Workers!$D$5:$D$2004,MATCH($D235,Workers!$A$5:$A$2004,0))),""))</f>
        <v/>
      </c>
      <c r="L235" s="24" t="str">
        <f aca="false">IF($D235="","",IFERROR(INDEX(Workers!$E$5:$E$2004,MATCH($D235,Workers!$A$5:$A$2004,0)),""))</f>
        <v/>
      </c>
      <c r="M235" s="26" t="str">
        <f aca="false">IF($D235="","",IFERROR(INDEX(ClientRates!$D$5:$D$500,MATCH($B235&amp;"|"&amp;$L235,ClientRates!$A$5:$A$500,0)),0))</f>
        <v/>
      </c>
      <c r="N235" s="26" t="str">
        <f aca="false">IF($D235="","",IFERROR(INDEX(ClientRates!$E$5:$E$500,MATCH($B235&amp;"|"&amp;$L235,ClientRates!$A$5:$A$500,0)),0))</f>
        <v/>
      </c>
      <c r="O235" s="26" t="str">
        <f aca="false">IF($D235="","",F235*M235+G235*N235)</f>
        <v/>
      </c>
      <c r="P235" s="26" t="str">
        <f aca="false">IF(OR($D235="",$J235&lt;&gt;"Supplier"),"",IFERROR(INDEX(SupplierRates!$D$5:$D$500,MATCH($K235&amp;"|"&amp;$L235,SupplierRates!$A$5:$A$500,0)),0))</f>
        <v/>
      </c>
      <c r="Q235" s="26" t="str">
        <f aca="false">IF(OR($D235="",$J235&lt;&gt;"Supplier"),"",IFERROR(INDEX(SupplierRates!$E$5:$E$500,MATCH($K235&amp;"|"&amp;$L235,SupplierRates!$A$5:$A$500,0)),0))</f>
        <v/>
      </c>
      <c r="R235" s="26" t="n">
        <f aca="false">IF(OR($D235="",$J235&lt;&gt;"Supplier"),0,F235*P235+G235*Q235)</f>
        <v>0</v>
      </c>
      <c r="S235" s="26" t="n">
        <f aca="false">IF(OR($D235="",$J235&lt;&gt;"Own"),0,IFERROR((F235+G235*Settings!$B$13)*INDEX(Workers!$V$5:$V$2004,MATCH($D235,Workers!$A$5:$A$2004,0)),0))</f>
        <v>0</v>
      </c>
      <c r="T235" s="26" t="str">
        <f aca="false">IF($D235="","",O235-R235-S235)</f>
        <v/>
      </c>
    </row>
    <row r="236" customFormat="false" ht="15" hidden="false" customHeight="false" outlineLevel="0" collapsed="false">
      <c r="I236" s="24" t="str">
        <f aca="false">IF($D236="","",IFERROR(INDEX(Workers!$B$5:$B$2004,MATCH($D236,Workers!$A$5:$A$2004,0)),"NOT FOUND"))</f>
        <v/>
      </c>
      <c r="J236" s="24" t="str">
        <f aca="false">IF($D236="","",IFERROR(INDEX(Workers!$C$5:$C$2004,MATCH($D236,Workers!$A$5:$A$2004,0)),""))</f>
        <v/>
      </c>
      <c r="K236" s="24" t="str">
        <f aca="false">IF($D236="","",IFERROR(IF(INDEX(Workers!$D$5:$D$2004,MATCH($D236,Workers!$A$5:$A$2004,0))=0,"",INDEX(Workers!$D$5:$D$2004,MATCH($D236,Workers!$A$5:$A$2004,0))),""))</f>
        <v/>
      </c>
      <c r="L236" s="24" t="str">
        <f aca="false">IF($D236="","",IFERROR(INDEX(Workers!$E$5:$E$2004,MATCH($D236,Workers!$A$5:$A$2004,0)),""))</f>
        <v/>
      </c>
      <c r="M236" s="26" t="str">
        <f aca="false">IF($D236="","",IFERROR(INDEX(ClientRates!$D$5:$D$500,MATCH($B236&amp;"|"&amp;$L236,ClientRates!$A$5:$A$500,0)),0))</f>
        <v/>
      </c>
      <c r="N236" s="26" t="str">
        <f aca="false">IF($D236="","",IFERROR(INDEX(ClientRates!$E$5:$E$500,MATCH($B236&amp;"|"&amp;$L236,ClientRates!$A$5:$A$500,0)),0))</f>
        <v/>
      </c>
      <c r="O236" s="26" t="str">
        <f aca="false">IF($D236="","",F236*M236+G236*N236)</f>
        <v/>
      </c>
      <c r="P236" s="26" t="str">
        <f aca="false">IF(OR($D236="",$J236&lt;&gt;"Supplier"),"",IFERROR(INDEX(SupplierRates!$D$5:$D$500,MATCH($K236&amp;"|"&amp;$L236,SupplierRates!$A$5:$A$500,0)),0))</f>
        <v/>
      </c>
      <c r="Q236" s="26" t="str">
        <f aca="false">IF(OR($D236="",$J236&lt;&gt;"Supplier"),"",IFERROR(INDEX(SupplierRates!$E$5:$E$500,MATCH($K236&amp;"|"&amp;$L236,SupplierRates!$A$5:$A$500,0)),0))</f>
        <v/>
      </c>
      <c r="R236" s="26" t="n">
        <f aca="false">IF(OR($D236="",$J236&lt;&gt;"Supplier"),0,F236*P236+G236*Q236)</f>
        <v>0</v>
      </c>
      <c r="S236" s="26" t="n">
        <f aca="false">IF(OR($D236="",$J236&lt;&gt;"Own"),0,IFERROR((F236+G236*Settings!$B$13)*INDEX(Workers!$V$5:$V$2004,MATCH($D236,Workers!$A$5:$A$2004,0)),0))</f>
        <v>0</v>
      </c>
      <c r="T236" s="26" t="str">
        <f aca="false">IF($D236="","",O236-R236-S236)</f>
        <v/>
      </c>
    </row>
    <row r="237" customFormat="false" ht="15" hidden="false" customHeight="false" outlineLevel="0" collapsed="false">
      <c r="I237" s="24" t="str">
        <f aca="false">IF($D237="","",IFERROR(INDEX(Workers!$B$5:$B$2004,MATCH($D237,Workers!$A$5:$A$2004,0)),"NOT FOUND"))</f>
        <v/>
      </c>
      <c r="J237" s="24" t="str">
        <f aca="false">IF($D237="","",IFERROR(INDEX(Workers!$C$5:$C$2004,MATCH($D237,Workers!$A$5:$A$2004,0)),""))</f>
        <v/>
      </c>
      <c r="K237" s="24" t="str">
        <f aca="false">IF($D237="","",IFERROR(IF(INDEX(Workers!$D$5:$D$2004,MATCH($D237,Workers!$A$5:$A$2004,0))=0,"",INDEX(Workers!$D$5:$D$2004,MATCH($D237,Workers!$A$5:$A$2004,0))),""))</f>
        <v/>
      </c>
      <c r="L237" s="24" t="str">
        <f aca="false">IF($D237="","",IFERROR(INDEX(Workers!$E$5:$E$2004,MATCH($D237,Workers!$A$5:$A$2004,0)),""))</f>
        <v/>
      </c>
      <c r="M237" s="26" t="str">
        <f aca="false">IF($D237="","",IFERROR(INDEX(ClientRates!$D$5:$D$500,MATCH($B237&amp;"|"&amp;$L237,ClientRates!$A$5:$A$500,0)),0))</f>
        <v/>
      </c>
      <c r="N237" s="26" t="str">
        <f aca="false">IF($D237="","",IFERROR(INDEX(ClientRates!$E$5:$E$500,MATCH($B237&amp;"|"&amp;$L237,ClientRates!$A$5:$A$500,0)),0))</f>
        <v/>
      </c>
      <c r="O237" s="26" t="str">
        <f aca="false">IF($D237="","",F237*M237+G237*N237)</f>
        <v/>
      </c>
      <c r="P237" s="26" t="str">
        <f aca="false">IF(OR($D237="",$J237&lt;&gt;"Supplier"),"",IFERROR(INDEX(SupplierRates!$D$5:$D$500,MATCH($K237&amp;"|"&amp;$L237,SupplierRates!$A$5:$A$500,0)),0))</f>
        <v/>
      </c>
      <c r="Q237" s="26" t="str">
        <f aca="false">IF(OR($D237="",$J237&lt;&gt;"Supplier"),"",IFERROR(INDEX(SupplierRates!$E$5:$E$500,MATCH($K237&amp;"|"&amp;$L237,SupplierRates!$A$5:$A$500,0)),0))</f>
        <v/>
      </c>
      <c r="R237" s="26" t="n">
        <f aca="false">IF(OR($D237="",$J237&lt;&gt;"Supplier"),0,F237*P237+G237*Q237)</f>
        <v>0</v>
      </c>
      <c r="S237" s="26" t="n">
        <f aca="false">IF(OR($D237="",$J237&lt;&gt;"Own"),0,IFERROR((F237+G237*Settings!$B$13)*INDEX(Workers!$V$5:$V$2004,MATCH($D237,Workers!$A$5:$A$2004,0)),0))</f>
        <v>0</v>
      </c>
      <c r="T237" s="26" t="str">
        <f aca="false">IF($D237="","",O237-R237-S237)</f>
        <v/>
      </c>
    </row>
    <row r="238" customFormat="false" ht="15" hidden="false" customHeight="false" outlineLevel="0" collapsed="false">
      <c r="I238" s="24" t="str">
        <f aca="false">IF($D238="","",IFERROR(INDEX(Workers!$B$5:$B$2004,MATCH($D238,Workers!$A$5:$A$2004,0)),"NOT FOUND"))</f>
        <v/>
      </c>
      <c r="J238" s="24" t="str">
        <f aca="false">IF($D238="","",IFERROR(INDEX(Workers!$C$5:$C$2004,MATCH($D238,Workers!$A$5:$A$2004,0)),""))</f>
        <v/>
      </c>
      <c r="K238" s="24" t="str">
        <f aca="false">IF($D238="","",IFERROR(IF(INDEX(Workers!$D$5:$D$2004,MATCH($D238,Workers!$A$5:$A$2004,0))=0,"",INDEX(Workers!$D$5:$D$2004,MATCH($D238,Workers!$A$5:$A$2004,0))),""))</f>
        <v/>
      </c>
      <c r="L238" s="24" t="str">
        <f aca="false">IF($D238="","",IFERROR(INDEX(Workers!$E$5:$E$2004,MATCH($D238,Workers!$A$5:$A$2004,0)),""))</f>
        <v/>
      </c>
      <c r="M238" s="26" t="str">
        <f aca="false">IF($D238="","",IFERROR(INDEX(ClientRates!$D$5:$D$500,MATCH($B238&amp;"|"&amp;$L238,ClientRates!$A$5:$A$500,0)),0))</f>
        <v/>
      </c>
      <c r="N238" s="26" t="str">
        <f aca="false">IF($D238="","",IFERROR(INDEX(ClientRates!$E$5:$E$500,MATCH($B238&amp;"|"&amp;$L238,ClientRates!$A$5:$A$500,0)),0))</f>
        <v/>
      </c>
      <c r="O238" s="26" t="str">
        <f aca="false">IF($D238="","",F238*M238+G238*N238)</f>
        <v/>
      </c>
      <c r="P238" s="26" t="str">
        <f aca="false">IF(OR($D238="",$J238&lt;&gt;"Supplier"),"",IFERROR(INDEX(SupplierRates!$D$5:$D$500,MATCH($K238&amp;"|"&amp;$L238,SupplierRates!$A$5:$A$500,0)),0))</f>
        <v/>
      </c>
      <c r="Q238" s="26" t="str">
        <f aca="false">IF(OR($D238="",$J238&lt;&gt;"Supplier"),"",IFERROR(INDEX(SupplierRates!$E$5:$E$500,MATCH($K238&amp;"|"&amp;$L238,SupplierRates!$A$5:$A$500,0)),0))</f>
        <v/>
      </c>
      <c r="R238" s="26" t="n">
        <f aca="false">IF(OR($D238="",$J238&lt;&gt;"Supplier"),0,F238*P238+G238*Q238)</f>
        <v>0</v>
      </c>
      <c r="S238" s="26" t="n">
        <f aca="false">IF(OR($D238="",$J238&lt;&gt;"Own"),0,IFERROR((F238+G238*Settings!$B$13)*INDEX(Workers!$V$5:$V$2004,MATCH($D238,Workers!$A$5:$A$2004,0)),0))</f>
        <v>0</v>
      </c>
      <c r="T238" s="26" t="str">
        <f aca="false">IF($D238="","",O238-R238-S238)</f>
        <v/>
      </c>
    </row>
    <row r="239" customFormat="false" ht="15" hidden="false" customHeight="false" outlineLevel="0" collapsed="false">
      <c r="I239" s="24" t="str">
        <f aca="false">IF($D239="","",IFERROR(INDEX(Workers!$B$5:$B$2004,MATCH($D239,Workers!$A$5:$A$2004,0)),"NOT FOUND"))</f>
        <v/>
      </c>
      <c r="J239" s="24" t="str">
        <f aca="false">IF($D239="","",IFERROR(INDEX(Workers!$C$5:$C$2004,MATCH($D239,Workers!$A$5:$A$2004,0)),""))</f>
        <v/>
      </c>
      <c r="K239" s="24" t="str">
        <f aca="false">IF($D239="","",IFERROR(IF(INDEX(Workers!$D$5:$D$2004,MATCH($D239,Workers!$A$5:$A$2004,0))=0,"",INDEX(Workers!$D$5:$D$2004,MATCH($D239,Workers!$A$5:$A$2004,0))),""))</f>
        <v/>
      </c>
      <c r="L239" s="24" t="str">
        <f aca="false">IF($D239="","",IFERROR(INDEX(Workers!$E$5:$E$2004,MATCH($D239,Workers!$A$5:$A$2004,0)),""))</f>
        <v/>
      </c>
      <c r="M239" s="26" t="str">
        <f aca="false">IF($D239="","",IFERROR(INDEX(ClientRates!$D$5:$D$500,MATCH($B239&amp;"|"&amp;$L239,ClientRates!$A$5:$A$500,0)),0))</f>
        <v/>
      </c>
      <c r="N239" s="26" t="str">
        <f aca="false">IF($D239="","",IFERROR(INDEX(ClientRates!$E$5:$E$500,MATCH($B239&amp;"|"&amp;$L239,ClientRates!$A$5:$A$500,0)),0))</f>
        <v/>
      </c>
      <c r="O239" s="26" t="str">
        <f aca="false">IF($D239="","",F239*M239+G239*N239)</f>
        <v/>
      </c>
      <c r="P239" s="26" t="str">
        <f aca="false">IF(OR($D239="",$J239&lt;&gt;"Supplier"),"",IFERROR(INDEX(SupplierRates!$D$5:$D$500,MATCH($K239&amp;"|"&amp;$L239,SupplierRates!$A$5:$A$500,0)),0))</f>
        <v/>
      </c>
      <c r="Q239" s="26" t="str">
        <f aca="false">IF(OR($D239="",$J239&lt;&gt;"Supplier"),"",IFERROR(INDEX(SupplierRates!$E$5:$E$500,MATCH($K239&amp;"|"&amp;$L239,SupplierRates!$A$5:$A$500,0)),0))</f>
        <v/>
      </c>
      <c r="R239" s="26" t="n">
        <f aca="false">IF(OR($D239="",$J239&lt;&gt;"Supplier"),0,F239*P239+G239*Q239)</f>
        <v>0</v>
      </c>
      <c r="S239" s="26" t="n">
        <f aca="false">IF(OR($D239="",$J239&lt;&gt;"Own"),0,IFERROR((F239+G239*Settings!$B$13)*INDEX(Workers!$V$5:$V$2004,MATCH($D239,Workers!$A$5:$A$2004,0)),0))</f>
        <v>0</v>
      </c>
      <c r="T239" s="26" t="str">
        <f aca="false">IF($D239="","",O239-R239-S239)</f>
        <v/>
      </c>
    </row>
    <row r="240" customFormat="false" ht="15" hidden="false" customHeight="false" outlineLevel="0" collapsed="false">
      <c r="I240" s="24" t="str">
        <f aca="false">IF($D240="","",IFERROR(INDEX(Workers!$B$5:$B$2004,MATCH($D240,Workers!$A$5:$A$2004,0)),"NOT FOUND"))</f>
        <v/>
      </c>
      <c r="J240" s="24" t="str">
        <f aca="false">IF($D240="","",IFERROR(INDEX(Workers!$C$5:$C$2004,MATCH($D240,Workers!$A$5:$A$2004,0)),""))</f>
        <v/>
      </c>
      <c r="K240" s="24" t="str">
        <f aca="false">IF($D240="","",IFERROR(IF(INDEX(Workers!$D$5:$D$2004,MATCH($D240,Workers!$A$5:$A$2004,0))=0,"",INDEX(Workers!$D$5:$D$2004,MATCH($D240,Workers!$A$5:$A$2004,0))),""))</f>
        <v/>
      </c>
      <c r="L240" s="24" t="str">
        <f aca="false">IF($D240="","",IFERROR(INDEX(Workers!$E$5:$E$2004,MATCH($D240,Workers!$A$5:$A$2004,0)),""))</f>
        <v/>
      </c>
      <c r="M240" s="26" t="str">
        <f aca="false">IF($D240="","",IFERROR(INDEX(ClientRates!$D$5:$D$500,MATCH($B240&amp;"|"&amp;$L240,ClientRates!$A$5:$A$500,0)),0))</f>
        <v/>
      </c>
      <c r="N240" s="26" t="str">
        <f aca="false">IF($D240="","",IFERROR(INDEX(ClientRates!$E$5:$E$500,MATCH($B240&amp;"|"&amp;$L240,ClientRates!$A$5:$A$500,0)),0))</f>
        <v/>
      </c>
      <c r="O240" s="26" t="str">
        <f aca="false">IF($D240="","",F240*M240+G240*N240)</f>
        <v/>
      </c>
      <c r="P240" s="26" t="str">
        <f aca="false">IF(OR($D240="",$J240&lt;&gt;"Supplier"),"",IFERROR(INDEX(SupplierRates!$D$5:$D$500,MATCH($K240&amp;"|"&amp;$L240,SupplierRates!$A$5:$A$500,0)),0))</f>
        <v/>
      </c>
      <c r="Q240" s="26" t="str">
        <f aca="false">IF(OR($D240="",$J240&lt;&gt;"Supplier"),"",IFERROR(INDEX(SupplierRates!$E$5:$E$500,MATCH($K240&amp;"|"&amp;$L240,SupplierRates!$A$5:$A$500,0)),0))</f>
        <v/>
      </c>
      <c r="R240" s="26" t="n">
        <f aca="false">IF(OR($D240="",$J240&lt;&gt;"Supplier"),0,F240*P240+G240*Q240)</f>
        <v>0</v>
      </c>
      <c r="S240" s="26" t="n">
        <f aca="false">IF(OR($D240="",$J240&lt;&gt;"Own"),0,IFERROR((F240+G240*Settings!$B$13)*INDEX(Workers!$V$5:$V$2004,MATCH($D240,Workers!$A$5:$A$2004,0)),0))</f>
        <v>0</v>
      </c>
      <c r="T240" s="26" t="str">
        <f aca="false">IF($D240="","",O240-R240-S240)</f>
        <v/>
      </c>
    </row>
    <row r="241" customFormat="false" ht="15" hidden="false" customHeight="false" outlineLevel="0" collapsed="false">
      <c r="I241" s="24" t="str">
        <f aca="false">IF($D241="","",IFERROR(INDEX(Workers!$B$5:$B$2004,MATCH($D241,Workers!$A$5:$A$2004,0)),"NOT FOUND"))</f>
        <v/>
      </c>
      <c r="J241" s="24" t="str">
        <f aca="false">IF($D241="","",IFERROR(INDEX(Workers!$C$5:$C$2004,MATCH($D241,Workers!$A$5:$A$2004,0)),""))</f>
        <v/>
      </c>
      <c r="K241" s="24" t="str">
        <f aca="false">IF($D241="","",IFERROR(IF(INDEX(Workers!$D$5:$D$2004,MATCH($D241,Workers!$A$5:$A$2004,0))=0,"",INDEX(Workers!$D$5:$D$2004,MATCH($D241,Workers!$A$5:$A$2004,0))),""))</f>
        <v/>
      </c>
      <c r="L241" s="24" t="str">
        <f aca="false">IF($D241="","",IFERROR(INDEX(Workers!$E$5:$E$2004,MATCH($D241,Workers!$A$5:$A$2004,0)),""))</f>
        <v/>
      </c>
      <c r="M241" s="26" t="str">
        <f aca="false">IF($D241="","",IFERROR(INDEX(ClientRates!$D$5:$D$500,MATCH($B241&amp;"|"&amp;$L241,ClientRates!$A$5:$A$500,0)),0))</f>
        <v/>
      </c>
      <c r="N241" s="26" t="str">
        <f aca="false">IF($D241="","",IFERROR(INDEX(ClientRates!$E$5:$E$500,MATCH($B241&amp;"|"&amp;$L241,ClientRates!$A$5:$A$500,0)),0))</f>
        <v/>
      </c>
      <c r="O241" s="26" t="str">
        <f aca="false">IF($D241="","",F241*M241+G241*N241)</f>
        <v/>
      </c>
      <c r="P241" s="26" t="str">
        <f aca="false">IF(OR($D241="",$J241&lt;&gt;"Supplier"),"",IFERROR(INDEX(SupplierRates!$D$5:$D$500,MATCH($K241&amp;"|"&amp;$L241,SupplierRates!$A$5:$A$500,0)),0))</f>
        <v/>
      </c>
      <c r="Q241" s="26" t="str">
        <f aca="false">IF(OR($D241="",$J241&lt;&gt;"Supplier"),"",IFERROR(INDEX(SupplierRates!$E$5:$E$500,MATCH($K241&amp;"|"&amp;$L241,SupplierRates!$A$5:$A$500,0)),0))</f>
        <v/>
      </c>
      <c r="R241" s="26" t="n">
        <f aca="false">IF(OR($D241="",$J241&lt;&gt;"Supplier"),0,F241*P241+G241*Q241)</f>
        <v>0</v>
      </c>
      <c r="S241" s="26" t="n">
        <f aca="false">IF(OR($D241="",$J241&lt;&gt;"Own"),0,IFERROR((F241+G241*Settings!$B$13)*INDEX(Workers!$V$5:$V$2004,MATCH($D241,Workers!$A$5:$A$2004,0)),0))</f>
        <v>0</v>
      </c>
      <c r="T241" s="26" t="str">
        <f aca="false">IF($D241="","",O241-R241-S241)</f>
        <v/>
      </c>
    </row>
    <row r="242" customFormat="false" ht="15" hidden="false" customHeight="false" outlineLevel="0" collapsed="false">
      <c r="I242" s="24" t="str">
        <f aca="false">IF($D242="","",IFERROR(INDEX(Workers!$B$5:$B$2004,MATCH($D242,Workers!$A$5:$A$2004,0)),"NOT FOUND"))</f>
        <v/>
      </c>
      <c r="J242" s="24" t="str">
        <f aca="false">IF($D242="","",IFERROR(INDEX(Workers!$C$5:$C$2004,MATCH($D242,Workers!$A$5:$A$2004,0)),""))</f>
        <v/>
      </c>
      <c r="K242" s="24" t="str">
        <f aca="false">IF($D242="","",IFERROR(IF(INDEX(Workers!$D$5:$D$2004,MATCH($D242,Workers!$A$5:$A$2004,0))=0,"",INDEX(Workers!$D$5:$D$2004,MATCH($D242,Workers!$A$5:$A$2004,0))),""))</f>
        <v/>
      </c>
      <c r="L242" s="24" t="str">
        <f aca="false">IF($D242="","",IFERROR(INDEX(Workers!$E$5:$E$2004,MATCH($D242,Workers!$A$5:$A$2004,0)),""))</f>
        <v/>
      </c>
      <c r="M242" s="26" t="str">
        <f aca="false">IF($D242="","",IFERROR(INDEX(ClientRates!$D$5:$D$500,MATCH($B242&amp;"|"&amp;$L242,ClientRates!$A$5:$A$500,0)),0))</f>
        <v/>
      </c>
      <c r="N242" s="26" t="str">
        <f aca="false">IF($D242="","",IFERROR(INDEX(ClientRates!$E$5:$E$500,MATCH($B242&amp;"|"&amp;$L242,ClientRates!$A$5:$A$500,0)),0))</f>
        <v/>
      </c>
      <c r="O242" s="26" t="str">
        <f aca="false">IF($D242="","",F242*M242+G242*N242)</f>
        <v/>
      </c>
      <c r="P242" s="26" t="str">
        <f aca="false">IF(OR($D242="",$J242&lt;&gt;"Supplier"),"",IFERROR(INDEX(SupplierRates!$D$5:$D$500,MATCH($K242&amp;"|"&amp;$L242,SupplierRates!$A$5:$A$500,0)),0))</f>
        <v/>
      </c>
      <c r="Q242" s="26" t="str">
        <f aca="false">IF(OR($D242="",$J242&lt;&gt;"Supplier"),"",IFERROR(INDEX(SupplierRates!$E$5:$E$500,MATCH($K242&amp;"|"&amp;$L242,SupplierRates!$A$5:$A$500,0)),0))</f>
        <v/>
      </c>
      <c r="R242" s="26" t="n">
        <f aca="false">IF(OR($D242="",$J242&lt;&gt;"Supplier"),0,F242*P242+G242*Q242)</f>
        <v>0</v>
      </c>
      <c r="S242" s="26" t="n">
        <f aca="false">IF(OR($D242="",$J242&lt;&gt;"Own"),0,IFERROR((F242+G242*Settings!$B$13)*INDEX(Workers!$V$5:$V$2004,MATCH($D242,Workers!$A$5:$A$2004,0)),0))</f>
        <v>0</v>
      </c>
      <c r="T242" s="26" t="str">
        <f aca="false">IF($D242="","",O242-R242-S242)</f>
        <v/>
      </c>
    </row>
    <row r="243" customFormat="false" ht="15" hidden="false" customHeight="false" outlineLevel="0" collapsed="false">
      <c r="I243" s="24" t="str">
        <f aca="false">IF($D243="","",IFERROR(INDEX(Workers!$B$5:$B$2004,MATCH($D243,Workers!$A$5:$A$2004,0)),"NOT FOUND"))</f>
        <v/>
      </c>
      <c r="J243" s="24" t="str">
        <f aca="false">IF($D243="","",IFERROR(INDEX(Workers!$C$5:$C$2004,MATCH($D243,Workers!$A$5:$A$2004,0)),""))</f>
        <v/>
      </c>
      <c r="K243" s="24" t="str">
        <f aca="false">IF($D243="","",IFERROR(IF(INDEX(Workers!$D$5:$D$2004,MATCH($D243,Workers!$A$5:$A$2004,0))=0,"",INDEX(Workers!$D$5:$D$2004,MATCH($D243,Workers!$A$5:$A$2004,0))),""))</f>
        <v/>
      </c>
      <c r="L243" s="24" t="str">
        <f aca="false">IF($D243="","",IFERROR(INDEX(Workers!$E$5:$E$2004,MATCH($D243,Workers!$A$5:$A$2004,0)),""))</f>
        <v/>
      </c>
      <c r="M243" s="26" t="str">
        <f aca="false">IF($D243="","",IFERROR(INDEX(ClientRates!$D$5:$D$500,MATCH($B243&amp;"|"&amp;$L243,ClientRates!$A$5:$A$500,0)),0))</f>
        <v/>
      </c>
      <c r="N243" s="26" t="str">
        <f aca="false">IF($D243="","",IFERROR(INDEX(ClientRates!$E$5:$E$500,MATCH($B243&amp;"|"&amp;$L243,ClientRates!$A$5:$A$500,0)),0))</f>
        <v/>
      </c>
      <c r="O243" s="26" t="str">
        <f aca="false">IF($D243="","",F243*M243+G243*N243)</f>
        <v/>
      </c>
      <c r="P243" s="26" t="str">
        <f aca="false">IF(OR($D243="",$J243&lt;&gt;"Supplier"),"",IFERROR(INDEX(SupplierRates!$D$5:$D$500,MATCH($K243&amp;"|"&amp;$L243,SupplierRates!$A$5:$A$500,0)),0))</f>
        <v/>
      </c>
      <c r="Q243" s="26" t="str">
        <f aca="false">IF(OR($D243="",$J243&lt;&gt;"Supplier"),"",IFERROR(INDEX(SupplierRates!$E$5:$E$500,MATCH($K243&amp;"|"&amp;$L243,SupplierRates!$A$5:$A$500,0)),0))</f>
        <v/>
      </c>
      <c r="R243" s="26" t="n">
        <f aca="false">IF(OR($D243="",$J243&lt;&gt;"Supplier"),0,F243*P243+G243*Q243)</f>
        <v>0</v>
      </c>
      <c r="S243" s="26" t="n">
        <f aca="false">IF(OR($D243="",$J243&lt;&gt;"Own"),0,IFERROR((F243+G243*Settings!$B$13)*INDEX(Workers!$V$5:$V$2004,MATCH($D243,Workers!$A$5:$A$2004,0)),0))</f>
        <v>0</v>
      </c>
      <c r="T243" s="26" t="str">
        <f aca="false">IF($D243="","",O243-R243-S243)</f>
        <v/>
      </c>
    </row>
    <row r="244" customFormat="false" ht="15" hidden="false" customHeight="false" outlineLevel="0" collapsed="false">
      <c r="I244" s="24" t="str">
        <f aca="false">IF($D244="","",IFERROR(INDEX(Workers!$B$5:$B$2004,MATCH($D244,Workers!$A$5:$A$2004,0)),"NOT FOUND"))</f>
        <v/>
      </c>
      <c r="J244" s="24" t="str">
        <f aca="false">IF($D244="","",IFERROR(INDEX(Workers!$C$5:$C$2004,MATCH($D244,Workers!$A$5:$A$2004,0)),""))</f>
        <v/>
      </c>
      <c r="K244" s="24" t="str">
        <f aca="false">IF($D244="","",IFERROR(IF(INDEX(Workers!$D$5:$D$2004,MATCH($D244,Workers!$A$5:$A$2004,0))=0,"",INDEX(Workers!$D$5:$D$2004,MATCH($D244,Workers!$A$5:$A$2004,0))),""))</f>
        <v/>
      </c>
      <c r="L244" s="24" t="str">
        <f aca="false">IF($D244="","",IFERROR(INDEX(Workers!$E$5:$E$2004,MATCH($D244,Workers!$A$5:$A$2004,0)),""))</f>
        <v/>
      </c>
      <c r="M244" s="26" t="str">
        <f aca="false">IF($D244="","",IFERROR(INDEX(ClientRates!$D$5:$D$500,MATCH($B244&amp;"|"&amp;$L244,ClientRates!$A$5:$A$500,0)),0))</f>
        <v/>
      </c>
      <c r="N244" s="26" t="str">
        <f aca="false">IF($D244="","",IFERROR(INDEX(ClientRates!$E$5:$E$500,MATCH($B244&amp;"|"&amp;$L244,ClientRates!$A$5:$A$500,0)),0))</f>
        <v/>
      </c>
      <c r="O244" s="26" t="str">
        <f aca="false">IF($D244="","",F244*M244+G244*N244)</f>
        <v/>
      </c>
      <c r="P244" s="26" t="str">
        <f aca="false">IF(OR($D244="",$J244&lt;&gt;"Supplier"),"",IFERROR(INDEX(SupplierRates!$D$5:$D$500,MATCH($K244&amp;"|"&amp;$L244,SupplierRates!$A$5:$A$500,0)),0))</f>
        <v/>
      </c>
      <c r="Q244" s="26" t="str">
        <f aca="false">IF(OR($D244="",$J244&lt;&gt;"Supplier"),"",IFERROR(INDEX(SupplierRates!$E$5:$E$500,MATCH($K244&amp;"|"&amp;$L244,SupplierRates!$A$5:$A$500,0)),0))</f>
        <v/>
      </c>
      <c r="R244" s="26" t="n">
        <f aca="false">IF(OR($D244="",$J244&lt;&gt;"Supplier"),0,F244*P244+G244*Q244)</f>
        <v>0</v>
      </c>
      <c r="S244" s="26" t="n">
        <f aca="false">IF(OR($D244="",$J244&lt;&gt;"Own"),0,IFERROR((F244+G244*Settings!$B$13)*INDEX(Workers!$V$5:$V$2004,MATCH($D244,Workers!$A$5:$A$2004,0)),0))</f>
        <v>0</v>
      </c>
      <c r="T244" s="26" t="str">
        <f aca="false">IF($D244="","",O244-R244-S244)</f>
        <v/>
      </c>
    </row>
    <row r="245" customFormat="false" ht="15" hidden="false" customHeight="false" outlineLevel="0" collapsed="false">
      <c r="I245" s="24" t="str">
        <f aca="false">IF($D245="","",IFERROR(INDEX(Workers!$B$5:$B$2004,MATCH($D245,Workers!$A$5:$A$2004,0)),"NOT FOUND"))</f>
        <v/>
      </c>
      <c r="J245" s="24" t="str">
        <f aca="false">IF($D245="","",IFERROR(INDEX(Workers!$C$5:$C$2004,MATCH($D245,Workers!$A$5:$A$2004,0)),""))</f>
        <v/>
      </c>
      <c r="K245" s="24" t="str">
        <f aca="false">IF($D245="","",IFERROR(IF(INDEX(Workers!$D$5:$D$2004,MATCH($D245,Workers!$A$5:$A$2004,0))=0,"",INDEX(Workers!$D$5:$D$2004,MATCH($D245,Workers!$A$5:$A$2004,0))),""))</f>
        <v/>
      </c>
      <c r="L245" s="24" t="str">
        <f aca="false">IF($D245="","",IFERROR(INDEX(Workers!$E$5:$E$2004,MATCH($D245,Workers!$A$5:$A$2004,0)),""))</f>
        <v/>
      </c>
      <c r="M245" s="26" t="str">
        <f aca="false">IF($D245="","",IFERROR(INDEX(ClientRates!$D$5:$D$500,MATCH($B245&amp;"|"&amp;$L245,ClientRates!$A$5:$A$500,0)),0))</f>
        <v/>
      </c>
      <c r="N245" s="26" t="str">
        <f aca="false">IF($D245="","",IFERROR(INDEX(ClientRates!$E$5:$E$500,MATCH($B245&amp;"|"&amp;$L245,ClientRates!$A$5:$A$500,0)),0))</f>
        <v/>
      </c>
      <c r="O245" s="26" t="str">
        <f aca="false">IF($D245="","",F245*M245+G245*N245)</f>
        <v/>
      </c>
      <c r="P245" s="26" t="str">
        <f aca="false">IF(OR($D245="",$J245&lt;&gt;"Supplier"),"",IFERROR(INDEX(SupplierRates!$D$5:$D$500,MATCH($K245&amp;"|"&amp;$L245,SupplierRates!$A$5:$A$500,0)),0))</f>
        <v/>
      </c>
      <c r="Q245" s="26" t="str">
        <f aca="false">IF(OR($D245="",$J245&lt;&gt;"Supplier"),"",IFERROR(INDEX(SupplierRates!$E$5:$E$500,MATCH($K245&amp;"|"&amp;$L245,SupplierRates!$A$5:$A$500,0)),0))</f>
        <v/>
      </c>
      <c r="R245" s="26" t="n">
        <f aca="false">IF(OR($D245="",$J245&lt;&gt;"Supplier"),0,F245*P245+G245*Q245)</f>
        <v>0</v>
      </c>
      <c r="S245" s="26" t="n">
        <f aca="false">IF(OR($D245="",$J245&lt;&gt;"Own"),0,IFERROR((F245+G245*Settings!$B$13)*INDEX(Workers!$V$5:$V$2004,MATCH($D245,Workers!$A$5:$A$2004,0)),0))</f>
        <v>0</v>
      </c>
      <c r="T245" s="26" t="str">
        <f aca="false">IF($D245="","",O245-R245-S245)</f>
        <v/>
      </c>
    </row>
    <row r="246" customFormat="false" ht="15" hidden="false" customHeight="false" outlineLevel="0" collapsed="false">
      <c r="I246" s="24" t="str">
        <f aca="false">IF($D246="","",IFERROR(INDEX(Workers!$B$5:$B$2004,MATCH($D246,Workers!$A$5:$A$2004,0)),"NOT FOUND"))</f>
        <v/>
      </c>
      <c r="J246" s="24" t="str">
        <f aca="false">IF($D246="","",IFERROR(INDEX(Workers!$C$5:$C$2004,MATCH($D246,Workers!$A$5:$A$2004,0)),""))</f>
        <v/>
      </c>
      <c r="K246" s="24" t="str">
        <f aca="false">IF($D246="","",IFERROR(IF(INDEX(Workers!$D$5:$D$2004,MATCH($D246,Workers!$A$5:$A$2004,0))=0,"",INDEX(Workers!$D$5:$D$2004,MATCH($D246,Workers!$A$5:$A$2004,0))),""))</f>
        <v/>
      </c>
      <c r="L246" s="24" t="str">
        <f aca="false">IF($D246="","",IFERROR(INDEX(Workers!$E$5:$E$2004,MATCH($D246,Workers!$A$5:$A$2004,0)),""))</f>
        <v/>
      </c>
      <c r="M246" s="26" t="str">
        <f aca="false">IF($D246="","",IFERROR(INDEX(ClientRates!$D$5:$D$500,MATCH($B246&amp;"|"&amp;$L246,ClientRates!$A$5:$A$500,0)),0))</f>
        <v/>
      </c>
      <c r="N246" s="26" t="str">
        <f aca="false">IF($D246="","",IFERROR(INDEX(ClientRates!$E$5:$E$500,MATCH($B246&amp;"|"&amp;$L246,ClientRates!$A$5:$A$500,0)),0))</f>
        <v/>
      </c>
      <c r="O246" s="26" t="str">
        <f aca="false">IF($D246="","",F246*M246+G246*N246)</f>
        <v/>
      </c>
      <c r="P246" s="26" t="str">
        <f aca="false">IF(OR($D246="",$J246&lt;&gt;"Supplier"),"",IFERROR(INDEX(SupplierRates!$D$5:$D$500,MATCH($K246&amp;"|"&amp;$L246,SupplierRates!$A$5:$A$500,0)),0))</f>
        <v/>
      </c>
      <c r="Q246" s="26" t="str">
        <f aca="false">IF(OR($D246="",$J246&lt;&gt;"Supplier"),"",IFERROR(INDEX(SupplierRates!$E$5:$E$500,MATCH($K246&amp;"|"&amp;$L246,SupplierRates!$A$5:$A$500,0)),0))</f>
        <v/>
      </c>
      <c r="R246" s="26" t="n">
        <f aca="false">IF(OR($D246="",$J246&lt;&gt;"Supplier"),0,F246*P246+G246*Q246)</f>
        <v>0</v>
      </c>
      <c r="S246" s="26" t="n">
        <f aca="false">IF(OR($D246="",$J246&lt;&gt;"Own"),0,IFERROR((F246+G246*Settings!$B$13)*INDEX(Workers!$V$5:$V$2004,MATCH($D246,Workers!$A$5:$A$2004,0)),0))</f>
        <v>0</v>
      </c>
      <c r="T246" s="26" t="str">
        <f aca="false">IF($D246="","",O246-R246-S246)</f>
        <v/>
      </c>
    </row>
    <row r="247" customFormat="false" ht="15" hidden="false" customHeight="false" outlineLevel="0" collapsed="false">
      <c r="I247" s="24" t="str">
        <f aca="false">IF($D247="","",IFERROR(INDEX(Workers!$B$5:$B$2004,MATCH($D247,Workers!$A$5:$A$2004,0)),"NOT FOUND"))</f>
        <v/>
      </c>
      <c r="J247" s="24" t="str">
        <f aca="false">IF($D247="","",IFERROR(INDEX(Workers!$C$5:$C$2004,MATCH($D247,Workers!$A$5:$A$2004,0)),""))</f>
        <v/>
      </c>
      <c r="K247" s="24" t="str">
        <f aca="false">IF($D247="","",IFERROR(IF(INDEX(Workers!$D$5:$D$2004,MATCH($D247,Workers!$A$5:$A$2004,0))=0,"",INDEX(Workers!$D$5:$D$2004,MATCH($D247,Workers!$A$5:$A$2004,0))),""))</f>
        <v/>
      </c>
      <c r="L247" s="24" t="str">
        <f aca="false">IF($D247="","",IFERROR(INDEX(Workers!$E$5:$E$2004,MATCH($D247,Workers!$A$5:$A$2004,0)),""))</f>
        <v/>
      </c>
      <c r="M247" s="26" t="str">
        <f aca="false">IF($D247="","",IFERROR(INDEX(ClientRates!$D$5:$D$500,MATCH($B247&amp;"|"&amp;$L247,ClientRates!$A$5:$A$500,0)),0))</f>
        <v/>
      </c>
      <c r="N247" s="26" t="str">
        <f aca="false">IF($D247="","",IFERROR(INDEX(ClientRates!$E$5:$E$500,MATCH($B247&amp;"|"&amp;$L247,ClientRates!$A$5:$A$500,0)),0))</f>
        <v/>
      </c>
      <c r="O247" s="26" t="str">
        <f aca="false">IF($D247="","",F247*M247+G247*N247)</f>
        <v/>
      </c>
      <c r="P247" s="26" t="str">
        <f aca="false">IF(OR($D247="",$J247&lt;&gt;"Supplier"),"",IFERROR(INDEX(SupplierRates!$D$5:$D$500,MATCH($K247&amp;"|"&amp;$L247,SupplierRates!$A$5:$A$500,0)),0))</f>
        <v/>
      </c>
      <c r="Q247" s="26" t="str">
        <f aca="false">IF(OR($D247="",$J247&lt;&gt;"Supplier"),"",IFERROR(INDEX(SupplierRates!$E$5:$E$500,MATCH($K247&amp;"|"&amp;$L247,SupplierRates!$A$5:$A$500,0)),0))</f>
        <v/>
      </c>
      <c r="R247" s="26" t="n">
        <f aca="false">IF(OR($D247="",$J247&lt;&gt;"Supplier"),0,F247*P247+G247*Q247)</f>
        <v>0</v>
      </c>
      <c r="S247" s="26" t="n">
        <f aca="false">IF(OR($D247="",$J247&lt;&gt;"Own"),0,IFERROR((F247+G247*Settings!$B$13)*INDEX(Workers!$V$5:$V$2004,MATCH($D247,Workers!$A$5:$A$2004,0)),0))</f>
        <v>0</v>
      </c>
      <c r="T247" s="26" t="str">
        <f aca="false">IF($D247="","",O247-R247-S247)</f>
        <v/>
      </c>
    </row>
    <row r="248" customFormat="false" ht="15" hidden="false" customHeight="false" outlineLevel="0" collapsed="false">
      <c r="I248" s="24" t="str">
        <f aca="false">IF($D248="","",IFERROR(INDEX(Workers!$B$5:$B$2004,MATCH($D248,Workers!$A$5:$A$2004,0)),"NOT FOUND"))</f>
        <v/>
      </c>
      <c r="J248" s="24" t="str">
        <f aca="false">IF($D248="","",IFERROR(INDEX(Workers!$C$5:$C$2004,MATCH($D248,Workers!$A$5:$A$2004,0)),""))</f>
        <v/>
      </c>
      <c r="K248" s="24" t="str">
        <f aca="false">IF($D248="","",IFERROR(IF(INDEX(Workers!$D$5:$D$2004,MATCH($D248,Workers!$A$5:$A$2004,0))=0,"",INDEX(Workers!$D$5:$D$2004,MATCH($D248,Workers!$A$5:$A$2004,0))),""))</f>
        <v/>
      </c>
      <c r="L248" s="24" t="str">
        <f aca="false">IF($D248="","",IFERROR(INDEX(Workers!$E$5:$E$2004,MATCH($D248,Workers!$A$5:$A$2004,0)),""))</f>
        <v/>
      </c>
      <c r="M248" s="26" t="str">
        <f aca="false">IF($D248="","",IFERROR(INDEX(ClientRates!$D$5:$D$500,MATCH($B248&amp;"|"&amp;$L248,ClientRates!$A$5:$A$500,0)),0))</f>
        <v/>
      </c>
      <c r="N248" s="26" t="str">
        <f aca="false">IF($D248="","",IFERROR(INDEX(ClientRates!$E$5:$E$500,MATCH($B248&amp;"|"&amp;$L248,ClientRates!$A$5:$A$500,0)),0))</f>
        <v/>
      </c>
      <c r="O248" s="26" t="str">
        <f aca="false">IF($D248="","",F248*M248+G248*N248)</f>
        <v/>
      </c>
      <c r="P248" s="26" t="str">
        <f aca="false">IF(OR($D248="",$J248&lt;&gt;"Supplier"),"",IFERROR(INDEX(SupplierRates!$D$5:$D$500,MATCH($K248&amp;"|"&amp;$L248,SupplierRates!$A$5:$A$500,0)),0))</f>
        <v/>
      </c>
      <c r="Q248" s="26" t="str">
        <f aca="false">IF(OR($D248="",$J248&lt;&gt;"Supplier"),"",IFERROR(INDEX(SupplierRates!$E$5:$E$500,MATCH($K248&amp;"|"&amp;$L248,SupplierRates!$A$5:$A$500,0)),0))</f>
        <v/>
      </c>
      <c r="R248" s="26" t="n">
        <f aca="false">IF(OR($D248="",$J248&lt;&gt;"Supplier"),0,F248*P248+G248*Q248)</f>
        <v>0</v>
      </c>
      <c r="S248" s="26" t="n">
        <f aca="false">IF(OR($D248="",$J248&lt;&gt;"Own"),0,IFERROR((F248+G248*Settings!$B$13)*INDEX(Workers!$V$5:$V$2004,MATCH($D248,Workers!$A$5:$A$2004,0)),0))</f>
        <v>0</v>
      </c>
      <c r="T248" s="26" t="str">
        <f aca="false">IF($D248="","",O248-R248-S248)</f>
        <v/>
      </c>
    </row>
    <row r="249" customFormat="false" ht="15" hidden="false" customHeight="false" outlineLevel="0" collapsed="false">
      <c r="I249" s="24" t="str">
        <f aca="false">IF($D249="","",IFERROR(INDEX(Workers!$B$5:$B$2004,MATCH($D249,Workers!$A$5:$A$2004,0)),"NOT FOUND"))</f>
        <v/>
      </c>
      <c r="J249" s="24" t="str">
        <f aca="false">IF($D249="","",IFERROR(INDEX(Workers!$C$5:$C$2004,MATCH($D249,Workers!$A$5:$A$2004,0)),""))</f>
        <v/>
      </c>
      <c r="K249" s="24" t="str">
        <f aca="false">IF($D249="","",IFERROR(IF(INDEX(Workers!$D$5:$D$2004,MATCH($D249,Workers!$A$5:$A$2004,0))=0,"",INDEX(Workers!$D$5:$D$2004,MATCH($D249,Workers!$A$5:$A$2004,0))),""))</f>
        <v/>
      </c>
      <c r="L249" s="24" t="str">
        <f aca="false">IF($D249="","",IFERROR(INDEX(Workers!$E$5:$E$2004,MATCH($D249,Workers!$A$5:$A$2004,0)),""))</f>
        <v/>
      </c>
      <c r="M249" s="26" t="str">
        <f aca="false">IF($D249="","",IFERROR(INDEX(ClientRates!$D$5:$D$500,MATCH($B249&amp;"|"&amp;$L249,ClientRates!$A$5:$A$500,0)),0))</f>
        <v/>
      </c>
      <c r="N249" s="26" t="str">
        <f aca="false">IF($D249="","",IFERROR(INDEX(ClientRates!$E$5:$E$500,MATCH($B249&amp;"|"&amp;$L249,ClientRates!$A$5:$A$500,0)),0))</f>
        <v/>
      </c>
      <c r="O249" s="26" t="str">
        <f aca="false">IF($D249="","",F249*M249+G249*N249)</f>
        <v/>
      </c>
      <c r="P249" s="26" t="str">
        <f aca="false">IF(OR($D249="",$J249&lt;&gt;"Supplier"),"",IFERROR(INDEX(SupplierRates!$D$5:$D$500,MATCH($K249&amp;"|"&amp;$L249,SupplierRates!$A$5:$A$500,0)),0))</f>
        <v/>
      </c>
      <c r="Q249" s="26" t="str">
        <f aca="false">IF(OR($D249="",$J249&lt;&gt;"Supplier"),"",IFERROR(INDEX(SupplierRates!$E$5:$E$500,MATCH($K249&amp;"|"&amp;$L249,SupplierRates!$A$5:$A$500,0)),0))</f>
        <v/>
      </c>
      <c r="R249" s="26" t="n">
        <f aca="false">IF(OR($D249="",$J249&lt;&gt;"Supplier"),0,F249*P249+G249*Q249)</f>
        <v>0</v>
      </c>
      <c r="S249" s="26" t="n">
        <f aca="false">IF(OR($D249="",$J249&lt;&gt;"Own"),0,IFERROR((F249+G249*Settings!$B$13)*INDEX(Workers!$V$5:$V$2004,MATCH($D249,Workers!$A$5:$A$2004,0)),0))</f>
        <v>0</v>
      </c>
      <c r="T249" s="26" t="str">
        <f aca="false">IF($D249="","",O249-R249-S249)</f>
        <v/>
      </c>
    </row>
    <row r="250" customFormat="false" ht="15" hidden="false" customHeight="false" outlineLevel="0" collapsed="false">
      <c r="I250" s="24" t="str">
        <f aca="false">IF($D250="","",IFERROR(INDEX(Workers!$B$5:$B$2004,MATCH($D250,Workers!$A$5:$A$2004,0)),"NOT FOUND"))</f>
        <v/>
      </c>
      <c r="J250" s="24" t="str">
        <f aca="false">IF($D250="","",IFERROR(INDEX(Workers!$C$5:$C$2004,MATCH($D250,Workers!$A$5:$A$2004,0)),""))</f>
        <v/>
      </c>
      <c r="K250" s="24" t="str">
        <f aca="false">IF($D250="","",IFERROR(IF(INDEX(Workers!$D$5:$D$2004,MATCH($D250,Workers!$A$5:$A$2004,0))=0,"",INDEX(Workers!$D$5:$D$2004,MATCH($D250,Workers!$A$5:$A$2004,0))),""))</f>
        <v/>
      </c>
      <c r="L250" s="24" t="str">
        <f aca="false">IF($D250="","",IFERROR(INDEX(Workers!$E$5:$E$2004,MATCH($D250,Workers!$A$5:$A$2004,0)),""))</f>
        <v/>
      </c>
      <c r="M250" s="26" t="str">
        <f aca="false">IF($D250="","",IFERROR(INDEX(ClientRates!$D$5:$D$500,MATCH($B250&amp;"|"&amp;$L250,ClientRates!$A$5:$A$500,0)),0))</f>
        <v/>
      </c>
      <c r="N250" s="26" t="str">
        <f aca="false">IF($D250="","",IFERROR(INDEX(ClientRates!$E$5:$E$500,MATCH($B250&amp;"|"&amp;$L250,ClientRates!$A$5:$A$500,0)),0))</f>
        <v/>
      </c>
      <c r="O250" s="26" t="str">
        <f aca="false">IF($D250="","",F250*M250+G250*N250)</f>
        <v/>
      </c>
      <c r="P250" s="26" t="str">
        <f aca="false">IF(OR($D250="",$J250&lt;&gt;"Supplier"),"",IFERROR(INDEX(SupplierRates!$D$5:$D$500,MATCH($K250&amp;"|"&amp;$L250,SupplierRates!$A$5:$A$500,0)),0))</f>
        <v/>
      </c>
      <c r="Q250" s="26" t="str">
        <f aca="false">IF(OR($D250="",$J250&lt;&gt;"Supplier"),"",IFERROR(INDEX(SupplierRates!$E$5:$E$500,MATCH($K250&amp;"|"&amp;$L250,SupplierRates!$A$5:$A$500,0)),0))</f>
        <v/>
      </c>
      <c r="R250" s="26" t="n">
        <f aca="false">IF(OR($D250="",$J250&lt;&gt;"Supplier"),0,F250*P250+G250*Q250)</f>
        <v>0</v>
      </c>
      <c r="S250" s="26" t="n">
        <f aca="false">IF(OR($D250="",$J250&lt;&gt;"Own"),0,IFERROR((F250+G250*Settings!$B$13)*INDEX(Workers!$V$5:$V$2004,MATCH($D250,Workers!$A$5:$A$2004,0)),0))</f>
        <v>0</v>
      </c>
      <c r="T250" s="26" t="str">
        <f aca="false">IF($D250="","",O250-R250-S250)</f>
        <v/>
      </c>
    </row>
    <row r="251" customFormat="false" ht="15" hidden="false" customHeight="false" outlineLevel="0" collapsed="false">
      <c r="I251" s="24" t="str">
        <f aca="false">IF($D251="","",IFERROR(INDEX(Workers!$B$5:$B$2004,MATCH($D251,Workers!$A$5:$A$2004,0)),"NOT FOUND"))</f>
        <v/>
      </c>
      <c r="J251" s="24" t="str">
        <f aca="false">IF($D251="","",IFERROR(INDEX(Workers!$C$5:$C$2004,MATCH($D251,Workers!$A$5:$A$2004,0)),""))</f>
        <v/>
      </c>
      <c r="K251" s="24" t="str">
        <f aca="false">IF($D251="","",IFERROR(IF(INDEX(Workers!$D$5:$D$2004,MATCH($D251,Workers!$A$5:$A$2004,0))=0,"",INDEX(Workers!$D$5:$D$2004,MATCH($D251,Workers!$A$5:$A$2004,0))),""))</f>
        <v/>
      </c>
      <c r="L251" s="24" t="str">
        <f aca="false">IF($D251="","",IFERROR(INDEX(Workers!$E$5:$E$2004,MATCH($D251,Workers!$A$5:$A$2004,0)),""))</f>
        <v/>
      </c>
      <c r="M251" s="26" t="str">
        <f aca="false">IF($D251="","",IFERROR(INDEX(ClientRates!$D$5:$D$500,MATCH($B251&amp;"|"&amp;$L251,ClientRates!$A$5:$A$500,0)),0))</f>
        <v/>
      </c>
      <c r="N251" s="26" t="str">
        <f aca="false">IF($D251="","",IFERROR(INDEX(ClientRates!$E$5:$E$500,MATCH($B251&amp;"|"&amp;$L251,ClientRates!$A$5:$A$500,0)),0))</f>
        <v/>
      </c>
      <c r="O251" s="26" t="str">
        <f aca="false">IF($D251="","",F251*M251+G251*N251)</f>
        <v/>
      </c>
      <c r="P251" s="26" t="str">
        <f aca="false">IF(OR($D251="",$J251&lt;&gt;"Supplier"),"",IFERROR(INDEX(SupplierRates!$D$5:$D$500,MATCH($K251&amp;"|"&amp;$L251,SupplierRates!$A$5:$A$500,0)),0))</f>
        <v/>
      </c>
      <c r="Q251" s="26" t="str">
        <f aca="false">IF(OR($D251="",$J251&lt;&gt;"Supplier"),"",IFERROR(INDEX(SupplierRates!$E$5:$E$500,MATCH($K251&amp;"|"&amp;$L251,SupplierRates!$A$5:$A$500,0)),0))</f>
        <v/>
      </c>
      <c r="R251" s="26" t="n">
        <f aca="false">IF(OR($D251="",$J251&lt;&gt;"Supplier"),0,F251*P251+G251*Q251)</f>
        <v>0</v>
      </c>
      <c r="S251" s="26" t="n">
        <f aca="false">IF(OR($D251="",$J251&lt;&gt;"Own"),0,IFERROR((F251+G251*Settings!$B$13)*INDEX(Workers!$V$5:$V$2004,MATCH($D251,Workers!$A$5:$A$2004,0)),0))</f>
        <v>0</v>
      </c>
      <c r="T251" s="26" t="str">
        <f aca="false">IF($D251="","",O251-R251-S251)</f>
        <v/>
      </c>
    </row>
    <row r="252" customFormat="false" ht="15" hidden="false" customHeight="false" outlineLevel="0" collapsed="false">
      <c r="I252" s="24" t="str">
        <f aca="false">IF($D252="","",IFERROR(INDEX(Workers!$B$5:$B$2004,MATCH($D252,Workers!$A$5:$A$2004,0)),"NOT FOUND"))</f>
        <v/>
      </c>
      <c r="J252" s="24" t="str">
        <f aca="false">IF($D252="","",IFERROR(INDEX(Workers!$C$5:$C$2004,MATCH($D252,Workers!$A$5:$A$2004,0)),""))</f>
        <v/>
      </c>
      <c r="K252" s="24" t="str">
        <f aca="false">IF($D252="","",IFERROR(IF(INDEX(Workers!$D$5:$D$2004,MATCH($D252,Workers!$A$5:$A$2004,0))=0,"",INDEX(Workers!$D$5:$D$2004,MATCH($D252,Workers!$A$5:$A$2004,0))),""))</f>
        <v/>
      </c>
      <c r="L252" s="24" t="str">
        <f aca="false">IF($D252="","",IFERROR(INDEX(Workers!$E$5:$E$2004,MATCH($D252,Workers!$A$5:$A$2004,0)),""))</f>
        <v/>
      </c>
      <c r="M252" s="26" t="str">
        <f aca="false">IF($D252="","",IFERROR(INDEX(ClientRates!$D$5:$D$500,MATCH($B252&amp;"|"&amp;$L252,ClientRates!$A$5:$A$500,0)),0))</f>
        <v/>
      </c>
      <c r="N252" s="26" t="str">
        <f aca="false">IF($D252="","",IFERROR(INDEX(ClientRates!$E$5:$E$500,MATCH($B252&amp;"|"&amp;$L252,ClientRates!$A$5:$A$500,0)),0))</f>
        <v/>
      </c>
      <c r="O252" s="26" t="str">
        <f aca="false">IF($D252="","",F252*M252+G252*N252)</f>
        <v/>
      </c>
      <c r="P252" s="26" t="str">
        <f aca="false">IF(OR($D252="",$J252&lt;&gt;"Supplier"),"",IFERROR(INDEX(SupplierRates!$D$5:$D$500,MATCH($K252&amp;"|"&amp;$L252,SupplierRates!$A$5:$A$500,0)),0))</f>
        <v/>
      </c>
      <c r="Q252" s="26" t="str">
        <f aca="false">IF(OR($D252="",$J252&lt;&gt;"Supplier"),"",IFERROR(INDEX(SupplierRates!$E$5:$E$500,MATCH($K252&amp;"|"&amp;$L252,SupplierRates!$A$5:$A$500,0)),0))</f>
        <v/>
      </c>
      <c r="R252" s="26" t="n">
        <f aca="false">IF(OR($D252="",$J252&lt;&gt;"Supplier"),0,F252*P252+G252*Q252)</f>
        <v>0</v>
      </c>
      <c r="S252" s="26" t="n">
        <f aca="false">IF(OR($D252="",$J252&lt;&gt;"Own"),0,IFERROR((F252+G252*Settings!$B$13)*INDEX(Workers!$V$5:$V$2004,MATCH($D252,Workers!$A$5:$A$2004,0)),0))</f>
        <v>0</v>
      </c>
      <c r="T252" s="26" t="str">
        <f aca="false">IF($D252="","",O252-R252-S252)</f>
        <v/>
      </c>
    </row>
    <row r="253" customFormat="false" ht="15" hidden="false" customHeight="false" outlineLevel="0" collapsed="false">
      <c r="I253" s="24" t="str">
        <f aca="false">IF($D253="","",IFERROR(INDEX(Workers!$B$5:$B$2004,MATCH($D253,Workers!$A$5:$A$2004,0)),"NOT FOUND"))</f>
        <v/>
      </c>
      <c r="J253" s="24" t="str">
        <f aca="false">IF($D253="","",IFERROR(INDEX(Workers!$C$5:$C$2004,MATCH($D253,Workers!$A$5:$A$2004,0)),""))</f>
        <v/>
      </c>
      <c r="K253" s="24" t="str">
        <f aca="false">IF($D253="","",IFERROR(IF(INDEX(Workers!$D$5:$D$2004,MATCH($D253,Workers!$A$5:$A$2004,0))=0,"",INDEX(Workers!$D$5:$D$2004,MATCH($D253,Workers!$A$5:$A$2004,0))),""))</f>
        <v/>
      </c>
      <c r="L253" s="24" t="str">
        <f aca="false">IF($D253="","",IFERROR(INDEX(Workers!$E$5:$E$2004,MATCH($D253,Workers!$A$5:$A$2004,0)),""))</f>
        <v/>
      </c>
      <c r="M253" s="26" t="str">
        <f aca="false">IF($D253="","",IFERROR(INDEX(ClientRates!$D$5:$D$500,MATCH($B253&amp;"|"&amp;$L253,ClientRates!$A$5:$A$500,0)),0))</f>
        <v/>
      </c>
      <c r="N253" s="26" t="str">
        <f aca="false">IF($D253="","",IFERROR(INDEX(ClientRates!$E$5:$E$500,MATCH($B253&amp;"|"&amp;$L253,ClientRates!$A$5:$A$500,0)),0))</f>
        <v/>
      </c>
      <c r="O253" s="26" t="str">
        <f aca="false">IF($D253="","",F253*M253+G253*N253)</f>
        <v/>
      </c>
      <c r="P253" s="26" t="str">
        <f aca="false">IF(OR($D253="",$J253&lt;&gt;"Supplier"),"",IFERROR(INDEX(SupplierRates!$D$5:$D$500,MATCH($K253&amp;"|"&amp;$L253,SupplierRates!$A$5:$A$500,0)),0))</f>
        <v/>
      </c>
      <c r="Q253" s="26" t="str">
        <f aca="false">IF(OR($D253="",$J253&lt;&gt;"Supplier"),"",IFERROR(INDEX(SupplierRates!$E$5:$E$500,MATCH($K253&amp;"|"&amp;$L253,SupplierRates!$A$5:$A$500,0)),0))</f>
        <v/>
      </c>
      <c r="R253" s="26" t="n">
        <f aca="false">IF(OR($D253="",$J253&lt;&gt;"Supplier"),0,F253*P253+G253*Q253)</f>
        <v>0</v>
      </c>
      <c r="S253" s="26" t="n">
        <f aca="false">IF(OR($D253="",$J253&lt;&gt;"Own"),0,IFERROR((F253+G253*Settings!$B$13)*INDEX(Workers!$V$5:$V$2004,MATCH($D253,Workers!$A$5:$A$2004,0)),0))</f>
        <v>0</v>
      </c>
      <c r="T253" s="26" t="str">
        <f aca="false">IF($D253="","",O253-R253-S253)</f>
        <v/>
      </c>
    </row>
    <row r="254" customFormat="false" ht="15" hidden="false" customHeight="false" outlineLevel="0" collapsed="false">
      <c r="I254" s="24" t="str">
        <f aca="false">IF($D254="","",IFERROR(INDEX(Workers!$B$5:$B$2004,MATCH($D254,Workers!$A$5:$A$2004,0)),"NOT FOUND"))</f>
        <v/>
      </c>
      <c r="J254" s="24" t="str">
        <f aca="false">IF($D254="","",IFERROR(INDEX(Workers!$C$5:$C$2004,MATCH($D254,Workers!$A$5:$A$2004,0)),""))</f>
        <v/>
      </c>
      <c r="K254" s="24" t="str">
        <f aca="false">IF($D254="","",IFERROR(IF(INDEX(Workers!$D$5:$D$2004,MATCH($D254,Workers!$A$5:$A$2004,0))=0,"",INDEX(Workers!$D$5:$D$2004,MATCH($D254,Workers!$A$5:$A$2004,0))),""))</f>
        <v/>
      </c>
      <c r="L254" s="24" t="str">
        <f aca="false">IF($D254="","",IFERROR(INDEX(Workers!$E$5:$E$2004,MATCH($D254,Workers!$A$5:$A$2004,0)),""))</f>
        <v/>
      </c>
      <c r="M254" s="26" t="str">
        <f aca="false">IF($D254="","",IFERROR(INDEX(ClientRates!$D$5:$D$500,MATCH($B254&amp;"|"&amp;$L254,ClientRates!$A$5:$A$500,0)),0))</f>
        <v/>
      </c>
      <c r="N254" s="26" t="str">
        <f aca="false">IF($D254="","",IFERROR(INDEX(ClientRates!$E$5:$E$500,MATCH($B254&amp;"|"&amp;$L254,ClientRates!$A$5:$A$500,0)),0))</f>
        <v/>
      </c>
      <c r="O254" s="26" t="str">
        <f aca="false">IF($D254="","",F254*M254+G254*N254)</f>
        <v/>
      </c>
      <c r="P254" s="26" t="str">
        <f aca="false">IF(OR($D254="",$J254&lt;&gt;"Supplier"),"",IFERROR(INDEX(SupplierRates!$D$5:$D$500,MATCH($K254&amp;"|"&amp;$L254,SupplierRates!$A$5:$A$500,0)),0))</f>
        <v/>
      </c>
      <c r="Q254" s="26" t="str">
        <f aca="false">IF(OR($D254="",$J254&lt;&gt;"Supplier"),"",IFERROR(INDEX(SupplierRates!$E$5:$E$500,MATCH($K254&amp;"|"&amp;$L254,SupplierRates!$A$5:$A$500,0)),0))</f>
        <v/>
      </c>
      <c r="R254" s="26" t="n">
        <f aca="false">IF(OR($D254="",$J254&lt;&gt;"Supplier"),0,F254*P254+G254*Q254)</f>
        <v>0</v>
      </c>
      <c r="S254" s="26" t="n">
        <f aca="false">IF(OR($D254="",$J254&lt;&gt;"Own"),0,IFERROR((F254+G254*Settings!$B$13)*INDEX(Workers!$V$5:$V$2004,MATCH($D254,Workers!$A$5:$A$2004,0)),0))</f>
        <v>0</v>
      </c>
      <c r="T254" s="26" t="str">
        <f aca="false">IF($D254="","",O254-R254-S254)</f>
        <v/>
      </c>
    </row>
    <row r="255" customFormat="false" ht="15" hidden="false" customHeight="false" outlineLevel="0" collapsed="false">
      <c r="I255" s="24" t="str">
        <f aca="false">IF($D255="","",IFERROR(INDEX(Workers!$B$5:$B$2004,MATCH($D255,Workers!$A$5:$A$2004,0)),"NOT FOUND"))</f>
        <v/>
      </c>
      <c r="J255" s="24" t="str">
        <f aca="false">IF($D255="","",IFERROR(INDEX(Workers!$C$5:$C$2004,MATCH($D255,Workers!$A$5:$A$2004,0)),""))</f>
        <v/>
      </c>
      <c r="K255" s="24" t="str">
        <f aca="false">IF($D255="","",IFERROR(IF(INDEX(Workers!$D$5:$D$2004,MATCH($D255,Workers!$A$5:$A$2004,0))=0,"",INDEX(Workers!$D$5:$D$2004,MATCH($D255,Workers!$A$5:$A$2004,0))),""))</f>
        <v/>
      </c>
      <c r="L255" s="24" t="str">
        <f aca="false">IF($D255="","",IFERROR(INDEX(Workers!$E$5:$E$2004,MATCH($D255,Workers!$A$5:$A$2004,0)),""))</f>
        <v/>
      </c>
      <c r="M255" s="26" t="str">
        <f aca="false">IF($D255="","",IFERROR(INDEX(ClientRates!$D$5:$D$500,MATCH($B255&amp;"|"&amp;$L255,ClientRates!$A$5:$A$500,0)),0))</f>
        <v/>
      </c>
      <c r="N255" s="26" t="str">
        <f aca="false">IF($D255="","",IFERROR(INDEX(ClientRates!$E$5:$E$500,MATCH($B255&amp;"|"&amp;$L255,ClientRates!$A$5:$A$500,0)),0))</f>
        <v/>
      </c>
      <c r="O255" s="26" t="str">
        <f aca="false">IF($D255="","",F255*M255+G255*N255)</f>
        <v/>
      </c>
      <c r="P255" s="26" t="str">
        <f aca="false">IF(OR($D255="",$J255&lt;&gt;"Supplier"),"",IFERROR(INDEX(SupplierRates!$D$5:$D$500,MATCH($K255&amp;"|"&amp;$L255,SupplierRates!$A$5:$A$500,0)),0))</f>
        <v/>
      </c>
      <c r="Q255" s="26" t="str">
        <f aca="false">IF(OR($D255="",$J255&lt;&gt;"Supplier"),"",IFERROR(INDEX(SupplierRates!$E$5:$E$500,MATCH($K255&amp;"|"&amp;$L255,SupplierRates!$A$5:$A$500,0)),0))</f>
        <v/>
      </c>
      <c r="R255" s="26" t="n">
        <f aca="false">IF(OR($D255="",$J255&lt;&gt;"Supplier"),0,F255*P255+G255*Q255)</f>
        <v>0</v>
      </c>
      <c r="S255" s="26" t="n">
        <f aca="false">IF(OR($D255="",$J255&lt;&gt;"Own"),0,IFERROR((F255+G255*Settings!$B$13)*INDEX(Workers!$V$5:$V$2004,MATCH($D255,Workers!$A$5:$A$2004,0)),0))</f>
        <v>0</v>
      </c>
      <c r="T255" s="26" t="str">
        <f aca="false">IF($D255="","",O255-R255-S255)</f>
        <v/>
      </c>
    </row>
    <row r="256" customFormat="false" ht="15" hidden="false" customHeight="false" outlineLevel="0" collapsed="false">
      <c r="I256" s="24" t="str">
        <f aca="false">IF($D256="","",IFERROR(INDEX(Workers!$B$5:$B$2004,MATCH($D256,Workers!$A$5:$A$2004,0)),"NOT FOUND"))</f>
        <v/>
      </c>
      <c r="J256" s="24" t="str">
        <f aca="false">IF($D256="","",IFERROR(INDEX(Workers!$C$5:$C$2004,MATCH($D256,Workers!$A$5:$A$2004,0)),""))</f>
        <v/>
      </c>
      <c r="K256" s="24" t="str">
        <f aca="false">IF($D256="","",IFERROR(IF(INDEX(Workers!$D$5:$D$2004,MATCH($D256,Workers!$A$5:$A$2004,0))=0,"",INDEX(Workers!$D$5:$D$2004,MATCH($D256,Workers!$A$5:$A$2004,0))),""))</f>
        <v/>
      </c>
      <c r="L256" s="24" t="str">
        <f aca="false">IF($D256="","",IFERROR(INDEX(Workers!$E$5:$E$2004,MATCH($D256,Workers!$A$5:$A$2004,0)),""))</f>
        <v/>
      </c>
      <c r="M256" s="26" t="str">
        <f aca="false">IF($D256="","",IFERROR(INDEX(ClientRates!$D$5:$D$500,MATCH($B256&amp;"|"&amp;$L256,ClientRates!$A$5:$A$500,0)),0))</f>
        <v/>
      </c>
      <c r="N256" s="26" t="str">
        <f aca="false">IF($D256="","",IFERROR(INDEX(ClientRates!$E$5:$E$500,MATCH($B256&amp;"|"&amp;$L256,ClientRates!$A$5:$A$500,0)),0))</f>
        <v/>
      </c>
      <c r="O256" s="26" t="str">
        <f aca="false">IF($D256="","",F256*M256+G256*N256)</f>
        <v/>
      </c>
      <c r="P256" s="26" t="str">
        <f aca="false">IF(OR($D256="",$J256&lt;&gt;"Supplier"),"",IFERROR(INDEX(SupplierRates!$D$5:$D$500,MATCH($K256&amp;"|"&amp;$L256,SupplierRates!$A$5:$A$500,0)),0))</f>
        <v/>
      </c>
      <c r="Q256" s="26" t="str">
        <f aca="false">IF(OR($D256="",$J256&lt;&gt;"Supplier"),"",IFERROR(INDEX(SupplierRates!$E$5:$E$500,MATCH($K256&amp;"|"&amp;$L256,SupplierRates!$A$5:$A$500,0)),0))</f>
        <v/>
      </c>
      <c r="R256" s="26" t="n">
        <f aca="false">IF(OR($D256="",$J256&lt;&gt;"Supplier"),0,F256*P256+G256*Q256)</f>
        <v>0</v>
      </c>
      <c r="S256" s="26" t="n">
        <f aca="false">IF(OR($D256="",$J256&lt;&gt;"Own"),0,IFERROR((F256+G256*Settings!$B$13)*INDEX(Workers!$V$5:$V$2004,MATCH($D256,Workers!$A$5:$A$2004,0)),0))</f>
        <v>0</v>
      </c>
      <c r="T256" s="26" t="str">
        <f aca="false">IF($D256="","",O256-R256-S256)</f>
        <v/>
      </c>
    </row>
    <row r="257" customFormat="false" ht="15" hidden="false" customHeight="false" outlineLevel="0" collapsed="false">
      <c r="I257" s="24" t="str">
        <f aca="false">IF($D257="","",IFERROR(INDEX(Workers!$B$5:$B$2004,MATCH($D257,Workers!$A$5:$A$2004,0)),"NOT FOUND"))</f>
        <v/>
      </c>
      <c r="J257" s="24" t="str">
        <f aca="false">IF($D257="","",IFERROR(INDEX(Workers!$C$5:$C$2004,MATCH($D257,Workers!$A$5:$A$2004,0)),""))</f>
        <v/>
      </c>
      <c r="K257" s="24" t="str">
        <f aca="false">IF($D257="","",IFERROR(IF(INDEX(Workers!$D$5:$D$2004,MATCH($D257,Workers!$A$5:$A$2004,0))=0,"",INDEX(Workers!$D$5:$D$2004,MATCH($D257,Workers!$A$5:$A$2004,0))),""))</f>
        <v/>
      </c>
      <c r="L257" s="24" t="str">
        <f aca="false">IF($D257="","",IFERROR(INDEX(Workers!$E$5:$E$2004,MATCH($D257,Workers!$A$5:$A$2004,0)),""))</f>
        <v/>
      </c>
      <c r="M257" s="26" t="str">
        <f aca="false">IF($D257="","",IFERROR(INDEX(ClientRates!$D$5:$D$500,MATCH($B257&amp;"|"&amp;$L257,ClientRates!$A$5:$A$500,0)),0))</f>
        <v/>
      </c>
      <c r="N257" s="26" t="str">
        <f aca="false">IF($D257="","",IFERROR(INDEX(ClientRates!$E$5:$E$500,MATCH($B257&amp;"|"&amp;$L257,ClientRates!$A$5:$A$500,0)),0))</f>
        <v/>
      </c>
      <c r="O257" s="26" t="str">
        <f aca="false">IF($D257="","",F257*M257+G257*N257)</f>
        <v/>
      </c>
      <c r="P257" s="26" t="str">
        <f aca="false">IF(OR($D257="",$J257&lt;&gt;"Supplier"),"",IFERROR(INDEX(SupplierRates!$D$5:$D$500,MATCH($K257&amp;"|"&amp;$L257,SupplierRates!$A$5:$A$500,0)),0))</f>
        <v/>
      </c>
      <c r="Q257" s="26" t="str">
        <f aca="false">IF(OR($D257="",$J257&lt;&gt;"Supplier"),"",IFERROR(INDEX(SupplierRates!$E$5:$E$500,MATCH($K257&amp;"|"&amp;$L257,SupplierRates!$A$5:$A$500,0)),0))</f>
        <v/>
      </c>
      <c r="R257" s="26" t="n">
        <f aca="false">IF(OR($D257="",$J257&lt;&gt;"Supplier"),0,F257*P257+G257*Q257)</f>
        <v>0</v>
      </c>
      <c r="S257" s="26" t="n">
        <f aca="false">IF(OR($D257="",$J257&lt;&gt;"Own"),0,IFERROR((F257+G257*Settings!$B$13)*INDEX(Workers!$V$5:$V$2004,MATCH($D257,Workers!$A$5:$A$2004,0)),0))</f>
        <v>0</v>
      </c>
      <c r="T257" s="26" t="str">
        <f aca="false">IF($D257="","",O257-R257-S257)</f>
        <v/>
      </c>
    </row>
    <row r="258" customFormat="false" ht="15" hidden="false" customHeight="false" outlineLevel="0" collapsed="false">
      <c r="I258" s="24" t="str">
        <f aca="false">IF($D258="","",IFERROR(INDEX(Workers!$B$5:$B$2004,MATCH($D258,Workers!$A$5:$A$2004,0)),"NOT FOUND"))</f>
        <v/>
      </c>
      <c r="J258" s="24" t="str">
        <f aca="false">IF($D258="","",IFERROR(INDEX(Workers!$C$5:$C$2004,MATCH($D258,Workers!$A$5:$A$2004,0)),""))</f>
        <v/>
      </c>
      <c r="K258" s="24" t="str">
        <f aca="false">IF($D258="","",IFERROR(IF(INDEX(Workers!$D$5:$D$2004,MATCH($D258,Workers!$A$5:$A$2004,0))=0,"",INDEX(Workers!$D$5:$D$2004,MATCH($D258,Workers!$A$5:$A$2004,0))),""))</f>
        <v/>
      </c>
      <c r="L258" s="24" t="str">
        <f aca="false">IF($D258="","",IFERROR(INDEX(Workers!$E$5:$E$2004,MATCH($D258,Workers!$A$5:$A$2004,0)),""))</f>
        <v/>
      </c>
      <c r="M258" s="26" t="str">
        <f aca="false">IF($D258="","",IFERROR(INDEX(ClientRates!$D$5:$D$500,MATCH($B258&amp;"|"&amp;$L258,ClientRates!$A$5:$A$500,0)),0))</f>
        <v/>
      </c>
      <c r="N258" s="26" t="str">
        <f aca="false">IF($D258="","",IFERROR(INDEX(ClientRates!$E$5:$E$500,MATCH($B258&amp;"|"&amp;$L258,ClientRates!$A$5:$A$500,0)),0))</f>
        <v/>
      </c>
      <c r="O258" s="26" t="str">
        <f aca="false">IF($D258="","",F258*M258+G258*N258)</f>
        <v/>
      </c>
      <c r="P258" s="26" t="str">
        <f aca="false">IF(OR($D258="",$J258&lt;&gt;"Supplier"),"",IFERROR(INDEX(SupplierRates!$D$5:$D$500,MATCH($K258&amp;"|"&amp;$L258,SupplierRates!$A$5:$A$500,0)),0))</f>
        <v/>
      </c>
      <c r="Q258" s="26" t="str">
        <f aca="false">IF(OR($D258="",$J258&lt;&gt;"Supplier"),"",IFERROR(INDEX(SupplierRates!$E$5:$E$500,MATCH($K258&amp;"|"&amp;$L258,SupplierRates!$A$5:$A$500,0)),0))</f>
        <v/>
      </c>
      <c r="R258" s="26" t="n">
        <f aca="false">IF(OR($D258="",$J258&lt;&gt;"Supplier"),0,F258*P258+G258*Q258)</f>
        <v>0</v>
      </c>
      <c r="S258" s="26" t="n">
        <f aca="false">IF(OR($D258="",$J258&lt;&gt;"Own"),0,IFERROR((F258+G258*Settings!$B$13)*INDEX(Workers!$V$5:$V$2004,MATCH($D258,Workers!$A$5:$A$2004,0)),0))</f>
        <v>0</v>
      </c>
      <c r="T258" s="26" t="str">
        <f aca="false">IF($D258="","",O258-R258-S258)</f>
        <v/>
      </c>
    </row>
    <row r="259" customFormat="false" ht="15" hidden="false" customHeight="false" outlineLevel="0" collapsed="false">
      <c r="I259" s="24" t="str">
        <f aca="false">IF($D259="","",IFERROR(INDEX(Workers!$B$5:$B$2004,MATCH($D259,Workers!$A$5:$A$2004,0)),"NOT FOUND"))</f>
        <v/>
      </c>
      <c r="J259" s="24" t="str">
        <f aca="false">IF($D259="","",IFERROR(INDEX(Workers!$C$5:$C$2004,MATCH($D259,Workers!$A$5:$A$2004,0)),""))</f>
        <v/>
      </c>
      <c r="K259" s="24" t="str">
        <f aca="false">IF($D259="","",IFERROR(IF(INDEX(Workers!$D$5:$D$2004,MATCH($D259,Workers!$A$5:$A$2004,0))=0,"",INDEX(Workers!$D$5:$D$2004,MATCH($D259,Workers!$A$5:$A$2004,0))),""))</f>
        <v/>
      </c>
      <c r="L259" s="24" t="str">
        <f aca="false">IF($D259="","",IFERROR(INDEX(Workers!$E$5:$E$2004,MATCH($D259,Workers!$A$5:$A$2004,0)),""))</f>
        <v/>
      </c>
      <c r="M259" s="26" t="str">
        <f aca="false">IF($D259="","",IFERROR(INDEX(ClientRates!$D$5:$D$500,MATCH($B259&amp;"|"&amp;$L259,ClientRates!$A$5:$A$500,0)),0))</f>
        <v/>
      </c>
      <c r="N259" s="26" t="str">
        <f aca="false">IF($D259="","",IFERROR(INDEX(ClientRates!$E$5:$E$500,MATCH($B259&amp;"|"&amp;$L259,ClientRates!$A$5:$A$500,0)),0))</f>
        <v/>
      </c>
      <c r="O259" s="26" t="str">
        <f aca="false">IF($D259="","",F259*M259+G259*N259)</f>
        <v/>
      </c>
      <c r="P259" s="26" t="str">
        <f aca="false">IF(OR($D259="",$J259&lt;&gt;"Supplier"),"",IFERROR(INDEX(SupplierRates!$D$5:$D$500,MATCH($K259&amp;"|"&amp;$L259,SupplierRates!$A$5:$A$500,0)),0))</f>
        <v/>
      </c>
      <c r="Q259" s="26" t="str">
        <f aca="false">IF(OR($D259="",$J259&lt;&gt;"Supplier"),"",IFERROR(INDEX(SupplierRates!$E$5:$E$500,MATCH($K259&amp;"|"&amp;$L259,SupplierRates!$A$5:$A$500,0)),0))</f>
        <v/>
      </c>
      <c r="R259" s="26" t="n">
        <f aca="false">IF(OR($D259="",$J259&lt;&gt;"Supplier"),0,F259*P259+G259*Q259)</f>
        <v>0</v>
      </c>
      <c r="S259" s="26" t="n">
        <f aca="false">IF(OR($D259="",$J259&lt;&gt;"Own"),0,IFERROR((F259+G259*Settings!$B$13)*INDEX(Workers!$V$5:$V$2004,MATCH($D259,Workers!$A$5:$A$2004,0)),0))</f>
        <v>0</v>
      </c>
      <c r="T259" s="26" t="str">
        <f aca="false">IF($D259="","",O259-R259-S259)</f>
        <v/>
      </c>
    </row>
    <row r="260" customFormat="false" ht="15" hidden="false" customHeight="false" outlineLevel="0" collapsed="false">
      <c r="I260" s="24" t="str">
        <f aca="false">IF($D260="","",IFERROR(INDEX(Workers!$B$5:$B$2004,MATCH($D260,Workers!$A$5:$A$2004,0)),"NOT FOUND"))</f>
        <v/>
      </c>
      <c r="J260" s="24" t="str">
        <f aca="false">IF($D260="","",IFERROR(INDEX(Workers!$C$5:$C$2004,MATCH($D260,Workers!$A$5:$A$2004,0)),""))</f>
        <v/>
      </c>
      <c r="K260" s="24" t="str">
        <f aca="false">IF($D260="","",IFERROR(IF(INDEX(Workers!$D$5:$D$2004,MATCH($D260,Workers!$A$5:$A$2004,0))=0,"",INDEX(Workers!$D$5:$D$2004,MATCH($D260,Workers!$A$5:$A$2004,0))),""))</f>
        <v/>
      </c>
      <c r="L260" s="24" t="str">
        <f aca="false">IF($D260="","",IFERROR(INDEX(Workers!$E$5:$E$2004,MATCH($D260,Workers!$A$5:$A$2004,0)),""))</f>
        <v/>
      </c>
      <c r="M260" s="26" t="str">
        <f aca="false">IF($D260="","",IFERROR(INDEX(ClientRates!$D$5:$D$500,MATCH($B260&amp;"|"&amp;$L260,ClientRates!$A$5:$A$500,0)),0))</f>
        <v/>
      </c>
      <c r="N260" s="26" t="str">
        <f aca="false">IF($D260="","",IFERROR(INDEX(ClientRates!$E$5:$E$500,MATCH($B260&amp;"|"&amp;$L260,ClientRates!$A$5:$A$500,0)),0))</f>
        <v/>
      </c>
      <c r="O260" s="26" t="str">
        <f aca="false">IF($D260="","",F260*M260+G260*N260)</f>
        <v/>
      </c>
      <c r="P260" s="26" t="str">
        <f aca="false">IF(OR($D260="",$J260&lt;&gt;"Supplier"),"",IFERROR(INDEX(SupplierRates!$D$5:$D$500,MATCH($K260&amp;"|"&amp;$L260,SupplierRates!$A$5:$A$500,0)),0))</f>
        <v/>
      </c>
      <c r="Q260" s="26" t="str">
        <f aca="false">IF(OR($D260="",$J260&lt;&gt;"Supplier"),"",IFERROR(INDEX(SupplierRates!$E$5:$E$500,MATCH($K260&amp;"|"&amp;$L260,SupplierRates!$A$5:$A$500,0)),0))</f>
        <v/>
      </c>
      <c r="R260" s="26" t="n">
        <f aca="false">IF(OR($D260="",$J260&lt;&gt;"Supplier"),0,F260*P260+G260*Q260)</f>
        <v>0</v>
      </c>
      <c r="S260" s="26" t="n">
        <f aca="false">IF(OR($D260="",$J260&lt;&gt;"Own"),0,IFERROR((F260+G260*Settings!$B$13)*INDEX(Workers!$V$5:$V$2004,MATCH($D260,Workers!$A$5:$A$2004,0)),0))</f>
        <v>0</v>
      </c>
      <c r="T260" s="26" t="str">
        <f aca="false">IF($D260="","",O260-R260-S260)</f>
        <v/>
      </c>
    </row>
    <row r="261" customFormat="false" ht="15" hidden="false" customHeight="false" outlineLevel="0" collapsed="false">
      <c r="I261" s="24" t="str">
        <f aca="false">IF($D261="","",IFERROR(INDEX(Workers!$B$5:$B$2004,MATCH($D261,Workers!$A$5:$A$2004,0)),"NOT FOUND"))</f>
        <v/>
      </c>
      <c r="J261" s="24" t="str">
        <f aca="false">IF($D261="","",IFERROR(INDEX(Workers!$C$5:$C$2004,MATCH($D261,Workers!$A$5:$A$2004,0)),""))</f>
        <v/>
      </c>
      <c r="K261" s="24" t="str">
        <f aca="false">IF($D261="","",IFERROR(IF(INDEX(Workers!$D$5:$D$2004,MATCH($D261,Workers!$A$5:$A$2004,0))=0,"",INDEX(Workers!$D$5:$D$2004,MATCH($D261,Workers!$A$5:$A$2004,0))),""))</f>
        <v/>
      </c>
      <c r="L261" s="24" t="str">
        <f aca="false">IF($D261="","",IFERROR(INDEX(Workers!$E$5:$E$2004,MATCH($D261,Workers!$A$5:$A$2004,0)),""))</f>
        <v/>
      </c>
      <c r="M261" s="26" t="str">
        <f aca="false">IF($D261="","",IFERROR(INDEX(ClientRates!$D$5:$D$500,MATCH($B261&amp;"|"&amp;$L261,ClientRates!$A$5:$A$500,0)),0))</f>
        <v/>
      </c>
      <c r="N261" s="26" t="str">
        <f aca="false">IF($D261="","",IFERROR(INDEX(ClientRates!$E$5:$E$500,MATCH($B261&amp;"|"&amp;$L261,ClientRates!$A$5:$A$500,0)),0))</f>
        <v/>
      </c>
      <c r="O261" s="26" t="str">
        <f aca="false">IF($D261="","",F261*M261+G261*N261)</f>
        <v/>
      </c>
      <c r="P261" s="26" t="str">
        <f aca="false">IF(OR($D261="",$J261&lt;&gt;"Supplier"),"",IFERROR(INDEX(SupplierRates!$D$5:$D$500,MATCH($K261&amp;"|"&amp;$L261,SupplierRates!$A$5:$A$500,0)),0))</f>
        <v/>
      </c>
      <c r="Q261" s="26" t="str">
        <f aca="false">IF(OR($D261="",$J261&lt;&gt;"Supplier"),"",IFERROR(INDEX(SupplierRates!$E$5:$E$500,MATCH($K261&amp;"|"&amp;$L261,SupplierRates!$A$5:$A$500,0)),0))</f>
        <v/>
      </c>
      <c r="R261" s="26" t="n">
        <f aca="false">IF(OR($D261="",$J261&lt;&gt;"Supplier"),0,F261*P261+G261*Q261)</f>
        <v>0</v>
      </c>
      <c r="S261" s="26" t="n">
        <f aca="false">IF(OR($D261="",$J261&lt;&gt;"Own"),0,IFERROR((F261+G261*Settings!$B$13)*INDEX(Workers!$V$5:$V$2004,MATCH($D261,Workers!$A$5:$A$2004,0)),0))</f>
        <v>0</v>
      </c>
      <c r="T261" s="26" t="str">
        <f aca="false">IF($D261="","",O261-R261-S261)</f>
        <v/>
      </c>
    </row>
    <row r="262" customFormat="false" ht="15" hidden="false" customHeight="false" outlineLevel="0" collapsed="false">
      <c r="I262" s="24" t="str">
        <f aca="false">IF($D262="","",IFERROR(INDEX(Workers!$B$5:$B$2004,MATCH($D262,Workers!$A$5:$A$2004,0)),"NOT FOUND"))</f>
        <v/>
      </c>
      <c r="J262" s="24" t="str">
        <f aca="false">IF($D262="","",IFERROR(INDEX(Workers!$C$5:$C$2004,MATCH($D262,Workers!$A$5:$A$2004,0)),""))</f>
        <v/>
      </c>
      <c r="K262" s="24" t="str">
        <f aca="false">IF($D262="","",IFERROR(IF(INDEX(Workers!$D$5:$D$2004,MATCH($D262,Workers!$A$5:$A$2004,0))=0,"",INDEX(Workers!$D$5:$D$2004,MATCH($D262,Workers!$A$5:$A$2004,0))),""))</f>
        <v/>
      </c>
      <c r="L262" s="24" t="str">
        <f aca="false">IF($D262="","",IFERROR(INDEX(Workers!$E$5:$E$2004,MATCH($D262,Workers!$A$5:$A$2004,0)),""))</f>
        <v/>
      </c>
      <c r="M262" s="26" t="str">
        <f aca="false">IF($D262="","",IFERROR(INDEX(ClientRates!$D$5:$D$500,MATCH($B262&amp;"|"&amp;$L262,ClientRates!$A$5:$A$500,0)),0))</f>
        <v/>
      </c>
      <c r="N262" s="26" t="str">
        <f aca="false">IF($D262="","",IFERROR(INDEX(ClientRates!$E$5:$E$500,MATCH($B262&amp;"|"&amp;$L262,ClientRates!$A$5:$A$500,0)),0))</f>
        <v/>
      </c>
      <c r="O262" s="26" t="str">
        <f aca="false">IF($D262="","",F262*M262+G262*N262)</f>
        <v/>
      </c>
      <c r="P262" s="26" t="str">
        <f aca="false">IF(OR($D262="",$J262&lt;&gt;"Supplier"),"",IFERROR(INDEX(SupplierRates!$D$5:$D$500,MATCH($K262&amp;"|"&amp;$L262,SupplierRates!$A$5:$A$500,0)),0))</f>
        <v/>
      </c>
      <c r="Q262" s="26" t="str">
        <f aca="false">IF(OR($D262="",$J262&lt;&gt;"Supplier"),"",IFERROR(INDEX(SupplierRates!$E$5:$E$500,MATCH($K262&amp;"|"&amp;$L262,SupplierRates!$A$5:$A$500,0)),0))</f>
        <v/>
      </c>
      <c r="R262" s="26" t="n">
        <f aca="false">IF(OR($D262="",$J262&lt;&gt;"Supplier"),0,F262*P262+G262*Q262)</f>
        <v>0</v>
      </c>
      <c r="S262" s="26" t="n">
        <f aca="false">IF(OR($D262="",$J262&lt;&gt;"Own"),0,IFERROR((F262+G262*Settings!$B$13)*INDEX(Workers!$V$5:$V$2004,MATCH($D262,Workers!$A$5:$A$2004,0)),0))</f>
        <v>0</v>
      </c>
      <c r="T262" s="26" t="str">
        <f aca="false">IF($D262="","",O262-R262-S262)</f>
        <v/>
      </c>
    </row>
    <row r="263" customFormat="false" ht="15" hidden="false" customHeight="false" outlineLevel="0" collapsed="false">
      <c r="I263" s="24" t="str">
        <f aca="false">IF($D263="","",IFERROR(INDEX(Workers!$B$5:$B$2004,MATCH($D263,Workers!$A$5:$A$2004,0)),"NOT FOUND"))</f>
        <v/>
      </c>
      <c r="J263" s="24" t="str">
        <f aca="false">IF($D263="","",IFERROR(INDEX(Workers!$C$5:$C$2004,MATCH($D263,Workers!$A$5:$A$2004,0)),""))</f>
        <v/>
      </c>
      <c r="K263" s="24" t="str">
        <f aca="false">IF($D263="","",IFERROR(IF(INDEX(Workers!$D$5:$D$2004,MATCH($D263,Workers!$A$5:$A$2004,0))=0,"",INDEX(Workers!$D$5:$D$2004,MATCH($D263,Workers!$A$5:$A$2004,0))),""))</f>
        <v/>
      </c>
      <c r="L263" s="24" t="str">
        <f aca="false">IF($D263="","",IFERROR(INDEX(Workers!$E$5:$E$2004,MATCH($D263,Workers!$A$5:$A$2004,0)),""))</f>
        <v/>
      </c>
      <c r="M263" s="26" t="str">
        <f aca="false">IF($D263="","",IFERROR(INDEX(ClientRates!$D$5:$D$500,MATCH($B263&amp;"|"&amp;$L263,ClientRates!$A$5:$A$500,0)),0))</f>
        <v/>
      </c>
      <c r="N263" s="26" t="str">
        <f aca="false">IF($D263="","",IFERROR(INDEX(ClientRates!$E$5:$E$500,MATCH($B263&amp;"|"&amp;$L263,ClientRates!$A$5:$A$500,0)),0))</f>
        <v/>
      </c>
      <c r="O263" s="26" t="str">
        <f aca="false">IF($D263="","",F263*M263+G263*N263)</f>
        <v/>
      </c>
      <c r="P263" s="26" t="str">
        <f aca="false">IF(OR($D263="",$J263&lt;&gt;"Supplier"),"",IFERROR(INDEX(SupplierRates!$D$5:$D$500,MATCH($K263&amp;"|"&amp;$L263,SupplierRates!$A$5:$A$500,0)),0))</f>
        <v/>
      </c>
      <c r="Q263" s="26" t="str">
        <f aca="false">IF(OR($D263="",$J263&lt;&gt;"Supplier"),"",IFERROR(INDEX(SupplierRates!$E$5:$E$500,MATCH($K263&amp;"|"&amp;$L263,SupplierRates!$A$5:$A$500,0)),0))</f>
        <v/>
      </c>
      <c r="R263" s="26" t="n">
        <f aca="false">IF(OR($D263="",$J263&lt;&gt;"Supplier"),0,F263*P263+G263*Q263)</f>
        <v>0</v>
      </c>
      <c r="S263" s="26" t="n">
        <f aca="false">IF(OR($D263="",$J263&lt;&gt;"Own"),0,IFERROR((F263+G263*Settings!$B$13)*INDEX(Workers!$V$5:$V$2004,MATCH($D263,Workers!$A$5:$A$2004,0)),0))</f>
        <v>0</v>
      </c>
      <c r="T263" s="26" t="str">
        <f aca="false">IF($D263="","",O263-R263-S263)</f>
        <v/>
      </c>
    </row>
    <row r="264" customFormat="false" ht="15" hidden="false" customHeight="false" outlineLevel="0" collapsed="false">
      <c r="I264" s="24" t="str">
        <f aca="false">IF($D264="","",IFERROR(INDEX(Workers!$B$5:$B$2004,MATCH($D264,Workers!$A$5:$A$2004,0)),"NOT FOUND"))</f>
        <v/>
      </c>
      <c r="J264" s="24" t="str">
        <f aca="false">IF($D264="","",IFERROR(INDEX(Workers!$C$5:$C$2004,MATCH($D264,Workers!$A$5:$A$2004,0)),""))</f>
        <v/>
      </c>
      <c r="K264" s="24" t="str">
        <f aca="false">IF($D264="","",IFERROR(IF(INDEX(Workers!$D$5:$D$2004,MATCH($D264,Workers!$A$5:$A$2004,0))=0,"",INDEX(Workers!$D$5:$D$2004,MATCH($D264,Workers!$A$5:$A$2004,0))),""))</f>
        <v/>
      </c>
      <c r="L264" s="24" t="str">
        <f aca="false">IF($D264="","",IFERROR(INDEX(Workers!$E$5:$E$2004,MATCH($D264,Workers!$A$5:$A$2004,0)),""))</f>
        <v/>
      </c>
      <c r="M264" s="26" t="str">
        <f aca="false">IF($D264="","",IFERROR(INDEX(ClientRates!$D$5:$D$500,MATCH($B264&amp;"|"&amp;$L264,ClientRates!$A$5:$A$500,0)),0))</f>
        <v/>
      </c>
      <c r="N264" s="26" t="str">
        <f aca="false">IF($D264="","",IFERROR(INDEX(ClientRates!$E$5:$E$500,MATCH($B264&amp;"|"&amp;$L264,ClientRates!$A$5:$A$500,0)),0))</f>
        <v/>
      </c>
      <c r="O264" s="26" t="str">
        <f aca="false">IF($D264="","",F264*M264+G264*N264)</f>
        <v/>
      </c>
      <c r="P264" s="26" t="str">
        <f aca="false">IF(OR($D264="",$J264&lt;&gt;"Supplier"),"",IFERROR(INDEX(SupplierRates!$D$5:$D$500,MATCH($K264&amp;"|"&amp;$L264,SupplierRates!$A$5:$A$500,0)),0))</f>
        <v/>
      </c>
      <c r="Q264" s="26" t="str">
        <f aca="false">IF(OR($D264="",$J264&lt;&gt;"Supplier"),"",IFERROR(INDEX(SupplierRates!$E$5:$E$500,MATCH($K264&amp;"|"&amp;$L264,SupplierRates!$A$5:$A$500,0)),0))</f>
        <v/>
      </c>
      <c r="R264" s="26" t="n">
        <f aca="false">IF(OR($D264="",$J264&lt;&gt;"Supplier"),0,F264*P264+G264*Q264)</f>
        <v>0</v>
      </c>
      <c r="S264" s="26" t="n">
        <f aca="false">IF(OR($D264="",$J264&lt;&gt;"Own"),0,IFERROR((F264+G264*Settings!$B$13)*INDEX(Workers!$V$5:$V$2004,MATCH($D264,Workers!$A$5:$A$2004,0)),0))</f>
        <v>0</v>
      </c>
      <c r="T264" s="26" t="str">
        <f aca="false">IF($D264="","",O264-R264-S264)</f>
        <v/>
      </c>
    </row>
    <row r="265" customFormat="false" ht="15" hidden="false" customHeight="false" outlineLevel="0" collapsed="false">
      <c r="I265" s="24" t="str">
        <f aca="false">IF($D265="","",IFERROR(INDEX(Workers!$B$5:$B$2004,MATCH($D265,Workers!$A$5:$A$2004,0)),"NOT FOUND"))</f>
        <v/>
      </c>
      <c r="J265" s="24" t="str">
        <f aca="false">IF($D265="","",IFERROR(INDEX(Workers!$C$5:$C$2004,MATCH($D265,Workers!$A$5:$A$2004,0)),""))</f>
        <v/>
      </c>
      <c r="K265" s="24" t="str">
        <f aca="false">IF($D265="","",IFERROR(IF(INDEX(Workers!$D$5:$D$2004,MATCH($D265,Workers!$A$5:$A$2004,0))=0,"",INDEX(Workers!$D$5:$D$2004,MATCH($D265,Workers!$A$5:$A$2004,0))),""))</f>
        <v/>
      </c>
      <c r="L265" s="24" t="str">
        <f aca="false">IF($D265="","",IFERROR(INDEX(Workers!$E$5:$E$2004,MATCH($D265,Workers!$A$5:$A$2004,0)),""))</f>
        <v/>
      </c>
      <c r="M265" s="26" t="str">
        <f aca="false">IF($D265="","",IFERROR(INDEX(ClientRates!$D$5:$D$500,MATCH($B265&amp;"|"&amp;$L265,ClientRates!$A$5:$A$500,0)),0))</f>
        <v/>
      </c>
      <c r="N265" s="26" t="str">
        <f aca="false">IF($D265="","",IFERROR(INDEX(ClientRates!$E$5:$E$500,MATCH($B265&amp;"|"&amp;$L265,ClientRates!$A$5:$A$500,0)),0))</f>
        <v/>
      </c>
      <c r="O265" s="26" t="str">
        <f aca="false">IF($D265="","",F265*M265+G265*N265)</f>
        <v/>
      </c>
      <c r="P265" s="26" t="str">
        <f aca="false">IF(OR($D265="",$J265&lt;&gt;"Supplier"),"",IFERROR(INDEX(SupplierRates!$D$5:$D$500,MATCH($K265&amp;"|"&amp;$L265,SupplierRates!$A$5:$A$500,0)),0))</f>
        <v/>
      </c>
      <c r="Q265" s="26" t="str">
        <f aca="false">IF(OR($D265="",$J265&lt;&gt;"Supplier"),"",IFERROR(INDEX(SupplierRates!$E$5:$E$500,MATCH($K265&amp;"|"&amp;$L265,SupplierRates!$A$5:$A$500,0)),0))</f>
        <v/>
      </c>
      <c r="R265" s="26" t="n">
        <f aca="false">IF(OR($D265="",$J265&lt;&gt;"Supplier"),0,F265*P265+G265*Q265)</f>
        <v>0</v>
      </c>
      <c r="S265" s="26" t="n">
        <f aca="false">IF(OR($D265="",$J265&lt;&gt;"Own"),0,IFERROR((F265+G265*Settings!$B$13)*INDEX(Workers!$V$5:$V$2004,MATCH($D265,Workers!$A$5:$A$2004,0)),0))</f>
        <v>0</v>
      </c>
      <c r="T265" s="26" t="str">
        <f aca="false">IF($D265="","",O265-R265-S265)</f>
        <v/>
      </c>
    </row>
    <row r="266" customFormat="false" ht="15" hidden="false" customHeight="false" outlineLevel="0" collapsed="false">
      <c r="I266" s="24" t="str">
        <f aca="false">IF($D266="","",IFERROR(INDEX(Workers!$B$5:$B$2004,MATCH($D266,Workers!$A$5:$A$2004,0)),"NOT FOUND"))</f>
        <v/>
      </c>
      <c r="J266" s="24" t="str">
        <f aca="false">IF($D266="","",IFERROR(INDEX(Workers!$C$5:$C$2004,MATCH($D266,Workers!$A$5:$A$2004,0)),""))</f>
        <v/>
      </c>
      <c r="K266" s="24" t="str">
        <f aca="false">IF($D266="","",IFERROR(IF(INDEX(Workers!$D$5:$D$2004,MATCH($D266,Workers!$A$5:$A$2004,0))=0,"",INDEX(Workers!$D$5:$D$2004,MATCH($D266,Workers!$A$5:$A$2004,0))),""))</f>
        <v/>
      </c>
      <c r="L266" s="24" t="str">
        <f aca="false">IF($D266="","",IFERROR(INDEX(Workers!$E$5:$E$2004,MATCH($D266,Workers!$A$5:$A$2004,0)),""))</f>
        <v/>
      </c>
      <c r="M266" s="26" t="str">
        <f aca="false">IF($D266="","",IFERROR(INDEX(ClientRates!$D$5:$D$500,MATCH($B266&amp;"|"&amp;$L266,ClientRates!$A$5:$A$500,0)),0))</f>
        <v/>
      </c>
      <c r="N266" s="26" t="str">
        <f aca="false">IF($D266="","",IFERROR(INDEX(ClientRates!$E$5:$E$500,MATCH($B266&amp;"|"&amp;$L266,ClientRates!$A$5:$A$500,0)),0))</f>
        <v/>
      </c>
      <c r="O266" s="26" t="str">
        <f aca="false">IF($D266="","",F266*M266+G266*N266)</f>
        <v/>
      </c>
      <c r="P266" s="26" t="str">
        <f aca="false">IF(OR($D266="",$J266&lt;&gt;"Supplier"),"",IFERROR(INDEX(SupplierRates!$D$5:$D$500,MATCH($K266&amp;"|"&amp;$L266,SupplierRates!$A$5:$A$500,0)),0))</f>
        <v/>
      </c>
      <c r="Q266" s="26" t="str">
        <f aca="false">IF(OR($D266="",$J266&lt;&gt;"Supplier"),"",IFERROR(INDEX(SupplierRates!$E$5:$E$500,MATCH($K266&amp;"|"&amp;$L266,SupplierRates!$A$5:$A$500,0)),0))</f>
        <v/>
      </c>
      <c r="R266" s="26" t="n">
        <f aca="false">IF(OR($D266="",$J266&lt;&gt;"Supplier"),0,F266*P266+G266*Q266)</f>
        <v>0</v>
      </c>
      <c r="S266" s="26" t="n">
        <f aca="false">IF(OR($D266="",$J266&lt;&gt;"Own"),0,IFERROR((F266+G266*Settings!$B$13)*INDEX(Workers!$V$5:$V$2004,MATCH($D266,Workers!$A$5:$A$2004,0)),0))</f>
        <v>0</v>
      </c>
      <c r="T266" s="26" t="str">
        <f aca="false">IF($D266="","",O266-R266-S266)</f>
        <v/>
      </c>
    </row>
    <row r="267" customFormat="false" ht="15" hidden="false" customHeight="false" outlineLevel="0" collapsed="false">
      <c r="I267" s="24" t="str">
        <f aca="false">IF($D267="","",IFERROR(INDEX(Workers!$B$5:$B$2004,MATCH($D267,Workers!$A$5:$A$2004,0)),"NOT FOUND"))</f>
        <v/>
      </c>
      <c r="J267" s="24" t="str">
        <f aca="false">IF($D267="","",IFERROR(INDEX(Workers!$C$5:$C$2004,MATCH($D267,Workers!$A$5:$A$2004,0)),""))</f>
        <v/>
      </c>
      <c r="K267" s="24" t="str">
        <f aca="false">IF($D267="","",IFERROR(IF(INDEX(Workers!$D$5:$D$2004,MATCH($D267,Workers!$A$5:$A$2004,0))=0,"",INDEX(Workers!$D$5:$D$2004,MATCH($D267,Workers!$A$5:$A$2004,0))),""))</f>
        <v/>
      </c>
      <c r="L267" s="24" t="str">
        <f aca="false">IF($D267="","",IFERROR(INDEX(Workers!$E$5:$E$2004,MATCH($D267,Workers!$A$5:$A$2004,0)),""))</f>
        <v/>
      </c>
      <c r="M267" s="26" t="str">
        <f aca="false">IF($D267="","",IFERROR(INDEX(ClientRates!$D$5:$D$500,MATCH($B267&amp;"|"&amp;$L267,ClientRates!$A$5:$A$500,0)),0))</f>
        <v/>
      </c>
      <c r="N267" s="26" t="str">
        <f aca="false">IF($D267="","",IFERROR(INDEX(ClientRates!$E$5:$E$500,MATCH($B267&amp;"|"&amp;$L267,ClientRates!$A$5:$A$500,0)),0))</f>
        <v/>
      </c>
      <c r="O267" s="26" t="str">
        <f aca="false">IF($D267="","",F267*M267+G267*N267)</f>
        <v/>
      </c>
      <c r="P267" s="26" t="str">
        <f aca="false">IF(OR($D267="",$J267&lt;&gt;"Supplier"),"",IFERROR(INDEX(SupplierRates!$D$5:$D$500,MATCH($K267&amp;"|"&amp;$L267,SupplierRates!$A$5:$A$500,0)),0))</f>
        <v/>
      </c>
      <c r="Q267" s="26" t="str">
        <f aca="false">IF(OR($D267="",$J267&lt;&gt;"Supplier"),"",IFERROR(INDEX(SupplierRates!$E$5:$E$500,MATCH($K267&amp;"|"&amp;$L267,SupplierRates!$A$5:$A$500,0)),0))</f>
        <v/>
      </c>
      <c r="R267" s="26" t="n">
        <f aca="false">IF(OR($D267="",$J267&lt;&gt;"Supplier"),0,F267*P267+G267*Q267)</f>
        <v>0</v>
      </c>
      <c r="S267" s="26" t="n">
        <f aca="false">IF(OR($D267="",$J267&lt;&gt;"Own"),0,IFERROR((F267+G267*Settings!$B$13)*INDEX(Workers!$V$5:$V$2004,MATCH($D267,Workers!$A$5:$A$2004,0)),0))</f>
        <v>0</v>
      </c>
      <c r="T267" s="26" t="str">
        <f aca="false">IF($D267="","",O267-R267-S267)</f>
        <v/>
      </c>
    </row>
    <row r="268" customFormat="false" ht="15" hidden="false" customHeight="false" outlineLevel="0" collapsed="false">
      <c r="I268" s="24" t="str">
        <f aca="false">IF($D268="","",IFERROR(INDEX(Workers!$B$5:$B$2004,MATCH($D268,Workers!$A$5:$A$2004,0)),"NOT FOUND"))</f>
        <v/>
      </c>
      <c r="J268" s="24" t="str">
        <f aca="false">IF($D268="","",IFERROR(INDEX(Workers!$C$5:$C$2004,MATCH($D268,Workers!$A$5:$A$2004,0)),""))</f>
        <v/>
      </c>
      <c r="K268" s="24" t="str">
        <f aca="false">IF($D268="","",IFERROR(IF(INDEX(Workers!$D$5:$D$2004,MATCH($D268,Workers!$A$5:$A$2004,0))=0,"",INDEX(Workers!$D$5:$D$2004,MATCH($D268,Workers!$A$5:$A$2004,0))),""))</f>
        <v/>
      </c>
      <c r="L268" s="24" t="str">
        <f aca="false">IF($D268="","",IFERROR(INDEX(Workers!$E$5:$E$2004,MATCH($D268,Workers!$A$5:$A$2004,0)),""))</f>
        <v/>
      </c>
      <c r="M268" s="26" t="str">
        <f aca="false">IF($D268="","",IFERROR(INDEX(ClientRates!$D$5:$D$500,MATCH($B268&amp;"|"&amp;$L268,ClientRates!$A$5:$A$500,0)),0))</f>
        <v/>
      </c>
      <c r="N268" s="26" t="str">
        <f aca="false">IF($D268="","",IFERROR(INDEX(ClientRates!$E$5:$E$500,MATCH($B268&amp;"|"&amp;$L268,ClientRates!$A$5:$A$500,0)),0))</f>
        <v/>
      </c>
      <c r="O268" s="26" t="str">
        <f aca="false">IF($D268="","",F268*M268+G268*N268)</f>
        <v/>
      </c>
      <c r="P268" s="26" t="str">
        <f aca="false">IF(OR($D268="",$J268&lt;&gt;"Supplier"),"",IFERROR(INDEX(SupplierRates!$D$5:$D$500,MATCH($K268&amp;"|"&amp;$L268,SupplierRates!$A$5:$A$500,0)),0))</f>
        <v/>
      </c>
      <c r="Q268" s="26" t="str">
        <f aca="false">IF(OR($D268="",$J268&lt;&gt;"Supplier"),"",IFERROR(INDEX(SupplierRates!$E$5:$E$500,MATCH($K268&amp;"|"&amp;$L268,SupplierRates!$A$5:$A$500,0)),0))</f>
        <v/>
      </c>
      <c r="R268" s="26" t="n">
        <f aca="false">IF(OR($D268="",$J268&lt;&gt;"Supplier"),0,F268*P268+G268*Q268)</f>
        <v>0</v>
      </c>
      <c r="S268" s="26" t="n">
        <f aca="false">IF(OR($D268="",$J268&lt;&gt;"Own"),0,IFERROR((F268+G268*Settings!$B$13)*INDEX(Workers!$V$5:$V$2004,MATCH($D268,Workers!$A$5:$A$2004,0)),0))</f>
        <v>0</v>
      </c>
      <c r="T268" s="26" t="str">
        <f aca="false">IF($D268="","",O268-R268-S268)</f>
        <v/>
      </c>
    </row>
    <row r="269" customFormat="false" ht="15" hidden="false" customHeight="false" outlineLevel="0" collapsed="false">
      <c r="I269" s="24" t="str">
        <f aca="false">IF($D269="","",IFERROR(INDEX(Workers!$B$5:$B$2004,MATCH($D269,Workers!$A$5:$A$2004,0)),"NOT FOUND"))</f>
        <v/>
      </c>
      <c r="J269" s="24" t="str">
        <f aca="false">IF($D269="","",IFERROR(INDEX(Workers!$C$5:$C$2004,MATCH($D269,Workers!$A$5:$A$2004,0)),""))</f>
        <v/>
      </c>
      <c r="K269" s="24" t="str">
        <f aca="false">IF($D269="","",IFERROR(IF(INDEX(Workers!$D$5:$D$2004,MATCH($D269,Workers!$A$5:$A$2004,0))=0,"",INDEX(Workers!$D$5:$D$2004,MATCH($D269,Workers!$A$5:$A$2004,0))),""))</f>
        <v/>
      </c>
      <c r="L269" s="24" t="str">
        <f aca="false">IF($D269="","",IFERROR(INDEX(Workers!$E$5:$E$2004,MATCH($D269,Workers!$A$5:$A$2004,0)),""))</f>
        <v/>
      </c>
      <c r="M269" s="26" t="str">
        <f aca="false">IF($D269="","",IFERROR(INDEX(ClientRates!$D$5:$D$500,MATCH($B269&amp;"|"&amp;$L269,ClientRates!$A$5:$A$500,0)),0))</f>
        <v/>
      </c>
      <c r="N269" s="26" t="str">
        <f aca="false">IF($D269="","",IFERROR(INDEX(ClientRates!$E$5:$E$500,MATCH($B269&amp;"|"&amp;$L269,ClientRates!$A$5:$A$500,0)),0))</f>
        <v/>
      </c>
      <c r="O269" s="26" t="str">
        <f aca="false">IF($D269="","",F269*M269+G269*N269)</f>
        <v/>
      </c>
      <c r="P269" s="26" t="str">
        <f aca="false">IF(OR($D269="",$J269&lt;&gt;"Supplier"),"",IFERROR(INDEX(SupplierRates!$D$5:$D$500,MATCH($K269&amp;"|"&amp;$L269,SupplierRates!$A$5:$A$500,0)),0))</f>
        <v/>
      </c>
      <c r="Q269" s="26" t="str">
        <f aca="false">IF(OR($D269="",$J269&lt;&gt;"Supplier"),"",IFERROR(INDEX(SupplierRates!$E$5:$E$500,MATCH($K269&amp;"|"&amp;$L269,SupplierRates!$A$5:$A$500,0)),0))</f>
        <v/>
      </c>
      <c r="R269" s="26" t="n">
        <f aca="false">IF(OR($D269="",$J269&lt;&gt;"Supplier"),0,F269*P269+G269*Q269)</f>
        <v>0</v>
      </c>
      <c r="S269" s="26" t="n">
        <f aca="false">IF(OR($D269="",$J269&lt;&gt;"Own"),0,IFERROR((F269+G269*Settings!$B$13)*INDEX(Workers!$V$5:$V$2004,MATCH($D269,Workers!$A$5:$A$2004,0)),0))</f>
        <v>0</v>
      </c>
      <c r="T269" s="26" t="str">
        <f aca="false">IF($D269="","",O269-R269-S269)</f>
        <v/>
      </c>
    </row>
    <row r="270" customFormat="false" ht="15" hidden="false" customHeight="false" outlineLevel="0" collapsed="false">
      <c r="I270" s="24" t="str">
        <f aca="false">IF($D270="","",IFERROR(INDEX(Workers!$B$5:$B$2004,MATCH($D270,Workers!$A$5:$A$2004,0)),"NOT FOUND"))</f>
        <v/>
      </c>
      <c r="J270" s="24" t="str">
        <f aca="false">IF($D270="","",IFERROR(INDEX(Workers!$C$5:$C$2004,MATCH($D270,Workers!$A$5:$A$2004,0)),""))</f>
        <v/>
      </c>
      <c r="K270" s="24" t="str">
        <f aca="false">IF($D270="","",IFERROR(IF(INDEX(Workers!$D$5:$D$2004,MATCH($D270,Workers!$A$5:$A$2004,0))=0,"",INDEX(Workers!$D$5:$D$2004,MATCH($D270,Workers!$A$5:$A$2004,0))),""))</f>
        <v/>
      </c>
      <c r="L270" s="24" t="str">
        <f aca="false">IF($D270="","",IFERROR(INDEX(Workers!$E$5:$E$2004,MATCH($D270,Workers!$A$5:$A$2004,0)),""))</f>
        <v/>
      </c>
      <c r="M270" s="26" t="str">
        <f aca="false">IF($D270="","",IFERROR(INDEX(ClientRates!$D$5:$D$500,MATCH($B270&amp;"|"&amp;$L270,ClientRates!$A$5:$A$500,0)),0))</f>
        <v/>
      </c>
      <c r="N270" s="26" t="str">
        <f aca="false">IF($D270="","",IFERROR(INDEX(ClientRates!$E$5:$E$500,MATCH($B270&amp;"|"&amp;$L270,ClientRates!$A$5:$A$500,0)),0))</f>
        <v/>
      </c>
      <c r="O270" s="26" t="str">
        <f aca="false">IF($D270="","",F270*M270+G270*N270)</f>
        <v/>
      </c>
      <c r="P270" s="26" t="str">
        <f aca="false">IF(OR($D270="",$J270&lt;&gt;"Supplier"),"",IFERROR(INDEX(SupplierRates!$D$5:$D$500,MATCH($K270&amp;"|"&amp;$L270,SupplierRates!$A$5:$A$500,0)),0))</f>
        <v/>
      </c>
      <c r="Q270" s="26" t="str">
        <f aca="false">IF(OR($D270="",$J270&lt;&gt;"Supplier"),"",IFERROR(INDEX(SupplierRates!$E$5:$E$500,MATCH($K270&amp;"|"&amp;$L270,SupplierRates!$A$5:$A$500,0)),0))</f>
        <v/>
      </c>
      <c r="R270" s="26" t="n">
        <f aca="false">IF(OR($D270="",$J270&lt;&gt;"Supplier"),0,F270*P270+G270*Q270)</f>
        <v>0</v>
      </c>
      <c r="S270" s="26" t="n">
        <f aca="false">IF(OR($D270="",$J270&lt;&gt;"Own"),0,IFERROR((F270+G270*Settings!$B$13)*INDEX(Workers!$V$5:$V$2004,MATCH($D270,Workers!$A$5:$A$2004,0)),0))</f>
        <v>0</v>
      </c>
      <c r="T270" s="26" t="str">
        <f aca="false">IF($D270="","",O270-R270-S270)</f>
        <v/>
      </c>
    </row>
    <row r="271" customFormat="false" ht="15" hidden="false" customHeight="false" outlineLevel="0" collapsed="false">
      <c r="I271" s="24" t="str">
        <f aca="false">IF($D271="","",IFERROR(INDEX(Workers!$B$5:$B$2004,MATCH($D271,Workers!$A$5:$A$2004,0)),"NOT FOUND"))</f>
        <v/>
      </c>
      <c r="J271" s="24" t="str">
        <f aca="false">IF($D271="","",IFERROR(INDEX(Workers!$C$5:$C$2004,MATCH($D271,Workers!$A$5:$A$2004,0)),""))</f>
        <v/>
      </c>
      <c r="K271" s="24" t="str">
        <f aca="false">IF($D271="","",IFERROR(IF(INDEX(Workers!$D$5:$D$2004,MATCH($D271,Workers!$A$5:$A$2004,0))=0,"",INDEX(Workers!$D$5:$D$2004,MATCH($D271,Workers!$A$5:$A$2004,0))),""))</f>
        <v/>
      </c>
      <c r="L271" s="24" t="str">
        <f aca="false">IF($D271="","",IFERROR(INDEX(Workers!$E$5:$E$2004,MATCH($D271,Workers!$A$5:$A$2004,0)),""))</f>
        <v/>
      </c>
      <c r="M271" s="26" t="str">
        <f aca="false">IF($D271="","",IFERROR(INDEX(ClientRates!$D$5:$D$500,MATCH($B271&amp;"|"&amp;$L271,ClientRates!$A$5:$A$500,0)),0))</f>
        <v/>
      </c>
      <c r="N271" s="26" t="str">
        <f aca="false">IF($D271="","",IFERROR(INDEX(ClientRates!$E$5:$E$500,MATCH($B271&amp;"|"&amp;$L271,ClientRates!$A$5:$A$500,0)),0))</f>
        <v/>
      </c>
      <c r="O271" s="26" t="str">
        <f aca="false">IF($D271="","",F271*M271+G271*N271)</f>
        <v/>
      </c>
      <c r="P271" s="26" t="str">
        <f aca="false">IF(OR($D271="",$J271&lt;&gt;"Supplier"),"",IFERROR(INDEX(SupplierRates!$D$5:$D$500,MATCH($K271&amp;"|"&amp;$L271,SupplierRates!$A$5:$A$500,0)),0))</f>
        <v/>
      </c>
      <c r="Q271" s="26" t="str">
        <f aca="false">IF(OR($D271="",$J271&lt;&gt;"Supplier"),"",IFERROR(INDEX(SupplierRates!$E$5:$E$500,MATCH($K271&amp;"|"&amp;$L271,SupplierRates!$A$5:$A$500,0)),0))</f>
        <v/>
      </c>
      <c r="R271" s="26" t="n">
        <f aca="false">IF(OR($D271="",$J271&lt;&gt;"Supplier"),0,F271*P271+G271*Q271)</f>
        <v>0</v>
      </c>
      <c r="S271" s="26" t="n">
        <f aca="false">IF(OR($D271="",$J271&lt;&gt;"Own"),0,IFERROR((F271+G271*Settings!$B$13)*INDEX(Workers!$V$5:$V$2004,MATCH($D271,Workers!$A$5:$A$2004,0)),0))</f>
        <v>0</v>
      </c>
      <c r="T271" s="26" t="str">
        <f aca="false">IF($D271="","",O271-R271-S271)</f>
        <v/>
      </c>
    </row>
    <row r="272" customFormat="false" ht="15" hidden="false" customHeight="false" outlineLevel="0" collapsed="false">
      <c r="I272" s="24" t="str">
        <f aca="false">IF($D272="","",IFERROR(INDEX(Workers!$B$5:$B$2004,MATCH($D272,Workers!$A$5:$A$2004,0)),"NOT FOUND"))</f>
        <v/>
      </c>
      <c r="J272" s="24" t="str">
        <f aca="false">IF($D272="","",IFERROR(INDEX(Workers!$C$5:$C$2004,MATCH($D272,Workers!$A$5:$A$2004,0)),""))</f>
        <v/>
      </c>
      <c r="K272" s="24" t="str">
        <f aca="false">IF($D272="","",IFERROR(IF(INDEX(Workers!$D$5:$D$2004,MATCH($D272,Workers!$A$5:$A$2004,0))=0,"",INDEX(Workers!$D$5:$D$2004,MATCH($D272,Workers!$A$5:$A$2004,0))),""))</f>
        <v/>
      </c>
      <c r="L272" s="24" t="str">
        <f aca="false">IF($D272="","",IFERROR(INDEX(Workers!$E$5:$E$2004,MATCH($D272,Workers!$A$5:$A$2004,0)),""))</f>
        <v/>
      </c>
      <c r="M272" s="26" t="str">
        <f aca="false">IF($D272="","",IFERROR(INDEX(ClientRates!$D$5:$D$500,MATCH($B272&amp;"|"&amp;$L272,ClientRates!$A$5:$A$500,0)),0))</f>
        <v/>
      </c>
      <c r="N272" s="26" t="str">
        <f aca="false">IF($D272="","",IFERROR(INDEX(ClientRates!$E$5:$E$500,MATCH($B272&amp;"|"&amp;$L272,ClientRates!$A$5:$A$500,0)),0))</f>
        <v/>
      </c>
      <c r="O272" s="26" t="str">
        <f aca="false">IF($D272="","",F272*M272+G272*N272)</f>
        <v/>
      </c>
      <c r="P272" s="26" t="str">
        <f aca="false">IF(OR($D272="",$J272&lt;&gt;"Supplier"),"",IFERROR(INDEX(SupplierRates!$D$5:$D$500,MATCH($K272&amp;"|"&amp;$L272,SupplierRates!$A$5:$A$500,0)),0))</f>
        <v/>
      </c>
      <c r="Q272" s="26" t="str">
        <f aca="false">IF(OR($D272="",$J272&lt;&gt;"Supplier"),"",IFERROR(INDEX(SupplierRates!$E$5:$E$500,MATCH($K272&amp;"|"&amp;$L272,SupplierRates!$A$5:$A$500,0)),0))</f>
        <v/>
      </c>
      <c r="R272" s="26" t="n">
        <f aca="false">IF(OR($D272="",$J272&lt;&gt;"Supplier"),0,F272*P272+G272*Q272)</f>
        <v>0</v>
      </c>
      <c r="S272" s="26" t="n">
        <f aca="false">IF(OR($D272="",$J272&lt;&gt;"Own"),0,IFERROR((F272+G272*Settings!$B$13)*INDEX(Workers!$V$5:$V$2004,MATCH($D272,Workers!$A$5:$A$2004,0)),0))</f>
        <v>0</v>
      </c>
      <c r="T272" s="26" t="str">
        <f aca="false">IF($D272="","",O272-R272-S272)</f>
        <v/>
      </c>
    </row>
    <row r="273" customFormat="false" ht="15" hidden="false" customHeight="false" outlineLevel="0" collapsed="false">
      <c r="I273" s="24" t="str">
        <f aca="false">IF($D273="","",IFERROR(INDEX(Workers!$B$5:$B$2004,MATCH($D273,Workers!$A$5:$A$2004,0)),"NOT FOUND"))</f>
        <v/>
      </c>
      <c r="J273" s="24" t="str">
        <f aca="false">IF($D273="","",IFERROR(INDEX(Workers!$C$5:$C$2004,MATCH($D273,Workers!$A$5:$A$2004,0)),""))</f>
        <v/>
      </c>
      <c r="K273" s="24" t="str">
        <f aca="false">IF($D273="","",IFERROR(IF(INDEX(Workers!$D$5:$D$2004,MATCH($D273,Workers!$A$5:$A$2004,0))=0,"",INDEX(Workers!$D$5:$D$2004,MATCH($D273,Workers!$A$5:$A$2004,0))),""))</f>
        <v/>
      </c>
      <c r="L273" s="24" t="str">
        <f aca="false">IF($D273="","",IFERROR(INDEX(Workers!$E$5:$E$2004,MATCH($D273,Workers!$A$5:$A$2004,0)),""))</f>
        <v/>
      </c>
      <c r="M273" s="26" t="str">
        <f aca="false">IF($D273="","",IFERROR(INDEX(ClientRates!$D$5:$D$500,MATCH($B273&amp;"|"&amp;$L273,ClientRates!$A$5:$A$500,0)),0))</f>
        <v/>
      </c>
      <c r="N273" s="26" t="str">
        <f aca="false">IF($D273="","",IFERROR(INDEX(ClientRates!$E$5:$E$500,MATCH($B273&amp;"|"&amp;$L273,ClientRates!$A$5:$A$500,0)),0))</f>
        <v/>
      </c>
      <c r="O273" s="26" t="str">
        <f aca="false">IF($D273="","",F273*M273+G273*N273)</f>
        <v/>
      </c>
      <c r="P273" s="26" t="str">
        <f aca="false">IF(OR($D273="",$J273&lt;&gt;"Supplier"),"",IFERROR(INDEX(SupplierRates!$D$5:$D$500,MATCH($K273&amp;"|"&amp;$L273,SupplierRates!$A$5:$A$500,0)),0))</f>
        <v/>
      </c>
      <c r="Q273" s="26" t="str">
        <f aca="false">IF(OR($D273="",$J273&lt;&gt;"Supplier"),"",IFERROR(INDEX(SupplierRates!$E$5:$E$500,MATCH($K273&amp;"|"&amp;$L273,SupplierRates!$A$5:$A$500,0)),0))</f>
        <v/>
      </c>
      <c r="R273" s="26" t="n">
        <f aca="false">IF(OR($D273="",$J273&lt;&gt;"Supplier"),0,F273*P273+G273*Q273)</f>
        <v>0</v>
      </c>
      <c r="S273" s="26" t="n">
        <f aca="false">IF(OR($D273="",$J273&lt;&gt;"Own"),0,IFERROR((F273+G273*Settings!$B$13)*INDEX(Workers!$V$5:$V$2004,MATCH($D273,Workers!$A$5:$A$2004,0)),0))</f>
        <v>0</v>
      </c>
      <c r="T273" s="26" t="str">
        <f aca="false">IF($D273="","",O273-R273-S273)</f>
        <v/>
      </c>
    </row>
    <row r="274" customFormat="false" ht="15" hidden="false" customHeight="false" outlineLevel="0" collapsed="false">
      <c r="I274" s="24" t="str">
        <f aca="false">IF($D274="","",IFERROR(INDEX(Workers!$B$5:$B$2004,MATCH($D274,Workers!$A$5:$A$2004,0)),"NOT FOUND"))</f>
        <v/>
      </c>
      <c r="J274" s="24" t="str">
        <f aca="false">IF($D274="","",IFERROR(INDEX(Workers!$C$5:$C$2004,MATCH($D274,Workers!$A$5:$A$2004,0)),""))</f>
        <v/>
      </c>
      <c r="K274" s="24" t="str">
        <f aca="false">IF($D274="","",IFERROR(IF(INDEX(Workers!$D$5:$D$2004,MATCH($D274,Workers!$A$5:$A$2004,0))=0,"",INDEX(Workers!$D$5:$D$2004,MATCH($D274,Workers!$A$5:$A$2004,0))),""))</f>
        <v/>
      </c>
      <c r="L274" s="24" t="str">
        <f aca="false">IF($D274="","",IFERROR(INDEX(Workers!$E$5:$E$2004,MATCH($D274,Workers!$A$5:$A$2004,0)),""))</f>
        <v/>
      </c>
      <c r="M274" s="26" t="str">
        <f aca="false">IF($D274="","",IFERROR(INDEX(ClientRates!$D$5:$D$500,MATCH($B274&amp;"|"&amp;$L274,ClientRates!$A$5:$A$500,0)),0))</f>
        <v/>
      </c>
      <c r="N274" s="26" t="str">
        <f aca="false">IF($D274="","",IFERROR(INDEX(ClientRates!$E$5:$E$500,MATCH($B274&amp;"|"&amp;$L274,ClientRates!$A$5:$A$500,0)),0))</f>
        <v/>
      </c>
      <c r="O274" s="26" t="str">
        <f aca="false">IF($D274="","",F274*M274+G274*N274)</f>
        <v/>
      </c>
      <c r="P274" s="26" t="str">
        <f aca="false">IF(OR($D274="",$J274&lt;&gt;"Supplier"),"",IFERROR(INDEX(SupplierRates!$D$5:$D$500,MATCH($K274&amp;"|"&amp;$L274,SupplierRates!$A$5:$A$500,0)),0))</f>
        <v/>
      </c>
      <c r="Q274" s="26" t="str">
        <f aca="false">IF(OR($D274="",$J274&lt;&gt;"Supplier"),"",IFERROR(INDEX(SupplierRates!$E$5:$E$500,MATCH($K274&amp;"|"&amp;$L274,SupplierRates!$A$5:$A$500,0)),0))</f>
        <v/>
      </c>
      <c r="R274" s="26" t="n">
        <f aca="false">IF(OR($D274="",$J274&lt;&gt;"Supplier"),0,F274*P274+G274*Q274)</f>
        <v>0</v>
      </c>
      <c r="S274" s="26" t="n">
        <f aca="false">IF(OR($D274="",$J274&lt;&gt;"Own"),0,IFERROR((F274+G274*Settings!$B$13)*INDEX(Workers!$V$5:$V$2004,MATCH($D274,Workers!$A$5:$A$2004,0)),0))</f>
        <v>0</v>
      </c>
      <c r="T274" s="26" t="str">
        <f aca="false">IF($D274="","",O274-R274-S274)</f>
        <v/>
      </c>
    </row>
    <row r="275" customFormat="false" ht="15" hidden="false" customHeight="false" outlineLevel="0" collapsed="false">
      <c r="I275" s="24" t="str">
        <f aca="false">IF($D275="","",IFERROR(INDEX(Workers!$B$5:$B$2004,MATCH($D275,Workers!$A$5:$A$2004,0)),"NOT FOUND"))</f>
        <v/>
      </c>
      <c r="J275" s="24" t="str">
        <f aca="false">IF($D275="","",IFERROR(INDEX(Workers!$C$5:$C$2004,MATCH($D275,Workers!$A$5:$A$2004,0)),""))</f>
        <v/>
      </c>
      <c r="K275" s="24" t="str">
        <f aca="false">IF($D275="","",IFERROR(IF(INDEX(Workers!$D$5:$D$2004,MATCH($D275,Workers!$A$5:$A$2004,0))=0,"",INDEX(Workers!$D$5:$D$2004,MATCH($D275,Workers!$A$5:$A$2004,0))),""))</f>
        <v/>
      </c>
      <c r="L275" s="24" t="str">
        <f aca="false">IF($D275="","",IFERROR(INDEX(Workers!$E$5:$E$2004,MATCH($D275,Workers!$A$5:$A$2004,0)),""))</f>
        <v/>
      </c>
      <c r="M275" s="26" t="str">
        <f aca="false">IF($D275="","",IFERROR(INDEX(ClientRates!$D$5:$D$500,MATCH($B275&amp;"|"&amp;$L275,ClientRates!$A$5:$A$500,0)),0))</f>
        <v/>
      </c>
      <c r="N275" s="26" t="str">
        <f aca="false">IF($D275="","",IFERROR(INDEX(ClientRates!$E$5:$E$500,MATCH($B275&amp;"|"&amp;$L275,ClientRates!$A$5:$A$500,0)),0))</f>
        <v/>
      </c>
      <c r="O275" s="26" t="str">
        <f aca="false">IF($D275="","",F275*M275+G275*N275)</f>
        <v/>
      </c>
      <c r="P275" s="26" t="str">
        <f aca="false">IF(OR($D275="",$J275&lt;&gt;"Supplier"),"",IFERROR(INDEX(SupplierRates!$D$5:$D$500,MATCH($K275&amp;"|"&amp;$L275,SupplierRates!$A$5:$A$500,0)),0))</f>
        <v/>
      </c>
      <c r="Q275" s="26" t="str">
        <f aca="false">IF(OR($D275="",$J275&lt;&gt;"Supplier"),"",IFERROR(INDEX(SupplierRates!$E$5:$E$500,MATCH($K275&amp;"|"&amp;$L275,SupplierRates!$A$5:$A$500,0)),0))</f>
        <v/>
      </c>
      <c r="R275" s="26" t="n">
        <f aca="false">IF(OR($D275="",$J275&lt;&gt;"Supplier"),0,F275*P275+G275*Q275)</f>
        <v>0</v>
      </c>
      <c r="S275" s="26" t="n">
        <f aca="false">IF(OR($D275="",$J275&lt;&gt;"Own"),0,IFERROR((F275+G275*Settings!$B$13)*INDEX(Workers!$V$5:$V$2004,MATCH($D275,Workers!$A$5:$A$2004,0)),0))</f>
        <v>0</v>
      </c>
      <c r="T275" s="26" t="str">
        <f aca="false">IF($D275="","",O275-R275-S275)</f>
        <v/>
      </c>
    </row>
    <row r="276" customFormat="false" ht="15" hidden="false" customHeight="false" outlineLevel="0" collapsed="false">
      <c r="I276" s="24" t="str">
        <f aca="false">IF($D276="","",IFERROR(INDEX(Workers!$B$5:$B$2004,MATCH($D276,Workers!$A$5:$A$2004,0)),"NOT FOUND"))</f>
        <v/>
      </c>
      <c r="J276" s="24" t="str">
        <f aca="false">IF($D276="","",IFERROR(INDEX(Workers!$C$5:$C$2004,MATCH($D276,Workers!$A$5:$A$2004,0)),""))</f>
        <v/>
      </c>
      <c r="K276" s="24" t="str">
        <f aca="false">IF($D276="","",IFERROR(IF(INDEX(Workers!$D$5:$D$2004,MATCH($D276,Workers!$A$5:$A$2004,0))=0,"",INDEX(Workers!$D$5:$D$2004,MATCH($D276,Workers!$A$5:$A$2004,0))),""))</f>
        <v/>
      </c>
      <c r="L276" s="24" t="str">
        <f aca="false">IF($D276="","",IFERROR(INDEX(Workers!$E$5:$E$2004,MATCH($D276,Workers!$A$5:$A$2004,0)),""))</f>
        <v/>
      </c>
      <c r="M276" s="26" t="str">
        <f aca="false">IF($D276="","",IFERROR(INDEX(ClientRates!$D$5:$D$500,MATCH($B276&amp;"|"&amp;$L276,ClientRates!$A$5:$A$500,0)),0))</f>
        <v/>
      </c>
      <c r="N276" s="26" t="str">
        <f aca="false">IF($D276="","",IFERROR(INDEX(ClientRates!$E$5:$E$500,MATCH($B276&amp;"|"&amp;$L276,ClientRates!$A$5:$A$500,0)),0))</f>
        <v/>
      </c>
      <c r="O276" s="26" t="str">
        <f aca="false">IF($D276="","",F276*M276+G276*N276)</f>
        <v/>
      </c>
      <c r="P276" s="26" t="str">
        <f aca="false">IF(OR($D276="",$J276&lt;&gt;"Supplier"),"",IFERROR(INDEX(SupplierRates!$D$5:$D$500,MATCH($K276&amp;"|"&amp;$L276,SupplierRates!$A$5:$A$500,0)),0))</f>
        <v/>
      </c>
      <c r="Q276" s="26" t="str">
        <f aca="false">IF(OR($D276="",$J276&lt;&gt;"Supplier"),"",IFERROR(INDEX(SupplierRates!$E$5:$E$500,MATCH($K276&amp;"|"&amp;$L276,SupplierRates!$A$5:$A$500,0)),0))</f>
        <v/>
      </c>
      <c r="R276" s="26" t="n">
        <f aca="false">IF(OR($D276="",$J276&lt;&gt;"Supplier"),0,F276*P276+G276*Q276)</f>
        <v>0</v>
      </c>
      <c r="S276" s="26" t="n">
        <f aca="false">IF(OR($D276="",$J276&lt;&gt;"Own"),0,IFERROR((F276+G276*Settings!$B$13)*INDEX(Workers!$V$5:$V$2004,MATCH($D276,Workers!$A$5:$A$2004,0)),0))</f>
        <v>0</v>
      </c>
      <c r="T276" s="26" t="str">
        <f aca="false">IF($D276="","",O276-R276-S276)</f>
        <v/>
      </c>
    </row>
    <row r="277" customFormat="false" ht="15" hidden="false" customHeight="false" outlineLevel="0" collapsed="false">
      <c r="I277" s="24" t="str">
        <f aca="false">IF($D277="","",IFERROR(INDEX(Workers!$B$5:$B$2004,MATCH($D277,Workers!$A$5:$A$2004,0)),"NOT FOUND"))</f>
        <v/>
      </c>
      <c r="J277" s="24" t="str">
        <f aca="false">IF($D277="","",IFERROR(INDEX(Workers!$C$5:$C$2004,MATCH($D277,Workers!$A$5:$A$2004,0)),""))</f>
        <v/>
      </c>
      <c r="K277" s="24" t="str">
        <f aca="false">IF($D277="","",IFERROR(IF(INDEX(Workers!$D$5:$D$2004,MATCH($D277,Workers!$A$5:$A$2004,0))=0,"",INDEX(Workers!$D$5:$D$2004,MATCH($D277,Workers!$A$5:$A$2004,0))),""))</f>
        <v/>
      </c>
      <c r="L277" s="24" t="str">
        <f aca="false">IF($D277="","",IFERROR(INDEX(Workers!$E$5:$E$2004,MATCH($D277,Workers!$A$5:$A$2004,0)),""))</f>
        <v/>
      </c>
      <c r="M277" s="26" t="str">
        <f aca="false">IF($D277="","",IFERROR(INDEX(ClientRates!$D$5:$D$500,MATCH($B277&amp;"|"&amp;$L277,ClientRates!$A$5:$A$500,0)),0))</f>
        <v/>
      </c>
      <c r="N277" s="26" t="str">
        <f aca="false">IF($D277="","",IFERROR(INDEX(ClientRates!$E$5:$E$500,MATCH($B277&amp;"|"&amp;$L277,ClientRates!$A$5:$A$500,0)),0))</f>
        <v/>
      </c>
      <c r="O277" s="26" t="str">
        <f aca="false">IF($D277="","",F277*M277+G277*N277)</f>
        <v/>
      </c>
      <c r="P277" s="26" t="str">
        <f aca="false">IF(OR($D277="",$J277&lt;&gt;"Supplier"),"",IFERROR(INDEX(SupplierRates!$D$5:$D$500,MATCH($K277&amp;"|"&amp;$L277,SupplierRates!$A$5:$A$500,0)),0))</f>
        <v/>
      </c>
      <c r="Q277" s="26" t="str">
        <f aca="false">IF(OR($D277="",$J277&lt;&gt;"Supplier"),"",IFERROR(INDEX(SupplierRates!$E$5:$E$500,MATCH($K277&amp;"|"&amp;$L277,SupplierRates!$A$5:$A$500,0)),0))</f>
        <v/>
      </c>
      <c r="R277" s="26" t="n">
        <f aca="false">IF(OR($D277="",$J277&lt;&gt;"Supplier"),0,F277*P277+G277*Q277)</f>
        <v>0</v>
      </c>
      <c r="S277" s="26" t="n">
        <f aca="false">IF(OR($D277="",$J277&lt;&gt;"Own"),0,IFERROR((F277+G277*Settings!$B$13)*INDEX(Workers!$V$5:$V$2004,MATCH($D277,Workers!$A$5:$A$2004,0)),0))</f>
        <v>0</v>
      </c>
      <c r="T277" s="26" t="str">
        <f aca="false">IF($D277="","",O277-R277-S277)</f>
        <v/>
      </c>
    </row>
    <row r="278" customFormat="false" ht="15" hidden="false" customHeight="false" outlineLevel="0" collapsed="false">
      <c r="I278" s="24" t="str">
        <f aca="false">IF($D278="","",IFERROR(INDEX(Workers!$B$5:$B$2004,MATCH($D278,Workers!$A$5:$A$2004,0)),"NOT FOUND"))</f>
        <v/>
      </c>
      <c r="J278" s="24" t="str">
        <f aca="false">IF($D278="","",IFERROR(INDEX(Workers!$C$5:$C$2004,MATCH($D278,Workers!$A$5:$A$2004,0)),""))</f>
        <v/>
      </c>
      <c r="K278" s="24" t="str">
        <f aca="false">IF($D278="","",IFERROR(IF(INDEX(Workers!$D$5:$D$2004,MATCH($D278,Workers!$A$5:$A$2004,0))=0,"",INDEX(Workers!$D$5:$D$2004,MATCH($D278,Workers!$A$5:$A$2004,0))),""))</f>
        <v/>
      </c>
      <c r="L278" s="24" t="str">
        <f aca="false">IF($D278="","",IFERROR(INDEX(Workers!$E$5:$E$2004,MATCH($D278,Workers!$A$5:$A$2004,0)),""))</f>
        <v/>
      </c>
      <c r="M278" s="26" t="str">
        <f aca="false">IF($D278="","",IFERROR(INDEX(ClientRates!$D$5:$D$500,MATCH($B278&amp;"|"&amp;$L278,ClientRates!$A$5:$A$500,0)),0))</f>
        <v/>
      </c>
      <c r="N278" s="26" t="str">
        <f aca="false">IF($D278="","",IFERROR(INDEX(ClientRates!$E$5:$E$500,MATCH($B278&amp;"|"&amp;$L278,ClientRates!$A$5:$A$500,0)),0))</f>
        <v/>
      </c>
      <c r="O278" s="26" t="str">
        <f aca="false">IF($D278="","",F278*M278+G278*N278)</f>
        <v/>
      </c>
      <c r="P278" s="26" t="str">
        <f aca="false">IF(OR($D278="",$J278&lt;&gt;"Supplier"),"",IFERROR(INDEX(SupplierRates!$D$5:$D$500,MATCH($K278&amp;"|"&amp;$L278,SupplierRates!$A$5:$A$500,0)),0))</f>
        <v/>
      </c>
      <c r="Q278" s="26" t="str">
        <f aca="false">IF(OR($D278="",$J278&lt;&gt;"Supplier"),"",IFERROR(INDEX(SupplierRates!$E$5:$E$500,MATCH($K278&amp;"|"&amp;$L278,SupplierRates!$A$5:$A$500,0)),0))</f>
        <v/>
      </c>
      <c r="R278" s="26" t="n">
        <f aca="false">IF(OR($D278="",$J278&lt;&gt;"Supplier"),0,F278*P278+G278*Q278)</f>
        <v>0</v>
      </c>
      <c r="S278" s="26" t="n">
        <f aca="false">IF(OR($D278="",$J278&lt;&gt;"Own"),0,IFERROR((F278+G278*Settings!$B$13)*INDEX(Workers!$V$5:$V$2004,MATCH($D278,Workers!$A$5:$A$2004,0)),0))</f>
        <v>0</v>
      </c>
      <c r="T278" s="26" t="str">
        <f aca="false">IF($D278="","",O278-R278-S278)</f>
        <v/>
      </c>
    </row>
    <row r="279" customFormat="false" ht="15" hidden="false" customHeight="false" outlineLevel="0" collapsed="false">
      <c r="I279" s="24" t="str">
        <f aca="false">IF($D279="","",IFERROR(INDEX(Workers!$B$5:$B$2004,MATCH($D279,Workers!$A$5:$A$2004,0)),"NOT FOUND"))</f>
        <v/>
      </c>
      <c r="J279" s="24" t="str">
        <f aca="false">IF($D279="","",IFERROR(INDEX(Workers!$C$5:$C$2004,MATCH($D279,Workers!$A$5:$A$2004,0)),""))</f>
        <v/>
      </c>
      <c r="K279" s="24" t="str">
        <f aca="false">IF($D279="","",IFERROR(IF(INDEX(Workers!$D$5:$D$2004,MATCH($D279,Workers!$A$5:$A$2004,0))=0,"",INDEX(Workers!$D$5:$D$2004,MATCH($D279,Workers!$A$5:$A$2004,0))),""))</f>
        <v/>
      </c>
      <c r="L279" s="24" t="str">
        <f aca="false">IF($D279="","",IFERROR(INDEX(Workers!$E$5:$E$2004,MATCH($D279,Workers!$A$5:$A$2004,0)),""))</f>
        <v/>
      </c>
      <c r="M279" s="26" t="str">
        <f aca="false">IF($D279="","",IFERROR(INDEX(ClientRates!$D$5:$D$500,MATCH($B279&amp;"|"&amp;$L279,ClientRates!$A$5:$A$500,0)),0))</f>
        <v/>
      </c>
      <c r="N279" s="26" t="str">
        <f aca="false">IF($D279="","",IFERROR(INDEX(ClientRates!$E$5:$E$500,MATCH($B279&amp;"|"&amp;$L279,ClientRates!$A$5:$A$500,0)),0))</f>
        <v/>
      </c>
      <c r="O279" s="26" t="str">
        <f aca="false">IF($D279="","",F279*M279+G279*N279)</f>
        <v/>
      </c>
      <c r="P279" s="26" t="str">
        <f aca="false">IF(OR($D279="",$J279&lt;&gt;"Supplier"),"",IFERROR(INDEX(SupplierRates!$D$5:$D$500,MATCH($K279&amp;"|"&amp;$L279,SupplierRates!$A$5:$A$500,0)),0))</f>
        <v/>
      </c>
      <c r="Q279" s="26" t="str">
        <f aca="false">IF(OR($D279="",$J279&lt;&gt;"Supplier"),"",IFERROR(INDEX(SupplierRates!$E$5:$E$500,MATCH($K279&amp;"|"&amp;$L279,SupplierRates!$A$5:$A$500,0)),0))</f>
        <v/>
      </c>
      <c r="R279" s="26" t="n">
        <f aca="false">IF(OR($D279="",$J279&lt;&gt;"Supplier"),0,F279*P279+G279*Q279)</f>
        <v>0</v>
      </c>
      <c r="S279" s="26" t="n">
        <f aca="false">IF(OR($D279="",$J279&lt;&gt;"Own"),0,IFERROR((F279+G279*Settings!$B$13)*INDEX(Workers!$V$5:$V$2004,MATCH($D279,Workers!$A$5:$A$2004,0)),0))</f>
        <v>0</v>
      </c>
      <c r="T279" s="26" t="str">
        <f aca="false">IF($D279="","",O279-R279-S279)</f>
        <v/>
      </c>
    </row>
    <row r="280" customFormat="false" ht="15" hidden="false" customHeight="false" outlineLevel="0" collapsed="false">
      <c r="I280" s="24" t="str">
        <f aca="false">IF($D280="","",IFERROR(INDEX(Workers!$B$5:$B$2004,MATCH($D280,Workers!$A$5:$A$2004,0)),"NOT FOUND"))</f>
        <v/>
      </c>
      <c r="J280" s="24" t="str">
        <f aca="false">IF($D280="","",IFERROR(INDEX(Workers!$C$5:$C$2004,MATCH($D280,Workers!$A$5:$A$2004,0)),""))</f>
        <v/>
      </c>
      <c r="K280" s="24" t="str">
        <f aca="false">IF($D280="","",IFERROR(IF(INDEX(Workers!$D$5:$D$2004,MATCH($D280,Workers!$A$5:$A$2004,0))=0,"",INDEX(Workers!$D$5:$D$2004,MATCH($D280,Workers!$A$5:$A$2004,0))),""))</f>
        <v/>
      </c>
      <c r="L280" s="24" t="str">
        <f aca="false">IF($D280="","",IFERROR(INDEX(Workers!$E$5:$E$2004,MATCH($D280,Workers!$A$5:$A$2004,0)),""))</f>
        <v/>
      </c>
      <c r="M280" s="26" t="str">
        <f aca="false">IF($D280="","",IFERROR(INDEX(ClientRates!$D$5:$D$500,MATCH($B280&amp;"|"&amp;$L280,ClientRates!$A$5:$A$500,0)),0))</f>
        <v/>
      </c>
      <c r="N280" s="26" t="str">
        <f aca="false">IF($D280="","",IFERROR(INDEX(ClientRates!$E$5:$E$500,MATCH($B280&amp;"|"&amp;$L280,ClientRates!$A$5:$A$500,0)),0))</f>
        <v/>
      </c>
      <c r="O280" s="26" t="str">
        <f aca="false">IF($D280="","",F280*M280+G280*N280)</f>
        <v/>
      </c>
      <c r="P280" s="26" t="str">
        <f aca="false">IF(OR($D280="",$J280&lt;&gt;"Supplier"),"",IFERROR(INDEX(SupplierRates!$D$5:$D$500,MATCH($K280&amp;"|"&amp;$L280,SupplierRates!$A$5:$A$500,0)),0))</f>
        <v/>
      </c>
      <c r="Q280" s="26" t="str">
        <f aca="false">IF(OR($D280="",$J280&lt;&gt;"Supplier"),"",IFERROR(INDEX(SupplierRates!$E$5:$E$500,MATCH($K280&amp;"|"&amp;$L280,SupplierRates!$A$5:$A$500,0)),0))</f>
        <v/>
      </c>
      <c r="R280" s="26" t="n">
        <f aca="false">IF(OR($D280="",$J280&lt;&gt;"Supplier"),0,F280*P280+G280*Q280)</f>
        <v>0</v>
      </c>
      <c r="S280" s="26" t="n">
        <f aca="false">IF(OR($D280="",$J280&lt;&gt;"Own"),0,IFERROR((F280+G280*Settings!$B$13)*INDEX(Workers!$V$5:$V$2004,MATCH($D280,Workers!$A$5:$A$2004,0)),0))</f>
        <v>0</v>
      </c>
      <c r="T280" s="26" t="str">
        <f aca="false">IF($D280="","",O280-R280-S280)</f>
        <v/>
      </c>
    </row>
    <row r="281" customFormat="false" ht="15" hidden="false" customHeight="false" outlineLevel="0" collapsed="false">
      <c r="I281" s="24" t="str">
        <f aca="false">IF($D281="","",IFERROR(INDEX(Workers!$B$5:$B$2004,MATCH($D281,Workers!$A$5:$A$2004,0)),"NOT FOUND"))</f>
        <v/>
      </c>
      <c r="J281" s="24" t="str">
        <f aca="false">IF($D281="","",IFERROR(INDEX(Workers!$C$5:$C$2004,MATCH($D281,Workers!$A$5:$A$2004,0)),""))</f>
        <v/>
      </c>
      <c r="K281" s="24" t="str">
        <f aca="false">IF($D281="","",IFERROR(IF(INDEX(Workers!$D$5:$D$2004,MATCH($D281,Workers!$A$5:$A$2004,0))=0,"",INDEX(Workers!$D$5:$D$2004,MATCH($D281,Workers!$A$5:$A$2004,0))),""))</f>
        <v/>
      </c>
      <c r="L281" s="24" t="str">
        <f aca="false">IF($D281="","",IFERROR(INDEX(Workers!$E$5:$E$2004,MATCH($D281,Workers!$A$5:$A$2004,0)),""))</f>
        <v/>
      </c>
      <c r="M281" s="26" t="str">
        <f aca="false">IF($D281="","",IFERROR(INDEX(ClientRates!$D$5:$D$500,MATCH($B281&amp;"|"&amp;$L281,ClientRates!$A$5:$A$500,0)),0))</f>
        <v/>
      </c>
      <c r="N281" s="26" t="str">
        <f aca="false">IF($D281="","",IFERROR(INDEX(ClientRates!$E$5:$E$500,MATCH($B281&amp;"|"&amp;$L281,ClientRates!$A$5:$A$500,0)),0))</f>
        <v/>
      </c>
      <c r="O281" s="26" t="str">
        <f aca="false">IF($D281="","",F281*M281+G281*N281)</f>
        <v/>
      </c>
      <c r="P281" s="26" t="str">
        <f aca="false">IF(OR($D281="",$J281&lt;&gt;"Supplier"),"",IFERROR(INDEX(SupplierRates!$D$5:$D$500,MATCH($K281&amp;"|"&amp;$L281,SupplierRates!$A$5:$A$500,0)),0))</f>
        <v/>
      </c>
      <c r="Q281" s="26" t="str">
        <f aca="false">IF(OR($D281="",$J281&lt;&gt;"Supplier"),"",IFERROR(INDEX(SupplierRates!$E$5:$E$500,MATCH($K281&amp;"|"&amp;$L281,SupplierRates!$A$5:$A$500,0)),0))</f>
        <v/>
      </c>
      <c r="R281" s="26" t="n">
        <f aca="false">IF(OR($D281="",$J281&lt;&gt;"Supplier"),0,F281*P281+G281*Q281)</f>
        <v>0</v>
      </c>
      <c r="S281" s="26" t="n">
        <f aca="false">IF(OR($D281="",$J281&lt;&gt;"Own"),0,IFERROR((F281+G281*Settings!$B$13)*INDEX(Workers!$V$5:$V$2004,MATCH($D281,Workers!$A$5:$A$2004,0)),0))</f>
        <v>0</v>
      </c>
      <c r="T281" s="26" t="str">
        <f aca="false">IF($D281="","",O281-R281-S281)</f>
        <v/>
      </c>
    </row>
    <row r="282" customFormat="false" ht="15" hidden="false" customHeight="false" outlineLevel="0" collapsed="false">
      <c r="I282" s="24" t="str">
        <f aca="false">IF($D282="","",IFERROR(INDEX(Workers!$B$5:$B$2004,MATCH($D282,Workers!$A$5:$A$2004,0)),"NOT FOUND"))</f>
        <v/>
      </c>
      <c r="J282" s="24" t="str">
        <f aca="false">IF($D282="","",IFERROR(INDEX(Workers!$C$5:$C$2004,MATCH($D282,Workers!$A$5:$A$2004,0)),""))</f>
        <v/>
      </c>
      <c r="K282" s="24" t="str">
        <f aca="false">IF($D282="","",IFERROR(IF(INDEX(Workers!$D$5:$D$2004,MATCH($D282,Workers!$A$5:$A$2004,0))=0,"",INDEX(Workers!$D$5:$D$2004,MATCH($D282,Workers!$A$5:$A$2004,0))),""))</f>
        <v/>
      </c>
      <c r="L282" s="24" t="str">
        <f aca="false">IF($D282="","",IFERROR(INDEX(Workers!$E$5:$E$2004,MATCH($D282,Workers!$A$5:$A$2004,0)),""))</f>
        <v/>
      </c>
      <c r="M282" s="26" t="str">
        <f aca="false">IF($D282="","",IFERROR(INDEX(ClientRates!$D$5:$D$500,MATCH($B282&amp;"|"&amp;$L282,ClientRates!$A$5:$A$500,0)),0))</f>
        <v/>
      </c>
      <c r="N282" s="26" t="str">
        <f aca="false">IF($D282="","",IFERROR(INDEX(ClientRates!$E$5:$E$500,MATCH($B282&amp;"|"&amp;$L282,ClientRates!$A$5:$A$500,0)),0))</f>
        <v/>
      </c>
      <c r="O282" s="26" t="str">
        <f aca="false">IF($D282="","",F282*M282+G282*N282)</f>
        <v/>
      </c>
      <c r="P282" s="26" t="str">
        <f aca="false">IF(OR($D282="",$J282&lt;&gt;"Supplier"),"",IFERROR(INDEX(SupplierRates!$D$5:$D$500,MATCH($K282&amp;"|"&amp;$L282,SupplierRates!$A$5:$A$500,0)),0))</f>
        <v/>
      </c>
      <c r="Q282" s="26" t="str">
        <f aca="false">IF(OR($D282="",$J282&lt;&gt;"Supplier"),"",IFERROR(INDEX(SupplierRates!$E$5:$E$500,MATCH($K282&amp;"|"&amp;$L282,SupplierRates!$A$5:$A$500,0)),0))</f>
        <v/>
      </c>
      <c r="R282" s="26" t="n">
        <f aca="false">IF(OR($D282="",$J282&lt;&gt;"Supplier"),0,F282*P282+G282*Q282)</f>
        <v>0</v>
      </c>
      <c r="S282" s="26" t="n">
        <f aca="false">IF(OR($D282="",$J282&lt;&gt;"Own"),0,IFERROR((F282+G282*Settings!$B$13)*INDEX(Workers!$V$5:$V$2004,MATCH($D282,Workers!$A$5:$A$2004,0)),0))</f>
        <v>0</v>
      </c>
      <c r="T282" s="26" t="str">
        <f aca="false">IF($D282="","",O282-R282-S282)</f>
        <v/>
      </c>
    </row>
    <row r="283" customFormat="false" ht="15" hidden="false" customHeight="false" outlineLevel="0" collapsed="false">
      <c r="I283" s="24" t="str">
        <f aca="false">IF($D283="","",IFERROR(INDEX(Workers!$B$5:$B$2004,MATCH($D283,Workers!$A$5:$A$2004,0)),"NOT FOUND"))</f>
        <v/>
      </c>
      <c r="J283" s="24" t="str">
        <f aca="false">IF($D283="","",IFERROR(INDEX(Workers!$C$5:$C$2004,MATCH($D283,Workers!$A$5:$A$2004,0)),""))</f>
        <v/>
      </c>
      <c r="K283" s="24" t="str">
        <f aca="false">IF($D283="","",IFERROR(IF(INDEX(Workers!$D$5:$D$2004,MATCH($D283,Workers!$A$5:$A$2004,0))=0,"",INDEX(Workers!$D$5:$D$2004,MATCH($D283,Workers!$A$5:$A$2004,0))),""))</f>
        <v/>
      </c>
      <c r="L283" s="24" t="str">
        <f aca="false">IF($D283="","",IFERROR(INDEX(Workers!$E$5:$E$2004,MATCH($D283,Workers!$A$5:$A$2004,0)),""))</f>
        <v/>
      </c>
      <c r="M283" s="26" t="str">
        <f aca="false">IF($D283="","",IFERROR(INDEX(ClientRates!$D$5:$D$500,MATCH($B283&amp;"|"&amp;$L283,ClientRates!$A$5:$A$500,0)),0))</f>
        <v/>
      </c>
      <c r="N283" s="26" t="str">
        <f aca="false">IF($D283="","",IFERROR(INDEX(ClientRates!$E$5:$E$500,MATCH($B283&amp;"|"&amp;$L283,ClientRates!$A$5:$A$500,0)),0))</f>
        <v/>
      </c>
      <c r="O283" s="26" t="str">
        <f aca="false">IF($D283="","",F283*M283+G283*N283)</f>
        <v/>
      </c>
      <c r="P283" s="26" t="str">
        <f aca="false">IF(OR($D283="",$J283&lt;&gt;"Supplier"),"",IFERROR(INDEX(SupplierRates!$D$5:$D$500,MATCH($K283&amp;"|"&amp;$L283,SupplierRates!$A$5:$A$500,0)),0))</f>
        <v/>
      </c>
      <c r="Q283" s="26" t="str">
        <f aca="false">IF(OR($D283="",$J283&lt;&gt;"Supplier"),"",IFERROR(INDEX(SupplierRates!$E$5:$E$500,MATCH($K283&amp;"|"&amp;$L283,SupplierRates!$A$5:$A$500,0)),0))</f>
        <v/>
      </c>
      <c r="R283" s="26" t="n">
        <f aca="false">IF(OR($D283="",$J283&lt;&gt;"Supplier"),0,F283*P283+G283*Q283)</f>
        <v>0</v>
      </c>
      <c r="S283" s="26" t="n">
        <f aca="false">IF(OR($D283="",$J283&lt;&gt;"Own"),0,IFERROR((F283+G283*Settings!$B$13)*INDEX(Workers!$V$5:$V$2004,MATCH($D283,Workers!$A$5:$A$2004,0)),0))</f>
        <v>0</v>
      </c>
      <c r="T283" s="26" t="str">
        <f aca="false">IF($D283="","",O283-R283-S283)</f>
        <v/>
      </c>
    </row>
    <row r="284" customFormat="false" ht="15" hidden="false" customHeight="false" outlineLevel="0" collapsed="false">
      <c r="I284" s="24" t="str">
        <f aca="false">IF($D284="","",IFERROR(INDEX(Workers!$B$5:$B$2004,MATCH($D284,Workers!$A$5:$A$2004,0)),"NOT FOUND"))</f>
        <v/>
      </c>
      <c r="J284" s="24" t="str">
        <f aca="false">IF($D284="","",IFERROR(INDEX(Workers!$C$5:$C$2004,MATCH($D284,Workers!$A$5:$A$2004,0)),""))</f>
        <v/>
      </c>
      <c r="K284" s="24" t="str">
        <f aca="false">IF($D284="","",IFERROR(IF(INDEX(Workers!$D$5:$D$2004,MATCH($D284,Workers!$A$5:$A$2004,0))=0,"",INDEX(Workers!$D$5:$D$2004,MATCH($D284,Workers!$A$5:$A$2004,0))),""))</f>
        <v/>
      </c>
      <c r="L284" s="24" t="str">
        <f aca="false">IF($D284="","",IFERROR(INDEX(Workers!$E$5:$E$2004,MATCH($D284,Workers!$A$5:$A$2004,0)),""))</f>
        <v/>
      </c>
      <c r="M284" s="26" t="str">
        <f aca="false">IF($D284="","",IFERROR(INDEX(ClientRates!$D$5:$D$500,MATCH($B284&amp;"|"&amp;$L284,ClientRates!$A$5:$A$500,0)),0))</f>
        <v/>
      </c>
      <c r="N284" s="26" t="str">
        <f aca="false">IF($D284="","",IFERROR(INDEX(ClientRates!$E$5:$E$500,MATCH($B284&amp;"|"&amp;$L284,ClientRates!$A$5:$A$500,0)),0))</f>
        <v/>
      </c>
      <c r="O284" s="26" t="str">
        <f aca="false">IF($D284="","",F284*M284+G284*N284)</f>
        <v/>
      </c>
      <c r="P284" s="26" t="str">
        <f aca="false">IF(OR($D284="",$J284&lt;&gt;"Supplier"),"",IFERROR(INDEX(SupplierRates!$D$5:$D$500,MATCH($K284&amp;"|"&amp;$L284,SupplierRates!$A$5:$A$500,0)),0))</f>
        <v/>
      </c>
      <c r="Q284" s="26" t="str">
        <f aca="false">IF(OR($D284="",$J284&lt;&gt;"Supplier"),"",IFERROR(INDEX(SupplierRates!$E$5:$E$500,MATCH($K284&amp;"|"&amp;$L284,SupplierRates!$A$5:$A$500,0)),0))</f>
        <v/>
      </c>
      <c r="R284" s="26" t="n">
        <f aca="false">IF(OR($D284="",$J284&lt;&gt;"Supplier"),0,F284*P284+G284*Q284)</f>
        <v>0</v>
      </c>
      <c r="S284" s="26" t="n">
        <f aca="false">IF(OR($D284="",$J284&lt;&gt;"Own"),0,IFERROR((F284+G284*Settings!$B$13)*INDEX(Workers!$V$5:$V$2004,MATCH($D284,Workers!$A$5:$A$2004,0)),0))</f>
        <v>0</v>
      </c>
      <c r="T284" s="26" t="str">
        <f aca="false">IF($D284="","",O284-R284-S284)</f>
        <v/>
      </c>
    </row>
    <row r="285" customFormat="false" ht="15" hidden="false" customHeight="false" outlineLevel="0" collapsed="false">
      <c r="I285" s="24" t="str">
        <f aca="false">IF($D285="","",IFERROR(INDEX(Workers!$B$5:$B$2004,MATCH($D285,Workers!$A$5:$A$2004,0)),"NOT FOUND"))</f>
        <v/>
      </c>
      <c r="J285" s="24" t="str">
        <f aca="false">IF($D285="","",IFERROR(INDEX(Workers!$C$5:$C$2004,MATCH($D285,Workers!$A$5:$A$2004,0)),""))</f>
        <v/>
      </c>
      <c r="K285" s="24" t="str">
        <f aca="false">IF($D285="","",IFERROR(IF(INDEX(Workers!$D$5:$D$2004,MATCH($D285,Workers!$A$5:$A$2004,0))=0,"",INDEX(Workers!$D$5:$D$2004,MATCH($D285,Workers!$A$5:$A$2004,0))),""))</f>
        <v/>
      </c>
      <c r="L285" s="24" t="str">
        <f aca="false">IF($D285="","",IFERROR(INDEX(Workers!$E$5:$E$2004,MATCH($D285,Workers!$A$5:$A$2004,0)),""))</f>
        <v/>
      </c>
      <c r="M285" s="26" t="str">
        <f aca="false">IF($D285="","",IFERROR(INDEX(ClientRates!$D$5:$D$500,MATCH($B285&amp;"|"&amp;$L285,ClientRates!$A$5:$A$500,0)),0))</f>
        <v/>
      </c>
      <c r="N285" s="26" t="str">
        <f aca="false">IF($D285="","",IFERROR(INDEX(ClientRates!$E$5:$E$500,MATCH($B285&amp;"|"&amp;$L285,ClientRates!$A$5:$A$500,0)),0))</f>
        <v/>
      </c>
      <c r="O285" s="26" t="str">
        <f aca="false">IF($D285="","",F285*M285+G285*N285)</f>
        <v/>
      </c>
      <c r="P285" s="26" t="str">
        <f aca="false">IF(OR($D285="",$J285&lt;&gt;"Supplier"),"",IFERROR(INDEX(SupplierRates!$D$5:$D$500,MATCH($K285&amp;"|"&amp;$L285,SupplierRates!$A$5:$A$500,0)),0))</f>
        <v/>
      </c>
      <c r="Q285" s="26" t="str">
        <f aca="false">IF(OR($D285="",$J285&lt;&gt;"Supplier"),"",IFERROR(INDEX(SupplierRates!$E$5:$E$500,MATCH($K285&amp;"|"&amp;$L285,SupplierRates!$A$5:$A$500,0)),0))</f>
        <v/>
      </c>
      <c r="R285" s="26" t="n">
        <f aca="false">IF(OR($D285="",$J285&lt;&gt;"Supplier"),0,F285*P285+G285*Q285)</f>
        <v>0</v>
      </c>
      <c r="S285" s="26" t="n">
        <f aca="false">IF(OR($D285="",$J285&lt;&gt;"Own"),0,IFERROR((F285+G285*Settings!$B$13)*INDEX(Workers!$V$5:$V$2004,MATCH($D285,Workers!$A$5:$A$2004,0)),0))</f>
        <v>0</v>
      </c>
      <c r="T285" s="26" t="str">
        <f aca="false">IF($D285="","",O285-R285-S285)</f>
        <v/>
      </c>
    </row>
    <row r="286" customFormat="false" ht="15" hidden="false" customHeight="false" outlineLevel="0" collapsed="false">
      <c r="I286" s="24" t="str">
        <f aca="false">IF($D286="","",IFERROR(INDEX(Workers!$B$5:$B$2004,MATCH($D286,Workers!$A$5:$A$2004,0)),"NOT FOUND"))</f>
        <v/>
      </c>
      <c r="J286" s="24" t="str">
        <f aca="false">IF($D286="","",IFERROR(INDEX(Workers!$C$5:$C$2004,MATCH($D286,Workers!$A$5:$A$2004,0)),""))</f>
        <v/>
      </c>
      <c r="K286" s="24" t="str">
        <f aca="false">IF($D286="","",IFERROR(IF(INDEX(Workers!$D$5:$D$2004,MATCH($D286,Workers!$A$5:$A$2004,0))=0,"",INDEX(Workers!$D$5:$D$2004,MATCH($D286,Workers!$A$5:$A$2004,0))),""))</f>
        <v/>
      </c>
      <c r="L286" s="24" t="str">
        <f aca="false">IF($D286="","",IFERROR(INDEX(Workers!$E$5:$E$2004,MATCH($D286,Workers!$A$5:$A$2004,0)),""))</f>
        <v/>
      </c>
      <c r="M286" s="26" t="str">
        <f aca="false">IF($D286="","",IFERROR(INDEX(ClientRates!$D$5:$D$500,MATCH($B286&amp;"|"&amp;$L286,ClientRates!$A$5:$A$500,0)),0))</f>
        <v/>
      </c>
      <c r="N286" s="26" t="str">
        <f aca="false">IF($D286="","",IFERROR(INDEX(ClientRates!$E$5:$E$500,MATCH($B286&amp;"|"&amp;$L286,ClientRates!$A$5:$A$500,0)),0))</f>
        <v/>
      </c>
      <c r="O286" s="26" t="str">
        <f aca="false">IF($D286="","",F286*M286+G286*N286)</f>
        <v/>
      </c>
      <c r="P286" s="26" t="str">
        <f aca="false">IF(OR($D286="",$J286&lt;&gt;"Supplier"),"",IFERROR(INDEX(SupplierRates!$D$5:$D$500,MATCH($K286&amp;"|"&amp;$L286,SupplierRates!$A$5:$A$500,0)),0))</f>
        <v/>
      </c>
      <c r="Q286" s="26" t="str">
        <f aca="false">IF(OR($D286="",$J286&lt;&gt;"Supplier"),"",IFERROR(INDEX(SupplierRates!$E$5:$E$500,MATCH($K286&amp;"|"&amp;$L286,SupplierRates!$A$5:$A$500,0)),0))</f>
        <v/>
      </c>
      <c r="R286" s="26" t="n">
        <f aca="false">IF(OR($D286="",$J286&lt;&gt;"Supplier"),0,F286*P286+G286*Q286)</f>
        <v>0</v>
      </c>
      <c r="S286" s="26" t="n">
        <f aca="false">IF(OR($D286="",$J286&lt;&gt;"Own"),0,IFERROR((F286+G286*Settings!$B$13)*INDEX(Workers!$V$5:$V$2004,MATCH($D286,Workers!$A$5:$A$2004,0)),0))</f>
        <v>0</v>
      </c>
      <c r="T286" s="26" t="str">
        <f aca="false">IF($D286="","",O286-R286-S286)</f>
        <v/>
      </c>
    </row>
    <row r="287" customFormat="false" ht="15" hidden="false" customHeight="false" outlineLevel="0" collapsed="false">
      <c r="I287" s="24" t="str">
        <f aca="false">IF($D287="","",IFERROR(INDEX(Workers!$B$5:$B$2004,MATCH($D287,Workers!$A$5:$A$2004,0)),"NOT FOUND"))</f>
        <v/>
      </c>
      <c r="J287" s="24" t="str">
        <f aca="false">IF($D287="","",IFERROR(INDEX(Workers!$C$5:$C$2004,MATCH($D287,Workers!$A$5:$A$2004,0)),""))</f>
        <v/>
      </c>
      <c r="K287" s="24" t="str">
        <f aca="false">IF($D287="","",IFERROR(IF(INDEX(Workers!$D$5:$D$2004,MATCH($D287,Workers!$A$5:$A$2004,0))=0,"",INDEX(Workers!$D$5:$D$2004,MATCH($D287,Workers!$A$5:$A$2004,0))),""))</f>
        <v/>
      </c>
      <c r="L287" s="24" t="str">
        <f aca="false">IF($D287="","",IFERROR(INDEX(Workers!$E$5:$E$2004,MATCH($D287,Workers!$A$5:$A$2004,0)),""))</f>
        <v/>
      </c>
      <c r="M287" s="26" t="str">
        <f aca="false">IF($D287="","",IFERROR(INDEX(ClientRates!$D$5:$D$500,MATCH($B287&amp;"|"&amp;$L287,ClientRates!$A$5:$A$500,0)),0))</f>
        <v/>
      </c>
      <c r="N287" s="26" t="str">
        <f aca="false">IF($D287="","",IFERROR(INDEX(ClientRates!$E$5:$E$500,MATCH($B287&amp;"|"&amp;$L287,ClientRates!$A$5:$A$500,0)),0))</f>
        <v/>
      </c>
      <c r="O287" s="26" t="str">
        <f aca="false">IF($D287="","",F287*M287+G287*N287)</f>
        <v/>
      </c>
      <c r="P287" s="26" t="str">
        <f aca="false">IF(OR($D287="",$J287&lt;&gt;"Supplier"),"",IFERROR(INDEX(SupplierRates!$D$5:$D$500,MATCH($K287&amp;"|"&amp;$L287,SupplierRates!$A$5:$A$500,0)),0))</f>
        <v/>
      </c>
      <c r="Q287" s="26" t="str">
        <f aca="false">IF(OR($D287="",$J287&lt;&gt;"Supplier"),"",IFERROR(INDEX(SupplierRates!$E$5:$E$500,MATCH($K287&amp;"|"&amp;$L287,SupplierRates!$A$5:$A$500,0)),0))</f>
        <v/>
      </c>
      <c r="R287" s="26" t="n">
        <f aca="false">IF(OR($D287="",$J287&lt;&gt;"Supplier"),0,F287*P287+G287*Q287)</f>
        <v>0</v>
      </c>
      <c r="S287" s="26" t="n">
        <f aca="false">IF(OR($D287="",$J287&lt;&gt;"Own"),0,IFERROR((F287+G287*Settings!$B$13)*INDEX(Workers!$V$5:$V$2004,MATCH($D287,Workers!$A$5:$A$2004,0)),0))</f>
        <v>0</v>
      </c>
      <c r="T287" s="26" t="str">
        <f aca="false">IF($D287="","",O287-R287-S287)</f>
        <v/>
      </c>
    </row>
    <row r="288" customFormat="false" ht="15" hidden="false" customHeight="false" outlineLevel="0" collapsed="false">
      <c r="I288" s="24" t="str">
        <f aca="false">IF($D288="","",IFERROR(INDEX(Workers!$B$5:$B$2004,MATCH($D288,Workers!$A$5:$A$2004,0)),"NOT FOUND"))</f>
        <v/>
      </c>
      <c r="J288" s="24" t="str">
        <f aca="false">IF($D288="","",IFERROR(INDEX(Workers!$C$5:$C$2004,MATCH($D288,Workers!$A$5:$A$2004,0)),""))</f>
        <v/>
      </c>
      <c r="K288" s="24" t="str">
        <f aca="false">IF($D288="","",IFERROR(IF(INDEX(Workers!$D$5:$D$2004,MATCH($D288,Workers!$A$5:$A$2004,0))=0,"",INDEX(Workers!$D$5:$D$2004,MATCH($D288,Workers!$A$5:$A$2004,0))),""))</f>
        <v/>
      </c>
      <c r="L288" s="24" t="str">
        <f aca="false">IF($D288="","",IFERROR(INDEX(Workers!$E$5:$E$2004,MATCH($D288,Workers!$A$5:$A$2004,0)),""))</f>
        <v/>
      </c>
      <c r="M288" s="26" t="str">
        <f aca="false">IF($D288="","",IFERROR(INDEX(ClientRates!$D$5:$D$500,MATCH($B288&amp;"|"&amp;$L288,ClientRates!$A$5:$A$500,0)),0))</f>
        <v/>
      </c>
      <c r="N288" s="26" t="str">
        <f aca="false">IF($D288="","",IFERROR(INDEX(ClientRates!$E$5:$E$500,MATCH($B288&amp;"|"&amp;$L288,ClientRates!$A$5:$A$500,0)),0))</f>
        <v/>
      </c>
      <c r="O288" s="26" t="str">
        <f aca="false">IF($D288="","",F288*M288+G288*N288)</f>
        <v/>
      </c>
      <c r="P288" s="26" t="str">
        <f aca="false">IF(OR($D288="",$J288&lt;&gt;"Supplier"),"",IFERROR(INDEX(SupplierRates!$D$5:$D$500,MATCH($K288&amp;"|"&amp;$L288,SupplierRates!$A$5:$A$500,0)),0))</f>
        <v/>
      </c>
      <c r="Q288" s="26" t="str">
        <f aca="false">IF(OR($D288="",$J288&lt;&gt;"Supplier"),"",IFERROR(INDEX(SupplierRates!$E$5:$E$500,MATCH($K288&amp;"|"&amp;$L288,SupplierRates!$A$5:$A$500,0)),0))</f>
        <v/>
      </c>
      <c r="R288" s="26" t="n">
        <f aca="false">IF(OR($D288="",$J288&lt;&gt;"Supplier"),0,F288*P288+G288*Q288)</f>
        <v>0</v>
      </c>
      <c r="S288" s="26" t="n">
        <f aca="false">IF(OR($D288="",$J288&lt;&gt;"Own"),0,IFERROR((F288+G288*Settings!$B$13)*INDEX(Workers!$V$5:$V$2004,MATCH($D288,Workers!$A$5:$A$2004,0)),0))</f>
        <v>0</v>
      </c>
      <c r="T288" s="26" t="str">
        <f aca="false">IF($D288="","",O288-R288-S288)</f>
        <v/>
      </c>
    </row>
    <row r="289" customFormat="false" ht="15" hidden="false" customHeight="false" outlineLevel="0" collapsed="false">
      <c r="I289" s="24" t="str">
        <f aca="false">IF($D289="","",IFERROR(INDEX(Workers!$B$5:$B$2004,MATCH($D289,Workers!$A$5:$A$2004,0)),"NOT FOUND"))</f>
        <v/>
      </c>
      <c r="J289" s="24" t="str">
        <f aca="false">IF($D289="","",IFERROR(INDEX(Workers!$C$5:$C$2004,MATCH($D289,Workers!$A$5:$A$2004,0)),""))</f>
        <v/>
      </c>
      <c r="K289" s="24" t="str">
        <f aca="false">IF($D289="","",IFERROR(IF(INDEX(Workers!$D$5:$D$2004,MATCH($D289,Workers!$A$5:$A$2004,0))=0,"",INDEX(Workers!$D$5:$D$2004,MATCH($D289,Workers!$A$5:$A$2004,0))),""))</f>
        <v/>
      </c>
      <c r="L289" s="24" t="str">
        <f aca="false">IF($D289="","",IFERROR(INDEX(Workers!$E$5:$E$2004,MATCH($D289,Workers!$A$5:$A$2004,0)),""))</f>
        <v/>
      </c>
      <c r="M289" s="26" t="str">
        <f aca="false">IF($D289="","",IFERROR(INDEX(ClientRates!$D$5:$D$500,MATCH($B289&amp;"|"&amp;$L289,ClientRates!$A$5:$A$500,0)),0))</f>
        <v/>
      </c>
      <c r="N289" s="26" t="str">
        <f aca="false">IF($D289="","",IFERROR(INDEX(ClientRates!$E$5:$E$500,MATCH($B289&amp;"|"&amp;$L289,ClientRates!$A$5:$A$500,0)),0))</f>
        <v/>
      </c>
      <c r="O289" s="26" t="str">
        <f aca="false">IF($D289="","",F289*M289+G289*N289)</f>
        <v/>
      </c>
      <c r="P289" s="26" t="str">
        <f aca="false">IF(OR($D289="",$J289&lt;&gt;"Supplier"),"",IFERROR(INDEX(SupplierRates!$D$5:$D$500,MATCH($K289&amp;"|"&amp;$L289,SupplierRates!$A$5:$A$500,0)),0))</f>
        <v/>
      </c>
      <c r="Q289" s="26" t="str">
        <f aca="false">IF(OR($D289="",$J289&lt;&gt;"Supplier"),"",IFERROR(INDEX(SupplierRates!$E$5:$E$500,MATCH($K289&amp;"|"&amp;$L289,SupplierRates!$A$5:$A$500,0)),0))</f>
        <v/>
      </c>
      <c r="R289" s="26" t="n">
        <f aca="false">IF(OR($D289="",$J289&lt;&gt;"Supplier"),0,F289*P289+G289*Q289)</f>
        <v>0</v>
      </c>
      <c r="S289" s="26" t="n">
        <f aca="false">IF(OR($D289="",$J289&lt;&gt;"Own"),0,IFERROR((F289+G289*Settings!$B$13)*INDEX(Workers!$V$5:$V$2004,MATCH($D289,Workers!$A$5:$A$2004,0)),0))</f>
        <v>0</v>
      </c>
      <c r="T289" s="26" t="str">
        <f aca="false">IF($D289="","",O289-R289-S289)</f>
        <v/>
      </c>
    </row>
    <row r="290" customFormat="false" ht="15" hidden="false" customHeight="false" outlineLevel="0" collapsed="false">
      <c r="I290" s="24" t="str">
        <f aca="false">IF($D290="","",IFERROR(INDEX(Workers!$B$5:$B$2004,MATCH($D290,Workers!$A$5:$A$2004,0)),"NOT FOUND"))</f>
        <v/>
      </c>
      <c r="J290" s="24" t="str">
        <f aca="false">IF($D290="","",IFERROR(INDEX(Workers!$C$5:$C$2004,MATCH($D290,Workers!$A$5:$A$2004,0)),""))</f>
        <v/>
      </c>
      <c r="K290" s="24" t="str">
        <f aca="false">IF($D290="","",IFERROR(IF(INDEX(Workers!$D$5:$D$2004,MATCH($D290,Workers!$A$5:$A$2004,0))=0,"",INDEX(Workers!$D$5:$D$2004,MATCH($D290,Workers!$A$5:$A$2004,0))),""))</f>
        <v/>
      </c>
      <c r="L290" s="24" t="str">
        <f aca="false">IF($D290="","",IFERROR(INDEX(Workers!$E$5:$E$2004,MATCH($D290,Workers!$A$5:$A$2004,0)),""))</f>
        <v/>
      </c>
      <c r="M290" s="26" t="str">
        <f aca="false">IF($D290="","",IFERROR(INDEX(ClientRates!$D$5:$D$500,MATCH($B290&amp;"|"&amp;$L290,ClientRates!$A$5:$A$500,0)),0))</f>
        <v/>
      </c>
      <c r="N290" s="26" t="str">
        <f aca="false">IF($D290="","",IFERROR(INDEX(ClientRates!$E$5:$E$500,MATCH($B290&amp;"|"&amp;$L290,ClientRates!$A$5:$A$500,0)),0))</f>
        <v/>
      </c>
      <c r="O290" s="26" t="str">
        <f aca="false">IF($D290="","",F290*M290+G290*N290)</f>
        <v/>
      </c>
      <c r="P290" s="26" t="str">
        <f aca="false">IF(OR($D290="",$J290&lt;&gt;"Supplier"),"",IFERROR(INDEX(SupplierRates!$D$5:$D$500,MATCH($K290&amp;"|"&amp;$L290,SupplierRates!$A$5:$A$500,0)),0))</f>
        <v/>
      </c>
      <c r="Q290" s="26" t="str">
        <f aca="false">IF(OR($D290="",$J290&lt;&gt;"Supplier"),"",IFERROR(INDEX(SupplierRates!$E$5:$E$500,MATCH($K290&amp;"|"&amp;$L290,SupplierRates!$A$5:$A$500,0)),0))</f>
        <v/>
      </c>
      <c r="R290" s="26" t="n">
        <f aca="false">IF(OR($D290="",$J290&lt;&gt;"Supplier"),0,F290*P290+G290*Q290)</f>
        <v>0</v>
      </c>
      <c r="S290" s="26" t="n">
        <f aca="false">IF(OR($D290="",$J290&lt;&gt;"Own"),0,IFERROR((F290+G290*Settings!$B$13)*INDEX(Workers!$V$5:$V$2004,MATCH($D290,Workers!$A$5:$A$2004,0)),0))</f>
        <v>0</v>
      </c>
      <c r="T290" s="26" t="str">
        <f aca="false">IF($D290="","",O290-R290-S290)</f>
        <v/>
      </c>
    </row>
    <row r="291" customFormat="false" ht="15" hidden="false" customHeight="false" outlineLevel="0" collapsed="false">
      <c r="I291" s="24" t="str">
        <f aca="false">IF($D291="","",IFERROR(INDEX(Workers!$B$5:$B$2004,MATCH($D291,Workers!$A$5:$A$2004,0)),"NOT FOUND"))</f>
        <v/>
      </c>
      <c r="J291" s="24" t="str">
        <f aca="false">IF($D291="","",IFERROR(INDEX(Workers!$C$5:$C$2004,MATCH($D291,Workers!$A$5:$A$2004,0)),""))</f>
        <v/>
      </c>
      <c r="K291" s="24" t="str">
        <f aca="false">IF($D291="","",IFERROR(IF(INDEX(Workers!$D$5:$D$2004,MATCH($D291,Workers!$A$5:$A$2004,0))=0,"",INDEX(Workers!$D$5:$D$2004,MATCH($D291,Workers!$A$5:$A$2004,0))),""))</f>
        <v/>
      </c>
      <c r="L291" s="24" t="str">
        <f aca="false">IF($D291="","",IFERROR(INDEX(Workers!$E$5:$E$2004,MATCH($D291,Workers!$A$5:$A$2004,0)),""))</f>
        <v/>
      </c>
      <c r="M291" s="26" t="str">
        <f aca="false">IF($D291="","",IFERROR(INDEX(ClientRates!$D$5:$D$500,MATCH($B291&amp;"|"&amp;$L291,ClientRates!$A$5:$A$500,0)),0))</f>
        <v/>
      </c>
      <c r="N291" s="26" t="str">
        <f aca="false">IF($D291="","",IFERROR(INDEX(ClientRates!$E$5:$E$500,MATCH($B291&amp;"|"&amp;$L291,ClientRates!$A$5:$A$500,0)),0))</f>
        <v/>
      </c>
      <c r="O291" s="26" t="str">
        <f aca="false">IF($D291="","",F291*M291+G291*N291)</f>
        <v/>
      </c>
      <c r="P291" s="26" t="str">
        <f aca="false">IF(OR($D291="",$J291&lt;&gt;"Supplier"),"",IFERROR(INDEX(SupplierRates!$D$5:$D$500,MATCH($K291&amp;"|"&amp;$L291,SupplierRates!$A$5:$A$500,0)),0))</f>
        <v/>
      </c>
      <c r="Q291" s="26" t="str">
        <f aca="false">IF(OR($D291="",$J291&lt;&gt;"Supplier"),"",IFERROR(INDEX(SupplierRates!$E$5:$E$500,MATCH($K291&amp;"|"&amp;$L291,SupplierRates!$A$5:$A$500,0)),0))</f>
        <v/>
      </c>
      <c r="R291" s="26" t="n">
        <f aca="false">IF(OR($D291="",$J291&lt;&gt;"Supplier"),0,F291*P291+G291*Q291)</f>
        <v>0</v>
      </c>
      <c r="S291" s="26" t="n">
        <f aca="false">IF(OR($D291="",$J291&lt;&gt;"Own"),0,IFERROR((F291+G291*Settings!$B$13)*INDEX(Workers!$V$5:$V$2004,MATCH($D291,Workers!$A$5:$A$2004,0)),0))</f>
        <v>0</v>
      </c>
      <c r="T291" s="26" t="str">
        <f aca="false">IF($D291="","",O291-R291-S291)</f>
        <v/>
      </c>
    </row>
    <row r="292" customFormat="false" ht="15" hidden="false" customHeight="false" outlineLevel="0" collapsed="false">
      <c r="I292" s="24" t="str">
        <f aca="false">IF($D292="","",IFERROR(INDEX(Workers!$B$5:$B$2004,MATCH($D292,Workers!$A$5:$A$2004,0)),"NOT FOUND"))</f>
        <v/>
      </c>
      <c r="J292" s="24" t="str">
        <f aca="false">IF($D292="","",IFERROR(INDEX(Workers!$C$5:$C$2004,MATCH($D292,Workers!$A$5:$A$2004,0)),""))</f>
        <v/>
      </c>
      <c r="K292" s="24" t="str">
        <f aca="false">IF($D292="","",IFERROR(IF(INDEX(Workers!$D$5:$D$2004,MATCH($D292,Workers!$A$5:$A$2004,0))=0,"",INDEX(Workers!$D$5:$D$2004,MATCH($D292,Workers!$A$5:$A$2004,0))),""))</f>
        <v/>
      </c>
      <c r="L292" s="24" t="str">
        <f aca="false">IF($D292="","",IFERROR(INDEX(Workers!$E$5:$E$2004,MATCH($D292,Workers!$A$5:$A$2004,0)),""))</f>
        <v/>
      </c>
      <c r="M292" s="26" t="str">
        <f aca="false">IF($D292="","",IFERROR(INDEX(ClientRates!$D$5:$D$500,MATCH($B292&amp;"|"&amp;$L292,ClientRates!$A$5:$A$500,0)),0))</f>
        <v/>
      </c>
      <c r="N292" s="26" t="str">
        <f aca="false">IF($D292="","",IFERROR(INDEX(ClientRates!$E$5:$E$500,MATCH($B292&amp;"|"&amp;$L292,ClientRates!$A$5:$A$500,0)),0))</f>
        <v/>
      </c>
      <c r="O292" s="26" t="str">
        <f aca="false">IF($D292="","",F292*M292+G292*N292)</f>
        <v/>
      </c>
      <c r="P292" s="26" t="str">
        <f aca="false">IF(OR($D292="",$J292&lt;&gt;"Supplier"),"",IFERROR(INDEX(SupplierRates!$D$5:$D$500,MATCH($K292&amp;"|"&amp;$L292,SupplierRates!$A$5:$A$500,0)),0))</f>
        <v/>
      </c>
      <c r="Q292" s="26" t="str">
        <f aca="false">IF(OR($D292="",$J292&lt;&gt;"Supplier"),"",IFERROR(INDEX(SupplierRates!$E$5:$E$500,MATCH($K292&amp;"|"&amp;$L292,SupplierRates!$A$5:$A$500,0)),0))</f>
        <v/>
      </c>
      <c r="R292" s="26" t="n">
        <f aca="false">IF(OR($D292="",$J292&lt;&gt;"Supplier"),0,F292*P292+G292*Q292)</f>
        <v>0</v>
      </c>
      <c r="S292" s="26" t="n">
        <f aca="false">IF(OR($D292="",$J292&lt;&gt;"Own"),0,IFERROR((F292+G292*Settings!$B$13)*INDEX(Workers!$V$5:$V$2004,MATCH($D292,Workers!$A$5:$A$2004,0)),0))</f>
        <v>0</v>
      </c>
      <c r="T292" s="26" t="str">
        <f aca="false">IF($D292="","",O292-R292-S292)</f>
        <v/>
      </c>
    </row>
    <row r="293" customFormat="false" ht="15" hidden="false" customHeight="false" outlineLevel="0" collapsed="false">
      <c r="I293" s="24" t="str">
        <f aca="false">IF($D293="","",IFERROR(INDEX(Workers!$B$5:$B$2004,MATCH($D293,Workers!$A$5:$A$2004,0)),"NOT FOUND"))</f>
        <v/>
      </c>
      <c r="J293" s="24" t="str">
        <f aca="false">IF($D293="","",IFERROR(INDEX(Workers!$C$5:$C$2004,MATCH($D293,Workers!$A$5:$A$2004,0)),""))</f>
        <v/>
      </c>
      <c r="K293" s="24" t="str">
        <f aca="false">IF($D293="","",IFERROR(IF(INDEX(Workers!$D$5:$D$2004,MATCH($D293,Workers!$A$5:$A$2004,0))=0,"",INDEX(Workers!$D$5:$D$2004,MATCH($D293,Workers!$A$5:$A$2004,0))),""))</f>
        <v/>
      </c>
      <c r="L293" s="24" t="str">
        <f aca="false">IF($D293="","",IFERROR(INDEX(Workers!$E$5:$E$2004,MATCH($D293,Workers!$A$5:$A$2004,0)),""))</f>
        <v/>
      </c>
      <c r="M293" s="26" t="str">
        <f aca="false">IF($D293="","",IFERROR(INDEX(ClientRates!$D$5:$D$500,MATCH($B293&amp;"|"&amp;$L293,ClientRates!$A$5:$A$500,0)),0))</f>
        <v/>
      </c>
      <c r="N293" s="26" t="str">
        <f aca="false">IF($D293="","",IFERROR(INDEX(ClientRates!$E$5:$E$500,MATCH($B293&amp;"|"&amp;$L293,ClientRates!$A$5:$A$500,0)),0))</f>
        <v/>
      </c>
      <c r="O293" s="26" t="str">
        <f aca="false">IF($D293="","",F293*M293+G293*N293)</f>
        <v/>
      </c>
      <c r="P293" s="26" t="str">
        <f aca="false">IF(OR($D293="",$J293&lt;&gt;"Supplier"),"",IFERROR(INDEX(SupplierRates!$D$5:$D$500,MATCH($K293&amp;"|"&amp;$L293,SupplierRates!$A$5:$A$500,0)),0))</f>
        <v/>
      </c>
      <c r="Q293" s="26" t="str">
        <f aca="false">IF(OR($D293="",$J293&lt;&gt;"Supplier"),"",IFERROR(INDEX(SupplierRates!$E$5:$E$500,MATCH($K293&amp;"|"&amp;$L293,SupplierRates!$A$5:$A$500,0)),0))</f>
        <v/>
      </c>
      <c r="R293" s="26" t="n">
        <f aca="false">IF(OR($D293="",$J293&lt;&gt;"Supplier"),0,F293*P293+G293*Q293)</f>
        <v>0</v>
      </c>
      <c r="S293" s="26" t="n">
        <f aca="false">IF(OR($D293="",$J293&lt;&gt;"Own"),0,IFERROR((F293+G293*Settings!$B$13)*INDEX(Workers!$V$5:$V$2004,MATCH($D293,Workers!$A$5:$A$2004,0)),0))</f>
        <v>0</v>
      </c>
      <c r="T293" s="26" t="str">
        <f aca="false">IF($D293="","",O293-R293-S293)</f>
        <v/>
      </c>
    </row>
    <row r="294" customFormat="false" ht="15" hidden="false" customHeight="false" outlineLevel="0" collapsed="false">
      <c r="I294" s="24" t="str">
        <f aca="false">IF($D294="","",IFERROR(INDEX(Workers!$B$5:$B$2004,MATCH($D294,Workers!$A$5:$A$2004,0)),"NOT FOUND"))</f>
        <v/>
      </c>
      <c r="J294" s="24" t="str">
        <f aca="false">IF($D294="","",IFERROR(INDEX(Workers!$C$5:$C$2004,MATCH($D294,Workers!$A$5:$A$2004,0)),""))</f>
        <v/>
      </c>
      <c r="K294" s="24" t="str">
        <f aca="false">IF($D294="","",IFERROR(IF(INDEX(Workers!$D$5:$D$2004,MATCH($D294,Workers!$A$5:$A$2004,0))=0,"",INDEX(Workers!$D$5:$D$2004,MATCH($D294,Workers!$A$5:$A$2004,0))),""))</f>
        <v/>
      </c>
      <c r="L294" s="24" t="str">
        <f aca="false">IF($D294="","",IFERROR(INDEX(Workers!$E$5:$E$2004,MATCH($D294,Workers!$A$5:$A$2004,0)),""))</f>
        <v/>
      </c>
      <c r="M294" s="26" t="str">
        <f aca="false">IF($D294="","",IFERROR(INDEX(ClientRates!$D$5:$D$500,MATCH($B294&amp;"|"&amp;$L294,ClientRates!$A$5:$A$500,0)),0))</f>
        <v/>
      </c>
      <c r="N294" s="26" t="str">
        <f aca="false">IF($D294="","",IFERROR(INDEX(ClientRates!$E$5:$E$500,MATCH($B294&amp;"|"&amp;$L294,ClientRates!$A$5:$A$500,0)),0))</f>
        <v/>
      </c>
      <c r="O294" s="26" t="str">
        <f aca="false">IF($D294="","",F294*M294+G294*N294)</f>
        <v/>
      </c>
      <c r="P294" s="26" t="str">
        <f aca="false">IF(OR($D294="",$J294&lt;&gt;"Supplier"),"",IFERROR(INDEX(SupplierRates!$D$5:$D$500,MATCH($K294&amp;"|"&amp;$L294,SupplierRates!$A$5:$A$500,0)),0))</f>
        <v/>
      </c>
      <c r="Q294" s="26" t="str">
        <f aca="false">IF(OR($D294="",$J294&lt;&gt;"Supplier"),"",IFERROR(INDEX(SupplierRates!$E$5:$E$500,MATCH($K294&amp;"|"&amp;$L294,SupplierRates!$A$5:$A$500,0)),0))</f>
        <v/>
      </c>
      <c r="R294" s="26" t="n">
        <f aca="false">IF(OR($D294="",$J294&lt;&gt;"Supplier"),0,F294*P294+G294*Q294)</f>
        <v>0</v>
      </c>
      <c r="S294" s="26" t="n">
        <f aca="false">IF(OR($D294="",$J294&lt;&gt;"Own"),0,IFERROR((F294+G294*Settings!$B$13)*INDEX(Workers!$V$5:$V$2004,MATCH($D294,Workers!$A$5:$A$2004,0)),0))</f>
        <v>0</v>
      </c>
      <c r="T294" s="26" t="str">
        <f aca="false">IF($D294="","",O294-R294-S294)</f>
        <v/>
      </c>
    </row>
    <row r="295" customFormat="false" ht="15" hidden="false" customHeight="false" outlineLevel="0" collapsed="false">
      <c r="I295" s="24" t="str">
        <f aca="false">IF($D295="","",IFERROR(INDEX(Workers!$B$5:$B$2004,MATCH($D295,Workers!$A$5:$A$2004,0)),"NOT FOUND"))</f>
        <v/>
      </c>
      <c r="J295" s="24" t="str">
        <f aca="false">IF($D295="","",IFERROR(INDEX(Workers!$C$5:$C$2004,MATCH($D295,Workers!$A$5:$A$2004,0)),""))</f>
        <v/>
      </c>
      <c r="K295" s="24" t="str">
        <f aca="false">IF($D295="","",IFERROR(IF(INDEX(Workers!$D$5:$D$2004,MATCH($D295,Workers!$A$5:$A$2004,0))=0,"",INDEX(Workers!$D$5:$D$2004,MATCH($D295,Workers!$A$5:$A$2004,0))),""))</f>
        <v/>
      </c>
      <c r="L295" s="24" t="str">
        <f aca="false">IF($D295="","",IFERROR(INDEX(Workers!$E$5:$E$2004,MATCH($D295,Workers!$A$5:$A$2004,0)),""))</f>
        <v/>
      </c>
      <c r="M295" s="26" t="str">
        <f aca="false">IF($D295="","",IFERROR(INDEX(ClientRates!$D$5:$D$500,MATCH($B295&amp;"|"&amp;$L295,ClientRates!$A$5:$A$500,0)),0))</f>
        <v/>
      </c>
      <c r="N295" s="26" t="str">
        <f aca="false">IF($D295="","",IFERROR(INDEX(ClientRates!$E$5:$E$500,MATCH($B295&amp;"|"&amp;$L295,ClientRates!$A$5:$A$500,0)),0))</f>
        <v/>
      </c>
      <c r="O295" s="26" t="str">
        <f aca="false">IF($D295="","",F295*M295+G295*N295)</f>
        <v/>
      </c>
      <c r="P295" s="26" t="str">
        <f aca="false">IF(OR($D295="",$J295&lt;&gt;"Supplier"),"",IFERROR(INDEX(SupplierRates!$D$5:$D$500,MATCH($K295&amp;"|"&amp;$L295,SupplierRates!$A$5:$A$500,0)),0))</f>
        <v/>
      </c>
      <c r="Q295" s="26" t="str">
        <f aca="false">IF(OR($D295="",$J295&lt;&gt;"Supplier"),"",IFERROR(INDEX(SupplierRates!$E$5:$E$500,MATCH($K295&amp;"|"&amp;$L295,SupplierRates!$A$5:$A$500,0)),0))</f>
        <v/>
      </c>
      <c r="R295" s="26" t="n">
        <f aca="false">IF(OR($D295="",$J295&lt;&gt;"Supplier"),0,F295*P295+G295*Q295)</f>
        <v>0</v>
      </c>
      <c r="S295" s="26" t="n">
        <f aca="false">IF(OR($D295="",$J295&lt;&gt;"Own"),0,IFERROR((F295+G295*Settings!$B$13)*INDEX(Workers!$V$5:$V$2004,MATCH($D295,Workers!$A$5:$A$2004,0)),0))</f>
        <v>0</v>
      </c>
      <c r="T295" s="26" t="str">
        <f aca="false">IF($D295="","",O295-R295-S295)</f>
        <v/>
      </c>
    </row>
    <row r="296" customFormat="false" ht="15" hidden="false" customHeight="false" outlineLevel="0" collapsed="false">
      <c r="I296" s="24" t="str">
        <f aca="false">IF($D296="","",IFERROR(INDEX(Workers!$B$5:$B$2004,MATCH($D296,Workers!$A$5:$A$2004,0)),"NOT FOUND"))</f>
        <v/>
      </c>
      <c r="J296" s="24" t="str">
        <f aca="false">IF($D296="","",IFERROR(INDEX(Workers!$C$5:$C$2004,MATCH($D296,Workers!$A$5:$A$2004,0)),""))</f>
        <v/>
      </c>
      <c r="K296" s="24" t="str">
        <f aca="false">IF($D296="","",IFERROR(IF(INDEX(Workers!$D$5:$D$2004,MATCH($D296,Workers!$A$5:$A$2004,0))=0,"",INDEX(Workers!$D$5:$D$2004,MATCH($D296,Workers!$A$5:$A$2004,0))),""))</f>
        <v/>
      </c>
      <c r="L296" s="24" t="str">
        <f aca="false">IF($D296="","",IFERROR(INDEX(Workers!$E$5:$E$2004,MATCH($D296,Workers!$A$5:$A$2004,0)),""))</f>
        <v/>
      </c>
      <c r="M296" s="26" t="str">
        <f aca="false">IF($D296="","",IFERROR(INDEX(ClientRates!$D$5:$D$500,MATCH($B296&amp;"|"&amp;$L296,ClientRates!$A$5:$A$500,0)),0))</f>
        <v/>
      </c>
      <c r="N296" s="26" t="str">
        <f aca="false">IF($D296="","",IFERROR(INDEX(ClientRates!$E$5:$E$500,MATCH($B296&amp;"|"&amp;$L296,ClientRates!$A$5:$A$500,0)),0))</f>
        <v/>
      </c>
      <c r="O296" s="26" t="str">
        <f aca="false">IF($D296="","",F296*M296+G296*N296)</f>
        <v/>
      </c>
      <c r="P296" s="26" t="str">
        <f aca="false">IF(OR($D296="",$J296&lt;&gt;"Supplier"),"",IFERROR(INDEX(SupplierRates!$D$5:$D$500,MATCH($K296&amp;"|"&amp;$L296,SupplierRates!$A$5:$A$500,0)),0))</f>
        <v/>
      </c>
      <c r="Q296" s="26" t="str">
        <f aca="false">IF(OR($D296="",$J296&lt;&gt;"Supplier"),"",IFERROR(INDEX(SupplierRates!$E$5:$E$500,MATCH($K296&amp;"|"&amp;$L296,SupplierRates!$A$5:$A$500,0)),0))</f>
        <v/>
      </c>
      <c r="R296" s="26" t="n">
        <f aca="false">IF(OR($D296="",$J296&lt;&gt;"Supplier"),0,F296*P296+G296*Q296)</f>
        <v>0</v>
      </c>
      <c r="S296" s="26" t="n">
        <f aca="false">IF(OR($D296="",$J296&lt;&gt;"Own"),0,IFERROR((F296+G296*Settings!$B$13)*INDEX(Workers!$V$5:$V$2004,MATCH($D296,Workers!$A$5:$A$2004,0)),0))</f>
        <v>0</v>
      </c>
      <c r="T296" s="26" t="str">
        <f aca="false">IF($D296="","",O296-R296-S296)</f>
        <v/>
      </c>
    </row>
    <row r="297" customFormat="false" ht="15" hidden="false" customHeight="false" outlineLevel="0" collapsed="false">
      <c r="I297" s="24" t="str">
        <f aca="false">IF($D297="","",IFERROR(INDEX(Workers!$B$5:$B$2004,MATCH($D297,Workers!$A$5:$A$2004,0)),"NOT FOUND"))</f>
        <v/>
      </c>
      <c r="J297" s="24" t="str">
        <f aca="false">IF($D297="","",IFERROR(INDEX(Workers!$C$5:$C$2004,MATCH($D297,Workers!$A$5:$A$2004,0)),""))</f>
        <v/>
      </c>
      <c r="K297" s="24" t="str">
        <f aca="false">IF($D297="","",IFERROR(IF(INDEX(Workers!$D$5:$D$2004,MATCH($D297,Workers!$A$5:$A$2004,0))=0,"",INDEX(Workers!$D$5:$D$2004,MATCH($D297,Workers!$A$5:$A$2004,0))),""))</f>
        <v/>
      </c>
      <c r="L297" s="24" t="str">
        <f aca="false">IF($D297="","",IFERROR(INDEX(Workers!$E$5:$E$2004,MATCH($D297,Workers!$A$5:$A$2004,0)),""))</f>
        <v/>
      </c>
      <c r="M297" s="26" t="str">
        <f aca="false">IF($D297="","",IFERROR(INDEX(ClientRates!$D$5:$D$500,MATCH($B297&amp;"|"&amp;$L297,ClientRates!$A$5:$A$500,0)),0))</f>
        <v/>
      </c>
      <c r="N297" s="26" t="str">
        <f aca="false">IF($D297="","",IFERROR(INDEX(ClientRates!$E$5:$E$500,MATCH($B297&amp;"|"&amp;$L297,ClientRates!$A$5:$A$500,0)),0))</f>
        <v/>
      </c>
      <c r="O297" s="26" t="str">
        <f aca="false">IF($D297="","",F297*M297+G297*N297)</f>
        <v/>
      </c>
      <c r="P297" s="26" t="str">
        <f aca="false">IF(OR($D297="",$J297&lt;&gt;"Supplier"),"",IFERROR(INDEX(SupplierRates!$D$5:$D$500,MATCH($K297&amp;"|"&amp;$L297,SupplierRates!$A$5:$A$500,0)),0))</f>
        <v/>
      </c>
      <c r="Q297" s="26" t="str">
        <f aca="false">IF(OR($D297="",$J297&lt;&gt;"Supplier"),"",IFERROR(INDEX(SupplierRates!$E$5:$E$500,MATCH($K297&amp;"|"&amp;$L297,SupplierRates!$A$5:$A$500,0)),0))</f>
        <v/>
      </c>
      <c r="R297" s="26" t="n">
        <f aca="false">IF(OR($D297="",$J297&lt;&gt;"Supplier"),0,F297*P297+G297*Q297)</f>
        <v>0</v>
      </c>
      <c r="S297" s="26" t="n">
        <f aca="false">IF(OR($D297="",$J297&lt;&gt;"Own"),0,IFERROR((F297+G297*Settings!$B$13)*INDEX(Workers!$V$5:$V$2004,MATCH($D297,Workers!$A$5:$A$2004,0)),0))</f>
        <v>0</v>
      </c>
      <c r="T297" s="26" t="str">
        <f aca="false">IF($D297="","",O297-R297-S297)</f>
        <v/>
      </c>
    </row>
    <row r="298" customFormat="false" ht="15" hidden="false" customHeight="false" outlineLevel="0" collapsed="false">
      <c r="I298" s="24" t="str">
        <f aca="false">IF($D298="","",IFERROR(INDEX(Workers!$B$5:$B$2004,MATCH($D298,Workers!$A$5:$A$2004,0)),"NOT FOUND"))</f>
        <v/>
      </c>
      <c r="J298" s="24" t="str">
        <f aca="false">IF($D298="","",IFERROR(INDEX(Workers!$C$5:$C$2004,MATCH($D298,Workers!$A$5:$A$2004,0)),""))</f>
        <v/>
      </c>
      <c r="K298" s="24" t="str">
        <f aca="false">IF($D298="","",IFERROR(IF(INDEX(Workers!$D$5:$D$2004,MATCH($D298,Workers!$A$5:$A$2004,0))=0,"",INDEX(Workers!$D$5:$D$2004,MATCH($D298,Workers!$A$5:$A$2004,0))),""))</f>
        <v/>
      </c>
      <c r="L298" s="24" t="str">
        <f aca="false">IF($D298="","",IFERROR(INDEX(Workers!$E$5:$E$2004,MATCH($D298,Workers!$A$5:$A$2004,0)),""))</f>
        <v/>
      </c>
      <c r="M298" s="26" t="str">
        <f aca="false">IF($D298="","",IFERROR(INDEX(ClientRates!$D$5:$D$500,MATCH($B298&amp;"|"&amp;$L298,ClientRates!$A$5:$A$500,0)),0))</f>
        <v/>
      </c>
      <c r="N298" s="26" t="str">
        <f aca="false">IF($D298="","",IFERROR(INDEX(ClientRates!$E$5:$E$500,MATCH($B298&amp;"|"&amp;$L298,ClientRates!$A$5:$A$500,0)),0))</f>
        <v/>
      </c>
      <c r="O298" s="26" t="str">
        <f aca="false">IF($D298="","",F298*M298+G298*N298)</f>
        <v/>
      </c>
      <c r="P298" s="26" t="str">
        <f aca="false">IF(OR($D298="",$J298&lt;&gt;"Supplier"),"",IFERROR(INDEX(SupplierRates!$D$5:$D$500,MATCH($K298&amp;"|"&amp;$L298,SupplierRates!$A$5:$A$500,0)),0))</f>
        <v/>
      </c>
      <c r="Q298" s="26" t="str">
        <f aca="false">IF(OR($D298="",$J298&lt;&gt;"Supplier"),"",IFERROR(INDEX(SupplierRates!$E$5:$E$500,MATCH($K298&amp;"|"&amp;$L298,SupplierRates!$A$5:$A$500,0)),0))</f>
        <v/>
      </c>
      <c r="R298" s="26" t="n">
        <f aca="false">IF(OR($D298="",$J298&lt;&gt;"Supplier"),0,F298*P298+G298*Q298)</f>
        <v>0</v>
      </c>
      <c r="S298" s="26" t="n">
        <f aca="false">IF(OR($D298="",$J298&lt;&gt;"Own"),0,IFERROR((F298+G298*Settings!$B$13)*INDEX(Workers!$V$5:$V$2004,MATCH($D298,Workers!$A$5:$A$2004,0)),0))</f>
        <v>0</v>
      </c>
      <c r="T298" s="26" t="str">
        <f aca="false">IF($D298="","",O298-R298-S298)</f>
        <v/>
      </c>
    </row>
    <row r="299" customFormat="false" ht="15" hidden="false" customHeight="false" outlineLevel="0" collapsed="false">
      <c r="I299" s="24" t="str">
        <f aca="false">IF($D299="","",IFERROR(INDEX(Workers!$B$5:$B$2004,MATCH($D299,Workers!$A$5:$A$2004,0)),"NOT FOUND"))</f>
        <v/>
      </c>
      <c r="J299" s="24" t="str">
        <f aca="false">IF($D299="","",IFERROR(INDEX(Workers!$C$5:$C$2004,MATCH($D299,Workers!$A$5:$A$2004,0)),""))</f>
        <v/>
      </c>
      <c r="K299" s="24" t="str">
        <f aca="false">IF($D299="","",IFERROR(IF(INDEX(Workers!$D$5:$D$2004,MATCH($D299,Workers!$A$5:$A$2004,0))=0,"",INDEX(Workers!$D$5:$D$2004,MATCH($D299,Workers!$A$5:$A$2004,0))),""))</f>
        <v/>
      </c>
      <c r="L299" s="24" t="str">
        <f aca="false">IF($D299="","",IFERROR(INDEX(Workers!$E$5:$E$2004,MATCH($D299,Workers!$A$5:$A$2004,0)),""))</f>
        <v/>
      </c>
      <c r="M299" s="26" t="str">
        <f aca="false">IF($D299="","",IFERROR(INDEX(ClientRates!$D$5:$D$500,MATCH($B299&amp;"|"&amp;$L299,ClientRates!$A$5:$A$500,0)),0))</f>
        <v/>
      </c>
      <c r="N299" s="26" t="str">
        <f aca="false">IF($D299="","",IFERROR(INDEX(ClientRates!$E$5:$E$500,MATCH($B299&amp;"|"&amp;$L299,ClientRates!$A$5:$A$500,0)),0))</f>
        <v/>
      </c>
      <c r="O299" s="26" t="str">
        <f aca="false">IF($D299="","",F299*M299+G299*N299)</f>
        <v/>
      </c>
      <c r="P299" s="26" t="str">
        <f aca="false">IF(OR($D299="",$J299&lt;&gt;"Supplier"),"",IFERROR(INDEX(SupplierRates!$D$5:$D$500,MATCH($K299&amp;"|"&amp;$L299,SupplierRates!$A$5:$A$500,0)),0))</f>
        <v/>
      </c>
      <c r="Q299" s="26" t="str">
        <f aca="false">IF(OR($D299="",$J299&lt;&gt;"Supplier"),"",IFERROR(INDEX(SupplierRates!$E$5:$E$500,MATCH($K299&amp;"|"&amp;$L299,SupplierRates!$A$5:$A$500,0)),0))</f>
        <v/>
      </c>
      <c r="R299" s="26" t="n">
        <f aca="false">IF(OR($D299="",$J299&lt;&gt;"Supplier"),0,F299*P299+G299*Q299)</f>
        <v>0</v>
      </c>
      <c r="S299" s="26" t="n">
        <f aca="false">IF(OR($D299="",$J299&lt;&gt;"Own"),0,IFERROR((F299+G299*Settings!$B$13)*INDEX(Workers!$V$5:$V$2004,MATCH($D299,Workers!$A$5:$A$2004,0)),0))</f>
        <v>0</v>
      </c>
      <c r="T299" s="26" t="str">
        <f aca="false">IF($D299="","",O299-R299-S299)</f>
        <v/>
      </c>
    </row>
    <row r="300" customFormat="false" ht="15" hidden="false" customHeight="false" outlineLevel="0" collapsed="false">
      <c r="I300" s="24" t="str">
        <f aca="false">IF($D300="","",IFERROR(INDEX(Workers!$B$5:$B$2004,MATCH($D300,Workers!$A$5:$A$2004,0)),"NOT FOUND"))</f>
        <v/>
      </c>
      <c r="J300" s="24" t="str">
        <f aca="false">IF($D300="","",IFERROR(INDEX(Workers!$C$5:$C$2004,MATCH($D300,Workers!$A$5:$A$2004,0)),""))</f>
        <v/>
      </c>
      <c r="K300" s="24" t="str">
        <f aca="false">IF($D300="","",IFERROR(IF(INDEX(Workers!$D$5:$D$2004,MATCH($D300,Workers!$A$5:$A$2004,0))=0,"",INDEX(Workers!$D$5:$D$2004,MATCH($D300,Workers!$A$5:$A$2004,0))),""))</f>
        <v/>
      </c>
      <c r="L300" s="24" t="str">
        <f aca="false">IF($D300="","",IFERROR(INDEX(Workers!$E$5:$E$2004,MATCH($D300,Workers!$A$5:$A$2004,0)),""))</f>
        <v/>
      </c>
      <c r="M300" s="26" t="str">
        <f aca="false">IF($D300="","",IFERROR(INDEX(ClientRates!$D$5:$D$500,MATCH($B300&amp;"|"&amp;$L300,ClientRates!$A$5:$A$500,0)),0))</f>
        <v/>
      </c>
      <c r="N300" s="26" t="str">
        <f aca="false">IF($D300="","",IFERROR(INDEX(ClientRates!$E$5:$E$500,MATCH($B300&amp;"|"&amp;$L300,ClientRates!$A$5:$A$500,0)),0))</f>
        <v/>
      </c>
      <c r="O300" s="26" t="str">
        <f aca="false">IF($D300="","",F300*M300+G300*N300)</f>
        <v/>
      </c>
      <c r="P300" s="26" t="str">
        <f aca="false">IF(OR($D300="",$J300&lt;&gt;"Supplier"),"",IFERROR(INDEX(SupplierRates!$D$5:$D$500,MATCH($K300&amp;"|"&amp;$L300,SupplierRates!$A$5:$A$500,0)),0))</f>
        <v/>
      </c>
      <c r="Q300" s="26" t="str">
        <f aca="false">IF(OR($D300="",$J300&lt;&gt;"Supplier"),"",IFERROR(INDEX(SupplierRates!$E$5:$E$500,MATCH($K300&amp;"|"&amp;$L300,SupplierRates!$A$5:$A$500,0)),0))</f>
        <v/>
      </c>
      <c r="R300" s="26" t="n">
        <f aca="false">IF(OR($D300="",$J300&lt;&gt;"Supplier"),0,F300*P300+G300*Q300)</f>
        <v>0</v>
      </c>
      <c r="S300" s="26" t="n">
        <f aca="false">IF(OR($D300="",$J300&lt;&gt;"Own"),0,IFERROR((F300+G300*Settings!$B$13)*INDEX(Workers!$V$5:$V$2004,MATCH($D300,Workers!$A$5:$A$2004,0)),0))</f>
        <v>0</v>
      </c>
      <c r="T300" s="26" t="str">
        <f aca="false">IF($D300="","",O300-R300-S300)</f>
        <v/>
      </c>
    </row>
    <row r="301" customFormat="false" ht="15" hidden="false" customHeight="false" outlineLevel="0" collapsed="false">
      <c r="I301" s="24" t="str">
        <f aca="false">IF($D301="","",IFERROR(INDEX(Workers!$B$5:$B$2004,MATCH($D301,Workers!$A$5:$A$2004,0)),"NOT FOUND"))</f>
        <v/>
      </c>
      <c r="J301" s="24" t="str">
        <f aca="false">IF($D301="","",IFERROR(INDEX(Workers!$C$5:$C$2004,MATCH($D301,Workers!$A$5:$A$2004,0)),""))</f>
        <v/>
      </c>
      <c r="K301" s="24" t="str">
        <f aca="false">IF($D301="","",IFERROR(IF(INDEX(Workers!$D$5:$D$2004,MATCH($D301,Workers!$A$5:$A$2004,0))=0,"",INDEX(Workers!$D$5:$D$2004,MATCH($D301,Workers!$A$5:$A$2004,0))),""))</f>
        <v/>
      </c>
      <c r="L301" s="24" t="str">
        <f aca="false">IF($D301="","",IFERROR(INDEX(Workers!$E$5:$E$2004,MATCH($D301,Workers!$A$5:$A$2004,0)),""))</f>
        <v/>
      </c>
      <c r="M301" s="26" t="str">
        <f aca="false">IF($D301="","",IFERROR(INDEX(ClientRates!$D$5:$D$500,MATCH($B301&amp;"|"&amp;$L301,ClientRates!$A$5:$A$500,0)),0))</f>
        <v/>
      </c>
      <c r="N301" s="26" t="str">
        <f aca="false">IF($D301="","",IFERROR(INDEX(ClientRates!$E$5:$E$500,MATCH($B301&amp;"|"&amp;$L301,ClientRates!$A$5:$A$500,0)),0))</f>
        <v/>
      </c>
      <c r="O301" s="26" t="str">
        <f aca="false">IF($D301="","",F301*M301+G301*N301)</f>
        <v/>
      </c>
      <c r="P301" s="26" t="str">
        <f aca="false">IF(OR($D301="",$J301&lt;&gt;"Supplier"),"",IFERROR(INDEX(SupplierRates!$D$5:$D$500,MATCH($K301&amp;"|"&amp;$L301,SupplierRates!$A$5:$A$500,0)),0))</f>
        <v/>
      </c>
      <c r="Q301" s="26" t="str">
        <f aca="false">IF(OR($D301="",$J301&lt;&gt;"Supplier"),"",IFERROR(INDEX(SupplierRates!$E$5:$E$500,MATCH($K301&amp;"|"&amp;$L301,SupplierRates!$A$5:$A$500,0)),0))</f>
        <v/>
      </c>
      <c r="R301" s="26" t="n">
        <f aca="false">IF(OR($D301="",$J301&lt;&gt;"Supplier"),0,F301*P301+G301*Q301)</f>
        <v>0</v>
      </c>
      <c r="S301" s="26" t="n">
        <f aca="false">IF(OR($D301="",$J301&lt;&gt;"Own"),0,IFERROR((F301+G301*Settings!$B$13)*INDEX(Workers!$V$5:$V$2004,MATCH($D301,Workers!$A$5:$A$2004,0)),0))</f>
        <v>0</v>
      </c>
      <c r="T301" s="26" t="str">
        <f aca="false">IF($D301="","",O301-R301-S301)</f>
        <v/>
      </c>
    </row>
    <row r="302" customFormat="false" ht="15" hidden="false" customHeight="false" outlineLevel="0" collapsed="false">
      <c r="I302" s="24" t="str">
        <f aca="false">IF($D302="","",IFERROR(INDEX(Workers!$B$5:$B$2004,MATCH($D302,Workers!$A$5:$A$2004,0)),"NOT FOUND"))</f>
        <v/>
      </c>
      <c r="J302" s="24" t="str">
        <f aca="false">IF($D302="","",IFERROR(INDEX(Workers!$C$5:$C$2004,MATCH($D302,Workers!$A$5:$A$2004,0)),""))</f>
        <v/>
      </c>
      <c r="K302" s="24" t="str">
        <f aca="false">IF($D302="","",IFERROR(IF(INDEX(Workers!$D$5:$D$2004,MATCH($D302,Workers!$A$5:$A$2004,0))=0,"",INDEX(Workers!$D$5:$D$2004,MATCH($D302,Workers!$A$5:$A$2004,0))),""))</f>
        <v/>
      </c>
      <c r="L302" s="24" t="str">
        <f aca="false">IF($D302="","",IFERROR(INDEX(Workers!$E$5:$E$2004,MATCH($D302,Workers!$A$5:$A$2004,0)),""))</f>
        <v/>
      </c>
      <c r="M302" s="26" t="str">
        <f aca="false">IF($D302="","",IFERROR(INDEX(ClientRates!$D$5:$D$500,MATCH($B302&amp;"|"&amp;$L302,ClientRates!$A$5:$A$500,0)),0))</f>
        <v/>
      </c>
      <c r="N302" s="26" t="str">
        <f aca="false">IF($D302="","",IFERROR(INDEX(ClientRates!$E$5:$E$500,MATCH($B302&amp;"|"&amp;$L302,ClientRates!$A$5:$A$500,0)),0))</f>
        <v/>
      </c>
      <c r="O302" s="26" t="str">
        <f aca="false">IF($D302="","",F302*M302+G302*N302)</f>
        <v/>
      </c>
      <c r="P302" s="26" t="str">
        <f aca="false">IF(OR($D302="",$J302&lt;&gt;"Supplier"),"",IFERROR(INDEX(SupplierRates!$D$5:$D$500,MATCH($K302&amp;"|"&amp;$L302,SupplierRates!$A$5:$A$500,0)),0))</f>
        <v/>
      </c>
      <c r="Q302" s="26" t="str">
        <f aca="false">IF(OR($D302="",$J302&lt;&gt;"Supplier"),"",IFERROR(INDEX(SupplierRates!$E$5:$E$500,MATCH($K302&amp;"|"&amp;$L302,SupplierRates!$A$5:$A$500,0)),0))</f>
        <v/>
      </c>
      <c r="R302" s="26" t="n">
        <f aca="false">IF(OR($D302="",$J302&lt;&gt;"Supplier"),0,F302*P302+G302*Q302)</f>
        <v>0</v>
      </c>
      <c r="S302" s="26" t="n">
        <f aca="false">IF(OR($D302="",$J302&lt;&gt;"Own"),0,IFERROR((F302+G302*Settings!$B$13)*INDEX(Workers!$V$5:$V$2004,MATCH($D302,Workers!$A$5:$A$2004,0)),0))</f>
        <v>0</v>
      </c>
      <c r="T302" s="26" t="str">
        <f aca="false">IF($D302="","",O302-R302-S302)</f>
        <v/>
      </c>
    </row>
    <row r="303" customFormat="false" ht="15" hidden="false" customHeight="false" outlineLevel="0" collapsed="false">
      <c r="I303" s="24" t="str">
        <f aca="false">IF($D303="","",IFERROR(INDEX(Workers!$B$5:$B$2004,MATCH($D303,Workers!$A$5:$A$2004,0)),"NOT FOUND"))</f>
        <v/>
      </c>
      <c r="J303" s="24" t="str">
        <f aca="false">IF($D303="","",IFERROR(INDEX(Workers!$C$5:$C$2004,MATCH($D303,Workers!$A$5:$A$2004,0)),""))</f>
        <v/>
      </c>
      <c r="K303" s="24" t="str">
        <f aca="false">IF($D303="","",IFERROR(IF(INDEX(Workers!$D$5:$D$2004,MATCH($D303,Workers!$A$5:$A$2004,0))=0,"",INDEX(Workers!$D$5:$D$2004,MATCH($D303,Workers!$A$5:$A$2004,0))),""))</f>
        <v/>
      </c>
      <c r="L303" s="24" t="str">
        <f aca="false">IF($D303="","",IFERROR(INDEX(Workers!$E$5:$E$2004,MATCH($D303,Workers!$A$5:$A$2004,0)),""))</f>
        <v/>
      </c>
      <c r="M303" s="26" t="str">
        <f aca="false">IF($D303="","",IFERROR(INDEX(ClientRates!$D$5:$D$500,MATCH($B303&amp;"|"&amp;$L303,ClientRates!$A$5:$A$500,0)),0))</f>
        <v/>
      </c>
      <c r="N303" s="26" t="str">
        <f aca="false">IF($D303="","",IFERROR(INDEX(ClientRates!$E$5:$E$500,MATCH($B303&amp;"|"&amp;$L303,ClientRates!$A$5:$A$500,0)),0))</f>
        <v/>
      </c>
      <c r="O303" s="26" t="str">
        <f aca="false">IF($D303="","",F303*M303+G303*N303)</f>
        <v/>
      </c>
      <c r="P303" s="26" t="str">
        <f aca="false">IF(OR($D303="",$J303&lt;&gt;"Supplier"),"",IFERROR(INDEX(SupplierRates!$D$5:$D$500,MATCH($K303&amp;"|"&amp;$L303,SupplierRates!$A$5:$A$500,0)),0))</f>
        <v/>
      </c>
      <c r="Q303" s="26" t="str">
        <f aca="false">IF(OR($D303="",$J303&lt;&gt;"Supplier"),"",IFERROR(INDEX(SupplierRates!$E$5:$E$500,MATCH($K303&amp;"|"&amp;$L303,SupplierRates!$A$5:$A$500,0)),0))</f>
        <v/>
      </c>
      <c r="R303" s="26" t="n">
        <f aca="false">IF(OR($D303="",$J303&lt;&gt;"Supplier"),0,F303*P303+G303*Q303)</f>
        <v>0</v>
      </c>
      <c r="S303" s="26" t="n">
        <f aca="false">IF(OR($D303="",$J303&lt;&gt;"Own"),0,IFERROR((F303+G303*Settings!$B$13)*INDEX(Workers!$V$5:$V$2004,MATCH($D303,Workers!$A$5:$A$2004,0)),0))</f>
        <v>0</v>
      </c>
      <c r="T303" s="26" t="str">
        <f aca="false">IF($D303="","",O303-R303-S303)</f>
        <v/>
      </c>
    </row>
    <row r="304" customFormat="false" ht="15" hidden="false" customHeight="false" outlineLevel="0" collapsed="false">
      <c r="I304" s="24" t="str">
        <f aca="false">IF($D304="","",IFERROR(INDEX(Workers!$B$5:$B$2004,MATCH($D304,Workers!$A$5:$A$2004,0)),"NOT FOUND"))</f>
        <v/>
      </c>
      <c r="J304" s="24" t="str">
        <f aca="false">IF($D304="","",IFERROR(INDEX(Workers!$C$5:$C$2004,MATCH($D304,Workers!$A$5:$A$2004,0)),""))</f>
        <v/>
      </c>
      <c r="K304" s="24" t="str">
        <f aca="false">IF($D304="","",IFERROR(IF(INDEX(Workers!$D$5:$D$2004,MATCH($D304,Workers!$A$5:$A$2004,0))=0,"",INDEX(Workers!$D$5:$D$2004,MATCH($D304,Workers!$A$5:$A$2004,0))),""))</f>
        <v/>
      </c>
      <c r="L304" s="24" t="str">
        <f aca="false">IF($D304="","",IFERROR(INDEX(Workers!$E$5:$E$2004,MATCH($D304,Workers!$A$5:$A$2004,0)),""))</f>
        <v/>
      </c>
      <c r="M304" s="26" t="str">
        <f aca="false">IF($D304="","",IFERROR(INDEX(ClientRates!$D$5:$D$500,MATCH($B304&amp;"|"&amp;$L304,ClientRates!$A$5:$A$500,0)),0))</f>
        <v/>
      </c>
      <c r="N304" s="26" t="str">
        <f aca="false">IF($D304="","",IFERROR(INDEX(ClientRates!$E$5:$E$500,MATCH($B304&amp;"|"&amp;$L304,ClientRates!$A$5:$A$500,0)),0))</f>
        <v/>
      </c>
      <c r="O304" s="26" t="str">
        <f aca="false">IF($D304="","",F304*M304+G304*N304)</f>
        <v/>
      </c>
      <c r="P304" s="26" t="str">
        <f aca="false">IF(OR($D304="",$J304&lt;&gt;"Supplier"),"",IFERROR(INDEX(SupplierRates!$D$5:$D$500,MATCH($K304&amp;"|"&amp;$L304,SupplierRates!$A$5:$A$500,0)),0))</f>
        <v/>
      </c>
      <c r="Q304" s="26" t="str">
        <f aca="false">IF(OR($D304="",$J304&lt;&gt;"Supplier"),"",IFERROR(INDEX(SupplierRates!$E$5:$E$500,MATCH($K304&amp;"|"&amp;$L304,SupplierRates!$A$5:$A$500,0)),0))</f>
        <v/>
      </c>
      <c r="R304" s="26" t="n">
        <f aca="false">IF(OR($D304="",$J304&lt;&gt;"Supplier"),0,F304*P304+G304*Q304)</f>
        <v>0</v>
      </c>
      <c r="S304" s="26" t="n">
        <f aca="false">IF(OR($D304="",$J304&lt;&gt;"Own"),0,IFERROR((F304+G304*Settings!$B$13)*INDEX(Workers!$V$5:$V$2004,MATCH($D304,Workers!$A$5:$A$2004,0)),0))</f>
        <v>0</v>
      </c>
      <c r="T304" s="26" t="str">
        <f aca="false">IF($D304="","",O304-R304-S304)</f>
        <v/>
      </c>
    </row>
    <row r="305" customFormat="false" ht="15" hidden="false" customHeight="false" outlineLevel="0" collapsed="false">
      <c r="I305" s="24" t="str">
        <f aca="false">IF($D305="","",IFERROR(INDEX(Workers!$B$5:$B$2004,MATCH($D305,Workers!$A$5:$A$2004,0)),"NOT FOUND"))</f>
        <v/>
      </c>
      <c r="J305" s="24" t="str">
        <f aca="false">IF($D305="","",IFERROR(INDEX(Workers!$C$5:$C$2004,MATCH($D305,Workers!$A$5:$A$2004,0)),""))</f>
        <v/>
      </c>
      <c r="K305" s="24" t="str">
        <f aca="false">IF($D305="","",IFERROR(IF(INDEX(Workers!$D$5:$D$2004,MATCH($D305,Workers!$A$5:$A$2004,0))=0,"",INDEX(Workers!$D$5:$D$2004,MATCH($D305,Workers!$A$5:$A$2004,0))),""))</f>
        <v/>
      </c>
      <c r="L305" s="24" t="str">
        <f aca="false">IF($D305="","",IFERROR(INDEX(Workers!$E$5:$E$2004,MATCH($D305,Workers!$A$5:$A$2004,0)),""))</f>
        <v/>
      </c>
      <c r="M305" s="26" t="str">
        <f aca="false">IF($D305="","",IFERROR(INDEX(ClientRates!$D$5:$D$500,MATCH($B305&amp;"|"&amp;$L305,ClientRates!$A$5:$A$500,0)),0))</f>
        <v/>
      </c>
      <c r="N305" s="26" t="str">
        <f aca="false">IF($D305="","",IFERROR(INDEX(ClientRates!$E$5:$E$500,MATCH($B305&amp;"|"&amp;$L305,ClientRates!$A$5:$A$500,0)),0))</f>
        <v/>
      </c>
      <c r="O305" s="26" t="str">
        <f aca="false">IF($D305="","",F305*M305+G305*N305)</f>
        <v/>
      </c>
      <c r="P305" s="26" t="str">
        <f aca="false">IF(OR($D305="",$J305&lt;&gt;"Supplier"),"",IFERROR(INDEX(SupplierRates!$D$5:$D$500,MATCH($K305&amp;"|"&amp;$L305,SupplierRates!$A$5:$A$500,0)),0))</f>
        <v/>
      </c>
      <c r="Q305" s="26" t="str">
        <f aca="false">IF(OR($D305="",$J305&lt;&gt;"Supplier"),"",IFERROR(INDEX(SupplierRates!$E$5:$E$500,MATCH($K305&amp;"|"&amp;$L305,SupplierRates!$A$5:$A$500,0)),0))</f>
        <v/>
      </c>
      <c r="R305" s="26" t="n">
        <f aca="false">IF(OR($D305="",$J305&lt;&gt;"Supplier"),0,F305*P305+G305*Q305)</f>
        <v>0</v>
      </c>
      <c r="S305" s="26" t="n">
        <f aca="false">IF(OR($D305="",$J305&lt;&gt;"Own"),0,IFERROR((F305+G305*Settings!$B$13)*INDEX(Workers!$V$5:$V$2004,MATCH($D305,Workers!$A$5:$A$2004,0)),0))</f>
        <v>0</v>
      </c>
      <c r="T305" s="26" t="str">
        <f aca="false">IF($D305="","",O305-R305-S305)</f>
        <v/>
      </c>
    </row>
    <row r="306" customFormat="false" ht="15" hidden="false" customHeight="false" outlineLevel="0" collapsed="false">
      <c r="I306" s="24" t="str">
        <f aca="false">IF($D306="","",IFERROR(INDEX(Workers!$B$5:$B$2004,MATCH($D306,Workers!$A$5:$A$2004,0)),"NOT FOUND"))</f>
        <v/>
      </c>
      <c r="J306" s="24" t="str">
        <f aca="false">IF($D306="","",IFERROR(INDEX(Workers!$C$5:$C$2004,MATCH($D306,Workers!$A$5:$A$2004,0)),""))</f>
        <v/>
      </c>
      <c r="K306" s="24" t="str">
        <f aca="false">IF($D306="","",IFERROR(IF(INDEX(Workers!$D$5:$D$2004,MATCH($D306,Workers!$A$5:$A$2004,0))=0,"",INDEX(Workers!$D$5:$D$2004,MATCH($D306,Workers!$A$5:$A$2004,0))),""))</f>
        <v/>
      </c>
      <c r="L306" s="24" t="str">
        <f aca="false">IF($D306="","",IFERROR(INDEX(Workers!$E$5:$E$2004,MATCH($D306,Workers!$A$5:$A$2004,0)),""))</f>
        <v/>
      </c>
      <c r="M306" s="26" t="str">
        <f aca="false">IF($D306="","",IFERROR(INDEX(ClientRates!$D$5:$D$500,MATCH($B306&amp;"|"&amp;$L306,ClientRates!$A$5:$A$500,0)),0))</f>
        <v/>
      </c>
      <c r="N306" s="26" t="str">
        <f aca="false">IF($D306="","",IFERROR(INDEX(ClientRates!$E$5:$E$500,MATCH($B306&amp;"|"&amp;$L306,ClientRates!$A$5:$A$500,0)),0))</f>
        <v/>
      </c>
      <c r="O306" s="26" t="str">
        <f aca="false">IF($D306="","",F306*M306+G306*N306)</f>
        <v/>
      </c>
      <c r="P306" s="26" t="str">
        <f aca="false">IF(OR($D306="",$J306&lt;&gt;"Supplier"),"",IFERROR(INDEX(SupplierRates!$D$5:$D$500,MATCH($K306&amp;"|"&amp;$L306,SupplierRates!$A$5:$A$500,0)),0))</f>
        <v/>
      </c>
      <c r="Q306" s="26" t="str">
        <f aca="false">IF(OR($D306="",$J306&lt;&gt;"Supplier"),"",IFERROR(INDEX(SupplierRates!$E$5:$E$500,MATCH($K306&amp;"|"&amp;$L306,SupplierRates!$A$5:$A$500,0)),0))</f>
        <v/>
      </c>
      <c r="R306" s="26" t="n">
        <f aca="false">IF(OR($D306="",$J306&lt;&gt;"Supplier"),0,F306*P306+G306*Q306)</f>
        <v>0</v>
      </c>
      <c r="S306" s="26" t="n">
        <f aca="false">IF(OR($D306="",$J306&lt;&gt;"Own"),0,IFERROR((F306+G306*Settings!$B$13)*INDEX(Workers!$V$5:$V$2004,MATCH($D306,Workers!$A$5:$A$2004,0)),0))</f>
        <v>0</v>
      </c>
      <c r="T306" s="26" t="str">
        <f aca="false">IF($D306="","",O306-R306-S306)</f>
        <v/>
      </c>
    </row>
    <row r="307" customFormat="false" ht="15" hidden="false" customHeight="false" outlineLevel="0" collapsed="false">
      <c r="I307" s="24" t="str">
        <f aca="false">IF($D307="","",IFERROR(INDEX(Workers!$B$5:$B$2004,MATCH($D307,Workers!$A$5:$A$2004,0)),"NOT FOUND"))</f>
        <v/>
      </c>
      <c r="J307" s="24" t="str">
        <f aca="false">IF($D307="","",IFERROR(INDEX(Workers!$C$5:$C$2004,MATCH($D307,Workers!$A$5:$A$2004,0)),""))</f>
        <v/>
      </c>
      <c r="K307" s="24" t="str">
        <f aca="false">IF($D307="","",IFERROR(IF(INDEX(Workers!$D$5:$D$2004,MATCH($D307,Workers!$A$5:$A$2004,0))=0,"",INDEX(Workers!$D$5:$D$2004,MATCH($D307,Workers!$A$5:$A$2004,0))),""))</f>
        <v/>
      </c>
      <c r="L307" s="24" t="str">
        <f aca="false">IF($D307="","",IFERROR(INDEX(Workers!$E$5:$E$2004,MATCH($D307,Workers!$A$5:$A$2004,0)),""))</f>
        <v/>
      </c>
      <c r="M307" s="26" t="str">
        <f aca="false">IF($D307="","",IFERROR(INDEX(ClientRates!$D$5:$D$500,MATCH($B307&amp;"|"&amp;$L307,ClientRates!$A$5:$A$500,0)),0))</f>
        <v/>
      </c>
      <c r="N307" s="26" t="str">
        <f aca="false">IF($D307="","",IFERROR(INDEX(ClientRates!$E$5:$E$500,MATCH($B307&amp;"|"&amp;$L307,ClientRates!$A$5:$A$500,0)),0))</f>
        <v/>
      </c>
      <c r="O307" s="26" t="str">
        <f aca="false">IF($D307="","",F307*M307+G307*N307)</f>
        <v/>
      </c>
      <c r="P307" s="26" t="str">
        <f aca="false">IF(OR($D307="",$J307&lt;&gt;"Supplier"),"",IFERROR(INDEX(SupplierRates!$D$5:$D$500,MATCH($K307&amp;"|"&amp;$L307,SupplierRates!$A$5:$A$500,0)),0))</f>
        <v/>
      </c>
      <c r="Q307" s="26" t="str">
        <f aca="false">IF(OR($D307="",$J307&lt;&gt;"Supplier"),"",IFERROR(INDEX(SupplierRates!$E$5:$E$500,MATCH($K307&amp;"|"&amp;$L307,SupplierRates!$A$5:$A$500,0)),0))</f>
        <v/>
      </c>
      <c r="R307" s="26" t="n">
        <f aca="false">IF(OR($D307="",$J307&lt;&gt;"Supplier"),0,F307*P307+G307*Q307)</f>
        <v>0</v>
      </c>
      <c r="S307" s="26" t="n">
        <f aca="false">IF(OR($D307="",$J307&lt;&gt;"Own"),0,IFERROR((F307+G307*Settings!$B$13)*INDEX(Workers!$V$5:$V$2004,MATCH($D307,Workers!$A$5:$A$2004,0)),0))</f>
        <v>0</v>
      </c>
      <c r="T307" s="26" t="str">
        <f aca="false">IF($D307="","",O307-R307-S307)</f>
        <v/>
      </c>
    </row>
    <row r="308" customFormat="false" ht="15" hidden="false" customHeight="false" outlineLevel="0" collapsed="false">
      <c r="I308" s="24" t="str">
        <f aca="false">IF($D308="","",IFERROR(INDEX(Workers!$B$5:$B$2004,MATCH($D308,Workers!$A$5:$A$2004,0)),"NOT FOUND"))</f>
        <v/>
      </c>
      <c r="J308" s="24" t="str">
        <f aca="false">IF($D308="","",IFERROR(INDEX(Workers!$C$5:$C$2004,MATCH($D308,Workers!$A$5:$A$2004,0)),""))</f>
        <v/>
      </c>
      <c r="K308" s="24" t="str">
        <f aca="false">IF($D308="","",IFERROR(IF(INDEX(Workers!$D$5:$D$2004,MATCH($D308,Workers!$A$5:$A$2004,0))=0,"",INDEX(Workers!$D$5:$D$2004,MATCH($D308,Workers!$A$5:$A$2004,0))),""))</f>
        <v/>
      </c>
      <c r="L308" s="24" t="str">
        <f aca="false">IF($D308="","",IFERROR(INDEX(Workers!$E$5:$E$2004,MATCH($D308,Workers!$A$5:$A$2004,0)),""))</f>
        <v/>
      </c>
      <c r="M308" s="26" t="str">
        <f aca="false">IF($D308="","",IFERROR(INDEX(ClientRates!$D$5:$D$500,MATCH($B308&amp;"|"&amp;$L308,ClientRates!$A$5:$A$500,0)),0))</f>
        <v/>
      </c>
      <c r="N308" s="26" t="str">
        <f aca="false">IF($D308="","",IFERROR(INDEX(ClientRates!$E$5:$E$500,MATCH($B308&amp;"|"&amp;$L308,ClientRates!$A$5:$A$500,0)),0))</f>
        <v/>
      </c>
      <c r="O308" s="26" t="str">
        <f aca="false">IF($D308="","",F308*M308+G308*N308)</f>
        <v/>
      </c>
      <c r="P308" s="26" t="str">
        <f aca="false">IF(OR($D308="",$J308&lt;&gt;"Supplier"),"",IFERROR(INDEX(SupplierRates!$D$5:$D$500,MATCH($K308&amp;"|"&amp;$L308,SupplierRates!$A$5:$A$500,0)),0))</f>
        <v/>
      </c>
      <c r="Q308" s="26" t="str">
        <f aca="false">IF(OR($D308="",$J308&lt;&gt;"Supplier"),"",IFERROR(INDEX(SupplierRates!$E$5:$E$500,MATCH($K308&amp;"|"&amp;$L308,SupplierRates!$A$5:$A$500,0)),0))</f>
        <v/>
      </c>
      <c r="R308" s="26" t="n">
        <f aca="false">IF(OR($D308="",$J308&lt;&gt;"Supplier"),0,F308*P308+G308*Q308)</f>
        <v>0</v>
      </c>
      <c r="S308" s="26" t="n">
        <f aca="false">IF(OR($D308="",$J308&lt;&gt;"Own"),0,IFERROR((F308+G308*Settings!$B$13)*INDEX(Workers!$V$5:$V$2004,MATCH($D308,Workers!$A$5:$A$2004,0)),0))</f>
        <v>0</v>
      </c>
      <c r="T308" s="26" t="str">
        <f aca="false">IF($D308="","",O308-R308-S308)</f>
        <v/>
      </c>
    </row>
    <row r="309" customFormat="false" ht="15" hidden="false" customHeight="false" outlineLevel="0" collapsed="false">
      <c r="I309" s="24" t="str">
        <f aca="false">IF($D309="","",IFERROR(INDEX(Workers!$B$5:$B$2004,MATCH($D309,Workers!$A$5:$A$2004,0)),"NOT FOUND"))</f>
        <v/>
      </c>
      <c r="J309" s="24" t="str">
        <f aca="false">IF($D309="","",IFERROR(INDEX(Workers!$C$5:$C$2004,MATCH($D309,Workers!$A$5:$A$2004,0)),""))</f>
        <v/>
      </c>
      <c r="K309" s="24" t="str">
        <f aca="false">IF($D309="","",IFERROR(IF(INDEX(Workers!$D$5:$D$2004,MATCH($D309,Workers!$A$5:$A$2004,0))=0,"",INDEX(Workers!$D$5:$D$2004,MATCH($D309,Workers!$A$5:$A$2004,0))),""))</f>
        <v/>
      </c>
      <c r="L309" s="24" t="str">
        <f aca="false">IF($D309="","",IFERROR(INDEX(Workers!$E$5:$E$2004,MATCH($D309,Workers!$A$5:$A$2004,0)),""))</f>
        <v/>
      </c>
      <c r="M309" s="26" t="str">
        <f aca="false">IF($D309="","",IFERROR(INDEX(ClientRates!$D$5:$D$500,MATCH($B309&amp;"|"&amp;$L309,ClientRates!$A$5:$A$500,0)),0))</f>
        <v/>
      </c>
      <c r="N309" s="26" t="str">
        <f aca="false">IF($D309="","",IFERROR(INDEX(ClientRates!$E$5:$E$500,MATCH($B309&amp;"|"&amp;$L309,ClientRates!$A$5:$A$500,0)),0))</f>
        <v/>
      </c>
      <c r="O309" s="26" t="str">
        <f aca="false">IF($D309="","",F309*M309+G309*N309)</f>
        <v/>
      </c>
      <c r="P309" s="26" t="str">
        <f aca="false">IF(OR($D309="",$J309&lt;&gt;"Supplier"),"",IFERROR(INDEX(SupplierRates!$D$5:$D$500,MATCH($K309&amp;"|"&amp;$L309,SupplierRates!$A$5:$A$500,0)),0))</f>
        <v/>
      </c>
      <c r="Q309" s="26" t="str">
        <f aca="false">IF(OR($D309="",$J309&lt;&gt;"Supplier"),"",IFERROR(INDEX(SupplierRates!$E$5:$E$500,MATCH($K309&amp;"|"&amp;$L309,SupplierRates!$A$5:$A$500,0)),0))</f>
        <v/>
      </c>
      <c r="R309" s="26" t="n">
        <f aca="false">IF(OR($D309="",$J309&lt;&gt;"Supplier"),0,F309*P309+G309*Q309)</f>
        <v>0</v>
      </c>
      <c r="S309" s="26" t="n">
        <f aca="false">IF(OR($D309="",$J309&lt;&gt;"Own"),0,IFERROR((F309+G309*Settings!$B$13)*INDEX(Workers!$V$5:$V$2004,MATCH($D309,Workers!$A$5:$A$2004,0)),0))</f>
        <v>0</v>
      </c>
      <c r="T309" s="26" t="str">
        <f aca="false">IF($D309="","",O309-R309-S309)</f>
        <v/>
      </c>
    </row>
    <row r="310" customFormat="false" ht="15" hidden="false" customHeight="false" outlineLevel="0" collapsed="false">
      <c r="I310" s="24" t="str">
        <f aca="false">IF($D310="","",IFERROR(INDEX(Workers!$B$5:$B$2004,MATCH($D310,Workers!$A$5:$A$2004,0)),"NOT FOUND"))</f>
        <v/>
      </c>
      <c r="J310" s="24" t="str">
        <f aca="false">IF($D310="","",IFERROR(INDEX(Workers!$C$5:$C$2004,MATCH($D310,Workers!$A$5:$A$2004,0)),""))</f>
        <v/>
      </c>
      <c r="K310" s="24" t="str">
        <f aca="false">IF($D310="","",IFERROR(IF(INDEX(Workers!$D$5:$D$2004,MATCH($D310,Workers!$A$5:$A$2004,0))=0,"",INDEX(Workers!$D$5:$D$2004,MATCH($D310,Workers!$A$5:$A$2004,0))),""))</f>
        <v/>
      </c>
      <c r="L310" s="24" t="str">
        <f aca="false">IF($D310="","",IFERROR(INDEX(Workers!$E$5:$E$2004,MATCH($D310,Workers!$A$5:$A$2004,0)),""))</f>
        <v/>
      </c>
      <c r="M310" s="26" t="str">
        <f aca="false">IF($D310="","",IFERROR(INDEX(ClientRates!$D$5:$D$500,MATCH($B310&amp;"|"&amp;$L310,ClientRates!$A$5:$A$500,0)),0))</f>
        <v/>
      </c>
      <c r="N310" s="26" t="str">
        <f aca="false">IF($D310="","",IFERROR(INDEX(ClientRates!$E$5:$E$500,MATCH($B310&amp;"|"&amp;$L310,ClientRates!$A$5:$A$500,0)),0))</f>
        <v/>
      </c>
      <c r="O310" s="26" t="str">
        <f aca="false">IF($D310="","",F310*M310+G310*N310)</f>
        <v/>
      </c>
      <c r="P310" s="26" t="str">
        <f aca="false">IF(OR($D310="",$J310&lt;&gt;"Supplier"),"",IFERROR(INDEX(SupplierRates!$D$5:$D$500,MATCH($K310&amp;"|"&amp;$L310,SupplierRates!$A$5:$A$500,0)),0))</f>
        <v/>
      </c>
      <c r="Q310" s="26" t="str">
        <f aca="false">IF(OR($D310="",$J310&lt;&gt;"Supplier"),"",IFERROR(INDEX(SupplierRates!$E$5:$E$500,MATCH($K310&amp;"|"&amp;$L310,SupplierRates!$A$5:$A$500,0)),0))</f>
        <v/>
      </c>
      <c r="R310" s="26" t="n">
        <f aca="false">IF(OR($D310="",$J310&lt;&gt;"Supplier"),0,F310*P310+G310*Q310)</f>
        <v>0</v>
      </c>
      <c r="S310" s="26" t="n">
        <f aca="false">IF(OR($D310="",$J310&lt;&gt;"Own"),0,IFERROR((F310+G310*Settings!$B$13)*INDEX(Workers!$V$5:$V$2004,MATCH($D310,Workers!$A$5:$A$2004,0)),0))</f>
        <v>0</v>
      </c>
      <c r="T310" s="26" t="str">
        <f aca="false">IF($D310="","",O310-R310-S310)</f>
        <v/>
      </c>
    </row>
    <row r="311" customFormat="false" ht="15" hidden="false" customHeight="false" outlineLevel="0" collapsed="false">
      <c r="I311" s="24" t="str">
        <f aca="false">IF($D311="","",IFERROR(INDEX(Workers!$B$5:$B$2004,MATCH($D311,Workers!$A$5:$A$2004,0)),"NOT FOUND"))</f>
        <v/>
      </c>
      <c r="J311" s="24" t="str">
        <f aca="false">IF($D311="","",IFERROR(INDEX(Workers!$C$5:$C$2004,MATCH($D311,Workers!$A$5:$A$2004,0)),""))</f>
        <v/>
      </c>
      <c r="K311" s="24" t="str">
        <f aca="false">IF($D311="","",IFERROR(IF(INDEX(Workers!$D$5:$D$2004,MATCH($D311,Workers!$A$5:$A$2004,0))=0,"",INDEX(Workers!$D$5:$D$2004,MATCH($D311,Workers!$A$5:$A$2004,0))),""))</f>
        <v/>
      </c>
      <c r="L311" s="24" t="str">
        <f aca="false">IF($D311="","",IFERROR(INDEX(Workers!$E$5:$E$2004,MATCH($D311,Workers!$A$5:$A$2004,0)),""))</f>
        <v/>
      </c>
      <c r="M311" s="26" t="str">
        <f aca="false">IF($D311="","",IFERROR(INDEX(ClientRates!$D$5:$D$500,MATCH($B311&amp;"|"&amp;$L311,ClientRates!$A$5:$A$500,0)),0))</f>
        <v/>
      </c>
      <c r="N311" s="26" t="str">
        <f aca="false">IF($D311="","",IFERROR(INDEX(ClientRates!$E$5:$E$500,MATCH($B311&amp;"|"&amp;$L311,ClientRates!$A$5:$A$500,0)),0))</f>
        <v/>
      </c>
      <c r="O311" s="26" t="str">
        <f aca="false">IF($D311="","",F311*M311+G311*N311)</f>
        <v/>
      </c>
      <c r="P311" s="26" t="str">
        <f aca="false">IF(OR($D311="",$J311&lt;&gt;"Supplier"),"",IFERROR(INDEX(SupplierRates!$D$5:$D$500,MATCH($K311&amp;"|"&amp;$L311,SupplierRates!$A$5:$A$500,0)),0))</f>
        <v/>
      </c>
      <c r="Q311" s="26" t="str">
        <f aca="false">IF(OR($D311="",$J311&lt;&gt;"Supplier"),"",IFERROR(INDEX(SupplierRates!$E$5:$E$500,MATCH($K311&amp;"|"&amp;$L311,SupplierRates!$A$5:$A$500,0)),0))</f>
        <v/>
      </c>
      <c r="R311" s="26" t="n">
        <f aca="false">IF(OR($D311="",$J311&lt;&gt;"Supplier"),0,F311*P311+G311*Q311)</f>
        <v>0</v>
      </c>
      <c r="S311" s="26" t="n">
        <f aca="false">IF(OR($D311="",$J311&lt;&gt;"Own"),0,IFERROR((F311+G311*Settings!$B$13)*INDEX(Workers!$V$5:$V$2004,MATCH($D311,Workers!$A$5:$A$2004,0)),0))</f>
        <v>0</v>
      </c>
      <c r="T311" s="26" t="str">
        <f aca="false">IF($D311="","",O311-R311-S311)</f>
        <v/>
      </c>
    </row>
    <row r="312" customFormat="false" ht="15" hidden="false" customHeight="false" outlineLevel="0" collapsed="false">
      <c r="I312" s="24" t="str">
        <f aca="false">IF($D312="","",IFERROR(INDEX(Workers!$B$5:$B$2004,MATCH($D312,Workers!$A$5:$A$2004,0)),"NOT FOUND"))</f>
        <v/>
      </c>
      <c r="J312" s="24" t="str">
        <f aca="false">IF($D312="","",IFERROR(INDEX(Workers!$C$5:$C$2004,MATCH($D312,Workers!$A$5:$A$2004,0)),""))</f>
        <v/>
      </c>
      <c r="K312" s="24" t="str">
        <f aca="false">IF($D312="","",IFERROR(IF(INDEX(Workers!$D$5:$D$2004,MATCH($D312,Workers!$A$5:$A$2004,0))=0,"",INDEX(Workers!$D$5:$D$2004,MATCH($D312,Workers!$A$5:$A$2004,0))),""))</f>
        <v/>
      </c>
      <c r="L312" s="24" t="str">
        <f aca="false">IF($D312="","",IFERROR(INDEX(Workers!$E$5:$E$2004,MATCH($D312,Workers!$A$5:$A$2004,0)),""))</f>
        <v/>
      </c>
      <c r="M312" s="26" t="str">
        <f aca="false">IF($D312="","",IFERROR(INDEX(ClientRates!$D$5:$D$500,MATCH($B312&amp;"|"&amp;$L312,ClientRates!$A$5:$A$500,0)),0))</f>
        <v/>
      </c>
      <c r="N312" s="26" t="str">
        <f aca="false">IF($D312="","",IFERROR(INDEX(ClientRates!$E$5:$E$500,MATCH($B312&amp;"|"&amp;$L312,ClientRates!$A$5:$A$500,0)),0))</f>
        <v/>
      </c>
      <c r="O312" s="26" t="str">
        <f aca="false">IF($D312="","",F312*M312+G312*N312)</f>
        <v/>
      </c>
      <c r="P312" s="26" t="str">
        <f aca="false">IF(OR($D312="",$J312&lt;&gt;"Supplier"),"",IFERROR(INDEX(SupplierRates!$D$5:$D$500,MATCH($K312&amp;"|"&amp;$L312,SupplierRates!$A$5:$A$500,0)),0))</f>
        <v/>
      </c>
      <c r="Q312" s="26" t="str">
        <f aca="false">IF(OR($D312="",$J312&lt;&gt;"Supplier"),"",IFERROR(INDEX(SupplierRates!$E$5:$E$500,MATCH($K312&amp;"|"&amp;$L312,SupplierRates!$A$5:$A$500,0)),0))</f>
        <v/>
      </c>
      <c r="R312" s="26" t="n">
        <f aca="false">IF(OR($D312="",$J312&lt;&gt;"Supplier"),0,F312*P312+G312*Q312)</f>
        <v>0</v>
      </c>
      <c r="S312" s="26" t="n">
        <f aca="false">IF(OR($D312="",$J312&lt;&gt;"Own"),0,IFERROR((F312+G312*Settings!$B$13)*INDEX(Workers!$V$5:$V$2004,MATCH($D312,Workers!$A$5:$A$2004,0)),0))</f>
        <v>0</v>
      </c>
      <c r="T312" s="26" t="str">
        <f aca="false">IF($D312="","",O312-R312-S312)</f>
        <v/>
      </c>
    </row>
    <row r="313" customFormat="false" ht="15" hidden="false" customHeight="false" outlineLevel="0" collapsed="false">
      <c r="I313" s="24" t="str">
        <f aca="false">IF($D313="","",IFERROR(INDEX(Workers!$B$5:$B$2004,MATCH($D313,Workers!$A$5:$A$2004,0)),"NOT FOUND"))</f>
        <v/>
      </c>
      <c r="J313" s="24" t="str">
        <f aca="false">IF($D313="","",IFERROR(INDEX(Workers!$C$5:$C$2004,MATCH($D313,Workers!$A$5:$A$2004,0)),""))</f>
        <v/>
      </c>
      <c r="K313" s="24" t="str">
        <f aca="false">IF($D313="","",IFERROR(IF(INDEX(Workers!$D$5:$D$2004,MATCH($D313,Workers!$A$5:$A$2004,0))=0,"",INDEX(Workers!$D$5:$D$2004,MATCH($D313,Workers!$A$5:$A$2004,0))),""))</f>
        <v/>
      </c>
      <c r="L313" s="24" t="str">
        <f aca="false">IF($D313="","",IFERROR(INDEX(Workers!$E$5:$E$2004,MATCH($D313,Workers!$A$5:$A$2004,0)),""))</f>
        <v/>
      </c>
      <c r="M313" s="26" t="str">
        <f aca="false">IF($D313="","",IFERROR(INDEX(ClientRates!$D$5:$D$500,MATCH($B313&amp;"|"&amp;$L313,ClientRates!$A$5:$A$500,0)),0))</f>
        <v/>
      </c>
      <c r="N313" s="26" t="str">
        <f aca="false">IF($D313="","",IFERROR(INDEX(ClientRates!$E$5:$E$500,MATCH($B313&amp;"|"&amp;$L313,ClientRates!$A$5:$A$500,0)),0))</f>
        <v/>
      </c>
      <c r="O313" s="26" t="str">
        <f aca="false">IF($D313="","",F313*M313+G313*N313)</f>
        <v/>
      </c>
      <c r="P313" s="26" t="str">
        <f aca="false">IF(OR($D313="",$J313&lt;&gt;"Supplier"),"",IFERROR(INDEX(SupplierRates!$D$5:$D$500,MATCH($K313&amp;"|"&amp;$L313,SupplierRates!$A$5:$A$500,0)),0))</f>
        <v/>
      </c>
      <c r="Q313" s="26" t="str">
        <f aca="false">IF(OR($D313="",$J313&lt;&gt;"Supplier"),"",IFERROR(INDEX(SupplierRates!$E$5:$E$500,MATCH($K313&amp;"|"&amp;$L313,SupplierRates!$A$5:$A$500,0)),0))</f>
        <v/>
      </c>
      <c r="R313" s="26" t="n">
        <f aca="false">IF(OR($D313="",$J313&lt;&gt;"Supplier"),0,F313*P313+G313*Q313)</f>
        <v>0</v>
      </c>
      <c r="S313" s="26" t="n">
        <f aca="false">IF(OR($D313="",$J313&lt;&gt;"Own"),0,IFERROR((F313+G313*Settings!$B$13)*INDEX(Workers!$V$5:$V$2004,MATCH($D313,Workers!$A$5:$A$2004,0)),0))</f>
        <v>0</v>
      </c>
      <c r="T313" s="26" t="str">
        <f aca="false">IF($D313="","",O313-R313-S313)</f>
        <v/>
      </c>
    </row>
    <row r="314" customFormat="false" ht="15" hidden="false" customHeight="false" outlineLevel="0" collapsed="false">
      <c r="I314" s="24" t="str">
        <f aca="false">IF($D314="","",IFERROR(INDEX(Workers!$B$5:$B$2004,MATCH($D314,Workers!$A$5:$A$2004,0)),"NOT FOUND"))</f>
        <v/>
      </c>
      <c r="J314" s="24" t="str">
        <f aca="false">IF($D314="","",IFERROR(INDEX(Workers!$C$5:$C$2004,MATCH($D314,Workers!$A$5:$A$2004,0)),""))</f>
        <v/>
      </c>
      <c r="K314" s="24" t="str">
        <f aca="false">IF($D314="","",IFERROR(IF(INDEX(Workers!$D$5:$D$2004,MATCH($D314,Workers!$A$5:$A$2004,0))=0,"",INDEX(Workers!$D$5:$D$2004,MATCH($D314,Workers!$A$5:$A$2004,0))),""))</f>
        <v/>
      </c>
      <c r="L314" s="24" t="str">
        <f aca="false">IF($D314="","",IFERROR(INDEX(Workers!$E$5:$E$2004,MATCH($D314,Workers!$A$5:$A$2004,0)),""))</f>
        <v/>
      </c>
      <c r="M314" s="26" t="str">
        <f aca="false">IF($D314="","",IFERROR(INDEX(ClientRates!$D$5:$D$500,MATCH($B314&amp;"|"&amp;$L314,ClientRates!$A$5:$A$500,0)),0))</f>
        <v/>
      </c>
      <c r="N314" s="26" t="str">
        <f aca="false">IF($D314="","",IFERROR(INDEX(ClientRates!$E$5:$E$500,MATCH($B314&amp;"|"&amp;$L314,ClientRates!$A$5:$A$500,0)),0))</f>
        <v/>
      </c>
      <c r="O314" s="26" t="str">
        <f aca="false">IF($D314="","",F314*M314+G314*N314)</f>
        <v/>
      </c>
      <c r="P314" s="26" t="str">
        <f aca="false">IF(OR($D314="",$J314&lt;&gt;"Supplier"),"",IFERROR(INDEX(SupplierRates!$D$5:$D$500,MATCH($K314&amp;"|"&amp;$L314,SupplierRates!$A$5:$A$500,0)),0))</f>
        <v/>
      </c>
      <c r="Q314" s="26" t="str">
        <f aca="false">IF(OR($D314="",$J314&lt;&gt;"Supplier"),"",IFERROR(INDEX(SupplierRates!$E$5:$E$500,MATCH($K314&amp;"|"&amp;$L314,SupplierRates!$A$5:$A$500,0)),0))</f>
        <v/>
      </c>
      <c r="R314" s="26" t="n">
        <f aca="false">IF(OR($D314="",$J314&lt;&gt;"Supplier"),0,F314*P314+G314*Q314)</f>
        <v>0</v>
      </c>
      <c r="S314" s="26" t="n">
        <f aca="false">IF(OR($D314="",$J314&lt;&gt;"Own"),0,IFERROR((F314+G314*Settings!$B$13)*INDEX(Workers!$V$5:$V$2004,MATCH($D314,Workers!$A$5:$A$2004,0)),0))</f>
        <v>0</v>
      </c>
      <c r="T314" s="26" t="str">
        <f aca="false">IF($D314="","",O314-R314-S314)</f>
        <v/>
      </c>
    </row>
    <row r="315" customFormat="false" ht="15" hidden="false" customHeight="false" outlineLevel="0" collapsed="false">
      <c r="I315" s="24" t="str">
        <f aca="false">IF($D315="","",IFERROR(INDEX(Workers!$B$5:$B$2004,MATCH($D315,Workers!$A$5:$A$2004,0)),"NOT FOUND"))</f>
        <v/>
      </c>
      <c r="J315" s="24" t="str">
        <f aca="false">IF($D315="","",IFERROR(INDEX(Workers!$C$5:$C$2004,MATCH($D315,Workers!$A$5:$A$2004,0)),""))</f>
        <v/>
      </c>
      <c r="K315" s="24" t="str">
        <f aca="false">IF($D315="","",IFERROR(IF(INDEX(Workers!$D$5:$D$2004,MATCH($D315,Workers!$A$5:$A$2004,0))=0,"",INDEX(Workers!$D$5:$D$2004,MATCH($D315,Workers!$A$5:$A$2004,0))),""))</f>
        <v/>
      </c>
      <c r="L315" s="24" t="str">
        <f aca="false">IF($D315="","",IFERROR(INDEX(Workers!$E$5:$E$2004,MATCH($D315,Workers!$A$5:$A$2004,0)),""))</f>
        <v/>
      </c>
      <c r="M315" s="26" t="str">
        <f aca="false">IF($D315="","",IFERROR(INDEX(ClientRates!$D$5:$D$500,MATCH($B315&amp;"|"&amp;$L315,ClientRates!$A$5:$A$500,0)),0))</f>
        <v/>
      </c>
      <c r="N315" s="26" t="str">
        <f aca="false">IF($D315="","",IFERROR(INDEX(ClientRates!$E$5:$E$500,MATCH($B315&amp;"|"&amp;$L315,ClientRates!$A$5:$A$500,0)),0))</f>
        <v/>
      </c>
      <c r="O315" s="26" t="str">
        <f aca="false">IF($D315="","",F315*M315+G315*N315)</f>
        <v/>
      </c>
      <c r="P315" s="26" t="str">
        <f aca="false">IF(OR($D315="",$J315&lt;&gt;"Supplier"),"",IFERROR(INDEX(SupplierRates!$D$5:$D$500,MATCH($K315&amp;"|"&amp;$L315,SupplierRates!$A$5:$A$500,0)),0))</f>
        <v/>
      </c>
      <c r="Q315" s="26" t="str">
        <f aca="false">IF(OR($D315="",$J315&lt;&gt;"Supplier"),"",IFERROR(INDEX(SupplierRates!$E$5:$E$500,MATCH($K315&amp;"|"&amp;$L315,SupplierRates!$A$5:$A$500,0)),0))</f>
        <v/>
      </c>
      <c r="R315" s="26" t="n">
        <f aca="false">IF(OR($D315="",$J315&lt;&gt;"Supplier"),0,F315*P315+G315*Q315)</f>
        <v>0</v>
      </c>
      <c r="S315" s="26" t="n">
        <f aca="false">IF(OR($D315="",$J315&lt;&gt;"Own"),0,IFERROR((F315+G315*Settings!$B$13)*INDEX(Workers!$V$5:$V$2004,MATCH($D315,Workers!$A$5:$A$2004,0)),0))</f>
        <v>0</v>
      </c>
      <c r="T315" s="26" t="str">
        <f aca="false">IF($D315="","",O315-R315-S315)</f>
        <v/>
      </c>
    </row>
    <row r="316" customFormat="false" ht="15" hidden="false" customHeight="false" outlineLevel="0" collapsed="false">
      <c r="I316" s="24" t="str">
        <f aca="false">IF($D316="","",IFERROR(INDEX(Workers!$B$5:$B$2004,MATCH($D316,Workers!$A$5:$A$2004,0)),"NOT FOUND"))</f>
        <v/>
      </c>
      <c r="J316" s="24" t="str">
        <f aca="false">IF($D316="","",IFERROR(INDEX(Workers!$C$5:$C$2004,MATCH($D316,Workers!$A$5:$A$2004,0)),""))</f>
        <v/>
      </c>
      <c r="K316" s="24" t="str">
        <f aca="false">IF($D316="","",IFERROR(IF(INDEX(Workers!$D$5:$D$2004,MATCH($D316,Workers!$A$5:$A$2004,0))=0,"",INDEX(Workers!$D$5:$D$2004,MATCH($D316,Workers!$A$5:$A$2004,0))),""))</f>
        <v/>
      </c>
      <c r="L316" s="24" t="str">
        <f aca="false">IF($D316="","",IFERROR(INDEX(Workers!$E$5:$E$2004,MATCH($D316,Workers!$A$5:$A$2004,0)),""))</f>
        <v/>
      </c>
      <c r="M316" s="26" t="str">
        <f aca="false">IF($D316="","",IFERROR(INDEX(ClientRates!$D$5:$D$500,MATCH($B316&amp;"|"&amp;$L316,ClientRates!$A$5:$A$500,0)),0))</f>
        <v/>
      </c>
      <c r="N316" s="26" t="str">
        <f aca="false">IF($D316="","",IFERROR(INDEX(ClientRates!$E$5:$E$500,MATCH($B316&amp;"|"&amp;$L316,ClientRates!$A$5:$A$500,0)),0))</f>
        <v/>
      </c>
      <c r="O316" s="26" t="str">
        <f aca="false">IF($D316="","",F316*M316+G316*N316)</f>
        <v/>
      </c>
      <c r="P316" s="26" t="str">
        <f aca="false">IF(OR($D316="",$J316&lt;&gt;"Supplier"),"",IFERROR(INDEX(SupplierRates!$D$5:$D$500,MATCH($K316&amp;"|"&amp;$L316,SupplierRates!$A$5:$A$500,0)),0))</f>
        <v/>
      </c>
      <c r="Q316" s="26" t="str">
        <f aca="false">IF(OR($D316="",$J316&lt;&gt;"Supplier"),"",IFERROR(INDEX(SupplierRates!$E$5:$E$500,MATCH($K316&amp;"|"&amp;$L316,SupplierRates!$A$5:$A$500,0)),0))</f>
        <v/>
      </c>
      <c r="R316" s="26" t="n">
        <f aca="false">IF(OR($D316="",$J316&lt;&gt;"Supplier"),0,F316*P316+G316*Q316)</f>
        <v>0</v>
      </c>
      <c r="S316" s="26" t="n">
        <f aca="false">IF(OR($D316="",$J316&lt;&gt;"Own"),0,IFERROR((F316+G316*Settings!$B$13)*INDEX(Workers!$V$5:$V$2004,MATCH($D316,Workers!$A$5:$A$2004,0)),0))</f>
        <v>0</v>
      </c>
      <c r="T316" s="26" t="str">
        <f aca="false">IF($D316="","",O316-R316-S316)</f>
        <v/>
      </c>
    </row>
    <row r="317" customFormat="false" ht="15" hidden="false" customHeight="false" outlineLevel="0" collapsed="false">
      <c r="I317" s="24" t="str">
        <f aca="false">IF($D317="","",IFERROR(INDEX(Workers!$B$5:$B$2004,MATCH($D317,Workers!$A$5:$A$2004,0)),"NOT FOUND"))</f>
        <v/>
      </c>
      <c r="J317" s="24" t="str">
        <f aca="false">IF($D317="","",IFERROR(INDEX(Workers!$C$5:$C$2004,MATCH($D317,Workers!$A$5:$A$2004,0)),""))</f>
        <v/>
      </c>
      <c r="K317" s="24" t="str">
        <f aca="false">IF($D317="","",IFERROR(IF(INDEX(Workers!$D$5:$D$2004,MATCH($D317,Workers!$A$5:$A$2004,0))=0,"",INDEX(Workers!$D$5:$D$2004,MATCH($D317,Workers!$A$5:$A$2004,0))),""))</f>
        <v/>
      </c>
      <c r="L317" s="24" t="str">
        <f aca="false">IF($D317="","",IFERROR(INDEX(Workers!$E$5:$E$2004,MATCH($D317,Workers!$A$5:$A$2004,0)),""))</f>
        <v/>
      </c>
      <c r="M317" s="26" t="str">
        <f aca="false">IF($D317="","",IFERROR(INDEX(ClientRates!$D$5:$D$500,MATCH($B317&amp;"|"&amp;$L317,ClientRates!$A$5:$A$500,0)),0))</f>
        <v/>
      </c>
      <c r="N317" s="26" t="str">
        <f aca="false">IF($D317="","",IFERROR(INDEX(ClientRates!$E$5:$E$500,MATCH($B317&amp;"|"&amp;$L317,ClientRates!$A$5:$A$500,0)),0))</f>
        <v/>
      </c>
      <c r="O317" s="26" t="str">
        <f aca="false">IF($D317="","",F317*M317+G317*N317)</f>
        <v/>
      </c>
      <c r="P317" s="26" t="str">
        <f aca="false">IF(OR($D317="",$J317&lt;&gt;"Supplier"),"",IFERROR(INDEX(SupplierRates!$D$5:$D$500,MATCH($K317&amp;"|"&amp;$L317,SupplierRates!$A$5:$A$500,0)),0))</f>
        <v/>
      </c>
      <c r="Q317" s="26" t="str">
        <f aca="false">IF(OR($D317="",$J317&lt;&gt;"Supplier"),"",IFERROR(INDEX(SupplierRates!$E$5:$E$500,MATCH($K317&amp;"|"&amp;$L317,SupplierRates!$A$5:$A$500,0)),0))</f>
        <v/>
      </c>
      <c r="R317" s="26" t="n">
        <f aca="false">IF(OR($D317="",$J317&lt;&gt;"Supplier"),0,F317*P317+G317*Q317)</f>
        <v>0</v>
      </c>
      <c r="S317" s="26" t="n">
        <f aca="false">IF(OR($D317="",$J317&lt;&gt;"Own"),0,IFERROR((F317+G317*Settings!$B$13)*INDEX(Workers!$V$5:$V$2004,MATCH($D317,Workers!$A$5:$A$2004,0)),0))</f>
        <v>0</v>
      </c>
      <c r="T317" s="26" t="str">
        <f aca="false">IF($D317="","",O317-R317-S317)</f>
        <v/>
      </c>
    </row>
    <row r="318" customFormat="false" ht="15" hidden="false" customHeight="false" outlineLevel="0" collapsed="false">
      <c r="I318" s="24" t="str">
        <f aca="false">IF($D318="","",IFERROR(INDEX(Workers!$B$5:$B$2004,MATCH($D318,Workers!$A$5:$A$2004,0)),"NOT FOUND"))</f>
        <v/>
      </c>
      <c r="J318" s="24" t="str">
        <f aca="false">IF($D318="","",IFERROR(INDEX(Workers!$C$5:$C$2004,MATCH($D318,Workers!$A$5:$A$2004,0)),""))</f>
        <v/>
      </c>
      <c r="K318" s="24" t="str">
        <f aca="false">IF($D318="","",IFERROR(IF(INDEX(Workers!$D$5:$D$2004,MATCH($D318,Workers!$A$5:$A$2004,0))=0,"",INDEX(Workers!$D$5:$D$2004,MATCH($D318,Workers!$A$5:$A$2004,0))),""))</f>
        <v/>
      </c>
      <c r="L318" s="24" t="str">
        <f aca="false">IF($D318="","",IFERROR(INDEX(Workers!$E$5:$E$2004,MATCH($D318,Workers!$A$5:$A$2004,0)),""))</f>
        <v/>
      </c>
      <c r="M318" s="26" t="str">
        <f aca="false">IF($D318="","",IFERROR(INDEX(ClientRates!$D$5:$D$500,MATCH($B318&amp;"|"&amp;$L318,ClientRates!$A$5:$A$500,0)),0))</f>
        <v/>
      </c>
      <c r="N318" s="26" t="str">
        <f aca="false">IF($D318="","",IFERROR(INDEX(ClientRates!$E$5:$E$500,MATCH($B318&amp;"|"&amp;$L318,ClientRates!$A$5:$A$500,0)),0))</f>
        <v/>
      </c>
      <c r="O318" s="26" t="str">
        <f aca="false">IF($D318="","",F318*M318+G318*N318)</f>
        <v/>
      </c>
      <c r="P318" s="26" t="str">
        <f aca="false">IF(OR($D318="",$J318&lt;&gt;"Supplier"),"",IFERROR(INDEX(SupplierRates!$D$5:$D$500,MATCH($K318&amp;"|"&amp;$L318,SupplierRates!$A$5:$A$500,0)),0))</f>
        <v/>
      </c>
      <c r="Q318" s="26" t="str">
        <f aca="false">IF(OR($D318="",$J318&lt;&gt;"Supplier"),"",IFERROR(INDEX(SupplierRates!$E$5:$E$500,MATCH($K318&amp;"|"&amp;$L318,SupplierRates!$A$5:$A$500,0)),0))</f>
        <v/>
      </c>
      <c r="R318" s="26" t="n">
        <f aca="false">IF(OR($D318="",$J318&lt;&gt;"Supplier"),0,F318*P318+G318*Q318)</f>
        <v>0</v>
      </c>
      <c r="S318" s="26" t="n">
        <f aca="false">IF(OR($D318="",$J318&lt;&gt;"Own"),0,IFERROR((F318+G318*Settings!$B$13)*INDEX(Workers!$V$5:$V$2004,MATCH($D318,Workers!$A$5:$A$2004,0)),0))</f>
        <v>0</v>
      </c>
      <c r="T318" s="26" t="str">
        <f aca="false">IF($D318="","",O318-R318-S318)</f>
        <v/>
      </c>
    </row>
    <row r="319" customFormat="false" ht="15" hidden="false" customHeight="false" outlineLevel="0" collapsed="false">
      <c r="I319" s="24" t="str">
        <f aca="false">IF($D319="","",IFERROR(INDEX(Workers!$B$5:$B$2004,MATCH($D319,Workers!$A$5:$A$2004,0)),"NOT FOUND"))</f>
        <v/>
      </c>
      <c r="J319" s="24" t="str">
        <f aca="false">IF($D319="","",IFERROR(INDEX(Workers!$C$5:$C$2004,MATCH($D319,Workers!$A$5:$A$2004,0)),""))</f>
        <v/>
      </c>
      <c r="K319" s="24" t="str">
        <f aca="false">IF($D319="","",IFERROR(IF(INDEX(Workers!$D$5:$D$2004,MATCH($D319,Workers!$A$5:$A$2004,0))=0,"",INDEX(Workers!$D$5:$D$2004,MATCH($D319,Workers!$A$5:$A$2004,0))),""))</f>
        <v/>
      </c>
      <c r="L319" s="24" t="str">
        <f aca="false">IF($D319="","",IFERROR(INDEX(Workers!$E$5:$E$2004,MATCH($D319,Workers!$A$5:$A$2004,0)),""))</f>
        <v/>
      </c>
      <c r="M319" s="26" t="str">
        <f aca="false">IF($D319="","",IFERROR(INDEX(ClientRates!$D$5:$D$500,MATCH($B319&amp;"|"&amp;$L319,ClientRates!$A$5:$A$500,0)),0))</f>
        <v/>
      </c>
      <c r="N319" s="26" t="str">
        <f aca="false">IF($D319="","",IFERROR(INDEX(ClientRates!$E$5:$E$500,MATCH($B319&amp;"|"&amp;$L319,ClientRates!$A$5:$A$500,0)),0))</f>
        <v/>
      </c>
      <c r="O319" s="26" t="str">
        <f aca="false">IF($D319="","",F319*M319+G319*N319)</f>
        <v/>
      </c>
      <c r="P319" s="26" t="str">
        <f aca="false">IF(OR($D319="",$J319&lt;&gt;"Supplier"),"",IFERROR(INDEX(SupplierRates!$D$5:$D$500,MATCH($K319&amp;"|"&amp;$L319,SupplierRates!$A$5:$A$500,0)),0))</f>
        <v/>
      </c>
      <c r="Q319" s="26" t="str">
        <f aca="false">IF(OR($D319="",$J319&lt;&gt;"Supplier"),"",IFERROR(INDEX(SupplierRates!$E$5:$E$500,MATCH($K319&amp;"|"&amp;$L319,SupplierRates!$A$5:$A$500,0)),0))</f>
        <v/>
      </c>
      <c r="R319" s="26" t="n">
        <f aca="false">IF(OR($D319="",$J319&lt;&gt;"Supplier"),0,F319*P319+G319*Q319)</f>
        <v>0</v>
      </c>
      <c r="S319" s="26" t="n">
        <f aca="false">IF(OR($D319="",$J319&lt;&gt;"Own"),0,IFERROR((F319+G319*Settings!$B$13)*INDEX(Workers!$V$5:$V$2004,MATCH($D319,Workers!$A$5:$A$2004,0)),0))</f>
        <v>0</v>
      </c>
      <c r="T319" s="26" t="str">
        <f aca="false">IF($D319="","",O319-R319-S319)</f>
        <v/>
      </c>
    </row>
    <row r="320" customFormat="false" ht="15" hidden="false" customHeight="false" outlineLevel="0" collapsed="false">
      <c r="I320" s="24" t="str">
        <f aca="false">IF($D320="","",IFERROR(INDEX(Workers!$B$5:$B$2004,MATCH($D320,Workers!$A$5:$A$2004,0)),"NOT FOUND"))</f>
        <v/>
      </c>
      <c r="J320" s="24" t="str">
        <f aca="false">IF($D320="","",IFERROR(INDEX(Workers!$C$5:$C$2004,MATCH($D320,Workers!$A$5:$A$2004,0)),""))</f>
        <v/>
      </c>
      <c r="K320" s="24" t="str">
        <f aca="false">IF($D320="","",IFERROR(IF(INDEX(Workers!$D$5:$D$2004,MATCH($D320,Workers!$A$5:$A$2004,0))=0,"",INDEX(Workers!$D$5:$D$2004,MATCH($D320,Workers!$A$5:$A$2004,0))),""))</f>
        <v/>
      </c>
      <c r="L320" s="24" t="str">
        <f aca="false">IF($D320="","",IFERROR(INDEX(Workers!$E$5:$E$2004,MATCH($D320,Workers!$A$5:$A$2004,0)),""))</f>
        <v/>
      </c>
      <c r="M320" s="26" t="str">
        <f aca="false">IF($D320="","",IFERROR(INDEX(ClientRates!$D$5:$D$500,MATCH($B320&amp;"|"&amp;$L320,ClientRates!$A$5:$A$500,0)),0))</f>
        <v/>
      </c>
      <c r="N320" s="26" t="str">
        <f aca="false">IF($D320="","",IFERROR(INDEX(ClientRates!$E$5:$E$500,MATCH($B320&amp;"|"&amp;$L320,ClientRates!$A$5:$A$500,0)),0))</f>
        <v/>
      </c>
      <c r="O320" s="26" t="str">
        <f aca="false">IF($D320="","",F320*M320+G320*N320)</f>
        <v/>
      </c>
      <c r="P320" s="26" t="str">
        <f aca="false">IF(OR($D320="",$J320&lt;&gt;"Supplier"),"",IFERROR(INDEX(SupplierRates!$D$5:$D$500,MATCH($K320&amp;"|"&amp;$L320,SupplierRates!$A$5:$A$500,0)),0))</f>
        <v/>
      </c>
      <c r="Q320" s="26" t="str">
        <f aca="false">IF(OR($D320="",$J320&lt;&gt;"Supplier"),"",IFERROR(INDEX(SupplierRates!$E$5:$E$500,MATCH($K320&amp;"|"&amp;$L320,SupplierRates!$A$5:$A$500,0)),0))</f>
        <v/>
      </c>
      <c r="R320" s="26" t="n">
        <f aca="false">IF(OR($D320="",$J320&lt;&gt;"Supplier"),0,F320*P320+G320*Q320)</f>
        <v>0</v>
      </c>
      <c r="S320" s="26" t="n">
        <f aca="false">IF(OR($D320="",$J320&lt;&gt;"Own"),0,IFERROR((F320+G320*Settings!$B$13)*INDEX(Workers!$V$5:$V$2004,MATCH($D320,Workers!$A$5:$A$2004,0)),0))</f>
        <v>0</v>
      </c>
      <c r="T320" s="26" t="str">
        <f aca="false">IF($D320="","",O320-R320-S320)</f>
        <v/>
      </c>
    </row>
    <row r="321" customFormat="false" ht="15" hidden="false" customHeight="false" outlineLevel="0" collapsed="false">
      <c r="I321" s="24" t="str">
        <f aca="false">IF($D321="","",IFERROR(INDEX(Workers!$B$5:$B$2004,MATCH($D321,Workers!$A$5:$A$2004,0)),"NOT FOUND"))</f>
        <v/>
      </c>
      <c r="J321" s="24" t="str">
        <f aca="false">IF($D321="","",IFERROR(INDEX(Workers!$C$5:$C$2004,MATCH($D321,Workers!$A$5:$A$2004,0)),""))</f>
        <v/>
      </c>
      <c r="K321" s="24" t="str">
        <f aca="false">IF($D321="","",IFERROR(IF(INDEX(Workers!$D$5:$D$2004,MATCH($D321,Workers!$A$5:$A$2004,0))=0,"",INDEX(Workers!$D$5:$D$2004,MATCH($D321,Workers!$A$5:$A$2004,0))),""))</f>
        <v/>
      </c>
      <c r="L321" s="24" t="str">
        <f aca="false">IF($D321="","",IFERROR(INDEX(Workers!$E$5:$E$2004,MATCH($D321,Workers!$A$5:$A$2004,0)),""))</f>
        <v/>
      </c>
      <c r="M321" s="26" t="str">
        <f aca="false">IF($D321="","",IFERROR(INDEX(ClientRates!$D$5:$D$500,MATCH($B321&amp;"|"&amp;$L321,ClientRates!$A$5:$A$500,0)),0))</f>
        <v/>
      </c>
      <c r="N321" s="26" t="str">
        <f aca="false">IF($D321="","",IFERROR(INDEX(ClientRates!$E$5:$E$500,MATCH($B321&amp;"|"&amp;$L321,ClientRates!$A$5:$A$500,0)),0))</f>
        <v/>
      </c>
      <c r="O321" s="26" t="str">
        <f aca="false">IF($D321="","",F321*M321+G321*N321)</f>
        <v/>
      </c>
      <c r="P321" s="26" t="str">
        <f aca="false">IF(OR($D321="",$J321&lt;&gt;"Supplier"),"",IFERROR(INDEX(SupplierRates!$D$5:$D$500,MATCH($K321&amp;"|"&amp;$L321,SupplierRates!$A$5:$A$500,0)),0))</f>
        <v/>
      </c>
      <c r="Q321" s="26" t="str">
        <f aca="false">IF(OR($D321="",$J321&lt;&gt;"Supplier"),"",IFERROR(INDEX(SupplierRates!$E$5:$E$500,MATCH($K321&amp;"|"&amp;$L321,SupplierRates!$A$5:$A$500,0)),0))</f>
        <v/>
      </c>
      <c r="R321" s="26" t="n">
        <f aca="false">IF(OR($D321="",$J321&lt;&gt;"Supplier"),0,F321*P321+G321*Q321)</f>
        <v>0</v>
      </c>
      <c r="S321" s="26" t="n">
        <f aca="false">IF(OR($D321="",$J321&lt;&gt;"Own"),0,IFERROR((F321+G321*Settings!$B$13)*INDEX(Workers!$V$5:$V$2004,MATCH($D321,Workers!$A$5:$A$2004,0)),0))</f>
        <v>0</v>
      </c>
      <c r="T321" s="26" t="str">
        <f aca="false">IF($D321="","",O321-R321-S321)</f>
        <v/>
      </c>
    </row>
    <row r="322" customFormat="false" ht="15" hidden="false" customHeight="false" outlineLevel="0" collapsed="false">
      <c r="I322" s="24" t="str">
        <f aca="false">IF($D322="","",IFERROR(INDEX(Workers!$B$5:$B$2004,MATCH($D322,Workers!$A$5:$A$2004,0)),"NOT FOUND"))</f>
        <v/>
      </c>
      <c r="J322" s="24" t="str">
        <f aca="false">IF($D322="","",IFERROR(INDEX(Workers!$C$5:$C$2004,MATCH($D322,Workers!$A$5:$A$2004,0)),""))</f>
        <v/>
      </c>
      <c r="K322" s="24" t="str">
        <f aca="false">IF($D322="","",IFERROR(IF(INDEX(Workers!$D$5:$D$2004,MATCH($D322,Workers!$A$5:$A$2004,0))=0,"",INDEX(Workers!$D$5:$D$2004,MATCH($D322,Workers!$A$5:$A$2004,0))),""))</f>
        <v/>
      </c>
      <c r="L322" s="24" t="str">
        <f aca="false">IF($D322="","",IFERROR(INDEX(Workers!$E$5:$E$2004,MATCH($D322,Workers!$A$5:$A$2004,0)),""))</f>
        <v/>
      </c>
      <c r="M322" s="26" t="str">
        <f aca="false">IF($D322="","",IFERROR(INDEX(ClientRates!$D$5:$D$500,MATCH($B322&amp;"|"&amp;$L322,ClientRates!$A$5:$A$500,0)),0))</f>
        <v/>
      </c>
      <c r="N322" s="26" t="str">
        <f aca="false">IF($D322="","",IFERROR(INDEX(ClientRates!$E$5:$E$500,MATCH($B322&amp;"|"&amp;$L322,ClientRates!$A$5:$A$500,0)),0))</f>
        <v/>
      </c>
      <c r="O322" s="26" t="str">
        <f aca="false">IF($D322="","",F322*M322+G322*N322)</f>
        <v/>
      </c>
      <c r="P322" s="26" t="str">
        <f aca="false">IF(OR($D322="",$J322&lt;&gt;"Supplier"),"",IFERROR(INDEX(SupplierRates!$D$5:$D$500,MATCH($K322&amp;"|"&amp;$L322,SupplierRates!$A$5:$A$500,0)),0))</f>
        <v/>
      </c>
      <c r="Q322" s="26" t="str">
        <f aca="false">IF(OR($D322="",$J322&lt;&gt;"Supplier"),"",IFERROR(INDEX(SupplierRates!$E$5:$E$500,MATCH($K322&amp;"|"&amp;$L322,SupplierRates!$A$5:$A$500,0)),0))</f>
        <v/>
      </c>
      <c r="R322" s="26" t="n">
        <f aca="false">IF(OR($D322="",$J322&lt;&gt;"Supplier"),0,F322*P322+G322*Q322)</f>
        <v>0</v>
      </c>
      <c r="S322" s="26" t="n">
        <f aca="false">IF(OR($D322="",$J322&lt;&gt;"Own"),0,IFERROR((F322+G322*Settings!$B$13)*INDEX(Workers!$V$5:$V$2004,MATCH($D322,Workers!$A$5:$A$2004,0)),0))</f>
        <v>0</v>
      </c>
      <c r="T322" s="26" t="str">
        <f aca="false">IF($D322="","",O322-R322-S322)</f>
        <v/>
      </c>
    </row>
    <row r="323" customFormat="false" ht="15" hidden="false" customHeight="false" outlineLevel="0" collapsed="false">
      <c r="I323" s="24" t="str">
        <f aca="false">IF($D323="","",IFERROR(INDEX(Workers!$B$5:$B$2004,MATCH($D323,Workers!$A$5:$A$2004,0)),"NOT FOUND"))</f>
        <v/>
      </c>
      <c r="J323" s="24" t="str">
        <f aca="false">IF($D323="","",IFERROR(INDEX(Workers!$C$5:$C$2004,MATCH($D323,Workers!$A$5:$A$2004,0)),""))</f>
        <v/>
      </c>
      <c r="K323" s="24" t="str">
        <f aca="false">IF($D323="","",IFERROR(IF(INDEX(Workers!$D$5:$D$2004,MATCH($D323,Workers!$A$5:$A$2004,0))=0,"",INDEX(Workers!$D$5:$D$2004,MATCH($D323,Workers!$A$5:$A$2004,0))),""))</f>
        <v/>
      </c>
      <c r="L323" s="24" t="str">
        <f aca="false">IF($D323="","",IFERROR(INDEX(Workers!$E$5:$E$2004,MATCH($D323,Workers!$A$5:$A$2004,0)),""))</f>
        <v/>
      </c>
      <c r="M323" s="26" t="str">
        <f aca="false">IF($D323="","",IFERROR(INDEX(ClientRates!$D$5:$D$500,MATCH($B323&amp;"|"&amp;$L323,ClientRates!$A$5:$A$500,0)),0))</f>
        <v/>
      </c>
      <c r="N323" s="26" t="str">
        <f aca="false">IF($D323="","",IFERROR(INDEX(ClientRates!$E$5:$E$500,MATCH($B323&amp;"|"&amp;$L323,ClientRates!$A$5:$A$500,0)),0))</f>
        <v/>
      </c>
      <c r="O323" s="26" t="str">
        <f aca="false">IF($D323="","",F323*M323+G323*N323)</f>
        <v/>
      </c>
      <c r="P323" s="26" t="str">
        <f aca="false">IF(OR($D323="",$J323&lt;&gt;"Supplier"),"",IFERROR(INDEX(SupplierRates!$D$5:$D$500,MATCH($K323&amp;"|"&amp;$L323,SupplierRates!$A$5:$A$500,0)),0))</f>
        <v/>
      </c>
      <c r="Q323" s="26" t="str">
        <f aca="false">IF(OR($D323="",$J323&lt;&gt;"Supplier"),"",IFERROR(INDEX(SupplierRates!$E$5:$E$500,MATCH($K323&amp;"|"&amp;$L323,SupplierRates!$A$5:$A$500,0)),0))</f>
        <v/>
      </c>
      <c r="R323" s="26" t="n">
        <f aca="false">IF(OR($D323="",$J323&lt;&gt;"Supplier"),0,F323*P323+G323*Q323)</f>
        <v>0</v>
      </c>
      <c r="S323" s="26" t="n">
        <f aca="false">IF(OR($D323="",$J323&lt;&gt;"Own"),0,IFERROR((F323+G323*Settings!$B$13)*INDEX(Workers!$V$5:$V$2004,MATCH($D323,Workers!$A$5:$A$2004,0)),0))</f>
        <v>0</v>
      </c>
      <c r="T323" s="26" t="str">
        <f aca="false">IF($D323="","",O323-R323-S323)</f>
        <v/>
      </c>
    </row>
    <row r="324" customFormat="false" ht="15" hidden="false" customHeight="false" outlineLevel="0" collapsed="false">
      <c r="I324" s="24" t="str">
        <f aca="false">IF($D324="","",IFERROR(INDEX(Workers!$B$5:$B$2004,MATCH($D324,Workers!$A$5:$A$2004,0)),"NOT FOUND"))</f>
        <v/>
      </c>
      <c r="J324" s="24" t="str">
        <f aca="false">IF($D324="","",IFERROR(INDEX(Workers!$C$5:$C$2004,MATCH($D324,Workers!$A$5:$A$2004,0)),""))</f>
        <v/>
      </c>
      <c r="K324" s="24" t="str">
        <f aca="false">IF($D324="","",IFERROR(IF(INDEX(Workers!$D$5:$D$2004,MATCH($D324,Workers!$A$5:$A$2004,0))=0,"",INDEX(Workers!$D$5:$D$2004,MATCH($D324,Workers!$A$5:$A$2004,0))),""))</f>
        <v/>
      </c>
      <c r="L324" s="24" t="str">
        <f aca="false">IF($D324="","",IFERROR(INDEX(Workers!$E$5:$E$2004,MATCH($D324,Workers!$A$5:$A$2004,0)),""))</f>
        <v/>
      </c>
      <c r="M324" s="26" t="str">
        <f aca="false">IF($D324="","",IFERROR(INDEX(ClientRates!$D$5:$D$500,MATCH($B324&amp;"|"&amp;$L324,ClientRates!$A$5:$A$500,0)),0))</f>
        <v/>
      </c>
      <c r="N324" s="26" t="str">
        <f aca="false">IF($D324="","",IFERROR(INDEX(ClientRates!$E$5:$E$500,MATCH($B324&amp;"|"&amp;$L324,ClientRates!$A$5:$A$500,0)),0))</f>
        <v/>
      </c>
      <c r="O324" s="26" t="str">
        <f aca="false">IF($D324="","",F324*M324+G324*N324)</f>
        <v/>
      </c>
      <c r="P324" s="26" t="str">
        <f aca="false">IF(OR($D324="",$J324&lt;&gt;"Supplier"),"",IFERROR(INDEX(SupplierRates!$D$5:$D$500,MATCH($K324&amp;"|"&amp;$L324,SupplierRates!$A$5:$A$500,0)),0))</f>
        <v/>
      </c>
      <c r="Q324" s="26" t="str">
        <f aca="false">IF(OR($D324="",$J324&lt;&gt;"Supplier"),"",IFERROR(INDEX(SupplierRates!$E$5:$E$500,MATCH($K324&amp;"|"&amp;$L324,SupplierRates!$A$5:$A$500,0)),0))</f>
        <v/>
      </c>
      <c r="R324" s="26" t="n">
        <f aca="false">IF(OR($D324="",$J324&lt;&gt;"Supplier"),0,F324*P324+G324*Q324)</f>
        <v>0</v>
      </c>
      <c r="S324" s="26" t="n">
        <f aca="false">IF(OR($D324="",$J324&lt;&gt;"Own"),0,IFERROR((F324+G324*Settings!$B$13)*INDEX(Workers!$V$5:$V$2004,MATCH($D324,Workers!$A$5:$A$2004,0)),0))</f>
        <v>0</v>
      </c>
      <c r="T324" s="26" t="str">
        <f aca="false">IF($D324="","",O324-R324-S324)</f>
        <v/>
      </c>
    </row>
    <row r="325" customFormat="false" ht="15" hidden="false" customHeight="false" outlineLevel="0" collapsed="false">
      <c r="I325" s="24" t="str">
        <f aca="false">IF($D325="","",IFERROR(INDEX(Workers!$B$5:$B$2004,MATCH($D325,Workers!$A$5:$A$2004,0)),"NOT FOUND"))</f>
        <v/>
      </c>
      <c r="J325" s="24" t="str">
        <f aca="false">IF($D325="","",IFERROR(INDEX(Workers!$C$5:$C$2004,MATCH($D325,Workers!$A$5:$A$2004,0)),""))</f>
        <v/>
      </c>
      <c r="K325" s="24" t="str">
        <f aca="false">IF($D325="","",IFERROR(IF(INDEX(Workers!$D$5:$D$2004,MATCH($D325,Workers!$A$5:$A$2004,0))=0,"",INDEX(Workers!$D$5:$D$2004,MATCH($D325,Workers!$A$5:$A$2004,0))),""))</f>
        <v/>
      </c>
      <c r="L325" s="24" t="str">
        <f aca="false">IF($D325="","",IFERROR(INDEX(Workers!$E$5:$E$2004,MATCH($D325,Workers!$A$5:$A$2004,0)),""))</f>
        <v/>
      </c>
      <c r="M325" s="26" t="str">
        <f aca="false">IF($D325="","",IFERROR(INDEX(ClientRates!$D$5:$D$500,MATCH($B325&amp;"|"&amp;$L325,ClientRates!$A$5:$A$500,0)),0))</f>
        <v/>
      </c>
      <c r="N325" s="26" t="str">
        <f aca="false">IF($D325="","",IFERROR(INDEX(ClientRates!$E$5:$E$500,MATCH($B325&amp;"|"&amp;$L325,ClientRates!$A$5:$A$500,0)),0))</f>
        <v/>
      </c>
      <c r="O325" s="26" t="str">
        <f aca="false">IF($D325="","",F325*M325+G325*N325)</f>
        <v/>
      </c>
      <c r="P325" s="26" t="str">
        <f aca="false">IF(OR($D325="",$J325&lt;&gt;"Supplier"),"",IFERROR(INDEX(SupplierRates!$D$5:$D$500,MATCH($K325&amp;"|"&amp;$L325,SupplierRates!$A$5:$A$500,0)),0))</f>
        <v/>
      </c>
      <c r="Q325" s="26" t="str">
        <f aca="false">IF(OR($D325="",$J325&lt;&gt;"Supplier"),"",IFERROR(INDEX(SupplierRates!$E$5:$E$500,MATCH($K325&amp;"|"&amp;$L325,SupplierRates!$A$5:$A$500,0)),0))</f>
        <v/>
      </c>
      <c r="R325" s="26" t="n">
        <f aca="false">IF(OR($D325="",$J325&lt;&gt;"Supplier"),0,F325*P325+G325*Q325)</f>
        <v>0</v>
      </c>
      <c r="S325" s="26" t="n">
        <f aca="false">IF(OR($D325="",$J325&lt;&gt;"Own"),0,IFERROR((F325+G325*Settings!$B$13)*INDEX(Workers!$V$5:$V$2004,MATCH($D325,Workers!$A$5:$A$2004,0)),0))</f>
        <v>0</v>
      </c>
      <c r="T325" s="26" t="str">
        <f aca="false">IF($D325="","",O325-R325-S325)</f>
        <v/>
      </c>
    </row>
    <row r="326" customFormat="false" ht="15" hidden="false" customHeight="false" outlineLevel="0" collapsed="false">
      <c r="I326" s="24" t="str">
        <f aca="false">IF($D326="","",IFERROR(INDEX(Workers!$B$5:$B$2004,MATCH($D326,Workers!$A$5:$A$2004,0)),"NOT FOUND"))</f>
        <v/>
      </c>
      <c r="J326" s="24" t="str">
        <f aca="false">IF($D326="","",IFERROR(INDEX(Workers!$C$5:$C$2004,MATCH($D326,Workers!$A$5:$A$2004,0)),""))</f>
        <v/>
      </c>
      <c r="K326" s="24" t="str">
        <f aca="false">IF($D326="","",IFERROR(IF(INDEX(Workers!$D$5:$D$2004,MATCH($D326,Workers!$A$5:$A$2004,0))=0,"",INDEX(Workers!$D$5:$D$2004,MATCH($D326,Workers!$A$5:$A$2004,0))),""))</f>
        <v/>
      </c>
      <c r="L326" s="24" t="str">
        <f aca="false">IF($D326="","",IFERROR(INDEX(Workers!$E$5:$E$2004,MATCH($D326,Workers!$A$5:$A$2004,0)),""))</f>
        <v/>
      </c>
      <c r="M326" s="26" t="str">
        <f aca="false">IF($D326="","",IFERROR(INDEX(ClientRates!$D$5:$D$500,MATCH($B326&amp;"|"&amp;$L326,ClientRates!$A$5:$A$500,0)),0))</f>
        <v/>
      </c>
      <c r="N326" s="26" t="str">
        <f aca="false">IF($D326="","",IFERROR(INDEX(ClientRates!$E$5:$E$500,MATCH($B326&amp;"|"&amp;$L326,ClientRates!$A$5:$A$500,0)),0))</f>
        <v/>
      </c>
      <c r="O326" s="26" t="str">
        <f aca="false">IF($D326="","",F326*M326+G326*N326)</f>
        <v/>
      </c>
      <c r="P326" s="26" t="str">
        <f aca="false">IF(OR($D326="",$J326&lt;&gt;"Supplier"),"",IFERROR(INDEX(SupplierRates!$D$5:$D$500,MATCH($K326&amp;"|"&amp;$L326,SupplierRates!$A$5:$A$500,0)),0))</f>
        <v/>
      </c>
      <c r="Q326" s="26" t="str">
        <f aca="false">IF(OR($D326="",$J326&lt;&gt;"Supplier"),"",IFERROR(INDEX(SupplierRates!$E$5:$E$500,MATCH($K326&amp;"|"&amp;$L326,SupplierRates!$A$5:$A$500,0)),0))</f>
        <v/>
      </c>
      <c r="R326" s="26" t="n">
        <f aca="false">IF(OR($D326="",$J326&lt;&gt;"Supplier"),0,F326*P326+G326*Q326)</f>
        <v>0</v>
      </c>
      <c r="S326" s="26" t="n">
        <f aca="false">IF(OR($D326="",$J326&lt;&gt;"Own"),0,IFERROR((F326+G326*Settings!$B$13)*INDEX(Workers!$V$5:$V$2004,MATCH($D326,Workers!$A$5:$A$2004,0)),0))</f>
        <v>0</v>
      </c>
      <c r="T326" s="26" t="str">
        <f aca="false">IF($D326="","",O326-R326-S326)</f>
        <v/>
      </c>
    </row>
    <row r="327" customFormat="false" ht="15" hidden="false" customHeight="false" outlineLevel="0" collapsed="false">
      <c r="I327" s="24" t="str">
        <f aca="false">IF($D327="","",IFERROR(INDEX(Workers!$B$5:$B$2004,MATCH($D327,Workers!$A$5:$A$2004,0)),"NOT FOUND"))</f>
        <v/>
      </c>
      <c r="J327" s="24" t="str">
        <f aca="false">IF($D327="","",IFERROR(INDEX(Workers!$C$5:$C$2004,MATCH($D327,Workers!$A$5:$A$2004,0)),""))</f>
        <v/>
      </c>
      <c r="K327" s="24" t="str">
        <f aca="false">IF($D327="","",IFERROR(IF(INDEX(Workers!$D$5:$D$2004,MATCH($D327,Workers!$A$5:$A$2004,0))=0,"",INDEX(Workers!$D$5:$D$2004,MATCH($D327,Workers!$A$5:$A$2004,0))),""))</f>
        <v/>
      </c>
      <c r="L327" s="24" t="str">
        <f aca="false">IF($D327="","",IFERROR(INDEX(Workers!$E$5:$E$2004,MATCH($D327,Workers!$A$5:$A$2004,0)),""))</f>
        <v/>
      </c>
      <c r="M327" s="26" t="str">
        <f aca="false">IF($D327="","",IFERROR(INDEX(ClientRates!$D$5:$D$500,MATCH($B327&amp;"|"&amp;$L327,ClientRates!$A$5:$A$500,0)),0))</f>
        <v/>
      </c>
      <c r="N327" s="26" t="str">
        <f aca="false">IF($D327="","",IFERROR(INDEX(ClientRates!$E$5:$E$500,MATCH($B327&amp;"|"&amp;$L327,ClientRates!$A$5:$A$500,0)),0))</f>
        <v/>
      </c>
      <c r="O327" s="26" t="str">
        <f aca="false">IF($D327="","",F327*M327+G327*N327)</f>
        <v/>
      </c>
      <c r="P327" s="26" t="str">
        <f aca="false">IF(OR($D327="",$J327&lt;&gt;"Supplier"),"",IFERROR(INDEX(SupplierRates!$D$5:$D$500,MATCH($K327&amp;"|"&amp;$L327,SupplierRates!$A$5:$A$500,0)),0))</f>
        <v/>
      </c>
      <c r="Q327" s="26" t="str">
        <f aca="false">IF(OR($D327="",$J327&lt;&gt;"Supplier"),"",IFERROR(INDEX(SupplierRates!$E$5:$E$500,MATCH($K327&amp;"|"&amp;$L327,SupplierRates!$A$5:$A$500,0)),0))</f>
        <v/>
      </c>
      <c r="R327" s="26" t="n">
        <f aca="false">IF(OR($D327="",$J327&lt;&gt;"Supplier"),0,F327*P327+G327*Q327)</f>
        <v>0</v>
      </c>
      <c r="S327" s="26" t="n">
        <f aca="false">IF(OR($D327="",$J327&lt;&gt;"Own"),0,IFERROR((F327+G327*Settings!$B$13)*INDEX(Workers!$V$5:$V$2004,MATCH($D327,Workers!$A$5:$A$2004,0)),0))</f>
        <v>0</v>
      </c>
      <c r="T327" s="26" t="str">
        <f aca="false">IF($D327="","",O327-R327-S327)</f>
        <v/>
      </c>
    </row>
    <row r="328" customFormat="false" ht="15" hidden="false" customHeight="false" outlineLevel="0" collapsed="false">
      <c r="I328" s="24" t="str">
        <f aca="false">IF($D328="","",IFERROR(INDEX(Workers!$B$5:$B$2004,MATCH($D328,Workers!$A$5:$A$2004,0)),"NOT FOUND"))</f>
        <v/>
      </c>
      <c r="J328" s="24" t="str">
        <f aca="false">IF($D328="","",IFERROR(INDEX(Workers!$C$5:$C$2004,MATCH($D328,Workers!$A$5:$A$2004,0)),""))</f>
        <v/>
      </c>
      <c r="K328" s="24" t="str">
        <f aca="false">IF($D328="","",IFERROR(IF(INDEX(Workers!$D$5:$D$2004,MATCH($D328,Workers!$A$5:$A$2004,0))=0,"",INDEX(Workers!$D$5:$D$2004,MATCH($D328,Workers!$A$5:$A$2004,0))),""))</f>
        <v/>
      </c>
      <c r="L328" s="24" t="str">
        <f aca="false">IF($D328="","",IFERROR(INDEX(Workers!$E$5:$E$2004,MATCH($D328,Workers!$A$5:$A$2004,0)),""))</f>
        <v/>
      </c>
      <c r="M328" s="26" t="str">
        <f aca="false">IF($D328="","",IFERROR(INDEX(ClientRates!$D$5:$D$500,MATCH($B328&amp;"|"&amp;$L328,ClientRates!$A$5:$A$500,0)),0))</f>
        <v/>
      </c>
      <c r="N328" s="26" t="str">
        <f aca="false">IF($D328="","",IFERROR(INDEX(ClientRates!$E$5:$E$500,MATCH($B328&amp;"|"&amp;$L328,ClientRates!$A$5:$A$500,0)),0))</f>
        <v/>
      </c>
      <c r="O328" s="26" t="str">
        <f aca="false">IF($D328="","",F328*M328+G328*N328)</f>
        <v/>
      </c>
      <c r="P328" s="26" t="str">
        <f aca="false">IF(OR($D328="",$J328&lt;&gt;"Supplier"),"",IFERROR(INDEX(SupplierRates!$D$5:$D$500,MATCH($K328&amp;"|"&amp;$L328,SupplierRates!$A$5:$A$500,0)),0))</f>
        <v/>
      </c>
      <c r="Q328" s="26" t="str">
        <f aca="false">IF(OR($D328="",$J328&lt;&gt;"Supplier"),"",IFERROR(INDEX(SupplierRates!$E$5:$E$500,MATCH($K328&amp;"|"&amp;$L328,SupplierRates!$A$5:$A$500,0)),0))</f>
        <v/>
      </c>
      <c r="R328" s="26" t="n">
        <f aca="false">IF(OR($D328="",$J328&lt;&gt;"Supplier"),0,F328*P328+G328*Q328)</f>
        <v>0</v>
      </c>
      <c r="S328" s="26" t="n">
        <f aca="false">IF(OR($D328="",$J328&lt;&gt;"Own"),0,IFERROR((F328+G328*Settings!$B$13)*INDEX(Workers!$V$5:$V$2004,MATCH($D328,Workers!$A$5:$A$2004,0)),0))</f>
        <v>0</v>
      </c>
      <c r="T328" s="26" t="str">
        <f aca="false">IF($D328="","",O328-R328-S328)</f>
        <v/>
      </c>
    </row>
    <row r="329" customFormat="false" ht="15" hidden="false" customHeight="false" outlineLevel="0" collapsed="false">
      <c r="I329" s="24" t="str">
        <f aca="false">IF($D329="","",IFERROR(INDEX(Workers!$B$5:$B$2004,MATCH($D329,Workers!$A$5:$A$2004,0)),"NOT FOUND"))</f>
        <v/>
      </c>
      <c r="J329" s="24" t="str">
        <f aca="false">IF($D329="","",IFERROR(INDEX(Workers!$C$5:$C$2004,MATCH($D329,Workers!$A$5:$A$2004,0)),""))</f>
        <v/>
      </c>
      <c r="K329" s="24" t="str">
        <f aca="false">IF($D329="","",IFERROR(IF(INDEX(Workers!$D$5:$D$2004,MATCH($D329,Workers!$A$5:$A$2004,0))=0,"",INDEX(Workers!$D$5:$D$2004,MATCH($D329,Workers!$A$5:$A$2004,0))),""))</f>
        <v/>
      </c>
      <c r="L329" s="24" t="str">
        <f aca="false">IF($D329="","",IFERROR(INDEX(Workers!$E$5:$E$2004,MATCH($D329,Workers!$A$5:$A$2004,0)),""))</f>
        <v/>
      </c>
      <c r="M329" s="26" t="str">
        <f aca="false">IF($D329="","",IFERROR(INDEX(ClientRates!$D$5:$D$500,MATCH($B329&amp;"|"&amp;$L329,ClientRates!$A$5:$A$500,0)),0))</f>
        <v/>
      </c>
      <c r="N329" s="26" t="str">
        <f aca="false">IF($D329="","",IFERROR(INDEX(ClientRates!$E$5:$E$500,MATCH($B329&amp;"|"&amp;$L329,ClientRates!$A$5:$A$500,0)),0))</f>
        <v/>
      </c>
      <c r="O329" s="26" t="str">
        <f aca="false">IF($D329="","",F329*M329+G329*N329)</f>
        <v/>
      </c>
      <c r="P329" s="26" t="str">
        <f aca="false">IF(OR($D329="",$J329&lt;&gt;"Supplier"),"",IFERROR(INDEX(SupplierRates!$D$5:$D$500,MATCH($K329&amp;"|"&amp;$L329,SupplierRates!$A$5:$A$500,0)),0))</f>
        <v/>
      </c>
      <c r="Q329" s="26" t="str">
        <f aca="false">IF(OR($D329="",$J329&lt;&gt;"Supplier"),"",IFERROR(INDEX(SupplierRates!$E$5:$E$500,MATCH($K329&amp;"|"&amp;$L329,SupplierRates!$A$5:$A$500,0)),0))</f>
        <v/>
      </c>
      <c r="R329" s="26" t="n">
        <f aca="false">IF(OR($D329="",$J329&lt;&gt;"Supplier"),0,F329*P329+G329*Q329)</f>
        <v>0</v>
      </c>
      <c r="S329" s="26" t="n">
        <f aca="false">IF(OR($D329="",$J329&lt;&gt;"Own"),0,IFERROR((F329+G329*Settings!$B$13)*INDEX(Workers!$V$5:$V$2004,MATCH($D329,Workers!$A$5:$A$2004,0)),0))</f>
        <v>0</v>
      </c>
      <c r="T329" s="26" t="str">
        <f aca="false">IF($D329="","",O329-R329-S329)</f>
        <v/>
      </c>
    </row>
    <row r="330" customFormat="false" ht="15" hidden="false" customHeight="false" outlineLevel="0" collapsed="false">
      <c r="I330" s="24" t="str">
        <f aca="false">IF($D330="","",IFERROR(INDEX(Workers!$B$5:$B$2004,MATCH($D330,Workers!$A$5:$A$2004,0)),"NOT FOUND"))</f>
        <v/>
      </c>
      <c r="J330" s="24" t="str">
        <f aca="false">IF($D330="","",IFERROR(INDEX(Workers!$C$5:$C$2004,MATCH($D330,Workers!$A$5:$A$2004,0)),""))</f>
        <v/>
      </c>
      <c r="K330" s="24" t="str">
        <f aca="false">IF($D330="","",IFERROR(IF(INDEX(Workers!$D$5:$D$2004,MATCH($D330,Workers!$A$5:$A$2004,0))=0,"",INDEX(Workers!$D$5:$D$2004,MATCH($D330,Workers!$A$5:$A$2004,0))),""))</f>
        <v/>
      </c>
      <c r="L330" s="24" t="str">
        <f aca="false">IF($D330="","",IFERROR(INDEX(Workers!$E$5:$E$2004,MATCH($D330,Workers!$A$5:$A$2004,0)),""))</f>
        <v/>
      </c>
      <c r="M330" s="26" t="str">
        <f aca="false">IF($D330="","",IFERROR(INDEX(ClientRates!$D$5:$D$500,MATCH($B330&amp;"|"&amp;$L330,ClientRates!$A$5:$A$500,0)),0))</f>
        <v/>
      </c>
      <c r="N330" s="26" t="str">
        <f aca="false">IF($D330="","",IFERROR(INDEX(ClientRates!$E$5:$E$500,MATCH($B330&amp;"|"&amp;$L330,ClientRates!$A$5:$A$500,0)),0))</f>
        <v/>
      </c>
      <c r="O330" s="26" t="str">
        <f aca="false">IF($D330="","",F330*M330+G330*N330)</f>
        <v/>
      </c>
      <c r="P330" s="26" t="str">
        <f aca="false">IF(OR($D330="",$J330&lt;&gt;"Supplier"),"",IFERROR(INDEX(SupplierRates!$D$5:$D$500,MATCH($K330&amp;"|"&amp;$L330,SupplierRates!$A$5:$A$500,0)),0))</f>
        <v/>
      </c>
      <c r="Q330" s="26" t="str">
        <f aca="false">IF(OR($D330="",$J330&lt;&gt;"Supplier"),"",IFERROR(INDEX(SupplierRates!$E$5:$E$500,MATCH($K330&amp;"|"&amp;$L330,SupplierRates!$A$5:$A$500,0)),0))</f>
        <v/>
      </c>
      <c r="R330" s="26" t="n">
        <f aca="false">IF(OR($D330="",$J330&lt;&gt;"Supplier"),0,F330*P330+G330*Q330)</f>
        <v>0</v>
      </c>
      <c r="S330" s="26" t="n">
        <f aca="false">IF(OR($D330="",$J330&lt;&gt;"Own"),0,IFERROR((F330+G330*Settings!$B$13)*INDEX(Workers!$V$5:$V$2004,MATCH($D330,Workers!$A$5:$A$2004,0)),0))</f>
        <v>0</v>
      </c>
      <c r="T330" s="26" t="str">
        <f aca="false">IF($D330="","",O330-R330-S330)</f>
        <v/>
      </c>
    </row>
    <row r="331" customFormat="false" ht="15" hidden="false" customHeight="false" outlineLevel="0" collapsed="false">
      <c r="I331" s="24" t="str">
        <f aca="false">IF($D331="","",IFERROR(INDEX(Workers!$B$5:$B$2004,MATCH($D331,Workers!$A$5:$A$2004,0)),"NOT FOUND"))</f>
        <v/>
      </c>
      <c r="J331" s="24" t="str">
        <f aca="false">IF($D331="","",IFERROR(INDEX(Workers!$C$5:$C$2004,MATCH($D331,Workers!$A$5:$A$2004,0)),""))</f>
        <v/>
      </c>
      <c r="K331" s="24" t="str">
        <f aca="false">IF($D331="","",IFERROR(IF(INDEX(Workers!$D$5:$D$2004,MATCH($D331,Workers!$A$5:$A$2004,0))=0,"",INDEX(Workers!$D$5:$D$2004,MATCH($D331,Workers!$A$5:$A$2004,0))),""))</f>
        <v/>
      </c>
      <c r="L331" s="24" t="str">
        <f aca="false">IF($D331="","",IFERROR(INDEX(Workers!$E$5:$E$2004,MATCH($D331,Workers!$A$5:$A$2004,0)),""))</f>
        <v/>
      </c>
      <c r="M331" s="26" t="str">
        <f aca="false">IF($D331="","",IFERROR(INDEX(ClientRates!$D$5:$D$500,MATCH($B331&amp;"|"&amp;$L331,ClientRates!$A$5:$A$500,0)),0))</f>
        <v/>
      </c>
      <c r="N331" s="26" t="str">
        <f aca="false">IF($D331="","",IFERROR(INDEX(ClientRates!$E$5:$E$500,MATCH($B331&amp;"|"&amp;$L331,ClientRates!$A$5:$A$500,0)),0))</f>
        <v/>
      </c>
      <c r="O331" s="26" t="str">
        <f aca="false">IF($D331="","",F331*M331+G331*N331)</f>
        <v/>
      </c>
      <c r="P331" s="26" t="str">
        <f aca="false">IF(OR($D331="",$J331&lt;&gt;"Supplier"),"",IFERROR(INDEX(SupplierRates!$D$5:$D$500,MATCH($K331&amp;"|"&amp;$L331,SupplierRates!$A$5:$A$500,0)),0))</f>
        <v/>
      </c>
      <c r="Q331" s="26" t="str">
        <f aca="false">IF(OR($D331="",$J331&lt;&gt;"Supplier"),"",IFERROR(INDEX(SupplierRates!$E$5:$E$500,MATCH($K331&amp;"|"&amp;$L331,SupplierRates!$A$5:$A$500,0)),0))</f>
        <v/>
      </c>
      <c r="R331" s="26" t="n">
        <f aca="false">IF(OR($D331="",$J331&lt;&gt;"Supplier"),0,F331*P331+G331*Q331)</f>
        <v>0</v>
      </c>
      <c r="S331" s="26" t="n">
        <f aca="false">IF(OR($D331="",$J331&lt;&gt;"Own"),0,IFERROR((F331+G331*Settings!$B$13)*INDEX(Workers!$V$5:$V$2004,MATCH($D331,Workers!$A$5:$A$2004,0)),0))</f>
        <v>0</v>
      </c>
      <c r="T331" s="26" t="str">
        <f aca="false">IF($D331="","",O331-R331-S331)</f>
        <v/>
      </c>
    </row>
    <row r="332" customFormat="false" ht="15" hidden="false" customHeight="false" outlineLevel="0" collapsed="false">
      <c r="I332" s="24" t="str">
        <f aca="false">IF($D332="","",IFERROR(INDEX(Workers!$B$5:$B$2004,MATCH($D332,Workers!$A$5:$A$2004,0)),"NOT FOUND"))</f>
        <v/>
      </c>
      <c r="J332" s="24" t="str">
        <f aca="false">IF($D332="","",IFERROR(INDEX(Workers!$C$5:$C$2004,MATCH($D332,Workers!$A$5:$A$2004,0)),""))</f>
        <v/>
      </c>
      <c r="K332" s="24" t="str">
        <f aca="false">IF($D332="","",IFERROR(IF(INDEX(Workers!$D$5:$D$2004,MATCH($D332,Workers!$A$5:$A$2004,0))=0,"",INDEX(Workers!$D$5:$D$2004,MATCH($D332,Workers!$A$5:$A$2004,0))),""))</f>
        <v/>
      </c>
      <c r="L332" s="24" t="str">
        <f aca="false">IF($D332="","",IFERROR(INDEX(Workers!$E$5:$E$2004,MATCH($D332,Workers!$A$5:$A$2004,0)),""))</f>
        <v/>
      </c>
      <c r="M332" s="26" t="str">
        <f aca="false">IF($D332="","",IFERROR(INDEX(ClientRates!$D$5:$D$500,MATCH($B332&amp;"|"&amp;$L332,ClientRates!$A$5:$A$500,0)),0))</f>
        <v/>
      </c>
      <c r="N332" s="26" t="str">
        <f aca="false">IF($D332="","",IFERROR(INDEX(ClientRates!$E$5:$E$500,MATCH($B332&amp;"|"&amp;$L332,ClientRates!$A$5:$A$500,0)),0))</f>
        <v/>
      </c>
      <c r="O332" s="26" t="str">
        <f aca="false">IF($D332="","",F332*M332+G332*N332)</f>
        <v/>
      </c>
      <c r="P332" s="26" t="str">
        <f aca="false">IF(OR($D332="",$J332&lt;&gt;"Supplier"),"",IFERROR(INDEX(SupplierRates!$D$5:$D$500,MATCH($K332&amp;"|"&amp;$L332,SupplierRates!$A$5:$A$500,0)),0))</f>
        <v/>
      </c>
      <c r="Q332" s="26" t="str">
        <f aca="false">IF(OR($D332="",$J332&lt;&gt;"Supplier"),"",IFERROR(INDEX(SupplierRates!$E$5:$E$500,MATCH($K332&amp;"|"&amp;$L332,SupplierRates!$A$5:$A$500,0)),0))</f>
        <v/>
      </c>
      <c r="R332" s="26" t="n">
        <f aca="false">IF(OR($D332="",$J332&lt;&gt;"Supplier"),0,F332*P332+G332*Q332)</f>
        <v>0</v>
      </c>
      <c r="S332" s="26" t="n">
        <f aca="false">IF(OR($D332="",$J332&lt;&gt;"Own"),0,IFERROR((F332+G332*Settings!$B$13)*INDEX(Workers!$V$5:$V$2004,MATCH($D332,Workers!$A$5:$A$2004,0)),0))</f>
        <v>0</v>
      </c>
      <c r="T332" s="26" t="str">
        <f aca="false">IF($D332="","",O332-R332-S332)</f>
        <v/>
      </c>
    </row>
    <row r="333" customFormat="false" ht="15" hidden="false" customHeight="false" outlineLevel="0" collapsed="false">
      <c r="I333" s="24" t="str">
        <f aca="false">IF($D333="","",IFERROR(INDEX(Workers!$B$5:$B$2004,MATCH($D333,Workers!$A$5:$A$2004,0)),"NOT FOUND"))</f>
        <v/>
      </c>
      <c r="J333" s="24" t="str">
        <f aca="false">IF($D333="","",IFERROR(INDEX(Workers!$C$5:$C$2004,MATCH($D333,Workers!$A$5:$A$2004,0)),""))</f>
        <v/>
      </c>
      <c r="K333" s="24" t="str">
        <f aca="false">IF($D333="","",IFERROR(IF(INDEX(Workers!$D$5:$D$2004,MATCH($D333,Workers!$A$5:$A$2004,0))=0,"",INDEX(Workers!$D$5:$D$2004,MATCH($D333,Workers!$A$5:$A$2004,0))),""))</f>
        <v/>
      </c>
      <c r="L333" s="24" t="str">
        <f aca="false">IF($D333="","",IFERROR(INDEX(Workers!$E$5:$E$2004,MATCH($D333,Workers!$A$5:$A$2004,0)),""))</f>
        <v/>
      </c>
      <c r="M333" s="26" t="str">
        <f aca="false">IF($D333="","",IFERROR(INDEX(ClientRates!$D$5:$D$500,MATCH($B333&amp;"|"&amp;$L333,ClientRates!$A$5:$A$500,0)),0))</f>
        <v/>
      </c>
      <c r="N333" s="26" t="str">
        <f aca="false">IF($D333="","",IFERROR(INDEX(ClientRates!$E$5:$E$500,MATCH($B333&amp;"|"&amp;$L333,ClientRates!$A$5:$A$500,0)),0))</f>
        <v/>
      </c>
      <c r="O333" s="26" t="str">
        <f aca="false">IF($D333="","",F333*M333+G333*N333)</f>
        <v/>
      </c>
      <c r="P333" s="26" t="str">
        <f aca="false">IF(OR($D333="",$J333&lt;&gt;"Supplier"),"",IFERROR(INDEX(SupplierRates!$D$5:$D$500,MATCH($K333&amp;"|"&amp;$L333,SupplierRates!$A$5:$A$500,0)),0))</f>
        <v/>
      </c>
      <c r="Q333" s="26" t="str">
        <f aca="false">IF(OR($D333="",$J333&lt;&gt;"Supplier"),"",IFERROR(INDEX(SupplierRates!$E$5:$E$500,MATCH($K333&amp;"|"&amp;$L333,SupplierRates!$A$5:$A$500,0)),0))</f>
        <v/>
      </c>
      <c r="R333" s="26" t="n">
        <f aca="false">IF(OR($D333="",$J333&lt;&gt;"Supplier"),0,F333*P333+G333*Q333)</f>
        <v>0</v>
      </c>
      <c r="S333" s="26" t="n">
        <f aca="false">IF(OR($D333="",$J333&lt;&gt;"Own"),0,IFERROR((F333+G333*Settings!$B$13)*INDEX(Workers!$V$5:$V$2004,MATCH($D333,Workers!$A$5:$A$2004,0)),0))</f>
        <v>0</v>
      </c>
      <c r="T333" s="26" t="str">
        <f aca="false">IF($D333="","",O333-R333-S333)</f>
        <v/>
      </c>
    </row>
    <row r="334" customFormat="false" ht="15" hidden="false" customHeight="false" outlineLevel="0" collapsed="false">
      <c r="I334" s="24" t="str">
        <f aca="false">IF($D334="","",IFERROR(INDEX(Workers!$B$5:$B$2004,MATCH($D334,Workers!$A$5:$A$2004,0)),"NOT FOUND"))</f>
        <v/>
      </c>
      <c r="J334" s="24" t="str">
        <f aca="false">IF($D334="","",IFERROR(INDEX(Workers!$C$5:$C$2004,MATCH($D334,Workers!$A$5:$A$2004,0)),""))</f>
        <v/>
      </c>
      <c r="K334" s="24" t="str">
        <f aca="false">IF($D334="","",IFERROR(IF(INDEX(Workers!$D$5:$D$2004,MATCH($D334,Workers!$A$5:$A$2004,0))=0,"",INDEX(Workers!$D$5:$D$2004,MATCH($D334,Workers!$A$5:$A$2004,0))),""))</f>
        <v/>
      </c>
      <c r="L334" s="24" t="str">
        <f aca="false">IF($D334="","",IFERROR(INDEX(Workers!$E$5:$E$2004,MATCH($D334,Workers!$A$5:$A$2004,0)),""))</f>
        <v/>
      </c>
      <c r="M334" s="26" t="str">
        <f aca="false">IF($D334="","",IFERROR(INDEX(ClientRates!$D$5:$D$500,MATCH($B334&amp;"|"&amp;$L334,ClientRates!$A$5:$A$500,0)),0))</f>
        <v/>
      </c>
      <c r="N334" s="26" t="str">
        <f aca="false">IF($D334="","",IFERROR(INDEX(ClientRates!$E$5:$E$500,MATCH($B334&amp;"|"&amp;$L334,ClientRates!$A$5:$A$500,0)),0))</f>
        <v/>
      </c>
      <c r="O334" s="26" t="str">
        <f aca="false">IF($D334="","",F334*M334+G334*N334)</f>
        <v/>
      </c>
      <c r="P334" s="26" t="str">
        <f aca="false">IF(OR($D334="",$J334&lt;&gt;"Supplier"),"",IFERROR(INDEX(SupplierRates!$D$5:$D$500,MATCH($K334&amp;"|"&amp;$L334,SupplierRates!$A$5:$A$500,0)),0))</f>
        <v/>
      </c>
      <c r="Q334" s="26" t="str">
        <f aca="false">IF(OR($D334="",$J334&lt;&gt;"Supplier"),"",IFERROR(INDEX(SupplierRates!$E$5:$E$500,MATCH($K334&amp;"|"&amp;$L334,SupplierRates!$A$5:$A$500,0)),0))</f>
        <v/>
      </c>
      <c r="R334" s="26" t="n">
        <f aca="false">IF(OR($D334="",$J334&lt;&gt;"Supplier"),0,F334*P334+G334*Q334)</f>
        <v>0</v>
      </c>
      <c r="S334" s="26" t="n">
        <f aca="false">IF(OR($D334="",$J334&lt;&gt;"Own"),0,IFERROR((F334+G334*Settings!$B$13)*INDEX(Workers!$V$5:$V$2004,MATCH($D334,Workers!$A$5:$A$2004,0)),0))</f>
        <v>0</v>
      </c>
      <c r="T334" s="26" t="str">
        <f aca="false">IF($D334="","",O334-R334-S334)</f>
        <v/>
      </c>
    </row>
    <row r="335" customFormat="false" ht="15" hidden="false" customHeight="false" outlineLevel="0" collapsed="false">
      <c r="I335" s="24" t="str">
        <f aca="false">IF($D335="","",IFERROR(INDEX(Workers!$B$5:$B$2004,MATCH($D335,Workers!$A$5:$A$2004,0)),"NOT FOUND"))</f>
        <v/>
      </c>
      <c r="J335" s="24" t="str">
        <f aca="false">IF($D335="","",IFERROR(INDEX(Workers!$C$5:$C$2004,MATCH($D335,Workers!$A$5:$A$2004,0)),""))</f>
        <v/>
      </c>
      <c r="K335" s="24" t="str">
        <f aca="false">IF($D335="","",IFERROR(IF(INDEX(Workers!$D$5:$D$2004,MATCH($D335,Workers!$A$5:$A$2004,0))=0,"",INDEX(Workers!$D$5:$D$2004,MATCH($D335,Workers!$A$5:$A$2004,0))),""))</f>
        <v/>
      </c>
      <c r="L335" s="24" t="str">
        <f aca="false">IF($D335="","",IFERROR(INDEX(Workers!$E$5:$E$2004,MATCH($D335,Workers!$A$5:$A$2004,0)),""))</f>
        <v/>
      </c>
      <c r="M335" s="26" t="str">
        <f aca="false">IF($D335="","",IFERROR(INDEX(ClientRates!$D$5:$D$500,MATCH($B335&amp;"|"&amp;$L335,ClientRates!$A$5:$A$500,0)),0))</f>
        <v/>
      </c>
      <c r="N335" s="26" t="str">
        <f aca="false">IF($D335="","",IFERROR(INDEX(ClientRates!$E$5:$E$500,MATCH($B335&amp;"|"&amp;$L335,ClientRates!$A$5:$A$500,0)),0))</f>
        <v/>
      </c>
      <c r="O335" s="26" t="str">
        <f aca="false">IF($D335="","",F335*M335+G335*N335)</f>
        <v/>
      </c>
      <c r="P335" s="26" t="str">
        <f aca="false">IF(OR($D335="",$J335&lt;&gt;"Supplier"),"",IFERROR(INDEX(SupplierRates!$D$5:$D$500,MATCH($K335&amp;"|"&amp;$L335,SupplierRates!$A$5:$A$500,0)),0))</f>
        <v/>
      </c>
      <c r="Q335" s="26" t="str">
        <f aca="false">IF(OR($D335="",$J335&lt;&gt;"Supplier"),"",IFERROR(INDEX(SupplierRates!$E$5:$E$500,MATCH($K335&amp;"|"&amp;$L335,SupplierRates!$A$5:$A$500,0)),0))</f>
        <v/>
      </c>
      <c r="R335" s="26" t="n">
        <f aca="false">IF(OR($D335="",$J335&lt;&gt;"Supplier"),0,F335*P335+G335*Q335)</f>
        <v>0</v>
      </c>
      <c r="S335" s="26" t="n">
        <f aca="false">IF(OR($D335="",$J335&lt;&gt;"Own"),0,IFERROR((F335+G335*Settings!$B$13)*INDEX(Workers!$V$5:$V$2004,MATCH($D335,Workers!$A$5:$A$2004,0)),0))</f>
        <v>0</v>
      </c>
      <c r="T335" s="26" t="str">
        <f aca="false">IF($D335="","",O335-R335-S335)</f>
        <v/>
      </c>
    </row>
    <row r="336" customFormat="false" ht="15" hidden="false" customHeight="false" outlineLevel="0" collapsed="false">
      <c r="I336" s="24" t="str">
        <f aca="false">IF($D336="","",IFERROR(INDEX(Workers!$B$5:$B$2004,MATCH($D336,Workers!$A$5:$A$2004,0)),"NOT FOUND"))</f>
        <v/>
      </c>
      <c r="J336" s="24" t="str">
        <f aca="false">IF($D336="","",IFERROR(INDEX(Workers!$C$5:$C$2004,MATCH($D336,Workers!$A$5:$A$2004,0)),""))</f>
        <v/>
      </c>
      <c r="K336" s="24" t="str">
        <f aca="false">IF($D336="","",IFERROR(IF(INDEX(Workers!$D$5:$D$2004,MATCH($D336,Workers!$A$5:$A$2004,0))=0,"",INDEX(Workers!$D$5:$D$2004,MATCH($D336,Workers!$A$5:$A$2004,0))),""))</f>
        <v/>
      </c>
      <c r="L336" s="24" t="str">
        <f aca="false">IF($D336="","",IFERROR(INDEX(Workers!$E$5:$E$2004,MATCH($D336,Workers!$A$5:$A$2004,0)),""))</f>
        <v/>
      </c>
      <c r="M336" s="26" t="str">
        <f aca="false">IF($D336="","",IFERROR(INDEX(ClientRates!$D$5:$D$500,MATCH($B336&amp;"|"&amp;$L336,ClientRates!$A$5:$A$500,0)),0))</f>
        <v/>
      </c>
      <c r="N336" s="26" t="str">
        <f aca="false">IF($D336="","",IFERROR(INDEX(ClientRates!$E$5:$E$500,MATCH($B336&amp;"|"&amp;$L336,ClientRates!$A$5:$A$500,0)),0))</f>
        <v/>
      </c>
      <c r="O336" s="26" t="str">
        <f aca="false">IF($D336="","",F336*M336+G336*N336)</f>
        <v/>
      </c>
      <c r="P336" s="26" t="str">
        <f aca="false">IF(OR($D336="",$J336&lt;&gt;"Supplier"),"",IFERROR(INDEX(SupplierRates!$D$5:$D$500,MATCH($K336&amp;"|"&amp;$L336,SupplierRates!$A$5:$A$500,0)),0))</f>
        <v/>
      </c>
      <c r="Q336" s="26" t="str">
        <f aca="false">IF(OR($D336="",$J336&lt;&gt;"Supplier"),"",IFERROR(INDEX(SupplierRates!$E$5:$E$500,MATCH($K336&amp;"|"&amp;$L336,SupplierRates!$A$5:$A$500,0)),0))</f>
        <v/>
      </c>
      <c r="R336" s="26" t="n">
        <f aca="false">IF(OR($D336="",$J336&lt;&gt;"Supplier"),0,F336*P336+G336*Q336)</f>
        <v>0</v>
      </c>
      <c r="S336" s="26" t="n">
        <f aca="false">IF(OR($D336="",$J336&lt;&gt;"Own"),0,IFERROR((F336+G336*Settings!$B$13)*INDEX(Workers!$V$5:$V$2004,MATCH($D336,Workers!$A$5:$A$2004,0)),0))</f>
        <v>0</v>
      </c>
      <c r="T336" s="26" t="str">
        <f aca="false">IF($D336="","",O336-R336-S336)</f>
        <v/>
      </c>
    </row>
    <row r="337" customFormat="false" ht="15" hidden="false" customHeight="false" outlineLevel="0" collapsed="false">
      <c r="I337" s="24" t="str">
        <f aca="false">IF($D337="","",IFERROR(INDEX(Workers!$B$5:$B$2004,MATCH($D337,Workers!$A$5:$A$2004,0)),"NOT FOUND"))</f>
        <v/>
      </c>
      <c r="J337" s="24" t="str">
        <f aca="false">IF($D337="","",IFERROR(INDEX(Workers!$C$5:$C$2004,MATCH($D337,Workers!$A$5:$A$2004,0)),""))</f>
        <v/>
      </c>
      <c r="K337" s="24" t="str">
        <f aca="false">IF($D337="","",IFERROR(IF(INDEX(Workers!$D$5:$D$2004,MATCH($D337,Workers!$A$5:$A$2004,0))=0,"",INDEX(Workers!$D$5:$D$2004,MATCH($D337,Workers!$A$5:$A$2004,0))),""))</f>
        <v/>
      </c>
      <c r="L337" s="24" t="str">
        <f aca="false">IF($D337="","",IFERROR(INDEX(Workers!$E$5:$E$2004,MATCH($D337,Workers!$A$5:$A$2004,0)),""))</f>
        <v/>
      </c>
      <c r="M337" s="26" t="str">
        <f aca="false">IF($D337="","",IFERROR(INDEX(ClientRates!$D$5:$D$500,MATCH($B337&amp;"|"&amp;$L337,ClientRates!$A$5:$A$500,0)),0))</f>
        <v/>
      </c>
      <c r="N337" s="26" t="str">
        <f aca="false">IF($D337="","",IFERROR(INDEX(ClientRates!$E$5:$E$500,MATCH($B337&amp;"|"&amp;$L337,ClientRates!$A$5:$A$500,0)),0))</f>
        <v/>
      </c>
      <c r="O337" s="26" t="str">
        <f aca="false">IF($D337="","",F337*M337+G337*N337)</f>
        <v/>
      </c>
      <c r="P337" s="26" t="str">
        <f aca="false">IF(OR($D337="",$J337&lt;&gt;"Supplier"),"",IFERROR(INDEX(SupplierRates!$D$5:$D$500,MATCH($K337&amp;"|"&amp;$L337,SupplierRates!$A$5:$A$500,0)),0))</f>
        <v/>
      </c>
      <c r="Q337" s="26" t="str">
        <f aca="false">IF(OR($D337="",$J337&lt;&gt;"Supplier"),"",IFERROR(INDEX(SupplierRates!$E$5:$E$500,MATCH($K337&amp;"|"&amp;$L337,SupplierRates!$A$5:$A$500,0)),0))</f>
        <v/>
      </c>
      <c r="R337" s="26" t="n">
        <f aca="false">IF(OR($D337="",$J337&lt;&gt;"Supplier"),0,F337*P337+G337*Q337)</f>
        <v>0</v>
      </c>
      <c r="S337" s="26" t="n">
        <f aca="false">IF(OR($D337="",$J337&lt;&gt;"Own"),0,IFERROR((F337+G337*Settings!$B$13)*INDEX(Workers!$V$5:$V$2004,MATCH($D337,Workers!$A$5:$A$2004,0)),0))</f>
        <v>0</v>
      </c>
      <c r="T337" s="26" t="str">
        <f aca="false">IF($D337="","",O337-R337-S337)</f>
        <v/>
      </c>
    </row>
    <row r="338" customFormat="false" ht="15" hidden="false" customHeight="false" outlineLevel="0" collapsed="false">
      <c r="I338" s="24" t="str">
        <f aca="false">IF($D338="","",IFERROR(INDEX(Workers!$B$5:$B$2004,MATCH($D338,Workers!$A$5:$A$2004,0)),"NOT FOUND"))</f>
        <v/>
      </c>
      <c r="J338" s="24" t="str">
        <f aca="false">IF($D338="","",IFERROR(INDEX(Workers!$C$5:$C$2004,MATCH($D338,Workers!$A$5:$A$2004,0)),""))</f>
        <v/>
      </c>
      <c r="K338" s="24" t="str">
        <f aca="false">IF($D338="","",IFERROR(IF(INDEX(Workers!$D$5:$D$2004,MATCH($D338,Workers!$A$5:$A$2004,0))=0,"",INDEX(Workers!$D$5:$D$2004,MATCH($D338,Workers!$A$5:$A$2004,0))),""))</f>
        <v/>
      </c>
      <c r="L338" s="24" t="str">
        <f aca="false">IF($D338="","",IFERROR(INDEX(Workers!$E$5:$E$2004,MATCH($D338,Workers!$A$5:$A$2004,0)),""))</f>
        <v/>
      </c>
      <c r="M338" s="26" t="str">
        <f aca="false">IF($D338="","",IFERROR(INDEX(ClientRates!$D$5:$D$500,MATCH($B338&amp;"|"&amp;$L338,ClientRates!$A$5:$A$500,0)),0))</f>
        <v/>
      </c>
      <c r="N338" s="26" t="str">
        <f aca="false">IF($D338="","",IFERROR(INDEX(ClientRates!$E$5:$E$500,MATCH($B338&amp;"|"&amp;$L338,ClientRates!$A$5:$A$500,0)),0))</f>
        <v/>
      </c>
      <c r="O338" s="26" t="str">
        <f aca="false">IF($D338="","",F338*M338+G338*N338)</f>
        <v/>
      </c>
      <c r="P338" s="26" t="str">
        <f aca="false">IF(OR($D338="",$J338&lt;&gt;"Supplier"),"",IFERROR(INDEX(SupplierRates!$D$5:$D$500,MATCH($K338&amp;"|"&amp;$L338,SupplierRates!$A$5:$A$500,0)),0))</f>
        <v/>
      </c>
      <c r="Q338" s="26" t="str">
        <f aca="false">IF(OR($D338="",$J338&lt;&gt;"Supplier"),"",IFERROR(INDEX(SupplierRates!$E$5:$E$500,MATCH($K338&amp;"|"&amp;$L338,SupplierRates!$A$5:$A$500,0)),0))</f>
        <v/>
      </c>
      <c r="R338" s="26" t="n">
        <f aca="false">IF(OR($D338="",$J338&lt;&gt;"Supplier"),0,F338*P338+G338*Q338)</f>
        <v>0</v>
      </c>
      <c r="S338" s="26" t="n">
        <f aca="false">IF(OR($D338="",$J338&lt;&gt;"Own"),0,IFERROR((F338+G338*Settings!$B$13)*INDEX(Workers!$V$5:$V$2004,MATCH($D338,Workers!$A$5:$A$2004,0)),0))</f>
        <v>0</v>
      </c>
      <c r="T338" s="26" t="str">
        <f aca="false">IF($D338="","",O338-R338-S338)</f>
        <v/>
      </c>
    </row>
    <row r="339" customFormat="false" ht="15" hidden="false" customHeight="false" outlineLevel="0" collapsed="false">
      <c r="I339" s="24" t="str">
        <f aca="false">IF($D339="","",IFERROR(INDEX(Workers!$B$5:$B$2004,MATCH($D339,Workers!$A$5:$A$2004,0)),"NOT FOUND"))</f>
        <v/>
      </c>
      <c r="J339" s="24" t="str">
        <f aca="false">IF($D339="","",IFERROR(INDEX(Workers!$C$5:$C$2004,MATCH($D339,Workers!$A$5:$A$2004,0)),""))</f>
        <v/>
      </c>
      <c r="K339" s="24" t="str">
        <f aca="false">IF($D339="","",IFERROR(IF(INDEX(Workers!$D$5:$D$2004,MATCH($D339,Workers!$A$5:$A$2004,0))=0,"",INDEX(Workers!$D$5:$D$2004,MATCH($D339,Workers!$A$5:$A$2004,0))),""))</f>
        <v/>
      </c>
      <c r="L339" s="24" t="str">
        <f aca="false">IF($D339="","",IFERROR(INDEX(Workers!$E$5:$E$2004,MATCH($D339,Workers!$A$5:$A$2004,0)),""))</f>
        <v/>
      </c>
      <c r="M339" s="26" t="str">
        <f aca="false">IF($D339="","",IFERROR(INDEX(ClientRates!$D$5:$D$500,MATCH($B339&amp;"|"&amp;$L339,ClientRates!$A$5:$A$500,0)),0))</f>
        <v/>
      </c>
      <c r="N339" s="26" t="str">
        <f aca="false">IF($D339="","",IFERROR(INDEX(ClientRates!$E$5:$E$500,MATCH($B339&amp;"|"&amp;$L339,ClientRates!$A$5:$A$500,0)),0))</f>
        <v/>
      </c>
      <c r="O339" s="26" t="str">
        <f aca="false">IF($D339="","",F339*M339+G339*N339)</f>
        <v/>
      </c>
      <c r="P339" s="26" t="str">
        <f aca="false">IF(OR($D339="",$J339&lt;&gt;"Supplier"),"",IFERROR(INDEX(SupplierRates!$D$5:$D$500,MATCH($K339&amp;"|"&amp;$L339,SupplierRates!$A$5:$A$500,0)),0))</f>
        <v/>
      </c>
      <c r="Q339" s="26" t="str">
        <f aca="false">IF(OR($D339="",$J339&lt;&gt;"Supplier"),"",IFERROR(INDEX(SupplierRates!$E$5:$E$500,MATCH($K339&amp;"|"&amp;$L339,SupplierRates!$A$5:$A$500,0)),0))</f>
        <v/>
      </c>
      <c r="R339" s="26" t="n">
        <f aca="false">IF(OR($D339="",$J339&lt;&gt;"Supplier"),0,F339*P339+G339*Q339)</f>
        <v>0</v>
      </c>
      <c r="S339" s="26" t="n">
        <f aca="false">IF(OR($D339="",$J339&lt;&gt;"Own"),0,IFERROR((F339+G339*Settings!$B$13)*INDEX(Workers!$V$5:$V$2004,MATCH($D339,Workers!$A$5:$A$2004,0)),0))</f>
        <v>0</v>
      </c>
      <c r="T339" s="26" t="str">
        <f aca="false">IF($D339="","",O339-R339-S339)</f>
        <v/>
      </c>
    </row>
    <row r="340" customFormat="false" ht="15" hidden="false" customHeight="false" outlineLevel="0" collapsed="false">
      <c r="I340" s="24" t="str">
        <f aca="false">IF($D340="","",IFERROR(INDEX(Workers!$B$5:$B$2004,MATCH($D340,Workers!$A$5:$A$2004,0)),"NOT FOUND"))</f>
        <v/>
      </c>
      <c r="J340" s="24" t="str">
        <f aca="false">IF($D340="","",IFERROR(INDEX(Workers!$C$5:$C$2004,MATCH($D340,Workers!$A$5:$A$2004,0)),""))</f>
        <v/>
      </c>
      <c r="K340" s="24" t="str">
        <f aca="false">IF($D340="","",IFERROR(IF(INDEX(Workers!$D$5:$D$2004,MATCH($D340,Workers!$A$5:$A$2004,0))=0,"",INDEX(Workers!$D$5:$D$2004,MATCH($D340,Workers!$A$5:$A$2004,0))),""))</f>
        <v/>
      </c>
      <c r="L340" s="24" t="str">
        <f aca="false">IF($D340="","",IFERROR(INDEX(Workers!$E$5:$E$2004,MATCH($D340,Workers!$A$5:$A$2004,0)),""))</f>
        <v/>
      </c>
      <c r="M340" s="26" t="str">
        <f aca="false">IF($D340="","",IFERROR(INDEX(ClientRates!$D$5:$D$500,MATCH($B340&amp;"|"&amp;$L340,ClientRates!$A$5:$A$500,0)),0))</f>
        <v/>
      </c>
      <c r="N340" s="26" t="str">
        <f aca="false">IF($D340="","",IFERROR(INDEX(ClientRates!$E$5:$E$500,MATCH($B340&amp;"|"&amp;$L340,ClientRates!$A$5:$A$500,0)),0))</f>
        <v/>
      </c>
      <c r="O340" s="26" t="str">
        <f aca="false">IF($D340="","",F340*M340+G340*N340)</f>
        <v/>
      </c>
      <c r="P340" s="26" t="str">
        <f aca="false">IF(OR($D340="",$J340&lt;&gt;"Supplier"),"",IFERROR(INDEX(SupplierRates!$D$5:$D$500,MATCH($K340&amp;"|"&amp;$L340,SupplierRates!$A$5:$A$500,0)),0))</f>
        <v/>
      </c>
      <c r="Q340" s="26" t="str">
        <f aca="false">IF(OR($D340="",$J340&lt;&gt;"Supplier"),"",IFERROR(INDEX(SupplierRates!$E$5:$E$500,MATCH($K340&amp;"|"&amp;$L340,SupplierRates!$A$5:$A$500,0)),0))</f>
        <v/>
      </c>
      <c r="R340" s="26" t="n">
        <f aca="false">IF(OR($D340="",$J340&lt;&gt;"Supplier"),0,F340*P340+G340*Q340)</f>
        <v>0</v>
      </c>
      <c r="S340" s="26" t="n">
        <f aca="false">IF(OR($D340="",$J340&lt;&gt;"Own"),0,IFERROR((F340+G340*Settings!$B$13)*INDEX(Workers!$V$5:$V$2004,MATCH($D340,Workers!$A$5:$A$2004,0)),0))</f>
        <v>0</v>
      </c>
      <c r="T340" s="26" t="str">
        <f aca="false">IF($D340="","",O340-R340-S340)</f>
        <v/>
      </c>
    </row>
    <row r="341" customFormat="false" ht="15" hidden="false" customHeight="false" outlineLevel="0" collapsed="false">
      <c r="I341" s="24" t="str">
        <f aca="false">IF($D341="","",IFERROR(INDEX(Workers!$B$5:$B$2004,MATCH($D341,Workers!$A$5:$A$2004,0)),"NOT FOUND"))</f>
        <v/>
      </c>
      <c r="J341" s="24" t="str">
        <f aca="false">IF($D341="","",IFERROR(INDEX(Workers!$C$5:$C$2004,MATCH($D341,Workers!$A$5:$A$2004,0)),""))</f>
        <v/>
      </c>
      <c r="K341" s="24" t="str">
        <f aca="false">IF($D341="","",IFERROR(IF(INDEX(Workers!$D$5:$D$2004,MATCH($D341,Workers!$A$5:$A$2004,0))=0,"",INDEX(Workers!$D$5:$D$2004,MATCH($D341,Workers!$A$5:$A$2004,0))),""))</f>
        <v/>
      </c>
      <c r="L341" s="24" t="str">
        <f aca="false">IF($D341="","",IFERROR(INDEX(Workers!$E$5:$E$2004,MATCH($D341,Workers!$A$5:$A$2004,0)),""))</f>
        <v/>
      </c>
      <c r="M341" s="26" t="str">
        <f aca="false">IF($D341="","",IFERROR(INDEX(ClientRates!$D$5:$D$500,MATCH($B341&amp;"|"&amp;$L341,ClientRates!$A$5:$A$500,0)),0))</f>
        <v/>
      </c>
      <c r="N341" s="26" t="str">
        <f aca="false">IF($D341="","",IFERROR(INDEX(ClientRates!$E$5:$E$500,MATCH($B341&amp;"|"&amp;$L341,ClientRates!$A$5:$A$500,0)),0))</f>
        <v/>
      </c>
      <c r="O341" s="26" t="str">
        <f aca="false">IF($D341="","",F341*M341+G341*N341)</f>
        <v/>
      </c>
      <c r="P341" s="26" t="str">
        <f aca="false">IF(OR($D341="",$J341&lt;&gt;"Supplier"),"",IFERROR(INDEX(SupplierRates!$D$5:$D$500,MATCH($K341&amp;"|"&amp;$L341,SupplierRates!$A$5:$A$500,0)),0))</f>
        <v/>
      </c>
      <c r="Q341" s="26" t="str">
        <f aca="false">IF(OR($D341="",$J341&lt;&gt;"Supplier"),"",IFERROR(INDEX(SupplierRates!$E$5:$E$500,MATCH($K341&amp;"|"&amp;$L341,SupplierRates!$A$5:$A$500,0)),0))</f>
        <v/>
      </c>
      <c r="R341" s="26" t="n">
        <f aca="false">IF(OR($D341="",$J341&lt;&gt;"Supplier"),0,F341*P341+G341*Q341)</f>
        <v>0</v>
      </c>
      <c r="S341" s="26" t="n">
        <f aca="false">IF(OR($D341="",$J341&lt;&gt;"Own"),0,IFERROR((F341+G341*Settings!$B$13)*INDEX(Workers!$V$5:$V$2004,MATCH($D341,Workers!$A$5:$A$2004,0)),0))</f>
        <v>0</v>
      </c>
      <c r="T341" s="26" t="str">
        <f aca="false">IF($D341="","",O341-R341-S341)</f>
        <v/>
      </c>
    </row>
    <row r="342" customFormat="false" ht="15" hidden="false" customHeight="false" outlineLevel="0" collapsed="false">
      <c r="I342" s="24" t="str">
        <f aca="false">IF($D342="","",IFERROR(INDEX(Workers!$B$5:$B$2004,MATCH($D342,Workers!$A$5:$A$2004,0)),"NOT FOUND"))</f>
        <v/>
      </c>
      <c r="J342" s="24" t="str">
        <f aca="false">IF($D342="","",IFERROR(INDEX(Workers!$C$5:$C$2004,MATCH($D342,Workers!$A$5:$A$2004,0)),""))</f>
        <v/>
      </c>
      <c r="K342" s="24" t="str">
        <f aca="false">IF($D342="","",IFERROR(IF(INDEX(Workers!$D$5:$D$2004,MATCH($D342,Workers!$A$5:$A$2004,0))=0,"",INDEX(Workers!$D$5:$D$2004,MATCH($D342,Workers!$A$5:$A$2004,0))),""))</f>
        <v/>
      </c>
      <c r="L342" s="24" t="str">
        <f aca="false">IF($D342="","",IFERROR(INDEX(Workers!$E$5:$E$2004,MATCH($D342,Workers!$A$5:$A$2004,0)),""))</f>
        <v/>
      </c>
      <c r="M342" s="26" t="str">
        <f aca="false">IF($D342="","",IFERROR(INDEX(ClientRates!$D$5:$D$500,MATCH($B342&amp;"|"&amp;$L342,ClientRates!$A$5:$A$500,0)),0))</f>
        <v/>
      </c>
      <c r="N342" s="26" t="str">
        <f aca="false">IF($D342="","",IFERROR(INDEX(ClientRates!$E$5:$E$500,MATCH($B342&amp;"|"&amp;$L342,ClientRates!$A$5:$A$500,0)),0))</f>
        <v/>
      </c>
      <c r="O342" s="26" t="str">
        <f aca="false">IF($D342="","",F342*M342+G342*N342)</f>
        <v/>
      </c>
      <c r="P342" s="26" t="str">
        <f aca="false">IF(OR($D342="",$J342&lt;&gt;"Supplier"),"",IFERROR(INDEX(SupplierRates!$D$5:$D$500,MATCH($K342&amp;"|"&amp;$L342,SupplierRates!$A$5:$A$500,0)),0))</f>
        <v/>
      </c>
      <c r="Q342" s="26" t="str">
        <f aca="false">IF(OR($D342="",$J342&lt;&gt;"Supplier"),"",IFERROR(INDEX(SupplierRates!$E$5:$E$500,MATCH($K342&amp;"|"&amp;$L342,SupplierRates!$A$5:$A$500,0)),0))</f>
        <v/>
      </c>
      <c r="R342" s="26" t="n">
        <f aca="false">IF(OR($D342="",$J342&lt;&gt;"Supplier"),0,F342*P342+G342*Q342)</f>
        <v>0</v>
      </c>
      <c r="S342" s="26" t="n">
        <f aca="false">IF(OR($D342="",$J342&lt;&gt;"Own"),0,IFERROR((F342+G342*Settings!$B$13)*INDEX(Workers!$V$5:$V$2004,MATCH($D342,Workers!$A$5:$A$2004,0)),0))</f>
        <v>0</v>
      </c>
      <c r="T342" s="26" t="str">
        <f aca="false">IF($D342="","",O342-R342-S342)</f>
        <v/>
      </c>
    </row>
    <row r="343" customFormat="false" ht="15" hidden="false" customHeight="false" outlineLevel="0" collapsed="false">
      <c r="I343" s="24" t="str">
        <f aca="false">IF($D343="","",IFERROR(INDEX(Workers!$B$5:$B$2004,MATCH($D343,Workers!$A$5:$A$2004,0)),"NOT FOUND"))</f>
        <v/>
      </c>
      <c r="J343" s="24" t="str">
        <f aca="false">IF($D343="","",IFERROR(INDEX(Workers!$C$5:$C$2004,MATCH($D343,Workers!$A$5:$A$2004,0)),""))</f>
        <v/>
      </c>
      <c r="K343" s="24" t="str">
        <f aca="false">IF($D343="","",IFERROR(IF(INDEX(Workers!$D$5:$D$2004,MATCH($D343,Workers!$A$5:$A$2004,0))=0,"",INDEX(Workers!$D$5:$D$2004,MATCH($D343,Workers!$A$5:$A$2004,0))),""))</f>
        <v/>
      </c>
      <c r="L343" s="24" t="str">
        <f aca="false">IF($D343="","",IFERROR(INDEX(Workers!$E$5:$E$2004,MATCH($D343,Workers!$A$5:$A$2004,0)),""))</f>
        <v/>
      </c>
      <c r="M343" s="26" t="str">
        <f aca="false">IF($D343="","",IFERROR(INDEX(ClientRates!$D$5:$D$500,MATCH($B343&amp;"|"&amp;$L343,ClientRates!$A$5:$A$500,0)),0))</f>
        <v/>
      </c>
      <c r="N343" s="26" t="str">
        <f aca="false">IF($D343="","",IFERROR(INDEX(ClientRates!$E$5:$E$500,MATCH($B343&amp;"|"&amp;$L343,ClientRates!$A$5:$A$500,0)),0))</f>
        <v/>
      </c>
      <c r="O343" s="26" t="str">
        <f aca="false">IF($D343="","",F343*M343+G343*N343)</f>
        <v/>
      </c>
      <c r="P343" s="26" t="str">
        <f aca="false">IF(OR($D343="",$J343&lt;&gt;"Supplier"),"",IFERROR(INDEX(SupplierRates!$D$5:$D$500,MATCH($K343&amp;"|"&amp;$L343,SupplierRates!$A$5:$A$500,0)),0))</f>
        <v/>
      </c>
      <c r="Q343" s="26" t="str">
        <f aca="false">IF(OR($D343="",$J343&lt;&gt;"Supplier"),"",IFERROR(INDEX(SupplierRates!$E$5:$E$500,MATCH($K343&amp;"|"&amp;$L343,SupplierRates!$A$5:$A$500,0)),0))</f>
        <v/>
      </c>
      <c r="R343" s="26" t="n">
        <f aca="false">IF(OR($D343="",$J343&lt;&gt;"Supplier"),0,F343*P343+G343*Q343)</f>
        <v>0</v>
      </c>
      <c r="S343" s="26" t="n">
        <f aca="false">IF(OR($D343="",$J343&lt;&gt;"Own"),0,IFERROR((F343+G343*Settings!$B$13)*INDEX(Workers!$V$5:$V$2004,MATCH($D343,Workers!$A$5:$A$2004,0)),0))</f>
        <v>0</v>
      </c>
      <c r="T343" s="26" t="str">
        <f aca="false">IF($D343="","",O343-R343-S343)</f>
        <v/>
      </c>
    </row>
    <row r="344" customFormat="false" ht="15" hidden="false" customHeight="false" outlineLevel="0" collapsed="false">
      <c r="I344" s="24" t="str">
        <f aca="false">IF($D344="","",IFERROR(INDEX(Workers!$B$5:$B$2004,MATCH($D344,Workers!$A$5:$A$2004,0)),"NOT FOUND"))</f>
        <v/>
      </c>
      <c r="J344" s="24" t="str">
        <f aca="false">IF($D344="","",IFERROR(INDEX(Workers!$C$5:$C$2004,MATCH($D344,Workers!$A$5:$A$2004,0)),""))</f>
        <v/>
      </c>
      <c r="K344" s="24" t="str">
        <f aca="false">IF($D344="","",IFERROR(IF(INDEX(Workers!$D$5:$D$2004,MATCH($D344,Workers!$A$5:$A$2004,0))=0,"",INDEX(Workers!$D$5:$D$2004,MATCH($D344,Workers!$A$5:$A$2004,0))),""))</f>
        <v/>
      </c>
      <c r="L344" s="24" t="str">
        <f aca="false">IF($D344="","",IFERROR(INDEX(Workers!$E$5:$E$2004,MATCH($D344,Workers!$A$5:$A$2004,0)),""))</f>
        <v/>
      </c>
      <c r="M344" s="26" t="str">
        <f aca="false">IF($D344="","",IFERROR(INDEX(ClientRates!$D$5:$D$500,MATCH($B344&amp;"|"&amp;$L344,ClientRates!$A$5:$A$500,0)),0))</f>
        <v/>
      </c>
      <c r="N344" s="26" t="str">
        <f aca="false">IF($D344="","",IFERROR(INDEX(ClientRates!$E$5:$E$500,MATCH($B344&amp;"|"&amp;$L344,ClientRates!$A$5:$A$500,0)),0))</f>
        <v/>
      </c>
      <c r="O344" s="26" t="str">
        <f aca="false">IF($D344="","",F344*M344+G344*N344)</f>
        <v/>
      </c>
      <c r="P344" s="26" t="str">
        <f aca="false">IF(OR($D344="",$J344&lt;&gt;"Supplier"),"",IFERROR(INDEX(SupplierRates!$D$5:$D$500,MATCH($K344&amp;"|"&amp;$L344,SupplierRates!$A$5:$A$500,0)),0))</f>
        <v/>
      </c>
      <c r="Q344" s="26" t="str">
        <f aca="false">IF(OR($D344="",$J344&lt;&gt;"Supplier"),"",IFERROR(INDEX(SupplierRates!$E$5:$E$500,MATCH($K344&amp;"|"&amp;$L344,SupplierRates!$A$5:$A$500,0)),0))</f>
        <v/>
      </c>
      <c r="R344" s="26" t="n">
        <f aca="false">IF(OR($D344="",$J344&lt;&gt;"Supplier"),0,F344*P344+G344*Q344)</f>
        <v>0</v>
      </c>
      <c r="S344" s="26" t="n">
        <f aca="false">IF(OR($D344="",$J344&lt;&gt;"Own"),0,IFERROR((F344+G344*Settings!$B$13)*INDEX(Workers!$V$5:$V$2004,MATCH($D344,Workers!$A$5:$A$2004,0)),0))</f>
        <v>0</v>
      </c>
      <c r="T344" s="26" t="str">
        <f aca="false">IF($D344="","",O344-R344-S344)</f>
        <v/>
      </c>
    </row>
    <row r="345" customFormat="false" ht="15" hidden="false" customHeight="false" outlineLevel="0" collapsed="false">
      <c r="I345" s="24" t="str">
        <f aca="false">IF($D345="","",IFERROR(INDEX(Workers!$B$5:$B$2004,MATCH($D345,Workers!$A$5:$A$2004,0)),"NOT FOUND"))</f>
        <v/>
      </c>
      <c r="J345" s="24" t="str">
        <f aca="false">IF($D345="","",IFERROR(INDEX(Workers!$C$5:$C$2004,MATCH($D345,Workers!$A$5:$A$2004,0)),""))</f>
        <v/>
      </c>
      <c r="K345" s="24" t="str">
        <f aca="false">IF($D345="","",IFERROR(IF(INDEX(Workers!$D$5:$D$2004,MATCH($D345,Workers!$A$5:$A$2004,0))=0,"",INDEX(Workers!$D$5:$D$2004,MATCH($D345,Workers!$A$5:$A$2004,0))),""))</f>
        <v/>
      </c>
      <c r="L345" s="24" t="str">
        <f aca="false">IF($D345="","",IFERROR(INDEX(Workers!$E$5:$E$2004,MATCH($D345,Workers!$A$5:$A$2004,0)),""))</f>
        <v/>
      </c>
      <c r="M345" s="26" t="str">
        <f aca="false">IF($D345="","",IFERROR(INDEX(ClientRates!$D$5:$D$500,MATCH($B345&amp;"|"&amp;$L345,ClientRates!$A$5:$A$500,0)),0))</f>
        <v/>
      </c>
      <c r="N345" s="26" t="str">
        <f aca="false">IF($D345="","",IFERROR(INDEX(ClientRates!$E$5:$E$500,MATCH($B345&amp;"|"&amp;$L345,ClientRates!$A$5:$A$500,0)),0))</f>
        <v/>
      </c>
      <c r="O345" s="26" t="str">
        <f aca="false">IF($D345="","",F345*M345+G345*N345)</f>
        <v/>
      </c>
      <c r="P345" s="26" t="str">
        <f aca="false">IF(OR($D345="",$J345&lt;&gt;"Supplier"),"",IFERROR(INDEX(SupplierRates!$D$5:$D$500,MATCH($K345&amp;"|"&amp;$L345,SupplierRates!$A$5:$A$500,0)),0))</f>
        <v/>
      </c>
      <c r="Q345" s="26" t="str">
        <f aca="false">IF(OR($D345="",$J345&lt;&gt;"Supplier"),"",IFERROR(INDEX(SupplierRates!$E$5:$E$500,MATCH($K345&amp;"|"&amp;$L345,SupplierRates!$A$5:$A$500,0)),0))</f>
        <v/>
      </c>
      <c r="R345" s="26" t="n">
        <f aca="false">IF(OR($D345="",$J345&lt;&gt;"Supplier"),0,F345*P345+G345*Q345)</f>
        <v>0</v>
      </c>
      <c r="S345" s="26" t="n">
        <f aca="false">IF(OR($D345="",$J345&lt;&gt;"Own"),0,IFERROR((F345+G345*Settings!$B$13)*INDEX(Workers!$V$5:$V$2004,MATCH($D345,Workers!$A$5:$A$2004,0)),0))</f>
        <v>0</v>
      </c>
      <c r="T345" s="26" t="str">
        <f aca="false">IF($D345="","",O345-R345-S345)</f>
        <v/>
      </c>
    </row>
    <row r="346" customFormat="false" ht="15" hidden="false" customHeight="false" outlineLevel="0" collapsed="false">
      <c r="I346" s="24" t="str">
        <f aca="false">IF($D346="","",IFERROR(INDEX(Workers!$B$5:$B$2004,MATCH($D346,Workers!$A$5:$A$2004,0)),"NOT FOUND"))</f>
        <v/>
      </c>
      <c r="J346" s="24" t="str">
        <f aca="false">IF($D346="","",IFERROR(INDEX(Workers!$C$5:$C$2004,MATCH($D346,Workers!$A$5:$A$2004,0)),""))</f>
        <v/>
      </c>
      <c r="K346" s="24" t="str">
        <f aca="false">IF($D346="","",IFERROR(IF(INDEX(Workers!$D$5:$D$2004,MATCH($D346,Workers!$A$5:$A$2004,0))=0,"",INDEX(Workers!$D$5:$D$2004,MATCH($D346,Workers!$A$5:$A$2004,0))),""))</f>
        <v/>
      </c>
      <c r="L346" s="24" t="str">
        <f aca="false">IF($D346="","",IFERROR(INDEX(Workers!$E$5:$E$2004,MATCH($D346,Workers!$A$5:$A$2004,0)),""))</f>
        <v/>
      </c>
      <c r="M346" s="26" t="str">
        <f aca="false">IF($D346="","",IFERROR(INDEX(ClientRates!$D$5:$D$500,MATCH($B346&amp;"|"&amp;$L346,ClientRates!$A$5:$A$500,0)),0))</f>
        <v/>
      </c>
      <c r="N346" s="26" t="str">
        <f aca="false">IF($D346="","",IFERROR(INDEX(ClientRates!$E$5:$E$500,MATCH($B346&amp;"|"&amp;$L346,ClientRates!$A$5:$A$500,0)),0))</f>
        <v/>
      </c>
      <c r="O346" s="26" t="str">
        <f aca="false">IF($D346="","",F346*M346+G346*N346)</f>
        <v/>
      </c>
      <c r="P346" s="26" t="str">
        <f aca="false">IF(OR($D346="",$J346&lt;&gt;"Supplier"),"",IFERROR(INDEX(SupplierRates!$D$5:$D$500,MATCH($K346&amp;"|"&amp;$L346,SupplierRates!$A$5:$A$500,0)),0))</f>
        <v/>
      </c>
      <c r="Q346" s="26" t="str">
        <f aca="false">IF(OR($D346="",$J346&lt;&gt;"Supplier"),"",IFERROR(INDEX(SupplierRates!$E$5:$E$500,MATCH($K346&amp;"|"&amp;$L346,SupplierRates!$A$5:$A$500,0)),0))</f>
        <v/>
      </c>
      <c r="R346" s="26" t="n">
        <f aca="false">IF(OR($D346="",$J346&lt;&gt;"Supplier"),0,F346*P346+G346*Q346)</f>
        <v>0</v>
      </c>
      <c r="S346" s="26" t="n">
        <f aca="false">IF(OR($D346="",$J346&lt;&gt;"Own"),0,IFERROR((F346+G346*Settings!$B$13)*INDEX(Workers!$V$5:$V$2004,MATCH($D346,Workers!$A$5:$A$2004,0)),0))</f>
        <v>0</v>
      </c>
      <c r="T346" s="26" t="str">
        <f aca="false">IF($D346="","",O346-R346-S346)</f>
        <v/>
      </c>
    </row>
    <row r="347" customFormat="false" ht="15" hidden="false" customHeight="false" outlineLevel="0" collapsed="false">
      <c r="I347" s="24" t="str">
        <f aca="false">IF($D347="","",IFERROR(INDEX(Workers!$B$5:$B$2004,MATCH($D347,Workers!$A$5:$A$2004,0)),"NOT FOUND"))</f>
        <v/>
      </c>
      <c r="J347" s="24" t="str">
        <f aca="false">IF($D347="","",IFERROR(INDEX(Workers!$C$5:$C$2004,MATCH($D347,Workers!$A$5:$A$2004,0)),""))</f>
        <v/>
      </c>
      <c r="K347" s="24" t="str">
        <f aca="false">IF($D347="","",IFERROR(IF(INDEX(Workers!$D$5:$D$2004,MATCH($D347,Workers!$A$5:$A$2004,0))=0,"",INDEX(Workers!$D$5:$D$2004,MATCH($D347,Workers!$A$5:$A$2004,0))),""))</f>
        <v/>
      </c>
      <c r="L347" s="24" t="str">
        <f aca="false">IF($D347="","",IFERROR(INDEX(Workers!$E$5:$E$2004,MATCH($D347,Workers!$A$5:$A$2004,0)),""))</f>
        <v/>
      </c>
      <c r="M347" s="26" t="str">
        <f aca="false">IF($D347="","",IFERROR(INDEX(ClientRates!$D$5:$D$500,MATCH($B347&amp;"|"&amp;$L347,ClientRates!$A$5:$A$500,0)),0))</f>
        <v/>
      </c>
      <c r="N347" s="26" t="str">
        <f aca="false">IF($D347="","",IFERROR(INDEX(ClientRates!$E$5:$E$500,MATCH($B347&amp;"|"&amp;$L347,ClientRates!$A$5:$A$500,0)),0))</f>
        <v/>
      </c>
      <c r="O347" s="26" t="str">
        <f aca="false">IF($D347="","",F347*M347+G347*N347)</f>
        <v/>
      </c>
      <c r="P347" s="26" t="str">
        <f aca="false">IF(OR($D347="",$J347&lt;&gt;"Supplier"),"",IFERROR(INDEX(SupplierRates!$D$5:$D$500,MATCH($K347&amp;"|"&amp;$L347,SupplierRates!$A$5:$A$500,0)),0))</f>
        <v/>
      </c>
      <c r="Q347" s="26" t="str">
        <f aca="false">IF(OR($D347="",$J347&lt;&gt;"Supplier"),"",IFERROR(INDEX(SupplierRates!$E$5:$E$500,MATCH($K347&amp;"|"&amp;$L347,SupplierRates!$A$5:$A$500,0)),0))</f>
        <v/>
      </c>
      <c r="R347" s="26" t="n">
        <f aca="false">IF(OR($D347="",$J347&lt;&gt;"Supplier"),0,F347*P347+G347*Q347)</f>
        <v>0</v>
      </c>
      <c r="S347" s="26" t="n">
        <f aca="false">IF(OR($D347="",$J347&lt;&gt;"Own"),0,IFERROR((F347+G347*Settings!$B$13)*INDEX(Workers!$V$5:$V$2004,MATCH($D347,Workers!$A$5:$A$2004,0)),0))</f>
        <v>0</v>
      </c>
      <c r="T347" s="26" t="str">
        <f aca="false">IF($D347="","",O347-R347-S347)</f>
        <v/>
      </c>
    </row>
    <row r="348" customFormat="false" ht="15" hidden="false" customHeight="false" outlineLevel="0" collapsed="false">
      <c r="I348" s="24" t="str">
        <f aca="false">IF($D348="","",IFERROR(INDEX(Workers!$B$5:$B$2004,MATCH($D348,Workers!$A$5:$A$2004,0)),"NOT FOUND"))</f>
        <v/>
      </c>
      <c r="J348" s="24" t="str">
        <f aca="false">IF($D348="","",IFERROR(INDEX(Workers!$C$5:$C$2004,MATCH($D348,Workers!$A$5:$A$2004,0)),""))</f>
        <v/>
      </c>
      <c r="K348" s="24" t="str">
        <f aca="false">IF($D348="","",IFERROR(IF(INDEX(Workers!$D$5:$D$2004,MATCH($D348,Workers!$A$5:$A$2004,0))=0,"",INDEX(Workers!$D$5:$D$2004,MATCH($D348,Workers!$A$5:$A$2004,0))),""))</f>
        <v/>
      </c>
      <c r="L348" s="24" t="str">
        <f aca="false">IF($D348="","",IFERROR(INDEX(Workers!$E$5:$E$2004,MATCH($D348,Workers!$A$5:$A$2004,0)),""))</f>
        <v/>
      </c>
      <c r="M348" s="26" t="str">
        <f aca="false">IF($D348="","",IFERROR(INDEX(ClientRates!$D$5:$D$500,MATCH($B348&amp;"|"&amp;$L348,ClientRates!$A$5:$A$500,0)),0))</f>
        <v/>
      </c>
      <c r="N348" s="26" t="str">
        <f aca="false">IF($D348="","",IFERROR(INDEX(ClientRates!$E$5:$E$500,MATCH($B348&amp;"|"&amp;$L348,ClientRates!$A$5:$A$500,0)),0))</f>
        <v/>
      </c>
      <c r="O348" s="26" t="str">
        <f aca="false">IF($D348="","",F348*M348+G348*N348)</f>
        <v/>
      </c>
      <c r="P348" s="26" t="str">
        <f aca="false">IF(OR($D348="",$J348&lt;&gt;"Supplier"),"",IFERROR(INDEX(SupplierRates!$D$5:$D$500,MATCH($K348&amp;"|"&amp;$L348,SupplierRates!$A$5:$A$500,0)),0))</f>
        <v/>
      </c>
      <c r="Q348" s="26" t="str">
        <f aca="false">IF(OR($D348="",$J348&lt;&gt;"Supplier"),"",IFERROR(INDEX(SupplierRates!$E$5:$E$500,MATCH($K348&amp;"|"&amp;$L348,SupplierRates!$A$5:$A$500,0)),0))</f>
        <v/>
      </c>
      <c r="R348" s="26" t="n">
        <f aca="false">IF(OR($D348="",$J348&lt;&gt;"Supplier"),0,F348*P348+G348*Q348)</f>
        <v>0</v>
      </c>
      <c r="S348" s="26" t="n">
        <f aca="false">IF(OR($D348="",$J348&lt;&gt;"Own"),0,IFERROR((F348+G348*Settings!$B$13)*INDEX(Workers!$V$5:$V$2004,MATCH($D348,Workers!$A$5:$A$2004,0)),0))</f>
        <v>0</v>
      </c>
      <c r="T348" s="26" t="str">
        <f aca="false">IF($D348="","",O348-R348-S348)</f>
        <v/>
      </c>
    </row>
    <row r="349" customFormat="false" ht="15" hidden="false" customHeight="false" outlineLevel="0" collapsed="false">
      <c r="I349" s="24" t="str">
        <f aca="false">IF($D349="","",IFERROR(INDEX(Workers!$B$5:$B$2004,MATCH($D349,Workers!$A$5:$A$2004,0)),"NOT FOUND"))</f>
        <v/>
      </c>
      <c r="J349" s="24" t="str">
        <f aca="false">IF($D349="","",IFERROR(INDEX(Workers!$C$5:$C$2004,MATCH($D349,Workers!$A$5:$A$2004,0)),""))</f>
        <v/>
      </c>
      <c r="K349" s="24" t="str">
        <f aca="false">IF($D349="","",IFERROR(IF(INDEX(Workers!$D$5:$D$2004,MATCH($D349,Workers!$A$5:$A$2004,0))=0,"",INDEX(Workers!$D$5:$D$2004,MATCH($D349,Workers!$A$5:$A$2004,0))),""))</f>
        <v/>
      </c>
      <c r="L349" s="24" t="str">
        <f aca="false">IF($D349="","",IFERROR(INDEX(Workers!$E$5:$E$2004,MATCH($D349,Workers!$A$5:$A$2004,0)),""))</f>
        <v/>
      </c>
      <c r="M349" s="26" t="str">
        <f aca="false">IF($D349="","",IFERROR(INDEX(ClientRates!$D$5:$D$500,MATCH($B349&amp;"|"&amp;$L349,ClientRates!$A$5:$A$500,0)),0))</f>
        <v/>
      </c>
      <c r="N349" s="26" t="str">
        <f aca="false">IF($D349="","",IFERROR(INDEX(ClientRates!$E$5:$E$500,MATCH($B349&amp;"|"&amp;$L349,ClientRates!$A$5:$A$500,0)),0))</f>
        <v/>
      </c>
      <c r="O349" s="26" t="str">
        <f aca="false">IF($D349="","",F349*M349+G349*N349)</f>
        <v/>
      </c>
      <c r="P349" s="26" t="str">
        <f aca="false">IF(OR($D349="",$J349&lt;&gt;"Supplier"),"",IFERROR(INDEX(SupplierRates!$D$5:$D$500,MATCH($K349&amp;"|"&amp;$L349,SupplierRates!$A$5:$A$500,0)),0))</f>
        <v/>
      </c>
      <c r="Q349" s="26" t="str">
        <f aca="false">IF(OR($D349="",$J349&lt;&gt;"Supplier"),"",IFERROR(INDEX(SupplierRates!$E$5:$E$500,MATCH($K349&amp;"|"&amp;$L349,SupplierRates!$A$5:$A$500,0)),0))</f>
        <v/>
      </c>
      <c r="R349" s="26" t="n">
        <f aca="false">IF(OR($D349="",$J349&lt;&gt;"Supplier"),0,F349*P349+G349*Q349)</f>
        <v>0</v>
      </c>
      <c r="S349" s="26" t="n">
        <f aca="false">IF(OR($D349="",$J349&lt;&gt;"Own"),0,IFERROR((F349+G349*Settings!$B$13)*INDEX(Workers!$V$5:$V$2004,MATCH($D349,Workers!$A$5:$A$2004,0)),0))</f>
        <v>0</v>
      </c>
      <c r="T349" s="26" t="str">
        <f aca="false">IF($D349="","",O349-R349-S349)</f>
        <v/>
      </c>
    </row>
    <row r="350" customFormat="false" ht="15" hidden="false" customHeight="false" outlineLevel="0" collapsed="false">
      <c r="I350" s="24" t="str">
        <f aca="false">IF($D350="","",IFERROR(INDEX(Workers!$B$5:$B$2004,MATCH($D350,Workers!$A$5:$A$2004,0)),"NOT FOUND"))</f>
        <v/>
      </c>
      <c r="J350" s="24" t="str">
        <f aca="false">IF($D350="","",IFERROR(INDEX(Workers!$C$5:$C$2004,MATCH($D350,Workers!$A$5:$A$2004,0)),""))</f>
        <v/>
      </c>
      <c r="K350" s="24" t="str">
        <f aca="false">IF($D350="","",IFERROR(IF(INDEX(Workers!$D$5:$D$2004,MATCH($D350,Workers!$A$5:$A$2004,0))=0,"",INDEX(Workers!$D$5:$D$2004,MATCH($D350,Workers!$A$5:$A$2004,0))),""))</f>
        <v/>
      </c>
      <c r="L350" s="24" t="str">
        <f aca="false">IF($D350="","",IFERROR(INDEX(Workers!$E$5:$E$2004,MATCH($D350,Workers!$A$5:$A$2004,0)),""))</f>
        <v/>
      </c>
      <c r="M350" s="26" t="str">
        <f aca="false">IF($D350="","",IFERROR(INDEX(ClientRates!$D$5:$D$500,MATCH($B350&amp;"|"&amp;$L350,ClientRates!$A$5:$A$500,0)),0))</f>
        <v/>
      </c>
      <c r="N350" s="26" t="str">
        <f aca="false">IF($D350="","",IFERROR(INDEX(ClientRates!$E$5:$E$500,MATCH($B350&amp;"|"&amp;$L350,ClientRates!$A$5:$A$500,0)),0))</f>
        <v/>
      </c>
      <c r="O350" s="26" t="str">
        <f aca="false">IF($D350="","",F350*M350+G350*N350)</f>
        <v/>
      </c>
      <c r="P350" s="26" t="str">
        <f aca="false">IF(OR($D350="",$J350&lt;&gt;"Supplier"),"",IFERROR(INDEX(SupplierRates!$D$5:$D$500,MATCH($K350&amp;"|"&amp;$L350,SupplierRates!$A$5:$A$500,0)),0))</f>
        <v/>
      </c>
      <c r="Q350" s="26" t="str">
        <f aca="false">IF(OR($D350="",$J350&lt;&gt;"Supplier"),"",IFERROR(INDEX(SupplierRates!$E$5:$E$500,MATCH($K350&amp;"|"&amp;$L350,SupplierRates!$A$5:$A$500,0)),0))</f>
        <v/>
      </c>
      <c r="R350" s="26" t="n">
        <f aca="false">IF(OR($D350="",$J350&lt;&gt;"Supplier"),0,F350*P350+G350*Q350)</f>
        <v>0</v>
      </c>
      <c r="S350" s="26" t="n">
        <f aca="false">IF(OR($D350="",$J350&lt;&gt;"Own"),0,IFERROR((F350+G350*Settings!$B$13)*INDEX(Workers!$V$5:$V$2004,MATCH($D350,Workers!$A$5:$A$2004,0)),0))</f>
        <v>0</v>
      </c>
      <c r="T350" s="26" t="str">
        <f aca="false">IF($D350="","",O350-R350-S350)</f>
        <v/>
      </c>
    </row>
    <row r="351" customFormat="false" ht="15" hidden="false" customHeight="false" outlineLevel="0" collapsed="false">
      <c r="I351" s="24" t="str">
        <f aca="false">IF($D351="","",IFERROR(INDEX(Workers!$B$5:$B$2004,MATCH($D351,Workers!$A$5:$A$2004,0)),"NOT FOUND"))</f>
        <v/>
      </c>
      <c r="J351" s="24" t="str">
        <f aca="false">IF($D351="","",IFERROR(INDEX(Workers!$C$5:$C$2004,MATCH($D351,Workers!$A$5:$A$2004,0)),""))</f>
        <v/>
      </c>
      <c r="K351" s="24" t="str">
        <f aca="false">IF($D351="","",IFERROR(IF(INDEX(Workers!$D$5:$D$2004,MATCH($D351,Workers!$A$5:$A$2004,0))=0,"",INDEX(Workers!$D$5:$D$2004,MATCH($D351,Workers!$A$5:$A$2004,0))),""))</f>
        <v/>
      </c>
      <c r="L351" s="24" t="str">
        <f aca="false">IF($D351="","",IFERROR(INDEX(Workers!$E$5:$E$2004,MATCH($D351,Workers!$A$5:$A$2004,0)),""))</f>
        <v/>
      </c>
      <c r="M351" s="26" t="str">
        <f aca="false">IF($D351="","",IFERROR(INDEX(ClientRates!$D$5:$D$500,MATCH($B351&amp;"|"&amp;$L351,ClientRates!$A$5:$A$500,0)),0))</f>
        <v/>
      </c>
      <c r="N351" s="26" t="str">
        <f aca="false">IF($D351="","",IFERROR(INDEX(ClientRates!$E$5:$E$500,MATCH($B351&amp;"|"&amp;$L351,ClientRates!$A$5:$A$500,0)),0))</f>
        <v/>
      </c>
      <c r="O351" s="26" t="str">
        <f aca="false">IF($D351="","",F351*M351+G351*N351)</f>
        <v/>
      </c>
      <c r="P351" s="26" t="str">
        <f aca="false">IF(OR($D351="",$J351&lt;&gt;"Supplier"),"",IFERROR(INDEX(SupplierRates!$D$5:$D$500,MATCH($K351&amp;"|"&amp;$L351,SupplierRates!$A$5:$A$500,0)),0))</f>
        <v/>
      </c>
      <c r="Q351" s="26" t="str">
        <f aca="false">IF(OR($D351="",$J351&lt;&gt;"Supplier"),"",IFERROR(INDEX(SupplierRates!$E$5:$E$500,MATCH($K351&amp;"|"&amp;$L351,SupplierRates!$A$5:$A$500,0)),0))</f>
        <v/>
      </c>
      <c r="R351" s="26" t="n">
        <f aca="false">IF(OR($D351="",$J351&lt;&gt;"Supplier"),0,F351*P351+G351*Q351)</f>
        <v>0</v>
      </c>
      <c r="S351" s="26" t="n">
        <f aca="false">IF(OR($D351="",$J351&lt;&gt;"Own"),0,IFERROR((F351+G351*Settings!$B$13)*INDEX(Workers!$V$5:$V$2004,MATCH($D351,Workers!$A$5:$A$2004,0)),0))</f>
        <v>0</v>
      </c>
      <c r="T351" s="26" t="str">
        <f aca="false">IF($D351="","",O351-R351-S351)</f>
        <v/>
      </c>
    </row>
    <row r="352" customFormat="false" ht="15" hidden="false" customHeight="false" outlineLevel="0" collapsed="false">
      <c r="I352" s="24" t="str">
        <f aca="false">IF($D352="","",IFERROR(INDEX(Workers!$B$5:$B$2004,MATCH($D352,Workers!$A$5:$A$2004,0)),"NOT FOUND"))</f>
        <v/>
      </c>
      <c r="J352" s="24" t="str">
        <f aca="false">IF($D352="","",IFERROR(INDEX(Workers!$C$5:$C$2004,MATCH($D352,Workers!$A$5:$A$2004,0)),""))</f>
        <v/>
      </c>
      <c r="K352" s="24" t="str">
        <f aca="false">IF($D352="","",IFERROR(IF(INDEX(Workers!$D$5:$D$2004,MATCH($D352,Workers!$A$5:$A$2004,0))=0,"",INDEX(Workers!$D$5:$D$2004,MATCH($D352,Workers!$A$5:$A$2004,0))),""))</f>
        <v/>
      </c>
      <c r="L352" s="24" t="str">
        <f aca="false">IF($D352="","",IFERROR(INDEX(Workers!$E$5:$E$2004,MATCH($D352,Workers!$A$5:$A$2004,0)),""))</f>
        <v/>
      </c>
      <c r="M352" s="26" t="str">
        <f aca="false">IF($D352="","",IFERROR(INDEX(ClientRates!$D$5:$D$500,MATCH($B352&amp;"|"&amp;$L352,ClientRates!$A$5:$A$500,0)),0))</f>
        <v/>
      </c>
      <c r="N352" s="26" t="str">
        <f aca="false">IF($D352="","",IFERROR(INDEX(ClientRates!$E$5:$E$500,MATCH($B352&amp;"|"&amp;$L352,ClientRates!$A$5:$A$500,0)),0))</f>
        <v/>
      </c>
      <c r="O352" s="26" t="str">
        <f aca="false">IF($D352="","",F352*M352+G352*N352)</f>
        <v/>
      </c>
      <c r="P352" s="26" t="str">
        <f aca="false">IF(OR($D352="",$J352&lt;&gt;"Supplier"),"",IFERROR(INDEX(SupplierRates!$D$5:$D$500,MATCH($K352&amp;"|"&amp;$L352,SupplierRates!$A$5:$A$500,0)),0))</f>
        <v/>
      </c>
      <c r="Q352" s="26" t="str">
        <f aca="false">IF(OR($D352="",$J352&lt;&gt;"Supplier"),"",IFERROR(INDEX(SupplierRates!$E$5:$E$500,MATCH($K352&amp;"|"&amp;$L352,SupplierRates!$A$5:$A$500,0)),0))</f>
        <v/>
      </c>
      <c r="R352" s="26" t="n">
        <f aca="false">IF(OR($D352="",$J352&lt;&gt;"Supplier"),0,F352*P352+G352*Q352)</f>
        <v>0</v>
      </c>
      <c r="S352" s="26" t="n">
        <f aca="false">IF(OR($D352="",$J352&lt;&gt;"Own"),0,IFERROR((F352+G352*Settings!$B$13)*INDEX(Workers!$V$5:$V$2004,MATCH($D352,Workers!$A$5:$A$2004,0)),0))</f>
        <v>0</v>
      </c>
      <c r="T352" s="26" t="str">
        <f aca="false">IF($D352="","",O352-R352-S352)</f>
        <v/>
      </c>
    </row>
    <row r="353" customFormat="false" ht="15" hidden="false" customHeight="false" outlineLevel="0" collapsed="false">
      <c r="I353" s="24" t="str">
        <f aca="false">IF($D353="","",IFERROR(INDEX(Workers!$B$5:$B$2004,MATCH($D353,Workers!$A$5:$A$2004,0)),"NOT FOUND"))</f>
        <v/>
      </c>
      <c r="J353" s="24" t="str">
        <f aca="false">IF($D353="","",IFERROR(INDEX(Workers!$C$5:$C$2004,MATCH($D353,Workers!$A$5:$A$2004,0)),""))</f>
        <v/>
      </c>
      <c r="K353" s="24" t="str">
        <f aca="false">IF($D353="","",IFERROR(IF(INDEX(Workers!$D$5:$D$2004,MATCH($D353,Workers!$A$5:$A$2004,0))=0,"",INDEX(Workers!$D$5:$D$2004,MATCH($D353,Workers!$A$5:$A$2004,0))),""))</f>
        <v/>
      </c>
      <c r="L353" s="24" t="str">
        <f aca="false">IF($D353="","",IFERROR(INDEX(Workers!$E$5:$E$2004,MATCH($D353,Workers!$A$5:$A$2004,0)),""))</f>
        <v/>
      </c>
      <c r="M353" s="26" t="str">
        <f aca="false">IF($D353="","",IFERROR(INDEX(ClientRates!$D$5:$D$500,MATCH($B353&amp;"|"&amp;$L353,ClientRates!$A$5:$A$500,0)),0))</f>
        <v/>
      </c>
      <c r="N353" s="26" t="str">
        <f aca="false">IF($D353="","",IFERROR(INDEX(ClientRates!$E$5:$E$500,MATCH($B353&amp;"|"&amp;$L353,ClientRates!$A$5:$A$500,0)),0))</f>
        <v/>
      </c>
      <c r="O353" s="26" t="str">
        <f aca="false">IF($D353="","",F353*M353+G353*N353)</f>
        <v/>
      </c>
      <c r="P353" s="26" t="str">
        <f aca="false">IF(OR($D353="",$J353&lt;&gt;"Supplier"),"",IFERROR(INDEX(SupplierRates!$D$5:$D$500,MATCH($K353&amp;"|"&amp;$L353,SupplierRates!$A$5:$A$500,0)),0))</f>
        <v/>
      </c>
      <c r="Q353" s="26" t="str">
        <f aca="false">IF(OR($D353="",$J353&lt;&gt;"Supplier"),"",IFERROR(INDEX(SupplierRates!$E$5:$E$500,MATCH($K353&amp;"|"&amp;$L353,SupplierRates!$A$5:$A$500,0)),0))</f>
        <v/>
      </c>
      <c r="R353" s="26" t="n">
        <f aca="false">IF(OR($D353="",$J353&lt;&gt;"Supplier"),0,F353*P353+G353*Q353)</f>
        <v>0</v>
      </c>
      <c r="S353" s="26" t="n">
        <f aca="false">IF(OR($D353="",$J353&lt;&gt;"Own"),0,IFERROR((F353+G353*Settings!$B$13)*INDEX(Workers!$V$5:$V$2004,MATCH($D353,Workers!$A$5:$A$2004,0)),0))</f>
        <v>0</v>
      </c>
      <c r="T353" s="26" t="str">
        <f aca="false">IF($D353="","",O353-R353-S353)</f>
        <v/>
      </c>
    </row>
    <row r="354" customFormat="false" ht="15" hidden="false" customHeight="false" outlineLevel="0" collapsed="false">
      <c r="I354" s="24" t="str">
        <f aca="false">IF($D354="","",IFERROR(INDEX(Workers!$B$5:$B$2004,MATCH($D354,Workers!$A$5:$A$2004,0)),"NOT FOUND"))</f>
        <v/>
      </c>
      <c r="J354" s="24" t="str">
        <f aca="false">IF($D354="","",IFERROR(INDEX(Workers!$C$5:$C$2004,MATCH($D354,Workers!$A$5:$A$2004,0)),""))</f>
        <v/>
      </c>
      <c r="K354" s="24" t="str">
        <f aca="false">IF($D354="","",IFERROR(IF(INDEX(Workers!$D$5:$D$2004,MATCH($D354,Workers!$A$5:$A$2004,0))=0,"",INDEX(Workers!$D$5:$D$2004,MATCH($D354,Workers!$A$5:$A$2004,0))),""))</f>
        <v/>
      </c>
      <c r="L354" s="24" t="str">
        <f aca="false">IF($D354="","",IFERROR(INDEX(Workers!$E$5:$E$2004,MATCH($D354,Workers!$A$5:$A$2004,0)),""))</f>
        <v/>
      </c>
      <c r="M354" s="26" t="str">
        <f aca="false">IF($D354="","",IFERROR(INDEX(ClientRates!$D$5:$D$500,MATCH($B354&amp;"|"&amp;$L354,ClientRates!$A$5:$A$500,0)),0))</f>
        <v/>
      </c>
      <c r="N354" s="26" t="str">
        <f aca="false">IF($D354="","",IFERROR(INDEX(ClientRates!$E$5:$E$500,MATCH($B354&amp;"|"&amp;$L354,ClientRates!$A$5:$A$500,0)),0))</f>
        <v/>
      </c>
      <c r="O354" s="26" t="str">
        <f aca="false">IF($D354="","",F354*M354+G354*N354)</f>
        <v/>
      </c>
      <c r="P354" s="26" t="str">
        <f aca="false">IF(OR($D354="",$J354&lt;&gt;"Supplier"),"",IFERROR(INDEX(SupplierRates!$D$5:$D$500,MATCH($K354&amp;"|"&amp;$L354,SupplierRates!$A$5:$A$500,0)),0))</f>
        <v/>
      </c>
      <c r="Q354" s="26" t="str">
        <f aca="false">IF(OR($D354="",$J354&lt;&gt;"Supplier"),"",IFERROR(INDEX(SupplierRates!$E$5:$E$500,MATCH($K354&amp;"|"&amp;$L354,SupplierRates!$A$5:$A$500,0)),0))</f>
        <v/>
      </c>
      <c r="R354" s="26" t="n">
        <f aca="false">IF(OR($D354="",$J354&lt;&gt;"Supplier"),0,F354*P354+G354*Q354)</f>
        <v>0</v>
      </c>
      <c r="S354" s="26" t="n">
        <f aca="false">IF(OR($D354="",$J354&lt;&gt;"Own"),0,IFERROR((F354+G354*Settings!$B$13)*INDEX(Workers!$V$5:$V$2004,MATCH($D354,Workers!$A$5:$A$2004,0)),0))</f>
        <v>0</v>
      </c>
      <c r="T354" s="26" t="str">
        <f aca="false">IF($D354="","",O354-R354-S354)</f>
        <v/>
      </c>
    </row>
    <row r="355" customFormat="false" ht="15" hidden="false" customHeight="false" outlineLevel="0" collapsed="false">
      <c r="I355" s="24" t="str">
        <f aca="false">IF($D355="","",IFERROR(INDEX(Workers!$B$5:$B$2004,MATCH($D355,Workers!$A$5:$A$2004,0)),"NOT FOUND"))</f>
        <v/>
      </c>
      <c r="J355" s="24" t="str">
        <f aca="false">IF($D355="","",IFERROR(INDEX(Workers!$C$5:$C$2004,MATCH($D355,Workers!$A$5:$A$2004,0)),""))</f>
        <v/>
      </c>
      <c r="K355" s="24" t="str">
        <f aca="false">IF($D355="","",IFERROR(IF(INDEX(Workers!$D$5:$D$2004,MATCH($D355,Workers!$A$5:$A$2004,0))=0,"",INDEX(Workers!$D$5:$D$2004,MATCH($D355,Workers!$A$5:$A$2004,0))),""))</f>
        <v/>
      </c>
      <c r="L355" s="24" t="str">
        <f aca="false">IF($D355="","",IFERROR(INDEX(Workers!$E$5:$E$2004,MATCH($D355,Workers!$A$5:$A$2004,0)),""))</f>
        <v/>
      </c>
      <c r="M355" s="26" t="str">
        <f aca="false">IF($D355="","",IFERROR(INDEX(ClientRates!$D$5:$D$500,MATCH($B355&amp;"|"&amp;$L355,ClientRates!$A$5:$A$500,0)),0))</f>
        <v/>
      </c>
      <c r="N355" s="26" t="str">
        <f aca="false">IF($D355="","",IFERROR(INDEX(ClientRates!$E$5:$E$500,MATCH($B355&amp;"|"&amp;$L355,ClientRates!$A$5:$A$500,0)),0))</f>
        <v/>
      </c>
      <c r="O355" s="26" t="str">
        <f aca="false">IF($D355="","",F355*M355+G355*N355)</f>
        <v/>
      </c>
      <c r="P355" s="26" t="str">
        <f aca="false">IF(OR($D355="",$J355&lt;&gt;"Supplier"),"",IFERROR(INDEX(SupplierRates!$D$5:$D$500,MATCH($K355&amp;"|"&amp;$L355,SupplierRates!$A$5:$A$500,0)),0))</f>
        <v/>
      </c>
      <c r="Q355" s="26" t="str">
        <f aca="false">IF(OR($D355="",$J355&lt;&gt;"Supplier"),"",IFERROR(INDEX(SupplierRates!$E$5:$E$500,MATCH($K355&amp;"|"&amp;$L355,SupplierRates!$A$5:$A$500,0)),0))</f>
        <v/>
      </c>
      <c r="R355" s="26" t="n">
        <f aca="false">IF(OR($D355="",$J355&lt;&gt;"Supplier"),0,F355*P355+G355*Q355)</f>
        <v>0</v>
      </c>
      <c r="S355" s="26" t="n">
        <f aca="false">IF(OR($D355="",$J355&lt;&gt;"Own"),0,IFERROR((F355+G355*Settings!$B$13)*INDEX(Workers!$V$5:$V$2004,MATCH($D355,Workers!$A$5:$A$2004,0)),0))</f>
        <v>0</v>
      </c>
      <c r="T355" s="26" t="str">
        <f aca="false">IF($D355="","",O355-R355-S355)</f>
        <v/>
      </c>
    </row>
    <row r="356" customFormat="false" ht="15" hidden="false" customHeight="false" outlineLevel="0" collapsed="false">
      <c r="I356" s="24" t="str">
        <f aca="false">IF($D356="","",IFERROR(INDEX(Workers!$B$5:$B$2004,MATCH($D356,Workers!$A$5:$A$2004,0)),"NOT FOUND"))</f>
        <v/>
      </c>
      <c r="J356" s="24" t="str">
        <f aca="false">IF($D356="","",IFERROR(INDEX(Workers!$C$5:$C$2004,MATCH($D356,Workers!$A$5:$A$2004,0)),""))</f>
        <v/>
      </c>
      <c r="K356" s="24" t="str">
        <f aca="false">IF($D356="","",IFERROR(IF(INDEX(Workers!$D$5:$D$2004,MATCH($D356,Workers!$A$5:$A$2004,0))=0,"",INDEX(Workers!$D$5:$D$2004,MATCH($D356,Workers!$A$5:$A$2004,0))),""))</f>
        <v/>
      </c>
      <c r="L356" s="24" t="str">
        <f aca="false">IF($D356="","",IFERROR(INDEX(Workers!$E$5:$E$2004,MATCH($D356,Workers!$A$5:$A$2004,0)),""))</f>
        <v/>
      </c>
      <c r="M356" s="26" t="str">
        <f aca="false">IF($D356="","",IFERROR(INDEX(ClientRates!$D$5:$D$500,MATCH($B356&amp;"|"&amp;$L356,ClientRates!$A$5:$A$500,0)),0))</f>
        <v/>
      </c>
      <c r="N356" s="26" t="str">
        <f aca="false">IF($D356="","",IFERROR(INDEX(ClientRates!$E$5:$E$500,MATCH($B356&amp;"|"&amp;$L356,ClientRates!$A$5:$A$500,0)),0))</f>
        <v/>
      </c>
      <c r="O356" s="26" t="str">
        <f aca="false">IF($D356="","",F356*M356+G356*N356)</f>
        <v/>
      </c>
      <c r="P356" s="26" t="str">
        <f aca="false">IF(OR($D356="",$J356&lt;&gt;"Supplier"),"",IFERROR(INDEX(SupplierRates!$D$5:$D$500,MATCH($K356&amp;"|"&amp;$L356,SupplierRates!$A$5:$A$500,0)),0))</f>
        <v/>
      </c>
      <c r="Q356" s="26" t="str">
        <f aca="false">IF(OR($D356="",$J356&lt;&gt;"Supplier"),"",IFERROR(INDEX(SupplierRates!$E$5:$E$500,MATCH($K356&amp;"|"&amp;$L356,SupplierRates!$A$5:$A$500,0)),0))</f>
        <v/>
      </c>
      <c r="R356" s="26" t="n">
        <f aca="false">IF(OR($D356="",$J356&lt;&gt;"Supplier"),0,F356*P356+G356*Q356)</f>
        <v>0</v>
      </c>
      <c r="S356" s="26" t="n">
        <f aca="false">IF(OR($D356="",$J356&lt;&gt;"Own"),0,IFERROR((F356+G356*Settings!$B$13)*INDEX(Workers!$V$5:$V$2004,MATCH($D356,Workers!$A$5:$A$2004,0)),0))</f>
        <v>0</v>
      </c>
      <c r="T356" s="26" t="str">
        <f aca="false">IF($D356="","",O356-R356-S356)</f>
        <v/>
      </c>
    </row>
    <row r="357" customFormat="false" ht="15" hidden="false" customHeight="false" outlineLevel="0" collapsed="false">
      <c r="I357" s="24" t="str">
        <f aca="false">IF($D357="","",IFERROR(INDEX(Workers!$B$5:$B$2004,MATCH($D357,Workers!$A$5:$A$2004,0)),"NOT FOUND"))</f>
        <v/>
      </c>
      <c r="J357" s="24" t="str">
        <f aca="false">IF($D357="","",IFERROR(INDEX(Workers!$C$5:$C$2004,MATCH($D357,Workers!$A$5:$A$2004,0)),""))</f>
        <v/>
      </c>
      <c r="K357" s="24" t="str">
        <f aca="false">IF($D357="","",IFERROR(IF(INDEX(Workers!$D$5:$D$2004,MATCH($D357,Workers!$A$5:$A$2004,0))=0,"",INDEX(Workers!$D$5:$D$2004,MATCH($D357,Workers!$A$5:$A$2004,0))),""))</f>
        <v/>
      </c>
      <c r="L357" s="24" t="str">
        <f aca="false">IF($D357="","",IFERROR(INDEX(Workers!$E$5:$E$2004,MATCH($D357,Workers!$A$5:$A$2004,0)),""))</f>
        <v/>
      </c>
      <c r="M357" s="26" t="str">
        <f aca="false">IF($D357="","",IFERROR(INDEX(ClientRates!$D$5:$D$500,MATCH($B357&amp;"|"&amp;$L357,ClientRates!$A$5:$A$500,0)),0))</f>
        <v/>
      </c>
      <c r="N357" s="26" t="str">
        <f aca="false">IF($D357="","",IFERROR(INDEX(ClientRates!$E$5:$E$500,MATCH($B357&amp;"|"&amp;$L357,ClientRates!$A$5:$A$500,0)),0))</f>
        <v/>
      </c>
      <c r="O357" s="26" t="str">
        <f aca="false">IF($D357="","",F357*M357+G357*N357)</f>
        <v/>
      </c>
      <c r="P357" s="26" t="str">
        <f aca="false">IF(OR($D357="",$J357&lt;&gt;"Supplier"),"",IFERROR(INDEX(SupplierRates!$D$5:$D$500,MATCH($K357&amp;"|"&amp;$L357,SupplierRates!$A$5:$A$500,0)),0))</f>
        <v/>
      </c>
      <c r="Q357" s="26" t="str">
        <f aca="false">IF(OR($D357="",$J357&lt;&gt;"Supplier"),"",IFERROR(INDEX(SupplierRates!$E$5:$E$500,MATCH($K357&amp;"|"&amp;$L357,SupplierRates!$A$5:$A$500,0)),0))</f>
        <v/>
      </c>
      <c r="R357" s="26" t="n">
        <f aca="false">IF(OR($D357="",$J357&lt;&gt;"Supplier"),0,F357*P357+G357*Q357)</f>
        <v>0</v>
      </c>
      <c r="S357" s="26" t="n">
        <f aca="false">IF(OR($D357="",$J357&lt;&gt;"Own"),0,IFERROR((F357+G357*Settings!$B$13)*INDEX(Workers!$V$5:$V$2004,MATCH($D357,Workers!$A$5:$A$2004,0)),0))</f>
        <v>0</v>
      </c>
      <c r="T357" s="26" t="str">
        <f aca="false">IF($D357="","",O357-R357-S357)</f>
        <v/>
      </c>
    </row>
    <row r="358" customFormat="false" ht="15" hidden="false" customHeight="false" outlineLevel="0" collapsed="false">
      <c r="I358" s="24" t="str">
        <f aca="false">IF($D358="","",IFERROR(INDEX(Workers!$B$5:$B$2004,MATCH($D358,Workers!$A$5:$A$2004,0)),"NOT FOUND"))</f>
        <v/>
      </c>
      <c r="J358" s="24" t="str">
        <f aca="false">IF($D358="","",IFERROR(INDEX(Workers!$C$5:$C$2004,MATCH($D358,Workers!$A$5:$A$2004,0)),""))</f>
        <v/>
      </c>
      <c r="K358" s="24" t="str">
        <f aca="false">IF($D358="","",IFERROR(IF(INDEX(Workers!$D$5:$D$2004,MATCH($D358,Workers!$A$5:$A$2004,0))=0,"",INDEX(Workers!$D$5:$D$2004,MATCH($D358,Workers!$A$5:$A$2004,0))),""))</f>
        <v/>
      </c>
      <c r="L358" s="24" t="str">
        <f aca="false">IF($D358="","",IFERROR(INDEX(Workers!$E$5:$E$2004,MATCH($D358,Workers!$A$5:$A$2004,0)),""))</f>
        <v/>
      </c>
      <c r="M358" s="26" t="str">
        <f aca="false">IF($D358="","",IFERROR(INDEX(ClientRates!$D$5:$D$500,MATCH($B358&amp;"|"&amp;$L358,ClientRates!$A$5:$A$500,0)),0))</f>
        <v/>
      </c>
      <c r="N358" s="26" t="str">
        <f aca="false">IF($D358="","",IFERROR(INDEX(ClientRates!$E$5:$E$500,MATCH($B358&amp;"|"&amp;$L358,ClientRates!$A$5:$A$500,0)),0))</f>
        <v/>
      </c>
      <c r="O358" s="26" t="str">
        <f aca="false">IF($D358="","",F358*M358+G358*N358)</f>
        <v/>
      </c>
      <c r="P358" s="26" t="str">
        <f aca="false">IF(OR($D358="",$J358&lt;&gt;"Supplier"),"",IFERROR(INDEX(SupplierRates!$D$5:$D$500,MATCH($K358&amp;"|"&amp;$L358,SupplierRates!$A$5:$A$500,0)),0))</f>
        <v/>
      </c>
      <c r="Q358" s="26" t="str">
        <f aca="false">IF(OR($D358="",$J358&lt;&gt;"Supplier"),"",IFERROR(INDEX(SupplierRates!$E$5:$E$500,MATCH($K358&amp;"|"&amp;$L358,SupplierRates!$A$5:$A$500,0)),0))</f>
        <v/>
      </c>
      <c r="R358" s="26" t="n">
        <f aca="false">IF(OR($D358="",$J358&lt;&gt;"Supplier"),0,F358*P358+G358*Q358)</f>
        <v>0</v>
      </c>
      <c r="S358" s="26" t="n">
        <f aca="false">IF(OR($D358="",$J358&lt;&gt;"Own"),0,IFERROR((F358+G358*Settings!$B$13)*INDEX(Workers!$V$5:$V$2004,MATCH($D358,Workers!$A$5:$A$2004,0)),0))</f>
        <v>0</v>
      </c>
      <c r="T358" s="26" t="str">
        <f aca="false">IF($D358="","",O358-R358-S358)</f>
        <v/>
      </c>
    </row>
    <row r="359" customFormat="false" ht="15" hidden="false" customHeight="false" outlineLevel="0" collapsed="false">
      <c r="I359" s="24" t="str">
        <f aca="false">IF($D359="","",IFERROR(INDEX(Workers!$B$5:$B$2004,MATCH($D359,Workers!$A$5:$A$2004,0)),"NOT FOUND"))</f>
        <v/>
      </c>
      <c r="J359" s="24" t="str">
        <f aca="false">IF($D359="","",IFERROR(INDEX(Workers!$C$5:$C$2004,MATCH($D359,Workers!$A$5:$A$2004,0)),""))</f>
        <v/>
      </c>
      <c r="K359" s="24" t="str">
        <f aca="false">IF($D359="","",IFERROR(IF(INDEX(Workers!$D$5:$D$2004,MATCH($D359,Workers!$A$5:$A$2004,0))=0,"",INDEX(Workers!$D$5:$D$2004,MATCH($D359,Workers!$A$5:$A$2004,0))),""))</f>
        <v/>
      </c>
      <c r="L359" s="24" t="str">
        <f aca="false">IF($D359="","",IFERROR(INDEX(Workers!$E$5:$E$2004,MATCH($D359,Workers!$A$5:$A$2004,0)),""))</f>
        <v/>
      </c>
      <c r="M359" s="26" t="str">
        <f aca="false">IF($D359="","",IFERROR(INDEX(ClientRates!$D$5:$D$500,MATCH($B359&amp;"|"&amp;$L359,ClientRates!$A$5:$A$500,0)),0))</f>
        <v/>
      </c>
      <c r="N359" s="26" t="str">
        <f aca="false">IF($D359="","",IFERROR(INDEX(ClientRates!$E$5:$E$500,MATCH($B359&amp;"|"&amp;$L359,ClientRates!$A$5:$A$500,0)),0))</f>
        <v/>
      </c>
      <c r="O359" s="26" t="str">
        <f aca="false">IF($D359="","",F359*M359+G359*N359)</f>
        <v/>
      </c>
      <c r="P359" s="26" t="str">
        <f aca="false">IF(OR($D359="",$J359&lt;&gt;"Supplier"),"",IFERROR(INDEX(SupplierRates!$D$5:$D$500,MATCH($K359&amp;"|"&amp;$L359,SupplierRates!$A$5:$A$500,0)),0))</f>
        <v/>
      </c>
      <c r="Q359" s="26" t="str">
        <f aca="false">IF(OR($D359="",$J359&lt;&gt;"Supplier"),"",IFERROR(INDEX(SupplierRates!$E$5:$E$500,MATCH($K359&amp;"|"&amp;$L359,SupplierRates!$A$5:$A$500,0)),0))</f>
        <v/>
      </c>
      <c r="R359" s="26" t="n">
        <f aca="false">IF(OR($D359="",$J359&lt;&gt;"Supplier"),0,F359*P359+G359*Q359)</f>
        <v>0</v>
      </c>
      <c r="S359" s="26" t="n">
        <f aca="false">IF(OR($D359="",$J359&lt;&gt;"Own"),0,IFERROR((F359+G359*Settings!$B$13)*INDEX(Workers!$V$5:$V$2004,MATCH($D359,Workers!$A$5:$A$2004,0)),0))</f>
        <v>0</v>
      </c>
      <c r="T359" s="26" t="str">
        <f aca="false">IF($D359="","",O359-R359-S359)</f>
        <v/>
      </c>
    </row>
    <row r="360" customFormat="false" ht="15" hidden="false" customHeight="false" outlineLevel="0" collapsed="false">
      <c r="I360" s="24" t="str">
        <f aca="false">IF($D360="","",IFERROR(INDEX(Workers!$B$5:$B$2004,MATCH($D360,Workers!$A$5:$A$2004,0)),"NOT FOUND"))</f>
        <v/>
      </c>
      <c r="J360" s="24" t="str">
        <f aca="false">IF($D360="","",IFERROR(INDEX(Workers!$C$5:$C$2004,MATCH($D360,Workers!$A$5:$A$2004,0)),""))</f>
        <v/>
      </c>
      <c r="K360" s="24" t="str">
        <f aca="false">IF($D360="","",IFERROR(IF(INDEX(Workers!$D$5:$D$2004,MATCH($D360,Workers!$A$5:$A$2004,0))=0,"",INDEX(Workers!$D$5:$D$2004,MATCH($D360,Workers!$A$5:$A$2004,0))),""))</f>
        <v/>
      </c>
      <c r="L360" s="24" t="str">
        <f aca="false">IF($D360="","",IFERROR(INDEX(Workers!$E$5:$E$2004,MATCH($D360,Workers!$A$5:$A$2004,0)),""))</f>
        <v/>
      </c>
      <c r="M360" s="26" t="str">
        <f aca="false">IF($D360="","",IFERROR(INDEX(ClientRates!$D$5:$D$500,MATCH($B360&amp;"|"&amp;$L360,ClientRates!$A$5:$A$500,0)),0))</f>
        <v/>
      </c>
      <c r="N360" s="26" t="str">
        <f aca="false">IF($D360="","",IFERROR(INDEX(ClientRates!$E$5:$E$500,MATCH($B360&amp;"|"&amp;$L360,ClientRates!$A$5:$A$500,0)),0))</f>
        <v/>
      </c>
      <c r="O360" s="26" t="str">
        <f aca="false">IF($D360="","",F360*M360+G360*N360)</f>
        <v/>
      </c>
      <c r="P360" s="26" t="str">
        <f aca="false">IF(OR($D360="",$J360&lt;&gt;"Supplier"),"",IFERROR(INDEX(SupplierRates!$D$5:$D$500,MATCH($K360&amp;"|"&amp;$L360,SupplierRates!$A$5:$A$500,0)),0))</f>
        <v/>
      </c>
      <c r="Q360" s="26" t="str">
        <f aca="false">IF(OR($D360="",$J360&lt;&gt;"Supplier"),"",IFERROR(INDEX(SupplierRates!$E$5:$E$500,MATCH($K360&amp;"|"&amp;$L360,SupplierRates!$A$5:$A$500,0)),0))</f>
        <v/>
      </c>
      <c r="R360" s="26" t="n">
        <f aca="false">IF(OR($D360="",$J360&lt;&gt;"Supplier"),0,F360*P360+G360*Q360)</f>
        <v>0</v>
      </c>
      <c r="S360" s="26" t="n">
        <f aca="false">IF(OR($D360="",$J360&lt;&gt;"Own"),0,IFERROR((F360+G360*Settings!$B$13)*INDEX(Workers!$V$5:$V$2004,MATCH($D360,Workers!$A$5:$A$2004,0)),0))</f>
        <v>0</v>
      </c>
      <c r="T360" s="26" t="str">
        <f aca="false">IF($D360="","",O360-R360-S360)</f>
        <v/>
      </c>
    </row>
    <row r="361" customFormat="false" ht="15" hidden="false" customHeight="false" outlineLevel="0" collapsed="false">
      <c r="I361" s="24" t="str">
        <f aca="false">IF($D361="","",IFERROR(INDEX(Workers!$B$5:$B$2004,MATCH($D361,Workers!$A$5:$A$2004,0)),"NOT FOUND"))</f>
        <v/>
      </c>
      <c r="J361" s="24" t="str">
        <f aca="false">IF($D361="","",IFERROR(INDEX(Workers!$C$5:$C$2004,MATCH($D361,Workers!$A$5:$A$2004,0)),""))</f>
        <v/>
      </c>
      <c r="K361" s="24" t="str">
        <f aca="false">IF($D361="","",IFERROR(IF(INDEX(Workers!$D$5:$D$2004,MATCH($D361,Workers!$A$5:$A$2004,0))=0,"",INDEX(Workers!$D$5:$D$2004,MATCH($D361,Workers!$A$5:$A$2004,0))),""))</f>
        <v/>
      </c>
      <c r="L361" s="24" t="str">
        <f aca="false">IF($D361="","",IFERROR(INDEX(Workers!$E$5:$E$2004,MATCH($D361,Workers!$A$5:$A$2004,0)),""))</f>
        <v/>
      </c>
      <c r="M361" s="26" t="str">
        <f aca="false">IF($D361="","",IFERROR(INDEX(ClientRates!$D$5:$D$500,MATCH($B361&amp;"|"&amp;$L361,ClientRates!$A$5:$A$500,0)),0))</f>
        <v/>
      </c>
      <c r="N361" s="26" t="str">
        <f aca="false">IF($D361="","",IFERROR(INDEX(ClientRates!$E$5:$E$500,MATCH($B361&amp;"|"&amp;$L361,ClientRates!$A$5:$A$500,0)),0))</f>
        <v/>
      </c>
      <c r="O361" s="26" t="str">
        <f aca="false">IF($D361="","",F361*M361+G361*N361)</f>
        <v/>
      </c>
      <c r="P361" s="26" t="str">
        <f aca="false">IF(OR($D361="",$J361&lt;&gt;"Supplier"),"",IFERROR(INDEX(SupplierRates!$D$5:$D$500,MATCH($K361&amp;"|"&amp;$L361,SupplierRates!$A$5:$A$500,0)),0))</f>
        <v/>
      </c>
      <c r="Q361" s="26" t="str">
        <f aca="false">IF(OR($D361="",$J361&lt;&gt;"Supplier"),"",IFERROR(INDEX(SupplierRates!$E$5:$E$500,MATCH($K361&amp;"|"&amp;$L361,SupplierRates!$A$5:$A$500,0)),0))</f>
        <v/>
      </c>
      <c r="R361" s="26" t="n">
        <f aca="false">IF(OR($D361="",$J361&lt;&gt;"Supplier"),0,F361*P361+G361*Q361)</f>
        <v>0</v>
      </c>
      <c r="S361" s="26" t="n">
        <f aca="false">IF(OR($D361="",$J361&lt;&gt;"Own"),0,IFERROR((F361+G361*Settings!$B$13)*INDEX(Workers!$V$5:$V$2004,MATCH($D361,Workers!$A$5:$A$2004,0)),0))</f>
        <v>0</v>
      </c>
      <c r="T361" s="26" t="str">
        <f aca="false">IF($D361="","",O361-R361-S361)</f>
        <v/>
      </c>
    </row>
    <row r="362" customFormat="false" ht="15" hidden="false" customHeight="false" outlineLevel="0" collapsed="false">
      <c r="I362" s="24" t="str">
        <f aca="false">IF($D362="","",IFERROR(INDEX(Workers!$B$5:$B$2004,MATCH($D362,Workers!$A$5:$A$2004,0)),"NOT FOUND"))</f>
        <v/>
      </c>
      <c r="J362" s="24" t="str">
        <f aca="false">IF($D362="","",IFERROR(INDEX(Workers!$C$5:$C$2004,MATCH($D362,Workers!$A$5:$A$2004,0)),""))</f>
        <v/>
      </c>
      <c r="K362" s="24" t="str">
        <f aca="false">IF($D362="","",IFERROR(IF(INDEX(Workers!$D$5:$D$2004,MATCH($D362,Workers!$A$5:$A$2004,0))=0,"",INDEX(Workers!$D$5:$D$2004,MATCH($D362,Workers!$A$5:$A$2004,0))),""))</f>
        <v/>
      </c>
      <c r="L362" s="24" t="str">
        <f aca="false">IF($D362="","",IFERROR(INDEX(Workers!$E$5:$E$2004,MATCH($D362,Workers!$A$5:$A$2004,0)),""))</f>
        <v/>
      </c>
      <c r="M362" s="26" t="str">
        <f aca="false">IF($D362="","",IFERROR(INDEX(ClientRates!$D$5:$D$500,MATCH($B362&amp;"|"&amp;$L362,ClientRates!$A$5:$A$500,0)),0))</f>
        <v/>
      </c>
      <c r="N362" s="26" t="str">
        <f aca="false">IF($D362="","",IFERROR(INDEX(ClientRates!$E$5:$E$500,MATCH($B362&amp;"|"&amp;$L362,ClientRates!$A$5:$A$500,0)),0))</f>
        <v/>
      </c>
      <c r="O362" s="26" t="str">
        <f aca="false">IF($D362="","",F362*M362+G362*N362)</f>
        <v/>
      </c>
      <c r="P362" s="26" t="str">
        <f aca="false">IF(OR($D362="",$J362&lt;&gt;"Supplier"),"",IFERROR(INDEX(SupplierRates!$D$5:$D$500,MATCH($K362&amp;"|"&amp;$L362,SupplierRates!$A$5:$A$500,0)),0))</f>
        <v/>
      </c>
      <c r="Q362" s="26" t="str">
        <f aca="false">IF(OR($D362="",$J362&lt;&gt;"Supplier"),"",IFERROR(INDEX(SupplierRates!$E$5:$E$500,MATCH($K362&amp;"|"&amp;$L362,SupplierRates!$A$5:$A$500,0)),0))</f>
        <v/>
      </c>
      <c r="R362" s="26" t="n">
        <f aca="false">IF(OR($D362="",$J362&lt;&gt;"Supplier"),0,F362*P362+G362*Q362)</f>
        <v>0</v>
      </c>
      <c r="S362" s="26" t="n">
        <f aca="false">IF(OR($D362="",$J362&lt;&gt;"Own"),0,IFERROR((F362+G362*Settings!$B$13)*INDEX(Workers!$V$5:$V$2004,MATCH($D362,Workers!$A$5:$A$2004,0)),0))</f>
        <v>0</v>
      </c>
      <c r="T362" s="26" t="str">
        <f aca="false">IF($D362="","",O362-R362-S362)</f>
        <v/>
      </c>
    </row>
    <row r="363" customFormat="false" ht="15" hidden="false" customHeight="false" outlineLevel="0" collapsed="false">
      <c r="I363" s="24" t="str">
        <f aca="false">IF($D363="","",IFERROR(INDEX(Workers!$B$5:$B$2004,MATCH($D363,Workers!$A$5:$A$2004,0)),"NOT FOUND"))</f>
        <v/>
      </c>
      <c r="J363" s="24" t="str">
        <f aca="false">IF($D363="","",IFERROR(INDEX(Workers!$C$5:$C$2004,MATCH($D363,Workers!$A$5:$A$2004,0)),""))</f>
        <v/>
      </c>
      <c r="K363" s="24" t="str">
        <f aca="false">IF($D363="","",IFERROR(IF(INDEX(Workers!$D$5:$D$2004,MATCH($D363,Workers!$A$5:$A$2004,0))=0,"",INDEX(Workers!$D$5:$D$2004,MATCH($D363,Workers!$A$5:$A$2004,0))),""))</f>
        <v/>
      </c>
      <c r="L363" s="24" t="str">
        <f aca="false">IF($D363="","",IFERROR(INDEX(Workers!$E$5:$E$2004,MATCH($D363,Workers!$A$5:$A$2004,0)),""))</f>
        <v/>
      </c>
      <c r="M363" s="26" t="str">
        <f aca="false">IF($D363="","",IFERROR(INDEX(ClientRates!$D$5:$D$500,MATCH($B363&amp;"|"&amp;$L363,ClientRates!$A$5:$A$500,0)),0))</f>
        <v/>
      </c>
      <c r="N363" s="26" t="str">
        <f aca="false">IF($D363="","",IFERROR(INDEX(ClientRates!$E$5:$E$500,MATCH($B363&amp;"|"&amp;$L363,ClientRates!$A$5:$A$500,0)),0))</f>
        <v/>
      </c>
      <c r="O363" s="26" t="str">
        <f aca="false">IF($D363="","",F363*M363+G363*N363)</f>
        <v/>
      </c>
      <c r="P363" s="26" t="str">
        <f aca="false">IF(OR($D363="",$J363&lt;&gt;"Supplier"),"",IFERROR(INDEX(SupplierRates!$D$5:$D$500,MATCH($K363&amp;"|"&amp;$L363,SupplierRates!$A$5:$A$500,0)),0))</f>
        <v/>
      </c>
      <c r="Q363" s="26" t="str">
        <f aca="false">IF(OR($D363="",$J363&lt;&gt;"Supplier"),"",IFERROR(INDEX(SupplierRates!$E$5:$E$500,MATCH($K363&amp;"|"&amp;$L363,SupplierRates!$A$5:$A$500,0)),0))</f>
        <v/>
      </c>
      <c r="R363" s="26" t="n">
        <f aca="false">IF(OR($D363="",$J363&lt;&gt;"Supplier"),0,F363*P363+G363*Q363)</f>
        <v>0</v>
      </c>
      <c r="S363" s="26" t="n">
        <f aca="false">IF(OR($D363="",$J363&lt;&gt;"Own"),0,IFERROR((F363+G363*Settings!$B$13)*INDEX(Workers!$V$5:$V$2004,MATCH($D363,Workers!$A$5:$A$2004,0)),0))</f>
        <v>0</v>
      </c>
      <c r="T363" s="26" t="str">
        <f aca="false">IF($D363="","",O363-R363-S363)</f>
        <v/>
      </c>
    </row>
    <row r="364" customFormat="false" ht="15" hidden="false" customHeight="false" outlineLevel="0" collapsed="false">
      <c r="I364" s="24" t="str">
        <f aca="false">IF($D364="","",IFERROR(INDEX(Workers!$B$5:$B$2004,MATCH($D364,Workers!$A$5:$A$2004,0)),"NOT FOUND"))</f>
        <v/>
      </c>
      <c r="J364" s="24" t="str">
        <f aca="false">IF($D364="","",IFERROR(INDEX(Workers!$C$5:$C$2004,MATCH($D364,Workers!$A$5:$A$2004,0)),""))</f>
        <v/>
      </c>
      <c r="K364" s="24" t="str">
        <f aca="false">IF($D364="","",IFERROR(IF(INDEX(Workers!$D$5:$D$2004,MATCH($D364,Workers!$A$5:$A$2004,0))=0,"",INDEX(Workers!$D$5:$D$2004,MATCH($D364,Workers!$A$5:$A$2004,0))),""))</f>
        <v/>
      </c>
      <c r="L364" s="24" t="str">
        <f aca="false">IF($D364="","",IFERROR(INDEX(Workers!$E$5:$E$2004,MATCH($D364,Workers!$A$5:$A$2004,0)),""))</f>
        <v/>
      </c>
      <c r="M364" s="26" t="str">
        <f aca="false">IF($D364="","",IFERROR(INDEX(ClientRates!$D$5:$D$500,MATCH($B364&amp;"|"&amp;$L364,ClientRates!$A$5:$A$500,0)),0))</f>
        <v/>
      </c>
      <c r="N364" s="26" t="str">
        <f aca="false">IF($D364="","",IFERROR(INDEX(ClientRates!$E$5:$E$500,MATCH($B364&amp;"|"&amp;$L364,ClientRates!$A$5:$A$500,0)),0))</f>
        <v/>
      </c>
      <c r="O364" s="26" t="str">
        <f aca="false">IF($D364="","",F364*M364+G364*N364)</f>
        <v/>
      </c>
      <c r="P364" s="26" t="str">
        <f aca="false">IF(OR($D364="",$J364&lt;&gt;"Supplier"),"",IFERROR(INDEX(SupplierRates!$D$5:$D$500,MATCH($K364&amp;"|"&amp;$L364,SupplierRates!$A$5:$A$500,0)),0))</f>
        <v/>
      </c>
      <c r="Q364" s="26" t="str">
        <f aca="false">IF(OR($D364="",$J364&lt;&gt;"Supplier"),"",IFERROR(INDEX(SupplierRates!$E$5:$E$500,MATCH($K364&amp;"|"&amp;$L364,SupplierRates!$A$5:$A$500,0)),0))</f>
        <v/>
      </c>
      <c r="R364" s="26" t="n">
        <f aca="false">IF(OR($D364="",$J364&lt;&gt;"Supplier"),0,F364*P364+G364*Q364)</f>
        <v>0</v>
      </c>
      <c r="S364" s="26" t="n">
        <f aca="false">IF(OR($D364="",$J364&lt;&gt;"Own"),0,IFERROR((F364+G364*Settings!$B$13)*INDEX(Workers!$V$5:$V$2004,MATCH($D364,Workers!$A$5:$A$2004,0)),0))</f>
        <v>0</v>
      </c>
      <c r="T364" s="26" t="str">
        <f aca="false">IF($D364="","",O364-R364-S364)</f>
        <v/>
      </c>
    </row>
    <row r="365" customFormat="false" ht="15" hidden="false" customHeight="false" outlineLevel="0" collapsed="false">
      <c r="I365" s="24" t="str">
        <f aca="false">IF($D365="","",IFERROR(INDEX(Workers!$B$5:$B$2004,MATCH($D365,Workers!$A$5:$A$2004,0)),"NOT FOUND"))</f>
        <v/>
      </c>
      <c r="J365" s="24" t="str">
        <f aca="false">IF($D365="","",IFERROR(INDEX(Workers!$C$5:$C$2004,MATCH($D365,Workers!$A$5:$A$2004,0)),""))</f>
        <v/>
      </c>
      <c r="K365" s="24" t="str">
        <f aca="false">IF($D365="","",IFERROR(IF(INDEX(Workers!$D$5:$D$2004,MATCH($D365,Workers!$A$5:$A$2004,0))=0,"",INDEX(Workers!$D$5:$D$2004,MATCH($D365,Workers!$A$5:$A$2004,0))),""))</f>
        <v/>
      </c>
      <c r="L365" s="24" t="str">
        <f aca="false">IF($D365="","",IFERROR(INDEX(Workers!$E$5:$E$2004,MATCH($D365,Workers!$A$5:$A$2004,0)),""))</f>
        <v/>
      </c>
      <c r="M365" s="26" t="str">
        <f aca="false">IF($D365="","",IFERROR(INDEX(ClientRates!$D$5:$D$500,MATCH($B365&amp;"|"&amp;$L365,ClientRates!$A$5:$A$500,0)),0))</f>
        <v/>
      </c>
      <c r="N365" s="26" t="str">
        <f aca="false">IF($D365="","",IFERROR(INDEX(ClientRates!$E$5:$E$500,MATCH($B365&amp;"|"&amp;$L365,ClientRates!$A$5:$A$500,0)),0))</f>
        <v/>
      </c>
      <c r="O365" s="26" t="str">
        <f aca="false">IF($D365="","",F365*M365+G365*N365)</f>
        <v/>
      </c>
      <c r="P365" s="26" t="str">
        <f aca="false">IF(OR($D365="",$J365&lt;&gt;"Supplier"),"",IFERROR(INDEX(SupplierRates!$D$5:$D$500,MATCH($K365&amp;"|"&amp;$L365,SupplierRates!$A$5:$A$500,0)),0))</f>
        <v/>
      </c>
      <c r="Q365" s="26" t="str">
        <f aca="false">IF(OR($D365="",$J365&lt;&gt;"Supplier"),"",IFERROR(INDEX(SupplierRates!$E$5:$E$500,MATCH($K365&amp;"|"&amp;$L365,SupplierRates!$A$5:$A$500,0)),0))</f>
        <v/>
      </c>
      <c r="R365" s="26" t="n">
        <f aca="false">IF(OR($D365="",$J365&lt;&gt;"Supplier"),0,F365*P365+G365*Q365)</f>
        <v>0</v>
      </c>
      <c r="S365" s="26" t="n">
        <f aca="false">IF(OR($D365="",$J365&lt;&gt;"Own"),0,IFERROR((F365+G365*Settings!$B$13)*INDEX(Workers!$V$5:$V$2004,MATCH($D365,Workers!$A$5:$A$2004,0)),0))</f>
        <v>0</v>
      </c>
      <c r="T365" s="26" t="str">
        <f aca="false">IF($D365="","",O365-R365-S365)</f>
        <v/>
      </c>
    </row>
    <row r="366" customFormat="false" ht="15" hidden="false" customHeight="false" outlineLevel="0" collapsed="false">
      <c r="I366" s="24" t="str">
        <f aca="false">IF($D366="","",IFERROR(INDEX(Workers!$B$5:$B$2004,MATCH($D366,Workers!$A$5:$A$2004,0)),"NOT FOUND"))</f>
        <v/>
      </c>
      <c r="J366" s="24" t="str">
        <f aca="false">IF($D366="","",IFERROR(INDEX(Workers!$C$5:$C$2004,MATCH($D366,Workers!$A$5:$A$2004,0)),""))</f>
        <v/>
      </c>
      <c r="K366" s="24" t="str">
        <f aca="false">IF($D366="","",IFERROR(IF(INDEX(Workers!$D$5:$D$2004,MATCH($D366,Workers!$A$5:$A$2004,0))=0,"",INDEX(Workers!$D$5:$D$2004,MATCH($D366,Workers!$A$5:$A$2004,0))),""))</f>
        <v/>
      </c>
      <c r="L366" s="24" t="str">
        <f aca="false">IF($D366="","",IFERROR(INDEX(Workers!$E$5:$E$2004,MATCH($D366,Workers!$A$5:$A$2004,0)),""))</f>
        <v/>
      </c>
      <c r="M366" s="26" t="str">
        <f aca="false">IF($D366="","",IFERROR(INDEX(ClientRates!$D$5:$D$500,MATCH($B366&amp;"|"&amp;$L366,ClientRates!$A$5:$A$500,0)),0))</f>
        <v/>
      </c>
      <c r="N366" s="26" t="str">
        <f aca="false">IF($D366="","",IFERROR(INDEX(ClientRates!$E$5:$E$500,MATCH($B366&amp;"|"&amp;$L366,ClientRates!$A$5:$A$500,0)),0))</f>
        <v/>
      </c>
      <c r="O366" s="26" t="str">
        <f aca="false">IF($D366="","",F366*M366+G366*N366)</f>
        <v/>
      </c>
      <c r="P366" s="26" t="str">
        <f aca="false">IF(OR($D366="",$J366&lt;&gt;"Supplier"),"",IFERROR(INDEX(SupplierRates!$D$5:$D$500,MATCH($K366&amp;"|"&amp;$L366,SupplierRates!$A$5:$A$500,0)),0))</f>
        <v/>
      </c>
      <c r="Q366" s="26" t="str">
        <f aca="false">IF(OR($D366="",$J366&lt;&gt;"Supplier"),"",IFERROR(INDEX(SupplierRates!$E$5:$E$500,MATCH($K366&amp;"|"&amp;$L366,SupplierRates!$A$5:$A$500,0)),0))</f>
        <v/>
      </c>
      <c r="R366" s="26" t="n">
        <f aca="false">IF(OR($D366="",$J366&lt;&gt;"Supplier"),0,F366*P366+G366*Q366)</f>
        <v>0</v>
      </c>
      <c r="S366" s="26" t="n">
        <f aca="false">IF(OR($D366="",$J366&lt;&gt;"Own"),0,IFERROR((F366+G366*Settings!$B$13)*INDEX(Workers!$V$5:$V$2004,MATCH($D366,Workers!$A$5:$A$2004,0)),0))</f>
        <v>0</v>
      </c>
      <c r="T366" s="26" t="str">
        <f aca="false">IF($D366="","",O366-R366-S366)</f>
        <v/>
      </c>
    </row>
    <row r="367" customFormat="false" ht="15" hidden="false" customHeight="false" outlineLevel="0" collapsed="false">
      <c r="I367" s="24" t="str">
        <f aca="false">IF($D367="","",IFERROR(INDEX(Workers!$B$5:$B$2004,MATCH($D367,Workers!$A$5:$A$2004,0)),"NOT FOUND"))</f>
        <v/>
      </c>
      <c r="J367" s="24" t="str">
        <f aca="false">IF($D367="","",IFERROR(INDEX(Workers!$C$5:$C$2004,MATCH($D367,Workers!$A$5:$A$2004,0)),""))</f>
        <v/>
      </c>
      <c r="K367" s="24" t="str">
        <f aca="false">IF($D367="","",IFERROR(IF(INDEX(Workers!$D$5:$D$2004,MATCH($D367,Workers!$A$5:$A$2004,0))=0,"",INDEX(Workers!$D$5:$D$2004,MATCH($D367,Workers!$A$5:$A$2004,0))),""))</f>
        <v/>
      </c>
      <c r="L367" s="24" t="str">
        <f aca="false">IF($D367="","",IFERROR(INDEX(Workers!$E$5:$E$2004,MATCH($D367,Workers!$A$5:$A$2004,0)),""))</f>
        <v/>
      </c>
      <c r="M367" s="26" t="str">
        <f aca="false">IF($D367="","",IFERROR(INDEX(ClientRates!$D$5:$D$500,MATCH($B367&amp;"|"&amp;$L367,ClientRates!$A$5:$A$500,0)),0))</f>
        <v/>
      </c>
      <c r="N367" s="26" t="str">
        <f aca="false">IF($D367="","",IFERROR(INDEX(ClientRates!$E$5:$E$500,MATCH($B367&amp;"|"&amp;$L367,ClientRates!$A$5:$A$500,0)),0))</f>
        <v/>
      </c>
      <c r="O367" s="26" t="str">
        <f aca="false">IF($D367="","",F367*M367+G367*N367)</f>
        <v/>
      </c>
      <c r="P367" s="26" t="str">
        <f aca="false">IF(OR($D367="",$J367&lt;&gt;"Supplier"),"",IFERROR(INDEX(SupplierRates!$D$5:$D$500,MATCH($K367&amp;"|"&amp;$L367,SupplierRates!$A$5:$A$500,0)),0))</f>
        <v/>
      </c>
      <c r="Q367" s="26" t="str">
        <f aca="false">IF(OR($D367="",$J367&lt;&gt;"Supplier"),"",IFERROR(INDEX(SupplierRates!$E$5:$E$500,MATCH($K367&amp;"|"&amp;$L367,SupplierRates!$A$5:$A$500,0)),0))</f>
        <v/>
      </c>
      <c r="R367" s="26" t="n">
        <f aca="false">IF(OR($D367="",$J367&lt;&gt;"Supplier"),0,F367*P367+G367*Q367)</f>
        <v>0</v>
      </c>
      <c r="S367" s="26" t="n">
        <f aca="false">IF(OR($D367="",$J367&lt;&gt;"Own"),0,IFERROR((F367+G367*Settings!$B$13)*INDEX(Workers!$V$5:$V$2004,MATCH($D367,Workers!$A$5:$A$2004,0)),0))</f>
        <v>0</v>
      </c>
      <c r="T367" s="26" t="str">
        <f aca="false">IF($D367="","",O367-R367-S367)</f>
        <v/>
      </c>
    </row>
    <row r="368" customFormat="false" ht="15" hidden="false" customHeight="false" outlineLevel="0" collapsed="false">
      <c r="I368" s="24" t="str">
        <f aca="false">IF($D368="","",IFERROR(INDEX(Workers!$B$5:$B$2004,MATCH($D368,Workers!$A$5:$A$2004,0)),"NOT FOUND"))</f>
        <v/>
      </c>
      <c r="J368" s="24" t="str">
        <f aca="false">IF($D368="","",IFERROR(INDEX(Workers!$C$5:$C$2004,MATCH($D368,Workers!$A$5:$A$2004,0)),""))</f>
        <v/>
      </c>
      <c r="K368" s="24" t="str">
        <f aca="false">IF($D368="","",IFERROR(IF(INDEX(Workers!$D$5:$D$2004,MATCH($D368,Workers!$A$5:$A$2004,0))=0,"",INDEX(Workers!$D$5:$D$2004,MATCH($D368,Workers!$A$5:$A$2004,0))),""))</f>
        <v/>
      </c>
      <c r="L368" s="24" t="str">
        <f aca="false">IF($D368="","",IFERROR(INDEX(Workers!$E$5:$E$2004,MATCH($D368,Workers!$A$5:$A$2004,0)),""))</f>
        <v/>
      </c>
      <c r="M368" s="26" t="str">
        <f aca="false">IF($D368="","",IFERROR(INDEX(ClientRates!$D$5:$D$500,MATCH($B368&amp;"|"&amp;$L368,ClientRates!$A$5:$A$500,0)),0))</f>
        <v/>
      </c>
      <c r="N368" s="26" t="str">
        <f aca="false">IF($D368="","",IFERROR(INDEX(ClientRates!$E$5:$E$500,MATCH($B368&amp;"|"&amp;$L368,ClientRates!$A$5:$A$500,0)),0))</f>
        <v/>
      </c>
      <c r="O368" s="26" t="str">
        <f aca="false">IF($D368="","",F368*M368+G368*N368)</f>
        <v/>
      </c>
      <c r="P368" s="26" t="str">
        <f aca="false">IF(OR($D368="",$J368&lt;&gt;"Supplier"),"",IFERROR(INDEX(SupplierRates!$D$5:$D$500,MATCH($K368&amp;"|"&amp;$L368,SupplierRates!$A$5:$A$500,0)),0))</f>
        <v/>
      </c>
      <c r="Q368" s="26" t="str">
        <f aca="false">IF(OR($D368="",$J368&lt;&gt;"Supplier"),"",IFERROR(INDEX(SupplierRates!$E$5:$E$500,MATCH($K368&amp;"|"&amp;$L368,SupplierRates!$A$5:$A$500,0)),0))</f>
        <v/>
      </c>
      <c r="R368" s="26" t="n">
        <f aca="false">IF(OR($D368="",$J368&lt;&gt;"Supplier"),0,F368*P368+G368*Q368)</f>
        <v>0</v>
      </c>
      <c r="S368" s="26" t="n">
        <f aca="false">IF(OR($D368="",$J368&lt;&gt;"Own"),0,IFERROR((F368+G368*Settings!$B$13)*INDEX(Workers!$V$5:$V$2004,MATCH($D368,Workers!$A$5:$A$2004,0)),0))</f>
        <v>0</v>
      </c>
      <c r="T368" s="26" t="str">
        <f aca="false">IF($D368="","",O368-R368-S368)</f>
        <v/>
      </c>
    </row>
    <row r="369" customFormat="false" ht="15" hidden="false" customHeight="false" outlineLevel="0" collapsed="false">
      <c r="I369" s="24" t="str">
        <f aca="false">IF($D369="","",IFERROR(INDEX(Workers!$B$5:$B$2004,MATCH($D369,Workers!$A$5:$A$2004,0)),"NOT FOUND"))</f>
        <v/>
      </c>
      <c r="J369" s="24" t="str">
        <f aca="false">IF($D369="","",IFERROR(INDEX(Workers!$C$5:$C$2004,MATCH($D369,Workers!$A$5:$A$2004,0)),""))</f>
        <v/>
      </c>
      <c r="K369" s="24" t="str">
        <f aca="false">IF($D369="","",IFERROR(IF(INDEX(Workers!$D$5:$D$2004,MATCH($D369,Workers!$A$5:$A$2004,0))=0,"",INDEX(Workers!$D$5:$D$2004,MATCH($D369,Workers!$A$5:$A$2004,0))),""))</f>
        <v/>
      </c>
      <c r="L369" s="24" t="str">
        <f aca="false">IF($D369="","",IFERROR(INDEX(Workers!$E$5:$E$2004,MATCH($D369,Workers!$A$5:$A$2004,0)),""))</f>
        <v/>
      </c>
      <c r="M369" s="26" t="str">
        <f aca="false">IF($D369="","",IFERROR(INDEX(ClientRates!$D$5:$D$500,MATCH($B369&amp;"|"&amp;$L369,ClientRates!$A$5:$A$500,0)),0))</f>
        <v/>
      </c>
      <c r="N369" s="26" t="str">
        <f aca="false">IF($D369="","",IFERROR(INDEX(ClientRates!$E$5:$E$500,MATCH($B369&amp;"|"&amp;$L369,ClientRates!$A$5:$A$500,0)),0))</f>
        <v/>
      </c>
      <c r="O369" s="26" t="str">
        <f aca="false">IF($D369="","",F369*M369+G369*N369)</f>
        <v/>
      </c>
      <c r="P369" s="26" t="str">
        <f aca="false">IF(OR($D369="",$J369&lt;&gt;"Supplier"),"",IFERROR(INDEX(SupplierRates!$D$5:$D$500,MATCH($K369&amp;"|"&amp;$L369,SupplierRates!$A$5:$A$500,0)),0))</f>
        <v/>
      </c>
      <c r="Q369" s="26" t="str">
        <f aca="false">IF(OR($D369="",$J369&lt;&gt;"Supplier"),"",IFERROR(INDEX(SupplierRates!$E$5:$E$500,MATCH($K369&amp;"|"&amp;$L369,SupplierRates!$A$5:$A$500,0)),0))</f>
        <v/>
      </c>
      <c r="R369" s="26" t="n">
        <f aca="false">IF(OR($D369="",$J369&lt;&gt;"Supplier"),0,F369*P369+G369*Q369)</f>
        <v>0</v>
      </c>
      <c r="S369" s="26" t="n">
        <f aca="false">IF(OR($D369="",$J369&lt;&gt;"Own"),0,IFERROR((F369+G369*Settings!$B$13)*INDEX(Workers!$V$5:$V$2004,MATCH($D369,Workers!$A$5:$A$2004,0)),0))</f>
        <v>0</v>
      </c>
      <c r="T369" s="26" t="str">
        <f aca="false">IF($D369="","",O369-R369-S369)</f>
        <v/>
      </c>
    </row>
    <row r="370" customFormat="false" ht="15" hidden="false" customHeight="false" outlineLevel="0" collapsed="false">
      <c r="I370" s="24" t="str">
        <f aca="false">IF($D370="","",IFERROR(INDEX(Workers!$B$5:$B$2004,MATCH($D370,Workers!$A$5:$A$2004,0)),"NOT FOUND"))</f>
        <v/>
      </c>
      <c r="J370" s="24" t="str">
        <f aca="false">IF($D370="","",IFERROR(INDEX(Workers!$C$5:$C$2004,MATCH($D370,Workers!$A$5:$A$2004,0)),""))</f>
        <v/>
      </c>
      <c r="K370" s="24" t="str">
        <f aca="false">IF($D370="","",IFERROR(IF(INDEX(Workers!$D$5:$D$2004,MATCH($D370,Workers!$A$5:$A$2004,0))=0,"",INDEX(Workers!$D$5:$D$2004,MATCH($D370,Workers!$A$5:$A$2004,0))),""))</f>
        <v/>
      </c>
      <c r="L370" s="24" t="str">
        <f aca="false">IF($D370="","",IFERROR(INDEX(Workers!$E$5:$E$2004,MATCH($D370,Workers!$A$5:$A$2004,0)),""))</f>
        <v/>
      </c>
      <c r="M370" s="26" t="str">
        <f aca="false">IF($D370="","",IFERROR(INDEX(ClientRates!$D$5:$D$500,MATCH($B370&amp;"|"&amp;$L370,ClientRates!$A$5:$A$500,0)),0))</f>
        <v/>
      </c>
      <c r="N370" s="26" t="str">
        <f aca="false">IF($D370="","",IFERROR(INDEX(ClientRates!$E$5:$E$500,MATCH($B370&amp;"|"&amp;$L370,ClientRates!$A$5:$A$500,0)),0))</f>
        <v/>
      </c>
      <c r="O370" s="26" t="str">
        <f aca="false">IF($D370="","",F370*M370+G370*N370)</f>
        <v/>
      </c>
      <c r="P370" s="26" t="str">
        <f aca="false">IF(OR($D370="",$J370&lt;&gt;"Supplier"),"",IFERROR(INDEX(SupplierRates!$D$5:$D$500,MATCH($K370&amp;"|"&amp;$L370,SupplierRates!$A$5:$A$500,0)),0))</f>
        <v/>
      </c>
      <c r="Q370" s="26" t="str">
        <f aca="false">IF(OR($D370="",$J370&lt;&gt;"Supplier"),"",IFERROR(INDEX(SupplierRates!$E$5:$E$500,MATCH($K370&amp;"|"&amp;$L370,SupplierRates!$A$5:$A$500,0)),0))</f>
        <v/>
      </c>
      <c r="R370" s="26" t="n">
        <f aca="false">IF(OR($D370="",$J370&lt;&gt;"Supplier"),0,F370*P370+G370*Q370)</f>
        <v>0</v>
      </c>
      <c r="S370" s="26" t="n">
        <f aca="false">IF(OR($D370="",$J370&lt;&gt;"Own"),0,IFERROR((F370+G370*Settings!$B$13)*INDEX(Workers!$V$5:$V$2004,MATCH($D370,Workers!$A$5:$A$2004,0)),0))</f>
        <v>0</v>
      </c>
      <c r="T370" s="26" t="str">
        <f aca="false">IF($D370="","",O370-R370-S370)</f>
        <v/>
      </c>
    </row>
    <row r="371" customFormat="false" ht="15" hidden="false" customHeight="false" outlineLevel="0" collapsed="false">
      <c r="I371" s="24" t="str">
        <f aca="false">IF($D371="","",IFERROR(INDEX(Workers!$B$5:$B$2004,MATCH($D371,Workers!$A$5:$A$2004,0)),"NOT FOUND"))</f>
        <v/>
      </c>
      <c r="J371" s="24" t="str">
        <f aca="false">IF($D371="","",IFERROR(INDEX(Workers!$C$5:$C$2004,MATCH($D371,Workers!$A$5:$A$2004,0)),""))</f>
        <v/>
      </c>
      <c r="K371" s="24" t="str">
        <f aca="false">IF($D371="","",IFERROR(IF(INDEX(Workers!$D$5:$D$2004,MATCH($D371,Workers!$A$5:$A$2004,0))=0,"",INDEX(Workers!$D$5:$D$2004,MATCH($D371,Workers!$A$5:$A$2004,0))),""))</f>
        <v/>
      </c>
      <c r="L371" s="24" t="str">
        <f aca="false">IF($D371="","",IFERROR(INDEX(Workers!$E$5:$E$2004,MATCH($D371,Workers!$A$5:$A$2004,0)),""))</f>
        <v/>
      </c>
      <c r="M371" s="26" t="str">
        <f aca="false">IF($D371="","",IFERROR(INDEX(ClientRates!$D$5:$D$500,MATCH($B371&amp;"|"&amp;$L371,ClientRates!$A$5:$A$500,0)),0))</f>
        <v/>
      </c>
      <c r="N371" s="26" t="str">
        <f aca="false">IF($D371="","",IFERROR(INDEX(ClientRates!$E$5:$E$500,MATCH($B371&amp;"|"&amp;$L371,ClientRates!$A$5:$A$500,0)),0))</f>
        <v/>
      </c>
      <c r="O371" s="26" t="str">
        <f aca="false">IF($D371="","",F371*M371+G371*N371)</f>
        <v/>
      </c>
      <c r="P371" s="26" t="str">
        <f aca="false">IF(OR($D371="",$J371&lt;&gt;"Supplier"),"",IFERROR(INDEX(SupplierRates!$D$5:$D$500,MATCH($K371&amp;"|"&amp;$L371,SupplierRates!$A$5:$A$500,0)),0))</f>
        <v/>
      </c>
      <c r="Q371" s="26" t="str">
        <f aca="false">IF(OR($D371="",$J371&lt;&gt;"Supplier"),"",IFERROR(INDEX(SupplierRates!$E$5:$E$500,MATCH($K371&amp;"|"&amp;$L371,SupplierRates!$A$5:$A$500,0)),0))</f>
        <v/>
      </c>
      <c r="R371" s="26" t="n">
        <f aca="false">IF(OR($D371="",$J371&lt;&gt;"Supplier"),0,F371*P371+G371*Q371)</f>
        <v>0</v>
      </c>
      <c r="S371" s="26" t="n">
        <f aca="false">IF(OR($D371="",$J371&lt;&gt;"Own"),0,IFERROR((F371+G371*Settings!$B$13)*INDEX(Workers!$V$5:$V$2004,MATCH($D371,Workers!$A$5:$A$2004,0)),0))</f>
        <v>0</v>
      </c>
      <c r="T371" s="26" t="str">
        <f aca="false">IF($D371="","",O371-R371-S371)</f>
        <v/>
      </c>
    </row>
    <row r="372" customFormat="false" ht="15" hidden="false" customHeight="false" outlineLevel="0" collapsed="false">
      <c r="I372" s="24" t="str">
        <f aca="false">IF($D372="","",IFERROR(INDEX(Workers!$B$5:$B$2004,MATCH($D372,Workers!$A$5:$A$2004,0)),"NOT FOUND"))</f>
        <v/>
      </c>
      <c r="J372" s="24" t="str">
        <f aca="false">IF($D372="","",IFERROR(INDEX(Workers!$C$5:$C$2004,MATCH($D372,Workers!$A$5:$A$2004,0)),""))</f>
        <v/>
      </c>
      <c r="K372" s="24" t="str">
        <f aca="false">IF($D372="","",IFERROR(IF(INDEX(Workers!$D$5:$D$2004,MATCH($D372,Workers!$A$5:$A$2004,0))=0,"",INDEX(Workers!$D$5:$D$2004,MATCH($D372,Workers!$A$5:$A$2004,0))),""))</f>
        <v/>
      </c>
      <c r="L372" s="24" t="str">
        <f aca="false">IF($D372="","",IFERROR(INDEX(Workers!$E$5:$E$2004,MATCH($D372,Workers!$A$5:$A$2004,0)),""))</f>
        <v/>
      </c>
      <c r="M372" s="26" t="str">
        <f aca="false">IF($D372="","",IFERROR(INDEX(ClientRates!$D$5:$D$500,MATCH($B372&amp;"|"&amp;$L372,ClientRates!$A$5:$A$500,0)),0))</f>
        <v/>
      </c>
      <c r="N372" s="26" t="str">
        <f aca="false">IF($D372="","",IFERROR(INDEX(ClientRates!$E$5:$E$500,MATCH($B372&amp;"|"&amp;$L372,ClientRates!$A$5:$A$500,0)),0))</f>
        <v/>
      </c>
      <c r="O372" s="26" t="str">
        <f aca="false">IF($D372="","",F372*M372+G372*N372)</f>
        <v/>
      </c>
      <c r="P372" s="26" t="str">
        <f aca="false">IF(OR($D372="",$J372&lt;&gt;"Supplier"),"",IFERROR(INDEX(SupplierRates!$D$5:$D$500,MATCH($K372&amp;"|"&amp;$L372,SupplierRates!$A$5:$A$500,0)),0))</f>
        <v/>
      </c>
      <c r="Q372" s="26" t="str">
        <f aca="false">IF(OR($D372="",$J372&lt;&gt;"Supplier"),"",IFERROR(INDEX(SupplierRates!$E$5:$E$500,MATCH($K372&amp;"|"&amp;$L372,SupplierRates!$A$5:$A$500,0)),0))</f>
        <v/>
      </c>
      <c r="R372" s="26" t="n">
        <f aca="false">IF(OR($D372="",$J372&lt;&gt;"Supplier"),0,F372*P372+G372*Q372)</f>
        <v>0</v>
      </c>
      <c r="S372" s="26" t="n">
        <f aca="false">IF(OR($D372="",$J372&lt;&gt;"Own"),0,IFERROR((F372+G372*Settings!$B$13)*INDEX(Workers!$V$5:$V$2004,MATCH($D372,Workers!$A$5:$A$2004,0)),0))</f>
        <v>0</v>
      </c>
      <c r="T372" s="26" t="str">
        <f aca="false">IF($D372="","",O372-R372-S372)</f>
        <v/>
      </c>
    </row>
    <row r="373" customFormat="false" ht="15" hidden="false" customHeight="false" outlineLevel="0" collapsed="false">
      <c r="I373" s="24" t="str">
        <f aca="false">IF($D373="","",IFERROR(INDEX(Workers!$B$5:$B$2004,MATCH($D373,Workers!$A$5:$A$2004,0)),"NOT FOUND"))</f>
        <v/>
      </c>
      <c r="J373" s="24" t="str">
        <f aca="false">IF($D373="","",IFERROR(INDEX(Workers!$C$5:$C$2004,MATCH($D373,Workers!$A$5:$A$2004,0)),""))</f>
        <v/>
      </c>
      <c r="K373" s="24" t="str">
        <f aca="false">IF($D373="","",IFERROR(IF(INDEX(Workers!$D$5:$D$2004,MATCH($D373,Workers!$A$5:$A$2004,0))=0,"",INDEX(Workers!$D$5:$D$2004,MATCH($D373,Workers!$A$5:$A$2004,0))),""))</f>
        <v/>
      </c>
      <c r="L373" s="24" t="str">
        <f aca="false">IF($D373="","",IFERROR(INDEX(Workers!$E$5:$E$2004,MATCH($D373,Workers!$A$5:$A$2004,0)),""))</f>
        <v/>
      </c>
      <c r="M373" s="26" t="str">
        <f aca="false">IF($D373="","",IFERROR(INDEX(ClientRates!$D$5:$D$500,MATCH($B373&amp;"|"&amp;$L373,ClientRates!$A$5:$A$500,0)),0))</f>
        <v/>
      </c>
      <c r="N373" s="26" t="str">
        <f aca="false">IF($D373="","",IFERROR(INDEX(ClientRates!$E$5:$E$500,MATCH($B373&amp;"|"&amp;$L373,ClientRates!$A$5:$A$500,0)),0))</f>
        <v/>
      </c>
      <c r="O373" s="26" t="str">
        <f aca="false">IF($D373="","",F373*M373+G373*N373)</f>
        <v/>
      </c>
      <c r="P373" s="26" t="str">
        <f aca="false">IF(OR($D373="",$J373&lt;&gt;"Supplier"),"",IFERROR(INDEX(SupplierRates!$D$5:$D$500,MATCH($K373&amp;"|"&amp;$L373,SupplierRates!$A$5:$A$500,0)),0))</f>
        <v/>
      </c>
      <c r="Q373" s="26" t="str">
        <f aca="false">IF(OR($D373="",$J373&lt;&gt;"Supplier"),"",IFERROR(INDEX(SupplierRates!$E$5:$E$500,MATCH($K373&amp;"|"&amp;$L373,SupplierRates!$A$5:$A$500,0)),0))</f>
        <v/>
      </c>
      <c r="R373" s="26" t="n">
        <f aca="false">IF(OR($D373="",$J373&lt;&gt;"Supplier"),0,F373*P373+G373*Q373)</f>
        <v>0</v>
      </c>
      <c r="S373" s="26" t="n">
        <f aca="false">IF(OR($D373="",$J373&lt;&gt;"Own"),0,IFERROR((F373+G373*Settings!$B$13)*INDEX(Workers!$V$5:$V$2004,MATCH($D373,Workers!$A$5:$A$2004,0)),0))</f>
        <v>0</v>
      </c>
      <c r="T373" s="26" t="str">
        <f aca="false">IF($D373="","",O373-R373-S373)</f>
        <v/>
      </c>
    </row>
    <row r="374" customFormat="false" ht="15" hidden="false" customHeight="false" outlineLevel="0" collapsed="false">
      <c r="I374" s="24" t="str">
        <f aca="false">IF($D374="","",IFERROR(INDEX(Workers!$B$5:$B$2004,MATCH($D374,Workers!$A$5:$A$2004,0)),"NOT FOUND"))</f>
        <v/>
      </c>
      <c r="J374" s="24" t="str">
        <f aca="false">IF($D374="","",IFERROR(INDEX(Workers!$C$5:$C$2004,MATCH($D374,Workers!$A$5:$A$2004,0)),""))</f>
        <v/>
      </c>
      <c r="K374" s="24" t="str">
        <f aca="false">IF($D374="","",IFERROR(IF(INDEX(Workers!$D$5:$D$2004,MATCH($D374,Workers!$A$5:$A$2004,0))=0,"",INDEX(Workers!$D$5:$D$2004,MATCH($D374,Workers!$A$5:$A$2004,0))),""))</f>
        <v/>
      </c>
      <c r="L374" s="24" t="str">
        <f aca="false">IF($D374="","",IFERROR(INDEX(Workers!$E$5:$E$2004,MATCH($D374,Workers!$A$5:$A$2004,0)),""))</f>
        <v/>
      </c>
      <c r="M374" s="26" t="str">
        <f aca="false">IF($D374="","",IFERROR(INDEX(ClientRates!$D$5:$D$500,MATCH($B374&amp;"|"&amp;$L374,ClientRates!$A$5:$A$500,0)),0))</f>
        <v/>
      </c>
      <c r="N374" s="26" t="str">
        <f aca="false">IF($D374="","",IFERROR(INDEX(ClientRates!$E$5:$E$500,MATCH($B374&amp;"|"&amp;$L374,ClientRates!$A$5:$A$500,0)),0))</f>
        <v/>
      </c>
      <c r="O374" s="26" t="str">
        <f aca="false">IF($D374="","",F374*M374+G374*N374)</f>
        <v/>
      </c>
      <c r="P374" s="26" t="str">
        <f aca="false">IF(OR($D374="",$J374&lt;&gt;"Supplier"),"",IFERROR(INDEX(SupplierRates!$D$5:$D$500,MATCH($K374&amp;"|"&amp;$L374,SupplierRates!$A$5:$A$500,0)),0))</f>
        <v/>
      </c>
      <c r="Q374" s="26" t="str">
        <f aca="false">IF(OR($D374="",$J374&lt;&gt;"Supplier"),"",IFERROR(INDEX(SupplierRates!$E$5:$E$500,MATCH($K374&amp;"|"&amp;$L374,SupplierRates!$A$5:$A$500,0)),0))</f>
        <v/>
      </c>
      <c r="R374" s="26" t="n">
        <f aca="false">IF(OR($D374="",$J374&lt;&gt;"Supplier"),0,F374*P374+G374*Q374)</f>
        <v>0</v>
      </c>
      <c r="S374" s="26" t="n">
        <f aca="false">IF(OR($D374="",$J374&lt;&gt;"Own"),0,IFERROR((F374+G374*Settings!$B$13)*INDEX(Workers!$V$5:$V$2004,MATCH($D374,Workers!$A$5:$A$2004,0)),0))</f>
        <v>0</v>
      </c>
      <c r="T374" s="26" t="str">
        <f aca="false">IF($D374="","",O374-R374-S374)</f>
        <v/>
      </c>
    </row>
    <row r="375" customFormat="false" ht="15" hidden="false" customHeight="false" outlineLevel="0" collapsed="false">
      <c r="I375" s="24" t="str">
        <f aca="false">IF($D375="","",IFERROR(INDEX(Workers!$B$5:$B$2004,MATCH($D375,Workers!$A$5:$A$2004,0)),"NOT FOUND"))</f>
        <v/>
      </c>
      <c r="J375" s="24" t="str">
        <f aca="false">IF($D375="","",IFERROR(INDEX(Workers!$C$5:$C$2004,MATCH($D375,Workers!$A$5:$A$2004,0)),""))</f>
        <v/>
      </c>
      <c r="K375" s="24" t="str">
        <f aca="false">IF($D375="","",IFERROR(IF(INDEX(Workers!$D$5:$D$2004,MATCH($D375,Workers!$A$5:$A$2004,0))=0,"",INDEX(Workers!$D$5:$D$2004,MATCH($D375,Workers!$A$5:$A$2004,0))),""))</f>
        <v/>
      </c>
      <c r="L375" s="24" t="str">
        <f aca="false">IF($D375="","",IFERROR(INDEX(Workers!$E$5:$E$2004,MATCH($D375,Workers!$A$5:$A$2004,0)),""))</f>
        <v/>
      </c>
      <c r="M375" s="26" t="str">
        <f aca="false">IF($D375="","",IFERROR(INDEX(ClientRates!$D$5:$D$500,MATCH($B375&amp;"|"&amp;$L375,ClientRates!$A$5:$A$500,0)),0))</f>
        <v/>
      </c>
      <c r="N375" s="26" t="str">
        <f aca="false">IF($D375="","",IFERROR(INDEX(ClientRates!$E$5:$E$500,MATCH($B375&amp;"|"&amp;$L375,ClientRates!$A$5:$A$500,0)),0))</f>
        <v/>
      </c>
      <c r="O375" s="26" t="str">
        <f aca="false">IF($D375="","",F375*M375+G375*N375)</f>
        <v/>
      </c>
      <c r="P375" s="26" t="str">
        <f aca="false">IF(OR($D375="",$J375&lt;&gt;"Supplier"),"",IFERROR(INDEX(SupplierRates!$D$5:$D$500,MATCH($K375&amp;"|"&amp;$L375,SupplierRates!$A$5:$A$500,0)),0))</f>
        <v/>
      </c>
      <c r="Q375" s="26" t="str">
        <f aca="false">IF(OR($D375="",$J375&lt;&gt;"Supplier"),"",IFERROR(INDEX(SupplierRates!$E$5:$E$500,MATCH($K375&amp;"|"&amp;$L375,SupplierRates!$A$5:$A$500,0)),0))</f>
        <v/>
      </c>
      <c r="R375" s="26" t="n">
        <f aca="false">IF(OR($D375="",$J375&lt;&gt;"Supplier"),0,F375*P375+G375*Q375)</f>
        <v>0</v>
      </c>
      <c r="S375" s="26" t="n">
        <f aca="false">IF(OR($D375="",$J375&lt;&gt;"Own"),0,IFERROR((F375+G375*Settings!$B$13)*INDEX(Workers!$V$5:$V$2004,MATCH($D375,Workers!$A$5:$A$2004,0)),0))</f>
        <v>0</v>
      </c>
      <c r="T375" s="26" t="str">
        <f aca="false">IF($D375="","",O375-R375-S375)</f>
        <v/>
      </c>
    </row>
    <row r="376" customFormat="false" ht="15" hidden="false" customHeight="false" outlineLevel="0" collapsed="false">
      <c r="I376" s="24" t="str">
        <f aca="false">IF($D376="","",IFERROR(INDEX(Workers!$B$5:$B$2004,MATCH($D376,Workers!$A$5:$A$2004,0)),"NOT FOUND"))</f>
        <v/>
      </c>
      <c r="J376" s="24" t="str">
        <f aca="false">IF($D376="","",IFERROR(INDEX(Workers!$C$5:$C$2004,MATCH($D376,Workers!$A$5:$A$2004,0)),""))</f>
        <v/>
      </c>
      <c r="K376" s="24" t="str">
        <f aca="false">IF($D376="","",IFERROR(IF(INDEX(Workers!$D$5:$D$2004,MATCH($D376,Workers!$A$5:$A$2004,0))=0,"",INDEX(Workers!$D$5:$D$2004,MATCH($D376,Workers!$A$5:$A$2004,0))),""))</f>
        <v/>
      </c>
      <c r="L376" s="24" t="str">
        <f aca="false">IF($D376="","",IFERROR(INDEX(Workers!$E$5:$E$2004,MATCH($D376,Workers!$A$5:$A$2004,0)),""))</f>
        <v/>
      </c>
      <c r="M376" s="26" t="str">
        <f aca="false">IF($D376="","",IFERROR(INDEX(ClientRates!$D$5:$D$500,MATCH($B376&amp;"|"&amp;$L376,ClientRates!$A$5:$A$500,0)),0))</f>
        <v/>
      </c>
      <c r="N376" s="26" t="str">
        <f aca="false">IF($D376="","",IFERROR(INDEX(ClientRates!$E$5:$E$500,MATCH($B376&amp;"|"&amp;$L376,ClientRates!$A$5:$A$500,0)),0))</f>
        <v/>
      </c>
      <c r="O376" s="26" t="str">
        <f aca="false">IF($D376="","",F376*M376+G376*N376)</f>
        <v/>
      </c>
      <c r="P376" s="26" t="str">
        <f aca="false">IF(OR($D376="",$J376&lt;&gt;"Supplier"),"",IFERROR(INDEX(SupplierRates!$D$5:$D$500,MATCH($K376&amp;"|"&amp;$L376,SupplierRates!$A$5:$A$500,0)),0))</f>
        <v/>
      </c>
      <c r="Q376" s="26" t="str">
        <f aca="false">IF(OR($D376="",$J376&lt;&gt;"Supplier"),"",IFERROR(INDEX(SupplierRates!$E$5:$E$500,MATCH($K376&amp;"|"&amp;$L376,SupplierRates!$A$5:$A$500,0)),0))</f>
        <v/>
      </c>
      <c r="R376" s="26" t="n">
        <f aca="false">IF(OR($D376="",$J376&lt;&gt;"Supplier"),0,F376*P376+G376*Q376)</f>
        <v>0</v>
      </c>
      <c r="S376" s="26" t="n">
        <f aca="false">IF(OR($D376="",$J376&lt;&gt;"Own"),0,IFERROR((F376+G376*Settings!$B$13)*INDEX(Workers!$V$5:$V$2004,MATCH($D376,Workers!$A$5:$A$2004,0)),0))</f>
        <v>0</v>
      </c>
      <c r="T376" s="26" t="str">
        <f aca="false">IF($D376="","",O376-R376-S376)</f>
        <v/>
      </c>
    </row>
    <row r="377" customFormat="false" ht="15" hidden="false" customHeight="false" outlineLevel="0" collapsed="false">
      <c r="I377" s="24" t="str">
        <f aca="false">IF($D377="","",IFERROR(INDEX(Workers!$B$5:$B$2004,MATCH($D377,Workers!$A$5:$A$2004,0)),"NOT FOUND"))</f>
        <v/>
      </c>
      <c r="J377" s="24" t="str">
        <f aca="false">IF($D377="","",IFERROR(INDEX(Workers!$C$5:$C$2004,MATCH($D377,Workers!$A$5:$A$2004,0)),""))</f>
        <v/>
      </c>
      <c r="K377" s="24" t="str">
        <f aca="false">IF($D377="","",IFERROR(IF(INDEX(Workers!$D$5:$D$2004,MATCH($D377,Workers!$A$5:$A$2004,0))=0,"",INDEX(Workers!$D$5:$D$2004,MATCH($D377,Workers!$A$5:$A$2004,0))),""))</f>
        <v/>
      </c>
      <c r="L377" s="24" t="str">
        <f aca="false">IF($D377="","",IFERROR(INDEX(Workers!$E$5:$E$2004,MATCH($D377,Workers!$A$5:$A$2004,0)),""))</f>
        <v/>
      </c>
      <c r="M377" s="26" t="str">
        <f aca="false">IF($D377="","",IFERROR(INDEX(ClientRates!$D$5:$D$500,MATCH($B377&amp;"|"&amp;$L377,ClientRates!$A$5:$A$500,0)),0))</f>
        <v/>
      </c>
      <c r="N377" s="26" t="str">
        <f aca="false">IF($D377="","",IFERROR(INDEX(ClientRates!$E$5:$E$500,MATCH($B377&amp;"|"&amp;$L377,ClientRates!$A$5:$A$500,0)),0))</f>
        <v/>
      </c>
      <c r="O377" s="26" t="str">
        <f aca="false">IF($D377="","",F377*M377+G377*N377)</f>
        <v/>
      </c>
      <c r="P377" s="26" t="str">
        <f aca="false">IF(OR($D377="",$J377&lt;&gt;"Supplier"),"",IFERROR(INDEX(SupplierRates!$D$5:$D$500,MATCH($K377&amp;"|"&amp;$L377,SupplierRates!$A$5:$A$500,0)),0))</f>
        <v/>
      </c>
      <c r="Q377" s="26" t="str">
        <f aca="false">IF(OR($D377="",$J377&lt;&gt;"Supplier"),"",IFERROR(INDEX(SupplierRates!$E$5:$E$500,MATCH($K377&amp;"|"&amp;$L377,SupplierRates!$A$5:$A$500,0)),0))</f>
        <v/>
      </c>
      <c r="R377" s="26" t="n">
        <f aca="false">IF(OR($D377="",$J377&lt;&gt;"Supplier"),0,F377*P377+G377*Q377)</f>
        <v>0</v>
      </c>
      <c r="S377" s="26" t="n">
        <f aca="false">IF(OR($D377="",$J377&lt;&gt;"Own"),0,IFERROR((F377+G377*Settings!$B$13)*INDEX(Workers!$V$5:$V$2004,MATCH($D377,Workers!$A$5:$A$2004,0)),0))</f>
        <v>0</v>
      </c>
      <c r="T377" s="26" t="str">
        <f aca="false">IF($D377="","",O377-R377-S377)</f>
        <v/>
      </c>
    </row>
    <row r="378" customFormat="false" ht="15" hidden="false" customHeight="false" outlineLevel="0" collapsed="false">
      <c r="I378" s="24" t="str">
        <f aca="false">IF($D378="","",IFERROR(INDEX(Workers!$B$5:$B$2004,MATCH($D378,Workers!$A$5:$A$2004,0)),"NOT FOUND"))</f>
        <v/>
      </c>
      <c r="J378" s="24" t="str">
        <f aca="false">IF($D378="","",IFERROR(INDEX(Workers!$C$5:$C$2004,MATCH($D378,Workers!$A$5:$A$2004,0)),""))</f>
        <v/>
      </c>
      <c r="K378" s="24" t="str">
        <f aca="false">IF($D378="","",IFERROR(IF(INDEX(Workers!$D$5:$D$2004,MATCH($D378,Workers!$A$5:$A$2004,0))=0,"",INDEX(Workers!$D$5:$D$2004,MATCH($D378,Workers!$A$5:$A$2004,0))),""))</f>
        <v/>
      </c>
      <c r="L378" s="24" t="str">
        <f aca="false">IF($D378="","",IFERROR(INDEX(Workers!$E$5:$E$2004,MATCH($D378,Workers!$A$5:$A$2004,0)),""))</f>
        <v/>
      </c>
      <c r="M378" s="26" t="str">
        <f aca="false">IF($D378="","",IFERROR(INDEX(ClientRates!$D$5:$D$500,MATCH($B378&amp;"|"&amp;$L378,ClientRates!$A$5:$A$500,0)),0))</f>
        <v/>
      </c>
      <c r="N378" s="26" t="str">
        <f aca="false">IF($D378="","",IFERROR(INDEX(ClientRates!$E$5:$E$500,MATCH($B378&amp;"|"&amp;$L378,ClientRates!$A$5:$A$500,0)),0))</f>
        <v/>
      </c>
      <c r="O378" s="26" t="str">
        <f aca="false">IF($D378="","",F378*M378+G378*N378)</f>
        <v/>
      </c>
      <c r="P378" s="26" t="str">
        <f aca="false">IF(OR($D378="",$J378&lt;&gt;"Supplier"),"",IFERROR(INDEX(SupplierRates!$D$5:$D$500,MATCH($K378&amp;"|"&amp;$L378,SupplierRates!$A$5:$A$500,0)),0))</f>
        <v/>
      </c>
      <c r="Q378" s="26" t="str">
        <f aca="false">IF(OR($D378="",$J378&lt;&gt;"Supplier"),"",IFERROR(INDEX(SupplierRates!$E$5:$E$500,MATCH($K378&amp;"|"&amp;$L378,SupplierRates!$A$5:$A$500,0)),0))</f>
        <v/>
      </c>
      <c r="R378" s="26" t="n">
        <f aca="false">IF(OR($D378="",$J378&lt;&gt;"Supplier"),0,F378*P378+G378*Q378)</f>
        <v>0</v>
      </c>
      <c r="S378" s="26" t="n">
        <f aca="false">IF(OR($D378="",$J378&lt;&gt;"Own"),0,IFERROR((F378+G378*Settings!$B$13)*INDEX(Workers!$V$5:$V$2004,MATCH($D378,Workers!$A$5:$A$2004,0)),0))</f>
        <v>0</v>
      </c>
      <c r="T378" s="26" t="str">
        <f aca="false">IF($D378="","",O378-R378-S378)</f>
        <v/>
      </c>
    </row>
    <row r="379" customFormat="false" ht="15" hidden="false" customHeight="false" outlineLevel="0" collapsed="false">
      <c r="I379" s="24" t="str">
        <f aca="false">IF($D379="","",IFERROR(INDEX(Workers!$B$5:$B$2004,MATCH($D379,Workers!$A$5:$A$2004,0)),"NOT FOUND"))</f>
        <v/>
      </c>
      <c r="J379" s="24" t="str">
        <f aca="false">IF($D379="","",IFERROR(INDEX(Workers!$C$5:$C$2004,MATCH($D379,Workers!$A$5:$A$2004,0)),""))</f>
        <v/>
      </c>
      <c r="K379" s="24" t="str">
        <f aca="false">IF($D379="","",IFERROR(IF(INDEX(Workers!$D$5:$D$2004,MATCH($D379,Workers!$A$5:$A$2004,0))=0,"",INDEX(Workers!$D$5:$D$2004,MATCH($D379,Workers!$A$5:$A$2004,0))),""))</f>
        <v/>
      </c>
      <c r="L379" s="24" t="str">
        <f aca="false">IF($D379="","",IFERROR(INDEX(Workers!$E$5:$E$2004,MATCH($D379,Workers!$A$5:$A$2004,0)),""))</f>
        <v/>
      </c>
      <c r="M379" s="26" t="str">
        <f aca="false">IF($D379="","",IFERROR(INDEX(ClientRates!$D$5:$D$500,MATCH($B379&amp;"|"&amp;$L379,ClientRates!$A$5:$A$500,0)),0))</f>
        <v/>
      </c>
      <c r="N379" s="26" t="str">
        <f aca="false">IF($D379="","",IFERROR(INDEX(ClientRates!$E$5:$E$500,MATCH($B379&amp;"|"&amp;$L379,ClientRates!$A$5:$A$500,0)),0))</f>
        <v/>
      </c>
      <c r="O379" s="26" t="str">
        <f aca="false">IF($D379="","",F379*M379+G379*N379)</f>
        <v/>
      </c>
      <c r="P379" s="26" t="str">
        <f aca="false">IF(OR($D379="",$J379&lt;&gt;"Supplier"),"",IFERROR(INDEX(SupplierRates!$D$5:$D$500,MATCH($K379&amp;"|"&amp;$L379,SupplierRates!$A$5:$A$500,0)),0))</f>
        <v/>
      </c>
      <c r="Q379" s="26" t="str">
        <f aca="false">IF(OR($D379="",$J379&lt;&gt;"Supplier"),"",IFERROR(INDEX(SupplierRates!$E$5:$E$500,MATCH($K379&amp;"|"&amp;$L379,SupplierRates!$A$5:$A$500,0)),0))</f>
        <v/>
      </c>
      <c r="R379" s="26" t="n">
        <f aca="false">IF(OR($D379="",$J379&lt;&gt;"Supplier"),0,F379*P379+G379*Q379)</f>
        <v>0</v>
      </c>
      <c r="S379" s="26" t="n">
        <f aca="false">IF(OR($D379="",$J379&lt;&gt;"Own"),0,IFERROR((F379+G379*Settings!$B$13)*INDEX(Workers!$V$5:$V$2004,MATCH($D379,Workers!$A$5:$A$2004,0)),0))</f>
        <v>0</v>
      </c>
      <c r="T379" s="26" t="str">
        <f aca="false">IF($D379="","",O379-R379-S379)</f>
        <v/>
      </c>
    </row>
    <row r="380" customFormat="false" ht="15" hidden="false" customHeight="false" outlineLevel="0" collapsed="false">
      <c r="I380" s="24" t="str">
        <f aca="false">IF($D380="","",IFERROR(INDEX(Workers!$B$5:$B$2004,MATCH($D380,Workers!$A$5:$A$2004,0)),"NOT FOUND"))</f>
        <v/>
      </c>
      <c r="J380" s="24" t="str">
        <f aca="false">IF($D380="","",IFERROR(INDEX(Workers!$C$5:$C$2004,MATCH($D380,Workers!$A$5:$A$2004,0)),""))</f>
        <v/>
      </c>
      <c r="K380" s="24" t="str">
        <f aca="false">IF($D380="","",IFERROR(IF(INDEX(Workers!$D$5:$D$2004,MATCH($D380,Workers!$A$5:$A$2004,0))=0,"",INDEX(Workers!$D$5:$D$2004,MATCH($D380,Workers!$A$5:$A$2004,0))),""))</f>
        <v/>
      </c>
      <c r="L380" s="24" t="str">
        <f aca="false">IF($D380="","",IFERROR(INDEX(Workers!$E$5:$E$2004,MATCH($D380,Workers!$A$5:$A$2004,0)),""))</f>
        <v/>
      </c>
      <c r="M380" s="26" t="str">
        <f aca="false">IF($D380="","",IFERROR(INDEX(ClientRates!$D$5:$D$500,MATCH($B380&amp;"|"&amp;$L380,ClientRates!$A$5:$A$500,0)),0))</f>
        <v/>
      </c>
      <c r="N380" s="26" t="str">
        <f aca="false">IF($D380="","",IFERROR(INDEX(ClientRates!$E$5:$E$500,MATCH($B380&amp;"|"&amp;$L380,ClientRates!$A$5:$A$500,0)),0))</f>
        <v/>
      </c>
      <c r="O380" s="26" t="str">
        <f aca="false">IF($D380="","",F380*M380+G380*N380)</f>
        <v/>
      </c>
      <c r="P380" s="26" t="str">
        <f aca="false">IF(OR($D380="",$J380&lt;&gt;"Supplier"),"",IFERROR(INDEX(SupplierRates!$D$5:$D$500,MATCH($K380&amp;"|"&amp;$L380,SupplierRates!$A$5:$A$500,0)),0))</f>
        <v/>
      </c>
      <c r="Q380" s="26" t="str">
        <f aca="false">IF(OR($D380="",$J380&lt;&gt;"Supplier"),"",IFERROR(INDEX(SupplierRates!$E$5:$E$500,MATCH($K380&amp;"|"&amp;$L380,SupplierRates!$A$5:$A$500,0)),0))</f>
        <v/>
      </c>
      <c r="R380" s="26" t="n">
        <f aca="false">IF(OR($D380="",$J380&lt;&gt;"Supplier"),0,F380*P380+G380*Q380)</f>
        <v>0</v>
      </c>
      <c r="S380" s="26" t="n">
        <f aca="false">IF(OR($D380="",$J380&lt;&gt;"Own"),0,IFERROR((F380+G380*Settings!$B$13)*INDEX(Workers!$V$5:$V$2004,MATCH($D380,Workers!$A$5:$A$2004,0)),0))</f>
        <v>0</v>
      </c>
      <c r="T380" s="26" t="str">
        <f aca="false">IF($D380="","",O380-R380-S380)</f>
        <v/>
      </c>
    </row>
    <row r="381" customFormat="false" ht="15" hidden="false" customHeight="false" outlineLevel="0" collapsed="false">
      <c r="I381" s="24" t="str">
        <f aca="false">IF($D381="","",IFERROR(INDEX(Workers!$B$5:$B$2004,MATCH($D381,Workers!$A$5:$A$2004,0)),"NOT FOUND"))</f>
        <v/>
      </c>
      <c r="J381" s="24" t="str">
        <f aca="false">IF($D381="","",IFERROR(INDEX(Workers!$C$5:$C$2004,MATCH($D381,Workers!$A$5:$A$2004,0)),""))</f>
        <v/>
      </c>
      <c r="K381" s="24" t="str">
        <f aca="false">IF($D381="","",IFERROR(IF(INDEX(Workers!$D$5:$D$2004,MATCH($D381,Workers!$A$5:$A$2004,0))=0,"",INDEX(Workers!$D$5:$D$2004,MATCH($D381,Workers!$A$5:$A$2004,0))),""))</f>
        <v/>
      </c>
      <c r="L381" s="24" t="str">
        <f aca="false">IF($D381="","",IFERROR(INDEX(Workers!$E$5:$E$2004,MATCH($D381,Workers!$A$5:$A$2004,0)),""))</f>
        <v/>
      </c>
      <c r="M381" s="26" t="str">
        <f aca="false">IF($D381="","",IFERROR(INDEX(ClientRates!$D$5:$D$500,MATCH($B381&amp;"|"&amp;$L381,ClientRates!$A$5:$A$500,0)),0))</f>
        <v/>
      </c>
      <c r="N381" s="26" t="str">
        <f aca="false">IF($D381="","",IFERROR(INDEX(ClientRates!$E$5:$E$500,MATCH($B381&amp;"|"&amp;$L381,ClientRates!$A$5:$A$500,0)),0))</f>
        <v/>
      </c>
      <c r="O381" s="26" t="str">
        <f aca="false">IF($D381="","",F381*M381+G381*N381)</f>
        <v/>
      </c>
      <c r="P381" s="26" t="str">
        <f aca="false">IF(OR($D381="",$J381&lt;&gt;"Supplier"),"",IFERROR(INDEX(SupplierRates!$D$5:$D$500,MATCH($K381&amp;"|"&amp;$L381,SupplierRates!$A$5:$A$500,0)),0))</f>
        <v/>
      </c>
      <c r="Q381" s="26" t="str">
        <f aca="false">IF(OR($D381="",$J381&lt;&gt;"Supplier"),"",IFERROR(INDEX(SupplierRates!$E$5:$E$500,MATCH($K381&amp;"|"&amp;$L381,SupplierRates!$A$5:$A$500,0)),0))</f>
        <v/>
      </c>
      <c r="R381" s="26" t="n">
        <f aca="false">IF(OR($D381="",$J381&lt;&gt;"Supplier"),0,F381*P381+G381*Q381)</f>
        <v>0</v>
      </c>
      <c r="S381" s="26" t="n">
        <f aca="false">IF(OR($D381="",$J381&lt;&gt;"Own"),0,IFERROR((F381+G381*Settings!$B$13)*INDEX(Workers!$V$5:$V$2004,MATCH($D381,Workers!$A$5:$A$2004,0)),0))</f>
        <v>0</v>
      </c>
      <c r="T381" s="26" t="str">
        <f aca="false">IF($D381="","",O381-R381-S381)</f>
        <v/>
      </c>
    </row>
    <row r="382" customFormat="false" ht="15" hidden="false" customHeight="false" outlineLevel="0" collapsed="false">
      <c r="I382" s="24" t="str">
        <f aca="false">IF($D382="","",IFERROR(INDEX(Workers!$B$5:$B$2004,MATCH($D382,Workers!$A$5:$A$2004,0)),"NOT FOUND"))</f>
        <v/>
      </c>
      <c r="J382" s="24" t="str">
        <f aca="false">IF($D382="","",IFERROR(INDEX(Workers!$C$5:$C$2004,MATCH($D382,Workers!$A$5:$A$2004,0)),""))</f>
        <v/>
      </c>
      <c r="K382" s="24" t="str">
        <f aca="false">IF($D382="","",IFERROR(IF(INDEX(Workers!$D$5:$D$2004,MATCH($D382,Workers!$A$5:$A$2004,0))=0,"",INDEX(Workers!$D$5:$D$2004,MATCH($D382,Workers!$A$5:$A$2004,0))),""))</f>
        <v/>
      </c>
      <c r="L382" s="24" t="str">
        <f aca="false">IF($D382="","",IFERROR(INDEX(Workers!$E$5:$E$2004,MATCH($D382,Workers!$A$5:$A$2004,0)),""))</f>
        <v/>
      </c>
      <c r="M382" s="26" t="str">
        <f aca="false">IF($D382="","",IFERROR(INDEX(ClientRates!$D$5:$D$500,MATCH($B382&amp;"|"&amp;$L382,ClientRates!$A$5:$A$500,0)),0))</f>
        <v/>
      </c>
      <c r="N382" s="26" t="str">
        <f aca="false">IF($D382="","",IFERROR(INDEX(ClientRates!$E$5:$E$500,MATCH($B382&amp;"|"&amp;$L382,ClientRates!$A$5:$A$500,0)),0))</f>
        <v/>
      </c>
      <c r="O382" s="26" t="str">
        <f aca="false">IF($D382="","",F382*M382+G382*N382)</f>
        <v/>
      </c>
      <c r="P382" s="26" t="str">
        <f aca="false">IF(OR($D382="",$J382&lt;&gt;"Supplier"),"",IFERROR(INDEX(SupplierRates!$D$5:$D$500,MATCH($K382&amp;"|"&amp;$L382,SupplierRates!$A$5:$A$500,0)),0))</f>
        <v/>
      </c>
      <c r="Q382" s="26" t="str">
        <f aca="false">IF(OR($D382="",$J382&lt;&gt;"Supplier"),"",IFERROR(INDEX(SupplierRates!$E$5:$E$500,MATCH($K382&amp;"|"&amp;$L382,SupplierRates!$A$5:$A$500,0)),0))</f>
        <v/>
      </c>
      <c r="R382" s="26" t="n">
        <f aca="false">IF(OR($D382="",$J382&lt;&gt;"Supplier"),0,F382*P382+G382*Q382)</f>
        <v>0</v>
      </c>
      <c r="S382" s="26" t="n">
        <f aca="false">IF(OR($D382="",$J382&lt;&gt;"Own"),0,IFERROR((F382+G382*Settings!$B$13)*INDEX(Workers!$V$5:$V$2004,MATCH($D382,Workers!$A$5:$A$2004,0)),0))</f>
        <v>0</v>
      </c>
      <c r="T382" s="26" t="str">
        <f aca="false">IF($D382="","",O382-R382-S382)</f>
        <v/>
      </c>
    </row>
    <row r="383" customFormat="false" ht="15" hidden="false" customHeight="false" outlineLevel="0" collapsed="false">
      <c r="I383" s="24" t="str">
        <f aca="false">IF($D383="","",IFERROR(INDEX(Workers!$B$5:$B$2004,MATCH($D383,Workers!$A$5:$A$2004,0)),"NOT FOUND"))</f>
        <v/>
      </c>
      <c r="J383" s="24" t="str">
        <f aca="false">IF($D383="","",IFERROR(INDEX(Workers!$C$5:$C$2004,MATCH($D383,Workers!$A$5:$A$2004,0)),""))</f>
        <v/>
      </c>
      <c r="K383" s="24" t="str">
        <f aca="false">IF($D383="","",IFERROR(IF(INDEX(Workers!$D$5:$D$2004,MATCH($D383,Workers!$A$5:$A$2004,0))=0,"",INDEX(Workers!$D$5:$D$2004,MATCH($D383,Workers!$A$5:$A$2004,0))),""))</f>
        <v/>
      </c>
      <c r="L383" s="24" t="str">
        <f aca="false">IF($D383="","",IFERROR(INDEX(Workers!$E$5:$E$2004,MATCH($D383,Workers!$A$5:$A$2004,0)),""))</f>
        <v/>
      </c>
      <c r="M383" s="26" t="str">
        <f aca="false">IF($D383="","",IFERROR(INDEX(ClientRates!$D$5:$D$500,MATCH($B383&amp;"|"&amp;$L383,ClientRates!$A$5:$A$500,0)),0))</f>
        <v/>
      </c>
      <c r="N383" s="26" t="str">
        <f aca="false">IF($D383="","",IFERROR(INDEX(ClientRates!$E$5:$E$500,MATCH($B383&amp;"|"&amp;$L383,ClientRates!$A$5:$A$500,0)),0))</f>
        <v/>
      </c>
      <c r="O383" s="26" t="str">
        <f aca="false">IF($D383="","",F383*M383+G383*N383)</f>
        <v/>
      </c>
      <c r="P383" s="26" t="str">
        <f aca="false">IF(OR($D383="",$J383&lt;&gt;"Supplier"),"",IFERROR(INDEX(SupplierRates!$D$5:$D$500,MATCH($K383&amp;"|"&amp;$L383,SupplierRates!$A$5:$A$500,0)),0))</f>
        <v/>
      </c>
      <c r="Q383" s="26" t="str">
        <f aca="false">IF(OR($D383="",$J383&lt;&gt;"Supplier"),"",IFERROR(INDEX(SupplierRates!$E$5:$E$500,MATCH($K383&amp;"|"&amp;$L383,SupplierRates!$A$5:$A$500,0)),0))</f>
        <v/>
      </c>
      <c r="R383" s="26" t="n">
        <f aca="false">IF(OR($D383="",$J383&lt;&gt;"Supplier"),0,F383*P383+G383*Q383)</f>
        <v>0</v>
      </c>
      <c r="S383" s="26" t="n">
        <f aca="false">IF(OR($D383="",$J383&lt;&gt;"Own"),0,IFERROR((F383+G383*Settings!$B$13)*INDEX(Workers!$V$5:$V$2004,MATCH($D383,Workers!$A$5:$A$2004,0)),0))</f>
        <v>0</v>
      </c>
      <c r="T383" s="26" t="str">
        <f aca="false">IF($D383="","",O383-R383-S383)</f>
        <v/>
      </c>
    </row>
    <row r="384" customFormat="false" ht="15" hidden="false" customHeight="false" outlineLevel="0" collapsed="false">
      <c r="I384" s="24" t="str">
        <f aca="false">IF($D384="","",IFERROR(INDEX(Workers!$B$5:$B$2004,MATCH($D384,Workers!$A$5:$A$2004,0)),"NOT FOUND"))</f>
        <v/>
      </c>
      <c r="J384" s="24" t="str">
        <f aca="false">IF($D384="","",IFERROR(INDEX(Workers!$C$5:$C$2004,MATCH($D384,Workers!$A$5:$A$2004,0)),""))</f>
        <v/>
      </c>
      <c r="K384" s="24" t="str">
        <f aca="false">IF($D384="","",IFERROR(IF(INDEX(Workers!$D$5:$D$2004,MATCH($D384,Workers!$A$5:$A$2004,0))=0,"",INDEX(Workers!$D$5:$D$2004,MATCH($D384,Workers!$A$5:$A$2004,0))),""))</f>
        <v/>
      </c>
      <c r="L384" s="24" t="str">
        <f aca="false">IF($D384="","",IFERROR(INDEX(Workers!$E$5:$E$2004,MATCH($D384,Workers!$A$5:$A$2004,0)),""))</f>
        <v/>
      </c>
      <c r="M384" s="26" t="str">
        <f aca="false">IF($D384="","",IFERROR(INDEX(ClientRates!$D$5:$D$500,MATCH($B384&amp;"|"&amp;$L384,ClientRates!$A$5:$A$500,0)),0))</f>
        <v/>
      </c>
      <c r="N384" s="26" t="str">
        <f aca="false">IF($D384="","",IFERROR(INDEX(ClientRates!$E$5:$E$500,MATCH($B384&amp;"|"&amp;$L384,ClientRates!$A$5:$A$500,0)),0))</f>
        <v/>
      </c>
      <c r="O384" s="26" t="str">
        <f aca="false">IF($D384="","",F384*M384+G384*N384)</f>
        <v/>
      </c>
      <c r="P384" s="26" t="str">
        <f aca="false">IF(OR($D384="",$J384&lt;&gt;"Supplier"),"",IFERROR(INDEX(SupplierRates!$D$5:$D$500,MATCH($K384&amp;"|"&amp;$L384,SupplierRates!$A$5:$A$500,0)),0))</f>
        <v/>
      </c>
      <c r="Q384" s="26" t="str">
        <f aca="false">IF(OR($D384="",$J384&lt;&gt;"Supplier"),"",IFERROR(INDEX(SupplierRates!$E$5:$E$500,MATCH($K384&amp;"|"&amp;$L384,SupplierRates!$A$5:$A$500,0)),0))</f>
        <v/>
      </c>
      <c r="R384" s="26" t="n">
        <f aca="false">IF(OR($D384="",$J384&lt;&gt;"Supplier"),0,F384*P384+G384*Q384)</f>
        <v>0</v>
      </c>
      <c r="S384" s="26" t="n">
        <f aca="false">IF(OR($D384="",$J384&lt;&gt;"Own"),0,IFERROR((F384+G384*Settings!$B$13)*INDEX(Workers!$V$5:$V$2004,MATCH($D384,Workers!$A$5:$A$2004,0)),0))</f>
        <v>0</v>
      </c>
      <c r="T384" s="26" t="str">
        <f aca="false">IF($D384="","",O384-R384-S384)</f>
        <v/>
      </c>
    </row>
    <row r="385" customFormat="false" ht="15" hidden="false" customHeight="false" outlineLevel="0" collapsed="false">
      <c r="I385" s="24" t="str">
        <f aca="false">IF($D385="","",IFERROR(INDEX(Workers!$B$5:$B$2004,MATCH($D385,Workers!$A$5:$A$2004,0)),"NOT FOUND"))</f>
        <v/>
      </c>
      <c r="J385" s="24" t="str">
        <f aca="false">IF($D385="","",IFERROR(INDEX(Workers!$C$5:$C$2004,MATCH($D385,Workers!$A$5:$A$2004,0)),""))</f>
        <v/>
      </c>
      <c r="K385" s="24" t="str">
        <f aca="false">IF($D385="","",IFERROR(IF(INDEX(Workers!$D$5:$D$2004,MATCH($D385,Workers!$A$5:$A$2004,0))=0,"",INDEX(Workers!$D$5:$D$2004,MATCH($D385,Workers!$A$5:$A$2004,0))),""))</f>
        <v/>
      </c>
      <c r="L385" s="24" t="str">
        <f aca="false">IF($D385="","",IFERROR(INDEX(Workers!$E$5:$E$2004,MATCH($D385,Workers!$A$5:$A$2004,0)),""))</f>
        <v/>
      </c>
      <c r="M385" s="26" t="str">
        <f aca="false">IF($D385="","",IFERROR(INDEX(ClientRates!$D$5:$D$500,MATCH($B385&amp;"|"&amp;$L385,ClientRates!$A$5:$A$500,0)),0))</f>
        <v/>
      </c>
      <c r="N385" s="26" t="str">
        <f aca="false">IF($D385="","",IFERROR(INDEX(ClientRates!$E$5:$E$500,MATCH($B385&amp;"|"&amp;$L385,ClientRates!$A$5:$A$500,0)),0))</f>
        <v/>
      </c>
      <c r="O385" s="26" t="str">
        <f aca="false">IF($D385="","",F385*M385+G385*N385)</f>
        <v/>
      </c>
      <c r="P385" s="26" t="str">
        <f aca="false">IF(OR($D385="",$J385&lt;&gt;"Supplier"),"",IFERROR(INDEX(SupplierRates!$D$5:$D$500,MATCH($K385&amp;"|"&amp;$L385,SupplierRates!$A$5:$A$500,0)),0))</f>
        <v/>
      </c>
      <c r="Q385" s="26" t="str">
        <f aca="false">IF(OR($D385="",$J385&lt;&gt;"Supplier"),"",IFERROR(INDEX(SupplierRates!$E$5:$E$500,MATCH($K385&amp;"|"&amp;$L385,SupplierRates!$A$5:$A$500,0)),0))</f>
        <v/>
      </c>
      <c r="R385" s="26" t="n">
        <f aca="false">IF(OR($D385="",$J385&lt;&gt;"Supplier"),0,F385*P385+G385*Q385)</f>
        <v>0</v>
      </c>
      <c r="S385" s="26" t="n">
        <f aca="false">IF(OR($D385="",$J385&lt;&gt;"Own"),0,IFERROR((F385+G385*Settings!$B$13)*INDEX(Workers!$V$5:$V$2004,MATCH($D385,Workers!$A$5:$A$2004,0)),0))</f>
        <v>0</v>
      </c>
      <c r="T385" s="26" t="str">
        <f aca="false">IF($D385="","",O385-R385-S385)</f>
        <v/>
      </c>
    </row>
    <row r="386" customFormat="false" ht="15" hidden="false" customHeight="false" outlineLevel="0" collapsed="false">
      <c r="I386" s="24" t="str">
        <f aca="false">IF($D386="","",IFERROR(INDEX(Workers!$B$5:$B$2004,MATCH($D386,Workers!$A$5:$A$2004,0)),"NOT FOUND"))</f>
        <v/>
      </c>
      <c r="J386" s="24" t="str">
        <f aca="false">IF($D386="","",IFERROR(INDEX(Workers!$C$5:$C$2004,MATCH($D386,Workers!$A$5:$A$2004,0)),""))</f>
        <v/>
      </c>
      <c r="K386" s="24" t="str">
        <f aca="false">IF($D386="","",IFERROR(IF(INDEX(Workers!$D$5:$D$2004,MATCH($D386,Workers!$A$5:$A$2004,0))=0,"",INDEX(Workers!$D$5:$D$2004,MATCH($D386,Workers!$A$5:$A$2004,0))),""))</f>
        <v/>
      </c>
      <c r="L386" s="24" t="str">
        <f aca="false">IF($D386="","",IFERROR(INDEX(Workers!$E$5:$E$2004,MATCH($D386,Workers!$A$5:$A$2004,0)),""))</f>
        <v/>
      </c>
      <c r="M386" s="26" t="str">
        <f aca="false">IF($D386="","",IFERROR(INDEX(ClientRates!$D$5:$D$500,MATCH($B386&amp;"|"&amp;$L386,ClientRates!$A$5:$A$500,0)),0))</f>
        <v/>
      </c>
      <c r="N386" s="26" t="str">
        <f aca="false">IF($D386="","",IFERROR(INDEX(ClientRates!$E$5:$E$500,MATCH($B386&amp;"|"&amp;$L386,ClientRates!$A$5:$A$500,0)),0))</f>
        <v/>
      </c>
      <c r="O386" s="26" t="str">
        <f aca="false">IF($D386="","",F386*M386+G386*N386)</f>
        <v/>
      </c>
      <c r="P386" s="26" t="str">
        <f aca="false">IF(OR($D386="",$J386&lt;&gt;"Supplier"),"",IFERROR(INDEX(SupplierRates!$D$5:$D$500,MATCH($K386&amp;"|"&amp;$L386,SupplierRates!$A$5:$A$500,0)),0))</f>
        <v/>
      </c>
      <c r="Q386" s="26" t="str">
        <f aca="false">IF(OR($D386="",$J386&lt;&gt;"Supplier"),"",IFERROR(INDEX(SupplierRates!$E$5:$E$500,MATCH($K386&amp;"|"&amp;$L386,SupplierRates!$A$5:$A$500,0)),0))</f>
        <v/>
      </c>
      <c r="R386" s="26" t="n">
        <f aca="false">IF(OR($D386="",$J386&lt;&gt;"Supplier"),0,F386*P386+G386*Q386)</f>
        <v>0</v>
      </c>
      <c r="S386" s="26" t="n">
        <f aca="false">IF(OR($D386="",$J386&lt;&gt;"Own"),0,IFERROR((F386+G386*Settings!$B$13)*INDEX(Workers!$V$5:$V$2004,MATCH($D386,Workers!$A$5:$A$2004,0)),0))</f>
        <v>0</v>
      </c>
      <c r="T386" s="26" t="str">
        <f aca="false">IF($D386="","",O386-R386-S386)</f>
        <v/>
      </c>
    </row>
    <row r="387" customFormat="false" ht="15" hidden="false" customHeight="false" outlineLevel="0" collapsed="false">
      <c r="I387" s="24" t="str">
        <f aca="false">IF($D387="","",IFERROR(INDEX(Workers!$B$5:$B$2004,MATCH($D387,Workers!$A$5:$A$2004,0)),"NOT FOUND"))</f>
        <v/>
      </c>
      <c r="J387" s="24" t="str">
        <f aca="false">IF($D387="","",IFERROR(INDEX(Workers!$C$5:$C$2004,MATCH($D387,Workers!$A$5:$A$2004,0)),""))</f>
        <v/>
      </c>
      <c r="K387" s="24" t="str">
        <f aca="false">IF($D387="","",IFERROR(IF(INDEX(Workers!$D$5:$D$2004,MATCH($D387,Workers!$A$5:$A$2004,0))=0,"",INDEX(Workers!$D$5:$D$2004,MATCH($D387,Workers!$A$5:$A$2004,0))),""))</f>
        <v/>
      </c>
      <c r="L387" s="24" t="str">
        <f aca="false">IF($D387="","",IFERROR(INDEX(Workers!$E$5:$E$2004,MATCH($D387,Workers!$A$5:$A$2004,0)),""))</f>
        <v/>
      </c>
      <c r="M387" s="26" t="str">
        <f aca="false">IF($D387="","",IFERROR(INDEX(ClientRates!$D$5:$D$500,MATCH($B387&amp;"|"&amp;$L387,ClientRates!$A$5:$A$500,0)),0))</f>
        <v/>
      </c>
      <c r="N387" s="26" t="str">
        <f aca="false">IF($D387="","",IFERROR(INDEX(ClientRates!$E$5:$E$500,MATCH($B387&amp;"|"&amp;$L387,ClientRates!$A$5:$A$500,0)),0))</f>
        <v/>
      </c>
      <c r="O387" s="26" t="str">
        <f aca="false">IF($D387="","",F387*M387+G387*N387)</f>
        <v/>
      </c>
      <c r="P387" s="26" t="str">
        <f aca="false">IF(OR($D387="",$J387&lt;&gt;"Supplier"),"",IFERROR(INDEX(SupplierRates!$D$5:$D$500,MATCH($K387&amp;"|"&amp;$L387,SupplierRates!$A$5:$A$500,0)),0))</f>
        <v/>
      </c>
      <c r="Q387" s="26" t="str">
        <f aca="false">IF(OR($D387="",$J387&lt;&gt;"Supplier"),"",IFERROR(INDEX(SupplierRates!$E$5:$E$500,MATCH($K387&amp;"|"&amp;$L387,SupplierRates!$A$5:$A$500,0)),0))</f>
        <v/>
      </c>
      <c r="R387" s="26" t="n">
        <f aca="false">IF(OR($D387="",$J387&lt;&gt;"Supplier"),0,F387*P387+G387*Q387)</f>
        <v>0</v>
      </c>
      <c r="S387" s="26" t="n">
        <f aca="false">IF(OR($D387="",$J387&lt;&gt;"Own"),0,IFERROR((F387+G387*Settings!$B$13)*INDEX(Workers!$V$5:$V$2004,MATCH($D387,Workers!$A$5:$A$2004,0)),0))</f>
        <v>0</v>
      </c>
      <c r="T387" s="26" t="str">
        <f aca="false">IF($D387="","",O387-R387-S387)</f>
        <v/>
      </c>
    </row>
    <row r="388" customFormat="false" ht="15" hidden="false" customHeight="false" outlineLevel="0" collapsed="false">
      <c r="I388" s="24" t="str">
        <f aca="false">IF($D388="","",IFERROR(INDEX(Workers!$B$5:$B$2004,MATCH($D388,Workers!$A$5:$A$2004,0)),"NOT FOUND"))</f>
        <v/>
      </c>
      <c r="J388" s="24" t="str">
        <f aca="false">IF($D388="","",IFERROR(INDEX(Workers!$C$5:$C$2004,MATCH($D388,Workers!$A$5:$A$2004,0)),""))</f>
        <v/>
      </c>
      <c r="K388" s="24" t="str">
        <f aca="false">IF($D388="","",IFERROR(IF(INDEX(Workers!$D$5:$D$2004,MATCH($D388,Workers!$A$5:$A$2004,0))=0,"",INDEX(Workers!$D$5:$D$2004,MATCH($D388,Workers!$A$5:$A$2004,0))),""))</f>
        <v/>
      </c>
      <c r="L388" s="24" t="str">
        <f aca="false">IF($D388="","",IFERROR(INDEX(Workers!$E$5:$E$2004,MATCH($D388,Workers!$A$5:$A$2004,0)),""))</f>
        <v/>
      </c>
      <c r="M388" s="26" t="str">
        <f aca="false">IF($D388="","",IFERROR(INDEX(ClientRates!$D$5:$D$500,MATCH($B388&amp;"|"&amp;$L388,ClientRates!$A$5:$A$500,0)),0))</f>
        <v/>
      </c>
      <c r="N388" s="26" t="str">
        <f aca="false">IF($D388="","",IFERROR(INDEX(ClientRates!$E$5:$E$500,MATCH($B388&amp;"|"&amp;$L388,ClientRates!$A$5:$A$500,0)),0))</f>
        <v/>
      </c>
      <c r="O388" s="26" t="str">
        <f aca="false">IF($D388="","",F388*M388+G388*N388)</f>
        <v/>
      </c>
      <c r="P388" s="26" t="str">
        <f aca="false">IF(OR($D388="",$J388&lt;&gt;"Supplier"),"",IFERROR(INDEX(SupplierRates!$D$5:$D$500,MATCH($K388&amp;"|"&amp;$L388,SupplierRates!$A$5:$A$500,0)),0))</f>
        <v/>
      </c>
      <c r="Q388" s="26" t="str">
        <f aca="false">IF(OR($D388="",$J388&lt;&gt;"Supplier"),"",IFERROR(INDEX(SupplierRates!$E$5:$E$500,MATCH($K388&amp;"|"&amp;$L388,SupplierRates!$A$5:$A$500,0)),0))</f>
        <v/>
      </c>
      <c r="R388" s="26" t="n">
        <f aca="false">IF(OR($D388="",$J388&lt;&gt;"Supplier"),0,F388*P388+G388*Q388)</f>
        <v>0</v>
      </c>
      <c r="S388" s="26" t="n">
        <f aca="false">IF(OR($D388="",$J388&lt;&gt;"Own"),0,IFERROR((F388+G388*Settings!$B$13)*INDEX(Workers!$V$5:$V$2004,MATCH($D388,Workers!$A$5:$A$2004,0)),0))</f>
        <v>0</v>
      </c>
      <c r="T388" s="26" t="str">
        <f aca="false">IF($D388="","",O388-R388-S388)</f>
        <v/>
      </c>
    </row>
    <row r="389" customFormat="false" ht="15" hidden="false" customHeight="false" outlineLevel="0" collapsed="false">
      <c r="I389" s="24" t="str">
        <f aca="false">IF($D389="","",IFERROR(INDEX(Workers!$B$5:$B$2004,MATCH($D389,Workers!$A$5:$A$2004,0)),"NOT FOUND"))</f>
        <v/>
      </c>
      <c r="J389" s="24" t="str">
        <f aca="false">IF($D389="","",IFERROR(INDEX(Workers!$C$5:$C$2004,MATCH($D389,Workers!$A$5:$A$2004,0)),""))</f>
        <v/>
      </c>
      <c r="K389" s="24" t="str">
        <f aca="false">IF($D389="","",IFERROR(IF(INDEX(Workers!$D$5:$D$2004,MATCH($D389,Workers!$A$5:$A$2004,0))=0,"",INDEX(Workers!$D$5:$D$2004,MATCH($D389,Workers!$A$5:$A$2004,0))),""))</f>
        <v/>
      </c>
      <c r="L389" s="24" t="str">
        <f aca="false">IF($D389="","",IFERROR(INDEX(Workers!$E$5:$E$2004,MATCH($D389,Workers!$A$5:$A$2004,0)),""))</f>
        <v/>
      </c>
      <c r="M389" s="26" t="str">
        <f aca="false">IF($D389="","",IFERROR(INDEX(ClientRates!$D$5:$D$500,MATCH($B389&amp;"|"&amp;$L389,ClientRates!$A$5:$A$500,0)),0))</f>
        <v/>
      </c>
      <c r="N389" s="26" t="str">
        <f aca="false">IF($D389="","",IFERROR(INDEX(ClientRates!$E$5:$E$500,MATCH($B389&amp;"|"&amp;$L389,ClientRates!$A$5:$A$500,0)),0))</f>
        <v/>
      </c>
      <c r="O389" s="26" t="str">
        <f aca="false">IF($D389="","",F389*M389+G389*N389)</f>
        <v/>
      </c>
      <c r="P389" s="26" t="str">
        <f aca="false">IF(OR($D389="",$J389&lt;&gt;"Supplier"),"",IFERROR(INDEX(SupplierRates!$D$5:$D$500,MATCH($K389&amp;"|"&amp;$L389,SupplierRates!$A$5:$A$500,0)),0))</f>
        <v/>
      </c>
      <c r="Q389" s="26" t="str">
        <f aca="false">IF(OR($D389="",$J389&lt;&gt;"Supplier"),"",IFERROR(INDEX(SupplierRates!$E$5:$E$500,MATCH($K389&amp;"|"&amp;$L389,SupplierRates!$A$5:$A$500,0)),0))</f>
        <v/>
      </c>
      <c r="R389" s="26" t="n">
        <f aca="false">IF(OR($D389="",$J389&lt;&gt;"Supplier"),0,F389*P389+G389*Q389)</f>
        <v>0</v>
      </c>
      <c r="S389" s="26" t="n">
        <f aca="false">IF(OR($D389="",$J389&lt;&gt;"Own"),0,IFERROR((F389+G389*Settings!$B$13)*INDEX(Workers!$V$5:$V$2004,MATCH($D389,Workers!$A$5:$A$2004,0)),0))</f>
        <v>0</v>
      </c>
      <c r="T389" s="26" t="str">
        <f aca="false">IF($D389="","",O389-R389-S389)</f>
        <v/>
      </c>
    </row>
    <row r="390" customFormat="false" ht="15" hidden="false" customHeight="false" outlineLevel="0" collapsed="false">
      <c r="I390" s="24" t="str">
        <f aca="false">IF($D390="","",IFERROR(INDEX(Workers!$B$5:$B$2004,MATCH($D390,Workers!$A$5:$A$2004,0)),"NOT FOUND"))</f>
        <v/>
      </c>
      <c r="J390" s="24" t="str">
        <f aca="false">IF($D390="","",IFERROR(INDEX(Workers!$C$5:$C$2004,MATCH($D390,Workers!$A$5:$A$2004,0)),""))</f>
        <v/>
      </c>
      <c r="K390" s="24" t="str">
        <f aca="false">IF($D390="","",IFERROR(IF(INDEX(Workers!$D$5:$D$2004,MATCH($D390,Workers!$A$5:$A$2004,0))=0,"",INDEX(Workers!$D$5:$D$2004,MATCH($D390,Workers!$A$5:$A$2004,0))),""))</f>
        <v/>
      </c>
      <c r="L390" s="24" t="str">
        <f aca="false">IF($D390="","",IFERROR(INDEX(Workers!$E$5:$E$2004,MATCH($D390,Workers!$A$5:$A$2004,0)),""))</f>
        <v/>
      </c>
      <c r="M390" s="26" t="str">
        <f aca="false">IF($D390="","",IFERROR(INDEX(ClientRates!$D$5:$D$500,MATCH($B390&amp;"|"&amp;$L390,ClientRates!$A$5:$A$500,0)),0))</f>
        <v/>
      </c>
      <c r="N390" s="26" t="str">
        <f aca="false">IF($D390="","",IFERROR(INDEX(ClientRates!$E$5:$E$500,MATCH($B390&amp;"|"&amp;$L390,ClientRates!$A$5:$A$500,0)),0))</f>
        <v/>
      </c>
      <c r="O390" s="26" t="str">
        <f aca="false">IF($D390="","",F390*M390+G390*N390)</f>
        <v/>
      </c>
      <c r="P390" s="26" t="str">
        <f aca="false">IF(OR($D390="",$J390&lt;&gt;"Supplier"),"",IFERROR(INDEX(SupplierRates!$D$5:$D$500,MATCH($K390&amp;"|"&amp;$L390,SupplierRates!$A$5:$A$500,0)),0))</f>
        <v/>
      </c>
      <c r="Q390" s="26" t="str">
        <f aca="false">IF(OR($D390="",$J390&lt;&gt;"Supplier"),"",IFERROR(INDEX(SupplierRates!$E$5:$E$500,MATCH($K390&amp;"|"&amp;$L390,SupplierRates!$A$5:$A$500,0)),0))</f>
        <v/>
      </c>
      <c r="R390" s="26" t="n">
        <f aca="false">IF(OR($D390="",$J390&lt;&gt;"Supplier"),0,F390*P390+G390*Q390)</f>
        <v>0</v>
      </c>
      <c r="S390" s="26" t="n">
        <f aca="false">IF(OR($D390="",$J390&lt;&gt;"Own"),0,IFERROR((F390+G390*Settings!$B$13)*INDEX(Workers!$V$5:$V$2004,MATCH($D390,Workers!$A$5:$A$2004,0)),0))</f>
        <v>0</v>
      </c>
      <c r="T390" s="26" t="str">
        <f aca="false">IF($D390="","",O390-R390-S390)</f>
        <v/>
      </c>
    </row>
    <row r="391" customFormat="false" ht="15" hidden="false" customHeight="false" outlineLevel="0" collapsed="false">
      <c r="I391" s="24" t="str">
        <f aca="false">IF($D391="","",IFERROR(INDEX(Workers!$B$5:$B$2004,MATCH($D391,Workers!$A$5:$A$2004,0)),"NOT FOUND"))</f>
        <v/>
      </c>
      <c r="J391" s="24" t="str">
        <f aca="false">IF($D391="","",IFERROR(INDEX(Workers!$C$5:$C$2004,MATCH($D391,Workers!$A$5:$A$2004,0)),""))</f>
        <v/>
      </c>
      <c r="K391" s="24" t="str">
        <f aca="false">IF($D391="","",IFERROR(IF(INDEX(Workers!$D$5:$D$2004,MATCH($D391,Workers!$A$5:$A$2004,0))=0,"",INDEX(Workers!$D$5:$D$2004,MATCH($D391,Workers!$A$5:$A$2004,0))),""))</f>
        <v/>
      </c>
      <c r="L391" s="24" t="str">
        <f aca="false">IF($D391="","",IFERROR(INDEX(Workers!$E$5:$E$2004,MATCH($D391,Workers!$A$5:$A$2004,0)),""))</f>
        <v/>
      </c>
      <c r="M391" s="26" t="str">
        <f aca="false">IF($D391="","",IFERROR(INDEX(ClientRates!$D$5:$D$500,MATCH($B391&amp;"|"&amp;$L391,ClientRates!$A$5:$A$500,0)),0))</f>
        <v/>
      </c>
      <c r="N391" s="26" t="str">
        <f aca="false">IF($D391="","",IFERROR(INDEX(ClientRates!$E$5:$E$500,MATCH($B391&amp;"|"&amp;$L391,ClientRates!$A$5:$A$500,0)),0))</f>
        <v/>
      </c>
      <c r="O391" s="26" t="str">
        <f aca="false">IF($D391="","",F391*M391+G391*N391)</f>
        <v/>
      </c>
      <c r="P391" s="26" t="str">
        <f aca="false">IF(OR($D391="",$J391&lt;&gt;"Supplier"),"",IFERROR(INDEX(SupplierRates!$D$5:$D$500,MATCH($K391&amp;"|"&amp;$L391,SupplierRates!$A$5:$A$500,0)),0))</f>
        <v/>
      </c>
      <c r="Q391" s="26" t="str">
        <f aca="false">IF(OR($D391="",$J391&lt;&gt;"Supplier"),"",IFERROR(INDEX(SupplierRates!$E$5:$E$500,MATCH($K391&amp;"|"&amp;$L391,SupplierRates!$A$5:$A$500,0)),0))</f>
        <v/>
      </c>
      <c r="R391" s="26" t="n">
        <f aca="false">IF(OR($D391="",$J391&lt;&gt;"Supplier"),0,F391*P391+G391*Q391)</f>
        <v>0</v>
      </c>
      <c r="S391" s="26" t="n">
        <f aca="false">IF(OR($D391="",$J391&lt;&gt;"Own"),0,IFERROR((F391+G391*Settings!$B$13)*INDEX(Workers!$V$5:$V$2004,MATCH($D391,Workers!$A$5:$A$2004,0)),0))</f>
        <v>0</v>
      </c>
      <c r="T391" s="26" t="str">
        <f aca="false">IF($D391="","",O391-R391-S391)</f>
        <v/>
      </c>
    </row>
    <row r="392" customFormat="false" ht="15" hidden="false" customHeight="false" outlineLevel="0" collapsed="false">
      <c r="I392" s="24" t="str">
        <f aca="false">IF($D392="","",IFERROR(INDEX(Workers!$B$5:$B$2004,MATCH($D392,Workers!$A$5:$A$2004,0)),"NOT FOUND"))</f>
        <v/>
      </c>
      <c r="J392" s="24" t="str">
        <f aca="false">IF($D392="","",IFERROR(INDEX(Workers!$C$5:$C$2004,MATCH($D392,Workers!$A$5:$A$2004,0)),""))</f>
        <v/>
      </c>
      <c r="K392" s="24" t="str">
        <f aca="false">IF($D392="","",IFERROR(IF(INDEX(Workers!$D$5:$D$2004,MATCH($D392,Workers!$A$5:$A$2004,0))=0,"",INDEX(Workers!$D$5:$D$2004,MATCH($D392,Workers!$A$5:$A$2004,0))),""))</f>
        <v/>
      </c>
      <c r="L392" s="24" t="str">
        <f aca="false">IF($D392="","",IFERROR(INDEX(Workers!$E$5:$E$2004,MATCH($D392,Workers!$A$5:$A$2004,0)),""))</f>
        <v/>
      </c>
      <c r="M392" s="26" t="str">
        <f aca="false">IF($D392="","",IFERROR(INDEX(ClientRates!$D$5:$D$500,MATCH($B392&amp;"|"&amp;$L392,ClientRates!$A$5:$A$500,0)),0))</f>
        <v/>
      </c>
      <c r="N392" s="26" t="str">
        <f aca="false">IF($D392="","",IFERROR(INDEX(ClientRates!$E$5:$E$500,MATCH($B392&amp;"|"&amp;$L392,ClientRates!$A$5:$A$500,0)),0))</f>
        <v/>
      </c>
      <c r="O392" s="26" t="str">
        <f aca="false">IF($D392="","",F392*M392+G392*N392)</f>
        <v/>
      </c>
      <c r="P392" s="26" t="str">
        <f aca="false">IF(OR($D392="",$J392&lt;&gt;"Supplier"),"",IFERROR(INDEX(SupplierRates!$D$5:$D$500,MATCH($K392&amp;"|"&amp;$L392,SupplierRates!$A$5:$A$500,0)),0))</f>
        <v/>
      </c>
      <c r="Q392" s="26" t="str">
        <f aca="false">IF(OR($D392="",$J392&lt;&gt;"Supplier"),"",IFERROR(INDEX(SupplierRates!$E$5:$E$500,MATCH($K392&amp;"|"&amp;$L392,SupplierRates!$A$5:$A$500,0)),0))</f>
        <v/>
      </c>
      <c r="R392" s="26" t="n">
        <f aca="false">IF(OR($D392="",$J392&lt;&gt;"Supplier"),0,F392*P392+G392*Q392)</f>
        <v>0</v>
      </c>
      <c r="S392" s="26" t="n">
        <f aca="false">IF(OR($D392="",$J392&lt;&gt;"Own"),0,IFERROR((F392+G392*Settings!$B$13)*INDEX(Workers!$V$5:$V$2004,MATCH($D392,Workers!$A$5:$A$2004,0)),0))</f>
        <v>0</v>
      </c>
      <c r="T392" s="26" t="str">
        <f aca="false">IF($D392="","",O392-R392-S392)</f>
        <v/>
      </c>
    </row>
    <row r="393" customFormat="false" ht="15" hidden="false" customHeight="false" outlineLevel="0" collapsed="false">
      <c r="I393" s="24" t="str">
        <f aca="false">IF($D393="","",IFERROR(INDEX(Workers!$B$5:$B$2004,MATCH($D393,Workers!$A$5:$A$2004,0)),"NOT FOUND"))</f>
        <v/>
      </c>
      <c r="J393" s="24" t="str">
        <f aca="false">IF($D393="","",IFERROR(INDEX(Workers!$C$5:$C$2004,MATCH($D393,Workers!$A$5:$A$2004,0)),""))</f>
        <v/>
      </c>
      <c r="K393" s="24" t="str">
        <f aca="false">IF($D393="","",IFERROR(IF(INDEX(Workers!$D$5:$D$2004,MATCH($D393,Workers!$A$5:$A$2004,0))=0,"",INDEX(Workers!$D$5:$D$2004,MATCH($D393,Workers!$A$5:$A$2004,0))),""))</f>
        <v/>
      </c>
      <c r="L393" s="24" t="str">
        <f aca="false">IF($D393="","",IFERROR(INDEX(Workers!$E$5:$E$2004,MATCH($D393,Workers!$A$5:$A$2004,0)),""))</f>
        <v/>
      </c>
      <c r="M393" s="26" t="str">
        <f aca="false">IF($D393="","",IFERROR(INDEX(ClientRates!$D$5:$D$500,MATCH($B393&amp;"|"&amp;$L393,ClientRates!$A$5:$A$500,0)),0))</f>
        <v/>
      </c>
      <c r="N393" s="26" t="str">
        <f aca="false">IF($D393="","",IFERROR(INDEX(ClientRates!$E$5:$E$500,MATCH($B393&amp;"|"&amp;$L393,ClientRates!$A$5:$A$500,0)),0))</f>
        <v/>
      </c>
      <c r="O393" s="26" t="str">
        <f aca="false">IF($D393="","",F393*M393+G393*N393)</f>
        <v/>
      </c>
      <c r="P393" s="26" t="str">
        <f aca="false">IF(OR($D393="",$J393&lt;&gt;"Supplier"),"",IFERROR(INDEX(SupplierRates!$D$5:$D$500,MATCH($K393&amp;"|"&amp;$L393,SupplierRates!$A$5:$A$500,0)),0))</f>
        <v/>
      </c>
      <c r="Q393" s="26" t="str">
        <f aca="false">IF(OR($D393="",$J393&lt;&gt;"Supplier"),"",IFERROR(INDEX(SupplierRates!$E$5:$E$500,MATCH($K393&amp;"|"&amp;$L393,SupplierRates!$A$5:$A$500,0)),0))</f>
        <v/>
      </c>
      <c r="R393" s="26" t="n">
        <f aca="false">IF(OR($D393="",$J393&lt;&gt;"Supplier"),0,F393*P393+G393*Q393)</f>
        <v>0</v>
      </c>
      <c r="S393" s="26" t="n">
        <f aca="false">IF(OR($D393="",$J393&lt;&gt;"Own"),0,IFERROR((F393+G393*Settings!$B$13)*INDEX(Workers!$V$5:$V$2004,MATCH($D393,Workers!$A$5:$A$2004,0)),0))</f>
        <v>0</v>
      </c>
      <c r="T393" s="26" t="str">
        <f aca="false">IF($D393="","",O393-R393-S393)</f>
        <v/>
      </c>
    </row>
    <row r="394" customFormat="false" ht="15" hidden="false" customHeight="false" outlineLevel="0" collapsed="false">
      <c r="I394" s="24" t="str">
        <f aca="false">IF($D394="","",IFERROR(INDEX(Workers!$B$5:$B$2004,MATCH($D394,Workers!$A$5:$A$2004,0)),"NOT FOUND"))</f>
        <v/>
      </c>
      <c r="J394" s="24" t="str">
        <f aca="false">IF($D394="","",IFERROR(INDEX(Workers!$C$5:$C$2004,MATCH($D394,Workers!$A$5:$A$2004,0)),""))</f>
        <v/>
      </c>
      <c r="K394" s="24" t="str">
        <f aca="false">IF($D394="","",IFERROR(IF(INDEX(Workers!$D$5:$D$2004,MATCH($D394,Workers!$A$5:$A$2004,0))=0,"",INDEX(Workers!$D$5:$D$2004,MATCH($D394,Workers!$A$5:$A$2004,0))),""))</f>
        <v/>
      </c>
      <c r="L394" s="24" t="str">
        <f aca="false">IF($D394="","",IFERROR(INDEX(Workers!$E$5:$E$2004,MATCH($D394,Workers!$A$5:$A$2004,0)),""))</f>
        <v/>
      </c>
      <c r="M394" s="26" t="str">
        <f aca="false">IF($D394="","",IFERROR(INDEX(ClientRates!$D$5:$D$500,MATCH($B394&amp;"|"&amp;$L394,ClientRates!$A$5:$A$500,0)),0))</f>
        <v/>
      </c>
      <c r="N394" s="26" t="str">
        <f aca="false">IF($D394="","",IFERROR(INDEX(ClientRates!$E$5:$E$500,MATCH($B394&amp;"|"&amp;$L394,ClientRates!$A$5:$A$500,0)),0))</f>
        <v/>
      </c>
      <c r="O394" s="26" t="str">
        <f aca="false">IF($D394="","",F394*M394+G394*N394)</f>
        <v/>
      </c>
      <c r="P394" s="26" t="str">
        <f aca="false">IF(OR($D394="",$J394&lt;&gt;"Supplier"),"",IFERROR(INDEX(SupplierRates!$D$5:$D$500,MATCH($K394&amp;"|"&amp;$L394,SupplierRates!$A$5:$A$500,0)),0))</f>
        <v/>
      </c>
      <c r="Q394" s="26" t="str">
        <f aca="false">IF(OR($D394="",$J394&lt;&gt;"Supplier"),"",IFERROR(INDEX(SupplierRates!$E$5:$E$500,MATCH($K394&amp;"|"&amp;$L394,SupplierRates!$A$5:$A$500,0)),0))</f>
        <v/>
      </c>
      <c r="R394" s="26" t="n">
        <f aca="false">IF(OR($D394="",$J394&lt;&gt;"Supplier"),0,F394*P394+G394*Q394)</f>
        <v>0</v>
      </c>
      <c r="S394" s="26" t="n">
        <f aca="false">IF(OR($D394="",$J394&lt;&gt;"Own"),0,IFERROR((F394+G394*Settings!$B$13)*INDEX(Workers!$V$5:$V$2004,MATCH($D394,Workers!$A$5:$A$2004,0)),0))</f>
        <v>0</v>
      </c>
      <c r="T394" s="26" t="str">
        <f aca="false">IF($D394="","",O394-R394-S394)</f>
        <v/>
      </c>
    </row>
    <row r="395" customFormat="false" ht="15" hidden="false" customHeight="false" outlineLevel="0" collapsed="false">
      <c r="I395" s="24" t="str">
        <f aca="false">IF($D395="","",IFERROR(INDEX(Workers!$B$5:$B$2004,MATCH($D395,Workers!$A$5:$A$2004,0)),"NOT FOUND"))</f>
        <v/>
      </c>
      <c r="J395" s="24" t="str">
        <f aca="false">IF($D395="","",IFERROR(INDEX(Workers!$C$5:$C$2004,MATCH($D395,Workers!$A$5:$A$2004,0)),""))</f>
        <v/>
      </c>
      <c r="K395" s="24" t="str">
        <f aca="false">IF($D395="","",IFERROR(IF(INDEX(Workers!$D$5:$D$2004,MATCH($D395,Workers!$A$5:$A$2004,0))=0,"",INDEX(Workers!$D$5:$D$2004,MATCH($D395,Workers!$A$5:$A$2004,0))),""))</f>
        <v/>
      </c>
      <c r="L395" s="24" t="str">
        <f aca="false">IF($D395="","",IFERROR(INDEX(Workers!$E$5:$E$2004,MATCH($D395,Workers!$A$5:$A$2004,0)),""))</f>
        <v/>
      </c>
      <c r="M395" s="26" t="str">
        <f aca="false">IF($D395="","",IFERROR(INDEX(ClientRates!$D$5:$D$500,MATCH($B395&amp;"|"&amp;$L395,ClientRates!$A$5:$A$500,0)),0))</f>
        <v/>
      </c>
      <c r="N395" s="26" t="str">
        <f aca="false">IF($D395="","",IFERROR(INDEX(ClientRates!$E$5:$E$500,MATCH($B395&amp;"|"&amp;$L395,ClientRates!$A$5:$A$500,0)),0))</f>
        <v/>
      </c>
      <c r="O395" s="26" t="str">
        <f aca="false">IF($D395="","",F395*M395+G395*N395)</f>
        <v/>
      </c>
      <c r="P395" s="26" t="str">
        <f aca="false">IF(OR($D395="",$J395&lt;&gt;"Supplier"),"",IFERROR(INDEX(SupplierRates!$D$5:$D$500,MATCH($K395&amp;"|"&amp;$L395,SupplierRates!$A$5:$A$500,0)),0))</f>
        <v/>
      </c>
      <c r="Q395" s="26" t="str">
        <f aca="false">IF(OR($D395="",$J395&lt;&gt;"Supplier"),"",IFERROR(INDEX(SupplierRates!$E$5:$E$500,MATCH($K395&amp;"|"&amp;$L395,SupplierRates!$A$5:$A$500,0)),0))</f>
        <v/>
      </c>
      <c r="R395" s="26" t="n">
        <f aca="false">IF(OR($D395="",$J395&lt;&gt;"Supplier"),0,F395*P395+G395*Q395)</f>
        <v>0</v>
      </c>
      <c r="S395" s="26" t="n">
        <f aca="false">IF(OR($D395="",$J395&lt;&gt;"Own"),0,IFERROR((F395+G395*Settings!$B$13)*INDEX(Workers!$V$5:$V$2004,MATCH($D395,Workers!$A$5:$A$2004,0)),0))</f>
        <v>0</v>
      </c>
      <c r="T395" s="26" t="str">
        <f aca="false">IF($D395="","",O395-R395-S395)</f>
        <v/>
      </c>
    </row>
    <row r="396" customFormat="false" ht="15" hidden="false" customHeight="false" outlineLevel="0" collapsed="false">
      <c r="I396" s="24" t="str">
        <f aca="false">IF($D396="","",IFERROR(INDEX(Workers!$B$5:$B$2004,MATCH($D396,Workers!$A$5:$A$2004,0)),"NOT FOUND"))</f>
        <v/>
      </c>
      <c r="J396" s="24" t="str">
        <f aca="false">IF($D396="","",IFERROR(INDEX(Workers!$C$5:$C$2004,MATCH($D396,Workers!$A$5:$A$2004,0)),""))</f>
        <v/>
      </c>
      <c r="K396" s="24" t="str">
        <f aca="false">IF($D396="","",IFERROR(IF(INDEX(Workers!$D$5:$D$2004,MATCH($D396,Workers!$A$5:$A$2004,0))=0,"",INDEX(Workers!$D$5:$D$2004,MATCH($D396,Workers!$A$5:$A$2004,0))),""))</f>
        <v/>
      </c>
      <c r="L396" s="24" t="str">
        <f aca="false">IF($D396="","",IFERROR(INDEX(Workers!$E$5:$E$2004,MATCH($D396,Workers!$A$5:$A$2004,0)),""))</f>
        <v/>
      </c>
      <c r="M396" s="26" t="str">
        <f aca="false">IF($D396="","",IFERROR(INDEX(ClientRates!$D$5:$D$500,MATCH($B396&amp;"|"&amp;$L396,ClientRates!$A$5:$A$500,0)),0))</f>
        <v/>
      </c>
      <c r="N396" s="26" t="str">
        <f aca="false">IF($D396="","",IFERROR(INDEX(ClientRates!$E$5:$E$500,MATCH($B396&amp;"|"&amp;$L396,ClientRates!$A$5:$A$500,0)),0))</f>
        <v/>
      </c>
      <c r="O396" s="26" t="str">
        <f aca="false">IF($D396="","",F396*M396+G396*N396)</f>
        <v/>
      </c>
      <c r="P396" s="26" t="str">
        <f aca="false">IF(OR($D396="",$J396&lt;&gt;"Supplier"),"",IFERROR(INDEX(SupplierRates!$D$5:$D$500,MATCH($K396&amp;"|"&amp;$L396,SupplierRates!$A$5:$A$500,0)),0))</f>
        <v/>
      </c>
      <c r="Q396" s="26" t="str">
        <f aca="false">IF(OR($D396="",$J396&lt;&gt;"Supplier"),"",IFERROR(INDEX(SupplierRates!$E$5:$E$500,MATCH($K396&amp;"|"&amp;$L396,SupplierRates!$A$5:$A$500,0)),0))</f>
        <v/>
      </c>
      <c r="R396" s="26" t="n">
        <f aca="false">IF(OR($D396="",$J396&lt;&gt;"Supplier"),0,F396*P396+G396*Q396)</f>
        <v>0</v>
      </c>
      <c r="S396" s="26" t="n">
        <f aca="false">IF(OR($D396="",$J396&lt;&gt;"Own"),0,IFERROR((F396+G396*Settings!$B$13)*INDEX(Workers!$V$5:$V$2004,MATCH($D396,Workers!$A$5:$A$2004,0)),0))</f>
        <v>0</v>
      </c>
      <c r="T396" s="26" t="str">
        <f aca="false">IF($D396="","",O396-R396-S396)</f>
        <v/>
      </c>
    </row>
    <row r="397" customFormat="false" ht="15" hidden="false" customHeight="false" outlineLevel="0" collapsed="false">
      <c r="I397" s="24" t="str">
        <f aca="false">IF($D397="","",IFERROR(INDEX(Workers!$B$5:$B$2004,MATCH($D397,Workers!$A$5:$A$2004,0)),"NOT FOUND"))</f>
        <v/>
      </c>
      <c r="J397" s="24" t="str">
        <f aca="false">IF($D397="","",IFERROR(INDEX(Workers!$C$5:$C$2004,MATCH($D397,Workers!$A$5:$A$2004,0)),""))</f>
        <v/>
      </c>
      <c r="K397" s="24" t="str">
        <f aca="false">IF($D397="","",IFERROR(IF(INDEX(Workers!$D$5:$D$2004,MATCH($D397,Workers!$A$5:$A$2004,0))=0,"",INDEX(Workers!$D$5:$D$2004,MATCH($D397,Workers!$A$5:$A$2004,0))),""))</f>
        <v/>
      </c>
      <c r="L397" s="24" t="str">
        <f aca="false">IF($D397="","",IFERROR(INDEX(Workers!$E$5:$E$2004,MATCH($D397,Workers!$A$5:$A$2004,0)),""))</f>
        <v/>
      </c>
      <c r="M397" s="26" t="str">
        <f aca="false">IF($D397="","",IFERROR(INDEX(ClientRates!$D$5:$D$500,MATCH($B397&amp;"|"&amp;$L397,ClientRates!$A$5:$A$500,0)),0))</f>
        <v/>
      </c>
      <c r="N397" s="26" t="str">
        <f aca="false">IF($D397="","",IFERROR(INDEX(ClientRates!$E$5:$E$500,MATCH($B397&amp;"|"&amp;$L397,ClientRates!$A$5:$A$500,0)),0))</f>
        <v/>
      </c>
      <c r="O397" s="26" t="str">
        <f aca="false">IF($D397="","",F397*M397+G397*N397)</f>
        <v/>
      </c>
      <c r="P397" s="26" t="str">
        <f aca="false">IF(OR($D397="",$J397&lt;&gt;"Supplier"),"",IFERROR(INDEX(SupplierRates!$D$5:$D$500,MATCH($K397&amp;"|"&amp;$L397,SupplierRates!$A$5:$A$500,0)),0))</f>
        <v/>
      </c>
      <c r="Q397" s="26" t="str">
        <f aca="false">IF(OR($D397="",$J397&lt;&gt;"Supplier"),"",IFERROR(INDEX(SupplierRates!$E$5:$E$500,MATCH($K397&amp;"|"&amp;$L397,SupplierRates!$A$5:$A$500,0)),0))</f>
        <v/>
      </c>
      <c r="R397" s="26" t="n">
        <f aca="false">IF(OR($D397="",$J397&lt;&gt;"Supplier"),0,F397*P397+G397*Q397)</f>
        <v>0</v>
      </c>
      <c r="S397" s="26" t="n">
        <f aca="false">IF(OR($D397="",$J397&lt;&gt;"Own"),0,IFERROR((F397+G397*Settings!$B$13)*INDEX(Workers!$V$5:$V$2004,MATCH($D397,Workers!$A$5:$A$2004,0)),0))</f>
        <v>0</v>
      </c>
      <c r="T397" s="26" t="str">
        <f aca="false">IF($D397="","",O397-R397-S397)</f>
        <v/>
      </c>
    </row>
    <row r="398" customFormat="false" ht="15" hidden="false" customHeight="false" outlineLevel="0" collapsed="false">
      <c r="I398" s="24" t="str">
        <f aca="false">IF($D398="","",IFERROR(INDEX(Workers!$B$5:$B$2004,MATCH($D398,Workers!$A$5:$A$2004,0)),"NOT FOUND"))</f>
        <v/>
      </c>
      <c r="J398" s="24" t="str">
        <f aca="false">IF($D398="","",IFERROR(INDEX(Workers!$C$5:$C$2004,MATCH($D398,Workers!$A$5:$A$2004,0)),""))</f>
        <v/>
      </c>
      <c r="K398" s="24" t="str">
        <f aca="false">IF($D398="","",IFERROR(IF(INDEX(Workers!$D$5:$D$2004,MATCH($D398,Workers!$A$5:$A$2004,0))=0,"",INDEX(Workers!$D$5:$D$2004,MATCH($D398,Workers!$A$5:$A$2004,0))),""))</f>
        <v/>
      </c>
      <c r="L398" s="24" t="str">
        <f aca="false">IF($D398="","",IFERROR(INDEX(Workers!$E$5:$E$2004,MATCH($D398,Workers!$A$5:$A$2004,0)),""))</f>
        <v/>
      </c>
      <c r="M398" s="26" t="str">
        <f aca="false">IF($D398="","",IFERROR(INDEX(ClientRates!$D$5:$D$500,MATCH($B398&amp;"|"&amp;$L398,ClientRates!$A$5:$A$500,0)),0))</f>
        <v/>
      </c>
      <c r="N398" s="26" t="str">
        <f aca="false">IF($D398="","",IFERROR(INDEX(ClientRates!$E$5:$E$500,MATCH($B398&amp;"|"&amp;$L398,ClientRates!$A$5:$A$500,0)),0))</f>
        <v/>
      </c>
      <c r="O398" s="26" t="str">
        <f aca="false">IF($D398="","",F398*M398+G398*N398)</f>
        <v/>
      </c>
      <c r="P398" s="26" t="str">
        <f aca="false">IF(OR($D398="",$J398&lt;&gt;"Supplier"),"",IFERROR(INDEX(SupplierRates!$D$5:$D$500,MATCH($K398&amp;"|"&amp;$L398,SupplierRates!$A$5:$A$500,0)),0))</f>
        <v/>
      </c>
      <c r="Q398" s="26" t="str">
        <f aca="false">IF(OR($D398="",$J398&lt;&gt;"Supplier"),"",IFERROR(INDEX(SupplierRates!$E$5:$E$500,MATCH($K398&amp;"|"&amp;$L398,SupplierRates!$A$5:$A$500,0)),0))</f>
        <v/>
      </c>
      <c r="R398" s="26" t="n">
        <f aca="false">IF(OR($D398="",$J398&lt;&gt;"Supplier"),0,F398*P398+G398*Q398)</f>
        <v>0</v>
      </c>
      <c r="S398" s="26" t="n">
        <f aca="false">IF(OR($D398="",$J398&lt;&gt;"Own"),0,IFERROR((F398+G398*Settings!$B$13)*INDEX(Workers!$V$5:$V$2004,MATCH($D398,Workers!$A$5:$A$2004,0)),0))</f>
        <v>0</v>
      </c>
      <c r="T398" s="26" t="str">
        <f aca="false">IF($D398="","",O398-R398-S398)</f>
        <v/>
      </c>
    </row>
    <row r="399" customFormat="false" ht="15" hidden="false" customHeight="false" outlineLevel="0" collapsed="false">
      <c r="I399" s="24" t="str">
        <f aca="false">IF($D399="","",IFERROR(INDEX(Workers!$B$5:$B$2004,MATCH($D399,Workers!$A$5:$A$2004,0)),"NOT FOUND"))</f>
        <v/>
      </c>
      <c r="J399" s="24" t="str">
        <f aca="false">IF($D399="","",IFERROR(INDEX(Workers!$C$5:$C$2004,MATCH($D399,Workers!$A$5:$A$2004,0)),""))</f>
        <v/>
      </c>
      <c r="K399" s="24" t="str">
        <f aca="false">IF($D399="","",IFERROR(IF(INDEX(Workers!$D$5:$D$2004,MATCH($D399,Workers!$A$5:$A$2004,0))=0,"",INDEX(Workers!$D$5:$D$2004,MATCH($D399,Workers!$A$5:$A$2004,0))),""))</f>
        <v/>
      </c>
      <c r="L399" s="24" t="str">
        <f aca="false">IF($D399="","",IFERROR(INDEX(Workers!$E$5:$E$2004,MATCH($D399,Workers!$A$5:$A$2004,0)),""))</f>
        <v/>
      </c>
      <c r="M399" s="26" t="str">
        <f aca="false">IF($D399="","",IFERROR(INDEX(ClientRates!$D$5:$D$500,MATCH($B399&amp;"|"&amp;$L399,ClientRates!$A$5:$A$500,0)),0))</f>
        <v/>
      </c>
      <c r="N399" s="26" t="str">
        <f aca="false">IF($D399="","",IFERROR(INDEX(ClientRates!$E$5:$E$500,MATCH($B399&amp;"|"&amp;$L399,ClientRates!$A$5:$A$500,0)),0))</f>
        <v/>
      </c>
      <c r="O399" s="26" t="str">
        <f aca="false">IF($D399="","",F399*M399+G399*N399)</f>
        <v/>
      </c>
      <c r="P399" s="26" t="str">
        <f aca="false">IF(OR($D399="",$J399&lt;&gt;"Supplier"),"",IFERROR(INDEX(SupplierRates!$D$5:$D$500,MATCH($K399&amp;"|"&amp;$L399,SupplierRates!$A$5:$A$500,0)),0))</f>
        <v/>
      </c>
      <c r="Q399" s="26" t="str">
        <f aca="false">IF(OR($D399="",$J399&lt;&gt;"Supplier"),"",IFERROR(INDEX(SupplierRates!$E$5:$E$500,MATCH($K399&amp;"|"&amp;$L399,SupplierRates!$A$5:$A$500,0)),0))</f>
        <v/>
      </c>
      <c r="R399" s="26" t="n">
        <f aca="false">IF(OR($D399="",$J399&lt;&gt;"Supplier"),0,F399*P399+G399*Q399)</f>
        <v>0</v>
      </c>
      <c r="S399" s="26" t="n">
        <f aca="false">IF(OR($D399="",$J399&lt;&gt;"Own"),0,IFERROR((F399+G399*Settings!$B$13)*INDEX(Workers!$V$5:$V$2004,MATCH($D399,Workers!$A$5:$A$2004,0)),0))</f>
        <v>0</v>
      </c>
      <c r="T399" s="26" t="str">
        <f aca="false">IF($D399="","",O399-R399-S399)</f>
        <v/>
      </c>
    </row>
    <row r="400" customFormat="false" ht="15" hidden="false" customHeight="false" outlineLevel="0" collapsed="false">
      <c r="I400" s="24" t="str">
        <f aca="false">IF($D400="","",IFERROR(INDEX(Workers!$B$5:$B$2004,MATCH($D400,Workers!$A$5:$A$2004,0)),"NOT FOUND"))</f>
        <v/>
      </c>
      <c r="J400" s="24" t="str">
        <f aca="false">IF($D400="","",IFERROR(INDEX(Workers!$C$5:$C$2004,MATCH($D400,Workers!$A$5:$A$2004,0)),""))</f>
        <v/>
      </c>
      <c r="K400" s="24" t="str">
        <f aca="false">IF($D400="","",IFERROR(IF(INDEX(Workers!$D$5:$D$2004,MATCH($D400,Workers!$A$5:$A$2004,0))=0,"",INDEX(Workers!$D$5:$D$2004,MATCH($D400,Workers!$A$5:$A$2004,0))),""))</f>
        <v/>
      </c>
      <c r="L400" s="24" t="str">
        <f aca="false">IF($D400="","",IFERROR(INDEX(Workers!$E$5:$E$2004,MATCH($D400,Workers!$A$5:$A$2004,0)),""))</f>
        <v/>
      </c>
      <c r="M400" s="26" t="str">
        <f aca="false">IF($D400="","",IFERROR(INDEX(ClientRates!$D$5:$D$500,MATCH($B400&amp;"|"&amp;$L400,ClientRates!$A$5:$A$500,0)),0))</f>
        <v/>
      </c>
      <c r="N400" s="26" t="str">
        <f aca="false">IF($D400="","",IFERROR(INDEX(ClientRates!$E$5:$E$500,MATCH($B400&amp;"|"&amp;$L400,ClientRates!$A$5:$A$500,0)),0))</f>
        <v/>
      </c>
      <c r="O400" s="26" t="str">
        <f aca="false">IF($D400="","",F400*M400+G400*N400)</f>
        <v/>
      </c>
      <c r="P400" s="26" t="str">
        <f aca="false">IF(OR($D400="",$J400&lt;&gt;"Supplier"),"",IFERROR(INDEX(SupplierRates!$D$5:$D$500,MATCH($K400&amp;"|"&amp;$L400,SupplierRates!$A$5:$A$500,0)),0))</f>
        <v/>
      </c>
      <c r="Q400" s="26" t="str">
        <f aca="false">IF(OR($D400="",$J400&lt;&gt;"Supplier"),"",IFERROR(INDEX(SupplierRates!$E$5:$E$500,MATCH($K400&amp;"|"&amp;$L400,SupplierRates!$A$5:$A$500,0)),0))</f>
        <v/>
      </c>
      <c r="R400" s="26" t="n">
        <f aca="false">IF(OR($D400="",$J400&lt;&gt;"Supplier"),0,F400*P400+G400*Q400)</f>
        <v>0</v>
      </c>
      <c r="S400" s="26" t="n">
        <f aca="false">IF(OR($D400="",$J400&lt;&gt;"Own"),0,IFERROR((F400+G400*Settings!$B$13)*INDEX(Workers!$V$5:$V$2004,MATCH($D400,Workers!$A$5:$A$2004,0)),0))</f>
        <v>0</v>
      </c>
      <c r="T400" s="26" t="str">
        <f aca="false">IF($D400="","",O400-R400-S400)</f>
        <v/>
      </c>
    </row>
    <row r="401" customFormat="false" ht="15" hidden="false" customHeight="false" outlineLevel="0" collapsed="false">
      <c r="I401" s="24" t="str">
        <f aca="false">IF($D401="","",IFERROR(INDEX(Workers!$B$5:$B$2004,MATCH($D401,Workers!$A$5:$A$2004,0)),"NOT FOUND"))</f>
        <v/>
      </c>
      <c r="J401" s="24" t="str">
        <f aca="false">IF($D401="","",IFERROR(INDEX(Workers!$C$5:$C$2004,MATCH($D401,Workers!$A$5:$A$2004,0)),""))</f>
        <v/>
      </c>
      <c r="K401" s="24" t="str">
        <f aca="false">IF($D401="","",IFERROR(IF(INDEX(Workers!$D$5:$D$2004,MATCH($D401,Workers!$A$5:$A$2004,0))=0,"",INDEX(Workers!$D$5:$D$2004,MATCH($D401,Workers!$A$5:$A$2004,0))),""))</f>
        <v/>
      </c>
      <c r="L401" s="24" t="str">
        <f aca="false">IF($D401="","",IFERROR(INDEX(Workers!$E$5:$E$2004,MATCH($D401,Workers!$A$5:$A$2004,0)),""))</f>
        <v/>
      </c>
      <c r="M401" s="26" t="str">
        <f aca="false">IF($D401="","",IFERROR(INDEX(ClientRates!$D$5:$D$500,MATCH($B401&amp;"|"&amp;$L401,ClientRates!$A$5:$A$500,0)),0))</f>
        <v/>
      </c>
      <c r="N401" s="26" t="str">
        <f aca="false">IF($D401="","",IFERROR(INDEX(ClientRates!$E$5:$E$500,MATCH($B401&amp;"|"&amp;$L401,ClientRates!$A$5:$A$500,0)),0))</f>
        <v/>
      </c>
      <c r="O401" s="26" t="str">
        <f aca="false">IF($D401="","",F401*M401+G401*N401)</f>
        <v/>
      </c>
      <c r="P401" s="26" t="str">
        <f aca="false">IF(OR($D401="",$J401&lt;&gt;"Supplier"),"",IFERROR(INDEX(SupplierRates!$D$5:$D$500,MATCH($K401&amp;"|"&amp;$L401,SupplierRates!$A$5:$A$500,0)),0))</f>
        <v/>
      </c>
      <c r="Q401" s="26" t="str">
        <f aca="false">IF(OR($D401="",$J401&lt;&gt;"Supplier"),"",IFERROR(INDEX(SupplierRates!$E$5:$E$500,MATCH($K401&amp;"|"&amp;$L401,SupplierRates!$A$5:$A$500,0)),0))</f>
        <v/>
      </c>
      <c r="R401" s="26" t="n">
        <f aca="false">IF(OR($D401="",$J401&lt;&gt;"Supplier"),0,F401*P401+G401*Q401)</f>
        <v>0</v>
      </c>
      <c r="S401" s="26" t="n">
        <f aca="false">IF(OR($D401="",$J401&lt;&gt;"Own"),0,IFERROR((F401+G401*Settings!$B$13)*INDEX(Workers!$V$5:$V$2004,MATCH($D401,Workers!$A$5:$A$2004,0)),0))</f>
        <v>0</v>
      </c>
      <c r="T401" s="26" t="str">
        <f aca="false">IF($D401="","",O401-R401-S401)</f>
        <v/>
      </c>
    </row>
    <row r="402" customFormat="false" ht="15" hidden="false" customHeight="false" outlineLevel="0" collapsed="false">
      <c r="I402" s="24" t="str">
        <f aca="false">IF($D402="","",IFERROR(INDEX(Workers!$B$5:$B$2004,MATCH($D402,Workers!$A$5:$A$2004,0)),"NOT FOUND"))</f>
        <v/>
      </c>
      <c r="J402" s="24" t="str">
        <f aca="false">IF($D402="","",IFERROR(INDEX(Workers!$C$5:$C$2004,MATCH($D402,Workers!$A$5:$A$2004,0)),""))</f>
        <v/>
      </c>
      <c r="K402" s="24" t="str">
        <f aca="false">IF($D402="","",IFERROR(IF(INDEX(Workers!$D$5:$D$2004,MATCH($D402,Workers!$A$5:$A$2004,0))=0,"",INDEX(Workers!$D$5:$D$2004,MATCH($D402,Workers!$A$5:$A$2004,0))),""))</f>
        <v/>
      </c>
      <c r="L402" s="24" t="str">
        <f aca="false">IF($D402="","",IFERROR(INDEX(Workers!$E$5:$E$2004,MATCH($D402,Workers!$A$5:$A$2004,0)),""))</f>
        <v/>
      </c>
      <c r="M402" s="26" t="str">
        <f aca="false">IF($D402="","",IFERROR(INDEX(ClientRates!$D$5:$D$500,MATCH($B402&amp;"|"&amp;$L402,ClientRates!$A$5:$A$500,0)),0))</f>
        <v/>
      </c>
      <c r="N402" s="26" t="str">
        <f aca="false">IF($D402="","",IFERROR(INDEX(ClientRates!$E$5:$E$500,MATCH($B402&amp;"|"&amp;$L402,ClientRates!$A$5:$A$500,0)),0))</f>
        <v/>
      </c>
      <c r="O402" s="26" t="str">
        <f aca="false">IF($D402="","",F402*M402+G402*N402)</f>
        <v/>
      </c>
      <c r="P402" s="26" t="str">
        <f aca="false">IF(OR($D402="",$J402&lt;&gt;"Supplier"),"",IFERROR(INDEX(SupplierRates!$D$5:$D$500,MATCH($K402&amp;"|"&amp;$L402,SupplierRates!$A$5:$A$500,0)),0))</f>
        <v/>
      </c>
      <c r="Q402" s="26" t="str">
        <f aca="false">IF(OR($D402="",$J402&lt;&gt;"Supplier"),"",IFERROR(INDEX(SupplierRates!$E$5:$E$500,MATCH($K402&amp;"|"&amp;$L402,SupplierRates!$A$5:$A$500,0)),0))</f>
        <v/>
      </c>
      <c r="R402" s="26" t="n">
        <f aca="false">IF(OR($D402="",$J402&lt;&gt;"Supplier"),0,F402*P402+G402*Q402)</f>
        <v>0</v>
      </c>
      <c r="S402" s="26" t="n">
        <f aca="false">IF(OR($D402="",$J402&lt;&gt;"Own"),0,IFERROR((F402+G402*Settings!$B$13)*INDEX(Workers!$V$5:$V$2004,MATCH($D402,Workers!$A$5:$A$2004,0)),0))</f>
        <v>0</v>
      </c>
      <c r="T402" s="26" t="str">
        <f aca="false">IF($D402="","",O402-R402-S402)</f>
        <v/>
      </c>
    </row>
    <row r="403" customFormat="false" ht="15" hidden="false" customHeight="false" outlineLevel="0" collapsed="false">
      <c r="I403" s="24" t="str">
        <f aca="false">IF($D403="","",IFERROR(INDEX(Workers!$B$5:$B$2004,MATCH($D403,Workers!$A$5:$A$2004,0)),"NOT FOUND"))</f>
        <v/>
      </c>
      <c r="J403" s="24" t="str">
        <f aca="false">IF($D403="","",IFERROR(INDEX(Workers!$C$5:$C$2004,MATCH($D403,Workers!$A$5:$A$2004,0)),""))</f>
        <v/>
      </c>
      <c r="K403" s="24" t="str">
        <f aca="false">IF($D403="","",IFERROR(IF(INDEX(Workers!$D$5:$D$2004,MATCH($D403,Workers!$A$5:$A$2004,0))=0,"",INDEX(Workers!$D$5:$D$2004,MATCH($D403,Workers!$A$5:$A$2004,0))),""))</f>
        <v/>
      </c>
      <c r="L403" s="24" t="str">
        <f aca="false">IF($D403="","",IFERROR(INDEX(Workers!$E$5:$E$2004,MATCH($D403,Workers!$A$5:$A$2004,0)),""))</f>
        <v/>
      </c>
      <c r="M403" s="26" t="str">
        <f aca="false">IF($D403="","",IFERROR(INDEX(ClientRates!$D$5:$D$500,MATCH($B403&amp;"|"&amp;$L403,ClientRates!$A$5:$A$500,0)),0))</f>
        <v/>
      </c>
      <c r="N403" s="26" t="str">
        <f aca="false">IF($D403="","",IFERROR(INDEX(ClientRates!$E$5:$E$500,MATCH($B403&amp;"|"&amp;$L403,ClientRates!$A$5:$A$500,0)),0))</f>
        <v/>
      </c>
      <c r="O403" s="26" t="str">
        <f aca="false">IF($D403="","",F403*M403+G403*N403)</f>
        <v/>
      </c>
      <c r="P403" s="26" t="str">
        <f aca="false">IF(OR($D403="",$J403&lt;&gt;"Supplier"),"",IFERROR(INDEX(SupplierRates!$D$5:$D$500,MATCH($K403&amp;"|"&amp;$L403,SupplierRates!$A$5:$A$500,0)),0))</f>
        <v/>
      </c>
      <c r="Q403" s="26" t="str">
        <f aca="false">IF(OR($D403="",$J403&lt;&gt;"Supplier"),"",IFERROR(INDEX(SupplierRates!$E$5:$E$500,MATCH($K403&amp;"|"&amp;$L403,SupplierRates!$A$5:$A$500,0)),0))</f>
        <v/>
      </c>
      <c r="R403" s="26" t="n">
        <f aca="false">IF(OR($D403="",$J403&lt;&gt;"Supplier"),0,F403*P403+G403*Q403)</f>
        <v>0</v>
      </c>
      <c r="S403" s="26" t="n">
        <f aca="false">IF(OR($D403="",$J403&lt;&gt;"Own"),0,IFERROR((F403+G403*Settings!$B$13)*INDEX(Workers!$V$5:$V$2004,MATCH($D403,Workers!$A$5:$A$2004,0)),0))</f>
        <v>0</v>
      </c>
      <c r="T403" s="26" t="str">
        <f aca="false">IF($D403="","",O403-R403-S403)</f>
        <v/>
      </c>
    </row>
    <row r="404" customFormat="false" ht="15" hidden="false" customHeight="false" outlineLevel="0" collapsed="false">
      <c r="I404" s="24" t="str">
        <f aca="false">IF($D404="","",IFERROR(INDEX(Workers!$B$5:$B$2004,MATCH($D404,Workers!$A$5:$A$2004,0)),"NOT FOUND"))</f>
        <v/>
      </c>
      <c r="J404" s="24" t="str">
        <f aca="false">IF($D404="","",IFERROR(INDEX(Workers!$C$5:$C$2004,MATCH($D404,Workers!$A$5:$A$2004,0)),""))</f>
        <v/>
      </c>
      <c r="K404" s="24" t="str">
        <f aca="false">IF($D404="","",IFERROR(IF(INDEX(Workers!$D$5:$D$2004,MATCH($D404,Workers!$A$5:$A$2004,0))=0,"",INDEX(Workers!$D$5:$D$2004,MATCH($D404,Workers!$A$5:$A$2004,0))),""))</f>
        <v/>
      </c>
      <c r="L404" s="24" t="str">
        <f aca="false">IF($D404="","",IFERROR(INDEX(Workers!$E$5:$E$2004,MATCH($D404,Workers!$A$5:$A$2004,0)),""))</f>
        <v/>
      </c>
      <c r="M404" s="26" t="str">
        <f aca="false">IF($D404="","",IFERROR(INDEX(ClientRates!$D$5:$D$500,MATCH($B404&amp;"|"&amp;$L404,ClientRates!$A$5:$A$500,0)),0))</f>
        <v/>
      </c>
      <c r="N404" s="26" t="str">
        <f aca="false">IF($D404="","",IFERROR(INDEX(ClientRates!$E$5:$E$500,MATCH($B404&amp;"|"&amp;$L404,ClientRates!$A$5:$A$500,0)),0))</f>
        <v/>
      </c>
      <c r="O404" s="26" t="str">
        <f aca="false">IF($D404="","",F404*M404+G404*N404)</f>
        <v/>
      </c>
      <c r="P404" s="26" t="str">
        <f aca="false">IF(OR($D404="",$J404&lt;&gt;"Supplier"),"",IFERROR(INDEX(SupplierRates!$D$5:$D$500,MATCH($K404&amp;"|"&amp;$L404,SupplierRates!$A$5:$A$500,0)),0))</f>
        <v/>
      </c>
      <c r="Q404" s="26" t="str">
        <f aca="false">IF(OR($D404="",$J404&lt;&gt;"Supplier"),"",IFERROR(INDEX(SupplierRates!$E$5:$E$500,MATCH($K404&amp;"|"&amp;$L404,SupplierRates!$A$5:$A$500,0)),0))</f>
        <v/>
      </c>
      <c r="R404" s="26" t="n">
        <f aca="false">IF(OR($D404="",$J404&lt;&gt;"Supplier"),0,F404*P404+G404*Q404)</f>
        <v>0</v>
      </c>
      <c r="S404" s="26" t="n">
        <f aca="false">IF(OR($D404="",$J404&lt;&gt;"Own"),0,IFERROR((F404+G404*Settings!$B$13)*INDEX(Workers!$V$5:$V$2004,MATCH($D404,Workers!$A$5:$A$2004,0)),0))</f>
        <v>0</v>
      </c>
      <c r="T404" s="26" t="str">
        <f aca="false">IF($D404="","",O404-R404-S404)</f>
        <v/>
      </c>
    </row>
    <row r="405" customFormat="false" ht="15" hidden="false" customHeight="false" outlineLevel="0" collapsed="false">
      <c r="I405" s="24" t="str">
        <f aca="false">IF($D405="","",IFERROR(INDEX(Workers!$B$5:$B$2004,MATCH($D405,Workers!$A$5:$A$2004,0)),"NOT FOUND"))</f>
        <v/>
      </c>
      <c r="J405" s="24" t="str">
        <f aca="false">IF($D405="","",IFERROR(INDEX(Workers!$C$5:$C$2004,MATCH($D405,Workers!$A$5:$A$2004,0)),""))</f>
        <v/>
      </c>
      <c r="K405" s="24" t="str">
        <f aca="false">IF($D405="","",IFERROR(IF(INDEX(Workers!$D$5:$D$2004,MATCH($D405,Workers!$A$5:$A$2004,0))=0,"",INDEX(Workers!$D$5:$D$2004,MATCH($D405,Workers!$A$5:$A$2004,0))),""))</f>
        <v/>
      </c>
      <c r="L405" s="24" t="str">
        <f aca="false">IF($D405="","",IFERROR(INDEX(Workers!$E$5:$E$2004,MATCH($D405,Workers!$A$5:$A$2004,0)),""))</f>
        <v/>
      </c>
      <c r="M405" s="26" t="str">
        <f aca="false">IF($D405="","",IFERROR(INDEX(ClientRates!$D$5:$D$500,MATCH($B405&amp;"|"&amp;$L405,ClientRates!$A$5:$A$500,0)),0))</f>
        <v/>
      </c>
      <c r="N405" s="26" t="str">
        <f aca="false">IF($D405="","",IFERROR(INDEX(ClientRates!$E$5:$E$500,MATCH($B405&amp;"|"&amp;$L405,ClientRates!$A$5:$A$500,0)),0))</f>
        <v/>
      </c>
      <c r="O405" s="26" t="str">
        <f aca="false">IF($D405="","",F405*M405+G405*N405)</f>
        <v/>
      </c>
      <c r="P405" s="26" t="str">
        <f aca="false">IF(OR($D405="",$J405&lt;&gt;"Supplier"),"",IFERROR(INDEX(SupplierRates!$D$5:$D$500,MATCH($K405&amp;"|"&amp;$L405,SupplierRates!$A$5:$A$500,0)),0))</f>
        <v/>
      </c>
      <c r="Q405" s="26" t="str">
        <f aca="false">IF(OR($D405="",$J405&lt;&gt;"Supplier"),"",IFERROR(INDEX(SupplierRates!$E$5:$E$500,MATCH($K405&amp;"|"&amp;$L405,SupplierRates!$A$5:$A$500,0)),0))</f>
        <v/>
      </c>
      <c r="R405" s="26" t="n">
        <f aca="false">IF(OR($D405="",$J405&lt;&gt;"Supplier"),0,F405*P405+G405*Q405)</f>
        <v>0</v>
      </c>
      <c r="S405" s="26" t="n">
        <f aca="false">IF(OR($D405="",$J405&lt;&gt;"Own"),0,IFERROR((F405+G405*Settings!$B$13)*INDEX(Workers!$V$5:$V$2004,MATCH($D405,Workers!$A$5:$A$2004,0)),0))</f>
        <v>0</v>
      </c>
      <c r="T405" s="26" t="str">
        <f aca="false">IF($D405="","",O405-R405-S405)</f>
        <v/>
      </c>
    </row>
    <row r="406" customFormat="false" ht="15" hidden="false" customHeight="false" outlineLevel="0" collapsed="false">
      <c r="I406" s="24" t="str">
        <f aca="false">IF($D406="","",IFERROR(INDEX(Workers!$B$5:$B$2004,MATCH($D406,Workers!$A$5:$A$2004,0)),"NOT FOUND"))</f>
        <v/>
      </c>
      <c r="J406" s="24" t="str">
        <f aca="false">IF($D406="","",IFERROR(INDEX(Workers!$C$5:$C$2004,MATCH($D406,Workers!$A$5:$A$2004,0)),""))</f>
        <v/>
      </c>
      <c r="K406" s="24" t="str">
        <f aca="false">IF($D406="","",IFERROR(IF(INDEX(Workers!$D$5:$D$2004,MATCH($D406,Workers!$A$5:$A$2004,0))=0,"",INDEX(Workers!$D$5:$D$2004,MATCH($D406,Workers!$A$5:$A$2004,0))),""))</f>
        <v/>
      </c>
      <c r="L406" s="24" t="str">
        <f aca="false">IF($D406="","",IFERROR(INDEX(Workers!$E$5:$E$2004,MATCH($D406,Workers!$A$5:$A$2004,0)),""))</f>
        <v/>
      </c>
      <c r="M406" s="26" t="str">
        <f aca="false">IF($D406="","",IFERROR(INDEX(ClientRates!$D$5:$D$500,MATCH($B406&amp;"|"&amp;$L406,ClientRates!$A$5:$A$500,0)),0))</f>
        <v/>
      </c>
      <c r="N406" s="26" t="str">
        <f aca="false">IF($D406="","",IFERROR(INDEX(ClientRates!$E$5:$E$500,MATCH($B406&amp;"|"&amp;$L406,ClientRates!$A$5:$A$500,0)),0))</f>
        <v/>
      </c>
      <c r="O406" s="26" t="str">
        <f aca="false">IF($D406="","",F406*M406+G406*N406)</f>
        <v/>
      </c>
      <c r="P406" s="26" t="str">
        <f aca="false">IF(OR($D406="",$J406&lt;&gt;"Supplier"),"",IFERROR(INDEX(SupplierRates!$D$5:$D$500,MATCH($K406&amp;"|"&amp;$L406,SupplierRates!$A$5:$A$500,0)),0))</f>
        <v/>
      </c>
      <c r="Q406" s="26" t="str">
        <f aca="false">IF(OR($D406="",$J406&lt;&gt;"Supplier"),"",IFERROR(INDEX(SupplierRates!$E$5:$E$500,MATCH($K406&amp;"|"&amp;$L406,SupplierRates!$A$5:$A$500,0)),0))</f>
        <v/>
      </c>
      <c r="R406" s="26" t="n">
        <f aca="false">IF(OR($D406="",$J406&lt;&gt;"Supplier"),0,F406*P406+G406*Q406)</f>
        <v>0</v>
      </c>
      <c r="S406" s="26" t="n">
        <f aca="false">IF(OR($D406="",$J406&lt;&gt;"Own"),0,IFERROR((F406+G406*Settings!$B$13)*INDEX(Workers!$V$5:$V$2004,MATCH($D406,Workers!$A$5:$A$2004,0)),0))</f>
        <v>0</v>
      </c>
      <c r="T406" s="26" t="str">
        <f aca="false">IF($D406="","",O406-R406-S406)</f>
        <v/>
      </c>
    </row>
    <row r="407" customFormat="false" ht="15" hidden="false" customHeight="false" outlineLevel="0" collapsed="false">
      <c r="I407" s="24" t="str">
        <f aca="false">IF($D407="","",IFERROR(INDEX(Workers!$B$5:$B$2004,MATCH($D407,Workers!$A$5:$A$2004,0)),"NOT FOUND"))</f>
        <v/>
      </c>
      <c r="J407" s="24" t="str">
        <f aca="false">IF($D407="","",IFERROR(INDEX(Workers!$C$5:$C$2004,MATCH($D407,Workers!$A$5:$A$2004,0)),""))</f>
        <v/>
      </c>
      <c r="K407" s="24" t="str">
        <f aca="false">IF($D407="","",IFERROR(IF(INDEX(Workers!$D$5:$D$2004,MATCH($D407,Workers!$A$5:$A$2004,0))=0,"",INDEX(Workers!$D$5:$D$2004,MATCH($D407,Workers!$A$5:$A$2004,0))),""))</f>
        <v/>
      </c>
      <c r="L407" s="24" t="str">
        <f aca="false">IF($D407="","",IFERROR(INDEX(Workers!$E$5:$E$2004,MATCH($D407,Workers!$A$5:$A$2004,0)),""))</f>
        <v/>
      </c>
      <c r="M407" s="26" t="str">
        <f aca="false">IF($D407="","",IFERROR(INDEX(ClientRates!$D$5:$D$500,MATCH($B407&amp;"|"&amp;$L407,ClientRates!$A$5:$A$500,0)),0))</f>
        <v/>
      </c>
      <c r="N407" s="26" t="str">
        <f aca="false">IF($D407="","",IFERROR(INDEX(ClientRates!$E$5:$E$500,MATCH($B407&amp;"|"&amp;$L407,ClientRates!$A$5:$A$500,0)),0))</f>
        <v/>
      </c>
      <c r="O407" s="26" t="str">
        <f aca="false">IF($D407="","",F407*M407+G407*N407)</f>
        <v/>
      </c>
      <c r="P407" s="26" t="str">
        <f aca="false">IF(OR($D407="",$J407&lt;&gt;"Supplier"),"",IFERROR(INDEX(SupplierRates!$D$5:$D$500,MATCH($K407&amp;"|"&amp;$L407,SupplierRates!$A$5:$A$500,0)),0))</f>
        <v/>
      </c>
      <c r="Q407" s="26" t="str">
        <f aca="false">IF(OR($D407="",$J407&lt;&gt;"Supplier"),"",IFERROR(INDEX(SupplierRates!$E$5:$E$500,MATCH($K407&amp;"|"&amp;$L407,SupplierRates!$A$5:$A$500,0)),0))</f>
        <v/>
      </c>
      <c r="R407" s="26" t="n">
        <f aca="false">IF(OR($D407="",$J407&lt;&gt;"Supplier"),0,F407*P407+G407*Q407)</f>
        <v>0</v>
      </c>
      <c r="S407" s="26" t="n">
        <f aca="false">IF(OR($D407="",$J407&lt;&gt;"Own"),0,IFERROR((F407+G407*Settings!$B$13)*INDEX(Workers!$V$5:$V$2004,MATCH($D407,Workers!$A$5:$A$2004,0)),0))</f>
        <v>0</v>
      </c>
      <c r="T407" s="26" t="str">
        <f aca="false">IF($D407="","",O407-R407-S407)</f>
        <v/>
      </c>
    </row>
    <row r="408" customFormat="false" ht="15" hidden="false" customHeight="false" outlineLevel="0" collapsed="false">
      <c r="I408" s="24" t="str">
        <f aca="false">IF($D408="","",IFERROR(INDEX(Workers!$B$5:$B$2004,MATCH($D408,Workers!$A$5:$A$2004,0)),"NOT FOUND"))</f>
        <v/>
      </c>
      <c r="J408" s="24" t="str">
        <f aca="false">IF($D408="","",IFERROR(INDEX(Workers!$C$5:$C$2004,MATCH($D408,Workers!$A$5:$A$2004,0)),""))</f>
        <v/>
      </c>
      <c r="K408" s="24" t="str">
        <f aca="false">IF($D408="","",IFERROR(IF(INDEX(Workers!$D$5:$D$2004,MATCH($D408,Workers!$A$5:$A$2004,0))=0,"",INDEX(Workers!$D$5:$D$2004,MATCH($D408,Workers!$A$5:$A$2004,0))),""))</f>
        <v/>
      </c>
      <c r="L408" s="24" t="str">
        <f aca="false">IF($D408="","",IFERROR(INDEX(Workers!$E$5:$E$2004,MATCH($D408,Workers!$A$5:$A$2004,0)),""))</f>
        <v/>
      </c>
      <c r="M408" s="26" t="str">
        <f aca="false">IF($D408="","",IFERROR(INDEX(ClientRates!$D$5:$D$500,MATCH($B408&amp;"|"&amp;$L408,ClientRates!$A$5:$A$500,0)),0))</f>
        <v/>
      </c>
      <c r="N408" s="26" t="str">
        <f aca="false">IF($D408="","",IFERROR(INDEX(ClientRates!$E$5:$E$500,MATCH($B408&amp;"|"&amp;$L408,ClientRates!$A$5:$A$500,0)),0))</f>
        <v/>
      </c>
      <c r="O408" s="26" t="str">
        <f aca="false">IF($D408="","",F408*M408+G408*N408)</f>
        <v/>
      </c>
      <c r="P408" s="26" t="str">
        <f aca="false">IF(OR($D408="",$J408&lt;&gt;"Supplier"),"",IFERROR(INDEX(SupplierRates!$D$5:$D$500,MATCH($K408&amp;"|"&amp;$L408,SupplierRates!$A$5:$A$500,0)),0))</f>
        <v/>
      </c>
      <c r="Q408" s="26" t="str">
        <f aca="false">IF(OR($D408="",$J408&lt;&gt;"Supplier"),"",IFERROR(INDEX(SupplierRates!$E$5:$E$500,MATCH($K408&amp;"|"&amp;$L408,SupplierRates!$A$5:$A$500,0)),0))</f>
        <v/>
      </c>
      <c r="R408" s="26" t="n">
        <f aca="false">IF(OR($D408="",$J408&lt;&gt;"Supplier"),0,F408*P408+G408*Q408)</f>
        <v>0</v>
      </c>
      <c r="S408" s="26" t="n">
        <f aca="false">IF(OR($D408="",$J408&lt;&gt;"Own"),0,IFERROR((F408+G408*Settings!$B$13)*INDEX(Workers!$V$5:$V$2004,MATCH($D408,Workers!$A$5:$A$2004,0)),0))</f>
        <v>0</v>
      </c>
      <c r="T408" s="26" t="str">
        <f aca="false">IF($D408="","",O408-R408-S408)</f>
        <v/>
      </c>
    </row>
    <row r="409" customFormat="false" ht="15" hidden="false" customHeight="false" outlineLevel="0" collapsed="false">
      <c r="I409" s="24" t="str">
        <f aca="false">IF($D409="","",IFERROR(INDEX(Workers!$B$5:$B$2004,MATCH($D409,Workers!$A$5:$A$2004,0)),"NOT FOUND"))</f>
        <v/>
      </c>
      <c r="J409" s="24" t="str">
        <f aca="false">IF($D409="","",IFERROR(INDEX(Workers!$C$5:$C$2004,MATCH($D409,Workers!$A$5:$A$2004,0)),""))</f>
        <v/>
      </c>
      <c r="K409" s="24" t="str">
        <f aca="false">IF($D409="","",IFERROR(IF(INDEX(Workers!$D$5:$D$2004,MATCH($D409,Workers!$A$5:$A$2004,0))=0,"",INDEX(Workers!$D$5:$D$2004,MATCH($D409,Workers!$A$5:$A$2004,0))),""))</f>
        <v/>
      </c>
      <c r="L409" s="24" t="str">
        <f aca="false">IF($D409="","",IFERROR(INDEX(Workers!$E$5:$E$2004,MATCH($D409,Workers!$A$5:$A$2004,0)),""))</f>
        <v/>
      </c>
      <c r="M409" s="26" t="str">
        <f aca="false">IF($D409="","",IFERROR(INDEX(ClientRates!$D$5:$D$500,MATCH($B409&amp;"|"&amp;$L409,ClientRates!$A$5:$A$500,0)),0))</f>
        <v/>
      </c>
      <c r="N409" s="26" t="str">
        <f aca="false">IF($D409="","",IFERROR(INDEX(ClientRates!$E$5:$E$500,MATCH($B409&amp;"|"&amp;$L409,ClientRates!$A$5:$A$500,0)),0))</f>
        <v/>
      </c>
      <c r="O409" s="26" t="str">
        <f aca="false">IF($D409="","",F409*M409+G409*N409)</f>
        <v/>
      </c>
      <c r="P409" s="26" t="str">
        <f aca="false">IF(OR($D409="",$J409&lt;&gt;"Supplier"),"",IFERROR(INDEX(SupplierRates!$D$5:$D$500,MATCH($K409&amp;"|"&amp;$L409,SupplierRates!$A$5:$A$500,0)),0))</f>
        <v/>
      </c>
      <c r="Q409" s="26" t="str">
        <f aca="false">IF(OR($D409="",$J409&lt;&gt;"Supplier"),"",IFERROR(INDEX(SupplierRates!$E$5:$E$500,MATCH($K409&amp;"|"&amp;$L409,SupplierRates!$A$5:$A$500,0)),0))</f>
        <v/>
      </c>
      <c r="R409" s="26" t="n">
        <f aca="false">IF(OR($D409="",$J409&lt;&gt;"Supplier"),0,F409*P409+G409*Q409)</f>
        <v>0</v>
      </c>
      <c r="S409" s="26" t="n">
        <f aca="false">IF(OR($D409="",$J409&lt;&gt;"Own"),0,IFERROR((F409+G409*Settings!$B$13)*INDEX(Workers!$V$5:$V$2004,MATCH($D409,Workers!$A$5:$A$2004,0)),0))</f>
        <v>0</v>
      </c>
      <c r="T409" s="26" t="str">
        <f aca="false">IF($D409="","",O409-R409-S409)</f>
        <v/>
      </c>
    </row>
    <row r="410" customFormat="false" ht="15" hidden="false" customHeight="false" outlineLevel="0" collapsed="false">
      <c r="I410" s="24" t="str">
        <f aca="false">IF($D410="","",IFERROR(INDEX(Workers!$B$5:$B$2004,MATCH($D410,Workers!$A$5:$A$2004,0)),"NOT FOUND"))</f>
        <v/>
      </c>
      <c r="J410" s="24" t="str">
        <f aca="false">IF($D410="","",IFERROR(INDEX(Workers!$C$5:$C$2004,MATCH($D410,Workers!$A$5:$A$2004,0)),""))</f>
        <v/>
      </c>
      <c r="K410" s="24" t="str">
        <f aca="false">IF($D410="","",IFERROR(IF(INDEX(Workers!$D$5:$D$2004,MATCH($D410,Workers!$A$5:$A$2004,0))=0,"",INDEX(Workers!$D$5:$D$2004,MATCH($D410,Workers!$A$5:$A$2004,0))),""))</f>
        <v/>
      </c>
      <c r="L410" s="24" t="str">
        <f aca="false">IF($D410="","",IFERROR(INDEX(Workers!$E$5:$E$2004,MATCH($D410,Workers!$A$5:$A$2004,0)),""))</f>
        <v/>
      </c>
      <c r="M410" s="26" t="str">
        <f aca="false">IF($D410="","",IFERROR(INDEX(ClientRates!$D$5:$D$500,MATCH($B410&amp;"|"&amp;$L410,ClientRates!$A$5:$A$500,0)),0))</f>
        <v/>
      </c>
      <c r="N410" s="26" t="str">
        <f aca="false">IF($D410="","",IFERROR(INDEX(ClientRates!$E$5:$E$500,MATCH($B410&amp;"|"&amp;$L410,ClientRates!$A$5:$A$500,0)),0))</f>
        <v/>
      </c>
      <c r="O410" s="26" t="str">
        <f aca="false">IF($D410="","",F410*M410+G410*N410)</f>
        <v/>
      </c>
      <c r="P410" s="26" t="str">
        <f aca="false">IF(OR($D410="",$J410&lt;&gt;"Supplier"),"",IFERROR(INDEX(SupplierRates!$D$5:$D$500,MATCH($K410&amp;"|"&amp;$L410,SupplierRates!$A$5:$A$500,0)),0))</f>
        <v/>
      </c>
      <c r="Q410" s="26" t="str">
        <f aca="false">IF(OR($D410="",$J410&lt;&gt;"Supplier"),"",IFERROR(INDEX(SupplierRates!$E$5:$E$500,MATCH($K410&amp;"|"&amp;$L410,SupplierRates!$A$5:$A$500,0)),0))</f>
        <v/>
      </c>
      <c r="R410" s="26" t="n">
        <f aca="false">IF(OR($D410="",$J410&lt;&gt;"Supplier"),0,F410*P410+G410*Q410)</f>
        <v>0</v>
      </c>
      <c r="S410" s="26" t="n">
        <f aca="false">IF(OR($D410="",$J410&lt;&gt;"Own"),0,IFERROR((F410+G410*Settings!$B$13)*INDEX(Workers!$V$5:$V$2004,MATCH($D410,Workers!$A$5:$A$2004,0)),0))</f>
        <v>0</v>
      </c>
      <c r="T410" s="26" t="str">
        <f aca="false">IF($D410="","",O410-R410-S410)</f>
        <v/>
      </c>
    </row>
    <row r="411" customFormat="false" ht="15" hidden="false" customHeight="false" outlineLevel="0" collapsed="false">
      <c r="I411" s="24" t="str">
        <f aca="false">IF($D411="","",IFERROR(INDEX(Workers!$B$5:$B$2004,MATCH($D411,Workers!$A$5:$A$2004,0)),"NOT FOUND"))</f>
        <v/>
      </c>
      <c r="J411" s="24" t="str">
        <f aca="false">IF($D411="","",IFERROR(INDEX(Workers!$C$5:$C$2004,MATCH($D411,Workers!$A$5:$A$2004,0)),""))</f>
        <v/>
      </c>
      <c r="K411" s="24" t="str">
        <f aca="false">IF($D411="","",IFERROR(IF(INDEX(Workers!$D$5:$D$2004,MATCH($D411,Workers!$A$5:$A$2004,0))=0,"",INDEX(Workers!$D$5:$D$2004,MATCH($D411,Workers!$A$5:$A$2004,0))),""))</f>
        <v/>
      </c>
      <c r="L411" s="24" t="str">
        <f aca="false">IF($D411="","",IFERROR(INDEX(Workers!$E$5:$E$2004,MATCH($D411,Workers!$A$5:$A$2004,0)),""))</f>
        <v/>
      </c>
      <c r="M411" s="26" t="str">
        <f aca="false">IF($D411="","",IFERROR(INDEX(ClientRates!$D$5:$D$500,MATCH($B411&amp;"|"&amp;$L411,ClientRates!$A$5:$A$500,0)),0))</f>
        <v/>
      </c>
      <c r="N411" s="26" t="str">
        <f aca="false">IF($D411="","",IFERROR(INDEX(ClientRates!$E$5:$E$500,MATCH($B411&amp;"|"&amp;$L411,ClientRates!$A$5:$A$500,0)),0))</f>
        <v/>
      </c>
      <c r="O411" s="26" t="str">
        <f aca="false">IF($D411="","",F411*M411+G411*N411)</f>
        <v/>
      </c>
      <c r="P411" s="26" t="str">
        <f aca="false">IF(OR($D411="",$J411&lt;&gt;"Supplier"),"",IFERROR(INDEX(SupplierRates!$D$5:$D$500,MATCH($K411&amp;"|"&amp;$L411,SupplierRates!$A$5:$A$500,0)),0))</f>
        <v/>
      </c>
      <c r="Q411" s="26" t="str">
        <f aca="false">IF(OR($D411="",$J411&lt;&gt;"Supplier"),"",IFERROR(INDEX(SupplierRates!$E$5:$E$500,MATCH($K411&amp;"|"&amp;$L411,SupplierRates!$A$5:$A$500,0)),0))</f>
        <v/>
      </c>
      <c r="R411" s="26" t="n">
        <f aca="false">IF(OR($D411="",$J411&lt;&gt;"Supplier"),0,F411*P411+G411*Q411)</f>
        <v>0</v>
      </c>
      <c r="S411" s="26" t="n">
        <f aca="false">IF(OR($D411="",$J411&lt;&gt;"Own"),0,IFERROR((F411+G411*Settings!$B$13)*INDEX(Workers!$V$5:$V$2004,MATCH($D411,Workers!$A$5:$A$2004,0)),0))</f>
        <v>0</v>
      </c>
      <c r="T411" s="26" t="str">
        <f aca="false">IF($D411="","",O411-R411-S411)</f>
        <v/>
      </c>
    </row>
    <row r="412" customFormat="false" ht="15" hidden="false" customHeight="false" outlineLevel="0" collapsed="false">
      <c r="I412" s="24" t="str">
        <f aca="false">IF($D412="","",IFERROR(INDEX(Workers!$B$5:$B$2004,MATCH($D412,Workers!$A$5:$A$2004,0)),"NOT FOUND"))</f>
        <v/>
      </c>
      <c r="J412" s="24" t="str">
        <f aca="false">IF($D412="","",IFERROR(INDEX(Workers!$C$5:$C$2004,MATCH($D412,Workers!$A$5:$A$2004,0)),""))</f>
        <v/>
      </c>
      <c r="K412" s="24" t="str">
        <f aca="false">IF($D412="","",IFERROR(IF(INDEX(Workers!$D$5:$D$2004,MATCH($D412,Workers!$A$5:$A$2004,0))=0,"",INDEX(Workers!$D$5:$D$2004,MATCH($D412,Workers!$A$5:$A$2004,0))),""))</f>
        <v/>
      </c>
      <c r="L412" s="24" t="str">
        <f aca="false">IF($D412="","",IFERROR(INDEX(Workers!$E$5:$E$2004,MATCH($D412,Workers!$A$5:$A$2004,0)),""))</f>
        <v/>
      </c>
      <c r="M412" s="26" t="str">
        <f aca="false">IF($D412="","",IFERROR(INDEX(ClientRates!$D$5:$D$500,MATCH($B412&amp;"|"&amp;$L412,ClientRates!$A$5:$A$500,0)),0))</f>
        <v/>
      </c>
      <c r="N412" s="26" t="str">
        <f aca="false">IF($D412="","",IFERROR(INDEX(ClientRates!$E$5:$E$500,MATCH($B412&amp;"|"&amp;$L412,ClientRates!$A$5:$A$500,0)),0))</f>
        <v/>
      </c>
      <c r="O412" s="26" t="str">
        <f aca="false">IF($D412="","",F412*M412+G412*N412)</f>
        <v/>
      </c>
      <c r="P412" s="26" t="str">
        <f aca="false">IF(OR($D412="",$J412&lt;&gt;"Supplier"),"",IFERROR(INDEX(SupplierRates!$D$5:$D$500,MATCH($K412&amp;"|"&amp;$L412,SupplierRates!$A$5:$A$500,0)),0))</f>
        <v/>
      </c>
      <c r="Q412" s="26" t="str">
        <f aca="false">IF(OR($D412="",$J412&lt;&gt;"Supplier"),"",IFERROR(INDEX(SupplierRates!$E$5:$E$500,MATCH($K412&amp;"|"&amp;$L412,SupplierRates!$A$5:$A$500,0)),0))</f>
        <v/>
      </c>
      <c r="R412" s="26" t="n">
        <f aca="false">IF(OR($D412="",$J412&lt;&gt;"Supplier"),0,F412*P412+G412*Q412)</f>
        <v>0</v>
      </c>
      <c r="S412" s="26" t="n">
        <f aca="false">IF(OR($D412="",$J412&lt;&gt;"Own"),0,IFERROR((F412+G412*Settings!$B$13)*INDEX(Workers!$V$5:$V$2004,MATCH($D412,Workers!$A$5:$A$2004,0)),0))</f>
        <v>0</v>
      </c>
      <c r="T412" s="26" t="str">
        <f aca="false">IF($D412="","",O412-R412-S412)</f>
        <v/>
      </c>
    </row>
    <row r="413" customFormat="false" ht="15" hidden="false" customHeight="false" outlineLevel="0" collapsed="false">
      <c r="I413" s="24" t="str">
        <f aca="false">IF($D413="","",IFERROR(INDEX(Workers!$B$5:$B$2004,MATCH($D413,Workers!$A$5:$A$2004,0)),"NOT FOUND"))</f>
        <v/>
      </c>
      <c r="J413" s="24" t="str">
        <f aca="false">IF($D413="","",IFERROR(INDEX(Workers!$C$5:$C$2004,MATCH($D413,Workers!$A$5:$A$2004,0)),""))</f>
        <v/>
      </c>
      <c r="K413" s="24" t="str">
        <f aca="false">IF($D413="","",IFERROR(IF(INDEX(Workers!$D$5:$D$2004,MATCH($D413,Workers!$A$5:$A$2004,0))=0,"",INDEX(Workers!$D$5:$D$2004,MATCH($D413,Workers!$A$5:$A$2004,0))),""))</f>
        <v/>
      </c>
      <c r="L413" s="24" t="str">
        <f aca="false">IF($D413="","",IFERROR(INDEX(Workers!$E$5:$E$2004,MATCH($D413,Workers!$A$5:$A$2004,0)),""))</f>
        <v/>
      </c>
      <c r="M413" s="26" t="str">
        <f aca="false">IF($D413="","",IFERROR(INDEX(ClientRates!$D$5:$D$500,MATCH($B413&amp;"|"&amp;$L413,ClientRates!$A$5:$A$500,0)),0))</f>
        <v/>
      </c>
      <c r="N413" s="26" t="str">
        <f aca="false">IF($D413="","",IFERROR(INDEX(ClientRates!$E$5:$E$500,MATCH($B413&amp;"|"&amp;$L413,ClientRates!$A$5:$A$500,0)),0))</f>
        <v/>
      </c>
      <c r="O413" s="26" t="str">
        <f aca="false">IF($D413="","",F413*M413+G413*N413)</f>
        <v/>
      </c>
      <c r="P413" s="26" t="str">
        <f aca="false">IF(OR($D413="",$J413&lt;&gt;"Supplier"),"",IFERROR(INDEX(SupplierRates!$D$5:$D$500,MATCH($K413&amp;"|"&amp;$L413,SupplierRates!$A$5:$A$500,0)),0))</f>
        <v/>
      </c>
      <c r="Q413" s="26" t="str">
        <f aca="false">IF(OR($D413="",$J413&lt;&gt;"Supplier"),"",IFERROR(INDEX(SupplierRates!$E$5:$E$500,MATCH($K413&amp;"|"&amp;$L413,SupplierRates!$A$5:$A$500,0)),0))</f>
        <v/>
      </c>
      <c r="R413" s="26" t="n">
        <f aca="false">IF(OR($D413="",$J413&lt;&gt;"Supplier"),0,F413*P413+G413*Q413)</f>
        <v>0</v>
      </c>
      <c r="S413" s="26" t="n">
        <f aca="false">IF(OR($D413="",$J413&lt;&gt;"Own"),0,IFERROR((F413+G413*Settings!$B$13)*INDEX(Workers!$V$5:$V$2004,MATCH($D413,Workers!$A$5:$A$2004,0)),0))</f>
        <v>0</v>
      </c>
      <c r="T413" s="26" t="str">
        <f aca="false">IF($D413="","",O413-R413-S413)</f>
        <v/>
      </c>
    </row>
    <row r="414" customFormat="false" ht="15" hidden="false" customHeight="false" outlineLevel="0" collapsed="false">
      <c r="I414" s="24" t="str">
        <f aca="false">IF($D414="","",IFERROR(INDEX(Workers!$B$5:$B$2004,MATCH($D414,Workers!$A$5:$A$2004,0)),"NOT FOUND"))</f>
        <v/>
      </c>
      <c r="J414" s="24" t="str">
        <f aca="false">IF($D414="","",IFERROR(INDEX(Workers!$C$5:$C$2004,MATCH($D414,Workers!$A$5:$A$2004,0)),""))</f>
        <v/>
      </c>
      <c r="K414" s="24" t="str">
        <f aca="false">IF($D414="","",IFERROR(IF(INDEX(Workers!$D$5:$D$2004,MATCH($D414,Workers!$A$5:$A$2004,0))=0,"",INDEX(Workers!$D$5:$D$2004,MATCH($D414,Workers!$A$5:$A$2004,0))),""))</f>
        <v/>
      </c>
      <c r="L414" s="24" t="str">
        <f aca="false">IF($D414="","",IFERROR(INDEX(Workers!$E$5:$E$2004,MATCH($D414,Workers!$A$5:$A$2004,0)),""))</f>
        <v/>
      </c>
      <c r="M414" s="26" t="str">
        <f aca="false">IF($D414="","",IFERROR(INDEX(ClientRates!$D$5:$D$500,MATCH($B414&amp;"|"&amp;$L414,ClientRates!$A$5:$A$500,0)),0))</f>
        <v/>
      </c>
      <c r="N414" s="26" t="str">
        <f aca="false">IF($D414="","",IFERROR(INDEX(ClientRates!$E$5:$E$500,MATCH($B414&amp;"|"&amp;$L414,ClientRates!$A$5:$A$500,0)),0))</f>
        <v/>
      </c>
      <c r="O414" s="26" t="str">
        <f aca="false">IF($D414="","",F414*M414+G414*N414)</f>
        <v/>
      </c>
      <c r="P414" s="26" t="str">
        <f aca="false">IF(OR($D414="",$J414&lt;&gt;"Supplier"),"",IFERROR(INDEX(SupplierRates!$D$5:$D$500,MATCH($K414&amp;"|"&amp;$L414,SupplierRates!$A$5:$A$500,0)),0))</f>
        <v/>
      </c>
      <c r="Q414" s="26" t="str">
        <f aca="false">IF(OR($D414="",$J414&lt;&gt;"Supplier"),"",IFERROR(INDEX(SupplierRates!$E$5:$E$500,MATCH($K414&amp;"|"&amp;$L414,SupplierRates!$A$5:$A$500,0)),0))</f>
        <v/>
      </c>
      <c r="R414" s="26" t="n">
        <f aca="false">IF(OR($D414="",$J414&lt;&gt;"Supplier"),0,F414*P414+G414*Q414)</f>
        <v>0</v>
      </c>
      <c r="S414" s="26" t="n">
        <f aca="false">IF(OR($D414="",$J414&lt;&gt;"Own"),0,IFERROR((F414+G414*Settings!$B$13)*INDEX(Workers!$V$5:$V$2004,MATCH($D414,Workers!$A$5:$A$2004,0)),0))</f>
        <v>0</v>
      </c>
      <c r="T414" s="26" t="str">
        <f aca="false">IF($D414="","",O414-R414-S414)</f>
        <v/>
      </c>
    </row>
    <row r="415" customFormat="false" ht="15" hidden="false" customHeight="false" outlineLevel="0" collapsed="false">
      <c r="I415" s="24" t="str">
        <f aca="false">IF($D415="","",IFERROR(INDEX(Workers!$B$5:$B$2004,MATCH($D415,Workers!$A$5:$A$2004,0)),"NOT FOUND"))</f>
        <v/>
      </c>
      <c r="J415" s="24" t="str">
        <f aca="false">IF($D415="","",IFERROR(INDEX(Workers!$C$5:$C$2004,MATCH($D415,Workers!$A$5:$A$2004,0)),""))</f>
        <v/>
      </c>
      <c r="K415" s="24" t="str">
        <f aca="false">IF($D415="","",IFERROR(IF(INDEX(Workers!$D$5:$D$2004,MATCH($D415,Workers!$A$5:$A$2004,0))=0,"",INDEX(Workers!$D$5:$D$2004,MATCH($D415,Workers!$A$5:$A$2004,0))),""))</f>
        <v/>
      </c>
      <c r="L415" s="24" t="str">
        <f aca="false">IF($D415="","",IFERROR(INDEX(Workers!$E$5:$E$2004,MATCH($D415,Workers!$A$5:$A$2004,0)),""))</f>
        <v/>
      </c>
      <c r="M415" s="26" t="str">
        <f aca="false">IF($D415="","",IFERROR(INDEX(ClientRates!$D$5:$D$500,MATCH($B415&amp;"|"&amp;$L415,ClientRates!$A$5:$A$500,0)),0))</f>
        <v/>
      </c>
      <c r="N415" s="26" t="str">
        <f aca="false">IF($D415="","",IFERROR(INDEX(ClientRates!$E$5:$E$500,MATCH($B415&amp;"|"&amp;$L415,ClientRates!$A$5:$A$500,0)),0))</f>
        <v/>
      </c>
      <c r="O415" s="26" t="str">
        <f aca="false">IF($D415="","",F415*M415+G415*N415)</f>
        <v/>
      </c>
      <c r="P415" s="26" t="str">
        <f aca="false">IF(OR($D415="",$J415&lt;&gt;"Supplier"),"",IFERROR(INDEX(SupplierRates!$D$5:$D$500,MATCH($K415&amp;"|"&amp;$L415,SupplierRates!$A$5:$A$500,0)),0))</f>
        <v/>
      </c>
      <c r="Q415" s="26" t="str">
        <f aca="false">IF(OR($D415="",$J415&lt;&gt;"Supplier"),"",IFERROR(INDEX(SupplierRates!$E$5:$E$500,MATCH($K415&amp;"|"&amp;$L415,SupplierRates!$A$5:$A$500,0)),0))</f>
        <v/>
      </c>
      <c r="R415" s="26" t="n">
        <f aca="false">IF(OR($D415="",$J415&lt;&gt;"Supplier"),0,F415*P415+G415*Q415)</f>
        <v>0</v>
      </c>
      <c r="S415" s="26" t="n">
        <f aca="false">IF(OR($D415="",$J415&lt;&gt;"Own"),0,IFERROR((F415+G415*Settings!$B$13)*INDEX(Workers!$V$5:$V$2004,MATCH($D415,Workers!$A$5:$A$2004,0)),0))</f>
        <v>0</v>
      </c>
      <c r="T415" s="26" t="str">
        <f aca="false">IF($D415="","",O415-R415-S415)</f>
        <v/>
      </c>
    </row>
    <row r="416" customFormat="false" ht="15" hidden="false" customHeight="false" outlineLevel="0" collapsed="false">
      <c r="I416" s="24" t="str">
        <f aca="false">IF($D416="","",IFERROR(INDEX(Workers!$B$5:$B$2004,MATCH($D416,Workers!$A$5:$A$2004,0)),"NOT FOUND"))</f>
        <v/>
      </c>
      <c r="J416" s="24" t="str">
        <f aca="false">IF($D416="","",IFERROR(INDEX(Workers!$C$5:$C$2004,MATCH($D416,Workers!$A$5:$A$2004,0)),""))</f>
        <v/>
      </c>
      <c r="K416" s="24" t="str">
        <f aca="false">IF($D416="","",IFERROR(IF(INDEX(Workers!$D$5:$D$2004,MATCH($D416,Workers!$A$5:$A$2004,0))=0,"",INDEX(Workers!$D$5:$D$2004,MATCH($D416,Workers!$A$5:$A$2004,0))),""))</f>
        <v/>
      </c>
      <c r="L416" s="24" t="str">
        <f aca="false">IF($D416="","",IFERROR(INDEX(Workers!$E$5:$E$2004,MATCH($D416,Workers!$A$5:$A$2004,0)),""))</f>
        <v/>
      </c>
      <c r="M416" s="26" t="str">
        <f aca="false">IF($D416="","",IFERROR(INDEX(ClientRates!$D$5:$D$500,MATCH($B416&amp;"|"&amp;$L416,ClientRates!$A$5:$A$500,0)),0))</f>
        <v/>
      </c>
      <c r="N416" s="26" t="str">
        <f aca="false">IF($D416="","",IFERROR(INDEX(ClientRates!$E$5:$E$500,MATCH($B416&amp;"|"&amp;$L416,ClientRates!$A$5:$A$500,0)),0))</f>
        <v/>
      </c>
      <c r="O416" s="26" t="str">
        <f aca="false">IF($D416="","",F416*M416+G416*N416)</f>
        <v/>
      </c>
      <c r="P416" s="26" t="str">
        <f aca="false">IF(OR($D416="",$J416&lt;&gt;"Supplier"),"",IFERROR(INDEX(SupplierRates!$D$5:$D$500,MATCH($K416&amp;"|"&amp;$L416,SupplierRates!$A$5:$A$500,0)),0))</f>
        <v/>
      </c>
      <c r="Q416" s="26" t="str">
        <f aca="false">IF(OR($D416="",$J416&lt;&gt;"Supplier"),"",IFERROR(INDEX(SupplierRates!$E$5:$E$500,MATCH($K416&amp;"|"&amp;$L416,SupplierRates!$A$5:$A$500,0)),0))</f>
        <v/>
      </c>
      <c r="R416" s="26" t="n">
        <f aca="false">IF(OR($D416="",$J416&lt;&gt;"Supplier"),0,F416*P416+G416*Q416)</f>
        <v>0</v>
      </c>
      <c r="S416" s="26" t="n">
        <f aca="false">IF(OR($D416="",$J416&lt;&gt;"Own"),0,IFERROR((F416+G416*Settings!$B$13)*INDEX(Workers!$V$5:$V$2004,MATCH($D416,Workers!$A$5:$A$2004,0)),0))</f>
        <v>0</v>
      </c>
      <c r="T416" s="26" t="str">
        <f aca="false">IF($D416="","",O416-R416-S416)</f>
        <v/>
      </c>
    </row>
    <row r="417" customFormat="false" ht="15" hidden="false" customHeight="false" outlineLevel="0" collapsed="false">
      <c r="I417" s="24" t="str">
        <f aca="false">IF($D417="","",IFERROR(INDEX(Workers!$B$5:$B$2004,MATCH($D417,Workers!$A$5:$A$2004,0)),"NOT FOUND"))</f>
        <v/>
      </c>
      <c r="J417" s="24" t="str">
        <f aca="false">IF($D417="","",IFERROR(INDEX(Workers!$C$5:$C$2004,MATCH($D417,Workers!$A$5:$A$2004,0)),""))</f>
        <v/>
      </c>
      <c r="K417" s="24" t="str">
        <f aca="false">IF($D417="","",IFERROR(IF(INDEX(Workers!$D$5:$D$2004,MATCH($D417,Workers!$A$5:$A$2004,0))=0,"",INDEX(Workers!$D$5:$D$2004,MATCH($D417,Workers!$A$5:$A$2004,0))),""))</f>
        <v/>
      </c>
      <c r="L417" s="24" t="str">
        <f aca="false">IF($D417="","",IFERROR(INDEX(Workers!$E$5:$E$2004,MATCH($D417,Workers!$A$5:$A$2004,0)),""))</f>
        <v/>
      </c>
      <c r="M417" s="26" t="str">
        <f aca="false">IF($D417="","",IFERROR(INDEX(ClientRates!$D$5:$D$500,MATCH($B417&amp;"|"&amp;$L417,ClientRates!$A$5:$A$500,0)),0))</f>
        <v/>
      </c>
      <c r="N417" s="26" t="str">
        <f aca="false">IF($D417="","",IFERROR(INDEX(ClientRates!$E$5:$E$500,MATCH($B417&amp;"|"&amp;$L417,ClientRates!$A$5:$A$500,0)),0))</f>
        <v/>
      </c>
      <c r="O417" s="26" t="str">
        <f aca="false">IF($D417="","",F417*M417+G417*N417)</f>
        <v/>
      </c>
      <c r="P417" s="26" t="str">
        <f aca="false">IF(OR($D417="",$J417&lt;&gt;"Supplier"),"",IFERROR(INDEX(SupplierRates!$D$5:$D$500,MATCH($K417&amp;"|"&amp;$L417,SupplierRates!$A$5:$A$500,0)),0))</f>
        <v/>
      </c>
      <c r="Q417" s="26" t="str">
        <f aca="false">IF(OR($D417="",$J417&lt;&gt;"Supplier"),"",IFERROR(INDEX(SupplierRates!$E$5:$E$500,MATCH($K417&amp;"|"&amp;$L417,SupplierRates!$A$5:$A$500,0)),0))</f>
        <v/>
      </c>
      <c r="R417" s="26" t="n">
        <f aca="false">IF(OR($D417="",$J417&lt;&gt;"Supplier"),0,F417*P417+G417*Q417)</f>
        <v>0</v>
      </c>
      <c r="S417" s="26" t="n">
        <f aca="false">IF(OR($D417="",$J417&lt;&gt;"Own"),0,IFERROR((F417+G417*Settings!$B$13)*INDEX(Workers!$V$5:$V$2004,MATCH($D417,Workers!$A$5:$A$2004,0)),0))</f>
        <v>0</v>
      </c>
      <c r="T417" s="26" t="str">
        <f aca="false">IF($D417="","",O417-R417-S417)</f>
        <v/>
      </c>
    </row>
    <row r="418" customFormat="false" ht="15" hidden="false" customHeight="false" outlineLevel="0" collapsed="false">
      <c r="I418" s="24" t="str">
        <f aca="false">IF($D418="","",IFERROR(INDEX(Workers!$B$5:$B$2004,MATCH($D418,Workers!$A$5:$A$2004,0)),"NOT FOUND"))</f>
        <v/>
      </c>
      <c r="J418" s="24" t="str">
        <f aca="false">IF($D418="","",IFERROR(INDEX(Workers!$C$5:$C$2004,MATCH($D418,Workers!$A$5:$A$2004,0)),""))</f>
        <v/>
      </c>
      <c r="K418" s="24" t="str">
        <f aca="false">IF($D418="","",IFERROR(IF(INDEX(Workers!$D$5:$D$2004,MATCH($D418,Workers!$A$5:$A$2004,0))=0,"",INDEX(Workers!$D$5:$D$2004,MATCH($D418,Workers!$A$5:$A$2004,0))),""))</f>
        <v/>
      </c>
      <c r="L418" s="24" t="str">
        <f aca="false">IF($D418="","",IFERROR(INDEX(Workers!$E$5:$E$2004,MATCH($D418,Workers!$A$5:$A$2004,0)),""))</f>
        <v/>
      </c>
      <c r="M418" s="26" t="str">
        <f aca="false">IF($D418="","",IFERROR(INDEX(ClientRates!$D$5:$D$500,MATCH($B418&amp;"|"&amp;$L418,ClientRates!$A$5:$A$500,0)),0))</f>
        <v/>
      </c>
      <c r="N418" s="26" t="str">
        <f aca="false">IF($D418="","",IFERROR(INDEX(ClientRates!$E$5:$E$500,MATCH($B418&amp;"|"&amp;$L418,ClientRates!$A$5:$A$500,0)),0))</f>
        <v/>
      </c>
      <c r="O418" s="26" t="str">
        <f aca="false">IF($D418="","",F418*M418+G418*N418)</f>
        <v/>
      </c>
      <c r="P418" s="26" t="str">
        <f aca="false">IF(OR($D418="",$J418&lt;&gt;"Supplier"),"",IFERROR(INDEX(SupplierRates!$D$5:$D$500,MATCH($K418&amp;"|"&amp;$L418,SupplierRates!$A$5:$A$500,0)),0))</f>
        <v/>
      </c>
      <c r="Q418" s="26" t="str">
        <f aca="false">IF(OR($D418="",$J418&lt;&gt;"Supplier"),"",IFERROR(INDEX(SupplierRates!$E$5:$E$500,MATCH($K418&amp;"|"&amp;$L418,SupplierRates!$A$5:$A$500,0)),0))</f>
        <v/>
      </c>
      <c r="R418" s="26" t="n">
        <f aca="false">IF(OR($D418="",$J418&lt;&gt;"Supplier"),0,F418*P418+G418*Q418)</f>
        <v>0</v>
      </c>
      <c r="S418" s="26" t="n">
        <f aca="false">IF(OR($D418="",$J418&lt;&gt;"Own"),0,IFERROR((F418+G418*Settings!$B$13)*INDEX(Workers!$V$5:$V$2004,MATCH($D418,Workers!$A$5:$A$2004,0)),0))</f>
        <v>0</v>
      </c>
      <c r="T418" s="26" t="str">
        <f aca="false">IF($D418="","",O418-R418-S418)</f>
        <v/>
      </c>
    </row>
    <row r="419" customFormat="false" ht="15" hidden="false" customHeight="false" outlineLevel="0" collapsed="false">
      <c r="I419" s="24" t="str">
        <f aca="false">IF($D419="","",IFERROR(INDEX(Workers!$B$5:$B$2004,MATCH($D419,Workers!$A$5:$A$2004,0)),"NOT FOUND"))</f>
        <v/>
      </c>
      <c r="J419" s="24" t="str">
        <f aca="false">IF($D419="","",IFERROR(INDEX(Workers!$C$5:$C$2004,MATCH($D419,Workers!$A$5:$A$2004,0)),""))</f>
        <v/>
      </c>
      <c r="K419" s="24" t="str">
        <f aca="false">IF($D419="","",IFERROR(IF(INDEX(Workers!$D$5:$D$2004,MATCH($D419,Workers!$A$5:$A$2004,0))=0,"",INDEX(Workers!$D$5:$D$2004,MATCH($D419,Workers!$A$5:$A$2004,0))),""))</f>
        <v/>
      </c>
      <c r="L419" s="24" t="str">
        <f aca="false">IF($D419="","",IFERROR(INDEX(Workers!$E$5:$E$2004,MATCH($D419,Workers!$A$5:$A$2004,0)),""))</f>
        <v/>
      </c>
      <c r="M419" s="26" t="str">
        <f aca="false">IF($D419="","",IFERROR(INDEX(ClientRates!$D$5:$D$500,MATCH($B419&amp;"|"&amp;$L419,ClientRates!$A$5:$A$500,0)),0))</f>
        <v/>
      </c>
      <c r="N419" s="26" t="str">
        <f aca="false">IF($D419="","",IFERROR(INDEX(ClientRates!$E$5:$E$500,MATCH($B419&amp;"|"&amp;$L419,ClientRates!$A$5:$A$500,0)),0))</f>
        <v/>
      </c>
      <c r="O419" s="26" t="str">
        <f aca="false">IF($D419="","",F419*M419+G419*N419)</f>
        <v/>
      </c>
      <c r="P419" s="26" t="str">
        <f aca="false">IF(OR($D419="",$J419&lt;&gt;"Supplier"),"",IFERROR(INDEX(SupplierRates!$D$5:$D$500,MATCH($K419&amp;"|"&amp;$L419,SupplierRates!$A$5:$A$500,0)),0))</f>
        <v/>
      </c>
      <c r="Q419" s="26" t="str">
        <f aca="false">IF(OR($D419="",$J419&lt;&gt;"Supplier"),"",IFERROR(INDEX(SupplierRates!$E$5:$E$500,MATCH($K419&amp;"|"&amp;$L419,SupplierRates!$A$5:$A$500,0)),0))</f>
        <v/>
      </c>
      <c r="R419" s="26" t="n">
        <f aca="false">IF(OR($D419="",$J419&lt;&gt;"Supplier"),0,F419*P419+G419*Q419)</f>
        <v>0</v>
      </c>
      <c r="S419" s="26" t="n">
        <f aca="false">IF(OR($D419="",$J419&lt;&gt;"Own"),0,IFERROR((F419+G419*Settings!$B$13)*INDEX(Workers!$V$5:$V$2004,MATCH($D419,Workers!$A$5:$A$2004,0)),0))</f>
        <v>0</v>
      </c>
      <c r="T419" s="26" t="str">
        <f aca="false">IF($D419="","",O419-R419-S419)</f>
        <v/>
      </c>
    </row>
    <row r="420" customFormat="false" ht="15" hidden="false" customHeight="false" outlineLevel="0" collapsed="false">
      <c r="I420" s="24" t="str">
        <f aca="false">IF($D420="","",IFERROR(INDEX(Workers!$B$5:$B$2004,MATCH($D420,Workers!$A$5:$A$2004,0)),"NOT FOUND"))</f>
        <v/>
      </c>
      <c r="J420" s="24" t="str">
        <f aca="false">IF($D420="","",IFERROR(INDEX(Workers!$C$5:$C$2004,MATCH($D420,Workers!$A$5:$A$2004,0)),""))</f>
        <v/>
      </c>
      <c r="K420" s="24" t="str">
        <f aca="false">IF($D420="","",IFERROR(IF(INDEX(Workers!$D$5:$D$2004,MATCH($D420,Workers!$A$5:$A$2004,0))=0,"",INDEX(Workers!$D$5:$D$2004,MATCH($D420,Workers!$A$5:$A$2004,0))),""))</f>
        <v/>
      </c>
      <c r="L420" s="24" t="str">
        <f aca="false">IF($D420="","",IFERROR(INDEX(Workers!$E$5:$E$2004,MATCH($D420,Workers!$A$5:$A$2004,0)),""))</f>
        <v/>
      </c>
      <c r="M420" s="26" t="str">
        <f aca="false">IF($D420="","",IFERROR(INDEX(ClientRates!$D$5:$D$500,MATCH($B420&amp;"|"&amp;$L420,ClientRates!$A$5:$A$500,0)),0))</f>
        <v/>
      </c>
      <c r="N420" s="26" t="str">
        <f aca="false">IF($D420="","",IFERROR(INDEX(ClientRates!$E$5:$E$500,MATCH($B420&amp;"|"&amp;$L420,ClientRates!$A$5:$A$500,0)),0))</f>
        <v/>
      </c>
      <c r="O420" s="26" t="str">
        <f aca="false">IF($D420="","",F420*M420+G420*N420)</f>
        <v/>
      </c>
      <c r="P420" s="26" t="str">
        <f aca="false">IF(OR($D420="",$J420&lt;&gt;"Supplier"),"",IFERROR(INDEX(SupplierRates!$D$5:$D$500,MATCH($K420&amp;"|"&amp;$L420,SupplierRates!$A$5:$A$500,0)),0))</f>
        <v/>
      </c>
      <c r="Q420" s="26" t="str">
        <f aca="false">IF(OR($D420="",$J420&lt;&gt;"Supplier"),"",IFERROR(INDEX(SupplierRates!$E$5:$E$500,MATCH($K420&amp;"|"&amp;$L420,SupplierRates!$A$5:$A$500,0)),0))</f>
        <v/>
      </c>
      <c r="R420" s="26" t="n">
        <f aca="false">IF(OR($D420="",$J420&lt;&gt;"Supplier"),0,F420*P420+G420*Q420)</f>
        <v>0</v>
      </c>
      <c r="S420" s="26" t="n">
        <f aca="false">IF(OR($D420="",$J420&lt;&gt;"Own"),0,IFERROR((F420+G420*Settings!$B$13)*INDEX(Workers!$V$5:$V$2004,MATCH($D420,Workers!$A$5:$A$2004,0)),0))</f>
        <v>0</v>
      </c>
      <c r="T420" s="26" t="str">
        <f aca="false">IF($D420="","",O420-R420-S420)</f>
        <v/>
      </c>
    </row>
    <row r="421" customFormat="false" ht="15" hidden="false" customHeight="false" outlineLevel="0" collapsed="false">
      <c r="I421" s="24" t="str">
        <f aca="false">IF($D421="","",IFERROR(INDEX(Workers!$B$5:$B$2004,MATCH($D421,Workers!$A$5:$A$2004,0)),"NOT FOUND"))</f>
        <v/>
      </c>
      <c r="J421" s="24" t="str">
        <f aca="false">IF($D421="","",IFERROR(INDEX(Workers!$C$5:$C$2004,MATCH($D421,Workers!$A$5:$A$2004,0)),""))</f>
        <v/>
      </c>
      <c r="K421" s="24" t="str">
        <f aca="false">IF($D421="","",IFERROR(IF(INDEX(Workers!$D$5:$D$2004,MATCH($D421,Workers!$A$5:$A$2004,0))=0,"",INDEX(Workers!$D$5:$D$2004,MATCH($D421,Workers!$A$5:$A$2004,0))),""))</f>
        <v/>
      </c>
      <c r="L421" s="24" t="str">
        <f aca="false">IF($D421="","",IFERROR(INDEX(Workers!$E$5:$E$2004,MATCH($D421,Workers!$A$5:$A$2004,0)),""))</f>
        <v/>
      </c>
      <c r="M421" s="26" t="str">
        <f aca="false">IF($D421="","",IFERROR(INDEX(ClientRates!$D$5:$D$500,MATCH($B421&amp;"|"&amp;$L421,ClientRates!$A$5:$A$500,0)),0))</f>
        <v/>
      </c>
      <c r="N421" s="26" t="str">
        <f aca="false">IF($D421="","",IFERROR(INDEX(ClientRates!$E$5:$E$500,MATCH($B421&amp;"|"&amp;$L421,ClientRates!$A$5:$A$500,0)),0))</f>
        <v/>
      </c>
      <c r="O421" s="26" t="str">
        <f aca="false">IF($D421="","",F421*M421+G421*N421)</f>
        <v/>
      </c>
      <c r="P421" s="26" t="str">
        <f aca="false">IF(OR($D421="",$J421&lt;&gt;"Supplier"),"",IFERROR(INDEX(SupplierRates!$D$5:$D$500,MATCH($K421&amp;"|"&amp;$L421,SupplierRates!$A$5:$A$500,0)),0))</f>
        <v/>
      </c>
      <c r="Q421" s="26" t="str">
        <f aca="false">IF(OR($D421="",$J421&lt;&gt;"Supplier"),"",IFERROR(INDEX(SupplierRates!$E$5:$E$500,MATCH($K421&amp;"|"&amp;$L421,SupplierRates!$A$5:$A$500,0)),0))</f>
        <v/>
      </c>
      <c r="R421" s="26" t="n">
        <f aca="false">IF(OR($D421="",$J421&lt;&gt;"Supplier"),0,F421*P421+G421*Q421)</f>
        <v>0</v>
      </c>
      <c r="S421" s="26" t="n">
        <f aca="false">IF(OR($D421="",$J421&lt;&gt;"Own"),0,IFERROR((F421+G421*Settings!$B$13)*INDEX(Workers!$V$5:$V$2004,MATCH($D421,Workers!$A$5:$A$2004,0)),0))</f>
        <v>0</v>
      </c>
      <c r="T421" s="26" t="str">
        <f aca="false">IF($D421="","",O421-R421-S421)</f>
        <v/>
      </c>
    </row>
    <row r="422" customFormat="false" ht="15" hidden="false" customHeight="false" outlineLevel="0" collapsed="false">
      <c r="I422" s="24" t="str">
        <f aca="false">IF($D422="","",IFERROR(INDEX(Workers!$B$5:$B$2004,MATCH($D422,Workers!$A$5:$A$2004,0)),"NOT FOUND"))</f>
        <v/>
      </c>
      <c r="J422" s="24" t="str">
        <f aca="false">IF($D422="","",IFERROR(INDEX(Workers!$C$5:$C$2004,MATCH($D422,Workers!$A$5:$A$2004,0)),""))</f>
        <v/>
      </c>
      <c r="K422" s="24" t="str">
        <f aca="false">IF($D422="","",IFERROR(IF(INDEX(Workers!$D$5:$D$2004,MATCH($D422,Workers!$A$5:$A$2004,0))=0,"",INDEX(Workers!$D$5:$D$2004,MATCH($D422,Workers!$A$5:$A$2004,0))),""))</f>
        <v/>
      </c>
      <c r="L422" s="24" t="str">
        <f aca="false">IF($D422="","",IFERROR(INDEX(Workers!$E$5:$E$2004,MATCH($D422,Workers!$A$5:$A$2004,0)),""))</f>
        <v/>
      </c>
      <c r="M422" s="26" t="str">
        <f aca="false">IF($D422="","",IFERROR(INDEX(ClientRates!$D$5:$D$500,MATCH($B422&amp;"|"&amp;$L422,ClientRates!$A$5:$A$500,0)),0))</f>
        <v/>
      </c>
      <c r="N422" s="26" t="str">
        <f aca="false">IF($D422="","",IFERROR(INDEX(ClientRates!$E$5:$E$500,MATCH($B422&amp;"|"&amp;$L422,ClientRates!$A$5:$A$500,0)),0))</f>
        <v/>
      </c>
      <c r="O422" s="26" t="str">
        <f aca="false">IF($D422="","",F422*M422+G422*N422)</f>
        <v/>
      </c>
      <c r="P422" s="26" t="str">
        <f aca="false">IF(OR($D422="",$J422&lt;&gt;"Supplier"),"",IFERROR(INDEX(SupplierRates!$D$5:$D$500,MATCH($K422&amp;"|"&amp;$L422,SupplierRates!$A$5:$A$500,0)),0))</f>
        <v/>
      </c>
      <c r="Q422" s="26" t="str">
        <f aca="false">IF(OR($D422="",$J422&lt;&gt;"Supplier"),"",IFERROR(INDEX(SupplierRates!$E$5:$E$500,MATCH($K422&amp;"|"&amp;$L422,SupplierRates!$A$5:$A$500,0)),0))</f>
        <v/>
      </c>
      <c r="R422" s="26" t="n">
        <f aca="false">IF(OR($D422="",$J422&lt;&gt;"Supplier"),0,F422*P422+G422*Q422)</f>
        <v>0</v>
      </c>
      <c r="S422" s="26" t="n">
        <f aca="false">IF(OR($D422="",$J422&lt;&gt;"Own"),0,IFERROR((F422+G422*Settings!$B$13)*INDEX(Workers!$V$5:$V$2004,MATCH($D422,Workers!$A$5:$A$2004,0)),0))</f>
        <v>0</v>
      </c>
      <c r="T422" s="26" t="str">
        <f aca="false">IF($D422="","",O422-R422-S422)</f>
        <v/>
      </c>
    </row>
    <row r="423" customFormat="false" ht="15" hidden="false" customHeight="false" outlineLevel="0" collapsed="false">
      <c r="I423" s="24" t="str">
        <f aca="false">IF($D423="","",IFERROR(INDEX(Workers!$B$5:$B$2004,MATCH($D423,Workers!$A$5:$A$2004,0)),"NOT FOUND"))</f>
        <v/>
      </c>
      <c r="J423" s="24" t="str">
        <f aca="false">IF($D423="","",IFERROR(INDEX(Workers!$C$5:$C$2004,MATCH($D423,Workers!$A$5:$A$2004,0)),""))</f>
        <v/>
      </c>
      <c r="K423" s="24" t="str">
        <f aca="false">IF($D423="","",IFERROR(IF(INDEX(Workers!$D$5:$D$2004,MATCH($D423,Workers!$A$5:$A$2004,0))=0,"",INDEX(Workers!$D$5:$D$2004,MATCH($D423,Workers!$A$5:$A$2004,0))),""))</f>
        <v/>
      </c>
      <c r="L423" s="24" t="str">
        <f aca="false">IF($D423="","",IFERROR(INDEX(Workers!$E$5:$E$2004,MATCH($D423,Workers!$A$5:$A$2004,0)),""))</f>
        <v/>
      </c>
      <c r="M423" s="26" t="str">
        <f aca="false">IF($D423="","",IFERROR(INDEX(ClientRates!$D$5:$D$500,MATCH($B423&amp;"|"&amp;$L423,ClientRates!$A$5:$A$500,0)),0))</f>
        <v/>
      </c>
      <c r="N423" s="26" t="str">
        <f aca="false">IF($D423="","",IFERROR(INDEX(ClientRates!$E$5:$E$500,MATCH($B423&amp;"|"&amp;$L423,ClientRates!$A$5:$A$500,0)),0))</f>
        <v/>
      </c>
      <c r="O423" s="26" t="str">
        <f aca="false">IF($D423="","",F423*M423+G423*N423)</f>
        <v/>
      </c>
      <c r="P423" s="26" t="str">
        <f aca="false">IF(OR($D423="",$J423&lt;&gt;"Supplier"),"",IFERROR(INDEX(SupplierRates!$D$5:$D$500,MATCH($K423&amp;"|"&amp;$L423,SupplierRates!$A$5:$A$500,0)),0))</f>
        <v/>
      </c>
      <c r="Q423" s="26" t="str">
        <f aca="false">IF(OR($D423="",$J423&lt;&gt;"Supplier"),"",IFERROR(INDEX(SupplierRates!$E$5:$E$500,MATCH($K423&amp;"|"&amp;$L423,SupplierRates!$A$5:$A$500,0)),0))</f>
        <v/>
      </c>
      <c r="R423" s="26" t="n">
        <f aca="false">IF(OR($D423="",$J423&lt;&gt;"Supplier"),0,F423*P423+G423*Q423)</f>
        <v>0</v>
      </c>
      <c r="S423" s="26" t="n">
        <f aca="false">IF(OR($D423="",$J423&lt;&gt;"Own"),0,IFERROR((F423+G423*Settings!$B$13)*INDEX(Workers!$V$5:$V$2004,MATCH($D423,Workers!$A$5:$A$2004,0)),0))</f>
        <v>0</v>
      </c>
      <c r="T423" s="26" t="str">
        <f aca="false">IF($D423="","",O423-R423-S423)</f>
        <v/>
      </c>
    </row>
    <row r="424" customFormat="false" ht="15" hidden="false" customHeight="false" outlineLevel="0" collapsed="false">
      <c r="I424" s="24" t="str">
        <f aca="false">IF($D424="","",IFERROR(INDEX(Workers!$B$5:$B$2004,MATCH($D424,Workers!$A$5:$A$2004,0)),"NOT FOUND"))</f>
        <v/>
      </c>
      <c r="J424" s="24" t="str">
        <f aca="false">IF($D424="","",IFERROR(INDEX(Workers!$C$5:$C$2004,MATCH($D424,Workers!$A$5:$A$2004,0)),""))</f>
        <v/>
      </c>
      <c r="K424" s="24" t="str">
        <f aca="false">IF($D424="","",IFERROR(IF(INDEX(Workers!$D$5:$D$2004,MATCH($D424,Workers!$A$5:$A$2004,0))=0,"",INDEX(Workers!$D$5:$D$2004,MATCH($D424,Workers!$A$5:$A$2004,0))),""))</f>
        <v/>
      </c>
      <c r="L424" s="24" t="str">
        <f aca="false">IF($D424="","",IFERROR(INDEX(Workers!$E$5:$E$2004,MATCH($D424,Workers!$A$5:$A$2004,0)),""))</f>
        <v/>
      </c>
      <c r="M424" s="26" t="str">
        <f aca="false">IF($D424="","",IFERROR(INDEX(ClientRates!$D$5:$D$500,MATCH($B424&amp;"|"&amp;$L424,ClientRates!$A$5:$A$500,0)),0))</f>
        <v/>
      </c>
      <c r="N424" s="26" t="str">
        <f aca="false">IF($D424="","",IFERROR(INDEX(ClientRates!$E$5:$E$500,MATCH($B424&amp;"|"&amp;$L424,ClientRates!$A$5:$A$500,0)),0))</f>
        <v/>
      </c>
      <c r="O424" s="26" t="str">
        <f aca="false">IF($D424="","",F424*M424+G424*N424)</f>
        <v/>
      </c>
      <c r="P424" s="26" t="str">
        <f aca="false">IF(OR($D424="",$J424&lt;&gt;"Supplier"),"",IFERROR(INDEX(SupplierRates!$D$5:$D$500,MATCH($K424&amp;"|"&amp;$L424,SupplierRates!$A$5:$A$500,0)),0))</f>
        <v/>
      </c>
      <c r="Q424" s="26" t="str">
        <f aca="false">IF(OR($D424="",$J424&lt;&gt;"Supplier"),"",IFERROR(INDEX(SupplierRates!$E$5:$E$500,MATCH($K424&amp;"|"&amp;$L424,SupplierRates!$A$5:$A$500,0)),0))</f>
        <v/>
      </c>
      <c r="R424" s="26" t="n">
        <f aca="false">IF(OR($D424="",$J424&lt;&gt;"Supplier"),0,F424*P424+G424*Q424)</f>
        <v>0</v>
      </c>
      <c r="S424" s="26" t="n">
        <f aca="false">IF(OR($D424="",$J424&lt;&gt;"Own"),0,IFERROR((F424+G424*Settings!$B$13)*INDEX(Workers!$V$5:$V$2004,MATCH($D424,Workers!$A$5:$A$2004,0)),0))</f>
        <v>0</v>
      </c>
      <c r="T424" s="26" t="str">
        <f aca="false">IF($D424="","",O424-R424-S424)</f>
        <v/>
      </c>
    </row>
    <row r="425" customFormat="false" ht="15" hidden="false" customHeight="false" outlineLevel="0" collapsed="false">
      <c r="I425" s="24" t="str">
        <f aca="false">IF($D425="","",IFERROR(INDEX(Workers!$B$5:$B$2004,MATCH($D425,Workers!$A$5:$A$2004,0)),"NOT FOUND"))</f>
        <v/>
      </c>
      <c r="J425" s="24" t="str">
        <f aca="false">IF($D425="","",IFERROR(INDEX(Workers!$C$5:$C$2004,MATCH($D425,Workers!$A$5:$A$2004,0)),""))</f>
        <v/>
      </c>
      <c r="K425" s="24" t="str">
        <f aca="false">IF($D425="","",IFERROR(IF(INDEX(Workers!$D$5:$D$2004,MATCH($D425,Workers!$A$5:$A$2004,0))=0,"",INDEX(Workers!$D$5:$D$2004,MATCH($D425,Workers!$A$5:$A$2004,0))),""))</f>
        <v/>
      </c>
      <c r="L425" s="24" t="str">
        <f aca="false">IF($D425="","",IFERROR(INDEX(Workers!$E$5:$E$2004,MATCH($D425,Workers!$A$5:$A$2004,0)),""))</f>
        <v/>
      </c>
      <c r="M425" s="26" t="str">
        <f aca="false">IF($D425="","",IFERROR(INDEX(ClientRates!$D$5:$D$500,MATCH($B425&amp;"|"&amp;$L425,ClientRates!$A$5:$A$500,0)),0))</f>
        <v/>
      </c>
      <c r="N425" s="26" t="str">
        <f aca="false">IF($D425="","",IFERROR(INDEX(ClientRates!$E$5:$E$500,MATCH($B425&amp;"|"&amp;$L425,ClientRates!$A$5:$A$500,0)),0))</f>
        <v/>
      </c>
      <c r="O425" s="26" t="str">
        <f aca="false">IF($D425="","",F425*M425+G425*N425)</f>
        <v/>
      </c>
      <c r="P425" s="26" t="str">
        <f aca="false">IF(OR($D425="",$J425&lt;&gt;"Supplier"),"",IFERROR(INDEX(SupplierRates!$D$5:$D$500,MATCH($K425&amp;"|"&amp;$L425,SupplierRates!$A$5:$A$500,0)),0))</f>
        <v/>
      </c>
      <c r="Q425" s="26" t="str">
        <f aca="false">IF(OR($D425="",$J425&lt;&gt;"Supplier"),"",IFERROR(INDEX(SupplierRates!$E$5:$E$500,MATCH($K425&amp;"|"&amp;$L425,SupplierRates!$A$5:$A$500,0)),0))</f>
        <v/>
      </c>
      <c r="R425" s="26" t="n">
        <f aca="false">IF(OR($D425="",$J425&lt;&gt;"Supplier"),0,F425*P425+G425*Q425)</f>
        <v>0</v>
      </c>
      <c r="S425" s="26" t="n">
        <f aca="false">IF(OR($D425="",$J425&lt;&gt;"Own"),0,IFERROR((F425+G425*Settings!$B$13)*INDEX(Workers!$V$5:$V$2004,MATCH($D425,Workers!$A$5:$A$2004,0)),0))</f>
        <v>0</v>
      </c>
      <c r="T425" s="26" t="str">
        <f aca="false">IF($D425="","",O425-R425-S425)</f>
        <v/>
      </c>
    </row>
    <row r="426" customFormat="false" ht="15" hidden="false" customHeight="false" outlineLevel="0" collapsed="false">
      <c r="I426" s="24" t="str">
        <f aca="false">IF($D426="","",IFERROR(INDEX(Workers!$B$5:$B$2004,MATCH($D426,Workers!$A$5:$A$2004,0)),"NOT FOUND"))</f>
        <v/>
      </c>
      <c r="J426" s="24" t="str">
        <f aca="false">IF($D426="","",IFERROR(INDEX(Workers!$C$5:$C$2004,MATCH($D426,Workers!$A$5:$A$2004,0)),""))</f>
        <v/>
      </c>
      <c r="K426" s="24" t="str">
        <f aca="false">IF($D426="","",IFERROR(IF(INDEX(Workers!$D$5:$D$2004,MATCH($D426,Workers!$A$5:$A$2004,0))=0,"",INDEX(Workers!$D$5:$D$2004,MATCH($D426,Workers!$A$5:$A$2004,0))),""))</f>
        <v/>
      </c>
      <c r="L426" s="24" t="str">
        <f aca="false">IF($D426="","",IFERROR(INDEX(Workers!$E$5:$E$2004,MATCH($D426,Workers!$A$5:$A$2004,0)),""))</f>
        <v/>
      </c>
      <c r="M426" s="26" t="str">
        <f aca="false">IF($D426="","",IFERROR(INDEX(ClientRates!$D$5:$D$500,MATCH($B426&amp;"|"&amp;$L426,ClientRates!$A$5:$A$500,0)),0))</f>
        <v/>
      </c>
      <c r="N426" s="26" t="str">
        <f aca="false">IF($D426="","",IFERROR(INDEX(ClientRates!$E$5:$E$500,MATCH($B426&amp;"|"&amp;$L426,ClientRates!$A$5:$A$500,0)),0))</f>
        <v/>
      </c>
      <c r="O426" s="26" t="str">
        <f aca="false">IF($D426="","",F426*M426+G426*N426)</f>
        <v/>
      </c>
      <c r="P426" s="26" t="str">
        <f aca="false">IF(OR($D426="",$J426&lt;&gt;"Supplier"),"",IFERROR(INDEX(SupplierRates!$D$5:$D$500,MATCH($K426&amp;"|"&amp;$L426,SupplierRates!$A$5:$A$500,0)),0))</f>
        <v/>
      </c>
      <c r="Q426" s="26" t="str">
        <f aca="false">IF(OR($D426="",$J426&lt;&gt;"Supplier"),"",IFERROR(INDEX(SupplierRates!$E$5:$E$500,MATCH($K426&amp;"|"&amp;$L426,SupplierRates!$A$5:$A$500,0)),0))</f>
        <v/>
      </c>
      <c r="R426" s="26" t="n">
        <f aca="false">IF(OR($D426="",$J426&lt;&gt;"Supplier"),0,F426*P426+G426*Q426)</f>
        <v>0</v>
      </c>
      <c r="S426" s="26" t="n">
        <f aca="false">IF(OR($D426="",$J426&lt;&gt;"Own"),0,IFERROR((F426+G426*Settings!$B$13)*INDEX(Workers!$V$5:$V$2004,MATCH($D426,Workers!$A$5:$A$2004,0)),0))</f>
        <v>0</v>
      </c>
      <c r="T426" s="26" t="str">
        <f aca="false">IF($D426="","",O426-R426-S426)</f>
        <v/>
      </c>
    </row>
    <row r="427" customFormat="false" ht="15" hidden="false" customHeight="false" outlineLevel="0" collapsed="false">
      <c r="I427" s="24" t="str">
        <f aca="false">IF($D427="","",IFERROR(INDEX(Workers!$B$5:$B$2004,MATCH($D427,Workers!$A$5:$A$2004,0)),"NOT FOUND"))</f>
        <v/>
      </c>
      <c r="J427" s="24" t="str">
        <f aca="false">IF($D427="","",IFERROR(INDEX(Workers!$C$5:$C$2004,MATCH($D427,Workers!$A$5:$A$2004,0)),""))</f>
        <v/>
      </c>
      <c r="K427" s="24" t="str">
        <f aca="false">IF($D427="","",IFERROR(IF(INDEX(Workers!$D$5:$D$2004,MATCH($D427,Workers!$A$5:$A$2004,0))=0,"",INDEX(Workers!$D$5:$D$2004,MATCH($D427,Workers!$A$5:$A$2004,0))),""))</f>
        <v/>
      </c>
      <c r="L427" s="24" t="str">
        <f aca="false">IF($D427="","",IFERROR(INDEX(Workers!$E$5:$E$2004,MATCH($D427,Workers!$A$5:$A$2004,0)),""))</f>
        <v/>
      </c>
      <c r="M427" s="26" t="str">
        <f aca="false">IF($D427="","",IFERROR(INDEX(ClientRates!$D$5:$D$500,MATCH($B427&amp;"|"&amp;$L427,ClientRates!$A$5:$A$500,0)),0))</f>
        <v/>
      </c>
      <c r="N427" s="26" t="str">
        <f aca="false">IF($D427="","",IFERROR(INDEX(ClientRates!$E$5:$E$500,MATCH($B427&amp;"|"&amp;$L427,ClientRates!$A$5:$A$500,0)),0))</f>
        <v/>
      </c>
      <c r="O427" s="26" t="str">
        <f aca="false">IF($D427="","",F427*M427+G427*N427)</f>
        <v/>
      </c>
      <c r="P427" s="26" t="str">
        <f aca="false">IF(OR($D427="",$J427&lt;&gt;"Supplier"),"",IFERROR(INDEX(SupplierRates!$D$5:$D$500,MATCH($K427&amp;"|"&amp;$L427,SupplierRates!$A$5:$A$500,0)),0))</f>
        <v/>
      </c>
      <c r="Q427" s="26" t="str">
        <f aca="false">IF(OR($D427="",$J427&lt;&gt;"Supplier"),"",IFERROR(INDEX(SupplierRates!$E$5:$E$500,MATCH($K427&amp;"|"&amp;$L427,SupplierRates!$A$5:$A$500,0)),0))</f>
        <v/>
      </c>
      <c r="R427" s="26" t="n">
        <f aca="false">IF(OR($D427="",$J427&lt;&gt;"Supplier"),0,F427*P427+G427*Q427)</f>
        <v>0</v>
      </c>
      <c r="S427" s="26" t="n">
        <f aca="false">IF(OR($D427="",$J427&lt;&gt;"Own"),0,IFERROR((F427+G427*Settings!$B$13)*INDEX(Workers!$V$5:$V$2004,MATCH($D427,Workers!$A$5:$A$2004,0)),0))</f>
        <v>0</v>
      </c>
      <c r="T427" s="26" t="str">
        <f aca="false">IF($D427="","",O427-R427-S427)</f>
        <v/>
      </c>
    </row>
    <row r="428" customFormat="false" ht="15" hidden="false" customHeight="false" outlineLevel="0" collapsed="false">
      <c r="I428" s="24" t="str">
        <f aca="false">IF($D428="","",IFERROR(INDEX(Workers!$B$5:$B$2004,MATCH($D428,Workers!$A$5:$A$2004,0)),"NOT FOUND"))</f>
        <v/>
      </c>
      <c r="J428" s="24" t="str">
        <f aca="false">IF($D428="","",IFERROR(INDEX(Workers!$C$5:$C$2004,MATCH($D428,Workers!$A$5:$A$2004,0)),""))</f>
        <v/>
      </c>
      <c r="K428" s="24" t="str">
        <f aca="false">IF($D428="","",IFERROR(IF(INDEX(Workers!$D$5:$D$2004,MATCH($D428,Workers!$A$5:$A$2004,0))=0,"",INDEX(Workers!$D$5:$D$2004,MATCH($D428,Workers!$A$5:$A$2004,0))),""))</f>
        <v/>
      </c>
      <c r="L428" s="24" t="str">
        <f aca="false">IF($D428="","",IFERROR(INDEX(Workers!$E$5:$E$2004,MATCH($D428,Workers!$A$5:$A$2004,0)),""))</f>
        <v/>
      </c>
      <c r="M428" s="26" t="str">
        <f aca="false">IF($D428="","",IFERROR(INDEX(ClientRates!$D$5:$D$500,MATCH($B428&amp;"|"&amp;$L428,ClientRates!$A$5:$A$500,0)),0))</f>
        <v/>
      </c>
      <c r="N428" s="26" t="str">
        <f aca="false">IF($D428="","",IFERROR(INDEX(ClientRates!$E$5:$E$500,MATCH($B428&amp;"|"&amp;$L428,ClientRates!$A$5:$A$500,0)),0))</f>
        <v/>
      </c>
      <c r="O428" s="26" t="str">
        <f aca="false">IF($D428="","",F428*M428+G428*N428)</f>
        <v/>
      </c>
      <c r="P428" s="26" t="str">
        <f aca="false">IF(OR($D428="",$J428&lt;&gt;"Supplier"),"",IFERROR(INDEX(SupplierRates!$D$5:$D$500,MATCH($K428&amp;"|"&amp;$L428,SupplierRates!$A$5:$A$500,0)),0))</f>
        <v/>
      </c>
      <c r="Q428" s="26" t="str">
        <f aca="false">IF(OR($D428="",$J428&lt;&gt;"Supplier"),"",IFERROR(INDEX(SupplierRates!$E$5:$E$500,MATCH($K428&amp;"|"&amp;$L428,SupplierRates!$A$5:$A$500,0)),0))</f>
        <v/>
      </c>
      <c r="R428" s="26" t="n">
        <f aca="false">IF(OR($D428="",$J428&lt;&gt;"Supplier"),0,F428*P428+G428*Q428)</f>
        <v>0</v>
      </c>
      <c r="S428" s="26" t="n">
        <f aca="false">IF(OR($D428="",$J428&lt;&gt;"Own"),0,IFERROR((F428+G428*Settings!$B$13)*INDEX(Workers!$V$5:$V$2004,MATCH($D428,Workers!$A$5:$A$2004,0)),0))</f>
        <v>0</v>
      </c>
      <c r="T428" s="26" t="str">
        <f aca="false">IF($D428="","",O428-R428-S428)</f>
        <v/>
      </c>
    </row>
    <row r="429" customFormat="false" ht="15" hidden="false" customHeight="false" outlineLevel="0" collapsed="false">
      <c r="I429" s="24" t="str">
        <f aca="false">IF($D429="","",IFERROR(INDEX(Workers!$B$5:$B$2004,MATCH($D429,Workers!$A$5:$A$2004,0)),"NOT FOUND"))</f>
        <v/>
      </c>
      <c r="J429" s="24" t="str">
        <f aca="false">IF($D429="","",IFERROR(INDEX(Workers!$C$5:$C$2004,MATCH($D429,Workers!$A$5:$A$2004,0)),""))</f>
        <v/>
      </c>
      <c r="K429" s="24" t="str">
        <f aca="false">IF($D429="","",IFERROR(IF(INDEX(Workers!$D$5:$D$2004,MATCH($D429,Workers!$A$5:$A$2004,0))=0,"",INDEX(Workers!$D$5:$D$2004,MATCH($D429,Workers!$A$5:$A$2004,0))),""))</f>
        <v/>
      </c>
      <c r="L429" s="24" t="str">
        <f aca="false">IF($D429="","",IFERROR(INDEX(Workers!$E$5:$E$2004,MATCH($D429,Workers!$A$5:$A$2004,0)),""))</f>
        <v/>
      </c>
      <c r="M429" s="26" t="str">
        <f aca="false">IF($D429="","",IFERROR(INDEX(ClientRates!$D$5:$D$500,MATCH($B429&amp;"|"&amp;$L429,ClientRates!$A$5:$A$500,0)),0))</f>
        <v/>
      </c>
      <c r="N429" s="26" t="str">
        <f aca="false">IF($D429="","",IFERROR(INDEX(ClientRates!$E$5:$E$500,MATCH($B429&amp;"|"&amp;$L429,ClientRates!$A$5:$A$500,0)),0))</f>
        <v/>
      </c>
      <c r="O429" s="26" t="str">
        <f aca="false">IF($D429="","",F429*M429+G429*N429)</f>
        <v/>
      </c>
      <c r="P429" s="26" t="str">
        <f aca="false">IF(OR($D429="",$J429&lt;&gt;"Supplier"),"",IFERROR(INDEX(SupplierRates!$D$5:$D$500,MATCH($K429&amp;"|"&amp;$L429,SupplierRates!$A$5:$A$500,0)),0))</f>
        <v/>
      </c>
      <c r="Q429" s="26" t="str">
        <f aca="false">IF(OR($D429="",$J429&lt;&gt;"Supplier"),"",IFERROR(INDEX(SupplierRates!$E$5:$E$500,MATCH($K429&amp;"|"&amp;$L429,SupplierRates!$A$5:$A$500,0)),0))</f>
        <v/>
      </c>
      <c r="R429" s="26" t="n">
        <f aca="false">IF(OR($D429="",$J429&lt;&gt;"Supplier"),0,F429*P429+G429*Q429)</f>
        <v>0</v>
      </c>
      <c r="S429" s="26" t="n">
        <f aca="false">IF(OR($D429="",$J429&lt;&gt;"Own"),0,IFERROR((F429+G429*Settings!$B$13)*INDEX(Workers!$V$5:$V$2004,MATCH($D429,Workers!$A$5:$A$2004,0)),0))</f>
        <v>0</v>
      </c>
      <c r="T429" s="26" t="str">
        <f aca="false">IF($D429="","",O429-R429-S429)</f>
        <v/>
      </c>
    </row>
    <row r="430" customFormat="false" ht="15" hidden="false" customHeight="false" outlineLevel="0" collapsed="false">
      <c r="I430" s="24" t="str">
        <f aca="false">IF($D430="","",IFERROR(INDEX(Workers!$B$5:$B$2004,MATCH($D430,Workers!$A$5:$A$2004,0)),"NOT FOUND"))</f>
        <v/>
      </c>
      <c r="J430" s="24" t="str">
        <f aca="false">IF($D430="","",IFERROR(INDEX(Workers!$C$5:$C$2004,MATCH($D430,Workers!$A$5:$A$2004,0)),""))</f>
        <v/>
      </c>
      <c r="K430" s="24" t="str">
        <f aca="false">IF($D430="","",IFERROR(IF(INDEX(Workers!$D$5:$D$2004,MATCH($D430,Workers!$A$5:$A$2004,0))=0,"",INDEX(Workers!$D$5:$D$2004,MATCH($D430,Workers!$A$5:$A$2004,0))),""))</f>
        <v/>
      </c>
      <c r="L430" s="24" t="str">
        <f aca="false">IF($D430="","",IFERROR(INDEX(Workers!$E$5:$E$2004,MATCH($D430,Workers!$A$5:$A$2004,0)),""))</f>
        <v/>
      </c>
      <c r="M430" s="26" t="str">
        <f aca="false">IF($D430="","",IFERROR(INDEX(ClientRates!$D$5:$D$500,MATCH($B430&amp;"|"&amp;$L430,ClientRates!$A$5:$A$500,0)),0))</f>
        <v/>
      </c>
      <c r="N430" s="26" t="str">
        <f aca="false">IF($D430="","",IFERROR(INDEX(ClientRates!$E$5:$E$500,MATCH($B430&amp;"|"&amp;$L430,ClientRates!$A$5:$A$500,0)),0))</f>
        <v/>
      </c>
      <c r="O430" s="26" t="str">
        <f aca="false">IF($D430="","",F430*M430+G430*N430)</f>
        <v/>
      </c>
      <c r="P430" s="26" t="str">
        <f aca="false">IF(OR($D430="",$J430&lt;&gt;"Supplier"),"",IFERROR(INDEX(SupplierRates!$D$5:$D$500,MATCH($K430&amp;"|"&amp;$L430,SupplierRates!$A$5:$A$500,0)),0))</f>
        <v/>
      </c>
      <c r="Q430" s="26" t="str">
        <f aca="false">IF(OR($D430="",$J430&lt;&gt;"Supplier"),"",IFERROR(INDEX(SupplierRates!$E$5:$E$500,MATCH($K430&amp;"|"&amp;$L430,SupplierRates!$A$5:$A$500,0)),0))</f>
        <v/>
      </c>
      <c r="R430" s="26" t="n">
        <f aca="false">IF(OR($D430="",$J430&lt;&gt;"Supplier"),0,F430*P430+G430*Q430)</f>
        <v>0</v>
      </c>
      <c r="S430" s="26" t="n">
        <f aca="false">IF(OR($D430="",$J430&lt;&gt;"Own"),0,IFERROR((F430+G430*Settings!$B$13)*INDEX(Workers!$V$5:$V$2004,MATCH($D430,Workers!$A$5:$A$2004,0)),0))</f>
        <v>0</v>
      </c>
      <c r="T430" s="26" t="str">
        <f aca="false">IF($D430="","",O430-R430-S430)</f>
        <v/>
      </c>
    </row>
    <row r="431" customFormat="false" ht="15" hidden="false" customHeight="false" outlineLevel="0" collapsed="false">
      <c r="I431" s="24" t="str">
        <f aca="false">IF($D431="","",IFERROR(INDEX(Workers!$B$5:$B$2004,MATCH($D431,Workers!$A$5:$A$2004,0)),"NOT FOUND"))</f>
        <v/>
      </c>
      <c r="J431" s="24" t="str">
        <f aca="false">IF($D431="","",IFERROR(INDEX(Workers!$C$5:$C$2004,MATCH($D431,Workers!$A$5:$A$2004,0)),""))</f>
        <v/>
      </c>
      <c r="K431" s="24" t="str">
        <f aca="false">IF($D431="","",IFERROR(IF(INDEX(Workers!$D$5:$D$2004,MATCH($D431,Workers!$A$5:$A$2004,0))=0,"",INDEX(Workers!$D$5:$D$2004,MATCH($D431,Workers!$A$5:$A$2004,0))),""))</f>
        <v/>
      </c>
      <c r="L431" s="24" t="str">
        <f aca="false">IF($D431="","",IFERROR(INDEX(Workers!$E$5:$E$2004,MATCH($D431,Workers!$A$5:$A$2004,0)),""))</f>
        <v/>
      </c>
      <c r="M431" s="26" t="str">
        <f aca="false">IF($D431="","",IFERROR(INDEX(ClientRates!$D$5:$D$500,MATCH($B431&amp;"|"&amp;$L431,ClientRates!$A$5:$A$500,0)),0))</f>
        <v/>
      </c>
      <c r="N431" s="26" t="str">
        <f aca="false">IF($D431="","",IFERROR(INDEX(ClientRates!$E$5:$E$500,MATCH($B431&amp;"|"&amp;$L431,ClientRates!$A$5:$A$500,0)),0))</f>
        <v/>
      </c>
      <c r="O431" s="26" t="str">
        <f aca="false">IF($D431="","",F431*M431+G431*N431)</f>
        <v/>
      </c>
      <c r="P431" s="26" t="str">
        <f aca="false">IF(OR($D431="",$J431&lt;&gt;"Supplier"),"",IFERROR(INDEX(SupplierRates!$D$5:$D$500,MATCH($K431&amp;"|"&amp;$L431,SupplierRates!$A$5:$A$500,0)),0))</f>
        <v/>
      </c>
      <c r="Q431" s="26" t="str">
        <f aca="false">IF(OR($D431="",$J431&lt;&gt;"Supplier"),"",IFERROR(INDEX(SupplierRates!$E$5:$E$500,MATCH($K431&amp;"|"&amp;$L431,SupplierRates!$A$5:$A$500,0)),0))</f>
        <v/>
      </c>
      <c r="R431" s="26" t="n">
        <f aca="false">IF(OR($D431="",$J431&lt;&gt;"Supplier"),0,F431*P431+G431*Q431)</f>
        <v>0</v>
      </c>
      <c r="S431" s="26" t="n">
        <f aca="false">IF(OR($D431="",$J431&lt;&gt;"Own"),0,IFERROR((F431+G431*Settings!$B$13)*INDEX(Workers!$V$5:$V$2004,MATCH($D431,Workers!$A$5:$A$2004,0)),0))</f>
        <v>0</v>
      </c>
      <c r="T431" s="26" t="str">
        <f aca="false">IF($D431="","",O431-R431-S431)</f>
        <v/>
      </c>
    </row>
    <row r="432" customFormat="false" ht="15" hidden="false" customHeight="false" outlineLevel="0" collapsed="false">
      <c r="I432" s="24" t="str">
        <f aca="false">IF($D432="","",IFERROR(INDEX(Workers!$B$5:$B$2004,MATCH($D432,Workers!$A$5:$A$2004,0)),"NOT FOUND"))</f>
        <v/>
      </c>
      <c r="J432" s="24" t="str">
        <f aca="false">IF($D432="","",IFERROR(INDEX(Workers!$C$5:$C$2004,MATCH($D432,Workers!$A$5:$A$2004,0)),""))</f>
        <v/>
      </c>
      <c r="K432" s="24" t="str">
        <f aca="false">IF($D432="","",IFERROR(IF(INDEX(Workers!$D$5:$D$2004,MATCH($D432,Workers!$A$5:$A$2004,0))=0,"",INDEX(Workers!$D$5:$D$2004,MATCH($D432,Workers!$A$5:$A$2004,0))),""))</f>
        <v/>
      </c>
      <c r="L432" s="24" t="str">
        <f aca="false">IF($D432="","",IFERROR(INDEX(Workers!$E$5:$E$2004,MATCH($D432,Workers!$A$5:$A$2004,0)),""))</f>
        <v/>
      </c>
      <c r="M432" s="26" t="str">
        <f aca="false">IF($D432="","",IFERROR(INDEX(ClientRates!$D$5:$D$500,MATCH($B432&amp;"|"&amp;$L432,ClientRates!$A$5:$A$500,0)),0))</f>
        <v/>
      </c>
      <c r="N432" s="26" t="str">
        <f aca="false">IF($D432="","",IFERROR(INDEX(ClientRates!$E$5:$E$500,MATCH($B432&amp;"|"&amp;$L432,ClientRates!$A$5:$A$500,0)),0))</f>
        <v/>
      </c>
      <c r="O432" s="26" t="str">
        <f aca="false">IF($D432="","",F432*M432+G432*N432)</f>
        <v/>
      </c>
      <c r="P432" s="26" t="str">
        <f aca="false">IF(OR($D432="",$J432&lt;&gt;"Supplier"),"",IFERROR(INDEX(SupplierRates!$D$5:$D$500,MATCH($K432&amp;"|"&amp;$L432,SupplierRates!$A$5:$A$500,0)),0))</f>
        <v/>
      </c>
      <c r="Q432" s="26" t="str">
        <f aca="false">IF(OR($D432="",$J432&lt;&gt;"Supplier"),"",IFERROR(INDEX(SupplierRates!$E$5:$E$500,MATCH($K432&amp;"|"&amp;$L432,SupplierRates!$A$5:$A$500,0)),0))</f>
        <v/>
      </c>
      <c r="R432" s="26" t="n">
        <f aca="false">IF(OR($D432="",$J432&lt;&gt;"Supplier"),0,F432*P432+G432*Q432)</f>
        <v>0</v>
      </c>
      <c r="S432" s="26" t="n">
        <f aca="false">IF(OR($D432="",$J432&lt;&gt;"Own"),0,IFERROR((F432+G432*Settings!$B$13)*INDEX(Workers!$V$5:$V$2004,MATCH($D432,Workers!$A$5:$A$2004,0)),0))</f>
        <v>0</v>
      </c>
      <c r="T432" s="26" t="str">
        <f aca="false">IF($D432="","",O432-R432-S432)</f>
        <v/>
      </c>
    </row>
    <row r="433" customFormat="false" ht="15" hidden="false" customHeight="false" outlineLevel="0" collapsed="false">
      <c r="I433" s="24" t="str">
        <f aca="false">IF($D433="","",IFERROR(INDEX(Workers!$B$5:$B$2004,MATCH($D433,Workers!$A$5:$A$2004,0)),"NOT FOUND"))</f>
        <v/>
      </c>
      <c r="J433" s="24" t="str">
        <f aca="false">IF($D433="","",IFERROR(INDEX(Workers!$C$5:$C$2004,MATCH($D433,Workers!$A$5:$A$2004,0)),""))</f>
        <v/>
      </c>
      <c r="K433" s="24" t="str">
        <f aca="false">IF($D433="","",IFERROR(IF(INDEX(Workers!$D$5:$D$2004,MATCH($D433,Workers!$A$5:$A$2004,0))=0,"",INDEX(Workers!$D$5:$D$2004,MATCH($D433,Workers!$A$5:$A$2004,0))),""))</f>
        <v/>
      </c>
      <c r="L433" s="24" t="str">
        <f aca="false">IF($D433="","",IFERROR(INDEX(Workers!$E$5:$E$2004,MATCH($D433,Workers!$A$5:$A$2004,0)),""))</f>
        <v/>
      </c>
      <c r="M433" s="26" t="str">
        <f aca="false">IF($D433="","",IFERROR(INDEX(ClientRates!$D$5:$D$500,MATCH($B433&amp;"|"&amp;$L433,ClientRates!$A$5:$A$500,0)),0))</f>
        <v/>
      </c>
      <c r="N433" s="26" t="str">
        <f aca="false">IF($D433="","",IFERROR(INDEX(ClientRates!$E$5:$E$500,MATCH($B433&amp;"|"&amp;$L433,ClientRates!$A$5:$A$500,0)),0))</f>
        <v/>
      </c>
      <c r="O433" s="26" t="str">
        <f aca="false">IF($D433="","",F433*M433+G433*N433)</f>
        <v/>
      </c>
      <c r="P433" s="26" t="str">
        <f aca="false">IF(OR($D433="",$J433&lt;&gt;"Supplier"),"",IFERROR(INDEX(SupplierRates!$D$5:$D$500,MATCH($K433&amp;"|"&amp;$L433,SupplierRates!$A$5:$A$500,0)),0))</f>
        <v/>
      </c>
      <c r="Q433" s="26" t="str">
        <f aca="false">IF(OR($D433="",$J433&lt;&gt;"Supplier"),"",IFERROR(INDEX(SupplierRates!$E$5:$E$500,MATCH($K433&amp;"|"&amp;$L433,SupplierRates!$A$5:$A$500,0)),0))</f>
        <v/>
      </c>
      <c r="R433" s="26" t="n">
        <f aca="false">IF(OR($D433="",$J433&lt;&gt;"Supplier"),0,F433*P433+G433*Q433)</f>
        <v>0</v>
      </c>
      <c r="S433" s="26" t="n">
        <f aca="false">IF(OR($D433="",$J433&lt;&gt;"Own"),0,IFERROR((F433+G433*Settings!$B$13)*INDEX(Workers!$V$5:$V$2004,MATCH($D433,Workers!$A$5:$A$2004,0)),0))</f>
        <v>0</v>
      </c>
      <c r="T433" s="26" t="str">
        <f aca="false">IF($D433="","",O433-R433-S433)</f>
        <v/>
      </c>
    </row>
    <row r="434" customFormat="false" ht="15" hidden="false" customHeight="false" outlineLevel="0" collapsed="false">
      <c r="I434" s="24" t="str">
        <f aca="false">IF($D434="","",IFERROR(INDEX(Workers!$B$5:$B$2004,MATCH($D434,Workers!$A$5:$A$2004,0)),"NOT FOUND"))</f>
        <v/>
      </c>
      <c r="J434" s="24" t="str">
        <f aca="false">IF($D434="","",IFERROR(INDEX(Workers!$C$5:$C$2004,MATCH($D434,Workers!$A$5:$A$2004,0)),""))</f>
        <v/>
      </c>
      <c r="K434" s="24" t="str">
        <f aca="false">IF($D434="","",IFERROR(IF(INDEX(Workers!$D$5:$D$2004,MATCH($D434,Workers!$A$5:$A$2004,0))=0,"",INDEX(Workers!$D$5:$D$2004,MATCH($D434,Workers!$A$5:$A$2004,0))),""))</f>
        <v/>
      </c>
      <c r="L434" s="24" t="str">
        <f aca="false">IF($D434="","",IFERROR(INDEX(Workers!$E$5:$E$2004,MATCH($D434,Workers!$A$5:$A$2004,0)),""))</f>
        <v/>
      </c>
      <c r="M434" s="26" t="str">
        <f aca="false">IF($D434="","",IFERROR(INDEX(ClientRates!$D$5:$D$500,MATCH($B434&amp;"|"&amp;$L434,ClientRates!$A$5:$A$500,0)),0))</f>
        <v/>
      </c>
      <c r="N434" s="26" t="str">
        <f aca="false">IF($D434="","",IFERROR(INDEX(ClientRates!$E$5:$E$500,MATCH($B434&amp;"|"&amp;$L434,ClientRates!$A$5:$A$500,0)),0))</f>
        <v/>
      </c>
      <c r="O434" s="26" t="str">
        <f aca="false">IF($D434="","",F434*M434+G434*N434)</f>
        <v/>
      </c>
      <c r="P434" s="26" t="str">
        <f aca="false">IF(OR($D434="",$J434&lt;&gt;"Supplier"),"",IFERROR(INDEX(SupplierRates!$D$5:$D$500,MATCH($K434&amp;"|"&amp;$L434,SupplierRates!$A$5:$A$500,0)),0))</f>
        <v/>
      </c>
      <c r="Q434" s="26" t="str">
        <f aca="false">IF(OR($D434="",$J434&lt;&gt;"Supplier"),"",IFERROR(INDEX(SupplierRates!$E$5:$E$500,MATCH($K434&amp;"|"&amp;$L434,SupplierRates!$A$5:$A$500,0)),0))</f>
        <v/>
      </c>
      <c r="R434" s="26" t="n">
        <f aca="false">IF(OR($D434="",$J434&lt;&gt;"Supplier"),0,F434*P434+G434*Q434)</f>
        <v>0</v>
      </c>
      <c r="S434" s="26" t="n">
        <f aca="false">IF(OR($D434="",$J434&lt;&gt;"Own"),0,IFERROR((F434+G434*Settings!$B$13)*INDEX(Workers!$V$5:$V$2004,MATCH($D434,Workers!$A$5:$A$2004,0)),0))</f>
        <v>0</v>
      </c>
      <c r="T434" s="26" t="str">
        <f aca="false">IF($D434="","",O434-R434-S434)</f>
        <v/>
      </c>
    </row>
    <row r="435" customFormat="false" ht="15" hidden="false" customHeight="false" outlineLevel="0" collapsed="false">
      <c r="I435" s="24" t="str">
        <f aca="false">IF($D435="","",IFERROR(INDEX(Workers!$B$5:$B$2004,MATCH($D435,Workers!$A$5:$A$2004,0)),"NOT FOUND"))</f>
        <v/>
      </c>
      <c r="J435" s="24" t="str">
        <f aca="false">IF($D435="","",IFERROR(INDEX(Workers!$C$5:$C$2004,MATCH($D435,Workers!$A$5:$A$2004,0)),""))</f>
        <v/>
      </c>
      <c r="K435" s="24" t="str">
        <f aca="false">IF($D435="","",IFERROR(IF(INDEX(Workers!$D$5:$D$2004,MATCH($D435,Workers!$A$5:$A$2004,0))=0,"",INDEX(Workers!$D$5:$D$2004,MATCH($D435,Workers!$A$5:$A$2004,0))),""))</f>
        <v/>
      </c>
      <c r="L435" s="24" t="str">
        <f aca="false">IF($D435="","",IFERROR(INDEX(Workers!$E$5:$E$2004,MATCH($D435,Workers!$A$5:$A$2004,0)),""))</f>
        <v/>
      </c>
      <c r="M435" s="26" t="str">
        <f aca="false">IF($D435="","",IFERROR(INDEX(ClientRates!$D$5:$D$500,MATCH($B435&amp;"|"&amp;$L435,ClientRates!$A$5:$A$500,0)),0))</f>
        <v/>
      </c>
      <c r="N435" s="26" t="str">
        <f aca="false">IF($D435="","",IFERROR(INDEX(ClientRates!$E$5:$E$500,MATCH($B435&amp;"|"&amp;$L435,ClientRates!$A$5:$A$500,0)),0))</f>
        <v/>
      </c>
      <c r="O435" s="26" t="str">
        <f aca="false">IF($D435="","",F435*M435+G435*N435)</f>
        <v/>
      </c>
      <c r="P435" s="26" t="str">
        <f aca="false">IF(OR($D435="",$J435&lt;&gt;"Supplier"),"",IFERROR(INDEX(SupplierRates!$D$5:$D$500,MATCH($K435&amp;"|"&amp;$L435,SupplierRates!$A$5:$A$500,0)),0))</f>
        <v/>
      </c>
      <c r="Q435" s="26" t="str">
        <f aca="false">IF(OR($D435="",$J435&lt;&gt;"Supplier"),"",IFERROR(INDEX(SupplierRates!$E$5:$E$500,MATCH($K435&amp;"|"&amp;$L435,SupplierRates!$A$5:$A$500,0)),0))</f>
        <v/>
      </c>
      <c r="R435" s="26" t="n">
        <f aca="false">IF(OR($D435="",$J435&lt;&gt;"Supplier"),0,F435*P435+G435*Q435)</f>
        <v>0</v>
      </c>
      <c r="S435" s="26" t="n">
        <f aca="false">IF(OR($D435="",$J435&lt;&gt;"Own"),0,IFERROR((F435+G435*Settings!$B$13)*INDEX(Workers!$V$5:$V$2004,MATCH($D435,Workers!$A$5:$A$2004,0)),0))</f>
        <v>0</v>
      </c>
      <c r="T435" s="26" t="str">
        <f aca="false">IF($D435="","",O435-R435-S435)</f>
        <v/>
      </c>
    </row>
    <row r="436" customFormat="false" ht="15" hidden="false" customHeight="false" outlineLevel="0" collapsed="false">
      <c r="I436" s="24" t="str">
        <f aca="false">IF($D436="","",IFERROR(INDEX(Workers!$B$5:$B$2004,MATCH($D436,Workers!$A$5:$A$2004,0)),"NOT FOUND"))</f>
        <v/>
      </c>
      <c r="J436" s="24" t="str">
        <f aca="false">IF($D436="","",IFERROR(INDEX(Workers!$C$5:$C$2004,MATCH($D436,Workers!$A$5:$A$2004,0)),""))</f>
        <v/>
      </c>
      <c r="K436" s="24" t="str">
        <f aca="false">IF($D436="","",IFERROR(IF(INDEX(Workers!$D$5:$D$2004,MATCH($D436,Workers!$A$5:$A$2004,0))=0,"",INDEX(Workers!$D$5:$D$2004,MATCH($D436,Workers!$A$5:$A$2004,0))),""))</f>
        <v/>
      </c>
      <c r="L436" s="24" t="str">
        <f aca="false">IF($D436="","",IFERROR(INDEX(Workers!$E$5:$E$2004,MATCH($D436,Workers!$A$5:$A$2004,0)),""))</f>
        <v/>
      </c>
      <c r="M436" s="26" t="str">
        <f aca="false">IF($D436="","",IFERROR(INDEX(ClientRates!$D$5:$D$500,MATCH($B436&amp;"|"&amp;$L436,ClientRates!$A$5:$A$500,0)),0))</f>
        <v/>
      </c>
      <c r="N436" s="26" t="str">
        <f aca="false">IF($D436="","",IFERROR(INDEX(ClientRates!$E$5:$E$500,MATCH($B436&amp;"|"&amp;$L436,ClientRates!$A$5:$A$500,0)),0))</f>
        <v/>
      </c>
      <c r="O436" s="26" t="str">
        <f aca="false">IF($D436="","",F436*M436+G436*N436)</f>
        <v/>
      </c>
      <c r="P436" s="26" t="str">
        <f aca="false">IF(OR($D436="",$J436&lt;&gt;"Supplier"),"",IFERROR(INDEX(SupplierRates!$D$5:$D$500,MATCH($K436&amp;"|"&amp;$L436,SupplierRates!$A$5:$A$500,0)),0))</f>
        <v/>
      </c>
      <c r="Q436" s="26" t="str">
        <f aca="false">IF(OR($D436="",$J436&lt;&gt;"Supplier"),"",IFERROR(INDEX(SupplierRates!$E$5:$E$500,MATCH($K436&amp;"|"&amp;$L436,SupplierRates!$A$5:$A$500,0)),0))</f>
        <v/>
      </c>
      <c r="R436" s="26" t="n">
        <f aca="false">IF(OR($D436="",$J436&lt;&gt;"Supplier"),0,F436*P436+G436*Q436)</f>
        <v>0</v>
      </c>
      <c r="S436" s="26" t="n">
        <f aca="false">IF(OR($D436="",$J436&lt;&gt;"Own"),0,IFERROR((F436+G436*Settings!$B$13)*INDEX(Workers!$V$5:$V$2004,MATCH($D436,Workers!$A$5:$A$2004,0)),0))</f>
        <v>0</v>
      </c>
      <c r="T436" s="26" t="str">
        <f aca="false">IF($D436="","",O436-R436-S436)</f>
        <v/>
      </c>
    </row>
    <row r="437" customFormat="false" ht="15" hidden="false" customHeight="false" outlineLevel="0" collapsed="false">
      <c r="I437" s="24" t="str">
        <f aca="false">IF($D437="","",IFERROR(INDEX(Workers!$B$5:$B$2004,MATCH($D437,Workers!$A$5:$A$2004,0)),"NOT FOUND"))</f>
        <v/>
      </c>
      <c r="J437" s="24" t="str">
        <f aca="false">IF($D437="","",IFERROR(INDEX(Workers!$C$5:$C$2004,MATCH($D437,Workers!$A$5:$A$2004,0)),""))</f>
        <v/>
      </c>
      <c r="K437" s="24" t="str">
        <f aca="false">IF($D437="","",IFERROR(IF(INDEX(Workers!$D$5:$D$2004,MATCH($D437,Workers!$A$5:$A$2004,0))=0,"",INDEX(Workers!$D$5:$D$2004,MATCH($D437,Workers!$A$5:$A$2004,0))),""))</f>
        <v/>
      </c>
      <c r="L437" s="24" t="str">
        <f aca="false">IF($D437="","",IFERROR(INDEX(Workers!$E$5:$E$2004,MATCH($D437,Workers!$A$5:$A$2004,0)),""))</f>
        <v/>
      </c>
      <c r="M437" s="26" t="str">
        <f aca="false">IF($D437="","",IFERROR(INDEX(ClientRates!$D$5:$D$500,MATCH($B437&amp;"|"&amp;$L437,ClientRates!$A$5:$A$500,0)),0))</f>
        <v/>
      </c>
      <c r="N437" s="26" t="str">
        <f aca="false">IF($D437="","",IFERROR(INDEX(ClientRates!$E$5:$E$500,MATCH($B437&amp;"|"&amp;$L437,ClientRates!$A$5:$A$500,0)),0))</f>
        <v/>
      </c>
      <c r="O437" s="26" t="str">
        <f aca="false">IF($D437="","",F437*M437+G437*N437)</f>
        <v/>
      </c>
      <c r="P437" s="26" t="str">
        <f aca="false">IF(OR($D437="",$J437&lt;&gt;"Supplier"),"",IFERROR(INDEX(SupplierRates!$D$5:$D$500,MATCH($K437&amp;"|"&amp;$L437,SupplierRates!$A$5:$A$500,0)),0))</f>
        <v/>
      </c>
      <c r="Q437" s="26" t="str">
        <f aca="false">IF(OR($D437="",$J437&lt;&gt;"Supplier"),"",IFERROR(INDEX(SupplierRates!$E$5:$E$500,MATCH($K437&amp;"|"&amp;$L437,SupplierRates!$A$5:$A$500,0)),0))</f>
        <v/>
      </c>
      <c r="R437" s="26" t="n">
        <f aca="false">IF(OR($D437="",$J437&lt;&gt;"Supplier"),0,F437*P437+G437*Q437)</f>
        <v>0</v>
      </c>
      <c r="S437" s="26" t="n">
        <f aca="false">IF(OR($D437="",$J437&lt;&gt;"Own"),0,IFERROR((F437+G437*Settings!$B$13)*INDEX(Workers!$V$5:$V$2004,MATCH($D437,Workers!$A$5:$A$2004,0)),0))</f>
        <v>0</v>
      </c>
      <c r="T437" s="26" t="str">
        <f aca="false">IF($D437="","",O437-R437-S437)</f>
        <v/>
      </c>
    </row>
    <row r="438" customFormat="false" ht="15" hidden="false" customHeight="false" outlineLevel="0" collapsed="false">
      <c r="I438" s="24" t="str">
        <f aca="false">IF($D438="","",IFERROR(INDEX(Workers!$B$5:$B$2004,MATCH($D438,Workers!$A$5:$A$2004,0)),"NOT FOUND"))</f>
        <v/>
      </c>
      <c r="J438" s="24" t="str">
        <f aca="false">IF($D438="","",IFERROR(INDEX(Workers!$C$5:$C$2004,MATCH($D438,Workers!$A$5:$A$2004,0)),""))</f>
        <v/>
      </c>
      <c r="K438" s="24" t="str">
        <f aca="false">IF($D438="","",IFERROR(IF(INDEX(Workers!$D$5:$D$2004,MATCH($D438,Workers!$A$5:$A$2004,0))=0,"",INDEX(Workers!$D$5:$D$2004,MATCH($D438,Workers!$A$5:$A$2004,0))),""))</f>
        <v/>
      </c>
      <c r="L438" s="24" t="str">
        <f aca="false">IF($D438="","",IFERROR(INDEX(Workers!$E$5:$E$2004,MATCH($D438,Workers!$A$5:$A$2004,0)),""))</f>
        <v/>
      </c>
      <c r="M438" s="26" t="str">
        <f aca="false">IF($D438="","",IFERROR(INDEX(ClientRates!$D$5:$D$500,MATCH($B438&amp;"|"&amp;$L438,ClientRates!$A$5:$A$500,0)),0))</f>
        <v/>
      </c>
      <c r="N438" s="26" t="str">
        <f aca="false">IF($D438="","",IFERROR(INDEX(ClientRates!$E$5:$E$500,MATCH($B438&amp;"|"&amp;$L438,ClientRates!$A$5:$A$500,0)),0))</f>
        <v/>
      </c>
      <c r="O438" s="26" t="str">
        <f aca="false">IF($D438="","",F438*M438+G438*N438)</f>
        <v/>
      </c>
      <c r="P438" s="26" t="str">
        <f aca="false">IF(OR($D438="",$J438&lt;&gt;"Supplier"),"",IFERROR(INDEX(SupplierRates!$D$5:$D$500,MATCH($K438&amp;"|"&amp;$L438,SupplierRates!$A$5:$A$500,0)),0))</f>
        <v/>
      </c>
      <c r="Q438" s="26" t="str">
        <f aca="false">IF(OR($D438="",$J438&lt;&gt;"Supplier"),"",IFERROR(INDEX(SupplierRates!$E$5:$E$500,MATCH($K438&amp;"|"&amp;$L438,SupplierRates!$A$5:$A$500,0)),0))</f>
        <v/>
      </c>
      <c r="R438" s="26" t="n">
        <f aca="false">IF(OR($D438="",$J438&lt;&gt;"Supplier"),0,F438*P438+G438*Q438)</f>
        <v>0</v>
      </c>
      <c r="S438" s="26" t="n">
        <f aca="false">IF(OR($D438="",$J438&lt;&gt;"Own"),0,IFERROR((F438+G438*Settings!$B$13)*INDEX(Workers!$V$5:$V$2004,MATCH($D438,Workers!$A$5:$A$2004,0)),0))</f>
        <v>0</v>
      </c>
      <c r="T438" s="26" t="str">
        <f aca="false">IF($D438="","",O438-R438-S438)</f>
        <v/>
      </c>
    </row>
    <row r="439" customFormat="false" ht="15" hidden="false" customHeight="false" outlineLevel="0" collapsed="false">
      <c r="I439" s="24" t="str">
        <f aca="false">IF($D439="","",IFERROR(INDEX(Workers!$B$5:$B$2004,MATCH($D439,Workers!$A$5:$A$2004,0)),"NOT FOUND"))</f>
        <v/>
      </c>
      <c r="J439" s="24" t="str">
        <f aca="false">IF($D439="","",IFERROR(INDEX(Workers!$C$5:$C$2004,MATCH($D439,Workers!$A$5:$A$2004,0)),""))</f>
        <v/>
      </c>
      <c r="K439" s="24" t="str">
        <f aca="false">IF($D439="","",IFERROR(IF(INDEX(Workers!$D$5:$D$2004,MATCH($D439,Workers!$A$5:$A$2004,0))=0,"",INDEX(Workers!$D$5:$D$2004,MATCH($D439,Workers!$A$5:$A$2004,0))),""))</f>
        <v/>
      </c>
      <c r="L439" s="24" t="str">
        <f aca="false">IF($D439="","",IFERROR(INDEX(Workers!$E$5:$E$2004,MATCH($D439,Workers!$A$5:$A$2004,0)),""))</f>
        <v/>
      </c>
      <c r="M439" s="26" t="str">
        <f aca="false">IF($D439="","",IFERROR(INDEX(ClientRates!$D$5:$D$500,MATCH($B439&amp;"|"&amp;$L439,ClientRates!$A$5:$A$500,0)),0))</f>
        <v/>
      </c>
      <c r="N439" s="26" t="str">
        <f aca="false">IF($D439="","",IFERROR(INDEX(ClientRates!$E$5:$E$500,MATCH($B439&amp;"|"&amp;$L439,ClientRates!$A$5:$A$500,0)),0))</f>
        <v/>
      </c>
      <c r="O439" s="26" t="str">
        <f aca="false">IF($D439="","",F439*M439+G439*N439)</f>
        <v/>
      </c>
      <c r="P439" s="26" t="str">
        <f aca="false">IF(OR($D439="",$J439&lt;&gt;"Supplier"),"",IFERROR(INDEX(SupplierRates!$D$5:$D$500,MATCH($K439&amp;"|"&amp;$L439,SupplierRates!$A$5:$A$500,0)),0))</f>
        <v/>
      </c>
      <c r="Q439" s="26" t="str">
        <f aca="false">IF(OR($D439="",$J439&lt;&gt;"Supplier"),"",IFERROR(INDEX(SupplierRates!$E$5:$E$500,MATCH($K439&amp;"|"&amp;$L439,SupplierRates!$A$5:$A$500,0)),0))</f>
        <v/>
      </c>
      <c r="R439" s="26" t="n">
        <f aca="false">IF(OR($D439="",$J439&lt;&gt;"Supplier"),0,F439*P439+G439*Q439)</f>
        <v>0</v>
      </c>
      <c r="S439" s="26" t="n">
        <f aca="false">IF(OR($D439="",$J439&lt;&gt;"Own"),0,IFERROR((F439+G439*Settings!$B$13)*INDEX(Workers!$V$5:$V$2004,MATCH($D439,Workers!$A$5:$A$2004,0)),0))</f>
        <v>0</v>
      </c>
      <c r="T439" s="26" t="str">
        <f aca="false">IF($D439="","",O439-R439-S439)</f>
        <v/>
      </c>
    </row>
    <row r="440" customFormat="false" ht="15" hidden="false" customHeight="false" outlineLevel="0" collapsed="false">
      <c r="I440" s="24" t="str">
        <f aca="false">IF($D440="","",IFERROR(INDEX(Workers!$B$5:$B$2004,MATCH($D440,Workers!$A$5:$A$2004,0)),"NOT FOUND"))</f>
        <v/>
      </c>
      <c r="J440" s="24" t="str">
        <f aca="false">IF($D440="","",IFERROR(INDEX(Workers!$C$5:$C$2004,MATCH($D440,Workers!$A$5:$A$2004,0)),""))</f>
        <v/>
      </c>
      <c r="K440" s="24" t="str">
        <f aca="false">IF($D440="","",IFERROR(IF(INDEX(Workers!$D$5:$D$2004,MATCH($D440,Workers!$A$5:$A$2004,0))=0,"",INDEX(Workers!$D$5:$D$2004,MATCH($D440,Workers!$A$5:$A$2004,0))),""))</f>
        <v/>
      </c>
      <c r="L440" s="24" t="str">
        <f aca="false">IF($D440="","",IFERROR(INDEX(Workers!$E$5:$E$2004,MATCH($D440,Workers!$A$5:$A$2004,0)),""))</f>
        <v/>
      </c>
      <c r="M440" s="26" t="str">
        <f aca="false">IF($D440="","",IFERROR(INDEX(ClientRates!$D$5:$D$500,MATCH($B440&amp;"|"&amp;$L440,ClientRates!$A$5:$A$500,0)),0))</f>
        <v/>
      </c>
      <c r="N440" s="26" t="str">
        <f aca="false">IF($D440="","",IFERROR(INDEX(ClientRates!$E$5:$E$500,MATCH($B440&amp;"|"&amp;$L440,ClientRates!$A$5:$A$500,0)),0))</f>
        <v/>
      </c>
      <c r="O440" s="26" t="str">
        <f aca="false">IF($D440="","",F440*M440+G440*N440)</f>
        <v/>
      </c>
      <c r="P440" s="26" t="str">
        <f aca="false">IF(OR($D440="",$J440&lt;&gt;"Supplier"),"",IFERROR(INDEX(SupplierRates!$D$5:$D$500,MATCH($K440&amp;"|"&amp;$L440,SupplierRates!$A$5:$A$500,0)),0))</f>
        <v/>
      </c>
      <c r="Q440" s="26" t="str">
        <f aca="false">IF(OR($D440="",$J440&lt;&gt;"Supplier"),"",IFERROR(INDEX(SupplierRates!$E$5:$E$500,MATCH($K440&amp;"|"&amp;$L440,SupplierRates!$A$5:$A$500,0)),0))</f>
        <v/>
      </c>
      <c r="R440" s="26" t="n">
        <f aca="false">IF(OR($D440="",$J440&lt;&gt;"Supplier"),0,F440*P440+G440*Q440)</f>
        <v>0</v>
      </c>
      <c r="S440" s="26" t="n">
        <f aca="false">IF(OR($D440="",$J440&lt;&gt;"Own"),0,IFERROR((F440+G440*Settings!$B$13)*INDEX(Workers!$V$5:$V$2004,MATCH($D440,Workers!$A$5:$A$2004,0)),0))</f>
        <v>0</v>
      </c>
      <c r="T440" s="26" t="str">
        <f aca="false">IF($D440="","",O440-R440-S440)</f>
        <v/>
      </c>
    </row>
    <row r="441" customFormat="false" ht="15" hidden="false" customHeight="false" outlineLevel="0" collapsed="false">
      <c r="I441" s="24" t="str">
        <f aca="false">IF($D441="","",IFERROR(INDEX(Workers!$B$5:$B$2004,MATCH($D441,Workers!$A$5:$A$2004,0)),"NOT FOUND"))</f>
        <v/>
      </c>
      <c r="J441" s="24" t="str">
        <f aca="false">IF($D441="","",IFERROR(INDEX(Workers!$C$5:$C$2004,MATCH($D441,Workers!$A$5:$A$2004,0)),""))</f>
        <v/>
      </c>
      <c r="K441" s="24" t="str">
        <f aca="false">IF($D441="","",IFERROR(IF(INDEX(Workers!$D$5:$D$2004,MATCH($D441,Workers!$A$5:$A$2004,0))=0,"",INDEX(Workers!$D$5:$D$2004,MATCH($D441,Workers!$A$5:$A$2004,0))),""))</f>
        <v/>
      </c>
      <c r="L441" s="24" t="str">
        <f aca="false">IF($D441="","",IFERROR(INDEX(Workers!$E$5:$E$2004,MATCH($D441,Workers!$A$5:$A$2004,0)),""))</f>
        <v/>
      </c>
      <c r="M441" s="26" t="str">
        <f aca="false">IF($D441="","",IFERROR(INDEX(ClientRates!$D$5:$D$500,MATCH($B441&amp;"|"&amp;$L441,ClientRates!$A$5:$A$500,0)),0))</f>
        <v/>
      </c>
      <c r="N441" s="26" t="str">
        <f aca="false">IF($D441="","",IFERROR(INDEX(ClientRates!$E$5:$E$500,MATCH($B441&amp;"|"&amp;$L441,ClientRates!$A$5:$A$500,0)),0))</f>
        <v/>
      </c>
      <c r="O441" s="26" t="str">
        <f aca="false">IF($D441="","",F441*M441+G441*N441)</f>
        <v/>
      </c>
      <c r="P441" s="26" t="str">
        <f aca="false">IF(OR($D441="",$J441&lt;&gt;"Supplier"),"",IFERROR(INDEX(SupplierRates!$D$5:$D$500,MATCH($K441&amp;"|"&amp;$L441,SupplierRates!$A$5:$A$500,0)),0))</f>
        <v/>
      </c>
      <c r="Q441" s="26" t="str">
        <f aca="false">IF(OR($D441="",$J441&lt;&gt;"Supplier"),"",IFERROR(INDEX(SupplierRates!$E$5:$E$500,MATCH($K441&amp;"|"&amp;$L441,SupplierRates!$A$5:$A$500,0)),0))</f>
        <v/>
      </c>
      <c r="R441" s="26" t="n">
        <f aca="false">IF(OR($D441="",$J441&lt;&gt;"Supplier"),0,F441*P441+G441*Q441)</f>
        <v>0</v>
      </c>
      <c r="S441" s="26" t="n">
        <f aca="false">IF(OR($D441="",$J441&lt;&gt;"Own"),0,IFERROR((F441+G441*Settings!$B$13)*INDEX(Workers!$V$5:$V$2004,MATCH($D441,Workers!$A$5:$A$2004,0)),0))</f>
        <v>0</v>
      </c>
      <c r="T441" s="26" t="str">
        <f aca="false">IF($D441="","",O441-R441-S441)</f>
        <v/>
      </c>
    </row>
    <row r="442" customFormat="false" ht="15" hidden="false" customHeight="false" outlineLevel="0" collapsed="false">
      <c r="I442" s="24" t="str">
        <f aca="false">IF($D442="","",IFERROR(INDEX(Workers!$B$5:$B$2004,MATCH($D442,Workers!$A$5:$A$2004,0)),"NOT FOUND"))</f>
        <v/>
      </c>
      <c r="J442" s="24" t="str">
        <f aca="false">IF($D442="","",IFERROR(INDEX(Workers!$C$5:$C$2004,MATCH($D442,Workers!$A$5:$A$2004,0)),""))</f>
        <v/>
      </c>
      <c r="K442" s="24" t="str">
        <f aca="false">IF($D442="","",IFERROR(IF(INDEX(Workers!$D$5:$D$2004,MATCH($D442,Workers!$A$5:$A$2004,0))=0,"",INDEX(Workers!$D$5:$D$2004,MATCH($D442,Workers!$A$5:$A$2004,0))),""))</f>
        <v/>
      </c>
      <c r="L442" s="24" t="str">
        <f aca="false">IF($D442="","",IFERROR(INDEX(Workers!$E$5:$E$2004,MATCH($D442,Workers!$A$5:$A$2004,0)),""))</f>
        <v/>
      </c>
      <c r="M442" s="26" t="str">
        <f aca="false">IF($D442="","",IFERROR(INDEX(ClientRates!$D$5:$D$500,MATCH($B442&amp;"|"&amp;$L442,ClientRates!$A$5:$A$500,0)),0))</f>
        <v/>
      </c>
      <c r="N442" s="26" t="str">
        <f aca="false">IF($D442="","",IFERROR(INDEX(ClientRates!$E$5:$E$500,MATCH($B442&amp;"|"&amp;$L442,ClientRates!$A$5:$A$500,0)),0))</f>
        <v/>
      </c>
      <c r="O442" s="26" t="str">
        <f aca="false">IF($D442="","",F442*M442+G442*N442)</f>
        <v/>
      </c>
      <c r="P442" s="26" t="str">
        <f aca="false">IF(OR($D442="",$J442&lt;&gt;"Supplier"),"",IFERROR(INDEX(SupplierRates!$D$5:$D$500,MATCH($K442&amp;"|"&amp;$L442,SupplierRates!$A$5:$A$500,0)),0))</f>
        <v/>
      </c>
      <c r="Q442" s="26" t="str">
        <f aca="false">IF(OR($D442="",$J442&lt;&gt;"Supplier"),"",IFERROR(INDEX(SupplierRates!$E$5:$E$500,MATCH($K442&amp;"|"&amp;$L442,SupplierRates!$A$5:$A$500,0)),0))</f>
        <v/>
      </c>
      <c r="R442" s="26" t="n">
        <f aca="false">IF(OR($D442="",$J442&lt;&gt;"Supplier"),0,F442*P442+G442*Q442)</f>
        <v>0</v>
      </c>
      <c r="S442" s="26" t="n">
        <f aca="false">IF(OR($D442="",$J442&lt;&gt;"Own"),0,IFERROR((F442+G442*Settings!$B$13)*INDEX(Workers!$V$5:$V$2004,MATCH($D442,Workers!$A$5:$A$2004,0)),0))</f>
        <v>0</v>
      </c>
      <c r="T442" s="26" t="str">
        <f aca="false">IF($D442="","",O442-R442-S442)</f>
        <v/>
      </c>
    </row>
    <row r="443" customFormat="false" ht="15" hidden="false" customHeight="false" outlineLevel="0" collapsed="false">
      <c r="I443" s="24" t="str">
        <f aca="false">IF($D443="","",IFERROR(INDEX(Workers!$B$5:$B$2004,MATCH($D443,Workers!$A$5:$A$2004,0)),"NOT FOUND"))</f>
        <v/>
      </c>
      <c r="J443" s="24" t="str">
        <f aca="false">IF($D443="","",IFERROR(INDEX(Workers!$C$5:$C$2004,MATCH($D443,Workers!$A$5:$A$2004,0)),""))</f>
        <v/>
      </c>
      <c r="K443" s="24" t="str">
        <f aca="false">IF($D443="","",IFERROR(IF(INDEX(Workers!$D$5:$D$2004,MATCH($D443,Workers!$A$5:$A$2004,0))=0,"",INDEX(Workers!$D$5:$D$2004,MATCH($D443,Workers!$A$5:$A$2004,0))),""))</f>
        <v/>
      </c>
      <c r="L443" s="24" t="str">
        <f aca="false">IF($D443="","",IFERROR(INDEX(Workers!$E$5:$E$2004,MATCH($D443,Workers!$A$5:$A$2004,0)),""))</f>
        <v/>
      </c>
      <c r="M443" s="26" t="str">
        <f aca="false">IF($D443="","",IFERROR(INDEX(ClientRates!$D$5:$D$500,MATCH($B443&amp;"|"&amp;$L443,ClientRates!$A$5:$A$500,0)),0))</f>
        <v/>
      </c>
      <c r="N443" s="26" t="str">
        <f aca="false">IF($D443="","",IFERROR(INDEX(ClientRates!$E$5:$E$500,MATCH($B443&amp;"|"&amp;$L443,ClientRates!$A$5:$A$500,0)),0))</f>
        <v/>
      </c>
      <c r="O443" s="26" t="str">
        <f aca="false">IF($D443="","",F443*M443+G443*N443)</f>
        <v/>
      </c>
      <c r="P443" s="26" t="str">
        <f aca="false">IF(OR($D443="",$J443&lt;&gt;"Supplier"),"",IFERROR(INDEX(SupplierRates!$D$5:$D$500,MATCH($K443&amp;"|"&amp;$L443,SupplierRates!$A$5:$A$500,0)),0))</f>
        <v/>
      </c>
      <c r="Q443" s="26" t="str">
        <f aca="false">IF(OR($D443="",$J443&lt;&gt;"Supplier"),"",IFERROR(INDEX(SupplierRates!$E$5:$E$500,MATCH($K443&amp;"|"&amp;$L443,SupplierRates!$A$5:$A$500,0)),0))</f>
        <v/>
      </c>
      <c r="R443" s="26" t="n">
        <f aca="false">IF(OR($D443="",$J443&lt;&gt;"Supplier"),0,F443*P443+G443*Q443)</f>
        <v>0</v>
      </c>
      <c r="S443" s="26" t="n">
        <f aca="false">IF(OR($D443="",$J443&lt;&gt;"Own"),0,IFERROR((F443+G443*Settings!$B$13)*INDEX(Workers!$V$5:$V$2004,MATCH($D443,Workers!$A$5:$A$2004,0)),0))</f>
        <v>0</v>
      </c>
      <c r="T443" s="26" t="str">
        <f aca="false">IF($D443="","",O443-R443-S443)</f>
        <v/>
      </c>
    </row>
    <row r="444" customFormat="false" ht="15" hidden="false" customHeight="false" outlineLevel="0" collapsed="false">
      <c r="I444" s="24" t="str">
        <f aca="false">IF($D444="","",IFERROR(INDEX(Workers!$B$5:$B$2004,MATCH($D444,Workers!$A$5:$A$2004,0)),"NOT FOUND"))</f>
        <v/>
      </c>
      <c r="J444" s="24" t="str">
        <f aca="false">IF($D444="","",IFERROR(INDEX(Workers!$C$5:$C$2004,MATCH($D444,Workers!$A$5:$A$2004,0)),""))</f>
        <v/>
      </c>
      <c r="K444" s="24" t="str">
        <f aca="false">IF($D444="","",IFERROR(IF(INDEX(Workers!$D$5:$D$2004,MATCH($D444,Workers!$A$5:$A$2004,0))=0,"",INDEX(Workers!$D$5:$D$2004,MATCH($D444,Workers!$A$5:$A$2004,0))),""))</f>
        <v/>
      </c>
      <c r="L444" s="24" t="str">
        <f aca="false">IF($D444="","",IFERROR(INDEX(Workers!$E$5:$E$2004,MATCH($D444,Workers!$A$5:$A$2004,0)),""))</f>
        <v/>
      </c>
      <c r="M444" s="26" t="str">
        <f aca="false">IF($D444="","",IFERROR(INDEX(ClientRates!$D$5:$D$500,MATCH($B444&amp;"|"&amp;$L444,ClientRates!$A$5:$A$500,0)),0))</f>
        <v/>
      </c>
      <c r="N444" s="26" t="str">
        <f aca="false">IF($D444="","",IFERROR(INDEX(ClientRates!$E$5:$E$500,MATCH($B444&amp;"|"&amp;$L444,ClientRates!$A$5:$A$500,0)),0))</f>
        <v/>
      </c>
      <c r="O444" s="26" t="str">
        <f aca="false">IF($D444="","",F444*M444+G444*N444)</f>
        <v/>
      </c>
      <c r="P444" s="26" t="str">
        <f aca="false">IF(OR($D444="",$J444&lt;&gt;"Supplier"),"",IFERROR(INDEX(SupplierRates!$D$5:$D$500,MATCH($K444&amp;"|"&amp;$L444,SupplierRates!$A$5:$A$500,0)),0))</f>
        <v/>
      </c>
      <c r="Q444" s="26" t="str">
        <f aca="false">IF(OR($D444="",$J444&lt;&gt;"Supplier"),"",IFERROR(INDEX(SupplierRates!$E$5:$E$500,MATCH($K444&amp;"|"&amp;$L444,SupplierRates!$A$5:$A$500,0)),0))</f>
        <v/>
      </c>
      <c r="R444" s="26" t="n">
        <f aca="false">IF(OR($D444="",$J444&lt;&gt;"Supplier"),0,F444*P444+G444*Q444)</f>
        <v>0</v>
      </c>
      <c r="S444" s="26" t="n">
        <f aca="false">IF(OR($D444="",$J444&lt;&gt;"Own"),0,IFERROR((F444+G444*Settings!$B$13)*INDEX(Workers!$V$5:$V$2004,MATCH($D444,Workers!$A$5:$A$2004,0)),0))</f>
        <v>0</v>
      </c>
      <c r="T444" s="26" t="str">
        <f aca="false">IF($D444="","",O444-R444-S444)</f>
        <v/>
      </c>
    </row>
    <row r="445" customFormat="false" ht="15" hidden="false" customHeight="false" outlineLevel="0" collapsed="false">
      <c r="I445" s="24" t="str">
        <f aca="false">IF($D445="","",IFERROR(INDEX(Workers!$B$5:$B$2004,MATCH($D445,Workers!$A$5:$A$2004,0)),"NOT FOUND"))</f>
        <v/>
      </c>
      <c r="J445" s="24" t="str">
        <f aca="false">IF($D445="","",IFERROR(INDEX(Workers!$C$5:$C$2004,MATCH($D445,Workers!$A$5:$A$2004,0)),""))</f>
        <v/>
      </c>
      <c r="K445" s="24" t="str">
        <f aca="false">IF($D445="","",IFERROR(IF(INDEX(Workers!$D$5:$D$2004,MATCH($D445,Workers!$A$5:$A$2004,0))=0,"",INDEX(Workers!$D$5:$D$2004,MATCH($D445,Workers!$A$5:$A$2004,0))),""))</f>
        <v/>
      </c>
      <c r="L445" s="24" t="str">
        <f aca="false">IF($D445="","",IFERROR(INDEX(Workers!$E$5:$E$2004,MATCH($D445,Workers!$A$5:$A$2004,0)),""))</f>
        <v/>
      </c>
      <c r="M445" s="26" t="str">
        <f aca="false">IF($D445="","",IFERROR(INDEX(ClientRates!$D$5:$D$500,MATCH($B445&amp;"|"&amp;$L445,ClientRates!$A$5:$A$500,0)),0))</f>
        <v/>
      </c>
      <c r="N445" s="26" t="str">
        <f aca="false">IF($D445="","",IFERROR(INDEX(ClientRates!$E$5:$E$500,MATCH($B445&amp;"|"&amp;$L445,ClientRates!$A$5:$A$500,0)),0))</f>
        <v/>
      </c>
      <c r="O445" s="26" t="str">
        <f aca="false">IF($D445="","",F445*M445+G445*N445)</f>
        <v/>
      </c>
      <c r="P445" s="26" t="str">
        <f aca="false">IF(OR($D445="",$J445&lt;&gt;"Supplier"),"",IFERROR(INDEX(SupplierRates!$D$5:$D$500,MATCH($K445&amp;"|"&amp;$L445,SupplierRates!$A$5:$A$500,0)),0))</f>
        <v/>
      </c>
      <c r="Q445" s="26" t="str">
        <f aca="false">IF(OR($D445="",$J445&lt;&gt;"Supplier"),"",IFERROR(INDEX(SupplierRates!$E$5:$E$500,MATCH($K445&amp;"|"&amp;$L445,SupplierRates!$A$5:$A$500,0)),0))</f>
        <v/>
      </c>
      <c r="R445" s="26" t="n">
        <f aca="false">IF(OR($D445="",$J445&lt;&gt;"Supplier"),0,F445*P445+G445*Q445)</f>
        <v>0</v>
      </c>
      <c r="S445" s="26" t="n">
        <f aca="false">IF(OR($D445="",$J445&lt;&gt;"Own"),0,IFERROR((F445+G445*Settings!$B$13)*INDEX(Workers!$V$5:$V$2004,MATCH($D445,Workers!$A$5:$A$2004,0)),0))</f>
        <v>0</v>
      </c>
      <c r="T445" s="26" t="str">
        <f aca="false">IF($D445="","",O445-R445-S445)</f>
        <v/>
      </c>
    </row>
    <row r="446" customFormat="false" ht="15" hidden="false" customHeight="false" outlineLevel="0" collapsed="false">
      <c r="I446" s="24" t="str">
        <f aca="false">IF($D446="","",IFERROR(INDEX(Workers!$B$5:$B$2004,MATCH($D446,Workers!$A$5:$A$2004,0)),"NOT FOUND"))</f>
        <v/>
      </c>
      <c r="J446" s="24" t="str">
        <f aca="false">IF($D446="","",IFERROR(INDEX(Workers!$C$5:$C$2004,MATCH($D446,Workers!$A$5:$A$2004,0)),""))</f>
        <v/>
      </c>
      <c r="K446" s="24" t="str">
        <f aca="false">IF($D446="","",IFERROR(IF(INDEX(Workers!$D$5:$D$2004,MATCH($D446,Workers!$A$5:$A$2004,0))=0,"",INDEX(Workers!$D$5:$D$2004,MATCH($D446,Workers!$A$5:$A$2004,0))),""))</f>
        <v/>
      </c>
      <c r="L446" s="24" t="str">
        <f aca="false">IF($D446="","",IFERROR(INDEX(Workers!$E$5:$E$2004,MATCH($D446,Workers!$A$5:$A$2004,0)),""))</f>
        <v/>
      </c>
      <c r="M446" s="26" t="str">
        <f aca="false">IF($D446="","",IFERROR(INDEX(ClientRates!$D$5:$D$500,MATCH($B446&amp;"|"&amp;$L446,ClientRates!$A$5:$A$500,0)),0))</f>
        <v/>
      </c>
      <c r="N446" s="26" t="str">
        <f aca="false">IF($D446="","",IFERROR(INDEX(ClientRates!$E$5:$E$500,MATCH($B446&amp;"|"&amp;$L446,ClientRates!$A$5:$A$500,0)),0))</f>
        <v/>
      </c>
      <c r="O446" s="26" t="str">
        <f aca="false">IF($D446="","",F446*M446+G446*N446)</f>
        <v/>
      </c>
      <c r="P446" s="26" t="str">
        <f aca="false">IF(OR($D446="",$J446&lt;&gt;"Supplier"),"",IFERROR(INDEX(SupplierRates!$D$5:$D$500,MATCH($K446&amp;"|"&amp;$L446,SupplierRates!$A$5:$A$500,0)),0))</f>
        <v/>
      </c>
      <c r="Q446" s="26" t="str">
        <f aca="false">IF(OR($D446="",$J446&lt;&gt;"Supplier"),"",IFERROR(INDEX(SupplierRates!$E$5:$E$500,MATCH($K446&amp;"|"&amp;$L446,SupplierRates!$A$5:$A$500,0)),0))</f>
        <v/>
      </c>
      <c r="R446" s="26" t="n">
        <f aca="false">IF(OR($D446="",$J446&lt;&gt;"Supplier"),0,F446*P446+G446*Q446)</f>
        <v>0</v>
      </c>
      <c r="S446" s="26" t="n">
        <f aca="false">IF(OR($D446="",$J446&lt;&gt;"Own"),0,IFERROR((F446+G446*Settings!$B$13)*INDEX(Workers!$V$5:$V$2004,MATCH($D446,Workers!$A$5:$A$2004,0)),0))</f>
        <v>0</v>
      </c>
      <c r="T446" s="26" t="str">
        <f aca="false">IF($D446="","",O446-R446-S446)</f>
        <v/>
      </c>
    </row>
    <row r="447" customFormat="false" ht="15" hidden="false" customHeight="false" outlineLevel="0" collapsed="false">
      <c r="I447" s="24" t="str">
        <f aca="false">IF($D447="","",IFERROR(INDEX(Workers!$B$5:$B$2004,MATCH($D447,Workers!$A$5:$A$2004,0)),"NOT FOUND"))</f>
        <v/>
      </c>
      <c r="J447" s="24" t="str">
        <f aca="false">IF($D447="","",IFERROR(INDEX(Workers!$C$5:$C$2004,MATCH($D447,Workers!$A$5:$A$2004,0)),""))</f>
        <v/>
      </c>
      <c r="K447" s="24" t="str">
        <f aca="false">IF($D447="","",IFERROR(IF(INDEX(Workers!$D$5:$D$2004,MATCH($D447,Workers!$A$5:$A$2004,0))=0,"",INDEX(Workers!$D$5:$D$2004,MATCH($D447,Workers!$A$5:$A$2004,0))),""))</f>
        <v/>
      </c>
      <c r="L447" s="24" t="str">
        <f aca="false">IF($D447="","",IFERROR(INDEX(Workers!$E$5:$E$2004,MATCH($D447,Workers!$A$5:$A$2004,0)),""))</f>
        <v/>
      </c>
      <c r="M447" s="26" t="str">
        <f aca="false">IF($D447="","",IFERROR(INDEX(ClientRates!$D$5:$D$500,MATCH($B447&amp;"|"&amp;$L447,ClientRates!$A$5:$A$500,0)),0))</f>
        <v/>
      </c>
      <c r="N447" s="26" t="str">
        <f aca="false">IF($D447="","",IFERROR(INDEX(ClientRates!$E$5:$E$500,MATCH($B447&amp;"|"&amp;$L447,ClientRates!$A$5:$A$500,0)),0))</f>
        <v/>
      </c>
      <c r="O447" s="26" t="str">
        <f aca="false">IF($D447="","",F447*M447+G447*N447)</f>
        <v/>
      </c>
      <c r="P447" s="26" t="str">
        <f aca="false">IF(OR($D447="",$J447&lt;&gt;"Supplier"),"",IFERROR(INDEX(SupplierRates!$D$5:$D$500,MATCH($K447&amp;"|"&amp;$L447,SupplierRates!$A$5:$A$500,0)),0))</f>
        <v/>
      </c>
      <c r="Q447" s="26" t="str">
        <f aca="false">IF(OR($D447="",$J447&lt;&gt;"Supplier"),"",IFERROR(INDEX(SupplierRates!$E$5:$E$500,MATCH($K447&amp;"|"&amp;$L447,SupplierRates!$A$5:$A$500,0)),0))</f>
        <v/>
      </c>
      <c r="R447" s="26" t="n">
        <f aca="false">IF(OR($D447="",$J447&lt;&gt;"Supplier"),0,F447*P447+G447*Q447)</f>
        <v>0</v>
      </c>
      <c r="S447" s="26" t="n">
        <f aca="false">IF(OR($D447="",$J447&lt;&gt;"Own"),0,IFERROR((F447+G447*Settings!$B$13)*INDEX(Workers!$V$5:$V$2004,MATCH($D447,Workers!$A$5:$A$2004,0)),0))</f>
        <v>0</v>
      </c>
      <c r="T447" s="26" t="str">
        <f aca="false">IF($D447="","",O447-R447-S447)</f>
        <v/>
      </c>
    </row>
    <row r="448" customFormat="false" ht="15" hidden="false" customHeight="false" outlineLevel="0" collapsed="false">
      <c r="I448" s="24" t="str">
        <f aca="false">IF($D448="","",IFERROR(INDEX(Workers!$B$5:$B$2004,MATCH($D448,Workers!$A$5:$A$2004,0)),"NOT FOUND"))</f>
        <v/>
      </c>
      <c r="J448" s="24" t="str">
        <f aca="false">IF($D448="","",IFERROR(INDEX(Workers!$C$5:$C$2004,MATCH($D448,Workers!$A$5:$A$2004,0)),""))</f>
        <v/>
      </c>
      <c r="K448" s="24" t="str">
        <f aca="false">IF($D448="","",IFERROR(IF(INDEX(Workers!$D$5:$D$2004,MATCH($D448,Workers!$A$5:$A$2004,0))=0,"",INDEX(Workers!$D$5:$D$2004,MATCH($D448,Workers!$A$5:$A$2004,0))),""))</f>
        <v/>
      </c>
      <c r="L448" s="24" t="str">
        <f aca="false">IF($D448="","",IFERROR(INDEX(Workers!$E$5:$E$2004,MATCH($D448,Workers!$A$5:$A$2004,0)),""))</f>
        <v/>
      </c>
      <c r="M448" s="26" t="str">
        <f aca="false">IF($D448="","",IFERROR(INDEX(ClientRates!$D$5:$D$500,MATCH($B448&amp;"|"&amp;$L448,ClientRates!$A$5:$A$500,0)),0))</f>
        <v/>
      </c>
      <c r="N448" s="26" t="str">
        <f aca="false">IF($D448="","",IFERROR(INDEX(ClientRates!$E$5:$E$500,MATCH($B448&amp;"|"&amp;$L448,ClientRates!$A$5:$A$500,0)),0))</f>
        <v/>
      </c>
      <c r="O448" s="26" t="str">
        <f aca="false">IF($D448="","",F448*M448+G448*N448)</f>
        <v/>
      </c>
      <c r="P448" s="26" t="str">
        <f aca="false">IF(OR($D448="",$J448&lt;&gt;"Supplier"),"",IFERROR(INDEX(SupplierRates!$D$5:$D$500,MATCH($K448&amp;"|"&amp;$L448,SupplierRates!$A$5:$A$500,0)),0))</f>
        <v/>
      </c>
      <c r="Q448" s="26" t="str">
        <f aca="false">IF(OR($D448="",$J448&lt;&gt;"Supplier"),"",IFERROR(INDEX(SupplierRates!$E$5:$E$500,MATCH($K448&amp;"|"&amp;$L448,SupplierRates!$A$5:$A$500,0)),0))</f>
        <v/>
      </c>
      <c r="R448" s="26" t="n">
        <f aca="false">IF(OR($D448="",$J448&lt;&gt;"Supplier"),0,F448*P448+G448*Q448)</f>
        <v>0</v>
      </c>
      <c r="S448" s="26" t="n">
        <f aca="false">IF(OR($D448="",$J448&lt;&gt;"Own"),0,IFERROR((F448+G448*Settings!$B$13)*INDEX(Workers!$V$5:$V$2004,MATCH($D448,Workers!$A$5:$A$2004,0)),0))</f>
        <v>0</v>
      </c>
      <c r="T448" s="26" t="str">
        <f aca="false">IF($D448="","",O448-R448-S448)</f>
        <v/>
      </c>
    </row>
    <row r="449" customFormat="false" ht="15" hidden="false" customHeight="false" outlineLevel="0" collapsed="false">
      <c r="I449" s="24" t="str">
        <f aca="false">IF($D449="","",IFERROR(INDEX(Workers!$B$5:$B$2004,MATCH($D449,Workers!$A$5:$A$2004,0)),"NOT FOUND"))</f>
        <v/>
      </c>
      <c r="J449" s="24" t="str">
        <f aca="false">IF($D449="","",IFERROR(INDEX(Workers!$C$5:$C$2004,MATCH($D449,Workers!$A$5:$A$2004,0)),""))</f>
        <v/>
      </c>
      <c r="K449" s="24" t="str">
        <f aca="false">IF($D449="","",IFERROR(IF(INDEX(Workers!$D$5:$D$2004,MATCH($D449,Workers!$A$5:$A$2004,0))=0,"",INDEX(Workers!$D$5:$D$2004,MATCH($D449,Workers!$A$5:$A$2004,0))),""))</f>
        <v/>
      </c>
      <c r="L449" s="24" t="str">
        <f aca="false">IF($D449="","",IFERROR(INDEX(Workers!$E$5:$E$2004,MATCH($D449,Workers!$A$5:$A$2004,0)),""))</f>
        <v/>
      </c>
      <c r="M449" s="26" t="str">
        <f aca="false">IF($D449="","",IFERROR(INDEX(ClientRates!$D$5:$D$500,MATCH($B449&amp;"|"&amp;$L449,ClientRates!$A$5:$A$500,0)),0))</f>
        <v/>
      </c>
      <c r="N449" s="26" t="str">
        <f aca="false">IF($D449="","",IFERROR(INDEX(ClientRates!$E$5:$E$500,MATCH($B449&amp;"|"&amp;$L449,ClientRates!$A$5:$A$500,0)),0))</f>
        <v/>
      </c>
      <c r="O449" s="26" t="str">
        <f aca="false">IF($D449="","",F449*M449+G449*N449)</f>
        <v/>
      </c>
      <c r="P449" s="26" t="str">
        <f aca="false">IF(OR($D449="",$J449&lt;&gt;"Supplier"),"",IFERROR(INDEX(SupplierRates!$D$5:$D$500,MATCH($K449&amp;"|"&amp;$L449,SupplierRates!$A$5:$A$500,0)),0))</f>
        <v/>
      </c>
      <c r="Q449" s="26" t="str">
        <f aca="false">IF(OR($D449="",$J449&lt;&gt;"Supplier"),"",IFERROR(INDEX(SupplierRates!$E$5:$E$500,MATCH($K449&amp;"|"&amp;$L449,SupplierRates!$A$5:$A$500,0)),0))</f>
        <v/>
      </c>
      <c r="R449" s="26" t="n">
        <f aca="false">IF(OR($D449="",$J449&lt;&gt;"Supplier"),0,F449*P449+G449*Q449)</f>
        <v>0</v>
      </c>
      <c r="S449" s="26" t="n">
        <f aca="false">IF(OR($D449="",$J449&lt;&gt;"Own"),0,IFERROR((F449+G449*Settings!$B$13)*INDEX(Workers!$V$5:$V$2004,MATCH($D449,Workers!$A$5:$A$2004,0)),0))</f>
        <v>0</v>
      </c>
      <c r="T449" s="26" t="str">
        <f aca="false">IF($D449="","",O449-R449-S449)</f>
        <v/>
      </c>
    </row>
    <row r="450" customFormat="false" ht="15" hidden="false" customHeight="false" outlineLevel="0" collapsed="false">
      <c r="I450" s="24" t="str">
        <f aca="false">IF($D450="","",IFERROR(INDEX(Workers!$B$5:$B$2004,MATCH($D450,Workers!$A$5:$A$2004,0)),"NOT FOUND"))</f>
        <v/>
      </c>
      <c r="J450" s="24" t="str">
        <f aca="false">IF($D450="","",IFERROR(INDEX(Workers!$C$5:$C$2004,MATCH($D450,Workers!$A$5:$A$2004,0)),""))</f>
        <v/>
      </c>
      <c r="K450" s="24" t="str">
        <f aca="false">IF($D450="","",IFERROR(IF(INDEX(Workers!$D$5:$D$2004,MATCH($D450,Workers!$A$5:$A$2004,0))=0,"",INDEX(Workers!$D$5:$D$2004,MATCH($D450,Workers!$A$5:$A$2004,0))),""))</f>
        <v/>
      </c>
      <c r="L450" s="24" t="str">
        <f aca="false">IF($D450="","",IFERROR(INDEX(Workers!$E$5:$E$2004,MATCH($D450,Workers!$A$5:$A$2004,0)),""))</f>
        <v/>
      </c>
      <c r="M450" s="26" t="str">
        <f aca="false">IF($D450="","",IFERROR(INDEX(ClientRates!$D$5:$D$500,MATCH($B450&amp;"|"&amp;$L450,ClientRates!$A$5:$A$500,0)),0))</f>
        <v/>
      </c>
      <c r="N450" s="26" t="str">
        <f aca="false">IF($D450="","",IFERROR(INDEX(ClientRates!$E$5:$E$500,MATCH($B450&amp;"|"&amp;$L450,ClientRates!$A$5:$A$500,0)),0))</f>
        <v/>
      </c>
      <c r="O450" s="26" t="str">
        <f aca="false">IF($D450="","",F450*M450+G450*N450)</f>
        <v/>
      </c>
      <c r="P450" s="26" t="str">
        <f aca="false">IF(OR($D450="",$J450&lt;&gt;"Supplier"),"",IFERROR(INDEX(SupplierRates!$D$5:$D$500,MATCH($K450&amp;"|"&amp;$L450,SupplierRates!$A$5:$A$500,0)),0))</f>
        <v/>
      </c>
      <c r="Q450" s="26" t="str">
        <f aca="false">IF(OR($D450="",$J450&lt;&gt;"Supplier"),"",IFERROR(INDEX(SupplierRates!$E$5:$E$500,MATCH($K450&amp;"|"&amp;$L450,SupplierRates!$A$5:$A$500,0)),0))</f>
        <v/>
      </c>
      <c r="R450" s="26" t="n">
        <f aca="false">IF(OR($D450="",$J450&lt;&gt;"Supplier"),0,F450*P450+G450*Q450)</f>
        <v>0</v>
      </c>
      <c r="S450" s="26" t="n">
        <f aca="false">IF(OR($D450="",$J450&lt;&gt;"Own"),0,IFERROR((F450+G450*Settings!$B$13)*INDEX(Workers!$V$5:$V$2004,MATCH($D450,Workers!$A$5:$A$2004,0)),0))</f>
        <v>0</v>
      </c>
      <c r="T450" s="26" t="str">
        <f aca="false">IF($D450="","",O450-R450-S450)</f>
        <v/>
      </c>
    </row>
    <row r="451" customFormat="false" ht="15" hidden="false" customHeight="false" outlineLevel="0" collapsed="false">
      <c r="I451" s="24" t="str">
        <f aca="false">IF($D451="","",IFERROR(INDEX(Workers!$B$5:$B$2004,MATCH($D451,Workers!$A$5:$A$2004,0)),"NOT FOUND"))</f>
        <v/>
      </c>
      <c r="J451" s="24" t="str">
        <f aca="false">IF($D451="","",IFERROR(INDEX(Workers!$C$5:$C$2004,MATCH($D451,Workers!$A$5:$A$2004,0)),""))</f>
        <v/>
      </c>
      <c r="K451" s="24" t="str">
        <f aca="false">IF($D451="","",IFERROR(IF(INDEX(Workers!$D$5:$D$2004,MATCH($D451,Workers!$A$5:$A$2004,0))=0,"",INDEX(Workers!$D$5:$D$2004,MATCH($D451,Workers!$A$5:$A$2004,0))),""))</f>
        <v/>
      </c>
      <c r="L451" s="24" t="str">
        <f aca="false">IF($D451="","",IFERROR(INDEX(Workers!$E$5:$E$2004,MATCH($D451,Workers!$A$5:$A$2004,0)),""))</f>
        <v/>
      </c>
      <c r="M451" s="26" t="str">
        <f aca="false">IF($D451="","",IFERROR(INDEX(ClientRates!$D$5:$D$500,MATCH($B451&amp;"|"&amp;$L451,ClientRates!$A$5:$A$500,0)),0))</f>
        <v/>
      </c>
      <c r="N451" s="26" t="str">
        <f aca="false">IF($D451="","",IFERROR(INDEX(ClientRates!$E$5:$E$500,MATCH($B451&amp;"|"&amp;$L451,ClientRates!$A$5:$A$500,0)),0))</f>
        <v/>
      </c>
      <c r="O451" s="26" t="str">
        <f aca="false">IF($D451="","",F451*M451+G451*N451)</f>
        <v/>
      </c>
      <c r="P451" s="26" t="str">
        <f aca="false">IF(OR($D451="",$J451&lt;&gt;"Supplier"),"",IFERROR(INDEX(SupplierRates!$D$5:$D$500,MATCH($K451&amp;"|"&amp;$L451,SupplierRates!$A$5:$A$500,0)),0))</f>
        <v/>
      </c>
      <c r="Q451" s="26" t="str">
        <f aca="false">IF(OR($D451="",$J451&lt;&gt;"Supplier"),"",IFERROR(INDEX(SupplierRates!$E$5:$E$500,MATCH($K451&amp;"|"&amp;$L451,SupplierRates!$A$5:$A$500,0)),0))</f>
        <v/>
      </c>
      <c r="R451" s="26" t="n">
        <f aca="false">IF(OR($D451="",$J451&lt;&gt;"Supplier"),0,F451*P451+G451*Q451)</f>
        <v>0</v>
      </c>
      <c r="S451" s="26" t="n">
        <f aca="false">IF(OR($D451="",$J451&lt;&gt;"Own"),0,IFERROR((F451+G451*Settings!$B$13)*INDEX(Workers!$V$5:$V$2004,MATCH($D451,Workers!$A$5:$A$2004,0)),0))</f>
        <v>0</v>
      </c>
      <c r="T451" s="26" t="str">
        <f aca="false">IF($D451="","",O451-R451-S451)</f>
        <v/>
      </c>
    </row>
    <row r="452" customFormat="false" ht="15" hidden="false" customHeight="false" outlineLevel="0" collapsed="false">
      <c r="I452" s="24" t="str">
        <f aca="false">IF($D452="","",IFERROR(INDEX(Workers!$B$5:$B$2004,MATCH($D452,Workers!$A$5:$A$2004,0)),"NOT FOUND"))</f>
        <v/>
      </c>
      <c r="J452" s="24" t="str">
        <f aca="false">IF($D452="","",IFERROR(INDEX(Workers!$C$5:$C$2004,MATCH($D452,Workers!$A$5:$A$2004,0)),""))</f>
        <v/>
      </c>
      <c r="K452" s="24" t="str">
        <f aca="false">IF($D452="","",IFERROR(IF(INDEX(Workers!$D$5:$D$2004,MATCH($D452,Workers!$A$5:$A$2004,0))=0,"",INDEX(Workers!$D$5:$D$2004,MATCH($D452,Workers!$A$5:$A$2004,0))),""))</f>
        <v/>
      </c>
      <c r="L452" s="24" t="str">
        <f aca="false">IF($D452="","",IFERROR(INDEX(Workers!$E$5:$E$2004,MATCH($D452,Workers!$A$5:$A$2004,0)),""))</f>
        <v/>
      </c>
      <c r="M452" s="26" t="str">
        <f aca="false">IF($D452="","",IFERROR(INDEX(ClientRates!$D$5:$D$500,MATCH($B452&amp;"|"&amp;$L452,ClientRates!$A$5:$A$500,0)),0))</f>
        <v/>
      </c>
      <c r="N452" s="26" t="str">
        <f aca="false">IF($D452="","",IFERROR(INDEX(ClientRates!$E$5:$E$500,MATCH($B452&amp;"|"&amp;$L452,ClientRates!$A$5:$A$500,0)),0))</f>
        <v/>
      </c>
      <c r="O452" s="26" t="str">
        <f aca="false">IF($D452="","",F452*M452+G452*N452)</f>
        <v/>
      </c>
      <c r="P452" s="26" t="str">
        <f aca="false">IF(OR($D452="",$J452&lt;&gt;"Supplier"),"",IFERROR(INDEX(SupplierRates!$D$5:$D$500,MATCH($K452&amp;"|"&amp;$L452,SupplierRates!$A$5:$A$500,0)),0))</f>
        <v/>
      </c>
      <c r="Q452" s="26" t="str">
        <f aca="false">IF(OR($D452="",$J452&lt;&gt;"Supplier"),"",IFERROR(INDEX(SupplierRates!$E$5:$E$500,MATCH($K452&amp;"|"&amp;$L452,SupplierRates!$A$5:$A$500,0)),0))</f>
        <v/>
      </c>
      <c r="R452" s="26" t="n">
        <f aca="false">IF(OR($D452="",$J452&lt;&gt;"Supplier"),0,F452*P452+G452*Q452)</f>
        <v>0</v>
      </c>
      <c r="S452" s="26" t="n">
        <f aca="false">IF(OR($D452="",$J452&lt;&gt;"Own"),0,IFERROR((F452+G452*Settings!$B$13)*INDEX(Workers!$V$5:$V$2004,MATCH($D452,Workers!$A$5:$A$2004,0)),0))</f>
        <v>0</v>
      </c>
      <c r="T452" s="26" t="str">
        <f aca="false">IF($D452="","",O452-R452-S452)</f>
        <v/>
      </c>
    </row>
    <row r="453" customFormat="false" ht="15" hidden="false" customHeight="false" outlineLevel="0" collapsed="false">
      <c r="I453" s="24" t="str">
        <f aca="false">IF($D453="","",IFERROR(INDEX(Workers!$B$5:$B$2004,MATCH($D453,Workers!$A$5:$A$2004,0)),"NOT FOUND"))</f>
        <v/>
      </c>
      <c r="J453" s="24" t="str">
        <f aca="false">IF($D453="","",IFERROR(INDEX(Workers!$C$5:$C$2004,MATCH($D453,Workers!$A$5:$A$2004,0)),""))</f>
        <v/>
      </c>
      <c r="K453" s="24" t="str">
        <f aca="false">IF($D453="","",IFERROR(IF(INDEX(Workers!$D$5:$D$2004,MATCH($D453,Workers!$A$5:$A$2004,0))=0,"",INDEX(Workers!$D$5:$D$2004,MATCH($D453,Workers!$A$5:$A$2004,0))),""))</f>
        <v/>
      </c>
      <c r="L453" s="24" t="str">
        <f aca="false">IF($D453="","",IFERROR(INDEX(Workers!$E$5:$E$2004,MATCH($D453,Workers!$A$5:$A$2004,0)),""))</f>
        <v/>
      </c>
      <c r="M453" s="26" t="str">
        <f aca="false">IF($D453="","",IFERROR(INDEX(ClientRates!$D$5:$D$500,MATCH($B453&amp;"|"&amp;$L453,ClientRates!$A$5:$A$500,0)),0))</f>
        <v/>
      </c>
      <c r="N453" s="26" t="str">
        <f aca="false">IF($D453="","",IFERROR(INDEX(ClientRates!$E$5:$E$500,MATCH($B453&amp;"|"&amp;$L453,ClientRates!$A$5:$A$500,0)),0))</f>
        <v/>
      </c>
      <c r="O453" s="26" t="str">
        <f aca="false">IF($D453="","",F453*M453+G453*N453)</f>
        <v/>
      </c>
      <c r="P453" s="26" t="str">
        <f aca="false">IF(OR($D453="",$J453&lt;&gt;"Supplier"),"",IFERROR(INDEX(SupplierRates!$D$5:$D$500,MATCH($K453&amp;"|"&amp;$L453,SupplierRates!$A$5:$A$500,0)),0))</f>
        <v/>
      </c>
      <c r="Q453" s="26" t="str">
        <f aca="false">IF(OR($D453="",$J453&lt;&gt;"Supplier"),"",IFERROR(INDEX(SupplierRates!$E$5:$E$500,MATCH($K453&amp;"|"&amp;$L453,SupplierRates!$A$5:$A$500,0)),0))</f>
        <v/>
      </c>
      <c r="R453" s="26" t="n">
        <f aca="false">IF(OR($D453="",$J453&lt;&gt;"Supplier"),0,F453*P453+G453*Q453)</f>
        <v>0</v>
      </c>
      <c r="S453" s="26" t="n">
        <f aca="false">IF(OR($D453="",$J453&lt;&gt;"Own"),0,IFERROR((F453+G453*Settings!$B$13)*INDEX(Workers!$V$5:$V$2004,MATCH($D453,Workers!$A$5:$A$2004,0)),0))</f>
        <v>0</v>
      </c>
      <c r="T453" s="26" t="str">
        <f aca="false">IF($D453="","",O453-R453-S453)</f>
        <v/>
      </c>
    </row>
    <row r="454" customFormat="false" ht="15" hidden="false" customHeight="false" outlineLevel="0" collapsed="false">
      <c r="I454" s="24" t="str">
        <f aca="false">IF($D454="","",IFERROR(INDEX(Workers!$B$5:$B$2004,MATCH($D454,Workers!$A$5:$A$2004,0)),"NOT FOUND"))</f>
        <v/>
      </c>
      <c r="J454" s="24" t="str">
        <f aca="false">IF($D454="","",IFERROR(INDEX(Workers!$C$5:$C$2004,MATCH($D454,Workers!$A$5:$A$2004,0)),""))</f>
        <v/>
      </c>
      <c r="K454" s="24" t="str">
        <f aca="false">IF($D454="","",IFERROR(IF(INDEX(Workers!$D$5:$D$2004,MATCH($D454,Workers!$A$5:$A$2004,0))=0,"",INDEX(Workers!$D$5:$D$2004,MATCH($D454,Workers!$A$5:$A$2004,0))),""))</f>
        <v/>
      </c>
      <c r="L454" s="24" t="str">
        <f aca="false">IF($D454="","",IFERROR(INDEX(Workers!$E$5:$E$2004,MATCH($D454,Workers!$A$5:$A$2004,0)),""))</f>
        <v/>
      </c>
      <c r="M454" s="26" t="str">
        <f aca="false">IF($D454="","",IFERROR(INDEX(ClientRates!$D$5:$D$500,MATCH($B454&amp;"|"&amp;$L454,ClientRates!$A$5:$A$500,0)),0))</f>
        <v/>
      </c>
      <c r="N454" s="26" t="str">
        <f aca="false">IF($D454="","",IFERROR(INDEX(ClientRates!$E$5:$E$500,MATCH($B454&amp;"|"&amp;$L454,ClientRates!$A$5:$A$500,0)),0))</f>
        <v/>
      </c>
      <c r="O454" s="26" t="str">
        <f aca="false">IF($D454="","",F454*M454+G454*N454)</f>
        <v/>
      </c>
      <c r="P454" s="26" t="str">
        <f aca="false">IF(OR($D454="",$J454&lt;&gt;"Supplier"),"",IFERROR(INDEX(SupplierRates!$D$5:$D$500,MATCH($K454&amp;"|"&amp;$L454,SupplierRates!$A$5:$A$500,0)),0))</f>
        <v/>
      </c>
      <c r="Q454" s="26" t="str">
        <f aca="false">IF(OR($D454="",$J454&lt;&gt;"Supplier"),"",IFERROR(INDEX(SupplierRates!$E$5:$E$500,MATCH($K454&amp;"|"&amp;$L454,SupplierRates!$A$5:$A$500,0)),0))</f>
        <v/>
      </c>
      <c r="R454" s="26" t="n">
        <f aca="false">IF(OR($D454="",$J454&lt;&gt;"Supplier"),0,F454*P454+G454*Q454)</f>
        <v>0</v>
      </c>
      <c r="S454" s="26" t="n">
        <f aca="false">IF(OR($D454="",$J454&lt;&gt;"Own"),0,IFERROR((F454+G454*Settings!$B$13)*INDEX(Workers!$V$5:$V$2004,MATCH($D454,Workers!$A$5:$A$2004,0)),0))</f>
        <v>0</v>
      </c>
      <c r="T454" s="26" t="str">
        <f aca="false">IF($D454="","",O454-R454-S454)</f>
        <v/>
      </c>
    </row>
    <row r="455" customFormat="false" ht="15" hidden="false" customHeight="false" outlineLevel="0" collapsed="false">
      <c r="I455" s="24" t="str">
        <f aca="false">IF($D455="","",IFERROR(INDEX(Workers!$B$5:$B$2004,MATCH($D455,Workers!$A$5:$A$2004,0)),"NOT FOUND"))</f>
        <v/>
      </c>
      <c r="J455" s="24" t="str">
        <f aca="false">IF($D455="","",IFERROR(INDEX(Workers!$C$5:$C$2004,MATCH($D455,Workers!$A$5:$A$2004,0)),""))</f>
        <v/>
      </c>
      <c r="K455" s="24" t="str">
        <f aca="false">IF($D455="","",IFERROR(IF(INDEX(Workers!$D$5:$D$2004,MATCH($D455,Workers!$A$5:$A$2004,0))=0,"",INDEX(Workers!$D$5:$D$2004,MATCH($D455,Workers!$A$5:$A$2004,0))),""))</f>
        <v/>
      </c>
      <c r="L455" s="24" t="str">
        <f aca="false">IF($D455="","",IFERROR(INDEX(Workers!$E$5:$E$2004,MATCH($D455,Workers!$A$5:$A$2004,0)),""))</f>
        <v/>
      </c>
      <c r="M455" s="26" t="str">
        <f aca="false">IF($D455="","",IFERROR(INDEX(ClientRates!$D$5:$D$500,MATCH($B455&amp;"|"&amp;$L455,ClientRates!$A$5:$A$500,0)),0))</f>
        <v/>
      </c>
      <c r="N455" s="26" t="str">
        <f aca="false">IF($D455="","",IFERROR(INDEX(ClientRates!$E$5:$E$500,MATCH($B455&amp;"|"&amp;$L455,ClientRates!$A$5:$A$500,0)),0))</f>
        <v/>
      </c>
      <c r="O455" s="26" t="str">
        <f aca="false">IF($D455="","",F455*M455+G455*N455)</f>
        <v/>
      </c>
      <c r="P455" s="26" t="str">
        <f aca="false">IF(OR($D455="",$J455&lt;&gt;"Supplier"),"",IFERROR(INDEX(SupplierRates!$D$5:$D$500,MATCH($K455&amp;"|"&amp;$L455,SupplierRates!$A$5:$A$500,0)),0))</f>
        <v/>
      </c>
      <c r="Q455" s="26" t="str">
        <f aca="false">IF(OR($D455="",$J455&lt;&gt;"Supplier"),"",IFERROR(INDEX(SupplierRates!$E$5:$E$500,MATCH($K455&amp;"|"&amp;$L455,SupplierRates!$A$5:$A$500,0)),0))</f>
        <v/>
      </c>
      <c r="R455" s="26" t="n">
        <f aca="false">IF(OR($D455="",$J455&lt;&gt;"Supplier"),0,F455*P455+G455*Q455)</f>
        <v>0</v>
      </c>
      <c r="S455" s="26" t="n">
        <f aca="false">IF(OR($D455="",$J455&lt;&gt;"Own"),0,IFERROR((F455+G455*Settings!$B$13)*INDEX(Workers!$V$5:$V$2004,MATCH($D455,Workers!$A$5:$A$2004,0)),0))</f>
        <v>0</v>
      </c>
      <c r="T455" s="26" t="str">
        <f aca="false">IF($D455="","",O455-R455-S455)</f>
        <v/>
      </c>
    </row>
    <row r="456" customFormat="false" ht="15" hidden="false" customHeight="false" outlineLevel="0" collapsed="false">
      <c r="I456" s="24" t="str">
        <f aca="false">IF($D456="","",IFERROR(INDEX(Workers!$B$5:$B$2004,MATCH($D456,Workers!$A$5:$A$2004,0)),"NOT FOUND"))</f>
        <v/>
      </c>
      <c r="J456" s="24" t="str">
        <f aca="false">IF($D456="","",IFERROR(INDEX(Workers!$C$5:$C$2004,MATCH($D456,Workers!$A$5:$A$2004,0)),""))</f>
        <v/>
      </c>
      <c r="K456" s="24" t="str">
        <f aca="false">IF($D456="","",IFERROR(IF(INDEX(Workers!$D$5:$D$2004,MATCH($D456,Workers!$A$5:$A$2004,0))=0,"",INDEX(Workers!$D$5:$D$2004,MATCH($D456,Workers!$A$5:$A$2004,0))),""))</f>
        <v/>
      </c>
      <c r="L456" s="24" t="str">
        <f aca="false">IF($D456="","",IFERROR(INDEX(Workers!$E$5:$E$2004,MATCH($D456,Workers!$A$5:$A$2004,0)),""))</f>
        <v/>
      </c>
      <c r="M456" s="26" t="str">
        <f aca="false">IF($D456="","",IFERROR(INDEX(ClientRates!$D$5:$D$500,MATCH($B456&amp;"|"&amp;$L456,ClientRates!$A$5:$A$500,0)),0))</f>
        <v/>
      </c>
      <c r="N456" s="26" t="str">
        <f aca="false">IF($D456="","",IFERROR(INDEX(ClientRates!$E$5:$E$500,MATCH($B456&amp;"|"&amp;$L456,ClientRates!$A$5:$A$500,0)),0))</f>
        <v/>
      </c>
      <c r="O456" s="26" t="str">
        <f aca="false">IF($D456="","",F456*M456+G456*N456)</f>
        <v/>
      </c>
      <c r="P456" s="26" t="str">
        <f aca="false">IF(OR($D456="",$J456&lt;&gt;"Supplier"),"",IFERROR(INDEX(SupplierRates!$D$5:$D$500,MATCH($K456&amp;"|"&amp;$L456,SupplierRates!$A$5:$A$500,0)),0))</f>
        <v/>
      </c>
      <c r="Q456" s="26" t="str">
        <f aca="false">IF(OR($D456="",$J456&lt;&gt;"Supplier"),"",IFERROR(INDEX(SupplierRates!$E$5:$E$500,MATCH($K456&amp;"|"&amp;$L456,SupplierRates!$A$5:$A$500,0)),0))</f>
        <v/>
      </c>
      <c r="R456" s="26" t="n">
        <f aca="false">IF(OR($D456="",$J456&lt;&gt;"Supplier"),0,F456*P456+G456*Q456)</f>
        <v>0</v>
      </c>
      <c r="S456" s="26" t="n">
        <f aca="false">IF(OR($D456="",$J456&lt;&gt;"Own"),0,IFERROR((F456+G456*Settings!$B$13)*INDEX(Workers!$V$5:$V$2004,MATCH($D456,Workers!$A$5:$A$2004,0)),0))</f>
        <v>0</v>
      </c>
      <c r="T456" s="26" t="str">
        <f aca="false">IF($D456="","",O456-R456-S456)</f>
        <v/>
      </c>
    </row>
    <row r="457" customFormat="false" ht="15" hidden="false" customHeight="false" outlineLevel="0" collapsed="false">
      <c r="I457" s="24" t="str">
        <f aca="false">IF($D457="","",IFERROR(INDEX(Workers!$B$5:$B$2004,MATCH($D457,Workers!$A$5:$A$2004,0)),"NOT FOUND"))</f>
        <v/>
      </c>
      <c r="J457" s="24" t="str">
        <f aca="false">IF($D457="","",IFERROR(INDEX(Workers!$C$5:$C$2004,MATCH($D457,Workers!$A$5:$A$2004,0)),""))</f>
        <v/>
      </c>
      <c r="K457" s="24" t="str">
        <f aca="false">IF($D457="","",IFERROR(IF(INDEX(Workers!$D$5:$D$2004,MATCH($D457,Workers!$A$5:$A$2004,0))=0,"",INDEX(Workers!$D$5:$D$2004,MATCH($D457,Workers!$A$5:$A$2004,0))),""))</f>
        <v/>
      </c>
      <c r="L457" s="24" t="str">
        <f aca="false">IF($D457="","",IFERROR(INDEX(Workers!$E$5:$E$2004,MATCH($D457,Workers!$A$5:$A$2004,0)),""))</f>
        <v/>
      </c>
      <c r="M457" s="26" t="str">
        <f aca="false">IF($D457="","",IFERROR(INDEX(ClientRates!$D$5:$D$500,MATCH($B457&amp;"|"&amp;$L457,ClientRates!$A$5:$A$500,0)),0))</f>
        <v/>
      </c>
      <c r="N457" s="26" t="str">
        <f aca="false">IF($D457="","",IFERROR(INDEX(ClientRates!$E$5:$E$500,MATCH($B457&amp;"|"&amp;$L457,ClientRates!$A$5:$A$500,0)),0))</f>
        <v/>
      </c>
      <c r="O457" s="26" t="str">
        <f aca="false">IF($D457="","",F457*M457+G457*N457)</f>
        <v/>
      </c>
      <c r="P457" s="26" t="str">
        <f aca="false">IF(OR($D457="",$J457&lt;&gt;"Supplier"),"",IFERROR(INDEX(SupplierRates!$D$5:$D$500,MATCH($K457&amp;"|"&amp;$L457,SupplierRates!$A$5:$A$500,0)),0))</f>
        <v/>
      </c>
      <c r="Q457" s="26" t="str">
        <f aca="false">IF(OR($D457="",$J457&lt;&gt;"Supplier"),"",IFERROR(INDEX(SupplierRates!$E$5:$E$500,MATCH($K457&amp;"|"&amp;$L457,SupplierRates!$A$5:$A$500,0)),0))</f>
        <v/>
      </c>
      <c r="R457" s="26" t="n">
        <f aca="false">IF(OR($D457="",$J457&lt;&gt;"Supplier"),0,F457*P457+G457*Q457)</f>
        <v>0</v>
      </c>
      <c r="S457" s="26" t="n">
        <f aca="false">IF(OR($D457="",$J457&lt;&gt;"Own"),0,IFERROR((F457+G457*Settings!$B$13)*INDEX(Workers!$V$5:$V$2004,MATCH($D457,Workers!$A$5:$A$2004,0)),0))</f>
        <v>0</v>
      </c>
      <c r="T457" s="26" t="str">
        <f aca="false">IF($D457="","",O457-R457-S457)</f>
        <v/>
      </c>
    </row>
    <row r="458" customFormat="false" ht="15" hidden="false" customHeight="false" outlineLevel="0" collapsed="false">
      <c r="I458" s="24" t="str">
        <f aca="false">IF($D458="","",IFERROR(INDEX(Workers!$B$5:$B$2004,MATCH($D458,Workers!$A$5:$A$2004,0)),"NOT FOUND"))</f>
        <v/>
      </c>
      <c r="J458" s="24" t="str">
        <f aca="false">IF($D458="","",IFERROR(INDEX(Workers!$C$5:$C$2004,MATCH($D458,Workers!$A$5:$A$2004,0)),""))</f>
        <v/>
      </c>
      <c r="K458" s="24" t="str">
        <f aca="false">IF($D458="","",IFERROR(IF(INDEX(Workers!$D$5:$D$2004,MATCH($D458,Workers!$A$5:$A$2004,0))=0,"",INDEX(Workers!$D$5:$D$2004,MATCH($D458,Workers!$A$5:$A$2004,0))),""))</f>
        <v/>
      </c>
      <c r="L458" s="24" t="str">
        <f aca="false">IF($D458="","",IFERROR(INDEX(Workers!$E$5:$E$2004,MATCH($D458,Workers!$A$5:$A$2004,0)),""))</f>
        <v/>
      </c>
      <c r="M458" s="26" t="str">
        <f aca="false">IF($D458="","",IFERROR(INDEX(ClientRates!$D$5:$D$500,MATCH($B458&amp;"|"&amp;$L458,ClientRates!$A$5:$A$500,0)),0))</f>
        <v/>
      </c>
      <c r="N458" s="26" t="str">
        <f aca="false">IF($D458="","",IFERROR(INDEX(ClientRates!$E$5:$E$500,MATCH($B458&amp;"|"&amp;$L458,ClientRates!$A$5:$A$500,0)),0))</f>
        <v/>
      </c>
      <c r="O458" s="26" t="str">
        <f aca="false">IF($D458="","",F458*M458+G458*N458)</f>
        <v/>
      </c>
      <c r="P458" s="26" t="str">
        <f aca="false">IF(OR($D458="",$J458&lt;&gt;"Supplier"),"",IFERROR(INDEX(SupplierRates!$D$5:$D$500,MATCH($K458&amp;"|"&amp;$L458,SupplierRates!$A$5:$A$500,0)),0))</f>
        <v/>
      </c>
      <c r="Q458" s="26" t="str">
        <f aca="false">IF(OR($D458="",$J458&lt;&gt;"Supplier"),"",IFERROR(INDEX(SupplierRates!$E$5:$E$500,MATCH($K458&amp;"|"&amp;$L458,SupplierRates!$A$5:$A$500,0)),0))</f>
        <v/>
      </c>
      <c r="R458" s="26" t="n">
        <f aca="false">IF(OR($D458="",$J458&lt;&gt;"Supplier"),0,F458*P458+G458*Q458)</f>
        <v>0</v>
      </c>
      <c r="S458" s="26" t="n">
        <f aca="false">IF(OR($D458="",$J458&lt;&gt;"Own"),0,IFERROR((F458+G458*Settings!$B$13)*INDEX(Workers!$V$5:$V$2004,MATCH($D458,Workers!$A$5:$A$2004,0)),0))</f>
        <v>0</v>
      </c>
      <c r="T458" s="26" t="str">
        <f aca="false">IF($D458="","",O458-R458-S458)</f>
        <v/>
      </c>
    </row>
    <row r="459" customFormat="false" ht="15" hidden="false" customHeight="false" outlineLevel="0" collapsed="false">
      <c r="I459" s="24" t="str">
        <f aca="false">IF($D459="","",IFERROR(INDEX(Workers!$B$5:$B$2004,MATCH($D459,Workers!$A$5:$A$2004,0)),"NOT FOUND"))</f>
        <v/>
      </c>
      <c r="J459" s="24" t="str">
        <f aca="false">IF($D459="","",IFERROR(INDEX(Workers!$C$5:$C$2004,MATCH($D459,Workers!$A$5:$A$2004,0)),""))</f>
        <v/>
      </c>
      <c r="K459" s="24" t="str">
        <f aca="false">IF($D459="","",IFERROR(IF(INDEX(Workers!$D$5:$D$2004,MATCH($D459,Workers!$A$5:$A$2004,0))=0,"",INDEX(Workers!$D$5:$D$2004,MATCH($D459,Workers!$A$5:$A$2004,0))),""))</f>
        <v/>
      </c>
      <c r="L459" s="24" t="str">
        <f aca="false">IF($D459="","",IFERROR(INDEX(Workers!$E$5:$E$2004,MATCH($D459,Workers!$A$5:$A$2004,0)),""))</f>
        <v/>
      </c>
      <c r="M459" s="26" t="str">
        <f aca="false">IF($D459="","",IFERROR(INDEX(ClientRates!$D$5:$D$500,MATCH($B459&amp;"|"&amp;$L459,ClientRates!$A$5:$A$500,0)),0))</f>
        <v/>
      </c>
      <c r="N459" s="26" t="str">
        <f aca="false">IF($D459="","",IFERROR(INDEX(ClientRates!$E$5:$E$500,MATCH($B459&amp;"|"&amp;$L459,ClientRates!$A$5:$A$500,0)),0))</f>
        <v/>
      </c>
      <c r="O459" s="26" t="str">
        <f aca="false">IF($D459="","",F459*M459+G459*N459)</f>
        <v/>
      </c>
      <c r="P459" s="26" t="str">
        <f aca="false">IF(OR($D459="",$J459&lt;&gt;"Supplier"),"",IFERROR(INDEX(SupplierRates!$D$5:$D$500,MATCH($K459&amp;"|"&amp;$L459,SupplierRates!$A$5:$A$500,0)),0))</f>
        <v/>
      </c>
      <c r="Q459" s="26" t="str">
        <f aca="false">IF(OR($D459="",$J459&lt;&gt;"Supplier"),"",IFERROR(INDEX(SupplierRates!$E$5:$E$500,MATCH($K459&amp;"|"&amp;$L459,SupplierRates!$A$5:$A$500,0)),0))</f>
        <v/>
      </c>
      <c r="R459" s="26" t="n">
        <f aca="false">IF(OR($D459="",$J459&lt;&gt;"Supplier"),0,F459*P459+G459*Q459)</f>
        <v>0</v>
      </c>
      <c r="S459" s="26" t="n">
        <f aca="false">IF(OR($D459="",$J459&lt;&gt;"Own"),0,IFERROR((F459+G459*Settings!$B$13)*INDEX(Workers!$V$5:$V$2004,MATCH($D459,Workers!$A$5:$A$2004,0)),0))</f>
        <v>0</v>
      </c>
      <c r="T459" s="26" t="str">
        <f aca="false">IF($D459="","",O459-R459-S459)</f>
        <v/>
      </c>
    </row>
    <row r="460" customFormat="false" ht="15" hidden="false" customHeight="false" outlineLevel="0" collapsed="false">
      <c r="I460" s="24" t="str">
        <f aca="false">IF($D460="","",IFERROR(INDEX(Workers!$B$5:$B$2004,MATCH($D460,Workers!$A$5:$A$2004,0)),"NOT FOUND"))</f>
        <v/>
      </c>
      <c r="J460" s="24" t="str">
        <f aca="false">IF($D460="","",IFERROR(INDEX(Workers!$C$5:$C$2004,MATCH($D460,Workers!$A$5:$A$2004,0)),""))</f>
        <v/>
      </c>
      <c r="K460" s="24" t="str">
        <f aca="false">IF($D460="","",IFERROR(IF(INDEX(Workers!$D$5:$D$2004,MATCH($D460,Workers!$A$5:$A$2004,0))=0,"",INDEX(Workers!$D$5:$D$2004,MATCH($D460,Workers!$A$5:$A$2004,0))),""))</f>
        <v/>
      </c>
      <c r="L460" s="24" t="str">
        <f aca="false">IF($D460="","",IFERROR(INDEX(Workers!$E$5:$E$2004,MATCH($D460,Workers!$A$5:$A$2004,0)),""))</f>
        <v/>
      </c>
      <c r="M460" s="26" t="str">
        <f aca="false">IF($D460="","",IFERROR(INDEX(ClientRates!$D$5:$D$500,MATCH($B460&amp;"|"&amp;$L460,ClientRates!$A$5:$A$500,0)),0))</f>
        <v/>
      </c>
      <c r="N460" s="26" t="str">
        <f aca="false">IF($D460="","",IFERROR(INDEX(ClientRates!$E$5:$E$500,MATCH($B460&amp;"|"&amp;$L460,ClientRates!$A$5:$A$500,0)),0))</f>
        <v/>
      </c>
      <c r="O460" s="26" t="str">
        <f aca="false">IF($D460="","",F460*M460+G460*N460)</f>
        <v/>
      </c>
      <c r="P460" s="26" t="str">
        <f aca="false">IF(OR($D460="",$J460&lt;&gt;"Supplier"),"",IFERROR(INDEX(SupplierRates!$D$5:$D$500,MATCH($K460&amp;"|"&amp;$L460,SupplierRates!$A$5:$A$500,0)),0))</f>
        <v/>
      </c>
      <c r="Q460" s="26" t="str">
        <f aca="false">IF(OR($D460="",$J460&lt;&gt;"Supplier"),"",IFERROR(INDEX(SupplierRates!$E$5:$E$500,MATCH($K460&amp;"|"&amp;$L460,SupplierRates!$A$5:$A$500,0)),0))</f>
        <v/>
      </c>
      <c r="R460" s="26" t="n">
        <f aca="false">IF(OR($D460="",$J460&lt;&gt;"Supplier"),0,F460*P460+G460*Q460)</f>
        <v>0</v>
      </c>
      <c r="S460" s="26" t="n">
        <f aca="false">IF(OR($D460="",$J460&lt;&gt;"Own"),0,IFERROR((F460+G460*Settings!$B$13)*INDEX(Workers!$V$5:$V$2004,MATCH($D460,Workers!$A$5:$A$2004,0)),0))</f>
        <v>0</v>
      </c>
      <c r="T460" s="26" t="str">
        <f aca="false">IF($D460="","",O460-R460-S460)</f>
        <v/>
      </c>
    </row>
    <row r="461" customFormat="false" ht="15" hidden="false" customHeight="false" outlineLevel="0" collapsed="false">
      <c r="I461" s="24" t="str">
        <f aca="false">IF($D461="","",IFERROR(INDEX(Workers!$B$5:$B$2004,MATCH($D461,Workers!$A$5:$A$2004,0)),"NOT FOUND"))</f>
        <v/>
      </c>
      <c r="J461" s="24" t="str">
        <f aca="false">IF($D461="","",IFERROR(INDEX(Workers!$C$5:$C$2004,MATCH($D461,Workers!$A$5:$A$2004,0)),""))</f>
        <v/>
      </c>
      <c r="K461" s="24" t="str">
        <f aca="false">IF($D461="","",IFERROR(IF(INDEX(Workers!$D$5:$D$2004,MATCH($D461,Workers!$A$5:$A$2004,0))=0,"",INDEX(Workers!$D$5:$D$2004,MATCH($D461,Workers!$A$5:$A$2004,0))),""))</f>
        <v/>
      </c>
      <c r="L461" s="24" t="str">
        <f aca="false">IF($D461="","",IFERROR(INDEX(Workers!$E$5:$E$2004,MATCH($D461,Workers!$A$5:$A$2004,0)),""))</f>
        <v/>
      </c>
      <c r="M461" s="26" t="str">
        <f aca="false">IF($D461="","",IFERROR(INDEX(ClientRates!$D$5:$D$500,MATCH($B461&amp;"|"&amp;$L461,ClientRates!$A$5:$A$500,0)),0))</f>
        <v/>
      </c>
      <c r="N461" s="26" t="str">
        <f aca="false">IF($D461="","",IFERROR(INDEX(ClientRates!$E$5:$E$500,MATCH($B461&amp;"|"&amp;$L461,ClientRates!$A$5:$A$500,0)),0))</f>
        <v/>
      </c>
      <c r="O461" s="26" t="str">
        <f aca="false">IF($D461="","",F461*M461+G461*N461)</f>
        <v/>
      </c>
      <c r="P461" s="26" t="str">
        <f aca="false">IF(OR($D461="",$J461&lt;&gt;"Supplier"),"",IFERROR(INDEX(SupplierRates!$D$5:$D$500,MATCH($K461&amp;"|"&amp;$L461,SupplierRates!$A$5:$A$500,0)),0))</f>
        <v/>
      </c>
      <c r="Q461" s="26" t="str">
        <f aca="false">IF(OR($D461="",$J461&lt;&gt;"Supplier"),"",IFERROR(INDEX(SupplierRates!$E$5:$E$500,MATCH($K461&amp;"|"&amp;$L461,SupplierRates!$A$5:$A$500,0)),0))</f>
        <v/>
      </c>
      <c r="R461" s="26" t="n">
        <f aca="false">IF(OR($D461="",$J461&lt;&gt;"Supplier"),0,F461*P461+G461*Q461)</f>
        <v>0</v>
      </c>
      <c r="S461" s="26" t="n">
        <f aca="false">IF(OR($D461="",$J461&lt;&gt;"Own"),0,IFERROR((F461+G461*Settings!$B$13)*INDEX(Workers!$V$5:$V$2004,MATCH($D461,Workers!$A$5:$A$2004,0)),0))</f>
        <v>0</v>
      </c>
      <c r="T461" s="26" t="str">
        <f aca="false">IF($D461="","",O461-R461-S461)</f>
        <v/>
      </c>
    </row>
    <row r="462" customFormat="false" ht="15" hidden="false" customHeight="false" outlineLevel="0" collapsed="false">
      <c r="I462" s="24" t="str">
        <f aca="false">IF($D462="","",IFERROR(INDEX(Workers!$B$5:$B$2004,MATCH($D462,Workers!$A$5:$A$2004,0)),"NOT FOUND"))</f>
        <v/>
      </c>
      <c r="J462" s="24" t="str">
        <f aca="false">IF($D462="","",IFERROR(INDEX(Workers!$C$5:$C$2004,MATCH($D462,Workers!$A$5:$A$2004,0)),""))</f>
        <v/>
      </c>
      <c r="K462" s="24" t="str">
        <f aca="false">IF($D462="","",IFERROR(IF(INDEX(Workers!$D$5:$D$2004,MATCH($D462,Workers!$A$5:$A$2004,0))=0,"",INDEX(Workers!$D$5:$D$2004,MATCH($D462,Workers!$A$5:$A$2004,0))),""))</f>
        <v/>
      </c>
      <c r="L462" s="24" t="str">
        <f aca="false">IF($D462="","",IFERROR(INDEX(Workers!$E$5:$E$2004,MATCH($D462,Workers!$A$5:$A$2004,0)),""))</f>
        <v/>
      </c>
      <c r="M462" s="26" t="str">
        <f aca="false">IF($D462="","",IFERROR(INDEX(ClientRates!$D$5:$D$500,MATCH($B462&amp;"|"&amp;$L462,ClientRates!$A$5:$A$500,0)),0))</f>
        <v/>
      </c>
      <c r="N462" s="26" t="str">
        <f aca="false">IF($D462="","",IFERROR(INDEX(ClientRates!$E$5:$E$500,MATCH($B462&amp;"|"&amp;$L462,ClientRates!$A$5:$A$500,0)),0))</f>
        <v/>
      </c>
      <c r="O462" s="26" t="str">
        <f aca="false">IF($D462="","",F462*M462+G462*N462)</f>
        <v/>
      </c>
      <c r="P462" s="26" t="str">
        <f aca="false">IF(OR($D462="",$J462&lt;&gt;"Supplier"),"",IFERROR(INDEX(SupplierRates!$D$5:$D$500,MATCH($K462&amp;"|"&amp;$L462,SupplierRates!$A$5:$A$500,0)),0))</f>
        <v/>
      </c>
      <c r="Q462" s="26" t="str">
        <f aca="false">IF(OR($D462="",$J462&lt;&gt;"Supplier"),"",IFERROR(INDEX(SupplierRates!$E$5:$E$500,MATCH($K462&amp;"|"&amp;$L462,SupplierRates!$A$5:$A$500,0)),0))</f>
        <v/>
      </c>
      <c r="R462" s="26" t="n">
        <f aca="false">IF(OR($D462="",$J462&lt;&gt;"Supplier"),0,F462*P462+G462*Q462)</f>
        <v>0</v>
      </c>
      <c r="S462" s="26" t="n">
        <f aca="false">IF(OR($D462="",$J462&lt;&gt;"Own"),0,IFERROR((F462+G462*Settings!$B$13)*INDEX(Workers!$V$5:$V$2004,MATCH($D462,Workers!$A$5:$A$2004,0)),0))</f>
        <v>0</v>
      </c>
      <c r="T462" s="26" t="str">
        <f aca="false">IF($D462="","",O462-R462-S462)</f>
        <v/>
      </c>
    </row>
    <row r="463" customFormat="false" ht="15" hidden="false" customHeight="false" outlineLevel="0" collapsed="false">
      <c r="I463" s="24" t="str">
        <f aca="false">IF($D463="","",IFERROR(INDEX(Workers!$B$5:$B$2004,MATCH($D463,Workers!$A$5:$A$2004,0)),"NOT FOUND"))</f>
        <v/>
      </c>
      <c r="J463" s="24" t="str">
        <f aca="false">IF($D463="","",IFERROR(INDEX(Workers!$C$5:$C$2004,MATCH($D463,Workers!$A$5:$A$2004,0)),""))</f>
        <v/>
      </c>
      <c r="K463" s="24" t="str">
        <f aca="false">IF($D463="","",IFERROR(IF(INDEX(Workers!$D$5:$D$2004,MATCH($D463,Workers!$A$5:$A$2004,0))=0,"",INDEX(Workers!$D$5:$D$2004,MATCH($D463,Workers!$A$5:$A$2004,0))),""))</f>
        <v/>
      </c>
      <c r="L463" s="24" t="str">
        <f aca="false">IF($D463="","",IFERROR(INDEX(Workers!$E$5:$E$2004,MATCH($D463,Workers!$A$5:$A$2004,0)),""))</f>
        <v/>
      </c>
      <c r="M463" s="26" t="str">
        <f aca="false">IF($D463="","",IFERROR(INDEX(ClientRates!$D$5:$D$500,MATCH($B463&amp;"|"&amp;$L463,ClientRates!$A$5:$A$500,0)),0))</f>
        <v/>
      </c>
      <c r="N463" s="26" t="str">
        <f aca="false">IF($D463="","",IFERROR(INDEX(ClientRates!$E$5:$E$500,MATCH($B463&amp;"|"&amp;$L463,ClientRates!$A$5:$A$500,0)),0))</f>
        <v/>
      </c>
      <c r="O463" s="26" t="str">
        <f aca="false">IF($D463="","",F463*M463+G463*N463)</f>
        <v/>
      </c>
      <c r="P463" s="26" t="str">
        <f aca="false">IF(OR($D463="",$J463&lt;&gt;"Supplier"),"",IFERROR(INDEX(SupplierRates!$D$5:$D$500,MATCH($K463&amp;"|"&amp;$L463,SupplierRates!$A$5:$A$500,0)),0))</f>
        <v/>
      </c>
      <c r="Q463" s="26" t="str">
        <f aca="false">IF(OR($D463="",$J463&lt;&gt;"Supplier"),"",IFERROR(INDEX(SupplierRates!$E$5:$E$500,MATCH($K463&amp;"|"&amp;$L463,SupplierRates!$A$5:$A$500,0)),0))</f>
        <v/>
      </c>
      <c r="R463" s="26" t="n">
        <f aca="false">IF(OR($D463="",$J463&lt;&gt;"Supplier"),0,F463*P463+G463*Q463)</f>
        <v>0</v>
      </c>
      <c r="S463" s="26" t="n">
        <f aca="false">IF(OR($D463="",$J463&lt;&gt;"Own"),0,IFERROR((F463+G463*Settings!$B$13)*INDEX(Workers!$V$5:$V$2004,MATCH($D463,Workers!$A$5:$A$2004,0)),0))</f>
        <v>0</v>
      </c>
      <c r="T463" s="26" t="str">
        <f aca="false">IF($D463="","",O463-R463-S463)</f>
        <v/>
      </c>
    </row>
    <row r="464" customFormat="false" ht="15" hidden="false" customHeight="false" outlineLevel="0" collapsed="false">
      <c r="I464" s="24" t="str">
        <f aca="false">IF($D464="","",IFERROR(INDEX(Workers!$B$5:$B$2004,MATCH($D464,Workers!$A$5:$A$2004,0)),"NOT FOUND"))</f>
        <v/>
      </c>
      <c r="J464" s="24" t="str">
        <f aca="false">IF($D464="","",IFERROR(INDEX(Workers!$C$5:$C$2004,MATCH($D464,Workers!$A$5:$A$2004,0)),""))</f>
        <v/>
      </c>
      <c r="K464" s="24" t="str">
        <f aca="false">IF($D464="","",IFERROR(IF(INDEX(Workers!$D$5:$D$2004,MATCH($D464,Workers!$A$5:$A$2004,0))=0,"",INDEX(Workers!$D$5:$D$2004,MATCH($D464,Workers!$A$5:$A$2004,0))),""))</f>
        <v/>
      </c>
      <c r="L464" s="24" t="str">
        <f aca="false">IF($D464="","",IFERROR(INDEX(Workers!$E$5:$E$2004,MATCH($D464,Workers!$A$5:$A$2004,0)),""))</f>
        <v/>
      </c>
      <c r="M464" s="26" t="str">
        <f aca="false">IF($D464="","",IFERROR(INDEX(ClientRates!$D$5:$D$500,MATCH($B464&amp;"|"&amp;$L464,ClientRates!$A$5:$A$500,0)),0))</f>
        <v/>
      </c>
      <c r="N464" s="26" t="str">
        <f aca="false">IF($D464="","",IFERROR(INDEX(ClientRates!$E$5:$E$500,MATCH($B464&amp;"|"&amp;$L464,ClientRates!$A$5:$A$500,0)),0))</f>
        <v/>
      </c>
      <c r="O464" s="26" t="str">
        <f aca="false">IF($D464="","",F464*M464+G464*N464)</f>
        <v/>
      </c>
      <c r="P464" s="26" t="str">
        <f aca="false">IF(OR($D464="",$J464&lt;&gt;"Supplier"),"",IFERROR(INDEX(SupplierRates!$D$5:$D$500,MATCH($K464&amp;"|"&amp;$L464,SupplierRates!$A$5:$A$500,0)),0))</f>
        <v/>
      </c>
      <c r="Q464" s="26" t="str">
        <f aca="false">IF(OR($D464="",$J464&lt;&gt;"Supplier"),"",IFERROR(INDEX(SupplierRates!$E$5:$E$500,MATCH($K464&amp;"|"&amp;$L464,SupplierRates!$A$5:$A$500,0)),0))</f>
        <v/>
      </c>
      <c r="R464" s="26" t="n">
        <f aca="false">IF(OR($D464="",$J464&lt;&gt;"Supplier"),0,F464*P464+G464*Q464)</f>
        <v>0</v>
      </c>
      <c r="S464" s="26" t="n">
        <f aca="false">IF(OR($D464="",$J464&lt;&gt;"Own"),0,IFERROR((F464+G464*Settings!$B$13)*INDEX(Workers!$V$5:$V$2004,MATCH($D464,Workers!$A$5:$A$2004,0)),0))</f>
        <v>0</v>
      </c>
      <c r="T464" s="26" t="str">
        <f aca="false">IF($D464="","",O464-R464-S464)</f>
        <v/>
      </c>
    </row>
    <row r="465" customFormat="false" ht="15" hidden="false" customHeight="false" outlineLevel="0" collapsed="false">
      <c r="I465" s="24" t="str">
        <f aca="false">IF($D465="","",IFERROR(INDEX(Workers!$B$5:$B$2004,MATCH($D465,Workers!$A$5:$A$2004,0)),"NOT FOUND"))</f>
        <v/>
      </c>
      <c r="J465" s="24" t="str">
        <f aca="false">IF($D465="","",IFERROR(INDEX(Workers!$C$5:$C$2004,MATCH($D465,Workers!$A$5:$A$2004,0)),""))</f>
        <v/>
      </c>
      <c r="K465" s="24" t="str">
        <f aca="false">IF($D465="","",IFERROR(IF(INDEX(Workers!$D$5:$D$2004,MATCH($D465,Workers!$A$5:$A$2004,0))=0,"",INDEX(Workers!$D$5:$D$2004,MATCH($D465,Workers!$A$5:$A$2004,0))),""))</f>
        <v/>
      </c>
      <c r="L465" s="24" t="str">
        <f aca="false">IF($D465="","",IFERROR(INDEX(Workers!$E$5:$E$2004,MATCH($D465,Workers!$A$5:$A$2004,0)),""))</f>
        <v/>
      </c>
      <c r="M465" s="26" t="str">
        <f aca="false">IF($D465="","",IFERROR(INDEX(ClientRates!$D$5:$D$500,MATCH($B465&amp;"|"&amp;$L465,ClientRates!$A$5:$A$500,0)),0))</f>
        <v/>
      </c>
      <c r="N465" s="26" t="str">
        <f aca="false">IF($D465="","",IFERROR(INDEX(ClientRates!$E$5:$E$500,MATCH($B465&amp;"|"&amp;$L465,ClientRates!$A$5:$A$500,0)),0))</f>
        <v/>
      </c>
      <c r="O465" s="26" t="str">
        <f aca="false">IF($D465="","",F465*M465+G465*N465)</f>
        <v/>
      </c>
      <c r="P465" s="26" t="str">
        <f aca="false">IF(OR($D465="",$J465&lt;&gt;"Supplier"),"",IFERROR(INDEX(SupplierRates!$D$5:$D$500,MATCH($K465&amp;"|"&amp;$L465,SupplierRates!$A$5:$A$500,0)),0))</f>
        <v/>
      </c>
      <c r="Q465" s="26" t="str">
        <f aca="false">IF(OR($D465="",$J465&lt;&gt;"Supplier"),"",IFERROR(INDEX(SupplierRates!$E$5:$E$500,MATCH($K465&amp;"|"&amp;$L465,SupplierRates!$A$5:$A$500,0)),0))</f>
        <v/>
      </c>
      <c r="R465" s="26" t="n">
        <f aca="false">IF(OR($D465="",$J465&lt;&gt;"Supplier"),0,F465*P465+G465*Q465)</f>
        <v>0</v>
      </c>
      <c r="S465" s="26" t="n">
        <f aca="false">IF(OR($D465="",$J465&lt;&gt;"Own"),0,IFERROR((F465+G465*Settings!$B$13)*INDEX(Workers!$V$5:$V$2004,MATCH($D465,Workers!$A$5:$A$2004,0)),0))</f>
        <v>0</v>
      </c>
      <c r="T465" s="26" t="str">
        <f aca="false">IF($D465="","",O465-R465-S465)</f>
        <v/>
      </c>
    </row>
    <row r="466" customFormat="false" ht="15" hidden="false" customHeight="false" outlineLevel="0" collapsed="false">
      <c r="I466" s="24" t="str">
        <f aca="false">IF($D466="","",IFERROR(INDEX(Workers!$B$5:$B$2004,MATCH($D466,Workers!$A$5:$A$2004,0)),"NOT FOUND"))</f>
        <v/>
      </c>
      <c r="J466" s="24" t="str">
        <f aca="false">IF($D466="","",IFERROR(INDEX(Workers!$C$5:$C$2004,MATCH($D466,Workers!$A$5:$A$2004,0)),""))</f>
        <v/>
      </c>
      <c r="K466" s="24" t="str">
        <f aca="false">IF($D466="","",IFERROR(IF(INDEX(Workers!$D$5:$D$2004,MATCH($D466,Workers!$A$5:$A$2004,0))=0,"",INDEX(Workers!$D$5:$D$2004,MATCH($D466,Workers!$A$5:$A$2004,0))),""))</f>
        <v/>
      </c>
      <c r="L466" s="24" t="str">
        <f aca="false">IF($D466="","",IFERROR(INDEX(Workers!$E$5:$E$2004,MATCH($D466,Workers!$A$5:$A$2004,0)),""))</f>
        <v/>
      </c>
      <c r="M466" s="26" t="str">
        <f aca="false">IF($D466="","",IFERROR(INDEX(ClientRates!$D$5:$D$500,MATCH($B466&amp;"|"&amp;$L466,ClientRates!$A$5:$A$500,0)),0))</f>
        <v/>
      </c>
      <c r="N466" s="26" t="str">
        <f aca="false">IF($D466="","",IFERROR(INDEX(ClientRates!$E$5:$E$500,MATCH($B466&amp;"|"&amp;$L466,ClientRates!$A$5:$A$500,0)),0))</f>
        <v/>
      </c>
      <c r="O466" s="26" t="str">
        <f aca="false">IF($D466="","",F466*M466+G466*N466)</f>
        <v/>
      </c>
      <c r="P466" s="26" t="str">
        <f aca="false">IF(OR($D466="",$J466&lt;&gt;"Supplier"),"",IFERROR(INDEX(SupplierRates!$D$5:$D$500,MATCH($K466&amp;"|"&amp;$L466,SupplierRates!$A$5:$A$500,0)),0))</f>
        <v/>
      </c>
      <c r="Q466" s="26" t="str">
        <f aca="false">IF(OR($D466="",$J466&lt;&gt;"Supplier"),"",IFERROR(INDEX(SupplierRates!$E$5:$E$500,MATCH($K466&amp;"|"&amp;$L466,SupplierRates!$A$5:$A$500,0)),0))</f>
        <v/>
      </c>
      <c r="R466" s="26" t="n">
        <f aca="false">IF(OR($D466="",$J466&lt;&gt;"Supplier"),0,F466*P466+G466*Q466)</f>
        <v>0</v>
      </c>
      <c r="S466" s="26" t="n">
        <f aca="false">IF(OR($D466="",$J466&lt;&gt;"Own"),0,IFERROR((F466+G466*Settings!$B$13)*INDEX(Workers!$V$5:$V$2004,MATCH($D466,Workers!$A$5:$A$2004,0)),0))</f>
        <v>0</v>
      </c>
      <c r="T466" s="26" t="str">
        <f aca="false">IF($D466="","",O466-R466-S466)</f>
        <v/>
      </c>
    </row>
    <row r="467" customFormat="false" ht="15" hidden="false" customHeight="false" outlineLevel="0" collapsed="false">
      <c r="I467" s="24" t="str">
        <f aca="false">IF($D467="","",IFERROR(INDEX(Workers!$B$5:$B$2004,MATCH($D467,Workers!$A$5:$A$2004,0)),"NOT FOUND"))</f>
        <v/>
      </c>
      <c r="J467" s="24" t="str">
        <f aca="false">IF($D467="","",IFERROR(INDEX(Workers!$C$5:$C$2004,MATCH($D467,Workers!$A$5:$A$2004,0)),""))</f>
        <v/>
      </c>
      <c r="K467" s="24" t="str">
        <f aca="false">IF($D467="","",IFERROR(IF(INDEX(Workers!$D$5:$D$2004,MATCH($D467,Workers!$A$5:$A$2004,0))=0,"",INDEX(Workers!$D$5:$D$2004,MATCH($D467,Workers!$A$5:$A$2004,0))),""))</f>
        <v/>
      </c>
      <c r="L467" s="24" t="str">
        <f aca="false">IF($D467="","",IFERROR(INDEX(Workers!$E$5:$E$2004,MATCH($D467,Workers!$A$5:$A$2004,0)),""))</f>
        <v/>
      </c>
      <c r="M467" s="26" t="str">
        <f aca="false">IF($D467="","",IFERROR(INDEX(ClientRates!$D$5:$D$500,MATCH($B467&amp;"|"&amp;$L467,ClientRates!$A$5:$A$500,0)),0))</f>
        <v/>
      </c>
      <c r="N467" s="26" t="str">
        <f aca="false">IF($D467="","",IFERROR(INDEX(ClientRates!$E$5:$E$500,MATCH($B467&amp;"|"&amp;$L467,ClientRates!$A$5:$A$500,0)),0))</f>
        <v/>
      </c>
      <c r="O467" s="26" t="str">
        <f aca="false">IF($D467="","",F467*M467+G467*N467)</f>
        <v/>
      </c>
      <c r="P467" s="26" t="str">
        <f aca="false">IF(OR($D467="",$J467&lt;&gt;"Supplier"),"",IFERROR(INDEX(SupplierRates!$D$5:$D$500,MATCH($K467&amp;"|"&amp;$L467,SupplierRates!$A$5:$A$500,0)),0))</f>
        <v/>
      </c>
      <c r="Q467" s="26" t="str">
        <f aca="false">IF(OR($D467="",$J467&lt;&gt;"Supplier"),"",IFERROR(INDEX(SupplierRates!$E$5:$E$500,MATCH($K467&amp;"|"&amp;$L467,SupplierRates!$A$5:$A$500,0)),0))</f>
        <v/>
      </c>
      <c r="R467" s="26" t="n">
        <f aca="false">IF(OR($D467="",$J467&lt;&gt;"Supplier"),0,F467*P467+G467*Q467)</f>
        <v>0</v>
      </c>
      <c r="S467" s="26" t="n">
        <f aca="false">IF(OR($D467="",$J467&lt;&gt;"Own"),0,IFERROR((F467+G467*Settings!$B$13)*INDEX(Workers!$V$5:$V$2004,MATCH($D467,Workers!$A$5:$A$2004,0)),0))</f>
        <v>0</v>
      </c>
      <c r="T467" s="26" t="str">
        <f aca="false">IF($D467="","",O467-R467-S467)</f>
        <v/>
      </c>
    </row>
    <row r="468" customFormat="false" ht="15" hidden="false" customHeight="false" outlineLevel="0" collapsed="false">
      <c r="I468" s="24" t="str">
        <f aca="false">IF($D468="","",IFERROR(INDEX(Workers!$B$5:$B$2004,MATCH($D468,Workers!$A$5:$A$2004,0)),"NOT FOUND"))</f>
        <v/>
      </c>
      <c r="J468" s="24" t="str">
        <f aca="false">IF($D468="","",IFERROR(INDEX(Workers!$C$5:$C$2004,MATCH($D468,Workers!$A$5:$A$2004,0)),""))</f>
        <v/>
      </c>
      <c r="K468" s="24" t="str">
        <f aca="false">IF($D468="","",IFERROR(IF(INDEX(Workers!$D$5:$D$2004,MATCH($D468,Workers!$A$5:$A$2004,0))=0,"",INDEX(Workers!$D$5:$D$2004,MATCH($D468,Workers!$A$5:$A$2004,0))),""))</f>
        <v/>
      </c>
      <c r="L468" s="24" t="str">
        <f aca="false">IF($D468="","",IFERROR(INDEX(Workers!$E$5:$E$2004,MATCH($D468,Workers!$A$5:$A$2004,0)),""))</f>
        <v/>
      </c>
      <c r="M468" s="26" t="str">
        <f aca="false">IF($D468="","",IFERROR(INDEX(ClientRates!$D$5:$D$500,MATCH($B468&amp;"|"&amp;$L468,ClientRates!$A$5:$A$500,0)),0))</f>
        <v/>
      </c>
      <c r="N468" s="26" t="str">
        <f aca="false">IF($D468="","",IFERROR(INDEX(ClientRates!$E$5:$E$500,MATCH($B468&amp;"|"&amp;$L468,ClientRates!$A$5:$A$500,0)),0))</f>
        <v/>
      </c>
      <c r="O468" s="26" t="str">
        <f aca="false">IF($D468="","",F468*M468+G468*N468)</f>
        <v/>
      </c>
      <c r="P468" s="26" t="str">
        <f aca="false">IF(OR($D468="",$J468&lt;&gt;"Supplier"),"",IFERROR(INDEX(SupplierRates!$D$5:$D$500,MATCH($K468&amp;"|"&amp;$L468,SupplierRates!$A$5:$A$500,0)),0))</f>
        <v/>
      </c>
      <c r="Q468" s="26" t="str">
        <f aca="false">IF(OR($D468="",$J468&lt;&gt;"Supplier"),"",IFERROR(INDEX(SupplierRates!$E$5:$E$500,MATCH($K468&amp;"|"&amp;$L468,SupplierRates!$A$5:$A$500,0)),0))</f>
        <v/>
      </c>
      <c r="R468" s="26" t="n">
        <f aca="false">IF(OR($D468="",$J468&lt;&gt;"Supplier"),0,F468*P468+G468*Q468)</f>
        <v>0</v>
      </c>
      <c r="S468" s="26" t="n">
        <f aca="false">IF(OR($D468="",$J468&lt;&gt;"Own"),0,IFERROR((F468+G468*Settings!$B$13)*INDEX(Workers!$V$5:$V$2004,MATCH($D468,Workers!$A$5:$A$2004,0)),0))</f>
        <v>0</v>
      </c>
      <c r="T468" s="26" t="str">
        <f aca="false">IF($D468="","",O468-R468-S468)</f>
        <v/>
      </c>
    </row>
    <row r="469" customFormat="false" ht="15" hidden="false" customHeight="false" outlineLevel="0" collapsed="false">
      <c r="I469" s="24" t="str">
        <f aca="false">IF($D469="","",IFERROR(INDEX(Workers!$B$5:$B$2004,MATCH($D469,Workers!$A$5:$A$2004,0)),"NOT FOUND"))</f>
        <v/>
      </c>
      <c r="J469" s="24" t="str">
        <f aca="false">IF($D469="","",IFERROR(INDEX(Workers!$C$5:$C$2004,MATCH($D469,Workers!$A$5:$A$2004,0)),""))</f>
        <v/>
      </c>
      <c r="K469" s="24" t="str">
        <f aca="false">IF($D469="","",IFERROR(IF(INDEX(Workers!$D$5:$D$2004,MATCH($D469,Workers!$A$5:$A$2004,0))=0,"",INDEX(Workers!$D$5:$D$2004,MATCH($D469,Workers!$A$5:$A$2004,0))),""))</f>
        <v/>
      </c>
      <c r="L469" s="24" t="str">
        <f aca="false">IF($D469="","",IFERROR(INDEX(Workers!$E$5:$E$2004,MATCH($D469,Workers!$A$5:$A$2004,0)),""))</f>
        <v/>
      </c>
      <c r="M469" s="26" t="str">
        <f aca="false">IF($D469="","",IFERROR(INDEX(ClientRates!$D$5:$D$500,MATCH($B469&amp;"|"&amp;$L469,ClientRates!$A$5:$A$500,0)),0))</f>
        <v/>
      </c>
      <c r="N469" s="26" t="str">
        <f aca="false">IF($D469="","",IFERROR(INDEX(ClientRates!$E$5:$E$500,MATCH($B469&amp;"|"&amp;$L469,ClientRates!$A$5:$A$500,0)),0))</f>
        <v/>
      </c>
      <c r="O469" s="26" t="str">
        <f aca="false">IF($D469="","",F469*M469+G469*N469)</f>
        <v/>
      </c>
      <c r="P469" s="26" t="str">
        <f aca="false">IF(OR($D469="",$J469&lt;&gt;"Supplier"),"",IFERROR(INDEX(SupplierRates!$D$5:$D$500,MATCH($K469&amp;"|"&amp;$L469,SupplierRates!$A$5:$A$500,0)),0))</f>
        <v/>
      </c>
      <c r="Q469" s="26" t="str">
        <f aca="false">IF(OR($D469="",$J469&lt;&gt;"Supplier"),"",IFERROR(INDEX(SupplierRates!$E$5:$E$500,MATCH($K469&amp;"|"&amp;$L469,SupplierRates!$A$5:$A$500,0)),0))</f>
        <v/>
      </c>
      <c r="R469" s="26" t="n">
        <f aca="false">IF(OR($D469="",$J469&lt;&gt;"Supplier"),0,F469*P469+G469*Q469)</f>
        <v>0</v>
      </c>
      <c r="S469" s="26" t="n">
        <f aca="false">IF(OR($D469="",$J469&lt;&gt;"Own"),0,IFERROR((F469+G469*Settings!$B$13)*INDEX(Workers!$V$5:$V$2004,MATCH($D469,Workers!$A$5:$A$2004,0)),0))</f>
        <v>0</v>
      </c>
      <c r="T469" s="26" t="str">
        <f aca="false">IF($D469="","",O469-R469-S469)</f>
        <v/>
      </c>
    </row>
    <row r="470" customFormat="false" ht="15" hidden="false" customHeight="false" outlineLevel="0" collapsed="false">
      <c r="I470" s="24" t="str">
        <f aca="false">IF($D470="","",IFERROR(INDEX(Workers!$B$5:$B$2004,MATCH($D470,Workers!$A$5:$A$2004,0)),"NOT FOUND"))</f>
        <v/>
      </c>
      <c r="J470" s="24" t="str">
        <f aca="false">IF($D470="","",IFERROR(INDEX(Workers!$C$5:$C$2004,MATCH($D470,Workers!$A$5:$A$2004,0)),""))</f>
        <v/>
      </c>
      <c r="K470" s="24" t="str">
        <f aca="false">IF($D470="","",IFERROR(IF(INDEX(Workers!$D$5:$D$2004,MATCH($D470,Workers!$A$5:$A$2004,0))=0,"",INDEX(Workers!$D$5:$D$2004,MATCH($D470,Workers!$A$5:$A$2004,0))),""))</f>
        <v/>
      </c>
      <c r="L470" s="24" t="str">
        <f aca="false">IF($D470="","",IFERROR(INDEX(Workers!$E$5:$E$2004,MATCH($D470,Workers!$A$5:$A$2004,0)),""))</f>
        <v/>
      </c>
      <c r="M470" s="26" t="str">
        <f aca="false">IF($D470="","",IFERROR(INDEX(ClientRates!$D$5:$D$500,MATCH($B470&amp;"|"&amp;$L470,ClientRates!$A$5:$A$500,0)),0))</f>
        <v/>
      </c>
      <c r="N470" s="26" t="str">
        <f aca="false">IF($D470="","",IFERROR(INDEX(ClientRates!$E$5:$E$500,MATCH($B470&amp;"|"&amp;$L470,ClientRates!$A$5:$A$500,0)),0))</f>
        <v/>
      </c>
      <c r="O470" s="26" t="str">
        <f aca="false">IF($D470="","",F470*M470+G470*N470)</f>
        <v/>
      </c>
      <c r="P470" s="26" t="str">
        <f aca="false">IF(OR($D470="",$J470&lt;&gt;"Supplier"),"",IFERROR(INDEX(SupplierRates!$D$5:$D$500,MATCH($K470&amp;"|"&amp;$L470,SupplierRates!$A$5:$A$500,0)),0))</f>
        <v/>
      </c>
      <c r="Q470" s="26" t="str">
        <f aca="false">IF(OR($D470="",$J470&lt;&gt;"Supplier"),"",IFERROR(INDEX(SupplierRates!$E$5:$E$500,MATCH($K470&amp;"|"&amp;$L470,SupplierRates!$A$5:$A$500,0)),0))</f>
        <v/>
      </c>
      <c r="R470" s="26" t="n">
        <f aca="false">IF(OR($D470="",$J470&lt;&gt;"Supplier"),0,F470*P470+G470*Q470)</f>
        <v>0</v>
      </c>
      <c r="S470" s="26" t="n">
        <f aca="false">IF(OR($D470="",$J470&lt;&gt;"Own"),0,IFERROR((F470+G470*Settings!$B$13)*INDEX(Workers!$V$5:$V$2004,MATCH($D470,Workers!$A$5:$A$2004,0)),0))</f>
        <v>0</v>
      </c>
      <c r="T470" s="26" t="str">
        <f aca="false">IF($D470="","",O470-R470-S470)</f>
        <v/>
      </c>
    </row>
    <row r="471" customFormat="false" ht="15" hidden="false" customHeight="false" outlineLevel="0" collapsed="false">
      <c r="I471" s="24" t="str">
        <f aca="false">IF($D471="","",IFERROR(INDEX(Workers!$B$5:$B$2004,MATCH($D471,Workers!$A$5:$A$2004,0)),"NOT FOUND"))</f>
        <v/>
      </c>
      <c r="J471" s="24" t="str">
        <f aca="false">IF($D471="","",IFERROR(INDEX(Workers!$C$5:$C$2004,MATCH($D471,Workers!$A$5:$A$2004,0)),""))</f>
        <v/>
      </c>
      <c r="K471" s="24" t="str">
        <f aca="false">IF($D471="","",IFERROR(IF(INDEX(Workers!$D$5:$D$2004,MATCH($D471,Workers!$A$5:$A$2004,0))=0,"",INDEX(Workers!$D$5:$D$2004,MATCH($D471,Workers!$A$5:$A$2004,0))),""))</f>
        <v/>
      </c>
      <c r="L471" s="24" t="str">
        <f aca="false">IF($D471="","",IFERROR(INDEX(Workers!$E$5:$E$2004,MATCH($D471,Workers!$A$5:$A$2004,0)),""))</f>
        <v/>
      </c>
      <c r="M471" s="26" t="str">
        <f aca="false">IF($D471="","",IFERROR(INDEX(ClientRates!$D$5:$D$500,MATCH($B471&amp;"|"&amp;$L471,ClientRates!$A$5:$A$500,0)),0))</f>
        <v/>
      </c>
      <c r="N471" s="26" t="str">
        <f aca="false">IF($D471="","",IFERROR(INDEX(ClientRates!$E$5:$E$500,MATCH($B471&amp;"|"&amp;$L471,ClientRates!$A$5:$A$500,0)),0))</f>
        <v/>
      </c>
      <c r="O471" s="26" t="str">
        <f aca="false">IF($D471="","",F471*M471+G471*N471)</f>
        <v/>
      </c>
      <c r="P471" s="26" t="str">
        <f aca="false">IF(OR($D471="",$J471&lt;&gt;"Supplier"),"",IFERROR(INDEX(SupplierRates!$D$5:$D$500,MATCH($K471&amp;"|"&amp;$L471,SupplierRates!$A$5:$A$500,0)),0))</f>
        <v/>
      </c>
      <c r="Q471" s="26" t="str">
        <f aca="false">IF(OR($D471="",$J471&lt;&gt;"Supplier"),"",IFERROR(INDEX(SupplierRates!$E$5:$E$500,MATCH($K471&amp;"|"&amp;$L471,SupplierRates!$A$5:$A$500,0)),0))</f>
        <v/>
      </c>
      <c r="R471" s="26" t="n">
        <f aca="false">IF(OR($D471="",$J471&lt;&gt;"Supplier"),0,F471*P471+G471*Q471)</f>
        <v>0</v>
      </c>
      <c r="S471" s="26" t="n">
        <f aca="false">IF(OR($D471="",$J471&lt;&gt;"Own"),0,IFERROR((F471+G471*Settings!$B$13)*INDEX(Workers!$V$5:$V$2004,MATCH($D471,Workers!$A$5:$A$2004,0)),0))</f>
        <v>0</v>
      </c>
      <c r="T471" s="26" t="str">
        <f aca="false">IF($D471="","",O471-R471-S471)</f>
        <v/>
      </c>
    </row>
    <row r="472" customFormat="false" ht="15" hidden="false" customHeight="false" outlineLevel="0" collapsed="false">
      <c r="I472" s="24" t="str">
        <f aca="false">IF($D472="","",IFERROR(INDEX(Workers!$B$5:$B$2004,MATCH($D472,Workers!$A$5:$A$2004,0)),"NOT FOUND"))</f>
        <v/>
      </c>
      <c r="J472" s="24" t="str">
        <f aca="false">IF($D472="","",IFERROR(INDEX(Workers!$C$5:$C$2004,MATCH($D472,Workers!$A$5:$A$2004,0)),""))</f>
        <v/>
      </c>
      <c r="K472" s="24" t="str">
        <f aca="false">IF($D472="","",IFERROR(IF(INDEX(Workers!$D$5:$D$2004,MATCH($D472,Workers!$A$5:$A$2004,0))=0,"",INDEX(Workers!$D$5:$D$2004,MATCH($D472,Workers!$A$5:$A$2004,0))),""))</f>
        <v/>
      </c>
      <c r="L472" s="24" t="str">
        <f aca="false">IF($D472="","",IFERROR(INDEX(Workers!$E$5:$E$2004,MATCH($D472,Workers!$A$5:$A$2004,0)),""))</f>
        <v/>
      </c>
      <c r="M472" s="26" t="str">
        <f aca="false">IF($D472="","",IFERROR(INDEX(ClientRates!$D$5:$D$500,MATCH($B472&amp;"|"&amp;$L472,ClientRates!$A$5:$A$500,0)),0))</f>
        <v/>
      </c>
      <c r="N472" s="26" t="str">
        <f aca="false">IF($D472="","",IFERROR(INDEX(ClientRates!$E$5:$E$500,MATCH($B472&amp;"|"&amp;$L472,ClientRates!$A$5:$A$500,0)),0))</f>
        <v/>
      </c>
      <c r="O472" s="26" t="str">
        <f aca="false">IF($D472="","",F472*M472+G472*N472)</f>
        <v/>
      </c>
      <c r="P472" s="26" t="str">
        <f aca="false">IF(OR($D472="",$J472&lt;&gt;"Supplier"),"",IFERROR(INDEX(SupplierRates!$D$5:$D$500,MATCH($K472&amp;"|"&amp;$L472,SupplierRates!$A$5:$A$500,0)),0))</f>
        <v/>
      </c>
      <c r="Q472" s="26" t="str">
        <f aca="false">IF(OR($D472="",$J472&lt;&gt;"Supplier"),"",IFERROR(INDEX(SupplierRates!$E$5:$E$500,MATCH($K472&amp;"|"&amp;$L472,SupplierRates!$A$5:$A$500,0)),0))</f>
        <v/>
      </c>
      <c r="R472" s="26" t="n">
        <f aca="false">IF(OR($D472="",$J472&lt;&gt;"Supplier"),0,F472*P472+G472*Q472)</f>
        <v>0</v>
      </c>
      <c r="S472" s="26" t="n">
        <f aca="false">IF(OR($D472="",$J472&lt;&gt;"Own"),0,IFERROR((F472+G472*Settings!$B$13)*INDEX(Workers!$V$5:$V$2004,MATCH($D472,Workers!$A$5:$A$2004,0)),0))</f>
        <v>0</v>
      </c>
      <c r="T472" s="26" t="str">
        <f aca="false">IF($D472="","",O472-R472-S472)</f>
        <v/>
      </c>
    </row>
    <row r="473" customFormat="false" ht="15" hidden="false" customHeight="false" outlineLevel="0" collapsed="false">
      <c r="I473" s="24" t="str">
        <f aca="false">IF($D473="","",IFERROR(INDEX(Workers!$B$5:$B$2004,MATCH($D473,Workers!$A$5:$A$2004,0)),"NOT FOUND"))</f>
        <v/>
      </c>
      <c r="J473" s="24" t="str">
        <f aca="false">IF($D473="","",IFERROR(INDEX(Workers!$C$5:$C$2004,MATCH($D473,Workers!$A$5:$A$2004,0)),""))</f>
        <v/>
      </c>
      <c r="K473" s="24" t="str">
        <f aca="false">IF($D473="","",IFERROR(IF(INDEX(Workers!$D$5:$D$2004,MATCH($D473,Workers!$A$5:$A$2004,0))=0,"",INDEX(Workers!$D$5:$D$2004,MATCH($D473,Workers!$A$5:$A$2004,0))),""))</f>
        <v/>
      </c>
      <c r="L473" s="24" t="str">
        <f aca="false">IF($D473="","",IFERROR(INDEX(Workers!$E$5:$E$2004,MATCH($D473,Workers!$A$5:$A$2004,0)),""))</f>
        <v/>
      </c>
      <c r="M473" s="26" t="str">
        <f aca="false">IF($D473="","",IFERROR(INDEX(ClientRates!$D$5:$D$500,MATCH($B473&amp;"|"&amp;$L473,ClientRates!$A$5:$A$500,0)),0))</f>
        <v/>
      </c>
      <c r="N473" s="26" t="str">
        <f aca="false">IF($D473="","",IFERROR(INDEX(ClientRates!$E$5:$E$500,MATCH($B473&amp;"|"&amp;$L473,ClientRates!$A$5:$A$500,0)),0))</f>
        <v/>
      </c>
      <c r="O473" s="26" t="str">
        <f aca="false">IF($D473="","",F473*M473+G473*N473)</f>
        <v/>
      </c>
      <c r="P473" s="26" t="str">
        <f aca="false">IF(OR($D473="",$J473&lt;&gt;"Supplier"),"",IFERROR(INDEX(SupplierRates!$D$5:$D$500,MATCH($K473&amp;"|"&amp;$L473,SupplierRates!$A$5:$A$500,0)),0))</f>
        <v/>
      </c>
      <c r="Q473" s="26" t="str">
        <f aca="false">IF(OR($D473="",$J473&lt;&gt;"Supplier"),"",IFERROR(INDEX(SupplierRates!$E$5:$E$500,MATCH($K473&amp;"|"&amp;$L473,SupplierRates!$A$5:$A$500,0)),0))</f>
        <v/>
      </c>
      <c r="R473" s="26" t="n">
        <f aca="false">IF(OR($D473="",$J473&lt;&gt;"Supplier"),0,F473*P473+G473*Q473)</f>
        <v>0</v>
      </c>
      <c r="S473" s="26" t="n">
        <f aca="false">IF(OR($D473="",$J473&lt;&gt;"Own"),0,IFERROR((F473+G473*Settings!$B$13)*INDEX(Workers!$V$5:$V$2004,MATCH($D473,Workers!$A$5:$A$2004,0)),0))</f>
        <v>0</v>
      </c>
      <c r="T473" s="26" t="str">
        <f aca="false">IF($D473="","",O473-R473-S473)</f>
        <v/>
      </c>
    </row>
    <row r="474" customFormat="false" ht="15" hidden="false" customHeight="false" outlineLevel="0" collapsed="false">
      <c r="I474" s="24" t="str">
        <f aca="false">IF($D474="","",IFERROR(INDEX(Workers!$B$5:$B$2004,MATCH($D474,Workers!$A$5:$A$2004,0)),"NOT FOUND"))</f>
        <v/>
      </c>
      <c r="J474" s="24" t="str">
        <f aca="false">IF($D474="","",IFERROR(INDEX(Workers!$C$5:$C$2004,MATCH($D474,Workers!$A$5:$A$2004,0)),""))</f>
        <v/>
      </c>
      <c r="K474" s="24" t="str">
        <f aca="false">IF($D474="","",IFERROR(IF(INDEX(Workers!$D$5:$D$2004,MATCH($D474,Workers!$A$5:$A$2004,0))=0,"",INDEX(Workers!$D$5:$D$2004,MATCH($D474,Workers!$A$5:$A$2004,0))),""))</f>
        <v/>
      </c>
      <c r="L474" s="24" t="str">
        <f aca="false">IF($D474="","",IFERROR(INDEX(Workers!$E$5:$E$2004,MATCH($D474,Workers!$A$5:$A$2004,0)),""))</f>
        <v/>
      </c>
      <c r="M474" s="26" t="str">
        <f aca="false">IF($D474="","",IFERROR(INDEX(ClientRates!$D$5:$D$500,MATCH($B474&amp;"|"&amp;$L474,ClientRates!$A$5:$A$500,0)),0))</f>
        <v/>
      </c>
      <c r="N474" s="26" t="str">
        <f aca="false">IF($D474="","",IFERROR(INDEX(ClientRates!$E$5:$E$500,MATCH($B474&amp;"|"&amp;$L474,ClientRates!$A$5:$A$500,0)),0))</f>
        <v/>
      </c>
      <c r="O474" s="26" t="str">
        <f aca="false">IF($D474="","",F474*M474+G474*N474)</f>
        <v/>
      </c>
      <c r="P474" s="26" t="str">
        <f aca="false">IF(OR($D474="",$J474&lt;&gt;"Supplier"),"",IFERROR(INDEX(SupplierRates!$D$5:$D$500,MATCH($K474&amp;"|"&amp;$L474,SupplierRates!$A$5:$A$500,0)),0))</f>
        <v/>
      </c>
      <c r="Q474" s="26" t="str">
        <f aca="false">IF(OR($D474="",$J474&lt;&gt;"Supplier"),"",IFERROR(INDEX(SupplierRates!$E$5:$E$500,MATCH($K474&amp;"|"&amp;$L474,SupplierRates!$A$5:$A$500,0)),0))</f>
        <v/>
      </c>
      <c r="R474" s="26" t="n">
        <f aca="false">IF(OR($D474="",$J474&lt;&gt;"Supplier"),0,F474*P474+G474*Q474)</f>
        <v>0</v>
      </c>
      <c r="S474" s="26" t="n">
        <f aca="false">IF(OR($D474="",$J474&lt;&gt;"Own"),0,IFERROR((F474+G474*Settings!$B$13)*INDEX(Workers!$V$5:$V$2004,MATCH($D474,Workers!$A$5:$A$2004,0)),0))</f>
        <v>0</v>
      </c>
      <c r="T474" s="26" t="str">
        <f aca="false">IF($D474="","",O474-R474-S474)</f>
        <v/>
      </c>
    </row>
    <row r="475" customFormat="false" ht="15" hidden="false" customHeight="false" outlineLevel="0" collapsed="false">
      <c r="I475" s="24" t="str">
        <f aca="false">IF($D475="","",IFERROR(INDEX(Workers!$B$5:$B$2004,MATCH($D475,Workers!$A$5:$A$2004,0)),"NOT FOUND"))</f>
        <v/>
      </c>
      <c r="J475" s="24" t="str">
        <f aca="false">IF($D475="","",IFERROR(INDEX(Workers!$C$5:$C$2004,MATCH($D475,Workers!$A$5:$A$2004,0)),""))</f>
        <v/>
      </c>
      <c r="K475" s="24" t="str">
        <f aca="false">IF($D475="","",IFERROR(IF(INDEX(Workers!$D$5:$D$2004,MATCH($D475,Workers!$A$5:$A$2004,0))=0,"",INDEX(Workers!$D$5:$D$2004,MATCH($D475,Workers!$A$5:$A$2004,0))),""))</f>
        <v/>
      </c>
      <c r="L475" s="24" t="str">
        <f aca="false">IF($D475="","",IFERROR(INDEX(Workers!$E$5:$E$2004,MATCH($D475,Workers!$A$5:$A$2004,0)),""))</f>
        <v/>
      </c>
      <c r="M475" s="26" t="str">
        <f aca="false">IF($D475="","",IFERROR(INDEX(ClientRates!$D$5:$D$500,MATCH($B475&amp;"|"&amp;$L475,ClientRates!$A$5:$A$500,0)),0))</f>
        <v/>
      </c>
      <c r="N475" s="26" t="str">
        <f aca="false">IF($D475="","",IFERROR(INDEX(ClientRates!$E$5:$E$500,MATCH($B475&amp;"|"&amp;$L475,ClientRates!$A$5:$A$500,0)),0))</f>
        <v/>
      </c>
      <c r="O475" s="26" t="str">
        <f aca="false">IF($D475="","",F475*M475+G475*N475)</f>
        <v/>
      </c>
      <c r="P475" s="26" t="str">
        <f aca="false">IF(OR($D475="",$J475&lt;&gt;"Supplier"),"",IFERROR(INDEX(SupplierRates!$D$5:$D$500,MATCH($K475&amp;"|"&amp;$L475,SupplierRates!$A$5:$A$500,0)),0))</f>
        <v/>
      </c>
      <c r="Q475" s="26" t="str">
        <f aca="false">IF(OR($D475="",$J475&lt;&gt;"Supplier"),"",IFERROR(INDEX(SupplierRates!$E$5:$E$500,MATCH($K475&amp;"|"&amp;$L475,SupplierRates!$A$5:$A$500,0)),0))</f>
        <v/>
      </c>
      <c r="R475" s="26" t="n">
        <f aca="false">IF(OR($D475="",$J475&lt;&gt;"Supplier"),0,F475*P475+G475*Q475)</f>
        <v>0</v>
      </c>
      <c r="S475" s="26" t="n">
        <f aca="false">IF(OR($D475="",$J475&lt;&gt;"Own"),0,IFERROR((F475+G475*Settings!$B$13)*INDEX(Workers!$V$5:$V$2004,MATCH($D475,Workers!$A$5:$A$2004,0)),0))</f>
        <v>0</v>
      </c>
      <c r="T475" s="26" t="str">
        <f aca="false">IF($D475="","",O475-R475-S475)</f>
        <v/>
      </c>
    </row>
    <row r="476" customFormat="false" ht="15" hidden="false" customHeight="false" outlineLevel="0" collapsed="false">
      <c r="I476" s="24" t="str">
        <f aca="false">IF($D476="","",IFERROR(INDEX(Workers!$B$5:$B$2004,MATCH($D476,Workers!$A$5:$A$2004,0)),"NOT FOUND"))</f>
        <v/>
      </c>
      <c r="J476" s="24" t="str">
        <f aca="false">IF($D476="","",IFERROR(INDEX(Workers!$C$5:$C$2004,MATCH($D476,Workers!$A$5:$A$2004,0)),""))</f>
        <v/>
      </c>
      <c r="K476" s="24" t="str">
        <f aca="false">IF($D476="","",IFERROR(IF(INDEX(Workers!$D$5:$D$2004,MATCH($D476,Workers!$A$5:$A$2004,0))=0,"",INDEX(Workers!$D$5:$D$2004,MATCH($D476,Workers!$A$5:$A$2004,0))),""))</f>
        <v/>
      </c>
      <c r="L476" s="24" t="str">
        <f aca="false">IF($D476="","",IFERROR(INDEX(Workers!$E$5:$E$2004,MATCH($D476,Workers!$A$5:$A$2004,0)),""))</f>
        <v/>
      </c>
      <c r="M476" s="26" t="str">
        <f aca="false">IF($D476="","",IFERROR(INDEX(ClientRates!$D$5:$D$500,MATCH($B476&amp;"|"&amp;$L476,ClientRates!$A$5:$A$500,0)),0))</f>
        <v/>
      </c>
      <c r="N476" s="26" t="str">
        <f aca="false">IF($D476="","",IFERROR(INDEX(ClientRates!$E$5:$E$500,MATCH($B476&amp;"|"&amp;$L476,ClientRates!$A$5:$A$500,0)),0))</f>
        <v/>
      </c>
      <c r="O476" s="26" t="str">
        <f aca="false">IF($D476="","",F476*M476+G476*N476)</f>
        <v/>
      </c>
      <c r="P476" s="26" t="str">
        <f aca="false">IF(OR($D476="",$J476&lt;&gt;"Supplier"),"",IFERROR(INDEX(SupplierRates!$D$5:$D$500,MATCH($K476&amp;"|"&amp;$L476,SupplierRates!$A$5:$A$500,0)),0))</f>
        <v/>
      </c>
      <c r="Q476" s="26" t="str">
        <f aca="false">IF(OR($D476="",$J476&lt;&gt;"Supplier"),"",IFERROR(INDEX(SupplierRates!$E$5:$E$500,MATCH($K476&amp;"|"&amp;$L476,SupplierRates!$A$5:$A$500,0)),0))</f>
        <v/>
      </c>
      <c r="R476" s="26" t="n">
        <f aca="false">IF(OR($D476="",$J476&lt;&gt;"Supplier"),0,F476*P476+G476*Q476)</f>
        <v>0</v>
      </c>
      <c r="S476" s="26" t="n">
        <f aca="false">IF(OR($D476="",$J476&lt;&gt;"Own"),0,IFERROR((F476+G476*Settings!$B$13)*INDEX(Workers!$V$5:$V$2004,MATCH($D476,Workers!$A$5:$A$2004,0)),0))</f>
        <v>0</v>
      </c>
      <c r="T476" s="26" t="str">
        <f aca="false">IF($D476="","",O476-R476-S476)</f>
        <v/>
      </c>
    </row>
    <row r="477" customFormat="false" ht="15" hidden="false" customHeight="false" outlineLevel="0" collapsed="false">
      <c r="I477" s="24" t="str">
        <f aca="false">IF($D477="","",IFERROR(INDEX(Workers!$B$5:$B$2004,MATCH($D477,Workers!$A$5:$A$2004,0)),"NOT FOUND"))</f>
        <v/>
      </c>
      <c r="J477" s="24" t="str">
        <f aca="false">IF($D477="","",IFERROR(INDEX(Workers!$C$5:$C$2004,MATCH($D477,Workers!$A$5:$A$2004,0)),""))</f>
        <v/>
      </c>
      <c r="K477" s="24" t="str">
        <f aca="false">IF($D477="","",IFERROR(IF(INDEX(Workers!$D$5:$D$2004,MATCH($D477,Workers!$A$5:$A$2004,0))=0,"",INDEX(Workers!$D$5:$D$2004,MATCH($D477,Workers!$A$5:$A$2004,0))),""))</f>
        <v/>
      </c>
      <c r="L477" s="24" t="str">
        <f aca="false">IF($D477="","",IFERROR(INDEX(Workers!$E$5:$E$2004,MATCH($D477,Workers!$A$5:$A$2004,0)),""))</f>
        <v/>
      </c>
      <c r="M477" s="26" t="str">
        <f aca="false">IF($D477="","",IFERROR(INDEX(ClientRates!$D$5:$D$500,MATCH($B477&amp;"|"&amp;$L477,ClientRates!$A$5:$A$500,0)),0))</f>
        <v/>
      </c>
      <c r="N477" s="26" t="str">
        <f aca="false">IF($D477="","",IFERROR(INDEX(ClientRates!$E$5:$E$500,MATCH($B477&amp;"|"&amp;$L477,ClientRates!$A$5:$A$500,0)),0))</f>
        <v/>
      </c>
      <c r="O477" s="26" t="str">
        <f aca="false">IF($D477="","",F477*M477+G477*N477)</f>
        <v/>
      </c>
      <c r="P477" s="26" t="str">
        <f aca="false">IF(OR($D477="",$J477&lt;&gt;"Supplier"),"",IFERROR(INDEX(SupplierRates!$D$5:$D$500,MATCH($K477&amp;"|"&amp;$L477,SupplierRates!$A$5:$A$500,0)),0))</f>
        <v/>
      </c>
      <c r="Q477" s="26" t="str">
        <f aca="false">IF(OR($D477="",$J477&lt;&gt;"Supplier"),"",IFERROR(INDEX(SupplierRates!$E$5:$E$500,MATCH($K477&amp;"|"&amp;$L477,SupplierRates!$A$5:$A$500,0)),0))</f>
        <v/>
      </c>
      <c r="R477" s="26" t="n">
        <f aca="false">IF(OR($D477="",$J477&lt;&gt;"Supplier"),0,F477*P477+G477*Q477)</f>
        <v>0</v>
      </c>
      <c r="S477" s="26" t="n">
        <f aca="false">IF(OR($D477="",$J477&lt;&gt;"Own"),0,IFERROR((F477+G477*Settings!$B$13)*INDEX(Workers!$V$5:$V$2004,MATCH($D477,Workers!$A$5:$A$2004,0)),0))</f>
        <v>0</v>
      </c>
      <c r="T477" s="26" t="str">
        <f aca="false">IF($D477="","",O477-R477-S477)</f>
        <v/>
      </c>
    </row>
    <row r="478" customFormat="false" ht="15" hidden="false" customHeight="false" outlineLevel="0" collapsed="false">
      <c r="I478" s="24" t="str">
        <f aca="false">IF($D478="","",IFERROR(INDEX(Workers!$B$5:$B$2004,MATCH($D478,Workers!$A$5:$A$2004,0)),"NOT FOUND"))</f>
        <v/>
      </c>
      <c r="J478" s="24" t="str">
        <f aca="false">IF($D478="","",IFERROR(INDEX(Workers!$C$5:$C$2004,MATCH($D478,Workers!$A$5:$A$2004,0)),""))</f>
        <v/>
      </c>
      <c r="K478" s="24" t="str">
        <f aca="false">IF($D478="","",IFERROR(IF(INDEX(Workers!$D$5:$D$2004,MATCH($D478,Workers!$A$5:$A$2004,0))=0,"",INDEX(Workers!$D$5:$D$2004,MATCH($D478,Workers!$A$5:$A$2004,0))),""))</f>
        <v/>
      </c>
      <c r="L478" s="24" t="str">
        <f aca="false">IF($D478="","",IFERROR(INDEX(Workers!$E$5:$E$2004,MATCH($D478,Workers!$A$5:$A$2004,0)),""))</f>
        <v/>
      </c>
      <c r="M478" s="26" t="str">
        <f aca="false">IF($D478="","",IFERROR(INDEX(ClientRates!$D$5:$D$500,MATCH($B478&amp;"|"&amp;$L478,ClientRates!$A$5:$A$500,0)),0))</f>
        <v/>
      </c>
      <c r="N478" s="26" t="str">
        <f aca="false">IF($D478="","",IFERROR(INDEX(ClientRates!$E$5:$E$500,MATCH($B478&amp;"|"&amp;$L478,ClientRates!$A$5:$A$500,0)),0))</f>
        <v/>
      </c>
      <c r="O478" s="26" t="str">
        <f aca="false">IF($D478="","",F478*M478+G478*N478)</f>
        <v/>
      </c>
      <c r="P478" s="26" t="str">
        <f aca="false">IF(OR($D478="",$J478&lt;&gt;"Supplier"),"",IFERROR(INDEX(SupplierRates!$D$5:$D$500,MATCH($K478&amp;"|"&amp;$L478,SupplierRates!$A$5:$A$500,0)),0))</f>
        <v/>
      </c>
      <c r="Q478" s="26" t="str">
        <f aca="false">IF(OR($D478="",$J478&lt;&gt;"Supplier"),"",IFERROR(INDEX(SupplierRates!$E$5:$E$500,MATCH($K478&amp;"|"&amp;$L478,SupplierRates!$A$5:$A$500,0)),0))</f>
        <v/>
      </c>
      <c r="R478" s="26" t="n">
        <f aca="false">IF(OR($D478="",$J478&lt;&gt;"Supplier"),0,F478*P478+G478*Q478)</f>
        <v>0</v>
      </c>
      <c r="S478" s="26" t="n">
        <f aca="false">IF(OR($D478="",$J478&lt;&gt;"Own"),0,IFERROR((F478+G478*Settings!$B$13)*INDEX(Workers!$V$5:$V$2004,MATCH($D478,Workers!$A$5:$A$2004,0)),0))</f>
        <v>0</v>
      </c>
      <c r="T478" s="26" t="str">
        <f aca="false">IF($D478="","",O478-R478-S478)</f>
        <v/>
      </c>
    </row>
    <row r="479" customFormat="false" ht="15" hidden="false" customHeight="false" outlineLevel="0" collapsed="false">
      <c r="I479" s="24" t="str">
        <f aca="false">IF($D479="","",IFERROR(INDEX(Workers!$B$5:$B$2004,MATCH($D479,Workers!$A$5:$A$2004,0)),"NOT FOUND"))</f>
        <v/>
      </c>
      <c r="J479" s="24" t="str">
        <f aca="false">IF($D479="","",IFERROR(INDEX(Workers!$C$5:$C$2004,MATCH($D479,Workers!$A$5:$A$2004,0)),""))</f>
        <v/>
      </c>
      <c r="K479" s="24" t="str">
        <f aca="false">IF($D479="","",IFERROR(IF(INDEX(Workers!$D$5:$D$2004,MATCH($D479,Workers!$A$5:$A$2004,0))=0,"",INDEX(Workers!$D$5:$D$2004,MATCH($D479,Workers!$A$5:$A$2004,0))),""))</f>
        <v/>
      </c>
      <c r="L479" s="24" t="str">
        <f aca="false">IF($D479="","",IFERROR(INDEX(Workers!$E$5:$E$2004,MATCH($D479,Workers!$A$5:$A$2004,0)),""))</f>
        <v/>
      </c>
      <c r="M479" s="26" t="str">
        <f aca="false">IF($D479="","",IFERROR(INDEX(ClientRates!$D$5:$D$500,MATCH($B479&amp;"|"&amp;$L479,ClientRates!$A$5:$A$500,0)),0))</f>
        <v/>
      </c>
      <c r="N479" s="26" t="str">
        <f aca="false">IF($D479="","",IFERROR(INDEX(ClientRates!$E$5:$E$500,MATCH($B479&amp;"|"&amp;$L479,ClientRates!$A$5:$A$500,0)),0))</f>
        <v/>
      </c>
      <c r="O479" s="26" t="str">
        <f aca="false">IF($D479="","",F479*M479+G479*N479)</f>
        <v/>
      </c>
      <c r="P479" s="26" t="str">
        <f aca="false">IF(OR($D479="",$J479&lt;&gt;"Supplier"),"",IFERROR(INDEX(SupplierRates!$D$5:$D$500,MATCH($K479&amp;"|"&amp;$L479,SupplierRates!$A$5:$A$500,0)),0))</f>
        <v/>
      </c>
      <c r="Q479" s="26" t="str">
        <f aca="false">IF(OR($D479="",$J479&lt;&gt;"Supplier"),"",IFERROR(INDEX(SupplierRates!$E$5:$E$500,MATCH($K479&amp;"|"&amp;$L479,SupplierRates!$A$5:$A$500,0)),0))</f>
        <v/>
      </c>
      <c r="R479" s="26" t="n">
        <f aca="false">IF(OR($D479="",$J479&lt;&gt;"Supplier"),0,F479*P479+G479*Q479)</f>
        <v>0</v>
      </c>
      <c r="S479" s="26" t="n">
        <f aca="false">IF(OR($D479="",$J479&lt;&gt;"Own"),0,IFERROR((F479+G479*Settings!$B$13)*INDEX(Workers!$V$5:$V$2004,MATCH($D479,Workers!$A$5:$A$2004,0)),0))</f>
        <v>0</v>
      </c>
      <c r="T479" s="26" t="str">
        <f aca="false">IF($D479="","",O479-R479-S479)</f>
        <v/>
      </c>
    </row>
    <row r="480" customFormat="false" ht="15" hidden="false" customHeight="false" outlineLevel="0" collapsed="false">
      <c r="I480" s="24" t="str">
        <f aca="false">IF($D480="","",IFERROR(INDEX(Workers!$B$5:$B$2004,MATCH($D480,Workers!$A$5:$A$2004,0)),"NOT FOUND"))</f>
        <v/>
      </c>
      <c r="J480" s="24" t="str">
        <f aca="false">IF($D480="","",IFERROR(INDEX(Workers!$C$5:$C$2004,MATCH($D480,Workers!$A$5:$A$2004,0)),""))</f>
        <v/>
      </c>
      <c r="K480" s="24" t="str">
        <f aca="false">IF($D480="","",IFERROR(IF(INDEX(Workers!$D$5:$D$2004,MATCH($D480,Workers!$A$5:$A$2004,0))=0,"",INDEX(Workers!$D$5:$D$2004,MATCH($D480,Workers!$A$5:$A$2004,0))),""))</f>
        <v/>
      </c>
      <c r="L480" s="24" t="str">
        <f aca="false">IF($D480="","",IFERROR(INDEX(Workers!$E$5:$E$2004,MATCH($D480,Workers!$A$5:$A$2004,0)),""))</f>
        <v/>
      </c>
      <c r="M480" s="26" t="str">
        <f aca="false">IF($D480="","",IFERROR(INDEX(ClientRates!$D$5:$D$500,MATCH($B480&amp;"|"&amp;$L480,ClientRates!$A$5:$A$500,0)),0))</f>
        <v/>
      </c>
      <c r="N480" s="26" t="str">
        <f aca="false">IF($D480="","",IFERROR(INDEX(ClientRates!$E$5:$E$500,MATCH($B480&amp;"|"&amp;$L480,ClientRates!$A$5:$A$500,0)),0))</f>
        <v/>
      </c>
      <c r="O480" s="26" t="str">
        <f aca="false">IF($D480="","",F480*M480+G480*N480)</f>
        <v/>
      </c>
      <c r="P480" s="26" t="str">
        <f aca="false">IF(OR($D480="",$J480&lt;&gt;"Supplier"),"",IFERROR(INDEX(SupplierRates!$D$5:$D$500,MATCH($K480&amp;"|"&amp;$L480,SupplierRates!$A$5:$A$500,0)),0))</f>
        <v/>
      </c>
      <c r="Q480" s="26" t="str">
        <f aca="false">IF(OR($D480="",$J480&lt;&gt;"Supplier"),"",IFERROR(INDEX(SupplierRates!$E$5:$E$500,MATCH($K480&amp;"|"&amp;$L480,SupplierRates!$A$5:$A$500,0)),0))</f>
        <v/>
      </c>
      <c r="R480" s="26" t="n">
        <f aca="false">IF(OR($D480="",$J480&lt;&gt;"Supplier"),0,F480*P480+G480*Q480)</f>
        <v>0</v>
      </c>
      <c r="S480" s="26" t="n">
        <f aca="false">IF(OR($D480="",$J480&lt;&gt;"Own"),0,IFERROR((F480+G480*Settings!$B$13)*INDEX(Workers!$V$5:$V$2004,MATCH($D480,Workers!$A$5:$A$2004,0)),0))</f>
        <v>0</v>
      </c>
      <c r="T480" s="26" t="str">
        <f aca="false">IF($D480="","",O480-R480-S480)</f>
        <v/>
      </c>
    </row>
    <row r="481" customFormat="false" ht="15" hidden="false" customHeight="false" outlineLevel="0" collapsed="false">
      <c r="I481" s="24" t="str">
        <f aca="false">IF($D481="","",IFERROR(INDEX(Workers!$B$5:$B$2004,MATCH($D481,Workers!$A$5:$A$2004,0)),"NOT FOUND"))</f>
        <v/>
      </c>
      <c r="J481" s="24" t="str">
        <f aca="false">IF($D481="","",IFERROR(INDEX(Workers!$C$5:$C$2004,MATCH($D481,Workers!$A$5:$A$2004,0)),""))</f>
        <v/>
      </c>
      <c r="K481" s="24" t="str">
        <f aca="false">IF($D481="","",IFERROR(IF(INDEX(Workers!$D$5:$D$2004,MATCH($D481,Workers!$A$5:$A$2004,0))=0,"",INDEX(Workers!$D$5:$D$2004,MATCH($D481,Workers!$A$5:$A$2004,0))),""))</f>
        <v/>
      </c>
      <c r="L481" s="24" t="str">
        <f aca="false">IF($D481="","",IFERROR(INDEX(Workers!$E$5:$E$2004,MATCH($D481,Workers!$A$5:$A$2004,0)),""))</f>
        <v/>
      </c>
      <c r="M481" s="26" t="str">
        <f aca="false">IF($D481="","",IFERROR(INDEX(ClientRates!$D$5:$D$500,MATCH($B481&amp;"|"&amp;$L481,ClientRates!$A$5:$A$500,0)),0))</f>
        <v/>
      </c>
      <c r="N481" s="26" t="str">
        <f aca="false">IF($D481="","",IFERROR(INDEX(ClientRates!$E$5:$E$500,MATCH($B481&amp;"|"&amp;$L481,ClientRates!$A$5:$A$500,0)),0))</f>
        <v/>
      </c>
      <c r="O481" s="26" t="str">
        <f aca="false">IF($D481="","",F481*M481+G481*N481)</f>
        <v/>
      </c>
      <c r="P481" s="26" t="str">
        <f aca="false">IF(OR($D481="",$J481&lt;&gt;"Supplier"),"",IFERROR(INDEX(SupplierRates!$D$5:$D$500,MATCH($K481&amp;"|"&amp;$L481,SupplierRates!$A$5:$A$500,0)),0))</f>
        <v/>
      </c>
      <c r="Q481" s="26" t="str">
        <f aca="false">IF(OR($D481="",$J481&lt;&gt;"Supplier"),"",IFERROR(INDEX(SupplierRates!$E$5:$E$500,MATCH($K481&amp;"|"&amp;$L481,SupplierRates!$A$5:$A$500,0)),0))</f>
        <v/>
      </c>
      <c r="R481" s="26" t="n">
        <f aca="false">IF(OR($D481="",$J481&lt;&gt;"Supplier"),0,F481*P481+G481*Q481)</f>
        <v>0</v>
      </c>
      <c r="S481" s="26" t="n">
        <f aca="false">IF(OR($D481="",$J481&lt;&gt;"Own"),0,IFERROR((F481+G481*Settings!$B$13)*INDEX(Workers!$V$5:$V$2004,MATCH($D481,Workers!$A$5:$A$2004,0)),0))</f>
        <v>0</v>
      </c>
      <c r="T481" s="26" t="str">
        <f aca="false">IF($D481="","",O481-R481-S481)</f>
        <v/>
      </c>
    </row>
    <row r="482" customFormat="false" ht="15" hidden="false" customHeight="false" outlineLevel="0" collapsed="false">
      <c r="I482" s="24" t="str">
        <f aca="false">IF($D482="","",IFERROR(INDEX(Workers!$B$5:$B$2004,MATCH($D482,Workers!$A$5:$A$2004,0)),"NOT FOUND"))</f>
        <v/>
      </c>
      <c r="J482" s="24" t="str">
        <f aca="false">IF($D482="","",IFERROR(INDEX(Workers!$C$5:$C$2004,MATCH($D482,Workers!$A$5:$A$2004,0)),""))</f>
        <v/>
      </c>
      <c r="K482" s="24" t="str">
        <f aca="false">IF($D482="","",IFERROR(IF(INDEX(Workers!$D$5:$D$2004,MATCH($D482,Workers!$A$5:$A$2004,0))=0,"",INDEX(Workers!$D$5:$D$2004,MATCH($D482,Workers!$A$5:$A$2004,0))),""))</f>
        <v/>
      </c>
      <c r="L482" s="24" t="str">
        <f aca="false">IF($D482="","",IFERROR(INDEX(Workers!$E$5:$E$2004,MATCH($D482,Workers!$A$5:$A$2004,0)),""))</f>
        <v/>
      </c>
      <c r="M482" s="26" t="str">
        <f aca="false">IF($D482="","",IFERROR(INDEX(ClientRates!$D$5:$D$500,MATCH($B482&amp;"|"&amp;$L482,ClientRates!$A$5:$A$500,0)),0))</f>
        <v/>
      </c>
      <c r="N482" s="26" t="str">
        <f aca="false">IF($D482="","",IFERROR(INDEX(ClientRates!$E$5:$E$500,MATCH($B482&amp;"|"&amp;$L482,ClientRates!$A$5:$A$500,0)),0))</f>
        <v/>
      </c>
      <c r="O482" s="26" t="str">
        <f aca="false">IF($D482="","",F482*M482+G482*N482)</f>
        <v/>
      </c>
      <c r="P482" s="26" t="str">
        <f aca="false">IF(OR($D482="",$J482&lt;&gt;"Supplier"),"",IFERROR(INDEX(SupplierRates!$D$5:$D$500,MATCH($K482&amp;"|"&amp;$L482,SupplierRates!$A$5:$A$500,0)),0))</f>
        <v/>
      </c>
      <c r="Q482" s="26" t="str">
        <f aca="false">IF(OR($D482="",$J482&lt;&gt;"Supplier"),"",IFERROR(INDEX(SupplierRates!$E$5:$E$500,MATCH($K482&amp;"|"&amp;$L482,SupplierRates!$A$5:$A$500,0)),0))</f>
        <v/>
      </c>
      <c r="R482" s="26" t="n">
        <f aca="false">IF(OR($D482="",$J482&lt;&gt;"Supplier"),0,F482*P482+G482*Q482)</f>
        <v>0</v>
      </c>
      <c r="S482" s="26" t="n">
        <f aca="false">IF(OR($D482="",$J482&lt;&gt;"Own"),0,IFERROR((F482+G482*Settings!$B$13)*INDEX(Workers!$V$5:$V$2004,MATCH($D482,Workers!$A$5:$A$2004,0)),0))</f>
        <v>0</v>
      </c>
      <c r="T482" s="26" t="str">
        <f aca="false">IF($D482="","",O482-R482-S482)</f>
        <v/>
      </c>
    </row>
    <row r="483" customFormat="false" ht="15" hidden="false" customHeight="false" outlineLevel="0" collapsed="false">
      <c r="I483" s="24" t="str">
        <f aca="false">IF($D483="","",IFERROR(INDEX(Workers!$B$5:$B$2004,MATCH($D483,Workers!$A$5:$A$2004,0)),"NOT FOUND"))</f>
        <v/>
      </c>
      <c r="J483" s="24" t="str">
        <f aca="false">IF($D483="","",IFERROR(INDEX(Workers!$C$5:$C$2004,MATCH($D483,Workers!$A$5:$A$2004,0)),""))</f>
        <v/>
      </c>
      <c r="K483" s="24" t="str">
        <f aca="false">IF($D483="","",IFERROR(IF(INDEX(Workers!$D$5:$D$2004,MATCH($D483,Workers!$A$5:$A$2004,0))=0,"",INDEX(Workers!$D$5:$D$2004,MATCH($D483,Workers!$A$5:$A$2004,0))),""))</f>
        <v/>
      </c>
      <c r="L483" s="24" t="str">
        <f aca="false">IF($D483="","",IFERROR(INDEX(Workers!$E$5:$E$2004,MATCH($D483,Workers!$A$5:$A$2004,0)),""))</f>
        <v/>
      </c>
      <c r="M483" s="26" t="str">
        <f aca="false">IF($D483="","",IFERROR(INDEX(ClientRates!$D$5:$D$500,MATCH($B483&amp;"|"&amp;$L483,ClientRates!$A$5:$A$500,0)),0))</f>
        <v/>
      </c>
      <c r="N483" s="26" t="str">
        <f aca="false">IF($D483="","",IFERROR(INDEX(ClientRates!$E$5:$E$500,MATCH($B483&amp;"|"&amp;$L483,ClientRates!$A$5:$A$500,0)),0))</f>
        <v/>
      </c>
      <c r="O483" s="26" t="str">
        <f aca="false">IF($D483="","",F483*M483+G483*N483)</f>
        <v/>
      </c>
      <c r="P483" s="26" t="str">
        <f aca="false">IF(OR($D483="",$J483&lt;&gt;"Supplier"),"",IFERROR(INDEX(SupplierRates!$D$5:$D$500,MATCH($K483&amp;"|"&amp;$L483,SupplierRates!$A$5:$A$500,0)),0))</f>
        <v/>
      </c>
      <c r="Q483" s="26" t="str">
        <f aca="false">IF(OR($D483="",$J483&lt;&gt;"Supplier"),"",IFERROR(INDEX(SupplierRates!$E$5:$E$500,MATCH($K483&amp;"|"&amp;$L483,SupplierRates!$A$5:$A$500,0)),0))</f>
        <v/>
      </c>
      <c r="R483" s="26" t="n">
        <f aca="false">IF(OR($D483="",$J483&lt;&gt;"Supplier"),0,F483*P483+G483*Q483)</f>
        <v>0</v>
      </c>
      <c r="S483" s="26" t="n">
        <f aca="false">IF(OR($D483="",$J483&lt;&gt;"Own"),0,IFERROR((F483+G483*Settings!$B$13)*INDEX(Workers!$V$5:$V$2004,MATCH($D483,Workers!$A$5:$A$2004,0)),0))</f>
        <v>0</v>
      </c>
      <c r="T483" s="26" t="str">
        <f aca="false">IF($D483="","",O483-R483-S483)</f>
        <v/>
      </c>
    </row>
    <row r="484" customFormat="false" ht="15" hidden="false" customHeight="false" outlineLevel="0" collapsed="false">
      <c r="I484" s="24" t="str">
        <f aca="false">IF($D484="","",IFERROR(INDEX(Workers!$B$5:$B$2004,MATCH($D484,Workers!$A$5:$A$2004,0)),"NOT FOUND"))</f>
        <v/>
      </c>
      <c r="J484" s="24" t="str">
        <f aca="false">IF($D484="","",IFERROR(INDEX(Workers!$C$5:$C$2004,MATCH($D484,Workers!$A$5:$A$2004,0)),""))</f>
        <v/>
      </c>
      <c r="K484" s="24" t="str">
        <f aca="false">IF($D484="","",IFERROR(IF(INDEX(Workers!$D$5:$D$2004,MATCH($D484,Workers!$A$5:$A$2004,0))=0,"",INDEX(Workers!$D$5:$D$2004,MATCH($D484,Workers!$A$5:$A$2004,0))),""))</f>
        <v/>
      </c>
      <c r="L484" s="24" t="str">
        <f aca="false">IF($D484="","",IFERROR(INDEX(Workers!$E$5:$E$2004,MATCH($D484,Workers!$A$5:$A$2004,0)),""))</f>
        <v/>
      </c>
      <c r="M484" s="26" t="str">
        <f aca="false">IF($D484="","",IFERROR(INDEX(ClientRates!$D$5:$D$500,MATCH($B484&amp;"|"&amp;$L484,ClientRates!$A$5:$A$500,0)),0))</f>
        <v/>
      </c>
      <c r="N484" s="26" t="str">
        <f aca="false">IF($D484="","",IFERROR(INDEX(ClientRates!$E$5:$E$500,MATCH($B484&amp;"|"&amp;$L484,ClientRates!$A$5:$A$500,0)),0))</f>
        <v/>
      </c>
      <c r="O484" s="26" t="str">
        <f aca="false">IF($D484="","",F484*M484+G484*N484)</f>
        <v/>
      </c>
      <c r="P484" s="26" t="str">
        <f aca="false">IF(OR($D484="",$J484&lt;&gt;"Supplier"),"",IFERROR(INDEX(SupplierRates!$D$5:$D$500,MATCH($K484&amp;"|"&amp;$L484,SupplierRates!$A$5:$A$500,0)),0))</f>
        <v/>
      </c>
      <c r="Q484" s="26" t="str">
        <f aca="false">IF(OR($D484="",$J484&lt;&gt;"Supplier"),"",IFERROR(INDEX(SupplierRates!$E$5:$E$500,MATCH($K484&amp;"|"&amp;$L484,SupplierRates!$A$5:$A$500,0)),0))</f>
        <v/>
      </c>
      <c r="R484" s="26" t="n">
        <f aca="false">IF(OR($D484="",$J484&lt;&gt;"Supplier"),0,F484*P484+G484*Q484)</f>
        <v>0</v>
      </c>
      <c r="S484" s="26" t="n">
        <f aca="false">IF(OR($D484="",$J484&lt;&gt;"Own"),0,IFERROR((F484+G484*Settings!$B$13)*INDEX(Workers!$V$5:$V$2004,MATCH($D484,Workers!$A$5:$A$2004,0)),0))</f>
        <v>0</v>
      </c>
      <c r="T484" s="26" t="str">
        <f aca="false">IF($D484="","",O484-R484-S484)</f>
        <v/>
      </c>
    </row>
    <row r="485" customFormat="false" ht="15" hidden="false" customHeight="false" outlineLevel="0" collapsed="false">
      <c r="I485" s="24" t="str">
        <f aca="false">IF($D485="","",IFERROR(INDEX(Workers!$B$5:$B$2004,MATCH($D485,Workers!$A$5:$A$2004,0)),"NOT FOUND"))</f>
        <v/>
      </c>
      <c r="J485" s="24" t="str">
        <f aca="false">IF($D485="","",IFERROR(INDEX(Workers!$C$5:$C$2004,MATCH($D485,Workers!$A$5:$A$2004,0)),""))</f>
        <v/>
      </c>
      <c r="K485" s="24" t="str">
        <f aca="false">IF($D485="","",IFERROR(IF(INDEX(Workers!$D$5:$D$2004,MATCH($D485,Workers!$A$5:$A$2004,0))=0,"",INDEX(Workers!$D$5:$D$2004,MATCH($D485,Workers!$A$5:$A$2004,0))),""))</f>
        <v/>
      </c>
      <c r="L485" s="24" t="str">
        <f aca="false">IF($D485="","",IFERROR(INDEX(Workers!$E$5:$E$2004,MATCH($D485,Workers!$A$5:$A$2004,0)),""))</f>
        <v/>
      </c>
      <c r="M485" s="26" t="str">
        <f aca="false">IF($D485="","",IFERROR(INDEX(ClientRates!$D$5:$D$500,MATCH($B485&amp;"|"&amp;$L485,ClientRates!$A$5:$A$500,0)),0))</f>
        <v/>
      </c>
      <c r="N485" s="26" t="str">
        <f aca="false">IF($D485="","",IFERROR(INDEX(ClientRates!$E$5:$E$500,MATCH($B485&amp;"|"&amp;$L485,ClientRates!$A$5:$A$500,0)),0))</f>
        <v/>
      </c>
      <c r="O485" s="26" t="str">
        <f aca="false">IF($D485="","",F485*M485+G485*N485)</f>
        <v/>
      </c>
      <c r="P485" s="26" t="str">
        <f aca="false">IF(OR($D485="",$J485&lt;&gt;"Supplier"),"",IFERROR(INDEX(SupplierRates!$D$5:$D$500,MATCH($K485&amp;"|"&amp;$L485,SupplierRates!$A$5:$A$500,0)),0))</f>
        <v/>
      </c>
      <c r="Q485" s="26" t="str">
        <f aca="false">IF(OR($D485="",$J485&lt;&gt;"Supplier"),"",IFERROR(INDEX(SupplierRates!$E$5:$E$500,MATCH($K485&amp;"|"&amp;$L485,SupplierRates!$A$5:$A$500,0)),0))</f>
        <v/>
      </c>
      <c r="R485" s="26" t="n">
        <f aca="false">IF(OR($D485="",$J485&lt;&gt;"Supplier"),0,F485*P485+G485*Q485)</f>
        <v>0</v>
      </c>
      <c r="S485" s="26" t="n">
        <f aca="false">IF(OR($D485="",$J485&lt;&gt;"Own"),0,IFERROR((F485+G485*Settings!$B$13)*INDEX(Workers!$V$5:$V$2004,MATCH($D485,Workers!$A$5:$A$2004,0)),0))</f>
        <v>0</v>
      </c>
      <c r="T485" s="26" t="str">
        <f aca="false">IF($D485="","",O485-R485-S485)</f>
        <v/>
      </c>
    </row>
    <row r="486" customFormat="false" ht="15" hidden="false" customHeight="false" outlineLevel="0" collapsed="false">
      <c r="I486" s="24" t="str">
        <f aca="false">IF($D486="","",IFERROR(INDEX(Workers!$B$5:$B$2004,MATCH($D486,Workers!$A$5:$A$2004,0)),"NOT FOUND"))</f>
        <v/>
      </c>
      <c r="J486" s="24" t="str">
        <f aca="false">IF($D486="","",IFERROR(INDEX(Workers!$C$5:$C$2004,MATCH($D486,Workers!$A$5:$A$2004,0)),""))</f>
        <v/>
      </c>
      <c r="K486" s="24" t="str">
        <f aca="false">IF($D486="","",IFERROR(IF(INDEX(Workers!$D$5:$D$2004,MATCH($D486,Workers!$A$5:$A$2004,0))=0,"",INDEX(Workers!$D$5:$D$2004,MATCH($D486,Workers!$A$5:$A$2004,0))),""))</f>
        <v/>
      </c>
      <c r="L486" s="24" t="str">
        <f aca="false">IF($D486="","",IFERROR(INDEX(Workers!$E$5:$E$2004,MATCH($D486,Workers!$A$5:$A$2004,0)),""))</f>
        <v/>
      </c>
      <c r="M486" s="26" t="str">
        <f aca="false">IF($D486="","",IFERROR(INDEX(ClientRates!$D$5:$D$500,MATCH($B486&amp;"|"&amp;$L486,ClientRates!$A$5:$A$500,0)),0))</f>
        <v/>
      </c>
      <c r="N486" s="26" t="str">
        <f aca="false">IF($D486="","",IFERROR(INDEX(ClientRates!$E$5:$E$500,MATCH($B486&amp;"|"&amp;$L486,ClientRates!$A$5:$A$500,0)),0))</f>
        <v/>
      </c>
      <c r="O486" s="26" t="str">
        <f aca="false">IF($D486="","",F486*M486+G486*N486)</f>
        <v/>
      </c>
      <c r="P486" s="26" t="str">
        <f aca="false">IF(OR($D486="",$J486&lt;&gt;"Supplier"),"",IFERROR(INDEX(SupplierRates!$D$5:$D$500,MATCH($K486&amp;"|"&amp;$L486,SupplierRates!$A$5:$A$500,0)),0))</f>
        <v/>
      </c>
      <c r="Q486" s="26" t="str">
        <f aca="false">IF(OR($D486="",$J486&lt;&gt;"Supplier"),"",IFERROR(INDEX(SupplierRates!$E$5:$E$500,MATCH($K486&amp;"|"&amp;$L486,SupplierRates!$A$5:$A$500,0)),0))</f>
        <v/>
      </c>
      <c r="R486" s="26" t="n">
        <f aca="false">IF(OR($D486="",$J486&lt;&gt;"Supplier"),0,F486*P486+G486*Q486)</f>
        <v>0</v>
      </c>
      <c r="S486" s="26" t="n">
        <f aca="false">IF(OR($D486="",$J486&lt;&gt;"Own"),0,IFERROR((F486+G486*Settings!$B$13)*INDEX(Workers!$V$5:$V$2004,MATCH($D486,Workers!$A$5:$A$2004,0)),0))</f>
        <v>0</v>
      </c>
      <c r="T486" s="26" t="str">
        <f aca="false">IF($D486="","",O486-R486-S486)</f>
        <v/>
      </c>
    </row>
    <row r="487" customFormat="false" ht="15" hidden="false" customHeight="false" outlineLevel="0" collapsed="false">
      <c r="I487" s="24" t="str">
        <f aca="false">IF($D487="","",IFERROR(INDEX(Workers!$B$5:$B$2004,MATCH($D487,Workers!$A$5:$A$2004,0)),"NOT FOUND"))</f>
        <v/>
      </c>
      <c r="J487" s="24" t="str">
        <f aca="false">IF($D487="","",IFERROR(INDEX(Workers!$C$5:$C$2004,MATCH($D487,Workers!$A$5:$A$2004,0)),""))</f>
        <v/>
      </c>
      <c r="K487" s="24" t="str">
        <f aca="false">IF($D487="","",IFERROR(IF(INDEX(Workers!$D$5:$D$2004,MATCH($D487,Workers!$A$5:$A$2004,0))=0,"",INDEX(Workers!$D$5:$D$2004,MATCH($D487,Workers!$A$5:$A$2004,0))),""))</f>
        <v/>
      </c>
      <c r="L487" s="24" t="str">
        <f aca="false">IF($D487="","",IFERROR(INDEX(Workers!$E$5:$E$2004,MATCH($D487,Workers!$A$5:$A$2004,0)),""))</f>
        <v/>
      </c>
      <c r="M487" s="26" t="str">
        <f aca="false">IF($D487="","",IFERROR(INDEX(ClientRates!$D$5:$D$500,MATCH($B487&amp;"|"&amp;$L487,ClientRates!$A$5:$A$500,0)),0))</f>
        <v/>
      </c>
      <c r="N487" s="26" t="str">
        <f aca="false">IF($D487="","",IFERROR(INDEX(ClientRates!$E$5:$E$500,MATCH($B487&amp;"|"&amp;$L487,ClientRates!$A$5:$A$500,0)),0))</f>
        <v/>
      </c>
      <c r="O487" s="26" t="str">
        <f aca="false">IF($D487="","",F487*M487+G487*N487)</f>
        <v/>
      </c>
      <c r="P487" s="26" t="str">
        <f aca="false">IF(OR($D487="",$J487&lt;&gt;"Supplier"),"",IFERROR(INDEX(SupplierRates!$D$5:$D$500,MATCH($K487&amp;"|"&amp;$L487,SupplierRates!$A$5:$A$500,0)),0))</f>
        <v/>
      </c>
      <c r="Q487" s="26" t="str">
        <f aca="false">IF(OR($D487="",$J487&lt;&gt;"Supplier"),"",IFERROR(INDEX(SupplierRates!$E$5:$E$500,MATCH($K487&amp;"|"&amp;$L487,SupplierRates!$A$5:$A$500,0)),0))</f>
        <v/>
      </c>
      <c r="R487" s="26" t="n">
        <f aca="false">IF(OR($D487="",$J487&lt;&gt;"Supplier"),0,F487*P487+G487*Q487)</f>
        <v>0</v>
      </c>
      <c r="S487" s="26" t="n">
        <f aca="false">IF(OR($D487="",$J487&lt;&gt;"Own"),0,IFERROR((F487+G487*Settings!$B$13)*INDEX(Workers!$V$5:$V$2004,MATCH($D487,Workers!$A$5:$A$2004,0)),0))</f>
        <v>0</v>
      </c>
      <c r="T487" s="26" t="str">
        <f aca="false">IF($D487="","",O487-R487-S487)</f>
        <v/>
      </c>
    </row>
    <row r="488" customFormat="false" ht="15" hidden="false" customHeight="false" outlineLevel="0" collapsed="false">
      <c r="I488" s="24" t="str">
        <f aca="false">IF($D488="","",IFERROR(INDEX(Workers!$B$5:$B$2004,MATCH($D488,Workers!$A$5:$A$2004,0)),"NOT FOUND"))</f>
        <v/>
      </c>
      <c r="J488" s="24" t="str">
        <f aca="false">IF($D488="","",IFERROR(INDEX(Workers!$C$5:$C$2004,MATCH($D488,Workers!$A$5:$A$2004,0)),""))</f>
        <v/>
      </c>
      <c r="K488" s="24" t="str">
        <f aca="false">IF($D488="","",IFERROR(IF(INDEX(Workers!$D$5:$D$2004,MATCH($D488,Workers!$A$5:$A$2004,0))=0,"",INDEX(Workers!$D$5:$D$2004,MATCH($D488,Workers!$A$5:$A$2004,0))),""))</f>
        <v/>
      </c>
      <c r="L488" s="24" t="str">
        <f aca="false">IF($D488="","",IFERROR(INDEX(Workers!$E$5:$E$2004,MATCH($D488,Workers!$A$5:$A$2004,0)),""))</f>
        <v/>
      </c>
      <c r="M488" s="26" t="str">
        <f aca="false">IF($D488="","",IFERROR(INDEX(ClientRates!$D$5:$D$500,MATCH($B488&amp;"|"&amp;$L488,ClientRates!$A$5:$A$500,0)),0))</f>
        <v/>
      </c>
      <c r="N488" s="26" t="str">
        <f aca="false">IF($D488="","",IFERROR(INDEX(ClientRates!$E$5:$E$500,MATCH($B488&amp;"|"&amp;$L488,ClientRates!$A$5:$A$500,0)),0))</f>
        <v/>
      </c>
      <c r="O488" s="26" t="str">
        <f aca="false">IF($D488="","",F488*M488+G488*N488)</f>
        <v/>
      </c>
      <c r="P488" s="26" t="str">
        <f aca="false">IF(OR($D488="",$J488&lt;&gt;"Supplier"),"",IFERROR(INDEX(SupplierRates!$D$5:$D$500,MATCH($K488&amp;"|"&amp;$L488,SupplierRates!$A$5:$A$500,0)),0))</f>
        <v/>
      </c>
      <c r="Q488" s="26" t="str">
        <f aca="false">IF(OR($D488="",$J488&lt;&gt;"Supplier"),"",IFERROR(INDEX(SupplierRates!$E$5:$E$500,MATCH($K488&amp;"|"&amp;$L488,SupplierRates!$A$5:$A$500,0)),0))</f>
        <v/>
      </c>
      <c r="R488" s="26" t="n">
        <f aca="false">IF(OR($D488="",$J488&lt;&gt;"Supplier"),0,F488*P488+G488*Q488)</f>
        <v>0</v>
      </c>
      <c r="S488" s="26" t="n">
        <f aca="false">IF(OR($D488="",$J488&lt;&gt;"Own"),0,IFERROR((F488+G488*Settings!$B$13)*INDEX(Workers!$V$5:$V$2004,MATCH($D488,Workers!$A$5:$A$2004,0)),0))</f>
        <v>0</v>
      </c>
      <c r="T488" s="26" t="str">
        <f aca="false">IF($D488="","",O488-R488-S488)</f>
        <v/>
      </c>
    </row>
    <row r="489" customFormat="false" ht="15" hidden="false" customHeight="false" outlineLevel="0" collapsed="false">
      <c r="I489" s="24" t="str">
        <f aca="false">IF($D489="","",IFERROR(INDEX(Workers!$B$5:$B$2004,MATCH($D489,Workers!$A$5:$A$2004,0)),"NOT FOUND"))</f>
        <v/>
      </c>
      <c r="J489" s="24" t="str">
        <f aca="false">IF($D489="","",IFERROR(INDEX(Workers!$C$5:$C$2004,MATCH($D489,Workers!$A$5:$A$2004,0)),""))</f>
        <v/>
      </c>
      <c r="K489" s="24" t="str">
        <f aca="false">IF($D489="","",IFERROR(IF(INDEX(Workers!$D$5:$D$2004,MATCH($D489,Workers!$A$5:$A$2004,0))=0,"",INDEX(Workers!$D$5:$D$2004,MATCH($D489,Workers!$A$5:$A$2004,0))),""))</f>
        <v/>
      </c>
      <c r="L489" s="24" t="str">
        <f aca="false">IF($D489="","",IFERROR(INDEX(Workers!$E$5:$E$2004,MATCH($D489,Workers!$A$5:$A$2004,0)),""))</f>
        <v/>
      </c>
      <c r="M489" s="26" t="str">
        <f aca="false">IF($D489="","",IFERROR(INDEX(ClientRates!$D$5:$D$500,MATCH($B489&amp;"|"&amp;$L489,ClientRates!$A$5:$A$500,0)),0))</f>
        <v/>
      </c>
      <c r="N489" s="26" t="str">
        <f aca="false">IF($D489="","",IFERROR(INDEX(ClientRates!$E$5:$E$500,MATCH($B489&amp;"|"&amp;$L489,ClientRates!$A$5:$A$500,0)),0))</f>
        <v/>
      </c>
      <c r="O489" s="26" t="str">
        <f aca="false">IF($D489="","",F489*M489+G489*N489)</f>
        <v/>
      </c>
      <c r="P489" s="26" t="str">
        <f aca="false">IF(OR($D489="",$J489&lt;&gt;"Supplier"),"",IFERROR(INDEX(SupplierRates!$D$5:$D$500,MATCH($K489&amp;"|"&amp;$L489,SupplierRates!$A$5:$A$500,0)),0))</f>
        <v/>
      </c>
      <c r="Q489" s="26" t="str">
        <f aca="false">IF(OR($D489="",$J489&lt;&gt;"Supplier"),"",IFERROR(INDEX(SupplierRates!$E$5:$E$500,MATCH($K489&amp;"|"&amp;$L489,SupplierRates!$A$5:$A$500,0)),0))</f>
        <v/>
      </c>
      <c r="R489" s="26" t="n">
        <f aca="false">IF(OR($D489="",$J489&lt;&gt;"Supplier"),0,F489*P489+G489*Q489)</f>
        <v>0</v>
      </c>
      <c r="S489" s="26" t="n">
        <f aca="false">IF(OR($D489="",$J489&lt;&gt;"Own"),0,IFERROR((F489+G489*Settings!$B$13)*INDEX(Workers!$V$5:$V$2004,MATCH($D489,Workers!$A$5:$A$2004,0)),0))</f>
        <v>0</v>
      </c>
      <c r="T489" s="26" t="str">
        <f aca="false">IF($D489="","",O489-R489-S489)</f>
        <v/>
      </c>
    </row>
    <row r="490" customFormat="false" ht="15" hidden="false" customHeight="false" outlineLevel="0" collapsed="false">
      <c r="I490" s="24" t="str">
        <f aca="false">IF($D490="","",IFERROR(INDEX(Workers!$B$5:$B$2004,MATCH($D490,Workers!$A$5:$A$2004,0)),"NOT FOUND"))</f>
        <v/>
      </c>
      <c r="J490" s="24" t="str">
        <f aca="false">IF($D490="","",IFERROR(INDEX(Workers!$C$5:$C$2004,MATCH($D490,Workers!$A$5:$A$2004,0)),""))</f>
        <v/>
      </c>
      <c r="K490" s="24" t="str">
        <f aca="false">IF($D490="","",IFERROR(IF(INDEX(Workers!$D$5:$D$2004,MATCH($D490,Workers!$A$5:$A$2004,0))=0,"",INDEX(Workers!$D$5:$D$2004,MATCH($D490,Workers!$A$5:$A$2004,0))),""))</f>
        <v/>
      </c>
      <c r="L490" s="24" t="str">
        <f aca="false">IF($D490="","",IFERROR(INDEX(Workers!$E$5:$E$2004,MATCH($D490,Workers!$A$5:$A$2004,0)),""))</f>
        <v/>
      </c>
      <c r="M490" s="26" t="str">
        <f aca="false">IF($D490="","",IFERROR(INDEX(ClientRates!$D$5:$D$500,MATCH($B490&amp;"|"&amp;$L490,ClientRates!$A$5:$A$500,0)),0))</f>
        <v/>
      </c>
      <c r="N490" s="26" t="str">
        <f aca="false">IF($D490="","",IFERROR(INDEX(ClientRates!$E$5:$E$500,MATCH($B490&amp;"|"&amp;$L490,ClientRates!$A$5:$A$500,0)),0))</f>
        <v/>
      </c>
      <c r="O490" s="26" t="str">
        <f aca="false">IF($D490="","",F490*M490+G490*N490)</f>
        <v/>
      </c>
      <c r="P490" s="26" t="str">
        <f aca="false">IF(OR($D490="",$J490&lt;&gt;"Supplier"),"",IFERROR(INDEX(SupplierRates!$D$5:$D$500,MATCH($K490&amp;"|"&amp;$L490,SupplierRates!$A$5:$A$500,0)),0))</f>
        <v/>
      </c>
      <c r="Q490" s="26" t="str">
        <f aca="false">IF(OR($D490="",$J490&lt;&gt;"Supplier"),"",IFERROR(INDEX(SupplierRates!$E$5:$E$500,MATCH($K490&amp;"|"&amp;$L490,SupplierRates!$A$5:$A$500,0)),0))</f>
        <v/>
      </c>
      <c r="R490" s="26" t="n">
        <f aca="false">IF(OR($D490="",$J490&lt;&gt;"Supplier"),0,F490*P490+G490*Q490)</f>
        <v>0</v>
      </c>
      <c r="S490" s="26" t="n">
        <f aca="false">IF(OR($D490="",$J490&lt;&gt;"Own"),0,IFERROR((F490+G490*Settings!$B$13)*INDEX(Workers!$V$5:$V$2004,MATCH($D490,Workers!$A$5:$A$2004,0)),0))</f>
        <v>0</v>
      </c>
      <c r="T490" s="26" t="str">
        <f aca="false">IF($D490="","",O490-R490-S490)</f>
        <v/>
      </c>
    </row>
    <row r="491" customFormat="false" ht="15" hidden="false" customHeight="false" outlineLevel="0" collapsed="false">
      <c r="I491" s="24" t="str">
        <f aca="false">IF($D491="","",IFERROR(INDEX(Workers!$B$5:$B$2004,MATCH($D491,Workers!$A$5:$A$2004,0)),"NOT FOUND"))</f>
        <v/>
      </c>
      <c r="J491" s="24" t="str">
        <f aca="false">IF($D491="","",IFERROR(INDEX(Workers!$C$5:$C$2004,MATCH($D491,Workers!$A$5:$A$2004,0)),""))</f>
        <v/>
      </c>
      <c r="K491" s="24" t="str">
        <f aca="false">IF($D491="","",IFERROR(IF(INDEX(Workers!$D$5:$D$2004,MATCH($D491,Workers!$A$5:$A$2004,0))=0,"",INDEX(Workers!$D$5:$D$2004,MATCH($D491,Workers!$A$5:$A$2004,0))),""))</f>
        <v/>
      </c>
      <c r="L491" s="24" t="str">
        <f aca="false">IF($D491="","",IFERROR(INDEX(Workers!$E$5:$E$2004,MATCH($D491,Workers!$A$5:$A$2004,0)),""))</f>
        <v/>
      </c>
      <c r="M491" s="26" t="str">
        <f aca="false">IF($D491="","",IFERROR(INDEX(ClientRates!$D$5:$D$500,MATCH($B491&amp;"|"&amp;$L491,ClientRates!$A$5:$A$500,0)),0))</f>
        <v/>
      </c>
      <c r="N491" s="26" t="str">
        <f aca="false">IF($D491="","",IFERROR(INDEX(ClientRates!$E$5:$E$500,MATCH($B491&amp;"|"&amp;$L491,ClientRates!$A$5:$A$500,0)),0))</f>
        <v/>
      </c>
      <c r="O491" s="26" t="str">
        <f aca="false">IF($D491="","",F491*M491+G491*N491)</f>
        <v/>
      </c>
      <c r="P491" s="26" t="str">
        <f aca="false">IF(OR($D491="",$J491&lt;&gt;"Supplier"),"",IFERROR(INDEX(SupplierRates!$D$5:$D$500,MATCH($K491&amp;"|"&amp;$L491,SupplierRates!$A$5:$A$500,0)),0))</f>
        <v/>
      </c>
      <c r="Q491" s="26" t="str">
        <f aca="false">IF(OR($D491="",$J491&lt;&gt;"Supplier"),"",IFERROR(INDEX(SupplierRates!$E$5:$E$500,MATCH($K491&amp;"|"&amp;$L491,SupplierRates!$A$5:$A$500,0)),0))</f>
        <v/>
      </c>
      <c r="R491" s="26" t="n">
        <f aca="false">IF(OR($D491="",$J491&lt;&gt;"Supplier"),0,F491*P491+G491*Q491)</f>
        <v>0</v>
      </c>
      <c r="S491" s="26" t="n">
        <f aca="false">IF(OR($D491="",$J491&lt;&gt;"Own"),0,IFERROR((F491+G491*Settings!$B$13)*INDEX(Workers!$V$5:$V$2004,MATCH($D491,Workers!$A$5:$A$2004,0)),0))</f>
        <v>0</v>
      </c>
      <c r="T491" s="26" t="str">
        <f aca="false">IF($D491="","",O491-R491-S491)</f>
        <v/>
      </c>
    </row>
    <row r="492" customFormat="false" ht="15" hidden="false" customHeight="false" outlineLevel="0" collapsed="false">
      <c r="I492" s="24" t="str">
        <f aca="false">IF($D492="","",IFERROR(INDEX(Workers!$B$5:$B$2004,MATCH($D492,Workers!$A$5:$A$2004,0)),"NOT FOUND"))</f>
        <v/>
      </c>
      <c r="J492" s="24" t="str">
        <f aca="false">IF($D492="","",IFERROR(INDEX(Workers!$C$5:$C$2004,MATCH($D492,Workers!$A$5:$A$2004,0)),""))</f>
        <v/>
      </c>
      <c r="K492" s="24" t="str">
        <f aca="false">IF($D492="","",IFERROR(IF(INDEX(Workers!$D$5:$D$2004,MATCH($D492,Workers!$A$5:$A$2004,0))=0,"",INDEX(Workers!$D$5:$D$2004,MATCH($D492,Workers!$A$5:$A$2004,0))),""))</f>
        <v/>
      </c>
      <c r="L492" s="24" t="str">
        <f aca="false">IF($D492="","",IFERROR(INDEX(Workers!$E$5:$E$2004,MATCH($D492,Workers!$A$5:$A$2004,0)),""))</f>
        <v/>
      </c>
      <c r="M492" s="26" t="str">
        <f aca="false">IF($D492="","",IFERROR(INDEX(ClientRates!$D$5:$D$500,MATCH($B492&amp;"|"&amp;$L492,ClientRates!$A$5:$A$500,0)),0))</f>
        <v/>
      </c>
      <c r="N492" s="26" t="str">
        <f aca="false">IF($D492="","",IFERROR(INDEX(ClientRates!$E$5:$E$500,MATCH($B492&amp;"|"&amp;$L492,ClientRates!$A$5:$A$500,0)),0))</f>
        <v/>
      </c>
      <c r="O492" s="26" t="str">
        <f aca="false">IF($D492="","",F492*M492+G492*N492)</f>
        <v/>
      </c>
      <c r="P492" s="26" t="str">
        <f aca="false">IF(OR($D492="",$J492&lt;&gt;"Supplier"),"",IFERROR(INDEX(SupplierRates!$D$5:$D$500,MATCH($K492&amp;"|"&amp;$L492,SupplierRates!$A$5:$A$500,0)),0))</f>
        <v/>
      </c>
      <c r="Q492" s="26" t="str">
        <f aca="false">IF(OR($D492="",$J492&lt;&gt;"Supplier"),"",IFERROR(INDEX(SupplierRates!$E$5:$E$500,MATCH($K492&amp;"|"&amp;$L492,SupplierRates!$A$5:$A$500,0)),0))</f>
        <v/>
      </c>
      <c r="R492" s="26" t="n">
        <f aca="false">IF(OR($D492="",$J492&lt;&gt;"Supplier"),0,F492*P492+G492*Q492)</f>
        <v>0</v>
      </c>
      <c r="S492" s="26" t="n">
        <f aca="false">IF(OR($D492="",$J492&lt;&gt;"Own"),0,IFERROR((F492+G492*Settings!$B$13)*INDEX(Workers!$V$5:$V$2004,MATCH($D492,Workers!$A$5:$A$2004,0)),0))</f>
        <v>0</v>
      </c>
      <c r="T492" s="26" t="str">
        <f aca="false">IF($D492="","",O492-R492-S492)</f>
        <v/>
      </c>
    </row>
    <row r="493" customFormat="false" ht="15" hidden="false" customHeight="false" outlineLevel="0" collapsed="false">
      <c r="I493" s="24" t="str">
        <f aca="false">IF($D493="","",IFERROR(INDEX(Workers!$B$5:$B$2004,MATCH($D493,Workers!$A$5:$A$2004,0)),"NOT FOUND"))</f>
        <v/>
      </c>
      <c r="J493" s="24" t="str">
        <f aca="false">IF($D493="","",IFERROR(INDEX(Workers!$C$5:$C$2004,MATCH($D493,Workers!$A$5:$A$2004,0)),""))</f>
        <v/>
      </c>
      <c r="K493" s="24" t="str">
        <f aca="false">IF($D493="","",IFERROR(IF(INDEX(Workers!$D$5:$D$2004,MATCH($D493,Workers!$A$5:$A$2004,0))=0,"",INDEX(Workers!$D$5:$D$2004,MATCH($D493,Workers!$A$5:$A$2004,0))),""))</f>
        <v/>
      </c>
      <c r="L493" s="24" t="str">
        <f aca="false">IF($D493="","",IFERROR(INDEX(Workers!$E$5:$E$2004,MATCH($D493,Workers!$A$5:$A$2004,0)),""))</f>
        <v/>
      </c>
      <c r="M493" s="26" t="str">
        <f aca="false">IF($D493="","",IFERROR(INDEX(ClientRates!$D$5:$D$500,MATCH($B493&amp;"|"&amp;$L493,ClientRates!$A$5:$A$500,0)),0))</f>
        <v/>
      </c>
      <c r="N493" s="26" t="str">
        <f aca="false">IF($D493="","",IFERROR(INDEX(ClientRates!$E$5:$E$500,MATCH($B493&amp;"|"&amp;$L493,ClientRates!$A$5:$A$500,0)),0))</f>
        <v/>
      </c>
      <c r="O493" s="26" t="str">
        <f aca="false">IF($D493="","",F493*M493+G493*N493)</f>
        <v/>
      </c>
      <c r="P493" s="26" t="str">
        <f aca="false">IF(OR($D493="",$J493&lt;&gt;"Supplier"),"",IFERROR(INDEX(SupplierRates!$D$5:$D$500,MATCH($K493&amp;"|"&amp;$L493,SupplierRates!$A$5:$A$500,0)),0))</f>
        <v/>
      </c>
      <c r="Q493" s="26" t="str">
        <f aca="false">IF(OR($D493="",$J493&lt;&gt;"Supplier"),"",IFERROR(INDEX(SupplierRates!$E$5:$E$500,MATCH($K493&amp;"|"&amp;$L493,SupplierRates!$A$5:$A$500,0)),0))</f>
        <v/>
      </c>
      <c r="R493" s="26" t="n">
        <f aca="false">IF(OR($D493="",$J493&lt;&gt;"Supplier"),0,F493*P493+G493*Q493)</f>
        <v>0</v>
      </c>
      <c r="S493" s="26" t="n">
        <f aca="false">IF(OR($D493="",$J493&lt;&gt;"Own"),0,IFERROR((F493+G493*Settings!$B$13)*INDEX(Workers!$V$5:$V$2004,MATCH($D493,Workers!$A$5:$A$2004,0)),0))</f>
        <v>0</v>
      </c>
      <c r="T493" s="26" t="str">
        <f aca="false">IF($D493="","",O493-R493-S493)</f>
        <v/>
      </c>
    </row>
    <row r="494" customFormat="false" ht="15" hidden="false" customHeight="false" outlineLevel="0" collapsed="false">
      <c r="I494" s="24" t="str">
        <f aca="false">IF($D494="","",IFERROR(INDEX(Workers!$B$5:$B$2004,MATCH($D494,Workers!$A$5:$A$2004,0)),"NOT FOUND"))</f>
        <v/>
      </c>
      <c r="J494" s="24" t="str">
        <f aca="false">IF($D494="","",IFERROR(INDEX(Workers!$C$5:$C$2004,MATCH($D494,Workers!$A$5:$A$2004,0)),""))</f>
        <v/>
      </c>
      <c r="K494" s="24" t="str">
        <f aca="false">IF($D494="","",IFERROR(IF(INDEX(Workers!$D$5:$D$2004,MATCH($D494,Workers!$A$5:$A$2004,0))=0,"",INDEX(Workers!$D$5:$D$2004,MATCH($D494,Workers!$A$5:$A$2004,0))),""))</f>
        <v/>
      </c>
      <c r="L494" s="24" t="str">
        <f aca="false">IF($D494="","",IFERROR(INDEX(Workers!$E$5:$E$2004,MATCH($D494,Workers!$A$5:$A$2004,0)),""))</f>
        <v/>
      </c>
      <c r="M494" s="26" t="str">
        <f aca="false">IF($D494="","",IFERROR(INDEX(ClientRates!$D$5:$D$500,MATCH($B494&amp;"|"&amp;$L494,ClientRates!$A$5:$A$500,0)),0))</f>
        <v/>
      </c>
      <c r="N494" s="26" t="str">
        <f aca="false">IF($D494="","",IFERROR(INDEX(ClientRates!$E$5:$E$500,MATCH($B494&amp;"|"&amp;$L494,ClientRates!$A$5:$A$500,0)),0))</f>
        <v/>
      </c>
      <c r="O494" s="26" t="str">
        <f aca="false">IF($D494="","",F494*M494+G494*N494)</f>
        <v/>
      </c>
      <c r="P494" s="26" t="str">
        <f aca="false">IF(OR($D494="",$J494&lt;&gt;"Supplier"),"",IFERROR(INDEX(SupplierRates!$D$5:$D$500,MATCH($K494&amp;"|"&amp;$L494,SupplierRates!$A$5:$A$500,0)),0))</f>
        <v/>
      </c>
      <c r="Q494" s="26" t="str">
        <f aca="false">IF(OR($D494="",$J494&lt;&gt;"Supplier"),"",IFERROR(INDEX(SupplierRates!$E$5:$E$500,MATCH($K494&amp;"|"&amp;$L494,SupplierRates!$A$5:$A$500,0)),0))</f>
        <v/>
      </c>
      <c r="R494" s="26" t="n">
        <f aca="false">IF(OR($D494="",$J494&lt;&gt;"Supplier"),0,F494*P494+G494*Q494)</f>
        <v>0</v>
      </c>
      <c r="S494" s="26" t="n">
        <f aca="false">IF(OR($D494="",$J494&lt;&gt;"Own"),0,IFERROR((F494+G494*Settings!$B$13)*INDEX(Workers!$V$5:$V$2004,MATCH($D494,Workers!$A$5:$A$2004,0)),0))</f>
        <v>0</v>
      </c>
      <c r="T494" s="26" t="str">
        <f aca="false">IF($D494="","",O494-R494-S494)</f>
        <v/>
      </c>
    </row>
    <row r="495" customFormat="false" ht="15" hidden="false" customHeight="false" outlineLevel="0" collapsed="false">
      <c r="I495" s="24" t="str">
        <f aca="false">IF($D495="","",IFERROR(INDEX(Workers!$B$5:$B$2004,MATCH($D495,Workers!$A$5:$A$2004,0)),"NOT FOUND"))</f>
        <v/>
      </c>
      <c r="J495" s="24" t="str">
        <f aca="false">IF($D495="","",IFERROR(INDEX(Workers!$C$5:$C$2004,MATCH($D495,Workers!$A$5:$A$2004,0)),""))</f>
        <v/>
      </c>
      <c r="K495" s="24" t="str">
        <f aca="false">IF($D495="","",IFERROR(IF(INDEX(Workers!$D$5:$D$2004,MATCH($D495,Workers!$A$5:$A$2004,0))=0,"",INDEX(Workers!$D$5:$D$2004,MATCH($D495,Workers!$A$5:$A$2004,0))),""))</f>
        <v/>
      </c>
      <c r="L495" s="24" t="str">
        <f aca="false">IF($D495="","",IFERROR(INDEX(Workers!$E$5:$E$2004,MATCH($D495,Workers!$A$5:$A$2004,0)),""))</f>
        <v/>
      </c>
      <c r="M495" s="26" t="str">
        <f aca="false">IF($D495="","",IFERROR(INDEX(ClientRates!$D$5:$D$500,MATCH($B495&amp;"|"&amp;$L495,ClientRates!$A$5:$A$500,0)),0))</f>
        <v/>
      </c>
      <c r="N495" s="26" t="str">
        <f aca="false">IF($D495="","",IFERROR(INDEX(ClientRates!$E$5:$E$500,MATCH($B495&amp;"|"&amp;$L495,ClientRates!$A$5:$A$500,0)),0))</f>
        <v/>
      </c>
      <c r="O495" s="26" t="str">
        <f aca="false">IF($D495="","",F495*M495+G495*N495)</f>
        <v/>
      </c>
      <c r="P495" s="26" t="str">
        <f aca="false">IF(OR($D495="",$J495&lt;&gt;"Supplier"),"",IFERROR(INDEX(SupplierRates!$D$5:$D$500,MATCH($K495&amp;"|"&amp;$L495,SupplierRates!$A$5:$A$500,0)),0))</f>
        <v/>
      </c>
      <c r="Q495" s="26" t="str">
        <f aca="false">IF(OR($D495="",$J495&lt;&gt;"Supplier"),"",IFERROR(INDEX(SupplierRates!$E$5:$E$500,MATCH($K495&amp;"|"&amp;$L495,SupplierRates!$A$5:$A$500,0)),0))</f>
        <v/>
      </c>
      <c r="R495" s="26" t="n">
        <f aca="false">IF(OR($D495="",$J495&lt;&gt;"Supplier"),0,F495*P495+G495*Q495)</f>
        <v>0</v>
      </c>
      <c r="S495" s="26" t="n">
        <f aca="false">IF(OR($D495="",$J495&lt;&gt;"Own"),0,IFERROR((F495+G495*Settings!$B$13)*INDEX(Workers!$V$5:$V$2004,MATCH($D495,Workers!$A$5:$A$2004,0)),0))</f>
        <v>0</v>
      </c>
      <c r="T495" s="26" t="str">
        <f aca="false">IF($D495="","",O495-R495-S495)</f>
        <v/>
      </c>
    </row>
    <row r="496" customFormat="false" ht="15" hidden="false" customHeight="false" outlineLevel="0" collapsed="false">
      <c r="I496" s="24" t="str">
        <f aca="false">IF($D496="","",IFERROR(INDEX(Workers!$B$5:$B$2004,MATCH($D496,Workers!$A$5:$A$2004,0)),"NOT FOUND"))</f>
        <v/>
      </c>
      <c r="J496" s="24" t="str">
        <f aca="false">IF($D496="","",IFERROR(INDEX(Workers!$C$5:$C$2004,MATCH($D496,Workers!$A$5:$A$2004,0)),""))</f>
        <v/>
      </c>
      <c r="K496" s="24" t="str">
        <f aca="false">IF($D496="","",IFERROR(IF(INDEX(Workers!$D$5:$D$2004,MATCH($D496,Workers!$A$5:$A$2004,0))=0,"",INDEX(Workers!$D$5:$D$2004,MATCH($D496,Workers!$A$5:$A$2004,0))),""))</f>
        <v/>
      </c>
      <c r="L496" s="24" t="str">
        <f aca="false">IF($D496="","",IFERROR(INDEX(Workers!$E$5:$E$2004,MATCH($D496,Workers!$A$5:$A$2004,0)),""))</f>
        <v/>
      </c>
      <c r="M496" s="26" t="str">
        <f aca="false">IF($D496="","",IFERROR(INDEX(ClientRates!$D$5:$D$500,MATCH($B496&amp;"|"&amp;$L496,ClientRates!$A$5:$A$500,0)),0))</f>
        <v/>
      </c>
      <c r="N496" s="26" t="str">
        <f aca="false">IF($D496="","",IFERROR(INDEX(ClientRates!$E$5:$E$500,MATCH($B496&amp;"|"&amp;$L496,ClientRates!$A$5:$A$500,0)),0))</f>
        <v/>
      </c>
      <c r="O496" s="26" t="str">
        <f aca="false">IF($D496="","",F496*M496+G496*N496)</f>
        <v/>
      </c>
      <c r="P496" s="26" t="str">
        <f aca="false">IF(OR($D496="",$J496&lt;&gt;"Supplier"),"",IFERROR(INDEX(SupplierRates!$D$5:$D$500,MATCH($K496&amp;"|"&amp;$L496,SupplierRates!$A$5:$A$500,0)),0))</f>
        <v/>
      </c>
      <c r="Q496" s="26" t="str">
        <f aca="false">IF(OR($D496="",$J496&lt;&gt;"Supplier"),"",IFERROR(INDEX(SupplierRates!$E$5:$E$500,MATCH($K496&amp;"|"&amp;$L496,SupplierRates!$A$5:$A$500,0)),0))</f>
        <v/>
      </c>
      <c r="R496" s="26" t="n">
        <f aca="false">IF(OR($D496="",$J496&lt;&gt;"Supplier"),0,F496*P496+G496*Q496)</f>
        <v>0</v>
      </c>
      <c r="S496" s="26" t="n">
        <f aca="false">IF(OR($D496="",$J496&lt;&gt;"Own"),0,IFERROR((F496+G496*Settings!$B$13)*INDEX(Workers!$V$5:$V$2004,MATCH($D496,Workers!$A$5:$A$2004,0)),0))</f>
        <v>0</v>
      </c>
      <c r="T496" s="26" t="str">
        <f aca="false">IF($D496="","",O496-R496-S496)</f>
        <v/>
      </c>
    </row>
    <row r="497" customFormat="false" ht="15" hidden="false" customHeight="false" outlineLevel="0" collapsed="false">
      <c r="I497" s="24" t="str">
        <f aca="false">IF($D497="","",IFERROR(INDEX(Workers!$B$5:$B$2004,MATCH($D497,Workers!$A$5:$A$2004,0)),"NOT FOUND"))</f>
        <v/>
      </c>
      <c r="J497" s="24" t="str">
        <f aca="false">IF($D497="","",IFERROR(INDEX(Workers!$C$5:$C$2004,MATCH($D497,Workers!$A$5:$A$2004,0)),""))</f>
        <v/>
      </c>
      <c r="K497" s="24" t="str">
        <f aca="false">IF($D497="","",IFERROR(IF(INDEX(Workers!$D$5:$D$2004,MATCH($D497,Workers!$A$5:$A$2004,0))=0,"",INDEX(Workers!$D$5:$D$2004,MATCH($D497,Workers!$A$5:$A$2004,0))),""))</f>
        <v/>
      </c>
      <c r="L497" s="24" t="str">
        <f aca="false">IF($D497="","",IFERROR(INDEX(Workers!$E$5:$E$2004,MATCH($D497,Workers!$A$5:$A$2004,0)),""))</f>
        <v/>
      </c>
      <c r="M497" s="26" t="str">
        <f aca="false">IF($D497="","",IFERROR(INDEX(ClientRates!$D$5:$D$500,MATCH($B497&amp;"|"&amp;$L497,ClientRates!$A$5:$A$500,0)),0))</f>
        <v/>
      </c>
      <c r="N497" s="26" t="str">
        <f aca="false">IF($D497="","",IFERROR(INDEX(ClientRates!$E$5:$E$500,MATCH($B497&amp;"|"&amp;$L497,ClientRates!$A$5:$A$500,0)),0))</f>
        <v/>
      </c>
      <c r="O497" s="26" t="str">
        <f aca="false">IF($D497="","",F497*M497+G497*N497)</f>
        <v/>
      </c>
      <c r="P497" s="26" t="str">
        <f aca="false">IF(OR($D497="",$J497&lt;&gt;"Supplier"),"",IFERROR(INDEX(SupplierRates!$D$5:$D$500,MATCH($K497&amp;"|"&amp;$L497,SupplierRates!$A$5:$A$500,0)),0))</f>
        <v/>
      </c>
      <c r="Q497" s="26" t="str">
        <f aca="false">IF(OR($D497="",$J497&lt;&gt;"Supplier"),"",IFERROR(INDEX(SupplierRates!$E$5:$E$500,MATCH($K497&amp;"|"&amp;$L497,SupplierRates!$A$5:$A$500,0)),0))</f>
        <v/>
      </c>
      <c r="R497" s="26" t="n">
        <f aca="false">IF(OR($D497="",$J497&lt;&gt;"Supplier"),0,F497*P497+G497*Q497)</f>
        <v>0</v>
      </c>
      <c r="S497" s="26" t="n">
        <f aca="false">IF(OR($D497="",$J497&lt;&gt;"Own"),0,IFERROR((F497+G497*Settings!$B$13)*INDEX(Workers!$V$5:$V$2004,MATCH($D497,Workers!$A$5:$A$2004,0)),0))</f>
        <v>0</v>
      </c>
      <c r="T497" s="26" t="str">
        <f aca="false">IF($D497="","",O497-R497-S497)</f>
        <v/>
      </c>
    </row>
    <row r="498" customFormat="false" ht="15" hidden="false" customHeight="false" outlineLevel="0" collapsed="false">
      <c r="I498" s="24" t="str">
        <f aca="false">IF($D498="","",IFERROR(INDEX(Workers!$B$5:$B$2004,MATCH($D498,Workers!$A$5:$A$2004,0)),"NOT FOUND"))</f>
        <v/>
      </c>
      <c r="J498" s="24" t="str">
        <f aca="false">IF($D498="","",IFERROR(INDEX(Workers!$C$5:$C$2004,MATCH($D498,Workers!$A$5:$A$2004,0)),""))</f>
        <v/>
      </c>
      <c r="K498" s="24" t="str">
        <f aca="false">IF($D498="","",IFERROR(IF(INDEX(Workers!$D$5:$D$2004,MATCH($D498,Workers!$A$5:$A$2004,0))=0,"",INDEX(Workers!$D$5:$D$2004,MATCH($D498,Workers!$A$5:$A$2004,0))),""))</f>
        <v/>
      </c>
      <c r="L498" s="24" t="str">
        <f aca="false">IF($D498="","",IFERROR(INDEX(Workers!$E$5:$E$2004,MATCH($D498,Workers!$A$5:$A$2004,0)),""))</f>
        <v/>
      </c>
      <c r="M498" s="26" t="str">
        <f aca="false">IF($D498="","",IFERROR(INDEX(ClientRates!$D$5:$D$500,MATCH($B498&amp;"|"&amp;$L498,ClientRates!$A$5:$A$500,0)),0))</f>
        <v/>
      </c>
      <c r="N498" s="26" t="str">
        <f aca="false">IF($D498="","",IFERROR(INDEX(ClientRates!$E$5:$E$500,MATCH($B498&amp;"|"&amp;$L498,ClientRates!$A$5:$A$500,0)),0))</f>
        <v/>
      </c>
      <c r="O498" s="26" t="str">
        <f aca="false">IF($D498="","",F498*M498+G498*N498)</f>
        <v/>
      </c>
      <c r="P498" s="26" t="str">
        <f aca="false">IF(OR($D498="",$J498&lt;&gt;"Supplier"),"",IFERROR(INDEX(SupplierRates!$D$5:$D$500,MATCH($K498&amp;"|"&amp;$L498,SupplierRates!$A$5:$A$500,0)),0))</f>
        <v/>
      </c>
      <c r="Q498" s="26" t="str">
        <f aca="false">IF(OR($D498="",$J498&lt;&gt;"Supplier"),"",IFERROR(INDEX(SupplierRates!$E$5:$E$500,MATCH($K498&amp;"|"&amp;$L498,SupplierRates!$A$5:$A$500,0)),0))</f>
        <v/>
      </c>
      <c r="R498" s="26" t="n">
        <f aca="false">IF(OR($D498="",$J498&lt;&gt;"Supplier"),0,F498*P498+G498*Q498)</f>
        <v>0</v>
      </c>
      <c r="S498" s="26" t="n">
        <f aca="false">IF(OR($D498="",$J498&lt;&gt;"Own"),0,IFERROR((F498+G498*Settings!$B$13)*INDEX(Workers!$V$5:$V$2004,MATCH($D498,Workers!$A$5:$A$2004,0)),0))</f>
        <v>0</v>
      </c>
      <c r="T498" s="26" t="str">
        <f aca="false">IF($D498="","",O498-R498-S498)</f>
        <v/>
      </c>
    </row>
    <row r="499" customFormat="false" ht="15" hidden="false" customHeight="false" outlineLevel="0" collapsed="false">
      <c r="I499" s="24" t="str">
        <f aca="false">IF($D499="","",IFERROR(INDEX(Workers!$B$5:$B$2004,MATCH($D499,Workers!$A$5:$A$2004,0)),"NOT FOUND"))</f>
        <v/>
      </c>
      <c r="J499" s="24" t="str">
        <f aca="false">IF($D499="","",IFERROR(INDEX(Workers!$C$5:$C$2004,MATCH($D499,Workers!$A$5:$A$2004,0)),""))</f>
        <v/>
      </c>
      <c r="K499" s="24" t="str">
        <f aca="false">IF($D499="","",IFERROR(IF(INDEX(Workers!$D$5:$D$2004,MATCH($D499,Workers!$A$5:$A$2004,0))=0,"",INDEX(Workers!$D$5:$D$2004,MATCH($D499,Workers!$A$5:$A$2004,0))),""))</f>
        <v/>
      </c>
      <c r="L499" s="24" t="str">
        <f aca="false">IF($D499="","",IFERROR(INDEX(Workers!$E$5:$E$2004,MATCH($D499,Workers!$A$5:$A$2004,0)),""))</f>
        <v/>
      </c>
      <c r="M499" s="26" t="str">
        <f aca="false">IF($D499="","",IFERROR(INDEX(ClientRates!$D$5:$D$500,MATCH($B499&amp;"|"&amp;$L499,ClientRates!$A$5:$A$500,0)),0))</f>
        <v/>
      </c>
      <c r="N499" s="26" t="str">
        <f aca="false">IF($D499="","",IFERROR(INDEX(ClientRates!$E$5:$E$500,MATCH($B499&amp;"|"&amp;$L499,ClientRates!$A$5:$A$500,0)),0))</f>
        <v/>
      </c>
      <c r="O499" s="26" t="str">
        <f aca="false">IF($D499="","",F499*M499+G499*N499)</f>
        <v/>
      </c>
      <c r="P499" s="26" t="str">
        <f aca="false">IF(OR($D499="",$J499&lt;&gt;"Supplier"),"",IFERROR(INDEX(SupplierRates!$D$5:$D$500,MATCH($K499&amp;"|"&amp;$L499,SupplierRates!$A$5:$A$500,0)),0))</f>
        <v/>
      </c>
      <c r="Q499" s="26" t="str">
        <f aca="false">IF(OR($D499="",$J499&lt;&gt;"Supplier"),"",IFERROR(INDEX(SupplierRates!$E$5:$E$500,MATCH($K499&amp;"|"&amp;$L499,SupplierRates!$A$5:$A$500,0)),0))</f>
        <v/>
      </c>
      <c r="R499" s="26" t="n">
        <f aca="false">IF(OR($D499="",$J499&lt;&gt;"Supplier"),0,F499*P499+G499*Q499)</f>
        <v>0</v>
      </c>
      <c r="S499" s="26" t="n">
        <f aca="false">IF(OR($D499="",$J499&lt;&gt;"Own"),0,IFERROR((F499+G499*Settings!$B$13)*INDEX(Workers!$V$5:$V$2004,MATCH($D499,Workers!$A$5:$A$2004,0)),0))</f>
        <v>0</v>
      </c>
      <c r="T499" s="26" t="str">
        <f aca="false">IF($D499="","",O499-R499-S499)</f>
        <v/>
      </c>
    </row>
    <row r="500" customFormat="false" ht="15" hidden="false" customHeight="false" outlineLevel="0" collapsed="false">
      <c r="I500" s="24" t="str">
        <f aca="false">IF($D500="","",IFERROR(INDEX(Workers!$B$5:$B$2004,MATCH($D500,Workers!$A$5:$A$2004,0)),"NOT FOUND"))</f>
        <v/>
      </c>
      <c r="J500" s="24" t="str">
        <f aca="false">IF($D500="","",IFERROR(INDEX(Workers!$C$5:$C$2004,MATCH($D500,Workers!$A$5:$A$2004,0)),""))</f>
        <v/>
      </c>
      <c r="K500" s="24" t="str">
        <f aca="false">IF($D500="","",IFERROR(IF(INDEX(Workers!$D$5:$D$2004,MATCH($D500,Workers!$A$5:$A$2004,0))=0,"",INDEX(Workers!$D$5:$D$2004,MATCH($D500,Workers!$A$5:$A$2004,0))),""))</f>
        <v/>
      </c>
      <c r="L500" s="24" t="str">
        <f aca="false">IF($D500="","",IFERROR(INDEX(Workers!$E$5:$E$2004,MATCH($D500,Workers!$A$5:$A$2004,0)),""))</f>
        <v/>
      </c>
      <c r="M500" s="26" t="str">
        <f aca="false">IF($D500="","",IFERROR(INDEX(ClientRates!$D$5:$D$500,MATCH($B500&amp;"|"&amp;$L500,ClientRates!$A$5:$A$500,0)),0))</f>
        <v/>
      </c>
      <c r="N500" s="26" t="str">
        <f aca="false">IF($D500="","",IFERROR(INDEX(ClientRates!$E$5:$E$500,MATCH($B500&amp;"|"&amp;$L500,ClientRates!$A$5:$A$500,0)),0))</f>
        <v/>
      </c>
      <c r="O500" s="26" t="str">
        <f aca="false">IF($D500="","",F500*M500+G500*N500)</f>
        <v/>
      </c>
      <c r="P500" s="26" t="str">
        <f aca="false">IF(OR($D500="",$J500&lt;&gt;"Supplier"),"",IFERROR(INDEX(SupplierRates!$D$5:$D$500,MATCH($K500&amp;"|"&amp;$L500,SupplierRates!$A$5:$A$500,0)),0))</f>
        <v/>
      </c>
      <c r="Q500" s="26" t="str">
        <f aca="false">IF(OR($D500="",$J500&lt;&gt;"Supplier"),"",IFERROR(INDEX(SupplierRates!$E$5:$E$500,MATCH($K500&amp;"|"&amp;$L500,SupplierRates!$A$5:$A$500,0)),0))</f>
        <v/>
      </c>
      <c r="R500" s="26" t="n">
        <f aca="false">IF(OR($D500="",$J500&lt;&gt;"Supplier"),0,F500*P500+G500*Q500)</f>
        <v>0</v>
      </c>
      <c r="S500" s="26" t="n">
        <f aca="false">IF(OR($D500="",$J500&lt;&gt;"Own"),0,IFERROR((F500+G500*Settings!$B$13)*INDEX(Workers!$V$5:$V$2004,MATCH($D500,Workers!$A$5:$A$2004,0)),0))</f>
        <v>0</v>
      </c>
      <c r="T500" s="26" t="str">
        <f aca="false">IF($D500="","",O500-R500-S500)</f>
        <v/>
      </c>
    </row>
    <row r="501" customFormat="false" ht="15" hidden="false" customHeight="false" outlineLevel="0" collapsed="false">
      <c r="I501" s="24" t="str">
        <f aca="false">IF($D501="","",IFERROR(INDEX(Workers!$B$5:$B$2004,MATCH($D501,Workers!$A$5:$A$2004,0)),"NOT FOUND"))</f>
        <v/>
      </c>
      <c r="J501" s="24" t="str">
        <f aca="false">IF($D501="","",IFERROR(INDEX(Workers!$C$5:$C$2004,MATCH($D501,Workers!$A$5:$A$2004,0)),""))</f>
        <v/>
      </c>
      <c r="K501" s="24" t="str">
        <f aca="false">IF($D501="","",IFERROR(IF(INDEX(Workers!$D$5:$D$2004,MATCH($D501,Workers!$A$5:$A$2004,0))=0,"",INDEX(Workers!$D$5:$D$2004,MATCH($D501,Workers!$A$5:$A$2004,0))),""))</f>
        <v/>
      </c>
      <c r="L501" s="24" t="str">
        <f aca="false">IF($D501="","",IFERROR(INDEX(Workers!$E$5:$E$2004,MATCH($D501,Workers!$A$5:$A$2004,0)),""))</f>
        <v/>
      </c>
      <c r="M501" s="26" t="str">
        <f aca="false">IF($D501="","",IFERROR(INDEX(ClientRates!$D$5:$D$500,MATCH($B501&amp;"|"&amp;$L501,ClientRates!$A$5:$A$500,0)),0))</f>
        <v/>
      </c>
      <c r="N501" s="26" t="str">
        <f aca="false">IF($D501="","",IFERROR(INDEX(ClientRates!$E$5:$E$500,MATCH($B501&amp;"|"&amp;$L501,ClientRates!$A$5:$A$500,0)),0))</f>
        <v/>
      </c>
      <c r="O501" s="26" t="str">
        <f aca="false">IF($D501="","",F501*M501+G501*N501)</f>
        <v/>
      </c>
      <c r="P501" s="26" t="str">
        <f aca="false">IF(OR($D501="",$J501&lt;&gt;"Supplier"),"",IFERROR(INDEX(SupplierRates!$D$5:$D$500,MATCH($K501&amp;"|"&amp;$L501,SupplierRates!$A$5:$A$500,0)),0))</f>
        <v/>
      </c>
      <c r="Q501" s="26" t="str">
        <f aca="false">IF(OR($D501="",$J501&lt;&gt;"Supplier"),"",IFERROR(INDEX(SupplierRates!$E$5:$E$500,MATCH($K501&amp;"|"&amp;$L501,SupplierRates!$A$5:$A$500,0)),0))</f>
        <v/>
      </c>
      <c r="R501" s="26" t="n">
        <f aca="false">IF(OR($D501="",$J501&lt;&gt;"Supplier"),0,F501*P501+G501*Q501)</f>
        <v>0</v>
      </c>
      <c r="S501" s="26" t="n">
        <f aca="false">IF(OR($D501="",$J501&lt;&gt;"Own"),0,IFERROR((F501+G501*Settings!$B$13)*INDEX(Workers!$V$5:$V$2004,MATCH($D501,Workers!$A$5:$A$2004,0)),0))</f>
        <v>0</v>
      </c>
      <c r="T501" s="26" t="str">
        <f aca="false">IF($D501="","",O501-R501-S501)</f>
        <v/>
      </c>
    </row>
    <row r="502" customFormat="false" ht="15" hidden="false" customHeight="false" outlineLevel="0" collapsed="false">
      <c r="I502" s="24" t="str">
        <f aca="false">IF($D502="","",IFERROR(INDEX(Workers!$B$5:$B$2004,MATCH($D502,Workers!$A$5:$A$2004,0)),"NOT FOUND"))</f>
        <v/>
      </c>
      <c r="J502" s="24" t="str">
        <f aca="false">IF($D502="","",IFERROR(INDEX(Workers!$C$5:$C$2004,MATCH($D502,Workers!$A$5:$A$2004,0)),""))</f>
        <v/>
      </c>
      <c r="K502" s="24" t="str">
        <f aca="false">IF($D502="","",IFERROR(IF(INDEX(Workers!$D$5:$D$2004,MATCH($D502,Workers!$A$5:$A$2004,0))=0,"",INDEX(Workers!$D$5:$D$2004,MATCH($D502,Workers!$A$5:$A$2004,0))),""))</f>
        <v/>
      </c>
      <c r="L502" s="24" t="str">
        <f aca="false">IF($D502="","",IFERROR(INDEX(Workers!$E$5:$E$2004,MATCH($D502,Workers!$A$5:$A$2004,0)),""))</f>
        <v/>
      </c>
      <c r="M502" s="26" t="str">
        <f aca="false">IF($D502="","",IFERROR(INDEX(ClientRates!$D$5:$D$500,MATCH($B502&amp;"|"&amp;$L502,ClientRates!$A$5:$A$500,0)),0))</f>
        <v/>
      </c>
      <c r="N502" s="26" t="str">
        <f aca="false">IF($D502="","",IFERROR(INDEX(ClientRates!$E$5:$E$500,MATCH($B502&amp;"|"&amp;$L502,ClientRates!$A$5:$A$500,0)),0))</f>
        <v/>
      </c>
      <c r="O502" s="26" t="str">
        <f aca="false">IF($D502="","",F502*M502+G502*N502)</f>
        <v/>
      </c>
      <c r="P502" s="26" t="str">
        <f aca="false">IF(OR($D502="",$J502&lt;&gt;"Supplier"),"",IFERROR(INDEX(SupplierRates!$D$5:$D$500,MATCH($K502&amp;"|"&amp;$L502,SupplierRates!$A$5:$A$500,0)),0))</f>
        <v/>
      </c>
      <c r="Q502" s="26" t="str">
        <f aca="false">IF(OR($D502="",$J502&lt;&gt;"Supplier"),"",IFERROR(INDEX(SupplierRates!$E$5:$E$500,MATCH($K502&amp;"|"&amp;$L502,SupplierRates!$A$5:$A$500,0)),0))</f>
        <v/>
      </c>
      <c r="R502" s="26" t="n">
        <f aca="false">IF(OR($D502="",$J502&lt;&gt;"Supplier"),0,F502*P502+G502*Q502)</f>
        <v>0</v>
      </c>
      <c r="S502" s="26" t="n">
        <f aca="false">IF(OR($D502="",$J502&lt;&gt;"Own"),0,IFERROR((F502+G502*Settings!$B$13)*INDEX(Workers!$V$5:$V$2004,MATCH($D502,Workers!$A$5:$A$2004,0)),0))</f>
        <v>0</v>
      </c>
      <c r="T502" s="26" t="str">
        <f aca="false">IF($D502="","",O502-R502-S502)</f>
        <v/>
      </c>
    </row>
    <row r="503" customFormat="false" ht="15" hidden="false" customHeight="false" outlineLevel="0" collapsed="false">
      <c r="I503" s="24" t="str">
        <f aca="false">IF($D503="","",IFERROR(INDEX(Workers!$B$5:$B$2004,MATCH($D503,Workers!$A$5:$A$2004,0)),"NOT FOUND"))</f>
        <v/>
      </c>
      <c r="J503" s="24" t="str">
        <f aca="false">IF($D503="","",IFERROR(INDEX(Workers!$C$5:$C$2004,MATCH($D503,Workers!$A$5:$A$2004,0)),""))</f>
        <v/>
      </c>
      <c r="K503" s="24" t="str">
        <f aca="false">IF($D503="","",IFERROR(IF(INDEX(Workers!$D$5:$D$2004,MATCH($D503,Workers!$A$5:$A$2004,0))=0,"",INDEX(Workers!$D$5:$D$2004,MATCH($D503,Workers!$A$5:$A$2004,0))),""))</f>
        <v/>
      </c>
      <c r="L503" s="24" t="str">
        <f aca="false">IF($D503="","",IFERROR(INDEX(Workers!$E$5:$E$2004,MATCH($D503,Workers!$A$5:$A$2004,0)),""))</f>
        <v/>
      </c>
      <c r="M503" s="26" t="str">
        <f aca="false">IF($D503="","",IFERROR(INDEX(ClientRates!$D$5:$D$500,MATCH($B503&amp;"|"&amp;$L503,ClientRates!$A$5:$A$500,0)),0))</f>
        <v/>
      </c>
      <c r="N503" s="26" t="str">
        <f aca="false">IF($D503="","",IFERROR(INDEX(ClientRates!$E$5:$E$500,MATCH($B503&amp;"|"&amp;$L503,ClientRates!$A$5:$A$500,0)),0))</f>
        <v/>
      </c>
      <c r="O503" s="26" t="str">
        <f aca="false">IF($D503="","",F503*M503+G503*N503)</f>
        <v/>
      </c>
      <c r="P503" s="26" t="str">
        <f aca="false">IF(OR($D503="",$J503&lt;&gt;"Supplier"),"",IFERROR(INDEX(SupplierRates!$D$5:$D$500,MATCH($K503&amp;"|"&amp;$L503,SupplierRates!$A$5:$A$500,0)),0))</f>
        <v/>
      </c>
      <c r="Q503" s="26" t="str">
        <f aca="false">IF(OR($D503="",$J503&lt;&gt;"Supplier"),"",IFERROR(INDEX(SupplierRates!$E$5:$E$500,MATCH($K503&amp;"|"&amp;$L503,SupplierRates!$A$5:$A$500,0)),0))</f>
        <v/>
      </c>
      <c r="R503" s="26" t="n">
        <f aca="false">IF(OR($D503="",$J503&lt;&gt;"Supplier"),0,F503*P503+G503*Q503)</f>
        <v>0</v>
      </c>
      <c r="S503" s="26" t="n">
        <f aca="false">IF(OR($D503="",$J503&lt;&gt;"Own"),0,IFERROR((F503+G503*Settings!$B$13)*INDEX(Workers!$V$5:$V$2004,MATCH($D503,Workers!$A$5:$A$2004,0)),0))</f>
        <v>0</v>
      </c>
      <c r="T503" s="26" t="str">
        <f aca="false">IF($D503="","",O503-R503-S503)</f>
        <v/>
      </c>
    </row>
    <row r="504" customFormat="false" ht="15" hidden="false" customHeight="false" outlineLevel="0" collapsed="false">
      <c r="I504" s="24" t="str">
        <f aca="false">IF($D504="","",IFERROR(INDEX(Workers!$B$5:$B$2004,MATCH($D504,Workers!$A$5:$A$2004,0)),"NOT FOUND"))</f>
        <v/>
      </c>
      <c r="J504" s="24" t="str">
        <f aca="false">IF($D504="","",IFERROR(INDEX(Workers!$C$5:$C$2004,MATCH($D504,Workers!$A$5:$A$2004,0)),""))</f>
        <v/>
      </c>
      <c r="K504" s="24" t="str">
        <f aca="false">IF($D504="","",IFERROR(IF(INDEX(Workers!$D$5:$D$2004,MATCH($D504,Workers!$A$5:$A$2004,0))=0,"",INDEX(Workers!$D$5:$D$2004,MATCH($D504,Workers!$A$5:$A$2004,0))),""))</f>
        <v/>
      </c>
      <c r="L504" s="24" t="str">
        <f aca="false">IF($D504="","",IFERROR(INDEX(Workers!$E$5:$E$2004,MATCH($D504,Workers!$A$5:$A$2004,0)),""))</f>
        <v/>
      </c>
      <c r="M504" s="26" t="str">
        <f aca="false">IF($D504="","",IFERROR(INDEX(ClientRates!$D$5:$D$500,MATCH($B504&amp;"|"&amp;$L504,ClientRates!$A$5:$A$500,0)),0))</f>
        <v/>
      </c>
      <c r="N504" s="26" t="str">
        <f aca="false">IF($D504="","",IFERROR(INDEX(ClientRates!$E$5:$E$500,MATCH($B504&amp;"|"&amp;$L504,ClientRates!$A$5:$A$500,0)),0))</f>
        <v/>
      </c>
      <c r="O504" s="26" t="str">
        <f aca="false">IF($D504="","",F504*M504+G504*N504)</f>
        <v/>
      </c>
      <c r="P504" s="26" t="str">
        <f aca="false">IF(OR($D504="",$J504&lt;&gt;"Supplier"),"",IFERROR(INDEX(SupplierRates!$D$5:$D$500,MATCH($K504&amp;"|"&amp;$L504,SupplierRates!$A$5:$A$500,0)),0))</f>
        <v/>
      </c>
      <c r="Q504" s="26" t="str">
        <f aca="false">IF(OR($D504="",$J504&lt;&gt;"Supplier"),"",IFERROR(INDEX(SupplierRates!$E$5:$E$500,MATCH($K504&amp;"|"&amp;$L504,SupplierRates!$A$5:$A$500,0)),0))</f>
        <v/>
      </c>
      <c r="R504" s="26" t="n">
        <f aca="false">IF(OR($D504="",$J504&lt;&gt;"Supplier"),0,F504*P504+G504*Q504)</f>
        <v>0</v>
      </c>
      <c r="S504" s="26" t="n">
        <f aca="false">IF(OR($D504="",$J504&lt;&gt;"Own"),0,IFERROR((F504+G504*Settings!$B$13)*INDEX(Workers!$V$5:$V$2004,MATCH($D504,Workers!$A$5:$A$2004,0)),0))</f>
        <v>0</v>
      </c>
      <c r="T504" s="26" t="str">
        <f aca="false">IF($D504="","",O504-R504-S504)</f>
        <v/>
      </c>
    </row>
    <row r="505" customFormat="false" ht="15" hidden="false" customHeight="false" outlineLevel="0" collapsed="false">
      <c r="I505" s="24" t="str">
        <f aca="false">IF($D505="","",IFERROR(INDEX(Workers!$B$5:$B$2004,MATCH($D505,Workers!$A$5:$A$2004,0)),"NOT FOUND"))</f>
        <v/>
      </c>
      <c r="J505" s="24" t="str">
        <f aca="false">IF($D505="","",IFERROR(INDEX(Workers!$C$5:$C$2004,MATCH($D505,Workers!$A$5:$A$2004,0)),""))</f>
        <v/>
      </c>
      <c r="K505" s="24" t="str">
        <f aca="false">IF($D505="","",IFERROR(IF(INDEX(Workers!$D$5:$D$2004,MATCH($D505,Workers!$A$5:$A$2004,0))=0,"",INDEX(Workers!$D$5:$D$2004,MATCH($D505,Workers!$A$5:$A$2004,0))),""))</f>
        <v/>
      </c>
      <c r="L505" s="24" t="str">
        <f aca="false">IF($D505="","",IFERROR(INDEX(Workers!$E$5:$E$2004,MATCH($D505,Workers!$A$5:$A$2004,0)),""))</f>
        <v/>
      </c>
      <c r="M505" s="26" t="str">
        <f aca="false">IF($D505="","",IFERROR(INDEX(ClientRates!$D$5:$D$500,MATCH($B505&amp;"|"&amp;$L505,ClientRates!$A$5:$A$500,0)),0))</f>
        <v/>
      </c>
      <c r="N505" s="26" t="str">
        <f aca="false">IF($D505="","",IFERROR(INDEX(ClientRates!$E$5:$E$500,MATCH($B505&amp;"|"&amp;$L505,ClientRates!$A$5:$A$500,0)),0))</f>
        <v/>
      </c>
      <c r="O505" s="26" t="str">
        <f aca="false">IF($D505="","",F505*M505+G505*N505)</f>
        <v/>
      </c>
      <c r="P505" s="26" t="str">
        <f aca="false">IF(OR($D505="",$J505&lt;&gt;"Supplier"),"",IFERROR(INDEX(SupplierRates!$D$5:$D$500,MATCH($K505&amp;"|"&amp;$L505,SupplierRates!$A$5:$A$500,0)),0))</f>
        <v/>
      </c>
      <c r="Q505" s="26" t="str">
        <f aca="false">IF(OR($D505="",$J505&lt;&gt;"Supplier"),"",IFERROR(INDEX(SupplierRates!$E$5:$E$500,MATCH($K505&amp;"|"&amp;$L505,SupplierRates!$A$5:$A$500,0)),0))</f>
        <v/>
      </c>
      <c r="R505" s="26" t="n">
        <f aca="false">IF(OR($D505="",$J505&lt;&gt;"Supplier"),0,F505*P505+G505*Q505)</f>
        <v>0</v>
      </c>
      <c r="S505" s="26" t="n">
        <f aca="false">IF(OR($D505="",$J505&lt;&gt;"Own"),0,IFERROR((F505+G505*Settings!$B$13)*INDEX(Workers!$V$5:$V$2004,MATCH($D505,Workers!$A$5:$A$2004,0)),0))</f>
        <v>0</v>
      </c>
      <c r="T505" s="26" t="str">
        <f aca="false">IF($D505="","",O505-R505-S505)</f>
        <v/>
      </c>
    </row>
    <row r="506" customFormat="false" ht="15" hidden="false" customHeight="false" outlineLevel="0" collapsed="false">
      <c r="I506" s="24" t="str">
        <f aca="false">IF($D506="","",IFERROR(INDEX(Workers!$B$5:$B$2004,MATCH($D506,Workers!$A$5:$A$2004,0)),"NOT FOUND"))</f>
        <v/>
      </c>
      <c r="J506" s="24" t="str">
        <f aca="false">IF($D506="","",IFERROR(INDEX(Workers!$C$5:$C$2004,MATCH($D506,Workers!$A$5:$A$2004,0)),""))</f>
        <v/>
      </c>
      <c r="K506" s="24" t="str">
        <f aca="false">IF($D506="","",IFERROR(IF(INDEX(Workers!$D$5:$D$2004,MATCH($D506,Workers!$A$5:$A$2004,0))=0,"",INDEX(Workers!$D$5:$D$2004,MATCH($D506,Workers!$A$5:$A$2004,0))),""))</f>
        <v/>
      </c>
      <c r="L506" s="24" t="str">
        <f aca="false">IF($D506="","",IFERROR(INDEX(Workers!$E$5:$E$2004,MATCH($D506,Workers!$A$5:$A$2004,0)),""))</f>
        <v/>
      </c>
      <c r="M506" s="26" t="str">
        <f aca="false">IF($D506="","",IFERROR(INDEX(ClientRates!$D$5:$D$500,MATCH($B506&amp;"|"&amp;$L506,ClientRates!$A$5:$A$500,0)),0))</f>
        <v/>
      </c>
      <c r="N506" s="26" t="str">
        <f aca="false">IF($D506="","",IFERROR(INDEX(ClientRates!$E$5:$E$500,MATCH($B506&amp;"|"&amp;$L506,ClientRates!$A$5:$A$500,0)),0))</f>
        <v/>
      </c>
      <c r="O506" s="26" t="str">
        <f aca="false">IF($D506="","",F506*M506+G506*N506)</f>
        <v/>
      </c>
      <c r="P506" s="26" t="str">
        <f aca="false">IF(OR($D506="",$J506&lt;&gt;"Supplier"),"",IFERROR(INDEX(SupplierRates!$D$5:$D$500,MATCH($K506&amp;"|"&amp;$L506,SupplierRates!$A$5:$A$500,0)),0))</f>
        <v/>
      </c>
      <c r="Q506" s="26" t="str">
        <f aca="false">IF(OR($D506="",$J506&lt;&gt;"Supplier"),"",IFERROR(INDEX(SupplierRates!$E$5:$E$500,MATCH($K506&amp;"|"&amp;$L506,SupplierRates!$A$5:$A$500,0)),0))</f>
        <v/>
      </c>
      <c r="R506" s="26" t="n">
        <f aca="false">IF(OR($D506="",$J506&lt;&gt;"Supplier"),0,F506*P506+G506*Q506)</f>
        <v>0</v>
      </c>
      <c r="S506" s="26" t="n">
        <f aca="false">IF(OR($D506="",$J506&lt;&gt;"Own"),0,IFERROR((F506+G506*Settings!$B$13)*INDEX(Workers!$V$5:$V$2004,MATCH($D506,Workers!$A$5:$A$2004,0)),0))</f>
        <v>0</v>
      </c>
      <c r="T506" s="26" t="str">
        <f aca="false">IF($D506="","",O506-R506-S506)</f>
        <v/>
      </c>
    </row>
    <row r="507" customFormat="false" ht="15" hidden="false" customHeight="false" outlineLevel="0" collapsed="false">
      <c r="I507" s="24" t="str">
        <f aca="false">IF($D507="","",IFERROR(INDEX(Workers!$B$5:$B$2004,MATCH($D507,Workers!$A$5:$A$2004,0)),"NOT FOUND"))</f>
        <v/>
      </c>
      <c r="J507" s="24" t="str">
        <f aca="false">IF($D507="","",IFERROR(INDEX(Workers!$C$5:$C$2004,MATCH($D507,Workers!$A$5:$A$2004,0)),""))</f>
        <v/>
      </c>
      <c r="K507" s="24" t="str">
        <f aca="false">IF($D507="","",IFERROR(IF(INDEX(Workers!$D$5:$D$2004,MATCH($D507,Workers!$A$5:$A$2004,0))=0,"",INDEX(Workers!$D$5:$D$2004,MATCH($D507,Workers!$A$5:$A$2004,0))),""))</f>
        <v/>
      </c>
      <c r="L507" s="24" t="str">
        <f aca="false">IF($D507="","",IFERROR(INDEX(Workers!$E$5:$E$2004,MATCH($D507,Workers!$A$5:$A$2004,0)),""))</f>
        <v/>
      </c>
      <c r="M507" s="26" t="str">
        <f aca="false">IF($D507="","",IFERROR(INDEX(ClientRates!$D$5:$D$500,MATCH($B507&amp;"|"&amp;$L507,ClientRates!$A$5:$A$500,0)),0))</f>
        <v/>
      </c>
      <c r="N507" s="26" t="str">
        <f aca="false">IF($D507="","",IFERROR(INDEX(ClientRates!$E$5:$E$500,MATCH($B507&amp;"|"&amp;$L507,ClientRates!$A$5:$A$500,0)),0))</f>
        <v/>
      </c>
      <c r="O507" s="26" t="str">
        <f aca="false">IF($D507="","",F507*M507+G507*N507)</f>
        <v/>
      </c>
      <c r="P507" s="26" t="str">
        <f aca="false">IF(OR($D507="",$J507&lt;&gt;"Supplier"),"",IFERROR(INDEX(SupplierRates!$D$5:$D$500,MATCH($K507&amp;"|"&amp;$L507,SupplierRates!$A$5:$A$500,0)),0))</f>
        <v/>
      </c>
      <c r="Q507" s="26" t="str">
        <f aca="false">IF(OR($D507="",$J507&lt;&gt;"Supplier"),"",IFERROR(INDEX(SupplierRates!$E$5:$E$500,MATCH($K507&amp;"|"&amp;$L507,SupplierRates!$A$5:$A$500,0)),0))</f>
        <v/>
      </c>
      <c r="R507" s="26" t="n">
        <f aca="false">IF(OR($D507="",$J507&lt;&gt;"Supplier"),0,F507*P507+G507*Q507)</f>
        <v>0</v>
      </c>
      <c r="S507" s="26" t="n">
        <f aca="false">IF(OR($D507="",$J507&lt;&gt;"Own"),0,IFERROR((F507+G507*Settings!$B$13)*INDEX(Workers!$V$5:$V$2004,MATCH($D507,Workers!$A$5:$A$2004,0)),0))</f>
        <v>0</v>
      </c>
      <c r="T507" s="26" t="str">
        <f aca="false">IF($D507="","",O507-R507-S507)</f>
        <v/>
      </c>
    </row>
    <row r="508" customFormat="false" ht="15" hidden="false" customHeight="false" outlineLevel="0" collapsed="false">
      <c r="I508" s="24" t="str">
        <f aca="false">IF($D508="","",IFERROR(INDEX(Workers!$B$5:$B$2004,MATCH($D508,Workers!$A$5:$A$2004,0)),"NOT FOUND"))</f>
        <v/>
      </c>
      <c r="J508" s="24" t="str">
        <f aca="false">IF($D508="","",IFERROR(INDEX(Workers!$C$5:$C$2004,MATCH($D508,Workers!$A$5:$A$2004,0)),""))</f>
        <v/>
      </c>
      <c r="K508" s="24" t="str">
        <f aca="false">IF($D508="","",IFERROR(IF(INDEX(Workers!$D$5:$D$2004,MATCH($D508,Workers!$A$5:$A$2004,0))=0,"",INDEX(Workers!$D$5:$D$2004,MATCH($D508,Workers!$A$5:$A$2004,0))),""))</f>
        <v/>
      </c>
      <c r="L508" s="24" t="str">
        <f aca="false">IF($D508="","",IFERROR(INDEX(Workers!$E$5:$E$2004,MATCH($D508,Workers!$A$5:$A$2004,0)),""))</f>
        <v/>
      </c>
      <c r="M508" s="26" t="str">
        <f aca="false">IF($D508="","",IFERROR(INDEX(ClientRates!$D$5:$D$500,MATCH($B508&amp;"|"&amp;$L508,ClientRates!$A$5:$A$500,0)),0))</f>
        <v/>
      </c>
      <c r="N508" s="26" t="str">
        <f aca="false">IF($D508="","",IFERROR(INDEX(ClientRates!$E$5:$E$500,MATCH($B508&amp;"|"&amp;$L508,ClientRates!$A$5:$A$500,0)),0))</f>
        <v/>
      </c>
      <c r="O508" s="26" t="str">
        <f aca="false">IF($D508="","",F508*M508+G508*N508)</f>
        <v/>
      </c>
      <c r="P508" s="26" t="str">
        <f aca="false">IF(OR($D508="",$J508&lt;&gt;"Supplier"),"",IFERROR(INDEX(SupplierRates!$D$5:$D$500,MATCH($K508&amp;"|"&amp;$L508,SupplierRates!$A$5:$A$500,0)),0))</f>
        <v/>
      </c>
      <c r="Q508" s="26" t="str">
        <f aca="false">IF(OR($D508="",$J508&lt;&gt;"Supplier"),"",IFERROR(INDEX(SupplierRates!$E$5:$E$500,MATCH($K508&amp;"|"&amp;$L508,SupplierRates!$A$5:$A$500,0)),0))</f>
        <v/>
      </c>
      <c r="R508" s="26" t="n">
        <f aca="false">IF(OR($D508="",$J508&lt;&gt;"Supplier"),0,F508*P508+G508*Q508)</f>
        <v>0</v>
      </c>
      <c r="S508" s="26" t="n">
        <f aca="false">IF(OR($D508="",$J508&lt;&gt;"Own"),0,IFERROR((F508+G508*Settings!$B$13)*INDEX(Workers!$V$5:$V$2004,MATCH($D508,Workers!$A$5:$A$2004,0)),0))</f>
        <v>0</v>
      </c>
      <c r="T508" s="26" t="str">
        <f aca="false">IF($D508="","",O508-R508-S508)</f>
        <v/>
      </c>
    </row>
    <row r="509" customFormat="false" ht="15" hidden="false" customHeight="false" outlineLevel="0" collapsed="false">
      <c r="I509" s="24" t="str">
        <f aca="false">IF($D509="","",IFERROR(INDEX(Workers!$B$5:$B$2004,MATCH($D509,Workers!$A$5:$A$2004,0)),"NOT FOUND"))</f>
        <v/>
      </c>
      <c r="J509" s="24" t="str">
        <f aca="false">IF($D509="","",IFERROR(INDEX(Workers!$C$5:$C$2004,MATCH($D509,Workers!$A$5:$A$2004,0)),""))</f>
        <v/>
      </c>
      <c r="K509" s="24" t="str">
        <f aca="false">IF($D509="","",IFERROR(IF(INDEX(Workers!$D$5:$D$2004,MATCH($D509,Workers!$A$5:$A$2004,0))=0,"",INDEX(Workers!$D$5:$D$2004,MATCH($D509,Workers!$A$5:$A$2004,0))),""))</f>
        <v/>
      </c>
      <c r="L509" s="24" t="str">
        <f aca="false">IF($D509="","",IFERROR(INDEX(Workers!$E$5:$E$2004,MATCH($D509,Workers!$A$5:$A$2004,0)),""))</f>
        <v/>
      </c>
      <c r="M509" s="26" t="str">
        <f aca="false">IF($D509="","",IFERROR(INDEX(ClientRates!$D$5:$D$500,MATCH($B509&amp;"|"&amp;$L509,ClientRates!$A$5:$A$500,0)),0))</f>
        <v/>
      </c>
      <c r="N509" s="26" t="str">
        <f aca="false">IF($D509="","",IFERROR(INDEX(ClientRates!$E$5:$E$500,MATCH($B509&amp;"|"&amp;$L509,ClientRates!$A$5:$A$500,0)),0))</f>
        <v/>
      </c>
      <c r="O509" s="26" t="str">
        <f aca="false">IF($D509="","",F509*M509+G509*N509)</f>
        <v/>
      </c>
      <c r="P509" s="26" t="str">
        <f aca="false">IF(OR($D509="",$J509&lt;&gt;"Supplier"),"",IFERROR(INDEX(SupplierRates!$D$5:$D$500,MATCH($K509&amp;"|"&amp;$L509,SupplierRates!$A$5:$A$500,0)),0))</f>
        <v/>
      </c>
      <c r="Q509" s="26" t="str">
        <f aca="false">IF(OR($D509="",$J509&lt;&gt;"Supplier"),"",IFERROR(INDEX(SupplierRates!$E$5:$E$500,MATCH($K509&amp;"|"&amp;$L509,SupplierRates!$A$5:$A$500,0)),0))</f>
        <v/>
      </c>
      <c r="R509" s="26" t="n">
        <f aca="false">IF(OR($D509="",$J509&lt;&gt;"Supplier"),0,F509*P509+G509*Q509)</f>
        <v>0</v>
      </c>
      <c r="S509" s="26" t="n">
        <f aca="false">IF(OR($D509="",$J509&lt;&gt;"Own"),0,IFERROR((F509+G509*Settings!$B$13)*INDEX(Workers!$V$5:$V$2004,MATCH($D509,Workers!$A$5:$A$2004,0)),0))</f>
        <v>0</v>
      </c>
      <c r="T509" s="26" t="str">
        <f aca="false">IF($D509="","",O509-R509-S509)</f>
        <v/>
      </c>
    </row>
    <row r="510" customFormat="false" ht="15" hidden="false" customHeight="false" outlineLevel="0" collapsed="false">
      <c r="I510" s="24" t="str">
        <f aca="false">IF($D510="","",IFERROR(INDEX(Workers!$B$5:$B$2004,MATCH($D510,Workers!$A$5:$A$2004,0)),"NOT FOUND"))</f>
        <v/>
      </c>
      <c r="J510" s="24" t="str">
        <f aca="false">IF($D510="","",IFERROR(INDEX(Workers!$C$5:$C$2004,MATCH($D510,Workers!$A$5:$A$2004,0)),""))</f>
        <v/>
      </c>
      <c r="K510" s="24" t="str">
        <f aca="false">IF($D510="","",IFERROR(IF(INDEX(Workers!$D$5:$D$2004,MATCH($D510,Workers!$A$5:$A$2004,0))=0,"",INDEX(Workers!$D$5:$D$2004,MATCH($D510,Workers!$A$5:$A$2004,0))),""))</f>
        <v/>
      </c>
      <c r="L510" s="24" t="str">
        <f aca="false">IF($D510="","",IFERROR(INDEX(Workers!$E$5:$E$2004,MATCH($D510,Workers!$A$5:$A$2004,0)),""))</f>
        <v/>
      </c>
      <c r="M510" s="26" t="str">
        <f aca="false">IF($D510="","",IFERROR(INDEX(ClientRates!$D$5:$D$500,MATCH($B510&amp;"|"&amp;$L510,ClientRates!$A$5:$A$500,0)),0))</f>
        <v/>
      </c>
      <c r="N510" s="26" t="str">
        <f aca="false">IF($D510="","",IFERROR(INDEX(ClientRates!$E$5:$E$500,MATCH($B510&amp;"|"&amp;$L510,ClientRates!$A$5:$A$500,0)),0))</f>
        <v/>
      </c>
      <c r="O510" s="26" t="str">
        <f aca="false">IF($D510="","",F510*M510+G510*N510)</f>
        <v/>
      </c>
      <c r="P510" s="26" t="str">
        <f aca="false">IF(OR($D510="",$J510&lt;&gt;"Supplier"),"",IFERROR(INDEX(SupplierRates!$D$5:$D$500,MATCH($K510&amp;"|"&amp;$L510,SupplierRates!$A$5:$A$500,0)),0))</f>
        <v/>
      </c>
      <c r="Q510" s="26" t="str">
        <f aca="false">IF(OR($D510="",$J510&lt;&gt;"Supplier"),"",IFERROR(INDEX(SupplierRates!$E$5:$E$500,MATCH($K510&amp;"|"&amp;$L510,SupplierRates!$A$5:$A$500,0)),0))</f>
        <v/>
      </c>
      <c r="R510" s="26" t="n">
        <f aca="false">IF(OR($D510="",$J510&lt;&gt;"Supplier"),0,F510*P510+G510*Q510)</f>
        <v>0</v>
      </c>
      <c r="S510" s="26" t="n">
        <f aca="false">IF(OR($D510="",$J510&lt;&gt;"Own"),0,IFERROR((F510+G510*Settings!$B$13)*INDEX(Workers!$V$5:$V$2004,MATCH($D510,Workers!$A$5:$A$2004,0)),0))</f>
        <v>0</v>
      </c>
      <c r="T510" s="26" t="str">
        <f aca="false">IF($D510="","",O510-R510-S510)</f>
        <v/>
      </c>
    </row>
    <row r="511" customFormat="false" ht="15" hidden="false" customHeight="false" outlineLevel="0" collapsed="false">
      <c r="I511" s="24" t="str">
        <f aca="false">IF($D511="","",IFERROR(INDEX(Workers!$B$5:$B$2004,MATCH($D511,Workers!$A$5:$A$2004,0)),"NOT FOUND"))</f>
        <v/>
      </c>
      <c r="J511" s="24" t="str">
        <f aca="false">IF($D511="","",IFERROR(INDEX(Workers!$C$5:$C$2004,MATCH($D511,Workers!$A$5:$A$2004,0)),""))</f>
        <v/>
      </c>
      <c r="K511" s="24" t="str">
        <f aca="false">IF($D511="","",IFERROR(IF(INDEX(Workers!$D$5:$D$2004,MATCH($D511,Workers!$A$5:$A$2004,0))=0,"",INDEX(Workers!$D$5:$D$2004,MATCH($D511,Workers!$A$5:$A$2004,0))),""))</f>
        <v/>
      </c>
      <c r="L511" s="24" t="str">
        <f aca="false">IF($D511="","",IFERROR(INDEX(Workers!$E$5:$E$2004,MATCH($D511,Workers!$A$5:$A$2004,0)),""))</f>
        <v/>
      </c>
      <c r="M511" s="26" t="str">
        <f aca="false">IF($D511="","",IFERROR(INDEX(ClientRates!$D$5:$D$500,MATCH($B511&amp;"|"&amp;$L511,ClientRates!$A$5:$A$500,0)),0))</f>
        <v/>
      </c>
      <c r="N511" s="26" t="str">
        <f aca="false">IF($D511="","",IFERROR(INDEX(ClientRates!$E$5:$E$500,MATCH($B511&amp;"|"&amp;$L511,ClientRates!$A$5:$A$500,0)),0))</f>
        <v/>
      </c>
      <c r="O511" s="26" t="str">
        <f aca="false">IF($D511="","",F511*M511+G511*N511)</f>
        <v/>
      </c>
      <c r="P511" s="26" t="str">
        <f aca="false">IF(OR($D511="",$J511&lt;&gt;"Supplier"),"",IFERROR(INDEX(SupplierRates!$D$5:$D$500,MATCH($K511&amp;"|"&amp;$L511,SupplierRates!$A$5:$A$500,0)),0))</f>
        <v/>
      </c>
      <c r="Q511" s="26" t="str">
        <f aca="false">IF(OR($D511="",$J511&lt;&gt;"Supplier"),"",IFERROR(INDEX(SupplierRates!$E$5:$E$500,MATCH($K511&amp;"|"&amp;$L511,SupplierRates!$A$5:$A$500,0)),0))</f>
        <v/>
      </c>
      <c r="R511" s="26" t="n">
        <f aca="false">IF(OR($D511="",$J511&lt;&gt;"Supplier"),0,F511*P511+G511*Q511)</f>
        <v>0</v>
      </c>
      <c r="S511" s="26" t="n">
        <f aca="false">IF(OR($D511="",$J511&lt;&gt;"Own"),0,IFERROR((F511+G511*Settings!$B$13)*INDEX(Workers!$V$5:$V$2004,MATCH($D511,Workers!$A$5:$A$2004,0)),0))</f>
        <v>0</v>
      </c>
      <c r="T511" s="26" t="str">
        <f aca="false">IF($D511="","",O511-R511-S511)</f>
        <v/>
      </c>
    </row>
    <row r="512" customFormat="false" ht="15" hidden="false" customHeight="false" outlineLevel="0" collapsed="false">
      <c r="I512" s="24" t="str">
        <f aca="false">IF($D512="","",IFERROR(INDEX(Workers!$B$5:$B$2004,MATCH($D512,Workers!$A$5:$A$2004,0)),"NOT FOUND"))</f>
        <v/>
      </c>
      <c r="J512" s="24" t="str">
        <f aca="false">IF($D512="","",IFERROR(INDEX(Workers!$C$5:$C$2004,MATCH($D512,Workers!$A$5:$A$2004,0)),""))</f>
        <v/>
      </c>
      <c r="K512" s="24" t="str">
        <f aca="false">IF($D512="","",IFERROR(IF(INDEX(Workers!$D$5:$D$2004,MATCH($D512,Workers!$A$5:$A$2004,0))=0,"",INDEX(Workers!$D$5:$D$2004,MATCH($D512,Workers!$A$5:$A$2004,0))),""))</f>
        <v/>
      </c>
      <c r="L512" s="24" t="str">
        <f aca="false">IF($D512="","",IFERROR(INDEX(Workers!$E$5:$E$2004,MATCH($D512,Workers!$A$5:$A$2004,0)),""))</f>
        <v/>
      </c>
      <c r="M512" s="26" t="str">
        <f aca="false">IF($D512="","",IFERROR(INDEX(ClientRates!$D$5:$D$500,MATCH($B512&amp;"|"&amp;$L512,ClientRates!$A$5:$A$500,0)),0))</f>
        <v/>
      </c>
      <c r="N512" s="26" t="str">
        <f aca="false">IF($D512="","",IFERROR(INDEX(ClientRates!$E$5:$E$500,MATCH($B512&amp;"|"&amp;$L512,ClientRates!$A$5:$A$500,0)),0))</f>
        <v/>
      </c>
      <c r="O512" s="26" t="str">
        <f aca="false">IF($D512="","",F512*M512+G512*N512)</f>
        <v/>
      </c>
      <c r="P512" s="26" t="str">
        <f aca="false">IF(OR($D512="",$J512&lt;&gt;"Supplier"),"",IFERROR(INDEX(SupplierRates!$D$5:$D$500,MATCH($K512&amp;"|"&amp;$L512,SupplierRates!$A$5:$A$500,0)),0))</f>
        <v/>
      </c>
      <c r="Q512" s="26" t="str">
        <f aca="false">IF(OR($D512="",$J512&lt;&gt;"Supplier"),"",IFERROR(INDEX(SupplierRates!$E$5:$E$500,MATCH($K512&amp;"|"&amp;$L512,SupplierRates!$A$5:$A$500,0)),0))</f>
        <v/>
      </c>
      <c r="R512" s="26" t="n">
        <f aca="false">IF(OR($D512="",$J512&lt;&gt;"Supplier"),0,F512*P512+G512*Q512)</f>
        <v>0</v>
      </c>
      <c r="S512" s="26" t="n">
        <f aca="false">IF(OR($D512="",$J512&lt;&gt;"Own"),0,IFERROR((F512+G512*Settings!$B$13)*INDEX(Workers!$V$5:$V$2004,MATCH($D512,Workers!$A$5:$A$2004,0)),0))</f>
        <v>0</v>
      </c>
      <c r="T512" s="26" t="str">
        <f aca="false">IF($D512="","",O512-R512-S512)</f>
        <v/>
      </c>
    </row>
    <row r="513" customFormat="false" ht="15" hidden="false" customHeight="false" outlineLevel="0" collapsed="false">
      <c r="I513" s="24" t="str">
        <f aca="false">IF($D513="","",IFERROR(INDEX(Workers!$B$5:$B$2004,MATCH($D513,Workers!$A$5:$A$2004,0)),"NOT FOUND"))</f>
        <v/>
      </c>
      <c r="J513" s="24" t="str">
        <f aca="false">IF($D513="","",IFERROR(INDEX(Workers!$C$5:$C$2004,MATCH($D513,Workers!$A$5:$A$2004,0)),""))</f>
        <v/>
      </c>
      <c r="K513" s="24" t="str">
        <f aca="false">IF($D513="","",IFERROR(IF(INDEX(Workers!$D$5:$D$2004,MATCH($D513,Workers!$A$5:$A$2004,0))=0,"",INDEX(Workers!$D$5:$D$2004,MATCH($D513,Workers!$A$5:$A$2004,0))),""))</f>
        <v/>
      </c>
      <c r="L513" s="24" t="str">
        <f aca="false">IF($D513="","",IFERROR(INDEX(Workers!$E$5:$E$2004,MATCH($D513,Workers!$A$5:$A$2004,0)),""))</f>
        <v/>
      </c>
      <c r="M513" s="26" t="str">
        <f aca="false">IF($D513="","",IFERROR(INDEX(ClientRates!$D$5:$D$500,MATCH($B513&amp;"|"&amp;$L513,ClientRates!$A$5:$A$500,0)),0))</f>
        <v/>
      </c>
      <c r="N513" s="26" t="str">
        <f aca="false">IF($D513="","",IFERROR(INDEX(ClientRates!$E$5:$E$500,MATCH($B513&amp;"|"&amp;$L513,ClientRates!$A$5:$A$500,0)),0))</f>
        <v/>
      </c>
      <c r="O513" s="26" t="str">
        <f aca="false">IF($D513="","",F513*M513+G513*N513)</f>
        <v/>
      </c>
      <c r="P513" s="26" t="str">
        <f aca="false">IF(OR($D513="",$J513&lt;&gt;"Supplier"),"",IFERROR(INDEX(SupplierRates!$D$5:$D$500,MATCH($K513&amp;"|"&amp;$L513,SupplierRates!$A$5:$A$500,0)),0))</f>
        <v/>
      </c>
      <c r="Q513" s="26" t="str">
        <f aca="false">IF(OR($D513="",$J513&lt;&gt;"Supplier"),"",IFERROR(INDEX(SupplierRates!$E$5:$E$500,MATCH($K513&amp;"|"&amp;$L513,SupplierRates!$A$5:$A$500,0)),0))</f>
        <v/>
      </c>
      <c r="R513" s="26" t="n">
        <f aca="false">IF(OR($D513="",$J513&lt;&gt;"Supplier"),0,F513*P513+G513*Q513)</f>
        <v>0</v>
      </c>
      <c r="S513" s="26" t="n">
        <f aca="false">IF(OR($D513="",$J513&lt;&gt;"Own"),0,IFERROR((F513+G513*Settings!$B$13)*INDEX(Workers!$V$5:$V$2004,MATCH($D513,Workers!$A$5:$A$2004,0)),0))</f>
        <v>0</v>
      </c>
      <c r="T513" s="26" t="str">
        <f aca="false">IF($D513="","",O513-R513-S513)</f>
        <v/>
      </c>
    </row>
    <row r="514" customFormat="false" ht="15" hidden="false" customHeight="false" outlineLevel="0" collapsed="false">
      <c r="I514" s="24" t="str">
        <f aca="false">IF($D514="","",IFERROR(INDEX(Workers!$B$5:$B$2004,MATCH($D514,Workers!$A$5:$A$2004,0)),"NOT FOUND"))</f>
        <v/>
      </c>
      <c r="J514" s="24" t="str">
        <f aca="false">IF($D514="","",IFERROR(INDEX(Workers!$C$5:$C$2004,MATCH($D514,Workers!$A$5:$A$2004,0)),""))</f>
        <v/>
      </c>
      <c r="K514" s="24" t="str">
        <f aca="false">IF($D514="","",IFERROR(IF(INDEX(Workers!$D$5:$D$2004,MATCH($D514,Workers!$A$5:$A$2004,0))=0,"",INDEX(Workers!$D$5:$D$2004,MATCH($D514,Workers!$A$5:$A$2004,0))),""))</f>
        <v/>
      </c>
      <c r="L514" s="24" t="str">
        <f aca="false">IF($D514="","",IFERROR(INDEX(Workers!$E$5:$E$2004,MATCH($D514,Workers!$A$5:$A$2004,0)),""))</f>
        <v/>
      </c>
      <c r="M514" s="26" t="str">
        <f aca="false">IF($D514="","",IFERROR(INDEX(ClientRates!$D$5:$D$500,MATCH($B514&amp;"|"&amp;$L514,ClientRates!$A$5:$A$500,0)),0))</f>
        <v/>
      </c>
      <c r="N514" s="26" t="str">
        <f aca="false">IF($D514="","",IFERROR(INDEX(ClientRates!$E$5:$E$500,MATCH($B514&amp;"|"&amp;$L514,ClientRates!$A$5:$A$500,0)),0))</f>
        <v/>
      </c>
      <c r="O514" s="26" t="str">
        <f aca="false">IF($D514="","",F514*M514+G514*N514)</f>
        <v/>
      </c>
      <c r="P514" s="26" t="str">
        <f aca="false">IF(OR($D514="",$J514&lt;&gt;"Supplier"),"",IFERROR(INDEX(SupplierRates!$D$5:$D$500,MATCH($K514&amp;"|"&amp;$L514,SupplierRates!$A$5:$A$500,0)),0))</f>
        <v/>
      </c>
      <c r="Q514" s="26" t="str">
        <f aca="false">IF(OR($D514="",$J514&lt;&gt;"Supplier"),"",IFERROR(INDEX(SupplierRates!$E$5:$E$500,MATCH($K514&amp;"|"&amp;$L514,SupplierRates!$A$5:$A$500,0)),0))</f>
        <v/>
      </c>
      <c r="R514" s="26" t="n">
        <f aca="false">IF(OR($D514="",$J514&lt;&gt;"Supplier"),0,F514*P514+G514*Q514)</f>
        <v>0</v>
      </c>
      <c r="S514" s="26" t="n">
        <f aca="false">IF(OR($D514="",$J514&lt;&gt;"Own"),0,IFERROR((F514+G514*Settings!$B$13)*INDEX(Workers!$V$5:$V$2004,MATCH($D514,Workers!$A$5:$A$2004,0)),0))</f>
        <v>0</v>
      </c>
      <c r="T514" s="26" t="str">
        <f aca="false">IF($D514="","",O514-R514-S514)</f>
        <v/>
      </c>
    </row>
    <row r="515" customFormat="false" ht="15" hidden="false" customHeight="false" outlineLevel="0" collapsed="false">
      <c r="I515" s="24" t="str">
        <f aca="false">IF($D515="","",IFERROR(INDEX(Workers!$B$5:$B$2004,MATCH($D515,Workers!$A$5:$A$2004,0)),"NOT FOUND"))</f>
        <v/>
      </c>
      <c r="J515" s="24" t="str">
        <f aca="false">IF($D515="","",IFERROR(INDEX(Workers!$C$5:$C$2004,MATCH($D515,Workers!$A$5:$A$2004,0)),""))</f>
        <v/>
      </c>
      <c r="K515" s="24" t="str">
        <f aca="false">IF($D515="","",IFERROR(IF(INDEX(Workers!$D$5:$D$2004,MATCH($D515,Workers!$A$5:$A$2004,0))=0,"",INDEX(Workers!$D$5:$D$2004,MATCH($D515,Workers!$A$5:$A$2004,0))),""))</f>
        <v/>
      </c>
      <c r="L515" s="24" t="str">
        <f aca="false">IF($D515="","",IFERROR(INDEX(Workers!$E$5:$E$2004,MATCH($D515,Workers!$A$5:$A$2004,0)),""))</f>
        <v/>
      </c>
      <c r="M515" s="26" t="str">
        <f aca="false">IF($D515="","",IFERROR(INDEX(ClientRates!$D$5:$D$500,MATCH($B515&amp;"|"&amp;$L515,ClientRates!$A$5:$A$500,0)),0))</f>
        <v/>
      </c>
      <c r="N515" s="26" t="str">
        <f aca="false">IF($D515="","",IFERROR(INDEX(ClientRates!$E$5:$E$500,MATCH($B515&amp;"|"&amp;$L515,ClientRates!$A$5:$A$500,0)),0))</f>
        <v/>
      </c>
      <c r="O515" s="26" t="str">
        <f aca="false">IF($D515="","",F515*M515+G515*N515)</f>
        <v/>
      </c>
      <c r="P515" s="26" t="str">
        <f aca="false">IF(OR($D515="",$J515&lt;&gt;"Supplier"),"",IFERROR(INDEX(SupplierRates!$D$5:$D$500,MATCH($K515&amp;"|"&amp;$L515,SupplierRates!$A$5:$A$500,0)),0))</f>
        <v/>
      </c>
      <c r="Q515" s="26" t="str">
        <f aca="false">IF(OR($D515="",$J515&lt;&gt;"Supplier"),"",IFERROR(INDEX(SupplierRates!$E$5:$E$500,MATCH($K515&amp;"|"&amp;$L515,SupplierRates!$A$5:$A$500,0)),0))</f>
        <v/>
      </c>
      <c r="R515" s="26" t="n">
        <f aca="false">IF(OR($D515="",$J515&lt;&gt;"Supplier"),0,F515*P515+G515*Q515)</f>
        <v>0</v>
      </c>
      <c r="S515" s="26" t="n">
        <f aca="false">IF(OR($D515="",$J515&lt;&gt;"Own"),0,IFERROR((F515+G515*Settings!$B$13)*INDEX(Workers!$V$5:$V$2004,MATCH($D515,Workers!$A$5:$A$2004,0)),0))</f>
        <v>0</v>
      </c>
      <c r="T515" s="26" t="str">
        <f aca="false">IF($D515="","",O515-R515-S515)</f>
        <v/>
      </c>
    </row>
    <row r="516" customFormat="false" ht="15" hidden="false" customHeight="false" outlineLevel="0" collapsed="false">
      <c r="I516" s="24" t="str">
        <f aca="false">IF($D516="","",IFERROR(INDEX(Workers!$B$5:$B$2004,MATCH($D516,Workers!$A$5:$A$2004,0)),"NOT FOUND"))</f>
        <v/>
      </c>
      <c r="J516" s="24" t="str">
        <f aca="false">IF($D516="","",IFERROR(INDEX(Workers!$C$5:$C$2004,MATCH($D516,Workers!$A$5:$A$2004,0)),""))</f>
        <v/>
      </c>
      <c r="K516" s="24" t="str">
        <f aca="false">IF($D516="","",IFERROR(IF(INDEX(Workers!$D$5:$D$2004,MATCH($D516,Workers!$A$5:$A$2004,0))=0,"",INDEX(Workers!$D$5:$D$2004,MATCH($D516,Workers!$A$5:$A$2004,0))),""))</f>
        <v/>
      </c>
      <c r="L516" s="24" t="str">
        <f aca="false">IF($D516="","",IFERROR(INDEX(Workers!$E$5:$E$2004,MATCH($D516,Workers!$A$5:$A$2004,0)),""))</f>
        <v/>
      </c>
      <c r="M516" s="26" t="str">
        <f aca="false">IF($D516="","",IFERROR(INDEX(ClientRates!$D$5:$D$500,MATCH($B516&amp;"|"&amp;$L516,ClientRates!$A$5:$A$500,0)),0))</f>
        <v/>
      </c>
      <c r="N516" s="26" t="str">
        <f aca="false">IF($D516="","",IFERROR(INDEX(ClientRates!$E$5:$E$500,MATCH($B516&amp;"|"&amp;$L516,ClientRates!$A$5:$A$500,0)),0))</f>
        <v/>
      </c>
      <c r="O516" s="26" t="str">
        <f aca="false">IF($D516="","",F516*M516+G516*N516)</f>
        <v/>
      </c>
      <c r="P516" s="26" t="str">
        <f aca="false">IF(OR($D516="",$J516&lt;&gt;"Supplier"),"",IFERROR(INDEX(SupplierRates!$D$5:$D$500,MATCH($K516&amp;"|"&amp;$L516,SupplierRates!$A$5:$A$500,0)),0))</f>
        <v/>
      </c>
      <c r="Q516" s="26" t="str">
        <f aca="false">IF(OR($D516="",$J516&lt;&gt;"Supplier"),"",IFERROR(INDEX(SupplierRates!$E$5:$E$500,MATCH($K516&amp;"|"&amp;$L516,SupplierRates!$A$5:$A$500,0)),0))</f>
        <v/>
      </c>
      <c r="R516" s="26" t="n">
        <f aca="false">IF(OR($D516="",$J516&lt;&gt;"Supplier"),0,F516*P516+G516*Q516)</f>
        <v>0</v>
      </c>
      <c r="S516" s="26" t="n">
        <f aca="false">IF(OR($D516="",$J516&lt;&gt;"Own"),0,IFERROR((F516+G516*Settings!$B$13)*INDEX(Workers!$V$5:$V$2004,MATCH($D516,Workers!$A$5:$A$2004,0)),0))</f>
        <v>0</v>
      </c>
      <c r="T516" s="26" t="str">
        <f aca="false">IF($D516="","",O516-R516-S516)</f>
        <v/>
      </c>
    </row>
    <row r="517" customFormat="false" ht="15" hidden="false" customHeight="false" outlineLevel="0" collapsed="false">
      <c r="I517" s="24" t="str">
        <f aca="false">IF($D517="","",IFERROR(INDEX(Workers!$B$5:$B$2004,MATCH($D517,Workers!$A$5:$A$2004,0)),"NOT FOUND"))</f>
        <v/>
      </c>
      <c r="J517" s="24" t="str">
        <f aca="false">IF($D517="","",IFERROR(INDEX(Workers!$C$5:$C$2004,MATCH($D517,Workers!$A$5:$A$2004,0)),""))</f>
        <v/>
      </c>
      <c r="K517" s="24" t="str">
        <f aca="false">IF($D517="","",IFERROR(IF(INDEX(Workers!$D$5:$D$2004,MATCH($D517,Workers!$A$5:$A$2004,0))=0,"",INDEX(Workers!$D$5:$D$2004,MATCH($D517,Workers!$A$5:$A$2004,0))),""))</f>
        <v/>
      </c>
      <c r="L517" s="24" t="str">
        <f aca="false">IF($D517="","",IFERROR(INDEX(Workers!$E$5:$E$2004,MATCH($D517,Workers!$A$5:$A$2004,0)),""))</f>
        <v/>
      </c>
      <c r="M517" s="26" t="str">
        <f aca="false">IF($D517="","",IFERROR(INDEX(ClientRates!$D$5:$D$500,MATCH($B517&amp;"|"&amp;$L517,ClientRates!$A$5:$A$500,0)),0))</f>
        <v/>
      </c>
      <c r="N517" s="26" t="str">
        <f aca="false">IF($D517="","",IFERROR(INDEX(ClientRates!$E$5:$E$500,MATCH($B517&amp;"|"&amp;$L517,ClientRates!$A$5:$A$500,0)),0))</f>
        <v/>
      </c>
      <c r="O517" s="26" t="str">
        <f aca="false">IF($D517="","",F517*M517+G517*N517)</f>
        <v/>
      </c>
      <c r="P517" s="26" t="str">
        <f aca="false">IF(OR($D517="",$J517&lt;&gt;"Supplier"),"",IFERROR(INDEX(SupplierRates!$D$5:$D$500,MATCH($K517&amp;"|"&amp;$L517,SupplierRates!$A$5:$A$500,0)),0))</f>
        <v/>
      </c>
      <c r="Q517" s="26" t="str">
        <f aca="false">IF(OR($D517="",$J517&lt;&gt;"Supplier"),"",IFERROR(INDEX(SupplierRates!$E$5:$E$500,MATCH($K517&amp;"|"&amp;$L517,SupplierRates!$A$5:$A$500,0)),0))</f>
        <v/>
      </c>
      <c r="R517" s="26" t="n">
        <f aca="false">IF(OR($D517="",$J517&lt;&gt;"Supplier"),0,F517*P517+G517*Q517)</f>
        <v>0</v>
      </c>
      <c r="S517" s="26" t="n">
        <f aca="false">IF(OR($D517="",$J517&lt;&gt;"Own"),0,IFERROR((F517+G517*Settings!$B$13)*INDEX(Workers!$V$5:$V$2004,MATCH($D517,Workers!$A$5:$A$2004,0)),0))</f>
        <v>0</v>
      </c>
      <c r="T517" s="26" t="str">
        <f aca="false">IF($D517="","",O517-R517-S517)</f>
        <v/>
      </c>
    </row>
    <row r="518" customFormat="false" ht="15" hidden="false" customHeight="false" outlineLevel="0" collapsed="false">
      <c r="I518" s="24" t="str">
        <f aca="false">IF($D518="","",IFERROR(INDEX(Workers!$B$5:$B$2004,MATCH($D518,Workers!$A$5:$A$2004,0)),"NOT FOUND"))</f>
        <v/>
      </c>
      <c r="J518" s="24" t="str">
        <f aca="false">IF($D518="","",IFERROR(INDEX(Workers!$C$5:$C$2004,MATCH($D518,Workers!$A$5:$A$2004,0)),""))</f>
        <v/>
      </c>
      <c r="K518" s="24" t="str">
        <f aca="false">IF($D518="","",IFERROR(IF(INDEX(Workers!$D$5:$D$2004,MATCH($D518,Workers!$A$5:$A$2004,0))=0,"",INDEX(Workers!$D$5:$D$2004,MATCH($D518,Workers!$A$5:$A$2004,0))),""))</f>
        <v/>
      </c>
      <c r="L518" s="24" t="str">
        <f aca="false">IF($D518="","",IFERROR(INDEX(Workers!$E$5:$E$2004,MATCH($D518,Workers!$A$5:$A$2004,0)),""))</f>
        <v/>
      </c>
      <c r="M518" s="26" t="str">
        <f aca="false">IF($D518="","",IFERROR(INDEX(ClientRates!$D$5:$D$500,MATCH($B518&amp;"|"&amp;$L518,ClientRates!$A$5:$A$500,0)),0))</f>
        <v/>
      </c>
      <c r="N518" s="26" t="str">
        <f aca="false">IF($D518="","",IFERROR(INDEX(ClientRates!$E$5:$E$500,MATCH($B518&amp;"|"&amp;$L518,ClientRates!$A$5:$A$500,0)),0))</f>
        <v/>
      </c>
      <c r="O518" s="26" t="str">
        <f aca="false">IF($D518="","",F518*M518+G518*N518)</f>
        <v/>
      </c>
      <c r="P518" s="26" t="str">
        <f aca="false">IF(OR($D518="",$J518&lt;&gt;"Supplier"),"",IFERROR(INDEX(SupplierRates!$D$5:$D$500,MATCH($K518&amp;"|"&amp;$L518,SupplierRates!$A$5:$A$500,0)),0))</f>
        <v/>
      </c>
      <c r="Q518" s="26" t="str">
        <f aca="false">IF(OR($D518="",$J518&lt;&gt;"Supplier"),"",IFERROR(INDEX(SupplierRates!$E$5:$E$500,MATCH($K518&amp;"|"&amp;$L518,SupplierRates!$A$5:$A$500,0)),0))</f>
        <v/>
      </c>
      <c r="R518" s="26" t="n">
        <f aca="false">IF(OR($D518="",$J518&lt;&gt;"Supplier"),0,F518*P518+G518*Q518)</f>
        <v>0</v>
      </c>
      <c r="S518" s="26" t="n">
        <f aca="false">IF(OR($D518="",$J518&lt;&gt;"Own"),0,IFERROR((F518+G518*Settings!$B$13)*INDEX(Workers!$V$5:$V$2004,MATCH($D518,Workers!$A$5:$A$2004,0)),0))</f>
        <v>0</v>
      </c>
      <c r="T518" s="26" t="str">
        <f aca="false">IF($D518="","",O518-R518-S518)</f>
        <v/>
      </c>
    </row>
    <row r="519" customFormat="false" ht="15" hidden="false" customHeight="false" outlineLevel="0" collapsed="false">
      <c r="I519" s="24" t="str">
        <f aca="false">IF($D519="","",IFERROR(INDEX(Workers!$B$5:$B$2004,MATCH($D519,Workers!$A$5:$A$2004,0)),"NOT FOUND"))</f>
        <v/>
      </c>
      <c r="J519" s="24" t="str">
        <f aca="false">IF($D519="","",IFERROR(INDEX(Workers!$C$5:$C$2004,MATCH($D519,Workers!$A$5:$A$2004,0)),""))</f>
        <v/>
      </c>
      <c r="K519" s="24" t="str">
        <f aca="false">IF($D519="","",IFERROR(IF(INDEX(Workers!$D$5:$D$2004,MATCH($D519,Workers!$A$5:$A$2004,0))=0,"",INDEX(Workers!$D$5:$D$2004,MATCH($D519,Workers!$A$5:$A$2004,0))),""))</f>
        <v/>
      </c>
      <c r="L519" s="24" t="str">
        <f aca="false">IF($D519="","",IFERROR(INDEX(Workers!$E$5:$E$2004,MATCH($D519,Workers!$A$5:$A$2004,0)),""))</f>
        <v/>
      </c>
      <c r="M519" s="26" t="str">
        <f aca="false">IF($D519="","",IFERROR(INDEX(ClientRates!$D$5:$D$500,MATCH($B519&amp;"|"&amp;$L519,ClientRates!$A$5:$A$500,0)),0))</f>
        <v/>
      </c>
      <c r="N519" s="26" t="str">
        <f aca="false">IF($D519="","",IFERROR(INDEX(ClientRates!$E$5:$E$500,MATCH($B519&amp;"|"&amp;$L519,ClientRates!$A$5:$A$500,0)),0))</f>
        <v/>
      </c>
      <c r="O519" s="26" t="str">
        <f aca="false">IF($D519="","",F519*M519+G519*N519)</f>
        <v/>
      </c>
      <c r="P519" s="26" t="str">
        <f aca="false">IF(OR($D519="",$J519&lt;&gt;"Supplier"),"",IFERROR(INDEX(SupplierRates!$D$5:$D$500,MATCH($K519&amp;"|"&amp;$L519,SupplierRates!$A$5:$A$500,0)),0))</f>
        <v/>
      </c>
      <c r="Q519" s="26" t="str">
        <f aca="false">IF(OR($D519="",$J519&lt;&gt;"Supplier"),"",IFERROR(INDEX(SupplierRates!$E$5:$E$500,MATCH($K519&amp;"|"&amp;$L519,SupplierRates!$A$5:$A$500,0)),0))</f>
        <v/>
      </c>
      <c r="R519" s="26" t="n">
        <f aca="false">IF(OR($D519="",$J519&lt;&gt;"Supplier"),0,F519*P519+G519*Q519)</f>
        <v>0</v>
      </c>
      <c r="S519" s="26" t="n">
        <f aca="false">IF(OR($D519="",$J519&lt;&gt;"Own"),0,IFERROR((F519+G519*Settings!$B$13)*INDEX(Workers!$V$5:$V$2004,MATCH($D519,Workers!$A$5:$A$2004,0)),0))</f>
        <v>0</v>
      </c>
      <c r="T519" s="26" t="str">
        <f aca="false">IF($D519="","",O519-R519-S519)</f>
        <v/>
      </c>
    </row>
    <row r="520" customFormat="false" ht="15" hidden="false" customHeight="false" outlineLevel="0" collapsed="false">
      <c r="I520" s="24" t="str">
        <f aca="false">IF($D520="","",IFERROR(INDEX(Workers!$B$5:$B$2004,MATCH($D520,Workers!$A$5:$A$2004,0)),"NOT FOUND"))</f>
        <v/>
      </c>
      <c r="J520" s="24" t="str">
        <f aca="false">IF($D520="","",IFERROR(INDEX(Workers!$C$5:$C$2004,MATCH($D520,Workers!$A$5:$A$2004,0)),""))</f>
        <v/>
      </c>
      <c r="K520" s="24" t="str">
        <f aca="false">IF($D520="","",IFERROR(IF(INDEX(Workers!$D$5:$D$2004,MATCH($D520,Workers!$A$5:$A$2004,0))=0,"",INDEX(Workers!$D$5:$D$2004,MATCH($D520,Workers!$A$5:$A$2004,0))),""))</f>
        <v/>
      </c>
      <c r="L520" s="24" t="str">
        <f aca="false">IF($D520="","",IFERROR(INDEX(Workers!$E$5:$E$2004,MATCH($D520,Workers!$A$5:$A$2004,0)),""))</f>
        <v/>
      </c>
      <c r="M520" s="26" t="str">
        <f aca="false">IF($D520="","",IFERROR(INDEX(ClientRates!$D$5:$D$500,MATCH($B520&amp;"|"&amp;$L520,ClientRates!$A$5:$A$500,0)),0))</f>
        <v/>
      </c>
      <c r="N520" s="26" t="str">
        <f aca="false">IF($D520="","",IFERROR(INDEX(ClientRates!$E$5:$E$500,MATCH($B520&amp;"|"&amp;$L520,ClientRates!$A$5:$A$500,0)),0))</f>
        <v/>
      </c>
      <c r="O520" s="26" t="str">
        <f aca="false">IF($D520="","",F520*M520+G520*N520)</f>
        <v/>
      </c>
      <c r="P520" s="26" t="str">
        <f aca="false">IF(OR($D520="",$J520&lt;&gt;"Supplier"),"",IFERROR(INDEX(SupplierRates!$D$5:$D$500,MATCH($K520&amp;"|"&amp;$L520,SupplierRates!$A$5:$A$500,0)),0))</f>
        <v/>
      </c>
      <c r="Q520" s="26" t="str">
        <f aca="false">IF(OR($D520="",$J520&lt;&gt;"Supplier"),"",IFERROR(INDEX(SupplierRates!$E$5:$E$500,MATCH($K520&amp;"|"&amp;$L520,SupplierRates!$A$5:$A$500,0)),0))</f>
        <v/>
      </c>
      <c r="R520" s="26" t="n">
        <f aca="false">IF(OR($D520="",$J520&lt;&gt;"Supplier"),0,F520*P520+G520*Q520)</f>
        <v>0</v>
      </c>
      <c r="S520" s="26" t="n">
        <f aca="false">IF(OR($D520="",$J520&lt;&gt;"Own"),0,IFERROR((F520+G520*Settings!$B$13)*INDEX(Workers!$V$5:$V$2004,MATCH($D520,Workers!$A$5:$A$2004,0)),0))</f>
        <v>0</v>
      </c>
      <c r="T520" s="26" t="str">
        <f aca="false">IF($D520="","",O520-R520-S520)</f>
        <v/>
      </c>
    </row>
    <row r="521" customFormat="false" ht="15" hidden="false" customHeight="false" outlineLevel="0" collapsed="false">
      <c r="I521" s="24" t="str">
        <f aca="false">IF($D521="","",IFERROR(INDEX(Workers!$B$5:$B$2004,MATCH($D521,Workers!$A$5:$A$2004,0)),"NOT FOUND"))</f>
        <v/>
      </c>
      <c r="J521" s="24" t="str">
        <f aca="false">IF($D521="","",IFERROR(INDEX(Workers!$C$5:$C$2004,MATCH($D521,Workers!$A$5:$A$2004,0)),""))</f>
        <v/>
      </c>
      <c r="K521" s="24" t="str">
        <f aca="false">IF($D521="","",IFERROR(IF(INDEX(Workers!$D$5:$D$2004,MATCH($D521,Workers!$A$5:$A$2004,0))=0,"",INDEX(Workers!$D$5:$D$2004,MATCH($D521,Workers!$A$5:$A$2004,0))),""))</f>
        <v/>
      </c>
      <c r="L521" s="24" t="str">
        <f aca="false">IF($D521="","",IFERROR(INDEX(Workers!$E$5:$E$2004,MATCH($D521,Workers!$A$5:$A$2004,0)),""))</f>
        <v/>
      </c>
      <c r="M521" s="26" t="str">
        <f aca="false">IF($D521="","",IFERROR(INDEX(ClientRates!$D$5:$D$500,MATCH($B521&amp;"|"&amp;$L521,ClientRates!$A$5:$A$500,0)),0))</f>
        <v/>
      </c>
      <c r="N521" s="26" t="str">
        <f aca="false">IF($D521="","",IFERROR(INDEX(ClientRates!$E$5:$E$500,MATCH($B521&amp;"|"&amp;$L521,ClientRates!$A$5:$A$500,0)),0))</f>
        <v/>
      </c>
      <c r="O521" s="26" t="str">
        <f aca="false">IF($D521="","",F521*M521+G521*N521)</f>
        <v/>
      </c>
      <c r="P521" s="26" t="str">
        <f aca="false">IF(OR($D521="",$J521&lt;&gt;"Supplier"),"",IFERROR(INDEX(SupplierRates!$D$5:$D$500,MATCH($K521&amp;"|"&amp;$L521,SupplierRates!$A$5:$A$500,0)),0))</f>
        <v/>
      </c>
      <c r="Q521" s="26" t="str">
        <f aca="false">IF(OR($D521="",$J521&lt;&gt;"Supplier"),"",IFERROR(INDEX(SupplierRates!$E$5:$E$500,MATCH($K521&amp;"|"&amp;$L521,SupplierRates!$A$5:$A$500,0)),0))</f>
        <v/>
      </c>
      <c r="R521" s="26" t="n">
        <f aca="false">IF(OR($D521="",$J521&lt;&gt;"Supplier"),0,F521*P521+G521*Q521)</f>
        <v>0</v>
      </c>
      <c r="S521" s="26" t="n">
        <f aca="false">IF(OR($D521="",$J521&lt;&gt;"Own"),0,IFERROR((F521+G521*Settings!$B$13)*INDEX(Workers!$V$5:$V$2004,MATCH($D521,Workers!$A$5:$A$2004,0)),0))</f>
        <v>0</v>
      </c>
      <c r="T521" s="26" t="str">
        <f aca="false">IF($D521="","",O521-R521-S521)</f>
        <v/>
      </c>
    </row>
    <row r="522" customFormat="false" ht="15" hidden="false" customHeight="false" outlineLevel="0" collapsed="false">
      <c r="I522" s="24" t="str">
        <f aca="false">IF($D522="","",IFERROR(INDEX(Workers!$B$5:$B$2004,MATCH($D522,Workers!$A$5:$A$2004,0)),"NOT FOUND"))</f>
        <v/>
      </c>
      <c r="J522" s="24" t="str">
        <f aca="false">IF($D522="","",IFERROR(INDEX(Workers!$C$5:$C$2004,MATCH($D522,Workers!$A$5:$A$2004,0)),""))</f>
        <v/>
      </c>
      <c r="K522" s="24" t="str">
        <f aca="false">IF($D522="","",IFERROR(IF(INDEX(Workers!$D$5:$D$2004,MATCH($D522,Workers!$A$5:$A$2004,0))=0,"",INDEX(Workers!$D$5:$D$2004,MATCH($D522,Workers!$A$5:$A$2004,0))),""))</f>
        <v/>
      </c>
      <c r="L522" s="24" t="str">
        <f aca="false">IF($D522="","",IFERROR(INDEX(Workers!$E$5:$E$2004,MATCH($D522,Workers!$A$5:$A$2004,0)),""))</f>
        <v/>
      </c>
      <c r="M522" s="26" t="str">
        <f aca="false">IF($D522="","",IFERROR(INDEX(ClientRates!$D$5:$D$500,MATCH($B522&amp;"|"&amp;$L522,ClientRates!$A$5:$A$500,0)),0))</f>
        <v/>
      </c>
      <c r="N522" s="26" t="str">
        <f aca="false">IF($D522="","",IFERROR(INDEX(ClientRates!$E$5:$E$500,MATCH($B522&amp;"|"&amp;$L522,ClientRates!$A$5:$A$500,0)),0))</f>
        <v/>
      </c>
      <c r="O522" s="26" t="str">
        <f aca="false">IF($D522="","",F522*M522+G522*N522)</f>
        <v/>
      </c>
      <c r="P522" s="26" t="str">
        <f aca="false">IF(OR($D522="",$J522&lt;&gt;"Supplier"),"",IFERROR(INDEX(SupplierRates!$D$5:$D$500,MATCH($K522&amp;"|"&amp;$L522,SupplierRates!$A$5:$A$500,0)),0))</f>
        <v/>
      </c>
      <c r="Q522" s="26" t="str">
        <f aca="false">IF(OR($D522="",$J522&lt;&gt;"Supplier"),"",IFERROR(INDEX(SupplierRates!$E$5:$E$500,MATCH($K522&amp;"|"&amp;$L522,SupplierRates!$A$5:$A$500,0)),0))</f>
        <v/>
      </c>
      <c r="R522" s="26" t="n">
        <f aca="false">IF(OR($D522="",$J522&lt;&gt;"Supplier"),0,F522*P522+G522*Q522)</f>
        <v>0</v>
      </c>
      <c r="S522" s="26" t="n">
        <f aca="false">IF(OR($D522="",$J522&lt;&gt;"Own"),0,IFERROR((F522+G522*Settings!$B$13)*INDEX(Workers!$V$5:$V$2004,MATCH($D522,Workers!$A$5:$A$2004,0)),0))</f>
        <v>0</v>
      </c>
      <c r="T522" s="26" t="str">
        <f aca="false">IF($D522="","",O522-R522-S522)</f>
        <v/>
      </c>
    </row>
    <row r="523" customFormat="false" ht="15" hidden="false" customHeight="false" outlineLevel="0" collapsed="false">
      <c r="I523" s="24" t="str">
        <f aca="false">IF($D523="","",IFERROR(INDEX(Workers!$B$5:$B$2004,MATCH($D523,Workers!$A$5:$A$2004,0)),"NOT FOUND"))</f>
        <v/>
      </c>
      <c r="J523" s="24" t="str">
        <f aca="false">IF($D523="","",IFERROR(INDEX(Workers!$C$5:$C$2004,MATCH($D523,Workers!$A$5:$A$2004,0)),""))</f>
        <v/>
      </c>
      <c r="K523" s="24" t="str">
        <f aca="false">IF($D523="","",IFERROR(IF(INDEX(Workers!$D$5:$D$2004,MATCH($D523,Workers!$A$5:$A$2004,0))=0,"",INDEX(Workers!$D$5:$D$2004,MATCH($D523,Workers!$A$5:$A$2004,0))),""))</f>
        <v/>
      </c>
      <c r="L523" s="24" t="str">
        <f aca="false">IF($D523="","",IFERROR(INDEX(Workers!$E$5:$E$2004,MATCH($D523,Workers!$A$5:$A$2004,0)),""))</f>
        <v/>
      </c>
      <c r="M523" s="26" t="str">
        <f aca="false">IF($D523="","",IFERROR(INDEX(ClientRates!$D$5:$D$500,MATCH($B523&amp;"|"&amp;$L523,ClientRates!$A$5:$A$500,0)),0))</f>
        <v/>
      </c>
      <c r="N523" s="26" t="str">
        <f aca="false">IF($D523="","",IFERROR(INDEX(ClientRates!$E$5:$E$500,MATCH($B523&amp;"|"&amp;$L523,ClientRates!$A$5:$A$500,0)),0))</f>
        <v/>
      </c>
      <c r="O523" s="26" t="str">
        <f aca="false">IF($D523="","",F523*M523+G523*N523)</f>
        <v/>
      </c>
      <c r="P523" s="26" t="str">
        <f aca="false">IF(OR($D523="",$J523&lt;&gt;"Supplier"),"",IFERROR(INDEX(SupplierRates!$D$5:$D$500,MATCH($K523&amp;"|"&amp;$L523,SupplierRates!$A$5:$A$500,0)),0))</f>
        <v/>
      </c>
      <c r="Q523" s="26" t="str">
        <f aca="false">IF(OR($D523="",$J523&lt;&gt;"Supplier"),"",IFERROR(INDEX(SupplierRates!$E$5:$E$500,MATCH($K523&amp;"|"&amp;$L523,SupplierRates!$A$5:$A$500,0)),0))</f>
        <v/>
      </c>
      <c r="R523" s="26" t="n">
        <f aca="false">IF(OR($D523="",$J523&lt;&gt;"Supplier"),0,F523*P523+G523*Q523)</f>
        <v>0</v>
      </c>
      <c r="S523" s="26" t="n">
        <f aca="false">IF(OR($D523="",$J523&lt;&gt;"Own"),0,IFERROR((F523+G523*Settings!$B$13)*INDEX(Workers!$V$5:$V$2004,MATCH($D523,Workers!$A$5:$A$2004,0)),0))</f>
        <v>0</v>
      </c>
      <c r="T523" s="26" t="str">
        <f aca="false">IF($D523="","",O523-R523-S523)</f>
        <v/>
      </c>
    </row>
    <row r="524" customFormat="false" ht="15" hidden="false" customHeight="false" outlineLevel="0" collapsed="false">
      <c r="I524" s="24" t="str">
        <f aca="false">IF($D524="","",IFERROR(INDEX(Workers!$B$5:$B$2004,MATCH($D524,Workers!$A$5:$A$2004,0)),"NOT FOUND"))</f>
        <v/>
      </c>
      <c r="J524" s="24" t="str">
        <f aca="false">IF($D524="","",IFERROR(INDEX(Workers!$C$5:$C$2004,MATCH($D524,Workers!$A$5:$A$2004,0)),""))</f>
        <v/>
      </c>
      <c r="K524" s="24" t="str">
        <f aca="false">IF($D524="","",IFERROR(IF(INDEX(Workers!$D$5:$D$2004,MATCH($D524,Workers!$A$5:$A$2004,0))=0,"",INDEX(Workers!$D$5:$D$2004,MATCH($D524,Workers!$A$5:$A$2004,0))),""))</f>
        <v/>
      </c>
      <c r="L524" s="24" t="str">
        <f aca="false">IF($D524="","",IFERROR(INDEX(Workers!$E$5:$E$2004,MATCH($D524,Workers!$A$5:$A$2004,0)),""))</f>
        <v/>
      </c>
      <c r="M524" s="26" t="str">
        <f aca="false">IF($D524="","",IFERROR(INDEX(ClientRates!$D$5:$D$500,MATCH($B524&amp;"|"&amp;$L524,ClientRates!$A$5:$A$500,0)),0))</f>
        <v/>
      </c>
      <c r="N524" s="26" t="str">
        <f aca="false">IF($D524="","",IFERROR(INDEX(ClientRates!$E$5:$E$500,MATCH($B524&amp;"|"&amp;$L524,ClientRates!$A$5:$A$500,0)),0))</f>
        <v/>
      </c>
      <c r="O524" s="26" t="str">
        <f aca="false">IF($D524="","",F524*M524+G524*N524)</f>
        <v/>
      </c>
      <c r="P524" s="26" t="str">
        <f aca="false">IF(OR($D524="",$J524&lt;&gt;"Supplier"),"",IFERROR(INDEX(SupplierRates!$D$5:$D$500,MATCH($K524&amp;"|"&amp;$L524,SupplierRates!$A$5:$A$500,0)),0))</f>
        <v/>
      </c>
      <c r="Q524" s="26" t="str">
        <f aca="false">IF(OR($D524="",$J524&lt;&gt;"Supplier"),"",IFERROR(INDEX(SupplierRates!$E$5:$E$500,MATCH($K524&amp;"|"&amp;$L524,SupplierRates!$A$5:$A$500,0)),0))</f>
        <v/>
      </c>
      <c r="R524" s="26" t="n">
        <f aca="false">IF(OR($D524="",$J524&lt;&gt;"Supplier"),0,F524*P524+G524*Q524)</f>
        <v>0</v>
      </c>
      <c r="S524" s="26" t="n">
        <f aca="false">IF(OR($D524="",$J524&lt;&gt;"Own"),0,IFERROR((F524+G524*Settings!$B$13)*INDEX(Workers!$V$5:$V$2004,MATCH($D524,Workers!$A$5:$A$2004,0)),0))</f>
        <v>0</v>
      </c>
      <c r="T524" s="26" t="str">
        <f aca="false">IF($D524="","",O524-R524-S524)</f>
        <v/>
      </c>
    </row>
    <row r="525" customFormat="false" ht="15" hidden="false" customHeight="false" outlineLevel="0" collapsed="false">
      <c r="I525" s="24" t="str">
        <f aca="false">IF($D525="","",IFERROR(INDEX(Workers!$B$5:$B$2004,MATCH($D525,Workers!$A$5:$A$2004,0)),"NOT FOUND"))</f>
        <v/>
      </c>
      <c r="J525" s="24" t="str">
        <f aca="false">IF($D525="","",IFERROR(INDEX(Workers!$C$5:$C$2004,MATCH($D525,Workers!$A$5:$A$2004,0)),""))</f>
        <v/>
      </c>
      <c r="K525" s="24" t="str">
        <f aca="false">IF($D525="","",IFERROR(IF(INDEX(Workers!$D$5:$D$2004,MATCH($D525,Workers!$A$5:$A$2004,0))=0,"",INDEX(Workers!$D$5:$D$2004,MATCH($D525,Workers!$A$5:$A$2004,0))),""))</f>
        <v/>
      </c>
      <c r="L525" s="24" t="str">
        <f aca="false">IF($D525="","",IFERROR(INDEX(Workers!$E$5:$E$2004,MATCH($D525,Workers!$A$5:$A$2004,0)),""))</f>
        <v/>
      </c>
      <c r="M525" s="26" t="str">
        <f aca="false">IF($D525="","",IFERROR(INDEX(ClientRates!$D$5:$D$500,MATCH($B525&amp;"|"&amp;$L525,ClientRates!$A$5:$A$500,0)),0))</f>
        <v/>
      </c>
      <c r="N525" s="26" t="str">
        <f aca="false">IF($D525="","",IFERROR(INDEX(ClientRates!$E$5:$E$500,MATCH($B525&amp;"|"&amp;$L525,ClientRates!$A$5:$A$500,0)),0))</f>
        <v/>
      </c>
      <c r="O525" s="26" t="str">
        <f aca="false">IF($D525="","",F525*M525+G525*N525)</f>
        <v/>
      </c>
      <c r="P525" s="26" t="str">
        <f aca="false">IF(OR($D525="",$J525&lt;&gt;"Supplier"),"",IFERROR(INDEX(SupplierRates!$D$5:$D$500,MATCH($K525&amp;"|"&amp;$L525,SupplierRates!$A$5:$A$500,0)),0))</f>
        <v/>
      </c>
      <c r="Q525" s="26" t="str">
        <f aca="false">IF(OR($D525="",$J525&lt;&gt;"Supplier"),"",IFERROR(INDEX(SupplierRates!$E$5:$E$500,MATCH($K525&amp;"|"&amp;$L525,SupplierRates!$A$5:$A$500,0)),0))</f>
        <v/>
      </c>
      <c r="R525" s="26" t="n">
        <f aca="false">IF(OR($D525="",$J525&lt;&gt;"Supplier"),0,F525*P525+G525*Q525)</f>
        <v>0</v>
      </c>
      <c r="S525" s="26" t="n">
        <f aca="false">IF(OR($D525="",$J525&lt;&gt;"Own"),0,IFERROR((F525+G525*Settings!$B$13)*INDEX(Workers!$V$5:$V$2004,MATCH($D525,Workers!$A$5:$A$2004,0)),0))</f>
        <v>0</v>
      </c>
      <c r="T525" s="26" t="str">
        <f aca="false">IF($D525="","",O525-R525-S525)</f>
        <v/>
      </c>
    </row>
    <row r="526" customFormat="false" ht="15" hidden="false" customHeight="false" outlineLevel="0" collapsed="false">
      <c r="I526" s="24" t="str">
        <f aca="false">IF($D526="","",IFERROR(INDEX(Workers!$B$5:$B$2004,MATCH($D526,Workers!$A$5:$A$2004,0)),"NOT FOUND"))</f>
        <v/>
      </c>
      <c r="J526" s="24" t="str">
        <f aca="false">IF($D526="","",IFERROR(INDEX(Workers!$C$5:$C$2004,MATCH($D526,Workers!$A$5:$A$2004,0)),""))</f>
        <v/>
      </c>
      <c r="K526" s="24" t="str">
        <f aca="false">IF($D526="","",IFERROR(IF(INDEX(Workers!$D$5:$D$2004,MATCH($D526,Workers!$A$5:$A$2004,0))=0,"",INDEX(Workers!$D$5:$D$2004,MATCH($D526,Workers!$A$5:$A$2004,0))),""))</f>
        <v/>
      </c>
      <c r="L526" s="24" t="str">
        <f aca="false">IF($D526="","",IFERROR(INDEX(Workers!$E$5:$E$2004,MATCH($D526,Workers!$A$5:$A$2004,0)),""))</f>
        <v/>
      </c>
      <c r="M526" s="26" t="str">
        <f aca="false">IF($D526="","",IFERROR(INDEX(ClientRates!$D$5:$D$500,MATCH($B526&amp;"|"&amp;$L526,ClientRates!$A$5:$A$500,0)),0))</f>
        <v/>
      </c>
      <c r="N526" s="26" t="str">
        <f aca="false">IF($D526="","",IFERROR(INDEX(ClientRates!$E$5:$E$500,MATCH($B526&amp;"|"&amp;$L526,ClientRates!$A$5:$A$500,0)),0))</f>
        <v/>
      </c>
      <c r="O526" s="26" t="str">
        <f aca="false">IF($D526="","",F526*M526+G526*N526)</f>
        <v/>
      </c>
      <c r="P526" s="26" t="str">
        <f aca="false">IF(OR($D526="",$J526&lt;&gt;"Supplier"),"",IFERROR(INDEX(SupplierRates!$D$5:$D$500,MATCH($K526&amp;"|"&amp;$L526,SupplierRates!$A$5:$A$500,0)),0))</f>
        <v/>
      </c>
      <c r="Q526" s="26" t="str">
        <f aca="false">IF(OR($D526="",$J526&lt;&gt;"Supplier"),"",IFERROR(INDEX(SupplierRates!$E$5:$E$500,MATCH($K526&amp;"|"&amp;$L526,SupplierRates!$A$5:$A$500,0)),0))</f>
        <v/>
      </c>
      <c r="R526" s="26" t="n">
        <f aca="false">IF(OR($D526="",$J526&lt;&gt;"Supplier"),0,F526*P526+G526*Q526)</f>
        <v>0</v>
      </c>
      <c r="S526" s="26" t="n">
        <f aca="false">IF(OR($D526="",$J526&lt;&gt;"Own"),0,IFERROR((F526+G526*Settings!$B$13)*INDEX(Workers!$V$5:$V$2004,MATCH($D526,Workers!$A$5:$A$2004,0)),0))</f>
        <v>0</v>
      </c>
      <c r="T526" s="26" t="str">
        <f aca="false">IF($D526="","",O526-R526-S526)</f>
        <v/>
      </c>
    </row>
    <row r="527" customFormat="false" ht="15" hidden="false" customHeight="false" outlineLevel="0" collapsed="false">
      <c r="I527" s="24" t="str">
        <f aca="false">IF($D527="","",IFERROR(INDEX(Workers!$B$5:$B$2004,MATCH($D527,Workers!$A$5:$A$2004,0)),"NOT FOUND"))</f>
        <v/>
      </c>
      <c r="J527" s="24" t="str">
        <f aca="false">IF($D527="","",IFERROR(INDEX(Workers!$C$5:$C$2004,MATCH($D527,Workers!$A$5:$A$2004,0)),""))</f>
        <v/>
      </c>
      <c r="K527" s="24" t="str">
        <f aca="false">IF($D527="","",IFERROR(IF(INDEX(Workers!$D$5:$D$2004,MATCH($D527,Workers!$A$5:$A$2004,0))=0,"",INDEX(Workers!$D$5:$D$2004,MATCH($D527,Workers!$A$5:$A$2004,0))),""))</f>
        <v/>
      </c>
      <c r="L527" s="24" t="str">
        <f aca="false">IF($D527="","",IFERROR(INDEX(Workers!$E$5:$E$2004,MATCH($D527,Workers!$A$5:$A$2004,0)),""))</f>
        <v/>
      </c>
      <c r="M527" s="26" t="str">
        <f aca="false">IF($D527="","",IFERROR(INDEX(ClientRates!$D$5:$D$500,MATCH($B527&amp;"|"&amp;$L527,ClientRates!$A$5:$A$500,0)),0))</f>
        <v/>
      </c>
      <c r="N527" s="26" t="str">
        <f aca="false">IF($D527="","",IFERROR(INDEX(ClientRates!$E$5:$E$500,MATCH($B527&amp;"|"&amp;$L527,ClientRates!$A$5:$A$500,0)),0))</f>
        <v/>
      </c>
      <c r="O527" s="26" t="str">
        <f aca="false">IF($D527="","",F527*M527+G527*N527)</f>
        <v/>
      </c>
      <c r="P527" s="26" t="str">
        <f aca="false">IF(OR($D527="",$J527&lt;&gt;"Supplier"),"",IFERROR(INDEX(SupplierRates!$D$5:$D$500,MATCH($K527&amp;"|"&amp;$L527,SupplierRates!$A$5:$A$500,0)),0))</f>
        <v/>
      </c>
      <c r="Q527" s="26" t="str">
        <f aca="false">IF(OR($D527="",$J527&lt;&gt;"Supplier"),"",IFERROR(INDEX(SupplierRates!$E$5:$E$500,MATCH($K527&amp;"|"&amp;$L527,SupplierRates!$A$5:$A$500,0)),0))</f>
        <v/>
      </c>
      <c r="R527" s="26" t="n">
        <f aca="false">IF(OR($D527="",$J527&lt;&gt;"Supplier"),0,F527*P527+G527*Q527)</f>
        <v>0</v>
      </c>
      <c r="S527" s="26" t="n">
        <f aca="false">IF(OR($D527="",$J527&lt;&gt;"Own"),0,IFERROR((F527+G527*Settings!$B$13)*INDEX(Workers!$V$5:$V$2004,MATCH($D527,Workers!$A$5:$A$2004,0)),0))</f>
        <v>0</v>
      </c>
      <c r="T527" s="26" t="str">
        <f aca="false">IF($D527="","",O527-R527-S527)</f>
        <v/>
      </c>
    </row>
    <row r="528" customFormat="false" ht="15" hidden="false" customHeight="false" outlineLevel="0" collapsed="false">
      <c r="I528" s="24" t="str">
        <f aca="false">IF($D528="","",IFERROR(INDEX(Workers!$B$5:$B$2004,MATCH($D528,Workers!$A$5:$A$2004,0)),"NOT FOUND"))</f>
        <v/>
      </c>
      <c r="J528" s="24" t="str">
        <f aca="false">IF($D528="","",IFERROR(INDEX(Workers!$C$5:$C$2004,MATCH($D528,Workers!$A$5:$A$2004,0)),""))</f>
        <v/>
      </c>
      <c r="K528" s="24" t="str">
        <f aca="false">IF($D528="","",IFERROR(IF(INDEX(Workers!$D$5:$D$2004,MATCH($D528,Workers!$A$5:$A$2004,0))=0,"",INDEX(Workers!$D$5:$D$2004,MATCH($D528,Workers!$A$5:$A$2004,0))),""))</f>
        <v/>
      </c>
      <c r="L528" s="24" t="str">
        <f aca="false">IF($D528="","",IFERROR(INDEX(Workers!$E$5:$E$2004,MATCH($D528,Workers!$A$5:$A$2004,0)),""))</f>
        <v/>
      </c>
      <c r="M528" s="26" t="str">
        <f aca="false">IF($D528="","",IFERROR(INDEX(ClientRates!$D$5:$D$500,MATCH($B528&amp;"|"&amp;$L528,ClientRates!$A$5:$A$500,0)),0))</f>
        <v/>
      </c>
      <c r="N528" s="26" t="str">
        <f aca="false">IF($D528="","",IFERROR(INDEX(ClientRates!$E$5:$E$500,MATCH($B528&amp;"|"&amp;$L528,ClientRates!$A$5:$A$500,0)),0))</f>
        <v/>
      </c>
      <c r="O528" s="26" t="str">
        <f aca="false">IF($D528="","",F528*M528+G528*N528)</f>
        <v/>
      </c>
      <c r="P528" s="26" t="str">
        <f aca="false">IF(OR($D528="",$J528&lt;&gt;"Supplier"),"",IFERROR(INDEX(SupplierRates!$D$5:$D$500,MATCH($K528&amp;"|"&amp;$L528,SupplierRates!$A$5:$A$500,0)),0))</f>
        <v/>
      </c>
      <c r="Q528" s="26" t="str">
        <f aca="false">IF(OR($D528="",$J528&lt;&gt;"Supplier"),"",IFERROR(INDEX(SupplierRates!$E$5:$E$500,MATCH($K528&amp;"|"&amp;$L528,SupplierRates!$A$5:$A$500,0)),0))</f>
        <v/>
      </c>
      <c r="R528" s="26" t="n">
        <f aca="false">IF(OR($D528="",$J528&lt;&gt;"Supplier"),0,F528*P528+G528*Q528)</f>
        <v>0</v>
      </c>
      <c r="S528" s="26" t="n">
        <f aca="false">IF(OR($D528="",$J528&lt;&gt;"Own"),0,IFERROR((F528+G528*Settings!$B$13)*INDEX(Workers!$V$5:$V$2004,MATCH($D528,Workers!$A$5:$A$2004,0)),0))</f>
        <v>0</v>
      </c>
      <c r="T528" s="26" t="str">
        <f aca="false">IF($D528="","",O528-R528-S528)</f>
        <v/>
      </c>
    </row>
    <row r="529" customFormat="false" ht="15" hidden="false" customHeight="false" outlineLevel="0" collapsed="false">
      <c r="I529" s="24" t="str">
        <f aca="false">IF($D529="","",IFERROR(INDEX(Workers!$B$5:$B$2004,MATCH($D529,Workers!$A$5:$A$2004,0)),"NOT FOUND"))</f>
        <v/>
      </c>
      <c r="J529" s="24" t="str">
        <f aca="false">IF($D529="","",IFERROR(INDEX(Workers!$C$5:$C$2004,MATCH($D529,Workers!$A$5:$A$2004,0)),""))</f>
        <v/>
      </c>
      <c r="K529" s="24" t="str">
        <f aca="false">IF($D529="","",IFERROR(IF(INDEX(Workers!$D$5:$D$2004,MATCH($D529,Workers!$A$5:$A$2004,0))=0,"",INDEX(Workers!$D$5:$D$2004,MATCH($D529,Workers!$A$5:$A$2004,0))),""))</f>
        <v/>
      </c>
      <c r="L529" s="24" t="str">
        <f aca="false">IF($D529="","",IFERROR(INDEX(Workers!$E$5:$E$2004,MATCH($D529,Workers!$A$5:$A$2004,0)),""))</f>
        <v/>
      </c>
      <c r="M529" s="26" t="str">
        <f aca="false">IF($D529="","",IFERROR(INDEX(ClientRates!$D$5:$D$500,MATCH($B529&amp;"|"&amp;$L529,ClientRates!$A$5:$A$500,0)),0))</f>
        <v/>
      </c>
      <c r="N529" s="26" t="str">
        <f aca="false">IF($D529="","",IFERROR(INDEX(ClientRates!$E$5:$E$500,MATCH($B529&amp;"|"&amp;$L529,ClientRates!$A$5:$A$500,0)),0))</f>
        <v/>
      </c>
      <c r="O529" s="26" t="str">
        <f aca="false">IF($D529="","",F529*M529+G529*N529)</f>
        <v/>
      </c>
      <c r="P529" s="26" t="str">
        <f aca="false">IF(OR($D529="",$J529&lt;&gt;"Supplier"),"",IFERROR(INDEX(SupplierRates!$D$5:$D$500,MATCH($K529&amp;"|"&amp;$L529,SupplierRates!$A$5:$A$500,0)),0))</f>
        <v/>
      </c>
      <c r="Q529" s="26" t="str">
        <f aca="false">IF(OR($D529="",$J529&lt;&gt;"Supplier"),"",IFERROR(INDEX(SupplierRates!$E$5:$E$500,MATCH($K529&amp;"|"&amp;$L529,SupplierRates!$A$5:$A$500,0)),0))</f>
        <v/>
      </c>
      <c r="R529" s="26" t="n">
        <f aca="false">IF(OR($D529="",$J529&lt;&gt;"Supplier"),0,F529*P529+G529*Q529)</f>
        <v>0</v>
      </c>
      <c r="S529" s="26" t="n">
        <f aca="false">IF(OR($D529="",$J529&lt;&gt;"Own"),0,IFERROR((F529+G529*Settings!$B$13)*INDEX(Workers!$V$5:$V$2004,MATCH($D529,Workers!$A$5:$A$2004,0)),0))</f>
        <v>0</v>
      </c>
      <c r="T529" s="26" t="str">
        <f aca="false">IF($D529="","",O529-R529-S529)</f>
        <v/>
      </c>
    </row>
    <row r="530" customFormat="false" ht="15" hidden="false" customHeight="false" outlineLevel="0" collapsed="false">
      <c r="I530" s="24" t="str">
        <f aca="false">IF($D530="","",IFERROR(INDEX(Workers!$B$5:$B$2004,MATCH($D530,Workers!$A$5:$A$2004,0)),"NOT FOUND"))</f>
        <v/>
      </c>
      <c r="J530" s="24" t="str">
        <f aca="false">IF($D530="","",IFERROR(INDEX(Workers!$C$5:$C$2004,MATCH($D530,Workers!$A$5:$A$2004,0)),""))</f>
        <v/>
      </c>
      <c r="K530" s="24" t="str">
        <f aca="false">IF($D530="","",IFERROR(IF(INDEX(Workers!$D$5:$D$2004,MATCH($D530,Workers!$A$5:$A$2004,0))=0,"",INDEX(Workers!$D$5:$D$2004,MATCH($D530,Workers!$A$5:$A$2004,0))),""))</f>
        <v/>
      </c>
      <c r="L530" s="24" t="str">
        <f aca="false">IF($D530="","",IFERROR(INDEX(Workers!$E$5:$E$2004,MATCH($D530,Workers!$A$5:$A$2004,0)),""))</f>
        <v/>
      </c>
      <c r="M530" s="26" t="str">
        <f aca="false">IF($D530="","",IFERROR(INDEX(ClientRates!$D$5:$D$500,MATCH($B530&amp;"|"&amp;$L530,ClientRates!$A$5:$A$500,0)),0))</f>
        <v/>
      </c>
      <c r="N530" s="26" t="str">
        <f aca="false">IF($D530="","",IFERROR(INDEX(ClientRates!$E$5:$E$500,MATCH($B530&amp;"|"&amp;$L530,ClientRates!$A$5:$A$500,0)),0))</f>
        <v/>
      </c>
      <c r="O530" s="26" t="str">
        <f aca="false">IF($D530="","",F530*M530+G530*N530)</f>
        <v/>
      </c>
      <c r="P530" s="26" t="str">
        <f aca="false">IF(OR($D530="",$J530&lt;&gt;"Supplier"),"",IFERROR(INDEX(SupplierRates!$D$5:$D$500,MATCH($K530&amp;"|"&amp;$L530,SupplierRates!$A$5:$A$500,0)),0))</f>
        <v/>
      </c>
      <c r="Q530" s="26" t="str">
        <f aca="false">IF(OR($D530="",$J530&lt;&gt;"Supplier"),"",IFERROR(INDEX(SupplierRates!$E$5:$E$500,MATCH($K530&amp;"|"&amp;$L530,SupplierRates!$A$5:$A$500,0)),0))</f>
        <v/>
      </c>
      <c r="R530" s="26" t="n">
        <f aca="false">IF(OR($D530="",$J530&lt;&gt;"Supplier"),0,F530*P530+G530*Q530)</f>
        <v>0</v>
      </c>
      <c r="S530" s="26" t="n">
        <f aca="false">IF(OR($D530="",$J530&lt;&gt;"Own"),0,IFERROR((F530+G530*Settings!$B$13)*INDEX(Workers!$V$5:$V$2004,MATCH($D530,Workers!$A$5:$A$2004,0)),0))</f>
        <v>0</v>
      </c>
      <c r="T530" s="26" t="str">
        <f aca="false">IF($D530="","",O530-R530-S530)</f>
        <v/>
      </c>
    </row>
    <row r="531" customFormat="false" ht="15" hidden="false" customHeight="false" outlineLevel="0" collapsed="false">
      <c r="I531" s="24" t="str">
        <f aca="false">IF($D531="","",IFERROR(INDEX(Workers!$B$5:$B$2004,MATCH($D531,Workers!$A$5:$A$2004,0)),"NOT FOUND"))</f>
        <v/>
      </c>
      <c r="J531" s="24" t="str">
        <f aca="false">IF($D531="","",IFERROR(INDEX(Workers!$C$5:$C$2004,MATCH($D531,Workers!$A$5:$A$2004,0)),""))</f>
        <v/>
      </c>
      <c r="K531" s="24" t="str">
        <f aca="false">IF($D531="","",IFERROR(IF(INDEX(Workers!$D$5:$D$2004,MATCH($D531,Workers!$A$5:$A$2004,0))=0,"",INDEX(Workers!$D$5:$D$2004,MATCH($D531,Workers!$A$5:$A$2004,0))),""))</f>
        <v/>
      </c>
      <c r="L531" s="24" t="str">
        <f aca="false">IF($D531="","",IFERROR(INDEX(Workers!$E$5:$E$2004,MATCH($D531,Workers!$A$5:$A$2004,0)),""))</f>
        <v/>
      </c>
      <c r="M531" s="26" t="str">
        <f aca="false">IF($D531="","",IFERROR(INDEX(ClientRates!$D$5:$D$500,MATCH($B531&amp;"|"&amp;$L531,ClientRates!$A$5:$A$500,0)),0))</f>
        <v/>
      </c>
      <c r="N531" s="26" t="str">
        <f aca="false">IF($D531="","",IFERROR(INDEX(ClientRates!$E$5:$E$500,MATCH($B531&amp;"|"&amp;$L531,ClientRates!$A$5:$A$500,0)),0))</f>
        <v/>
      </c>
      <c r="O531" s="26" t="str">
        <f aca="false">IF($D531="","",F531*M531+G531*N531)</f>
        <v/>
      </c>
      <c r="P531" s="26" t="str">
        <f aca="false">IF(OR($D531="",$J531&lt;&gt;"Supplier"),"",IFERROR(INDEX(SupplierRates!$D$5:$D$500,MATCH($K531&amp;"|"&amp;$L531,SupplierRates!$A$5:$A$500,0)),0))</f>
        <v/>
      </c>
      <c r="Q531" s="26" t="str">
        <f aca="false">IF(OR($D531="",$J531&lt;&gt;"Supplier"),"",IFERROR(INDEX(SupplierRates!$E$5:$E$500,MATCH($K531&amp;"|"&amp;$L531,SupplierRates!$A$5:$A$500,0)),0))</f>
        <v/>
      </c>
      <c r="R531" s="26" t="n">
        <f aca="false">IF(OR($D531="",$J531&lt;&gt;"Supplier"),0,F531*P531+G531*Q531)</f>
        <v>0</v>
      </c>
      <c r="S531" s="26" t="n">
        <f aca="false">IF(OR($D531="",$J531&lt;&gt;"Own"),0,IFERROR((F531+G531*Settings!$B$13)*INDEX(Workers!$V$5:$V$2004,MATCH($D531,Workers!$A$5:$A$2004,0)),0))</f>
        <v>0</v>
      </c>
      <c r="T531" s="26" t="str">
        <f aca="false">IF($D531="","",O531-R531-S531)</f>
        <v/>
      </c>
    </row>
    <row r="532" customFormat="false" ht="15" hidden="false" customHeight="false" outlineLevel="0" collapsed="false">
      <c r="I532" s="24" t="str">
        <f aca="false">IF($D532="","",IFERROR(INDEX(Workers!$B$5:$B$2004,MATCH($D532,Workers!$A$5:$A$2004,0)),"NOT FOUND"))</f>
        <v/>
      </c>
      <c r="J532" s="24" t="str">
        <f aca="false">IF($D532="","",IFERROR(INDEX(Workers!$C$5:$C$2004,MATCH($D532,Workers!$A$5:$A$2004,0)),""))</f>
        <v/>
      </c>
      <c r="K532" s="24" t="str">
        <f aca="false">IF($D532="","",IFERROR(IF(INDEX(Workers!$D$5:$D$2004,MATCH($D532,Workers!$A$5:$A$2004,0))=0,"",INDEX(Workers!$D$5:$D$2004,MATCH($D532,Workers!$A$5:$A$2004,0))),""))</f>
        <v/>
      </c>
      <c r="L532" s="24" t="str">
        <f aca="false">IF($D532="","",IFERROR(INDEX(Workers!$E$5:$E$2004,MATCH($D532,Workers!$A$5:$A$2004,0)),""))</f>
        <v/>
      </c>
      <c r="M532" s="26" t="str">
        <f aca="false">IF($D532="","",IFERROR(INDEX(ClientRates!$D$5:$D$500,MATCH($B532&amp;"|"&amp;$L532,ClientRates!$A$5:$A$500,0)),0))</f>
        <v/>
      </c>
      <c r="N532" s="26" t="str">
        <f aca="false">IF($D532="","",IFERROR(INDEX(ClientRates!$E$5:$E$500,MATCH($B532&amp;"|"&amp;$L532,ClientRates!$A$5:$A$500,0)),0))</f>
        <v/>
      </c>
      <c r="O532" s="26" t="str">
        <f aca="false">IF($D532="","",F532*M532+G532*N532)</f>
        <v/>
      </c>
      <c r="P532" s="26" t="str">
        <f aca="false">IF(OR($D532="",$J532&lt;&gt;"Supplier"),"",IFERROR(INDEX(SupplierRates!$D$5:$D$500,MATCH($K532&amp;"|"&amp;$L532,SupplierRates!$A$5:$A$500,0)),0))</f>
        <v/>
      </c>
      <c r="Q532" s="26" t="str">
        <f aca="false">IF(OR($D532="",$J532&lt;&gt;"Supplier"),"",IFERROR(INDEX(SupplierRates!$E$5:$E$500,MATCH($K532&amp;"|"&amp;$L532,SupplierRates!$A$5:$A$500,0)),0))</f>
        <v/>
      </c>
      <c r="R532" s="26" t="n">
        <f aca="false">IF(OR($D532="",$J532&lt;&gt;"Supplier"),0,F532*P532+G532*Q532)</f>
        <v>0</v>
      </c>
      <c r="S532" s="26" t="n">
        <f aca="false">IF(OR($D532="",$J532&lt;&gt;"Own"),0,IFERROR((F532+G532*Settings!$B$13)*INDEX(Workers!$V$5:$V$2004,MATCH($D532,Workers!$A$5:$A$2004,0)),0))</f>
        <v>0</v>
      </c>
      <c r="T532" s="26" t="str">
        <f aca="false">IF($D532="","",O532-R532-S532)</f>
        <v/>
      </c>
    </row>
    <row r="533" customFormat="false" ht="15" hidden="false" customHeight="false" outlineLevel="0" collapsed="false">
      <c r="I533" s="24" t="str">
        <f aca="false">IF($D533="","",IFERROR(INDEX(Workers!$B$5:$B$2004,MATCH($D533,Workers!$A$5:$A$2004,0)),"NOT FOUND"))</f>
        <v/>
      </c>
      <c r="J533" s="24" t="str">
        <f aca="false">IF($D533="","",IFERROR(INDEX(Workers!$C$5:$C$2004,MATCH($D533,Workers!$A$5:$A$2004,0)),""))</f>
        <v/>
      </c>
      <c r="K533" s="24" t="str">
        <f aca="false">IF($D533="","",IFERROR(IF(INDEX(Workers!$D$5:$D$2004,MATCH($D533,Workers!$A$5:$A$2004,0))=0,"",INDEX(Workers!$D$5:$D$2004,MATCH($D533,Workers!$A$5:$A$2004,0))),""))</f>
        <v/>
      </c>
      <c r="L533" s="24" t="str">
        <f aca="false">IF($D533="","",IFERROR(INDEX(Workers!$E$5:$E$2004,MATCH($D533,Workers!$A$5:$A$2004,0)),""))</f>
        <v/>
      </c>
      <c r="M533" s="26" t="str">
        <f aca="false">IF($D533="","",IFERROR(INDEX(ClientRates!$D$5:$D$500,MATCH($B533&amp;"|"&amp;$L533,ClientRates!$A$5:$A$500,0)),0))</f>
        <v/>
      </c>
      <c r="N533" s="26" t="str">
        <f aca="false">IF($D533="","",IFERROR(INDEX(ClientRates!$E$5:$E$500,MATCH($B533&amp;"|"&amp;$L533,ClientRates!$A$5:$A$500,0)),0))</f>
        <v/>
      </c>
      <c r="O533" s="26" t="str">
        <f aca="false">IF($D533="","",F533*M533+G533*N533)</f>
        <v/>
      </c>
      <c r="P533" s="26" t="str">
        <f aca="false">IF(OR($D533="",$J533&lt;&gt;"Supplier"),"",IFERROR(INDEX(SupplierRates!$D$5:$D$500,MATCH($K533&amp;"|"&amp;$L533,SupplierRates!$A$5:$A$500,0)),0))</f>
        <v/>
      </c>
      <c r="Q533" s="26" t="str">
        <f aca="false">IF(OR($D533="",$J533&lt;&gt;"Supplier"),"",IFERROR(INDEX(SupplierRates!$E$5:$E$500,MATCH($K533&amp;"|"&amp;$L533,SupplierRates!$A$5:$A$500,0)),0))</f>
        <v/>
      </c>
      <c r="R533" s="26" t="n">
        <f aca="false">IF(OR($D533="",$J533&lt;&gt;"Supplier"),0,F533*P533+G533*Q533)</f>
        <v>0</v>
      </c>
      <c r="S533" s="26" t="n">
        <f aca="false">IF(OR($D533="",$J533&lt;&gt;"Own"),0,IFERROR((F533+G533*Settings!$B$13)*INDEX(Workers!$V$5:$V$2004,MATCH($D533,Workers!$A$5:$A$2004,0)),0))</f>
        <v>0</v>
      </c>
      <c r="T533" s="26" t="str">
        <f aca="false">IF($D533="","",O533-R533-S533)</f>
        <v/>
      </c>
    </row>
    <row r="534" customFormat="false" ht="15" hidden="false" customHeight="false" outlineLevel="0" collapsed="false">
      <c r="I534" s="24" t="str">
        <f aca="false">IF($D534="","",IFERROR(INDEX(Workers!$B$5:$B$2004,MATCH($D534,Workers!$A$5:$A$2004,0)),"NOT FOUND"))</f>
        <v/>
      </c>
      <c r="J534" s="24" t="str">
        <f aca="false">IF($D534="","",IFERROR(INDEX(Workers!$C$5:$C$2004,MATCH($D534,Workers!$A$5:$A$2004,0)),""))</f>
        <v/>
      </c>
      <c r="K534" s="24" t="str">
        <f aca="false">IF($D534="","",IFERROR(IF(INDEX(Workers!$D$5:$D$2004,MATCH($D534,Workers!$A$5:$A$2004,0))=0,"",INDEX(Workers!$D$5:$D$2004,MATCH($D534,Workers!$A$5:$A$2004,0))),""))</f>
        <v/>
      </c>
      <c r="L534" s="24" t="str">
        <f aca="false">IF($D534="","",IFERROR(INDEX(Workers!$E$5:$E$2004,MATCH($D534,Workers!$A$5:$A$2004,0)),""))</f>
        <v/>
      </c>
      <c r="M534" s="26" t="str">
        <f aca="false">IF($D534="","",IFERROR(INDEX(ClientRates!$D$5:$D$500,MATCH($B534&amp;"|"&amp;$L534,ClientRates!$A$5:$A$500,0)),0))</f>
        <v/>
      </c>
      <c r="N534" s="26" t="str">
        <f aca="false">IF($D534="","",IFERROR(INDEX(ClientRates!$E$5:$E$500,MATCH($B534&amp;"|"&amp;$L534,ClientRates!$A$5:$A$500,0)),0))</f>
        <v/>
      </c>
      <c r="O534" s="26" t="str">
        <f aca="false">IF($D534="","",F534*M534+G534*N534)</f>
        <v/>
      </c>
      <c r="P534" s="26" t="str">
        <f aca="false">IF(OR($D534="",$J534&lt;&gt;"Supplier"),"",IFERROR(INDEX(SupplierRates!$D$5:$D$500,MATCH($K534&amp;"|"&amp;$L534,SupplierRates!$A$5:$A$500,0)),0))</f>
        <v/>
      </c>
      <c r="Q534" s="26" t="str">
        <f aca="false">IF(OR($D534="",$J534&lt;&gt;"Supplier"),"",IFERROR(INDEX(SupplierRates!$E$5:$E$500,MATCH($K534&amp;"|"&amp;$L534,SupplierRates!$A$5:$A$500,0)),0))</f>
        <v/>
      </c>
      <c r="R534" s="26" t="n">
        <f aca="false">IF(OR($D534="",$J534&lt;&gt;"Supplier"),0,F534*P534+G534*Q534)</f>
        <v>0</v>
      </c>
      <c r="S534" s="26" t="n">
        <f aca="false">IF(OR($D534="",$J534&lt;&gt;"Own"),0,IFERROR((F534+G534*Settings!$B$13)*INDEX(Workers!$V$5:$V$2004,MATCH($D534,Workers!$A$5:$A$2004,0)),0))</f>
        <v>0</v>
      </c>
      <c r="T534" s="26" t="str">
        <f aca="false">IF($D534="","",O534-R534-S534)</f>
        <v/>
      </c>
    </row>
    <row r="535" customFormat="false" ht="15" hidden="false" customHeight="false" outlineLevel="0" collapsed="false">
      <c r="I535" s="24" t="str">
        <f aca="false">IF($D535="","",IFERROR(INDEX(Workers!$B$5:$B$2004,MATCH($D535,Workers!$A$5:$A$2004,0)),"NOT FOUND"))</f>
        <v/>
      </c>
      <c r="J535" s="24" t="str">
        <f aca="false">IF($D535="","",IFERROR(INDEX(Workers!$C$5:$C$2004,MATCH($D535,Workers!$A$5:$A$2004,0)),""))</f>
        <v/>
      </c>
      <c r="K535" s="24" t="str">
        <f aca="false">IF($D535="","",IFERROR(IF(INDEX(Workers!$D$5:$D$2004,MATCH($D535,Workers!$A$5:$A$2004,0))=0,"",INDEX(Workers!$D$5:$D$2004,MATCH($D535,Workers!$A$5:$A$2004,0))),""))</f>
        <v/>
      </c>
      <c r="L535" s="24" t="str">
        <f aca="false">IF($D535="","",IFERROR(INDEX(Workers!$E$5:$E$2004,MATCH($D535,Workers!$A$5:$A$2004,0)),""))</f>
        <v/>
      </c>
      <c r="M535" s="26" t="str">
        <f aca="false">IF($D535="","",IFERROR(INDEX(ClientRates!$D$5:$D$500,MATCH($B535&amp;"|"&amp;$L535,ClientRates!$A$5:$A$500,0)),0))</f>
        <v/>
      </c>
      <c r="N535" s="26" t="str">
        <f aca="false">IF($D535="","",IFERROR(INDEX(ClientRates!$E$5:$E$500,MATCH($B535&amp;"|"&amp;$L535,ClientRates!$A$5:$A$500,0)),0))</f>
        <v/>
      </c>
      <c r="O535" s="26" t="str">
        <f aca="false">IF($D535="","",F535*M535+G535*N535)</f>
        <v/>
      </c>
      <c r="P535" s="26" t="str">
        <f aca="false">IF(OR($D535="",$J535&lt;&gt;"Supplier"),"",IFERROR(INDEX(SupplierRates!$D$5:$D$500,MATCH($K535&amp;"|"&amp;$L535,SupplierRates!$A$5:$A$500,0)),0))</f>
        <v/>
      </c>
      <c r="Q535" s="26" t="str">
        <f aca="false">IF(OR($D535="",$J535&lt;&gt;"Supplier"),"",IFERROR(INDEX(SupplierRates!$E$5:$E$500,MATCH($K535&amp;"|"&amp;$L535,SupplierRates!$A$5:$A$500,0)),0))</f>
        <v/>
      </c>
      <c r="R535" s="26" t="n">
        <f aca="false">IF(OR($D535="",$J535&lt;&gt;"Supplier"),0,F535*P535+G535*Q535)</f>
        <v>0</v>
      </c>
      <c r="S535" s="26" t="n">
        <f aca="false">IF(OR($D535="",$J535&lt;&gt;"Own"),0,IFERROR((F535+G535*Settings!$B$13)*INDEX(Workers!$V$5:$V$2004,MATCH($D535,Workers!$A$5:$A$2004,0)),0))</f>
        <v>0</v>
      </c>
      <c r="T535" s="26" t="str">
        <f aca="false">IF($D535="","",O535-R535-S535)</f>
        <v/>
      </c>
    </row>
    <row r="536" customFormat="false" ht="15" hidden="false" customHeight="false" outlineLevel="0" collapsed="false">
      <c r="I536" s="24" t="str">
        <f aca="false">IF($D536="","",IFERROR(INDEX(Workers!$B$5:$B$2004,MATCH($D536,Workers!$A$5:$A$2004,0)),"NOT FOUND"))</f>
        <v/>
      </c>
      <c r="J536" s="24" t="str">
        <f aca="false">IF($D536="","",IFERROR(INDEX(Workers!$C$5:$C$2004,MATCH($D536,Workers!$A$5:$A$2004,0)),""))</f>
        <v/>
      </c>
      <c r="K536" s="24" t="str">
        <f aca="false">IF($D536="","",IFERROR(IF(INDEX(Workers!$D$5:$D$2004,MATCH($D536,Workers!$A$5:$A$2004,0))=0,"",INDEX(Workers!$D$5:$D$2004,MATCH($D536,Workers!$A$5:$A$2004,0))),""))</f>
        <v/>
      </c>
      <c r="L536" s="24" t="str">
        <f aca="false">IF($D536="","",IFERROR(INDEX(Workers!$E$5:$E$2004,MATCH($D536,Workers!$A$5:$A$2004,0)),""))</f>
        <v/>
      </c>
      <c r="M536" s="26" t="str">
        <f aca="false">IF($D536="","",IFERROR(INDEX(ClientRates!$D$5:$D$500,MATCH($B536&amp;"|"&amp;$L536,ClientRates!$A$5:$A$500,0)),0))</f>
        <v/>
      </c>
      <c r="N536" s="26" t="str">
        <f aca="false">IF($D536="","",IFERROR(INDEX(ClientRates!$E$5:$E$500,MATCH($B536&amp;"|"&amp;$L536,ClientRates!$A$5:$A$500,0)),0))</f>
        <v/>
      </c>
      <c r="O536" s="26" t="str">
        <f aca="false">IF($D536="","",F536*M536+G536*N536)</f>
        <v/>
      </c>
      <c r="P536" s="26" t="str">
        <f aca="false">IF(OR($D536="",$J536&lt;&gt;"Supplier"),"",IFERROR(INDEX(SupplierRates!$D$5:$D$500,MATCH($K536&amp;"|"&amp;$L536,SupplierRates!$A$5:$A$500,0)),0))</f>
        <v/>
      </c>
      <c r="Q536" s="26" t="str">
        <f aca="false">IF(OR($D536="",$J536&lt;&gt;"Supplier"),"",IFERROR(INDEX(SupplierRates!$E$5:$E$500,MATCH($K536&amp;"|"&amp;$L536,SupplierRates!$A$5:$A$500,0)),0))</f>
        <v/>
      </c>
      <c r="R536" s="26" t="n">
        <f aca="false">IF(OR($D536="",$J536&lt;&gt;"Supplier"),0,F536*P536+G536*Q536)</f>
        <v>0</v>
      </c>
      <c r="S536" s="26" t="n">
        <f aca="false">IF(OR($D536="",$J536&lt;&gt;"Own"),0,IFERROR((F536+G536*Settings!$B$13)*INDEX(Workers!$V$5:$V$2004,MATCH($D536,Workers!$A$5:$A$2004,0)),0))</f>
        <v>0</v>
      </c>
      <c r="T536" s="26" t="str">
        <f aca="false">IF($D536="","",O536-R536-S536)</f>
        <v/>
      </c>
    </row>
    <row r="537" customFormat="false" ht="15" hidden="false" customHeight="false" outlineLevel="0" collapsed="false">
      <c r="I537" s="24" t="str">
        <f aca="false">IF($D537="","",IFERROR(INDEX(Workers!$B$5:$B$2004,MATCH($D537,Workers!$A$5:$A$2004,0)),"NOT FOUND"))</f>
        <v/>
      </c>
      <c r="J537" s="24" t="str">
        <f aca="false">IF($D537="","",IFERROR(INDEX(Workers!$C$5:$C$2004,MATCH($D537,Workers!$A$5:$A$2004,0)),""))</f>
        <v/>
      </c>
      <c r="K537" s="24" t="str">
        <f aca="false">IF($D537="","",IFERROR(IF(INDEX(Workers!$D$5:$D$2004,MATCH($D537,Workers!$A$5:$A$2004,0))=0,"",INDEX(Workers!$D$5:$D$2004,MATCH($D537,Workers!$A$5:$A$2004,0))),""))</f>
        <v/>
      </c>
      <c r="L537" s="24" t="str">
        <f aca="false">IF($D537="","",IFERROR(INDEX(Workers!$E$5:$E$2004,MATCH($D537,Workers!$A$5:$A$2004,0)),""))</f>
        <v/>
      </c>
      <c r="M537" s="26" t="str">
        <f aca="false">IF($D537="","",IFERROR(INDEX(ClientRates!$D$5:$D$500,MATCH($B537&amp;"|"&amp;$L537,ClientRates!$A$5:$A$500,0)),0))</f>
        <v/>
      </c>
      <c r="N537" s="26" t="str">
        <f aca="false">IF($D537="","",IFERROR(INDEX(ClientRates!$E$5:$E$500,MATCH($B537&amp;"|"&amp;$L537,ClientRates!$A$5:$A$500,0)),0))</f>
        <v/>
      </c>
      <c r="O537" s="26" t="str">
        <f aca="false">IF($D537="","",F537*M537+G537*N537)</f>
        <v/>
      </c>
      <c r="P537" s="26" t="str">
        <f aca="false">IF(OR($D537="",$J537&lt;&gt;"Supplier"),"",IFERROR(INDEX(SupplierRates!$D$5:$D$500,MATCH($K537&amp;"|"&amp;$L537,SupplierRates!$A$5:$A$500,0)),0))</f>
        <v/>
      </c>
      <c r="Q537" s="26" t="str">
        <f aca="false">IF(OR($D537="",$J537&lt;&gt;"Supplier"),"",IFERROR(INDEX(SupplierRates!$E$5:$E$500,MATCH($K537&amp;"|"&amp;$L537,SupplierRates!$A$5:$A$500,0)),0))</f>
        <v/>
      </c>
      <c r="R537" s="26" t="n">
        <f aca="false">IF(OR($D537="",$J537&lt;&gt;"Supplier"),0,F537*P537+G537*Q537)</f>
        <v>0</v>
      </c>
      <c r="S537" s="26" t="n">
        <f aca="false">IF(OR($D537="",$J537&lt;&gt;"Own"),0,IFERROR((F537+G537*Settings!$B$13)*INDEX(Workers!$V$5:$V$2004,MATCH($D537,Workers!$A$5:$A$2004,0)),0))</f>
        <v>0</v>
      </c>
      <c r="T537" s="26" t="str">
        <f aca="false">IF($D537="","",O537-R537-S537)</f>
        <v/>
      </c>
    </row>
    <row r="538" customFormat="false" ht="15" hidden="false" customHeight="false" outlineLevel="0" collapsed="false">
      <c r="I538" s="24" t="str">
        <f aca="false">IF($D538="","",IFERROR(INDEX(Workers!$B$5:$B$2004,MATCH($D538,Workers!$A$5:$A$2004,0)),"NOT FOUND"))</f>
        <v/>
      </c>
      <c r="J538" s="24" t="str">
        <f aca="false">IF($D538="","",IFERROR(INDEX(Workers!$C$5:$C$2004,MATCH($D538,Workers!$A$5:$A$2004,0)),""))</f>
        <v/>
      </c>
      <c r="K538" s="24" t="str">
        <f aca="false">IF($D538="","",IFERROR(IF(INDEX(Workers!$D$5:$D$2004,MATCH($D538,Workers!$A$5:$A$2004,0))=0,"",INDEX(Workers!$D$5:$D$2004,MATCH($D538,Workers!$A$5:$A$2004,0))),""))</f>
        <v/>
      </c>
      <c r="L538" s="24" t="str">
        <f aca="false">IF($D538="","",IFERROR(INDEX(Workers!$E$5:$E$2004,MATCH($D538,Workers!$A$5:$A$2004,0)),""))</f>
        <v/>
      </c>
      <c r="M538" s="26" t="str">
        <f aca="false">IF($D538="","",IFERROR(INDEX(ClientRates!$D$5:$D$500,MATCH($B538&amp;"|"&amp;$L538,ClientRates!$A$5:$A$500,0)),0))</f>
        <v/>
      </c>
      <c r="N538" s="26" t="str">
        <f aca="false">IF($D538="","",IFERROR(INDEX(ClientRates!$E$5:$E$500,MATCH($B538&amp;"|"&amp;$L538,ClientRates!$A$5:$A$500,0)),0))</f>
        <v/>
      </c>
      <c r="O538" s="26" t="str">
        <f aca="false">IF($D538="","",F538*M538+G538*N538)</f>
        <v/>
      </c>
      <c r="P538" s="26" t="str">
        <f aca="false">IF(OR($D538="",$J538&lt;&gt;"Supplier"),"",IFERROR(INDEX(SupplierRates!$D$5:$D$500,MATCH($K538&amp;"|"&amp;$L538,SupplierRates!$A$5:$A$500,0)),0))</f>
        <v/>
      </c>
      <c r="Q538" s="26" t="str">
        <f aca="false">IF(OR($D538="",$J538&lt;&gt;"Supplier"),"",IFERROR(INDEX(SupplierRates!$E$5:$E$500,MATCH($K538&amp;"|"&amp;$L538,SupplierRates!$A$5:$A$500,0)),0))</f>
        <v/>
      </c>
      <c r="R538" s="26" t="n">
        <f aca="false">IF(OR($D538="",$J538&lt;&gt;"Supplier"),0,F538*P538+G538*Q538)</f>
        <v>0</v>
      </c>
      <c r="S538" s="26" t="n">
        <f aca="false">IF(OR($D538="",$J538&lt;&gt;"Own"),0,IFERROR((F538+G538*Settings!$B$13)*INDEX(Workers!$V$5:$V$2004,MATCH($D538,Workers!$A$5:$A$2004,0)),0))</f>
        <v>0</v>
      </c>
      <c r="T538" s="26" t="str">
        <f aca="false">IF($D538="","",O538-R538-S538)</f>
        <v/>
      </c>
    </row>
    <row r="539" customFormat="false" ht="15" hidden="false" customHeight="false" outlineLevel="0" collapsed="false">
      <c r="I539" s="24" t="str">
        <f aca="false">IF($D539="","",IFERROR(INDEX(Workers!$B$5:$B$2004,MATCH($D539,Workers!$A$5:$A$2004,0)),"NOT FOUND"))</f>
        <v/>
      </c>
      <c r="J539" s="24" t="str">
        <f aca="false">IF($D539="","",IFERROR(INDEX(Workers!$C$5:$C$2004,MATCH($D539,Workers!$A$5:$A$2004,0)),""))</f>
        <v/>
      </c>
      <c r="K539" s="24" t="str">
        <f aca="false">IF($D539="","",IFERROR(IF(INDEX(Workers!$D$5:$D$2004,MATCH($D539,Workers!$A$5:$A$2004,0))=0,"",INDEX(Workers!$D$5:$D$2004,MATCH($D539,Workers!$A$5:$A$2004,0))),""))</f>
        <v/>
      </c>
      <c r="L539" s="24" t="str">
        <f aca="false">IF($D539="","",IFERROR(INDEX(Workers!$E$5:$E$2004,MATCH($D539,Workers!$A$5:$A$2004,0)),""))</f>
        <v/>
      </c>
      <c r="M539" s="26" t="str">
        <f aca="false">IF($D539="","",IFERROR(INDEX(ClientRates!$D$5:$D$500,MATCH($B539&amp;"|"&amp;$L539,ClientRates!$A$5:$A$500,0)),0))</f>
        <v/>
      </c>
      <c r="N539" s="26" t="str">
        <f aca="false">IF($D539="","",IFERROR(INDEX(ClientRates!$E$5:$E$500,MATCH($B539&amp;"|"&amp;$L539,ClientRates!$A$5:$A$500,0)),0))</f>
        <v/>
      </c>
      <c r="O539" s="26" t="str">
        <f aca="false">IF($D539="","",F539*M539+G539*N539)</f>
        <v/>
      </c>
      <c r="P539" s="26" t="str">
        <f aca="false">IF(OR($D539="",$J539&lt;&gt;"Supplier"),"",IFERROR(INDEX(SupplierRates!$D$5:$D$500,MATCH($K539&amp;"|"&amp;$L539,SupplierRates!$A$5:$A$500,0)),0))</f>
        <v/>
      </c>
      <c r="Q539" s="26" t="str">
        <f aca="false">IF(OR($D539="",$J539&lt;&gt;"Supplier"),"",IFERROR(INDEX(SupplierRates!$E$5:$E$500,MATCH($K539&amp;"|"&amp;$L539,SupplierRates!$A$5:$A$500,0)),0))</f>
        <v/>
      </c>
      <c r="R539" s="26" t="n">
        <f aca="false">IF(OR($D539="",$J539&lt;&gt;"Supplier"),0,F539*P539+G539*Q539)</f>
        <v>0</v>
      </c>
      <c r="S539" s="26" t="n">
        <f aca="false">IF(OR($D539="",$J539&lt;&gt;"Own"),0,IFERROR((F539+G539*Settings!$B$13)*INDEX(Workers!$V$5:$V$2004,MATCH($D539,Workers!$A$5:$A$2004,0)),0))</f>
        <v>0</v>
      </c>
      <c r="T539" s="26" t="str">
        <f aca="false">IF($D539="","",O539-R539-S539)</f>
        <v/>
      </c>
    </row>
    <row r="540" customFormat="false" ht="15" hidden="false" customHeight="false" outlineLevel="0" collapsed="false">
      <c r="I540" s="24" t="str">
        <f aca="false">IF($D540="","",IFERROR(INDEX(Workers!$B$5:$B$2004,MATCH($D540,Workers!$A$5:$A$2004,0)),"NOT FOUND"))</f>
        <v/>
      </c>
      <c r="J540" s="24" t="str">
        <f aca="false">IF($D540="","",IFERROR(INDEX(Workers!$C$5:$C$2004,MATCH($D540,Workers!$A$5:$A$2004,0)),""))</f>
        <v/>
      </c>
      <c r="K540" s="24" t="str">
        <f aca="false">IF($D540="","",IFERROR(IF(INDEX(Workers!$D$5:$D$2004,MATCH($D540,Workers!$A$5:$A$2004,0))=0,"",INDEX(Workers!$D$5:$D$2004,MATCH($D540,Workers!$A$5:$A$2004,0))),""))</f>
        <v/>
      </c>
      <c r="L540" s="24" t="str">
        <f aca="false">IF($D540="","",IFERROR(INDEX(Workers!$E$5:$E$2004,MATCH($D540,Workers!$A$5:$A$2004,0)),""))</f>
        <v/>
      </c>
      <c r="M540" s="26" t="str">
        <f aca="false">IF($D540="","",IFERROR(INDEX(ClientRates!$D$5:$D$500,MATCH($B540&amp;"|"&amp;$L540,ClientRates!$A$5:$A$500,0)),0))</f>
        <v/>
      </c>
      <c r="N540" s="26" t="str">
        <f aca="false">IF($D540="","",IFERROR(INDEX(ClientRates!$E$5:$E$500,MATCH($B540&amp;"|"&amp;$L540,ClientRates!$A$5:$A$500,0)),0))</f>
        <v/>
      </c>
      <c r="O540" s="26" t="str">
        <f aca="false">IF($D540="","",F540*M540+G540*N540)</f>
        <v/>
      </c>
      <c r="P540" s="26" t="str">
        <f aca="false">IF(OR($D540="",$J540&lt;&gt;"Supplier"),"",IFERROR(INDEX(SupplierRates!$D$5:$D$500,MATCH($K540&amp;"|"&amp;$L540,SupplierRates!$A$5:$A$500,0)),0))</f>
        <v/>
      </c>
      <c r="Q540" s="26" t="str">
        <f aca="false">IF(OR($D540="",$J540&lt;&gt;"Supplier"),"",IFERROR(INDEX(SupplierRates!$E$5:$E$500,MATCH($K540&amp;"|"&amp;$L540,SupplierRates!$A$5:$A$500,0)),0))</f>
        <v/>
      </c>
      <c r="R540" s="26" t="n">
        <f aca="false">IF(OR($D540="",$J540&lt;&gt;"Supplier"),0,F540*P540+G540*Q540)</f>
        <v>0</v>
      </c>
      <c r="S540" s="26" t="n">
        <f aca="false">IF(OR($D540="",$J540&lt;&gt;"Own"),0,IFERROR((F540+G540*Settings!$B$13)*INDEX(Workers!$V$5:$V$2004,MATCH($D540,Workers!$A$5:$A$2004,0)),0))</f>
        <v>0</v>
      </c>
      <c r="T540" s="26" t="str">
        <f aca="false">IF($D540="","",O540-R540-S540)</f>
        <v/>
      </c>
    </row>
    <row r="541" customFormat="false" ht="15" hidden="false" customHeight="false" outlineLevel="0" collapsed="false">
      <c r="I541" s="24" t="str">
        <f aca="false">IF($D541="","",IFERROR(INDEX(Workers!$B$5:$B$2004,MATCH($D541,Workers!$A$5:$A$2004,0)),"NOT FOUND"))</f>
        <v/>
      </c>
      <c r="J541" s="24" t="str">
        <f aca="false">IF($D541="","",IFERROR(INDEX(Workers!$C$5:$C$2004,MATCH($D541,Workers!$A$5:$A$2004,0)),""))</f>
        <v/>
      </c>
      <c r="K541" s="24" t="str">
        <f aca="false">IF($D541="","",IFERROR(IF(INDEX(Workers!$D$5:$D$2004,MATCH($D541,Workers!$A$5:$A$2004,0))=0,"",INDEX(Workers!$D$5:$D$2004,MATCH($D541,Workers!$A$5:$A$2004,0))),""))</f>
        <v/>
      </c>
      <c r="L541" s="24" t="str">
        <f aca="false">IF($D541="","",IFERROR(INDEX(Workers!$E$5:$E$2004,MATCH($D541,Workers!$A$5:$A$2004,0)),""))</f>
        <v/>
      </c>
      <c r="M541" s="26" t="str">
        <f aca="false">IF($D541="","",IFERROR(INDEX(ClientRates!$D$5:$D$500,MATCH($B541&amp;"|"&amp;$L541,ClientRates!$A$5:$A$500,0)),0))</f>
        <v/>
      </c>
      <c r="N541" s="26" t="str">
        <f aca="false">IF($D541="","",IFERROR(INDEX(ClientRates!$E$5:$E$500,MATCH($B541&amp;"|"&amp;$L541,ClientRates!$A$5:$A$500,0)),0))</f>
        <v/>
      </c>
      <c r="O541" s="26" t="str">
        <f aca="false">IF($D541="","",F541*M541+G541*N541)</f>
        <v/>
      </c>
      <c r="P541" s="26" t="str">
        <f aca="false">IF(OR($D541="",$J541&lt;&gt;"Supplier"),"",IFERROR(INDEX(SupplierRates!$D$5:$D$500,MATCH($K541&amp;"|"&amp;$L541,SupplierRates!$A$5:$A$500,0)),0))</f>
        <v/>
      </c>
      <c r="Q541" s="26" t="str">
        <f aca="false">IF(OR($D541="",$J541&lt;&gt;"Supplier"),"",IFERROR(INDEX(SupplierRates!$E$5:$E$500,MATCH($K541&amp;"|"&amp;$L541,SupplierRates!$A$5:$A$500,0)),0))</f>
        <v/>
      </c>
      <c r="R541" s="26" t="n">
        <f aca="false">IF(OR($D541="",$J541&lt;&gt;"Supplier"),0,F541*P541+G541*Q541)</f>
        <v>0</v>
      </c>
      <c r="S541" s="26" t="n">
        <f aca="false">IF(OR($D541="",$J541&lt;&gt;"Own"),0,IFERROR((F541+G541*Settings!$B$13)*INDEX(Workers!$V$5:$V$2004,MATCH($D541,Workers!$A$5:$A$2004,0)),0))</f>
        <v>0</v>
      </c>
      <c r="T541" s="26" t="str">
        <f aca="false">IF($D541="","",O541-R541-S541)</f>
        <v/>
      </c>
    </row>
    <row r="542" customFormat="false" ht="15" hidden="false" customHeight="false" outlineLevel="0" collapsed="false">
      <c r="I542" s="24" t="str">
        <f aca="false">IF($D542="","",IFERROR(INDEX(Workers!$B$5:$B$2004,MATCH($D542,Workers!$A$5:$A$2004,0)),"NOT FOUND"))</f>
        <v/>
      </c>
      <c r="J542" s="24" t="str">
        <f aca="false">IF($D542="","",IFERROR(INDEX(Workers!$C$5:$C$2004,MATCH($D542,Workers!$A$5:$A$2004,0)),""))</f>
        <v/>
      </c>
      <c r="K542" s="24" t="str">
        <f aca="false">IF($D542="","",IFERROR(IF(INDEX(Workers!$D$5:$D$2004,MATCH($D542,Workers!$A$5:$A$2004,0))=0,"",INDEX(Workers!$D$5:$D$2004,MATCH($D542,Workers!$A$5:$A$2004,0))),""))</f>
        <v/>
      </c>
      <c r="L542" s="24" t="str">
        <f aca="false">IF($D542="","",IFERROR(INDEX(Workers!$E$5:$E$2004,MATCH($D542,Workers!$A$5:$A$2004,0)),""))</f>
        <v/>
      </c>
      <c r="M542" s="26" t="str">
        <f aca="false">IF($D542="","",IFERROR(INDEX(ClientRates!$D$5:$D$500,MATCH($B542&amp;"|"&amp;$L542,ClientRates!$A$5:$A$500,0)),0))</f>
        <v/>
      </c>
      <c r="N542" s="26" t="str">
        <f aca="false">IF($D542="","",IFERROR(INDEX(ClientRates!$E$5:$E$500,MATCH($B542&amp;"|"&amp;$L542,ClientRates!$A$5:$A$500,0)),0))</f>
        <v/>
      </c>
      <c r="O542" s="26" t="str">
        <f aca="false">IF($D542="","",F542*M542+G542*N542)</f>
        <v/>
      </c>
      <c r="P542" s="26" t="str">
        <f aca="false">IF(OR($D542="",$J542&lt;&gt;"Supplier"),"",IFERROR(INDEX(SupplierRates!$D$5:$D$500,MATCH($K542&amp;"|"&amp;$L542,SupplierRates!$A$5:$A$500,0)),0))</f>
        <v/>
      </c>
      <c r="Q542" s="26" t="str">
        <f aca="false">IF(OR($D542="",$J542&lt;&gt;"Supplier"),"",IFERROR(INDEX(SupplierRates!$E$5:$E$500,MATCH($K542&amp;"|"&amp;$L542,SupplierRates!$A$5:$A$500,0)),0))</f>
        <v/>
      </c>
      <c r="R542" s="26" t="n">
        <f aca="false">IF(OR($D542="",$J542&lt;&gt;"Supplier"),0,F542*P542+G542*Q542)</f>
        <v>0</v>
      </c>
      <c r="S542" s="26" t="n">
        <f aca="false">IF(OR($D542="",$J542&lt;&gt;"Own"),0,IFERROR((F542+G542*Settings!$B$13)*INDEX(Workers!$V$5:$V$2004,MATCH($D542,Workers!$A$5:$A$2004,0)),0))</f>
        <v>0</v>
      </c>
      <c r="T542" s="26" t="str">
        <f aca="false">IF($D542="","",O542-R542-S542)</f>
        <v/>
      </c>
    </row>
    <row r="543" customFormat="false" ht="15" hidden="false" customHeight="false" outlineLevel="0" collapsed="false">
      <c r="I543" s="24" t="str">
        <f aca="false">IF($D543="","",IFERROR(INDEX(Workers!$B$5:$B$2004,MATCH($D543,Workers!$A$5:$A$2004,0)),"NOT FOUND"))</f>
        <v/>
      </c>
      <c r="J543" s="24" t="str">
        <f aca="false">IF($D543="","",IFERROR(INDEX(Workers!$C$5:$C$2004,MATCH($D543,Workers!$A$5:$A$2004,0)),""))</f>
        <v/>
      </c>
      <c r="K543" s="24" t="str">
        <f aca="false">IF($D543="","",IFERROR(IF(INDEX(Workers!$D$5:$D$2004,MATCH($D543,Workers!$A$5:$A$2004,0))=0,"",INDEX(Workers!$D$5:$D$2004,MATCH($D543,Workers!$A$5:$A$2004,0))),""))</f>
        <v/>
      </c>
      <c r="L543" s="24" t="str">
        <f aca="false">IF($D543="","",IFERROR(INDEX(Workers!$E$5:$E$2004,MATCH($D543,Workers!$A$5:$A$2004,0)),""))</f>
        <v/>
      </c>
      <c r="M543" s="26" t="str">
        <f aca="false">IF($D543="","",IFERROR(INDEX(ClientRates!$D$5:$D$500,MATCH($B543&amp;"|"&amp;$L543,ClientRates!$A$5:$A$500,0)),0))</f>
        <v/>
      </c>
      <c r="N543" s="26" t="str">
        <f aca="false">IF($D543="","",IFERROR(INDEX(ClientRates!$E$5:$E$500,MATCH($B543&amp;"|"&amp;$L543,ClientRates!$A$5:$A$500,0)),0))</f>
        <v/>
      </c>
      <c r="O543" s="26" t="str">
        <f aca="false">IF($D543="","",F543*M543+G543*N543)</f>
        <v/>
      </c>
      <c r="P543" s="26" t="str">
        <f aca="false">IF(OR($D543="",$J543&lt;&gt;"Supplier"),"",IFERROR(INDEX(SupplierRates!$D$5:$D$500,MATCH($K543&amp;"|"&amp;$L543,SupplierRates!$A$5:$A$500,0)),0))</f>
        <v/>
      </c>
      <c r="Q543" s="26" t="str">
        <f aca="false">IF(OR($D543="",$J543&lt;&gt;"Supplier"),"",IFERROR(INDEX(SupplierRates!$E$5:$E$500,MATCH($K543&amp;"|"&amp;$L543,SupplierRates!$A$5:$A$500,0)),0))</f>
        <v/>
      </c>
      <c r="R543" s="26" t="n">
        <f aca="false">IF(OR($D543="",$J543&lt;&gt;"Supplier"),0,F543*P543+G543*Q543)</f>
        <v>0</v>
      </c>
      <c r="S543" s="26" t="n">
        <f aca="false">IF(OR($D543="",$J543&lt;&gt;"Own"),0,IFERROR((F543+G543*Settings!$B$13)*INDEX(Workers!$V$5:$V$2004,MATCH($D543,Workers!$A$5:$A$2004,0)),0))</f>
        <v>0</v>
      </c>
      <c r="T543" s="26" t="str">
        <f aca="false">IF($D543="","",O543-R543-S543)</f>
        <v/>
      </c>
    </row>
    <row r="544" customFormat="false" ht="15" hidden="false" customHeight="false" outlineLevel="0" collapsed="false">
      <c r="I544" s="24" t="str">
        <f aca="false">IF($D544="","",IFERROR(INDEX(Workers!$B$5:$B$2004,MATCH($D544,Workers!$A$5:$A$2004,0)),"NOT FOUND"))</f>
        <v/>
      </c>
      <c r="J544" s="24" t="str">
        <f aca="false">IF($D544="","",IFERROR(INDEX(Workers!$C$5:$C$2004,MATCH($D544,Workers!$A$5:$A$2004,0)),""))</f>
        <v/>
      </c>
      <c r="K544" s="24" t="str">
        <f aca="false">IF($D544="","",IFERROR(IF(INDEX(Workers!$D$5:$D$2004,MATCH($D544,Workers!$A$5:$A$2004,0))=0,"",INDEX(Workers!$D$5:$D$2004,MATCH($D544,Workers!$A$5:$A$2004,0))),""))</f>
        <v/>
      </c>
      <c r="L544" s="24" t="str">
        <f aca="false">IF($D544="","",IFERROR(INDEX(Workers!$E$5:$E$2004,MATCH($D544,Workers!$A$5:$A$2004,0)),""))</f>
        <v/>
      </c>
      <c r="M544" s="26" t="str">
        <f aca="false">IF($D544="","",IFERROR(INDEX(ClientRates!$D$5:$D$500,MATCH($B544&amp;"|"&amp;$L544,ClientRates!$A$5:$A$500,0)),0))</f>
        <v/>
      </c>
      <c r="N544" s="26" t="str">
        <f aca="false">IF($D544="","",IFERROR(INDEX(ClientRates!$E$5:$E$500,MATCH($B544&amp;"|"&amp;$L544,ClientRates!$A$5:$A$500,0)),0))</f>
        <v/>
      </c>
      <c r="O544" s="26" t="str">
        <f aca="false">IF($D544="","",F544*M544+G544*N544)</f>
        <v/>
      </c>
      <c r="P544" s="26" t="str">
        <f aca="false">IF(OR($D544="",$J544&lt;&gt;"Supplier"),"",IFERROR(INDEX(SupplierRates!$D$5:$D$500,MATCH($K544&amp;"|"&amp;$L544,SupplierRates!$A$5:$A$500,0)),0))</f>
        <v/>
      </c>
      <c r="Q544" s="26" t="str">
        <f aca="false">IF(OR($D544="",$J544&lt;&gt;"Supplier"),"",IFERROR(INDEX(SupplierRates!$E$5:$E$500,MATCH($K544&amp;"|"&amp;$L544,SupplierRates!$A$5:$A$500,0)),0))</f>
        <v/>
      </c>
      <c r="R544" s="26" t="n">
        <f aca="false">IF(OR($D544="",$J544&lt;&gt;"Supplier"),0,F544*P544+G544*Q544)</f>
        <v>0</v>
      </c>
      <c r="S544" s="26" t="n">
        <f aca="false">IF(OR($D544="",$J544&lt;&gt;"Own"),0,IFERROR((F544+G544*Settings!$B$13)*INDEX(Workers!$V$5:$V$2004,MATCH($D544,Workers!$A$5:$A$2004,0)),0))</f>
        <v>0</v>
      </c>
      <c r="T544" s="26" t="str">
        <f aca="false">IF($D544="","",O544-R544-S544)</f>
        <v/>
      </c>
    </row>
    <row r="545" customFormat="false" ht="15" hidden="false" customHeight="false" outlineLevel="0" collapsed="false">
      <c r="I545" s="24" t="str">
        <f aca="false">IF($D545="","",IFERROR(INDEX(Workers!$B$5:$B$2004,MATCH($D545,Workers!$A$5:$A$2004,0)),"NOT FOUND"))</f>
        <v/>
      </c>
      <c r="J545" s="24" t="str">
        <f aca="false">IF($D545="","",IFERROR(INDEX(Workers!$C$5:$C$2004,MATCH($D545,Workers!$A$5:$A$2004,0)),""))</f>
        <v/>
      </c>
      <c r="K545" s="24" t="str">
        <f aca="false">IF($D545="","",IFERROR(IF(INDEX(Workers!$D$5:$D$2004,MATCH($D545,Workers!$A$5:$A$2004,0))=0,"",INDEX(Workers!$D$5:$D$2004,MATCH($D545,Workers!$A$5:$A$2004,0))),""))</f>
        <v/>
      </c>
      <c r="L545" s="24" t="str">
        <f aca="false">IF($D545="","",IFERROR(INDEX(Workers!$E$5:$E$2004,MATCH($D545,Workers!$A$5:$A$2004,0)),""))</f>
        <v/>
      </c>
      <c r="M545" s="26" t="str">
        <f aca="false">IF($D545="","",IFERROR(INDEX(ClientRates!$D$5:$D$500,MATCH($B545&amp;"|"&amp;$L545,ClientRates!$A$5:$A$500,0)),0))</f>
        <v/>
      </c>
      <c r="N545" s="26" t="str">
        <f aca="false">IF($D545="","",IFERROR(INDEX(ClientRates!$E$5:$E$500,MATCH($B545&amp;"|"&amp;$L545,ClientRates!$A$5:$A$500,0)),0))</f>
        <v/>
      </c>
      <c r="O545" s="26" t="str">
        <f aca="false">IF($D545="","",F545*M545+G545*N545)</f>
        <v/>
      </c>
      <c r="P545" s="26" t="str">
        <f aca="false">IF(OR($D545="",$J545&lt;&gt;"Supplier"),"",IFERROR(INDEX(SupplierRates!$D$5:$D$500,MATCH($K545&amp;"|"&amp;$L545,SupplierRates!$A$5:$A$500,0)),0))</f>
        <v/>
      </c>
      <c r="Q545" s="26" t="str">
        <f aca="false">IF(OR($D545="",$J545&lt;&gt;"Supplier"),"",IFERROR(INDEX(SupplierRates!$E$5:$E$500,MATCH($K545&amp;"|"&amp;$L545,SupplierRates!$A$5:$A$500,0)),0))</f>
        <v/>
      </c>
      <c r="R545" s="26" t="n">
        <f aca="false">IF(OR($D545="",$J545&lt;&gt;"Supplier"),0,F545*P545+G545*Q545)</f>
        <v>0</v>
      </c>
      <c r="S545" s="26" t="n">
        <f aca="false">IF(OR($D545="",$J545&lt;&gt;"Own"),0,IFERROR((F545+G545*Settings!$B$13)*INDEX(Workers!$V$5:$V$2004,MATCH($D545,Workers!$A$5:$A$2004,0)),0))</f>
        <v>0</v>
      </c>
      <c r="T545" s="26" t="str">
        <f aca="false">IF($D545="","",O545-R545-S545)</f>
        <v/>
      </c>
    </row>
    <row r="546" customFormat="false" ht="15" hidden="false" customHeight="false" outlineLevel="0" collapsed="false">
      <c r="I546" s="24" t="str">
        <f aca="false">IF($D546="","",IFERROR(INDEX(Workers!$B$5:$B$2004,MATCH($D546,Workers!$A$5:$A$2004,0)),"NOT FOUND"))</f>
        <v/>
      </c>
      <c r="J546" s="24" t="str">
        <f aca="false">IF($D546="","",IFERROR(INDEX(Workers!$C$5:$C$2004,MATCH($D546,Workers!$A$5:$A$2004,0)),""))</f>
        <v/>
      </c>
      <c r="K546" s="24" t="str">
        <f aca="false">IF($D546="","",IFERROR(IF(INDEX(Workers!$D$5:$D$2004,MATCH($D546,Workers!$A$5:$A$2004,0))=0,"",INDEX(Workers!$D$5:$D$2004,MATCH($D546,Workers!$A$5:$A$2004,0))),""))</f>
        <v/>
      </c>
      <c r="L546" s="24" t="str">
        <f aca="false">IF($D546="","",IFERROR(INDEX(Workers!$E$5:$E$2004,MATCH($D546,Workers!$A$5:$A$2004,0)),""))</f>
        <v/>
      </c>
      <c r="M546" s="26" t="str">
        <f aca="false">IF($D546="","",IFERROR(INDEX(ClientRates!$D$5:$D$500,MATCH($B546&amp;"|"&amp;$L546,ClientRates!$A$5:$A$500,0)),0))</f>
        <v/>
      </c>
      <c r="N546" s="26" t="str">
        <f aca="false">IF($D546="","",IFERROR(INDEX(ClientRates!$E$5:$E$500,MATCH($B546&amp;"|"&amp;$L546,ClientRates!$A$5:$A$500,0)),0))</f>
        <v/>
      </c>
      <c r="O546" s="26" t="str">
        <f aca="false">IF($D546="","",F546*M546+G546*N546)</f>
        <v/>
      </c>
      <c r="P546" s="26" t="str">
        <f aca="false">IF(OR($D546="",$J546&lt;&gt;"Supplier"),"",IFERROR(INDEX(SupplierRates!$D$5:$D$500,MATCH($K546&amp;"|"&amp;$L546,SupplierRates!$A$5:$A$500,0)),0))</f>
        <v/>
      </c>
      <c r="Q546" s="26" t="str">
        <f aca="false">IF(OR($D546="",$J546&lt;&gt;"Supplier"),"",IFERROR(INDEX(SupplierRates!$E$5:$E$500,MATCH($K546&amp;"|"&amp;$L546,SupplierRates!$A$5:$A$500,0)),0))</f>
        <v/>
      </c>
      <c r="R546" s="26" t="n">
        <f aca="false">IF(OR($D546="",$J546&lt;&gt;"Supplier"),0,F546*P546+G546*Q546)</f>
        <v>0</v>
      </c>
      <c r="S546" s="26" t="n">
        <f aca="false">IF(OR($D546="",$J546&lt;&gt;"Own"),0,IFERROR((F546+G546*Settings!$B$13)*INDEX(Workers!$V$5:$V$2004,MATCH($D546,Workers!$A$5:$A$2004,0)),0))</f>
        <v>0</v>
      </c>
      <c r="T546" s="26" t="str">
        <f aca="false">IF($D546="","",O546-R546-S546)</f>
        <v/>
      </c>
    </row>
    <row r="547" customFormat="false" ht="15" hidden="false" customHeight="false" outlineLevel="0" collapsed="false">
      <c r="I547" s="24" t="str">
        <f aca="false">IF($D547="","",IFERROR(INDEX(Workers!$B$5:$B$2004,MATCH($D547,Workers!$A$5:$A$2004,0)),"NOT FOUND"))</f>
        <v/>
      </c>
      <c r="J547" s="24" t="str">
        <f aca="false">IF($D547="","",IFERROR(INDEX(Workers!$C$5:$C$2004,MATCH($D547,Workers!$A$5:$A$2004,0)),""))</f>
        <v/>
      </c>
      <c r="K547" s="24" t="str">
        <f aca="false">IF($D547="","",IFERROR(IF(INDEX(Workers!$D$5:$D$2004,MATCH($D547,Workers!$A$5:$A$2004,0))=0,"",INDEX(Workers!$D$5:$D$2004,MATCH($D547,Workers!$A$5:$A$2004,0))),""))</f>
        <v/>
      </c>
      <c r="L547" s="24" t="str">
        <f aca="false">IF($D547="","",IFERROR(INDEX(Workers!$E$5:$E$2004,MATCH($D547,Workers!$A$5:$A$2004,0)),""))</f>
        <v/>
      </c>
      <c r="M547" s="26" t="str">
        <f aca="false">IF($D547="","",IFERROR(INDEX(ClientRates!$D$5:$D$500,MATCH($B547&amp;"|"&amp;$L547,ClientRates!$A$5:$A$500,0)),0))</f>
        <v/>
      </c>
      <c r="N547" s="26" t="str">
        <f aca="false">IF($D547="","",IFERROR(INDEX(ClientRates!$E$5:$E$500,MATCH($B547&amp;"|"&amp;$L547,ClientRates!$A$5:$A$500,0)),0))</f>
        <v/>
      </c>
      <c r="O547" s="26" t="str">
        <f aca="false">IF($D547="","",F547*M547+G547*N547)</f>
        <v/>
      </c>
      <c r="P547" s="26" t="str">
        <f aca="false">IF(OR($D547="",$J547&lt;&gt;"Supplier"),"",IFERROR(INDEX(SupplierRates!$D$5:$D$500,MATCH($K547&amp;"|"&amp;$L547,SupplierRates!$A$5:$A$500,0)),0))</f>
        <v/>
      </c>
      <c r="Q547" s="26" t="str">
        <f aca="false">IF(OR($D547="",$J547&lt;&gt;"Supplier"),"",IFERROR(INDEX(SupplierRates!$E$5:$E$500,MATCH($K547&amp;"|"&amp;$L547,SupplierRates!$A$5:$A$500,0)),0))</f>
        <v/>
      </c>
      <c r="R547" s="26" t="n">
        <f aca="false">IF(OR($D547="",$J547&lt;&gt;"Supplier"),0,F547*P547+G547*Q547)</f>
        <v>0</v>
      </c>
      <c r="S547" s="26" t="n">
        <f aca="false">IF(OR($D547="",$J547&lt;&gt;"Own"),0,IFERROR((F547+G547*Settings!$B$13)*INDEX(Workers!$V$5:$V$2004,MATCH($D547,Workers!$A$5:$A$2004,0)),0))</f>
        <v>0</v>
      </c>
      <c r="T547" s="26" t="str">
        <f aca="false">IF($D547="","",O547-R547-S547)</f>
        <v/>
      </c>
    </row>
    <row r="548" customFormat="false" ht="15" hidden="false" customHeight="false" outlineLevel="0" collapsed="false">
      <c r="I548" s="24" t="str">
        <f aca="false">IF($D548="","",IFERROR(INDEX(Workers!$B$5:$B$2004,MATCH($D548,Workers!$A$5:$A$2004,0)),"NOT FOUND"))</f>
        <v/>
      </c>
      <c r="J548" s="24" t="str">
        <f aca="false">IF($D548="","",IFERROR(INDEX(Workers!$C$5:$C$2004,MATCH($D548,Workers!$A$5:$A$2004,0)),""))</f>
        <v/>
      </c>
      <c r="K548" s="24" t="str">
        <f aca="false">IF($D548="","",IFERROR(IF(INDEX(Workers!$D$5:$D$2004,MATCH($D548,Workers!$A$5:$A$2004,0))=0,"",INDEX(Workers!$D$5:$D$2004,MATCH($D548,Workers!$A$5:$A$2004,0))),""))</f>
        <v/>
      </c>
      <c r="L548" s="24" t="str">
        <f aca="false">IF($D548="","",IFERROR(INDEX(Workers!$E$5:$E$2004,MATCH($D548,Workers!$A$5:$A$2004,0)),""))</f>
        <v/>
      </c>
      <c r="M548" s="26" t="str">
        <f aca="false">IF($D548="","",IFERROR(INDEX(ClientRates!$D$5:$D$500,MATCH($B548&amp;"|"&amp;$L548,ClientRates!$A$5:$A$500,0)),0))</f>
        <v/>
      </c>
      <c r="N548" s="26" t="str">
        <f aca="false">IF($D548="","",IFERROR(INDEX(ClientRates!$E$5:$E$500,MATCH($B548&amp;"|"&amp;$L548,ClientRates!$A$5:$A$500,0)),0))</f>
        <v/>
      </c>
      <c r="O548" s="26" t="str">
        <f aca="false">IF($D548="","",F548*M548+G548*N548)</f>
        <v/>
      </c>
      <c r="P548" s="26" t="str">
        <f aca="false">IF(OR($D548="",$J548&lt;&gt;"Supplier"),"",IFERROR(INDEX(SupplierRates!$D$5:$D$500,MATCH($K548&amp;"|"&amp;$L548,SupplierRates!$A$5:$A$500,0)),0))</f>
        <v/>
      </c>
      <c r="Q548" s="26" t="str">
        <f aca="false">IF(OR($D548="",$J548&lt;&gt;"Supplier"),"",IFERROR(INDEX(SupplierRates!$E$5:$E$500,MATCH($K548&amp;"|"&amp;$L548,SupplierRates!$A$5:$A$500,0)),0))</f>
        <v/>
      </c>
      <c r="R548" s="26" t="n">
        <f aca="false">IF(OR($D548="",$J548&lt;&gt;"Supplier"),0,F548*P548+G548*Q548)</f>
        <v>0</v>
      </c>
      <c r="S548" s="26" t="n">
        <f aca="false">IF(OR($D548="",$J548&lt;&gt;"Own"),0,IFERROR((F548+G548*Settings!$B$13)*INDEX(Workers!$V$5:$V$2004,MATCH($D548,Workers!$A$5:$A$2004,0)),0))</f>
        <v>0</v>
      </c>
      <c r="T548" s="26" t="str">
        <f aca="false">IF($D548="","",O548-R548-S548)</f>
        <v/>
      </c>
    </row>
    <row r="549" customFormat="false" ht="15" hidden="false" customHeight="false" outlineLevel="0" collapsed="false">
      <c r="I549" s="24" t="str">
        <f aca="false">IF($D549="","",IFERROR(INDEX(Workers!$B$5:$B$2004,MATCH($D549,Workers!$A$5:$A$2004,0)),"NOT FOUND"))</f>
        <v/>
      </c>
      <c r="J549" s="24" t="str">
        <f aca="false">IF($D549="","",IFERROR(INDEX(Workers!$C$5:$C$2004,MATCH($D549,Workers!$A$5:$A$2004,0)),""))</f>
        <v/>
      </c>
      <c r="K549" s="24" t="str">
        <f aca="false">IF($D549="","",IFERROR(IF(INDEX(Workers!$D$5:$D$2004,MATCH($D549,Workers!$A$5:$A$2004,0))=0,"",INDEX(Workers!$D$5:$D$2004,MATCH($D549,Workers!$A$5:$A$2004,0))),""))</f>
        <v/>
      </c>
      <c r="L549" s="24" t="str">
        <f aca="false">IF($D549="","",IFERROR(INDEX(Workers!$E$5:$E$2004,MATCH($D549,Workers!$A$5:$A$2004,0)),""))</f>
        <v/>
      </c>
      <c r="M549" s="26" t="str">
        <f aca="false">IF($D549="","",IFERROR(INDEX(ClientRates!$D$5:$D$500,MATCH($B549&amp;"|"&amp;$L549,ClientRates!$A$5:$A$500,0)),0))</f>
        <v/>
      </c>
      <c r="N549" s="26" t="str">
        <f aca="false">IF($D549="","",IFERROR(INDEX(ClientRates!$E$5:$E$500,MATCH($B549&amp;"|"&amp;$L549,ClientRates!$A$5:$A$500,0)),0))</f>
        <v/>
      </c>
      <c r="O549" s="26" t="str">
        <f aca="false">IF($D549="","",F549*M549+G549*N549)</f>
        <v/>
      </c>
      <c r="P549" s="26" t="str">
        <f aca="false">IF(OR($D549="",$J549&lt;&gt;"Supplier"),"",IFERROR(INDEX(SupplierRates!$D$5:$D$500,MATCH($K549&amp;"|"&amp;$L549,SupplierRates!$A$5:$A$500,0)),0))</f>
        <v/>
      </c>
      <c r="Q549" s="26" t="str">
        <f aca="false">IF(OR($D549="",$J549&lt;&gt;"Supplier"),"",IFERROR(INDEX(SupplierRates!$E$5:$E$500,MATCH($K549&amp;"|"&amp;$L549,SupplierRates!$A$5:$A$500,0)),0))</f>
        <v/>
      </c>
      <c r="R549" s="26" t="n">
        <f aca="false">IF(OR($D549="",$J549&lt;&gt;"Supplier"),0,F549*P549+G549*Q549)</f>
        <v>0</v>
      </c>
      <c r="S549" s="26" t="n">
        <f aca="false">IF(OR($D549="",$J549&lt;&gt;"Own"),0,IFERROR((F549+G549*Settings!$B$13)*INDEX(Workers!$V$5:$V$2004,MATCH($D549,Workers!$A$5:$A$2004,0)),0))</f>
        <v>0</v>
      </c>
      <c r="T549" s="26" t="str">
        <f aca="false">IF($D549="","",O549-R549-S549)</f>
        <v/>
      </c>
    </row>
    <row r="550" customFormat="false" ht="15" hidden="false" customHeight="false" outlineLevel="0" collapsed="false">
      <c r="I550" s="24" t="str">
        <f aca="false">IF($D550="","",IFERROR(INDEX(Workers!$B$5:$B$2004,MATCH($D550,Workers!$A$5:$A$2004,0)),"NOT FOUND"))</f>
        <v/>
      </c>
      <c r="J550" s="24" t="str">
        <f aca="false">IF($D550="","",IFERROR(INDEX(Workers!$C$5:$C$2004,MATCH($D550,Workers!$A$5:$A$2004,0)),""))</f>
        <v/>
      </c>
      <c r="K550" s="24" t="str">
        <f aca="false">IF($D550="","",IFERROR(IF(INDEX(Workers!$D$5:$D$2004,MATCH($D550,Workers!$A$5:$A$2004,0))=0,"",INDEX(Workers!$D$5:$D$2004,MATCH($D550,Workers!$A$5:$A$2004,0))),""))</f>
        <v/>
      </c>
      <c r="L550" s="24" t="str">
        <f aca="false">IF($D550="","",IFERROR(INDEX(Workers!$E$5:$E$2004,MATCH($D550,Workers!$A$5:$A$2004,0)),""))</f>
        <v/>
      </c>
      <c r="M550" s="26" t="str">
        <f aca="false">IF($D550="","",IFERROR(INDEX(ClientRates!$D$5:$D$500,MATCH($B550&amp;"|"&amp;$L550,ClientRates!$A$5:$A$500,0)),0))</f>
        <v/>
      </c>
      <c r="N550" s="26" t="str">
        <f aca="false">IF($D550="","",IFERROR(INDEX(ClientRates!$E$5:$E$500,MATCH($B550&amp;"|"&amp;$L550,ClientRates!$A$5:$A$500,0)),0))</f>
        <v/>
      </c>
      <c r="O550" s="26" t="str">
        <f aca="false">IF($D550="","",F550*M550+G550*N550)</f>
        <v/>
      </c>
      <c r="P550" s="26" t="str">
        <f aca="false">IF(OR($D550="",$J550&lt;&gt;"Supplier"),"",IFERROR(INDEX(SupplierRates!$D$5:$D$500,MATCH($K550&amp;"|"&amp;$L550,SupplierRates!$A$5:$A$500,0)),0))</f>
        <v/>
      </c>
      <c r="Q550" s="26" t="str">
        <f aca="false">IF(OR($D550="",$J550&lt;&gt;"Supplier"),"",IFERROR(INDEX(SupplierRates!$E$5:$E$500,MATCH($K550&amp;"|"&amp;$L550,SupplierRates!$A$5:$A$500,0)),0))</f>
        <v/>
      </c>
      <c r="R550" s="26" t="n">
        <f aca="false">IF(OR($D550="",$J550&lt;&gt;"Supplier"),0,F550*P550+G550*Q550)</f>
        <v>0</v>
      </c>
      <c r="S550" s="26" t="n">
        <f aca="false">IF(OR($D550="",$J550&lt;&gt;"Own"),0,IFERROR((F550+G550*Settings!$B$13)*INDEX(Workers!$V$5:$V$2004,MATCH($D550,Workers!$A$5:$A$2004,0)),0))</f>
        <v>0</v>
      </c>
      <c r="T550" s="26" t="str">
        <f aca="false">IF($D550="","",O550-R550-S550)</f>
        <v/>
      </c>
    </row>
    <row r="551" customFormat="false" ht="15" hidden="false" customHeight="false" outlineLevel="0" collapsed="false">
      <c r="I551" s="24" t="str">
        <f aca="false">IF($D551="","",IFERROR(INDEX(Workers!$B$5:$B$2004,MATCH($D551,Workers!$A$5:$A$2004,0)),"NOT FOUND"))</f>
        <v/>
      </c>
      <c r="J551" s="24" t="str">
        <f aca="false">IF($D551="","",IFERROR(INDEX(Workers!$C$5:$C$2004,MATCH($D551,Workers!$A$5:$A$2004,0)),""))</f>
        <v/>
      </c>
      <c r="K551" s="24" t="str">
        <f aca="false">IF($D551="","",IFERROR(IF(INDEX(Workers!$D$5:$D$2004,MATCH($D551,Workers!$A$5:$A$2004,0))=0,"",INDEX(Workers!$D$5:$D$2004,MATCH($D551,Workers!$A$5:$A$2004,0))),""))</f>
        <v/>
      </c>
      <c r="L551" s="24" t="str">
        <f aca="false">IF($D551="","",IFERROR(INDEX(Workers!$E$5:$E$2004,MATCH($D551,Workers!$A$5:$A$2004,0)),""))</f>
        <v/>
      </c>
      <c r="M551" s="26" t="str">
        <f aca="false">IF($D551="","",IFERROR(INDEX(ClientRates!$D$5:$D$500,MATCH($B551&amp;"|"&amp;$L551,ClientRates!$A$5:$A$500,0)),0))</f>
        <v/>
      </c>
      <c r="N551" s="26" t="str">
        <f aca="false">IF($D551="","",IFERROR(INDEX(ClientRates!$E$5:$E$500,MATCH($B551&amp;"|"&amp;$L551,ClientRates!$A$5:$A$500,0)),0))</f>
        <v/>
      </c>
      <c r="O551" s="26" t="str">
        <f aca="false">IF($D551="","",F551*M551+G551*N551)</f>
        <v/>
      </c>
      <c r="P551" s="26" t="str">
        <f aca="false">IF(OR($D551="",$J551&lt;&gt;"Supplier"),"",IFERROR(INDEX(SupplierRates!$D$5:$D$500,MATCH($K551&amp;"|"&amp;$L551,SupplierRates!$A$5:$A$500,0)),0))</f>
        <v/>
      </c>
      <c r="Q551" s="26" t="str">
        <f aca="false">IF(OR($D551="",$J551&lt;&gt;"Supplier"),"",IFERROR(INDEX(SupplierRates!$E$5:$E$500,MATCH($K551&amp;"|"&amp;$L551,SupplierRates!$A$5:$A$500,0)),0))</f>
        <v/>
      </c>
      <c r="R551" s="26" t="n">
        <f aca="false">IF(OR($D551="",$J551&lt;&gt;"Supplier"),0,F551*P551+G551*Q551)</f>
        <v>0</v>
      </c>
      <c r="S551" s="26" t="n">
        <f aca="false">IF(OR($D551="",$J551&lt;&gt;"Own"),0,IFERROR((F551+G551*Settings!$B$13)*INDEX(Workers!$V$5:$V$2004,MATCH($D551,Workers!$A$5:$A$2004,0)),0))</f>
        <v>0</v>
      </c>
      <c r="T551" s="26" t="str">
        <f aca="false">IF($D551="","",O551-R551-S551)</f>
        <v/>
      </c>
    </row>
    <row r="552" customFormat="false" ht="15" hidden="false" customHeight="false" outlineLevel="0" collapsed="false">
      <c r="I552" s="24" t="str">
        <f aca="false">IF($D552="","",IFERROR(INDEX(Workers!$B$5:$B$2004,MATCH($D552,Workers!$A$5:$A$2004,0)),"NOT FOUND"))</f>
        <v/>
      </c>
      <c r="J552" s="24" t="str">
        <f aca="false">IF($D552="","",IFERROR(INDEX(Workers!$C$5:$C$2004,MATCH($D552,Workers!$A$5:$A$2004,0)),""))</f>
        <v/>
      </c>
      <c r="K552" s="24" t="str">
        <f aca="false">IF($D552="","",IFERROR(IF(INDEX(Workers!$D$5:$D$2004,MATCH($D552,Workers!$A$5:$A$2004,0))=0,"",INDEX(Workers!$D$5:$D$2004,MATCH($D552,Workers!$A$5:$A$2004,0))),""))</f>
        <v/>
      </c>
      <c r="L552" s="24" t="str">
        <f aca="false">IF($D552="","",IFERROR(INDEX(Workers!$E$5:$E$2004,MATCH($D552,Workers!$A$5:$A$2004,0)),""))</f>
        <v/>
      </c>
      <c r="M552" s="26" t="str">
        <f aca="false">IF($D552="","",IFERROR(INDEX(ClientRates!$D$5:$D$500,MATCH($B552&amp;"|"&amp;$L552,ClientRates!$A$5:$A$500,0)),0))</f>
        <v/>
      </c>
      <c r="N552" s="26" t="str">
        <f aca="false">IF($D552="","",IFERROR(INDEX(ClientRates!$E$5:$E$500,MATCH($B552&amp;"|"&amp;$L552,ClientRates!$A$5:$A$500,0)),0))</f>
        <v/>
      </c>
      <c r="O552" s="26" t="str">
        <f aca="false">IF($D552="","",F552*M552+G552*N552)</f>
        <v/>
      </c>
      <c r="P552" s="26" t="str">
        <f aca="false">IF(OR($D552="",$J552&lt;&gt;"Supplier"),"",IFERROR(INDEX(SupplierRates!$D$5:$D$500,MATCH($K552&amp;"|"&amp;$L552,SupplierRates!$A$5:$A$500,0)),0))</f>
        <v/>
      </c>
      <c r="Q552" s="26" t="str">
        <f aca="false">IF(OR($D552="",$J552&lt;&gt;"Supplier"),"",IFERROR(INDEX(SupplierRates!$E$5:$E$500,MATCH($K552&amp;"|"&amp;$L552,SupplierRates!$A$5:$A$500,0)),0))</f>
        <v/>
      </c>
      <c r="R552" s="26" t="n">
        <f aca="false">IF(OR($D552="",$J552&lt;&gt;"Supplier"),0,F552*P552+G552*Q552)</f>
        <v>0</v>
      </c>
      <c r="S552" s="26" t="n">
        <f aca="false">IF(OR($D552="",$J552&lt;&gt;"Own"),0,IFERROR((F552+G552*Settings!$B$13)*INDEX(Workers!$V$5:$V$2004,MATCH($D552,Workers!$A$5:$A$2004,0)),0))</f>
        <v>0</v>
      </c>
      <c r="T552" s="26" t="str">
        <f aca="false">IF($D552="","",O552-R552-S552)</f>
        <v/>
      </c>
    </row>
    <row r="553" customFormat="false" ht="15" hidden="false" customHeight="false" outlineLevel="0" collapsed="false">
      <c r="I553" s="24" t="str">
        <f aca="false">IF($D553="","",IFERROR(INDEX(Workers!$B$5:$B$2004,MATCH($D553,Workers!$A$5:$A$2004,0)),"NOT FOUND"))</f>
        <v/>
      </c>
      <c r="J553" s="24" t="str">
        <f aca="false">IF($D553="","",IFERROR(INDEX(Workers!$C$5:$C$2004,MATCH($D553,Workers!$A$5:$A$2004,0)),""))</f>
        <v/>
      </c>
      <c r="K553" s="24" t="str">
        <f aca="false">IF($D553="","",IFERROR(IF(INDEX(Workers!$D$5:$D$2004,MATCH($D553,Workers!$A$5:$A$2004,0))=0,"",INDEX(Workers!$D$5:$D$2004,MATCH($D553,Workers!$A$5:$A$2004,0))),""))</f>
        <v/>
      </c>
      <c r="L553" s="24" t="str">
        <f aca="false">IF($D553="","",IFERROR(INDEX(Workers!$E$5:$E$2004,MATCH($D553,Workers!$A$5:$A$2004,0)),""))</f>
        <v/>
      </c>
      <c r="M553" s="26" t="str">
        <f aca="false">IF($D553="","",IFERROR(INDEX(ClientRates!$D$5:$D$500,MATCH($B553&amp;"|"&amp;$L553,ClientRates!$A$5:$A$500,0)),0))</f>
        <v/>
      </c>
      <c r="N553" s="26" t="str">
        <f aca="false">IF($D553="","",IFERROR(INDEX(ClientRates!$E$5:$E$500,MATCH($B553&amp;"|"&amp;$L553,ClientRates!$A$5:$A$500,0)),0))</f>
        <v/>
      </c>
      <c r="O553" s="26" t="str">
        <f aca="false">IF($D553="","",F553*M553+G553*N553)</f>
        <v/>
      </c>
      <c r="P553" s="26" t="str">
        <f aca="false">IF(OR($D553="",$J553&lt;&gt;"Supplier"),"",IFERROR(INDEX(SupplierRates!$D$5:$D$500,MATCH($K553&amp;"|"&amp;$L553,SupplierRates!$A$5:$A$500,0)),0))</f>
        <v/>
      </c>
      <c r="Q553" s="26" t="str">
        <f aca="false">IF(OR($D553="",$J553&lt;&gt;"Supplier"),"",IFERROR(INDEX(SupplierRates!$E$5:$E$500,MATCH($K553&amp;"|"&amp;$L553,SupplierRates!$A$5:$A$500,0)),0))</f>
        <v/>
      </c>
      <c r="R553" s="26" t="n">
        <f aca="false">IF(OR($D553="",$J553&lt;&gt;"Supplier"),0,F553*P553+G553*Q553)</f>
        <v>0</v>
      </c>
      <c r="S553" s="26" t="n">
        <f aca="false">IF(OR($D553="",$J553&lt;&gt;"Own"),0,IFERROR((F553+G553*Settings!$B$13)*INDEX(Workers!$V$5:$V$2004,MATCH($D553,Workers!$A$5:$A$2004,0)),0))</f>
        <v>0</v>
      </c>
      <c r="T553" s="26" t="str">
        <f aca="false">IF($D553="","",O553-R553-S553)</f>
        <v/>
      </c>
    </row>
    <row r="554" customFormat="false" ht="15" hidden="false" customHeight="false" outlineLevel="0" collapsed="false">
      <c r="I554" s="24" t="str">
        <f aca="false">IF($D554="","",IFERROR(INDEX(Workers!$B$5:$B$2004,MATCH($D554,Workers!$A$5:$A$2004,0)),"NOT FOUND"))</f>
        <v/>
      </c>
      <c r="J554" s="24" t="str">
        <f aca="false">IF($D554="","",IFERROR(INDEX(Workers!$C$5:$C$2004,MATCH($D554,Workers!$A$5:$A$2004,0)),""))</f>
        <v/>
      </c>
      <c r="K554" s="24" t="str">
        <f aca="false">IF($D554="","",IFERROR(IF(INDEX(Workers!$D$5:$D$2004,MATCH($D554,Workers!$A$5:$A$2004,0))=0,"",INDEX(Workers!$D$5:$D$2004,MATCH($D554,Workers!$A$5:$A$2004,0))),""))</f>
        <v/>
      </c>
      <c r="L554" s="24" t="str">
        <f aca="false">IF($D554="","",IFERROR(INDEX(Workers!$E$5:$E$2004,MATCH($D554,Workers!$A$5:$A$2004,0)),""))</f>
        <v/>
      </c>
      <c r="M554" s="26" t="str">
        <f aca="false">IF($D554="","",IFERROR(INDEX(ClientRates!$D$5:$D$500,MATCH($B554&amp;"|"&amp;$L554,ClientRates!$A$5:$A$500,0)),0))</f>
        <v/>
      </c>
      <c r="N554" s="26" t="str">
        <f aca="false">IF($D554="","",IFERROR(INDEX(ClientRates!$E$5:$E$500,MATCH($B554&amp;"|"&amp;$L554,ClientRates!$A$5:$A$500,0)),0))</f>
        <v/>
      </c>
      <c r="O554" s="26" t="str">
        <f aca="false">IF($D554="","",F554*M554+G554*N554)</f>
        <v/>
      </c>
      <c r="P554" s="26" t="str">
        <f aca="false">IF(OR($D554="",$J554&lt;&gt;"Supplier"),"",IFERROR(INDEX(SupplierRates!$D$5:$D$500,MATCH($K554&amp;"|"&amp;$L554,SupplierRates!$A$5:$A$500,0)),0))</f>
        <v/>
      </c>
      <c r="Q554" s="26" t="str">
        <f aca="false">IF(OR($D554="",$J554&lt;&gt;"Supplier"),"",IFERROR(INDEX(SupplierRates!$E$5:$E$500,MATCH($K554&amp;"|"&amp;$L554,SupplierRates!$A$5:$A$500,0)),0))</f>
        <v/>
      </c>
      <c r="R554" s="26" t="n">
        <f aca="false">IF(OR($D554="",$J554&lt;&gt;"Supplier"),0,F554*P554+G554*Q554)</f>
        <v>0</v>
      </c>
      <c r="S554" s="26" t="n">
        <f aca="false">IF(OR($D554="",$J554&lt;&gt;"Own"),0,IFERROR((F554+G554*Settings!$B$13)*INDEX(Workers!$V$5:$V$2004,MATCH($D554,Workers!$A$5:$A$2004,0)),0))</f>
        <v>0</v>
      </c>
      <c r="T554" s="26" t="str">
        <f aca="false">IF($D554="","",O554-R554-S554)</f>
        <v/>
      </c>
    </row>
    <row r="555" customFormat="false" ht="15" hidden="false" customHeight="false" outlineLevel="0" collapsed="false">
      <c r="I555" s="24" t="str">
        <f aca="false">IF($D555="","",IFERROR(INDEX(Workers!$B$5:$B$2004,MATCH($D555,Workers!$A$5:$A$2004,0)),"NOT FOUND"))</f>
        <v/>
      </c>
      <c r="J555" s="24" t="str">
        <f aca="false">IF($D555="","",IFERROR(INDEX(Workers!$C$5:$C$2004,MATCH($D555,Workers!$A$5:$A$2004,0)),""))</f>
        <v/>
      </c>
      <c r="K555" s="24" t="str">
        <f aca="false">IF($D555="","",IFERROR(IF(INDEX(Workers!$D$5:$D$2004,MATCH($D555,Workers!$A$5:$A$2004,0))=0,"",INDEX(Workers!$D$5:$D$2004,MATCH($D555,Workers!$A$5:$A$2004,0))),""))</f>
        <v/>
      </c>
      <c r="L555" s="24" t="str">
        <f aca="false">IF($D555="","",IFERROR(INDEX(Workers!$E$5:$E$2004,MATCH($D555,Workers!$A$5:$A$2004,0)),""))</f>
        <v/>
      </c>
      <c r="M555" s="26" t="str">
        <f aca="false">IF($D555="","",IFERROR(INDEX(ClientRates!$D$5:$D$500,MATCH($B555&amp;"|"&amp;$L555,ClientRates!$A$5:$A$500,0)),0))</f>
        <v/>
      </c>
      <c r="N555" s="26" t="str">
        <f aca="false">IF($D555="","",IFERROR(INDEX(ClientRates!$E$5:$E$500,MATCH($B555&amp;"|"&amp;$L555,ClientRates!$A$5:$A$500,0)),0))</f>
        <v/>
      </c>
      <c r="O555" s="26" t="str">
        <f aca="false">IF($D555="","",F555*M555+G555*N555)</f>
        <v/>
      </c>
      <c r="P555" s="26" t="str">
        <f aca="false">IF(OR($D555="",$J555&lt;&gt;"Supplier"),"",IFERROR(INDEX(SupplierRates!$D$5:$D$500,MATCH($K555&amp;"|"&amp;$L555,SupplierRates!$A$5:$A$500,0)),0))</f>
        <v/>
      </c>
      <c r="Q555" s="26" t="str">
        <f aca="false">IF(OR($D555="",$J555&lt;&gt;"Supplier"),"",IFERROR(INDEX(SupplierRates!$E$5:$E$500,MATCH($K555&amp;"|"&amp;$L555,SupplierRates!$A$5:$A$500,0)),0))</f>
        <v/>
      </c>
      <c r="R555" s="26" t="n">
        <f aca="false">IF(OR($D555="",$J555&lt;&gt;"Supplier"),0,F555*P555+G555*Q555)</f>
        <v>0</v>
      </c>
      <c r="S555" s="26" t="n">
        <f aca="false">IF(OR($D555="",$J555&lt;&gt;"Own"),0,IFERROR((F555+G555*Settings!$B$13)*INDEX(Workers!$V$5:$V$2004,MATCH($D555,Workers!$A$5:$A$2004,0)),0))</f>
        <v>0</v>
      </c>
      <c r="T555" s="26" t="str">
        <f aca="false">IF($D555="","",O555-R555-S555)</f>
        <v/>
      </c>
    </row>
    <row r="556" customFormat="false" ht="15" hidden="false" customHeight="false" outlineLevel="0" collapsed="false">
      <c r="I556" s="24" t="str">
        <f aca="false">IF($D556="","",IFERROR(INDEX(Workers!$B$5:$B$2004,MATCH($D556,Workers!$A$5:$A$2004,0)),"NOT FOUND"))</f>
        <v/>
      </c>
      <c r="J556" s="24" t="str">
        <f aca="false">IF($D556="","",IFERROR(INDEX(Workers!$C$5:$C$2004,MATCH($D556,Workers!$A$5:$A$2004,0)),""))</f>
        <v/>
      </c>
      <c r="K556" s="24" t="str">
        <f aca="false">IF($D556="","",IFERROR(IF(INDEX(Workers!$D$5:$D$2004,MATCH($D556,Workers!$A$5:$A$2004,0))=0,"",INDEX(Workers!$D$5:$D$2004,MATCH($D556,Workers!$A$5:$A$2004,0))),""))</f>
        <v/>
      </c>
      <c r="L556" s="24" t="str">
        <f aca="false">IF($D556="","",IFERROR(INDEX(Workers!$E$5:$E$2004,MATCH($D556,Workers!$A$5:$A$2004,0)),""))</f>
        <v/>
      </c>
      <c r="M556" s="26" t="str">
        <f aca="false">IF($D556="","",IFERROR(INDEX(ClientRates!$D$5:$D$500,MATCH($B556&amp;"|"&amp;$L556,ClientRates!$A$5:$A$500,0)),0))</f>
        <v/>
      </c>
      <c r="N556" s="26" t="str">
        <f aca="false">IF($D556="","",IFERROR(INDEX(ClientRates!$E$5:$E$500,MATCH($B556&amp;"|"&amp;$L556,ClientRates!$A$5:$A$500,0)),0))</f>
        <v/>
      </c>
      <c r="O556" s="26" t="str">
        <f aca="false">IF($D556="","",F556*M556+G556*N556)</f>
        <v/>
      </c>
      <c r="P556" s="26" t="str">
        <f aca="false">IF(OR($D556="",$J556&lt;&gt;"Supplier"),"",IFERROR(INDEX(SupplierRates!$D$5:$D$500,MATCH($K556&amp;"|"&amp;$L556,SupplierRates!$A$5:$A$500,0)),0))</f>
        <v/>
      </c>
      <c r="Q556" s="26" t="str">
        <f aca="false">IF(OR($D556="",$J556&lt;&gt;"Supplier"),"",IFERROR(INDEX(SupplierRates!$E$5:$E$500,MATCH($K556&amp;"|"&amp;$L556,SupplierRates!$A$5:$A$500,0)),0))</f>
        <v/>
      </c>
      <c r="R556" s="26" t="n">
        <f aca="false">IF(OR($D556="",$J556&lt;&gt;"Supplier"),0,F556*P556+G556*Q556)</f>
        <v>0</v>
      </c>
      <c r="S556" s="26" t="n">
        <f aca="false">IF(OR($D556="",$J556&lt;&gt;"Own"),0,IFERROR((F556+G556*Settings!$B$13)*INDEX(Workers!$V$5:$V$2004,MATCH($D556,Workers!$A$5:$A$2004,0)),0))</f>
        <v>0</v>
      </c>
      <c r="T556" s="26" t="str">
        <f aca="false">IF($D556="","",O556-R556-S556)</f>
        <v/>
      </c>
    </row>
    <row r="557" customFormat="false" ht="15" hidden="false" customHeight="false" outlineLevel="0" collapsed="false">
      <c r="I557" s="24" t="str">
        <f aca="false">IF($D557="","",IFERROR(INDEX(Workers!$B$5:$B$2004,MATCH($D557,Workers!$A$5:$A$2004,0)),"NOT FOUND"))</f>
        <v/>
      </c>
      <c r="J557" s="24" t="str">
        <f aca="false">IF($D557="","",IFERROR(INDEX(Workers!$C$5:$C$2004,MATCH($D557,Workers!$A$5:$A$2004,0)),""))</f>
        <v/>
      </c>
      <c r="K557" s="24" t="str">
        <f aca="false">IF($D557="","",IFERROR(IF(INDEX(Workers!$D$5:$D$2004,MATCH($D557,Workers!$A$5:$A$2004,0))=0,"",INDEX(Workers!$D$5:$D$2004,MATCH($D557,Workers!$A$5:$A$2004,0))),""))</f>
        <v/>
      </c>
      <c r="L557" s="24" t="str">
        <f aca="false">IF($D557="","",IFERROR(INDEX(Workers!$E$5:$E$2004,MATCH($D557,Workers!$A$5:$A$2004,0)),""))</f>
        <v/>
      </c>
      <c r="M557" s="26" t="str">
        <f aca="false">IF($D557="","",IFERROR(INDEX(ClientRates!$D$5:$D$500,MATCH($B557&amp;"|"&amp;$L557,ClientRates!$A$5:$A$500,0)),0))</f>
        <v/>
      </c>
      <c r="N557" s="26" t="str">
        <f aca="false">IF($D557="","",IFERROR(INDEX(ClientRates!$E$5:$E$500,MATCH($B557&amp;"|"&amp;$L557,ClientRates!$A$5:$A$500,0)),0))</f>
        <v/>
      </c>
      <c r="O557" s="26" t="str">
        <f aca="false">IF($D557="","",F557*M557+G557*N557)</f>
        <v/>
      </c>
      <c r="P557" s="26" t="str">
        <f aca="false">IF(OR($D557="",$J557&lt;&gt;"Supplier"),"",IFERROR(INDEX(SupplierRates!$D$5:$D$500,MATCH($K557&amp;"|"&amp;$L557,SupplierRates!$A$5:$A$500,0)),0))</f>
        <v/>
      </c>
      <c r="Q557" s="26" t="str">
        <f aca="false">IF(OR($D557="",$J557&lt;&gt;"Supplier"),"",IFERROR(INDEX(SupplierRates!$E$5:$E$500,MATCH($K557&amp;"|"&amp;$L557,SupplierRates!$A$5:$A$500,0)),0))</f>
        <v/>
      </c>
      <c r="R557" s="26" t="n">
        <f aca="false">IF(OR($D557="",$J557&lt;&gt;"Supplier"),0,F557*P557+G557*Q557)</f>
        <v>0</v>
      </c>
      <c r="S557" s="26" t="n">
        <f aca="false">IF(OR($D557="",$J557&lt;&gt;"Own"),0,IFERROR((F557+G557*Settings!$B$13)*INDEX(Workers!$V$5:$V$2004,MATCH($D557,Workers!$A$5:$A$2004,0)),0))</f>
        <v>0</v>
      </c>
      <c r="T557" s="26" t="str">
        <f aca="false">IF($D557="","",O557-R557-S557)</f>
        <v/>
      </c>
    </row>
    <row r="558" customFormat="false" ht="15" hidden="false" customHeight="false" outlineLevel="0" collapsed="false">
      <c r="I558" s="24" t="str">
        <f aca="false">IF($D558="","",IFERROR(INDEX(Workers!$B$5:$B$2004,MATCH($D558,Workers!$A$5:$A$2004,0)),"NOT FOUND"))</f>
        <v/>
      </c>
      <c r="J558" s="24" t="str">
        <f aca="false">IF($D558="","",IFERROR(INDEX(Workers!$C$5:$C$2004,MATCH($D558,Workers!$A$5:$A$2004,0)),""))</f>
        <v/>
      </c>
      <c r="K558" s="24" t="str">
        <f aca="false">IF($D558="","",IFERROR(IF(INDEX(Workers!$D$5:$D$2004,MATCH($D558,Workers!$A$5:$A$2004,0))=0,"",INDEX(Workers!$D$5:$D$2004,MATCH($D558,Workers!$A$5:$A$2004,0))),""))</f>
        <v/>
      </c>
      <c r="L558" s="24" t="str">
        <f aca="false">IF($D558="","",IFERROR(INDEX(Workers!$E$5:$E$2004,MATCH($D558,Workers!$A$5:$A$2004,0)),""))</f>
        <v/>
      </c>
      <c r="M558" s="26" t="str">
        <f aca="false">IF($D558="","",IFERROR(INDEX(ClientRates!$D$5:$D$500,MATCH($B558&amp;"|"&amp;$L558,ClientRates!$A$5:$A$500,0)),0))</f>
        <v/>
      </c>
      <c r="N558" s="26" t="str">
        <f aca="false">IF($D558="","",IFERROR(INDEX(ClientRates!$E$5:$E$500,MATCH($B558&amp;"|"&amp;$L558,ClientRates!$A$5:$A$500,0)),0))</f>
        <v/>
      </c>
      <c r="O558" s="26" t="str">
        <f aca="false">IF($D558="","",F558*M558+G558*N558)</f>
        <v/>
      </c>
      <c r="P558" s="26" t="str">
        <f aca="false">IF(OR($D558="",$J558&lt;&gt;"Supplier"),"",IFERROR(INDEX(SupplierRates!$D$5:$D$500,MATCH($K558&amp;"|"&amp;$L558,SupplierRates!$A$5:$A$500,0)),0))</f>
        <v/>
      </c>
      <c r="Q558" s="26" t="str">
        <f aca="false">IF(OR($D558="",$J558&lt;&gt;"Supplier"),"",IFERROR(INDEX(SupplierRates!$E$5:$E$500,MATCH($K558&amp;"|"&amp;$L558,SupplierRates!$A$5:$A$500,0)),0))</f>
        <v/>
      </c>
      <c r="R558" s="26" t="n">
        <f aca="false">IF(OR($D558="",$J558&lt;&gt;"Supplier"),0,F558*P558+G558*Q558)</f>
        <v>0</v>
      </c>
      <c r="S558" s="26" t="n">
        <f aca="false">IF(OR($D558="",$J558&lt;&gt;"Own"),0,IFERROR((F558+G558*Settings!$B$13)*INDEX(Workers!$V$5:$V$2004,MATCH($D558,Workers!$A$5:$A$2004,0)),0))</f>
        <v>0</v>
      </c>
      <c r="T558" s="26" t="str">
        <f aca="false">IF($D558="","",O558-R558-S558)</f>
        <v/>
      </c>
    </row>
    <row r="559" customFormat="false" ht="15" hidden="false" customHeight="false" outlineLevel="0" collapsed="false">
      <c r="I559" s="24" t="str">
        <f aca="false">IF($D559="","",IFERROR(INDEX(Workers!$B$5:$B$2004,MATCH($D559,Workers!$A$5:$A$2004,0)),"NOT FOUND"))</f>
        <v/>
      </c>
      <c r="J559" s="24" t="str">
        <f aca="false">IF($D559="","",IFERROR(INDEX(Workers!$C$5:$C$2004,MATCH($D559,Workers!$A$5:$A$2004,0)),""))</f>
        <v/>
      </c>
      <c r="K559" s="24" t="str">
        <f aca="false">IF($D559="","",IFERROR(IF(INDEX(Workers!$D$5:$D$2004,MATCH($D559,Workers!$A$5:$A$2004,0))=0,"",INDEX(Workers!$D$5:$D$2004,MATCH($D559,Workers!$A$5:$A$2004,0))),""))</f>
        <v/>
      </c>
      <c r="L559" s="24" t="str">
        <f aca="false">IF($D559="","",IFERROR(INDEX(Workers!$E$5:$E$2004,MATCH($D559,Workers!$A$5:$A$2004,0)),""))</f>
        <v/>
      </c>
      <c r="M559" s="26" t="str">
        <f aca="false">IF($D559="","",IFERROR(INDEX(ClientRates!$D$5:$D$500,MATCH($B559&amp;"|"&amp;$L559,ClientRates!$A$5:$A$500,0)),0))</f>
        <v/>
      </c>
      <c r="N559" s="26" t="str">
        <f aca="false">IF($D559="","",IFERROR(INDEX(ClientRates!$E$5:$E$500,MATCH($B559&amp;"|"&amp;$L559,ClientRates!$A$5:$A$500,0)),0))</f>
        <v/>
      </c>
      <c r="O559" s="26" t="str">
        <f aca="false">IF($D559="","",F559*M559+G559*N559)</f>
        <v/>
      </c>
      <c r="P559" s="26" t="str">
        <f aca="false">IF(OR($D559="",$J559&lt;&gt;"Supplier"),"",IFERROR(INDEX(SupplierRates!$D$5:$D$500,MATCH($K559&amp;"|"&amp;$L559,SupplierRates!$A$5:$A$500,0)),0))</f>
        <v/>
      </c>
      <c r="Q559" s="26" t="str">
        <f aca="false">IF(OR($D559="",$J559&lt;&gt;"Supplier"),"",IFERROR(INDEX(SupplierRates!$E$5:$E$500,MATCH($K559&amp;"|"&amp;$L559,SupplierRates!$A$5:$A$500,0)),0))</f>
        <v/>
      </c>
      <c r="R559" s="26" t="n">
        <f aca="false">IF(OR($D559="",$J559&lt;&gt;"Supplier"),0,F559*P559+G559*Q559)</f>
        <v>0</v>
      </c>
      <c r="S559" s="26" t="n">
        <f aca="false">IF(OR($D559="",$J559&lt;&gt;"Own"),0,IFERROR((F559+G559*Settings!$B$13)*INDEX(Workers!$V$5:$V$2004,MATCH($D559,Workers!$A$5:$A$2004,0)),0))</f>
        <v>0</v>
      </c>
      <c r="T559" s="26" t="str">
        <f aca="false">IF($D559="","",O559-R559-S559)</f>
        <v/>
      </c>
    </row>
    <row r="560" customFormat="false" ht="15" hidden="false" customHeight="false" outlineLevel="0" collapsed="false">
      <c r="I560" s="24" t="str">
        <f aca="false">IF($D560="","",IFERROR(INDEX(Workers!$B$5:$B$2004,MATCH($D560,Workers!$A$5:$A$2004,0)),"NOT FOUND"))</f>
        <v/>
      </c>
      <c r="J560" s="24" t="str">
        <f aca="false">IF($D560="","",IFERROR(INDEX(Workers!$C$5:$C$2004,MATCH($D560,Workers!$A$5:$A$2004,0)),""))</f>
        <v/>
      </c>
      <c r="K560" s="24" t="str">
        <f aca="false">IF($D560="","",IFERROR(IF(INDEX(Workers!$D$5:$D$2004,MATCH($D560,Workers!$A$5:$A$2004,0))=0,"",INDEX(Workers!$D$5:$D$2004,MATCH($D560,Workers!$A$5:$A$2004,0))),""))</f>
        <v/>
      </c>
      <c r="L560" s="24" t="str">
        <f aca="false">IF($D560="","",IFERROR(INDEX(Workers!$E$5:$E$2004,MATCH($D560,Workers!$A$5:$A$2004,0)),""))</f>
        <v/>
      </c>
      <c r="M560" s="26" t="str">
        <f aca="false">IF($D560="","",IFERROR(INDEX(ClientRates!$D$5:$D$500,MATCH($B560&amp;"|"&amp;$L560,ClientRates!$A$5:$A$500,0)),0))</f>
        <v/>
      </c>
      <c r="N560" s="26" t="str">
        <f aca="false">IF($D560="","",IFERROR(INDEX(ClientRates!$E$5:$E$500,MATCH($B560&amp;"|"&amp;$L560,ClientRates!$A$5:$A$500,0)),0))</f>
        <v/>
      </c>
      <c r="O560" s="26" t="str">
        <f aca="false">IF($D560="","",F560*M560+G560*N560)</f>
        <v/>
      </c>
      <c r="P560" s="26" t="str">
        <f aca="false">IF(OR($D560="",$J560&lt;&gt;"Supplier"),"",IFERROR(INDEX(SupplierRates!$D$5:$D$500,MATCH($K560&amp;"|"&amp;$L560,SupplierRates!$A$5:$A$500,0)),0))</f>
        <v/>
      </c>
      <c r="Q560" s="26" t="str">
        <f aca="false">IF(OR($D560="",$J560&lt;&gt;"Supplier"),"",IFERROR(INDEX(SupplierRates!$E$5:$E$500,MATCH($K560&amp;"|"&amp;$L560,SupplierRates!$A$5:$A$500,0)),0))</f>
        <v/>
      </c>
      <c r="R560" s="26" t="n">
        <f aca="false">IF(OR($D560="",$J560&lt;&gt;"Supplier"),0,F560*P560+G560*Q560)</f>
        <v>0</v>
      </c>
      <c r="S560" s="26" t="n">
        <f aca="false">IF(OR($D560="",$J560&lt;&gt;"Own"),0,IFERROR((F560+G560*Settings!$B$13)*INDEX(Workers!$V$5:$V$2004,MATCH($D560,Workers!$A$5:$A$2004,0)),0))</f>
        <v>0</v>
      </c>
      <c r="T560" s="26" t="str">
        <f aca="false">IF($D560="","",O560-R560-S560)</f>
        <v/>
      </c>
    </row>
    <row r="561" customFormat="false" ht="15" hidden="false" customHeight="false" outlineLevel="0" collapsed="false">
      <c r="I561" s="24" t="str">
        <f aca="false">IF($D561="","",IFERROR(INDEX(Workers!$B$5:$B$2004,MATCH($D561,Workers!$A$5:$A$2004,0)),"NOT FOUND"))</f>
        <v/>
      </c>
      <c r="J561" s="24" t="str">
        <f aca="false">IF($D561="","",IFERROR(INDEX(Workers!$C$5:$C$2004,MATCH($D561,Workers!$A$5:$A$2004,0)),""))</f>
        <v/>
      </c>
      <c r="K561" s="24" t="str">
        <f aca="false">IF($D561="","",IFERROR(IF(INDEX(Workers!$D$5:$D$2004,MATCH($D561,Workers!$A$5:$A$2004,0))=0,"",INDEX(Workers!$D$5:$D$2004,MATCH($D561,Workers!$A$5:$A$2004,0))),""))</f>
        <v/>
      </c>
      <c r="L561" s="24" t="str">
        <f aca="false">IF($D561="","",IFERROR(INDEX(Workers!$E$5:$E$2004,MATCH($D561,Workers!$A$5:$A$2004,0)),""))</f>
        <v/>
      </c>
      <c r="M561" s="26" t="str">
        <f aca="false">IF($D561="","",IFERROR(INDEX(ClientRates!$D$5:$D$500,MATCH($B561&amp;"|"&amp;$L561,ClientRates!$A$5:$A$500,0)),0))</f>
        <v/>
      </c>
      <c r="N561" s="26" t="str">
        <f aca="false">IF($D561="","",IFERROR(INDEX(ClientRates!$E$5:$E$500,MATCH($B561&amp;"|"&amp;$L561,ClientRates!$A$5:$A$500,0)),0))</f>
        <v/>
      </c>
      <c r="O561" s="26" t="str">
        <f aca="false">IF($D561="","",F561*M561+G561*N561)</f>
        <v/>
      </c>
      <c r="P561" s="26" t="str">
        <f aca="false">IF(OR($D561="",$J561&lt;&gt;"Supplier"),"",IFERROR(INDEX(SupplierRates!$D$5:$D$500,MATCH($K561&amp;"|"&amp;$L561,SupplierRates!$A$5:$A$500,0)),0))</f>
        <v/>
      </c>
      <c r="Q561" s="26" t="str">
        <f aca="false">IF(OR($D561="",$J561&lt;&gt;"Supplier"),"",IFERROR(INDEX(SupplierRates!$E$5:$E$500,MATCH($K561&amp;"|"&amp;$L561,SupplierRates!$A$5:$A$500,0)),0))</f>
        <v/>
      </c>
      <c r="R561" s="26" t="n">
        <f aca="false">IF(OR($D561="",$J561&lt;&gt;"Supplier"),0,F561*P561+G561*Q561)</f>
        <v>0</v>
      </c>
      <c r="S561" s="26" t="n">
        <f aca="false">IF(OR($D561="",$J561&lt;&gt;"Own"),0,IFERROR((F561+G561*Settings!$B$13)*INDEX(Workers!$V$5:$V$2004,MATCH($D561,Workers!$A$5:$A$2004,0)),0))</f>
        <v>0</v>
      </c>
      <c r="T561" s="26" t="str">
        <f aca="false">IF($D561="","",O561-R561-S561)</f>
        <v/>
      </c>
    </row>
    <row r="562" customFormat="false" ht="15" hidden="false" customHeight="false" outlineLevel="0" collapsed="false">
      <c r="I562" s="24" t="str">
        <f aca="false">IF($D562="","",IFERROR(INDEX(Workers!$B$5:$B$2004,MATCH($D562,Workers!$A$5:$A$2004,0)),"NOT FOUND"))</f>
        <v/>
      </c>
      <c r="J562" s="24" t="str">
        <f aca="false">IF($D562="","",IFERROR(INDEX(Workers!$C$5:$C$2004,MATCH($D562,Workers!$A$5:$A$2004,0)),""))</f>
        <v/>
      </c>
      <c r="K562" s="24" t="str">
        <f aca="false">IF($D562="","",IFERROR(IF(INDEX(Workers!$D$5:$D$2004,MATCH($D562,Workers!$A$5:$A$2004,0))=0,"",INDEX(Workers!$D$5:$D$2004,MATCH($D562,Workers!$A$5:$A$2004,0))),""))</f>
        <v/>
      </c>
      <c r="L562" s="24" t="str">
        <f aca="false">IF($D562="","",IFERROR(INDEX(Workers!$E$5:$E$2004,MATCH($D562,Workers!$A$5:$A$2004,0)),""))</f>
        <v/>
      </c>
      <c r="M562" s="26" t="str">
        <f aca="false">IF($D562="","",IFERROR(INDEX(ClientRates!$D$5:$D$500,MATCH($B562&amp;"|"&amp;$L562,ClientRates!$A$5:$A$500,0)),0))</f>
        <v/>
      </c>
      <c r="N562" s="26" t="str">
        <f aca="false">IF($D562="","",IFERROR(INDEX(ClientRates!$E$5:$E$500,MATCH($B562&amp;"|"&amp;$L562,ClientRates!$A$5:$A$500,0)),0))</f>
        <v/>
      </c>
      <c r="O562" s="26" t="str">
        <f aca="false">IF($D562="","",F562*M562+G562*N562)</f>
        <v/>
      </c>
      <c r="P562" s="26" t="str">
        <f aca="false">IF(OR($D562="",$J562&lt;&gt;"Supplier"),"",IFERROR(INDEX(SupplierRates!$D$5:$D$500,MATCH($K562&amp;"|"&amp;$L562,SupplierRates!$A$5:$A$500,0)),0))</f>
        <v/>
      </c>
      <c r="Q562" s="26" t="str">
        <f aca="false">IF(OR($D562="",$J562&lt;&gt;"Supplier"),"",IFERROR(INDEX(SupplierRates!$E$5:$E$500,MATCH($K562&amp;"|"&amp;$L562,SupplierRates!$A$5:$A$500,0)),0))</f>
        <v/>
      </c>
      <c r="R562" s="26" t="n">
        <f aca="false">IF(OR($D562="",$J562&lt;&gt;"Supplier"),0,F562*P562+G562*Q562)</f>
        <v>0</v>
      </c>
      <c r="S562" s="26" t="n">
        <f aca="false">IF(OR($D562="",$J562&lt;&gt;"Own"),0,IFERROR((F562+G562*Settings!$B$13)*INDEX(Workers!$V$5:$V$2004,MATCH($D562,Workers!$A$5:$A$2004,0)),0))</f>
        <v>0</v>
      </c>
      <c r="T562" s="26" t="str">
        <f aca="false">IF($D562="","",O562-R562-S562)</f>
        <v/>
      </c>
    </row>
    <row r="563" customFormat="false" ht="15" hidden="false" customHeight="false" outlineLevel="0" collapsed="false">
      <c r="I563" s="24" t="str">
        <f aca="false">IF($D563="","",IFERROR(INDEX(Workers!$B$5:$B$2004,MATCH($D563,Workers!$A$5:$A$2004,0)),"NOT FOUND"))</f>
        <v/>
      </c>
      <c r="J563" s="24" t="str">
        <f aca="false">IF($D563="","",IFERROR(INDEX(Workers!$C$5:$C$2004,MATCH($D563,Workers!$A$5:$A$2004,0)),""))</f>
        <v/>
      </c>
      <c r="K563" s="24" t="str">
        <f aca="false">IF($D563="","",IFERROR(IF(INDEX(Workers!$D$5:$D$2004,MATCH($D563,Workers!$A$5:$A$2004,0))=0,"",INDEX(Workers!$D$5:$D$2004,MATCH($D563,Workers!$A$5:$A$2004,0))),""))</f>
        <v/>
      </c>
      <c r="L563" s="24" t="str">
        <f aca="false">IF($D563="","",IFERROR(INDEX(Workers!$E$5:$E$2004,MATCH($D563,Workers!$A$5:$A$2004,0)),""))</f>
        <v/>
      </c>
      <c r="M563" s="26" t="str">
        <f aca="false">IF($D563="","",IFERROR(INDEX(ClientRates!$D$5:$D$500,MATCH($B563&amp;"|"&amp;$L563,ClientRates!$A$5:$A$500,0)),0))</f>
        <v/>
      </c>
      <c r="N563" s="26" t="str">
        <f aca="false">IF($D563="","",IFERROR(INDEX(ClientRates!$E$5:$E$500,MATCH($B563&amp;"|"&amp;$L563,ClientRates!$A$5:$A$500,0)),0))</f>
        <v/>
      </c>
      <c r="O563" s="26" t="str">
        <f aca="false">IF($D563="","",F563*M563+G563*N563)</f>
        <v/>
      </c>
      <c r="P563" s="26" t="str">
        <f aca="false">IF(OR($D563="",$J563&lt;&gt;"Supplier"),"",IFERROR(INDEX(SupplierRates!$D$5:$D$500,MATCH($K563&amp;"|"&amp;$L563,SupplierRates!$A$5:$A$500,0)),0))</f>
        <v/>
      </c>
      <c r="Q563" s="26" t="str">
        <f aca="false">IF(OR($D563="",$J563&lt;&gt;"Supplier"),"",IFERROR(INDEX(SupplierRates!$E$5:$E$500,MATCH($K563&amp;"|"&amp;$L563,SupplierRates!$A$5:$A$500,0)),0))</f>
        <v/>
      </c>
      <c r="R563" s="26" t="n">
        <f aca="false">IF(OR($D563="",$J563&lt;&gt;"Supplier"),0,F563*P563+G563*Q563)</f>
        <v>0</v>
      </c>
      <c r="S563" s="26" t="n">
        <f aca="false">IF(OR($D563="",$J563&lt;&gt;"Own"),0,IFERROR((F563+G563*Settings!$B$13)*INDEX(Workers!$V$5:$V$2004,MATCH($D563,Workers!$A$5:$A$2004,0)),0))</f>
        <v>0</v>
      </c>
      <c r="T563" s="26" t="str">
        <f aca="false">IF($D563="","",O563-R563-S563)</f>
        <v/>
      </c>
    </row>
    <row r="564" customFormat="false" ht="15" hidden="false" customHeight="false" outlineLevel="0" collapsed="false">
      <c r="I564" s="24" t="str">
        <f aca="false">IF($D564="","",IFERROR(INDEX(Workers!$B$5:$B$2004,MATCH($D564,Workers!$A$5:$A$2004,0)),"NOT FOUND"))</f>
        <v/>
      </c>
      <c r="J564" s="24" t="str">
        <f aca="false">IF($D564="","",IFERROR(INDEX(Workers!$C$5:$C$2004,MATCH($D564,Workers!$A$5:$A$2004,0)),""))</f>
        <v/>
      </c>
      <c r="K564" s="24" t="str">
        <f aca="false">IF($D564="","",IFERROR(IF(INDEX(Workers!$D$5:$D$2004,MATCH($D564,Workers!$A$5:$A$2004,0))=0,"",INDEX(Workers!$D$5:$D$2004,MATCH($D564,Workers!$A$5:$A$2004,0))),""))</f>
        <v/>
      </c>
      <c r="L564" s="24" t="str">
        <f aca="false">IF($D564="","",IFERROR(INDEX(Workers!$E$5:$E$2004,MATCH($D564,Workers!$A$5:$A$2004,0)),""))</f>
        <v/>
      </c>
      <c r="M564" s="26" t="str">
        <f aca="false">IF($D564="","",IFERROR(INDEX(ClientRates!$D$5:$D$500,MATCH($B564&amp;"|"&amp;$L564,ClientRates!$A$5:$A$500,0)),0))</f>
        <v/>
      </c>
      <c r="N564" s="26" t="str">
        <f aca="false">IF($D564="","",IFERROR(INDEX(ClientRates!$E$5:$E$500,MATCH($B564&amp;"|"&amp;$L564,ClientRates!$A$5:$A$500,0)),0))</f>
        <v/>
      </c>
      <c r="O564" s="26" t="str">
        <f aca="false">IF($D564="","",F564*M564+G564*N564)</f>
        <v/>
      </c>
      <c r="P564" s="26" t="str">
        <f aca="false">IF(OR($D564="",$J564&lt;&gt;"Supplier"),"",IFERROR(INDEX(SupplierRates!$D$5:$D$500,MATCH($K564&amp;"|"&amp;$L564,SupplierRates!$A$5:$A$500,0)),0))</f>
        <v/>
      </c>
      <c r="Q564" s="26" t="str">
        <f aca="false">IF(OR($D564="",$J564&lt;&gt;"Supplier"),"",IFERROR(INDEX(SupplierRates!$E$5:$E$500,MATCH($K564&amp;"|"&amp;$L564,SupplierRates!$A$5:$A$500,0)),0))</f>
        <v/>
      </c>
      <c r="R564" s="26" t="n">
        <f aca="false">IF(OR($D564="",$J564&lt;&gt;"Supplier"),0,F564*P564+G564*Q564)</f>
        <v>0</v>
      </c>
      <c r="S564" s="26" t="n">
        <f aca="false">IF(OR($D564="",$J564&lt;&gt;"Own"),0,IFERROR((F564+G564*Settings!$B$13)*INDEX(Workers!$V$5:$V$2004,MATCH($D564,Workers!$A$5:$A$2004,0)),0))</f>
        <v>0</v>
      </c>
      <c r="T564" s="26" t="str">
        <f aca="false">IF($D564="","",O564-R564-S564)</f>
        <v/>
      </c>
    </row>
    <row r="565" customFormat="false" ht="15" hidden="false" customHeight="false" outlineLevel="0" collapsed="false">
      <c r="I565" s="24" t="str">
        <f aca="false">IF($D565="","",IFERROR(INDEX(Workers!$B$5:$B$2004,MATCH($D565,Workers!$A$5:$A$2004,0)),"NOT FOUND"))</f>
        <v/>
      </c>
      <c r="J565" s="24" t="str">
        <f aca="false">IF($D565="","",IFERROR(INDEX(Workers!$C$5:$C$2004,MATCH($D565,Workers!$A$5:$A$2004,0)),""))</f>
        <v/>
      </c>
      <c r="K565" s="24" t="str">
        <f aca="false">IF($D565="","",IFERROR(IF(INDEX(Workers!$D$5:$D$2004,MATCH($D565,Workers!$A$5:$A$2004,0))=0,"",INDEX(Workers!$D$5:$D$2004,MATCH($D565,Workers!$A$5:$A$2004,0))),""))</f>
        <v/>
      </c>
      <c r="L565" s="24" t="str">
        <f aca="false">IF($D565="","",IFERROR(INDEX(Workers!$E$5:$E$2004,MATCH($D565,Workers!$A$5:$A$2004,0)),""))</f>
        <v/>
      </c>
      <c r="M565" s="26" t="str">
        <f aca="false">IF($D565="","",IFERROR(INDEX(ClientRates!$D$5:$D$500,MATCH($B565&amp;"|"&amp;$L565,ClientRates!$A$5:$A$500,0)),0))</f>
        <v/>
      </c>
      <c r="N565" s="26" t="str">
        <f aca="false">IF($D565="","",IFERROR(INDEX(ClientRates!$E$5:$E$500,MATCH($B565&amp;"|"&amp;$L565,ClientRates!$A$5:$A$500,0)),0))</f>
        <v/>
      </c>
      <c r="O565" s="26" t="str">
        <f aca="false">IF($D565="","",F565*M565+G565*N565)</f>
        <v/>
      </c>
      <c r="P565" s="26" t="str">
        <f aca="false">IF(OR($D565="",$J565&lt;&gt;"Supplier"),"",IFERROR(INDEX(SupplierRates!$D$5:$D$500,MATCH($K565&amp;"|"&amp;$L565,SupplierRates!$A$5:$A$500,0)),0))</f>
        <v/>
      </c>
      <c r="Q565" s="26" t="str">
        <f aca="false">IF(OR($D565="",$J565&lt;&gt;"Supplier"),"",IFERROR(INDEX(SupplierRates!$E$5:$E$500,MATCH($K565&amp;"|"&amp;$L565,SupplierRates!$A$5:$A$500,0)),0))</f>
        <v/>
      </c>
      <c r="R565" s="26" t="n">
        <f aca="false">IF(OR($D565="",$J565&lt;&gt;"Supplier"),0,F565*P565+G565*Q565)</f>
        <v>0</v>
      </c>
      <c r="S565" s="26" t="n">
        <f aca="false">IF(OR($D565="",$J565&lt;&gt;"Own"),0,IFERROR((F565+G565*Settings!$B$13)*INDEX(Workers!$V$5:$V$2004,MATCH($D565,Workers!$A$5:$A$2004,0)),0))</f>
        <v>0</v>
      </c>
      <c r="T565" s="26" t="str">
        <f aca="false">IF($D565="","",O565-R565-S565)</f>
        <v/>
      </c>
    </row>
    <row r="566" customFormat="false" ht="15" hidden="false" customHeight="false" outlineLevel="0" collapsed="false">
      <c r="I566" s="24" t="str">
        <f aca="false">IF($D566="","",IFERROR(INDEX(Workers!$B$5:$B$2004,MATCH($D566,Workers!$A$5:$A$2004,0)),"NOT FOUND"))</f>
        <v/>
      </c>
      <c r="J566" s="24" t="str">
        <f aca="false">IF($D566="","",IFERROR(INDEX(Workers!$C$5:$C$2004,MATCH($D566,Workers!$A$5:$A$2004,0)),""))</f>
        <v/>
      </c>
      <c r="K566" s="24" t="str">
        <f aca="false">IF($D566="","",IFERROR(IF(INDEX(Workers!$D$5:$D$2004,MATCH($D566,Workers!$A$5:$A$2004,0))=0,"",INDEX(Workers!$D$5:$D$2004,MATCH($D566,Workers!$A$5:$A$2004,0))),""))</f>
        <v/>
      </c>
      <c r="L566" s="24" t="str">
        <f aca="false">IF($D566="","",IFERROR(INDEX(Workers!$E$5:$E$2004,MATCH($D566,Workers!$A$5:$A$2004,0)),""))</f>
        <v/>
      </c>
      <c r="M566" s="26" t="str">
        <f aca="false">IF($D566="","",IFERROR(INDEX(ClientRates!$D$5:$D$500,MATCH($B566&amp;"|"&amp;$L566,ClientRates!$A$5:$A$500,0)),0))</f>
        <v/>
      </c>
      <c r="N566" s="26" t="str">
        <f aca="false">IF($D566="","",IFERROR(INDEX(ClientRates!$E$5:$E$500,MATCH($B566&amp;"|"&amp;$L566,ClientRates!$A$5:$A$500,0)),0))</f>
        <v/>
      </c>
      <c r="O566" s="26" t="str">
        <f aca="false">IF($D566="","",F566*M566+G566*N566)</f>
        <v/>
      </c>
      <c r="P566" s="26" t="str">
        <f aca="false">IF(OR($D566="",$J566&lt;&gt;"Supplier"),"",IFERROR(INDEX(SupplierRates!$D$5:$D$500,MATCH($K566&amp;"|"&amp;$L566,SupplierRates!$A$5:$A$500,0)),0))</f>
        <v/>
      </c>
      <c r="Q566" s="26" t="str">
        <f aca="false">IF(OR($D566="",$J566&lt;&gt;"Supplier"),"",IFERROR(INDEX(SupplierRates!$E$5:$E$500,MATCH($K566&amp;"|"&amp;$L566,SupplierRates!$A$5:$A$500,0)),0))</f>
        <v/>
      </c>
      <c r="R566" s="26" t="n">
        <f aca="false">IF(OR($D566="",$J566&lt;&gt;"Supplier"),0,F566*P566+G566*Q566)</f>
        <v>0</v>
      </c>
      <c r="S566" s="26" t="n">
        <f aca="false">IF(OR($D566="",$J566&lt;&gt;"Own"),0,IFERROR((F566+G566*Settings!$B$13)*INDEX(Workers!$V$5:$V$2004,MATCH($D566,Workers!$A$5:$A$2004,0)),0))</f>
        <v>0</v>
      </c>
      <c r="T566" s="26" t="str">
        <f aca="false">IF($D566="","",O566-R566-S566)</f>
        <v/>
      </c>
    </row>
    <row r="567" customFormat="false" ht="15" hidden="false" customHeight="false" outlineLevel="0" collapsed="false">
      <c r="I567" s="24" t="str">
        <f aca="false">IF($D567="","",IFERROR(INDEX(Workers!$B$5:$B$2004,MATCH($D567,Workers!$A$5:$A$2004,0)),"NOT FOUND"))</f>
        <v/>
      </c>
      <c r="J567" s="24" t="str">
        <f aca="false">IF($D567="","",IFERROR(INDEX(Workers!$C$5:$C$2004,MATCH($D567,Workers!$A$5:$A$2004,0)),""))</f>
        <v/>
      </c>
      <c r="K567" s="24" t="str">
        <f aca="false">IF($D567="","",IFERROR(IF(INDEX(Workers!$D$5:$D$2004,MATCH($D567,Workers!$A$5:$A$2004,0))=0,"",INDEX(Workers!$D$5:$D$2004,MATCH($D567,Workers!$A$5:$A$2004,0))),""))</f>
        <v/>
      </c>
      <c r="L567" s="24" t="str">
        <f aca="false">IF($D567="","",IFERROR(INDEX(Workers!$E$5:$E$2004,MATCH($D567,Workers!$A$5:$A$2004,0)),""))</f>
        <v/>
      </c>
      <c r="M567" s="26" t="str">
        <f aca="false">IF($D567="","",IFERROR(INDEX(ClientRates!$D$5:$D$500,MATCH($B567&amp;"|"&amp;$L567,ClientRates!$A$5:$A$500,0)),0))</f>
        <v/>
      </c>
      <c r="N567" s="26" t="str">
        <f aca="false">IF($D567="","",IFERROR(INDEX(ClientRates!$E$5:$E$500,MATCH($B567&amp;"|"&amp;$L567,ClientRates!$A$5:$A$500,0)),0))</f>
        <v/>
      </c>
      <c r="O567" s="26" t="str">
        <f aca="false">IF($D567="","",F567*M567+G567*N567)</f>
        <v/>
      </c>
      <c r="P567" s="26" t="str">
        <f aca="false">IF(OR($D567="",$J567&lt;&gt;"Supplier"),"",IFERROR(INDEX(SupplierRates!$D$5:$D$500,MATCH($K567&amp;"|"&amp;$L567,SupplierRates!$A$5:$A$500,0)),0))</f>
        <v/>
      </c>
      <c r="Q567" s="26" t="str">
        <f aca="false">IF(OR($D567="",$J567&lt;&gt;"Supplier"),"",IFERROR(INDEX(SupplierRates!$E$5:$E$500,MATCH($K567&amp;"|"&amp;$L567,SupplierRates!$A$5:$A$500,0)),0))</f>
        <v/>
      </c>
      <c r="R567" s="26" t="n">
        <f aca="false">IF(OR($D567="",$J567&lt;&gt;"Supplier"),0,F567*P567+G567*Q567)</f>
        <v>0</v>
      </c>
      <c r="S567" s="26" t="n">
        <f aca="false">IF(OR($D567="",$J567&lt;&gt;"Own"),0,IFERROR((F567+G567*Settings!$B$13)*INDEX(Workers!$V$5:$V$2004,MATCH($D567,Workers!$A$5:$A$2004,0)),0))</f>
        <v>0</v>
      </c>
      <c r="T567" s="26" t="str">
        <f aca="false">IF($D567="","",O567-R567-S567)</f>
        <v/>
      </c>
    </row>
    <row r="568" customFormat="false" ht="15" hidden="false" customHeight="false" outlineLevel="0" collapsed="false">
      <c r="I568" s="24" t="str">
        <f aca="false">IF($D568="","",IFERROR(INDEX(Workers!$B$5:$B$2004,MATCH($D568,Workers!$A$5:$A$2004,0)),"NOT FOUND"))</f>
        <v/>
      </c>
      <c r="J568" s="24" t="str">
        <f aca="false">IF($D568="","",IFERROR(INDEX(Workers!$C$5:$C$2004,MATCH($D568,Workers!$A$5:$A$2004,0)),""))</f>
        <v/>
      </c>
      <c r="K568" s="24" t="str">
        <f aca="false">IF($D568="","",IFERROR(IF(INDEX(Workers!$D$5:$D$2004,MATCH($D568,Workers!$A$5:$A$2004,0))=0,"",INDEX(Workers!$D$5:$D$2004,MATCH($D568,Workers!$A$5:$A$2004,0))),""))</f>
        <v/>
      </c>
      <c r="L568" s="24" t="str">
        <f aca="false">IF($D568="","",IFERROR(INDEX(Workers!$E$5:$E$2004,MATCH($D568,Workers!$A$5:$A$2004,0)),""))</f>
        <v/>
      </c>
      <c r="M568" s="26" t="str">
        <f aca="false">IF($D568="","",IFERROR(INDEX(ClientRates!$D$5:$D$500,MATCH($B568&amp;"|"&amp;$L568,ClientRates!$A$5:$A$500,0)),0))</f>
        <v/>
      </c>
      <c r="N568" s="26" t="str">
        <f aca="false">IF($D568="","",IFERROR(INDEX(ClientRates!$E$5:$E$500,MATCH($B568&amp;"|"&amp;$L568,ClientRates!$A$5:$A$500,0)),0))</f>
        <v/>
      </c>
      <c r="O568" s="26" t="str">
        <f aca="false">IF($D568="","",F568*M568+G568*N568)</f>
        <v/>
      </c>
      <c r="P568" s="26" t="str">
        <f aca="false">IF(OR($D568="",$J568&lt;&gt;"Supplier"),"",IFERROR(INDEX(SupplierRates!$D$5:$D$500,MATCH($K568&amp;"|"&amp;$L568,SupplierRates!$A$5:$A$500,0)),0))</f>
        <v/>
      </c>
      <c r="Q568" s="26" t="str">
        <f aca="false">IF(OR($D568="",$J568&lt;&gt;"Supplier"),"",IFERROR(INDEX(SupplierRates!$E$5:$E$500,MATCH($K568&amp;"|"&amp;$L568,SupplierRates!$A$5:$A$500,0)),0))</f>
        <v/>
      </c>
      <c r="R568" s="26" t="n">
        <f aca="false">IF(OR($D568="",$J568&lt;&gt;"Supplier"),0,F568*P568+G568*Q568)</f>
        <v>0</v>
      </c>
      <c r="S568" s="26" t="n">
        <f aca="false">IF(OR($D568="",$J568&lt;&gt;"Own"),0,IFERROR((F568+G568*Settings!$B$13)*INDEX(Workers!$V$5:$V$2004,MATCH($D568,Workers!$A$5:$A$2004,0)),0))</f>
        <v>0</v>
      </c>
      <c r="T568" s="26" t="str">
        <f aca="false">IF($D568="","",O568-R568-S568)</f>
        <v/>
      </c>
    </row>
    <row r="569" customFormat="false" ht="15" hidden="false" customHeight="false" outlineLevel="0" collapsed="false">
      <c r="I569" s="24" t="str">
        <f aca="false">IF($D569="","",IFERROR(INDEX(Workers!$B$5:$B$2004,MATCH($D569,Workers!$A$5:$A$2004,0)),"NOT FOUND"))</f>
        <v/>
      </c>
      <c r="J569" s="24" t="str">
        <f aca="false">IF($D569="","",IFERROR(INDEX(Workers!$C$5:$C$2004,MATCH($D569,Workers!$A$5:$A$2004,0)),""))</f>
        <v/>
      </c>
      <c r="K569" s="24" t="str">
        <f aca="false">IF($D569="","",IFERROR(IF(INDEX(Workers!$D$5:$D$2004,MATCH($D569,Workers!$A$5:$A$2004,0))=0,"",INDEX(Workers!$D$5:$D$2004,MATCH($D569,Workers!$A$5:$A$2004,0))),""))</f>
        <v/>
      </c>
      <c r="L569" s="24" t="str">
        <f aca="false">IF($D569="","",IFERROR(INDEX(Workers!$E$5:$E$2004,MATCH($D569,Workers!$A$5:$A$2004,0)),""))</f>
        <v/>
      </c>
      <c r="M569" s="26" t="str">
        <f aca="false">IF($D569="","",IFERROR(INDEX(ClientRates!$D$5:$D$500,MATCH($B569&amp;"|"&amp;$L569,ClientRates!$A$5:$A$500,0)),0))</f>
        <v/>
      </c>
      <c r="N569" s="26" t="str">
        <f aca="false">IF($D569="","",IFERROR(INDEX(ClientRates!$E$5:$E$500,MATCH($B569&amp;"|"&amp;$L569,ClientRates!$A$5:$A$500,0)),0))</f>
        <v/>
      </c>
      <c r="O569" s="26" t="str">
        <f aca="false">IF($D569="","",F569*M569+G569*N569)</f>
        <v/>
      </c>
      <c r="P569" s="26" t="str">
        <f aca="false">IF(OR($D569="",$J569&lt;&gt;"Supplier"),"",IFERROR(INDEX(SupplierRates!$D$5:$D$500,MATCH($K569&amp;"|"&amp;$L569,SupplierRates!$A$5:$A$500,0)),0))</f>
        <v/>
      </c>
      <c r="Q569" s="26" t="str">
        <f aca="false">IF(OR($D569="",$J569&lt;&gt;"Supplier"),"",IFERROR(INDEX(SupplierRates!$E$5:$E$500,MATCH($K569&amp;"|"&amp;$L569,SupplierRates!$A$5:$A$500,0)),0))</f>
        <v/>
      </c>
      <c r="R569" s="26" t="n">
        <f aca="false">IF(OR($D569="",$J569&lt;&gt;"Supplier"),0,F569*P569+G569*Q569)</f>
        <v>0</v>
      </c>
      <c r="S569" s="26" t="n">
        <f aca="false">IF(OR($D569="",$J569&lt;&gt;"Own"),0,IFERROR((F569+G569*Settings!$B$13)*INDEX(Workers!$V$5:$V$2004,MATCH($D569,Workers!$A$5:$A$2004,0)),0))</f>
        <v>0</v>
      </c>
      <c r="T569" s="26" t="str">
        <f aca="false">IF($D569="","",O569-R569-S569)</f>
        <v/>
      </c>
    </row>
    <row r="570" customFormat="false" ht="15" hidden="false" customHeight="false" outlineLevel="0" collapsed="false">
      <c r="I570" s="24" t="str">
        <f aca="false">IF($D570="","",IFERROR(INDEX(Workers!$B$5:$B$2004,MATCH($D570,Workers!$A$5:$A$2004,0)),"NOT FOUND"))</f>
        <v/>
      </c>
      <c r="J570" s="24" t="str">
        <f aca="false">IF($D570="","",IFERROR(INDEX(Workers!$C$5:$C$2004,MATCH($D570,Workers!$A$5:$A$2004,0)),""))</f>
        <v/>
      </c>
      <c r="K570" s="24" t="str">
        <f aca="false">IF($D570="","",IFERROR(IF(INDEX(Workers!$D$5:$D$2004,MATCH($D570,Workers!$A$5:$A$2004,0))=0,"",INDEX(Workers!$D$5:$D$2004,MATCH($D570,Workers!$A$5:$A$2004,0))),""))</f>
        <v/>
      </c>
      <c r="L570" s="24" t="str">
        <f aca="false">IF($D570="","",IFERROR(INDEX(Workers!$E$5:$E$2004,MATCH($D570,Workers!$A$5:$A$2004,0)),""))</f>
        <v/>
      </c>
      <c r="M570" s="26" t="str">
        <f aca="false">IF($D570="","",IFERROR(INDEX(ClientRates!$D$5:$D$500,MATCH($B570&amp;"|"&amp;$L570,ClientRates!$A$5:$A$500,0)),0))</f>
        <v/>
      </c>
      <c r="N570" s="26" t="str">
        <f aca="false">IF($D570="","",IFERROR(INDEX(ClientRates!$E$5:$E$500,MATCH($B570&amp;"|"&amp;$L570,ClientRates!$A$5:$A$500,0)),0))</f>
        <v/>
      </c>
      <c r="O570" s="26" t="str">
        <f aca="false">IF($D570="","",F570*M570+G570*N570)</f>
        <v/>
      </c>
      <c r="P570" s="26" t="str">
        <f aca="false">IF(OR($D570="",$J570&lt;&gt;"Supplier"),"",IFERROR(INDEX(SupplierRates!$D$5:$D$500,MATCH($K570&amp;"|"&amp;$L570,SupplierRates!$A$5:$A$500,0)),0))</f>
        <v/>
      </c>
      <c r="Q570" s="26" t="str">
        <f aca="false">IF(OR($D570="",$J570&lt;&gt;"Supplier"),"",IFERROR(INDEX(SupplierRates!$E$5:$E$500,MATCH($K570&amp;"|"&amp;$L570,SupplierRates!$A$5:$A$500,0)),0))</f>
        <v/>
      </c>
      <c r="R570" s="26" t="n">
        <f aca="false">IF(OR($D570="",$J570&lt;&gt;"Supplier"),0,F570*P570+G570*Q570)</f>
        <v>0</v>
      </c>
      <c r="S570" s="26" t="n">
        <f aca="false">IF(OR($D570="",$J570&lt;&gt;"Own"),0,IFERROR((F570+G570*Settings!$B$13)*INDEX(Workers!$V$5:$V$2004,MATCH($D570,Workers!$A$5:$A$2004,0)),0))</f>
        <v>0</v>
      </c>
      <c r="T570" s="26" t="str">
        <f aca="false">IF($D570="","",O570-R570-S570)</f>
        <v/>
      </c>
    </row>
    <row r="571" customFormat="false" ht="15" hidden="false" customHeight="false" outlineLevel="0" collapsed="false">
      <c r="I571" s="24" t="str">
        <f aca="false">IF($D571="","",IFERROR(INDEX(Workers!$B$5:$B$2004,MATCH($D571,Workers!$A$5:$A$2004,0)),"NOT FOUND"))</f>
        <v/>
      </c>
      <c r="J571" s="24" t="str">
        <f aca="false">IF($D571="","",IFERROR(INDEX(Workers!$C$5:$C$2004,MATCH($D571,Workers!$A$5:$A$2004,0)),""))</f>
        <v/>
      </c>
      <c r="K571" s="24" t="str">
        <f aca="false">IF($D571="","",IFERROR(IF(INDEX(Workers!$D$5:$D$2004,MATCH($D571,Workers!$A$5:$A$2004,0))=0,"",INDEX(Workers!$D$5:$D$2004,MATCH($D571,Workers!$A$5:$A$2004,0))),""))</f>
        <v/>
      </c>
      <c r="L571" s="24" t="str">
        <f aca="false">IF($D571="","",IFERROR(INDEX(Workers!$E$5:$E$2004,MATCH($D571,Workers!$A$5:$A$2004,0)),""))</f>
        <v/>
      </c>
      <c r="M571" s="26" t="str">
        <f aca="false">IF($D571="","",IFERROR(INDEX(ClientRates!$D$5:$D$500,MATCH($B571&amp;"|"&amp;$L571,ClientRates!$A$5:$A$500,0)),0))</f>
        <v/>
      </c>
      <c r="N571" s="26" t="str">
        <f aca="false">IF($D571="","",IFERROR(INDEX(ClientRates!$E$5:$E$500,MATCH($B571&amp;"|"&amp;$L571,ClientRates!$A$5:$A$500,0)),0))</f>
        <v/>
      </c>
      <c r="O571" s="26" t="str">
        <f aca="false">IF($D571="","",F571*M571+G571*N571)</f>
        <v/>
      </c>
      <c r="P571" s="26" t="str">
        <f aca="false">IF(OR($D571="",$J571&lt;&gt;"Supplier"),"",IFERROR(INDEX(SupplierRates!$D$5:$D$500,MATCH($K571&amp;"|"&amp;$L571,SupplierRates!$A$5:$A$500,0)),0))</f>
        <v/>
      </c>
      <c r="Q571" s="26" t="str">
        <f aca="false">IF(OR($D571="",$J571&lt;&gt;"Supplier"),"",IFERROR(INDEX(SupplierRates!$E$5:$E$500,MATCH($K571&amp;"|"&amp;$L571,SupplierRates!$A$5:$A$500,0)),0))</f>
        <v/>
      </c>
      <c r="R571" s="26" t="n">
        <f aca="false">IF(OR($D571="",$J571&lt;&gt;"Supplier"),0,F571*P571+G571*Q571)</f>
        <v>0</v>
      </c>
      <c r="S571" s="26" t="n">
        <f aca="false">IF(OR($D571="",$J571&lt;&gt;"Own"),0,IFERROR((F571+G571*Settings!$B$13)*INDEX(Workers!$V$5:$V$2004,MATCH($D571,Workers!$A$5:$A$2004,0)),0))</f>
        <v>0</v>
      </c>
      <c r="T571" s="26" t="str">
        <f aca="false">IF($D571="","",O571-R571-S571)</f>
        <v/>
      </c>
    </row>
    <row r="572" customFormat="false" ht="15" hidden="false" customHeight="false" outlineLevel="0" collapsed="false">
      <c r="I572" s="24" t="str">
        <f aca="false">IF($D572="","",IFERROR(INDEX(Workers!$B$5:$B$2004,MATCH($D572,Workers!$A$5:$A$2004,0)),"NOT FOUND"))</f>
        <v/>
      </c>
      <c r="J572" s="24" t="str">
        <f aca="false">IF($D572="","",IFERROR(INDEX(Workers!$C$5:$C$2004,MATCH($D572,Workers!$A$5:$A$2004,0)),""))</f>
        <v/>
      </c>
      <c r="K572" s="24" t="str">
        <f aca="false">IF($D572="","",IFERROR(IF(INDEX(Workers!$D$5:$D$2004,MATCH($D572,Workers!$A$5:$A$2004,0))=0,"",INDEX(Workers!$D$5:$D$2004,MATCH($D572,Workers!$A$5:$A$2004,0))),""))</f>
        <v/>
      </c>
      <c r="L572" s="24" t="str">
        <f aca="false">IF($D572="","",IFERROR(INDEX(Workers!$E$5:$E$2004,MATCH($D572,Workers!$A$5:$A$2004,0)),""))</f>
        <v/>
      </c>
      <c r="M572" s="26" t="str">
        <f aca="false">IF($D572="","",IFERROR(INDEX(ClientRates!$D$5:$D$500,MATCH($B572&amp;"|"&amp;$L572,ClientRates!$A$5:$A$500,0)),0))</f>
        <v/>
      </c>
      <c r="N572" s="26" t="str">
        <f aca="false">IF($D572="","",IFERROR(INDEX(ClientRates!$E$5:$E$500,MATCH($B572&amp;"|"&amp;$L572,ClientRates!$A$5:$A$500,0)),0))</f>
        <v/>
      </c>
      <c r="O572" s="26" t="str">
        <f aca="false">IF($D572="","",F572*M572+G572*N572)</f>
        <v/>
      </c>
      <c r="P572" s="26" t="str">
        <f aca="false">IF(OR($D572="",$J572&lt;&gt;"Supplier"),"",IFERROR(INDEX(SupplierRates!$D$5:$D$500,MATCH($K572&amp;"|"&amp;$L572,SupplierRates!$A$5:$A$500,0)),0))</f>
        <v/>
      </c>
      <c r="Q572" s="26" t="str">
        <f aca="false">IF(OR($D572="",$J572&lt;&gt;"Supplier"),"",IFERROR(INDEX(SupplierRates!$E$5:$E$500,MATCH($K572&amp;"|"&amp;$L572,SupplierRates!$A$5:$A$500,0)),0))</f>
        <v/>
      </c>
      <c r="R572" s="26" t="n">
        <f aca="false">IF(OR($D572="",$J572&lt;&gt;"Supplier"),0,F572*P572+G572*Q572)</f>
        <v>0</v>
      </c>
      <c r="S572" s="26" t="n">
        <f aca="false">IF(OR($D572="",$J572&lt;&gt;"Own"),0,IFERROR((F572+G572*Settings!$B$13)*INDEX(Workers!$V$5:$V$2004,MATCH($D572,Workers!$A$5:$A$2004,0)),0))</f>
        <v>0</v>
      </c>
      <c r="T572" s="26" t="str">
        <f aca="false">IF($D572="","",O572-R572-S572)</f>
        <v/>
      </c>
    </row>
    <row r="573" customFormat="false" ht="15" hidden="false" customHeight="false" outlineLevel="0" collapsed="false">
      <c r="I573" s="24" t="str">
        <f aca="false">IF($D573="","",IFERROR(INDEX(Workers!$B$5:$B$2004,MATCH($D573,Workers!$A$5:$A$2004,0)),"NOT FOUND"))</f>
        <v/>
      </c>
      <c r="J573" s="24" t="str">
        <f aca="false">IF($D573="","",IFERROR(INDEX(Workers!$C$5:$C$2004,MATCH($D573,Workers!$A$5:$A$2004,0)),""))</f>
        <v/>
      </c>
      <c r="K573" s="24" t="str">
        <f aca="false">IF($D573="","",IFERROR(IF(INDEX(Workers!$D$5:$D$2004,MATCH($D573,Workers!$A$5:$A$2004,0))=0,"",INDEX(Workers!$D$5:$D$2004,MATCH($D573,Workers!$A$5:$A$2004,0))),""))</f>
        <v/>
      </c>
      <c r="L573" s="24" t="str">
        <f aca="false">IF($D573="","",IFERROR(INDEX(Workers!$E$5:$E$2004,MATCH($D573,Workers!$A$5:$A$2004,0)),""))</f>
        <v/>
      </c>
      <c r="M573" s="26" t="str">
        <f aca="false">IF($D573="","",IFERROR(INDEX(ClientRates!$D$5:$D$500,MATCH($B573&amp;"|"&amp;$L573,ClientRates!$A$5:$A$500,0)),0))</f>
        <v/>
      </c>
      <c r="N573" s="26" t="str">
        <f aca="false">IF($D573="","",IFERROR(INDEX(ClientRates!$E$5:$E$500,MATCH($B573&amp;"|"&amp;$L573,ClientRates!$A$5:$A$500,0)),0))</f>
        <v/>
      </c>
      <c r="O573" s="26" t="str">
        <f aca="false">IF($D573="","",F573*M573+G573*N573)</f>
        <v/>
      </c>
      <c r="P573" s="26" t="str">
        <f aca="false">IF(OR($D573="",$J573&lt;&gt;"Supplier"),"",IFERROR(INDEX(SupplierRates!$D$5:$D$500,MATCH($K573&amp;"|"&amp;$L573,SupplierRates!$A$5:$A$500,0)),0))</f>
        <v/>
      </c>
      <c r="Q573" s="26" t="str">
        <f aca="false">IF(OR($D573="",$J573&lt;&gt;"Supplier"),"",IFERROR(INDEX(SupplierRates!$E$5:$E$500,MATCH($K573&amp;"|"&amp;$L573,SupplierRates!$A$5:$A$500,0)),0))</f>
        <v/>
      </c>
      <c r="R573" s="26" t="n">
        <f aca="false">IF(OR($D573="",$J573&lt;&gt;"Supplier"),0,F573*P573+G573*Q573)</f>
        <v>0</v>
      </c>
      <c r="S573" s="26" t="n">
        <f aca="false">IF(OR($D573="",$J573&lt;&gt;"Own"),0,IFERROR((F573+G573*Settings!$B$13)*INDEX(Workers!$V$5:$V$2004,MATCH($D573,Workers!$A$5:$A$2004,0)),0))</f>
        <v>0</v>
      </c>
      <c r="T573" s="26" t="str">
        <f aca="false">IF($D573="","",O573-R573-S573)</f>
        <v/>
      </c>
    </row>
    <row r="574" customFormat="false" ht="15" hidden="false" customHeight="false" outlineLevel="0" collapsed="false">
      <c r="I574" s="24" t="str">
        <f aca="false">IF($D574="","",IFERROR(INDEX(Workers!$B$5:$B$2004,MATCH($D574,Workers!$A$5:$A$2004,0)),"NOT FOUND"))</f>
        <v/>
      </c>
      <c r="J574" s="24" t="str">
        <f aca="false">IF($D574="","",IFERROR(INDEX(Workers!$C$5:$C$2004,MATCH($D574,Workers!$A$5:$A$2004,0)),""))</f>
        <v/>
      </c>
      <c r="K574" s="24" t="str">
        <f aca="false">IF($D574="","",IFERROR(IF(INDEX(Workers!$D$5:$D$2004,MATCH($D574,Workers!$A$5:$A$2004,0))=0,"",INDEX(Workers!$D$5:$D$2004,MATCH($D574,Workers!$A$5:$A$2004,0))),""))</f>
        <v/>
      </c>
      <c r="L574" s="24" t="str">
        <f aca="false">IF($D574="","",IFERROR(INDEX(Workers!$E$5:$E$2004,MATCH($D574,Workers!$A$5:$A$2004,0)),""))</f>
        <v/>
      </c>
      <c r="M574" s="26" t="str">
        <f aca="false">IF($D574="","",IFERROR(INDEX(ClientRates!$D$5:$D$500,MATCH($B574&amp;"|"&amp;$L574,ClientRates!$A$5:$A$500,0)),0))</f>
        <v/>
      </c>
      <c r="N574" s="26" t="str">
        <f aca="false">IF($D574="","",IFERROR(INDEX(ClientRates!$E$5:$E$500,MATCH($B574&amp;"|"&amp;$L574,ClientRates!$A$5:$A$500,0)),0))</f>
        <v/>
      </c>
      <c r="O574" s="26" t="str">
        <f aca="false">IF($D574="","",F574*M574+G574*N574)</f>
        <v/>
      </c>
      <c r="P574" s="26" t="str">
        <f aca="false">IF(OR($D574="",$J574&lt;&gt;"Supplier"),"",IFERROR(INDEX(SupplierRates!$D$5:$D$500,MATCH($K574&amp;"|"&amp;$L574,SupplierRates!$A$5:$A$500,0)),0))</f>
        <v/>
      </c>
      <c r="Q574" s="26" t="str">
        <f aca="false">IF(OR($D574="",$J574&lt;&gt;"Supplier"),"",IFERROR(INDEX(SupplierRates!$E$5:$E$500,MATCH($K574&amp;"|"&amp;$L574,SupplierRates!$A$5:$A$500,0)),0))</f>
        <v/>
      </c>
      <c r="R574" s="26" t="n">
        <f aca="false">IF(OR($D574="",$J574&lt;&gt;"Supplier"),0,F574*P574+G574*Q574)</f>
        <v>0</v>
      </c>
      <c r="S574" s="26" t="n">
        <f aca="false">IF(OR($D574="",$J574&lt;&gt;"Own"),0,IFERROR((F574+G574*Settings!$B$13)*INDEX(Workers!$V$5:$V$2004,MATCH($D574,Workers!$A$5:$A$2004,0)),0))</f>
        <v>0</v>
      </c>
      <c r="T574" s="26" t="str">
        <f aca="false">IF($D574="","",O574-R574-S574)</f>
        <v/>
      </c>
    </row>
    <row r="575" customFormat="false" ht="15" hidden="false" customHeight="false" outlineLevel="0" collapsed="false">
      <c r="I575" s="24" t="str">
        <f aca="false">IF($D575="","",IFERROR(INDEX(Workers!$B$5:$B$2004,MATCH($D575,Workers!$A$5:$A$2004,0)),"NOT FOUND"))</f>
        <v/>
      </c>
      <c r="J575" s="24" t="str">
        <f aca="false">IF($D575="","",IFERROR(INDEX(Workers!$C$5:$C$2004,MATCH($D575,Workers!$A$5:$A$2004,0)),""))</f>
        <v/>
      </c>
      <c r="K575" s="24" t="str">
        <f aca="false">IF($D575="","",IFERROR(IF(INDEX(Workers!$D$5:$D$2004,MATCH($D575,Workers!$A$5:$A$2004,0))=0,"",INDEX(Workers!$D$5:$D$2004,MATCH($D575,Workers!$A$5:$A$2004,0))),""))</f>
        <v/>
      </c>
      <c r="L575" s="24" t="str">
        <f aca="false">IF($D575="","",IFERROR(INDEX(Workers!$E$5:$E$2004,MATCH($D575,Workers!$A$5:$A$2004,0)),""))</f>
        <v/>
      </c>
      <c r="M575" s="26" t="str">
        <f aca="false">IF($D575="","",IFERROR(INDEX(ClientRates!$D$5:$D$500,MATCH($B575&amp;"|"&amp;$L575,ClientRates!$A$5:$A$500,0)),0))</f>
        <v/>
      </c>
      <c r="N575" s="26" t="str">
        <f aca="false">IF($D575="","",IFERROR(INDEX(ClientRates!$E$5:$E$500,MATCH($B575&amp;"|"&amp;$L575,ClientRates!$A$5:$A$500,0)),0))</f>
        <v/>
      </c>
      <c r="O575" s="26" t="str">
        <f aca="false">IF($D575="","",F575*M575+G575*N575)</f>
        <v/>
      </c>
      <c r="P575" s="26" t="str">
        <f aca="false">IF(OR($D575="",$J575&lt;&gt;"Supplier"),"",IFERROR(INDEX(SupplierRates!$D$5:$D$500,MATCH($K575&amp;"|"&amp;$L575,SupplierRates!$A$5:$A$500,0)),0))</f>
        <v/>
      </c>
      <c r="Q575" s="26" t="str">
        <f aca="false">IF(OR($D575="",$J575&lt;&gt;"Supplier"),"",IFERROR(INDEX(SupplierRates!$E$5:$E$500,MATCH($K575&amp;"|"&amp;$L575,SupplierRates!$A$5:$A$500,0)),0))</f>
        <v/>
      </c>
      <c r="R575" s="26" t="n">
        <f aca="false">IF(OR($D575="",$J575&lt;&gt;"Supplier"),0,F575*P575+G575*Q575)</f>
        <v>0</v>
      </c>
      <c r="S575" s="26" t="n">
        <f aca="false">IF(OR($D575="",$J575&lt;&gt;"Own"),0,IFERROR((F575+G575*Settings!$B$13)*INDEX(Workers!$V$5:$V$2004,MATCH($D575,Workers!$A$5:$A$2004,0)),0))</f>
        <v>0</v>
      </c>
      <c r="T575" s="26" t="str">
        <f aca="false">IF($D575="","",O575-R575-S575)</f>
        <v/>
      </c>
    </row>
    <row r="576" customFormat="false" ht="15" hidden="false" customHeight="false" outlineLevel="0" collapsed="false">
      <c r="I576" s="24" t="str">
        <f aca="false">IF($D576="","",IFERROR(INDEX(Workers!$B$5:$B$2004,MATCH($D576,Workers!$A$5:$A$2004,0)),"NOT FOUND"))</f>
        <v/>
      </c>
      <c r="J576" s="24" t="str">
        <f aca="false">IF($D576="","",IFERROR(INDEX(Workers!$C$5:$C$2004,MATCH($D576,Workers!$A$5:$A$2004,0)),""))</f>
        <v/>
      </c>
      <c r="K576" s="24" t="str">
        <f aca="false">IF($D576="","",IFERROR(IF(INDEX(Workers!$D$5:$D$2004,MATCH($D576,Workers!$A$5:$A$2004,0))=0,"",INDEX(Workers!$D$5:$D$2004,MATCH($D576,Workers!$A$5:$A$2004,0))),""))</f>
        <v/>
      </c>
      <c r="L576" s="24" t="str">
        <f aca="false">IF($D576="","",IFERROR(INDEX(Workers!$E$5:$E$2004,MATCH($D576,Workers!$A$5:$A$2004,0)),""))</f>
        <v/>
      </c>
      <c r="M576" s="26" t="str">
        <f aca="false">IF($D576="","",IFERROR(INDEX(ClientRates!$D$5:$D$500,MATCH($B576&amp;"|"&amp;$L576,ClientRates!$A$5:$A$500,0)),0))</f>
        <v/>
      </c>
      <c r="N576" s="26" t="str">
        <f aca="false">IF($D576="","",IFERROR(INDEX(ClientRates!$E$5:$E$500,MATCH($B576&amp;"|"&amp;$L576,ClientRates!$A$5:$A$500,0)),0))</f>
        <v/>
      </c>
      <c r="O576" s="26" t="str">
        <f aca="false">IF($D576="","",F576*M576+G576*N576)</f>
        <v/>
      </c>
      <c r="P576" s="26" t="str">
        <f aca="false">IF(OR($D576="",$J576&lt;&gt;"Supplier"),"",IFERROR(INDEX(SupplierRates!$D$5:$D$500,MATCH($K576&amp;"|"&amp;$L576,SupplierRates!$A$5:$A$500,0)),0))</f>
        <v/>
      </c>
      <c r="Q576" s="26" t="str">
        <f aca="false">IF(OR($D576="",$J576&lt;&gt;"Supplier"),"",IFERROR(INDEX(SupplierRates!$E$5:$E$500,MATCH($K576&amp;"|"&amp;$L576,SupplierRates!$A$5:$A$500,0)),0))</f>
        <v/>
      </c>
      <c r="R576" s="26" t="n">
        <f aca="false">IF(OR($D576="",$J576&lt;&gt;"Supplier"),0,F576*P576+G576*Q576)</f>
        <v>0</v>
      </c>
      <c r="S576" s="26" t="n">
        <f aca="false">IF(OR($D576="",$J576&lt;&gt;"Own"),0,IFERROR((F576+G576*Settings!$B$13)*INDEX(Workers!$V$5:$V$2004,MATCH($D576,Workers!$A$5:$A$2004,0)),0))</f>
        <v>0</v>
      </c>
      <c r="T576" s="26" t="str">
        <f aca="false">IF($D576="","",O576-R576-S576)</f>
        <v/>
      </c>
    </row>
    <row r="577" customFormat="false" ht="15" hidden="false" customHeight="false" outlineLevel="0" collapsed="false">
      <c r="I577" s="24" t="str">
        <f aca="false">IF($D577="","",IFERROR(INDEX(Workers!$B$5:$B$2004,MATCH($D577,Workers!$A$5:$A$2004,0)),"NOT FOUND"))</f>
        <v/>
      </c>
      <c r="J577" s="24" t="str">
        <f aca="false">IF($D577="","",IFERROR(INDEX(Workers!$C$5:$C$2004,MATCH($D577,Workers!$A$5:$A$2004,0)),""))</f>
        <v/>
      </c>
      <c r="K577" s="24" t="str">
        <f aca="false">IF($D577="","",IFERROR(IF(INDEX(Workers!$D$5:$D$2004,MATCH($D577,Workers!$A$5:$A$2004,0))=0,"",INDEX(Workers!$D$5:$D$2004,MATCH($D577,Workers!$A$5:$A$2004,0))),""))</f>
        <v/>
      </c>
      <c r="L577" s="24" t="str">
        <f aca="false">IF($D577="","",IFERROR(INDEX(Workers!$E$5:$E$2004,MATCH($D577,Workers!$A$5:$A$2004,0)),""))</f>
        <v/>
      </c>
      <c r="M577" s="26" t="str">
        <f aca="false">IF($D577="","",IFERROR(INDEX(ClientRates!$D$5:$D$500,MATCH($B577&amp;"|"&amp;$L577,ClientRates!$A$5:$A$500,0)),0))</f>
        <v/>
      </c>
      <c r="N577" s="26" t="str">
        <f aca="false">IF($D577="","",IFERROR(INDEX(ClientRates!$E$5:$E$500,MATCH($B577&amp;"|"&amp;$L577,ClientRates!$A$5:$A$500,0)),0))</f>
        <v/>
      </c>
      <c r="O577" s="26" t="str">
        <f aca="false">IF($D577="","",F577*M577+G577*N577)</f>
        <v/>
      </c>
      <c r="P577" s="26" t="str">
        <f aca="false">IF(OR($D577="",$J577&lt;&gt;"Supplier"),"",IFERROR(INDEX(SupplierRates!$D$5:$D$500,MATCH($K577&amp;"|"&amp;$L577,SupplierRates!$A$5:$A$500,0)),0))</f>
        <v/>
      </c>
      <c r="Q577" s="26" t="str">
        <f aca="false">IF(OR($D577="",$J577&lt;&gt;"Supplier"),"",IFERROR(INDEX(SupplierRates!$E$5:$E$500,MATCH($K577&amp;"|"&amp;$L577,SupplierRates!$A$5:$A$500,0)),0))</f>
        <v/>
      </c>
      <c r="R577" s="26" t="n">
        <f aca="false">IF(OR($D577="",$J577&lt;&gt;"Supplier"),0,F577*P577+G577*Q577)</f>
        <v>0</v>
      </c>
      <c r="S577" s="26" t="n">
        <f aca="false">IF(OR($D577="",$J577&lt;&gt;"Own"),0,IFERROR((F577+G577*Settings!$B$13)*INDEX(Workers!$V$5:$V$2004,MATCH($D577,Workers!$A$5:$A$2004,0)),0))</f>
        <v>0</v>
      </c>
      <c r="T577" s="26" t="str">
        <f aca="false">IF($D577="","",O577-R577-S577)</f>
        <v/>
      </c>
    </row>
    <row r="578" customFormat="false" ht="15" hidden="false" customHeight="false" outlineLevel="0" collapsed="false">
      <c r="I578" s="24" t="str">
        <f aca="false">IF($D578="","",IFERROR(INDEX(Workers!$B$5:$B$2004,MATCH($D578,Workers!$A$5:$A$2004,0)),"NOT FOUND"))</f>
        <v/>
      </c>
      <c r="J578" s="24" t="str">
        <f aca="false">IF($D578="","",IFERROR(INDEX(Workers!$C$5:$C$2004,MATCH($D578,Workers!$A$5:$A$2004,0)),""))</f>
        <v/>
      </c>
      <c r="K578" s="24" t="str">
        <f aca="false">IF($D578="","",IFERROR(IF(INDEX(Workers!$D$5:$D$2004,MATCH($D578,Workers!$A$5:$A$2004,0))=0,"",INDEX(Workers!$D$5:$D$2004,MATCH($D578,Workers!$A$5:$A$2004,0))),""))</f>
        <v/>
      </c>
      <c r="L578" s="24" t="str">
        <f aca="false">IF($D578="","",IFERROR(INDEX(Workers!$E$5:$E$2004,MATCH($D578,Workers!$A$5:$A$2004,0)),""))</f>
        <v/>
      </c>
      <c r="M578" s="26" t="str">
        <f aca="false">IF($D578="","",IFERROR(INDEX(ClientRates!$D$5:$D$500,MATCH($B578&amp;"|"&amp;$L578,ClientRates!$A$5:$A$500,0)),0))</f>
        <v/>
      </c>
      <c r="N578" s="26" t="str">
        <f aca="false">IF($D578="","",IFERROR(INDEX(ClientRates!$E$5:$E$500,MATCH($B578&amp;"|"&amp;$L578,ClientRates!$A$5:$A$500,0)),0))</f>
        <v/>
      </c>
      <c r="O578" s="26" t="str">
        <f aca="false">IF($D578="","",F578*M578+G578*N578)</f>
        <v/>
      </c>
      <c r="P578" s="26" t="str">
        <f aca="false">IF(OR($D578="",$J578&lt;&gt;"Supplier"),"",IFERROR(INDEX(SupplierRates!$D$5:$D$500,MATCH($K578&amp;"|"&amp;$L578,SupplierRates!$A$5:$A$500,0)),0))</f>
        <v/>
      </c>
      <c r="Q578" s="26" t="str">
        <f aca="false">IF(OR($D578="",$J578&lt;&gt;"Supplier"),"",IFERROR(INDEX(SupplierRates!$E$5:$E$500,MATCH($K578&amp;"|"&amp;$L578,SupplierRates!$A$5:$A$500,0)),0))</f>
        <v/>
      </c>
      <c r="R578" s="26" t="n">
        <f aca="false">IF(OR($D578="",$J578&lt;&gt;"Supplier"),0,F578*P578+G578*Q578)</f>
        <v>0</v>
      </c>
      <c r="S578" s="26" t="n">
        <f aca="false">IF(OR($D578="",$J578&lt;&gt;"Own"),0,IFERROR((F578+G578*Settings!$B$13)*INDEX(Workers!$V$5:$V$2004,MATCH($D578,Workers!$A$5:$A$2004,0)),0))</f>
        <v>0</v>
      </c>
      <c r="T578" s="26" t="str">
        <f aca="false">IF($D578="","",O578-R578-S578)</f>
        <v/>
      </c>
    </row>
    <row r="579" customFormat="false" ht="15" hidden="false" customHeight="false" outlineLevel="0" collapsed="false">
      <c r="I579" s="24" t="str">
        <f aca="false">IF($D579="","",IFERROR(INDEX(Workers!$B$5:$B$2004,MATCH($D579,Workers!$A$5:$A$2004,0)),"NOT FOUND"))</f>
        <v/>
      </c>
      <c r="J579" s="24" t="str">
        <f aca="false">IF($D579="","",IFERROR(INDEX(Workers!$C$5:$C$2004,MATCH($D579,Workers!$A$5:$A$2004,0)),""))</f>
        <v/>
      </c>
      <c r="K579" s="24" t="str">
        <f aca="false">IF($D579="","",IFERROR(IF(INDEX(Workers!$D$5:$D$2004,MATCH($D579,Workers!$A$5:$A$2004,0))=0,"",INDEX(Workers!$D$5:$D$2004,MATCH($D579,Workers!$A$5:$A$2004,0))),""))</f>
        <v/>
      </c>
      <c r="L579" s="24" t="str">
        <f aca="false">IF($D579="","",IFERROR(INDEX(Workers!$E$5:$E$2004,MATCH($D579,Workers!$A$5:$A$2004,0)),""))</f>
        <v/>
      </c>
      <c r="M579" s="26" t="str">
        <f aca="false">IF($D579="","",IFERROR(INDEX(ClientRates!$D$5:$D$500,MATCH($B579&amp;"|"&amp;$L579,ClientRates!$A$5:$A$500,0)),0))</f>
        <v/>
      </c>
      <c r="N579" s="26" t="str">
        <f aca="false">IF($D579="","",IFERROR(INDEX(ClientRates!$E$5:$E$500,MATCH($B579&amp;"|"&amp;$L579,ClientRates!$A$5:$A$500,0)),0))</f>
        <v/>
      </c>
      <c r="O579" s="26" t="str">
        <f aca="false">IF($D579="","",F579*M579+G579*N579)</f>
        <v/>
      </c>
      <c r="P579" s="26" t="str">
        <f aca="false">IF(OR($D579="",$J579&lt;&gt;"Supplier"),"",IFERROR(INDEX(SupplierRates!$D$5:$D$500,MATCH($K579&amp;"|"&amp;$L579,SupplierRates!$A$5:$A$500,0)),0))</f>
        <v/>
      </c>
      <c r="Q579" s="26" t="str">
        <f aca="false">IF(OR($D579="",$J579&lt;&gt;"Supplier"),"",IFERROR(INDEX(SupplierRates!$E$5:$E$500,MATCH($K579&amp;"|"&amp;$L579,SupplierRates!$A$5:$A$500,0)),0))</f>
        <v/>
      </c>
      <c r="R579" s="26" t="n">
        <f aca="false">IF(OR($D579="",$J579&lt;&gt;"Supplier"),0,F579*P579+G579*Q579)</f>
        <v>0</v>
      </c>
      <c r="S579" s="26" t="n">
        <f aca="false">IF(OR($D579="",$J579&lt;&gt;"Own"),0,IFERROR((F579+G579*Settings!$B$13)*INDEX(Workers!$V$5:$V$2004,MATCH($D579,Workers!$A$5:$A$2004,0)),0))</f>
        <v>0</v>
      </c>
      <c r="T579" s="26" t="str">
        <f aca="false">IF($D579="","",O579-R579-S579)</f>
        <v/>
      </c>
    </row>
    <row r="580" customFormat="false" ht="15" hidden="false" customHeight="false" outlineLevel="0" collapsed="false">
      <c r="I580" s="24" t="str">
        <f aca="false">IF($D580="","",IFERROR(INDEX(Workers!$B$5:$B$2004,MATCH($D580,Workers!$A$5:$A$2004,0)),"NOT FOUND"))</f>
        <v/>
      </c>
      <c r="J580" s="24" t="str">
        <f aca="false">IF($D580="","",IFERROR(INDEX(Workers!$C$5:$C$2004,MATCH($D580,Workers!$A$5:$A$2004,0)),""))</f>
        <v/>
      </c>
      <c r="K580" s="24" t="str">
        <f aca="false">IF($D580="","",IFERROR(IF(INDEX(Workers!$D$5:$D$2004,MATCH($D580,Workers!$A$5:$A$2004,0))=0,"",INDEX(Workers!$D$5:$D$2004,MATCH($D580,Workers!$A$5:$A$2004,0))),""))</f>
        <v/>
      </c>
      <c r="L580" s="24" t="str">
        <f aca="false">IF($D580="","",IFERROR(INDEX(Workers!$E$5:$E$2004,MATCH($D580,Workers!$A$5:$A$2004,0)),""))</f>
        <v/>
      </c>
      <c r="M580" s="26" t="str">
        <f aca="false">IF($D580="","",IFERROR(INDEX(ClientRates!$D$5:$D$500,MATCH($B580&amp;"|"&amp;$L580,ClientRates!$A$5:$A$500,0)),0))</f>
        <v/>
      </c>
      <c r="N580" s="26" t="str">
        <f aca="false">IF($D580="","",IFERROR(INDEX(ClientRates!$E$5:$E$500,MATCH($B580&amp;"|"&amp;$L580,ClientRates!$A$5:$A$500,0)),0))</f>
        <v/>
      </c>
      <c r="O580" s="26" t="str">
        <f aca="false">IF($D580="","",F580*M580+G580*N580)</f>
        <v/>
      </c>
      <c r="P580" s="26" t="str">
        <f aca="false">IF(OR($D580="",$J580&lt;&gt;"Supplier"),"",IFERROR(INDEX(SupplierRates!$D$5:$D$500,MATCH($K580&amp;"|"&amp;$L580,SupplierRates!$A$5:$A$500,0)),0))</f>
        <v/>
      </c>
      <c r="Q580" s="26" t="str">
        <f aca="false">IF(OR($D580="",$J580&lt;&gt;"Supplier"),"",IFERROR(INDEX(SupplierRates!$E$5:$E$500,MATCH($K580&amp;"|"&amp;$L580,SupplierRates!$A$5:$A$500,0)),0))</f>
        <v/>
      </c>
      <c r="R580" s="26" t="n">
        <f aca="false">IF(OR($D580="",$J580&lt;&gt;"Supplier"),0,F580*P580+G580*Q580)</f>
        <v>0</v>
      </c>
      <c r="S580" s="26" t="n">
        <f aca="false">IF(OR($D580="",$J580&lt;&gt;"Own"),0,IFERROR((F580+G580*Settings!$B$13)*INDEX(Workers!$V$5:$V$2004,MATCH($D580,Workers!$A$5:$A$2004,0)),0))</f>
        <v>0</v>
      </c>
      <c r="T580" s="26" t="str">
        <f aca="false">IF($D580="","",O580-R580-S580)</f>
        <v/>
      </c>
    </row>
    <row r="581" customFormat="false" ht="15" hidden="false" customHeight="false" outlineLevel="0" collapsed="false">
      <c r="I581" s="24" t="str">
        <f aca="false">IF($D581="","",IFERROR(INDEX(Workers!$B$5:$B$2004,MATCH($D581,Workers!$A$5:$A$2004,0)),"NOT FOUND"))</f>
        <v/>
      </c>
      <c r="J581" s="24" t="str">
        <f aca="false">IF($D581="","",IFERROR(INDEX(Workers!$C$5:$C$2004,MATCH($D581,Workers!$A$5:$A$2004,0)),""))</f>
        <v/>
      </c>
      <c r="K581" s="24" t="str">
        <f aca="false">IF($D581="","",IFERROR(IF(INDEX(Workers!$D$5:$D$2004,MATCH($D581,Workers!$A$5:$A$2004,0))=0,"",INDEX(Workers!$D$5:$D$2004,MATCH($D581,Workers!$A$5:$A$2004,0))),""))</f>
        <v/>
      </c>
      <c r="L581" s="24" t="str">
        <f aca="false">IF($D581="","",IFERROR(INDEX(Workers!$E$5:$E$2004,MATCH($D581,Workers!$A$5:$A$2004,0)),""))</f>
        <v/>
      </c>
      <c r="M581" s="26" t="str">
        <f aca="false">IF($D581="","",IFERROR(INDEX(ClientRates!$D$5:$D$500,MATCH($B581&amp;"|"&amp;$L581,ClientRates!$A$5:$A$500,0)),0))</f>
        <v/>
      </c>
      <c r="N581" s="26" t="str">
        <f aca="false">IF($D581="","",IFERROR(INDEX(ClientRates!$E$5:$E$500,MATCH($B581&amp;"|"&amp;$L581,ClientRates!$A$5:$A$500,0)),0))</f>
        <v/>
      </c>
      <c r="O581" s="26" t="str">
        <f aca="false">IF($D581="","",F581*M581+G581*N581)</f>
        <v/>
      </c>
      <c r="P581" s="26" t="str">
        <f aca="false">IF(OR($D581="",$J581&lt;&gt;"Supplier"),"",IFERROR(INDEX(SupplierRates!$D$5:$D$500,MATCH($K581&amp;"|"&amp;$L581,SupplierRates!$A$5:$A$500,0)),0))</f>
        <v/>
      </c>
      <c r="Q581" s="26" t="str">
        <f aca="false">IF(OR($D581="",$J581&lt;&gt;"Supplier"),"",IFERROR(INDEX(SupplierRates!$E$5:$E$500,MATCH($K581&amp;"|"&amp;$L581,SupplierRates!$A$5:$A$500,0)),0))</f>
        <v/>
      </c>
      <c r="R581" s="26" t="n">
        <f aca="false">IF(OR($D581="",$J581&lt;&gt;"Supplier"),0,F581*P581+G581*Q581)</f>
        <v>0</v>
      </c>
      <c r="S581" s="26" t="n">
        <f aca="false">IF(OR($D581="",$J581&lt;&gt;"Own"),0,IFERROR((F581+G581*Settings!$B$13)*INDEX(Workers!$V$5:$V$2004,MATCH($D581,Workers!$A$5:$A$2004,0)),0))</f>
        <v>0</v>
      </c>
      <c r="T581" s="26" t="str">
        <f aca="false">IF($D581="","",O581-R581-S581)</f>
        <v/>
      </c>
    </row>
    <row r="582" customFormat="false" ht="15" hidden="false" customHeight="false" outlineLevel="0" collapsed="false">
      <c r="I582" s="24" t="str">
        <f aca="false">IF($D582="","",IFERROR(INDEX(Workers!$B$5:$B$2004,MATCH($D582,Workers!$A$5:$A$2004,0)),"NOT FOUND"))</f>
        <v/>
      </c>
      <c r="J582" s="24" t="str">
        <f aca="false">IF($D582="","",IFERROR(INDEX(Workers!$C$5:$C$2004,MATCH($D582,Workers!$A$5:$A$2004,0)),""))</f>
        <v/>
      </c>
      <c r="K582" s="24" t="str">
        <f aca="false">IF($D582="","",IFERROR(IF(INDEX(Workers!$D$5:$D$2004,MATCH($D582,Workers!$A$5:$A$2004,0))=0,"",INDEX(Workers!$D$5:$D$2004,MATCH($D582,Workers!$A$5:$A$2004,0))),""))</f>
        <v/>
      </c>
      <c r="L582" s="24" t="str">
        <f aca="false">IF($D582="","",IFERROR(INDEX(Workers!$E$5:$E$2004,MATCH($D582,Workers!$A$5:$A$2004,0)),""))</f>
        <v/>
      </c>
      <c r="M582" s="26" t="str">
        <f aca="false">IF($D582="","",IFERROR(INDEX(ClientRates!$D$5:$D$500,MATCH($B582&amp;"|"&amp;$L582,ClientRates!$A$5:$A$500,0)),0))</f>
        <v/>
      </c>
      <c r="N582" s="26" t="str">
        <f aca="false">IF($D582="","",IFERROR(INDEX(ClientRates!$E$5:$E$500,MATCH($B582&amp;"|"&amp;$L582,ClientRates!$A$5:$A$500,0)),0))</f>
        <v/>
      </c>
      <c r="O582" s="26" t="str">
        <f aca="false">IF($D582="","",F582*M582+G582*N582)</f>
        <v/>
      </c>
      <c r="P582" s="26" t="str">
        <f aca="false">IF(OR($D582="",$J582&lt;&gt;"Supplier"),"",IFERROR(INDEX(SupplierRates!$D$5:$D$500,MATCH($K582&amp;"|"&amp;$L582,SupplierRates!$A$5:$A$500,0)),0))</f>
        <v/>
      </c>
      <c r="Q582" s="26" t="str">
        <f aca="false">IF(OR($D582="",$J582&lt;&gt;"Supplier"),"",IFERROR(INDEX(SupplierRates!$E$5:$E$500,MATCH($K582&amp;"|"&amp;$L582,SupplierRates!$A$5:$A$500,0)),0))</f>
        <v/>
      </c>
      <c r="R582" s="26" t="n">
        <f aca="false">IF(OR($D582="",$J582&lt;&gt;"Supplier"),0,F582*P582+G582*Q582)</f>
        <v>0</v>
      </c>
      <c r="S582" s="26" t="n">
        <f aca="false">IF(OR($D582="",$J582&lt;&gt;"Own"),0,IFERROR((F582+G582*Settings!$B$13)*INDEX(Workers!$V$5:$V$2004,MATCH($D582,Workers!$A$5:$A$2004,0)),0))</f>
        <v>0</v>
      </c>
      <c r="T582" s="26" t="str">
        <f aca="false">IF($D582="","",O582-R582-S582)</f>
        <v/>
      </c>
    </row>
    <row r="583" customFormat="false" ht="15" hidden="false" customHeight="false" outlineLevel="0" collapsed="false">
      <c r="I583" s="24" t="str">
        <f aca="false">IF($D583="","",IFERROR(INDEX(Workers!$B$5:$B$2004,MATCH($D583,Workers!$A$5:$A$2004,0)),"NOT FOUND"))</f>
        <v/>
      </c>
      <c r="J583" s="24" t="str">
        <f aca="false">IF($D583="","",IFERROR(INDEX(Workers!$C$5:$C$2004,MATCH($D583,Workers!$A$5:$A$2004,0)),""))</f>
        <v/>
      </c>
      <c r="K583" s="24" t="str">
        <f aca="false">IF($D583="","",IFERROR(IF(INDEX(Workers!$D$5:$D$2004,MATCH($D583,Workers!$A$5:$A$2004,0))=0,"",INDEX(Workers!$D$5:$D$2004,MATCH($D583,Workers!$A$5:$A$2004,0))),""))</f>
        <v/>
      </c>
      <c r="L583" s="24" t="str">
        <f aca="false">IF($D583="","",IFERROR(INDEX(Workers!$E$5:$E$2004,MATCH($D583,Workers!$A$5:$A$2004,0)),""))</f>
        <v/>
      </c>
      <c r="M583" s="26" t="str">
        <f aca="false">IF($D583="","",IFERROR(INDEX(ClientRates!$D$5:$D$500,MATCH($B583&amp;"|"&amp;$L583,ClientRates!$A$5:$A$500,0)),0))</f>
        <v/>
      </c>
      <c r="N583" s="26" t="str">
        <f aca="false">IF($D583="","",IFERROR(INDEX(ClientRates!$E$5:$E$500,MATCH($B583&amp;"|"&amp;$L583,ClientRates!$A$5:$A$500,0)),0))</f>
        <v/>
      </c>
      <c r="O583" s="26" t="str">
        <f aca="false">IF($D583="","",F583*M583+G583*N583)</f>
        <v/>
      </c>
      <c r="P583" s="26" t="str">
        <f aca="false">IF(OR($D583="",$J583&lt;&gt;"Supplier"),"",IFERROR(INDEX(SupplierRates!$D$5:$D$500,MATCH($K583&amp;"|"&amp;$L583,SupplierRates!$A$5:$A$500,0)),0))</f>
        <v/>
      </c>
      <c r="Q583" s="26" t="str">
        <f aca="false">IF(OR($D583="",$J583&lt;&gt;"Supplier"),"",IFERROR(INDEX(SupplierRates!$E$5:$E$500,MATCH($K583&amp;"|"&amp;$L583,SupplierRates!$A$5:$A$500,0)),0))</f>
        <v/>
      </c>
      <c r="R583" s="26" t="n">
        <f aca="false">IF(OR($D583="",$J583&lt;&gt;"Supplier"),0,F583*P583+G583*Q583)</f>
        <v>0</v>
      </c>
      <c r="S583" s="26" t="n">
        <f aca="false">IF(OR($D583="",$J583&lt;&gt;"Own"),0,IFERROR((F583+G583*Settings!$B$13)*INDEX(Workers!$V$5:$V$2004,MATCH($D583,Workers!$A$5:$A$2004,0)),0))</f>
        <v>0</v>
      </c>
      <c r="T583" s="26" t="str">
        <f aca="false">IF($D583="","",O583-R583-S583)</f>
        <v/>
      </c>
    </row>
    <row r="584" customFormat="false" ht="15" hidden="false" customHeight="false" outlineLevel="0" collapsed="false">
      <c r="I584" s="24" t="str">
        <f aca="false">IF($D584="","",IFERROR(INDEX(Workers!$B$5:$B$2004,MATCH($D584,Workers!$A$5:$A$2004,0)),"NOT FOUND"))</f>
        <v/>
      </c>
      <c r="J584" s="24" t="str">
        <f aca="false">IF($D584="","",IFERROR(INDEX(Workers!$C$5:$C$2004,MATCH($D584,Workers!$A$5:$A$2004,0)),""))</f>
        <v/>
      </c>
      <c r="K584" s="24" t="str">
        <f aca="false">IF($D584="","",IFERROR(IF(INDEX(Workers!$D$5:$D$2004,MATCH($D584,Workers!$A$5:$A$2004,0))=0,"",INDEX(Workers!$D$5:$D$2004,MATCH($D584,Workers!$A$5:$A$2004,0))),""))</f>
        <v/>
      </c>
      <c r="L584" s="24" t="str">
        <f aca="false">IF($D584="","",IFERROR(INDEX(Workers!$E$5:$E$2004,MATCH($D584,Workers!$A$5:$A$2004,0)),""))</f>
        <v/>
      </c>
      <c r="M584" s="26" t="str">
        <f aca="false">IF($D584="","",IFERROR(INDEX(ClientRates!$D$5:$D$500,MATCH($B584&amp;"|"&amp;$L584,ClientRates!$A$5:$A$500,0)),0))</f>
        <v/>
      </c>
      <c r="N584" s="26" t="str">
        <f aca="false">IF($D584="","",IFERROR(INDEX(ClientRates!$E$5:$E$500,MATCH($B584&amp;"|"&amp;$L584,ClientRates!$A$5:$A$500,0)),0))</f>
        <v/>
      </c>
      <c r="O584" s="26" t="str">
        <f aca="false">IF($D584="","",F584*M584+G584*N584)</f>
        <v/>
      </c>
      <c r="P584" s="26" t="str">
        <f aca="false">IF(OR($D584="",$J584&lt;&gt;"Supplier"),"",IFERROR(INDEX(SupplierRates!$D$5:$D$500,MATCH($K584&amp;"|"&amp;$L584,SupplierRates!$A$5:$A$500,0)),0))</f>
        <v/>
      </c>
      <c r="Q584" s="26" t="str">
        <f aca="false">IF(OR($D584="",$J584&lt;&gt;"Supplier"),"",IFERROR(INDEX(SupplierRates!$E$5:$E$500,MATCH($K584&amp;"|"&amp;$L584,SupplierRates!$A$5:$A$500,0)),0))</f>
        <v/>
      </c>
      <c r="R584" s="26" t="n">
        <f aca="false">IF(OR($D584="",$J584&lt;&gt;"Supplier"),0,F584*P584+G584*Q584)</f>
        <v>0</v>
      </c>
      <c r="S584" s="26" t="n">
        <f aca="false">IF(OR($D584="",$J584&lt;&gt;"Own"),0,IFERROR((F584+G584*Settings!$B$13)*INDEX(Workers!$V$5:$V$2004,MATCH($D584,Workers!$A$5:$A$2004,0)),0))</f>
        <v>0</v>
      </c>
      <c r="T584" s="26" t="str">
        <f aca="false">IF($D584="","",O584-R584-S584)</f>
        <v/>
      </c>
    </row>
    <row r="585" customFormat="false" ht="15" hidden="false" customHeight="false" outlineLevel="0" collapsed="false">
      <c r="I585" s="24" t="str">
        <f aca="false">IF($D585="","",IFERROR(INDEX(Workers!$B$5:$B$2004,MATCH($D585,Workers!$A$5:$A$2004,0)),"NOT FOUND"))</f>
        <v/>
      </c>
      <c r="J585" s="24" t="str">
        <f aca="false">IF($D585="","",IFERROR(INDEX(Workers!$C$5:$C$2004,MATCH($D585,Workers!$A$5:$A$2004,0)),""))</f>
        <v/>
      </c>
      <c r="K585" s="24" t="str">
        <f aca="false">IF($D585="","",IFERROR(IF(INDEX(Workers!$D$5:$D$2004,MATCH($D585,Workers!$A$5:$A$2004,0))=0,"",INDEX(Workers!$D$5:$D$2004,MATCH($D585,Workers!$A$5:$A$2004,0))),""))</f>
        <v/>
      </c>
      <c r="L585" s="24" t="str">
        <f aca="false">IF($D585="","",IFERROR(INDEX(Workers!$E$5:$E$2004,MATCH($D585,Workers!$A$5:$A$2004,0)),""))</f>
        <v/>
      </c>
      <c r="M585" s="26" t="str">
        <f aca="false">IF($D585="","",IFERROR(INDEX(ClientRates!$D$5:$D$500,MATCH($B585&amp;"|"&amp;$L585,ClientRates!$A$5:$A$500,0)),0))</f>
        <v/>
      </c>
      <c r="N585" s="26" t="str">
        <f aca="false">IF($D585="","",IFERROR(INDEX(ClientRates!$E$5:$E$500,MATCH($B585&amp;"|"&amp;$L585,ClientRates!$A$5:$A$500,0)),0))</f>
        <v/>
      </c>
      <c r="O585" s="26" t="str">
        <f aca="false">IF($D585="","",F585*M585+G585*N585)</f>
        <v/>
      </c>
      <c r="P585" s="26" t="str">
        <f aca="false">IF(OR($D585="",$J585&lt;&gt;"Supplier"),"",IFERROR(INDEX(SupplierRates!$D$5:$D$500,MATCH($K585&amp;"|"&amp;$L585,SupplierRates!$A$5:$A$500,0)),0))</f>
        <v/>
      </c>
      <c r="Q585" s="26" t="str">
        <f aca="false">IF(OR($D585="",$J585&lt;&gt;"Supplier"),"",IFERROR(INDEX(SupplierRates!$E$5:$E$500,MATCH($K585&amp;"|"&amp;$L585,SupplierRates!$A$5:$A$500,0)),0))</f>
        <v/>
      </c>
      <c r="R585" s="26" t="n">
        <f aca="false">IF(OR($D585="",$J585&lt;&gt;"Supplier"),0,F585*P585+G585*Q585)</f>
        <v>0</v>
      </c>
      <c r="S585" s="26" t="n">
        <f aca="false">IF(OR($D585="",$J585&lt;&gt;"Own"),0,IFERROR((F585+G585*Settings!$B$13)*INDEX(Workers!$V$5:$V$2004,MATCH($D585,Workers!$A$5:$A$2004,0)),0))</f>
        <v>0</v>
      </c>
      <c r="T585" s="26" t="str">
        <f aca="false">IF($D585="","",O585-R585-S585)</f>
        <v/>
      </c>
    </row>
    <row r="586" customFormat="false" ht="15" hidden="false" customHeight="false" outlineLevel="0" collapsed="false">
      <c r="I586" s="24" t="str">
        <f aca="false">IF($D586="","",IFERROR(INDEX(Workers!$B$5:$B$2004,MATCH($D586,Workers!$A$5:$A$2004,0)),"NOT FOUND"))</f>
        <v/>
      </c>
      <c r="J586" s="24" t="str">
        <f aca="false">IF($D586="","",IFERROR(INDEX(Workers!$C$5:$C$2004,MATCH($D586,Workers!$A$5:$A$2004,0)),""))</f>
        <v/>
      </c>
      <c r="K586" s="24" t="str">
        <f aca="false">IF($D586="","",IFERROR(IF(INDEX(Workers!$D$5:$D$2004,MATCH($D586,Workers!$A$5:$A$2004,0))=0,"",INDEX(Workers!$D$5:$D$2004,MATCH($D586,Workers!$A$5:$A$2004,0))),""))</f>
        <v/>
      </c>
      <c r="L586" s="24" t="str">
        <f aca="false">IF($D586="","",IFERROR(INDEX(Workers!$E$5:$E$2004,MATCH($D586,Workers!$A$5:$A$2004,0)),""))</f>
        <v/>
      </c>
      <c r="M586" s="26" t="str">
        <f aca="false">IF($D586="","",IFERROR(INDEX(ClientRates!$D$5:$D$500,MATCH($B586&amp;"|"&amp;$L586,ClientRates!$A$5:$A$500,0)),0))</f>
        <v/>
      </c>
      <c r="N586" s="26" t="str">
        <f aca="false">IF($D586="","",IFERROR(INDEX(ClientRates!$E$5:$E$500,MATCH($B586&amp;"|"&amp;$L586,ClientRates!$A$5:$A$500,0)),0))</f>
        <v/>
      </c>
      <c r="O586" s="26" t="str">
        <f aca="false">IF($D586="","",F586*M586+G586*N586)</f>
        <v/>
      </c>
      <c r="P586" s="26" t="str">
        <f aca="false">IF(OR($D586="",$J586&lt;&gt;"Supplier"),"",IFERROR(INDEX(SupplierRates!$D$5:$D$500,MATCH($K586&amp;"|"&amp;$L586,SupplierRates!$A$5:$A$500,0)),0))</f>
        <v/>
      </c>
      <c r="Q586" s="26" t="str">
        <f aca="false">IF(OR($D586="",$J586&lt;&gt;"Supplier"),"",IFERROR(INDEX(SupplierRates!$E$5:$E$500,MATCH($K586&amp;"|"&amp;$L586,SupplierRates!$A$5:$A$500,0)),0))</f>
        <v/>
      </c>
      <c r="R586" s="26" t="n">
        <f aca="false">IF(OR($D586="",$J586&lt;&gt;"Supplier"),0,F586*P586+G586*Q586)</f>
        <v>0</v>
      </c>
      <c r="S586" s="26" t="n">
        <f aca="false">IF(OR($D586="",$J586&lt;&gt;"Own"),0,IFERROR((F586+G586*Settings!$B$13)*INDEX(Workers!$V$5:$V$2004,MATCH($D586,Workers!$A$5:$A$2004,0)),0))</f>
        <v>0</v>
      </c>
      <c r="T586" s="26" t="str">
        <f aca="false">IF($D586="","",O586-R586-S586)</f>
        <v/>
      </c>
    </row>
    <row r="587" customFormat="false" ht="15" hidden="false" customHeight="false" outlineLevel="0" collapsed="false">
      <c r="I587" s="24" t="str">
        <f aca="false">IF($D587="","",IFERROR(INDEX(Workers!$B$5:$B$2004,MATCH($D587,Workers!$A$5:$A$2004,0)),"NOT FOUND"))</f>
        <v/>
      </c>
      <c r="J587" s="24" t="str">
        <f aca="false">IF($D587="","",IFERROR(INDEX(Workers!$C$5:$C$2004,MATCH($D587,Workers!$A$5:$A$2004,0)),""))</f>
        <v/>
      </c>
      <c r="K587" s="24" t="str">
        <f aca="false">IF($D587="","",IFERROR(IF(INDEX(Workers!$D$5:$D$2004,MATCH($D587,Workers!$A$5:$A$2004,0))=0,"",INDEX(Workers!$D$5:$D$2004,MATCH($D587,Workers!$A$5:$A$2004,0))),""))</f>
        <v/>
      </c>
      <c r="L587" s="24" t="str">
        <f aca="false">IF($D587="","",IFERROR(INDEX(Workers!$E$5:$E$2004,MATCH($D587,Workers!$A$5:$A$2004,0)),""))</f>
        <v/>
      </c>
      <c r="M587" s="26" t="str">
        <f aca="false">IF($D587="","",IFERROR(INDEX(ClientRates!$D$5:$D$500,MATCH($B587&amp;"|"&amp;$L587,ClientRates!$A$5:$A$500,0)),0))</f>
        <v/>
      </c>
      <c r="N587" s="26" t="str">
        <f aca="false">IF($D587="","",IFERROR(INDEX(ClientRates!$E$5:$E$500,MATCH($B587&amp;"|"&amp;$L587,ClientRates!$A$5:$A$500,0)),0))</f>
        <v/>
      </c>
      <c r="O587" s="26" t="str">
        <f aca="false">IF($D587="","",F587*M587+G587*N587)</f>
        <v/>
      </c>
      <c r="P587" s="26" t="str">
        <f aca="false">IF(OR($D587="",$J587&lt;&gt;"Supplier"),"",IFERROR(INDEX(SupplierRates!$D$5:$D$500,MATCH($K587&amp;"|"&amp;$L587,SupplierRates!$A$5:$A$500,0)),0))</f>
        <v/>
      </c>
      <c r="Q587" s="26" t="str">
        <f aca="false">IF(OR($D587="",$J587&lt;&gt;"Supplier"),"",IFERROR(INDEX(SupplierRates!$E$5:$E$500,MATCH($K587&amp;"|"&amp;$L587,SupplierRates!$A$5:$A$500,0)),0))</f>
        <v/>
      </c>
      <c r="R587" s="26" t="n">
        <f aca="false">IF(OR($D587="",$J587&lt;&gt;"Supplier"),0,F587*P587+G587*Q587)</f>
        <v>0</v>
      </c>
      <c r="S587" s="26" t="n">
        <f aca="false">IF(OR($D587="",$J587&lt;&gt;"Own"),0,IFERROR((F587+G587*Settings!$B$13)*INDEX(Workers!$V$5:$V$2004,MATCH($D587,Workers!$A$5:$A$2004,0)),0))</f>
        <v>0</v>
      </c>
      <c r="T587" s="26" t="str">
        <f aca="false">IF($D587="","",O587-R587-S587)</f>
        <v/>
      </c>
    </row>
    <row r="588" customFormat="false" ht="15" hidden="false" customHeight="false" outlineLevel="0" collapsed="false">
      <c r="I588" s="24" t="str">
        <f aca="false">IF($D588="","",IFERROR(INDEX(Workers!$B$5:$B$2004,MATCH($D588,Workers!$A$5:$A$2004,0)),"NOT FOUND"))</f>
        <v/>
      </c>
      <c r="J588" s="24" t="str">
        <f aca="false">IF($D588="","",IFERROR(INDEX(Workers!$C$5:$C$2004,MATCH($D588,Workers!$A$5:$A$2004,0)),""))</f>
        <v/>
      </c>
      <c r="K588" s="24" t="str">
        <f aca="false">IF($D588="","",IFERROR(IF(INDEX(Workers!$D$5:$D$2004,MATCH($D588,Workers!$A$5:$A$2004,0))=0,"",INDEX(Workers!$D$5:$D$2004,MATCH($D588,Workers!$A$5:$A$2004,0))),""))</f>
        <v/>
      </c>
      <c r="L588" s="24" t="str">
        <f aca="false">IF($D588="","",IFERROR(INDEX(Workers!$E$5:$E$2004,MATCH($D588,Workers!$A$5:$A$2004,0)),""))</f>
        <v/>
      </c>
      <c r="M588" s="26" t="str">
        <f aca="false">IF($D588="","",IFERROR(INDEX(ClientRates!$D$5:$D$500,MATCH($B588&amp;"|"&amp;$L588,ClientRates!$A$5:$A$500,0)),0))</f>
        <v/>
      </c>
      <c r="N588" s="26" t="str">
        <f aca="false">IF($D588="","",IFERROR(INDEX(ClientRates!$E$5:$E$500,MATCH($B588&amp;"|"&amp;$L588,ClientRates!$A$5:$A$500,0)),0))</f>
        <v/>
      </c>
      <c r="O588" s="26" t="str">
        <f aca="false">IF($D588="","",F588*M588+G588*N588)</f>
        <v/>
      </c>
      <c r="P588" s="26" t="str">
        <f aca="false">IF(OR($D588="",$J588&lt;&gt;"Supplier"),"",IFERROR(INDEX(SupplierRates!$D$5:$D$500,MATCH($K588&amp;"|"&amp;$L588,SupplierRates!$A$5:$A$500,0)),0))</f>
        <v/>
      </c>
      <c r="Q588" s="26" t="str">
        <f aca="false">IF(OR($D588="",$J588&lt;&gt;"Supplier"),"",IFERROR(INDEX(SupplierRates!$E$5:$E$500,MATCH($K588&amp;"|"&amp;$L588,SupplierRates!$A$5:$A$500,0)),0))</f>
        <v/>
      </c>
      <c r="R588" s="26" t="n">
        <f aca="false">IF(OR($D588="",$J588&lt;&gt;"Supplier"),0,F588*P588+G588*Q588)</f>
        <v>0</v>
      </c>
      <c r="S588" s="26" t="n">
        <f aca="false">IF(OR($D588="",$J588&lt;&gt;"Own"),0,IFERROR((F588+G588*Settings!$B$13)*INDEX(Workers!$V$5:$V$2004,MATCH($D588,Workers!$A$5:$A$2004,0)),0))</f>
        <v>0</v>
      </c>
      <c r="T588" s="26" t="str">
        <f aca="false">IF($D588="","",O588-R588-S588)</f>
        <v/>
      </c>
    </row>
    <row r="589" customFormat="false" ht="15" hidden="false" customHeight="false" outlineLevel="0" collapsed="false">
      <c r="I589" s="24" t="str">
        <f aca="false">IF($D589="","",IFERROR(INDEX(Workers!$B$5:$B$2004,MATCH($D589,Workers!$A$5:$A$2004,0)),"NOT FOUND"))</f>
        <v/>
      </c>
      <c r="J589" s="24" t="str">
        <f aca="false">IF($D589="","",IFERROR(INDEX(Workers!$C$5:$C$2004,MATCH($D589,Workers!$A$5:$A$2004,0)),""))</f>
        <v/>
      </c>
      <c r="K589" s="24" t="str">
        <f aca="false">IF($D589="","",IFERROR(IF(INDEX(Workers!$D$5:$D$2004,MATCH($D589,Workers!$A$5:$A$2004,0))=0,"",INDEX(Workers!$D$5:$D$2004,MATCH($D589,Workers!$A$5:$A$2004,0))),""))</f>
        <v/>
      </c>
      <c r="L589" s="24" t="str">
        <f aca="false">IF($D589="","",IFERROR(INDEX(Workers!$E$5:$E$2004,MATCH($D589,Workers!$A$5:$A$2004,0)),""))</f>
        <v/>
      </c>
      <c r="M589" s="26" t="str">
        <f aca="false">IF($D589="","",IFERROR(INDEX(ClientRates!$D$5:$D$500,MATCH($B589&amp;"|"&amp;$L589,ClientRates!$A$5:$A$500,0)),0))</f>
        <v/>
      </c>
      <c r="N589" s="26" t="str">
        <f aca="false">IF($D589="","",IFERROR(INDEX(ClientRates!$E$5:$E$500,MATCH($B589&amp;"|"&amp;$L589,ClientRates!$A$5:$A$500,0)),0))</f>
        <v/>
      </c>
      <c r="O589" s="26" t="str">
        <f aca="false">IF($D589="","",F589*M589+G589*N589)</f>
        <v/>
      </c>
      <c r="P589" s="26" t="str">
        <f aca="false">IF(OR($D589="",$J589&lt;&gt;"Supplier"),"",IFERROR(INDEX(SupplierRates!$D$5:$D$500,MATCH($K589&amp;"|"&amp;$L589,SupplierRates!$A$5:$A$500,0)),0))</f>
        <v/>
      </c>
      <c r="Q589" s="26" t="str">
        <f aca="false">IF(OR($D589="",$J589&lt;&gt;"Supplier"),"",IFERROR(INDEX(SupplierRates!$E$5:$E$500,MATCH($K589&amp;"|"&amp;$L589,SupplierRates!$A$5:$A$500,0)),0))</f>
        <v/>
      </c>
      <c r="R589" s="26" t="n">
        <f aca="false">IF(OR($D589="",$J589&lt;&gt;"Supplier"),0,F589*P589+G589*Q589)</f>
        <v>0</v>
      </c>
      <c r="S589" s="26" t="n">
        <f aca="false">IF(OR($D589="",$J589&lt;&gt;"Own"),0,IFERROR((F589+G589*Settings!$B$13)*INDEX(Workers!$V$5:$V$2004,MATCH($D589,Workers!$A$5:$A$2004,0)),0))</f>
        <v>0</v>
      </c>
      <c r="T589" s="26" t="str">
        <f aca="false">IF($D589="","",O589-R589-S589)</f>
        <v/>
      </c>
    </row>
    <row r="590" customFormat="false" ht="15" hidden="false" customHeight="false" outlineLevel="0" collapsed="false">
      <c r="I590" s="24" t="str">
        <f aca="false">IF($D590="","",IFERROR(INDEX(Workers!$B$5:$B$2004,MATCH($D590,Workers!$A$5:$A$2004,0)),"NOT FOUND"))</f>
        <v/>
      </c>
      <c r="J590" s="24" t="str">
        <f aca="false">IF($D590="","",IFERROR(INDEX(Workers!$C$5:$C$2004,MATCH($D590,Workers!$A$5:$A$2004,0)),""))</f>
        <v/>
      </c>
      <c r="K590" s="24" t="str">
        <f aca="false">IF($D590="","",IFERROR(IF(INDEX(Workers!$D$5:$D$2004,MATCH($D590,Workers!$A$5:$A$2004,0))=0,"",INDEX(Workers!$D$5:$D$2004,MATCH($D590,Workers!$A$5:$A$2004,0))),""))</f>
        <v/>
      </c>
      <c r="L590" s="24" t="str">
        <f aca="false">IF($D590="","",IFERROR(INDEX(Workers!$E$5:$E$2004,MATCH($D590,Workers!$A$5:$A$2004,0)),""))</f>
        <v/>
      </c>
      <c r="M590" s="26" t="str">
        <f aca="false">IF($D590="","",IFERROR(INDEX(ClientRates!$D$5:$D$500,MATCH($B590&amp;"|"&amp;$L590,ClientRates!$A$5:$A$500,0)),0))</f>
        <v/>
      </c>
      <c r="N590" s="26" t="str">
        <f aca="false">IF($D590="","",IFERROR(INDEX(ClientRates!$E$5:$E$500,MATCH($B590&amp;"|"&amp;$L590,ClientRates!$A$5:$A$500,0)),0))</f>
        <v/>
      </c>
      <c r="O590" s="26" t="str">
        <f aca="false">IF($D590="","",F590*M590+G590*N590)</f>
        <v/>
      </c>
      <c r="P590" s="26" t="str">
        <f aca="false">IF(OR($D590="",$J590&lt;&gt;"Supplier"),"",IFERROR(INDEX(SupplierRates!$D$5:$D$500,MATCH($K590&amp;"|"&amp;$L590,SupplierRates!$A$5:$A$500,0)),0))</f>
        <v/>
      </c>
      <c r="Q590" s="26" t="str">
        <f aca="false">IF(OR($D590="",$J590&lt;&gt;"Supplier"),"",IFERROR(INDEX(SupplierRates!$E$5:$E$500,MATCH($K590&amp;"|"&amp;$L590,SupplierRates!$A$5:$A$500,0)),0))</f>
        <v/>
      </c>
      <c r="R590" s="26" t="n">
        <f aca="false">IF(OR($D590="",$J590&lt;&gt;"Supplier"),0,F590*P590+G590*Q590)</f>
        <v>0</v>
      </c>
      <c r="S590" s="26" t="n">
        <f aca="false">IF(OR($D590="",$J590&lt;&gt;"Own"),0,IFERROR((F590+G590*Settings!$B$13)*INDEX(Workers!$V$5:$V$2004,MATCH($D590,Workers!$A$5:$A$2004,0)),0))</f>
        <v>0</v>
      </c>
      <c r="T590" s="26" t="str">
        <f aca="false">IF($D590="","",O590-R590-S590)</f>
        <v/>
      </c>
    </row>
    <row r="591" customFormat="false" ht="15" hidden="false" customHeight="false" outlineLevel="0" collapsed="false">
      <c r="I591" s="24" t="str">
        <f aca="false">IF($D591="","",IFERROR(INDEX(Workers!$B$5:$B$2004,MATCH($D591,Workers!$A$5:$A$2004,0)),"NOT FOUND"))</f>
        <v/>
      </c>
      <c r="J591" s="24" t="str">
        <f aca="false">IF($D591="","",IFERROR(INDEX(Workers!$C$5:$C$2004,MATCH($D591,Workers!$A$5:$A$2004,0)),""))</f>
        <v/>
      </c>
      <c r="K591" s="24" t="str">
        <f aca="false">IF($D591="","",IFERROR(IF(INDEX(Workers!$D$5:$D$2004,MATCH($D591,Workers!$A$5:$A$2004,0))=0,"",INDEX(Workers!$D$5:$D$2004,MATCH($D591,Workers!$A$5:$A$2004,0))),""))</f>
        <v/>
      </c>
      <c r="L591" s="24" t="str">
        <f aca="false">IF($D591="","",IFERROR(INDEX(Workers!$E$5:$E$2004,MATCH($D591,Workers!$A$5:$A$2004,0)),""))</f>
        <v/>
      </c>
      <c r="M591" s="26" t="str">
        <f aca="false">IF($D591="","",IFERROR(INDEX(ClientRates!$D$5:$D$500,MATCH($B591&amp;"|"&amp;$L591,ClientRates!$A$5:$A$500,0)),0))</f>
        <v/>
      </c>
      <c r="N591" s="26" t="str">
        <f aca="false">IF($D591="","",IFERROR(INDEX(ClientRates!$E$5:$E$500,MATCH($B591&amp;"|"&amp;$L591,ClientRates!$A$5:$A$500,0)),0))</f>
        <v/>
      </c>
      <c r="O591" s="26" t="str">
        <f aca="false">IF($D591="","",F591*M591+G591*N591)</f>
        <v/>
      </c>
      <c r="P591" s="26" t="str">
        <f aca="false">IF(OR($D591="",$J591&lt;&gt;"Supplier"),"",IFERROR(INDEX(SupplierRates!$D$5:$D$500,MATCH($K591&amp;"|"&amp;$L591,SupplierRates!$A$5:$A$500,0)),0))</f>
        <v/>
      </c>
      <c r="Q591" s="26" t="str">
        <f aca="false">IF(OR($D591="",$J591&lt;&gt;"Supplier"),"",IFERROR(INDEX(SupplierRates!$E$5:$E$500,MATCH($K591&amp;"|"&amp;$L591,SupplierRates!$A$5:$A$500,0)),0))</f>
        <v/>
      </c>
      <c r="R591" s="26" t="n">
        <f aca="false">IF(OR($D591="",$J591&lt;&gt;"Supplier"),0,F591*P591+G591*Q591)</f>
        <v>0</v>
      </c>
      <c r="S591" s="26" t="n">
        <f aca="false">IF(OR($D591="",$J591&lt;&gt;"Own"),0,IFERROR((F591+G591*Settings!$B$13)*INDEX(Workers!$V$5:$V$2004,MATCH($D591,Workers!$A$5:$A$2004,0)),0))</f>
        <v>0</v>
      </c>
      <c r="T591" s="26" t="str">
        <f aca="false">IF($D591="","",O591-R591-S591)</f>
        <v/>
      </c>
    </row>
    <row r="592" customFormat="false" ht="15" hidden="false" customHeight="false" outlineLevel="0" collapsed="false">
      <c r="I592" s="24" t="str">
        <f aca="false">IF($D592="","",IFERROR(INDEX(Workers!$B$5:$B$2004,MATCH($D592,Workers!$A$5:$A$2004,0)),"NOT FOUND"))</f>
        <v/>
      </c>
      <c r="J592" s="24" t="str">
        <f aca="false">IF($D592="","",IFERROR(INDEX(Workers!$C$5:$C$2004,MATCH($D592,Workers!$A$5:$A$2004,0)),""))</f>
        <v/>
      </c>
      <c r="K592" s="24" t="str">
        <f aca="false">IF($D592="","",IFERROR(IF(INDEX(Workers!$D$5:$D$2004,MATCH($D592,Workers!$A$5:$A$2004,0))=0,"",INDEX(Workers!$D$5:$D$2004,MATCH($D592,Workers!$A$5:$A$2004,0))),""))</f>
        <v/>
      </c>
      <c r="L592" s="24" t="str">
        <f aca="false">IF($D592="","",IFERROR(INDEX(Workers!$E$5:$E$2004,MATCH($D592,Workers!$A$5:$A$2004,0)),""))</f>
        <v/>
      </c>
      <c r="M592" s="26" t="str">
        <f aca="false">IF($D592="","",IFERROR(INDEX(ClientRates!$D$5:$D$500,MATCH($B592&amp;"|"&amp;$L592,ClientRates!$A$5:$A$500,0)),0))</f>
        <v/>
      </c>
      <c r="N592" s="26" t="str">
        <f aca="false">IF($D592="","",IFERROR(INDEX(ClientRates!$E$5:$E$500,MATCH($B592&amp;"|"&amp;$L592,ClientRates!$A$5:$A$500,0)),0))</f>
        <v/>
      </c>
      <c r="O592" s="26" t="str">
        <f aca="false">IF($D592="","",F592*M592+G592*N592)</f>
        <v/>
      </c>
      <c r="P592" s="26" t="str">
        <f aca="false">IF(OR($D592="",$J592&lt;&gt;"Supplier"),"",IFERROR(INDEX(SupplierRates!$D$5:$D$500,MATCH($K592&amp;"|"&amp;$L592,SupplierRates!$A$5:$A$500,0)),0))</f>
        <v/>
      </c>
      <c r="Q592" s="26" t="str">
        <f aca="false">IF(OR($D592="",$J592&lt;&gt;"Supplier"),"",IFERROR(INDEX(SupplierRates!$E$5:$E$500,MATCH($K592&amp;"|"&amp;$L592,SupplierRates!$A$5:$A$500,0)),0))</f>
        <v/>
      </c>
      <c r="R592" s="26" t="n">
        <f aca="false">IF(OR($D592="",$J592&lt;&gt;"Supplier"),0,F592*P592+G592*Q592)</f>
        <v>0</v>
      </c>
      <c r="S592" s="26" t="n">
        <f aca="false">IF(OR($D592="",$J592&lt;&gt;"Own"),0,IFERROR((F592+G592*Settings!$B$13)*INDEX(Workers!$V$5:$V$2004,MATCH($D592,Workers!$A$5:$A$2004,0)),0))</f>
        <v>0</v>
      </c>
      <c r="T592" s="26" t="str">
        <f aca="false">IF($D592="","",O592-R592-S592)</f>
        <v/>
      </c>
    </row>
    <row r="593" customFormat="false" ht="15" hidden="false" customHeight="false" outlineLevel="0" collapsed="false">
      <c r="I593" s="24" t="str">
        <f aca="false">IF($D593="","",IFERROR(INDEX(Workers!$B$5:$B$2004,MATCH($D593,Workers!$A$5:$A$2004,0)),"NOT FOUND"))</f>
        <v/>
      </c>
      <c r="J593" s="24" t="str">
        <f aca="false">IF($D593="","",IFERROR(INDEX(Workers!$C$5:$C$2004,MATCH($D593,Workers!$A$5:$A$2004,0)),""))</f>
        <v/>
      </c>
      <c r="K593" s="24" t="str">
        <f aca="false">IF($D593="","",IFERROR(IF(INDEX(Workers!$D$5:$D$2004,MATCH($D593,Workers!$A$5:$A$2004,0))=0,"",INDEX(Workers!$D$5:$D$2004,MATCH($D593,Workers!$A$5:$A$2004,0))),""))</f>
        <v/>
      </c>
      <c r="L593" s="24" t="str">
        <f aca="false">IF($D593="","",IFERROR(INDEX(Workers!$E$5:$E$2004,MATCH($D593,Workers!$A$5:$A$2004,0)),""))</f>
        <v/>
      </c>
      <c r="M593" s="26" t="str">
        <f aca="false">IF($D593="","",IFERROR(INDEX(ClientRates!$D$5:$D$500,MATCH($B593&amp;"|"&amp;$L593,ClientRates!$A$5:$A$500,0)),0))</f>
        <v/>
      </c>
      <c r="N593" s="26" t="str">
        <f aca="false">IF($D593="","",IFERROR(INDEX(ClientRates!$E$5:$E$500,MATCH($B593&amp;"|"&amp;$L593,ClientRates!$A$5:$A$500,0)),0))</f>
        <v/>
      </c>
      <c r="O593" s="26" t="str">
        <f aca="false">IF($D593="","",F593*M593+G593*N593)</f>
        <v/>
      </c>
      <c r="P593" s="26" t="str">
        <f aca="false">IF(OR($D593="",$J593&lt;&gt;"Supplier"),"",IFERROR(INDEX(SupplierRates!$D$5:$D$500,MATCH($K593&amp;"|"&amp;$L593,SupplierRates!$A$5:$A$500,0)),0))</f>
        <v/>
      </c>
      <c r="Q593" s="26" t="str">
        <f aca="false">IF(OR($D593="",$J593&lt;&gt;"Supplier"),"",IFERROR(INDEX(SupplierRates!$E$5:$E$500,MATCH($K593&amp;"|"&amp;$L593,SupplierRates!$A$5:$A$500,0)),0))</f>
        <v/>
      </c>
      <c r="R593" s="26" t="n">
        <f aca="false">IF(OR($D593="",$J593&lt;&gt;"Supplier"),0,F593*P593+G593*Q593)</f>
        <v>0</v>
      </c>
      <c r="S593" s="26" t="n">
        <f aca="false">IF(OR($D593="",$J593&lt;&gt;"Own"),0,IFERROR((F593+G593*Settings!$B$13)*INDEX(Workers!$V$5:$V$2004,MATCH($D593,Workers!$A$5:$A$2004,0)),0))</f>
        <v>0</v>
      </c>
      <c r="T593" s="26" t="str">
        <f aca="false">IF($D593="","",O593-R593-S593)</f>
        <v/>
      </c>
    </row>
    <row r="594" customFormat="false" ht="15" hidden="false" customHeight="false" outlineLevel="0" collapsed="false">
      <c r="I594" s="24" t="str">
        <f aca="false">IF($D594="","",IFERROR(INDEX(Workers!$B$5:$B$2004,MATCH($D594,Workers!$A$5:$A$2004,0)),"NOT FOUND"))</f>
        <v/>
      </c>
      <c r="J594" s="24" t="str">
        <f aca="false">IF($D594="","",IFERROR(INDEX(Workers!$C$5:$C$2004,MATCH($D594,Workers!$A$5:$A$2004,0)),""))</f>
        <v/>
      </c>
      <c r="K594" s="24" t="str">
        <f aca="false">IF($D594="","",IFERROR(IF(INDEX(Workers!$D$5:$D$2004,MATCH($D594,Workers!$A$5:$A$2004,0))=0,"",INDEX(Workers!$D$5:$D$2004,MATCH($D594,Workers!$A$5:$A$2004,0))),""))</f>
        <v/>
      </c>
      <c r="L594" s="24" t="str">
        <f aca="false">IF($D594="","",IFERROR(INDEX(Workers!$E$5:$E$2004,MATCH($D594,Workers!$A$5:$A$2004,0)),""))</f>
        <v/>
      </c>
      <c r="M594" s="26" t="str">
        <f aca="false">IF($D594="","",IFERROR(INDEX(ClientRates!$D$5:$D$500,MATCH($B594&amp;"|"&amp;$L594,ClientRates!$A$5:$A$500,0)),0))</f>
        <v/>
      </c>
      <c r="N594" s="26" t="str">
        <f aca="false">IF($D594="","",IFERROR(INDEX(ClientRates!$E$5:$E$500,MATCH($B594&amp;"|"&amp;$L594,ClientRates!$A$5:$A$500,0)),0))</f>
        <v/>
      </c>
      <c r="O594" s="26" t="str">
        <f aca="false">IF($D594="","",F594*M594+G594*N594)</f>
        <v/>
      </c>
      <c r="P594" s="26" t="str">
        <f aca="false">IF(OR($D594="",$J594&lt;&gt;"Supplier"),"",IFERROR(INDEX(SupplierRates!$D$5:$D$500,MATCH($K594&amp;"|"&amp;$L594,SupplierRates!$A$5:$A$500,0)),0))</f>
        <v/>
      </c>
      <c r="Q594" s="26" t="str">
        <f aca="false">IF(OR($D594="",$J594&lt;&gt;"Supplier"),"",IFERROR(INDEX(SupplierRates!$E$5:$E$500,MATCH($K594&amp;"|"&amp;$L594,SupplierRates!$A$5:$A$500,0)),0))</f>
        <v/>
      </c>
      <c r="R594" s="26" t="n">
        <f aca="false">IF(OR($D594="",$J594&lt;&gt;"Supplier"),0,F594*P594+G594*Q594)</f>
        <v>0</v>
      </c>
      <c r="S594" s="26" t="n">
        <f aca="false">IF(OR($D594="",$J594&lt;&gt;"Own"),0,IFERROR((F594+G594*Settings!$B$13)*INDEX(Workers!$V$5:$V$2004,MATCH($D594,Workers!$A$5:$A$2004,0)),0))</f>
        <v>0</v>
      </c>
      <c r="T594" s="26" t="str">
        <f aca="false">IF($D594="","",O594-R594-S594)</f>
        <v/>
      </c>
    </row>
    <row r="595" customFormat="false" ht="15" hidden="false" customHeight="false" outlineLevel="0" collapsed="false">
      <c r="I595" s="24" t="str">
        <f aca="false">IF($D595="","",IFERROR(INDEX(Workers!$B$5:$B$2004,MATCH($D595,Workers!$A$5:$A$2004,0)),"NOT FOUND"))</f>
        <v/>
      </c>
      <c r="J595" s="24" t="str">
        <f aca="false">IF($D595="","",IFERROR(INDEX(Workers!$C$5:$C$2004,MATCH($D595,Workers!$A$5:$A$2004,0)),""))</f>
        <v/>
      </c>
      <c r="K595" s="24" t="str">
        <f aca="false">IF($D595="","",IFERROR(IF(INDEX(Workers!$D$5:$D$2004,MATCH($D595,Workers!$A$5:$A$2004,0))=0,"",INDEX(Workers!$D$5:$D$2004,MATCH($D595,Workers!$A$5:$A$2004,0))),""))</f>
        <v/>
      </c>
      <c r="L595" s="24" t="str">
        <f aca="false">IF($D595="","",IFERROR(INDEX(Workers!$E$5:$E$2004,MATCH($D595,Workers!$A$5:$A$2004,0)),""))</f>
        <v/>
      </c>
      <c r="M595" s="26" t="str">
        <f aca="false">IF($D595="","",IFERROR(INDEX(ClientRates!$D$5:$D$500,MATCH($B595&amp;"|"&amp;$L595,ClientRates!$A$5:$A$500,0)),0))</f>
        <v/>
      </c>
      <c r="N595" s="26" t="str">
        <f aca="false">IF($D595="","",IFERROR(INDEX(ClientRates!$E$5:$E$500,MATCH($B595&amp;"|"&amp;$L595,ClientRates!$A$5:$A$500,0)),0))</f>
        <v/>
      </c>
      <c r="O595" s="26" t="str">
        <f aca="false">IF($D595="","",F595*M595+G595*N595)</f>
        <v/>
      </c>
      <c r="P595" s="26" t="str">
        <f aca="false">IF(OR($D595="",$J595&lt;&gt;"Supplier"),"",IFERROR(INDEX(SupplierRates!$D$5:$D$500,MATCH($K595&amp;"|"&amp;$L595,SupplierRates!$A$5:$A$500,0)),0))</f>
        <v/>
      </c>
      <c r="Q595" s="26" t="str">
        <f aca="false">IF(OR($D595="",$J595&lt;&gt;"Supplier"),"",IFERROR(INDEX(SupplierRates!$E$5:$E$500,MATCH($K595&amp;"|"&amp;$L595,SupplierRates!$A$5:$A$500,0)),0))</f>
        <v/>
      </c>
      <c r="R595" s="26" t="n">
        <f aca="false">IF(OR($D595="",$J595&lt;&gt;"Supplier"),0,F595*P595+G595*Q595)</f>
        <v>0</v>
      </c>
      <c r="S595" s="26" t="n">
        <f aca="false">IF(OR($D595="",$J595&lt;&gt;"Own"),0,IFERROR((F595+G595*Settings!$B$13)*INDEX(Workers!$V$5:$V$2004,MATCH($D595,Workers!$A$5:$A$2004,0)),0))</f>
        <v>0</v>
      </c>
      <c r="T595" s="26" t="str">
        <f aca="false">IF($D595="","",O595-R595-S595)</f>
        <v/>
      </c>
    </row>
    <row r="596" customFormat="false" ht="15" hidden="false" customHeight="false" outlineLevel="0" collapsed="false">
      <c r="I596" s="24" t="str">
        <f aca="false">IF($D596="","",IFERROR(INDEX(Workers!$B$5:$B$2004,MATCH($D596,Workers!$A$5:$A$2004,0)),"NOT FOUND"))</f>
        <v/>
      </c>
      <c r="J596" s="24" t="str">
        <f aca="false">IF($D596="","",IFERROR(INDEX(Workers!$C$5:$C$2004,MATCH($D596,Workers!$A$5:$A$2004,0)),""))</f>
        <v/>
      </c>
      <c r="K596" s="24" t="str">
        <f aca="false">IF($D596="","",IFERROR(IF(INDEX(Workers!$D$5:$D$2004,MATCH($D596,Workers!$A$5:$A$2004,0))=0,"",INDEX(Workers!$D$5:$D$2004,MATCH($D596,Workers!$A$5:$A$2004,0))),""))</f>
        <v/>
      </c>
      <c r="L596" s="24" t="str">
        <f aca="false">IF($D596="","",IFERROR(INDEX(Workers!$E$5:$E$2004,MATCH($D596,Workers!$A$5:$A$2004,0)),""))</f>
        <v/>
      </c>
      <c r="M596" s="26" t="str">
        <f aca="false">IF($D596="","",IFERROR(INDEX(ClientRates!$D$5:$D$500,MATCH($B596&amp;"|"&amp;$L596,ClientRates!$A$5:$A$500,0)),0))</f>
        <v/>
      </c>
      <c r="N596" s="26" t="str">
        <f aca="false">IF($D596="","",IFERROR(INDEX(ClientRates!$E$5:$E$500,MATCH($B596&amp;"|"&amp;$L596,ClientRates!$A$5:$A$500,0)),0))</f>
        <v/>
      </c>
      <c r="O596" s="26" t="str">
        <f aca="false">IF($D596="","",F596*M596+G596*N596)</f>
        <v/>
      </c>
      <c r="P596" s="26" t="str">
        <f aca="false">IF(OR($D596="",$J596&lt;&gt;"Supplier"),"",IFERROR(INDEX(SupplierRates!$D$5:$D$500,MATCH($K596&amp;"|"&amp;$L596,SupplierRates!$A$5:$A$500,0)),0))</f>
        <v/>
      </c>
      <c r="Q596" s="26" t="str">
        <f aca="false">IF(OR($D596="",$J596&lt;&gt;"Supplier"),"",IFERROR(INDEX(SupplierRates!$E$5:$E$500,MATCH($K596&amp;"|"&amp;$L596,SupplierRates!$A$5:$A$500,0)),0))</f>
        <v/>
      </c>
      <c r="R596" s="26" t="n">
        <f aca="false">IF(OR($D596="",$J596&lt;&gt;"Supplier"),0,F596*P596+G596*Q596)</f>
        <v>0</v>
      </c>
      <c r="S596" s="26" t="n">
        <f aca="false">IF(OR($D596="",$J596&lt;&gt;"Own"),0,IFERROR((F596+G596*Settings!$B$13)*INDEX(Workers!$V$5:$V$2004,MATCH($D596,Workers!$A$5:$A$2004,0)),0))</f>
        <v>0</v>
      </c>
      <c r="T596" s="26" t="str">
        <f aca="false">IF($D596="","",O596-R596-S596)</f>
        <v/>
      </c>
    </row>
    <row r="597" customFormat="false" ht="15" hidden="false" customHeight="false" outlineLevel="0" collapsed="false">
      <c r="I597" s="24" t="str">
        <f aca="false">IF($D597="","",IFERROR(INDEX(Workers!$B$5:$B$2004,MATCH($D597,Workers!$A$5:$A$2004,0)),"NOT FOUND"))</f>
        <v/>
      </c>
      <c r="J597" s="24" t="str">
        <f aca="false">IF($D597="","",IFERROR(INDEX(Workers!$C$5:$C$2004,MATCH($D597,Workers!$A$5:$A$2004,0)),""))</f>
        <v/>
      </c>
      <c r="K597" s="24" t="str">
        <f aca="false">IF($D597="","",IFERROR(IF(INDEX(Workers!$D$5:$D$2004,MATCH($D597,Workers!$A$5:$A$2004,0))=0,"",INDEX(Workers!$D$5:$D$2004,MATCH($D597,Workers!$A$5:$A$2004,0))),""))</f>
        <v/>
      </c>
      <c r="L597" s="24" t="str">
        <f aca="false">IF($D597="","",IFERROR(INDEX(Workers!$E$5:$E$2004,MATCH($D597,Workers!$A$5:$A$2004,0)),""))</f>
        <v/>
      </c>
      <c r="M597" s="26" t="str">
        <f aca="false">IF($D597="","",IFERROR(INDEX(ClientRates!$D$5:$D$500,MATCH($B597&amp;"|"&amp;$L597,ClientRates!$A$5:$A$500,0)),0))</f>
        <v/>
      </c>
      <c r="N597" s="26" t="str">
        <f aca="false">IF($D597="","",IFERROR(INDEX(ClientRates!$E$5:$E$500,MATCH($B597&amp;"|"&amp;$L597,ClientRates!$A$5:$A$500,0)),0))</f>
        <v/>
      </c>
      <c r="O597" s="26" t="str">
        <f aca="false">IF($D597="","",F597*M597+G597*N597)</f>
        <v/>
      </c>
      <c r="P597" s="26" t="str">
        <f aca="false">IF(OR($D597="",$J597&lt;&gt;"Supplier"),"",IFERROR(INDEX(SupplierRates!$D$5:$D$500,MATCH($K597&amp;"|"&amp;$L597,SupplierRates!$A$5:$A$500,0)),0))</f>
        <v/>
      </c>
      <c r="Q597" s="26" t="str">
        <f aca="false">IF(OR($D597="",$J597&lt;&gt;"Supplier"),"",IFERROR(INDEX(SupplierRates!$E$5:$E$500,MATCH($K597&amp;"|"&amp;$L597,SupplierRates!$A$5:$A$500,0)),0))</f>
        <v/>
      </c>
      <c r="R597" s="26" t="n">
        <f aca="false">IF(OR($D597="",$J597&lt;&gt;"Supplier"),0,F597*P597+G597*Q597)</f>
        <v>0</v>
      </c>
      <c r="S597" s="26" t="n">
        <f aca="false">IF(OR($D597="",$J597&lt;&gt;"Own"),0,IFERROR((F597+G597*Settings!$B$13)*INDEX(Workers!$V$5:$V$2004,MATCH($D597,Workers!$A$5:$A$2004,0)),0))</f>
        <v>0</v>
      </c>
      <c r="T597" s="26" t="str">
        <f aca="false">IF($D597="","",O597-R597-S597)</f>
        <v/>
      </c>
    </row>
    <row r="598" customFormat="false" ht="15" hidden="false" customHeight="false" outlineLevel="0" collapsed="false">
      <c r="I598" s="24" t="str">
        <f aca="false">IF($D598="","",IFERROR(INDEX(Workers!$B$5:$B$2004,MATCH($D598,Workers!$A$5:$A$2004,0)),"NOT FOUND"))</f>
        <v/>
      </c>
      <c r="J598" s="24" t="str">
        <f aca="false">IF($D598="","",IFERROR(INDEX(Workers!$C$5:$C$2004,MATCH($D598,Workers!$A$5:$A$2004,0)),""))</f>
        <v/>
      </c>
      <c r="K598" s="24" t="str">
        <f aca="false">IF($D598="","",IFERROR(IF(INDEX(Workers!$D$5:$D$2004,MATCH($D598,Workers!$A$5:$A$2004,0))=0,"",INDEX(Workers!$D$5:$D$2004,MATCH($D598,Workers!$A$5:$A$2004,0))),""))</f>
        <v/>
      </c>
      <c r="L598" s="24" t="str">
        <f aca="false">IF($D598="","",IFERROR(INDEX(Workers!$E$5:$E$2004,MATCH($D598,Workers!$A$5:$A$2004,0)),""))</f>
        <v/>
      </c>
      <c r="M598" s="26" t="str">
        <f aca="false">IF($D598="","",IFERROR(INDEX(ClientRates!$D$5:$D$500,MATCH($B598&amp;"|"&amp;$L598,ClientRates!$A$5:$A$500,0)),0))</f>
        <v/>
      </c>
      <c r="N598" s="26" t="str">
        <f aca="false">IF($D598="","",IFERROR(INDEX(ClientRates!$E$5:$E$500,MATCH($B598&amp;"|"&amp;$L598,ClientRates!$A$5:$A$500,0)),0))</f>
        <v/>
      </c>
      <c r="O598" s="26" t="str">
        <f aca="false">IF($D598="","",F598*M598+G598*N598)</f>
        <v/>
      </c>
      <c r="P598" s="26" t="str">
        <f aca="false">IF(OR($D598="",$J598&lt;&gt;"Supplier"),"",IFERROR(INDEX(SupplierRates!$D$5:$D$500,MATCH($K598&amp;"|"&amp;$L598,SupplierRates!$A$5:$A$500,0)),0))</f>
        <v/>
      </c>
      <c r="Q598" s="26" t="str">
        <f aca="false">IF(OR($D598="",$J598&lt;&gt;"Supplier"),"",IFERROR(INDEX(SupplierRates!$E$5:$E$500,MATCH($K598&amp;"|"&amp;$L598,SupplierRates!$A$5:$A$500,0)),0))</f>
        <v/>
      </c>
      <c r="R598" s="26" t="n">
        <f aca="false">IF(OR($D598="",$J598&lt;&gt;"Supplier"),0,F598*P598+G598*Q598)</f>
        <v>0</v>
      </c>
      <c r="S598" s="26" t="n">
        <f aca="false">IF(OR($D598="",$J598&lt;&gt;"Own"),0,IFERROR((F598+G598*Settings!$B$13)*INDEX(Workers!$V$5:$V$2004,MATCH($D598,Workers!$A$5:$A$2004,0)),0))</f>
        <v>0</v>
      </c>
      <c r="T598" s="26" t="str">
        <f aca="false">IF($D598="","",O598-R598-S598)</f>
        <v/>
      </c>
    </row>
    <row r="599" customFormat="false" ht="15" hidden="false" customHeight="false" outlineLevel="0" collapsed="false">
      <c r="I599" s="24" t="str">
        <f aca="false">IF($D599="","",IFERROR(INDEX(Workers!$B$5:$B$2004,MATCH($D599,Workers!$A$5:$A$2004,0)),"NOT FOUND"))</f>
        <v/>
      </c>
      <c r="J599" s="24" t="str">
        <f aca="false">IF($D599="","",IFERROR(INDEX(Workers!$C$5:$C$2004,MATCH($D599,Workers!$A$5:$A$2004,0)),""))</f>
        <v/>
      </c>
      <c r="K599" s="24" t="str">
        <f aca="false">IF($D599="","",IFERROR(IF(INDEX(Workers!$D$5:$D$2004,MATCH($D599,Workers!$A$5:$A$2004,0))=0,"",INDEX(Workers!$D$5:$D$2004,MATCH($D599,Workers!$A$5:$A$2004,0))),""))</f>
        <v/>
      </c>
      <c r="L599" s="24" t="str">
        <f aca="false">IF($D599="","",IFERROR(INDEX(Workers!$E$5:$E$2004,MATCH($D599,Workers!$A$5:$A$2004,0)),""))</f>
        <v/>
      </c>
      <c r="M599" s="26" t="str">
        <f aca="false">IF($D599="","",IFERROR(INDEX(ClientRates!$D$5:$D$500,MATCH($B599&amp;"|"&amp;$L599,ClientRates!$A$5:$A$500,0)),0))</f>
        <v/>
      </c>
      <c r="N599" s="26" t="str">
        <f aca="false">IF($D599="","",IFERROR(INDEX(ClientRates!$E$5:$E$500,MATCH($B599&amp;"|"&amp;$L599,ClientRates!$A$5:$A$500,0)),0))</f>
        <v/>
      </c>
      <c r="O599" s="26" t="str">
        <f aca="false">IF($D599="","",F599*M599+G599*N599)</f>
        <v/>
      </c>
      <c r="P599" s="26" t="str">
        <f aca="false">IF(OR($D599="",$J599&lt;&gt;"Supplier"),"",IFERROR(INDEX(SupplierRates!$D$5:$D$500,MATCH($K599&amp;"|"&amp;$L599,SupplierRates!$A$5:$A$500,0)),0))</f>
        <v/>
      </c>
      <c r="Q599" s="26" t="str">
        <f aca="false">IF(OR($D599="",$J599&lt;&gt;"Supplier"),"",IFERROR(INDEX(SupplierRates!$E$5:$E$500,MATCH($K599&amp;"|"&amp;$L599,SupplierRates!$A$5:$A$500,0)),0))</f>
        <v/>
      </c>
      <c r="R599" s="26" t="n">
        <f aca="false">IF(OR($D599="",$J599&lt;&gt;"Supplier"),0,F599*P599+G599*Q599)</f>
        <v>0</v>
      </c>
      <c r="S599" s="26" t="n">
        <f aca="false">IF(OR($D599="",$J599&lt;&gt;"Own"),0,IFERROR((F599+G599*Settings!$B$13)*INDEX(Workers!$V$5:$V$2004,MATCH($D599,Workers!$A$5:$A$2004,0)),0))</f>
        <v>0</v>
      </c>
      <c r="T599" s="26" t="str">
        <f aca="false">IF($D599="","",O599-R599-S599)</f>
        <v/>
      </c>
    </row>
    <row r="600" customFormat="false" ht="15" hidden="false" customHeight="false" outlineLevel="0" collapsed="false">
      <c r="I600" s="24" t="str">
        <f aca="false">IF($D600="","",IFERROR(INDEX(Workers!$B$5:$B$2004,MATCH($D600,Workers!$A$5:$A$2004,0)),"NOT FOUND"))</f>
        <v/>
      </c>
      <c r="J600" s="24" t="str">
        <f aca="false">IF($D600="","",IFERROR(INDEX(Workers!$C$5:$C$2004,MATCH($D600,Workers!$A$5:$A$2004,0)),""))</f>
        <v/>
      </c>
      <c r="K600" s="24" t="str">
        <f aca="false">IF($D600="","",IFERROR(IF(INDEX(Workers!$D$5:$D$2004,MATCH($D600,Workers!$A$5:$A$2004,0))=0,"",INDEX(Workers!$D$5:$D$2004,MATCH($D600,Workers!$A$5:$A$2004,0))),""))</f>
        <v/>
      </c>
      <c r="L600" s="24" t="str">
        <f aca="false">IF($D600="","",IFERROR(INDEX(Workers!$E$5:$E$2004,MATCH($D600,Workers!$A$5:$A$2004,0)),""))</f>
        <v/>
      </c>
      <c r="M600" s="26" t="str">
        <f aca="false">IF($D600="","",IFERROR(INDEX(ClientRates!$D$5:$D$500,MATCH($B600&amp;"|"&amp;$L600,ClientRates!$A$5:$A$500,0)),0))</f>
        <v/>
      </c>
      <c r="N600" s="26" t="str">
        <f aca="false">IF($D600="","",IFERROR(INDEX(ClientRates!$E$5:$E$500,MATCH($B600&amp;"|"&amp;$L600,ClientRates!$A$5:$A$500,0)),0))</f>
        <v/>
      </c>
      <c r="O600" s="26" t="str">
        <f aca="false">IF($D600="","",F600*M600+G600*N600)</f>
        <v/>
      </c>
      <c r="P600" s="26" t="str">
        <f aca="false">IF(OR($D600="",$J600&lt;&gt;"Supplier"),"",IFERROR(INDEX(SupplierRates!$D$5:$D$500,MATCH($K600&amp;"|"&amp;$L600,SupplierRates!$A$5:$A$500,0)),0))</f>
        <v/>
      </c>
      <c r="Q600" s="26" t="str">
        <f aca="false">IF(OR($D600="",$J600&lt;&gt;"Supplier"),"",IFERROR(INDEX(SupplierRates!$E$5:$E$500,MATCH($K600&amp;"|"&amp;$L600,SupplierRates!$A$5:$A$500,0)),0))</f>
        <v/>
      </c>
      <c r="R600" s="26" t="n">
        <f aca="false">IF(OR($D600="",$J600&lt;&gt;"Supplier"),0,F600*P600+G600*Q600)</f>
        <v>0</v>
      </c>
      <c r="S600" s="26" t="n">
        <f aca="false">IF(OR($D600="",$J600&lt;&gt;"Own"),0,IFERROR((F600+G600*Settings!$B$13)*INDEX(Workers!$V$5:$V$2004,MATCH($D600,Workers!$A$5:$A$2004,0)),0))</f>
        <v>0</v>
      </c>
      <c r="T600" s="26" t="str">
        <f aca="false">IF($D600="","",O600-R600-S600)</f>
        <v/>
      </c>
    </row>
    <row r="601" customFormat="false" ht="15" hidden="false" customHeight="false" outlineLevel="0" collapsed="false">
      <c r="I601" s="24" t="str">
        <f aca="false">IF($D601="","",IFERROR(INDEX(Workers!$B$5:$B$2004,MATCH($D601,Workers!$A$5:$A$2004,0)),"NOT FOUND"))</f>
        <v/>
      </c>
      <c r="J601" s="24" t="str">
        <f aca="false">IF($D601="","",IFERROR(INDEX(Workers!$C$5:$C$2004,MATCH($D601,Workers!$A$5:$A$2004,0)),""))</f>
        <v/>
      </c>
      <c r="K601" s="24" t="str">
        <f aca="false">IF($D601="","",IFERROR(IF(INDEX(Workers!$D$5:$D$2004,MATCH($D601,Workers!$A$5:$A$2004,0))=0,"",INDEX(Workers!$D$5:$D$2004,MATCH($D601,Workers!$A$5:$A$2004,0))),""))</f>
        <v/>
      </c>
      <c r="L601" s="24" t="str">
        <f aca="false">IF($D601="","",IFERROR(INDEX(Workers!$E$5:$E$2004,MATCH($D601,Workers!$A$5:$A$2004,0)),""))</f>
        <v/>
      </c>
      <c r="M601" s="26" t="str">
        <f aca="false">IF($D601="","",IFERROR(INDEX(ClientRates!$D$5:$D$500,MATCH($B601&amp;"|"&amp;$L601,ClientRates!$A$5:$A$500,0)),0))</f>
        <v/>
      </c>
      <c r="N601" s="26" t="str">
        <f aca="false">IF($D601="","",IFERROR(INDEX(ClientRates!$E$5:$E$500,MATCH($B601&amp;"|"&amp;$L601,ClientRates!$A$5:$A$500,0)),0))</f>
        <v/>
      </c>
      <c r="O601" s="26" t="str">
        <f aca="false">IF($D601="","",F601*M601+G601*N601)</f>
        <v/>
      </c>
      <c r="P601" s="26" t="str">
        <f aca="false">IF(OR($D601="",$J601&lt;&gt;"Supplier"),"",IFERROR(INDEX(SupplierRates!$D$5:$D$500,MATCH($K601&amp;"|"&amp;$L601,SupplierRates!$A$5:$A$500,0)),0))</f>
        <v/>
      </c>
      <c r="Q601" s="26" t="str">
        <f aca="false">IF(OR($D601="",$J601&lt;&gt;"Supplier"),"",IFERROR(INDEX(SupplierRates!$E$5:$E$500,MATCH($K601&amp;"|"&amp;$L601,SupplierRates!$A$5:$A$500,0)),0))</f>
        <v/>
      </c>
      <c r="R601" s="26" t="n">
        <f aca="false">IF(OR($D601="",$J601&lt;&gt;"Supplier"),0,F601*P601+G601*Q601)</f>
        <v>0</v>
      </c>
      <c r="S601" s="26" t="n">
        <f aca="false">IF(OR($D601="",$J601&lt;&gt;"Own"),0,IFERROR((F601+G601*Settings!$B$13)*INDEX(Workers!$V$5:$V$2004,MATCH($D601,Workers!$A$5:$A$2004,0)),0))</f>
        <v>0</v>
      </c>
      <c r="T601" s="26" t="str">
        <f aca="false">IF($D601="","",O601-R601-S601)</f>
        <v/>
      </c>
    </row>
    <row r="602" customFormat="false" ht="15" hidden="false" customHeight="false" outlineLevel="0" collapsed="false">
      <c r="I602" s="24" t="str">
        <f aca="false">IF($D602="","",IFERROR(INDEX(Workers!$B$5:$B$2004,MATCH($D602,Workers!$A$5:$A$2004,0)),"NOT FOUND"))</f>
        <v/>
      </c>
      <c r="J602" s="24" t="str">
        <f aca="false">IF($D602="","",IFERROR(INDEX(Workers!$C$5:$C$2004,MATCH($D602,Workers!$A$5:$A$2004,0)),""))</f>
        <v/>
      </c>
      <c r="K602" s="24" t="str">
        <f aca="false">IF($D602="","",IFERROR(IF(INDEX(Workers!$D$5:$D$2004,MATCH($D602,Workers!$A$5:$A$2004,0))=0,"",INDEX(Workers!$D$5:$D$2004,MATCH($D602,Workers!$A$5:$A$2004,0))),""))</f>
        <v/>
      </c>
      <c r="L602" s="24" t="str">
        <f aca="false">IF($D602="","",IFERROR(INDEX(Workers!$E$5:$E$2004,MATCH($D602,Workers!$A$5:$A$2004,0)),""))</f>
        <v/>
      </c>
      <c r="M602" s="26" t="str">
        <f aca="false">IF($D602="","",IFERROR(INDEX(ClientRates!$D$5:$D$500,MATCH($B602&amp;"|"&amp;$L602,ClientRates!$A$5:$A$500,0)),0))</f>
        <v/>
      </c>
      <c r="N602" s="26" t="str">
        <f aca="false">IF($D602="","",IFERROR(INDEX(ClientRates!$E$5:$E$500,MATCH($B602&amp;"|"&amp;$L602,ClientRates!$A$5:$A$500,0)),0))</f>
        <v/>
      </c>
      <c r="O602" s="26" t="str">
        <f aca="false">IF($D602="","",F602*M602+G602*N602)</f>
        <v/>
      </c>
      <c r="P602" s="26" t="str">
        <f aca="false">IF(OR($D602="",$J602&lt;&gt;"Supplier"),"",IFERROR(INDEX(SupplierRates!$D$5:$D$500,MATCH($K602&amp;"|"&amp;$L602,SupplierRates!$A$5:$A$500,0)),0))</f>
        <v/>
      </c>
      <c r="Q602" s="26" t="str">
        <f aca="false">IF(OR($D602="",$J602&lt;&gt;"Supplier"),"",IFERROR(INDEX(SupplierRates!$E$5:$E$500,MATCH($K602&amp;"|"&amp;$L602,SupplierRates!$A$5:$A$500,0)),0))</f>
        <v/>
      </c>
      <c r="R602" s="26" t="n">
        <f aca="false">IF(OR($D602="",$J602&lt;&gt;"Supplier"),0,F602*P602+G602*Q602)</f>
        <v>0</v>
      </c>
      <c r="S602" s="26" t="n">
        <f aca="false">IF(OR($D602="",$J602&lt;&gt;"Own"),0,IFERROR((F602+G602*Settings!$B$13)*INDEX(Workers!$V$5:$V$2004,MATCH($D602,Workers!$A$5:$A$2004,0)),0))</f>
        <v>0</v>
      </c>
      <c r="T602" s="26" t="str">
        <f aca="false">IF($D602="","",O602-R602-S602)</f>
        <v/>
      </c>
    </row>
    <row r="603" customFormat="false" ht="15" hidden="false" customHeight="false" outlineLevel="0" collapsed="false">
      <c r="I603" s="24" t="str">
        <f aca="false">IF($D603="","",IFERROR(INDEX(Workers!$B$5:$B$2004,MATCH($D603,Workers!$A$5:$A$2004,0)),"NOT FOUND"))</f>
        <v/>
      </c>
      <c r="J603" s="24" t="str">
        <f aca="false">IF($D603="","",IFERROR(INDEX(Workers!$C$5:$C$2004,MATCH($D603,Workers!$A$5:$A$2004,0)),""))</f>
        <v/>
      </c>
      <c r="K603" s="24" t="str">
        <f aca="false">IF($D603="","",IFERROR(IF(INDEX(Workers!$D$5:$D$2004,MATCH($D603,Workers!$A$5:$A$2004,0))=0,"",INDEX(Workers!$D$5:$D$2004,MATCH($D603,Workers!$A$5:$A$2004,0))),""))</f>
        <v/>
      </c>
      <c r="L603" s="24" t="str">
        <f aca="false">IF($D603="","",IFERROR(INDEX(Workers!$E$5:$E$2004,MATCH($D603,Workers!$A$5:$A$2004,0)),""))</f>
        <v/>
      </c>
      <c r="M603" s="26" t="str">
        <f aca="false">IF($D603="","",IFERROR(INDEX(ClientRates!$D$5:$D$500,MATCH($B603&amp;"|"&amp;$L603,ClientRates!$A$5:$A$500,0)),0))</f>
        <v/>
      </c>
      <c r="N603" s="26" t="str">
        <f aca="false">IF($D603="","",IFERROR(INDEX(ClientRates!$E$5:$E$500,MATCH($B603&amp;"|"&amp;$L603,ClientRates!$A$5:$A$500,0)),0))</f>
        <v/>
      </c>
      <c r="O603" s="26" t="str">
        <f aca="false">IF($D603="","",F603*M603+G603*N603)</f>
        <v/>
      </c>
      <c r="P603" s="26" t="str">
        <f aca="false">IF(OR($D603="",$J603&lt;&gt;"Supplier"),"",IFERROR(INDEX(SupplierRates!$D$5:$D$500,MATCH($K603&amp;"|"&amp;$L603,SupplierRates!$A$5:$A$500,0)),0))</f>
        <v/>
      </c>
      <c r="Q603" s="26" t="str">
        <f aca="false">IF(OR($D603="",$J603&lt;&gt;"Supplier"),"",IFERROR(INDEX(SupplierRates!$E$5:$E$500,MATCH($K603&amp;"|"&amp;$L603,SupplierRates!$A$5:$A$500,0)),0))</f>
        <v/>
      </c>
      <c r="R603" s="26" t="n">
        <f aca="false">IF(OR($D603="",$J603&lt;&gt;"Supplier"),0,F603*P603+G603*Q603)</f>
        <v>0</v>
      </c>
      <c r="S603" s="26" t="n">
        <f aca="false">IF(OR($D603="",$J603&lt;&gt;"Own"),0,IFERROR((F603+G603*Settings!$B$13)*INDEX(Workers!$V$5:$V$2004,MATCH($D603,Workers!$A$5:$A$2004,0)),0))</f>
        <v>0</v>
      </c>
      <c r="T603" s="26" t="str">
        <f aca="false">IF($D603="","",O603-R603-S603)</f>
        <v/>
      </c>
    </row>
    <row r="604" customFormat="false" ht="15" hidden="false" customHeight="false" outlineLevel="0" collapsed="false">
      <c r="I604" s="24" t="str">
        <f aca="false">IF($D604="","",IFERROR(INDEX(Workers!$B$5:$B$2004,MATCH($D604,Workers!$A$5:$A$2004,0)),"NOT FOUND"))</f>
        <v/>
      </c>
      <c r="J604" s="24" t="str">
        <f aca="false">IF($D604="","",IFERROR(INDEX(Workers!$C$5:$C$2004,MATCH($D604,Workers!$A$5:$A$2004,0)),""))</f>
        <v/>
      </c>
      <c r="K604" s="24" t="str">
        <f aca="false">IF($D604="","",IFERROR(IF(INDEX(Workers!$D$5:$D$2004,MATCH($D604,Workers!$A$5:$A$2004,0))=0,"",INDEX(Workers!$D$5:$D$2004,MATCH($D604,Workers!$A$5:$A$2004,0))),""))</f>
        <v/>
      </c>
      <c r="L604" s="24" t="str">
        <f aca="false">IF($D604="","",IFERROR(INDEX(Workers!$E$5:$E$2004,MATCH($D604,Workers!$A$5:$A$2004,0)),""))</f>
        <v/>
      </c>
      <c r="M604" s="26" t="str">
        <f aca="false">IF($D604="","",IFERROR(INDEX(ClientRates!$D$5:$D$500,MATCH($B604&amp;"|"&amp;$L604,ClientRates!$A$5:$A$500,0)),0))</f>
        <v/>
      </c>
      <c r="N604" s="26" t="str">
        <f aca="false">IF($D604="","",IFERROR(INDEX(ClientRates!$E$5:$E$500,MATCH($B604&amp;"|"&amp;$L604,ClientRates!$A$5:$A$500,0)),0))</f>
        <v/>
      </c>
      <c r="O604" s="26" t="str">
        <f aca="false">IF($D604="","",F604*M604+G604*N604)</f>
        <v/>
      </c>
      <c r="P604" s="26" t="str">
        <f aca="false">IF(OR($D604="",$J604&lt;&gt;"Supplier"),"",IFERROR(INDEX(SupplierRates!$D$5:$D$500,MATCH($K604&amp;"|"&amp;$L604,SupplierRates!$A$5:$A$500,0)),0))</f>
        <v/>
      </c>
      <c r="Q604" s="26" t="str">
        <f aca="false">IF(OR($D604="",$J604&lt;&gt;"Supplier"),"",IFERROR(INDEX(SupplierRates!$E$5:$E$500,MATCH($K604&amp;"|"&amp;$L604,SupplierRates!$A$5:$A$500,0)),0))</f>
        <v/>
      </c>
      <c r="R604" s="26" t="n">
        <f aca="false">IF(OR($D604="",$J604&lt;&gt;"Supplier"),0,F604*P604+G604*Q604)</f>
        <v>0</v>
      </c>
      <c r="S604" s="26" t="n">
        <f aca="false">IF(OR($D604="",$J604&lt;&gt;"Own"),0,IFERROR((F604+G604*Settings!$B$13)*INDEX(Workers!$V$5:$V$2004,MATCH($D604,Workers!$A$5:$A$2004,0)),0))</f>
        <v>0</v>
      </c>
      <c r="T604" s="26" t="str">
        <f aca="false">IF($D604="","",O604-R604-S604)</f>
        <v/>
      </c>
    </row>
    <row r="605" customFormat="false" ht="15" hidden="false" customHeight="false" outlineLevel="0" collapsed="false">
      <c r="I605" s="24" t="str">
        <f aca="false">IF($D605="","",IFERROR(INDEX(Workers!$B$5:$B$2004,MATCH($D605,Workers!$A$5:$A$2004,0)),"NOT FOUND"))</f>
        <v/>
      </c>
      <c r="J605" s="24" t="str">
        <f aca="false">IF($D605="","",IFERROR(INDEX(Workers!$C$5:$C$2004,MATCH($D605,Workers!$A$5:$A$2004,0)),""))</f>
        <v/>
      </c>
      <c r="K605" s="24" t="str">
        <f aca="false">IF($D605="","",IFERROR(IF(INDEX(Workers!$D$5:$D$2004,MATCH($D605,Workers!$A$5:$A$2004,0))=0,"",INDEX(Workers!$D$5:$D$2004,MATCH($D605,Workers!$A$5:$A$2004,0))),""))</f>
        <v/>
      </c>
      <c r="L605" s="24" t="str">
        <f aca="false">IF($D605="","",IFERROR(INDEX(Workers!$E$5:$E$2004,MATCH($D605,Workers!$A$5:$A$2004,0)),""))</f>
        <v/>
      </c>
      <c r="M605" s="26" t="str">
        <f aca="false">IF($D605="","",IFERROR(INDEX(ClientRates!$D$5:$D$500,MATCH($B605&amp;"|"&amp;$L605,ClientRates!$A$5:$A$500,0)),0))</f>
        <v/>
      </c>
      <c r="N605" s="26" t="str">
        <f aca="false">IF($D605="","",IFERROR(INDEX(ClientRates!$E$5:$E$500,MATCH($B605&amp;"|"&amp;$L605,ClientRates!$A$5:$A$500,0)),0))</f>
        <v/>
      </c>
      <c r="O605" s="26" t="str">
        <f aca="false">IF($D605="","",F605*M605+G605*N605)</f>
        <v/>
      </c>
      <c r="P605" s="26" t="str">
        <f aca="false">IF(OR($D605="",$J605&lt;&gt;"Supplier"),"",IFERROR(INDEX(SupplierRates!$D$5:$D$500,MATCH($K605&amp;"|"&amp;$L605,SupplierRates!$A$5:$A$500,0)),0))</f>
        <v/>
      </c>
      <c r="Q605" s="26" t="str">
        <f aca="false">IF(OR($D605="",$J605&lt;&gt;"Supplier"),"",IFERROR(INDEX(SupplierRates!$E$5:$E$500,MATCH($K605&amp;"|"&amp;$L605,SupplierRates!$A$5:$A$500,0)),0))</f>
        <v/>
      </c>
      <c r="R605" s="26" t="n">
        <f aca="false">IF(OR($D605="",$J605&lt;&gt;"Supplier"),0,F605*P605+G605*Q605)</f>
        <v>0</v>
      </c>
      <c r="S605" s="26" t="n">
        <f aca="false">IF(OR($D605="",$J605&lt;&gt;"Own"),0,IFERROR((F605+G605*Settings!$B$13)*INDEX(Workers!$V$5:$V$2004,MATCH($D605,Workers!$A$5:$A$2004,0)),0))</f>
        <v>0</v>
      </c>
      <c r="T605" s="26" t="str">
        <f aca="false">IF($D605="","",O605-R605-S605)</f>
        <v/>
      </c>
    </row>
    <row r="606" customFormat="false" ht="15" hidden="false" customHeight="false" outlineLevel="0" collapsed="false">
      <c r="I606" s="24" t="str">
        <f aca="false">IF($D606="","",IFERROR(INDEX(Workers!$B$5:$B$2004,MATCH($D606,Workers!$A$5:$A$2004,0)),"NOT FOUND"))</f>
        <v/>
      </c>
      <c r="J606" s="24" t="str">
        <f aca="false">IF($D606="","",IFERROR(INDEX(Workers!$C$5:$C$2004,MATCH($D606,Workers!$A$5:$A$2004,0)),""))</f>
        <v/>
      </c>
      <c r="K606" s="24" t="str">
        <f aca="false">IF($D606="","",IFERROR(IF(INDEX(Workers!$D$5:$D$2004,MATCH($D606,Workers!$A$5:$A$2004,0))=0,"",INDEX(Workers!$D$5:$D$2004,MATCH($D606,Workers!$A$5:$A$2004,0))),""))</f>
        <v/>
      </c>
      <c r="L606" s="24" t="str">
        <f aca="false">IF($D606="","",IFERROR(INDEX(Workers!$E$5:$E$2004,MATCH($D606,Workers!$A$5:$A$2004,0)),""))</f>
        <v/>
      </c>
      <c r="M606" s="26" t="str">
        <f aca="false">IF($D606="","",IFERROR(INDEX(ClientRates!$D$5:$D$500,MATCH($B606&amp;"|"&amp;$L606,ClientRates!$A$5:$A$500,0)),0))</f>
        <v/>
      </c>
      <c r="N606" s="26" t="str">
        <f aca="false">IF($D606="","",IFERROR(INDEX(ClientRates!$E$5:$E$500,MATCH($B606&amp;"|"&amp;$L606,ClientRates!$A$5:$A$500,0)),0))</f>
        <v/>
      </c>
      <c r="O606" s="26" t="str">
        <f aca="false">IF($D606="","",F606*M606+G606*N606)</f>
        <v/>
      </c>
      <c r="P606" s="26" t="str">
        <f aca="false">IF(OR($D606="",$J606&lt;&gt;"Supplier"),"",IFERROR(INDEX(SupplierRates!$D$5:$D$500,MATCH($K606&amp;"|"&amp;$L606,SupplierRates!$A$5:$A$500,0)),0))</f>
        <v/>
      </c>
      <c r="Q606" s="26" t="str">
        <f aca="false">IF(OR($D606="",$J606&lt;&gt;"Supplier"),"",IFERROR(INDEX(SupplierRates!$E$5:$E$500,MATCH($K606&amp;"|"&amp;$L606,SupplierRates!$A$5:$A$500,0)),0))</f>
        <v/>
      </c>
      <c r="R606" s="26" t="n">
        <f aca="false">IF(OR($D606="",$J606&lt;&gt;"Supplier"),0,F606*P606+G606*Q606)</f>
        <v>0</v>
      </c>
      <c r="S606" s="26" t="n">
        <f aca="false">IF(OR($D606="",$J606&lt;&gt;"Own"),0,IFERROR((F606+G606*Settings!$B$13)*INDEX(Workers!$V$5:$V$2004,MATCH($D606,Workers!$A$5:$A$2004,0)),0))</f>
        <v>0</v>
      </c>
      <c r="T606" s="26" t="str">
        <f aca="false">IF($D606="","",O606-R606-S606)</f>
        <v/>
      </c>
    </row>
    <row r="607" customFormat="false" ht="15" hidden="false" customHeight="false" outlineLevel="0" collapsed="false">
      <c r="I607" s="24" t="str">
        <f aca="false">IF($D607="","",IFERROR(INDEX(Workers!$B$5:$B$2004,MATCH($D607,Workers!$A$5:$A$2004,0)),"NOT FOUND"))</f>
        <v/>
      </c>
      <c r="J607" s="24" t="str">
        <f aca="false">IF($D607="","",IFERROR(INDEX(Workers!$C$5:$C$2004,MATCH($D607,Workers!$A$5:$A$2004,0)),""))</f>
        <v/>
      </c>
      <c r="K607" s="24" t="str">
        <f aca="false">IF($D607="","",IFERROR(IF(INDEX(Workers!$D$5:$D$2004,MATCH($D607,Workers!$A$5:$A$2004,0))=0,"",INDEX(Workers!$D$5:$D$2004,MATCH($D607,Workers!$A$5:$A$2004,0))),""))</f>
        <v/>
      </c>
      <c r="L607" s="24" t="str">
        <f aca="false">IF($D607="","",IFERROR(INDEX(Workers!$E$5:$E$2004,MATCH($D607,Workers!$A$5:$A$2004,0)),""))</f>
        <v/>
      </c>
      <c r="M607" s="26" t="str">
        <f aca="false">IF($D607="","",IFERROR(INDEX(ClientRates!$D$5:$D$500,MATCH($B607&amp;"|"&amp;$L607,ClientRates!$A$5:$A$500,0)),0))</f>
        <v/>
      </c>
      <c r="N607" s="26" t="str">
        <f aca="false">IF($D607="","",IFERROR(INDEX(ClientRates!$E$5:$E$500,MATCH($B607&amp;"|"&amp;$L607,ClientRates!$A$5:$A$500,0)),0))</f>
        <v/>
      </c>
      <c r="O607" s="26" t="str">
        <f aca="false">IF($D607="","",F607*M607+G607*N607)</f>
        <v/>
      </c>
      <c r="P607" s="26" t="str">
        <f aca="false">IF(OR($D607="",$J607&lt;&gt;"Supplier"),"",IFERROR(INDEX(SupplierRates!$D$5:$D$500,MATCH($K607&amp;"|"&amp;$L607,SupplierRates!$A$5:$A$500,0)),0))</f>
        <v/>
      </c>
      <c r="Q607" s="26" t="str">
        <f aca="false">IF(OR($D607="",$J607&lt;&gt;"Supplier"),"",IFERROR(INDEX(SupplierRates!$E$5:$E$500,MATCH($K607&amp;"|"&amp;$L607,SupplierRates!$A$5:$A$500,0)),0))</f>
        <v/>
      </c>
      <c r="R607" s="26" t="n">
        <f aca="false">IF(OR($D607="",$J607&lt;&gt;"Supplier"),0,F607*P607+G607*Q607)</f>
        <v>0</v>
      </c>
      <c r="S607" s="26" t="n">
        <f aca="false">IF(OR($D607="",$J607&lt;&gt;"Own"),0,IFERROR((F607+G607*Settings!$B$13)*INDEX(Workers!$V$5:$V$2004,MATCH($D607,Workers!$A$5:$A$2004,0)),0))</f>
        <v>0</v>
      </c>
      <c r="T607" s="26" t="str">
        <f aca="false">IF($D607="","",O607-R607-S607)</f>
        <v/>
      </c>
    </row>
    <row r="608" customFormat="false" ht="15" hidden="false" customHeight="false" outlineLevel="0" collapsed="false">
      <c r="I608" s="24" t="str">
        <f aca="false">IF($D608="","",IFERROR(INDEX(Workers!$B$5:$B$2004,MATCH($D608,Workers!$A$5:$A$2004,0)),"NOT FOUND"))</f>
        <v/>
      </c>
      <c r="J608" s="24" t="str">
        <f aca="false">IF($D608="","",IFERROR(INDEX(Workers!$C$5:$C$2004,MATCH($D608,Workers!$A$5:$A$2004,0)),""))</f>
        <v/>
      </c>
      <c r="K608" s="24" t="str">
        <f aca="false">IF($D608="","",IFERROR(IF(INDEX(Workers!$D$5:$D$2004,MATCH($D608,Workers!$A$5:$A$2004,0))=0,"",INDEX(Workers!$D$5:$D$2004,MATCH($D608,Workers!$A$5:$A$2004,0))),""))</f>
        <v/>
      </c>
      <c r="L608" s="24" t="str">
        <f aca="false">IF($D608="","",IFERROR(INDEX(Workers!$E$5:$E$2004,MATCH($D608,Workers!$A$5:$A$2004,0)),""))</f>
        <v/>
      </c>
      <c r="M608" s="26" t="str">
        <f aca="false">IF($D608="","",IFERROR(INDEX(ClientRates!$D$5:$D$500,MATCH($B608&amp;"|"&amp;$L608,ClientRates!$A$5:$A$500,0)),0))</f>
        <v/>
      </c>
      <c r="N608" s="26" t="str">
        <f aca="false">IF($D608="","",IFERROR(INDEX(ClientRates!$E$5:$E$500,MATCH($B608&amp;"|"&amp;$L608,ClientRates!$A$5:$A$500,0)),0))</f>
        <v/>
      </c>
      <c r="O608" s="26" t="str">
        <f aca="false">IF($D608="","",F608*M608+G608*N608)</f>
        <v/>
      </c>
      <c r="P608" s="26" t="str">
        <f aca="false">IF(OR($D608="",$J608&lt;&gt;"Supplier"),"",IFERROR(INDEX(SupplierRates!$D$5:$D$500,MATCH($K608&amp;"|"&amp;$L608,SupplierRates!$A$5:$A$500,0)),0))</f>
        <v/>
      </c>
      <c r="Q608" s="26" t="str">
        <f aca="false">IF(OR($D608="",$J608&lt;&gt;"Supplier"),"",IFERROR(INDEX(SupplierRates!$E$5:$E$500,MATCH($K608&amp;"|"&amp;$L608,SupplierRates!$A$5:$A$500,0)),0))</f>
        <v/>
      </c>
      <c r="R608" s="26" t="n">
        <f aca="false">IF(OR($D608="",$J608&lt;&gt;"Supplier"),0,F608*P608+G608*Q608)</f>
        <v>0</v>
      </c>
      <c r="S608" s="26" t="n">
        <f aca="false">IF(OR($D608="",$J608&lt;&gt;"Own"),0,IFERROR((F608+G608*Settings!$B$13)*INDEX(Workers!$V$5:$V$2004,MATCH($D608,Workers!$A$5:$A$2004,0)),0))</f>
        <v>0</v>
      </c>
      <c r="T608" s="26" t="str">
        <f aca="false">IF($D608="","",O608-R608-S608)</f>
        <v/>
      </c>
    </row>
    <row r="609" customFormat="false" ht="15" hidden="false" customHeight="false" outlineLevel="0" collapsed="false">
      <c r="I609" s="24" t="str">
        <f aca="false">IF($D609="","",IFERROR(INDEX(Workers!$B$5:$B$2004,MATCH($D609,Workers!$A$5:$A$2004,0)),"NOT FOUND"))</f>
        <v/>
      </c>
      <c r="J609" s="24" t="str">
        <f aca="false">IF($D609="","",IFERROR(INDEX(Workers!$C$5:$C$2004,MATCH($D609,Workers!$A$5:$A$2004,0)),""))</f>
        <v/>
      </c>
      <c r="K609" s="24" t="str">
        <f aca="false">IF($D609="","",IFERROR(IF(INDEX(Workers!$D$5:$D$2004,MATCH($D609,Workers!$A$5:$A$2004,0))=0,"",INDEX(Workers!$D$5:$D$2004,MATCH($D609,Workers!$A$5:$A$2004,0))),""))</f>
        <v/>
      </c>
      <c r="L609" s="24" t="str">
        <f aca="false">IF($D609="","",IFERROR(INDEX(Workers!$E$5:$E$2004,MATCH($D609,Workers!$A$5:$A$2004,0)),""))</f>
        <v/>
      </c>
      <c r="M609" s="26" t="str">
        <f aca="false">IF($D609="","",IFERROR(INDEX(ClientRates!$D$5:$D$500,MATCH($B609&amp;"|"&amp;$L609,ClientRates!$A$5:$A$500,0)),0))</f>
        <v/>
      </c>
      <c r="N609" s="26" t="str">
        <f aca="false">IF($D609="","",IFERROR(INDEX(ClientRates!$E$5:$E$500,MATCH($B609&amp;"|"&amp;$L609,ClientRates!$A$5:$A$500,0)),0))</f>
        <v/>
      </c>
      <c r="O609" s="26" t="str">
        <f aca="false">IF($D609="","",F609*M609+G609*N609)</f>
        <v/>
      </c>
      <c r="P609" s="26" t="str">
        <f aca="false">IF(OR($D609="",$J609&lt;&gt;"Supplier"),"",IFERROR(INDEX(SupplierRates!$D$5:$D$500,MATCH($K609&amp;"|"&amp;$L609,SupplierRates!$A$5:$A$500,0)),0))</f>
        <v/>
      </c>
      <c r="Q609" s="26" t="str">
        <f aca="false">IF(OR($D609="",$J609&lt;&gt;"Supplier"),"",IFERROR(INDEX(SupplierRates!$E$5:$E$500,MATCH($K609&amp;"|"&amp;$L609,SupplierRates!$A$5:$A$500,0)),0))</f>
        <v/>
      </c>
      <c r="R609" s="26" t="n">
        <f aca="false">IF(OR($D609="",$J609&lt;&gt;"Supplier"),0,F609*P609+G609*Q609)</f>
        <v>0</v>
      </c>
      <c r="S609" s="26" t="n">
        <f aca="false">IF(OR($D609="",$J609&lt;&gt;"Own"),0,IFERROR((F609+G609*Settings!$B$13)*INDEX(Workers!$V$5:$V$2004,MATCH($D609,Workers!$A$5:$A$2004,0)),0))</f>
        <v>0</v>
      </c>
      <c r="T609" s="26" t="str">
        <f aca="false">IF($D609="","",O609-R609-S609)</f>
        <v/>
      </c>
    </row>
    <row r="610" customFormat="false" ht="15" hidden="false" customHeight="false" outlineLevel="0" collapsed="false">
      <c r="I610" s="24" t="str">
        <f aca="false">IF($D610="","",IFERROR(INDEX(Workers!$B$5:$B$2004,MATCH($D610,Workers!$A$5:$A$2004,0)),"NOT FOUND"))</f>
        <v/>
      </c>
      <c r="J610" s="24" t="str">
        <f aca="false">IF($D610="","",IFERROR(INDEX(Workers!$C$5:$C$2004,MATCH($D610,Workers!$A$5:$A$2004,0)),""))</f>
        <v/>
      </c>
      <c r="K610" s="24" t="str">
        <f aca="false">IF($D610="","",IFERROR(IF(INDEX(Workers!$D$5:$D$2004,MATCH($D610,Workers!$A$5:$A$2004,0))=0,"",INDEX(Workers!$D$5:$D$2004,MATCH($D610,Workers!$A$5:$A$2004,0))),""))</f>
        <v/>
      </c>
      <c r="L610" s="24" t="str">
        <f aca="false">IF($D610="","",IFERROR(INDEX(Workers!$E$5:$E$2004,MATCH($D610,Workers!$A$5:$A$2004,0)),""))</f>
        <v/>
      </c>
      <c r="M610" s="26" t="str">
        <f aca="false">IF($D610="","",IFERROR(INDEX(ClientRates!$D$5:$D$500,MATCH($B610&amp;"|"&amp;$L610,ClientRates!$A$5:$A$500,0)),0))</f>
        <v/>
      </c>
      <c r="N610" s="26" t="str">
        <f aca="false">IF($D610="","",IFERROR(INDEX(ClientRates!$E$5:$E$500,MATCH($B610&amp;"|"&amp;$L610,ClientRates!$A$5:$A$500,0)),0))</f>
        <v/>
      </c>
      <c r="O610" s="26" t="str">
        <f aca="false">IF($D610="","",F610*M610+G610*N610)</f>
        <v/>
      </c>
      <c r="P610" s="26" t="str">
        <f aca="false">IF(OR($D610="",$J610&lt;&gt;"Supplier"),"",IFERROR(INDEX(SupplierRates!$D$5:$D$500,MATCH($K610&amp;"|"&amp;$L610,SupplierRates!$A$5:$A$500,0)),0))</f>
        <v/>
      </c>
      <c r="Q610" s="26" t="str">
        <f aca="false">IF(OR($D610="",$J610&lt;&gt;"Supplier"),"",IFERROR(INDEX(SupplierRates!$E$5:$E$500,MATCH($K610&amp;"|"&amp;$L610,SupplierRates!$A$5:$A$500,0)),0))</f>
        <v/>
      </c>
      <c r="R610" s="26" t="n">
        <f aca="false">IF(OR($D610="",$J610&lt;&gt;"Supplier"),0,F610*P610+G610*Q610)</f>
        <v>0</v>
      </c>
      <c r="S610" s="26" t="n">
        <f aca="false">IF(OR($D610="",$J610&lt;&gt;"Own"),0,IFERROR((F610+G610*Settings!$B$13)*INDEX(Workers!$V$5:$V$2004,MATCH($D610,Workers!$A$5:$A$2004,0)),0))</f>
        <v>0</v>
      </c>
      <c r="T610" s="26" t="str">
        <f aca="false">IF($D610="","",O610-R610-S610)</f>
        <v/>
      </c>
    </row>
    <row r="611" customFormat="false" ht="15" hidden="false" customHeight="false" outlineLevel="0" collapsed="false">
      <c r="I611" s="24" t="str">
        <f aca="false">IF($D611="","",IFERROR(INDEX(Workers!$B$5:$B$2004,MATCH($D611,Workers!$A$5:$A$2004,0)),"NOT FOUND"))</f>
        <v/>
      </c>
      <c r="J611" s="24" t="str">
        <f aca="false">IF($D611="","",IFERROR(INDEX(Workers!$C$5:$C$2004,MATCH($D611,Workers!$A$5:$A$2004,0)),""))</f>
        <v/>
      </c>
      <c r="K611" s="24" t="str">
        <f aca="false">IF($D611="","",IFERROR(IF(INDEX(Workers!$D$5:$D$2004,MATCH($D611,Workers!$A$5:$A$2004,0))=0,"",INDEX(Workers!$D$5:$D$2004,MATCH($D611,Workers!$A$5:$A$2004,0))),""))</f>
        <v/>
      </c>
      <c r="L611" s="24" t="str">
        <f aca="false">IF($D611="","",IFERROR(INDEX(Workers!$E$5:$E$2004,MATCH($D611,Workers!$A$5:$A$2004,0)),""))</f>
        <v/>
      </c>
      <c r="M611" s="26" t="str">
        <f aca="false">IF($D611="","",IFERROR(INDEX(ClientRates!$D$5:$D$500,MATCH($B611&amp;"|"&amp;$L611,ClientRates!$A$5:$A$500,0)),0))</f>
        <v/>
      </c>
      <c r="N611" s="26" t="str">
        <f aca="false">IF($D611="","",IFERROR(INDEX(ClientRates!$E$5:$E$500,MATCH($B611&amp;"|"&amp;$L611,ClientRates!$A$5:$A$500,0)),0))</f>
        <v/>
      </c>
      <c r="O611" s="26" t="str">
        <f aca="false">IF($D611="","",F611*M611+G611*N611)</f>
        <v/>
      </c>
      <c r="P611" s="26" t="str">
        <f aca="false">IF(OR($D611="",$J611&lt;&gt;"Supplier"),"",IFERROR(INDEX(SupplierRates!$D$5:$D$500,MATCH($K611&amp;"|"&amp;$L611,SupplierRates!$A$5:$A$500,0)),0))</f>
        <v/>
      </c>
      <c r="Q611" s="26" t="str">
        <f aca="false">IF(OR($D611="",$J611&lt;&gt;"Supplier"),"",IFERROR(INDEX(SupplierRates!$E$5:$E$500,MATCH($K611&amp;"|"&amp;$L611,SupplierRates!$A$5:$A$500,0)),0))</f>
        <v/>
      </c>
      <c r="R611" s="26" t="n">
        <f aca="false">IF(OR($D611="",$J611&lt;&gt;"Supplier"),0,F611*P611+G611*Q611)</f>
        <v>0</v>
      </c>
      <c r="S611" s="26" t="n">
        <f aca="false">IF(OR($D611="",$J611&lt;&gt;"Own"),0,IFERROR((F611+G611*Settings!$B$13)*INDEX(Workers!$V$5:$V$2004,MATCH($D611,Workers!$A$5:$A$2004,0)),0))</f>
        <v>0</v>
      </c>
      <c r="T611" s="26" t="str">
        <f aca="false">IF($D611="","",O611-R611-S611)</f>
        <v/>
      </c>
    </row>
    <row r="612" customFormat="false" ht="15" hidden="false" customHeight="false" outlineLevel="0" collapsed="false">
      <c r="I612" s="24" t="str">
        <f aca="false">IF($D612="","",IFERROR(INDEX(Workers!$B$5:$B$2004,MATCH($D612,Workers!$A$5:$A$2004,0)),"NOT FOUND"))</f>
        <v/>
      </c>
      <c r="J612" s="24" t="str">
        <f aca="false">IF($D612="","",IFERROR(INDEX(Workers!$C$5:$C$2004,MATCH($D612,Workers!$A$5:$A$2004,0)),""))</f>
        <v/>
      </c>
      <c r="K612" s="24" t="str">
        <f aca="false">IF($D612="","",IFERROR(IF(INDEX(Workers!$D$5:$D$2004,MATCH($D612,Workers!$A$5:$A$2004,0))=0,"",INDEX(Workers!$D$5:$D$2004,MATCH($D612,Workers!$A$5:$A$2004,0))),""))</f>
        <v/>
      </c>
      <c r="L612" s="24" t="str">
        <f aca="false">IF($D612="","",IFERROR(INDEX(Workers!$E$5:$E$2004,MATCH($D612,Workers!$A$5:$A$2004,0)),""))</f>
        <v/>
      </c>
      <c r="M612" s="26" t="str">
        <f aca="false">IF($D612="","",IFERROR(INDEX(ClientRates!$D$5:$D$500,MATCH($B612&amp;"|"&amp;$L612,ClientRates!$A$5:$A$500,0)),0))</f>
        <v/>
      </c>
      <c r="N612" s="26" t="str">
        <f aca="false">IF($D612="","",IFERROR(INDEX(ClientRates!$E$5:$E$500,MATCH($B612&amp;"|"&amp;$L612,ClientRates!$A$5:$A$500,0)),0))</f>
        <v/>
      </c>
      <c r="O612" s="26" t="str">
        <f aca="false">IF($D612="","",F612*M612+G612*N612)</f>
        <v/>
      </c>
      <c r="P612" s="26" t="str">
        <f aca="false">IF(OR($D612="",$J612&lt;&gt;"Supplier"),"",IFERROR(INDEX(SupplierRates!$D$5:$D$500,MATCH($K612&amp;"|"&amp;$L612,SupplierRates!$A$5:$A$500,0)),0))</f>
        <v/>
      </c>
      <c r="Q612" s="26" t="str">
        <f aca="false">IF(OR($D612="",$J612&lt;&gt;"Supplier"),"",IFERROR(INDEX(SupplierRates!$E$5:$E$500,MATCH($K612&amp;"|"&amp;$L612,SupplierRates!$A$5:$A$500,0)),0))</f>
        <v/>
      </c>
      <c r="R612" s="26" t="n">
        <f aca="false">IF(OR($D612="",$J612&lt;&gt;"Supplier"),0,F612*P612+G612*Q612)</f>
        <v>0</v>
      </c>
      <c r="S612" s="26" t="n">
        <f aca="false">IF(OR($D612="",$J612&lt;&gt;"Own"),0,IFERROR((F612+G612*Settings!$B$13)*INDEX(Workers!$V$5:$V$2004,MATCH($D612,Workers!$A$5:$A$2004,0)),0))</f>
        <v>0</v>
      </c>
      <c r="T612" s="26" t="str">
        <f aca="false">IF($D612="","",O612-R612-S612)</f>
        <v/>
      </c>
    </row>
    <row r="613" customFormat="false" ht="15" hidden="false" customHeight="false" outlineLevel="0" collapsed="false">
      <c r="I613" s="24" t="str">
        <f aca="false">IF($D613="","",IFERROR(INDEX(Workers!$B$5:$B$2004,MATCH($D613,Workers!$A$5:$A$2004,0)),"NOT FOUND"))</f>
        <v/>
      </c>
      <c r="J613" s="24" t="str">
        <f aca="false">IF($D613="","",IFERROR(INDEX(Workers!$C$5:$C$2004,MATCH($D613,Workers!$A$5:$A$2004,0)),""))</f>
        <v/>
      </c>
      <c r="K613" s="24" t="str">
        <f aca="false">IF($D613="","",IFERROR(IF(INDEX(Workers!$D$5:$D$2004,MATCH($D613,Workers!$A$5:$A$2004,0))=0,"",INDEX(Workers!$D$5:$D$2004,MATCH($D613,Workers!$A$5:$A$2004,0))),""))</f>
        <v/>
      </c>
      <c r="L613" s="24" t="str">
        <f aca="false">IF($D613="","",IFERROR(INDEX(Workers!$E$5:$E$2004,MATCH($D613,Workers!$A$5:$A$2004,0)),""))</f>
        <v/>
      </c>
      <c r="M613" s="26" t="str">
        <f aca="false">IF($D613="","",IFERROR(INDEX(ClientRates!$D$5:$D$500,MATCH($B613&amp;"|"&amp;$L613,ClientRates!$A$5:$A$500,0)),0))</f>
        <v/>
      </c>
      <c r="N613" s="26" t="str">
        <f aca="false">IF($D613="","",IFERROR(INDEX(ClientRates!$E$5:$E$500,MATCH($B613&amp;"|"&amp;$L613,ClientRates!$A$5:$A$500,0)),0))</f>
        <v/>
      </c>
      <c r="O613" s="26" t="str">
        <f aca="false">IF($D613="","",F613*M613+G613*N613)</f>
        <v/>
      </c>
      <c r="P613" s="26" t="str">
        <f aca="false">IF(OR($D613="",$J613&lt;&gt;"Supplier"),"",IFERROR(INDEX(SupplierRates!$D$5:$D$500,MATCH($K613&amp;"|"&amp;$L613,SupplierRates!$A$5:$A$500,0)),0))</f>
        <v/>
      </c>
      <c r="Q613" s="26" t="str">
        <f aca="false">IF(OR($D613="",$J613&lt;&gt;"Supplier"),"",IFERROR(INDEX(SupplierRates!$E$5:$E$500,MATCH($K613&amp;"|"&amp;$L613,SupplierRates!$A$5:$A$500,0)),0))</f>
        <v/>
      </c>
      <c r="R613" s="26" t="n">
        <f aca="false">IF(OR($D613="",$J613&lt;&gt;"Supplier"),0,F613*P613+G613*Q613)</f>
        <v>0</v>
      </c>
      <c r="S613" s="26" t="n">
        <f aca="false">IF(OR($D613="",$J613&lt;&gt;"Own"),0,IFERROR((F613+G613*Settings!$B$13)*INDEX(Workers!$V$5:$V$2004,MATCH($D613,Workers!$A$5:$A$2004,0)),0))</f>
        <v>0</v>
      </c>
      <c r="T613" s="26" t="str">
        <f aca="false">IF($D613="","",O613-R613-S613)</f>
        <v/>
      </c>
    </row>
    <row r="614" customFormat="false" ht="15" hidden="false" customHeight="false" outlineLevel="0" collapsed="false">
      <c r="I614" s="24" t="str">
        <f aca="false">IF($D614="","",IFERROR(INDEX(Workers!$B$5:$B$2004,MATCH($D614,Workers!$A$5:$A$2004,0)),"NOT FOUND"))</f>
        <v/>
      </c>
      <c r="J614" s="24" t="str">
        <f aca="false">IF($D614="","",IFERROR(INDEX(Workers!$C$5:$C$2004,MATCH($D614,Workers!$A$5:$A$2004,0)),""))</f>
        <v/>
      </c>
      <c r="K614" s="24" t="str">
        <f aca="false">IF($D614="","",IFERROR(IF(INDEX(Workers!$D$5:$D$2004,MATCH($D614,Workers!$A$5:$A$2004,0))=0,"",INDEX(Workers!$D$5:$D$2004,MATCH($D614,Workers!$A$5:$A$2004,0))),""))</f>
        <v/>
      </c>
      <c r="L614" s="24" t="str">
        <f aca="false">IF($D614="","",IFERROR(INDEX(Workers!$E$5:$E$2004,MATCH($D614,Workers!$A$5:$A$2004,0)),""))</f>
        <v/>
      </c>
      <c r="M614" s="26" t="str">
        <f aca="false">IF($D614="","",IFERROR(INDEX(ClientRates!$D$5:$D$500,MATCH($B614&amp;"|"&amp;$L614,ClientRates!$A$5:$A$500,0)),0))</f>
        <v/>
      </c>
      <c r="N614" s="26" t="str">
        <f aca="false">IF($D614="","",IFERROR(INDEX(ClientRates!$E$5:$E$500,MATCH($B614&amp;"|"&amp;$L614,ClientRates!$A$5:$A$500,0)),0))</f>
        <v/>
      </c>
      <c r="O614" s="26" t="str">
        <f aca="false">IF($D614="","",F614*M614+G614*N614)</f>
        <v/>
      </c>
      <c r="P614" s="26" t="str">
        <f aca="false">IF(OR($D614="",$J614&lt;&gt;"Supplier"),"",IFERROR(INDEX(SupplierRates!$D$5:$D$500,MATCH($K614&amp;"|"&amp;$L614,SupplierRates!$A$5:$A$500,0)),0))</f>
        <v/>
      </c>
      <c r="Q614" s="26" t="str">
        <f aca="false">IF(OR($D614="",$J614&lt;&gt;"Supplier"),"",IFERROR(INDEX(SupplierRates!$E$5:$E$500,MATCH($K614&amp;"|"&amp;$L614,SupplierRates!$A$5:$A$500,0)),0))</f>
        <v/>
      </c>
      <c r="R614" s="26" t="n">
        <f aca="false">IF(OR($D614="",$J614&lt;&gt;"Supplier"),0,F614*P614+G614*Q614)</f>
        <v>0</v>
      </c>
      <c r="S614" s="26" t="n">
        <f aca="false">IF(OR($D614="",$J614&lt;&gt;"Own"),0,IFERROR((F614+G614*Settings!$B$13)*INDEX(Workers!$V$5:$V$2004,MATCH($D614,Workers!$A$5:$A$2004,0)),0))</f>
        <v>0</v>
      </c>
      <c r="T614" s="26" t="str">
        <f aca="false">IF($D614="","",O614-R614-S614)</f>
        <v/>
      </c>
    </row>
    <row r="615" customFormat="false" ht="15" hidden="false" customHeight="false" outlineLevel="0" collapsed="false">
      <c r="I615" s="24" t="str">
        <f aca="false">IF($D615="","",IFERROR(INDEX(Workers!$B$5:$B$2004,MATCH($D615,Workers!$A$5:$A$2004,0)),"NOT FOUND"))</f>
        <v/>
      </c>
      <c r="J615" s="24" t="str">
        <f aca="false">IF($D615="","",IFERROR(INDEX(Workers!$C$5:$C$2004,MATCH($D615,Workers!$A$5:$A$2004,0)),""))</f>
        <v/>
      </c>
      <c r="K615" s="24" t="str">
        <f aca="false">IF($D615="","",IFERROR(IF(INDEX(Workers!$D$5:$D$2004,MATCH($D615,Workers!$A$5:$A$2004,0))=0,"",INDEX(Workers!$D$5:$D$2004,MATCH($D615,Workers!$A$5:$A$2004,0))),""))</f>
        <v/>
      </c>
      <c r="L615" s="24" t="str">
        <f aca="false">IF($D615="","",IFERROR(INDEX(Workers!$E$5:$E$2004,MATCH($D615,Workers!$A$5:$A$2004,0)),""))</f>
        <v/>
      </c>
      <c r="M615" s="26" t="str">
        <f aca="false">IF($D615="","",IFERROR(INDEX(ClientRates!$D$5:$D$500,MATCH($B615&amp;"|"&amp;$L615,ClientRates!$A$5:$A$500,0)),0))</f>
        <v/>
      </c>
      <c r="N615" s="26" t="str">
        <f aca="false">IF($D615="","",IFERROR(INDEX(ClientRates!$E$5:$E$500,MATCH($B615&amp;"|"&amp;$L615,ClientRates!$A$5:$A$500,0)),0))</f>
        <v/>
      </c>
      <c r="O615" s="26" t="str">
        <f aca="false">IF($D615="","",F615*M615+G615*N615)</f>
        <v/>
      </c>
      <c r="P615" s="26" t="str">
        <f aca="false">IF(OR($D615="",$J615&lt;&gt;"Supplier"),"",IFERROR(INDEX(SupplierRates!$D$5:$D$500,MATCH($K615&amp;"|"&amp;$L615,SupplierRates!$A$5:$A$500,0)),0))</f>
        <v/>
      </c>
      <c r="Q615" s="26" t="str">
        <f aca="false">IF(OR($D615="",$J615&lt;&gt;"Supplier"),"",IFERROR(INDEX(SupplierRates!$E$5:$E$500,MATCH($K615&amp;"|"&amp;$L615,SupplierRates!$A$5:$A$500,0)),0))</f>
        <v/>
      </c>
      <c r="R615" s="26" t="n">
        <f aca="false">IF(OR($D615="",$J615&lt;&gt;"Supplier"),0,F615*P615+G615*Q615)</f>
        <v>0</v>
      </c>
      <c r="S615" s="26" t="n">
        <f aca="false">IF(OR($D615="",$J615&lt;&gt;"Own"),0,IFERROR((F615+G615*Settings!$B$13)*INDEX(Workers!$V$5:$V$2004,MATCH($D615,Workers!$A$5:$A$2004,0)),0))</f>
        <v>0</v>
      </c>
      <c r="T615" s="26" t="str">
        <f aca="false">IF($D615="","",O615-R615-S615)</f>
        <v/>
      </c>
    </row>
    <row r="616" customFormat="false" ht="15" hidden="false" customHeight="false" outlineLevel="0" collapsed="false">
      <c r="I616" s="24" t="str">
        <f aca="false">IF($D616="","",IFERROR(INDEX(Workers!$B$5:$B$2004,MATCH($D616,Workers!$A$5:$A$2004,0)),"NOT FOUND"))</f>
        <v/>
      </c>
      <c r="J616" s="24" t="str">
        <f aca="false">IF($D616="","",IFERROR(INDEX(Workers!$C$5:$C$2004,MATCH($D616,Workers!$A$5:$A$2004,0)),""))</f>
        <v/>
      </c>
      <c r="K616" s="24" t="str">
        <f aca="false">IF($D616="","",IFERROR(IF(INDEX(Workers!$D$5:$D$2004,MATCH($D616,Workers!$A$5:$A$2004,0))=0,"",INDEX(Workers!$D$5:$D$2004,MATCH($D616,Workers!$A$5:$A$2004,0))),""))</f>
        <v/>
      </c>
      <c r="L616" s="24" t="str">
        <f aca="false">IF($D616="","",IFERROR(INDEX(Workers!$E$5:$E$2004,MATCH($D616,Workers!$A$5:$A$2004,0)),""))</f>
        <v/>
      </c>
      <c r="M616" s="26" t="str">
        <f aca="false">IF($D616="","",IFERROR(INDEX(ClientRates!$D$5:$D$500,MATCH($B616&amp;"|"&amp;$L616,ClientRates!$A$5:$A$500,0)),0))</f>
        <v/>
      </c>
      <c r="N616" s="26" t="str">
        <f aca="false">IF($D616="","",IFERROR(INDEX(ClientRates!$E$5:$E$500,MATCH($B616&amp;"|"&amp;$L616,ClientRates!$A$5:$A$500,0)),0))</f>
        <v/>
      </c>
      <c r="O616" s="26" t="str">
        <f aca="false">IF($D616="","",F616*M616+G616*N616)</f>
        <v/>
      </c>
      <c r="P616" s="26" t="str">
        <f aca="false">IF(OR($D616="",$J616&lt;&gt;"Supplier"),"",IFERROR(INDEX(SupplierRates!$D$5:$D$500,MATCH($K616&amp;"|"&amp;$L616,SupplierRates!$A$5:$A$500,0)),0))</f>
        <v/>
      </c>
      <c r="Q616" s="26" t="str">
        <f aca="false">IF(OR($D616="",$J616&lt;&gt;"Supplier"),"",IFERROR(INDEX(SupplierRates!$E$5:$E$500,MATCH($K616&amp;"|"&amp;$L616,SupplierRates!$A$5:$A$500,0)),0))</f>
        <v/>
      </c>
      <c r="R616" s="26" t="n">
        <f aca="false">IF(OR($D616="",$J616&lt;&gt;"Supplier"),0,F616*P616+G616*Q616)</f>
        <v>0</v>
      </c>
      <c r="S616" s="26" t="n">
        <f aca="false">IF(OR($D616="",$J616&lt;&gt;"Own"),0,IFERROR((F616+G616*Settings!$B$13)*INDEX(Workers!$V$5:$V$2004,MATCH($D616,Workers!$A$5:$A$2004,0)),0))</f>
        <v>0</v>
      </c>
      <c r="T616" s="26" t="str">
        <f aca="false">IF($D616="","",O616-R616-S616)</f>
        <v/>
      </c>
    </row>
    <row r="617" customFormat="false" ht="15" hidden="false" customHeight="false" outlineLevel="0" collapsed="false">
      <c r="I617" s="24" t="str">
        <f aca="false">IF($D617="","",IFERROR(INDEX(Workers!$B$5:$B$2004,MATCH($D617,Workers!$A$5:$A$2004,0)),"NOT FOUND"))</f>
        <v/>
      </c>
      <c r="J617" s="24" t="str">
        <f aca="false">IF($D617="","",IFERROR(INDEX(Workers!$C$5:$C$2004,MATCH($D617,Workers!$A$5:$A$2004,0)),""))</f>
        <v/>
      </c>
      <c r="K617" s="24" t="str">
        <f aca="false">IF($D617="","",IFERROR(IF(INDEX(Workers!$D$5:$D$2004,MATCH($D617,Workers!$A$5:$A$2004,0))=0,"",INDEX(Workers!$D$5:$D$2004,MATCH($D617,Workers!$A$5:$A$2004,0))),""))</f>
        <v/>
      </c>
      <c r="L617" s="24" t="str">
        <f aca="false">IF($D617="","",IFERROR(INDEX(Workers!$E$5:$E$2004,MATCH($D617,Workers!$A$5:$A$2004,0)),""))</f>
        <v/>
      </c>
      <c r="M617" s="26" t="str">
        <f aca="false">IF($D617="","",IFERROR(INDEX(ClientRates!$D$5:$D$500,MATCH($B617&amp;"|"&amp;$L617,ClientRates!$A$5:$A$500,0)),0))</f>
        <v/>
      </c>
      <c r="N617" s="26" t="str">
        <f aca="false">IF($D617="","",IFERROR(INDEX(ClientRates!$E$5:$E$500,MATCH($B617&amp;"|"&amp;$L617,ClientRates!$A$5:$A$500,0)),0))</f>
        <v/>
      </c>
      <c r="O617" s="26" t="str">
        <f aca="false">IF($D617="","",F617*M617+G617*N617)</f>
        <v/>
      </c>
      <c r="P617" s="26" t="str">
        <f aca="false">IF(OR($D617="",$J617&lt;&gt;"Supplier"),"",IFERROR(INDEX(SupplierRates!$D$5:$D$500,MATCH($K617&amp;"|"&amp;$L617,SupplierRates!$A$5:$A$500,0)),0))</f>
        <v/>
      </c>
      <c r="Q617" s="26" t="str">
        <f aca="false">IF(OR($D617="",$J617&lt;&gt;"Supplier"),"",IFERROR(INDEX(SupplierRates!$E$5:$E$500,MATCH($K617&amp;"|"&amp;$L617,SupplierRates!$A$5:$A$500,0)),0))</f>
        <v/>
      </c>
      <c r="R617" s="26" t="n">
        <f aca="false">IF(OR($D617="",$J617&lt;&gt;"Supplier"),0,F617*P617+G617*Q617)</f>
        <v>0</v>
      </c>
      <c r="S617" s="26" t="n">
        <f aca="false">IF(OR($D617="",$J617&lt;&gt;"Own"),0,IFERROR((F617+G617*Settings!$B$13)*INDEX(Workers!$V$5:$V$2004,MATCH($D617,Workers!$A$5:$A$2004,0)),0))</f>
        <v>0</v>
      </c>
      <c r="T617" s="26" t="str">
        <f aca="false">IF($D617="","",O617-R617-S617)</f>
        <v/>
      </c>
    </row>
    <row r="618" customFormat="false" ht="15" hidden="false" customHeight="false" outlineLevel="0" collapsed="false">
      <c r="I618" s="24" t="str">
        <f aca="false">IF($D618="","",IFERROR(INDEX(Workers!$B$5:$B$2004,MATCH($D618,Workers!$A$5:$A$2004,0)),"NOT FOUND"))</f>
        <v/>
      </c>
      <c r="J618" s="24" t="str">
        <f aca="false">IF($D618="","",IFERROR(INDEX(Workers!$C$5:$C$2004,MATCH($D618,Workers!$A$5:$A$2004,0)),""))</f>
        <v/>
      </c>
      <c r="K618" s="24" t="str">
        <f aca="false">IF($D618="","",IFERROR(IF(INDEX(Workers!$D$5:$D$2004,MATCH($D618,Workers!$A$5:$A$2004,0))=0,"",INDEX(Workers!$D$5:$D$2004,MATCH($D618,Workers!$A$5:$A$2004,0))),""))</f>
        <v/>
      </c>
      <c r="L618" s="24" t="str">
        <f aca="false">IF($D618="","",IFERROR(INDEX(Workers!$E$5:$E$2004,MATCH($D618,Workers!$A$5:$A$2004,0)),""))</f>
        <v/>
      </c>
      <c r="M618" s="26" t="str">
        <f aca="false">IF($D618="","",IFERROR(INDEX(ClientRates!$D$5:$D$500,MATCH($B618&amp;"|"&amp;$L618,ClientRates!$A$5:$A$500,0)),0))</f>
        <v/>
      </c>
      <c r="N618" s="26" t="str">
        <f aca="false">IF($D618="","",IFERROR(INDEX(ClientRates!$E$5:$E$500,MATCH($B618&amp;"|"&amp;$L618,ClientRates!$A$5:$A$500,0)),0))</f>
        <v/>
      </c>
      <c r="O618" s="26" t="str">
        <f aca="false">IF($D618="","",F618*M618+G618*N618)</f>
        <v/>
      </c>
      <c r="P618" s="26" t="str">
        <f aca="false">IF(OR($D618="",$J618&lt;&gt;"Supplier"),"",IFERROR(INDEX(SupplierRates!$D$5:$D$500,MATCH($K618&amp;"|"&amp;$L618,SupplierRates!$A$5:$A$500,0)),0))</f>
        <v/>
      </c>
      <c r="Q618" s="26" t="str">
        <f aca="false">IF(OR($D618="",$J618&lt;&gt;"Supplier"),"",IFERROR(INDEX(SupplierRates!$E$5:$E$500,MATCH($K618&amp;"|"&amp;$L618,SupplierRates!$A$5:$A$500,0)),0))</f>
        <v/>
      </c>
      <c r="R618" s="26" t="n">
        <f aca="false">IF(OR($D618="",$J618&lt;&gt;"Supplier"),0,F618*P618+G618*Q618)</f>
        <v>0</v>
      </c>
      <c r="S618" s="26" t="n">
        <f aca="false">IF(OR($D618="",$J618&lt;&gt;"Own"),0,IFERROR((F618+G618*Settings!$B$13)*INDEX(Workers!$V$5:$V$2004,MATCH($D618,Workers!$A$5:$A$2004,0)),0))</f>
        <v>0</v>
      </c>
      <c r="T618" s="26" t="str">
        <f aca="false">IF($D618="","",O618-R618-S618)</f>
        <v/>
      </c>
    </row>
    <row r="619" customFormat="false" ht="15" hidden="false" customHeight="false" outlineLevel="0" collapsed="false">
      <c r="I619" s="24" t="str">
        <f aca="false">IF($D619="","",IFERROR(INDEX(Workers!$B$5:$B$2004,MATCH($D619,Workers!$A$5:$A$2004,0)),"NOT FOUND"))</f>
        <v/>
      </c>
      <c r="J619" s="24" t="str">
        <f aca="false">IF($D619="","",IFERROR(INDEX(Workers!$C$5:$C$2004,MATCH($D619,Workers!$A$5:$A$2004,0)),""))</f>
        <v/>
      </c>
      <c r="K619" s="24" t="str">
        <f aca="false">IF($D619="","",IFERROR(IF(INDEX(Workers!$D$5:$D$2004,MATCH($D619,Workers!$A$5:$A$2004,0))=0,"",INDEX(Workers!$D$5:$D$2004,MATCH($D619,Workers!$A$5:$A$2004,0))),""))</f>
        <v/>
      </c>
      <c r="L619" s="24" t="str">
        <f aca="false">IF($D619="","",IFERROR(INDEX(Workers!$E$5:$E$2004,MATCH($D619,Workers!$A$5:$A$2004,0)),""))</f>
        <v/>
      </c>
      <c r="M619" s="26" t="str">
        <f aca="false">IF($D619="","",IFERROR(INDEX(ClientRates!$D$5:$D$500,MATCH($B619&amp;"|"&amp;$L619,ClientRates!$A$5:$A$500,0)),0))</f>
        <v/>
      </c>
      <c r="N619" s="26" t="str">
        <f aca="false">IF($D619="","",IFERROR(INDEX(ClientRates!$E$5:$E$500,MATCH($B619&amp;"|"&amp;$L619,ClientRates!$A$5:$A$500,0)),0))</f>
        <v/>
      </c>
      <c r="O619" s="26" t="str">
        <f aca="false">IF($D619="","",F619*M619+G619*N619)</f>
        <v/>
      </c>
      <c r="P619" s="26" t="str">
        <f aca="false">IF(OR($D619="",$J619&lt;&gt;"Supplier"),"",IFERROR(INDEX(SupplierRates!$D$5:$D$500,MATCH($K619&amp;"|"&amp;$L619,SupplierRates!$A$5:$A$500,0)),0))</f>
        <v/>
      </c>
      <c r="Q619" s="26" t="str">
        <f aca="false">IF(OR($D619="",$J619&lt;&gt;"Supplier"),"",IFERROR(INDEX(SupplierRates!$E$5:$E$500,MATCH($K619&amp;"|"&amp;$L619,SupplierRates!$A$5:$A$500,0)),0))</f>
        <v/>
      </c>
      <c r="R619" s="26" t="n">
        <f aca="false">IF(OR($D619="",$J619&lt;&gt;"Supplier"),0,F619*P619+G619*Q619)</f>
        <v>0</v>
      </c>
      <c r="S619" s="26" t="n">
        <f aca="false">IF(OR($D619="",$J619&lt;&gt;"Own"),0,IFERROR((F619+G619*Settings!$B$13)*INDEX(Workers!$V$5:$V$2004,MATCH($D619,Workers!$A$5:$A$2004,0)),0))</f>
        <v>0</v>
      </c>
      <c r="T619" s="26" t="str">
        <f aca="false">IF($D619="","",O619-R619-S619)</f>
        <v/>
      </c>
    </row>
    <row r="620" customFormat="false" ht="15" hidden="false" customHeight="false" outlineLevel="0" collapsed="false">
      <c r="I620" s="24" t="str">
        <f aca="false">IF($D620="","",IFERROR(INDEX(Workers!$B$5:$B$2004,MATCH($D620,Workers!$A$5:$A$2004,0)),"NOT FOUND"))</f>
        <v/>
      </c>
      <c r="J620" s="24" t="str">
        <f aca="false">IF($D620="","",IFERROR(INDEX(Workers!$C$5:$C$2004,MATCH($D620,Workers!$A$5:$A$2004,0)),""))</f>
        <v/>
      </c>
      <c r="K620" s="24" t="str">
        <f aca="false">IF($D620="","",IFERROR(IF(INDEX(Workers!$D$5:$D$2004,MATCH($D620,Workers!$A$5:$A$2004,0))=0,"",INDEX(Workers!$D$5:$D$2004,MATCH($D620,Workers!$A$5:$A$2004,0))),""))</f>
        <v/>
      </c>
      <c r="L620" s="24" t="str">
        <f aca="false">IF($D620="","",IFERROR(INDEX(Workers!$E$5:$E$2004,MATCH($D620,Workers!$A$5:$A$2004,0)),""))</f>
        <v/>
      </c>
      <c r="M620" s="26" t="str">
        <f aca="false">IF($D620="","",IFERROR(INDEX(ClientRates!$D$5:$D$500,MATCH($B620&amp;"|"&amp;$L620,ClientRates!$A$5:$A$500,0)),0))</f>
        <v/>
      </c>
      <c r="N620" s="26" t="str">
        <f aca="false">IF($D620="","",IFERROR(INDEX(ClientRates!$E$5:$E$500,MATCH($B620&amp;"|"&amp;$L620,ClientRates!$A$5:$A$500,0)),0))</f>
        <v/>
      </c>
      <c r="O620" s="26" t="str">
        <f aca="false">IF($D620="","",F620*M620+G620*N620)</f>
        <v/>
      </c>
      <c r="P620" s="26" t="str">
        <f aca="false">IF(OR($D620="",$J620&lt;&gt;"Supplier"),"",IFERROR(INDEX(SupplierRates!$D$5:$D$500,MATCH($K620&amp;"|"&amp;$L620,SupplierRates!$A$5:$A$500,0)),0))</f>
        <v/>
      </c>
      <c r="Q620" s="26" t="str">
        <f aca="false">IF(OR($D620="",$J620&lt;&gt;"Supplier"),"",IFERROR(INDEX(SupplierRates!$E$5:$E$500,MATCH($K620&amp;"|"&amp;$L620,SupplierRates!$A$5:$A$500,0)),0))</f>
        <v/>
      </c>
      <c r="R620" s="26" t="n">
        <f aca="false">IF(OR($D620="",$J620&lt;&gt;"Supplier"),0,F620*P620+G620*Q620)</f>
        <v>0</v>
      </c>
      <c r="S620" s="26" t="n">
        <f aca="false">IF(OR($D620="",$J620&lt;&gt;"Own"),0,IFERROR((F620+G620*Settings!$B$13)*INDEX(Workers!$V$5:$V$2004,MATCH($D620,Workers!$A$5:$A$2004,0)),0))</f>
        <v>0</v>
      </c>
      <c r="T620" s="26" t="str">
        <f aca="false">IF($D620="","",O620-R620-S620)</f>
        <v/>
      </c>
    </row>
    <row r="621" customFormat="false" ht="15" hidden="false" customHeight="false" outlineLevel="0" collapsed="false">
      <c r="I621" s="24" t="str">
        <f aca="false">IF($D621="","",IFERROR(INDEX(Workers!$B$5:$B$2004,MATCH($D621,Workers!$A$5:$A$2004,0)),"NOT FOUND"))</f>
        <v/>
      </c>
      <c r="J621" s="24" t="str">
        <f aca="false">IF($D621="","",IFERROR(INDEX(Workers!$C$5:$C$2004,MATCH($D621,Workers!$A$5:$A$2004,0)),""))</f>
        <v/>
      </c>
      <c r="K621" s="24" t="str">
        <f aca="false">IF($D621="","",IFERROR(IF(INDEX(Workers!$D$5:$D$2004,MATCH($D621,Workers!$A$5:$A$2004,0))=0,"",INDEX(Workers!$D$5:$D$2004,MATCH($D621,Workers!$A$5:$A$2004,0))),""))</f>
        <v/>
      </c>
      <c r="L621" s="24" t="str">
        <f aca="false">IF($D621="","",IFERROR(INDEX(Workers!$E$5:$E$2004,MATCH($D621,Workers!$A$5:$A$2004,0)),""))</f>
        <v/>
      </c>
      <c r="M621" s="26" t="str">
        <f aca="false">IF($D621="","",IFERROR(INDEX(ClientRates!$D$5:$D$500,MATCH($B621&amp;"|"&amp;$L621,ClientRates!$A$5:$A$500,0)),0))</f>
        <v/>
      </c>
      <c r="N621" s="26" t="str">
        <f aca="false">IF($D621="","",IFERROR(INDEX(ClientRates!$E$5:$E$500,MATCH($B621&amp;"|"&amp;$L621,ClientRates!$A$5:$A$500,0)),0))</f>
        <v/>
      </c>
      <c r="O621" s="26" t="str">
        <f aca="false">IF($D621="","",F621*M621+G621*N621)</f>
        <v/>
      </c>
      <c r="P621" s="26" t="str">
        <f aca="false">IF(OR($D621="",$J621&lt;&gt;"Supplier"),"",IFERROR(INDEX(SupplierRates!$D$5:$D$500,MATCH($K621&amp;"|"&amp;$L621,SupplierRates!$A$5:$A$500,0)),0))</f>
        <v/>
      </c>
      <c r="Q621" s="26" t="str">
        <f aca="false">IF(OR($D621="",$J621&lt;&gt;"Supplier"),"",IFERROR(INDEX(SupplierRates!$E$5:$E$500,MATCH($K621&amp;"|"&amp;$L621,SupplierRates!$A$5:$A$500,0)),0))</f>
        <v/>
      </c>
      <c r="R621" s="26" t="n">
        <f aca="false">IF(OR($D621="",$J621&lt;&gt;"Supplier"),0,F621*P621+G621*Q621)</f>
        <v>0</v>
      </c>
      <c r="S621" s="26" t="n">
        <f aca="false">IF(OR($D621="",$J621&lt;&gt;"Own"),0,IFERROR((F621+G621*Settings!$B$13)*INDEX(Workers!$V$5:$V$2004,MATCH($D621,Workers!$A$5:$A$2004,0)),0))</f>
        <v>0</v>
      </c>
      <c r="T621" s="26" t="str">
        <f aca="false">IF($D621="","",O621-R621-S621)</f>
        <v/>
      </c>
    </row>
    <row r="622" customFormat="false" ht="15" hidden="false" customHeight="false" outlineLevel="0" collapsed="false">
      <c r="I622" s="24" t="str">
        <f aca="false">IF($D622="","",IFERROR(INDEX(Workers!$B$5:$B$2004,MATCH($D622,Workers!$A$5:$A$2004,0)),"NOT FOUND"))</f>
        <v/>
      </c>
      <c r="J622" s="24" t="str">
        <f aca="false">IF($D622="","",IFERROR(INDEX(Workers!$C$5:$C$2004,MATCH($D622,Workers!$A$5:$A$2004,0)),""))</f>
        <v/>
      </c>
      <c r="K622" s="24" t="str">
        <f aca="false">IF($D622="","",IFERROR(IF(INDEX(Workers!$D$5:$D$2004,MATCH($D622,Workers!$A$5:$A$2004,0))=0,"",INDEX(Workers!$D$5:$D$2004,MATCH($D622,Workers!$A$5:$A$2004,0))),""))</f>
        <v/>
      </c>
      <c r="L622" s="24" t="str">
        <f aca="false">IF($D622="","",IFERROR(INDEX(Workers!$E$5:$E$2004,MATCH($D622,Workers!$A$5:$A$2004,0)),""))</f>
        <v/>
      </c>
      <c r="M622" s="26" t="str">
        <f aca="false">IF($D622="","",IFERROR(INDEX(ClientRates!$D$5:$D$500,MATCH($B622&amp;"|"&amp;$L622,ClientRates!$A$5:$A$500,0)),0))</f>
        <v/>
      </c>
      <c r="N622" s="26" t="str">
        <f aca="false">IF($D622="","",IFERROR(INDEX(ClientRates!$E$5:$E$500,MATCH($B622&amp;"|"&amp;$L622,ClientRates!$A$5:$A$500,0)),0))</f>
        <v/>
      </c>
      <c r="O622" s="26" t="str">
        <f aca="false">IF($D622="","",F622*M622+G622*N622)</f>
        <v/>
      </c>
      <c r="P622" s="26" t="str">
        <f aca="false">IF(OR($D622="",$J622&lt;&gt;"Supplier"),"",IFERROR(INDEX(SupplierRates!$D$5:$D$500,MATCH($K622&amp;"|"&amp;$L622,SupplierRates!$A$5:$A$500,0)),0))</f>
        <v/>
      </c>
      <c r="Q622" s="26" t="str">
        <f aca="false">IF(OR($D622="",$J622&lt;&gt;"Supplier"),"",IFERROR(INDEX(SupplierRates!$E$5:$E$500,MATCH($K622&amp;"|"&amp;$L622,SupplierRates!$A$5:$A$500,0)),0))</f>
        <v/>
      </c>
      <c r="R622" s="26" t="n">
        <f aca="false">IF(OR($D622="",$J622&lt;&gt;"Supplier"),0,F622*P622+G622*Q622)</f>
        <v>0</v>
      </c>
      <c r="S622" s="26" t="n">
        <f aca="false">IF(OR($D622="",$J622&lt;&gt;"Own"),0,IFERROR((F622+G622*Settings!$B$13)*INDEX(Workers!$V$5:$V$2004,MATCH($D622,Workers!$A$5:$A$2004,0)),0))</f>
        <v>0</v>
      </c>
      <c r="T622" s="26" t="str">
        <f aca="false">IF($D622="","",O622-R622-S622)</f>
        <v/>
      </c>
    </row>
    <row r="623" customFormat="false" ht="15" hidden="false" customHeight="false" outlineLevel="0" collapsed="false">
      <c r="I623" s="24" t="str">
        <f aca="false">IF($D623="","",IFERROR(INDEX(Workers!$B$5:$B$2004,MATCH($D623,Workers!$A$5:$A$2004,0)),"NOT FOUND"))</f>
        <v/>
      </c>
      <c r="J623" s="24" t="str">
        <f aca="false">IF($D623="","",IFERROR(INDEX(Workers!$C$5:$C$2004,MATCH($D623,Workers!$A$5:$A$2004,0)),""))</f>
        <v/>
      </c>
      <c r="K623" s="24" t="str">
        <f aca="false">IF($D623="","",IFERROR(IF(INDEX(Workers!$D$5:$D$2004,MATCH($D623,Workers!$A$5:$A$2004,0))=0,"",INDEX(Workers!$D$5:$D$2004,MATCH($D623,Workers!$A$5:$A$2004,0))),""))</f>
        <v/>
      </c>
      <c r="L623" s="24" t="str">
        <f aca="false">IF($D623="","",IFERROR(INDEX(Workers!$E$5:$E$2004,MATCH($D623,Workers!$A$5:$A$2004,0)),""))</f>
        <v/>
      </c>
      <c r="M623" s="26" t="str">
        <f aca="false">IF($D623="","",IFERROR(INDEX(ClientRates!$D$5:$D$500,MATCH($B623&amp;"|"&amp;$L623,ClientRates!$A$5:$A$500,0)),0))</f>
        <v/>
      </c>
      <c r="N623" s="26" t="str">
        <f aca="false">IF($D623="","",IFERROR(INDEX(ClientRates!$E$5:$E$500,MATCH($B623&amp;"|"&amp;$L623,ClientRates!$A$5:$A$500,0)),0))</f>
        <v/>
      </c>
      <c r="O623" s="26" t="str">
        <f aca="false">IF($D623="","",F623*M623+G623*N623)</f>
        <v/>
      </c>
      <c r="P623" s="26" t="str">
        <f aca="false">IF(OR($D623="",$J623&lt;&gt;"Supplier"),"",IFERROR(INDEX(SupplierRates!$D$5:$D$500,MATCH($K623&amp;"|"&amp;$L623,SupplierRates!$A$5:$A$500,0)),0))</f>
        <v/>
      </c>
      <c r="Q623" s="26" t="str">
        <f aca="false">IF(OR($D623="",$J623&lt;&gt;"Supplier"),"",IFERROR(INDEX(SupplierRates!$E$5:$E$500,MATCH($K623&amp;"|"&amp;$L623,SupplierRates!$A$5:$A$500,0)),0))</f>
        <v/>
      </c>
      <c r="R623" s="26" t="n">
        <f aca="false">IF(OR($D623="",$J623&lt;&gt;"Supplier"),0,F623*P623+G623*Q623)</f>
        <v>0</v>
      </c>
      <c r="S623" s="26" t="n">
        <f aca="false">IF(OR($D623="",$J623&lt;&gt;"Own"),0,IFERROR((F623+G623*Settings!$B$13)*INDEX(Workers!$V$5:$V$2004,MATCH($D623,Workers!$A$5:$A$2004,0)),0))</f>
        <v>0</v>
      </c>
      <c r="T623" s="26" t="str">
        <f aca="false">IF($D623="","",O623-R623-S623)</f>
        <v/>
      </c>
    </row>
    <row r="624" customFormat="false" ht="15" hidden="false" customHeight="false" outlineLevel="0" collapsed="false">
      <c r="I624" s="24" t="str">
        <f aca="false">IF($D624="","",IFERROR(INDEX(Workers!$B$5:$B$2004,MATCH($D624,Workers!$A$5:$A$2004,0)),"NOT FOUND"))</f>
        <v/>
      </c>
      <c r="J624" s="24" t="str">
        <f aca="false">IF($D624="","",IFERROR(INDEX(Workers!$C$5:$C$2004,MATCH($D624,Workers!$A$5:$A$2004,0)),""))</f>
        <v/>
      </c>
      <c r="K624" s="24" t="str">
        <f aca="false">IF($D624="","",IFERROR(IF(INDEX(Workers!$D$5:$D$2004,MATCH($D624,Workers!$A$5:$A$2004,0))=0,"",INDEX(Workers!$D$5:$D$2004,MATCH($D624,Workers!$A$5:$A$2004,0))),""))</f>
        <v/>
      </c>
      <c r="L624" s="24" t="str">
        <f aca="false">IF($D624="","",IFERROR(INDEX(Workers!$E$5:$E$2004,MATCH($D624,Workers!$A$5:$A$2004,0)),""))</f>
        <v/>
      </c>
      <c r="M624" s="26" t="str">
        <f aca="false">IF($D624="","",IFERROR(INDEX(ClientRates!$D$5:$D$500,MATCH($B624&amp;"|"&amp;$L624,ClientRates!$A$5:$A$500,0)),0))</f>
        <v/>
      </c>
      <c r="N624" s="26" t="str">
        <f aca="false">IF($D624="","",IFERROR(INDEX(ClientRates!$E$5:$E$500,MATCH($B624&amp;"|"&amp;$L624,ClientRates!$A$5:$A$500,0)),0))</f>
        <v/>
      </c>
      <c r="O624" s="26" t="str">
        <f aca="false">IF($D624="","",F624*M624+G624*N624)</f>
        <v/>
      </c>
      <c r="P624" s="26" t="str">
        <f aca="false">IF(OR($D624="",$J624&lt;&gt;"Supplier"),"",IFERROR(INDEX(SupplierRates!$D$5:$D$500,MATCH($K624&amp;"|"&amp;$L624,SupplierRates!$A$5:$A$500,0)),0))</f>
        <v/>
      </c>
      <c r="Q624" s="26" t="str">
        <f aca="false">IF(OR($D624="",$J624&lt;&gt;"Supplier"),"",IFERROR(INDEX(SupplierRates!$E$5:$E$500,MATCH($K624&amp;"|"&amp;$L624,SupplierRates!$A$5:$A$500,0)),0))</f>
        <v/>
      </c>
      <c r="R624" s="26" t="n">
        <f aca="false">IF(OR($D624="",$J624&lt;&gt;"Supplier"),0,F624*P624+G624*Q624)</f>
        <v>0</v>
      </c>
      <c r="S624" s="26" t="n">
        <f aca="false">IF(OR($D624="",$J624&lt;&gt;"Own"),0,IFERROR((F624+G624*Settings!$B$13)*INDEX(Workers!$V$5:$V$2004,MATCH($D624,Workers!$A$5:$A$2004,0)),0))</f>
        <v>0</v>
      </c>
      <c r="T624" s="26" t="str">
        <f aca="false">IF($D624="","",O624-R624-S624)</f>
        <v/>
      </c>
    </row>
    <row r="625" customFormat="false" ht="15" hidden="false" customHeight="false" outlineLevel="0" collapsed="false">
      <c r="I625" s="24" t="str">
        <f aca="false">IF($D625="","",IFERROR(INDEX(Workers!$B$5:$B$2004,MATCH($D625,Workers!$A$5:$A$2004,0)),"NOT FOUND"))</f>
        <v/>
      </c>
      <c r="J625" s="24" t="str">
        <f aca="false">IF($D625="","",IFERROR(INDEX(Workers!$C$5:$C$2004,MATCH($D625,Workers!$A$5:$A$2004,0)),""))</f>
        <v/>
      </c>
      <c r="K625" s="24" t="str">
        <f aca="false">IF($D625="","",IFERROR(IF(INDEX(Workers!$D$5:$D$2004,MATCH($D625,Workers!$A$5:$A$2004,0))=0,"",INDEX(Workers!$D$5:$D$2004,MATCH($D625,Workers!$A$5:$A$2004,0))),""))</f>
        <v/>
      </c>
      <c r="L625" s="24" t="str">
        <f aca="false">IF($D625="","",IFERROR(INDEX(Workers!$E$5:$E$2004,MATCH($D625,Workers!$A$5:$A$2004,0)),""))</f>
        <v/>
      </c>
      <c r="M625" s="26" t="str">
        <f aca="false">IF($D625="","",IFERROR(INDEX(ClientRates!$D$5:$D$500,MATCH($B625&amp;"|"&amp;$L625,ClientRates!$A$5:$A$500,0)),0))</f>
        <v/>
      </c>
      <c r="N625" s="26" t="str">
        <f aca="false">IF($D625="","",IFERROR(INDEX(ClientRates!$E$5:$E$500,MATCH($B625&amp;"|"&amp;$L625,ClientRates!$A$5:$A$500,0)),0))</f>
        <v/>
      </c>
      <c r="O625" s="26" t="str">
        <f aca="false">IF($D625="","",F625*M625+G625*N625)</f>
        <v/>
      </c>
      <c r="P625" s="26" t="str">
        <f aca="false">IF(OR($D625="",$J625&lt;&gt;"Supplier"),"",IFERROR(INDEX(SupplierRates!$D$5:$D$500,MATCH($K625&amp;"|"&amp;$L625,SupplierRates!$A$5:$A$500,0)),0))</f>
        <v/>
      </c>
      <c r="Q625" s="26" t="str">
        <f aca="false">IF(OR($D625="",$J625&lt;&gt;"Supplier"),"",IFERROR(INDEX(SupplierRates!$E$5:$E$500,MATCH($K625&amp;"|"&amp;$L625,SupplierRates!$A$5:$A$500,0)),0))</f>
        <v/>
      </c>
      <c r="R625" s="26" t="n">
        <f aca="false">IF(OR($D625="",$J625&lt;&gt;"Supplier"),0,F625*P625+G625*Q625)</f>
        <v>0</v>
      </c>
      <c r="S625" s="26" t="n">
        <f aca="false">IF(OR($D625="",$J625&lt;&gt;"Own"),0,IFERROR((F625+G625*Settings!$B$13)*INDEX(Workers!$V$5:$V$2004,MATCH($D625,Workers!$A$5:$A$2004,0)),0))</f>
        <v>0</v>
      </c>
      <c r="T625" s="26" t="str">
        <f aca="false">IF($D625="","",O625-R625-S625)</f>
        <v/>
      </c>
    </row>
    <row r="626" customFormat="false" ht="15" hidden="false" customHeight="false" outlineLevel="0" collapsed="false">
      <c r="I626" s="24" t="str">
        <f aca="false">IF($D626="","",IFERROR(INDEX(Workers!$B$5:$B$2004,MATCH($D626,Workers!$A$5:$A$2004,0)),"NOT FOUND"))</f>
        <v/>
      </c>
      <c r="J626" s="24" t="str">
        <f aca="false">IF($D626="","",IFERROR(INDEX(Workers!$C$5:$C$2004,MATCH($D626,Workers!$A$5:$A$2004,0)),""))</f>
        <v/>
      </c>
      <c r="K626" s="24" t="str">
        <f aca="false">IF($D626="","",IFERROR(IF(INDEX(Workers!$D$5:$D$2004,MATCH($D626,Workers!$A$5:$A$2004,0))=0,"",INDEX(Workers!$D$5:$D$2004,MATCH($D626,Workers!$A$5:$A$2004,0))),""))</f>
        <v/>
      </c>
      <c r="L626" s="24" t="str">
        <f aca="false">IF($D626="","",IFERROR(INDEX(Workers!$E$5:$E$2004,MATCH($D626,Workers!$A$5:$A$2004,0)),""))</f>
        <v/>
      </c>
      <c r="M626" s="26" t="str">
        <f aca="false">IF($D626="","",IFERROR(INDEX(ClientRates!$D$5:$D$500,MATCH($B626&amp;"|"&amp;$L626,ClientRates!$A$5:$A$500,0)),0))</f>
        <v/>
      </c>
      <c r="N626" s="26" t="str">
        <f aca="false">IF($D626="","",IFERROR(INDEX(ClientRates!$E$5:$E$500,MATCH($B626&amp;"|"&amp;$L626,ClientRates!$A$5:$A$500,0)),0))</f>
        <v/>
      </c>
      <c r="O626" s="26" t="str">
        <f aca="false">IF($D626="","",F626*M626+G626*N626)</f>
        <v/>
      </c>
      <c r="P626" s="26" t="str">
        <f aca="false">IF(OR($D626="",$J626&lt;&gt;"Supplier"),"",IFERROR(INDEX(SupplierRates!$D$5:$D$500,MATCH($K626&amp;"|"&amp;$L626,SupplierRates!$A$5:$A$500,0)),0))</f>
        <v/>
      </c>
      <c r="Q626" s="26" t="str">
        <f aca="false">IF(OR($D626="",$J626&lt;&gt;"Supplier"),"",IFERROR(INDEX(SupplierRates!$E$5:$E$500,MATCH($K626&amp;"|"&amp;$L626,SupplierRates!$A$5:$A$500,0)),0))</f>
        <v/>
      </c>
      <c r="R626" s="26" t="n">
        <f aca="false">IF(OR($D626="",$J626&lt;&gt;"Supplier"),0,F626*P626+G626*Q626)</f>
        <v>0</v>
      </c>
      <c r="S626" s="26" t="n">
        <f aca="false">IF(OR($D626="",$J626&lt;&gt;"Own"),0,IFERROR((F626+G626*Settings!$B$13)*INDEX(Workers!$V$5:$V$2004,MATCH($D626,Workers!$A$5:$A$2004,0)),0))</f>
        <v>0</v>
      </c>
      <c r="T626" s="26" t="str">
        <f aca="false">IF($D626="","",O626-R626-S626)</f>
        <v/>
      </c>
    </row>
    <row r="627" customFormat="false" ht="15" hidden="false" customHeight="false" outlineLevel="0" collapsed="false">
      <c r="I627" s="24" t="str">
        <f aca="false">IF($D627="","",IFERROR(INDEX(Workers!$B$5:$B$2004,MATCH($D627,Workers!$A$5:$A$2004,0)),"NOT FOUND"))</f>
        <v/>
      </c>
      <c r="J627" s="24" t="str">
        <f aca="false">IF($D627="","",IFERROR(INDEX(Workers!$C$5:$C$2004,MATCH($D627,Workers!$A$5:$A$2004,0)),""))</f>
        <v/>
      </c>
      <c r="K627" s="24" t="str">
        <f aca="false">IF($D627="","",IFERROR(IF(INDEX(Workers!$D$5:$D$2004,MATCH($D627,Workers!$A$5:$A$2004,0))=0,"",INDEX(Workers!$D$5:$D$2004,MATCH($D627,Workers!$A$5:$A$2004,0))),""))</f>
        <v/>
      </c>
      <c r="L627" s="24" t="str">
        <f aca="false">IF($D627="","",IFERROR(INDEX(Workers!$E$5:$E$2004,MATCH($D627,Workers!$A$5:$A$2004,0)),""))</f>
        <v/>
      </c>
      <c r="M627" s="26" t="str">
        <f aca="false">IF($D627="","",IFERROR(INDEX(ClientRates!$D$5:$D$500,MATCH($B627&amp;"|"&amp;$L627,ClientRates!$A$5:$A$500,0)),0))</f>
        <v/>
      </c>
      <c r="N627" s="26" t="str">
        <f aca="false">IF($D627="","",IFERROR(INDEX(ClientRates!$E$5:$E$500,MATCH($B627&amp;"|"&amp;$L627,ClientRates!$A$5:$A$500,0)),0))</f>
        <v/>
      </c>
      <c r="O627" s="26" t="str">
        <f aca="false">IF($D627="","",F627*M627+G627*N627)</f>
        <v/>
      </c>
      <c r="P627" s="26" t="str">
        <f aca="false">IF(OR($D627="",$J627&lt;&gt;"Supplier"),"",IFERROR(INDEX(SupplierRates!$D$5:$D$500,MATCH($K627&amp;"|"&amp;$L627,SupplierRates!$A$5:$A$500,0)),0))</f>
        <v/>
      </c>
      <c r="Q627" s="26" t="str">
        <f aca="false">IF(OR($D627="",$J627&lt;&gt;"Supplier"),"",IFERROR(INDEX(SupplierRates!$E$5:$E$500,MATCH($K627&amp;"|"&amp;$L627,SupplierRates!$A$5:$A$500,0)),0))</f>
        <v/>
      </c>
      <c r="R627" s="26" t="n">
        <f aca="false">IF(OR($D627="",$J627&lt;&gt;"Supplier"),0,F627*P627+G627*Q627)</f>
        <v>0</v>
      </c>
      <c r="S627" s="26" t="n">
        <f aca="false">IF(OR($D627="",$J627&lt;&gt;"Own"),0,IFERROR((F627+G627*Settings!$B$13)*INDEX(Workers!$V$5:$V$2004,MATCH($D627,Workers!$A$5:$A$2004,0)),0))</f>
        <v>0</v>
      </c>
      <c r="T627" s="26" t="str">
        <f aca="false">IF($D627="","",O627-R627-S627)</f>
        <v/>
      </c>
    </row>
    <row r="628" customFormat="false" ht="15" hidden="false" customHeight="false" outlineLevel="0" collapsed="false">
      <c r="I628" s="24" t="str">
        <f aca="false">IF($D628="","",IFERROR(INDEX(Workers!$B$5:$B$2004,MATCH($D628,Workers!$A$5:$A$2004,0)),"NOT FOUND"))</f>
        <v/>
      </c>
      <c r="J628" s="24" t="str">
        <f aca="false">IF($D628="","",IFERROR(INDEX(Workers!$C$5:$C$2004,MATCH($D628,Workers!$A$5:$A$2004,0)),""))</f>
        <v/>
      </c>
      <c r="K628" s="24" t="str">
        <f aca="false">IF($D628="","",IFERROR(IF(INDEX(Workers!$D$5:$D$2004,MATCH($D628,Workers!$A$5:$A$2004,0))=0,"",INDEX(Workers!$D$5:$D$2004,MATCH($D628,Workers!$A$5:$A$2004,0))),""))</f>
        <v/>
      </c>
      <c r="L628" s="24" t="str">
        <f aca="false">IF($D628="","",IFERROR(INDEX(Workers!$E$5:$E$2004,MATCH($D628,Workers!$A$5:$A$2004,0)),""))</f>
        <v/>
      </c>
      <c r="M628" s="26" t="str">
        <f aca="false">IF($D628="","",IFERROR(INDEX(ClientRates!$D$5:$D$500,MATCH($B628&amp;"|"&amp;$L628,ClientRates!$A$5:$A$500,0)),0))</f>
        <v/>
      </c>
      <c r="N628" s="26" t="str">
        <f aca="false">IF($D628="","",IFERROR(INDEX(ClientRates!$E$5:$E$500,MATCH($B628&amp;"|"&amp;$L628,ClientRates!$A$5:$A$500,0)),0))</f>
        <v/>
      </c>
      <c r="O628" s="26" t="str">
        <f aca="false">IF($D628="","",F628*M628+G628*N628)</f>
        <v/>
      </c>
      <c r="P628" s="26" t="str">
        <f aca="false">IF(OR($D628="",$J628&lt;&gt;"Supplier"),"",IFERROR(INDEX(SupplierRates!$D$5:$D$500,MATCH($K628&amp;"|"&amp;$L628,SupplierRates!$A$5:$A$500,0)),0))</f>
        <v/>
      </c>
      <c r="Q628" s="26" t="str">
        <f aca="false">IF(OR($D628="",$J628&lt;&gt;"Supplier"),"",IFERROR(INDEX(SupplierRates!$E$5:$E$500,MATCH($K628&amp;"|"&amp;$L628,SupplierRates!$A$5:$A$500,0)),0))</f>
        <v/>
      </c>
      <c r="R628" s="26" t="n">
        <f aca="false">IF(OR($D628="",$J628&lt;&gt;"Supplier"),0,F628*P628+G628*Q628)</f>
        <v>0</v>
      </c>
      <c r="S628" s="26" t="n">
        <f aca="false">IF(OR($D628="",$J628&lt;&gt;"Own"),0,IFERROR((F628+G628*Settings!$B$13)*INDEX(Workers!$V$5:$V$2004,MATCH($D628,Workers!$A$5:$A$2004,0)),0))</f>
        <v>0</v>
      </c>
      <c r="T628" s="26" t="str">
        <f aca="false">IF($D628="","",O628-R628-S628)</f>
        <v/>
      </c>
    </row>
    <row r="629" customFormat="false" ht="15" hidden="false" customHeight="false" outlineLevel="0" collapsed="false">
      <c r="I629" s="24" t="str">
        <f aca="false">IF($D629="","",IFERROR(INDEX(Workers!$B$5:$B$2004,MATCH($D629,Workers!$A$5:$A$2004,0)),"NOT FOUND"))</f>
        <v/>
      </c>
      <c r="J629" s="24" t="str">
        <f aca="false">IF($D629="","",IFERROR(INDEX(Workers!$C$5:$C$2004,MATCH($D629,Workers!$A$5:$A$2004,0)),""))</f>
        <v/>
      </c>
      <c r="K629" s="24" t="str">
        <f aca="false">IF($D629="","",IFERROR(IF(INDEX(Workers!$D$5:$D$2004,MATCH($D629,Workers!$A$5:$A$2004,0))=0,"",INDEX(Workers!$D$5:$D$2004,MATCH($D629,Workers!$A$5:$A$2004,0))),""))</f>
        <v/>
      </c>
      <c r="L629" s="24" t="str">
        <f aca="false">IF($D629="","",IFERROR(INDEX(Workers!$E$5:$E$2004,MATCH($D629,Workers!$A$5:$A$2004,0)),""))</f>
        <v/>
      </c>
      <c r="M629" s="26" t="str">
        <f aca="false">IF($D629="","",IFERROR(INDEX(ClientRates!$D$5:$D$500,MATCH($B629&amp;"|"&amp;$L629,ClientRates!$A$5:$A$500,0)),0))</f>
        <v/>
      </c>
      <c r="N629" s="26" t="str">
        <f aca="false">IF($D629="","",IFERROR(INDEX(ClientRates!$E$5:$E$500,MATCH($B629&amp;"|"&amp;$L629,ClientRates!$A$5:$A$500,0)),0))</f>
        <v/>
      </c>
      <c r="O629" s="26" t="str">
        <f aca="false">IF($D629="","",F629*M629+G629*N629)</f>
        <v/>
      </c>
      <c r="P629" s="26" t="str">
        <f aca="false">IF(OR($D629="",$J629&lt;&gt;"Supplier"),"",IFERROR(INDEX(SupplierRates!$D$5:$D$500,MATCH($K629&amp;"|"&amp;$L629,SupplierRates!$A$5:$A$500,0)),0))</f>
        <v/>
      </c>
      <c r="Q629" s="26" t="str">
        <f aca="false">IF(OR($D629="",$J629&lt;&gt;"Supplier"),"",IFERROR(INDEX(SupplierRates!$E$5:$E$500,MATCH($K629&amp;"|"&amp;$L629,SupplierRates!$A$5:$A$500,0)),0))</f>
        <v/>
      </c>
      <c r="R629" s="26" t="n">
        <f aca="false">IF(OR($D629="",$J629&lt;&gt;"Supplier"),0,F629*P629+G629*Q629)</f>
        <v>0</v>
      </c>
      <c r="S629" s="26" t="n">
        <f aca="false">IF(OR($D629="",$J629&lt;&gt;"Own"),0,IFERROR((F629+G629*Settings!$B$13)*INDEX(Workers!$V$5:$V$2004,MATCH($D629,Workers!$A$5:$A$2004,0)),0))</f>
        <v>0</v>
      </c>
      <c r="T629" s="26" t="str">
        <f aca="false">IF($D629="","",O629-R629-S629)</f>
        <v/>
      </c>
    </row>
    <row r="630" customFormat="false" ht="15" hidden="false" customHeight="false" outlineLevel="0" collapsed="false">
      <c r="I630" s="24" t="str">
        <f aca="false">IF($D630="","",IFERROR(INDEX(Workers!$B$5:$B$2004,MATCH($D630,Workers!$A$5:$A$2004,0)),"NOT FOUND"))</f>
        <v/>
      </c>
      <c r="J630" s="24" t="str">
        <f aca="false">IF($D630="","",IFERROR(INDEX(Workers!$C$5:$C$2004,MATCH($D630,Workers!$A$5:$A$2004,0)),""))</f>
        <v/>
      </c>
      <c r="K630" s="24" t="str">
        <f aca="false">IF($D630="","",IFERROR(IF(INDEX(Workers!$D$5:$D$2004,MATCH($D630,Workers!$A$5:$A$2004,0))=0,"",INDEX(Workers!$D$5:$D$2004,MATCH($D630,Workers!$A$5:$A$2004,0))),""))</f>
        <v/>
      </c>
      <c r="L630" s="24" t="str">
        <f aca="false">IF($D630="","",IFERROR(INDEX(Workers!$E$5:$E$2004,MATCH($D630,Workers!$A$5:$A$2004,0)),""))</f>
        <v/>
      </c>
      <c r="M630" s="26" t="str">
        <f aca="false">IF($D630="","",IFERROR(INDEX(ClientRates!$D$5:$D$500,MATCH($B630&amp;"|"&amp;$L630,ClientRates!$A$5:$A$500,0)),0))</f>
        <v/>
      </c>
      <c r="N630" s="26" t="str">
        <f aca="false">IF($D630="","",IFERROR(INDEX(ClientRates!$E$5:$E$500,MATCH($B630&amp;"|"&amp;$L630,ClientRates!$A$5:$A$500,0)),0))</f>
        <v/>
      </c>
      <c r="O630" s="26" t="str">
        <f aca="false">IF($D630="","",F630*M630+G630*N630)</f>
        <v/>
      </c>
      <c r="P630" s="26" t="str">
        <f aca="false">IF(OR($D630="",$J630&lt;&gt;"Supplier"),"",IFERROR(INDEX(SupplierRates!$D$5:$D$500,MATCH($K630&amp;"|"&amp;$L630,SupplierRates!$A$5:$A$500,0)),0))</f>
        <v/>
      </c>
      <c r="Q630" s="26" t="str">
        <f aca="false">IF(OR($D630="",$J630&lt;&gt;"Supplier"),"",IFERROR(INDEX(SupplierRates!$E$5:$E$500,MATCH($K630&amp;"|"&amp;$L630,SupplierRates!$A$5:$A$500,0)),0))</f>
        <v/>
      </c>
      <c r="R630" s="26" t="n">
        <f aca="false">IF(OR($D630="",$J630&lt;&gt;"Supplier"),0,F630*P630+G630*Q630)</f>
        <v>0</v>
      </c>
      <c r="S630" s="26" t="n">
        <f aca="false">IF(OR($D630="",$J630&lt;&gt;"Own"),0,IFERROR((F630+G630*Settings!$B$13)*INDEX(Workers!$V$5:$V$2004,MATCH($D630,Workers!$A$5:$A$2004,0)),0))</f>
        <v>0</v>
      </c>
      <c r="T630" s="26" t="str">
        <f aca="false">IF($D630="","",O630-R630-S630)</f>
        <v/>
      </c>
    </row>
    <row r="631" customFormat="false" ht="15" hidden="false" customHeight="false" outlineLevel="0" collapsed="false">
      <c r="I631" s="24" t="str">
        <f aca="false">IF($D631="","",IFERROR(INDEX(Workers!$B$5:$B$2004,MATCH($D631,Workers!$A$5:$A$2004,0)),"NOT FOUND"))</f>
        <v/>
      </c>
      <c r="J631" s="24" t="str">
        <f aca="false">IF($D631="","",IFERROR(INDEX(Workers!$C$5:$C$2004,MATCH($D631,Workers!$A$5:$A$2004,0)),""))</f>
        <v/>
      </c>
      <c r="K631" s="24" t="str">
        <f aca="false">IF($D631="","",IFERROR(IF(INDEX(Workers!$D$5:$D$2004,MATCH($D631,Workers!$A$5:$A$2004,0))=0,"",INDEX(Workers!$D$5:$D$2004,MATCH($D631,Workers!$A$5:$A$2004,0))),""))</f>
        <v/>
      </c>
      <c r="L631" s="24" t="str">
        <f aca="false">IF($D631="","",IFERROR(INDEX(Workers!$E$5:$E$2004,MATCH($D631,Workers!$A$5:$A$2004,0)),""))</f>
        <v/>
      </c>
      <c r="M631" s="26" t="str">
        <f aca="false">IF($D631="","",IFERROR(INDEX(ClientRates!$D$5:$D$500,MATCH($B631&amp;"|"&amp;$L631,ClientRates!$A$5:$A$500,0)),0))</f>
        <v/>
      </c>
      <c r="N631" s="26" t="str">
        <f aca="false">IF($D631="","",IFERROR(INDEX(ClientRates!$E$5:$E$500,MATCH($B631&amp;"|"&amp;$L631,ClientRates!$A$5:$A$500,0)),0))</f>
        <v/>
      </c>
      <c r="O631" s="26" t="str">
        <f aca="false">IF($D631="","",F631*M631+G631*N631)</f>
        <v/>
      </c>
      <c r="P631" s="26" t="str">
        <f aca="false">IF(OR($D631="",$J631&lt;&gt;"Supplier"),"",IFERROR(INDEX(SupplierRates!$D$5:$D$500,MATCH($K631&amp;"|"&amp;$L631,SupplierRates!$A$5:$A$500,0)),0))</f>
        <v/>
      </c>
      <c r="Q631" s="26" t="str">
        <f aca="false">IF(OR($D631="",$J631&lt;&gt;"Supplier"),"",IFERROR(INDEX(SupplierRates!$E$5:$E$500,MATCH($K631&amp;"|"&amp;$L631,SupplierRates!$A$5:$A$500,0)),0))</f>
        <v/>
      </c>
      <c r="R631" s="26" t="n">
        <f aca="false">IF(OR($D631="",$J631&lt;&gt;"Supplier"),0,F631*P631+G631*Q631)</f>
        <v>0</v>
      </c>
      <c r="S631" s="26" t="n">
        <f aca="false">IF(OR($D631="",$J631&lt;&gt;"Own"),0,IFERROR((F631+G631*Settings!$B$13)*INDEX(Workers!$V$5:$V$2004,MATCH($D631,Workers!$A$5:$A$2004,0)),0))</f>
        <v>0</v>
      </c>
      <c r="T631" s="26" t="str">
        <f aca="false">IF($D631="","",O631-R631-S631)</f>
        <v/>
      </c>
    </row>
    <row r="632" customFormat="false" ht="15" hidden="false" customHeight="false" outlineLevel="0" collapsed="false">
      <c r="I632" s="24" t="str">
        <f aca="false">IF($D632="","",IFERROR(INDEX(Workers!$B$5:$B$2004,MATCH($D632,Workers!$A$5:$A$2004,0)),"NOT FOUND"))</f>
        <v/>
      </c>
      <c r="J632" s="24" t="str">
        <f aca="false">IF($D632="","",IFERROR(INDEX(Workers!$C$5:$C$2004,MATCH($D632,Workers!$A$5:$A$2004,0)),""))</f>
        <v/>
      </c>
      <c r="K632" s="24" t="str">
        <f aca="false">IF($D632="","",IFERROR(IF(INDEX(Workers!$D$5:$D$2004,MATCH($D632,Workers!$A$5:$A$2004,0))=0,"",INDEX(Workers!$D$5:$D$2004,MATCH($D632,Workers!$A$5:$A$2004,0))),""))</f>
        <v/>
      </c>
      <c r="L632" s="24" t="str">
        <f aca="false">IF($D632="","",IFERROR(INDEX(Workers!$E$5:$E$2004,MATCH($D632,Workers!$A$5:$A$2004,0)),""))</f>
        <v/>
      </c>
      <c r="M632" s="26" t="str">
        <f aca="false">IF($D632="","",IFERROR(INDEX(ClientRates!$D$5:$D$500,MATCH($B632&amp;"|"&amp;$L632,ClientRates!$A$5:$A$500,0)),0))</f>
        <v/>
      </c>
      <c r="N632" s="26" t="str">
        <f aca="false">IF($D632="","",IFERROR(INDEX(ClientRates!$E$5:$E$500,MATCH($B632&amp;"|"&amp;$L632,ClientRates!$A$5:$A$500,0)),0))</f>
        <v/>
      </c>
      <c r="O632" s="26" t="str">
        <f aca="false">IF($D632="","",F632*M632+G632*N632)</f>
        <v/>
      </c>
      <c r="P632" s="26" t="str">
        <f aca="false">IF(OR($D632="",$J632&lt;&gt;"Supplier"),"",IFERROR(INDEX(SupplierRates!$D$5:$D$500,MATCH($K632&amp;"|"&amp;$L632,SupplierRates!$A$5:$A$500,0)),0))</f>
        <v/>
      </c>
      <c r="Q632" s="26" t="str">
        <f aca="false">IF(OR($D632="",$J632&lt;&gt;"Supplier"),"",IFERROR(INDEX(SupplierRates!$E$5:$E$500,MATCH($K632&amp;"|"&amp;$L632,SupplierRates!$A$5:$A$500,0)),0))</f>
        <v/>
      </c>
      <c r="R632" s="26" t="n">
        <f aca="false">IF(OR($D632="",$J632&lt;&gt;"Supplier"),0,F632*P632+G632*Q632)</f>
        <v>0</v>
      </c>
      <c r="S632" s="26" t="n">
        <f aca="false">IF(OR($D632="",$J632&lt;&gt;"Own"),0,IFERROR((F632+G632*Settings!$B$13)*INDEX(Workers!$V$5:$V$2004,MATCH($D632,Workers!$A$5:$A$2004,0)),0))</f>
        <v>0</v>
      </c>
      <c r="T632" s="26" t="str">
        <f aca="false">IF($D632="","",O632-R632-S632)</f>
        <v/>
      </c>
    </row>
    <row r="633" customFormat="false" ht="15" hidden="false" customHeight="false" outlineLevel="0" collapsed="false">
      <c r="I633" s="24" t="str">
        <f aca="false">IF($D633="","",IFERROR(INDEX(Workers!$B$5:$B$2004,MATCH($D633,Workers!$A$5:$A$2004,0)),"NOT FOUND"))</f>
        <v/>
      </c>
      <c r="J633" s="24" t="str">
        <f aca="false">IF($D633="","",IFERROR(INDEX(Workers!$C$5:$C$2004,MATCH($D633,Workers!$A$5:$A$2004,0)),""))</f>
        <v/>
      </c>
      <c r="K633" s="24" t="str">
        <f aca="false">IF($D633="","",IFERROR(IF(INDEX(Workers!$D$5:$D$2004,MATCH($D633,Workers!$A$5:$A$2004,0))=0,"",INDEX(Workers!$D$5:$D$2004,MATCH($D633,Workers!$A$5:$A$2004,0))),""))</f>
        <v/>
      </c>
      <c r="L633" s="24" t="str">
        <f aca="false">IF($D633="","",IFERROR(INDEX(Workers!$E$5:$E$2004,MATCH($D633,Workers!$A$5:$A$2004,0)),""))</f>
        <v/>
      </c>
      <c r="M633" s="26" t="str">
        <f aca="false">IF($D633="","",IFERROR(INDEX(ClientRates!$D$5:$D$500,MATCH($B633&amp;"|"&amp;$L633,ClientRates!$A$5:$A$500,0)),0))</f>
        <v/>
      </c>
      <c r="N633" s="26" t="str">
        <f aca="false">IF($D633="","",IFERROR(INDEX(ClientRates!$E$5:$E$500,MATCH($B633&amp;"|"&amp;$L633,ClientRates!$A$5:$A$500,0)),0))</f>
        <v/>
      </c>
      <c r="O633" s="26" t="str">
        <f aca="false">IF($D633="","",F633*M633+G633*N633)</f>
        <v/>
      </c>
      <c r="P633" s="26" t="str">
        <f aca="false">IF(OR($D633="",$J633&lt;&gt;"Supplier"),"",IFERROR(INDEX(SupplierRates!$D$5:$D$500,MATCH($K633&amp;"|"&amp;$L633,SupplierRates!$A$5:$A$500,0)),0))</f>
        <v/>
      </c>
      <c r="Q633" s="26" t="str">
        <f aca="false">IF(OR($D633="",$J633&lt;&gt;"Supplier"),"",IFERROR(INDEX(SupplierRates!$E$5:$E$500,MATCH($K633&amp;"|"&amp;$L633,SupplierRates!$A$5:$A$500,0)),0))</f>
        <v/>
      </c>
      <c r="R633" s="26" t="n">
        <f aca="false">IF(OR($D633="",$J633&lt;&gt;"Supplier"),0,F633*P633+G633*Q633)</f>
        <v>0</v>
      </c>
      <c r="S633" s="26" t="n">
        <f aca="false">IF(OR($D633="",$J633&lt;&gt;"Own"),0,IFERROR((F633+G633*Settings!$B$13)*INDEX(Workers!$V$5:$V$2004,MATCH($D633,Workers!$A$5:$A$2004,0)),0))</f>
        <v>0</v>
      </c>
      <c r="T633" s="26" t="str">
        <f aca="false">IF($D633="","",O633-R633-S633)</f>
        <v/>
      </c>
    </row>
    <row r="634" customFormat="false" ht="15" hidden="false" customHeight="false" outlineLevel="0" collapsed="false">
      <c r="I634" s="24" t="str">
        <f aca="false">IF($D634="","",IFERROR(INDEX(Workers!$B$5:$B$2004,MATCH($D634,Workers!$A$5:$A$2004,0)),"NOT FOUND"))</f>
        <v/>
      </c>
      <c r="J634" s="24" t="str">
        <f aca="false">IF($D634="","",IFERROR(INDEX(Workers!$C$5:$C$2004,MATCH($D634,Workers!$A$5:$A$2004,0)),""))</f>
        <v/>
      </c>
      <c r="K634" s="24" t="str">
        <f aca="false">IF($D634="","",IFERROR(IF(INDEX(Workers!$D$5:$D$2004,MATCH($D634,Workers!$A$5:$A$2004,0))=0,"",INDEX(Workers!$D$5:$D$2004,MATCH($D634,Workers!$A$5:$A$2004,0))),""))</f>
        <v/>
      </c>
      <c r="L634" s="24" t="str">
        <f aca="false">IF($D634="","",IFERROR(INDEX(Workers!$E$5:$E$2004,MATCH($D634,Workers!$A$5:$A$2004,0)),""))</f>
        <v/>
      </c>
      <c r="M634" s="26" t="str">
        <f aca="false">IF($D634="","",IFERROR(INDEX(ClientRates!$D$5:$D$500,MATCH($B634&amp;"|"&amp;$L634,ClientRates!$A$5:$A$500,0)),0))</f>
        <v/>
      </c>
      <c r="N634" s="26" t="str">
        <f aca="false">IF($D634="","",IFERROR(INDEX(ClientRates!$E$5:$E$500,MATCH($B634&amp;"|"&amp;$L634,ClientRates!$A$5:$A$500,0)),0))</f>
        <v/>
      </c>
      <c r="O634" s="26" t="str">
        <f aca="false">IF($D634="","",F634*M634+G634*N634)</f>
        <v/>
      </c>
      <c r="P634" s="26" t="str">
        <f aca="false">IF(OR($D634="",$J634&lt;&gt;"Supplier"),"",IFERROR(INDEX(SupplierRates!$D$5:$D$500,MATCH($K634&amp;"|"&amp;$L634,SupplierRates!$A$5:$A$500,0)),0))</f>
        <v/>
      </c>
      <c r="Q634" s="26" t="str">
        <f aca="false">IF(OR($D634="",$J634&lt;&gt;"Supplier"),"",IFERROR(INDEX(SupplierRates!$E$5:$E$500,MATCH($K634&amp;"|"&amp;$L634,SupplierRates!$A$5:$A$500,0)),0))</f>
        <v/>
      </c>
      <c r="R634" s="26" t="n">
        <f aca="false">IF(OR($D634="",$J634&lt;&gt;"Supplier"),0,F634*P634+G634*Q634)</f>
        <v>0</v>
      </c>
      <c r="S634" s="26" t="n">
        <f aca="false">IF(OR($D634="",$J634&lt;&gt;"Own"),0,IFERROR((F634+G634*Settings!$B$13)*INDEX(Workers!$V$5:$V$2004,MATCH($D634,Workers!$A$5:$A$2004,0)),0))</f>
        <v>0</v>
      </c>
      <c r="T634" s="26" t="str">
        <f aca="false">IF($D634="","",O634-R634-S634)</f>
        <v/>
      </c>
    </row>
    <row r="635" customFormat="false" ht="15" hidden="false" customHeight="false" outlineLevel="0" collapsed="false">
      <c r="I635" s="24" t="str">
        <f aca="false">IF($D635="","",IFERROR(INDEX(Workers!$B$5:$B$2004,MATCH($D635,Workers!$A$5:$A$2004,0)),"NOT FOUND"))</f>
        <v/>
      </c>
      <c r="J635" s="24" t="str">
        <f aca="false">IF($D635="","",IFERROR(INDEX(Workers!$C$5:$C$2004,MATCH($D635,Workers!$A$5:$A$2004,0)),""))</f>
        <v/>
      </c>
      <c r="K635" s="24" t="str">
        <f aca="false">IF($D635="","",IFERROR(IF(INDEX(Workers!$D$5:$D$2004,MATCH($D635,Workers!$A$5:$A$2004,0))=0,"",INDEX(Workers!$D$5:$D$2004,MATCH($D635,Workers!$A$5:$A$2004,0))),""))</f>
        <v/>
      </c>
      <c r="L635" s="24" t="str">
        <f aca="false">IF($D635="","",IFERROR(INDEX(Workers!$E$5:$E$2004,MATCH($D635,Workers!$A$5:$A$2004,0)),""))</f>
        <v/>
      </c>
      <c r="M635" s="26" t="str">
        <f aca="false">IF($D635="","",IFERROR(INDEX(ClientRates!$D$5:$D$500,MATCH($B635&amp;"|"&amp;$L635,ClientRates!$A$5:$A$500,0)),0))</f>
        <v/>
      </c>
      <c r="N635" s="26" t="str">
        <f aca="false">IF($D635="","",IFERROR(INDEX(ClientRates!$E$5:$E$500,MATCH($B635&amp;"|"&amp;$L635,ClientRates!$A$5:$A$500,0)),0))</f>
        <v/>
      </c>
      <c r="O635" s="26" t="str">
        <f aca="false">IF($D635="","",F635*M635+G635*N635)</f>
        <v/>
      </c>
      <c r="P635" s="26" t="str">
        <f aca="false">IF(OR($D635="",$J635&lt;&gt;"Supplier"),"",IFERROR(INDEX(SupplierRates!$D$5:$D$500,MATCH($K635&amp;"|"&amp;$L635,SupplierRates!$A$5:$A$500,0)),0))</f>
        <v/>
      </c>
      <c r="Q635" s="26" t="str">
        <f aca="false">IF(OR($D635="",$J635&lt;&gt;"Supplier"),"",IFERROR(INDEX(SupplierRates!$E$5:$E$500,MATCH($K635&amp;"|"&amp;$L635,SupplierRates!$A$5:$A$500,0)),0))</f>
        <v/>
      </c>
      <c r="R635" s="26" t="n">
        <f aca="false">IF(OR($D635="",$J635&lt;&gt;"Supplier"),0,F635*P635+G635*Q635)</f>
        <v>0</v>
      </c>
      <c r="S635" s="26" t="n">
        <f aca="false">IF(OR($D635="",$J635&lt;&gt;"Own"),0,IFERROR((F635+G635*Settings!$B$13)*INDEX(Workers!$V$5:$V$2004,MATCH($D635,Workers!$A$5:$A$2004,0)),0))</f>
        <v>0</v>
      </c>
      <c r="T635" s="26" t="str">
        <f aca="false">IF($D635="","",O635-R635-S635)</f>
        <v/>
      </c>
    </row>
    <row r="636" customFormat="false" ht="15" hidden="false" customHeight="false" outlineLevel="0" collapsed="false">
      <c r="I636" s="24" t="str">
        <f aca="false">IF($D636="","",IFERROR(INDEX(Workers!$B$5:$B$2004,MATCH($D636,Workers!$A$5:$A$2004,0)),"NOT FOUND"))</f>
        <v/>
      </c>
      <c r="J636" s="24" t="str">
        <f aca="false">IF($D636="","",IFERROR(INDEX(Workers!$C$5:$C$2004,MATCH($D636,Workers!$A$5:$A$2004,0)),""))</f>
        <v/>
      </c>
      <c r="K636" s="24" t="str">
        <f aca="false">IF($D636="","",IFERROR(IF(INDEX(Workers!$D$5:$D$2004,MATCH($D636,Workers!$A$5:$A$2004,0))=0,"",INDEX(Workers!$D$5:$D$2004,MATCH($D636,Workers!$A$5:$A$2004,0))),""))</f>
        <v/>
      </c>
      <c r="L636" s="24" t="str">
        <f aca="false">IF($D636="","",IFERROR(INDEX(Workers!$E$5:$E$2004,MATCH($D636,Workers!$A$5:$A$2004,0)),""))</f>
        <v/>
      </c>
      <c r="M636" s="26" t="str">
        <f aca="false">IF($D636="","",IFERROR(INDEX(ClientRates!$D$5:$D$500,MATCH($B636&amp;"|"&amp;$L636,ClientRates!$A$5:$A$500,0)),0))</f>
        <v/>
      </c>
      <c r="N636" s="26" t="str">
        <f aca="false">IF($D636="","",IFERROR(INDEX(ClientRates!$E$5:$E$500,MATCH($B636&amp;"|"&amp;$L636,ClientRates!$A$5:$A$500,0)),0))</f>
        <v/>
      </c>
      <c r="O636" s="26" t="str">
        <f aca="false">IF($D636="","",F636*M636+G636*N636)</f>
        <v/>
      </c>
      <c r="P636" s="26" t="str">
        <f aca="false">IF(OR($D636="",$J636&lt;&gt;"Supplier"),"",IFERROR(INDEX(SupplierRates!$D$5:$D$500,MATCH($K636&amp;"|"&amp;$L636,SupplierRates!$A$5:$A$500,0)),0))</f>
        <v/>
      </c>
      <c r="Q636" s="26" t="str">
        <f aca="false">IF(OR($D636="",$J636&lt;&gt;"Supplier"),"",IFERROR(INDEX(SupplierRates!$E$5:$E$500,MATCH($K636&amp;"|"&amp;$L636,SupplierRates!$A$5:$A$500,0)),0))</f>
        <v/>
      </c>
      <c r="R636" s="26" t="n">
        <f aca="false">IF(OR($D636="",$J636&lt;&gt;"Supplier"),0,F636*P636+G636*Q636)</f>
        <v>0</v>
      </c>
      <c r="S636" s="26" t="n">
        <f aca="false">IF(OR($D636="",$J636&lt;&gt;"Own"),0,IFERROR((F636+G636*Settings!$B$13)*INDEX(Workers!$V$5:$V$2004,MATCH($D636,Workers!$A$5:$A$2004,0)),0))</f>
        <v>0</v>
      </c>
      <c r="T636" s="26" t="str">
        <f aca="false">IF($D636="","",O636-R636-S636)</f>
        <v/>
      </c>
    </row>
    <row r="637" customFormat="false" ht="15" hidden="false" customHeight="false" outlineLevel="0" collapsed="false">
      <c r="I637" s="24" t="str">
        <f aca="false">IF($D637="","",IFERROR(INDEX(Workers!$B$5:$B$2004,MATCH($D637,Workers!$A$5:$A$2004,0)),"NOT FOUND"))</f>
        <v/>
      </c>
      <c r="J637" s="24" t="str">
        <f aca="false">IF($D637="","",IFERROR(INDEX(Workers!$C$5:$C$2004,MATCH($D637,Workers!$A$5:$A$2004,0)),""))</f>
        <v/>
      </c>
      <c r="K637" s="24" t="str">
        <f aca="false">IF($D637="","",IFERROR(IF(INDEX(Workers!$D$5:$D$2004,MATCH($D637,Workers!$A$5:$A$2004,0))=0,"",INDEX(Workers!$D$5:$D$2004,MATCH($D637,Workers!$A$5:$A$2004,0))),""))</f>
        <v/>
      </c>
      <c r="L637" s="24" t="str">
        <f aca="false">IF($D637="","",IFERROR(INDEX(Workers!$E$5:$E$2004,MATCH($D637,Workers!$A$5:$A$2004,0)),""))</f>
        <v/>
      </c>
      <c r="M637" s="26" t="str">
        <f aca="false">IF($D637="","",IFERROR(INDEX(ClientRates!$D$5:$D$500,MATCH($B637&amp;"|"&amp;$L637,ClientRates!$A$5:$A$500,0)),0))</f>
        <v/>
      </c>
      <c r="N637" s="26" t="str">
        <f aca="false">IF($D637="","",IFERROR(INDEX(ClientRates!$E$5:$E$500,MATCH($B637&amp;"|"&amp;$L637,ClientRates!$A$5:$A$500,0)),0))</f>
        <v/>
      </c>
      <c r="O637" s="26" t="str">
        <f aca="false">IF($D637="","",F637*M637+G637*N637)</f>
        <v/>
      </c>
      <c r="P637" s="26" t="str">
        <f aca="false">IF(OR($D637="",$J637&lt;&gt;"Supplier"),"",IFERROR(INDEX(SupplierRates!$D$5:$D$500,MATCH($K637&amp;"|"&amp;$L637,SupplierRates!$A$5:$A$500,0)),0))</f>
        <v/>
      </c>
      <c r="Q637" s="26" t="str">
        <f aca="false">IF(OR($D637="",$J637&lt;&gt;"Supplier"),"",IFERROR(INDEX(SupplierRates!$E$5:$E$500,MATCH($K637&amp;"|"&amp;$L637,SupplierRates!$A$5:$A$500,0)),0))</f>
        <v/>
      </c>
      <c r="R637" s="26" t="n">
        <f aca="false">IF(OR($D637="",$J637&lt;&gt;"Supplier"),0,F637*P637+G637*Q637)</f>
        <v>0</v>
      </c>
      <c r="S637" s="26" t="n">
        <f aca="false">IF(OR($D637="",$J637&lt;&gt;"Own"),0,IFERROR((F637+G637*Settings!$B$13)*INDEX(Workers!$V$5:$V$2004,MATCH($D637,Workers!$A$5:$A$2004,0)),0))</f>
        <v>0</v>
      </c>
      <c r="T637" s="26" t="str">
        <f aca="false">IF($D637="","",O637-R637-S637)</f>
        <v/>
      </c>
    </row>
    <row r="638" customFormat="false" ht="15" hidden="false" customHeight="false" outlineLevel="0" collapsed="false">
      <c r="I638" s="24" t="str">
        <f aca="false">IF($D638="","",IFERROR(INDEX(Workers!$B$5:$B$2004,MATCH($D638,Workers!$A$5:$A$2004,0)),"NOT FOUND"))</f>
        <v/>
      </c>
      <c r="J638" s="24" t="str">
        <f aca="false">IF($D638="","",IFERROR(INDEX(Workers!$C$5:$C$2004,MATCH($D638,Workers!$A$5:$A$2004,0)),""))</f>
        <v/>
      </c>
      <c r="K638" s="24" t="str">
        <f aca="false">IF($D638="","",IFERROR(IF(INDEX(Workers!$D$5:$D$2004,MATCH($D638,Workers!$A$5:$A$2004,0))=0,"",INDEX(Workers!$D$5:$D$2004,MATCH($D638,Workers!$A$5:$A$2004,0))),""))</f>
        <v/>
      </c>
      <c r="L638" s="24" t="str">
        <f aca="false">IF($D638="","",IFERROR(INDEX(Workers!$E$5:$E$2004,MATCH($D638,Workers!$A$5:$A$2004,0)),""))</f>
        <v/>
      </c>
      <c r="M638" s="26" t="str">
        <f aca="false">IF($D638="","",IFERROR(INDEX(ClientRates!$D$5:$D$500,MATCH($B638&amp;"|"&amp;$L638,ClientRates!$A$5:$A$500,0)),0))</f>
        <v/>
      </c>
      <c r="N638" s="26" t="str">
        <f aca="false">IF($D638="","",IFERROR(INDEX(ClientRates!$E$5:$E$500,MATCH($B638&amp;"|"&amp;$L638,ClientRates!$A$5:$A$500,0)),0))</f>
        <v/>
      </c>
      <c r="O638" s="26" t="str">
        <f aca="false">IF($D638="","",F638*M638+G638*N638)</f>
        <v/>
      </c>
      <c r="P638" s="26" t="str">
        <f aca="false">IF(OR($D638="",$J638&lt;&gt;"Supplier"),"",IFERROR(INDEX(SupplierRates!$D$5:$D$500,MATCH($K638&amp;"|"&amp;$L638,SupplierRates!$A$5:$A$500,0)),0))</f>
        <v/>
      </c>
      <c r="Q638" s="26" t="str">
        <f aca="false">IF(OR($D638="",$J638&lt;&gt;"Supplier"),"",IFERROR(INDEX(SupplierRates!$E$5:$E$500,MATCH($K638&amp;"|"&amp;$L638,SupplierRates!$A$5:$A$500,0)),0))</f>
        <v/>
      </c>
      <c r="R638" s="26" t="n">
        <f aca="false">IF(OR($D638="",$J638&lt;&gt;"Supplier"),0,F638*P638+G638*Q638)</f>
        <v>0</v>
      </c>
      <c r="S638" s="26" t="n">
        <f aca="false">IF(OR($D638="",$J638&lt;&gt;"Own"),0,IFERROR((F638+G638*Settings!$B$13)*INDEX(Workers!$V$5:$V$2004,MATCH($D638,Workers!$A$5:$A$2004,0)),0))</f>
        <v>0</v>
      </c>
      <c r="T638" s="26" t="str">
        <f aca="false">IF($D638="","",O638-R638-S638)</f>
        <v/>
      </c>
    </row>
    <row r="639" customFormat="false" ht="15" hidden="false" customHeight="false" outlineLevel="0" collapsed="false">
      <c r="I639" s="24" t="str">
        <f aca="false">IF($D639="","",IFERROR(INDEX(Workers!$B$5:$B$2004,MATCH($D639,Workers!$A$5:$A$2004,0)),"NOT FOUND"))</f>
        <v/>
      </c>
      <c r="J639" s="24" t="str">
        <f aca="false">IF($D639="","",IFERROR(INDEX(Workers!$C$5:$C$2004,MATCH($D639,Workers!$A$5:$A$2004,0)),""))</f>
        <v/>
      </c>
      <c r="K639" s="24" t="str">
        <f aca="false">IF($D639="","",IFERROR(IF(INDEX(Workers!$D$5:$D$2004,MATCH($D639,Workers!$A$5:$A$2004,0))=0,"",INDEX(Workers!$D$5:$D$2004,MATCH($D639,Workers!$A$5:$A$2004,0))),""))</f>
        <v/>
      </c>
      <c r="L639" s="24" t="str">
        <f aca="false">IF($D639="","",IFERROR(INDEX(Workers!$E$5:$E$2004,MATCH($D639,Workers!$A$5:$A$2004,0)),""))</f>
        <v/>
      </c>
      <c r="M639" s="26" t="str">
        <f aca="false">IF($D639="","",IFERROR(INDEX(ClientRates!$D$5:$D$500,MATCH($B639&amp;"|"&amp;$L639,ClientRates!$A$5:$A$500,0)),0))</f>
        <v/>
      </c>
      <c r="N639" s="26" t="str">
        <f aca="false">IF($D639="","",IFERROR(INDEX(ClientRates!$E$5:$E$500,MATCH($B639&amp;"|"&amp;$L639,ClientRates!$A$5:$A$500,0)),0))</f>
        <v/>
      </c>
      <c r="O639" s="26" t="str">
        <f aca="false">IF($D639="","",F639*M639+G639*N639)</f>
        <v/>
      </c>
      <c r="P639" s="26" t="str">
        <f aca="false">IF(OR($D639="",$J639&lt;&gt;"Supplier"),"",IFERROR(INDEX(SupplierRates!$D$5:$D$500,MATCH($K639&amp;"|"&amp;$L639,SupplierRates!$A$5:$A$500,0)),0))</f>
        <v/>
      </c>
      <c r="Q639" s="26" t="str">
        <f aca="false">IF(OR($D639="",$J639&lt;&gt;"Supplier"),"",IFERROR(INDEX(SupplierRates!$E$5:$E$500,MATCH($K639&amp;"|"&amp;$L639,SupplierRates!$A$5:$A$500,0)),0))</f>
        <v/>
      </c>
      <c r="R639" s="26" t="n">
        <f aca="false">IF(OR($D639="",$J639&lt;&gt;"Supplier"),0,F639*P639+G639*Q639)</f>
        <v>0</v>
      </c>
      <c r="S639" s="26" t="n">
        <f aca="false">IF(OR($D639="",$J639&lt;&gt;"Own"),0,IFERROR((F639+G639*Settings!$B$13)*INDEX(Workers!$V$5:$V$2004,MATCH($D639,Workers!$A$5:$A$2004,0)),0))</f>
        <v>0</v>
      </c>
      <c r="T639" s="26" t="str">
        <f aca="false">IF($D639="","",O639-R639-S639)</f>
        <v/>
      </c>
    </row>
    <row r="640" customFormat="false" ht="15" hidden="false" customHeight="false" outlineLevel="0" collapsed="false">
      <c r="I640" s="24" t="str">
        <f aca="false">IF($D640="","",IFERROR(INDEX(Workers!$B$5:$B$2004,MATCH($D640,Workers!$A$5:$A$2004,0)),"NOT FOUND"))</f>
        <v/>
      </c>
      <c r="J640" s="24" t="str">
        <f aca="false">IF($D640="","",IFERROR(INDEX(Workers!$C$5:$C$2004,MATCH($D640,Workers!$A$5:$A$2004,0)),""))</f>
        <v/>
      </c>
      <c r="K640" s="24" t="str">
        <f aca="false">IF($D640="","",IFERROR(IF(INDEX(Workers!$D$5:$D$2004,MATCH($D640,Workers!$A$5:$A$2004,0))=0,"",INDEX(Workers!$D$5:$D$2004,MATCH($D640,Workers!$A$5:$A$2004,0))),""))</f>
        <v/>
      </c>
      <c r="L640" s="24" t="str">
        <f aca="false">IF($D640="","",IFERROR(INDEX(Workers!$E$5:$E$2004,MATCH($D640,Workers!$A$5:$A$2004,0)),""))</f>
        <v/>
      </c>
      <c r="M640" s="26" t="str">
        <f aca="false">IF($D640="","",IFERROR(INDEX(ClientRates!$D$5:$D$500,MATCH($B640&amp;"|"&amp;$L640,ClientRates!$A$5:$A$500,0)),0))</f>
        <v/>
      </c>
      <c r="N640" s="26" t="str">
        <f aca="false">IF($D640="","",IFERROR(INDEX(ClientRates!$E$5:$E$500,MATCH($B640&amp;"|"&amp;$L640,ClientRates!$A$5:$A$500,0)),0))</f>
        <v/>
      </c>
      <c r="O640" s="26" t="str">
        <f aca="false">IF($D640="","",F640*M640+G640*N640)</f>
        <v/>
      </c>
      <c r="P640" s="26" t="str">
        <f aca="false">IF(OR($D640="",$J640&lt;&gt;"Supplier"),"",IFERROR(INDEX(SupplierRates!$D$5:$D$500,MATCH($K640&amp;"|"&amp;$L640,SupplierRates!$A$5:$A$500,0)),0))</f>
        <v/>
      </c>
      <c r="Q640" s="26" t="str">
        <f aca="false">IF(OR($D640="",$J640&lt;&gt;"Supplier"),"",IFERROR(INDEX(SupplierRates!$E$5:$E$500,MATCH($K640&amp;"|"&amp;$L640,SupplierRates!$A$5:$A$500,0)),0))</f>
        <v/>
      </c>
      <c r="R640" s="26" t="n">
        <f aca="false">IF(OR($D640="",$J640&lt;&gt;"Supplier"),0,F640*P640+G640*Q640)</f>
        <v>0</v>
      </c>
      <c r="S640" s="26" t="n">
        <f aca="false">IF(OR($D640="",$J640&lt;&gt;"Own"),0,IFERROR((F640+G640*Settings!$B$13)*INDEX(Workers!$V$5:$V$2004,MATCH($D640,Workers!$A$5:$A$2004,0)),0))</f>
        <v>0</v>
      </c>
      <c r="T640" s="26" t="str">
        <f aca="false">IF($D640="","",O640-R640-S640)</f>
        <v/>
      </c>
    </row>
    <row r="641" customFormat="false" ht="15" hidden="false" customHeight="false" outlineLevel="0" collapsed="false">
      <c r="I641" s="24" t="str">
        <f aca="false">IF($D641="","",IFERROR(INDEX(Workers!$B$5:$B$2004,MATCH($D641,Workers!$A$5:$A$2004,0)),"NOT FOUND"))</f>
        <v/>
      </c>
      <c r="J641" s="24" t="str">
        <f aca="false">IF($D641="","",IFERROR(INDEX(Workers!$C$5:$C$2004,MATCH($D641,Workers!$A$5:$A$2004,0)),""))</f>
        <v/>
      </c>
      <c r="K641" s="24" t="str">
        <f aca="false">IF($D641="","",IFERROR(IF(INDEX(Workers!$D$5:$D$2004,MATCH($D641,Workers!$A$5:$A$2004,0))=0,"",INDEX(Workers!$D$5:$D$2004,MATCH($D641,Workers!$A$5:$A$2004,0))),""))</f>
        <v/>
      </c>
      <c r="L641" s="24" t="str">
        <f aca="false">IF($D641="","",IFERROR(INDEX(Workers!$E$5:$E$2004,MATCH($D641,Workers!$A$5:$A$2004,0)),""))</f>
        <v/>
      </c>
      <c r="M641" s="26" t="str">
        <f aca="false">IF($D641="","",IFERROR(INDEX(ClientRates!$D$5:$D$500,MATCH($B641&amp;"|"&amp;$L641,ClientRates!$A$5:$A$500,0)),0))</f>
        <v/>
      </c>
      <c r="N641" s="26" t="str">
        <f aca="false">IF($D641="","",IFERROR(INDEX(ClientRates!$E$5:$E$500,MATCH($B641&amp;"|"&amp;$L641,ClientRates!$A$5:$A$500,0)),0))</f>
        <v/>
      </c>
      <c r="O641" s="26" t="str">
        <f aca="false">IF($D641="","",F641*M641+G641*N641)</f>
        <v/>
      </c>
      <c r="P641" s="26" t="str">
        <f aca="false">IF(OR($D641="",$J641&lt;&gt;"Supplier"),"",IFERROR(INDEX(SupplierRates!$D$5:$D$500,MATCH($K641&amp;"|"&amp;$L641,SupplierRates!$A$5:$A$500,0)),0))</f>
        <v/>
      </c>
      <c r="Q641" s="26" t="str">
        <f aca="false">IF(OR($D641="",$J641&lt;&gt;"Supplier"),"",IFERROR(INDEX(SupplierRates!$E$5:$E$500,MATCH($K641&amp;"|"&amp;$L641,SupplierRates!$A$5:$A$500,0)),0))</f>
        <v/>
      </c>
      <c r="R641" s="26" t="n">
        <f aca="false">IF(OR($D641="",$J641&lt;&gt;"Supplier"),0,F641*P641+G641*Q641)</f>
        <v>0</v>
      </c>
      <c r="S641" s="26" t="n">
        <f aca="false">IF(OR($D641="",$J641&lt;&gt;"Own"),0,IFERROR((F641+G641*Settings!$B$13)*INDEX(Workers!$V$5:$V$2004,MATCH($D641,Workers!$A$5:$A$2004,0)),0))</f>
        <v>0</v>
      </c>
      <c r="T641" s="26" t="str">
        <f aca="false">IF($D641="","",O641-R641-S641)</f>
        <v/>
      </c>
    </row>
    <row r="642" customFormat="false" ht="15" hidden="false" customHeight="false" outlineLevel="0" collapsed="false">
      <c r="I642" s="24" t="str">
        <f aca="false">IF($D642="","",IFERROR(INDEX(Workers!$B$5:$B$2004,MATCH($D642,Workers!$A$5:$A$2004,0)),"NOT FOUND"))</f>
        <v/>
      </c>
      <c r="J642" s="24" t="str">
        <f aca="false">IF($D642="","",IFERROR(INDEX(Workers!$C$5:$C$2004,MATCH($D642,Workers!$A$5:$A$2004,0)),""))</f>
        <v/>
      </c>
      <c r="K642" s="24" t="str">
        <f aca="false">IF($D642="","",IFERROR(IF(INDEX(Workers!$D$5:$D$2004,MATCH($D642,Workers!$A$5:$A$2004,0))=0,"",INDEX(Workers!$D$5:$D$2004,MATCH($D642,Workers!$A$5:$A$2004,0))),""))</f>
        <v/>
      </c>
      <c r="L642" s="24" t="str">
        <f aca="false">IF($D642="","",IFERROR(INDEX(Workers!$E$5:$E$2004,MATCH($D642,Workers!$A$5:$A$2004,0)),""))</f>
        <v/>
      </c>
      <c r="M642" s="26" t="str">
        <f aca="false">IF($D642="","",IFERROR(INDEX(ClientRates!$D$5:$D$500,MATCH($B642&amp;"|"&amp;$L642,ClientRates!$A$5:$A$500,0)),0))</f>
        <v/>
      </c>
      <c r="N642" s="26" t="str">
        <f aca="false">IF($D642="","",IFERROR(INDEX(ClientRates!$E$5:$E$500,MATCH($B642&amp;"|"&amp;$L642,ClientRates!$A$5:$A$500,0)),0))</f>
        <v/>
      </c>
      <c r="O642" s="26" t="str">
        <f aca="false">IF($D642="","",F642*M642+G642*N642)</f>
        <v/>
      </c>
      <c r="P642" s="26" t="str">
        <f aca="false">IF(OR($D642="",$J642&lt;&gt;"Supplier"),"",IFERROR(INDEX(SupplierRates!$D$5:$D$500,MATCH($K642&amp;"|"&amp;$L642,SupplierRates!$A$5:$A$500,0)),0))</f>
        <v/>
      </c>
      <c r="Q642" s="26" t="str">
        <f aca="false">IF(OR($D642="",$J642&lt;&gt;"Supplier"),"",IFERROR(INDEX(SupplierRates!$E$5:$E$500,MATCH($K642&amp;"|"&amp;$L642,SupplierRates!$A$5:$A$500,0)),0))</f>
        <v/>
      </c>
      <c r="R642" s="26" t="n">
        <f aca="false">IF(OR($D642="",$J642&lt;&gt;"Supplier"),0,F642*P642+G642*Q642)</f>
        <v>0</v>
      </c>
      <c r="S642" s="26" t="n">
        <f aca="false">IF(OR($D642="",$J642&lt;&gt;"Own"),0,IFERROR((F642+G642*Settings!$B$13)*INDEX(Workers!$V$5:$V$2004,MATCH($D642,Workers!$A$5:$A$2004,0)),0))</f>
        <v>0</v>
      </c>
      <c r="T642" s="26" t="str">
        <f aca="false">IF($D642="","",O642-R642-S642)</f>
        <v/>
      </c>
    </row>
    <row r="643" customFormat="false" ht="15" hidden="false" customHeight="false" outlineLevel="0" collapsed="false">
      <c r="I643" s="24" t="str">
        <f aca="false">IF($D643="","",IFERROR(INDEX(Workers!$B$5:$B$2004,MATCH($D643,Workers!$A$5:$A$2004,0)),"NOT FOUND"))</f>
        <v/>
      </c>
      <c r="J643" s="24" t="str">
        <f aca="false">IF($D643="","",IFERROR(INDEX(Workers!$C$5:$C$2004,MATCH($D643,Workers!$A$5:$A$2004,0)),""))</f>
        <v/>
      </c>
      <c r="K643" s="24" t="str">
        <f aca="false">IF($D643="","",IFERROR(IF(INDEX(Workers!$D$5:$D$2004,MATCH($D643,Workers!$A$5:$A$2004,0))=0,"",INDEX(Workers!$D$5:$D$2004,MATCH($D643,Workers!$A$5:$A$2004,0))),""))</f>
        <v/>
      </c>
      <c r="L643" s="24" t="str">
        <f aca="false">IF($D643="","",IFERROR(INDEX(Workers!$E$5:$E$2004,MATCH($D643,Workers!$A$5:$A$2004,0)),""))</f>
        <v/>
      </c>
      <c r="M643" s="26" t="str">
        <f aca="false">IF($D643="","",IFERROR(INDEX(ClientRates!$D$5:$D$500,MATCH($B643&amp;"|"&amp;$L643,ClientRates!$A$5:$A$500,0)),0))</f>
        <v/>
      </c>
      <c r="N643" s="26" t="str">
        <f aca="false">IF($D643="","",IFERROR(INDEX(ClientRates!$E$5:$E$500,MATCH($B643&amp;"|"&amp;$L643,ClientRates!$A$5:$A$500,0)),0))</f>
        <v/>
      </c>
      <c r="O643" s="26" t="str">
        <f aca="false">IF($D643="","",F643*M643+G643*N643)</f>
        <v/>
      </c>
      <c r="P643" s="26" t="str">
        <f aca="false">IF(OR($D643="",$J643&lt;&gt;"Supplier"),"",IFERROR(INDEX(SupplierRates!$D$5:$D$500,MATCH($K643&amp;"|"&amp;$L643,SupplierRates!$A$5:$A$500,0)),0))</f>
        <v/>
      </c>
      <c r="Q643" s="26" t="str">
        <f aca="false">IF(OR($D643="",$J643&lt;&gt;"Supplier"),"",IFERROR(INDEX(SupplierRates!$E$5:$E$500,MATCH($K643&amp;"|"&amp;$L643,SupplierRates!$A$5:$A$500,0)),0))</f>
        <v/>
      </c>
      <c r="R643" s="26" t="n">
        <f aca="false">IF(OR($D643="",$J643&lt;&gt;"Supplier"),0,F643*P643+G643*Q643)</f>
        <v>0</v>
      </c>
      <c r="S643" s="26" t="n">
        <f aca="false">IF(OR($D643="",$J643&lt;&gt;"Own"),0,IFERROR((F643+G643*Settings!$B$13)*INDEX(Workers!$V$5:$V$2004,MATCH($D643,Workers!$A$5:$A$2004,0)),0))</f>
        <v>0</v>
      </c>
      <c r="T643" s="26" t="str">
        <f aca="false">IF($D643="","",O643-R643-S643)</f>
        <v/>
      </c>
    </row>
    <row r="644" customFormat="false" ht="15" hidden="false" customHeight="false" outlineLevel="0" collapsed="false">
      <c r="I644" s="24" t="str">
        <f aca="false">IF($D644="","",IFERROR(INDEX(Workers!$B$5:$B$2004,MATCH($D644,Workers!$A$5:$A$2004,0)),"NOT FOUND"))</f>
        <v/>
      </c>
      <c r="J644" s="24" t="str">
        <f aca="false">IF($D644="","",IFERROR(INDEX(Workers!$C$5:$C$2004,MATCH($D644,Workers!$A$5:$A$2004,0)),""))</f>
        <v/>
      </c>
      <c r="K644" s="24" t="str">
        <f aca="false">IF($D644="","",IFERROR(IF(INDEX(Workers!$D$5:$D$2004,MATCH($D644,Workers!$A$5:$A$2004,0))=0,"",INDEX(Workers!$D$5:$D$2004,MATCH($D644,Workers!$A$5:$A$2004,0))),""))</f>
        <v/>
      </c>
      <c r="L644" s="24" t="str">
        <f aca="false">IF($D644="","",IFERROR(INDEX(Workers!$E$5:$E$2004,MATCH($D644,Workers!$A$5:$A$2004,0)),""))</f>
        <v/>
      </c>
      <c r="M644" s="26" t="str">
        <f aca="false">IF($D644="","",IFERROR(INDEX(ClientRates!$D$5:$D$500,MATCH($B644&amp;"|"&amp;$L644,ClientRates!$A$5:$A$500,0)),0))</f>
        <v/>
      </c>
      <c r="N644" s="26" t="str">
        <f aca="false">IF($D644="","",IFERROR(INDEX(ClientRates!$E$5:$E$500,MATCH($B644&amp;"|"&amp;$L644,ClientRates!$A$5:$A$500,0)),0))</f>
        <v/>
      </c>
      <c r="O644" s="26" t="str">
        <f aca="false">IF($D644="","",F644*M644+G644*N644)</f>
        <v/>
      </c>
      <c r="P644" s="26" t="str">
        <f aca="false">IF(OR($D644="",$J644&lt;&gt;"Supplier"),"",IFERROR(INDEX(SupplierRates!$D$5:$D$500,MATCH($K644&amp;"|"&amp;$L644,SupplierRates!$A$5:$A$500,0)),0))</f>
        <v/>
      </c>
      <c r="Q644" s="26" t="str">
        <f aca="false">IF(OR($D644="",$J644&lt;&gt;"Supplier"),"",IFERROR(INDEX(SupplierRates!$E$5:$E$500,MATCH($K644&amp;"|"&amp;$L644,SupplierRates!$A$5:$A$500,0)),0))</f>
        <v/>
      </c>
      <c r="R644" s="26" t="n">
        <f aca="false">IF(OR($D644="",$J644&lt;&gt;"Supplier"),0,F644*P644+G644*Q644)</f>
        <v>0</v>
      </c>
      <c r="S644" s="26" t="n">
        <f aca="false">IF(OR($D644="",$J644&lt;&gt;"Own"),0,IFERROR((F644+G644*Settings!$B$13)*INDEX(Workers!$V$5:$V$2004,MATCH($D644,Workers!$A$5:$A$2004,0)),0))</f>
        <v>0</v>
      </c>
      <c r="T644" s="26" t="str">
        <f aca="false">IF($D644="","",O644-R644-S644)</f>
        <v/>
      </c>
    </row>
    <row r="645" customFormat="false" ht="15" hidden="false" customHeight="false" outlineLevel="0" collapsed="false">
      <c r="I645" s="24" t="str">
        <f aca="false">IF($D645="","",IFERROR(INDEX(Workers!$B$5:$B$2004,MATCH($D645,Workers!$A$5:$A$2004,0)),"NOT FOUND"))</f>
        <v/>
      </c>
      <c r="J645" s="24" t="str">
        <f aca="false">IF($D645="","",IFERROR(INDEX(Workers!$C$5:$C$2004,MATCH($D645,Workers!$A$5:$A$2004,0)),""))</f>
        <v/>
      </c>
      <c r="K645" s="24" t="str">
        <f aca="false">IF($D645="","",IFERROR(IF(INDEX(Workers!$D$5:$D$2004,MATCH($D645,Workers!$A$5:$A$2004,0))=0,"",INDEX(Workers!$D$5:$D$2004,MATCH($D645,Workers!$A$5:$A$2004,0))),""))</f>
        <v/>
      </c>
      <c r="L645" s="24" t="str">
        <f aca="false">IF($D645="","",IFERROR(INDEX(Workers!$E$5:$E$2004,MATCH($D645,Workers!$A$5:$A$2004,0)),""))</f>
        <v/>
      </c>
      <c r="M645" s="26" t="str">
        <f aca="false">IF($D645="","",IFERROR(INDEX(ClientRates!$D$5:$D$500,MATCH($B645&amp;"|"&amp;$L645,ClientRates!$A$5:$A$500,0)),0))</f>
        <v/>
      </c>
      <c r="N645" s="26" t="str">
        <f aca="false">IF($D645="","",IFERROR(INDEX(ClientRates!$E$5:$E$500,MATCH($B645&amp;"|"&amp;$L645,ClientRates!$A$5:$A$500,0)),0))</f>
        <v/>
      </c>
      <c r="O645" s="26" t="str">
        <f aca="false">IF($D645="","",F645*M645+G645*N645)</f>
        <v/>
      </c>
      <c r="P645" s="26" t="str">
        <f aca="false">IF(OR($D645="",$J645&lt;&gt;"Supplier"),"",IFERROR(INDEX(SupplierRates!$D$5:$D$500,MATCH($K645&amp;"|"&amp;$L645,SupplierRates!$A$5:$A$500,0)),0))</f>
        <v/>
      </c>
      <c r="Q645" s="26" t="str">
        <f aca="false">IF(OR($D645="",$J645&lt;&gt;"Supplier"),"",IFERROR(INDEX(SupplierRates!$E$5:$E$500,MATCH($K645&amp;"|"&amp;$L645,SupplierRates!$A$5:$A$500,0)),0))</f>
        <v/>
      </c>
      <c r="R645" s="26" t="n">
        <f aca="false">IF(OR($D645="",$J645&lt;&gt;"Supplier"),0,F645*P645+G645*Q645)</f>
        <v>0</v>
      </c>
      <c r="S645" s="26" t="n">
        <f aca="false">IF(OR($D645="",$J645&lt;&gt;"Own"),0,IFERROR((F645+G645*Settings!$B$13)*INDEX(Workers!$V$5:$V$2004,MATCH($D645,Workers!$A$5:$A$2004,0)),0))</f>
        <v>0</v>
      </c>
      <c r="T645" s="26" t="str">
        <f aca="false">IF($D645="","",O645-R645-S645)</f>
        <v/>
      </c>
    </row>
    <row r="646" customFormat="false" ht="15" hidden="false" customHeight="false" outlineLevel="0" collapsed="false">
      <c r="I646" s="24" t="str">
        <f aca="false">IF($D646="","",IFERROR(INDEX(Workers!$B$5:$B$2004,MATCH($D646,Workers!$A$5:$A$2004,0)),"NOT FOUND"))</f>
        <v/>
      </c>
      <c r="J646" s="24" t="str">
        <f aca="false">IF($D646="","",IFERROR(INDEX(Workers!$C$5:$C$2004,MATCH($D646,Workers!$A$5:$A$2004,0)),""))</f>
        <v/>
      </c>
      <c r="K646" s="24" t="str">
        <f aca="false">IF($D646="","",IFERROR(IF(INDEX(Workers!$D$5:$D$2004,MATCH($D646,Workers!$A$5:$A$2004,0))=0,"",INDEX(Workers!$D$5:$D$2004,MATCH($D646,Workers!$A$5:$A$2004,0))),""))</f>
        <v/>
      </c>
      <c r="L646" s="24" t="str">
        <f aca="false">IF($D646="","",IFERROR(INDEX(Workers!$E$5:$E$2004,MATCH($D646,Workers!$A$5:$A$2004,0)),""))</f>
        <v/>
      </c>
      <c r="M646" s="26" t="str">
        <f aca="false">IF($D646="","",IFERROR(INDEX(ClientRates!$D$5:$D$500,MATCH($B646&amp;"|"&amp;$L646,ClientRates!$A$5:$A$500,0)),0))</f>
        <v/>
      </c>
      <c r="N646" s="26" t="str">
        <f aca="false">IF($D646="","",IFERROR(INDEX(ClientRates!$E$5:$E$500,MATCH($B646&amp;"|"&amp;$L646,ClientRates!$A$5:$A$500,0)),0))</f>
        <v/>
      </c>
      <c r="O646" s="26" t="str">
        <f aca="false">IF($D646="","",F646*M646+G646*N646)</f>
        <v/>
      </c>
      <c r="P646" s="26" t="str">
        <f aca="false">IF(OR($D646="",$J646&lt;&gt;"Supplier"),"",IFERROR(INDEX(SupplierRates!$D$5:$D$500,MATCH($K646&amp;"|"&amp;$L646,SupplierRates!$A$5:$A$500,0)),0))</f>
        <v/>
      </c>
      <c r="Q646" s="26" t="str">
        <f aca="false">IF(OR($D646="",$J646&lt;&gt;"Supplier"),"",IFERROR(INDEX(SupplierRates!$E$5:$E$500,MATCH($K646&amp;"|"&amp;$L646,SupplierRates!$A$5:$A$500,0)),0))</f>
        <v/>
      </c>
      <c r="R646" s="26" t="n">
        <f aca="false">IF(OR($D646="",$J646&lt;&gt;"Supplier"),0,F646*P646+G646*Q646)</f>
        <v>0</v>
      </c>
      <c r="S646" s="26" t="n">
        <f aca="false">IF(OR($D646="",$J646&lt;&gt;"Own"),0,IFERROR((F646+G646*Settings!$B$13)*INDEX(Workers!$V$5:$V$2004,MATCH($D646,Workers!$A$5:$A$2004,0)),0))</f>
        <v>0</v>
      </c>
      <c r="T646" s="26" t="str">
        <f aca="false">IF($D646="","",O646-R646-S646)</f>
        <v/>
      </c>
    </row>
    <row r="647" customFormat="false" ht="15" hidden="false" customHeight="false" outlineLevel="0" collapsed="false">
      <c r="I647" s="24" t="str">
        <f aca="false">IF($D647="","",IFERROR(INDEX(Workers!$B$5:$B$2004,MATCH($D647,Workers!$A$5:$A$2004,0)),"NOT FOUND"))</f>
        <v/>
      </c>
      <c r="J647" s="24" t="str">
        <f aca="false">IF($D647="","",IFERROR(INDEX(Workers!$C$5:$C$2004,MATCH($D647,Workers!$A$5:$A$2004,0)),""))</f>
        <v/>
      </c>
      <c r="K647" s="24" t="str">
        <f aca="false">IF($D647="","",IFERROR(IF(INDEX(Workers!$D$5:$D$2004,MATCH($D647,Workers!$A$5:$A$2004,0))=0,"",INDEX(Workers!$D$5:$D$2004,MATCH($D647,Workers!$A$5:$A$2004,0))),""))</f>
        <v/>
      </c>
      <c r="L647" s="24" t="str">
        <f aca="false">IF($D647="","",IFERROR(INDEX(Workers!$E$5:$E$2004,MATCH($D647,Workers!$A$5:$A$2004,0)),""))</f>
        <v/>
      </c>
      <c r="M647" s="26" t="str">
        <f aca="false">IF($D647="","",IFERROR(INDEX(ClientRates!$D$5:$D$500,MATCH($B647&amp;"|"&amp;$L647,ClientRates!$A$5:$A$500,0)),0))</f>
        <v/>
      </c>
      <c r="N647" s="26" t="str">
        <f aca="false">IF($D647="","",IFERROR(INDEX(ClientRates!$E$5:$E$500,MATCH($B647&amp;"|"&amp;$L647,ClientRates!$A$5:$A$500,0)),0))</f>
        <v/>
      </c>
      <c r="O647" s="26" t="str">
        <f aca="false">IF($D647="","",F647*M647+G647*N647)</f>
        <v/>
      </c>
      <c r="P647" s="26" t="str">
        <f aca="false">IF(OR($D647="",$J647&lt;&gt;"Supplier"),"",IFERROR(INDEX(SupplierRates!$D$5:$D$500,MATCH($K647&amp;"|"&amp;$L647,SupplierRates!$A$5:$A$500,0)),0))</f>
        <v/>
      </c>
      <c r="Q647" s="26" t="str">
        <f aca="false">IF(OR($D647="",$J647&lt;&gt;"Supplier"),"",IFERROR(INDEX(SupplierRates!$E$5:$E$500,MATCH($K647&amp;"|"&amp;$L647,SupplierRates!$A$5:$A$500,0)),0))</f>
        <v/>
      </c>
      <c r="R647" s="26" t="n">
        <f aca="false">IF(OR($D647="",$J647&lt;&gt;"Supplier"),0,F647*P647+G647*Q647)</f>
        <v>0</v>
      </c>
      <c r="S647" s="26" t="n">
        <f aca="false">IF(OR($D647="",$J647&lt;&gt;"Own"),0,IFERROR((F647+G647*Settings!$B$13)*INDEX(Workers!$V$5:$V$2004,MATCH($D647,Workers!$A$5:$A$2004,0)),0))</f>
        <v>0</v>
      </c>
      <c r="T647" s="26" t="str">
        <f aca="false">IF($D647="","",O647-R647-S647)</f>
        <v/>
      </c>
    </row>
    <row r="648" customFormat="false" ht="15" hidden="false" customHeight="false" outlineLevel="0" collapsed="false">
      <c r="I648" s="24" t="str">
        <f aca="false">IF($D648="","",IFERROR(INDEX(Workers!$B$5:$B$2004,MATCH($D648,Workers!$A$5:$A$2004,0)),"NOT FOUND"))</f>
        <v/>
      </c>
      <c r="J648" s="24" t="str">
        <f aca="false">IF($D648="","",IFERROR(INDEX(Workers!$C$5:$C$2004,MATCH($D648,Workers!$A$5:$A$2004,0)),""))</f>
        <v/>
      </c>
      <c r="K648" s="24" t="str">
        <f aca="false">IF($D648="","",IFERROR(IF(INDEX(Workers!$D$5:$D$2004,MATCH($D648,Workers!$A$5:$A$2004,0))=0,"",INDEX(Workers!$D$5:$D$2004,MATCH($D648,Workers!$A$5:$A$2004,0))),""))</f>
        <v/>
      </c>
      <c r="L648" s="24" t="str">
        <f aca="false">IF($D648="","",IFERROR(INDEX(Workers!$E$5:$E$2004,MATCH($D648,Workers!$A$5:$A$2004,0)),""))</f>
        <v/>
      </c>
      <c r="M648" s="26" t="str">
        <f aca="false">IF($D648="","",IFERROR(INDEX(ClientRates!$D$5:$D$500,MATCH($B648&amp;"|"&amp;$L648,ClientRates!$A$5:$A$500,0)),0))</f>
        <v/>
      </c>
      <c r="N648" s="26" t="str">
        <f aca="false">IF($D648="","",IFERROR(INDEX(ClientRates!$E$5:$E$500,MATCH($B648&amp;"|"&amp;$L648,ClientRates!$A$5:$A$500,0)),0))</f>
        <v/>
      </c>
      <c r="O648" s="26" t="str">
        <f aca="false">IF($D648="","",F648*M648+G648*N648)</f>
        <v/>
      </c>
      <c r="P648" s="26" t="str">
        <f aca="false">IF(OR($D648="",$J648&lt;&gt;"Supplier"),"",IFERROR(INDEX(SupplierRates!$D$5:$D$500,MATCH($K648&amp;"|"&amp;$L648,SupplierRates!$A$5:$A$500,0)),0))</f>
        <v/>
      </c>
      <c r="Q648" s="26" t="str">
        <f aca="false">IF(OR($D648="",$J648&lt;&gt;"Supplier"),"",IFERROR(INDEX(SupplierRates!$E$5:$E$500,MATCH($K648&amp;"|"&amp;$L648,SupplierRates!$A$5:$A$500,0)),0))</f>
        <v/>
      </c>
      <c r="R648" s="26" t="n">
        <f aca="false">IF(OR($D648="",$J648&lt;&gt;"Supplier"),0,F648*P648+G648*Q648)</f>
        <v>0</v>
      </c>
      <c r="S648" s="26" t="n">
        <f aca="false">IF(OR($D648="",$J648&lt;&gt;"Own"),0,IFERROR((F648+G648*Settings!$B$13)*INDEX(Workers!$V$5:$V$2004,MATCH($D648,Workers!$A$5:$A$2004,0)),0))</f>
        <v>0</v>
      </c>
      <c r="T648" s="26" t="str">
        <f aca="false">IF($D648="","",O648-R648-S648)</f>
        <v/>
      </c>
    </row>
    <row r="649" customFormat="false" ht="15" hidden="false" customHeight="false" outlineLevel="0" collapsed="false">
      <c r="I649" s="24" t="str">
        <f aca="false">IF($D649="","",IFERROR(INDEX(Workers!$B$5:$B$2004,MATCH($D649,Workers!$A$5:$A$2004,0)),"NOT FOUND"))</f>
        <v/>
      </c>
      <c r="J649" s="24" t="str">
        <f aca="false">IF($D649="","",IFERROR(INDEX(Workers!$C$5:$C$2004,MATCH($D649,Workers!$A$5:$A$2004,0)),""))</f>
        <v/>
      </c>
      <c r="K649" s="24" t="str">
        <f aca="false">IF($D649="","",IFERROR(IF(INDEX(Workers!$D$5:$D$2004,MATCH($D649,Workers!$A$5:$A$2004,0))=0,"",INDEX(Workers!$D$5:$D$2004,MATCH($D649,Workers!$A$5:$A$2004,0))),""))</f>
        <v/>
      </c>
      <c r="L649" s="24" t="str">
        <f aca="false">IF($D649="","",IFERROR(INDEX(Workers!$E$5:$E$2004,MATCH($D649,Workers!$A$5:$A$2004,0)),""))</f>
        <v/>
      </c>
      <c r="M649" s="26" t="str">
        <f aca="false">IF($D649="","",IFERROR(INDEX(ClientRates!$D$5:$D$500,MATCH($B649&amp;"|"&amp;$L649,ClientRates!$A$5:$A$500,0)),0))</f>
        <v/>
      </c>
      <c r="N649" s="26" t="str">
        <f aca="false">IF($D649="","",IFERROR(INDEX(ClientRates!$E$5:$E$500,MATCH($B649&amp;"|"&amp;$L649,ClientRates!$A$5:$A$500,0)),0))</f>
        <v/>
      </c>
      <c r="O649" s="26" t="str">
        <f aca="false">IF($D649="","",F649*M649+G649*N649)</f>
        <v/>
      </c>
      <c r="P649" s="26" t="str">
        <f aca="false">IF(OR($D649="",$J649&lt;&gt;"Supplier"),"",IFERROR(INDEX(SupplierRates!$D$5:$D$500,MATCH($K649&amp;"|"&amp;$L649,SupplierRates!$A$5:$A$500,0)),0))</f>
        <v/>
      </c>
      <c r="Q649" s="26" t="str">
        <f aca="false">IF(OR($D649="",$J649&lt;&gt;"Supplier"),"",IFERROR(INDEX(SupplierRates!$E$5:$E$500,MATCH($K649&amp;"|"&amp;$L649,SupplierRates!$A$5:$A$500,0)),0))</f>
        <v/>
      </c>
      <c r="R649" s="26" t="n">
        <f aca="false">IF(OR($D649="",$J649&lt;&gt;"Supplier"),0,F649*P649+G649*Q649)</f>
        <v>0</v>
      </c>
      <c r="S649" s="26" t="n">
        <f aca="false">IF(OR($D649="",$J649&lt;&gt;"Own"),0,IFERROR((F649+G649*Settings!$B$13)*INDEX(Workers!$V$5:$V$2004,MATCH($D649,Workers!$A$5:$A$2004,0)),0))</f>
        <v>0</v>
      </c>
      <c r="T649" s="26" t="str">
        <f aca="false">IF($D649="","",O649-R649-S649)</f>
        <v/>
      </c>
    </row>
    <row r="650" customFormat="false" ht="15" hidden="false" customHeight="false" outlineLevel="0" collapsed="false">
      <c r="I650" s="24" t="str">
        <f aca="false">IF($D650="","",IFERROR(INDEX(Workers!$B$5:$B$2004,MATCH($D650,Workers!$A$5:$A$2004,0)),"NOT FOUND"))</f>
        <v/>
      </c>
      <c r="J650" s="24" t="str">
        <f aca="false">IF($D650="","",IFERROR(INDEX(Workers!$C$5:$C$2004,MATCH($D650,Workers!$A$5:$A$2004,0)),""))</f>
        <v/>
      </c>
      <c r="K650" s="24" t="str">
        <f aca="false">IF($D650="","",IFERROR(IF(INDEX(Workers!$D$5:$D$2004,MATCH($D650,Workers!$A$5:$A$2004,0))=0,"",INDEX(Workers!$D$5:$D$2004,MATCH($D650,Workers!$A$5:$A$2004,0))),""))</f>
        <v/>
      </c>
      <c r="L650" s="24" t="str">
        <f aca="false">IF($D650="","",IFERROR(INDEX(Workers!$E$5:$E$2004,MATCH($D650,Workers!$A$5:$A$2004,0)),""))</f>
        <v/>
      </c>
      <c r="M650" s="26" t="str">
        <f aca="false">IF($D650="","",IFERROR(INDEX(ClientRates!$D$5:$D$500,MATCH($B650&amp;"|"&amp;$L650,ClientRates!$A$5:$A$500,0)),0))</f>
        <v/>
      </c>
      <c r="N650" s="26" t="str">
        <f aca="false">IF($D650="","",IFERROR(INDEX(ClientRates!$E$5:$E$500,MATCH($B650&amp;"|"&amp;$L650,ClientRates!$A$5:$A$500,0)),0))</f>
        <v/>
      </c>
      <c r="O650" s="26" t="str">
        <f aca="false">IF($D650="","",F650*M650+G650*N650)</f>
        <v/>
      </c>
      <c r="P650" s="26" t="str">
        <f aca="false">IF(OR($D650="",$J650&lt;&gt;"Supplier"),"",IFERROR(INDEX(SupplierRates!$D$5:$D$500,MATCH($K650&amp;"|"&amp;$L650,SupplierRates!$A$5:$A$500,0)),0))</f>
        <v/>
      </c>
      <c r="Q650" s="26" t="str">
        <f aca="false">IF(OR($D650="",$J650&lt;&gt;"Supplier"),"",IFERROR(INDEX(SupplierRates!$E$5:$E$500,MATCH($K650&amp;"|"&amp;$L650,SupplierRates!$A$5:$A$500,0)),0))</f>
        <v/>
      </c>
      <c r="R650" s="26" t="n">
        <f aca="false">IF(OR($D650="",$J650&lt;&gt;"Supplier"),0,F650*P650+G650*Q650)</f>
        <v>0</v>
      </c>
      <c r="S650" s="26" t="n">
        <f aca="false">IF(OR($D650="",$J650&lt;&gt;"Own"),0,IFERROR((F650+G650*Settings!$B$13)*INDEX(Workers!$V$5:$V$2004,MATCH($D650,Workers!$A$5:$A$2004,0)),0))</f>
        <v>0</v>
      </c>
      <c r="T650" s="26" t="str">
        <f aca="false">IF($D650="","",O650-R650-S650)</f>
        <v/>
      </c>
    </row>
    <row r="651" customFormat="false" ht="15" hidden="false" customHeight="false" outlineLevel="0" collapsed="false">
      <c r="I651" s="24" t="str">
        <f aca="false">IF($D651="","",IFERROR(INDEX(Workers!$B$5:$B$2004,MATCH($D651,Workers!$A$5:$A$2004,0)),"NOT FOUND"))</f>
        <v/>
      </c>
      <c r="J651" s="24" t="str">
        <f aca="false">IF($D651="","",IFERROR(INDEX(Workers!$C$5:$C$2004,MATCH($D651,Workers!$A$5:$A$2004,0)),""))</f>
        <v/>
      </c>
      <c r="K651" s="24" t="str">
        <f aca="false">IF($D651="","",IFERROR(IF(INDEX(Workers!$D$5:$D$2004,MATCH($D651,Workers!$A$5:$A$2004,0))=0,"",INDEX(Workers!$D$5:$D$2004,MATCH($D651,Workers!$A$5:$A$2004,0))),""))</f>
        <v/>
      </c>
      <c r="L651" s="24" t="str">
        <f aca="false">IF($D651="","",IFERROR(INDEX(Workers!$E$5:$E$2004,MATCH($D651,Workers!$A$5:$A$2004,0)),""))</f>
        <v/>
      </c>
      <c r="M651" s="26" t="str">
        <f aca="false">IF($D651="","",IFERROR(INDEX(ClientRates!$D$5:$D$500,MATCH($B651&amp;"|"&amp;$L651,ClientRates!$A$5:$A$500,0)),0))</f>
        <v/>
      </c>
      <c r="N651" s="26" t="str">
        <f aca="false">IF($D651="","",IFERROR(INDEX(ClientRates!$E$5:$E$500,MATCH($B651&amp;"|"&amp;$L651,ClientRates!$A$5:$A$500,0)),0))</f>
        <v/>
      </c>
      <c r="O651" s="26" t="str">
        <f aca="false">IF($D651="","",F651*M651+G651*N651)</f>
        <v/>
      </c>
      <c r="P651" s="26" t="str">
        <f aca="false">IF(OR($D651="",$J651&lt;&gt;"Supplier"),"",IFERROR(INDEX(SupplierRates!$D$5:$D$500,MATCH($K651&amp;"|"&amp;$L651,SupplierRates!$A$5:$A$500,0)),0))</f>
        <v/>
      </c>
      <c r="Q651" s="26" t="str">
        <f aca="false">IF(OR($D651="",$J651&lt;&gt;"Supplier"),"",IFERROR(INDEX(SupplierRates!$E$5:$E$500,MATCH($K651&amp;"|"&amp;$L651,SupplierRates!$A$5:$A$500,0)),0))</f>
        <v/>
      </c>
      <c r="R651" s="26" t="n">
        <f aca="false">IF(OR($D651="",$J651&lt;&gt;"Supplier"),0,F651*P651+G651*Q651)</f>
        <v>0</v>
      </c>
      <c r="S651" s="26" t="n">
        <f aca="false">IF(OR($D651="",$J651&lt;&gt;"Own"),0,IFERROR((F651+G651*Settings!$B$13)*INDEX(Workers!$V$5:$V$2004,MATCH($D651,Workers!$A$5:$A$2004,0)),0))</f>
        <v>0</v>
      </c>
      <c r="T651" s="26" t="str">
        <f aca="false">IF($D651="","",O651-R651-S651)</f>
        <v/>
      </c>
    </row>
    <row r="652" customFormat="false" ht="15" hidden="false" customHeight="false" outlineLevel="0" collapsed="false">
      <c r="I652" s="24" t="str">
        <f aca="false">IF($D652="","",IFERROR(INDEX(Workers!$B$5:$B$2004,MATCH($D652,Workers!$A$5:$A$2004,0)),"NOT FOUND"))</f>
        <v/>
      </c>
      <c r="J652" s="24" t="str">
        <f aca="false">IF($D652="","",IFERROR(INDEX(Workers!$C$5:$C$2004,MATCH($D652,Workers!$A$5:$A$2004,0)),""))</f>
        <v/>
      </c>
      <c r="K652" s="24" t="str">
        <f aca="false">IF($D652="","",IFERROR(IF(INDEX(Workers!$D$5:$D$2004,MATCH($D652,Workers!$A$5:$A$2004,0))=0,"",INDEX(Workers!$D$5:$D$2004,MATCH($D652,Workers!$A$5:$A$2004,0))),""))</f>
        <v/>
      </c>
      <c r="L652" s="24" t="str">
        <f aca="false">IF($D652="","",IFERROR(INDEX(Workers!$E$5:$E$2004,MATCH($D652,Workers!$A$5:$A$2004,0)),""))</f>
        <v/>
      </c>
      <c r="M652" s="26" t="str">
        <f aca="false">IF($D652="","",IFERROR(INDEX(ClientRates!$D$5:$D$500,MATCH($B652&amp;"|"&amp;$L652,ClientRates!$A$5:$A$500,0)),0))</f>
        <v/>
      </c>
      <c r="N652" s="26" t="str">
        <f aca="false">IF($D652="","",IFERROR(INDEX(ClientRates!$E$5:$E$500,MATCH($B652&amp;"|"&amp;$L652,ClientRates!$A$5:$A$500,0)),0))</f>
        <v/>
      </c>
      <c r="O652" s="26" t="str">
        <f aca="false">IF($D652="","",F652*M652+G652*N652)</f>
        <v/>
      </c>
      <c r="P652" s="26" t="str">
        <f aca="false">IF(OR($D652="",$J652&lt;&gt;"Supplier"),"",IFERROR(INDEX(SupplierRates!$D$5:$D$500,MATCH($K652&amp;"|"&amp;$L652,SupplierRates!$A$5:$A$500,0)),0))</f>
        <v/>
      </c>
      <c r="Q652" s="26" t="str">
        <f aca="false">IF(OR($D652="",$J652&lt;&gt;"Supplier"),"",IFERROR(INDEX(SupplierRates!$E$5:$E$500,MATCH($K652&amp;"|"&amp;$L652,SupplierRates!$A$5:$A$500,0)),0))</f>
        <v/>
      </c>
      <c r="R652" s="26" t="n">
        <f aca="false">IF(OR($D652="",$J652&lt;&gt;"Supplier"),0,F652*P652+G652*Q652)</f>
        <v>0</v>
      </c>
      <c r="S652" s="26" t="n">
        <f aca="false">IF(OR($D652="",$J652&lt;&gt;"Own"),0,IFERROR((F652+G652*Settings!$B$13)*INDEX(Workers!$V$5:$V$2004,MATCH($D652,Workers!$A$5:$A$2004,0)),0))</f>
        <v>0</v>
      </c>
      <c r="T652" s="26" t="str">
        <f aca="false">IF($D652="","",O652-R652-S652)</f>
        <v/>
      </c>
    </row>
    <row r="653" customFormat="false" ht="15" hidden="false" customHeight="false" outlineLevel="0" collapsed="false">
      <c r="I653" s="24" t="str">
        <f aca="false">IF($D653="","",IFERROR(INDEX(Workers!$B$5:$B$2004,MATCH($D653,Workers!$A$5:$A$2004,0)),"NOT FOUND"))</f>
        <v/>
      </c>
      <c r="J653" s="24" t="str">
        <f aca="false">IF($D653="","",IFERROR(INDEX(Workers!$C$5:$C$2004,MATCH($D653,Workers!$A$5:$A$2004,0)),""))</f>
        <v/>
      </c>
      <c r="K653" s="24" t="str">
        <f aca="false">IF($D653="","",IFERROR(IF(INDEX(Workers!$D$5:$D$2004,MATCH($D653,Workers!$A$5:$A$2004,0))=0,"",INDEX(Workers!$D$5:$D$2004,MATCH($D653,Workers!$A$5:$A$2004,0))),""))</f>
        <v/>
      </c>
      <c r="L653" s="24" t="str">
        <f aca="false">IF($D653="","",IFERROR(INDEX(Workers!$E$5:$E$2004,MATCH($D653,Workers!$A$5:$A$2004,0)),""))</f>
        <v/>
      </c>
      <c r="M653" s="26" t="str">
        <f aca="false">IF($D653="","",IFERROR(INDEX(ClientRates!$D$5:$D$500,MATCH($B653&amp;"|"&amp;$L653,ClientRates!$A$5:$A$500,0)),0))</f>
        <v/>
      </c>
      <c r="N653" s="26" t="str">
        <f aca="false">IF($D653="","",IFERROR(INDEX(ClientRates!$E$5:$E$500,MATCH($B653&amp;"|"&amp;$L653,ClientRates!$A$5:$A$500,0)),0))</f>
        <v/>
      </c>
      <c r="O653" s="26" t="str">
        <f aca="false">IF($D653="","",F653*M653+G653*N653)</f>
        <v/>
      </c>
      <c r="P653" s="26" t="str">
        <f aca="false">IF(OR($D653="",$J653&lt;&gt;"Supplier"),"",IFERROR(INDEX(SupplierRates!$D$5:$D$500,MATCH($K653&amp;"|"&amp;$L653,SupplierRates!$A$5:$A$500,0)),0))</f>
        <v/>
      </c>
      <c r="Q653" s="26" t="str">
        <f aca="false">IF(OR($D653="",$J653&lt;&gt;"Supplier"),"",IFERROR(INDEX(SupplierRates!$E$5:$E$500,MATCH($K653&amp;"|"&amp;$L653,SupplierRates!$A$5:$A$500,0)),0))</f>
        <v/>
      </c>
      <c r="R653" s="26" t="n">
        <f aca="false">IF(OR($D653="",$J653&lt;&gt;"Supplier"),0,F653*P653+G653*Q653)</f>
        <v>0</v>
      </c>
      <c r="S653" s="26" t="n">
        <f aca="false">IF(OR($D653="",$J653&lt;&gt;"Own"),0,IFERROR((F653+G653*Settings!$B$13)*INDEX(Workers!$V$5:$V$2004,MATCH($D653,Workers!$A$5:$A$2004,0)),0))</f>
        <v>0</v>
      </c>
      <c r="T653" s="26" t="str">
        <f aca="false">IF($D653="","",O653-R653-S653)</f>
        <v/>
      </c>
    </row>
    <row r="654" customFormat="false" ht="15" hidden="false" customHeight="false" outlineLevel="0" collapsed="false">
      <c r="I654" s="24" t="str">
        <f aca="false">IF($D654="","",IFERROR(INDEX(Workers!$B$5:$B$2004,MATCH($D654,Workers!$A$5:$A$2004,0)),"NOT FOUND"))</f>
        <v/>
      </c>
      <c r="J654" s="24" t="str">
        <f aca="false">IF($D654="","",IFERROR(INDEX(Workers!$C$5:$C$2004,MATCH($D654,Workers!$A$5:$A$2004,0)),""))</f>
        <v/>
      </c>
      <c r="K654" s="24" t="str">
        <f aca="false">IF($D654="","",IFERROR(IF(INDEX(Workers!$D$5:$D$2004,MATCH($D654,Workers!$A$5:$A$2004,0))=0,"",INDEX(Workers!$D$5:$D$2004,MATCH($D654,Workers!$A$5:$A$2004,0))),""))</f>
        <v/>
      </c>
      <c r="L654" s="24" t="str">
        <f aca="false">IF($D654="","",IFERROR(INDEX(Workers!$E$5:$E$2004,MATCH($D654,Workers!$A$5:$A$2004,0)),""))</f>
        <v/>
      </c>
      <c r="M654" s="26" t="str">
        <f aca="false">IF($D654="","",IFERROR(INDEX(ClientRates!$D$5:$D$500,MATCH($B654&amp;"|"&amp;$L654,ClientRates!$A$5:$A$500,0)),0))</f>
        <v/>
      </c>
      <c r="N654" s="26" t="str">
        <f aca="false">IF($D654="","",IFERROR(INDEX(ClientRates!$E$5:$E$500,MATCH($B654&amp;"|"&amp;$L654,ClientRates!$A$5:$A$500,0)),0))</f>
        <v/>
      </c>
      <c r="O654" s="26" t="str">
        <f aca="false">IF($D654="","",F654*M654+G654*N654)</f>
        <v/>
      </c>
      <c r="P654" s="26" t="str">
        <f aca="false">IF(OR($D654="",$J654&lt;&gt;"Supplier"),"",IFERROR(INDEX(SupplierRates!$D$5:$D$500,MATCH($K654&amp;"|"&amp;$L654,SupplierRates!$A$5:$A$500,0)),0))</f>
        <v/>
      </c>
      <c r="Q654" s="26" t="str">
        <f aca="false">IF(OR($D654="",$J654&lt;&gt;"Supplier"),"",IFERROR(INDEX(SupplierRates!$E$5:$E$500,MATCH($K654&amp;"|"&amp;$L654,SupplierRates!$A$5:$A$500,0)),0))</f>
        <v/>
      </c>
      <c r="R654" s="26" t="n">
        <f aca="false">IF(OR($D654="",$J654&lt;&gt;"Supplier"),0,F654*P654+G654*Q654)</f>
        <v>0</v>
      </c>
      <c r="S654" s="26" t="n">
        <f aca="false">IF(OR($D654="",$J654&lt;&gt;"Own"),0,IFERROR((F654+G654*Settings!$B$13)*INDEX(Workers!$V$5:$V$2004,MATCH($D654,Workers!$A$5:$A$2004,0)),0))</f>
        <v>0</v>
      </c>
      <c r="T654" s="26" t="str">
        <f aca="false">IF($D654="","",O654-R654-S654)</f>
        <v/>
      </c>
    </row>
    <row r="655" customFormat="false" ht="15" hidden="false" customHeight="false" outlineLevel="0" collapsed="false">
      <c r="I655" s="24" t="str">
        <f aca="false">IF($D655="","",IFERROR(INDEX(Workers!$B$5:$B$2004,MATCH($D655,Workers!$A$5:$A$2004,0)),"NOT FOUND"))</f>
        <v/>
      </c>
      <c r="J655" s="24" t="str">
        <f aca="false">IF($D655="","",IFERROR(INDEX(Workers!$C$5:$C$2004,MATCH($D655,Workers!$A$5:$A$2004,0)),""))</f>
        <v/>
      </c>
      <c r="K655" s="24" t="str">
        <f aca="false">IF($D655="","",IFERROR(IF(INDEX(Workers!$D$5:$D$2004,MATCH($D655,Workers!$A$5:$A$2004,0))=0,"",INDEX(Workers!$D$5:$D$2004,MATCH($D655,Workers!$A$5:$A$2004,0))),""))</f>
        <v/>
      </c>
      <c r="L655" s="24" t="str">
        <f aca="false">IF($D655="","",IFERROR(INDEX(Workers!$E$5:$E$2004,MATCH($D655,Workers!$A$5:$A$2004,0)),""))</f>
        <v/>
      </c>
      <c r="M655" s="26" t="str">
        <f aca="false">IF($D655="","",IFERROR(INDEX(ClientRates!$D$5:$D$500,MATCH($B655&amp;"|"&amp;$L655,ClientRates!$A$5:$A$500,0)),0))</f>
        <v/>
      </c>
      <c r="N655" s="26" t="str">
        <f aca="false">IF($D655="","",IFERROR(INDEX(ClientRates!$E$5:$E$500,MATCH($B655&amp;"|"&amp;$L655,ClientRates!$A$5:$A$500,0)),0))</f>
        <v/>
      </c>
      <c r="O655" s="26" t="str">
        <f aca="false">IF($D655="","",F655*M655+G655*N655)</f>
        <v/>
      </c>
      <c r="P655" s="26" t="str">
        <f aca="false">IF(OR($D655="",$J655&lt;&gt;"Supplier"),"",IFERROR(INDEX(SupplierRates!$D$5:$D$500,MATCH($K655&amp;"|"&amp;$L655,SupplierRates!$A$5:$A$500,0)),0))</f>
        <v/>
      </c>
      <c r="Q655" s="26" t="str">
        <f aca="false">IF(OR($D655="",$J655&lt;&gt;"Supplier"),"",IFERROR(INDEX(SupplierRates!$E$5:$E$500,MATCH($K655&amp;"|"&amp;$L655,SupplierRates!$A$5:$A$500,0)),0))</f>
        <v/>
      </c>
      <c r="R655" s="26" t="n">
        <f aca="false">IF(OR($D655="",$J655&lt;&gt;"Supplier"),0,F655*P655+G655*Q655)</f>
        <v>0</v>
      </c>
      <c r="S655" s="26" t="n">
        <f aca="false">IF(OR($D655="",$J655&lt;&gt;"Own"),0,IFERROR((F655+G655*Settings!$B$13)*INDEX(Workers!$V$5:$V$2004,MATCH($D655,Workers!$A$5:$A$2004,0)),0))</f>
        <v>0</v>
      </c>
      <c r="T655" s="26" t="str">
        <f aca="false">IF($D655="","",O655-R655-S655)</f>
        <v/>
      </c>
    </row>
    <row r="656" customFormat="false" ht="15" hidden="false" customHeight="false" outlineLevel="0" collapsed="false">
      <c r="I656" s="24" t="str">
        <f aca="false">IF($D656="","",IFERROR(INDEX(Workers!$B$5:$B$2004,MATCH($D656,Workers!$A$5:$A$2004,0)),"NOT FOUND"))</f>
        <v/>
      </c>
      <c r="J656" s="24" t="str">
        <f aca="false">IF($D656="","",IFERROR(INDEX(Workers!$C$5:$C$2004,MATCH($D656,Workers!$A$5:$A$2004,0)),""))</f>
        <v/>
      </c>
      <c r="K656" s="24" t="str">
        <f aca="false">IF($D656="","",IFERROR(IF(INDEX(Workers!$D$5:$D$2004,MATCH($D656,Workers!$A$5:$A$2004,0))=0,"",INDEX(Workers!$D$5:$D$2004,MATCH($D656,Workers!$A$5:$A$2004,0))),""))</f>
        <v/>
      </c>
      <c r="L656" s="24" t="str">
        <f aca="false">IF($D656="","",IFERROR(INDEX(Workers!$E$5:$E$2004,MATCH($D656,Workers!$A$5:$A$2004,0)),""))</f>
        <v/>
      </c>
      <c r="M656" s="26" t="str">
        <f aca="false">IF($D656="","",IFERROR(INDEX(ClientRates!$D$5:$D$500,MATCH($B656&amp;"|"&amp;$L656,ClientRates!$A$5:$A$500,0)),0))</f>
        <v/>
      </c>
      <c r="N656" s="26" t="str">
        <f aca="false">IF($D656="","",IFERROR(INDEX(ClientRates!$E$5:$E$500,MATCH($B656&amp;"|"&amp;$L656,ClientRates!$A$5:$A$500,0)),0))</f>
        <v/>
      </c>
      <c r="O656" s="26" t="str">
        <f aca="false">IF($D656="","",F656*M656+G656*N656)</f>
        <v/>
      </c>
      <c r="P656" s="26" t="str">
        <f aca="false">IF(OR($D656="",$J656&lt;&gt;"Supplier"),"",IFERROR(INDEX(SupplierRates!$D$5:$D$500,MATCH($K656&amp;"|"&amp;$L656,SupplierRates!$A$5:$A$500,0)),0))</f>
        <v/>
      </c>
      <c r="Q656" s="26" t="str">
        <f aca="false">IF(OR($D656="",$J656&lt;&gt;"Supplier"),"",IFERROR(INDEX(SupplierRates!$E$5:$E$500,MATCH($K656&amp;"|"&amp;$L656,SupplierRates!$A$5:$A$500,0)),0))</f>
        <v/>
      </c>
      <c r="R656" s="26" t="n">
        <f aca="false">IF(OR($D656="",$J656&lt;&gt;"Supplier"),0,F656*P656+G656*Q656)</f>
        <v>0</v>
      </c>
      <c r="S656" s="26" t="n">
        <f aca="false">IF(OR($D656="",$J656&lt;&gt;"Own"),0,IFERROR((F656+G656*Settings!$B$13)*INDEX(Workers!$V$5:$V$2004,MATCH($D656,Workers!$A$5:$A$2004,0)),0))</f>
        <v>0</v>
      </c>
      <c r="T656" s="26" t="str">
        <f aca="false">IF($D656="","",O656-R656-S656)</f>
        <v/>
      </c>
    </row>
    <row r="657" customFormat="false" ht="15" hidden="false" customHeight="false" outlineLevel="0" collapsed="false">
      <c r="I657" s="24" t="str">
        <f aca="false">IF($D657="","",IFERROR(INDEX(Workers!$B$5:$B$2004,MATCH($D657,Workers!$A$5:$A$2004,0)),"NOT FOUND"))</f>
        <v/>
      </c>
      <c r="J657" s="24" t="str">
        <f aca="false">IF($D657="","",IFERROR(INDEX(Workers!$C$5:$C$2004,MATCH($D657,Workers!$A$5:$A$2004,0)),""))</f>
        <v/>
      </c>
      <c r="K657" s="24" t="str">
        <f aca="false">IF($D657="","",IFERROR(IF(INDEX(Workers!$D$5:$D$2004,MATCH($D657,Workers!$A$5:$A$2004,0))=0,"",INDEX(Workers!$D$5:$D$2004,MATCH($D657,Workers!$A$5:$A$2004,0))),""))</f>
        <v/>
      </c>
      <c r="L657" s="24" t="str">
        <f aca="false">IF($D657="","",IFERROR(INDEX(Workers!$E$5:$E$2004,MATCH($D657,Workers!$A$5:$A$2004,0)),""))</f>
        <v/>
      </c>
      <c r="M657" s="26" t="str">
        <f aca="false">IF($D657="","",IFERROR(INDEX(ClientRates!$D$5:$D$500,MATCH($B657&amp;"|"&amp;$L657,ClientRates!$A$5:$A$500,0)),0))</f>
        <v/>
      </c>
      <c r="N657" s="26" t="str">
        <f aca="false">IF($D657="","",IFERROR(INDEX(ClientRates!$E$5:$E$500,MATCH($B657&amp;"|"&amp;$L657,ClientRates!$A$5:$A$500,0)),0))</f>
        <v/>
      </c>
      <c r="O657" s="26" t="str">
        <f aca="false">IF($D657="","",F657*M657+G657*N657)</f>
        <v/>
      </c>
      <c r="P657" s="26" t="str">
        <f aca="false">IF(OR($D657="",$J657&lt;&gt;"Supplier"),"",IFERROR(INDEX(SupplierRates!$D$5:$D$500,MATCH($K657&amp;"|"&amp;$L657,SupplierRates!$A$5:$A$500,0)),0))</f>
        <v/>
      </c>
      <c r="Q657" s="26" t="str">
        <f aca="false">IF(OR($D657="",$J657&lt;&gt;"Supplier"),"",IFERROR(INDEX(SupplierRates!$E$5:$E$500,MATCH($K657&amp;"|"&amp;$L657,SupplierRates!$A$5:$A$500,0)),0))</f>
        <v/>
      </c>
      <c r="R657" s="26" t="n">
        <f aca="false">IF(OR($D657="",$J657&lt;&gt;"Supplier"),0,F657*P657+G657*Q657)</f>
        <v>0</v>
      </c>
      <c r="S657" s="26" t="n">
        <f aca="false">IF(OR($D657="",$J657&lt;&gt;"Own"),0,IFERROR((F657+G657*Settings!$B$13)*INDEX(Workers!$V$5:$V$2004,MATCH($D657,Workers!$A$5:$A$2004,0)),0))</f>
        <v>0</v>
      </c>
      <c r="T657" s="26" t="str">
        <f aca="false">IF($D657="","",O657-R657-S657)</f>
        <v/>
      </c>
    </row>
    <row r="658" customFormat="false" ht="15" hidden="false" customHeight="false" outlineLevel="0" collapsed="false">
      <c r="I658" s="24" t="str">
        <f aca="false">IF($D658="","",IFERROR(INDEX(Workers!$B$5:$B$2004,MATCH($D658,Workers!$A$5:$A$2004,0)),"NOT FOUND"))</f>
        <v/>
      </c>
      <c r="J658" s="24" t="str">
        <f aca="false">IF($D658="","",IFERROR(INDEX(Workers!$C$5:$C$2004,MATCH($D658,Workers!$A$5:$A$2004,0)),""))</f>
        <v/>
      </c>
      <c r="K658" s="24" t="str">
        <f aca="false">IF($D658="","",IFERROR(IF(INDEX(Workers!$D$5:$D$2004,MATCH($D658,Workers!$A$5:$A$2004,0))=0,"",INDEX(Workers!$D$5:$D$2004,MATCH($D658,Workers!$A$5:$A$2004,0))),""))</f>
        <v/>
      </c>
      <c r="L658" s="24" t="str">
        <f aca="false">IF($D658="","",IFERROR(INDEX(Workers!$E$5:$E$2004,MATCH($D658,Workers!$A$5:$A$2004,0)),""))</f>
        <v/>
      </c>
      <c r="M658" s="26" t="str">
        <f aca="false">IF($D658="","",IFERROR(INDEX(ClientRates!$D$5:$D$500,MATCH($B658&amp;"|"&amp;$L658,ClientRates!$A$5:$A$500,0)),0))</f>
        <v/>
      </c>
      <c r="N658" s="26" t="str">
        <f aca="false">IF($D658="","",IFERROR(INDEX(ClientRates!$E$5:$E$500,MATCH($B658&amp;"|"&amp;$L658,ClientRates!$A$5:$A$500,0)),0))</f>
        <v/>
      </c>
      <c r="O658" s="26" t="str">
        <f aca="false">IF($D658="","",F658*M658+G658*N658)</f>
        <v/>
      </c>
      <c r="P658" s="26" t="str">
        <f aca="false">IF(OR($D658="",$J658&lt;&gt;"Supplier"),"",IFERROR(INDEX(SupplierRates!$D$5:$D$500,MATCH($K658&amp;"|"&amp;$L658,SupplierRates!$A$5:$A$500,0)),0))</f>
        <v/>
      </c>
      <c r="Q658" s="26" t="str">
        <f aca="false">IF(OR($D658="",$J658&lt;&gt;"Supplier"),"",IFERROR(INDEX(SupplierRates!$E$5:$E$500,MATCH($K658&amp;"|"&amp;$L658,SupplierRates!$A$5:$A$500,0)),0))</f>
        <v/>
      </c>
      <c r="R658" s="26" t="n">
        <f aca="false">IF(OR($D658="",$J658&lt;&gt;"Supplier"),0,F658*P658+G658*Q658)</f>
        <v>0</v>
      </c>
      <c r="S658" s="26" t="n">
        <f aca="false">IF(OR($D658="",$J658&lt;&gt;"Own"),0,IFERROR((F658+G658*Settings!$B$13)*INDEX(Workers!$V$5:$V$2004,MATCH($D658,Workers!$A$5:$A$2004,0)),0))</f>
        <v>0</v>
      </c>
      <c r="T658" s="26" t="str">
        <f aca="false">IF($D658="","",O658-R658-S658)</f>
        <v/>
      </c>
    </row>
    <row r="659" customFormat="false" ht="15" hidden="false" customHeight="false" outlineLevel="0" collapsed="false">
      <c r="I659" s="24" t="str">
        <f aca="false">IF($D659="","",IFERROR(INDEX(Workers!$B$5:$B$2004,MATCH($D659,Workers!$A$5:$A$2004,0)),"NOT FOUND"))</f>
        <v/>
      </c>
      <c r="J659" s="24" t="str">
        <f aca="false">IF($D659="","",IFERROR(INDEX(Workers!$C$5:$C$2004,MATCH($D659,Workers!$A$5:$A$2004,0)),""))</f>
        <v/>
      </c>
      <c r="K659" s="24" t="str">
        <f aca="false">IF($D659="","",IFERROR(IF(INDEX(Workers!$D$5:$D$2004,MATCH($D659,Workers!$A$5:$A$2004,0))=0,"",INDEX(Workers!$D$5:$D$2004,MATCH($D659,Workers!$A$5:$A$2004,0))),""))</f>
        <v/>
      </c>
      <c r="L659" s="24" t="str">
        <f aca="false">IF($D659="","",IFERROR(INDEX(Workers!$E$5:$E$2004,MATCH($D659,Workers!$A$5:$A$2004,0)),""))</f>
        <v/>
      </c>
      <c r="M659" s="26" t="str">
        <f aca="false">IF($D659="","",IFERROR(INDEX(ClientRates!$D$5:$D$500,MATCH($B659&amp;"|"&amp;$L659,ClientRates!$A$5:$A$500,0)),0))</f>
        <v/>
      </c>
      <c r="N659" s="26" t="str">
        <f aca="false">IF($D659="","",IFERROR(INDEX(ClientRates!$E$5:$E$500,MATCH($B659&amp;"|"&amp;$L659,ClientRates!$A$5:$A$500,0)),0))</f>
        <v/>
      </c>
      <c r="O659" s="26" t="str">
        <f aca="false">IF($D659="","",F659*M659+G659*N659)</f>
        <v/>
      </c>
      <c r="P659" s="26" t="str">
        <f aca="false">IF(OR($D659="",$J659&lt;&gt;"Supplier"),"",IFERROR(INDEX(SupplierRates!$D$5:$D$500,MATCH($K659&amp;"|"&amp;$L659,SupplierRates!$A$5:$A$500,0)),0))</f>
        <v/>
      </c>
      <c r="Q659" s="26" t="str">
        <f aca="false">IF(OR($D659="",$J659&lt;&gt;"Supplier"),"",IFERROR(INDEX(SupplierRates!$E$5:$E$500,MATCH($K659&amp;"|"&amp;$L659,SupplierRates!$A$5:$A$500,0)),0))</f>
        <v/>
      </c>
      <c r="R659" s="26" t="n">
        <f aca="false">IF(OR($D659="",$J659&lt;&gt;"Supplier"),0,F659*P659+G659*Q659)</f>
        <v>0</v>
      </c>
      <c r="S659" s="26" t="n">
        <f aca="false">IF(OR($D659="",$J659&lt;&gt;"Own"),0,IFERROR((F659+G659*Settings!$B$13)*INDEX(Workers!$V$5:$V$2004,MATCH($D659,Workers!$A$5:$A$2004,0)),0))</f>
        <v>0</v>
      </c>
      <c r="T659" s="26" t="str">
        <f aca="false">IF($D659="","",O659-R659-S659)</f>
        <v/>
      </c>
    </row>
    <row r="660" customFormat="false" ht="15" hidden="false" customHeight="false" outlineLevel="0" collapsed="false">
      <c r="I660" s="24" t="str">
        <f aca="false">IF($D660="","",IFERROR(INDEX(Workers!$B$5:$B$2004,MATCH($D660,Workers!$A$5:$A$2004,0)),"NOT FOUND"))</f>
        <v/>
      </c>
      <c r="J660" s="24" t="str">
        <f aca="false">IF($D660="","",IFERROR(INDEX(Workers!$C$5:$C$2004,MATCH($D660,Workers!$A$5:$A$2004,0)),""))</f>
        <v/>
      </c>
      <c r="K660" s="24" t="str">
        <f aca="false">IF($D660="","",IFERROR(IF(INDEX(Workers!$D$5:$D$2004,MATCH($D660,Workers!$A$5:$A$2004,0))=0,"",INDEX(Workers!$D$5:$D$2004,MATCH($D660,Workers!$A$5:$A$2004,0))),""))</f>
        <v/>
      </c>
      <c r="L660" s="24" t="str">
        <f aca="false">IF($D660="","",IFERROR(INDEX(Workers!$E$5:$E$2004,MATCH($D660,Workers!$A$5:$A$2004,0)),""))</f>
        <v/>
      </c>
      <c r="M660" s="26" t="str">
        <f aca="false">IF($D660="","",IFERROR(INDEX(ClientRates!$D$5:$D$500,MATCH($B660&amp;"|"&amp;$L660,ClientRates!$A$5:$A$500,0)),0))</f>
        <v/>
      </c>
      <c r="N660" s="26" t="str">
        <f aca="false">IF($D660="","",IFERROR(INDEX(ClientRates!$E$5:$E$500,MATCH($B660&amp;"|"&amp;$L660,ClientRates!$A$5:$A$500,0)),0))</f>
        <v/>
      </c>
      <c r="O660" s="26" t="str">
        <f aca="false">IF($D660="","",F660*M660+G660*N660)</f>
        <v/>
      </c>
      <c r="P660" s="26" t="str">
        <f aca="false">IF(OR($D660="",$J660&lt;&gt;"Supplier"),"",IFERROR(INDEX(SupplierRates!$D$5:$D$500,MATCH($K660&amp;"|"&amp;$L660,SupplierRates!$A$5:$A$500,0)),0))</f>
        <v/>
      </c>
      <c r="Q660" s="26" t="str">
        <f aca="false">IF(OR($D660="",$J660&lt;&gt;"Supplier"),"",IFERROR(INDEX(SupplierRates!$E$5:$E$500,MATCH($K660&amp;"|"&amp;$L660,SupplierRates!$A$5:$A$500,0)),0))</f>
        <v/>
      </c>
      <c r="R660" s="26" t="n">
        <f aca="false">IF(OR($D660="",$J660&lt;&gt;"Supplier"),0,F660*P660+G660*Q660)</f>
        <v>0</v>
      </c>
      <c r="S660" s="26" t="n">
        <f aca="false">IF(OR($D660="",$J660&lt;&gt;"Own"),0,IFERROR((F660+G660*Settings!$B$13)*INDEX(Workers!$V$5:$V$2004,MATCH($D660,Workers!$A$5:$A$2004,0)),0))</f>
        <v>0</v>
      </c>
      <c r="T660" s="26" t="str">
        <f aca="false">IF($D660="","",O660-R660-S660)</f>
        <v/>
      </c>
    </row>
    <row r="661" customFormat="false" ht="15" hidden="false" customHeight="false" outlineLevel="0" collapsed="false">
      <c r="I661" s="24" t="str">
        <f aca="false">IF($D661="","",IFERROR(INDEX(Workers!$B$5:$B$2004,MATCH($D661,Workers!$A$5:$A$2004,0)),"NOT FOUND"))</f>
        <v/>
      </c>
      <c r="J661" s="24" t="str">
        <f aca="false">IF($D661="","",IFERROR(INDEX(Workers!$C$5:$C$2004,MATCH($D661,Workers!$A$5:$A$2004,0)),""))</f>
        <v/>
      </c>
      <c r="K661" s="24" t="str">
        <f aca="false">IF($D661="","",IFERROR(IF(INDEX(Workers!$D$5:$D$2004,MATCH($D661,Workers!$A$5:$A$2004,0))=0,"",INDEX(Workers!$D$5:$D$2004,MATCH($D661,Workers!$A$5:$A$2004,0))),""))</f>
        <v/>
      </c>
      <c r="L661" s="24" t="str">
        <f aca="false">IF($D661="","",IFERROR(INDEX(Workers!$E$5:$E$2004,MATCH($D661,Workers!$A$5:$A$2004,0)),""))</f>
        <v/>
      </c>
      <c r="M661" s="26" t="str">
        <f aca="false">IF($D661="","",IFERROR(INDEX(ClientRates!$D$5:$D$500,MATCH($B661&amp;"|"&amp;$L661,ClientRates!$A$5:$A$500,0)),0))</f>
        <v/>
      </c>
      <c r="N661" s="26" t="str">
        <f aca="false">IF($D661="","",IFERROR(INDEX(ClientRates!$E$5:$E$500,MATCH($B661&amp;"|"&amp;$L661,ClientRates!$A$5:$A$500,0)),0))</f>
        <v/>
      </c>
      <c r="O661" s="26" t="str">
        <f aca="false">IF($D661="","",F661*M661+G661*N661)</f>
        <v/>
      </c>
      <c r="P661" s="26" t="str">
        <f aca="false">IF(OR($D661="",$J661&lt;&gt;"Supplier"),"",IFERROR(INDEX(SupplierRates!$D$5:$D$500,MATCH($K661&amp;"|"&amp;$L661,SupplierRates!$A$5:$A$500,0)),0))</f>
        <v/>
      </c>
      <c r="Q661" s="26" t="str">
        <f aca="false">IF(OR($D661="",$J661&lt;&gt;"Supplier"),"",IFERROR(INDEX(SupplierRates!$E$5:$E$500,MATCH($K661&amp;"|"&amp;$L661,SupplierRates!$A$5:$A$500,0)),0))</f>
        <v/>
      </c>
      <c r="R661" s="26" t="n">
        <f aca="false">IF(OR($D661="",$J661&lt;&gt;"Supplier"),0,F661*P661+G661*Q661)</f>
        <v>0</v>
      </c>
      <c r="S661" s="26" t="n">
        <f aca="false">IF(OR($D661="",$J661&lt;&gt;"Own"),0,IFERROR((F661+G661*Settings!$B$13)*INDEX(Workers!$V$5:$V$2004,MATCH($D661,Workers!$A$5:$A$2004,0)),0))</f>
        <v>0</v>
      </c>
      <c r="T661" s="26" t="str">
        <f aca="false">IF($D661="","",O661-R661-S661)</f>
        <v/>
      </c>
    </row>
    <row r="662" customFormat="false" ht="15" hidden="false" customHeight="false" outlineLevel="0" collapsed="false">
      <c r="I662" s="24" t="str">
        <f aca="false">IF($D662="","",IFERROR(INDEX(Workers!$B$5:$B$2004,MATCH($D662,Workers!$A$5:$A$2004,0)),"NOT FOUND"))</f>
        <v/>
      </c>
      <c r="J662" s="24" t="str">
        <f aca="false">IF($D662="","",IFERROR(INDEX(Workers!$C$5:$C$2004,MATCH($D662,Workers!$A$5:$A$2004,0)),""))</f>
        <v/>
      </c>
      <c r="K662" s="24" t="str">
        <f aca="false">IF($D662="","",IFERROR(IF(INDEX(Workers!$D$5:$D$2004,MATCH($D662,Workers!$A$5:$A$2004,0))=0,"",INDEX(Workers!$D$5:$D$2004,MATCH($D662,Workers!$A$5:$A$2004,0))),""))</f>
        <v/>
      </c>
      <c r="L662" s="24" t="str">
        <f aca="false">IF($D662="","",IFERROR(INDEX(Workers!$E$5:$E$2004,MATCH($D662,Workers!$A$5:$A$2004,0)),""))</f>
        <v/>
      </c>
      <c r="M662" s="26" t="str">
        <f aca="false">IF($D662="","",IFERROR(INDEX(ClientRates!$D$5:$D$500,MATCH($B662&amp;"|"&amp;$L662,ClientRates!$A$5:$A$500,0)),0))</f>
        <v/>
      </c>
      <c r="N662" s="26" t="str">
        <f aca="false">IF($D662="","",IFERROR(INDEX(ClientRates!$E$5:$E$500,MATCH($B662&amp;"|"&amp;$L662,ClientRates!$A$5:$A$500,0)),0))</f>
        <v/>
      </c>
      <c r="O662" s="26" t="str">
        <f aca="false">IF($D662="","",F662*M662+G662*N662)</f>
        <v/>
      </c>
      <c r="P662" s="26" t="str">
        <f aca="false">IF(OR($D662="",$J662&lt;&gt;"Supplier"),"",IFERROR(INDEX(SupplierRates!$D$5:$D$500,MATCH($K662&amp;"|"&amp;$L662,SupplierRates!$A$5:$A$500,0)),0))</f>
        <v/>
      </c>
      <c r="Q662" s="26" t="str">
        <f aca="false">IF(OR($D662="",$J662&lt;&gt;"Supplier"),"",IFERROR(INDEX(SupplierRates!$E$5:$E$500,MATCH($K662&amp;"|"&amp;$L662,SupplierRates!$A$5:$A$500,0)),0))</f>
        <v/>
      </c>
      <c r="R662" s="26" t="n">
        <f aca="false">IF(OR($D662="",$J662&lt;&gt;"Supplier"),0,F662*P662+G662*Q662)</f>
        <v>0</v>
      </c>
      <c r="S662" s="26" t="n">
        <f aca="false">IF(OR($D662="",$J662&lt;&gt;"Own"),0,IFERROR((F662+G662*Settings!$B$13)*INDEX(Workers!$V$5:$V$2004,MATCH($D662,Workers!$A$5:$A$2004,0)),0))</f>
        <v>0</v>
      </c>
      <c r="T662" s="26" t="str">
        <f aca="false">IF($D662="","",O662-R662-S662)</f>
        <v/>
      </c>
    </row>
    <row r="663" customFormat="false" ht="15" hidden="false" customHeight="false" outlineLevel="0" collapsed="false">
      <c r="I663" s="24" t="str">
        <f aca="false">IF($D663="","",IFERROR(INDEX(Workers!$B$5:$B$2004,MATCH($D663,Workers!$A$5:$A$2004,0)),"NOT FOUND"))</f>
        <v/>
      </c>
      <c r="J663" s="24" t="str">
        <f aca="false">IF($D663="","",IFERROR(INDEX(Workers!$C$5:$C$2004,MATCH($D663,Workers!$A$5:$A$2004,0)),""))</f>
        <v/>
      </c>
      <c r="K663" s="24" t="str">
        <f aca="false">IF($D663="","",IFERROR(IF(INDEX(Workers!$D$5:$D$2004,MATCH($D663,Workers!$A$5:$A$2004,0))=0,"",INDEX(Workers!$D$5:$D$2004,MATCH($D663,Workers!$A$5:$A$2004,0))),""))</f>
        <v/>
      </c>
      <c r="L663" s="24" t="str">
        <f aca="false">IF($D663="","",IFERROR(INDEX(Workers!$E$5:$E$2004,MATCH($D663,Workers!$A$5:$A$2004,0)),""))</f>
        <v/>
      </c>
      <c r="M663" s="26" t="str">
        <f aca="false">IF($D663="","",IFERROR(INDEX(ClientRates!$D$5:$D$500,MATCH($B663&amp;"|"&amp;$L663,ClientRates!$A$5:$A$500,0)),0))</f>
        <v/>
      </c>
      <c r="N663" s="26" t="str">
        <f aca="false">IF($D663="","",IFERROR(INDEX(ClientRates!$E$5:$E$500,MATCH($B663&amp;"|"&amp;$L663,ClientRates!$A$5:$A$500,0)),0))</f>
        <v/>
      </c>
      <c r="O663" s="26" t="str">
        <f aca="false">IF($D663="","",F663*M663+G663*N663)</f>
        <v/>
      </c>
      <c r="P663" s="26" t="str">
        <f aca="false">IF(OR($D663="",$J663&lt;&gt;"Supplier"),"",IFERROR(INDEX(SupplierRates!$D$5:$D$500,MATCH($K663&amp;"|"&amp;$L663,SupplierRates!$A$5:$A$500,0)),0))</f>
        <v/>
      </c>
      <c r="Q663" s="26" t="str">
        <f aca="false">IF(OR($D663="",$J663&lt;&gt;"Supplier"),"",IFERROR(INDEX(SupplierRates!$E$5:$E$500,MATCH($K663&amp;"|"&amp;$L663,SupplierRates!$A$5:$A$500,0)),0))</f>
        <v/>
      </c>
      <c r="R663" s="26" t="n">
        <f aca="false">IF(OR($D663="",$J663&lt;&gt;"Supplier"),0,F663*P663+G663*Q663)</f>
        <v>0</v>
      </c>
      <c r="S663" s="26" t="n">
        <f aca="false">IF(OR($D663="",$J663&lt;&gt;"Own"),0,IFERROR((F663+G663*Settings!$B$13)*INDEX(Workers!$V$5:$V$2004,MATCH($D663,Workers!$A$5:$A$2004,0)),0))</f>
        <v>0</v>
      </c>
      <c r="T663" s="26" t="str">
        <f aca="false">IF($D663="","",O663-R663-S663)</f>
        <v/>
      </c>
    </row>
    <row r="664" customFormat="false" ht="15" hidden="false" customHeight="false" outlineLevel="0" collapsed="false">
      <c r="I664" s="24" t="str">
        <f aca="false">IF($D664="","",IFERROR(INDEX(Workers!$B$5:$B$2004,MATCH($D664,Workers!$A$5:$A$2004,0)),"NOT FOUND"))</f>
        <v/>
      </c>
      <c r="J664" s="24" t="str">
        <f aca="false">IF($D664="","",IFERROR(INDEX(Workers!$C$5:$C$2004,MATCH($D664,Workers!$A$5:$A$2004,0)),""))</f>
        <v/>
      </c>
      <c r="K664" s="24" t="str">
        <f aca="false">IF($D664="","",IFERROR(IF(INDEX(Workers!$D$5:$D$2004,MATCH($D664,Workers!$A$5:$A$2004,0))=0,"",INDEX(Workers!$D$5:$D$2004,MATCH($D664,Workers!$A$5:$A$2004,0))),""))</f>
        <v/>
      </c>
      <c r="L664" s="24" t="str">
        <f aca="false">IF($D664="","",IFERROR(INDEX(Workers!$E$5:$E$2004,MATCH($D664,Workers!$A$5:$A$2004,0)),""))</f>
        <v/>
      </c>
      <c r="M664" s="26" t="str">
        <f aca="false">IF($D664="","",IFERROR(INDEX(ClientRates!$D$5:$D$500,MATCH($B664&amp;"|"&amp;$L664,ClientRates!$A$5:$A$500,0)),0))</f>
        <v/>
      </c>
      <c r="N664" s="26" t="str">
        <f aca="false">IF($D664="","",IFERROR(INDEX(ClientRates!$E$5:$E$500,MATCH($B664&amp;"|"&amp;$L664,ClientRates!$A$5:$A$500,0)),0))</f>
        <v/>
      </c>
      <c r="O664" s="26" t="str">
        <f aca="false">IF($D664="","",F664*M664+G664*N664)</f>
        <v/>
      </c>
      <c r="P664" s="26" t="str">
        <f aca="false">IF(OR($D664="",$J664&lt;&gt;"Supplier"),"",IFERROR(INDEX(SupplierRates!$D$5:$D$500,MATCH($K664&amp;"|"&amp;$L664,SupplierRates!$A$5:$A$500,0)),0))</f>
        <v/>
      </c>
      <c r="Q664" s="26" t="str">
        <f aca="false">IF(OR($D664="",$J664&lt;&gt;"Supplier"),"",IFERROR(INDEX(SupplierRates!$E$5:$E$500,MATCH($K664&amp;"|"&amp;$L664,SupplierRates!$A$5:$A$500,0)),0))</f>
        <v/>
      </c>
      <c r="R664" s="26" t="n">
        <f aca="false">IF(OR($D664="",$J664&lt;&gt;"Supplier"),0,F664*P664+G664*Q664)</f>
        <v>0</v>
      </c>
      <c r="S664" s="26" t="n">
        <f aca="false">IF(OR($D664="",$J664&lt;&gt;"Own"),0,IFERROR((F664+G664*Settings!$B$13)*INDEX(Workers!$V$5:$V$2004,MATCH($D664,Workers!$A$5:$A$2004,0)),0))</f>
        <v>0</v>
      </c>
      <c r="T664" s="26" t="str">
        <f aca="false">IF($D664="","",O664-R664-S664)</f>
        <v/>
      </c>
    </row>
    <row r="665" customFormat="false" ht="15" hidden="false" customHeight="false" outlineLevel="0" collapsed="false">
      <c r="I665" s="24" t="str">
        <f aca="false">IF($D665="","",IFERROR(INDEX(Workers!$B$5:$B$2004,MATCH($D665,Workers!$A$5:$A$2004,0)),"NOT FOUND"))</f>
        <v/>
      </c>
      <c r="J665" s="24" t="str">
        <f aca="false">IF($D665="","",IFERROR(INDEX(Workers!$C$5:$C$2004,MATCH($D665,Workers!$A$5:$A$2004,0)),""))</f>
        <v/>
      </c>
      <c r="K665" s="24" t="str">
        <f aca="false">IF($D665="","",IFERROR(IF(INDEX(Workers!$D$5:$D$2004,MATCH($D665,Workers!$A$5:$A$2004,0))=0,"",INDEX(Workers!$D$5:$D$2004,MATCH($D665,Workers!$A$5:$A$2004,0))),""))</f>
        <v/>
      </c>
      <c r="L665" s="24" t="str">
        <f aca="false">IF($D665="","",IFERROR(INDEX(Workers!$E$5:$E$2004,MATCH($D665,Workers!$A$5:$A$2004,0)),""))</f>
        <v/>
      </c>
      <c r="M665" s="26" t="str">
        <f aca="false">IF($D665="","",IFERROR(INDEX(ClientRates!$D$5:$D$500,MATCH($B665&amp;"|"&amp;$L665,ClientRates!$A$5:$A$500,0)),0))</f>
        <v/>
      </c>
      <c r="N665" s="26" t="str">
        <f aca="false">IF($D665="","",IFERROR(INDEX(ClientRates!$E$5:$E$500,MATCH($B665&amp;"|"&amp;$L665,ClientRates!$A$5:$A$500,0)),0))</f>
        <v/>
      </c>
      <c r="O665" s="26" t="str">
        <f aca="false">IF($D665="","",F665*M665+G665*N665)</f>
        <v/>
      </c>
      <c r="P665" s="26" t="str">
        <f aca="false">IF(OR($D665="",$J665&lt;&gt;"Supplier"),"",IFERROR(INDEX(SupplierRates!$D$5:$D$500,MATCH($K665&amp;"|"&amp;$L665,SupplierRates!$A$5:$A$500,0)),0))</f>
        <v/>
      </c>
      <c r="Q665" s="26" t="str">
        <f aca="false">IF(OR($D665="",$J665&lt;&gt;"Supplier"),"",IFERROR(INDEX(SupplierRates!$E$5:$E$500,MATCH($K665&amp;"|"&amp;$L665,SupplierRates!$A$5:$A$500,0)),0))</f>
        <v/>
      </c>
      <c r="R665" s="26" t="n">
        <f aca="false">IF(OR($D665="",$J665&lt;&gt;"Supplier"),0,F665*P665+G665*Q665)</f>
        <v>0</v>
      </c>
      <c r="S665" s="26" t="n">
        <f aca="false">IF(OR($D665="",$J665&lt;&gt;"Own"),0,IFERROR((F665+G665*Settings!$B$13)*INDEX(Workers!$V$5:$V$2004,MATCH($D665,Workers!$A$5:$A$2004,0)),0))</f>
        <v>0</v>
      </c>
      <c r="T665" s="26" t="str">
        <f aca="false">IF($D665="","",O665-R665-S665)</f>
        <v/>
      </c>
    </row>
    <row r="666" customFormat="false" ht="15" hidden="false" customHeight="false" outlineLevel="0" collapsed="false">
      <c r="I666" s="24" t="str">
        <f aca="false">IF($D666="","",IFERROR(INDEX(Workers!$B$5:$B$2004,MATCH($D666,Workers!$A$5:$A$2004,0)),"NOT FOUND"))</f>
        <v/>
      </c>
      <c r="J666" s="24" t="str">
        <f aca="false">IF($D666="","",IFERROR(INDEX(Workers!$C$5:$C$2004,MATCH($D666,Workers!$A$5:$A$2004,0)),""))</f>
        <v/>
      </c>
      <c r="K666" s="24" t="str">
        <f aca="false">IF($D666="","",IFERROR(IF(INDEX(Workers!$D$5:$D$2004,MATCH($D666,Workers!$A$5:$A$2004,0))=0,"",INDEX(Workers!$D$5:$D$2004,MATCH($D666,Workers!$A$5:$A$2004,0))),""))</f>
        <v/>
      </c>
      <c r="L666" s="24" t="str">
        <f aca="false">IF($D666="","",IFERROR(INDEX(Workers!$E$5:$E$2004,MATCH($D666,Workers!$A$5:$A$2004,0)),""))</f>
        <v/>
      </c>
      <c r="M666" s="26" t="str">
        <f aca="false">IF($D666="","",IFERROR(INDEX(ClientRates!$D$5:$D$500,MATCH($B666&amp;"|"&amp;$L666,ClientRates!$A$5:$A$500,0)),0))</f>
        <v/>
      </c>
      <c r="N666" s="26" t="str">
        <f aca="false">IF($D666="","",IFERROR(INDEX(ClientRates!$E$5:$E$500,MATCH($B666&amp;"|"&amp;$L666,ClientRates!$A$5:$A$500,0)),0))</f>
        <v/>
      </c>
      <c r="O666" s="26" t="str">
        <f aca="false">IF($D666="","",F666*M666+G666*N666)</f>
        <v/>
      </c>
      <c r="P666" s="26" t="str">
        <f aca="false">IF(OR($D666="",$J666&lt;&gt;"Supplier"),"",IFERROR(INDEX(SupplierRates!$D$5:$D$500,MATCH($K666&amp;"|"&amp;$L666,SupplierRates!$A$5:$A$500,0)),0))</f>
        <v/>
      </c>
      <c r="Q666" s="26" t="str">
        <f aca="false">IF(OR($D666="",$J666&lt;&gt;"Supplier"),"",IFERROR(INDEX(SupplierRates!$E$5:$E$500,MATCH($K666&amp;"|"&amp;$L666,SupplierRates!$A$5:$A$500,0)),0))</f>
        <v/>
      </c>
      <c r="R666" s="26" t="n">
        <f aca="false">IF(OR($D666="",$J666&lt;&gt;"Supplier"),0,F666*P666+G666*Q666)</f>
        <v>0</v>
      </c>
      <c r="S666" s="26" t="n">
        <f aca="false">IF(OR($D666="",$J666&lt;&gt;"Own"),0,IFERROR((F666+G666*Settings!$B$13)*INDEX(Workers!$V$5:$V$2004,MATCH($D666,Workers!$A$5:$A$2004,0)),0))</f>
        <v>0</v>
      </c>
      <c r="T666" s="26" t="str">
        <f aca="false">IF($D666="","",O666-R666-S666)</f>
        <v/>
      </c>
    </row>
    <row r="667" customFormat="false" ht="15" hidden="false" customHeight="false" outlineLevel="0" collapsed="false">
      <c r="I667" s="24" t="str">
        <f aca="false">IF($D667="","",IFERROR(INDEX(Workers!$B$5:$B$2004,MATCH($D667,Workers!$A$5:$A$2004,0)),"NOT FOUND"))</f>
        <v/>
      </c>
      <c r="J667" s="24" t="str">
        <f aca="false">IF($D667="","",IFERROR(INDEX(Workers!$C$5:$C$2004,MATCH($D667,Workers!$A$5:$A$2004,0)),""))</f>
        <v/>
      </c>
      <c r="K667" s="24" t="str">
        <f aca="false">IF($D667="","",IFERROR(IF(INDEX(Workers!$D$5:$D$2004,MATCH($D667,Workers!$A$5:$A$2004,0))=0,"",INDEX(Workers!$D$5:$D$2004,MATCH($D667,Workers!$A$5:$A$2004,0))),""))</f>
        <v/>
      </c>
      <c r="L667" s="24" t="str">
        <f aca="false">IF($D667="","",IFERROR(INDEX(Workers!$E$5:$E$2004,MATCH($D667,Workers!$A$5:$A$2004,0)),""))</f>
        <v/>
      </c>
      <c r="M667" s="26" t="str">
        <f aca="false">IF($D667="","",IFERROR(INDEX(ClientRates!$D$5:$D$500,MATCH($B667&amp;"|"&amp;$L667,ClientRates!$A$5:$A$500,0)),0))</f>
        <v/>
      </c>
      <c r="N667" s="26" t="str">
        <f aca="false">IF($D667="","",IFERROR(INDEX(ClientRates!$E$5:$E$500,MATCH($B667&amp;"|"&amp;$L667,ClientRates!$A$5:$A$500,0)),0))</f>
        <v/>
      </c>
      <c r="O667" s="26" t="str">
        <f aca="false">IF($D667="","",F667*M667+G667*N667)</f>
        <v/>
      </c>
      <c r="P667" s="26" t="str">
        <f aca="false">IF(OR($D667="",$J667&lt;&gt;"Supplier"),"",IFERROR(INDEX(SupplierRates!$D$5:$D$500,MATCH($K667&amp;"|"&amp;$L667,SupplierRates!$A$5:$A$500,0)),0))</f>
        <v/>
      </c>
      <c r="Q667" s="26" t="str">
        <f aca="false">IF(OR($D667="",$J667&lt;&gt;"Supplier"),"",IFERROR(INDEX(SupplierRates!$E$5:$E$500,MATCH($K667&amp;"|"&amp;$L667,SupplierRates!$A$5:$A$500,0)),0))</f>
        <v/>
      </c>
      <c r="R667" s="26" t="n">
        <f aca="false">IF(OR($D667="",$J667&lt;&gt;"Supplier"),0,F667*P667+G667*Q667)</f>
        <v>0</v>
      </c>
      <c r="S667" s="26" t="n">
        <f aca="false">IF(OR($D667="",$J667&lt;&gt;"Own"),0,IFERROR((F667+G667*Settings!$B$13)*INDEX(Workers!$V$5:$V$2004,MATCH($D667,Workers!$A$5:$A$2004,0)),0))</f>
        <v>0</v>
      </c>
      <c r="T667" s="26" t="str">
        <f aca="false">IF($D667="","",O667-R667-S667)</f>
        <v/>
      </c>
    </row>
    <row r="668" customFormat="false" ht="15" hidden="false" customHeight="false" outlineLevel="0" collapsed="false">
      <c r="I668" s="24" t="str">
        <f aca="false">IF($D668="","",IFERROR(INDEX(Workers!$B$5:$B$2004,MATCH($D668,Workers!$A$5:$A$2004,0)),"NOT FOUND"))</f>
        <v/>
      </c>
      <c r="J668" s="24" t="str">
        <f aca="false">IF($D668="","",IFERROR(INDEX(Workers!$C$5:$C$2004,MATCH($D668,Workers!$A$5:$A$2004,0)),""))</f>
        <v/>
      </c>
      <c r="K668" s="24" t="str">
        <f aca="false">IF($D668="","",IFERROR(IF(INDEX(Workers!$D$5:$D$2004,MATCH($D668,Workers!$A$5:$A$2004,0))=0,"",INDEX(Workers!$D$5:$D$2004,MATCH($D668,Workers!$A$5:$A$2004,0))),""))</f>
        <v/>
      </c>
      <c r="L668" s="24" t="str">
        <f aca="false">IF($D668="","",IFERROR(INDEX(Workers!$E$5:$E$2004,MATCH($D668,Workers!$A$5:$A$2004,0)),""))</f>
        <v/>
      </c>
      <c r="M668" s="26" t="str">
        <f aca="false">IF($D668="","",IFERROR(INDEX(ClientRates!$D$5:$D$500,MATCH($B668&amp;"|"&amp;$L668,ClientRates!$A$5:$A$500,0)),0))</f>
        <v/>
      </c>
      <c r="N668" s="26" t="str">
        <f aca="false">IF($D668="","",IFERROR(INDEX(ClientRates!$E$5:$E$500,MATCH($B668&amp;"|"&amp;$L668,ClientRates!$A$5:$A$500,0)),0))</f>
        <v/>
      </c>
      <c r="O668" s="26" t="str">
        <f aca="false">IF($D668="","",F668*M668+G668*N668)</f>
        <v/>
      </c>
      <c r="P668" s="26" t="str">
        <f aca="false">IF(OR($D668="",$J668&lt;&gt;"Supplier"),"",IFERROR(INDEX(SupplierRates!$D$5:$D$500,MATCH($K668&amp;"|"&amp;$L668,SupplierRates!$A$5:$A$500,0)),0))</f>
        <v/>
      </c>
      <c r="Q668" s="26" t="str">
        <f aca="false">IF(OR($D668="",$J668&lt;&gt;"Supplier"),"",IFERROR(INDEX(SupplierRates!$E$5:$E$500,MATCH($K668&amp;"|"&amp;$L668,SupplierRates!$A$5:$A$500,0)),0))</f>
        <v/>
      </c>
      <c r="R668" s="26" t="n">
        <f aca="false">IF(OR($D668="",$J668&lt;&gt;"Supplier"),0,F668*P668+G668*Q668)</f>
        <v>0</v>
      </c>
      <c r="S668" s="26" t="n">
        <f aca="false">IF(OR($D668="",$J668&lt;&gt;"Own"),0,IFERROR((F668+G668*Settings!$B$13)*INDEX(Workers!$V$5:$V$2004,MATCH($D668,Workers!$A$5:$A$2004,0)),0))</f>
        <v>0</v>
      </c>
      <c r="T668" s="26" t="str">
        <f aca="false">IF($D668="","",O668-R668-S668)</f>
        <v/>
      </c>
    </row>
    <row r="669" customFormat="false" ht="15" hidden="false" customHeight="false" outlineLevel="0" collapsed="false">
      <c r="I669" s="24" t="str">
        <f aca="false">IF($D669="","",IFERROR(INDEX(Workers!$B$5:$B$2004,MATCH($D669,Workers!$A$5:$A$2004,0)),"NOT FOUND"))</f>
        <v/>
      </c>
      <c r="J669" s="24" t="str">
        <f aca="false">IF($D669="","",IFERROR(INDEX(Workers!$C$5:$C$2004,MATCH($D669,Workers!$A$5:$A$2004,0)),""))</f>
        <v/>
      </c>
      <c r="K669" s="24" t="str">
        <f aca="false">IF($D669="","",IFERROR(IF(INDEX(Workers!$D$5:$D$2004,MATCH($D669,Workers!$A$5:$A$2004,0))=0,"",INDEX(Workers!$D$5:$D$2004,MATCH($D669,Workers!$A$5:$A$2004,0))),""))</f>
        <v/>
      </c>
      <c r="L669" s="24" t="str">
        <f aca="false">IF($D669="","",IFERROR(INDEX(Workers!$E$5:$E$2004,MATCH($D669,Workers!$A$5:$A$2004,0)),""))</f>
        <v/>
      </c>
      <c r="M669" s="26" t="str">
        <f aca="false">IF($D669="","",IFERROR(INDEX(ClientRates!$D$5:$D$500,MATCH($B669&amp;"|"&amp;$L669,ClientRates!$A$5:$A$500,0)),0))</f>
        <v/>
      </c>
      <c r="N669" s="26" t="str">
        <f aca="false">IF($D669="","",IFERROR(INDEX(ClientRates!$E$5:$E$500,MATCH($B669&amp;"|"&amp;$L669,ClientRates!$A$5:$A$500,0)),0))</f>
        <v/>
      </c>
      <c r="O669" s="26" t="str">
        <f aca="false">IF($D669="","",F669*M669+G669*N669)</f>
        <v/>
      </c>
      <c r="P669" s="26" t="str">
        <f aca="false">IF(OR($D669="",$J669&lt;&gt;"Supplier"),"",IFERROR(INDEX(SupplierRates!$D$5:$D$500,MATCH($K669&amp;"|"&amp;$L669,SupplierRates!$A$5:$A$500,0)),0))</f>
        <v/>
      </c>
      <c r="Q669" s="26" t="str">
        <f aca="false">IF(OR($D669="",$J669&lt;&gt;"Supplier"),"",IFERROR(INDEX(SupplierRates!$E$5:$E$500,MATCH($K669&amp;"|"&amp;$L669,SupplierRates!$A$5:$A$500,0)),0))</f>
        <v/>
      </c>
      <c r="R669" s="26" t="n">
        <f aca="false">IF(OR($D669="",$J669&lt;&gt;"Supplier"),0,F669*P669+G669*Q669)</f>
        <v>0</v>
      </c>
      <c r="S669" s="26" t="n">
        <f aca="false">IF(OR($D669="",$J669&lt;&gt;"Own"),0,IFERROR((F669+G669*Settings!$B$13)*INDEX(Workers!$V$5:$V$2004,MATCH($D669,Workers!$A$5:$A$2004,0)),0))</f>
        <v>0</v>
      </c>
      <c r="T669" s="26" t="str">
        <f aca="false">IF($D669="","",O669-R669-S669)</f>
        <v/>
      </c>
    </row>
    <row r="670" customFormat="false" ht="15" hidden="false" customHeight="false" outlineLevel="0" collapsed="false">
      <c r="I670" s="24" t="str">
        <f aca="false">IF($D670="","",IFERROR(INDEX(Workers!$B$5:$B$2004,MATCH($D670,Workers!$A$5:$A$2004,0)),"NOT FOUND"))</f>
        <v/>
      </c>
      <c r="J670" s="24" t="str">
        <f aca="false">IF($D670="","",IFERROR(INDEX(Workers!$C$5:$C$2004,MATCH($D670,Workers!$A$5:$A$2004,0)),""))</f>
        <v/>
      </c>
      <c r="K670" s="24" t="str">
        <f aca="false">IF($D670="","",IFERROR(IF(INDEX(Workers!$D$5:$D$2004,MATCH($D670,Workers!$A$5:$A$2004,0))=0,"",INDEX(Workers!$D$5:$D$2004,MATCH($D670,Workers!$A$5:$A$2004,0))),""))</f>
        <v/>
      </c>
      <c r="L670" s="24" t="str">
        <f aca="false">IF($D670="","",IFERROR(INDEX(Workers!$E$5:$E$2004,MATCH($D670,Workers!$A$5:$A$2004,0)),""))</f>
        <v/>
      </c>
      <c r="M670" s="26" t="str">
        <f aca="false">IF($D670="","",IFERROR(INDEX(ClientRates!$D$5:$D$500,MATCH($B670&amp;"|"&amp;$L670,ClientRates!$A$5:$A$500,0)),0))</f>
        <v/>
      </c>
      <c r="N670" s="26" t="str">
        <f aca="false">IF($D670="","",IFERROR(INDEX(ClientRates!$E$5:$E$500,MATCH($B670&amp;"|"&amp;$L670,ClientRates!$A$5:$A$500,0)),0))</f>
        <v/>
      </c>
      <c r="O670" s="26" t="str">
        <f aca="false">IF($D670="","",F670*M670+G670*N670)</f>
        <v/>
      </c>
      <c r="P670" s="26" t="str">
        <f aca="false">IF(OR($D670="",$J670&lt;&gt;"Supplier"),"",IFERROR(INDEX(SupplierRates!$D$5:$D$500,MATCH($K670&amp;"|"&amp;$L670,SupplierRates!$A$5:$A$500,0)),0))</f>
        <v/>
      </c>
      <c r="Q670" s="26" t="str">
        <f aca="false">IF(OR($D670="",$J670&lt;&gt;"Supplier"),"",IFERROR(INDEX(SupplierRates!$E$5:$E$500,MATCH($K670&amp;"|"&amp;$L670,SupplierRates!$A$5:$A$500,0)),0))</f>
        <v/>
      </c>
      <c r="R670" s="26" t="n">
        <f aca="false">IF(OR($D670="",$J670&lt;&gt;"Supplier"),0,F670*P670+G670*Q670)</f>
        <v>0</v>
      </c>
      <c r="S670" s="26" t="n">
        <f aca="false">IF(OR($D670="",$J670&lt;&gt;"Own"),0,IFERROR((F670+G670*Settings!$B$13)*INDEX(Workers!$V$5:$V$2004,MATCH($D670,Workers!$A$5:$A$2004,0)),0))</f>
        <v>0</v>
      </c>
      <c r="T670" s="26" t="str">
        <f aca="false">IF($D670="","",O670-R670-S670)</f>
        <v/>
      </c>
    </row>
    <row r="671" customFormat="false" ht="15" hidden="false" customHeight="false" outlineLevel="0" collapsed="false">
      <c r="I671" s="24" t="str">
        <f aca="false">IF($D671="","",IFERROR(INDEX(Workers!$B$5:$B$2004,MATCH($D671,Workers!$A$5:$A$2004,0)),"NOT FOUND"))</f>
        <v/>
      </c>
      <c r="J671" s="24" t="str">
        <f aca="false">IF($D671="","",IFERROR(INDEX(Workers!$C$5:$C$2004,MATCH($D671,Workers!$A$5:$A$2004,0)),""))</f>
        <v/>
      </c>
      <c r="K671" s="24" t="str">
        <f aca="false">IF($D671="","",IFERROR(IF(INDEX(Workers!$D$5:$D$2004,MATCH($D671,Workers!$A$5:$A$2004,0))=0,"",INDEX(Workers!$D$5:$D$2004,MATCH($D671,Workers!$A$5:$A$2004,0))),""))</f>
        <v/>
      </c>
      <c r="L671" s="24" t="str">
        <f aca="false">IF($D671="","",IFERROR(INDEX(Workers!$E$5:$E$2004,MATCH($D671,Workers!$A$5:$A$2004,0)),""))</f>
        <v/>
      </c>
      <c r="M671" s="26" t="str">
        <f aca="false">IF($D671="","",IFERROR(INDEX(ClientRates!$D$5:$D$500,MATCH($B671&amp;"|"&amp;$L671,ClientRates!$A$5:$A$500,0)),0))</f>
        <v/>
      </c>
      <c r="N671" s="26" t="str">
        <f aca="false">IF($D671="","",IFERROR(INDEX(ClientRates!$E$5:$E$500,MATCH($B671&amp;"|"&amp;$L671,ClientRates!$A$5:$A$500,0)),0))</f>
        <v/>
      </c>
      <c r="O671" s="26" t="str">
        <f aca="false">IF($D671="","",F671*M671+G671*N671)</f>
        <v/>
      </c>
      <c r="P671" s="26" t="str">
        <f aca="false">IF(OR($D671="",$J671&lt;&gt;"Supplier"),"",IFERROR(INDEX(SupplierRates!$D$5:$D$500,MATCH($K671&amp;"|"&amp;$L671,SupplierRates!$A$5:$A$500,0)),0))</f>
        <v/>
      </c>
      <c r="Q671" s="26" t="str">
        <f aca="false">IF(OR($D671="",$J671&lt;&gt;"Supplier"),"",IFERROR(INDEX(SupplierRates!$E$5:$E$500,MATCH($K671&amp;"|"&amp;$L671,SupplierRates!$A$5:$A$500,0)),0))</f>
        <v/>
      </c>
      <c r="R671" s="26" t="n">
        <f aca="false">IF(OR($D671="",$J671&lt;&gt;"Supplier"),0,F671*P671+G671*Q671)</f>
        <v>0</v>
      </c>
      <c r="S671" s="26" t="n">
        <f aca="false">IF(OR($D671="",$J671&lt;&gt;"Own"),0,IFERROR((F671+G671*Settings!$B$13)*INDEX(Workers!$V$5:$V$2004,MATCH($D671,Workers!$A$5:$A$2004,0)),0))</f>
        <v>0</v>
      </c>
      <c r="T671" s="26" t="str">
        <f aca="false">IF($D671="","",O671-R671-S671)</f>
        <v/>
      </c>
    </row>
    <row r="672" customFormat="false" ht="15" hidden="false" customHeight="false" outlineLevel="0" collapsed="false">
      <c r="I672" s="24" t="str">
        <f aca="false">IF($D672="","",IFERROR(INDEX(Workers!$B$5:$B$2004,MATCH($D672,Workers!$A$5:$A$2004,0)),"NOT FOUND"))</f>
        <v/>
      </c>
      <c r="J672" s="24" t="str">
        <f aca="false">IF($D672="","",IFERROR(INDEX(Workers!$C$5:$C$2004,MATCH($D672,Workers!$A$5:$A$2004,0)),""))</f>
        <v/>
      </c>
      <c r="K672" s="24" t="str">
        <f aca="false">IF($D672="","",IFERROR(IF(INDEX(Workers!$D$5:$D$2004,MATCH($D672,Workers!$A$5:$A$2004,0))=0,"",INDEX(Workers!$D$5:$D$2004,MATCH($D672,Workers!$A$5:$A$2004,0))),""))</f>
        <v/>
      </c>
      <c r="L672" s="24" t="str">
        <f aca="false">IF($D672="","",IFERROR(INDEX(Workers!$E$5:$E$2004,MATCH($D672,Workers!$A$5:$A$2004,0)),""))</f>
        <v/>
      </c>
      <c r="M672" s="26" t="str">
        <f aca="false">IF($D672="","",IFERROR(INDEX(ClientRates!$D$5:$D$500,MATCH($B672&amp;"|"&amp;$L672,ClientRates!$A$5:$A$500,0)),0))</f>
        <v/>
      </c>
      <c r="N672" s="26" t="str">
        <f aca="false">IF($D672="","",IFERROR(INDEX(ClientRates!$E$5:$E$500,MATCH($B672&amp;"|"&amp;$L672,ClientRates!$A$5:$A$500,0)),0))</f>
        <v/>
      </c>
      <c r="O672" s="26" t="str">
        <f aca="false">IF($D672="","",F672*M672+G672*N672)</f>
        <v/>
      </c>
      <c r="P672" s="26" t="str">
        <f aca="false">IF(OR($D672="",$J672&lt;&gt;"Supplier"),"",IFERROR(INDEX(SupplierRates!$D$5:$D$500,MATCH($K672&amp;"|"&amp;$L672,SupplierRates!$A$5:$A$500,0)),0))</f>
        <v/>
      </c>
      <c r="Q672" s="26" t="str">
        <f aca="false">IF(OR($D672="",$J672&lt;&gt;"Supplier"),"",IFERROR(INDEX(SupplierRates!$E$5:$E$500,MATCH($K672&amp;"|"&amp;$L672,SupplierRates!$A$5:$A$500,0)),0))</f>
        <v/>
      </c>
      <c r="R672" s="26" t="n">
        <f aca="false">IF(OR($D672="",$J672&lt;&gt;"Supplier"),0,F672*P672+G672*Q672)</f>
        <v>0</v>
      </c>
      <c r="S672" s="26" t="n">
        <f aca="false">IF(OR($D672="",$J672&lt;&gt;"Own"),0,IFERROR((F672+G672*Settings!$B$13)*INDEX(Workers!$V$5:$V$2004,MATCH($D672,Workers!$A$5:$A$2004,0)),0))</f>
        <v>0</v>
      </c>
      <c r="T672" s="26" t="str">
        <f aca="false">IF($D672="","",O672-R672-S672)</f>
        <v/>
      </c>
    </row>
    <row r="673" customFormat="false" ht="15" hidden="false" customHeight="false" outlineLevel="0" collapsed="false">
      <c r="I673" s="24" t="str">
        <f aca="false">IF($D673="","",IFERROR(INDEX(Workers!$B$5:$B$2004,MATCH($D673,Workers!$A$5:$A$2004,0)),"NOT FOUND"))</f>
        <v/>
      </c>
      <c r="J673" s="24" t="str">
        <f aca="false">IF($D673="","",IFERROR(INDEX(Workers!$C$5:$C$2004,MATCH($D673,Workers!$A$5:$A$2004,0)),""))</f>
        <v/>
      </c>
      <c r="K673" s="24" t="str">
        <f aca="false">IF($D673="","",IFERROR(IF(INDEX(Workers!$D$5:$D$2004,MATCH($D673,Workers!$A$5:$A$2004,0))=0,"",INDEX(Workers!$D$5:$D$2004,MATCH($D673,Workers!$A$5:$A$2004,0))),""))</f>
        <v/>
      </c>
      <c r="L673" s="24" t="str">
        <f aca="false">IF($D673="","",IFERROR(INDEX(Workers!$E$5:$E$2004,MATCH($D673,Workers!$A$5:$A$2004,0)),""))</f>
        <v/>
      </c>
      <c r="M673" s="26" t="str">
        <f aca="false">IF($D673="","",IFERROR(INDEX(ClientRates!$D$5:$D$500,MATCH($B673&amp;"|"&amp;$L673,ClientRates!$A$5:$A$500,0)),0))</f>
        <v/>
      </c>
      <c r="N673" s="26" t="str">
        <f aca="false">IF($D673="","",IFERROR(INDEX(ClientRates!$E$5:$E$500,MATCH($B673&amp;"|"&amp;$L673,ClientRates!$A$5:$A$500,0)),0))</f>
        <v/>
      </c>
      <c r="O673" s="26" t="str">
        <f aca="false">IF($D673="","",F673*M673+G673*N673)</f>
        <v/>
      </c>
      <c r="P673" s="26" t="str">
        <f aca="false">IF(OR($D673="",$J673&lt;&gt;"Supplier"),"",IFERROR(INDEX(SupplierRates!$D$5:$D$500,MATCH($K673&amp;"|"&amp;$L673,SupplierRates!$A$5:$A$500,0)),0))</f>
        <v/>
      </c>
      <c r="Q673" s="26" t="str">
        <f aca="false">IF(OR($D673="",$J673&lt;&gt;"Supplier"),"",IFERROR(INDEX(SupplierRates!$E$5:$E$500,MATCH($K673&amp;"|"&amp;$L673,SupplierRates!$A$5:$A$500,0)),0))</f>
        <v/>
      </c>
      <c r="R673" s="26" t="n">
        <f aca="false">IF(OR($D673="",$J673&lt;&gt;"Supplier"),0,F673*P673+G673*Q673)</f>
        <v>0</v>
      </c>
      <c r="S673" s="26" t="n">
        <f aca="false">IF(OR($D673="",$J673&lt;&gt;"Own"),0,IFERROR((F673+G673*Settings!$B$13)*INDEX(Workers!$V$5:$V$2004,MATCH($D673,Workers!$A$5:$A$2004,0)),0))</f>
        <v>0</v>
      </c>
      <c r="T673" s="26" t="str">
        <f aca="false">IF($D673="","",O673-R673-S673)</f>
        <v/>
      </c>
    </row>
    <row r="674" customFormat="false" ht="15" hidden="false" customHeight="false" outlineLevel="0" collapsed="false">
      <c r="I674" s="24" t="str">
        <f aca="false">IF($D674="","",IFERROR(INDEX(Workers!$B$5:$B$2004,MATCH($D674,Workers!$A$5:$A$2004,0)),"NOT FOUND"))</f>
        <v/>
      </c>
      <c r="J674" s="24" t="str">
        <f aca="false">IF($D674="","",IFERROR(INDEX(Workers!$C$5:$C$2004,MATCH($D674,Workers!$A$5:$A$2004,0)),""))</f>
        <v/>
      </c>
      <c r="K674" s="24" t="str">
        <f aca="false">IF($D674="","",IFERROR(IF(INDEX(Workers!$D$5:$D$2004,MATCH($D674,Workers!$A$5:$A$2004,0))=0,"",INDEX(Workers!$D$5:$D$2004,MATCH($D674,Workers!$A$5:$A$2004,0))),""))</f>
        <v/>
      </c>
      <c r="L674" s="24" t="str">
        <f aca="false">IF($D674="","",IFERROR(INDEX(Workers!$E$5:$E$2004,MATCH($D674,Workers!$A$5:$A$2004,0)),""))</f>
        <v/>
      </c>
      <c r="M674" s="26" t="str">
        <f aca="false">IF($D674="","",IFERROR(INDEX(ClientRates!$D$5:$D$500,MATCH($B674&amp;"|"&amp;$L674,ClientRates!$A$5:$A$500,0)),0))</f>
        <v/>
      </c>
      <c r="N674" s="26" t="str">
        <f aca="false">IF($D674="","",IFERROR(INDEX(ClientRates!$E$5:$E$500,MATCH($B674&amp;"|"&amp;$L674,ClientRates!$A$5:$A$500,0)),0))</f>
        <v/>
      </c>
      <c r="O674" s="26" t="str">
        <f aca="false">IF($D674="","",F674*M674+G674*N674)</f>
        <v/>
      </c>
      <c r="P674" s="26" t="str">
        <f aca="false">IF(OR($D674="",$J674&lt;&gt;"Supplier"),"",IFERROR(INDEX(SupplierRates!$D$5:$D$500,MATCH($K674&amp;"|"&amp;$L674,SupplierRates!$A$5:$A$500,0)),0))</f>
        <v/>
      </c>
      <c r="Q674" s="26" t="str">
        <f aca="false">IF(OR($D674="",$J674&lt;&gt;"Supplier"),"",IFERROR(INDEX(SupplierRates!$E$5:$E$500,MATCH($K674&amp;"|"&amp;$L674,SupplierRates!$A$5:$A$500,0)),0))</f>
        <v/>
      </c>
      <c r="R674" s="26" t="n">
        <f aca="false">IF(OR($D674="",$J674&lt;&gt;"Supplier"),0,F674*P674+G674*Q674)</f>
        <v>0</v>
      </c>
      <c r="S674" s="26" t="n">
        <f aca="false">IF(OR($D674="",$J674&lt;&gt;"Own"),0,IFERROR((F674+G674*Settings!$B$13)*INDEX(Workers!$V$5:$V$2004,MATCH($D674,Workers!$A$5:$A$2004,0)),0))</f>
        <v>0</v>
      </c>
      <c r="T674" s="26" t="str">
        <f aca="false">IF($D674="","",O674-R674-S674)</f>
        <v/>
      </c>
    </row>
    <row r="675" customFormat="false" ht="15" hidden="false" customHeight="false" outlineLevel="0" collapsed="false">
      <c r="I675" s="24" t="str">
        <f aca="false">IF($D675="","",IFERROR(INDEX(Workers!$B$5:$B$2004,MATCH($D675,Workers!$A$5:$A$2004,0)),"NOT FOUND"))</f>
        <v/>
      </c>
      <c r="J675" s="24" t="str">
        <f aca="false">IF($D675="","",IFERROR(INDEX(Workers!$C$5:$C$2004,MATCH($D675,Workers!$A$5:$A$2004,0)),""))</f>
        <v/>
      </c>
      <c r="K675" s="24" t="str">
        <f aca="false">IF($D675="","",IFERROR(IF(INDEX(Workers!$D$5:$D$2004,MATCH($D675,Workers!$A$5:$A$2004,0))=0,"",INDEX(Workers!$D$5:$D$2004,MATCH($D675,Workers!$A$5:$A$2004,0))),""))</f>
        <v/>
      </c>
      <c r="L675" s="24" t="str">
        <f aca="false">IF($D675="","",IFERROR(INDEX(Workers!$E$5:$E$2004,MATCH($D675,Workers!$A$5:$A$2004,0)),""))</f>
        <v/>
      </c>
      <c r="M675" s="26" t="str">
        <f aca="false">IF($D675="","",IFERROR(INDEX(ClientRates!$D$5:$D$500,MATCH($B675&amp;"|"&amp;$L675,ClientRates!$A$5:$A$500,0)),0))</f>
        <v/>
      </c>
      <c r="N675" s="26" t="str">
        <f aca="false">IF($D675="","",IFERROR(INDEX(ClientRates!$E$5:$E$500,MATCH($B675&amp;"|"&amp;$L675,ClientRates!$A$5:$A$500,0)),0))</f>
        <v/>
      </c>
      <c r="O675" s="26" t="str">
        <f aca="false">IF($D675="","",F675*M675+G675*N675)</f>
        <v/>
      </c>
      <c r="P675" s="26" t="str">
        <f aca="false">IF(OR($D675="",$J675&lt;&gt;"Supplier"),"",IFERROR(INDEX(SupplierRates!$D$5:$D$500,MATCH($K675&amp;"|"&amp;$L675,SupplierRates!$A$5:$A$500,0)),0))</f>
        <v/>
      </c>
      <c r="Q675" s="26" t="str">
        <f aca="false">IF(OR($D675="",$J675&lt;&gt;"Supplier"),"",IFERROR(INDEX(SupplierRates!$E$5:$E$500,MATCH($K675&amp;"|"&amp;$L675,SupplierRates!$A$5:$A$500,0)),0))</f>
        <v/>
      </c>
      <c r="R675" s="26" t="n">
        <f aca="false">IF(OR($D675="",$J675&lt;&gt;"Supplier"),0,F675*P675+G675*Q675)</f>
        <v>0</v>
      </c>
      <c r="S675" s="26" t="n">
        <f aca="false">IF(OR($D675="",$J675&lt;&gt;"Own"),0,IFERROR((F675+G675*Settings!$B$13)*INDEX(Workers!$V$5:$V$2004,MATCH($D675,Workers!$A$5:$A$2004,0)),0))</f>
        <v>0</v>
      </c>
      <c r="T675" s="26" t="str">
        <f aca="false">IF($D675="","",O675-R675-S675)</f>
        <v/>
      </c>
    </row>
    <row r="676" customFormat="false" ht="15" hidden="false" customHeight="false" outlineLevel="0" collapsed="false">
      <c r="I676" s="24" t="str">
        <f aca="false">IF($D676="","",IFERROR(INDEX(Workers!$B$5:$B$2004,MATCH($D676,Workers!$A$5:$A$2004,0)),"NOT FOUND"))</f>
        <v/>
      </c>
      <c r="J676" s="24" t="str">
        <f aca="false">IF($D676="","",IFERROR(INDEX(Workers!$C$5:$C$2004,MATCH($D676,Workers!$A$5:$A$2004,0)),""))</f>
        <v/>
      </c>
      <c r="K676" s="24" t="str">
        <f aca="false">IF($D676="","",IFERROR(IF(INDEX(Workers!$D$5:$D$2004,MATCH($D676,Workers!$A$5:$A$2004,0))=0,"",INDEX(Workers!$D$5:$D$2004,MATCH($D676,Workers!$A$5:$A$2004,0))),""))</f>
        <v/>
      </c>
      <c r="L676" s="24" t="str">
        <f aca="false">IF($D676="","",IFERROR(INDEX(Workers!$E$5:$E$2004,MATCH($D676,Workers!$A$5:$A$2004,0)),""))</f>
        <v/>
      </c>
      <c r="M676" s="26" t="str">
        <f aca="false">IF($D676="","",IFERROR(INDEX(ClientRates!$D$5:$D$500,MATCH($B676&amp;"|"&amp;$L676,ClientRates!$A$5:$A$500,0)),0))</f>
        <v/>
      </c>
      <c r="N676" s="26" t="str">
        <f aca="false">IF($D676="","",IFERROR(INDEX(ClientRates!$E$5:$E$500,MATCH($B676&amp;"|"&amp;$L676,ClientRates!$A$5:$A$500,0)),0))</f>
        <v/>
      </c>
      <c r="O676" s="26" t="str">
        <f aca="false">IF($D676="","",F676*M676+G676*N676)</f>
        <v/>
      </c>
      <c r="P676" s="26" t="str">
        <f aca="false">IF(OR($D676="",$J676&lt;&gt;"Supplier"),"",IFERROR(INDEX(SupplierRates!$D$5:$D$500,MATCH($K676&amp;"|"&amp;$L676,SupplierRates!$A$5:$A$500,0)),0))</f>
        <v/>
      </c>
      <c r="Q676" s="26" t="str">
        <f aca="false">IF(OR($D676="",$J676&lt;&gt;"Supplier"),"",IFERROR(INDEX(SupplierRates!$E$5:$E$500,MATCH($K676&amp;"|"&amp;$L676,SupplierRates!$A$5:$A$500,0)),0))</f>
        <v/>
      </c>
      <c r="R676" s="26" t="n">
        <f aca="false">IF(OR($D676="",$J676&lt;&gt;"Supplier"),0,F676*P676+G676*Q676)</f>
        <v>0</v>
      </c>
      <c r="S676" s="26" t="n">
        <f aca="false">IF(OR($D676="",$J676&lt;&gt;"Own"),0,IFERROR((F676+G676*Settings!$B$13)*INDEX(Workers!$V$5:$V$2004,MATCH($D676,Workers!$A$5:$A$2004,0)),0))</f>
        <v>0</v>
      </c>
      <c r="T676" s="26" t="str">
        <f aca="false">IF($D676="","",O676-R676-S676)</f>
        <v/>
      </c>
    </row>
    <row r="677" customFormat="false" ht="15" hidden="false" customHeight="false" outlineLevel="0" collapsed="false">
      <c r="I677" s="24" t="str">
        <f aca="false">IF($D677="","",IFERROR(INDEX(Workers!$B$5:$B$2004,MATCH($D677,Workers!$A$5:$A$2004,0)),"NOT FOUND"))</f>
        <v/>
      </c>
      <c r="J677" s="24" t="str">
        <f aca="false">IF($D677="","",IFERROR(INDEX(Workers!$C$5:$C$2004,MATCH($D677,Workers!$A$5:$A$2004,0)),""))</f>
        <v/>
      </c>
      <c r="K677" s="24" t="str">
        <f aca="false">IF($D677="","",IFERROR(IF(INDEX(Workers!$D$5:$D$2004,MATCH($D677,Workers!$A$5:$A$2004,0))=0,"",INDEX(Workers!$D$5:$D$2004,MATCH($D677,Workers!$A$5:$A$2004,0))),""))</f>
        <v/>
      </c>
      <c r="L677" s="24" t="str">
        <f aca="false">IF($D677="","",IFERROR(INDEX(Workers!$E$5:$E$2004,MATCH($D677,Workers!$A$5:$A$2004,0)),""))</f>
        <v/>
      </c>
      <c r="M677" s="26" t="str">
        <f aca="false">IF($D677="","",IFERROR(INDEX(ClientRates!$D$5:$D$500,MATCH($B677&amp;"|"&amp;$L677,ClientRates!$A$5:$A$500,0)),0))</f>
        <v/>
      </c>
      <c r="N677" s="26" t="str">
        <f aca="false">IF($D677="","",IFERROR(INDEX(ClientRates!$E$5:$E$500,MATCH($B677&amp;"|"&amp;$L677,ClientRates!$A$5:$A$500,0)),0))</f>
        <v/>
      </c>
      <c r="O677" s="26" t="str">
        <f aca="false">IF($D677="","",F677*M677+G677*N677)</f>
        <v/>
      </c>
      <c r="P677" s="26" t="str">
        <f aca="false">IF(OR($D677="",$J677&lt;&gt;"Supplier"),"",IFERROR(INDEX(SupplierRates!$D$5:$D$500,MATCH($K677&amp;"|"&amp;$L677,SupplierRates!$A$5:$A$500,0)),0))</f>
        <v/>
      </c>
      <c r="Q677" s="26" t="str">
        <f aca="false">IF(OR($D677="",$J677&lt;&gt;"Supplier"),"",IFERROR(INDEX(SupplierRates!$E$5:$E$500,MATCH($K677&amp;"|"&amp;$L677,SupplierRates!$A$5:$A$500,0)),0))</f>
        <v/>
      </c>
      <c r="R677" s="26" t="n">
        <f aca="false">IF(OR($D677="",$J677&lt;&gt;"Supplier"),0,F677*P677+G677*Q677)</f>
        <v>0</v>
      </c>
      <c r="S677" s="26" t="n">
        <f aca="false">IF(OR($D677="",$J677&lt;&gt;"Own"),0,IFERROR((F677+G677*Settings!$B$13)*INDEX(Workers!$V$5:$V$2004,MATCH($D677,Workers!$A$5:$A$2004,0)),0))</f>
        <v>0</v>
      </c>
      <c r="T677" s="26" t="str">
        <f aca="false">IF($D677="","",O677-R677-S677)</f>
        <v/>
      </c>
    </row>
    <row r="678" customFormat="false" ht="15" hidden="false" customHeight="false" outlineLevel="0" collapsed="false">
      <c r="I678" s="24" t="str">
        <f aca="false">IF($D678="","",IFERROR(INDEX(Workers!$B$5:$B$2004,MATCH($D678,Workers!$A$5:$A$2004,0)),"NOT FOUND"))</f>
        <v/>
      </c>
      <c r="J678" s="24" t="str">
        <f aca="false">IF($D678="","",IFERROR(INDEX(Workers!$C$5:$C$2004,MATCH($D678,Workers!$A$5:$A$2004,0)),""))</f>
        <v/>
      </c>
      <c r="K678" s="24" t="str">
        <f aca="false">IF($D678="","",IFERROR(IF(INDEX(Workers!$D$5:$D$2004,MATCH($D678,Workers!$A$5:$A$2004,0))=0,"",INDEX(Workers!$D$5:$D$2004,MATCH($D678,Workers!$A$5:$A$2004,0))),""))</f>
        <v/>
      </c>
      <c r="L678" s="24" t="str">
        <f aca="false">IF($D678="","",IFERROR(INDEX(Workers!$E$5:$E$2004,MATCH($D678,Workers!$A$5:$A$2004,0)),""))</f>
        <v/>
      </c>
      <c r="M678" s="26" t="str">
        <f aca="false">IF($D678="","",IFERROR(INDEX(ClientRates!$D$5:$D$500,MATCH($B678&amp;"|"&amp;$L678,ClientRates!$A$5:$A$500,0)),0))</f>
        <v/>
      </c>
      <c r="N678" s="26" t="str">
        <f aca="false">IF($D678="","",IFERROR(INDEX(ClientRates!$E$5:$E$500,MATCH($B678&amp;"|"&amp;$L678,ClientRates!$A$5:$A$500,0)),0))</f>
        <v/>
      </c>
      <c r="O678" s="26" t="str">
        <f aca="false">IF($D678="","",F678*M678+G678*N678)</f>
        <v/>
      </c>
      <c r="P678" s="26" t="str">
        <f aca="false">IF(OR($D678="",$J678&lt;&gt;"Supplier"),"",IFERROR(INDEX(SupplierRates!$D$5:$D$500,MATCH($K678&amp;"|"&amp;$L678,SupplierRates!$A$5:$A$500,0)),0))</f>
        <v/>
      </c>
      <c r="Q678" s="26" t="str">
        <f aca="false">IF(OR($D678="",$J678&lt;&gt;"Supplier"),"",IFERROR(INDEX(SupplierRates!$E$5:$E$500,MATCH($K678&amp;"|"&amp;$L678,SupplierRates!$A$5:$A$500,0)),0))</f>
        <v/>
      </c>
      <c r="R678" s="26" t="n">
        <f aca="false">IF(OR($D678="",$J678&lt;&gt;"Supplier"),0,F678*P678+G678*Q678)</f>
        <v>0</v>
      </c>
      <c r="S678" s="26" t="n">
        <f aca="false">IF(OR($D678="",$J678&lt;&gt;"Own"),0,IFERROR((F678+G678*Settings!$B$13)*INDEX(Workers!$V$5:$V$2004,MATCH($D678,Workers!$A$5:$A$2004,0)),0))</f>
        <v>0</v>
      </c>
      <c r="T678" s="26" t="str">
        <f aca="false">IF($D678="","",O678-R678-S678)</f>
        <v/>
      </c>
    </row>
    <row r="679" customFormat="false" ht="15" hidden="false" customHeight="false" outlineLevel="0" collapsed="false">
      <c r="I679" s="24" t="str">
        <f aca="false">IF($D679="","",IFERROR(INDEX(Workers!$B$5:$B$2004,MATCH($D679,Workers!$A$5:$A$2004,0)),"NOT FOUND"))</f>
        <v/>
      </c>
      <c r="J679" s="24" t="str">
        <f aca="false">IF($D679="","",IFERROR(INDEX(Workers!$C$5:$C$2004,MATCH($D679,Workers!$A$5:$A$2004,0)),""))</f>
        <v/>
      </c>
      <c r="K679" s="24" t="str">
        <f aca="false">IF($D679="","",IFERROR(IF(INDEX(Workers!$D$5:$D$2004,MATCH($D679,Workers!$A$5:$A$2004,0))=0,"",INDEX(Workers!$D$5:$D$2004,MATCH($D679,Workers!$A$5:$A$2004,0))),""))</f>
        <v/>
      </c>
      <c r="L679" s="24" t="str">
        <f aca="false">IF($D679="","",IFERROR(INDEX(Workers!$E$5:$E$2004,MATCH($D679,Workers!$A$5:$A$2004,0)),""))</f>
        <v/>
      </c>
      <c r="M679" s="26" t="str">
        <f aca="false">IF($D679="","",IFERROR(INDEX(ClientRates!$D$5:$D$500,MATCH($B679&amp;"|"&amp;$L679,ClientRates!$A$5:$A$500,0)),0))</f>
        <v/>
      </c>
      <c r="N679" s="26" t="str">
        <f aca="false">IF($D679="","",IFERROR(INDEX(ClientRates!$E$5:$E$500,MATCH($B679&amp;"|"&amp;$L679,ClientRates!$A$5:$A$500,0)),0))</f>
        <v/>
      </c>
      <c r="O679" s="26" t="str">
        <f aca="false">IF($D679="","",F679*M679+G679*N679)</f>
        <v/>
      </c>
      <c r="P679" s="26" t="str">
        <f aca="false">IF(OR($D679="",$J679&lt;&gt;"Supplier"),"",IFERROR(INDEX(SupplierRates!$D$5:$D$500,MATCH($K679&amp;"|"&amp;$L679,SupplierRates!$A$5:$A$500,0)),0))</f>
        <v/>
      </c>
      <c r="Q679" s="26" t="str">
        <f aca="false">IF(OR($D679="",$J679&lt;&gt;"Supplier"),"",IFERROR(INDEX(SupplierRates!$E$5:$E$500,MATCH($K679&amp;"|"&amp;$L679,SupplierRates!$A$5:$A$500,0)),0))</f>
        <v/>
      </c>
      <c r="R679" s="26" t="n">
        <f aca="false">IF(OR($D679="",$J679&lt;&gt;"Supplier"),0,F679*P679+G679*Q679)</f>
        <v>0</v>
      </c>
      <c r="S679" s="26" t="n">
        <f aca="false">IF(OR($D679="",$J679&lt;&gt;"Own"),0,IFERROR((F679+G679*Settings!$B$13)*INDEX(Workers!$V$5:$V$2004,MATCH($D679,Workers!$A$5:$A$2004,0)),0))</f>
        <v>0</v>
      </c>
      <c r="T679" s="26" t="str">
        <f aca="false">IF($D679="","",O679-R679-S679)</f>
        <v/>
      </c>
    </row>
    <row r="680" customFormat="false" ht="15" hidden="false" customHeight="false" outlineLevel="0" collapsed="false">
      <c r="I680" s="24" t="str">
        <f aca="false">IF($D680="","",IFERROR(INDEX(Workers!$B$5:$B$2004,MATCH($D680,Workers!$A$5:$A$2004,0)),"NOT FOUND"))</f>
        <v/>
      </c>
      <c r="J680" s="24" t="str">
        <f aca="false">IF($D680="","",IFERROR(INDEX(Workers!$C$5:$C$2004,MATCH($D680,Workers!$A$5:$A$2004,0)),""))</f>
        <v/>
      </c>
      <c r="K680" s="24" t="str">
        <f aca="false">IF($D680="","",IFERROR(IF(INDEX(Workers!$D$5:$D$2004,MATCH($D680,Workers!$A$5:$A$2004,0))=0,"",INDEX(Workers!$D$5:$D$2004,MATCH($D680,Workers!$A$5:$A$2004,0))),""))</f>
        <v/>
      </c>
      <c r="L680" s="24" t="str">
        <f aca="false">IF($D680="","",IFERROR(INDEX(Workers!$E$5:$E$2004,MATCH($D680,Workers!$A$5:$A$2004,0)),""))</f>
        <v/>
      </c>
      <c r="M680" s="26" t="str">
        <f aca="false">IF($D680="","",IFERROR(INDEX(ClientRates!$D$5:$D$500,MATCH($B680&amp;"|"&amp;$L680,ClientRates!$A$5:$A$500,0)),0))</f>
        <v/>
      </c>
      <c r="N680" s="26" t="str">
        <f aca="false">IF($D680="","",IFERROR(INDEX(ClientRates!$E$5:$E$500,MATCH($B680&amp;"|"&amp;$L680,ClientRates!$A$5:$A$500,0)),0))</f>
        <v/>
      </c>
      <c r="O680" s="26" t="str">
        <f aca="false">IF($D680="","",F680*M680+G680*N680)</f>
        <v/>
      </c>
      <c r="P680" s="26" t="str">
        <f aca="false">IF(OR($D680="",$J680&lt;&gt;"Supplier"),"",IFERROR(INDEX(SupplierRates!$D$5:$D$500,MATCH($K680&amp;"|"&amp;$L680,SupplierRates!$A$5:$A$500,0)),0))</f>
        <v/>
      </c>
      <c r="Q680" s="26" t="str">
        <f aca="false">IF(OR($D680="",$J680&lt;&gt;"Supplier"),"",IFERROR(INDEX(SupplierRates!$E$5:$E$500,MATCH($K680&amp;"|"&amp;$L680,SupplierRates!$A$5:$A$500,0)),0))</f>
        <v/>
      </c>
      <c r="R680" s="26" t="n">
        <f aca="false">IF(OR($D680="",$J680&lt;&gt;"Supplier"),0,F680*P680+G680*Q680)</f>
        <v>0</v>
      </c>
      <c r="S680" s="26" t="n">
        <f aca="false">IF(OR($D680="",$J680&lt;&gt;"Own"),0,IFERROR((F680+G680*Settings!$B$13)*INDEX(Workers!$V$5:$V$2004,MATCH($D680,Workers!$A$5:$A$2004,0)),0))</f>
        <v>0</v>
      </c>
      <c r="T680" s="26" t="str">
        <f aca="false">IF($D680="","",O680-R680-S680)</f>
        <v/>
      </c>
    </row>
    <row r="681" customFormat="false" ht="15" hidden="false" customHeight="false" outlineLevel="0" collapsed="false">
      <c r="I681" s="24" t="str">
        <f aca="false">IF($D681="","",IFERROR(INDEX(Workers!$B$5:$B$2004,MATCH($D681,Workers!$A$5:$A$2004,0)),"NOT FOUND"))</f>
        <v/>
      </c>
      <c r="J681" s="24" t="str">
        <f aca="false">IF($D681="","",IFERROR(INDEX(Workers!$C$5:$C$2004,MATCH($D681,Workers!$A$5:$A$2004,0)),""))</f>
        <v/>
      </c>
      <c r="K681" s="24" t="str">
        <f aca="false">IF($D681="","",IFERROR(IF(INDEX(Workers!$D$5:$D$2004,MATCH($D681,Workers!$A$5:$A$2004,0))=0,"",INDEX(Workers!$D$5:$D$2004,MATCH($D681,Workers!$A$5:$A$2004,0))),""))</f>
        <v/>
      </c>
      <c r="L681" s="24" t="str">
        <f aca="false">IF($D681="","",IFERROR(INDEX(Workers!$E$5:$E$2004,MATCH($D681,Workers!$A$5:$A$2004,0)),""))</f>
        <v/>
      </c>
      <c r="M681" s="26" t="str">
        <f aca="false">IF($D681="","",IFERROR(INDEX(ClientRates!$D$5:$D$500,MATCH($B681&amp;"|"&amp;$L681,ClientRates!$A$5:$A$500,0)),0))</f>
        <v/>
      </c>
      <c r="N681" s="26" t="str">
        <f aca="false">IF($D681="","",IFERROR(INDEX(ClientRates!$E$5:$E$500,MATCH($B681&amp;"|"&amp;$L681,ClientRates!$A$5:$A$500,0)),0))</f>
        <v/>
      </c>
      <c r="O681" s="26" t="str">
        <f aca="false">IF($D681="","",F681*M681+G681*N681)</f>
        <v/>
      </c>
      <c r="P681" s="26" t="str">
        <f aca="false">IF(OR($D681="",$J681&lt;&gt;"Supplier"),"",IFERROR(INDEX(SupplierRates!$D$5:$D$500,MATCH($K681&amp;"|"&amp;$L681,SupplierRates!$A$5:$A$500,0)),0))</f>
        <v/>
      </c>
      <c r="Q681" s="26" t="str">
        <f aca="false">IF(OR($D681="",$J681&lt;&gt;"Supplier"),"",IFERROR(INDEX(SupplierRates!$E$5:$E$500,MATCH($K681&amp;"|"&amp;$L681,SupplierRates!$A$5:$A$500,0)),0))</f>
        <v/>
      </c>
      <c r="R681" s="26" t="n">
        <f aca="false">IF(OR($D681="",$J681&lt;&gt;"Supplier"),0,F681*P681+G681*Q681)</f>
        <v>0</v>
      </c>
      <c r="S681" s="26" t="n">
        <f aca="false">IF(OR($D681="",$J681&lt;&gt;"Own"),0,IFERROR((F681+G681*Settings!$B$13)*INDEX(Workers!$V$5:$V$2004,MATCH($D681,Workers!$A$5:$A$2004,0)),0))</f>
        <v>0</v>
      </c>
      <c r="T681" s="26" t="str">
        <f aca="false">IF($D681="","",O681-R681-S681)</f>
        <v/>
      </c>
    </row>
    <row r="682" customFormat="false" ht="15" hidden="false" customHeight="false" outlineLevel="0" collapsed="false">
      <c r="I682" s="24" t="str">
        <f aca="false">IF($D682="","",IFERROR(INDEX(Workers!$B$5:$B$2004,MATCH($D682,Workers!$A$5:$A$2004,0)),"NOT FOUND"))</f>
        <v/>
      </c>
      <c r="J682" s="24" t="str">
        <f aca="false">IF($D682="","",IFERROR(INDEX(Workers!$C$5:$C$2004,MATCH($D682,Workers!$A$5:$A$2004,0)),""))</f>
        <v/>
      </c>
      <c r="K682" s="24" t="str">
        <f aca="false">IF($D682="","",IFERROR(IF(INDEX(Workers!$D$5:$D$2004,MATCH($D682,Workers!$A$5:$A$2004,0))=0,"",INDEX(Workers!$D$5:$D$2004,MATCH($D682,Workers!$A$5:$A$2004,0))),""))</f>
        <v/>
      </c>
      <c r="L682" s="24" t="str">
        <f aca="false">IF($D682="","",IFERROR(INDEX(Workers!$E$5:$E$2004,MATCH($D682,Workers!$A$5:$A$2004,0)),""))</f>
        <v/>
      </c>
      <c r="M682" s="26" t="str">
        <f aca="false">IF($D682="","",IFERROR(INDEX(ClientRates!$D$5:$D$500,MATCH($B682&amp;"|"&amp;$L682,ClientRates!$A$5:$A$500,0)),0))</f>
        <v/>
      </c>
      <c r="N682" s="26" t="str">
        <f aca="false">IF($D682="","",IFERROR(INDEX(ClientRates!$E$5:$E$500,MATCH($B682&amp;"|"&amp;$L682,ClientRates!$A$5:$A$500,0)),0))</f>
        <v/>
      </c>
      <c r="O682" s="26" t="str">
        <f aca="false">IF($D682="","",F682*M682+G682*N682)</f>
        <v/>
      </c>
      <c r="P682" s="26" t="str">
        <f aca="false">IF(OR($D682="",$J682&lt;&gt;"Supplier"),"",IFERROR(INDEX(SupplierRates!$D$5:$D$500,MATCH($K682&amp;"|"&amp;$L682,SupplierRates!$A$5:$A$500,0)),0))</f>
        <v/>
      </c>
      <c r="Q682" s="26" t="str">
        <f aca="false">IF(OR($D682="",$J682&lt;&gt;"Supplier"),"",IFERROR(INDEX(SupplierRates!$E$5:$E$500,MATCH($K682&amp;"|"&amp;$L682,SupplierRates!$A$5:$A$500,0)),0))</f>
        <v/>
      </c>
      <c r="R682" s="26" t="n">
        <f aca="false">IF(OR($D682="",$J682&lt;&gt;"Supplier"),0,F682*P682+G682*Q682)</f>
        <v>0</v>
      </c>
      <c r="S682" s="26" t="n">
        <f aca="false">IF(OR($D682="",$J682&lt;&gt;"Own"),0,IFERROR((F682+G682*Settings!$B$13)*INDEX(Workers!$V$5:$V$2004,MATCH($D682,Workers!$A$5:$A$2004,0)),0))</f>
        <v>0</v>
      </c>
      <c r="T682" s="26" t="str">
        <f aca="false">IF($D682="","",O682-R682-S682)</f>
        <v/>
      </c>
    </row>
    <row r="683" customFormat="false" ht="15" hidden="false" customHeight="false" outlineLevel="0" collapsed="false">
      <c r="I683" s="24" t="str">
        <f aca="false">IF($D683="","",IFERROR(INDEX(Workers!$B$5:$B$2004,MATCH($D683,Workers!$A$5:$A$2004,0)),"NOT FOUND"))</f>
        <v/>
      </c>
      <c r="J683" s="24" t="str">
        <f aca="false">IF($D683="","",IFERROR(INDEX(Workers!$C$5:$C$2004,MATCH($D683,Workers!$A$5:$A$2004,0)),""))</f>
        <v/>
      </c>
      <c r="K683" s="24" t="str">
        <f aca="false">IF($D683="","",IFERROR(IF(INDEX(Workers!$D$5:$D$2004,MATCH($D683,Workers!$A$5:$A$2004,0))=0,"",INDEX(Workers!$D$5:$D$2004,MATCH($D683,Workers!$A$5:$A$2004,0))),""))</f>
        <v/>
      </c>
      <c r="L683" s="24" t="str">
        <f aca="false">IF($D683="","",IFERROR(INDEX(Workers!$E$5:$E$2004,MATCH($D683,Workers!$A$5:$A$2004,0)),""))</f>
        <v/>
      </c>
      <c r="M683" s="26" t="str">
        <f aca="false">IF($D683="","",IFERROR(INDEX(ClientRates!$D$5:$D$500,MATCH($B683&amp;"|"&amp;$L683,ClientRates!$A$5:$A$500,0)),0))</f>
        <v/>
      </c>
      <c r="N683" s="26" t="str">
        <f aca="false">IF($D683="","",IFERROR(INDEX(ClientRates!$E$5:$E$500,MATCH($B683&amp;"|"&amp;$L683,ClientRates!$A$5:$A$500,0)),0))</f>
        <v/>
      </c>
      <c r="O683" s="26" t="str">
        <f aca="false">IF($D683="","",F683*M683+G683*N683)</f>
        <v/>
      </c>
      <c r="P683" s="26" t="str">
        <f aca="false">IF(OR($D683="",$J683&lt;&gt;"Supplier"),"",IFERROR(INDEX(SupplierRates!$D$5:$D$500,MATCH($K683&amp;"|"&amp;$L683,SupplierRates!$A$5:$A$500,0)),0))</f>
        <v/>
      </c>
      <c r="Q683" s="26" t="str">
        <f aca="false">IF(OR($D683="",$J683&lt;&gt;"Supplier"),"",IFERROR(INDEX(SupplierRates!$E$5:$E$500,MATCH($K683&amp;"|"&amp;$L683,SupplierRates!$A$5:$A$500,0)),0))</f>
        <v/>
      </c>
      <c r="R683" s="26" t="n">
        <f aca="false">IF(OR($D683="",$J683&lt;&gt;"Supplier"),0,F683*P683+G683*Q683)</f>
        <v>0</v>
      </c>
      <c r="S683" s="26" t="n">
        <f aca="false">IF(OR($D683="",$J683&lt;&gt;"Own"),0,IFERROR((F683+G683*Settings!$B$13)*INDEX(Workers!$V$5:$V$2004,MATCH($D683,Workers!$A$5:$A$2004,0)),0))</f>
        <v>0</v>
      </c>
      <c r="T683" s="26" t="str">
        <f aca="false">IF($D683="","",O683-R683-S683)</f>
        <v/>
      </c>
    </row>
    <row r="684" customFormat="false" ht="15" hidden="false" customHeight="false" outlineLevel="0" collapsed="false">
      <c r="I684" s="24" t="str">
        <f aca="false">IF($D684="","",IFERROR(INDEX(Workers!$B$5:$B$2004,MATCH($D684,Workers!$A$5:$A$2004,0)),"NOT FOUND"))</f>
        <v/>
      </c>
      <c r="J684" s="24" t="str">
        <f aca="false">IF($D684="","",IFERROR(INDEX(Workers!$C$5:$C$2004,MATCH($D684,Workers!$A$5:$A$2004,0)),""))</f>
        <v/>
      </c>
      <c r="K684" s="24" t="str">
        <f aca="false">IF($D684="","",IFERROR(IF(INDEX(Workers!$D$5:$D$2004,MATCH($D684,Workers!$A$5:$A$2004,0))=0,"",INDEX(Workers!$D$5:$D$2004,MATCH($D684,Workers!$A$5:$A$2004,0))),""))</f>
        <v/>
      </c>
      <c r="L684" s="24" t="str">
        <f aca="false">IF($D684="","",IFERROR(INDEX(Workers!$E$5:$E$2004,MATCH($D684,Workers!$A$5:$A$2004,0)),""))</f>
        <v/>
      </c>
      <c r="M684" s="26" t="str">
        <f aca="false">IF($D684="","",IFERROR(INDEX(ClientRates!$D$5:$D$500,MATCH($B684&amp;"|"&amp;$L684,ClientRates!$A$5:$A$500,0)),0))</f>
        <v/>
      </c>
      <c r="N684" s="26" t="str">
        <f aca="false">IF($D684="","",IFERROR(INDEX(ClientRates!$E$5:$E$500,MATCH($B684&amp;"|"&amp;$L684,ClientRates!$A$5:$A$500,0)),0))</f>
        <v/>
      </c>
      <c r="O684" s="26" t="str">
        <f aca="false">IF($D684="","",F684*M684+G684*N684)</f>
        <v/>
      </c>
      <c r="P684" s="26" t="str">
        <f aca="false">IF(OR($D684="",$J684&lt;&gt;"Supplier"),"",IFERROR(INDEX(SupplierRates!$D$5:$D$500,MATCH($K684&amp;"|"&amp;$L684,SupplierRates!$A$5:$A$500,0)),0))</f>
        <v/>
      </c>
      <c r="Q684" s="26" t="str">
        <f aca="false">IF(OR($D684="",$J684&lt;&gt;"Supplier"),"",IFERROR(INDEX(SupplierRates!$E$5:$E$500,MATCH($K684&amp;"|"&amp;$L684,SupplierRates!$A$5:$A$500,0)),0))</f>
        <v/>
      </c>
      <c r="R684" s="26" t="n">
        <f aca="false">IF(OR($D684="",$J684&lt;&gt;"Supplier"),0,F684*P684+G684*Q684)</f>
        <v>0</v>
      </c>
      <c r="S684" s="26" t="n">
        <f aca="false">IF(OR($D684="",$J684&lt;&gt;"Own"),0,IFERROR((F684+G684*Settings!$B$13)*INDEX(Workers!$V$5:$V$2004,MATCH($D684,Workers!$A$5:$A$2004,0)),0))</f>
        <v>0</v>
      </c>
      <c r="T684" s="26" t="str">
        <f aca="false">IF($D684="","",O684-R684-S684)</f>
        <v/>
      </c>
    </row>
    <row r="685" customFormat="false" ht="15" hidden="false" customHeight="false" outlineLevel="0" collapsed="false">
      <c r="I685" s="24" t="str">
        <f aca="false">IF($D685="","",IFERROR(INDEX(Workers!$B$5:$B$2004,MATCH($D685,Workers!$A$5:$A$2004,0)),"NOT FOUND"))</f>
        <v/>
      </c>
      <c r="J685" s="24" t="str">
        <f aca="false">IF($D685="","",IFERROR(INDEX(Workers!$C$5:$C$2004,MATCH($D685,Workers!$A$5:$A$2004,0)),""))</f>
        <v/>
      </c>
      <c r="K685" s="24" t="str">
        <f aca="false">IF($D685="","",IFERROR(IF(INDEX(Workers!$D$5:$D$2004,MATCH($D685,Workers!$A$5:$A$2004,0))=0,"",INDEX(Workers!$D$5:$D$2004,MATCH($D685,Workers!$A$5:$A$2004,0))),""))</f>
        <v/>
      </c>
      <c r="L685" s="24" t="str">
        <f aca="false">IF($D685="","",IFERROR(INDEX(Workers!$E$5:$E$2004,MATCH($D685,Workers!$A$5:$A$2004,0)),""))</f>
        <v/>
      </c>
      <c r="M685" s="26" t="str">
        <f aca="false">IF($D685="","",IFERROR(INDEX(ClientRates!$D$5:$D$500,MATCH($B685&amp;"|"&amp;$L685,ClientRates!$A$5:$A$500,0)),0))</f>
        <v/>
      </c>
      <c r="N685" s="26" t="str">
        <f aca="false">IF($D685="","",IFERROR(INDEX(ClientRates!$E$5:$E$500,MATCH($B685&amp;"|"&amp;$L685,ClientRates!$A$5:$A$500,0)),0))</f>
        <v/>
      </c>
      <c r="O685" s="26" t="str">
        <f aca="false">IF($D685="","",F685*M685+G685*N685)</f>
        <v/>
      </c>
      <c r="P685" s="26" t="str">
        <f aca="false">IF(OR($D685="",$J685&lt;&gt;"Supplier"),"",IFERROR(INDEX(SupplierRates!$D$5:$D$500,MATCH($K685&amp;"|"&amp;$L685,SupplierRates!$A$5:$A$500,0)),0))</f>
        <v/>
      </c>
      <c r="Q685" s="26" t="str">
        <f aca="false">IF(OR($D685="",$J685&lt;&gt;"Supplier"),"",IFERROR(INDEX(SupplierRates!$E$5:$E$500,MATCH($K685&amp;"|"&amp;$L685,SupplierRates!$A$5:$A$500,0)),0))</f>
        <v/>
      </c>
      <c r="R685" s="26" t="n">
        <f aca="false">IF(OR($D685="",$J685&lt;&gt;"Supplier"),0,F685*P685+G685*Q685)</f>
        <v>0</v>
      </c>
      <c r="S685" s="26" t="n">
        <f aca="false">IF(OR($D685="",$J685&lt;&gt;"Own"),0,IFERROR((F685+G685*Settings!$B$13)*INDEX(Workers!$V$5:$V$2004,MATCH($D685,Workers!$A$5:$A$2004,0)),0))</f>
        <v>0</v>
      </c>
      <c r="T685" s="26" t="str">
        <f aca="false">IF($D685="","",O685-R685-S685)</f>
        <v/>
      </c>
    </row>
    <row r="686" customFormat="false" ht="15" hidden="false" customHeight="false" outlineLevel="0" collapsed="false">
      <c r="I686" s="24" t="str">
        <f aca="false">IF($D686="","",IFERROR(INDEX(Workers!$B$5:$B$2004,MATCH($D686,Workers!$A$5:$A$2004,0)),"NOT FOUND"))</f>
        <v/>
      </c>
      <c r="J686" s="24" t="str">
        <f aca="false">IF($D686="","",IFERROR(INDEX(Workers!$C$5:$C$2004,MATCH($D686,Workers!$A$5:$A$2004,0)),""))</f>
        <v/>
      </c>
      <c r="K686" s="24" t="str">
        <f aca="false">IF($D686="","",IFERROR(IF(INDEX(Workers!$D$5:$D$2004,MATCH($D686,Workers!$A$5:$A$2004,0))=0,"",INDEX(Workers!$D$5:$D$2004,MATCH($D686,Workers!$A$5:$A$2004,0))),""))</f>
        <v/>
      </c>
      <c r="L686" s="24" t="str">
        <f aca="false">IF($D686="","",IFERROR(INDEX(Workers!$E$5:$E$2004,MATCH($D686,Workers!$A$5:$A$2004,0)),""))</f>
        <v/>
      </c>
      <c r="M686" s="26" t="str">
        <f aca="false">IF($D686="","",IFERROR(INDEX(ClientRates!$D$5:$D$500,MATCH($B686&amp;"|"&amp;$L686,ClientRates!$A$5:$A$500,0)),0))</f>
        <v/>
      </c>
      <c r="N686" s="26" t="str">
        <f aca="false">IF($D686="","",IFERROR(INDEX(ClientRates!$E$5:$E$500,MATCH($B686&amp;"|"&amp;$L686,ClientRates!$A$5:$A$500,0)),0))</f>
        <v/>
      </c>
      <c r="O686" s="26" t="str">
        <f aca="false">IF($D686="","",F686*M686+G686*N686)</f>
        <v/>
      </c>
      <c r="P686" s="26" t="str">
        <f aca="false">IF(OR($D686="",$J686&lt;&gt;"Supplier"),"",IFERROR(INDEX(SupplierRates!$D$5:$D$500,MATCH($K686&amp;"|"&amp;$L686,SupplierRates!$A$5:$A$500,0)),0))</f>
        <v/>
      </c>
      <c r="Q686" s="26" t="str">
        <f aca="false">IF(OR($D686="",$J686&lt;&gt;"Supplier"),"",IFERROR(INDEX(SupplierRates!$E$5:$E$500,MATCH($K686&amp;"|"&amp;$L686,SupplierRates!$A$5:$A$500,0)),0))</f>
        <v/>
      </c>
      <c r="R686" s="26" t="n">
        <f aca="false">IF(OR($D686="",$J686&lt;&gt;"Supplier"),0,F686*P686+G686*Q686)</f>
        <v>0</v>
      </c>
      <c r="S686" s="26" t="n">
        <f aca="false">IF(OR($D686="",$J686&lt;&gt;"Own"),0,IFERROR((F686+G686*Settings!$B$13)*INDEX(Workers!$V$5:$V$2004,MATCH($D686,Workers!$A$5:$A$2004,0)),0))</f>
        <v>0</v>
      </c>
      <c r="T686" s="26" t="str">
        <f aca="false">IF($D686="","",O686-R686-S686)</f>
        <v/>
      </c>
    </row>
    <row r="687" customFormat="false" ht="15" hidden="false" customHeight="false" outlineLevel="0" collapsed="false">
      <c r="I687" s="24" t="str">
        <f aca="false">IF($D687="","",IFERROR(INDEX(Workers!$B$5:$B$2004,MATCH($D687,Workers!$A$5:$A$2004,0)),"NOT FOUND"))</f>
        <v/>
      </c>
      <c r="J687" s="24" t="str">
        <f aca="false">IF($D687="","",IFERROR(INDEX(Workers!$C$5:$C$2004,MATCH($D687,Workers!$A$5:$A$2004,0)),""))</f>
        <v/>
      </c>
      <c r="K687" s="24" t="str">
        <f aca="false">IF($D687="","",IFERROR(IF(INDEX(Workers!$D$5:$D$2004,MATCH($D687,Workers!$A$5:$A$2004,0))=0,"",INDEX(Workers!$D$5:$D$2004,MATCH($D687,Workers!$A$5:$A$2004,0))),""))</f>
        <v/>
      </c>
      <c r="L687" s="24" t="str">
        <f aca="false">IF($D687="","",IFERROR(INDEX(Workers!$E$5:$E$2004,MATCH($D687,Workers!$A$5:$A$2004,0)),""))</f>
        <v/>
      </c>
      <c r="M687" s="26" t="str">
        <f aca="false">IF($D687="","",IFERROR(INDEX(ClientRates!$D$5:$D$500,MATCH($B687&amp;"|"&amp;$L687,ClientRates!$A$5:$A$500,0)),0))</f>
        <v/>
      </c>
      <c r="N687" s="26" t="str">
        <f aca="false">IF($D687="","",IFERROR(INDEX(ClientRates!$E$5:$E$500,MATCH($B687&amp;"|"&amp;$L687,ClientRates!$A$5:$A$500,0)),0))</f>
        <v/>
      </c>
      <c r="O687" s="26" t="str">
        <f aca="false">IF($D687="","",F687*M687+G687*N687)</f>
        <v/>
      </c>
      <c r="P687" s="26" t="str">
        <f aca="false">IF(OR($D687="",$J687&lt;&gt;"Supplier"),"",IFERROR(INDEX(SupplierRates!$D$5:$D$500,MATCH($K687&amp;"|"&amp;$L687,SupplierRates!$A$5:$A$500,0)),0))</f>
        <v/>
      </c>
      <c r="Q687" s="26" t="str">
        <f aca="false">IF(OR($D687="",$J687&lt;&gt;"Supplier"),"",IFERROR(INDEX(SupplierRates!$E$5:$E$500,MATCH($K687&amp;"|"&amp;$L687,SupplierRates!$A$5:$A$500,0)),0))</f>
        <v/>
      </c>
      <c r="R687" s="26" t="n">
        <f aca="false">IF(OR($D687="",$J687&lt;&gt;"Supplier"),0,F687*P687+G687*Q687)</f>
        <v>0</v>
      </c>
      <c r="S687" s="26" t="n">
        <f aca="false">IF(OR($D687="",$J687&lt;&gt;"Own"),0,IFERROR((F687+G687*Settings!$B$13)*INDEX(Workers!$V$5:$V$2004,MATCH($D687,Workers!$A$5:$A$2004,0)),0))</f>
        <v>0</v>
      </c>
      <c r="T687" s="26" t="str">
        <f aca="false">IF($D687="","",O687-R687-S687)</f>
        <v/>
      </c>
    </row>
    <row r="688" customFormat="false" ht="15" hidden="false" customHeight="false" outlineLevel="0" collapsed="false">
      <c r="I688" s="24" t="str">
        <f aca="false">IF($D688="","",IFERROR(INDEX(Workers!$B$5:$B$2004,MATCH($D688,Workers!$A$5:$A$2004,0)),"NOT FOUND"))</f>
        <v/>
      </c>
      <c r="J688" s="24" t="str">
        <f aca="false">IF($D688="","",IFERROR(INDEX(Workers!$C$5:$C$2004,MATCH($D688,Workers!$A$5:$A$2004,0)),""))</f>
        <v/>
      </c>
      <c r="K688" s="24" t="str">
        <f aca="false">IF($D688="","",IFERROR(IF(INDEX(Workers!$D$5:$D$2004,MATCH($D688,Workers!$A$5:$A$2004,0))=0,"",INDEX(Workers!$D$5:$D$2004,MATCH($D688,Workers!$A$5:$A$2004,0))),""))</f>
        <v/>
      </c>
      <c r="L688" s="24" t="str">
        <f aca="false">IF($D688="","",IFERROR(INDEX(Workers!$E$5:$E$2004,MATCH($D688,Workers!$A$5:$A$2004,0)),""))</f>
        <v/>
      </c>
      <c r="M688" s="26" t="str">
        <f aca="false">IF($D688="","",IFERROR(INDEX(ClientRates!$D$5:$D$500,MATCH($B688&amp;"|"&amp;$L688,ClientRates!$A$5:$A$500,0)),0))</f>
        <v/>
      </c>
      <c r="N688" s="26" t="str">
        <f aca="false">IF($D688="","",IFERROR(INDEX(ClientRates!$E$5:$E$500,MATCH($B688&amp;"|"&amp;$L688,ClientRates!$A$5:$A$500,0)),0))</f>
        <v/>
      </c>
      <c r="O688" s="26" t="str">
        <f aca="false">IF($D688="","",F688*M688+G688*N688)</f>
        <v/>
      </c>
      <c r="P688" s="26" t="str">
        <f aca="false">IF(OR($D688="",$J688&lt;&gt;"Supplier"),"",IFERROR(INDEX(SupplierRates!$D$5:$D$500,MATCH($K688&amp;"|"&amp;$L688,SupplierRates!$A$5:$A$500,0)),0))</f>
        <v/>
      </c>
      <c r="Q688" s="26" t="str">
        <f aca="false">IF(OR($D688="",$J688&lt;&gt;"Supplier"),"",IFERROR(INDEX(SupplierRates!$E$5:$E$500,MATCH($K688&amp;"|"&amp;$L688,SupplierRates!$A$5:$A$500,0)),0))</f>
        <v/>
      </c>
      <c r="R688" s="26" t="n">
        <f aca="false">IF(OR($D688="",$J688&lt;&gt;"Supplier"),0,F688*P688+G688*Q688)</f>
        <v>0</v>
      </c>
      <c r="S688" s="26" t="n">
        <f aca="false">IF(OR($D688="",$J688&lt;&gt;"Own"),0,IFERROR((F688+G688*Settings!$B$13)*INDEX(Workers!$V$5:$V$2004,MATCH($D688,Workers!$A$5:$A$2004,0)),0))</f>
        <v>0</v>
      </c>
      <c r="T688" s="26" t="str">
        <f aca="false">IF($D688="","",O688-R688-S688)</f>
        <v/>
      </c>
    </row>
    <row r="689" customFormat="false" ht="15" hidden="false" customHeight="false" outlineLevel="0" collapsed="false">
      <c r="I689" s="24" t="str">
        <f aca="false">IF($D689="","",IFERROR(INDEX(Workers!$B$5:$B$2004,MATCH($D689,Workers!$A$5:$A$2004,0)),"NOT FOUND"))</f>
        <v/>
      </c>
      <c r="J689" s="24" t="str">
        <f aca="false">IF($D689="","",IFERROR(INDEX(Workers!$C$5:$C$2004,MATCH($D689,Workers!$A$5:$A$2004,0)),""))</f>
        <v/>
      </c>
      <c r="K689" s="24" t="str">
        <f aca="false">IF($D689="","",IFERROR(IF(INDEX(Workers!$D$5:$D$2004,MATCH($D689,Workers!$A$5:$A$2004,0))=0,"",INDEX(Workers!$D$5:$D$2004,MATCH($D689,Workers!$A$5:$A$2004,0))),""))</f>
        <v/>
      </c>
      <c r="L689" s="24" t="str">
        <f aca="false">IF($D689="","",IFERROR(INDEX(Workers!$E$5:$E$2004,MATCH($D689,Workers!$A$5:$A$2004,0)),""))</f>
        <v/>
      </c>
      <c r="M689" s="26" t="str">
        <f aca="false">IF($D689="","",IFERROR(INDEX(ClientRates!$D$5:$D$500,MATCH($B689&amp;"|"&amp;$L689,ClientRates!$A$5:$A$500,0)),0))</f>
        <v/>
      </c>
      <c r="N689" s="26" t="str">
        <f aca="false">IF($D689="","",IFERROR(INDEX(ClientRates!$E$5:$E$500,MATCH($B689&amp;"|"&amp;$L689,ClientRates!$A$5:$A$500,0)),0))</f>
        <v/>
      </c>
      <c r="O689" s="26" t="str">
        <f aca="false">IF($D689="","",F689*M689+G689*N689)</f>
        <v/>
      </c>
      <c r="P689" s="26" t="str">
        <f aca="false">IF(OR($D689="",$J689&lt;&gt;"Supplier"),"",IFERROR(INDEX(SupplierRates!$D$5:$D$500,MATCH($K689&amp;"|"&amp;$L689,SupplierRates!$A$5:$A$500,0)),0))</f>
        <v/>
      </c>
      <c r="Q689" s="26" t="str">
        <f aca="false">IF(OR($D689="",$J689&lt;&gt;"Supplier"),"",IFERROR(INDEX(SupplierRates!$E$5:$E$500,MATCH($K689&amp;"|"&amp;$L689,SupplierRates!$A$5:$A$500,0)),0))</f>
        <v/>
      </c>
      <c r="R689" s="26" t="n">
        <f aca="false">IF(OR($D689="",$J689&lt;&gt;"Supplier"),0,F689*P689+G689*Q689)</f>
        <v>0</v>
      </c>
      <c r="S689" s="26" t="n">
        <f aca="false">IF(OR($D689="",$J689&lt;&gt;"Own"),0,IFERROR((F689+G689*Settings!$B$13)*INDEX(Workers!$V$5:$V$2004,MATCH($D689,Workers!$A$5:$A$2004,0)),0))</f>
        <v>0</v>
      </c>
      <c r="T689" s="26" t="str">
        <f aca="false">IF($D689="","",O689-R689-S689)</f>
        <v/>
      </c>
    </row>
    <row r="690" customFormat="false" ht="15" hidden="false" customHeight="false" outlineLevel="0" collapsed="false">
      <c r="I690" s="24" t="str">
        <f aca="false">IF($D690="","",IFERROR(INDEX(Workers!$B$5:$B$2004,MATCH($D690,Workers!$A$5:$A$2004,0)),"NOT FOUND"))</f>
        <v/>
      </c>
      <c r="J690" s="24" t="str">
        <f aca="false">IF($D690="","",IFERROR(INDEX(Workers!$C$5:$C$2004,MATCH($D690,Workers!$A$5:$A$2004,0)),""))</f>
        <v/>
      </c>
      <c r="K690" s="24" t="str">
        <f aca="false">IF($D690="","",IFERROR(IF(INDEX(Workers!$D$5:$D$2004,MATCH($D690,Workers!$A$5:$A$2004,0))=0,"",INDEX(Workers!$D$5:$D$2004,MATCH($D690,Workers!$A$5:$A$2004,0))),""))</f>
        <v/>
      </c>
      <c r="L690" s="24" t="str">
        <f aca="false">IF($D690="","",IFERROR(INDEX(Workers!$E$5:$E$2004,MATCH($D690,Workers!$A$5:$A$2004,0)),""))</f>
        <v/>
      </c>
      <c r="M690" s="26" t="str">
        <f aca="false">IF($D690="","",IFERROR(INDEX(ClientRates!$D$5:$D$500,MATCH($B690&amp;"|"&amp;$L690,ClientRates!$A$5:$A$500,0)),0))</f>
        <v/>
      </c>
      <c r="N690" s="26" t="str">
        <f aca="false">IF($D690="","",IFERROR(INDEX(ClientRates!$E$5:$E$500,MATCH($B690&amp;"|"&amp;$L690,ClientRates!$A$5:$A$500,0)),0))</f>
        <v/>
      </c>
      <c r="O690" s="26" t="str">
        <f aca="false">IF($D690="","",F690*M690+G690*N690)</f>
        <v/>
      </c>
      <c r="P690" s="26" t="str">
        <f aca="false">IF(OR($D690="",$J690&lt;&gt;"Supplier"),"",IFERROR(INDEX(SupplierRates!$D$5:$D$500,MATCH($K690&amp;"|"&amp;$L690,SupplierRates!$A$5:$A$500,0)),0))</f>
        <v/>
      </c>
      <c r="Q690" s="26" t="str">
        <f aca="false">IF(OR($D690="",$J690&lt;&gt;"Supplier"),"",IFERROR(INDEX(SupplierRates!$E$5:$E$500,MATCH($K690&amp;"|"&amp;$L690,SupplierRates!$A$5:$A$500,0)),0))</f>
        <v/>
      </c>
      <c r="R690" s="26" t="n">
        <f aca="false">IF(OR($D690="",$J690&lt;&gt;"Supplier"),0,F690*P690+G690*Q690)</f>
        <v>0</v>
      </c>
      <c r="S690" s="26" t="n">
        <f aca="false">IF(OR($D690="",$J690&lt;&gt;"Own"),0,IFERROR((F690+G690*Settings!$B$13)*INDEX(Workers!$V$5:$V$2004,MATCH($D690,Workers!$A$5:$A$2004,0)),0))</f>
        <v>0</v>
      </c>
      <c r="T690" s="26" t="str">
        <f aca="false">IF($D690="","",O690-R690-S690)</f>
        <v/>
      </c>
    </row>
    <row r="691" customFormat="false" ht="15" hidden="false" customHeight="false" outlineLevel="0" collapsed="false">
      <c r="I691" s="24" t="str">
        <f aca="false">IF($D691="","",IFERROR(INDEX(Workers!$B$5:$B$2004,MATCH($D691,Workers!$A$5:$A$2004,0)),"NOT FOUND"))</f>
        <v/>
      </c>
      <c r="J691" s="24" t="str">
        <f aca="false">IF($D691="","",IFERROR(INDEX(Workers!$C$5:$C$2004,MATCH($D691,Workers!$A$5:$A$2004,0)),""))</f>
        <v/>
      </c>
      <c r="K691" s="24" t="str">
        <f aca="false">IF($D691="","",IFERROR(IF(INDEX(Workers!$D$5:$D$2004,MATCH($D691,Workers!$A$5:$A$2004,0))=0,"",INDEX(Workers!$D$5:$D$2004,MATCH($D691,Workers!$A$5:$A$2004,0))),""))</f>
        <v/>
      </c>
      <c r="L691" s="24" t="str">
        <f aca="false">IF($D691="","",IFERROR(INDEX(Workers!$E$5:$E$2004,MATCH($D691,Workers!$A$5:$A$2004,0)),""))</f>
        <v/>
      </c>
      <c r="M691" s="26" t="str">
        <f aca="false">IF($D691="","",IFERROR(INDEX(ClientRates!$D$5:$D$500,MATCH($B691&amp;"|"&amp;$L691,ClientRates!$A$5:$A$500,0)),0))</f>
        <v/>
      </c>
      <c r="N691" s="26" t="str">
        <f aca="false">IF($D691="","",IFERROR(INDEX(ClientRates!$E$5:$E$500,MATCH($B691&amp;"|"&amp;$L691,ClientRates!$A$5:$A$500,0)),0))</f>
        <v/>
      </c>
      <c r="O691" s="26" t="str">
        <f aca="false">IF($D691="","",F691*M691+G691*N691)</f>
        <v/>
      </c>
      <c r="P691" s="26" t="str">
        <f aca="false">IF(OR($D691="",$J691&lt;&gt;"Supplier"),"",IFERROR(INDEX(SupplierRates!$D$5:$D$500,MATCH($K691&amp;"|"&amp;$L691,SupplierRates!$A$5:$A$500,0)),0))</f>
        <v/>
      </c>
      <c r="Q691" s="26" t="str">
        <f aca="false">IF(OR($D691="",$J691&lt;&gt;"Supplier"),"",IFERROR(INDEX(SupplierRates!$E$5:$E$500,MATCH($K691&amp;"|"&amp;$L691,SupplierRates!$A$5:$A$500,0)),0))</f>
        <v/>
      </c>
      <c r="R691" s="26" t="n">
        <f aca="false">IF(OR($D691="",$J691&lt;&gt;"Supplier"),0,F691*P691+G691*Q691)</f>
        <v>0</v>
      </c>
      <c r="S691" s="26" t="n">
        <f aca="false">IF(OR($D691="",$J691&lt;&gt;"Own"),0,IFERROR((F691+G691*Settings!$B$13)*INDEX(Workers!$V$5:$V$2004,MATCH($D691,Workers!$A$5:$A$2004,0)),0))</f>
        <v>0</v>
      </c>
      <c r="T691" s="26" t="str">
        <f aca="false">IF($D691="","",O691-R691-S691)</f>
        <v/>
      </c>
    </row>
    <row r="692" customFormat="false" ht="15" hidden="false" customHeight="false" outlineLevel="0" collapsed="false">
      <c r="I692" s="24" t="str">
        <f aca="false">IF($D692="","",IFERROR(INDEX(Workers!$B$5:$B$2004,MATCH($D692,Workers!$A$5:$A$2004,0)),"NOT FOUND"))</f>
        <v/>
      </c>
      <c r="J692" s="24" t="str">
        <f aca="false">IF($D692="","",IFERROR(INDEX(Workers!$C$5:$C$2004,MATCH($D692,Workers!$A$5:$A$2004,0)),""))</f>
        <v/>
      </c>
      <c r="K692" s="24" t="str">
        <f aca="false">IF($D692="","",IFERROR(IF(INDEX(Workers!$D$5:$D$2004,MATCH($D692,Workers!$A$5:$A$2004,0))=0,"",INDEX(Workers!$D$5:$D$2004,MATCH($D692,Workers!$A$5:$A$2004,0))),""))</f>
        <v/>
      </c>
      <c r="L692" s="24" t="str">
        <f aca="false">IF($D692="","",IFERROR(INDEX(Workers!$E$5:$E$2004,MATCH($D692,Workers!$A$5:$A$2004,0)),""))</f>
        <v/>
      </c>
      <c r="M692" s="26" t="str">
        <f aca="false">IF($D692="","",IFERROR(INDEX(ClientRates!$D$5:$D$500,MATCH($B692&amp;"|"&amp;$L692,ClientRates!$A$5:$A$500,0)),0))</f>
        <v/>
      </c>
      <c r="N692" s="26" t="str">
        <f aca="false">IF($D692="","",IFERROR(INDEX(ClientRates!$E$5:$E$500,MATCH($B692&amp;"|"&amp;$L692,ClientRates!$A$5:$A$500,0)),0))</f>
        <v/>
      </c>
      <c r="O692" s="26" t="str">
        <f aca="false">IF($D692="","",F692*M692+G692*N692)</f>
        <v/>
      </c>
      <c r="P692" s="26" t="str">
        <f aca="false">IF(OR($D692="",$J692&lt;&gt;"Supplier"),"",IFERROR(INDEX(SupplierRates!$D$5:$D$500,MATCH($K692&amp;"|"&amp;$L692,SupplierRates!$A$5:$A$500,0)),0))</f>
        <v/>
      </c>
      <c r="Q692" s="26" t="str">
        <f aca="false">IF(OR($D692="",$J692&lt;&gt;"Supplier"),"",IFERROR(INDEX(SupplierRates!$E$5:$E$500,MATCH($K692&amp;"|"&amp;$L692,SupplierRates!$A$5:$A$500,0)),0))</f>
        <v/>
      </c>
      <c r="R692" s="26" t="n">
        <f aca="false">IF(OR($D692="",$J692&lt;&gt;"Supplier"),0,F692*P692+G692*Q692)</f>
        <v>0</v>
      </c>
      <c r="S692" s="26" t="n">
        <f aca="false">IF(OR($D692="",$J692&lt;&gt;"Own"),0,IFERROR((F692+G692*Settings!$B$13)*INDEX(Workers!$V$5:$V$2004,MATCH($D692,Workers!$A$5:$A$2004,0)),0))</f>
        <v>0</v>
      </c>
      <c r="T692" s="26" t="str">
        <f aca="false">IF($D692="","",O692-R692-S692)</f>
        <v/>
      </c>
    </row>
    <row r="693" customFormat="false" ht="15" hidden="false" customHeight="false" outlineLevel="0" collapsed="false">
      <c r="I693" s="24" t="str">
        <f aca="false">IF($D693="","",IFERROR(INDEX(Workers!$B$5:$B$2004,MATCH($D693,Workers!$A$5:$A$2004,0)),"NOT FOUND"))</f>
        <v/>
      </c>
      <c r="J693" s="24" t="str">
        <f aca="false">IF($D693="","",IFERROR(INDEX(Workers!$C$5:$C$2004,MATCH($D693,Workers!$A$5:$A$2004,0)),""))</f>
        <v/>
      </c>
      <c r="K693" s="24" t="str">
        <f aca="false">IF($D693="","",IFERROR(IF(INDEX(Workers!$D$5:$D$2004,MATCH($D693,Workers!$A$5:$A$2004,0))=0,"",INDEX(Workers!$D$5:$D$2004,MATCH($D693,Workers!$A$5:$A$2004,0))),""))</f>
        <v/>
      </c>
      <c r="L693" s="24" t="str">
        <f aca="false">IF($D693="","",IFERROR(INDEX(Workers!$E$5:$E$2004,MATCH($D693,Workers!$A$5:$A$2004,0)),""))</f>
        <v/>
      </c>
      <c r="M693" s="26" t="str">
        <f aca="false">IF($D693="","",IFERROR(INDEX(ClientRates!$D$5:$D$500,MATCH($B693&amp;"|"&amp;$L693,ClientRates!$A$5:$A$500,0)),0))</f>
        <v/>
      </c>
      <c r="N693" s="26" t="str">
        <f aca="false">IF($D693="","",IFERROR(INDEX(ClientRates!$E$5:$E$500,MATCH($B693&amp;"|"&amp;$L693,ClientRates!$A$5:$A$500,0)),0))</f>
        <v/>
      </c>
      <c r="O693" s="26" t="str">
        <f aca="false">IF($D693="","",F693*M693+G693*N693)</f>
        <v/>
      </c>
      <c r="P693" s="26" t="str">
        <f aca="false">IF(OR($D693="",$J693&lt;&gt;"Supplier"),"",IFERROR(INDEX(SupplierRates!$D$5:$D$500,MATCH($K693&amp;"|"&amp;$L693,SupplierRates!$A$5:$A$500,0)),0))</f>
        <v/>
      </c>
      <c r="Q693" s="26" t="str">
        <f aca="false">IF(OR($D693="",$J693&lt;&gt;"Supplier"),"",IFERROR(INDEX(SupplierRates!$E$5:$E$500,MATCH($K693&amp;"|"&amp;$L693,SupplierRates!$A$5:$A$500,0)),0))</f>
        <v/>
      </c>
      <c r="R693" s="26" t="n">
        <f aca="false">IF(OR($D693="",$J693&lt;&gt;"Supplier"),0,F693*P693+G693*Q693)</f>
        <v>0</v>
      </c>
      <c r="S693" s="26" t="n">
        <f aca="false">IF(OR($D693="",$J693&lt;&gt;"Own"),0,IFERROR((F693+G693*Settings!$B$13)*INDEX(Workers!$V$5:$V$2004,MATCH($D693,Workers!$A$5:$A$2004,0)),0))</f>
        <v>0</v>
      </c>
      <c r="T693" s="26" t="str">
        <f aca="false">IF($D693="","",O693-R693-S693)</f>
        <v/>
      </c>
    </row>
    <row r="694" customFormat="false" ht="15" hidden="false" customHeight="false" outlineLevel="0" collapsed="false">
      <c r="I694" s="24" t="str">
        <f aca="false">IF($D694="","",IFERROR(INDEX(Workers!$B$5:$B$2004,MATCH($D694,Workers!$A$5:$A$2004,0)),"NOT FOUND"))</f>
        <v/>
      </c>
      <c r="J694" s="24" t="str">
        <f aca="false">IF($D694="","",IFERROR(INDEX(Workers!$C$5:$C$2004,MATCH($D694,Workers!$A$5:$A$2004,0)),""))</f>
        <v/>
      </c>
      <c r="K694" s="24" t="str">
        <f aca="false">IF($D694="","",IFERROR(IF(INDEX(Workers!$D$5:$D$2004,MATCH($D694,Workers!$A$5:$A$2004,0))=0,"",INDEX(Workers!$D$5:$D$2004,MATCH($D694,Workers!$A$5:$A$2004,0))),""))</f>
        <v/>
      </c>
      <c r="L694" s="24" t="str">
        <f aca="false">IF($D694="","",IFERROR(INDEX(Workers!$E$5:$E$2004,MATCH($D694,Workers!$A$5:$A$2004,0)),""))</f>
        <v/>
      </c>
      <c r="M694" s="26" t="str">
        <f aca="false">IF($D694="","",IFERROR(INDEX(ClientRates!$D$5:$D$500,MATCH($B694&amp;"|"&amp;$L694,ClientRates!$A$5:$A$500,0)),0))</f>
        <v/>
      </c>
      <c r="N694" s="26" t="str">
        <f aca="false">IF($D694="","",IFERROR(INDEX(ClientRates!$E$5:$E$500,MATCH($B694&amp;"|"&amp;$L694,ClientRates!$A$5:$A$500,0)),0))</f>
        <v/>
      </c>
      <c r="O694" s="26" t="str">
        <f aca="false">IF($D694="","",F694*M694+G694*N694)</f>
        <v/>
      </c>
      <c r="P694" s="26" t="str">
        <f aca="false">IF(OR($D694="",$J694&lt;&gt;"Supplier"),"",IFERROR(INDEX(SupplierRates!$D$5:$D$500,MATCH($K694&amp;"|"&amp;$L694,SupplierRates!$A$5:$A$500,0)),0))</f>
        <v/>
      </c>
      <c r="Q694" s="26" t="str">
        <f aca="false">IF(OR($D694="",$J694&lt;&gt;"Supplier"),"",IFERROR(INDEX(SupplierRates!$E$5:$E$500,MATCH($K694&amp;"|"&amp;$L694,SupplierRates!$A$5:$A$500,0)),0))</f>
        <v/>
      </c>
      <c r="R694" s="26" t="n">
        <f aca="false">IF(OR($D694="",$J694&lt;&gt;"Supplier"),0,F694*P694+G694*Q694)</f>
        <v>0</v>
      </c>
      <c r="S694" s="26" t="n">
        <f aca="false">IF(OR($D694="",$J694&lt;&gt;"Own"),0,IFERROR((F694+G694*Settings!$B$13)*INDEX(Workers!$V$5:$V$2004,MATCH($D694,Workers!$A$5:$A$2004,0)),0))</f>
        <v>0</v>
      </c>
      <c r="T694" s="26" t="str">
        <f aca="false">IF($D694="","",O694-R694-S694)</f>
        <v/>
      </c>
    </row>
    <row r="695" customFormat="false" ht="15" hidden="false" customHeight="false" outlineLevel="0" collapsed="false">
      <c r="I695" s="24" t="str">
        <f aca="false">IF($D695="","",IFERROR(INDEX(Workers!$B$5:$B$2004,MATCH($D695,Workers!$A$5:$A$2004,0)),"NOT FOUND"))</f>
        <v/>
      </c>
      <c r="J695" s="24" t="str">
        <f aca="false">IF($D695="","",IFERROR(INDEX(Workers!$C$5:$C$2004,MATCH($D695,Workers!$A$5:$A$2004,0)),""))</f>
        <v/>
      </c>
      <c r="K695" s="24" t="str">
        <f aca="false">IF($D695="","",IFERROR(IF(INDEX(Workers!$D$5:$D$2004,MATCH($D695,Workers!$A$5:$A$2004,0))=0,"",INDEX(Workers!$D$5:$D$2004,MATCH($D695,Workers!$A$5:$A$2004,0))),""))</f>
        <v/>
      </c>
      <c r="L695" s="24" t="str">
        <f aca="false">IF($D695="","",IFERROR(INDEX(Workers!$E$5:$E$2004,MATCH($D695,Workers!$A$5:$A$2004,0)),""))</f>
        <v/>
      </c>
      <c r="M695" s="26" t="str">
        <f aca="false">IF($D695="","",IFERROR(INDEX(ClientRates!$D$5:$D$500,MATCH($B695&amp;"|"&amp;$L695,ClientRates!$A$5:$A$500,0)),0))</f>
        <v/>
      </c>
      <c r="N695" s="26" t="str">
        <f aca="false">IF($D695="","",IFERROR(INDEX(ClientRates!$E$5:$E$500,MATCH($B695&amp;"|"&amp;$L695,ClientRates!$A$5:$A$500,0)),0))</f>
        <v/>
      </c>
      <c r="O695" s="26" t="str">
        <f aca="false">IF($D695="","",F695*M695+G695*N695)</f>
        <v/>
      </c>
      <c r="P695" s="26" t="str">
        <f aca="false">IF(OR($D695="",$J695&lt;&gt;"Supplier"),"",IFERROR(INDEX(SupplierRates!$D$5:$D$500,MATCH($K695&amp;"|"&amp;$L695,SupplierRates!$A$5:$A$500,0)),0))</f>
        <v/>
      </c>
      <c r="Q695" s="26" t="str">
        <f aca="false">IF(OR($D695="",$J695&lt;&gt;"Supplier"),"",IFERROR(INDEX(SupplierRates!$E$5:$E$500,MATCH($K695&amp;"|"&amp;$L695,SupplierRates!$A$5:$A$500,0)),0))</f>
        <v/>
      </c>
      <c r="R695" s="26" t="n">
        <f aca="false">IF(OR($D695="",$J695&lt;&gt;"Supplier"),0,F695*P695+G695*Q695)</f>
        <v>0</v>
      </c>
      <c r="S695" s="26" t="n">
        <f aca="false">IF(OR($D695="",$J695&lt;&gt;"Own"),0,IFERROR((F695+G695*Settings!$B$13)*INDEX(Workers!$V$5:$V$2004,MATCH($D695,Workers!$A$5:$A$2004,0)),0))</f>
        <v>0</v>
      </c>
      <c r="T695" s="26" t="str">
        <f aca="false">IF($D695="","",O695-R695-S695)</f>
        <v/>
      </c>
    </row>
    <row r="696" customFormat="false" ht="15" hidden="false" customHeight="false" outlineLevel="0" collapsed="false">
      <c r="I696" s="24" t="str">
        <f aca="false">IF($D696="","",IFERROR(INDEX(Workers!$B$5:$B$2004,MATCH($D696,Workers!$A$5:$A$2004,0)),"NOT FOUND"))</f>
        <v/>
      </c>
      <c r="J696" s="24" t="str">
        <f aca="false">IF($D696="","",IFERROR(INDEX(Workers!$C$5:$C$2004,MATCH($D696,Workers!$A$5:$A$2004,0)),""))</f>
        <v/>
      </c>
      <c r="K696" s="24" t="str">
        <f aca="false">IF($D696="","",IFERROR(IF(INDEX(Workers!$D$5:$D$2004,MATCH($D696,Workers!$A$5:$A$2004,0))=0,"",INDEX(Workers!$D$5:$D$2004,MATCH($D696,Workers!$A$5:$A$2004,0))),""))</f>
        <v/>
      </c>
      <c r="L696" s="24" t="str">
        <f aca="false">IF($D696="","",IFERROR(INDEX(Workers!$E$5:$E$2004,MATCH($D696,Workers!$A$5:$A$2004,0)),""))</f>
        <v/>
      </c>
      <c r="M696" s="26" t="str">
        <f aca="false">IF($D696="","",IFERROR(INDEX(ClientRates!$D$5:$D$500,MATCH($B696&amp;"|"&amp;$L696,ClientRates!$A$5:$A$500,0)),0))</f>
        <v/>
      </c>
      <c r="N696" s="26" t="str">
        <f aca="false">IF($D696="","",IFERROR(INDEX(ClientRates!$E$5:$E$500,MATCH($B696&amp;"|"&amp;$L696,ClientRates!$A$5:$A$500,0)),0))</f>
        <v/>
      </c>
      <c r="O696" s="26" t="str">
        <f aca="false">IF($D696="","",F696*M696+G696*N696)</f>
        <v/>
      </c>
      <c r="P696" s="26" t="str">
        <f aca="false">IF(OR($D696="",$J696&lt;&gt;"Supplier"),"",IFERROR(INDEX(SupplierRates!$D$5:$D$500,MATCH($K696&amp;"|"&amp;$L696,SupplierRates!$A$5:$A$500,0)),0))</f>
        <v/>
      </c>
      <c r="Q696" s="26" t="str">
        <f aca="false">IF(OR($D696="",$J696&lt;&gt;"Supplier"),"",IFERROR(INDEX(SupplierRates!$E$5:$E$500,MATCH($K696&amp;"|"&amp;$L696,SupplierRates!$A$5:$A$500,0)),0))</f>
        <v/>
      </c>
      <c r="R696" s="26" t="n">
        <f aca="false">IF(OR($D696="",$J696&lt;&gt;"Supplier"),0,F696*P696+G696*Q696)</f>
        <v>0</v>
      </c>
      <c r="S696" s="26" t="n">
        <f aca="false">IF(OR($D696="",$J696&lt;&gt;"Own"),0,IFERROR((F696+G696*Settings!$B$13)*INDEX(Workers!$V$5:$V$2004,MATCH($D696,Workers!$A$5:$A$2004,0)),0))</f>
        <v>0</v>
      </c>
      <c r="T696" s="26" t="str">
        <f aca="false">IF($D696="","",O696-R696-S696)</f>
        <v/>
      </c>
    </row>
    <row r="697" customFormat="false" ht="15" hidden="false" customHeight="false" outlineLevel="0" collapsed="false">
      <c r="I697" s="24" t="str">
        <f aca="false">IF($D697="","",IFERROR(INDEX(Workers!$B$5:$B$2004,MATCH($D697,Workers!$A$5:$A$2004,0)),"NOT FOUND"))</f>
        <v/>
      </c>
      <c r="J697" s="24" t="str">
        <f aca="false">IF($D697="","",IFERROR(INDEX(Workers!$C$5:$C$2004,MATCH($D697,Workers!$A$5:$A$2004,0)),""))</f>
        <v/>
      </c>
      <c r="K697" s="24" t="str">
        <f aca="false">IF($D697="","",IFERROR(IF(INDEX(Workers!$D$5:$D$2004,MATCH($D697,Workers!$A$5:$A$2004,0))=0,"",INDEX(Workers!$D$5:$D$2004,MATCH($D697,Workers!$A$5:$A$2004,0))),""))</f>
        <v/>
      </c>
      <c r="L697" s="24" t="str">
        <f aca="false">IF($D697="","",IFERROR(INDEX(Workers!$E$5:$E$2004,MATCH($D697,Workers!$A$5:$A$2004,0)),""))</f>
        <v/>
      </c>
      <c r="M697" s="26" t="str">
        <f aca="false">IF($D697="","",IFERROR(INDEX(ClientRates!$D$5:$D$500,MATCH($B697&amp;"|"&amp;$L697,ClientRates!$A$5:$A$500,0)),0))</f>
        <v/>
      </c>
      <c r="N697" s="26" t="str">
        <f aca="false">IF($D697="","",IFERROR(INDEX(ClientRates!$E$5:$E$500,MATCH($B697&amp;"|"&amp;$L697,ClientRates!$A$5:$A$500,0)),0))</f>
        <v/>
      </c>
      <c r="O697" s="26" t="str">
        <f aca="false">IF($D697="","",F697*M697+G697*N697)</f>
        <v/>
      </c>
      <c r="P697" s="26" t="str">
        <f aca="false">IF(OR($D697="",$J697&lt;&gt;"Supplier"),"",IFERROR(INDEX(SupplierRates!$D$5:$D$500,MATCH($K697&amp;"|"&amp;$L697,SupplierRates!$A$5:$A$500,0)),0))</f>
        <v/>
      </c>
      <c r="Q697" s="26" t="str">
        <f aca="false">IF(OR($D697="",$J697&lt;&gt;"Supplier"),"",IFERROR(INDEX(SupplierRates!$E$5:$E$500,MATCH($K697&amp;"|"&amp;$L697,SupplierRates!$A$5:$A$500,0)),0))</f>
        <v/>
      </c>
      <c r="R697" s="26" t="n">
        <f aca="false">IF(OR($D697="",$J697&lt;&gt;"Supplier"),0,F697*P697+G697*Q697)</f>
        <v>0</v>
      </c>
      <c r="S697" s="26" t="n">
        <f aca="false">IF(OR($D697="",$J697&lt;&gt;"Own"),0,IFERROR((F697+G697*Settings!$B$13)*INDEX(Workers!$V$5:$V$2004,MATCH($D697,Workers!$A$5:$A$2004,0)),0))</f>
        <v>0</v>
      </c>
      <c r="T697" s="26" t="str">
        <f aca="false">IF($D697="","",O697-R697-S697)</f>
        <v/>
      </c>
    </row>
    <row r="698" customFormat="false" ht="15" hidden="false" customHeight="false" outlineLevel="0" collapsed="false">
      <c r="I698" s="24" t="str">
        <f aca="false">IF($D698="","",IFERROR(INDEX(Workers!$B$5:$B$2004,MATCH($D698,Workers!$A$5:$A$2004,0)),"NOT FOUND"))</f>
        <v/>
      </c>
      <c r="J698" s="24" t="str">
        <f aca="false">IF($D698="","",IFERROR(INDEX(Workers!$C$5:$C$2004,MATCH($D698,Workers!$A$5:$A$2004,0)),""))</f>
        <v/>
      </c>
      <c r="K698" s="24" t="str">
        <f aca="false">IF($D698="","",IFERROR(IF(INDEX(Workers!$D$5:$D$2004,MATCH($D698,Workers!$A$5:$A$2004,0))=0,"",INDEX(Workers!$D$5:$D$2004,MATCH($D698,Workers!$A$5:$A$2004,0))),""))</f>
        <v/>
      </c>
      <c r="L698" s="24" t="str">
        <f aca="false">IF($D698="","",IFERROR(INDEX(Workers!$E$5:$E$2004,MATCH($D698,Workers!$A$5:$A$2004,0)),""))</f>
        <v/>
      </c>
      <c r="M698" s="26" t="str">
        <f aca="false">IF($D698="","",IFERROR(INDEX(ClientRates!$D$5:$D$500,MATCH($B698&amp;"|"&amp;$L698,ClientRates!$A$5:$A$500,0)),0))</f>
        <v/>
      </c>
      <c r="N698" s="26" t="str">
        <f aca="false">IF($D698="","",IFERROR(INDEX(ClientRates!$E$5:$E$500,MATCH($B698&amp;"|"&amp;$L698,ClientRates!$A$5:$A$500,0)),0))</f>
        <v/>
      </c>
      <c r="O698" s="26" t="str">
        <f aca="false">IF($D698="","",F698*M698+G698*N698)</f>
        <v/>
      </c>
      <c r="P698" s="26" t="str">
        <f aca="false">IF(OR($D698="",$J698&lt;&gt;"Supplier"),"",IFERROR(INDEX(SupplierRates!$D$5:$D$500,MATCH($K698&amp;"|"&amp;$L698,SupplierRates!$A$5:$A$500,0)),0))</f>
        <v/>
      </c>
      <c r="Q698" s="26" t="str">
        <f aca="false">IF(OR($D698="",$J698&lt;&gt;"Supplier"),"",IFERROR(INDEX(SupplierRates!$E$5:$E$500,MATCH($K698&amp;"|"&amp;$L698,SupplierRates!$A$5:$A$500,0)),0))</f>
        <v/>
      </c>
      <c r="R698" s="26" t="n">
        <f aca="false">IF(OR($D698="",$J698&lt;&gt;"Supplier"),0,F698*P698+G698*Q698)</f>
        <v>0</v>
      </c>
      <c r="S698" s="26" t="n">
        <f aca="false">IF(OR($D698="",$J698&lt;&gt;"Own"),0,IFERROR((F698+G698*Settings!$B$13)*INDEX(Workers!$V$5:$V$2004,MATCH($D698,Workers!$A$5:$A$2004,0)),0))</f>
        <v>0</v>
      </c>
      <c r="T698" s="26" t="str">
        <f aca="false">IF($D698="","",O698-R698-S698)</f>
        <v/>
      </c>
    </row>
    <row r="699" customFormat="false" ht="15" hidden="false" customHeight="false" outlineLevel="0" collapsed="false">
      <c r="I699" s="24" t="str">
        <f aca="false">IF($D699="","",IFERROR(INDEX(Workers!$B$5:$B$2004,MATCH($D699,Workers!$A$5:$A$2004,0)),"NOT FOUND"))</f>
        <v/>
      </c>
      <c r="J699" s="24" t="str">
        <f aca="false">IF($D699="","",IFERROR(INDEX(Workers!$C$5:$C$2004,MATCH($D699,Workers!$A$5:$A$2004,0)),""))</f>
        <v/>
      </c>
      <c r="K699" s="24" t="str">
        <f aca="false">IF($D699="","",IFERROR(IF(INDEX(Workers!$D$5:$D$2004,MATCH($D699,Workers!$A$5:$A$2004,0))=0,"",INDEX(Workers!$D$5:$D$2004,MATCH($D699,Workers!$A$5:$A$2004,0))),""))</f>
        <v/>
      </c>
      <c r="L699" s="24" t="str">
        <f aca="false">IF($D699="","",IFERROR(INDEX(Workers!$E$5:$E$2004,MATCH($D699,Workers!$A$5:$A$2004,0)),""))</f>
        <v/>
      </c>
      <c r="M699" s="26" t="str">
        <f aca="false">IF($D699="","",IFERROR(INDEX(ClientRates!$D$5:$D$500,MATCH($B699&amp;"|"&amp;$L699,ClientRates!$A$5:$A$500,0)),0))</f>
        <v/>
      </c>
      <c r="N699" s="26" t="str">
        <f aca="false">IF($D699="","",IFERROR(INDEX(ClientRates!$E$5:$E$500,MATCH($B699&amp;"|"&amp;$L699,ClientRates!$A$5:$A$500,0)),0))</f>
        <v/>
      </c>
      <c r="O699" s="26" t="str">
        <f aca="false">IF($D699="","",F699*M699+G699*N699)</f>
        <v/>
      </c>
      <c r="P699" s="26" t="str">
        <f aca="false">IF(OR($D699="",$J699&lt;&gt;"Supplier"),"",IFERROR(INDEX(SupplierRates!$D$5:$D$500,MATCH($K699&amp;"|"&amp;$L699,SupplierRates!$A$5:$A$500,0)),0))</f>
        <v/>
      </c>
      <c r="Q699" s="26" t="str">
        <f aca="false">IF(OR($D699="",$J699&lt;&gt;"Supplier"),"",IFERROR(INDEX(SupplierRates!$E$5:$E$500,MATCH($K699&amp;"|"&amp;$L699,SupplierRates!$A$5:$A$500,0)),0))</f>
        <v/>
      </c>
      <c r="R699" s="26" t="n">
        <f aca="false">IF(OR($D699="",$J699&lt;&gt;"Supplier"),0,F699*P699+G699*Q699)</f>
        <v>0</v>
      </c>
      <c r="S699" s="26" t="n">
        <f aca="false">IF(OR($D699="",$J699&lt;&gt;"Own"),0,IFERROR((F699+G699*Settings!$B$13)*INDEX(Workers!$V$5:$V$2004,MATCH($D699,Workers!$A$5:$A$2004,0)),0))</f>
        <v>0</v>
      </c>
      <c r="T699" s="26" t="str">
        <f aca="false">IF($D699="","",O699-R699-S699)</f>
        <v/>
      </c>
    </row>
    <row r="700" customFormat="false" ht="15" hidden="false" customHeight="false" outlineLevel="0" collapsed="false">
      <c r="I700" s="24" t="str">
        <f aca="false">IF($D700="","",IFERROR(INDEX(Workers!$B$5:$B$2004,MATCH($D700,Workers!$A$5:$A$2004,0)),"NOT FOUND"))</f>
        <v/>
      </c>
      <c r="J700" s="24" t="str">
        <f aca="false">IF($D700="","",IFERROR(INDEX(Workers!$C$5:$C$2004,MATCH($D700,Workers!$A$5:$A$2004,0)),""))</f>
        <v/>
      </c>
      <c r="K700" s="24" t="str">
        <f aca="false">IF($D700="","",IFERROR(IF(INDEX(Workers!$D$5:$D$2004,MATCH($D700,Workers!$A$5:$A$2004,0))=0,"",INDEX(Workers!$D$5:$D$2004,MATCH($D700,Workers!$A$5:$A$2004,0))),""))</f>
        <v/>
      </c>
      <c r="L700" s="24" t="str">
        <f aca="false">IF($D700="","",IFERROR(INDEX(Workers!$E$5:$E$2004,MATCH($D700,Workers!$A$5:$A$2004,0)),""))</f>
        <v/>
      </c>
      <c r="M700" s="26" t="str">
        <f aca="false">IF($D700="","",IFERROR(INDEX(ClientRates!$D$5:$D$500,MATCH($B700&amp;"|"&amp;$L700,ClientRates!$A$5:$A$500,0)),0))</f>
        <v/>
      </c>
      <c r="N700" s="26" t="str">
        <f aca="false">IF($D700="","",IFERROR(INDEX(ClientRates!$E$5:$E$500,MATCH($B700&amp;"|"&amp;$L700,ClientRates!$A$5:$A$500,0)),0))</f>
        <v/>
      </c>
      <c r="O700" s="26" t="str">
        <f aca="false">IF($D700="","",F700*M700+G700*N700)</f>
        <v/>
      </c>
      <c r="P700" s="26" t="str">
        <f aca="false">IF(OR($D700="",$J700&lt;&gt;"Supplier"),"",IFERROR(INDEX(SupplierRates!$D$5:$D$500,MATCH($K700&amp;"|"&amp;$L700,SupplierRates!$A$5:$A$500,0)),0))</f>
        <v/>
      </c>
      <c r="Q700" s="26" t="str">
        <f aca="false">IF(OR($D700="",$J700&lt;&gt;"Supplier"),"",IFERROR(INDEX(SupplierRates!$E$5:$E$500,MATCH($K700&amp;"|"&amp;$L700,SupplierRates!$A$5:$A$500,0)),0))</f>
        <v/>
      </c>
      <c r="R700" s="26" t="n">
        <f aca="false">IF(OR($D700="",$J700&lt;&gt;"Supplier"),0,F700*P700+G700*Q700)</f>
        <v>0</v>
      </c>
      <c r="S700" s="26" t="n">
        <f aca="false">IF(OR($D700="",$J700&lt;&gt;"Own"),0,IFERROR((F700+G700*Settings!$B$13)*INDEX(Workers!$V$5:$V$2004,MATCH($D700,Workers!$A$5:$A$2004,0)),0))</f>
        <v>0</v>
      </c>
      <c r="T700" s="26" t="str">
        <f aca="false">IF($D700="","",O700-R700-S700)</f>
        <v/>
      </c>
    </row>
    <row r="701" customFormat="false" ht="15" hidden="false" customHeight="false" outlineLevel="0" collapsed="false">
      <c r="I701" s="24" t="str">
        <f aca="false">IF($D701="","",IFERROR(INDEX(Workers!$B$5:$B$2004,MATCH($D701,Workers!$A$5:$A$2004,0)),"NOT FOUND"))</f>
        <v/>
      </c>
      <c r="J701" s="24" t="str">
        <f aca="false">IF($D701="","",IFERROR(INDEX(Workers!$C$5:$C$2004,MATCH($D701,Workers!$A$5:$A$2004,0)),""))</f>
        <v/>
      </c>
      <c r="K701" s="24" t="str">
        <f aca="false">IF($D701="","",IFERROR(IF(INDEX(Workers!$D$5:$D$2004,MATCH($D701,Workers!$A$5:$A$2004,0))=0,"",INDEX(Workers!$D$5:$D$2004,MATCH($D701,Workers!$A$5:$A$2004,0))),""))</f>
        <v/>
      </c>
      <c r="L701" s="24" t="str">
        <f aca="false">IF($D701="","",IFERROR(INDEX(Workers!$E$5:$E$2004,MATCH($D701,Workers!$A$5:$A$2004,0)),""))</f>
        <v/>
      </c>
      <c r="M701" s="26" t="str">
        <f aca="false">IF($D701="","",IFERROR(INDEX(ClientRates!$D$5:$D$500,MATCH($B701&amp;"|"&amp;$L701,ClientRates!$A$5:$A$500,0)),0))</f>
        <v/>
      </c>
      <c r="N701" s="26" t="str">
        <f aca="false">IF($D701="","",IFERROR(INDEX(ClientRates!$E$5:$E$500,MATCH($B701&amp;"|"&amp;$L701,ClientRates!$A$5:$A$500,0)),0))</f>
        <v/>
      </c>
      <c r="O701" s="26" t="str">
        <f aca="false">IF($D701="","",F701*M701+G701*N701)</f>
        <v/>
      </c>
      <c r="P701" s="26" t="str">
        <f aca="false">IF(OR($D701="",$J701&lt;&gt;"Supplier"),"",IFERROR(INDEX(SupplierRates!$D$5:$D$500,MATCH($K701&amp;"|"&amp;$L701,SupplierRates!$A$5:$A$500,0)),0))</f>
        <v/>
      </c>
      <c r="Q701" s="26" t="str">
        <f aca="false">IF(OR($D701="",$J701&lt;&gt;"Supplier"),"",IFERROR(INDEX(SupplierRates!$E$5:$E$500,MATCH($K701&amp;"|"&amp;$L701,SupplierRates!$A$5:$A$500,0)),0))</f>
        <v/>
      </c>
      <c r="R701" s="26" t="n">
        <f aca="false">IF(OR($D701="",$J701&lt;&gt;"Supplier"),0,F701*P701+G701*Q701)</f>
        <v>0</v>
      </c>
      <c r="S701" s="26" t="n">
        <f aca="false">IF(OR($D701="",$J701&lt;&gt;"Own"),0,IFERROR((F701+G701*Settings!$B$13)*INDEX(Workers!$V$5:$V$2004,MATCH($D701,Workers!$A$5:$A$2004,0)),0))</f>
        <v>0</v>
      </c>
      <c r="T701" s="26" t="str">
        <f aca="false">IF($D701="","",O701-R701-S701)</f>
        <v/>
      </c>
    </row>
    <row r="702" customFormat="false" ht="15" hidden="false" customHeight="false" outlineLevel="0" collapsed="false">
      <c r="I702" s="24" t="str">
        <f aca="false">IF($D702="","",IFERROR(INDEX(Workers!$B$5:$B$2004,MATCH($D702,Workers!$A$5:$A$2004,0)),"NOT FOUND"))</f>
        <v/>
      </c>
      <c r="J702" s="24" t="str">
        <f aca="false">IF($D702="","",IFERROR(INDEX(Workers!$C$5:$C$2004,MATCH($D702,Workers!$A$5:$A$2004,0)),""))</f>
        <v/>
      </c>
      <c r="K702" s="24" t="str">
        <f aca="false">IF($D702="","",IFERROR(IF(INDEX(Workers!$D$5:$D$2004,MATCH($D702,Workers!$A$5:$A$2004,0))=0,"",INDEX(Workers!$D$5:$D$2004,MATCH($D702,Workers!$A$5:$A$2004,0))),""))</f>
        <v/>
      </c>
      <c r="L702" s="24" t="str">
        <f aca="false">IF($D702="","",IFERROR(INDEX(Workers!$E$5:$E$2004,MATCH($D702,Workers!$A$5:$A$2004,0)),""))</f>
        <v/>
      </c>
      <c r="M702" s="26" t="str">
        <f aca="false">IF($D702="","",IFERROR(INDEX(ClientRates!$D$5:$D$500,MATCH($B702&amp;"|"&amp;$L702,ClientRates!$A$5:$A$500,0)),0))</f>
        <v/>
      </c>
      <c r="N702" s="26" t="str">
        <f aca="false">IF($D702="","",IFERROR(INDEX(ClientRates!$E$5:$E$500,MATCH($B702&amp;"|"&amp;$L702,ClientRates!$A$5:$A$500,0)),0))</f>
        <v/>
      </c>
      <c r="O702" s="26" t="str">
        <f aca="false">IF($D702="","",F702*M702+G702*N702)</f>
        <v/>
      </c>
      <c r="P702" s="26" t="str">
        <f aca="false">IF(OR($D702="",$J702&lt;&gt;"Supplier"),"",IFERROR(INDEX(SupplierRates!$D$5:$D$500,MATCH($K702&amp;"|"&amp;$L702,SupplierRates!$A$5:$A$500,0)),0))</f>
        <v/>
      </c>
      <c r="Q702" s="26" t="str">
        <f aca="false">IF(OR($D702="",$J702&lt;&gt;"Supplier"),"",IFERROR(INDEX(SupplierRates!$E$5:$E$500,MATCH($K702&amp;"|"&amp;$L702,SupplierRates!$A$5:$A$500,0)),0))</f>
        <v/>
      </c>
      <c r="R702" s="26" t="n">
        <f aca="false">IF(OR($D702="",$J702&lt;&gt;"Supplier"),0,F702*P702+G702*Q702)</f>
        <v>0</v>
      </c>
      <c r="S702" s="26" t="n">
        <f aca="false">IF(OR($D702="",$J702&lt;&gt;"Own"),0,IFERROR((F702+G702*Settings!$B$13)*INDEX(Workers!$V$5:$V$2004,MATCH($D702,Workers!$A$5:$A$2004,0)),0))</f>
        <v>0</v>
      </c>
      <c r="T702" s="26" t="str">
        <f aca="false">IF($D702="","",O702-R702-S702)</f>
        <v/>
      </c>
    </row>
    <row r="703" customFormat="false" ht="15" hidden="false" customHeight="false" outlineLevel="0" collapsed="false">
      <c r="I703" s="24" t="str">
        <f aca="false">IF($D703="","",IFERROR(INDEX(Workers!$B$5:$B$2004,MATCH($D703,Workers!$A$5:$A$2004,0)),"NOT FOUND"))</f>
        <v/>
      </c>
      <c r="J703" s="24" t="str">
        <f aca="false">IF($D703="","",IFERROR(INDEX(Workers!$C$5:$C$2004,MATCH($D703,Workers!$A$5:$A$2004,0)),""))</f>
        <v/>
      </c>
      <c r="K703" s="24" t="str">
        <f aca="false">IF($D703="","",IFERROR(IF(INDEX(Workers!$D$5:$D$2004,MATCH($D703,Workers!$A$5:$A$2004,0))=0,"",INDEX(Workers!$D$5:$D$2004,MATCH($D703,Workers!$A$5:$A$2004,0))),""))</f>
        <v/>
      </c>
      <c r="L703" s="24" t="str">
        <f aca="false">IF($D703="","",IFERROR(INDEX(Workers!$E$5:$E$2004,MATCH($D703,Workers!$A$5:$A$2004,0)),""))</f>
        <v/>
      </c>
      <c r="M703" s="26" t="str">
        <f aca="false">IF($D703="","",IFERROR(INDEX(ClientRates!$D$5:$D$500,MATCH($B703&amp;"|"&amp;$L703,ClientRates!$A$5:$A$500,0)),0))</f>
        <v/>
      </c>
      <c r="N703" s="26" t="str">
        <f aca="false">IF($D703="","",IFERROR(INDEX(ClientRates!$E$5:$E$500,MATCH($B703&amp;"|"&amp;$L703,ClientRates!$A$5:$A$500,0)),0))</f>
        <v/>
      </c>
      <c r="O703" s="26" t="str">
        <f aca="false">IF($D703="","",F703*M703+G703*N703)</f>
        <v/>
      </c>
      <c r="P703" s="26" t="str">
        <f aca="false">IF(OR($D703="",$J703&lt;&gt;"Supplier"),"",IFERROR(INDEX(SupplierRates!$D$5:$D$500,MATCH($K703&amp;"|"&amp;$L703,SupplierRates!$A$5:$A$500,0)),0))</f>
        <v/>
      </c>
      <c r="Q703" s="26" t="str">
        <f aca="false">IF(OR($D703="",$J703&lt;&gt;"Supplier"),"",IFERROR(INDEX(SupplierRates!$E$5:$E$500,MATCH($K703&amp;"|"&amp;$L703,SupplierRates!$A$5:$A$500,0)),0))</f>
        <v/>
      </c>
      <c r="R703" s="26" t="n">
        <f aca="false">IF(OR($D703="",$J703&lt;&gt;"Supplier"),0,F703*P703+G703*Q703)</f>
        <v>0</v>
      </c>
      <c r="S703" s="26" t="n">
        <f aca="false">IF(OR($D703="",$J703&lt;&gt;"Own"),0,IFERROR((F703+G703*Settings!$B$13)*INDEX(Workers!$V$5:$V$2004,MATCH($D703,Workers!$A$5:$A$2004,0)),0))</f>
        <v>0</v>
      </c>
      <c r="T703" s="26" t="str">
        <f aca="false">IF($D703="","",O703-R703-S703)</f>
        <v/>
      </c>
    </row>
    <row r="704" customFormat="false" ht="15" hidden="false" customHeight="false" outlineLevel="0" collapsed="false">
      <c r="I704" s="24" t="str">
        <f aca="false">IF($D704="","",IFERROR(INDEX(Workers!$B$5:$B$2004,MATCH($D704,Workers!$A$5:$A$2004,0)),"NOT FOUND"))</f>
        <v/>
      </c>
      <c r="J704" s="24" t="str">
        <f aca="false">IF($D704="","",IFERROR(INDEX(Workers!$C$5:$C$2004,MATCH($D704,Workers!$A$5:$A$2004,0)),""))</f>
        <v/>
      </c>
      <c r="K704" s="24" t="str">
        <f aca="false">IF($D704="","",IFERROR(IF(INDEX(Workers!$D$5:$D$2004,MATCH($D704,Workers!$A$5:$A$2004,0))=0,"",INDEX(Workers!$D$5:$D$2004,MATCH($D704,Workers!$A$5:$A$2004,0))),""))</f>
        <v/>
      </c>
      <c r="L704" s="24" t="str">
        <f aca="false">IF($D704="","",IFERROR(INDEX(Workers!$E$5:$E$2004,MATCH($D704,Workers!$A$5:$A$2004,0)),""))</f>
        <v/>
      </c>
      <c r="M704" s="26" t="str">
        <f aca="false">IF($D704="","",IFERROR(INDEX(ClientRates!$D$5:$D$500,MATCH($B704&amp;"|"&amp;$L704,ClientRates!$A$5:$A$500,0)),0))</f>
        <v/>
      </c>
      <c r="N704" s="26" t="str">
        <f aca="false">IF($D704="","",IFERROR(INDEX(ClientRates!$E$5:$E$500,MATCH($B704&amp;"|"&amp;$L704,ClientRates!$A$5:$A$500,0)),0))</f>
        <v/>
      </c>
      <c r="O704" s="26" t="str">
        <f aca="false">IF($D704="","",F704*M704+G704*N704)</f>
        <v/>
      </c>
      <c r="P704" s="26" t="str">
        <f aca="false">IF(OR($D704="",$J704&lt;&gt;"Supplier"),"",IFERROR(INDEX(SupplierRates!$D$5:$D$500,MATCH($K704&amp;"|"&amp;$L704,SupplierRates!$A$5:$A$500,0)),0))</f>
        <v/>
      </c>
      <c r="Q704" s="26" t="str">
        <f aca="false">IF(OR($D704="",$J704&lt;&gt;"Supplier"),"",IFERROR(INDEX(SupplierRates!$E$5:$E$500,MATCH($K704&amp;"|"&amp;$L704,SupplierRates!$A$5:$A$500,0)),0))</f>
        <v/>
      </c>
      <c r="R704" s="26" t="n">
        <f aca="false">IF(OR($D704="",$J704&lt;&gt;"Supplier"),0,F704*P704+G704*Q704)</f>
        <v>0</v>
      </c>
      <c r="S704" s="26" t="n">
        <f aca="false">IF(OR($D704="",$J704&lt;&gt;"Own"),0,IFERROR((F704+G704*Settings!$B$13)*INDEX(Workers!$V$5:$V$2004,MATCH($D704,Workers!$A$5:$A$2004,0)),0))</f>
        <v>0</v>
      </c>
      <c r="T704" s="26" t="str">
        <f aca="false">IF($D704="","",O704-R704-S704)</f>
        <v/>
      </c>
    </row>
    <row r="705" customFormat="false" ht="15" hidden="false" customHeight="false" outlineLevel="0" collapsed="false">
      <c r="I705" s="24" t="str">
        <f aca="false">IF($D705="","",IFERROR(INDEX(Workers!$B$5:$B$2004,MATCH($D705,Workers!$A$5:$A$2004,0)),"NOT FOUND"))</f>
        <v/>
      </c>
      <c r="J705" s="24" t="str">
        <f aca="false">IF($D705="","",IFERROR(INDEX(Workers!$C$5:$C$2004,MATCH($D705,Workers!$A$5:$A$2004,0)),""))</f>
        <v/>
      </c>
      <c r="K705" s="24" t="str">
        <f aca="false">IF($D705="","",IFERROR(IF(INDEX(Workers!$D$5:$D$2004,MATCH($D705,Workers!$A$5:$A$2004,0))=0,"",INDEX(Workers!$D$5:$D$2004,MATCH($D705,Workers!$A$5:$A$2004,0))),""))</f>
        <v/>
      </c>
      <c r="L705" s="24" t="str">
        <f aca="false">IF($D705="","",IFERROR(INDEX(Workers!$E$5:$E$2004,MATCH($D705,Workers!$A$5:$A$2004,0)),""))</f>
        <v/>
      </c>
      <c r="M705" s="26" t="str">
        <f aca="false">IF($D705="","",IFERROR(INDEX(ClientRates!$D$5:$D$500,MATCH($B705&amp;"|"&amp;$L705,ClientRates!$A$5:$A$500,0)),0))</f>
        <v/>
      </c>
      <c r="N705" s="26" t="str">
        <f aca="false">IF($D705="","",IFERROR(INDEX(ClientRates!$E$5:$E$500,MATCH($B705&amp;"|"&amp;$L705,ClientRates!$A$5:$A$500,0)),0))</f>
        <v/>
      </c>
      <c r="O705" s="26" t="str">
        <f aca="false">IF($D705="","",F705*M705+G705*N705)</f>
        <v/>
      </c>
      <c r="P705" s="26" t="str">
        <f aca="false">IF(OR($D705="",$J705&lt;&gt;"Supplier"),"",IFERROR(INDEX(SupplierRates!$D$5:$D$500,MATCH($K705&amp;"|"&amp;$L705,SupplierRates!$A$5:$A$500,0)),0))</f>
        <v/>
      </c>
      <c r="Q705" s="26" t="str">
        <f aca="false">IF(OR($D705="",$J705&lt;&gt;"Supplier"),"",IFERROR(INDEX(SupplierRates!$E$5:$E$500,MATCH($K705&amp;"|"&amp;$L705,SupplierRates!$A$5:$A$500,0)),0))</f>
        <v/>
      </c>
      <c r="R705" s="26" t="n">
        <f aca="false">IF(OR($D705="",$J705&lt;&gt;"Supplier"),0,F705*P705+G705*Q705)</f>
        <v>0</v>
      </c>
      <c r="S705" s="26" t="n">
        <f aca="false">IF(OR($D705="",$J705&lt;&gt;"Own"),0,IFERROR((F705+G705*Settings!$B$13)*INDEX(Workers!$V$5:$V$2004,MATCH($D705,Workers!$A$5:$A$2004,0)),0))</f>
        <v>0</v>
      </c>
      <c r="T705" s="26" t="str">
        <f aca="false">IF($D705="","",O705-R705-S705)</f>
        <v/>
      </c>
    </row>
    <row r="706" customFormat="false" ht="15" hidden="false" customHeight="false" outlineLevel="0" collapsed="false">
      <c r="I706" s="24" t="str">
        <f aca="false">IF($D706="","",IFERROR(INDEX(Workers!$B$5:$B$2004,MATCH($D706,Workers!$A$5:$A$2004,0)),"NOT FOUND"))</f>
        <v/>
      </c>
      <c r="J706" s="24" t="str">
        <f aca="false">IF($D706="","",IFERROR(INDEX(Workers!$C$5:$C$2004,MATCH($D706,Workers!$A$5:$A$2004,0)),""))</f>
        <v/>
      </c>
      <c r="K706" s="24" t="str">
        <f aca="false">IF($D706="","",IFERROR(IF(INDEX(Workers!$D$5:$D$2004,MATCH($D706,Workers!$A$5:$A$2004,0))=0,"",INDEX(Workers!$D$5:$D$2004,MATCH($D706,Workers!$A$5:$A$2004,0))),""))</f>
        <v/>
      </c>
      <c r="L706" s="24" t="str">
        <f aca="false">IF($D706="","",IFERROR(INDEX(Workers!$E$5:$E$2004,MATCH($D706,Workers!$A$5:$A$2004,0)),""))</f>
        <v/>
      </c>
      <c r="M706" s="26" t="str">
        <f aca="false">IF($D706="","",IFERROR(INDEX(ClientRates!$D$5:$D$500,MATCH($B706&amp;"|"&amp;$L706,ClientRates!$A$5:$A$500,0)),0))</f>
        <v/>
      </c>
      <c r="N706" s="26" t="str">
        <f aca="false">IF($D706="","",IFERROR(INDEX(ClientRates!$E$5:$E$500,MATCH($B706&amp;"|"&amp;$L706,ClientRates!$A$5:$A$500,0)),0))</f>
        <v/>
      </c>
      <c r="O706" s="26" t="str">
        <f aca="false">IF($D706="","",F706*M706+G706*N706)</f>
        <v/>
      </c>
      <c r="P706" s="26" t="str">
        <f aca="false">IF(OR($D706="",$J706&lt;&gt;"Supplier"),"",IFERROR(INDEX(SupplierRates!$D$5:$D$500,MATCH($K706&amp;"|"&amp;$L706,SupplierRates!$A$5:$A$500,0)),0))</f>
        <v/>
      </c>
      <c r="Q706" s="26" t="str">
        <f aca="false">IF(OR($D706="",$J706&lt;&gt;"Supplier"),"",IFERROR(INDEX(SupplierRates!$E$5:$E$500,MATCH($K706&amp;"|"&amp;$L706,SupplierRates!$A$5:$A$500,0)),0))</f>
        <v/>
      </c>
      <c r="R706" s="26" t="n">
        <f aca="false">IF(OR($D706="",$J706&lt;&gt;"Supplier"),0,F706*P706+G706*Q706)</f>
        <v>0</v>
      </c>
      <c r="S706" s="26" t="n">
        <f aca="false">IF(OR($D706="",$J706&lt;&gt;"Own"),0,IFERROR((F706+G706*Settings!$B$13)*INDEX(Workers!$V$5:$V$2004,MATCH($D706,Workers!$A$5:$A$2004,0)),0))</f>
        <v>0</v>
      </c>
      <c r="T706" s="26" t="str">
        <f aca="false">IF($D706="","",O706-R706-S706)</f>
        <v/>
      </c>
    </row>
    <row r="707" customFormat="false" ht="15" hidden="false" customHeight="false" outlineLevel="0" collapsed="false">
      <c r="I707" s="24" t="str">
        <f aca="false">IF($D707="","",IFERROR(INDEX(Workers!$B$5:$B$2004,MATCH($D707,Workers!$A$5:$A$2004,0)),"NOT FOUND"))</f>
        <v/>
      </c>
      <c r="J707" s="24" t="str">
        <f aca="false">IF($D707="","",IFERROR(INDEX(Workers!$C$5:$C$2004,MATCH($D707,Workers!$A$5:$A$2004,0)),""))</f>
        <v/>
      </c>
      <c r="K707" s="24" t="str">
        <f aca="false">IF($D707="","",IFERROR(IF(INDEX(Workers!$D$5:$D$2004,MATCH($D707,Workers!$A$5:$A$2004,0))=0,"",INDEX(Workers!$D$5:$D$2004,MATCH($D707,Workers!$A$5:$A$2004,0))),""))</f>
        <v/>
      </c>
      <c r="L707" s="24" t="str">
        <f aca="false">IF($D707="","",IFERROR(INDEX(Workers!$E$5:$E$2004,MATCH($D707,Workers!$A$5:$A$2004,0)),""))</f>
        <v/>
      </c>
      <c r="M707" s="26" t="str">
        <f aca="false">IF($D707="","",IFERROR(INDEX(ClientRates!$D$5:$D$500,MATCH($B707&amp;"|"&amp;$L707,ClientRates!$A$5:$A$500,0)),0))</f>
        <v/>
      </c>
      <c r="N707" s="26" t="str">
        <f aca="false">IF($D707="","",IFERROR(INDEX(ClientRates!$E$5:$E$500,MATCH($B707&amp;"|"&amp;$L707,ClientRates!$A$5:$A$500,0)),0))</f>
        <v/>
      </c>
      <c r="O707" s="26" t="str">
        <f aca="false">IF($D707="","",F707*M707+G707*N707)</f>
        <v/>
      </c>
      <c r="P707" s="26" t="str">
        <f aca="false">IF(OR($D707="",$J707&lt;&gt;"Supplier"),"",IFERROR(INDEX(SupplierRates!$D$5:$D$500,MATCH($K707&amp;"|"&amp;$L707,SupplierRates!$A$5:$A$500,0)),0))</f>
        <v/>
      </c>
      <c r="Q707" s="26" t="str">
        <f aca="false">IF(OR($D707="",$J707&lt;&gt;"Supplier"),"",IFERROR(INDEX(SupplierRates!$E$5:$E$500,MATCH($K707&amp;"|"&amp;$L707,SupplierRates!$A$5:$A$500,0)),0))</f>
        <v/>
      </c>
      <c r="R707" s="26" t="n">
        <f aca="false">IF(OR($D707="",$J707&lt;&gt;"Supplier"),0,F707*P707+G707*Q707)</f>
        <v>0</v>
      </c>
      <c r="S707" s="26" t="n">
        <f aca="false">IF(OR($D707="",$J707&lt;&gt;"Own"),0,IFERROR((F707+G707*Settings!$B$13)*INDEX(Workers!$V$5:$V$2004,MATCH($D707,Workers!$A$5:$A$2004,0)),0))</f>
        <v>0</v>
      </c>
      <c r="T707" s="26" t="str">
        <f aca="false">IF($D707="","",O707-R707-S707)</f>
        <v/>
      </c>
    </row>
    <row r="708" customFormat="false" ht="15" hidden="false" customHeight="false" outlineLevel="0" collapsed="false">
      <c r="I708" s="24" t="str">
        <f aca="false">IF($D708="","",IFERROR(INDEX(Workers!$B$5:$B$2004,MATCH($D708,Workers!$A$5:$A$2004,0)),"NOT FOUND"))</f>
        <v/>
      </c>
      <c r="J708" s="24" t="str">
        <f aca="false">IF($D708="","",IFERROR(INDEX(Workers!$C$5:$C$2004,MATCH($D708,Workers!$A$5:$A$2004,0)),""))</f>
        <v/>
      </c>
      <c r="K708" s="24" t="str">
        <f aca="false">IF($D708="","",IFERROR(IF(INDEX(Workers!$D$5:$D$2004,MATCH($D708,Workers!$A$5:$A$2004,0))=0,"",INDEX(Workers!$D$5:$D$2004,MATCH($D708,Workers!$A$5:$A$2004,0))),""))</f>
        <v/>
      </c>
      <c r="L708" s="24" t="str">
        <f aca="false">IF($D708="","",IFERROR(INDEX(Workers!$E$5:$E$2004,MATCH($D708,Workers!$A$5:$A$2004,0)),""))</f>
        <v/>
      </c>
      <c r="M708" s="26" t="str">
        <f aca="false">IF($D708="","",IFERROR(INDEX(ClientRates!$D$5:$D$500,MATCH($B708&amp;"|"&amp;$L708,ClientRates!$A$5:$A$500,0)),0))</f>
        <v/>
      </c>
      <c r="N708" s="26" t="str">
        <f aca="false">IF($D708="","",IFERROR(INDEX(ClientRates!$E$5:$E$500,MATCH($B708&amp;"|"&amp;$L708,ClientRates!$A$5:$A$500,0)),0))</f>
        <v/>
      </c>
      <c r="O708" s="26" t="str">
        <f aca="false">IF($D708="","",F708*M708+G708*N708)</f>
        <v/>
      </c>
      <c r="P708" s="26" t="str">
        <f aca="false">IF(OR($D708="",$J708&lt;&gt;"Supplier"),"",IFERROR(INDEX(SupplierRates!$D$5:$D$500,MATCH($K708&amp;"|"&amp;$L708,SupplierRates!$A$5:$A$500,0)),0))</f>
        <v/>
      </c>
      <c r="Q708" s="26" t="str">
        <f aca="false">IF(OR($D708="",$J708&lt;&gt;"Supplier"),"",IFERROR(INDEX(SupplierRates!$E$5:$E$500,MATCH($K708&amp;"|"&amp;$L708,SupplierRates!$A$5:$A$500,0)),0))</f>
        <v/>
      </c>
      <c r="R708" s="26" t="n">
        <f aca="false">IF(OR($D708="",$J708&lt;&gt;"Supplier"),0,F708*P708+G708*Q708)</f>
        <v>0</v>
      </c>
      <c r="S708" s="26" t="n">
        <f aca="false">IF(OR($D708="",$J708&lt;&gt;"Own"),0,IFERROR((F708+G708*Settings!$B$13)*INDEX(Workers!$V$5:$V$2004,MATCH($D708,Workers!$A$5:$A$2004,0)),0))</f>
        <v>0</v>
      </c>
      <c r="T708" s="26" t="str">
        <f aca="false">IF($D708="","",O708-R708-S708)</f>
        <v/>
      </c>
    </row>
    <row r="709" customFormat="false" ht="15" hidden="false" customHeight="false" outlineLevel="0" collapsed="false">
      <c r="I709" s="24" t="str">
        <f aca="false">IF($D709="","",IFERROR(INDEX(Workers!$B$5:$B$2004,MATCH($D709,Workers!$A$5:$A$2004,0)),"NOT FOUND"))</f>
        <v/>
      </c>
      <c r="J709" s="24" t="str">
        <f aca="false">IF($D709="","",IFERROR(INDEX(Workers!$C$5:$C$2004,MATCH($D709,Workers!$A$5:$A$2004,0)),""))</f>
        <v/>
      </c>
      <c r="K709" s="24" t="str">
        <f aca="false">IF($D709="","",IFERROR(IF(INDEX(Workers!$D$5:$D$2004,MATCH($D709,Workers!$A$5:$A$2004,0))=0,"",INDEX(Workers!$D$5:$D$2004,MATCH($D709,Workers!$A$5:$A$2004,0))),""))</f>
        <v/>
      </c>
      <c r="L709" s="24" t="str">
        <f aca="false">IF($D709="","",IFERROR(INDEX(Workers!$E$5:$E$2004,MATCH($D709,Workers!$A$5:$A$2004,0)),""))</f>
        <v/>
      </c>
      <c r="M709" s="26" t="str">
        <f aca="false">IF($D709="","",IFERROR(INDEX(ClientRates!$D$5:$D$500,MATCH($B709&amp;"|"&amp;$L709,ClientRates!$A$5:$A$500,0)),0))</f>
        <v/>
      </c>
      <c r="N709" s="26" t="str">
        <f aca="false">IF($D709="","",IFERROR(INDEX(ClientRates!$E$5:$E$500,MATCH($B709&amp;"|"&amp;$L709,ClientRates!$A$5:$A$500,0)),0))</f>
        <v/>
      </c>
      <c r="O709" s="26" t="str">
        <f aca="false">IF($D709="","",F709*M709+G709*N709)</f>
        <v/>
      </c>
      <c r="P709" s="26" t="str">
        <f aca="false">IF(OR($D709="",$J709&lt;&gt;"Supplier"),"",IFERROR(INDEX(SupplierRates!$D$5:$D$500,MATCH($K709&amp;"|"&amp;$L709,SupplierRates!$A$5:$A$500,0)),0))</f>
        <v/>
      </c>
      <c r="Q709" s="26" t="str">
        <f aca="false">IF(OR($D709="",$J709&lt;&gt;"Supplier"),"",IFERROR(INDEX(SupplierRates!$E$5:$E$500,MATCH($K709&amp;"|"&amp;$L709,SupplierRates!$A$5:$A$500,0)),0))</f>
        <v/>
      </c>
      <c r="R709" s="26" t="n">
        <f aca="false">IF(OR($D709="",$J709&lt;&gt;"Supplier"),0,F709*P709+G709*Q709)</f>
        <v>0</v>
      </c>
      <c r="S709" s="26" t="n">
        <f aca="false">IF(OR($D709="",$J709&lt;&gt;"Own"),0,IFERROR((F709+G709*Settings!$B$13)*INDEX(Workers!$V$5:$V$2004,MATCH($D709,Workers!$A$5:$A$2004,0)),0))</f>
        <v>0</v>
      </c>
      <c r="T709" s="26" t="str">
        <f aca="false">IF($D709="","",O709-R709-S709)</f>
        <v/>
      </c>
    </row>
    <row r="710" customFormat="false" ht="15" hidden="false" customHeight="false" outlineLevel="0" collapsed="false">
      <c r="I710" s="24" t="str">
        <f aca="false">IF($D710="","",IFERROR(INDEX(Workers!$B$5:$B$2004,MATCH($D710,Workers!$A$5:$A$2004,0)),"NOT FOUND"))</f>
        <v/>
      </c>
      <c r="J710" s="24" t="str">
        <f aca="false">IF($D710="","",IFERROR(INDEX(Workers!$C$5:$C$2004,MATCH($D710,Workers!$A$5:$A$2004,0)),""))</f>
        <v/>
      </c>
      <c r="K710" s="24" t="str">
        <f aca="false">IF($D710="","",IFERROR(IF(INDEX(Workers!$D$5:$D$2004,MATCH($D710,Workers!$A$5:$A$2004,0))=0,"",INDEX(Workers!$D$5:$D$2004,MATCH($D710,Workers!$A$5:$A$2004,0))),""))</f>
        <v/>
      </c>
      <c r="L710" s="24" t="str">
        <f aca="false">IF($D710="","",IFERROR(INDEX(Workers!$E$5:$E$2004,MATCH($D710,Workers!$A$5:$A$2004,0)),""))</f>
        <v/>
      </c>
      <c r="M710" s="26" t="str">
        <f aca="false">IF($D710="","",IFERROR(INDEX(ClientRates!$D$5:$D$500,MATCH($B710&amp;"|"&amp;$L710,ClientRates!$A$5:$A$500,0)),0))</f>
        <v/>
      </c>
      <c r="N710" s="26" t="str">
        <f aca="false">IF($D710="","",IFERROR(INDEX(ClientRates!$E$5:$E$500,MATCH($B710&amp;"|"&amp;$L710,ClientRates!$A$5:$A$500,0)),0))</f>
        <v/>
      </c>
      <c r="O710" s="26" t="str">
        <f aca="false">IF($D710="","",F710*M710+G710*N710)</f>
        <v/>
      </c>
      <c r="P710" s="26" t="str">
        <f aca="false">IF(OR($D710="",$J710&lt;&gt;"Supplier"),"",IFERROR(INDEX(SupplierRates!$D$5:$D$500,MATCH($K710&amp;"|"&amp;$L710,SupplierRates!$A$5:$A$500,0)),0))</f>
        <v/>
      </c>
      <c r="Q710" s="26" t="str">
        <f aca="false">IF(OR($D710="",$J710&lt;&gt;"Supplier"),"",IFERROR(INDEX(SupplierRates!$E$5:$E$500,MATCH($K710&amp;"|"&amp;$L710,SupplierRates!$A$5:$A$500,0)),0))</f>
        <v/>
      </c>
      <c r="R710" s="26" t="n">
        <f aca="false">IF(OR($D710="",$J710&lt;&gt;"Supplier"),0,F710*P710+G710*Q710)</f>
        <v>0</v>
      </c>
      <c r="S710" s="26" t="n">
        <f aca="false">IF(OR($D710="",$J710&lt;&gt;"Own"),0,IFERROR((F710+G710*Settings!$B$13)*INDEX(Workers!$V$5:$V$2004,MATCH($D710,Workers!$A$5:$A$2004,0)),0))</f>
        <v>0</v>
      </c>
      <c r="T710" s="26" t="str">
        <f aca="false">IF($D710="","",O710-R710-S710)</f>
        <v/>
      </c>
    </row>
    <row r="711" customFormat="false" ht="15" hidden="false" customHeight="false" outlineLevel="0" collapsed="false">
      <c r="I711" s="24" t="str">
        <f aca="false">IF($D711="","",IFERROR(INDEX(Workers!$B$5:$B$2004,MATCH($D711,Workers!$A$5:$A$2004,0)),"NOT FOUND"))</f>
        <v/>
      </c>
      <c r="J711" s="24" t="str">
        <f aca="false">IF($D711="","",IFERROR(INDEX(Workers!$C$5:$C$2004,MATCH($D711,Workers!$A$5:$A$2004,0)),""))</f>
        <v/>
      </c>
      <c r="K711" s="24" t="str">
        <f aca="false">IF($D711="","",IFERROR(IF(INDEX(Workers!$D$5:$D$2004,MATCH($D711,Workers!$A$5:$A$2004,0))=0,"",INDEX(Workers!$D$5:$D$2004,MATCH($D711,Workers!$A$5:$A$2004,0))),""))</f>
        <v/>
      </c>
      <c r="L711" s="24" t="str">
        <f aca="false">IF($D711="","",IFERROR(INDEX(Workers!$E$5:$E$2004,MATCH($D711,Workers!$A$5:$A$2004,0)),""))</f>
        <v/>
      </c>
      <c r="M711" s="26" t="str">
        <f aca="false">IF($D711="","",IFERROR(INDEX(ClientRates!$D$5:$D$500,MATCH($B711&amp;"|"&amp;$L711,ClientRates!$A$5:$A$500,0)),0))</f>
        <v/>
      </c>
      <c r="N711" s="26" t="str">
        <f aca="false">IF($D711="","",IFERROR(INDEX(ClientRates!$E$5:$E$500,MATCH($B711&amp;"|"&amp;$L711,ClientRates!$A$5:$A$500,0)),0))</f>
        <v/>
      </c>
      <c r="O711" s="26" t="str">
        <f aca="false">IF($D711="","",F711*M711+G711*N711)</f>
        <v/>
      </c>
      <c r="P711" s="26" t="str">
        <f aca="false">IF(OR($D711="",$J711&lt;&gt;"Supplier"),"",IFERROR(INDEX(SupplierRates!$D$5:$D$500,MATCH($K711&amp;"|"&amp;$L711,SupplierRates!$A$5:$A$500,0)),0))</f>
        <v/>
      </c>
      <c r="Q711" s="26" t="str">
        <f aca="false">IF(OR($D711="",$J711&lt;&gt;"Supplier"),"",IFERROR(INDEX(SupplierRates!$E$5:$E$500,MATCH($K711&amp;"|"&amp;$L711,SupplierRates!$A$5:$A$500,0)),0))</f>
        <v/>
      </c>
      <c r="R711" s="26" t="n">
        <f aca="false">IF(OR($D711="",$J711&lt;&gt;"Supplier"),0,F711*P711+G711*Q711)</f>
        <v>0</v>
      </c>
      <c r="S711" s="26" t="n">
        <f aca="false">IF(OR($D711="",$J711&lt;&gt;"Own"),0,IFERROR((F711+G711*Settings!$B$13)*INDEX(Workers!$V$5:$V$2004,MATCH($D711,Workers!$A$5:$A$2004,0)),0))</f>
        <v>0</v>
      </c>
      <c r="T711" s="26" t="str">
        <f aca="false">IF($D711="","",O711-R711-S711)</f>
        <v/>
      </c>
    </row>
    <row r="712" customFormat="false" ht="15" hidden="false" customHeight="false" outlineLevel="0" collapsed="false">
      <c r="I712" s="24" t="str">
        <f aca="false">IF($D712="","",IFERROR(INDEX(Workers!$B$5:$B$2004,MATCH($D712,Workers!$A$5:$A$2004,0)),"NOT FOUND"))</f>
        <v/>
      </c>
      <c r="J712" s="24" t="str">
        <f aca="false">IF($D712="","",IFERROR(INDEX(Workers!$C$5:$C$2004,MATCH($D712,Workers!$A$5:$A$2004,0)),""))</f>
        <v/>
      </c>
      <c r="K712" s="24" t="str">
        <f aca="false">IF($D712="","",IFERROR(IF(INDEX(Workers!$D$5:$D$2004,MATCH($D712,Workers!$A$5:$A$2004,0))=0,"",INDEX(Workers!$D$5:$D$2004,MATCH($D712,Workers!$A$5:$A$2004,0))),""))</f>
        <v/>
      </c>
      <c r="L712" s="24" t="str">
        <f aca="false">IF($D712="","",IFERROR(INDEX(Workers!$E$5:$E$2004,MATCH($D712,Workers!$A$5:$A$2004,0)),""))</f>
        <v/>
      </c>
      <c r="M712" s="26" t="str">
        <f aca="false">IF($D712="","",IFERROR(INDEX(ClientRates!$D$5:$D$500,MATCH($B712&amp;"|"&amp;$L712,ClientRates!$A$5:$A$500,0)),0))</f>
        <v/>
      </c>
      <c r="N712" s="26" t="str">
        <f aca="false">IF($D712="","",IFERROR(INDEX(ClientRates!$E$5:$E$500,MATCH($B712&amp;"|"&amp;$L712,ClientRates!$A$5:$A$500,0)),0))</f>
        <v/>
      </c>
      <c r="O712" s="26" t="str">
        <f aca="false">IF($D712="","",F712*M712+G712*N712)</f>
        <v/>
      </c>
      <c r="P712" s="26" t="str">
        <f aca="false">IF(OR($D712="",$J712&lt;&gt;"Supplier"),"",IFERROR(INDEX(SupplierRates!$D$5:$D$500,MATCH($K712&amp;"|"&amp;$L712,SupplierRates!$A$5:$A$500,0)),0))</f>
        <v/>
      </c>
      <c r="Q712" s="26" t="str">
        <f aca="false">IF(OR($D712="",$J712&lt;&gt;"Supplier"),"",IFERROR(INDEX(SupplierRates!$E$5:$E$500,MATCH($K712&amp;"|"&amp;$L712,SupplierRates!$A$5:$A$500,0)),0))</f>
        <v/>
      </c>
      <c r="R712" s="26" t="n">
        <f aca="false">IF(OR($D712="",$J712&lt;&gt;"Supplier"),0,F712*P712+G712*Q712)</f>
        <v>0</v>
      </c>
      <c r="S712" s="26" t="n">
        <f aca="false">IF(OR($D712="",$J712&lt;&gt;"Own"),0,IFERROR((F712+G712*Settings!$B$13)*INDEX(Workers!$V$5:$V$2004,MATCH($D712,Workers!$A$5:$A$2004,0)),0))</f>
        <v>0</v>
      </c>
      <c r="T712" s="26" t="str">
        <f aca="false">IF($D712="","",O712-R712-S712)</f>
        <v/>
      </c>
    </row>
    <row r="713" customFormat="false" ht="15" hidden="false" customHeight="false" outlineLevel="0" collapsed="false">
      <c r="I713" s="24" t="str">
        <f aca="false">IF($D713="","",IFERROR(INDEX(Workers!$B$5:$B$2004,MATCH($D713,Workers!$A$5:$A$2004,0)),"NOT FOUND"))</f>
        <v/>
      </c>
      <c r="J713" s="24" t="str">
        <f aca="false">IF($D713="","",IFERROR(INDEX(Workers!$C$5:$C$2004,MATCH($D713,Workers!$A$5:$A$2004,0)),""))</f>
        <v/>
      </c>
      <c r="K713" s="24" t="str">
        <f aca="false">IF($D713="","",IFERROR(IF(INDEX(Workers!$D$5:$D$2004,MATCH($D713,Workers!$A$5:$A$2004,0))=0,"",INDEX(Workers!$D$5:$D$2004,MATCH($D713,Workers!$A$5:$A$2004,0))),""))</f>
        <v/>
      </c>
      <c r="L713" s="24" t="str">
        <f aca="false">IF($D713="","",IFERROR(INDEX(Workers!$E$5:$E$2004,MATCH($D713,Workers!$A$5:$A$2004,0)),""))</f>
        <v/>
      </c>
      <c r="M713" s="26" t="str">
        <f aca="false">IF($D713="","",IFERROR(INDEX(ClientRates!$D$5:$D$500,MATCH($B713&amp;"|"&amp;$L713,ClientRates!$A$5:$A$500,0)),0))</f>
        <v/>
      </c>
      <c r="N713" s="26" t="str">
        <f aca="false">IF($D713="","",IFERROR(INDEX(ClientRates!$E$5:$E$500,MATCH($B713&amp;"|"&amp;$L713,ClientRates!$A$5:$A$500,0)),0))</f>
        <v/>
      </c>
      <c r="O713" s="26" t="str">
        <f aca="false">IF($D713="","",F713*M713+G713*N713)</f>
        <v/>
      </c>
      <c r="P713" s="26" t="str">
        <f aca="false">IF(OR($D713="",$J713&lt;&gt;"Supplier"),"",IFERROR(INDEX(SupplierRates!$D$5:$D$500,MATCH($K713&amp;"|"&amp;$L713,SupplierRates!$A$5:$A$500,0)),0))</f>
        <v/>
      </c>
      <c r="Q713" s="26" t="str">
        <f aca="false">IF(OR($D713="",$J713&lt;&gt;"Supplier"),"",IFERROR(INDEX(SupplierRates!$E$5:$E$500,MATCH($K713&amp;"|"&amp;$L713,SupplierRates!$A$5:$A$500,0)),0))</f>
        <v/>
      </c>
      <c r="R713" s="26" t="n">
        <f aca="false">IF(OR($D713="",$J713&lt;&gt;"Supplier"),0,F713*P713+G713*Q713)</f>
        <v>0</v>
      </c>
      <c r="S713" s="26" t="n">
        <f aca="false">IF(OR($D713="",$J713&lt;&gt;"Own"),0,IFERROR((F713+G713*Settings!$B$13)*INDEX(Workers!$V$5:$V$2004,MATCH($D713,Workers!$A$5:$A$2004,0)),0))</f>
        <v>0</v>
      </c>
      <c r="T713" s="26" t="str">
        <f aca="false">IF($D713="","",O713-R713-S713)</f>
        <v/>
      </c>
    </row>
    <row r="714" customFormat="false" ht="15" hidden="false" customHeight="false" outlineLevel="0" collapsed="false">
      <c r="I714" s="24" t="str">
        <f aca="false">IF($D714="","",IFERROR(INDEX(Workers!$B$5:$B$2004,MATCH($D714,Workers!$A$5:$A$2004,0)),"NOT FOUND"))</f>
        <v/>
      </c>
      <c r="J714" s="24" t="str">
        <f aca="false">IF($D714="","",IFERROR(INDEX(Workers!$C$5:$C$2004,MATCH($D714,Workers!$A$5:$A$2004,0)),""))</f>
        <v/>
      </c>
      <c r="K714" s="24" t="str">
        <f aca="false">IF($D714="","",IFERROR(IF(INDEX(Workers!$D$5:$D$2004,MATCH($D714,Workers!$A$5:$A$2004,0))=0,"",INDEX(Workers!$D$5:$D$2004,MATCH($D714,Workers!$A$5:$A$2004,0))),""))</f>
        <v/>
      </c>
      <c r="L714" s="24" t="str">
        <f aca="false">IF($D714="","",IFERROR(INDEX(Workers!$E$5:$E$2004,MATCH($D714,Workers!$A$5:$A$2004,0)),""))</f>
        <v/>
      </c>
      <c r="M714" s="26" t="str">
        <f aca="false">IF($D714="","",IFERROR(INDEX(ClientRates!$D$5:$D$500,MATCH($B714&amp;"|"&amp;$L714,ClientRates!$A$5:$A$500,0)),0))</f>
        <v/>
      </c>
      <c r="N714" s="26" t="str">
        <f aca="false">IF($D714="","",IFERROR(INDEX(ClientRates!$E$5:$E$500,MATCH($B714&amp;"|"&amp;$L714,ClientRates!$A$5:$A$500,0)),0))</f>
        <v/>
      </c>
      <c r="O714" s="26" t="str">
        <f aca="false">IF($D714="","",F714*M714+G714*N714)</f>
        <v/>
      </c>
      <c r="P714" s="26" t="str">
        <f aca="false">IF(OR($D714="",$J714&lt;&gt;"Supplier"),"",IFERROR(INDEX(SupplierRates!$D$5:$D$500,MATCH($K714&amp;"|"&amp;$L714,SupplierRates!$A$5:$A$500,0)),0))</f>
        <v/>
      </c>
      <c r="Q714" s="26" t="str">
        <f aca="false">IF(OR($D714="",$J714&lt;&gt;"Supplier"),"",IFERROR(INDEX(SupplierRates!$E$5:$E$500,MATCH($K714&amp;"|"&amp;$L714,SupplierRates!$A$5:$A$500,0)),0))</f>
        <v/>
      </c>
      <c r="R714" s="26" t="n">
        <f aca="false">IF(OR($D714="",$J714&lt;&gt;"Supplier"),0,F714*P714+G714*Q714)</f>
        <v>0</v>
      </c>
      <c r="S714" s="26" t="n">
        <f aca="false">IF(OR($D714="",$J714&lt;&gt;"Own"),0,IFERROR((F714+G714*Settings!$B$13)*INDEX(Workers!$V$5:$V$2004,MATCH($D714,Workers!$A$5:$A$2004,0)),0))</f>
        <v>0</v>
      </c>
      <c r="T714" s="26" t="str">
        <f aca="false">IF($D714="","",O714-R714-S714)</f>
        <v/>
      </c>
    </row>
    <row r="715" customFormat="false" ht="15" hidden="false" customHeight="false" outlineLevel="0" collapsed="false">
      <c r="I715" s="24" t="str">
        <f aca="false">IF($D715="","",IFERROR(INDEX(Workers!$B$5:$B$2004,MATCH($D715,Workers!$A$5:$A$2004,0)),"NOT FOUND"))</f>
        <v/>
      </c>
      <c r="J715" s="24" t="str">
        <f aca="false">IF($D715="","",IFERROR(INDEX(Workers!$C$5:$C$2004,MATCH($D715,Workers!$A$5:$A$2004,0)),""))</f>
        <v/>
      </c>
      <c r="K715" s="24" t="str">
        <f aca="false">IF($D715="","",IFERROR(IF(INDEX(Workers!$D$5:$D$2004,MATCH($D715,Workers!$A$5:$A$2004,0))=0,"",INDEX(Workers!$D$5:$D$2004,MATCH($D715,Workers!$A$5:$A$2004,0))),""))</f>
        <v/>
      </c>
      <c r="L715" s="24" t="str">
        <f aca="false">IF($D715="","",IFERROR(INDEX(Workers!$E$5:$E$2004,MATCH($D715,Workers!$A$5:$A$2004,0)),""))</f>
        <v/>
      </c>
      <c r="M715" s="26" t="str">
        <f aca="false">IF($D715="","",IFERROR(INDEX(ClientRates!$D$5:$D$500,MATCH($B715&amp;"|"&amp;$L715,ClientRates!$A$5:$A$500,0)),0))</f>
        <v/>
      </c>
      <c r="N715" s="26" t="str">
        <f aca="false">IF($D715="","",IFERROR(INDEX(ClientRates!$E$5:$E$500,MATCH($B715&amp;"|"&amp;$L715,ClientRates!$A$5:$A$500,0)),0))</f>
        <v/>
      </c>
      <c r="O715" s="26" t="str">
        <f aca="false">IF($D715="","",F715*M715+G715*N715)</f>
        <v/>
      </c>
      <c r="P715" s="26" t="str">
        <f aca="false">IF(OR($D715="",$J715&lt;&gt;"Supplier"),"",IFERROR(INDEX(SupplierRates!$D$5:$D$500,MATCH($K715&amp;"|"&amp;$L715,SupplierRates!$A$5:$A$500,0)),0))</f>
        <v/>
      </c>
      <c r="Q715" s="26" t="str">
        <f aca="false">IF(OR($D715="",$J715&lt;&gt;"Supplier"),"",IFERROR(INDEX(SupplierRates!$E$5:$E$500,MATCH($K715&amp;"|"&amp;$L715,SupplierRates!$A$5:$A$500,0)),0))</f>
        <v/>
      </c>
      <c r="R715" s="26" t="n">
        <f aca="false">IF(OR($D715="",$J715&lt;&gt;"Supplier"),0,F715*P715+G715*Q715)</f>
        <v>0</v>
      </c>
      <c r="S715" s="26" t="n">
        <f aca="false">IF(OR($D715="",$J715&lt;&gt;"Own"),0,IFERROR((F715+G715*Settings!$B$13)*INDEX(Workers!$V$5:$V$2004,MATCH($D715,Workers!$A$5:$A$2004,0)),0))</f>
        <v>0</v>
      </c>
      <c r="T715" s="26" t="str">
        <f aca="false">IF($D715="","",O715-R715-S715)</f>
        <v/>
      </c>
    </row>
    <row r="716" customFormat="false" ht="15" hidden="false" customHeight="false" outlineLevel="0" collapsed="false">
      <c r="I716" s="24" t="str">
        <f aca="false">IF($D716="","",IFERROR(INDEX(Workers!$B$5:$B$2004,MATCH($D716,Workers!$A$5:$A$2004,0)),"NOT FOUND"))</f>
        <v/>
      </c>
      <c r="J716" s="24" t="str">
        <f aca="false">IF($D716="","",IFERROR(INDEX(Workers!$C$5:$C$2004,MATCH($D716,Workers!$A$5:$A$2004,0)),""))</f>
        <v/>
      </c>
      <c r="K716" s="24" t="str">
        <f aca="false">IF($D716="","",IFERROR(IF(INDEX(Workers!$D$5:$D$2004,MATCH($D716,Workers!$A$5:$A$2004,0))=0,"",INDEX(Workers!$D$5:$D$2004,MATCH($D716,Workers!$A$5:$A$2004,0))),""))</f>
        <v/>
      </c>
      <c r="L716" s="24" t="str">
        <f aca="false">IF($D716="","",IFERROR(INDEX(Workers!$E$5:$E$2004,MATCH($D716,Workers!$A$5:$A$2004,0)),""))</f>
        <v/>
      </c>
      <c r="M716" s="26" t="str">
        <f aca="false">IF($D716="","",IFERROR(INDEX(ClientRates!$D$5:$D$500,MATCH($B716&amp;"|"&amp;$L716,ClientRates!$A$5:$A$500,0)),0))</f>
        <v/>
      </c>
      <c r="N716" s="26" t="str">
        <f aca="false">IF($D716="","",IFERROR(INDEX(ClientRates!$E$5:$E$500,MATCH($B716&amp;"|"&amp;$L716,ClientRates!$A$5:$A$500,0)),0))</f>
        <v/>
      </c>
      <c r="O716" s="26" t="str">
        <f aca="false">IF($D716="","",F716*M716+G716*N716)</f>
        <v/>
      </c>
      <c r="P716" s="26" t="str">
        <f aca="false">IF(OR($D716="",$J716&lt;&gt;"Supplier"),"",IFERROR(INDEX(SupplierRates!$D$5:$D$500,MATCH($K716&amp;"|"&amp;$L716,SupplierRates!$A$5:$A$500,0)),0))</f>
        <v/>
      </c>
      <c r="Q716" s="26" t="str">
        <f aca="false">IF(OR($D716="",$J716&lt;&gt;"Supplier"),"",IFERROR(INDEX(SupplierRates!$E$5:$E$500,MATCH($K716&amp;"|"&amp;$L716,SupplierRates!$A$5:$A$500,0)),0))</f>
        <v/>
      </c>
      <c r="R716" s="26" t="n">
        <f aca="false">IF(OR($D716="",$J716&lt;&gt;"Supplier"),0,F716*P716+G716*Q716)</f>
        <v>0</v>
      </c>
      <c r="S716" s="26" t="n">
        <f aca="false">IF(OR($D716="",$J716&lt;&gt;"Own"),0,IFERROR((F716+G716*Settings!$B$13)*INDEX(Workers!$V$5:$V$2004,MATCH($D716,Workers!$A$5:$A$2004,0)),0))</f>
        <v>0</v>
      </c>
      <c r="T716" s="26" t="str">
        <f aca="false">IF($D716="","",O716-R716-S716)</f>
        <v/>
      </c>
    </row>
    <row r="717" customFormat="false" ht="15" hidden="false" customHeight="false" outlineLevel="0" collapsed="false">
      <c r="I717" s="24" t="str">
        <f aca="false">IF($D717="","",IFERROR(INDEX(Workers!$B$5:$B$2004,MATCH($D717,Workers!$A$5:$A$2004,0)),"NOT FOUND"))</f>
        <v/>
      </c>
      <c r="J717" s="24" t="str">
        <f aca="false">IF($D717="","",IFERROR(INDEX(Workers!$C$5:$C$2004,MATCH($D717,Workers!$A$5:$A$2004,0)),""))</f>
        <v/>
      </c>
      <c r="K717" s="24" t="str">
        <f aca="false">IF($D717="","",IFERROR(IF(INDEX(Workers!$D$5:$D$2004,MATCH($D717,Workers!$A$5:$A$2004,0))=0,"",INDEX(Workers!$D$5:$D$2004,MATCH($D717,Workers!$A$5:$A$2004,0))),""))</f>
        <v/>
      </c>
      <c r="L717" s="24" t="str">
        <f aca="false">IF($D717="","",IFERROR(INDEX(Workers!$E$5:$E$2004,MATCH($D717,Workers!$A$5:$A$2004,0)),""))</f>
        <v/>
      </c>
      <c r="M717" s="26" t="str">
        <f aca="false">IF($D717="","",IFERROR(INDEX(ClientRates!$D$5:$D$500,MATCH($B717&amp;"|"&amp;$L717,ClientRates!$A$5:$A$500,0)),0))</f>
        <v/>
      </c>
      <c r="N717" s="26" t="str">
        <f aca="false">IF($D717="","",IFERROR(INDEX(ClientRates!$E$5:$E$500,MATCH($B717&amp;"|"&amp;$L717,ClientRates!$A$5:$A$500,0)),0))</f>
        <v/>
      </c>
      <c r="O717" s="26" t="str">
        <f aca="false">IF($D717="","",F717*M717+G717*N717)</f>
        <v/>
      </c>
      <c r="P717" s="26" t="str">
        <f aca="false">IF(OR($D717="",$J717&lt;&gt;"Supplier"),"",IFERROR(INDEX(SupplierRates!$D$5:$D$500,MATCH($K717&amp;"|"&amp;$L717,SupplierRates!$A$5:$A$500,0)),0))</f>
        <v/>
      </c>
      <c r="Q717" s="26" t="str">
        <f aca="false">IF(OR($D717="",$J717&lt;&gt;"Supplier"),"",IFERROR(INDEX(SupplierRates!$E$5:$E$500,MATCH($K717&amp;"|"&amp;$L717,SupplierRates!$A$5:$A$500,0)),0))</f>
        <v/>
      </c>
      <c r="R717" s="26" t="n">
        <f aca="false">IF(OR($D717="",$J717&lt;&gt;"Supplier"),0,F717*P717+G717*Q717)</f>
        <v>0</v>
      </c>
      <c r="S717" s="26" t="n">
        <f aca="false">IF(OR($D717="",$J717&lt;&gt;"Own"),0,IFERROR((F717+G717*Settings!$B$13)*INDEX(Workers!$V$5:$V$2004,MATCH($D717,Workers!$A$5:$A$2004,0)),0))</f>
        <v>0</v>
      </c>
      <c r="T717" s="26" t="str">
        <f aca="false">IF($D717="","",O717-R717-S717)</f>
        <v/>
      </c>
    </row>
    <row r="718" customFormat="false" ht="15" hidden="false" customHeight="false" outlineLevel="0" collapsed="false">
      <c r="I718" s="24" t="str">
        <f aca="false">IF($D718="","",IFERROR(INDEX(Workers!$B$5:$B$2004,MATCH($D718,Workers!$A$5:$A$2004,0)),"NOT FOUND"))</f>
        <v/>
      </c>
      <c r="J718" s="24" t="str">
        <f aca="false">IF($D718="","",IFERROR(INDEX(Workers!$C$5:$C$2004,MATCH($D718,Workers!$A$5:$A$2004,0)),""))</f>
        <v/>
      </c>
      <c r="K718" s="24" t="str">
        <f aca="false">IF($D718="","",IFERROR(IF(INDEX(Workers!$D$5:$D$2004,MATCH($D718,Workers!$A$5:$A$2004,0))=0,"",INDEX(Workers!$D$5:$D$2004,MATCH($D718,Workers!$A$5:$A$2004,0))),""))</f>
        <v/>
      </c>
      <c r="L718" s="24" t="str">
        <f aca="false">IF($D718="","",IFERROR(INDEX(Workers!$E$5:$E$2004,MATCH($D718,Workers!$A$5:$A$2004,0)),""))</f>
        <v/>
      </c>
      <c r="M718" s="26" t="str">
        <f aca="false">IF($D718="","",IFERROR(INDEX(ClientRates!$D$5:$D$500,MATCH($B718&amp;"|"&amp;$L718,ClientRates!$A$5:$A$500,0)),0))</f>
        <v/>
      </c>
      <c r="N718" s="26" t="str">
        <f aca="false">IF($D718="","",IFERROR(INDEX(ClientRates!$E$5:$E$500,MATCH($B718&amp;"|"&amp;$L718,ClientRates!$A$5:$A$500,0)),0))</f>
        <v/>
      </c>
      <c r="O718" s="26" t="str">
        <f aca="false">IF($D718="","",F718*M718+G718*N718)</f>
        <v/>
      </c>
      <c r="P718" s="26" t="str">
        <f aca="false">IF(OR($D718="",$J718&lt;&gt;"Supplier"),"",IFERROR(INDEX(SupplierRates!$D$5:$D$500,MATCH($K718&amp;"|"&amp;$L718,SupplierRates!$A$5:$A$500,0)),0))</f>
        <v/>
      </c>
      <c r="Q718" s="26" t="str">
        <f aca="false">IF(OR($D718="",$J718&lt;&gt;"Supplier"),"",IFERROR(INDEX(SupplierRates!$E$5:$E$500,MATCH($K718&amp;"|"&amp;$L718,SupplierRates!$A$5:$A$500,0)),0))</f>
        <v/>
      </c>
      <c r="R718" s="26" t="n">
        <f aca="false">IF(OR($D718="",$J718&lt;&gt;"Supplier"),0,F718*P718+G718*Q718)</f>
        <v>0</v>
      </c>
      <c r="S718" s="26" t="n">
        <f aca="false">IF(OR($D718="",$J718&lt;&gt;"Own"),0,IFERROR((F718+G718*Settings!$B$13)*INDEX(Workers!$V$5:$V$2004,MATCH($D718,Workers!$A$5:$A$2004,0)),0))</f>
        <v>0</v>
      </c>
      <c r="T718" s="26" t="str">
        <f aca="false">IF($D718="","",O718-R718-S718)</f>
        <v/>
      </c>
    </row>
    <row r="719" customFormat="false" ht="15" hidden="false" customHeight="false" outlineLevel="0" collapsed="false">
      <c r="I719" s="24" t="str">
        <f aca="false">IF($D719="","",IFERROR(INDEX(Workers!$B$5:$B$2004,MATCH($D719,Workers!$A$5:$A$2004,0)),"NOT FOUND"))</f>
        <v/>
      </c>
      <c r="J719" s="24" t="str">
        <f aca="false">IF($D719="","",IFERROR(INDEX(Workers!$C$5:$C$2004,MATCH($D719,Workers!$A$5:$A$2004,0)),""))</f>
        <v/>
      </c>
      <c r="K719" s="24" t="str">
        <f aca="false">IF($D719="","",IFERROR(IF(INDEX(Workers!$D$5:$D$2004,MATCH($D719,Workers!$A$5:$A$2004,0))=0,"",INDEX(Workers!$D$5:$D$2004,MATCH($D719,Workers!$A$5:$A$2004,0))),""))</f>
        <v/>
      </c>
      <c r="L719" s="24" t="str">
        <f aca="false">IF($D719="","",IFERROR(INDEX(Workers!$E$5:$E$2004,MATCH($D719,Workers!$A$5:$A$2004,0)),""))</f>
        <v/>
      </c>
      <c r="M719" s="26" t="str">
        <f aca="false">IF($D719="","",IFERROR(INDEX(ClientRates!$D$5:$D$500,MATCH($B719&amp;"|"&amp;$L719,ClientRates!$A$5:$A$500,0)),0))</f>
        <v/>
      </c>
      <c r="N719" s="26" t="str">
        <f aca="false">IF($D719="","",IFERROR(INDEX(ClientRates!$E$5:$E$500,MATCH($B719&amp;"|"&amp;$L719,ClientRates!$A$5:$A$500,0)),0))</f>
        <v/>
      </c>
      <c r="O719" s="26" t="str">
        <f aca="false">IF($D719="","",F719*M719+G719*N719)</f>
        <v/>
      </c>
      <c r="P719" s="26" t="str">
        <f aca="false">IF(OR($D719="",$J719&lt;&gt;"Supplier"),"",IFERROR(INDEX(SupplierRates!$D$5:$D$500,MATCH($K719&amp;"|"&amp;$L719,SupplierRates!$A$5:$A$500,0)),0))</f>
        <v/>
      </c>
      <c r="Q719" s="26" t="str">
        <f aca="false">IF(OR($D719="",$J719&lt;&gt;"Supplier"),"",IFERROR(INDEX(SupplierRates!$E$5:$E$500,MATCH($K719&amp;"|"&amp;$L719,SupplierRates!$A$5:$A$500,0)),0))</f>
        <v/>
      </c>
      <c r="R719" s="26" t="n">
        <f aca="false">IF(OR($D719="",$J719&lt;&gt;"Supplier"),0,F719*P719+G719*Q719)</f>
        <v>0</v>
      </c>
      <c r="S719" s="26" t="n">
        <f aca="false">IF(OR($D719="",$J719&lt;&gt;"Own"),0,IFERROR((F719+G719*Settings!$B$13)*INDEX(Workers!$V$5:$V$2004,MATCH($D719,Workers!$A$5:$A$2004,0)),0))</f>
        <v>0</v>
      </c>
      <c r="T719" s="26" t="str">
        <f aca="false">IF($D719="","",O719-R719-S719)</f>
        <v/>
      </c>
    </row>
    <row r="720" customFormat="false" ht="15" hidden="false" customHeight="false" outlineLevel="0" collapsed="false">
      <c r="I720" s="24" t="str">
        <f aca="false">IF($D720="","",IFERROR(INDEX(Workers!$B$5:$B$2004,MATCH($D720,Workers!$A$5:$A$2004,0)),"NOT FOUND"))</f>
        <v/>
      </c>
      <c r="J720" s="24" t="str">
        <f aca="false">IF($D720="","",IFERROR(INDEX(Workers!$C$5:$C$2004,MATCH($D720,Workers!$A$5:$A$2004,0)),""))</f>
        <v/>
      </c>
      <c r="K720" s="24" t="str">
        <f aca="false">IF($D720="","",IFERROR(IF(INDEX(Workers!$D$5:$D$2004,MATCH($D720,Workers!$A$5:$A$2004,0))=0,"",INDEX(Workers!$D$5:$D$2004,MATCH($D720,Workers!$A$5:$A$2004,0))),""))</f>
        <v/>
      </c>
      <c r="L720" s="24" t="str">
        <f aca="false">IF($D720="","",IFERROR(INDEX(Workers!$E$5:$E$2004,MATCH($D720,Workers!$A$5:$A$2004,0)),""))</f>
        <v/>
      </c>
      <c r="M720" s="26" t="str">
        <f aca="false">IF($D720="","",IFERROR(INDEX(ClientRates!$D$5:$D$500,MATCH($B720&amp;"|"&amp;$L720,ClientRates!$A$5:$A$500,0)),0))</f>
        <v/>
      </c>
      <c r="N720" s="26" t="str">
        <f aca="false">IF($D720="","",IFERROR(INDEX(ClientRates!$E$5:$E$500,MATCH($B720&amp;"|"&amp;$L720,ClientRates!$A$5:$A$500,0)),0))</f>
        <v/>
      </c>
      <c r="O720" s="26" t="str">
        <f aca="false">IF($D720="","",F720*M720+G720*N720)</f>
        <v/>
      </c>
      <c r="P720" s="26" t="str">
        <f aca="false">IF(OR($D720="",$J720&lt;&gt;"Supplier"),"",IFERROR(INDEX(SupplierRates!$D$5:$D$500,MATCH($K720&amp;"|"&amp;$L720,SupplierRates!$A$5:$A$500,0)),0))</f>
        <v/>
      </c>
      <c r="Q720" s="26" t="str">
        <f aca="false">IF(OR($D720="",$J720&lt;&gt;"Supplier"),"",IFERROR(INDEX(SupplierRates!$E$5:$E$500,MATCH($K720&amp;"|"&amp;$L720,SupplierRates!$A$5:$A$500,0)),0))</f>
        <v/>
      </c>
      <c r="R720" s="26" t="n">
        <f aca="false">IF(OR($D720="",$J720&lt;&gt;"Supplier"),0,F720*P720+G720*Q720)</f>
        <v>0</v>
      </c>
      <c r="S720" s="26" t="n">
        <f aca="false">IF(OR($D720="",$J720&lt;&gt;"Own"),0,IFERROR((F720+G720*Settings!$B$13)*INDEX(Workers!$V$5:$V$2004,MATCH($D720,Workers!$A$5:$A$2004,0)),0))</f>
        <v>0</v>
      </c>
      <c r="T720" s="26" t="str">
        <f aca="false">IF($D720="","",O720-R720-S720)</f>
        <v/>
      </c>
    </row>
    <row r="721" customFormat="false" ht="15" hidden="false" customHeight="false" outlineLevel="0" collapsed="false">
      <c r="I721" s="24" t="str">
        <f aca="false">IF($D721="","",IFERROR(INDEX(Workers!$B$5:$B$2004,MATCH($D721,Workers!$A$5:$A$2004,0)),"NOT FOUND"))</f>
        <v/>
      </c>
      <c r="J721" s="24" t="str">
        <f aca="false">IF($D721="","",IFERROR(INDEX(Workers!$C$5:$C$2004,MATCH($D721,Workers!$A$5:$A$2004,0)),""))</f>
        <v/>
      </c>
      <c r="K721" s="24" t="str">
        <f aca="false">IF($D721="","",IFERROR(IF(INDEX(Workers!$D$5:$D$2004,MATCH($D721,Workers!$A$5:$A$2004,0))=0,"",INDEX(Workers!$D$5:$D$2004,MATCH($D721,Workers!$A$5:$A$2004,0))),""))</f>
        <v/>
      </c>
      <c r="L721" s="24" t="str">
        <f aca="false">IF($D721="","",IFERROR(INDEX(Workers!$E$5:$E$2004,MATCH($D721,Workers!$A$5:$A$2004,0)),""))</f>
        <v/>
      </c>
      <c r="M721" s="26" t="str">
        <f aca="false">IF($D721="","",IFERROR(INDEX(ClientRates!$D$5:$D$500,MATCH($B721&amp;"|"&amp;$L721,ClientRates!$A$5:$A$500,0)),0))</f>
        <v/>
      </c>
      <c r="N721" s="26" t="str">
        <f aca="false">IF($D721="","",IFERROR(INDEX(ClientRates!$E$5:$E$500,MATCH($B721&amp;"|"&amp;$L721,ClientRates!$A$5:$A$500,0)),0))</f>
        <v/>
      </c>
      <c r="O721" s="26" t="str">
        <f aca="false">IF($D721="","",F721*M721+G721*N721)</f>
        <v/>
      </c>
      <c r="P721" s="26" t="str">
        <f aca="false">IF(OR($D721="",$J721&lt;&gt;"Supplier"),"",IFERROR(INDEX(SupplierRates!$D$5:$D$500,MATCH($K721&amp;"|"&amp;$L721,SupplierRates!$A$5:$A$500,0)),0))</f>
        <v/>
      </c>
      <c r="Q721" s="26" t="str">
        <f aca="false">IF(OR($D721="",$J721&lt;&gt;"Supplier"),"",IFERROR(INDEX(SupplierRates!$E$5:$E$500,MATCH($K721&amp;"|"&amp;$L721,SupplierRates!$A$5:$A$500,0)),0))</f>
        <v/>
      </c>
      <c r="R721" s="26" t="n">
        <f aca="false">IF(OR($D721="",$J721&lt;&gt;"Supplier"),0,F721*P721+G721*Q721)</f>
        <v>0</v>
      </c>
      <c r="S721" s="26" t="n">
        <f aca="false">IF(OR($D721="",$J721&lt;&gt;"Own"),0,IFERROR((F721+G721*Settings!$B$13)*INDEX(Workers!$V$5:$V$2004,MATCH($D721,Workers!$A$5:$A$2004,0)),0))</f>
        <v>0</v>
      </c>
      <c r="T721" s="26" t="str">
        <f aca="false">IF($D721="","",O721-R721-S721)</f>
        <v/>
      </c>
    </row>
    <row r="722" customFormat="false" ht="15" hidden="false" customHeight="false" outlineLevel="0" collapsed="false">
      <c r="I722" s="24" t="str">
        <f aca="false">IF($D722="","",IFERROR(INDEX(Workers!$B$5:$B$2004,MATCH($D722,Workers!$A$5:$A$2004,0)),"NOT FOUND"))</f>
        <v/>
      </c>
      <c r="J722" s="24" t="str">
        <f aca="false">IF($D722="","",IFERROR(INDEX(Workers!$C$5:$C$2004,MATCH($D722,Workers!$A$5:$A$2004,0)),""))</f>
        <v/>
      </c>
      <c r="K722" s="24" t="str">
        <f aca="false">IF($D722="","",IFERROR(IF(INDEX(Workers!$D$5:$D$2004,MATCH($D722,Workers!$A$5:$A$2004,0))=0,"",INDEX(Workers!$D$5:$D$2004,MATCH($D722,Workers!$A$5:$A$2004,0))),""))</f>
        <v/>
      </c>
      <c r="L722" s="24" t="str">
        <f aca="false">IF($D722="","",IFERROR(INDEX(Workers!$E$5:$E$2004,MATCH($D722,Workers!$A$5:$A$2004,0)),""))</f>
        <v/>
      </c>
      <c r="M722" s="26" t="str">
        <f aca="false">IF($D722="","",IFERROR(INDEX(ClientRates!$D$5:$D$500,MATCH($B722&amp;"|"&amp;$L722,ClientRates!$A$5:$A$500,0)),0))</f>
        <v/>
      </c>
      <c r="N722" s="26" t="str">
        <f aca="false">IF($D722="","",IFERROR(INDEX(ClientRates!$E$5:$E$500,MATCH($B722&amp;"|"&amp;$L722,ClientRates!$A$5:$A$500,0)),0))</f>
        <v/>
      </c>
      <c r="O722" s="26" t="str">
        <f aca="false">IF($D722="","",F722*M722+G722*N722)</f>
        <v/>
      </c>
      <c r="P722" s="26" t="str">
        <f aca="false">IF(OR($D722="",$J722&lt;&gt;"Supplier"),"",IFERROR(INDEX(SupplierRates!$D$5:$D$500,MATCH($K722&amp;"|"&amp;$L722,SupplierRates!$A$5:$A$500,0)),0))</f>
        <v/>
      </c>
      <c r="Q722" s="26" t="str">
        <f aca="false">IF(OR($D722="",$J722&lt;&gt;"Supplier"),"",IFERROR(INDEX(SupplierRates!$E$5:$E$500,MATCH($K722&amp;"|"&amp;$L722,SupplierRates!$A$5:$A$500,0)),0))</f>
        <v/>
      </c>
      <c r="R722" s="26" t="n">
        <f aca="false">IF(OR($D722="",$J722&lt;&gt;"Supplier"),0,F722*P722+G722*Q722)</f>
        <v>0</v>
      </c>
      <c r="S722" s="26" t="n">
        <f aca="false">IF(OR($D722="",$J722&lt;&gt;"Own"),0,IFERROR((F722+G722*Settings!$B$13)*INDEX(Workers!$V$5:$V$2004,MATCH($D722,Workers!$A$5:$A$2004,0)),0))</f>
        <v>0</v>
      </c>
      <c r="T722" s="26" t="str">
        <f aca="false">IF($D722="","",O722-R722-S722)</f>
        <v/>
      </c>
    </row>
    <row r="723" customFormat="false" ht="15" hidden="false" customHeight="false" outlineLevel="0" collapsed="false">
      <c r="I723" s="24" t="str">
        <f aca="false">IF($D723="","",IFERROR(INDEX(Workers!$B$5:$B$2004,MATCH($D723,Workers!$A$5:$A$2004,0)),"NOT FOUND"))</f>
        <v/>
      </c>
      <c r="J723" s="24" t="str">
        <f aca="false">IF($D723="","",IFERROR(INDEX(Workers!$C$5:$C$2004,MATCH($D723,Workers!$A$5:$A$2004,0)),""))</f>
        <v/>
      </c>
      <c r="K723" s="24" t="str">
        <f aca="false">IF($D723="","",IFERROR(IF(INDEX(Workers!$D$5:$D$2004,MATCH($D723,Workers!$A$5:$A$2004,0))=0,"",INDEX(Workers!$D$5:$D$2004,MATCH($D723,Workers!$A$5:$A$2004,0))),""))</f>
        <v/>
      </c>
      <c r="L723" s="24" t="str">
        <f aca="false">IF($D723="","",IFERROR(INDEX(Workers!$E$5:$E$2004,MATCH($D723,Workers!$A$5:$A$2004,0)),""))</f>
        <v/>
      </c>
      <c r="M723" s="26" t="str">
        <f aca="false">IF($D723="","",IFERROR(INDEX(ClientRates!$D$5:$D$500,MATCH($B723&amp;"|"&amp;$L723,ClientRates!$A$5:$A$500,0)),0))</f>
        <v/>
      </c>
      <c r="N723" s="26" t="str">
        <f aca="false">IF($D723="","",IFERROR(INDEX(ClientRates!$E$5:$E$500,MATCH($B723&amp;"|"&amp;$L723,ClientRates!$A$5:$A$500,0)),0))</f>
        <v/>
      </c>
      <c r="O723" s="26" t="str">
        <f aca="false">IF($D723="","",F723*M723+G723*N723)</f>
        <v/>
      </c>
      <c r="P723" s="26" t="str">
        <f aca="false">IF(OR($D723="",$J723&lt;&gt;"Supplier"),"",IFERROR(INDEX(SupplierRates!$D$5:$D$500,MATCH($K723&amp;"|"&amp;$L723,SupplierRates!$A$5:$A$500,0)),0))</f>
        <v/>
      </c>
      <c r="Q723" s="26" t="str">
        <f aca="false">IF(OR($D723="",$J723&lt;&gt;"Supplier"),"",IFERROR(INDEX(SupplierRates!$E$5:$E$500,MATCH($K723&amp;"|"&amp;$L723,SupplierRates!$A$5:$A$500,0)),0))</f>
        <v/>
      </c>
      <c r="R723" s="26" t="n">
        <f aca="false">IF(OR($D723="",$J723&lt;&gt;"Supplier"),0,F723*P723+G723*Q723)</f>
        <v>0</v>
      </c>
      <c r="S723" s="26" t="n">
        <f aca="false">IF(OR($D723="",$J723&lt;&gt;"Own"),0,IFERROR((F723+G723*Settings!$B$13)*INDEX(Workers!$V$5:$V$2004,MATCH($D723,Workers!$A$5:$A$2004,0)),0))</f>
        <v>0</v>
      </c>
      <c r="T723" s="26" t="str">
        <f aca="false">IF($D723="","",O723-R723-S723)</f>
        <v/>
      </c>
    </row>
    <row r="724" customFormat="false" ht="15" hidden="false" customHeight="false" outlineLevel="0" collapsed="false">
      <c r="I724" s="24" t="str">
        <f aca="false">IF($D724="","",IFERROR(INDEX(Workers!$B$5:$B$2004,MATCH($D724,Workers!$A$5:$A$2004,0)),"NOT FOUND"))</f>
        <v/>
      </c>
      <c r="J724" s="24" t="str">
        <f aca="false">IF($D724="","",IFERROR(INDEX(Workers!$C$5:$C$2004,MATCH($D724,Workers!$A$5:$A$2004,0)),""))</f>
        <v/>
      </c>
      <c r="K724" s="24" t="str">
        <f aca="false">IF($D724="","",IFERROR(IF(INDEX(Workers!$D$5:$D$2004,MATCH($D724,Workers!$A$5:$A$2004,0))=0,"",INDEX(Workers!$D$5:$D$2004,MATCH($D724,Workers!$A$5:$A$2004,0))),""))</f>
        <v/>
      </c>
      <c r="L724" s="24" t="str">
        <f aca="false">IF($D724="","",IFERROR(INDEX(Workers!$E$5:$E$2004,MATCH($D724,Workers!$A$5:$A$2004,0)),""))</f>
        <v/>
      </c>
      <c r="M724" s="26" t="str">
        <f aca="false">IF($D724="","",IFERROR(INDEX(ClientRates!$D$5:$D$500,MATCH($B724&amp;"|"&amp;$L724,ClientRates!$A$5:$A$500,0)),0))</f>
        <v/>
      </c>
      <c r="N724" s="26" t="str">
        <f aca="false">IF($D724="","",IFERROR(INDEX(ClientRates!$E$5:$E$500,MATCH($B724&amp;"|"&amp;$L724,ClientRates!$A$5:$A$500,0)),0))</f>
        <v/>
      </c>
      <c r="O724" s="26" t="str">
        <f aca="false">IF($D724="","",F724*M724+G724*N724)</f>
        <v/>
      </c>
      <c r="P724" s="26" t="str">
        <f aca="false">IF(OR($D724="",$J724&lt;&gt;"Supplier"),"",IFERROR(INDEX(SupplierRates!$D$5:$D$500,MATCH($K724&amp;"|"&amp;$L724,SupplierRates!$A$5:$A$500,0)),0))</f>
        <v/>
      </c>
      <c r="Q724" s="26" t="str">
        <f aca="false">IF(OR($D724="",$J724&lt;&gt;"Supplier"),"",IFERROR(INDEX(SupplierRates!$E$5:$E$500,MATCH($K724&amp;"|"&amp;$L724,SupplierRates!$A$5:$A$500,0)),0))</f>
        <v/>
      </c>
      <c r="R724" s="26" t="n">
        <f aca="false">IF(OR($D724="",$J724&lt;&gt;"Supplier"),0,F724*P724+G724*Q724)</f>
        <v>0</v>
      </c>
      <c r="S724" s="26" t="n">
        <f aca="false">IF(OR($D724="",$J724&lt;&gt;"Own"),0,IFERROR((F724+G724*Settings!$B$13)*INDEX(Workers!$V$5:$V$2004,MATCH($D724,Workers!$A$5:$A$2004,0)),0))</f>
        <v>0</v>
      </c>
      <c r="T724" s="26" t="str">
        <f aca="false">IF($D724="","",O724-R724-S724)</f>
        <v/>
      </c>
    </row>
    <row r="725" customFormat="false" ht="15" hidden="false" customHeight="false" outlineLevel="0" collapsed="false">
      <c r="I725" s="24" t="str">
        <f aca="false">IF($D725="","",IFERROR(INDEX(Workers!$B$5:$B$2004,MATCH($D725,Workers!$A$5:$A$2004,0)),"NOT FOUND"))</f>
        <v/>
      </c>
      <c r="J725" s="24" t="str">
        <f aca="false">IF($D725="","",IFERROR(INDEX(Workers!$C$5:$C$2004,MATCH($D725,Workers!$A$5:$A$2004,0)),""))</f>
        <v/>
      </c>
      <c r="K725" s="24" t="str">
        <f aca="false">IF($D725="","",IFERROR(IF(INDEX(Workers!$D$5:$D$2004,MATCH($D725,Workers!$A$5:$A$2004,0))=0,"",INDEX(Workers!$D$5:$D$2004,MATCH($D725,Workers!$A$5:$A$2004,0))),""))</f>
        <v/>
      </c>
      <c r="L725" s="24" t="str">
        <f aca="false">IF($D725="","",IFERROR(INDEX(Workers!$E$5:$E$2004,MATCH($D725,Workers!$A$5:$A$2004,0)),""))</f>
        <v/>
      </c>
      <c r="M725" s="26" t="str">
        <f aca="false">IF($D725="","",IFERROR(INDEX(ClientRates!$D$5:$D$500,MATCH($B725&amp;"|"&amp;$L725,ClientRates!$A$5:$A$500,0)),0))</f>
        <v/>
      </c>
      <c r="N725" s="26" t="str">
        <f aca="false">IF($D725="","",IFERROR(INDEX(ClientRates!$E$5:$E$500,MATCH($B725&amp;"|"&amp;$L725,ClientRates!$A$5:$A$500,0)),0))</f>
        <v/>
      </c>
      <c r="O725" s="26" t="str">
        <f aca="false">IF($D725="","",F725*M725+G725*N725)</f>
        <v/>
      </c>
      <c r="P725" s="26" t="str">
        <f aca="false">IF(OR($D725="",$J725&lt;&gt;"Supplier"),"",IFERROR(INDEX(SupplierRates!$D$5:$D$500,MATCH($K725&amp;"|"&amp;$L725,SupplierRates!$A$5:$A$500,0)),0))</f>
        <v/>
      </c>
      <c r="Q725" s="26" t="str">
        <f aca="false">IF(OR($D725="",$J725&lt;&gt;"Supplier"),"",IFERROR(INDEX(SupplierRates!$E$5:$E$500,MATCH($K725&amp;"|"&amp;$L725,SupplierRates!$A$5:$A$500,0)),0))</f>
        <v/>
      </c>
      <c r="R725" s="26" t="n">
        <f aca="false">IF(OR($D725="",$J725&lt;&gt;"Supplier"),0,F725*P725+G725*Q725)</f>
        <v>0</v>
      </c>
      <c r="S725" s="26" t="n">
        <f aca="false">IF(OR($D725="",$J725&lt;&gt;"Own"),0,IFERROR((F725+G725*Settings!$B$13)*INDEX(Workers!$V$5:$V$2004,MATCH($D725,Workers!$A$5:$A$2004,0)),0))</f>
        <v>0</v>
      </c>
      <c r="T725" s="26" t="str">
        <f aca="false">IF($D725="","",O725-R725-S725)</f>
        <v/>
      </c>
    </row>
    <row r="726" customFormat="false" ht="15" hidden="false" customHeight="false" outlineLevel="0" collapsed="false">
      <c r="I726" s="24" t="str">
        <f aca="false">IF($D726="","",IFERROR(INDEX(Workers!$B$5:$B$2004,MATCH($D726,Workers!$A$5:$A$2004,0)),"NOT FOUND"))</f>
        <v/>
      </c>
      <c r="J726" s="24" t="str">
        <f aca="false">IF($D726="","",IFERROR(INDEX(Workers!$C$5:$C$2004,MATCH($D726,Workers!$A$5:$A$2004,0)),""))</f>
        <v/>
      </c>
      <c r="K726" s="24" t="str">
        <f aca="false">IF($D726="","",IFERROR(IF(INDEX(Workers!$D$5:$D$2004,MATCH($D726,Workers!$A$5:$A$2004,0))=0,"",INDEX(Workers!$D$5:$D$2004,MATCH($D726,Workers!$A$5:$A$2004,0))),""))</f>
        <v/>
      </c>
      <c r="L726" s="24" t="str">
        <f aca="false">IF($D726="","",IFERROR(INDEX(Workers!$E$5:$E$2004,MATCH($D726,Workers!$A$5:$A$2004,0)),""))</f>
        <v/>
      </c>
      <c r="M726" s="26" t="str">
        <f aca="false">IF($D726="","",IFERROR(INDEX(ClientRates!$D$5:$D$500,MATCH($B726&amp;"|"&amp;$L726,ClientRates!$A$5:$A$500,0)),0))</f>
        <v/>
      </c>
      <c r="N726" s="26" t="str">
        <f aca="false">IF($D726="","",IFERROR(INDEX(ClientRates!$E$5:$E$500,MATCH($B726&amp;"|"&amp;$L726,ClientRates!$A$5:$A$500,0)),0))</f>
        <v/>
      </c>
      <c r="O726" s="26" t="str">
        <f aca="false">IF($D726="","",F726*M726+G726*N726)</f>
        <v/>
      </c>
      <c r="P726" s="26" t="str">
        <f aca="false">IF(OR($D726="",$J726&lt;&gt;"Supplier"),"",IFERROR(INDEX(SupplierRates!$D$5:$D$500,MATCH($K726&amp;"|"&amp;$L726,SupplierRates!$A$5:$A$500,0)),0))</f>
        <v/>
      </c>
      <c r="Q726" s="26" t="str">
        <f aca="false">IF(OR($D726="",$J726&lt;&gt;"Supplier"),"",IFERROR(INDEX(SupplierRates!$E$5:$E$500,MATCH($K726&amp;"|"&amp;$L726,SupplierRates!$A$5:$A$500,0)),0))</f>
        <v/>
      </c>
      <c r="R726" s="26" t="n">
        <f aca="false">IF(OR($D726="",$J726&lt;&gt;"Supplier"),0,F726*P726+G726*Q726)</f>
        <v>0</v>
      </c>
      <c r="S726" s="26" t="n">
        <f aca="false">IF(OR($D726="",$J726&lt;&gt;"Own"),0,IFERROR((F726+G726*Settings!$B$13)*INDEX(Workers!$V$5:$V$2004,MATCH($D726,Workers!$A$5:$A$2004,0)),0))</f>
        <v>0</v>
      </c>
      <c r="T726" s="26" t="str">
        <f aca="false">IF($D726="","",O726-R726-S726)</f>
        <v/>
      </c>
    </row>
    <row r="727" customFormat="false" ht="15" hidden="false" customHeight="false" outlineLevel="0" collapsed="false">
      <c r="I727" s="24" t="str">
        <f aca="false">IF($D727="","",IFERROR(INDEX(Workers!$B$5:$B$2004,MATCH($D727,Workers!$A$5:$A$2004,0)),"NOT FOUND"))</f>
        <v/>
      </c>
      <c r="J727" s="24" t="str">
        <f aca="false">IF($D727="","",IFERROR(INDEX(Workers!$C$5:$C$2004,MATCH($D727,Workers!$A$5:$A$2004,0)),""))</f>
        <v/>
      </c>
      <c r="K727" s="24" t="str">
        <f aca="false">IF($D727="","",IFERROR(IF(INDEX(Workers!$D$5:$D$2004,MATCH($D727,Workers!$A$5:$A$2004,0))=0,"",INDEX(Workers!$D$5:$D$2004,MATCH($D727,Workers!$A$5:$A$2004,0))),""))</f>
        <v/>
      </c>
      <c r="L727" s="24" t="str">
        <f aca="false">IF($D727="","",IFERROR(INDEX(Workers!$E$5:$E$2004,MATCH($D727,Workers!$A$5:$A$2004,0)),""))</f>
        <v/>
      </c>
      <c r="M727" s="26" t="str">
        <f aca="false">IF($D727="","",IFERROR(INDEX(ClientRates!$D$5:$D$500,MATCH($B727&amp;"|"&amp;$L727,ClientRates!$A$5:$A$500,0)),0))</f>
        <v/>
      </c>
      <c r="N727" s="26" t="str">
        <f aca="false">IF($D727="","",IFERROR(INDEX(ClientRates!$E$5:$E$500,MATCH($B727&amp;"|"&amp;$L727,ClientRates!$A$5:$A$500,0)),0))</f>
        <v/>
      </c>
      <c r="O727" s="26" t="str">
        <f aca="false">IF($D727="","",F727*M727+G727*N727)</f>
        <v/>
      </c>
      <c r="P727" s="26" t="str">
        <f aca="false">IF(OR($D727="",$J727&lt;&gt;"Supplier"),"",IFERROR(INDEX(SupplierRates!$D$5:$D$500,MATCH($K727&amp;"|"&amp;$L727,SupplierRates!$A$5:$A$500,0)),0))</f>
        <v/>
      </c>
      <c r="Q727" s="26" t="str">
        <f aca="false">IF(OR($D727="",$J727&lt;&gt;"Supplier"),"",IFERROR(INDEX(SupplierRates!$E$5:$E$500,MATCH($K727&amp;"|"&amp;$L727,SupplierRates!$A$5:$A$500,0)),0))</f>
        <v/>
      </c>
      <c r="R727" s="26" t="n">
        <f aca="false">IF(OR($D727="",$J727&lt;&gt;"Supplier"),0,F727*P727+G727*Q727)</f>
        <v>0</v>
      </c>
      <c r="S727" s="26" t="n">
        <f aca="false">IF(OR($D727="",$J727&lt;&gt;"Own"),0,IFERROR((F727+G727*Settings!$B$13)*INDEX(Workers!$V$5:$V$2004,MATCH($D727,Workers!$A$5:$A$2004,0)),0))</f>
        <v>0</v>
      </c>
      <c r="T727" s="26" t="str">
        <f aca="false">IF($D727="","",O727-R727-S727)</f>
        <v/>
      </c>
    </row>
    <row r="728" customFormat="false" ht="15" hidden="false" customHeight="false" outlineLevel="0" collapsed="false">
      <c r="I728" s="24" t="str">
        <f aca="false">IF($D728="","",IFERROR(INDEX(Workers!$B$5:$B$2004,MATCH($D728,Workers!$A$5:$A$2004,0)),"NOT FOUND"))</f>
        <v/>
      </c>
      <c r="J728" s="24" t="str">
        <f aca="false">IF($D728="","",IFERROR(INDEX(Workers!$C$5:$C$2004,MATCH($D728,Workers!$A$5:$A$2004,0)),""))</f>
        <v/>
      </c>
      <c r="K728" s="24" t="str">
        <f aca="false">IF($D728="","",IFERROR(IF(INDEX(Workers!$D$5:$D$2004,MATCH($D728,Workers!$A$5:$A$2004,0))=0,"",INDEX(Workers!$D$5:$D$2004,MATCH($D728,Workers!$A$5:$A$2004,0))),""))</f>
        <v/>
      </c>
      <c r="L728" s="24" t="str">
        <f aca="false">IF($D728="","",IFERROR(INDEX(Workers!$E$5:$E$2004,MATCH($D728,Workers!$A$5:$A$2004,0)),""))</f>
        <v/>
      </c>
      <c r="M728" s="26" t="str">
        <f aca="false">IF($D728="","",IFERROR(INDEX(ClientRates!$D$5:$D$500,MATCH($B728&amp;"|"&amp;$L728,ClientRates!$A$5:$A$500,0)),0))</f>
        <v/>
      </c>
      <c r="N728" s="26" t="str">
        <f aca="false">IF($D728="","",IFERROR(INDEX(ClientRates!$E$5:$E$500,MATCH($B728&amp;"|"&amp;$L728,ClientRates!$A$5:$A$500,0)),0))</f>
        <v/>
      </c>
      <c r="O728" s="26" t="str">
        <f aca="false">IF($D728="","",F728*M728+G728*N728)</f>
        <v/>
      </c>
      <c r="P728" s="26" t="str">
        <f aca="false">IF(OR($D728="",$J728&lt;&gt;"Supplier"),"",IFERROR(INDEX(SupplierRates!$D$5:$D$500,MATCH($K728&amp;"|"&amp;$L728,SupplierRates!$A$5:$A$500,0)),0))</f>
        <v/>
      </c>
      <c r="Q728" s="26" t="str">
        <f aca="false">IF(OR($D728="",$J728&lt;&gt;"Supplier"),"",IFERROR(INDEX(SupplierRates!$E$5:$E$500,MATCH($K728&amp;"|"&amp;$L728,SupplierRates!$A$5:$A$500,0)),0))</f>
        <v/>
      </c>
      <c r="R728" s="26" t="n">
        <f aca="false">IF(OR($D728="",$J728&lt;&gt;"Supplier"),0,F728*P728+G728*Q728)</f>
        <v>0</v>
      </c>
      <c r="S728" s="26" t="n">
        <f aca="false">IF(OR($D728="",$J728&lt;&gt;"Own"),0,IFERROR((F728+G728*Settings!$B$13)*INDEX(Workers!$V$5:$V$2004,MATCH($D728,Workers!$A$5:$A$2004,0)),0))</f>
        <v>0</v>
      </c>
      <c r="T728" s="26" t="str">
        <f aca="false">IF($D728="","",O728-R728-S728)</f>
        <v/>
      </c>
    </row>
    <row r="729" customFormat="false" ht="15" hidden="false" customHeight="false" outlineLevel="0" collapsed="false">
      <c r="I729" s="24" t="str">
        <f aca="false">IF($D729="","",IFERROR(INDEX(Workers!$B$5:$B$2004,MATCH($D729,Workers!$A$5:$A$2004,0)),"NOT FOUND"))</f>
        <v/>
      </c>
      <c r="J729" s="24" t="str">
        <f aca="false">IF($D729="","",IFERROR(INDEX(Workers!$C$5:$C$2004,MATCH($D729,Workers!$A$5:$A$2004,0)),""))</f>
        <v/>
      </c>
      <c r="K729" s="24" t="str">
        <f aca="false">IF($D729="","",IFERROR(IF(INDEX(Workers!$D$5:$D$2004,MATCH($D729,Workers!$A$5:$A$2004,0))=0,"",INDEX(Workers!$D$5:$D$2004,MATCH($D729,Workers!$A$5:$A$2004,0))),""))</f>
        <v/>
      </c>
      <c r="L729" s="24" t="str">
        <f aca="false">IF($D729="","",IFERROR(INDEX(Workers!$E$5:$E$2004,MATCH($D729,Workers!$A$5:$A$2004,0)),""))</f>
        <v/>
      </c>
      <c r="M729" s="26" t="str">
        <f aca="false">IF($D729="","",IFERROR(INDEX(ClientRates!$D$5:$D$500,MATCH($B729&amp;"|"&amp;$L729,ClientRates!$A$5:$A$500,0)),0))</f>
        <v/>
      </c>
      <c r="N729" s="26" t="str">
        <f aca="false">IF($D729="","",IFERROR(INDEX(ClientRates!$E$5:$E$500,MATCH($B729&amp;"|"&amp;$L729,ClientRates!$A$5:$A$500,0)),0))</f>
        <v/>
      </c>
      <c r="O729" s="26" t="str">
        <f aca="false">IF($D729="","",F729*M729+G729*N729)</f>
        <v/>
      </c>
      <c r="P729" s="26" t="str">
        <f aca="false">IF(OR($D729="",$J729&lt;&gt;"Supplier"),"",IFERROR(INDEX(SupplierRates!$D$5:$D$500,MATCH($K729&amp;"|"&amp;$L729,SupplierRates!$A$5:$A$500,0)),0))</f>
        <v/>
      </c>
      <c r="Q729" s="26" t="str">
        <f aca="false">IF(OR($D729="",$J729&lt;&gt;"Supplier"),"",IFERROR(INDEX(SupplierRates!$E$5:$E$500,MATCH($K729&amp;"|"&amp;$L729,SupplierRates!$A$5:$A$500,0)),0))</f>
        <v/>
      </c>
      <c r="R729" s="26" t="n">
        <f aca="false">IF(OR($D729="",$J729&lt;&gt;"Supplier"),0,F729*P729+G729*Q729)</f>
        <v>0</v>
      </c>
      <c r="S729" s="26" t="n">
        <f aca="false">IF(OR($D729="",$J729&lt;&gt;"Own"),0,IFERROR((F729+G729*Settings!$B$13)*INDEX(Workers!$V$5:$V$2004,MATCH($D729,Workers!$A$5:$A$2004,0)),0))</f>
        <v>0</v>
      </c>
      <c r="T729" s="26" t="str">
        <f aca="false">IF($D729="","",O729-R729-S729)</f>
        <v/>
      </c>
    </row>
    <row r="730" customFormat="false" ht="15" hidden="false" customHeight="false" outlineLevel="0" collapsed="false">
      <c r="I730" s="24" t="str">
        <f aca="false">IF($D730="","",IFERROR(INDEX(Workers!$B$5:$B$2004,MATCH($D730,Workers!$A$5:$A$2004,0)),"NOT FOUND"))</f>
        <v/>
      </c>
      <c r="J730" s="24" t="str">
        <f aca="false">IF($D730="","",IFERROR(INDEX(Workers!$C$5:$C$2004,MATCH($D730,Workers!$A$5:$A$2004,0)),""))</f>
        <v/>
      </c>
      <c r="K730" s="24" t="str">
        <f aca="false">IF($D730="","",IFERROR(IF(INDEX(Workers!$D$5:$D$2004,MATCH($D730,Workers!$A$5:$A$2004,0))=0,"",INDEX(Workers!$D$5:$D$2004,MATCH($D730,Workers!$A$5:$A$2004,0))),""))</f>
        <v/>
      </c>
      <c r="L730" s="24" t="str">
        <f aca="false">IF($D730="","",IFERROR(INDEX(Workers!$E$5:$E$2004,MATCH($D730,Workers!$A$5:$A$2004,0)),""))</f>
        <v/>
      </c>
      <c r="M730" s="26" t="str">
        <f aca="false">IF($D730="","",IFERROR(INDEX(ClientRates!$D$5:$D$500,MATCH($B730&amp;"|"&amp;$L730,ClientRates!$A$5:$A$500,0)),0))</f>
        <v/>
      </c>
      <c r="N730" s="26" t="str">
        <f aca="false">IF($D730="","",IFERROR(INDEX(ClientRates!$E$5:$E$500,MATCH($B730&amp;"|"&amp;$L730,ClientRates!$A$5:$A$500,0)),0))</f>
        <v/>
      </c>
      <c r="O730" s="26" t="str">
        <f aca="false">IF($D730="","",F730*M730+G730*N730)</f>
        <v/>
      </c>
      <c r="P730" s="26" t="str">
        <f aca="false">IF(OR($D730="",$J730&lt;&gt;"Supplier"),"",IFERROR(INDEX(SupplierRates!$D$5:$D$500,MATCH($K730&amp;"|"&amp;$L730,SupplierRates!$A$5:$A$500,0)),0))</f>
        <v/>
      </c>
      <c r="Q730" s="26" t="str">
        <f aca="false">IF(OR($D730="",$J730&lt;&gt;"Supplier"),"",IFERROR(INDEX(SupplierRates!$E$5:$E$500,MATCH($K730&amp;"|"&amp;$L730,SupplierRates!$A$5:$A$500,0)),0))</f>
        <v/>
      </c>
      <c r="R730" s="26" t="n">
        <f aca="false">IF(OR($D730="",$J730&lt;&gt;"Supplier"),0,F730*P730+G730*Q730)</f>
        <v>0</v>
      </c>
      <c r="S730" s="26" t="n">
        <f aca="false">IF(OR($D730="",$J730&lt;&gt;"Own"),0,IFERROR((F730+G730*Settings!$B$13)*INDEX(Workers!$V$5:$V$2004,MATCH($D730,Workers!$A$5:$A$2004,0)),0))</f>
        <v>0</v>
      </c>
      <c r="T730" s="26" t="str">
        <f aca="false">IF($D730="","",O730-R730-S730)</f>
        <v/>
      </c>
    </row>
    <row r="731" customFormat="false" ht="15" hidden="false" customHeight="false" outlineLevel="0" collapsed="false">
      <c r="I731" s="24" t="str">
        <f aca="false">IF($D731="","",IFERROR(INDEX(Workers!$B$5:$B$2004,MATCH($D731,Workers!$A$5:$A$2004,0)),"NOT FOUND"))</f>
        <v/>
      </c>
      <c r="J731" s="24" t="str">
        <f aca="false">IF($D731="","",IFERROR(INDEX(Workers!$C$5:$C$2004,MATCH($D731,Workers!$A$5:$A$2004,0)),""))</f>
        <v/>
      </c>
      <c r="K731" s="24" t="str">
        <f aca="false">IF($D731="","",IFERROR(IF(INDEX(Workers!$D$5:$D$2004,MATCH($D731,Workers!$A$5:$A$2004,0))=0,"",INDEX(Workers!$D$5:$D$2004,MATCH($D731,Workers!$A$5:$A$2004,0))),""))</f>
        <v/>
      </c>
      <c r="L731" s="24" t="str">
        <f aca="false">IF($D731="","",IFERROR(INDEX(Workers!$E$5:$E$2004,MATCH($D731,Workers!$A$5:$A$2004,0)),""))</f>
        <v/>
      </c>
      <c r="M731" s="26" t="str">
        <f aca="false">IF($D731="","",IFERROR(INDEX(ClientRates!$D$5:$D$500,MATCH($B731&amp;"|"&amp;$L731,ClientRates!$A$5:$A$500,0)),0))</f>
        <v/>
      </c>
      <c r="N731" s="26" t="str">
        <f aca="false">IF($D731="","",IFERROR(INDEX(ClientRates!$E$5:$E$500,MATCH($B731&amp;"|"&amp;$L731,ClientRates!$A$5:$A$500,0)),0))</f>
        <v/>
      </c>
      <c r="O731" s="26" t="str">
        <f aca="false">IF($D731="","",F731*M731+G731*N731)</f>
        <v/>
      </c>
      <c r="P731" s="26" t="str">
        <f aca="false">IF(OR($D731="",$J731&lt;&gt;"Supplier"),"",IFERROR(INDEX(SupplierRates!$D$5:$D$500,MATCH($K731&amp;"|"&amp;$L731,SupplierRates!$A$5:$A$500,0)),0))</f>
        <v/>
      </c>
      <c r="Q731" s="26" t="str">
        <f aca="false">IF(OR($D731="",$J731&lt;&gt;"Supplier"),"",IFERROR(INDEX(SupplierRates!$E$5:$E$500,MATCH($K731&amp;"|"&amp;$L731,SupplierRates!$A$5:$A$500,0)),0))</f>
        <v/>
      </c>
      <c r="R731" s="26" t="n">
        <f aca="false">IF(OR($D731="",$J731&lt;&gt;"Supplier"),0,F731*P731+G731*Q731)</f>
        <v>0</v>
      </c>
      <c r="S731" s="26" t="n">
        <f aca="false">IF(OR($D731="",$J731&lt;&gt;"Own"),0,IFERROR((F731+G731*Settings!$B$13)*INDEX(Workers!$V$5:$V$2004,MATCH($D731,Workers!$A$5:$A$2004,0)),0))</f>
        <v>0</v>
      </c>
      <c r="T731" s="26" t="str">
        <f aca="false">IF($D731="","",O731-R731-S731)</f>
        <v/>
      </c>
    </row>
    <row r="732" customFormat="false" ht="15" hidden="false" customHeight="false" outlineLevel="0" collapsed="false">
      <c r="I732" s="24" t="str">
        <f aca="false">IF($D732="","",IFERROR(INDEX(Workers!$B$5:$B$2004,MATCH($D732,Workers!$A$5:$A$2004,0)),"NOT FOUND"))</f>
        <v/>
      </c>
      <c r="J732" s="24" t="str">
        <f aca="false">IF($D732="","",IFERROR(INDEX(Workers!$C$5:$C$2004,MATCH($D732,Workers!$A$5:$A$2004,0)),""))</f>
        <v/>
      </c>
      <c r="K732" s="24" t="str">
        <f aca="false">IF($D732="","",IFERROR(IF(INDEX(Workers!$D$5:$D$2004,MATCH($D732,Workers!$A$5:$A$2004,0))=0,"",INDEX(Workers!$D$5:$D$2004,MATCH($D732,Workers!$A$5:$A$2004,0))),""))</f>
        <v/>
      </c>
      <c r="L732" s="24" t="str">
        <f aca="false">IF($D732="","",IFERROR(INDEX(Workers!$E$5:$E$2004,MATCH($D732,Workers!$A$5:$A$2004,0)),""))</f>
        <v/>
      </c>
      <c r="M732" s="26" t="str">
        <f aca="false">IF($D732="","",IFERROR(INDEX(ClientRates!$D$5:$D$500,MATCH($B732&amp;"|"&amp;$L732,ClientRates!$A$5:$A$500,0)),0))</f>
        <v/>
      </c>
      <c r="N732" s="26" t="str">
        <f aca="false">IF($D732="","",IFERROR(INDEX(ClientRates!$E$5:$E$500,MATCH($B732&amp;"|"&amp;$L732,ClientRates!$A$5:$A$500,0)),0))</f>
        <v/>
      </c>
      <c r="O732" s="26" t="str">
        <f aca="false">IF($D732="","",F732*M732+G732*N732)</f>
        <v/>
      </c>
      <c r="P732" s="26" t="str">
        <f aca="false">IF(OR($D732="",$J732&lt;&gt;"Supplier"),"",IFERROR(INDEX(SupplierRates!$D$5:$D$500,MATCH($K732&amp;"|"&amp;$L732,SupplierRates!$A$5:$A$500,0)),0))</f>
        <v/>
      </c>
      <c r="Q732" s="26" t="str">
        <f aca="false">IF(OR($D732="",$J732&lt;&gt;"Supplier"),"",IFERROR(INDEX(SupplierRates!$E$5:$E$500,MATCH($K732&amp;"|"&amp;$L732,SupplierRates!$A$5:$A$500,0)),0))</f>
        <v/>
      </c>
      <c r="R732" s="26" t="n">
        <f aca="false">IF(OR($D732="",$J732&lt;&gt;"Supplier"),0,F732*P732+G732*Q732)</f>
        <v>0</v>
      </c>
      <c r="S732" s="26" t="n">
        <f aca="false">IF(OR($D732="",$J732&lt;&gt;"Own"),0,IFERROR((F732+G732*Settings!$B$13)*INDEX(Workers!$V$5:$V$2004,MATCH($D732,Workers!$A$5:$A$2004,0)),0))</f>
        <v>0</v>
      </c>
      <c r="T732" s="26" t="str">
        <f aca="false">IF($D732="","",O732-R732-S732)</f>
        <v/>
      </c>
    </row>
    <row r="733" customFormat="false" ht="15" hidden="false" customHeight="false" outlineLevel="0" collapsed="false">
      <c r="I733" s="24" t="str">
        <f aca="false">IF($D733="","",IFERROR(INDEX(Workers!$B$5:$B$2004,MATCH($D733,Workers!$A$5:$A$2004,0)),"NOT FOUND"))</f>
        <v/>
      </c>
      <c r="J733" s="24" t="str">
        <f aca="false">IF($D733="","",IFERROR(INDEX(Workers!$C$5:$C$2004,MATCH($D733,Workers!$A$5:$A$2004,0)),""))</f>
        <v/>
      </c>
      <c r="K733" s="24" t="str">
        <f aca="false">IF($D733="","",IFERROR(IF(INDEX(Workers!$D$5:$D$2004,MATCH($D733,Workers!$A$5:$A$2004,0))=0,"",INDEX(Workers!$D$5:$D$2004,MATCH($D733,Workers!$A$5:$A$2004,0))),""))</f>
        <v/>
      </c>
      <c r="L733" s="24" t="str">
        <f aca="false">IF($D733="","",IFERROR(INDEX(Workers!$E$5:$E$2004,MATCH($D733,Workers!$A$5:$A$2004,0)),""))</f>
        <v/>
      </c>
      <c r="M733" s="26" t="str">
        <f aca="false">IF($D733="","",IFERROR(INDEX(ClientRates!$D$5:$D$500,MATCH($B733&amp;"|"&amp;$L733,ClientRates!$A$5:$A$500,0)),0))</f>
        <v/>
      </c>
      <c r="N733" s="26" t="str">
        <f aca="false">IF($D733="","",IFERROR(INDEX(ClientRates!$E$5:$E$500,MATCH($B733&amp;"|"&amp;$L733,ClientRates!$A$5:$A$500,0)),0))</f>
        <v/>
      </c>
      <c r="O733" s="26" t="str">
        <f aca="false">IF($D733="","",F733*M733+G733*N733)</f>
        <v/>
      </c>
      <c r="P733" s="26" t="str">
        <f aca="false">IF(OR($D733="",$J733&lt;&gt;"Supplier"),"",IFERROR(INDEX(SupplierRates!$D$5:$D$500,MATCH($K733&amp;"|"&amp;$L733,SupplierRates!$A$5:$A$500,0)),0))</f>
        <v/>
      </c>
      <c r="Q733" s="26" t="str">
        <f aca="false">IF(OR($D733="",$J733&lt;&gt;"Supplier"),"",IFERROR(INDEX(SupplierRates!$E$5:$E$500,MATCH($K733&amp;"|"&amp;$L733,SupplierRates!$A$5:$A$500,0)),0))</f>
        <v/>
      </c>
      <c r="R733" s="26" t="n">
        <f aca="false">IF(OR($D733="",$J733&lt;&gt;"Supplier"),0,F733*P733+G733*Q733)</f>
        <v>0</v>
      </c>
      <c r="S733" s="26" t="n">
        <f aca="false">IF(OR($D733="",$J733&lt;&gt;"Own"),0,IFERROR((F733+G733*Settings!$B$13)*INDEX(Workers!$V$5:$V$2004,MATCH($D733,Workers!$A$5:$A$2004,0)),0))</f>
        <v>0</v>
      </c>
      <c r="T733" s="26" t="str">
        <f aca="false">IF($D733="","",O733-R733-S733)</f>
        <v/>
      </c>
    </row>
    <row r="734" customFormat="false" ht="15" hidden="false" customHeight="false" outlineLevel="0" collapsed="false">
      <c r="I734" s="24" t="str">
        <f aca="false">IF($D734="","",IFERROR(INDEX(Workers!$B$5:$B$2004,MATCH($D734,Workers!$A$5:$A$2004,0)),"NOT FOUND"))</f>
        <v/>
      </c>
      <c r="J734" s="24" t="str">
        <f aca="false">IF($D734="","",IFERROR(INDEX(Workers!$C$5:$C$2004,MATCH($D734,Workers!$A$5:$A$2004,0)),""))</f>
        <v/>
      </c>
      <c r="K734" s="24" t="str">
        <f aca="false">IF($D734="","",IFERROR(IF(INDEX(Workers!$D$5:$D$2004,MATCH($D734,Workers!$A$5:$A$2004,0))=0,"",INDEX(Workers!$D$5:$D$2004,MATCH($D734,Workers!$A$5:$A$2004,0))),""))</f>
        <v/>
      </c>
      <c r="L734" s="24" t="str">
        <f aca="false">IF($D734="","",IFERROR(INDEX(Workers!$E$5:$E$2004,MATCH($D734,Workers!$A$5:$A$2004,0)),""))</f>
        <v/>
      </c>
      <c r="M734" s="26" t="str">
        <f aca="false">IF($D734="","",IFERROR(INDEX(ClientRates!$D$5:$D$500,MATCH($B734&amp;"|"&amp;$L734,ClientRates!$A$5:$A$500,0)),0))</f>
        <v/>
      </c>
      <c r="N734" s="26" t="str">
        <f aca="false">IF($D734="","",IFERROR(INDEX(ClientRates!$E$5:$E$500,MATCH($B734&amp;"|"&amp;$L734,ClientRates!$A$5:$A$500,0)),0))</f>
        <v/>
      </c>
      <c r="O734" s="26" t="str">
        <f aca="false">IF($D734="","",F734*M734+G734*N734)</f>
        <v/>
      </c>
      <c r="P734" s="26" t="str">
        <f aca="false">IF(OR($D734="",$J734&lt;&gt;"Supplier"),"",IFERROR(INDEX(SupplierRates!$D$5:$D$500,MATCH($K734&amp;"|"&amp;$L734,SupplierRates!$A$5:$A$500,0)),0))</f>
        <v/>
      </c>
      <c r="Q734" s="26" t="str">
        <f aca="false">IF(OR($D734="",$J734&lt;&gt;"Supplier"),"",IFERROR(INDEX(SupplierRates!$E$5:$E$500,MATCH($K734&amp;"|"&amp;$L734,SupplierRates!$A$5:$A$500,0)),0))</f>
        <v/>
      </c>
      <c r="R734" s="26" t="n">
        <f aca="false">IF(OR($D734="",$J734&lt;&gt;"Supplier"),0,F734*P734+G734*Q734)</f>
        <v>0</v>
      </c>
      <c r="S734" s="26" t="n">
        <f aca="false">IF(OR($D734="",$J734&lt;&gt;"Own"),0,IFERROR((F734+G734*Settings!$B$13)*INDEX(Workers!$V$5:$V$2004,MATCH($D734,Workers!$A$5:$A$2004,0)),0))</f>
        <v>0</v>
      </c>
      <c r="T734" s="26" t="str">
        <f aca="false">IF($D734="","",O734-R734-S734)</f>
        <v/>
      </c>
    </row>
    <row r="735" customFormat="false" ht="15" hidden="false" customHeight="false" outlineLevel="0" collapsed="false">
      <c r="I735" s="24" t="str">
        <f aca="false">IF($D735="","",IFERROR(INDEX(Workers!$B$5:$B$2004,MATCH($D735,Workers!$A$5:$A$2004,0)),"NOT FOUND"))</f>
        <v/>
      </c>
      <c r="J735" s="24" t="str">
        <f aca="false">IF($D735="","",IFERROR(INDEX(Workers!$C$5:$C$2004,MATCH($D735,Workers!$A$5:$A$2004,0)),""))</f>
        <v/>
      </c>
      <c r="K735" s="24" t="str">
        <f aca="false">IF($D735="","",IFERROR(IF(INDEX(Workers!$D$5:$D$2004,MATCH($D735,Workers!$A$5:$A$2004,0))=0,"",INDEX(Workers!$D$5:$D$2004,MATCH($D735,Workers!$A$5:$A$2004,0))),""))</f>
        <v/>
      </c>
      <c r="L735" s="24" t="str">
        <f aca="false">IF($D735="","",IFERROR(INDEX(Workers!$E$5:$E$2004,MATCH($D735,Workers!$A$5:$A$2004,0)),""))</f>
        <v/>
      </c>
      <c r="M735" s="26" t="str">
        <f aca="false">IF($D735="","",IFERROR(INDEX(ClientRates!$D$5:$D$500,MATCH($B735&amp;"|"&amp;$L735,ClientRates!$A$5:$A$500,0)),0))</f>
        <v/>
      </c>
      <c r="N735" s="26" t="str">
        <f aca="false">IF($D735="","",IFERROR(INDEX(ClientRates!$E$5:$E$500,MATCH($B735&amp;"|"&amp;$L735,ClientRates!$A$5:$A$500,0)),0))</f>
        <v/>
      </c>
      <c r="O735" s="26" t="str">
        <f aca="false">IF($D735="","",F735*M735+G735*N735)</f>
        <v/>
      </c>
      <c r="P735" s="26" t="str">
        <f aca="false">IF(OR($D735="",$J735&lt;&gt;"Supplier"),"",IFERROR(INDEX(SupplierRates!$D$5:$D$500,MATCH($K735&amp;"|"&amp;$L735,SupplierRates!$A$5:$A$500,0)),0))</f>
        <v/>
      </c>
      <c r="Q735" s="26" t="str">
        <f aca="false">IF(OR($D735="",$J735&lt;&gt;"Supplier"),"",IFERROR(INDEX(SupplierRates!$E$5:$E$500,MATCH($K735&amp;"|"&amp;$L735,SupplierRates!$A$5:$A$500,0)),0))</f>
        <v/>
      </c>
      <c r="R735" s="26" t="n">
        <f aca="false">IF(OR($D735="",$J735&lt;&gt;"Supplier"),0,F735*P735+G735*Q735)</f>
        <v>0</v>
      </c>
      <c r="S735" s="26" t="n">
        <f aca="false">IF(OR($D735="",$J735&lt;&gt;"Own"),0,IFERROR((F735+G735*Settings!$B$13)*INDEX(Workers!$V$5:$V$2004,MATCH($D735,Workers!$A$5:$A$2004,0)),0))</f>
        <v>0</v>
      </c>
      <c r="T735" s="26" t="str">
        <f aca="false">IF($D735="","",O735-R735-S735)</f>
        <v/>
      </c>
    </row>
    <row r="736" customFormat="false" ht="15" hidden="false" customHeight="false" outlineLevel="0" collapsed="false">
      <c r="I736" s="24" t="str">
        <f aca="false">IF($D736="","",IFERROR(INDEX(Workers!$B$5:$B$2004,MATCH($D736,Workers!$A$5:$A$2004,0)),"NOT FOUND"))</f>
        <v/>
      </c>
      <c r="J736" s="24" t="str">
        <f aca="false">IF($D736="","",IFERROR(INDEX(Workers!$C$5:$C$2004,MATCH($D736,Workers!$A$5:$A$2004,0)),""))</f>
        <v/>
      </c>
      <c r="K736" s="24" t="str">
        <f aca="false">IF($D736="","",IFERROR(IF(INDEX(Workers!$D$5:$D$2004,MATCH($D736,Workers!$A$5:$A$2004,0))=0,"",INDEX(Workers!$D$5:$D$2004,MATCH($D736,Workers!$A$5:$A$2004,0))),""))</f>
        <v/>
      </c>
      <c r="L736" s="24" t="str">
        <f aca="false">IF($D736="","",IFERROR(INDEX(Workers!$E$5:$E$2004,MATCH($D736,Workers!$A$5:$A$2004,0)),""))</f>
        <v/>
      </c>
      <c r="M736" s="26" t="str">
        <f aca="false">IF($D736="","",IFERROR(INDEX(ClientRates!$D$5:$D$500,MATCH($B736&amp;"|"&amp;$L736,ClientRates!$A$5:$A$500,0)),0))</f>
        <v/>
      </c>
      <c r="N736" s="26" t="str">
        <f aca="false">IF($D736="","",IFERROR(INDEX(ClientRates!$E$5:$E$500,MATCH($B736&amp;"|"&amp;$L736,ClientRates!$A$5:$A$500,0)),0))</f>
        <v/>
      </c>
      <c r="O736" s="26" t="str">
        <f aca="false">IF($D736="","",F736*M736+G736*N736)</f>
        <v/>
      </c>
      <c r="P736" s="26" t="str">
        <f aca="false">IF(OR($D736="",$J736&lt;&gt;"Supplier"),"",IFERROR(INDEX(SupplierRates!$D$5:$D$500,MATCH($K736&amp;"|"&amp;$L736,SupplierRates!$A$5:$A$500,0)),0))</f>
        <v/>
      </c>
      <c r="Q736" s="26" t="str">
        <f aca="false">IF(OR($D736="",$J736&lt;&gt;"Supplier"),"",IFERROR(INDEX(SupplierRates!$E$5:$E$500,MATCH($K736&amp;"|"&amp;$L736,SupplierRates!$A$5:$A$500,0)),0))</f>
        <v/>
      </c>
      <c r="R736" s="26" t="n">
        <f aca="false">IF(OR($D736="",$J736&lt;&gt;"Supplier"),0,F736*P736+G736*Q736)</f>
        <v>0</v>
      </c>
      <c r="S736" s="26" t="n">
        <f aca="false">IF(OR($D736="",$J736&lt;&gt;"Own"),0,IFERROR((F736+G736*Settings!$B$13)*INDEX(Workers!$V$5:$V$2004,MATCH($D736,Workers!$A$5:$A$2004,0)),0))</f>
        <v>0</v>
      </c>
      <c r="T736" s="26" t="str">
        <f aca="false">IF($D736="","",O736-R736-S736)</f>
        <v/>
      </c>
    </row>
    <row r="737" customFormat="false" ht="15" hidden="false" customHeight="false" outlineLevel="0" collapsed="false">
      <c r="I737" s="24" t="str">
        <f aca="false">IF($D737="","",IFERROR(INDEX(Workers!$B$5:$B$2004,MATCH($D737,Workers!$A$5:$A$2004,0)),"NOT FOUND"))</f>
        <v/>
      </c>
      <c r="J737" s="24" t="str">
        <f aca="false">IF($D737="","",IFERROR(INDEX(Workers!$C$5:$C$2004,MATCH($D737,Workers!$A$5:$A$2004,0)),""))</f>
        <v/>
      </c>
      <c r="K737" s="24" t="str">
        <f aca="false">IF($D737="","",IFERROR(IF(INDEX(Workers!$D$5:$D$2004,MATCH($D737,Workers!$A$5:$A$2004,0))=0,"",INDEX(Workers!$D$5:$D$2004,MATCH($D737,Workers!$A$5:$A$2004,0))),""))</f>
        <v/>
      </c>
      <c r="L737" s="24" t="str">
        <f aca="false">IF($D737="","",IFERROR(INDEX(Workers!$E$5:$E$2004,MATCH($D737,Workers!$A$5:$A$2004,0)),""))</f>
        <v/>
      </c>
      <c r="M737" s="26" t="str">
        <f aca="false">IF($D737="","",IFERROR(INDEX(ClientRates!$D$5:$D$500,MATCH($B737&amp;"|"&amp;$L737,ClientRates!$A$5:$A$500,0)),0))</f>
        <v/>
      </c>
      <c r="N737" s="26" t="str">
        <f aca="false">IF($D737="","",IFERROR(INDEX(ClientRates!$E$5:$E$500,MATCH($B737&amp;"|"&amp;$L737,ClientRates!$A$5:$A$500,0)),0))</f>
        <v/>
      </c>
      <c r="O737" s="26" t="str">
        <f aca="false">IF($D737="","",F737*M737+G737*N737)</f>
        <v/>
      </c>
      <c r="P737" s="26" t="str">
        <f aca="false">IF(OR($D737="",$J737&lt;&gt;"Supplier"),"",IFERROR(INDEX(SupplierRates!$D$5:$D$500,MATCH($K737&amp;"|"&amp;$L737,SupplierRates!$A$5:$A$500,0)),0))</f>
        <v/>
      </c>
      <c r="Q737" s="26" t="str">
        <f aca="false">IF(OR($D737="",$J737&lt;&gt;"Supplier"),"",IFERROR(INDEX(SupplierRates!$E$5:$E$500,MATCH($K737&amp;"|"&amp;$L737,SupplierRates!$A$5:$A$500,0)),0))</f>
        <v/>
      </c>
      <c r="R737" s="26" t="n">
        <f aca="false">IF(OR($D737="",$J737&lt;&gt;"Supplier"),0,F737*P737+G737*Q737)</f>
        <v>0</v>
      </c>
      <c r="S737" s="26" t="n">
        <f aca="false">IF(OR($D737="",$J737&lt;&gt;"Own"),0,IFERROR((F737+G737*Settings!$B$13)*INDEX(Workers!$V$5:$V$2004,MATCH($D737,Workers!$A$5:$A$2004,0)),0))</f>
        <v>0</v>
      </c>
      <c r="T737" s="26" t="str">
        <f aca="false">IF($D737="","",O737-R737-S737)</f>
        <v/>
      </c>
    </row>
    <row r="738" customFormat="false" ht="15" hidden="false" customHeight="false" outlineLevel="0" collapsed="false">
      <c r="I738" s="24" t="str">
        <f aca="false">IF($D738="","",IFERROR(INDEX(Workers!$B$5:$B$2004,MATCH($D738,Workers!$A$5:$A$2004,0)),"NOT FOUND"))</f>
        <v/>
      </c>
      <c r="J738" s="24" t="str">
        <f aca="false">IF($D738="","",IFERROR(INDEX(Workers!$C$5:$C$2004,MATCH($D738,Workers!$A$5:$A$2004,0)),""))</f>
        <v/>
      </c>
      <c r="K738" s="24" t="str">
        <f aca="false">IF($D738="","",IFERROR(IF(INDEX(Workers!$D$5:$D$2004,MATCH($D738,Workers!$A$5:$A$2004,0))=0,"",INDEX(Workers!$D$5:$D$2004,MATCH($D738,Workers!$A$5:$A$2004,0))),""))</f>
        <v/>
      </c>
      <c r="L738" s="24" t="str">
        <f aca="false">IF($D738="","",IFERROR(INDEX(Workers!$E$5:$E$2004,MATCH($D738,Workers!$A$5:$A$2004,0)),""))</f>
        <v/>
      </c>
      <c r="M738" s="26" t="str">
        <f aca="false">IF($D738="","",IFERROR(INDEX(ClientRates!$D$5:$D$500,MATCH($B738&amp;"|"&amp;$L738,ClientRates!$A$5:$A$500,0)),0))</f>
        <v/>
      </c>
      <c r="N738" s="26" t="str">
        <f aca="false">IF($D738="","",IFERROR(INDEX(ClientRates!$E$5:$E$500,MATCH($B738&amp;"|"&amp;$L738,ClientRates!$A$5:$A$500,0)),0))</f>
        <v/>
      </c>
      <c r="O738" s="26" t="str">
        <f aca="false">IF($D738="","",F738*M738+G738*N738)</f>
        <v/>
      </c>
      <c r="P738" s="26" t="str">
        <f aca="false">IF(OR($D738="",$J738&lt;&gt;"Supplier"),"",IFERROR(INDEX(SupplierRates!$D$5:$D$500,MATCH($K738&amp;"|"&amp;$L738,SupplierRates!$A$5:$A$500,0)),0))</f>
        <v/>
      </c>
      <c r="Q738" s="26" t="str">
        <f aca="false">IF(OR($D738="",$J738&lt;&gt;"Supplier"),"",IFERROR(INDEX(SupplierRates!$E$5:$E$500,MATCH($K738&amp;"|"&amp;$L738,SupplierRates!$A$5:$A$500,0)),0))</f>
        <v/>
      </c>
      <c r="R738" s="26" t="n">
        <f aca="false">IF(OR($D738="",$J738&lt;&gt;"Supplier"),0,F738*P738+G738*Q738)</f>
        <v>0</v>
      </c>
      <c r="S738" s="26" t="n">
        <f aca="false">IF(OR($D738="",$J738&lt;&gt;"Own"),0,IFERROR((F738+G738*Settings!$B$13)*INDEX(Workers!$V$5:$V$2004,MATCH($D738,Workers!$A$5:$A$2004,0)),0))</f>
        <v>0</v>
      </c>
      <c r="T738" s="26" t="str">
        <f aca="false">IF($D738="","",O738-R738-S738)</f>
        <v/>
      </c>
    </row>
    <row r="739" customFormat="false" ht="15" hidden="false" customHeight="false" outlineLevel="0" collapsed="false">
      <c r="I739" s="24" t="str">
        <f aca="false">IF($D739="","",IFERROR(INDEX(Workers!$B$5:$B$2004,MATCH($D739,Workers!$A$5:$A$2004,0)),"NOT FOUND"))</f>
        <v/>
      </c>
      <c r="J739" s="24" t="str">
        <f aca="false">IF($D739="","",IFERROR(INDEX(Workers!$C$5:$C$2004,MATCH($D739,Workers!$A$5:$A$2004,0)),""))</f>
        <v/>
      </c>
      <c r="K739" s="24" t="str">
        <f aca="false">IF($D739="","",IFERROR(IF(INDEX(Workers!$D$5:$D$2004,MATCH($D739,Workers!$A$5:$A$2004,0))=0,"",INDEX(Workers!$D$5:$D$2004,MATCH($D739,Workers!$A$5:$A$2004,0))),""))</f>
        <v/>
      </c>
      <c r="L739" s="24" t="str">
        <f aca="false">IF($D739="","",IFERROR(INDEX(Workers!$E$5:$E$2004,MATCH($D739,Workers!$A$5:$A$2004,0)),""))</f>
        <v/>
      </c>
      <c r="M739" s="26" t="str">
        <f aca="false">IF($D739="","",IFERROR(INDEX(ClientRates!$D$5:$D$500,MATCH($B739&amp;"|"&amp;$L739,ClientRates!$A$5:$A$500,0)),0))</f>
        <v/>
      </c>
      <c r="N739" s="26" t="str">
        <f aca="false">IF($D739="","",IFERROR(INDEX(ClientRates!$E$5:$E$500,MATCH($B739&amp;"|"&amp;$L739,ClientRates!$A$5:$A$500,0)),0))</f>
        <v/>
      </c>
      <c r="O739" s="26" t="str">
        <f aca="false">IF($D739="","",F739*M739+G739*N739)</f>
        <v/>
      </c>
      <c r="P739" s="26" t="str">
        <f aca="false">IF(OR($D739="",$J739&lt;&gt;"Supplier"),"",IFERROR(INDEX(SupplierRates!$D$5:$D$500,MATCH($K739&amp;"|"&amp;$L739,SupplierRates!$A$5:$A$500,0)),0))</f>
        <v/>
      </c>
      <c r="Q739" s="26" t="str">
        <f aca="false">IF(OR($D739="",$J739&lt;&gt;"Supplier"),"",IFERROR(INDEX(SupplierRates!$E$5:$E$500,MATCH($K739&amp;"|"&amp;$L739,SupplierRates!$A$5:$A$500,0)),0))</f>
        <v/>
      </c>
      <c r="R739" s="26" t="n">
        <f aca="false">IF(OR($D739="",$J739&lt;&gt;"Supplier"),0,F739*P739+G739*Q739)</f>
        <v>0</v>
      </c>
      <c r="S739" s="26" t="n">
        <f aca="false">IF(OR($D739="",$J739&lt;&gt;"Own"),0,IFERROR((F739+G739*Settings!$B$13)*INDEX(Workers!$V$5:$V$2004,MATCH($D739,Workers!$A$5:$A$2004,0)),0))</f>
        <v>0</v>
      </c>
      <c r="T739" s="26" t="str">
        <f aca="false">IF($D739="","",O739-R739-S739)</f>
        <v/>
      </c>
    </row>
    <row r="740" customFormat="false" ht="15" hidden="false" customHeight="false" outlineLevel="0" collapsed="false">
      <c r="I740" s="24" t="str">
        <f aca="false">IF($D740="","",IFERROR(INDEX(Workers!$B$5:$B$2004,MATCH($D740,Workers!$A$5:$A$2004,0)),"NOT FOUND"))</f>
        <v/>
      </c>
      <c r="J740" s="24" t="str">
        <f aca="false">IF($D740="","",IFERROR(INDEX(Workers!$C$5:$C$2004,MATCH($D740,Workers!$A$5:$A$2004,0)),""))</f>
        <v/>
      </c>
      <c r="K740" s="24" t="str">
        <f aca="false">IF($D740="","",IFERROR(IF(INDEX(Workers!$D$5:$D$2004,MATCH($D740,Workers!$A$5:$A$2004,0))=0,"",INDEX(Workers!$D$5:$D$2004,MATCH($D740,Workers!$A$5:$A$2004,0))),""))</f>
        <v/>
      </c>
      <c r="L740" s="24" t="str">
        <f aca="false">IF($D740="","",IFERROR(INDEX(Workers!$E$5:$E$2004,MATCH($D740,Workers!$A$5:$A$2004,0)),""))</f>
        <v/>
      </c>
      <c r="M740" s="26" t="str">
        <f aca="false">IF($D740="","",IFERROR(INDEX(ClientRates!$D$5:$D$500,MATCH($B740&amp;"|"&amp;$L740,ClientRates!$A$5:$A$500,0)),0))</f>
        <v/>
      </c>
      <c r="N740" s="26" t="str">
        <f aca="false">IF($D740="","",IFERROR(INDEX(ClientRates!$E$5:$E$500,MATCH($B740&amp;"|"&amp;$L740,ClientRates!$A$5:$A$500,0)),0))</f>
        <v/>
      </c>
      <c r="O740" s="26" t="str">
        <f aca="false">IF($D740="","",F740*M740+G740*N740)</f>
        <v/>
      </c>
      <c r="P740" s="26" t="str">
        <f aca="false">IF(OR($D740="",$J740&lt;&gt;"Supplier"),"",IFERROR(INDEX(SupplierRates!$D$5:$D$500,MATCH($K740&amp;"|"&amp;$L740,SupplierRates!$A$5:$A$500,0)),0))</f>
        <v/>
      </c>
      <c r="Q740" s="26" t="str">
        <f aca="false">IF(OR($D740="",$J740&lt;&gt;"Supplier"),"",IFERROR(INDEX(SupplierRates!$E$5:$E$500,MATCH($K740&amp;"|"&amp;$L740,SupplierRates!$A$5:$A$500,0)),0))</f>
        <v/>
      </c>
      <c r="R740" s="26" t="n">
        <f aca="false">IF(OR($D740="",$J740&lt;&gt;"Supplier"),0,F740*P740+G740*Q740)</f>
        <v>0</v>
      </c>
      <c r="S740" s="26" t="n">
        <f aca="false">IF(OR($D740="",$J740&lt;&gt;"Own"),0,IFERROR((F740+G740*Settings!$B$13)*INDEX(Workers!$V$5:$V$2004,MATCH($D740,Workers!$A$5:$A$2004,0)),0))</f>
        <v>0</v>
      </c>
      <c r="T740" s="26" t="str">
        <f aca="false">IF($D740="","",O740-R740-S740)</f>
        <v/>
      </c>
    </row>
    <row r="741" customFormat="false" ht="15" hidden="false" customHeight="false" outlineLevel="0" collapsed="false">
      <c r="I741" s="24" t="str">
        <f aca="false">IF($D741="","",IFERROR(INDEX(Workers!$B$5:$B$2004,MATCH($D741,Workers!$A$5:$A$2004,0)),"NOT FOUND"))</f>
        <v/>
      </c>
      <c r="J741" s="24" t="str">
        <f aca="false">IF($D741="","",IFERROR(INDEX(Workers!$C$5:$C$2004,MATCH($D741,Workers!$A$5:$A$2004,0)),""))</f>
        <v/>
      </c>
      <c r="K741" s="24" t="str">
        <f aca="false">IF($D741="","",IFERROR(IF(INDEX(Workers!$D$5:$D$2004,MATCH($D741,Workers!$A$5:$A$2004,0))=0,"",INDEX(Workers!$D$5:$D$2004,MATCH($D741,Workers!$A$5:$A$2004,0))),""))</f>
        <v/>
      </c>
      <c r="L741" s="24" t="str">
        <f aca="false">IF($D741="","",IFERROR(INDEX(Workers!$E$5:$E$2004,MATCH($D741,Workers!$A$5:$A$2004,0)),""))</f>
        <v/>
      </c>
      <c r="M741" s="26" t="str">
        <f aca="false">IF($D741="","",IFERROR(INDEX(ClientRates!$D$5:$D$500,MATCH($B741&amp;"|"&amp;$L741,ClientRates!$A$5:$A$500,0)),0))</f>
        <v/>
      </c>
      <c r="N741" s="26" t="str">
        <f aca="false">IF($D741="","",IFERROR(INDEX(ClientRates!$E$5:$E$500,MATCH($B741&amp;"|"&amp;$L741,ClientRates!$A$5:$A$500,0)),0))</f>
        <v/>
      </c>
      <c r="O741" s="26" t="str">
        <f aca="false">IF($D741="","",F741*M741+G741*N741)</f>
        <v/>
      </c>
      <c r="P741" s="26" t="str">
        <f aca="false">IF(OR($D741="",$J741&lt;&gt;"Supplier"),"",IFERROR(INDEX(SupplierRates!$D$5:$D$500,MATCH($K741&amp;"|"&amp;$L741,SupplierRates!$A$5:$A$500,0)),0))</f>
        <v/>
      </c>
      <c r="Q741" s="26" t="str">
        <f aca="false">IF(OR($D741="",$J741&lt;&gt;"Supplier"),"",IFERROR(INDEX(SupplierRates!$E$5:$E$500,MATCH($K741&amp;"|"&amp;$L741,SupplierRates!$A$5:$A$500,0)),0))</f>
        <v/>
      </c>
      <c r="R741" s="26" t="n">
        <f aca="false">IF(OR($D741="",$J741&lt;&gt;"Supplier"),0,F741*P741+G741*Q741)</f>
        <v>0</v>
      </c>
      <c r="S741" s="26" t="n">
        <f aca="false">IF(OR($D741="",$J741&lt;&gt;"Own"),0,IFERROR((F741+G741*Settings!$B$13)*INDEX(Workers!$V$5:$V$2004,MATCH($D741,Workers!$A$5:$A$2004,0)),0))</f>
        <v>0</v>
      </c>
      <c r="T741" s="26" t="str">
        <f aca="false">IF($D741="","",O741-R741-S741)</f>
        <v/>
      </c>
    </row>
    <row r="742" customFormat="false" ht="15" hidden="false" customHeight="false" outlineLevel="0" collapsed="false">
      <c r="I742" s="24" t="str">
        <f aca="false">IF($D742="","",IFERROR(INDEX(Workers!$B$5:$B$2004,MATCH($D742,Workers!$A$5:$A$2004,0)),"NOT FOUND"))</f>
        <v/>
      </c>
      <c r="J742" s="24" t="str">
        <f aca="false">IF($D742="","",IFERROR(INDEX(Workers!$C$5:$C$2004,MATCH($D742,Workers!$A$5:$A$2004,0)),""))</f>
        <v/>
      </c>
      <c r="K742" s="24" t="str">
        <f aca="false">IF($D742="","",IFERROR(IF(INDEX(Workers!$D$5:$D$2004,MATCH($D742,Workers!$A$5:$A$2004,0))=0,"",INDEX(Workers!$D$5:$D$2004,MATCH($D742,Workers!$A$5:$A$2004,0))),""))</f>
        <v/>
      </c>
      <c r="L742" s="24" t="str">
        <f aca="false">IF($D742="","",IFERROR(INDEX(Workers!$E$5:$E$2004,MATCH($D742,Workers!$A$5:$A$2004,0)),""))</f>
        <v/>
      </c>
      <c r="M742" s="26" t="str">
        <f aca="false">IF($D742="","",IFERROR(INDEX(ClientRates!$D$5:$D$500,MATCH($B742&amp;"|"&amp;$L742,ClientRates!$A$5:$A$500,0)),0))</f>
        <v/>
      </c>
      <c r="N742" s="26" t="str">
        <f aca="false">IF($D742="","",IFERROR(INDEX(ClientRates!$E$5:$E$500,MATCH($B742&amp;"|"&amp;$L742,ClientRates!$A$5:$A$500,0)),0))</f>
        <v/>
      </c>
      <c r="O742" s="26" t="str">
        <f aca="false">IF($D742="","",F742*M742+G742*N742)</f>
        <v/>
      </c>
      <c r="P742" s="26" t="str">
        <f aca="false">IF(OR($D742="",$J742&lt;&gt;"Supplier"),"",IFERROR(INDEX(SupplierRates!$D$5:$D$500,MATCH($K742&amp;"|"&amp;$L742,SupplierRates!$A$5:$A$500,0)),0))</f>
        <v/>
      </c>
      <c r="Q742" s="26" t="str">
        <f aca="false">IF(OR($D742="",$J742&lt;&gt;"Supplier"),"",IFERROR(INDEX(SupplierRates!$E$5:$E$500,MATCH($K742&amp;"|"&amp;$L742,SupplierRates!$A$5:$A$500,0)),0))</f>
        <v/>
      </c>
      <c r="R742" s="26" t="n">
        <f aca="false">IF(OR($D742="",$J742&lt;&gt;"Supplier"),0,F742*P742+G742*Q742)</f>
        <v>0</v>
      </c>
      <c r="S742" s="26" t="n">
        <f aca="false">IF(OR($D742="",$J742&lt;&gt;"Own"),0,IFERROR((F742+G742*Settings!$B$13)*INDEX(Workers!$V$5:$V$2004,MATCH($D742,Workers!$A$5:$A$2004,0)),0))</f>
        <v>0</v>
      </c>
      <c r="T742" s="26" t="str">
        <f aca="false">IF($D742="","",O742-R742-S742)</f>
        <v/>
      </c>
    </row>
    <row r="743" customFormat="false" ht="15" hidden="false" customHeight="false" outlineLevel="0" collapsed="false">
      <c r="I743" s="24" t="str">
        <f aca="false">IF($D743="","",IFERROR(INDEX(Workers!$B$5:$B$2004,MATCH($D743,Workers!$A$5:$A$2004,0)),"NOT FOUND"))</f>
        <v/>
      </c>
      <c r="J743" s="24" t="str">
        <f aca="false">IF($D743="","",IFERROR(INDEX(Workers!$C$5:$C$2004,MATCH($D743,Workers!$A$5:$A$2004,0)),""))</f>
        <v/>
      </c>
      <c r="K743" s="24" t="str">
        <f aca="false">IF($D743="","",IFERROR(IF(INDEX(Workers!$D$5:$D$2004,MATCH($D743,Workers!$A$5:$A$2004,0))=0,"",INDEX(Workers!$D$5:$D$2004,MATCH($D743,Workers!$A$5:$A$2004,0))),""))</f>
        <v/>
      </c>
      <c r="L743" s="24" t="str">
        <f aca="false">IF($D743="","",IFERROR(INDEX(Workers!$E$5:$E$2004,MATCH($D743,Workers!$A$5:$A$2004,0)),""))</f>
        <v/>
      </c>
      <c r="M743" s="26" t="str">
        <f aca="false">IF($D743="","",IFERROR(INDEX(ClientRates!$D$5:$D$500,MATCH($B743&amp;"|"&amp;$L743,ClientRates!$A$5:$A$500,0)),0))</f>
        <v/>
      </c>
      <c r="N743" s="26" t="str">
        <f aca="false">IF($D743="","",IFERROR(INDEX(ClientRates!$E$5:$E$500,MATCH($B743&amp;"|"&amp;$L743,ClientRates!$A$5:$A$500,0)),0))</f>
        <v/>
      </c>
      <c r="O743" s="26" t="str">
        <f aca="false">IF($D743="","",F743*M743+G743*N743)</f>
        <v/>
      </c>
      <c r="P743" s="26" t="str">
        <f aca="false">IF(OR($D743="",$J743&lt;&gt;"Supplier"),"",IFERROR(INDEX(SupplierRates!$D$5:$D$500,MATCH($K743&amp;"|"&amp;$L743,SupplierRates!$A$5:$A$500,0)),0))</f>
        <v/>
      </c>
      <c r="Q743" s="26" t="str">
        <f aca="false">IF(OR($D743="",$J743&lt;&gt;"Supplier"),"",IFERROR(INDEX(SupplierRates!$E$5:$E$500,MATCH($K743&amp;"|"&amp;$L743,SupplierRates!$A$5:$A$500,0)),0))</f>
        <v/>
      </c>
      <c r="R743" s="26" t="n">
        <f aca="false">IF(OR($D743="",$J743&lt;&gt;"Supplier"),0,F743*P743+G743*Q743)</f>
        <v>0</v>
      </c>
      <c r="S743" s="26" t="n">
        <f aca="false">IF(OR($D743="",$J743&lt;&gt;"Own"),0,IFERROR((F743+G743*Settings!$B$13)*INDEX(Workers!$V$5:$V$2004,MATCH($D743,Workers!$A$5:$A$2004,0)),0))</f>
        <v>0</v>
      </c>
      <c r="T743" s="26" t="str">
        <f aca="false">IF($D743="","",O743-R743-S743)</f>
        <v/>
      </c>
    </row>
    <row r="744" customFormat="false" ht="15" hidden="false" customHeight="false" outlineLevel="0" collapsed="false">
      <c r="I744" s="24" t="str">
        <f aca="false">IF($D744="","",IFERROR(INDEX(Workers!$B$5:$B$2004,MATCH($D744,Workers!$A$5:$A$2004,0)),"NOT FOUND"))</f>
        <v/>
      </c>
      <c r="J744" s="24" t="str">
        <f aca="false">IF($D744="","",IFERROR(INDEX(Workers!$C$5:$C$2004,MATCH($D744,Workers!$A$5:$A$2004,0)),""))</f>
        <v/>
      </c>
      <c r="K744" s="24" t="str">
        <f aca="false">IF($D744="","",IFERROR(IF(INDEX(Workers!$D$5:$D$2004,MATCH($D744,Workers!$A$5:$A$2004,0))=0,"",INDEX(Workers!$D$5:$D$2004,MATCH($D744,Workers!$A$5:$A$2004,0))),""))</f>
        <v/>
      </c>
      <c r="L744" s="24" t="str">
        <f aca="false">IF($D744="","",IFERROR(INDEX(Workers!$E$5:$E$2004,MATCH($D744,Workers!$A$5:$A$2004,0)),""))</f>
        <v/>
      </c>
      <c r="M744" s="26" t="str">
        <f aca="false">IF($D744="","",IFERROR(INDEX(ClientRates!$D$5:$D$500,MATCH($B744&amp;"|"&amp;$L744,ClientRates!$A$5:$A$500,0)),0))</f>
        <v/>
      </c>
      <c r="N744" s="26" t="str">
        <f aca="false">IF($D744="","",IFERROR(INDEX(ClientRates!$E$5:$E$500,MATCH($B744&amp;"|"&amp;$L744,ClientRates!$A$5:$A$500,0)),0))</f>
        <v/>
      </c>
      <c r="O744" s="26" t="str">
        <f aca="false">IF($D744="","",F744*M744+G744*N744)</f>
        <v/>
      </c>
      <c r="P744" s="26" t="str">
        <f aca="false">IF(OR($D744="",$J744&lt;&gt;"Supplier"),"",IFERROR(INDEX(SupplierRates!$D$5:$D$500,MATCH($K744&amp;"|"&amp;$L744,SupplierRates!$A$5:$A$500,0)),0))</f>
        <v/>
      </c>
      <c r="Q744" s="26" t="str">
        <f aca="false">IF(OR($D744="",$J744&lt;&gt;"Supplier"),"",IFERROR(INDEX(SupplierRates!$E$5:$E$500,MATCH($K744&amp;"|"&amp;$L744,SupplierRates!$A$5:$A$500,0)),0))</f>
        <v/>
      </c>
      <c r="R744" s="26" t="n">
        <f aca="false">IF(OR($D744="",$J744&lt;&gt;"Supplier"),0,F744*P744+G744*Q744)</f>
        <v>0</v>
      </c>
      <c r="S744" s="26" t="n">
        <f aca="false">IF(OR($D744="",$J744&lt;&gt;"Own"),0,IFERROR((F744+G744*Settings!$B$13)*INDEX(Workers!$V$5:$V$2004,MATCH($D744,Workers!$A$5:$A$2004,0)),0))</f>
        <v>0</v>
      </c>
      <c r="T744" s="26" t="str">
        <f aca="false">IF($D744="","",O744-R744-S744)</f>
        <v/>
      </c>
    </row>
    <row r="745" customFormat="false" ht="15" hidden="false" customHeight="false" outlineLevel="0" collapsed="false">
      <c r="I745" s="24" t="str">
        <f aca="false">IF($D745="","",IFERROR(INDEX(Workers!$B$5:$B$2004,MATCH($D745,Workers!$A$5:$A$2004,0)),"NOT FOUND"))</f>
        <v/>
      </c>
      <c r="J745" s="24" t="str">
        <f aca="false">IF($D745="","",IFERROR(INDEX(Workers!$C$5:$C$2004,MATCH($D745,Workers!$A$5:$A$2004,0)),""))</f>
        <v/>
      </c>
      <c r="K745" s="24" t="str">
        <f aca="false">IF($D745="","",IFERROR(IF(INDEX(Workers!$D$5:$D$2004,MATCH($D745,Workers!$A$5:$A$2004,0))=0,"",INDEX(Workers!$D$5:$D$2004,MATCH($D745,Workers!$A$5:$A$2004,0))),""))</f>
        <v/>
      </c>
      <c r="L745" s="24" t="str">
        <f aca="false">IF($D745="","",IFERROR(INDEX(Workers!$E$5:$E$2004,MATCH($D745,Workers!$A$5:$A$2004,0)),""))</f>
        <v/>
      </c>
      <c r="M745" s="26" t="str">
        <f aca="false">IF($D745="","",IFERROR(INDEX(ClientRates!$D$5:$D$500,MATCH($B745&amp;"|"&amp;$L745,ClientRates!$A$5:$A$500,0)),0))</f>
        <v/>
      </c>
      <c r="N745" s="26" t="str">
        <f aca="false">IF($D745="","",IFERROR(INDEX(ClientRates!$E$5:$E$500,MATCH($B745&amp;"|"&amp;$L745,ClientRates!$A$5:$A$500,0)),0))</f>
        <v/>
      </c>
      <c r="O745" s="26" t="str">
        <f aca="false">IF($D745="","",F745*M745+G745*N745)</f>
        <v/>
      </c>
      <c r="P745" s="26" t="str">
        <f aca="false">IF(OR($D745="",$J745&lt;&gt;"Supplier"),"",IFERROR(INDEX(SupplierRates!$D$5:$D$500,MATCH($K745&amp;"|"&amp;$L745,SupplierRates!$A$5:$A$500,0)),0))</f>
        <v/>
      </c>
      <c r="Q745" s="26" t="str">
        <f aca="false">IF(OR($D745="",$J745&lt;&gt;"Supplier"),"",IFERROR(INDEX(SupplierRates!$E$5:$E$500,MATCH($K745&amp;"|"&amp;$L745,SupplierRates!$A$5:$A$500,0)),0))</f>
        <v/>
      </c>
      <c r="R745" s="26" t="n">
        <f aca="false">IF(OR($D745="",$J745&lt;&gt;"Supplier"),0,F745*P745+G745*Q745)</f>
        <v>0</v>
      </c>
      <c r="S745" s="26" t="n">
        <f aca="false">IF(OR($D745="",$J745&lt;&gt;"Own"),0,IFERROR((F745+G745*Settings!$B$13)*INDEX(Workers!$V$5:$V$2004,MATCH($D745,Workers!$A$5:$A$2004,0)),0))</f>
        <v>0</v>
      </c>
      <c r="T745" s="26" t="str">
        <f aca="false">IF($D745="","",O745-R745-S745)</f>
        <v/>
      </c>
    </row>
    <row r="746" customFormat="false" ht="15" hidden="false" customHeight="false" outlineLevel="0" collapsed="false">
      <c r="I746" s="24" t="str">
        <f aca="false">IF($D746="","",IFERROR(INDEX(Workers!$B$5:$B$2004,MATCH($D746,Workers!$A$5:$A$2004,0)),"NOT FOUND"))</f>
        <v/>
      </c>
      <c r="J746" s="24" t="str">
        <f aca="false">IF($D746="","",IFERROR(INDEX(Workers!$C$5:$C$2004,MATCH($D746,Workers!$A$5:$A$2004,0)),""))</f>
        <v/>
      </c>
      <c r="K746" s="24" t="str">
        <f aca="false">IF($D746="","",IFERROR(IF(INDEX(Workers!$D$5:$D$2004,MATCH($D746,Workers!$A$5:$A$2004,0))=0,"",INDEX(Workers!$D$5:$D$2004,MATCH($D746,Workers!$A$5:$A$2004,0))),""))</f>
        <v/>
      </c>
      <c r="L746" s="24" t="str">
        <f aca="false">IF($D746="","",IFERROR(INDEX(Workers!$E$5:$E$2004,MATCH($D746,Workers!$A$5:$A$2004,0)),""))</f>
        <v/>
      </c>
      <c r="M746" s="26" t="str">
        <f aca="false">IF($D746="","",IFERROR(INDEX(ClientRates!$D$5:$D$500,MATCH($B746&amp;"|"&amp;$L746,ClientRates!$A$5:$A$500,0)),0))</f>
        <v/>
      </c>
      <c r="N746" s="26" t="str">
        <f aca="false">IF($D746="","",IFERROR(INDEX(ClientRates!$E$5:$E$500,MATCH($B746&amp;"|"&amp;$L746,ClientRates!$A$5:$A$500,0)),0))</f>
        <v/>
      </c>
      <c r="O746" s="26" t="str">
        <f aca="false">IF($D746="","",F746*M746+G746*N746)</f>
        <v/>
      </c>
      <c r="P746" s="26" t="str">
        <f aca="false">IF(OR($D746="",$J746&lt;&gt;"Supplier"),"",IFERROR(INDEX(SupplierRates!$D$5:$D$500,MATCH($K746&amp;"|"&amp;$L746,SupplierRates!$A$5:$A$500,0)),0))</f>
        <v/>
      </c>
      <c r="Q746" s="26" t="str">
        <f aca="false">IF(OR($D746="",$J746&lt;&gt;"Supplier"),"",IFERROR(INDEX(SupplierRates!$E$5:$E$500,MATCH($K746&amp;"|"&amp;$L746,SupplierRates!$A$5:$A$500,0)),0))</f>
        <v/>
      </c>
      <c r="R746" s="26" t="n">
        <f aca="false">IF(OR($D746="",$J746&lt;&gt;"Supplier"),0,F746*P746+G746*Q746)</f>
        <v>0</v>
      </c>
      <c r="S746" s="26" t="n">
        <f aca="false">IF(OR($D746="",$J746&lt;&gt;"Own"),0,IFERROR((F746+G746*Settings!$B$13)*INDEX(Workers!$V$5:$V$2004,MATCH($D746,Workers!$A$5:$A$2004,0)),0))</f>
        <v>0</v>
      </c>
      <c r="T746" s="26" t="str">
        <f aca="false">IF($D746="","",O746-R746-S746)</f>
        <v/>
      </c>
    </row>
    <row r="747" customFormat="false" ht="15" hidden="false" customHeight="false" outlineLevel="0" collapsed="false">
      <c r="I747" s="24" t="str">
        <f aca="false">IF($D747="","",IFERROR(INDEX(Workers!$B$5:$B$2004,MATCH($D747,Workers!$A$5:$A$2004,0)),"NOT FOUND"))</f>
        <v/>
      </c>
      <c r="J747" s="24" t="str">
        <f aca="false">IF($D747="","",IFERROR(INDEX(Workers!$C$5:$C$2004,MATCH($D747,Workers!$A$5:$A$2004,0)),""))</f>
        <v/>
      </c>
      <c r="K747" s="24" t="str">
        <f aca="false">IF($D747="","",IFERROR(IF(INDEX(Workers!$D$5:$D$2004,MATCH($D747,Workers!$A$5:$A$2004,0))=0,"",INDEX(Workers!$D$5:$D$2004,MATCH($D747,Workers!$A$5:$A$2004,0))),""))</f>
        <v/>
      </c>
      <c r="L747" s="24" t="str">
        <f aca="false">IF($D747="","",IFERROR(INDEX(Workers!$E$5:$E$2004,MATCH($D747,Workers!$A$5:$A$2004,0)),""))</f>
        <v/>
      </c>
      <c r="M747" s="26" t="str">
        <f aca="false">IF($D747="","",IFERROR(INDEX(ClientRates!$D$5:$D$500,MATCH($B747&amp;"|"&amp;$L747,ClientRates!$A$5:$A$500,0)),0))</f>
        <v/>
      </c>
      <c r="N747" s="26" t="str">
        <f aca="false">IF($D747="","",IFERROR(INDEX(ClientRates!$E$5:$E$500,MATCH($B747&amp;"|"&amp;$L747,ClientRates!$A$5:$A$500,0)),0))</f>
        <v/>
      </c>
      <c r="O747" s="26" t="str">
        <f aca="false">IF($D747="","",F747*M747+G747*N747)</f>
        <v/>
      </c>
      <c r="P747" s="26" t="str">
        <f aca="false">IF(OR($D747="",$J747&lt;&gt;"Supplier"),"",IFERROR(INDEX(SupplierRates!$D$5:$D$500,MATCH($K747&amp;"|"&amp;$L747,SupplierRates!$A$5:$A$500,0)),0))</f>
        <v/>
      </c>
      <c r="Q747" s="26" t="str">
        <f aca="false">IF(OR($D747="",$J747&lt;&gt;"Supplier"),"",IFERROR(INDEX(SupplierRates!$E$5:$E$500,MATCH($K747&amp;"|"&amp;$L747,SupplierRates!$A$5:$A$500,0)),0))</f>
        <v/>
      </c>
      <c r="R747" s="26" t="n">
        <f aca="false">IF(OR($D747="",$J747&lt;&gt;"Supplier"),0,F747*P747+G747*Q747)</f>
        <v>0</v>
      </c>
      <c r="S747" s="26" t="n">
        <f aca="false">IF(OR($D747="",$J747&lt;&gt;"Own"),0,IFERROR((F747+G747*Settings!$B$13)*INDEX(Workers!$V$5:$V$2004,MATCH($D747,Workers!$A$5:$A$2004,0)),0))</f>
        <v>0</v>
      </c>
      <c r="T747" s="26" t="str">
        <f aca="false">IF($D747="","",O747-R747-S747)</f>
        <v/>
      </c>
    </row>
    <row r="748" customFormat="false" ht="15" hidden="false" customHeight="false" outlineLevel="0" collapsed="false">
      <c r="I748" s="24" t="str">
        <f aca="false">IF($D748="","",IFERROR(INDEX(Workers!$B$5:$B$2004,MATCH($D748,Workers!$A$5:$A$2004,0)),"NOT FOUND"))</f>
        <v/>
      </c>
      <c r="J748" s="24" t="str">
        <f aca="false">IF($D748="","",IFERROR(INDEX(Workers!$C$5:$C$2004,MATCH($D748,Workers!$A$5:$A$2004,0)),""))</f>
        <v/>
      </c>
      <c r="K748" s="24" t="str">
        <f aca="false">IF($D748="","",IFERROR(IF(INDEX(Workers!$D$5:$D$2004,MATCH($D748,Workers!$A$5:$A$2004,0))=0,"",INDEX(Workers!$D$5:$D$2004,MATCH($D748,Workers!$A$5:$A$2004,0))),""))</f>
        <v/>
      </c>
      <c r="L748" s="24" t="str">
        <f aca="false">IF($D748="","",IFERROR(INDEX(Workers!$E$5:$E$2004,MATCH($D748,Workers!$A$5:$A$2004,0)),""))</f>
        <v/>
      </c>
      <c r="M748" s="26" t="str">
        <f aca="false">IF($D748="","",IFERROR(INDEX(ClientRates!$D$5:$D$500,MATCH($B748&amp;"|"&amp;$L748,ClientRates!$A$5:$A$500,0)),0))</f>
        <v/>
      </c>
      <c r="N748" s="26" t="str">
        <f aca="false">IF($D748="","",IFERROR(INDEX(ClientRates!$E$5:$E$500,MATCH($B748&amp;"|"&amp;$L748,ClientRates!$A$5:$A$500,0)),0))</f>
        <v/>
      </c>
      <c r="O748" s="26" t="str">
        <f aca="false">IF($D748="","",F748*M748+G748*N748)</f>
        <v/>
      </c>
      <c r="P748" s="26" t="str">
        <f aca="false">IF(OR($D748="",$J748&lt;&gt;"Supplier"),"",IFERROR(INDEX(SupplierRates!$D$5:$D$500,MATCH($K748&amp;"|"&amp;$L748,SupplierRates!$A$5:$A$500,0)),0))</f>
        <v/>
      </c>
      <c r="Q748" s="26" t="str">
        <f aca="false">IF(OR($D748="",$J748&lt;&gt;"Supplier"),"",IFERROR(INDEX(SupplierRates!$E$5:$E$500,MATCH($K748&amp;"|"&amp;$L748,SupplierRates!$A$5:$A$500,0)),0))</f>
        <v/>
      </c>
      <c r="R748" s="26" t="n">
        <f aca="false">IF(OR($D748="",$J748&lt;&gt;"Supplier"),0,F748*P748+G748*Q748)</f>
        <v>0</v>
      </c>
      <c r="S748" s="26" t="n">
        <f aca="false">IF(OR($D748="",$J748&lt;&gt;"Own"),0,IFERROR((F748+G748*Settings!$B$13)*INDEX(Workers!$V$5:$V$2004,MATCH($D748,Workers!$A$5:$A$2004,0)),0))</f>
        <v>0</v>
      </c>
      <c r="T748" s="26" t="str">
        <f aca="false">IF($D748="","",O748-R748-S748)</f>
        <v/>
      </c>
    </row>
    <row r="749" customFormat="false" ht="15" hidden="false" customHeight="false" outlineLevel="0" collapsed="false">
      <c r="I749" s="24" t="str">
        <f aca="false">IF($D749="","",IFERROR(INDEX(Workers!$B$5:$B$2004,MATCH($D749,Workers!$A$5:$A$2004,0)),"NOT FOUND"))</f>
        <v/>
      </c>
      <c r="J749" s="24" t="str">
        <f aca="false">IF($D749="","",IFERROR(INDEX(Workers!$C$5:$C$2004,MATCH($D749,Workers!$A$5:$A$2004,0)),""))</f>
        <v/>
      </c>
      <c r="K749" s="24" t="str">
        <f aca="false">IF($D749="","",IFERROR(IF(INDEX(Workers!$D$5:$D$2004,MATCH($D749,Workers!$A$5:$A$2004,0))=0,"",INDEX(Workers!$D$5:$D$2004,MATCH($D749,Workers!$A$5:$A$2004,0))),""))</f>
        <v/>
      </c>
      <c r="L749" s="24" t="str">
        <f aca="false">IF($D749="","",IFERROR(INDEX(Workers!$E$5:$E$2004,MATCH($D749,Workers!$A$5:$A$2004,0)),""))</f>
        <v/>
      </c>
      <c r="M749" s="26" t="str">
        <f aca="false">IF($D749="","",IFERROR(INDEX(ClientRates!$D$5:$D$500,MATCH($B749&amp;"|"&amp;$L749,ClientRates!$A$5:$A$500,0)),0))</f>
        <v/>
      </c>
      <c r="N749" s="26" t="str">
        <f aca="false">IF($D749="","",IFERROR(INDEX(ClientRates!$E$5:$E$500,MATCH($B749&amp;"|"&amp;$L749,ClientRates!$A$5:$A$500,0)),0))</f>
        <v/>
      </c>
      <c r="O749" s="26" t="str">
        <f aca="false">IF($D749="","",F749*M749+G749*N749)</f>
        <v/>
      </c>
      <c r="P749" s="26" t="str">
        <f aca="false">IF(OR($D749="",$J749&lt;&gt;"Supplier"),"",IFERROR(INDEX(SupplierRates!$D$5:$D$500,MATCH($K749&amp;"|"&amp;$L749,SupplierRates!$A$5:$A$500,0)),0))</f>
        <v/>
      </c>
      <c r="Q749" s="26" t="str">
        <f aca="false">IF(OR($D749="",$J749&lt;&gt;"Supplier"),"",IFERROR(INDEX(SupplierRates!$E$5:$E$500,MATCH($K749&amp;"|"&amp;$L749,SupplierRates!$A$5:$A$500,0)),0))</f>
        <v/>
      </c>
      <c r="R749" s="26" t="n">
        <f aca="false">IF(OR($D749="",$J749&lt;&gt;"Supplier"),0,F749*P749+G749*Q749)</f>
        <v>0</v>
      </c>
      <c r="S749" s="26" t="n">
        <f aca="false">IF(OR($D749="",$J749&lt;&gt;"Own"),0,IFERROR((F749+G749*Settings!$B$13)*INDEX(Workers!$V$5:$V$2004,MATCH($D749,Workers!$A$5:$A$2004,0)),0))</f>
        <v>0</v>
      </c>
      <c r="T749" s="26" t="str">
        <f aca="false">IF($D749="","",O749-R749-S749)</f>
        <v/>
      </c>
    </row>
    <row r="750" customFormat="false" ht="15" hidden="false" customHeight="false" outlineLevel="0" collapsed="false">
      <c r="I750" s="24" t="str">
        <f aca="false">IF($D750="","",IFERROR(INDEX(Workers!$B$5:$B$2004,MATCH($D750,Workers!$A$5:$A$2004,0)),"NOT FOUND"))</f>
        <v/>
      </c>
      <c r="J750" s="24" t="str">
        <f aca="false">IF($D750="","",IFERROR(INDEX(Workers!$C$5:$C$2004,MATCH($D750,Workers!$A$5:$A$2004,0)),""))</f>
        <v/>
      </c>
      <c r="K750" s="24" t="str">
        <f aca="false">IF($D750="","",IFERROR(IF(INDEX(Workers!$D$5:$D$2004,MATCH($D750,Workers!$A$5:$A$2004,0))=0,"",INDEX(Workers!$D$5:$D$2004,MATCH($D750,Workers!$A$5:$A$2004,0))),""))</f>
        <v/>
      </c>
      <c r="L750" s="24" t="str">
        <f aca="false">IF($D750="","",IFERROR(INDEX(Workers!$E$5:$E$2004,MATCH($D750,Workers!$A$5:$A$2004,0)),""))</f>
        <v/>
      </c>
      <c r="M750" s="26" t="str">
        <f aca="false">IF($D750="","",IFERROR(INDEX(ClientRates!$D$5:$D$500,MATCH($B750&amp;"|"&amp;$L750,ClientRates!$A$5:$A$500,0)),0))</f>
        <v/>
      </c>
      <c r="N750" s="26" t="str">
        <f aca="false">IF($D750="","",IFERROR(INDEX(ClientRates!$E$5:$E$500,MATCH($B750&amp;"|"&amp;$L750,ClientRates!$A$5:$A$500,0)),0))</f>
        <v/>
      </c>
      <c r="O750" s="26" t="str">
        <f aca="false">IF($D750="","",F750*M750+G750*N750)</f>
        <v/>
      </c>
      <c r="P750" s="26" t="str">
        <f aca="false">IF(OR($D750="",$J750&lt;&gt;"Supplier"),"",IFERROR(INDEX(SupplierRates!$D$5:$D$500,MATCH($K750&amp;"|"&amp;$L750,SupplierRates!$A$5:$A$500,0)),0))</f>
        <v/>
      </c>
      <c r="Q750" s="26" t="str">
        <f aca="false">IF(OR($D750="",$J750&lt;&gt;"Supplier"),"",IFERROR(INDEX(SupplierRates!$E$5:$E$500,MATCH($K750&amp;"|"&amp;$L750,SupplierRates!$A$5:$A$500,0)),0))</f>
        <v/>
      </c>
      <c r="R750" s="26" t="n">
        <f aca="false">IF(OR($D750="",$J750&lt;&gt;"Supplier"),0,F750*P750+G750*Q750)</f>
        <v>0</v>
      </c>
      <c r="S750" s="26" t="n">
        <f aca="false">IF(OR($D750="",$J750&lt;&gt;"Own"),0,IFERROR((F750+G750*Settings!$B$13)*INDEX(Workers!$V$5:$V$2004,MATCH($D750,Workers!$A$5:$A$2004,0)),0))</f>
        <v>0</v>
      </c>
      <c r="T750" s="26" t="str">
        <f aca="false">IF($D750="","",O750-R750-S750)</f>
        <v/>
      </c>
    </row>
    <row r="751" customFormat="false" ht="15" hidden="false" customHeight="false" outlineLevel="0" collapsed="false">
      <c r="I751" s="24" t="str">
        <f aca="false">IF($D751="","",IFERROR(INDEX(Workers!$B$5:$B$2004,MATCH($D751,Workers!$A$5:$A$2004,0)),"NOT FOUND"))</f>
        <v/>
      </c>
      <c r="J751" s="24" t="str">
        <f aca="false">IF($D751="","",IFERROR(INDEX(Workers!$C$5:$C$2004,MATCH($D751,Workers!$A$5:$A$2004,0)),""))</f>
        <v/>
      </c>
      <c r="K751" s="24" t="str">
        <f aca="false">IF($D751="","",IFERROR(IF(INDEX(Workers!$D$5:$D$2004,MATCH($D751,Workers!$A$5:$A$2004,0))=0,"",INDEX(Workers!$D$5:$D$2004,MATCH($D751,Workers!$A$5:$A$2004,0))),""))</f>
        <v/>
      </c>
      <c r="L751" s="24" t="str">
        <f aca="false">IF($D751="","",IFERROR(INDEX(Workers!$E$5:$E$2004,MATCH($D751,Workers!$A$5:$A$2004,0)),""))</f>
        <v/>
      </c>
      <c r="M751" s="26" t="str">
        <f aca="false">IF($D751="","",IFERROR(INDEX(ClientRates!$D$5:$D$500,MATCH($B751&amp;"|"&amp;$L751,ClientRates!$A$5:$A$500,0)),0))</f>
        <v/>
      </c>
      <c r="N751" s="26" t="str">
        <f aca="false">IF($D751="","",IFERROR(INDEX(ClientRates!$E$5:$E$500,MATCH($B751&amp;"|"&amp;$L751,ClientRates!$A$5:$A$500,0)),0))</f>
        <v/>
      </c>
      <c r="O751" s="26" t="str">
        <f aca="false">IF($D751="","",F751*M751+G751*N751)</f>
        <v/>
      </c>
      <c r="P751" s="26" t="str">
        <f aca="false">IF(OR($D751="",$J751&lt;&gt;"Supplier"),"",IFERROR(INDEX(SupplierRates!$D$5:$D$500,MATCH($K751&amp;"|"&amp;$L751,SupplierRates!$A$5:$A$500,0)),0))</f>
        <v/>
      </c>
      <c r="Q751" s="26" t="str">
        <f aca="false">IF(OR($D751="",$J751&lt;&gt;"Supplier"),"",IFERROR(INDEX(SupplierRates!$E$5:$E$500,MATCH($K751&amp;"|"&amp;$L751,SupplierRates!$A$5:$A$500,0)),0))</f>
        <v/>
      </c>
      <c r="R751" s="26" t="n">
        <f aca="false">IF(OR($D751="",$J751&lt;&gt;"Supplier"),0,F751*P751+G751*Q751)</f>
        <v>0</v>
      </c>
      <c r="S751" s="26" t="n">
        <f aca="false">IF(OR($D751="",$J751&lt;&gt;"Own"),0,IFERROR((F751+G751*Settings!$B$13)*INDEX(Workers!$V$5:$V$2004,MATCH($D751,Workers!$A$5:$A$2004,0)),0))</f>
        <v>0</v>
      </c>
      <c r="T751" s="26" t="str">
        <f aca="false">IF($D751="","",O751-R751-S751)</f>
        <v/>
      </c>
    </row>
    <row r="752" customFormat="false" ht="15" hidden="false" customHeight="false" outlineLevel="0" collapsed="false">
      <c r="I752" s="24" t="str">
        <f aca="false">IF($D752="","",IFERROR(INDEX(Workers!$B$5:$B$2004,MATCH($D752,Workers!$A$5:$A$2004,0)),"NOT FOUND"))</f>
        <v/>
      </c>
      <c r="J752" s="24" t="str">
        <f aca="false">IF($D752="","",IFERROR(INDEX(Workers!$C$5:$C$2004,MATCH($D752,Workers!$A$5:$A$2004,0)),""))</f>
        <v/>
      </c>
      <c r="K752" s="24" t="str">
        <f aca="false">IF($D752="","",IFERROR(IF(INDEX(Workers!$D$5:$D$2004,MATCH($D752,Workers!$A$5:$A$2004,0))=0,"",INDEX(Workers!$D$5:$D$2004,MATCH($D752,Workers!$A$5:$A$2004,0))),""))</f>
        <v/>
      </c>
      <c r="L752" s="24" t="str">
        <f aca="false">IF($D752="","",IFERROR(INDEX(Workers!$E$5:$E$2004,MATCH($D752,Workers!$A$5:$A$2004,0)),""))</f>
        <v/>
      </c>
      <c r="M752" s="26" t="str">
        <f aca="false">IF($D752="","",IFERROR(INDEX(ClientRates!$D$5:$D$500,MATCH($B752&amp;"|"&amp;$L752,ClientRates!$A$5:$A$500,0)),0))</f>
        <v/>
      </c>
      <c r="N752" s="26" t="str">
        <f aca="false">IF($D752="","",IFERROR(INDEX(ClientRates!$E$5:$E$500,MATCH($B752&amp;"|"&amp;$L752,ClientRates!$A$5:$A$500,0)),0))</f>
        <v/>
      </c>
      <c r="O752" s="26" t="str">
        <f aca="false">IF($D752="","",F752*M752+G752*N752)</f>
        <v/>
      </c>
      <c r="P752" s="26" t="str">
        <f aca="false">IF(OR($D752="",$J752&lt;&gt;"Supplier"),"",IFERROR(INDEX(SupplierRates!$D$5:$D$500,MATCH($K752&amp;"|"&amp;$L752,SupplierRates!$A$5:$A$500,0)),0))</f>
        <v/>
      </c>
      <c r="Q752" s="26" t="str">
        <f aca="false">IF(OR($D752="",$J752&lt;&gt;"Supplier"),"",IFERROR(INDEX(SupplierRates!$E$5:$E$500,MATCH($K752&amp;"|"&amp;$L752,SupplierRates!$A$5:$A$500,0)),0))</f>
        <v/>
      </c>
      <c r="R752" s="26" t="n">
        <f aca="false">IF(OR($D752="",$J752&lt;&gt;"Supplier"),0,F752*P752+G752*Q752)</f>
        <v>0</v>
      </c>
      <c r="S752" s="26" t="n">
        <f aca="false">IF(OR($D752="",$J752&lt;&gt;"Own"),0,IFERROR((F752+G752*Settings!$B$13)*INDEX(Workers!$V$5:$V$2004,MATCH($D752,Workers!$A$5:$A$2004,0)),0))</f>
        <v>0</v>
      </c>
      <c r="T752" s="26" t="str">
        <f aca="false">IF($D752="","",O752-R752-S752)</f>
        <v/>
      </c>
    </row>
    <row r="753" customFormat="false" ht="15" hidden="false" customHeight="false" outlineLevel="0" collapsed="false">
      <c r="I753" s="24" t="str">
        <f aca="false">IF($D753="","",IFERROR(INDEX(Workers!$B$5:$B$2004,MATCH($D753,Workers!$A$5:$A$2004,0)),"NOT FOUND"))</f>
        <v/>
      </c>
      <c r="J753" s="24" t="str">
        <f aca="false">IF($D753="","",IFERROR(INDEX(Workers!$C$5:$C$2004,MATCH($D753,Workers!$A$5:$A$2004,0)),""))</f>
        <v/>
      </c>
      <c r="K753" s="24" t="str">
        <f aca="false">IF($D753="","",IFERROR(IF(INDEX(Workers!$D$5:$D$2004,MATCH($D753,Workers!$A$5:$A$2004,0))=0,"",INDEX(Workers!$D$5:$D$2004,MATCH($D753,Workers!$A$5:$A$2004,0))),""))</f>
        <v/>
      </c>
      <c r="L753" s="24" t="str">
        <f aca="false">IF($D753="","",IFERROR(INDEX(Workers!$E$5:$E$2004,MATCH($D753,Workers!$A$5:$A$2004,0)),""))</f>
        <v/>
      </c>
      <c r="M753" s="26" t="str">
        <f aca="false">IF($D753="","",IFERROR(INDEX(ClientRates!$D$5:$D$500,MATCH($B753&amp;"|"&amp;$L753,ClientRates!$A$5:$A$500,0)),0))</f>
        <v/>
      </c>
      <c r="N753" s="26" t="str">
        <f aca="false">IF($D753="","",IFERROR(INDEX(ClientRates!$E$5:$E$500,MATCH($B753&amp;"|"&amp;$L753,ClientRates!$A$5:$A$500,0)),0))</f>
        <v/>
      </c>
      <c r="O753" s="26" t="str">
        <f aca="false">IF($D753="","",F753*M753+G753*N753)</f>
        <v/>
      </c>
      <c r="P753" s="26" t="str">
        <f aca="false">IF(OR($D753="",$J753&lt;&gt;"Supplier"),"",IFERROR(INDEX(SupplierRates!$D$5:$D$500,MATCH($K753&amp;"|"&amp;$L753,SupplierRates!$A$5:$A$500,0)),0))</f>
        <v/>
      </c>
      <c r="Q753" s="26" t="str">
        <f aca="false">IF(OR($D753="",$J753&lt;&gt;"Supplier"),"",IFERROR(INDEX(SupplierRates!$E$5:$E$500,MATCH($K753&amp;"|"&amp;$L753,SupplierRates!$A$5:$A$500,0)),0))</f>
        <v/>
      </c>
      <c r="R753" s="26" t="n">
        <f aca="false">IF(OR($D753="",$J753&lt;&gt;"Supplier"),0,F753*P753+G753*Q753)</f>
        <v>0</v>
      </c>
      <c r="S753" s="26" t="n">
        <f aca="false">IF(OR($D753="",$J753&lt;&gt;"Own"),0,IFERROR((F753+G753*Settings!$B$13)*INDEX(Workers!$V$5:$V$2004,MATCH($D753,Workers!$A$5:$A$2004,0)),0))</f>
        <v>0</v>
      </c>
      <c r="T753" s="26" t="str">
        <f aca="false">IF($D753="","",O753-R753-S753)</f>
        <v/>
      </c>
    </row>
    <row r="754" customFormat="false" ht="15" hidden="false" customHeight="false" outlineLevel="0" collapsed="false">
      <c r="I754" s="24" t="str">
        <f aca="false">IF($D754="","",IFERROR(INDEX(Workers!$B$5:$B$2004,MATCH($D754,Workers!$A$5:$A$2004,0)),"NOT FOUND"))</f>
        <v/>
      </c>
      <c r="J754" s="24" t="str">
        <f aca="false">IF($D754="","",IFERROR(INDEX(Workers!$C$5:$C$2004,MATCH($D754,Workers!$A$5:$A$2004,0)),""))</f>
        <v/>
      </c>
      <c r="K754" s="24" t="str">
        <f aca="false">IF($D754="","",IFERROR(IF(INDEX(Workers!$D$5:$D$2004,MATCH($D754,Workers!$A$5:$A$2004,0))=0,"",INDEX(Workers!$D$5:$D$2004,MATCH($D754,Workers!$A$5:$A$2004,0))),""))</f>
        <v/>
      </c>
      <c r="L754" s="24" t="str">
        <f aca="false">IF($D754="","",IFERROR(INDEX(Workers!$E$5:$E$2004,MATCH($D754,Workers!$A$5:$A$2004,0)),""))</f>
        <v/>
      </c>
      <c r="M754" s="26" t="str">
        <f aca="false">IF($D754="","",IFERROR(INDEX(ClientRates!$D$5:$D$500,MATCH($B754&amp;"|"&amp;$L754,ClientRates!$A$5:$A$500,0)),0))</f>
        <v/>
      </c>
      <c r="N754" s="26" t="str">
        <f aca="false">IF($D754="","",IFERROR(INDEX(ClientRates!$E$5:$E$500,MATCH($B754&amp;"|"&amp;$L754,ClientRates!$A$5:$A$500,0)),0))</f>
        <v/>
      </c>
      <c r="O754" s="26" t="str">
        <f aca="false">IF($D754="","",F754*M754+G754*N754)</f>
        <v/>
      </c>
      <c r="P754" s="26" t="str">
        <f aca="false">IF(OR($D754="",$J754&lt;&gt;"Supplier"),"",IFERROR(INDEX(SupplierRates!$D$5:$D$500,MATCH($K754&amp;"|"&amp;$L754,SupplierRates!$A$5:$A$500,0)),0))</f>
        <v/>
      </c>
      <c r="Q754" s="26" t="str">
        <f aca="false">IF(OR($D754="",$J754&lt;&gt;"Supplier"),"",IFERROR(INDEX(SupplierRates!$E$5:$E$500,MATCH($K754&amp;"|"&amp;$L754,SupplierRates!$A$5:$A$500,0)),0))</f>
        <v/>
      </c>
      <c r="R754" s="26" t="n">
        <f aca="false">IF(OR($D754="",$J754&lt;&gt;"Supplier"),0,F754*P754+G754*Q754)</f>
        <v>0</v>
      </c>
      <c r="S754" s="26" t="n">
        <f aca="false">IF(OR($D754="",$J754&lt;&gt;"Own"),0,IFERROR((F754+G754*Settings!$B$13)*INDEX(Workers!$V$5:$V$2004,MATCH($D754,Workers!$A$5:$A$2004,0)),0))</f>
        <v>0</v>
      </c>
      <c r="T754" s="26" t="str">
        <f aca="false">IF($D754="","",O754-R754-S754)</f>
        <v/>
      </c>
    </row>
    <row r="755" customFormat="false" ht="15" hidden="false" customHeight="false" outlineLevel="0" collapsed="false">
      <c r="I755" s="24" t="str">
        <f aca="false">IF($D755="","",IFERROR(INDEX(Workers!$B$5:$B$2004,MATCH($D755,Workers!$A$5:$A$2004,0)),"NOT FOUND"))</f>
        <v/>
      </c>
      <c r="J755" s="24" t="str">
        <f aca="false">IF($D755="","",IFERROR(INDEX(Workers!$C$5:$C$2004,MATCH($D755,Workers!$A$5:$A$2004,0)),""))</f>
        <v/>
      </c>
      <c r="K755" s="24" t="str">
        <f aca="false">IF($D755="","",IFERROR(IF(INDEX(Workers!$D$5:$D$2004,MATCH($D755,Workers!$A$5:$A$2004,0))=0,"",INDEX(Workers!$D$5:$D$2004,MATCH($D755,Workers!$A$5:$A$2004,0))),""))</f>
        <v/>
      </c>
      <c r="L755" s="24" t="str">
        <f aca="false">IF($D755="","",IFERROR(INDEX(Workers!$E$5:$E$2004,MATCH($D755,Workers!$A$5:$A$2004,0)),""))</f>
        <v/>
      </c>
      <c r="M755" s="26" t="str">
        <f aca="false">IF($D755="","",IFERROR(INDEX(ClientRates!$D$5:$D$500,MATCH($B755&amp;"|"&amp;$L755,ClientRates!$A$5:$A$500,0)),0))</f>
        <v/>
      </c>
      <c r="N755" s="26" t="str">
        <f aca="false">IF($D755="","",IFERROR(INDEX(ClientRates!$E$5:$E$500,MATCH($B755&amp;"|"&amp;$L755,ClientRates!$A$5:$A$500,0)),0))</f>
        <v/>
      </c>
      <c r="O755" s="26" t="str">
        <f aca="false">IF($D755="","",F755*M755+G755*N755)</f>
        <v/>
      </c>
      <c r="P755" s="26" t="str">
        <f aca="false">IF(OR($D755="",$J755&lt;&gt;"Supplier"),"",IFERROR(INDEX(SupplierRates!$D$5:$D$500,MATCH($K755&amp;"|"&amp;$L755,SupplierRates!$A$5:$A$500,0)),0))</f>
        <v/>
      </c>
      <c r="Q755" s="26" t="str">
        <f aca="false">IF(OR($D755="",$J755&lt;&gt;"Supplier"),"",IFERROR(INDEX(SupplierRates!$E$5:$E$500,MATCH($K755&amp;"|"&amp;$L755,SupplierRates!$A$5:$A$500,0)),0))</f>
        <v/>
      </c>
      <c r="R755" s="26" t="n">
        <f aca="false">IF(OR($D755="",$J755&lt;&gt;"Supplier"),0,F755*P755+G755*Q755)</f>
        <v>0</v>
      </c>
      <c r="S755" s="26" t="n">
        <f aca="false">IF(OR($D755="",$J755&lt;&gt;"Own"),0,IFERROR((F755+G755*Settings!$B$13)*INDEX(Workers!$V$5:$V$2004,MATCH($D755,Workers!$A$5:$A$2004,0)),0))</f>
        <v>0</v>
      </c>
      <c r="T755" s="26" t="str">
        <f aca="false">IF($D755="","",O755-R755-S755)</f>
        <v/>
      </c>
    </row>
    <row r="756" customFormat="false" ht="15" hidden="false" customHeight="false" outlineLevel="0" collapsed="false">
      <c r="I756" s="24" t="str">
        <f aca="false">IF($D756="","",IFERROR(INDEX(Workers!$B$5:$B$2004,MATCH($D756,Workers!$A$5:$A$2004,0)),"NOT FOUND"))</f>
        <v/>
      </c>
      <c r="J756" s="24" t="str">
        <f aca="false">IF($D756="","",IFERROR(INDEX(Workers!$C$5:$C$2004,MATCH($D756,Workers!$A$5:$A$2004,0)),""))</f>
        <v/>
      </c>
      <c r="K756" s="24" t="str">
        <f aca="false">IF($D756="","",IFERROR(IF(INDEX(Workers!$D$5:$D$2004,MATCH($D756,Workers!$A$5:$A$2004,0))=0,"",INDEX(Workers!$D$5:$D$2004,MATCH($D756,Workers!$A$5:$A$2004,0))),""))</f>
        <v/>
      </c>
      <c r="L756" s="24" t="str">
        <f aca="false">IF($D756="","",IFERROR(INDEX(Workers!$E$5:$E$2004,MATCH($D756,Workers!$A$5:$A$2004,0)),""))</f>
        <v/>
      </c>
      <c r="M756" s="26" t="str">
        <f aca="false">IF($D756="","",IFERROR(INDEX(ClientRates!$D$5:$D$500,MATCH($B756&amp;"|"&amp;$L756,ClientRates!$A$5:$A$500,0)),0))</f>
        <v/>
      </c>
      <c r="N756" s="26" t="str">
        <f aca="false">IF($D756="","",IFERROR(INDEX(ClientRates!$E$5:$E$500,MATCH($B756&amp;"|"&amp;$L756,ClientRates!$A$5:$A$500,0)),0))</f>
        <v/>
      </c>
      <c r="O756" s="26" t="str">
        <f aca="false">IF($D756="","",F756*M756+G756*N756)</f>
        <v/>
      </c>
      <c r="P756" s="26" t="str">
        <f aca="false">IF(OR($D756="",$J756&lt;&gt;"Supplier"),"",IFERROR(INDEX(SupplierRates!$D$5:$D$500,MATCH($K756&amp;"|"&amp;$L756,SupplierRates!$A$5:$A$500,0)),0))</f>
        <v/>
      </c>
      <c r="Q756" s="26" t="str">
        <f aca="false">IF(OR($D756="",$J756&lt;&gt;"Supplier"),"",IFERROR(INDEX(SupplierRates!$E$5:$E$500,MATCH($K756&amp;"|"&amp;$L756,SupplierRates!$A$5:$A$500,0)),0))</f>
        <v/>
      </c>
      <c r="R756" s="26" t="n">
        <f aca="false">IF(OR($D756="",$J756&lt;&gt;"Supplier"),0,F756*P756+G756*Q756)</f>
        <v>0</v>
      </c>
      <c r="S756" s="26" t="n">
        <f aca="false">IF(OR($D756="",$J756&lt;&gt;"Own"),0,IFERROR((F756+G756*Settings!$B$13)*INDEX(Workers!$V$5:$V$2004,MATCH($D756,Workers!$A$5:$A$2004,0)),0))</f>
        <v>0</v>
      </c>
      <c r="T756" s="26" t="str">
        <f aca="false">IF($D756="","",O756-R756-S756)</f>
        <v/>
      </c>
    </row>
    <row r="757" customFormat="false" ht="15" hidden="false" customHeight="false" outlineLevel="0" collapsed="false">
      <c r="I757" s="24" t="str">
        <f aca="false">IF($D757="","",IFERROR(INDEX(Workers!$B$5:$B$2004,MATCH($D757,Workers!$A$5:$A$2004,0)),"NOT FOUND"))</f>
        <v/>
      </c>
      <c r="J757" s="24" t="str">
        <f aca="false">IF($D757="","",IFERROR(INDEX(Workers!$C$5:$C$2004,MATCH($D757,Workers!$A$5:$A$2004,0)),""))</f>
        <v/>
      </c>
      <c r="K757" s="24" t="str">
        <f aca="false">IF($D757="","",IFERROR(IF(INDEX(Workers!$D$5:$D$2004,MATCH($D757,Workers!$A$5:$A$2004,0))=0,"",INDEX(Workers!$D$5:$D$2004,MATCH($D757,Workers!$A$5:$A$2004,0))),""))</f>
        <v/>
      </c>
      <c r="L757" s="24" t="str">
        <f aca="false">IF($D757="","",IFERROR(INDEX(Workers!$E$5:$E$2004,MATCH($D757,Workers!$A$5:$A$2004,0)),""))</f>
        <v/>
      </c>
      <c r="M757" s="26" t="str">
        <f aca="false">IF($D757="","",IFERROR(INDEX(ClientRates!$D$5:$D$500,MATCH($B757&amp;"|"&amp;$L757,ClientRates!$A$5:$A$500,0)),0))</f>
        <v/>
      </c>
      <c r="N757" s="26" t="str">
        <f aca="false">IF($D757="","",IFERROR(INDEX(ClientRates!$E$5:$E$500,MATCH($B757&amp;"|"&amp;$L757,ClientRates!$A$5:$A$500,0)),0))</f>
        <v/>
      </c>
      <c r="O757" s="26" t="str">
        <f aca="false">IF($D757="","",F757*M757+G757*N757)</f>
        <v/>
      </c>
      <c r="P757" s="26" t="str">
        <f aca="false">IF(OR($D757="",$J757&lt;&gt;"Supplier"),"",IFERROR(INDEX(SupplierRates!$D$5:$D$500,MATCH($K757&amp;"|"&amp;$L757,SupplierRates!$A$5:$A$500,0)),0))</f>
        <v/>
      </c>
      <c r="Q757" s="26" t="str">
        <f aca="false">IF(OR($D757="",$J757&lt;&gt;"Supplier"),"",IFERROR(INDEX(SupplierRates!$E$5:$E$500,MATCH($K757&amp;"|"&amp;$L757,SupplierRates!$A$5:$A$500,0)),0))</f>
        <v/>
      </c>
      <c r="R757" s="26" t="n">
        <f aca="false">IF(OR($D757="",$J757&lt;&gt;"Supplier"),0,F757*P757+G757*Q757)</f>
        <v>0</v>
      </c>
      <c r="S757" s="26" t="n">
        <f aca="false">IF(OR($D757="",$J757&lt;&gt;"Own"),0,IFERROR((F757+G757*Settings!$B$13)*INDEX(Workers!$V$5:$V$2004,MATCH($D757,Workers!$A$5:$A$2004,0)),0))</f>
        <v>0</v>
      </c>
      <c r="T757" s="26" t="str">
        <f aca="false">IF($D757="","",O757-R757-S757)</f>
        <v/>
      </c>
    </row>
    <row r="758" customFormat="false" ht="15" hidden="false" customHeight="false" outlineLevel="0" collapsed="false">
      <c r="I758" s="24" t="str">
        <f aca="false">IF($D758="","",IFERROR(INDEX(Workers!$B$5:$B$2004,MATCH($D758,Workers!$A$5:$A$2004,0)),"NOT FOUND"))</f>
        <v/>
      </c>
      <c r="J758" s="24" t="str">
        <f aca="false">IF($D758="","",IFERROR(INDEX(Workers!$C$5:$C$2004,MATCH($D758,Workers!$A$5:$A$2004,0)),""))</f>
        <v/>
      </c>
      <c r="K758" s="24" t="str">
        <f aca="false">IF($D758="","",IFERROR(IF(INDEX(Workers!$D$5:$D$2004,MATCH($D758,Workers!$A$5:$A$2004,0))=0,"",INDEX(Workers!$D$5:$D$2004,MATCH($D758,Workers!$A$5:$A$2004,0))),""))</f>
        <v/>
      </c>
      <c r="L758" s="24" t="str">
        <f aca="false">IF($D758="","",IFERROR(INDEX(Workers!$E$5:$E$2004,MATCH($D758,Workers!$A$5:$A$2004,0)),""))</f>
        <v/>
      </c>
      <c r="M758" s="26" t="str">
        <f aca="false">IF($D758="","",IFERROR(INDEX(ClientRates!$D$5:$D$500,MATCH($B758&amp;"|"&amp;$L758,ClientRates!$A$5:$A$500,0)),0))</f>
        <v/>
      </c>
      <c r="N758" s="26" t="str">
        <f aca="false">IF($D758="","",IFERROR(INDEX(ClientRates!$E$5:$E$500,MATCH($B758&amp;"|"&amp;$L758,ClientRates!$A$5:$A$500,0)),0))</f>
        <v/>
      </c>
      <c r="O758" s="26" t="str">
        <f aca="false">IF($D758="","",F758*M758+G758*N758)</f>
        <v/>
      </c>
      <c r="P758" s="26" t="str">
        <f aca="false">IF(OR($D758="",$J758&lt;&gt;"Supplier"),"",IFERROR(INDEX(SupplierRates!$D$5:$D$500,MATCH($K758&amp;"|"&amp;$L758,SupplierRates!$A$5:$A$500,0)),0))</f>
        <v/>
      </c>
      <c r="Q758" s="26" t="str">
        <f aca="false">IF(OR($D758="",$J758&lt;&gt;"Supplier"),"",IFERROR(INDEX(SupplierRates!$E$5:$E$500,MATCH($K758&amp;"|"&amp;$L758,SupplierRates!$A$5:$A$500,0)),0))</f>
        <v/>
      </c>
      <c r="R758" s="26" t="n">
        <f aca="false">IF(OR($D758="",$J758&lt;&gt;"Supplier"),0,F758*P758+G758*Q758)</f>
        <v>0</v>
      </c>
      <c r="S758" s="26" t="n">
        <f aca="false">IF(OR($D758="",$J758&lt;&gt;"Own"),0,IFERROR((F758+G758*Settings!$B$13)*INDEX(Workers!$V$5:$V$2004,MATCH($D758,Workers!$A$5:$A$2004,0)),0))</f>
        <v>0</v>
      </c>
      <c r="T758" s="26" t="str">
        <f aca="false">IF($D758="","",O758-R758-S758)</f>
        <v/>
      </c>
    </row>
    <row r="759" customFormat="false" ht="15" hidden="false" customHeight="false" outlineLevel="0" collapsed="false">
      <c r="I759" s="24" t="str">
        <f aca="false">IF($D759="","",IFERROR(INDEX(Workers!$B$5:$B$2004,MATCH($D759,Workers!$A$5:$A$2004,0)),"NOT FOUND"))</f>
        <v/>
      </c>
      <c r="J759" s="24" t="str">
        <f aca="false">IF($D759="","",IFERROR(INDEX(Workers!$C$5:$C$2004,MATCH($D759,Workers!$A$5:$A$2004,0)),""))</f>
        <v/>
      </c>
      <c r="K759" s="24" t="str">
        <f aca="false">IF($D759="","",IFERROR(IF(INDEX(Workers!$D$5:$D$2004,MATCH($D759,Workers!$A$5:$A$2004,0))=0,"",INDEX(Workers!$D$5:$D$2004,MATCH($D759,Workers!$A$5:$A$2004,0))),""))</f>
        <v/>
      </c>
      <c r="L759" s="24" t="str">
        <f aca="false">IF($D759="","",IFERROR(INDEX(Workers!$E$5:$E$2004,MATCH($D759,Workers!$A$5:$A$2004,0)),""))</f>
        <v/>
      </c>
      <c r="M759" s="26" t="str">
        <f aca="false">IF($D759="","",IFERROR(INDEX(ClientRates!$D$5:$D$500,MATCH($B759&amp;"|"&amp;$L759,ClientRates!$A$5:$A$500,0)),0))</f>
        <v/>
      </c>
      <c r="N759" s="26" t="str">
        <f aca="false">IF($D759="","",IFERROR(INDEX(ClientRates!$E$5:$E$500,MATCH($B759&amp;"|"&amp;$L759,ClientRates!$A$5:$A$500,0)),0))</f>
        <v/>
      </c>
      <c r="O759" s="26" t="str">
        <f aca="false">IF($D759="","",F759*M759+G759*N759)</f>
        <v/>
      </c>
      <c r="P759" s="26" t="str">
        <f aca="false">IF(OR($D759="",$J759&lt;&gt;"Supplier"),"",IFERROR(INDEX(SupplierRates!$D$5:$D$500,MATCH($K759&amp;"|"&amp;$L759,SupplierRates!$A$5:$A$500,0)),0))</f>
        <v/>
      </c>
      <c r="Q759" s="26" t="str">
        <f aca="false">IF(OR($D759="",$J759&lt;&gt;"Supplier"),"",IFERROR(INDEX(SupplierRates!$E$5:$E$500,MATCH($K759&amp;"|"&amp;$L759,SupplierRates!$A$5:$A$500,0)),0))</f>
        <v/>
      </c>
      <c r="R759" s="26" t="n">
        <f aca="false">IF(OR($D759="",$J759&lt;&gt;"Supplier"),0,F759*P759+G759*Q759)</f>
        <v>0</v>
      </c>
      <c r="S759" s="26" t="n">
        <f aca="false">IF(OR($D759="",$J759&lt;&gt;"Own"),0,IFERROR((F759+G759*Settings!$B$13)*INDEX(Workers!$V$5:$V$2004,MATCH($D759,Workers!$A$5:$A$2004,0)),0))</f>
        <v>0</v>
      </c>
      <c r="T759" s="26" t="str">
        <f aca="false">IF($D759="","",O759-R759-S759)</f>
        <v/>
      </c>
    </row>
    <row r="760" customFormat="false" ht="15" hidden="false" customHeight="false" outlineLevel="0" collapsed="false">
      <c r="I760" s="24" t="str">
        <f aca="false">IF($D760="","",IFERROR(INDEX(Workers!$B$5:$B$2004,MATCH($D760,Workers!$A$5:$A$2004,0)),"NOT FOUND"))</f>
        <v/>
      </c>
      <c r="J760" s="24" t="str">
        <f aca="false">IF($D760="","",IFERROR(INDEX(Workers!$C$5:$C$2004,MATCH($D760,Workers!$A$5:$A$2004,0)),""))</f>
        <v/>
      </c>
      <c r="K760" s="24" t="str">
        <f aca="false">IF($D760="","",IFERROR(IF(INDEX(Workers!$D$5:$D$2004,MATCH($D760,Workers!$A$5:$A$2004,0))=0,"",INDEX(Workers!$D$5:$D$2004,MATCH($D760,Workers!$A$5:$A$2004,0))),""))</f>
        <v/>
      </c>
      <c r="L760" s="24" t="str">
        <f aca="false">IF($D760="","",IFERROR(INDEX(Workers!$E$5:$E$2004,MATCH($D760,Workers!$A$5:$A$2004,0)),""))</f>
        <v/>
      </c>
      <c r="M760" s="26" t="str">
        <f aca="false">IF($D760="","",IFERROR(INDEX(ClientRates!$D$5:$D$500,MATCH($B760&amp;"|"&amp;$L760,ClientRates!$A$5:$A$500,0)),0))</f>
        <v/>
      </c>
      <c r="N760" s="26" t="str">
        <f aca="false">IF($D760="","",IFERROR(INDEX(ClientRates!$E$5:$E$500,MATCH($B760&amp;"|"&amp;$L760,ClientRates!$A$5:$A$500,0)),0))</f>
        <v/>
      </c>
      <c r="O760" s="26" t="str">
        <f aca="false">IF($D760="","",F760*M760+G760*N760)</f>
        <v/>
      </c>
      <c r="P760" s="26" t="str">
        <f aca="false">IF(OR($D760="",$J760&lt;&gt;"Supplier"),"",IFERROR(INDEX(SupplierRates!$D$5:$D$500,MATCH($K760&amp;"|"&amp;$L760,SupplierRates!$A$5:$A$500,0)),0))</f>
        <v/>
      </c>
      <c r="Q760" s="26" t="str">
        <f aca="false">IF(OR($D760="",$J760&lt;&gt;"Supplier"),"",IFERROR(INDEX(SupplierRates!$E$5:$E$500,MATCH($K760&amp;"|"&amp;$L760,SupplierRates!$A$5:$A$500,0)),0))</f>
        <v/>
      </c>
      <c r="R760" s="26" t="n">
        <f aca="false">IF(OR($D760="",$J760&lt;&gt;"Supplier"),0,F760*P760+G760*Q760)</f>
        <v>0</v>
      </c>
      <c r="S760" s="26" t="n">
        <f aca="false">IF(OR($D760="",$J760&lt;&gt;"Own"),0,IFERROR((F760+G760*Settings!$B$13)*INDEX(Workers!$V$5:$V$2004,MATCH($D760,Workers!$A$5:$A$2004,0)),0))</f>
        <v>0</v>
      </c>
      <c r="T760" s="26" t="str">
        <f aca="false">IF($D760="","",O760-R760-S760)</f>
        <v/>
      </c>
    </row>
    <row r="761" customFormat="false" ht="15" hidden="false" customHeight="false" outlineLevel="0" collapsed="false">
      <c r="I761" s="24" t="str">
        <f aca="false">IF($D761="","",IFERROR(INDEX(Workers!$B$5:$B$2004,MATCH($D761,Workers!$A$5:$A$2004,0)),"NOT FOUND"))</f>
        <v/>
      </c>
      <c r="J761" s="24" t="str">
        <f aca="false">IF($D761="","",IFERROR(INDEX(Workers!$C$5:$C$2004,MATCH($D761,Workers!$A$5:$A$2004,0)),""))</f>
        <v/>
      </c>
      <c r="K761" s="24" t="str">
        <f aca="false">IF($D761="","",IFERROR(IF(INDEX(Workers!$D$5:$D$2004,MATCH($D761,Workers!$A$5:$A$2004,0))=0,"",INDEX(Workers!$D$5:$D$2004,MATCH($D761,Workers!$A$5:$A$2004,0))),""))</f>
        <v/>
      </c>
      <c r="L761" s="24" t="str">
        <f aca="false">IF($D761="","",IFERROR(INDEX(Workers!$E$5:$E$2004,MATCH($D761,Workers!$A$5:$A$2004,0)),""))</f>
        <v/>
      </c>
      <c r="M761" s="26" t="str">
        <f aca="false">IF($D761="","",IFERROR(INDEX(ClientRates!$D$5:$D$500,MATCH($B761&amp;"|"&amp;$L761,ClientRates!$A$5:$A$500,0)),0))</f>
        <v/>
      </c>
      <c r="N761" s="26" t="str">
        <f aca="false">IF($D761="","",IFERROR(INDEX(ClientRates!$E$5:$E$500,MATCH($B761&amp;"|"&amp;$L761,ClientRates!$A$5:$A$500,0)),0))</f>
        <v/>
      </c>
      <c r="O761" s="26" t="str">
        <f aca="false">IF($D761="","",F761*M761+G761*N761)</f>
        <v/>
      </c>
      <c r="P761" s="26" t="str">
        <f aca="false">IF(OR($D761="",$J761&lt;&gt;"Supplier"),"",IFERROR(INDEX(SupplierRates!$D$5:$D$500,MATCH($K761&amp;"|"&amp;$L761,SupplierRates!$A$5:$A$500,0)),0))</f>
        <v/>
      </c>
      <c r="Q761" s="26" t="str">
        <f aca="false">IF(OR($D761="",$J761&lt;&gt;"Supplier"),"",IFERROR(INDEX(SupplierRates!$E$5:$E$500,MATCH($K761&amp;"|"&amp;$L761,SupplierRates!$A$5:$A$500,0)),0))</f>
        <v/>
      </c>
      <c r="R761" s="26" t="n">
        <f aca="false">IF(OR($D761="",$J761&lt;&gt;"Supplier"),0,F761*P761+G761*Q761)</f>
        <v>0</v>
      </c>
      <c r="S761" s="26" t="n">
        <f aca="false">IF(OR($D761="",$J761&lt;&gt;"Own"),0,IFERROR((F761+G761*Settings!$B$13)*INDEX(Workers!$V$5:$V$2004,MATCH($D761,Workers!$A$5:$A$2004,0)),0))</f>
        <v>0</v>
      </c>
      <c r="T761" s="26" t="str">
        <f aca="false">IF($D761="","",O761-R761-S761)</f>
        <v/>
      </c>
    </row>
    <row r="762" customFormat="false" ht="15" hidden="false" customHeight="false" outlineLevel="0" collapsed="false">
      <c r="I762" s="24" t="str">
        <f aca="false">IF($D762="","",IFERROR(INDEX(Workers!$B$5:$B$2004,MATCH($D762,Workers!$A$5:$A$2004,0)),"NOT FOUND"))</f>
        <v/>
      </c>
      <c r="J762" s="24" t="str">
        <f aca="false">IF($D762="","",IFERROR(INDEX(Workers!$C$5:$C$2004,MATCH($D762,Workers!$A$5:$A$2004,0)),""))</f>
        <v/>
      </c>
      <c r="K762" s="24" t="str">
        <f aca="false">IF($D762="","",IFERROR(IF(INDEX(Workers!$D$5:$D$2004,MATCH($D762,Workers!$A$5:$A$2004,0))=0,"",INDEX(Workers!$D$5:$D$2004,MATCH($D762,Workers!$A$5:$A$2004,0))),""))</f>
        <v/>
      </c>
      <c r="L762" s="24" t="str">
        <f aca="false">IF($D762="","",IFERROR(INDEX(Workers!$E$5:$E$2004,MATCH($D762,Workers!$A$5:$A$2004,0)),""))</f>
        <v/>
      </c>
      <c r="M762" s="26" t="str">
        <f aca="false">IF($D762="","",IFERROR(INDEX(ClientRates!$D$5:$D$500,MATCH($B762&amp;"|"&amp;$L762,ClientRates!$A$5:$A$500,0)),0))</f>
        <v/>
      </c>
      <c r="N762" s="26" t="str">
        <f aca="false">IF($D762="","",IFERROR(INDEX(ClientRates!$E$5:$E$500,MATCH($B762&amp;"|"&amp;$L762,ClientRates!$A$5:$A$500,0)),0))</f>
        <v/>
      </c>
      <c r="O762" s="26" t="str">
        <f aca="false">IF($D762="","",F762*M762+G762*N762)</f>
        <v/>
      </c>
      <c r="P762" s="26" t="str">
        <f aca="false">IF(OR($D762="",$J762&lt;&gt;"Supplier"),"",IFERROR(INDEX(SupplierRates!$D$5:$D$500,MATCH($K762&amp;"|"&amp;$L762,SupplierRates!$A$5:$A$500,0)),0))</f>
        <v/>
      </c>
      <c r="Q762" s="26" t="str">
        <f aca="false">IF(OR($D762="",$J762&lt;&gt;"Supplier"),"",IFERROR(INDEX(SupplierRates!$E$5:$E$500,MATCH($K762&amp;"|"&amp;$L762,SupplierRates!$A$5:$A$500,0)),0))</f>
        <v/>
      </c>
      <c r="R762" s="26" t="n">
        <f aca="false">IF(OR($D762="",$J762&lt;&gt;"Supplier"),0,F762*P762+G762*Q762)</f>
        <v>0</v>
      </c>
      <c r="S762" s="26" t="n">
        <f aca="false">IF(OR($D762="",$J762&lt;&gt;"Own"),0,IFERROR((F762+G762*Settings!$B$13)*INDEX(Workers!$V$5:$V$2004,MATCH($D762,Workers!$A$5:$A$2004,0)),0))</f>
        <v>0</v>
      </c>
      <c r="T762" s="26" t="str">
        <f aca="false">IF($D762="","",O762-R762-S762)</f>
        <v/>
      </c>
    </row>
    <row r="763" customFormat="false" ht="15" hidden="false" customHeight="false" outlineLevel="0" collapsed="false">
      <c r="I763" s="24" t="str">
        <f aca="false">IF($D763="","",IFERROR(INDEX(Workers!$B$5:$B$2004,MATCH($D763,Workers!$A$5:$A$2004,0)),"NOT FOUND"))</f>
        <v/>
      </c>
      <c r="J763" s="24" t="str">
        <f aca="false">IF($D763="","",IFERROR(INDEX(Workers!$C$5:$C$2004,MATCH($D763,Workers!$A$5:$A$2004,0)),""))</f>
        <v/>
      </c>
      <c r="K763" s="24" t="str">
        <f aca="false">IF($D763="","",IFERROR(IF(INDEX(Workers!$D$5:$D$2004,MATCH($D763,Workers!$A$5:$A$2004,0))=0,"",INDEX(Workers!$D$5:$D$2004,MATCH($D763,Workers!$A$5:$A$2004,0))),""))</f>
        <v/>
      </c>
      <c r="L763" s="24" t="str">
        <f aca="false">IF($D763="","",IFERROR(INDEX(Workers!$E$5:$E$2004,MATCH($D763,Workers!$A$5:$A$2004,0)),""))</f>
        <v/>
      </c>
      <c r="M763" s="26" t="str">
        <f aca="false">IF($D763="","",IFERROR(INDEX(ClientRates!$D$5:$D$500,MATCH($B763&amp;"|"&amp;$L763,ClientRates!$A$5:$A$500,0)),0))</f>
        <v/>
      </c>
      <c r="N763" s="26" t="str">
        <f aca="false">IF($D763="","",IFERROR(INDEX(ClientRates!$E$5:$E$500,MATCH($B763&amp;"|"&amp;$L763,ClientRates!$A$5:$A$500,0)),0))</f>
        <v/>
      </c>
      <c r="O763" s="26" t="str">
        <f aca="false">IF($D763="","",F763*M763+G763*N763)</f>
        <v/>
      </c>
      <c r="P763" s="26" t="str">
        <f aca="false">IF(OR($D763="",$J763&lt;&gt;"Supplier"),"",IFERROR(INDEX(SupplierRates!$D$5:$D$500,MATCH($K763&amp;"|"&amp;$L763,SupplierRates!$A$5:$A$500,0)),0))</f>
        <v/>
      </c>
      <c r="Q763" s="26" t="str">
        <f aca="false">IF(OR($D763="",$J763&lt;&gt;"Supplier"),"",IFERROR(INDEX(SupplierRates!$E$5:$E$500,MATCH($K763&amp;"|"&amp;$L763,SupplierRates!$A$5:$A$500,0)),0))</f>
        <v/>
      </c>
      <c r="R763" s="26" t="n">
        <f aca="false">IF(OR($D763="",$J763&lt;&gt;"Supplier"),0,F763*P763+G763*Q763)</f>
        <v>0</v>
      </c>
      <c r="S763" s="26" t="n">
        <f aca="false">IF(OR($D763="",$J763&lt;&gt;"Own"),0,IFERROR((F763+G763*Settings!$B$13)*INDEX(Workers!$V$5:$V$2004,MATCH($D763,Workers!$A$5:$A$2004,0)),0))</f>
        <v>0</v>
      </c>
      <c r="T763" s="26" t="str">
        <f aca="false">IF($D763="","",O763-R763-S763)</f>
        <v/>
      </c>
    </row>
    <row r="764" customFormat="false" ht="15" hidden="false" customHeight="false" outlineLevel="0" collapsed="false">
      <c r="I764" s="24" t="str">
        <f aca="false">IF($D764="","",IFERROR(INDEX(Workers!$B$5:$B$2004,MATCH($D764,Workers!$A$5:$A$2004,0)),"NOT FOUND"))</f>
        <v/>
      </c>
      <c r="J764" s="24" t="str">
        <f aca="false">IF($D764="","",IFERROR(INDEX(Workers!$C$5:$C$2004,MATCH($D764,Workers!$A$5:$A$2004,0)),""))</f>
        <v/>
      </c>
      <c r="K764" s="24" t="str">
        <f aca="false">IF($D764="","",IFERROR(IF(INDEX(Workers!$D$5:$D$2004,MATCH($D764,Workers!$A$5:$A$2004,0))=0,"",INDEX(Workers!$D$5:$D$2004,MATCH($D764,Workers!$A$5:$A$2004,0))),""))</f>
        <v/>
      </c>
      <c r="L764" s="24" t="str">
        <f aca="false">IF($D764="","",IFERROR(INDEX(Workers!$E$5:$E$2004,MATCH($D764,Workers!$A$5:$A$2004,0)),""))</f>
        <v/>
      </c>
      <c r="M764" s="26" t="str">
        <f aca="false">IF($D764="","",IFERROR(INDEX(ClientRates!$D$5:$D$500,MATCH($B764&amp;"|"&amp;$L764,ClientRates!$A$5:$A$500,0)),0))</f>
        <v/>
      </c>
      <c r="N764" s="26" t="str">
        <f aca="false">IF($D764="","",IFERROR(INDEX(ClientRates!$E$5:$E$500,MATCH($B764&amp;"|"&amp;$L764,ClientRates!$A$5:$A$500,0)),0))</f>
        <v/>
      </c>
      <c r="O764" s="26" t="str">
        <f aca="false">IF($D764="","",F764*M764+G764*N764)</f>
        <v/>
      </c>
      <c r="P764" s="26" t="str">
        <f aca="false">IF(OR($D764="",$J764&lt;&gt;"Supplier"),"",IFERROR(INDEX(SupplierRates!$D$5:$D$500,MATCH($K764&amp;"|"&amp;$L764,SupplierRates!$A$5:$A$500,0)),0))</f>
        <v/>
      </c>
      <c r="Q764" s="26" t="str">
        <f aca="false">IF(OR($D764="",$J764&lt;&gt;"Supplier"),"",IFERROR(INDEX(SupplierRates!$E$5:$E$500,MATCH($K764&amp;"|"&amp;$L764,SupplierRates!$A$5:$A$500,0)),0))</f>
        <v/>
      </c>
      <c r="R764" s="26" t="n">
        <f aca="false">IF(OR($D764="",$J764&lt;&gt;"Supplier"),0,F764*P764+G764*Q764)</f>
        <v>0</v>
      </c>
      <c r="S764" s="26" t="n">
        <f aca="false">IF(OR($D764="",$J764&lt;&gt;"Own"),0,IFERROR((F764+G764*Settings!$B$13)*INDEX(Workers!$V$5:$V$2004,MATCH($D764,Workers!$A$5:$A$2004,0)),0))</f>
        <v>0</v>
      </c>
      <c r="T764" s="26" t="str">
        <f aca="false">IF($D764="","",O764-R764-S764)</f>
        <v/>
      </c>
    </row>
    <row r="765" customFormat="false" ht="15" hidden="false" customHeight="false" outlineLevel="0" collapsed="false">
      <c r="I765" s="24" t="str">
        <f aca="false">IF($D765="","",IFERROR(INDEX(Workers!$B$5:$B$2004,MATCH($D765,Workers!$A$5:$A$2004,0)),"NOT FOUND"))</f>
        <v/>
      </c>
      <c r="J765" s="24" t="str">
        <f aca="false">IF($D765="","",IFERROR(INDEX(Workers!$C$5:$C$2004,MATCH($D765,Workers!$A$5:$A$2004,0)),""))</f>
        <v/>
      </c>
      <c r="K765" s="24" t="str">
        <f aca="false">IF($D765="","",IFERROR(IF(INDEX(Workers!$D$5:$D$2004,MATCH($D765,Workers!$A$5:$A$2004,0))=0,"",INDEX(Workers!$D$5:$D$2004,MATCH($D765,Workers!$A$5:$A$2004,0))),""))</f>
        <v/>
      </c>
      <c r="L765" s="24" t="str">
        <f aca="false">IF($D765="","",IFERROR(INDEX(Workers!$E$5:$E$2004,MATCH($D765,Workers!$A$5:$A$2004,0)),""))</f>
        <v/>
      </c>
      <c r="M765" s="26" t="str">
        <f aca="false">IF($D765="","",IFERROR(INDEX(ClientRates!$D$5:$D$500,MATCH($B765&amp;"|"&amp;$L765,ClientRates!$A$5:$A$500,0)),0))</f>
        <v/>
      </c>
      <c r="N765" s="26" t="str">
        <f aca="false">IF($D765="","",IFERROR(INDEX(ClientRates!$E$5:$E$500,MATCH($B765&amp;"|"&amp;$L765,ClientRates!$A$5:$A$500,0)),0))</f>
        <v/>
      </c>
      <c r="O765" s="26" t="str">
        <f aca="false">IF($D765="","",F765*M765+G765*N765)</f>
        <v/>
      </c>
      <c r="P765" s="26" t="str">
        <f aca="false">IF(OR($D765="",$J765&lt;&gt;"Supplier"),"",IFERROR(INDEX(SupplierRates!$D$5:$D$500,MATCH($K765&amp;"|"&amp;$L765,SupplierRates!$A$5:$A$500,0)),0))</f>
        <v/>
      </c>
      <c r="Q765" s="26" t="str">
        <f aca="false">IF(OR($D765="",$J765&lt;&gt;"Supplier"),"",IFERROR(INDEX(SupplierRates!$E$5:$E$500,MATCH($K765&amp;"|"&amp;$L765,SupplierRates!$A$5:$A$500,0)),0))</f>
        <v/>
      </c>
      <c r="R765" s="26" t="n">
        <f aca="false">IF(OR($D765="",$J765&lt;&gt;"Supplier"),0,F765*P765+G765*Q765)</f>
        <v>0</v>
      </c>
      <c r="S765" s="26" t="n">
        <f aca="false">IF(OR($D765="",$J765&lt;&gt;"Own"),0,IFERROR((F765+G765*Settings!$B$13)*INDEX(Workers!$V$5:$V$2004,MATCH($D765,Workers!$A$5:$A$2004,0)),0))</f>
        <v>0</v>
      </c>
      <c r="T765" s="26" t="str">
        <f aca="false">IF($D765="","",O765-R765-S765)</f>
        <v/>
      </c>
    </row>
    <row r="766" customFormat="false" ht="15" hidden="false" customHeight="false" outlineLevel="0" collapsed="false">
      <c r="I766" s="24" t="str">
        <f aca="false">IF($D766="","",IFERROR(INDEX(Workers!$B$5:$B$2004,MATCH($D766,Workers!$A$5:$A$2004,0)),"NOT FOUND"))</f>
        <v/>
      </c>
      <c r="J766" s="24" t="str">
        <f aca="false">IF($D766="","",IFERROR(INDEX(Workers!$C$5:$C$2004,MATCH($D766,Workers!$A$5:$A$2004,0)),""))</f>
        <v/>
      </c>
      <c r="K766" s="24" t="str">
        <f aca="false">IF($D766="","",IFERROR(IF(INDEX(Workers!$D$5:$D$2004,MATCH($D766,Workers!$A$5:$A$2004,0))=0,"",INDEX(Workers!$D$5:$D$2004,MATCH($D766,Workers!$A$5:$A$2004,0))),""))</f>
        <v/>
      </c>
      <c r="L766" s="24" t="str">
        <f aca="false">IF($D766="","",IFERROR(INDEX(Workers!$E$5:$E$2004,MATCH($D766,Workers!$A$5:$A$2004,0)),""))</f>
        <v/>
      </c>
      <c r="M766" s="26" t="str">
        <f aca="false">IF($D766="","",IFERROR(INDEX(ClientRates!$D$5:$D$500,MATCH($B766&amp;"|"&amp;$L766,ClientRates!$A$5:$A$500,0)),0))</f>
        <v/>
      </c>
      <c r="N766" s="26" t="str">
        <f aca="false">IF($D766="","",IFERROR(INDEX(ClientRates!$E$5:$E$500,MATCH($B766&amp;"|"&amp;$L766,ClientRates!$A$5:$A$500,0)),0))</f>
        <v/>
      </c>
      <c r="O766" s="26" t="str">
        <f aca="false">IF($D766="","",F766*M766+G766*N766)</f>
        <v/>
      </c>
      <c r="P766" s="26" t="str">
        <f aca="false">IF(OR($D766="",$J766&lt;&gt;"Supplier"),"",IFERROR(INDEX(SupplierRates!$D$5:$D$500,MATCH($K766&amp;"|"&amp;$L766,SupplierRates!$A$5:$A$500,0)),0))</f>
        <v/>
      </c>
      <c r="Q766" s="26" t="str">
        <f aca="false">IF(OR($D766="",$J766&lt;&gt;"Supplier"),"",IFERROR(INDEX(SupplierRates!$E$5:$E$500,MATCH($K766&amp;"|"&amp;$L766,SupplierRates!$A$5:$A$500,0)),0))</f>
        <v/>
      </c>
      <c r="R766" s="26" t="n">
        <f aca="false">IF(OR($D766="",$J766&lt;&gt;"Supplier"),0,F766*P766+G766*Q766)</f>
        <v>0</v>
      </c>
      <c r="S766" s="26" t="n">
        <f aca="false">IF(OR($D766="",$J766&lt;&gt;"Own"),0,IFERROR((F766+G766*Settings!$B$13)*INDEX(Workers!$V$5:$V$2004,MATCH($D766,Workers!$A$5:$A$2004,0)),0))</f>
        <v>0</v>
      </c>
      <c r="T766" s="26" t="str">
        <f aca="false">IF($D766="","",O766-R766-S766)</f>
        <v/>
      </c>
    </row>
    <row r="767" customFormat="false" ht="15" hidden="false" customHeight="false" outlineLevel="0" collapsed="false">
      <c r="I767" s="24" t="str">
        <f aca="false">IF($D767="","",IFERROR(INDEX(Workers!$B$5:$B$2004,MATCH($D767,Workers!$A$5:$A$2004,0)),"NOT FOUND"))</f>
        <v/>
      </c>
      <c r="J767" s="24" t="str">
        <f aca="false">IF($D767="","",IFERROR(INDEX(Workers!$C$5:$C$2004,MATCH($D767,Workers!$A$5:$A$2004,0)),""))</f>
        <v/>
      </c>
      <c r="K767" s="24" t="str">
        <f aca="false">IF($D767="","",IFERROR(IF(INDEX(Workers!$D$5:$D$2004,MATCH($D767,Workers!$A$5:$A$2004,0))=0,"",INDEX(Workers!$D$5:$D$2004,MATCH($D767,Workers!$A$5:$A$2004,0))),""))</f>
        <v/>
      </c>
      <c r="L767" s="24" t="str">
        <f aca="false">IF($D767="","",IFERROR(INDEX(Workers!$E$5:$E$2004,MATCH($D767,Workers!$A$5:$A$2004,0)),""))</f>
        <v/>
      </c>
      <c r="M767" s="26" t="str">
        <f aca="false">IF($D767="","",IFERROR(INDEX(ClientRates!$D$5:$D$500,MATCH($B767&amp;"|"&amp;$L767,ClientRates!$A$5:$A$500,0)),0))</f>
        <v/>
      </c>
      <c r="N767" s="26" t="str">
        <f aca="false">IF($D767="","",IFERROR(INDEX(ClientRates!$E$5:$E$500,MATCH($B767&amp;"|"&amp;$L767,ClientRates!$A$5:$A$500,0)),0))</f>
        <v/>
      </c>
      <c r="O767" s="26" t="str">
        <f aca="false">IF($D767="","",F767*M767+G767*N767)</f>
        <v/>
      </c>
      <c r="P767" s="26" t="str">
        <f aca="false">IF(OR($D767="",$J767&lt;&gt;"Supplier"),"",IFERROR(INDEX(SupplierRates!$D$5:$D$500,MATCH($K767&amp;"|"&amp;$L767,SupplierRates!$A$5:$A$500,0)),0))</f>
        <v/>
      </c>
      <c r="Q767" s="26" t="str">
        <f aca="false">IF(OR($D767="",$J767&lt;&gt;"Supplier"),"",IFERROR(INDEX(SupplierRates!$E$5:$E$500,MATCH($K767&amp;"|"&amp;$L767,SupplierRates!$A$5:$A$500,0)),0))</f>
        <v/>
      </c>
      <c r="R767" s="26" t="n">
        <f aca="false">IF(OR($D767="",$J767&lt;&gt;"Supplier"),0,F767*P767+G767*Q767)</f>
        <v>0</v>
      </c>
      <c r="S767" s="26" t="n">
        <f aca="false">IF(OR($D767="",$J767&lt;&gt;"Own"),0,IFERROR((F767+G767*Settings!$B$13)*INDEX(Workers!$V$5:$V$2004,MATCH($D767,Workers!$A$5:$A$2004,0)),0))</f>
        <v>0</v>
      </c>
      <c r="T767" s="26" t="str">
        <f aca="false">IF($D767="","",O767-R767-S767)</f>
        <v/>
      </c>
    </row>
    <row r="768" customFormat="false" ht="15" hidden="false" customHeight="false" outlineLevel="0" collapsed="false">
      <c r="I768" s="24" t="str">
        <f aca="false">IF($D768="","",IFERROR(INDEX(Workers!$B$5:$B$2004,MATCH($D768,Workers!$A$5:$A$2004,0)),"NOT FOUND"))</f>
        <v/>
      </c>
      <c r="J768" s="24" t="str">
        <f aca="false">IF($D768="","",IFERROR(INDEX(Workers!$C$5:$C$2004,MATCH($D768,Workers!$A$5:$A$2004,0)),""))</f>
        <v/>
      </c>
      <c r="K768" s="24" t="str">
        <f aca="false">IF($D768="","",IFERROR(IF(INDEX(Workers!$D$5:$D$2004,MATCH($D768,Workers!$A$5:$A$2004,0))=0,"",INDEX(Workers!$D$5:$D$2004,MATCH($D768,Workers!$A$5:$A$2004,0))),""))</f>
        <v/>
      </c>
      <c r="L768" s="24" t="str">
        <f aca="false">IF($D768="","",IFERROR(INDEX(Workers!$E$5:$E$2004,MATCH($D768,Workers!$A$5:$A$2004,0)),""))</f>
        <v/>
      </c>
      <c r="M768" s="26" t="str">
        <f aca="false">IF($D768="","",IFERROR(INDEX(ClientRates!$D$5:$D$500,MATCH($B768&amp;"|"&amp;$L768,ClientRates!$A$5:$A$500,0)),0))</f>
        <v/>
      </c>
      <c r="N768" s="26" t="str">
        <f aca="false">IF($D768="","",IFERROR(INDEX(ClientRates!$E$5:$E$500,MATCH($B768&amp;"|"&amp;$L768,ClientRates!$A$5:$A$500,0)),0))</f>
        <v/>
      </c>
      <c r="O768" s="26" t="str">
        <f aca="false">IF($D768="","",F768*M768+G768*N768)</f>
        <v/>
      </c>
      <c r="P768" s="26" t="str">
        <f aca="false">IF(OR($D768="",$J768&lt;&gt;"Supplier"),"",IFERROR(INDEX(SupplierRates!$D$5:$D$500,MATCH($K768&amp;"|"&amp;$L768,SupplierRates!$A$5:$A$500,0)),0))</f>
        <v/>
      </c>
      <c r="Q768" s="26" t="str">
        <f aca="false">IF(OR($D768="",$J768&lt;&gt;"Supplier"),"",IFERROR(INDEX(SupplierRates!$E$5:$E$500,MATCH($K768&amp;"|"&amp;$L768,SupplierRates!$A$5:$A$500,0)),0))</f>
        <v/>
      </c>
      <c r="R768" s="26" t="n">
        <f aca="false">IF(OR($D768="",$J768&lt;&gt;"Supplier"),0,F768*P768+G768*Q768)</f>
        <v>0</v>
      </c>
      <c r="S768" s="26" t="n">
        <f aca="false">IF(OR($D768="",$J768&lt;&gt;"Own"),0,IFERROR((F768+G768*Settings!$B$13)*INDEX(Workers!$V$5:$V$2004,MATCH($D768,Workers!$A$5:$A$2004,0)),0))</f>
        <v>0</v>
      </c>
      <c r="T768" s="26" t="str">
        <f aca="false">IF($D768="","",O768-R768-S768)</f>
        <v/>
      </c>
    </row>
    <row r="769" customFormat="false" ht="15" hidden="false" customHeight="false" outlineLevel="0" collapsed="false">
      <c r="I769" s="24" t="str">
        <f aca="false">IF($D769="","",IFERROR(INDEX(Workers!$B$5:$B$2004,MATCH($D769,Workers!$A$5:$A$2004,0)),"NOT FOUND"))</f>
        <v/>
      </c>
      <c r="J769" s="24" t="str">
        <f aca="false">IF($D769="","",IFERROR(INDEX(Workers!$C$5:$C$2004,MATCH($D769,Workers!$A$5:$A$2004,0)),""))</f>
        <v/>
      </c>
      <c r="K769" s="24" t="str">
        <f aca="false">IF($D769="","",IFERROR(IF(INDEX(Workers!$D$5:$D$2004,MATCH($D769,Workers!$A$5:$A$2004,0))=0,"",INDEX(Workers!$D$5:$D$2004,MATCH($D769,Workers!$A$5:$A$2004,0))),""))</f>
        <v/>
      </c>
      <c r="L769" s="24" t="str">
        <f aca="false">IF($D769="","",IFERROR(INDEX(Workers!$E$5:$E$2004,MATCH($D769,Workers!$A$5:$A$2004,0)),""))</f>
        <v/>
      </c>
      <c r="M769" s="26" t="str">
        <f aca="false">IF($D769="","",IFERROR(INDEX(ClientRates!$D$5:$D$500,MATCH($B769&amp;"|"&amp;$L769,ClientRates!$A$5:$A$500,0)),0))</f>
        <v/>
      </c>
      <c r="N769" s="26" t="str">
        <f aca="false">IF($D769="","",IFERROR(INDEX(ClientRates!$E$5:$E$500,MATCH($B769&amp;"|"&amp;$L769,ClientRates!$A$5:$A$500,0)),0))</f>
        <v/>
      </c>
      <c r="O769" s="26" t="str">
        <f aca="false">IF($D769="","",F769*M769+G769*N769)</f>
        <v/>
      </c>
      <c r="P769" s="26" t="str">
        <f aca="false">IF(OR($D769="",$J769&lt;&gt;"Supplier"),"",IFERROR(INDEX(SupplierRates!$D$5:$D$500,MATCH($K769&amp;"|"&amp;$L769,SupplierRates!$A$5:$A$500,0)),0))</f>
        <v/>
      </c>
      <c r="Q769" s="26" t="str">
        <f aca="false">IF(OR($D769="",$J769&lt;&gt;"Supplier"),"",IFERROR(INDEX(SupplierRates!$E$5:$E$500,MATCH($K769&amp;"|"&amp;$L769,SupplierRates!$A$5:$A$500,0)),0))</f>
        <v/>
      </c>
      <c r="R769" s="26" t="n">
        <f aca="false">IF(OR($D769="",$J769&lt;&gt;"Supplier"),0,F769*P769+G769*Q769)</f>
        <v>0</v>
      </c>
      <c r="S769" s="26" t="n">
        <f aca="false">IF(OR($D769="",$J769&lt;&gt;"Own"),0,IFERROR((F769+G769*Settings!$B$13)*INDEX(Workers!$V$5:$V$2004,MATCH($D769,Workers!$A$5:$A$2004,0)),0))</f>
        <v>0</v>
      </c>
      <c r="T769" s="26" t="str">
        <f aca="false">IF($D769="","",O769-R769-S769)</f>
        <v/>
      </c>
    </row>
    <row r="770" customFormat="false" ht="15" hidden="false" customHeight="false" outlineLevel="0" collapsed="false">
      <c r="I770" s="24" t="str">
        <f aca="false">IF($D770="","",IFERROR(INDEX(Workers!$B$5:$B$2004,MATCH($D770,Workers!$A$5:$A$2004,0)),"NOT FOUND"))</f>
        <v/>
      </c>
      <c r="J770" s="24" t="str">
        <f aca="false">IF($D770="","",IFERROR(INDEX(Workers!$C$5:$C$2004,MATCH($D770,Workers!$A$5:$A$2004,0)),""))</f>
        <v/>
      </c>
      <c r="K770" s="24" t="str">
        <f aca="false">IF($D770="","",IFERROR(IF(INDEX(Workers!$D$5:$D$2004,MATCH($D770,Workers!$A$5:$A$2004,0))=0,"",INDEX(Workers!$D$5:$D$2004,MATCH($D770,Workers!$A$5:$A$2004,0))),""))</f>
        <v/>
      </c>
      <c r="L770" s="24" t="str">
        <f aca="false">IF($D770="","",IFERROR(INDEX(Workers!$E$5:$E$2004,MATCH($D770,Workers!$A$5:$A$2004,0)),""))</f>
        <v/>
      </c>
      <c r="M770" s="26" t="str">
        <f aca="false">IF($D770="","",IFERROR(INDEX(ClientRates!$D$5:$D$500,MATCH($B770&amp;"|"&amp;$L770,ClientRates!$A$5:$A$500,0)),0))</f>
        <v/>
      </c>
      <c r="N770" s="26" t="str">
        <f aca="false">IF($D770="","",IFERROR(INDEX(ClientRates!$E$5:$E$500,MATCH($B770&amp;"|"&amp;$L770,ClientRates!$A$5:$A$500,0)),0))</f>
        <v/>
      </c>
      <c r="O770" s="26" t="str">
        <f aca="false">IF($D770="","",F770*M770+G770*N770)</f>
        <v/>
      </c>
      <c r="P770" s="26" t="str">
        <f aca="false">IF(OR($D770="",$J770&lt;&gt;"Supplier"),"",IFERROR(INDEX(SupplierRates!$D$5:$D$500,MATCH($K770&amp;"|"&amp;$L770,SupplierRates!$A$5:$A$500,0)),0))</f>
        <v/>
      </c>
      <c r="Q770" s="26" t="str">
        <f aca="false">IF(OR($D770="",$J770&lt;&gt;"Supplier"),"",IFERROR(INDEX(SupplierRates!$E$5:$E$500,MATCH($K770&amp;"|"&amp;$L770,SupplierRates!$A$5:$A$500,0)),0))</f>
        <v/>
      </c>
      <c r="R770" s="26" t="n">
        <f aca="false">IF(OR($D770="",$J770&lt;&gt;"Supplier"),0,F770*P770+G770*Q770)</f>
        <v>0</v>
      </c>
      <c r="S770" s="26" t="n">
        <f aca="false">IF(OR($D770="",$J770&lt;&gt;"Own"),0,IFERROR((F770+G770*Settings!$B$13)*INDEX(Workers!$V$5:$V$2004,MATCH($D770,Workers!$A$5:$A$2004,0)),0))</f>
        <v>0</v>
      </c>
      <c r="T770" s="26" t="str">
        <f aca="false">IF($D770="","",O770-R770-S770)</f>
        <v/>
      </c>
    </row>
    <row r="771" customFormat="false" ht="15" hidden="false" customHeight="false" outlineLevel="0" collapsed="false">
      <c r="I771" s="24" t="str">
        <f aca="false">IF($D771="","",IFERROR(INDEX(Workers!$B$5:$B$2004,MATCH($D771,Workers!$A$5:$A$2004,0)),"NOT FOUND"))</f>
        <v/>
      </c>
      <c r="J771" s="24" t="str">
        <f aca="false">IF($D771="","",IFERROR(INDEX(Workers!$C$5:$C$2004,MATCH($D771,Workers!$A$5:$A$2004,0)),""))</f>
        <v/>
      </c>
      <c r="K771" s="24" t="str">
        <f aca="false">IF($D771="","",IFERROR(IF(INDEX(Workers!$D$5:$D$2004,MATCH($D771,Workers!$A$5:$A$2004,0))=0,"",INDEX(Workers!$D$5:$D$2004,MATCH($D771,Workers!$A$5:$A$2004,0))),""))</f>
        <v/>
      </c>
      <c r="L771" s="24" t="str">
        <f aca="false">IF($D771="","",IFERROR(INDEX(Workers!$E$5:$E$2004,MATCH($D771,Workers!$A$5:$A$2004,0)),""))</f>
        <v/>
      </c>
      <c r="M771" s="26" t="str">
        <f aca="false">IF($D771="","",IFERROR(INDEX(ClientRates!$D$5:$D$500,MATCH($B771&amp;"|"&amp;$L771,ClientRates!$A$5:$A$500,0)),0))</f>
        <v/>
      </c>
      <c r="N771" s="26" t="str">
        <f aca="false">IF($D771="","",IFERROR(INDEX(ClientRates!$E$5:$E$500,MATCH($B771&amp;"|"&amp;$L771,ClientRates!$A$5:$A$500,0)),0))</f>
        <v/>
      </c>
      <c r="O771" s="26" t="str">
        <f aca="false">IF($D771="","",F771*M771+G771*N771)</f>
        <v/>
      </c>
      <c r="P771" s="26" t="str">
        <f aca="false">IF(OR($D771="",$J771&lt;&gt;"Supplier"),"",IFERROR(INDEX(SupplierRates!$D$5:$D$500,MATCH($K771&amp;"|"&amp;$L771,SupplierRates!$A$5:$A$500,0)),0))</f>
        <v/>
      </c>
      <c r="Q771" s="26" t="str">
        <f aca="false">IF(OR($D771="",$J771&lt;&gt;"Supplier"),"",IFERROR(INDEX(SupplierRates!$E$5:$E$500,MATCH($K771&amp;"|"&amp;$L771,SupplierRates!$A$5:$A$500,0)),0))</f>
        <v/>
      </c>
      <c r="R771" s="26" t="n">
        <f aca="false">IF(OR($D771="",$J771&lt;&gt;"Supplier"),0,F771*P771+G771*Q771)</f>
        <v>0</v>
      </c>
      <c r="S771" s="26" t="n">
        <f aca="false">IF(OR($D771="",$J771&lt;&gt;"Own"),0,IFERROR((F771+G771*Settings!$B$13)*INDEX(Workers!$V$5:$V$2004,MATCH($D771,Workers!$A$5:$A$2004,0)),0))</f>
        <v>0</v>
      </c>
      <c r="T771" s="26" t="str">
        <f aca="false">IF($D771="","",O771-R771-S771)</f>
        <v/>
      </c>
    </row>
    <row r="772" customFormat="false" ht="15" hidden="false" customHeight="false" outlineLevel="0" collapsed="false">
      <c r="I772" s="24" t="str">
        <f aca="false">IF($D772="","",IFERROR(INDEX(Workers!$B$5:$B$2004,MATCH($D772,Workers!$A$5:$A$2004,0)),"NOT FOUND"))</f>
        <v/>
      </c>
      <c r="J772" s="24" t="str">
        <f aca="false">IF($D772="","",IFERROR(INDEX(Workers!$C$5:$C$2004,MATCH($D772,Workers!$A$5:$A$2004,0)),""))</f>
        <v/>
      </c>
      <c r="K772" s="24" t="str">
        <f aca="false">IF($D772="","",IFERROR(IF(INDEX(Workers!$D$5:$D$2004,MATCH($D772,Workers!$A$5:$A$2004,0))=0,"",INDEX(Workers!$D$5:$D$2004,MATCH($D772,Workers!$A$5:$A$2004,0))),""))</f>
        <v/>
      </c>
      <c r="L772" s="24" t="str">
        <f aca="false">IF($D772="","",IFERROR(INDEX(Workers!$E$5:$E$2004,MATCH($D772,Workers!$A$5:$A$2004,0)),""))</f>
        <v/>
      </c>
      <c r="M772" s="26" t="str">
        <f aca="false">IF($D772="","",IFERROR(INDEX(ClientRates!$D$5:$D$500,MATCH($B772&amp;"|"&amp;$L772,ClientRates!$A$5:$A$500,0)),0))</f>
        <v/>
      </c>
      <c r="N772" s="26" t="str">
        <f aca="false">IF($D772="","",IFERROR(INDEX(ClientRates!$E$5:$E$500,MATCH($B772&amp;"|"&amp;$L772,ClientRates!$A$5:$A$500,0)),0))</f>
        <v/>
      </c>
      <c r="O772" s="26" t="str">
        <f aca="false">IF($D772="","",F772*M772+G772*N772)</f>
        <v/>
      </c>
      <c r="P772" s="26" t="str">
        <f aca="false">IF(OR($D772="",$J772&lt;&gt;"Supplier"),"",IFERROR(INDEX(SupplierRates!$D$5:$D$500,MATCH($K772&amp;"|"&amp;$L772,SupplierRates!$A$5:$A$500,0)),0))</f>
        <v/>
      </c>
      <c r="Q772" s="26" t="str">
        <f aca="false">IF(OR($D772="",$J772&lt;&gt;"Supplier"),"",IFERROR(INDEX(SupplierRates!$E$5:$E$500,MATCH($K772&amp;"|"&amp;$L772,SupplierRates!$A$5:$A$500,0)),0))</f>
        <v/>
      </c>
      <c r="R772" s="26" t="n">
        <f aca="false">IF(OR($D772="",$J772&lt;&gt;"Supplier"),0,F772*P772+G772*Q772)</f>
        <v>0</v>
      </c>
      <c r="S772" s="26" t="n">
        <f aca="false">IF(OR($D772="",$J772&lt;&gt;"Own"),0,IFERROR((F772+G772*Settings!$B$13)*INDEX(Workers!$V$5:$V$2004,MATCH($D772,Workers!$A$5:$A$2004,0)),0))</f>
        <v>0</v>
      </c>
      <c r="T772" s="26" t="str">
        <f aca="false">IF($D772="","",O772-R772-S772)</f>
        <v/>
      </c>
    </row>
    <row r="773" customFormat="false" ht="15" hidden="false" customHeight="false" outlineLevel="0" collapsed="false">
      <c r="I773" s="24" t="str">
        <f aca="false">IF($D773="","",IFERROR(INDEX(Workers!$B$5:$B$2004,MATCH($D773,Workers!$A$5:$A$2004,0)),"NOT FOUND"))</f>
        <v/>
      </c>
      <c r="J773" s="24" t="str">
        <f aca="false">IF($D773="","",IFERROR(INDEX(Workers!$C$5:$C$2004,MATCH($D773,Workers!$A$5:$A$2004,0)),""))</f>
        <v/>
      </c>
      <c r="K773" s="24" t="str">
        <f aca="false">IF($D773="","",IFERROR(IF(INDEX(Workers!$D$5:$D$2004,MATCH($D773,Workers!$A$5:$A$2004,0))=0,"",INDEX(Workers!$D$5:$D$2004,MATCH($D773,Workers!$A$5:$A$2004,0))),""))</f>
        <v/>
      </c>
      <c r="L773" s="24" t="str">
        <f aca="false">IF($D773="","",IFERROR(INDEX(Workers!$E$5:$E$2004,MATCH($D773,Workers!$A$5:$A$2004,0)),""))</f>
        <v/>
      </c>
      <c r="M773" s="26" t="str">
        <f aca="false">IF($D773="","",IFERROR(INDEX(ClientRates!$D$5:$D$500,MATCH($B773&amp;"|"&amp;$L773,ClientRates!$A$5:$A$500,0)),0))</f>
        <v/>
      </c>
      <c r="N773" s="26" t="str">
        <f aca="false">IF($D773="","",IFERROR(INDEX(ClientRates!$E$5:$E$500,MATCH($B773&amp;"|"&amp;$L773,ClientRates!$A$5:$A$500,0)),0))</f>
        <v/>
      </c>
      <c r="O773" s="26" t="str">
        <f aca="false">IF($D773="","",F773*M773+G773*N773)</f>
        <v/>
      </c>
      <c r="P773" s="26" t="str">
        <f aca="false">IF(OR($D773="",$J773&lt;&gt;"Supplier"),"",IFERROR(INDEX(SupplierRates!$D$5:$D$500,MATCH($K773&amp;"|"&amp;$L773,SupplierRates!$A$5:$A$500,0)),0))</f>
        <v/>
      </c>
      <c r="Q773" s="26" t="str">
        <f aca="false">IF(OR($D773="",$J773&lt;&gt;"Supplier"),"",IFERROR(INDEX(SupplierRates!$E$5:$E$500,MATCH($K773&amp;"|"&amp;$L773,SupplierRates!$A$5:$A$500,0)),0))</f>
        <v/>
      </c>
      <c r="R773" s="26" t="n">
        <f aca="false">IF(OR($D773="",$J773&lt;&gt;"Supplier"),0,F773*P773+G773*Q773)</f>
        <v>0</v>
      </c>
      <c r="S773" s="26" t="n">
        <f aca="false">IF(OR($D773="",$J773&lt;&gt;"Own"),0,IFERROR((F773+G773*Settings!$B$13)*INDEX(Workers!$V$5:$V$2004,MATCH($D773,Workers!$A$5:$A$2004,0)),0))</f>
        <v>0</v>
      </c>
      <c r="T773" s="26" t="str">
        <f aca="false">IF($D773="","",O773-R773-S773)</f>
        <v/>
      </c>
    </row>
    <row r="774" customFormat="false" ht="15" hidden="false" customHeight="false" outlineLevel="0" collapsed="false">
      <c r="I774" s="24" t="str">
        <f aca="false">IF($D774="","",IFERROR(INDEX(Workers!$B$5:$B$2004,MATCH($D774,Workers!$A$5:$A$2004,0)),"NOT FOUND"))</f>
        <v/>
      </c>
      <c r="J774" s="24" t="str">
        <f aca="false">IF($D774="","",IFERROR(INDEX(Workers!$C$5:$C$2004,MATCH($D774,Workers!$A$5:$A$2004,0)),""))</f>
        <v/>
      </c>
      <c r="K774" s="24" t="str">
        <f aca="false">IF($D774="","",IFERROR(IF(INDEX(Workers!$D$5:$D$2004,MATCH($D774,Workers!$A$5:$A$2004,0))=0,"",INDEX(Workers!$D$5:$D$2004,MATCH($D774,Workers!$A$5:$A$2004,0))),""))</f>
        <v/>
      </c>
      <c r="L774" s="24" t="str">
        <f aca="false">IF($D774="","",IFERROR(INDEX(Workers!$E$5:$E$2004,MATCH($D774,Workers!$A$5:$A$2004,0)),""))</f>
        <v/>
      </c>
      <c r="M774" s="26" t="str">
        <f aca="false">IF($D774="","",IFERROR(INDEX(ClientRates!$D$5:$D$500,MATCH($B774&amp;"|"&amp;$L774,ClientRates!$A$5:$A$500,0)),0))</f>
        <v/>
      </c>
      <c r="N774" s="26" t="str">
        <f aca="false">IF($D774="","",IFERROR(INDEX(ClientRates!$E$5:$E$500,MATCH($B774&amp;"|"&amp;$L774,ClientRates!$A$5:$A$500,0)),0))</f>
        <v/>
      </c>
      <c r="O774" s="26" t="str">
        <f aca="false">IF($D774="","",F774*M774+G774*N774)</f>
        <v/>
      </c>
      <c r="P774" s="26" t="str">
        <f aca="false">IF(OR($D774="",$J774&lt;&gt;"Supplier"),"",IFERROR(INDEX(SupplierRates!$D$5:$D$500,MATCH($K774&amp;"|"&amp;$L774,SupplierRates!$A$5:$A$500,0)),0))</f>
        <v/>
      </c>
      <c r="Q774" s="26" t="str">
        <f aca="false">IF(OR($D774="",$J774&lt;&gt;"Supplier"),"",IFERROR(INDEX(SupplierRates!$E$5:$E$500,MATCH($K774&amp;"|"&amp;$L774,SupplierRates!$A$5:$A$500,0)),0))</f>
        <v/>
      </c>
      <c r="R774" s="26" t="n">
        <f aca="false">IF(OR($D774="",$J774&lt;&gt;"Supplier"),0,F774*P774+G774*Q774)</f>
        <v>0</v>
      </c>
      <c r="S774" s="26" t="n">
        <f aca="false">IF(OR($D774="",$J774&lt;&gt;"Own"),0,IFERROR((F774+G774*Settings!$B$13)*INDEX(Workers!$V$5:$V$2004,MATCH($D774,Workers!$A$5:$A$2004,0)),0))</f>
        <v>0</v>
      </c>
      <c r="T774" s="26" t="str">
        <f aca="false">IF($D774="","",O774-R774-S774)</f>
        <v/>
      </c>
    </row>
    <row r="775" customFormat="false" ht="15" hidden="false" customHeight="false" outlineLevel="0" collapsed="false">
      <c r="I775" s="24" t="str">
        <f aca="false">IF($D775="","",IFERROR(INDEX(Workers!$B$5:$B$2004,MATCH($D775,Workers!$A$5:$A$2004,0)),"NOT FOUND"))</f>
        <v/>
      </c>
      <c r="J775" s="24" t="str">
        <f aca="false">IF($D775="","",IFERROR(INDEX(Workers!$C$5:$C$2004,MATCH($D775,Workers!$A$5:$A$2004,0)),""))</f>
        <v/>
      </c>
      <c r="K775" s="24" t="str">
        <f aca="false">IF($D775="","",IFERROR(IF(INDEX(Workers!$D$5:$D$2004,MATCH($D775,Workers!$A$5:$A$2004,0))=0,"",INDEX(Workers!$D$5:$D$2004,MATCH($D775,Workers!$A$5:$A$2004,0))),""))</f>
        <v/>
      </c>
      <c r="L775" s="24" t="str">
        <f aca="false">IF($D775="","",IFERROR(INDEX(Workers!$E$5:$E$2004,MATCH($D775,Workers!$A$5:$A$2004,0)),""))</f>
        <v/>
      </c>
      <c r="M775" s="26" t="str">
        <f aca="false">IF($D775="","",IFERROR(INDEX(ClientRates!$D$5:$D$500,MATCH($B775&amp;"|"&amp;$L775,ClientRates!$A$5:$A$500,0)),0))</f>
        <v/>
      </c>
      <c r="N775" s="26" t="str">
        <f aca="false">IF($D775="","",IFERROR(INDEX(ClientRates!$E$5:$E$500,MATCH($B775&amp;"|"&amp;$L775,ClientRates!$A$5:$A$500,0)),0))</f>
        <v/>
      </c>
      <c r="O775" s="26" t="str">
        <f aca="false">IF($D775="","",F775*M775+G775*N775)</f>
        <v/>
      </c>
      <c r="P775" s="26" t="str">
        <f aca="false">IF(OR($D775="",$J775&lt;&gt;"Supplier"),"",IFERROR(INDEX(SupplierRates!$D$5:$D$500,MATCH($K775&amp;"|"&amp;$L775,SupplierRates!$A$5:$A$500,0)),0))</f>
        <v/>
      </c>
      <c r="Q775" s="26" t="str">
        <f aca="false">IF(OR($D775="",$J775&lt;&gt;"Supplier"),"",IFERROR(INDEX(SupplierRates!$E$5:$E$500,MATCH($K775&amp;"|"&amp;$L775,SupplierRates!$A$5:$A$500,0)),0))</f>
        <v/>
      </c>
      <c r="R775" s="26" t="n">
        <f aca="false">IF(OR($D775="",$J775&lt;&gt;"Supplier"),0,F775*P775+G775*Q775)</f>
        <v>0</v>
      </c>
      <c r="S775" s="26" t="n">
        <f aca="false">IF(OR($D775="",$J775&lt;&gt;"Own"),0,IFERROR((F775+G775*Settings!$B$13)*INDEX(Workers!$V$5:$V$2004,MATCH($D775,Workers!$A$5:$A$2004,0)),0))</f>
        <v>0</v>
      </c>
      <c r="T775" s="26" t="str">
        <f aca="false">IF($D775="","",O775-R775-S775)</f>
        <v/>
      </c>
    </row>
    <row r="776" customFormat="false" ht="15" hidden="false" customHeight="false" outlineLevel="0" collapsed="false">
      <c r="I776" s="24" t="str">
        <f aca="false">IF($D776="","",IFERROR(INDEX(Workers!$B$5:$B$2004,MATCH($D776,Workers!$A$5:$A$2004,0)),"NOT FOUND"))</f>
        <v/>
      </c>
      <c r="J776" s="24" t="str">
        <f aca="false">IF($D776="","",IFERROR(INDEX(Workers!$C$5:$C$2004,MATCH($D776,Workers!$A$5:$A$2004,0)),""))</f>
        <v/>
      </c>
      <c r="K776" s="24" t="str">
        <f aca="false">IF($D776="","",IFERROR(IF(INDEX(Workers!$D$5:$D$2004,MATCH($D776,Workers!$A$5:$A$2004,0))=0,"",INDEX(Workers!$D$5:$D$2004,MATCH($D776,Workers!$A$5:$A$2004,0))),""))</f>
        <v/>
      </c>
      <c r="L776" s="24" t="str">
        <f aca="false">IF($D776="","",IFERROR(INDEX(Workers!$E$5:$E$2004,MATCH($D776,Workers!$A$5:$A$2004,0)),""))</f>
        <v/>
      </c>
      <c r="M776" s="26" t="str">
        <f aca="false">IF($D776="","",IFERROR(INDEX(ClientRates!$D$5:$D$500,MATCH($B776&amp;"|"&amp;$L776,ClientRates!$A$5:$A$500,0)),0))</f>
        <v/>
      </c>
      <c r="N776" s="26" t="str">
        <f aca="false">IF($D776="","",IFERROR(INDEX(ClientRates!$E$5:$E$500,MATCH($B776&amp;"|"&amp;$L776,ClientRates!$A$5:$A$500,0)),0))</f>
        <v/>
      </c>
      <c r="O776" s="26" t="str">
        <f aca="false">IF($D776="","",F776*M776+G776*N776)</f>
        <v/>
      </c>
      <c r="P776" s="26" t="str">
        <f aca="false">IF(OR($D776="",$J776&lt;&gt;"Supplier"),"",IFERROR(INDEX(SupplierRates!$D$5:$D$500,MATCH($K776&amp;"|"&amp;$L776,SupplierRates!$A$5:$A$500,0)),0))</f>
        <v/>
      </c>
      <c r="Q776" s="26" t="str">
        <f aca="false">IF(OR($D776="",$J776&lt;&gt;"Supplier"),"",IFERROR(INDEX(SupplierRates!$E$5:$E$500,MATCH($K776&amp;"|"&amp;$L776,SupplierRates!$A$5:$A$500,0)),0))</f>
        <v/>
      </c>
      <c r="R776" s="26" t="n">
        <f aca="false">IF(OR($D776="",$J776&lt;&gt;"Supplier"),0,F776*P776+G776*Q776)</f>
        <v>0</v>
      </c>
      <c r="S776" s="26" t="n">
        <f aca="false">IF(OR($D776="",$J776&lt;&gt;"Own"),0,IFERROR((F776+G776*Settings!$B$13)*INDEX(Workers!$V$5:$V$2004,MATCH($D776,Workers!$A$5:$A$2004,0)),0))</f>
        <v>0</v>
      </c>
      <c r="T776" s="26" t="str">
        <f aca="false">IF($D776="","",O776-R776-S776)</f>
        <v/>
      </c>
    </row>
    <row r="777" customFormat="false" ht="15" hidden="false" customHeight="false" outlineLevel="0" collapsed="false">
      <c r="I777" s="24" t="str">
        <f aca="false">IF($D777="","",IFERROR(INDEX(Workers!$B$5:$B$2004,MATCH($D777,Workers!$A$5:$A$2004,0)),"NOT FOUND"))</f>
        <v/>
      </c>
      <c r="J777" s="24" t="str">
        <f aca="false">IF($D777="","",IFERROR(INDEX(Workers!$C$5:$C$2004,MATCH($D777,Workers!$A$5:$A$2004,0)),""))</f>
        <v/>
      </c>
      <c r="K777" s="24" t="str">
        <f aca="false">IF($D777="","",IFERROR(IF(INDEX(Workers!$D$5:$D$2004,MATCH($D777,Workers!$A$5:$A$2004,0))=0,"",INDEX(Workers!$D$5:$D$2004,MATCH($D777,Workers!$A$5:$A$2004,0))),""))</f>
        <v/>
      </c>
      <c r="L777" s="24" t="str">
        <f aca="false">IF($D777="","",IFERROR(INDEX(Workers!$E$5:$E$2004,MATCH($D777,Workers!$A$5:$A$2004,0)),""))</f>
        <v/>
      </c>
      <c r="M777" s="26" t="str">
        <f aca="false">IF($D777="","",IFERROR(INDEX(ClientRates!$D$5:$D$500,MATCH($B777&amp;"|"&amp;$L777,ClientRates!$A$5:$A$500,0)),0))</f>
        <v/>
      </c>
      <c r="N777" s="26" t="str">
        <f aca="false">IF($D777="","",IFERROR(INDEX(ClientRates!$E$5:$E$500,MATCH($B777&amp;"|"&amp;$L777,ClientRates!$A$5:$A$500,0)),0))</f>
        <v/>
      </c>
      <c r="O777" s="26" t="str">
        <f aca="false">IF($D777="","",F777*M777+G777*N777)</f>
        <v/>
      </c>
      <c r="P777" s="26" t="str">
        <f aca="false">IF(OR($D777="",$J777&lt;&gt;"Supplier"),"",IFERROR(INDEX(SupplierRates!$D$5:$D$500,MATCH($K777&amp;"|"&amp;$L777,SupplierRates!$A$5:$A$500,0)),0))</f>
        <v/>
      </c>
      <c r="Q777" s="26" t="str">
        <f aca="false">IF(OR($D777="",$J777&lt;&gt;"Supplier"),"",IFERROR(INDEX(SupplierRates!$E$5:$E$500,MATCH($K777&amp;"|"&amp;$L777,SupplierRates!$A$5:$A$500,0)),0))</f>
        <v/>
      </c>
      <c r="R777" s="26" t="n">
        <f aca="false">IF(OR($D777="",$J777&lt;&gt;"Supplier"),0,F777*P777+G777*Q777)</f>
        <v>0</v>
      </c>
      <c r="S777" s="26" t="n">
        <f aca="false">IF(OR($D777="",$J777&lt;&gt;"Own"),0,IFERROR((F777+G777*Settings!$B$13)*INDEX(Workers!$V$5:$V$2004,MATCH($D777,Workers!$A$5:$A$2004,0)),0))</f>
        <v>0</v>
      </c>
      <c r="T777" s="26" t="str">
        <f aca="false">IF($D777="","",O777-R777-S777)</f>
        <v/>
      </c>
    </row>
    <row r="778" customFormat="false" ht="15" hidden="false" customHeight="false" outlineLevel="0" collapsed="false">
      <c r="I778" s="24" t="str">
        <f aca="false">IF($D778="","",IFERROR(INDEX(Workers!$B$5:$B$2004,MATCH($D778,Workers!$A$5:$A$2004,0)),"NOT FOUND"))</f>
        <v/>
      </c>
      <c r="J778" s="24" t="str">
        <f aca="false">IF($D778="","",IFERROR(INDEX(Workers!$C$5:$C$2004,MATCH($D778,Workers!$A$5:$A$2004,0)),""))</f>
        <v/>
      </c>
      <c r="K778" s="24" t="str">
        <f aca="false">IF($D778="","",IFERROR(IF(INDEX(Workers!$D$5:$D$2004,MATCH($D778,Workers!$A$5:$A$2004,0))=0,"",INDEX(Workers!$D$5:$D$2004,MATCH($D778,Workers!$A$5:$A$2004,0))),""))</f>
        <v/>
      </c>
      <c r="L778" s="24" t="str">
        <f aca="false">IF($D778="","",IFERROR(INDEX(Workers!$E$5:$E$2004,MATCH($D778,Workers!$A$5:$A$2004,0)),""))</f>
        <v/>
      </c>
      <c r="M778" s="26" t="str">
        <f aca="false">IF($D778="","",IFERROR(INDEX(ClientRates!$D$5:$D$500,MATCH($B778&amp;"|"&amp;$L778,ClientRates!$A$5:$A$500,0)),0))</f>
        <v/>
      </c>
      <c r="N778" s="26" t="str">
        <f aca="false">IF($D778="","",IFERROR(INDEX(ClientRates!$E$5:$E$500,MATCH($B778&amp;"|"&amp;$L778,ClientRates!$A$5:$A$500,0)),0))</f>
        <v/>
      </c>
      <c r="O778" s="26" t="str">
        <f aca="false">IF($D778="","",F778*M778+G778*N778)</f>
        <v/>
      </c>
      <c r="P778" s="26" t="str">
        <f aca="false">IF(OR($D778="",$J778&lt;&gt;"Supplier"),"",IFERROR(INDEX(SupplierRates!$D$5:$D$500,MATCH($K778&amp;"|"&amp;$L778,SupplierRates!$A$5:$A$500,0)),0))</f>
        <v/>
      </c>
      <c r="Q778" s="26" t="str">
        <f aca="false">IF(OR($D778="",$J778&lt;&gt;"Supplier"),"",IFERROR(INDEX(SupplierRates!$E$5:$E$500,MATCH($K778&amp;"|"&amp;$L778,SupplierRates!$A$5:$A$500,0)),0))</f>
        <v/>
      </c>
      <c r="R778" s="26" t="n">
        <f aca="false">IF(OR($D778="",$J778&lt;&gt;"Supplier"),0,F778*P778+G778*Q778)</f>
        <v>0</v>
      </c>
      <c r="S778" s="26" t="n">
        <f aca="false">IF(OR($D778="",$J778&lt;&gt;"Own"),0,IFERROR((F778+G778*Settings!$B$13)*INDEX(Workers!$V$5:$V$2004,MATCH($D778,Workers!$A$5:$A$2004,0)),0))</f>
        <v>0</v>
      </c>
      <c r="T778" s="26" t="str">
        <f aca="false">IF($D778="","",O778-R778-S778)</f>
        <v/>
      </c>
    </row>
    <row r="779" customFormat="false" ht="15" hidden="false" customHeight="false" outlineLevel="0" collapsed="false">
      <c r="I779" s="24" t="str">
        <f aca="false">IF($D779="","",IFERROR(INDEX(Workers!$B$5:$B$2004,MATCH($D779,Workers!$A$5:$A$2004,0)),"NOT FOUND"))</f>
        <v/>
      </c>
      <c r="J779" s="24" t="str">
        <f aca="false">IF($D779="","",IFERROR(INDEX(Workers!$C$5:$C$2004,MATCH($D779,Workers!$A$5:$A$2004,0)),""))</f>
        <v/>
      </c>
      <c r="K779" s="24" t="str">
        <f aca="false">IF($D779="","",IFERROR(IF(INDEX(Workers!$D$5:$D$2004,MATCH($D779,Workers!$A$5:$A$2004,0))=0,"",INDEX(Workers!$D$5:$D$2004,MATCH($D779,Workers!$A$5:$A$2004,0))),""))</f>
        <v/>
      </c>
      <c r="L779" s="24" t="str">
        <f aca="false">IF($D779="","",IFERROR(INDEX(Workers!$E$5:$E$2004,MATCH($D779,Workers!$A$5:$A$2004,0)),""))</f>
        <v/>
      </c>
      <c r="M779" s="26" t="str">
        <f aca="false">IF($D779="","",IFERROR(INDEX(ClientRates!$D$5:$D$500,MATCH($B779&amp;"|"&amp;$L779,ClientRates!$A$5:$A$500,0)),0))</f>
        <v/>
      </c>
      <c r="N779" s="26" t="str">
        <f aca="false">IF($D779="","",IFERROR(INDEX(ClientRates!$E$5:$E$500,MATCH($B779&amp;"|"&amp;$L779,ClientRates!$A$5:$A$500,0)),0))</f>
        <v/>
      </c>
      <c r="O779" s="26" t="str">
        <f aca="false">IF($D779="","",F779*M779+G779*N779)</f>
        <v/>
      </c>
      <c r="P779" s="26" t="str">
        <f aca="false">IF(OR($D779="",$J779&lt;&gt;"Supplier"),"",IFERROR(INDEX(SupplierRates!$D$5:$D$500,MATCH($K779&amp;"|"&amp;$L779,SupplierRates!$A$5:$A$500,0)),0))</f>
        <v/>
      </c>
      <c r="Q779" s="26" t="str">
        <f aca="false">IF(OR($D779="",$J779&lt;&gt;"Supplier"),"",IFERROR(INDEX(SupplierRates!$E$5:$E$500,MATCH($K779&amp;"|"&amp;$L779,SupplierRates!$A$5:$A$500,0)),0))</f>
        <v/>
      </c>
      <c r="R779" s="26" t="n">
        <f aca="false">IF(OR($D779="",$J779&lt;&gt;"Supplier"),0,F779*P779+G779*Q779)</f>
        <v>0</v>
      </c>
      <c r="S779" s="26" t="n">
        <f aca="false">IF(OR($D779="",$J779&lt;&gt;"Own"),0,IFERROR((F779+G779*Settings!$B$13)*INDEX(Workers!$V$5:$V$2004,MATCH($D779,Workers!$A$5:$A$2004,0)),0))</f>
        <v>0</v>
      </c>
      <c r="T779" s="26" t="str">
        <f aca="false">IF($D779="","",O779-R779-S779)</f>
        <v/>
      </c>
    </row>
    <row r="780" customFormat="false" ht="15" hidden="false" customHeight="false" outlineLevel="0" collapsed="false">
      <c r="I780" s="24" t="str">
        <f aca="false">IF($D780="","",IFERROR(INDEX(Workers!$B$5:$B$2004,MATCH($D780,Workers!$A$5:$A$2004,0)),"NOT FOUND"))</f>
        <v/>
      </c>
      <c r="J780" s="24" t="str">
        <f aca="false">IF($D780="","",IFERROR(INDEX(Workers!$C$5:$C$2004,MATCH($D780,Workers!$A$5:$A$2004,0)),""))</f>
        <v/>
      </c>
      <c r="K780" s="24" t="str">
        <f aca="false">IF($D780="","",IFERROR(IF(INDEX(Workers!$D$5:$D$2004,MATCH($D780,Workers!$A$5:$A$2004,0))=0,"",INDEX(Workers!$D$5:$D$2004,MATCH($D780,Workers!$A$5:$A$2004,0))),""))</f>
        <v/>
      </c>
      <c r="L780" s="24" t="str">
        <f aca="false">IF($D780="","",IFERROR(INDEX(Workers!$E$5:$E$2004,MATCH($D780,Workers!$A$5:$A$2004,0)),""))</f>
        <v/>
      </c>
      <c r="M780" s="26" t="str">
        <f aca="false">IF($D780="","",IFERROR(INDEX(ClientRates!$D$5:$D$500,MATCH($B780&amp;"|"&amp;$L780,ClientRates!$A$5:$A$500,0)),0))</f>
        <v/>
      </c>
      <c r="N780" s="26" t="str">
        <f aca="false">IF($D780="","",IFERROR(INDEX(ClientRates!$E$5:$E$500,MATCH($B780&amp;"|"&amp;$L780,ClientRates!$A$5:$A$500,0)),0))</f>
        <v/>
      </c>
      <c r="O780" s="26" t="str">
        <f aca="false">IF($D780="","",F780*M780+G780*N780)</f>
        <v/>
      </c>
      <c r="P780" s="26" t="str">
        <f aca="false">IF(OR($D780="",$J780&lt;&gt;"Supplier"),"",IFERROR(INDEX(SupplierRates!$D$5:$D$500,MATCH($K780&amp;"|"&amp;$L780,SupplierRates!$A$5:$A$500,0)),0))</f>
        <v/>
      </c>
      <c r="Q780" s="26" t="str">
        <f aca="false">IF(OR($D780="",$J780&lt;&gt;"Supplier"),"",IFERROR(INDEX(SupplierRates!$E$5:$E$500,MATCH($K780&amp;"|"&amp;$L780,SupplierRates!$A$5:$A$500,0)),0))</f>
        <v/>
      </c>
      <c r="R780" s="26" t="n">
        <f aca="false">IF(OR($D780="",$J780&lt;&gt;"Supplier"),0,F780*P780+G780*Q780)</f>
        <v>0</v>
      </c>
      <c r="S780" s="26" t="n">
        <f aca="false">IF(OR($D780="",$J780&lt;&gt;"Own"),0,IFERROR((F780+G780*Settings!$B$13)*INDEX(Workers!$V$5:$V$2004,MATCH($D780,Workers!$A$5:$A$2004,0)),0))</f>
        <v>0</v>
      </c>
      <c r="T780" s="26" t="str">
        <f aca="false">IF($D780="","",O780-R780-S780)</f>
        <v/>
      </c>
    </row>
    <row r="781" customFormat="false" ht="15" hidden="false" customHeight="false" outlineLevel="0" collapsed="false">
      <c r="I781" s="24" t="str">
        <f aca="false">IF($D781="","",IFERROR(INDEX(Workers!$B$5:$B$2004,MATCH($D781,Workers!$A$5:$A$2004,0)),"NOT FOUND"))</f>
        <v/>
      </c>
      <c r="J781" s="24" t="str">
        <f aca="false">IF($D781="","",IFERROR(INDEX(Workers!$C$5:$C$2004,MATCH($D781,Workers!$A$5:$A$2004,0)),""))</f>
        <v/>
      </c>
      <c r="K781" s="24" t="str">
        <f aca="false">IF($D781="","",IFERROR(IF(INDEX(Workers!$D$5:$D$2004,MATCH($D781,Workers!$A$5:$A$2004,0))=0,"",INDEX(Workers!$D$5:$D$2004,MATCH($D781,Workers!$A$5:$A$2004,0))),""))</f>
        <v/>
      </c>
      <c r="L781" s="24" t="str">
        <f aca="false">IF($D781="","",IFERROR(INDEX(Workers!$E$5:$E$2004,MATCH($D781,Workers!$A$5:$A$2004,0)),""))</f>
        <v/>
      </c>
      <c r="M781" s="26" t="str">
        <f aca="false">IF($D781="","",IFERROR(INDEX(ClientRates!$D$5:$D$500,MATCH($B781&amp;"|"&amp;$L781,ClientRates!$A$5:$A$500,0)),0))</f>
        <v/>
      </c>
      <c r="N781" s="26" t="str">
        <f aca="false">IF($D781="","",IFERROR(INDEX(ClientRates!$E$5:$E$500,MATCH($B781&amp;"|"&amp;$L781,ClientRates!$A$5:$A$500,0)),0))</f>
        <v/>
      </c>
      <c r="O781" s="26" t="str">
        <f aca="false">IF($D781="","",F781*M781+G781*N781)</f>
        <v/>
      </c>
      <c r="P781" s="26" t="str">
        <f aca="false">IF(OR($D781="",$J781&lt;&gt;"Supplier"),"",IFERROR(INDEX(SupplierRates!$D$5:$D$500,MATCH($K781&amp;"|"&amp;$L781,SupplierRates!$A$5:$A$500,0)),0))</f>
        <v/>
      </c>
      <c r="Q781" s="26" t="str">
        <f aca="false">IF(OR($D781="",$J781&lt;&gt;"Supplier"),"",IFERROR(INDEX(SupplierRates!$E$5:$E$500,MATCH($K781&amp;"|"&amp;$L781,SupplierRates!$A$5:$A$500,0)),0))</f>
        <v/>
      </c>
      <c r="R781" s="26" t="n">
        <f aca="false">IF(OR($D781="",$J781&lt;&gt;"Supplier"),0,F781*P781+G781*Q781)</f>
        <v>0</v>
      </c>
      <c r="S781" s="26" t="n">
        <f aca="false">IF(OR($D781="",$J781&lt;&gt;"Own"),0,IFERROR((F781+G781*Settings!$B$13)*INDEX(Workers!$V$5:$V$2004,MATCH($D781,Workers!$A$5:$A$2004,0)),0))</f>
        <v>0</v>
      </c>
      <c r="T781" s="26" t="str">
        <f aca="false">IF($D781="","",O781-R781-S781)</f>
        <v/>
      </c>
    </row>
    <row r="782" customFormat="false" ht="15" hidden="false" customHeight="false" outlineLevel="0" collapsed="false">
      <c r="I782" s="24" t="str">
        <f aca="false">IF($D782="","",IFERROR(INDEX(Workers!$B$5:$B$2004,MATCH($D782,Workers!$A$5:$A$2004,0)),"NOT FOUND"))</f>
        <v/>
      </c>
      <c r="J782" s="24" t="str">
        <f aca="false">IF($D782="","",IFERROR(INDEX(Workers!$C$5:$C$2004,MATCH($D782,Workers!$A$5:$A$2004,0)),""))</f>
        <v/>
      </c>
      <c r="K782" s="24" t="str">
        <f aca="false">IF($D782="","",IFERROR(IF(INDEX(Workers!$D$5:$D$2004,MATCH($D782,Workers!$A$5:$A$2004,0))=0,"",INDEX(Workers!$D$5:$D$2004,MATCH($D782,Workers!$A$5:$A$2004,0))),""))</f>
        <v/>
      </c>
      <c r="L782" s="24" t="str">
        <f aca="false">IF($D782="","",IFERROR(INDEX(Workers!$E$5:$E$2004,MATCH($D782,Workers!$A$5:$A$2004,0)),""))</f>
        <v/>
      </c>
      <c r="M782" s="26" t="str">
        <f aca="false">IF($D782="","",IFERROR(INDEX(ClientRates!$D$5:$D$500,MATCH($B782&amp;"|"&amp;$L782,ClientRates!$A$5:$A$500,0)),0))</f>
        <v/>
      </c>
      <c r="N782" s="26" t="str">
        <f aca="false">IF($D782="","",IFERROR(INDEX(ClientRates!$E$5:$E$500,MATCH($B782&amp;"|"&amp;$L782,ClientRates!$A$5:$A$500,0)),0))</f>
        <v/>
      </c>
      <c r="O782" s="26" t="str">
        <f aca="false">IF($D782="","",F782*M782+G782*N782)</f>
        <v/>
      </c>
      <c r="P782" s="26" t="str">
        <f aca="false">IF(OR($D782="",$J782&lt;&gt;"Supplier"),"",IFERROR(INDEX(SupplierRates!$D$5:$D$500,MATCH($K782&amp;"|"&amp;$L782,SupplierRates!$A$5:$A$500,0)),0))</f>
        <v/>
      </c>
      <c r="Q782" s="26" t="str">
        <f aca="false">IF(OR($D782="",$J782&lt;&gt;"Supplier"),"",IFERROR(INDEX(SupplierRates!$E$5:$E$500,MATCH($K782&amp;"|"&amp;$L782,SupplierRates!$A$5:$A$500,0)),0))</f>
        <v/>
      </c>
      <c r="R782" s="26" t="n">
        <f aca="false">IF(OR($D782="",$J782&lt;&gt;"Supplier"),0,F782*P782+G782*Q782)</f>
        <v>0</v>
      </c>
      <c r="S782" s="26" t="n">
        <f aca="false">IF(OR($D782="",$J782&lt;&gt;"Own"),0,IFERROR((F782+G782*Settings!$B$13)*INDEX(Workers!$V$5:$V$2004,MATCH($D782,Workers!$A$5:$A$2004,0)),0))</f>
        <v>0</v>
      </c>
      <c r="T782" s="26" t="str">
        <f aca="false">IF($D782="","",O782-R782-S782)</f>
        <v/>
      </c>
    </row>
    <row r="783" customFormat="false" ht="15" hidden="false" customHeight="false" outlineLevel="0" collapsed="false">
      <c r="I783" s="24" t="str">
        <f aca="false">IF($D783="","",IFERROR(INDEX(Workers!$B$5:$B$2004,MATCH($D783,Workers!$A$5:$A$2004,0)),"NOT FOUND"))</f>
        <v/>
      </c>
      <c r="J783" s="24" t="str">
        <f aca="false">IF($D783="","",IFERROR(INDEX(Workers!$C$5:$C$2004,MATCH($D783,Workers!$A$5:$A$2004,0)),""))</f>
        <v/>
      </c>
      <c r="K783" s="24" t="str">
        <f aca="false">IF($D783="","",IFERROR(IF(INDEX(Workers!$D$5:$D$2004,MATCH($D783,Workers!$A$5:$A$2004,0))=0,"",INDEX(Workers!$D$5:$D$2004,MATCH($D783,Workers!$A$5:$A$2004,0))),""))</f>
        <v/>
      </c>
      <c r="L783" s="24" t="str">
        <f aca="false">IF($D783="","",IFERROR(INDEX(Workers!$E$5:$E$2004,MATCH($D783,Workers!$A$5:$A$2004,0)),""))</f>
        <v/>
      </c>
      <c r="M783" s="26" t="str">
        <f aca="false">IF($D783="","",IFERROR(INDEX(ClientRates!$D$5:$D$500,MATCH($B783&amp;"|"&amp;$L783,ClientRates!$A$5:$A$500,0)),0))</f>
        <v/>
      </c>
      <c r="N783" s="26" t="str">
        <f aca="false">IF($D783="","",IFERROR(INDEX(ClientRates!$E$5:$E$500,MATCH($B783&amp;"|"&amp;$L783,ClientRates!$A$5:$A$500,0)),0))</f>
        <v/>
      </c>
      <c r="O783" s="26" t="str">
        <f aca="false">IF($D783="","",F783*M783+G783*N783)</f>
        <v/>
      </c>
      <c r="P783" s="26" t="str">
        <f aca="false">IF(OR($D783="",$J783&lt;&gt;"Supplier"),"",IFERROR(INDEX(SupplierRates!$D$5:$D$500,MATCH($K783&amp;"|"&amp;$L783,SupplierRates!$A$5:$A$500,0)),0))</f>
        <v/>
      </c>
      <c r="Q783" s="26" t="str">
        <f aca="false">IF(OR($D783="",$J783&lt;&gt;"Supplier"),"",IFERROR(INDEX(SupplierRates!$E$5:$E$500,MATCH($K783&amp;"|"&amp;$L783,SupplierRates!$A$5:$A$500,0)),0))</f>
        <v/>
      </c>
      <c r="R783" s="26" t="n">
        <f aca="false">IF(OR($D783="",$J783&lt;&gt;"Supplier"),0,F783*P783+G783*Q783)</f>
        <v>0</v>
      </c>
      <c r="S783" s="26" t="n">
        <f aca="false">IF(OR($D783="",$J783&lt;&gt;"Own"),0,IFERROR((F783+G783*Settings!$B$13)*INDEX(Workers!$V$5:$V$2004,MATCH($D783,Workers!$A$5:$A$2004,0)),0))</f>
        <v>0</v>
      </c>
      <c r="T783" s="26" t="str">
        <f aca="false">IF($D783="","",O783-R783-S783)</f>
        <v/>
      </c>
    </row>
    <row r="784" customFormat="false" ht="15" hidden="false" customHeight="false" outlineLevel="0" collapsed="false">
      <c r="I784" s="24" t="str">
        <f aca="false">IF($D784="","",IFERROR(INDEX(Workers!$B$5:$B$2004,MATCH($D784,Workers!$A$5:$A$2004,0)),"NOT FOUND"))</f>
        <v/>
      </c>
      <c r="J784" s="24" t="str">
        <f aca="false">IF($D784="","",IFERROR(INDEX(Workers!$C$5:$C$2004,MATCH($D784,Workers!$A$5:$A$2004,0)),""))</f>
        <v/>
      </c>
      <c r="K784" s="24" t="str">
        <f aca="false">IF($D784="","",IFERROR(IF(INDEX(Workers!$D$5:$D$2004,MATCH($D784,Workers!$A$5:$A$2004,0))=0,"",INDEX(Workers!$D$5:$D$2004,MATCH($D784,Workers!$A$5:$A$2004,0))),""))</f>
        <v/>
      </c>
      <c r="L784" s="24" t="str">
        <f aca="false">IF($D784="","",IFERROR(INDEX(Workers!$E$5:$E$2004,MATCH($D784,Workers!$A$5:$A$2004,0)),""))</f>
        <v/>
      </c>
      <c r="M784" s="26" t="str">
        <f aca="false">IF($D784="","",IFERROR(INDEX(ClientRates!$D$5:$D$500,MATCH($B784&amp;"|"&amp;$L784,ClientRates!$A$5:$A$500,0)),0))</f>
        <v/>
      </c>
      <c r="N784" s="26" t="str">
        <f aca="false">IF($D784="","",IFERROR(INDEX(ClientRates!$E$5:$E$500,MATCH($B784&amp;"|"&amp;$L784,ClientRates!$A$5:$A$500,0)),0))</f>
        <v/>
      </c>
      <c r="O784" s="26" t="str">
        <f aca="false">IF($D784="","",F784*M784+G784*N784)</f>
        <v/>
      </c>
      <c r="P784" s="26" t="str">
        <f aca="false">IF(OR($D784="",$J784&lt;&gt;"Supplier"),"",IFERROR(INDEX(SupplierRates!$D$5:$D$500,MATCH($K784&amp;"|"&amp;$L784,SupplierRates!$A$5:$A$500,0)),0))</f>
        <v/>
      </c>
      <c r="Q784" s="26" t="str">
        <f aca="false">IF(OR($D784="",$J784&lt;&gt;"Supplier"),"",IFERROR(INDEX(SupplierRates!$E$5:$E$500,MATCH($K784&amp;"|"&amp;$L784,SupplierRates!$A$5:$A$500,0)),0))</f>
        <v/>
      </c>
      <c r="R784" s="26" t="n">
        <f aca="false">IF(OR($D784="",$J784&lt;&gt;"Supplier"),0,F784*P784+G784*Q784)</f>
        <v>0</v>
      </c>
      <c r="S784" s="26" t="n">
        <f aca="false">IF(OR($D784="",$J784&lt;&gt;"Own"),0,IFERROR((F784+G784*Settings!$B$13)*INDEX(Workers!$V$5:$V$2004,MATCH($D784,Workers!$A$5:$A$2004,0)),0))</f>
        <v>0</v>
      </c>
      <c r="T784" s="26" t="str">
        <f aca="false">IF($D784="","",O784-R784-S784)</f>
        <v/>
      </c>
    </row>
    <row r="785" customFormat="false" ht="15" hidden="false" customHeight="false" outlineLevel="0" collapsed="false">
      <c r="I785" s="24" t="str">
        <f aca="false">IF($D785="","",IFERROR(INDEX(Workers!$B$5:$B$2004,MATCH($D785,Workers!$A$5:$A$2004,0)),"NOT FOUND"))</f>
        <v/>
      </c>
      <c r="J785" s="24" t="str">
        <f aca="false">IF($D785="","",IFERROR(INDEX(Workers!$C$5:$C$2004,MATCH($D785,Workers!$A$5:$A$2004,0)),""))</f>
        <v/>
      </c>
      <c r="K785" s="24" t="str">
        <f aca="false">IF($D785="","",IFERROR(IF(INDEX(Workers!$D$5:$D$2004,MATCH($D785,Workers!$A$5:$A$2004,0))=0,"",INDEX(Workers!$D$5:$D$2004,MATCH($D785,Workers!$A$5:$A$2004,0))),""))</f>
        <v/>
      </c>
      <c r="L785" s="24" t="str">
        <f aca="false">IF($D785="","",IFERROR(INDEX(Workers!$E$5:$E$2004,MATCH($D785,Workers!$A$5:$A$2004,0)),""))</f>
        <v/>
      </c>
      <c r="M785" s="26" t="str">
        <f aca="false">IF($D785="","",IFERROR(INDEX(ClientRates!$D$5:$D$500,MATCH($B785&amp;"|"&amp;$L785,ClientRates!$A$5:$A$500,0)),0))</f>
        <v/>
      </c>
      <c r="N785" s="26" t="str">
        <f aca="false">IF($D785="","",IFERROR(INDEX(ClientRates!$E$5:$E$500,MATCH($B785&amp;"|"&amp;$L785,ClientRates!$A$5:$A$500,0)),0))</f>
        <v/>
      </c>
      <c r="O785" s="26" t="str">
        <f aca="false">IF($D785="","",F785*M785+G785*N785)</f>
        <v/>
      </c>
      <c r="P785" s="26" t="str">
        <f aca="false">IF(OR($D785="",$J785&lt;&gt;"Supplier"),"",IFERROR(INDEX(SupplierRates!$D$5:$D$500,MATCH($K785&amp;"|"&amp;$L785,SupplierRates!$A$5:$A$500,0)),0))</f>
        <v/>
      </c>
      <c r="Q785" s="26" t="str">
        <f aca="false">IF(OR($D785="",$J785&lt;&gt;"Supplier"),"",IFERROR(INDEX(SupplierRates!$E$5:$E$500,MATCH($K785&amp;"|"&amp;$L785,SupplierRates!$A$5:$A$500,0)),0))</f>
        <v/>
      </c>
      <c r="R785" s="26" t="n">
        <f aca="false">IF(OR($D785="",$J785&lt;&gt;"Supplier"),0,F785*P785+G785*Q785)</f>
        <v>0</v>
      </c>
      <c r="S785" s="26" t="n">
        <f aca="false">IF(OR($D785="",$J785&lt;&gt;"Own"),0,IFERROR((F785+G785*Settings!$B$13)*INDEX(Workers!$V$5:$V$2004,MATCH($D785,Workers!$A$5:$A$2004,0)),0))</f>
        <v>0</v>
      </c>
      <c r="T785" s="26" t="str">
        <f aca="false">IF($D785="","",O785-R785-S785)</f>
        <v/>
      </c>
    </row>
    <row r="786" customFormat="false" ht="15" hidden="false" customHeight="false" outlineLevel="0" collapsed="false">
      <c r="I786" s="24" t="str">
        <f aca="false">IF($D786="","",IFERROR(INDEX(Workers!$B$5:$B$2004,MATCH($D786,Workers!$A$5:$A$2004,0)),"NOT FOUND"))</f>
        <v/>
      </c>
      <c r="J786" s="24" t="str">
        <f aca="false">IF($D786="","",IFERROR(INDEX(Workers!$C$5:$C$2004,MATCH($D786,Workers!$A$5:$A$2004,0)),""))</f>
        <v/>
      </c>
      <c r="K786" s="24" t="str">
        <f aca="false">IF($D786="","",IFERROR(IF(INDEX(Workers!$D$5:$D$2004,MATCH($D786,Workers!$A$5:$A$2004,0))=0,"",INDEX(Workers!$D$5:$D$2004,MATCH($D786,Workers!$A$5:$A$2004,0))),""))</f>
        <v/>
      </c>
      <c r="L786" s="24" t="str">
        <f aca="false">IF($D786="","",IFERROR(INDEX(Workers!$E$5:$E$2004,MATCH($D786,Workers!$A$5:$A$2004,0)),""))</f>
        <v/>
      </c>
      <c r="M786" s="26" t="str">
        <f aca="false">IF($D786="","",IFERROR(INDEX(ClientRates!$D$5:$D$500,MATCH($B786&amp;"|"&amp;$L786,ClientRates!$A$5:$A$500,0)),0))</f>
        <v/>
      </c>
      <c r="N786" s="26" t="str">
        <f aca="false">IF($D786="","",IFERROR(INDEX(ClientRates!$E$5:$E$500,MATCH($B786&amp;"|"&amp;$L786,ClientRates!$A$5:$A$500,0)),0))</f>
        <v/>
      </c>
      <c r="O786" s="26" t="str">
        <f aca="false">IF($D786="","",F786*M786+G786*N786)</f>
        <v/>
      </c>
      <c r="P786" s="26" t="str">
        <f aca="false">IF(OR($D786="",$J786&lt;&gt;"Supplier"),"",IFERROR(INDEX(SupplierRates!$D$5:$D$500,MATCH($K786&amp;"|"&amp;$L786,SupplierRates!$A$5:$A$500,0)),0))</f>
        <v/>
      </c>
      <c r="Q786" s="26" t="str">
        <f aca="false">IF(OR($D786="",$J786&lt;&gt;"Supplier"),"",IFERROR(INDEX(SupplierRates!$E$5:$E$500,MATCH($K786&amp;"|"&amp;$L786,SupplierRates!$A$5:$A$500,0)),0))</f>
        <v/>
      </c>
      <c r="R786" s="26" t="n">
        <f aca="false">IF(OR($D786="",$J786&lt;&gt;"Supplier"),0,F786*P786+G786*Q786)</f>
        <v>0</v>
      </c>
      <c r="S786" s="26" t="n">
        <f aca="false">IF(OR($D786="",$J786&lt;&gt;"Own"),0,IFERROR((F786+G786*Settings!$B$13)*INDEX(Workers!$V$5:$V$2004,MATCH($D786,Workers!$A$5:$A$2004,0)),0))</f>
        <v>0</v>
      </c>
      <c r="T786" s="26" t="str">
        <f aca="false">IF($D786="","",O786-R786-S786)</f>
        <v/>
      </c>
    </row>
    <row r="787" customFormat="false" ht="15" hidden="false" customHeight="false" outlineLevel="0" collapsed="false">
      <c r="I787" s="24" t="str">
        <f aca="false">IF($D787="","",IFERROR(INDEX(Workers!$B$5:$B$2004,MATCH($D787,Workers!$A$5:$A$2004,0)),"NOT FOUND"))</f>
        <v/>
      </c>
      <c r="J787" s="24" t="str">
        <f aca="false">IF($D787="","",IFERROR(INDEX(Workers!$C$5:$C$2004,MATCH($D787,Workers!$A$5:$A$2004,0)),""))</f>
        <v/>
      </c>
      <c r="K787" s="24" t="str">
        <f aca="false">IF($D787="","",IFERROR(IF(INDEX(Workers!$D$5:$D$2004,MATCH($D787,Workers!$A$5:$A$2004,0))=0,"",INDEX(Workers!$D$5:$D$2004,MATCH($D787,Workers!$A$5:$A$2004,0))),""))</f>
        <v/>
      </c>
      <c r="L787" s="24" t="str">
        <f aca="false">IF($D787="","",IFERROR(INDEX(Workers!$E$5:$E$2004,MATCH($D787,Workers!$A$5:$A$2004,0)),""))</f>
        <v/>
      </c>
      <c r="M787" s="26" t="str">
        <f aca="false">IF($D787="","",IFERROR(INDEX(ClientRates!$D$5:$D$500,MATCH($B787&amp;"|"&amp;$L787,ClientRates!$A$5:$A$500,0)),0))</f>
        <v/>
      </c>
      <c r="N787" s="26" t="str">
        <f aca="false">IF($D787="","",IFERROR(INDEX(ClientRates!$E$5:$E$500,MATCH($B787&amp;"|"&amp;$L787,ClientRates!$A$5:$A$500,0)),0))</f>
        <v/>
      </c>
      <c r="O787" s="26" t="str">
        <f aca="false">IF($D787="","",F787*M787+G787*N787)</f>
        <v/>
      </c>
      <c r="P787" s="26" t="str">
        <f aca="false">IF(OR($D787="",$J787&lt;&gt;"Supplier"),"",IFERROR(INDEX(SupplierRates!$D$5:$D$500,MATCH($K787&amp;"|"&amp;$L787,SupplierRates!$A$5:$A$500,0)),0))</f>
        <v/>
      </c>
      <c r="Q787" s="26" t="str">
        <f aca="false">IF(OR($D787="",$J787&lt;&gt;"Supplier"),"",IFERROR(INDEX(SupplierRates!$E$5:$E$500,MATCH($K787&amp;"|"&amp;$L787,SupplierRates!$A$5:$A$500,0)),0))</f>
        <v/>
      </c>
      <c r="R787" s="26" t="n">
        <f aca="false">IF(OR($D787="",$J787&lt;&gt;"Supplier"),0,F787*P787+G787*Q787)</f>
        <v>0</v>
      </c>
      <c r="S787" s="26" t="n">
        <f aca="false">IF(OR($D787="",$J787&lt;&gt;"Own"),0,IFERROR((F787+G787*Settings!$B$13)*INDEX(Workers!$V$5:$V$2004,MATCH($D787,Workers!$A$5:$A$2004,0)),0))</f>
        <v>0</v>
      </c>
      <c r="T787" s="26" t="str">
        <f aca="false">IF($D787="","",O787-R787-S787)</f>
        <v/>
      </c>
    </row>
    <row r="788" customFormat="false" ht="15" hidden="false" customHeight="false" outlineLevel="0" collapsed="false">
      <c r="I788" s="24" t="str">
        <f aca="false">IF($D788="","",IFERROR(INDEX(Workers!$B$5:$B$2004,MATCH($D788,Workers!$A$5:$A$2004,0)),"NOT FOUND"))</f>
        <v/>
      </c>
      <c r="J788" s="24" t="str">
        <f aca="false">IF($D788="","",IFERROR(INDEX(Workers!$C$5:$C$2004,MATCH($D788,Workers!$A$5:$A$2004,0)),""))</f>
        <v/>
      </c>
      <c r="K788" s="24" t="str">
        <f aca="false">IF($D788="","",IFERROR(IF(INDEX(Workers!$D$5:$D$2004,MATCH($D788,Workers!$A$5:$A$2004,0))=0,"",INDEX(Workers!$D$5:$D$2004,MATCH($D788,Workers!$A$5:$A$2004,0))),""))</f>
        <v/>
      </c>
      <c r="L788" s="24" t="str">
        <f aca="false">IF($D788="","",IFERROR(INDEX(Workers!$E$5:$E$2004,MATCH($D788,Workers!$A$5:$A$2004,0)),""))</f>
        <v/>
      </c>
      <c r="M788" s="26" t="str">
        <f aca="false">IF($D788="","",IFERROR(INDEX(ClientRates!$D$5:$D$500,MATCH($B788&amp;"|"&amp;$L788,ClientRates!$A$5:$A$500,0)),0))</f>
        <v/>
      </c>
      <c r="N788" s="26" t="str">
        <f aca="false">IF($D788="","",IFERROR(INDEX(ClientRates!$E$5:$E$500,MATCH($B788&amp;"|"&amp;$L788,ClientRates!$A$5:$A$500,0)),0))</f>
        <v/>
      </c>
      <c r="O788" s="26" t="str">
        <f aca="false">IF($D788="","",F788*M788+G788*N788)</f>
        <v/>
      </c>
      <c r="P788" s="26" t="str">
        <f aca="false">IF(OR($D788="",$J788&lt;&gt;"Supplier"),"",IFERROR(INDEX(SupplierRates!$D$5:$D$500,MATCH($K788&amp;"|"&amp;$L788,SupplierRates!$A$5:$A$500,0)),0))</f>
        <v/>
      </c>
      <c r="Q788" s="26" t="str">
        <f aca="false">IF(OR($D788="",$J788&lt;&gt;"Supplier"),"",IFERROR(INDEX(SupplierRates!$E$5:$E$500,MATCH($K788&amp;"|"&amp;$L788,SupplierRates!$A$5:$A$500,0)),0))</f>
        <v/>
      </c>
      <c r="R788" s="26" t="n">
        <f aca="false">IF(OR($D788="",$J788&lt;&gt;"Supplier"),0,F788*P788+G788*Q788)</f>
        <v>0</v>
      </c>
      <c r="S788" s="26" t="n">
        <f aca="false">IF(OR($D788="",$J788&lt;&gt;"Own"),0,IFERROR((F788+G788*Settings!$B$13)*INDEX(Workers!$V$5:$V$2004,MATCH($D788,Workers!$A$5:$A$2004,0)),0))</f>
        <v>0</v>
      </c>
      <c r="T788" s="26" t="str">
        <f aca="false">IF($D788="","",O788-R788-S788)</f>
        <v/>
      </c>
    </row>
    <row r="789" customFormat="false" ht="15" hidden="false" customHeight="false" outlineLevel="0" collapsed="false">
      <c r="I789" s="24" t="str">
        <f aca="false">IF($D789="","",IFERROR(INDEX(Workers!$B$5:$B$2004,MATCH($D789,Workers!$A$5:$A$2004,0)),"NOT FOUND"))</f>
        <v/>
      </c>
      <c r="J789" s="24" t="str">
        <f aca="false">IF($D789="","",IFERROR(INDEX(Workers!$C$5:$C$2004,MATCH($D789,Workers!$A$5:$A$2004,0)),""))</f>
        <v/>
      </c>
      <c r="K789" s="24" t="str">
        <f aca="false">IF($D789="","",IFERROR(IF(INDEX(Workers!$D$5:$D$2004,MATCH($D789,Workers!$A$5:$A$2004,0))=0,"",INDEX(Workers!$D$5:$D$2004,MATCH($D789,Workers!$A$5:$A$2004,0))),""))</f>
        <v/>
      </c>
      <c r="L789" s="24" t="str">
        <f aca="false">IF($D789="","",IFERROR(INDEX(Workers!$E$5:$E$2004,MATCH($D789,Workers!$A$5:$A$2004,0)),""))</f>
        <v/>
      </c>
      <c r="M789" s="26" t="str">
        <f aca="false">IF($D789="","",IFERROR(INDEX(ClientRates!$D$5:$D$500,MATCH($B789&amp;"|"&amp;$L789,ClientRates!$A$5:$A$500,0)),0))</f>
        <v/>
      </c>
      <c r="N789" s="26" t="str">
        <f aca="false">IF($D789="","",IFERROR(INDEX(ClientRates!$E$5:$E$500,MATCH($B789&amp;"|"&amp;$L789,ClientRates!$A$5:$A$500,0)),0))</f>
        <v/>
      </c>
      <c r="O789" s="26" t="str">
        <f aca="false">IF($D789="","",F789*M789+G789*N789)</f>
        <v/>
      </c>
      <c r="P789" s="26" t="str">
        <f aca="false">IF(OR($D789="",$J789&lt;&gt;"Supplier"),"",IFERROR(INDEX(SupplierRates!$D$5:$D$500,MATCH($K789&amp;"|"&amp;$L789,SupplierRates!$A$5:$A$500,0)),0))</f>
        <v/>
      </c>
      <c r="Q789" s="26" t="str">
        <f aca="false">IF(OR($D789="",$J789&lt;&gt;"Supplier"),"",IFERROR(INDEX(SupplierRates!$E$5:$E$500,MATCH($K789&amp;"|"&amp;$L789,SupplierRates!$A$5:$A$500,0)),0))</f>
        <v/>
      </c>
      <c r="R789" s="26" t="n">
        <f aca="false">IF(OR($D789="",$J789&lt;&gt;"Supplier"),0,F789*P789+G789*Q789)</f>
        <v>0</v>
      </c>
      <c r="S789" s="26" t="n">
        <f aca="false">IF(OR($D789="",$J789&lt;&gt;"Own"),0,IFERROR((F789+G789*Settings!$B$13)*INDEX(Workers!$V$5:$V$2004,MATCH($D789,Workers!$A$5:$A$2004,0)),0))</f>
        <v>0</v>
      </c>
      <c r="T789" s="26" t="str">
        <f aca="false">IF($D789="","",O789-R789-S789)</f>
        <v/>
      </c>
    </row>
    <row r="790" customFormat="false" ht="15" hidden="false" customHeight="false" outlineLevel="0" collapsed="false">
      <c r="I790" s="24" t="str">
        <f aca="false">IF($D790="","",IFERROR(INDEX(Workers!$B$5:$B$2004,MATCH($D790,Workers!$A$5:$A$2004,0)),"NOT FOUND"))</f>
        <v/>
      </c>
      <c r="J790" s="24" t="str">
        <f aca="false">IF($D790="","",IFERROR(INDEX(Workers!$C$5:$C$2004,MATCH($D790,Workers!$A$5:$A$2004,0)),""))</f>
        <v/>
      </c>
      <c r="K790" s="24" t="str">
        <f aca="false">IF($D790="","",IFERROR(IF(INDEX(Workers!$D$5:$D$2004,MATCH($D790,Workers!$A$5:$A$2004,0))=0,"",INDEX(Workers!$D$5:$D$2004,MATCH($D790,Workers!$A$5:$A$2004,0))),""))</f>
        <v/>
      </c>
      <c r="L790" s="24" t="str">
        <f aca="false">IF($D790="","",IFERROR(INDEX(Workers!$E$5:$E$2004,MATCH($D790,Workers!$A$5:$A$2004,0)),""))</f>
        <v/>
      </c>
      <c r="M790" s="26" t="str">
        <f aca="false">IF($D790="","",IFERROR(INDEX(ClientRates!$D$5:$D$500,MATCH($B790&amp;"|"&amp;$L790,ClientRates!$A$5:$A$500,0)),0))</f>
        <v/>
      </c>
      <c r="N790" s="26" t="str">
        <f aca="false">IF($D790="","",IFERROR(INDEX(ClientRates!$E$5:$E$500,MATCH($B790&amp;"|"&amp;$L790,ClientRates!$A$5:$A$500,0)),0))</f>
        <v/>
      </c>
      <c r="O790" s="26" t="str">
        <f aca="false">IF($D790="","",F790*M790+G790*N790)</f>
        <v/>
      </c>
      <c r="P790" s="26" t="str">
        <f aca="false">IF(OR($D790="",$J790&lt;&gt;"Supplier"),"",IFERROR(INDEX(SupplierRates!$D$5:$D$500,MATCH($K790&amp;"|"&amp;$L790,SupplierRates!$A$5:$A$500,0)),0))</f>
        <v/>
      </c>
      <c r="Q790" s="26" t="str">
        <f aca="false">IF(OR($D790="",$J790&lt;&gt;"Supplier"),"",IFERROR(INDEX(SupplierRates!$E$5:$E$500,MATCH($K790&amp;"|"&amp;$L790,SupplierRates!$A$5:$A$500,0)),0))</f>
        <v/>
      </c>
      <c r="R790" s="26" t="n">
        <f aca="false">IF(OR($D790="",$J790&lt;&gt;"Supplier"),0,F790*P790+G790*Q790)</f>
        <v>0</v>
      </c>
      <c r="S790" s="26" t="n">
        <f aca="false">IF(OR($D790="",$J790&lt;&gt;"Own"),0,IFERROR((F790+G790*Settings!$B$13)*INDEX(Workers!$V$5:$V$2004,MATCH($D790,Workers!$A$5:$A$2004,0)),0))</f>
        <v>0</v>
      </c>
      <c r="T790" s="26" t="str">
        <f aca="false">IF($D790="","",O790-R790-S790)</f>
        <v/>
      </c>
    </row>
    <row r="791" customFormat="false" ht="15" hidden="false" customHeight="false" outlineLevel="0" collapsed="false">
      <c r="I791" s="24" t="str">
        <f aca="false">IF($D791="","",IFERROR(INDEX(Workers!$B$5:$B$2004,MATCH($D791,Workers!$A$5:$A$2004,0)),"NOT FOUND"))</f>
        <v/>
      </c>
      <c r="J791" s="24" t="str">
        <f aca="false">IF($D791="","",IFERROR(INDEX(Workers!$C$5:$C$2004,MATCH($D791,Workers!$A$5:$A$2004,0)),""))</f>
        <v/>
      </c>
      <c r="K791" s="24" t="str">
        <f aca="false">IF($D791="","",IFERROR(IF(INDEX(Workers!$D$5:$D$2004,MATCH($D791,Workers!$A$5:$A$2004,0))=0,"",INDEX(Workers!$D$5:$D$2004,MATCH($D791,Workers!$A$5:$A$2004,0))),""))</f>
        <v/>
      </c>
      <c r="L791" s="24" t="str">
        <f aca="false">IF($D791="","",IFERROR(INDEX(Workers!$E$5:$E$2004,MATCH($D791,Workers!$A$5:$A$2004,0)),""))</f>
        <v/>
      </c>
      <c r="M791" s="26" t="str">
        <f aca="false">IF($D791="","",IFERROR(INDEX(ClientRates!$D$5:$D$500,MATCH($B791&amp;"|"&amp;$L791,ClientRates!$A$5:$A$500,0)),0))</f>
        <v/>
      </c>
      <c r="N791" s="26" t="str">
        <f aca="false">IF($D791="","",IFERROR(INDEX(ClientRates!$E$5:$E$500,MATCH($B791&amp;"|"&amp;$L791,ClientRates!$A$5:$A$500,0)),0))</f>
        <v/>
      </c>
      <c r="O791" s="26" t="str">
        <f aca="false">IF($D791="","",F791*M791+G791*N791)</f>
        <v/>
      </c>
      <c r="P791" s="26" t="str">
        <f aca="false">IF(OR($D791="",$J791&lt;&gt;"Supplier"),"",IFERROR(INDEX(SupplierRates!$D$5:$D$500,MATCH($K791&amp;"|"&amp;$L791,SupplierRates!$A$5:$A$500,0)),0))</f>
        <v/>
      </c>
      <c r="Q791" s="26" t="str">
        <f aca="false">IF(OR($D791="",$J791&lt;&gt;"Supplier"),"",IFERROR(INDEX(SupplierRates!$E$5:$E$500,MATCH($K791&amp;"|"&amp;$L791,SupplierRates!$A$5:$A$500,0)),0))</f>
        <v/>
      </c>
      <c r="R791" s="26" t="n">
        <f aca="false">IF(OR($D791="",$J791&lt;&gt;"Supplier"),0,F791*P791+G791*Q791)</f>
        <v>0</v>
      </c>
      <c r="S791" s="26" t="n">
        <f aca="false">IF(OR($D791="",$J791&lt;&gt;"Own"),0,IFERROR((F791+G791*Settings!$B$13)*INDEX(Workers!$V$5:$V$2004,MATCH($D791,Workers!$A$5:$A$2004,0)),0))</f>
        <v>0</v>
      </c>
      <c r="T791" s="26" t="str">
        <f aca="false">IF($D791="","",O791-R791-S791)</f>
        <v/>
      </c>
    </row>
    <row r="792" customFormat="false" ht="15" hidden="false" customHeight="false" outlineLevel="0" collapsed="false">
      <c r="I792" s="24" t="str">
        <f aca="false">IF($D792="","",IFERROR(INDEX(Workers!$B$5:$B$2004,MATCH($D792,Workers!$A$5:$A$2004,0)),"NOT FOUND"))</f>
        <v/>
      </c>
      <c r="J792" s="24" t="str">
        <f aca="false">IF($D792="","",IFERROR(INDEX(Workers!$C$5:$C$2004,MATCH($D792,Workers!$A$5:$A$2004,0)),""))</f>
        <v/>
      </c>
      <c r="K792" s="24" t="str">
        <f aca="false">IF($D792="","",IFERROR(IF(INDEX(Workers!$D$5:$D$2004,MATCH($D792,Workers!$A$5:$A$2004,0))=0,"",INDEX(Workers!$D$5:$D$2004,MATCH($D792,Workers!$A$5:$A$2004,0))),""))</f>
        <v/>
      </c>
      <c r="L792" s="24" t="str">
        <f aca="false">IF($D792="","",IFERROR(INDEX(Workers!$E$5:$E$2004,MATCH($D792,Workers!$A$5:$A$2004,0)),""))</f>
        <v/>
      </c>
      <c r="M792" s="26" t="str">
        <f aca="false">IF($D792="","",IFERROR(INDEX(ClientRates!$D$5:$D$500,MATCH($B792&amp;"|"&amp;$L792,ClientRates!$A$5:$A$500,0)),0))</f>
        <v/>
      </c>
      <c r="N792" s="26" t="str">
        <f aca="false">IF($D792="","",IFERROR(INDEX(ClientRates!$E$5:$E$500,MATCH($B792&amp;"|"&amp;$L792,ClientRates!$A$5:$A$500,0)),0))</f>
        <v/>
      </c>
      <c r="O792" s="26" t="str">
        <f aca="false">IF($D792="","",F792*M792+G792*N792)</f>
        <v/>
      </c>
      <c r="P792" s="26" t="str">
        <f aca="false">IF(OR($D792="",$J792&lt;&gt;"Supplier"),"",IFERROR(INDEX(SupplierRates!$D$5:$D$500,MATCH($K792&amp;"|"&amp;$L792,SupplierRates!$A$5:$A$500,0)),0))</f>
        <v/>
      </c>
      <c r="Q792" s="26" t="str">
        <f aca="false">IF(OR($D792="",$J792&lt;&gt;"Supplier"),"",IFERROR(INDEX(SupplierRates!$E$5:$E$500,MATCH($K792&amp;"|"&amp;$L792,SupplierRates!$A$5:$A$500,0)),0))</f>
        <v/>
      </c>
      <c r="R792" s="26" t="n">
        <f aca="false">IF(OR($D792="",$J792&lt;&gt;"Supplier"),0,F792*P792+G792*Q792)</f>
        <v>0</v>
      </c>
      <c r="S792" s="26" t="n">
        <f aca="false">IF(OR($D792="",$J792&lt;&gt;"Own"),0,IFERROR((F792+G792*Settings!$B$13)*INDEX(Workers!$V$5:$V$2004,MATCH($D792,Workers!$A$5:$A$2004,0)),0))</f>
        <v>0</v>
      </c>
      <c r="T792" s="26" t="str">
        <f aca="false">IF($D792="","",O792-R792-S792)</f>
        <v/>
      </c>
    </row>
    <row r="793" customFormat="false" ht="15" hidden="false" customHeight="false" outlineLevel="0" collapsed="false">
      <c r="I793" s="24" t="str">
        <f aca="false">IF($D793="","",IFERROR(INDEX(Workers!$B$5:$B$2004,MATCH($D793,Workers!$A$5:$A$2004,0)),"NOT FOUND"))</f>
        <v/>
      </c>
      <c r="J793" s="24" t="str">
        <f aca="false">IF($D793="","",IFERROR(INDEX(Workers!$C$5:$C$2004,MATCH($D793,Workers!$A$5:$A$2004,0)),""))</f>
        <v/>
      </c>
      <c r="K793" s="24" t="str">
        <f aca="false">IF($D793="","",IFERROR(IF(INDEX(Workers!$D$5:$D$2004,MATCH($D793,Workers!$A$5:$A$2004,0))=0,"",INDEX(Workers!$D$5:$D$2004,MATCH($D793,Workers!$A$5:$A$2004,0))),""))</f>
        <v/>
      </c>
      <c r="L793" s="24" t="str">
        <f aca="false">IF($D793="","",IFERROR(INDEX(Workers!$E$5:$E$2004,MATCH($D793,Workers!$A$5:$A$2004,0)),""))</f>
        <v/>
      </c>
      <c r="M793" s="26" t="str">
        <f aca="false">IF($D793="","",IFERROR(INDEX(ClientRates!$D$5:$D$500,MATCH($B793&amp;"|"&amp;$L793,ClientRates!$A$5:$A$500,0)),0))</f>
        <v/>
      </c>
      <c r="N793" s="26" t="str">
        <f aca="false">IF($D793="","",IFERROR(INDEX(ClientRates!$E$5:$E$500,MATCH($B793&amp;"|"&amp;$L793,ClientRates!$A$5:$A$500,0)),0))</f>
        <v/>
      </c>
      <c r="O793" s="26" t="str">
        <f aca="false">IF($D793="","",F793*M793+G793*N793)</f>
        <v/>
      </c>
      <c r="P793" s="26" t="str">
        <f aca="false">IF(OR($D793="",$J793&lt;&gt;"Supplier"),"",IFERROR(INDEX(SupplierRates!$D$5:$D$500,MATCH($K793&amp;"|"&amp;$L793,SupplierRates!$A$5:$A$500,0)),0))</f>
        <v/>
      </c>
      <c r="Q793" s="26" t="str">
        <f aca="false">IF(OR($D793="",$J793&lt;&gt;"Supplier"),"",IFERROR(INDEX(SupplierRates!$E$5:$E$500,MATCH($K793&amp;"|"&amp;$L793,SupplierRates!$A$5:$A$500,0)),0))</f>
        <v/>
      </c>
      <c r="R793" s="26" t="n">
        <f aca="false">IF(OR($D793="",$J793&lt;&gt;"Supplier"),0,F793*P793+G793*Q793)</f>
        <v>0</v>
      </c>
      <c r="S793" s="26" t="n">
        <f aca="false">IF(OR($D793="",$J793&lt;&gt;"Own"),0,IFERROR((F793+G793*Settings!$B$13)*INDEX(Workers!$V$5:$V$2004,MATCH($D793,Workers!$A$5:$A$2004,0)),0))</f>
        <v>0</v>
      </c>
      <c r="T793" s="26" t="str">
        <f aca="false">IF($D793="","",O793-R793-S793)</f>
        <v/>
      </c>
    </row>
    <row r="794" customFormat="false" ht="15" hidden="false" customHeight="false" outlineLevel="0" collapsed="false">
      <c r="I794" s="24" t="str">
        <f aca="false">IF($D794="","",IFERROR(INDEX(Workers!$B$5:$B$2004,MATCH($D794,Workers!$A$5:$A$2004,0)),"NOT FOUND"))</f>
        <v/>
      </c>
      <c r="J794" s="24" t="str">
        <f aca="false">IF($D794="","",IFERROR(INDEX(Workers!$C$5:$C$2004,MATCH($D794,Workers!$A$5:$A$2004,0)),""))</f>
        <v/>
      </c>
      <c r="K794" s="24" t="str">
        <f aca="false">IF($D794="","",IFERROR(IF(INDEX(Workers!$D$5:$D$2004,MATCH($D794,Workers!$A$5:$A$2004,0))=0,"",INDEX(Workers!$D$5:$D$2004,MATCH($D794,Workers!$A$5:$A$2004,0))),""))</f>
        <v/>
      </c>
      <c r="L794" s="24" t="str">
        <f aca="false">IF($D794="","",IFERROR(INDEX(Workers!$E$5:$E$2004,MATCH($D794,Workers!$A$5:$A$2004,0)),""))</f>
        <v/>
      </c>
      <c r="M794" s="26" t="str">
        <f aca="false">IF($D794="","",IFERROR(INDEX(ClientRates!$D$5:$D$500,MATCH($B794&amp;"|"&amp;$L794,ClientRates!$A$5:$A$500,0)),0))</f>
        <v/>
      </c>
      <c r="N794" s="26" t="str">
        <f aca="false">IF($D794="","",IFERROR(INDEX(ClientRates!$E$5:$E$500,MATCH($B794&amp;"|"&amp;$L794,ClientRates!$A$5:$A$500,0)),0))</f>
        <v/>
      </c>
      <c r="O794" s="26" t="str">
        <f aca="false">IF($D794="","",F794*M794+G794*N794)</f>
        <v/>
      </c>
      <c r="P794" s="26" t="str">
        <f aca="false">IF(OR($D794="",$J794&lt;&gt;"Supplier"),"",IFERROR(INDEX(SupplierRates!$D$5:$D$500,MATCH($K794&amp;"|"&amp;$L794,SupplierRates!$A$5:$A$500,0)),0))</f>
        <v/>
      </c>
      <c r="Q794" s="26" t="str">
        <f aca="false">IF(OR($D794="",$J794&lt;&gt;"Supplier"),"",IFERROR(INDEX(SupplierRates!$E$5:$E$500,MATCH($K794&amp;"|"&amp;$L794,SupplierRates!$A$5:$A$500,0)),0))</f>
        <v/>
      </c>
      <c r="R794" s="26" t="n">
        <f aca="false">IF(OR($D794="",$J794&lt;&gt;"Supplier"),0,F794*P794+G794*Q794)</f>
        <v>0</v>
      </c>
      <c r="S794" s="26" t="n">
        <f aca="false">IF(OR($D794="",$J794&lt;&gt;"Own"),0,IFERROR((F794+G794*Settings!$B$13)*INDEX(Workers!$V$5:$V$2004,MATCH($D794,Workers!$A$5:$A$2004,0)),0))</f>
        <v>0</v>
      </c>
      <c r="T794" s="26" t="str">
        <f aca="false">IF($D794="","",O794-R794-S794)</f>
        <v/>
      </c>
    </row>
    <row r="795" customFormat="false" ht="15" hidden="false" customHeight="false" outlineLevel="0" collapsed="false">
      <c r="I795" s="24" t="str">
        <f aca="false">IF($D795="","",IFERROR(INDEX(Workers!$B$5:$B$2004,MATCH($D795,Workers!$A$5:$A$2004,0)),"NOT FOUND"))</f>
        <v/>
      </c>
      <c r="J795" s="24" t="str">
        <f aca="false">IF($D795="","",IFERROR(INDEX(Workers!$C$5:$C$2004,MATCH($D795,Workers!$A$5:$A$2004,0)),""))</f>
        <v/>
      </c>
      <c r="K795" s="24" t="str">
        <f aca="false">IF($D795="","",IFERROR(IF(INDEX(Workers!$D$5:$D$2004,MATCH($D795,Workers!$A$5:$A$2004,0))=0,"",INDEX(Workers!$D$5:$D$2004,MATCH($D795,Workers!$A$5:$A$2004,0))),""))</f>
        <v/>
      </c>
      <c r="L795" s="24" t="str">
        <f aca="false">IF($D795="","",IFERROR(INDEX(Workers!$E$5:$E$2004,MATCH($D795,Workers!$A$5:$A$2004,0)),""))</f>
        <v/>
      </c>
      <c r="M795" s="26" t="str">
        <f aca="false">IF($D795="","",IFERROR(INDEX(ClientRates!$D$5:$D$500,MATCH($B795&amp;"|"&amp;$L795,ClientRates!$A$5:$A$500,0)),0))</f>
        <v/>
      </c>
      <c r="N795" s="26" t="str">
        <f aca="false">IF($D795="","",IFERROR(INDEX(ClientRates!$E$5:$E$500,MATCH($B795&amp;"|"&amp;$L795,ClientRates!$A$5:$A$500,0)),0))</f>
        <v/>
      </c>
      <c r="O795" s="26" t="str">
        <f aca="false">IF($D795="","",F795*M795+G795*N795)</f>
        <v/>
      </c>
      <c r="P795" s="26" t="str">
        <f aca="false">IF(OR($D795="",$J795&lt;&gt;"Supplier"),"",IFERROR(INDEX(SupplierRates!$D$5:$D$500,MATCH($K795&amp;"|"&amp;$L795,SupplierRates!$A$5:$A$500,0)),0))</f>
        <v/>
      </c>
      <c r="Q795" s="26" t="str">
        <f aca="false">IF(OR($D795="",$J795&lt;&gt;"Supplier"),"",IFERROR(INDEX(SupplierRates!$E$5:$E$500,MATCH($K795&amp;"|"&amp;$L795,SupplierRates!$A$5:$A$500,0)),0))</f>
        <v/>
      </c>
      <c r="R795" s="26" t="n">
        <f aca="false">IF(OR($D795="",$J795&lt;&gt;"Supplier"),0,F795*P795+G795*Q795)</f>
        <v>0</v>
      </c>
      <c r="S795" s="26" t="n">
        <f aca="false">IF(OR($D795="",$J795&lt;&gt;"Own"),0,IFERROR((F795+G795*Settings!$B$13)*INDEX(Workers!$V$5:$V$2004,MATCH($D795,Workers!$A$5:$A$2004,0)),0))</f>
        <v>0</v>
      </c>
      <c r="T795" s="26" t="str">
        <f aca="false">IF($D795="","",O795-R795-S795)</f>
        <v/>
      </c>
    </row>
    <row r="796" customFormat="false" ht="15" hidden="false" customHeight="false" outlineLevel="0" collapsed="false">
      <c r="I796" s="24" t="str">
        <f aca="false">IF($D796="","",IFERROR(INDEX(Workers!$B$5:$B$2004,MATCH($D796,Workers!$A$5:$A$2004,0)),"NOT FOUND"))</f>
        <v/>
      </c>
      <c r="J796" s="24" t="str">
        <f aca="false">IF($D796="","",IFERROR(INDEX(Workers!$C$5:$C$2004,MATCH($D796,Workers!$A$5:$A$2004,0)),""))</f>
        <v/>
      </c>
      <c r="K796" s="24" t="str">
        <f aca="false">IF($D796="","",IFERROR(IF(INDEX(Workers!$D$5:$D$2004,MATCH($D796,Workers!$A$5:$A$2004,0))=0,"",INDEX(Workers!$D$5:$D$2004,MATCH($D796,Workers!$A$5:$A$2004,0))),""))</f>
        <v/>
      </c>
      <c r="L796" s="24" t="str">
        <f aca="false">IF($D796="","",IFERROR(INDEX(Workers!$E$5:$E$2004,MATCH($D796,Workers!$A$5:$A$2004,0)),""))</f>
        <v/>
      </c>
      <c r="M796" s="26" t="str">
        <f aca="false">IF($D796="","",IFERROR(INDEX(ClientRates!$D$5:$D$500,MATCH($B796&amp;"|"&amp;$L796,ClientRates!$A$5:$A$500,0)),0))</f>
        <v/>
      </c>
      <c r="N796" s="26" t="str">
        <f aca="false">IF($D796="","",IFERROR(INDEX(ClientRates!$E$5:$E$500,MATCH($B796&amp;"|"&amp;$L796,ClientRates!$A$5:$A$500,0)),0))</f>
        <v/>
      </c>
      <c r="O796" s="26" t="str">
        <f aca="false">IF($D796="","",F796*M796+G796*N796)</f>
        <v/>
      </c>
      <c r="P796" s="26" t="str">
        <f aca="false">IF(OR($D796="",$J796&lt;&gt;"Supplier"),"",IFERROR(INDEX(SupplierRates!$D$5:$D$500,MATCH($K796&amp;"|"&amp;$L796,SupplierRates!$A$5:$A$500,0)),0))</f>
        <v/>
      </c>
      <c r="Q796" s="26" t="str">
        <f aca="false">IF(OR($D796="",$J796&lt;&gt;"Supplier"),"",IFERROR(INDEX(SupplierRates!$E$5:$E$500,MATCH($K796&amp;"|"&amp;$L796,SupplierRates!$A$5:$A$500,0)),0))</f>
        <v/>
      </c>
      <c r="R796" s="26" t="n">
        <f aca="false">IF(OR($D796="",$J796&lt;&gt;"Supplier"),0,F796*P796+G796*Q796)</f>
        <v>0</v>
      </c>
      <c r="S796" s="26" t="n">
        <f aca="false">IF(OR($D796="",$J796&lt;&gt;"Own"),0,IFERROR((F796+G796*Settings!$B$13)*INDEX(Workers!$V$5:$V$2004,MATCH($D796,Workers!$A$5:$A$2004,0)),0))</f>
        <v>0</v>
      </c>
      <c r="T796" s="26" t="str">
        <f aca="false">IF($D796="","",O796-R796-S796)</f>
        <v/>
      </c>
    </row>
    <row r="797" customFormat="false" ht="15" hidden="false" customHeight="false" outlineLevel="0" collapsed="false">
      <c r="I797" s="24" t="str">
        <f aca="false">IF($D797="","",IFERROR(INDEX(Workers!$B$5:$B$2004,MATCH($D797,Workers!$A$5:$A$2004,0)),"NOT FOUND"))</f>
        <v/>
      </c>
      <c r="J797" s="24" t="str">
        <f aca="false">IF($D797="","",IFERROR(INDEX(Workers!$C$5:$C$2004,MATCH($D797,Workers!$A$5:$A$2004,0)),""))</f>
        <v/>
      </c>
      <c r="K797" s="24" t="str">
        <f aca="false">IF($D797="","",IFERROR(IF(INDEX(Workers!$D$5:$D$2004,MATCH($D797,Workers!$A$5:$A$2004,0))=0,"",INDEX(Workers!$D$5:$D$2004,MATCH($D797,Workers!$A$5:$A$2004,0))),""))</f>
        <v/>
      </c>
      <c r="L797" s="24" t="str">
        <f aca="false">IF($D797="","",IFERROR(INDEX(Workers!$E$5:$E$2004,MATCH($D797,Workers!$A$5:$A$2004,0)),""))</f>
        <v/>
      </c>
      <c r="M797" s="26" t="str">
        <f aca="false">IF($D797="","",IFERROR(INDEX(ClientRates!$D$5:$D$500,MATCH($B797&amp;"|"&amp;$L797,ClientRates!$A$5:$A$500,0)),0))</f>
        <v/>
      </c>
      <c r="N797" s="26" t="str">
        <f aca="false">IF($D797="","",IFERROR(INDEX(ClientRates!$E$5:$E$500,MATCH($B797&amp;"|"&amp;$L797,ClientRates!$A$5:$A$500,0)),0))</f>
        <v/>
      </c>
      <c r="O797" s="26" t="str">
        <f aca="false">IF($D797="","",F797*M797+G797*N797)</f>
        <v/>
      </c>
      <c r="P797" s="26" t="str">
        <f aca="false">IF(OR($D797="",$J797&lt;&gt;"Supplier"),"",IFERROR(INDEX(SupplierRates!$D$5:$D$500,MATCH($K797&amp;"|"&amp;$L797,SupplierRates!$A$5:$A$500,0)),0))</f>
        <v/>
      </c>
      <c r="Q797" s="26" t="str">
        <f aca="false">IF(OR($D797="",$J797&lt;&gt;"Supplier"),"",IFERROR(INDEX(SupplierRates!$E$5:$E$500,MATCH($K797&amp;"|"&amp;$L797,SupplierRates!$A$5:$A$500,0)),0))</f>
        <v/>
      </c>
      <c r="R797" s="26" t="n">
        <f aca="false">IF(OR($D797="",$J797&lt;&gt;"Supplier"),0,F797*P797+G797*Q797)</f>
        <v>0</v>
      </c>
      <c r="S797" s="26" t="n">
        <f aca="false">IF(OR($D797="",$J797&lt;&gt;"Own"),0,IFERROR((F797+G797*Settings!$B$13)*INDEX(Workers!$V$5:$V$2004,MATCH($D797,Workers!$A$5:$A$2004,0)),0))</f>
        <v>0</v>
      </c>
      <c r="T797" s="26" t="str">
        <f aca="false">IF($D797="","",O797-R797-S797)</f>
        <v/>
      </c>
    </row>
    <row r="798" customFormat="false" ht="15" hidden="false" customHeight="false" outlineLevel="0" collapsed="false">
      <c r="I798" s="24" t="str">
        <f aca="false">IF($D798="","",IFERROR(INDEX(Workers!$B$5:$B$2004,MATCH($D798,Workers!$A$5:$A$2004,0)),"NOT FOUND"))</f>
        <v/>
      </c>
      <c r="J798" s="24" t="str">
        <f aca="false">IF($D798="","",IFERROR(INDEX(Workers!$C$5:$C$2004,MATCH($D798,Workers!$A$5:$A$2004,0)),""))</f>
        <v/>
      </c>
      <c r="K798" s="24" t="str">
        <f aca="false">IF($D798="","",IFERROR(IF(INDEX(Workers!$D$5:$D$2004,MATCH($D798,Workers!$A$5:$A$2004,0))=0,"",INDEX(Workers!$D$5:$D$2004,MATCH($D798,Workers!$A$5:$A$2004,0))),""))</f>
        <v/>
      </c>
      <c r="L798" s="24" t="str">
        <f aca="false">IF($D798="","",IFERROR(INDEX(Workers!$E$5:$E$2004,MATCH($D798,Workers!$A$5:$A$2004,0)),""))</f>
        <v/>
      </c>
      <c r="M798" s="26" t="str">
        <f aca="false">IF($D798="","",IFERROR(INDEX(ClientRates!$D$5:$D$500,MATCH($B798&amp;"|"&amp;$L798,ClientRates!$A$5:$A$500,0)),0))</f>
        <v/>
      </c>
      <c r="N798" s="26" t="str">
        <f aca="false">IF($D798="","",IFERROR(INDEX(ClientRates!$E$5:$E$500,MATCH($B798&amp;"|"&amp;$L798,ClientRates!$A$5:$A$500,0)),0))</f>
        <v/>
      </c>
      <c r="O798" s="26" t="str">
        <f aca="false">IF($D798="","",F798*M798+G798*N798)</f>
        <v/>
      </c>
      <c r="P798" s="26" t="str">
        <f aca="false">IF(OR($D798="",$J798&lt;&gt;"Supplier"),"",IFERROR(INDEX(SupplierRates!$D$5:$D$500,MATCH($K798&amp;"|"&amp;$L798,SupplierRates!$A$5:$A$500,0)),0))</f>
        <v/>
      </c>
      <c r="Q798" s="26" t="str">
        <f aca="false">IF(OR($D798="",$J798&lt;&gt;"Supplier"),"",IFERROR(INDEX(SupplierRates!$E$5:$E$500,MATCH($K798&amp;"|"&amp;$L798,SupplierRates!$A$5:$A$500,0)),0))</f>
        <v/>
      </c>
      <c r="R798" s="26" t="n">
        <f aca="false">IF(OR($D798="",$J798&lt;&gt;"Supplier"),0,F798*P798+G798*Q798)</f>
        <v>0</v>
      </c>
      <c r="S798" s="26" t="n">
        <f aca="false">IF(OR($D798="",$J798&lt;&gt;"Own"),0,IFERROR((F798+G798*Settings!$B$13)*INDEX(Workers!$V$5:$V$2004,MATCH($D798,Workers!$A$5:$A$2004,0)),0))</f>
        <v>0</v>
      </c>
      <c r="T798" s="26" t="str">
        <f aca="false">IF($D798="","",O798-R798-S798)</f>
        <v/>
      </c>
    </row>
    <row r="799" customFormat="false" ht="15" hidden="false" customHeight="false" outlineLevel="0" collapsed="false">
      <c r="I799" s="24" t="str">
        <f aca="false">IF($D799="","",IFERROR(INDEX(Workers!$B$5:$B$2004,MATCH($D799,Workers!$A$5:$A$2004,0)),"NOT FOUND"))</f>
        <v/>
      </c>
      <c r="J799" s="24" t="str">
        <f aca="false">IF($D799="","",IFERROR(INDEX(Workers!$C$5:$C$2004,MATCH($D799,Workers!$A$5:$A$2004,0)),""))</f>
        <v/>
      </c>
      <c r="K799" s="24" t="str">
        <f aca="false">IF($D799="","",IFERROR(IF(INDEX(Workers!$D$5:$D$2004,MATCH($D799,Workers!$A$5:$A$2004,0))=0,"",INDEX(Workers!$D$5:$D$2004,MATCH($D799,Workers!$A$5:$A$2004,0))),""))</f>
        <v/>
      </c>
      <c r="L799" s="24" t="str">
        <f aca="false">IF($D799="","",IFERROR(INDEX(Workers!$E$5:$E$2004,MATCH($D799,Workers!$A$5:$A$2004,0)),""))</f>
        <v/>
      </c>
      <c r="M799" s="26" t="str">
        <f aca="false">IF($D799="","",IFERROR(INDEX(ClientRates!$D$5:$D$500,MATCH($B799&amp;"|"&amp;$L799,ClientRates!$A$5:$A$500,0)),0))</f>
        <v/>
      </c>
      <c r="N799" s="26" t="str">
        <f aca="false">IF($D799="","",IFERROR(INDEX(ClientRates!$E$5:$E$500,MATCH($B799&amp;"|"&amp;$L799,ClientRates!$A$5:$A$500,0)),0))</f>
        <v/>
      </c>
      <c r="O799" s="26" t="str">
        <f aca="false">IF($D799="","",F799*M799+G799*N799)</f>
        <v/>
      </c>
      <c r="P799" s="26" t="str">
        <f aca="false">IF(OR($D799="",$J799&lt;&gt;"Supplier"),"",IFERROR(INDEX(SupplierRates!$D$5:$D$500,MATCH($K799&amp;"|"&amp;$L799,SupplierRates!$A$5:$A$500,0)),0))</f>
        <v/>
      </c>
      <c r="Q799" s="26" t="str">
        <f aca="false">IF(OR($D799="",$J799&lt;&gt;"Supplier"),"",IFERROR(INDEX(SupplierRates!$E$5:$E$500,MATCH($K799&amp;"|"&amp;$L799,SupplierRates!$A$5:$A$500,0)),0))</f>
        <v/>
      </c>
      <c r="R799" s="26" t="n">
        <f aca="false">IF(OR($D799="",$J799&lt;&gt;"Supplier"),0,F799*P799+G799*Q799)</f>
        <v>0</v>
      </c>
      <c r="S799" s="26" t="n">
        <f aca="false">IF(OR($D799="",$J799&lt;&gt;"Own"),0,IFERROR((F799+G799*Settings!$B$13)*INDEX(Workers!$V$5:$V$2004,MATCH($D799,Workers!$A$5:$A$2004,0)),0))</f>
        <v>0</v>
      </c>
      <c r="T799" s="26" t="str">
        <f aca="false">IF($D799="","",O799-R799-S799)</f>
        <v/>
      </c>
    </row>
    <row r="800" customFormat="false" ht="15" hidden="false" customHeight="false" outlineLevel="0" collapsed="false">
      <c r="I800" s="24" t="str">
        <f aca="false">IF($D800="","",IFERROR(INDEX(Workers!$B$5:$B$2004,MATCH($D800,Workers!$A$5:$A$2004,0)),"NOT FOUND"))</f>
        <v/>
      </c>
      <c r="J800" s="24" t="str">
        <f aca="false">IF($D800="","",IFERROR(INDEX(Workers!$C$5:$C$2004,MATCH($D800,Workers!$A$5:$A$2004,0)),""))</f>
        <v/>
      </c>
      <c r="K800" s="24" t="str">
        <f aca="false">IF($D800="","",IFERROR(IF(INDEX(Workers!$D$5:$D$2004,MATCH($D800,Workers!$A$5:$A$2004,0))=0,"",INDEX(Workers!$D$5:$D$2004,MATCH($D800,Workers!$A$5:$A$2004,0))),""))</f>
        <v/>
      </c>
      <c r="L800" s="24" t="str">
        <f aca="false">IF($D800="","",IFERROR(INDEX(Workers!$E$5:$E$2004,MATCH($D800,Workers!$A$5:$A$2004,0)),""))</f>
        <v/>
      </c>
      <c r="M800" s="26" t="str">
        <f aca="false">IF($D800="","",IFERROR(INDEX(ClientRates!$D$5:$D$500,MATCH($B800&amp;"|"&amp;$L800,ClientRates!$A$5:$A$500,0)),0))</f>
        <v/>
      </c>
      <c r="N800" s="26" t="str">
        <f aca="false">IF($D800="","",IFERROR(INDEX(ClientRates!$E$5:$E$500,MATCH($B800&amp;"|"&amp;$L800,ClientRates!$A$5:$A$500,0)),0))</f>
        <v/>
      </c>
      <c r="O800" s="26" t="str">
        <f aca="false">IF($D800="","",F800*M800+G800*N800)</f>
        <v/>
      </c>
      <c r="P800" s="26" t="str">
        <f aca="false">IF(OR($D800="",$J800&lt;&gt;"Supplier"),"",IFERROR(INDEX(SupplierRates!$D$5:$D$500,MATCH($K800&amp;"|"&amp;$L800,SupplierRates!$A$5:$A$500,0)),0))</f>
        <v/>
      </c>
      <c r="Q800" s="26" t="str">
        <f aca="false">IF(OR($D800="",$J800&lt;&gt;"Supplier"),"",IFERROR(INDEX(SupplierRates!$E$5:$E$500,MATCH($K800&amp;"|"&amp;$L800,SupplierRates!$A$5:$A$500,0)),0))</f>
        <v/>
      </c>
      <c r="R800" s="26" t="n">
        <f aca="false">IF(OR($D800="",$J800&lt;&gt;"Supplier"),0,F800*P800+G800*Q800)</f>
        <v>0</v>
      </c>
      <c r="S800" s="26" t="n">
        <f aca="false">IF(OR($D800="",$J800&lt;&gt;"Own"),0,IFERROR((F800+G800*Settings!$B$13)*INDEX(Workers!$V$5:$V$2004,MATCH($D800,Workers!$A$5:$A$2004,0)),0))</f>
        <v>0</v>
      </c>
      <c r="T800" s="26" t="str">
        <f aca="false">IF($D800="","",O800-R800-S800)</f>
        <v/>
      </c>
    </row>
    <row r="801" customFormat="false" ht="15" hidden="false" customHeight="false" outlineLevel="0" collapsed="false">
      <c r="I801" s="24" t="str">
        <f aca="false">IF($D801="","",IFERROR(INDEX(Workers!$B$5:$B$2004,MATCH($D801,Workers!$A$5:$A$2004,0)),"NOT FOUND"))</f>
        <v/>
      </c>
      <c r="J801" s="24" t="str">
        <f aca="false">IF($D801="","",IFERROR(INDEX(Workers!$C$5:$C$2004,MATCH($D801,Workers!$A$5:$A$2004,0)),""))</f>
        <v/>
      </c>
      <c r="K801" s="24" t="str">
        <f aca="false">IF($D801="","",IFERROR(IF(INDEX(Workers!$D$5:$D$2004,MATCH($D801,Workers!$A$5:$A$2004,0))=0,"",INDEX(Workers!$D$5:$D$2004,MATCH($D801,Workers!$A$5:$A$2004,0))),""))</f>
        <v/>
      </c>
      <c r="L801" s="24" t="str">
        <f aca="false">IF($D801="","",IFERROR(INDEX(Workers!$E$5:$E$2004,MATCH($D801,Workers!$A$5:$A$2004,0)),""))</f>
        <v/>
      </c>
      <c r="M801" s="26" t="str">
        <f aca="false">IF($D801="","",IFERROR(INDEX(ClientRates!$D$5:$D$500,MATCH($B801&amp;"|"&amp;$L801,ClientRates!$A$5:$A$500,0)),0))</f>
        <v/>
      </c>
      <c r="N801" s="26" t="str">
        <f aca="false">IF($D801="","",IFERROR(INDEX(ClientRates!$E$5:$E$500,MATCH($B801&amp;"|"&amp;$L801,ClientRates!$A$5:$A$500,0)),0))</f>
        <v/>
      </c>
      <c r="O801" s="26" t="str">
        <f aca="false">IF($D801="","",F801*M801+G801*N801)</f>
        <v/>
      </c>
      <c r="P801" s="26" t="str">
        <f aca="false">IF(OR($D801="",$J801&lt;&gt;"Supplier"),"",IFERROR(INDEX(SupplierRates!$D$5:$D$500,MATCH($K801&amp;"|"&amp;$L801,SupplierRates!$A$5:$A$500,0)),0))</f>
        <v/>
      </c>
      <c r="Q801" s="26" t="str">
        <f aca="false">IF(OR($D801="",$J801&lt;&gt;"Supplier"),"",IFERROR(INDEX(SupplierRates!$E$5:$E$500,MATCH($K801&amp;"|"&amp;$L801,SupplierRates!$A$5:$A$500,0)),0))</f>
        <v/>
      </c>
      <c r="R801" s="26" t="n">
        <f aca="false">IF(OR($D801="",$J801&lt;&gt;"Supplier"),0,F801*P801+G801*Q801)</f>
        <v>0</v>
      </c>
      <c r="S801" s="26" t="n">
        <f aca="false">IF(OR($D801="",$J801&lt;&gt;"Own"),0,IFERROR((F801+G801*Settings!$B$13)*INDEX(Workers!$V$5:$V$2004,MATCH($D801,Workers!$A$5:$A$2004,0)),0))</f>
        <v>0</v>
      </c>
      <c r="T801" s="26" t="str">
        <f aca="false">IF($D801="","",O801-R801-S801)</f>
        <v/>
      </c>
    </row>
    <row r="802" customFormat="false" ht="15" hidden="false" customHeight="false" outlineLevel="0" collapsed="false">
      <c r="I802" s="24" t="str">
        <f aca="false">IF($D802="","",IFERROR(INDEX(Workers!$B$5:$B$2004,MATCH($D802,Workers!$A$5:$A$2004,0)),"NOT FOUND"))</f>
        <v/>
      </c>
      <c r="J802" s="24" t="str">
        <f aca="false">IF($D802="","",IFERROR(INDEX(Workers!$C$5:$C$2004,MATCH($D802,Workers!$A$5:$A$2004,0)),""))</f>
        <v/>
      </c>
      <c r="K802" s="24" t="str">
        <f aca="false">IF($D802="","",IFERROR(IF(INDEX(Workers!$D$5:$D$2004,MATCH($D802,Workers!$A$5:$A$2004,0))=0,"",INDEX(Workers!$D$5:$D$2004,MATCH($D802,Workers!$A$5:$A$2004,0))),""))</f>
        <v/>
      </c>
      <c r="L802" s="24" t="str">
        <f aca="false">IF($D802="","",IFERROR(INDEX(Workers!$E$5:$E$2004,MATCH($D802,Workers!$A$5:$A$2004,0)),""))</f>
        <v/>
      </c>
      <c r="M802" s="26" t="str">
        <f aca="false">IF($D802="","",IFERROR(INDEX(ClientRates!$D$5:$D$500,MATCH($B802&amp;"|"&amp;$L802,ClientRates!$A$5:$A$500,0)),0))</f>
        <v/>
      </c>
      <c r="N802" s="26" t="str">
        <f aca="false">IF($D802="","",IFERROR(INDEX(ClientRates!$E$5:$E$500,MATCH($B802&amp;"|"&amp;$L802,ClientRates!$A$5:$A$500,0)),0))</f>
        <v/>
      </c>
      <c r="O802" s="26" t="str">
        <f aca="false">IF($D802="","",F802*M802+G802*N802)</f>
        <v/>
      </c>
      <c r="P802" s="26" t="str">
        <f aca="false">IF(OR($D802="",$J802&lt;&gt;"Supplier"),"",IFERROR(INDEX(SupplierRates!$D$5:$D$500,MATCH($K802&amp;"|"&amp;$L802,SupplierRates!$A$5:$A$500,0)),0))</f>
        <v/>
      </c>
      <c r="Q802" s="26" t="str">
        <f aca="false">IF(OR($D802="",$J802&lt;&gt;"Supplier"),"",IFERROR(INDEX(SupplierRates!$E$5:$E$500,MATCH($K802&amp;"|"&amp;$L802,SupplierRates!$A$5:$A$500,0)),0))</f>
        <v/>
      </c>
      <c r="R802" s="26" t="n">
        <f aca="false">IF(OR($D802="",$J802&lt;&gt;"Supplier"),0,F802*P802+G802*Q802)</f>
        <v>0</v>
      </c>
      <c r="S802" s="26" t="n">
        <f aca="false">IF(OR($D802="",$J802&lt;&gt;"Own"),0,IFERROR((F802+G802*Settings!$B$13)*INDEX(Workers!$V$5:$V$2004,MATCH($D802,Workers!$A$5:$A$2004,0)),0))</f>
        <v>0</v>
      </c>
      <c r="T802" s="26" t="str">
        <f aca="false">IF($D802="","",O802-R802-S802)</f>
        <v/>
      </c>
    </row>
    <row r="803" customFormat="false" ht="15" hidden="false" customHeight="false" outlineLevel="0" collapsed="false">
      <c r="I803" s="24" t="str">
        <f aca="false">IF($D803="","",IFERROR(INDEX(Workers!$B$5:$B$2004,MATCH($D803,Workers!$A$5:$A$2004,0)),"NOT FOUND"))</f>
        <v/>
      </c>
      <c r="J803" s="24" t="str">
        <f aca="false">IF($D803="","",IFERROR(INDEX(Workers!$C$5:$C$2004,MATCH($D803,Workers!$A$5:$A$2004,0)),""))</f>
        <v/>
      </c>
      <c r="K803" s="24" t="str">
        <f aca="false">IF($D803="","",IFERROR(IF(INDEX(Workers!$D$5:$D$2004,MATCH($D803,Workers!$A$5:$A$2004,0))=0,"",INDEX(Workers!$D$5:$D$2004,MATCH($D803,Workers!$A$5:$A$2004,0))),""))</f>
        <v/>
      </c>
      <c r="L803" s="24" t="str">
        <f aca="false">IF($D803="","",IFERROR(INDEX(Workers!$E$5:$E$2004,MATCH($D803,Workers!$A$5:$A$2004,0)),""))</f>
        <v/>
      </c>
      <c r="M803" s="26" t="str">
        <f aca="false">IF($D803="","",IFERROR(INDEX(ClientRates!$D$5:$D$500,MATCH($B803&amp;"|"&amp;$L803,ClientRates!$A$5:$A$500,0)),0))</f>
        <v/>
      </c>
      <c r="N803" s="26" t="str">
        <f aca="false">IF($D803="","",IFERROR(INDEX(ClientRates!$E$5:$E$500,MATCH($B803&amp;"|"&amp;$L803,ClientRates!$A$5:$A$500,0)),0))</f>
        <v/>
      </c>
      <c r="O803" s="26" t="str">
        <f aca="false">IF($D803="","",F803*M803+G803*N803)</f>
        <v/>
      </c>
      <c r="P803" s="26" t="str">
        <f aca="false">IF(OR($D803="",$J803&lt;&gt;"Supplier"),"",IFERROR(INDEX(SupplierRates!$D$5:$D$500,MATCH($K803&amp;"|"&amp;$L803,SupplierRates!$A$5:$A$500,0)),0))</f>
        <v/>
      </c>
      <c r="Q803" s="26" t="str">
        <f aca="false">IF(OR($D803="",$J803&lt;&gt;"Supplier"),"",IFERROR(INDEX(SupplierRates!$E$5:$E$500,MATCH($K803&amp;"|"&amp;$L803,SupplierRates!$A$5:$A$500,0)),0))</f>
        <v/>
      </c>
      <c r="R803" s="26" t="n">
        <f aca="false">IF(OR($D803="",$J803&lt;&gt;"Supplier"),0,F803*P803+G803*Q803)</f>
        <v>0</v>
      </c>
      <c r="S803" s="26" t="n">
        <f aca="false">IF(OR($D803="",$J803&lt;&gt;"Own"),0,IFERROR((F803+G803*Settings!$B$13)*INDEX(Workers!$V$5:$V$2004,MATCH($D803,Workers!$A$5:$A$2004,0)),0))</f>
        <v>0</v>
      </c>
      <c r="T803" s="26" t="str">
        <f aca="false">IF($D803="","",O803-R803-S803)</f>
        <v/>
      </c>
    </row>
    <row r="804" customFormat="false" ht="15" hidden="false" customHeight="false" outlineLevel="0" collapsed="false">
      <c r="I804" s="24" t="str">
        <f aca="false">IF($D804="","",IFERROR(INDEX(Workers!$B$5:$B$2004,MATCH($D804,Workers!$A$5:$A$2004,0)),"NOT FOUND"))</f>
        <v/>
      </c>
      <c r="J804" s="24" t="str">
        <f aca="false">IF($D804="","",IFERROR(INDEX(Workers!$C$5:$C$2004,MATCH($D804,Workers!$A$5:$A$2004,0)),""))</f>
        <v/>
      </c>
      <c r="K804" s="24" t="str">
        <f aca="false">IF($D804="","",IFERROR(IF(INDEX(Workers!$D$5:$D$2004,MATCH($D804,Workers!$A$5:$A$2004,0))=0,"",INDEX(Workers!$D$5:$D$2004,MATCH($D804,Workers!$A$5:$A$2004,0))),""))</f>
        <v/>
      </c>
      <c r="L804" s="24" t="str">
        <f aca="false">IF($D804="","",IFERROR(INDEX(Workers!$E$5:$E$2004,MATCH($D804,Workers!$A$5:$A$2004,0)),""))</f>
        <v/>
      </c>
      <c r="M804" s="26" t="str">
        <f aca="false">IF($D804="","",IFERROR(INDEX(ClientRates!$D$5:$D$500,MATCH($B804&amp;"|"&amp;$L804,ClientRates!$A$5:$A$500,0)),0))</f>
        <v/>
      </c>
      <c r="N804" s="26" t="str">
        <f aca="false">IF($D804="","",IFERROR(INDEX(ClientRates!$E$5:$E$500,MATCH($B804&amp;"|"&amp;$L804,ClientRates!$A$5:$A$500,0)),0))</f>
        <v/>
      </c>
      <c r="O804" s="26" t="str">
        <f aca="false">IF($D804="","",F804*M804+G804*N804)</f>
        <v/>
      </c>
      <c r="P804" s="26" t="str">
        <f aca="false">IF(OR($D804="",$J804&lt;&gt;"Supplier"),"",IFERROR(INDEX(SupplierRates!$D$5:$D$500,MATCH($K804&amp;"|"&amp;$L804,SupplierRates!$A$5:$A$500,0)),0))</f>
        <v/>
      </c>
      <c r="Q804" s="26" t="str">
        <f aca="false">IF(OR($D804="",$J804&lt;&gt;"Supplier"),"",IFERROR(INDEX(SupplierRates!$E$5:$E$500,MATCH($K804&amp;"|"&amp;$L804,SupplierRates!$A$5:$A$500,0)),0))</f>
        <v/>
      </c>
      <c r="R804" s="26" t="n">
        <f aca="false">IF(OR($D804="",$J804&lt;&gt;"Supplier"),0,F804*P804+G804*Q804)</f>
        <v>0</v>
      </c>
      <c r="S804" s="26" t="n">
        <f aca="false">IF(OR($D804="",$J804&lt;&gt;"Own"),0,IFERROR((F804+G804*Settings!$B$13)*INDEX(Workers!$V$5:$V$2004,MATCH($D804,Workers!$A$5:$A$2004,0)),0))</f>
        <v>0</v>
      </c>
      <c r="T804" s="26" t="str">
        <f aca="false">IF($D804="","",O804-R804-S804)</f>
        <v/>
      </c>
    </row>
    <row r="805" customFormat="false" ht="15" hidden="false" customHeight="false" outlineLevel="0" collapsed="false">
      <c r="I805" s="24" t="str">
        <f aca="false">IF($D805="","",IFERROR(INDEX(Workers!$B$5:$B$2004,MATCH($D805,Workers!$A$5:$A$2004,0)),"NOT FOUND"))</f>
        <v/>
      </c>
      <c r="J805" s="24" t="str">
        <f aca="false">IF($D805="","",IFERROR(INDEX(Workers!$C$5:$C$2004,MATCH($D805,Workers!$A$5:$A$2004,0)),""))</f>
        <v/>
      </c>
      <c r="K805" s="24" t="str">
        <f aca="false">IF($D805="","",IFERROR(IF(INDEX(Workers!$D$5:$D$2004,MATCH($D805,Workers!$A$5:$A$2004,0))=0,"",INDEX(Workers!$D$5:$D$2004,MATCH($D805,Workers!$A$5:$A$2004,0))),""))</f>
        <v/>
      </c>
      <c r="L805" s="24" t="str">
        <f aca="false">IF($D805="","",IFERROR(INDEX(Workers!$E$5:$E$2004,MATCH($D805,Workers!$A$5:$A$2004,0)),""))</f>
        <v/>
      </c>
      <c r="M805" s="26" t="str">
        <f aca="false">IF($D805="","",IFERROR(INDEX(ClientRates!$D$5:$D$500,MATCH($B805&amp;"|"&amp;$L805,ClientRates!$A$5:$A$500,0)),0))</f>
        <v/>
      </c>
      <c r="N805" s="26" t="str">
        <f aca="false">IF($D805="","",IFERROR(INDEX(ClientRates!$E$5:$E$500,MATCH($B805&amp;"|"&amp;$L805,ClientRates!$A$5:$A$500,0)),0))</f>
        <v/>
      </c>
      <c r="O805" s="26" t="str">
        <f aca="false">IF($D805="","",F805*M805+G805*N805)</f>
        <v/>
      </c>
      <c r="P805" s="26" t="str">
        <f aca="false">IF(OR($D805="",$J805&lt;&gt;"Supplier"),"",IFERROR(INDEX(SupplierRates!$D$5:$D$500,MATCH($K805&amp;"|"&amp;$L805,SupplierRates!$A$5:$A$500,0)),0))</f>
        <v/>
      </c>
      <c r="Q805" s="26" t="str">
        <f aca="false">IF(OR($D805="",$J805&lt;&gt;"Supplier"),"",IFERROR(INDEX(SupplierRates!$E$5:$E$500,MATCH($K805&amp;"|"&amp;$L805,SupplierRates!$A$5:$A$500,0)),0))</f>
        <v/>
      </c>
      <c r="R805" s="26" t="n">
        <f aca="false">IF(OR($D805="",$J805&lt;&gt;"Supplier"),0,F805*P805+G805*Q805)</f>
        <v>0</v>
      </c>
      <c r="S805" s="26" t="n">
        <f aca="false">IF(OR($D805="",$J805&lt;&gt;"Own"),0,IFERROR((F805+G805*Settings!$B$13)*INDEX(Workers!$V$5:$V$2004,MATCH($D805,Workers!$A$5:$A$2004,0)),0))</f>
        <v>0</v>
      </c>
      <c r="T805" s="26" t="str">
        <f aca="false">IF($D805="","",O805-R805-S805)</f>
        <v/>
      </c>
    </row>
    <row r="806" customFormat="false" ht="15" hidden="false" customHeight="false" outlineLevel="0" collapsed="false">
      <c r="I806" s="24" t="str">
        <f aca="false">IF($D806="","",IFERROR(INDEX(Workers!$B$5:$B$2004,MATCH($D806,Workers!$A$5:$A$2004,0)),"NOT FOUND"))</f>
        <v/>
      </c>
      <c r="J806" s="24" t="str">
        <f aca="false">IF($D806="","",IFERROR(INDEX(Workers!$C$5:$C$2004,MATCH($D806,Workers!$A$5:$A$2004,0)),""))</f>
        <v/>
      </c>
      <c r="K806" s="24" t="str">
        <f aca="false">IF($D806="","",IFERROR(IF(INDEX(Workers!$D$5:$D$2004,MATCH($D806,Workers!$A$5:$A$2004,0))=0,"",INDEX(Workers!$D$5:$D$2004,MATCH($D806,Workers!$A$5:$A$2004,0))),""))</f>
        <v/>
      </c>
      <c r="L806" s="24" t="str">
        <f aca="false">IF($D806="","",IFERROR(INDEX(Workers!$E$5:$E$2004,MATCH($D806,Workers!$A$5:$A$2004,0)),""))</f>
        <v/>
      </c>
      <c r="M806" s="26" t="str">
        <f aca="false">IF($D806="","",IFERROR(INDEX(ClientRates!$D$5:$D$500,MATCH($B806&amp;"|"&amp;$L806,ClientRates!$A$5:$A$500,0)),0))</f>
        <v/>
      </c>
      <c r="N806" s="26" t="str">
        <f aca="false">IF($D806="","",IFERROR(INDEX(ClientRates!$E$5:$E$500,MATCH($B806&amp;"|"&amp;$L806,ClientRates!$A$5:$A$500,0)),0))</f>
        <v/>
      </c>
      <c r="O806" s="26" t="str">
        <f aca="false">IF($D806="","",F806*M806+G806*N806)</f>
        <v/>
      </c>
      <c r="P806" s="26" t="str">
        <f aca="false">IF(OR($D806="",$J806&lt;&gt;"Supplier"),"",IFERROR(INDEX(SupplierRates!$D$5:$D$500,MATCH($K806&amp;"|"&amp;$L806,SupplierRates!$A$5:$A$500,0)),0))</f>
        <v/>
      </c>
      <c r="Q806" s="26" t="str">
        <f aca="false">IF(OR($D806="",$J806&lt;&gt;"Supplier"),"",IFERROR(INDEX(SupplierRates!$E$5:$E$500,MATCH($K806&amp;"|"&amp;$L806,SupplierRates!$A$5:$A$500,0)),0))</f>
        <v/>
      </c>
      <c r="R806" s="26" t="n">
        <f aca="false">IF(OR($D806="",$J806&lt;&gt;"Supplier"),0,F806*P806+G806*Q806)</f>
        <v>0</v>
      </c>
      <c r="S806" s="26" t="n">
        <f aca="false">IF(OR($D806="",$J806&lt;&gt;"Own"),0,IFERROR((F806+G806*Settings!$B$13)*INDEX(Workers!$V$5:$V$2004,MATCH($D806,Workers!$A$5:$A$2004,0)),0))</f>
        <v>0</v>
      </c>
      <c r="T806" s="26" t="str">
        <f aca="false">IF($D806="","",O806-R806-S806)</f>
        <v/>
      </c>
    </row>
    <row r="807" customFormat="false" ht="15" hidden="false" customHeight="false" outlineLevel="0" collapsed="false">
      <c r="I807" s="24" t="str">
        <f aca="false">IF($D807="","",IFERROR(INDEX(Workers!$B$5:$B$2004,MATCH($D807,Workers!$A$5:$A$2004,0)),"NOT FOUND"))</f>
        <v/>
      </c>
      <c r="J807" s="24" t="str">
        <f aca="false">IF($D807="","",IFERROR(INDEX(Workers!$C$5:$C$2004,MATCH($D807,Workers!$A$5:$A$2004,0)),""))</f>
        <v/>
      </c>
      <c r="K807" s="24" t="str">
        <f aca="false">IF($D807="","",IFERROR(IF(INDEX(Workers!$D$5:$D$2004,MATCH($D807,Workers!$A$5:$A$2004,0))=0,"",INDEX(Workers!$D$5:$D$2004,MATCH($D807,Workers!$A$5:$A$2004,0))),""))</f>
        <v/>
      </c>
      <c r="L807" s="24" t="str">
        <f aca="false">IF($D807="","",IFERROR(INDEX(Workers!$E$5:$E$2004,MATCH($D807,Workers!$A$5:$A$2004,0)),""))</f>
        <v/>
      </c>
      <c r="M807" s="26" t="str">
        <f aca="false">IF($D807="","",IFERROR(INDEX(ClientRates!$D$5:$D$500,MATCH($B807&amp;"|"&amp;$L807,ClientRates!$A$5:$A$500,0)),0))</f>
        <v/>
      </c>
      <c r="N807" s="26" t="str">
        <f aca="false">IF($D807="","",IFERROR(INDEX(ClientRates!$E$5:$E$500,MATCH($B807&amp;"|"&amp;$L807,ClientRates!$A$5:$A$500,0)),0))</f>
        <v/>
      </c>
      <c r="O807" s="26" t="str">
        <f aca="false">IF($D807="","",F807*M807+G807*N807)</f>
        <v/>
      </c>
      <c r="P807" s="26" t="str">
        <f aca="false">IF(OR($D807="",$J807&lt;&gt;"Supplier"),"",IFERROR(INDEX(SupplierRates!$D$5:$D$500,MATCH($K807&amp;"|"&amp;$L807,SupplierRates!$A$5:$A$500,0)),0))</f>
        <v/>
      </c>
      <c r="Q807" s="26" t="str">
        <f aca="false">IF(OR($D807="",$J807&lt;&gt;"Supplier"),"",IFERROR(INDEX(SupplierRates!$E$5:$E$500,MATCH($K807&amp;"|"&amp;$L807,SupplierRates!$A$5:$A$500,0)),0))</f>
        <v/>
      </c>
      <c r="R807" s="26" t="n">
        <f aca="false">IF(OR($D807="",$J807&lt;&gt;"Supplier"),0,F807*P807+G807*Q807)</f>
        <v>0</v>
      </c>
      <c r="S807" s="26" t="n">
        <f aca="false">IF(OR($D807="",$J807&lt;&gt;"Own"),0,IFERROR((F807+G807*Settings!$B$13)*INDEX(Workers!$V$5:$V$2004,MATCH($D807,Workers!$A$5:$A$2004,0)),0))</f>
        <v>0</v>
      </c>
      <c r="T807" s="26" t="str">
        <f aca="false">IF($D807="","",O807-R807-S807)</f>
        <v/>
      </c>
    </row>
    <row r="808" customFormat="false" ht="15" hidden="false" customHeight="false" outlineLevel="0" collapsed="false">
      <c r="I808" s="24" t="str">
        <f aca="false">IF($D808="","",IFERROR(INDEX(Workers!$B$5:$B$2004,MATCH($D808,Workers!$A$5:$A$2004,0)),"NOT FOUND"))</f>
        <v/>
      </c>
      <c r="J808" s="24" t="str">
        <f aca="false">IF($D808="","",IFERROR(INDEX(Workers!$C$5:$C$2004,MATCH($D808,Workers!$A$5:$A$2004,0)),""))</f>
        <v/>
      </c>
      <c r="K808" s="24" t="str">
        <f aca="false">IF($D808="","",IFERROR(IF(INDEX(Workers!$D$5:$D$2004,MATCH($D808,Workers!$A$5:$A$2004,0))=0,"",INDEX(Workers!$D$5:$D$2004,MATCH($D808,Workers!$A$5:$A$2004,0))),""))</f>
        <v/>
      </c>
      <c r="L808" s="24" t="str">
        <f aca="false">IF($D808="","",IFERROR(INDEX(Workers!$E$5:$E$2004,MATCH($D808,Workers!$A$5:$A$2004,0)),""))</f>
        <v/>
      </c>
      <c r="M808" s="26" t="str">
        <f aca="false">IF($D808="","",IFERROR(INDEX(ClientRates!$D$5:$D$500,MATCH($B808&amp;"|"&amp;$L808,ClientRates!$A$5:$A$500,0)),0))</f>
        <v/>
      </c>
      <c r="N808" s="26" t="str">
        <f aca="false">IF($D808="","",IFERROR(INDEX(ClientRates!$E$5:$E$500,MATCH($B808&amp;"|"&amp;$L808,ClientRates!$A$5:$A$500,0)),0))</f>
        <v/>
      </c>
      <c r="O808" s="26" t="str">
        <f aca="false">IF($D808="","",F808*M808+G808*N808)</f>
        <v/>
      </c>
      <c r="P808" s="26" t="str">
        <f aca="false">IF(OR($D808="",$J808&lt;&gt;"Supplier"),"",IFERROR(INDEX(SupplierRates!$D$5:$D$500,MATCH($K808&amp;"|"&amp;$L808,SupplierRates!$A$5:$A$500,0)),0))</f>
        <v/>
      </c>
      <c r="Q808" s="26" t="str">
        <f aca="false">IF(OR($D808="",$J808&lt;&gt;"Supplier"),"",IFERROR(INDEX(SupplierRates!$E$5:$E$500,MATCH($K808&amp;"|"&amp;$L808,SupplierRates!$A$5:$A$500,0)),0))</f>
        <v/>
      </c>
      <c r="R808" s="26" t="n">
        <f aca="false">IF(OR($D808="",$J808&lt;&gt;"Supplier"),0,F808*P808+G808*Q808)</f>
        <v>0</v>
      </c>
      <c r="S808" s="26" t="n">
        <f aca="false">IF(OR($D808="",$J808&lt;&gt;"Own"),0,IFERROR((F808+G808*Settings!$B$13)*INDEX(Workers!$V$5:$V$2004,MATCH($D808,Workers!$A$5:$A$2004,0)),0))</f>
        <v>0</v>
      </c>
      <c r="T808" s="26" t="str">
        <f aca="false">IF($D808="","",O808-R808-S808)</f>
        <v/>
      </c>
    </row>
    <row r="809" customFormat="false" ht="15" hidden="false" customHeight="false" outlineLevel="0" collapsed="false">
      <c r="I809" s="24" t="str">
        <f aca="false">IF($D809="","",IFERROR(INDEX(Workers!$B$5:$B$2004,MATCH($D809,Workers!$A$5:$A$2004,0)),"NOT FOUND"))</f>
        <v/>
      </c>
      <c r="J809" s="24" t="str">
        <f aca="false">IF($D809="","",IFERROR(INDEX(Workers!$C$5:$C$2004,MATCH($D809,Workers!$A$5:$A$2004,0)),""))</f>
        <v/>
      </c>
      <c r="K809" s="24" t="str">
        <f aca="false">IF($D809="","",IFERROR(IF(INDEX(Workers!$D$5:$D$2004,MATCH($D809,Workers!$A$5:$A$2004,0))=0,"",INDEX(Workers!$D$5:$D$2004,MATCH($D809,Workers!$A$5:$A$2004,0))),""))</f>
        <v/>
      </c>
      <c r="L809" s="24" t="str">
        <f aca="false">IF($D809="","",IFERROR(INDEX(Workers!$E$5:$E$2004,MATCH($D809,Workers!$A$5:$A$2004,0)),""))</f>
        <v/>
      </c>
      <c r="M809" s="26" t="str">
        <f aca="false">IF($D809="","",IFERROR(INDEX(ClientRates!$D$5:$D$500,MATCH($B809&amp;"|"&amp;$L809,ClientRates!$A$5:$A$500,0)),0))</f>
        <v/>
      </c>
      <c r="N809" s="26" t="str">
        <f aca="false">IF($D809="","",IFERROR(INDEX(ClientRates!$E$5:$E$500,MATCH($B809&amp;"|"&amp;$L809,ClientRates!$A$5:$A$500,0)),0))</f>
        <v/>
      </c>
      <c r="O809" s="26" t="str">
        <f aca="false">IF($D809="","",F809*M809+G809*N809)</f>
        <v/>
      </c>
      <c r="P809" s="26" t="str">
        <f aca="false">IF(OR($D809="",$J809&lt;&gt;"Supplier"),"",IFERROR(INDEX(SupplierRates!$D$5:$D$500,MATCH($K809&amp;"|"&amp;$L809,SupplierRates!$A$5:$A$500,0)),0))</f>
        <v/>
      </c>
      <c r="Q809" s="26" t="str">
        <f aca="false">IF(OR($D809="",$J809&lt;&gt;"Supplier"),"",IFERROR(INDEX(SupplierRates!$E$5:$E$500,MATCH($K809&amp;"|"&amp;$L809,SupplierRates!$A$5:$A$500,0)),0))</f>
        <v/>
      </c>
      <c r="R809" s="26" t="n">
        <f aca="false">IF(OR($D809="",$J809&lt;&gt;"Supplier"),0,F809*P809+G809*Q809)</f>
        <v>0</v>
      </c>
      <c r="S809" s="26" t="n">
        <f aca="false">IF(OR($D809="",$J809&lt;&gt;"Own"),0,IFERROR((F809+G809*Settings!$B$13)*INDEX(Workers!$V$5:$V$2004,MATCH($D809,Workers!$A$5:$A$2004,0)),0))</f>
        <v>0</v>
      </c>
      <c r="T809" s="26" t="str">
        <f aca="false">IF($D809="","",O809-R809-S809)</f>
        <v/>
      </c>
    </row>
    <row r="810" customFormat="false" ht="15" hidden="false" customHeight="false" outlineLevel="0" collapsed="false">
      <c r="I810" s="24" t="str">
        <f aca="false">IF($D810="","",IFERROR(INDEX(Workers!$B$5:$B$2004,MATCH($D810,Workers!$A$5:$A$2004,0)),"NOT FOUND"))</f>
        <v/>
      </c>
      <c r="J810" s="24" t="str">
        <f aca="false">IF($D810="","",IFERROR(INDEX(Workers!$C$5:$C$2004,MATCH($D810,Workers!$A$5:$A$2004,0)),""))</f>
        <v/>
      </c>
      <c r="K810" s="24" t="str">
        <f aca="false">IF($D810="","",IFERROR(IF(INDEX(Workers!$D$5:$D$2004,MATCH($D810,Workers!$A$5:$A$2004,0))=0,"",INDEX(Workers!$D$5:$D$2004,MATCH($D810,Workers!$A$5:$A$2004,0))),""))</f>
        <v/>
      </c>
      <c r="L810" s="24" t="str">
        <f aca="false">IF($D810="","",IFERROR(INDEX(Workers!$E$5:$E$2004,MATCH($D810,Workers!$A$5:$A$2004,0)),""))</f>
        <v/>
      </c>
      <c r="M810" s="26" t="str">
        <f aca="false">IF($D810="","",IFERROR(INDEX(ClientRates!$D$5:$D$500,MATCH($B810&amp;"|"&amp;$L810,ClientRates!$A$5:$A$500,0)),0))</f>
        <v/>
      </c>
      <c r="N810" s="26" t="str">
        <f aca="false">IF($D810="","",IFERROR(INDEX(ClientRates!$E$5:$E$500,MATCH($B810&amp;"|"&amp;$L810,ClientRates!$A$5:$A$500,0)),0))</f>
        <v/>
      </c>
      <c r="O810" s="26" t="str">
        <f aca="false">IF($D810="","",F810*M810+G810*N810)</f>
        <v/>
      </c>
      <c r="P810" s="26" t="str">
        <f aca="false">IF(OR($D810="",$J810&lt;&gt;"Supplier"),"",IFERROR(INDEX(SupplierRates!$D$5:$D$500,MATCH($K810&amp;"|"&amp;$L810,SupplierRates!$A$5:$A$500,0)),0))</f>
        <v/>
      </c>
      <c r="Q810" s="26" t="str">
        <f aca="false">IF(OR($D810="",$J810&lt;&gt;"Supplier"),"",IFERROR(INDEX(SupplierRates!$E$5:$E$500,MATCH($K810&amp;"|"&amp;$L810,SupplierRates!$A$5:$A$500,0)),0))</f>
        <v/>
      </c>
      <c r="R810" s="26" t="n">
        <f aca="false">IF(OR($D810="",$J810&lt;&gt;"Supplier"),0,F810*P810+G810*Q810)</f>
        <v>0</v>
      </c>
      <c r="S810" s="26" t="n">
        <f aca="false">IF(OR($D810="",$J810&lt;&gt;"Own"),0,IFERROR((F810+G810*Settings!$B$13)*INDEX(Workers!$V$5:$V$2004,MATCH($D810,Workers!$A$5:$A$2004,0)),0))</f>
        <v>0</v>
      </c>
      <c r="T810" s="26" t="str">
        <f aca="false">IF($D810="","",O810-R810-S810)</f>
        <v/>
      </c>
    </row>
    <row r="811" customFormat="false" ht="15" hidden="false" customHeight="false" outlineLevel="0" collapsed="false">
      <c r="I811" s="24" t="str">
        <f aca="false">IF($D811="","",IFERROR(INDEX(Workers!$B$5:$B$2004,MATCH($D811,Workers!$A$5:$A$2004,0)),"NOT FOUND"))</f>
        <v/>
      </c>
      <c r="J811" s="24" t="str">
        <f aca="false">IF($D811="","",IFERROR(INDEX(Workers!$C$5:$C$2004,MATCH($D811,Workers!$A$5:$A$2004,0)),""))</f>
        <v/>
      </c>
      <c r="K811" s="24" t="str">
        <f aca="false">IF($D811="","",IFERROR(IF(INDEX(Workers!$D$5:$D$2004,MATCH($D811,Workers!$A$5:$A$2004,0))=0,"",INDEX(Workers!$D$5:$D$2004,MATCH($D811,Workers!$A$5:$A$2004,0))),""))</f>
        <v/>
      </c>
      <c r="L811" s="24" t="str">
        <f aca="false">IF($D811="","",IFERROR(INDEX(Workers!$E$5:$E$2004,MATCH($D811,Workers!$A$5:$A$2004,0)),""))</f>
        <v/>
      </c>
      <c r="M811" s="26" t="str">
        <f aca="false">IF($D811="","",IFERROR(INDEX(ClientRates!$D$5:$D$500,MATCH($B811&amp;"|"&amp;$L811,ClientRates!$A$5:$A$500,0)),0))</f>
        <v/>
      </c>
      <c r="N811" s="26" t="str">
        <f aca="false">IF($D811="","",IFERROR(INDEX(ClientRates!$E$5:$E$500,MATCH($B811&amp;"|"&amp;$L811,ClientRates!$A$5:$A$500,0)),0))</f>
        <v/>
      </c>
      <c r="O811" s="26" t="str">
        <f aca="false">IF($D811="","",F811*M811+G811*N811)</f>
        <v/>
      </c>
      <c r="P811" s="26" t="str">
        <f aca="false">IF(OR($D811="",$J811&lt;&gt;"Supplier"),"",IFERROR(INDEX(SupplierRates!$D$5:$D$500,MATCH($K811&amp;"|"&amp;$L811,SupplierRates!$A$5:$A$500,0)),0))</f>
        <v/>
      </c>
      <c r="Q811" s="26" t="str">
        <f aca="false">IF(OR($D811="",$J811&lt;&gt;"Supplier"),"",IFERROR(INDEX(SupplierRates!$E$5:$E$500,MATCH($K811&amp;"|"&amp;$L811,SupplierRates!$A$5:$A$500,0)),0))</f>
        <v/>
      </c>
      <c r="R811" s="26" t="n">
        <f aca="false">IF(OR($D811="",$J811&lt;&gt;"Supplier"),0,F811*P811+G811*Q811)</f>
        <v>0</v>
      </c>
      <c r="S811" s="26" t="n">
        <f aca="false">IF(OR($D811="",$J811&lt;&gt;"Own"),0,IFERROR((F811+G811*Settings!$B$13)*INDEX(Workers!$V$5:$V$2004,MATCH($D811,Workers!$A$5:$A$2004,0)),0))</f>
        <v>0</v>
      </c>
      <c r="T811" s="26" t="str">
        <f aca="false">IF($D811="","",O811-R811-S811)</f>
        <v/>
      </c>
    </row>
    <row r="812" customFormat="false" ht="15" hidden="false" customHeight="false" outlineLevel="0" collapsed="false">
      <c r="I812" s="24" t="str">
        <f aca="false">IF($D812="","",IFERROR(INDEX(Workers!$B$5:$B$2004,MATCH($D812,Workers!$A$5:$A$2004,0)),"NOT FOUND"))</f>
        <v/>
      </c>
      <c r="J812" s="24" t="str">
        <f aca="false">IF($D812="","",IFERROR(INDEX(Workers!$C$5:$C$2004,MATCH($D812,Workers!$A$5:$A$2004,0)),""))</f>
        <v/>
      </c>
      <c r="K812" s="24" t="str">
        <f aca="false">IF($D812="","",IFERROR(IF(INDEX(Workers!$D$5:$D$2004,MATCH($D812,Workers!$A$5:$A$2004,0))=0,"",INDEX(Workers!$D$5:$D$2004,MATCH($D812,Workers!$A$5:$A$2004,0))),""))</f>
        <v/>
      </c>
      <c r="L812" s="24" t="str">
        <f aca="false">IF($D812="","",IFERROR(INDEX(Workers!$E$5:$E$2004,MATCH($D812,Workers!$A$5:$A$2004,0)),""))</f>
        <v/>
      </c>
      <c r="M812" s="26" t="str">
        <f aca="false">IF($D812="","",IFERROR(INDEX(ClientRates!$D$5:$D$500,MATCH($B812&amp;"|"&amp;$L812,ClientRates!$A$5:$A$500,0)),0))</f>
        <v/>
      </c>
      <c r="N812" s="26" t="str">
        <f aca="false">IF($D812="","",IFERROR(INDEX(ClientRates!$E$5:$E$500,MATCH($B812&amp;"|"&amp;$L812,ClientRates!$A$5:$A$500,0)),0))</f>
        <v/>
      </c>
      <c r="O812" s="26" t="str">
        <f aca="false">IF($D812="","",F812*M812+G812*N812)</f>
        <v/>
      </c>
      <c r="P812" s="26" t="str">
        <f aca="false">IF(OR($D812="",$J812&lt;&gt;"Supplier"),"",IFERROR(INDEX(SupplierRates!$D$5:$D$500,MATCH($K812&amp;"|"&amp;$L812,SupplierRates!$A$5:$A$500,0)),0))</f>
        <v/>
      </c>
      <c r="Q812" s="26" t="str">
        <f aca="false">IF(OR($D812="",$J812&lt;&gt;"Supplier"),"",IFERROR(INDEX(SupplierRates!$E$5:$E$500,MATCH($K812&amp;"|"&amp;$L812,SupplierRates!$A$5:$A$500,0)),0))</f>
        <v/>
      </c>
      <c r="R812" s="26" t="n">
        <f aca="false">IF(OR($D812="",$J812&lt;&gt;"Supplier"),0,F812*P812+G812*Q812)</f>
        <v>0</v>
      </c>
      <c r="S812" s="26" t="n">
        <f aca="false">IF(OR($D812="",$J812&lt;&gt;"Own"),0,IFERROR((F812+G812*Settings!$B$13)*INDEX(Workers!$V$5:$V$2004,MATCH($D812,Workers!$A$5:$A$2004,0)),0))</f>
        <v>0</v>
      </c>
      <c r="T812" s="26" t="str">
        <f aca="false">IF($D812="","",O812-R812-S812)</f>
        <v/>
      </c>
    </row>
    <row r="813" customFormat="false" ht="15" hidden="false" customHeight="false" outlineLevel="0" collapsed="false">
      <c r="I813" s="24" t="str">
        <f aca="false">IF($D813="","",IFERROR(INDEX(Workers!$B$5:$B$2004,MATCH($D813,Workers!$A$5:$A$2004,0)),"NOT FOUND"))</f>
        <v/>
      </c>
      <c r="J813" s="24" t="str">
        <f aca="false">IF($D813="","",IFERROR(INDEX(Workers!$C$5:$C$2004,MATCH($D813,Workers!$A$5:$A$2004,0)),""))</f>
        <v/>
      </c>
      <c r="K813" s="24" t="str">
        <f aca="false">IF($D813="","",IFERROR(IF(INDEX(Workers!$D$5:$D$2004,MATCH($D813,Workers!$A$5:$A$2004,0))=0,"",INDEX(Workers!$D$5:$D$2004,MATCH($D813,Workers!$A$5:$A$2004,0))),""))</f>
        <v/>
      </c>
      <c r="L813" s="24" t="str">
        <f aca="false">IF($D813="","",IFERROR(INDEX(Workers!$E$5:$E$2004,MATCH($D813,Workers!$A$5:$A$2004,0)),""))</f>
        <v/>
      </c>
      <c r="M813" s="26" t="str">
        <f aca="false">IF($D813="","",IFERROR(INDEX(ClientRates!$D$5:$D$500,MATCH($B813&amp;"|"&amp;$L813,ClientRates!$A$5:$A$500,0)),0))</f>
        <v/>
      </c>
      <c r="N813" s="26" t="str">
        <f aca="false">IF($D813="","",IFERROR(INDEX(ClientRates!$E$5:$E$500,MATCH($B813&amp;"|"&amp;$L813,ClientRates!$A$5:$A$500,0)),0))</f>
        <v/>
      </c>
      <c r="O813" s="26" t="str">
        <f aca="false">IF($D813="","",F813*M813+G813*N813)</f>
        <v/>
      </c>
      <c r="P813" s="26" t="str">
        <f aca="false">IF(OR($D813="",$J813&lt;&gt;"Supplier"),"",IFERROR(INDEX(SupplierRates!$D$5:$D$500,MATCH($K813&amp;"|"&amp;$L813,SupplierRates!$A$5:$A$500,0)),0))</f>
        <v/>
      </c>
      <c r="Q813" s="26" t="str">
        <f aca="false">IF(OR($D813="",$J813&lt;&gt;"Supplier"),"",IFERROR(INDEX(SupplierRates!$E$5:$E$500,MATCH($K813&amp;"|"&amp;$L813,SupplierRates!$A$5:$A$500,0)),0))</f>
        <v/>
      </c>
      <c r="R813" s="26" t="n">
        <f aca="false">IF(OR($D813="",$J813&lt;&gt;"Supplier"),0,F813*P813+G813*Q813)</f>
        <v>0</v>
      </c>
      <c r="S813" s="26" t="n">
        <f aca="false">IF(OR($D813="",$J813&lt;&gt;"Own"),0,IFERROR((F813+G813*Settings!$B$13)*INDEX(Workers!$V$5:$V$2004,MATCH($D813,Workers!$A$5:$A$2004,0)),0))</f>
        <v>0</v>
      </c>
      <c r="T813" s="26" t="str">
        <f aca="false">IF($D813="","",O813-R813-S813)</f>
        <v/>
      </c>
    </row>
    <row r="814" customFormat="false" ht="15" hidden="false" customHeight="false" outlineLevel="0" collapsed="false">
      <c r="I814" s="24" t="str">
        <f aca="false">IF($D814="","",IFERROR(INDEX(Workers!$B$5:$B$2004,MATCH($D814,Workers!$A$5:$A$2004,0)),"NOT FOUND"))</f>
        <v/>
      </c>
      <c r="J814" s="24" t="str">
        <f aca="false">IF($D814="","",IFERROR(INDEX(Workers!$C$5:$C$2004,MATCH($D814,Workers!$A$5:$A$2004,0)),""))</f>
        <v/>
      </c>
      <c r="K814" s="24" t="str">
        <f aca="false">IF($D814="","",IFERROR(IF(INDEX(Workers!$D$5:$D$2004,MATCH($D814,Workers!$A$5:$A$2004,0))=0,"",INDEX(Workers!$D$5:$D$2004,MATCH($D814,Workers!$A$5:$A$2004,0))),""))</f>
        <v/>
      </c>
      <c r="L814" s="24" t="str">
        <f aca="false">IF($D814="","",IFERROR(INDEX(Workers!$E$5:$E$2004,MATCH($D814,Workers!$A$5:$A$2004,0)),""))</f>
        <v/>
      </c>
      <c r="M814" s="26" t="str">
        <f aca="false">IF($D814="","",IFERROR(INDEX(ClientRates!$D$5:$D$500,MATCH($B814&amp;"|"&amp;$L814,ClientRates!$A$5:$A$500,0)),0))</f>
        <v/>
      </c>
      <c r="N814" s="26" t="str">
        <f aca="false">IF($D814="","",IFERROR(INDEX(ClientRates!$E$5:$E$500,MATCH($B814&amp;"|"&amp;$L814,ClientRates!$A$5:$A$500,0)),0))</f>
        <v/>
      </c>
      <c r="O814" s="26" t="str">
        <f aca="false">IF($D814="","",F814*M814+G814*N814)</f>
        <v/>
      </c>
      <c r="P814" s="26" t="str">
        <f aca="false">IF(OR($D814="",$J814&lt;&gt;"Supplier"),"",IFERROR(INDEX(SupplierRates!$D$5:$D$500,MATCH($K814&amp;"|"&amp;$L814,SupplierRates!$A$5:$A$500,0)),0))</f>
        <v/>
      </c>
      <c r="Q814" s="26" t="str">
        <f aca="false">IF(OR($D814="",$J814&lt;&gt;"Supplier"),"",IFERROR(INDEX(SupplierRates!$E$5:$E$500,MATCH($K814&amp;"|"&amp;$L814,SupplierRates!$A$5:$A$500,0)),0))</f>
        <v/>
      </c>
      <c r="R814" s="26" t="n">
        <f aca="false">IF(OR($D814="",$J814&lt;&gt;"Supplier"),0,F814*P814+G814*Q814)</f>
        <v>0</v>
      </c>
      <c r="S814" s="26" t="n">
        <f aca="false">IF(OR($D814="",$J814&lt;&gt;"Own"),0,IFERROR((F814+G814*Settings!$B$13)*INDEX(Workers!$V$5:$V$2004,MATCH($D814,Workers!$A$5:$A$2004,0)),0))</f>
        <v>0</v>
      </c>
      <c r="T814" s="26" t="str">
        <f aca="false">IF($D814="","",O814-R814-S814)</f>
        <v/>
      </c>
    </row>
    <row r="815" customFormat="false" ht="15" hidden="false" customHeight="false" outlineLevel="0" collapsed="false">
      <c r="I815" s="24" t="str">
        <f aca="false">IF($D815="","",IFERROR(INDEX(Workers!$B$5:$B$2004,MATCH($D815,Workers!$A$5:$A$2004,0)),"NOT FOUND"))</f>
        <v/>
      </c>
      <c r="J815" s="24" t="str">
        <f aca="false">IF($D815="","",IFERROR(INDEX(Workers!$C$5:$C$2004,MATCH($D815,Workers!$A$5:$A$2004,0)),""))</f>
        <v/>
      </c>
      <c r="K815" s="24" t="str">
        <f aca="false">IF($D815="","",IFERROR(IF(INDEX(Workers!$D$5:$D$2004,MATCH($D815,Workers!$A$5:$A$2004,0))=0,"",INDEX(Workers!$D$5:$D$2004,MATCH($D815,Workers!$A$5:$A$2004,0))),""))</f>
        <v/>
      </c>
      <c r="L815" s="24" t="str">
        <f aca="false">IF($D815="","",IFERROR(INDEX(Workers!$E$5:$E$2004,MATCH($D815,Workers!$A$5:$A$2004,0)),""))</f>
        <v/>
      </c>
      <c r="M815" s="26" t="str">
        <f aca="false">IF($D815="","",IFERROR(INDEX(ClientRates!$D$5:$D$500,MATCH($B815&amp;"|"&amp;$L815,ClientRates!$A$5:$A$500,0)),0))</f>
        <v/>
      </c>
      <c r="N815" s="26" t="str">
        <f aca="false">IF($D815="","",IFERROR(INDEX(ClientRates!$E$5:$E$500,MATCH($B815&amp;"|"&amp;$L815,ClientRates!$A$5:$A$500,0)),0))</f>
        <v/>
      </c>
      <c r="O815" s="26" t="str">
        <f aca="false">IF($D815="","",F815*M815+G815*N815)</f>
        <v/>
      </c>
      <c r="P815" s="26" t="str">
        <f aca="false">IF(OR($D815="",$J815&lt;&gt;"Supplier"),"",IFERROR(INDEX(SupplierRates!$D$5:$D$500,MATCH($K815&amp;"|"&amp;$L815,SupplierRates!$A$5:$A$500,0)),0))</f>
        <v/>
      </c>
      <c r="Q815" s="26" t="str">
        <f aca="false">IF(OR($D815="",$J815&lt;&gt;"Supplier"),"",IFERROR(INDEX(SupplierRates!$E$5:$E$500,MATCH($K815&amp;"|"&amp;$L815,SupplierRates!$A$5:$A$500,0)),0))</f>
        <v/>
      </c>
      <c r="R815" s="26" t="n">
        <f aca="false">IF(OR($D815="",$J815&lt;&gt;"Supplier"),0,F815*P815+G815*Q815)</f>
        <v>0</v>
      </c>
      <c r="S815" s="26" t="n">
        <f aca="false">IF(OR($D815="",$J815&lt;&gt;"Own"),0,IFERROR((F815+G815*Settings!$B$13)*INDEX(Workers!$V$5:$V$2004,MATCH($D815,Workers!$A$5:$A$2004,0)),0))</f>
        <v>0</v>
      </c>
      <c r="T815" s="26" t="str">
        <f aca="false">IF($D815="","",O815-R815-S815)</f>
        <v/>
      </c>
    </row>
    <row r="816" customFormat="false" ht="15" hidden="false" customHeight="false" outlineLevel="0" collapsed="false">
      <c r="I816" s="24" t="str">
        <f aca="false">IF($D816="","",IFERROR(INDEX(Workers!$B$5:$B$2004,MATCH($D816,Workers!$A$5:$A$2004,0)),"NOT FOUND"))</f>
        <v/>
      </c>
      <c r="J816" s="24" t="str">
        <f aca="false">IF($D816="","",IFERROR(INDEX(Workers!$C$5:$C$2004,MATCH($D816,Workers!$A$5:$A$2004,0)),""))</f>
        <v/>
      </c>
      <c r="K816" s="24" t="str">
        <f aca="false">IF($D816="","",IFERROR(IF(INDEX(Workers!$D$5:$D$2004,MATCH($D816,Workers!$A$5:$A$2004,0))=0,"",INDEX(Workers!$D$5:$D$2004,MATCH($D816,Workers!$A$5:$A$2004,0))),""))</f>
        <v/>
      </c>
      <c r="L816" s="24" t="str">
        <f aca="false">IF($D816="","",IFERROR(INDEX(Workers!$E$5:$E$2004,MATCH($D816,Workers!$A$5:$A$2004,0)),""))</f>
        <v/>
      </c>
      <c r="M816" s="26" t="str">
        <f aca="false">IF($D816="","",IFERROR(INDEX(ClientRates!$D$5:$D$500,MATCH($B816&amp;"|"&amp;$L816,ClientRates!$A$5:$A$500,0)),0))</f>
        <v/>
      </c>
      <c r="N816" s="26" t="str">
        <f aca="false">IF($D816="","",IFERROR(INDEX(ClientRates!$E$5:$E$500,MATCH($B816&amp;"|"&amp;$L816,ClientRates!$A$5:$A$500,0)),0))</f>
        <v/>
      </c>
      <c r="O816" s="26" t="str">
        <f aca="false">IF($D816="","",F816*M816+G816*N816)</f>
        <v/>
      </c>
      <c r="P816" s="26" t="str">
        <f aca="false">IF(OR($D816="",$J816&lt;&gt;"Supplier"),"",IFERROR(INDEX(SupplierRates!$D$5:$D$500,MATCH($K816&amp;"|"&amp;$L816,SupplierRates!$A$5:$A$500,0)),0))</f>
        <v/>
      </c>
      <c r="Q816" s="26" t="str">
        <f aca="false">IF(OR($D816="",$J816&lt;&gt;"Supplier"),"",IFERROR(INDEX(SupplierRates!$E$5:$E$500,MATCH($K816&amp;"|"&amp;$L816,SupplierRates!$A$5:$A$500,0)),0))</f>
        <v/>
      </c>
      <c r="R816" s="26" t="n">
        <f aca="false">IF(OR($D816="",$J816&lt;&gt;"Supplier"),0,F816*P816+G816*Q816)</f>
        <v>0</v>
      </c>
      <c r="S816" s="26" t="n">
        <f aca="false">IF(OR($D816="",$J816&lt;&gt;"Own"),0,IFERROR((F816+G816*Settings!$B$13)*INDEX(Workers!$V$5:$V$2004,MATCH($D816,Workers!$A$5:$A$2004,0)),0))</f>
        <v>0</v>
      </c>
      <c r="T816" s="26" t="str">
        <f aca="false">IF($D816="","",O816-R816-S816)</f>
        <v/>
      </c>
    </row>
    <row r="817" customFormat="false" ht="15" hidden="false" customHeight="false" outlineLevel="0" collapsed="false">
      <c r="I817" s="24" t="str">
        <f aca="false">IF($D817="","",IFERROR(INDEX(Workers!$B$5:$B$2004,MATCH($D817,Workers!$A$5:$A$2004,0)),"NOT FOUND"))</f>
        <v/>
      </c>
      <c r="J817" s="24" t="str">
        <f aca="false">IF($D817="","",IFERROR(INDEX(Workers!$C$5:$C$2004,MATCH($D817,Workers!$A$5:$A$2004,0)),""))</f>
        <v/>
      </c>
      <c r="K817" s="24" t="str">
        <f aca="false">IF($D817="","",IFERROR(IF(INDEX(Workers!$D$5:$D$2004,MATCH($D817,Workers!$A$5:$A$2004,0))=0,"",INDEX(Workers!$D$5:$D$2004,MATCH($D817,Workers!$A$5:$A$2004,0))),""))</f>
        <v/>
      </c>
      <c r="L817" s="24" t="str">
        <f aca="false">IF($D817="","",IFERROR(INDEX(Workers!$E$5:$E$2004,MATCH($D817,Workers!$A$5:$A$2004,0)),""))</f>
        <v/>
      </c>
      <c r="M817" s="26" t="str">
        <f aca="false">IF($D817="","",IFERROR(INDEX(ClientRates!$D$5:$D$500,MATCH($B817&amp;"|"&amp;$L817,ClientRates!$A$5:$A$500,0)),0))</f>
        <v/>
      </c>
      <c r="N817" s="26" t="str">
        <f aca="false">IF($D817="","",IFERROR(INDEX(ClientRates!$E$5:$E$500,MATCH($B817&amp;"|"&amp;$L817,ClientRates!$A$5:$A$500,0)),0))</f>
        <v/>
      </c>
      <c r="O817" s="26" t="str">
        <f aca="false">IF($D817="","",F817*M817+G817*N817)</f>
        <v/>
      </c>
      <c r="P817" s="26" t="str">
        <f aca="false">IF(OR($D817="",$J817&lt;&gt;"Supplier"),"",IFERROR(INDEX(SupplierRates!$D$5:$D$500,MATCH($K817&amp;"|"&amp;$L817,SupplierRates!$A$5:$A$500,0)),0))</f>
        <v/>
      </c>
      <c r="Q817" s="26" t="str">
        <f aca="false">IF(OR($D817="",$J817&lt;&gt;"Supplier"),"",IFERROR(INDEX(SupplierRates!$E$5:$E$500,MATCH($K817&amp;"|"&amp;$L817,SupplierRates!$A$5:$A$500,0)),0))</f>
        <v/>
      </c>
      <c r="R817" s="26" t="n">
        <f aca="false">IF(OR($D817="",$J817&lt;&gt;"Supplier"),0,F817*P817+G817*Q817)</f>
        <v>0</v>
      </c>
      <c r="S817" s="26" t="n">
        <f aca="false">IF(OR($D817="",$J817&lt;&gt;"Own"),0,IFERROR((F817+G817*Settings!$B$13)*INDEX(Workers!$V$5:$V$2004,MATCH($D817,Workers!$A$5:$A$2004,0)),0))</f>
        <v>0</v>
      </c>
      <c r="T817" s="26" t="str">
        <f aca="false">IF($D817="","",O817-R817-S817)</f>
        <v/>
      </c>
    </row>
    <row r="818" customFormat="false" ht="15" hidden="false" customHeight="false" outlineLevel="0" collapsed="false">
      <c r="I818" s="24" t="str">
        <f aca="false">IF($D818="","",IFERROR(INDEX(Workers!$B$5:$B$2004,MATCH($D818,Workers!$A$5:$A$2004,0)),"NOT FOUND"))</f>
        <v/>
      </c>
      <c r="J818" s="24" t="str">
        <f aca="false">IF($D818="","",IFERROR(INDEX(Workers!$C$5:$C$2004,MATCH($D818,Workers!$A$5:$A$2004,0)),""))</f>
        <v/>
      </c>
      <c r="K818" s="24" t="str">
        <f aca="false">IF($D818="","",IFERROR(IF(INDEX(Workers!$D$5:$D$2004,MATCH($D818,Workers!$A$5:$A$2004,0))=0,"",INDEX(Workers!$D$5:$D$2004,MATCH($D818,Workers!$A$5:$A$2004,0))),""))</f>
        <v/>
      </c>
      <c r="L818" s="24" t="str">
        <f aca="false">IF($D818="","",IFERROR(INDEX(Workers!$E$5:$E$2004,MATCH($D818,Workers!$A$5:$A$2004,0)),""))</f>
        <v/>
      </c>
      <c r="M818" s="26" t="str">
        <f aca="false">IF($D818="","",IFERROR(INDEX(ClientRates!$D$5:$D$500,MATCH($B818&amp;"|"&amp;$L818,ClientRates!$A$5:$A$500,0)),0))</f>
        <v/>
      </c>
      <c r="N818" s="26" t="str">
        <f aca="false">IF($D818="","",IFERROR(INDEX(ClientRates!$E$5:$E$500,MATCH($B818&amp;"|"&amp;$L818,ClientRates!$A$5:$A$500,0)),0))</f>
        <v/>
      </c>
      <c r="O818" s="26" t="str">
        <f aca="false">IF($D818="","",F818*M818+G818*N818)</f>
        <v/>
      </c>
      <c r="P818" s="26" t="str">
        <f aca="false">IF(OR($D818="",$J818&lt;&gt;"Supplier"),"",IFERROR(INDEX(SupplierRates!$D$5:$D$500,MATCH($K818&amp;"|"&amp;$L818,SupplierRates!$A$5:$A$500,0)),0))</f>
        <v/>
      </c>
      <c r="Q818" s="26" t="str">
        <f aca="false">IF(OR($D818="",$J818&lt;&gt;"Supplier"),"",IFERROR(INDEX(SupplierRates!$E$5:$E$500,MATCH($K818&amp;"|"&amp;$L818,SupplierRates!$A$5:$A$500,0)),0))</f>
        <v/>
      </c>
      <c r="R818" s="26" t="n">
        <f aca="false">IF(OR($D818="",$J818&lt;&gt;"Supplier"),0,F818*P818+G818*Q818)</f>
        <v>0</v>
      </c>
      <c r="S818" s="26" t="n">
        <f aca="false">IF(OR($D818="",$J818&lt;&gt;"Own"),0,IFERROR((F818+G818*Settings!$B$13)*INDEX(Workers!$V$5:$V$2004,MATCH($D818,Workers!$A$5:$A$2004,0)),0))</f>
        <v>0</v>
      </c>
      <c r="T818" s="26" t="str">
        <f aca="false">IF($D818="","",O818-R818-S818)</f>
        <v/>
      </c>
    </row>
    <row r="819" customFormat="false" ht="15" hidden="false" customHeight="false" outlineLevel="0" collapsed="false">
      <c r="I819" s="24" t="str">
        <f aca="false">IF($D819="","",IFERROR(INDEX(Workers!$B$5:$B$2004,MATCH($D819,Workers!$A$5:$A$2004,0)),"NOT FOUND"))</f>
        <v/>
      </c>
      <c r="J819" s="24" t="str">
        <f aca="false">IF($D819="","",IFERROR(INDEX(Workers!$C$5:$C$2004,MATCH($D819,Workers!$A$5:$A$2004,0)),""))</f>
        <v/>
      </c>
      <c r="K819" s="24" t="str">
        <f aca="false">IF($D819="","",IFERROR(IF(INDEX(Workers!$D$5:$D$2004,MATCH($D819,Workers!$A$5:$A$2004,0))=0,"",INDEX(Workers!$D$5:$D$2004,MATCH($D819,Workers!$A$5:$A$2004,0))),""))</f>
        <v/>
      </c>
      <c r="L819" s="24" t="str">
        <f aca="false">IF($D819="","",IFERROR(INDEX(Workers!$E$5:$E$2004,MATCH($D819,Workers!$A$5:$A$2004,0)),""))</f>
        <v/>
      </c>
      <c r="M819" s="26" t="str">
        <f aca="false">IF($D819="","",IFERROR(INDEX(ClientRates!$D$5:$D$500,MATCH($B819&amp;"|"&amp;$L819,ClientRates!$A$5:$A$500,0)),0))</f>
        <v/>
      </c>
      <c r="N819" s="26" t="str">
        <f aca="false">IF($D819="","",IFERROR(INDEX(ClientRates!$E$5:$E$500,MATCH($B819&amp;"|"&amp;$L819,ClientRates!$A$5:$A$500,0)),0))</f>
        <v/>
      </c>
      <c r="O819" s="26" t="str">
        <f aca="false">IF($D819="","",F819*M819+G819*N819)</f>
        <v/>
      </c>
      <c r="P819" s="26" t="str">
        <f aca="false">IF(OR($D819="",$J819&lt;&gt;"Supplier"),"",IFERROR(INDEX(SupplierRates!$D$5:$D$500,MATCH($K819&amp;"|"&amp;$L819,SupplierRates!$A$5:$A$500,0)),0))</f>
        <v/>
      </c>
      <c r="Q819" s="26" t="str">
        <f aca="false">IF(OR($D819="",$J819&lt;&gt;"Supplier"),"",IFERROR(INDEX(SupplierRates!$E$5:$E$500,MATCH($K819&amp;"|"&amp;$L819,SupplierRates!$A$5:$A$500,0)),0))</f>
        <v/>
      </c>
      <c r="R819" s="26" t="n">
        <f aca="false">IF(OR($D819="",$J819&lt;&gt;"Supplier"),0,F819*P819+G819*Q819)</f>
        <v>0</v>
      </c>
      <c r="S819" s="26" t="n">
        <f aca="false">IF(OR($D819="",$J819&lt;&gt;"Own"),0,IFERROR((F819+G819*Settings!$B$13)*INDEX(Workers!$V$5:$V$2004,MATCH($D819,Workers!$A$5:$A$2004,0)),0))</f>
        <v>0</v>
      </c>
      <c r="T819" s="26" t="str">
        <f aca="false">IF($D819="","",O819-R819-S819)</f>
        <v/>
      </c>
    </row>
    <row r="820" customFormat="false" ht="15" hidden="false" customHeight="false" outlineLevel="0" collapsed="false">
      <c r="I820" s="24" t="str">
        <f aca="false">IF($D820="","",IFERROR(INDEX(Workers!$B$5:$B$2004,MATCH($D820,Workers!$A$5:$A$2004,0)),"NOT FOUND"))</f>
        <v/>
      </c>
      <c r="J820" s="24" t="str">
        <f aca="false">IF($D820="","",IFERROR(INDEX(Workers!$C$5:$C$2004,MATCH($D820,Workers!$A$5:$A$2004,0)),""))</f>
        <v/>
      </c>
      <c r="K820" s="24" t="str">
        <f aca="false">IF($D820="","",IFERROR(IF(INDEX(Workers!$D$5:$D$2004,MATCH($D820,Workers!$A$5:$A$2004,0))=0,"",INDEX(Workers!$D$5:$D$2004,MATCH($D820,Workers!$A$5:$A$2004,0))),""))</f>
        <v/>
      </c>
      <c r="L820" s="24" t="str">
        <f aca="false">IF($D820="","",IFERROR(INDEX(Workers!$E$5:$E$2004,MATCH($D820,Workers!$A$5:$A$2004,0)),""))</f>
        <v/>
      </c>
      <c r="M820" s="26" t="str">
        <f aca="false">IF($D820="","",IFERROR(INDEX(ClientRates!$D$5:$D$500,MATCH($B820&amp;"|"&amp;$L820,ClientRates!$A$5:$A$500,0)),0))</f>
        <v/>
      </c>
      <c r="N820" s="26" t="str">
        <f aca="false">IF($D820="","",IFERROR(INDEX(ClientRates!$E$5:$E$500,MATCH($B820&amp;"|"&amp;$L820,ClientRates!$A$5:$A$500,0)),0))</f>
        <v/>
      </c>
      <c r="O820" s="26" t="str">
        <f aca="false">IF($D820="","",F820*M820+G820*N820)</f>
        <v/>
      </c>
      <c r="P820" s="26" t="str">
        <f aca="false">IF(OR($D820="",$J820&lt;&gt;"Supplier"),"",IFERROR(INDEX(SupplierRates!$D$5:$D$500,MATCH($K820&amp;"|"&amp;$L820,SupplierRates!$A$5:$A$500,0)),0))</f>
        <v/>
      </c>
      <c r="Q820" s="26" t="str">
        <f aca="false">IF(OR($D820="",$J820&lt;&gt;"Supplier"),"",IFERROR(INDEX(SupplierRates!$E$5:$E$500,MATCH($K820&amp;"|"&amp;$L820,SupplierRates!$A$5:$A$500,0)),0))</f>
        <v/>
      </c>
      <c r="R820" s="26" t="n">
        <f aca="false">IF(OR($D820="",$J820&lt;&gt;"Supplier"),0,F820*P820+G820*Q820)</f>
        <v>0</v>
      </c>
      <c r="S820" s="26" t="n">
        <f aca="false">IF(OR($D820="",$J820&lt;&gt;"Own"),0,IFERROR((F820+G820*Settings!$B$13)*INDEX(Workers!$V$5:$V$2004,MATCH($D820,Workers!$A$5:$A$2004,0)),0))</f>
        <v>0</v>
      </c>
      <c r="T820" s="26" t="str">
        <f aca="false">IF($D820="","",O820-R820-S820)</f>
        <v/>
      </c>
    </row>
    <row r="821" customFormat="false" ht="15" hidden="false" customHeight="false" outlineLevel="0" collapsed="false">
      <c r="I821" s="24" t="str">
        <f aca="false">IF($D821="","",IFERROR(INDEX(Workers!$B$5:$B$2004,MATCH($D821,Workers!$A$5:$A$2004,0)),"NOT FOUND"))</f>
        <v/>
      </c>
      <c r="J821" s="24" t="str">
        <f aca="false">IF($D821="","",IFERROR(INDEX(Workers!$C$5:$C$2004,MATCH($D821,Workers!$A$5:$A$2004,0)),""))</f>
        <v/>
      </c>
      <c r="K821" s="24" t="str">
        <f aca="false">IF($D821="","",IFERROR(IF(INDEX(Workers!$D$5:$D$2004,MATCH($D821,Workers!$A$5:$A$2004,0))=0,"",INDEX(Workers!$D$5:$D$2004,MATCH($D821,Workers!$A$5:$A$2004,0))),""))</f>
        <v/>
      </c>
      <c r="L821" s="24" t="str">
        <f aca="false">IF($D821="","",IFERROR(INDEX(Workers!$E$5:$E$2004,MATCH($D821,Workers!$A$5:$A$2004,0)),""))</f>
        <v/>
      </c>
      <c r="M821" s="26" t="str">
        <f aca="false">IF($D821="","",IFERROR(INDEX(ClientRates!$D$5:$D$500,MATCH($B821&amp;"|"&amp;$L821,ClientRates!$A$5:$A$500,0)),0))</f>
        <v/>
      </c>
      <c r="N821" s="26" t="str">
        <f aca="false">IF($D821="","",IFERROR(INDEX(ClientRates!$E$5:$E$500,MATCH($B821&amp;"|"&amp;$L821,ClientRates!$A$5:$A$500,0)),0))</f>
        <v/>
      </c>
      <c r="O821" s="26" t="str">
        <f aca="false">IF($D821="","",F821*M821+G821*N821)</f>
        <v/>
      </c>
      <c r="P821" s="26" t="str">
        <f aca="false">IF(OR($D821="",$J821&lt;&gt;"Supplier"),"",IFERROR(INDEX(SupplierRates!$D$5:$D$500,MATCH($K821&amp;"|"&amp;$L821,SupplierRates!$A$5:$A$500,0)),0))</f>
        <v/>
      </c>
      <c r="Q821" s="26" t="str">
        <f aca="false">IF(OR($D821="",$J821&lt;&gt;"Supplier"),"",IFERROR(INDEX(SupplierRates!$E$5:$E$500,MATCH($K821&amp;"|"&amp;$L821,SupplierRates!$A$5:$A$500,0)),0))</f>
        <v/>
      </c>
      <c r="R821" s="26" t="n">
        <f aca="false">IF(OR($D821="",$J821&lt;&gt;"Supplier"),0,F821*P821+G821*Q821)</f>
        <v>0</v>
      </c>
      <c r="S821" s="26" t="n">
        <f aca="false">IF(OR($D821="",$J821&lt;&gt;"Own"),0,IFERROR((F821+G821*Settings!$B$13)*INDEX(Workers!$V$5:$V$2004,MATCH($D821,Workers!$A$5:$A$2004,0)),0))</f>
        <v>0</v>
      </c>
      <c r="T821" s="26" t="str">
        <f aca="false">IF($D821="","",O821-R821-S821)</f>
        <v/>
      </c>
    </row>
    <row r="822" customFormat="false" ht="15" hidden="false" customHeight="false" outlineLevel="0" collapsed="false">
      <c r="I822" s="24" t="str">
        <f aca="false">IF($D822="","",IFERROR(INDEX(Workers!$B$5:$B$2004,MATCH($D822,Workers!$A$5:$A$2004,0)),"NOT FOUND"))</f>
        <v/>
      </c>
      <c r="J822" s="24" t="str">
        <f aca="false">IF($D822="","",IFERROR(INDEX(Workers!$C$5:$C$2004,MATCH($D822,Workers!$A$5:$A$2004,0)),""))</f>
        <v/>
      </c>
      <c r="K822" s="24" t="str">
        <f aca="false">IF($D822="","",IFERROR(IF(INDEX(Workers!$D$5:$D$2004,MATCH($D822,Workers!$A$5:$A$2004,0))=0,"",INDEX(Workers!$D$5:$D$2004,MATCH($D822,Workers!$A$5:$A$2004,0))),""))</f>
        <v/>
      </c>
      <c r="L822" s="24" t="str">
        <f aca="false">IF($D822="","",IFERROR(INDEX(Workers!$E$5:$E$2004,MATCH($D822,Workers!$A$5:$A$2004,0)),""))</f>
        <v/>
      </c>
      <c r="M822" s="26" t="str">
        <f aca="false">IF($D822="","",IFERROR(INDEX(ClientRates!$D$5:$D$500,MATCH($B822&amp;"|"&amp;$L822,ClientRates!$A$5:$A$500,0)),0))</f>
        <v/>
      </c>
      <c r="N822" s="26" t="str">
        <f aca="false">IF($D822="","",IFERROR(INDEX(ClientRates!$E$5:$E$500,MATCH($B822&amp;"|"&amp;$L822,ClientRates!$A$5:$A$500,0)),0))</f>
        <v/>
      </c>
      <c r="O822" s="26" t="str">
        <f aca="false">IF($D822="","",F822*M822+G822*N822)</f>
        <v/>
      </c>
      <c r="P822" s="26" t="str">
        <f aca="false">IF(OR($D822="",$J822&lt;&gt;"Supplier"),"",IFERROR(INDEX(SupplierRates!$D$5:$D$500,MATCH($K822&amp;"|"&amp;$L822,SupplierRates!$A$5:$A$500,0)),0))</f>
        <v/>
      </c>
      <c r="Q822" s="26" t="str">
        <f aca="false">IF(OR($D822="",$J822&lt;&gt;"Supplier"),"",IFERROR(INDEX(SupplierRates!$E$5:$E$500,MATCH($K822&amp;"|"&amp;$L822,SupplierRates!$A$5:$A$500,0)),0))</f>
        <v/>
      </c>
      <c r="R822" s="26" t="n">
        <f aca="false">IF(OR($D822="",$J822&lt;&gt;"Supplier"),0,F822*P822+G822*Q822)</f>
        <v>0</v>
      </c>
      <c r="S822" s="26" t="n">
        <f aca="false">IF(OR($D822="",$J822&lt;&gt;"Own"),0,IFERROR((F822+G822*Settings!$B$13)*INDEX(Workers!$V$5:$V$2004,MATCH($D822,Workers!$A$5:$A$2004,0)),0))</f>
        <v>0</v>
      </c>
      <c r="T822" s="26" t="str">
        <f aca="false">IF($D822="","",O822-R822-S822)</f>
        <v/>
      </c>
    </row>
    <row r="823" customFormat="false" ht="15" hidden="false" customHeight="false" outlineLevel="0" collapsed="false">
      <c r="I823" s="24" t="str">
        <f aca="false">IF($D823="","",IFERROR(INDEX(Workers!$B$5:$B$2004,MATCH($D823,Workers!$A$5:$A$2004,0)),"NOT FOUND"))</f>
        <v/>
      </c>
      <c r="J823" s="24" t="str">
        <f aca="false">IF($D823="","",IFERROR(INDEX(Workers!$C$5:$C$2004,MATCH($D823,Workers!$A$5:$A$2004,0)),""))</f>
        <v/>
      </c>
      <c r="K823" s="24" t="str">
        <f aca="false">IF($D823="","",IFERROR(IF(INDEX(Workers!$D$5:$D$2004,MATCH($D823,Workers!$A$5:$A$2004,0))=0,"",INDEX(Workers!$D$5:$D$2004,MATCH($D823,Workers!$A$5:$A$2004,0))),""))</f>
        <v/>
      </c>
      <c r="L823" s="24" t="str">
        <f aca="false">IF($D823="","",IFERROR(INDEX(Workers!$E$5:$E$2004,MATCH($D823,Workers!$A$5:$A$2004,0)),""))</f>
        <v/>
      </c>
      <c r="M823" s="26" t="str">
        <f aca="false">IF($D823="","",IFERROR(INDEX(ClientRates!$D$5:$D$500,MATCH($B823&amp;"|"&amp;$L823,ClientRates!$A$5:$A$500,0)),0))</f>
        <v/>
      </c>
      <c r="N823" s="26" t="str">
        <f aca="false">IF($D823="","",IFERROR(INDEX(ClientRates!$E$5:$E$500,MATCH($B823&amp;"|"&amp;$L823,ClientRates!$A$5:$A$500,0)),0))</f>
        <v/>
      </c>
      <c r="O823" s="26" t="str">
        <f aca="false">IF($D823="","",F823*M823+G823*N823)</f>
        <v/>
      </c>
      <c r="P823" s="26" t="str">
        <f aca="false">IF(OR($D823="",$J823&lt;&gt;"Supplier"),"",IFERROR(INDEX(SupplierRates!$D$5:$D$500,MATCH($K823&amp;"|"&amp;$L823,SupplierRates!$A$5:$A$500,0)),0))</f>
        <v/>
      </c>
      <c r="Q823" s="26" t="str">
        <f aca="false">IF(OR($D823="",$J823&lt;&gt;"Supplier"),"",IFERROR(INDEX(SupplierRates!$E$5:$E$500,MATCH($K823&amp;"|"&amp;$L823,SupplierRates!$A$5:$A$500,0)),0))</f>
        <v/>
      </c>
      <c r="R823" s="26" t="n">
        <f aca="false">IF(OR($D823="",$J823&lt;&gt;"Supplier"),0,F823*P823+G823*Q823)</f>
        <v>0</v>
      </c>
      <c r="S823" s="26" t="n">
        <f aca="false">IF(OR($D823="",$J823&lt;&gt;"Own"),0,IFERROR((F823+G823*Settings!$B$13)*INDEX(Workers!$V$5:$V$2004,MATCH($D823,Workers!$A$5:$A$2004,0)),0))</f>
        <v>0</v>
      </c>
      <c r="T823" s="26" t="str">
        <f aca="false">IF($D823="","",O823-R823-S823)</f>
        <v/>
      </c>
    </row>
    <row r="824" customFormat="false" ht="15" hidden="false" customHeight="false" outlineLevel="0" collapsed="false">
      <c r="I824" s="24" t="str">
        <f aca="false">IF($D824="","",IFERROR(INDEX(Workers!$B$5:$B$2004,MATCH($D824,Workers!$A$5:$A$2004,0)),"NOT FOUND"))</f>
        <v/>
      </c>
      <c r="J824" s="24" t="str">
        <f aca="false">IF($D824="","",IFERROR(INDEX(Workers!$C$5:$C$2004,MATCH($D824,Workers!$A$5:$A$2004,0)),""))</f>
        <v/>
      </c>
      <c r="K824" s="24" t="str">
        <f aca="false">IF($D824="","",IFERROR(IF(INDEX(Workers!$D$5:$D$2004,MATCH($D824,Workers!$A$5:$A$2004,0))=0,"",INDEX(Workers!$D$5:$D$2004,MATCH($D824,Workers!$A$5:$A$2004,0))),""))</f>
        <v/>
      </c>
      <c r="L824" s="24" t="str">
        <f aca="false">IF($D824="","",IFERROR(INDEX(Workers!$E$5:$E$2004,MATCH($D824,Workers!$A$5:$A$2004,0)),""))</f>
        <v/>
      </c>
      <c r="M824" s="26" t="str">
        <f aca="false">IF($D824="","",IFERROR(INDEX(ClientRates!$D$5:$D$500,MATCH($B824&amp;"|"&amp;$L824,ClientRates!$A$5:$A$500,0)),0))</f>
        <v/>
      </c>
      <c r="N824" s="26" t="str">
        <f aca="false">IF($D824="","",IFERROR(INDEX(ClientRates!$E$5:$E$500,MATCH($B824&amp;"|"&amp;$L824,ClientRates!$A$5:$A$500,0)),0))</f>
        <v/>
      </c>
      <c r="O824" s="26" t="str">
        <f aca="false">IF($D824="","",F824*M824+G824*N824)</f>
        <v/>
      </c>
      <c r="P824" s="26" t="str">
        <f aca="false">IF(OR($D824="",$J824&lt;&gt;"Supplier"),"",IFERROR(INDEX(SupplierRates!$D$5:$D$500,MATCH($K824&amp;"|"&amp;$L824,SupplierRates!$A$5:$A$500,0)),0))</f>
        <v/>
      </c>
      <c r="Q824" s="26" t="str">
        <f aca="false">IF(OR($D824="",$J824&lt;&gt;"Supplier"),"",IFERROR(INDEX(SupplierRates!$E$5:$E$500,MATCH($K824&amp;"|"&amp;$L824,SupplierRates!$A$5:$A$500,0)),0))</f>
        <v/>
      </c>
      <c r="R824" s="26" t="n">
        <f aca="false">IF(OR($D824="",$J824&lt;&gt;"Supplier"),0,F824*P824+G824*Q824)</f>
        <v>0</v>
      </c>
      <c r="S824" s="26" t="n">
        <f aca="false">IF(OR($D824="",$J824&lt;&gt;"Own"),0,IFERROR((F824+G824*Settings!$B$13)*INDEX(Workers!$V$5:$V$2004,MATCH($D824,Workers!$A$5:$A$2004,0)),0))</f>
        <v>0</v>
      </c>
      <c r="T824" s="26" t="str">
        <f aca="false">IF($D824="","",O824-R824-S824)</f>
        <v/>
      </c>
    </row>
    <row r="825" customFormat="false" ht="15" hidden="false" customHeight="false" outlineLevel="0" collapsed="false">
      <c r="I825" s="24" t="str">
        <f aca="false">IF($D825="","",IFERROR(INDEX(Workers!$B$5:$B$2004,MATCH($D825,Workers!$A$5:$A$2004,0)),"NOT FOUND"))</f>
        <v/>
      </c>
      <c r="J825" s="24" t="str">
        <f aca="false">IF($D825="","",IFERROR(INDEX(Workers!$C$5:$C$2004,MATCH($D825,Workers!$A$5:$A$2004,0)),""))</f>
        <v/>
      </c>
      <c r="K825" s="24" t="str">
        <f aca="false">IF($D825="","",IFERROR(IF(INDEX(Workers!$D$5:$D$2004,MATCH($D825,Workers!$A$5:$A$2004,0))=0,"",INDEX(Workers!$D$5:$D$2004,MATCH($D825,Workers!$A$5:$A$2004,0))),""))</f>
        <v/>
      </c>
      <c r="L825" s="24" t="str">
        <f aca="false">IF($D825="","",IFERROR(INDEX(Workers!$E$5:$E$2004,MATCH($D825,Workers!$A$5:$A$2004,0)),""))</f>
        <v/>
      </c>
      <c r="M825" s="26" t="str">
        <f aca="false">IF($D825="","",IFERROR(INDEX(ClientRates!$D$5:$D$500,MATCH($B825&amp;"|"&amp;$L825,ClientRates!$A$5:$A$500,0)),0))</f>
        <v/>
      </c>
      <c r="N825" s="26" t="str">
        <f aca="false">IF($D825="","",IFERROR(INDEX(ClientRates!$E$5:$E$500,MATCH($B825&amp;"|"&amp;$L825,ClientRates!$A$5:$A$500,0)),0))</f>
        <v/>
      </c>
      <c r="O825" s="26" t="str">
        <f aca="false">IF($D825="","",F825*M825+G825*N825)</f>
        <v/>
      </c>
      <c r="P825" s="26" t="str">
        <f aca="false">IF(OR($D825="",$J825&lt;&gt;"Supplier"),"",IFERROR(INDEX(SupplierRates!$D$5:$D$500,MATCH($K825&amp;"|"&amp;$L825,SupplierRates!$A$5:$A$500,0)),0))</f>
        <v/>
      </c>
      <c r="Q825" s="26" t="str">
        <f aca="false">IF(OR($D825="",$J825&lt;&gt;"Supplier"),"",IFERROR(INDEX(SupplierRates!$E$5:$E$500,MATCH($K825&amp;"|"&amp;$L825,SupplierRates!$A$5:$A$500,0)),0))</f>
        <v/>
      </c>
      <c r="R825" s="26" t="n">
        <f aca="false">IF(OR($D825="",$J825&lt;&gt;"Supplier"),0,F825*P825+G825*Q825)</f>
        <v>0</v>
      </c>
      <c r="S825" s="26" t="n">
        <f aca="false">IF(OR($D825="",$J825&lt;&gt;"Own"),0,IFERROR((F825+G825*Settings!$B$13)*INDEX(Workers!$V$5:$V$2004,MATCH($D825,Workers!$A$5:$A$2004,0)),0))</f>
        <v>0</v>
      </c>
      <c r="T825" s="26" t="str">
        <f aca="false">IF($D825="","",O825-R825-S825)</f>
        <v/>
      </c>
    </row>
    <row r="826" customFormat="false" ht="15" hidden="false" customHeight="false" outlineLevel="0" collapsed="false">
      <c r="I826" s="24" t="str">
        <f aca="false">IF($D826="","",IFERROR(INDEX(Workers!$B$5:$B$2004,MATCH($D826,Workers!$A$5:$A$2004,0)),"NOT FOUND"))</f>
        <v/>
      </c>
      <c r="J826" s="24" t="str">
        <f aca="false">IF($D826="","",IFERROR(INDEX(Workers!$C$5:$C$2004,MATCH($D826,Workers!$A$5:$A$2004,0)),""))</f>
        <v/>
      </c>
      <c r="K826" s="24" t="str">
        <f aca="false">IF($D826="","",IFERROR(IF(INDEX(Workers!$D$5:$D$2004,MATCH($D826,Workers!$A$5:$A$2004,0))=0,"",INDEX(Workers!$D$5:$D$2004,MATCH($D826,Workers!$A$5:$A$2004,0))),""))</f>
        <v/>
      </c>
      <c r="L826" s="24" t="str">
        <f aca="false">IF($D826="","",IFERROR(INDEX(Workers!$E$5:$E$2004,MATCH($D826,Workers!$A$5:$A$2004,0)),""))</f>
        <v/>
      </c>
      <c r="M826" s="26" t="str">
        <f aca="false">IF($D826="","",IFERROR(INDEX(ClientRates!$D$5:$D$500,MATCH($B826&amp;"|"&amp;$L826,ClientRates!$A$5:$A$500,0)),0))</f>
        <v/>
      </c>
      <c r="N826" s="26" t="str">
        <f aca="false">IF($D826="","",IFERROR(INDEX(ClientRates!$E$5:$E$500,MATCH($B826&amp;"|"&amp;$L826,ClientRates!$A$5:$A$500,0)),0))</f>
        <v/>
      </c>
      <c r="O826" s="26" t="str">
        <f aca="false">IF($D826="","",F826*M826+G826*N826)</f>
        <v/>
      </c>
      <c r="P826" s="26" t="str">
        <f aca="false">IF(OR($D826="",$J826&lt;&gt;"Supplier"),"",IFERROR(INDEX(SupplierRates!$D$5:$D$500,MATCH($K826&amp;"|"&amp;$L826,SupplierRates!$A$5:$A$500,0)),0))</f>
        <v/>
      </c>
      <c r="Q826" s="26" t="str">
        <f aca="false">IF(OR($D826="",$J826&lt;&gt;"Supplier"),"",IFERROR(INDEX(SupplierRates!$E$5:$E$500,MATCH($K826&amp;"|"&amp;$L826,SupplierRates!$A$5:$A$500,0)),0))</f>
        <v/>
      </c>
      <c r="R826" s="26" t="n">
        <f aca="false">IF(OR($D826="",$J826&lt;&gt;"Supplier"),0,F826*P826+G826*Q826)</f>
        <v>0</v>
      </c>
      <c r="S826" s="26" t="n">
        <f aca="false">IF(OR($D826="",$J826&lt;&gt;"Own"),0,IFERROR((F826+G826*Settings!$B$13)*INDEX(Workers!$V$5:$V$2004,MATCH($D826,Workers!$A$5:$A$2004,0)),0))</f>
        <v>0</v>
      </c>
      <c r="T826" s="26" t="str">
        <f aca="false">IF($D826="","",O826-R826-S826)</f>
        <v/>
      </c>
    </row>
    <row r="827" customFormat="false" ht="15" hidden="false" customHeight="false" outlineLevel="0" collapsed="false">
      <c r="I827" s="24" t="str">
        <f aca="false">IF($D827="","",IFERROR(INDEX(Workers!$B$5:$B$2004,MATCH($D827,Workers!$A$5:$A$2004,0)),"NOT FOUND"))</f>
        <v/>
      </c>
      <c r="J827" s="24" t="str">
        <f aca="false">IF($D827="","",IFERROR(INDEX(Workers!$C$5:$C$2004,MATCH($D827,Workers!$A$5:$A$2004,0)),""))</f>
        <v/>
      </c>
      <c r="K827" s="24" t="str">
        <f aca="false">IF($D827="","",IFERROR(IF(INDEX(Workers!$D$5:$D$2004,MATCH($D827,Workers!$A$5:$A$2004,0))=0,"",INDEX(Workers!$D$5:$D$2004,MATCH($D827,Workers!$A$5:$A$2004,0))),""))</f>
        <v/>
      </c>
      <c r="L827" s="24" t="str">
        <f aca="false">IF($D827="","",IFERROR(INDEX(Workers!$E$5:$E$2004,MATCH($D827,Workers!$A$5:$A$2004,0)),""))</f>
        <v/>
      </c>
      <c r="M827" s="26" t="str">
        <f aca="false">IF($D827="","",IFERROR(INDEX(ClientRates!$D$5:$D$500,MATCH($B827&amp;"|"&amp;$L827,ClientRates!$A$5:$A$500,0)),0))</f>
        <v/>
      </c>
      <c r="N827" s="26" t="str">
        <f aca="false">IF($D827="","",IFERROR(INDEX(ClientRates!$E$5:$E$500,MATCH($B827&amp;"|"&amp;$L827,ClientRates!$A$5:$A$500,0)),0))</f>
        <v/>
      </c>
      <c r="O827" s="26" t="str">
        <f aca="false">IF($D827="","",F827*M827+G827*N827)</f>
        <v/>
      </c>
      <c r="P827" s="26" t="str">
        <f aca="false">IF(OR($D827="",$J827&lt;&gt;"Supplier"),"",IFERROR(INDEX(SupplierRates!$D$5:$D$500,MATCH($K827&amp;"|"&amp;$L827,SupplierRates!$A$5:$A$500,0)),0))</f>
        <v/>
      </c>
      <c r="Q827" s="26" t="str">
        <f aca="false">IF(OR($D827="",$J827&lt;&gt;"Supplier"),"",IFERROR(INDEX(SupplierRates!$E$5:$E$500,MATCH($K827&amp;"|"&amp;$L827,SupplierRates!$A$5:$A$500,0)),0))</f>
        <v/>
      </c>
      <c r="R827" s="26" t="n">
        <f aca="false">IF(OR($D827="",$J827&lt;&gt;"Supplier"),0,F827*P827+G827*Q827)</f>
        <v>0</v>
      </c>
      <c r="S827" s="26" t="n">
        <f aca="false">IF(OR($D827="",$J827&lt;&gt;"Own"),0,IFERROR((F827+G827*Settings!$B$13)*INDEX(Workers!$V$5:$V$2004,MATCH($D827,Workers!$A$5:$A$2004,0)),0))</f>
        <v>0</v>
      </c>
      <c r="T827" s="26" t="str">
        <f aca="false">IF($D827="","",O827-R827-S827)</f>
        <v/>
      </c>
    </row>
    <row r="828" customFormat="false" ht="15" hidden="false" customHeight="false" outlineLevel="0" collapsed="false">
      <c r="I828" s="24" t="str">
        <f aca="false">IF($D828="","",IFERROR(INDEX(Workers!$B$5:$B$2004,MATCH($D828,Workers!$A$5:$A$2004,0)),"NOT FOUND"))</f>
        <v/>
      </c>
      <c r="J828" s="24" t="str">
        <f aca="false">IF($D828="","",IFERROR(INDEX(Workers!$C$5:$C$2004,MATCH($D828,Workers!$A$5:$A$2004,0)),""))</f>
        <v/>
      </c>
      <c r="K828" s="24" t="str">
        <f aca="false">IF($D828="","",IFERROR(IF(INDEX(Workers!$D$5:$D$2004,MATCH($D828,Workers!$A$5:$A$2004,0))=0,"",INDEX(Workers!$D$5:$D$2004,MATCH($D828,Workers!$A$5:$A$2004,0))),""))</f>
        <v/>
      </c>
      <c r="L828" s="24" t="str">
        <f aca="false">IF($D828="","",IFERROR(INDEX(Workers!$E$5:$E$2004,MATCH($D828,Workers!$A$5:$A$2004,0)),""))</f>
        <v/>
      </c>
      <c r="M828" s="26" t="str">
        <f aca="false">IF($D828="","",IFERROR(INDEX(ClientRates!$D$5:$D$500,MATCH($B828&amp;"|"&amp;$L828,ClientRates!$A$5:$A$500,0)),0))</f>
        <v/>
      </c>
      <c r="N828" s="26" t="str">
        <f aca="false">IF($D828="","",IFERROR(INDEX(ClientRates!$E$5:$E$500,MATCH($B828&amp;"|"&amp;$L828,ClientRates!$A$5:$A$500,0)),0))</f>
        <v/>
      </c>
      <c r="O828" s="26" t="str">
        <f aca="false">IF($D828="","",F828*M828+G828*N828)</f>
        <v/>
      </c>
      <c r="P828" s="26" t="str">
        <f aca="false">IF(OR($D828="",$J828&lt;&gt;"Supplier"),"",IFERROR(INDEX(SupplierRates!$D$5:$D$500,MATCH($K828&amp;"|"&amp;$L828,SupplierRates!$A$5:$A$500,0)),0))</f>
        <v/>
      </c>
      <c r="Q828" s="26" t="str">
        <f aca="false">IF(OR($D828="",$J828&lt;&gt;"Supplier"),"",IFERROR(INDEX(SupplierRates!$E$5:$E$500,MATCH($K828&amp;"|"&amp;$L828,SupplierRates!$A$5:$A$500,0)),0))</f>
        <v/>
      </c>
      <c r="R828" s="26" t="n">
        <f aca="false">IF(OR($D828="",$J828&lt;&gt;"Supplier"),0,F828*P828+G828*Q828)</f>
        <v>0</v>
      </c>
      <c r="S828" s="26" t="n">
        <f aca="false">IF(OR($D828="",$J828&lt;&gt;"Own"),0,IFERROR((F828+G828*Settings!$B$13)*INDEX(Workers!$V$5:$V$2004,MATCH($D828,Workers!$A$5:$A$2004,0)),0))</f>
        <v>0</v>
      </c>
      <c r="T828" s="26" t="str">
        <f aca="false">IF($D828="","",O828-R828-S828)</f>
        <v/>
      </c>
    </row>
    <row r="829" customFormat="false" ht="15" hidden="false" customHeight="false" outlineLevel="0" collapsed="false">
      <c r="I829" s="24" t="str">
        <f aca="false">IF($D829="","",IFERROR(INDEX(Workers!$B$5:$B$2004,MATCH($D829,Workers!$A$5:$A$2004,0)),"NOT FOUND"))</f>
        <v/>
      </c>
      <c r="J829" s="24" t="str">
        <f aca="false">IF($D829="","",IFERROR(INDEX(Workers!$C$5:$C$2004,MATCH($D829,Workers!$A$5:$A$2004,0)),""))</f>
        <v/>
      </c>
      <c r="K829" s="24" t="str">
        <f aca="false">IF($D829="","",IFERROR(IF(INDEX(Workers!$D$5:$D$2004,MATCH($D829,Workers!$A$5:$A$2004,0))=0,"",INDEX(Workers!$D$5:$D$2004,MATCH($D829,Workers!$A$5:$A$2004,0))),""))</f>
        <v/>
      </c>
      <c r="L829" s="24" t="str">
        <f aca="false">IF($D829="","",IFERROR(INDEX(Workers!$E$5:$E$2004,MATCH($D829,Workers!$A$5:$A$2004,0)),""))</f>
        <v/>
      </c>
      <c r="M829" s="26" t="str">
        <f aca="false">IF($D829="","",IFERROR(INDEX(ClientRates!$D$5:$D$500,MATCH($B829&amp;"|"&amp;$L829,ClientRates!$A$5:$A$500,0)),0))</f>
        <v/>
      </c>
      <c r="N829" s="26" t="str">
        <f aca="false">IF($D829="","",IFERROR(INDEX(ClientRates!$E$5:$E$500,MATCH($B829&amp;"|"&amp;$L829,ClientRates!$A$5:$A$500,0)),0))</f>
        <v/>
      </c>
      <c r="O829" s="26" t="str">
        <f aca="false">IF($D829="","",F829*M829+G829*N829)</f>
        <v/>
      </c>
      <c r="P829" s="26" t="str">
        <f aca="false">IF(OR($D829="",$J829&lt;&gt;"Supplier"),"",IFERROR(INDEX(SupplierRates!$D$5:$D$500,MATCH($K829&amp;"|"&amp;$L829,SupplierRates!$A$5:$A$500,0)),0))</f>
        <v/>
      </c>
      <c r="Q829" s="26" t="str">
        <f aca="false">IF(OR($D829="",$J829&lt;&gt;"Supplier"),"",IFERROR(INDEX(SupplierRates!$E$5:$E$500,MATCH($K829&amp;"|"&amp;$L829,SupplierRates!$A$5:$A$500,0)),0))</f>
        <v/>
      </c>
      <c r="R829" s="26" t="n">
        <f aca="false">IF(OR($D829="",$J829&lt;&gt;"Supplier"),0,F829*P829+G829*Q829)</f>
        <v>0</v>
      </c>
      <c r="S829" s="26" t="n">
        <f aca="false">IF(OR($D829="",$J829&lt;&gt;"Own"),0,IFERROR((F829+G829*Settings!$B$13)*INDEX(Workers!$V$5:$V$2004,MATCH($D829,Workers!$A$5:$A$2004,0)),0))</f>
        <v>0</v>
      </c>
      <c r="T829" s="26" t="str">
        <f aca="false">IF($D829="","",O829-R829-S829)</f>
        <v/>
      </c>
    </row>
    <row r="830" customFormat="false" ht="15" hidden="false" customHeight="false" outlineLevel="0" collapsed="false">
      <c r="I830" s="24" t="str">
        <f aca="false">IF($D830="","",IFERROR(INDEX(Workers!$B$5:$B$2004,MATCH($D830,Workers!$A$5:$A$2004,0)),"NOT FOUND"))</f>
        <v/>
      </c>
      <c r="J830" s="24" t="str">
        <f aca="false">IF($D830="","",IFERROR(INDEX(Workers!$C$5:$C$2004,MATCH($D830,Workers!$A$5:$A$2004,0)),""))</f>
        <v/>
      </c>
      <c r="K830" s="24" t="str">
        <f aca="false">IF($D830="","",IFERROR(IF(INDEX(Workers!$D$5:$D$2004,MATCH($D830,Workers!$A$5:$A$2004,0))=0,"",INDEX(Workers!$D$5:$D$2004,MATCH($D830,Workers!$A$5:$A$2004,0))),""))</f>
        <v/>
      </c>
      <c r="L830" s="24" t="str">
        <f aca="false">IF($D830="","",IFERROR(INDEX(Workers!$E$5:$E$2004,MATCH($D830,Workers!$A$5:$A$2004,0)),""))</f>
        <v/>
      </c>
      <c r="M830" s="26" t="str">
        <f aca="false">IF($D830="","",IFERROR(INDEX(ClientRates!$D$5:$D$500,MATCH($B830&amp;"|"&amp;$L830,ClientRates!$A$5:$A$500,0)),0))</f>
        <v/>
      </c>
      <c r="N830" s="26" t="str">
        <f aca="false">IF($D830="","",IFERROR(INDEX(ClientRates!$E$5:$E$500,MATCH($B830&amp;"|"&amp;$L830,ClientRates!$A$5:$A$500,0)),0))</f>
        <v/>
      </c>
      <c r="O830" s="26" t="str">
        <f aca="false">IF($D830="","",F830*M830+G830*N830)</f>
        <v/>
      </c>
      <c r="P830" s="26" t="str">
        <f aca="false">IF(OR($D830="",$J830&lt;&gt;"Supplier"),"",IFERROR(INDEX(SupplierRates!$D$5:$D$500,MATCH($K830&amp;"|"&amp;$L830,SupplierRates!$A$5:$A$500,0)),0))</f>
        <v/>
      </c>
      <c r="Q830" s="26" t="str">
        <f aca="false">IF(OR($D830="",$J830&lt;&gt;"Supplier"),"",IFERROR(INDEX(SupplierRates!$E$5:$E$500,MATCH($K830&amp;"|"&amp;$L830,SupplierRates!$A$5:$A$500,0)),0))</f>
        <v/>
      </c>
      <c r="R830" s="26" t="n">
        <f aca="false">IF(OR($D830="",$J830&lt;&gt;"Supplier"),0,F830*P830+G830*Q830)</f>
        <v>0</v>
      </c>
      <c r="S830" s="26" t="n">
        <f aca="false">IF(OR($D830="",$J830&lt;&gt;"Own"),0,IFERROR((F830+G830*Settings!$B$13)*INDEX(Workers!$V$5:$V$2004,MATCH($D830,Workers!$A$5:$A$2004,0)),0))</f>
        <v>0</v>
      </c>
      <c r="T830" s="26" t="str">
        <f aca="false">IF($D830="","",O830-R830-S830)</f>
        <v/>
      </c>
    </row>
    <row r="831" customFormat="false" ht="15" hidden="false" customHeight="false" outlineLevel="0" collapsed="false">
      <c r="I831" s="24" t="str">
        <f aca="false">IF($D831="","",IFERROR(INDEX(Workers!$B$5:$B$2004,MATCH($D831,Workers!$A$5:$A$2004,0)),"NOT FOUND"))</f>
        <v/>
      </c>
      <c r="J831" s="24" t="str">
        <f aca="false">IF($D831="","",IFERROR(INDEX(Workers!$C$5:$C$2004,MATCH($D831,Workers!$A$5:$A$2004,0)),""))</f>
        <v/>
      </c>
      <c r="K831" s="24" t="str">
        <f aca="false">IF($D831="","",IFERROR(IF(INDEX(Workers!$D$5:$D$2004,MATCH($D831,Workers!$A$5:$A$2004,0))=0,"",INDEX(Workers!$D$5:$D$2004,MATCH($D831,Workers!$A$5:$A$2004,0))),""))</f>
        <v/>
      </c>
      <c r="L831" s="24" t="str">
        <f aca="false">IF($D831="","",IFERROR(INDEX(Workers!$E$5:$E$2004,MATCH($D831,Workers!$A$5:$A$2004,0)),""))</f>
        <v/>
      </c>
      <c r="M831" s="26" t="str">
        <f aca="false">IF($D831="","",IFERROR(INDEX(ClientRates!$D$5:$D$500,MATCH($B831&amp;"|"&amp;$L831,ClientRates!$A$5:$A$500,0)),0))</f>
        <v/>
      </c>
      <c r="N831" s="26" t="str">
        <f aca="false">IF($D831="","",IFERROR(INDEX(ClientRates!$E$5:$E$500,MATCH($B831&amp;"|"&amp;$L831,ClientRates!$A$5:$A$500,0)),0))</f>
        <v/>
      </c>
      <c r="O831" s="26" t="str">
        <f aca="false">IF($D831="","",F831*M831+G831*N831)</f>
        <v/>
      </c>
      <c r="P831" s="26" t="str">
        <f aca="false">IF(OR($D831="",$J831&lt;&gt;"Supplier"),"",IFERROR(INDEX(SupplierRates!$D$5:$D$500,MATCH($K831&amp;"|"&amp;$L831,SupplierRates!$A$5:$A$500,0)),0))</f>
        <v/>
      </c>
      <c r="Q831" s="26" t="str">
        <f aca="false">IF(OR($D831="",$J831&lt;&gt;"Supplier"),"",IFERROR(INDEX(SupplierRates!$E$5:$E$500,MATCH($K831&amp;"|"&amp;$L831,SupplierRates!$A$5:$A$500,0)),0))</f>
        <v/>
      </c>
      <c r="R831" s="26" t="n">
        <f aca="false">IF(OR($D831="",$J831&lt;&gt;"Supplier"),0,F831*P831+G831*Q831)</f>
        <v>0</v>
      </c>
      <c r="S831" s="26" t="n">
        <f aca="false">IF(OR($D831="",$J831&lt;&gt;"Own"),0,IFERROR((F831+G831*Settings!$B$13)*INDEX(Workers!$V$5:$V$2004,MATCH($D831,Workers!$A$5:$A$2004,0)),0))</f>
        <v>0</v>
      </c>
      <c r="T831" s="26" t="str">
        <f aca="false">IF($D831="","",O831-R831-S831)</f>
        <v/>
      </c>
    </row>
    <row r="832" customFormat="false" ht="15" hidden="false" customHeight="false" outlineLevel="0" collapsed="false">
      <c r="I832" s="24" t="str">
        <f aca="false">IF($D832="","",IFERROR(INDEX(Workers!$B$5:$B$2004,MATCH($D832,Workers!$A$5:$A$2004,0)),"NOT FOUND"))</f>
        <v/>
      </c>
      <c r="J832" s="24" t="str">
        <f aca="false">IF($D832="","",IFERROR(INDEX(Workers!$C$5:$C$2004,MATCH($D832,Workers!$A$5:$A$2004,0)),""))</f>
        <v/>
      </c>
      <c r="K832" s="24" t="str">
        <f aca="false">IF($D832="","",IFERROR(IF(INDEX(Workers!$D$5:$D$2004,MATCH($D832,Workers!$A$5:$A$2004,0))=0,"",INDEX(Workers!$D$5:$D$2004,MATCH($D832,Workers!$A$5:$A$2004,0))),""))</f>
        <v/>
      </c>
      <c r="L832" s="24" t="str">
        <f aca="false">IF($D832="","",IFERROR(INDEX(Workers!$E$5:$E$2004,MATCH($D832,Workers!$A$5:$A$2004,0)),""))</f>
        <v/>
      </c>
      <c r="M832" s="26" t="str">
        <f aca="false">IF($D832="","",IFERROR(INDEX(ClientRates!$D$5:$D$500,MATCH($B832&amp;"|"&amp;$L832,ClientRates!$A$5:$A$500,0)),0))</f>
        <v/>
      </c>
      <c r="N832" s="26" t="str">
        <f aca="false">IF($D832="","",IFERROR(INDEX(ClientRates!$E$5:$E$500,MATCH($B832&amp;"|"&amp;$L832,ClientRates!$A$5:$A$500,0)),0))</f>
        <v/>
      </c>
      <c r="O832" s="26" t="str">
        <f aca="false">IF($D832="","",F832*M832+G832*N832)</f>
        <v/>
      </c>
      <c r="P832" s="26" t="str">
        <f aca="false">IF(OR($D832="",$J832&lt;&gt;"Supplier"),"",IFERROR(INDEX(SupplierRates!$D$5:$D$500,MATCH($K832&amp;"|"&amp;$L832,SupplierRates!$A$5:$A$500,0)),0))</f>
        <v/>
      </c>
      <c r="Q832" s="26" t="str">
        <f aca="false">IF(OR($D832="",$J832&lt;&gt;"Supplier"),"",IFERROR(INDEX(SupplierRates!$E$5:$E$500,MATCH($K832&amp;"|"&amp;$L832,SupplierRates!$A$5:$A$500,0)),0))</f>
        <v/>
      </c>
      <c r="R832" s="26" t="n">
        <f aca="false">IF(OR($D832="",$J832&lt;&gt;"Supplier"),0,F832*P832+G832*Q832)</f>
        <v>0</v>
      </c>
      <c r="S832" s="26" t="n">
        <f aca="false">IF(OR($D832="",$J832&lt;&gt;"Own"),0,IFERROR((F832+G832*Settings!$B$13)*INDEX(Workers!$V$5:$V$2004,MATCH($D832,Workers!$A$5:$A$2004,0)),0))</f>
        <v>0</v>
      </c>
      <c r="T832" s="26" t="str">
        <f aca="false">IF($D832="","",O832-R832-S832)</f>
        <v/>
      </c>
    </row>
    <row r="833" customFormat="false" ht="15" hidden="false" customHeight="false" outlineLevel="0" collapsed="false">
      <c r="I833" s="24" t="str">
        <f aca="false">IF($D833="","",IFERROR(INDEX(Workers!$B$5:$B$2004,MATCH($D833,Workers!$A$5:$A$2004,0)),"NOT FOUND"))</f>
        <v/>
      </c>
      <c r="J833" s="24" t="str">
        <f aca="false">IF($D833="","",IFERROR(INDEX(Workers!$C$5:$C$2004,MATCH($D833,Workers!$A$5:$A$2004,0)),""))</f>
        <v/>
      </c>
      <c r="K833" s="24" t="str">
        <f aca="false">IF($D833="","",IFERROR(IF(INDEX(Workers!$D$5:$D$2004,MATCH($D833,Workers!$A$5:$A$2004,0))=0,"",INDEX(Workers!$D$5:$D$2004,MATCH($D833,Workers!$A$5:$A$2004,0))),""))</f>
        <v/>
      </c>
      <c r="L833" s="24" t="str">
        <f aca="false">IF($D833="","",IFERROR(INDEX(Workers!$E$5:$E$2004,MATCH($D833,Workers!$A$5:$A$2004,0)),""))</f>
        <v/>
      </c>
      <c r="M833" s="26" t="str">
        <f aca="false">IF($D833="","",IFERROR(INDEX(ClientRates!$D$5:$D$500,MATCH($B833&amp;"|"&amp;$L833,ClientRates!$A$5:$A$500,0)),0))</f>
        <v/>
      </c>
      <c r="N833" s="26" t="str">
        <f aca="false">IF($D833="","",IFERROR(INDEX(ClientRates!$E$5:$E$500,MATCH($B833&amp;"|"&amp;$L833,ClientRates!$A$5:$A$500,0)),0))</f>
        <v/>
      </c>
      <c r="O833" s="26" t="str">
        <f aca="false">IF($D833="","",F833*M833+G833*N833)</f>
        <v/>
      </c>
      <c r="P833" s="26" t="str">
        <f aca="false">IF(OR($D833="",$J833&lt;&gt;"Supplier"),"",IFERROR(INDEX(SupplierRates!$D$5:$D$500,MATCH($K833&amp;"|"&amp;$L833,SupplierRates!$A$5:$A$500,0)),0))</f>
        <v/>
      </c>
      <c r="Q833" s="26" t="str">
        <f aca="false">IF(OR($D833="",$J833&lt;&gt;"Supplier"),"",IFERROR(INDEX(SupplierRates!$E$5:$E$500,MATCH($K833&amp;"|"&amp;$L833,SupplierRates!$A$5:$A$500,0)),0))</f>
        <v/>
      </c>
      <c r="R833" s="26" t="n">
        <f aca="false">IF(OR($D833="",$J833&lt;&gt;"Supplier"),0,F833*P833+G833*Q833)</f>
        <v>0</v>
      </c>
      <c r="S833" s="26" t="n">
        <f aca="false">IF(OR($D833="",$J833&lt;&gt;"Own"),0,IFERROR((F833+G833*Settings!$B$13)*INDEX(Workers!$V$5:$V$2004,MATCH($D833,Workers!$A$5:$A$2004,0)),0))</f>
        <v>0</v>
      </c>
      <c r="T833" s="26" t="str">
        <f aca="false">IF($D833="","",O833-R833-S833)</f>
        <v/>
      </c>
    </row>
    <row r="834" customFormat="false" ht="15" hidden="false" customHeight="false" outlineLevel="0" collapsed="false">
      <c r="I834" s="24" t="str">
        <f aca="false">IF($D834="","",IFERROR(INDEX(Workers!$B$5:$B$2004,MATCH($D834,Workers!$A$5:$A$2004,0)),"NOT FOUND"))</f>
        <v/>
      </c>
      <c r="J834" s="24" t="str">
        <f aca="false">IF($D834="","",IFERROR(INDEX(Workers!$C$5:$C$2004,MATCH($D834,Workers!$A$5:$A$2004,0)),""))</f>
        <v/>
      </c>
      <c r="K834" s="24" t="str">
        <f aca="false">IF($D834="","",IFERROR(IF(INDEX(Workers!$D$5:$D$2004,MATCH($D834,Workers!$A$5:$A$2004,0))=0,"",INDEX(Workers!$D$5:$D$2004,MATCH($D834,Workers!$A$5:$A$2004,0))),""))</f>
        <v/>
      </c>
      <c r="L834" s="24" t="str">
        <f aca="false">IF($D834="","",IFERROR(INDEX(Workers!$E$5:$E$2004,MATCH($D834,Workers!$A$5:$A$2004,0)),""))</f>
        <v/>
      </c>
      <c r="M834" s="26" t="str">
        <f aca="false">IF($D834="","",IFERROR(INDEX(ClientRates!$D$5:$D$500,MATCH($B834&amp;"|"&amp;$L834,ClientRates!$A$5:$A$500,0)),0))</f>
        <v/>
      </c>
      <c r="N834" s="26" t="str">
        <f aca="false">IF($D834="","",IFERROR(INDEX(ClientRates!$E$5:$E$500,MATCH($B834&amp;"|"&amp;$L834,ClientRates!$A$5:$A$500,0)),0))</f>
        <v/>
      </c>
      <c r="O834" s="26" t="str">
        <f aca="false">IF($D834="","",F834*M834+G834*N834)</f>
        <v/>
      </c>
      <c r="P834" s="26" t="str">
        <f aca="false">IF(OR($D834="",$J834&lt;&gt;"Supplier"),"",IFERROR(INDEX(SupplierRates!$D$5:$D$500,MATCH($K834&amp;"|"&amp;$L834,SupplierRates!$A$5:$A$500,0)),0))</f>
        <v/>
      </c>
      <c r="Q834" s="26" t="str">
        <f aca="false">IF(OR($D834="",$J834&lt;&gt;"Supplier"),"",IFERROR(INDEX(SupplierRates!$E$5:$E$500,MATCH($K834&amp;"|"&amp;$L834,SupplierRates!$A$5:$A$500,0)),0))</f>
        <v/>
      </c>
      <c r="R834" s="26" t="n">
        <f aca="false">IF(OR($D834="",$J834&lt;&gt;"Supplier"),0,F834*P834+G834*Q834)</f>
        <v>0</v>
      </c>
      <c r="S834" s="26" t="n">
        <f aca="false">IF(OR($D834="",$J834&lt;&gt;"Own"),0,IFERROR((F834+G834*Settings!$B$13)*INDEX(Workers!$V$5:$V$2004,MATCH($D834,Workers!$A$5:$A$2004,0)),0))</f>
        <v>0</v>
      </c>
      <c r="T834" s="26" t="str">
        <f aca="false">IF($D834="","",O834-R834-S834)</f>
        <v/>
      </c>
    </row>
    <row r="835" customFormat="false" ht="15" hidden="false" customHeight="false" outlineLevel="0" collapsed="false">
      <c r="I835" s="24" t="str">
        <f aca="false">IF($D835="","",IFERROR(INDEX(Workers!$B$5:$B$2004,MATCH($D835,Workers!$A$5:$A$2004,0)),"NOT FOUND"))</f>
        <v/>
      </c>
      <c r="J835" s="24" t="str">
        <f aca="false">IF($D835="","",IFERROR(INDEX(Workers!$C$5:$C$2004,MATCH($D835,Workers!$A$5:$A$2004,0)),""))</f>
        <v/>
      </c>
      <c r="K835" s="24" t="str">
        <f aca="false">IF($D835="","",IFERROR(IF(INDEX(Workers!$D$5:$D$2004,MATCH($D835,Workers!$A$5:$A$2004,0))=0,"",INDEX(Workers!$D$5:$D$2004,MATCH($D835,Workers!$A$5:$A$2004,0))),""))</f>
        <v/>
      </c>
      <c r="L835" s="24" t="str">
        <f aca="false">IF($D835="","",IFERROR(INDEX(Workers!$E$5:$E$2004,MATCH($D835,Workers!$A$5:$A$2004,0)),""))</f>
        <v/>
      </c>
      <c r="M835" s="26" t="str">
        <f aca="false">IF($D835="","",IFERROR(INDEX(ClientRates!$D$5:$D$500,MATCH($B835&amp;"|"&amp;$L835,ClientRates!$A$5:$A$500,0)),0))</f>
        <v/>
      </c>
      <c r="N835" s="26" t="str">
        <f aca="false">IF($D835="","",IFERROR(INDEX(ClientRates!$E$5:$E$500,MATCH($B835&amp;"|"&amp;$L835,ClientRates!$A$5:$A$500,0)),0))</f>
        <v/>
      </c>
      <c r="O835" s="26" t="str">
        <f aca="false">IF($D835="","",F835*M835+G835*N835)</f>
        <v/>
      </c>
      <c r="P835" s="26" t="str">
        <f aca="false">IF(OR($D835="",$J835&lt;&gt;"Supplier"),"",IFERROR(INDEX(SupplierRates!$D$5:$D$500,MATCH($K835&amp;"|"&amp;$L835,SupplierRates!$A$5:$A$500,0)),0))</f>
        <v/>
      </c>
      <c r="Q835" s="26" t="str">
        <f aca="false">IF(OR($D835="",$J835&lt;&gt;"Supplier"),"",IFERROR(INDEX(SupplierRates!$E$5:$E$500,MATCH($K835&amp;"|"&amp;$L835,SupplierRates!$A$5:$A$500,0)),0))</f>
        <v/>
      </c>
      <c r="R835" s="26" t="n">
        <f aca="false">IF(OR($D835="",$J835&lt;&gt;"Supplier"),0,F835*P835+G835*Q835)</f>
        <v>0</v>
      </c>
      <c r="S835" s="26" t="n">
        <f aca="false">IF(OR($D835="",$J835&lt;&gt;"Own"),0,IFERROR((F835+G835*Settings!$B$13)*INDEX(Workers!$V$5:$V$2004,MATCH($D835,Workers!$A$5:$A$2004,0)),0))</f>
        <v>0</v>
      </c>
      <c r="T835" s="26" t="str">
        <f aca="false">IF($D835="","",O835-R835-S835)</f>
        <v/>
      </c>
    </row>
    <row r="836" customFormat="false" ht="15" hidden="false" customHeight="false" outlineLevel="0" collapsed="false">
      <c r="I836" s="24" t="str">
        <f aca="false">IF($D836="","",IFERROR(INDEX(Workers!$B$5:$B$2004,MATCH($D836,Workers!$A$5:$A$2004,0)),"NOT FOUND"))</f>
        <v/>
      </c>
      <c r="J836" s="24" t="str">
        <f aca="false">IF($D836="","",IFERROR(INDEX(Workers!$C$5:$C$2004,MATCH($D836,Workers!$A$5:$A$2004,0)),""))</f>
        <v/>
      </c>
      <c r="K836" s="24" t="str">
        <f aca="false">IF($D836="","",IFERROR(IF(INDEX(Workers!$D$5:$D$2004,MATCH($D836,Workers!$A$5:$A$2004,0))=0,"",INDEX(Workers!$D$5:$D$2004,MATCH($D836,Workers!$A$5:$A$2004,0))),""))</f>
        <v/>
      </c>
      <c r="L836" s="24" t="str">
        <f aca="false">IF($D836="","",IFERROR(INDEX(Workers!$E$5:$E$2004,MATCH($D836,Workers!$A$5:$A$2004,0)),""))</f>
        <v/>
      </c>
      <c r="M836" s="26" t="str">
        <f aca="false">IF($D836="","",IFERROR(INDEX(ClientRates!$D$5:$D$500,MATCH($B836&amp;"|"&amp;$L836,ClientRates!$A$5:$A$500,0)),0))</f>
        <v/>
      </c>
      <c r="N836" s="26" t="str">
        <f aca="false">IF($D836="","",IFERROR(INDEX(ClientRates!$E$5:$E$500,MATCH($B836&amp;"|"&amp;$L836,ClientRates!$A$5:$A$500,0)),0))</f>
        <v/>
      </c>
      <c r="O836" s="26" t="str">
        <f aca="false">IF($D836="","",F836*M836+G836*N836)</f>
        <v/>
      </c>
      <c r="P836" s="26" t="str">
        <f aca="false">IF(OR($D836="",$J836&lt;&gt;"Supplier"),"",IFERROR(INDEX(SupplierRates!$D$5:$D$500,MATCH($K836&amp;"|"&amp;$L836,SupplierRates!$A$5:$A$500,0)),0))</f>
        <v/>
      </c>
      <c r="Q836" s="26" t="str">
        <f aca="false">IF(OR($D836="",$J836&lt;&gt;"Supplier"),"",IFERROR(INDEX(SupplierRates!$E$5:$E$500,MATCH($K836&amp;"|"&amp;$L836,SupplierRates!$A$5:$A$500,0)),0))</f>
        <v/>
      </c>
      <c r="R836" s="26" t="n">
        <f aca="false">IF(OR($D836="",$J836&lt;&gt;"Supplier"),0,F836*P836+G836*Q836)</f>
        <v>0</v>
      </c>
      <c r="S836" s="26" t="n">
        <f aca="false">IF(OR($D836="",$J836&lt;&gt;"Own"),0,IFERROR((F836+G836*Settings!$B$13)*INDEX(Workers!$V$5:$V$2004,MATCH($D836,Workers!$A$5:$A$2004,0)),0))</f>
        <v>0</v>
      </c>
      <c r="T836" s="26" t="str">
        <f aca="false">IF($D836="","",O836-R836-S836)</f>
        <v/>
      </c>
    </row>
    <row r="837" customFormat="false" ht="15" hidden="false" customHeight="false" outlineLevel="0" collapsed="false">
      <c r="I837" s="24" t="str">
        <f aca="false">IF($D837="","",IFERROR(INDEX(Workers!$B$5:$B$2004,MATCH($D837,Workers!$A$5:$A$2004,0)),"NOT FOUND"))</f>
        <v/>
      </c>
      <c r="J837" s="24" t="str">
        <f aca="false">IF($D837="","",IFERROR(INDEX(Workers!$C$5:$C$2004,MATCH($D837,Workers!$A$5:$A$2004,0)),""))</f>
        <v/>
      </c>
      <c r="K837" s="24" t="str">
        <f aca="false">IF($D837="","",IFERROR(IF(INDEX(Workers!$D$5:$D$2004,MATCH($D837,Workers!$A$5:$A$2004,0))=0,"",INDEX(Workers!$D$5:$D$2004,MATCH($D837,Workers!$A$5:$A$2004,0))),""))</f>
        <v/>
      </c>
      <c r="L837" s="24" t="str">
        <f aca="false">IF($D837="","",IFERROR(INDEX(Workers!$E$5:$E$2004,MATCH($D837,Workers!$A$5:$A$2004,0)),""))</f>
        <v/>
      </c>
      <c r="M837" s="26" t="str">
        <f aca="false">IF($D837="","",IFERROR(INDEX(ClientRates!$D$5:$D$500,MATCH($B837&amp;"|"&amp;$L837,ClientRates!$A$5:$A$500,0)),0))</f>
        <v/>
      </c>
      <c r="N837" s="26" t="str">
        <f aca="false">IF($D837="","",IFERROR(INDEX(ClientRates!$E$5:$E$500,MATCH($B837&amp;"|"&amp;$L837,ClientRates!$A$5:$A$500,0)),0))</f>
        <v/>
      </c>
      <c r="O837" s="26" t="str">
        <f aca="false">IF($D837="","",F837*M837+G837*N837)</f>
        <v/>
      </c>
      <c r="P837" s="26" t="str">
        <f aca="false">IF(OR($D837="",$J837&lt;&gt;"Supplier"),"",IFERROR(INDEX(SupplierRates!$D$5:$D$500,MATCH($K837&amp;"|"&amp;$L837,SupplierRates!$A$5:$A$500,0)),0))</f>
        <v/>
      </c>
      <c r="Q837" s="26" t="str">
        <f aca="false">IF(OR($D837="",$J837&lt;&gt;"Supplier"),"",IFERROR(INDEX(SupplierRates!$E$5:$E$500,MATCH($K837&amp;"|"&amp;$L837,SupplierRates!$A$5:$A$500,0)),0))</f>
        <v/>
      </c>
      <c r="R837" s="26" t="n">
        <f aca="false">IF(OR($D837="",$J837&lt;&gt;"Supplier"),0,F837*P837+G837*Q837)</f>
        <v>0</v>
      </c>
      <c r="S837" s="26" t="n">
        <f aca="false">IF(OR($D837="",$J837&lt;&gt;"Own"),0,IFERROR((F837+G837*Settings!$B$13)*INDEX(Workers!$V$5:$V$2004,MATCH($D837,Workers!$A$5:$A$2004,0)),0))</f>
        <v>0</v>
      </c>
      <c r="T837" s="26" t="str">
        <f aca="false">IF($D837="","",O837-R837-S837)</f>
        <v/>
      </c>
    </row>
    <row r="838" customFormat="false" ht="15" hidden="false" customHeight="false" outlineLevel="0" collapsed="false">
      <c r="I838" s="24" t="str">
        <f aca="false">IF($D838="","",IFERROR(INDEX(Workers!$B$5:$B$2004,MATCH($D838,Workers!$A$5:$A$2004,0)),"NOT FOUND"))</f>
        <v/>
      </c>
      <c r="J838" s="24" t="str">
        <f aca="false">IF($D838="","",IFERROR(INDEX(Workers!$C$5:$C$2004,MATCH($D838,Workers!$A$5:$A$2004,0)),""))</f>
        <v/>
      </c>
      <c r="K838" s="24" t="str">
        <f aca="false">IF($D838="","",IFERROR(IF(INDEX(Workers!$D$5:$D$2004,MATCH($D838,Workers!$A$5:$A$2004,0))=0,"",INDEX(Workers!$D$5:$D$2004,MATCH($D838,Workers!$A$5:$A$2004,0))),""))</f>
        <v/>
      </c>
      <c r="L838" s="24" t="str">
        <f aca="false">IF($D838="","",IFERROR(INDEX(Workers!$E$5:$E$2004,MATCH($D838,Workers!$A$5:$A$2004,0)),""))</f>
        <v/>
      </c>
      <c r="M838" s="26" t="str">
        <f aca="false">IF($D838="","",IFERROR(INDEX(ClientRates!$D$5:$D$500,MATCH($B838&amp;"|"&amp;$L838,ClientRates!$A$5:$A$500,0)),0))</f>
        <v/>
      </c>
      <c r="N838" s="26" t="str">
        <f aca="false">IF($D838="","",IFERROR(INDEX(ClientRates!$E$5:$E$500,MATCH($B838&amp;"|"&amp;$L838,ClientRates!$A$5:$A$500,0)),0))</f>
        <v/>
      </c>
      <c r="O838" s="26" t="str">
        <f aca="false">IF($D838="","",F838*M838+G838*N838)</f>
        <v/>
      </c>
      <c r="P838" s="26" t="str">
        <f aca="false">IF(OR($D838="",$J838&lt;&gt;"Supplier"),"",IFERROR(INDEX(SupplierRates!$D$5:$D$500,MATCH($K838&amp;"|"&amp;$L838,SupplierRates!$A$5:$A$500,0)),0))</f>
        <v/>
      </c>
      <c r="Q838" s="26" t="str">
        <f aca="false">IF(OR($D838="",$J838&lt;&gt;"Supplier"),"",IFERROR(INDEX(SupplierRates!$E$5:$E$500,MATCH($K838&amp;"|"&amp;$L838,SupplierRates!$A$5:$A$500,0)),0))</f>
        <v/>
      </c>
      <c r="R838" s="26" t="n">
        <f aca="false">IF(OR($D838="",$J838&lt;&gt;"Supplier"),0,F838*P838+G838*Q838)</f>
        <v>0</v>
      </c>
      <c r="S838" s="26" t="n">
        <f aca="false">IF(OR($D838="",$J838&lt;&gt;"Own"),0,IFERROR((F838+G838*Settings!$B$13)*INDEX(Workers!$V$5:$V$2004,MATCH($D838,Workers!$A$5:$A$2004,0)),0))</f>
        <v>0</v>
      </c>
      <c r="T838" s="26" t="str">
        <f aca="false">IF($D838="","",O838-R838-S838)</f>
        <v/>
      </c>
    </row>
    <row r="839" customFormat="false" ht="15" hidden="false" customHeight="false" outlineLevel="0" collapsed="false">
      <c r="I839" s="24" t="str">
        <f aca="false">IF($D839="","",IFERROR(INDEX(Workers!$B$5:$B$2004,MATCH($D839,Workers!$A$5:$A$2004,0)),"NOT FOUND"))</f>
        <v/>
      </c>
      <c r="J839" s="24" t="str">
        <f aca="false">IF($D839="","",IFERROR(INDEX(Workers!$C$5:$C$2004,MATCH($D839,Workers!$A$5:$A$2004,0)),""))</f>
        <v/>
      </c>
      <c r="K839" s="24" t="str">
        <f aca="false">IF($D839="","",IFERROR(IF(INDEX(Workers!$D$5:$D$2004,MATCH($D839,Workers!$A$5:$A$2004,0))=0,"",INDEX(Workers!$D$5:$D$2004,MATCH($D839,Workers!$A$5:$A$2004,0))),""))</f>
        <v/>
      </c>
      <c r="L839" s="24" t="str">
        <f aca="false">IF($D839="","",IFERROR(INDEX(Workers!$E$5:$E$2004,MATCH($D839,Workers!$A$5:$A$2004,0)),""))</f>
        <v/>
      </c>
      <c r="M839" s="26" t="str">
        <f aca="false">IF($D839="","",IFERROR(INDEX(ClientRates!$D$5:$D$500,MATCH($B839&amp;"|"&amp;$L839,ClientRates!$A$5:$A$500,0)),0))</f>
        <v/>
      </c>
      <c r="N839" s="26" t="str">
        <f aca="false">IF($D839="","",IFERROR(INDEX(ClientRates!$E$5:$E$500,MATCH($B839&amp;"|"&amp;$L839,ClientRates!$A$5:$A$500,0)),0))</f>
        <v/>
      </c>
      <c r="O839" s="26" t="str">
        <f aca="false">IF($D839="","",F839*M839+G839*N839)</f>
        <v/>
      </c>
      <c r="P839" s="26" t="str">
        <f aca="false">IF(OR($D839="",$J839&lt;&gt;"Supplier"),"",IFERROR(INDEX(SupplierRates!$D$5:$D$500,MATCH($K839&amp;"|"&amp;$L839,SupplierRates!$A$5:$A$500,0)),0))</f>
        <v/>
      </c>
      <c r="Q839" s="26" t="str">
        <f aca="false">IF(OR($D839="",$J839&lt;&gt;"Supplier"),"",IFERROR(INDEX(SupplierRates!$E$5:$E$500,MATCH($K839&amp;"|"&amp;$L839,SupplierRates!$A$5:$A$500,0)),0))</f>
        <v/>
      </c>
      <c r="R839" s="26" t="n">
        <f aca="false">IF(OR($D839="",$J839&lt;&gt;"Supplier"),0,F839*P839+G839*Q839)</f>
        <v>0</v>
      </c>
      <c r="S839" s="26" t="n">
        <f aca="false">IF(OR($D839="",$J839&lt;&gt;"Own"),0,IFERROR((F839+G839*Settings!$B$13)*INDEX(Workers!$V$5:$V$2004,MATCH($D839,Workers!$A$5:$A$2004,0)),0))</f>
        <v>0</v>
      </c>
      <c r="T839" s="26" t="str">
        <f aca="false">IF($D839="","",O839-R839-S839)</f>
        <v/>
      </c>
    </row>
    <row r="840" customFormat="false" ht="15" hidden="false" customHeight="false" outlineLevel="0" collapsed="false">
      <c r="I840" s="24" t="str">
        <f aca="false">IF($D840="","",IFERROR(INDEX(Workers!$B$5:$B$2004,MATCH($D840,Workers!$A$5:$A$2004,0)),"NOT FOUND"))</f>
        <v/>
      </c>
      <c r="J840" s="24" t="str">
        <f aca="false">IF($D840="","",IFERROR(INDEX(Workers!$C$5:$C$2004,MATCH($D840,Workers!$A$5:$A$2004,0)),""))</f>
        <v/>
      </c>
      <c r="K840" s="24" t="str">
        <f aca="false">IF($D840="","",IFERROR(IF(INDEX(Workers!$D$5:$D$2004,MATCH($D840,Workers!$A$5:$A$2004,0))=0,"",INDEX(Workers!$D$5:$D$2004,MATCH($D840,Workers!$A$5:$A$2004,0))),""))</f>
        <v/>
      </c>
      <c r="L840" s="24" t="str">
        <f aca="false">IF($D840="","",IFERROR(INDEX(Workers!$E$5:$E$2004,MATCH($D840,Workers!$A$5:$A$2004,0)),""))</f>
        <v/>
      </c>
      <c r="M840" s="26" t="str">
        <f aca="false">IF($D840="","",IFERROR(INDEX(ClientRates!$D$5:$D$500,MATCH($B840&amp;"|"&amp;$L840,ClientRates!$A$5:$A$500,0)),0))</f>
        <v/>
      </c>
      <c r="N840" s="26" t="str">
        <f aca="false">IF($D840="","",IFERROR(INDEX(ClientRates!$E$5:$E$500,MATCH($B840&amp;"|"&amp;$L840,ClientRates!$A$5:$A$500,0)),0))</f>
        <v/>
      </c>
      <c r="O840" s="26" t="str">
        <f aca="false">IF($D840="","",F840*M840+G840*N840)</f>
        <v/>
      </c>
      <c r="P840" s="26" t="str">
        <f aca="false">IF(OR($D840="",$J840&lt;&gt;"Supplier"),"",IFERROR(INDEX(SupplierRates!$D$5:$D$500,MATCH($K840&amp;"|"&amp;$L840,SupplierRates!$A$5:$A$500,0)),0))</f>
        <v/>
      </c>
      <c r="Q840" s="26" t="str">
        <f aca="false">IF(OR($D840="",$J840&lt;&gt;"Supplier"),"",IFERROR(INDEX(SupplierRates!$E$5:$E$500,MATCH($K840&amp;"|"&amp;$L840,SupplierRates!$A$5:$A$500,0)),0))</f>
        <v/>
      </c>
      <c r="R840" s="26" t="n">
        <f aca="false">IF(OR($D840="",$J840&lt;&gt;"Supplier"),0,F840*P840+G840*Q840)</f>
        <v>0</v>
      </c>
      <c r="S840" s="26" t="n">
        <f aca="false">IF(OR($D840="",$J840&lt;&gt;"Own"),0,IFERROR((F840+G840*Settings!$B$13)*INDEX(Workers!$V$5:$V$2004,MATCH($D840,Workers!$A$5:$A$2004,0)),0))</f>
        <v>0</v>
      </c>
      <c r="T840" s="26" t="str">
        <f aca="false">IF($D840="","",O840-R840-S840)</f>
        <v/>
      </c>
    </row>
    <row r="841" customFormat="false" ht="15" hidden="false" customHeight="false" outlineLevel="0" collapsed="false">
      <c r="I841" s="24" t="str">
        <f aca="false">IF($D841="","",IFERROR(INDEX(Workers!$B$5:$B$2004,MATCH($D841,Workers!$A$5:$A$2004,0)),"NOT FOUND"))</f>
        <v/>
      </c>
      <c r="J841" s="24" t="str">
        <f aca="false">IF($D841="","",IFERROR(INDEX(Workers!$C$5:$C$2004,MATCH($D841,Workers!$A$5:$A$2004,0)),""))</f>
        <v/>
      </c>
      <c r="K841" s="24" t="str">
        <f aca="false">IF($D841="","",IFERROR(IF(INDEX(Workers!$D$5:$D$2004,MATCH($D841,Workers!$A$5:$A$2004,0))=0,"",INDEX(Workers!$D$5:$D$2004,MATCH($D841,Workers!$A$5:$A$2004,0))),""))</f>
        <v/>
      </c>
      <c r="L841" s="24" t="str">
        <f aca="false">IF($D841="","",IFERROR(INDEX(Workers!$E$5:$E$2004,MATCH($D841,Workers!$A$5:$A$2004,0)),""))</f>
        <v/>
      </c>
      <c r="M841" s="26" t="str">
        <f aca="false">IF($D841="","",IFERROR(INDEX(ClientRates!$D$5:$D$500,MATCH($B841&amp;"|"&amp;$L841,ClientRates!$A$5:$A$500,0)),0))</f>
        <v/>
      </c>
      <c r="N841" s="26" t="str">
        <f aca="false">IF($D841="","",IFERROR(INDEX(ClientRates!$E$5:$E$500,MATCH($B841&amp;"|"&amp;$L841,ClientRates!$A$5:$A$500,0)),0))</f>
        <v/>
      </c>
      <c r="O841" s="26" t="str">
        <f aca="false">IF($D841="","",F841*M841+G841*N841)</f>
        <v/>
      </c>
      <c r="P841" s="26" t="str">
        <f aca="false">IF(OR($D841="",$J841&lt;&gt;"Supplier"),"",IFERROR(INDEX(SupplierRates!$D$5:$D$500,MATCH($K841&amp;"|"&amp;$L841,SupplierRates!$A$5:$A$500,0)),0))</f>
        <v/>
      </c>
      <c r="Q841" s="26" t="str">
        <f aca="false">IF(OR($D841="",$J841&lt;&gt;"Supplier"),"",IFERROR(INDEX(SupplierRates!$E$5:$E$500,MATCH($K841&amp;"|"&amp;$L841,SupplierRates!$A$5:$A$500,0)),0))</f>
        <v/>
      </c>
      <c r="R841" s="26" t="n">
        <f aca="false">IF(OR($D841="",$J841&lt;&gt;"Supplier"),0,F841*P841+G841*Q841)</f>
        <v>0</v>
      </c>
      <c r="S841" s="26" t="n">
        <f aca="false">IF(OR($D841="",$J841&lt;&gt;"Own"),0,IFERROR((F841+G841*Settings!$B$13)*INDEX(Workers!$V$5:$V$2004,MATCH($D841,Workers!$A$5:$A$2004,0)),0))</f>
        <v>0</v>
      </c>
      <c r="T841" s="26" t="str">
        <f aca="false">IF($D841="","",O841-R841-S841)</f>
        <v/>
      </c>
    </row>
    <row r="842" customFormat="false" ht="15" hidden="false" customHeight="false" outlineLevel="0" collapsed="false">
      <c r="I842" s="24" t="str">
        <f aca="false">IF($D842="","",IFERROR(INDEX(Workers!$B$5:$B$2004,MATCH($D842,Workers!$A$5:$A$2004,0)),"NOT FOUND"))</f>
        <v/>
      </c>
      <c r="J842" s="24" t="str">
        <f aca="false">IF($D842="","",IFERROR(INDEX(Workers!$C$5:$C$2004,MATCH($D842,Workers!$A$5:$A$2004,0)),""))</f>
        <v/>
      </c>
      <c r="K842" s="24" t="str">
        <f aca="false">IF($D842="","",IFERROR(IF(INDEX(Workers!$D$5:$D$2004,MATCH($D842,Workers!$A$5:$A$2004,0))=0,"",INDEX(Workers!$D$5:$D$2004,MATCH($D842,Workers!$A$5:$A$2004,0))),""))</f>
        <v/>
      </c>
      <c r="L842" s="24" t="str">
        <f aca="false">IF($D842="","",IFERROR(INDEX(Workers!$E$5:$E$2004,MATCH($D842,Workers!$A$5:$A$2004,0)),""))</f>
        <v/>
      </c>
      <c r="M842" s="26" t="str">
        <f aca="false">IF($D842="","",IFERROR(INDEX(ClientRates!$D$5:$D$500,MATCH($B842&amp;"|"&amp;$L842,ClientRates!$A$5:$A$500,0)),0))</f>
        <v/>
      </c>
      <c r="N842" s="26" t="str">
        <f aca="false">IF($D842="","",IFERROR(INDEX(ClientRates!$E$5:$E$500,MATCH($B842&amp;"|"&amp;$L842,ClientRates!$A$5:$A$500,0)),0))</f>
        <v/>
      </c>
      <c r="O842" s="26" t="str">
        <f aca="false">IF($D842="","",F842*M842+G842*N842)</f>
        <v/>
      </c>
      <c r="P842" s="26" t="str">
        <f aca="false">IF(OR($D842="",$J842&lt;&gt;"Supplier"),"",IFERROR(INDEX(SupplierRates!$D$5:$D$500,MATCH($K842&amp;"|"&amp;$L842,SupplierRates!$A$5:$A$500,0)),0))</f>
        <v/>
      </c>
      <c r="Q842" s="26" t="str">
        <f aca="false">IF(OR($D842="",$J842&lt;&gt;"Supplier"),"",IFERROR(INDEX(SupplierRates!$E$5:$E$500,MATCH($K842&amp;"|"&amp;$L842,SupplierRates!$A$5:$A$500,0)),0))</f>
        <v/>
      </c>
      <c r="R842" s="26" t="n">
        <f aca="false">IF(OR($D842="",$J842&lt;&gt;"Supplier"),0,F842*P842+G842*Q842)</f>
        <v>0</v>
      </c>
      <c r="S842" s="26" t="n">
        <f aca="false">IF(OR($D842="",$J842&lt;&gt;"Own"),0,IFERROR((F842+G842*Settings!$B$13)*INDEX(Workers!$V$5:$V$2004,MATCH($D842,Workers!$A$5:$A$2004,0)),0))</f>
        <v>0</v>
      </c>
      <c r="T842" s="26" t="str">
        <f aca="false">IF($D842="","",O842-R842-S842)</f>
        <v/>
      </c>
    </row>
    <row r="843" customFormat="false" ht="15" hidden="false" customHeight="false" outlineLevel="0" collapsed="false">
      <c r="I843" s="24" t="str">
        <f aca="false">IF($D843="","",IFERROR(INDEX(Workers!$B$5:$B$2004,MATCH($D843,Workers!$A$5:$A$2004,0)),"NOT FOUND"))</f>
        <v/>
      </c>
      <c r="J843" s="24" t="str">
        <f aca="false">IF($D843="","",IFERROR(INDEX(Workers!$C$5:$C$2004,MATCH($D843,Workers!$A$5:$A$2004,0)),""))</f>
        <v/>
      </c>
      <c r="K843" s="24" t="str">
        <f aca="false">IF($D843="","",IFERROR(IF(INDEX(Workers!$D$5:$D$2004,MATCH($D843,Workers!$A$5:$A$2004,0))=0,"",INDEX(Workers!$D$5:$D$2004,MATCH($D843,Workers!$A$5:$A$2004,0))),""))</f>
        <v/>
      </c>
      <c r="L843" s="24" t="str">
        <f aca="false">IF($D843="","",IFERROR(INDEX(Workers!$E$5:$E$2004,MATCH($D843,Workers!$A$5:$A$2004,0)),""))</f>
        <v/>
      </c>
      <c r="M843" s="26" t="str">
        <f aca="false">IF($D843="","",IFERROR(INDEX(ClientRates!$D$5:$D$500,MATCH($B843&amp;"|"&amp;$L843,ClientRates!$A$5:$A$500,0)),0))</f>
        <v/>
      </c>
      <c r="N843" s="26" t="str">
        <f aca="false">IF($D843="","",IFERROR(INDEX(ClientRates!$E$5:$E$500,MATCH($B843&amp;"|"&amp;$L843,ClientRates!$A$5:$A$500,0)),0))</f>
        <v/>
      </c>
      <c r="O843" s="26" t="str">
        <f aca="false">IF($D843="","",F843*M843+G843*N843)</f>
        <v/>
      </c>
      <c r="P843" s="26" t="str">
        <f aca="false">IF(OR($D843="",$J843&lt;&gt;"Supplier"),"",IFERROR(INDEX(SupplierRates!$D$5:$D$500,MATCH($K843&amp;"|"&amp;$L843,SupplierRates!$A$5:$A$500,0)),0))</f>
        <v/>
      </c>
      <c r="Q843" s="26" t="str">
        <f aca="false">IF(OR($D843="",$J843&lt;&gt;"Supplier"),"",IFERROR(INDEX(SupplierRates!$E$5:$E$500,MATCH($K843&amp;"|"&amp;$L843,SupplierRates!$A$5:$A$500,0)),0))</f>
        <v/>
      </c>
      <c r="R843" s="26" t="n">
        <f aca="false">IF(OR($D843="",$J843&lt;&gt;"Supplier"),0,F843*P843+G843*Q843)</f>
        <v>0</v>
      </c>
      <c r="S843" s="26" t="n">
        <f aca="false">IF(OR($D843="",$J843&lt;&gt;"Own"),0,IFERROR((F843+G843*Settings!$B$13)*INDEX(Workers!$V$5:$V$2004,MATCH($D843,Workers!$A$5:$A$2004,0)),0))</f>
        <v>0</v>
      </c>
      <c r="T843" s="26" t="str">
        <f aca="false">IF($D843="","",O843-R843-S843)</f>
        <v/>
      </c>
    </row>
    <row r="844" customFormat="false" ht="15" hidden="false" customHeight="false" outlineLevel="0" collapsed="false">
      <c r="I844" s="24" t="str">
        <f aca="false">IF($D844="","",IFERROR(INDEX(Workers!$B$5:$B$2004,MATCH($D844,Workers!$A$5:$A$2004,0)),"NOT FOUND"))</f>
        <v/>
      </c>
      <c r="J844" s="24" t="str">
        <f aca="false">IF($D844="","",IFERROR(INDEX(Workers!$C$5:$C$2004,MATCH($D844,Workers!$A$5:$A$2004,0)),""))</f>
        <v/>
      </c>
      <c r="K844" s="24" t="str">
        <f aca="false">IF($D844="","",IFERROR(IF(INDEX(Workers!$D$5:$D$2004,MATCH($D844,Workers!$A$5:$A$2004,0))=0,"",INDEX(Workers!$D$5:$D$2004,MATCH($D844,Workers!$A$5:$A$2004,0))),""))</f>
        <v/>
      </c>
      <c r="L844" s="24" t="str">
        <f aca="false">IF($D844="","",IFERROR(INDEX(Workers!$E$5:$E$2004,MATCH($D844,Workers!$A$5:$A$2004,0)),""))</f>
        <v/>
      </c>
      <c r="M844" s="26" t="str">
        <f aca="false">IF($D844="","",IFERROR(INDEX(ClientRates!$D$5:$D$500,MATCH($B844&amp;"|"&amp;$L844,ClientRates!$A$5:$A$500,0)),0))</f>
        <v/>
      </c>
      <c r="N844" s="26" t="str">
        <f aca="false">IF($D844="","",IFERROR(INDEX(ClientRates!$E$5:$E$500,MATCH($B844&amp;"|"&amp;$L844,ClientRates!$A$5:$A$500,0)),0))</f>
        <v/>
      </c>
      <c r="O844" s="26" t="str">
        <f aca="false">IF($D844="","",F844*M844+G844*N844)</f>
        <v/>
      </c>
      <c r="P844" s="26" t="str">
        <f aca="false">IF(OR($D844="",$J844&lt;&gt;"Supplier"),"",IFERROR(INDEX(SupplierRates!$D$5:$D$500,MATCH($K844&amp;"|"&amp;$L844,SupplierRates!$A$5:$A$500,0)),0))</f>
        <v/>
      </c>
      <c r="Q844" s="26" t="str">
        <f aca="false">IF(OR($D844="",$J844&lt;&gt;"Supplier"),"",IFERROR(INDEX(SupplierRates!$E$5:$E$500,MATCH($K844&amp;"|"&amp;$L844,SupplierRates!$A$5:$A$500,0)),0))</f>
        <v/>
      </c>
      <c r="R844" s="26" t="n">
        <f aca="false">IF(OR($D844="",$J844&lt;&gt;"Supplier"),0,F844*P844+G844*Q844)</f>
        <v>0</v>
      </c>
      <c r="S844" s="26" t="n">
        <f aca="false">IF(OR($D844="",$J844&lt;&gt;"Own"),0,IFERROR((F844+G844*Settings!$B$13)*INDEX(Workers!$V$5:$V$2004,MATCH($D844,Workers!$A$5:$A$2004,0)),0))</f>
        <v>0</v>
      </c>
      <c r="T844" s="26" t="str">
        <f aca="false">IF($D844="","",O844-R844-S844)</f>
        <v/>
      </c>
    </row>
    <row r="845" customFormat="false" ht="15" hidden="false" customHeight="false" outlineLevel="0" collapsed="false">
      <c r="I845" s="24" t="str">
        <f aca="false">IF($D845="","",IFERROR(INDEX(Workers!$B$5:$B$2004,MATCH($D845,Workers!$A$5:$A$2004,0)),"NOT FOUND"))</f>
        <v/>
      </c>
      <c r="J845" s="24" t="str">
        <f aca="false">IF($D845="","",IFERROR(INDEX(Workers!$C$5:$C$2004,MATCH($D845,Workers!$A$5:$A$2004,0)),""))</f>
        <v/>
      </c>
      <c r="K845" s="24" t="str">
        <f aca="false">IF($D845="","",IFERROR(IF(INDEX(Workers!$D$5:$D$2004,MATCH($D845,Workers!$A$5:$A$2004,0))=0,"",INDEX(Workers!$D$5:$D$2004,MATCH($D845,Workers!$A$5:$A$2004,0))),""))</f>
        <v/>
      </c>
      <c r="L845" s="24" t="str">
        <f aca="false">IF($D845="","",IFERROR(INDEX(Workers!$E$5:$E$2004,MATCH($D845,Workers!$A$5:$A$2004,0)),""))</f>
        <v/>
      </c>
      <c r="M845" s="26" t="str">
        <f aca="false">IF($D845="","",IFERROR(INDEX(ClientRates!$D$5:$D$500,MATCH($B845&amp;"|"&amp;$L845,ClientRates!$A$5:$A$500,0)),0))</f>
        <v/>
      </c>
      <c r="N845" s="26" t="str">
        <f aca="false">IF($D845="","",IFERROR(INDEX(ClientRates!$E$5:$E$500,MATCH($B845&amp;"|"&amp;$L845,ClientRates!$A$5:$A$500,0)),0))</f>
        <v/>
      </c>
      <c r="O845" s="26" t="str">
        <f aca="false">IF($D845="","",F845*M845+G845*N845)</f>
        <v/>
      </c>
      <c r="P845" s="26" t="str">
        <f aca="false">IF(OR($D845="",$J845&lt;&gt;"Supplier"),"",IFERROR(INDEX(SupplierRates!$D$5:$D$500,MATCH($K845&amp;"|"&amp;$L845,SupplierRates!$A$5:$A$500,0)),0))</f>
        <v/>
      </c>
      <c r="Q845" s="26" t="str">
        <f aca="false">IF(OR($D845="",$J845&lt;&gt;"Supplier"),"",IFERROR(INDEX(SupplierRates!$E$5:$E$500,MATCH($K845&amp;"|"&amp;$L845,SupplierRates!$A$5:$A$500,0)),0))</f>
        <v/>
      </c>
      <c r="R845" s="26" t="n">
        <f aca="false">IF(OR($D845="",$J845&lt;&gt;"Supplier"),0,F845*P845+G845*Q845)</f>
        <v>0</v>
      </c>
      <c r="S845" s="26" t="n">
        <f aca="false">IF(OR($D845="",$J845&lt;&gt;"Own"),0,IFERROR((F845+G845*Settings!$B$13)*INDEX(Workers!$V$5:$V$2004,MATCH($D845,Workers!$A$5:$A$2004,0)),0))</f>
        <v>0</v>
      </c>
      <c r="T845" s="26" t="str">
        <f aca="false">IF($D845="","",O845-R845-S845)</f>
        <v/>
      </c>
    </row>
    <row r="846" customFormat="false" ht="15" hidden="false" customHeight="false" outlineLevel="0" collapsed="false">
      <c r="I846" s="24" t="str">
        <f aca="false">IF($D846="","",IFERROR(INDEX(Workers!$B$5:$B$2004,MATCH($D846,Workers!$A$5:$A$2004,0)),"NOT FOUND"))</f>
        <v/>
      </c>
      <c r="J846" s="24" t="str">
        <f aca="false">IF($D846="","",IFERROR(INDEX(Workers!$C$5:$C$2004,MATCH($D846,Workers!$A$5:$A$2004,0)),""))</f>
        <v/>
      </c>
      <c r="K846" s="24" t="str">
        <f aca="false">IF($D846="","",IFERROR(IF(INDEX(Workers!$D$5:$D$2004,MATCH($D846,Workers!$A$5:$A$2004,0))=0,"",INDEX(Workers!$D$5:$D$2004,MATCH($D846,Workers!$A$5:$A$2004,0))),""))</f>
        <v/>
      </c>
      <c r="L846" s="24" t="str">
        <f aca="false">IF($D846="","",IFERROR(INDEX(Workers!$E$5:$E$2004,MATCH($D846,Workers!$A$5:$A$2004,0)),""))</f>
        <v/>
      </c>
      <c r="M846" s="26" t="str">
        <f aca="false">IF($D846="","",IFERROR(INDEX(ClientRates!$D$5:$D$500,MATCH($B846&amp;"|"&amp;$L846,ClientRates!$A$5:$A$500,0)),0))</f>
        <v/>
      </c>
      <c r="N846" s="26" t="str">
        <f aca="false">IF($D846="","",IFERROR(INDEX(ClientRates!$E$5:$E$500,MATCH($B846&amp;"|"&amp;$L846,ClientRates!$A$5:$A$500,0)),0))</f>
        <v/>
      </c>
      <c r="O846" s="26" t="str">
        <f aca="false">IF($D846="","",F846*M846+G846*N846)</f>
        <v/>
      </c>
      <c r="P846" s="26" t="str">
        <f aca="false">IF(OR($D846="",$J846&lt;&gt;"Supplier"),"",IFERROR(INDEX(SupplierRates!$D$5:$D$500,MATCH($K846&amp;"|"&amp;$L846,SupplierRates!$A$5:$A$500,0)),0))</f>
        <v/>
      </c>
      <c r="Q846" s="26" t="str">
        <f aca="false">IF(OR($D846="",$J846&lt;&gt;"Supplier"),"",IFERROR(INDEX(SupplierRates!$E$5:$E$500,MATCH($K846&amp;"|"&amp;$L846,SupplierRates!$A$5:$A$500,0)),0))</f>
        <v/>
      </c>
      <c r="R846" s="26" t="n">
        <f aca="false">IF(OR($D846="",$J846&lt;&gt;"Supplier"),0,F846*P846+G846*Q846)</f>
        <v>0</v>
      </c>
      <c r="S846" s="26" t="n">
        <f aca="false">IF(OR($D846="",$J846&lt;&gt;"Own"),0,IFERROR((F846+G846*Settings!$B$13)*INDEX(Workers!$V$5:$V$2004,MATCH($D846,Workers!$A$5:$A$2004,0)),0))</f>
        <v>0</v>
      </c>
      <c r="T846" s="26" t="str">
        <f aca="false">IF($D846="","",O846-R846-S846)</f>
        <v/>
      </c>
    </row>
    <row r="847" customFormat="false" ht="15" hidden="false" customHeight="false" outlineLevel="0" collapsed="false">
      <c r="I847" s="24" t="str">
        <f aca="false">IF($D847="","",IFERROR(INDEX(Workers!$B$5:$B$2004,MATCH($D847,Workers!$A$5:$A$2004,0)),"NOT FOUND"))</f>
        <v/>
      </c>
      <c r="J847" s="24" t="str">
        <f aca="false">IF($D847="","",IFERROR(INDEX(Workers!$C$5:$C$2004,MATCH($D847,Workers!$A$5:$A$2004,0)),""))</f>
        <v/>
      </c>
      <c r="K847" s="24" t="str">
        <f aca="false">IF($D847="","",IFERROR(IF(INDEX(Workers!$D$5:$D$2004,MATCH($D847,Workers!$A$5:$A$2004,0))=0,"",INDEX(Workers!$D$5:$D$2004,MATCH($D847,Workers!$A$5:$A$2004,0))),""))</f>
        <v/>
      </c>
      <c r="L847" s="24" t="str">
        <f aca="false">IF($D847="","",IFERROR(INDEX(Workers!$E$5:$E$2004,MATCH($D847,Workers!$A$5:$A$2004,0)),""))</f>
        <v/>
      </c>
      <c r="M847" s="26" t="str">
        <f aca="false">IF($D847="","",IFERROR(INDEX(ClientRates!$D$5:$D$500,MATCH($B847&amp;"|"&amp;$L847,ClientRates!$A$5:$A$500,0)),0))</f>
        <v/>
      </c>
      <c r="N847" s="26" t="str">
        <f aca="false">IF($D847="","",IFERROR(INDEX(ClientRates!$E$5:$E$500,MATCH($B847&amp;"|"&amp;$L847,ClientRates!$A$5:$A$500,0)),0))</f>
        <v/>
      </c>
      <c r="O847" s="26" t="str">
        <f aca="false">IF($D847="","",F847*M847+G847*N847)</f>
        <v/>
      </c>
      <c r="P847" s="26" t="str">
        <f aca="false">IF(OR($D847="",$J847&lt;&gt;"Supplier"),"",IFERROR(INDEX(SupplierRates!$D$5:$D$500,MATCH($K847&amp;"|"&amp;$L847,SupplierRates!$A$5:$A$500,0)),0))</f>
        <v/>
      </c>
      <c r="Q847" s="26" t="str">
        <f aca="false">IF(OR($D847="",$J847&lt;&gt;"Supplier"),"",IFERROR(INDEX(SupplierRates!$E$5:$E$500,MATCH($K847&amp;"|"&amp;$L847,SupplierRates!$A$5:$A$500,0)),0))</f>
        <v/>
      </c>
      <c r="R847" s="26" t="n">
        <f aca="false">IF(OR($D847="",$J847&lt;&gt;"Supplier"),0,F847*P847+G847*Q847)</f>
        <v>0</v>
      </c>
      <c r="S847" s="26" t="n">
        <f aca="false">IF(OR($D847="",$J847&lt;&gt;"Own"),0,IFERROR((F847+G847*Settings!$B$13)*INDEX(Workers!$V$5:$V$2004,MATCH($D847,Workers!$A$5:$A$2004,0)),0))</f>
        <v>0</v>
      </c>
      <c r="T847" s="26" t="str">
        <f aca="false">IF($D847="","",O847-R847-S847)</f>
        <v/>
      </c>
    </row>
    <row r="848" customFormat="false" ht="15" hidden="false" customHeight="false" outlineLevel="0" collapsed="false">
      <c r="I848" s="24" t="str">
        <f aca="false">IF($D848="","",IFERROR(INDEX(Workers!$B$5:$B$2004,MATCH($D848,Workers!$A$5:$A$2004,0)),"NOT FOUND"))</f>
        <v/>
      </c>
      <c r="J848" s="24" t="str">
        <f aca="false">IF($D848="","",IFERROR(INDEX(Workers!$C$5:$C$2004,MATCH($D848,Workers!$A$5:$A$2004,0)),""))</f>
        <v/>
      </c>
      <c r="K848" s="24" t="str">
        <f aca="false">IF($D848="","",IFERROR(IF(INDEX(Workers!$D$5:$D$2004,MATCH($D848,Workers!$A$5:$A$2004,0))=0,"",INDEX(Workers!$D$5:$D$2004,MATCH($D848,Workers!$A$5:$A$2004,0))),""))</f>
        <v/>
      </c>
      <c r="L848" s="24" t="str">
        <f aca="false">IF($D848="","",IFERROR(INDEX(Workers!$E$5:$E$2004,MATCH($D848,Workers!$A$5:$A$2004,0)),""))</f>
        <v/>
      </c>
      <c r="M848" s="26" t="str">
        <f aca="false">IF($D848="","",IFERROR(INDEX(ClientRates!$D$5:$D$500,MATCH($B848&amp;"|"&amp;$L848,ClientRates!$A$5:$A$500,0)),0))</f>
        <v/>
      </c>
      <c r="N848" s="26" t="str">
        <f aca="false">IF($D848="","",IFERROR(INDEX(ClientRates!$E$5:$E$500,MATCH($B848&amp;"|"&amp;$L848,ClientRates!$A$5:$A$500,0)),0))</f>
        <v/>
      </c>
      <c r="O848" s="26" t="str">
        <f aca="false">IF($D848="","",F848*M848+G848*N848)</f>
        <v/>
      </c>
      <c r="P848" s="26" t="str">
        <f aca="false">IF(OR($D848="",$J848&lt;&gt;"Supplier"),"",IFERROR(INDEX(SupplierRates!$D$5:$D$500,MATCH($K848&amp;"|"&amp;$L848,SupplierRates!$A$5:$A$500,0)),0))</f>
        <v/>
      </c>
      <c r="Q848" s="26" t="str">
        <f aca="false">IF(OR($D848="",$J848&lt;&gt;"Supplier"),"",IFERROR(INDEX(SupplierRates!$E$5:$E$500,MATCH($K848&amp;"|"&amp;$L848,SupplierRates!$A$5:$A$500,0)),0))</f>
        <v/>
      </c>
      <c r="R848" s="26" t="n">
        <f aca="false">IF(OR($D848="",$J848&lt;&gt;"Supplier"),0,F848*P848+G848*Q848)</f>
        <v>0</v>
      </c>
      <c r="S848" s="26" t="n">
        <f aca="false">IF(OR($D848="",$J848&lt;&gt;"Own"),0,IFERROR((F848+G848*Settings!$B$13)*INDEX(Workers!$V$5:$V$2004,MATCH($D848,Workers!$A$5:$A$2004,0)),0))</f>
        <v>0</v>
      </c>
      <c r="T848" s="26" t="str">
        <f aca="false">IF($D848="","",O848-R848-S848)</f>
        <v/>
      </c>
    </row>
    <row r="849" customFormat="false" ht="15" hidden="false" customHeight="false" outlineLevel="0" collapsed="false">
      <c r="I849" s="24" t="str">
        <f aca="false">IF($D849="","",IFERROR(INDEX(Workers!$B$5:$B$2004,MATCH($D849,Workers!$A$5:$A$2004,0)),"NOT FOUND"))</f>
        <v/>
      </c>
      <c r="J849" s="24" t="str">
        <f aca="false">IF($D849="","",IFERROR(INDEX(Workers!$C$5:$C$2004,MATCH($D849,Workers!$A$5:$A$2004,0)),""))</f>
        <v/>
      </c>
      <c r="K849" s="24" t="str">
        <f aca="false">IF($D849="","",IFERROR(IF(INDEX(Workers!$D$5:$D$2004,MATCH($D849,Workers!$A$5:$A$2004,0))=0,"",INDEX(Workers!$D$5:$D$2004,MATCH($D849,Workers!$A$5:$A$2004,0))),""))</f>
        <v/>
      </c>
      <c r="L849" s="24" t="str">
        <f aca="false">IF($D849="","",IFERROR(INDEX(Workers!$E$5:$E$2004,MATCH($D849,Workers!$A$5:$A$2004,0)),""))</f>
        <v/>
      </c>
      <c r="M849" s="26" t="str">
        <f aca="false">IF($D849="","",IFERROR(INDEX(ClientRates!$D$5:$D$500,MATCH($B849&amp;"|"&amp;$L849,ClientRates!$A$5:$A$500,0)),0))</f>
        <v/>
      </c>
      <c r="N849" s="26" t="str">
        <f aca="false">IF($D849="","",IFERROR(INDEX(ClientRates!$E$5:$E$500,MATCH($B849&amp;"|"&amp;$L849,ClientRates!$A$5:$A$500,0)),0))</f>
        <v/>
      </c>
      <c r="O849" s="26" t="str">
        <f aca="false">IF($D849="","",F849*M849+G849*N849)</f>
        <v/>
      </c>
      <c r="P849" s="26" t="str">
        <f aca="false">IF(OR($D849="",$J849&lt;&gt;"Supplier"),"",IFERROR(INDEX(SupplierRates!$D$5:$D$500,MATCH($K849&amp;"|"&amp;$L849,SupplierRates!$A$5:$A$500,0)),0))</f>
        <v/>
      </c>
      <c r="Q849" s="26" t="str">
        <f aca="false">IF(OR($D849="",$J849&lt;&gt;"Supplier"),"",IFERROR(INDEX(SupplierRates!$E$5:$E$500,MATCH($K849&amp;"|"&amp;$L849,SupplierRates!$A$5:$A$500,0)),0))</f>
        <v/>
      </c>
      <c r="R849" s="26" t="n">
        <f aca="false">IF(OR($D849="",$J849&lt;&gt;"Supplier"),0,F849*P849+G849*Q849)</f>
        <v>0</v>
      </c>
      <c r="S849" s="26" t="n">
        <f aca="false">IF(OR($D849="",$J849&lt;&gt;"Own"),0,IFERROR((F849+G849*Settings!$B$13)*INDEX(Workers!$V$5:$V$2004,MATCH($D849,Workers!$A$5:$A$2004,0)),0))</f>
        <v>0</v>
      </c>
      <c r="T849" s="26" t="str">
        <f aca="false">IF($D849="","",O849-R849-S849)</f>
        <v/>
      </c>
    </row>
    <row r="850" customFormat="false" ht="15" hidden="false" customHeight="false" outlineLevel="0" collapsed="false">
      <c r="I850" s="24" t="str">
        <f aca="false">IF($D850="","",IFERROR(INDEX(Workers!$B$5:$B$2004,MATCH($D850,Workers!$A$5:$A$2004,0)),"NOT FOUND"))</f>
        <v/>
      </c>
      <c r="J850" s="24" t="str">
        <f aca="false">IF($D850="","",IFERROR(INDEX(Workers!$C$5:$C$2004,MATCH($D850,Workers!$A$5:$A$2004,0)),""))</f>
        <v/>
      </c>
      <c r="K850" s="24" t="str">
        <f aca="false">IF($D850="","",IFERROR(IF(INDEX(Workers!$D$5:$D$2004,MATCH($D850,Workers!$A$5:$A$2004,0))=0,"",INDEX(Workers!$D$5:$D$2004,MATCH($D850,Workers!$A$5:$A$2004,0))),""))</f>
        <v/>
      </c>
      <c r="L850" s="24" t="str">
        <f aca="false">IF($D850="","",IFERROR(INDEX(Workers!$E$5:$E$2004,MATCH($D850,Workers!$A$5:$A$2004,0)),""))</f>
        <v/>
      </c>
      <c r="M850" s="26" t="str">
        <f aca="false">IF($D850="","",IFERROR(INDEX(ClientRates!$D$5:$D$500,MATCH($B850&amp;"|"&amp;$L850,ClientRates!$A$5:$A$500,0)),0))</f>
        <v/>
      </c>
      <c r="N850" s="26" t="str">
        <f aca="false">IF($D850="","",IFERROR(INDEX(ClientRates!$E$5:$E$500,MATCH($B850&amp;"|"&amp;$L850,ClientRates!$A$5:$A$500,0)),0))</f>
        <v/>
      </c>
      <c r="O850" s="26" t="str">
        <f aca="false">IF($D850="","",F850*M850+G850*N850)</f>
        <v/>
      </c>
      <c r="P850" s="26" t="str">
        <f aca="false">IF(OR($D850="",$J850&lt;&gt;"Supplier"),"",IFERROR(INDEX(SupplierRates!$D$5:$D$500,MATCH($K850&amp;"|"&amp;$L850,SupplierRates!$A$5:$A$500,0)),0))</f>
        <v/>
      </c>
      <c r="Q850" s="26" t="str">
        <f aca="false">IF(OR($D850="",$J850&lt;&gt;"Supplier"),"",IFERROR(INDEX(SupplierRates!$E$5:$E$500,MATCH($K850&amp;"|"&amp;$L850,SupplierRates!$A$5:$A$500,0)),0))</f>
        <v/>
      </c>
      <c r="R850" s="26" t="n">
        <f aca="false">IF(OR($D850="",$J850&lt;&gt;"Supplier"),0,F850*P850+G850*Q850)</f>
        <v>0</v>
      </c>
      <c r="S850" s="26" t="n">
        <f aca="false">IF(OR($D850="",$J850&lt;&gt;"Own"),0,IFERROR((F850+G850*Settings!$B$13)*INDEX(Workers!$V$5:$V$2004,MATCH($D850,Workers!$A$5:$A$2004,0)),0))</f>
        <v>0</v>
      </c>
      <c r="T850" s="26" t="str">
        <f aca="false">IF($D850="","",O850-R850-S850)</f>
        <v/>
      </c>
    </row>
    <row r="851" customFormat="false" ht="15" hidden="false" customHeight="false" outlineLevel="0" collapsed="false">
      <c r="I851" s="24" t="str">
        <f aca="false">IF($D851="","",IFERROR(INDEX(Workers!$B$5:$B$2004,MATCH($D851,Workers!$A$5:$A$2004,0)),"NOT FOUND"))</f>
        <v/>
      </c>
      <c r="J851" s="24" t="str">
        <f aca="false">IF($D851="","",IFERROR(INDEX(Workers!$C$5:$C$2004,MATCH($D851,Workers!$A$5:$A$2004,0)),""))</f>
        <v/>
      </c>
      <c r="K851" s="24" t="str">
        <f aca="false">IF($D851="","",IFERROR(IF(INDEX(Workers!$D$5:$D$2004,MATCH($D851,Workers!$A$5:$A$2004,0))=0,"",INDEX(Workers!$D$5:$D$2004,MATCH($D851,Workers!$A$5:$A$2004,0))),""))</f>
        <v/>
      </c>
      <c r="L851" s="24" t="str">
        <f aca="false">IF($D851="","",IFERROR(INDEX(Workers!$E$5:$E$2004,MATCH($D851,Workers!$A$5:$A$2004,0)),""))</f>
        <v/>
      </c>
      <c r="M851" s="26" t="str">
        <f aca="false">IF($D851="","",IFERROR(INDEX(ClientRates!$D$5:$D$500,MATCH($B851&amp;"|"&amp;$L851,ClientRates!$A$5:$A$500,0)),0))</f>
        <v/>
      </c>
      <c r="N851" s="26" t="str">
        <f aca="false">IF($D851="","",IFERROR(INDEX(ClientRates!$E$5:$E$500,MATCH($B851&amp;"|"&amp;$L851,ClientRates!$A$5:$A$500,0)),0))</f>
        <v/>
      </c>
      <c r="O851" s="26" t="str">
        <f aca="false">IF($D851="","",F851*M851+G851*N851)</f>
        <v/>
      </c>
      <c r="P851" s="26" t="str">
        <f aca="false">IF(OR($D851="",$J851&lt;&gt;"Supplier"),"",IFERROR(INDEX(SupplierRates!$D$5:$D$500,MATCH($K851&amp;"|"&amp;$L851,SupplierRates!$A$5:$A$500,0)),0))</f>
        <v/>
      </c>
      <c r="Q851" s="26" t="str">
        <f aca="false">IF(OR($D851="",$J851&lt;&gt;"Supplier"),"",IFERROR(INDEX(SupplierRates!$E$5:$E$500,MATCH($K851&amp;"|"&amp;$L851,SupplierRates!$A$5:$A$500,0)),0))</f>
        <v/>
      </c>
      <c r="R851" s="26" t="n">
        <f aca="false">IF(OR($D851="",$J851&lt;&gt;"Supplier"),0,F851*P851+G851*Q851)</f>
        <v>0</v>
      </c>
      <c r="S851" s="26" t="n">
        <f aca="false">IF(OR($D851="",$J851&lt;&gt;"Own"),0,IFERROR((F851+G851*Settings!$B$13)*INDEX(Workers!$V$5:$V$2004,MATCH($D851,Workers!$A$5:$A$2004,0)),0))</f>
        <v>0</v>
      </c>
      <c r="T851" s="26" t="str">
        <f aca="false">IF($D851="","",O851-R851-S851)</f>
        <v/>
      </c>
    </row>
    <row r="852" customFormat="false" ht="15" hidden="false" customHeight="false" outlineLevel="0" collapsed="false">
      <c r="I852" s="24" t="str">
        <f aca="false">IF($D852="","",IFERROR(INDEX(Workers!$B$5:$B$2004,MATCH($D852,Workers!$A$5:$A$2004,0)),"NOT FOUND"))</f>
        <v/>
      </c>
      <c r="J852" s="24" t="str">
        <f aca="false">IF($D852="","",IFERROR(INDEX(Workers!$C$5:$C$2004,MATCH($D852,Workers!$A$5:$A$2004,0)),""))</f>
        <v/>
      </c>
      <c r="K852" s="24" t="str">
        <f aca="false">IF($D852="","",IFERROR(IF(INDEX(Workers!$D$5:$D$2004,MATCH($D852,Workers!$A$5:$A$2004,0))=0,"",INDEX(Workers!$D$5:$D$2004,MATCH($D852,Workers!$A$5:$A$2004,0))),""))</f>
        <v/>
      </c>
      <c r="L852" s="24" t="str">
        <f aca="false">IF($D852="","",IFERROR(INDEX(Workers!$E$5:$E$2004,MATCH($D852,Workers!$A$5:$A$2004,0)),""))</f>
        <v/>
      </c>
      <c r="M852" s="26" t="str">
        <f aca="false">IF($D852="","",IFERROR(INDEX(ClientRates!$D$5:$D$500,MATCH($B852&amp;"|"&amp;$L852,ClientRates!$A$5:$A$500,0)),0))</f>
        <v/>
      </c>
      <c r="N852" s="26" t="str">
        <f aca="false">IF($D852="","",IFERROR(INDEX(ClientRates!$E$5:$E$500,MATCH($B852&amp;"|"&amp;$L852,ClientRates!$A$5:$A$500,0)),0))</f>
        <v/>
      </c>
      <c r="O852" s="26" t="str">
        <f aca="false">IF($D852="","",F852*M852+G852*N852)</f>
        <v/>
      </c>
      <c r="P852" s="26" t="str">
        <f aca="false">IF(OR($D852="",$J852&lt;&gt;"Supplier"),"",IFERROR(INDEX(SupplierRates!$D$5:$D$500,MATCH($K852&amp;"|"&amp;$L852,SupplierRates!$A$5:$A$500,0)),0))</f>
        <v/>
      </c>
      <c r="Q852" s="26" t="str">
        <f aca="false">IF(OR($D852="",$J852&lt;&gt;"Supplier"),"",IFERROR(INDEX(SupplierRates!$E$5:$E$500,MATCH($K852&amp;"|"&amp;$L852,SupplierRates!$A$5:$A$500,0)),0))</f>
        <v/>
      </c>
      <c r="R852" s="26" t="n">
        <f aca="false">IF(OR($D852="",$J852&lt;&gt;"Supplier"),0,F852*P852+G852*Q852)</f>
        <v>0</v>
      </c>
      <c r="S852" s="26" t="n">
        <f aca="false">IF(OR($D852="",$J852&lt;&gt;"Own"),0,IFERROR((F852+G852*Settings!$B$13)*INDEX(Workers!$V$5:$V$2004,MATCH($D852,Workers!$A$5:$A$2004,0)),0))</f>
        <v>0</v>
      </c>
      <c r="T852" s="26" t="str">
        <f aca="false">IF($D852="","",O852-R852-S852)</f>
        <v/>
      </c>
    </row>
    <row r="853" customFormat="false" ht="15" hidden="false" customHeight="false" outlineLevel="0" collapsed="false">
      <c r="I853" s="24" t="str">
        <f aca="false">IF($D853="","",IFERROR(INDEX(Workers!$B$5:$B$2004,MATCH($D853,Workers!$A$5:$A$2004,0)),"NOT FOUND"))</f>
        <v/>
      </c>
      <c r="J853" s="24" t="str">
        <f aca="false">IF($D853="","",IFERROR(INDEX(Workers!$C$5:$C$2004,MATCH($D853,Workers!$A$5:$A$2004,0)),""))</f>
        <v/>
      </c>
      <c r="K853" s="24" t="str">
        <f aca="false">IF($D853="","",IFERROR(IF(INDEX(Workers!$D$5:$D$2004,MATCH($D853,Workers!$A$5:$A$2004,0))=0,"",INDEX(Workers!$D$5:$D$2004,MATCH($D853,Workers!$A$5:$A$2004,0))),""))</f>
        <v/>
      </c>
      <c r="L853" s="24" t="str">
        <f aca="false">IF($D853="","",IFERROR(INDEX(Workers!$E$5:$E$2004,MATCH($D853,Workers!$A$5:$A$2004,0)),""))</f>
        <v/>
      </c>
      <c r="M853" s="26" t="str">
        <f aca="false">IF($D853="","",IFERROR(INDEX(ClientRates!$D$5:$D$500,MATCH($B853&amp;"|"&amp;$L853,ClientRates!$A$5:$A$500,0)),0))</f>
        <v/>
      </c>
      <c r="N853" s="26" t="str">
        <f aca="false">IF($D853="","",IFERROR(INDEX(ClientRates!$E$5:$E$500,MATCH($B853&amp;"|"&amp;$L853,ClientRates!$A$5:$A$500,0)),0))</f>
        <v/>
      </c>
      <c r="O853" s="26" t="str">
        <f aca="false">IF($D853="","",F853*M853+G853*N853)</f>
        <v/>
      </c>
      <c r="P853" s="26" t="str">
        <f aca="false">IF(OR($D853="",$J853&lt;&gt;"Supplier"),"",IFERROR(INDEX(SupplierRates!$D$5:$D$500,MATCH($K853&amp;"|"&amp;$L853,SupplierRates!$A$5:$A$500,0)),0))</f>
        <v/>
      </c>
      <c r="Q853" s="26" t="str">
        <f aca="false">IF(OR($D853="",$J853&lt;&gt;"Supplier"),"",IFERROR(INDEX(SupplierRates!$E$5:$E$500,MATCH($K853&amp;"|"&amp;$L853,SupplierRates!$A$5:$A$500,0)),0))</f>
        <v/>
      </c>
      <c r="R853" s="26" t="n">
        <f aca="false">IF(OR($D853="",$J853&lt;&gt;"Supplier"),0,F853*P853+G853*Q853)</f>
        <v>0</v>
      </c>
      <c r="S853" s="26" t="n">
        <f aca="false">IF(OR($D853="",$J853&lt;&gt;"Own"),0,IFERROR((F853+G853*Settings!$B$13)*INDEX(Workers!$V$5:$V$2004,MATCH($D853,Workers!$A$5:$A$2004,0)),0))</f>
        <v>0</v>
      </c>
      <c r="T853" s="26" t="str">
        <f aca="false">IF($D853="","",O853-R853-S853)</f>
        <v/>
      </c>
    </row>
    <row r="854" customFormat="false" ht="15" hidden="false" customHeight="false" outlineLevel="0" collapsed="false">
      <c r="I854" s="24" t="str">
        <f aca="false">IF($D854="","",IFERROR(INDEX(Workers!$B$5:$B$2004,MATCH($D854,Workers!$A$5:$A$2004,0)),"NOT FOUND"))</f>
        <v/>
      </c>
      <c r="J854" s="24" t="str">
        <f aca="false">IF($D854="","",IFERROR(INDEX(Workers!$C$5:$C$2004,MATCH($D854,Workers!$A$5:$A$2004,0)),""))</f>
        <v/>
      </c>
      <c r="K854" s="24" t="str">
        <f aca="false">IF($D854="","",IFERROR(IF(INDEX(Workers!$D$5:$D$2004,MATCH($D854,Workers!$A$5:$A$2004,0))=0,"",INDEX(Workers!$D$5:$D$2004,MATCH($D854,Workers!$A$5:$A$2004,0))),""))</f>
        <v/>
      </c>
      <c r="L854" s="24" t="str">
        <f aca="false">IF($D854="","",IFERROR(INDEX(Workers!$E$5:$E$2004,MATCH($D854,Workers!$A$5:$A$2004,0)),""))</f>
        <v/>
      </c>
      <c r="M854" s="26" t="str">
        <f aca="false">IF($D854="","",IFERROR(INDEX(ClientRates!$D$5:$D$500,MATCH($B854&amp;"|"&amp;$L854,ClientRates!$A$5:$A$500,0)),0))</f>
        <v/>
      </c>
      <c r="N854" s="26" t="str">
        <f aca="false">IF($D854="","",IFERROR(INDEX(ClientRates!$E$5:$E$500,MATCH($B854&amp;"|"&amp;$L854,ClientRates!$A$5:$A$500,0)),0))</f>
        <v/>
      </c>
      <c r="O854" s="26" t="str">
        <f aca="false">IF($D854="","",F854*M854+G854*N854)</f>
        <v/>
      </c>
      <c r="P854" s="26" t="str">
        <f aca="false">IF(OR($D854="",$J854&lt;&gt;"Supplier"),"",IFERROR(INDEX(SupplierRates!$D$5:$D$500,MATCH($K854&amp;"|"&amp;$L854,SupplierRates!$A$5:$A$500,0)),0))</f>
        <v/>
      </c>
      <c r="Q854" s="26" t="str">
        <f aca="false">IF(OR($D854="",$J854&lt;&gt;"Supplier"),"",IFERROR(INDEX(SupplierRates!$E$5:$E$500,MATCH($K854&amp;"|"&amp;$L854,SupplierRates!$A$5:$A$500,0)),0))</f>
        <v/>
      </c>
      <c r="R854" s="26" t="n">
        <f aca="false">IF(OR($D854="",$J854&lt;&gt;"Supplier"),0,F854*P854+G854*Q854)</f>
        <v>0</v>
      </c>
      <c r="S854" s="26" t="n">
        <f aca="false">IF(OR($D854="",$J854&lt;&gt;"Own"),0,IFERROR((F854+G854*Settings!$B$13)*INDEX(Workers!$V$5:$V$2004,MATCH($D854,Workers!$A$5:$A$2004,0)),0))</f>
        <v>0</v>
      </c>
      <c r="T854" s="26" t="str">
        <f aca="false">IF($D854="","",O854-R854-S854)</f>
        <v/>
      </c>
    </row>
    <row r="855" customFormat="false" ht="15" hidden="false" customHeight="false" outlineLevel="0" collapsed="false">
      <c r="I855" s="24" t="str">
        <f aca="false">IF($D855="","",IFERROR(INDEX(Workers!$B$5:$B$2004,MATCH($D855,Workers!$A$5:$A$2004,0)),"NOT FOUND"))</f>
        <v/>
      </c>
      <c r="J855" s="24" t="str">
        <f aca="false">IF($D855="","",IFERROR(INDEX(Workers!$C$5:$C$2004,MATCH($D855,Workers!$A$5:$A$2004,0)),""))</f>
        <v/>
      </c>
      <c r="K855" s="24" t="str">
        <f aca="false">IF($D855="","",IFERROR(IF(INDEX(Workers!$D$5:$D$2004,MATCH($D855,Workers!$A$5:$A$2004,0))=0,"",INDEX(Workers!$D$5:$D$2004,MATCH($D855,Workers!$A$5:$A$2004,0))),""))</f>
        <v/>
      </c>
      <c r="L855" s="24" t="str">
        <f aca="false">IF($D855="","",IFERROR(INDEX(Workers!$E$5:$E$2004,MATCH($D855,Workers!$A$5:$A$2004,0)),""))</f>
        <v/>
      </c>
      <c r="M855" s="26" t="str">
        <f aca="false">IF($D855="","",IFERROR(INDEX(ClientRates!$D$5:$D$500,MATCH($B855&amp;"|"&amp;$L855,ClientRates!$A$5:$A$500,0)),0))</f>
        <v/>
      </c>
      <c r="N855" s="26" t="str">
        <f aca="false">IF($D855="","",IFERROR(INDEX(ClientRates!$E$5:$E$500,MATCH($B855&amp;"|"&amp;$L855,ClientRates!$A$5:$A$500,0)),0))</f>
        <v/>
      </c>
      <c r="O855" s="26" t="str">
        <f aca="false">IF($D855="","",F855*M855+G855*N855)</f>
        <v/>
      </c>
      <c r="P855" s="26" t="str">
        <f aca="false">IF(OR($D855="",$J855&lt;&gt;"Supplier"),"",IFERROR(INDEX(SupplierRates!$D$5:$D$500,MATCH($K855&amp;"|"&amp;$L855,SupplierRates!$A$5:$A$500,0)),0))</f>
        <v/>
      </c>
      <c r="Q855" s="26" t="str">
        <f aca="false">IF(OR($D855="",$J855&lt;&gt;"Supplier"),"",IFERROR(INDEX(SupplierRates!$E$5:$E$500,MATCH($K855&amp;"|"&amp;$L855,SupplierRates!$A$5:$A$500,0)),0))</f>
        <v/>
      </c>
      <c r="R855" s="26" t="n">
        <f aca="false">IF(OR($D855="",$J855&lt;&gt;"Supplier"),0,F855*P855+G855*Q855)</f>
        <v>0</v>
      </c>
      <c r="S855" s="26" t="n">
        <f aca="false">IF(OR($D855="",$J855&lt;&gt;"Own"),0,IFERROR((F855+G855*Settings!$B$13)*INDEX(Workers!$V$5:$V$2004,MATCH($D855,Workers!$A$5:$A$2004,0)),0))</f>
        <v>0</v>
      </c>
      <c r="T855" s="26" t="str">
        <f aca="false">IF($D855="","",O855-R855-S855)</f>
        <v/>
      </c>
    </row>
    <row r="856" customFormat="false" ht="15" hidden="false" customHeight="false" outlineLevel="0" collapsed="false">
      <c r="I856" s="24" t="str">
        <f aca="false">IF($D856="","",IFERROR(INDEX(Workers!$B$5:$B$2004,MATCH($D856,Workers!$A$5:$A$2004,0)),"NOT FOUND"))</f>
        <v/>
      </c>
      <c r="J856" s="24" t="str">
        <f aca="false">IF($D856="","",IFERROR(INDEX(Workers!$C$5:$C$2004,MATCH($D856,Workers!$A$5:$A$2004,0)),""))</f>
        <v/>
      </c>
      <c r="K856" s="24" t="str">
        <f aca="false">IF($D856="","",IFERROR(IF(INDEX(Workers!$D$5:$D$2004,MATCH($D856,Workers!$A$5:$A$2004,0))=0,"",INDEX(Workers!$D$5:$D$2004,MATCH($D856,Workers!$A$5:$A$2004,0))),""))</f>
        <v/>
      </c>
      <c r="L856" s="24" t="str">
        <f aca="false">IF($D856="","",IFERROR(INDEX(Workers!$E$5:$E$2004,MATCH($D856,Workers!$A$5:$A$2004,0)),""))</f>
        <v/>
      </c>
      <c r="M856" s="26" t="str">
        <f aca="false">IF($D856="","",IFERROR(INDEX(ClientRates!$D$5:$D$500,MATCH($B856&amp;"|"&amp;$L856,ClientRates!$A$5:$A$500,0)),0))</f>
        <v/>
      </c>
      <c r="N856" s="26" t="str">
        <f aca="false">IF($D856="","",IFERROR(INDEX(ClientRates!$E$5:$E$500,MATCH($B856&amp;"|"&amp;$L856,ClientRates!$A$5:$A$500,0)),0))</f>
        <v/>
      </c>
      <c r="O856" s="26" t="str">
        <f aca="false">IF($D856="","",F856*M856+G856*N856)</f>
        <v/>
      </c>
      <c r="P856" s="26" t="str">
        <f aca="false">IF(OR($D856="",$J856&lt;&gt;"Supplier"),"",IFERROR(INDEX(SupplierRates!$D$5:$D$500,MATCH($K856&amp;"|"&amp;$L856,SupplierRates!$A$5:$A$500,0)),0))</f>
        <v/>
      </c>
      <c r="Q856" s="26" t="str">
        <f aca="false">IF(OR($D856="",$J856&lt;&gt;"Supplier"),"",IFERROR(INDEX(SupplierRates!$E$5:$E$500,MATCH($K856&amp;"|"&amp;$L856,SupplierRates!$A$5:$A$500,0)),0))</f>
        <v/>
      </c>
      <c r="R856" s="26" t="n">
        <f aca="false">IF(OR($D856="",$J856&lt;&gt;"Supplier"),0,F856*P856+G856*Q856)</f>
        <v>0</v>
      </c>
      <c r="S856" s="26" t="n">
        <f aca="false">IF(OR($D856="",$J856&lt;&gt;"Own"),0,IFERROR((F856+G856*Settings!$B$13)*INDEX(Workers!$V$5:$V$2004,MATCH($D856,Workers!$A$5:$A$2004,0)),0))</f>
        <v>0</v>
      </c>
      <c r="T856" s="26" t="str">
        <f aca="false">IF($D856="","",O856-R856-S856)</f>
        <v/>
      </c>
    </row>
    <row r="857" customFormat="false" ht="15" hidden="false" customHeight="false" outlineLevel="0" collapsed="false">
      <c r="I857" s="24" t="str">
        <f aca="false">IF($D857="","",IFERROR(INDEX(Workers!$B$5:$B$2004,MATCH($D857,Workers!$A$5:$A$2004,0)),"NOT FOUND"))</f>
        <v/>
      </c>
      <c r="J857" s="24" t="str">
        <f aca="false">IF($D857="","",IFERROR(INDEX(Workers!$C$5:$C$2004,MATCH($D857,Workers!$A$5:$A$2004,0)),""))</f>
        <v/>
      </c>
      <c r="K857" s="24" t="str">
        <f aca="false">IF($D857="","",IFERROR(IF(INDEX(Workers!$D$5:$D$2004,MATCH($D857,Workers!$A$5:$A$2004,0))=0,"",INDEX(Workers!$D$5:$D$2004,MATCH($D857,Workers!$A$5:$A$2004,0))),""))</f>
        <v/>
      </c>
      <c r="L857" s="24" t="str">
        <f aca="false">IF($D857="","",IFERROR(INDEX(Workers!$E$5:$E$2004,MATCH($D857,Workers!$A$5:$A$2004,0)),""))</f>
        <v/>
      </c>
      <c r="M857" s="26" t="str">
        <f aca="false">IF($D857="","",IFERROR(INDEX(ClientRates!$D$5:$D$500,MATCH($B857&amp;"|"&amp;$L857,ClientRates!$A$5:$A$500,0)),0))</f>
        <v/>
      </c>
      <c r="N857" s="26" t="str">
        <f aca="false">IF($D857="","",IFERROR(INDEX(ClientRates!$E$5:$E$500,MATCH($B857&amp;"|"&amp;$L857,ClientRates!$A$5:$A$500,0)),0))</f>
        <v/>
      </c>
      <c r="O857" s="26" t="str">
        <f aca="false">IF($D857="","",F857*M857+G857*N857)</f>
        <v/>
      </c>
      <c r="P857" s="26" t="str">
        <f aca="false">IF(OR($D857="",$J857&lt;&gt;"Supplier"),"",IFERROR(INDEX(SupplierRates!$D$5:$D$500,MATCH($K857&amp;"|"&amp;$L857,SupplierRates!$A$5:$A$500,0)),0))</f>
        <v/>
      </c>
      <c r="Q857" s="26" t="str">
        <f aca="false">IF(OR($D857="",$J857&lt;&gt;"Supplier"),"",IFERROR(INDEX(SupplierRates!$E$5:$E$500,MATCH($K857&amp;"|"&amp;$L857,SupplierRates!$A$5:$A$500,0)),0))</f>
        <v/>
      </c>
      <c r="R857" s="26" t="n">
        <f aca="false">IF(OR($D857="",$J857&lt;&gt;"Supplier"),0,F857*P857+G857*Q857)</f>
        <v>0</v>
      </c>
      <c r="S857" s="26" t="n">
        <f aca="false">IF(OR($D857="",$J857&lt;&gt;"Own"),0,IFERROR((F857+G857*Settings!$B$13)*INDEX(Workers!$V$5:$V$2004,MATCH($D857,Workers!$A$5:$A$2004,0)),0))</f>
        <v>0</v>
      </c>
      <c r="T857" s="26" t="str">
        <f aca="false">IF($D857="","",O857-R857-S857)</f>
        <v/>
      </c>
    </row>
    <row r="858" customFormat="false" ht="15" hidden="false" customHeight="false" outlineLevel="0" collapsed="false">
      <c r="I858" s="24" t="str">
        <f aca="false">IF($D858="","",IFERROR(INDEX(Workers!$B$5:$B$2004,MATCH($D858,Workers!$A$5:$A$2004,0)),"NOT FOUND"))</f>
        <v/>
      </c>
      <c r="J858" s="24" t="str">
        <f aca="false">IF($D858="","",IFERROR(INDEX(Workers!$C$5:$C$2004,MATCH($D858,Workers!$A$5:$A$2004,0)),""))</f>
        <v/>
      </c>
      <c r="K858" s="24" t="str">
        <f aca="false">IF($D858="","",IFERROR(IF(INDEX(Workers!$D$5:$D$2004,MATCH($D858,Workers!$A$5:$A$2004,0))=0,"",INDEX(Workers!$D$5:$D$2004,MATCH($D858,Workers!$A$5:$A$2004,0))),""))</f>
        <v/>
      </c>
      <c r="L858" s="24" t="str">
        <f aca="false">IF($D858="","",IFERROR(INDEX(Workers!$E$5:$E$2004,MATCH($D858,Workers!$A$5:$A$2004,0)),""))</f>
        <v/>
      </c>
      <c r="M858" s="26" t="str">
        <f aca="false">IF($D858="","",IFERROR(INDEX(ClientRates!$D$5:$D$500,MATCH($B858&amp;"|"&amp;$L858,ClientRates!$A$5:$A$500,0)),0))</f>
        <v/>
      </c>
      <c r="N858" s="26" t="str">
        <f aca="false">IF($D858="","",IFERROR(INDEX(ClientRates!$E$5:$E$500,MATCH($B858&amp;"|"&amp;$L858,ClientRates!$A$5:$A$500,0)),0))</f>
        <v/>
      </c>
      <c r="O858" s="26" t="str">
        <f aca="false">IF($D858="","",F858*M858+G858*N858)</f>
        <v/>
      </c>
      <c r="P858" s="26" t="str">
        <f aca="false">IF(OR($D858="",$J858&lt;&gt;"Supplier"),"",IFERROR(INDEX(SupplierRates!$D$5:$D$500,MATCH($K858&amp;"|"&amp;$L858,SupplierRates!$A$5:$A$500,0)),0))</f>
        <v/>
      </c>
      <c r="Q858" s="26" t="str">
        <f aca="false">IF(OR($D858="",$J858&lt;&gt;"Supplier"),"",IFERROR(INDEX(SupplierRates!$E$5:$E$500,MATCH($K858&amp;"|"&amp;$L858,SupplierRates!$A$5:$A$500,0)),0))</f>
        <v/>
      </c>
      <c r="R858" s="26" t="n">
        <f aca="false">IF(OR($D858="",$J858&lt;&gt;"Supplier"),0,F858*P858+G858*Q858)</f>
        <v>0</v>
      </c>
      <c r="S858" s="26" t="n">
        <f aca="false">IF(OR($D858="",$J858&lt;&gt;"Own"),0,IFERROR((F858+G858*Settings!$B$13)*INDEX(Workers!$V$5:$V$2004,MATCH($D858,Workers!$A$5:$A$2004,0)),0))</f>
        <v>0</v>
      </c>
      <c r="T858" s="26" t="str">
        <f aca="false">IF($D858="","",O858-R858-S858)</f>
        <v/>
      </c>
    </row>
    <row r="859" customFormat="false" ht="15" hidden="false" customHeight="false" outlineLevel="0" collapsed="false">
      <c r="I859" s="24" t="str">
        <f aca="false">IF($D859="","",IFERROR(INDEX(Workers!$B$5:$B$2004,MATCH($D859,Workers!$A$5:$A$2004,0)),"NOT FOUND"))</f>
        <v/>
      </c>
      <c r="J859" s="24" t="str">
        <f aca="false">IF($D859="","",IFERROR(INDEX(Workers!$C$5:$C$2004,MATCH($D859,Workers!$A$5:$A$2004,0)),""))</f>
        <v/>
      </c>
      <c r="K859" s="24" t="str">
        <f aca="false">IF($D859="","",IFERROR(IF(INDEX(Workers!$D$5:$D$2004,MATCH($D859,Workers!$A$5:$A$2004,0))=0,"",INDEX(Workers!$D$5:$D$2004,MATCH($D859,Workers!$A$5:$A$2004,0))),""))</f>
        <v/>
      </c>
      <c r="L859" s="24" t="str">
        <f aca="false">IF($D859="","",IFERROR(INDEX(Workers!$E$5:$E$2004,MATCH($D859,Workers!$A$5:$A$2004,0)),""))</f>
        <v/>
      </c>
      <c r="M859" s="26" t="str">
        <f aca="false">IF($D859="","",IFERROR(INDEX(ClientRates!$D$5:$D$500,MATCH($B859&amp;"|"&amp;$L859,ClientRates!$A$5:$A$500,0)),0))</f>
        <v/>
      </c>
      <c r="N859" s="26" t="str">
        <f aca="false">IF($D859="","",IFERROR(INDEX(ClientRates!$E$5:$E$500,MATCH($B859&amp;"|"&amp;$L859,ClientRates!$A$5:$A$500,0)),0))</f>
        <v/>
      </c>
      <c r="O859" s="26" t="str">
        <f aca="false">IF($D859="","",F859*M859+G859*N859)</f>
        <v/>
      </c>
      <c r="P859" s="26" t="str">
        <f aca="false">IF(OR($D859="",$J859&lt;&gt;"Supplier"),"",IFERROR(INDEX(SupplierRates!$D$5:$D$500,MATCH($K859&amp;"|"&amp;$L859,SupplierRates!$A$5:$A$500,0)),0))</f>
        <v/>
      </c>
      <c r="Q859" s="26" t="str">
        <f aca="false">IF(OR($D859="",$J859&lt;&gt;"Supplier"),"",IFERROR(INDEX(SupplierRates!$E$5:$E$500,MATCH($K859&amp;"|"&amp;$L859,SupplierRates!$A$5:$A$500,0)),0))</f>
        <v/>
      </c>
      <c r="R859" s="26" t="n">
        <f aca="false">IF(OR($D859="",$J859&lt;&gt;"Supplier"),0,F859*P859+G859*Q859)</f>
        <v>0</v>
      </c>
      <c r="S859" s="26" t="n">
        <f aca="false">IF(OR($D859="",$J859&lt;&gt;"Own"),0,IFERROR((F859+G859*Settings!$B$13)*INDEX(Workers!$V$5:$V$2004,MATCH($D859,Workers!$A$5:$A$2004,0)),0))</f>
        <v>0</v>
      </c>
      <c r="T859" s="26" t="str">
        <f aca="false">IF($D859="","",O859-R859-S859)</f>
        <v/>
      </c>
    </row>
    <row r="860" customFormat="false" ht="15" hidden="false" customHeight="false" outlineLevel="0" collapsed="false">
      <c r="I860" s="24" t="str">
        <f aca="false">IF($D860="","",IFERROR(INDEX(Workers!$B$5:$B$2004,MATCH($D860,Workers!$A$5:$A$2004,0)),"NOT FOUND"))</f>
        <v/>
      </c>
      <c r="J860" s="24" t="str">
        <f aca="false">IF($D860="","",IFERROR(INDEX(Workers!$C$5:$C$2004,MATCH($D860,Workers!$A$5:$A$2004,0)),""))</f>
        <v/>
      </c>
      <c r="K860" s="24" t="str">
        <f aca="false">IF($D860="","",IFERROR(IF(INDEX(Workers!$D$5:$D$2004,MATCH($D860,Workers!$A$5:$A$2004,0))=0,"",INDEX(Workers!$D$5:$D$2004,MATCH($D860,Workers!$A$5:$A$2004,0))),""))</f>
        <v/>
      </c>
      <c r="L860" s="24" t="str">
        <f aca="false">IF($D860="","",IFERROR(INDEX(Workers!$E$5:$E$2004,MATCH($D860,Workers!$A$5:$A$2004,0)),""))</f>
        <v/>
      </c>
      <c r="M860" s="26" t="str">
        <f aca="false">IF($D860="","",IFERROR(INDEX(ClientRates!$D$5:$D$500,MATCH($B860&amp;"|"&amp;$L860,ClientRates!$A$5:$A$500,0)),0))</f>
        <v/>
      </c>
      <c r="N860" s="26" t="str">
        <f aca="false">IF($D860="","",IFERROR(INDEX(ClientRates!$E$5:$E$500,MATCH($B860&amp;"|"&amp;$L860,ClientRates!$A$5:$A$500,0)),0))</f>
        <v/>
      </c>
      <c r="O860" s="26" t="str">
        <f aca="false">IF($D860="","",F860*M860+G860*N860)</f>
        <v/>
      </c>
      <c r="P860" s="26" t="str">
        <f aca="false">IF(OR($D860="",$J860&lt;&gt;"Supplier"),"",IFERROR(INDEX(SupplierRates!$D$5:$D$500,MATCH($K860&amp;"|"&amp;$L860,SupplierRates!$A$5:$A$500,0)),0))</f>
        <v/>
      </c>
      <c r="Q860" s="26" t="str">
        <f aca="false">IF(OR($D860="",$J860&lt;&gt;"Supplier"),"",IFERROR(INDEX(SupplierRates!$E$5:$E$500,MATCH($K860&amp;"|"&amp;$L860,SupplierRates!$A$5:$A$500,0)),0))</f>
        <v/>
      </c>
      <c r="R860" s="26" t="n">
        <f aca="false">IF(OR($D860="",$J860&lt;&gt;"Supplier"),0,F860*P860+G860*Q860)</f>
        <v>0</v>
      </c>
      <c r="S860" s="26" t="n">
        <f aca="false">IF(OR($D860="",$J860&lt;&gt;"Own"),0,IFERROR((F860+G860*Settings!$B$13)*INDEX(Workers!$V$5:$V$2004,MATCH($D860,Workers!$A$5:$A$2004,0)),0))</f>
        <v>0</v>
      </c>
      <c r="T860" s="26" t="str">
        <f aca="false">IF($D860="","",O860-R860-S860)</f>
        <v/>
      </c>
    </row>
    <row r="861" customFormat="false" ht="15" hidden="false" customHeight="false" outlineLevel="0" collapsed="false">
      <c r="I861" s="24" t="str">
        <f aca="false">IF($D861="","",IFERROR(INDEX(Workers!$B$5:$B$2004,MATCH($D861,Workers!$A$5:$A$2004,0)),"NOT FOUND"))</f>
        <v/>
      </c>
      <c r="J861" s="24" t="str">
        <f aca="false">IF($D861="","",IFERROR(INDEX(Workers!$C$5:$C$2004,MATCH($D861,Workers!$A$5:$A$2004,0)),""))</f>
        <v/>
      </c>
      <c r="K861" s="24" t="str">
        <f aca="false">IF($D861="","",IFERROR(IF(INDEX(Workers!$D$5:$D$2004,MATCH($D861,Workers!$A$5:$A$2004,0))=0,"",INDEX(Workers!$D$5:$D$2004,MATCH($D861,Workers!$A$5:$A$2004,0))),""))</f>
        <v/>
      </c>
      <c r="L861" s="24" t="str">
        <f aca="false">IF($D861="","",IFERROR(INDEX(Workers!$E$5:$E$2004,MATCH($D861,Workers!$A$5:$A$2004,0)),""))</f>
        <v/>
      </c>
      <c r="M861" s="26" t="str">
        <f aca="false">IF($D861="","",IFERROR(INDEX(ClientRates!$D$5:$D$500,MATCH($B861&amp;"|"&amp;$L861,ClientRates!$A$5:$A$500,0)),0))</f>
        <v/>
      </c>
      <c r="N861" s="26" t="str">
        <f aca="false">IF($D861="","",IFERROR(INDEX(ClientRates!$E$5:$E$500,MATCH($B861&amp;"|"&amp;$L861,ClientRates!$A$5:$A$500,0)),0))</f>
        <v/>
      </c>
      <c r="O861" s="26" t="str">
        <f aca="false">IF($D861="","",F861*M861+G861*N861)</f>
        <v/>
      </c>
      <c r="P861" s="26" t="str">
        <f aca="false">IF(OR($D861="",$J861&lt;&gt;"Supplier"),"",IFERROR(INDEX(SupplierRates!$D$5:$D$500,MATCH($K861&amp;"|"&amp;$L861,SupplierRates!$A$5:$A$500,0)),0))</f>
        <v/>
      </c>
      <c r="Q861" s="26" t="str">
        <f aca="false">IF(OR($D861="",$J861&lt;&gt;"Supplier"),"",IFERROR(INDEX(SupplierRates!$E$5:$E$500,MATCH($K861&amp;"|"&amp;$L861,SupplierRates!$A$5:$A$500,0)),0))</f>
        <v/>
      </c>
      <c r="R861" s="26" t="n">
        <f aca="false">IF(OR($D861="",$J861&lt;&gt;"Supplier"),0,F861*P861+G861*Q861)</f>
        <v>0</v>
      </c>
      <c r="S861" s="26" t="n">
        <f aca="false">IF(OR($D861="",$J861&lt;&gt;"Own"),0,IFERROR((F861+G861*Settings!$B$13)*INDEX(Workers!$V$5:$V$2004,MATCH($D861,Workers!$A$5:$A$2004,0)),0))</f>
        <v>0</v>
      </c>
      <c r="T861" s="26" t="str">
        <f aca="false">IF($D861="","",O861-R861-S861)</f>
        <v/>
      </c>
    </row>
    <row r="862" customFormat="false" ht="15" hidden="false" customHeight="false" outlineLevel="0" collapsed="false">
      <c r="I862" s="24" t="str">
        <f aca="false">IF($D862="","",IFERROR(INDEX(Workers!$B$5:$B$2004,MATCH($D862,Workers!$A$5:$A$2004,0)),"NOT FOUND"))</f>
        <v/>
      </c>
      <c r="J862" s="24" t="str">
        <f aca="false">IF($D862="","",IFERROR(INDEX(Workers!$C$5:$C$2004,MATCH($D862,Workers!$A$5:$A$2004,0)),""))</f>
        <v/>
      </c>
      <c r="K862" s="24" t="str">
        <f aca="false">IF($D862="","",IFERROR(IF(INDEX(Workers!$D$5:$D$2004,MATCH($D862,Workers!$A$5:$A$2004,0))=0,"",INDEX(Workers!$D$5:$D$2004,MATCH($D862,Workers!$A$5:$A$2004,0))),""))</f>
        <v/>
      </c>
      <c r="L862" s="24" t="str">
        <f aca="false">IF($D862="","",IFERROR(INDEX(Workers!$E$5:$E$2004,MATCH($D862,Workers!$A$5:$A$2004,0)),""))</f>
        <v/>
      </c>
      <c r="M862" s="26" t="str">
        <f aca="false">IF($D862="","",IFERROR(INDEX(ClientRates!$D$5:$D$500,MATCH($B862&amp;"|"&amp;$L862,ClientRates!$A$5:$A$500,0)),0))</f>
        <v/>
      </c>
      <c r="N862" s="26" t="str">
        <f aca="false">IF($D862="","",IFERROR(INDEX(ClientRates!$E$5:$E$500,MATCH($B862&amp;"|"&amp;$L862,ClientRates!$A$5:$A$500,0)),0))</f>
        <v/>
      </c>
      <c r="O862" s="26" t="str">
        <f aca="false">IF($D862="","",F862*M862+G862*N862)</f>
        <v/>
      </c>
      <c r="P862" s="26" t="str">
        <f aca="false">IF(OR($D862="",$J862&lt;&gt;"Supplier"),"",IFERROR(INDEX(SupplierRates!$D$5:$D$500,MATCH($K862&amp;"|"&amp;$L862,SupplierRates!$A$5:$A$500,0)),0))</f>
        <v/>
      </c>
      <c r="Q862" s="26" t="str">
        <f aca="false">IF(OR($D862="",$J862&lt;&gt;"Supplier"),"",IFERROR(INDEX(SupplierRates!$E$5:$E$500,MATCH($K862&amp;"|"&amp;$L862,SupplierRates!$A$5:$A$500,0)),0))</f>
        <v/>
      </c>
      <c r="R862" s="26" t="n">
        <f aca="false">IF(OR($D862="",$J862&lt;&gt;"Supplier"),0,F862*P862+G862*Q862)</f>
        <v>0</v>
      </c>
      <c r="S862" s="26" t="n">
        <f aca="false">IF(OR($D862="",$J862&lt;&gt;"Own"),0,IFERROR((F862+G862*Settings!$B$13)*INDEX(Workers!$V$5:$V$2004,MATCH($D862,Workers!$A$5:$A$2004,0)),0))</f>
        <v>0</v>
      </c>
      <c r="T862" s="26" t="str">
        <f aca="false">IF($D862="","",O862-R862-S862)</f>
        <v/>
      </c>
    </row>
    <row r="863" customFormat="false" ht="15" hidden="false" customHeight="false" outlineLevel="0" collapsed="false">
      <c r="I863" s="24" t="str">
        <f aca="false">IF($D863="","",IFERROR(INDEX(Workers!$B$5:$B$2004,MATCH($D863,Workers!$A$5:$A$2004,0)),"NOT FOUND"))</f>
        <v/>
      </c>
      <c r="J863" s="24" t="str">
        <f aca="false">IF($D863="","",IFERROR(INDEX(Workers!$C$5:$C$2004,MATCH($D863,Workers!$A$5:$A$2004,0)),""))</f>
        <v/>
      </c>
      <c r="K863" s="24" t="str">
        <f aca="false">IF($D863="","",IFERROR(IF(INDEX(Workers!$D$5:$D$2004,MATCH($D863,Workers!$A$5:$A$2004,0))=0,"",INDEX(Workers!$D$5:$D$2004,MATCH($D863,Workers!$A$5:$A$2004,0))),""))</f>
        <v/>
      </c>
      <c r="L863" s="24" t="str">
        <f aca="false">IF($D863="","",IFERROR(INDEX(Workers!$E$5:$E$2004,MATCH($D863,Workers!$A$5:$A$2004,0)),""))</f>
        <v/>
      </c>
      <c r="M863" s="26" t="str">
        <f aca="false">IF($D863="","",IFERROR(INDEX(ClientRates!$D$5:$D$500,MATCH($B863&amp;"|"&amp;$L863,ClientRates!$A$5:$A$500,0)),0))</f>
        <v/>
      </c>
      <c r="N863" s="26" t="str">
        <f aca="false">IF($D863="","",IFERROR(INDEX(ClientRates!$E$5:$E$500,MATCH($B863&amp;"|"&amp;$L863,ClientRates!$A$5:$A$500,0)),0))</f>
        <v/>
      </c>
      <c r="O863" s="26" t="str">
        <f aca="false">IF($D863="","",F863*M863+G863*N863)</f>
        <v/>
      </c>
      <c r="P863" s="26" t="str">
        <f aca="false">IF(OR($D863="",$J863&lt;&gt;"Supplier"),"",IFERROR(INDEX(SupplierRates!$D$5:$D$500,MATCH($K863&amp;"|"&amp;$L863,SupplierRates!$A$5:$A$500,0)),0))</f>
        <v/>
      </c>
      <c r="Q863" s="26" t="str">
        <f aca="false">IF(OR($D863="",$J863&lt;&gt;"Supplier"),"",IFERROR(INDEX(SupplierRates!$E$5:$E$500,MATCH($K863&amp;"|"&amp;$L863,SupplierRates!$A$5:$A$500,0)),0))</f>
        <v/>
      </c>
      <c r="R863" s="26" t="n">
        <f aca="false">IF(OR($D863="",$J863&lt;&gt;"Supplier"),0,F863*P863+G863*Q863)</f>
        <v>0</v>
      </c>
      <c r="S863" s="26" t="n">
        <f aca="false">IF(OR($D863="",$J863&lt;&gt;"Own"),0,IFERROR((F863+G863*Settings!$B$13)*INDEX(Workers!$V$5:$V$2004,MATCH($D863,Workers!$A$5:$A$2004,0)),0))</f>
        <v>0</v>
      </c>
      <c r="T863" s="26" t="str">
        <f aca="false">IF($D863="","",O863-R863-S863)</f>
        <v/>
      </c>
    </row>
    <row r="864" customFormat="false" ht="15" hidden="false" customHeight="false" outlineLevel="0" collapsed="false">
      <c r="I864" s="24" t="str">
        <f aca="false">IF($D864="","",IFERROR(INDEX(Workers!$B$5:$B$2004,MATCH($D864,Workers!$A$5:$A$2004,0)),"NOT FOUND"))</f>
        <v/>
      </c>
      <c r="J864" s="24" t="str">
        <f aca="false">IF($D864="","",IFERROR(INDEX(Workers!$C$5:$C$2004,MATCH($D864,Workers!$A$5:$A$2004,0)),""))</f>
        <v/>
      </c>
      <c r="K864" s="24" t="str">
        <f aca="false">IF($D864="","",IFERROR(IF(INDEX(Workers!$D$5:$D$2004,MATCH($D864,Workers!$A$5:$A$2004,0))=0,"",INDEX(Workers!$D$5:$D$2004,MATCH($D864,Workers!$A$5:$A$2004,0))),""))</f>
        <v/>
      </c>
      <c r="L864" s="24" t="str">
        <f aca="false">IF($D864="","",IFERROR(INDEX(Workers!$E$5:$E$2004,MATCH($D864,Workers!$A$5:$A$2004,0)),""))</f>
        <v/>
      </c>
      <c r="M864" s="26" t="str">
        <f aca="false">IF($D864="","",IFERROR(INDEX(ClientRates!$D$5:$D$500,MATCH($B864&amp;"|"&amp;$L864,ClientRates!$A$5:$A$500,0)),0))</f>
        <v/>
      </c>
      <c r="N864" s="26" t="str">
        <f aca="false">IF($D864="","",IFERROR(INDEX(ClientRates!$E$5:$E$500,MATCH($B864&amp;"|"&amp;$L864,ClientRates!$A$5:$A$500,0)),0))</f>
        <v/>
      </c>
      <c r="O864" s="26" t="str">
        <f aca="false">IF($D864="","",F864*M864+G864*N864)</f>
        <v/>
      </c>
      <c r="P864" s="26" t="str">
        <f aca="false">IF(OR($D864="",$J864&lt;&gt;"Supplier"),"",IFERROR(INDEX(SupplierRates!$D$5:$D$500,MATCH($K864&amp;"|"&amp;$L864,SupplierRates!$A$5:$A$500,0)),0))</f>
        <v/>
      </c>
      <c r="Q864" s="26" t="str">
        <f aca="false">IF(OR($D864="",$J864&lt;&gt;"Supplier"),"",IFERROR(INDEX(SupplierRates!$E$5:$E$500,MATCH($K864&amp;"|"&amp;$L864,SupplierRates!$A$5:$A$500,0)),0))</f>
        <v/>
      </c>
      <c r="R864" s="26" t="n">
        <f aca="false">IF(OR($D864="",$J864&lt;&gt;"Supplier"),0,F864*P864+G864*Q864)</f>
        <v>0</v>
      </c>
      <c r="S864" s="26" t="n">
        <f aca="false">IF(OR($D864="",$J864&lt;&gt;"Own"),0,IFERROR((F864+G864*Settings!$B$13)*INDEX(Workers!$V$5:$V$2004,MATCH($D864,Workers!$A$5:$A$2004,0)),0))</f>
        <v>0</v>
      </c>
      <c r="T864" s="26" t="str">
        <f aca="false">IF($D864="","",O864-R864-S864)</f>
        <v/>
      </c>
    </row>
    <row r="865" customFormat="false" ht="15" hidden="false" customHeight="false" outlineLevel="0" collapsed="false">
      <c r="I865" s="24" t="str">
        <f aca="false">IF($D865="","",IFERROR(INDEX(Workers!$B$5:$B$2004,MATCH($D865,Workers!$A$5:$A$2004,0)),"NOT FOUND"))</f>
        <v/>
      </c>
      <c r="J865" s="24" t="str">
        <f aca="false">IF($D865="","",IFERROR(INDEX(Workers!$C$5:$C$2004,MATCH($D865,Workers!$A$5:$A$2004,0)),""))</f>
        <v/>
      </c>
      <c r="K865" s="24" t="str">
        <f aca="false">IF($D865="","",IFERROR(IF(INDEX(Workers!$D$5:$D$2004,MATCH($D865,Workers!$A$5:$A$2004,0))=0,"",INDEX(Workers!$D$5:$D$2004,MATCH($D865,Workers!$A$5:$A$2004,0))),""))</f>
        <v/>
      </c>
      <c r="L865" s="24" t="str">
        <f aca="false">IF($D865="","",IFERROR(INDEX(Workers!$E$5:$E$2004,MATCH($D865,Workers!$A$5:$A$2004,0)),""))</f>
        <v/>
      </c>
      <c r="M865" s="26" t="str">
        <f aca="false">IF($D865="","",IFERROR(INDEX(ClientRates!$D$5:$D$500,MATCH($B865&amp;"|"&amp;$L865,ClientRates!$A$5:$A$500,0)),0))</f>
        <v/>
      </c>
      <c r="N865" s="26" t="str">
        <f aca="false">IF($D865="","",IFERROR(INDEX(ClientRates!$E$5:$E$500,MATCH($B865&amp;"|"&amp;$L865,ClientRates!$A$5:$A$500,0)),0))</f>
        <v/>
      </c>
      <c r="O865" s="26" t="str">
        <f aca="false">IF($D865="","",F865*M865+G865*N865)</f>
        <v/>
      </c>
      <c r="P865" s="26" t="str">
        <f aca="false">IF(OR($D865="",$J865&lt;&gt;"Supplier"),"",IFERROR(INDEX(SupplierRates!$D$5:$D$500,MATCH($K865&amp;"|"&amp;$L865,SupplierRates!$A$5:$A$500,0)),0))</f>
        <v/>
      </c>
      <c r="Q865" s="26" t="str">
        <f aca="false">IF(OR($D865="",$J865&lt;&gt;"Supplier"),"",IFERROR(INDEX(SupplierRates!$E$5:$E$500,MATCH($K865&amp;"|"&amp;$L865,SupplierRates!$A$5:$A$500,0)),0))</f>
        <v/>
      </c>
      <c r="R865" s="26" t="n">
        <f aca="false">IF(OR($D865="",$J865&lt;&gt;"Supplier"),0,F865*P865+G865*Q865)</f>
        <v>0</v>
      </c>
      <c r="S865" s="26" t="n">
        <f aca="false">IF(OR($D865="",$J865&lt;&gt;"Own"),0,IFERROR((F865+G865*Settings!$B$13)*INDEX(Workers!$V$5:$V$2004,MATCH($D865,Workers!$A$5:$A$2004,0)),0))</f>
        <v>0</v>
      </c>
      <c r="T865" s="26" t="str">
        <f aca="false">IF($D865="","",O865-R865-S865)</f>
        <v/>
      </c>
    </row>
    <row r="866" customFormat="false" ht="15" hidden="false" customHeight="false" outlineLevel="0" collapsed="false">
      <c r="I866" s="24" t="str">
        <f aca="false">IF($D866="","",IFERROR(INDEX(Workers!$B$5:$B$2004,MATCH($D866,Workers!$A$5:$A$2004,0)),"NOT FOUND"))</f>
        <v/>
      </c>
      <c r="J866" s="24" t="str">
        <f aca="false">IF($D866="","",IFERROR(INDEX(Workers!$C$5:$C$2004,MATCH($D866,Workers!$A$5:$A$2004,0)),""))</f>
        <v/>
      </c>
      <c r="K866" s="24" t="str">
        <f aca="false">IF($D866="","",IFERROR(IF(INDEX(Workers!$D$5:$D$2004,MATCH($D866,Workers!$A$5:$A$2004,0))=0,"",INDEX(Workers!$D$5:$D$2004,MATCH($D866,Workers!$A$5:$A$2004,0))),""))</f>
        <v/>
      </c>
      <c r="L866" s="24" t="str">
        <f aca="false">IF($D866="","",IFERROR(INDEX(Workers!$E$5:$E$2004,MATCH($D866,Workers!$A$5:$A$2004,0)),""))</f>
        <v/>
      </c>
      <c r="M866" s="26" t="str">
        <f aca="false">IF($D866="","",IFERROR(INDEX(ClientRates!$D$5:$D$500,MATCH($B866&amp;"|"&amp;$L866,ClientRates!$A$5:$A$500,0)),0))</f>
        <v/>
      </c>
      <c r="N866" s="26" t="str">
        <f aca="false">IF($D866="","",IFERROR(INDEX(ClientRates!$E$5:$E$500,MATCH($B866&amp;"|"&amp;$L866,ClientRates!$A$5:$A$500,0)),0))</f>
        <v/>
      </c>
      <c r="O866" s="26" t="str">
        <f aca="false">IF($D866="","",F866*M866+G866*N866)</f>
        <v/>
      </c>
      <c r="P866" s="26" t="str">
        <f aca="false">IF(OR($D866="",$J866&lt;&gt;"Supplier"),"",IFERROR(INDEX(SupplierRates!$D$5:$D$500,MATCH($K866&amp;"|"&amp;$L866,SupplierRates!$A$5:$A$500,0)),0))</f>
        <v/>
      </c>
      <c r="Q866" s="26" t="str">
        <f aca="false">IF(OR($D866="",$J866&lt;&gt;"Supplier"),"",IFERROR(INDEX(SupplierRates!$E$5:$E$500,MATCH($K866&amp;"|"&amp;$L866,SupplierRates!$A$5:$A$500,0)),0))</f>
        <v/>
      </c>
      <c r="R866" s="26" t="n">
        <f aca="false">IF(OR($D866="",$J866&lt;&gt;"Supplier"),0,F866*P866+G866*Q866)</f>
        <v>0</v>
      </c>
      <c r="S866" s="26" t="n">
        <f aca="false">IF(OR($D866="",$J866&lt;&gt;"Own"),0,IFERROR((F866+G866*Settings!$B$13)*INDEX(Workers!$V$5:$V$2004,MATCH($D866,Workers!$A$5:$A$2004,0)),0))</f>
        <v>0</v>
      </c>
      <c r="T866" s="26" t="str">
        <f aca="false">IF($D866="","",O866-R866-S866)</f>
        <v/>
      </c>
    </row>
    <row r="867" customFormat="false" ht="15" hidden="false" customHeight="false" outlineLevel="0" collapsed="false">
      <c r="I867" s="24" t="str">
        <f aca="false">IF($D867="","",IFERROR(INDEX(Workers!$B$5:$B$2004,MATCH($D867,Workers!$A$5:$A$2004,0)),"NOT FOUND"))</f>
        <v/>
      </c>
      <c r="J867" s="24" t="str">
        <f aca="false">IF($D867="","",IFERROR(INDEX(Workers!$C$5:$C$2004,MATCH($D867,Workers!$A$5:$A$2004,0)),""))</f>
        <v/>
      </c>
      <c r="K867" s="24" t="str">
        <f aca="false">IF($D867="","",IFERROR(IF(INDEX(Workers!$D$5:$D$2004,MATCH($D867,Workers!$A$5:$A$2004,0))=0,"",INDEX(Workers!$D$5:$D$2004,MATCH($D867,Workers!$A$5:$A$2004,0))),""))</f>
        <v/>
      </c>
      <c r="L867" s="24" t="str">
        <f aca="false">IF($D867="","",IFERROR(INDEX(Workers!$E$5:$E$2004,MATCH($D867,Workers!$A$5:$A$2004,0)),""))</f>
        <v/>
      </c>
      <c r="M867" s="26" t="str">
        <f aca="false">IF($D867="","",IFERROR(INDEX(ClientRates!$D$5:$D$500,MATCH($B867&amp;"|"&amp;$L867,ClientRates!$A$5:$A$500,0)),0))</f>
        <v/>
      </c>
      <c r="N867" s="26" t="str">
        <f aca="false">IF($D867="","",IFERROR(INDEX(ClientRates!$E$5:$E$500,MATCH($B867&amp;"|"&amp;$L867,ClientRates!$A$5:$A$500,0)),0))</f>
        <v/>
      </c>
      <c r="O867" s="26" t="str">
        <f aca="false">IF($D867="","",F867*M867+G867*N867)</f>
        <v/>
      </c>
      <c r="P867" s="26" t="str">
        <f aca="false">IF(OR($D867="",$J867&lt;&gt;"Supplier"),"",IFERROR(INDEX(SupplierRates!$D$5:$D$500,MATCH($K867&amp;"|"&amp;$L867,SupplierRates!$A$5:$A$500,0)),0))</f>
        <v/>
      </c>
      <c r="Q867" s="26" t="str">
        <f aca="false">IF(OR($D867="",$J867&lt;&gt;"Supplier"),"",IFERROR(INDEX(SupplierRates!$E$5:$E$500,MATCH($K867&amp;"|"&amp;$L867,SupplierRates!$A$5:$A$500,0)),0))</f>
        <v/>
      </c>
      <c r="R867" s="26" t="n">
        <f aca="false">IF(OR($D867="",$J867&lt;&gt;"Supplier"),0,F867*P867+G867*Q867)</f>
        <v>0</v>
      </c>
      <c r="S867" s="26" t="n">
        <f aca="false">IF(OR($D867="",$J867&lt;&gt;"Own"),0,IFERROR((F867+G867*Settings!$B$13)*INDEX(Workers!$V$5:$V$2004,MATCH($D867,Workers!$A$5:$A$2004,0)),0))</f>
        <v>0</v>
      </c>
      <c r="T867" s="26" t="str">
        <f aca="false">IF($D867="","",O867-R867-S867)</f>
        <v/>
      </c>
    </row>
    <row r="868" customFormat="false" ht="15" hidden="false" customHeight="false" outlineLevel="0" collapsed="false">
      <c r="I868" s="24" t="str">
        <f aca="false">IF($D868="","",IFERROR(INDEX(Workers!$B$5:$B$2004,MATCH($D868,Workers!$A$5:$A$2004,0)),"NOT FOUND"))</f>
        <v/>
      </c>
      <c r="J868" s="24" t="str">
        <f aca="false">IF($D868="","",IFERROR(INDEX(Workers!$C$5:$C$2004,MATCH($D868,Workers!$A$5:$A$2004,0)),""))</f>
        <v/>
      </c>
      <c r="K868" s="24" t="str">
        <f aca="false">IF($D868="","",IFERROR(IF(INDEX(Workers!$D$5:$D$2004,MATCH($D868,Workers!$A$5:$A$2004,0))=0,"",INDEX(Workers!$D$5:$D$2004,MATCH($D868,Workers!$A$5:$A$2004,0))),""))</f>
        <v/>
      </c>
      <c r="L868" s="24" t="str">
        <f aca="false">IF($D868="","",IFERROR(INDEX(Workers!$E$5:$E$2004,MATCH($D868,Workers!$A$5:$A$2004,0)),""))</f>
        <v/>
      </c>
      <c r="M868" s="26" t="str">
        <f aca="false">IF($D868="","",IFERROR(INDEX(ClientRates!$D$5:$D$500,MATCH($B868&amp;"|"&amp;$L868,ClientRates!$A$5:$A$500,0)),0))</f>
        <v/>
      </c>
      <c r="N868" s="26" t="str">
        <f aca="false">IF($D868="","",IFERROR(INDEX(ClientRates!$E$5:$E$500,MATCH($B868&amp;"|"&amp;$L868,ClientRates!$A$5:$A$500,0)),0))</f>
        <v/>
      </c>
      <c r="O868" s="26" t="str">
        <f aca="false">IF($D868="","",F868*M868+G868*N868)</f>
        <v/>
      </c>
      <c r="P868" s="26" t="str">
        <f aca="false">IF(OR($D868="",$J868&lt;&gt;"Supplier"),"",IFERROR(INDEX(SupplierRates!$D$5:$D$500,MATCH($K868&amp;"|"&amp;$L868,SupplierRates!$A$5:$A$500,0)),0))</f>
        <v/>
      </c>
      <c r="Q868" s="26" t="str">
        <f aca="false">IF(OR($D868="",$J868&lt;&gt;"Supplier"),"",IFERROR(INDEX(SupplierRates!$E$5:$E$500,MATCH($K868&amp;"|"&amp;$L868,SupplierRates!$A$5:$A$500,0)),0))</f>
        <v/>
      </c>
      <c r="R868" s="26" t="n">
        <f aca="false">IF(OR($D868="",$J868&lt;&gt;"Supplier"),0,F868*P868+G868*Q868)</f>
        <v>0</v>
      </c>
      <c r="S868" s="26" t="n">
        <f aca="false">IF(OR($D868="",$J868&lt;&gt;"Own"),0,IFERROR((F868+G868*Settings!$B$13)*INDEX(Workers!$V$5:$V$2004,MATCH($D868,Workers!$A$5:$A$2004,0)),0))</f>
        <v>0</v>
      </c>
      <c r="T868" s="26" t="str">
        <f aca="false">IF($D868="","",O868-R868-S868)</f>
        <v/>
      </c>
    </row>
    <row r="869" customFormat="false" ht="15" hidden="false" customHeight="false" outlineLevel="0" collapsed="false">
      <c r="I869" s="24" t="str">
        <f aca="false">IF($D869="","",IFERROR(INDEX(Workers!$B$5:$B$2004,MATCH($D869,Workers!$A$5:$A$2004,0)),"NOT FOUND"))</f>
        <v/>
      </c>
      <c r="J869" s="24" t="str">
        <f aca="false">IF($D869="","",IFERROR(INDEX(Workers!$C$5:$C$2004,MATCH($D869,Workers!$A$5:$A$2004,0)),""))</f>
        <v/>
      </c>
      <c r="K869" s="24" t="str">
        <f aca="false">IF($D869="","",IFERROR(IF(INDEX(Workers!$D$5:$D$2004,MATCH($D869,Workers!$A$5:$A$2004,0))=0,"",INDEX(Workers!$D$5:$D$2004,MATCH($D869,Workers!$A$5:$A$2004,0))),""))</f>
        <v/>
      </c>
      <c r="L869" s="24" t="str">
        <f aca="false">IF($D869="","",IFERROR(INDEX(Workers!$E$5:$E$2004,MATCH($D869,Workers!$A$5:$A$2004,0)),""))</f>
        <v/>
      </c>
      <c r="M869" s="26" t="str">
        <f aca="false">IF($D869="","",IFERROR(INDEX(ClientRates!$D$5:$D$500,MATCH($B869&amp;"|"&amp;$L869,ClientRates!$A$5:$A$500,0)),0))</f>
        <v/>
      </c>
      <c r="N869" s="26" t="str">
        <f aca="false">IF($D869="","",IFERROR(INDEX(ClientRates!$E$5:$E$500,MATCH($B869&amp;"|"&amp;$L869,ClientRates!$A$5:$A$500,0)),0))</f>
        <v/>
      </c>
      <c r="O869" s="26" t="str">
        <f aca="false">IF($D869="","",F869*M869+G869*N869)</f>
        <v/>
      </c>
      <c r="P869" s="26" t="str">
        <f aca="false">IF(OR($D869="",$J869&lt;&gt;"Supplier"),"",IFERROR(INDEX(SupplierRates!$D$5:$D$500,MATCH($K869&amp;"|"&amp;$L869,SupplierRates!$A$5:$A$500,0)),0))</f>
        <v/>
      </c>
      <c r="Q869" s="26" t="str">
        <f aca="false">IF(OR($D869="",$J869&lt;&gt;"Supplier"),"",IFERROR(INDEX(SupplierRates!$E$5:$E$500,MATCH($K869&amp;"|"&amp;$L869,SupplierRates!$A$5:$A$500,0)),0))</f>
        <v/>
      </c>
      <c r="R869" s="26" t="n">
        <f aca="false">IF(OR($D869="",$J869&lt;&gt;"Supplier"),0,F869*P869+G869*Q869)</f>
        <v>0</v>
      </c>
      <c r="S869" s="26" t="n">
        <f aca="false">IF(OR($D869="",$J869&lt;&gt;"Own"),0,IFERROR((F869+G869*Settings!$B$13)*INDEX(Workers!$V$5:$V$2004,MATCH($D869,Workers!$A$5:$A$2004,0)),0))</f>
        <v>0</v>
      </c>
      <c r="T869" s="26" t="str">
        <f aca="false">IF($D869="","",O869-R869-S869)</f>
        <v/>
      </c>
    </row>
    <row r="870" customFormat="false" ht="15" hidden="false" customHeight="false" outlineLevel="0" collapsed="false">
      <c r="I870" s="24" t="str">
        <f aca="false">IF($D870="","",IFERROR(INDEX(Workers!$B$5:$B$2004,MATCH($D870,Workers!$A$5:$A$2004,0)),"NOT FOUND"))</f>
        <v/>
      </c>
      <c r="J870" s="24" t="str">
        <f aca="false">IF($D870="","",IFERROR(INDEX(Workers!$C$5:$C$2004,MATCH($D870,Workers!$A$5:$A$2004,0)),""))</f>
        <v/>
      </c>
      <c r="K870" s="24" t="str">
        <f aca="false">IF($D870="","",IFERROR(IF(INDEX(Workers!$D$5:$D$2004,MATCH($D870,Workers!$A$5:$A$2004,0))=0,"",INDEX(Workers!$D$5:$D$2004,MATCH($D870,Workers!$A$5:$A$2004,0))),""))</f>
        <v/>
      </c>
      <c r="L870" s="24" t="str">
        <f aca="false">IF($D870="","",IFERROR(INDEX(Workers!$E$5:$E$2004,MATCH($D870,Workers!$A$5:$A$2004,0)),""))</f>
        <v/>
      </c>
      <c r="M870" s="26" t="str">
        <f aca="false">IF($D870="","",IFERROR(INDEX(ClientRates!$D$5:$D$500,MATCH($B870&amp;"|"&amp;$L870,ClientRates!$A$5:$A$500,0)),0))</f>
        <v/>
      </c>
      <c r="N870" s="26" t="str">
        <f aca="false">IF($D870="","",IFERROR(INDEX(ClientRates!$E$5:$E$500,MATCH($B870&amp;"|"&amp;$L870,ClientRates!$A$5:$A$500,0)),0))</f>
        <v/>
      </c>
      <c r="O870" s="26" t="str">
        <f aca="false">IF($D870="","",F870*M870+G870*N870)</f>
        <v/>
      </c>
      <c r="P870" s="26" t="str">
        <f aca="false">IF(OR($D870="",$J870&lt;&gt;"Supplier"),"",IFERROR(INDEX(SupplierRates!$D$5:$D$500,MATCH($K870&amp;"|"&amp;$L870,SupplierRates!$A$5:$A$500,0)),0))</f>
        <v/>
      </c>
      <c r="Q870" s="26" t="str">
        <f aca="false">IF(OR($D870="",$J870&lt;&gt;"Supplier"),"",IFERROR(INDEX(SupplierRates!$E$5:$E$500,MATCH($K870&amp;"|"&amp;$L870,SupplierRates!$A$5:$A$500,0)),0))</f>
        <v/>
      </c>
      <c r="R870" s="26" t="n">
        <f aca="false">IF(OR($D870="",$J870&lt;&gt;"Supplier"),0,F870*P870+G870*Q870)</f>
        <v>0</v>
      </c>
      <c r="S870" s="26" t="n">
        <f aca="false">IF(OR($D870="",$J870&lt;&gt;"Own"),0,IFERROR((F870+G870*Settings!$B$13)*INDEX(Workers!$V$5:$V$2004,MATCH($D870,Workers!$A$5:$A$2004,0)),0))</f>
        <v>0</v>
      </c>
      <c r="T870" s="26" t="str">
        <f aca="false">IF($D870="","",O870-R870-S870)</f>
        <v/>
      </c>
    </row>
    <row r="871" customFormat="false" ht="15" hidden="false" customHeight="false" outlineLevel="0" collapsed="false">
      <c r="I871" s="24" t="str">
        <f aca="false">IF($D871="","",IFERROR(INDEX(Workers!$B$5:$B$2004,MATCH($D871,Workers!$A$5:$A$2004,0)),"NOT FOUND"))</f>
        <v/>
      </c>
      <c r="J871" s="24" t="str">
        <f aca="false">IF($D871="","",IFERROR(INDEX(Workers!$C$5:$C$2004,MATCH($D871,Workers!$A$5:$A$2004,0)),""))</f>
        <v/>
      </c>
      <c r="K871" s="24" t="str">
        <f aca="false">IF($D871="","",IFERROR(IF(INDEX(Workers!$D$5:$D$2004,MATCH($D871,Workers!$A$5:$A$2004,0))=0,"",INDEX(Workers!$D$5:$D$2004,MATCH($D871,Workers!$A$5:$A$2004,0))),""))</f>
        <v/>
      </c>
      <c r="L871" s="24" t="str">
        <f aca="false">IF($D871="","",IFERROR(INDEX(Workers!$E$5:$E$2004,MATCH($D871,Workers!$A$5:$A$2004,0)),""))</f>
        <v/>
      </c>
      <c r="M871" s="26" t="str">
        <f aca="false">IF($D871="","",IFERROR(INDEX(ClientRates!$D$5:$D$500,MATCH($B871&amp;"|"&amp;$L871,ClientRates!$A$5:$A$500,0)),0))</f>
        <v/>
      </c>
      <c r="N871" s="26" t="str">
        <f aca="false">IF($D871="","",IFERROR(INDEX(ClientRates!$E$5:$E$500,MATCH($B871&amp;"|"&amp;$L871,ClientRates!$A$5:$A$500,0)),0))</f>
        <v/>
      </c>
      <c r="O871" s="26" t="str">
        <f aca="false">IF($D871="","",F871*M871+G871*N871)</f>
        <v/>
      </c>
      <c r="P871" s="26" t="str">
        <f aca="false">IF(OR($D871="",$J871&lt;&gt;"Supplier"),"",IFERROR(INDEX(SupplierRates!$D$5:$D$500,MATCH($K871&amp;"|"&amp;$L871,SupplierRates!$A$5:$A$500,0)),0))</f>
        <v/>
      </c>
      <c r="Q871" s="26" t="str">
        <f aca="false">IF(OR($D871="",$J871&lt;&gt;"Supplier"),"",IFERROR(INDEX(SupplierRates!$E$5:$E$500,MATCH($K871&amp;"|"&amp;$L871,SupplierRates!$A$5:$A$500,0)),0))</f>
        <v/>
      </c>
      <c r="R871" s="26" t="n">
        <f aca="false">IF(OR($D871="",$J871&lt;&gt;"Supplier"),0,F871*P871+G871*Q871)</f>
        <v>0</v>
      </c>
      <c r="S871" s="26" t="n">
        <f aca="false">IF(OR($D871="",$J871&lt;&gt;"Own"),0,IFERROR((F871+G871*Settings!$B$13)*INDEX(Workers!$V$5:$V$2004,MATCH($D871,Workers!$A$5:$A$2004,0)),0))</f>
        <v>0</v>
      </c>
      <c r="T871" s="26" t="str">
        <f aca="false">IF($D871="","",O871-R871-S871)</f>
        <v/>
      </c>
    </row>
    <row r="872" customFormat="false" ht="15" hidden="false" customHeight="false" outlineLevel="0" collapsed="false">
      <c r="I872" s="24" t="str">
        <f aca="false">IF($D872="","",IFERROR(INDEX(Workers!$B$5:$B$2004,MATCH($D872,Workers!$A$5:$A$2004,0)),"NOT FOUND"))</f>
        <v/>
      </c>
      <c r="J872" s="24" t="str">
        <f aca="false">IF($D872="","",IFERROR(INDEX(Workers!$C$5:$C$2004,MATCH($D872,Workers!$A$5:$A$2004,0)),""))</f>
        <v/>
      </c>
      <c r="K872" s="24" t="str">
        <f aca="false">IF($D872="","",IFERROR(IF(INDEX(Workers!$D$5:$D$2004,MATCH($D872,Workers!$A$5:$A$2004,0))=0,"",INDEX(Workers!$D$5:$D$2004,MATCH($D872,Workers!$A$5:$A$2004,0))),""))</f>
        <v/>
      </c>
      <c r="L872" s="24" t="str">
        <f aca="false">IF($D872="","",IFERROR(INDEX(Workers!$E$5:$E$2004,MATCH($D872,Workers!$A$5:$A$2004,0)),""))</f>
        <v/>
      </c>
      <c r="M872" s="26" t="str">
        <f aca="false">IF($D872="","",IFERROR(INDEX(ClientRates!$D$5:$D$500,MATCH($B872&amp;"|"&amp;$L872,ClientRates!$A$5:$A$500,0)),0))</f>
        <v/>
      </c>
      <c r="N872" s="26" t="str">
        <f aca="false">IF($D872="","",IFERROR(INDEX(ClientRates!$E$5:$E$500,MATCH($B872&amp;"|"&amp;$L872,ClientRates!$A$5:$A$500,0)),0))</f>
        <v/>
      </c>
      <c r="O872" s="26" t="str">
        <f aca="false">IF($D872="","",F872*M872+G872*N872)</f>
        <v/>
      </c>
      <c r="P872" s="26" t="str">
        <f aca="false">IF(OR($D872="",$J872&lt;&gt;"Supplier"),"",IFERROR(INDEX(SupplierRates!$D$5:$D$500,MATCH($K872&amp;"|"&amp;$L872,SupplierRates!$A$5:$A$500,0)),0))</f>
        <v/>
      </c>
      <c r="Q872" s="26" t="str">
        <f aca="false">IF(OR($D872="",$J872&lt;&gt;"Supplier"),"",IFERROR(INDEX(SupplierRates!$E$5:$E$500,MATCH($K872&amp;"|"&amp;$L872,SupplierRates!$A$5:$A$500,0)),0))</f>
        <v/>
      </c>
      <c r="R872" s="26" t="n">
        <f aca="false">IF(OR($D872="",$J872&lt;&gt;"Supplier"),0,F872*P872+G872*Q872)</f>
        <v>0</v>
      </c>
      <c r="S872" s="26" t="n">
        <f aca="false">IF(OR($D872="",$J872&lt;&gt;"Own"),0,IFERROR((F872+G872*Settings!$B$13)*INDEX(Workers!$V$5:$V$2004,MATCH($D872,Workers!$A$5:$A$2004,0)),0))</f>
        <v>0</v>
      </c>
      <c r="T872" s="26" t="str">
        <f aca="false">IF($D872="","",O872-R872-S872)</f>
        <v/>
      </c>
    </row>
    <row r="873" customFormat="false" ht="15" hidden="false" customHeight="false" outlineLevel="0" collapsed="false">
      <c r="I873" s="24" t="str">
        <f aca="false">IF($D873="","",IFERROR(INDEX(Workers!$B$5:$B$2004,MATCH($D873,Workers!$A$5:$A$2004,0)),"NOT FOUND"))</f>
        <v/>
      </c>
      <c r="J873" s="24" t="str">
        <f aca="false">IF($D873="","",IFERROR(INDEX(Workers!$C$5:$C$2004,MATCH($D873,Workers!$A$5:$A$2004,0)),""))</f>
        <v/>
      </c>
      <c r="K873" s="24" t="str">
        <f aca="false">IF($D873="","",IFERROR(IF(INDEX(Workers!$D$5:$D$2004,MATCH($D873,Workers!$A$5:$A$2004,0))=0,"",INDEX(Workers!$D$5:$D$2004,MATCH($D873,Workers!$A$5:$A$2004,0))),""))</f>
        <v/>
      </c>
      <c r="L873" s="24" t="str">
        <f aca="false">IF($D873="","",IFERROR(INDEX(Workers!$E$5:$E$2004,MATCH($D873,Workers!$A$5:$A$2004,0)),""))</f>
        <v/>
      </c>
      <c r="M873" s="26" t="str">
        <f aca="false">IF($D873="","",IFERROR(INDEX(ClientRates!$D$5:$D$500,MATCH($B873&amp;"|"&amp;$L873,ClientRates!$A$5:$A$500,0)),0))</f>
        <v/>
      </c>
      <c r="N873" s="26" t="str">
        <f aca="false">IF($D873="","",IFERROR(INDEX(ClientRates!$E$5:$E$500,MATCH($B873&amp;"|"&amp;$L873,ClientRates!$A$5:$A$500,0)),0))</f>
        <v/>
      </c>
      <c r="O873" s="26" t="str">
        <f aca="false">IF($D873="","",F873*M873+G873*N873)</f>
        <v/>
      </c>
      <c r="P873" s="26" t="str">
        <f aca="false">IF(OR($D873="",$J873&lt;&gt;"Supplier"),"",IFERROR(INDEX(SupplierRates!$D$5:$D$500,MATCH($K873&amp;"|"&amp;$L873,SupplierRates!$A$5:$A$500,0)),0))</f>
        <v/>
      </c>
      <c r="Q873" s="26" t="str">
        <f aca="false">IF(OR($D873="",$J873&lt;&gt;"Supplier"),"",IFERROR(INDEX(SupplierRates!$E$5:$E$500,MATCH($K873&amp;"|"&amp;$L873,SupplierRates!$A$5:$A$500,0)),0))</f>
        <v/>
      </c>
      <c r="R873" s="26" t="n">
        <f aca="false">IF(OR($D873="",$J873&lt;&gt;"Supplier"),0,F873*P873+G873*Q873)</f>
        <v>0</v>
      </c>
      <c r="S873" s="26" t="n">
        <f aca="false">IF(OR($D873="",$J873&lt;&gt;"Own"),0,IFERROR((F873+G873*Settings!$B$13)*INDEX(Workers!$V$5:$V$2004,MATCH($D873,Workers!$A$5:$A$2004,0)),0))</f>
        <v>0</v>
      </c>
      <c r="T873" s="26" t="str">
        <f aca="false">IF($D873="","",O873-R873-S873)</f>
        <v/>
      </c>
    </row>
    <row r="874" customFormat="false" ht="15" hidden="false" customHeight="false" outlineLevel="0" collapsed="false">
      <c r="I874" s="24" t="str">
        <f aca="false">IF($D874="","",IFERROR(INDEX(Workers!$B$5:$B$2004,MATCH($D874,Workers!$A$5:$A$2004,0)),"NOT FOUND"))</f>
        <v/>
      </c>
      <c r="J874" s="24" t="str">
        <f aca="false">IF($D874="","",IFERROR(INDEX(Workers!$C$5:$C$2004,MATCH($D874,Workers!$A$5:$A$2004,0)),""))</f>
        <v/>
      </c>
      <c r="K874" s="24" t="str">
        <f aca="false">IF($D874="","",IFERROR(IF(INDEX(Workers!$D$5:$D$2004,MATCH($D874,Workers!$A$5:$A$2004,0))=0,"",INDEX(Workers!$D$5:$D$2004,MATCH($D874,Workers!$A$5:$A$2004,0))),""))</f>
        <v/>
      </c>
      <c r="L874" s="24" t="str">
        <f aca="false">IF($D874="","",IFERROR(INDEX(Workers!$E$5:$E$2004,MATCH($D874,Workers!$A$5:$A$2004,0)),""))</f>
        <v/>
      </c>
      <c r="M874" s="26" t="str">
        <f aca="false">IF($D874="","",IFERROR(INDEX(ClientRates!$D$5:$D$500,MATCH($B874&amp;"|"&amp;$L874,ClientRates!$A$5:$A$500,0)),0))</f>
        <v/>
      </c>
      <c r="N874" s="26" t="str">
        <f aca="false">IF($D874="","",IFERROR(INDEX(ClientRates!$E$5:$E$500,MATCH($B874&amp;"|"&amp;$L874,ClientRates!$A$5:$A$500,0)),0))</f>
        <v/>
      </c>
      <c r="O874" s="26" t="str">
        <f aca="false">IF($D874="","",F874*M874+G874*N874)</f>
        <v/>
      </c>
      <c r="P874" s="26" t="str">
        <f aca="false">IF(OR($D874="",$J874&lt;&gt;"Supplier"),"",IFERROR(INDEX(SupplierRates!$D$5:$D$500,MATCH($K874&amp;"|"&amp;$L874,SupplierRates!$A$5:$A$500,0)),0))</f>
        <v/>
      </c>
      <c r="Q874" s="26" t="str">
        <f aca="false">IF(OR($D874="",$J874&lt;&gt;"Supplier"),"",IFERROR(INDEX(SupplierRates!$E$5:$E$500,MATCH($K874&amp;"|"&amp;$L874,SupplierRates!$A$5:$A$500,0)),0))</f>
        <v/>
      </c>
      <c r="R874" s="26" t="n">
        <f aca="false">IF(OR($D874="",$J874&lt;&gt;"Supplier"),0,F874*P874+G874*Q874)</f>
        <v>0</v>
      </c>
      <c r="S874" s="26" t="n">
        <f aca="false">IF(OR($D874="",$J874&lt;&gt;"Own"),0,IFERROR((F874+G874*Settings!$B$13)*INDEX(Workers!$V$5:$V$2004,MATCH($D874,Workers!$A$5:$A$2004,0)),0))</f>
        <v>0</v>
      </c>
      <c r="T874" s="26" t="str">
        <f aca="false">IF($D874="","",O874-R874-S874)</f>
        <v/>
      </c>
    </row>
    <row r="875" customFormat="false" ht="15" hidden="false" customHeight="false" outlineLevel="0" collapsed="false">
      <c r="I875" s="24" t="str">
        <f aca="false">IF($D875="","",IFERROR(INDEX(Workers!$B$5:$B$2004,MATCH($D875,Workers!$A$5:$A$2004,0)),"NOT FOUND"))</f>
        <v/>
      </c>
      <c r="J875" s="24" t="str">
        <f aca="false">IF($D875="","",IFERROR(INDEX(Workers!$C$5:$C$2004,MATCH($D875,Workers!$A$5:$A$2004,0)),""))</f>
        <v/>
      </c>
      <c r="K875" s="24" t="str">
        <f aca="false">IF($D875="","",IFERROR(IF(INDEX(Workers!$D$5:$D$2004,MATCH($D875,Workers!$A$5:$A$2004,0))=0,"",INDEX(Workers!$D$5:$D$2004,MATCH($D875,Workers!$A$5:$A$2004,0))),""))</f>
        <v/>
      </c>
      <c r="L875" s="24" t="str">
        <f aca="false">IF($D875="","",IFERROR(INDEX(Workers!$E$5:$E$2004,MATCH($D875,Workers!$A$5:$A$2004,0)),""))</f>
        <v/>
      </c>
      <c r="M875" s="26" t="str">
        <f aca="false">IF($D875="","",IFERROR(INDEX(ClientRates!$D$5:$D$500,MATCH($B875&amp;"|"&amp;$L875,ClientRates!$A$5:$A$500,0)),0))</f>
        <v/>
      </c>
      <c r="N875" s="26" t="str">
        <f aca="false">IF($D875="","",IFERROR(INDEX(ClientRates!$E$5:$E$500,MATCH($B875&amp;"|"&amp;$L875,ClientRates!$A$5:$A$500,0)),0))</f>
        <v/>
      </c>
      <c r="O875" s="26" t="str">
        <f aca="false">IF($D875="","",F875*M875+G875*N875)</f>
        <v/>
      </c>
      <c r="P875" s="26" t="str">
        <f aca="false">IF(OR($D875="",$J875&lt;&gt;"Supplier"),"",IFERROR(INDEX(SupplierRates!$D$5:$D$500,MATCH($K875&amp;"|"&amp;$L875,SupplierRates!$A$5:$A$500,0)),0))</f>
        <v/>
      </c>
      <c r="Q875" s="26" t="str">
        <f aca="false">IF(OR($D875="",$J875&lt;&gt;"Supplier"),"",IFERROR(INDEX(SupplierRates!$E$5:$E$500,MATCH($K875&amp;"|"&amp;$L875,SupplierRates!$A$5:$A$500,0)),0))</f>
        <v/>
      </c>
      <c r="R875" s="26" t="n">
        <f aca="false">IF(OR($D875="",$J875&lt;&gt;"Supplier"),0,F875*P875+G875*Q875)</f>
        <v>0</v>
      </c>
      <c r="S875" s="26" t="n">
        <f aca="false">IF(OR($D875="",$J875&lt;&gt;"Own"),0,IFERROR((F875+G875*Settings!$B$13)*INDEX(Workers!$V$5:$V$2004,MATCH($D875,Workers!$A$5:$A$2004,0)),0))</f>
        <v>0</v>
      </c>
      <c r="T875" s="26" t="str">
        <f aca="false">IF($D875="","",O875-R875-S875)</f>
        <v/>
      </c>
    </row>
    <row r="876" customFormat="false" ht="15" hidden="false" customHeight="false" outlineLevel="0" collapsed="false">
      <c r="I876" s="24" t="str">
        <f aca="false">IF($D876="","",IFERROR(INDEX(Workers!$B$5:$B$2004,MATCH($D876,Workers!$A$5:$A$2004,0)),"NOT FOUND"))</f>
        <v/>
      </c>
      <c r="J876" s="24" t="str">
        <f aca="false">IF($D876="","",IFERROR(INDEX(Workers!$C$5:$C$2004,MATCH($D876,Workers!$A$5:$A$2004,0)),""))</f>
        <v/>
      </c>
      <c r="K876" s="24" t="str">
        <f aca="false">IF($D876="","",IFERROR(IF(INDEX(Workers!$D$5:$D$2004,MATCH($D876,Workers!$A$5:$A$2004,0))=0,"",INDEX(Workers!$D$5:$D$2004,MATCH($D876,Workers!$A$5:$A$2004,0))),""))</f>
        <v/>
      </c>
      <c r="L876" s="24" t="str">
        <f aca="false">IF($D876="","",IFERROR(INDEX(Workers!$E$5:$E$2004,MATCH($D876,Workers!$A$5:$A$2004,0)),""))</f>
        <v/>
      </c>
      <c r="M876" s="26" t="str">
        <f aca="false">IF($D876="","",IFERROR(INDEX(ClientRates!$D$5:$D$500,MATCH($B876&amp;"|"&amp;$L876,ClientRates!$A$5:$A$500,0)),0))</f>
        <v/>
      </c>
      <c r="N876" s="26" t="str">
        <f aca="false">IF($D876="","",IFERROR(INDEX(ClientRates!$E$5:$E$500,MATCH($B876&amp;"|"&amp;$L876,ClientRates!$A$5:$A$500,0)),0))</f>
        <v/>
      </c>
      <c r="O876" s="26" t="str">
        <f aca="false">IF($D876="","",F876*M876+G876*N876)</f>
        <v/>
      </c>
      <c r="P876" s="26" t="str">
        <f aca="false">IF(OR($D876="",$J876&lt;&gt;"Supplier"),"",IFERROR(INDEX(SupplierRates!$D$5:$D$500,MATCH($K876&amp;"|"&amp;$L876,SupplierRates!$A$5:$A$500,0)),0))</f>
        <v/>
      </c>
      <c r="Q876" s="26" t="str">
        <f aca="false">IF(OR($D876="",$J876&lt;&gt;"Supplier"),"",IFERROR(INDEX(SupplierRates!$E$5:$E$500,MATCH($K876&amp;"|"&amp;$L876,SupplierRates!$A$5:$A$500,0)),0))</f>
        <v/>
      </c>
      <c r="R876" s="26" t="n">
        <f aca="false">IF(OR($D876="",$J876&lt;&gt;"Supplier"),0,F876*P876+G876*Q876)</f>
        <v>0</v>
      </c>
      <c r="S876" s="26" t="n">
        <f aca="false">IF(OR($D876="",$J876&lt;&gt;"Own"),0,IFERROR((F876+G876*Settings!$B$13)*INDEX(Workers!$V$5:$V$2004,MATCH($D876,Workers!$A$5:$A$2004,0)),0))</f>
        <v>0</v>
      </c>
      <c r="T876" s="26" t="str">
        <f aca="false">IF($D876="","",O876-R876-S876)</f>
        <v/>
      </c>
    </row>
    <row r="877" customFormat="false" ht="15" hidden="false" customHeight="false" outlineLevel="0" collapsed="false">
      <c r="I877" s="24" t="str">
        <f aca="false">IF($D877="","",IFERROR(INDEX(Workers!$B$5:$B$2004,MATCH($D877,Workers!$A$5:$A$2004,0)),"NOT FOUND"))</f>
        <v/>
      </c>
      <c r="J877" s="24" t="str">
        <f aca="false">IF($D877="","",IFERROR(INDEX(Workers!$C$5:$C$2004,MATCH($D877,Workers!$A$5:$A$2004,0)),""))</f>
        <v/>
      </c>
      <c r="K877" s="24" t="str">
        <f aca="false">IF($D877="","",IFERROR(IF(INDEX(Workers!$D$5:$D$2004,MATCH($D877,Workers!$A$5:$A$2004,0))=0,"",INDEX(Workers!$D$5:$D$2004,MATCH($D877,Workers!$A$5:$A$2004,0))),""))</f>
        <v/>
      </c>
      <c r="L877" s="24" t="str">
        <f aca="false">IF($D877="","",IFERROR(INDEX(Workers!$E$5:$E$2004,MATCH($D877,Workers!$A$5:$A$2004,0)),""))</f>
        <v/>
      </c>
      <c r="M877" s="26" t="str">
        <f aca="false">IF($D877="","",IFERROR(INDEX(ClientRates!$D$5:$D$500,MATCH($B877&amp;"|"&amp;$L877,ClientRates!$A$5:$A$500,0)),0))</f>
        <v/>
      </c>
      <c r="N877" s="26" t="str">
        <f aca="false">IF($D877="","",IFERROR(INDEX(ClientRates!$E$5:$E$500,MATCH($B877&amp;"|"&amp;$L877,ClientRates!$A$5:$A$500,0)),0))</f>
        <v/>
      </c>
      <c r="O877" s="26" t="str">
        <f aca="false">IF($D877="","",F877*M877+G877*N877)</f>
        <v/>
      </c>
      <c r="P877" s="26" t="str">
        <f aca="false">IF(OR($D877="",$J877&lt;&gt;"Supplier"),"",IFERROR(INDEX(SupplierRates!$D$5:$D$500,MATCH($K877&amp;"|"&amp;$L877,SupplierRates!$A$5:$A$500,0)),0))</f>
        <v/>
      </c>
      <c r="Q877" s="26" t="str">
        <f aca="false">IF(OR($D877="",$J877&lt;&gt;"Supplier"),"",IFERROR(INDEX(SupplierRates!$E$5:$E$500,MATCH($K877&amp;"|"&amp;$L877,SupplierRates!$A$5:$A$500,0)),0))</f>
        <v/>
      </c>
      <c r="R877" s="26" t="n">
        <f aca="false">IF(OR($D877="",$J877&lt;&gt;"Supplier"),0,F877*P877+G877*Q877)</f>
        <v>0</v>
      </c>
      <c r="S877" s="26" t="n">
        <f aca="false">IF(OR($D877="",$J877&lt;&gt;"Own"),0,IFERROR((F877+G877*Settings!$B$13)*INDEX(Workers!$V$5:$V$2004,MATCH($D877,Workers!$A$5:$A$2004,0)),0))</f>
        <v>0</v>
      </c>
      <c r="T877" s="26" t="str">
        <f aca="false">IF($D877="","",O877-R877-S877)</f>
        <v/>
      </c>
    </row>
    <row r="878" customFormat="false" ht="15" hidden="false" customHeight="false" outlineLevel="0" collapsed="false">
      <c r="I878" s="24" t="str">
        <f aca="false">IF($D878="","",IFERROR(INDEX(Workers!$B$5:$B$2004,MATCH($D878,Workers!$A$5:$A$2004,0)),"NOT FOUND"))</f>
        <v/>
      </c>
      <c r="J878" s="24" t="str">
        <f aca="false">IF($D878="","",IFERROR(INDEX(Workers!$C$5:$C$2004,MATCH($D878,Workers!$A$5:$A$2004,0)),""))</f>
        <v/>
      </c>
      <c r="K878" s="24" t="str">
        <f aca="false">IF($D878="","",IFERROR(IF(INDEX(Workers!$D$5:$D$2004,MATCH($D878,Workers!$A$5:$A$2004,0))=0,"",INDEX(Workers!$D$5:$D$2004,MATCH($D878,Workers!$A$5:$A$2004,0))),""))</f>
        <v/>
      </c>
      <c r="L878" s="24" t="str">
        <f aca="false">IF($D878="","",IFERROR(INDEX(Workers!$E$5:$E$2004,MATCH($D878,Workers!$A$5:$A$2004,0)),""))</f>
        <v/>
      </c>
      <c r="M878" s="26" t="str">
        <f aca="false">IF($D878="","",IFERROR(INDEX(ClientRates!$D$5:$D$500,MATCH($B878&amp;"|"&amp;$L878,ClientRates!$A$5:$A$500,0)),0))</f>
        <v/>
      </c>
      <c r="N878" s="26" t="str">
        <f aca="false">IF($D878="","",IFERROR(INDEX(ClientRates!$E$5:$E$500,MATCH($B878&amp;"|"&amp;$L878,ClientRates!$A$5:$A$500,0)),0))</f>
        <v/>
      </c>
      <c r="O878" s="26" t="str">
        <f aca="false">IF($D878="","",F878*M878+G878*N878)</f>
        <v/>
      </c>
      <c r="P878" s="26" t="str">
        <f aca="false">IF(OR($D878="",$J878&lt;&gt;"Supplier"),"",IFERROR(INDEX(SupplierRates!$D$5:$D$500,MATCH($K878&amp;"|"&amp;$L878,SupplierRates!$A$5:$A$500,0)),0))</f>
        <v/>
      </c>
      <c r="Q878" s="26" t="str">
        <f aca="false">IF(OR($D878="",$J878&lt;&gt;"Supplier"),"",IFERROR(INDEX(SupplierRates!$E$5:$E$500,MATCH($K878&amp;"|"&amp;$L878,SupplierRates!$A$5:$A$500,0)),0))</f>
        <v/>
      </c>
      <c r="R878" s="26" t="n">
        <f aca="false">IF(OR($D878="",$J878&lt;&gt;"Supplier"),0,F878*P878+G878*Q878)</f>
        <v>0</v>
      </c>
      <c r="S878" s="26" t="n">
        <f aca="false">IF(OR($D878="",$J878&lt;&gt;"Own"),0,IFERROR((F878+G878*Settings!$B$13)*INDEX(Workers!$V$5:$V$2004,MATCH($D878,Workers!$A$5:$A$2004,0)),0))</f>
        <v>0</v>
      </c>
      <c r="T878" s="26" t="str">
        <f aca="false">IF($D878="","",O878-R878-S878)</f>
        <v/>
      </c>
    </row>
    <row r="879" customFormat="false" ht="15" hidden="false" customHeight="false" outlineLevel="0" collapsed="false">
      <c r="I879" s="24" t="str">
        <f aca="false">IF($D879="","",IFERROR(INDEX(Workers!$B$5:$B$2004,MATCH($D879,Workers!$A$5:$A$2004,0)),"NOT FOUND"))</f>
        <v/>
      </c>
      <c r="J879" s="24" t="str">
        <f aca="false">IF($D879="","",IFERROR(INDEX(Workers!$C$5:$C$2004,MATCH($D879,Workers!$A$5:$A$2004,0)),""))</f>
        <v/>
      </c>
      <c r="K879" s="24" t="str">
        <f aca="false">IF($D879="","",IFERROR(IF(INDEX(Workers!$D$5:$D$2004,MATCH($D879,Workers!$A$5:$A$2004,0))=0,"",INDEX(Workers!$D$5:$D$2004,MATCH($D879,Workers!$A$5:$A$2004,0))),""))</f>
        <v/>
      </c>
      <c r="L879" s="24" t="str">
        <f aca="false">IF($D879="","",IFERROR(INDEX(Workers!$E$5:$E$2004,MATCH($D879,Workers!$A$5:$A$2004,0)),""))</f>
        <v/>
      </c>
      <c r="M879" s="26" t="str">
        <f aca="false">IF($D879="","",IFERROR(INDEX(ClientRates!$D$5:$D$500,MATCH($B879&amp;"|"&amp;$L879,ClientRates!$A$5:$A$500,0)),0))</f>
        <v/>
      </c>
      <c r="N879" s="26" t="str">
        <f aca="false">IF($D879="","",IFERROR(INDEX(ClientRates!$E$5:$E$500,MATCH($B879&amp;"|"&amp;$L879,ClientRates!$A$5:$A$500,0)),0))</f>
        <v/>
      </c>
      <c r="O879" s="26" t="str">
        <f aca="false">IF($D879="","",F879*M879+G879*N879)</f>
        <v/>
      </c>
      <c r="P879" s="26" t="str">
        <f aca="false">IF(OR($D879="",$J879&lt;&gt;"Supplier"),"",IFERROR(INDEX(SupplierRates!$D$5:$D$500,MATCH($K879&amp;"|"&amp;$L879,SupplierRates!$A$5:$A$500,0)),0))</f>
        <v/>
      </c>
      <c r="Q879" s="26" t="str">
        <f aca="false">IF(OR($D879="",$J879&lt;&gt;"Supplier"),"",IFERROR(INDEX(SupplierRates!$E$5:$E$500,MATCH($K879&amp;"|"&amp;$L879,SupplierRates!$A$5:$A$500,0)),0))</f>
        <v/>
      </c>
      <c r="R879" s="26" t="n">
        <f aca="false">IF(OR($D879="",$J879&lt;&gt;"Supplier"),0,F879*P879+G879*Q879)</f>
        <v>0</v>
      </c>
      <c r="S879" s="26" t="n">
        <f aca="false">IF(OR($D879="",$J879&lt;&gt;"Own"),0,IFERROR((F879+G879*Settings!$B$13)*INDEX(Workers!$V$5:$V$2004,MATCH($D879,Workers!$A$5:$A$2004,0)),0))</f>
        <v>0</v>
      </c>
      <c r="T879" s="26" t="str">
        <f aca="false">IF($D879="","",O879-R879-S879)</f>
        <v/>
      </c>
    </row>
    <row r="880" customFormat="false" ht="15" hidden="false" customHeight="false" outlineLevel="0" collapsed="false">
      <c r="I880" s="24" t="str">
        <f aca="false">IF($D880="","",IFERROR(INDEX(Workers!$B$5:$B$2004,MATCH($D880,Workers!$A$5:$A$2004,0)),"NOT FOUND"))</f>
        <v/>
      </c>
      <c r="J880" s="24" t="str">
        <f aca="false">IF($D880="","",IFERROR(INDEX(Workers!$C$5:$C$2004,MATCH($D880,Workers!$A$5:$A$2004,0)),""))</f>
        <v/>
      </c>
      <c r="K880" s="24" t="str">
        <f aca="false">IF($D880="","",IFERROR(IF(INDEX(Workers!$D$5:$D$2004,MATCH($D880,Workers!$A$5:$A$2004,0))=0,"",INDEX(Workers!$D$5:$D$2004,MATCH($D880,Workers!$A$5:$A$2004,0))),""))</f>
        <v/>
      </c>
      <c r="L880" s="24" t="str">
        <f aca="false">IF($D880="","",IFERROR(INDEX(Workers!$E$5:$E$2004,MATCH($D880,Workers!$A$5:$A$2004,0)),""))</f>
        <v/>
      </c>
      <c r="M880" s="26" t="str">
        <f aca="false">IF($D880="","",IFERROR(INDEX(ClientRates!$D$5:$D$500,MATCH($B880&amp;"|"&amp;$L880,ClientRates!$A$5:$A$500,0)),0))</f>
        <v/>
      </c>
      <c r="N880" s="26" t="str">
        <f aca="false">IF($D880="","",IFERROR(INDEX(ClientRates!$E$5:$E$500,MATCH($B880&amp;"|"&amp;$L880,ClientRates!$A$5:$A$500,0)),0))</f>
        <v/>
      </c>
      <c r="O880" s="26" t="str">
        <f aca="false">IF($D880="","",F880*M880+G880*N880)</f>
        <v/>
      </c>
      <c r="P880" s="26" t="str">
        <f aca="false">IF(OR($D880="",$J880&lt;&gt;"Supplier"),"",IFERROR(INDEX(SupplierRates!$D$5:$D$500,MATCH($K880&amp;"|"&amp;$L880,SupplierRates!$A$5:$A$500,0)),0))</f>
        <v/>
      </c>
      <c r="Q880" s="26" t="str">
        <f aca="false">IF(OR($D880="",$J880&lt;&gt;"Supplier"),"",IFERROR(INDEX(SupplierRates!$E$5:$E$500,MATCH($K880&amp;"|"&amp;$L880,SupplierRates!$A$5:$A$500,0)),0))</f>
        <v/>
      </c>
      <c r="R880" s="26" t="n">
        <f aca="false">IF(OR($D880="",$J880&lt;&gt;"Supplier"),0,F880*P880+G880*Q880)</f>
        <v>0</v>
      </c>
      <c r="S880" s="26" t="n">
        <f aca="false">IF(OR($D880="",$J880&lt;&gt;"Own"),0,IFERROR((F880+G880*Settings!$B$13)*INDEX(Workers!$V$5:$V$2004,MATCH($D880,Workers!$A$5:$A$2004,0)),0))</f>
        <v>0</v>
      </c>
      <c r="T880" s="26" t="str">
        <f aca="false">IF($D880="","",O880-R880-S880)</f>
        <v/>
      </c>
    </row>
    <row r="881" customFormat="false" ht="15" hidden="false" customHeight="false" outlineLevel="0" collapsed="false">
      <c r="I881" s="24" t="str">
        <f aca="false">IF($D881="","",IFERROR(INDEX(Workers!$B$5:$B$2004,MATCH($D881,Workers!$A$5:$A$2004,0)),"NOT FOUND"))</f>
        <v/>
      </c>
      <c r="J881" s="24" t="str">
        <f aca="false">IF($D881="","",IFERROR(INDEX(Workers!$C$5:$C$2004,MATCH($D881,Workers!$A$5:$A$2004,0)),""))</f>
        <v/>
      </c>
      <c r="K881" s="24" t="str">
        <f aca="false">IF($D881="","",IFERROR(IF(INDEX(Workers!$D$5:$D$2004,MATCH($D881,Workers!$A$5:$A$2004,0))=0,"",INDEX(Workers!$D$5:$D$2004,MATCH($D881,Workers!$A$5:$A$2004,0))),""))</f>
        <v/>
      </c>
      <c r="L881" s="24" t="str">
        <f aca="false">IF($D881="","",IFERROR(INDEX(Workers!$E$5:$E$2004,MATCH($D881,Workers!$A$5:$A$2004,0)),""))</f>
        <v/>
      </c>
      <c r="M881" s="26" t="str">
        <f aca="false">IF($D881="","",IFERROR(INDEX(ClientRates!$D$5:$D$500,MATCH($B881&amp;"|"&amp;$L881,ClientRates!$A$5:$A$500,0)),0))</f>
        <v/>
      </c>
      <c r="N881" s="26" t="str">
        <f aca="false">IF($D881="","",IFERROR(INDEX(ClientRates!$E$5:$E$500,MATCH($B881&amp;"|"&amp;$L881,ClientRates!$A$5:$A$500,0)),0))</f>
        <v/>
      </c>
      <c r="O881" s="26" t="str">
        <f aca="false">IF($D881="","",F881*M881+G881*N881)</f>
        <v/>
      </c>
      <c r="P881" s="26" t="str">
        <f aca="false">IF(OR($D881="",$J881&lt;&gt;"Supplier"),"",IFERROR(INDEX(SupplierRates!$D$5:$D$500,MATCH($K881&amp;"|"&amp;$L881,SupplierRates!$A$5:$A$500,0)),0))</f>
        <v/>
      </c>
      <c r="Q881" s="26" t="str">
        <f aca="false">IF(OR($D881="",$J881&lt;&gt;"Supplier"),"",IFERROR(INDEX(SupplierRates!$E$5:$E$500,MATCH($K881&amp;"|"&amp;$L881,SupplierRates!$A$5:$A$500,0)),0))</f>
        <v/>
      </c>
      <c r="R881" s="26" t="n">
        <f aca="false">IF(OR($D881="",$J881&lt;&gt;"Supplier"),0,F881*P881+G881*Q881)</f>
        <v>0</v>
      </c>
      <c r="S881" s="26" t="n">
        <f aca="false">IF(OR($D881="",$J881&lt;&gt;"Own"),0,IFERROR((F881+G881*Settings!$B$13)*INDEX(Workers!$V$5:$V$2004,MATCH($D881,Workers!$A$5:$A$2004,0)),0))</f>
        <v>0</v>
      </c>
      <c r="T881" s="26" t="str">
        <f aca="false">IF($D881="","",O881-R881-S881)</f>
        <v/>
      </c>
    </row>
    <row r="882" customFormat="false" ht="15" hidden="false" customHeight="false" outlineLevel="0" collapsed="false">
      <c r="I882" s="24" t="str">
        <f aca="false">IF($D882="","",IFERROR(INDEX(Workers!$B$5:$B$2004,MATCH($D882,Workers!$A$5:$A$2004,0)),"NOT FOUND"))</f>
        <v/>
      </c>
      <c r="J882" s="24" t="str">
        <f aca="false">IF($D882="","",IFERROR(INDEX(Workers!$C$5:$C$2004,MATCH($D882,Workers!$A$5:$A$2004,0)),""))</f>
        <v/>
      </c>
      <c r="K882" s="24" t="str">
        <f aca="false">IF($D882="","",IFERROR(IF(INDEX(Workers!$D$5:$D$2004,MATCH($D882,Workers!$A$5:$A$2004,0))=0,"",INDEX(Workers!$D$5:$D$2004,MATCH($D882,Workers!$A$5:$A$2004,0))),""))</f>
        <v/>
      </c>
      <c r="L882" s="24" t="str">
        <f aca="false">IF($D882="","",IFERROR(INDEX(Workers!$E$5:$E$2004,MATCH($D882,Workers!$A$5:$A$2004,0)),""))</f>
        <v/>
      </c>
      <c r="M882" s="26" t="str">
        <f aca="false">IF($D882="","",IFERROR(INDEX(ClientRates!$D$5:$D$500,MATCH($B882&amp;"|"&amp;$L882,ClientRates!$A$5:$A$500,0)),0))</f>
        <v/>
      </c>
      <c r="N882" s="26" t="str">
        <f aca="false">IF($D882="","",IFERROR(INDEX(ClientRates!$E$5:$E$500,MATCH($B882&amp;"|"&amp;$L882,ClientRates!$A$5:$A$500,0)),0))</f>
        <v/>
      </c>
      <c r="O882" s="26" t="str">
        <f aca="false">IF($D882="","",F882*M882+G882*N882)</f>
        <v/>
      </c>
      <c r="P882" s="26" t="str">
        <f aca="false">IF(OR($D882="",$J882&lt;&gt;"Supplier"),"",IFERROR(INDEX(SupplierRates!$D$5:$D$500,MATCH($K882&amp;"|"&amp;$L882,SupplierRates!$A$5:$A$500,0)),0))</f>
        <v/>
      </c>
      <c r="Q882" s="26" t="str">
        <f aca="false">IF(OR($D882="",$J882&lt;&gt;"Supplier"),"",IFERROR(INDEX(SupplierRates!$E$5:$E$500,MATCH($K882&amp;"|"&amp;$L882,SupplierRates!$A$5:$A$500,0)),0))</f>
        <v/>
      </c>
      <c r="R882" s="26" t="n">
        <f aca="false">IF(OR($D882="",$J882&lt;&gt;"Supplier"),0,F882*P882+G882*Q882)</f>
        <v>0</v>
      </c>
      <c r="S882" s="26" t="n">
        <f aca="false">IF(OR($D882="",$J882&lt;&gt;"Own"),0,IFERROR((F882+G882*Settings!$B$13)*INDEX(Workers!$V$5:$V$2004,MATCH($D882,Workers!$A$5:$A$2004,0)),0))</f>
        <v>0</v>
      </c>
      <c r="T882" s="26" t="str">
        <f aca="false">IF($D882="","",O882-R882-S882)</f>
        <v/>
      </c>
    </row>
    <row r="883" customFormat="false" ht="15" hidden="false" customHeight="false" outlineLevel="0" collapsed="false">
      <c r="I883" s="24" t="str">
        <f aca="false">IF($D883="","",IFERROR(INDEX(Workers!$B$5:$B$2004,MATCH($D883,Workers!$A$5:$A$2004,0)),"NOT FOUND"))</f>
        <v/>
      </c>
      <c r="J883" s="24" t="str">
        <f aca="false">IF($D883="","",IFERROR(INDEX(Workers!$C$5:$C$2004,MATCH($D883,Workers!$A$5:$A$2004,0)),""))</f>
        <v/>
      </c>
      <c r="K883" s="24" t="str">
        <f aca="false">IF($D883="","",IFERROR(IF(INDEX(Workers!$D$5:$D$2004,MATCH($D883,Workers!$A$5:$A$2004,0))=0,"",INDEX(Workers!$D$5:$D$2004,MATCH($D883,Workers!$A$5:$A$2004,0))),""))</f>
        <v/>
      </c>
      <c r="L883" s="24" t="str">
        <f aca="false">IF($D883="","",IFERROR(INDEX(Workers!$E$5:$E$2004,MATCH($D883,Workers!$A$5:$A$2004,0)),""))</f>
        <v/>
      </c>
      <c r="M883" s="26" t="str">
        <f aca="false">IF($D883="","",IFERROR(INDEX(ClientRates!$D$5:$D$500,MATCH($B883&amp;"|"&amp;$L883,ClientRates!$A$5:$A$500,0)),0))</f>
        <v/>
      </c>
      <c r="N883" s="26" t="str">
        <f aca="false">IF($D883="","",IFERROR(INDEX(ClientRates!$E$5:$E$500,MATCH($B883&amp;"|"&amp;$L883,ClientRates!$A$5:$A$500,0)),0))</f>
        <v/>
      </c>
      <c r="O883" s="26" t="str">
        <f aca="false">IF($D883="","",F883*M883+G883*N883)</f>
        <v/>
      </c>
      <c r="P883" s="26" t="str">
        <f aca="false">IF(OR($D883="",$J883&lt;&gt;"Supplier"),"",IFERROR(INDEX(SupplierRates!$D$5:$D$500,MATCH($K883&amp;"|"&amp;$L883,SupplierRates!$A$5:$A$500,0)),0))</f>
        <v/>
      </c>
      <c r="Q883" s="26" t="str">
        <f aca="false">IF(OR($D883="",$J883&lt;&gt;"Supplier"),"",IFERROR(INDEX(SupplierRates!$E$5:$E$500,MATCH($K883&amp;"|"&amp;$L883,SupplierRates!$A$5:$A$500,0)),0))</f>
        <v/>
      </c>
      <c r="R883" s="26" t="n">
        <f aca="false">IF(OR($D883="",$J883&lt;&gt;"Supplier"),0,F883*P883+G883*Q883)</f>
        <v>0</v>
      </c>
      <c r="S883" s="26" t="n">
        <f aca="false">IF(OR($D883="",$J883&lt;&gt;"Own"),0,IFERROR((F883+G883*Settings!$B$13)*INDEX(Workers!$V$5:$V$2004,MATCH($D883,Workers!$A$5:$A$2004,0)),0))</f>
        <v>0</v>
      </c>
      <c r="T883" s="26" t="str">
        <f aca="false">IF($D883="","",O883-R883-S883)</f>
        <v/>
      </c>
    </row>
    <row r="884" customFormat="false" ht="15" hidden="false" customHeight="false" outlineLevel="0" collapsed="false">
      <c r="I884" s="24" t="str">
        <f aca="false">IF($D884="","",IFERROR(INDEX(Workers!$B$5:$B$2004,MATCH($D884,Workers!$A$5:$A$2004,0)),"NOT FOUND"))</f>
        <v/>
      </c>
      <c r="J884" s="24" t="str">
        <f aca="false">IF($D884="","",IFERROR(INDEX(Workers!$C$5:$C$2004,MATCH($D884,Workers!$A$5:$A$2004,0)),""))</f>
        <v/>
      </c>
      <c r="K884" s="24" t="str">
        <f aca="false">IF($D884="","",IFERROR(IF(INDEX(Workers!$D$5:$D$2004,MATCH($D884,Workers!$A$5:$A$2004,0))=0,"",INDEX(Workers!$D$5:$D$2004,MATCH($D884,Workers!$A$5:$A$2004,0))),""))</f>
        <v/>
      </c>
      <c r="L884" s="24" t="str">
        <f aca="false">IF($D884="","",IFERROR(INDEX(Workers!$E$5:$E$2004,MATCH($D884,Workers!$A$5:$A$2004,0)),""))</f>
        <v/>
      </c>
      <c r="M884" s="26" t="str">
        <f aca="false">IF($D884="","",IFERROR(INDEX(ClientRates!$D$5:$D$500,MATCH($B884&amp;"|"&amp;$L884,ClientRates!$A$5:$A$500,0)),0))</f>
        <v/>
      </c>
      <c r="N884" s="26" t="str">
        <f aca="false">IF($D884="","",IFERROR(INDEX(ClientRates!$E$5:$E$500,MATCH($B884&amp;"|"&amp;$L884,ClientRates!$A$5:$A$500,0)),0))</f>
        <v/>
      </c>
      <c r="O884" s="26" t="str">
        <f aca="false">IF($D884="","",F884*M884+G884*N884)</f>
        <v/>
      </c>
      <c r="P884" s="26" t="str">
        <f aca="false">IF(OR($D884="",$J884&lt;&gt;"Supplier"),"",IFERROR(INDEX(SupplierRates!$D$5:$D$500,MATCH($K884&amp;"|"&amp;$L884,SupplierRates!$A$5:$A$500,0)),0))</f>
        <v/>
      </c>
      <c r="Q884" s="26" t="str">
        <f aca="false">IF(OR($D884="",$J884&lt;&gt;"Supplier"),"",IFERROR(INDEX(SupplierRates!$E$5:$E$500,MATCH($K884&amp;"|"&amp;$L884,SupplierRates!$A$5:$A$500,0)),0))</f>
        <v/>
      </c>
      <c r="R884" s="26" t="n">
        <f aca="false">IF(OR($D884="",$J884&lt;&gt;"Supplier"),0,F884*P884+G884*Q884)</f>
        <v>0</v>
      </c>
      <c r="S884" s="26" t="n">
        <f aca="false">IF(OR($D884="",$J884&lt;&gt;"Own"),0,IFERROR((F884+G884*Settings!$B$13)*INDEX(Workers!$V$5:$V$2004,MATCH($D884,Workers!$A$5:$A$2004,0)),0))</f>
        <v>0</v>
      </c>
      <c r="T884" s="26" t="str">
        <f aca="false">IF($D884="","",O884-R884-S884)</f>
        <v/>
      </c>
    </row>
    <row r="885" customFormat="false" ht="15" hidden="false" customHeight="false" outlineLevel="0" collapsed="false">
      <c r="I885" s="24" t="str">
        <f aca="false">IF($D885="","",IFERROR(INDEX(Workers!$B$5:$B$2004,MATCH($D885,Workers!$A$5:$A$2004,0)),"NOT FOUND"))</f>
        <v/>
      </c>
      <c r="J885" s="24" t="str">
        <f aca="false">IF($D885="","",IFERROR(INDEX(Workers!$C$5:$C$2004,MATCH($D885,Workers!$A$5:$A$2004,0)),""))</f>
        <v/>
      </c>
      <c r="K885" s="24" t="str">
        <f aca="false">IF($D885="","",IFERROR(IF(INDEX(Workers!$D$5:$D$2004,MATCH($D885,Workers!$A$5:$A$2004,0))=0,"",INDEX(Workers!$D$5:$D$2004,MATCH($D885,Workers!$A$5:$A$2004,0))),""))</f>
        <v/>
      </c>
      <c r="L885" s="24" t="str">
        <f aca="false">IF($D885="","",IFERROR(INDEX(Workers!$E$5:$E$2004,MATCH($D885,Workers!$A$5:$A$2004,0)),""))</f>
        <v/>
      </c>
      <c r="M885" s="26" t="str">
        <f aca="false">IF($D885="","",IFERROR(INDEX(ClientRates!$D$5:$D$500,MATCH($B885&amp;"|"&amp;$L885,ClientRates!$A$5:$A$500,0)),0))</f>
        <v/>
      </c>
      <c r="N885" s="26" t="str">
        <f aca="false">IF($D885="","",IFERROR(INDEX(ClientRates!$E$5:$E$500,MATCH($B885&amp;"|"&amp;$L885,ClientRates!$A$5:$A$500,0)),0))</f>
        <v/>
      </c>
      <c r="O885" s="26" t="str">
        <f aca="false">IF($D885="","",F885*M885+G885*N885)</f>
        <v/>
      </c>
      <c r="P885" s="26" t="str">
        <f aca="false">IF(OR($D885="",$J885&lt;&gt;"Supplier"),"",IFERROR(INDEX(SupplierRates!$D$5:$D$500,MATCH($K885&amp;"|"&amp;$L885,SupplierRates!$A$5:$A$500,0)),0))</f>
        <v/>
      </c>
      <c r="Q885" s="26" t="str">
        <f aca="false">IF(OR($D885="",$J885&lt;&gt;"Supplier"),"",IFERROR(INDEX(SupplierRates!$E$5:$E$500,MATCH($K885&amp;"|"&amp;$L885,SupplierRates!$A$5:$A$500,0)),0))</f>
        <v/>
      </c>
      <c r="R885" s="26" t="n">
        <f aca="false">IF(OR($D885="",$J885&lt;&gt;"Supplier"),0,F885*P885+G885*Q885)</f>
        <v>0</v>
      </c>
      <c r="S885" s="26" t="n">
        <f aca="false">IF(OR($D885="",$J885&lt;&gt;"Own"),0,IFERROR((F885+G885*Settings!$B$13)*INDEX(Workers!$V$5:$V$2004,MATCH($D885,Workers!$A$5:$A$2004,0)),0))</f>
        <v>0</v>
      </c>
      <c r="T885" s="26" t="str">
        <f aca="false">IF($D885="","",O885-R885-S885)</f>
        <v/>
      </c>
    </row>
    <row r="886" customFormat="false" ht="15" hidden="false" customHeight="false" outlineLevel="0" collapsed="false">
      <c r="I886" s="24" t="str">
        <f aca="false">IF($D886="","",IFERROR(INDEX(Workers!$B$5:$B$2004,MATCH($D886,Workers!$A$5:$A$2004,0)),"NOT FOUND"))</f>
        <v/>
      </c>
      <c r="J886" s="24" t="str">
        <f aca="false">IF($D886="","",IFERROR(INDEX(Workers!$C$5:$C$2004,MATCH($D886,Workers!$A$5:$A$2004,0)),""))</f>
        <v/>
      </c>
      <c r="K886" s="24" t="str">
        <f aca="false">IF($D886="","",IFERROR(IF(INDEX(Workers!$D$5:$D$2004,MATCH($D886,Workers!$A$5:$A$2004,0))=0,"",INDEX(Workers!$D$5:$D$2004,MATCH($D886,Workers!$A$5:$A$2004,0))),""))</f>
        <v/>
      </c>
      <c r="L886" s="24" t="str">
        <f aca="false">IF($D886="","",IFERROR(INDEX(Workers!$E$5:$E$2004,MATCH($D886,Workers!$A$5:$A$2004,0)),""))</f>
        <v/>
      </c>
      <c r="M886" s="26" t="str">
        <f aca="false">IF($D886="","",IFERROR(INDEX(ClientRates!$D$5:$D$500,MATCH($B886&amp;"|"&amp;$L886,ClientRates!$A$5:$A$500,0)),0))</f>
        <v/>
      </c>
      <c r="N886" s="26" t="str">
        <f aca="false">IF($D886="","",IFERROR(INDEX(ClientRates!$E$5:$E$500,MATCH($B886&amp;"|"&amp;$L886,ClientRates!$A$5:$A$500,0)),0))</f>
        <v/>
      </c>
      <c r="O886" s="26" t="str">
        <f aca="false">IF($D886="","",F886*M886+G886*N886)</f>
        <v/>
      </c>
      <c r="P886" s="26" t="str">
        <f aca="false">IF(OR($D886="",$J886&lt;&gt;"Supplier"),"",IFERROR(INDEX(SupplierRates!$D$5:$D$500,MATCH($K886&amp;"|"&amp;$L886,SupplierRates!$A$5:$A$500,0)),0))</f>
        <v/>
      </c>
      <c r="Q886" s="26" t="str">
        <f aca="false">IF(OR($D886="",$J886&lt;&gt;"Supplier"),"",IFERROR(INDEX(SupplierRates!$E$5:$E$500,MATCH($K886&amp;"|"&amp;$L886,SupplierRates!$A$5:$A$500,0)),0))</f>
        <v/>
      </c>
      <c r="R886" s="26" t="n">
        <f aca="false">IF(OR($D886="",$J886&lt;&gt;"Supplier"),0,F886*P886+G886*Q886)</f>
        <v>0</v>
      </c>
      <c r="S886" s="26" t="n">
        <f aca="false">IF(OR($D886="",$J886&lt;&gt;"Own"),0,IFERROR((F886+G886*Settings!$B$13)*INDEX(Workers!$V$5:$V$2004,MATCH($D886,Workers!$A$5:$A$2004,0)),0))</f>
        <v>0</v>
      </c>
      <c r="T886" s="26" t="str">
        <f aca="false">IF($D886="","",O886-R886-S886)</f>
        <v/>
      </c>
    </row>
    <row r="887" customFormat="false" ht="15" hidden="false" customHeight="false" outlineLevel="0" collapsed="false">
      <c r="I887" s="24" t="str">
        <f aca="false">IF($D887="","",IFERROR(INDEX(Workers!$B$5:$B$2004,MATCH($D887,Workers!$A$5:$A$2004,0)),"NOT FOUND"))</f>
        <v/>
      </c>
      <c r="J887" s="24" t="str">
        <f aca="false">IF($D887="","",IFERROR(INDEX(Workers!$C$5:$C$2004,MATCH($D887,Workers!$A$5:$A$2004,0)),""))</f>
        <v/>
      </c>
      <c r="K887" s="24" t="str">
        <f aca="false">IF($D887="","",IFERROR(IF(INDEX(Workers!$D$5:$D$2004,MATCH($D887,Workers!$A$5:$A$2004,0))=0,"",INDEX(Workers!$D$5:$D$2004,MATCH($D887,Workers!$A$5:$A$2004,0))),""))</f>
        <v/>
      </c>
      <c r="L887" s="24" t="str">
        <f aca="false">IF($D887="","",IFERROR(INDEX(Workers!$E$5:$E$2004,MATCH($D887,Workers!$A$5:$A$2004,0)),""))</f>
        <v/>
      </c>
      <c r="M887" s="26" t="str">
        <f aca="false">IF($D887="","",IFERROR(INDEX(ClientRates!$D$5:$D$500,MATCH($B887&amp;"|"&amp;$L887,ClientRates!$A$5:$A$500,0)),0))</f>
        <v/>
      </c>
      <c r="N887" s="26" t="str">
        <f aca="false">IF($D887="","",IFERROR(INDEX(ClientRates!$E$5:$E$500,MATCH($B887&amp;"|"&amp;$L887,ClientRates!$A$5:$A$500,0)),0))</f>
        <v/>
      </c>
      <c r="O887" s="26" t="str">
        <f aca="false">IF($D887="","",F887*M887+G887*N887)</f>
        <v/>
      </c>
      <c r="P887" s="26" t="str">
        <f aca="false">IF(OR($D887="",$J887&lt;&gt;"Supplier"),"",IFERROR(INDEX(SupplierRates!$D$5:$D$500,MATCH($K887&amp;"|"&amp;$L887,SupplierRates!$A$5:$A$500,0)),0))</f>
        <v/>
      </c>
      <c r="Q887" s="26" t="str">
        <f aca="false">IF(OR($D887="",$J887&lt;&gt;"Supplier"),"",IFERROR(INDEX(SupplierRates!$E$5:$E$500,MATCH($K887&amp;"|"&amp;$L887,SupplierRates!$A$5:$A$500,0)),0))</f>
        <v/>
      </c>
      <c r="R887" s="26" t="n">
        <f aca="false">IF(OR($D887="",$J887&lt;&gt;"Supplier"),0,F887*P887+G887*Q887)</f>
        <v>0</v>
      </c>
      <c r="S887" s="26" t="n">
        <f aca="false">IF(OR($D887="",$J887&lt;&gt;"Own"),0,IFERROR((F887+G887*Settings!$B$13)*INDEX(Workers!$V$5:$V$2004,MATCH($D887,Workers!$A$5:$A$2004,0)),0))</f>
        <v>0</v>
      </c>
      <c r="T887" s="26" t="str">
        <f aca="false">IF($D887="","",O887-R887-S887)</f>
        <v/>
      </c>
    </row>
    <row r="888" customFormat="false" ht="15" hidden="false" customHeight="false" outlineLevel="0" collapsed="false">
      <c r="I888" s="24" t="str">
        <f aca="false">IF($D888="","",IFERROR(INDEX(Workers!$B$5:$B$2004,MATCH($D888,Workers!$A$5:$A$2004,0)),"NOT FOUND"))</f>
        <v/>
      </c>
      <c r="J888" s="24" t="str">
        <f aca="false">IF($D888="","",IFERROR(INDEX(Workers!$C$5:$C$2004,MATCH($D888,Workers!$A$5:$A$2004,0)),""))</f>
        <v/>
      </c>
      <c r="K888" s="24" t="str">
        <f aca="false">IF($D888="","",IFERROR(IF(INDEX(Workers!$D$5:$D$2004,MATCH($D888,Workers!$A$5:$A$2004,0))=0,"",INDEX(Workers!$D$5:$D$2004,MATCH($D888,Workers!$A$5:$A$2004,0))),""))</f>
        <v/>
      </c>
      <c r="L888" s="24" t="str">
        <f aca="false">IF($D888="","",IFERROR(INDEX(Workers!$E$5:$E$2004,MATCH($D888,Workers!$A$5:$A$2004,0)),""))</f>
        <v/>
      </c>
      <c r="M888" s="26" t="str">
        <f aca="false">IF($D888="","",IFERROR(INDEX(ClientRates!$D$5:$D$500,MATCH($B888&amp;"|"&amp;$L888,ClientRates!$A$5:$A$500,0)),0))</f>
        <v/>
      </c>
      <c r="N888" s="26" t="str">
        <f aca="false">IF($D888="","",IFERROR(INDEX(ClientRates!$E$5:$E$500,MATCH($B888&amp;"|"&amp;$L888,ClientRates!$A$5:$A$500,0)),0))</f>
        <v/>
      </c>
      <c r="O888" s="26" t="str">
        <f aca="false">IF($D888="","",F888*M888+G888*N888)</f>
        <v/>
      </c>
      <c r="P888" s="26" t="str">
        <f aca="false">IF(OR($D888="",$J888&lt;&gt;"Supplier"),"",IFERROR(INDEX(SupplierRates!$D$5:$D$500,MATCH($K888&amp;"|"&amp;$L888,SupplierRates!$A$5:$A$500,0)),0))</f>
        <v/>
      </c>
      <c r="Q888" s="26" t="str">
        <f aca="false">IF(OR($D888="",$J888&lt;&gt;"Supplier"),"",IFERROR(INDEX(SupplierRates!$E$5:$E$500,MATCH($K888&amp;"|"&amp;$L888,SupplierRates!$A$5:$A$500,0)),0))</f>
        <v/>
      </c>
      <c r="R888" s="26" t="n">
        <f aca="false">IF(OR($D888="",$J888&lt;&gt;"Supplier"),0,F888*P888+G888*Q888)</f>
        <v>0</v>
      </c>
      <c r="S888" s="26" t="n">
        <f aca="false">IF(OR($D888="",$J888&lt;&gt;"Own"),0,IFERROR((F888+G888*Settings!$B$13)*INDEX(Workers!$V$5:$V$2004,MATCH($D888,Workers!$A$5:$A$2004,0)),0))</f>
        <v>0</v>
      </c>
      <c r="T888" s="26" t="str">
        <f aca="false">IF($D888="","",O888-R888-S888)</f>
        <v/>
      </c>
    </row>
    <row r="889" customFormat="false" ht="15" hidden="false" customHeight="false" outlineLevel="0" collapsed="false">
      <c r="I889" s="24" t="str">
        <f aca="false">IF($D889="","",IFERROR(INDEX(Workers!$B$5:$B$2004,MATCH($D889,Workers!$A$5:$A$2004,0)),"NOT FOUND"))</f>
        <v/>
      </c>
      <c r="J889" s="24" t="str">
        <f aca="false">IF($D889="","",IFERROR(INDEX(Workers!$C$5:$C$2004,MATCH($D889,Workers!$A$5:$A$2004,0)),""))</f>
        <v/>
      </c>
      <c r="K889" s="24" t="str">
        <f aca="false">IF($D889="","",IFERROR(IF(INDEX(Workers!$D$5:$D$2004,MATCH($D889,Workers!$A$5:$A$2004,0))=0,"",INDEX(Workers!$D$5:$D$2004,MATCH($D889,Workers!$A$5:$A$2004,0))),""))</f>
        <v/>
      </c>
      <c r="L889" s="24" t="str">
        <f aca="false">IF($D889="","",IFERROR(INDEX(Workers!$E$5:$E$2004,MATCH($D889,Workers!$A$5:$A$2004,0)),""))</f>
        <v/>
      </c>
      <c r="M889" s="26" t="str">
        <f aca="false">IF($D889="","",IFERROR(INDEX(ClientRates!$D$5:$D$500,MATCH($B889&amp;"|"&amp;$L889,ClientRates!$A$5:$A$500,0)),0))</f>
        <v/>
      </c>
      <c r="N889" s="26" t="str">
        <f aca="false">IF($D889="","",IFERROR(INDEX(ClientRates!$E$5:$E$500,MATCH($B889&amp;"|"&amp;$L889,ClientRates!$A$5:$A$500,0)),0))</f>
        <v/>
      </c>
      <c r="O889" s="26" t="str">
        <f aca="false">IF($D889="","",F889*M889+G889*N889)</f>
        <v/>
      </c>
      <c r="P889" s="26" t="str">
        <f aca="false">IF(OR($D889="",$J889&lt;&gt;"Supplier"),"",IFERROR(INDEX(SupplierRates!$D$5:$D$500,MATCH($K889&amp;"|"&amp;$L889,SupplierRates!$A$5:$A$500,0)),0))</f>
        <v/>
      </c>
      <c r="Q889" s="26" t="str">
        <f aca="false">IF(OR($D889="",$J889&lt;&gt;"Supplier"),"",IFERROR(INDEX(SupplierRates!$E$5:$E$500,MATCH($K889&amp;"|"&amp;$L889,SupplierRates!$A$5:$A$500,0)),0))</f>
        <v/>
      </c>
      <c r="R889" s="26" t="n">
        <f aca="false">IF(OR($D889="",$J889&lt;&gt;"Supplier"),0,F889*P889+G889*Q889)</f>
        <v>0</v>
      </c>
      <c r="S889" s="26" t="n">
        <f aca="false">IF(OR($D889="",$J889&lt;&gt;"Own"),0,IFERROR((F889+G889*Settings!$B$13)*INDEX(Workers!$V$5:$V$2004,MATCH($D889,Workers!$A$5:$A$2004,0)),0))</f>
        <v>0</v>
      </c>
      <c r="T889" s="26" t="str">
        <f aca="false">IF($D889="","",O889-R889-S889)</f>
        <v/>
      </c>
    </row>
    <row r="890" customFormat="false" ht="15" hidden="false" customHeight="false" outlineLevel="0" collapsed="false">
      <c r="I890" s="24" t="str">
        <f aca="false">IF($D890="","",IFERROR(INDEX(Workers!$B$5:$B$2004,MATCH($D890,Workers!$A$5:$A$2004,0)),"NOT FOUND"))</f>
        <v/>
      </c>
      <c r="J890" s="24" t="str">
        <f aca="false">IF($D890="","",IFERROR(INDEX(Workers!$C$5:$C$2004,MATCH($D890,Workers!$A$5:$A$2004,0)),""))</f>
        <v/>
      </c>
      <c r="K890" s="24" t="str">
        <f aca="false">IF($D890="","",IFERROR(IF(INDEX(Workers!$D$5:$D$2004,MATCH($D890,Workers!$A$5:$A$2004,0))=0,"",INDEX(Workers!$D$5:$D$2004,MATCH($D890,Workers!$A$5:$A$2004,0))),""))</f>
        <v/>
      </c>
      <c r="L890" s="24" t="str">
        <f aca="false">IF($D890="","",IFERROR(INDEX(Workers!$E$5:$E$2004,MATCH($D890,Workers!$A$5:$A$2004,0)),""))</f>
        <v/>
      </c>
      <c r="M890" s="26" t="str">
        <f aca="false">IF($D890="","",IFERROR(INDEX(ClientRates!$D$5:$D$500,MATCH($B890&amp;"|"&amp;$L890,ClientRates!$A$5:$A$500,0)),0))</f>
        <v/>
      </c>
      <c r="N890" s="26" t="str">
        <f aca="false">IF($D890="","",IFERROR(INDEX(ClientRates!$E$5:$E$500,MATCH($B890&amp;"|"&amp;$L890,ClientRates!$A$5:$A$500,0)),0))</f>
        <v/>
      </c>
      <c r="O890" s="26" t="str">
        <f aca="false">IF($D890="","",F890*M890+G890*N890)</f>
        <v/>
      </c>
      <c r="P890" s="26" t="str">
        <f aca="false">IF(OR($D890="",$J890&lt;&gt;"Supplier"),"",IFERROR(INDEX(SupplierRates!$D$5:$D$500,MATCH($K890&amp;"|"&amp;$L890,SupplierRates!$A$5:$A$500,0)),0))</f>
        <v/>
      </c>
      <c r="Q890" s="26" t="str">
        <f aca="false">IF(OR($D890="",$J890&lt;&gt;"Supplier"),"",IFERROR(INDEX(SupplierRates!$E$5:$E$500,MATCH($K890&amp;"|"&amp;$L890,SupplierRates!$A$5:$A$500,0)),0))</f>
        <v/>
      </c>
      <c r="R890" s="26" t="n">
        <f aca="false">IF(OR($D890="",$J890&lt;&gt;"Supplier"),0,F890*P890+G890*Q890)</f>
        <v>0</v>
      </c>
      <c r="S890" s="26" t="n">
        <f aca="false">IF(OR($D890="",$J890&lt;&gt;"Own"),0,IFERROR((F890+G890*Settings!$B$13)*INDEX(Workers!$V$5:$V$2004,MATCH($D890,Workers!$A$5:$A$2004,0)),0))</f>
        <v>0</v>
      </c>
      <c r="T890" s="26" t="str">
        <f aca="false">IF($D890="","",O890-R890-S890)</f>
        <v/>
      </c>
    </row>
    <row r="891" customFormat="false" ht="15" hidden="false" customHeight="false" outlineLevel="0" collapsed="false">
      <c r="I891" s="24" t="str">
        <f aca="false">IF($D891="","",IFERROR(INDEX(Workers!$B$5:$B$2004,MATCH($D891,Workers!$A$5:$A$2004,0)),"NOT FOUND"))</f>
        <v/>
      </c>
      <c r="J891" s="24" t="str">
        <f aca="false">IF($D891="","",IFERROR(INDEX(Workers!$C$5:$C$2004,MATCH($D891,Workers!$A$5:$A$2004,0)),""))</f>
        <v/>
      </c>
      <c r="K891" s="24" t="str">
        <f aca="false">IF($D891="","",IFERROR(IF(INDEX(Workers!$D$5:$D$2004,MATCH($D891,Workers!$A$5:$A$2004,0))=0,"",INDEX(Workers!$D$5:$D$2004,MATCH($D891,Workers!$A$5:$A$2004,0))),""))</f>
        <v/>
      </c>
      <c r="L891" s="24" t="str">
        <f aca="false">IF($D891="","",IFERROR(INDEX(Workers!$E$5:$E$2004,MATCH($D891,Workers!$A$5:$A$2004,0)),""))</f>
        <v/>
      </c>
      <c r="M891" s="26" t="str">
        <f aca="false">IF($D891="","",IFERROR(INDEX(ClientRates!$D$5:$D$500,MATCH($B891&amp;"|"&amp;$L891,ClientRates!$A$5:$A$500,0)),0))</f>
        <v/>
      </c>
      <c r="N891" s="26" t="str">
        <f aca="false">IF($D891="","",IFERROR(INDEX(ClientRates!$E$5:$E$500,MATCH($B891&amp;"|"&amp;$L891,ClientRates!$A$5:$A$500,0)),0))</f>
        <v/>
      </c>
      <c r="O891" s="26" t="str">
        <f aca="false">IF($D891="","",F891*M891+G891*N891)</f>
        <v/>
      </c>
      <c r="P891" s="26" t="str">
        <f aca="false">IF(OR($D891="",$J891&lt;&gt;"Supplier"),"",IFERROR(INDEX(SupplierRates!$D$5:$D$500,MATCH($K891&amp;"|"&amp;$L891,SupplierRates!$A$5:$A$500,0)),0))</f>
        <v/>
      </c>
      <c r="Q891" s="26" t="str">
        <f aca="false">IF(OR($D891="",$J891&lt;&gt;"Supplier"),"",IFERROR(INDEX(SupplierRates!$E$5:$E$500,MATCH($K891&amp;"|"&amp;$L891,SupplierRates!$A$5:$A$500,0)),0))</f>
        <v/>
      </c>
      <c r="R891" s="26" t="n">
        <f aca="false">IF(OR($D891="",$J891&lt;&gt;"Supplier"),0,F891*P891+G891*Q891)</f>
        <v>0</v>
      </c>
      <c r="S891" s="26" t="n">
        <f aca="false">IF(OR($D891="",$J891&lt;&gt;"Own"),0,IFERROR((F891+G891*Settings!$B$13)*INDEX(Workers!$V$5:$V$2004,MATCH($D891,Workers!$A$5:$A$2004,0)),0))</f>
        <v>0</v>
      </c>
      <c r="T891" s="26" t="str">
        <f aca="false">IF($D891="","",O891-R891-S891)</f>
        <v/>
      </c>
    </row>
    <row r="892" customFormat="false" ht="15" hidden="false" customHeight="false" outlineLevel="0" collapsed="false">
      <c r="I892" s="24" t="str">
        <f aca="false">IF($D892="","",IFERROR(INDEX(Workers!$B$5:$B$2004,MATCH($D892,Workers!$A$5:$A$2004,0)),"NOT FOUND"))</f>
        <v/>
      </c>
      <c r="J892" s="24" t="str">
        <f aca="false">IF($D892="","",IFERROR(INDEX(Workers!$C$5:$C$2004,MATCH($D892,Workers!$A$5:$A$2004,0)),""))</f>
        <v/>
      </c>
      <c r="K892" s="24" t="str">
        <f aca="false">IF($D892="","",IFERROR(IF(INDEX(Workers!$D$5:$D$2004,MATCH($D892,Workers!$A$5:$A$2004,0))=0,"",INDEX(Workers!$D$5:$D$2004,MATCH($D892,Workers!$A$5:$A$2004,0))),""))</f>
        <v/>
      </c>
      <c r="L892" s="24" t="str">
        <f aca="false">IF($D892="","",IFERROR(INDEX(Workers!$E$5:$E$2004,MATCH($D892,Workers!$A$5:$A$2004,0)),""))</f>
        <v/>
      </c>
      <c r="M892" s="26" t="str">
        <f aca="false">IF($D892="","",IFERROR(INDEX(ClientRates!$D$5:$D$500,MATCH($B892&amp;"|"&amp;$L892,ClientRates!$A$5:$A$500,0)),0))</f>
        <v/>
      </c>
      <c r="N892" s="26" t="str">
        <f aca="false">IF($D892="","",IFERROR(INDEX(ClientRates!$E$5:$E$500,MATCH($B892&amp;"|"&amp;$L892,ClientRates!$A$5:$A$500,0)),0))</f>
        <v/>
      </c>
      <c r="O892" s="26" t="str">
        <f aca="false">IF($D892="","",F892*M892+G892*N892)</f>
        <v/>
      </c>
      <c r="P892" s="26" t="str">
        <f aca="false">IF(OR($D892="",$J892&lt;&gt;"Supplier"),"",IFERROR(INDEX(SupplierRates!$D$5:$D$500,MATCH($K892&amp;"|"&amp;$L892,SupplierRates!$A$5:$A$500,0)),0))</f>
        <v/>
      </c>
      <c r="Q892" s="26" t="str">
        <f aca="false">IF(OR($D892="",$J892&lt;&gt;"Supplier"),"",IFERROR(INDEX(SupplierRates!$E$5:$E$500,MATCH($K892&amp;"|"&amp;$L892,SupplierRates!$A$5:$A$500,0)),0))</f>
        <v/>
      </c>
      <c r="R892" s="26" t="n">
        <f aca="false">IF(OR($D892="",$J892&lt;&gt;"Supplier"),0,F892*P892+G892*Q892)</f>
        <v>0</v>
      </c>
      <c r="S892" s="26" t="n">
        <f aca="false">IF(OR($D892="",$J892&lt;&gt;"Own"),0,IFERROR((F892+G892*Settings!$B$13)*INDEX(Workers!$V$5:$V$2004,MATCH($D892,Workers!$A$5:$A$2004,0)),0))</f>
        <v>0</v>
      </c>
      <c r="T892" s="26" t="str">
        <f aca="false">IF($D892="","",O892-R892-S892)</f>
        <v/>
      </c>
    </row>
    <row r="893" customFormat="false" ht="15" hidden="false" customHeight="false" outlineLevel="0" collapsed="false">
      <c r="I893" s="24" t="str">
        <f aca="false">IF($D893="","",IFERROR(INDEX(Workers!$B$5:$B$2004,MATCH($D893,Workers!$A$5:$A$2004,0)),"NOT FOUND"))</f>
        <v/>
      </c>
      <c r="J893" s="24" t="str">
        <f aca="false">IF($D893="","",IFERROR(INDEX(Workers!$C$5:$C$2004,MATCH($D893,Workers!$A$5:$A$2004,0)),""))</f>
        <v/>
      </c>
      <c r="K893" s="24" t="str">
        <f aca="false">IF($D893="","",IFERROR(IF(INDEX(Workers!$D$5:$D$2004,MATCH($D893,Workers!$A$5:$A$2004,0))=0,"",INDEX(Workers!$D$5:$D$2004,MATCH($D893,Workers!$A$5:$A$2004,0))),""))</f>
        <v/>
      </c>
      <c r="L893" s="24" t="str">
        <f aca="false">IF($D893="","",IFERROR(INDEX(Workers!$E$5:$E$2004,MATCH($D893,Workers!$A$5:$A$2004,0)),""))</f>
        <v/>
      </c>
      <c r="M893" s="26" t="str">
        <f aca="false">IF($D893="","",IFERROR(INDEX(ClientRates!$D$5:$D$500,MATCH($B893&amp;"|"&amp;$L893,ClientRates!$A$5:$A$500,0)),0))</f>
        <v/>
      </c>
      <c r="N893" s="26" t="str">
        <f aca="false">IF($D893="","",IFERROR(INDEX(ClientRates!$E$5:$E$500,MATCH($B893&amp;"|"&amp;$L893,ClientRates!$A$5:$A$500,0)),0))</f>
        <v/>
      </c>
      <c r="O893" s="26" t="str">
        <f aca="false">IF($D893="","",F893*M893+G893*N893)</f>
        <v/>
      </c>
      <c r="P893" s="26" t="str">
        <f aca="false">IF(OR($D893="",$J893&lt;&gt;"Supplier"),"",IFERROR(INDEX(SupplierRates!$D$5:$D$500,MATCH($K893&amp;"|"&amp;$L893,SupplierRates!$A$5:$A$500,0)),0))</f>
        <v/>
      </c>
      <c r="Q893" s="26" t="str">
        <f aca="false">IF(OR($D893="",$J893&lt;&gt;"Supplier"),"",IFERROR(INDEX(SupplierRates!$E$5:$E$500,MATCH($K893&amp;"|"&amp;$L893,SupplierRates!$A$5:$A$500,0)),0))</f>
        <v/>
      </c>
      <c r="R893" s="26" t="n">
        <f aca="false">IF(OR($D893="",$J893&lt;&gt;"Supplier"),0,F893*P893+G893*Q893)</f>
        <v>0</v>
      </c>
      <c r="S893" s="26" t="n">
        <f aca="false">IF(OR($D893="",$J893&lt;&gt;"Own"),0,IFERROR((F893+G893*Settings!$B$13)*INDEX(Workers!$V$5:$V$2004,MATCH($D893,Workers!$A$5:$A$2004,0)),0))</f>
        <v>0</v>
      </c>
      <c r="T893" s="26" t="str">
        <f aca="false">IF($D893="","",O893-R893-S893)</f>
        <v/>
      </c>
    </row>
    <row r="894" customFormat="false" ht="15" hidden="false" customHeight="false" outlineLevel="0" collapsed="false">
      <c r="I894" s="24" t="str">
        <f aca="false">IF($D894="","",IFERROR(INDEX(Workers!$B$5:$B$2004,MATCH($D894,Workers!$A$5:$A$2004,0)),"NOT FOUND"))</f>
        <v/>
      </c>
      <c r="J894" s="24" t="str">
        <f aca="false">IF($D894="","",IFERROR(INDEX(Workers!$C$5:$C$2004,MATCH($D894,Workers!$A$5:$A$2004,0)),""))</f>
        <v/>
      </c>
      <c r="K894" s="24" t="str">
        <f aca="false">IF($D894="","",IFERROR(IF(INDEX(Workers!$D$5:$D$2004,MATCH($D894,Workers!$A$5:$A$2004,0))=0,"",INDEX(Workers!$D$5:$D$2004,MATCH($D894,Workers!$A$5:$A$2004,0))),""))</f>
        <v/>
      </c>
      <c r="L894" s="24" t="str">
        <f aca="false">IF($D894="","",IFERROR(INDEX(Workers!$E$5:$E$2004,MATCH($D894,Workers!$A$5:$A$2004,0)),""))</f>
        <v/>
      </c>
      <c r="M894" s="26" t="str">
        <f aca="false">IF($D894="","",IFERROR(INDEX(ClientRates!$D$5:$D$500,MATCH($B894&amp;"|"&amp;$L894,ClientRates!$A$5:$A$500,0)),0))</f>
        <v/>
      </c>
      <c r="N894" s="26" t="str">
        <f aca="false">IF($D894="","",IFERROR(INDEX(ClientRates!$E$5:$E$500,MATCH($B894&amp;"|"&amp;$L894,ClientRates!$A$5:$A$500,0)),0))</f>
        <v/>
      </c>
      <c r="O894" s="26" t="str">
        <f aca="false">IF($D894="","",F894*M894+G894*N894)</f>
        <v/>
      </c>
      <c r="P894" s="26" t="str">
        <f aca="false">IF(OR($D894="",$J894&lt;&gt;"Supplier"),"",IFERROR(INDEX(SupplierRates!$D$5:$D$500,MATCH($K894&amp;"|"&amp;$L894,SupplierRates!$A$5:$A$500,0)),0))</f>
        <v/>
      </c>
      <c r="Q894" s="26" t="str">
        <f aca="false">IF(OR($D894="",$J894&lt;&gt;"Supplier"),"",IFERROR(INDEX(SupplierRates!$E$5:$E$500,MATCH($K894&amp;"|"&amp;$L894,SupplierRates!$A$5:$A$500,0)),0))</f>
        <v/>
      </c>
      <c r="R894" s="26" t="n">
        <f aca="false">IF(OR($D894="",$J894&lt;&gt;"Supplier"),0,F894*P894+G894*Q894)</f>
        <v>0</v>
      </c>
      <c r="S894" s="26" t="n">
        <f aca="false">IF(OR($D894="",$J894&lt;&gt;"Own"),0,IFERROR((F894+G894*Settings!$B$13)*INDEX(Workers!$V$5:$V$2004,MATCH($D894,Workers!$A$5:$A$2004,0)),0))</f>
        <v>0</v>
      </c>
      <c r="T894" s="26" t="str">
        <f aca="false">IF($D894="","",O894-R894-S894)</f>
        <v/>
      </c>
    </row>
    <row r="895" customFormat="false" ht="15" hidden="false" customHeight="false" outlineLevel="0" collapsed="false">
      <c r="I895" s="24" t="str">
        <f aca="false">IF($D895="","",IFERROR(INDEX(Workers!$B$5:$B$2004,MATCH($D895,Workers!$A$5:$A$2004,0)),"NOT FOUND"))</f>
        <v/>
      </c>
      <c r="J895" s="24" t="str">
        <f aca="false">IF($D895="","",IFERROR(INDEX(Workers!$C$5:$C$2004,MATCH($D895,Workers!$A$5:$A$2004,0)),""))</f>
        <v/>
      </c>
      <c r="K895" s="24" t="str">
        <f aca="false">IF($D895="","",IFERROR(IF(INDEX(Workers!$D$5:$D$2004,MATCH($D895,Workers!$A$5:$A$2004,0))=0,"",INDEX(Workers!$D$5:$D$2004,MATCH($D895,Workers!$A$5:$A$2004,0))),""))</f>
        <v/>
      </c>
      <c r="L895" s="24" t="str">
        <f aca="false">IF($D895="","",IFERROR(INDEX(Workers!$E$5:$E$2004,MATCH($D895,Workers!$A$5:$A$2004,0)),""))</f>
        <v/>
      </c>
      <c r="M895" s="26" t="str">
        <f aca="false">IF($D895="","",IFERROR(INDEX(ClientRates!$D$5:$D$500,MATCH($B895&amp;"|"&amp;$L895,ClientRates!$A$5:$A$500,0)),0))</f>
        <v/>
      </c>
      <c r="N895" s="26" t="str">
        <f aca="false">IF($D895="","",IFERROR(INDEX(ClientRates!$E$5:$E$500,MATCH($B895&amp;"|"&amp;$L895,ClientRates!$A$5:$A$500,0)),0))</f>
        <v/>
      </c>
      <c r="O895" s="26" t="str">
        <f aca="false">IF($D895="","",F895*M895+G895*N895)</f>
        <v/>
      </c>
      <c r="P895" s="26" t="str">
        <f aca="false">IF(OR($D895="",$J895&lt;&gt;"Supplier"),"",IFERROR(INDEX(SupplierRates!$D$5:$D$500,MATCH($K895&amp;"|"&amp;$L895,SupplierRates!$A$5:$A$500,0)),0))</f>
        <v/>
      </c>
      <c r="Q895" s="26" t="str">
        <f aca="false">IF(OR($D895="",$J895&lt;&gt;"Supplier"),"",IFERROR(INDEX(SupplierRates!$E$5:$E$500,MATCH($K895&amp;"|"&amp;$L895,SupplierRates!$A$5:$A$500,0)),0))</f>
        <v/>
      </c>
      <c r="R895" s="26" t="n">
        <f aca="false">IF(OR($D895="",$J895&lt;&gt;"Supplier"),0,F895*P895+G895*Q895)</f>
        <v>0</v>
      </c>
      <c r="S895" s="26" t="n">
        <f aca="false">IF(OR($D895="",$J895&lt;&gt;"Own"),0,IFERROR((F895+G895*Settings!$B$13)*INDEX(Workers!$V$5:$V$2004,MATCH($D895,Workers!$A$5:$A$2004,0)),0))</f>
        <v>0</v>
      </c>
      <c r="T895" s="26" t="str">
        <f aca="false">IF($D895="","",O895-R895-S895)</f>
        <v/>
      </c>
    </row>
    <row r="896" customFormat="false" ht="15" hidden="false" customHeight="false" outlineLevel="0" collapsed="false">
      <c r="I896" s="24" t="str">
        <f aca="false">IF($D896="","",IFERROR(INDEX(Workers!$B$5:$B$2004,MATCH($D896,Workers!$A$5:$A$2004,0)),"NOT FOUND"))</f>
        <v/>
      </c>
      <c r="J896" s="24" t="str">
        <f aca="false">IF($D896="","",IFERROR(INDEX(Workers!$C$5:$C$2004,MATCH($D896,Workers!$A$5:$A$2004,0)),""))</f>
        <v/>
      </c>
      <c r="K896" s="24" t="str">
        <f aca="false">IF($D896="","",IFERROR(IF(INDEX(Workers!$D$5:$D$2004,MATCH($D896,Workers!$A$5:$A$2004,0))=0,"",INDEX(Workers!$D$5:$D$2004,MATCH($D896,Workers!$A$5:$A$2004,0))),""))</f>
        <v/>
      </c>
      <c r="L896" s="24" t="str">
        <f aca="false">IF($D896="","",IFERROR(INDEX(Workers!$E$5:$E$2004,MATCH($D896,Workers!$A$5:$A$2004,0)),""))</f>
        <v/>
      </c>
      <c r="M896" s="26" t="str">
        <f aca="false">IF($D896="","",IFERROR(INDEX(ClientRates!$D$5:$D$500,MATCH($B896&amp;"|"&amp;$L896,ClientRates!$A$5:$A$500,0)),0))</f>
        <v/>
      </c>
      <c r="N896" s="26" t="str">
        <f aca="false">IF($D896="","",IFERROR(INDEX(ClientRates!$E$5:$E$500,MATCH($B896&amp;"|"&amp;$L896,ClientRates!$A$5:$A$500,0)),0))</f>
        <v/>
      </c>
      <c r="O896" s="26" t="str">
        <f aca="false">IF($D896="","",F896*M896+G896*N896)</f>
        <v/>
      </c>
      <c r="P896" s="26" t="str">
        <f aca="false">IF(OR($D896="",$J896&lt;&gt;"Supplier"),"",IFERROR(INDEX(SupplierRates!$D$5:$D$500,MATCH($K896&amp;"|"&amp;$L896,SupplierRates!$A$5:$A$500,0)),0))</f>
        <v/>
      </c>
      <c r="Q896" s="26" t="str">
        <f aca="false">IF(OR($D896="",$J896&lt;&gt;"Supplier"),"",IFERROR(INDEX(SupplierRates!$E$5:$E$500,MATCH($K896&amp;"|"&amp;$L896,SupplierRates!$A$5:$A$500,0)),0))</f>
        <v/>
      </c>
      <c r="R896" s="26" t="n">
        <f aca="false">IF(OR($D896="",$J896&lt;&gt;"Supplier"),0,F896*P896+G896*Q896)</f>
        <v>0</v>
      </c>
      <c r="S896" s="26" t="n">
        <f aca="false">IF(OR($D896="",$J896&lt;&gt;"Own"),0,IFERROR((F896+G896*Settings!$B$13)*INDEX(Workers!$V$5:$V$2004,MATCH($D896,Workers!$A$5:$A$2004,0)),0))</f>
        <v>0</v>
      </c>
      <c r="T896" s="26" t="str">
        <f aca="false">IF($D896="","",O896-R896-S896)</f>
        <v/>
      </c>
    </row>
    <row r="897" customFormat="false" ht="15" hidden="false" customHeight="false" outlineLevel="0" collapsed="false">
      <c r="I897" s="24" t="str">
        <f aca="false">IF($D897="","",IFERROR(INDEX(Workers!$B$5:$B$2004,MATCH($D897,Workers!$A$5:$A$2004,0)),"NOT FOUND"))</f>
        <v/>
      </c>
      <c r="J897" s="24" t="str">
        <f aca="false">IF($D897="","",IFERROR(INDEX(Workers!$C$5:$C$2004,MATCH($D897,Workers!$A$5:$A$2004,0)),""))</f>
        <v/>
      </c>
      <c r="K897" s="24" t="str">
        <f aca="false">IF($D897="","",IFERROR(IF(INDEX(Workers!$D$5:$D$2004,MATCH($D897,Workers!$A$5:$A$2004,0))=0,"",INDEX(Workers!$D$5:$D$2004,MATCH($D897,Workers!$A$5:$A$2004,0))),""))</f>
        <v/>
      </c>
      <c r="L897" s="24" t="str">
        <f aca="false">IF($D897="","",IFERROR(INDEX(Workers!$E$5:$E$2004,MATCH($D897,Workers!$A$5:$A$2004,0)),""))</f>
        <v/>
      </c>
      <c r="M897" s="26" t="str">
        <f aca="false">IF($D897="","",IFERROR(INDEX(ClientRates!$D$5:$D$500,MATCH($B897&amp;"|"&amp;$L897,ClientRates!$A$5:$A$500,0)),0))</f>
        <v/>
      </c>
      <c r="N897" s="26" t="str">
        <f aca="false">IF($D897="","",IFERROR(INDEX(ClientRates!$E$5:$E$500,MATCH($B897&amp;"|"&amp;$L897,ClientRates!$A$5:$A$500,0)),0))</f>
        <v/>
      </c>
      <c r="O897" s="26" t="str">
        <f aca="false">IF($D897="","",F897*M897+G897*N897)</f>
        <v/>
      </c>
      <c r="P897" s="26" t="str">
        <f aca="false">IF(OR($D897="",$J897&lt;&gt;"Supplier"),"",IFERROR(INDEX(SupplierRates!$D$5:$D$500,MATCH($K897&amp;"|"&amp;$L897,SupplierRates!$A$5:$A$500,0)),0))</f>
        <v/>
      </c>
      <c r="Q897" s="26" t="str">
        <f aca="false">IF(OR($D897="",$J897&lt;&gt;"Supplier"),"",IFERROR(INDEX(SupplierRates!$E$5:$E$500,MATCH($K897&amp;"|"&amp;$L897,SupplierRates!$A$5:$A$500,0)),0))</f>
        <v/>
      </c>
      <c r="R897" s="26" t="n">
        <f aca="false">IF(OR($D897="",$J897&lt;&gt;"Supplier"),0,F897*P897+G897*Q897)</f>
        <v>0</v>
      </c>
      <c r="S897" s="26" t="n">
        <f aca="false">IF(OR($D897="",$J897&lt;&gt;"Own"),0,IFERROR((F897+G897*Settings!$B$13)*INDEX(Workers!$V$5:$V$2004,MATCH($D897,Workers!$A$5:$A$2004,0)),0))</f>
        <v>0</v>
      </c>
      <c r="T897" s="26" t="str">
        <f aca="false">IF($D897="","",O897-R897-S897)</f>
        <v/>
      </c>
    </row>
    <row r="898" customFormat="false" ht="15" hidden="false" customHeight="false" outlineLevel="0" collapsed="false">
      <c r="I898" s="24" t="str">
        <f aca="false">IF($D898="","",IFERROR(INDEX(Workers!$B$5:$B$2004,MATCH($D898,Workers!$A$5:$A$2004,0)),"NOT FOUND"))</f>
        <v/>
      </c>
      <c r="J898" s="24" t="str">
        <f aca="false">IF($D898="","",IFERROR(INDEX(Workers!$C$5:$C$2004,MATCH($D898,Workers!$A$5:$A$2004,0)),""))</f>
        <v/>
      </c>
      <c r="K898" s="24" t="str">
        <f aca="false">IF($D898="","",IFERROR(IF(INDEX(Workers!$D$5:$D$2004,MATCH($D898,Workers!$A$5:$A$2004,0))=0,"",INDEX(Workers!$D$5:$D$2004,MATCH($D898,Workers!$A$5:$A$2004,0))),""))</f>
        <v/>
      </c>
      <c r="L898" s="24" t="str">
        <f aca="false">IF($D898="","",IFERROR(INDEX(Workers!$E$5:$E$2004,MATCH($D898,Workers!$A$5:$A$2004,0)),""))</f>
        <v/>
      </c>
      <c r="M898" s="26" t="str">
        <f aca="false">IF($D898="","",IFERROR(INDEX(ClientRates!$D$5:$D$500,MATCH($B898&amp;"|"&amp;$L898,ClientRates!$A$5:$A$500,0)),0))</f>
        <v/>
      </c>
      <c r="N898" s="26" t="str">
        <f aca="false">IF($D898="","",IFERROR(INDEX(ClientRates!$E$5:$E$500,MATCH($B898&amp;"|"&amp;$L898,ClientRates!$A$5:$A$500,0)),0))</f>
        <v/>
      </c>
      <c r="O898" s="26" t="str">
        <f aca="false">IF($D898="","",F898*M898+G898*N898)</f>
        <v/>
      </c>
      <c r="P898" s="26" t="str">
        <f aca="false">IF(OR($D898="",$J898&lt;&gt;"Supplier"),"",IFERROR(INDEX(SupplierRates!$D$5:$D$500,MATCH($K898&amp;"|"&amp;$L898,SupplierRates!$A$5:$A$500,0)),0))</f>
        <v/>
      </c>
      <c r="Q898" s="26" t="str">
        <f aca="false">IF(OR($D898="",$J898&lt;&gt;"Supplier"),"",IFERROR(INDEX(SupplierRates!$E$5:$E$500,MATCH($K898&amp;"|"&amp;$L898,SupplierRates!$A$5:$A$500,0)),0))</f>
        <v/>
      </c>
      <c r="R898" s="26" t="n">
        <f aca="false">IF(OR($D898="",$J898&lt;&gt;"Supplier"),0,F898*P898+G898*Q898)</f>
        <v>0</v>
      </c>
      <c r="S898" s="26" t="n">
        <f aca="false">IF(OR($D898="",$J898&lt;&gt;"Own"),0,IFERROR((F898+G898*Settings!$B$13)*INDEX(Workers!$V$5:$V$2004,MATCH($D898,Workers!$A$5:$A$2004,0)),0))</f>
        <v>0</v>
      </c>
      <c r="T898" s="26" t="str">
        <f aca="false">IF($D898="","",O898-R898-S898)</f>
        <v/>
      </c>
    </row>
    <row r="899" customFormat="false" ht="15" hidden="false" customHeight="false" outlineLevel="0" collapsed="false">
      <c r="I899" s="24" t="str">
        <f aca="false">IF($D899="","",IFERROR(INDEX(Workers!$B$5:$B$2004,MATCH($D899,Workers!$A$5:$A$2004,0)),"NOT FOUND"))</f>
        <v/>
      </c>
      <c r="J899" s="24" t="str">
        <f aca="false">IF($D899="","",IFERROR(INDEX(Workers!$C$5:$C$2004,MATCH($D899,Workers!$A$5:$A$2004,0)),""))</f>
        <v/>
      </c>
      <c r="K899" s="24" t="str">
        <f aca="false">IF($D899="","",IFERROR(IF(INDEX(Workers!$D$5:$D$2004,MATCH($D899,Workers!$A$5:$A$2004,0))=0,"",INDEX(Workers!$D$5:$D$2004,MATCH($D899,Workers!$A$5:$A$2004,0))),""))</f>
        <v/>
      </c>
      <c r="L899" s="24" t="str">
        <f aca="false">IF($D899="","",IFERROR(INDEX(Workers!$E$5:$E$2004,MATCH($D899,Workers!$A$5:$A$2004,0)),""))</f>
        <v/>
      </c>
      <c r="M899" s="26" t="str">
        <f aca="false">IF($D899="","",IFERROR(INDEX(ClientRates!$D$5:$D$500,MATCH($B899&amp;"|"&amp;$L899,ClientRates!$A$5:$A$500,0)),0))</f>
        <v/>
      </c>
      <c r="N899" s="26" t="str">
        <f aca="false">IF($D899="","",IFERROR(INDEX(ClientRates!$E$5:$E$500,MATCH($B899&amp;"|"&amp;$L899,ClientRates!$A$5:$A$500,0)),0))</f>
        <v/>
      </c>
      <c r="O899" s="26" t="str">
        <f aca="false">IF($D899="","",F899*M899+G899*N899)</f>
        <v/>
      </c>
      <c r="P899" s="26" t="str">
        <f aca="false">IF(OR($D899="",$J899&lt;&gt;"Supplier"),"",IFERROR(INDEX(SupplierRates!$D$5:$D$500,MATCH($K899&amp;"|"&amp;$L899,SupplierRates!$A$5:$A$500,0)),0))</f>
        <v/>
      </c>
      <c r="Q899" s="26" t="str">
        <f aca="false">IF(OR($D899="",$J899&lt;&gt;"Supplier"),"",IFERROR(INDEX(SupplierRates!$E$5:$E$500,MATCH($K899&amp;"|"&amp;$L899,SupplierRates!$A$5:$A$500,0)),0))</f>
        <v/>
      </c>
      <c r="R899" s="26" t="n">
        <f aca="false">IF(OR($D899="",$J899&lt;&gt;"Supplier"),0,F899*P899+G899*Q899)</f>
        <v>0</v>
      </c>
      <c r="S899" s="26" t="n">
        <f aca="false">IF(OR($D899="",$J899&lt;&gt;"Own"),0,IFERROR((F899+G899*Settings!$B$13)*INDEX(Workers!$V$5:$V$2004,MATCH($D899,Workers!$A$5:$A$2004,0)),0))</f>
        <v>0</v>
      </c>
      <c r="T899" s="26" t="str">
        <f aca="false">IF($D899="","",O899-R899-S899)</f>
        <v/>
      </c>
    </row>
    <row r="900" customFormat="false" ht="15" hidden="false" customHeight="false" outlineLevel="0" collapsed="false">
      <c r="I900" s="24" t="str">
        <f aca="false">IF($D900="","",IFERROR(INDEX(Workers!$B$5:$B$2004,MATCH($D900,Workers!$A$5:$A$2004,0)),"NOT FOUND"))</f>
        <v/>
      </c>
      <c r="J900" s="24" t="str">
        <f aca="false">IF($D900="","",IFERROR(INDEX(Workers!$C$5:$C$2004,MATCH($D900,Workers!$A$5:$A$2004,0)),""))</f>
        <v/>
      </c>
      <c r="K900" s="24" t="str">
        <f aca="false">IF($D900="","",IFERROR(IF(INDEX(Workers!$D$5:$D$2004,MATCH($D900,Workers!$A$5:$A$2004,0))=0,"",INDEX(Workers!$D$5:$D$2004,MATCH($D900,Workers!$A$5:$A$2004,0))),""))</f>
        <v/>
      </c>
      <c r="L900" s="24" t="str">
        <f aca="false">IF($D900="","",IFERROR(INDEX(Workers!$E$5:$E$2004,MATCH($D900,Workers!$A$5:$A$2004,0)),""))</f>
        <v/>
      </c>
      <c r="M900" s="26" t="str">
        <f aca="false">IF($D900="","",IFERROR(INDEX(ClientRates!$D$5:$D$500,MATCH($B900&amp;"|"&amp;$L900,ClientRates!$A$5:$A$500,0)),0))</f>
        <v/>
      </c>
      <c r="N900" s="26" t="str">
        <f aca="false">IF($D900="","",IFERROR(INDEX(ClientRates!$E$5:$E$500,MATCH($B900&amp;"|"&amp;$L900,ClientRates!$A$5:$A$500,0)),0))</f>
        <v/>
      </c>
      <c r="O900" s="26" t="str">
        <f aca="false">IF($D900="","",F900*M900+G900*N900)</f>
        <v/>
      </c>
      <c r="P900" s="26" t="str">
        <f aca="false">IF(OR($D900="",$J900&lt;&gt;"Supplier"),"",IFERROR(INDEX(SupplierRates!$D$5:$D$500,MATCH($K900&amp;"|"&amp;$L900,SupplierRates!$A$5:$A$500,0)),0))</f>
        <v/>
      </c>
      <c r="Q900" s="26" t="str">
        <f aca="false">IF(OR($D900="",$J900&lt;&gt;"Supplier"),"",IFERROR(INDEX(SupplierRates!$E$5:$E$500,MATCH($K900&amp;"|"&amp;$L900,SupplierRates!$A$5:$A$500,0)),0))</f>
        <v/>
      </c>
      <c r="R900" s="26" t="n">
        <f aca="false">IF(OR($D900="",$J900&lt;&gt;"Supplier"),0,F900*P900+G900*Q900)</f>
        <v>0</v>
      </c>
      <c r="S900" s="26" t="n">
        <f aca="false">IF(OR($D900="",$J900&lt;&gt;"Own"),0,IFERROR((F900+G900*Settings!$B$13)*INDEX(Workers!$V$5:$V$2004,MATCH($D900,Workers!$A$5:$A$2004,0)),0))</f>
        <v>0</v>
      </c>
      <c r="T900" s="26" t="str">
        <f aca="false">IF($D900="","",O900-R900-S900)</f>
        <v/>
      </c>
    </row>
    <row r="901" customFormat="false" ht="15" hidden="false" customHeight="false" outlineLevel="0" collapsed="false">
      <c r="I901" s="24" t="str">
        <f aca="false">IF($D901="","",IFERROR(INDEX(Workers!$B$5:$B$2004,MATCH($D901,Workers!$A$5:$A$2004,0)),"NOT FOUND"))</f>
        <v/>
      </c>
      <c r="J901" s="24" t="str">
        <f aca="false">IF($D901="","",IFERROR(INDEX(Workers!$C$5:$C$2004,MATCH($D901,Workers!$A$5:$A$2004,0)),""))</f>
        <v/>
      </c>
      <c r="K901" s="24" t="str">
        <f aca="false">IF($D901="","",IFERROR(IF(INDEX(Workers!$D$5:$D$2004,MATCH($D901,Workers!$A$5:$A$2004,0))=0,"",INDEX(Workers!$D$5:$D$2004,MATCH($D901,Workers!$A$5:$A$2004,0))),""))</f>
        <v/>
      </c>
      <c r="L901" s="24" t="str">
        <f aca="false">IF($D901="","",IFERROR(INDEX(Workers!$E$5:$E$2004,MATCH($D901,Workers!$A$5:$A$2004,0)),""))</f>
        <v/>
      </c>
      <c r="M901" s="26" t="str">
        <f aca="false">IF($D901="","",IFERROR(INDEX(ClientRates!$D$5:$D$500,MATCH($B901&amp;"|"&amp;$L901,ClientRates!$A$5:$A$500,0)),0))</f>
        <v/>
      </c>
      <c r="N901" s="26" t="str">
        <f aca="false">IF($D901="","",IFERROR(INDEX(ClientRates!$E$5:$E$500,MATCH($B901&amp;"|"&amp;$L901,ClientRates!$A$5:$A$500,0)),0))</f>
        <v/>
      </c>
      <c r="O901" s="26" t="str">
        <f aca="false">IF($D901="","",F901*M901+G901*N901)</f>
        <v/>
      </c>
      <c r="P901" s="26" t="str">
        <f aca="false">IF(OR($D901="",$J901&lt;&gt;"Supplier"),"",IFERROR(INDEX(SupplierRates!$D$5:$D$500,MATCH($K901&amp;"|"&amp;$L901,SupplierRates!$A$5:$A$500,0)),0))</f>
        <v/>
      </c>
      <c r="Q901" s="26" t="str">
        <f aca="false">IF(OR($D901="",$J901&lt;&gt;"Supplier"),"",IFERROR(INDEX(SupplierRates!$E$5:$E$500,MATCH($K901&amp;"|"&amp;$L901,SupplierRates!$A$5:$A$500,0)),0))</f>
        <v/>
      </c>
      <c r="R901" s="26" t="n">
        <f aca="false">IF(OR($D901="",$J901&lt;&gt;"Supplier"),0,F901*P901+G901*Q901)</f>
        <v>0</v>
      </c>
      <c r="S901" s="26" t="n">
        <f aca="false">IF(OR($D901="",$J901&lt;&gt;"Own"),0,IFERROR((F901+G901*Settings!$B$13)*INDEX(Workers!$V$5:$V$2004,MATCH($D901,Workers!$A$5:$A$2004,0)),0))</f>
        <v>0</v>
      </c>
      <c r="T901" s="26" t="str">
        <f aca="false">IF($D901="","",O901-R901-S901)</f>
        <v/>
      </c>
    </row>
    <row r="902" customFormat="false" ht="15" hidden="false" customHeight="false" outlineLevel="0" collapsed="false">
      <c r="I902" s="24" t="str">
        <f aca="false">IF($D902="","",IFERROR(INDEX(Workers!$B$5:$B$2004,MATCH($D902,Workers!$A$5:$A$2004,0)),"NOT FOUND"))</f>
        <v/>
      </c>
      <c r="J902" s="24" t="str">
        <f aca="false">IF($D902="","",IFERROR(INDEX(Workers!$C$5:$C$2004,MATCH($D902,Workers!$A$5:$A$2004,0)),""))</f>
        <v/>
      </c>
      <c r="K902" s="24" t="str">
        <f aca="false">IF($D902="","",IFERROR(IF(INDEX(Workers!$D$5:$D$2004,MATCH($D902,Workers!$A$5:$A$2004,0))=0,"",INDEX(Workers!$D$5:$D$2004,MATCH($D902,Workers!$A$5:$A$2004,0))),""))</f>
        <v/>
      </c>
      <c r="L902" s="24" t="str">
        <f aca="false">IF($D902="","",IFERROR(INDEX(Workers!$E$5:$E$2004,MATCH($D902,Workers!$A$5:$A$2004,0)),""))</f>
        <v/>
      </c>
      <c r="M902" s="26" t="str">
        <f aca="false">IF($D902="","",IFERROR(INDEX(ClientRates!$D$5:$D$500,MATCH($B902&amp;"|"&amp;$L902,ClientRates!$A$5:$A$500,0)),0))</f>
        <v/>
      </c>
      <c r="N902" s="26" t="str">
        <f aca="false">IF($D902="","",IFERROR(INDEX(ClientRates!$E$5:$E$500,MATCH($B902&amp;"|"&amp;$L902,ClientRates!$A$5:$A$500,0)),0))</f>
        <v/>
      </c>
      <c r="O902" s="26" t="str">
        <f aca="false">IF($D902="","",F902*M902+G902*N902)</f>
        <v/>
      </c>
      <c r="P902" s="26" t="str">
        <f aca="false">IF(OR($D902="",$J902&lt;&gt;"Supplier"),"",IFERROR(INDEX(SupplierRates!$D$5:$D$500,MATCH($K902&amp;"|"&amp;$L902,SupplierRates!$A$5:$A$500,0)),0))</f>
        <v/>
      </c>
      <c r="Q902" s="26" t="str">
        <f aca="false">IF(OR($D902="",$J902&lt;&gt;"Supplier"),"",IFERROR(INDEX(SupplierRates!$E$5:$E$500,MATCH($K902&amp;"|"&amp;$L902,SupplierRates!$A$5:$A$500,0)),0))</f>
        <v/>
      </c>
      <c r="R902" s="26" t="n">
        <f aca="false">IF(OR($D902="",$J902&lt;&gt;"Supplier"),0,F902*P902+G902*Q902)</f>
        <v>0</v>
      </c>
      <c r="S902" s="26" t="n">
        <f aca="false">IF(OR($D902="",$J902&lt;&gt;"Own"),0,IFERROR((F902+G902*Settings!$B$13)*INDEX(Workers!$V$5:$V$2004,MATCH($D902,Workers!$A$5:$A$2004,0)),0))</f>
        <v>0</v>
      </c>
      <c r="T902" s="26" t="str">
        <f aca="false">IF($D902="","",O902-R902-S902)</f>
        <v/>
      </c>
    </row>
    <row r="903" customFormat="false" ht="15" hidden="false" customHeight="false" outlineLevel="0" collapsed="false">
      <c r="I903" s="24" t="str">
        <f aca="false">IF($D903="","",IFERROR(INDEX(Workers!$B$5:$B$2004,MATCH($D903,Workers!$A$5:$A$2004,0)),"NOT FOUND"))</f>
        <v/>
      </c>
      <c r="J903" s="24" t="str">
        <f aca="false">IF($D903="","",IFERROR(INDEX(Workers!$C$5:$C$2004,MATCH($D903,Workers!$A$5:$A$2004,0)),""))</f>
        <v/>
      </c>
      <c r="K903" s="24" t="str">
        <f aca="false">IF($D903="","",IFERROR(IF(INDEX(Workers!$D$5:$D$2004,MATCH($D903,Workers!$A$5:$A$2004,0))=0,"",INDEX(Workers!$D$5:$D$2004,MATCH($D903,Workers!$A$5:$A$2004,0))),""))</f>
        <v/>
      </c>
      <c r="L903" s="24" t="str">
        <f aca="false">IF($D903="","",IFERROR(INDEX(Workers!$E$5:$E$2004,MATCH($D903,Workers!$A$5:$A$2004,0)),""))</f>
        <v/>
      </c>
      <c r="M903" s="26" t="str">
        <f aca="false">IF($D903="","",IFERROR(INDEX(ClientRates!$D$5:$D$500,MATCH($B903&amp;"|"&amp;$L903,ClientRates!$A$5:$A$500,0)),0))</f>
        <v/>
      </c>
      <c r="N903" s="26" t="str">
        <f aca="false">IF($D903="","",IFERROR(INDEX(ClientRates!$E$5:$E$500,MATCH($B903&amp;"|"&amp;$L903,ClientRates!$A$5:$A$500,0)),0))</f>
        <v/>
      </c>
      <c r="O903" s="26" t="str">
        <f aca="false">IF($D903="","",F903*M903+G903*N903)</f>
        <v/>
      </c>
      <c r="P903" s="26" t="str">
        <f aca="false">IF(OR($D903="",$J903&lt;&gt;"Supplier"),"",IFERROR(INDEX(SupplierRates!$D$5:$D$500,MATCH($K903&amp;"|"&amp;$L903,SupplierRates!$A$5:$A$500,0)),0))</f>
        <v/>
      </c>
      <c r="Q903" s="26" t="str">
        <f aca="false">IF(OR($D903="",$J903&lt;&gt;"Supplier"),"",IFERROR(INDEX(SupplierRates!$E$5:$E$500,MATCH($K903&amp;"|"&amp;$L903,SupplierRates!$A$5:$A$500,0)),0))</f>
        <v/>
      </c>
      <c r="R903" s="26" t="n">
        <f aca="false">IF(OR($D903="",$J903&lt;&gt;"Supplier"),0,F903*P903+G903*Q903)</f>
        <v>0</v>
      </c>
      <c r="S903" s="26" t="n">
        <f aca="false">IF(OR($D903="",$J903&lt;&gt;"Own"),0,IFERROR((F903+G903*Settings!$B$13)*INDEX(Workers!$V$5:$V$2004,MATCH($D903,Workers!$A$5:$A$2004,0)),0))</f>
        <v>0</v>
      </c>
      <c r="T903" s="26" t="str">
        <f aca="false">IF($D903="","",O903-R903-S903)</f>
        <v/>
      </c>
    </row>
    <row r="904" customFormat="false" ht="15" hidden="false" customHeight="false" outlineLevel="0" collapsed="false">
      <c r="I904" s="24" t="str">
        <f aca="false">IF($D904="","",IFERROR(INDEX(Workers!$B$5:$B$2004,MATCH($D904,Workers!$A$5:$A$2004,0)),"NOT FOUND"))</f>
        <v/>
      </c>
      <c r="J904" s="24" t="str">
        <f aca="false">IF($D904="","",IFERROR(INDEX(Workers!$C$5:$C$2004,MATCH($D904,Workers!$A$5:$A$2004,0)),""))</f>
        <v/>
      </c>
      <c r="K904" s="24" t="str">
        <f aca="false">IF($D904="","",IFERROR(IF(INDEX(Workers!$D$5:$D$2004,MATCH($D904,Workers!$A$5:$A$2004,0))=0,"",INDEX(Workers!$D$5:$D$2004,MATCH($D904,Workers!$A$5:$A$2004,0))),""))</f>
        <v/>
      </c>
      <c r="L904" s="24" t="str">
        <f aca="false">IF($D904="","",IFERROR(INDEX(Workers!$E$5:$E$2004,MATCH($D904,Workers!$A$5:$A$2004,0)),""))</f>
        <v/>
      </c>
      <c r="M904" s="26" t="str">
        <f aca="false">IF($D904="","",IFERROR(INDEX(ClientRates!$D$5:$D$500,MATCH($B904&amp;"|"&amp;$L904,ClientRates!$A$5:$A$500,0)),0))</f>
        <v/>
      </c>
      <c r="N904" s="26" t="str">
        <f aca="false">IF($D904="","",IFERROR(INDEX(ClientRates!$E$5:$E$500,MATCH($B904&amp;"|"&amp;$L904,ClientRates!$A$5:$A$500,0)),0))</f>
        <v/>
      </c>
      <c r="O904" s="26" t="str">
        <f aca="false">IF($D904="","",F904*M904+G904*N904)</f>
        <v/>
      </c>
      <c r="P904" s="26" t="str">
        <f aca="false">IF(OR($D904="",$J904&lt;&gt;"Supplier"),"",IFERROR(INDEX(SupplierRates!$D$5:$D$500,MATCH($K904&amp;"|"&amp;$L904,SupplierRates!$A$5:$A$500,0)),0))</f>
        <v/>
      </c>
      <c r="Q904" s="26" t="str">
        <f aca="false">IF(OR($D904="",$J904&lt;&gt;"Supplier"),"",IFERROR(INDEX(SupplierRates!$E$5:$E$500,MATCH($K904&amp;"|"&amp;$L904,SupplierRates!$A$5:$A$500,0)),0))</f>
        <v/>
      </c>
      <c r="R904" s="26" t="n">
        <f aca="false">IF(OR($D904="",$J904&lt;&gt;"Supplier"),0,F904*P904+G904*Q904)</f>
        <v>0</v>
      </c>
      <c r="S904" s="26" t="n">
        <f aca="false">IF(OR($D904="",$J904&lt;&gt;"Own"),0,IFERROR((F904+G904*Settings!$B$13)*INDEX(Workers!$V$5:$V$2004,MATCH($D904,Workers!$A$5:$A$2004,0)),0))</f>
        <v>0</v>
      </c>
      <c r="T904" s="26" t="str">
        <f aca="false">IF($D904="","",O904-R904-S904)</f>
        <v/>
      </c>
    </row>
    <row r="905" customFormat="false" ht="15" hidden="false" customHeight="false" outlineLevel="0" collapsed="false">
      <c r="I905" s="24" t="str">
        <f aca="false">IF($D905="","",IFERROR(INDEX(Workers!$B$5:$B$2004,MATCH($D905,Workers!$A$5:$A$2004,0)),"NOT FOUND"))</f>
        <v/>
      </c>
      <c r="J905" s="24" t="str">
        <f aca="false">IF($D905="","",IFERROR(INDEX(Workers!$C$5:$C$2004,MATCH($D905,Workers!$A$5:$A$2004,0)),""))</f>
        <v/>
      </c>
      <c r="K905" s="24" t="str">
        <f aca="false">IF($D905="","",IFERROR(IF(INDEX(Workers!$D$5:$D$2004,MATCH($D905,Workers!$A$5:$A$2004,0))=0,"",INDEX(Workers!$D$5:$D$2004,MATCH($D905,Workers!$A$5:$A$2004,0))),""))</f>
        <v/>
      </c>
      <c r="L905" s="24" t="str">
        <f aca="false">IF($D905="","",IFERROR(INDEX(Workers!$E$5:$E$2004,MATCH($D905,Workers!$A$5:$A$2004,0)),""))</f>
        <v/>
      </c>
      <c r="M905" s="26" t="str">
        <f aca="false">IF($D905="","",IFERROR(INDEX(ClientRates!$D$5:$D$500,MATCH($B905&amp;"|"&amp;$L905,ClientRates!$A$5:$A$500,0)),0))</f>
        <v/>
      </c>
      <c r="N905" s="26" t="str">
        <f aca="false">IF($D905="","",IFERROR(INDEX(ClientRates!$E$5:$E$500,MATCH($B905&amp;"|"&amp;$L905,ClientRates!$A$5:$A$500,0)),0))</f>
        <v/>
      </c>
      <c r="O905" s="26" t="str">
        <f aca="false">IF($D905="","",F905*M905+G905*N905)</f>
        <v/>
      </c>
      <c r="P905" s="26" t="str">
        <f aca="false">IF(OR($D905="",$J905&lt;&gt;"Supplier"),"",IFERROR(INDEX(SupplierRates!$D$5:$D$500,MATCH($K905&amp;"|"&amp;$L905,SupplierRates!$A$5:$A$500,0)),0))</f>
        <v/>
      </c>
      <c r="Q905" s="26" t="str">
        <f aca="false">IF(OR($D905="",$J905&lt;&gt;"Supplier"),"",IFERROR(INDEX(SupplierRates!$E$5:$E$500,MATCH($K905&amp;"|"&amp;$L905,SupplierRates!$A$5:$A$500,0)),0))</f>
        <v/>
      </c>
      <c r="R905" s="26" t="n">
        <f aca="false">IF(OR($D905="",$J905&lt;&gt;"Supplier"),0,F905*P905+G905*Q905)</f>
        <v>0</v>
      </c>
      <c r="S905" s="26" t="n">
        <f aca="false">IF(OR($D905="",$J905&lt;&gt;"Own"),0,IFERROR((F905+G905*Settings!$B$13)*INDEX(Workers!$V$5:$V$2004,MATCH($D905,Workers!$A$5:$A$2004,0)),0))</f>
        <v>0</v>
      </c>
      <c r="T905" s="26" t="str">
        <f aca="false">IF($D905="","",O905-R905-S905)</f>
        <v/>
      </c>
    </row>
    <row r="906" customFormat="false" ht="15" hidden="false" customHeight="false" outlineLevel="0" collapsed="false">
      <c r="I906" s="24" t="str">
        <f aca="false">IF($D906="","",IFERROR(INDEX(Workers!$B$5:$B$2004,MATCH($D906,Workers!$A$5:$A$2004,0)),"NOT FOUND"))</f>
        <v/>
      </c>
      <c r="J906" s="24" t="str">
        <f aca="false">IF($D906="","",IFERROR(INDEX(Workers!$C$5:$C$2004,MATCH($D906,Workers!$A$5:$A$2004,0)),""))</f>
        <v/>
      </c>
      <c r="K906" s="24" t="str">
        <f aca="false">IF($D906="","",IFERROR(IF(INDEX(Workers!$D$5:$D$2004,MATCH($D906,Workers!$A$5:$A$2004,0))=0,"",INDEX(Workers!$D$5:$D$2004,MATCH($D906,Workers!$A$5:$A$2004,0))),""))</f>
        <v/>
      </c>
      <c r="L906" s="24" t="str">
        <f aca="false">IF($D906="","",IFERROR(INDEX(Workers!$E$5:$E$2004,MATCH($D906,Workers!$A$5:$A$2004,0)),""))</f>
        <v/>
      </c>
      <c r="M906" s="26" t="str">
        <f aca="false">IF($D906="","",IFERROR(INDEX(ClientRates!$D$5:$D$500,MATCH($B906&amp;"|"&amp;$L906,ClientRates!$A$5:$A$500,0)),0))</f>
        <v/>
      </c>
      <c r="N906" s="26" t="str">
        <f aca="false">IF($D906="","",IFERROR(INDEX(ClientRates!$E$5:$E$500,MATCH($B906&amp;"|"&amp;$L906,ClientRates!$A$5:$A$500,0)),0))</f>
        <v/>
      </c>
      <c r="O906" s="26" t="str">
        <f aca="false">IF($D906="","",F906*M906+G906*N906)</f>
        <v/>
      </c>
      <c r="P906" s="26" t="str">
        <f aca="false">IF(OR($D906="",$J906&lt;&gt;"Supplier"),"",IFERROR(INDEX(SupplierRates!$D$5:$D$500,MATCH($K906&amp;"|"&amp;$L906,SupplierRates!$A$5:$A$500,0)),0))</f>
        <v/>
      </c>
      <c r="Q906" s="26" t="str">
        <f aca="false">IF(OR($D906="",$J906&lt;&gt;"Supplier"),"",IFERROR(INDEX(SupplierRates!$E$5:$E$500,MATCH($K906&amp;"|"&amp;$L906,SupplierRates!$A$5:$A$500,0)),0))</f>
        <v/>
      </c>
      <c r="R906" s="26" t="n">
        <f aca="false">IF(OR($D906="",$J906&lt;&gt;"Supplier"),0,F906*P906+G906*Q906)</f>
        <v>0</v>
      </c>
      <c r="S906" s="26" t="n">
        <f aca="false">IF(OR($D906="",$J906&lt;&gt;"Own"),0,IFERROR((F906+G906*Settings!$B$13)*INDEX(Workers!$V$5:$V$2004,MATCH($D906,Workers!$A$5:$A$2004,0)),0))</f>
        <v>0</v>
      </c>
      <c r="T906" s="26" t="str">
        <f aca="false">IF($D906="","",O906-R906-S906)</f>
        <v/>
      </c>
    </row>
    <row r="907" customFormat="false" ht="15" hidden="false" customHeight="false" outlineLevel="0" collapsed="false">
      <c r="I907" s="24" t="str">
        <f aca="false">IF($D907="","",IFERROR(INDEX(Workers!$B$5:$B$2004,MATCH($D907,Workers!$A$5:$A$2004,0)),"NOT FOUND"))</f>
        <v/>
      </c>
      <c r="J907" s="24" t="str">
        <f aca="false">IF($D907="","",IFERROR(INDEX(Workers!$C$5:$C$2004,MATCH($D907,Workers!$A$5:$A$2004,0)),""))</f>
        <v/>
      </c>
      <c r="K907" s="24" t="str">
        <f aca="false">IF($D907="","",IFERROR(IF(INDEX(Workers!$D$5:$D$2004,MATCH($D907,Workers!$A$5:$A$2004,0))=0,"",INDEX(Workers!$D$5:$D$2004,MATCH($D907,Workers!$A$5:$A$2004,0))),""))</f>
        <v/>
      </c>
      <c r="L907" s="24" t="str">
        <f aca="false">IF($D907="","",IFERROR(INDEX(Workers!$E$5:$E$2004,MATCH($D907,Workers!$A$5:$A$2004,0)),""))</f>
        <v/>
      </c>
      <c r="M907" s="26" t="str">
        <f aca="false">IF($D907="","",IFERROR(INDEX(ClientRates!$D$5:$D$500,MATCH($B907&amp;"|"&amp;$L907,ClientRates!$A$5:$A$500,0)),0))</f>
        <v/>
      </c>
      <c r="N907" s="26" t="str">
        <f aca="false">IF($D907="","",IFERROR(INDEX(ClientRates!$E$5:$E$500,MATCH($B907&amp;"|"&amp;$L907,ClientRates!$A$5:$A$500,0)),0))</f>
        <v/>
      </c>
      <c r="O907" s="26" t="str">
        <f aca="false">IF($D907="","",F907*M907+G907*N907)</f>
        <v/>
      </c>
      <c r="P907" s="26" t="str">
        <f aca="false">IF(OR($D907="",$J907&lt;&gt;"Supplier"),"",IFERROR(INDEX(SupplierRates!$D$5:$D$500,MATCH($K907&amp;"|"&amp;$L907,SupplierRates!$A$5:$A$500,0)),0))</f>
        <v/>
      </c>
      <c r="Q907" s="26" t="str">
        <f aca="false">IF(OR($D907="",$J907&lt;&gt;"Supplier"),"",IFERROR(INDEX(SupplierRates!$E$5:$E$500,MATCH($K907&amp;"|"&amp;$L907,SupplierRates!$A$5:$A$500,0)),0))</f>
        <v/>
      </c>
      <c r="R907" s="26" t="n">
        <f aca="false">IF(OR($D907="",$J907&lt;&gt;"Supplier"),0,F907*P907+G907*Q907)</f>
        <v>0</v>
      </c>
      <c r="S907" s="26" t="n">
        <f aca="false">IF(OR($D907="",$J907&lt;&gt;"Own"),0,IFERROR((F907+G907*Settings!$B$13)*INDEX(Workers!$V$5:$V$2004,MATCH($D907,Workers!$A$5:$A$2004,0)),0))</f>
        <v>0</v>
      </c>
      <c r="T907" s="26" t="str">
        <f aca="false">IF($D907="","",O907-R907-S907)</f>
        <v/>
      </c>
    </row>
    <row r="908" customFormat="false" ht="15" hidden="false" customHeight="false" outlineLevel="0" collapsed="false">
      <c r="I908" s="24" t="str">
        <f aca="false">IF($D908="","",IFERROR(INDEX(Workers!$B$5:$B$2004,MATCH($D908,Workers!$A$5:$A$2004,0)),"NOT FOUND"))</f>
        <v/>
      </c>
      <c r="J908" s="24" t="str">
        <f aca="false">IF($D908="","",IFERROR(INDEX(Workers!$C$5:$C$2004,MATCH($D908,Workers!$A$5:$A$2004,0)),""))</f>
        <v/>
      </c>
      <c r="K908" s="24" t="str">
        <f aca="false">IF($D908="","",IFERROR(IF(INDEX(Workers!$D$5:$D$2004,MATCH($D908,Workers!$A$5:$A$2004,0))=0,"",INDEX(Workers!$D$5:$D$2004,MATCH($D908,Workers!$A$5:$A$2004,0))),""))</f>
        <v/>
      </c>
      <c r="L908" s="24" t="str">
        <f aca="false">IF($D908="","",IFERROR(INDEX(Workers!$E$5:$E$2004,MATCH($D908,Workers!$A$5:$A$2004,0)),""))</f>
        <v/>
      </c>
      <c r="M908" s="26" t="str">
        <f aca="false">IF($D908="","",IFERROR(INDEX(ClientRates!$D$5:$D$500,MATCH($B908&amp;"|"&amp;$L908,ClientRates!$A$5:$A$500,0)),0))</f>
        <v/>
      </c>
      <c r="N908" s="26" t="str">
        <f aca="false">IF($D908="","",IFERROR(INDEX(ClientRates!$E$5:$E$500,MATCH($B908&amp;"|"&amp;$L908,ClientRates!$A$5:$A$500,0)),0))</f>
        <v/>
      </c>
      <c r="O908" s="26" t="str">
        <f aca="false">IF($D908="","",F908*M908+G908*N908)</f>
        <v/>
      </c>
      <c r="P908" s="26" t="str">
        <f aca="false">IF(OR($D908="",$J908&lt;&gt;"Supplier"),"",IFERROR(INDEX(SupplierRates!$D$5:$D$500,MATCH($K908&amp;"|"&amp;$L908,SupplierRates!$A$5:$A$500,0)),0))</f>
        <v/>
      </c>
      <c r="Q908" s="26" t="str">
        <f aca="false">IF(OR($D908="",$J908&lt;&gt;"Supplier"),"",IFERROR(INDEX(SupplierRates!$E$5:$E$500,MATCH($K908&amp;"|"&amp;$L908,SupplierRates!$A$5:$A$500,0)),0))</f>
        <v/>
      </c>
      <c r="R908" s="26" t="n">
        <f aca="false">IF(OR($D908="",$J908&lt;&gt;"Supplier"),0,F908*P908+G908*Q908)</f>
        <v>0</v>
      </c>
      <c r="S908" s="26" t="n">
        <f aca="false">IF(OR($D908="",$J908&lt;&gt;"Own"),0,IFERROR((F908+G908*Settings!$B$13)*INDEX(Workers!$V$5:$V$2004,MATCH($D908,Workers!$A$5:$A$2004,0)),0))</f>
        <v>0</v>
      </c>
      <c r="T908" s="26" t="str">
        <f aca="false">IF($D908="","",O908-R908-S908)</f>
        <v/>
      </c>
    </row>
    <row r="909" customFormat="false" ht="15" hidden="false" customHeight="false" outlineLevel="0" collapsed="false">
      <c r="I909" s="24" t="str">
        <f aca="false">IF($D909="","",IFERROR(INDEX(Workers!$B$5:$B$2004,MATCH($D909,Workers!$A$5:$A$2004,0)),"NOT FOUND"))</f>
        <v/>
      </c>
      <c r="J909" s="24" t="str">
        <f aca="false">IF($D909="","",IFERROR(INDEX(Workers!$C$5:$C$2004,MATCH($D909,Workers!$A$5:$A$2004,0)),""))</f>
        <v/>
      </c>
      <c r="K909" s="24" t="str">
        <f aca="false">IF($D909="","",IFERROR(IF(INDEX(Workers!$D$5:$D$2004,MATCH($D909,Workers!$A$5:$A$2004,0))=0,"",INDEX(Workers!$D$5:$D$2004,MATCH($D909,Workers!$A$5:$A$2004,0))),""))</f>
        <v/>
      </c>
      <c r="L909" s="24" t="str">
        <f aca="false">IF($D909="","",IFERROR(INDEX(Workers!$E$5:$E$2004,MATCH($D909,Workers!$A$5:$A$2004,0)),""))</f>
        <v/>
      </c>
      <c r="M909" s="26" t="str">
        <f aca="false">IF($D909="","",IFERROR(INDEX(ClientRates!$D$5:$D$500,MATCH($B909&amp;"|"&amp;$L909,ClientRates!$A$5:$A$500,0)),0))</f>
        <v/>
      </c>
      <c r="N909" s="26" t="str">
        <f aca="false">IF($D909="","",IFERROR(INDEX(ClientRates!$E$5:$E$500,MATCH($B909&amp;"|"&amp;$L909,ClientRates!$A$5:$A$500,0)),0))</f>
        <v/>
      </c>
      <c r="O909" s="26" t="str">
        <f aca="false">IF($D909="","",F909*M909+G909*N909)</f>
        <v/>
      </c>
      <c r="P909" s="26" t="str">
        <f aca="false">IF(OR($D909="",$J909&lt;&gt;"Supplier"),"",IFERROR(INDEX(SupplierRates!$D$5:$D$500,MATCH($K909&amp;"|"&amp;$L909,SupplierRates!$A$5:$A$500,0)),0))</f>
        <v/>
      </c>
      <c r="Q909" s="26" t="str">
        <f aca="false">IF(OR($D909="",$J909&lt;&gt;"Supplier"),"",IFERROR(INDEX(SupplierRates!$E$5:$E$500,MATCH($K909&amp;"|"&amp;$L909,SupplierRates!$A$5:$A$500,0)),0))</f>
        <v/>
      </c>
      <c r="R909" s="26" t="n">
        <f aca="false">IF(OR($D909="",$J909&lt;&gt;"Supplier"),0,F909*P909+G909*Q909)</f>
        <v>0</v>
      </c>
      <c r="S909" s="26" t="n">
        <f aca="false">IF(OR($D909="",$J909&lt;&gt;"Own"),0,IFERROR((F909+G909*Settings!$B$13)*INDEX(Workers!$V$5:$V$2004,MATCH($D909,Workers!$A$5:$A$2004,0)),0))</f>
        <v>0</v>
      </c>
      <c r="T909" s="26" t="str">
        <f aca="false">IF($D909="","",O909-R909-S909)</f>
        <v/>
      </c>
    </row>
    <row r="910" customFormat="false" ht="15" hidden="false" customHeight="false" outlineLevel="0" collapsed="false">
      <c r="I910" s="24" t="str">
        <f aca="false">IF($D910="","",IFERROR(INDEX(Workers!$B$5:$B$2004,MATCH($D910,Workers!$A$5:$A$2004,0)),"NOT FOUND"))</f>
        <v/>
      </c>
      <c r="J910" s="24" t="str">
        <f aca="false">IF($D910="","",IFERROR(INDEX(Workers!$C$5:$C$2004,MATCH($D910,Workers!$A$5:$A$2004,0)),""))</f>
        <v/>
      </c>
      <c r="K910" s="24" t="str">
        <f aca="false">IF($D910="","",IFERROR(IF(INDEX(Workers!$D$5:$D$2004,MATCH($D910,Workers!$A$5:$A$2004,0))=0,"",INDEX(Workers!$D$5:$D$2004,MATCH($D910,Workers!$A$5:$A$2004,0))),""))</f>
        <v/>
      </c>
      <c r="L910" s="24" t="str">
        <f aca="false">IF($D910="","",IFERROR(INDEX(Workers!$E$5:$E$2004,MATCH($D910,Workers!$A$5:$A$2004,0)),""))</f>
        <v/>
      </c>
      <c r="M910" s="26" t="str">
        <f aca="false">IF($D910="","",IFERROR(INDEX(ClientRates!$D$5:$D$500,MATCH($B910&amp;"|"&amp;$L910,ClientRates!$A$5:$A$500,0)),0))</f>
        <v/>
      </c>
      <c r="N910" s="26" t="str">
        <f aca="false">IF($D910="","",IFERROR(INDEX(ClientRates!$E$5:$E$500,MATCH($B910&amp;"|"&amp;$L910,ClientRates!$A$5:$A$500,0)),0))</f>
        <v/>
      </c>
      <c r="O910" s="26" t="str">
        <f aca="false">IF($D910="","",F910*M910+G910*N910)</f>
        <v/>
      </c>
      <c r="P910" s="26" t="str">
        <f aca="false">IF(OR($D910="",$J910&lt;&gt;"Supplier"),"",IFERROR(INDEX(SupplierRates!$D$5:$D$500,MATCH($K910&amp;"|"&amp;$L910,SupplierRates!$A$5:$A$500,0)),0))</f>
        <v/>
      </c>
      <c r="Q910" s="26" t="str">
        <f aca="false">IF(OR($D910="",$J910&lt;&gt;"Supplier"),"",IFERROR(INDEX(SupplierRates!$E$5:$E$500,MATCH($K910&amp;"|"&amp;$L910,SupplierRates!$A$5:$A$500,0)),0))</f>
        <v/>
      </c>
      <c r="R910" s="26" t="n">
        <f aca="false">IF(OR($D910="",$J910&lt;&gt;"Supplier"),0,F910*P910+G910*Q910)</f>
        <v>0</v>
      </c>
      <c r="S910" s="26" t="n">
        <f aca="false">IF(OR($D910="",$J910&lt;&gt;"Own"),0,IFERROR((F910+G910*Settings!$B$13)*INDEX(Workers!$V$5:$V$2004,MATCH($D910,Workers!$A$5:$A$2004,0)),0))</f>
        <v>0</v>
      </c>
      <c r="T910" s="26" t="str">
        <f aca="false">IF($D910="","",O910-R910-S910)</f>
        <v/>
      </c>
    </row>
    <row r="911" customFormat="false" ht="15" hidden="false" customHeight="false" outlineLevel="0" collapsed="false">
      <c r="I911" s="24" t="str">
        <f aca="false">IF($D911="","",IFERROR(INDEX(Workers!$B$5:$B$2004,MATCH($D911,Workers!$A$5:$A$2004,0)),"NOT FOUND"))</f>
        <v/>
      </c>
      <c r="J911" s="24" t="str">
        <f aca="false">IF($D911="","",IFERROR(INDEX(Workers!$C$5:$C$2004,MATCH($D911,Workers!$A$5:$A$2004,0)),""))</f>
        <v/>
      </c>
      <c r="K911" s="24" t="str">
        <f aca="false">IF($D911="","",IFERROR(IF(INDEX(Workers!$D$5:$D$2004,MATCH($D911,Workers!$A$5:$A$2004,0))=0,"",INDEX(Workers!$D$5:$D$2004,MATCH($D911,Workers!$A$5:$A$2004,0))),""))</f>
        <v/>
      </c>
      <c r="L911" s="24" t="str">
        <f aca="false">IF($D911="","",IFERROR(INDEX(Workers!$E$5:$E$2004,MATCH($D911,Workers!$A$5:$A$2004,0)),""))</f>
        <v/>
      </c>
      <c r="M911" s="26" t="str">
        <f aca="false">IF($D911="","",IFERROR(INDEX(ClientRates!$D$5:$D$500,MATCH($B911&amp;"|"&amp;$L911,ClientRates!$A$5:$A$500,0)),0))</f>
        <v/>
      </c>
      <c r="N911" s="26" t="str">
        <f aca="false">IF($D911="","",IFERROR(INDEX(ClientRates!$E$5:$E$500,MATCH($B911&amp;"|"&amp;$L911,ClientRates!$A$5:$A$500,0)),0))</f>
        <v/>
      </c>
      <c r="O911" s="26" t="str">
        <f aca="false">IF($D911="","",F911*M911+G911*N911)</f>
        <v/>
      </c>
      <c r="P911" s="26" t="str">
        <f aca="false">IF(OR($D911="",$J911&lt;&gt;"Supplier"),"",IFERROR(INDEX(SupplierRates!$D$5:$D$500,MATCH($K911&amp;"|"&amp;$L911,SupplierRates!$A$5:$A$500,0)),0))</f>
        <v/>
      </c>
      <c r="Q911" s="26" t="str">
        <f aca="false">IF(OR($D911="",$J911&lt;&gt;"Supplier"),"",IFERROR(INDEX(SupplierRates!$E$5:$E$500,MATCH($K911&amp;"|"&amp;$L911,SupplierRates!$A$5:$A$500,0)),0))</f>
        <v/>
      </c>
      <c r="R911" s="26" t="n">
        <f aca="false">IF(OR($D911="",$J911&lt;&gt;"Supplier"),0,F911*P911+G911*Q911)</f>
        <v>0</v>
      </c>
      <c r="S911" s="26" t="n">
        <f aca="false">IF(OR($D911="",$J911&lt;&gt;"Own"),0,IFERROR((F911+G911*Settings!$B$13)*INDEX(Workers!$V$5:$V$2004,MATCH($D911,Workers!$A$5:$A$2004,0)),0))</f>
        <v>0</v>
      </c>
      <c r="T911" s="26" t="str">
        <f aca="false">IF($D911="","",O911-R911-S911)</f>
        <v/>
      </c>
    </row>
    <row r="912" customFormat="false" ht="15" hidden="false" customHeight="false" outlineLevel="0" collapsed="false">
      <c r="I912" s="24" t="str">
        <f aca="false">IF($D912="","",IFERROR(INDEX(Workers!$B$5:$B$2004,MATCH($D912,Workers!$A$5:$A$2004,0)),"NOT FOUND"))</f>
        <v/>
      </c>
      <c r="J912" s="24" t="str">
        <f aca="false">IF($D912="","",IFERROR(INDEX(Workers!$C$5:$C$2004,MATCH($D912,Workers!$A$5:$A$2004,0)),""))</f>
        <v/>
      </c>
      <c r="K912" s="24" t="str">
        <f aca="false">IF($D912="","",IFERROR(IF(INDEX(Workers!$D$5:$D$2004,MATCH($D912,Workers!$A$5:$A$2004,0))=0,"",INDEX(Workers!$D$5:$D$2004,MATCH($D912,Workers!$A$5:$A$2004,0))),""))</f>
        <v/>
      </c>
      <c r="L912" s="24" t="str">
        <f aca="false">IF($D912="","",IFERROR(INDEX(Workers!$E$5:$E$2004,MATCH($D912,Workers!$A$5:$A$2004,0)),""))</f>
        <v/>
      </c>
      <c r="M912" s="26" t="str">
        <f aca="false">IF($D912="","",IFERROR(INDEX(ClientRates!$D$5:$D$500,MATCH($B912&amp;"|"&amp;$L912,ClientRates!$A$5:$A$500,0)),0))</f>
        <v/>
      </c>
      <c r="N912" s="26" t="str">
        <f aca="false">IF($D912="","",IFERROR(INDEX(ClientRates!$E$5:$E$500,MATCH($B912&amp;"|"&amp;$L912,ClientRates!$A$5:$A$500,0)),0))</f>
        <v/>
      </c>
      <c r="O912" s="26" t="str">
        <f aca="false">IF($D912="","",F912*M912+G912*N912)</f>
        <v/>
      </c>
      <c r="P912" s="26" t="str">
        <f aca="false">IF(OR($D912="",$J912&lt;&gt;"Supplier"),"",IFERROR(INDEX(SupplierRates!$D$5:$D$500,MATCH($K912&amp;"|"&amp;$L912,SupplierRates!$A$5:$A$500,0)),0))</f>
        <v/>
      </c>
      <c r="Q912" s="26" t="str">
        <f aca="false">IF(OR($D912="",$J912&lt;&gt;"Supplier"),"",IFERROR(INDEX(SupplierRates!$E$5:$E$500,MATCH($K912&amp;"|"&amp;$L912,SupplierRates!$A$5:$A$500,0)),0))</f>
        <v/>
      </c>
      <c r="R912" s="26" t="n">
        <f aca="false">IF(OR($D912="",$J912&lt;&gt;"Supplier"),0,F912*P912+G912*Q912)</f>
        <v>0</v>
      </c>
      <c r="S912" s="26" t="n">
        <f aca="false">IF(OR($D912="",$J912&lt;&gt;"Own"),0,IFERROR((F912+G912*Settings!$B$13)*INDEX(Workers!$V$5:$V$2004,MATCH($D912,Workers!$A$5:$A$2004,0)),0))</f>
        <v>0</v>
      </c>
      <c r="T912" s="26" t="str">
        <f aca="false">IF($D912="","",O912-R912-S912)</f>
        <v/>
      </c>
    </row>
    <row r="913" customFormat="false" ht="15" hidden="false" customHeight="false" outlineLevel="0" collapsed="false">
      <c r="I913" s="24" t="str">
        <f aca="false">IF($D913="","",IFERROR(INDEX(Workers!$B$5:$B$2004,MATCH($D913,Workers!$A$5:$A$2004,0)),"NOT FOUND"))</f>
        <v/>
      </c>
      <c r="J913" s="24" t="str">
        <f aca="false">IF($D913="","",IFERROR(INDEX(Workers!$C$5:$C$2004,MATCH($D913,Workers!$A$5:$A$2004,0)),""))</f>
        <v/>
      </c>
      <c r="K913" s="24" t="str">
        <f aca="false">IF($D913="","",IFERROR(IF(INDEX(Workers!$D$5:$D$2004,MATCH($D913,Workers!$A$5:$A$2004,0))=0,"",INDEX(Workers!$D$5:$D$2004,MATCH($D913,Workers!$A$5:$A$2004,0))),""))</f>
        <v/>
      </c>
      <c r="L913" s="24" t="str">
        <f aca="false">IF($D913="","",IFERROR(INDEX(Workers!$E$5:$E$2004,MATCH($D913,Workers!$A$5:$A$2004,0)),""))</f>
        <v/>
      </c>
      <c r="M913" s="26" t="str">
        <f aca="false">IF($D913="","",IFERROR(INDEX(ClientRates!$D$5:$D$500,MATCH($B913&amp;"|"&amp;$L913,ClientRates!$A$5:$A$500,0)),0))</f>
        <v/>
      </c>
      <c r="N913" s="26" t="str">
        <f aca="false">IF($D913="","",IFERROR(INDEX(ClientRates!$E$5:$E$500,MATCH($B913&amp;"|"&amp;$L913,ClientRates!$A$5:$A$500,0)),0))</f>
        <v/>
      </c>
      <c r="O913" s="26" t="str">
        <f aca="false">IF($D913="","",F913*M913+G913*N913)</f>
        <v/>
      </c>
      <c r="P913" s="26" t="str">
        <f aca="false">IF(OR($D913="",$J913&lt;&gt;"Supplier"),"",IFERROR(INDEX(SupplierRates!$D$5:$D$500,MATCH($K913&amp;"|"&amp;$L913,SupplierRates!$A$5:$A$500,0)),0))</f>
        <v/>
      </c>
      <c r="Q913" s="26" t="str">
        <f aca="false">IF(OR($D913="",$J913&lt;&gt;"Supplier"),"",IFERROR(INDEX(SupplierRates!$E$5:$E$500,MATCH($K913&amp;"|"&amp;$L913,SupplierRates!$A$5:$A$500,0)),0))</f>
        <v/>
      </c>
      <c r="R913" s="26" t="n">
        <f aca="false">IF(OR($D913="",$J913&lt;&gt;"Supplier"),0,F913*P913+G913*Q913)</f>
        <v>0</v>
      </c>
      <c r="S913" s="26" t="n">
        <f aca="false">IF(OR($D913="",$J913&lt;&gt;"Own"),0,IFERROR((F913+G913*Settings!$B$13)*INDEX(Workers!$V$5:$V$2004,MATCH($D913,Workers!$A$5:$A$2004,0)),0))</f>
        <v>0</v>
      </c>
      <c r="T913" s="26" t="str">
        <f aca="false">IF($D913="","",O913-R913-S913)</f>
        <v/>
      </c>
    </row>
    <row r="914" customFormat="false" ht="15" hidden="false" customHeight="false" outlineLevel="0" collapsed="false">
      <c r="I914" s="24" t="str">
        <f aca="false">IF($D914="","",IFERROR(INDEX(Workers!$B$5:$B$2004,MATCH($D914,Workers!$A$5:$A$2004,0)),"NOT FOUND"))</f>
        <v/>
      </c>
      <c r="J914" s="24" t="str">
        <f aca="false">IF($D914="","",IFERROR(INDEX(Workers!$C$5:$C$2004,MATCH($D914,Workers!$A$5:$A$2004,0)),""))</f>
        <v/>
      </c>
      <c r="K914" s="24" t="str">
        <f aca="false">IF($D914="","",IFERROR(IF(INDEX(Workers!$D$5:$D$2004,MATCH($D914,Workers!$A$5:$A$2004,0))=0,"",INDEX(Workers!$D$5:$D$2004,MATCH($D914,Workers!$A$5:$A$2004,0))),""))</f>
        <v/>
      </c>
      <c r="L914" s="24" t="str">
        <f aca="false">IF($D914="","",IFERROR(INDEX(Workers!$E$5:$E$2004,MATCH($D914,Workers!$A$5:$A$2004,0)),""))</f>
        <v/>
      </c>
      <c r="M914" s="26" t="str">
        <f aca="false">IF($D914="","",IFERROR(INDEX(ClientRates!$D$5:$D$500,MATCH($B914&amp;"|"&amp;$L914,ClientRates!$A$5:$A$500,0)),0))</f>
        <v/>
      </c>
      <c r="N914" s="26" t="str">
        <f aca="false">IF($D914="","",IFERROR(INDEX(ClientRates!$E$5:$E$500,MATCH($B914&amp;"|"&amp;$L914,ClientRates!$A$5:$A$500,0)),0))</f>
        <v/>
      </c>
      <c r="O914" s="26" t="str">
        <f aca="false">IF($D914="","",F914*M914+G914*N914)</f>
        <v/>
      </c>
      <c r="P914" s="26" t="str">
        <f aca="false">IF(OR($D914="",$J914&lt;&gt;"Supplier"),"",IFERROR(INDEX(SupplierRates!$D$5:$D$500,MATCH($K914&amp;"|"&amp;$L914,SupplierRates!$A$5:$A$500,0)),0))</f>
        <v/>
      </c>
      <c r="Q914" s="26" t="str">
        <f aca="false">IF(OR($D914="",$J914&lt;&gt;"Supplier"),"",IFERROR(INDEX(SupplierRates!$E$5:$E$500,MATCH($K914&amp;"|"&amp;$L914,SupplierRates!$A$5:$A$500,0)),0))</f>
        <v/>
      </c>
      <c r="R914" s="26" t="n">
        <f aca="false">IF(OR($D914="",$J914&lt;&gt;"Supplier"),0,F914*P914+G914*Q914)</f>
        <v>0</v>
      </c>
      <c r="S914" s="26" t="n">
        <f aca="false">IF(OR($D914="",$J914&lt;&gt;"Own"),0,IFERROR((F914+G914*Settings!$B$13)*INDEX(Workers!$V$5:$V$2004,MATCH($D914,Workers!$A$5:$A$2004,0)),0))</f>
        <v>0</v>
      </c>
      <c r="T914" s="26" t="str">
        <f aca="false">IF($D914="","",O914-R914-S914)</f>
        <v/>
      </c>
    </row>
    <row r="915" customFormat="false" ht="15" hidden="false" customHeight="false" outlineLevel="0" collapsed="false">
      <c r="I915" s="24" t="str">
        <f aca="false">IF($D915="","",IFERROR(INDEX(Workers!$B$5:$B$2004,MATCH($D915,Workers!$A$5:$A$2004,0)),"NOT FOUND"))</f>
        <v/>
      </c>
      <c r="J915" s="24" t="str">
        <f aca="false">IF($D915="","",IFERROR(INDEX(Workers!$C$5:$C$2004,MATCH($D915,Workers!$A$5:$A$2004,0)),""))</f>
        <v/>
      </c>
      <c r="K915" s="24" t="str">
        <f aca="false">IF($D915="","",IFERROR(IF(INDEX(Workers!$D$5:$D$2004,MATCH($D915,Workers!$A$5:$A$2004,0))=0,"",INDEX(Workers!$D$5:$D$2004,MATCH($D915,Workers!$A$5:$A$2004,0))),""))</f>
        <v/>
      </c>
      <c r="L915" s="24" t="str">
        <f aca="false">IF($D915="","",IFERROR(INDEX(Workers!$E$5:$E$2004,MATCH($D915,Workers!$A$5:$A$2004,0)),""))</f>
        <v/>
      </c>
      <c r="M915" s="26" t="str">
        <f aca="false">IF($D915="","",IFERROR(INDEX(ClientRates!$D$5:$D$500,MATCH($B915&amp;"|"&amp;$L915,ClientRates!$A$5:$A$500,0)),0))</f>
        <v/>
      </c>
      <c r="N915" s="26" t="str">
        <f aca="false">IF($D915="","",IFERROR(INDEX(ClientRates!$E$5:$E$500,MATCH($B915&amp;"|"&amp;$L915,ClientRates!$A$5:$A$500,0)),0))</f>
        <v/>
      </c>
      <c r="O915" s="26" t="str">
        <f aca="false">IF($D915="","",F915*M915+G915*N915)</f>
        <v/>
      </c>
      <c r="P915" s="26" t="str">
        <f aca="false">IF(OR($D915="",$J915&lt;&gt;"Supplier"),"",IFERROR(INDEX(SupplierRates!$D$5:$D$500,MATCH($K915&amp;"|"&amp;$L915,SupplierRates!$A$5:$A$500,0)),0))</f>
        <v/>
      </c>
      <c r="Q915" s="26" t="str">
        <f aca="false">IF(OR($D915="",$J915&lt;&gt;"Supplier"),"",IFERROR(INDEX(SupplierRates!$E$5:$E$500,MATCH($K915&amp;"|"&amp;$L915,SupplierRates!$A$5:$A$500,0)),0))</f>
        <v/>
      </c>
      <c r="R915" s="26" t="n">
        <f aca="false">IF(OR($D915="",$J915&lt;&gt;"Supplier"),0,F915*P915+G915*Q915)</f>
        <v>0</v>
      </c>
      <c r="S915" s="26" t="n">
        <f aca="false">IF(OR($D915="",$J915&lt;&gt;"Own"),0,IFERROR((F915+G915*Settings!$B$13)*INDEX(Workers!$V$5:$V$2004,MATCH($D915,Workers!$A$5:$A$2004,0)),0))</f>
        <v>0</v>
      </c>
      <c r="T915" s="26" t="str">
        <f aca="false">IF($D915="","",O915-R915-S915)</f>
        <v/>
      </c>
    </row>
    <row r="916" customFormat="false" ht="15" hidden="false" customHeight="false" outlineLevel="0" collapsed="false">
      <c r="I916" s="24" t="str">
        <f aca="false">IF($D916="","",IFERROR(INDEX(Workers!$B$5:$B$2004,MATCH($D916,Workers!$A$5:$A$2004,0)),"NOT FOUND"))</f>
        <v/>
      </c>
      <c r="J916" s="24" t="str">
        <f aca="false">IF($D916="","",IFERROR(INDEX(Workers!$C$5:$C$2004,MATCH($D916,Workers!$A$5:$A$2004,0)),""))</f>
        <v/>
      </c>
      <c r="K916" s="24" t="str">
        <f aca="false">IF($D916="","",IFERROR(IF(INDEX(Workers!$D$5:$D$2004,MATCH($D916,Workers!$A$5:$A$2004,0))=0,"",INDEX(Workers!$D$5:$D$2004,MATCH($D916,Workers!$A$5:$A$2004,0))),""))</f>
        <v/>
      </c>
      <c r="L916" s="24" t="str">
        <f aca="false">IF($D916="","",IFERROR(INDEX(Workers!$E$5:$E$2004,MATCH($D916,Workers!$A$5:$A$2004,0)),""))</f>
        <v/>
      </c>
      <c r="M916" s="26" t="str">
        <f aca="false">IF($D916="","",IFERROR(INDEX(ClientRates!$D$5:$D$500,MATCH($B916&amp;"|"&amp;$L916,ClientRates!$A$5:$A$500,0)),0))</f>
        <v/>
      </c>
      <c r="N916" s="26" t="str">
        <f aca="false">IF($D916="","",IFERROR(INDEX(ClientRates!$E$5:$E$500,MATCH($B916&amp;"|"&amp;$L916,ClientRates!$A$5:$A$500,0)),0))</f>
        <v/>
      </c>
      <c r="O916" s="26" t="str">
        <f aca="false">IF($D916="","",F916*M916+G916*N916)</f>
        <v/>
      </c>
      <c r="P916" s="26" t="str">
        <f aca="false">IF(OR($D916="",$J916&lt;&gt;"Supplier"),"",IFERROR(INDEX(SupplierRates!$D$5:$D$500,MATCH($K916&amp;"|"&amp;$L916,SupplierRates!$A$5:$A$500,0)),0))</f>
        <v/>
      </c>
      <c r="Q916" s="26" t="str">
        <f aca="false">IF(OR($D916="",$J916&lt;&gt;"Supplier"),"",IFERROR(INDEX(SupplierRates!$E$5:$E$500,MATCH($K916&amp;"|"&amp;$L916,SupplierRates!$A$5:$A$500,0)),0))</f>
        <v/>
      </c>
      <c r="R916" s="26" t="n">
        <f aca="false">IF(OR($D916="",$J916&lt;&gt;"Supplier"),0,F916*P916+G916*Q916)</f>
        <v>0</v>
      </c>
      <c r="S916" s="26" t="n">
        <f aca="false">IF(OR($D916="",$J916&lt;&gt;"Own"),0,IFERROR((F916+G916*Settings!$B$13)*INDEX(Workers!$V$5:$V$2004,MATCH($D916,Workers!$A$5:$A$2004,0)),0))</f>
        <v>0</v>
      </c>
      <c r="T916" s="26" t="str">
        <f aca="false">IF($D916="","",O916-R916-S916)</f>
        <v/>
      </c>
    </row>
    <row r="917" customFormat="false" ht="15" hidden="false" customHeight="false" outlineLevel="0" collapsed="false">
      <c r="I917" s="24" t="str">
        <f aca="false">IF($D917="","",IFERROR(INDEX(Workers!$B$5:$B$2004,MATCH($D917,Workers!$A$5:$A$2004,0)),"NOT FOUND"))</f>
        <v/>
      </c>
      <c r="J917" s="24" t="str">
        <f aca="false">IF($D917="","",IFERROR(INDEX(Workers!$C$5:$C$2004,MATCH($D917,Workers!$A$5:$A$2004,0)),""))</f>
        <v/>
      </c>
      <c r="K917" s="24" t="str">
        <f aca="false">IF($D917="","",IFERROR(IF(INDEX(Workers!$D$5:$D$2004,MATCH($D917,Workers!$A$5:$A$2004,0))=0,"",INDEX(Workers!$D$5:$D$2004,MATCH($D917,Workers!$A$5:$A$2004,0))),""))</f>
        <v/>
      </c>
      <c r="L917" s="24" t="str">
        <f aca="false">IF($D917="","",IFERROR(INDEX(Workers!$E$5:$E$2004,MATCH($D917,Workers!$A$5:$A$2004,0)),""))</f>
        <v/>
      </c>
      <c r="M917" s="26" t="str">
        <f aca="false">IF($D917="","",IFERROR(INDEX(ClientRates!$D$5:$D$500,MATCH($B917&amp;"|"&amp;$L917,ClientRates!$A$5:$A$500,0)),0))</f>
        <v/>
      </c>
      <c r="N917" s="26" t="str">
        <f aca="false">IF($D917="","",IFERROR(INDEX(ClientRates!$E$5:$E$500,MATCH($B917&amp;"|"&amp;$L917,ClientRates!$A$5:$A$500,0)),0))</f>
        <v/>
      </c>
      <c r="O917" s="26" t="str">
        <f aca="false">IF($D917="","",F917*M917+G917*N917)</f>
        <v/>
      </c>
      <c r="P917" s="26" t="str">
        <f aca="false">IF(OR($D917="",$J917&lt;&gt;"Supplier"),"",IFERROR(INDEX(SupplierRates!$D$5:$D$500,MATCH($K917&amp;"|"&amp;$L917,SupplierRates!$A$5:$A$500,0)),0))</f>
        <v/>
      </c>
      <c r="Q917" s="26" t="str">
        <f aca="false">IF(OR($D917="",$J917&lt;&gt;"Supplier"),"",IFERROR(INDEX(SupplierRates!$E$5:$E$500,MATCH($K917&amp;"|"&amp;$L917,SupplierRates!$A$5:$A$500,0)),0))</f>
        <v/>
      </c>
      <c r="R917" s="26" t="n">
        <f aca="false">IF(OR($D917="",$J917&lt;&gt;"Supplier"),0,F917*P917+G917*Q917)</f>
        <v>0</v>
      </c>
      <c r="S917" s="26" t="n">
        <f aca="false">IF(OR($D917="",$J917&lt;&gt;"Own"),0,IFERROR((F917+G917*Settings!$B$13)*INDEX(Workers!$V$5:$V$2004,MATCH($D917,Workers!$A$5:$A$2004,0)),0))</f>
        <v>0</v>
      </c>
      <c r="T917" s="26" t="str">
        <f aca="false">IF($D917="","",O917-R917-S917)</f>
        <v/>
      </c>
    </row>
    <row r="918" customFormat="false" ht="15" hidden="false" customHeight="false" outlineLevel="0" collapsed="false">
      <c r="I918" s="24" t="str">
        <f aca="false">IF($D918="","",IFERROR(INDEX(Workers!$B$5:$B$2004,MATCH($D918,Workers!$A$5:$A$2004,0)),"NOT FOUND"))</f>
        <v/>
      </c>
      <c r="J918" s="24" t="str">
        <f aca="false">IF($D918="","",IFERROR(INDEX(Workers!$C$5:$C$2004,MATCH($D918,Workers!$A$5:$A$2004,0)),""))</f>
        <v/>
      </c>
      <c r="K918" s="24" t="str">
        <f aca="false">IF($D918="","",IFERROR(IF(INDEX(Workers!$D$5:$D$2004,MATCH($D918,Workers!$A$5:$A$2004,0))=0,"",INDEX(Workers!$D$5:$D$2004,MATCH($D918,Workers!$A$5:$A$2004,0))),""))</f>
        <v/>
      </c>
      <c r="L918" s="24" t="str">
        <f aca="false">IF($D918="","",IFERROR(INDEX(Workers!$E$5:$E$2004,MATCH($D918,Workers!$A$5:$A$2004,0)),""))</f>
        <v/>
      </c>
      <c r="M918" s="26" t="str">
        <f aca="false">IF($D918="","",IFERROR(INDEX(ClientRates!$D$5:$D$500,MATCH($B918&amp;"|"&amp;$L918,ClientRates!$A$5:$A$500,0)),0))</f>
        <v/>
      </c>
      <c r="N918" s="26" t="str">
        <f aca="false">IF($D918="","",IFERROR(INDEX(ClientRates!$E$5:$E$500,MATCH($B918&amp;"|"&amp;$L918,ClientRates!$A$5:$A$500,0)),0))</f>
        <v/>
      </c>
      <c r="O918" s="26" t="str">
        <f aca="false">IF($D918="","",F918*M918+G918*N918)</f>
        <v/>
      </c>
      <c r="P918" s="26" t="str">
        <f aca="false">IF(OR($D918="",$J918&lt;&gt;"Supplier"),"",IFERROR(INDEX(SupplierRates!$D$5:$D$500,MATCH($K918&amp;"|"&amp;$L918,SupplierRates!$A$5:$A$500,0)),0))</f>
        <v/>
      </c>
      <c r="Q918" s="26" t="str">
        <f aca="false">IF(OR($D918="",$J918&lt;&gt;"Supplier"),"",IFERROR(INDEX(SupplierRates!$E$5:$E$500,MATCH($K918&amp;"|"&amp;$L918,SupplierRates!$A$5:$A$500,0)),0))</f>
        <v/>
      </c>
      <c r="R918" s="26" t="n">
        <f aca="false">IF(OR($D918="",$J918&lt;&gt;"Supplier"),0,F918*P918+G918*Q918)</f>
        <v>0</v>
      </c>
      <c r="S918" s="26" t="n">
        <f aca="false">IF(OR($D918="",$J918&lt;&gt;"Own"),0,IFERROR((F918+G918*Settings!$B$13)*INDEX(Workers!$V$5:$V$2004,MATCH($D918,Workers!$A$5:$A$2004,0)),0))</f>
        <v>0</v>
      </c>
      <c r="T918" s="26" t="str">
        <f aca="false">IF($D918="","",O918-R918-S918)</f>
        <v/>
      </c>
    </row>
    <row r="919" customFormat="false" ht="15" hidden="false" customHeight="false" outlineLevel="0" collapsed="false">
      <c r="I919" s="24" t="str">
        <f aca="false">IF($D919="","",IFERROR(INDEX(Workers!$B$5:$B$2004,MATCH($D919,Workers!$A$5:$A$2004,0)),"NOT FOUND"))</f>
        <v/>
      </c>
      <c r="J919" s="24" t="str">
        <f aca="false">IF($D919="","",IFERROR(INDEX(Workers!$C$5:$C$2004,MATCH($D919,Workers!$A$5:$A$2004,0)),""))</f>
        <v/>
      </c>
      <c r="K919" s="24" t="str">
        <f aca="false">IF($D919="","",IFERROR(IF(INDEX(Workers!$D$5:$D$2004,MATCH($D919,Workers!$A$5:$A$2004,0))=0,"",INDEX(Workers!$D$5:$D$2004,MATCH($D919,Workers!$A$5:$A$2004,0))),""))</f>
        <v/>
      </c>
      <c r="L919" s="24" t="str">
        <f aca="false">IF($D919="","",IFERROR(INDEX(Workers!$E$5:$E$2004,MATCH($D919,Workers!$A$5:$A$2004,0)),""))</f>
        <v/>
      </c>
      <c r="M919" s="26" t="str">
        <f aca="false">IF($D919="","",IFERROR(INDEX(ClientRates!$D$5:$D$500,MATCH($B919&amp;"|"&amp;$L919,ClientRates!$A$5:$A$500,0)),0))</f>
        <v/>
      </c>
      <c r="N919" s="26" t="str">
        <f aca="false">IF($D919="","",IFERROR(INDEX(ClientRates!$E$5:$E$500,MATCH($B919&amp;"|"&amp;$L919,ClientRates!$A$5:$A$500,0)),0))</f>
        <v/>
      </c>
      <c r="O919" s="26" t="str">
        <f aca="false">IF($D919="","",F919*M919+G919*N919)</f>
        <v/>
      </c>
      <c r="P919" s="26" t="str">
        <f aca="false">IF(OR($D919="",$J919&lt;&gt;"Supplier"),"",IFERROR(INDEX(SupplierRates!$D$5:$D$500,MATCH($K919&amp;"|"&amp;$L919,SupplierRates!$A$5:$A$500,0)),0))</f>
        <v/>
      </c>
      <c r="Q919" s="26" t="str">
        <f aca="false">IF(OR($D919="",$J919&lt;&gt;"Supplier"),"",IFERROR(INDEX(SupplierRates!$E$5:$E$500,MATCH($K919&amp;"|"&amp;$L919,SupplierRates!$A$5:$A$500,0)),0))</f>
        <v/>
      </c>
      <c r="R919" s="26" t="n">
        <f aca="false">IF(OR($D919="",$J919&lt;&gt;"Supplier"),0,F919*P919+G919*Q919)</f>
        <v>0</v>
      </c>
      <c r="S919" s="26" t="n">
        <f aca="false">IF(OR($D919="",$J919&lt;&gt;"Own"),0,IFERROR((F919+G919*Settings!$B$13)*INDEX(Workers!$V$5:$V$2004,MATCH($D919,Workers!$A$5:$A$2004,0)),0))</f>
        <v>0</v>
      </c>
      <c r="T919" s="26" t="str">
        <f aca="false">IF($D919="","",O919-R919-S919)</f>
        <v/>
      </c>
    </row>
    <row r="920" customFormat="false" ht="15" hidden="false" customHeight="false" outlineLevel="0" collapsed="false">
      <c r="I920" s="24" t="str">
        <f aca="false">IF($D920="","",IFERROR(INDEX(Workers!$B$5:$B$2004,MATCH($D920,Workers!$A$5:$A$2004,0)),"NOT FOUND"))</f>
        <v/>
      </c>
      <c r="J920" s="24" t="str">
        <f aca="false">IF($D920="","",IFERROR(INDEX(Workers!$C$5:$C$2004,MATCH($D920,Workers!$A$5:$A$2004,0)),""))</f>
        <v/>
      </c>
      <c r="K920" s="24" t="str">
        <f aca="false">IF($D920="","",IFERROR(IF(INDEX(Workers!$D$5:$D$2004,MATCH($D920,Workers!$A$5:$A$2004,0))=0,"",INDEX(Workers!$D$5:$D$2004,MATCH($D920,Workers!$A$5:$A$2004,0))),""))</f>
        <v/>
      </c>
      <c r="L920" s="24" t="str">
        <f aca="false">IF($D920="","",IFERROR(INDEX(Workers!$E$5:$E$2004,MATCH($D920,Workers!$A$5:$A$2004,0)),""))</f>
        <v/>
      </c>
      <c r="M920" s="26" t="str">
        <f aca="false">IF($D920="","",IFERROR(INDEX(ClientRates!$D$5:$D$500,MATCH($B920&amp;"|"&amp;$L920,ClientRates!$A$5:$A$500,0)),0))</f>
        <v/>
      </c>
      <c r="N920" s="26" t="str">
        <f aca="false">IF($D920="","",IFERROR(INDEX(ClientRates!$E$5:$E$500,MATCH($B920&amp;"|"&amp;$L920,ClientRates!$A$5:$A$500,0)),0))</f>
        <v/>
      </c>
      <c r="O920" s="26" t="str">
        <f aca="false">IF($D920="","",F920*M920+G920*N920)</f>
        <v/>
      </c>
      <c r="P920" s="26" t="str">
        <f aca="false">IF(OR($D920="",$J920&lt;&gt;"Supplier"),"",IFERROR(INDEX(SupplierRates!$D$5:$D$500,MATCH($K920&amp;"|"&amp;$L920,SupplierRates!$A$5:$A$500,0)),0))</f>
        <v/>
      </c>
      <c r="Q920" s="26" t="str">
        <f aca="false">IF(OR($D920="",$J920&lt;&gt;"Supplier"),"",IFERROR(INDEX(SupplierRates!$E$5:$E$500,MATCH($K920&amp;"|"&amp;$L920,SupplierRates!$A$5:$A$500,0)),0))</f>
        <v/>
      </c>
      <c r="R920" s="26" t="n">
        <f aca="false">IF(OR($D920="",$J920&lt;&gt;"Supplier"),0,F920*P920+G920*Q920)</f>
        <v>0</v>
      </c>
      <c r="S920" s="26" t="n">
        <f aca="false">IF(OR($D920="",$J920&lt;&gt;"Own"),0,IFERROR((F920+G920*Settings!$B$13)*INDEX(Workers!$V$5:$V$2004,MATCH($D920,Workers!$A$5:$A$2004,0)),0))</f>
        <v>0</v>
      </c>
      <c r="T920" s="26" t="str">
        <f aca="false">IF($D920="","",O920-R920-S920)</f>
        <v/>
      </c>
    </row>
    <row r="921" customFormat="false" ht="15" hidden="false" customHeight="false" outlineLevel="0" collapsed="false">
      <c r="I921" s="24" t="str">
        <f aca="false">IF($D921="","",IFERROR(INDEX(Workers!$B$5:$B$2004,MATCH($D921,Workers!$A$5:$A$2004,0)),"NOT FOUND"))</f>
        <v/>
      </c>
      <c r="J921" s="24" t="str">
        <f aca="false">IF($D921="","",IFERROR(INDEX(Workers!$C$5:$C$2004,MATCH($D921,Workers!$A$5:$A$2004,0)),""))</f>
        <v/>
      </c>
      <c r="K921" s="24" t="str">
        <f aca="false">IF($D921="","",IFERROR(IF(INDEX(Workers!$D$5:$D$2004,MATCH($D921,Workers!$A$5:$A$2004,0))=0,"",INDEX(Workers!$D$5:$D$2004,MATCH($D921,Workers!$A$5:$A$2004,0))),""))</f>
        <v/>
      </c>
      <c r="L921" s="24" t="str">
        <f aca="false">IF($D921="","",IFERROR(INDEX(Workers!$E$5:$E$2004,MATCH($D921,Workers!$A$5:$A$2004,0)),""))</f>
        <v/>
      </c>
      <c r="M921" s="26" t="str">
        <f aca="false">IF($D921="","",IFERROR(INDEX(ClientRates!$D$5:$D$500,MATCH($B921&amp;"|"&amp;$L921,ClientRates!$A$5:$A$500,0)),0))</f>
        <v/>
      </c>
      <c r="N921" s="26" t="str">
        <f aca="false">IF($D921="","",IFERROR(INDEX(ClientRates!$E$5:$E$500,MATCH($B921&amp;"|"&amp;$L921,ClientRates!$A$5:$A$500,0)),0))</f>
        <v/>
      </c>
      <c r="O921" s="26" t="str">
        <f aca="false">IF($D921="","",F921*M921+G921*N921)</f>
        <v/>
      </c>
      <c r="P921" s="26" t="str">
        <f aca="false">IF(OR($D921="",$J921&lt;&gt;"Supplier"),"",IFERROR(INDEX(SupplierRates!$D$5:$D$500,MATCH($K921&amp;"|"&amp;$L921,SupplierRates!$A$5:$A$500,0)),0))</f>
        <v/>
      </c>
      <c r="Q921" s="26" t="str">
        <f aca="false">IF(OR($D921="",$J921&lt;&gt;"Supplier"),"",IFERROR(INDEX(SupplierRates!$E$5:$E$500,MATCH($K921&amp;"|"&amp;$L921,SupplierRates!$A$5:$A$500,0)),0))</f>
        <v/>
      </c>
      <c r="R921" s="26" t="n">
        <f aca="false">IF(OR($D921="",$J921&lt;&gt;"Supplier"),0,F921*P921+G921*Q921)</f>
        <v>0</v>
      </c>
      <c r="S921" s="26" t="n">
        <f aca="false">IF(OR($D921="",$J921&lt;&gt;"Own"),0,IFERROR((F921+G921*Settings!$B$13)*INDEX(Workers!$V$5:$V$2004,MATCH($D921,Workers!$A$5:$A$2004,0)),0))</f>
        <v>0</v>
      </c>
      <c r="T921" s="26" t="str">
        <f aca="false">IF($D921="","",O921-R921-S921)</f>
        <v/>
      </c>
    </row>
    <row r="922" customFormat="false" ht="15" hidden="false" customHeight="false" outlineLevel="0" collapsed="false">
      <c r="I922" s="24" t="str">
        <f aca="false">IF($D922="","",IFERROR(INDEX(Workers!$B$5:$B$2004,MATCH($D922,Workers!$A$5:$A$2004,0)),"NOT FOUND"))</f>
        <v/>
      </c>
      <c r="J922" s="24" t="str">
        <f aca="false">IF($D922="","",IFERROR(INDEX(Workers!$C$5:$C$2004,MATCH($D922,Workers!$A$5:$A$2004,0)),""))</f>
        <v/>
      </c>
      <c r="K922" s="24" t="str">
        <f aca="false">IF($D922="","",IFERROR(IF(INDEX(Workers!$D$5:$D$2004,MATCH($D922,Workers!$A$5:$A$2004,0))=0,"",INDEX(Workers!$D$5:$D$2004,MATCH($D922,Workers!$A$5:$A$2004,0))),""))</f>
        <v/>
      </c>
      <c r="L922" s="24" t="str">
        <f aca="false">IF($D922="","",IFERROR(INDEX(Workers!$E$5:$E$2004,MATCH($D922,Workers!$A$5:$A$2004,0)),""))</f>
        <v/>
      </c>
      <c r="M922" s="26" t="str">
        <f aca="false">IF($D922="","",IFERROR(INDEX(ClientRates!$D$5:$D$500,MATCH($B922&amp;"|"&amp;$L922,ClientRates!$A$5:$A$500,0)),0))</f>
        <v/>
      </c>
      <c r="N922" s="26" t="str">
        <f aca="false">IF($D922="","",IFERROR(INDEX(ClientRates!$E$5:$E$500,MATCH($B922&amp;"|"&amp;$L922,ClientRates!$A$5:$A$500,0)),0))</f>
        <v/>
      </c>
      <c r="O922" s="26" t="str">
        <f aca="false">IF($D922="","",F922*M922+G922*N922)</f>
        <v/>
      </c>
      <c r="P922" s="26" t="str">
        <f aca="false">IF(OR($D922="",$J922&lt;&gt;"Supplier"),"",IFERROR(INDEX(SupplierRates!$D$5:$D$500,MATCH($K922&amp;"|"&amp;$L922,SupplierRates!$A$5:$A$500,0)),0))</f>
        <v/>
      </c>
      <c r="Q922" s="26" t="str">
        <f aca="false">IF(OR($D922="",$J922&lt;&gt;"Supplier"),"",IFERROR(INDEX(SupplierRates!$E$5:$E$500,MATCH($K922&amp;"|"&amp;$L922,SupplierRates!$A$5:$A$500,0)),0))</f>
        <v/>
      </c>
      <c r="R922" s="26" t="n">
        <f aca="false">IF(OR($D922="",$J922&lt;&gt;"Supplier"),0,F922*P922+G922*Q922)</f>
        <v>0</v>
      </c>
      <c r="S922" s="26" t="n">
        <f aca="false">IF(OR($D922="",$J922&lt;&gt;"Own"),0,IFERROR((F922+G922*Settings!$B$13)*INDEX(Workers!$V$5:$V$2004,MATCH($D922,Workers!$A$5:$A$2004,0)),0))</f>
        <v>0</v>
      </c>
      <c r="T922" s="26" t="str">
        <f aca="false">IF($D922="","",O922-R922-S922)</f>
        <v/>
      </c>
    </row>
    <row r="923" customFormat="false" ht="15" hidden="false" customHeight="false" outlineLevel="0" collapsed="false">
      <c r="I923" s="24" t="str">
        <f aca="false">IF($D923="","",IFERROR(INDEX(Workers!$B$5:$B$2004,MATCH($D923,Workers!$A$5:$A$2004,0)),"NOT FOUND"))</f>
        <v/>
      </c>
      <c r="J923" s="24" t="str">
        <f aca="false">IF($D923="","",IFERROR(INDEX(Workers!$C$5:$C$2004,MATCH($D923,Workers!$A$5:$A$2004,0)),""))</f>
        <v/>
      </c>
      <c r="K923" s="24" t="str">
        <f aca="false">IF($D923="","",IFERROR(IF(INDEX(Workers!$D$5:$D$2004,MATCH($D923,Workers!$A$5:$A$2004,0))=0,"",INDEX(Workers!$D$5:$D$2004,MATCH($D923,Workers!$A$5:$A$2004,0))),""))</f>
        <v/>
      </c>
      <c r="L923" s="24" t="str">
        <f aca="false">IF($D923="","",IFERROR(INDEX(Workers!$E$5:$E$2004,MATCH($D923,Workers!$A$5:$A$2004,0)),""))</f>
        <v/>
      </c>
      <c r="M923" s="26" t="str">
        <f aca="false">IF($D923="","",IFERROR(INDEX(ClientRates!$D$5:$D$500,MATCH($B923&amp;"|"&amp;$L923,ClientRates!$A$5:$A$500,0)),0))</f>
        <v/>
      </c>
      <c r="N923" s="26" t="str">
        <f aca="false">IF($D923="","",IFERROR(INDEX(ClientRates!$E$5:$E$500,MATCH($B923&amp;"|"&amp;$L923,ClientRates!$A$5:$A$500,0)),0))</f>
        <v/>
      </c>
      <c r="O923" s="26" t="str">
        <f aca="false">IF($D923="","",F923*M923+G923*N923)</f>
        <v/>
      </c>
      <c r="P923" s="26" t="str">
        <f aca="false">IF(OR($D923="",$J923&lt;&gt;"Supplier"),"",IFERROR(INDEX(SupplierRates!$D$5:$D$500,MATCH($K923&amp;"|"&amp;$L923,SupplierRates!$A$5:$A$500,0)),0))</f>
        <v/>
      </c>
      <c r="Q923" s="26" t="str">
        <f aca="false">IF(OR($D923="",$J923&lt;&gt;"Supplier"),"",IFERROR(INDEX(SupplierRates!$E$5:$E$500,MATCH($K923&amp;"|"&amp;$L923,SupplierRates!$A$5:$A$500,0)),0))</f>
        <v/>
      </c>
      <c r="R923" s="26" t="n">
        <f aca="false">IF(OR($D923="",$J923&lt;&gt;"Supplier"),0,F923*P923+G923*Q923)</f>
        <v>0</v>
      </c>
      <c r="S923" s="26" t="n">
        <f aca="false">IF(OR($D923="",$J923&lt;&gt;"Own"),0,IFERROR((F923+G923*Settings!$B$13)*INDEX(Workers!$V$5:$V$2004,MATCH($D923,Workers!$A$5:$A$2004,0)),0))</f>
        <v>0</v>
      </c>
      <c r="T923" s="26" t="str">
        <f aca="false">IF($D923="","",O923-R923-S923)</f>
        <v/>
      </c>
    </row>
    <row r="924" customFormat="false" ht="15" hidden="false" customHeight="false" outlineLevel="0" collapsed="false">
      <c r="I924" s="24" t="str">
        <f aca="false">IF($D924="","",IFERROR(INDEX(Workers!$B$5:$B$2004,MATCH($D924,Workers!$A$5:$A$2004,0)),"NOT FOUND"))</f>
        <v/>
      </c>
      <c r="J924" s="24" t="str">
        <f aca="false">IF($D924="","",IFERROR(INDEX(Workers!$C$5:$C$2004,MATCH($D924,Workers!$A$5:$A$2004,0)),""))</f>
        <v/>
      </c>
      <c r="K924" s="24" t="str">
        <f aca="false">IF($D924="","",IFERROR(IF(INDEX(Workers!$D$5:$D$2004,MATCH($D924,Workers!$A$5:$A$2004,0))=0,"",INDEX(Workers!$D$5:$D$2004,MATCH($D924,Workers!$A$5:$A$2004,0))),""))</f>
        <v/>
      </c>
      <c r="L924" s="24" t="str">
        <f aca="false">IF($D924="","",IFERROR(INDEX(Workers!$E$5:$E$2004,MATCH($D924,Workers!$A$5:$A$2004,0)),""))</f>
        <v/>
      </c>
      <c r="M924" s="26" t="str">
        <f aca="false">IF($D924="","",IFERROR(INDEX(ClientRates!$D$5:$D$500,MATCH($B924&amp;"|"&amp;$L924,ClientRates!$A$5:$A$500,0)),0))</f>
        <v/>
      </c>
      <c r="N924" s="26" t="str">
        <f aca="false">IF($D924="","",IFERROR(INDEX(ClientRates!$E$5:$E$500,MATCH($B924&amp;"|"&amp;$L924,ClientRates!$A$5:$A$500,0)),0))</f>
        <v/>
      </c>
      <c r="O924" s="26" t="str">
        <f aca="false">IF($D924="","",F924*M924+G924*N924)</f>
        <v/>
      </c>
      <c r="P924" s="26" t="str">
        <f aca="false">IF(OR($D924="",$J924&lt;&gt;"Supplier"),"",IFERROR(INDEX(SupplierRates!$D$5:$D$500,MATCH($K924&amp;"|"&amp;$L924,SupplierRates!$A$5:$A$500,0)),0))</f>
        <v/>
      </c>
      <c r="Q924" s="26" t="str">
        <f aca="false">IF(OR($D924="",$J924&lt;&gt;"Supplier"),"",IFERROR(INDEX(SupplierRates!$E$5:$E$500,MATCH($K924&amp;"|"&amp;$L924,SupplierRates!$A$5:$A$500,0)),0))</f>
        <v/>
      </c>
      <c r="R924" s="26" t="n">
        <f aca="false">IF(OR($D924="",$J924&lt;&gt;"Supplier"),0,F924*P924+G924*Q924)</f>
        <v>0</v>
      </c>
      <c r="S924" s="26" t="n">
        <f aca="false">IF(OR($D924="",$J924&lt;&gt;"Own"),0,IFERROR((F924+G924*Settings!$B$13)*INDEX(Workers!$V$5:$V$2004,MATCH($D924,Workers!$A$5:$A$2004,0)),0))</f>
        <v>0</v>
      </c>
      <c r="T924" s="26" t="str">
        <f aca="false">IF($D924="","",O924-R924-S924)</f>
        <v/>
      </c>
    </row>
    <row r="925" customFormat="false" ht="15" hidden="false" customHeight="false" outlineLevel="0" collapsed="false">
      <c r="I925" s="24" t="str">
        <f aca="false">IF($D925="","",IFERROR(INDEX(Workers!$B$5:$B$2004,MATCH($D925,Workers!$A$5:$A$2004,0)),"NOT FOUND"))</f>
        <v/>
      </c>
      <c r="J925" s="24" t="str">
        <f aca="false">IF($D925="","",IFERROR(INDEX(Workers!$C$5:$C$2004,MATCH($D925,Workers!$A$5:$A$2004,0)),""))</f>
        <v/>
      </c>
      <c r="K925" s="24" t="str">
        <f aca="false">IF($D925="","",IFERROR(IF(INDEX(Workers!$D$5:$D$2004,MATCH($D925,Workers!$A$5:$A$2004,0))=0,"",INDEX(Workers!$D$5:$D$2004,MATCH($D925,Workers!$A$5:$A$2004,0))),""))</f>
        <v/>
      </c>
      <c r="L925" s="24" t="str">
        <f aca="false">IF($D925="","",IFERROR(INDEX(Workers!$E$5:$E$2004,MATCH($D925,Workers!$A$5:$A$2004,0)),""))</f>
        <v/>
      </c>
      <c r="M925" s="26" t="str">
        <f aca="false">IF($D925="","",IFERROR(INDEX(ClientRates!$D$5:$D$500,MATCH($B925&amp;"|"&amp;$L925,ClientRates!$A$5:$A$500,0)),0))</f>
        <v/>
      </c>
      <c r="N925" s="26" t="str">
        <f aca="false">IF($D925="","",IFERROR(INDEX(ClientRates!$E$5:$E$500,MATCH($B925&amp;"|"&amp;$L925,ClientRates!$A$5:$A$500,0)),0))</f>
        <v/>
      </c>
      <c r="O925" s="26" t="str">
        <f aca="false">IF($D925="","",F925*M925+G925*N925)</f>
        <v/>
      </c>
      <c r="P925" s="26" t="str">
        <f aca="false">IF(OR($D925="",$J925&lt;&gt;"Supplier"),"",IFERROR(INDEX(SupplierRates!$D$5:$D$500,MATCH($K925&amp;"|"&amp;$L925,SupplierRates!$A$5:$A$500,0)),0))</f>
        <v/>
      </c>
      <c r="Q925" s="26" t="str">
        <f aca="false">IF(OR($D925="",$J925&lt;&gt;"Supplier"),"",IFERROR(INDEX(SupplierRates!$E$5:$E$500,MATCH($K925&amp;"|"&amp;$L925,SupplierRates!$A$5:$A$500,0)),0))</f>
        <v/>
      </c>
      <c r="R925" s="26" t="n">
        <f aca="false">IF(OR($D925="",$J925&lt;&gt;"Supplier"),0,F925*P925+G925*Q925)</f>
        <v>0</v>
      </c>
      <c r="S925" s="26" t="n">
        <f aca="false">IF(OR($D925="",$J925&lt;&gt;"Own"),0,IFERROR((F925+G925*Settings!$B$13)*INDEX(Workers!$V$5:$V$2004,MATCH($D925,Workers!$A$5:$A$2004,0)),0))</f>
        <v>0</v>
      </c>
      <c r="T925" s="26" t="str">
        <f aca="false">IF($D925="","",O925-R925-S925)</f>
        <v/>
      </c>
    </row>
    <row r="926" customFormat="false" ht="15" hidden="false" customHeight="false" outlineLevel="0" collapsed="false">
      <c r="I926" s="24" t="str">
        <f aca="false">IF($D926="","",IFERROR(INDEX(Workers!$B$5:$B$2004,MATCH($D926,Workers!$A$5:$A$2004,0)),"NOT FOUND"))</f>
        <v/>
      </c>
      <c r="J926" s="24" t="str">
        <f aca="false">IF($D926="","",IFERROR(INDEX(Workers!$C$5:$C$2004,MATCH($D926,Workers!$A$5:$A$2004,0)),""))</f>
        <v/>
      </c>
      <c r="K926" s="24" t="str">
        <f aca="false">IF($D926="","",IFERROR(IF(INDEX(Workers!$D$5:$D$2004,MATCH($D926,Workers!$A$5:$A$2004,0))=0,"",INDEX(Workers!$D$5:$D$2004,MATCH($D926,Workers!$A$5:$A$2004,0))),""))</f>
        <v/>
      </c>
      <c r="L926" s="24" t="str">
        <f aca="false">IF($D926="","",IFERROR(INDEX(Workers!$E$5:$E$2004,MATCH($D926,Workers!$A$5:$A$2004,0)),""))</f>
        <v/>
      </c>
      <c r="M926" s="26" t="str">
        <f aca="false">IF($D926="","",IFERROR(INDEX(ClientRates!$D$5:$D$500,MATCH($B926&amp;"|"&amp;$L926,ClientRates!$A$5:$A$500,0)),0))</f>
        <v/>
      </c>
      <c r="N926" s="26" t="str">
        <f aca="false">IF($D926="","",IFERROR(INDEX(ClientRates!$E$5:$E$500,MATCH($B926&amp;"|"&amp;$L926,ClientRates!$A$5:$A$500,0)),0))</f>
        <v/>
      </c>
      <c r="O926" s="26" t="str">
        <f aca="false">IF($D926="","",F926*M926+G926*N926)</f>
        <v/>
      </c>
      <c r="P926" s="26" t="str">
        <f aca="false">IF(OR($D926="",$J926&lt;&gt;"Supplier"),"",IFERROR(INDEX(SupplierRates!$D$5:$D$500,MATCH($K926&amp;"|"&amp;$L926,SupplierRates!$A$5:$A$500,0)),0))</f>
        <v/>
      </c>
      <c r="Q926" s="26" t="str">
        <f aca="false">IF(OR($D926="",$J926&lt;&gt;"Supplier"),"",IFERROR(INDEX(SupplierRates!$E$5:$E$500,MATCH($K926&amp;"|"&amp;$L926,SupplierRates!$A$5:$A$500,0)),0))</f>
        <v/>
      </c>
      <c r="R926" s="26" t="n">
        <f aca="false">IF(OR($D926="",$J926&lt;&gt;"Supplier"),0,F926*P926+G926*Q926)</f>
        <v>0</v>
      </c>
      <c r="S926" s="26" t="n">
        <f aca="false">IF(OR($D926="",$J926&lt;&gt;"Own"),0,IFERROR((F926+G926*Settings!$B$13)*INDEX(Workers!$V$5:$V$2004,MATCH($D926,Workers!$A$5:$A$2004,0)),0))</f>
        <v>0</v>
      </c>
      <c r="T926" s="26" t="str">
        <f aca="false">IF($D926="","",O926-R926-S926)</f>
        <v/>
      </c>
    </row>
    <row r="927" customFormat="false" ht="15" hidden="false" customHeight="false" outlineLevel="0" collapsed="false">
      <c r="I927" s="24" t="str">
        <f aca="false">IF($D927="","",IFERROR(INDEX(Workers!$B$5:$B$2004,MATCH($D927,Workers!$A$5:$A$2004,0)),"NOT FOUND"))</f>
        <v/>
      </c>
      <c r="J927" s="24" t="str">
        <f aca="false">IF($D927="","",IFERROR(INDEX(Workers!$C$5:$C$2004,MATCH($D927,Workers!$A$5:$A$2004,0)),""))</f>
        <v/>
      </c>
      <c r="K927" s="24" t="str">
        <f aca="false">IF($D927="","",IFERROR(IF(INDEX(Workers!$D$5:$D$2004,MATCH($D927,Workers!$A$5:$A$2004,0))=0,"",INDEX(Workers!$D$5:$D$2004,MATCH($D927,Workers!$A$5:$A$2004,0))),""))</f>
        <v/>
      </c>
      <c r="L927" s="24" t="str">
        <f aca="false">IF($D927="","",IFERROR(INDEX(Workers!$E$5:$E$2004,MATCH($D927,Workers!$A$5:$A$2004,0)),""))</f>
        <v/>
      </c>
      <c r="M927" s="26" t="str">
        <f aca="false">IF($D927="","",IFERROR(INDEX(ClientRates!$D$5:$D$500,MATCH($B927&amp;"|"&amp;$L927,ClientRates!$A$5:$A$500,0)),0))</f>
        <v/>
      </c>
      <c r="N927" s="26" t="str">
        <f aca="false">IF($D927="","",IFERROR(INDEX(ClientRates!$E$5:$E$500,MATCH($B927&amp;"|"&amp;$L927,ClientRates!$A$5:$A$500,0)),0))</f>
        <v/>
      </c>
      <c r="O927" s="26" t="str">
        <f aca="false">IF($D927="","",F927*M927+G927*N927)</f>
        <v/>
      </c>
      <c r="P927" s="26" t="str">
        <f aca="false">IF(OR($D927="",$J927&lt;&gt;"Supplier"),"",IFERROR(INDEX(SupplierRates!$D$5:$D$500,MATCH($K927&amp;"|"&amp;$L927,SupplierRates!$A$5:$A$500,0)),0))</f>
        <v/>
      </c>
      <c r="Q927" s="26" t="str">
        <f aca="false">IF(OR($D927="",$J927&lt;&gt;"Supplier"),"",IFERROR(INDEX(SupplierRates!$E$5:$E$500,MATCH($K927&amp;"|"&amp;$L927,SupplierRates!$A$5:$A$500,0)),0))</f>
        <v/>
      </c>
      <c r="R927" s="26" t="n">
        <f aca="false">IF(OR($D927="",$J927&lt;&gt;"Supplier"),0,F927*P927+G927*Q927)</f>
        <v>0</v>
      </c>
      <c r="S927" s="26" t="n">
        <f aca="false">IF(OR($D927="",$J927&lt;&gt;"Own"),0,IFERROR((F927+G927*Settings!$B$13)*INDEX(Workers!$V$5:$V$2004,MATCH($D927,Workers!$A$5:$A$2004,0)),0))</f>
        <v>0</v>
      </c>
      <c r="T927" s="26" t="str">
        <f aca="false">IF($D927="","",O927-R927-S927)</f>
        <v/>
      </c>
    </row>
    <row r="928" customFormat="false" ht="15" hidden="false" customHeight="false" outlineLevel="0" collapsed="false">
      <c r="I928" s="24" t="str">
        <f aca="false">IF($D928="","",IFERROR(INDEX(Workers!$B$5:$B$2004,MATCH($D928,Workers!$A$5:$A$2004,0)),"NOT FOUND"))</f>
        <v/>
      </c>
      <c r="J928" s="24" t="str">
        <f aca="false">IF($D928="","",IFERROR(INDEX(Workers!$C$5:$C$2004,MATCH($D928,Workers!$A$5:$A$2004,0)),""))</f>
        <v/>
      </c>
      <c r="K928" s="24" t="str">
        <f aca="false">IF($D928="","",IFERROR(IF(INDEX(Workers!$D$5:$D$2004,MATCH($D928,Workers!$A$5:$A$2004,0))=0,"",INDEX(Workers!$D$5:$D$2004,MATCH($D928,Workers!$A$5:$A$2004,0))),""))</f>
        <v/>
      </c>
      <c r="L928" s="24" t="str">
        <f aca="false">IF($D928="","",IFERROR(INDEX(Workers!$E$5:$E$2004,MATCH($D928,Workers!$A$5:$A$2004,0)),""))</f>
        <v/>
      </c>
      <c r="M928" s="26" t="str">
        <f aca="false">IF($D928="","",IFERROR(INDEX(ClientRates!$D$5:$D$500,MATCH($B928&amp;"|"&amp;$L928,ClientRates!$A$5:$A$500,0)),0))</f>
        <v/>
      </c>
      <c r="N928" s="26" t="str">
        <f aca="false">IF($D928="","",IFERROR(INDEX(ClientRates!$E$5:$E$500,MATCH($B928&amp;"|"&amp;$L928,ClientRates!$A$5:$A$500,0)),0))</f>
        <v/>
      </c>
      <c r="O928" s="26" t="str">
        <f aca="false">IF($D928="","",F928*M928+G928*N928)</f>
        <v/>
      </c>
      <c r="P928" s="26" t="str">
        <f aca="false">IF(OR($D928="",$J928&lt;&gt;"Supplier"),"",IFERROR(INDEX(SupplierRates!$D$5:$D$500,MATCH($K928&amp;"|"&amp;$L928,SupplierRates!$A$5:$A$500,0)),0))</f>
        <v/>
      </c>
      <c r="Q928" s="26" t="str">
        <f aca="false">IF(OR($D928="",$J928&lt;&gt;"Supplier"),"",IFERROR(INDEX(SupplierRates!$E$5:$E$500,MATCH($K928&amp;"|"&amp;$L928,SupplierRates!$A$5:$A$500,0)),0))</f>
        <v/>
      </c>
      <c r="R928" s="26" t="n">
        <f aca="false">IF(OR($D928="",$J928&lt;&gt;"Supplier"),0,F928*P928+G928*Q928)</f>
        <v>0</v>
      </c>
      <c r="S928" s="26" t="n">
        <f aca="false">IF(OR($D928="",$J928&lt;&gt;"Own"),0,IFERROR((F928+G928*Settings!$B$13)*INDEX(Workers!$V$5:$V$2004,MATCH($D928,Workers!$A$5:$A$2004,0)),0))</f>
        <v>0</v>
      </c>
      <c r="T928" s="26" t="str">
        <f aca="false">IF($D928="","",O928-R928-S928)</f>
        <v/>
      </c>
    </row>
    <row r="929" customFormat="false" ht="15" hidden="false" customHeight="false" outlineLevel="0" collapsed="false">
      <c r="I929" s="24" t="str">
        <f aca="false">IF($D929="","",IFERROR(INDEX(Workers!$B$5:$B$2004,MATCH($D929,Workers!$A$5:$A$2004,0)),"NOT FOUND"))</f>
        <v/>
      </c>
      <c r="J929" s="24" t="str">
        <f aca="false">IF($D929="","",IFERROR(INDEX(Workers!$C$5:$C$2004,MATCH($D929,Workers!$A$5:$A$2004,0)),""))</f>
        <v/>
      </c>
      <c r="K929" s="24" t="str">
        <f aca="false">IF($D929="","",IFERROR(IF(INDEX(Workers!$D$5:$D$2004,MATCH($D929,Workers!$A$5:$A$2004,0))=0,"",INDEX(Workers!$D$5:$D$2004,MATCH($D929,Workers!$A$5:$A$2004,0))),""))</f>
        <v/>
      </c>
      <c r="L929" s="24" t="str">
        <f aca="false">IF($D929="","",IFERROR(INDEX(Workers!$E$5:$E$2004,MATCH($D929,Workers!$A$5:$A$2004,0)),""))</f>
        <v/>
      </c>
      <c r="M929" s="26" t="str">
        <f aca="false">IF($D929="","",IFERROR(INDEX(ClientRates!$D$5:$D$500,MATCH($B929&amp;"|"&amp;$L929,ClientRates!$A$5:$A$500,0)),0))</f>
        <v/>
      </c>
      <c r="N929" s="26" t="str">
        <f aca="false">IF($D929="","",IFERROR(INDEX(ClientRates!$E$5:$E$500,MATCH($B929&amp;"|"&amp;$L929,ClientRates!$A$5:$A$500,0)),0))</f>
        <v/>
      </c>
      <c r="O929" s="26" t="str">
        <f aca="false">IF($D929="","",F929*M929+G929*N929)</f>
        <v/>
      </c>
      <c r="P929" s="26" t="str">
        <f aca="false">IF(OR($D929="",$J929&lt;&gt;"Supplier"),"",IFERROR(INDEX(SupplierRates!$D$5:$D$500,MATCH($K929&amp;"|"&amp;$L929,SupplierRates!$A$5:$A$500,0)),0))</f>
        <v/>
      </c>
      <c r="Q929" s="26" t="str">
        <f aca="false">IF(OR($D929="",$J929&lt;&gt;"Supplier"),"",IFERROR(INDEX(SupplierRates!$E$5:$E$500,MATCH($K929&amp;"|"&amp;$L929,SupplierRates!$A$5:$A$500,0)),0))</f>
        <v/>
      </c>
      <c r="R929" s="26" t="n">
        <f aca="false">IF(OR($D929="",$J929&lt;&gt;"Supplier"),0,F929*P929+G929*Q929)</f>
        <v>0</v>
      </c>
      <c r="S929" s="26" t="n">
        <f aca="false">IF(OR($D929="",$J929&lt;&gt;"Own"),0,IFERROR((F929+G929*Settings!$B$13)*INDEX(Workers!$V$5:$V$2004,MATCH($D929,Workers!$A$5:$A$2004,0)),0))</f>
        <v>0</v>
      </c>
      <c r="T929" s="26" t="str">
        <f aca="false">IF($D929="","",O929-R929-S929)</f>
        <v/>
      </c>
    </row>
    <row r="930" customFormat="false" ht="15" hidden="false" customHeight="false" outlineLevel="0" collapsed="false">
      <c r="I930" s="24" t="str">
        <f aca="false">IF($D930="","",IFERROR(INDEX(Workers!$B$5:$B$2004,MATCH($D930,Workers!$A$5:$A$2004,0)),"NOT FOUND"))</f>
        <v/>
      </c>
      <c r="J930" s="24" t="str">
        <f aca="false">IF($D930="","",IFERROR(INDEX(Workers!$C$5:$C$2004,MATCH($D930,Workers!$A$5:$A$2004,0)),""))</f>
        <v/>
      </c>
      <c r="K930" s="24" t="str">
        <f aca="false">IF($D930="","",IFERROR(IF(INDEX(Workers!$D$5:$D$2004,MATCH($D930,Workers!$A$5:$A$2004,0))=0,"",INDEX(Workers!$D$5:$D$2004,MATCH($D930,Workers!$A$5:$A$2004,0))),""))</f>
        <v/>
      </c>
      <c r="L930" s="24" t="str">
        <f aca="false">IF($D930="","",IFERROR(INDEX(Workers!$E$5:$E$2004,MATCH($D930,Workers!$A$5:$A$2004,0)),""))</f>
        <v/>
      </c>
      <c r="M930" s="26" t="str">
        <f aca="false">IF($D930="","",IFERROR(INDEX(ClientRates!$D$5:$D$500,MATCH($B930&amp;"|"&amp;$L930,ClientRates!$A$5:$A$500,0)),0))</f>
        <v/>
      </c>
      <c r="N930" s="26" t="str">
        <f aca="false">IF($D930="","",IFERROR(INDEX(ClientRates!$E$5:$E$500,MATCH($B930&amp;"|"&amp;$L930,ClientRates!$A$5:$A$500,0)),0))</f>
        <v/>
      </c>
      <c r="O930" s="26" t="str">
        <f aca="false">IF($D930="","",F930*M930+G930*N930)</f>
        <v/>
      </c>
      <c r="P930" s="26" t="str">
        <f aca="false">IF(OR($D930="",$J930&lt;&gt;"Supplier"),"",IFERROR(INDEX(SupplierRates!$D$5:$D$500,MATCH($K930&amp;"|"&amp;$L930,SupplierRates!$A$5:$A$500,0)),0))</f>
        <v/>
      </c>
      <c r="Q930" s="26" t="str">
        <f aca="false">IF(OR($D930="",$J930&lt;&gt;"Supplier"),"",IFERROR(INDEX(SupplierRates!$E$5:$E$500,MATCH($K930&amp;"|"&amp;$L930,SupplierRates!$A$5:$A$500,0)),0))</f>
        <v/>
      </c>
      <c r="R930" s="26" t="n">
        <f aca="false">IF(OR($D930="",$J930&lt;&gt;"Supplier"),0,F930*P930+G930*Q930)</f>
        <v>0</v>
      </c>
      <c r="S930" s="26" t="n">
        <f aca="false">IF(OR($D930="",$J930&lt;&gt;"Own"),0,IFERROR((F930+G930*Settings!$B$13)*INDEX(Workers!$V$5:$V$2004,MATCH($D930,Workers!$A$5:$A$2004,0)),0))</f>
        <v>0</v>
      </c>
      <c r="T930" s="26" t="str">
        <f aca="false">IF($D930="","",O930-R930-S930)</f>
        <v/>
      </c>
    </row>
    <row r="931" customFormat="false" ht="15" hidden="false" customHeight="false" outlineLevel="0" collapsed="false">
      <c r="I931" s="24" t="str">
        <f aca="false">IF($D931="","",IFERROR(INDEX(Workers!$B$5:$B$2004,MATCH($D931,Workers!$A$5:$A$2004,0)),"NOT FOUND"))</f>
        <v/>
      </c>
      <c r="J931" s="24" t="str">
        <f aca="false">IF($D931="","",IFERROR(INDEX(Workers!$C$5:$C$2004,MATCH($D931,Workers!$A$5:$A$2004,0)),""))</f>
        <v/>
      </c>
      <c r="K931" s="24" t="str">
        <f aca="false">IF($D931="","",IFERROR(IF(INDEX(Workers!$D$5:$D$2004,MATCH($D931,Workers!$A$5:$A$2004,0))=0,"",INDEX(Workers!$D$5:$D$2004,MATCH($D931,Workers!$A$5:$A$2004,0))),""))</f>
        <v/>
      </c>
      <c r="L931" s="24" t="str">
        <f aca="false">IF($D931="","",IFERROR(INDEX(Workers!$E$5:$E$2004,MATCH($D931,Workers!$A$5:$A$2004,0)),""))</f>
        <v/>
      </c>
      <c r="M931" s="26" t="str">
        <f aca="false">IF($D931="","",IFERROR(INDEX(ClientRates!$D$5:$D$500,MATCH($B931&amp;"|"&amp;$L931,ClientRates!$A$5:$A$500,0)),0))</f>
        <v/>
      </c>
      <c r="N931" s="26" t="str">
        <f aca="false">IF($D931="","",IFERROR(INDEX(ClientRates!$E$5:$E$500,MATCH($B931&amp;"|"&amp;$L931,ClientRates!$A$5:$A$500,0)),0))</f>
        <v/>
      </c>
      <c r="O931" s="26" t="str">
        <f aca="false">IF($D931="","",F931*M931+G931*N931)</f>
        <v/>
      </c>
      <c r="P931" s="26" t="str">
        <f aca="false">IF(OR($D931="",$J931&lt;&gt;"Supplier"),"",IFERROR(INDEX(SupplierRates!$D$5:$D$500,MATCH($K931&amp;"|"&amp;$L931,SupplierRates!$A$5:$A$500,0)),0))</f>
        <v/>
      </c>
      <c r="Q931" s="26" t="str">
        <f aca="false">IF(OR($D931="",$J931&lt;&gt;"Supplier"),"",IFERROR(INDEX(SupplierRates!$E$5:$E$500,MATCH($K931&amp;"|"&amp;$L931,SupplierRates!$A$5:$A$500,0)),0))</f>
        <v/>
      </c>
      <c r="R931" s="26" t="n">
        <f aca="false">IF(OR($D931="",$J931&lt;&gt;"Supplier"),0,F931*P931+G931*Q931)</f>
        <v>0</v>
      </c>
      <c r="S931" s="26" t="n">
        <f aca="false">IF(OR($D931="",$J931&lt;&gt;"Own"),0,IFERROR((F931+G931*Settings!$B$13)*INDEX(Workers!$V$5:$V$2004,MATCH($D931,Workers!$A$5:$A$2004,0)),0))</f>
        <v>0</v>
      </c>
      <c r="T931" s="26" t="str">
        <f aca="false">IF($D931="","",O931-R931-S931)</f>
        <v/>
      </c>
    </row>
    <row r="932" customFormat="false" ht="15" hidden="false" customHeight="false" outlineLevel="0" collapsed="false">
      <c r="I932" s="24" t="str">
        <f aca="false">IF($D932="","",IFERROR(INDEX(Workers!$B$5:$B$2004,MATCH($D932,Workers!$A$5:$A$2004,0)),"NOT FOUND"))</f>
        <v/>
      </c>
      <c r="J932" s="24" t="str">
        <f aca="false">IF($D932="","",IFERROR(INDEX(Workers!$C$5:$C$2004,MATCH($D932,Workers!$A$5:$A$2004,0)),""))</f>
        <v/>
      </c>
      <c r="K932" s="24" t="str">
        <f aca="false">IF($D932="","",IFERROR(IF(INDEX(Workers!$D$5:$D$2004,MATCH($D932,Workers!$A$5:$A$2004,0))=0,"",INDEX(Workers!$D$5:$D$2004,MATCH($D932,Workers!$A$5:$A$2004,0))),""))</f>
        <v/>
      </c>
      <c r="L932" s="24" t="str">
        <f aca="false">IF($D932="","",IFERROR(INDEX(Workers!$E$5:$E$2004,MATCH($D932,Workers!$A$5:$A$2004,0)),""))</f>
        <v/>
      </c>
      <c r="M932" s="26" t="str">
        <f aca="false">IF($D932="","",IFERROR(INDEX(ClientRates!$D$5:$D$500,MATCH($B932&amp;"|"&amp;$L932,ClientRates!$A$5:$A$500,0)),0))</f>
        <v/>
      </c>
      <c r="N932" s="26" t="str">
        <f aca="false">IF($D932="","",IFERROR(INDEX(ClientRates!$E$5:$E$500,MATCH($B932&amp;"|"&amp;$L932,ClientRates!$A$5:$A$500,0)),0))</f>
        <v/>
      </c>
      <c r="O932" s="26" t="str">
        <f aca="false">IF($D932="","",F932*M932+G932*N932)</f>
        <v/>
      </c>
      <c r="P932" s="26" t="str">
        <f aca="false">IF(OR($D932="",$J932&lt;&gt;"Supplier"),"",IFERROR(INDEX(SupplierRates!$D$5:$D$500,MATCH($K932&amp;"|"&amp;$L932,SupplierRates!$A$5:$A$500,0)),0))</f>
        <v/>
      </c>
      <c r="Q932" s="26" t="str">
        <f aca="false">IF(OR($D932="",$J932&lt;&gt;"Supplier"),"",IFERROR(INDEX(SupplierRates!$E$5:$E$500,MATCH($K932&amp;"|"&amp;$L932,SupplierRates!$A$5:$A$500,0)),0))</f>
        <v/>
      </c>
      <c r="R932" s="26" t="n">
        <f aca="false">IF(OR($D932="",$J932&lt;&gt;"Supplier"),0,F932*P932+G932*Q932)</f>
        <v>0</v>
      </c>
      <c r="S932" s="26" t="n">
        <f aca="false">IF(OR($D932="",$J932&lt;&gt;"Own"),0,IFERROR((F932+G932*Settings!$B$13)*INDEX(Workers!$V$5:$V$2004,MATCH($D932,Workers!$A$5:$A$2004,0)),0))</f>
        <v>0</v>
      </c>
      <c r="T932" s="26" t="str">
        <f aca="false">IF($D932="","",O932-R932-S932)</f>
        <v/>
      </c>
    </row>
    <row r="933" customFormat="false" ht="15" hidden="false" customHeight="false" outlineLevel="0" collapsed="false">
      <c r="I933" s="24" t="str">
        <f aca="false">IF($D933="","",IFERROR(INDEX(Workers!$B$5:$B$2004,MATCH($D933,Workers!$A$5:$A$2004,0)),"NOT FOUND"))</f>
        <v/>
      </c>
      <c r="J933" s="24" t="str">
        <f aca="false">IF($D933="","",IFERROR(INDEX(Workers!$C$5:$C$2004,MATCH($D933,Workers!$A$5:$A$2004,0)),""))</f>
        <v/>
      </c>
      <c r="K933" s="24" t="str">
        <f aca="false">IF($D933="","",IFERROR(IF(INDEX(Workers!$D$5:$D$2004,MATCH($D933,Workers!$A$5:$A$2004,0))=0,"",INDEX(Workers!$D$5:$D$2004,MATCH($D933,Workers!$A$5:$A$2004,0))),""))</f>
        <v/>
      </c>
      <c r="L933" s="24" t="str">
        <f aca="false">IF($D933="","",IFERROR(INDEX(Workers!$E$5:$E$2004,MATCH($D933,Workers!$A$5:$A$2004,0)),""))</f>
        <v/>
      </c>
      <c r="M933" s="26" t="str">
        <f aca="false">IF($D933="","",IFERROR(INDEX(ClientRates!$D$5:$D$500,MATCH($B933&amp;"|"&amp;$L933,ClientRates!$A$5:$A$500,0)),0))</f>
        <v/>
      </c>
      <c r="N933" s="26" t="str">
        <f aca="false">IF($D933="","",IFERROR(INDEX(ClientRates!$E$5:$E$500,MATCH($B933&amp;"|"&amp;$L933,ClientRates!$A$5:$A$500,0)),0))</f>
        <v/>
      </c>
      <c r="O933" s="26" t="str">
        <f aca="false">IF($D933="","",F933*M933+G933*N933)</f>
        <v/>
      </c>
      <c r="P933" s="26" t="str">
        <f aca="false">IF(OR($D933="",$J933&lt;&gt;"Supplier"),"",IFERROR(INDEX(SupplierRates!$D$5:$D$500,MATCH($K933&amp;"|"&amp;$L933,SupplierRates!$A$5:$A$500,0)),0))</f>
        <v/>
      </c>
      <c r="Q933" s="26" t="str">
        <f aca="false">IF(OR($D933="",$J933&lt;&gt;"Supplier"),"",IFERROR(INDEX(SupplierRates!$E$5:$E$500,MATCH($K933&amp;"|"&amp;$L933,SupplierRates!$A$5:$A$500,0)),0))</f>
        <v/>
      </c>
      <c r="R933" s="26" t="n">
        <f aca="false">IF(OR($D933="",$J933&lt;&gt;"Supplier"),0,F933*P933+G933*Q933)</f>
        <v>0</v>
      </c>
      <c r="S933" s="26" t="n">
        <f aca="false">IF(OR($D933="",$J933&lt;&gt;"Own"),0,IFERROR((F933+G933*Settings!$B$13)*INDEX(Workers!$V$5:$V$2004,MATCH($D933,Workers!$A$5:$A$2004,0)),0))</f>
        <v>0</v>
      </c>
      <c r="T933" s="26" t="str">
        <f aca="false">IF($D933="","",O933-R933-S933)</f>
        <v/>
      </c>
    </row>
    <row r="934" customFormat="false" ht="15" hidden="false" customHeight="false" outlineLevel="0" collapsed="false">
      <c r="I934" s="24" t="str">
        <f aca="false">IF($D934="","",IFERROR(INDEX(Workers!$B$5:$B$2004,MATCH($D934,Workers!$A$5:$A$2004,0)),"NOT FOUND"))</f>
        <v/>
      </c>
      <c r="J934" s="24" t="str">
        <f aca="false">IF($D934="","",IFERROR(INDEX(Workers!$C$5:$C$2004,MATCH($D934,Workers!$A$5:$A$2004,0)),""))</f>
        <v/>
      </c>
      <c r="K934" s="24" t="str">
        <f aca="false">IF($D934="","",IFERROR(IF(INDEX(Workers!$D$5:$D$2004,MATCH($D934,Workers!$A$5:$A$2004,0))=0,"",INDEX(Workers!$D$5:$D$2004,MATCH($D934,Workers!$A$5:$A$2004,0))),""))</f>
        <v/>
      </c>
      <c r="L934" s="24" t="str">
        <f aca="false">IF($D934="","",IFERROR(INDEX(Workers!$E$5:$E$2004,MATCH($D934,Workers!$A$5:$A$2004,0)),""))</f>
        <v/>
      </c>
      <c r="M934" s="26" t="str">
        <f aca="false">IF($D934="","",IFERROR(INDEX(ClientRates!$D$5:$D$500,MATCH($B934&amp;"|"&amp;$L934,ClientRates!$A$5:$A$500,0)),0))</f>
        <v/>
      </c>
      <c r="N934" s="26" t="str">
        <f aca="false">IF($D934="","",IFERROR(INDEX(ClientRates!$E$5:$E$500,MATCH($B934&amp;"|"&amp;$L934,ClientRates!$A$5:$A$500,0)),0))</f>
        <v/>
      </c>
      <c r="O934" s="26" t="str">
        <f aca="false">IF($D934="","",F934*M934+G934*N934)</f>
        <v/>
      </c>
      <c r="P934" s="26" t="str">
        <f aca="false">IF(OR($D934="",$J934&lt;&gt;"Supplier"),"",IFERROR(INDEX(SupplierRates!$D$5:$D$500,MATCH($K934&amp;"|"&amp;$L934,SupplierRates!$A$5:$A$500,0)),0))</f>
        <v/>
      </c>
      <c r="Q934" s="26" t="str">
        <f aca="false">IF(OR($D934="",$J934&lt;&gt;"Supplier"),"",IFERROR(INDEX(SupplierRates!$E$5:$E$500,MATCH($K934&amp;"|"&amp;$L934,SupplierRates!$A$5:$A$500,0)),0))</f>
        <v/>
      </c>
      <c r="R934" s="26" t="n">
        <f aca="false">IF(OR($D934="",$J934&lt;&gt;"Supplier"),0,F934*P934+G934*Q934)</f>
        <v>0</v>
      </c>
      <c r="S934" s="26" t="n">
        <f aca="false">IF(OR($D934="",$J934&lt;&gt;"Own"),0,IFERROR((F934+G934*Settings!$B$13)*INDEX(Workers!$V$5:$V$2004,MATCH($D934,Workers!$A$5:$A$2004,0)),0))</f>
        <v>0</v>
      </c>
      <c r="T934" s="26" t="str">
        <f aca="false">IF($D934="","",O934-R934-S934)</f>
        <v/>
      </c>
    </row>
    <row r="935" customFormat="false" ht="15" hidden="false" customHeight="false" outlineLevel="0" collapsed="false">
      <c r="I935" s="24" t="str">
        <f aca="false">IF($D935="","",IFERROR(INDEX(Workers!$B$5:$B$2004,MATCH($D935,Workers!$A$5:$A$2004,0)),"NOT FOUND"))</f>
        <v/>
      </c>
      <c r="J935" s="24" t="str">
        <f aca="false">IF($D935="","",IFERROR(INDEX(Workers!$C$5:$C$2004,MATCH($D935,Workers!$A$5:$A$2004,0)),""))</f>
        <v/>
      </c>
      <c r="K935" s="24" t="str">
        <f aca="false">IF($D935="","",IFERROR(IF(INDEX(Workers!$D$5:$D$2004,MATCH($D935,Workers!$A$5:$A$2004,0))=0,"",INDEX(Workers!$D$5:$D$2004,MATCH($D935,Workers!$A$5:$A$2004,0))),""))</f>
        <v/>
      </c>
      <c r="L935" s="24" t="str">
        <f aca="false">IF($D935="","",IFERROR(INDEX(Workers!$E$5:$E$2004,MATCH($D935,Workers!$A$5:$A$2004,0)),""))</f>
        <v/>
      </c>
      <c r="M935" s="26" t="str">
        <f aca="false">IF($D935="","",IFERROR(INDEX(ClientRates!$D$5:$D$500,MATCH($B935&amp;"|"&amp;$L935,ClientRates!$A$5:$A$500,0)),0))</f>
        <v/>
      </c>
      <c r="N935" s="26" t="str">
        <f aca="false">IF($D935="","",IFERROR(INDEX(ClientRates!$E$5:$E$500,MATCH($B935&amp;"|"&amp;$L935,ClientRates!$A$5:$A$500,0)),0))</f>
        <v/>
      </c>
      <c r="O935" s="26" t="str">
        <f aca="false">IF($D935="","",F935*M935+G935*N935)</f>
        <v/>
      </c>
      <c r="P935" s="26" t="str">
        <f aca="false">IF(OR($D935="",$J935&lt;&gt;"Supplier"),"",IFERROR(INDEX(SupplierRates!$D$5:$D$500,MATCH($K935&amp;"|"&amp;$L935,SupplierRates!$A$5:$A$500,0)),0))</f>
        <v/>
      </c>
      <c r="Q935" s="26" t="str">
        <f aca="false">IF(OR($D935="",$J935&lt;&gt;"Supplier"),"",IFERROR(INDEX(SupplierRates!$E$5:$E$500,MATCH($K935&amp;"|"&amp;$L935,SupplierRates!$A$5:$A$500,0)),0))</f>
        <v/>
      </c>
      <c r="R935" s="26" t="n">
        <f aca="false">IF(OR($D935="",$J935&lt;&gt;"Supplier"),0,F935*P935+G935*Q935)</f>
        <v>0</v>
      </c>
      <c r="S935" s="26" t="n">
        <f aca="false">IF(OR($D935="",$J935&lt;&gt;"Own"),0,IFERROR((F935+G935*Settings!$B$13)*INDEX(Workers!$V$5:$V$2004,MATCH($D935,Workers!$A$5:$A$2004,0)),0))</f>
        <v>0</v>
      </c>
      <c r="T935" s="26" t="str">
        <f aca="false">IF($D935="","",O935-R935-S935)</f>
        <v/>
      </c>
    </row>
    <row r="936" customFormat="false" ht="15" hidden="false" customHeight="false" outlineLevel="0" collapsed="false">
      <c r="I936" s="24" t="str">
        <f aca="false">IF($D936="","",IFERROR(INDEX(Workers!$B$5:$B$2004,MATCH($D936,Workers!$A$5:$A$2004,0)),"NOT FOUND"))</f>
        <v/>
      </c>
      <c r="J936" s="24" t="str">
        <f aca="false">IF($D936="","",IFERROR(INDEX(Workers!$C$5:$C$2004,MATCH($D936,Workers!$A$5:$A$2004,0)),""))</f>
        <v/>
      </c>
      <c r="K936" s="24" t="str">
        <f aca="false">IF($D936="","",IFERROR(IF(INDEX(Workers!$D$5:$D$2004,MATCH($D936,Workers!$A$5:$A$2004,0))=0,"",INDEX(Workers!$D$5:$D$2004,MATCH($D936,Workers!$A$5:$A$2004,0))),""))</f>
        <v/>
      </c>
      <c r="L936" s="24" t="str">
        <f aca="false">IF($D936="","",IFERROR(INDEX(Workers!$E$5:$E$2004,MATCH($D936,Workers!$A$5:$A$2004,0)),""))</f>
        <v/>
      </c>
      <c r="M936" s="26" t="str">
        <f aca="false">IF($D936="","",IFERROR(INDEX(ClientRates!$D$5:$D$500,MATCH($B936&amp;"|"&amp;$L936,ClientRates!$A$5:$A$500,0)),0))</f>
        <v/>
      </c>
      <c r="N936" s="26" t="str">
        <f aca="false">IF($D936="","",IFERROR(INDEX(ClientRates!$E$5:$E$500,MATCH($B936&amp;"|"&amp;$L936,ClientRates!$A$5:$A$500,0)),0))</f>
        <v/>
      </c>
      <c r="O936" s="26" t="str">
        <f aca="false">IF($D936="","",F936*M936+G936*N936)</f>
        <v/>
      </c>
      <c r="P936" s="26" t="str">
        <f aca="false">IF(OR($D936="",$J936&lt;&gt;"Supplier"),"",IFERROR(INDEX(SupplierRates!$D$5:$D$500,MATCH($K936&amp;"|"&amp;$L936,SupplierRates!$A$5:$A$500,0)),0))</f>
        <v/>
      </c>
      <c r="Q936" s="26" t="str">
        <f aca="false">IF(OR($D936="",$J936&lt;&gt;"Supplier"),"",IFERROR(INDEX(SupplierRates!$E$5:$E$500,MATCH($K936&amp;"|"&amp;$L936,SupplierRates!$A$5:$A$500,0)),0))</f>
        <v/>
      </c>
      <c r="R936" s="26" t="n">
        <f aca="false">IF(OR($D936="",$J936&lt;&gt;"Supplier"),0,F936*P936+G936*Q936)</f>
        <v>0</v>
      </c>
      <c r="S936" s="26" t="n">
        <f aca="false">IF(OR($D936="",$J936&lt;&gt;"Own"),0,IFERROR((F936+G936*Settings!$B$13)*INDEX(Workers!$V$5:$V$2004,MATCH($D936,Workers!$A$5:$A$2004,0)),0))</f>
        <v>0</v>
      </c>
      <c r="T936" s="26" t="str">
        <f aca="false">IF($D936="","",O936-R936-S936)</f>
        <v/>
      </c>
    </row>
    <row r="937" customFormat="false" ht="15" hidden="false" customHeight="false" outlineLevel="0" collapsed="false">
      <c r="I937" s="24" t="str">
        <f aca="false">IF($D937="","",IFERROR(INDEX(Workers!$B$5:$B$2004,MATCH($D937,Workers!$A$5:$A$2004,0)),"NOT FOUND"))</f>
        <v/>
      </c>
      <c r="J937" s="24" t="str">
        <f aca="false">IF($D937="","",IFERROR(INDEX(Workers!$C$5:$C$2004,MATCH($D937,Workers!$A$5:$A$2004,0)),""))</f>
        <v/>
      </c>
      <c r="K937" s="24" t="str">
        <f aca="false">IF($D937="","",IFERROR(IF(INDEX(Workers!$D$5:$D$2004,MATCH($D937,Workers!$A$5:$A$2004,0))=0,"",INDEX(Workers!$D$5:$D$2004,MATCH($D937,Workers!$A$5:$A$2004,0))),""))</f>
        <v/>
      </c>
      <c r="L937" s="24" t="str">
        <f aca="false">IF($D937="","",IFERROR(INDEX(Workers!$E$5:$E$2004,MATCH($D937,Workers!$A$5:$A$2004,0)),""))</f>
        <v/>
      </c>
      <c r="M937" s="26" t="str">
        <f aca="false">IF($D937="","",IFERROR(INDEX(ClientRates!$D$5:$D$500,MATCH($B937&amp;"|"&amp;$L937,ClientRates!$A$5:$A$500,0)),0))</f>
        <v/>
      </c>
      <c r="N937" s="26" t="str">
        <f aca="false">IF($D937="","",IFERROR(INDEX(ClientRates!$E$5:$E$500,MATCH($B937&amp;"|"&amp;$L937,ClientRates!$A$5:$A$500,0)),0))</f>
        <v/>
      </c>
      <c r="O937" s="26" t="str">
        <f aca="false">IF($D937="","",F937*M937+G937*N937)</f>
        <v/>
      </c>
      <c r="P937" s="26" t="str">
        <f aca="false">IF(OR($D937="",$J937&lt;&gt;"Supplier"),"",IFERROR(INDEX(SupplierRates!$D$5:$D$500,MATCH($K937&amp;"|"&amp;$L937,SupplierRates!$A$5:$A$500,0)),0))</f>
        <v/>
      </c>
      <c r="Q937" s="26" t="str">
        <f aca="false">IF(OR($D937="",$J937&lt;&gt;"Supplier"),"",IFERROR(INDEX(SupplierRates!$E$5:$E$500,MATCH($K937&amp;"|"&amp;$L937,SupplierRates!$A$5:$A$500,0)),0))</f>
        <v/>
      </c>
      <c r="R937" s="26" t="n">
        <f aca="false">IF(OR($D937="",$J937&lt;&gt;"Supplier"),0,F937*P937+G937*Q937)</f>
        <v>0</v>
      </c>
      <c r="S937" s="26" t="n">
        <f aca="false">IF(OR($D937="",$J937&lt;&gt;"Own"),0,IFERROR((F937+G937*Settings!$B$13)*INDEX(Workers!$V$5:$V$2004,MATCH($D937,Workers!$A$5:$A$2004,0)),0))</f>
        <v>0</v>
      </c>
      <c r="T937" s="26" t="str">
        <f aca="false">IF($D937="","",O937-R937-S937)</f>
        <v/>
      </c>
    </row>
    <row r="938" customFormat="false" ht="15" hidden="false" customHeight="false" outlineLevel="0" collapsed="false">
      <c r="I938" s="24" t="str">
        <f aca="false">IF($D938="","",IFERROR(INDEX(Workers!$B$5:$B$2004,MATCH($D938,Workers!$A$5:$A$2004,0)),"NOT FOUND"))</f>
        <v/>
      </c>
      <c r="J938" s="24" t="str">
        <f aca="false">IF($D938="","",IFERROR(INDEX(Workers!$C$5:$C$2004,MATCH($D938,Workers!$A$5:$A$2004,0)),""))</f>
        <v/>
      </c>
      <c r="K938" s="24" t="str">
        <f aca="false">IF($D938="","",IFERROR(IF(INDEX(Workers!$D$5:$D$2004,MATCH($D938,Workers!$A$5:$A$2004,0))=0,"",INDEX(Workers!$D$5:$D$2004,MATCH($D938,Workers!$A$5:$A$2004,0))),""))</f>
        <v/>
      </c>
      <c r="L938" s="24" t="str">
        <f aca="false">IF($D938="","",IFERROR(INDEX(Workers!$E$5:$E$2004,MATCH($D938,Workers!$A$5:$A$2004,0)),""))</f>
        <v/>
      </c>
      <c r="M938" s="26" t="str">
        <f aca="false">IF($D938="","",IFERROR(INDEX(ClientRates!$D$5:$D$500,MATCH($B938&amp;"|"&amp;$L938,ClientRates!$A$5:$A$500,0)),0))</f>
        <v/>
      </c>
      <c r="N938" s="26" t="str">
        <f aca="false">IF($D938="","",IFERROR(INDEX(ClientRates!$E$5:$E$500,MATCH($B938&amp;"|"&amp;$L938,ClientRates!$A$5:$A$500,0)),0))</f>
        <v/>
      </c>
      <c r="O938" s="26" t="str">
        <f aca="false">IF($D938="","",F938*M938+G938*N938)</f>
        <v/>
      </c>
      <c r="P938" s="26" t="str">
        <f aca="false">IF(OR($D938="",$J938&lt;&gt;"Supplier"),"",IFERROR(INDEX(SupplierRates!$D$5:$D$500,MATCH($K938&amp;"|"&amp;$L938,SupplierRates!$A$5:$A$500,0)),0))</f>
        <v/>
      </c>
      <c r="Q938" s="26" t="str">
        <f aca="false">IF(OR($D938="",$J938&lt;&gt;"Supplier"),"",IFERROR(INDEX(SupplierRates!$E$5:$E$500,MATCH($K938&amp;"|"&amp;$L938,SupplierRates!$A$5:$A$500,0)),0))</f>
        <v/>
      </c>
      <c r="R938" s="26" t="n">
        <f aca="false">IF(OR($D938="",$J938&lt;&gt;"Supplier"),0,F938*P938+G938*Q938)</f>
        <v>0</v>
      </c>
      <c r="S938" s="26" t="n">
        <f aca="false">IF(OR($D938="",$J938&lt;&gt;"Own"),0,IFERROR((F938+G938*Settings!$B$13)*INDEX(Workers!$V$5:$V$2004,MATCH($D938,Workers!$A$5:$A$2004,0)),0))</f>
        <v>0</v>
      </c>
      <c r="T938" s="26" t="str">
        <f aca="false">IF($D938="","",O938-R938-S938)</f>
        <v/>
      </c>
    </row>
    <row r="939" customFormat="false" ht="15" hidden="false" customHeight="false" outlineLevel="0" collapsed="false">
      <c r="I939" s="24" t="str">
        <f aca="false">IF($D939="","",IFERROR(INDEX(Workers!$B$5:$B$2004,MATCH($D939,Workers!$A$5:$A$2004,0)),"NOT FOUND"))</f>
        <v/>
      </c>
      <c r="J939" s="24" t="str">
        <f aca="false">IF($D939="","",IFERROR(INDEX(Workers!$C$5:$C$2004,MATCH($D939,Workers!$A$5:$A$2004,0)),""))</f>
        <v/>
      </c>
      <c r="K939" s="24" t="str">
        <f aca="false">IF($D939="","",IFERROR(IF(INDEX(Workers!$D$5:$D$2004,MATCH($D939,Workers!$A$5:$A$2004,0))=0,"",INDEX(Workers!$D$5:$D$2004,MATCH($D939,Workers!$A$5:$A$2004,0))),""))</f>
        <v/>
      </c>
      <c r="L939" s="24" t="str">
        <f aca="false">IF($D939="","",IFERROR(INDEX(Workers!$E$5:$E$2004,MATCH($D939,Workers!$A$5:$A$2004,0)),""))</f>
        <v/>
      </c>
      <c r="M939" s="26" t="str">
        <f aca="false">IF($D939="","",IFERROR(INDEX(ClientRates!$D$5:$D$500,MATCH($B939&amp;"|"&amp;$L939,ClientRates!$A$5:$A$500,0)),0))</f>
        <v/>
      </c>
      <c r="N939" s="26" t="str">
        <f aca="false">IF($D939="","",IFERROR(INDEX(ClientRates!$E$5:$E$500,MATCH($B939&amp;"|"&amp;$L939,ClientRates!$A$5:$A$500,0)),0))</f>
        <v/>
      </c>
      <c r="O939" s="26" t="str">
        <f aca="false">IF($D939="","",F939*M939+G939*N939)</f>
        <v/>
      </c>
      <c r="P939" s="26" t="str">
        <f aca="false">IF(OR($D939="",$J939&lt;&gt;"Supplier"),"",IFERROR(INDEX(SupplierRates!$D$5:$D$500,MATCH($K939&amp;"|"&amp;$L939,SupplierRates!$A$5:$A$500,0)),0))</f>
        <v/>
      </c>
      <c r="Q939" s="26" t="str">
        <f aca="false">IF(OR($D939="",$J939&lt;&gt;"Supplier"),"",IFERROR(INDEX(SupplierRates!$E$5:$E$500,MATCH($K939&amp;"|"&amp;$L939,SupplierRates!$A$5:$A$500,0)),0))</f>
        <v/>
      </c>
      <c r="R939" s="26" t="n">
        <f aca="false">IF(OR($D939="",$J939&lt;&gt;"Supplier"),0,F939*P939+G939*Q939)</f>
        <v>0</v>
      </c>
      <c r="S939" s="26" t="n">
        <f aca="false">IF(OR($D939="",$J939&lt;&gt;"Own"),0,IFERROR((F939+G939*Settings!$B$13)*INDEX(Workers!$V$5:$V$2004,MATCH($D939,Workers!$A$5:$A$2004,0)),0))</f>
        <v>0</v>
      </c>
      <c r="T939" s="26" t="str">
        <f aca="false">IF($D939="","",O939-R939-S939)</f>
        <v/>
      </c>
    </row>
    <row r="940" customFormat="false" ht="15" hidden="false" customHeight="false" outlineLevel="0" collapsed="false">
      <c r="I940" s="24" t="str">
        <f aca="false">IF($D940="","",IFERROR(INDEX(Workers!$B$5:$B$2004,MATCH($D940,Workers!$A$5:$A$2004,0)),"NOT FOUND"))</f>
        <v/>
      </c>
      <c r="J940" s="24" t="str">
        <f aca="false">IF($D940="","",IFERROR(INDEX(Workers!$C$5:$C$2004,MATCH($D940,Workers!$A$5:$A$2004,0)),""))</f>
        <v/>
      </c>
      <c r="K940" s="24" t="str">
        <f aca="false">IF($D940="","",IFERROR(IF(INDEX(Workers!$D$5:$D$2004,MATCH($D940,Workers!$A$5:$A$2004,0))=0,"",INDEX(Workers!$D$5:$D$2004,MATCH($D940,Workers!$A$5:$A$2004,0))),""))</f>
        <v/>
      </c>
      <c r="L940" s="24" t="str">
        <f aca="false">IF($D940="","",IFERROR(INDEX(Workers!$E$5:$E$2004,MATCH($D940,Workers!$A$5:$A$2004,0)),""))</f>
        <v/>
      </c>
      <c r="M940" s="26" t="str">
        <f aca="false">IF($D940="","",IFERROR(INDEX(ClientRates!$D$5:$D$500,MATCH($B940&amp;"|"&amp;$L940,ClientRates!$A$5:$A$500,0)),0))</f>
        <v/>
      </c>
      <c r="N940" s="26" t="str">
        <f aca="false">IF($D940="","",IFERROR(INDEX(ClientRates!$E$5:$E$500,MATCH($B940&amp;"|"&amp;$L940,ClientRates!$A$5:$A$500,0)),0))</f>
        <v/>
      </c>
      <c r="O940" s="26" t="str">
        <f aca="false">IF($D940="","",F940*M940+G940*N940)</f>
        <v/>
      </c>
      <c r="P940" s="26" t="str">
        <f aca="false">IF(OR($D940="",$J940&lt;&gt;"Supplier"),"",IFERROR(INDEX(SupplierRates!$D$5:$D$500,MATCH($K940&amp;"|"&amp;$L940,SupplierRates!$A$5:$A$500,0)),0))</f>
        <v/>
      </c>
      <c r="Q940" s="26" t="str">
        <f aca="false">IF(OR($D940="",$J940&lt;&gt;"Supplier"),"",IFERROR(INDEX(SupplierRates!$E$5:$E$500,MATCH($K940&amp;"|"&amp;$L940,SupplierRates!$A$5:$A$500,0)),0))</f>
        <v/>
      </c>
      <c r="R940" s="26" t="n">
        <f aca="false">IF(OR($D940="",$J940&lt;&gt;"Supplier"),0,F940*P940+G940*Q940)</f>
        <v>0</v>
      </c>
      <c r="S940" s="26" t="n">
        <f aca="false">IF(OR($D940="",$J940&lt;&gt;"Own"),0,IFERROR((F940+G940*Settings!$B$13)*INDEX(Workers!$V$5:$V$2004,MATCH($D940,Workers!$A$5:$A$2004,0)),0))</f>
        <v>0</v>
      </c>
      <c r="T940" s="26" t="str">
        <f aca="false">IF($D940="","",O940-R940-S940)</f>
        <v/>
      </c>
    </row>
    <row r="941" customFormat="false" ht="15" hidden="false" customHeight="false" outlineLevel="0" collapsed="false">
      <c r="I941" s="24" t="str">
        <f aca="false">IF($D941="","",IFERROR(INDEX(Workers!$B$5:$B$2004,MATCH($D941,Workers!$A$5:$A$2004,0)),"NOT FOUND"))</f>
        <v/>
      </c>
      <c r="J941" s="24" t="str">
        <f aca="false">IF($D941="","",IFERROR(INDEX(Workers!$C$5:$C$2004,MATCH($D941,Workers!$A$5:$A$2004,0)),""))</f>
        <v/>
      </c>
      <c r="K941" s="24" t="str">
        <f aca="false">IF($D941="","",IFERROR(IF(INDEX(Workers!$D$5:$D$2004,MATCH($D941,Workers!$A$5:$A$2004,0))=0,"",INDEX(Workers!$D$5:$D$2004,MATCH($D941,Workers!$A$5:$A$2004,0))),""))</f>
        <v/>
      </c>
      <c r="L941" s="24" t="str">
        <f aca="false">IF($D941="","",IFERROR(INDEX(Workers!$E$5:$E$2004,MATCH($D941,Workers!$A$5:$A$2004,0)),""))</f>
        <v/>
      </c>
      <c r="M941" s="26" t="str">
        <f aca="false">IF($D941="","",IFERROR(INDEX(ClientRates!$D$5:$D$500,MATCH($B941&amp;"|"&amp;$L941,ClientRates!$A$5:$A$500,0)),0))</f>
        <v/>
      </c>
      <c r="N941" s="26" t="str">
        <f aca="false">IF($D941="","",IFERROR(INDEX(ClientRates!$E$5:$E$500,MATCH($B941&amp;"|"&amp;$L941,ClientRates!$A$5:$A$500,0)),0))</f>
        <v/>
      </c>
      <c r="O941" s="26" t="str">
        <f aca="false">IF($D941="","",F941*M941+G941*N941)</f>
        <v/>
      </c>
      <c r="P941" s="26" t="str">
        <f aca="false">IF(OR($D941="",$J941&lt;&gt;"Supplier"),"",IFERROR(INDEX(SupplierRates!$D$5:$D$500,MATCH($K941&amp;"|"&amp;$L941,SupplierRates!$A$5:$A$500,0)),0))</f>
        <v/>
      </c>
      <c r="Q941" s="26" t="str">
        <f aca="false">IF(OR($D941="",$J941&lt;&gt;"Supplier"),"",IFERROR(INDEX(SupplierRates!$E$5:$E$500,MATCH($K941&amp;"|"&amp;$L941,SupplierRates!$A$5:$A$500,0)),0))</f>
        <v/>
      </c>
      <c r="R941" s="26" t="n">
        <f aca="false">IF(OR($D941="",$J941&lt;&gt;"Supplier"),0,F941*P941+G941*Q941)</f>
        <v>0</v>
      </c>
      <c r="S941" s="26" t="n">
        <f aca="false">IF(OR($D941="",$J941&lt;&gt;"Own"),0,IFERROR((F941+G941*Settings!$B$13)*INDEX(Workers!$V$5:$V$2004,MATCH($D941,Workers!$A$5:$A$2004,0)),0))</f>
        <v>0</v>
      </c>
      <c r="T941" s="26" t="str">
        <f aca="false">IF($D941="","",O941-R941-S941)</f>
        <v/>
      </c>
    </row>
    <row r="942" customFormat="false" ht="15" hidden="false" customHeight="false" outlineLevel="0" collapsed="false">
      <c r="I942" s="24" t="str">
        <f aca="false">IF($D942="","",IFERROR(INDEX(Workers!$B$5:$B$2004,MATCH($D942,Workers!$A$5:$A$2004,0)),"NOT FOUND"))</f>
        <v/>
      </c>
      <c r="J942" s="24" t="str">
        <f aca="false">IF($D942="","",IFERROR(INDEX(Workers!$C$5:$C$2004,MATCH($D942,Workers!$A$5:$A$2004,0)),""))</f>
        <v/>
      </c>
      <c r="K942" s="24" t="str">
        <f aca="false">IF($D942="","",IFERROR(IF(INDEX(Workers!$D$5:$D$2004,MATCH($D942,Workers!$A$5:$A$2004,0))=0,"",INDEX(Workers!$D$5:$D$2004,MATCH($D942,Workers!$A$5:$A$2004,0))),""))</f>
        <v/>
      </c>
      <c r="L942" s="24" t="str">
        <f aca="false">IF($D942="","",IFERROR(INDEX(Workers!$E$5:$E$2004,MATCH($D942,Workers!$A$5:$A$2004,0)),""))</f>
        <v/>
      </c>
      <c r="M942" s="26" t="str">
        <f aca="false">IF($D942="","",IFERROR(INDEX(ClientRates!$D$5:$D$500,MATCH($B942&amp;"|"&amp;$L942,ClientRates!$A$5:$A$500,0)),0))</f>
        <v/>
      </c>
      <c r="N942" s="26" t="str">
        <f aca="false">IF($D942="","",IFERROR(INDEX(ClientRates!$E$5:$E$500,MATCH($B942&amp;"|"&amp;$L942,ClientRates!$A$5:$A$500,0)),0))</f>
        <v/>
      </c>
      <c r="O942" s="26" t="str">
        <f aca="false">IF($D942="","",F942*M942+G942*N942)</f>
        <v/>
      </c>
      <c r="P942" s="26" t="str">
        <f aca="false">IF(OR($D942="",$J942&lt;&gt;"Supplier"),"",IFERROR(INDEX(SupplierRates!$D$5:$D$500,MATCH($K942&amp;"|"&amp;$L942,SupplierRates!$A$5:$A$500,0)),0))</f>
        <v/>
      </c>
      <c r="Q942" s="26" t="str">
        <f aca="false">IF(OR($D942="",$J942&lt;&gt;"Supplier"),"",IFERROR(INDEX(SupplierRates!$E$5:$E$500,MATCH($K942&amp;"|"&amp;$L942,SupplierRates!$A$5:$A$500,0)),0))</f>
        <v/>
      </c>
      <c r="R942" s="26" t="n">
        <f aca="false">IF(OR($D942="",$J942&lt;&gt;"Supplier"),0,F942*P942+G942*Q942)</f>
        <v>0</v>
      </c>
      <c r="S942" s="26" t="n">
        <f aca="false">IF(OR($D942="",$J942&lt;&gt;"Own"),0,IFERROR((F942+G942*Settings!$B$13)*INDEX(Workers!$V$5:$V$2004,MATCH($D942,Workers!$A$5:$A$2004,0)),0))</f>
        <v>0</v>
      </c>
      <c r="T942" s="26" t="str">
        <f aca="false">IF($D942="","",O942-R942-S942)</f>
        <v/>
      </c>
    </row>
    <row r="943" customFormat="false" ht="15" hidden="false" customHeight="false" outlineLevel="0" collapsed="false">
      <c r="I943" s="24" t="str">
        <f aca="false">IF($D943="","",IFERROR(INDEX(Workers!$B$5:$B$2004,MATCH($D943,Workers!$A$5:$A$2004,0)),"NOT FOUND"))</f>
        <v/>
      </c>
      <c r="J943" s="24" t="str">
        <f aca="false">IF($D943="","",IFERROR(INDEX(Workers!$C$5:$C$2004,MATCH($D943,Workers!$A$5:$A$2004,0)),""))</f>
        <v/>
      </c>
      <c r="K943" s="24" t="str">
        <f aca="false">IF($D943="","",IFERROR(IF(INDEX(Workers!$D$5:$D$2004,MATCH($D943,Workers!$A$5:$A$2004,0))=0,"",INDEX(Workers!$D$5:$D$2004,MATCH($D943,Workers!$A$5:$A$2004,0))),""))</f>
        <v/>
      </c>
      <c r="L943" s="24" t="str">
        <f aca="false">IF($D943="","",IFERROR(INDEX(Workers!$E$5:$E$2004,MATCH($D943,Workers!$A$5:$A$2004,0)),""))</f>
        <v/>
      </c>
      <c r="M943" s="26" t="str">
        <f aca="false">IF($D943="","",IFERROR(INDEX(ClientRates!$D$5:$D$500,MATCH($B943&amp;"|"&amp;$L943,ClientRates!$A$5:$A$500,0)),0))</f>
        <v/>
      </c>
      <c r="N943" s="26" t="str">
        <f aca="false">IF($D943="","",IFERROR(INDEX(ClientRates!$E$5:$E$500,MATCH($B943&amp;"|"&amp;$L943,ClientRates!$A$5:$A$500,0)),0))</f>
        <v/>
      </c>
      <c r="O943" s="26" t="str">
        <f aca="false">IF($D943="","",F943*M943+G943*N943)</f>
        <v/>
      </c>
      <c r="P943" s="26" t="str">
        <f aca="false">IF(OR($D943="",$J943&lt;&gt;"Supplier"),"",IFERROR(INDEX(SupplierRates!$D$5:$D$500,MATCH($K943&amp;"|"&amp;$L943,SupplierRates!$A$5:$A$500,0)),0))</f>
        <v/>
      </c>
      <c r="Q943" s="26" t="str">
        <f aca="false">IF(OR($D943="",$J943&lt;&gt;"Supplier"),"",IFERROR(INDEX(SupplierRates!$E$5:$E$500,MATCH($K943&amp;"|"&amp;$L943,SupplierRates!$A$5:$A$500,0)),0))</f>
        <v/>
      </c>
      <c r="R943" s="26" t="n">
        <f aca="false">IF(OR($D943="",$J943&lt;&gt;"Supplier"),0,F943*P943+G943*Q943)</f>
        <v>0</v>
      </c>
      <c r="S943" s="26" t="n">
        <f aca="false">IF(OR($D943="",$J943&lt;&gt;"Own"),0,IFERROR((F943+G943*Settings!$B$13)*INDEX(Workers!$V$5:$V$2004,MATCH($D943,Workers!$A$5:$A$2004,0)),0))</f>
        <v>0</v>
      </c>
      <c r="T943" s="26" t="str">
        <f aca="false">IF($D943="","",O943-R943-S943)</f>
        <v/>
      </c>
    </row>
    <row r="944" customFormat="false" ht="15" hidden="false" customHeight="false" outlineLevel="0" collapsed="false">
      <c r="I944" s="24" t="str">
        <f aca="false">IF($D944="","",IFERROR(INDEX(Workers!$B$5:$B$2004,MATCH($D944,Workers!$A$5:$A$2004,0)),"NOT FOUND"))</f>
        <v/>
      </c>
      <c r="J944" s="24" t="str">
        <f aca="false">IF($D944="","",IFERROR(INDEX(Workers!$C$5:$C$2004,MATCH($D944,Workers!$A$5:$A$2004,0)),""))</f>
        <v/>
      </c>
      <c r="K944" s="24" t="str">
        <f aca="false">IF($D944="","",IFERROR(IF(INDEX(Workers!$D$5:$D$2004,MATCH($D944,Workers!$A$5:$A$2004,0))=0,"",INDEX(Workers!$D$5:$D$2004,MATCH($D944,Workers!$A$5:$A$2004,0))),""))</f>
        <v/>
      </c>
      <c r="L944" s="24" t="str">
        <f aca="false">IF($D944="","",IFERROR(INDEX(Workers!$E$5:$E$2004,MATCH($D944,Workers!$A$5:$A$2004,0)),""))</f>
        <v/>
      </c>
      <c r="M944" s="26" t="str">
        <f aca="false">IF($D944="","",IFERROR(INDEX(ClientRates!$D$5:$D$500,MATCH($B944&amp;"|"&amp;$L944,ClientRates!$A$5:$A$500,0)),0))</f>
        <v/>
      </c>
      <c r="N944" s="26" t="str">
        <f aca="false">IF($D944="","",IFERROR(INDEX(ClientRates!$E$5:$E$500,MATCH($B944&amp;"|"&amp;$L944,ClientRates!$A$5:$A$500,0)),0))</f>
        <v/>
      </c>
      <c r="O944" s="26" t="str">
        <f aca="false">IF($D944="","",F944*M944+G944*N944)</f>
        <v/>
      </c>
      <c r="P944" s="26" t="str">
        <f aca="false">IF(OR($D944="",$J944&lt;&gt;"Supplier"),"",IFERROR(INDEX(SupplierRates!$D$5:$D$500,MATCH($K944&amp;"|"&amp;$L944,SupplierRates!$A$5:$A$500,0)),0))</f>
        <v/>
      </c>
      <c r="Q944" s="26" t="str">
        <f aca="false">IF(OR($D944="",$J944&lt;&gt;"Supplier"),"",IFERROR(INDEX(SupplierRates!$E$5:$E$500,MATCH($K944&amp;"|"&amp;$L944,SupplierRates!$A$5:$A$500,0)),0))</f>
        <v/>
      </c>
      <c r="R944" s="26" t="n">
        <f aca="false">IF(OR($D944="",$J944&lt;&gt;"Supplier"),0,F944*P944+G944*Q944)</f>
        <v>0</v>
      </c>
      <c r="S944" s="26" t="n">
        <f aca="false">IF(OR($D944="",$J944&lt;&gt;"Own"),0,IFERROR((F944+G944*Settings!$B$13)*INDEX(Workers!$V$5:$V$2004,MATCH($D944,Workers!$A$5:$A$2004,0)),0))</f>
        <v>0</v>
      </c>
      <c r="T944" s="26" t="str">
        <f aca="false">IF($D944="","",O944-R944-S944)</f>
        <v/>
      </c>
    </row>
    <row r="945" customFormat="false" ht="15" hidden="false" customHeight="false" outlineLevel="0" collapsed="false">
      <c r="I945" s="24" t="str">
        <f aca="false">IF($D945="","",IFERROR(INDEX(Workers!$B$5:$B$2004,MATCH($D945,Workers!$A$5:$A$2004,0)),"NOT FOUND"))</f>
        <v/>
      </c>
      <c r="J945" s="24" t="str">
        <f aca="false">IF($D945="","",IFERROR(INDEX(Workers!$C$5:$C$2004,MATCH($D945,Workers!$A$5:$A$2004,0)),""))</f>
        <v/>
      </c>
      <c r="K945" s="24" t="str">
        <f aca="false">IF($D945="","",IFERROR(IF(INDEX(Workers!$D$5:$D$2004,MATCH($D945,Workers!$A$5:$A$2004,0))=0,"",INDEX(Workers!$D$5:$D$2004,MATCH($D945,Workers!$A$5:$A$2004,0))),""))</f>
        <v/>
      </c>
      <c r="L945" s="24" t="str">
        <f aca="false">IF($D945="","",IFERROR(INDEX(Workers!$E$5:$E$2004,MATCH($D945,Workers!$A$5:$A$2004,0)),""))</f>
        <v/>
      </c>
      <c r="M945" s="26" t="str">
        <f aca="false">IF($D945="","",IFERROR(INDEX(ClientRates!$D$5:$D$500,MATCH($B945&amp;"|"&amp;$L945,ClientRates!$A$5:$A$500,0)),0))</f>
        <v/>
      </c>
      <c r="N945" s="26" t="str">
        <f aca="false">IF($D945="","",IFERROR(INDEX(ClientRates!$E$5:$E$500,MATCH($B945&amp;"|"&amp;$L945,ClientRates!$A$5:$A$500,0)),0))</f>
        <v/>
      </c>
      <c r="O945" s="26" t="str">
        <f aca="false">IF($D945="","",F945*M945+G945*N945)</f>
        <v/>
      </c>
      <c r="P945" s="26" t="str">
        <f aca="false">IF(OR($D945="",$J945&lt;&gt;"Supplier"),"",IFERROR(INDEX(SupplierRates!$D$5:$D$500,MATCH($K945&amp;"|"&amp;$L945,SupplierRates!$A$5:$A$500,0)),0))</f>
        <v/>
      </c>
      <c r="Q945" s="26" t="str">
        <f aca="false">IF(OR($D945="",$J945&lt;&gt;"Supplier"),"",IFERROR(INDEX(SupplierRates!$E$5:$E$500,MATCH($K945&amp;"|"&amp;$L945,SupplierRates!$A$5:$A$500,0)),0))</f>
        <v/>
      </c>
      <c r="R945" s="26" t="n">
        <f aca="false">IF(OR($D945="",$J945&lt;&gt;"Supplier"),0,F945*P945+G945*Q945)</f>
        <v>0</v>
      </c>
      <c r="S945" s="26" t="n">
        <f aca="false">IF(OR($D945="",$J945&lt;&gt;"Own"),0,IFERROR((F945+G945*Settings!$B$13)*INDEX(Workers!$V$5:$V$2004,MATCH($D945,Workers!$A$5:$A$2004,0)),0))</f>
        <v>0</v>
      </c>
      <c r="T945" s="26" t="str">
        <f aca="false">IF($D945="","",O945-R945-S945)</f>
        <v/>
      </c>
    </row>
    <row r="946" customFormat="false" ht="15" hidden="false" customHeight="false" outlineLevel="0" collapsed="false">
      <c r="I946" s="24" t="str">
        <f aca="false">IF($D946="","",IFERROR(INDEX(Workers!$B$5:$B$2004,MATCH($D946,Workers!$A$5:$A$2004,0)),"NOT FOUND"))</f>
        <v/>
      </c>
      <c r="J946" s="24" t="str">
        <f aca="false">IF($D946="","",IFERROR(INDEX(Workers!$C$5:$C$2004,MATCH($D946,Workers!$A$5:$A$2004,0)),""))</f>
        <v/>
      </c>
      <c r="K946" s="24" t="str">
        <f aca="false">IF($D946="","",IFERROR(IF(INDEX(Workers!$D$5:$D$2004,MATCH($D946,Workers!$A$5:$A$2004,0))=0,"",INDEX(Workers!$D$5:$D$2004,MATCH($D946,Workers!$A$5:$A$2004,0))),""))</f>
        <v/>
      </c>
      <c r="L946" s="24" t="str">
        <f aca="false">IF($D946="","",IFERROR(INDEX(Workers!$E$5:$E$2004,MATCH($D946,Workers!$A$5:$A$2004,0)),""))</f>
        <v/>
      </c>
      <c r="M946" s="26" t="str">
        <f aca="false">IF($D946="","",IFERROR(INDEX(ClientRates!$D$5:$D$500,MATCH($B946&amp;"|"&amp;$L946,ClientRates!$A$5:$A$500,0)),0))</f>
        <v/>
      </c>
      <c r="N946" s="26" t="str">
        <f aca="false">IF($D946="","",IFERROR(INDEX(ClientRates!$E$5:$E$500,MATCH($B946&amp;"|"&amp;$L946,ClientRates!$A$5:$A$500,0)),0))</f>
        <v/>
      </c>
      <c r="O946" s="26" t="str">
        <f aca="false">IF($D946="","",F946*M946+G946*N946)</f>
        <v/>
      </c>
      <c r="P946" s="26" t="str">
        <f aca="false">IF(OR($D946="",$J946&lt;&gt;"Supplier"),"",IFERROR(INDEX(SupplierRates!$D$5:$D$500,MATCH($K946&amp;"|"&amp;$L946,SupplierRates!$A$5:$A$500,0)),0))</f>
        <v/>
      </c>
      <c r="Q946" s="26" t="str">
        <f aca="false">IF(OR($D946="",$J946&lt;&gt;"Supplier"),"",IFERROR(INDEX(SupplierRates!$E$5:$E$500,MATCH($K946&amp;"|"&amp;$L946,SupplierRates!$A$5:$A$500,0)),0))</f>
        <v/>
      </c>
      <c r="R946" s="26" t="n">
        <f aca="false">IF(OR($D946="",$J946&lt;&gt;"Supplier"),0,F946*P946+G946*Q946)</f>
        <v>0</v>
      </c>
      <c r="S946" s="26" t="n">
        <f aca="false">IF(OR($D946="",$J946&lt;&gt;"Own"),0,IFERROR((F946+G946*Settings!$B$13)*INDEX(Workers!$V$5:$V$2004,MATCH($D946,Workers!$A$5:$A$2004,0)),0))</f>
        <v>0</v>
      </c>
      <c r="T946" s="26" t="str">
        <f aca="false">IF($D946="","",O946-R946-S946)</f>
        <v/>
      </c>
    </row>
    <row r="947" customFormat="false" ht="15" hidden="false" customHeight="false" outlineLevel="0" collapsed="false">
      <c r="I947" s="24" t="str">
        <f aca="false">IF($D947="","",IFERROR(INDEX(Workers!$B$5:$B$2004,MATCH($D947,Workers!$A$5:$A$2004,0)),"NOT FOUND"))</f>
        <v/>
      </c>
      <c r="J947" s="24" t="str">
        <f aca="false">IF($D947="","",IFERROR(INDEX(Workers!$C$5:$C$2004,MATCH($D947,Workers!$A$5:$A$2004,0)),""))</f>
        <v/>
      </c>
      <c r="K947" s="24" t="str">
        <f aca="false">IF($D947="","",IFERROR(IF(INDEX(Workers!$D$5:$D$2004,MATCH($D947,Workers!$A$5:$A$2004,0))=0,"",INDEX(Workers!$D$5:$D$2004,MATCH($D947,Workers!$A$5:$A$2004,0))),""))</f>
        <v/>
      </c>
      <c r="L947" s="24" t="str">
        <f aca="false">IF($D947="","",IFERROR(INDEX(Workers!$E$5:$E$2004,MATCH($D947,Workers!$A$5:$A$2004,0)),""))</f>
        <v/>
      </c>
      <c r="M947" s="26" t="str">
        <f aca="false">IF($D947="","",IFERROR(INDEX(ClientRates!$D$5:$D$500,MATCH($B947&amp;"|"&amp;$L947,ClientRates!$A$5:$A$500,0)),0))</f>
        <v/>
      </c>
      <c r="N947" s="26" t="str">
        <f aca="false">IF($D947="","",IFERROR(INDEX(ClientRates!$E$5:$E$500,MATCH($B947&amp;"|"&amp;$L947,ClientRates!$A$5:$A$500,0)),0))</f>
        <v/>
      </c>
      <c r="O947" s="26" t="str">
        <f aca="false">IF($D947="","",F947*M947+G947*N947)</f>
        <v/>
      </c>
      <c r="P947" s="26" t="str">
        <f aca="false">IF(OR($D947="",$J947&lt;&gt;"Supplier"),"",IFERROR(INDEX(SupplierRates!$D$5:$D$500,MATCH($K947&amp;"|"&amp;$L947,SupplierRates!$A$5:$A$500,0)),0))</f>
        <v/>
      </c>
      <c r="Q947" s="26" t="str">
        <f aca="false">IF(OR($D947="",$J947&lt;&gt;"Supplier"),"",IFERROR(INDEX(SupplierRates!$E$5:$E$500,MATCH($K947&amp;"|"&amp;$L947,SupplierRates!$A$5:$A$500,0)),0))</f>
        <v/>
      </c>
      <c r="R947" s="26" t="n">
        <f aca="false">IF(OR($D947="",$J947&lt;&gt;"Supplier"),0,F947*P947+G947*Q947)</f>
        <v>0</v>
      </c>
      <c r="S947" s="26" t="n">
        <f aca="false">IF(OR($D947="",$J947&lt;&gt;"Own"),0,IFERROR((F947+G947*Settings!$B$13)*INDEX(Workers!$V$5:$V$2004,MATCH($D947,Workers!$A$5:$A$2004,0)),0))</f>
        <v>0</v>
      </c>
      <c r="T947" s="26" t="str">
        <f aca="false">IF($D947="","",O947-R947-S947)</f>
        <v/>
      </c>
    </row>
    <row r="948" customFormat="false" ht="15" hidden="false" customHeight="false" outlineLevel="0" collapsed="false">
      <c r="I948" s="24" t="str">
        <f aca="false">IF($D948="","",IFERROR(INDEX(Workers!$B$5:$B$2004,MATCH($D948,Workers!$A$5:$A$2004,0)),"NOT FOUND"))</f>
        <v/>
      </c>
      <c r="J948" s="24" t="str">
        <f aca="false">IF($D948="","",IFERROR(INDEX(Workers!$C$5:$C$2004,MATCH($D948,Workers!$A$5:$A$2004,0)),""))</f>
        <v/>
      </c>
      <c r="K948" s="24" t="str">
        <f aca="false">IF($D948="","",IFERROR(IF(INDEX(Workers!$D$5:$D$2004,MATCH($D948,Workers!$A$5:$A$2004,0))=0,"",INDEX(Workers!$D$5:$D$2004,MATCH($D948,Workers!$A$5:$A$2004,0))),""))</f>
        <v/>
      </c>
      <c r="L948" s="24" t="str">
        <f aca="false">IF($D948="","",IFERROR(INDEX(Workers!$E$5:$E$2004,MATCH($D948,Workers!$A$5:$A$2004,0)),""))</f>
        <v/>
      </c>
      <c r="M948" s="26" t="str">
        <f aca="false">IF($D948="","",IFERROR(INDEX(ClientRates!$D$5:$D$500,MATCH($B948&amp;"|"&amp;$L948,ClientRates!$A$5:$A$500,0)),0))</f>
        <v/>
      </c>
      <c r="N948" s="26" t="str">
        <f aca="false">IF($D948="","",IFERROR(INDEX(ClientRates!$E$5:$E$500,MATCH($B948&amp;"|"&amp;$L948,ClientRates!$A$5:$A$500,0)),0))</f>
        <v/>
      </c>
      <c r="O948" s="26" t="str">
        <f aca="false">IF($D948="","",F948*M948+G948*N948)</f>
        <v/>
      </c>
      <c r="P948" s="26" t="str">
        <f aca="false">IF(OR($D948="",$J948&lt;&gt;"Supplier"),"",IFERROR(INDEX(SupplierRates!$D$5:$D$500,MATCH($K948&amp;"|"&amp;$L948,SupplierRates!$A$5:$A$500,0)),0))</f>
        <v/>
      </c>
      <c r="Q948" s="26" t="str">
        <f aca="false">IF(OR($D948="",$J948&lt;&gt;"Supplier"),"",IFERROR(INDEX(SupplierRates!$E$5:$E$500,MATCH($K948&amp;"|"&amp;$L948,SupplierRates!$A$5:$A$500,0)),0))</f>
        <v/>
      </c>
      <c r="R948" s="26" t="n">
        <f aca="false">IF(OR($D948="",$J948&lt;&gt;"Supplier"),0,F948*P948+G948*Q948)</f>
        <v>0</v>
      </c>
      <c r="S948" s="26" t="n">
        <f aca="false">IF(OR($D948="",$J948&lt;&gt;"Own"),0,IFERROR((F948+G948*Settings!$B$13)*INDEX(Workers!$V$5:$V$2004,MATCH($D948,Workers!$A$5:$A$2004,0)),0))</f>
        <v>0</v>
      </c>
      <c r="T948" s="26" t="str">
        <f aca="false">IF($D948="","",O948-R948-S948)</f>
        <v/>
      </c>
    </row>
    <row r="949" customFormat="false" ht="15" hidden="false" customHeight="false" outlineLevel="0" collapsed="false">
      <c r="I949" s="24" t="str">
        <f aca="false">IF($D949="","",IFERROR(INDEX(Workers!$B$5:$B$2004,MATCH($D949,Workers!$A$5:$A$2004,0)),"NOT FOUND"))</f>
        <v/>
      </c>
      <c r="J949" s="24" t="str">
        <f aca="false">IF($D949="","",IFERROR(INDEX(Workers!$C$5:$C$2004,MATCH($D949,Workers!$A$5:$A$2004,0)),""))</f>
        <v/>
      </c>
      <c r="K949" s="24" t="str">
        <f aca="false">IF($D949="","",IFERROR(IF(INDEX(Workers!$D$5:$D$2004,MATCH($D949,Workers!$A$5:$A$2004,0))=0,"",INDEX(Workers!$D$5:$D$2004,MATCH($D949,Workers!$A$5:$A$2004,0))),""))</f>
        <v/>
      </c>
      <c r="L949" s="24" t="str">
        <f aca="false">IF($D949="","",IFERROR(INDEX(Workers!$E$5:$E$2004,MATCH($D949,Workers!$A$5:$A$2004,0)),""))</f>
        <v/>
      </c>
      <c r="M949" s="26" t="str">
        <f aca="false">IF($D949="","",IFERROR(INDEX(ClientRates!$D$5:$D$500,MATCH($B949&amp;"|"&amp;$L949,ClientRates!$A$5:$A$500,0)),0))</f>
        <v/>
      </c>
      <c r="N949" s="26" t="str">
        <f aca="false">IF($D949="","",IFERROR(INDEX(ClientRates!$E$5:$E$500,MATCH($B949&amp;"|"&amp;$L949,ClientRates!$A$5:$A$500,0)),0))</f>
        <v/>
      </c>
      <c r="O949" s="26" t="str">
        <f aca="false">IF($D949="","",F949*M949+G949*N949)</f>
        <v/>
      </c>
      <c r="P949" s="26" t="str">
        <f aca="false">IF(OR($D949="",$J949&lt;&gt;"Supplier"),"",IFERROR(INDEX(SupplierRates!$D$5:$D$500,MATCH($K949&amp;"|"&amp;$L949,SupplierRates!$A$5:$A$500,0)),0))</f>
        <v/>
      </c>
      <c r="Q949" s="26" t="str">
        <f aca="false">IF(OR($D949="",$J949&lt;&gt;"Supplier"),"",IFERROR(INDEX(SupplierRates!$E$5:$E$500,MATCH($K949&amp;"|"&amp;$L949,SupplierRates!$A$5:$A$500,0)),0))</f>
        <v/>
      </c>
      <c r="R949" s="26" t="n">
        <f aca="false">IF(OR($D949="",$J949&lt;&gt;"Supplier"),0,F949*P949+G949*Q949)</f>
        <v>0</v>
      </c>
      <c r="S949" s="26" t="n">
        <f aca="false">IF(OR($D949="",$J949&lt;&gt;"Own"),0,IFERROR((F949+G949*Settings!$B$13)*INDEX(Workers!$V$5:$V$2004,MATCH($D949,Workers!$A$5:$A$2004,0)),0))</f>
        <v>0</v>
      </c>
      <c r="T949" s="26" t="str">
        <f aca="false">IF($D949="","",O949-R949-S949)</f>
        <v/>
      </c>
    </row>
    <row r="950" customFormat="false" ht="15" hidden="false" customHeight="false" outlineLevel="0" collapsed="false">
      <c r="I950" s="24" t="str">
        <f aca="false">IF($D950="","",IFERROR(INDEX(Workers!$B$5:$B$2004,MATCH($D950,Workers!$A$5:$A$2004,0)),"NOT FOUND"))</f>
        <v/>
      </c>
      <c r="J950" s="24" t="str">
        <f aca="false">IF($D950="","",IFERROR(INDEX(Workers!$C$5:$C$2004,MATCH($D950,Workers!$A$5:$A$2004,0)),""))</f>
        <v/>
      </c>
      <c r="K950" s="24" t="str">
        <f aca="false">IF($D950="","",IFERROR(IF(INDEX(Workers!$D$5:$D$2004,MATCH($D950,Workers!$A$5:$A$2004,0))=0,"",INDEX(Workers!$D$5:$D$2004,MATCH($D950,Workers!$A$5:$A$2004,0))),""))</f>
        <v/>
      </c>
      <c r="L950" s="24" t="str">
        <f aca="false">IF($D950="","",IFERROR(INDEX(Workers!$E$5:$E$2004,MATCH($D950,Workers!$A$5:$A$2004,0)),""))</f>
        <v/>
      </c>
      <c r="M950" s="26" t="str">
        <f aca="false">IF($D950="","",IFERROR(INDEX(ClientRates!$D$5:$D$500,MATCH($B950&amp;"|"&amp;$L950,ClientRates!$A$5:$A$500,0)),0))</f>
        <v/>
      </c>
      <c r="N950" s="26" t="str">
        <f aca="false">IF($D950="","",IFERROR(INDEX(ClientRates!$E$5:$E$500,MATCH($B950&amp;"|"&amp;$L950,ClientRates!$A$5:$A$500,0)),0))</f>
        <v/>
      </c>
      <c r="O950" s="26" t="str">
        <f aca="false">IF($D950="","",F950*M950+G950*N950)</f>
        <v/>
      </c>
      <c r="P950" s="26" t="str">
        <f aca="false">IF(OR($D950="",$J950&lt;&gt;"Supplier"),"",IFERROR(INDEX(SupplierRates!$D$5:$D$500,MATCH($K950&amp;"|"&amp;$L950,SupplierRates!$A$5:$A$500,0)),0))</f>
        <v/>
      </c>
      <c r="Q950" s="26" t="str">
        <f aca="false">IF(OR($D950="",$J950&lt;&gt;"Supplier"),"",IFERROR(INDEX(SupplierRates!$E$5:$E$500,MATCH($K950&amp;"|"&amp;$L950,SupplierRates!$A$5:$A$500,0)),0))</f>
        <v/>
      </c>
      <c r="R950" s="26" t="n">
        <f aca="false">IF(OR($D950="",$J950&lt;&gt;"Supplier"),0,F950*P950+G950*Q950)</f>
        <v>0</v>
      </c>
      <c r="S950" s="26" t="n">
        <f aca="false">IF(OR($D950="",$J950&lt;&gt;"Own"),0,IFERROR((F950+G950*Settings!$B$13)*INDEX(Workers!$V$5:$V$2004,MATCH($D950,Workers!$A$5:$A$2004,0)),0))</f>
        <v>0</v>
      </c>
      <c r="T950" s="26" t="str">
        <f aca="false">IF($D950="","",O950-R950-S950)</f>
        <v/>
      </c>
    </row>
    <row r="951" customFormat="false" ht="15" hidden="false" customHeight="false" outlineLevel="0" collapsed="false">
      <c r="I951" s="24" t="str">
        <f aca="false">IF($D951="","",IFERROR(INDEX(Workers!$B$5:$B$2004,MATCH($D951,Workers!$A$5:$A$2004,0)),"NOT FOUND"))</f>
        <v/>
      </c>
      <c r="J951" s="24" t="str">
        <f aca="false">IF($D951="","",IFERROR(INDEX(Workers!$C$5:$C$2004,MATCH($D951,Workers!$A$5:$A$2004,0)),""))</f>
        <v/>
      </c>
      <c r="K951" s="24" t="str">
        <f aca="false">IF($D951="","",IFERROR(IF(INDEX(Workers!$D$5:$D$2004,MATCH($D951,Workers!$A$5:$A$2004,0))=0,"",INDEX(Workers!$D$5:$D$2004,MATCH($D951,Workers!$A$5:$A$2004,0))),""))</f>
        <v/>
      </c>
      <c r="L951" s="24" t="str">
        <f aca="false">IF($D951="","",IFERROR(INDEX(Workers!$E$5:$E$2004,MATCH($D951,Workers!$A$5:$A$2004,0)),""))</f>
        <v/>
      </c>
      <c r="M951" s="26" t="str">
        <f aca="false">IF($D951="","",IFERROR(INDEX(ClientRates!$D$5:$D$500,MATCH($B951&amp;"|"&amp;$L951,ClientRates!$A$5:$A$500,0)),0))</f>
        <v/>
      </c>
      <c r="N951" s="26" t="str">
        <f aca="false">IF($D951="","",IFERROR(INDEX(ClientRates!$E$5:$E$500,MATCH($B951&amp;"|"&amp;$L951,ClientRates!$A$5:$A$500,0)),0))</f>
        <v/>
      </c>
      <c r="O951" s="26" t="str">
        <f aca="false">IF($D951="","",F951*M951+G951*N951)</f>
        <v/>
      </c>
      <c r="P951" s="26" t="str">
        <f aca="false">IF(OR($D951="",$J951&lt;&gt;"Supplier"),"",IFERROR(INDEX(SupplierRates!$D$5:$D$500,MATCH($K951&amp;"|"&amp;$L951,SupplierRates!$A$5:$A$500,0)),0))</f>
        <v/>
      </c>
      <c r="Q951" s="26" t="str">
        <f aca="false">IF(OR($D951="",$J951&lt;&gt;"Supplier"),"",IFERROR(INDEX(SupplierRates!$E$5:$E$500,MATCH($K951&amp;"|"&amp;$L951,SupplierRates!$A$5:$A$500,0)),0))</f>
        <v/>
      </c>
      <c r="R951" s="26" t="n">
        <f aca="false">IF(OR($D951="",$J951&lt;&gt;"Supplier"),0,F951*P951+G951*Q951)</f>
        <v>0</v>
      </c>
      <c r="S951" s="26" t="n">
        <f aca="false">IF(OR($D951="",$J951&lt;&gt;"Own"),0,IFERROR((F951+G951*Settings!$B$13)*INDEX(Workers!$V$5:$V$2004,MATCH($D951,Workers!$A$5:$A$2004,0)),0))</f>
        <v>0</v>
      </c>
      <c r="T951" s="26" t="str">
        <f aca="false">IF($D951="","",O951-R951-S951)</f>
        <v/>
      </c>
    </row>
    <row r="952" customFormat="false" ht="15" hidden="false" customHeight="false" outlineLevel="0" collapsed="false">
      <c r="I952" s="24" t="str">
        <f aca="false">IF($D952="","",IFERROR(INDEX(Workers!$B$5:$B$2004,MATCH($D952,Workers!$A$5:$A$2004,0)),"NOT FOUND"))</f>
        <v/>
      </c>
      <c r="J952" s="24" t="str">
        <f aca="false">IF($D952="","",IFERROR(INDEX(Workers!$C$5:$C$2004,MATCH($D952,Workers!$A$5:$A$2004,0)),""))</f>
        <v/>
      </c>
      <c r="K952" s="24" t="str">
        <f aca="false">IF($D952="","",IFERROR(IF(INDEX(Workers!$D$5:$D$2004,MATCH($D952,Workers!$A$5:$A$2004,0))=0,"",INDEX(Workers!$D$5:$D$2004,MATCH($D952,Workers!$A$5:$A$2004,0))),""))</f>
        <v/>
      </c>
      <c r="L952" s="24" t="str">
        <f aca="false">IF($D952="","",IFERROR(INDEX(Workers!$E$5:$E$2004,MATCH($D952,Workers!$A$5:$A$2004,0)),""))</f>
        <v/>
      </c>
      <c r="M952" s="26" t="str">
        <f aca="false">IF($D952="","",IFERROR(INDEX(ClientRates!$D$5:$D$500,MATCH($B952&amp;"|"&amp;$L952,ClientRates!$A$5:$A$500,0)),0))</f>
        <v/>
      </c>
      <c r="N952" s="26" t="str">
        <f aca="false">IF($D952="","",IFERROR(INDEX(ClientRates!$E$5:$E$500,MATCH($B952&amp;"|"&amp;$L952,ClientRates!$A$5:$A$500,0)),0))</f>
        <v/>
      </c>
      <c r="O952" s="26" t="str">
        <f aca="false">IF($D952="","",F952*M952+G952*N952)</f>
        <v/>
      </c>
      <c r="P952" s="26" t="str">
        <f aca="false">IF(OR($D952="",$J952&lt;&gt;"Supplier"),"",IFERROR(INDEX(SupplierRates!$D$5:$D$500,MATCH($K952&amp;"|"&amp;$L952,SupplierRates!$A$5:$A$500,0)),0))</f>
        <v/>
      </c>
      <c r="Q952" s="26" t="str">
        <f aca="false">IF(OR($D952="",$J952&lt;&gt;"Supplier"),"",IFERROR(INDEX(SupplierRates!$E$5:$E$500,MATCH($K952&amp;"|"&amp;$L952,SupplierRates!$A$5:$A$500,0)),0))</f>
        <v/>
      </c>
      <c r="R952" s="26" t="n">
        <f aca="false">IF(OR($D952="",$J952&lt;&gt;"Supplier"),0,F952*P952+G952*Q952)</f>
        <v>0</v>
      </c>
      <c r="S952" s="26" t="n">
        <f aca="false">IF(OR($D952="",$J952&lt;&gt;"Own"),0,IFERROR((F952+G952*Settings!$B$13)*INDEX(Workers!$V$5:$V$2004,MATCH($D952,Workers!$A$5:$A$2004,0)),0))</f>
        <v>0</v>
      </c>
      <c r="T952" s="26" t="str">
        <f aca="false">IF($D952="","",O952-R952-S952)</f>
        <v/>
      </c>
    </row>
    <row r="953" customFormat="false" ht="15" hidden="false" customHeight="false" outlineLevel="0" collapsed="false">
      <c r="I953" s="24" t="str">
        <f aca="false">IF($D953="","",IFERROR(INDEX(Workers!$B$5:$B$2004,MATCH($D953,Workers!$A$5:$A$2004,0)),"NOT FOUND"))</f>
        <v/>
      </c>
      <c r="J953" s="24" t="str">
        <f aca="false">IF($D953="","",IFERROR(INDEX(Workers!$C$5:$C$2004,MATCH($D953,Workers!$A$5:$A$2004,0)),""))</f>
        <v/>
      </c>
      <c r="K953" s="24" t="str">
        <f aca="false">IF($D953="","",IFERROR(IF(INDEX(Workers!$D$5:$D$2004,MATCH($D953,Workers!$A$5:$A$2004,0))=0,"",INDEX(Workers!$D$5:$D$2004,MATCH($D953,Workers!$A$5:$A$2004,0))),""))</f>
        <v/>
      </c>
      <c r="L953" s="24" t="str">
        <f aca="false">IF($D953="","",IFERROR(INDEX(Workers!$E$5:$E$2004,MATCH($D953,Workers!$A$5:$A$2004,0)),""))</f>
        <v/>
      </c>
      <c r="M953" s="26" t="str">
        <f aca="false">IF($D953="","",IFERROR(INDEX(ClientRates!$D$5:$D$500,MATCH($B953&amp;"|"&amp;$L953,ClientRates!$A$5:$A$500,0)),0))</f>
        <v/>
      </c>
      <c r="N953" s="26" t="str">
        <f aca="false">IF($D953="","",IFERROR(INDEX(ClientRates!$E$5:$E$500,MATCH($B953&amp;"|"&amp;$L953,ClientRates!$A$5:$A$500,0)),0))</f>
        <v/>
      </c>
      <c r="O953" s="26" t="str">
        <f aca="false">IF($D953="","",F953*M953+G953*N953)</f>
        <v/>
      </c>
      <c r="P953" s="26" t="str">
        <f aca="false">IF(OR($D953="",$J953&lt;&gt;"Supplier"),"",IFERROR(INDEX(SupplierRates!$D$5:$D$500,MATCH($K953&amp;"|"&amp;$L953,SupplierRates!$A$5:$A$500,0)),0))</f>
        <v/>
      </c>
      <c r="Q953" s="26" t="str">
        <f aca="false">IF(OR($D953="",$J953&lt;&gt;"Supplier"),"",IFERROR(INDEX(SupplierRates!$E$5:$E$500,MATCH($K953&amp;"|"&amp;$L953,SupplierRates!$A$5:$A$500,0)),0))</f>
        <v/>
      </c>
      <c r="R953" s="26" t="n">
        <f aca="false">IF(OR($D953="",$J953&lt;&gt;"Supplier"),0,F953*P953+G953*Q953)</f>
        <v>0</v>
      </c>
      <c r="S953" s="26" t="n">
        <f aca="false">IF(OR($D953="",$J953&lt;&gt;"Own"),0,IFERROR((F953+G953*Settings!$B$13)*INDEX(Workers!$V$5:$V$2004,MATCH($D953,Workers!$A$5:$A$2004,0)),0))</f>
        <v>0</v>
      </c>
      <c r="T953" s="26" t="str">
        <f aca="false">IF($D953="","",O953-R953-S953)</f>
        <v/>
      </c>
    </row>
    <row r="954" customFormat="false" ht="15" hidden="false" customHeight="false" outlineLevel="0" collapsed="false">
      <c r="I954" s="24" t="str">
        <f aca="false">IF($D954="","",IFERROR(INDEX(Workers!$B$5:$B$2004,MATCH($D954,Workers!$A$5:$A$2004,0)),"NOT FOUND"))</f>
        <v/>
      </c>
      <c r="J954" s="24" t="str">
        <f aca="false">IF($D954="","",IFERROR(INDEX(Workers!$C$5:$C$2004,MATCH($D954,Workers!$A$5:$A$2004,0)),""))</f>
        <v/>
      </c>
      <c r="K954" s="24" t="str">
        <f aca="false">IF($D954="","",IFERROR(IF(INDEX(Workers!$D$5:$D$2004,MATCH($D954,Workers!$A$5:$A$2004,0))=0,"",INDEX(Workers!$D$5:$D$2004,MATCH($D954,Workers!$A$5:$A$2004,0))),""))</f>
        <v/>
      </c>
      <c r="L954" s="24" t="str">
        <f aca="false">IF($D954="","",IFERROR(INDEX(Workers!$E$5:$E$2004,MATCH($D954,Workers!$A$5:$A$2004,0)),""))</f>
        <v/>
      </c>
      <c r="M954" s="26" t="str">
        <f aca="false">IF($D954="","",IFERROR(INDEX(ClientRates!$D$5:$D$500,MATCH($B954&amp;"|"&amp;$L954,ClientRates!$A$5:$A$500,0)),0))</f>
        <v/>
      </c>
      <c r="N954" s="26" t="str">
        <f aca="false">IF($D954="","",IFERROR(INDEX(ClientRates!$E$5:$E$500,MATCH($B954&amp;"|"&amp;$L954,ClientRates!$A$5:$A$500,0)),0))</f>
        <v/>
      </c>
      <c r="O954" s="26" t="str">
        <f aca="false">IF($D954="","",F954*M954+G954*N954)</f>
        <v/>
      </c>
      <c r="P954" s="26" t="str">
        <f aca="false">IF(OR($D954="",$J954&lt;&gt;"Supplier"),"",IFERROR(INDEX(SupplierRates!$D$5:$D$500,MATCH($K954&amp;"|"&amp;$L954,SupplierRates!$A$5:$A$500,0)),0))</f>
        <v/>
      </c>
      <c r="Q954" s="26" t="str">
        <f aca="false">IF(OR($D954="",$J954&lt;&gt;"Supplier"),"",IFERROR(INDEX(SupplierRates!$E$5:$E$500,MATCH($K954&amp;"|"&amp;$L954,SupplierRates!$A$5:$A$500,0)),0))</f>
        <v/>
      </c>
      <c r="R954" s="26" t="n">
        <f aca="false">IF(OR($D954="",$J954&lt;&gt;"Supplier"),0,F954*P954+G954*Q954)</f>
        <v>0</v>
      </c>
      <c r="S954" s="26" t="n">
        <f aca="false">IF(OR($D954="",$J954&lt;&gt;"Own"),0,IFERROR((F954+G954*Settings!$B$13)*INDEX(Workers!$V$5:$V$2004,MATCH($D954,Workers!$A$5:$A$2004,0)),0))</f>
        <v>0</v>
      </c>
      <c r="T954" s="26" t="str">
        <f aca="false">IF($D954="","",O954-R954-S954)</f>
        <v/>
      </c>
    </row>
    <row r="955" customFormat="false" ht="15" hidden="false" customHeight="false" outlineLevel="0" collapsed="false">
      <c r="I955" s="24" t="str">
        <f aca="false">IF($D955="","",IFERROR(INDEX(Workers!$B$5:$B$2004,MATCH($D955,Workers!$A$5:$A$2004,0)),"NOT FOUND"))</f>
        <v/>
      </c>
      <c r="J955" s="24" t="str">
        <f aca="false">IF($D955="","",IFERROR(INDEX(Workers!$C$5:$C$2004,MATCH($D955,Workers!$A$5:$A$2004,0)),""))</f>
        <v/>
      </c>
      <c r="K955" s="24" t="str">
        <f aca="false">IF($D955="","",IFERROR(IF(INDEX(Workers!$D$5:$D$2004,MATCH($D955,Workers!$A$5:$A$2004,0))=0,"",INDEX(Workers!$D$5:$D$2004,MATCH($D955,Workers!$A$5:$A$2004,0))),""))</f>
        <v/>
      </c>
      <c r="L955" s="24" t="str">
        <f aca="false">IF($D955="","",IFERROR(INDEX(Workers!$E$5:$E$2004,MATCH($D955,Workers!$A$5:$A$2004,0)),""))</f>
        <v/>
      </c>
      <c r="M955" s="26" t="str">
        <f aca="false">IF($D955="","",IFERROR(INDEX(ClientRates!$D$5:$D$500,MATCH($B955&amp;"|"&amp;$L955,ClientRates!$A$5:$A$500,0)),0))</f>
        <v/>
      </c>
      <c r="N955" s="26" t="str">
        <f aca="false">IF($D955="","",IFERROR(INDEX(ClientRates!$E$5:$E$500,MATCH($B955&amp;"|"&amp;$L955,ClientRates!$A$5:$A$500,0)),0))</f>
        <v/>
      </c>
      <c r="O955" s="26" t="str">
        <f aca="false">IF($D955="","",F955*M955+G955*N955)</f>
        <v/>
      </c>
      <c r="P955" s="26" t="str">
        <f aca="false">IF(OR($D955="",$J955&lt;&gt;"Supplier"),"",IFERROR(INDEX(SupplierRates!$D$5:$D$500,MATCH($K955&amp;"|"&amp;$L955,SupplierRates!$A$5:$A$500,0)),0))</f>
        <v/>
      </c>
      <c r="Q955" s="26" t="str">
        <f aca="false">IF(OR($D955="",$J955&lt;&gt;"Supplier"),"",IFERROR(INDEX(SupplierRates!$E$5:$E$500,MATCH($K955&amp;"|"&amp;$L955,SupplierRates!$A$5:$A$500,0)),0))</f>
        <v/>
      </c>
      <c r="R955" s="26" t="n">
        <f aca="false">IF(OR($D955="",$J955&lt;&gt;"Supplier"),0,F955*P955+G955*Q955)</f>
        <v>0</v>
      </c>
      <c r="S955" s="26" t="n">
        <f aca="false">IF(OR($D955="",$J955&lt;&gt;"Own"),0,IFERROR((F955+G955*Settings!$B$13)*INDEX(Workers!$V$5:$V$2004,MATCH($D955,Workers!$A$5:$A$2004,0)),0))</f>
        <v>0</v>
      </c>
      <c r="T955" s="26" t="str">
        <f aca="false">IF($D955="","",O955-R955-S955)</f>
        <v/>
      </c>
    </row>
    <row r="956" customFormat="false" ht="15" hidden="false" customHeight="false" outlineLevel="0" collapsed="false">
      <c r="I956" s="24" t="str">
        <f aca="false">IF($D956="","",IFERROR(INDEX(Workers!$B$5:$B$2004,MATCH($D956,Workers!$A$5:$A$2004,0)),"NOT FOUND"))</f>
        <v/>
      </c>
      <c r="J956" s="24" t="str">
        <f aca="false">IF($D956="","",IFERROR(INDEX(Workers!$C$5:$C$2004,MATCH($D956,Workers!$A$5:$A$2004,0)),""))</f>
        <v/>
      </c>
      <c r="K956" s="24" t="str">
        <f aca="false">IF($D956="","",IFERROR(IF(INDEX(Workers!$D$5:$D$2004,MATCH($D956,Workers!$A$5:$A$2004,0))=0,"",INDEX(Workers!$D$5:$D$2004,MATCH($D956,Workers!$A$5:$A$2004,0))),""))</f>
        <v/>
      </c>
      <c r="L956" s="24" t="str">
        <f aca="false">IF($D956="","",IFERROR(INDEX(Workers!$E$5:$E$2004,MATCH($D956,Workers!$A$5:$A$2004,0)),""))</f>
        <v/>
      </c>
      <c r="M956" s="26" t="str">
        <f aca="false">IF($D956="","",IFERROR(INDEX(ClientRates!$D$5:$D$500,MATCH($B956&amp;"|"&amp;$L956,ClientRates!$A$5:$A$500,0)),0))</f>
        <v/>
      </c>
      <c r="N956" s="26" t="str">
        <f aca="false">IF($D956="","",IFERROR(INDEX(ClientRates!$E$5:$E$500,MATCH($B956&amp;"|"&amp;$L956,ClientRates!$A$5:$A$500,0)),0))</f>
        <v/>
      </c>
      <c r="O956" s="26" t="str">
        <f aca="false">IF($D956="","",F956*M956+G956*N956)</f>
        <v/>
      </c>
      <c r="P956" s="26" t="str">
        <f aca="false">IF(OR($D956="",$J956&lt;&gt;"Supplier"),"",IFERROR(INDEX(SupplierRates!$D$5:$D$500,MATCH($K956&amp;"|"&amp;$L956,SupplierRates!$A$5:$A$500,0)),0))</f>
        <v/>
      </c>
      <c r="Q956" s="26" t="str">
        <f aca="false">IF(OR($D956="",$J956&lt;&gt;"Supplier"),"",IFERROR(INDEX(SupplierRates!$E$5:$E$500,MATCH($K956&amp;"|"&amp;$L956,SupplierRates!$A$5:$A$500,0)),0))</f>
        <v/>
      </c>
      <c r="R956" s="26" t="n">
        <f aca="false">IF(OR($D956="",$J956&lt;&gt;"Supplier"),0,F956*P956+G956*Q956)</f>
        <v>0</v>
      </c>
      <c r="S956" s="26" t="n">
        <f aca="false">IF(OR($D956="",$J956&lt;&gt;"Own"),0,IFERROR((F956+G956*Settings!$B$13)*INDEX(Workers!$V$5:$V$2004,MATCH($D956,Workers!$A$5:$A$2004,0)),0))</f>
        <v>0</v>
      </c>
      <c r="T956" s="26" t="str">
        <f aca="false">IF($D956="","",O956-R956-S956)</f>
        <v/>
      </c>
    </row>
    <row r="957" customFormat="false" ht="15" hidden="false" customHeight="false" outlineLevel="0" collapsed="false">
      <c r="I957" s="24" t="str">
        <f aca="false">IF($D957="","",IFERROR(INDEX(Workers!$B$5:$B$2004,MATCH($D957,Workers!$A$5:$A$2004,0)),"NOT FOUND"))</f>
        <v/>
      </c>
      <c r="J957" s="24" t="str">
        <f aca="false">IF($D957="","",IFERROR(INDEX(Workers!$C$5:$C$2004,MATCH($D957,Workers!$A$5:$A$2004,0)),""))</f>
        <v/>
      </c>
      <c r="K957" s="24" t="str">
        <f aca="false">IF($D957="","",IFERROR(IF(INDEX(Workers!$D$5:$D$2004,MATCH($D957,Workers!$A$5:$A$2004,0))=0,"",INDEX(Workers!$D$5:$D$2004,MATCH($D957,Workers!$A$5:$A$2004,0))),""))</f>
        <v/>
      </c>
      <c r="L957" s="24" t="str">
        <f aca="false">IF($D957="","",IFERROR(INDEX(Workers!$E$5:$E$2004,MATCH($D957,Workers!$A$5:$A$2004,0)),""))</f>
        <v/>
      </c>
      <c r="M957" s="26" t="str">
        <f aca="false">IF($D957="","",IFERROR(INDEX(ClientRates!$D$5:$D$500,MATCH($B957&amp;"|"&amp;$L957,ClientRates!$A$5:$A$500,0)),0))</f>
        <v/>
      </c>
      <c r="N957" s="26" t="str">
        <f aca="false">IF($D957="","",IFERROR(INDEX(ClientRates!$E$5:$E$500,MATCH($B957&amp;"|"&amp;$L957,ClientRates!$A$5:$A$500,0)),0))</f>
        <v/>
      </c>
      <c r="O957" s="26" t="str">
        <f aca="false">IF($D957="","",F957*M957+G957*N957)</f>
        <v/>
      </c>
      <c r="P957" s="26" t="str">
        <f aca="false">IF(OR($D957="",$J957&lt;&gt;"Supplier"),"",IFERROR(INDEX(SupplierRates!$D$5:$D$500,MATCH($K957&amp;"|"&amp;$L957,SupplierRates!$A$5:$A$500,0)),0))</f>
        <v/>
      </c>
      <c r="Q957" s="26" t="str">
        <f aca="false">IF(OR($D957="",$J957&lt;&gt;"Supplier"),"",IFERROR(INDEX(SupplierRates!$E$5:$E$500,MATCH($K957&amp;"|"&amp;$L957,SupplierRates!$A$5:$A$500,0)),0))</f>
        <v/>
      </c>
      <c r="R957" s="26" t="n">
        <f aca="false">IF(OR($D957="",$J957&lt;&gt;"Supplier"),0,F957*P957+G957*Q957)</f>
        <v>0</v>
      </c>
      <c r="S957" s="26" t="n">
        <f aca="false">IF(OR($D957="",$J957&lt;&gt;"Own"),0,IFERROR((F957+G957*Settings!$B$13)*INDEX(Workers!$V$5:$V$2004,MATCH($D957,Workers!$A$5:$A$2004,0)),0))</f>
        <v>0</v>
      </c>
      <c r="T957" s="26" t="str">
        <f aca="false">IF($D957="","",O957-R957-S957)</f>
        <v/>
      </c>
    </row>
    <row r="958" customFormat="false" ht="15" hidden="false" customHeight="false" outlineLevel="0" collapsed="false">
      <c r="I958" s="24" t="str">
        <f aca="false">IF($D958="","",IFERROR(INDEX(Workers!$B$5:$B$2004,MATCH($D958,Workers!$A$5:$A$2004,0)),"NOT FOUND"))</f>
        <v/>
      </c>
      <c r="J958" s="24" t="str">
        <f aca="false">IF($D958="","",IFERROR(INDEX(Workers!$C$5:$C$2004,MATCH($D958,Workers!$A$5:$A$2004,0)),""))</f>
        <v/>
      </c>
      <c r="K958" s="24" t="str">
        <f aca="false">IF($D958="","",IFERROR(IF(INDEX(Workers!$D$5:$D$2004,MATCH($D958,Workers!$A$5:$A$2004,0))=0,"",INDEX(Workers!$D$5:$D$2004,MATCH($D958,Workers!$A$5:$A$2004,0))),""))</f>
        <v/>
      </c>
      <c r="L958" s="24" t="str">
        <f aca="false">IF($D958="","",IFERROR(INDEX(Workers!$E$5:$E$2004,MATCH($D958,Workers!$A$5:$A$2004,0)),""))</f>
        <v/>
      </c>
      <c r="M958" s="26" t="str">
        <f aca="false">IF($D958="","",IFERROR(INDEX(ClientRates!$D$5:$D$500,MATCH($B958&amp;"|"&amp;$L958,ClientRates!$A$5:$A$500,0)),0))</f>
        <v/>
      </c>
      <c r="N958" s="26" t="str">
        <f aca="false">IF($D958="","",IFERROR(INDEX(ClientRates!$E$5:$E$500,MATCH($B958&amp;"|"&amp;$L958,ClientRates!$A$5:$A$500,0)),0))</f>
        <v/>
      </c>
      <c r="O958" s="26" t="str">
        <f aca="false">IF($D958="","",F958*M958+G958*N958)</f>
        <v/>
      </c>
      <c r="P958" s="26" t="str">
        <f aca="false">IF(OR($D958="",$J958&lt;&gt;"Supplier"),"",IFERROR(INDEX(SupplierRates!$D$5:$D$500,MATCH($K958&amp;"|"&amp;$L958,SupplierRates!$A$5:$A$500,0)),0))</f>
        <v/>
      </c>
      <c r="Q958" s="26" t="str">
        <f aca="false">IF(OR($D958="",$J958&lt;&gt;"Supplier"),"",IFERROR(INDEX(SupplierRates!$E$5:$E$500,MATCH($K958&amp;"|"&amp;$L958,SupplierRates!$A$5:$A$500,0)),0))</f>
        <v/>
      </c>
      <c r="R958" s="26" t="n">
        <f aca="false">IF(OR($D958="",$J958&lt;&gt;"Supplier"),0,F958*P958+G958*Q958)</f>
        <v>0</v>
      </c>
      <c r="S958" s="26" t="n">
        <f aca="false">IF(OR($D958="",$J958&lt;&gt;"Own"),0,IFERROR((F958+G958*Settings!$B$13)*INDEX(Workers!$V$5:$V$2004,MATCH($D958,Workers!$A$5:$A$2004,0)),0))</f>
        <v>0</v>
      </c>
      <c r="T958" s="26" t="str">
        <f aca="false">IF($D958="","",O958-R958-S958)</f>
        <v/>
      </c>
    </row>
    <row r="959" customFormat="false" ht="15" hidden="false" customHeight="false" outlineLevel="0" collapsed="false">
      <c r="I959" s="24" t="str">
        <f aca="false">IF($D959="","",IFERROR(INDEX(Workers!$B$5:$B$2004,MATCH($D959,Workers!$A$5:$A$2004,0)),"NOT FOUND"))</f>
        <v/>
      </c>
      <c r="J959" s="24" t="str">
        <f aca="false">IF($D959="","",IFERROR(INDEX(Workers!$C$5:$C$2004,MATCH($D959,Workers!$A$5:$A$2004,0)),""))</f>
        <v/>
      </c>
      <c r="K959" s="24" t="str">
        <f aca="false">IF($D959="","",IFERROR(IF(INDEX(Workers!$D$5:$D$2004,MATCH($D959,Workers!$A$5:$A$2004,0))=0,"",INDEX(Workers!$D$5:$D$2004,MATCH($D959,Workers!$A$5:$A$2004,0))),""))</f>
        <v/>
      </c>
      <c r="L959" s="24" t="str">
        <f aca="false">IF($D959="","",IFERROR(INDEX(Workers!$E$5:$E$2004,MATCH($D959,Workers!$A$5:$A$2004,0)),""))</f>
        <v/>
      </c>
      <c r="M959" s="26" t="str">
        <f aca="false">IF($D959="","",IFERROR(INDEX(ClientRates!$D$5:$D$500,MATCH($B959&amp;"|"&amp;$L959,ClientRates!$A$5:$A$500,0)),0))</f>
        <v/>
      </c>
      <c r="N959" s="26" t="str">
        <f aca="false">IF($D959="","",IFERROR(INDEX(ClientRates!$E$5:$E$500,MATCH($B959&amp;"|"&amp;$L959,ClientRates!$A$5:$A$500,0)),0))</f>
        <v/>
      </c>
      <c r="O959" s="26" t="str">
        <f aca="false">IF($D959="","",F959*M959+G959*N959)</f>
        <v/>
      </c>
      <c r="P959" s="26" t="str">
        <f aca="false">IF(OR($D959="",$J959&lt;&gt;"Supplier"),"",IFERROR(INDEX(SupplierRates!$D$5:$D$500,MATCH($K959&amp;"|"&amp;$L959,SupplierRates!$A$5:$A$500,0)),0))</f>
        <v/>
      </c>
      <c r="Q959" s="26" t="str">
        <f aca="false">IF(OR($D959="",$J959&lt;&gt;"Supplier"),"",IFERROR(INDEX(SupplierRates!$E$5:$E$500,MATCH($K959&amp;"|"&amp;$L959,SupplierRates!$A$5:$A$500,0)),0))</f>
        <v/>
      </c>
      <c r="R959" s="26" t="n">
        <f aca="false">IF(OR($D959="",$J959&lt;&gt;"Supplier"),0,F959*P959+G959*Q959)</f>
        <v>0</v>
      </c>
      <c r="S959" s="26" t="n">
        <f aca="false">IF(OR($D959="",$J959&lt;&gt;"Own"),0,IFERROR((F959+G959*Settings!$B$13)*INDEX(Workers!$V$5:$V$2004,MATCH($D959,Workers!$A$5:$A$2004,0)),0))</f>
        <v>0</v>
      </c>
      <c r="T959" s="26" t="str">
        <f aca="false">IF($D959="","",O959-R959-S959)</f>
        <v/>
      </c>
    </row>
    <row r="960" customFormat="false" ht="15" hidden="false" customHeight="false" outlineLevel="0" collapsed="false">
      <c r="I960" s="24" t="str">
        <f aca="false">IF($D960="","",IFERROR(INDEX(Workers!$B$5:$B$2004,MATCH($D960,Workers!$A$5:$A$2004,0)),"NOT FOUND"))</f>
        <v/>
      </c>
      <c r="J960" s="24" t="str">
        <f aca="false">IF($D960="","",IFERROR(INDEX(Workers!$C$5:$C$2004,MATCH($D960,Workers!$A$5:$A$2004,0)),""))</f>
        <v/>
      </c>
      <c r="K960" s="24" t="str">
        <f aca="false">IF($D960="","",IFERROR(IF(INDEX(Workers!$D$5:$D$2004,MATCH($D960,Workers!$A$5:$A$2004,0))=0,"",INDEX(Workers!$D$5:$D$2004,MATCH($D960,Workers!$A$5:$A$2004,0))),""))</f>
        <v/>
      </c>
      <c r="L960" s="24" t="str">
        <f aca="false">IF($D960="","",IFERROR(INDEX(Workers!$E$5:$E$2004,MATCH($D960,Workers!$A$5:$A$2004,0)),""))</f>
        <v/>
      </c>
      <c r="M960" s="26" t="str">
        <f aca="false">IF($D960="","",IFERROR(INDEX(ClientRates!$D$5:$D$500,MATCH($B960&amp;"|"&amp;$L960,ClientRates!$A$5:$A$500,0)),0))</f>
        <v/>
      </c>
      <c r="N960" s="26" t="str">
        <f aca="false">IF($D960="","",IFERROR(INDEX(ClientRates!$E$5:$E$500,MATCH($B960&amp;"|"&amp;$L960,ClientRates!$A$5:$A$500,0)),0))</f>
        <v/>
      </c>
      <c r="O960" s="26" t="str">
        <f aca="false">IF($D960="","",F960*M960+G960*N960)</f>
        <v/>
      </c>
      <c r="P960" s="26" t="str">
        <f aca="false">IF(OR($D960="",$J960&lt;&gt;"Supplier"),"",IFERROR(INDEX(SupplierRates!$D$5:$D$500,MATCH($K960&amp;"|"&amp;$L960,SupplierRates!$A$5:$A$500,0)),0))</f>
        <v/>
      </c>
      <c r="Q960" s="26" t="str">
        <f aca="false">IF(OR($D960="",$J960&lt;&gt;"Supplier"),"",IFERROR(INDEX(SupplierRates!$E$5:$E$500,MATCH($K960&amp;"|"&amp;$L960,SupplierRates!$A$5:$A$500,0)),0))</f>
        <v/>
      </c>
      <c r="R960" s="26" t="n">
        <f aca="false">IF(OR($D960="",$J960&lt;&gt;"Supplier"),0,F960*P960+G960*Q960)</f>
        <v>0</v>
      </c>
      <c r="S960" s="26" t="n">
        <f aca="false">IF(OR($D960="",$J960&lt;&gt;"Own"),0,IFERROR((F960+G960*Settings!$B$13)*INDEX(Workers!$V$5:$V$2004,MATCH($D960,Workers!$A$5:$A$2004,0)),0))</f>
        <v>0</v>
      </c>
      <c r="T960" s="26" t="str">
        <f aca="false">IF($D960="","",O960-R960-S960)</f>
        <v/>
      </c>
    </row>
    <row r="961" customFormat="false" ht="15" hidden="false" customHeight="false" outlineLevel="0" collapsed="false">
      <c r="I961" s="24" t="str">
        <f aca="false">IF($D961="","",IFERROR(INDEX(Workers!$B$5:$B$2004,MATCH($D961,Workers!$A$5:$A$2004,0)),"NOT FOUND"))</f>
        <v/>
      </c>
      <c r="J961" s="24" t="str">
        <f aca="false">IF($D961="","",IFERROR(INDEX(Workers!$C$5:$C$2004,MATCH($D961,Workers!$A$5:$A$2004,0)),""))</f>
        <v/>
      </c>
      <c r="K961" s="24" t="str">
        <f aca="false">IF($D961="","",IFERROR(IF(INDEX(Workers!$D$5:$D$2004,MATCH($D961,Workers!$A$5:$A$2004,0))=0,"",INDEX(Workers!$D$5:$D$2004,MATCH($D961,Workers!$A$5:$A$2004,0))),""))</f>
        <v/>
      </c>
      <c r="L961" s="24" t="str">
        <f aca="false">IF($D961="","",IFERROR(INDEX(Workers!$E$5:$E$2004,MATCH($D961,Workers!$A$5:$A$2004,0)),""))</f>
        <v/>
      </c>
      <c r="M961" s="26" t="str">
        <f aca="false">IF($D961="","",IFERROR(INDEX(ClientRates!$D$5:$D$500,MATCH($B961&amp;"|"&amp;$L961,ClientRates!$A$5:$A$500,0)),0))</f>
        <v/>
      </c>
      <c r="N961" s="26" t="str">
        <f aca="false">IF($D961="","",IFERROR(INDEX(ClientRates!$E$5:$E$500,MATCH($B961&amp;"|"&amp;$L961,ClientRates!$A$5:$A$500,0)),0))</f>
        <v/>
      </c>
      <c r="O961" s="26" t="str">
        <f aca="false">IF($D961="","",F961*M961+G961*N961)</f>
        <v/>
      </c>
      <c r="P961" s="26" t="str">
        <f aca="false">IF(OR($D961="",$J961&lt;&gt;"Supplier"),"",IFERROR(INDEX(SupplierRates!$D$5:$D$500,MATCH($K961&amp;"|"&amp;$L961,SupplierRates!$A$5:$A$500,0)),0))</f>
        <v/>
      </c>
      <c r="Q961" s="26" t="str">
        <f aca="false">IF(OR($D961="",$J961&lt;&gt;"Supplier"),"",IFERROR(INDEX(SupplierRates!$E$5:$E$500,MATCH($K961&amp;"|"&amp;$L961,SupplierRates!$A$5:$A$500,0)),0))</f>
        <v/>
      </c>
      <c r="R961" s="26" t="n">
        <f aca="false">IF(OR($D961="",$J961&lt;&gt;"Supplier"),0,F961*P961+G961*Q961)</f>
        <v>0</v>
      </c>
      <c r="S961" s="26" t="n">
        <f aca="false">IF(OR($D961="",$J961&lt;&gt;"Own"),0,IFERROR((F961+G961*Settings!$B$13)*INDEX(Workers!$V$5:$V$2004,MATCH($D961,Workers!$A$5:$A$2004,0)),0))</f>
        <v>0</v>
      </c>
      <c r="T961" s="26" t="str">
        <f aca="false">IF($D961="","",O961-R961-S961)</f>
        <v/>
      </c>
    </row>
    <row r="962" customFormat="false" ht="15" hidden="false" customHeight="false" outlineLevel="0" collapsed="false">
      <c r="I962" s="24" t="str">
        <f aca="false">IF($D962="","",IFERROR(INDEX(Workers!$B$5:$B$2004,MATCH($D962,Workers!$A$5:$A$2004,0)),"NOT FOUND"))</f>
        <v/>
      </c>
      <c r="J962" s="24" t="str">
        <f aca="false">IF($D962="","",IFERROR(INDEX(Workers!$C$5:$C$2004,MATCH($D962,Workers!$A$5:$A$2004,0)),""))</f>
        <v/>
      </c>
      <c r="K962" s="24" t="str">
        <f aca="false">IF($D962="","",IFERROR(IF(INDEX(Workers!$D$5:$D$2004,MATCH($D962,Workers!$A$5:$A$2004,0))=0,"",INDEX(Workers!$D$5:$D$2004,MATCH($D962,Workers!$A$5:$A$2004,0))),""))</f>
        <v/>
      </c>
      <c r="L962" s="24" t="str">
        <f aca="false">IF($D962="","",IFERROR(INDEX(Workers!$E$5:$E$2004,MATCH($D962,Workers!$A$5:$A$2004,0)),""))</f>
        <v/>
      </c>
      <c r="M962" s="26" t="str">
        <f aca="false">IF($D962="","",IFERROR(INDEX(ClientRates!$D$5:$D$500,MATCH($B962&amp;"|"&amp;$L962,ClientRates!$A$5:$A$500,0)),0))</f>
        <v/>
      </c>
      <c r="N962" s="26" t="str">
        <f aca="false">IF($D962="","",IFERROR(INDEX(ClientRates!$E$5:$E$500,MATCH($B962&amp;"|"&amp;$L962,ClientRates!$A$5:$A$500,0)),0))</f>
        <v/>
      </c>
      <c r="O962" s="26" t="str">
        <f aca="false">IF($D962="","",F962*M962+G962*N962)</f>
        <v/>
      </c>
      <c r="P962" s="26" t="str">
        <f aca="false">IF(OR($D962="",$J962&lt;&gt;"Supplier"),"",IFERROR(INDEX(SupplierRates!$D$5:$D$500,MATCH($K962&amp;"|"&amp;$L962,SupplierRates!$A$5:$A$500,0)),0))</f>
        <v/>
      </c>
      <c r="Q962" s="26" t="str">
        <f aca="false">IF(OR($D962="",$J962&lt;&gt;"Supplier"),"",IFERROR(INDEX(SupplierRates!$E$5:$E$500,MATCH($K962&amp;"|"&amp;$L962,SupplierRates!$A$5:$A$500,0)),0))</f>
        <v/>
      </c>
      <c r="R962" s="26" t="n">
        <f aca="false">IF(OR($D962="",$J962&lt;&gt;"Supplier"),0,F962*P962+G962*Q962)</f>
        <v>0</v>
      </c>
      <c r="S962" s="26" t="n">
        <f aca="false">IF(OR($D962="",$J962&lt;&gt;"Own"),0,IFERROR((F962+G962*Settings!$B$13)*INDEX(Workers!$V$5:$V$2004,MATCH($D962,Workers!$A$5:$A$2004,0)),0))</f>
        <v>0</v>
      </c>
      <c r="T962" s="26" t="str">
        <f aca="false">IF($D962="","",O962-R962-S962)</f>
        <v/>
      </c>
    </row>
    <row r="963" customFormat="false" ht="15" hidden="false" customHeight="false" outlineLevel="0" collapsed="false">
      <c r="I963" s="24" t="str">
        <f aca="false">IF($D963="","",IFERROR(INDEX(Workers!$B$5:$B$2004,MATCH($D963,Workers!$A$5:$A$2004,0)),"NOT FOUND"))</f>
        <v/>
      </c>
      <c r="J963" s="24" t="str">
        <f aca="false">IF($D963="","",IFERROR(INDEX(Workers!$C$5:$C$2004,MATCH($D963,Workers!$A$5:$A$2004,0)),""))</f>
        <v/>
      </c>
      <c r="K963" s="24" t="str">
        <f aca="false">IF($D963="","",IFERROR(IF(INDEX(Workers!$D$5:$D$2004,MATCH($D963,Workers!$A$5:$A$2004,0))=0,"",INDEX(Workers!$D$5:$D$2004,MATCH($D963,Workers!$A$5:$A$2004,0))),""))</f>
        <v/>
      </c>
      <c r="L963" s="24" t="str">
        <f aca="false">IF($D963="","",IFERROR(INDEX(Workers!$E$5:$E$2004,MATCH($D963,Workers!$A$5:$A$2004,0)),""))</f>
        <v/>
      </c>
      <c r="M963" s="26" t="str">
        <f aca="false">IF($D963="","",IFERROR(INDEX(ClientRates!$D$5:$D$500,MATCH($B963&amp;"|"&amp;$L963,ClientRates!$A$5:$A$500,0)),0))</f>
        <v/>
      </c>
      <c r="N963" s="26" t="str">
        <f aca="false">IF($D963="","",IFERROR(INDEX(ClientRates!$E$5:$E$500,MATCH($B963&amp;"|"&amp;$L963,ClientRates!$A$5:$A$500,0)),0))</f>
        <v/>
      </c>
      <c r="O963" s="26" t="str">
        <f aca="false">IF($D963="","",F963*M963+G963*N963)</f>
        <v/>
      </c>
      <c r="P963" s="26" t="str">
        <f aca="false">IF(OR($D963="",$J963&lt;&gt;"Supplier"),"",IFERROR(INDEX(SupplierRates!$D$5:$D$500,MATCH($K963&amp;"|"&amp;$L963,SupplierRates!$A$5:$A$500,0)),0))</f>
        <v/>
      </c>
      <c r="Q963" s="26" t="str">
        <f aca="false">IF(OR($D963="",$J963&lt;&gt;"Supplier"),"",IFERROR(INDEX(SupplierRates!$E$5:$E$500,MATCH($K963&amp;"|"&amp;$L963,SupplierRates!$A$5:$A$500,0)),0))</f>
        <v/>
      </c>
      <c r="R963" s="26" t="n">
        <f aca="false">IF(OR($D963="",$J963&lt;&gt;"Supplier"),0,F963*P963+G963*Q963)</f>
        <v>0</v>
      </c>
      <c r="S963" s="26" t="n">
        <f aca="false">IF(OR($D963="",$J963&lt;&gt;"Own"),0,IFERROR((F963+G963*Settings!$B$13)*INDEX(Workers!$V$5:$V$2004,MATCH($D963,Workers!$A$5:$A$2004,0)),0))</f>
        <v>0</v>
      </c>
      <c r="T963" s="26" t="str">
        <f aca="false">IF($D963="","",O963-R963-S963)</f>
        <v/>
      </c>
    </row>
    <row r="964" customFormat="false" ht="15" hidden="false" customHeight="false" outlineLevel="0" collapsed="false">
      <c r="I964" s="24" t="str">
        <f aca="false">IF($D964="","",IFERROR(INDEX(Workers!$B$5:$B$2004,MATCH($D964,Workers!$A$5:$A$2004,0)),"NOT FOUND"))</f>
        <v/>
      </c>
      <c r="J964" s="24" t="str">
        <f aca="false">IF($D964="","",IFERROR(INDEX(Workers!$C$5:$C$2004,MATCH($D964,Workers!$A$5:$A$2004,0)),""))</f>
        <v/>
      </c>
      <c r="K964" s="24" t="str">
        <f aca="false">IF($D964="","",IFERROR(IF(INDEX(Workers!$D$5:$D$2004,MATCH($D964,Workers!$A$5:$A$2004,0))=0,"",INDEX(Workers!$D$5:$D$2004,MATCH($D964,Workers!$A$5:$A$2004,0))),""))</f>
        <v/>
      </c>
      <c r="L964" s="24" t="str">
        <f aca="false">IF($D964="","",IFERROR(INDEX(Workers!$E$5:$E$2004,MATCH($D964,Workers!$A$5:$A$2004,0)),""))</f>
        <v/>
      </c>
      <c r="M964" s="26" t="str">
        <f aca="false">IF($D964="","",IFERROR(INDEX(ClientRates!$D$5:$D$500,MATCH($B964&amp;"|"&amp;$L964,ClientRates!$A$5:$A$500,0)),0))</f>
        <v/>
      </c>
      <c r="N964" s="26" t="str">
        <f aca="false">IF($D964="","",IFERROR(INDEX(ClientRates!$E$5:$E$500,MATCH($B964&amp;"|"&amp;$L964,ClientRates!$A$5:$A$500,0)),0))</f>
        <v/>
      </c>
      <c r="O964" s="26" t="str">
        <f aca="false">IF($D964="","",F964*M964+G964*N964)</f>
        <v/>
      </c>
      <c r="P964" s="26" t="str">
        <f aca="false">IF(OR($D964="",$J964&lt;&gt;"Supplier"),"",IFERROR(INDEX(SupplierRates!$D$5:$D$500,MATCH($K964&amp;"|"&amp;$L964,SupplierRates!$A$5:$A$500,0)),0))</f>
        <v/>
      </c>
      <c r="Q964" s="26" t="str">
        <f aca="false">IF(OR($D964="",$J964&lt;&gt;"Supplier"),"",IFERROR(INDEX(SupplierRates!$E$5:$E$500,MATCH($K964&amp;"|"&amp;$L964,SupplierRates!$A$5:$A$500,0)),0))</f>
        <v/>
      </c>
      <c r="R964" s="26" t="n">
        <f aca="false">IF(OR($D964="",$J964&lt;&gt;"Supplier"),0,F964*P964+G964*Q964)</f>
        <v>0</v>
      </c>
      <c r="S964" s="26" t="n">
        <f aca="false">IF(OR($D964="",$J964&lt;&gt;"Own"),0,IFERROR((F964+G964*Settings!$B$13)*INDEX(Workers!$V$5:$V$2004,MATCH($D964,Workers!$A$5:$A$2004,0)),0))</f>
        <v>0</v>
      </c>
      <c r="T964" s="26" t="str">
        <f aca="false">IF($D964="","",O964-R964-S964)</f>
        <v/>
      </c>
    </row>
    <row r="965" customFormat="false" ht="15" hidden="false" customHeight="false" outlineLevel="0" collapsed="false">
      <c r="I965" s="24" t="str">
        <f aca="false">IF($D965="","",IFERROR(INDEX(Workers!$B$5:$B$2004,MATCH($D965,Workers!$A$5:$A$2004,0)),"NOT FOUND"))</f>
        <v/>
      </c>
      <c r="J965" s="24" t="str">
        <f aca="false">IF($D965="","",IFERROR(INDEX(Workers!$C$5:$C$2004,MATCH($D965,Workers!$A$5:$A$2004,0)),""))</f>
        <v/>
      </c>
      <c r="K965" s="24" t="str">
        <f aca="false">IF($D965="","",IFERROR(IF(INDEX(Workers!$D$5:$D$2004,MATCH($D965,Workers!$A$5:$A$2004,0))=0,"",INDEX(Workers!$D$5:$D$2004,MATCH($D965,Workers!$A$5:$A$2004,0))),""))</f>
        <v/>
      </c>
      <c r="L965" s="24" t="str">
        <f aca="false">IF($D965="","",IFERROR(INDEX(Workers!$E$5:$E$2004,MATCH($D965,Workers!$A$5:$A$2004,0)),""))</f>
        <v/>
      </c>
      <c r="M965" s="26" t="str">
        <f aca="false">IF($D965="","",IFERROR(INDEX(ClientRates!$D$5:$D$500,MATCH($B965&amp;"|"&amp;$L965,ClientRates!$A$5:$A$500,0)),0))</f>
        <v/>
      </c>
      <c r="N965" s="26" t="str">
        <f aca="false">IF($D965="","",IFERROR(INDEX(ClientRates!$E$5:$E$500,MATCH($B965&amp;"|"&amp;$L965,ClientRates!$A$5:$A$500,0)),0))</f>
        <v/>
      </c>
      <c r="O965" s="26" t="str">
        <f aca="false">IF($D965="","",F965*M965+G965*N965)</f>
        <v/>
      </c>
      <c r="P965" s="26" t="str">
        <f aca="false">IF(OR($D965="",$J965&lt;&gt;"Supplier"),"",IFERROR(INDEX(SupplierRates!$D$5:$D$500,MATCH($K965&amp;"|"&amp;$L965,SupplierRates!$A$5:$A$500,0)),0))</f>
        <v/>
      </c>
      <c r="Q965" s="26" t="str">
        <f aca="false">IF(OR($D965="",$J965&lt;&gt;"Supplier"),"",IFERROR(INDEX(SupplierRates!$E$5:$E$500,MATCH($K965&amp;"|"&amp;$L965,SupplierRates!$A$5:$A$500,0)),0))</f>
        <v/>
      </c>
      <c r="R965" s="26" t="n">
        <f aca="false">IF(OR($D965="",$J965&lt;&gt;"Supplier"),0,F965*P965+G965*Q965)</f>
        <v>0</v>
      </c>
      <c r="S965" s="26" t="n">
        <f aca="false">IF(OR($D965="",$J965&lt;&gt;"Own"),0,IFERROR((F965+G965*Settings!$B$13)*INDEX(Workers!$V$5:$V$2004,MATCH($D965,Workers!$A$5:$A$2004,0)),0))</f>
        <v>0</v>
      </c>
      <c r="T965" s="26" t="str">
        <f aca="false">IF($D965="","",O965-R965-S965)</f>
        <v/>
      </c>
    </row>
    <row r="966" customFormat="false" ht="15" hidden="false" customHeight="false" outlineLevel="0" collapsed="false">
      <c r="I966" s="24" t="str">
        <f aca="false">IF($D966="","",IFERROR(INDEX(Workers!$B$5:$B$2004,MATCH($D966,Workers!$A$5:$A$2004,0)),"NOT FOUND"))</f>
        <v/>
      </c>
      <c r="J966" s="24" t="str">
        <f aca="false">IF($D966="","",IFERROR(INDEX(Workers!$C$5:$C$2004,MATCH($D966,Workers!$A$5:$A$2004,0)),""))</f>
        <v/>
      </c>
      <c r="K966" s="24" t="str">
        <f aca="false">IF($D966="","",IFERROR(IF(INDEX(Workers!$D$5:$D$2004,MATCH($D966,Workers!$A$5:$A$2004,0))=0,"",INDEX(Workers!$D$5:$D$2004,MATCH($D966,Workers!$A$5:$A$2004,0))),""))</f>
        <v/>
      </c>
      <c r="L966" s="24" t="str">
        <f aca="false">IF($D966="","",IFERROR(INDEX(Workers!$E$5:$E$2004,MATCH($D966,Workers!$A$5:$A$2004,0)),""))</f>
        <v/>
      </c>
      <c r="M966" s="26" t="str">
        <f aca="false">IF($D966="","",IFERROR(INDEX(ClientRates!$D$5:$D$500,MATCH($B966&amp;"|"&amp;$L966,ClientRates!$A$5:$A$500,0)),0))</f>
        <v/>
      </c>
      <c r="N966" s="26" t="str">
        <f aca="false">IF($D966="","",IFERROR(INDEX(ClientRates!$E$5:$E$500,MATCH($B966&amp;"|"&amp;$L966,ClientRates!$A$5:$A$500,0)),0))</f>
        <v/>
      </c>
      <c r="O966" s="26" t="str">
        <f aca="false">IF($D966="","",F966*M966+G966*N966)</f>
        <v/>
      </c>
      <c r="P966" s="26" t="str">
        <f aca="false">IF(OR($D966="",$J966&lt;&gt;"Supplier"),"",IFERROR(INDEX(SupplierRates!$D$5:$D$500,MATCH($K966&amp;"|"&amp;$L966,SupplierRates!$A$5:$A$500,0)),0))</f>
        <v/>
      </c>
      <c r="Q966" s="26" t="str">
        <f aca="false">IF(OR($D966="",$J966&lt;&gt;"Supplier"),"",IFERROR(INDEX(SupplierRates!$E$5:$E$500,MATCH($K966&amp;"|"&amp;$L966,SupplierRates!$A$5:$A$500,0)),0))</f>
        <v/>
      </c>
      <c r="R966" s="26" t="n">
        <f aca="false">IF(OR($D966="",$J966&lt;&gt;"Supplier"),0,F966*P966+G966*Q966)</f>
        <v>0</v>
      </c>
      <c r="S966" s="26" t="n">
        <f aca="false">IF(OR($D966="",$J966&lt;&gt;"Own"),0,IFERROR((F966+G966*Settings!$B$13)*INDEX(Workers!$V$5:$V$2004,MATCH($D966,Workers!$A$5:$A$2004,0)),0))</f>
        <v>0</v>
      </c>
      <c r="T966" s="26" t="str">
        <f aca="false">IF($D966="","",O966-R966-S966)</f>
        <v/>
      </c>
    </row>
    <row r="967" customFormat="false" ht="15" hidden="false" customHeight="false" outlineLevel="0" collapsed="false">
      <c r="I967" s="24" t="str">
        <f aca="false">IF($D967="","",IFERROR(INDEX(Workers!$B$5:$B$2004,MATCH($D967,Workers!$A$5:$A$2004,0)),"NOT FOUND"))</f>
        <v/>
      </c>
      <c r="J967" s="24" t="str">
        <f aca="false">IF($D967="","",IFERROR(INDEX(Workers!$C$5:$C$2004,MATCH($D967,Workers!$A$5:$A$2004,0)),""))</f>
        <v/>
      </c>
      <c r="K967" s="24" t="str">
        <f aca="false">IF($D967="","",IFERROR(IF(INDEX(Workers!$D$5:$D$2004,MATCH($D967,Workers!$A$5:$A$2004,0))=0,"",INDEX(Workers!$D$5:$D$2004,MATCH($D967,Workers!$A$5:$A$2004,0))),""))</f>
        <v/>
      </c>
      <c r="L967" s="24" t="str">
        <f aca="false">IF($D967="","",IFERROR(INDEX(Workers!$E$5:$E$2004,MATCH($D967,Workers!$A$5:$A$2004,0)),""))</f>
        <v/>
      </c>
      <c r="M967" s="26" t="str">
        <f aca="false">IF($D967="","",IFERROR(INDEX(ClientRates!$D$5:$D$500,MATCH($B967&amp;"|"&amp;$L967,ClientRates!$A$5:$A$500,0)),0))</f>
        <v/>
      </c>
      <c r="N967" s="26" t="str">
        <f aca="false">IF($D967="","",IFERROR(INDEX(ClientRates!$E$5:$E$500,MATCH($B967&amp;"|"&amp;$L967,ClientRates!$A$5:$A$500,0)),0))</f>
        <v/>
      </c>
      <c r="O967" s="26" t="str">
        <f aca="false">IF($D967="","",F967*M967+G967*N967)</f>
        <v/>
      </c>
      <c r="P967" s="26" t="str">
        <f aca="false">IF(OR($D967="",$J967&lt;&gt;"Supplier"),"",IFERROR(INDEX(SupplierRates!$D$5:$D$500,MATCH($K967&amp;"|"&amp;$L967,SupplierRates!$A$5:$A$500,0)),0))</f>
        <v/>
      </c>
      <c r="Q967" s="26" t="str">
        <f aca="false">IF(OR($D967="",$J967&lt;&gt;"Supplier"),"",IFERROR(INDEX(SupplierRates!$E$5:$E$500,MATCH($K967&amp;"|"&amp;$L967,SupplierRates!$A$5:$A$500,0)),0))</f>
        <v/>
      </c>
      <c r="R967" s="26" t="n">
        <f aca="false">IF(OR($D967="",$J967&lt;&gt;"Supplier"),0,F967*P967+G967*Q967)</f>
        <v>0</v>
      </c>
      <c r="S967" s="26" t="n">
        <f aca="false">IF(OR($D967="",$J967&lt;&gt;"Own"),0,IFERROR((F967+G967*Settings!$B$13)*INDEX(Workers!$V$5:$V$2004,MATCH($D967,Workers!$A$5:$A$2004,0)),0))</f>
        <v>0</v>
      </c>
      <c r="T967" s="26" t="str">
        <f aca="false">IF($D967="","",O967-R967-S967)</f>
        <v/>
      </c>
    </row>
    <row r="968" customFormat="false" ht="15" hidden="false" customHeight="false" outlineLevel="0" collapsed="false">
      <c r="I968" s="24" t="str">
        <f aca="false">IF($D968="","",IFERROR(INDEX(Workers!$B$5:$B$2004,MATCH($D968,Workers!$A$5:$A$2004,0)),"NOT FOUND"))</f>
        <v/>
      </c>
      <c r="J968" s="24" t="str">
        <f aca="false">IF($D968="","",IFERROR(INDEX(Workers!$C$5:$C$2004,MATCH($D968,Workers!$A$5:$A$2004,0)),""))</f>
        <v/>
      </c>
      <c r="K968" s="24" t="str">
        <f aca="false">IF($D968="","",IFERROR(IF(INDEX(Workers!$D$5:$D$2004,MATCH($D968,Workers!$A$5:$A$2004,0))=0,"",INDEX(Workers!$D$5:$D$2004,MATCH($D968,Workers!$A$5:$A$2004,0))),""))</f>
        <v/>
      </c>
      <c r="L968" s="24" t="str">
        <f aca="false">IF($D968="","",IFERROR(INDEX(Workers!$E$5:$E$2004,MATCH($D968,Workers!$A$5:$A$2004,0)),""))</f>
        <v/>
      </c>
      <c r="M968" s="26" t="str">
        <f aca="false">IF($D968="","",IFERROR(INDEX(ClientRates!$D$5:$D$500,MATCH($B968&amp;"|"&amp;$L968,ClientRates!$A$5:$A$500,0)),0))</f>
        <v/>
      </c>
      <c r="N968" s="26" t="str">
        <f aca="false">IF($D968="","",IFERROR(INDEX(ClientRates!$E$5:$E$500,MATCH($B968&amp;"|"&amp;$L968,ClientRates!$A$5:$A$500,0)),0))</f>
        <v/>
      </c>
      <c r="O968" s="26" t="str">
        <f aca="false">IF($D968="","",F968*M968+G968*N968)</f>
        <v/>
      </c>
      <c r="P968" s="26" t="str">
        <f aca="false">IF(OR($D968="",$J968&lt;&gt;"Supplier"),"",IFERROR(INDEX(SupplierRates!$D$5:$D$500,MATCH($K968&amp;"|"&amp;$L968,SupplierRates!$A$5:$A$500,0)),0))</f>
        <v/>
      </c>
      <c r="Q968" s="26" t="str">
        <f aca="false">IF(OR($D968="",$J968&lt;&gt;"Supplier"),"",IFERROR(INDEX(SupplierRates!$E$5:$E$500,MATCH($K968&amp;"|"&amp;$L968,SupplierRates!$A$5:$A$500,0)),0))</f>
        <v/>
      </c>
      <c r="R968" s="26" t="n">
        <f aca="false">IF(OR($D968="",$J968&lt;&gt;"Supplier"),0,F968*P968+G968*Q968)</f>
        <v>0</v>
      </c>
      <c r="S968" s="26" t="n">
        <f aca="false">IF(OR($D968="",$J968&lt;&gt;"Own"),0,IFERROR((F968+G968*Settings!$B$13)*INDEX(Workers!$V$5:$V$2004,MATCH($D968,Workers!$A$5:$A$2004,0)),0))</f>
        <v>0</v>
      </c>
      <c r="T968" s="26" t="str">
        <f aca="false">IF($D968="","",O968-R968-S968)</f>
        <v/>
      </c>
    </row>
    <row r="969" customFormat="false" ht="15" hidden="false" customHeight="false" outlineLevel="0" collapsed="false">
      <c r="I969" s="24" t="str">
        <f aca="false">IF($D969="","",IFERROR(INDEX(Workers!$B$5:$B$2004,MATCH($D969,Workers!$A$5:$A$2004,0)),"NOT FOUND"))</f>
        <v/>
      </c>
      <c r="J969" s="24" t="str">
        <f aca="false">IF($D969="","",IFERROR(INDEX(Workers!$C$5:$C$2004,MATCH($D969,Workers!$A$5:$A$2004,0)),""))</f>
        <v/>
      </c>
      <c r="K969" s="24" t="str">
        <f aca="false">IF($D969="","",IFERROR(IF(INDEX(Workers!$D$5:$D$2004,MATCH($D969,Workers!$A$5:$A$2004,0))=0,"",INDEX(Workers!$D$5:$D$2004,MATCH($D969,Workers!$A$5:$A$2004,0))),""))</f>
        <v/>
      </c>
      <c r="L969" s="24" t="str">
        <f aca="false">IF($D969="","",IFERROR(INDEX(Workers!$E$5:$E$2004,MATCH($D969,Workers!$A$5:$A$2004,0)),""))</f>
        <v/>
      </c>
      <c r="M969" s="26" t="str">
        <f aca="false">IF($D969="","",IFERROR(INDEX(ClientRates!$D$5:$D$500,MATCH($B969&amp;"|"&amp;$L969,ClientRates!$A$5:$A$500,0)),0))</f>
        <v/>
      </c>
      <c r="N969" s="26" t="str">
        <f aca="false">IF($D969="","",IFERROR(INDEX(ClientRates!$E$5:$E$500,MATCH($B969&amp;"|"&amp;$L969,ClientRates!$A$5:$A$500,0)),0))</f>
        <v/>
      </c>
      <c r="O969" s="26" t="str">
        <f aca="false">IF($D969="","",F969*M969+G969*N969)</f>
        <v/>
      </c>
      <c r="P969" s="26" t="str">
        <f aca="false">IF(OR($D969="",$J969&lt;&gt;"Supplier"),"",IFERROR(INDEX(SupplierRates!$D$5:$D$500,MATCH($K969&amp;"|"&amp;$L969,SupplierRates!$A$5:$A$500,0)),0))</f>
        <v/>
      </c>
      <c r="Q969" s="26" t="str">
        <f aca="false">IF(OR($D969="",$J969&lt;&gt;"Supplier"),"",IFERROR(INDEX(SupplierRates!$E$5:$E$500,MATCH($K969&amp;"|"&amp;$L969,SupplierRates!$A$5:$A$500,0)),0))</f>
        <v/>
      </c>
      <c r="R969" s="26" t="n">
        <f aca="false">IF(OR($D969="",$J969&lt;&gt;"Supplier"),0,F969*P969+G969*Q969)</f>
        <v>0</v>
      </c>
      <c r="S969" s="26" t="n">
        <f aca="false">IF(OR($D969="",$J969&lt;&gt;"Own"),0,IFERROR((F969+G969*Settings!$B$13)*INDEX(Workers!$V$5:$V$2004,MATCH($D969,Workers!$A$5:$A$2004,0)),0))</f>
        <v>0</v>
      </c>
      <c r="T969" s="26" t="str">
        <f aca="false">IF($D969="","",O969-R969-S969)</f>
        <v/>
      </c>
    </row>
    <row r="970" customFormat="false" ht="15" hidden="false" customHeight="false" outlineLevel="0" collapsed="false">
      <c r="I970" s="24" t="str">
        <f aca="false">IF($D970="","",IFERROR(INDEX(Workers!$B$5:$B$2004,MATCH($D970,Workers!$A$5:$A$2004,0)),"NOT FOUND"))</f>
        <v/>
      </c>
      <c r="J970" s="24" t="str">
        <f aca="false">IF($D970="","",IFERROR(INDEX(Workers!$C$5:$C$2004,MATCH($D970,Workers!$A$5:$A$2004,0)),""))</f>
        <v/>
      </c>
      <c r="K970" s="24" t="str">
        <f aca="false">IF($D970="","",IFERROR(IF(INDEX(Workers!$D$5:$D$2004,MATCH($D970,Workers!$A$5:$A$2004,0))=0,"",INDEX(Workers!$D$5:$D$2004,MATCH($D970,Workers!$A$5:$A$2004,0))),""))</f>
        <v/>
      </c>
      <c r="L970" s="24" t="str">
        <f aca="false">IF($D970="","",IFERROR(INDEX(Workers!$E$5:$E$2004,MATCH($D970,Workers!$A$5:$A$2004,0)),""))</f>
        <v/>
      </c>
      <c r="M970" s="26" t="str">
        <f aca="false">IF($D970="","",IFERROR(INDEX(ClientRates!$D$5:$D$500,MATCH($B970&amp;"|"&amp;$L970,ClientRates!$A$5:$A$500,0)),0))</f>
        <v/>
      </c>
      <c r="N970" s="26" t="str">
        <f aca="false">IF($D970="","",IFERROR(INDEX(ClientRates!$E$5:$E$500,MATCH($B970&amp;"|"&amp;$L970,ClientRates!$A$5:$A$500,0)),0))</f>
        <v/>
      </c>
      <c r="O970" s="26" t="str">
        <f aca="false">IF($D970="","",F970*M970+G970*N970)</f>
        <v/>
      </c>
      <c r="P970" s="26" t="str">
        <f aca="false">IF(OR($D970="",$J970&lt;&gt;"Supplier"),"",IFERROR(INDEX(SupplierRates!$D$5:$D$500,MATCH($K970&amp;"|"&amp;$L970,SupplierRates!$A$5:$A$500,0)),0))</f>
        <v/>
      </c>
      <c r="Q970" s="26" t="str">
        <f aca="false">IF(OR($D970="",$J970&lt;&gt;"Supplier"),"",IFERROR(INDEX(SupplierRates!$E$5:$E$500,MATCH($K970&amp;"|"&amp;$L970,SupplierRates!$A$5:$A$500,0)),0))</f>
        <v/>
      </c>
      <c r="R970" s="26" t="n">
        <f aca="false">IF(OR($D970="",$J970&lt;&gt;"Supplier"),0,F970*P970+G970*Q970)</f>
        <v>0</v>
      </c>
      <c r="S970" s="26" t="n">
        <f aca="false">IF(OR($D970="",$J970&lt;&gt;"Own"),0,IFERROR((F970+G970*Settings!$B$13)*INDEX(Workers!$V$5:$V$2004,MATCH($D970,Workers!$A$5:$A$2004,0)),0))</f>
        <v>0</v>
      </c>
      <c r="T970" s="26" t="str">
        <f aca="false">IF($D970="","",O970-R970-S970)</f>
        <v/>
      </c>
    </row>
    <row r="971" customFormat="false" ht="15" hidden="false" customHeight="false" outlineLevel="0" collapsed="false">
      <c r="I971" s="24" t="str">
        <f aca="false">IF($D971="","",IFERROR(INDEX(Workers!$B$5:$B$2004,MATCH($D971,Workers!$A$5:$A$2004,0)),"NOT FOUND"))</f>
        <v/>
      </c>
      <c r="J971" s="24" t="str">
        <f aca="false">IF($D971="","",IFERROR(INDEX(Workers!$C$5:$C$2004,MATCH($D971,Workers!$A$5:$A$2004,0)),""))</f>
        <v/>
      </c>
      <c r="K971" s="24" t="str">
        <f aca="false">IF($D971="","",IFERROR(IF(INDEX(Workers!$D$5:$D$2004,MATCH($D971,Workers!$A$5:$A$2004,0))=0,"",INDEX(Workers!$D$5:$D$2004,MATCH($D971,Workers!$A$5:$A$2004,0))),""))</f>
        <v/>
      </c>
      <c r="L971" s="24" t="str">
        <f aca="false">IF($D971="","",IFERROR(INDEX(Workers!$E$5:$E$2004,MATCH($D971,Workers!$A$5:$A$2004,0)),""))</f>
        <v/>
      </c>
      <c r="M971" s="26" t="str">
        <f aca="false">IF($D971="","",IFERROR(INDEX(ClientRates!$D$5:$D$500,MATCH($B971&amp;"|"&amp;$L971,ClientRates!$A$5:$A$500,0)),0))</f>
        <v/>
      </c>
      <c r="N971" s="26" t="str">
        <f aca="false">IF($D971="","",IFERROR(INDEX(ClientRates!$E$5:$E$500,MATCH($B971&amp;"|"&amp;$L971,ClientRates!$A$5:$A$500,0)),0))</f>
        <v/>
      </c>
      <c r="O971" s="26" t="str">
        <f aca="false">IF($D971="","",F971*M971+G971*N971)</f>
        <v/>
      </c>
      <c r="P971" s="26" t="str">
        <f aca="false">IF(OR($D971="",$J971&lt;&gt;"Supplier"),"",IFERROR(INDEX(SupplierRates!$D$5:$D$500,MATCH($K971&amp;"|"&amp;$L971,SupplierRates!$A$5:$A$500,0)),0))</f>
        <v/>
      </c>
      <c r="Q971" s="26" t="str">
        <f aca="false">IF(OR($D971="",$J971&lt;&gt;"Supplier"),"",IFERROR(INDEX(SupplierRates!$E$5:$E$500,MATCH($K971&amp;"|"&amp;$L971,SupplierRates!$A$5:$A$500,0)),0))</f>
        <v/>
      </c>
      <c r="R971" s="26" t="n">
        <f aca="false">IF(OR($D971="",$J971&lt;&gt;"Supplier"),0,F971*P971+G971*Q971)</f>
        <v>0</v>
      </c>
      <c r="S971" s="26" t="n">
        <f aca="false">IF(OR($D971="",$J971&lt;&gt;"Own"),0,IFERROR((F971+G971*Settings!$B$13)*INDEX(Workers!$V$5:$V$2004,MATCH($D971,Workers!$A$5:$A$2004,0)),0))</f>
        <v>0</v>
      </c>
      <c r="T971" s="26" t="str">
        <f aca="false">IF($D971="","",O971-R971-S971)</f>
        <v/>
      </c>
    </row>
    <row r="972" customFormat="false" ht="15" hidden="false" customHeight="false" outlineLevel="0" collapsed="false">
      <c r="I972" s="24" t="str">
        <f aca="false">IF($D972="","",IFERROR(INDEX(Workers!$B$5:$B$2004,MATCH($D972,Workers!$A$5:$A$2004,0)),"NOT FOUND"))</f>
        <v/>
      </c>
      <c r="J972" s="24" t="str">
        <f aca="false">IF($D972="","",IFERROR(INDEX(Workers!$C$5:$C$2004,MATCH($D972,Workers!$A$5:$A$2004,0)),""))</f>
        <v/>
      </c>
      <c r="K972" s="24" t="str">
        <f aca="false">IF($D972="","",IFERROR(IF(INDEX(Workers!$D$5:$D$2004,MATCH($D972,Workers!$A$5:$A$2004,0))=0,"",INDEX(Workers!$D$5:$D$2004,MATCH($D972,Workers!$A$5:$A$2004,0))),""))</f>
        <v/>
      </c>
      <c r="L972" s="24" t="str">
        <f aca="false">IF($D972="","",IFERROR(INDEX(Workers!$E$5:$E$2004,MATCH($D972,Workers!$A$5:$A$2004,0)),""))</f>
        <v/>
      </c>
      <c r="M972" s="26" t="str">
        <f aca="false">IF($D972="","",IFERROR(INDEX(ClientRates!$D$5:$D$500,MATCH($B972&amp;"|"&amp;$L972,ClientRates!$A$5:$A$500,0)),0))</f>
        <v/>
      </c>
      <c r="N972" s="26" t="str">
        <f aca="false">IF($D972="","",IFERROR(INDEX(ClientRates!$E$5:$E$500,MATCH($B972&amp;"|"&amp;$L972,ClientRates!$A$5:$A$500,0)),0))</f>
        <v/>
      </c>
      <c r="O972" s="26" t="str">
        <f aca="false">IF($D972="","",F972*M972+G972*N972)</f>
        <v/>
      </c>
      <c r="P972" s="26" t="str">
        <f aca="false">IF(OR($D972="",$J972&lt;&gt;"Supplier"),"",IFERROR(INDEX(SupplierRates!$D$5:$D$500,MATCH($K972&amp;"|"&amp;$L972,SupplierRates!$A$5:$A$500,0)),0))</f>
        <v/>
      </c>
      <c r="Q972" s="26" t="str">
        <f aca="false">IF(OR($D972="",$J972&lt;&gt;"Supplier"),"",IFERROR(INDEX(SupplierRates!$E$5:$E$500,MATCH($K972&amp;"|"&amp;$L972,SupplierRates!$A$5:$A$500,0)),0))</f>
        <v/>
      </c>
      <c r="R972" s="26" t="n">
        <f aca="false">IF(OR($D972="",$J972&lt;&gt;"Supplier"),0,F972*P972+G972*Q972)</f>
        <v>0</v>
      </c>
      <c r="S972" s="26" t="n">
        <f aca="false">IF(OR($D972="",$J972&lt;&gt;"Own"),0,IFERROR((F972+G972*Settings!$B$13)*INDEX(Workers!$V$5:$V$2004,MATCH($D972,Workers!$A$5:$A$2004,0)),0))</f>
        <v>0</v>
      </c>
      <c r="T972" s="26" t="str">
        <f aca="false">IF($D972="","",O972-R972-S972)</f>
        <v/>
      </c>
    </row>
    <row r="973" customFormat="false" ht="15" hidden="false" customHeight="false" outlineLevel="0" collapsed="false">
      <c r="I973" s="24" t="str">
        <f aca="false">IF($D973="","",IFERROR(INDEX(Workers!$B$5:$B$2004,MATCH($D973,Workers!$A$5:$A$2004,0)),"NOT FOUND"))</f>
        <v/>
      </c>
      <c r="J973" s="24" t="str">
        <f aca="false">IF($D973="","",IFERROR(INDEX(Workers!$C$5:$C$2004,MATCH($D973,Workers!$A$5:$A$2004,0)),""))</f>
        <v/>
      </c>
      <c r="K973" s="24" t="str">
        <f aca="false">IF($D973="","",IFERROR(IF(INDEX(Workers!$D$5:$D$2004,MATCH($D973,Workers!$A$5:$A$2004,0))=0,"",INDEX(Workers!$D$5:$D$2004,MATCH($D973,Workers!$A$5:$A$2004,0))),""))</f>
        <v/>
      </c>
      <c r="L973" s="24" t="str">
        <f aca="false">IF($D973="","",IFERROR(INDEX(Workers!$E$5:$E$2004,MATCH($D973,Workers!$A$5:$A$2004,0)),""))</f>
        <v/>
      </c>
      <c r="M973" s="26" t="str">
        <f aca="false">IF($D973="","",IFERROR(INDEX(ClientRates!$D$5:$D$500,MATCH($B973&amp;"|"&amp;$L973,ClientRates!$A$5:$A$500,0)),0))</f>
        <v/>
      </c>
      <c r="N973" s="26" t="str">
        <f aca="false">IF($D973="","",IFERROR(INDEX(ClientRates!$E$5:$E$500,MATCH($B973&amp;"|"&amp;$L973,ClientRates!$A$5:$A$500,0)),0))</f>
        <v/>
      </c>
      <c r="O973" s="26" t="str">
        <f aca="false">IF($D973="","",F973*M973+G973*N973)</f>
        <v/>
      </c>
      <c r="P973" s="26" t="str">
        <f aca="false">IF(OR($D973="",$J973&lt;&gt;"Supplier"),"",IFERROR(INDEX(SupplierRates!$D$5:$D$500,MATCH($K973&amp;"|"&amp;$L973,SupplierRates!$A$5:$A$500,0)),0))</f>
        <v/>
      </c>
      <c r="Q973" s="26" t="str">
        <f aca="false">IF(OR($D973="",$J973&lt;&gt;"Supplier"),"",IFERROR(INDEX(SupplierRates!$E$5:$E$500,MATCH($K973&amp;"|"&amp;$L973,SupplierRates!$A$5:$A$500,0)),0))</f>
        <v/>
      </c>
      <c r="R973" s="26" t="n">
        <f aca="false">IF(OR($D973="",$J973&lt;&gt;"Supplier"),0,F973*P973+G973*Q973)</f>
        <v>0</v>
      </c>
      <c r="S973" s="26" t="n">
        <f aca="false">IF(OR($D973="",$J973&lt;&gt;"Own"),0,IFERROR((F973+G973*Settings!$B$13)*INDEX(Workers!$V$5:$V$2004,MATCH($D973,Workers!$A$5:$A$2004,0)),0))</f>
        <v>0</v>
      </c>
      <c r="T973" s="26" t="str">
        <f aca="false">IF($D973="","",O973-R973-S973)</f>
        <v/>
      </c>
    </row>
    <row r="974" customFormat="false" ht="15" hidden="false" customHeight="false" outlineLevel="0" collapsed="false">
      <c r="I974" s="24" t="str">
        <f aca="false">IF($D974="","",IFERROR(INDEX(Workers!$B$5:$B$2004,MATCH($D974,Workers!$A$5:$A$2004,0)),"NOT FOUND"))</f>
        <v/>
      </c>
      <c r="J974" s="24" t="str">
        <f aca="false">IF($D974="","",IFERROR(INDEX(Workers!$C$5:$C$2004,MATCH($D974,Workers!$A$5:$A$2004,0)),""))</f>
        <v/>
      </c>
      <c r="K974" s="24" t="str">
        <f aca="false">IF($D974="","",IFERROR(IF(INDEX(Workers!$D$5:$D$2004,MATCH($D974,Workers!$A$5:$A$2004,0))=0,"",INDEX(Workers!$D$5:$D$2004,MATCH($D974,Workers!$A$5:$A$2004,0))),""))</f>
        <v/>
      </c>
      <c r="L974" s="24" t="str">
        <f aca="false">IF($D974="","",IFERROR(INDEX(Workers!$E$5:$E$2004,MATCH($D974,Workers!$A$5:$A$2004,0)),""))</f>
        <v/>
      </c>
      <c r="M974" s="26" t="str">
        <f aca="false">IF($D974="","",IFERROR(INDEX(ClientRates!$D$5:$D$500,MATCH($B974&amp;"|"&amp;$L974,ClientRates!$A$5:$A$500,0)),0))</f>
        <v/>
      </c>
      <c r="N974" s="26" t="str">
        <f aca="false">IF($D974="","",IFERROR(INDEX(ClientRates!$E$5:$E$500,MATCH($B974&amp;"|"&amp;$L974,ClientRates!$A$5:$A$500,0)),0))</f>
        <v/>
      </c>
      <c r="O974" s="26" t="str">
        <f aca="false">IF($D974="","",F974*M974+G974*N974)</f>
        <v/>
      </c>
      <c r="P974" s="26" t="str">
        <f aca="false">IF(OR($D974="",$J974&lt;&gt;"Supplier"),"",IFERROR(INDEX(SupplierRates!$D$5:$D$500,MATCH($K974&amp;"|"&amp;$L974,SupplierRates!$A$5:$A$500,0)),0))</f>
        <v/>
      </c>
      <c r="Q974" s="26" t="str">
        <f aca="false">IF(OR($D974="",$J974&lt;&gt;"Supplier"),"",IFERROR(INDEX(SupplierRates!$E$5:$E$500,MATCH($K974&amp;"|"&amp;$L974,SupplierRates!$A$5:$A$500,0)),0))</f>
        <v/>
      </c>
      <c r="R974" s="26" t="n">
        <f aca="false">IF(OR($D974="",$J974&lt;&gt;"Supplier"),0,F974*P974+G974*Q974)</f>
        <v>0</v>
      </c>
      <c r="S974" s="26" t="n">
        <f aca="false">IF(OR($D974="",$J974&lt;&gt;"Own"),0,IFERROR((F974+G974*Settings!$B$13)*INDEX(Workers!$V$5:$V$2004,MATCH($D974,Workers!$A$5:$A$2004,0)),0))</f>
        <v>0</v>
      </c>
      <c r="T974" s="26" t="str">
        <f aca="false">IF($D974="","",O974-R974-S974)</f>
        <v/>
      </c>
    </row>
    <row r="975" customFormat="false" ht="15" hidden="false" customHeight="false" outlineLevel="0" collapsed="false">
      <c r="I975" s="24" t="str">
        <f aca="false">IF($D975="","",IFERROR(INDEX(Workers!$B$5:$B$2004,MATCH($D975,Workers!$A$5:$A$2004,0)),"NOT FOUND"))</f>
        <v/>
      </c>
      <c r="J975" s="24" t="str">
        <f aca="false">IF($D975="","",IFERROR(INDEX(Workers!$C$5:$C$2004,MATCH($D975,Workers!$A$5:$A$2004,0)),""))</f>
        <v/>
      </c>
      <c r="K975" s="24" t="str">
        <f aca="false">IF($D975="","",IFERROR(IF(INDEX(Workers!$D$5:$D$2004,MATCH($D975,Workers!$A$5:$A$2004,0))=0,"",INDEX(Workers!$D$5:$D$2004,MATCH($D975,Workers!$A$5:$A$2004,0))),""))</f>
        <v/>
      </c>
      <c r="L975" s="24" t="str">
        <f aca="false">IF($D975="","",IFERROR(INDEX(Workers!$E$5:$E$2004,MATCH($D975,Workers!$A$5:$A$2004,0)),""))</f>
        <v/>
      </c>
      <c r="M975" s="26" t="str">
        <f aca="false">IF($D975="","",IFERROR(INDEX(ClientRates!$D$5:$D$500,MATCH($B975&amp;"|"&amp;$L975,ClientRates!$A$5:$A$500,0)),0))</f>
        <v/>
      </c>
      <c r="N975" s="26" t="str">
        <f aca="false">IF($D975="","",IFERROR(INDEX(ClientRates!$E$5:$E$500,MATCH($B975&amp;"|"&amp;$L975,ClientRates!$A$5:$A$500,0)),0))</f>
        <v/>
      </c>
      <c r="O975" s="26" t="str">
        <f aca="false">IF($D975="","",F975*M975+G975*N975)</f>
        <v/>
      </c>
      <c r="P975" s="26" t="str">
        <f aca="false">IF(OR($D975="",$J975&lt;&gt;"Supplier"),"",IFERROR(INDEX(SupplierRates!$D$5:$D$500,MATCH($K975&amp;"|"&amp;$L975,SupplierRates!$A$5:$A$500,0)),0))</f>
        <v/>
      </c>
      <c r="Q975" s="26" t="str">
        <f aca="false">IF(OR($D975="",$J975&lt;&gt;"Supplier"),"",IFERROR(INDEX(SupplierRates!$E$5:$E$500,MATCH($K975&amp;"|"&amp;$L975,SupplierRates!$A$5:$A$500,0)),0))</f>
        <v/>
      </c>
      <c r="R975" s="26" t="n">
        <f aca="false">IF(OR($D975="",$J975&lt;&gt;"Supplier"),0,F975*P975+G975*Q975)</f>
        <v>0</v>
      </c>
      <c r="S975" s="26" t="n">
        <f aca="false">IF(OR($D975="",$J975&lt;&gt;"Own"),0,IFERROR((F975+G975*Settings!$B$13)*INDEX(Workers!$V$5:$V$2004,MATCH($D975,Workers!$A$5:$A$2004,0)),0))</f>
        <v>0</v>
      </c>
      <c r="T975" s="26" t="str">
        <f aca="false">IF($D975="","",O975-R975-S975)</f>
        <v/>
      </c>
    </row>
    <row r="976" customFormat="false" ht="15" hidden="false" customHeight="false" outlineLevel="0" collapsed="false">
      <c r="I976" s="24" t="str">
        <f aca="false">IF($D976="","",IFERROR(INDEX(Workers!$B$5:$B$2004,MATCH($D976,Workers!$A$5:$A$2004,0)),"NOT FOUND"))</f>
        <v/>
      </c>
      <c r="J976" s="24" t="str">
        <f aca="false">IF($D976="","",IFERROR(INDEX(Workers!$C$5:$C$2004,MATCH($D976,Workers!$A$5:$A$2004,0)),""))</f>
        <v/>
      </c>
      <c r="K976" s="24" t="str">
        <f aca="false">IF($D976="","",IFERROR(IF(INDEX(Workers!$D$5:$D$2004,MATCH($D976,Workers!$A$5:$A$2004,0))=0,"",INDEX(Workers!$D$5:$D$2004,MATCH($D976,Workers!$A$5:$A$2004,0))),""))</f>
        <v/>
      </c>
      <c r="L976" s="24" t="str">
        <f aca="false">IF($D976="","",IFERROR(INDEX(Workers!$E$5:$E$2004,MATCH($D976,Workers!$A$5:$A$2004,0)),""))</f>
        <v/>
      </c>
      <c r="M976" s="26" t="str">
        <f aca="false">IF($D976="","",IFERROR(INDEX(ClientRates!$D$5:$D$500,MATCH($B976&amp;"|"&amp;$L976,ClientRates!$A$5:$A$500,0)),0))</f>
        <v/>
      </c>
      <c r="N976" s="26" t="str">
        <f aca="false">IF($D976="","",IFERROR(INDEX(ClientRates!$E$5:$E$500,MATCH($B976&amp;"|"&amp;$L976,ClientRates!$A$5:$A$500,0)),0))</f>
        <v/>
      </c>
      <c r="O976" s="26" t="str">
        <f aca="false">IF($D976="","",F976*M976+G976*N976)</f>
        <v/>
      </c>
      <c r="P976" s="26" t="str">
        <f aca="false">IF(OR($D976="",$J976&lt;&gt;"Supplier"),"",IFERROR(INDEX(SupplierRates!$D$5:$D$500,MATCH($K976&amp;"|"&amp;$L976,SupplierRates!$A$5:$A$500,0)),0))</f>
        <v/>
      </c>
      <c r="Q976" s="26" t="str">
        <f aca="false">IF(OR($D976="",$J976&lt;&gt;"Supplier"),"",IFERROR(INDEX(SupplierRates!$E$5:$E$500,MATCH($K976&amp;"|"&amp;$L976,SupplierRates!$A$5:$A$500,0)),0))</f>
        <v/>
      </c>
      <c r="R976" s="26" t="n">
        <f aca="false">IF(OR($D976="",$J976&lt;&gt;"Supplier"),0,F976*P976+G976*Q976)</f>
        <v>0</v>
      </c>
      <c r="S976" s="26" t="n">
        <f aca="false">IF(OR($D976="",$J976&lt;&gt;"Own"),0,IFERROR((F976+G976*Settings!$B$13)*INDEX(Workers!$V$5:$V$2004,MATCH($D976,Workers!$A$5:$A$2004,0)),0))</f>
        <v>0</v>
      </c>
      <c r="T976" s="26" t="str">
        <f aca="false">IF($D976="","",O976-R976-S976)</f>
        <v/>
      </c>
    </row>
    <row r="977" customFormat="false" ht="15" hidden="false" customHeight="false" outlineLevel="0" collapsed="false">
      <c r="I977" s="24" t="str">
        <f aca="false">IF($D977="","",IFERROR(INDEX(Workers!$B$5:$B$2004,MATCH($D977,Workers!$A$5:$A$2004,0)),"NOT FOUND"))</f>
        <v/>
      </c>
      <c r="J977" s="24" t="str">
        <f aca="false">IF($D977="","",IFERROR(INDEX(Workers!$C$5:$C$2004,MATCH($D977,Workers!$A$5:$A$2004,0)),""))</f>
        <v/>
      </c>
      <c r="K977" s="24" t="str">
        <f aca="false">IF($D977="","",IFERROR(IF(INDEX(Workers!$D$5:$D$2004,MATCH($D977,Workers!$A$5:$A$2004,0))=0,"",INDEX(Workers!$D$5:$D$2004,MATCH($D977,Workers!$A$5:$A$2004,0))),""))</f>
        <v/>
      </c>
      <c r="L977" s="24" t="str">
        <f aca="false">IF($D977="","",IFERROR(INDEX(Workers!$E$5:$E$2004,MATCH($D977,Workers!$A$5:$A$2004,0)),""))</f>
        <v/>
      </c>
      <c r="M977" s="26" t="str">
        <f aca="false">IF($D977="","",IFERROR(INDEX(ClientRates!$D$5:$D$500,MATCH($B977&amp;"|"&amp;$L977,ClientRates!$A$5:$A$500,0)),0))</f>
        <v/>
      </c>
      <c r="N977" s="26" t="str">
        <f aca="false">IF($D977="","",IFERROR(INDEX(ClientRates!$E$5:$E$500,MATCH($B977&amp;"|"&amp;$L977,ClientRates!$A$5:$A$500,0)),0))</f>
        <v/>
      </c>
      <c r="O977" s="26" t="str">
        <f aca="false">IF($D977="","",F977*M977+G977*N977)</f>
        <v/>
      </c>
      <c r="P977" s="26" t="str">
        <f aca="false">IF(OR($D977="",$J977&lt;&gt;"Supplier"),"",IFERROR(INDEX(SupplierRates!$D$5:$D$500,MATCH($K977&amp;"|"&amp;$L977,SupplierRates!$A$5:$A$500,0)),0))</f>
        <v/>
      </c>
      <c r="Q977" s="26" t="str">
        <f aca="false">IF(OR($D977="",$J977&lt;&gt;"Supplier"),"",IFERROR(INDEX(SupplierRates!$E$5:$E$500,MATCH($K977&amp;"|"&amp;$L977,SupplierRates!$A$5:$A$500,0)),0))</f>
        <v/>
      </c>
      <c r="R977" s="26" t="n">
        <f aca="false">IF(OR($D977="",$J977&lt;&gt;"Supplier"),0,F977*P977+G977*Q977)</f>
        <v>0</v>
      </c>
      <c r="S977" s="26" t="n">
        <f aca="false">IF(OR($D977="",$J977&lt;&gt;"Own"),0,IFERROR((F977+G977*Settings!$B$13)*INDEX(Workers!$V$5:$V$2004,MATCH($D977,Workers!$A$5:$A$2004,0)),0))</f>
        <v>0</v>
      </c>
      <c r="T977" s="26" t="str">
        <f aca="false">IF($D977="","",O977-R977-S977)</f>
        <v/>
      </c>
    </row>
    <row r="978" customFormat="false" ht="15" hidden="false" customHeight="false" outlineLevel="0" collapsed="false">
      <c r="I978" s="24" t="str">
        <f aca="false">IF($D978="","",IFERROR(INDEX(Workers!$B$5:$B$2004,MATCH($D978,Workers!$A$5:$A$2004,0)),"NOT FOUND"))</f>
        <v/>
      </c>
      <c r="J978" s="24" t="str">
        <f aca="false">IF($D978="","",IFERROR(INDEX(Workers!$C$5:$C$2004,MATCH($D978,Workers!$A$5:$A$2004,0)),""))</f>
        <v/>
      </c>
      <c r="K978" s="24" t="str">
        <f aca="false">IF($D978="","",IFERROR(IF(INDEX(Workers!$D$5:$D$2004,MATCH($D978,Workers!$A$5:$A$2004,0))=0,"",INDEX(Workers!$D$5:$D$2004,MATCH($D978,Workers!$A$5:$A$2004,0))),""))</f>
        <v/>
      </c>
      <c r="L978" s="24" t="str">
        <f aca="false">IF($D978="","",IFERROR(INDEX(Workers!$E$5:$E$2004,MATCH($D978,Workers!$A$5:$A$2004,0)),""))</f>
        <v/>
      </c>
      <c r="M978" s="26" t="str">
        <f aca="false">IF($D978="","",IFERROR(INDEX(ClientRates!$D$5:$D$500,MATCH($B978&amp;"|"&amp;$L978,ClientRates!$A$5:$A$500,0)),0))</f>
        <v/>
      </c>
      <c r="N978" s="26" t="str">
        <f aca="false">IF($D978="","",IFERROR(INDEX(ClientRates!$E$5:$E$500,MATCH($B978&amp;"|"&amp;$L978,ClientRates!$A$5:$A$500,0)),0))</f>
        <v/>
      </c>
      <c r="O978" s="26" t="str">
        <f aca="false">IF($D978="","",F978*M978+G978*N978)</f>
        <v/>
      </c>
      <c r="P978" s="26" t="str">
        <f aca="false">IF(OR($D978="",$J978&lt;&gt;"Supplier"),"",IFERROR(INDEX(SupplierRates!$D$5:$D$500,MATCH($K978&amp;"|"&amp;$L978,SupplierRates!$A$5:$A$500,0)),0))</f>
        <v/>
      </c>
      <c r="Q978" s="26" t="str">
        <f aca="false">IF(OR($D978="",$J978&lt;&gt;"Supplier"),"",IFERROR(INDEX(SupplierRates!$E$5:$E$500,MATCH($K978&amp;"|"&amp;$L978,SupplierRates!$A$5:$A$500,0)),0))</f>
        <v/>
      </c>
      <c r="R978" s="26" t="n">
        <f aca="false">IF(OR($D978="",$J978&lt;&gt;"Supplier"),0,F978*P978+G978*Q978)</f>
        <v>0</v>
      </c>
      <c r="S978" s="26" t="n">
        <f aca="false">IF(OR($D978="",$J978&lt;&gt;"Own"),0,IFERROR((F978+G978*Settings!$B$13)*INDEX(Workers!$V$5:$V$2004,MATCH($D978,Workers!$A$5:$A$2004,0)),0))</f>
        <v>0</v>
      </c>
      <c r="T978" s="26" t="str">
        <f aca="false">IF($D978="","",O978-R978-S978)</f>
        <v/>
      </c>
    </row>
    <row r="979" customFormat="false" ht="15" hidden="false" customHeight="false" outlineLevel="0" collapsed="false">
      <c r="I979" s="24" t="str">
        <f aca="false">IF($D979="","",IFERROR(INDEX(Workers!$B$5:$B$2004,MATCH($D979,Workers!$A$5:$A$2004,0)),"NOT FOUND"))</f>
        <v/>
      </c>
      <c r="J979" s="24" t="str">
        <f aca="false">IF($D979="","",IFERROR(INDEX(Workers!$C$5:$C$2004,MATCH($D979,Workers!$A$5:$A$2004,0)),""))</f>
        <v/>
      </c>
      <c r="K979" s="24" t="str">
        <f aca="false">IF($D979="","",IFERROR(IF(INDEX(Workers!$D$5:$D$2004,MATCH($D979,Workers!$A$5:$A$2004,0))=0,"",INDEX(Workers!$D$5:$D$2004,MATCH($D979,Workers!$A$5:$A$2004,0))),""))</f>
        <v/>
      </c>
      <c r="L979" s="24" t="str">
        <f aca="false">IF($D979="","",IFERROR(INDEX(Workers!$E$5:$E$2004,MATCH($D979,Workers!$A$5:$A$2004,0)),""))</f>
        <v/>
      </c>
      <c r="M979" s="26" t="str">
        <f aca="false">IF($D979="","",IFERROR(INDEX(ClientRates!$D$5:$D$500,MATCH($B979&amp;"|"&amp;$L979,ClientRates!$A$5:$A$500,0)),0))</f>
        <v/>
      </c>
      <c r="N979" s="26" t="str">
        <f aca="false">IF($D979="","",IFERROR(INDEX(ClientRates!$E$5:$E$500,MATCH($B979&amp;"|"&amp;$L979,ClientRates!$A$5:$A$500,0)),0))</f>
        <v/>
      </c>
      <c r="O979" s="26" t="str">
        <f aca="false">IF($D979="","",F979*M979+G979*N979)</f>
        <v/>
      </c>
      <c r="P979" s="26" t="str">
        <f aca="false">IF(OR($D979="",$J979&lt;&gt;"Supplier"),"",IFERROR(INDEX(SupplierRates!$D$5:$D$500,MATCH($K979&amp;"|"&amp;$L979,SupplierRates!$A$5:$A$500,0)),0))</f>
        <v/>
      </c>
      <c r="Q979" s="26" t="str">
        <f aca="false">IF(OR($D979="",$J979&lt;&gt;"Supplier"),"",IFERROR(INDEX(SupplierRates!$E$5:$E$500,MATCH($K979&amp;"|"&amp;$L979,SupplierRates!$A$5:$A$500,0)),0))</f>
        <v/>
      </c>
      <c r="R979" s="26" t="n">
        <f aca="false">IF(OR($D979="",$J979&lt;&gt;"Supplier"),0,F979*P979+G979*Q979)</f>
        <v>0</v>
      </c>
      <c r="S979" s="26" t="n">
        <f aca="false">IF(OR($D979="",$J979&lt;&gt;"Own"),0,IFERROR((F979+G979*Settings!$B$13)*INDEX(Workers!$V$5:$V$2004,MATCH($D979,Workers!$A$5:$A$2004,0)),0))</f>
        <v>0</v>
      </c>
      <c r="T979" s="26" t="str">
        <f aca="false">IF($D979="","",O979-R979-S979)</f>
        <v/>
      </c>
    </row>
    <row r="980" customFormat="false" ht="15" hidden="false" customHeight="false" outlineLevel="0" collapsed="false">
      <c r="I980" s="24" t="str">
        <f aca="false">IF($D980="","",IFERROR(INDEX(Workers!$B$5:$B$2004,MATCH($D980,Workers!$A$5:$A$2004,0)),"NOT FOUND"))</f>
        <v/>
      </c>
      <c r="J980" s="24" t="str">
        <f aca="false">IF($D980="","",IFERROR(INDEX(Workers!$C$5:$C$2004,MATCH($D980,Workers!$A$5:$A$2004,0)),""))</f>
        <v/>
      </c>
      <c r="K980" s="24" t="str">
        <f aca="false">IF($D980="","",IFERROR(IF(INDEX(Workers!$D$5:$D$2004,MATCH($D980,Workers!$A$5:$A$2004,0))=0,"",INDEX(Workers!$D$5:$D$2004,MATCH($D980,Workers!$A$5:$A$2004,0))),""))</f>
        <v/>
      </c>
      <c r="L980" s="24" t="str">
        <f aca="false">IF($D980="","",IFERROR(INDEX(Workers!$E$5:$E$2004,MATCH($D980,Workers!$A$5:$A$2004,0)),""))</f>
        <v/>
      </c>
      <c r="M980" s="26" t="str">
        <f aca="false">IF($D980="","",IFERROR(INDEX(ClientRates!$D$5:$D$500,MATCH($B980&amp;"|"&amp;$L980,ClientRates!$A$5:$A$500,0)),0))</f>
        <v/>
      </c>
      <c r="N980" s="26" t="str">
        <f aca="false">IF($D980="","",IFERROR(INDEX(ClientRates!$E$5:$E$500,MATCH($B980&amp;"|"&amp;$L980,ClientRates!$A$5:$A$500,0)),0))</f>
        <v/>
      </c>
      <c r="O980" s="26" t="str">
        <f aca="false">IF($D980="","",F980*M980+G980*N980)</f>
        <v/>
      </c>
      <c r="P980" s="26" t="str">
        <f aca="false">IF(OR($D980="",$J980&lt;&gt;"Supplier"),"",IFERROR(INDEX(SupplierRates!$D$5:$D$500,MATCH($K980&amp;"|"&amp;$L980,SupplierRates!$A$5:$A$500,0)),0))</f>
        <v/>
      </c>
      <c r="Q980" s="26" t="str">
        <f aca="false">IF(OR($D980="",$J980&lt;&gt;"Supplier"),"",IFERROR(INDEX(SupplierRates!$E$5:$E$500,MATCH($K980&amp;"|"&amp;$L980,SupplierRates!$A$5:$A$500,0)),0))</f>
        <v/>
      </c>
      <c r="R980" s="26" t="n">
        <f aca="false">IF(OR($D980="",$J980&lt;&gt;"Supplier"),0,F980*P980+G980*Q980)</f>
        <v>0</v>
      </c>
      <c r="S980" s="26" t="n">
        <f aca="false">IF(OR($D980="",$J980&lt;&gt;"Own"),0,IFERROR((F980+G980*Settings!$B$13)*INDEX(Workers!$V$5:$V$2004,MATCH($D980,Workers!$A$5:$A$2004,0)),0))</f>
        <v>0</v>
      </c>
      <c r="T980" s="26" t="str">
        <f aca="false">IF($D980="","",O980-R980-S980)</f>
        <v/>
      </c>
    </row>
    <row r="981" customFormat="false" ht="15" hidden="false" customHeight="false" outlineLevel="0" collapsed="false">
      <c r="I981" s="24" t="str">
        <f aca="false">IF($D981="","",IFERROR(INDEX(Workers!$B$5:$B$2004,MATCH($D981,Workers!$A$5:$A$2004,0)),"NOT FOUND"))</f>
        <v/>
      </c>
      <c r="J981" s="24" t="str">
        <f aca="false">IF($D981="","",IFERROR(INDEX(Workers!$C$5:$C$2004,MATCH($D981,Workers!$A$5:$A$2004,0)),""))</f>
        <v/>
      </c>
      <c r="K981" s="24" t="str">
        <f aca="false">IF($D981="","",IFERROR(IF(INDEX(Workers!$D$5:$D$2004,MATCH($D981,Workers!$A$5:$A$2004,0))=0,"",INDEX(Workers!$D$5:$D$2004,MATCH($D981,Workers!$A$5:$A$2004,0))),""))</f>
        <v/>
      </c>
      <c r="L981" s="24" t="str">
        <f aca="false">IF($D981="","",IFERROR(INDEX(Workers!$E$5:$E$2004,MATCH($D981,Workers!$A$5:$A$2004,0)),""))</f>
        <v/>
      </c>
      <c r="M981" s="26" t="str">
        <f aca="false">IF($D981="","",IFERROR(INDEX(ClientRates!$D$5:$D$500,MATCH($B981&amp;"|"&amp;$L981,ClientRates!$A$5:$A$500,0)),0))</f>
        <v/>
      </c>
      <c r="N981" s="26" t="str">
        <f aca="false">IF($D981="","",IFERROR(INDEX(ClientRates!$E$5:$E$500,MATCH($B981&amp;"|"&amp;$L981,ClientRates!$A$5:$A$500,0)),0))</f>
        <v/>
      </c>
      <c r="O981" s="26" t="str">
        <f aca="false">IF($D981="","",F981*M981+G981*N981)</f>
        <v/>
      </c>
      <c r="P981" s="26" t="str">
        <f aca="false">IF(OR($D981="",$J981&lt;&gt;"Supplier"),"",IFERROR(INDEX(SupplierRates!$D$5:$D$500,MATCH($K981&amp;"|"&amp;$L981,SupplierRates!$A$5:$A$500,0)),0))</f>
        <v/>
      </c>
      <c r="Q981" s="26" t="str">
        <f aca="false">IF(OR($D981="",$J981&lt;&gt;"Supplier"),"",IFERROR(INDEX(SupplierRates!$E$5:$E$500,MATCH($K981&amp;"|"&amp;$L981,SupplierRates!$A$5:$A$500,0)),0))</f>
        <v/>
      </c>
      <c r="R981" s="26" t="n">
        <f aca="false">IF(OR($D981="",$J981&lt;&gt;"Supplier"),0,F981*P981+G981*Q981)</f>
        <v>0</v>
      </c>
      <c r="S981" s="26" t="n">
        <f aca="false">IF(OR($D981="",$J981&lt;&gt;"Own"),0,IFERROR((F981+G981*Settings!$B$13)*INDEX(Workers!$V$5:$V$2004,MATCH($D981,Workers!$A$5:$A$2004,0)),0))</f>
        <v>0</v>
      </c>
      <c r="T981" s="26" t="str">
        <f aca="false">IF($D981="","",O981-R981-S981)</f>
        <v/>
      </c>
    </row>
    <row r="982" customFormat="false" ht="15" hidden="false" customHeight="false" outlineLevel="0" collapsed="false">
      <c r="I982" s="24" t="str">
        <f aca="false">IF($D982="","",IFERROR(INDEX(Workers!$B$5:$B$2004,MATCH($D982,Workers!$A$5:$A$2004,0)),"NOT FOUND"))</f>
        <v/>
      </c>
      <c r="J982" s="24" t="str">
        <f aca="false">IF($D982="","",IFERROR(INDEX(Workers!$C$5:$C$2004,MATCH($D982,Workers!$A$5:$A$2004,0)),""))</f>
        <v/>
      </c>
      <c r="K982" s="24" t="str">
        <f aca="false">IF($D982="","",IFERROR(IF(INDEX(Workers!$D$5:$D$2004,MATCH($D982,Workers!$A$5:$A$2004,0))=0,"",INDEX(Workers!$D$5:$D$2004,MATCH($D982,Workers!$A$5:$A$2004,0))),""))</f>
        <v/>
      </c>
      <c r="L982" s="24" t="str">
        <f aca="false">IF($D982="","",IFERROR(INDEX(Workers!$E$5:$E$2004,MATCH($D982,Workers!$A$5:$A$2004,0)),""))</f>
        <v/>
      </c>
      <c r="M982" s="26" t="str">
        <f aca="false">IF($D982="","",IFERROR(INDEX(ClientRates!$D$5:$D$500,MATCH($B982&amp;"|"&amp;$L982,ClientRates!$A$5:$A$500,0)),0))</f>
        <v/>
      </c>
      <c r="N982" s="26" t="str">
        <f aca="false">IF($D982="","",IFERROR(INDEX(ClientRates!$E$5:$E$500,MATCH($B982&amp;"|"&amp;$L982,ClientRates!$A$5:$A$500,0)),0))</f>
        <v/>
      </c>
      <c r="O982" s="26" t="str">
        <f aca="false">IF($D982="","",F982*M982+G982*N982)</f>
        <v/>
      </c>
      <c r="P982" s="26" t="str">
        <f aca="false">IF(OR($D982="",$J982&lt;&gt;"Supplier"),"",IFERROR(INDEX(SupplierRates!$D$5:$D$500,MATCH($K982&amp;"|"&amp;$L982,SupplierRates!$A$5:$A$500,0)),0))</f>
        <v/>
      </c>
      <c r="Q982" s="26" t="str">
        <f aca="false">IF(OR($D982="",$J982&lt;&gt;"Supplier"),"",IFERROR(INDEX(SupplierRates!$E$5:$E$500,MATCH($K982&amp;"|"&amp;$L982,SupplierRates!$A$5:$A$500,0)),0))</f>
        <v/>
      </c>
      <c r="R982" s="26" t="n">
        <f aca="false">IF(OR($D982="",$J982&lt;&gt;"Supplier"),0,F982*P982+G982*Q982)</f>
        <v>0</v>
      </c>
      <c r="S982" s="26" t="n">
        <f aca="false">IF(OR($D982="",$J982&lt;&gt;"Own"),0,IFERROR((F982+G982*Settings!$B$13)*INDEX(Workers!$V$5:$V$2004,MATCH($D982,Workers!$A$5:$A$2004,0)),0))</f>
        <v>0</v>
      </c>
      <c r="T982" s="26" t="str">
        <f aca="false">IF($D982="","",O982-R982-S982)</f>
        <v/>
      </c>
    </row>
    <row r="983" customFormat="false" ht="15" hidden="false" customHeight="false" outlineLevel="0" collapsed="false">
      <c r="I983" s="24" t="str">
        <f aca="false">IF($D983="","",IFERROR(INDEX(Workers!$B$5:$B$2004,MATCH($D983,Workers!$A$5:$A$2004,0)),"NOT FOUND"))</f>
        <v/>
      </c>
      <c r="J983" s="24" t="str">
        <f aca="false">IF($D983="","",IFERROR(INDEX(Workers!$C$5:$C$2004,MATCH($D983,Workers!$A$5:$A$2004,0)),""))</f>
        <v/>
      </c>
      <c r="K983" s="24" t="str">
        <f aca="false">IF($D983="","",IFERROR(IF(INDEX(Workers!$D$5:$D$2004,MATCH($D983,Workers!$A$5:$A$2004,0))=0,"",INDEX(Workers!$D$5:$D$2004,MATCH($D983,Workers!$A$5:$A$2004,0))),""))</f>
        <v/>
      </c>
      <c r="L983" s="24" t="str">
        <f aca="false">IF($D983="","",IFERROR(INDEX(Workers!$E$5:$E$2004,MATCH($D983,Workers!$A$5:$A$2004,0)),""))</f>
        <v/>
      </c>
      <c r="M983" s="26" t="str">
        <f aca="false">IF($D983="","",IFERROR(INDEX(ClientRates!$D$5:$D$500,MATCH($B983&amp;"|"&amp;$L983,ClientRates!$A$5:$A$500,0)),0))</f>
        <v/>
      </c>
      <c r="N983" s="26" t="str">
        <f aca="false">IF($D983="","",IFERROR(INDEX(ClientRates!$E$5:$E$500,MATCH($B983&amp;"|"&amp;$L983,ClientRates!$A$5:$A$500,0)),0))</f>
        <v/>
      </c>
      <c r="O983" s="26" t="str">
        <f aca="false">IF($D983="","",F983*M983+G983*N983)</f>
        <v/>
      </c>
      <c r="P983" s="26" t="str">
        <f aca="false">IF(OR($D983="",$J983&lt;&gt;"Supplier"),"",IFERROR(INDEX(SupplierRates!$D$5:$D$500,MATCH($K983&amp;"|"&amp;$L983,SupplierRates!$A$5:$A$500,0)),0))</f>
        <v/>
      </c>
      <c r="Q983" s="26" t="str">
        <f aca="false">IF(OR($D983="",$J983&lt;&gt;"Supplier"),"",IFERROR(INDEX(SupplierRates!$E$5:$E$500,MATCH($K983&amp;"|"&amp;$L983,SupplierRates!$A$5:$A$500,0)),0))</f>
        <v/>
      </c>
      <c r="R983" s="26" t="n">
        <f aca="false">IF(OR($D983="",$J983&lt;&gt;"Supplier"),0,F983*P983+G983*Q983)</f>
        <v>0</v>
      </c>
      <c r="S983" s="26" t="n">
        <f aca="false">IF(OR($D983="",$J983&lt;&gt;"Own"),0,IFERROR((F983+G983*Settings!$B$13)*INDEX(Workers!$V$5:$V$2004,MATCH($D983,Workers!$A$5:$A$2004,0)),0))</f>
        <v>0</v>
      </c>
      <c r="T983" s="26" t="str">
        <f aca="false">IF($D983="","",O983-R983-S983)</f>
        <v/>
      </c>
    </row>
    <row r="984" customFormat="false" ht="15" hidden="false" customHeight="false" outlineLevel="0" collapsed="false">
      <c r="I984" s="24" t="str">
        <f aca="false">IF($D984="","",IFERROR(INDEX(Workers!$B$5:$B$2004,MATCH($D984,Workers!$A$5:$A$2004,0)),"NOT FOUND"))</f>
        <v/>
      </c>
      <c r="J984" s="24" t="str">
        <f aca="false">IF($D984="","",IFERROR(INDEX(Workers!$C$5:$C$2004,MATCH($D984,Workers!$A$5:$A$2004,0)),""))</f>
        <v/>
      </c>
      <c r="K984" s="24" t="str">
        <f aca="false">IF($D984="","",IFERROR(IF(INDEX(Workers!$D$5:$D$2004,MATCH($D984,Workers!$A$5:$A$2004,0))=0,"",INDEX(Workers!$D$5:$D$2004,MATCH($D984,Workers!$A$5:$A$2004,0))),""))</f>
        <v/>
      </c>
      <c r="L984" s="24" t="str">
        <f aca="false">IF($D984="","",IFERROR(INDEX(Workers!$E$5:$E$2004,MATCH($D984,Workers!$A$5:$A$2004,0)),""))</f>
        <v/>
      </c>
      <c r="M984" s="26" t="str">
        <f aca="false">IF($D984="","",IFERROR(INDEX(ClientRates!$D$5:$D$500,MATCH($B984&amp;"|"&amp;$L984,ClientRates!$A$5:$A$500,0)),0))</f>
        <v/>
      </c>
      <c r="N984" s="26" t="str">
        <f aca="false">IF($D984="","",IFERROR(INDEX(ClientRates!$E$5:$E$500,MATCH($B984&amp;"|"&amp;$L984,ClientRates!$A$5:$A$500,0)),0))</f>
        <v/>
      </c>
      <c r="O984" s="26" t="str">
        <f aca="false">IF($D984="","",F984*M984+G984*N984)</f>
        <v/>
      </c>
      <c r="P984" s="26" t="str">
        <f aca="false">IF(OR($D984="",$J984&lt;&gt;"Supplier"),"",IFERROR(INDEX(SupplierRates!$D$5:$D$500,MATCH($K984&amp;"|"&amp;$L984,SupplierRates!$A$5:$A$500,0)),0))</f>
        <v/>
      </c>
      <c r="Q984" s="26" t="str">
        <f aca="false">IF(OR($D984="",$J984&lt;&gt;"Supplier"),"",IFERROR(INDEX(SupplierRates!$E$5:$E$500,MATCH($K984&amp;"|"&amp;$L984,SupplierRates!$A$5:$A$500,0)),0))</f>
        <v/>
      </c>
      <c r="R984" s="26" t="n">
        <f aca="false">IF(OR($D984="",$J984&lt;&gt;"Supplier"),0,F984*P984+G984*Q984)</f>
        <v>0</v>
      </c>
      <c r="S984" s="26" t="n">
        <f aca="false">IF(OR($D984="",$J984&lt;&gt;"Own"),0,IFERROR((F984+G984*Settings!$B$13)*INDEX(Workers!$V$5:$V$2004,MATCH($D984,Workers!$A$5:$A$2004,0)),0))</f>
        <v>0</v>
      </c>
      <c r="T984" s="26" t="str">
        <f aca="false">IF($D984="","",O984-R984-S984)</f>
        <v/>
      </c>
    </row>
    <row r="985" customFormat="false" ht="15" hidden="false" customHeight="false" outlineLevel="0" collapsed="false">
      <c r="I985" s="24" t="str">
        <f aca="false">IF($D985="","",IFERROR(INDEX(Workers!$B$5:$B$2004,MATCH($D985,Workers!$A$5:$A$2004,0)),"NOT FOUND"))</f>
        <v/>
      </c>
      <c r="J985" s="24" t="str">
        <f aca="false">IF($D985="","",IFERROR(INDEX(Workers!$C$5:$C$2004,MATCH($D985,Workers!$A$5:$A$2004,0)),""))</f>
        <v/>
      </c>
      <c r="K985" s="24" t="str">
        <f aca="false">IF($D985="","",IFERROR(IF(INDEX(Workers!$D$5:$D$2004,MATCH($D985,Workers!$A$5:$A$2004,0))=0,"",INDEX(Workers!$D$5:$D$2004,MATCH($D985,Workers!$A$5:$A$2004,0))),""))</f>
        <v/>
      </c>
      <c r="L985" s="24" t="str">
        <f aca="false">IF($D985="","",IFERROR(INDEX(Workers!$E$5:$E$2004,MATCH($D985,Workers!$A$5:$A$2004,0)),""))</f>
        <v/>
      </c>
      <c r="M985" s="26" t="str">
        <f aca="false">IF($D985="","",IFERROR(INDEX(ClientRates!$D$5:$D$500,MATCH($B985&amp;"|"&amp;$L985,ClientRates!$A$5:$A$500,0)),0))</f>
        <v/>
      </c>
      <c r="N985" s="26" t="str">
        <f aca="false">IF($D985="","",IFERROR(INDEX(ClientRates!$E$5:$E$500,MATCH($B985&amp;"|"&amp;$L985,ClientRates!$A$5:$A$500,0)),0))</f>
        <v/>
      </c>
      <c r="O985" s="26" t="str">
        <f aca="false">IF($D985="","",F985*M985+G985*N985)</f>
        <v/>
      </c>
      <c r="P985" s="26" t="str">
        <f aca="false">IF(OR($D985="",$J985&lt;&gt;"Supplier"),"",IFERROR(INDEX(SupplierRates!$D$5:$D$500,MATCH($K985&amp;"|"&amp;$L985,SupplierRates!$A$5:$A$500,0)),0))</f>
        <v/>
      </c>
      <c r="Q985" s="26" t="str">
        <f aca="false">IF(OR($D985="",$J985&lt;&gt;"Supplier"),"",IFERROR(INDEX(SupplierRates!$E$5:$E$500,MATCH($K985&amp;"|"&amp;$L985,SupplierRates!$A$5:$A$500,0)),0))</f>
        <v/>
      </c>
      <c r="R985" s="26" t="n">
        <f aca="false">IF(OR($D985="",$J985&lt;&gt;"Supplier"),0,F985*P985+G985*Q985)</f>
        <v>0</v>
      </c>
      <c r="S985" s="26" t="n">
        <f aca="false">IF(OR($D985="",$J985&lt;&gt;"Own"),0,IFERROR((F985+G985*Settings!$B$13)*INDEX(Workers!$V$5:$V$2004,MATCH($D985,Workers!$A$5:$A$2004,0)),0))</f>
        <v>0</v>
      </c>
      <c r="T985" s="26" t="str">
        <f aca="false">IF($D985="","",O985-R985-S985)</f>
        <v/>
      </c>
    </row>
    <row r="986" customFormat="false" ht="15" hidden="false" customHeight="false" outlineLevel="0" collapsed="false">
      <c r="I986" s="24" t="str">
        <f aca="false">IF($D986="","",IFERROR(INDEX(Workers!$B$5:$B$2004,MATCH($D986,Workers!$A$5:$A$2004,0)),"NOT FOUND"))</f>
        <v/>
      </c>
      <c r="J986" s="24" t="str">
        <f aca="false">IF($D986="","",IFERROR(INDEX(Workers!$C$5:$C$2004,MATCH($D986,Workers!$A$5:$A$2004,0)),""))</f>
        <v/>
      </c>
      <c r="K986" s="24" t="str">
        <f aca="false">IF($D986="","",IFERROR(IF(INDEX(Workers!$D$5:$D$2004,MATCH($D986,Workers!$A$5:$A$2004,0))=0,"",INDEX(Workers!$D$5:$D$2004,MATCH($D986,Workers!$A$5:$A$2004,0))),""))</f>
        <v/>
      </c>
      <c r="L986" s="24" t="str">
        <f aca="false">IF($D986="","",IFERROR(INDEX(Workers!$E$5:$E$2004,MATCH($D986,Workers!$A$5:$A$2004,0)),""))</f>
        <v/>
      </c>
      <c r="M986" s="26" t="str">
        <f aca="false">IF($D986="","",IFERROR(INDEX(ClientRates!$D$5:$D$500,MATCH($B986&amp;"|"&amp;$L986,ClientRates!$A$5:$A$500,0)),0))</f>
        <v/>
      </c>
      <c r="N986" s="26" t="str">
        <f aca="false">IF($D986="","",IFERROR(INDEX(ClientRates!$E$5:$E$500,MATCH($B986&amp;"|"&amp;$L986,ClientRates!$A$5:$A$500,0)),0))</f>
        <v/>
      </c>
      <c r="O986" s="26" t="str">
        <f aca="false">IF($D986="","",F986*M986+G986*N986)</f>
        <v/>
      </c>
      <c r="P986" s="26" t="str">
        <f aca="false">IF(OR($D986="",$J986&lt;&gt;"Supplier"),"",IFERROR(INDEX(SupplierRates!$D$5:$D$500,MATCH($K986&amp;"|"&amp;$L986,SupplierRates!$A$5:$A$500,0)),0))</f>
        <v/>
      </c>
      <c r="Q986" s="26" t="str">
        <f aca="false">IF(OR($D986="",$J986&lt;&gt;"Supplier"),"",IFERROR(INDEX(SupplierRates!$E$5:$E$500,MATCH($K986&amp;"|"&amp;$L986,SupplierRates!$A$5:$A$500,0)),0))</f>
        <v/>
      </c>
      <c r="R986" s="26" t="n">
        <f aca="false">IF(OR($D986="",$J986&lt;&gt;"Supplier"),0,F986*P986+G986*Q986)</f>
        <v>0</v>
      </c>
      <c r="S986" s="26" t="n">
        <f aca="false">IF(OR($D986="",$J986&lt;&gt;"Own"),0,IFERROR((F986+G986*Settings!$B$13)*INDEX(Workers!$V$5:$V$2004,MATCH($D986,Workers!$A$5:$A$2004,0)),0))</f>
        <v>0</v>
      </c>
      <c r="T986" s="26" t="str">
        <f aca="false">IF($D986="","",O986-R986-S986)</f>
        <v/>
      </c>
    </row>
    <row r="987" customFormat="false" ht="15" hidden="false" customHeight="false" outlineLevel="0" collapsed="false">
      <c r="I987" s="24" t="str">
        <f aca="false">IF($D987="","",IFERROR(INDEX(Workers!$B$5:$B$2004,MATCH($D987,Workers!$A$5:$A$2004,0)),"NOT FOUND"))</f>
        <v/>
      </c>
      <c r="J987" s="24" t="str">
        <f aca="false">IF($D987="","",IFERROR(INDEX(Workers!$C$5:$C$2004,MATCH($D987,Workers!$A$5:$A$2004,0)),""))</f>
        <v/>
      </c>
      <c r="K987" s="24" t="str">
        <f aca="false">IF($D987="","",IFERROR(IF(INDEX(Workers!$D$5:$D$2004,MATCH($D987,Workers!$A$5:$A$2004,0))=0,"",INDEX(Workers!$D$5:$D$2004,MATCH($D987,Workers!$A$5:$A$2004,0))),""))</f>
        <v/>
      </c>
      <c r="L987" s="24" t="str">
        <f aca="false">IF($D987="","",IFERROR(INDEX(Workers!$E$5:$E$2004,MATCH($D987,Workers!$A$5:$A$2004,0)),""))</f>
        <v/>
      </c>
      <c r="M987" s="26" t="str">
        <f aca="false">IF($D987="","",IFERROR(INDEX(ClientRates!$D$5:$D$500,MATCH($B987&amp;"|"&amp;$L987,ClientRates!$A$5:$A$500,0)),0))</f>
        <v/>
      </c>
      <c r="N987" s="26" t="str">
        <f aca="false">IF($D987="","",IFERROR(INDEX(ClientRates!$E$5:$E$500,MATCH($B987&amp;"|"&amp;$L987,ClientRates!$A$5:$A$500,0)),0))</f>
        <v/>
      </c>
      <c r="O987" s="26" t="str">
        <f aca="false">IF($D987="","",F987*M987+G987*N987)</f>
        <v/>
      </c>
      <c r="P987" s="26" t="str">
        <f aca="false">IF(OR($D987="",$J987&lt;&gt;"Supplier"),"",IFERROR(INDEX(SupplierRates!$D$5:$D$500,MATCH($K987&amp;"|"&amp;$L987,SupplierRates!$A$5:$A$500,0)),0))</f>
        <v/>
      </c>
      <c r="Q987" s="26" t="str">
        <f aca="false">IF(OR($D987="",$J987&lt;&gt;"Supplier"),"",IFERROR(INDEX(SupplierRates!$E$5:$E$500,MATCH($K987&amp;"|"&amp;$L987,SupplierRates!$A$5:$A$500,0)),0))</f>
        <v/>
      </c>
      <c r="R987" s="26" t="n">
        <f aca="false">IF(OR($D987="",$J987&lt;&gt;"Supplier"),0,F987*P987+G987*Q987)</f>
        <v>0</v>
      </c>
      <c r="S987" s="26" t="n">
        <f aca="false">IF(OR($D987="",$J987&lt;&gt;"Own"),0,IFERROR((F987+G987*Settings!$B$13)*INDEX(Workers!$V$5:$V$2004,MATCH($D987,Workers!$A$5:$A$2004,0)),0))</f>
        <v>0</v>
      </c>
      <c r="T987" s="26" t="str">
        <f aca="false">IF($D987="","",O987-R987-S987)</f>
        <v/>
      </c>
    </row>
    <row r="988" customFormat="false" ht="15" hidden="false" customHeight="false" outlineLevel="0" collapsed="false">
      <c r="I988" s="24" t="str">
        <f aca="false">IF($D988="","",IFERROR(INDEX(Workers!$B$5:$B$2004,MATCH($D988,Workers!$A$5:$A$2004,0)),"NOT FOUND"))</f>
        <v/>
      </c>
      <c r="J988" s="24" t="str">
        <f aca="false">IF($D988="","",IFERROR(INDEX(Workers!$C$5:$C$2004,MATCH($D988,Workers!$A$5:$A$2004,0)),""))</f>
        <v/>
      </c>
      <c r="K988" s="24" t="str">
        <f aca="false">IF($D988="","",IFERROR(IF(INDEX(Workers!$D$5:$D$2004,MATCH($D988,Workers!$A$5:$A$2004,0))=0,"",INDEX(Workers!$D$5:$D$2004,MATCH($D988,Workers!$A$5:$A$2004,0))),""))</f>
        <v/>
      </c>
      <c r="L988" s="24" t="str">
        <f aca="false">IF($D988="","",IFERROR(INDEX(Workers!$E$5:$E$2004,MATCH($D988,Workers!$A$5:$A$2004,0)),""))</f>
        <v/>
      </c>
      <c r="M988" s="26" t="str">
        <f aca="false">IF($D988="","",IFERROR(INDEX(ClientRates!$D$5:$D$500,MATCH($B988&amp;"|"&amp;$L988,ClientRates!$A$5:$A$500,0)),0))</f>
        <v/>
      </c>
      <c r="N988" s="26" t="str">
        <f aca="false">IF($D988="","",IFERROR(INDEX(ClientRates!$E$5:$E$500,MATCH($B988&amp;"|"&amp;$L988,ClientRates!$A$5:$A$500,0)),0))</f>
        <v/>
      </c>
      <c r="O988" s="26" t="str">
        <f aca="false">IF($D988="","",F988*M988+G988*N988)</f>
        <v/>
      </c>
      <c r="P988" s="26" t="str">
        <f aca="false">IF(OR($D988="",$J988&lt;&gt;"Supplier"),"",IFERROR(INDEX(SupplierRates!$D$5:$D$500,MATCH($K988&amp;"|"&amp;$L988,SupplierRates!$A$5:$A$500,0)),0))</f>
        <v/>
      </c>
      <c r="Q988" s="26" t="str">
        <f aca="false">IF(OR($D988="",$J988&lt;&gt;"Supplier"),"",IFERROR(INDEX(SupplierRates!$E$5:$E$500,MATCH($K988&amp;"|"&amp;$L988,SupplierRates!$A$5:$A$500,0)),0))</f>
        <v/>
      </c>
      <c r="R988" s="26" t="n">
        <f aca="false">IF(OR($D988="",$J988&lt;&gt;"Supplier"),0,F988*P988+G988*Q988)</f>
        <v>0</v>
      </c>
      <c r="S988" s="26" t="n">
        <f aca="false">IF(OR($D988="",$J988&lt;&gt;"Own"),0,IFERROR((F988+G988*Settings!$B$13)*INDEX(Workers!$V$5:$V$2004,MATCH($D988,Workers!$A$5:$A$2004,0)),0))</f>
        <v>0</v>
      </c>
      <c r="T988" s="26" t="str">
        <f aca="false">IF($D988="","",O988-R988-S988)</f>
        <v/>
      </c>
    </row>
    <row r="989" customFormat="false" ht="15" hidden="false" customHeight="false" outlineLevel="0" collapsed="false">
      <c r="I989" s="24" t="str">
        <f aca="false">IF($D989="","",IFERROR(INDEX(Workers!$B$5:$B$2004,MATCH($D989,Workers!$A$5:$A$2004,0)),"NOT FOUND"))</f>
        <v/>
      </c>
      <c r="J989" s="24" t="str">
        <f aca="false">IF($D989="","",IFERROR(INDEX(Workers!$C$5:$C$2004,MATCH($D989,Workers!$A$5:$A$2004,0)),""))</f>
        <v/>
      </c>
      <c r="K989" s="24" t="str">
        <f aca="false">IF($D989="","",IFERROR(IF(INDEX(Workers!$D$5:$D$2004,MATCH($D989,Workers!$A$5:$A$2004,0))=0,"",INDEX(Workers!$D$5:$D$2004,MATCH($D989,Workers!$A$5:$A$2004,0))),""))</f>
        <v/>
      </c>
      <c r="L989" s="24" t="str">
        <f aca="false">IF($D989="","",IFERROR(INDEX(Workers!$E$5:$E$2004,MATCH($D989,Workers!$A$5:$A$2004,0)),""))</f>
        <v/>
      </c>
      <c r="M989" s="26" t="str">
        <f aca="false">IF($D989="","",IFERROR(INDEX(ClientRates!$D$5:$D$500,MATCH($B989&amp;"|"&amp;$L989,ClientRates!$A$5:$A$500,0)),0))</f>
        <v/>
      </c>
      <c r="N989" s="26" t="str">
        <f aca="false">IF($D989="","",IFERROR(INDEX(ClientRates!$E$5:$E$500,MATCH($B989&amp;"|"&amp;$L989,ClientRates!$A$5:$A$500,0)),0))</f>
        <v/>
      </c>
      <c r="O989" s="26" t="str">
        <f aca="false">IF($D989="","",F989*M989+G989*N989)</f>
        <v/>
      </c>
      <c r="P989" s="26" t="str">
        <f aca="false">IF(OR($D989="",$J989&lt;&gt;"Supplier"),"",IFERROR(INDEX(SupplierRates!$D$5:$D$500,MATCH($K989&amp;"|"&amp;$L989,SupplierRates!$A$5:$A$500,0)),0))</f>
        <v/>
      </c>
      <c r="Q989" s="26" t="str">
        <f aca="false">IF(OR($D989="",$J989&lt;&gt;"Supplier"),"",IFERROR(INDEX(SupplierRates!$E$5:$E$500,MATCH($K989&amp;"|"&amp;$L989,SupplierRates!$A$5:$A$500,0)),0))</f>
        <v/>
      </c>
      <c r="R989" s="26" t="n">
        <f aca="false">IF(OR($D989="",$J989&lt;&gt;"Supplier"),0,F989*P989+G989*Q989)</f>
        <v>0</v>
      </c>
      <c r="S989" s="26" t="n">
        <f aca="false">IF(OR($D989="",$J989&lt;&gt;"Own"),0,IFERROR((F989+G989*Settings!$B$13)*INDEX(Workers!$V$5:$V$2004,MATCH($D989,Workers!$A$5:$A$2004,0)),0))</f>
        <v>0</v>
      </c>
      <c r="T989" s="26" t="str">
        <f aca="false">IF($D989="","",O989-R989-S989)</f>
        <v/>
      </c>
    </row>
    <row r="990" customFormat="false" ht="15" hidden="false" customHeight="false" outlineLevel="0" collapsed="false">
      <c r="I990" s="24" t="str">
        <f aca="false">IF($D990="","",IFERROR(INDEX(Workers!$B$5:$B$2004,MATCH($D990,Workers!$A$5:$A$2004,0)),"NOT FOUND"))</f>
        <v/>
      </c>
      <c r="J990" s="24" t="str">
        <f aca="false">IF($D990="","",IFERROR(INDEX(Workers!$C$5:$C$2004,MATCH($D990,Workers!$A$5:$A$2004,0)),""))</f>
        <v/>
      </c>
      <c r="K990" s="24" t="str">
        <f aca="false">IF($D990="","",IFERROR(IF(INDEX(Workers!$D$5:$D$2004,MATCH($D990,Workers!$A$5:$A$2004,0))=0,"",INDEX(Workers!$D$5:$D$2004,MATCH($D990,Workers!$A$5:$A$2004,0))),""))</f>
        <v/>
      </c>
      <c r="L990" s="24" t="str">
        <f aca="false">IF($D990="","",IFERROR(INDEX(Workers!$E$5:$E$2004,MATCH($D990,Workers!$A$5:$A$2004,0)),""))</f>
        <v/>
      </c>
      <c r="M990" s="26" t="str">
        <f aca="false">IF($D990="","",IFERROR(INDEX(ClientRates!$D$5:$D$500,MATCH($B990&amp;"|"&amp;$L990,ClientRates!$A$5:$A$500,0)),0))</f>
        <v/>
      </c>
      <c r="N990" s="26" t="str">
        <f aca="false">IF($D990="","",IFERROR(INDEX(ClientRates!$E$5:$E$500,MATCH($B990&amp;"|"&amp;$L990,ClientRates!$A$5:$A$500,0)),0))</f>
        <v/>
      </c>
      <c r="O990" s="26" t="str">
        <f aca="false">IF($D990="","",F990*M990+G990*N990)</f>
        <v/>
      </c>
      <c r="P990" s="26" t="str">
        <f aca="false">IF(OR($D990="",$J990&lt;&gt;"Supplier"),"",IFERROR(INDEX(SupplierRates!$D$5:$D$500,MATCH($K990&amp;"|"&amp;$L990,SupplierRates!$A$5:$A$500,0)),0))</f>
        <v/>
      </c>
      <c r="Q990" s="26" t="str">
        <f aca="false">IF(OR($D990="",$J990&lt;&gt;"Supplier"),"",IFERROR(INDEX(SupplierRates!$E$5:$E$500,MATCH($K990&amp;"|"&amp;$L990,SupplierRates!$A$5:$A$500,0)),0))</f>
        <v/>
      </c>
      <c r="R990" s="26" t="n">
        <f aca="false">IF(OR($D990="",$J990&lt;&gt;"Supplier"),0,F990*P990+G990*Q990)</f>
        <v>0</v>
      </c>
      <c r="S990" s="26" t="n">
        <f aca="false">IF(OR($D990="",$J990&lt;&gt;"Own"),0,IFERROR((F990+G990*Settings!$B$13)*INDEX(Workers!$V$5:$V$2004,MATCH($D990,Workers!$A$5:$A$2004,0)),0))</f>
        <v>0</v>
      </c>
      <c r="T990" s="26" t="str">
        <f aca="false">IF($D990="","",O990-R990-S990)</f>
        <v/>
      </c>
    </row>
    <row r="991" customFormat="false" ht="15" hidden="false" customHeight="false" outlineLevel="0" collapsed="false">
      <c r="I991" s="24" t="str">
        <f aca="false">IF($D991="","",IFERROR(INDEX(Workers!$B$5:$B$2004,MATCH($D991,Workers!$A$5:$A$2004,0)),"NOT FOUND"))</f>
        <v/>
      </c>
      <c r="J991" s="24" t="str">
        <f aca="false">IF($D991="","",IFERROR(INDEX(Workers!$C$5:$C$2004,MATCH($D991,Workers!$A$5:$A$2004,0)),""))</f>
        <v/>
      </c>
      <c r="K991" s="24" t="str">
        <f aca="false">IF($D991="","",IFERROR(IF(INDEX(Workers!$D$5:$D$2004,MATCH($D991,Workers!$A$5:$A$2004,0))=0,"",INDEX(Workers!$D$5:$D$2004,MATCH($D991,Workers!$A$5:$A$2004,0))),""))</f>
        <v/>
      </c>
      <c r="L991" s="24" t="str">
        <f aca="false">IF($D991="","",IFERROR(INDEX(Workers!$E$5:$E$2004,MATCH($D991,Workers!$A$5:$A$2004,0)),""))</f>
        <v/>
      </c>
      <c r="M991" s="26" t="str">
        <f aca="false">IF($D991="","",IFERROR(INDEX(ClientRates!$D$5:$D$500,MATCH($B991&amp;"|"&amp;$L991,ClientRates!$A$5:$A$500,0)),0))</f>
        <v/>
      </c>
      <c r="N991" s="26" t="str">
        <f aca="false">IF($D991="","",IFERROR(INDEX(ClientRates!$E$5:$E$500,MATCH($B991&amp;"|"&amp;$L991,ClientRates!$A$5:$A$500,0)),0))</f>
        <v/>
      </c>
      <c r="O991" s="26" t="str">
        <f aca="false">IF($D991="","",F991*M991+G991*N991)</f>
        <v/>
      </c>
      <c r="P991" s="26" t="str">
        <f aca="false">IF(OR($D991="",$J991&lt;&gt;"Supplier"),"",IFERROR(INDEX(SupplierRates!$D$5:$D$500,MATCH($K991&amp;"|"&amp;$L991,SupplierRates!$A$5:$A$500,0)),0))</f>
        <v/>
      </c>
      <c r="Q991" s="26" t="str">
        <f aca="false">IF(OR($D991="",$J991&lt;&gt;"Supplier"),"",IFERROR(INDEX(SupplierRates!$E$5:$E$500,MATCH($K991&amp;"|"&amp;$L991,SupplierRates!$A$5:$A$500,0)),0))</f>
        <v/>
      </c>
      <c r="R991" s="26" t="n">
        <f aca="false">IF(OR($D991="",$J991&lt;&gt;"Supplier"),0,F991*P991+G991*Q991)</f>
        <v>0</v>
      </c>
      <c r="S991" s="26" t="n">
        <f aca="false">IF(OR($D991="",$J991&lt;&gt;"Own"),0,IFERROR((F991+G991*Settings!$B$13)*INDEX(Workers!$V$5:$V$2004,MATCH($D991,Workers!$A$5:$A$2004,0)),0))</f>
        <v>0</v>
      </c>
      <c r="T991" s="26" t="str">
        <f aca="false">IF($D991="","",O991-R991-S991)</f>
        <v/>
      </c>
    </row>
    <row r="992" customFormat="false" ht="15" hidden="false" customHeight="false" outlineLevel="0" collapsed="false">
      <c r="I992" s="24" t="str">
        <f aca="false">IF($D992="","",IFERROR(INDEX(Workers!$B$5:$B$2004,MATCH($D992,Workers!$A$5:$A$2004,0)),"NOT FOUND"))</f>
        <v/>
      </c>
      <c r="J992" s="24" t="str">
        <f aca="false">IF($D992="","",IFERROR(INDEX(Workers!$C$5:$C$2004,MATCH($D992,Workers!$A$5:$A$2004,0)),""))</f>
        <v/>
      </c>
      <c r="K992" s="24" t="str">
        <f aca="false">IF($D992="","",IFERROR(IF(INDEX(Workers!$D$5:$D$2004,MATCH($D992,Workers!$A$5:$A$2004,0))=0,"",INDEX(Workers!$D$5:$D$2004,MATCH($D992,Workers!$A$5:$A$2004,0))),""))</f>
        <v/>
      </c>
      <c r="L992" s="24" t="str">
        <f aca="false">IF($D992="","",IFERROR(INDEX(Workers!$E$5:$E$2004,MATCH($D992,Workers!$A$5:$A$2004,0)),""))</f>
        <v/>
      </c>
      <c r="M992" s="26" t="str">
        <f aca="false">IF($D992="","",IFERROR(INDEX(ClientRates!$D$5:$D$500,MATCH($B992&amp;"|"&amp;$L992,ClientRates!$A$5:$A$500,0)),0))</f>
        <v/>
      </c>
      <c r="N992" s="26" t="str">
        <f aca="false">IF($D992="","",IFERROR(INDEX(ClientRates!$E$5:$E$500,MATCH($B992&amp;"|"&amp;$L992,ClientRates!$A$5:$A$500,0)),0))</f>
        <v/>
      </c>
      <c r="O992" s="26" t="str">
        <f aca="false">IF($D992="","",F992*M992+G992*N992)</f>
        <v/>
      </c>
      <c r="P992" s="26" t="str">
        <f aca="false">IF(OR($D992="",$J992&lt;&gt;"Supplier"),"",IFERROR(INDEX(SupplierRates!$D$5:$D$500,MATCH($K992&amp;"|"&amp;$L992,SupplierRates!$A$5:$A$500,0)),0))</f>
        <v/>
      </c>
      <c r="Q992" s="26" t="str">
        <f aca="false">IF(OR($D992="",$J992&lt;&gt;"Supplier"),"",IFERROR(INDEX(SupplierRates!$E$5:$E$500,MATCH($K992&amp;"|"&amp;$L992,SupplierRates!$A$5:$A$500,0)),0))</f>
        <v/>
      </c>
      <c r="R992" s="26" t="n">
        <f aca="false">IF(OR($D992="",$J992&lt;&gt;"Supplier"),0,F992*P992+G992*Q992)</f>
        <v>0</v>
      </c>
      <c r="S992" s="26" t="n">
        <f aca="false">IF(OR($D992="",$J992&lt;&gt;"Own"),0,IFERROR((F992+G992*Settings!$B$13)*INDEX(Workers!$V$5:$V$2004,MATCH($D992,Workers!$A$5:$A$2004,0)),0))</f>
        <v>0</v>
      </c>
      <c r="T992" s="26" t="str">
        <f aca="false">IF($D992="","",O992-R992-S992)</f>
        <v/>
      </c>
    </row>
    <row r="993" customFormat="false" ht="15" hidden="false" customHeight="false" outlineLevel="0" collapsed="false">
      <c r="I993" s="24" t="str">
        <f aca="false">IF($D993="","",IFERROR(INDEX(Workers!$B$5:$B$2004,MATCH($D993,Workers!$A$5:$A$2004,0)),"NOT FOUND"))</f>
        <v/>
      </c>
      <c r="J993" s="24" t="str">
        <f aca="false">IF($D993="","",IFERROR(INDEX(Workers!$C$5:$C$2004,MATCH($D993,Workers!$A$5:$A$2004,0)),""))</f>
        <v/>
      </c>
      <c r="K993" s="24" t="str">
        <f aca="false">IF($D993="","",IFERROR(IF(INDEX(Workers!$D$5:$D$2004,MATCH($D993,Workers!$A$5:$A$2004,0))=0,"",INDEX(Workers!$D$5:$D$2004,MATCH($D993,Workers!$A$5:$A$2004,0))),""))</f>
        <v/>
      </c>
      <c r="L993" s="24" t="str">
        <f aca="false">IF($D993="","",IFERROR(INDEX(Workers!$E$5:$E$2004,MATCH($D993,Workers!$A$5:$A$2004,0)),""))</f>
        <v/>
      </c>
      <c r="M993" s="26" t="str">
        <f aca="false">IF($D993="","",IFERROR(INDEX(ClientRates!$D$5:$D$500,MATCH($B993&amp;"|"&amp;$L993,ClientRates!$A$5:$A$500,0)),0))</f>
        <v/>
      </c>
      <c r="N993" s="26" t="str">
        <f aca="false">IF($D993="","",IFERROR(INDEX(ClientRates!$E$5:$E$500,MATCH($B993&amp;"|"&amp;$L993,ClientRates!$A$5:$A$500,0)),0))</f>
        <v/>
      </c>
      <c r="O993" s="26" t="str">
        <f aca="false">IF($D993="","",F993*M993+G993*N993)</f>
        <v/>
      </c>
      <c r="P993" s="26" t="str">
        <f aca="false">IF(OR($D993="",$J993&lt;&gt;"Supplier"),"",IFERROR(INDEX(SupplierRates!$D$5:$D$500,MATCH($K993&amp;"|"&amp;$L993,SupplierRates!$A$5:$A$500,0)),0))</f>
        <v/>
      </c>
      <c r="Q993" s="26" t="str">
        <f aca="false">IF(OR($D993="",$J993&lt;&gt;"Supplier"),"",IFERROR(INDEX(SupplierRates!$E$5:$E$500,MATCH($K993&amp;"|"&amp;$L993,SupplierRates!$A$5:$A$500,0)),0))</f>
        <v/>
      </c>
      <c r="R993" s="26" t="n">
        <f aca="false">IF(OR($D993="",$J993&lt;&gt;"Supplier"),0,F993*P993+G993*Q993)</f>
        <v>0</v>
      </c>
      <c r="S993" s="26" t="n">
        <f aca="false">IF(OR($D993="",$J993&lt;&gt;"Own"),0,IFERROR((F993+G993*Settings!$B$13)*INDEX(Workers!$V$5:$V$2004,MATCH($D993,Workers!$A$5:$A$2004,0)),0))</f>
        <v>0</v>
      </c>
      <c r="T993" s="26" t="str">
        <f aca="false">IF($D993="","",O993-R993-S993)</f>
        <v/>
      </c>
    </row>
    <row r="994" customFormat="false" ht="15" hidden="false" customHeight="false" outlineLevel="0" collapsed="false">
      <c r="I994" s="24" t="str">
        <f aca="false">IF($D994="","",IFERROR(INDEX(Workers!$B$5:$B$2004,MATCH($D994,Workers!$A$5:$A$2004,0)),"NOT FOUND"))</f>
        <v/>
      </c>
      <c r="J994" s="24" t="str">
        <f aca="false">IF($D994="","",IFERROR(INDEX(Workers!$C$5:$C$2004,MATCH($D994,Workers!$A$5:$A$2004,0)),""))</f>
        <v/>
      </c>
      <c r="K994" s="24" t="str">
        <f aca="false">IF($D994="","",IFERROR(IF(INDEX(Workers!$D$5:$D$2004,MATCH($D994,Workers!$A$5:$A$2004,0))=0,"",INDEX(Workers!$D$5:$D$2004,MATCH($D994,Workers!$A$5:$A$2004,0))),""))</f>
        <v/>
      </c>
      <c r="L994" s="24" t="str">
        <f aca="false">IF($D994="","",IFERROR(INDEX(Workers!$E$5:$E$2004,MATCH($D994,Workers!$A$5:$A$2004,0)),""))</f>
        <v/>
      </c>
      <c r="M994" s="26" t="str">
        <f aca="false">IF($D994="","",IFERROR(INDEX(ClientRates!$D$5:$D$500,MATCH($B994&amp;"|"&amp;$L994,ClientRates!$A$5:$A$500,0)),0))</f>
        <v/>
      </c>
      <c r="N994" s="26" t="str">
        <f aca="false">IF($D994="","",IFERROR(INDEX(ClientRates!$E$5:$E$500,MATCH($B994&amp;"|"&amp;$L994,ClientRates!$A$5:$A$500,0)),0))</f>
        <v/>
      </c>
      <c r="O994" s="26" t="str">
        <f aca="false">IF($D994="","",F994*M994+G994*N994)</f>
        <v/>
      </c>
      <c r="P994" s="26" t="str">
        <f aca="false">IF(OR($D994="",$J994&lt;&gt;"Supplier"),"",IFERROR(INDEX(SupplierRates!$D$5:$D$500,MATCH($K994&amp;"|"&amp;$L994,SupplierRates!$A$5:$A$500,0)),0))</f>
        <v/>
      </c>
      <c r="Q994" s="26" t="str">
        <f aca="false">IF(OR($D994="",$J994&lt;&gt;"Supplier"),"",IFERROR(INDEX(SupplierRates!$E$5:$E$500,MATCH($K994&amp;"|"&amp;$L994,SupplierRates!$A$5:$A$500,0)),0))</f>
        <v/>
      </c>
      <c r="R994" s="26" t="n">
        <f aca="false">IF(OR($D994="",$J994&lt;&gt;"Supplier"),0,F994*P994+G994*Q994)</f>
        <v>0</v>
      </c>
      <c r="S994" s="26" t="n">
        <f aca="false">IF(OR($D994="",$J994&lt;&gt;"Own"),0,IFERROR((F994+G994*Settings!$B$13)*INDEX(Workers!$V$5:$V$2004,MATCH($D994,Workers!$A$5:$A$2004,0)),0))</f>
        <v>0</v>
      </c>
      <c r="T994" s="26" t="str">
        <f aca="false">IF($D994="","",O994-R994-S994)</f>
        <v/>
      </c>
    </row>
    <row r="995" customFormat="false" ht="15" hidden="false" customHeight="false" outlineLevel="0" collapsed="false">
      <c r="I995" s="24" t="str">
        <f aca="false">IF($D995="","",IFERROR(INDEX(Workers!$B$5:$B$2004,MATCH($D995,Workers!$A$5:$A$2004,0)),"NOT FOUND"))</f>
        <v/>
      </c>
      <c r="J995" s="24" t="str">
        <f aca="false">IF($D995="","",IFERROR(INDEX(Workers!$C$5:$C$2004,MATCH($D995,Workers!$A$5:$A$2004,0)),""))</f>
        <v/>
      </c>
      <c r="K995" s="24" t="str">
        <f aca="false">IF($D995="","",IFERROR(IF(INDEX(Workers!$D$5:$D$2004,MATCH($D995,Workers!$A$5:$A$2004,0))=0,"",INDEX(Workers!$D$5:$D$2004,MATCH($D995,Workers!$A$5:$A$2004,0))),""))</f>
        <v/>
      </c>
      <c r="L995" s="24" t="str">
        <f aca="false">IF($D995="","",IFERROR(INDEX(Workers!$E$5:$E$2004,MATCH($D995,Workers!$A$5:$A$2004,0)),""))</f>
        <v/>
      </c>
      <c r="M995" s="26" t="str">
        <f aca="false">IF($D995="","",IFERROR(INDEX(ClientRates!$D$5:$D$500,MATCH($B995&amp;"|"&amp;$L995,ClientRates!$A$5:$A$500,0)),0))</f>
        <v/>
      </c>
      <c r="N995" s="26" t="str">
        <f aca="false">IF($D995="","",IFERROR(INDEX(ClientRates!$E$5:$E$500,MATCH($B995&amp;"|"&amp;$L995,ClientRates!$A$5:$A$500,0)),0))</f>
        <v/>
      </c>
      <c r="O995" s="26" t="str">
        <f aca="false">IF($D995="","",F995*M995+G995*N995)</f>
        <v/>
      </c>
      <c r="P995" s="26" t="str">
        <f aca="false">IF(OR($D995="",$J995&lt;&gt;"Supplier"),"",IFERROR(INDEX(SupplierRates!$D$5:$D$500,MATCH($K995&amp;"|"&amp;$L995,SupplierRates!$A$5:$A$500,0)),0))</f>
        <v/>
      </c>
      <c r="Q995" s="26" t="str">
        <f aca="false">IF(OR($D995="",$J995&lt;&gt;"Supplier"),"",IFERROR(INDEX(SupplierRates!$E$5:$E$500,MATCH($K995&amp;"|"&amp;$L995,SupplierRates!$A$5:$A$500,0)),0))</f>
        <v/>
      </c>
      <c r="R995" s="26" t="n">
        <f aca="false">IF(OR($D995="",$J995&lt;&gt;"Supplier"),0,F995*P995+G995*Q995)</f>
        <v>0</v>
      </c>
      <c r="S995" s="26" t="n">
        <f aca="false">IF(OR($D995="",$J995&lt;&gt;"Own"),0,IFERROR((F995+G995*Settings!$B$13)*INDEX(Workers!$V$5:$V$2004,MATCH($D995,Workers!$A$5:$A$2004,0)),0))</f>
        <v>0</v>
      </c>
      <c r="T995" s="26" t="str">
        <f aca="false">IF($D995="","",O995-R995-S995)</f>
        <v/>
      </c>
    </row>
    <row r="996" customFormat="false" ht="15" hidden="false" customHeight="false" outlineLevel="0" collapsed="false">
      <c r="I996" s="24" t="str">
        <f aca="false">IF($D996="","",IFERROR(INDEX(Workers!$B$5:$B$2004,MATCH($D996,Workers!$A$5:$A$2004,0)),"NOT FOUND"))</f>
        <v/>
      </c>
      <c r="J996" s="24" t="str">
        <f aca="false">IF($D996="","",IFERROR(INDEX(Workers!$C$5:$C$2004,MATCH($D996,Workers!$A$5:$A$2004,0)),""))</f>
        <v/>
      </c>
      <c r="K996" s="24" t="str">
        <f aca="false">IF($D996="","",IFERROR(IF(INDEX(Workers!$D$5:$D$2004,MATCH($D996,Workers!$A$5:$A$2004,0))=0,"",INDEX(Workers!$D$5:$D$2004,MATCH($D996,Workers!$A$5:$A$2004,0))),""))</f>
        <v/>
      </c>
      <c r="L996" s="24" t="str">
        <f aca="false">IF($D996="","",IFERROR(INDEX(Workers!$E$5:$E$2004,MATCH($D996,Workers!$A$5:$A$2004,0)),""))</f>
        <v/>
      </c>
      <c r="M996" s="26" t="str">
        <f aca="false">IF($D996="","",IFERROR(INDEX(ClientRates!$D$5:$D$500,MATCH($B996&amp;"|"&amp;$L996,ClientRates!$A$5:$A$500,0)),0))</f>
        <v/>
      </c>
      <c r="N996" s="26" t="str">
        <f aca="false">IF($D996="","",IFERROR(INDEX(ClientRates!$E$5:$E$500,MATCH($B996&amp;"|"&amp;$L996,ClientRates!$A$5:$A$500,0)),0))</f>
        <v/>
      </c>
      <c r="O996" s="26" t="str">
        <f aca="false">IF($D996="","",F996*M996+G996*N996)</f>
        <v/>
      </c>
      <c r="P996" s="26" t="str">
        <f aca="false">IF(OR($D996="",$J996&lt;&gt;"Supplier"),"",IFERROR(INDEX(SupplierRates!$D$5:$D$500,MATCH($K996&amp;"|"&amp;$L996,SupplierRates!$A$5:$A$500,0)),0))</f>
        <v/>
      </c>
      <c r="Q996" s="26" t="str">
        <f aca="false">IF(OR($D996="",$J996&lt;&gt;"Supplier"),"",IFERROR(INDEX(SupplierRates!$E$5:$E$500,MATCH($K996&amp;"|"&amp;$L996,SupplierRates!$A$5:$A$500,0)),0))</f>
        <v/>
      </c>
      <c r="R996" s="26" t="n">
        <f aca="false">IF(OR($D996="",$J996&lt;&gt;"Supplier"),0,F996*P996+G996*Q996)</f>
        <v>0</v>
      </c>
      <c r="S996" s="26" t="n">
        <f aca="false">IF(OR($D996="",$J996&lt;&gt;"Own"),0,IFERROR((F996+G996*Settings!$B$13)*INDEX(Workers!$V$5:$V$2004,MATCH($D996,Workers!$A$5:$A$2004,0)),0))</f>
        <v>0</v>
      </c>
      <c r="T996" s="26" t="str">
        <f aca="false">IF($D996="","",O996-R996-S996)</f>
        <v/>
      </c>
    </row>
    <row r="997" customFormat="false" ht="15" hidden="false" customHeight="false" outlineLevel="0" collapsed="false">
      <c r="I997" s="24" t="str">
        <f aca="false">IF($D997="","",IFERROR(INDEX(Workers!$B$5:$B$2004,MATCH($D997,Workers!$A$5:$A$2004,0)),"NOT FOUND"))</f>
        <v/>
      </c>
      <c r="J997" s="24" t="str">
        <f aca="false">IF($D997="","",IFERROR(INDEX(Workers!$C$5:$C$2004,MATCH($D997,Workers!$A$5:$A$2004,0)),""))</f>
        <v/>
      </c>
      <c r="K997" s="24" t="str">
        <f aca="false">IF($D997="","",IFERROR(IF(INDEX(Workers!$D$5:$D$2004,MATCH($D997,Workers!$A$5:$A$2004,0))=0,"",INDEX(Workers!$D$5:$D$2004,MATCH($D997,Workers!$A$5:$A$2004,0))),""))</f>
        <v/>
      </c>
      <c r="L997" s="24" t="str">
        <f aca="false">IF($D997="","",IFERROR(INDEX(Workers!$E$5:$E$2004,MATCH($D997,Workers!$A$5:$A$2004,0)),""))</f>
        <v/>
      </c>
      <c r="M997" s="26" t="str">
        <f aca="false">IF($D997="","",IFERROR(INDEX(ClientRates!$D$5:$D$500,MATCH($B997&amp;"|"&amp;$L997,ClientRates!$A$5:$A$500,0)),0))</f>
        <v/>
      </c>
      <c r="N997" s="26" t="str">
        <f aca="false">IF($D997="","",IFERROR(INDEX(ClientRates!$E$5:$E$500,MATCH($B997&amp;"|"&amp;$L997,ClientRates!$A$5:$A$500,0)),0))</f>
        <v/>
      </c>
      <c r="O997" s="26" t="str">
        <f aca="false">IF($D997="","",F997*M997+G997*N997)</f>
        <v/>
      </c>
      <c r="P997" s="26" t="str">
        <f aca="false">IF(OR($D997="",$J997&lt;&gt;"Supplier"),"",IFERROR(INDEX(SupplierRates!$D$5:$D$500,MATCH($K997&amp;"|"&amp;$L997,SupplierRates!$A$5:$A$500,0)),0))</f>
        <v/>
      </c>
      <c r="Q997" s="26" t="str">
        <f aca="false">IF(OR($D997="",$J997&lt;&gt;"Supplier"),"",IFERROR(INDEX(SupplierRates!$E$5:$E$500,MATCH($K997&amp;"|"&amp;$L997,SupplierRates!$A$5:$A$500,0)),0))</f>
        <v/>
      </c>
      <c r="R997" s="26" t="n">
        <f aca="false">IF(OR($D997="",$J997&lt;&gt;"Supplier"),0,F997*P997+G997*Q997)</f>
        <v>0</v>
      </c>
      <c r="S997" s="26" t="n">
        <f aca="false">IF(OR($D997="",$J997&lt;&gt;"Own"),0,IFERROR((F997+G997*Settings!$B$13)*INDEX(Workers!$V$5:$V$2004,MATCH($D997,Workers!$A$5:$A$2004,0)),0))</f>
        <v>0</v>
      </c>
      <c r="T997" s="26" t="str">
        <f aca="false">IF($D997="","",O997-R997-S997)</f>
        <v/>
      </c>
    </row>
    <row r="998" customFormat="false" ht="15" hidden="false" customHeight="false" outlineLevel="0" collapsed="false">
      <c r="I998" s="24" t="str">
        <f aca="false">IF($D998="","",IFERROR(INDEX(Workers!$B$5:$B$2004,MATCH($D998,Workers!$A$5:$A$2004,0)),"NOT FOUND"))</f>
        <v/>
      </c>
      <c r="J998" s="24" t="str">
        <f aca="false">IF($D998="","",IFERROR(INDEX(Workers!$C$5:$C$2004,MATCH($D998,Workers!$A$5:$A$2004,0)),""))</f>
        <v/>
      </c>
      <c r="K998" s="24" t="str">
        <f aca="false">IF($D998="","",IFERROR(IF(INDEX(Workers!$D$5:$D$2004,MATCH($D998,Workers!$A$5:$A$2004,0))=0,"",INDEX(Workers!$D$5:$D$2004,MATCH($D998,Workers!$A$5:$A$2004,0))),""))</f>
        <v/>
      </c>
      <c r="L998" s="24" t="str">
        <f aca="false">IF($D998="","",IFERROR(INDEX(Workers!$E$5:$E$2004,MATCH($D998,Workers!$A$5:$A$2004,0)),""))</f>
        <v/>
      </c>
      <c r="M998" s="26" t="str">
        <f aca="false">IF($D998="","",IFERROR(INDEX(ClientRates!$D$5:$D$500,MATCH($B998&amp;"|"&amp;$L998,ClientRates!$A$5:$A$500,0)),0))</f>
        <v/>
      </c>
      <c r="N998" s="26" t="str">
        <f aca="false">IF($D998="","",IFERROR(INDEX(ClientRates!$E$5:$E$500,MATCH($B998&amp;"|"&amp;$L998,ClientRates!$A$5:$A$500,0)),0))</f>
        <v/>
      </c>
      <c r="O998" s="26" t="str">
        <f aca="false">IF($D998="","",F998*M998+G998*N998)</f>
        <v/>
      </c>
      <c r="P998" s="26" t="str">
        <f aca="false">IF(OR($D998="",$J998&lt;&gt;"Supplier"),"",IFERROR(INDEX(SupplierRates!$D$5:$D$500,MATCH($K998&amp;"|"&amp;$L998,SupplierRates!$A$5:$A$500,0)),0))</f>
        <v/>
      </c>
      <c r="Q998" s="26" t="str">
        <f aca="false">IF(OR($D998="",$J998&lt;&gt;"Supplier"),"",IFERROR(INDEX(SupplierRates!$E$5:$E$500,MATCH($K998&amp;"|"&amp;$L998,SupplierRates!$A$5:$A$500,0)),0))</f>
        <v/>
      </c>
      <c r="R998" s="26" t="n">
        <f aca="false">IF(OR($D998="",$J998&lt;&gt;"Supplier"),0,F998*P998+G998*Q998)</f>
        <v>0</v>
      </c>
      <c r="S998" s="26" t="n">
        <f aca="false">IF(OR($D998="",$J998&lt;&gt;"Own"),0,IFERROR((F998+G998*Settings!$B$13)*INDEX(Workers!$V$5:$V$2004,MATCH($D998,Workers!$A$5:$A$2004,0)),0))</f>
        <v>0</v>
      </c>
      <c r="T998" s="26" t="str">
        <f aca="false">IF($D998="","",O998-R998-S998)</f>
        <v/>
      </c>
    </row>
    <row r="999" customFormat="false" ht="15" hidden="false" customHeight="false" outlineLevel="0" collapsed="false">
      <c r="I999" s="24" t="str">
        <f aca="false">IF($D999="","",IFERROR(INDEX(Workers!$B$5:$B$2004,MATCH($D999,Workers!$A$5:$A$2004,0)),"NOT FOUND"))</f>
        <v/>
      </c>
      <c r="J999" s="24" t="str">
        <f aca="false">IF($D999="","",IFERROR(INDEX(Workers!$C$5:$C$2004,MATCH($D999,Workers!$A$5:$A$2004,0)),""))</f>
        <v/>
      </c>
      <c r="K999" s="24" t="str">
        <f aca="false">IF($D999="","",IFERROR(IF(INDEX(Workers!$D$5:$D$2004,MATCH($D999,Workers!$A$5:$A$2004,0))=0,"",INDEX(Workers!$D$5:$D$2004,MATCH($D999,Workers!$A$5:$A$2004,0))),""))</f>
        <v/>
      </c>
      <c r="L999" s="24" t="str">
        <f aca="false">IF($D999="","",IFERROR(INDEX(Workers!$E$5:$E$2004,MATCH($D999,Workers!$A$5:$A$2004,0)),""))</f>
        <v/>
      </c>
      <c r="M999" s="26" t="str">
        <f aca="false">IF($D999="","",IFERROR(INDEX(ClientRates!$D$5:$D$500,MATCH($B999&amp;"|"&amp;$L999,ClientRates!$A$5:$A$500,0)),0))</f>
        <v/>
      </c>
      <c r="N999" s="26" t="str">
        <f aca="false">IF($D999="","",IFERROR(INDEX(ClientRates!$E$5:$E$500,MATCH($B999&amp;"|"&amp;$L999,ClientRates!$A$5:$A$500,0)),0))</f>
        <v/>
      </c>
      <c r="O999" s="26" t="str">
        <f aca="false">IF($D999="","",F999*M999+G999*N999)</f>
        <v/>
      </c>
      <c r="P999" s="26" t="str">
        <f aca="false">IF(OR($D999="",$J999&lt;&gt;"Supplier"),"",IFERROR(INDEX(SupplierRates!$D$5:$D$500,MATCH($K999&amp;"|"&amp;$L999,SupplierRates!$A$5:$A$500,0)),0))</f>
        <v/>
      </c>
      <c r="Q999" s="26" t="str">
        <f aca="false">IF(OR($D999="",$J999&lt;&gt;"Supplier"),"",IFERROR(INDEX(SupplierRates!$E$5:$E$500,MATCH($K999&amp;"|"&amp;$L999,SupplierRates!$A$5:$A$500,0)),0))</f>
        <v/>
      </c>
      <c r="R999" s="26" t="n">
        <f aca="false">IF(OR($D999="",$J999&lt;&gt;"Supplier"),0,F999*P999+G999*Q999)</f>
        <v>0</v>
      </c>
      <c r="S999" s="26" t="n">
        <f aca="false">IF(OR($D999="",$J999&lt;&gt;"Own"),0,IFERROR((F999+G999*Settings!$B$13)*INDEX(Workers!$V$5:$V$2004,MATCH($D999,Workers!$A$5:$A$2004,0)),0))</f>
        <v>0</v>
      </c>
      <c r="T999" s="26" t="str">
        <f aca="false">IF($D999="","",O999-R999-S999)</f>
        <v/>
      </c>
    </row>
    <row r="1000" customFormat="false" ht="15" hidden="false" customHeight="false" outlineLevel="0" collapsed="false">
      <c r="I1000" s="24" t="str">
        <f aca="false">IF($D1000="","",IFERROR(INDEX(Workers!$B$5:$B$2004,MATCH($D1000,Workers!$A$5:$A$2004,0)),"NOT FOUND"))</f>
        <v/>
      </c>
      <c r="J1000" s="24" t="str">
        <f aca="false">IF($D1000="","",IFERROR(INDEX(Workers!$C$5:$C$2004,MATCH($D1000,Workers!$A$5:$A$2004,0)),""))</f>
        <v/>
      </c>
      <c r="K1000" s="24" t="str">
        <f aca="false">IF($D1000="","",IFERROR(IF(INDEX(Workers!$D$5:$D$2004,MATCH($D1000,Workers!$A$5:$A$2004,0))=0,"",INDEX(Workers!$D$5:$D$2004,MATCH($D1000,Workers!$A$5:$A$2004,0))),""))</f>
        <v/>
      </c>
      <c r="L1000" s="24" t="str">
        <f aca="false">IF($D1000="","",IFERROR(INDEX(Workers!$E$5:$E$2004,MATCH($D1000,Workers!$A$5:$A$2004,0)),""))</f>
        <v/>
      </c>
      <c r="M1000" s="26" t="str">
        <f aca="false">IF($D1000="","",IFERROR(INDEX(ClientRates!$D$5:$D$500,MATCH($B1000&amp;"|"&amp;$L1000,ClientRates!$A$5:$A$500,0)),0))</f>
        <v/>
      </c>
      <c r="N1000" s="26" t="str">
        <f aca="false">IF($D1000="","",IFERROR(INDEX(ClientRates!$E$5:$E$500,MATCH($B1000&amp;"|"&amp;$L1000,ClientRates!$A$5:$A$500,0)),0))</f>
        <v/>
      </c>
      <c r="O1000" s="26" t="str">
        <f aca="false">IF($D1000="","",F1000*M1000+G1000*N1000)</f>
        <v/>
      </c>
      <c r="P1000" s="26" t="str">
        <f aca="false">IF(OR($D1000="",$J1000&lt;&gt;"Supplier"),"",IFERROR(INDEX(SupplierRates!$D$5:$D$500,MATCH($K1000&amp;"|"&amp;$L1000,SupplierRates!$A$5:$A$500,0)),0))</f>
        <v/>
      </c>
      <c r="Q1000" s="26" t="str">
        <f aca="false">IF(OR($D1000="",$J1000&lt;&gt;"Supplier"),"",IFERROR(INDEX(SupplierRates!$E$5:$E$500,MATCH($K1000&amp;"|"&amp;$L1000,SupplierRates!$A$5:$A$500,0)),0))</f>
        <v/>
      </c>
      <c r="R1000" s="26" t="n">
        <f aca="false">IF(OR($D1000="",$J1000&lt;&gt;"Supplier"),0,F1000*P1000+G1000*Q1000)</f>
        <v>0</v>
      </c>
      <c r="S1000" s="26" t="n">
        <f aca="false">IF(OR($D1000="",$J1000&lt;&gt;"Own"),0,IFERROR((F1000+G1000*Settings!$B$13)*INDEX(Workers!$V$5:$V$2004,MATCH($D1000,Workers!$A$5:$A$2004,0)),0))</f>
        <v>0</v>
      </c>
      <c r="T1000" s="26" t="str">
        <f aca="false">IF($D1000="","",O1000-R1000-S1000)</f>
        <v/>
      </c>
    </row>
    <row r="1001" customFormat="false" ht="15" hidden="false" customHeight="false" outlineLevel="0" collapsed="false">
      <c r="I1001" s="24" t="str">
        <f aca="false">IF($D1001="","",IFERROR(INDEX(Workers!$B$5:$B$2004,MATCH($D1001,Workers!$A$5:$A$2004,0)),"NOT FOUND"))</f>
        <v/>
      </c>
      <c r="J1001" s="24" t="str">
        <f aca="false">IF($D1001="","",IFERROR(INDEX(Workers!$C$5:$C$2004,MATCH($D1001,Workers!$A$5:$A$2004,0)),""))</f>
        <v/>
      </c>
      <c r="K1001" s="24" t="str">
        <f aca="false">IF($D1001="","",IFERROR(IF(INDEX(Workers!$D$5:$D$2004,MATCH($D1001,Workers!$A$5:$A$2004,0))=0,"",INDEX(Workers!$D$5:$D$2004,MATCH($D1001,Workers!$A$5:$A$2004,0))),""))</f>
        <v/>
      </c>
      <c r="L1001" s="24" t="str">
        <f aca="false">IF($D1001="","",IFERROR(INDEX(Workers!$E$5:$E$2004,MATCH($D1001,Workers!$A$5:$A$2004,0)),""))</f>
        <v/>
      </c>
      <c r="M1001" s="26" t="str">
        <f aca="false">IF($D1001="","",IFERROR(INDEX(ClientRates!$D$5:$D$500,MATCH($B1001&amp;"|"&amp;$L1001,ClientRates!$A$5:$A$500,0)),0))</f>
        <v/>
      </c>
      <c r="N1001" s="26" t="str">
        <f aca="false">IF($D1001="","",IFERROR(INDEX(ClientRates!$E$5:$E$500,MATCH($B1001&amp;"|"&amp;$L1001,ClientRates!$A$5:$A$500,0)),0))</f>
        <v/>
      </c>
      <c r="O1001" s="26" t="str">
        <f aca="false">IF($D1001="","",F1001*M1001+G1001*N1001)</f>
        <v/>
      </c>
      <c r="P1001" s="26" t="str">
        <f aca="false">IF(OR($D1001="",$J1001&lt;&gt;"Supplier"),"",IFERROR(INDEX(SupplierRates!$D$5:$D$500,MATCH($K1001&amp;"|"&amp;$L1001,SupplierRates!$A$5:$A$500,0)),0))</f>
        <v/>
      </c>
      <c r="Q1001" s="26" t="str">
        <f aca="false">IF(OR($D1001="",$J1001&lt;&gt;"Supplier"),"",IFERROR(INDEX(SupplierRates!$E$5:$E$500,MATCH($K1001&amp;"|"&amp;$L1001,SupplierRates!$A$5:$A$500,0)),0))</f>
        <v/>
      </c>
      <c r="R1001" s="26" t="n">
        <f aca="false">IF(OR($D1001="",$J1001&lt;&gt;"Supplier"),0,F1001*P1001+G1001*Q1001)</f>
        <v>0</v>
      </c>
      <c r="S1001" s="26" t="n">
        <f aca="false">IF(OR($D1001="",$J1001&lt;&gt;"Own"),0,IFERROR((F1001+G1001*Settings!$B$13)*INDEX(Workers!$V$5:$V$2004,MATCH($D1001,Workers!$A$5:$A$2004,0)),0))</f>
        <v>0</v>
      </c>
      <c r="T1001" s="26" t="str">
        <f aca="false">IF($D1001="","",O1001-R1001-S1001)</f>
        <v/>
      </c>
    </row>
    <row r="1002" customFormat="false" ht="15" hidden="false" customHeight="false" outlineLevel="0" collapsed="false">
      <c r="I1002" s="24" t="str">
        <f aca="false">IF($D1002="","",IFERROR(INDEX(Workers!$B$5:$B$2004,MATCH($D1002,Workers!$A$5:$A$2004,0)),"NOT FOUND"))</f>
        <v/>
      </c>
      <c r="J1002" s="24" t="str">
        <f aca="false">IF($D1002="","",IFERROR(INDEX(Workers!$C$5:$C$2004,MATCH($D1002,Workers!$A$5:$A$2004,0)),""))</f>
        <v/>
      </c>
      <c r="K1002" s="24" t="str">
        <f aca="false">IF($D1002="","",IFERROR(IF(INDEX(Workers!$D$5:$D$2004,MATCH($D1002,Workers!$A$5:$A$2004,0))=0,"",INDEX(Workers!$D$5:$D$2004,MATCH($D1002,Workers!$A$5:$A$2004,0))),""))</f>
        <v/>
      </c>
      <c r="L1002" s="24" t="str">
        <f aca="false">IF($D1002="","",IFERROR(INDEX(Workers!$E$5:$E$2004,MATCH($D1002,Workers!$A$5:$A$2004,0)),""))</f>
        <v/>
      </c>
      <c r="M1002" s="26" t="str">
        <f aca="false">IF($D1002="","",IFERROR(INDEX(ClientRates!$D$5:$D$500,MATCH($B1002&amp;"|"&amp;$L1002,ClientRates!$A$5:$A$500,0)),0))</f>
        <v/>
      </c>
      <c r="N1002" s="26" t="str">
        <f aca="false">IF($D1002="","",IFERROR(INDEX(ClientRates!$E$5:$E$500,MATCH($B1002&amp;"|"&amp;$L1002,ClientRates!$A$5:$A$500,0)),0))</f>
        <v/>
      </c>
      <c r="O1002" s="26" t="str">
        <f aca="false">IF($D1002="","",F1002*M1002+G1002*N1002)</f>
        <v/>
      </c>
      <c r="P1002" s="26" t="str">
        <f aca="false">IF(OR($D1002="",$J1002&lt;&gt;"Supplier"),"",IFERROR(INDEX(SupplierRates!$D$5:$D$500,MATCH($K1002&amp;"|"&amp;$L1002,SupplierRates!$A$5:$A$500,0)),0))</f>
        <v/>
      </c>
      <c r="Q1002" s="26" t="str">
        <f aca="false">IF(OR($D1002="",$J1002&lt;&gt;"Supplier"),"",IFERROR(INDEX(SupplierRates!$E$5:$E$500,MATCH($K1002&amp;"|"&amp;$L1002,SupplierRates!$A$5:$A$500,0)),0))</f>
        <v/>
      </c>
      <c r="R1002" s="26" t="n">
        <f aca="false">IF(OR($D1002="",$J1002&lt;&gt;"Supplier"),0,F1002*P1002+G1002*Q1002)</f>
        <v>0</v>
      </c>
      <c r="S1002" s="26" t="n">
        <f aca="false">IF(OR($D1002="",$J1002&lt;&gt;"Own"),0,IFERROR((F1002+G1002*Settings!$B$13)*INDEX(Workers!$V$5:$V$2004,MATCH($D1002,Workers!$A$5:$A$2004,0)),0))</f>
        <v>0</v>
      </c>
      <c r="T1002" s="26" t="str">
        <f aca="false">IF($D1002="","",O1002-R1002-S1002)</f>
        <v/>
      </c>
    </row>
    <row r="1003" customFormat="false" ht="15" hidden="false" customHeight="false" outlineLevel="0" collapsed="false">
      <c r="I1003" s="24" t="str">
        <f aca="false">IF($D1003="","",IFERROR(INDEX(Workers!$B$5:$B$2004,MATCH($D1003,Workers!$A$5:$A$2004,0)),"NOT FOUND"))</f>
        <v/>
      </c>
      <c r="J1003" s="24" t="str">
        <f aca="false">IF($D1003="","",IFERROR(INDEX(Workers!$C$5:$C$2004,MATCH($D1003,Workers!$A$5:$A$2004,0)),""))</f>
        <v/>
      </c>
      <c r="K1003" s="24" t="str">
        <f aca="false">IF($D1003="","",IFERROR(IF(INDEX(Workers!$D$5:$D$2004,MATCH($D1003,Workers!$A$5:$A$2004,0))=0,"",INDEX(Workers!$D$5:$D$2004,MATCH($D1003,Workers!$A$5:$A$2004,0))),""))</f>
        <v/>
      </c>
      <c r="L1003" s="24" t="str">
        <f aca="false">IF($D1003="","",IFERROR(INDEX(Workers!$E$5:$E$2004,MATCH($D1003,Workers!$A$5:$A$2004,0)),""))</f>
        <v/>
      </c>
      <c r="M1003" s="26" t="str">
        <f aca="false">IF($D1003="","",IFERROR(INDEX(ClientRates!$D$5:$D$500,MATCH($B1003&amp;"|"&amp;$L1003,ClientRates!$A$5:$A$500,0)),0))</f>
        <v/>
      </c>
      <c r="N1003" s="26" t="str">
        <f aca="false">IF($D1003="","",IFERROR(INDEX(ClientRates!$E$5:$E$500,MATCH($B1003&amp;"|"&amp;$L1003,ClientRates!$A$5:$A$500,0)),0))</f>
        <v/>
      </c>
      <c r="O1003" s="26" t="str">
        <f aca="false">IF($D1003="","",F1003*M1003+G1003*N1003)</f>
        <v/>
      </c>
      <c r="P1003" s="26" t="str">
        <f aca="false">IF(OR($D1003="",$J1003&lt;&gt;"Supplier"),"",IFERROR(INDEX(SupplierRates!$D$5:$D$500,MATCH($K1003&amp;"|"&amp;$L1003,SupplierRates!$A$5:$A$500,0)),0))</f>
        <v/>
      </c>
      <c r="Q1003" s="26" t="str">
        <f aca="false">IF(OR($D1003="",$J1003&lt;&gt;"Supplier"),"",IFERROR(INDEX(SupplierRates!$E$5:$E$500,MATCH($K1003&amp;"|"&amp;$L1003,SupplierRates!$A$5:$A$500,0)),0))</f>
        <v/>
      </c>
      <c r="R1003" s="26" t="n">
        <f aca="false">IF(OR($D1003="",$J1003&lt;&gt;"Supplier"),0,F1003*P1003+G1003*Q1003)</f>
        <v>0</v>
      </c>
      <c r="S1003" s="26" t="n">
        <f aca="false">IF(OR($D1003="",$J1003&lt;&gt;"Own"),0,IFERROR((F1003+G1003*Settings!$B$13)*INDEX(Workers!$V$5:$V$2004,MATCH($D1003,Workers!$A$5:$A$2004,0)),0))</f>
        <v>0</v>
      </c>
      <c r="T1003" s="26" t="str">
        <f aca="false">IF($D1003="","",O1003-R1003-S1003)</f>
        <v/>
      </c>
    </row>
    <row r="1004" customFormat="false" ht="15" hidden="false" customHeight="false" outlineLevel="0" collapsed="false">
      <c r="I1004" s="24" t="str">
        <f aca="false">IF($D1004="","",IFERROR(INDEX(Workers!$B$5:$B$2004,MATCH($D1004,Workers!$A$5:$A$2004,0)),"NOT FOUND"))</f>
        <v/>
      </c>
      <c r="J1004" s="24" t="str">
        <f aca="false">IF($D1004="","",IFERROR(INDEX(Workers!$C$5:$C$2004,MATCH($D1004,Workers!$A$5:$A$2004,0)),""))</f>
        <v/>
      </c>
      <c r="K1004" s="24" t="str">
        <f aca="false">IF($D1004="","",IFERROR(IF(INDEX(Workers!$D$5:$D$2004,MATCH($D1004,Workers!$A$5:$A$2004,0))=0,"",INDEX(Workers!$D$5:$D$2004,MATCH($D1004,Workers!$A$5:$A$2004,0))),""))</f>
        <v/>
      </c>
      <c r="L1004" s="24" t="str">
        <f aca="false">IF($D1004="","",IFERROR(INDEX(Workers!$E$5:$E$2004,MATCH($D1004,Workers!$A$5:$A$2004,0)),""))</f>
        <v/>
      </c>
      <c r="M1004" s="26" t="str">
        <f aca="false">IF($D1004="","",IFERROR(INDEX(ClientRates!$D$5:$D$500,MATCH($B1004&amp;"|"&amp;$L1004,ClientRates!$A$5:$A$500,0)),0))</f>
        <v/>
      </c>
      <c r="N1004" s="26" t="str">
        <f aca="false">IF($D1004="","",IFERROR(INDEX(ClientRates!$E$5:$E$500,MATCH($B1004&amp;"|"&amp;$L1004,ClientRates!$A$5:$A$500,0)),0))</f>
        <v/>
      </c>
      <c r="O1004" s="26" t="str">
        <f aca="false">IF($D1004="","",F1004*M1004+G1004*N1004)</f>
        <v/>
      </c>
      <c r="P1004" s="26" t="str">
        <f aca="false">IF(OR($D1004="",$J1004&lt;&gt;"Supplier"),"",IFERROR(INDEX(SupplierRates!$D$5:$D$500,MATCH($K1004&amp;"|"&amp;$L1004,SupplierRates!$A$5:$A$500,0)),0))</f>
        <v/>
      </c>
      <c r="Q1004" s="26" t="str">
        <f aca="false">IF(OR($D1004="",$J1004&lt;&gt;"Supplier"),"",IFERROR(INDEX(SupplierRates!$E$5:$E$500,MATCH($K1004&amp;"|"&amp;$L1004,SupplierRates!$A$5:$A$500,0)),0))</f>
        <v/>
      </c>
      <c r="R1004" s="26" t="n">
        <f aca="false">IF(OR($D1004="",$J1004&lt;&gt;"Supplier"),0,F1004*P1004+G1004*Q1004)</f>
        <v>0</v>
      </c>
      <c r="S1004" s="26" t="n">
        <f aca="false">IF(OR($D1004="",$J1004&lt;&gt;"Own"),0,IFERROR((F1004+G1004*Settings!$B$13)*INDEX(Workers!$V$5:$V$2004,MATCH($D1004,Workers!$A$5:$A$2004,0)),0))</f>
        <v>0</v>
      </c>
      <c r="T1004" s="26" t="str">
        <f aca="false">IF($D1004="","",O1004-R1004-S1004)</f>
        <v/>
      </c>
    </row>
    <row r="1005" customFormat="false" ht="15" hidden="false" customHeight="false" outlineLevel="0" collapsed="false">
      <c r="I1005" s="24" t="str">
        <f aca="false">IF($D1005="","",IFERROR(INDEX(Workers!$B$5:$B$2004,MATCH($D1005,Workers!$A$5:$A$2004,0)),"NOT FOUND"))</f>
        <v/>
      </c>
      <c r="J1005" s="24" t="str">
        <f aca="false">IF($D1005="","",IFERROR(INDEX(Workers!$C$5:$C$2004,MATCH($D1005,Workers!$A$5:$A$2004,0)),""))</f>
        <v/>
      </c>
      <c r="K1005" s="24" t="str">
        <f aca="false">IF($D1005="","",IFERROR(IF(INDEX(Workers!$D$5:$D$2004,MATCH($D1005,Workers!$A$5:$A$2004,0))=0,"",INDEX(Workers!$D$5:$D$2004,MATCH($D1005,Workers!$A$5:$A$2004,0))),""))</f>
        <v/>
      </c>
      <c r="L1005" s="24" t="str">
        <f aca="false">IF($D1005="","",IFERROR(INDEX(Workers!$E$5:$E$2004,MATCH($D1005,Workers!$A$5:$A$2004,0)),""))</f>
        <v/>
      </c>
      <c r="M1005" s="26" t="str">
        <f aca="false">IF($D1005="","",IFERROR(INDEX(ClientRates!$D$5:$D$500,MATCH($B1005&amp;"|"&amp;$L1005,ClientRates!$A$5:$A$500,0)),0))</f>
        <v/>
      </c>
      <c r="N1005" s="26" t="str">
        <f aca="false">IF($D1005="","",IFERROR(INDEX(ClientRates!$E$5:$E$500,MATCH($B1005&amp;"|"&amp;$L1005,ClientRates!$A$5:$A$500,0)),0))</f>
        <v/>
      </c>
      <c r="O1005" s="26" t="str">
        <f aca="false">IF($D1005="","",F1005*M1005+G1005*N1005)</f>
        <v/>
      </c>
      <c r="P1005" s="26" t="str">
        <f aca="false">IF(OR($D1005="",$J1005&lt;&gt;"Supplier"),"",IFERROR(INDEX(SupplierRates!$D$5:$D$500,MATCH($K1005&amp;"|"&amp;$L1005,SupplierRates!$A$5:$A$500,0)),0))</f>
        <v/>
      </c>
      <c r="Q1005" s="26" t="str">
        <f aca="false">IF(OR($D1005="",$J1005&lt;&gt;"Supplier"),"",IFERROR(INDEX(SupplierRates!$E$5:$E$500,MATCH($K1005&amp;"|"&amp;$L1005,SupplierRates!$A$5:$A$500,0)),0))</f>
        <v/>
      </c>
      <c r="R1005" s="26" t="n">
        <f aca="false">IF(OR($D1005="",$J1005&lt;&gt;"Supplier"),0,F1005*P1005+G1005*Q1005)</f>
        <v>0</v>
      </c>
      <c r="S1005" s="26" t="n">
        <f aca="false">IF(OR($D1005="",$J1005&lt;&gt;"Own"),0,IFERROR((F1005+G1005*Settings!$B$13)*INDEX(Workers!$V$5:$V$2004,MATCH($D1005,Workers!$A$5:$A$2004,0)),0))</f>
        <v>0</v>
      </c>
      <c r="T1005" s="26" t="str">
        <f aca="false">IF($D1005="","",O1005-R1005-S1005)</f>
        <v/>
      </c>
    </row>
    <row r="1006" customFormat="false" ht="15" hidden="false" customHeight="false" outlineLevel="0" collapsed="false">
      <c r="I1006" s="24" t="str">
        <f aca="false">IF($D1006="","",IFERROR(INDEX(Workers!$B$5:$B$2004,MATCH($D1006,Workers!$A$5:$A$2004,0)),"NOT FOUND"))</f>
        <v/>
      </c>
      <c r="J1006" s="24" t="str">
        <f aca="false">IF($D1006="","",IFERROR(INDEX(Workers!$C$5:$C$2004,MATCH($D1006,Workers!$A$5:$A$2004,0)),""))</f>
        <v/>
      </c>
      <c r="K1006" s="24" t="str">
        <f aca="false">IF($D1006="","",IFERROR(IF(INDEX(Workers!$D$5:$D$2004,MATCH($D1006,Workers!$A$5:$A$2004,0))=0,"",INDEX(Workers!$D$5:$D$2004,MATCH($D1006,Workers!$A$5:$A$2004,0))),""))</f>
        <v/>
      </c>
      <c r="L1006" s="24" t="str">
        <f aca="false">IF($D1006="","",IFERROR(INDEX(Workers!$E$5:$E$2004,MATCH($D1006,Workers!$A$5:$A$2004,0)),""))</f>
        <v/>
      </c>
      <c r="M1006" s="26" t="str">
        <f aca="false">IF($D1006="","",IFERROR(INDEX(ClientRates!$D$5:$D$500,MATCH($B1006&amp;"|"&amp;$L1006,ClientRates!$A$5:$A$500,0)),0))</f>
        <v/>
      </c>
      <c r="N1006" s="26" t="str">
        <f aca="false">IF($D1006="","",IFERROR(INDEX(ClientRates!$E$5:$E$500,MATCH($B1006&amp;"|"&amp;$L1006,ClientRates!$A$5:$A$500,0)),0))</f>
        <v/>
      </c>
      <c r="O1006" s="26" t="str">
        <f aca="false">IF($D1006="","",F1006*M1006+G1006*N1006)</f>
        <v/>
      </c>
      <c r="P1006" s="26" t="str">
        <f aca="false">IF(OR($D1006="",$J1006&lt;&gt;"Supplier"),"",IFERROR(INDEX(SupplierRates!$D$5:$D$500,MATCH($K1006&amp;"|"&amp;$L1006,SupplierRates!$A$5:$A$500,0)),0))</f>
        <v/>
      </c>
      <c r="Q1006" s="26" t="str">
        <f aca="false">IF(OR($D1006="",$J1006&lt;&gt;"Supplier"),"",IFERROR(INDEX(SupplierRates!$E$5:$E$500,MATCH($K1006&amp;"|"&amp;$L1006,SupplierRates!$A$5:$A$500,0)),0))</f>
        <v/>
      </c>
      <c r="R1006" s="26" t="n">
        <f aca="false">IF(OR($D1006="",$J1006&lt;&gt;"Supplier"),0,F1006*P1006+G1006*Q1006)</f>
        <v>0</v>
      </c>
      <c r="S1006" s="26" t="n">
        <f aca="false">IF(OR($D1006="",$J1006&lt;&gt;"Own"),0,IFERROR((F1006+G1006*Settings!$B$13)*INDEX(Workers!$V$5:$V$2004,MATCH($D1006,Workers!$A$5:$A$2004,0)),0))</f>
        <v>0</v>
      </c>
      <c r="T1006" s="26" t="str">
        <f aca="false">IF($D1006="","",O1006-R1006-S1006)</f>
        <v/>
      </c>
    </row>
    <row r="1007" customFormat="false" ht="15" hidden="false" customHeight="false" outlineLevel="0" collapsed="false">
      <c r="I1007" s="24" t="str">
        <f aca="false">IF($D1007="","",IFERROR(INDEX(Workers!$B$5:$B$2004,MATCH($D1007,Workers!$A$5:$A$2004,0)),"NOT FOUND"))</f>
        <v/>
      </c>
      <c r="J1007" s="24" t="str">
        <f aca="false">IF($D1007="","",IFERROR(INDEX(Workers!$C$5:$C$2004,MATCH($D1007,Workers!$A$5:$A$2004,0)),""))</f>
        <v/>
      </c>
      <c r="K1007" s="24" t="str">
        <f aca="false">IF($D1007="","",IFERROR(IF(INDEX(Workers!$D$5:$D$2004,MATCH($D1007,Workers!$A$5:$A$2004,0))=0,"",INDEX(Workers!$D$5:$D$2004,MATCH($D1007,Workers!$A$5:$A$2004,0))),""))</f>
        <v/>
      </c>
      <c r="L1007" s="24" t="str">
        <f aca="false">IF($D1007="","",IFERROR(INDEX(Workers!$E$5:$E$2004,MATCH($D1007,Workers!$A$5:$A$2004,0)),""))</f>
        <v/>
      </c>
      <c r="M1007" s="26" t="str">
        <f aca="false">IF($D1007="","",IFERROR(INDEX(ClientRates!$D$5:$D$500,MATCH($B1007&amp;"|"&amp;$L1007,ClientRates!$A$5:$A$500,0)),0))</f>
        <v/>
      </c>
      <c r="N1007" s="26" t="str">
        <f aca="false">IF($D1007="","",IFERROR(INDEX(ClientRates!$E$5:$E$500,MATCH($B1007&amp;"|"&amp;$L1007,ClientRates!$A$5:$A$500,0)),0))</f>
        <v/>
      </c>
      <c r="O1007" s="26" t="str">
        <f aca="false">IF($D1007="","",F1007*M1007+G1007*N1007)</f>
        <v/>
      </c>
      <c r="P1007" s="26" t="str">
        <f aca="false">IF(OR($D1007="",$J1007&lt;&gt;"Supplier"),"",IFERROR(INDEX(SupplierRates!$D$5:$D$500,MATCH($K1007&amp;"|"&amp;$L1007,SupplierRates!$A$5:$A$500,0)),0))</f>
        <v/>
      </c>
      <c r="Q1007" s="26" t="str">
        <f aca="false">IF(OR($D1007="",$J1007&lt;&gt;"Supplier"),"",IFERROR(INDEX(SupplierRates!$E$5:$E$500,MATCH($K1007&amp;"|"&amp;$L1007,SupplierRates!$A$5:$A$500,0)),0))</f>
        <v/>
      </c>
      <c r="R1007" s="26" t="n">
        <f aca="false">IF(OR($D1007="",$J1007&lt;&gt;"Supplier"),0,F1007*P1007+G1007*Q1007)</f>
        <v>0</v>
      </c>
      <c r="S1007" s="26" t="n">
        <f aca="false">IF(OR($D1007="",$J1007&lt;&gt;"Own"),0,IFERROR((F1007+G1007*Settings!$B$13)*INDEX(Workers!$V$5:$V$2004,MATCH($D1007,Workers!$A$5:$A$2004,0)),0))</f>
        <v>0</v>
      </c>
      <c r="T1007" s="26" t="str">
        <f aca="false">IF($D1007="","",O1007-R1007-S1007)</f>
        <v/>
      </c>
    </row>
    <row r="1008" customFormat="false" ht="15" hidden="false" customHeight="false" outlineLevel="0" collapsed="false">
      <c r="I1008" s="24" t="str">
        <f aca="false">IF($D1008="","",IFERROR(INDEX(Workers!$B$5:$B$2004,MATCH($D1008,Workers!$A$5:$A$2004,0)),"NOT FOUND"))</f>
        <v/>
      </c>
      <c r="J1008" s="24" t="str">
        <f aca="false">IF($D1008="","",IFERROR(INDEX(Workers!$C$5:$C$2004,MATCH($D1008,Workers!$A$5:$A$2004,0)),""))</f>
        <v/>
      </c>
      <c r="K1008" s="24" t="str">
        <f aca="false">IF($D1008="","",IFERROR(IF(INDEX(Workers!$D$5:$D$2004,MATCH($D1008,Workers!$A$5:$A$2004,0))=0,"",INDEX(Workers!$D$5:$D$2004,MATCH($D1008,Workers!$A$5:$A$2004,0))),""))</f>
        <v/>
      </c>
      <c r="L1008" s="24" t="str">
        <f aca="false">IF($D1008="","",IFERROR(INDEX(Workers!$E$5:$E$2004,MATCH($D1008,Workers!$A$5:$A$2004,0)),""))</f>
        <v/>
      </c>
      <c r="M1008" s="26" t="str">
        <f aca="false">IF($D1008="","",IFERROR(INDEX(ClientRates!$D$5:$D$500,MATCH($B1008&amp;"|"&amp;$L1008,ClientRates!$A$5:$A$500,0)),0))</f>
        <v/>
      </c>
      <c r="N1008" s="26" t="str">
        <f aca="false">IF($D1008="","",IFERROR(INDEX(ClientRates!$E$5:$E$500,MATCH($B1008&amp;"|"&amp;$L1008,ClientRates!$A$5:$A$500,0)),0))</f>
        <v/>
      </c>
      <c r="O1008" s="26" t="str">
        <f aca="false">IF($D1008="","",F1008*M1008+G1008*N1008)</f>
        <v/>
      </c>
      <c r="P1008" s="26" t="str">
        <f aca="false">IF(OR($D1008="",$J1008&lt;&gt;"Supplier"),"",IFERROR(INDEX(SupplierRates!$D$5:$D$500,MATCH($K1008&amp;"|"&amp;$L1008,SupplierRates!$A$5:$A$500,0)),0))</f>
        <v/>
      </c>
      <c r="Q1008" s="26" t="str">
        <f aca="false">IF(OR($D1008="",$J1008&lt;&gt;"Supplier"),"",IFERROR(INDEX(SupplierRates!$E$5:$E$500,MATCH($K1008&amp;"|"&amp;$L1008,SupplierRates!$A$5:$A$500,0)),0))</f>
        <v/>
      </c>
      <c r="R1008" s="26" t="n">
        <f aca="false">IF(OR($D1008="",$J1008&lt;&gt;"Supplier"),0,F1008*P1008+G1008*Q1008)</f>
        <v>0</v>
      </c>
      <c r="S1008" s="26" t="n">
        <f aca="false">IF(OR($D1008="",$J1008&lt;&gt;"Own"),0,IFERROR((F1008+G1008*Settings!$B$13)*INDEX(Workers!$V$5:$V$2004,MATCH($D1008,Workers!$A$5:$A$2004,0)),0))</f>
        <v>0</v>
      </c>
      <c r="T1008" s="26" t="str">
        <f aca="false">IF($D1008="","",O1008-R1008-S1008)</f>
        <v/>
      </c>
    </row>
    <row r="1009" customFormat="false" ht="15" hidden="false" customHeight="false" outlineLevel="0" collapsed="false">
      <c r="I1009" s="24" t="str">
        <f aca="false">IF($D1009="","",IFERROR(INDEX(Workers!$B$5:$B$2004,MATCH($D1009,Workers!$A$5:$A$2004,0)),"NOT FOUND"))</f>
        <v/>
      </c>
      <c r="J1009" s="24" t="str">
        <f aca="false">IF($D1009="","",IFERROR(INDEX(Workers!$C$5:$C$2004,MATCH($D1009,Workers!$A$5:$A$2004,0)),""))</f>
        <v/>
      </c>
      <c r="K1009" s="24" t="str">
        <f aca="false">IF($D1009="","",IFERROR(IF(INDEX(Workers!$D$5:$D$2004,MATCH($D1009,Workers!$A$5:$A$2004,0))=0,"",INDEX(Workers!$D$5:$D$2004,MATCH($D1009,Workers!$A$5:$A$2004,0))),""))</f>
        <v/>
      </c>
      <c r="L1009" s="24" t="str">
        <f aca="false">IF($D1009="","",IFERROR(INDEX(Workers!$E$5:$E$2004,MATCH($D1009,Workers!$A$5:$A$2004,0)),""))</f>
        <v/>
      </c>
      <c r="M1009" s="26" t="str">
        <f aca="false">IF($D1009="","",IFERROR(INDEX(ClientRates!$D$5:$D$500,MATCH($B1009&amp;"|"&amp;$L1009,ClientRates!$A$5:$A$500,0)),0))</f>
        <v/>
      </c>
      <c r="N1009" s="26" t="str">
        <f aca="false">IF($D1009="","",IFERROR(INDEX(ClientRates!$E$5:$E$500,MATCH($B1009&amp;"|"&amp;$L1009,ClientRates!$A$5:$A$500,0)),0))</f>
        <v/>
      </c>
      <c r="O1009" s="26" t="str">
        <f aca="false">IF($D1009="","",F1009*M1009+G1009*N1009)</f>
        <v/>
      </c>
      <c r="P1009" s="26" t="str">
        <f aca="false">IF(OR($D1009="",$J1009&lt;&gt;"Supplier"),"",IFERROR(INDEX(SupplierRates!$D$5:$D$500,MATCH($K1009&amp;"|"&amp;$L1009,SupplierRates!$A$5:$A$500,0)),0))</f>
        <v/>
      </c>
      <c r="Q1009" s="26" t="str">
        <f aca="false">IF(OR($D1009="",$J1009&lt;&gt;"Supplier"),"",IFERROR(INDEX(SupplierRates!$E$5:$E$500,MATCH($K1009&amp;"|"&amp;$L1009,SupplierRates!$A$5:$A$500,0)),0))</f>
        <v/>
      </c>
      <c r="R1009" s="26" t="n">
        <f aca="false">IF(OR($D1009="",$J1009&lt;&gt;"Supplier"),0,F1009*P1009+G1009*Q1009)</f>
        <v>0</v>
      </c>
      <c r="S1009" s="26" t="n">
        <f aca="false">IF(OR($D1009="",$J1009&lt;&gt;"Own"),0,IFERROR((F1009+G1009*Settings!$B$13)*INDEX(Workers!$V$5:$V$2004,MATCH($D1009,Workers!$A$5:$A$2004,0)),0))</f>
        <v>0</v>
      </c>
      <c r="T1009" s="26" t="str">
        <f aca="false">IF($D1009="","",O1009-R1009-S1009)</f>
        <v/>
      </c>
    </row>
    <row r="1010" customFormat="false" ht="15" hidden="false" customHeight="false" outlineLevel="0" collapsed="false">
      <c r="I1010" s="24" t="str">
        <f aca="false">IF($D1010="","",IFERROR(INDEX(Workers!$B$5:$B$2004,MATCH($D1010,Workers!$A$5:$A$2004,0)),"NOT FOUND"))</f>
        <v/>
      </c>
      <c r="J1010" s="24" t="str">
        <f aca="false">IF($D1010="","",IFERROR(INDEX(Workers!$C$5:$C$2004,MATCH($D1010,Workers!$A$5:$A$2004,0)),""))</f>
        <v/>
      </c>
      <c r="K1010" s="24" t="str">
        <f aca="false">IF($D1010="","",IFERROR(IF(INDEX(Workers!$D$5:$D$2004,MATCH($D1010,Workers!$A$5:$A$2004,0))=0,"",INDEX(Workers!$D$5:$D$2004,MATCH($D1010,Workers!$A$5:$A$2004,0))),""))</f>
        <v/>
      </c>
      <c r="L1010" s="24" t="str">
        <f aca="false">IF($D1010="","",IFERROR(INDEX(Workers!$E$5:$E$2004,MATCH($D1010,Workers!$A$5:$A$2004,0)),""))</f>
        <v/>
      </c>
      <c r="M1010" s="26" t="str">
        <f aca="false">IF($D1010="","",IFERROR(INDEX(ClientRates!$D$5:$D$500,MATCH($B1010&amp;"|"&amp;$L1010,ClientRates!$A$5:$A$500,0)),0))</f>
        <v/>
      </c>
      <c r="N1010" s="26" t="str">
        <f aca="false">IF($D1010="","",IFERROR(INDEX(ClientRates!$E$5:$E$500,MATCH($B1010&amp;"|"&amp;$L1010,ClientRates!$A$5:$A$500,0)),0))</f>
        <v/>
      </c>
      <c r="O1010" s="26" t="str">
        <f aca="false">IF($D1010="","",F1010*M1010+G1010*N1010)</f>
        <v/>
      </c>
      <c r="P1010" s="26" t="str">
        <f aca="false">IF(OR($D1010="",$J1010&lt;&gt;"Supplier"),"",IFERROR(INDEX(SupplierRates!$D$5:$D$500,MATCH($K1010&amp;"|"&amp;$L1010,SupplierRates!$A$5:$A$500,0)),0))</f>
        <v/>
      </c>
      <c r="Q1010" s="26" t="str">
        <f aca="false">IF(OR($D1010="",$J1010&lt;&gt;"Supplier"),"",IFERROR(INDEX(SupplierRates!$E$5:$E$500,MATCH($K1010&amp;"|"&amp;$L1010,SupplierRates!$A$5:$A$500,0)),0))</f>
        <v/>
      </c>
      <c r="R1010" s="26" t="n">
        <f aca="false">IF(OR($D1010="",$J1010&lt;&gt;"Supplier"),0,F1010*P1010+G1010*Q1010)</f>
        <v>0</v>
      </c>
      <c r="S1010" s="26" t="n">
        <f aca="false">IF(OR($D1010="",$J1010&lt;&gt;"Own"),0,IFERROR((F1010+G1010*Settings!$B$13)*INDEX(Workers!$V$5:$V$2004,MATCH($D1010,Workers!$A$5:$A$2004,0)),0))</f>
        <v>0</v>
      </c>
      <c r="T1010" s="26" t="str">
        <f aca="false">IF($D1010="","",O1010-R1010-S1010)</f>
        <v/>
      </c>
    </row>
    <row r="1011" customFormat="false" ht="15" hidden="false" customHeight="false" outlineLevel="0" collapsed="false">
      <c r="I1011" s="24" t="str">
        <f aca="false">IF($D1011="","",IFERROR(INDEX(Workers!$B$5:$B$2004,MATCH($D1011,Workers!$A$5:$A$2004,0)),"NOT FOUND"))</f>
        <v/>
      </c>
      <c r="J1011" s="24" t="str">
        <f aca="false">IF($D1011="","",IFERROR(INDEX(Workers!$C$5:$C$2004,MATCH($D1011,Workers!$A$5:$A$2004,0)),""))</f>
        <v/>
      </c>
      <c r="K1011" s="24" t="str">
        <f aca="false">IF($D1011="","",IFERROR(IF(INDEX(Workers!$D$5:$D$2004,MATCH($D1011,Workers!$A$5:$A$2004,0))=0,"",INDEX(Workers!$D$5:$D$2004,MATCH($D1011,Workers!$A$5:$A$2004,0))),""))</f>
        <v/>
      </c>
      <c r="L1011" s="24" t="str">
        <f aca="false">IF($D1011="","",IFERROR(INDEX(Workers!$E$5:$E$2004,MATCH($D1011,Workers!$A$5:$A$2004,0)),""))</f>
        <v/>
      </c>
      <c r="M1011" s="26" t="str">
        <f aca="false">IF($D1011="","",IFERROR(INDEX(ClientRates!$D$5:$D$500,MATCH($B1011&amp;"|"&amp;$L1011,ClientRates!$A$5:$A$500,0)),0))</f>
        <v/>
      </c>
      <c r="N1011" s="26" t="str">
        <f aca="false">IF($D1011="","",IFERROR(INDEX(ClientRates!$E$5:$E$500,MATCH($B1011&amp;"|"&amp;$L1011,ClientRates!$A$5:$A$500,0)),0))</f>
        <v/>
      </c>
      <c r="O1011" s="26" t="str">
        <f aca="false">IF($D1011="","",F1011*M1011+G1011*N1011)</f>
        <v/>
      </c>
      <c r="P1011" s="26" t="str">
        <f aca="false">IF(OR($D1011="",$J1011&lt;&gt;"Supplier"),"",IFERROR(INDEX(SupplierRates!$D$5:$D$500,MATCH($K1011&amp;"|"&amp;$L1011,SupplierRates!$A$5:$A$500,0)),0))</f>
        <v/>
      </c>
      <c r="Q1011" s="26" t="str">
        <f aca="false">IF(OR($D1011="",$J1011&lt;&gt;"Supplier"),"",IFERROR(INDEX(SupplierRates!$E$5:$E$500,MATCH($K1011&amp;"|"&amp;$L1011,SupplierRates!$A$5:$A$500,0)),0))</f>
        <v/>
      </c>
      <c r="R1011" s="26" t="n">
        <f aca="false">IF(OR($D1011="",$J1011&lt;&gt;"Supplier"),0,F1011*P1011+G1011*Q1011)</f>
        <v>0</v>
      </c>
      <c r="S1011" s="26" t="n">
        <f aca="false">IF(OR($D1011="",$J1011&lt;&gt;"Own"),0,IFERROR((F1011+G1011*Settings!$B$13)*INDEX(Workers!$V$5:$V$2004,MATCH($D1011,Workers!$A$5:$A$2004,0)),0))</f>
        <v>0</v>
      </c>
      <c r="T1011" s="26" t="str">
        <f aca="false">IF($D1011="","",O1011-R1011-S1011)</f>
        <v/>
      </c>
    </row>
    <row r="1012" customFormat="false" ht="15" hidden="false" customHeight="false" outlineLevel="0" collapsed="false">
      <c r="I1012" s="24" t="str">
        <f aca="false">IF($D1012="","",IFERROR(INDEX(Workers!$B$5:$B$2004,MATCH($D1012,Workers!$A$5:$A$2004,0)),"NOT FOUND"))</f>
        <v/>
      </c>
      <c r="J1012" s="24" t="str">
        <f aca="false">IF($D1012="","",IFERROR(INDEX(Workers!$C$5:$C$2004,MATCH($D1012,Workers!$A$5:$A$2004,0)),""))</f>
        <v/>
      </c>
      <c r="K1012" s="24" t="str">
        <f aca="false">IF($D1012="","",IFERROR(IF(INDEX(Workers!$D$5:$D$2004,MATCH($D1012,Workers!$A$5:$A$2004,0))=0,"",INDEX(Workers!$D$5:$D$2004,MATCH($D1012,Workers!$A$5:$A$2004,0))),""))</f>
        <v/>
      </c>
      <c r="L1012" s="24" t="str">
        <f aca="false">IF($D1012="","",IFERROR(INDEX(Workers!$E$5:$E$2004,MATCH($D1012,Workers!$A$5:$A$2004,0)),""))</f>
        <v/>
      </c>
      <c r="M1012" s="26" t="str">
        <f aca="false">IF($D1012="","",IFERROR(INDEX(ClientRates!$D$5:$D$500,MATCH($B1012&amp;"|"&amp;$L1012,ClientRates!$A$5:$A$500,0)),0))</f>
        <v/>
      </c>
      <c r="N1012" s="26" t="str">
        <f aca="false">IF($D1012="","",IFERROR(INDEX(ClientRates!$E$5:$E$500,MATCH($B1012&amp;"|"&amp;$L1012,ClientRates!$A$5:$A$500,0)),0))</f>
        <v/>
      </c>
      <c r="O1012" s="26" t="str">
        <f aca="false">IF($D1012="","",F1012*M1012+G1012*N1012)</f>
        <v/>
      </c>
      <c r="P1012" s="26" t="str">
        <f aca="false">IF(OR($D1012="",$J1012&lt;&gt;"Supplier"),"",IFERROR(INDEX(SupplierRates!$D$5:$D$500,MATCH($K1012&amp;"|"&amp;$L1012,SupplierRates!$A$5:$A$500,0)),0))</f>
        <v/>
      </c>
      <c r="Q1012" s="26" t="str">
        <f aca="false">IF(OR($D1012="",$J1012&lt;&gt;"Supplier"),"",IFERROR(INDEX(SupplierRates!$E$5:$E$500,MATCH($K1012&amp;"|"&amp;$L1012,SupplierRates!$A$5:$A$500,0)),0))</f>
        <v/>
      </c>
      <c r="R1012" s="26" t="n">
        <f aca="false">IF(OR($D1012="",$J1012&lt;&gt;"Supplier"),0,F1012*P1012+G1012*Q1012)</f>
        <v>0</v>
      </c>
      <c r="S1012" s="26" t="n">
        <f aca="false">IF(OR($D1012="",$J1012&lt;&gt;"Own"),0,IFERROR((F1012+G1012*Settings!$B$13)*INDEX(Workers!$V$5:$V$2004,MATCH($D1012,Workers!$A$5:$A$2004,0)),0))</f>
        <v>0</v>
      </c>
      <c r="T1012" s="26" t="str">
        <f aca="false">IF($D1012="","",O1012-R1012-S1012)</f>
        <v/>
      </c>
    </row>
    <row r="1013" customFormat="false" ht="15" hidden="false" customHeight="false" outlineLevel="0" collapsed="false">
      <c r="I1013" s="24" t="str">
        <f aca="false">IF($D1013="","",IFERROR(INDEX(Workers!$B$5:$B$2004,MATCH($D1013,Workers!$A$5:$A$2004,0)),"NOT FOUND"))</f>
        <v/>
      </c>
      <c r="J1013" s="24" t="str">
        <f aca="false">IF($D1013="","",IFERROR(INDEX(Workers!$C$5:$C$2004,MATCH($D1013,Workers!$A$5:$A$2004,0)),""))</f>
        <v/>
      </c>
      <c r="K1013" s="24" t="str">
        <f aca="false">IF($D1013="","",IFERROR(IF(INDEX(Workers!$D$5:$D$2004,MATCH($D1013,Workers!$A$5:$A$2004,0))=0,"",INDEX(Workers!$D$5:$D$2004,MATCH($D1013,Workers!$A$5:$A$2004,0))),""))</f>
        <v/>
      </c>
      <c r="L1013" s="24" t="str">
        <f aca="false">IF($D1013="","",IFERROR(INDEX(Workers!$E$5:$E$2004,MATCH($D1013,Workers!$A$5:$A$2004,0)),""))</f>
        <v/>
      </c>
      <c r="M1013" s="26" t="str">
        <f aca="false">IF($D1013="","",IFERROR(INDEX(ClientRates!$D$5:$D$500,MATCH($B1013&amp;"|"&amp;$L1013,ClientRates!$A$5:$A$500,0)),0))</f>
        <v/>
      </c>
      <c r="N1013" s="26" t="str">
        <f aca="false">IF($D1013="","",IFERROR(INDEX(ClientRates!$E$5:$E$500,MATCH($B1013&amp;"|"&amp;$L1013,ClientRates!$A$5:$A$500,0)),0))</f>
        <v/>
      </c>
      <c r="O1013" s="26" t="str">
        <f aca="false">IF($D1013="","",F1013*M1013+G1013*N1013)</f>
        <v/>
      </c>
      <c r="P1013" s="26" t="str">
        <f aca="false">IF(OR($D1013="",$J1013&lt;&gt;"Supplier"),"",IFERROR(INDEX(SupplierRates!$D$5:$D$500,MATCH($K1013&amp;"|"&amp;$L1013,SupplierRates!$A$5:$A$500,0)),0))</f>
        <v/>
      </c>
      <c r="Q1013" s="26" t="str">
        <f aca="false">IF(OR($D1013="",$J1013&lt;&gt;"Supplier"),"",IFERROR(INDEX(SupplierRates!$E$5:$E$500,MATCH($K1013&amp;"|"&amp;$L1013,SupplierRates!$A$5:$A$500,0)),0))</f>
        <v/>
      </c>
      <c r="R1013" s="26" t="n">
        <f aca="false">IF(OR($D1013="",$J1013&lt;&gt;"Supplier"),0,F1013*P1013+G1013*Q1013)</f>
        <v>0</v>
      </c>
      <c r="S1013" s="26" t="n">
        <f aca="false">IF(OR($D1013="",$J1013&lt;&gt;"Own"),0,IFERROR((F1013+G1013*Settings!$B$13)*INDEX(Workers!$V$5:$V$2004,MATCH($D1013,Workers!$A$5:$A$2004,0)),0))</f>
        <v>0</v>
      </c>
      <c r="T1013" s="26" t="str">
        <f aca="false">IF($D1013="","",O1013-R1013-S1013)</f>
        <v/>
      </c>
    </row>
    <row r="1014" customFormat="false" ht="15" hidden="false" customHeight="false" outlineLevel="0" collapsed="false">
      <c r="I1014" s="24" t="str">
        <f aca="false">IF($D1014="","",IFERROR(INDEX(Workers!$B$5:$B$2004,MATCH($D1014,Workers!$A$5:$A$2004,0)),"NOT FOUND"))</f>
        <v/>
      </c>
      <c r="J1014" s="24" t="str">
        <f aca="false">IF($D1014="","",IFERROR(INDEX(Workers!$C$5:$C$2004,MATCH($D1014,Workers!$A$5:$A$2004,0)),""))</f>
        <v/>
      </c>
      <c r="K1014" s="24" t="str">
        <f aca="false">IF($D1014="","",IFERROR(IF(INDEX(Workers!$D$5:$D$2004,MATCH($D1014,Workers!$A$5:$A$2004,0))=0,"",INDEX(Workers!$D$5:$D$2004,MATCH($D1014,Workers!$A$5:$A$2004,0))),""))</f>
        <v/>
      </c>
      <c r="L1014" s="24" t="str">
        <f aca="false">IF($D1014="","",IFERROR(INDEX(Workers!$E$5:$E$2004,MATCH($D1014,Workers!$A$5:$A$2004,0)),""))</f>
        <v/>
      </c>
      <c r="M1014" s="26" t="str">
        <f aca="false">IF($D1014="","",IFERROR(INDEX(ClientRates!$D$5:$D$500,MATCH($B1014&amp;"|"&amp;$L1014,ClientRates!$A$5:$A$500,0)),0))</f>
        <v/>
      </c>
      <c r="N1014" s="26" t="str">
        <f aca="false">IF($D1014="","",IFERROR(INDEX(ClientRates!$E$5:$E$500,MATCH($B1014&amp;"|"&amp;$L1014,ClientRates!$A$5:$A$500,0)),0))</f>
        <v/>
      </c>
      <c r="O1014" s="26" t="str">
        <f aca="false">IF($D1014="","",F1014*M1014+G1014*N1014)</f>
        <v/>
      </c>
      <c r="P1014" s="26" t="str">
        <f aca="false">IF(OR($D1014="",$J1014&lt;&gt;"Supplier"),"",IFERROR(INDEX(SupplierRates!$D$5:$D$500,MATCH($K1014&amp;"|"&amp;$L1014,SupplierRates!$A$5:$A$500,0)),0))</f>
        <v/>
      </c>
      <c r="Q1014" s="26" t="str">
        <f aca="false">IF(OR($D1014="",$J1014&lt;&gt;"Supplier"),"",IFERROR(INDEX(SupplierRates!$E$5:$E$500,MATCH($K1014&amp;"|"&amp;$L1014,SupplierRates!$A$5:$A$500,0)),0))</f>
        <v/>
      </c>
      <c r="R1014" s="26" t="n">
        <f aca="false">IF(OR($D1014="",$J1014&lt;&gt;"Supplier"),0,F1014*P1014+G1014*Q1014)</f>
        <v>0</v>
      </c>
      <c r="S1014" s="26" t="n">
        <f aca="false">IF(OR($D1014="",$J1014&lt;&gt;"Own"),0,IFERROR((F1014+G1014*Settings!$B$13)*INDEX(Workers!$V$5:$V$2004,MATCH($D1014,Workers!$A$5:$A$2004,0)),0))</f>
        <v>0</v>
      </c>
      <c r="T1014" s="26" t="str">
        <f aca="false">IF($D1014="","",O1014-R1014-S1014)</f>
        <v/>
      </c>
    </row>
    <row r="1015" customFormat="false" ht="15" hidden="false" customHeight="false" outlineLevel="0" collapsed="false">
      <c r="I1015" s="24" t="str">
        <f aca="false">IF($D1015="","",IFERROR(INDEX(Workers!$B$5:$B$2004,MATCH($D1015,Workers!$A$5:$A$2004,0)),"NOT FOUND"))</f>
        <v/>
      </c>
      <c r="J1015" s="24" t="str">
        <f aca="false">IF($D1015="","",IFERROR(INDEX(Workers!$C$5:$C$2004,MATCH($D1015,Workers!$A$5:$A$2004,0)),""))</f>
        <v/>
      </c>
      <c r="K1015" s="24" t="str">
        <f aca="false">IF($D1015="","",IFERROR(IF(INDEX(Workers!$D$5:$D$2004,MATCH($D1015,Workers!$A$5:$A$2004,0))=0,"",INDEX(Workers!$D$5:$D$2004,MATCH($D1015,Workers!$A$5:$A$2004,0))),""))</f>
        <v/>
      </c>
      <c r="L1015" s="24" t="str">
        <f aca="false">IF($D1015="","",IFERROR(INDEX(Workers!$E$5:$E$2004,MATCH($D1015,Workers!$A$5:$A$2004,0)),""))</f>
        <v/>
      </c>
      <c r="M1015" s="26" t="str">
        <f aca="false">IF($D1015="","",IFERROR(INDEX(ClientRates!$D$5:$D$500,MATCH($B1015&amp;"|"&amp;$L1015,ClientRates!$A$5:$A$500,0)),0))</f>
        <v/>
      </c>
      <c r="N1015" s="26" t="str">
        <f aca="false">IF($D1015="","",IFERROR(INDEX(ClientRates!$E$5:$E$500,MATCH($B1015&amp;"|"&amp;$L1015,ClientRates!$A$5:$A$500,0)),0))</f>
        <v/>
      </c>
      <c r="O1015" s="26" t="str">
        <f aca="false">IF($D1015="","",F1015*M1015+G1015*N1015)</f>
        <v/>
      </c>
      <c r="P1015" s="26" t="str">
        <f aca="false">IF(OR($D1015="",$J1015&lt;&gt;"Supplier"),"",IFERROR(INDEX(SupplierRates!$D$5:$D$500,MATCH($K1015&amp;"|"&amp;$L1015,SupplierRates!$A$5:$A$500,0)),0))</f>
        <v/>
      </c>
      <c r="Q1015" s="26" t="str">
        <f aca="false">IF(OR($D1015="",$J1015&lt;&gt;"Supplier"),"",IFERROR(INDEX(SupplierRates!$E$5:$E$500,MATCH($K1015&amp;"|"&amp;$L1015,SupplierRates!$A$5:$A$500,0)),0))</f>
        <v/>
      </c>
      <c r="R1015" s="26" t="n">
        <f aca="false">IF(OR($D1015="",$J1015&lt;&gt;"Supplier"),0,F1015*P1015+G1015*Q1015)</f>
        <v>0</v>
      </c>
      <c r="S1015" s="26" t="n">
        <f aca="false">IF(OR($D1015="",$J1015&lt;&gt;"Own"),0,IFERROR((F1015+G1015*Settings!$B$13)*INDEX(Workers!$V$5:$V$2004,MATCH($D1015,Workers!$A$5:$A$2004,0)),0))</f>
        <v>0</v>
      </c>
      <c r="T1015" s="26" t="str">
        <f aca="false">IF($D1015="","",O1015-R1015-S1015)</f>
        <v/>
      </c>
    </row>
    <row r="1016" customFormat="false" ht="15" hidden="false" customHeight="false" outlineLevel="0" collapsed="false">
      <c r="I1016" s="24" t="str">
        <f aca="false">IF($D1016="","",IFERROR(INDEX(Workers!$B$5:$B$2004,MATCH($D1016,Workers!$A$5:$A$2004,0)),"NOT FOUND"))</f>
        <v/>
      </c>
      <c r="J1016" s="24" t="str">
        <f aca="false">IF($D1016="","",IFERROR(INDEX(Workers!$C$5:$C$2004,MATCH($D1016,Workers!$A$5:$A$2004,0)),""))</f>
        <v/>
      </c>
      <c r="K1016" s="24" t="str">
        <f aca="false">IF($D1016="","",IFERROR(IF(INDEX(Workers!$D$5:$D$2004,MATCH($D1016,Workers!$A$5:$A$2004,0))=0,"",INDEX(Workers!$D$5:$D$2004,MATCH($D1016,Workers!$A$5:$A$2004,0))),""))</f>
        <v/>
      </c>
      <c r="L1016" s="24" t="str">
        <f aca="false">IF($D1016="","",IFERROR(INDEX(Workers!$E$5:$E$2004,MATCH($D1016,Workers!$A$5:$A$2004,0)),""))</f>
        <v/>
      </c>
      <c r="M1016" s="26" t="str">
        <f aca="false">IF($D1016="","",IFERROR(INDEX(ClientRates!$D$5:$D$500,MATCH($B1016&amp;"|"&amp;$L1016,ClientRates!$A$5:$A$500,0)),0))</f>
        <v/>
      </c>
      <c r="N1016" s="26" t="str">
        <f aca="false">IF($D1016="","",IFERROR(INDEX(ClientRates!$E$5:$E$500,MATCH($B1016&amp;"|"&amp;$L1016,ClientRates!$A$5:$A$500,0)),0))</f>
        <v/>
      </c>
      <c r="O1016" s="26" t="str">
        <f aca="false">IF($D1016="","",F1016*M1016+G1016*N1016)</f>
        <v/>
      </c>
      <c r="P1016" s="26" t="str">
        <f aca="false">IF(OR($D1016="",$J1016&lt;&gt;"Supplier"),"",IFERROR(INDEX(SupplierRates!$D$5:$D$500,MATCH($K1016&amp;"|"&amp;$L1016,SupplierRates!$A$5:$A$500,0)),0))</f>
        <v/>
      </c>
      <c r="Q1016" s="26" t="str">
        <f aca="false">IF(OR($D1016="",$J1016&lt;&gt;"Supplier"),"",IFERROR(INDEX(SupplierRates!$E$5:$E$500,MATCH($K1016&amp;"|"&amp;$L1016,SupplierRates!$A$5:$A$500,0)),0))</f>
        <v/>
      </c>
      <c r="R1016" s="26" t="n">
        <f aca="false">IF(OR($D1016="",$J1016&lt;&gt;"Supplier"),0,F1016*P1016+G1016*Q1016)</f>
        <v>0</v>
      </c>
      <c r="S1016" s="26" t="n">
        <f aca="false">IF(OR($D1016="",$J1016&lt;&gt;"Own"),0,IFERROR((F1016+G1016*Settings!$B$13)*INDEX(Workers!$V$5:$V$2004,MATCH($D1016,Workers!$A$5:$A$2004,0)),0))</f>
        <v>0</v>
      </c>
      <c r="T1016" s="26" t="str">
        <f aca="false">IF($D1016="","",O1016-R1016-S1016)</f>
        <v/>
      </c>
    </row>
    <row r="1017" customFormat="false" ht="15" hidden="false" customHeight="false" outlineLevel="0" collapsed="false">
      <c r="I1017" s="24" t="str">
        <f aca="false">IF($D1017="","",IFERROR(INDEX(Workers!$B$5:$B$2004,MATCH($D1017,Workers!$A$5:$A$2004,0)),"NOT FOUND"))</f>
        <v/>
      </c>
      <c r="J1017" s="24" t="str">
        <f aca="false">IF($D1017="","",IFERROR(INDEX(Workers!$C$5:$C$2004,MATCH($D1017,Workers!$A$5:$A$2004,0)),""))</f>
        <v/>
      </c>
      <c r="K1017" s="24" t="str">
        <f aca="false">IF($D1017="","",IFERROR(IF(INDEX(Workers!$D$5:$D$2004,MATCH($D1017,Workers!$A$5:$A$2004,0))=0,"",INDEX(Workers!$D$5:$D$2004,MATCH($D1017,Workers!$A$5:$A$2004,0))),""))</f>
        <v/>
      </c>
      <c r="L1017" s="24" t="str">
        <f aca="false">IF($D1017="","",IFERROR(INDEX(Workers!$E$5:$E$2004,MATCH($D1017,Workers!$A$5:$A$2004,0)),""))</f>
        <v/>
      </c>
      <c r="M1017" s="26" t="str">
        <f aca="false">IF($D1017="","",IFERROR(INDEX(ClientRates!$D$5:$D$500,MATCH($B1017&amp;"|"&amp;$L1017,ClientRates!$A$5:$A$500,0)),0))</f>
        <v/>
      </c>
      <c r="N1017" s="26" t="str">
        <f aca="false">IF($D1017="","",IFERROR(INDEX(ClientRates!$E$5:$E$500,MATCH($B1017&amp;"|"&amp;$L1017,ClientRates!$A$5:$A$500,0)),0))</f>
        <v/>
      </c>
      <c r="O1017" s="26" t="str">
        <f aca="false">IF($D1017="","",F1017*M1017+G1017*N1017)</f>
        <v/>
      </c>
      <c r="P1017" s="26" t="str">
        <f aca="false">IF(OR($D1017="",$J1017&lt;&gt;"Supplier"),"",IFERROR(INDEX(SupplierRates!$D$5:$D$500,MATCH($K1017&amp;"|"&amp;$L1017,SupplierRates!$A$5:$A$500,0)),0))</f>
        <v/>
      </c>
      <c r="Q1017" s="26" t="str">
        <f aca="false">IF(OR($D1017="",$J1017&lt;&gt;"Supplier"),"",IFERROR(INDEX(SupplierRates!$E$5:$E$500,MATCH($K1017&amp;"|"&amp;$L1017,SupplierRates!$A$5:$A$500,0)),0))</f>
        <v/>
      </c>
      <c r="R1017" s="26" t="n">
        <f aca="false">IF(OR($D1017="",$J1017&lt;&gt;"Supplier"),0,F1017*P1017+G1017*Q1017)</f>
        <v>0</v>
      </c>
      <c r="S1017" s="26" t="n">
        <f aca="false">IF(OR($D1017="",$J1017&lt;&gt;"Own"),0,IFERROR((F1017+G1017*Settings!$B$13)*INDEX(Workers!$V$5:$V$2004,MATCH($D1017,Workers!$A$5:$A$2004,0)),0))</f>
        <v>0</v>
      </c>
      <c r="T1017" s="26" t="str">
        <f aca="false">IF($D1017="","",O1017-R1017-S1017)</f>
        <v/>
      </c>
    </row>
    <row r="1018" customFormat="false" ht="15" hidden="false" customHeight="false" outlineLevel="0" collapsed="false">
      <c r="I1018" s="24" t="str">
        <f aca="false">IF($D1018="","",IFERROR(INDEX(Workers!$B$5:$B$2004,MATCH($D1018,Workers!$A$5:$A$2004,0)),"NOT FOUND"))</f>
        <v/>
      </c>
      <c r="J1018" s="24" t="str">
        <f aca="false">IF($D1018="","",IFERROR(INDEX(Workers!$C$5:$C$2004,MATCH($D1018,Workers!$A$5:$A$2004,0)),""))</f>
        <v/>
      </c>
      <c r="K1018" s="24" t="str">
        <f aca="false">IF($D1018="","",IFERROR(IF(INDEX(Workers!$D$5:$D$2004,MATCH($D1018,Workers!$A$5:$A$2004,0))=0,"",INDEX(Workers!$D$5:$D$2004,MATCH($D1018,Workers!$A$5:$A$2004,0))),""))</f>
        <v/>
      </c>
      <c r="L1018" s="24" t="str">
        <f aca="false">IF($D1018="","",IFERROR(INDEX(Workers!$E$5:$E$2004,MATCH($D1018,Workers!$A$5:$A$2004,0)),""))</f>
        <v/>
      </c>
      <c r="M1018" s="26" t="str">
        <f aca="false">IF($D1018="","",IFERROR(INDEX(ClientRates!$D$5:$D$500,MATCH($B1018&amp;"|"&amp;$L1018,ClientRates!$A$5:$A$500,0)),0))</f>
        <v/>
      </c>
      <c r="N1018" s="26" t="str">
        <f aca="false">IF($D1018="","",IFERROR(INDEX(ClientRates!$E$5:$E$500,MATCH($B1018&amp;"|"&amp;$L1018,ClientRates!$A$5:$A$500,0)),0))</f>
        <v/>
      </c>
      <c r="O1018" s="26" t="str">
        <f aca="false">IF($D1018="","",F1018*M1018+G1018*N1018)</f>
        <v/>
      </c>
      <c r="P1018" s="26" t="str">
        <f aca="false">IF(OR($D1018="",$J1018&lt;&gt;"Supplier"),"",IFERROR(INDEX(SupplierRates!$D$5:$D$500,MATCH($K1018&amp;"|"&amp;$L1018,SupplierRates!$A$5:$A$500,0)),0))</f>
        <v/>
      </c>
      <c r="Q1018" s="26" t="str">
        <f aca="false">IF(OR($D1018="",$J1018&lt;&gt;"Supplier"),"",IFERROR(INDEX(SupplierRates!$E$5:$E$500,MATCH($K1018&amp;"|"&amp;$L1018,SupplierRates!$A$5:$A$500,0)),0))</f>
        <v/>
      </c>
      <c r="R1018" s="26" t="n">
        <f aca="false">IF(OR($D1018="",$J1018&lt;&gt;"Supplier"),0,F1018*P1018+G1018*Q1018)</f>
        <v>0</v>
      </c>
      <c r="S1018" s="26" t="n">
        <f aca="false">IF(OR($D1018="",$J1018&lt;&gt;"Own"),0,IFERROR((F1018+G1018*Settings!$B$13)*INDEX(Workers!$V$5:$V$2004,MATCH($D1018,Workers!$A$5:$A$2004,0)),0))</f>
        <v>0</v>
      </c>
      <c r="T1018" s="26" t="str">
        <f aca="false">IF($D1018="","",O1018-R1018-S1018)</f>
        <v/>
      </c>
    </row>
    <row r="1019" customFormat="false" ht="15" hidden="false" customHeight="false" outlineLevel="0" collapsed="false">
      <c r="I1019" s="24" t="str">
        <f aca="false">IF($D1019="","",IFERROR(INDEX(Workers!$B$5:$B$2004,MATCH($D1019,Workers!$A$5:$A$2004,0)),"NOT FOUND"))</f>
        <v/>
      </c>
      <c r="J1019" s="24" t="str">
        <f aca="false">IF($D1019="","",IFERROR(INDEX(Workers!$C$5:$C$2004,MATCH($D1019,Workers!$A$5:$A$2004,0)),""))</f>
        <v/>
      </c>
      <c r="K1019" s="24" t="str">
        <f aca="false">IF($D1019="","",IFERROR(IF(INDEX(Workers!$D$5:$D$2004,MATCH($D1019,Workers!$A$5:$A$2004,0))=0,"",INDEX(Workers!$D$5:$D$2004,MATCH($D1019,Workers!$A$5:$A$2004,0))),""))</f>
        <v/>
      </c>
      <c r="L1019" s="24" t="str">
        <f aca="false">IF($D1019="","",IFERROR(INDEX(Workers!$E$5:$E$2004,MATCH($D1019,Workers!$A$5:$A$2004,0)),""))</f>
        <v/>
      </c>
      <c r="M1019" s="26" t="str">
        <f aca="false">IF($D1019="","",IFERROR(INDEX(ClientRates!$D$5:$D$500,MATCH($B1019&amp;"|"&amp;$L1019,ClientRates!$A$5:$A$500,0)),0))</f>
        <v/>
      </c>
      <c r="N1019" s="26" t="str">
        <f aca="false">IF($D1019="","",IFERROR(INDEX(ClientRates!$E$5:$E$500,MATCH($B1019&amp;"|"&amp;$L1019,ClientRates!$A$5:$A$500,0)),0))</f>
        <v/>
      </c>
      <c r="O1019" s="26" t="str">
        <f aca="false">IF($D1019="","",F1019*M1019+G1019*N1019)</f>
        <v/>
      </c>
      <c r="P1019" s="26" t="str">
        <f aca="false">IF(OR($D1019="",$J1019&lt;&gt;"Supplier"),"",IFERROR(INDEX(SupplierRates!$D$5:$D$500,MATCH($K1019&amp;"|"&amp;$L1019,SupplierRates!$A$5:$A$500,0)),0))</f>
        <v/>
      </c>
      <c r="Q1019" s="26" t="str">
        <f aca="false">IF(OR($D1019="",$J1019&lt;&gt;"Supplier"),"",IFERROR(INDEX(SupplierRates!$E$5:$E$500,MATCH($K1019&amp;"|"&amp;$L1019,SupplierRates!$A$5:$A$500,0)),0))</f>
        <v/>
      </c>
      <c r="R1019" s="26" t="n">
        <f aca="false">IF(OR($D1019="",$J1019&lt;&gt;"Supplier"),0,F1019*P1019+G1019*Q1019)</f>
        <v>0</v>
      </c>
      <c r="S1019" s="26" t="n">
        <f aca="false">IF(OR($D1019="",$J1019&lt;&gt;"Own"),0,IFERROR((F1019+G1019*Settings!$B$13)*INDEX(Workers!$V$5:$V$2004,MATCH($D1019,Workers!$A$5:$A$2004,0)),0))</f>
        <v>0</v>
      </c>
      <c r="T1019" s="26" t="str">
        <f aca="false">IF($D1019="","",O1019-R1019-S1019)</f>
        <v/>
      </c>
    </row>
    <row r="1020" customFormat="false" ht="15" hidden="false" customHeight="false" outlineLevel="0" collapsed="false">
      <c r="I1020" s="24" t="str">
        <f aca="false">IF($D1020="","",IFERROR(INDEX(Workers!$B$5:$B$2004,MATCH($D1020,Workers!$A$5:$A$2004,0)),"NOT FOUND"))</f>
        <v/>
      </c>
      <c r="J1020" s="24" t="str">
        <f aca="false">IF($D1020="","",IFERROR(INDEX(Workers!$C$5:$C$2004,MATCH($D1020,Workers!$A$5:$A$2004,0)),""))</f>
        <v/>
      </c>
      <c r="K1020" s="24" t="str">
        <f aca="false">IF($D1020="","",IFERROR(IF(INDEX(Workers!$D$5:$D$2004,MATCH($D1020,Workers!$A$5:$A$2004,0))=0,"",INDEX(Workers!$D$5:$D$2004,MATCH($D1020,Workers!$A$5:$A$2004,0))),""))</f>
        <v/>
      </c>
      <c r="L1020" s="24" t="str">
        <f aca="false">IF($D1020="","",IFERROR(INDEX(Workers!$E$5:$E$2004,MATCH($D1020,Workers!$A$5:$A$2004,0)),""))</f>
        <v/>
      </c>
      <c r="M1020" s="26" t="str">
        <f aca="false">IF($D1020="","",IFERROR(INDEX(ClientRates!$D$5:$D$500,MATCH($B1020&amp;"|"&amp;$L1020,ClientRates!$A$5:$A$500,0)),0))</f>
        <v/>
      </c>
      <c r="N1020" s="26" t="str">
        <f aca="false">IF($D1020="","",IFERROR(INDEX(ClientRates!$E$5:$E$500,MATCH($B1020&amp;"|"&amp;$L1020,ClientRates!$A$5:$A$500,0)),0))</f>
        <v/>
      </c>
      <c r="O1020" s="26" t="str">
        <f aca="false">IF($D1020="","",F1020*M1020+G1020*N1020)</f>
        <v/>
      </c>
      <c r="P1020" s="26" t="str">
        <f aca="false">IF(OR($D1020="",$J1020&lt;&gt;"Supplier"),"",IFERROR(INDEX(SupplierRates!$D$5:$D$500,MATCH($K1020&amp;"|"&amp;$L1020,SupplierRates!$A$5:$A$500,0)),0))</f>
        <v/>
      </c>
      <c r="Q1020" s="26" t="str">
        <f aca="false">IF(OR($D1020="",$J1020&lt;&gt;"Supplier"),"",IFERROR(INDEX(SupplierRates!$E$5:$E$500,MATCH($K1020&amp;"|"&amp;$L1020,SupplierRates!$A$5:$A$500,0)),0))</f>
        <v/>
      </c>
      <c r="R1020" s="26" t="n">
        <f aca="false">IF(OR($D1020="",$J1020&lt;&gt;"Supplier"),0,F1020*P1020+G1020*Q1020)</f>
        <v>0</v>
      </c>
      <c r="S1020" s="26" t="n">
        <f aca="false">IF(OR($D1020="",$J1020&lt;&gt;"Own"),0,IFERROR((F1020+G1020*Settings!$B$13)*INDEX(Workers!$V$5:$V$2004,MATCH($D1020,Workers!$A$5:$A$2004,0)),0))</f>
        <v>0</v>
      </c>
      <c r="T1020" s="26" t="str">
        <f aca="false">IF($D1020="","",O1020-R1020-S1020)</f>
        <v/>
      </c>
    </row>
    <row r="1021" customFormat="false" ht="15" hidden="false" customHeight="false" outlineLevel="0" collapsed="false">
      <c r="I1021" s="24" t="str">
        <f aca="false">IF($D1021="","",IFERROR(INDEX(Workers!$B$5:$B$2004,MATCH($D1021,Workers!$A$5:$A$2004,0)),"NOT FOUND"))</f>
        <v/>
      </c>
      <c r="J1021" s="24" t="str">
        <f aca="false">IF($D1021="","",IFERROR(INDEX(Workers!$C$5:$C$2004,MATCH($D1021,Workers!$A$5:$A$2004,0)),""))</f>
        <v/>
      </c>
      <c r="K1021" s="24" t="str">
        <f aca="false">IF($D1021="","",IFERROR(IF(INDEX(Workers!$D$5:$D$2004,MATCH($D1021,Workers!$A$5:$A$2004,0))=0,"",INDEX(Workers!$D$5:$D$2004,MATCH($D1021,Workers!$A$5:$A$2004,0))),""))</f>
        <v/>
      </c>
      <c r="L1021" s="24" t="str">
        <f aca="false">IF($D1021="","",IFERROR(INDEX(Workers!$E$5:$E$2004,MATCH($D1021,Workers!$A$5:$A$2004,0)),""))</f>
        <v/>
      </c>
      <c r="M1021" s="26" t="str">
        <f aca="false">IF($D1021="","",IFERROR(INDEX(ClientRates!$D$5:$D$500,MATCH($B1021&amp;"|"&amp;$L1021,ClientRates!$A$5:$A$500,0)),0))</f>
        <v/>
      </c>
      <c r="N1021" s="26" t="str">
        <f aca="false">IF($D1021="","",IFERROR(INDEX(ClientRates!$E$5:$E$500,MATCH($B1021&amp;"|"&amp;$L1021,ClientRates!$A$5:$A$500,0)),0))</f>
        <v/>
      </c>
      <c r="O1021" s="26" t="str">
        <f aca="false">IF($D1021="","",F1021*M1021+G1021*N1021)</f>
        <v/>
      </c>
      <c r="P1021" s="26" t="str">
        <f aca="false">IF(OR($D1021="",$J1021&lt;&gt;"Supplier"),"",IFERROR(INDEX(SupplierRates!$D$5:$D$500,MATCH($K1021&amp;"|"&amp;$L1021,SupplierRates!$A$5:$A$500,0)),0))</f>
        <v/>
      </c>
      <c r="Q1021" s="26" t="str">
        <f aca="false">IF(OR($D1021="",$J1021&lt;&gt;"Supplier"),"",IFERROR(INDEX(SupplierRates!$E$5:$E$500,MATCH($K1021&amp;"|"&amp;$L1021,SupplierRates!$A$5:$A$500,0)),0))</f>
        <v/>
      </c>
      <c r="R1021" s="26" t="n">
        <f aca="false">IF(OR($D1021="",$J1021&lt;&gt;"Supplier"),0,F1021*P1021+G1021*Q1021)</f>
        <v>0</v>
      </c>
      <c r="S1021" s="26" t="n">
        <f aca="false">IF(OR($D1021="",$J1021&lt;&gt;"Own"),0,IFERROR((F1021+G1021*Settings!$B$13)*INDEX(Workers!$V$5:$V$2004,MATCH($D1021,Workers!$A$5:$A$2004,0)),0))</f>
        <v>0</v>
      </c>
      <c r="T1021" s="26" t="str">
        <f aca="false">IF($D1021="","",O1021-R1021-S1021)</f>
        <v/>
      </c>
    </row>
    <row r="1022" customFormat="false" ht="15" hidden="false" customHeight="false" outlineLevel="0" collapsed="false">
      <c r="I1022" s="24" t="str">
        <f aca="false">IF($D1022="","",IFERROR(INDEX(Workers!$B$5:$B$2004,MATCH($D1022,Workers!$A$5:$A$2004,0)),"NOT FOUND"))</f>
        <v/>
      </c>
      <c r="J1022" s="24" t="str">
        <f aca="false">IF($D1022="","",IFERROR(INDEX(Workers!$C$5:$C$2004,MATCH($D1022,Workers!$A$5:$A$2004,0)),""))</f>
        <v/>
      </c>
      <c r="K1022" s="24" t="str">
        <f aca="false">IF($D1022="","",IFERROR(IF(INDEX(Workers!$D$5:$D$2004,MATCH($D1022,Workers!$A$5:$A$2004,0))=0,"",INDEX(Workers!$D$5:$D$2004,MATCH($D1022,Workers!$A$5:$A$2004,0))),""))</f>
        <v/>
      </c>
      <c r="L1022" s="24" t="str">
        <f aca="false">IF($D1022="","",IFERROR(INDEX(Workers!$E$5:$E$2004,MATCH($D1022,Workers!$A$5:$A$2004,0)),""))</f>
        <v/>
      </c>
      <c r="M1022" s="26" t="str">
        <f aca="false">IF($D1022="","",IFERROR(INDEX(ClientRates!$D$5:$D$500,MATCH($B1022&amp;"|"&amp;$L1022,ClientRates!$A$5:$A$500,0)),0))</f>
        <v/>
      </c>
      <c r="N1022" s="26" t="str">
        <f aca="false">IF($D1022="","",IFERROR(INDEX(ClientRates!$E$5:$E$500,MATCH($B1022&amp;"|"&amp;$L1022,ClientRates!$A$5:$A$500,0)),0))</f>
        <v/>
      </c>
      <c r="O1022" s="26" t="str">
        <f aca="false">IF($D1022="","",F1022*M1022+G1022*N1022)</f>
        <v/>
      </c>
      <c r="P1022" s="26" t="str">
        <f aca="false">IF(OR($D1022="",$J1022&lt;&gt;"Supplier"),"",IFERROR(INDEX(SupplierRates!$D$5:$D$500,MATCH($K1022&amp;"|"&amp;$L1022,SupplierRates!$A$5:$A$500,0)),0))</f>
        <v/>
      </c>
      <c r="Q1022" s="26" t="str">
        <f aca="false">IF(OR($D1022="",$J1022&lt;&gt;"Supplier"),"",IFERROR(INDEX(SupplierRates!$E$5:$E$500,MATCH($K1022&amp;"|"&amp;$L1022,SupplierRates!$A$5:$A$500,0)),0))</f>
        <v/>
      </c>
      <c r="R1022" s="26" t="n">
        <f aca="false">IF(OR($D1022="",$J1022&lt;&gt;"Supplier"),0,F1022*P1022+G1022*Q1022)</f>
        <v>0</v>
      </c>
      <c r="S1022" s="26" t="n">
        <f aca="false">IF(OR($D1022="",$J1022&lt;&gt;"Own"),0,IFERROR((F1022+G1022*Settings!$B$13)*INDEX(Workers!$V$5:$V$2004,MATCH($D1022,Workers!$A$5:$A$2004,0)),0))</f>
        <v>0</v>
      </c>
      <c r="T1022" s="26" t="str">
        <f aca="false">IF($D1022="","",O1022-R1022-S1022)</f>
        <v/>
      </c>
    </row>
    <row r="1023" customFormat="false" ht="15" hidden="false" customHeight="false" outlineLevel="0" collapsed="false">
      <c r="I1023" s="24" t="str">
        <f aca="false">IF($D1023="","",IFERROR(INDEX(Workers!$B$5:$B$2004,MATCH($D1023,Workers!$A$5:$A$2004,0)),"NOT FOUND"))</f>
        <v/>
      </c>
      <c r="J1023" s="24" t="str">
        <f aca="false">IF($D1023="","",IFERROR(INDEX(Workers!$C$5:$C$2004,MATCH($D1023,Workers!$A$5:$A$2004,0)),""))</f>
        <v/>
      </c>
      <c r="K1023" s="24" t="str">
        <f aca="false">IF($D1023="","",IFERROR(IF(INDEX(Workers!$D$5:$D$2004,MATCH($D1023,Workers!$A$5:$A$2004,0))=0,"",INDEX(Workers!$D$5:$D$2004,MATCH($D1023,Workers!$A$5:$A$2004,0))),""))</f>
        <v/>
      </c>
      <c r="L1023" s="24" t="str">
        <f aca="false">IF($D1023="","",IFERROR(INDEX(Workers!$E$5:$E$2004,MATCH($D1023,Workers!$A$5:$A$2004,0)),""))</f>
        <v/>
      </c>
      <c r="M1023" s="26" t="str">
        <f aca="false">IF($D1023="","",IFERROR(INDEX(ClientRates!$D$5:$D$500,MATCH($B1023&amp;"|"&amp;$L1023,ClientRates!$A$5:$A$500,0)),0))</f>
        <v/>
      </c>
      <c r="N1023" s="26" t="str">
        <f aca="false">IF($D1023="","",IFERROR(INDEX(ClientRates!$E$5:$E$500,MATCH($B1023&amp;"|"&amp;$L1023,ClientRates!$A$5:$A$500,0)),0))</f>
        <v/>
      </c>
      <c r="O1023" s="26" t="str">
        <f aca="false">IF($D1023="","",F1023*M1023+G1023*N1023)</f>
        <v/>
      </c>
      <c r="P1023" s="26" t="str">
        <f aca="false">IF(OR($D1023="",$J1023&lt;&gt;"Supplier"),"",IFERROR(INDEX(SupplierRates!$D$5:$D$500,MATCH($K1023&amp;"|"&amp;$L1023,SupplierRates!$A$5:$A$500,0)),0))</f>
        <v/>
      </c>
      <c r="Q1023" s="26" t="str">
        <f aca="false">IF(OR($D1023="",$J1023&lt;&gt;"Supplier"),"",IFERROR(INDEX(SupplierRates!$E$5:$E$500,MATCH($K1023&amp;"|"&amp;$L1023,SupplierRates!$A$5:$A$500,0)),0))</f>
        <v/>
      </c>
      <c r="R1023" s="26" t="n">
        <f aca="false">IF(OR($D1023="",$J1023&lt;&gt;"Supplier"),0,F1023*P1023+G1023*Q1023)</f>
        <v>0</v>
      </c>
      <c r="S1023" s="26" t="n">
        <f aca="false">IF(OR($D1023="",$J1023&lt;&gt;"Own"),0,IFERROR((F1023+G1023*Settings!$B$13)*INDEX(Workers!$V$5:$V$2004,MATCH($D1023,Workers!$A$5:$A$2004,0)),0))</f>
        <v>0</v>
      </c>
      <c r="T1023" s="26" t="str">
        <f aca="false">IF($D1023="","",O1023-R1023-S1023)</f>
        <v/>
      </c>
    </row>
    <row r="1024" customFormat="false" ht="15" hidden="false" customHeight="false" outlineLevel="0" collapsed="false">
      <c r="I1024" s="24" t="str">
        <f aca="false">IF($D1024="","",IFERROR(INDEX(Workers!$B$5:$B$2004,MATCH($D1024,Workers!$A$5:$A$2004,0)),"NOT FOUND"))</f>
        <v/>
      </c>
      <c r="J1024" s="24" t="str">
        <f aca="false">IF($D1024="","",IFERROR(INDEX(Workers!$C$5:$C$2004,MATCH($D1024,Workers!$A$5:$A$2004,0)),""))</f>
        <v/>
      </c>
      <c r="K1024" s="24" t="str">
        <f aca="false">IF($D1024="","",IFERROR(IF(INDEX(Workers!$D$5:$D$2004,MATCH($D1024,Workers!$A$5:$A$2004,0))=0,"",INDEX(Workers!$D$5:$D$2004,MATCH($D1024,Workers!$A$5:$A$2004,0))),""))</f>
        <v/>
      </c>
      <c r="L1024" s="24" t="str">
        <f aca="false">IF($D1024="","",IFERROR(INDEX(Workers!$E$5:$E$2004,MATCH($D1024,Workers!$A$5:$A$2004,0)),""))</f>
        <v/>
      </c>
      <c r="M1024" s="26" t="str">
        <f aca="false">IF($D1024="","",IFERROR(INDEX(ClientRates!$D$5:$D$500,MATCH($B1024&amp;"|"&amp;$L1024,ClientRates!$A$5:$A$500,0)),0))</f>
        <v/>
      </c>
      <c r="N1024" s="26" t="str">
        <f aca="false">IF($D1024="","",IFERROR(INDEX(ClientRates!$E$5:$E$500,MATCH($B1024&amp;"|"&amp;$L1024,ClientRates!$A$5:$A$500,0)),0))</f>
        <v/>
      </c>
      <c r="O1024" s="26" t="str">
        <f aca="false">IF($D1024="","",F1024*M1024+G1024*N1024)</f>
        <v/>
      </c>
      <c r="P1024" s="26" t="str">
        <f aca="false">IF(OR($D1024="",$J1024&lt;&gt;"Supplier"),"",IFERROR(INDEX(SupplierRates!$D$5:$D$500,MATCH($K1024&amp;"|"&amp;$L1024,SupplierRates!$A$5:$A$500,0)),0))</f>
        <v/>
      </c>
      <c r="Q1024" s="26" t="str">
        <f aca="false">IF(OR($D1024="",$J1024&lt;&gt;"Supplier"),"",IFERROR(INDEX(SupplierRates!$E$5:$E$500,MATCH($K1024&amp;"|"&amp;$L1024,SupplierRates!$A$5:$A$500,0)),0))</f>
        <v/>
      </c>
      <c r="R1024" s="26" t="n">
        <f aca="false">IF(OR($D1024="",$J1024&lt;&gt;"Supplier"),0,F1024*P1024+G1024*Q1024)</f>
        <v>0</v>
      </c>
      <c r="S1024" s="26" t="n">
        <f aca="false">IF(OR($D1024="",$J1024&lt;&gt;"Own"),0,IFERROR((F1024+G1024*Settings!$B$13)*INDEX(Workers!$V$5:$V$2004,MATCH($D1024,Workers!$A$5:$A$2004,0)),0))</f>
        <v>0</v>
      </c>
      <c r="T1024" s="26" t="str">
        <f aca="false">IF($D1024="","",O1024-R1024-S1024)</f>
        <v/>
      </c>
    </row>
    <row r="1025" customFormat="false" ht="15" hidden="false" customHeight="false" outlineLevel="0" collapsed="false">
      <c r="I1025" s="24" t="str">
        <f aca="false">IF($D1025="","",IFERROR(INDEX(Workers!$B$5:$B$2004,MATCH($D1025,Workers!$A$5:$A$2004,0)),"NOT FOUND"))</f>
        <v/>
      </c>
      <c r="J1025" s="24" t="str">
        <f aca="false">IF($D1025="","",IFERROR(INDEX(Workers!$C$5:$C$2004,MATCH($D1025,Workers!$A$5:$A$2004,0)),""))</f>
        <v/>
      </c>
      <c r="K1025" s="24" t="str">
        <f aca="false">IF($D1025="","",IFERROR(IF(INDEX(Workers!$D$5:$D$2004,MATCH($D1025,Workers!$A$5:$A$2004,0))=0,"",INDEX(Workers!$D$5:$D$2004,MATCH($D1025,Workers!$A$5:$A$2004,0))),""))</f>
        <v/>
      </c>
      <c r="L1025" s="24" t="str">
        <f aca="false">IF($D1025="","",IFERROR(INDEX(Workers!$E$5:$E$2004,MATCH($D1025,Workers!$A$5:$A$2004,0)),""))</f>
        <v/>
      </c>
      <c r="M1025" s="26" t="str">
        <f aca="false">IF($D1025="","",IFERROR(INDEX(ClientRates!$D$5:$D$500,MATCH($B1025&amp;"|"&amp;$L1025,ClientRates!$A$5:$A$500,0)),0))</f>
        <v/>
      </c>
      <c r="N1025" s="26" t="str">
        <f aca="false">IF($D1025="","",IFERROR(INDEX(ClientRates!$E$5:$E$500,MATCH($B1025&amp;"|"&amp;$L1025,ClientRates!$A$5:$A$500,0)),0))</f>
        <v/>
      </c>
      <c r="O1025" s="26" t="str">
        <f aca="false">IF($D1025="","",F1025*M1025+G1025*N1025)</f>
        <v/>
      </c>
      <c r="P1025" s="26" t="str">
        <f aca="false">IF(OR($D1025="",$J1025&lt;&gt;"Supplier"),"",IFERROR(INDEX(SupplierRates!$D$5:$D$500,MATCH($K1025&amp;"|"&amp;$L1025,SupplierRates!$A$5:$A$500,0)),0))</f>
        <v/>
      </c>
      <c r="Q1025" s="26" t="str">
        <f aca="false">IF(OR($D1025="",$J1025&lt;&gt;"Supplier"),"",IFERROR(INDEX(SupplierRates!$E$5:$E$500,MATCH($K1025&amp;"|"&amp;$L1025,SupplierRates!$A$5:$A$500,0)),0))</f>
        <v/>
      </c>
      <c r="R1025" s="26" t="n">
        <f aca="false">IF(OR($D1025="",$J1025&lt;&gt;"Supplier"),0,F1025*P1025+G1025*Q1025)</f>
        <v>0</v>
      </c>
      <c r="S1025" s="26" t="n">
        <f aca="false">IF(OR($D1025="",$J1025&lt;&gt;"Own"),0,IFERROR((F1025+G1025*Settings!$B$13)*INDEX(Workers!$V$5:$V$2004,MATCH($D1025,Workers!$A$5:$A$2004,0)),0))</f>
        <v>0</v>
      </c>
      <c r="T1025" s="26" t="str">
        <f aca="false">IF($D1025="","",O1025-R1025-S1025)</f>
        <v/>
      </c>
    </row>
    <row r="1026" customFormat="false" ht="15" hidden="false" customHeight="false" outlineLevel="0" collapsed="false">
      <c r="I1026" s="24" t="str">
        <f aca="false">IF($D1026="","",IFERROR(INDEX(Workers!$B$5:$B$2004,MATCH($D1026,Workers!$A$5:$A$2004,0)),"NOT FOUND"))</f>
        <v/>
      </c>
      <c r="J1026" s="24" t="str">
        <f aca="false">IF($D1026="","",IFERROR(INDEX(Workers!$C$5:$C$2004,MATCH($D1026,Workers!$A$5:$A$2004,0)),""))</f>
        <v/>
      </c>
      <c r="K1026" s="24" t="str">
        <f aca="false">IF($D1026="","",IFERROR(IF(INDEX(Workers!$D$5:$D$2004,MATCH($D1026,Workers!$A$5:$A$2004,0))=0,"",INDEX(Workers!$D$5:$D$2004,MATCH($D1026,Workers!$A$5:$A$2004,0))),""))</f>
        <v/>
      </c>
      <c r="L1026" s="24" t="str">
        <f aca="false">IF($D1026="","",IFERROR(INDEX(Workers!$E$5:$E$2004,MATCH($D1026,Workers!$A$5:$A$2004,0)),""))</f>
        <v/>
      </c>
      <c r="M1026" s="26" t="str">
        <f aca="false">IF($D1026="","",IFERROR(INDEX(ClientRates!$D$5:$D$500,MATCH($B1026&amp;"|"&amp;$L1026,ClientRates!$A$5:$A$500,0)),0))</f>
        <v/>
      </c>
      <c r="N1026" s="26" t="str">
        <f aca="false">IF($D1026="","",IFERROR(INDEX(ClientRates!$E$5:$E$500,MATCH($B1026&amp;"|"&amp;$L1026,ClientRates!$A$5:$A$500,0)),0))</f>
        <v/>
      </c>
      <c r="O1026" s="26" t="str">
        <f aca="false">IF($D1026="","",F1026*M1026+G1026*N1026)</f>
        <v/>
      </c>
      <c r="P1026" s="26" t="str">
        <f aca="false">IF(OR($D1026="",$J1026&lt;&gt;"Supplier"),"",IFERROR(INDEX(SupplierRates!$D$5:$D$500,MATCH($K1026&amp;"|"&amp;$L1026,SupplierRates!$A$5:$A$500,0)),0))</f>
        <v/>
      </c>
      <c r="Q1026" s="26" t="str">
        <f aca="false">IF(OR($D1026="",$J1026&lt;&gt;"Supplier"),"",IFERROR(INDEX(SupplierRates!$E$5:$E$500,MATCH($K1026&amp;"|"&amp;$L1026,SupplierRates!$A$5:$A$500,0)),0))</f>
        <v/>
      </c>
      <c r="R1026" s="26" t="n">
        <f aca="false">IF(OR($D1026="",$J1026&lt;&gt;"Supplier"),0,F1026*P1026+G1026*Q1026)</f>
        <v>0</v>
      </c>
      <c r="S1026" s="26" t="n">
        <f aca="false">IF(OR($D1026="",$J1026&lt;&gt;"Own"),0,IFERROR((F1026+G1026*Settings!$B$13)*INDEX(Workers!$V$5:$V$2004,MATCH($D1026,Workers!$A$5:$A$2004,0)),0))</f>
        <v>0</v>
      </c>
      <c r="T1026" s="26" t="str">
        <f aca="false">IF($D1026="","",O1026-R1026-S1026)</f>
        <v/>
      </c>
    </row>
    <row r="1027" customFormat="false" ht="15" hidden="false" customHeight="false" outlineLevel="0" collapsed="false">
      <c r="I1027" s="24" t="str">
        <f aca="false">IF($D1027="","",IFERROR(INDEX(Workers!$B$5:$B$2004,MATCH($D1027,Workers!$A$5:$A$2004,0)),"NOT FOUND"))</f>
        <v/>
      </c>
      <c r="J1027" s="24" t="str">
        <f aca="false">IF($D1027="","",IFERROR(INDEX(Workers!$C$5:$C$2004,MATCH($D1027,Workers!$A$5:$A$2004,0)),""))</f>
        <v/>
      </c>
      <c r="K1027" s="24" t="str">
        <f aca="false">IF($D1027="","",IFERROR(IF(INDEX(Workers!$D$5:$D$2004,MATCH($D1027,Workers!$A$5:$A$2004,0))=0,"",INDEX(Workers!$D$5:$D$2004,MATCH($D1027,Workers!$A$5:$A$2004,0))),""))</f>
        <v/>
      </c>
      <c r="L1027" s="24" t="str">
        <f aca="false">IF($D1027="","",IFERROR(INDEX(Workers!$E$5:$E$2004,MATCH($D1027,Workers!$A$5:$A$2004,0)),""))</f>
        <v/>
      </c>
      <c r="M1027" s="26" t="str">
        <f aca="false">IF($D1027="","",IFERROR(INDEX(ClientRates!$D$5:$D$500,MATCH($B1027&amp;"|"&amp;$L1027,ClientRates!$A$5:$A$500,0)),0))</f>
        <v/>
      </c>
      <c r="N1027" s="26" t="str">
        <f aca="false">IF($D1027="","",IFERROR(INDEX(ClientRates!$E$5:$E$500,MATCH($B1027&amp;"|"&amp;$L1027,ClientRates!$A$5:$A$500,0)),0))</f>
        <v/>
      </c>
      <c r="O1027" s="26" t="str">
        <f aca="false">IF($D1027="","",F1027*M1027+G1027*N1027)</f>
        <v/>
      </c>
      <c r="P1027" s="26" t="str">
        <f aca="false">IF(OR($D1027="",$J1027&lt;&gt;"Supplier"),"",IFERROR(INDEX(SupplierRates!$D$5:$D$500,MATCH($K1027&amp;"|"&amp;$L1027,SupplierRates!$A$5:$A$500,0)),0))</f>
        <v/>
      </c>
      <c r="Q1027" s="26" t="str">
        <f aca="false">IF(OR($D1027="",$J1027&lt;&gt;"Supplier"),"",IFERROR(INDEX(SupplierRates!$E$5:$E$500,MATCH($K1027&amp;"|"&amp;$L1027,SupplierRates!$A$5:$A$500,0)),0))</f>
        <v/>
      </c>
      <c r="R1027" s="26" t="n">
        <f aca="false">IF(OR($D1027="",$J1027&lt;&gt;"Supplier"),0,F1027*P1027+G1027*Q1027)</f>
        <v>0</v>
      </c>
      <c r="S1027" s="26" t="n">
        <f aca="false">IF(OR($D1027="",$J1027&lt;&gt;"Own"),0,IFERROR((F1027+G1027*Settings!$B$13)*INDEX(Workers!$V$5:$V$2004,MATCH($D1027,Workers!$A$5:$A$2004,0)),0))</f>
        <v>0</v>
      </c>
      <c r="T1027" s="26" t="str">
        <f aca="false">IF($D1027="","",O1027-R1027-S1027)</f>
        <v/>
      </c>
    </row>
    <row r="1028" customFormat="false" ht="15" hidden="false" customHeight="false" outlineLevel="0" collapsed="false">
      <c r="I1028" s="24" t="str">
        <f aca="false">IF($D1028="","",IFERROR(INDEX(Workers!$B$5:$B$2004,MATCH($D1028,Workers!$A$5:$A$2004,0)),"NOT FOUND"))</f>
        <v/>
      </c>
      <c r="J1028" s="24" t="str">
        <f aca="false">IF($D1028="","",IFERROR(INDEX(Workers!$C$5:$C$2004,MATCH($D1028,Workers!$A$5:$A$2004,0)),""))</f>
        <v/>
      </c>
      <c r="K1028" s="24" t="str">
        <f aca="false">IF($D1028="","",IFERROR(IF(INDEX(Workers!$D$5:$D$2004,MATCH($D1028,Workers!$A$5:$A$2004,0))=0,"",INDEX(Workers!$D$5:$D$2004,MATCH($D1028,Workers!$A$5:$A$2004,0))),""))</f>
        <v/>
      </c>
      <c r="L1028" s="24" t="str">
        <f aca="false">IF($D1028="","",IFERROR(INDEX(Workers!$E$5:$E$2004,MATCH($D1028,Workers!$A$5:$A$2004,0)),""))</f>
        <v/>
      </c>
      <c r="M1028" s="26" t="str">
        <f aca="false">IF($D1028="","",IFERROR(INDEX(ClientRates!$D$5:$D$500,MATCH($B1028&amp;"|"&amp;$L1028,ClientRates!$A$5:$A$500,0)),0))</f>
        <v/>
      </c>
      <c r="N1028" s="26" t="str">
        <f aca="false">IF($D1028="","",IFERROR(INDEX(ClientRates!$E$5:$E$500,MATCH($B1028&amp;"|"&amp;$L1028,ClientRates!$A$5:$A$500,0)),0))</f>
        <v/>
      </c>
      <c r="O1028" s="26" t="str">
        <f aca="false">IF($D1028="","",F1028*M1028+G1028*N1028)</f>
        <v/>
      </c>
      <c r="P1028" s="26" t="str">
        <f aca="false">IF(OR($D1028="",$J1028&lt;&gt;"Supplier"),"",IFERROR(INDEX(SupplierRates!$D$5:$D$500,MATCH($K1028&amp;"|"&amp;$L1028,SupplierRates!$A$5:$A$500,0)),0))</f>
        <v/>
      </c>
      <c r="Q1028" s="26" t="str">
        <f aca="false">IF(OR($D1028="",$J1028&lt;&gt;"Supplier"),"",IFERROR(INDEX(SupplierRates!$E$5:$E$500,MATCH($K1028&amp;"|"&amp;$L1028,SupplierRates!$A$5:$A$500,0)),0))</f>
        <v/>
      </c>
      <c r="R1028" s="26" t="n">
        <f aca="false">IF(OR($D1028="",$J1028&lt;&gt;"Supplier"),0,F1028*P1028+G1028*Q1028)</f>
        <v>0</v>
      </c>
      <c r="S1028" s="26" t="n">
        <f aca="false">IF(OR($D1028="",$J1028&lt;&gt;"Own"),0,IFERROR((F1028+G1028*Settings!$B$13)*INDEX(Workers!$V$5:$V$2004,MATCH($D1028,Workers!$A$5:$A$2004,0)),0))</f>
        <v>0</v>
      </c>
      <c r="T1028" s="26" t="str">
        <f aca="false">IF($D1028="","",O1028-R1028-S1028)</f>
        <v/>
      </c>
    </row>
    <row r="1029" customFormat="false" ht="15" hidden="false" customHeight="false" outlineLevel="0" collapsed="false">
      <c r="I1029" s="24" t="str">
        <f aca="false">IF($D1029="","",IFERROR(INDEX(Workers!$B$5:$B$2004,MATCH($D1029,Workers!$A$5:$A$2004,0)),"NOT FOUND"))</f>
        <v/>
      </c>
      <c r="J1029" s="24" t="str">
        <f aca="false">IF($D1029="","",IFERROR(INDEX(Workers!$C$5:$C$2004,MATCH($D1029,Workers!$A$5:$A$2004,0)),""))</f>
        <v/>
      </c>
      <c r="K1029" s="24" t="str">
        <f aca="false">IF($D1029="","",IFERROR(IF(INDEX(Workers!$D$5:$D$2004,MATCH($D1029,Workers!$A$5:$A$2004,0))=0,"",INDEX(Workers!$D$5:$D$2004,MATCH($D1029,Workers!$A$5:$A$2004,0))),""))</f>
        <v/>
      </c>
      <c r="L1029" s="24" t="str">
        <f aca="false">IF($D1029="","",IFERROR(INDEX(Workers!$E$5:$E$2004,MATCH($D1029,Workers!$A$5:$A$2004,0)),""))</f>
        <v/>
      </c>
      <c r="M1029" s="26" t="str">
        <f aca="false">IF($D1029="","",IFERROR(INDEX(ClientRates!$D$5:$D$500,MATCH($B1029&amp;"|"&amp;$L1029,ClientRates!$A$5:$A$500,0)),0))</f>
        <v/>
      </c>
      <c r="N1029" s="26" t="str">
        <f aca="false">IF($D1029="","",IFERROR(INDEX(ClientRates!$E$5:$E$500,MATCH($B1029&amp;"|"&amp;$L1029,ClientRates!$A$5:$A$500,0)),0))</f>
        <v/>
      </c>
      <c r="O1029" s="26" t="str">
        <f aca="false">IF($D1029="","",F1029*M1029+G1029*N1029)</f>
        <v/>
      </c>
      <c r="P1029" s="26" t="str">
        <f aca="false">IF(OR($D1029="",$J1029&lt;&gt;"Supplier"),"",IFERROR(INDEX(SupplierRates!$D$5:$D$500,MATCH($K1029&amp;"|"&amp;$L1029,SupplierRates!$A$5:$A$500,0)),0))</f>
        <v/>
      </c>
      <c r="Q1029" s="26" t="str">
        <f aca="false">IF(OR($D1029="",$J1029&lt;&gt;"Supplier"),"",IFERROR(INDEX(SupplierRates!$E$5:$E$500,MATCH($K1029&amp;"|"&amp;$L1029,SupplierRates!$A$5:$A$500,0)),0))</f>
        <v/>
      </c>
      <c r="R1029" s="26" t="n">
        <f aca="false">IF(OR($D1029="",$J1029&lt;&gt;"Supplier"),0,F1029*P1029+G1029*Q1029)</f>
        <v>0</v>
      </c>
      <c r="S1029" s="26" t="n">
        <f aca="false">IF(OR($D1029="",$J1029&lt;&gt;"Own"),0,IFERROR((F1029+G1029*Settings!$B$13)*INDEX(Workers!$V$5:$V$2004,MATCH($D1029,Workers!$A$5:$A$2004,0)),0))</f>
        <v>0</v>
      </c>
      <c r="T1029" s="26" t="str">
        <f aca="false">IF($D1029="","",O1029-R1029-S1029)</f>
        <v/>
      </c>
    </row>
    <row r="1030" customFormat="false" ht="15" hidden="false" customHeight="false" outlineLevel="0" collapsed="false">
      <c r="I1030" s="24" t="str">
        <f aca="false">IF($D1030="","",IFERROR(INDEX(Workers!$B$5:$B$2004,MATCH($D1030,Workers!$A$5:$A$2004,0)),"NOT FOUND"))</f>
        <v/>
      </c>
      <c r="J1030" s="24" t="str">
        <f aca="false">IF($D1030="","",IFERROR(INDEX(Workers!$C$5:$C$2004,MATCH($D1030,Workers!$A$5:$A$2004,0)),""))</f>
        <v/>
      </c>
      <c r="K1030" s="24" t="str">
        <f aca="false">IF($D1030="","",IFERROR(IF(INDEX(Workers!$D$5:$D$2004,MATCH($D1030,Workers!$A$5:$A$2004,0))=0,"",INDEX(Workers!$D$5:$D$2004,MATCH($D1030,Workers!$A$5:$A$2004,0))),""))</f>
        <v/>
      </c>
      <c r="L1030" s="24" t="str">
        <f aca="false">IF($D1030="","",IFERROR(INDEX(Workers!$E$5:$E$2004,MATCH($D1030,Workers!$A$5:$A$2004,0)),""))</f>
        <v/>
      </c>
      <c r="M1030" s="26" t="str">
        <f aca="false">IF($D1030="","",IFERROR(INDEX(ClientRates!$D$5:$D$500,MATCH($B1030&amp;"|"&amp;$L1030,ClientRates!$A$5:$A$500,0)),0))</f>
        <v/>
      </c>
      <c r="N1030" s="26" t="str">
        <f aca="false">IF($D1030="","",IFERROR(INDEX(ClientRates!$E$5:$E$500,MATCH($B1030&amp;"|"&amp;$L1030,ClientRates!$A$5:$A$500,0)),0))</f>
        <v/>
      </c>
      <c r="O1030" s="26" t="str">
        <f aca="false">IF($D1030="","",F1030*M1030+G1030*N1030)</f>
        <v/>
      </c>
      <c r="P1030" s="26" t="str">
        <f aca="false">IF(OR($D1030="",$J1030&lt;&gt;"Supplier"),"",IFERROR(INDEX(SupplierRates!$D$5:$D$500,MATCH($K1030&amp;"|"&amp;$L1030,SupplierRates!$A$5:$A$500,0)),0))</f>
        <v/>
      </c>
      <c r="Q1030" s="26" t="str">
        <f aca="false">IF(OR($D1030="",$J1030&lt;&gt;"Supplier"),"",IFERROR(INDEX(SupplierRates!$E$5:$E$500,MATCH($K1030&amp;"|"&amp;$L1030,SupplierRates!$A$5:$A$500,0)),0))</f>
        <v/>
      </c>
      <c r="R1030" s="26" t="n">
        <f aca="false">IF(OR($D1030="",$J1030&lt;&gt;"Supplier"),0,F1030*P1030+G1030*Q1030)</f>
        <v>0</v>
      </c>
      <c r="S1030" s="26" t="n">
        <f aca="false">IF(OR($D1030="",$J1030&lt;&gt;"Own"),0,IFERROR((F1030+G1030*Settings!$B$13)*INDEX(Workers!$V$5:$V$2004,MATCH($D1030,Workers!$A$5:$A$2004,0)),0))</f>
        <v>0</v>
      </c>
      <c r="T1030" s="26" t="str">
        <f aca="false">IF($D1030="","",O1030-R1030-S1030)</f>
        <v/>
      </c>
    </row>
    <row r="1031" customFormat="false" ht="15" hidden="false" customHeight="false" outlineLevel="0" collapsed="false">
      <c r="I1031" s="24" t="str">
        <f aca="false">IF($D1031="","",IFERROR(INDEX(Workers!$B$5:$B$2004,MATCH($D1031,Workers!$A$5:$A$2004,0)),"NOT FOUND"))</f>
        <v/>
      </c>
      <c r="J1031" s="24" t="str">
        <f aca="false">IF($D1031="","",IFERROR(INDEX(Workers!$C$5:$C$2004,MATCH($D1031,Workers!$A$5:$A$2004,0)),""))</f>
        <v/>
      </c>
      <c r="K1031" s="24" t="str">
        <f aca="false">IF($D1031="","",IFERROR(IF(INDEX(Workers!$D$5:$D$2004,MATCH($D1031,Workers!$A$5:$A$2004,0))=0,"",INDEX(Workers!$D$5:$D$2004,MATCH($D1031,Workers!$A$5:$A$2004,0))),""))</f>
        <v/>
      </c>
      <c r="L1031" s="24" t="str">
        <f aca="false">IF($D1031="","",IFERROR(INDEX(Workers!$E$5:$E$2004,MATCH($D1031,Workers!$A$5:$A$2004,0)),""))</f>
        <v/>
      </c>
      <c r="M1031" s="26" t="str">
        <f aca="false">IF($D1031="","",IFERROR(INDEX(ClientRates!$D$5:$D$500,MATCH($B1031&amp;"|"&amp;$L1031,ClientRates!$A$5:$A$500,0)),0))</f>
        <v/>
      </c>
      <c r="N1031" s="26" t="str">
        <f aca="false">IF($D1031="","",IFERROR(INDEX(ClientRates!$E$5:$E$500,MATCH($B1031&amp;"|"&amp;$L1031,ClientRates!$A$5:$A$500,0)),0))</f>
        <v/>
      </c>
      <c r="O1031" s="26" t="str">
        <f aca="false">IF($D1031="","",F1031*M1031+G1031*N1031)</f>
        <v/>
      </c>
      <c r="P1031" s="26" t="str">
        <f aca="false">IF(OR($D1031="",$J1031&lt;&gt;"Supplier"),"",IFERROR(INDEX(SupplierRates!$D$5:$D$500,MATCH($K1031&amp;"|"&amp;$L1031,SupplierRates!$A$5:$A$500,0)),0))</f>
        <v/>
      </c>
      <c r="Q1031" s="26" t="str">
        <f aca="false">IF(OR($D1031="",$J1031&lt;&gt;"Supplier"),"",IFERROR(INDEX(SupplierRates!$E$5:$E$500,MATCH($K1031&amp;"|"&amp;$L1031,SupplierRates!$A$5:$A$500,0)),0))</f>
        <v/>
      </c>
      <c r="R1031" s="26" t="n">
        <f aca="false">IF(OR($D1031="",$J1031&lt;&gt;"Supplier"),0,F1031*P1031+G1031*Q1031)</f>
        <v>0</v>
      </c>
      <c r="S1031" s="26" t="n">
        <f aca="false">IF(OR($D1031="",$J1031&lt;&gt;"Own"),0,IFERROR((F1031+G1031*Settings!$B$13)*INDEX(Workers!$V$5:$V$2004,MATCH($D1031,Workers!$A$5:$A$2004,0)),0))</f>
        <v>0</v>
      </c>
      <c r="T1031" s="26" t="str">
        <f aca="false">IF($D1031="","",O1031-R1031-S1031)</f>
        <v/>
      </c>
    </row>
    <row r="1032" customFormat="false" ht="15" hidden="false" customHeight="false" outlineLevel="0" collapsed="false">
      <c r="I1032" s="24" t="str">
        <f aca="false">IF($D1032="","",IFERROR(INDEX(Workers!$B$5:$B$2004,MATCH($D1032,Workers!$A$5:$A$2004,0)),"NOT FOUND"))</f>
        <v/>
      </c>
      <c r="J1032" s="24" t="str">
        <f aca="false">IF($D1032="","",IFERROR(INDEX(Workers!$C$5:$C$2004,MATCH($D1032,Workers!$A$5:$A$2004,0)),""))</f>
        <v/>
      </c>
      <c r="K1032" s="24" t="str">
        <f aca="false">IF($D1032="","",IFERROR(IF(INDEX(Workers!$D$5:$D$2004,MATCH($D1032,Workers!$A$5:$A$2004,0))=0,"",INDEX(Workers!$D$5:$D$2004,MATCH($D1032,Workers!$A$5:$A$2004,0))),""))</f>
        <v/>
      </c>
      <c r="L1032" s="24" t="str">
        <f aca="false">IF($D1032="","",IFERROR(INDEX(Workers!$E$5:$E$2004,MATCH($D1032,Workers!$A$5:$A$2004,0)),""))</f>
        <v/>
      </c>
      <c r="M1032" s="26" t="str">
        <f aca="false">IF($D1032="","",IFERROR(INDEX(ClientRates!$D$5:$D$500,MATCH($B1032&amp;"|"&amp;$L1032,ClientRates!$A$5:$A$500,0)),0))</f>
        <v/>
      </c>
      <c r="N1032" s="26" t="str">
        <f aca="false">IF($D1032="","",IFERROR(INDEX(ClientRates!$E$5:$E$500,MATCH($B1032&amp;"|"&amp;$L1032,ClientRates!$A$5:$A$500,0)),0))</f>
        <v/>
      </c>
      <c r="O1032" s="26" t="str">
        <f aca="false">IF($D1032="","",F1032*M1032+G1032*N1032)</f>
        <v/>
      </c>
      <c r="P1032" s="26" t="str">
        <f aca="false">IF(OR($D1032="",$J1032&lt;&gt;"Supplier"),"",IFERROR(INDEX(SupplierRates!$D$5:$D$500,MATCH($K1032&amp;"|"&amp;$L1032,SupplierRates!$A$5:$A$500,0)),0))</f>
        <v/>
      </c>
      <c r="Q1032" s="26" t="str">
        <f aca="false">IF(OR($D1032="",$J1032&lt;&gt;"Supplier"),"",IFERROR(INDEX(SupplierRates!$E$5:$E$500,MATCH($K1032&amp;"|"&amp;$L1032,SupplierRates!$A$5:$A$500,0)),0))</f>
        <v/>
      </c>
      <c r="R1032" s="26" t="n">
        <f aca="false">IF(OR($D1032="",$J1032&lt;&gt;"Supplier"),0,F1032*P1032+G1032*Q1032)</f>
        <v>0</v>
      </c>
      <c r="S1032" s="26" t="n">
        <f aca="false">IF(OR($D1032="",$J1032&lt;&gt;"Own"),0,IFERROR((F1032+G1032*Settings!$B$13)*INDEX(Workers!$V$5:$V$2004,MATCH($D1032,Workers!$A$5:$A$2004,0)),0))</f>
        <v>0</v>
      </c>
      <c r="T1032" s="26" t="str">
        <f aca="false">IF($D1032="","",O1032-R1032-S1032)</f>
        <v/>
      </c>
    </row>
    <row r="1033" customFormat="false" ht="15" hidden="false" customHeight="false" outlineLevel="0" collapsed="false">
      <c r="I1033" s="24" t="str">
        <f aca="false">IF($D1033="","",IFERROR(INDEX(Workers!$B$5:$B$2004,MATCH($D1033,Workers!$A$5:$A$2004,0)),"NOT FOUND"))</f>
        <v/>
      </c>
      <c r="J1033" s="24" t="str">
        <f aca="false">IF($D1033="","",IFERROR(INDEX(Workers!$C$5:$C$2004,MATCH($D1033,Workers!$A$5:$A$2004,0)),""))</f>
        <v/>
      </c>
      <c r="K1033" s="24" t="str">
        <f aca="false">IF($D1033="","",IFERROR(IF(INDEX(Workers!$D$5:$D$2004,MATCH($D1033,Workers!$A$5:$A$2004,0))=0,"",INDEX(Workers!$D$5:$D$2004,MATCH($D1033,Workers!$A$5:$A$2004,0))),""))</f>
        <v/>
      </c>
      <c r="L1033" s="24" t="str">
        <f aca="false">IF($D1033="","",IFERROR(INDEX(Workers!$E$5:$E$2004,MATCH($D1033,Workers!$A$5:$A$2004,0)),""))</f>
        <v/>
      </c>
      <c r="M1033" s="26" t="str">
        <f aca="false">IF($D1033="","",IFERROR(INDEX(ClientRates!$D$5:$D$500,MATCH($B1033&amp;"|"&amp;$L1033,ClientRates!$A$5:$A$500,0)),0))</f>
        <v/>
      </c>
      <c r="N1033" s="26" t="str">
        <f aca="false">IF($D1033="","",IFERROR(INDEX(ClientRates!$E$5:$E$500,MATCH($B1033&amp;"|"&amp;$L1033,ClientRates!$A$5:$A$500,0)),0))</f>
        <v/>
      </c>
      <c r="O1033" s="26" t="str">
        <f aca="false">IF($D1033="","",F1033*M1033+G1033*N1033)</f>
        <v/>
      </c>
      <c r="P1033" s="26" t="str">
        <f aca="false">IF(OR($D1033="",$J1033&lt;&gt;"Supplier"),"",IFERROR(INDEX(SupplierRates!$D$5:$D$500,MATCH($K1033&amp;"|"&amp;$L1033,SupplierRates!$A$5:$A$500,0)),0))</f>
        <v/>
      </c>
      <c r="Q1033" s="26" t="str">
        <f aca="false">IF(OR($D1033="",$J1033&lt;&gt;"Supplier"),"",IFERROR(INDEX(SupplierRates!$E$5:$E$500,MATCH($K1033&amp;"|"&amp;$L1033,SupplierRates!$A$5:$A$500,0)),0))</f>
        <v/>
      </c>
      <c r="R1033" s="26" t="n">
        <f aca="false">IF(OR($D1033="",$J1033&lt;&gt;"Supplier"),0,F1033*P1033+G1033*Q1033)</f>
        <v>0</v>
      </c>
      <c r="S1033" s="26" t="n">
        <f aca="false">IF(OR($D1033="",$J1033&lt;&gt;"Own"),0,IFERROR((F1033+G1033*Settings!$B$13)*INDEX(Workers!$V$5:$V$2004,MATCH($D1033,Workers!$A$5:$A$2004,0)),0))</f>
        <v>0</v>
      </c>
      <c r="T1033" s="26" t="str">
        <f aca="false">IF($D1033="","",O1033-R1033-S1033)</f>
        <v/>
      </c>
    </row>
    <row r="1034" customFormat="false" ht="15" hidden="false" customHeight="false" outlineLevel="0" collapsed="false">
      <c r="I1034" s="24" t="str">
        <f aca="false">IF($D1034="","",IFERROR(INDEX(Workers!$B$5:$B$2004,MATCH($D1034,Workers!$A$5:$A$2004,0)),"NOT FOUND"))</f>
        <v/>
      </c>
      <c r="J1034" s="24" t="str">
        <f aca="false">IF($D1034="","",IFERROR(INDEX(Workers!$C$5:$C$2004,MATCH($D1034,Workers!$A$5:$A$2004,0)),""))</f>
        <v/>
      </c>
      <c r="K1034" s="24" t="str">
        <f aca="false">IF($D1034="","",IFERROR(IF(INDEX(Workers!$D$5:$D$2004,MATCH($D1034,Workers!$A$5:$A$2004,0))=0,"",INDEX(Workers!$D$5:$D$2004,MATCH($D1034,Workers!$A$5:$A$2004,0))),""))</f>
        <v/>
      </c>
      <c r="L1034" s="24" t="str">
        <f aca="false">IF($D1034="","",IFERROR(INDEX(Workers!$E$5:$E$2004,MATCH($D1034,Workers!$A$5:$A$2004,0)),""))</f>
        <v/>
      </c>
      <c r="M1034" s="26" t="str">
        <f aca="false">IF($D1034="","",IFERROR(INDEX(ClientRates!$D$5:$D$500,MATCH($B1034&amp;"|"&amp;$L1034,ClientRates!$A$5:$A$500,0)),0))</f>
        <v/>
      </c>
      <c r="N1034" s="26" t="str">
        <f aca="false">IF($D1034="","",IFERROR(INDEX(ClientRates!$E$5:$E$500,MATCH($B1034&amp;"|"&amp;$L1034,ClientRates!$A$5:$A$500,0)),0))</f>
        <v/>
      </c>
      <c r="O1034" s="26" t="str">
        <f aca="false">IF($D1034="","",F1034*M1034+G1034*N1034)</f>
        <v/>
      </c>
      <c r="P1034" s="26" t="str">
        <f aca="false">IF(OR($D1034="",$J1034&lt;&gt;"Supplier"),"",IFERROR(INDEX(SupplierRates!$D$5:$D$500,MATCH($K1034&amp;"|"&amp;$L1034,SupplierRates!$A$5:$A$500,0)),0))</f>
        <v/>
      </c>
      <c r="Q1034" s="26" t="str">
        <f aca="false">IF(OR($D1034="",$J1034&lt;&gt;"Supplier"),"",IFERROR(INDEX(SupplierRates!$E$5:$E$500,MATCH($K1034&amp;"|"&amp;$L1034,SupplierRates!$A$5:$A$500,0)),0))</f>
        <v/>
      </c>
      <c r="R1034" s="26" t="n">
        <f aca="false">IF(OR($D1034="",$J1034&lt;&gt;"Supplier"),0,F1034*P1034+G1034*Q1034)</f>
        <v>0</v>
      </c>
      <c r="S1034" s="26" t="n">
        <f aca="false">IF(OR($D1034="",$J1034&lt;&gt;"Own"),0,IFERROR((F1034+G1034*Settings!$B$13)*INDEX(Workers!$V$5:$V$2004,MATCH($D1034,Workers!$A$5:$A$2004,0)),0))</f>
        <v>0</v>
      </c>
      <c r="T1034" s="26" t="str">
        <f aca="false">IF($D1034="","",O1034-R1034-S1034)</f>
        <v/>
      </c>
    </row>
    <row r="1035" customFormat="false" ht="15" hidden="false" customHeight="false" outlineLevel="0" collapsed="false">
      <c r="I1035" s="24" t="str">
        <f aca="false">IF($D1035="","",IFERROR(INDEX(Workers!$B$5:$B$2004,MATCH($D1035,Workers!$A$5:$A$2004,0)),"NOT FOUND"))</f>
        <v/>
      </c>
      <c r="J1035" s="24" t="str">
        <f aca="false">IF($D1035="","",IFERROR(INDEX(Workers!$C$5:$C$2004,MATCH($D1035,Workers!$A$5:$A$2004,0)),""))</f>
        <v/>
      </c>
      <c r="K1035" s="24" t="str">
        <f aca="false">IF($D1035="","",IFERROR(IF(INDEX(Workers!$D$5:$D$2004,MATCH($D1035,Workers!$A$5:$A$2004,0))=0,"",INDEX(Workers!$D$5:$D$2004,MATCH($D1035,Workers!$A$5:$A$2004,0))),""))</f>
        <v/>
      </c>
      <c r="L1035" s="24" t="str">
        <f aca="false">IF($D1035="","",IFERROR(INDEX(Workers!$E$5:$E$2004,MATCH($D1035,Workers!$A$5:$A$2004,0)),""))</f>
        <v/>
      </c>
      <c r="M1035" s="26" t="str">
        <f aca="false">IF($D1035="","",IFERROR(INDEX(ClientRates!$D$5:$D$500,MATCH($B1035&amp;"|"&amp;$L1035,ClientRates!$A$5:$A$500,0)),0))</f>
        <v/>
      </c>
      <c r="N1035" s="26" t="str">
        <f aca="false">IF($D1035="","",IFERROR(INDEX(ClientRates!$E$5:$E$500,MATCH($B1035&amp;"|"&amp;$L1035,ClientRates!$A$5:$A$500,0)),0))</f>
        <v/>
      </c>
      <c r="O1035" s="26" t="str">
        <f aca="false">IF($D1035="","",F1035*M1035+G1035*N1035)</f>
        <v/>
      </c>
      <c r="P1035" s="26" t="str">
        <f aca="false">IF(OR($D1035="",$J1035&lt;&gt;"Supplier"),"",IFERROR(INDEX(SupplierRates!$D$5:$D$500,MATCH($K1035&amp;"|"&amp;$L1035,SupplierRates!$A$5:$A$500,0)),0))</f>
        <v/>
      </c>
      <c r="Q1035" s="26" t="str">
        <f aca="false">IF(OR($D1035="",$J1035&lt;&gt;"Supplier"),"",IFERROR(INDEX(SupplierRates!$E$5:$E$500,MATCH($K1035&amp;"|"&amp;$L1035,SupplierRates!$A$5:$A$500,0)),0))</f>
        <v/>
      </c>
      <c r="R1035" s="26" t="n">
        <f aca="false">IF(OR($D1035="",$J1035&lt;&gt;"Supplier"),0,F1035*P1035+G1035*Q1035)</f>
        <v>0</v>
      </c>
      <c r="S1035" s="26" t="n">
        <f aca="false">IF(OR($D1035="",$J1035&lt;&gt;"Own"),0,IFERROR((F1035+G1035*Settings!$B$13)*INDEX(Workers!$V$5:$V$2004,MATCH($D1035,Workers!$A$5:$A$2004,0)),0))</f>
        <v>0</v>
      </c>
      <c r="T1035" s="26" t="str">
        <f aca="false">IF($D1035="","",O1035-R1035-S1035)</f>
        <v/>
      </c>
    </row>
    <row r="1036" customFormat="false" ht="15" hidden="false" customHeight="false" outlineLevel="0" collapsed="false">
      <c r="I1036" s="24" t="str">
        <f aca="false">IF($D1036="","",IFERROR(INDEX(Workers!$B$5:$B$2004,MATCH($D1036,Workers!$A$5:$A$2004,0)),"NOT FOUND"))</f>
        <v/>
      </c>
      <c r="J1036" s="24" t="str">
        <f aca="false">IF($D1036="","",IFERROR(INDEX(Workers!$C$5:$C$2004,MATCH($D1036,Workers!$A$5:$A$2004,0)),""))</f>
        <v/>
      </c>
      <c r="K1036" s="24" t="str">
        <f aca="false">IF($D1036="","",IFERROR(IF(INDEX(Workers!$D$5:$D$2004,MATCH($D1036,Workers!$A$5:$A$2004,0))=0,"",INDEX(Workers!$D$5:$D$2004,MATCH($D1036,Workers!$A$5:$A$2004,0))),""))</f>
        <v/>
      </c>
      <c r="L1036" s="24" t="str">
        <f aca="false">IF($D1036="","",IFERROR(INDEX(Workers!$E$5:$E$2004,MATCH($D1036,Workers!$A$5:$A$2004,0)),""))</f>
        <v/>
      </c>
      <c r="M1036" s="26" t="str">
        <f aca="false">IF($D1036="","",IFERROR(INDEX(ClientRates!$D$5:$D$500,MATCH($B1036&amp;"|"&amp;$L1036,ClientRates!$A$5:$A$500,0)),0))</f>
        <v/>
      </c>
      <c r="N1036" s="26" t="str">
        <f aca="false">IF($D1036="","",IFERROR(INDEX(ClientRates!$E$5:$E$500,MATCH($B1036&amp;"|"&amp;$L1036,ClientRates!$A$5:$A$500,0)),0))</f>
        <v/>
      </c>
      <c r="O1036" s="26" t="str">
        <f aca="false">IF($D1036="","",F1036*M1036+G1036*N1036)</f>
        <v/>
      </c>
      <c r="P1036" s="26" t="str">
        <f aca="false">IF(OR($D1036="",$J1036&lt;&gt;"Supplier"),"",IFERROR(INDEX(SupplierRates!$D$5:$D$500,MATCH($K1036&amp;"|"&amp;$L1036,SupplierRates!$A$5:$A$500,0)),0))</f>
        <v/>
      </c>
      <c r="Q1036" s="26" t="str">
        <f aca="false">IF(OR($D1036="",$J1036&lt;&gt;"Supplier"),"",IFERROR(INDEX(SupplierRates!$E$5:$E$500,MATCH($K1036&amp;"|"&amp;$L1036,SupplierRates!$A$5:$A$500,0)),0))</f>
        <v/>
      </c>
      <c r="R1036" s="26" t="n">
        <f aca="false">IF(OR($D1036="",$J1036&lt;&gt;"Supplier"),0,F1036*P1036+G1036*Q1036)</f>
        <v>0</v>
      </c>
      <c r="S1036" s="26" t="n">
        <f aca="false">IF(OR($D1036="",$J1036&lt;&gt;"Own"),0,IFERROR((F1036+G1036*Settings!$B$13)*INDEX(Workers!$V$5:$V$2004,MATCH($D1036,Workers!$A$5:$A$2004,0)),0))</f>
        <v>0</v>
      </c>
      <c r="T1036" s="26" t="str">
        <f aca="false">IF($D1036="","",O1036-R1036-S1036)</f>
        <v/>
      </c>
    </row>
    <row r="1037" customFormat="false" ht="15" hidden="false" customHeight="false" outlineLevel="0" collapsed="false">
      <c r="I1037" s="24" t="str">
        <f aca="false">IF($D1037="","",IFERROR(INDEX(Workers!$B$5:$B$2004,MATCH($D1037,Workers!$A$5:$A$2004,0)),"NOT FOUND"))</f>
        <v/>
      </c>
      <c r="J1037" s="24" t="str">
        <f aca="false">IF($D1037="","",IFERROR(INDEX(Workers!$C$5:$C$2004,MATCH($D1037,Workers!$A$5:$A$2004,0)),""))</f>
        <v/>
      </c>
      <c r="K1037" s="24" t="str">
        <f aca="false">IF($D1037="","",IFERROR(IF(INDEX(Workers!$D$5:$D$2004,MATCH($D1037,Workers!$A$5:$A$2004,0))=0,"",INDEX(Workers!$D$5:$D$2004,MATCH($D1037,Workers!$A$5:$A$2004,0))),""))</f>
        <v/>
      </c>
      <c r="L1037" s="24" t="str">
        <f aca="false">IF($D1037="","",IFERROR(INDEX(Workers!$E$5:$E$2004,MATCH($D1037,Workers!$A$5:$A$2004,0)),""))</f>
        <v/>
      </c>
      <c r="M1037" s="26" t="str">
        <f aca="false">IF($D1037="","",IFERROR(INDEX(ClientRates!$D$5:$D$500,MATCH($B1037&amp;"|"&amp;$L1037,ClientRates!$A$5:$A$500,0)),0))</f>
        <v/>
      </c>
      <c r="N1037" s="26" t="str">
        <f aca="false">IF($D1037="","",IFERROR(INDEX(ClientRates!$E$5:$E$500,MATCH($B1037&amp;"|"&amp;$L1037,ClientRates!$A$5:$A$500,0)),0))</f>
        <v/>
      </c>
      <c r="O1037" s="26" t="str">
        <f aca="false">IF($D1037="","",F1037*M1037+G1037*N1037)</f>
        <v/>
      </c>
      <c r="P1037" s="26" t="str">
        <f aca="false">IF(OR($D1037="",$J1037&lt;&gt;"Supplier"),"",IFERROR(INDEX(SupplierRates!$D$5:$D$500,MATCH($K1037&amp;"|"&amp;$L1037,SupplierRates!$A$5:$A$500,0)),0))</f>
        <v/>
      </c>
      <c r="Q1037" s="26" t="str">
        <f aca="false">IF(OR($D1037="",$J1037&lt;&gt;"Supplier"),"",IFERROR(INDEX(SupplierRates!$E$5:$E$500,MATCH($K1037&amp;"|"&amp;$L1037,SupplierRates!$A$5:$A$500,0)),0))</f>
        <v/>
      </c>
      <c r="R1037" s="26" t="n">
        <f aca="false">IF(OR($D1037="",$J1037&lt;&gt;"Supplier"),0,F1037*P1037+G1037*Q1037)</f>
        <v>0</v>
      </c>
      <c r="S1037" s="26" t="n">
        <f aca="false">IF(OR($D1037="",$J1037&lt;&gt;"Own"),0,IFERROR((F1037+G1037*Settings!$B$13)*INDEX(Workers!$V$5:$V$2004,MATCH($D1037,Workers!$A$5:$A$2004,0)),0))</f>
        <v>0</v>
      </c>
      <c r="T1037" s="26" t="str">
        <f aca="false">IF($D1037="","",O1037-R1037-S1037)</f>
        <v/>
      </c>
    </row>
    <row r="1038" customFormat="false" ht="15" hidden="false" customHeight="false" outlineLevel="0" collapsed="false">
      <c r="I1038" s="24" t="str">
        <f aca="false">IF($D1038="","",IFERROR(INDEX(Workers!$B$5:$B$2004,MATCH($D1038,Workers!$A$5:$A$2004,0)),"NOT FOUND"))</f>
        <v/>
      </c>
      <c r="J1038" s="24" t="str">
        <f aca="false">IF($D1038="","",IFERROR(INDEX(Workers!$C$5:$C$2004,MATCH($D1038,Workers!$A$5:$A$2004,0)),""))</f>
        <v/>
      </c>
      <c r="K1038" s="24" t="str">
        <f aca="false">IF($D1038="","",IFERROR(IF(INDEX(Workers!$D$5:$D$2004,MATCH($D1038,Workers!$A$5:$A$2004,0))=0,"",INDEX(Workers!$D$5:$D$2004,MATCH($D1038,Workers!$A$5:$A$2004,0))),""))</f>
        <v/>
      </c>
      <c r="L1038" s="24" t="str">
        <f aca="false">IF($D1038="","",IFERROR(INDEX(Workers!$E$5:$E$2004,MATCH($D1038,Workers!$A$5:$A$2004,0)),""))</f>
        <v/>
      </c>
      <c r="M1038" s="26" t="str">
        <f aca="false">IF($D1038="","",IFERROR(INDEX(ClientRates!$D$5:$D$500,MATCH($B1038&amp;"|"&amp;$L1038,ClientRates!$A$5:$A$500,0)),0))</f>
        <v/>
      </c>
      <c r="N1038" s="26" t="str">
        <f aca="false">IF($D1038="","",IFERROR(INDEX(ClientRates!$E$5:$E$500,MATCH($B1038&amp;"|"&amp;$L1038,ClientRates!$A$5:$A$500,0)),0))</f>
        <v/>
      </c>
      <c r="O1038" s="26" t="str">
        <f aca="false">IF($D1038="","",F1038*M1038+G1038*N1038)</f>
        <v/>
      </c>
      <c r="P1038" s="26" t="str">
        <f aca="false">IF(OR($D1038="",$J1038&lt;&gt;"Supplier"),"",IFERROR(INDEX(SupplierRates!$D$5:$D$500,MATCH($K1038&amp;"|"&amp;$L1038,SupplierRates!$A$5:$A$500,0)),0))</f>
        <v/>
      </c>
      <c r="Q1038" s="26" t="str">
        <f aca="false">IF(OR($D1038="",$J1038&lt;&gt;"Supplier"),"",IFERROR(INDEX(SupplierRates!$E$5:$E$500,MATCH($K1038&amp;"|"&amp;$L1038,SupplierRates!$A$5:$A$500,0)),0))</f>
        <v/>
      </c>
      <c r="R1038" s="26" t="n">
        <f aca="false">IF(OR($D1038="",$J1038&lt;&gt;"Supplier"),0,F1038*P1038+G1038*Q1038)</f>
        <v>0</v>
      </c>
      <c r="S1038" s="26" t="n">
        <f aca="false">IF(OR($D1038="",$J1038&lt;&gt;"Own"),0,IFERROR((F1038+G1038*Settings!$B$13)*INDEX(Workers!$V$5:$V$2004,MATCH($D1038,Workers!$A$5:$A$2004,0)),0))</f>
        <v>0</v>
      </c>
      <c r="T1038" s="26" t="str">
        <f aca="false">IF($D1038="","",O1038-R1038-S1038)</f>
        <v/>
      </c>
    </row>
    <row r="1039" customFormat="false" ht="15" hidden="false" customHeight="false" outlineLevel="0" collapsed="false">
      <c r="I1039" s="24" t="str">
        <f aca="false">IF($D1039="","",IFERROR(INDEX(Workers!$B$5:$B$2004,MATCH($D1039,Workers!$A$5:$A$2004,0)),"NOT FOUND"))</f>
        <v/>
      </c>
      <c r="J1039" s="24" t="str">
        <f aca="false">IF($D1039="","",IFERROR(INDEX(Workers!$C$5:$C$2004,MATCH($D1039,Workers!$A$5:$A$2004,0)),""))</f>
        <v/>
      </c>
      <c r="K1039" s="24" t="str">
        <f aca="false">IF($D1039="","",IFERROR(IF(INDEX(Workers!$D$5:$D$2004,MATCH($D1039,Workers!$A$5:$A$2004,0))=0,"",INDEX(Workers!$D$5:$D$2004,MATCH($D1039,Workers!$A$5:$A$2004,0))),""))</f>
        <v/>
      </c>
      <c r="L1039" s="24" t="str">
        <f aca="false">IF($D1039="","",IFERROR(INDEX(Workers!$E$5:$E$2004,MATCH($D1039,Workers!$A$5:$A$2004,0)),""))</f>
        <v/>
      </c>
      <c r="M1039" s="26" t="str">
        <f aca="false">IF($D1039="","",IFERROR(INDEX(ClientRates!$D$5:$D$500,MATCH($B1039&amp;"|"&amp;$L1039,ClientRates!$A$5:$A$500,0)),0))</f>
        <v/>
      </c>
      <c r="N1039" s="26" t="str">
        <f aca="false">IF($D1039="","",IFERROR(INDEX(ClientRates!$E$5:$E$500,MATCH($B1039&amp;"|"&amp;$L1039,ClientRates!$A$5:$A$500,0)),0))</f>
        <v/>
      </c>
      <c r="O1039" s="26" t="str">
        <f aca="false">IF($D1039="","",F1039*M1039+G1039*N1039)</f>
        <v/>
      </c>
      <c r="P1039" s="26" t="str">
        <f aca="false">IF(OR($D1039="",$J1039&lt;&gt;"Supplier"),"",IFERROR(INDEX(SupplierRates!$D$5:$D$500,MATCH($K1039&amp;"|"&amp;$L1039,SupplierRates!$A$5:$A$500,0)),0))</f>
        <v/>
      </c>
      <c r="Q1039" s="26" t="str">
        <f aca="false">IF(OR($D1039="",$J1039&lt;&gt;"Supplier"),"",IFERROR(INDEX(SupplierRates!$E$5:$E$500,MATCH($K1039&amp;"|"&amp;$L1039,SupplierRates!$A$5:$A$500,0)),0))</f>
        <v/>
      </c>
      <c r="R1039" s="26" t="n">
        <f aca="false">IF(OR($D1039="",$J1039&lt;&gt;"Supplier"),0,F1039*P1039+G1039*Q1039)</f>
        <v>0</v>
      </c>
      <c r="S1039" s="26" t="n">
        <f aca="false">IF(OR($D1039="",$J1039&lt;&gt;"Own"),0,IFERROR((F1039+G1039*Settings!$B$13)*INDEX(Workers!$V$5:$V$2004,MATCH($D1039,Workers!$A$5:$A$2004,0)),0))</f>
        <v>0</v>
      </c>
      <c r="T1039" s="26" t="str">
        <f aca="false">IF($D1039="","",O1039-R1039-S1039)</f>
        <v/>
      </c>
    </row>
    <row r="1040" customFormat="false" ht="15" hidden="false" customHeight="false" outlineLevel="0" collapsed="false">
      <c r="I1040" s="24" t="str">
        <f aca="false">IF($D1040="","",IFERROR(INDEX(Workers!$B$5:$B$2004,MATCH($D1040,Workers!$A$5:$A$2004,0)),"NOT FOUND"))</f>
        <v/>
      </c>
      <c r="J1040" s="24" t="str">
        <f aca="false">IF($D1040="","",IFERROR(INDEX(Workers!$C$5:$C$2004,MATCH($D1040,Workers!$A$5:$A$2004,0)),""))</f>
        <v/>
      </c>
      <c r="K1040" s="24" t="str">
        <f aca="false">IF($D1040="","",IFERROR(IF(INDEX(Workers!$D$5:$D$2004,MATCH($D1040,Workers!$A$5:$A$2004,0))=0,"",INDEX(Workers!$D$5:$D$2004,MATCH($D1040,Workers!$A$5:$A$2004,0))),""))</f>
        <v/>
      </c>
      <c r="L1040" s="24" t="str">
        <f aca="false">IF($D1040="","",IFERROR(INDEX(Workers!$E$5:$E$2004,MATCH($D1040,Workers!$A$5:$A$2004,0)),""))</f>
        <v/>
      </c>
      <c r="M1040" s="26" t="str">
        <f aca="false">IF($D1040="","",IFERROR(INDEX(ClientRates!$D$5:$D$500,MATCH($B1040&amp;"|"&amp;$L1040,ClientRates!$A$5:$A$500,0)),0))</f>
        <v/>
      </c>
      <c r="N1040" s="26" t="str">
        <f aca="false">IF($D1040="","",IFERROR(INDEX(ClientRates!$E$5:$E$500,MATCH($B1040&amp;"|"&amp;$L1040,ClientRates!$A$5:$A$500,0)),0))</f>
        <v/>
      </c>
      <c r="O1040" s="26" t="str">
        <f aca="false">IF($D1040="","",F1040*M1040+G1040*N1040)</f>
        <v/>
      </c>
      <c r="P1040" s="26" t="str">
        <f aca="false">IF(OR($D1040="",$J1040&lt;&gt;"Supplier"),"",IFERROR(INDEX(SupplierRates!$D$5:$D$500,MATCH($K1040&amp;"|"&amp;$L1040,SupplierRates!$A$5:$A$500,0)),0))</f>
        <v/>
      </c>
      <c r="Q1040" s="26" t="str">
        <f aca="false">IF(OR($D1040="",$J1040&lt;&gt;"Supplier"),"",IFERROR(INDEX(SupplierRates!$E$5:$E$500,MATCH($K1040&amp;"|"&amp;$L1040,SupplierRates!$A$5:$A$500,0)),0))</f>
        <v/>
      </c>
      <c r="R1040" s="26" t="n">
        <f aca="false">IF(OR($D1040="",$J1040&lt;&gt;"Supplier"),0,F1040*P1040+G1040*Q1040)</f>
        <v>0</v>
      </c>
      <c r="S1040" s="26" t="n">
        <f aca="false">IF(OR($D1040="",$J1040&lt;&gt;"Own"),0,IFERROR((F1040+G1040*Settings!$B$13)*INDEX(Workers!$V$5:$V$2004,MATCH($D1040,Workers!$A$5:$A$2004,0)),0))</f>
        <v>0</v>
      </c>
      <c r="T1040" s="26" t="str">
        <f aca="false">IF($D1040="","",O1040-R1040-S1040)</f>
        <v/>
      </c>
    </row>
    <row r="1041" customFormat="false" ht="15" hidden="false" customHeight="false" outlineLevel="0" collapsed="false">
      <c r="I1041" s="24" t="str">
        <f aca="false">IF($D1041="","",IFERROR(INDEX(Workers!$B$5:$B$2004,MATCH($D1041,Workers!$A$5:$A$2004,0)),"NOT FOUND"))</f>
        <v/>
      </c>
      <c r="J1041" s="24" t="str">
        <f aca="false">IF($D1041="","",IFERROR(INDEX(Workers!$C$5:$C$2004,MATCH($D1041,Workers!$A$5:$A$2004,0)),""))</f>
        <v/>
      </c>
      <c r="K1041" s="24" t="str">
        <f aca="false">IF($D1041="","",IFERROR(IF(INDEX(Workers!$D$5:$D$2004,MATCH($D1041,Workers!$A$5:$A$2004,0))=0,"",INDEX(Workers!$D$5:$D$2004,MATCH($D1041,Workers!$A$5:$A$2004,0))),""))</f>
        <v/>
      </c>
      <c r="L1041" s="24" t="str">
        <f aca="false">IF($D1041="","",IFERROR(INDEX(Workers!$E$5:$E$2004,MATCH($D1041,Workers!$A$5:$A$2004,0)),""))</f>
        <v/>
      </c>
      <c r="M1041" s="26" t="str">
        <f aca="false">IF($D1041="","",IFERROR(INDEX(ClientRates!$D$5:$D$500,MATCH($B1041&amp;"|"&amp;$L1041,ClientRates!$A$5:$A$500,0)),0))</f>
        <v/>
      </c>
      <c r="N1041" s="26" t="str">
        <f aca="false">IF($D1041="","",IFERROR(INDEX(ClientRates!$E$5:$E$500,MATCH($B1041&amp;"|"&amp;$L1041,ClientRates!$A$5:$A$500,0)),0))</f>
        <v/>
      </c>
      <c r="O1041" s="26" t="str">
        <f aca="false">IF($D1041="","",F1041*M1041+G1041*N1041)</f>
        <v/>
      </c>
      <c r="P1041" s="26" t="str">
        <f aca="false">IF(OR($D1041="",$J1041&lt;&gt;"Supplier"),"",IFERROR(INDEX(SupplierRates!$D$5:$D$500,MATCH($K1041&amp;"|"&amp;$L1041,SupplierRates!$A$5:$A$500,0)),0))</f>
        <v/>
      </c>
      <c r="Q1041" s="26" t="str">
        <f aca="false">IF(OR($D1041="",$J1041&lt;&gt;"Supplier"),"",IFERROR(INDEX(SupplierRates!$E$5:$E$500,MATCH($K1041&amp;"|"&amp;$L1041,SupplierRates!$A$5:$A$500,0)),0))</f>
        <v/>
      </c>
      <c r="R1041" s="26" t="n">
        <f aca="false">IF(OR($D1041="",$J1041&lt;&gt;"Supplier"),0,F1041*P1041+G1041*Q1041)</f>
        <v>0</v>
      </c>
      <c r="S1041" s="26" t="n">
        <f aca="false">IF(OR($D1041="",$J1041&lt;&gt;"Own"),0,IFERROR((F1041+G1041*Settings!$B$13)*INDEX(Workers!$V$5:$V$2004,MATCH($D1041,Workers!$A$5:$A$2004,0)),0))</f>
        <v>0</v>
      </c>
      <c r="T1041" s="26" t="str">
        <f aca="false">IF($D1041="","",O1041-R1041-S1041)</f>
        <v/>
      </c>
    </row>
    <row r="1042" customFormat="false" ht="15" hidden="false" customHeight="false" outlineLevel="0" collapsed="false">
      <c r="I1042" s="24" t="str">
        <f aca="false">IF($D1042="","",IFERROR(INDEX(Workers!$B$5:$B$2004,MATCH($D1042,Workers!$A$5:$A$2004,0)),"NOT FOUND"))</f>
        <v/>
      </c>
      <c r="J1042" s="24" t="str">
        <f aca="false">IF($D1042="","",IFERROR(INDEX(Workers!$C$5:$C$2004,MATCH($D1042,Workers!$A$5:$A$2004,0)),""))</f>
        <v/>
      </c>
      <c r="K1042" s="24" t="str">
        <f aca="false">IF($D1042="","",IFERROR(IF(INDEX(Workers!$D$5:$D$2004,MATCH($D1042,Workers!$A$5:$A$2004,0))=0,"",INDEX(Workers!$D$5:$D$2004,MATCH($D1042,Workers!$A$5:$A$2004,0))),""))</f>
        <v/>
      </c>
      <c r="L1042" s="24" t="str">
        <f aca="false">IF($D1042="","",IFERROR(INDEX(Workers!$E$5:$E$2004,MATCH($D1042,Workers!$A$5:$A$2004,0)),""))</f>
        <v/>
      </c>
      <c r="M1042" s="26" t="str">
        <f aca="false">IF($D1042="","",IFERROR(INDEX(ClientRates!$D$5:$D$500,MATCH($B1042&amp;"|"&amp;$L1042,ClientRates!$A$5:$A$500,0)),0))</f>
        <v/>
      </c>
      <c r="N1042" s="26" t="str">
        <f aca="false">IF($D1042="","",IFERROR(INDEX(ClientRates!$E$5:$E$500,MATCH($B1042&amp;"|"&amp;$L1042,ClientRates!$A$5:$A$500,0)),0))</f>
        <v/>
      </c>
      <c r="O1042" s="26" t="str">
        <f aca="false">IF($D1042="","",F1042*M1042+G1042*N1042)</f>
        <v/>
      </c>
      <c r="P1042" s="26" t="str">
        <f aca="false">IF(OR($D1042="",$J1042&lt;&gt;"Supplier"),"",IFERROR(INDEX(SupplierRates!$D$5:$D$500,MATCH($K1042&amp;"|"&amp;$L1042,SupplierRates!$A$5:$A$500,0)),0))</f>
        <v/>
      </c>
      <c r="Q1042" s="26" t="str">
        <f aca="false">IF(OR($D1042="",$J1042&lt;&gt;"Supplier"),"",IFERROR(INDEX(SupplierRates!$E$5:$E$500,MATCH($K1042&amp;"|"&amp;$L1042,SupplierRates!$A$5:$A$500,0)),0))</f>
        <v/>
      </c>
      <c r="R1042" s="26" t="n">
        <f aca="false">IF(OR($D1042="",$J1042&lt;&gt;"Supplier"),0,F1042*P1042+G1042*Q1042)</f>
        <v>0</v>
      </c>
      <c r="S1042" s="26" t="n">
        <f aca="false">IF(OR($D1042="",$J1042&lt;&gt;"Own"),0,IFERROR((F1042+G1042*Settings!$B$13)*INDEX(Workers!$V$5:$V$2004,MATCH($D1042,Workers!$A$5:$A$2004,0)),0))</f>
        <v>0</v>
      </c>
      <c r="T1042" s="26" t="str">
        <f aca="false">IF($D1042="","",O1042-R1042-S1042)</f>
        <v/>
      </c>
    </row>
    <row r="1043" customFormat="false" ht="15" hidden="false" customHeight="false" outlineLevel="0" collapsed="false">
      <c r="I1043" s="24" t="str">
        <f aca="false">IF($D1043="","",IFERROR(INDEX(Workers!$B$5:$B$2004,MATCH($D1043,Workers!$A$5:$A$2004,0)),"NOT FOUND"))</f>
        <v/>
      </c>
      <c r="J1043" s="24" t="str">
        <f aca="false">IF($D1043="","",IFERROR(INDEX(Workers!$C$5:$C$2004,MATCH($D1043,Workers!$A$5:$A$2004,0)),""))</f>
        <v/>
      </c>
      <c r="K1043" s="24" t="str">
        <f aca="false">IF($D1043="","",IFERROR(IF(INDEX(Workers!$D$5:$D$2004,MATCH($D1043,Workers!$A$5:$A$2004,0))=0,"",INDEX(Workers!$D$5:$D$2004,MATCH($D1043,Workers!$A$5:$A$2004,0))),""))</f>
        <v/>
      </c>
      <c r="L1043" s="24" t="str">
        <f aca="false">IF($D1043="","",IFERROR(INDEX(Workers!$E$5:$E$2004,MATCH($D1043,Workers!$A$5:$A$2004,0)),""))</f>
        <v/>
      </c>
      <c r="M1043" s="26" t="str">
        <f aca="false">IF($D1043="","",IFERROR(INDEX(ClientRates!$D$5:$D$500,MATCH($B1043&amp;"|"&amp;$L1043,ClientRates!$A$5:$A$500,0)),0))</f>
        <v/>
      </c>
      <c r="N1043" s="26" t="str">
        <f aca="false">IF($D1043="","",IFERROR(INDEX(ClientRates!$E$5:$E$500,MATCH($B1043&amp;"|"&amp;$L1043,ClientRates!$A$5:$A$500,0)),0))</f>
        <v/>
      </c>
      <c r="O1043" s="26" t="str">
        <f aca="false">IF($D1043="","",F1043*M1043+G1043*N1043)</f>
        <v/>
      </c>
      <c r="P1043" s="26" t="str">
        <f aca="false">IF(OR($D1043="",$J1043&lt;&gt;"Supplier"),"",IFERROR(INDEX(SupplierRates!$D$5:$D$500,MATCH($K1043&amp;"|"&amp;$L1043,SupplierRates!$A$5:$A$500,0)),0))</f>
        <v/>
      </c>
      <c r="Q1043" s="26" t="str">
        <f aca="false">IF(OR($D1043="",$J1043&lt;&gt;"Supplier"),"",IFERROR(INDEX(SupplierRates!$E$5:$E$500,MATCH($K1043&amp;"|"&amp;$L1043,SupplierRates!$A$5:$A$500,0)),0))</f>
        <v/>
      </c>
      <c r="R1043" s="26" t="n">
        <f aca="false">IF(OR($D1043="",$J1043&lt;&gt;"Supplier"),0,F1043*P1043+G1043*Q1043)</f>
        <v>0</v>
      </c>
      <c r="S1043" s="26" t="n">
        <f aca="false">IF(OR($D1043="",$J1043&lt;&gt;"Own"),0,IFERROR((F1043+G1043*Settings!$B$13)*INDEX(Workers!$V$5:$V$2004,MATCH($D1043,Workers!$A$5:$A$2004,0)),0))</f>
        <v>0</v>
      </c>
      <c r="T1043" s="26" t="str">
        <f aca="false">IF($D1043="","",O1043-R1043-S1043)</f>
        <v/>
      </c>
    </row>
    <row r="1044" customFormat="false" ht="15" hidden="false" customHeight="false" outlineLevel="0" collapsed="false">
      <c r="I1044" s="24" t="str">
        <f aca="false">IF($D1044="","",IFERROR(INDEX(Workers!$B$5:$B$2004,MATCH($D1044,Workers!$A$5:$A$2004,0)),"NOT FOUND"))</f>
        <v/>
      </c>
      <c r="J1044" s="24" t="str">
        <f aca="false">IF($D1044="","",IFERROR(INDEX(Workers!$C$5:$C$2004,MATCH($D1044,Workers!$A$5:$A$2004,0)),""))</f>
        <v/>
      </c>
      <c r="K1044" s="24" t="str">
        <f aca="false">IF($D1044="","",IFERROR(IF(INDEX(Workers!$D$5:$D$2004,MATCH($D1044,Workers!$A$5:$A$2004,0))=0,"",INDEX(Workers!$D$5:$D$2004,MATCH($D1044,Workers!$A$5:$A$2004,0))),""))</f>
        <v/>
      </c>
      <c r="L1044" s="24" t="str">
        <f aca="false">IF($D1044="","",IFERROR(INDEX(Workers!$E$5:$E$2004,MATCH($D1044,Workers!$A$5:$A$2004,0)),""))</f>
        <v/>
      </c>
      <c r="M1044" s="26" t="str">
        <f aca="false">IF($D1044="","",IFERROR(INDEX(ClientRates!$D$5:$D$500,MATCH($B1044&amp;"|"&amp;$L1044,ClientRates!$A$5:$A$500,0)),0))</f>
        <v/>
      </c>
      <c r="N1044" s="26" t="str">
        <f aca="false">IF($D1044="","",IFERROR(INDEX(ClientRates!$E$5:$E$500,MATCH($B1044&amp;"|"&amp;$L1044,ClientRates!$A$5:$A$500,0)),0))</f>
        <v/>
      </c>
      <c r="O1044" s="26" t="str">
        <f aca="false">IF($D1044="","",F1044*M1044+G1044*N1044)</f>
        <v/>
      </c>
      <c r="P1044" s="26" t="str">
        <f aca="false">IF(OR($D1044="",$J1044&lt;&gt;"Supplier"),"",IFERROR(INDEX(SupplierRates!$D$5:$D$500,MATCH($K1044&amp;"|"&amp;$L1044,SupplierRates!$A$5:$A$500,0)),0))</f>
        <v/>
      </c>
      <c r="Q1044" s="26" t="str">
        <f aca="false">IF(OR($D1044="",$J1044&lt;&gt;"Supplier"),"",IFERROR(INDEX(SupplierRates!$E$5:$E$500,MATCH($K1044&amp;"|"&amp;$L1044,SupplierRates!$A$5:$A$500,0)),0))</f>
        <v/>
      </c>
      <c r="R1044" s="26" t="n">
        <f aca="false">IF(OR($D1044="",$J1044&lt;&gt;"Supplier"),0,F1044*P1044+G1044*Q1044)</f>
        <v>0</v>
      </c>
      <c r="S1044" s="26" t="n">
        <f aca="false">IF(OR($D1044="",$J1044&lt;&gt;"Own"),0,IFERROR((F1044+G1044*Settings!$B$13)*INDEX(Workers!$V$5:$V$2004,MATCH($D1044,Workers!$A$5:$A$2004,0)),0))</f>
        <v>0</v>
      </c>
      <c r="T1044" s="26" t="str">
        <f aca="false">IF($D1044="","",O1044-R1044-S1044)</f>
        <v/>
      </c>
    </row>
    <row r="1045" customFormat="false" ht="15" hidden="false" customHeight="false" outlineLevel="0" collapsed="false">
      <c r="I1045" s="24" t="str">
        <f aca="false">IF($D1045="","",IFERROR(INDEX(Workers!$B$5:$B$2004,MATCH($D1045,Workers!$A$5:$A$2004,0)),"NOT FOUND"))</f>
        <v/>
      </c>
      <c r="J1045" s="24" t="str">
        <f aca="false">IF($D1045="","",IFERROR(INDEX(Workers!$C$5:$C$2004,MATCH($D1045,Workers!$A$5:$A$2004,0)),""))</f>
        <v/>
      </c>
      <c r="K1045" s="24" t="str">
        <f aca="false">IF($D1045="","",IFERROR(IF(INDEX(Workers!$D$5:$D$2004,MATCH($D1045,Workers!$A$5:$A$2004,0))=0,"",INDEX(Workers!$D$5:$D$2004,MATCH($D1045,Workers!$A$5:$A$2004,0))),""))</f>
        <v/>
      </c>
      <c r="L1045" s="24" t="str">
        <f aca="false">IF($D1045="","",IFERROR(INDEX(Workers!$E$5:$E$2004,MATCH($D1045,Workers!$A$5:$A$2004,0)),""))</f>
        <v/>
      </c>
      <c r="M1045" s="26" t="str">
        <f aca="false">IF($D1045="","",IFERROR(INDEX(ClientRates!$D$5:$D$500,MATCH($B1045&amp;"|"&amp;$L1045,ClientRates!$A$5:$A$500,0)),0))</f>
        <v/>
      </c>
      <c r="N1045" s="26" t="str">
        <f aca="false">IF($D1045="","",IFERROR(INDEX(ClientRates!$E$5:$E$500,MATCH($B1045&amp;"|"&amp;$L1045,ClientRates!$A$5:$A$500,0)),0))</f>
        <v/>
      </c>
      <c r="O1045" s="26" t="str">
        <f aca="false">IF($D1045="","",F1045*M1045+G1045*N1045)</f>
        <v/>
      </c>
      <c r="P1045" s="26" t="str">
        <f aca="false">IF(OR($D1045="",$J1045&lt;&gt;"Supplier"),"",IFERROR(INDEX(SupplierRates!$D$5:$D$500,MATCH($K1045&amp;"|"&amp;$L1045,SupplierRates!$A$5:$A$500,0)),0))</f>
        <v/>
      </c>
      <c r="Q1045" s="26" t="str">
        <f aca="false">IF(OR($D1045="",$J1045&lt;&gt;"Supplier"),"",IFERROR(INDEX(SupplierRates!$E$5:$E$500,MATCH($K1045&amp;"|"&amp;$L1045,SupplierRates!$A$5:$A$500,0)),0))</f>
        <v/>
      </c>
      <c r="R1045" s="26" t="n">
        <f aca="false">IF(OR($D1045="",$J1045&lt;&gt;"Supplier"),0,F1045*P1045+G1045*Q1045)</f>
        <v>0</v>
      </c>
      <c r="S1045" s="26" t="n">
        <f aca="false">IF(OR($D1045="",$J1045&lt;&gt;"Own"),0,IFERROR((F1045+G1045*Settings!$B$13)*INDEX(Workers!$V$5:$V$2004,MATCH($D1045,Workers!$A$5:$A$2004,0)),0))</f>
        <v>0</v>
      </c>
      <c r="T1045" s="26" t="str">
        <f aca="false">IF($D1045="","",O1045-R1045-S1045)</f>
        <v/>
      </c>
    </row>
    <row r="1046" customFormat="false" ht="15" hidden="false" customHeight="false" outlineLevel="0" collapsed="false">
      <c r="I1046" s="24" t="str">
        <f aca="false">IF($D1046="","",IFERROR(INDEX(Workers!$B$5:$B$2004,MATCH($D1046,Workers!$A$5:$A$2004,0)),"NOT FOUND"))</f>
        <v/>
      </c>
      <c r="J1046" s="24" t="str">
        <f aca="false">IF($D1046="","",IFERROR(INDEX(Workers!$C$5:$C$2004,MATCH($D1046,Workers!$A$5:$A$2004,0)),""))</f>
        <v/>
      </c>
      <c r="K1046" s="24" t="str">
        <f aca="false">IF($D1046="","",IFERROR(IF(INDEX(Workers!$D$5:$D$2004,MATCH($D1046,Workers!$A$5:$A$2004,0))=0,"",INDEX(Workers!$D$5:$D$2004,MATCH($D1046,Workers!$A$5:$A$2004,0))),""))</f>
        <v/>
      </c>
      <c r="L1046" s="24" t="str">
        <f aca="false">IF($D1046="","",IFERROR(INDEX(Workers!$E$5:$E$2004,MATCH($D1046,Workers!$A$5:$A$2004,0)),""))</f>
        <v/>
      </c>
      <c r="M1046" s="26" t="str">
        <f aca="false">IF($D1046="","",IFERROR(INDEX(ClientRates!$D$5:$D$500,MATCH($B1046&amp;"|"&amp;$L1046,ClientRates!$A$5:$A$500,0)),0))</f>
        <v/>
      </c>
      <c r="N1046" s="26" t="str">
        <f aca="false">IF($D1046="","",IFERROR(INDEX(ClientRates!$E$5:$E$500,MATCH($B1046&amp;"|"&amp;$L1046,ClientRates!$A$5:$A$500,0)),0))</f>
        <v/>
      </c>
      <c r="O1046" s="26" t="str">
        <f aca="false">IF($D1046="","",F1046*M1046+G1046*N1046)</f>
        <v/>
      </c>
      <c r="P1046" s="26" t="str">
        <f aca="false">IF(OR($D1046="",$J1046&lt;&gt;"Supplier"),"",IFERROR(INDEX(SupplierRates!$D$5:$D$500,MATCH($K1046&amp;"|"&amp;$L1046,SupplierRates!$A$5:$A$500,0)),0))</f>
        <v/>
      </c>
      <c r="Q1046" s="26" t="str">
        <f aca="false">IF(OR($D1046="",$J1046&lt;&gt;"Supplier"),"",IFERROR(INDEX(SupplierRates!$E$5:$E$500,MATCH($K1046&amp;"|"&amp;$L1046,SupplierRates!$A$5:$A$500,0)),0))</f>
        <v/>
      </c>
      <c r="R1046" s="26" t="n">
        <f aca="false">IF(OR($D1046="",$J1046&lt;&gt;"Supplier"),0,F1046*P1046+G1046*Q1046)</f>
        <v>0</v>
      </c>
      <c r="S1046" s="26" t="n">
        <f aca="false">IF(OR($D1046="",$J1046&lt;&gt;"Own"),0,IFERROR((F1046+G1046*Settings!$B$13)*INDEX(Workers!$V$5:$V$2004,MATCH($D1046,Workers!$A$5:$A$2004,0)),0))</f>
        <v>0</v>
      </c>
      <c r="T1046" s="26" t="str">
        <f aca="false">IF($D1046="","",O1046-R1046-S1046)</f>
        <v/>
      </c>
    </row>
    <row r="1047" customFormat="false" ht="15" hidden="false" customHeight="false" outlineLevel="0" collapsed="false">
      <c r="I1047" s="24" t="str">
        <f aca="false">IF($D1047="","",IFERROR(INDEX(Workers!$B$5:$B$2004,MATCH($D1047,Workers!$A$5:$A$2004,0)),"NOT FOUND"))</f>
        <v/>
      </c>
      <c r="J1047" s="24" t="str">
        <f aca="false">IF($D1047="","",IFERROR(INDEX(Workers!$C$5:$C$2004,MATCH($D1047,Workers!$A$5:$A$2004,0)),""))</f>
        <v/>
      </c>
      <c r="K1047" s="24" t="str">
        <f aca="false">IF($D1047="","",IFERROR(IF(INDEX(Workers!$D$5:$D$2004,MATCH($D1047,Workers!$A$5:$A$2004,0))=0,"",INDEX(Workers!$D$5:$D$2004,MATCH($D1047,Workers!$A$5:$A$2004,0))),""))</f>
        <v/>
      </c>
      <c r="L1047" s="24" t="str">
        <f aca="false">IF($D1047="","",IFERROR(INDEX(Workers!$E$5:$E$2004,MATCH($D1047,Workers!$A$5:$A$2004,0)),""))</f>
        <v/>
      </c>
      <c r="M1047" s="26" t="str">
        <f aca="false">IF($D1047="","",IFERROR(INDEX(ClientRates!$D$5:$D$500,MATCH($B1047&amp;"|"&amp;$L1047,ClientRates!$A$5:$A$500,0)),0))</f>
        <v/>
      </c>
      <c r="N1047" s="26" t="str">
        <f aca="false">IF($D1047="","",IFERROR(INDEX(ClientRates!$E$5:$E$500,MATCH($B1047&amp;"|"&amp;$L1047,ClientRates!$A$5:$A$500,0)),0))</f>
        <v/>
      </c>
      <c r="O1047" s="26" t="str">
        <f aca="false">IF($D1047="","",F1047*M1047+G1047*N1047)</f>
        <v/>
      </c>
      <c r="P1047" s="26" t="str">
        <f aca="false">IF(OR($D1047="",$J1047&lt;&gt;"Supplier"),"",IFERROR(INDEX(SupplierRates!$D$5:$D$500,MATCH($K1047&amp;"|"&amp;$L1047,SupplierRates!$A$5:$A$500,0)),0))</f>
        <v/>
      </c>
      <c r="Q1047" s="26" t="str">
        <f aca="false">IF(OR($D1047="",$J1047&lt;&gt;"Supplier"),"",IFERROR(INDEX(SupplierRates!$E$5:$E$500,MATCH($K1047&amp;"|"&amp;$L1047,SupplierRates!$A$5:$A$500,0)),0))</f>
        <v/>
      </c>
      <c r="R1047" s="26" t="n">
        <f aca="false">IF(OR($D1047="",$J1047&lt;&gt;"Supplier"),0,F1047*P1047+G1047*Q1047)</f>
        <v>0</v>
      </c>
      <c r="S1047" s="26" t="n">
        <f aca="false">IF(OR($D1047="",$J1047&lt;&gt;"Own"),0,IFERROR((F1047+G1047*Settings!$B$13)*INDEX(Workers!$V$5:$V$2004,MATCH($D1047,Workers!$A$5:$A$2004,0)),0))</f>
        <v>0</v>
      </c>
      <c r="T1047" s="26" t="str">
        <f aca="false">IF($D1047="","",O1047-R1047-S1047)</f>
        <v/>
      </c>
    </row>
    <row r="1048" customFormat="false" ht="15" hidden="false" customHeight="false" outlineLevel="0" collapsed="false">
      <c r="I1048" s="24" t="str">
        <f aca="false">IF($D1048="","",IFERROR(INDEX(Workers!$B$5:$B$2004,MATCH($D1048,Workers!$A$5:$A$2004,0)),"NOT FOUND"))</f>
        <v/>
      </c>
      <c r="J1048" s="24" t="str">
        <f aca="false">IF($D1048="","",IFERROR(INDEX(Workers!$C$5:$C$2004,MATCH($D1048,Workers!$A$5:$A$2004,0)),""))</f>
        <v/>
      </c>
      <c r="K1048" s="24" t="str">
        <f aca="false">IF($D1048="","",IFERROR(IF(INDEX(Workers!$D$5:$D$2004,MATCH($D1048,Workers!$A$5:$A$2004,0))=0,"",INDEX(Workers!$D$5:$D$2004,MATCH($D1048,Workers!$A$5:$A$2004,0))),""))</f>
        <v/>
      </c>
      <c r="L1048" s="24" t="str">
        <f aca="false">IF($D1048="","",IFERROR(INDEX(Workers!$E$5:$E$2004,MATCH($D1048,Workers!$A$5:$A$2004,0)),""))</f>
        <v/>
      </c>
      <c r="M1048" s="26" t="str">
        <f aca="false">IF($D1048="","",IFERROR(INDEX(ClientRates!$D$5:$D$500,MATCH($B1048&amp;"|"&amp;$L1048,ClientRates!$A$5:$A$500,0)),0))</f>
        <v/>
      </c>
      <c r="N1048" s="26" t="str">
        <f aca="false">IF($D1048="","",IFERROR(INDEX(ClientRates!$E$5:$E$500,MATCH($B1048&amp;"|"&amp;$L1048,ClientRates!$A$5:$A$500,0)),0))</f>
        <v/>
      </c>
      <c r="O1048" s="26" t="str">
        <f aca="false">IF($D1048="","",F1048*M1048+G1048*N1048)</f>
        <v/>
      </c>
      <c r="P1048" s="26" t="str">
        <f aca="false">IF(OR($D1048="",$J1048&lt;&gt;"Supplier"),"",IFERROR(INDEX(SupplierRates!$D$5:$D$500,MATCH($K1048&amp;"|"&amp;$L1048,SupplierRates!$A$5:$A$500,0)),0))</f>
        <v/>
      </c>
      <c r="Q1048" s="26" t="str">
        <f aca="false">IF(OR($D1048="",$J1048&lt;&gt;"Supplier"),"",IFERROR(INDEX(SupplierRates!$E$5:$E$500,MATCH($K1048&amp;"|"&amp;$L1048,SupplierRates!$A$5:$A$500,0)),0))</f>
        <v/>
      </c>
      <c r="R1048" s="26" t="n">
        <f aca="false">IF(OR($D1048="",$J1048&lt;&gt;"Supplier"),0,F1048*P1048+G1048*Q1048)</f>
        <v>0</v>
      </c>
      <c r="S1048" s="26" t="n">
        <f aca="false">IF(OR($D1048="",$J1048&lt;&gt;"Own"),0,IFERROR((F1048+G1048*Settings!$B$13)*INDEX(Workers!$V$5:$V$2004,MATCH($D1048,Workers!$A$5:$A$2004,0)),0))</f>
        <v>0</v>
      </c>
      <c r="T1048" s="26" t="str">
        <f aca="false">IF($D1048="","",O1048-R1048-S1048)</f>
        <v/>
      </c>
    </row>
    <row r="1049" customFormat="false" ht="15" hidden="false" customHeight="false" outlineLevel="0" collapsed="false">
      <c r="I1049" s="24" t="str">
        <f aca="false">IF($D1049="","",IFERROR(INDEX(Workers!$B$5:$B$2004,MATCH($D1049,Workers!$A$5:$A$2004,0)),"NOT FOUND"))</f>
        <v/>
      </c>
      <c r="J1049" s="24" t="str">
        <f aca="false">IF($D1049="","",IFERROR(INDEX(Workers!$C$5:$C$2004,MATCH($D1049,Workers!$A$5:$A$2004,0)),""))</f>
        <v/>
      </c>
      <c r="K1049" s="24" t="str">
        <f aca="false">IF($D1049="","",IFERROR(IF(INDEX(Workers!$D$5:$D$2004,MATCH($D1049,Workers!$A$5:$A$2004,0))=0,"",INDEX(Workers!$D$5:$D$2004,MATCH($D1049,Workers!$A$5:$A$2004,0))),""))</f>
        <v/>
      </c>
      <c r="L1049" s="24" t="str">
        <f aca="false">IF($D1049="","",IFERROR(INDEX(Workers!$E$5:$E$2004,MATCH($D1049,Workers!$A$5:$A$2004,0)),""))</f>
        <v/>
      </c>
      <c r="M1049" s="26" t="str">
        <f aca="false">IF($D1049="","",IFERROR(INDEX(ClientRates!$D$5:$D$500,MATCH($B1049&amp;"|"&amp;$L1049,ClientRates!$A$5:$A$500,0)),0))</f>
        <v/>
      </c>
      <c r="N1049" s="26" t="str">
        <f aca="false">IF($D1049="","",IFERROR(INDEX(ClientRates!$E$5:$E$500,MATCH($B1049&amp;"|"&amp;$L1049,ClientRates!$A$5:$A$500,0)),0))</f>
        <v/>
      </c>
      <c r="O1049" s="26" t="str">
        <f aca="false">IF($D1049="","",F1049*M1049+G1049*N1049)</f>
        <v/>
      </c>
      <c r="P1049" s="26" t="str">
        <f aca="false">IF(OR($D1049="",$J1049&lt;&gt;"Supplier"),"",IFERROR(INDEX(SupplierRates!$D$5:$D$500,MATCH($K1049&amp;"|"&amp;$L1049,SupplierRates!$A$5:$A$500,0)),0))</f>
        <v/>
      </c>
      <c r="Q1049" s="26" t="str">
        <f aca="false">IF(OR($D1049="",$J1049&lt;&gt;"Supplier"),"",IFERROR(INDEX(SupplierRates!$E$5:$E$500,MATCH($K1049&amp;"|"&amp;$L1049,SupplierRates!$A$5:$A$500,0)),0))</f>
        <v/>
      </c>
      <c r="R1049" s="26" t="n">
        <f aca="false">IF(OR($D1049="",$J1049&lt;&gt;"Supplier"),0,F1049*P1049+G1049*Q1049)</f>
        <v>0</v>
      </c>
      <c r="S1049" s="26" t="n">
        <f aca="false">IF(OR($D1049="",$J1049&lt;&gt;"Own"),0,IFERROR((F1049+G1049*Settings!$B$13)*INDEX(Workers!$V$5:$V$2004,MATCH($D1049,Workers!$A$5:$A$2004,0)),0))</f>
        <v>0</v>
      </c>
      <c r="T1049" s="26" t="str">
        <f aca="false">IF($D1049="","",O1049-R1049-S1049)</f>
        <v/>
      </c>
    </row>
    <row r="1050" customFormat="false" ht="15" hidden="false" customHeight="false" outlineLevel="0" collapsed="false">
      <c r="I1050" s="24" t="str">
        <f aca="false">IF($D1050="","",IFERROR(INDEX(Workers!$B$5:$B$2004,MATCH($D1050,Workers!$A$5:$A$2004,0)),"NOT FOUND"))</f>
        <v/>
      </c>
      <c r="J1050" s="24" t="str">
        <f aca="false">IF($D1050="","",IFERROR(INDEX(Workers!$C$5:$C$2004,MATCH($D1050,Workers!$A$5:$A$2004,0)),""))</f>
        <v/>
      </c>
      <c r="K1050" s="24" t="str">
        <f aca="false">IF($D1050="","",IFERROR(IF(INDEX(Workers!$D$5:$D$2004,MATCH($D1050,Workers!$A$5:$A$2004,0))=0,"",INDEX(Workers!$D$5:$D$2004,MATCH($D1050,Workers!$A$5:$A$2004,0))),""))</f>
        <v/>
      </c>
      <c r="L1050" s="24" t="str">
        <f aca="false">IF($D1050="","",IFERROR(INDEX(Workers!$E$5:$E$2004,MATCH($D1050,Workers!$A$5:$A$2004,0)),""))</f>
        <v/>
      </c>
      <c r="M1050" s="26" t="str">
        <f aca="false">IF($D1050="","",IFERROR(INDEX(ClientRates!$D$5:$D$500,MATCH($B1050&amp;"|"&amp;$L1050,ClientRates!$A$5:$A$500,0)),0))</f>
        <v/>
      </c>
      <c r="N1050" s="26" t="str">
        <f aca="false">IF($D1050="","",IFERROR(INDEX(ClientRates!$E$5:$E$500,MATCH($B1050&amp;"|"&amp;$L1050,ClientRates!$A$5:$A$500,0)),0))</f>
        <v/>
      </c>
      <c r="O1050" s="26" t="str">
        <f aca="false">IF($D1050="","",F1050*M1050+G1050*N1050)</f>
        <v/>
      </c>
      <c r="P1050" s="26" t="str">
        <f aca="false">IF(OR($D1050="",$J1050&lt;&gt;"Supplier"),"",IFERROR(INDEX(SupplierRates!$D$5:$D$500,MATCH($K1050&amp;"|"&amp;$L1050,SupplierRates!$A$5:$A$500,0)),0))</f>
        <v/>
      </c>
      <c r="Q1050" s="26" t="str">
        <f aca="false">IF(OR($D1050="",$J1050&lt;&gt;"Supplier"),"",IFERROR(INDEX(SupplierRates!$E$5:$E$500,MATCH($K1050&amp;"|"&amp;$L1050,SupplierRates!$A$5:$A$500,0)),0))</f>
        <v/>
      </c>
      <c r="R1050" s="26" t="n">
        <f aca="false">IF(OR($D1050="",$J1050&lt;&gt;"Supplier"),0,F1050*P1050+G1050*Q1050)</f>
        <v>0</v>
      </c>
      <c r="S1050" s="26" t="n">
        <f aca="false">IF(OR($D1050="",$J1050&lt;&gt;"Own"),0,IFERROR((F1050+G1050*Settings!$B$13)*INDEX(Workers!$V$5:$V$2004,MATCH($D1050,Workers!$A$5:$A$2004,0)),0))</f>
        <v>0</v>
      </c>
      <c r="T1050" s="26" t="str">
        <f aca="false">IF($D1050="","",O1050-R1050-S1050)</f>
        <v/>
      </c>
    </row>
    <row r="1051" customFormat="false" ht="15" hidden="false" customHeight="false" outlineLevel="0" collapsed="false">
      <c r="I1051" s="24" t="str">
        <f aca="false">IF($D1051="","",IFERROR(INDEX(Workers!$B$5:$B$2004,MATCH($D1051,Workers!$A$5:$A$2004,0)),"NOT FOUND"))</f>
        <v/>
      </c>
      <c r="J1051" s="24" t="str">
        <f aca="false">IF($D1051="","",IFERROR(INDEX(Workers!$C$5:$C$2004,MATCH($D1051,Workers!$A$5:$A$2004,0)),""))</f>
        <v/>
      </c>
      <c r="K1051" s="24" t="str">
        <f aca="false">IF($D1051="","",IFERROR(IF(INDEX(Workers!$D$5:$D$2004,MATCH($D1051,Workers!$A$5:$A$2004,0))=0,"",INDEX(Workers!$D$5:$D$2004,MATCH($D1051,Workers!$A$5:$A$2004,0))),""))</f>
        <v/>
      </c>
      <c r="L1051" s="24" t="str">
        <f aca="false">IF($D1051="","",IFERROR(INDEX(Workers!$E$5:$E$2004,MATCH($D1051,Workers!$A$5:$A$2004,0)),""))</f>
        <v/>
      </c>
      <c r="M1051" s="26" t="str">
        <f aca="false">IF($D1051="","",IFERROR(INDEX(ClientRates!$D$5:$D$500,MATCH($B1051&amp;"|"&amp;$L1051,ClientRates!$A$5:$A$500,0)),0))</f>
        <v/>
      </c>
      <c r="N1051" s="26" t="str">
        <f aca="false">IF($D1051="","",IFERROR(INDEX(ClientRates!$E$5:$E$500,MATCH($B1051&amp;"|"&amp;$L1051,ClientRates!$A$5:$A$500,0)),0))</f>
        <v/>
      </c>
      <c r="O1051" s="26" t="str">
        <f aca="false">IF($D1051="","",F1051*M1051+G1051*N1051)</f>
        <v/>
      </c>
      <c r="P1051" s="26" t="str">
        <f aca="false">IF(OR($D1051="",$J1051&lt;&gt;"Supplier"),"",IFERROR(INDEX(SupplierRates!$D$5:$D$500,MATCH($K1051&amp;"|"&amp;$L1051,SupplierRates!$A$5:$A$500,0)),0))</f>
        <v/>
      </c>
      <c r="Q1051" s="26" t="str">
        <f aca="false">IF(OR($D1051="",$J1051&lt;&gt;"Supplier"),"",IFERROR(INDEX(SupplierRates!$E$5:$E$500,MATCH($K1051&amp;"|"&amp;$L1051,SupplierRates!$A$5:$A$500,0)),0))</f>
        <v/>
      </c>
      <c r="R1051" s="26" t="n">
        <f aca="false">IF(OR($D1051="",$J1051&lt;&gt;"Supplier"),0,F1051*P1051+G1051*Q1051)</f>
        <v>0</v>
      </c>
      <c r="S1051" s="26" t="n">
        <f aca="false">IF(OR($D1051="",$J1051&lt;&gt;"Own"),0,IFERROR((F1051+G1051*Settings!$B$13)*INDEX(Workers!$V$5:$V$2004,MATCH($D1051,Workers!$A$5:$A$2004,0)),0))</f>
        <v>0</v>
      </c>
      <c r="T1051" s="26" t="str">
        <f aca="false">IF($D1051="","",O1051-R1051-S1051)</f>
        <v/>
      </c>
    </row>
    <row r="1052" customFormat="false" ht="15" hidden="false" customHeight="false" outlineLevel="0" collapsed="false">
      <c r="I1052" s="24" t="str">
        <f aca="false">IF($D1052="","",IFERROR(INDEX(Workers!$B$5:$B$2004,MATCH($D1052,Workers!$A$5:$A$2004,0)),"NOT FOUND"))</f>
        <v/>
      </c>
      <c r="J1052" s="24" t="str">
        <f aca="false">IF($D1052="","",IFERROR(INDEX(Workers!$C$5:$C$2004,MATCH($D1052,Workers!$A$5:$A$2004,0)),""))</f>
        <v/>
      </c>
      <c r="K1052" s="24" t="str">
        <f aca="false">IF($D1052="","",IFERROR(IF(INDEX(Workers!$D$5:$D$2004,MATCH($D1052,Workers!$A$5:$A$2004,0))=0,"",INDEX(Workers!$D$5:$D$2004,MATCH($D1052,Workers!$A$5:$A$2004,0))),""))</f>
        <v/>
      </c>
      <c r="L1052" s="24" t="str">
        <f aca="false">IF($D1052="","",IFERROR(INDEX(Workers!$E$5:$E$2004,MATCH($D1052,Workers!$A$5:$A$2004,0)),""))</f>
        <v/>
      </c>
      <c r="M1052" s="26" t="str">
        <f aca="false">IF($D1052="","",IFERROR(INDEX(ClientRates!$D$5:$D$500,MATCH($B1052&amp;"|"&amp;$L1052,ClientRates!$A$5:$A$500,0)),0))</f>
        <v/>
      </c>
      <c r="N1052" s="26" t="str">
        <f aca="false">IF($D1052="","",IFERROR(INDEX(ClientRates!$E$5:$E$500,MATCH($B1052&amp;"|"&amp;$L1052,ClientRates!$A$5:$A$500,0)),0))</f>
        <v/>
      </c>
      <c r="O1052" s="26" t="str">
        <f aca="false">IF($D1052="","",F1052*M1052+G1052*N1052)</f>
        <v/>
      </c>
      <c r="P1052" s="26" t="str">
        <f aca="false">IF(OR($D1052="",$J1052&lt;&gt;"Supplier"),"",IFERROR(INDEX(SupplierRates!$D$5:$D$500,MATCH($K1052&amp;"|"&amp;$L1052,SupplierRates!$A$5:$A$500,0)),0))</f>
        <v/>
      </c>
      <c r="Q1052" s="26" t="str">
        <f aca="false">IF(OR($D1052="",$J1052&lt;&gt;"Supplier"),"",IFERROR(INDEX(SupplierRates!$E$5:$E$500,MATCH($K1052&amp;"|"&amp;$L1052,SupplierRates!$A$5:$A$500,0)),0))</f>
        <v/>
      </c>
      <c r="R1052" s="26" t="n">
        <f aca="false">IF(OR($D1052="",$J1052&lt;&gt;"Supplier"),0,F1052*P1052+G1052*Q1052)</f>
        <v>0</v>
      </c>
      <c r="S1052" s="26" t="n">
        <f aca="false">IF(OR($D1052="",$J1052&lt;&gt;"Own"),0,IFERROR((F1052+G1052*Settings!$B$13)*INDEX(Workers!$V$5:$V$2004,MATCH($D1052,Workers!$A$5:$A$2004,0)),0))</f>
        <v>0</v>
      </c>
      <c r="T1052" s="26" t="str">
        <f aca="false">IF($D1052="","",O1052-R1052-S1052)</f>
        <v/>
      </c>
    </row>
    <row r="1053" customFormat="false" ht="15" hidden="false" customHeight="false" outlineLevel="0" collapsed="false">
      <c r="I1053" s="24" t="str">
        <f aca="false">IF($D1053="","",IFERROR(INDEX(Workers!$B$5:$B$2004,MATCH($D1053,Workers!$A$5:$A$2004,0)),"NOT FOUND"))</f>
        <v/>
      </c>
      <c r="J1053" s="24" t="str">
        <f aca="false">IF($D1053="","",IFERROR(INDEX(Workers!$C$5:$C$2004,MATCH($D1053,Workers!$A$5:$A$2004,0)),""))</f>
        <v/>
      </c>
      <c r="K1053" s="24" t="str">
        <f aca="false">IF($D1053="","",IFERROR(IF(INDEX(Workers!$D$5:$D$2004,MATCH($D1053,Workers!$A$5:$A$2004,0))=0,"",INDEX(Workers!$D$5:$D$2004,MATCH($D1053,Workers!$A$5:$A$2004,0))),""))</f>
        <v/>
      </c>
      <c r="L1053" s="24" t="str">
        <f aca="false">IF($D1053="","",IFERROR(INDEX(Workers!$E$5:$E$2004,MATCH($D1053,Workers!$A$5:$A$2004,0)),""))</f>
        <v/>
      </c>
      <c r="M1053" s="26" t="str">
        <f aca="false">IF($D1053="","",IFERROR(INDEX(ClientRates!$D$5:$D$500,MATCH($B1053&amp;"|"&amp;$L1053,ClientRates!$A$5:$A$500,0)),0))</f>
        <v/>
      </c>
      <c r="N1053" s="26" t="str">
        <f aca="false">IF($D1053="","",IFERROR(INDEX(ClientRates!$E$5:$E$500,MATCH($B1053&amp;"|"&amp;$L1053,ClientRates!$A$5:$A$500,0)),0))</f>
        <v/>
      </c>
      <c r="O1053" s="26" t="str">
        <f aca="false">IF($D1053="","",F1053*M1053+G1053*N1053)</f>
        <v/>
      </c>
      <c r="P1053" s="26" t="str">
        <f aca="false">IF(OR($D1053="",$J1053&lt;&gt;"Supplier"),"",IFERROR(INDEX(SupplierRates!$D$5:$D$500,MATCH($K1053&amp;"|"&amp;$L1053,SupplierRates!$A$5:$A$500,0)),0))</f>
        <v/>
      </c>
      <c r="Q1053" s="26" t="str">
        <f aca="false">IF(OR($D1053="",$J1053&lt;&gt;"Supplier"),"",IFERROR(INDEX(SupplierRates!$E$5:$E$500,MATCH($K1053&amp;"|"&amp;$L1053,SupplierRates!$A$5:$A$500,0)),0))</f>
        <v/>
      </c>
      <c r="R1053" s="26" t="n">
        <f aca="false">IF(OR($D1053="",$J1053&lt;&gt;"Supplier"),0,F1053*P1053+G1053*Q1053)</f>
        <v>0</v>
      </c>
      <c r="S1053" s="26" t="n">
        <f aca="false">IF(OR($D1053="",$J1053&lt;&gt;"Own"),0,IFERROR((F1053+G1053*Settings!$B$13)*INDEX(Workers!$V$5:$V$2004,MATCH($D1053,Workers!$A$5:$A$2004,0)),0))</f>
        <v>0</v>
      </c>
      <c r="T1053" s="26" t="str">
        <f aca="false">IF($D1053="","",O1053-R1053-S1053)</f>
        <v/>
      </c>
    </row>
    <row r="1054" customFormat="false" ht="15" hidden="false" customHeight="false" outlineLevel="0" collapsed="false">
      <c r="I1054" s="24" t="str">
        <f aca="false">IF($D1054="","",IFERROR(INDEX(Workers!$B$5:$B$2004,MATCH($D1054,Workers!$A$5:$A$2004,0)),"NOT FOUND"))</f>
        <v/>
      </c>
      <c r="J1054" s="24" t="str">
        <f aca="false">IF($D1054="","",IFERROR(INDEX(Workers!$C$5:$C$2004,MATCH($D1054,Workers!$A$5:$A$2004,0)),""))</f>
        <v/>
      </c>
      <c r="K1054" s="24" t="str">
        <f aca="false">IF($D1054="","",IFERROR(IF(INDEX(Workers!$D$5:$D$2004,MATCH($D1054,Workers!$A$5:$A$2004,0))=0,"",INDEX(Workers!$D$5:$D$2004,MATCH($D1054,Workers!$A$5:$A$2004,0))),""))</f>
        <v/>
      </c>
      <c r="L1054" s="24" t="str">
        <f aca="false">IF($D1054="","",IFERROR(INDEX(Workers!$E$5:$E$2004,MATCH($D1054,Workers!$A$5:$A$2004,0)),""))</f>
        <v/>
      </c>
      <c r="M1054" s="26" t="str">
        <f aca="false">IF($D1054="","",IFERROR(INDEX(ClientRates!$D$5:$D$500,MATCH($B1054&amp;"|"&amp;$L1054,ClientRates!$A$5:$A$500,0)),0))</f>
        <v/>
      </c>
      <c r="N1054" s="26" t="str">
        <f aca="false">IF($D1054="","",IFERROR(INDEX(ClientRates!$E$5:$E$500,MATCH($B1054&amp;"|"&amp;$L1054,ClientRates!$A$5:$A$500,0)),0))</f>
        <v/>
      </c>
      <c r="O1054" s="26" t="str">
        <f aca="false">IF($D1054="","",F1054*M1054+G1054*N1054)</f>
        <v/>
      </c>
      <c r="P1054" s="26" t="str">
        <f aca="false">IF(OR($D1054="",$J1054&lt;&gt;"Supplier"),"",IFERROR(INDEX(SupplierRates!$D$5:$D$500,MATCH($K1054&amp;"|"&amp;$L1054,SupplierRates!$A$5:$A$500,0)),0))</f>
        <v/>
      </c>
      <c r="Q1054" s="26" t="str">
        <f aca="false">IF(OR($D1054="",$J1054&lt;&gt;"Supplier"),"",IFERROR(INDEX(SupplierRates!$E$5:$E$500,MATCH($K1054&amp;"|"&amp;$L1054,SupplierRates!$A$5:$A$500,0)),0))</f>
        <v/>
      </c>
      <c r="R1054" s="26" t="n">
        <f aca="false">IF(OR($D1054="",$J1054&lt;&gt;"Supplier"),0,F1054*P1054+G1054*Q1054)</f>
        <v>0</v>
      </c>
      <c r="S1054" s="26" t="n">
        <f aca="false">IF(OR($D1054="",$J1054&lt;&gt;"Own"),0,IFERROR((F1054+G1054*Settings!$B$13)*INDEX(Workers!$V$5:$V$2004,MATCH($D1054,Workers!$A$5:$A$2004,0)),0))</f>
        <v>0</v>
      </c>
      <c r="T1054" s="26" t="str">
        <f aca="false">IF($D1054="","",O1054-R1054-S1054)</f>
        <v/>
      </c>
    </row>
    <row r="1055" customFormat="false" ht="15" hidden="false" customHeight="false" outlineLevel="0" collapsed="false">
      <c r="I1055" s="24" t="str">
        <f aca="false">IF($D1055="","",IFERROR(INDEX(Workers!$B$5:$B$2004,MATCH($D1055,Workers!$A$5:$A$2004,0)),"NOT FOUND"))</f>
        <v/>
      </c>
      <c r="J1055" s="24" t="str">
        <f aca="false">IF($D1055="","",IFERROR(INDEX(Workers!$C$5:$C$2004,MATCH($D1055,Workers!$A$5:$A$2004,0)),""))</f>
        <v/>
      </c>
      <c r="K1055" s="24" t="str">
        <f aca="false">IF($D1055="","",IFERROR(IF(INDEX(Workers!$D$5:$D$2004,MATCH($D1055,Workers!$A$5:$A$2004,0))=0,"",INDEX(Workers!$D$5:$D$2004,MATCH($D1055,Workers!$A$5:$A$2004,0))),""))</f>
        <v/>
      </c>
      <c r="L1055" s="24" t="str">
        <f aca="false">IF($D1055="","",IFERROR(INDEX(Workers!$E$5:$E$2004,MATCH($D1055,Workers!$A$5:$A$2004,0)),""))</f>
        <v/>
      </c>
      <c r="M1055" s="26" t="str">
        <f aca="false">IF($D1055="","",IFERROR(INDEX(ClientRates!$D$5:$D$500,MATCH($B1055&amp;"|"&amp;$L1055,ClientRates!$A$5:$A$500,0)),0))</f>
        <v/>
      </c>
      <c r="N1055" s="26" t="str">
        <f aca="false">IF($D1055="","",IFERROR(INDEX(ClientRates!$E$5:$E$500,MATCH($B1055&amp;"|"&amp;$L1055,ClientRates!$A$5:$A$500,0)),0))</f>
        <v/>
      </c>
      <c r="O1055" s="26" t="str">
        <f aca="false">IF($D1055="","",F1055*M1055+G1055*N1055)</f>
        <v/>
      </c>
      <c r="P1055" s="26" t="str">
        <f aca="false">IF(OR($D1055="",$J1055&lt;&gt;"Supplier"),"",IFERROR(INDEX(SupplierRates!$D$5:$D$500,MATCH($K1055&amp;"|"&amp;$L1055,SupplierRates!$A$5:$A$500,0)),0))</f>
        <v/>
      </c>
      <c r="Q1055" s="26" t="str">
        <f aca="false">IF(OR($D1055="",$J1055&lt;&gt;"Supplier"),"",IFERROR(INDEX(SupplierRates!$E$5:$E$500,MATCH($K1055&amp;"|"&amp;$L1055,SupplierRates!$A$5:$A$500,0)),0))</f>
        <v/>
      </c>
      <c r="R1055" s="26" t="n">
        <f aca="false">IF(OR($D1055="",$J1055&lt;&gt;"Supplier"),0,F1055*P1055+G1055*Q1055)</f>
        <v>0</v>
      </c>
      <c r="S1055" s="26" t="n">
        <f aca="false">IF(OR($D1055="",$J1055&lt;&gt;"Own"),0,IFERROR((F1055+G1055*Settings!$B$13)*INDEX(Workers!$V$5:$V$2004,MATCH($D1055,Workers!$A$5:$A$2004,0)),0))</f>
        <v>0</v>
      </c>
      <c r="T1055" s="26" t="str">
        <f aca="false">IF($D1055="","",O1055-R1055-S1055)</f>
        <v/>
      </c>
    </row>
    <row r="1056" customFormat="false" ht="15" hidden="false" customHeight="false" outlineLevel="0" collapsed="false">
      <c r="I1056" s="24" t="str">
        <f aca="false">IF($D1056="","",IFERROR(INDEX(Workers!$B$5:$B$2004,MATCH($D1056,Workers!$A$5:$A$2004,0)),"NOT FOUND"))</f>
        <v/>
      </c>
      <c r="J1056" s="24" t="str">
        <f aca="false">IF($D1056="","",IFERROR(INDEX(Workers!$C$5:$C$2004,MATCH($D1056,Workers!$A$5:$A$2004,0)),""))</f>
        <v/>
      </c>
      <c r="K1056" s="24" t="str">
        <f aca="false">IF($D1056="","",IFERROR(IF(INDEX(Workers!$D$5:$D$2004,MATCH($D1056,Workers!$A$5:$A$2004,0))=0,"",INDEX(Workers!$D$5:$D$2004,MATCH($D1056,Workers!$A$5:$A$2004,0))),""))</f>
        <v/>
      </c>
      <c r="L1056" s="24" t="str">
        <f aca="false">IF($D1056="","",IFERROR(INDEX(Workers!$E$5:$E$2004,MATCH($D1056,Workers!$A$5:$A$2004,0)),""))</f>
        <v/>
      </c>
      <c r="M1056" s="26" t="str">
        <f aca="false">IF($D1056="","",IFERROR(INDEX(ClientRates!$D$5:$D$500,MATCH($B1056&amp;"|"&amp;$L1056,ClientRates!$A$5:$A$500,0)),0))</f>
        <v/>
      </c>
      <c r="N1056" s="26" t="str">
        <f aca="false">IF($D1056="","",IFERROR(INDEX(ClientRates!$E$5:$E$500,MATCH($B1056&amp;"|"&amp;$L1056,ClientRates!$A$5:$A$500,0)),0))</f>
        <v/>
      </c>
      <c r="O1056" s="26" t="str">
        <f aca="false">IF($D1056="","",F1056*M1056+G1056*N1056)</f>
        <v/>
      </c>
      <c r="P1056" s="26" t="str">
        <f aca="false">IF(OR($D1056="",$J1056&lt;&gt;"Supplier"),"",IFERROR(INDEX(SupplierRates!$D$5:$D$500,MATCH($K1056&amp;"|"&amp;$L1056,SupplierRates!$A$5:$A$500,0)),0))</f>
        <v/>
      </c>
      <c r="Q1056" s="26" t="str">
        <f aca="false">IF(OR($D1056="",$J1056&lt;&gt;"Supplier"),"",IFERROR(INDEX(SupplierRates!$E$5:$E$500,MATCH($K1056&amp;"|"&amp;$L1056,SupplierRates!$A$5:$A$500,0)),0))</f>
        <v/>
      </c>
      <c r="R1056" s="26" t="n">
        <f aca="false">IF(OR($D1056="",$J1056&lt;&gt;"Supplier"),0,F1056*P1056+G1056*Q1056)</f>
        <v>0</v>
      </c>
      <c r="S1056" s="26" t="n">
        <f aca="false">IF(OR($D1056="",$J1056&lt;&gt;"Own"),0,IFERROR((F1056+G1056*Settings!$B$13)*INDEX(Workers!$V$5:$V$2004,MATCH($D1056,Workers!$A$5:$A$2004,0)),0))</f>
        <v>0</v>
      </c>
      <c r="T1056" s="26" t="str">
        <f aca="false">IF($D1056="","",O1056-R1056-S1056)</f>
        <v/>
      </c>
    </row>
    <row r="1057" customFormat="false" ht="15" hidden="false" customHeight="false" outlineLevel="0" collapsed="false">
      <c r="I1057" s="24" t="str">
        <f aca="false">IF($D1057="","",IFERROR(INDEX(Workers!$B$5:$B$2004,MATCH($D1057,Workers!$A$5:$A$2004,0)),"NOT FOUND"))</f>
        <v/>
      </c>
      <c r="J1057" s="24" t="str">
        <f aca="false">IF($D1057="","",IFERROR(INDEX(Workers!$C$5:$C$2004,MATCH($D1057,Workers!$A$5:$A$2004,0)),""))</f>
        <v/>
      </c>
      <c r="K1057" s="24" t="str">
        <f aca="false">IF($D1057="","",IFERROR(IF(INDEX(Workers!$D$5:$D$2004,MATCH($D1057,Workers!$A$5:$A$2004,0))=0,"",INDEX(Workers!$D$5:$D$2004,MATCH($D1057,Workers!$A$5:$A$2004,0))),""))</f>
        <v/>
      </c>
      <c r="L1057" s="24" t="str">
        <f aca="false">IF($D1057="","",IFERROR(INDEX(Workers!$E$5:$E$2004,MATCH($D1057,Workers!$A$5:$A$2004,0)),""))</f>
        <v/>
      </c>
      <c r="M1057" s="26" t="str">
        <f aca="false">IF($D1057="","",IFERROR(INDEX(ClientRates!$D$5:$D$500,MATCH($B1057&amp;"|"&amp;$L1057,ClientRates!$A$5:$A$500,0)),0))</f>
        <v/>
      </c>
      <c r="N1057" s="26" t="str">
        <f aca="false">IF($D1057="","",IFERROR(INDEX(ClientRates!$E$5:$E$500,MATCH($B1057&amp;"|"&amp;$L1057,ClientRates!$A$5:$A$500,0)),0))</f>
        <v/>
      </c>
      <c r="O1057" s="26" t="str">
        <f aca="false">IF($D1057="","",F1057*M1057+G1057*N1057)</f>
        <v/>
      </c>
      <c r="P1057" s="26" t="str">
        <f aca="false">IF(OR($D1057="",$J1057&lt;&gt;"Supplier"),"",IFERROR(INDEX(SupplierRates!$D$5:$D$500,MATCH($K1057&amp;"|"&amp;$L1057,SupplierRates!$A$5:$A$500,0)),0))</f>
        <v/>
      </c>
      <c r="Q1057" s="26" t="str">
        <f aca="false">IF(OR($D1057="",$J1057&lt;&gt;"Supplier"),"",IFERROR(INDEX(SupplierRates!$E$5:$E$500,MATCH($K1057&amp;"|"&amp;$L1057,SupplierRates!$A$5:$A$500,0)),0))</f>
        <v/>
      </c>
      <c r="R1057" s="26" t="n">
        <f aca="false">IF(OR($D1057="",$J1057&lt;&gt;"Supplier"),0,F1057*P1057+G1057*Q1057)</f>
        <v>0</v>
      </c>
      <c r="S1057" s="26" t="n">
        <f aca="false">IF(OR($D1057="",$J1057&lt;&gt;"Own"),0,IFERROR((F1057+G1057*Settings!$B$13)*INDEX(Workers!$V$5:$V$2004,MATCH($D1057,Workers!$A$5:$A$2004,0)),0))</f>
        <v>0</v>
      </c>
      <c r="T1057" s="26" t="str">
        <f aca="false">IF($D1057="","",O1057-R1057-S1057)</f>
        <v/>
      </c>
    </row>
    <row r="1058" customFormat="false" ht="15" hidden="false" customHeight="false" outlineLevel="0" collapsed="false">
      <c r="I1058" s="24" t="str">
        <f aca="false">IF($D1058="","",IFERROR(INDEX(Workers!$B$5:$B$2004,MATCH($D1058,Workers!$A$5:$A$2004,0)),"NOT FOUND"))</f>
        <v/>
      </c>
      <c r="J1058" s="24" t="str">
        <f aca="false">IF($D1058="","",IFERROR(INDEX(Workers!$C$5:$C$2004,MATCH($D1058,Workers!$A$5:$A$2004,0)),""))</f>
        <v/>
      </c>
      <c r="K1058" s="24" t="str">
        <f aca="false">IF($D1058="","",IFERROR(IF(INDEX(Workers!$D$5:$D$2004,MATCH($D1058,Workers!$A$5:$A$2004,0))=0,"",INDEX(Workers!$D$5:$D$2004,MATCH($D1058,Workers!$A$5:$A$2004,0))),""))</f>
        <v/>
      </c>
      <c r="L1058" s="24" t="str">
        <f aca="false">IF($D1058="","",IFERROR(INDEX(Workers!$E$5:$E$2004,MATCH($D1058,Workers!$A$5:$A$2004,0)),""))</f>
        <v/>
      </c>
      <c r="M1058" s="26" t="str">
        <f aca="false">IF($D1058="","",IFERROR(INDEX(ClientRates!$D$5:$D$500,MATCH($B1058&amp;"|"&amp;$L1058,ClientRates!$A$5:$A$500,0)),0))</f>
        <v/>
      </c>
      <c r="N1058" s="26" t="str">
        <f aca="false">IF($D1058="","",IFERROR(INDEX(ClientRates!$E$5:$E$500,MATCH($B1058&amp;"|"&amp;$L1058,ClientRates!$A$5:$A$500,0)),0))</f>
        <v/>
      </c>
      <c r="O1058" s="26" t="str">
        <f aca="false">IF($D1058="","",F1058*M1058+G1058*N1058)</f>
        <v/>
      </c>
      <c r="P1058" s="26" t="str">
        <f aca="false">IF(OR($D1058="",$J1058&lt;&gt;"Supplier"),"",IFERROR(INDEX(SupplierRates!$D$5:$D$500,MATCH($K1058&amp;"|"&amp;$L1058,SupplierRates!$A$5:$A$500,0)),0))</f>
        <v/>
      </c>
      <c r="Q1058" s="26" t="str">
        <f aca="false">IF(OR($D1058="",$J1058&lt;&gt;"Supplier"),"",IFERROR(INDEX(SupplierRates!$E$5:$E$500,MATCH($K1058&amp;"|"&amp;$L1058,SupplierRates!$A$5:$A$500,0)),0))</f>
        <v/>
      </c>
      <c r="R1058" s="26" t="n">
        <f aca="false">IF(OR($D1058="",$J1058&lt;&gt;"Supplier"),0,F1058*P1058+G1058*Q1058)</f>
        <v>0</v>
      </c>
      <c r="S1058" s="26" t="n">
        <f aca="false">IF(OR($D1058="",$J1058&lt;&gt;"Own"),0,IFERROR((F1058+G1058*Settings!$B$13)*INDEX(Workers!$V$5:$V$2004,MATCH($D1058,Workers!$A$5:$A$2004,0)),0))</f>
        <v>0</v>
      </c>
      <c r="T1058" s="26" t="str">
        <f aca="false">IF($D1058="","",O1058-R1058-S1058)</f>
        <v/>
      </c>
    </row>
    <row r="1059" customFormat="false" ht="15" hidden="false" customHeight="false" outlineLevel="0" collapsed="false">
      <c r="I1059" s="24" t="str">
        <f aca="false">IF($D1059="","",IFERROR(INDEX(Workers!$B$5:$B$2004,MATCH($D1059,Workers!$A$5:$A$2004,0)),"NOT FOUND"))</f>
        <v/>
      </c>
      <c r="J1059" s="24" t="str">
        <f aca="false">IF($D1059="","",IFERROR(INDEX(Workers!$C$5:$C$2004,MATCH($D1059,Workers!$A$5:$A$2004,0)),""))</f>
        <v/>
      </c>
      <c r="K1059" s="24" t="str">
        <f aca="false">IF($D1059="","",IFERROR(IF(INDEX(Workers!$D$5:$D$2004,MATCH($D1059,Workers!$A$5:$A$2004,0))=0,"",INDEX(Workers!$D$5:$D$2004,MATCH($D1059,Workers!$A$5:$A$2004,0))),""))</f>
        <v/>
      </c>
      <c r="L1059" s="24" t="str">
        <f aca="false">IF($D1059="","",IFERROR(INDEX(Workers!$E$5:$E$2004,MATCH($D1059,Workers!$A$5:$A$2004,0)),""))</f>
        <v/>
      </c>
      <c r="M1059" s="26" t="str">
        <f aca="false">IF($D1059="","",IFERROR(INDEX(ClientRates!$D$5:$D$500,MATCH($B1059&amp;"|"&amp;$L1059,ClientRates!$A$5:$A$500,0)),0))</f>
        <v/>
      </c>
      <c r="N1059" s="26" t="str">
        <f aca="false">IF($D1059="","",IFERROR(INDEX(ClientRates!$E$5:$E$500,MATCH($B1059&amp;"|"&amp;$L1059,ClientRates!$A$5:$A$500,0)),0))</f>
        <v/>
      </c>
      <c r="O1059" s="26" t="str">
        <f aca="false">IF($D1059="","",F1059*M1059+G1059*N1059)</f>
        <v/>
      </c>
      <c r="P1059" s="26" t="str">
        <f aca="false">IF(OR($D1059="",$J1059&lt;&gt;"Supplier"),"",IFERROR(INDEX(SupplierRates!$D$5:$D$500,MATCH($K1059&amp;"|"&amp;$L1059,SupplierRates!$A$5:$A$500,0)),0))</f>
        <v/>
      </c>
      <c r="Q1059" s="26" t="str">
        <f aca="false">IF(OR($D1059="",$J1059&lt;&gt;"Supplier"),"",IFERROR(INDEX(SupplierRates!$E$5:$E$500,MATCH($K1059&amp;"|"&amp;$L1059,SupplierRates!$A$5:$A$500,0)),0))</f>
        <v/>
      </c>
      <c r="R1059" s="26" t="n">
        <f aca="false">IF(OR($D1059="",$J1059&lt;&gt;"Supplier"),0,F1059*P1059+G1059*Q1059)</f>
        <v>0</v>
      </c>
      <c r="S1059" s="26" t="n">
        <f aca="false">IF(OR($D1059="",$J1059&lt;&gt;"Own"),0,IFERROR((F1059+G1059*Settings!$B$13)*INDEX(Workers!$V$5:$V$2004,MATCH($D1059,Workers!$A$5:$A$2004,0)),0))</f>
        <v>0</v>
      </c>
      <c r="T1059" s="26" t="str">
        <f aca="false">IF($D1059="","",O1059-R1059-S1059)</f>
        <v/>
      </c>
    </row>
    <row r="1060" customFormat="false" ht="15" hidden="false" customHeight="false" outlineLevel="0" collapsed="false">
      <c r="I1060" s="24" t="str">
        <f aca="false">IF($D1060="","",IFERROR(INDEX(Workers!$B$5:$B$2004,MATCH($D1060,Workers!$A$5:$A$2004,0)),"NOT FOUND"))</f>
        <v/>
      </c>
      <c r="J1060" s="24" t="str">
        <f aca="false">IF($D1060="","",IFERROR(INDEX(Workers!$C$5:$C$2004,MATCH($D1060,Workers!$A$5:$A$2004,0)),""))</f>
        <v/>
      </c>
      <c r="K1060" s="24" t="str">
        <f aca="false">IF($D1060="","",IFERROR(IF(INDEX(Workers!$D$5:$D$2004,MATCH($D1060,Workers!$A$5:$A$2004,0))=0,"",INDEX(Workers!$D$5:$D$2004,MATCH($D1060,Workers!$A$5:$A$2004,0))),""))</f>
        <v/>
      </c>
      <c r="L1060" s="24" t="str">
        <f aca="false">IF($D1060="","",IFERROR(INDEX(Workers!$E$5:$E$2004,MATCH($D1060,Workers!$A$5:$A$2004,0)),""))</f>
        <v/>
      </c>
      <c r="M1060" s="26" t="str">
        <f aca="false">IF($D1060="","",IFERROR(INDEX(ClientRates!$D$5:$D$500,MATCH($B1060&amp;"|"&amp;$L1060,ClientRates!$A$5:$A$500,0)),0))</f>
        <v/>
      </c>
      <c r="N1060" s="26" t="str">
        <f aca="false">IF($D1060="","",IFERROR(INDEX(ClientRates!$E$5:$E$500,MATCH($B1060&amp;"|"&amp;$L1060,ClientRates!$A$5:$A$500,0)),0))</f>
        <v/>
      </c>
      <c r="O1060" s="26" t="str">
        <f aca="false">IF($D1060="","",F1060*M1060+G1060*N1060)</f>
        <v/>
      </c>
      <c r="P1060" s="26" t="str">
        <f aca="false">IF(OR($D1060="",$J1060&lt;&gt;"Supplier"),"",IFERROR(INDEX(SupplierRates!$D$5:$D$500,MATCH($K1060&amp;"|"&amp;$L1060,SupplierRates!$A$5:$A$500,0)),0))</f>
        <v/>
      </c>
      <c r="Q1060" s="26" t="str">
        <f aca="false">IF(OR($D1060="",$J1060&lt;&gt;"Supplier"),"",IFERROR(INDEX(SupplierRates!$E$5:$E$500,MATCH($K1060&amp;"|"&amp;$L1060,SupplierRates!$A$5:$A$500,0)),0))</f>
        <v/>
      </c>
      <c r="R1060" s="26" t="n">
        <f aca="false">IF(OR($D1060="",$J1060&lt;&gt;"Supplier"),0,F1060*P1060+G1060*Q1060)</f>
        <v>0</v>
      </c>
      <c r="S1060" s="26" t="n">
        <f aca="false">IF(OR($D1060="",$J1060&lt;&gt;"Own"),0,IFERROR((F1060+G1060*Settings!$B$13)*INDEX(Workers!$V$5:$V$2004,MATCH($D1060,Workers!$A$5:$A$2004,0)),0))</f>
        <v>0</v>
      </c>
      <c r="T1060" s="26" t="str">
        <f aca="false">IF($D1060="","",O1060-R1060-S1060)</f>
        <v/>
      </c>
    </row>
    <row r="1061" customFormat="false" ht="15" hidden="false" customHeight="false" outlineLevel="0" collapsed="false">
      <c r="I1061" s="24" t="str">
        <f aca="false">IF($D1061="","",IFERROR(INDEX(Workers!$B$5:$B$2004,MATCH($D1061,Workers!$A$5:$A$2004,0)),"NOT FOUND"))</f>
        <v/>
      </c>
      <c r="J1061" s="24" t="str">
        <f aca="false">IF($D1061="","",IFERROR(INDEX(Workers!$C$5:$C$2004,MATCH($D1061,Workers!$A$5:$A$2004,0)),""))</f>
        <v/>
      </c>
      <c r="K1061" s="24" t="str">
        <f aca="false">IF($D1061="","",IFERROR(IF(INDEX(Workers!$D$5:$D$2004,MATCH($D1061,Workers!$A$5:$A$2004,0))=0,"",INDEX(Workers!$D$5:$D$2004,MATCH($D1061,Workers!$A$5:$A$2004,0))),""))</f>
        <v/>
      </c>
      <c r="L1061" s="24" t="str">
        <f aca="false">IF($D1061="","",IFERROR(INDEX(Workers!$E$5:$E$2004,MATCH($D1061,Workers!$A$5:$A$2004,0)),""))</f>
        <v/>
      </c>
      <c r="M1061" s="26" t="str">
        <f aca="false">IF($D1061="","",IFERROR(INDEX(ClientRates!$D$5:$D$500,MATCH($B1061&amp;"|"&amp;$L1061,ClientRates!$A$5:$A$500,0)),0))</f>
        <v/>
      </c>
      <c r="N1061" s="26" t="str">
        <f aca="false">IF($D1061="","",IFERROR(INDEX(ClientRates!$E$5:$E$500,MATCH($B1061&amp;"|"&amp;$L1061,ClientRates!$A$5:$A$500,0)),0))</f>
        <v/>
      </c>
      <c r="O1061" s="26" t="str">
        <f aca="false">IF($D1061="","",F1061*M1061+G1061*N1061)</f>
        <v/>
      </c>
      <c r="P1061" s="26" t="str">
        <f aca="false">IF(OR($D1061="",$J1061&lt;&gt;"Supplier"),"",IFERROR(INDEX(SupplierRates!$D$5:$D$500,MATCH($K1061&amp;"|"&amp;$L1061,SupplierRates!$A$5:$A$500,0)),0))</f>
        <v/>
      </c>
      <c r="Q1061" s="26" t="str">
        <f aca="false">IF(OR($D1061="",$J1061&lt;&gt;"Supplier"),"",IFERROR(INDEX(SupplierRates!$E$5:$E$500,MATCH($K1061&amp;"|"&amp;$L1061,SupplierRates!$A$5:$A$500,0)),0))</f>
        <v/>
      </c>
      <c r="R1061" s="26" t="n">
        <f aca="false">IF(OR($D1061="",$J1061&lt;&gt;"Supplier"),0,F1061*P1061+G1061*Q1061)</f>
        <v>0</v>
      </c>
      <c r="S1061" s="26" t="n">
        <f aca="false">IF(OR($D1061="",$J1061&lt;&gt;"Own"),0,IFERROR((F1061+G1061*Settings!$B$13)*INDEX(Workers!$V$5:$V$2004,MATCH($D1061,Workers!$A$5:$A$2004,0)),0))</f>
        <v>0</v>
      </c>
      <c r="T1061" s="26" t="str">
        <f aca="false">IF($D1061="","",O1061-R1061-S1061)</f>
        <v/>
      </c>
    </row>
    <row r="1062" customFormat="false" ht="15" hidden="false" customHeight="false" outlineLevel="0" collapsed="false">
      <c r="I1062" s="24" t="str">
        <f aca="false">IF($D1062="","",IFERROR(INDEX(Workers!$B$5:$B$2004,MATCH($D1062,Workers!$A$5:$A$2004,0)),"NOT FOUND"))</f>
        <v/>
      </c>
      <c r="J1062" s="24" t="str">
        <f aca="false">IF($D1062="","",IFERROR(INDEX(Workers!$C$5:$C$2004,MATCH($D1062,Workers!$A$5:$A$2004,0)),""))</f>
        <v/>
      </c>
      <c r="K1062" s="24" t="str">
        <f aca="false">IF($D1062="","",IFERROR(IF(INDEX(Workers!$D$5:$D$2004,MATCH($D1062,Workers!$A$5:$A$2004,0))=0,"",INDEX(Workers!$D$5:$D$2004,MATCH($D1062,Workers!$A$5:$A$2004,0))),""))</f>
        <v/>
      </c>
      <c r="L1062" s="24" t="str">
        <f aca="false">IF($D1062="","",IFERROR(INDEX(Workers!$E$5:$E$2004,MATCH($D1062,Workers!$A$5:$A$2004,0)),""))</f>
        <v/>
      </c>
      <c r="M1062" s="26" t="str">
        <f aca="false">IF($D1062="","",IFERROR(INDEX(ClientRates!$D$5:$D$500,MATCH($B1062&amp;"|"&amp;$L1062,ClientRates!$A$5:$A$500,0)),0))</f>
        <v/>
      </c>
      <c r="N1062" s="26" t="str">
        <f aca="false">IF($D1062="","",IFERROR(INDEX(ClientRates!$E$5:$E$500,MATCH($B1062&amp;"|"&amp;$L1062,ClientRates!$A$5:$A$500,0)),0))</f>
        <v/>
      </c>
      <c r="O1062" s="26" t="str">
        <f aca="false">IF($D1062="","",F1062*M1062+G1062*N1062)</f>
        <v/>
      </c>
      <c r="P1062" s="26" t="str">
        <f aca="false">IF(OR($D1062="",$J1062&lt;&gt;"Supplier"),"",IFERROR(INDEX(SupplierRates!$D$5:$D$500,MATCH($K1062&amp;"|"&amp;$L1062,SupplierRates!$A$5:$A$500,0)),0))</f>
        <v/>
      </c>
      <c r="Q1062" s="26" t="str">
        <f aca="false">IF(OR($D1062="",$J1062&lt;&gt;"Supplier"),"",IFERROR(INDEX(SupplierRates!$E$5:$E$500,MATCH($K1062&amp;"|"&amp;$L1062,SupplierRates!$A$5:$A$500,0)),0))</f>
        <v/>
      </c>
      <c r="R1062" s="26" t="n">
        <f aca="false">IF(OR($D1062="",$J1062&lt;&gt;"Supplier"),0,F1062*P1062+G1062*Q1062)</f>
        <v>0</v>
      </c>
      <c r="S1062" s="26" t="n">
        <f aca="false">IF(OR($D1062="",$J1062&lt;&gt;"Own"),0,IFERROR((F1062+G1062*Settings!$B$13)*INDEX(Workers!$V$5:$V$2004,MATCH($D1062,Workers!$A$5:$A$2004,0)),0))</f>
        <v>0</v>
      </c>
      <c r="T1062" s="26" t="str">
        <f aca="false">IF($D1062="","",O1062-R1062-S1062)</f>
        <v/>
      </c>
    </row>
    <row r="1063" customFormat="false" ht="15" hidden="false" customHeight="false" outlineLevel="0" collapsed="false">
      <c r="I1063" s="24" t="str">
        <f aca="false">IF($D1063="","",IFERROR(INDEX(Workers!$B$5:$B$2004,MATCH($D1063,Workers!$A$5:$A$2004,0)),"NOT FOUND"))</f>
        <v/>
      </c>
      <c r="J1063" s="24" t="str">
        <f aca="false">IF($D1063="","",IFERROR(INDEX(Workers!$C$5:$C$2004,MATCH($D1063,Workers!$A$5:$A$2004,0)),""))</f>
        <v/>
      </c>
      <c r="K1063" s="24" t="str">
        <f aca="false">IF($D1063="","",IFERROR(IF(INDEX(Workers!$D$5:$D$2004,MATCH($D1063,Workers!$A$5:$A$2004,0))=0,"",INDEX(Workers!$D$5:$D$2004,MATCH($D1063,Workers!$A$5:$A$2004,0))),""))</f>
        <v/>
      </c>
      <c r="L1063" s="24" t="str">
        <f aca="false">IF($D1063="","",IFERROR(INDEX(Workers!$E$5:$E$2004,MATCH($D1063,Workers!$A$5:$A$2004,0)),""))</f>
        <v/>
      </c>
      <c r="M1063" s="26" t="str">
        <f aca="false">IF($D1063="","",IFERROR(INDEX(ClientRates!$D$5:$D$500,MATCH($B1063&amp;"|"&amp;$L1063,ClientRates!$A$5:$A$500,0)),0))</f>
        <v/>
      </c>
      <c r="N1063" s="26" t="str">
        <f aca="false">IF($D1063="","",IFERROR(INDEX(ClientRates!$E$5:$E$500,MATCH($B1063&amp;"|"&amp;$L1063,ClientRates!$A$5:$A$500,0)),0))</f>
        <v/>
      </c>
      <c r="O1063" s="26" t="str">
        <f aca="false">IF($D1063="","",F1063*M1063+G1063*N1063)</f>
        <v/>
      </c>
      <c r="P1063" s="26" t="str">
        <f aca="false">IF(OR($D1063="",$J1063&lt;&gt;"Supplier"),"",IFERROR(INDEX(SupplierRates!$D$5:$D$500,MATCH($K1063&amp;"|"&amp;$L1063,SupplierRates!$A$5:$A$500,0)),0))</f>
        <v/>
      </c>
      <c r="Q1063" s="26" t="str">
        <f aca="false">IF(OR($D1063="",$J1063&lt;&gt;"Supplier"),"",IFERROR(INDEX(SupplierRates!$E$5:$E$500,MATCH($K1063&amp;"|"&amp;$L1063,SupplierRates!$A$5:$A$500,0)),0))</f>
        <v/>
      </c>
      <c r="R1063" s="26" t="n">
        <f aca="false">IF(OR($D1063="",$J1063&lt;&gt;"Supplier"),0,F1063*P1063+G1063*Q1063)</f>
        <v>0</v>
      </c>
      <c r="S1063" s="26" t="n">
        <f aca="false">IF(OR($D1063="",$J1063&lt;&gt;"Own"),0,IFERROR((F1063+G1063*Settings!$B$13)*INDEX(Workers!$V$5:$V$2004,MATCH($D1063,Workers!$A$5:$A$2004,0)),0))</f>
        <v>0</v>
      </c>
      <c r="T1063" s="26" t="str">
        <f aca="false">IF($D1063="","",O1063-R1063-S1063)</f>
        <v/>
      </c>
    </row>
    <row r="1064" customFormat="false" ht="15" hidden="false" customHeight="false" outlineLevel="0" collapsed="false">
      <c r="I1064" s="24" t="str">
        <f aca="false">IF($D1064="","",IFERROR(INDEX(Workers!$B$5:$B$2004,MATCH($D1064,Workers!$A$5:$A$2004,0)),"NOT FOUND"))</f>
        <v/>
      </c>
      <c r="J1064" s="24" t="str">
        <f aca="false">IF($D1064="","",IFERROR(INDEX(Workers!$C$5:$C$2004,MATCH($D1064,Workers!$A$5:$A$2004,0)),""))</f>
        <v/>
      </c>
      <c r="K1064" s="24" t="str">
        <f aca="false">IF($D1064="","",IFERROR(IF(INDEX(Workers!$D$5:$D$2004,MATCH($D1064,Workers!$A$5:$A$2004,0))=0,"",INDEX(Workers!$D$5:$D$2004,MATCH($D1064,Workers!$A$5:$A$2004,0))),""))</f>
        <v/>
      </c>
      <c r="L1064" s="24" t="str">
        <f aca="false">IF($D1064="","",IFERROR(INDEX(Workers!$E$5:$E$2004,MATCH($D1064,Workers!$A$5:$A$2004,0)),""))</f>
        <v/>
      </c>
      <c r="M1064" s="26" t="str">
        <f aca="false">IF($D1064="","",IFERROR(INDEX(ClientRates!$D$5:$D$500,MATCH($B1064&amp;"|"&amp;$L1064,ClientRates!$A$5:$A$500,0)),0))</f>
        <v/>
      </c>
      <c r="N1064" s="26" t="str">
        <f aca="false">IF($D1064="","",IFERROR(INDEX(ClientRates!$E$5:$E$500,MATCH($B1064&amp;"|"&amp;$L1064,ClientRates!$A$5:$A$500,0)),0))</f>
        <v/>
      </c>
      <c r="O1064" s="26" t="str">
        <f aca="false">IF($D1064="","",F1064*M1064+G1064*N1064)</f>
        <v/>
      </c>
      <c r="P1064" s="26" t="str">
        <f aca="false">IF(OR($D1064="",$J1064&lt;&gt;"Supplier"),"",IFERROR(INDEX(SupplierRates!$D$5:$D$500,MATCH($K1064&amp;"|"&amp;$L1064,SupplierRates!$A$5:$A$500,0)),0))</f>
        <v/>
      </c>
      <c r="Q1064" s="26" t="str">
        <f aca="false">IF(OR($D1064="",$J1064&lt;&gt;"Supplier"),"",IFERROR(INDEX(SupplierRates!$E$5:$E$500,MATCH($K1064&amp;"|"&amp;$L1064,SupplierRates!$A$5:$A$500,0)),0))</f>
        <v/>
      </c>
      <c r="R1064" s="26" t="n">
        <f aca="false">IF(OR($D1064="",$J1064&lt;&gt;"Supplier"),0,F1064*P1064+G1064*Q1064)</f>
        <v>0</v>
      </c>
      <c r="S1064" s="26" t="n">
        <f aca="false">IF(OR($D1064="",$J1064&lt;&gt;"Own"),0,IFERROR((F1064+G1064*Settings!$B$13)*INDEX(Workers!$V$5:$V$2004,MATCH($D1064,Workers!$A$5:$A$2004,0)),0))</f>
        <v>0</v>
      </c>
      <c r="T1064" s="26" t="str">
        <f aca="false">IF($D1064="","",O1064-R1064-S1064)</f>
        <v/>
      </c>
    </row>
    <row r="1065" customFormat="false" ht="15" hidden="false" customHeight="false" outlineLevel="0" collapsed="false">
      <c r="I1065" s="24" t="str">
        <f aca="false">IF($D1065="","",IFERROR(INDEX(Workers!$B$5:$B$2004,MATCH($D1065,Workers!$A$5:$A$2004,0)),"NOT FOUND"))</f>
        <v/>
      </c>
      <c r="J1065" s="24" t="str">
        <f aca="false">IF($D1065="","",IFERROR(INDEX(Workers!$C$5:$C$2004,MATCH($D1065,Workers!$A$5:$A$2004,0)),""))</f>
        <v/>
      </c>
      <c r="K1065" s="24" t="str">
        <f aca="false">IF($D1065="","",IFERROR(IF(INDEX(Workers!$D$5:$D$2004,MATCH($D1065,Workers!$A$5:$A$2004,0))=0,"",INDEX(Workers!$D$5:$D$2004,MATCH($D1065,Workers!$A$5:$A$2004,0))),""))</f>
        <v/>
      </c>
      <c r="L1065" s="24" t="str">
        <f aca="false">IF($D1065="","",IFERROR(INDEX(Workers!$E$5:$E$2004,MATCH($D1065,Workers!$A$5:$A$2004,0)),""))</f>
        <v/>
      </c>
      <c r="M1065" s="26" t="str">
        <f aca="false">IF($D1065="","",IFERROR(INDEX(ClientRates!$D$5:$D$500,MATCH($B1065&amp;"|"&amp;$L1065,ClientRates!$A$5:$A$500,0)),0))</f>
        <v/>
      </c>
      <c r="N1065" s="26" t="str">
        <f aca="false">IF($D1065="","",IFERROR(INDEX(ClientRates!$E$5:$E$500,MATCH($B1065&amp;"|"&amp;$L1065,ClientRates!$A$5:$A$500,0)),0))</f>
        <v/>
      </c>
      <c r="O1065" s="26" t="str">
        <f aca="false">IF($D1065="","",F1065*M1065+G1065*N1065)</f>
        <v/>
      </c>
      <c r="P1065" s="26" t="str">
        <f aca="false">IF(OR($D1065="",$J1065&lt;&gt;"Supplier"),"",IFERROR(INDEX(SupplierRates!$D$5:$D$500,MATCH($K1065&amp;"|"&amp;$L1065,SupplierRates!$A$5:$A$500,0)),0))</f>
        <v/>
      </c>
      <c r="Q1065" s="26" t="str">
        <f aca="false">IF(OR($D1065="",$J1065&lt;&gt;"Supplier"),"",IFERROR(INDEX(SupplierRates!$E$5:$E$500,MATCH($K1065&amp;"|"&amp;$L1065,SupplierRates!$A$5:$A$500,0)),0))</f>
        <v/>
      </c>
      <c r="R1065" s="26" t="n">
        <f aca="false">IF(OR($D1065="",$J1065&lt;&gt;"Supplier"),0,F1065*P1065+G1065*Q1065)</f>
        <v>0</v>
      </c>
      <c r="S1065" s="26" t="n">
        <f aca="false">IF(OR($D1065="",$J1065&lt;&gt;"Own"),0,IFERROR((F1065+G1065*Settings!$B$13)*INDEX(Workers!$V$5:$V$2004,MATCH($D1065,Workers!$A$5:$A$2004,0)),0))</f>
        <v>0</v>
      </c>
      <c r="T1065" s="26" t="str">
        <f aca="false">IF($D1065="","",O1065-R1065-S1065)</f>
        <v/>
      </c>
    </row>
    <row r="1066" customFormat="false" ht="15" hidden="false" customHeight="false" outlineLevel="0" collapsed="false">
      <c r="I1066" s="24" t="str">
        <f aca="false">IF($D1066="","",IFERROR(INDEX(Workers!$B$5:$B$2004,MATCH($D1066,Workers!$A$5:$A$2004,0)),"NOT FOUND"))</f>
        <v/>
      </c>
      <c r="J1066" s="24" t="str">
        <f aca="false">IF($D1066="","",IFERROR(INDEX(Workers!$C$5:$C$2004,MATCH($D1066,Workers!$A$5:$A$2004,0)),""))</f>
        <v/>
      </c>
      <c r="K1066" s="24" t="str">
        <f aca="false">IF($D1066="","",IFERROR(IF(INDEX(Workers!$D$5:$D$2004,MATCH($D1066,Workers!$A$5:$A$2004,0))=0,"",INDEX(Workers!$D$5:$D$2004,MATCH($D1066,Workers!$A$5:$A$2004,0))),""))</f>
        <v/>
      </c>
      <c r="L1066" s="24" t="str">
        <f aca="false">IF($D1066="","",IFERROR(INDEX(Workers!$E$5:$E$2004,MATCH($D1066,Workers!$A$5:$A$2004,0)),""))</f>
        <v/>
      </c>
      <c r="M1066" s="26" t="str">
        <f aca="false">IF($D1066="","",IFERROR(INDEX(ClientRates!$D$5:$D$500,MATCH($B1066&amp;"|"&amp;$L1066,ClientRates!$A$5:$A$500,0)),0))</f>
        <v/>
      </c>
      <c r="N1066" s="26" t="str">
        <f aca="false">IF($D1066="","",IFERROR(INDEX(ClientRates!$E$5:$E$500,MATCH($B1066&amp;"|"&amp;$L1066,ClientRates!$A$5:$A$500,0)),0))</f>
        <v/>
      </c>
      <c r="O1066" s="26" t="str">
        <f aca="false">IF($D1066="","",F1066*M1066+G1066*N1066)</f>
        <v/>
      </c>
      <c r="P1066" s="26" t="str">
        <f aca="false">IF(OR($D1066="",$J1066&lt;&gt;"Supplier"),"",IFERROR(INDEX(SupplierRates!$D$5:$D$500,MATCH($K1066&amp;"|"&amp;$L1066,SupplierRates!$A$5:$A$500,0)),0))</f>
        <v/>
      </c>
      <c r="Q1066" s="26" t="str">
        <f aca="false">IF(OR($D1066="",$J1066&lt;&gt;"Supplier"),"",IFERROR(INDEX(SupplierRates!$E$5:$E$500,MATCH($K1066&amp;"|"&amp;$L1066,SupplierRates!$A$5:$A$500,0)),0))</f>
        <v/>
      </c>
      <c r="R1066" s="26" t="n">
        <f aca="false">IF(OR($D1066="",$J1066&lt;&gt;"Supplier"),0,F1066*P1066+G1066*Q1066)</f>
        <v>0</v>
      </c>
      <c r="S1066" s="26" t="n">
        <f aca="false">IF(OR($D1066="",$J1066&lt;&gt;"Own"),0,IFERROR((F1066+G1066*Settings!$B$13)*INDEX(Workers!$V$5:$V$2004,MATCH($D1066,Workers!$A$5:$A$2004,0)),0))</f>
        <v>0</v>
      </c>
      <c r="T1066" s="26" t="str">
        <f aca="false">IF($D1066="","",O1066-R1066-S1066)</f>
        <v/>
      </c>
    </row>
    <row r="1067" customFormat="false" ht="15" hidden="false" customHeight="false" outlineLevel="0" collapsed="false">
      <c r="I1067" s="24" t="str">
        <f aca="false">IF($D1067="","",IFERROR(INDEX(Workers!$B$5:$B$2004,MATCH($D1067,Workers!$A$5:$A$2004,0)),"NOT FOUND"))</f>
        <v/>
      </c>
      <c r="J1067" s="24" t="str">
        <f aca="false">IF($D1067="","",IFERROR(INDEX(Workers!$C$5:$C$2004,MATCH($D1067,Workers!$A$5:$A$2004,0)),""))</f>
        <v/>
      </c>
      <c r="K1067" s="24" t="str">
        <f aca="false">IF($D1067="","",IFERROR(IF(INDEX(Workers!$D$5:$D$2004,MATCH($D1067,Workers!$A$5:$A$2004,0))=0,"",INDEX(Workers!$D$5:$D$2004,MATCH($D1067,Workers!$A$5:$A$2004,0))),""))</f>
        <v/>
      </c>
      <c r="L1067" s="24" t="str">
        <f aca="false">IF($D1067="","",IFERROR(INDEX(Workers!$E$5:$E$2004,MATCH($D1067,Workers!$A$5:$A$2004,0)),""))</f>
        <v/>
      </c>
      <c r="M1067" s="26" t="str">
        <f aca="false">IF($D1067="","",IFERROR(INDEX(ClientRates!$D$5:$D$500,MATCH($B1067&amp;"|"&amp;$L1067,ClientRates!$A$5:$A$500,0)),0))</f>
        <v/>
      </c>
      <c r="N1067" s="26" t="str">
        <f aca="false">IF($D1067="","",IFERROR(INDEX(ClientRates!$E$5:$E$500,MATCH($B1067&amp;"|"&amp;$L1067,ClientRates!$A$5:$A$500,0)),0))</f>
        <v/>
      </c>
      <c r="O1067" s="26" t="str">
        <f aca="false">IF($D1067="","",F1067*M1067+G1067*N1067)</f>
        <v/>
      </c>
      <c r="P1067" s="26" t="str">
        <f aca="false">IF(OR($D1067="",$J1067&lt;&gt;"Supplier"),"",IFERROR(INDEX(SupplierRates!$D$5:$D$500,MATCH($K1067&amp;"|"&amp;$L1067,SupplierRates!$A$5:$A$500,0)),0))</f>
        <v/>
      </c>
      <c r="Q1067" s="26" t="str">
        <f aca="false">IF(OR($D1067="",$J1067&lt;&gt;"Supplier"),"",IFERROR(INDEX(SupplierRates!$E$5:$E$500,MATCH($K1067&amp;"|"&amp;$L1067,SupplierRates!$A$5:$A$500,0)),0))</f>
        <v/>
      </c>
      <c r="R1067" s="26" t="n">
        <f aca="false">IF(OR($D1067="",$J1067&lt;&gt;"Supplier"),0,F1067*P1067+G1067*Q1067)</f>
        <v>0</v>
      </c>
      <c r="S1067" s="26" t="n">
        <f aca="false">IF(OR($D1067="",$J1067&lt;&gt;"Own"),0,IFERROR((F1067+G1067*Settings!$B$13)*INDEX(Workers!$V$5:$V$2004,MATCH($D1067,Workers!$A$5:$A$2004,0)),0))</f>
        <v>0</v>
      </c>
      <c r="T1067" s="26" t="str">
        <f aca="false">IF($D1067="","",O1067-R1067-S1067)</f>
        <v/>
      </c>
    </row>
    <row r="1068" customFormat="false" ht="15" hidden="false" customHeight="false" outlineLevel="0" collapsed="false">
      <c r="I1068" s="24" t="str">
        <f aca="false">IF($D1068="","",IFERROR(INDEX(Workers!$B$5:$B$2004,MATCH($D1068,Workers!$A$5:$A$2004,0)),"NOT FOUND"))</f>
        <v/>
      </c>
      <c r="J1068" s="24" t="str">
        <f aca="false">IF($D1068="","",IFERROR(INDEX(Workers!$C$5:$C$2004,MATCH($D1068,Workers!$A$5:$A$2004,0)),""))</f>
        <v/>
      </c>
      <c r="K1068" s="24" t="str">
        <f aca="false">IF($D1068="","",IFERROR(IF(INDEX(Workers!$D$5:$D$2004,MATCH($D1068,Workers!$A$5:$A$2004,0))=0,"",INDEX(Workers!$D$5:$D$2004,MATCH($D1068,Workers!$A$5:$A$2004,0))),""))</f>
        <v/>
      </c>
      <c r="L1068" s="24" t="str">
        <f aca="false">IF($D1068="","",IFERROR(INDEX(Workers!$E$5:$E$2004,MATCH($D1068,Workers!$A$5:$A$2004,0)),""))</f>
        <v/>
      </c>
      <c r="M1068" s="26" t="str">
        <f aca="false">IF($D1068="","",IFERROR(INDEX(ClientRates!$D$5:$D$500,MATCH($B1068&amp;"|"&amp;$L1068,ClientRates!$A$5:$A$500,0)),0))</f>
        <v/>
      </c>
      <c r="N1068" s="26" t="str">
        <f aca="false">IF($D1068="","",IFERROR(INDEX(ClientRates!$E$5:$E$500,MATCH($B1068&amp;"|"&amp;$L1068,ClientRates!$A$5:$A$500,0)),0))</f>
        <v/>
      </c>
      <c r="O1068" s="26" t="str">
        <f aca="false">IF($D1068="","",F1068*M1068+G1068*N1068)</f>
        <v/>
      </c>
      <c r="P1068" s="26" t="str">
        <f aca="false">IF(OR($D1068="",$J1068&lt;&gt;"Supplier"),"",IFERROR(INDEX(SupplierRates!$D$5:$D$500,MATCH($K1068&amp;"|"&amp;$L1068,SupplierRates!$A$5:$A$500,0)),0))</f>
        <v/>
      </c>
      <c r="Q1068" s="26" t="str">
        <f aca="false">IF(OR($D1068="",$J1068&lt;&gt;"Supplier"),"",IFERROR(INDEX(SupplierRates!$E$5:$E$500,MATCH($K1068&amp;"|"&amp;$L1068,SupplierRates!$A$5:$A$500,0)),0))</f>
        <v/>
      </c>
      <c r="R1068" s="26" t="n">
        <f aca="false">IF(OR($D1068="",$J1068&lt;&gt;"Supplier"),0,F1068*P1068+G1068*Q1068)</f>
        <v>0</v>
      </c>
      <c r="S1068" s="26" t="n">
        <f aca="false">IF(OR($D1068="",$J1068&lt;&gt;"Own"),0,IFERROR((F1068+G1068*Settings!$B$13)*INDEX(Workers!$V$5:$V$2004,MATCH($D1068,Workers!$A$5:$A$2004,0)),0))</f>
        <v>0</v>
      </c>
      <c r="T1068" s="26" t="str">
        <f aca="false">IF($D1068="","",O1068-R1068-S1068)</f>
        <v/>
      </c>
    </row>
    <row r="1069" customFormat="false" ht="15" hidden="false" customHeight="false" outlineLevel="0" collapsed="false">
      <c r="I1069" s="24" t="str">
        <f aca="false">IF($D1069="","",IFERROR(INDEX(Workers!$B$5:$B$2004,MATCH($D1069,Workers!$A$5:$A$2004,0)),"NOT FOUND"))</f>
        <v/>
      </c>
      <c r="J1069" s="24" t="str">
        <f aca="false">IF($D1069="","",IFERROR(INDEX(Workers!$C$5:$C$2004,MATCH($D1069,Workers!$A$5:$A$2004,0)),""))</f>
        <v/>
      </c>
      <c r="K1069" s="24" t="str">
        <f aca="false">IF($D1069="","",IFERROR(IF(INDEX(Workers!$D$5:$D$2004,MATCH($D1069,Workers!$A$5:$A$2004,0))=0,"",INDEX(Workers!$D$5:$D$2004,MATCH($D1069,Workers!$A$5:$A$2004,0))),""))</f>
        <v/>
      </c>
      <c r="L1069" s="24" t="str">
        <f aca="false">IF($D1069="","",IFERROR(INDEX(Workers!$E$5:$E$2004,MATCH($D1069,Workers!$A$5:$A$2004,0)),""))</f>
        <v/>
      </c>
      <c r="M1069" s="26" t="str">
        <f aca="false">IF($D1069="","",IFERROR(INDEX(ClientRates!$D$5:$D$500,MATCH($B1069&amp;"|"&amp;$L1069,ClientRates!$A$5:$A$500,0)),0))</f>
        <v/>
      </c>
      <c r="N1069" s="26" t="str">
        <f aca="false">IF($D1069="","",IFERROR(INDEX(ClientRates!$E$5:$E$500,MATCH($B1069&amp;"|"&amp;$L1069,ClientRates!$A$5:$A$500,0)),0))</f>
        <v/>
      </c>
      <c r="O1069" s="26" t="str">
        <f aca="false">IF($D1069="","",F1069*M1069+G1069*N1069)</f>
        <v/>
      </c>
      <c r="P1069" s="26" t="str">
        <f aca="false">IF(OR($D1069="",$J1069&lt;&gt;"Supplier"),"",IFERROR(INDEX(SupplierRates!$D$5:$D$500,MATCH($K1069&amp;"|"&amp;$L1069,SupplierRates!$A$5:$A$500,0)),0))</f>
        <v/>
      </c>
      <c r="Q1069" s="26" t="str">
        <f aca="false">IF(OR($D1069="",$J1069&lt;&gt;"Supplier"),"",IFERROR(INDEX(SupplierRates!$E$5:$E$500,MATCH($K1069&amp;"|"&amp;$L1069,SupplierRates!$A$5:$A$500,0)),0))</f>
        <v/>
      </c>
      <c r="R1069" s="26" t="n">
        <f aca="false">IF(OR($D1069="",$J1069&lt;&gt;"Supplier"),0,F1069*P1069+G1069*Q1069)</f>
        <v>0</v>
      </c>
      <c r="S1069" s="26" t="n">
        <f aca="false">IF(OR($D1069="",$J1069&lt;&gt;"Own"),0,IFERROR((F1069+G1069*Settings!$B$13)*INDEX(Workers!$V$5:$V$2004,MATCH($D1069,Workers!$A$5:$A$2004,0)),0))</f>
        <v>0</v>
      </c>
      <c r="T1069" s="26" t="str">
        <f aca="false">IF($D1069="","",O1069-R1069-S1069)</f>
        <v/>
      </c>
    </row>
    <row r="1070" customFormat="false" ht="15" hidden="false" customHeight="false" outlineLevel="0" collapsed="false">
      <c r="I1070" s="24" t="str">
        <f aca="false">IF($D1070="","",IFERROR(INDEX(Workers!$B$5:$B$2004,MATCH($D1070,Workers!$A$5:$A$2004,0)),"NOT FOUND"))</f>
        <v/>
      </c>
      <c r="J1070" s="24" t="str">
        <f aca="false">IF($D1070="","",IFERROR(INDEX(Workers!$C$5:$C$2004,MATCH($D1070,Workers!$A$5:$A$2004,0)),""))</f>
        <v/>
      </c>
      <c r="K1070" s="24" t="str">
        <f aca="false">IF($D1070="","",IFERROR(IF(INDEX(Workers!$D$5:$D$2004,MATCH($D1070,Workers!$A$5:$A$2004,0))=0,"",INDEX(Workers!$D$5:$D$2004,MATCH($D1070,Workers!$A$5:$A$2004,0))),""))</f>
        <v/>
      </c>
      <c r="L1070" s="24" t="str">
        <f aca="false">IF($D1070="","",IFERROR(INDEX(Workers!$E$5:$E$2004,MATCH($D1070,Workers!$A$5:$A$2004,0)),""))</f>
        <v/>
      </c>
      <c r="M1070" s="26" t="str">
        <f aca="false">IF($D1070="","",IFERROR(INDEX(ClientRates!$D$5:$D$500,MATCH($B1070&amp;"|"&amp;$L1070,ClientRates!$A$5:$A$500,0)),0))</f>
        <v/>
      </c>
      <c r="N1070" s="26" t="str">
        <f aca="false">IF($D1070="","",IFERROR(INDEX(ClientRates!$E$5:$E$500,MATCH($B1070&amp;"|"&amp;$L1070,ClientRates!$A$5:$A$500,0)),0))</f>
        <v/>
      </c>
      <c r="O1070" s="26" t="str">
        <f aca="false">IF($D1070="","",F1070*M1070+G1070*N1070)</f>
        <v/>
      </c>
      <c r="P1070" s="26" t="str">
        <f aca="false">IF(OR($D1070="",$J1070&lt;&gt;"Supplier"),"",IFERROR(INDEX(SupplierRates!$D$5:$D$500,MATCH($K1070&amp;"|"&amp;$L1070,SupplierRates!$A$5:$A$500,0)),0))</f>
        <v/>
      </c>
      <c r="Q1070" s="26" t="str">
        <f aca="false">IF(OR($D1070="",$J1070&lt;&gt;"Supplier"),"",IFERROR(INDEX(SupplierRates!$E$5:$E$500,MATCH($K1070&amp;"|"&amp;$L1070,SupplierRates!$A$5:$A$500,0)),0))</f>
        <v/>
      </c>
      <c r="R1070" s="26" t="n">
        <f aca="false">IF(OR($D1070="",$J1070&lt;&gt;"Supplier"),0,F1070*P1070+G1070*Q1070)</f>
        <v>0</v>
      </c>
      <c r="S1070" s="26" t="n">
        <f aca="false">IF(OR($D1070="",$J1070&lt;&gt;"Own"),0,IFERROR((F1070+G1070*Settings!$B$13)*INDEX(Workers!$V$5:$V$2004,MATCH($D1070,Workers!$A$5:$A$2004,0)),0))</f>
        <v>0</v>
      </c>
      <c r="T1070" s="26" t="str">
        <f aca="false">IF($D1070="","",O1070-R1070-S1070)</f>
        <v/>
      </c>
    </row>
    <row r="1071" customFormat="false" ht="15" hidden="false" customHeight="false" outlineLevel="0" collapsed="false">
      <c r="I1071" s="24" t="str">
        <f aca="false">IF($D1071="","",IFERROR(INDEX(Workers!$B$5:$B$2004,MATCH($D1071,Workers!$A$5:$A$2004,0)),"NOT FOUND"))</f>
        <v/>
      </c>
      <c r="J1071" s="24" t="str">
        <f aca="false">IF($D1071="","",IFERROR(INDEX(Workers!$C$5:$C$2004,MATCH($D1071,Workers!$A$5:$A$2004,0)),""))</f>
        <v/>
      </c>
      <c r="K1071" s="24" t="str">
        <f aca="false">IF($D1071="","",IFERROR(IF(INDEX(Workers!$D$5:$D$2004,MATCH($D1071,Workers!$A$5:$A$2004,0))=0,"",INDEX(Workers!$D$5:$D$2004,MATCH($D1071,Workers!$A$5:$A$2004,0))),""))</f>
        <v/>
      </c>
      <c r="L1071" s="24" t="str">
        <f aca="false">IF($D1071="","",IFERROR(INDEX(Workers!$E$5:$E$2004,MATCH($D1071,Workers!$A$5:$A$2004,0)),""))</f>
        <v/>
      </c>
      <c r="M1071" s="26" t="str">
        <f aca="false">IF($D1071="","",IFERROR(INDEX(ClientRates!$D$5:$D$500,MATCH($B1071&amp;"|"&amp;$L1071,ClientRates!$A$5:$A$500,0)),0))</f>
        <v/>
      </c>
      <c r="N1071" s="26" t="str">
        <f aca="false">IF($D1071="","",IFERROR(INDEX(ClientRates!$E$5:$E$500,MATCH($B1071&amp;"|"&amp;$L1071,ClientRates!$A$5:$A$500,0)),0))</f>
        <v/>
      </c>
      <c r="O1071" s="26" t="str">
        <f aca="false">IF($D1071="","",F1071*M1071+G1071*N1071)</f>
        <v/>
      </c>
      <c r="P1071" s="26" t="str">
        <f aca="false">IF(OR($D1071="",$J1071&lt;&gt;"Supplier"),"",IFERROR(INDEX(SupplierRates!$D$5:$D$500,MATCH($K1071&amp;"|"&amp;$L1071,SupplierRates!$A$5:$A$500,0)),0))</f>
        <v/>
      </c>
      <c r="Q1071" s="26" t="str">
        <f aca="false">IF(OR($D1071="",$J1071&lt;&gt;"Supplier"),"",IFERROR(INDEX(SupplierRates!$E$5:$E$500,MATCH($K1071&amp;"|"&amp;$L1071,SupplierRates!$A$5:$A$500,0)),0))</f>
        <v/>
      </c>
      <c r="R1071" s="26" t="n">
        <f aca="false">IF(OR($D1071="",$J1071&lt;&gt;"Supplier"),0,F1071*P1071+G1071*Q1071)</f>
        <v>0</v>
      </c>
      <c r="S1071" s="26" t="n">
        <f aca="false">IF(OR($D1071="",$J1071&lt;&gt;"Own"),0,IFERROR((F1071+G1071*Settings!$B$13)*INDEX(Workers!$V$5:$V$2004,MATCH($D1071,Workers!$A$5:$A$2004,0)),0))</f>
        <v>0</v>
      </c>
      <c r="T1071" s="26" t="str">
        <f aca="false">IF($D1071="","",O1071-R1071-S1071)</f>
        <v/>
      </c>
    </row>
    <row r="1072" customFormat="false" ht="15" hidden="false" customHeight="false" outlineLevel="0" collapsed="false">
      <c r="I1072" s="24" t="str">
        <f aca="false">IF($D1072="","",IFERROR(INDEX(Workers!$B$5:$B$2004,MATCH($D1072,Workers!$A$5:$A$2004,0)),"NOT FOUND"))</f>
        <v/>
      </c>
      <c r="J1072" s="24" t="str">
        <f aca="false">IF($D1072="","",IFERROR(INDEX(Workers!$C$5:$C$2004,MATCH($D1072,Workers!$A$5:$A$2004,0)),""))</f>
        <v/>
      </c>
      <c r="K1072" s="24" t="str">
        <f aca="false">IF($D1072="","",IFERROR(IF(INDEX(Workers!$D$5:$D$2004,MATCH($D1072,Workers!$A$5:$A$2004,0))=0,"",INDEX(Workers!$D$5:$D$2004,MATCH($D1072,Workers!$A$5:$A$2004,0))),""))</f>
        <v/>
      </c>
      <c r="L1072" s="24" t="str">
        <f aca="false">IF($D1072="","",IFERROR(INDEX(Workers!$E$5:$E$2004,MATCH($D1072,Workers!$A$5:$A$2004,0)),""))</f>
        <v/>
      </c>
      <c r="M1072" s="26" t="str">
        <f aca="false">IF($D1072="","",IFERROR(INDEX(ClientRates!$D$5:$D$500,MATCH($B1072&amp;"|"&amp;$L1072,ClientRates!$A$5:$A$500,0)),0))</f>
        <v/>
      </c>
      <c r="N1072" s="26" t="str">
        <f aca="false">IF($D1072="","",IFERROR(INDEX(ClientRates!$E$5:$E$500,MATCH($B1072&amp;"|"&amp;$L1072,ClientRates!$A$5:$A$500,0)),0))</f>
        <v/>
      </c>
      <c r="O1072" s="26" t="str">
        <f aca="false">IF($D1072="","",F1072*M1072+G1072*N1072)</f>
        <v/>
      </c>
      <c r="P1072" s="26" t="str">
        <f aca="false">IF(OR($D1072="",$J1072&lt;&gt;"Supplier"),"",IFERROR(INDEX(SupplierRates!$D$5:$D$500,MATCH($K1072&amp;"|"&amp;$L1072,SupplierRates!$A$5:$A$500,0)),0))</f>
        <v/>
      </c>
      <c r="Q1072" s="26" t="str">
        <f aca="false">IF(OR($D1072="",$J1072&lt;&gt;"Supplier"),"",IFERROR(INDEX(SupplierRates!$E$5:$E$500,MATCH($K1072&amp;"|"&amp;$L1072,SupplierRates!$A$5:$A$500,0)),0))</f>
        <v/>
      </c>
      <c r="R1072" s="26" t="n">
        <f aca="false">IF(OR($D1072="",$J1072&lt;&gt;"Supplier"),0,F1072*P1072+G1072*Q1072)</f>
        <v>0</v>
      </c>
      <c r="S1072" s="26" t="n">
        <f aca="false">IF(OR($D1072="",$J1072&lt;&gt;"Own"),0,IFERROR((F1072+G1072*Settings!$B$13)*INDEX(Workers!$V$5:$V$2004,MATCH($D1072,Workers!$A$5:$A$2004,0)),0))</f>
        <v>0</v>
      </c>
      <c r="T1072" s="26" t="str">
        <f aca="false">IF($D1072="","",O1072-R1072-S1072)</f>
        <v/>
      </c>
    </row>
    <row r="1073" customFormat="false" ht="15" hidden="false" customHeight="false" outlineLevel="0" collapsed="false">
      <c r="I1073" s="24" t="str">
        <f aca="false">IF($D1073="","",IFERROR(INDEX(Workers!$B$5:$B$2004,MATCH($D1073,Workers!$A$5:$A$2004,0)),"NOT FOUND"))</f>
        <v/>
      </c>
      <c r="J1073" s="24" t="str">
        <f aca="false">IF($D1073="","",IFERROR(INDEX(Workers!$C$5:$C$2004,MATCH($D1073,Workers!$A$5:$A$2004,0)),""))</f>
        <v/>
      </c>
      <c r="K1073" s="24" t="str">
        <f aca="false">IF($D1073="","",IFERROR(IF(INDEX(Workers!$D$5:$D$2004,MATCH($D1073,Workers!$A$5:$A$2004,0))=0,"",INDEX(Workers!$D$5:$D$2004,MATCH($D1073,Workers!$A$5:$A$2004,0))),""))</f>
        <v/>
      </c>
      <c r="L1073" s="24" t="str">
        <f aca="false">IF($D1073="","",IFERROR(INDEX(Workers!$E$5:$E$2004,MATCH($D1073,Workers!$A$5:$A$2004,0)),""))</f>
        <v/>
      </c>
      <c r="M1073" s="26" t="str">
        <f aca="false">IF($D1073="","",IFERROR(INDEX(ClientRates!$D$5:$D$500,MATCH($B1073&amp;"|"&amp;$L1073,ClientRates!$A$5:$A$500,0)),0))</f>
        <v/>
      </c>
      <c r="N1073" s="26" t="str">
        <f aca="false">IF($D1073="","",IFERROR(INDEX(ClientRates!$E$5:$E$500,MATCH($B1073&amp;"|"&amp;$L1073,ClientRates!$A$5:$A$500,0)),0))</f>
        <v/>
      </c>
      <c r="O1073" s="26" t="str">
        <f aca="false">IF($D1073="","",F1073*M1073+G1073*N1073)</f>
        <v/>
      </c>
      <c r="P1073" s="26" t="str">
        <f aca="false">IF(OR($D1073="",$J1073&lt;&gt;"Supplier"),"",IFERROR(INDEX(SupplierRates!$D$5:$D$500,MATCH($K1073&amp;"|"&amp;$L1073,SupplierRates!$A$5:$A$500,0)),0))</f>
        <v/>
      </c>
      <c r="Q1073" s="26" t="str">
        <f aca="false">IF(OR($D1073="",$J1073&lt;&gt;"Supplier"),"",IFERROR(INDEX(SupplierRates!$E$5:$E$500,MATCH($K1073&amp;"|"&amp;$L1073,SupplierRates!$A$5:$A$500,0)),0))</f>
        <v/>
      </c>
      <c r="R1073" s="26" t="n">
        <f aca="false">IF(OR($D1073="",$J1073&lt;&gt;"Supplier"),0,F1073*P1073+G1073*Q1073)</f>
        <v>0</v>
      </c>
      <c r="S1073" s="26" t="n">
        <f aca="false">IF(OR($D1073="",$J1073&lt;&gt;"Own"),0,IFERROR((F1073+G1073*Settings!$B$13)*INDEX(Workers!$V$5:$V$2004,MATCH($D1073,Workers!$A$5:$A$2004,0)),0))</f>
        <v>0</v>
      </c>
      <c r="T1073" s="26" t="str">
        <f aca="false">IF($D1073="","",O1073-R1073-S1073)</f>
        <v/>
      </c>
    </row>
    <row r="1074" customFormat="false" ht="15" hidden="false" customHeight="false" outlineLevel="0" collapsed="false">
      <c r="I1074" s="24" t="str">
        <f aca="false">IF($D1074="","",IFERROR(INDEX(Workers!$B$5:$B$2004,MATCH($D1074,Workers!$A$5:$A$2004,0)),"NOT FOUND"))</f>
        <v/>
      </c>
      <c r="J1074" s="24" t="str">
        <f aca="false">IF($D1074="","",IFERROR(INDEX(Workers!$C$5:$C$2004,MATCH($D1074,Workers!$A$5:$A$2004,0)),""))</f>
        <v/>
      </c>
      <c r="K1074" s="24" t="str">
        <f aca="false">IF($D1074="","",IFERROR(IF(INDEX(Workers!$D$5:$D$2004,MATCH($D1074,Workers!$A$5:$A$2004,0))=0,"",INDEX(Workers!$D$5:$D$2004,MATCH($D1074,Workers!$A$5:$A$2004,0))),""))</f>
        <v/>
      </c>
      <c r="L1074" s="24" t="str">
        <f aca="false">IF($D1074="","",IFERROR(INDEX(Workers!$E$5:$E$2004,MATCH($D1074,Workers!$A$5:$A$2004,0)),""))</f>
        <v/>
      </c>
      <c r="M1074" s="26" t="str">
        <f aca="false">IF($D1074="","",IFERROR(INDEX(ClientRates!$D$5:$D$500,MATCH($B1074&amp;"|"&amp;$L1074,ClientRates!$A$5:$A$500,0)),0))</f>
        <v/>
      </c>
      <c r="N1074" s="26" t="str">
        <f aca="false">IF($D1074="","",IFERROR(INDEX(ClientRates!$E$5:$E$500,MATCH($B1074&amp;"|"&amp;$L1074,ClientRates!$A$5:$A$500,0)),0))</f>
        <v/>
      </c>
      <c r="O1074" s="26" t="str">
        <f aca="false">IF($D1074="","",F1074*M1074+G1074*N1074)</f>
        <v/>
      </c>
      <c r="P1074" s="26" t="str">
        <f aca="false">IF(OR($D1074="",$J1074&lt;&gt;"Supplier"),"",IFERROR(INDEX(SupplierRates!$D$5:$D$500,MATCH($K1074&amp;"|"&amp;$L1074,SupplierRates!$A$5:$A$500,0)),0))</f>
        <v/>
      </c>
      <c r="Q1074" s="26" t="str">
        <f aca="false">IF(OR($D1074="",$J1074&lt;&gt;"Supplier"),"",IFERROR(INDEX(SupplierRates!$E$5:$E$500,MATCH($K1074&amp;"|"&amp;$L1074,SupplierRates!$A$5:$A$500,0)),0))</f>
        <v/>
      </c>
      <c r="R1074" s="26" t="n">
        <f aca="false">IF(OR($D1074="",$J1074&lt;&gt;"Supplier"),0,F1074*P1074+G1074*Q1074)</f>
        <v>0</v>
      </c>
      <c r="S1074" s="26" t="n">
        <f aca="false">IF(OR($D1074="",$J1074&lt;&gt;"Own"),0,IFERROR((F1074+G1074*Settings!$B$13)*INDEX(Workers!$V$5:$V$2004,MATCH($D1074,Workers!$A$5:$A$2004,0)),0))</f>
        <v>0</v>
      </c>
      <c r="T1074" s="26" t="str">
        <f aca="false">IF($D1074="","",O1074-R1074-S1074)</f>
        <v/>
      </c>
    </row>
    <row r="1075" customFormat="false" ht="15" hidden="false" customHeight="false" outlineLevel="0" collapsed="false">
      <c r="I1075" s="24" t="str">
        <f aca="false">IF($D1075="","",IFERROR(INDEX(Workers!$B$5:$B$2004,MATCH($D1075,Workers!$A$5:$A$2004,0)),"NOT FOUND"))</f>
        <v/>
      </c>
      <c r="J1075" s="24" t="str">
        <f aca="false">IF($D1075="","",IFERROR(INDEX(Workers!$C$5:$C$2004,MATCH($D1075,Workers!$A$5:$A$2004,0)),""))</f>
        <v/>
      </c>
      <c r="K1075" s="24" t="str">
        <f aca="false">IF($D1075="","",IFERROR(IF(INDEX(Workers!$D$5:$D$2004,MATCH($D1075,Workers!$A$5:$A$2004,0))=0,"",INDEX(Workers!$D$5:$D$2004,MATCH($D1075,Workers!$A$5:$A$2004,0))),""))</f>
        <v/>
      </c>
      <c r="L1075" s="24" t="str">
        <f aca="false">IF($D1075="","",IFERROR(INDEX(Workers!$E$5:$E$2004,MATCH($D1075,Workers!$A$5:$A$2004,0)),""))</f>
        <v/>
      </c>
      <c r="M1075" s="26" t="str">
        <f aca="false">IF($D1075="","",IFERROR(INDEX(ClientRates!$D$5:$D$500,MATCH($B1075&amp;"|"&amp;$L1075,ClientRates!$A$5:$A$500,0)),0))</f>
        <v/>
      </c>
      <c r="N1075" s="26" t="str">
        <f aca="false">IF($D1075="","",IFERROR(INDEX(ClientRates!$E$5:$E$500,MATCH($B1075&amp;"|"&amp;$L1075,ClientRates!$A$5:$A$500,0)),0))</f>
        <v/>
      </c>
      <c r="O1075" s="26" t="str">
        <f aca="false">IF($D1075="","",F1075*M1075+G1075*N1075)</f>
        <v/>
      </c>
      <c r="P1075" s="26" t="str">
        <f aca="false">IF(OR($D1075="",$J1075&lt;&gt;"Supplier"),"",IFERROR(INDEX(SupplierRates!$D$5:$D$500,MATCH($K1075&amp;"|"&amp;$L1075,SupplierRates!$A$5:$A$500,0)),0))</f>
        <v/>
      </c>
      <c r="Q1075" s="26" t="str">
        <f aca="false">IF(OR($D1075="",$J1075&lt;&gt;"Supplier"),"",IFERROR(INDEX(SupplierRates!$E$5:$E$500,MATCH($K1075&amp;"|"&amp;$L1075,SupplierRates!$A$5:$A$500,0)),0))</f>
        <v/>
      </c>
      <c r="R1075" s="26" t="n">
        <f aca="false">IF(OR($D1075="",$J1075&lt;&gt;"Supplier"),0,F1075*P1075+G1075*Q1075)</f>
        <v>0</v>
      </c>
      <c r="S1075" s="26" t="n">
        <f aca="false">IF(OR($D1075="",$J1075&lt;&gt;"Own"),0,IFERROR((F1075+G1075*Settings!$B$13)*INDEX(Workers!$V$5:$V$2004,MATCH($D1075,Workers!$A$5:$A$2004,0)),0))</f>
        <v>0</v>
      </c>
      <c r="T1075" s="26" t="str">
        <f aca="false">IF($D1075="","",O1075-R1075-S1075)</f>
        <v/>
      </c>
    </row>
    <row r="1076" customFormat="false" ht="15" hidden="false" customHeight="false" outlineLevel="0" collapsed="false">
      <c r="I1076" s="24" t="str">
        <f aca="false">IF($D1076="","",IFERROR(INDEX(Workers!$B$5:$B$2004,MATCH($D1076,Workers!$A$5:$A$2004,0)),"NOT FOUND"))</f>
        <v/>
      </c>
      <c r="J1076" s="24" t="str">
        <f aca="false">IF($D1076="","",IFERROR(INDEX(Workers!$C$5:$C$2004,MATCH($D1076,Workers!$A$5:$A$2004,0)),""))</f>
        <v/>
      </c>
      <c r="K1076" s="24" t="str">
        <f aca="false">IF($D1076="","",IFERROR(IF(INDEX(Workers!$D$5:$D$2004,MATCH($D1076,Workers!$A$5:$A$2004,0))=0,"",INDEX(Workers!$D$5:$D$2004,MATCH($D1076,Workers!$A$5:$A$2004,0))),""))</f>
        <v/>
      </c>
      <c r="L1076" s="24" t="str">
        <f aca="false">IF($D1076="","",IFERROR(INDEX(Workers!$E$5:$E$2004,MATCH($D1076,Workers!$A$5:$A$2004,0)),""))</f>
        <v/>
      </c>
      <c r="M1076" s="26" t="str">
        <f aca="false">IF($D1076="","",IFERROR(INDEX(ClientRates!$D$5:$D$500,MATCH($B1076&amp;"|"&amp;$L1076,ClientRates!$A$5:$A$500,0)),0))</f>
        <v/>
      </c>
      <c r="N1076" s="26" t="str">
        <f aca="false">IF($D1076="","",IFERROR(INDEX(ClientRates!$E$5:$E$500,MATCH($B1076&amp;"|"&amp;$L1076,ClientRates!$A$5:$A$500,0)),0))</f>
        <v/>
      </c>
      <c r="O1076" s="26" t="str">
        <f aca="false">IF($D1076="","",F1076*M1076+G1076*N1076)</f>
        <v/>
      </c>
      <c r="P1076" s="26" t="str">
        <f aca="false">IF(OR($D1076="",$J1076&lt;&gt;"Supplier"),"",IFERROR(INDEX(SupplierRates!$D$5:$D$500,MATCH($K1076&amp;"|"&amp;$L1076,SupplierRates!$A$5:$A$500,0)),0))</f>
        <v/>
      </c>
      <c r="Q1076" s="26" t="str">
        <f aca="false">IF(OR($D1076="",$J1076&lt;&gt;"Supplier"),"",IFERROR(INDEX(SupplierRates!$E$5:$E$500,MATCH($K1076&amp;"|"&amp;$L1076,SupplierRates!$A$5:$A$500,0)),0))</f>
        <v/>
      </c>
      <c r="R1076" s="26" t="n">
        <f aca="false">IF(OR($D1076="",$J1076&lt;&gt;"Supplier"),0,F1076*P1076+G1076*Q1076)</f>
        <v>0</v>
      </c>
      <c r="S1076" s="26" t="n">
        <f aca="false">IF(OR($D1076="",$J1076&lt;&gt;"Own"),0,IFERROR((F1076+G1076*Settings!$B$13)*INDEX(Workers!$V$5:$V$2004,MATCH($D1076,Workers!$A$5:$A$2004,0)),0))</f>
        <v>0</v>
      </c>
      <c r="T1076" s="26" t="str">
        <f aca="false">IF($D1076="","",O1076-R1076-S1076)</f>
        <v/>
      </c>
    </row>
    <row r="1077" customFormat="false" ht="15" hidden="false" customHeight="false" outlineLevel="0" collapsed="false">
      <c r="I1077" s="24" t="str">
        <f aca="false">IF($D1077="","",IFERROR(INDEX(Workers!$B$5:$B$2004,MATCH($D1077,Workers!$A$5:$A$2004,0)),"NOT FOUND"))</f>
        <v/>
      </c>
      <c r="J1077" s="24" t="str">
        <f aca="false">IF($D1077="","",IFERROR(INDEX(Workers!$C$5:$C$2004,MATCH($D1077,Workers!$A$5:$A$2004,0)),""))</f>
        <v/>
      </c>
      <c r="K1077" s="24" t="str">
        <f aca="false">IF($D1077="","",IFERROR(IF(INDEX(Workers!$D$5:$D$2004,MATCH($D1077,Workers!$A$5:$A$2004,0))=0,"",INDEX(Workers!$D$5:$D$2004,MATCH($D1077,Workers!$A$5:$A$2004,0))),""))</f>
        <v/>
      </c>
      <c r="L1077" s="24" t="str">
        <f aca="false">IF($D1077="","",IFERROR(INDEX(Workers!$E$5:$E$2004,MATCH($D1077,Workers!$A$5:$A$2004,0)),""))</f>
        <v/>
      </c>
      <c r="M1077" s="26" t="str">
        <f aca="false">IF($D1077="","",IFERROR(INDEX(ClientRates!$D$5:$D$500,MATCH($B1077&amp;"|"&amp;$L1077,ClientRates!$A$5:$A$500,0)),0))</f>
        <v/>
      </c>
      <c r="N1077" s="26" t="str">
        <f aca="false">IF($D1077="","",IFERROR(INDEX(ClientRates!$E$5:$E$500,MATCH($B1077&amp;"|"&amp;$L1077,ClientRates!$A$5:$A$500,0)),0))</f>
        <v/>
      </c>
      <c r="O1077" s="26" t="str">
        <f aca="false">IF($D1077="","",F1077*M1077+G1077*N1077)</f>
        <v/>
      </c>
      <c r="P1077" s="26" t="str">
        <f aca="false">IF(OR($D1077="",$J1077&lt;&gt;"Supplier"),"",IFERROR(INDEX(SupplierRates!$D$5:$D$500,MATCH($K1077&amp;"|"&amp;$L1077,SupplierRates!$A$5:$A$500,0)),0))</f>
        <v/>
      </c>
      <c r="Q1077" s="26" t="str">
        <f aca="false">IF(OR($D1077="",$J1077&lt;&gt;"Supplier"),"",IFERROR(INDEX(SupplierRates!$E$5:$E$500,MATCH($K1077&amp;"|"&amp;$L1077,SupplierRates!$A$5:$A$500,0)),0))</f>
        <v/>
      </c>
      <c r="R1077" s="26" t="n">
        <f aca="false">IF(OR($D1077="",$J1077&lt;&gt;"Supplier"),0,F1077*P1077+G1077*Q1077)</f>
        <v>0</v>
      </c>
      <c r="S1077" s="26" t="n">
        <f aca="false">IF(OR($D1077="",$J1077&lt;&gt;"Own"),0,IFERROR((F1077+G1077*Settings!$B$13)*INDEX(Workers!$V$5:$V$2004,MATCH($D1077,Workers!$A$5:$A$2004,0)),0))</f>
        <v>0</v>
      </c>
      <c r="T1077" s="26" t="str">
        <f aca="false">IF($D1077="","",O1077-R1077-S1077)</f>
        <v/>
      </c>
    </row>
    <row r="1078" customFormat="false" ht="15" hidden="false" customHeight="false" outlineLevel="0" collapsed="false">
      <c r="I1078" s="24" t="str">
        <f aca="false">IF($D1078="","",IFERROR(INDEX(Workers!$B$5:$B$2004,MATCH($D1078,Workers!$A$5:$A$2004,0)),"NOT FOUND"))</f>
        <v/>
      </c>
      <c r="J1078" s="24" t="str">
        <f aca="false">IF($D1078="","",IFERROR(INDEX(Workers!$C$5:$C$2004,MATCH($D1078,Workers!$A$5:$A$2004,0)),""))</f>
        <v/>
      </c>
      <c r="K1078" s="24" t="str">
        <f aca="false">IF($D1078="","",IFERROR(IF(INDEX(Workers!$D$5:$D$2004,MATCH($D1078,Workers!$A$5:$A$2004,0))=0,"",INDEX(Workers!$D$5:$D$2004,MATCH($D1078,Workers!$A$5:$A$2004,0))),""))</f>
        <v/>
      </c>
      <c r="L1078" s="24" t="str">
        <f aca="false">IF($D1078="","",IFERROR(INDEX(Workers!$E$5:$E$2004,MATCH($D1078,Workers!$A$5:$A$2004,0)),""))</f>
        <v/>
      </c>
      <c r="M1078" s="26" t="str">
        <f aca="false">IF($D1078="","",IFERROR(INDEX(ClientRates!$D$5:$D$500,MATCH($B1078&amp;"|"&amp;$L1078,ClientRates!$A$5:$A$500,0)),0))</f>
        <v/>
      </c>
      <c r="N1078" s="26" t="str">
        <f aca="false">IF($D1078="","",IFERROR(INDEX(ClientRates!$E$5:$E$500,MATCH($B1078&amp;"|"&amp;$L1078,ClientRates!$A$5:$A$500,0)),0))</f>
        <v/>
      </c>
      <c r="O1078" s="26" t="str">
        <f aca="false">IF($D1078="","",F1078*M1078+G1078*N1078)</f>
        <v/>
      </c>
      <c r="P1078" s="26" t="str">
        <f aca="false">IF(OR($D1078="",$J1078&lt;&gt;"Supplier"),"",IFERROR(INDEX(SupplierRates!$D$5:$D$500,MATCH($K1078&amp;"|"&amp;$L1078,SupplierRates!$A$5:$A$500,0)),0))</f>
        <v/>
      </c>
      <c r="Q1078" s="26" t="str">
        <f aca="false">IF(OR($D1078="",$J1078&lt;&gt;"Supplier"),"",IFERROR(INDEX(SupplierRates!$E$5:$E$500,MATCH($K1078&amp;"|"&amp;$L1078,SupplierRates!$A$5:$A$500,0)),0))</f>
        <v/>
      </c>
      <c r="R1078" s="26" t="n">
        <f aca="false">IF(OR($D1078="",$J1078&lt;&gt;"Supplier"),0,F1078*P1078+G1078*Q1078)</f>
        <v>0</v>
      </c>
      <c r="S1078" s="26" t="n">
        <f aca="false">IF(OR($D1078="",$J1078&lt;&gt;"Own"),0,IFERROR((F1078+G1078*Settings!$B$13)*INDEX(Workers!$V$5:$V$2004,MATCH($D1078,Workers!$A$5:$A$2004,0)),0))</f>
        <v>0</v>
      </c>
      <c r="T1078" s="26" t="str">
        <f aca="false">IF($D1078="","",O1078-R1078-S1078)</f>
        <v/>
      </c>
    </row>
    <row r="1079" customFormat="false" ht="15" hidden="false" customHeight="false" outlineLevel="0" collapsed="false">
      <c r="I1079" s="24" t="str">
        <f aca="false">IF($D1079="","",IFERROR(INDEX(Workers!$B$5:$B$2004,MATCH($D1079,Workers!$A$5:$A$2004,0)),"NOT FOUND"))</f>
        <v/>
      </c>
      <c r="J1079" s="24" t="str">
        <f aca="false">IF($D1079="","",IFERROR(INDEX(Workers!$C$5:$C$2004,MATCH($D1079,Workers!$A$5:$A$2004,0)),""))</f>
        <v/>
      </c>
      <c r="K1079" s="24" t="str">
        <f aca="false">IF($D1079="","",IFERROR(IF(INDEX(Workers!$D$5:$D$2004,MATCH($D1079,Workers!$A$5:$A$2004,0))=0,"",INDEX(Workers!$D$5:$D$2004,MATCH($D1079,Workers!$A$5:$A$2004,0))),""))</f>
        <v/>
      </c>
      <c r="L1079" s="24" t="str">
        <f aca="false">IF($D1079="","",IFERROR(INDEX(Workers!$E$5:$E$2004,MATCH($D1079,Workers!$A$5:$A$2004,0)),""))</f>
        <v/>
      </c>
      <c r="M1079" s="26" t="str">
        <f aca="false">IF($D1079="","",IFERROR(INDEX(ClientRates!$D$5:$D$500,MATCH($B1079&amp;"|"&amp;$L1079,ClientRates!$A$5:$A$500,0)),0))</f>
        <v/>
      </c>
      <c r="N1079" s="26" t="str">
        <f aca="false">IF($D1079="","",IFERROR(INDEX(ClientRates!$E$5:$E$500,MATCH($B1079&amp;"|"&amp;$L1079,ClientRates!$A$5:$A$500,0)),0))</f>
        <v/>
      </c>
      <c r="O1079" s="26" t="str">
        <f aca="false">IF($D1079="","",F1079*M1079+G1079*N1079)</f>
        <v/>
      </c>
      <c r="P1079" s="26" t="str">
        <f aca="false">IF(OR($D1079="",$J1079&lt;&gt;"Supplier"),"",IFERROR(INDEX(SupplierRates!$D$5:$D$500,MATCH($K1079&amp;"|"&amp;$L1079,SupplierRates!$A$5:$A$500,0)),0))</f>
        <v/>
      </c>
      <c r="Q1079" s="26" t="str">
        <f aca="false">IF(OR($D1079="",$J1079&lt;&gt;"Supplier"),"",IFERROR(INDEX(SupplierRates!$E$5:$E$500,MATCH($K1079&amp;"|"&amp;$L1079,SupplierRates!$A$5:$A$500,0)),0))</f>
        <v/>
      </c>
      <c r="R1079" s="26" t="n">
        <f aca="false">IF(OR($D1079="",$J1079&lt;&gt;"Supplier"),0,F1079*P1079+G1079*Q1079)</f>
        <v>0</v>
      </c>
      <c r="S1079" s="26" t="n">
        <f aca="false">IF(OR($D1079="",$J1079&lt;&gt;"Own"),0,IFERROR((F1079+G1079*Settings!$B$13)*INDEX(Workers!$V$5:$V$2004,MATCH($D1079,Workers!$A$5:$A$2004,0)),0))</f>
        <v>0</v>
      </c>
      <c r="T1079" s="26" t="str">
        <f aca="false">IF($D1079="","",O1079-R1079-S1079)</f>
        <v/>
      </c>
    </row>
    <row r="1080" customFormat="false" ht="15" hidden="false" customHeight="false" outlineLevel="0" collapsed="false">
      <c r="I1080" s="24" t="str">
        <f aca="false">IF($D1080="","",IFERROR(INDEX(Workers!$B$5:$B$2004,MATCH($D1080,Workers!$A$5:$A$2004,0)),"NOT FOUND"))</f>
        <v/>
      </c>
      <c r="J1080" s="24" t="str">
        <f aca="false">IF($D1080="","",IFERROR(INDEX(Workers!$C$5:$C$2004,MATCH($D1080,Workers!$A$5:$A$2004,0)),""))</f>
        <v/>
      </c>
      <c r="K1080" s="24" t="str">
        <f aca="false">IF($D1080="","",IFERROR(IF(INDEX(Workers!$D$5:$D$2004,MATCH($D1080,Workers!$A$5:$A$2004,0))=0,"",INDEX(Workers!$D$5:$D$2004,MATCH($D1080,Workers!$A$5:$A$2004,0))),""))</f>
        <v/>
      </c>
      <c r="L1080" s="24" t="str">
        <f aca="false">IF($D1080="","",IFERROR(INDEX(Workers!$E$5:$E$2004,MATCH($D1080,Workers!$A$5:$A$2004,0)),""))</f>
        <v/>
      </c>
      <c r="M1080" s="26" t="str">
        <f aca="false">IF($D1080="","",IFERROR(INDEX(ClientRates!$D$5:$D$500,MATCH($B1080&amp;"|"&amp;$L1080,ClientRates!$A$5:$A$500,0)),0))</f>
        <v/>
      </c>
      <c r="N1080" s="26" t="str">
        <f aca="false">IF($D1080="","",IFERROR(INDEX(ClientRates!$E$5:$E$500,MATCH($B1080&amp;"|"&amp;$L1080,ClientRates!$A$5:$A$500,0)),0))</f>
        <v/>
      </c>
      <c r="O1080" s="26" t="str">
        <f aca="false">IF($D1080="","",F1080*M1080+G1080*N1080)</f>
        <v/>
      </c>
      <c r="P1080" s="26" t="str">
        <f aca="false">IF(OR($D1080="",$J1080&lt;&gt;"Supplier"),"",IFERROR(INDEX(SupplierRates!$D$5:$D$500,MATCH($K1080&amp;"|"&amp;$L1080,SupplierRates!$A$5:$A$500,0)),0))</f>
        <v/>
      </c>
      <c r="Q1080" s="26" t="str">
        <f aca="false">IF(OR($D1080="",$J1080&lt;&gt;"Supplier"),"",IFERROR(INDEX(SupplierRates!$E$5:$E$500,MATCH($K1080&amp;"|"&amp;$L1080,SupplierRates!$A$5:$A$500,0)),0))</f>
        <v/>
      </c>
      <c r="R1080" s="26" t="n">
        <f aca="false">IF(OR($D1080="",$J1080&lt;&gt;"Supplier"),0,F1080*P1080+G1080*Q1080)</f>
        <v>0</v>
      </c>
      <c r="S1080" s="26" t="n">
        <f aca="false">IF(OR($D1080="",$J1080&lt;&gt;"Own"),0,IFERROR((F1080+G1080*Settings!$B$13)*INDEX(Workers!$V$5:$V$2004,MATCH($D1080,Workers!$A$5:$A$2004,0)),0))</f>
        <v>0</v>
      </c>
      <c r="T1080" s="26" t="str">
        <f aca="false">IF($D1080="","",O1080-R1080-S1080)</f>
        <v/>
      </c>
    </row>
    <row r="1081" customFormat="false" ht="15" hidden="false" customHeight="false" outlineLevel="0" collapsed="false">
      <c r="I1081" s="24" t="str">
        <f aca="false">IF($D1081="","",IFERROR(INDEX(Workers!$B$5:$B$2004,MATCH($D1081,Workers!$A$5:$A$2004,0)),"NOT FOUND"))</f>
        <v/>
      </c>
      <c r="J1081" s="24" t="str">
        <f aca="false">IF($D1081="","",IFERROR(INDEX(Workers!$C$5:$C$2004,MATCH($D1081,Workers!$A$5:$A$2004,0)),""))</f>
        <v/>
      </c>
      <c r="K1081" s="24" t="str">
        <f aca="false">IF($D1081="","",IFERROR(IF(INDEX(Workers!$D$5:$D$2004,MATCH($D1081,Workers!$A$5:$A$2004,0))=0,"",INDEX(Workers!$D$5:$D$2004,MATCH($D1081,Workers!$A$5:$A$2004,0))),""))</f>
        <v/>
      </c>
      <c r="L1081" s="24" t="str">
        <f aca="false">IF($D1081="","",IFERROR(INDEX(Workers!$E$5:$E$2004,MATCH($D1081,Workers!$A$5:$A$2004,0)),""))</f>
        <v/>
      </c>
      <c r="M1081" s="26" t="str">
        <f aca="false">IF($D1081="","",IFERROR(INDEX(ClientRates!$D$5:$D$500,MATCH($B1081&amp;"|"&amp;$L1081,ClientRates!$A$5:$A$500,0)),0))</f>
        <v/>
      </c>
      <c r="N1081" s="26" t="str">
        <f aca="false">IF($D1081="","",IFERROR(INDEX(ClientRates!$E$5:$E$500,MATCH($B1081&amp;"|"&amp;$L1081,ClientRates!$A$5:$A$500,0)),0))</f>
        <v/>
      </c>
      <c r="O1081" s="26" t="str">
        <f aca="false">IF($D1081="","",F1081*M1081+G1081*N1081)</f>
        <v/>
      </c>
      <c r="P1081" s="26" t="str">
        <f aca="false">IF(OR($D1081="",$J1081&lt;&gt;"Supplier"),"",IFERROR(INDEX(SupplierRates!$D$5:$D$500,MATCH($K1081&amp;"|"&amp;$L1081,SupplierRates!$A$5:$A$500,0)),0))</f>
        <v/>
      </c>
      <c r="Q1081" s="26" t="str">
        <f aca="false">IF(OR($D1081="",$J1081&lt;&gt;"Supplier"),"",IFERROR(INDEX(SupplierRates!$E$5:$E$500,MATCH($K1081&amp;"|"&amp;$L1081,SupplierRates!$A$5:$A$500,0)),0))</f>
        <v/>
      </c>
      <c r="R1081" s="26" t="n">
        <f aca="false">IF(OR($D1081="",$J1081&lt;&gt;"Supplier"),0,F1081*P1081+G1081*Q1081)</f>
        <v>0</v>
      </c>
      <c r="S1081" s="26" t="n">
        <f aca="false">IF(OR($D1081="",$J1081&lt;&gt;"Own"),0,IFERROR((F1081+G1081*Settings!$B$13)*INDEX(Workers!$V$5:$V$2004,MATCH($D1081,Workers!$A$5:$A$2004,0)),0))</f>
        <v>0</v>
      </c>
      <c r="T1081" s="26" t="str">
        <f aca="false">IF($D1081="","",O1081-R1081-S1081)</f>
        <v/>
      </c>
    </row>
    <row r="1082" customFormat="false" ht="15" hidden="false" customHeight="false" outlineLevel="0" collapsed="false">
      <c r="I1082" s="24" t="str">
        <f aca="false">IF($D1082="","",IFERROR(INDEX(Workers!$B$5:$B$2004,MATCH($D1082,Workers!$A$5:$A$2004,0)),"NOT FOUND"))</f>
        <v/>
      </c>
      <c r="J1082" s="24" t="str">
        <f aca="false">IF($D1082="","",IFERROR(INDEX(Workers!$C$5:$C$2004,MATCH($D1082,Workers!$A$5:$A$2004,0)),""))</f>
        <v/>
      </c>
      <c r="K1082" s="24" t="str">
        <f aca="false">IF($D1082="","",IFERROR(IF(INDEX(Workers!$D$5:$D$2004,MATCH($D1082,Workers!$A$5:$A$2004,0))=0,"",INDEX(Workers!$D$5:$D$2004,MATCH($D1082,Workers!$A$5:$A$2004,0))),""))</f>
        <v/>
      </c>
      <c r="L1082" s="24" t="str">
        <f aca="false">IF($D1082="","",IFERROR(INDEX(Workers!$E$5:$E$2004,MATCH($D1082,Workers!$A$5:$A$2004,0)),""))</f>
        <v/>
      </c>
      <c r="M1082" s="26" t="str">
        <f aca="false">IF($D1082="","",IFERROR(INDEX(ClientRates!$D$5:$D$500,MATCH($B1082&amp;"|"&amp;$L1082,ClientRates!$A$5:$A$500,0)),0))</f>
        <v/>
      </c>
      <c r="N1082" s="26" t="str">
        <f aca="false">IF($D1082="","",IFERROR(INDEX(ClientRates!$E$5:$E$500,MATCH($B1082&amp;"|"&amp;$L1082,ClientRates!$A$5:$A$500,0)),0))</f>
        <v/>
      </c>
      <c r="O1082" s="26" t="str">
        <f aca="false">IF($D1082="","",F1082*M1082+G1082*N1082)</f>
        <v/>
      </c>
      <c r="P1082" s="26" t="str">
        <f aca="false">IF(OR($D1082="",$J1082&lt;&gt;"Supplier"),"",IFERROR(INDEX(SupplierRates!$D$5:$D$500,MATCH($K1082&amp;"|"&amp;$L1082,SupplierRates!$A$5:$A$500,0)),0))</f>
        <v/>
      </c>
      <c r="Q1082" s="26" t="str">
        <f aca="false">IF(OR($D1082="",$J1082&lt;&gt;"Supplier"),"",IFERROR(INDEX(SupplierRates!$E$5:$E$500,MATCH($K1082&amp;"|"&amp;$L1082,SupplierRates!$A$5:$A$500,0)),0))</f>
        <v/>
      </c>
      <c r="R1082" s="26" t="n">
        <f aca="false">IF(OR($D1082="",$J1082&lt;&gt;"Supplier"),0,F1082*P1082+G1082*Q1082)</f>
        <v>0</v>
      </c>
      <c r="S1082" s="26" t="n">
        <f aca="false">IF(OR($D1082="",$J1082&lt;&gt;"Own"),0,IFERROR((F1082+G1082*Settings!$B$13)*INDEX(Workers!$V$5:$V$2004,MATCH($D1082,Workers!$A$5:$A$2004,0)),0))</f>
        <v>0</v>
      </c>
      <c r="T1082" s="26" t="str">
        <f aca="false">IF($D1082="","",O1082-R1082-S1082)</f>
        <v/>
      </c>
    </row>
    <row r="1083" customFormat="false" ht="15" hidden="false" customHeight="false" outlineLevel="0" collapsed="false">
      <c r="I1083" s="24" t="str">
        <f aca="false">IF($D1083="","",IFERROR(INDEX(Workers!$B$5:$B$2004,MATCH($D1083,Workers!$A$5:$A$2004,0)),"NOT FOUND"))</f>
        <v/>
      </c>
      <c r="J1083" s="24" t="str">
        <f aca="false">IF($D1083="","",IFERROR(INDEX(Workers!$C$5:$C$2004,MATCH($D1083,Workers!$A$5:$A$2004,0)),""))</f>
        <v/>
      </c>
      <c r="K1083" s="24" t="str">
        <f aca="false">IF($D1083="","",IFERROR(IF(INDEX(Workers!$D$5:$D$2004,MATCH($D1083,Workers!$A$5:$A$2004,0))=0,"",INDEX(Workers!$D$5:$D$2004,MATCH($D1083,Workers!$A$5:$A$2004,0))),""))</f>
        <v/>
      </c>
      <c r="L1083" s="24" t="str">
        <f aca="false">IF($D1083="","",IFERROR(INDEX(Workers!$E$5:$E$2004,MATCH($D1083,Workers!$A$5:$A$2004,0)),""))</f>
        <v/>
      </c>
      <c r="M1083" s="26" t="str">
        <f aca="false">IF($D1083="","",IFERROR(INDEX(ClientRates!$D$5:$D$500,MATCH($B1083&amp;"|"&amp;$L1083,ClientRates!$A$5:$A$500,0)),0))</f>
        <v/>
      </c>
      <c r="N1083" s="26" t="str">
        <f aca="false">IF($D1083="","",IFERROR(INDEX(ClientRates!$E$5:$E$500,MATCH($B1083&amp;"|"&amp;$L1083,ClientRates!$A$5:$A$500,0)),0))</f>
        <v/>
      </c>
      <c r="O1083" s="26" t="str">
        <f aca="false">IF($D1083="","",F1083*M1083+G1083*N1083)</f>
        <v/>
      </c>
      <c r="P1083" s="26" t="str">
        <f aca="false">IF(OR($D1083="",$J1083&lt;&gt;"Supplier"),"",IFERROR(INDEX(SupplierRates!$D$5:$D$500,MATCH($K1083&amp;"|"&amp;$L1083,SupplierRates!$A$5:$A$500,0)),0))</f>
        <v/>
      </c>
      <c r="Q1083" s="26" t="str">
        <f aca="false">IF(OR($D1083="",$J1083&lt;&gt;"Supplier"),"",IFERROR(INDEX(SupplierRates!$E$5:$E$500,MATCH($K1083&amp;"|"&amp;$L1083,SupplierRates!$A$5:$A$500,0)),0))</f>
        <v/>
      </c>
      <c r="R1083" s="26" t="n">
        <f aca="false">IF(OR($D1083="",$J1083&lt;&gt;"Supplier"),0,F1083*P1083+G1083*Q1083)</f>
        <v>0</v>
      </c>
      <c r="S1083" s="26" t="n">
        <f aca="false">IF(OR($D1083="",$J1083&lt;&gt;"Own"),0,IFERROR((F1083+G1083*Settings!$B$13)*INDEX(Workers!$V$5:$V$2004,MATCH($D1083,Workers!$A$5:$A$2004,0)),0))</f>
        <v>0</v>
      </c>
      <c r="T1083" s="26" t="str">
        <f aca="false">IF($D1083="","",O1083-R1083-S1083)</f>
        <v/>
      </c>
    </row>
    <row r="1084" customFormat="false" ht="15" hidden="false" customHeight="false" outlineLevel="0" collapsed="false">
      <c r="I1084" s="24" t="str">
        <f aca="false">IF($D1084="","",IFERROR(INDEX(Workers!$B$5:$B$2004,MATCH($D1084,Workers!$A$5:$A$2004,0)),"NOT FOUND"))</f>
        <v/>
      </c>
      <c r="J1084" s="24" t="str">
        <f aca="false">IF($D1084="","",IFERROR(INDEX(Workers!$C$5:$C$2004,MATCH($D1084,Workers!$A$5:$A$2004,0)),""))</f>
        <v/>
      </c>
      <c r="K1084" s="24" t="str">
        <f aca="false">IF($D1084="","",IFERROR(IF(INDEX(Workers!$D$5:$D$2004,MATCH($D1084,Workers!$A$5:$A$2004,0))=0,"",INDEX(Workers!$D$5:$D$2004,MATCH($D1084,Workers!$A$5:$A$2004,0))),""))</f>
        <v/>
      </c>
      <c r="L1084" s="24" t="str">
        <f aca="false">IF($D1084="","",IFERROR(INDEX(Workers!$E$5:$E$2004,MATCH($D1084,Workers!$A$5:$A$2004,0)),""))</f>
        <v/>
      </c>
      <c r="M1084" s="26" t="str">
        <f aca="false">IF($D1084="","",IFERROR(INDEX(ClientRates!$D$5:$D$500,MATCH($B1084&amp;"|"&amp;$L1084,ClientRates!$A$5:$A$500,0)),0))</f>
        <v/>
      </c>
      <c r="N1084" s="26" t="str">
        <f aca="false">IF($D1084="","",IFERROR(INDEX(ClientRates!$E$5:$E$500,MATCH($B1084&amp;"|"&amp;$L1084,ClientRates!$A$5:$A$500,0)),0))</f>
        <v/>
      </c>
      <c r="O1084" s="26" t="str">
        <f aca="false">IF($D1084="","",F1084*M1084+G1084*N1084)</f>
        <v/>
      </c>
      <c r="P1084" s="26" t="str">
        <f aca="false">IF(OR($D1084="",$J1084&lt;&gt;"Supplier"),"",IFERROR(INDEX(SupplierRates!$D$5:$D$500,MATCH($K1084&amp;"|"&amp;$L1084,SupplierRates!$A$5:$A$500,0)),0))</f>
        <v/>
      </c>
      <c r="Q1084" s="26" t="str">
        <f aca="false">IF(OR($D1084="",$J1084&lt;&gt;"Supplier"),"",IFERROR(INDEX(SupplierRates!$E$5:$E$500,MATCH($K1084&amp;"|"&amp;$L1084,SupplierRates!$A$5:$A$500,0)),0))</f>
        <v/>
      </c>
      <c r="R1084" s="26" t="n">
        <f aca="false">IF(OR($D1084="",$J1084&lt;&gt;"Supplier"),0,F1084*P1084+G1084*Q1084)</f>
        <v>0</v>
      </c>
      <c r="S1084" s="26" t="n">
        <f aca="false">IF(OR($D1084="",$J1084&lt;&gt;"Own"),0,IFERROR((F1084+G1084*Settings!$B$13)*INDEX(Workers!$V$5:$V$2004,MATCH($D1084,Workers!$A$5:$A$2004,0)),0))</f>
        <v>0</v>
      </c>
      <c r="T1084" s="26" t="str">
        <f aca="false">IF($D1084="","",O1084-R1084-S1084)</f>
        <v/>
      </c>
    </row>
    <row r="1085" customFormat="false" ht="15" hidden="false" customHeight="false" outlineLevel="0" collapsed="false">
      <c r="I1085" s="24" t="str">
        <f aca="false">IF($D1085="","",IFERROR(INDEX(Workers!$B$5:$B$2004,MATCH($D1085,Workers!$A$5:$A$2004,0)),"NOT FOUND"))</f>
        <v/>
      </c>
      <c r="J1085" s="24" t="str">
        <f aca="false">IF($D1085="","",IFERROR(INDEX(Workers!$C$5:$C$2004,MATCH($D1085,Workers!$A$5:$A$2004,0)),""))</f>
        <v/>
      </c>
      <c r="K1085" s="24" t="str">
        <f aca="false">IF($D1085="","",IFERROR(IF(INDEX(Workers!$D$5:$D$2004,MATCH($D1085,Workers!$A$5:$A$2004,0))=0,"",INDEX(Workers!$D$5:$D$2004,MATCH($D1085,Workers!$A$5:$A$2004,0))),""))</f>
        <v/>
      </c>
      <c r="L1085" s="24" t="str">
        <f aca="false">IF($D1085="","",IFERROR(INDEX(Workers!$E$5:$E$2004,MATCH($D1085,Workers!$A$5:$A$2004,0)),""))</f>
        <v/>
      </c>
      <c r="M1085" s="26" t="str">
        <f aca="false">IF($D1085="","",IFERROR(INDEX(ClientRates!$D$5:$D$500,MATCH($B1085&amp;"|"&amp;$L1085,ClientRates!$A$5:$A$500,0)),0))</f>
        <v/>
      </c>
      <c r="N1085" s="26" t="str">
        <f aca="false">IF($D1085="","",IFERROR(INDEX(ClientRates!$E$5:$E$500,MATCH($B1085&amp;"|"&amp;$L1085,ClientRates!$A$5:$A$500,0)),0))</f>
        <v/>
      </c>
      <c r="O1085" s="26" t="str">
        <f aca="false">IF($D1085="","",F1085*M1085+G1085*N1085)</f>
        <v/>
      </c>
      <c r="P1085" s="26" t="str">
        <f aca="false">IF(OR($D1085="",$J1085&lt;&gt;"Supplier"),"",IFERROR(INDEX(SupplierRates!$D$5:$D$500,MATCH($K1085&amp;"|"&amp;$L1085,SupplierRates!$A$5:$A$500,0)),0))</f>
        <v/>
      </c>
      <c r="Q1085" s="26" t="str">
        <f aca="false">IF(OR($D1085="",$J1085&lt;&gt;"Supplier"),"",IFERROR(INDEX(SupplierRates!$E$5:$E$500,MATCH($K1085&amp;"|"&amp;$L1085,SupplierRates!$A$5:$A$500,0)),0))</f>
        <v/>
      </c>
      <c r="R1085" s="26" t="n">
        <f aca="false">IF(OR($D1085="",$J1085&lt;&gt;"Supplier"),0,F1085*P1085+G1085*Q1085)</f>
        <v>0</v>
      </c>
      <c r="S1085" s="26" t="n">
        <f aca="false">IF(OR($D1085="",$J1085&lt;&gt;"Own"),0,IFERROR((F1085+G1085*Settings!$B$13)*INDEX(Workers!$V$5:$V$2004,MATCH($D1085,Workers!$A$5:$A$2004,0)),0))</f>
        <v>0</v>
      </c>
      <c r="T1085" s="26" t="str">
        <f aca="false">IF($D1085="","",O1085-R1085-S1085)</f>
        <v/>
      </c>
    </row>
    <row r="1086" customFormat="false" ht="15" hidden="false" customHeight="false" outlineLevel="0" collapsed="false">
      <c r="I1086" s="24" t="str">
        <f aca="false">IF($D1086="","",IFERROR(INDEX(Workers!$B$5:$B$2004,MATCH($D1086,Workers!$A$5:$A$2004,0)),"NOT FOUND"))</f>
        <v/>
      </c>
      <c r="J1086" s="24" t="str">
        <f aca="false">IF($D1086="","",IFERROR(INDEX(Workers!$C$5:$C$2004,MATCH($D1086,Workers!$A$5:$A$2004,0)),""))</f>
        <v/>
      </c>
      <c r="K1086" s="24" t="str">
        <f aca="false">IF($D1086="","",IFERROR(IF(INDEX(Workers!$D$5:$D$2004,MATCH($D1086,Workers!$A$5:$A$2004,0))=0,"",INDEX(Workers!$D$5:$D$2004,MATCH($D1086,Workers!$A$5:$A$2004,0))),""))</f>
        <v/>
      </c>
      <c r="L1086" s="24" t="str">
        <f aca="false">IF($D1086="","",IFERROR(INDEX(Workers!$E$5:$E$2004,MATCH($D1086,Workers!$A$5:$A$2004,0)),""))</f>
        <v/>
      </c>
      <c r="M1086" s="26" t="str">
        <f aca="false">IF($D1086="","",IFERROR(INDEX(ClientRates!$D$5:$D$500,MATCH($B1086&amp;"|"&amp;$L1086,ClientRates!$A$5:$A$500,0)),0))</f>
        <v/>
      </c>
      <c r="N1086" s="26" t="str">
        <f aca="false">IF($D1086="","",IFERROR(INDEX(ClientRates!$E$5:$E$500,MATCH($B1086&amp;"|"&amp;$L1086,ClientRates!$A$5:$A$500,0)),0))</f>
        <v/>
      </c>
      <c r="O1086" s="26" t="str">
        <f aca="false">IF($D1086="","",F1086*M1086+G1086*N1086)</f>
        <v/>
      </c>
      <c r="P1086" s="26" t="str">
        <f aca="false">IF(OR($D1086="",$J1086&lt;&gt;"Supplier"),"",IFERROR(INDEX(SupplierRates!$D$5:$D$500,MATCH($K1086&amp;"|"&amp;$L1086,SupplierRates!$A$5:$A$500,0)),0))</f>
        <v/>
      </c>
      <c r="Q1086" s="26" t="str">
        <f aca="false">IF(OR($D1086="",$J1086&lt;&gt;"Supplier"),"",IFERROR(INDEX(SupplierRates!$E$5:$E$500,MATCH($K1086&amp;"|"&amp;$L1086,SupplierRates!$A$5:$A$500,0)),0))</f>
        <v/>
      </c>
      <c r="R1086" s="26" t="n">
        <f aca="false">IF(OR($D1086="",$J1086&lt;&gt;"Supplier"),0,F1086*P1086+G1086*Q1086)</f>
        <v>0</v>
      </c>
      <c r="S1086" s="26" t="n">
        <f aca="false">IF(OR($D1086="",$J1086&lt;&gt;"Own"),0,IFERROR((F1086+G1086*Settings!$B$13)*INDEX(Workers!$V$5:$V$2004,MATCH($D1086,Workers!$A$5:$A$2004,0)),0))</f>
        <v>0</v>
      </c>
      <c r="T1086" s="26" t="str">
        <f aca="false">IF($D1086="","",O1086-R1086-S1086)</f>
        <v/>
      </c>
    </row>
    <row r="1087" customFormat="false" ht="15" hidden="false" customHeight="false" outlineLevel="0" collapsed="false">
      <c r="I1087" s="24" t="str">
        <f aca="false">IF($D1087="","",IFERROR(INDEX(Workers!$B$5:$B$2004,MATCH($D1087,Workers!$A$5:$A$2004,0)),"NOT FOUND"))</f>
        <v/>
      </c>
      <c r="J1087" s="24" t="str">
        <f aca="false">IF($D1087="","",IFERROR(INDEX(Workers!$C$5:$C$2004,MATCH($D1087,Workers!$A$5:$A$2004,0)),""))</f>
        <v/>
      </c>
      <c r="K1087" s="24" t="str">
        <f aca="false">IF($D1087="","",IFERROR(IF(INDEX(Workers!$D$5:$D$2004,MATCH($D1087,Workers!$A$5:$A$2004,0))=0,"",INDEX(Workers!$D$5:$D$2004,MATCH($D1087,Workers!$A$5:$A$2004,0))),""))</f>
        <v/>
      </c>
      <c r="L1087" s="24" t="str">
        <f aca="false">IF($D1087="","",IFERROR(INDEX(Workers!$E$5:$E$2004,MATCH($D1087,Workers!$A$5:$A$2004,0)),""))</f>
        <v/>
      </c>
      <c r="M1087" s="26" t="str">
        <f aca="false">IF($D1087="","",IFERROR(INDEX(ClientRates!$D$5:$D$500,MATCH($B1087&amp;"|"&amp;$L1087,ClientRates!$A$5:$A$500,0)),0))</f>
        <v/>
      </c>
      <c r="N1087" s="26" t="str">
        <f aca="false">IF($D1087="","",IFERROR(INDEX(ClientRates!$E$5:$E$500,MATCH($B1087&amp;"|"&amp;$L1087,ClientRates!$A$5:$A$500,0)),0))</f>
        <v/>
      </c>
      <c r="O1087" s="26" t="str">
        <f aca="false">IF($D1087="","",F1087*M1087+G1087*N1087)</f>
        <v/>
      </c>
      <c r="P1087" s="26" t="str">
        <f aca="false">IF(OR($D1087="",$J1087&lt;&gt;"Supplier"),"",IFERROR(INDEX(SupplierRates!$D$5:$D$500,MATCH($K1087&amp;"|"&amp;$L1087,SupplierRates!$A$5:$A$500,0)),0))</f>
        <v/>
      </c>
      <c r="Q1087" s="26" t="str">
        <f aca="false">IF(OR($D1087="",$J1087&lt;&gt;"Supplier"),"",IFERROR(INDEX(SupplierRates!$E$5:$E$500,MATCH($K1087&amp;"|"&amp;$L1087,SupplierRates!$A$5:$A$500,0)),0))</f>
        <v/>
      </c>
      <c r="R1087" s="26" t="n">
        <f aca="false">IF(OR($D1087="",$J1087&lt;&gt;"Supplier"),0,F1087*P1087+G1087*Q1087)</f>
        <v>0</v>
      </c>
      <c r="S1087" s="26" t="n">
        <f aca="false">IF(OR($D1087="",$J1087&lt;&gt;"Own"),0,IFERROR((F1087+G1087*Settings!$B$13)*INDEX(Workers!$V$5:$V$2004,MATCH($D1087,Workers!$A$5:$A$2004,0)),0))</f>
        <v>0</v>
      </c>
      <c r="T1087" s="26" t="str">
        <f aca="false">IF($D1087="","",O1087-R1087-S1087)</f>
        <v/>
      </c>
    </row>
    <row r="1088" customFormat="false" ht="15" hidden="false" customHeight="false" outlineLevel="0" collapsed="false">
      <c r="I1088" s="24" t="str">
        <f aca="false">IF($D1088="","",IFERROR(INDEX(Workers!$B$5:$B$2004,MATCH($D1088,Workers!$A$5:$A$2004,0)),"NOT FOUND"))</f>
        <v/>
      </c>
      <c r="J1088" s="24" t="str">
        <f aca="false">IF($D1088="","",IFERROR(INDEX(Workers!$C$5:$C$2004,MATCH($D1088,Workers!$A$5:$A$2004,0)),""))</f>
        <v/>
      </c>
      <c r="K1088" s="24" t="str">
        <f aca="false">IF($D1088="","",IFERROR(IF(INDEX(Workers!$D$5:$D$2004,MATCH($D1088,Workers!$A$5:$A$2004,0))=0,"",INDEX(Workers!$D$5:$D$2004,MATCH($D1088,Workers!$A$5:$A$2004,0))),""))</f>
        <v/>
      </c>
      <c r="L1088" s="24" t="str">
        <f aca="false">IF($D1088="","",IFERROR(INDEX(Workers!$E$5:$E$2004,MATCH($D1088,Workers!$A$5:$A$2004,0)),""))</f>
        <v/>
      </c>
      <c r="M1088" s="26" t="str">
        <f aca="false">IF($D1088="","",IFERROR(INDEX(ClientRates!$D$5:$D$500,MATCH($B1088&amp;"|"&amp;$L1088,ClientRates!$A$5:$A$500,0)),0))</f>
        <v/>
      </c>
      <c r="N1088" s="26" t="str">
        <f aca="false">IF($D1088="","",IFERROR(INDEX(ClientRates!$E$5:$E$500,MATCH($B1088&amp;"|"&amp;$L1088,ClientRates!$A$5:$A$500,0)),0))</f>
        <v/>
      </c>
      <c r="O1088" s="26" t="str">
        <f aca="false">IF($D1088="","",F1088*M1088+G1088*N1088)</f>
        <v/>
      </c>
      <c r="P1088" s="26" t="str">
        <f aca="false">IF(OR($D1088="",$J1088&lt;&gt;"Supplier"),"",IFERROR(INDEX(SupplierRates!$D$5:$D$500,MATCH($K1088&amp;"|"&amp;$L1088,SupplierRates!$A$5:$A$500,0)),0))</f>
        <v/>
      </c>
      <c r="Q1088" s="26" t="str">
        <f aca="false">IF(OR($D1088="",$J1088&lt;&gt;"Supplier"),"",IFERROR(INDEX(SupplierRates!$E$5:$E$500,MATCH($K1088&amp;"|"&amp;$L1088,SupplierRates!$A$5:$A$500,0)),0))</f>
        <v/>
      </c>
      <c r="R1088" s="26" t="n">
        <f aca="false">IF(OR($D1088="",$J1088&lt;&gt;"Supplier"),0,F1088*P1088+G1088*Q1088)</f>
        <v>0</v>
      </c>
      <c r="S1088" s="26" t="n">
        <f aca="false">IF(OR($D1088="",$J1088&lt;&gt;"Own"),0,IFERROR((F1088+G1088*Settings!$B$13)*INDEX(Workers!$V$5:$V$2004,MATCH($D1088,Workers!$A$5:$A$2004,0)),0))</f>
        <v>0</v>
      </c>
      <c r="T1088" s="26" t="str">
        <f aca="false">IF($D1088="","",O1088-R1088-S1088)</f>
        <v/>
      </c>
    </row>
    <row r="1089" customFormat="false" ht="15" hidden="false" customHeight="false" outlineLevel="0" collapsed="false">
      <c r="I1089" s="24" t="str">
        <f aca="false">IF($D1089="","",IFERROR(INDEX(Workers!$B$5:$B$2004,MATCH($D1089,Workers!$A$5:$A$2004,0)),"NOT FOUND"))</f>
        <v/>
      </c>
      <c r="J1089" s="24" t="str">
        <f aca="false">IF($D1089="","",IFERROR(INDEX(Workers!$C$5:$C$2004,MATCH($D1089,Workers!$A$5:$A$2004,0)),""))</f>
        <v/>
      </c>
      <c r="K1089" s="24" t="str">
        <f aca="false">IF($D1089="","",IFERROR(IF(INDEX(Workers!$D$5:$D$2004,MATCH($D1089,Workers!$A$5:$A$2004,0))=0,"",INDEX(Workers!$D$5:$D$2004,MATCH($D1089,Workers!$A$5:$A$2004,0))),""))</f>
        <v/>
      </c>
      <c r="L1089" s="24" t="str">
        <f aca="false">IF($D1089="","",IFERROR(INDEX(Workers!$E$5:$E$2004,MATCH($D1089,Workers!$A$5:$A$2004,0)),""))</f>
        <v/>
      </c>
      <c r="M1089" s="26" t="str">
        <f aca="false">IF($D1089="","",IFERROR(INDEX(ClientRates!$D$5:$D$500,MATCH($B1089&amp;"|"&amp;$L1089,ClientRates!$A$5:$A$500,0)),0))</f>
        <v/>
      </c>
      <c r="N1089" s="26" t="str">
        <f aca="false">IF($D1089="","",IFERROR(INDEX(ClientRates!$E$5:$E$500,MATCH($B1089&amp;"|"&amp;$L1089,ClientRates!$A$5:$A$500,0)),0))</f>
        <v/>
      </c>
      <c r="O1089" s="26" t="str">
        <f aca="false">IF($D1089="","",F1089*M1089+G1089*N1089)</f>
        <v/>
      </c>
      <c r="P1089" s="26" t="str">
        <f aca="false">IF(OR($D1089="",$J1089&lt;&gt;"Supplier"),"",IFERROR(INDEX(SupplierRates!$D$5:$D$500,MATCH($K1089&amp;"|"&amp;$L1089,SupplierRates!$A$5:$A$500,0)),0))</f>
        <v/>
      </c>
      <c r="Q1089" s="26" t="str">
        <f aca="false">IF(OR($D1089="",$J1089&lt;&gt;"Supplier"),"",IFERROR(INDEX(SupplierRates!$E$5:$E$500,MATCH($K1089&amp;"|"&amp;$L1089,SupplierRates!$A$5:$A$500,0)),0))</f>
        <v/>
      </c>
      <c r="R1089" s="26" t="n">
        <f aca="false">IF(OR($D1089="",$J1089&lt;&gt;"Supplier"),0,F1089*P1089+G1089*Q1089)</f>
        <v>0</v>
      </c>
      <c r="S1089" s="26" t="n">
        <f aca="false">IF(OR($D1089="",$J1089&lt;&gt;"Own"),0,IFERROR((F1089+G1089*Settings!$B$13)*INDEX(Workers!$V$5:$V$2004,MATCH($D1089,Workers!$A$5:$A$2004,0)),0))</f>
        <v>0</v>
      </c>
      <c r="T1089" s="26" t="str">
        <f aca="false">IF($D1089="","",O1089-R1089-S1089)</f>
        <v/>
      </c>
    </row>
    <row r="1090" customFormat="false" ht="15" hidden="false" customHeight="false" outlineLevel="0" collapsed="false">
      <c r="I1090" s="24" t="str">
        <f aca="false">IF($D1090="","",IFERROR(INDEX(Workers!$B$5:$B$2004,MATCH($D1090,Workers!$A$5:$A$2004,0)),"NOT FOUND"))</f>
        <v/>
      </c>
      <c r="J1090" s="24" t="str">
        <f aca="false">IF($D1090="","",IFERROR(INDEX(Workers!$C$5:$C$2004,MATCH($D1090,Workers!$A$5:$A$2004,0)),""))</f>
        <v/>
      </c>
      <c r="K1090" s="24" t="str">
        <f aca="false">IF($D1090="","",IFERROR(IF(INDEX(Workers!$D$5:$D$2004,MATCH($D1090,Workers!$A$5:$A$2004,0))=0,"",INDEX(Workers!$D$5:$D$2004,MATCH($D1090,Workers!$A$5:$A$2004,0))),""))</f>
        <v/>
      </c>
      <c r="L1090" s="24" t="str">
        <f aca="false">IF($D1090="","",IFERROR(INDEX(Workers!$E$5:$E$2004,MATCH($D1090,Workers!$A$5:$A$2004,0)),""))</f>
        <v/>
      </c>
      <c r="M1090" s="26" t="str">
        <f aca="false">IF($D1090="","",IFERROR(INDEX(ClientRates!$D$5:$D$500,MATCH($B1090&amp;"|"&amp;$L1090,ClientRates!$A$5:$A$500,0)),0))</f>
        <v/>
      </c>
      <c r="N1090" s="26" t="str">
        <f aca="false">IF($D1090="","",IFERROR(INDEX(ClientRates!$E$5:$E$500,MATCH($B1090&amp;"|"&amp;$L1090,ClientRates!$A$5:$A$500,0)),0))</f>
        <v/>
      </c>
      <c r="O1090" s="26" t="str">
        <f aca="false">IF($D1090="","",F1090*M1090+G1090*N1090)</f>
        <v/>
      </c>
      <c r="P1090" s="26" t="str">
        <f aca="false">IF(OR($D1090="",$J1090&lt;&gt;"Supplier"),"",IFERROR(INDEX(SupplierRates!$D$5:$D$500,MATCH($K1090&amp;"|"&amp;$L1090,SupplierRates!$A$5:$A$500,0)),0))</f>
        <v/>
      </c>
      <c r="Q1090" s="26" t="str">
        <f aca="false">IF(OR($D1090="",$J1090&lt;&gt;"Supplier"),"",IFERROR(INDEX(SupplierRates!$E$5:$E$500,MATCH($K1090&amp;"|"&amp;$L1090,SupplierRates!$A$5:$A$500,0)),0))</f>
        <v/>
      </c>
      <c r="R1090" s="26" t="n">
        <f aca="false">IF(OR($D1090="",$J1090&lt;&gt;"Supplier"),0,F1090*P1090+G1090*Q1090)</f>
        <v>0</v>
      </c>
      <c r="S1090" s="26" t="n">
        <f aca="false">IF(OR($D1090="",$J1090&lt;&gt;"Own"),0,IFERROR((F1090+G1090*Settings!$B$13)*INDEX(Workers!$V$5:$V$2004,MATCH($D1090,Workers!$A$5:$A$2004,0)),0))</f>
        <v>0</v>
      </c>
      <c r="T1090" s="26" t="str">
        <f aca="false">IF($D1090="","",O1090-R1090-S1090)</f>
        <v/>
      </c>
    </row>
    <row r="1091" customFormat="false" ht="15" hidden="false" customHeight="false" outlineLevel="0" collapsed="false">
      <c r="I1091" s="24" t="str">
        <f aca="false">IF($D1091="","",IFERROR(INDEX(Workers!$B$5:$B$2004,MATCH($D1091,Workers!$A$5:$A$2004,0)),"NOT FOUND"))</f>
        <v/>
      </c>
      <c r="J1091" s="24" t="str">
        <f aca="false">IF($D1091="","",IFERROR(INDEX(Workers!$C$5:$C$2004,MATCH($D1091,Workers!$A$5:$A$2004,0)),""))</f>
        <v/>
      </c>
      <c r="K1091" s="24" t="str">
        <f aca="false">IF($D1091="","",IFERROR(IF(INDEX(Workers!$D$5:$D$2004,MATCH($D1091,Workers!$A$5:$A$2004,0))=0,"",INDEX(Workers!$D$5:$D$2004,MATCH($D1091,Workers!$A$5:$A$2004,0))),""))</f>
        <v/>
      </c>
      <c r="L1091" s="24" t="str">
        <f aca="false">IF($D1091="","",IFERROR(INDEX(Workers!$E$5:$E$2004,MATCH($D1091,Workers!$A$5:$A$2004,0)),""))</f>
        <v/>
      </c>
      <c r="M1091" s="26" t="str">
        <f aca="false">IF($D1091="","",IFERROR(INDEX(ClientRates!$D$5:$D$500,MATCH($B1091&amp;"|"&amp;$L1091,ClientRates!$A$5:$A$500,0)),0))</f>
        <v/>
      </c>
      <c r="N1091" s="26" t="str">
        <f aca="false">IF($D1091="","",IFERROR(INDEX(ClientRates!$E$5:$E$500,MATCH($B1091&amp;"|"&amp;$L1091,ClientRates!$A$5:$A$500,0)),0))</f>
        <v/>
      </c>
      <c r="O1091" s="26" t="str">
        <f aca="false">IF($D1091="","",F1091*M1091+G1091*N1091)</f>
        <v/>
      </c>
      <c r="P1091" s="26" t="str">
        <f aca="false">IF(OR($D1091="",$J1091&lt;&gt;"Supplier"),"",IFERROR(INDEX(SupplierRates!$D$5:$D$500,MATCH($K1091&amp;"|"&amp;$L1091,SupplierRates!$A$5:$A$500,0)),0))</f>
        <v/>
      </c>
      <c r="Q1091" s="26" t="str">
        <f aca="false">IF(OR($D1091="",$J1091&lt;&gt;"Supplier"),"",IFERROR(INDEX(SupplierRates!$E$5:$E$500,MATCH($K1091&amp;"|"&amp;$L1091,SupplierRates!$A$5:$A$500,0)),0))</f>
        <v/>
      </c>
      <c r="R1091" s="26" t="n">
        <f aca="false">IF(OR($D1091="",$J1091&lt;&gt;"Supplier"),0,F1091*P1091+G1091*Q1091)</f>
        <v>0</v>
      </c>
      <c r="S1091" s="26" t="n">
        <f aca="false">IF(OR($D1091="",$J1091&lt;&gt;"Own"),0,IFERROR((F1091+G1091*Settings!$B$13)*INDEX(Workers!$V$5:$V$2004,MATCH($D1091,Workers!$A$5:$A$2004,0)),0))</f>
        <v>0</v>
      </c>
      <c r="T1091" s="26" t="str">
        <f aca="false">IF($D1091="","",O1091-R1091-S1091)</f>
        <v/>
      </c>
    </row>
    <row r="1092" customFormat="false" ht="15" hidden="false" customHeight="false" outlineLevel="0" collapsed="false">
      <c r="I1092" s="24" t="str">
        <f aca="false">IF($D1092="","",IFERROR(INDEX(Workers!$B$5:$B$2004,MATCH($D1092,Workers!$A$5:$A$2004,0)),"NOT FOUND"))</f>
        <v/>
      </c>
      <c r="J1092" s="24" t="str">
        <f aca="false">IF($D1092="","",IFERROR(INDEX(Workers!$C$5:$C$2004,MATCH($D1092,Workers!$A$5:$A$2004,0)),""))</f>
        <v/>
      </c>
      <c r="K1092" s="24" t="str">
        <f aca="false">IF($D1092="","",IFERROR(IF(INDEX(Workers!$D$5:$D$2004,MATCH($D1092,Workers!$A$5:$A$2004,0))=0,"",INDEX(Workers!$D$5:$D$2004,MATCH($D1092,Workers!$A$5:$A$2004,0))),""))</f>
        <v/>
      </c>
      <c r="L1092" s="24" t="str">
        <f aca="false">IF($D1092="","",IFERROR(INDEX(Workers!$E$5:$E$2004,MATCH($D1092,Workers!$A$5:$A$2004,0)),""))</f>
        <v/>
      </c>
      <c r="M1092" s="26" t="str">
        <f aca="false">IF($D1092="","",IFERROR(INDEX(ClientRates!$D$5:$D$500,MATCH($B1092&amp;"|"&amp;$L1092,ClientRates!$A$5:$A$500,0)),0))</f>
        <v/>
      </c>
      <c r="N1092" s="26" t="str">
        <f aca="false">IF($D1092="","",IFERROR(INDEX(ClientRates!$E$5:$E$500,MATCH($B1092&amp;"|"&amp;$L1092,ClientRates!$A$5:$A$500,0)),0))</f>
        <v/>
      </c>
      <c r="O1092" s="26" t="str">
        <f aca="false">IF($D1092="","",F1092*M1092+G1092*N1092)</f>
        <v/>
      </c>
      <c r="P1092" s="26" t="str">
        <f aca="false">IF(OR($D1092="",$J1092&lt;&gt;"Supplier"),"",IFERROR(INDEX(SupplierRates!$D$5:$D$500,MATCH($K1092&amp;"|"&amp;$L1092,SupplierRates!$A$5:$A$500,0)),0))</f>
        <v/>
      </c>
      <c r="Q1092" s="26" t="str">
        <f aca="false">IF(OR($D1092="",$J1092&lt;&gt;"Supplier"),"",IFERROR(INDEX(SupplierRates!$E$5:$E$500,MATCH($K1092&amp;"|"&amp;$L1092,SupplierRates!$A$5:$A$500,0)),0))</f>
        <v/>
      </c>
      <c r="R1092" s="26" t="n">
        <f aca="false">IF(OR($D1092="",$J1092&lt;&gt;"Supplier"),0,F1092*P1092+G1092*Q1092)</f>
        <v>0</v>
      </c>
      <c r="S1092" s="26" t="n">
        <f aca="false">IF(OR($D1092="",$J1092&lt;&gt;"Own"),0,IFERROR((F1092+G1092*Settings!$B$13)*INDEX(Workers!$V$5:$V$2004,MATCH($D1092,Workers!$A$5:$A$2004,0)),0))</f>
        <v>0</v>
      </c>
      <c r="T1092" s="26" t="str">
        <f aca="false">IF($D1092="","",O1092-R1092-S1092)</f>
        <v/>
      </c>
    </row>
    <row r="1093" customFormat="false" ht="15" hidden="false" customHeight="false" outlineLevel="0" collapsed="false">
      <c r="I1093" s="24" t="str">
        <f aca="false">IF($D1093="","",IFERROR(INDEX(Workers!$B$5:$B$2004,MATCH($D1093,Workers!$A$5:$A$2004,0)),"NOT FOUND"))</f>
        <v/>
      </c>
      <c r="J1093" s="24" t="str">
        <f aca="false">IF($D1093="","",IFERROR(INDEX(Workers!$C$5:$C$2004,MATCH($D1093,Workers!$A$5:$A$2004,0)),""))</f>
        <v/>
      </c>
      <c r="K1093" s="24" t="str">
        <f aca="false">IF($D1093="","",IFERROR(IF(INDEX(Workers!$D$5:$D$2004,MATCH($D1093,Workers!$A$5:$A$2004,0))=0,"",INDEX(Workers!$D$5:$D$2004,MATCH($D1093,Workers!$A$5:$A$2004,0))),""))</f>
        <v/>
      </c>
      <c r="L1093" s="24" t="str">
        <f aca="false">IF($D1093="","",IFERROR(INDEX(Workers!$E$5:$E$2004,MATCH($D1093,Workers!$A$5:$A$2004,0)),""))</f>
        <v/>
      </c>
      <c r="M1093" s="26" t="str">
        <f aca="false">IF($D1093="","",IFERROR(INDEX(ClientRates!$D$5:$D$500,MATCH($B1093&amp;"|"&amp;$L1093,ClientRates!$A$5:$A$500,0)),0))</f>
        <v/>
      </c>
      <c r="N1093" s="26" t="str">
        <f aca="false">IF($D1093="","",IFERROR(INDEX(ClientRates!$E$5:$E$500,MATCH($B1093&amp;"|"&amp;$L1093,ClientRates!$A$5:$A$500,0)),0))</f>
        <v/>
      </c>
      <c r="O1093" s="26" t="str">
        <f aca="false">IF($D1093="","",F1093*M1093+G1093*N1093)</f>
        <v/>
      </c>
      <c r="P1093" s="26" t="str">
        <f aca="false">IF(OR($D1093="",$J1093&lt;&gt;"Supplier"),"",IFERROR(INDEX(SupplierRates!$D$5:$D$500,MATCH($K1093&amp;"|"&amp;$L1093,SupplierRates!$A$5:$A$500,0)),0))</f>
        <v/>
      </c>
      <c r="Q1093" s="26" t="str">
        <f aca="false">IF(OR($D1093="",$J1093&lt;&gt;"Supplier"),"",IFERROR(INDEX(SupplierRates!$E$5:$E$500,MATCH($K1093&amp;"|"&amp;$L1093,SupplierRates!$A$5:$A$500,0)),0))</f>
        <v/>
      </c>
      <c r="R1093" s="26" t="n">
        <f aca="false">IF(OR($D1093="",$J1093&lt;&gt;"Supplier"),0,F1093*P1093+G1093*Q1093)</f>
        <v>0</v>
      </c>
      <c r="S1093" s="26" t="n">
        <f aca="false">IF(OR($D1093="",$J1093&lt;&gt;"Own"),0,IFERROR((F1093+G1093*Settings!$B$13)*INDEX(Workers!$V$5:$V$2004,MATCH($D1093,Workers!$A$5:$A$2004,0)),0))</f>
        <v>0</v>
      </c>
      <c r="T1093" s="26" t="str">
        <f aca="false">IF($D1093="","",O1093-R1093-S1093)</f>
        <v/>
      </c>
    </row>
    <row r="1094" customFormat="false" ht="15" hidden="false" customHeight="false" outlineLevel="0" collapsed="false">
      <c r="I1094" s="24" t="str">
        <f aca="false">IF($D1094="","",IFERROR(INDEX(Workers!$B$5:$B$2004,MATCH($D1094,Workers!$A$5:$A$2004,0)),"NOT FOUND"))</f>
        <v/>
      </c>
      <c r="J1094" s="24" t="str">
        <f aca="false">IF($D1094="","",IFERROR(INDEX(Workers!$C$5:$C$2004,MATCH($D1094,Workers!$A$5:$A$2004,0)),""))</f>
        <v/>
      </c>
      <c r="K1094" s="24" t="str">
        <f aca="false">IF($D1094="","",IFERROR(IF(INDEX(Workers!$D$5:$D$2004,MATCH($D1094,Workers!$A$5:$A$2004,0))=0,"",INDEX(Workers!$D$5:$D$2004,MATCH($D1094,Workers!$A$5:$A$2004,0))),""))</f>
        <v/>
      </c>
      <c r="L1094" s="24" t="str">
        <f aca="false">IF($D1094="","",IFERROR(INDEX(Workers!$E$5:$E$2004,MATCH($D1094,Workers!$A$5:$A$2004,0)),""))</f>
        <v/>
      </c>
      <c r="M1094" s="26" t="str">
        <f aca="false">IF($D1094="","",IFERROR(INDEX(ClientRates!$D$5:$D$500,MATCH($B1094&amp;"|"&amp;$L1094,ClientRates!$A$5:$A$500,0)),0))</f>
        <v/>
      </c>
      <c r="N1094" s="26" t="str">
        <f aca="false">IF($D1094="","",IFERROR(INDEX(ClientRates!$E$5:$E$500,MATCH($B1094&amp;"|"&amp;$L1094,ClientRates!$A$5:$A$500,0)),0))</f>
        <v/>
      </c>
      <c r="O1094" s="26" t="str">
        <f aca="false">IF($D1094="","",F1094*M1094+G1094*N1094)</f>
        <v/>
      </c>
      <c r="P1094" s="26" t="str">
        <f aca="false">IF(OR($D1094="",$J1094&lt;&gt;"Supplier"),"",IFERROR(INDEX(SupplierRates!$D$5:$D$500,MATCH($K1094&amp;"|"&amp;$L1094,SupplierRates!$A$5:$A$500,0)),0))</f>
        <v/>
      </c>
      <c r="Q1094" s="26" t="str">
        <f aca="false">IF(OR($D1094="",$J1094&lt;&gt;"Supplier"),"",IFERROR(INDEX(SupplierRates!$E$5:$E$500,MATCH($K1094&amp;"|"&amp;$L1094,SupplierRates!$A$5:$A$500,0)),0))</f>
        <v/>
      </c>
      <c r="R1094" s="26" t="n">
        <f aca="false">IF(OR($D1094="",$J1094&lt;&gt;"Supplier"),0,F1094*P1094+G1094*Q1094)</f>
        <v>0</v>
      </c>
      <c r="S1094" s="26" t="n">
        <f aca="false">IF(OR($D1094="",$J1094&lt;&gt;"Own"),0,IFERROR((F1094+G1094*Settings!$B$13)*INDEX(Workers!$V$5:$V$2004,MATCH($D1094,Workers!$A$5:$A$2004,0)),0))</f>
        <v>0</v>
      </c>
      <c r="T1094" s="26" t="str">
        <f aca="false">IF($D1094="","",O1094-R1094-S1094)</f>
        <v/>
      </c>
    </row>
    <row r="1095" customFormat="false" ht="15" hidden="false" customHeight="false" outlineLevel="0" collapsed="false">
      <c r="I1095" s="24" t="str">
        <f aca="false">IF($D1095="","",IFERROR(INDEX(Workers!$B$5:$B$2004,MATCH($D1095,Workers!$A$5:$A$2004,0)),"NOT FOUND"))</f>
        <v/>
      </c>
      <c r="J1095" s="24" t="str">
        <f aca="false">IF($D1095="","",IFERROR(INDEX(Workers!$C$5:$C$2004,MATCH($D1095,Workers!$A$5:$A$2004,0)),""))</f>
        <v/>
      </c>
      <c r="K1095" s="24" t="str">
        <f aca="false">IF($D1095="","",IFERROR(IF(INDEX(Workers!$D$5:$D$2004,MATCH($D1095,Workers!$A$5:$A$2004,0))=0,"",INDEX(Workers!$D$5:$D$2004,MATCH($D1095,Workers!$A$5:$A$2004,0))),""))</f>
        <v/>
      </c>
      <c r="L1095" s="24" t="str">
        <f aca="false">IF($D1095="","",IFERROR(INDEX(Workers!$E$5:$E$2004,MATCH($D1095,Workers!$A$5:$A$2004,0)),""))</f>
        <v/>
      </c>
      <c r="M1095" s="26" t="str">
        <f aca="false">IF($D1095="","",IFERROR(INDEX(ClientRates!$D$5:$D$500,MATCH($B1095&amp;"|"&amp;$L1095,ClientRates!$A$5:$A$500,0)),0))</f>
        <v/>
      </c>
      <c r="N1095" s="26" t="str">
        <f aca="false">IF($D1095="","",IFERROR(INDEX(ClientRates!$E$5:$E$500,MATCH($B1095&amp;"|"&amp;$L1095,ClientRates!$A$5:$A$500,0)),0))</f>
        <v/>
      </c>
      <c r="O1095" s="26" t="str">
        <f aca="false">IF($D1095="","",F1095*M1095+G1095*N1095)</f>
        <v/>
      </c>
      <c r="P1095" s="26" t="str">
        <f aca="false">IF(OR($D1095="",$J1095&lt;&gt;"Supplier"),"",IFERROR(INDEX(SupplierRates!$D$5:$D$500,MATCH($K1095&amp;"|"&amp;$L1095,SupplierRates!$A$5:$A$500,0)),0))</f>
        <v/>
      </c>
      <c r="Q1095" s="26" t="str">
        <f aca="false">IF(OR($D1095="",$J1095&lt;&gt;"Supplier"),"",IFERROR(INDEX(SupplierRates!$E$5:$E$500,MATCH($K1095&amp;"|"&amp;$L1095,SupplierRates!$A$5:$A$500,0)),0))</f>
        <v/>
      </c>
      <c r="R1095" s="26" t="n">
        <f aca="false">IF(OR($D1095="",$J1095&lt;&gt;"Supplier"),0,F1095*P1095+G1095*Q1095)</f>
        <v>0</v>
      </c>
      <c r="S1095" s="26" t="n">
        <f aca="false">IF(OR($D1095="",$J1095&lt;&gt;"Own"),0,IFERROR((F1095+G1095*Settings!$B$13)*INDEX(Workers!$V$5:$V$2004,MATCH($D1095,Workers!$A$5:$A$2004,0)),0))</f>
        <v>0</v>
      </c>
      <c r="T1095" s="26" t="str">
        <f aca="false">IF($D1095="","",O1095-R1095-S1095)</f>
        <v/>
      </c>
    </row>
    <row r="1096" customFormat="false" ht="15" hidden="false" customHeight="false" outlineLevel="0" collapsed="false">
      <c r="I1096" s="24" t="str">
        <f aca="false">IF($D1096="","",IFERROR(INDEX(Workers!$B$5:$B$2004,MATCH($D1096,Workers!$A$5:$A$2004,0)),"NOT FOUND"))</f>
        <v/>
      </c>
      <c r="J1096" s="24" t="str">
        <f aca="false">IF($D1096="","",IFERROR(INDEX(Workers!$C$5:$C$2004,MATCH($D1096,Workers!$A$5:$A$2004,0)),""))</f>
        <v/>
      </c>
      <c r="K1096" s="24" t="str">
        <f aca="false">IF($D1096="","",IFERROR(IF(INDEX(Workers!$D$5:$D$2004,MATCH($D1096,Workers!$A$5:$A$2004,0))=0,"",INDEX(Workers!$D$5:$D$2004,MATCH($D1096,Workers!$A$5:$A$2004,0))),""))</f>
        <v/>
      </c>
      <c r="L1096" s="24" t="str">
        <f aca="false">IF($D1096="","",IFERROR(INDEX(Workers!$E$5:$E$2004,MATCH($D1096,Workers!$A$5:$A$2004,0)),""))</f>
        <v/>
      </c>
      <c r="M1096" s="26" t="str">
        <f aca="false">IF($D1096="","",IFERROR(INDEX(ClientRates!$D$5:$D$500,MATCH($B1096&amp;"|"&amp;$L1096,ClientRates!$A$5:$A$500,0)),0))</f>
        <v/>
      </c>
      <c r="N1096" s="26" t="str">
        <f aca="false">IF($D1096="","",IFERROR(INDEX(ClientRates!$E$5:$E$500,MATCH($B1096&amp;"|"&amp;$L1096,ClientRates!$A$5:$A$500,0)),0))</f>
        <v/>
      </c>
      <c r="O1096" s="26" t="str">
        <f aca="false">IF($D1096="","",F1096*M1096+G1096*N1096)</f>
        <v/>
      </c>
      <c r="P1096" s="26" t="str">
        <f aca="false">IF(OR($D1096="",$J1096&lt;&gt;"Supplier"),"",IFERROR(INDEX(SupplierRates!$D$5:$D$500,MATCH($K1096&amp;"|"&amp;$L1096,SupplierRates!$A$5:$A$500,0)),0))</f>
        <v/>
      </c>
      <c r="Q1096" s="26" t="str">
        <f aca="false">IF(OR($D1096="",$J1096&lt;&gt;"Supplier"),"",IFERROR(INDEX(SupplierRates!$E$5:$E$500,MATCH($K1096&amp;"|"&amp;$L1096,SupplierRates!$A$5:$A$500,0)),0))</f>
        <v/>
      </c>
      <c r="R1096" s="26" t="n">
        <f aca="false">IF(OR($D1096="",$J1096&lt;&gt;"Supplier"),0,F1096*P1096+G1096*Q1096)</f>
        <v>0</v>
      </c>
      <c r="S1096" s="26" t="n">
        <f aca="false">IF(OR($D1096="",$J1096&lt;&gt;"Own"),0,IFERROR((F1096+G1096*Settings!$B$13)*INDEX(Workers!$V$5:$V$2004,MATCH($D1096,Workers!$A$5:$A$2004,0)),0))</f>
        <v>0</v>
      </c>
      <c r="T1096" s="26" t="str">
        <f aca="false">IF($D1096="","",O1096-R1096-S1096)</f>
        <v/>
      </c>
    </row>
    <row r="1097" customFormat="false" ht="15" hidden="false" customHeight="false" outlineLevel="0" collapsed="false">
      <c r="I1097" s="24" t="str">
        <f aca="false">IF($D1097="","",IFERROR(INDEX(Workers!$B$5:$B$2004,MATCH($D1097,Workers!$A$5:$A$2004,0)),"NOT FOUND"))</f>
        <v/>
      </c>
      <c r="J1097" s="24" t="str">
        <f aca="false">IF($D1097="","",IFERROR(INDEX(Workers!$C$5:$C$2004,MATCH($D1097,Workers!$A$5:$A$2004,0)),""))</f>
        <v/>
      </c>
      <c r="K1097" s="24" t="str">
        <f aca="false">IF($D1097="","",IFERROR(IF(INDEX(Workers!$D$5:$D$2004,MATCH($D1097,Workers!$A$5:$A$2004,0))=0,"",INDEX(Workers!$D$5:$D$2004,MATCH($D1097,Workers!$A$5:$A$2004,0))),""))</f>
        <v/>
      </c>
      <c r="L1097" s="24" t="str">
        <f aca="false">IF($D1097="","",IFERROR(INDEX(Workers!$E$5:$E$2004,MATCH($D1097,Workers!$A$5:$A$2004,0)),""))</f>
        <v/>
      </c>
      <c r="M1097" s="26" t="str">
        <f aca="false">IF($D1097="","",IFERROR(INDEX(ClientRates!$D$5:$D$500,MATCH($B1097&amp;"|"&amp;$L1097,ClientRates!$A$5:$A$500,0)),0))</f>
        <v/>
      </c>
      <c r="N1097" s="26" t="str">
        <f aca="false">IF($D1097="","",IFERROR(INDEX(ClientRates!$E$5:$E$500,MATCH($B1097&amp;"|"&amp;$L1097,ClientRates!$A$5:$A$500,0)),0))</f>
        <v/>
      </c>
      <c r="O1097" s="26" t="str">
        <f aca="false">IF($D1097="","",F1097*M1097+G1097*N1097)</f>
        <v/>
      </c>
      <c r="P1097" s="26" t="str">
        <f aca="false">IF(OR($D1097="",$J1097&lt;&gt;"Supplier"),"",IFERROR(INDEX(SupplierRates!$D$5:$D$500,MATCH($K1097&amp;"|"&amp;$L1097,SupplierRates!$A$5:$A$500,0)),0))</f>
        <v/>
      </c>
      <c r="Q1097" s="26" t="str">
        <f aca="false">IF(OR($D1097="",$J1097&lt;&gt;"Supplier"),"",IFERROR(INDEX(SupplierRates!$E$5:$E$500,MATCH($K1097&amp;"|"&amp;$L1097,SupplierRates!$A$5:$A$500,0)),0))</f>
        <v/>
      </c>
      <c r="R1097" s="26" t="n">
        <f aca="false">IF(OR($D1097="",$J1097&lt;&gt;"Supplier"),0,F1097*P1097+G1097*Q1097)</f>
        <v>0</v>
      </c>
      <c r="S1097" s="26" t="n">
        <f aca="false">IF(OR($D1097="",$J1097&lt;&gt;"Own"),0,IFERROR((F1097+G1097*Settings!$B$13)*INDEX(Workers!$V$5:$V$2004,MATCH($D1097,Workers!$A$5:$A$2004,0)),0))</f>
        <v>0</v>
      </c>
      <c r="T1097" s="26" t="str">
        <f aca="false">IF($D1097="","",O1097-R1097-S1097)</f>
        <v/>
      </c>
    </row>
    <row r="1098" customFormat="false" ht="15" hidden="false" customHeight="false" outlineLevel="0" collapsed="false">
      <c r="I1098" s="24" t="str">
        <f aca="false">IF($D1098="","",IFERROR(INDEX(Workers!$B$5:$B$2004,MATCH($D1098,Workers!$A$5:$A$2004,0)),"NOT FOUND"))</f>
        <v/>
      </c>
      <c r="J1098" s="24" t="str">
        <f aca="false">IF($D1098="","",IFERROR(INDEX(Workers!$C$5:$C$2004,MATCH($D1098,Workers!$A$5:$A$2004,0)),""))</f>
        <v/>
      </c>
      <c r="K1098" s="24" t="str">
        <f aca="false">IF($D1098="","",IFERROR(IF(INDEX(Workers!$D$5:$D$2004,MATCH($D1098,Workers!$A$5:$A$2004,0))=0,"",INDEX(Workers!$D$5:$D$2004,MATCH($D1098,Workers!$A$5:$A$2004,0))),""))</f>
        <v/>
      </c>
      <c r="L1098" s="24" t="str">
        <f aca="false">IF($D1098="","",IFERROR(INDEX(Workers!$E$5:$E$2004,MATCH($D1098,Workers!$A$5:$A$2004,0)),""))</f>
        <v/>
      </c>
      <c r="M1098" s="26" t="str">
        <f aca="false">IF($D1098="","",IFERROR(INDEX(ClientRates!$D$5:$D$500,MATCH($B1098&amp;"|"&amp;$L1098,ClientRates!$A$5:$A$500,0)),0))</f>
        <v/>
      </c>
      <c r="N1098" s="26" t="str">
        <f aca="false">IF($D1098="","",IFERROR(INDEX(ClientRates!$E$5:$E$500,MATCH($B1098&amp;"|"&amp;$L1098,ClientRates!$A$5:$A$500,0)),0))</f>
        <v/>
      </c>
      <c r="O1098" s="26" t="str">
        <f aca="false">IF($D1098="","",F1098*M1098+G1098*N1098)</f>
        <v/>
      </c>
      <c r="P1098" s="26" t="str">
        <f aca="false">IF(OR($D1098="",$J1098&lt;&gt;"Supplier"),"",IFERROR(INDEX(SupplierRates!$D$5:$D$500,MATCH($K1098&amp;"|"&amp;$L1098,SupplierRates!$A$5:$A$500,0)),0))</f>
        <v/>
      </c>
      <c r="Q1098" s="26" t="str">
        <f aca="false">IF(OR($D1098="",$J1098&lt;&gt;"Supplier"),"",IFERROR(INDEX(SupplierRates!$E$5:$E$500,MATCH($K1098&amp;"|"&amp;$L1098,SupplierRates!$A$5:$A$500,0)),0))</f>
        <v/>
      </c>
      <c r="R1098" s="26" t="n">
        <f aca="false">IF(OR($D1098="",$J1098&lt;&gt;"Supplier"),0,F1098*P1098+G1098*Q1098)</f>
        <v>0</v>
      </c>
      <c r="S1098" s="26" t="n">
        <f aca="false">IF(OR($D1098="",$J1098&lt;&gt;"Own"),0,IFERROR((F1098+G1098*Settings!$B$13)*INDEX(Workers!$V$5:$V$2004,MATCH($D1098,Workers!$A$5:$A$2004,0)),0))</f>
        <v>0</v>
      </c>
      <c r="T1098" s="26" t="str">
        <f aca="false">IF($D1098="","",O1098-R1098-S1098)</f>
        <v/>
      </c>
    </row>
    <row r="1099" customFormat="false" ht="15" hidden="false" customHeight="false" outlineLevel="0" collapsed="false">
      <c r="I1099" s="24" t="str">
        <f aca="false">IF($D1099="","",IFERROR(INDEX(Workers!$B$5:$B$2004,MATCH($D1099,Workers!$A$5:$A$2004,0)),"NOT FOUND"))</f>
        <v/>
      </c>
      <c r="J1099" s="24" t="str">
        <f aca="false">IF($D1099="","",IFERROR(INDEX(Workers!$C$5:$C$2004,MATCH($D1099,Workers!$A$5:$A$2004,0)),""))</f>
        <v/>
      </c>
      <c r="K1099" s="24" t="str">
        <f aca="false">IF($D1099="","",IFERROR(IF(INDEX(Workers!$D$5:$D$2004,MATCH($D1099,Workers!$A$5:$A$2004,0))=0,"",INDEX(Workers!$D$5:$D$2004,MATCH($D1099,Workers!$A$5:$A$2004,0))),""))</f>
        <v/>
      </c>
      <c r="L1099" s="24" t="str">
        <f aca="false">IF($D1099="","",IFERROR(INDEX(Workers!$E$5:$E$2004,MATCH($D1099,Workers!$A$5:$A$2004,0)),""))</f>
        <v/>
      </c>
      <c r="M1099" s="26" t="str">
        <f aca="false">IF($D1099="","",IFERROR(INDEX(ClientRates!$D$5:$D$500,MATCH($B1099&amp;"|"&amp;$L1099,ClientRates!$A$5:$A$500,0)),0))</f>
        <v/>
      </c>
      <c r="N1099" s="26" t="str">
        <f aca="false">IF($D1099="","",IFERROR(INDEX(ClientRates!$E$5:$E$500,MATCH($B1099&amp;"|"&amp;$L1099,ClientRates!$A$5:$A$500,0)),0))</f>
        <v/>
      </c>
      <c r="O1099" s="26" t="str">
        <f aca="false">IF($D1099="","",F1099*M1099+G1099*N1099)</f>
        <v/>
      </c>
      <c r="P1099" s="26" t="str">
        <f aca="false">IF(OR($D1099="",$J1099&lt;&gt;"Supplier"),"",IFERROR(INDEX(SupplierRates!$D$5:$D$500,MATCH($K1099&amp;"|"&amp;$L1099,SupplierRates!$A$5:$A$500,0)),0))</f>
        <v/>
      </c>
      <c r="Q1099" s="26" t="str">
        <f aca="false">IF(OR($D1099="",$J1099&lt;&gt;"Supplier"),"",IFERROR(INDEX(SupplierRates!$E$5:$E$500,MATCH($K1099&amp;"|"&amp;$L1099,SupplierRates!$A$5:$A$500,0)),0))</f>
        <v/>
      </c>
      <c r="R1099" s="26" t="n">
        <f aca="false">IF(OR($D1099="",$J1099&lt;&gt;"Supplier"),0,F1099*P1099+G1099*Q1099)</f>
        <v>0</v>
      </c>
      <c r="S1099" s="26" t="n">
        <f aca="false">IF(OR($D1099="",$J1099&lt;&gt;"Own"),0,IFERROR((F1099+G1099*Settings!$B$13)*INDEX(Workers!$V$5:$V$2004,MATCH($D1099,Workers!$A$5:$A$2004,0)),0))</f>
        <v>0</v>
      </c>
      <c r="T1099" s="26" t="str">
        <f aca="false">IF($D1099="","",O1099-R1099-S1099)</f>
        <v/>
      </c>
    </row>
    <row r="1100" customFormat="false" ht="15" hidden="false" customHeight="false" outlineLevel="0" collapsed="false">
      <c r="I1100" s="24" t="str">
        <f aca="false">IF($D1100="","",IFERROR(INDEX(Workers!$B$5:$B$2004,MATCH($D1100,Workers!$A$5:$A$2004,0)),"NOT FOUND"))</f>
        <v/>
      </c>
      <c r="J1100" s="24" t="str">
        <f aca="false">IF($D1100="","",IFERROR(INDEX(Workers!$C$5:$C$2004,MATCH($D1100,Workers!$A$5:$A$2004,0)),""))</f>
        <v/>
      </c>
      <c r="K1100" s="24" t="str">
        <f aca="false">IF($D1100="","",IFERROR(IF(INDEX(Workers!$D$5:$D$2004,MATCH($D1100,Workers!$A$5:$A$2004,0))=0,"",INDEX(Workers!$D$5:$D$2004,MATCH($D1100,Workers!$A$5:$A$2004,0))),""))</f>
        <v/>
      </c>
      <c r="L1100" s="24" t="str">
        <f aca="false">IF($D1100="","",IFERROR(INDEX(Workers!$E$5:$E$2004,MATCH($D1100,Workers!$A$5:$A$2004,0)),""))</f>
        <v/>
      </c>
      <c r="M1100" s="26" t="str">
        <f aca="false">IF($D1100="","",IFERROR(INDEX(ClientRates!$D$5:$D$500,MATCH($B1100&amp;"|"&amp;$L1100,ClientRates!$A$5:$A$500,0)),0))</f>
        <v/>
      </c>
      <c r="N1100" s="26" t="str">
        <f aca="false">IF($D1100="","",IFERROR(INDEX(ClientRates!$E$5:$E$500,MATCH($B1100&amp;"|"&amp;$L1100,ClientRates!$A$5:$A$500,0)),0))</f>
        <v/>
      </c>
      <c r="O1100" s="26" t="str">
        <f aca="false">IF($D1100="","",F1100*M1100+G1100*N1100)</f>
        <v/>
      </c>
      <c r="P1100" s="26" t="str">
        <f aca="false">IF(OR($D1100="",$J1100&lt;&gt;"Supplier"),"",IFERROR(INDEX(SupplierRates!$D$5:$D$500,MATCH($K1100&amp;"|"&amp;$L1100,SupplierRates!$A$5:$A$500,0)),0))</f>
        <v/>
      </c>
      <c r="Q1100" s="26" t="str">
        <f aca="false">IF(OR($D1100="",$J1100&lt;&gt;"Supplier"),"",IFERROR(INDEX(SupplierRates!$E$5:$E$500,MATCH($K1100&amp;"|"&amp;$L1100,SupplierRates!$A$5:$A$500,0)),0))</f>
        <v/>
      </c>
      <c r="R1100" s="26" t="n">
        <f aca="false">IF(OR($D1100="",$J1100&lt;&gt;"Supplier"),0,F1100*P1100+G1100*Q1100)</f>
        <v>0</v>
      </c>
      <c r="S1100" s="26" t="n">
        <f aca="false">IF(OR($D1100="",$J1100&lt;&gt;"Own"),0,IFERROR((F1100+G1100*Settings!$B$13)*INDEX(Workers!$V$5:$V$2004,MATCH($D1100,Workers!$A$5:$A$2004,0)),0))</f>
        <v>0</v>
      </c>
      <c r="T1100" s="26" t="str">
        <f aca="false">IF($D1100="","",O1100-R1100-S1100)</f>
        <v/>
      </c>
    </row>
    <row r="1101" customFormat="false" ht="15" hidden="false" customHeight="false" outlineLevel="0" collapsed="false">
      <c r="I1101" s="24" t="str">
        <f aca="false">IF($D1101="","",IFERROR(INDEX(Workers!$B$5:$B$2004,MATCH($D1101,Workers!$A$5:$A$2004,0)),"NOT FOUND"))</f>
        <v/>
      </c>
      <c r="J1101" s="24" t="str">
        <f aca="false">IF($D1101="","",IFERROR(INDEX(Workers!$C$5:$C$2004,MATCH($D1101,Workers!$A$5:$A$2004,0)),""))</f>
        <v/>
      </c>
      <c r="K1101" s="24" t="str">
        <f aca="false">IF($D1101="","",IFERROR(IF(INDEX(Workers!$D$5:$D$2004,MATCH($D1101,Workers!$A$5:$A$2004,0))=0,"",INDEX(Workers!$D$5:$D$2004,MATCH($D1101,Workers!$A$5:$A$2004,0))),""))</f>
        <v/>
      </c>
      <c r="L1101" s="24" t="str">
        <f aca="false">IF($D1101="","",IFERROR(INDEX(Workers!$E$5:$E$2004,MATCH($D1101,Workers!$A$5:$A$2004,0)),""))</f>
        <v/>
      </c>
      <c r="M1101" s="26" t="str">
        <f aca="false">IF($D1101="","",IFERROR(INDEX(ClientRates!$D$5:$D$500,MATCH($B1101&amp;"|"&amp;$L1101,ClientRates!$A$5:$A$500,0)),0))</f>
        <v/>
      </c>
      <c r="N1101" s="26" t="str">
        <f aca="false">IF($D1101="","",IFERROR(INDEX(ClientRates!$E$5:$E$500,MATCH($B1101&amp;"|"&amp;$L1101,ClientRates!$A$5:$A$500,0)),0))</f>
        <v/>
      </c>
      <c r="O1101" s="26" t="str">
        <f aca="false">IF($D1101="","",F1101*M1101+G1101*N1101)</f>
        <v/>
      </c>
      <c r="P1101" s="26" t="str">
        <f aca="false">IF(OR($D1101="",$J1101&lt;&gt;"Supplier"),"",IFERROR(INDEX(SupplierRates!$D$5:$D$500,MATCH($K1101&amp;"|"&amp;$L1101,SupplierRates!$A$5:$A$500,0)),0))</f>
        <v/>
      </c>
      <c r="Q1101" s="26" t="str">
        <f aca="false">IF(OR($D1101="",$J1101&lt;&gt;"Supplier"),"",IFERROR(INDEX(SupplierRates!$E$5:$E$500,MATCH($K1101&amp;"|"&amp;$L1101,SupplierRates!$A$5:$A$500,0)),0))</f>
        <v/>
      </c>
      <c r="R1101" s="26" t="n">
        <f aca="false">IF(OR($D1101="",$J1101&lt;&gt;"Supplier"),0,F1101*P1101+G1101*Q1101)</f>
        <v>0</v>
      </c>
      <c r="S1101" s="26" t="n">
        <f aca="false">IF(OR($D1101="",$J1101&lt;&gt;"Own"),0,IFERROR((F1101+G1101*Settings!$B$13)*INDEX(Workers!$V$5:$V$2004,MATCH($D1101,Workers!$A$5:$A$2004,0)),0))</f>
        <v>0</v>
      </c>
      <c r="T1101" s="26" t="str">
        <f aca="false">IF($D1101="","",O1101-R1101-S1101)</f>
        <v/>
      </c>
    </row>
    <row r="1102" customFormat="false" ht="15" hidden="false" customHeight="false" outlineLevel="0" collapsed="false">
      <c r="I1102" s="24" t="str">
        <f aca="false">IF($D1102="","",IFERROR(INDEX(Workers!$B$5:$B$2004,MATCH($D1102,Workers!$A$5:$A$2004,0)),"NOT FOUND"))</f>
        <v/>
      </c>
      <c r="J1102" s="24" t="str">
        <f aca="false">IF($D1102="","",IFERROR(INDEX(Workers!$C$5:$C$2004,MATCH($D1102,Workers!$A$5:$A$2004,0)),""))</f>
        <v/>
      </c>
      <c r="K1102" s="24" t="str">
        <f aca="false">IF($D1102="","",IFERROR(IF(INDEX(Workers!$D$5:$D$2004,MATCH($D1102,Workers!$A$5:$A$2004,0))=0,"",INDEX(Workers!$D$5:$D$2004,MATCH($D1102,Workers!$A$5:$A$2004,0))),""))</f>
        <v/>
      </c>
      <c r="L1102" s="24" t="str">
        <f aca="false">IF($D1102="","",IFERROR(INDEX(Workers!$E$5:$E$2004,MATCH($D1102,Workers!$A$5:$A$2004,0)),""))</f>
        <v/>
      </c>
      <c r="M1102" s="26" t="str">
        <f aca="false">IF($D1102="","",IFERROR(INDEX(ClientRates!$D$5:$D$500,MATCH($B1102&amp;"|"&amp;$L1102,ClientRates!$A$5:$A$500,0)),0))</f>
        <v/>
      </c>
      <c r="N1102" s="26" t="str">
        <f aca="false">IF($D1102="","",IFERROR(INDEX(ClientRates!$E$5:$E$500,MATCH($B1102&amp;"|"&amp;$L1102,ClientRates!$A$5:$A$500,0)),0))</f>
        <v/>
      </c>
      <c r="O1102" s="26" t="str">
        <f aca="false">IF($D1102="","",F1102*M1102+G1102*N1102)</f>
        <v/>
      </c>
      <c r="P1102" s="26" t="str">
        <f aca="false">IF(OR($D1102="",$J1102&lt;&gt;"Supplier"),"",IFERROR(INDEX(SupplierRates!$D$5:$D$500,MATCH($K1102&amp;"|"&amp;$L1102,SupplierRates!$A$5:$A$500,0)),0))</f>
        <v/>
      </c>
      <c r="Q1102" s="26" t="str">
        <f aca="false">IF(OR($D1102="",$J1102&lt;&gt;"Supplier"),"",IFERROR(INDEX(SupplierRates!$E$5:$E$500,MATCH($K1102&amp;"|"&amp;$L1102,SupplierRates!$A$5:$A$500,0)),0))</f>
        <v/>
      </c>
      <c r="R1102" s="26" t="n">
        <f aca="false">IF(OR($D1102="",$J1102&lt;&gt;"Supplier"),0,F1102*P1102+G1102*Q1102)</f>
        <v>0</v>
      </c>
      <c r="S1102" s="26" t="n">
        <f aca="false">IF(OR($D1102="",$J1102&lt;&gt;"Own"),0,IFERROR((F1102+G1102*Settings!$B$13)*INDEX(Workers!$V$5:$V$2004,MATCH($D1102,Workers!$A$5:$A$2004,0)),0))</f>
        <v>0</v>
      </c>
      <c r="T1102" s="26" t="str">
        <f aca="false">IF($D1102="","",O1102-R1102-S1102)</f>
        <v/>
      </c>
    </row>
    <row r="1103" customFormat="false" ht="15" hidden="false" customHeight="false" outlineLevel="0" collapsed="false">
      <c r="I1103" s="24" t="str">
        <f aca="false">IF($D1103="","",IFERROR(INDEX(Workers!$B$5:$B$2004,MATCH($D1103,Workers!$A$5:$A$2004,0)),"NOT FOUND"))</f>
        <v/>
      </c>
      <c r="J1103" s="24" t="str">
        <f aca="false">IF($D1103="","",IFERROR(INDEX(Workers!$C$5:$C$2004,MATCH($D1103,Workers!$A$5:$A$2004,0)),""))</f>
        <v/>
      </c>
      <c r="K1103" s="24" t="str">
        <f aca="false">IF($D1103="","",IFERROR(IF(INDEX(Workers!$D$5:$D$2004,MATCH($D1103,Workers!$A$5:$A$2004,0))=0,"",INDEX(Workers!$D$5:$D$2004,MATCH($D1103,Workers!$A$5:$A$2004,0))),""))</f>
        <v/>
      </c>
      <c r="L1103" s="24" t="str">
        <f aca="false">IF($D1103="","",IFERROR(INDEX(Workers!$E$5:$E$2004,MATCH($D1103,Workers!$A$5:$A$2004,0)),""))</f>
        <v/>
      </c>
      <c r="M1103" s="26" t="str">
        <f aca="false">IF($D1103="","",IFERROR(INDEX(ClientRates!$D$5:$D$500,MATCH($B1103&amp;"|"&amp;$L1103,ClientRates!$A$5:$A$500,0)),0))</f>
        <v/>
      </c>
      <c r="N1103" s="26" t="str">
        <f aca="false">IF($D1103="","",IFERROR(INDEX(ClientRates!$E$5:$E$500,MATCH($B1103&amp;"|"&amp;$L1103,ClientRates!$A$5:$A$500,0)),0))</f>
        <v/>
      </c>
      <c r="O1103" s="26" t="str">
        <f aca="false">IF($D1103="","",F1103*M1103+G1103*N1103)</f>
        <v/>
      </c>
      <c r="P1103" s="26" t="str">
        <f aca="false">IF(OR($D1103="",$J1103&lt;&gt;"Supplier"),"",IFERROR(INDEX(SupplierRates!$D$5:$D$500,MATCH($K1103&amp;"|"&amp;$L1103,SupplierRates!$A$5:$A$500,0)),0))</f>
        <v/>
      </c>
      <c r="Q1103" s="26" t="str">
        <f aca="false">IF(OR($D1103="",$J1103&lt;&gt;"Supplier"),"",IFERROR(INDEX(SupplierRates!$E$5:$E$500,MATCH($K1103&amp;"|"&amp;$L1103,SupplierRates!$A$5:$A$500,0)),0))</f>
        <v/>
      </c>
      <c r="R1103" s="26" t="n">
        <f aca="false">IF(OR($D1103="",$J1103&lt;&gt;"Supplier"),0,F1103*P1103+G1103*Q1103)</f>
        <v>0</v>
      </c>
      <c r="S1103" s="26" t="n">
        <f aca="false">IF(OR($D1103="",$J1103&lt;&gt;"Own"),0,IFERROR((F1103+G1103*Settings!$B$13)*INDEX(Workers!$V$5:$V$2004,MATCH($D1103,Workers!$A$5:$A$2004,0)),0))</f>
        <v>0</v>
      </c>
      <c r="T1103" s="26" t="str">
        <f aca="false">IF($D1103="","",O1103-R1103-S1103)</f>
        <v/>
      </c>
    </row>
    <row r="1104" customFormat="false" ht="15" hidden="false" customHeight="false" outlineLevel="0" collapsed="false">
      <c r="I1104" s="24" t="str">
        <f aca="false">IF($D1104="","",IFERROR(INDEX(Workers!$B$5:$B$2004,MATCH($D1104,Workers!$A$5:$A$2004,0)),"NOT FOUND"))</f>
        <v/>
      </c>
      <c r="J1104" s="24" t="str">
        <f aca="false">IF($D1104="","",IFERROR(INDEX(Workers!$C$5:$C$2004,MATCH($D1104,Workers!$A$5:$A$2004,0)),""))</f>
        <v/>
      </c>
      <c r="K1104" s="24" t="str">
        <f aca="false">IF($D1104="","",IFERROR(IF(INDEX(Workers!$D$5:$D$2004,MATCH($D1104,Workers!$A$5:$A$2004,0))=0,"",INDEX(Workers!$D$5:$D$2004,MATCH($D1104,Workers!$A$5:$A$2004,0))),""))</f>
        <v/>
      </c>
      <c r="L1104" s="24" t="str">
        <f aca="false">IF($D1104="","",IFERROR(INDEX(Workers!$E$5:$E$2004,MATCH($D1104,Workers!$A$5:$A$2004,0)),""))</f>
        <v/>
      </c>
      <c r="M1104" s="26" t="str">
        <f aca="false">IF($D1104="","",IFERROR(INDEX(ClientRates!$D$5:$D$500,MATCH($B1104&amp;"|"&amp;$L1104,ClientRates!$A$5:$A$500,0)),0))</f>
        <v/>
      </c>
      <c r="N1104" s="26" t="str">
        <f aca="false">IF($D1104="","",IFERROR(INDEX(ClientRates!$E$5:$E$500,MATCH($B1104&amp;"|"&amp;$L1104,ClientRates!$A$5:$A$500,0)),0))</f>
        <v/>
      </c>
      <c r="O1104" s="26" t="str">
        <f aca="false">IF($D1104="","",F1104*M1104+G1104*N1104)</f>
        <v/>
      </c>
      <c r="P1104" s="26" t="str">
        <f aca="false">IF(OR($D1104="",$J1104&lt;&gt;"Supplier"),"",IFERROR(INDEX(SupplierRates!$D$5:$D$500,MATCH($K1104&amp;"|"&amp;$L1104,SupplierRates!$A$5:$A$500,0)),0))</f>
        <v/>
      </c>
      <c r="Q1104" s="26" t="str">
        <f aca="false">IF(OR($D1104="",$J1104&lt;&gt;"Supplier"),"",IFERROR(INDEX(SupplierRates!$E$5:$E$500,MATCH($K1104&amp;"|"&amp;$L1104,SupplierRates!$A$5:$A$500,0)),0))</f>
        <v/>
      </c>
      <c r="R1104" s="26" t="n">
        <f aca="false">IF(OR($D1104="",$J1104&lt;&gt;"Supplier"),0,F1104*P1104+G1104*Q1104)</f>
        <v>0</v>
      </c>
      <c r="S1104" s="26" t="n">
        <f aca="false">IF(OR($D1104="",$J1104&lt;&gt;"Own"),0,IFERROR((F1104+G1104*Settings!$B$13)*INDEX(Workers!$V$5:$V$2004,MATCH($D1104,Workers!$A$5:$A$2004,0)),0))</f>
        <v>0</v>
      </c>
      <c r="T1104" s="26" t="str">
        <f aca="false">IF($D1104="","",O1104-R1104-S1104)</f>
        <v/>
      </c>
    </row>
    <row r="1105" customFormat="false" ht="15" hidden="false" customHeight="false" outlineLevel="0" collapsed="false">
      <c r="I1105" s="24" t="str">
        <f aca="false">IF($D1105="","",IFERROR(INDEX(Workers!$B$5:$B$2004,MATCH($D1105,Workers!$A$5:$A$2004,0)),"NOT FOUND"))</f>
        <v/>
      </c>
      <c r="J1105" s="24" t="str">
        <f aca="false">IF($D1105="","",IFERROR(INDEX(Workers!$C$5:$C$2004,MATCH($D1105,Workers!$A$5:$A$2004,0)),""))</f>
        <v/>
      </c>
      <c r="K1105" s="24" t="str">
        <f aca="false">IF($D1105="","",IFERROR(IF(INDEX(Workers!$D$5:$D$2004,MATCH($D1105,Workers!$A$5:$A$2004,0))=0,"",INDEX(Workers!$D$5:$D$2004,MATCH($D1105,Workers!$A$5:$A$2004,0))),""))</f>
        <v/>
      </c>
      <c r="L1105" s="24" t="str">
        <f aca="false">IF($D1105="","",IFERROR(INDEX(Workers!$E$5:$E$2004,MATCH($D1105,Workers!$A$5:$A$2004,0)),""))</f>
        <v/>
      </c>
      <c r="M1105" s="26" t="str">
        <f aca="false">IF($D1105="","",IFERROR(INDEX(ClientRates!$D$5:$D$500,MATCH($B1105&amp;"|"&amp;$L1105,ClientRates!$A$5:$A$500,0)),0))</f>
        <v/>
      </c>
      <c r="N1105" s="26" t="str">
        <f aca="false">IF($D1105="","",IFERROR(INDEX(ClientRates!$E$5:$E$500,MATCH($B1105&amp;"|"&amp;$L1105,ClientRates!$A$5:$A$500,0)),0))</f>
        <v/>
      </c>
      <c r="O1105" s="26" t="str">
        <f aca="false">IF($D1105="","",F1105*M1105+G1105*N1105)</f>
        <v/>
      </c>
      <c r="P1105" s="26" t="str">
        <f aca="false">IF(OR($D1105="",$J1105&lt;&gt;"Supplier"),"",IFERROR(INDEX(SupplierRates!$D$5:$D$500,MATCH($K1105&amp;"|"&amp;$L1105,SupplierRates!$A$5:$A$500,0)),0))</f>
        <v/>
      </c>
      <c r="Q1105" s="26" t="str">
        <f aca="false">IF(OR($D1105="",$J1105&lt;&gt;"Supplier"),"",IFERROR(INDEX(SupplierRates!$E$5:$E$500,MATCH($K1105&amp;"|"&amp;$L1105,SupplierRates!$A$5:$A$500,0)),0))</f>
        <v/>
      </c>
      <c r="R1105" s="26" t="n">
        <f aca="false">IF(OR($D1105="",$J1105&lt;&gt;"Supplier"),0,F1105*P1105+G1105*Q1105)</f>
        <v>0</v>
      </c>
      <c r="S1105" s="26" t="n">
        <f aca="false">IF(OR($D1105="",$J1105&lt;&gt;"Own"),0,IFERROR((F1105+G1105*Settings!$B$13)*INDEX(Workers!$V$5:$V$2004,MATCH($D1105,Workers!$A$5:$A$2004,0)),0))</f>
        <v>0</v>
      </c>
      <c r="T1105" s="26" t="str">
        <f aca="false">IF($D1105="","",O1105-R1105-S1105)</f>
        <v/>
      </c>
    </row>
    <row r="1106" customFormat="false" ht="15" hidden="false" customHeight="false" outlineLevel="0" collapsed="false">
      <c r="I1106" s="24" t="str">
        <f aca="false">IF($D1106="","",IFERROR(INDEX(Workers!$B$5:$B$2004,MATCH($D1106,Workers!$A$5:$A$2004,0)),"NOT FOUND"))</f>
        <v/>
      </c>
      <c r="J1106" s="24" t="str">
        <f aca="false">IF($D1106="","",IFERROR(INDEX(Workers!$C$5:$C$2004,MATCH($D1106,Workers!$A$5:$A$2004,0)),""))</f>
        <v/>
      </c>
      <c r="K1106" s="24" t="str">
        <f aca="false">IF($D1106="","",IFERROR(IF(INDEX(Workers!$D$5:$D$2004,MATCH($D1106,Workers!$A$5:$A$2004,0))=0,"",INDEX(Workers!$D$5:$D$2004,MATCH($D1106,Workers!$A$5:$A$2004,0))),""))</f>
        <v/>
      </c>
      <c r="L1106" s="24" t="str">
        <f aca="false">IF($D1106="","",IFERROR(INDEX(Workers!$E$5:$E$2004,MATCH($D1106,Workers!$A$5:$A$2004,0)),""))</f>
        <v/>
      </c>
      <c r="M1106" s="26" t="str">
        <f aca="false">IF($D1106="","",IFERROR(INDEX(ClientRates!$D$5:$D$500,MATCH($B1106&amp;"|"&amp;$L1106,ClientRates!$A$5:$A$500,0)),0))</f>
        <v/>
      </c>
      <c r="N1106" s="26" t="str">
        <f aca="false">IF($D1106="","",IFERROR(INDEX(ClientRates!$E$5:$E$500,MATCH($B1106&amp;"|"&amp;$L1106,ClientRates!$A$5:$A$500,0)),0))</f>
        <v/>
      </c>
      <c r="O1106" s="26" t="str">
        <f aca="false">IF($D1106="","",F1106*M1106+G1106*N1106)</f>
        <v/>
      </c>
      <c r="P1106" s="26" t="str">
        <f aca="false">IF(OR($D1106="",$J1106&lt;&gt;"Supplier"),"",IFERROR(INDEX(SupplierRates!$D$5:$D$500,MATCH($K1106&amp;"|"&amp;$L1106,SupplierRates!$A$5:$A$500,0)),0))</f>
        <v/>
      </c>
      <c r="Q1106" s="26" t="str">
        <f aca="false">IF(OR($D1106="",$J1106&lt;&gt;"Supplier"),"",IFERROR(INDEX(SupplierRates!$E$5:$E$500,MATCH($K1106&amp;"|"&amp;$L1106,SupplierRates!$A$5:$A$500,0)),0))</f>
        <v/>
      </c>
      <c r="R1106" s="26" t="n">
        <f aca="false">IF(OR($D1106="",$J1106&lt;&gt;"Supplier"),0,F1106*P1106+G1106*Q1106)</f>
        <v>0</v>
      </c>
      <c r="S1106" s="26" t="n">
        <f aca="false">IF(OR($D1106="",$J1106&lt;&gt;"Own"),0,IFERROR((F1106+G1106*Settings!$B$13)*INDEX(Workers!$V$5:$V$2004,MATCH($D1106,Workers!$A$5:$A$2004,0)),0))</f>
        <v>0</v>
      </c>
      <c r="T1106" s="26" t="str">
        <f aca="false">IF($D1106="","",O1106-R1106-S1106)</f>
        <v/>
      </c>
    </row>
    <row r="1107" customFormat="false" ht="15" hidden="false" customHeight="false" outlineLevel="0" collapsed="false">
      <c r="I1107" s="24" t="str">
        <f aca="false">IF($D1107="","",IFERROR(INDEX(Workers!$B$5:$B$2004,MATCH($D1107,Workers!$A$5:$A$2004,0)),"NOT FOUND"))</f>
        <v/>
      </c>
      <c r="J1107" s="24" t="str">
        <f aca="false">IF($D1107="","",IFERROR(INDEX(Workers!$C$5:$C$2004,MATCH($D1107,Workers!$A$5:$A$2004,0)),""))</f>
        <v/>
      </c>
      <c r="K1107" s="24" t="str">
        <f aca="false">IF($D1107="","",IFERROR(IF(INDEX(Workers!$D$5:$D$2004,MATCH($D1107,Workers!$A$5:$A$2004,0))=0,"",INDEX(Workers!$D$5:$D$2004,MATCH($D1107,Workers!$A$5:$A$2004,0))),""))</f>
        <v/>
      </c>
      <c r="L1107" s="24" t="str">
        <f aca="false">IF($D1107="","",IFERROR(INDEX(Workers!$E$5:$E$2004,MATCH($D1107,Workers!$A$5:$A$2004,0)),""))</f>
        <v/>
      </c>
      <c r="M1107" s="26" t="str">
        <f aca="false">IF($D1107="","",IFERROR(INDEX(ClientRates!$D$5:$D$500,MATCH($B1107&amp;"|"&amp;$L1107,ClientRates!$A$5:$A$500,0)),0))</f>
        <v/>
      </c>
      <c r="N1107" s="26" t="str">
        <f aca="false">IF($D1107="","",IFERROR(INDEX(ClientRates!$E$5:$E$500,MATCH($B1107&amp;"|"&amp;$L1107,ClientRates!$A$5:$A$500,0)),0))</f>
        <v/>
      </c>
      <c r="O1107" s="26" t="str">
        <f aca="false">IF($D1107="","",F1107*M1107+G1107*N1107)</f>
        <v/>
      </c>
      <c r="P1107" s="26" t="str">
        <f aca="false">IF(OR($D1107="",$J1107&lt;&gt;"Supplier"),"",IFERROR(INDEX(SupplierRates!$D$5:$D$500,MATCH($K1107&amp;"|"&amp;$L1107,SupplierRates!$A$5:$A$500,0)),0))</f>
        <v/>
      </c>
      <c r="Q1107" s="26" t="str">
        <f aca="false">IF(OR($D1107="",$J1107&lt;&gt;"Supplier"),"",IFERROR(INDEX(SupplierRates!$E$5:$E$500,MATCH($K1107&amp;"|"&amp;$L1107,SupplierRates!$A$5:$A$500,0)),0))</f>
        <v/>
      </c>
      <c r="R1107" s="26" t="n">
        <f aca="false">IF(OR($D1107="",$J1107&lt;&gt;"Supplier"),0,F1107*P1107+G1107*Q1107)</f>
        <v>0</v>
      </c>
      <c r="S1107" s="26" t="n">
        <f aca="false">IF(OR($D1107="",$J1107&lt;&gt;"Own"),0,IFERROR((F1107+G1107*Settings!$B$13)*INDEX(Workers!$V$5:$V$2004,MATCH($D1107,Workers!$A$5:$A$2004,0)),0))</f>
        <v>0</v>
      </c>
      <c r="T1107" s="26" t="str">
        <f aca="false">IF($D1107="","",O1107-R1107-S1107)</f>
        <v/>
      </c>
    </row>
    <row r="1108" customFormat="false" ht="15" hidden="false" customHeight="false" outlineLevel="0" collapsed="false">
      <c r="I1108" s="24" t="str">
        <f aca="false">IF($D1108="","",IFERROR(INDEX(Workers!$B$5:$B$2004,MATCH($D1108,Workers!$A$5:$A$2004,0)),"NOT FOUND"))</f>
        <v/>
      </c>
      <c r="J1108" s="24" t="str">
        <f aca="false">IF($D1108="","",IFERROR(INDEX(Workers!$C$5:$C$2004,MATCH($D1108,Workers!$A$5:$A$2004,0)),""))</f>
        <v/>
      </c>
      <c r="K1108" s="24" t="str">
        <f aca="false">IF($D1108="","",IFERROR(IF(INDEX(Workers!$D$5:$D$2004,MATCH($D1108,Workers!$A$5:$A$2004,0))=0,"",INDEX(Workers!$D$5:$D$2004,MATCH($D1108,Workers!$A$5:$A$2004,0))),""))</f>
        <v/>
      </c>
      <c r="L1108" s="24" t="str">
        <f aca="false">IF($D1108="","",IFERROR(INDEX(Workers!$E$5:$E$2004,MATCH($D1108,Workers!$A$5:$A$2004,0)),""))</f>
        <v/>
      </c>
      <c r="M1108" s="26" t="str">
        <f aca="false">IF($D1108="","",IFERROR(INDEX(ClientRates!$D$5:$D$500,MATCH($B1108&amp;"|"&amp;$L1108,ClientRates!$A$5:$A$500,0)),0))</f>
        <v/>
      </c>
      <c r="N1108" s="26" t="str">
        <f aca="false">IF($D1108="","",IFERROR(INDEX(ClientRates!$E$5:$E$500,MATCH($B1108&amp;"|"&amp;$L1108,ClientRates!$A$5:$A$500,0)),0))</f>
        <v/>
      </c>
      <c r="O1108" s="26" t="str">
        <f aca="false">IF($D1108="","",F1108*M1108+G1108*N1108)</f>
        <v/>
      </c>
      <c r="P1108" s="26" t="str">
        <f aca="false">IF(OR($D1108="",$J1108&lt;&gt;"Supplier"),"",IFERROR(INDEX(SupplierRates!$D$5:$D$500,MATCH($K1108&amp;"|"&amp;$L1108,SupplierRates!$A$5:$A$500,0)),0))</f>
        <v/>
      </c>
      <c r="Q1108" s="26" t="str">
        <f aca="false">IF(OR($D1108="",$J1108&lt;&gt;"Supplier"),"",IFERROR(INDEX(SupplierRates!$E$5:$E$500,MATCH($K1108&amp;"|"&amp;$L1108,SupplierRates!$A$5:$A$500,0)),0))</f>
        <v/>
      </c>
      <c r="R1108" s="26" t="n">
        <f aca="false">IF(OR($D1108="",$J1108&lt;&gt;"Supplier"),0,F1108*P1108+G1108*Q1108)</f>
        <v>0</v>
      </c>
      <c r="S1108" s="26" t="n">
        <f aca="false">IF(OR($D1108="",$J1108&lt;&gt;"Own"),0,IFERROR((F1108+G1108*Settings!$B$13)*INDEX(Workers!$V$5:$V$2004,MATCH($D1108,Workers!$A$5:$A$2004,0)),0))</f>
        <v>0</v>
      </c>
      <c r="T1108" s="26" t="str">
        <f aca="false">IF($D1108="","",O1108-R1108-S1108)</f>
        <v/>
      </c>
    </row>
    <row r="1109" customFormat="false" ht="15" hidden="false" customHeight="false" outlineLevel="0" collapsed="false">
      <c r="I1109" s="24" t="str">
        <f aca="false">IF($D1109="","",IFERROR(INDEX(Workers!$B$5:$B$2004,MATCH($D1109,Workers!$A$5:$A$2004,0)),"NOT FOUND"))</f>
        <v/>
      </c>
      <c r="J1109" s="24" t="str">
        <f aca="false">IF($D1109="","",IFERROR(INDEX(Workers!$C$5:$C$2004,MATCH($D1109,Workers!$A$5:$A$2004,0)),""))</f>
        <v/>
      </c>
      <c r="K1109" s="24" t="str">
        <f aca="false">IF($D1109="","",IFERROR(IF(INDEX(Workers!$D$5:$D$2004,MATCH($D1109,Workers!$A$5:$A$2004,0))=0,"",INDEX(Workers!$D$5:$D$2004,MATCH($D1109,Workers!$A$5:$A$2004,0))),""))</f>
        <v/>
      </c>
      <c r="L1109" s="24" t="str">
        <f aca="false">IF($D1109="","",IFERROR(INDEX(Workers!$E$5:$E$2004,MATCH($D1109,Workers!$A$5:$A$2004,0)),""))</f>
        <v/>
      </c>
      <c r="M1109" s="26" t="str">
        <f aca="false">IF($D1109="","",IFERROR(INDEX(ClientRates!$D$5:$D$500,MATCH($B1109&amp;"|"&amp;$L1109,ClientRates!$A$5:$A$500,0)),0))</f>
        <v/>
      </c>
      <c r="N1109" s="26" t="str">
        <f aca="false">IF($D1109="","",IFERROR(INDEX(ClientRates!$E$5:$E$500,MATCH($B1109&amp;"|"&amp;$L1109,ClientRates!$A$5:$A$500,0)),0))</f>
        <v/>
      </c>
      <c r="O1109" s="26" t="str">
        <f aca="false">IF($D1109="","",F1109*M1109+G1109*N1109)</f>
        <v/>
      </c>
      <c r="P1109" s="26" t="str">
        <f aca="false">IF(OR($D1109="",$J1109&lt;&gt;"Supplier"),"",IFERROR(INDEX(SupplierRates!$D$5:$D$500,MATCH($K1109&amp;"|"&amp;$L1109,SupplierRates!$A$5:$A$500,0)),0))</f>
        <v/>
      </c>
      <c r="Q1109" s="26" t="str">
        <f aca="false">IF(OR($D1109="",$J1109&lt;&gt;"Supplier"),"",IFERROR(INDEX(SupplierRates!$E$5:$E$500,MATCH($K1109&amp;"|"&amp;$L1109,SupplierRates!$A$5:$A$500,0)),0))</f>
        <v/>
      </c>
      <c r="R1109" s="26" t="n">
        <f aca="false">IF(OR($D1109="",$J1109&lt;&gt;"Supplier"),0,F1109*P1109+G1109*Q1109)</f>
        <v>0</v>
      </c>
      <c r="S1109" s="26" t="n">
        <f aca="false">IF(OR($D1109="",$J1109&lt;&gt;"Own"),0,IFERROR((F1109+G1109*Settings!$B$13)*INDEX(Workers!$V$5:$V$2004,MATCH($D1109,Workers!$A$5:$A$2004,0)),0))</f>
        <v>0</v>
      </c>
      <c r="T1109" s="26" t="str">
        <f aca="false">IF($D1109="","",O1109-R1109-S1109)</f>
        <v/>
      </c>
    </row>
    <row r="1110" customFormat="false" ht="15" hidden="false" customHeight="false" outlineLevel="0" collapsed="false">
      <c r="I1110" s="24" t="str">
        <f aca="false">IF($D1110="","",IFERROR(INDEX(Workers!$B$5:$B$2004,MATCH($D1110,Workers!$A$5:$A$2004,0)),"NOT FOUND"))</f>
        <v/>
      </c>
      <c r="J1110" s="24" t="str">
        <f aca="false">IF($D1110="","",IFERROR(INDEX(Workers!$C$5:$C$2004,MATCH($D1110,Workers!$A$5:$A$2004,0)),""))</f>
        <v/>
      </c>
      <c r="K1110" s="24" t="str">
        <f aca="false">IF($D1110="","",IFERROR(IF(INDEX(Workers!$D$5:$D$2004,MATCH($D1110,Workers!$A$5:$A$2004,0))=0,"",INDEX(Workers!$D$5:$D$2004,MATCH($D1110,Workers!$A$5:$A$2004,0))),""))</f>
        <v/>
      </c>
      <c r="L1110" s="24" t="str">
        <f aca="false">IF($D1110="","",IFERROR(INDEX(Workers!$E$5:$E$2004,MATCH($D1110,Workers!$A$5:$A$2004,0)),""))</f>
        <v/>
      </c>
      <c r="M1110" s="26" t="str">
        <f aca="false">IF($D1110="","",IFERROR(INDEX(ClientRates!$D$5:$D$500,MATCH($B1110&amp;"|"&amp;$L1110,ClientRates!$A$5:$A$500,0)),0))</f>
        <v/>
      </c>
      <c r="N1110" s="26" t="str">
        <f aca="false">IF($D1110="","",IFERROR(INDEX(ClientRates!$E$5:$E$500,MATCH($B1110&amp;"|"&amp;$L1110,ClientRates!$A$5:$A$500,0)),0))</f>
        <v/>
      </c>
      <c r="O1110" s="26" t="str">
        <f aca="false">IF($D1110="","",F1110*M1110+G1110*N1110)</f>
        <v/>
      </c>
      <c r="P1110" s="26" t="str">
        <f aca="false">IF(OR($D1110="",$J1110&lt;&gt;"Supplier"),"",IFERROR(INDEX(SupplierRates!$D$5:$D$500,MATCH($K1110&amp;"|"&amp;$L1110,SupplierRates!$A$5:$A$500,0)),0))</f>
        <v/>
      </c>
      <c r="Q1110" s="26" t="str">
        <f aca="false">IF(OR($D1110="",$J1110&lt;&gt;"Supplier"),"",IFERROR(INDEX(SupplierRates!$E$5:$E$500,MATCH($K1110&amp;"|"&amp;$L1110,SupplierRates!$A$5:$A$500,0)),0))</f>
        <v/>
      </c>
      <c r="R1110" s="26" t="n">
        <f aca="false">IF(OR($D1110="",$J1110&lt;&gt;"Supplier"),0,F1110*P1110+G1110*Q1110)</f>
        <v>0</v>
      </c>
      <c r="S1110" s="26" t="n">
        <f aca="false">IF(OR($D1110="",$J1110&lt;&gt;"Own"),0,IFERROR((F1110+G1110*Settings!$B$13)*INDEX(Workers!$V$5:$V$2004,MATCH($D1110,Workers!$A$5:$A$2004,0)),0))</f>
        <v>0</v>
      </c>
      <c r="T1110" s="26" t="str">
        <f aca="false">IF($D1110="","",O1110-R1110-S1110)</f>
        <v/>
      </c>
    </row>
    <row r="1111" customFormat="false" ht="15" hidden="false" customHeight="false" outlineLevel="0" collapsed="false">
      <c r="I1111" s="24" t="str">
        <f aca="false">IF($D1111="","",IFERROR(INDEX(Workers!$B$5:$B$2004,MATCH($D1111,Workers!$A$5:$A$2004,0)),"NOT FOUND"))</f>
        <v/>
      </c>
      <c r="J1111" s="24" t="str">
        <f aca="false">IF($D1111="","",IFERROR(INDEX(Workers!$C$5:$C$2004,MATCH($D1111,Workers!$A$5:$A$2004,0)),""))</f>
        <v/>
      </c>
      <c r="K1111" s="24" t="str">
        <f aca="false">IF($D1111="","",IFERROR(IF(INDEX(Workers!$D$5:$D$2004,MATCH($D1111,Workers!$A$5:$A$2004,0))=0,"",INDEX(Workers!$D$5:$D$2004,MATCH($D1111,Workers!$A$5:$A$2004,0))),""))</f>
        <v/>
      </c>
      <c r="L1111" s="24" t="str">
        <f aca="false">IF($D1111="","",IFERROR(INDEX(Workers!$E$5:$E$2004,MATCH($D1111,Workers!$A$5:$A$2004,0)),""))</f>
        <v/>
      </c>
      <c r="M1111" s="26" t="str">
        <f aca="false">IF($D1111="","",IFERROR(INDEX(ClientRates!$D$5:$D$500,MATCH($B1111&amp;"|"&amp;$L1111,ClientRates!$A$5:$A$500,0)),0))</f>
        <v/>
      </c>
      <c r="N1111" s="26" t="str">
        <f aca="false">IF($D1111="","",IFERROR(INDEX(ClientRates!$E$5:$E$500,MATCH($B1111&amp;"|"&amp;$L1111,ClientRates!$A$5:$A$500,0)),0))</f>
        <v/>
      </c>
      <c r="O1111" s="26" t="str">
        <f aca="false">IF($D1111="","",F1111*M1111+G1111*N1111)</f>
        <v/>
      </c>
      <c r="P1111" s="26" t="str">
        <f aca="false">IF(OR($D1111="",$J1111&lt;&gt;"Supplier"),"",IFERROR(INDEX(SupplierRates!$D$5:$D$500,MATCH($K1111&amp;"|"&amp;$L1111,SupplierRates!$A$5:$A$500,0)),0))</f>
        <v/>
      </c>
      <c r="Q1111" s="26" t="str">
        <f aca="false">IF(OR($D1111="",$J1111&lt;&gt;"Supplier"),"",IFERROR(INDEX(SupplierRates!$E$5:$E$500,MATCH($K1111&amp;"|"&amp;$L1111,SupplierRates!$A$5:$A$500,0)),0))</f>
        <v/>
      </c>
      <c r="R1111" s="26" t="n">
        <f aca="false">IF(OR($D1111="",$J1111&lt;&gt;"Supplier"),0,F1111*P1111+G1111*Q1111)</f>
        <v>0</v>
      </c>
      <c r="S1111" s="26" t="n">
        <f aca="false">IF(OR($D1111="",$J1111&lt;&gt;"Own"),0,IFERROR((F1111+G1111*Settings!$B$13)*INDEX(Workers!$V$5:$V$2004,MATCH($D1111,Workers!$A$5:$A$2004,0)),0))</f>
        <v>0</v>
      </c>
      <c r="T1111" s="26" t="str">
        <f aca="false">IF($D1111="","",O1111-R1111-S1111)</f>
        <v/>
      </c>
    </row>
    <row r="1112" customFormat="false" ht="15" hidden="false" customHeight="false" outlineLevel="0" collapsed="false">
      <c r="I1112" s="24" t="str">
        <f aca="false">IF($D1112="","",IFERROR(INDEX(Workers!$B$5:$B$2004,MATCH($D1112,Workers!$A$5:$A$2004,0)),"NOT FOUND"))</f>
        <v/>
      </c>
      <c r="J1112" s="24" t="str">
        <f aca="false">IF($D1112="","",IFERROR(INDEX(Workers!$C$5:$C$2004,MATCH($D1112,Workers!$A$5:$A$2004,0)),""))</f>
        <v/>
      </c>
      <c r="K1112" s="24" t="str">
        <f aca="false">IF($D1112="","",IFERROR(IF(INDEX(Workers!$D$5:$D$2004,MATCH($D1112,Workers!$A$5:$A$2004,0))=0,"",INDEX(Workers!$D$5:$D$2004,MATCH($D1112,Workers!$A$5:$A$2004,0))),""))</f>
        <v/>
      </c>
      <c r="L1112" s="24" t="str">
        <f aca="false">IF($D1112="","",IFERROR(INDEX(Workers!$E$5:$E$2004,MATCH($D1112,Workers!$A$5:$A$2004,0)),""))</f>
        <v/>
      </c>
      <c r="M1112" s="26" t="str">
        <f aca="false">IF($D1112="","",IFERROR(INDEX(ClientRates!$D$5:$D$500,MATCH($B1112&amp;"|"&amp;$L1112,ClientRates!$A$5:$A$500,0)),0))</f>
        <v/>
      </c>
      <c r="N1112" s="26" t="str">
        <f aca="false">IF($D1112="","",IFERROR(INDEX(ClientRates!$E$5:$E$500,MATCH($B1112&amp;"|"&amp;$L1112,ClientRates!$A$5:$A$500,0)),0))</f>
        <v/>
      </c>
      <c r="O1112" s="26" t="str">
        <f aca="false">IF($D1112="","",F1112*M1112+G1112*N1112)</f>
        <v/>
      </c>
      <c r="P1112" s="26" t="str">
        <f aca="false">IF(OR($D1112="",$J1112&lt;&gt;"Supplier"),"",IFERROR(INDEX(SupplierRates!$D$5:$D$500,MATCH($K1112&amp;"|"&amp;$L1112,SupplierRates!$A$5:$A$500,0)),0))</f>
        <v/>
      </c>
      <c r="Q1112" s="26" t="str">
        <f aca="false">IF(OR($D1112="",$J1112&lt;&gt;"Supplier"),"",IFERROR(INDEX(SupplierRates!$E$5:$E$500,MATCH($K1112&amp;"|"&amp;$L1112,SupplierRates!$A$5:$A$500,0)),0))</f>
        <v/>
      </c>
      <c r="R1112" s="26" t="n">
        <f aca="false">IF(OR($D1112="",$J1112&lt;&gt;"Supplier"),0,F1112*P1112+G1112*Q1112)</f>
        <v>0</v>
      </c>
      <c r="S1112" s="26" t="n">
        <f aca="false">IF(OR($D1112="",$J1112&lt;&gt;"Own"),0,IFERROR((F1112+G1112*Settings!$B$13)*INDEX(Workers!$V$5:$V$2004,MATCH($D1112,Workers!$A$5:$A$2004,0)),0))</f>
        <v>0</v>
      </c>
      <c r="T1112" s="26" t="str">
        <f aca="false">IF($D1112="","",O1112-R1112-S1112)</f>
        <v/>
      </c>
    </row>
    <row r="1113" customFormat="false" ht="15" hidden="false" customHeight="false" outlineLevel="0" collapsed="false">
      <c r="I1113" s="24" t="str">
        <f aca="false">IF($D1113="","",IFERROR(INDEX(Workers!$B$5:$B$2004,MATCH($D1113,Workers!$A$5:$A$2004,0)),"NOT FOUND"))</f>
        <v/>
      </c>
      <c r="J1113" s="24" t="str">
        <f aca="false">IF($D1113="","",IFERROR(INDEX(Workers!$C$5:$C$2004,MATCH($D1113,Workers!$A$5:$A$2004,0)),""))</f>
        <v/>
      </c>
      <c r="K1113" s="24" t="str">
        <f aca="false">IF($D1113="","",IFERROR(IF(INDEX(Workers!$D$5:$D$2004,MATCH($D1113,Workers!$A$5:$A$2004,0))=0,"",INDEX(Workers!$D$5:$D$2004,MATCH($D1113,Workers!$A$5:$A$2004,0))),""))</f>
        <v/>
      </c>
      <c r="L1113" s="24" t="str">
        <f aca="false">IF($D1113="","",IFERROR(INDEX(Workers!$E$5:$E$2004,MATCH($D1113,Workers!$A$5:$A$2004,0)),""))</f>
        <v/>
      </c>
      <c r="M1113" s="26" t="str">
        <f aca="false">IF($D1113="","",IFERROR(INDEX(ClientRates!$D$5:$D$500,MATCH($B1113&amp;"|"&amp;$L1113,ClientRates!$A$5:$A$500,0)),0))</f>
        <v/>
      </c>
      <c r="N1113" s="26" t="str">
        <f aca="false">IF($D1113="","",IFERROR(INDEX(ClientRates!$E$5:$E$500,MATCH($B1113&amp;"|"&amp;$L1113,ClientRates!$A$5:$A$500,0)),0))</f>
        <v/>
      </c>
      <c r="O1113" s="26" t="str">
        <f aca="false">IF($D1113="","",F1113*M1113+G1113*N1113)</f>
        <v/>
      </c>
      <c r="P1113" s="26" t="str">
        <f aca="false">IF(OR($D1113="",$J1113&lt;&gt;"Supplier"),"",IFERROR(INDEX(SupplierRates!$D$5:$D$500,MATCH($K1113&amp;"|"&amp;$L1113,SupplierRates!$A$5:$A$500,0)),0))</f>
        <v/>
      </c>
      <c r="Q1113" s="26" t="str">
        <f aca="false">IF(OR($D1113="",$J1113&lt;&gt;"Supplier"),"",IFERROR(INDEX(SupplierRates!$E$5:$E$500,MATCH($K1113&amp;"|"&amp;$L1113,SupplierRates!$A$5:$A$500,0)),0))</f>
        <v/>
      </c>
      <c r="R1113" s="26" t="n">
        <f aca="false">IF(OR($D1113="",$J1113&lt;&gt;"Supplier"),0,F1113*P1113+G1113*Q1113)</f>
        <v>0</v>
      </c>
      <c r="S1113" s="26" t="n">
        <f aca="false">IF(OR($D1113="",$J1113&lt;&gt;"Own"),0,IFERROR((F1113+G1113*Settings!$B$13)*INDEX(Workers!$V$5:$V$2004,MATCH($D1113,Workers!$A$5:$A$2004,0)),0))</f>
        <v>0</v>
      </c>
      <c r="T1113" s="26" t="str">
        <f aca="false">IF($D1113="","",O1113-R1113-S1113)</f>
        <v/>
      </c>
    </row>
    <row r="1114" customFormat="false" ht="15" hidden="false" customHeight="false" outlineLevel="0" collapsed="false">
      <c r="I1114" s="24" t="str">
        <f aca="false">IF($D1114="","",IFERROR(INDEX(Workers!$B$5:$B$2004,MATCH($D1114,Workers!$A$5:$A$2004,0)),"NOT FOUND"))</f>
        <v/>
      </c>
      <c r="J1114" s="24" t="str">
        <f aca="false">IF($D1114="","",IFERROR(INDEX(Workers!$C$5:$C$2004,MATCH($D1114,Workers!$A$5:$A$2004,0)),""))</f>
        <v/>
      </c>
      <c r="K1114" s="24" t="str">
        <f aca="false">IF($D1114="","",IFERROR(IF(INDEX(Workers!$D$5:$D$2004,MATCH($D1114,Workers!$A$5:$A$2004,0))=0,"",INDEX(Workers!$D$5:$D$2004,MATCH($D1114,Workers!$A$5:$A$2004,0))),""))</f>
        <v/>
      </c>
      <c r="L1114" s="24" t="str">
        <f aca="false">IF($D1114="","",IFERROR(INDEX(Workers!$E$5:$E$2004,MATCH($D1114,Workers!$A$5:$A$2004,0)),""))</f>
        <v/>
      </c>
      <c r="M1114" s="26" t="str">
        <f aca="false">IF($D1114="","",IFERROR(INDEX(ClientRates!$D$5:$D$500,MATCH($B1114&amp;"|"&amp;$L1114,ClientRates!$A$5:$A$500,0)),0))</f>
        <v/>
      </c>
      <c r="N1114" s="26" t="str">
        <f aca="false">IF($D1114="","",IFERROR(INDEX(ClientRates!$E$5:$E$500,MATCH($B1114&amp;"|"&amp;$L1114,ClientRates!$A$5:$A$500,0)),0))</f>
        <v/>
      </c>
      <c r="O1114" s="26" t="str">
        <f aca="false">IF($D1114="","",F1114*M1114+G1114*N1114)</f>
        <v/>
      </c>
      <c r="P1114" s="26" t="str">
        <f aca="false">IF(OR($D1114="",$J1114&lt;&gt;"Supplier"),"",IFERROR(INDEX(SupplierRates!$D$5:$D$500,MATCH($K1114&amp;"|"&amp;$L1114,SupplierRates!$A$5:$A$500,0)),0))</f>
        <v/>
      </c>
      <c r="Q1114" s="26" t="str">
        <f aca="false">IF(OR($D1114="",$J1114&lt;&gt;"Supplier"),"",IFERROR(INDEX(SupplierRates!$E$5:$E$500,MATCH($K1114&amp;"|"&amp;$L1114,SupplierRates!$A$5:$A$500,0)),0))</f>
        <v/>
      </c>
      <c r="R1114" s="26" t="n">
        <f aca="false">IF(OR($D1114="",$J1114&lt;&gt;"Supplier"),0,F1114*P1114+G1114*Q1114)</f>
        <v>0</v>
      </c>
      <c r="S1114" s="26" t="n">
        <f aca="false">IF(OR($D1114="",$J1114&lt;&gt;"Own"),0,IFERROR((F1114+G1114*Settings!$B$13)*INDEX(Workers!$V$5:$V$2004,MATCH($D1114,Workers!$A$5:$A$2004,0)),0))</f>
        <v>0</v>
      </c>
      <c r="T1114" s="26" t="str">
        <f aca="false">IF($D1114="","",O1114-R1114-S1114)</f>
        <v/>
      </c>
    </row>
    <row r="1115" customFormat="false" ht="15" hidden="false" customHeight="false" outlineLevel="0" collapsed="false">
      <c r="I1115" s="24" t="str">
        <f aca="false">IF($D1115="","",IFERROR(INDEX(Workers!$B$5:$B$2004,MATCH($D1115,Workers!$A$5:$A$2004,0)),"NOT FOUND"))</f>
        <v/>
      </c>
      <c r="J1115" s="24" t="str">
        <f aca="false">IF($D1115="","",IFERROR(INDEX(Workers!$C$5:$C$2004,MATCH($D1115,Workers!$A$5:$A$2004,0)),""))</f>
        <v/>
      </c>
      <c r="K1115" s="24" t="str">
        <f aca="false">IF($D1115="","",IFERROR(IF(INDEX(Workers!$D$5:$D$2004,MATCH($D1115,Workers!$A$5:$A$2004,0))=0,"",INDEX(Workers!$D$5:$D$2004,MATCH($D1115,Workers!$A$5:$A$2004,0))),""))</f>
        <v/>
      </c>
      <c r="L1115" s="24" t="str">
        <f aca="false">IF($D1115="","",IFERROR(INDEX(Workers!$E$5:$E$2004,MATCH($D1115,Workers!$A$5:$A$2004,0)),""))</f>
        <v/>
      </c>
      <c r="M1115" s="26" t="str">
        <f aca="false">IF($D1115="","",IFERROR(INDEX(ClientRates!$D$5:$D$500,MATCH($B1115&amp;"|"&amp;$L1115,ClientRates!$A$5:$A$500,0)),0))</f>
        <v/>
      </c>
      <c r="N1115" s="26" t="str">
        <f aca="false">IF($D1115="","",IFERROR(INDEX(ClientRates!$E$5:$E$500,MATCH($B1115&amp;"|"&amp;$L1115,ClientRates!$A$5:$A$500,0)),0))</f>
        <v/>
      </c>
      <c r="O1115" s="26" t="str">
        <f aca="false">IF($D1115="","",F1115*M1115+G1115*N1115)</f>
        <v/>
      </c>
      <c r="P1115" s="26" t="str">
        <f aca="false">IF(OR($D1115="",$J1115&lt;&gt;"Supplier"),"",IFERROR(INDEX(SupplierRates!$D$5:$D$500,MATCH($K1115&amp;"|"&amp;$L1115,SupplierRates!$A$5:$A$500,0)),0))</f>
        <v/>
      </c>
      <c r="Q1115" s="26" t="str">
        <f aca="false">IF(OR($D1115="",$J1115&lt;&gt;"Supplier"),"",IFERROR(INDEX(SupplierRates!$E$5:$E$500,MATCH($K1115&amp;"|"&amp;$L1115,SupplierRates!$A$5:$A$500,0)),0))</f>
        <v/>
      </c>
      <c r="R1115" s="26" t="n">
        <f aca="false">IF(OR($D1115="",$J1115&lt;&gt;"Supplier"),0,F1115*P1115+G1115*Q1115)</f>
        <v>0</v>
      </c>
      <c r="S1115" s="26" t="n">
        <f aca="false">IF(OR($D1115="",$J1115&lt;&gt;"Own"),0,IFERROR((F1115+G1115*Settings!$B$13)*INDEX(Workers!$V$5:$V$2004,MATCH($D1115,Workers!$A$5:$A$2004,0)),0))</f>
        <v>0</v>
      </c>
      <c r="T1115" s="26" t="str">
        <f aca="false">IF($D1115="","",O1115-R1115-S1115)</f>
        <v/>
      </c>
    </row>
    <row r="1116" customFormat="false" ht="15" hidden="false" customHeight="false" outlineLevel="0" collapsed="false">
      <c r="I1116" s="24" t="str">
        <f aca="false">IF($D1116="","",IFERROR(INDEX(Workers!$B$5:$B$2004,MATCH($D1116,Workers!$A$5:$A$2004,0)),"NOT FOUND"))</f>
        <v/>
      </c>
      <c r="J1116" s="24" t="str">
        <f aca="false">IF($D1116="","",IFERROR(INDEX(Workers!$C$5:$C$2004,MATCH($D1116,Workers!$A$5:$A$2004,0)),""))</f>
        <v/>
      </c>
      <c r="K1116" s="24" t="str">
        <f aca="false">IF($D1116="","",IFERROR(IF(INDEX(Workers!$D$5:$D$2004,MATCH($D1116,Workers!$A$5:$A$2004,0))=0,"",INDEX(Workers!$D$5:$D$2004,MATCH($D1116,Workers!$A$5:$A$2004,0))),""))</f>
        <v/>
      </c>
      <c r="L1116" s="24" t="str">
        <f aca="false">IF($D1116="","",IFERROR(INDEX(Workers!$E$5:$E$2004,MATCH($D1116,Workers!$A$5:$A$2004,0)),""))</f>
        <v/>
      </c>
      <c r="M1116" s="26" t="str">
        <f aca="false">IF($D1116="","",IFERROR(INDEX(ClientRates!$D$5:$D$500,MATCH($B1116&amp;"|"&amp;$L1116,ClientRates!$A$5:$A$500,0)),0))</f>
        <v/>
      </c>
      <c r="N1116" s="26" t="str">
        <f aca="false">IF($D1116="","",IFERROR(INDEX(ClientRates!$E$5:$E$500,MATCH($B1116&amp;"|"&amp;$L1116,ClientRates!$A$5:$A$500,0)),0))</f>
        <v/>
      </c>
      <c r="O1116" s="26" t="str">
        <f aca="false">IF($D1116="","",F1116*M1116+G1116*N1116)</f>
        <v/>
      </c>
      <c r="P1116" s="26" t="str">
        <f aca="false">IF(OR($D1116="",$J1116&lt;&gt;"Supplier"),"",IFERROR(INDEX(SupplierRates!$D$5:$D$500,MATCH($K1116&amp;"|"&amp;$L1116,SupplierRates!$A$5:$A$500,0)),0))</f>
        <v/>
      </c>
      <c r="Q1116" s="26" t="str">
        <f aca="false">IF(OR($D1116="",$J1116&lt;&gt;"Supplier"),"",IFERROR(INDEX(SupplierRates!$E$5:$E$500,MATCH($K1116&amp;"|"&amp;$L1116,SupplierRates!$A$5:$A$500,0)),0))</f>
        <v/>
      </c>
      <c r="R1116" s="26" t="n">
        <f aca="false">IF(OR($D1116="",$J1116&lt;&gt;"Supplier"),0,F1116*P1116+G1116*Q1116)</f>
        <v>0</v>
      </c>
      <c r="S1116" s="26" t="n">
        <f aca="false">IF(OR($D1116="",$J1116&lt;&gt;"Own"),0,IFERROR((F1116+G1116*Settings!$B$13)*INDEX(Workers!$V$5:$V$2004,MATCH($D1116,Workers!$A$5:$A$2004,0)),0))</f>
        <v>0</v>
      </c>
      <c r="T1116" s="26" t="str">
        <f aca="false">IF($D1116="","",O1116-R1116-S1116)</f>
        <v/>
      </c>
    </row>
    <row r="1117" customFormat="false" ht="15" hidden="false" customHeight="false" outlineLevel="0" collapsed="false">
      <c r="I1117" s="24" t="str">
        <f aca="false">IF($D1117="","",IFERROR(INDEX(Workers!$B$5:$B$2004,MATCH($D1117,Workers!$A$5:$A$2004,0)),"NOT FOUND"))</f>
        <v/>
      </c>
      <c r="J1117" s="24" t="str">
        <f aca="false">IF($D1117="","",IFERROR(INDEX(Workers!$C$5:$C$2004,MATCH($D1117,Workers!$A$5:$A$2004,0)),""))</f>
        <v/>
      </c>
      <c r="K1117" s="24" t="str">
        <f aca="false">IF($D1117="","",IFERROR(IF(INDEX(Workers!$D$5:$D$2004,MATCH($D1117,Workers!$A$5:$A$2004,0))=0,"",INDEX(Workers!$D$5:$D$2004,MATCH($D1117,Workers!$A$5:$A$2004,0))),""))</f>
        <v/>
      </c>
      <c r="L1117" s="24" t="str">
        <f aca="false">IF($D1117="","",IFERROR(INDEX(Workers!$E$5:$E$2004,MATCH($D1117,Workers!$A$5:$A$2004,0)),""))</f>
        <v/>
      </c>
      <c r="M1117" s="26" t="str">
        <f aca="false">IF($D1117="","",IFERROR(INDEX(ClientRates!$D$5:$D$500,MATCH($B1117&amp;"|"&amp;$L1117,ClientRates!$A$5:$A$500,0)),0))</f>
        <v/>
      </c>
      <c r="N1117" s="26" t="str">
        <f aca="false">IF($D1117="","",IFERROR(INDEX(ClientRates!$E$5:$E$500,MATCH($B1117&amp;"|"&amp;$L1117,ClientRates!$A$5:$A$500,0)),0))</f>
        <v/>
      </c>
      <c r="O1117" s="26" t="str">
        <f aca="false">IF($D1117="","",F1117*M1117+G1117*N1117)</f>
        <v/>
      </c>
      <c r="P1117" s="26" t="str">
        <f aca="false">IF(OR($D1117="",$J1117&lt;&gt;"Supplier"),"",IFERROR(INDEX(SupplierRates!$D$5:$D$500,MATCH($K1117&amp;"|"&amp;$L1117,SupplierRates!$A$5:$A$500,0)),0))</f>
        <v/>
      </c>
      <c r="Q1117" s="26" t="str">
        <f aca="false">IF(OR($D1117="",$J1117&lt;&gt;"Supplier"),"",IFERROR(INDEX(SupplierRates!$E$5:$E$500,MATCH($K1117&amp;"|"&amp;$L1117,SupplierRates!$A$5:$A$500,0)),0))</f>
        <v/>
      </c>
      <c r="R1117" s="26" t="n">
        <f aca="false">IF(OR($D1117="",$J1117&lt;&gt;"Supplier"),0,F1117*P1117+G1117*Q1117)</f>
        <v>0</v>
      </c>
      <c r="S1117" s="26" t="n">
        <f aca="false">IF(OR($D1117="",$J1117&lt;&gt;"Own"),0,IFERROR((F1117+G1117*Settings!$B$13)*INDEX(Workers!$V$5:$V$2004,MATCH($D1117,Workers!$A$5:$A$2004,0)),0))</f>
        <v>0</v>
      </c>
      <c r="T1117" s="26" t="str">
        <f aca="false">IF($D1117="","",O1117-R1117-S1117)</f>
        <v/>
      </c>
    </row>
    <row r="1118" customFormat="false" ht="15" hidden="false" customHeight="false" outlineLevel="0" collapsed="false">
      <c r="I1118" s="24" t="str">
        <f aca="false">IF($D1118="","",IFERROR(INDEX(Workers!$B$5:$B$2004,MATCH($D1118,Workers!$A$5:$A$2004,0)),"NOT FOUND"))</f>
        <v/>
      </c>
      <c r="J1118" s="24" t="str">
        <f aca="false">IF($D1118="","",IFERROR(INDEX(Workers!$C$5:$C$2004,MATCH($D1118,Workers!$A$5:$A$2004,0)),""))</f>
        <v/>
      </c>
      <c r="K1118" s="24" t="str">
        <f aca="false">IF($D1118="","",IFERROR(IF(INDEX(Workers!$D$5:$D$2004,MATCH($D1118,Workers!$A$5:$A$2004,0))=0,"",INDEX(Workers!$D$5:$D$2004,MATCH($D1118,Workers!$A$5:$A$2004,0))),""))</f>
        <v/>
      </c>
      <c r="L1118" s="24" t="str">
        <f aca="false">IF($D1118="","",IFERROR(INDEX(Workers!$E$5:$E$2004,MATCH($D1118,Workers!$A$5:$A$2004,0)),""))</f>
        <v/>
      </c>
      <c r="M1118" s="26" t="str">
        <f aca="false">IF($D1118="","",IFERROR(INDEX(ClientRates!$D$5:$D$500,MATCH($B1118&amp;"|"&amp;$L1118,ClientRates!$A$5:$A$500,0)),0))</f>
        <v/>
      </c>
      <c r="N1118" s="26" t="str">
        <f aca="false">IF($D1118="","",IFERROR(INDEX(ClientRates!$E$5:$E$500,MATCH($B1118&amp;"|"&amp;$L1118,ClientRates!$A$5:$A$500,0)),0))</f>
        <v/>
      </c>
      <c r="O1118" s="26" t="str">
        <f aca="false">IF($D1118="","",F1118*M1118+G1118*N1118)</f>
        <v/>
      </c>
      <c r="P1118" s="26" t="str">
        <f aca="false">IF(OR($D1118="",$J1118&lt;&gt;"Supplier"),"",IFERROR(INDEX(SupplierRates!$D$5:$D$500,MATCH($K1118&amp;"|"&amp;$L1118,SupplierRates!$A$5:$A$500,0)),0))</f>
        <v/>
      </c>
      <c r="Q1118" s="26" t="str">
        <f aca="false">IF(OR($D1118="",$J1118&lt;&gt;"Supplier"),"",IFERROR(INDEX(SupplierRates!$E$5:$E$500,MATCH($K1118&amp;"|"&amp;$L1118,SupplierRates!$A$5:$A$500,0)),0))</f>
        <v/>
      </c>
      <c r="R1118" s="26" t="n">
        <f aca="false">IF(OR($D1118="",$J1118&lt;&gt;"Supplier"),0,F1118*P1118+G1118*Q1118)</f>
        <v>0</v>
      </c>
      <c r="S1118" s="26" t="n">
        <f aca="false">IF(OR($D1118="",$J1118&lt;&gt;"Own"),0,IFERROR((F1118+G1118*Settings!$B$13)*INDEX(Workers!$V$5:$V$2004,MATCH($D1118,Workers!$A$5:$A$2004,0)),0))</f>
        <v>0</v>
      </c>
      <c r="T1118" s="26" t="str">
        <f aca="false">IF($D1118="","",O1118-R1118-S1118)</f>
        <v/>
      </c>
    </row>
    <row r="1119" customFormat="false" ht="15" hidden="false" customHeight="false" outlineLevel="0" collapsed="false">
      <c r="I1119" s="24" t="str">
        <f aca="false">IF($D1119="","",IFERROR(INDEX(Workers!$B$5:$B$2004,MATCH($D1119,Workers!$A$5:$A$2004,0)),"NOT FOUND"))</f>
        <v/>
      </c>
      <c r="J1119" s="24" t="str">
        <f aca="false">IF($D1119="","",IFERROR(INDEX(Workers!$C$5:$C$2004,MATCH($D1119,Workers!$A$5:$A$2004,0)),""))</f>
        <v/>
      </c>
      <c r="K1119" s="24" t="str">
        <f aca="false">IF($D1119="","",IFERROR(IF(INDEX(Workers!$D$5:$D$2004,MATCH($D1119,Workers!$A$5:$A$2004,0))=0,"",INDEX(Workers!$D$5:$D$2004,MATCH($D1119,Workers!$A$5:$A$2004,0))),""))</f>
        <v/>
      </c>
      <c r="L1119" s="24" t="str">
        <f aca="false">IF($D1119="","",IFERROR(INDEX(Workers!$E$5:$E$2004,MATCH($D1119,Workers!$A$5:$A$2004,0)),""))</f>
        <v/>
      </c>
      <c r="M1119" s="26" t="str">
        <f aca="false">IF($D1119="","",IFERROR(INDEX(ClientRates!$D$5:$D$500,MATCH($B1119&amp;"|"&amp;$L1119,ClientRates!$A$5:$A$500,0)),0))</f>
        <v/>
      </c>
      <c r="N1119" s="26" t="str">
        <f aca="false">IF($D1119="","",IFERROR(INDEX(ClientRates!$E$5:$E$500,MATCH($B1119&amp;"|"&amp;$L1119,ClientRates!$A$5:$A$500,0)),0))</f>
        <v/>
      </c>
      <c r="O1119" s="26" t="str">
        <f aca="false">IF($D1119="","",F1119*M1119+G1119*N1119)</f>
        <v/>
      </c>
      <c r="P1119" s="26" t="str">
        <f aca="false">IF(OR($D1119="",$J1119&lt;&gt;"Supplier"),"",IFERROR(INDEX(SupplierRates!$D$5:$D$500,MATCH($K1119&amp;"|"&amp;$L1119,SupplierRates!$A$5:$A$500,0)),0))</f>
        <v/>
      </c>
      <c r="Q1119" s="26" t="str">
        <f aca="false">IF(OR($D1119="",$J1119&lt;&gt;"Supplier"),"",IFERROR(INDEX(SupplierRates!$E$5:$E$500,MATCH($K1119&amp;"|"&amp;$L1119,SupplierRates!$A$5:$A$500,0)),0))</f>
        <v/>
      </c>
      <c r="R1119" s="26" t="n">
        <f aca="false">IF(OR($D1119="",$J1119&lt;&gt;"Supplier"),0,F1119*P1119+G1119*Q1119)</f>
        <v>0</v>
      </c>
      <c r="S1119" s="26" t="n">
        <f aca="false">IF(OR($D1119="",$J1119&lt;&gt;"Own"),0,IFERROR((F1119+G1119*Settings!$B$13)*INDEX(Workers!$V$5:$V$2004,MATCH($D1119,Workers!$A$5:$A$2004,0)),0))</f>
        <v>0</v>
      </c>
      <c r="T1119" s="26" t="str">
        <f aca="false">IF($D1119="","",O1119-R1119-S1119)</f>
        <v/>
      </c>
    </row>
    <row r="1120" customFormat="false" ht="15" hidden="false" customHeight="false" outlineLevel="0" collapsed="false">
      <c r="I1120" s="24" t="str">
        <f aca="false">IF($D1120="","",IFERROR(INDEX(Workers!$B$5:$B$2004,MATCH($D1120,Workers!$A$5:$A$2004,0)),"NOT FOUND"))</f>
        <v/>
      </c>
      <c r="J1120" s="24" t="str">
        <f aca="false">IF($D1120="","",IFERROR(INDEX(Workers!$C$5:$C$2004,MATCH($D1120,Workers!$A$5:$A$2004,0)),""))</f>
        <v/>
      </c>
      <c r="K1120" s="24" t="str">
        <f aca="false">IF($D1120="","",IFERROR(IF(INDEX(Workers!$D$5:$D$2004,MATCH($D1120,Workers!$A$5:$A$2004,0))=0,"",INDEX(Workers!$D$5:$D$2004,MATCH($D1120,Workers!$A$5:$A$2004,0))),""))</f>
        <v/>
      </c>
      <c r="L1120" s="24" t="str">
        <f aca="false">IF($D1120="","",IFERROR(INDEX(Workers!$E$5:$E$2004,MATCH($D1120,Workers!$A$5:$A$2004,0)),""))</f>
        <v/>
      </c>
      <c r="M1120" s="26" t="str">
        <f aca="false">IF($D1120="","",IFERROR(INDEX(ClientRates!$D$5:$D$500,MATCH($B1120&amp;"|"&amp;$L1120,ClientRates!$A$5:$A$500,0)),0))</f>
        <v/>
      </c>
      <c r="N1120" s="26" t="str">
        <f aca="false">IF($D1120="","",IFERROR(INDEX(ClientRates!$E$5:$E$500,MATCH($B1120&amp;"|"&amp;$L1120,ClientRates!$A$5:$A$500,0)),0))</f>
        <v/>
      </c>
      <c r="O1120" s="26" t="str">
        <f aca="false">IF($D1120="","",F1120*M1120+G1120*N1120)</f>
        <v/>
      </c>
      <c r="P1120" s="26" t="str">
        <f aca="false">IF(OR($D1120="",$J1120&lt;&gt;"Supplier"),"",IFERROR(INDEX(SupplierRates!$D$5:$D$500,MATCH($K1120&amp;"|"&amp;$L1120,SupplierRates!$A$5:$A$500,0)),0))</f>
        <v/>
      </c>
      <c r="Q1120" s="26" t="str">
        <f aca="false">IF(OR($D1120="",$J1120&lt;&gt;"Supplier"),"",IFERROR(INDEX(SupplierRates!$E$5:$E$500,MATCH($K1120&amp;"|"&amp;$L1120,SupplierRates!$A$5:$A$500,0)),0))</f>
        <v/>
      </c>
      <c r="R1120" s="26" t="n">
        <f aca="false">IF(OR($D1120="",$J1120&lt;&gt;"Supplier"),0,F1120*P1120+G1120*Q1120)</f>
        <v>0</v>
      </c>
      <c r="S1120" s="26" t="n">
        <f aca="false">IF(OR($D1120="",$J1120&lt;&gt;"Own"),0,IFERROR((F1120+G1120*Settings!$B$13)*INDEX(Workers!$V$5:$V$2004,MATCH($D1120,Workers!$A$5:$A$2004,0)),0))</f>
        <v>0</v>
      </c>
      <c r="T1120" s="26" t="str">
        <f aca="false">IF($D1120="","",O1120-R1120-S1120)</f>
        <v/>
      </c>
    </row>
    <row r="1121" customFormat="false" ht="15" hidden="false" customHeight="false" outlineLevel="0" collapsed="false">
      <c r="I1121" s="24" t="str">
        <f aca="false">IF($D1121="","",IFERROR(INDEX(Workers!$B$5:$B$2004,MATCH($D1121,Workers!$A$5:$A$2004,0)),"NOT FOUND"))</f>
        <v/>
      </c>
      <c r="J1121" s="24" t="str">
        <f aca="false">IF($D1121="","",IFERROR(INDEX(Workers!$C$5:$C$2004,MATCH($D1121,Workers!$A$5:$A$2004,0)),""))</f>
        <v/>
      </c>
      <c r="K1121" s="24" t="str">
        <f aca="false">IF($D1121="","",IFERROR(IF(INDEX(Workers!$D$5:$D$2004,MATCH($D1121,Workers!$A$5:$A$2004,0))=0,"",INDEX(Workers!$D$5:$D$2004,MATCH($D1121,Workers!$A$5:$A$2004,0))),""))</f>
        <v/>
      </c>
      <c r="L1121" s="24" t="str">
        <f aca="false">IF($D1121="","",IFERROR(INDEX(Workers!$E$5:$E$2004,MATCH($D1121,Workers!$A$5:$A$2004,0)),""))</f>
        <v/>
      </c>
      <c r="M1121" s="26" t="str">
        <f aca="false">IF($D1121="","",IFERROR(INDEX(ClientRates!$D$5:$D$500,MATCH($B1121&amp;"|"&amp;$L1121,ClientRates!$A$5:$A$500,0)),0))</f>
        <v/>
      </c>
      <c r="N1121" s="26" t="str">
        <f aca="false">IF($D1121="","",IFERROR(INDEX(ClientRates!$E$5:$E$500,MATCH($B1121&amp;"|"&amp;$L1121,ClientRates!$A$5:$A$500,0)),0))</f>
        <v/>
      </c>
      <c r="O1121" s="26" t="str">
        <f aca="false">IF($D1121="","",F1121*M1121+G1121*N1121)</f>
        <v/>
      </c>
      <c r="P1121" s="26" t="str">
        <f aca="false">IF(OR($D1121="",$J1121&lt;&gt;"Supplier"),"",IFERROR(INDEX(SupplierRates!$D$5:$D$500,MATCH($K1121&amp;"|"&amp;$L1121,SupplierRates!$A$5:$A$500,0)),0))</f>
        <v/>
      </c>
      <c r="Q1121" s="26" t="str">
        <f aca="false">IF(OR($D1121="",$J1121&lt;&gt;"Supplier"),"",IFERROR(INDEX(SupplierRates!$E$5:$E$500,MATCH($K1121&amp;"|"&amp;$L1121,SupplierRates!$A$5:$A$500,0)),0))</f>
        <v/>
      </c>
      <c r="R1121" s="26" t="n">
        <f aca="false">IF(OR($D1121="",$J1121&lt;&gt;"Supplier"),0,F1121*P1121+G1121*Q1121)</f>
        <v>0</v>
      </c>
      <c r="S1121" s="26" t="n">
        <f aca="false">IF(OR($D1121="",$J1121&lt;&gt;"Own"),0,IFERROR((F1121+G1121*Settings!$B$13)*INDEX(Workers!$V$5:$V$2004,MATCH($D1121,Workers!$A$5:$A$2004,0)),0))</f>
        <v>0</v>
      </c>
      <c r="T1121" s="26" t="str">
        <f aca="false">IF($D1121="","",O1121-R1121-S1121)</f>
        <v/>
      </c>
    </row>
    <row r="1122" customFormat="false" ht="15" hidden="false" customHeight="false" outlineLevel="0" collapsed="false">
      <c r="I1122" s="24" t="str">
        <f aca="false">IF($D1122="","",IFERROR(INDEX(Workers!$B$5:$B$2004,MATCH($D1122,Workers!$A$5:$A$2004,0)),"NOT FOUND"))</f>
        <v/>
      </c>
      <c r="J1122" s="24" t="str">
        <f aca="false">IF($D1122="","",IFERROR(INDEX(Workers!$C$5:$C$2004,MATCH($D1122,Workers!$A$5:$A$2004,0)),""))</f>
        <v/>
      </c>
      <c r="K1122" s="24" t="str">
        <f aca="false">IF($D1122="","",IFERROR(IF(INDEX(Workers!$D$5:$D$2004,MATCH($D1122,Workers!$A$5:$A$2004,0))=0,"",INDEX(Workers!$D$5:$D$2004,MATCH($D1122,Workers!$A$5:$A$2004,0))),""))</f>
        <v/>
      </c>
      <c r="L1122" s="24" t="str">
        <f aca="false">IF($D1122="","",IFERROR(INDEX(Workers!$E$5:$E$2004,MATCH($D1122,Workers!$A$5:$A$2004,0)),""))</f>
        <v/>
      </c>
      <c r="M1122" s="26" t="str">
        <f aca="false">IF($D1122="","",IFERROR(INDEX(ClientRates!$D$5:$D$500,MATCH($B1122&amp;"|"&amp;$L1122,ClientRates!$A$5:$A$500,0)),0))</f>
        <v/>
      </c>
      <c r="N1122" s="26" t="str">
        <f aca="false">IF($D1122="","",IFERROR(INDEX(ClientRates!$E$5:$E$500,MATCH($B1122&amp;"|"&amp;$L1122,ClientRates!$A$5:$A$500,0)),0))</f>
        <v/>
      </c>
      <c r="O1122" s="26" t="str">
        <f aca="false">IF($D1122="","",F1122*M1122+G1122*N1122)</f>
        <v/>
      </c>
      <c r="P1122" s="26" t="str">
        <f aca="false">IF(OR($D1122="",$J1122&lt;&gt;"Supplier"),"",IFERROR(INDEX(SupplierRates!$D$5:$D$500,MATCH($K1122&amp;"|"&amp;$L1122,SupplierRates!$A$5:$A$500,0)),0))</f>
        <v/>
      </c>
      <c r="Q1122" s="26" t="str">
        <f aca="false">IF(OR($D1122="",$J1122&lt;&gt;"Supplier"),"",IFERROR(INDEX(SupplierRates!$E$5:$E$500,MATCH($K1122&amp;"|"&amp;$L1122,SupplierRates!$A$5:$A$500,0)),0))</f>
        <v/>
      </c>
      <c r="R1122" s="26" t="n">
        <f aca="false">IF(OR($D1122="",$J1122&lt;&gt;"Supplier"),0,F1122*P1122+G1122*Q1122)</f>
        <v>0</v>
      </c>
      <c r="S1122" s="26" t="n">
        <f aca="false">IF(OR($D1122="",$J1122&lt;&gt;"Own"),0,IFERROR((F1122+G1122*Settings!$B$13)*INDEX(Workers!$V$5:$V$2004,MATCH($D1122,Workers!$A$5:$A$2004,0)),0))</f>
        <v>0</v>
      </c>
      <c r="T1122" s="26" t="str">
        <f aca="false">IF($D1122="","",O1122-R1122-S1122)</f>
        <v/>
      </c>
    </row>
    <row r="1123" customFormat="false" ht="15" hidden="false" customHeight="false" outlineLevel="0" collapsed="false">
      <c r="I1123" s="24" t="str">
        <f aca="false">IF($D1123="","",IFERROR(INDEX(Workers!$B$5:$B$2004,MATCH($D1123,Workers!$A$5:$A$2004,0)),"NOT FOUND"))</f>
        <v/>
      </c>
      <c r="J1123" s="24" t="str">
        <f aca="false">IF($D1123="","",IFERROR(INDEX(Workers!$C$5:$C$2004,MATCH($D1123,Workers!$A$5:$A$2004,0)),""))</f>
        <v/>
      </c>
      <c r="K1123" s="24" t="str">
        <f aca="false">IF($D1123="","",IFERROR(IF(INDEX(Workers!$D$5:$D$2004,MATCH($D1123,Workers!$A$5:$A$2004,0))=0,"",INDEX(Workers!$D$5:$D$2004,MATCH($D1123,Workers!$A$5:$A$2004,0))),""))</f>
        <v/>
      </c>
      <c r="L1123" s="24" t="str">
        <f aca="false">IF($D1123="","",IFERROR(INDEX(Workers!$E$5:$E$2004,MATCH($D1123,Workers!$A$5:$A$2004,0)),""))</f>
        <v/>
      </c>
      <c r="M1123" s="26" t="str">
        <f aca="false">IF($D1123="","",IFERROR(INDEX(ClientRates!$D$5:$D$500,MATCH($B1123&amp;"|"&amp;$L1123,ClientRates!$A$5:$A$500,0)),0))</f>
        <v/>
      </c>
      <c r="N1123" s="26" t="str">
        <f aca="false">IF($D1123="","",IFERROR(INDEX(ClientRates!$E$5:$E$500,MATCH($B1123&amp;"|"&amp;$L1123,ClientRates!$A$5:$A$500,0)),0))</f>
        <v/>
      </c>
      <c r="O1123" s="26" t="str">
        <f aca="false">IF($D1123="","",F1123*M1123+G1123*N1123)</f>
        <v/>
      </c>
      <c r="P1123" s="26" t="str">
        <f aca="false">IF(OR($D1123="",$J1123&lt;&gt;"Supplier"),"",IFERROR(INDEX(SupplierRates!$D$5:$D$500,MATCH($K1123&amp;"|"&amp;$L1123,SupplierRates!$A$5:$A$500,0)),0))</f>
        <v/>
      </c>
      <c r="Q1123" s="26" t="str">
        <f aca="false">IF(OR($D1123="",$J1123&lt;&gt;"Supplier"),"",IFERROR(INDEX(SupplierRates!$E$5:$E$500,MATCH($K1123&amp;"|"&amp;$L1123,SupplierRates!$A$5:$A$500,0)),0))</f>
        <v/>
      </c>
      <c r="R1123" s="26" t="n">
        <f aca="false">IF(OR($D1123="",$J1123&lt;&gt;"Supplier"),0,F1123*P1123+G1123*Q1123)</f>
        <v>0</v>
      </c>
      <c r="S1123" s="26" t="n">
        <f aca="false">IF(OR($D1123="",$J1123&lt;&gt;"Own"),0,IFERROR((F1123+G1123*Settings!$B$13)*INDEX(Workers!$V$5:$V$2004,MATCH($D1123,Workers!$A$5:$A$2004,0)),0))</f>
        <v>0</v>
      </c>
      <c r="T1123" s="26" t="str">
        <f aca="false">IF($D1123="","",O1123-R1123-S1123)</f>
        <v/>
      </c>
    </row>
    <row r="1124" customFormat="false" ht="15" hidden="false" customHeight="false" outlineLevel="0" collapsed="false">
      <c r="I1124" s="24" t="str">
        <f aca="false">IF($D1124="","",IFERROR(INDEX(Workers!$B$5:$B$2004,MATCH($D1124,Workers!$A$5:$A$2004,0)),"NOT FOUND"))</f>
        <v/>
      </c>
      <c r="J1124" s="24" t="str">
        <f aca="false">IF($D1124="","",IFERROR(INDEX(Workers!$C$5:$C$2004,MATCH($D1124,Workers!$A$5:$A$2004,0)),""))</f>
        <v/>
      </c>
      <c r="K1124" s="24" t="str">
        <f aca="false">IF($D1124="","",IFERROR(IF(INDEX(Workers!$D$5:$D$2004,MATCH($D1124,Workers!$A$5:$A$2004,0))=0,"",INDEX(Workers!$D$5:$D$2004,MATCH($D1124,Workers!$A$5:$A$2004,0))),""))</f>
        <v/>
      </c>
      <c r="L1124" s="24" t="str">
        <f aca="false">IF($D1124="","",IFERROR(INDEX(Workers!$E$5:$E$2004,MATCH($D1124,Workers!$A$5:$A$2004,0)),""))</f>
        <v/>
      </c>
      <c r="M1124" s="26" t="str">
        <f aca="false">IF($D1124="","",IFERROR(INDEX(ClientRates!$D$5:$D$500,MATCH($B1124&amp;"|"&amp;$L1124,ClientRates!$A$5:$A$500,0)),0))</f>
        <v/>
      </c>
      <c r="N1124" s="26" t="str">
        <f aca="false">IF($D1124="","",IFERROR(INDEX(ClientRates!$E$5:$E$500,MATCH($B1124&amp;"|"&amp;$L1124,ClientRates!$A$5:$A$500,0)),0))</f>
        <v/>
      </c>
      <c r="O1124" s="26" t="str">
        <f aca="false">IF($D1124="","",F1124*M1124+G1124*N1124)</f>
        <v/>
      </c>
      <c r="P1124" s="26" t="str">
        <f aca="false">IF(OR($D1124="",$J1124&lt;&gt;"Supplier"),"",IFERROR(INDEX(SupplierRates!$D$5:$D$500,MATCH($K1124&amp;"|"&amp;$L1124,SupplierRates!$A$5:$A$500,0)),0))</f>
        <v/>
      </c>
      <c r="Q1124" s="26" t="str">
        <f aca="false">IF(OR($D1124="",$J1124&lt;&gt;"Supplier"),"",IFERROR(INDEX(SupplierRates!$E$5:$E$500,MATCH($K1124&amp;"|"&amp;$L1124,SupplierRates!$A$5:$A$500,0)),0))</f>
        <v/>
      </c>
      <c r="R1124" s="26" t="n">
        <f aca="false">IF(OR($D1124="",$J1124&lt;&gt;"Supplier"),0,F1124*P1124+G1124*Q1124)</f>
        <v>0</v>
      </c>
      <c r="S1124" s="26" t="n">
        <f aca="false">IF(OR($D1124="",$J1124&lt;&gt;"Own"),0,IFERROR((F1124+G1124*Settings!$B$13)*INDEX(Workers!$V$5:$V$2004,MATCH($D1124,Workers!$A$5:$A$2004,0)),0))</f>
        <v>0</v>
      </c>
      <c r="T1124" s="26" t="str">
        <f aca="false">IF($D1124="","",O1124-R1124-S1124)</f>
        <v/>
      </c>
    </row>
    <row r="1125" customFormat="false" ht="15" hidden="false" customHeight="false" outlineLevel="0" collapsed="false">
      <c r="I1125" s="24" t="str">
        <f aca="false">IF($D1125="","",IFERROR(INDEX(Workers!$B$5:$B$2004,MATCH($D1125,Workers!$A$5:$A$2004,0)),"NOT FOUND"))</f>
        <v/>
      </c>
      <c r="J1125" s="24" t="str">
        <f aca="false">IF($D1125="","",IFERROR(INDEX(Workers!$C$5:$C$2004,MATCH($D1125,Workers!$A$5:$A$2004,0)),""))</f>
        <v/>
      </c>
      <c r="K1125" s="24" t="str">
        <f aca="false">IF($D1125="","",IFERROR(IF(INDEX(Workers!$D$5:$D$2004,MATCH($D1125,Workers!$A$5:$A$2004,0))=0,"",INDEX(Workers!$D$5:$D$2004,MATCH($D1125,Workers!$A$5:$A$2004,0))),""))</f>
        <v/>
      </c>
      <c r="L1125" s="24" t="str">
        <f aca="false">IF($D1125="","",IFERROR(INDEX(Workers!$E$5:$E$2004,MATCH($D1125,Workers!$A$5:$A$2004,0)),""))</f>
        <v/>
      </c>
      <c r="M1125" s="26" t="str">
        <f aca="false">IF($D1125="","",IFERROR(INDEX(ClientRates!$D$5:$D$500,MATCH($B1125&amp;"|"&amp;$L1125,ClientRates!$A$5:$A$500,0)),0))</f>
        <v/>
      </c>
      <c r="N1125" s="26" t="str">
        <f aca="false">IF($D1125="","",IFERROR(INDEX(ClientRates!$E$5:$E$500,MATCH($B1125&amp;"|"&amp;$L1125,ClientRates!$A$5:$A$500,0)),0))</f>
        <v/>
      </c>
      <c r="O1125" s="26" t="str">
        <f aca="false">IF($D1125="","",F1125*M1125+G1125*N1125)</f>
        <v/>
      </c>
      <c r="P1125" s="26" t="str">
        <f aca="false">IF(OR($D1125="",$J1125&lt;&gt;"Supplier"),"",IFERROR(INDEX(SupplierRates!$D$5:$D$500,MATCH($K1125&amp;"|"&amp;$L1125,SupplierRates!$A$5:$A$500,0)),0))</f>
        <v/>
      </c>
      <c r="Q1125" s="26" t="str">
        <f aca="false">IF(OR($D1125="",$J1125&lt;&gt;"Supplier"),"",IFERROR(INDEX(SupplierRates!$E$5:$E$500,MATCH($K1125&amp;"|"&amp;$L1125,SupplierRates!$A$5:$A$500,0)),0))</f>
        <v/>
      </c>
      <c r="R1125" s="26" t="n">
        <f aca="false">IF(OR($D1125="",$J1125&lt;&gt;"Supplier"),0,F1125*P1125+G1125*Q1125)</f>
        <v>0</v>
      </c>
      <c r="S1125" s="26" t="n">
        <f aca="false">IF(OR($D1125="",$J1125&lt;&gt;"Own"),0,IFERROR((F1125+G1125*Settings!$B$13)*INDEX(Workers!$V$5:$V$2004,MATCH($D1125,Workers!$A$5:$A$2004,0)),0))</f>
        <v>0</v>
      </c>
      <c r="T1125" s="26" t="str">
        <f aca="false">IF($D1125="","",O1125-R1125-S1125)</f>
        <v/>
      </c>
    </row>
    <row r="1126" customFormat="false" ht="15" hidden="false" customHeight="false" outlineLevel="0" collapsed="false">
      <c r="I1126" s="24" t="str">
        <f aca="false">IF($D1126="","",IFERROR(INDEX(Workers!$B$5:$B$2004,MATCH($D1126,Workers!$A$5:$A$2004,0)),"NOT FOUND"))</f>
        <v/>
      </c>
      <c r="J1126" s="24" t="str">
        <f aca="false">IF($D1126="","",IFERROR(INDEX(Workers!$C$5:$C$2004,MATCH($D1126,Workers!$A$5:$A$2004,0)),""))</f>
        <v/>
      </c>
      <c r="K1126" s="24" t="str">
        <f aca="false">IF($D1126="","",IFERROR(IF(INDEX(Workers!$D$5:$D$2004,MATCH($D1126,Workers!$A$5:$A$2004,0))=0,"",INDEX(Workers!$D$5:$D$2004,MATCH($D1126,Workers!$A$5:$A$2004,0))),""))</f>
        <v/>
      </c>
      <c r="L1126" s="24" t="str">
        <f aca="false">IF($D1126="","",IFERROR(INDEX(Workers!$E$5:$E$2004,MATCH($D1126,Workers!$A$5:$A$2004,0)),""))</f>
        <v/>
      </c>
      <c r="M1126" s="26" t="str">
        <f aca="false">IF($D1126="","",IFERROR(INDEX(ClientRates!$D$5:$D$500,MATCH($B1126&amp;"|"&amp;$L1126,ClientRates!$A$5:$A$500,0)),0))</f>
        <v/>
      </c>
      <c r="N1126" s="26" t="str">
        <f aca="false">IF($D1126="","",IFERROR(INDEX(ClientRates!$E$5:$E$500,MATCH($B1126&amp;"|"&amp;$L1126,ClientRates!$A$5:$A$500,0)),0))</f>
        <v/>
      </c>
      <c r="O1126" s="26" t="str">
        <f aca="false">IF($D1126="","",F1126*M1126+G1126*N1126)</f>
        <v/>
      </c>
      <c r="P1126" s="26" t="str">
        <f aca="false">IF(OR($D1126="",$J1126&lt;&gt;"Supplier"),"",IFERROR(INDEX(SupplierRates!$D$5:$D$500,MATCH($K1126&amp;"|"&amp;$L1126,SupplierRates!$A$5:$A$500,0)),0))</f>
        <v/>
      </c>
      <c r="Q1126" s="26" t="str">
        <f aca="false">IF(OR($D1126="",$J1126&lt;&gt;"Supplier"),"",IFERROR(INDEX(SupplierRates!$E$5:$E$500,MATCH($K1126&amp;"|"&amp;$L1126,SupplierRates!$A$5:$A$500,0)),0))</f>
        <v/>
      </c>
      <c r="R1126" s="26" t="n">
        <f aca="false">IF(OR($D1126="",$J1126&lt;&gt;"Supplier"),0,F1126*P1126+G1126*Q1126)</f>
        <v>0</v>
      </c>
      <c r="S1126" s="26" t="n">
        <f aca="false">IF(OR($D1126="",$J1126&lt;&gt;"Own"),0,IFERROR((F1126+G1126*Settings!$B$13)*INDEX(Workers!$V$5:$V$2004,MATCH($D1126,Workers!$A$5:$A$2004,0)),0))</f>
        <v>0</v>
      </c>
      <c r="T1126" s="26" t="str">
        <f aca="false">IF($D1126="","",O1126-R1126-S1126)</f>
        <v/>
      </c>
    </row>
    <row r="1127" customFormat="false" ht="15" hidden="false" customHeight="false" outlineLevel="0" collapsed="false">
      <c r="I1127" s="24" t="str">
        <f aca="false">IF($D1127="","",IFERROR(INDEX(Workers!$B$5:$B$2004,MATCH($D1127,Workers!$A$5:$A$2004,0)),"NOT FOUND"))</f>
        <v/>
      </c>
      <c r="J1127" s="24" t="str">
        <f aca="false">IF($D1127="","",IFERROR(INDEX(Workers!$C$5:$C$2004,MATCH($D1127,Workers!$A$5:$A$2004,0)),""))</f>
        <v/>
      </c>
      <c r="K1127" s="24" t="str">
        <f aca="false">IF($D1127="","",IFERROR(IF(INDEX(Workers!$D$5:$D$2004,MATCH($D1127,Workers!$A$5:$A$2004,0))=0,"",INDEX(Workers!$D$5:$D$2004,MATCH($D1127,Workers!$A$5:$A$2004,0))),""))</f>
        <v/>
      </c>
      <c r="L1127" s="24" t="str">
        <f aca="false">IF($D1127="","",IFERROR(INDEX(Workers!$E$5:$E$2004,MATCH($D1127,Workers!$A$5:$A$2004,0)),""))</f>
        <v/>
      </c>
      <c r="M1127" s="26" t="str">
        <f aca="false">IF($D1127="","",IFERROR(INDEX(ClientRates!$D$5:$D$500,MATCH($B1127&amp;"|"&amp;$L1127,ClientRates!$A$5:$A$500,0)),0))</f>
        <v/>
      </c>
      <c r="N1127" s="26" t="str">
        <f aca="false">IF($D1127="","",IFERROR(INDEX(ClientRates!$E$5:$E$500,MATCH($B1127&amp;"|"&amp;$L1127,ClientRates!$A$5:$A$500,0)),0))</f>
        <v/>
      </c>
      <c r="O1127" s="26" t="str">
        <f aca="false">IF($D1127="","",F1127*M1127+G1127*N1127)</f>
        <v/>
      </c>
      <c r="P1127" s="26" t="str">
        <f aca="false">IF(OR($D1127="",$J1127&lt;&gt;"Supplier"),"",IFERROR(INDEX(SupplierRates!$D$5:$D$500,MATCH($K1127&amp;"|"&amp;$L1127,SupplierRates!$A$5:$A$500,0)),0))</f>
        <v/>
      </c>
      <c r="Q1127" s="26" t="str">
        <f aca="false">IF(OR($D1127="",$J1127&lt;&gt;"Supplier"),"",IFERROR(INDEX(SupplierRates!$E$5:$E$500,MATCH($K1127&amp;"|"&amp;$L1127,SupplierRates!$A$5:$A$500,0)),0))</f>
        <v/>
      </c>
      <c r="R1127" s="26" t="n">
        <f aca="false">IF(OR($D1127="",$J1127&lt;&gt;"Supplier"),0,F1127*P1127+G1127*Q1127)</f>
        <v>0</v>
      </c>
      <c r="S1127" s="26" t="n">
        <f aca="false">IF(OR($D1127="",$J1127&lt;&gt;"Own"),0,IFERROR((F1127+G1127*Settings!$B$13)*INDEX(Workers!$V$5:$V$2004,MATCH($D1127,Workers!$A$5:$A$2004,0)),0))</f>
        <v>0</v>
      </c>
      <c r="T1127" s="26" t="str">
        <f aca="false">IF($D1127="","",O1127-R1127-S1127)</f>
        <v/>
      </c>
    </row>
    <row r="1128" customFormat="false" ht="15" hidden="false" customHeight="false" outlineLevel="0" collapsed="false">
      <c r="I1128" s="24" t="str">
        <f aca="false">IF($D1128="","",IFERROR(INDEX(Workers!$B$5:$B$2004,MATCH($D1128,Workers!$A$5:$A$2004,0)),"NOT FOUND"))</f>
        <v/>
      </c>
      <c r="J1128" s="24" t="str">
        <f aca="false">IF($D1128="","",IFERROR(INDEX(Workers!$C$5:$C$2004,MATCH($D1128,Workers!$A$5:$A$2004,0)),""))</f>
        <v/>
      </c>
      <c r="K1128" s="24" t="str">
        <f aca="false">IF($D1128="","",IFERROR(IF(INDEX(Workers!$D$5:$D$2004,MATCH($D1128,Workers!$A$5:$A$2004,0))=0,"",INDEX(Workers!$D$5:$D$2004,MATCH($D1128,Workers!$A$5:$A$2004,0))),""))</f>
        <v/>
      </c>
      <c r="L1128" s="24" t="str">
        <f aca="false">IF($D1128="","",IFERROR(INDEX(Workers!$E$5:$E$2004,MATCH($D1128,Workers!$A$5:$A$2004,0)),""))</f>
        <v/>
      </c>
      <c r="M1128" s="26" t="str">
        <f aca="false">IF($D1128="","",IFERROR(INDEX(ClientRates!$D$5:$D$500,MATCH($B1128&amp;"|"&amp;$L1128,ClientRates!$A$5:$A$500,0)),0))</f>
        <v/>
      </c>
      <c r="N1128" s="26" t="str">
        <f aca="false">IF($D1128="","",IFERROR(INDEX(ClientRates!$E$5:$E$500,MATCH($B1128&amp;"|"&amp;$L1128,ClientRates!$A$5:$A$500,0)),0))</f>
        <v/>
      </c>
      <c r="O1128" s="26" t="str">
        <f aca="false">IF($D1128="","",F1128*M1128+G1128*N1128)</f>
        <v/>
      </c>
      <c r="P1128" s="26" t="str">
        <f aca="false">IF(OR($D1128="",$J1128&lt;&gt;"Supplier"),"",IFERROR(INDEX(SupplierRates!$D$5:$D$500,MATCH($K1128&amp;"|"&amp;$L1128,SupplierRates!$A$5:$A$500,0)),0))</f>
        <v/>
      </c>
      <c r="Q1128" s="26" t="str">
        <f aca="false">IF(OR($D1128="",$J1128&lt;&gt;"Supplier"),"",IFERROR(INDEX(SupplierRates!$E$5:$E$500,MATCH($K1128&amp;"|"&amp;$L1128,SupplierRates!$A$5:$A$500,0)),0))</f>
        <v/>
      </c>
      <c r="R1128" s="26" t="n">
        <f aca="false">IF(OR($D1128="",$J1128&lt;&gt;"Supplier"),0,F1128*P1128+G1128*Q1128)</f>
        <v>0</v>
      </c>
      <c r="S1128" s="26" t="n">
        <f aca="false">IF(OR($D1128="",$J1128&lt;&gt;"Own"),0,IFERROR((F1128+G1128*Settings!$B$13)*INDEX(Workers!$V$5:$V$2004,MATCH($D1128,Workers!$A$5:$A$2004,0)),0))</f>
        <v>0</v>
      </c>
      <c r="T1128" s="26" t="str">
        <f aca="false">IF($D1128="","",O1128-R1128-S1128)</f>
        <v/>
      </c>
    </row>
    <row r="1129" customFormat="false" ht="15" hidden="false" customHeight="false" outlineLevel="0" collapsed="false">
      <c r="I1129" s="24" t="str">
        <f aca="false">IF($D1129="","",IFERROR(INDEX(Workers!$B$5:$B$2004,MATCH($D1129,Workers!$A$5:$A$2004,0)),"NOT FOUND"))</f>
        <v/>
      </c>
      <c r="J1129" s="24" t="str">
        <f aca="false">IF($D1129="","",IFERROR(INDEX(Workers!$C$5:$C$2004,MATCH($D1129,Workers!$A$5:$A$2004,0)),""))</f>
        <v/>
      </c>
      <c r="K1129" s="24" t="str">
        <f aca="false">IF($D1129="","",IFERROR(IF(INDEX(Workers!$D$5:$D$2004,MATCH($D1129,Workers!$A$5:$A$2004,0))=0,"",INDEX(Workers!$D$5:$D$2004,MATCH($D1129,Workers!$A$5:$A$2004,0))),""))</f>
        <v/>
      </c>
      <c r="L1129" s="24" t="str">
        <f aca="false">IF($D1129="","",IFERROR(INDEX(Workers!$E$5:$E$2004,MATCH($D1129,Workers!$A$5:$A$2004,0)),""))</f>
        <v/>
      </c>
      <c r="M1129" s="26" t="str">
        <f aca="false">IF($D1129="","",IFERROR(INDEX(ClientRates!$D$5:$D$500,MATCH($B1129&amp;"|"&amp;$L1129,ClientRates!$A$5:$A$500,0)),0))</f>
        <v/>
      </c>
      <c r="N1129" s="26" t="str">
        <f aca="false">IF($D1129="","",IFERROR(INDEX(ClientRates!$E$5:$E$500,MATCH($B1129&amp;"|"&amp;$L1129,ClientRates!$A$5:$A$500,0)),0))</f>
        <v/>
      </c>
      <c r="O1129" s="26" t="str">
        <f aca="false">IF($D1129="","",F1129*M1129+G1129*N1129)</f>
        <v/>
      </c>
      <c r="P1129" s="26" t="str">
        <f aca="false">IF(OR($D1129="",$J1129&lt;&gt;"Supplier"),"",IFERROR(INDEX(SupplierRates!$D$5:$D$500,MATCH($K1129&amp;"|"&amp;$L1129,SupplierRates!$A$5:$A$500,0)),0))</f>
        <v/>
      </c>
      <c r="Q1129" s="26" t="str">
        <f aca="false">IF(OR($D1129="",$J1129&lt;&gt;"Supplier"),"",IFERROR(INDEX(SupplierRates!$E$5:$E$500,MATCH($K1129&amp;"|"&amp;$L1129,SupplierRates!$A$5:$A$500,0)),0))</f>
        <v/>
      </c>
      <c r="R1129" s="26" t="n">
        <f aca="false">IF(OR($D1129="",$J1129&lt;&gt;"Supplier"),0,F1129*P1129+G1129*Q1129)</f>
        <v>0</v>
      </c>
      <c r="S1129" s="26" t="n">
        <f aca="false">IF(OR($D1129="",$J1129&lt;&gt;"Own"),0,IFERROR((F1129+G1129*Settings!$B$13)*INDEX(Workers!$V$5:$V$2004,MATCH($D1129,Workers!$A$5:$A$2004,0)),0))</f>
        <v>0</v>
      </c>
      <c r="T1129" s="26" t="str">
        <f aca="false">IF($D1129="","",O1129-R1129-S1129)</f>
        <v/>
      </c>
    </row>
    <row r="1130" customFormat="false" ht="15" hidden="false" customHeight="false" outlineLevel="0" collapsed="false">
      <c r="I1130" s="24" t="str">
        <f aca="false">IF($D1130="","",IFERROR(INDEX(Workers!$B$5:$B$2004,MATCH($D1130,Workers!$A$5:$A$2004,0)),"NOT FOUND"))</f>
        <v/>
      </c>
      <c r="J1130" s="24" t="str">
        <f aca="false">IF($D1130="","",IFERROR(INDEX(Workers!$C$5:$C$2004,MATCH($D1130,Workers!$A$5:$A$2004,0)),""))</f>
        <v/>
      </c>
      <c r="K1130" s="24" t="str">
        <f aca="false">IF($D1130="","",IFERROR(IF(INDEX(Workers!$D$5:$D$2004,MATCH($D1130,Workers!$A$5:$A$2004,0))=0,"",INDEX(Workers!$D$5:$D$2004,MATCH($D1130,Workers!$A$5:$A$2004,0))),""))</f>
        <v/>
      </c>
      <c r="L1130" s="24" t="str">
        <f aca="false">IF($D1130="","",IFERROR(INDEX(Workers!$E$5:$E$2004,MATCH($D1130,Workers!$A$5:$A$2004,0)),""))</f>
        <v/>
      </c>
      <c r="M1130" s="26" t="str">
        <f aca="false">IF($D1130="","",IFERROR(INDEX(ClientRates!$D$5:$D$500,MATCH($B1130&amp;"|"&amp;$L1130,ClientRates!$A$5:$A$500,0)),0))</f>
        <v/>
      </c>
      <c r="N1130" s="26" t="str">
        <f aca="false">IF($D1130="","",IFERROR(INDEX(ClientRates!$E$5:$E$500,MATCH($B1130&amp;"|"&amp;$L1130,ClientRates!$A$5:$A$500,0)),0))</f>
        <v/>
      </c>
      <c r="O1130" s="26" t="str">
        <f aca="false">IF($D1130="","",F1130*M1130+G1130*N1130)</f>
        <v/>
      </c>
      <c r="P1130" s="26" t="str">
        <f aca="false">IF(OR($D1130="",$J1130&lt;&gt;"Supplier"),"",IFERROR(INDEX(SupplierRates!$D$5:$D$500,MATCH($K1130&amp;"|"&amp;$L1130,SupplierRates!$A$5:$A$500,0)),0))</f>
        <v/>
      </c>
      <c r="Q1130" s="26" t="str">
        <f aca="false">IF(OR($D1130="",$J1130&lt;&gt;"Supplier"),"",IFERROR(INDEX(SupplierRates!$E$5:$E$500,MATCH($K1130&amp;"|"&amp;$L1130,SupplierRates!$A$5:$A$500,0)),0))</f>
        <v/>
      </c>
      <c r="R1130" s="26" t="n">
        <f aca="false">IF(OR($D1130="",$J1130&lt;&gt;"Supplier"),0,F1130*P1130+G1130*Q1130)</f>
        <v>0</v>
      </c>
      <c r="S1130" s="26" t="n">
        <f aca="false">IF(OR($D1130="",$J1130&lt;&gt;"Own"),0,IFERROR((F1130+G1130*Settings!$B$13)*INDEX(Workers!$V$5:$V$2004,MATCH($D1130,Workers!$A$5:$A$2004,0)),0))</f>
        <v>0</v>
      </c>
      <c r="T1130" s="26" t="str">
        <f aca="false">IF($D1130="","",O1130-R1130-S1130)</f>
        <v/>
      </c>
    </row>
    <row r="1131" customFormat="false" ht="15" hidden="false" customHeight="false" outlineLevel="0" collapsed="false">
      <c r="I1131" s="24" t="str">
        <f aca="false">IF($D1131="","",IFERROR(INDEX(Workers!$B$5:$B$2004,MATCH($D1131,Workers!$A$5:$A$2004,0)),"NOT FOUND"))</f>
        <v/>
      </c>
      <c r="J1131" s="24" t="str">
        <f aca="false">IF($D1131="","",IFERROR(INDEX(Workers!$C$5:$C$2004,MATCH($D1131,Workers!$A$5:$A$2004,0)),""))</f>
        <v/>
      </c>
      <c r="K1131" s="24" t="str">
        <f aca="false">IF($D1131="","",IFERROR(IF(INDEX(Workers!$D$5:$D$2004,MATCH($D1131,Workers!$A$5:$A$2004,0))=0,"",INDEX(Workers!$D$5:$D$2004,MATCH($D1131,Workers!$A$5:$A$2004,0))),""))</f>
        <v/>
      </c>
      <c r="L1131" s="24" t="str">
        <f aca="false">IF($D1131="","",IFERROR(INDEX(Workers!$E$5:$E$2004,MATCH($D1131,Workers!$A$5:$A$2004,0)),""))</f>
        <v/>
      </c>
      <c r="M1131" s="26" t="str">
        <f aca="false">IF($D1131="","",IFERROR(INDEX(ClientRates!$D$5:$D$500,MATCH($B1131&amp;"|"&amp;$L1131,ClientRates!$A$5:$A$500,0)),0))</f>
        <v/>
      </c>
      <c r="N1131" s="26" t="str">
        <f aca="false">IF($D1131="","",IFERROR(INDEX(ClientRates!$E$5:$E$500,MATCH($B1131&amp;"|"&amp;$L1131,ClientRates!$A$5:$A$500,0)),0))</f>
        <v/>
      </c>
      <c r="O1131" s="26" t="str">
        <f aca="false">IF($D1131="","",F1131*M1131+G1131*N1131)</f>
        <v/>
      </c>
      <c r="P1131" s="26" t="str">
        <f aca="false">IF(OR($D1131="",$J1131&lt;&gt;"Supplier"),"",IFERROR(INDEX(SupplierRates!$D$5:$D$500,MATCH($K1131&amp;"|"&amp;$L1131,SupplierRates!$A$5:$A$500,0)),0))</f>
        <v/>
      </c>
      <c r="Q1131" s="26" t="str">
        <f aca="false">IF(OR($D1131="",$J1131&lt;&gt;"Supplier"),"",IFERROR(INDEX(SupplierRates!$E$5:$E$500,MATCH($K1131&amp;"|"&amp;$L1131,SupplierRates!$A$5:$A$500,0)),0))</f>
        <v/>
      </c>
      <c r="R1131" s="26" t="n">
        <f aca="false">IF(OR($D1131="",$J1131&lt;&gt;"Supplier"),0,F1131*P1131+G1131*Q1131)</f>
        <v>0</v>
      </c>
      <c r="S1131" s="26" t="n">
        <f aca="false">IF(OR($D1131="",$J1131&lt;&gt;"Own"),0,IFERROR((F1131+G1131*Settings!$B$13)*INDEX(Workers!$V$5:$V$2004,MATCH($D1131,Workers!$A$5:$A$2004,0)),0))</f>
        <v>0</v>
      </c>
      <c r="T1131" s="26" t="str">
        <f aca="false">IF($D1131="","",O1131-R1131-S1131)</f>
        <v/>
      </c>
    </row>
    <row r="1132" customFormat="false" ht="15" hidden="false" customHeight="false" outlineLevel="0" collapsed="false">
      <c r="I1132" s="24" t="str">
        <f aca="false">IF($D1132="","",IFERROR(INDEX(Workers!$B$5:$B$2004,MATCH($D1132,Workers!$A$5:$A$2004,0)),"NOT FOUND"))</f>
        <v/>
      </c>
      <c r="J1132" s="24" t="str">
        <f aca="false">IF($D1132="","",IFERROR(INDEX(Workers!$C$5:$C$2004,MATCH($D1132,Workers!$A$5:$A$2004,0)),""))</f>
        <v/>
      </c>
      <c r="K1132" s="24" t="str">
        <f aca="false">IF($D1132="","",IFERROR(IF(INDEX(Workers!$D$5:$D$2004,MATCH($D1132,Workers!$A$5:$A$2004,0))=0,"",INDEX(Workers!$D$5:$D$2004,MATCH($D1132,Workers!$A$5:$A$2004,0))),""))</f>
        <v/>
      </c>
      <c r="L1132" s="24" t="str">
        <f aca="false">IF($D1132="","",IFERROR(INDEX(Workers!$E$5:$E$2004,MATCH($D1132,Workers!$A$5:$A$2004,0)),""))</f>
        <v/>
      </c>
      <c r="M1132" s="26" t="str">
        <f aca="false">IF($D1132="","",IFERROR(INDEX(ClientRates!$D$5:$D$500,MATCH($B1132&amp;"|"&amp;$L1132,ClientRates!$A$5:$A$500,0)),0))</f>
        <v/>
      </c>
      <c r="N1132" s="26" t="str">
        <f aca="false">IF($D1132="","",IFERROR(INDEX(ClientRates!$E$5:$E$500,MATCH($B1132&amp;"|"&amp;$L1132,ClientRates!$A$5:$A$500,0)),0))</f>
        <v/>
      </c>
      <c r="O1132" s="26" t="str">
        <f aca="false">IF($D1132="","",F1132*M1132+G1132*N1132)</f>
        <v/>
      </c>
      <c r="P1132" s="26" t="str">
        <f aca="false">IF(OR($D1132="",$J1132&lt;&gt;"Supplier"),"",IFERROR(INDEX(SupplierRates!$D$5:$D$500,MATCH($K1132&amp;"|"&amp;$L1132,SupplierRates!$A$5:$A$500,0)),0))</f>
        <v/>
      </c>
      <c r="Q1132" s="26" t="str">
        <f aca="false">IF(OR($D1132="",$J1132&lt;&gt;"Supplier"),"",IFERROR(INDEX(SupplierRates!$E$5:$E$500,MATCH($K1132&amp;"|"&amp;$L1132,SupplierRates!$A$5:$A$500,0)),0))</f>
        <v/>
      </c>
      <c r="R1132" s="26" t="n">
        <f aca="false">IF(OR($D1132="",$J1132&lt;&gt;"Supplier"),0,F1132*P1132+G1132*Q1132)</f>
        <v>0</v>
      </c>
      <c r="S1132" s="26" t="n">
        <f aca="false">IF(OR($D1132="",$J1132&lt;&gt;"Own"),0,IFERROR((F1132+G1132*Settings!$B$13)*INDEX(Workers!$V$5:$V$2004,MATCH($D1132,Workers!$A$5:$A$2004,0)),0))</f>
        <v>0</v>
      </c>
      <c r="T1132" s="26" t="str">
        <f aca="false">IF($D1132="","",O1132-R1132-S1132)</f>
        <v/>
      </c>
    </row>
    <row r="1133" customFormat="false" ht="15" hidden="false" customHeight="false" outlineLevel="0" collapsed="false">
      <c r="I1133" s="24" t="str">
        <f aca="false">IF($D1133="","",IFERROR(INDEX(Workers!$B$5:$B$2004,MATCH($D1133,Workers!$A$5:$A$2004,0)),"NOT FOUND"))</f>
        <v/>
      </c>
      <c r="J1133" s="24" t="str">
        <f aca="false">IF($D1133="","",IFERROR(INDEX(Workers!$C$5:$C$2004,MATCH($D1133,Workers!$A$5:$A$2004,0)),""))</f>
        <v/>
      </c>
      <c r="K1133" s="24" t="str">
        <f aca="false">IF($D1133="","",IFERROR(IF(INDEX(Workers!$D$5:$D$2004,MATCH($D1133,Workers!$A$5:$A$2004,0))=0,"",INDEX(Workers!$D$5:$D$2004,MATCH($D1133,Workers!$A$5:$A$2004,0))),""))</f>
        <v/>
      </c>
      <c r="L1133" s="24" t="str">
        <f aca="false">IF($D1133="","",IFERROR(INDEX(Workers!$E$5:$E$2004,MATCH($D1133,Workers!$A$5:$A$2004,0)),""))</f>
        <v/>
      </c>
      <c r="M1133" s="26" t="str">
        <f aca="false">IF($D1133="","",IFERROR(INDEX(ClientRates!$D$5:$D$500,MATCH($B1133&amp;"|"&amp;$L1133,ClientRates!$A$5:$A$500,0)),0))</f>
        <v/>
      </c>
      <c r="N1133" s="26" t="str">
        <f aca="false">IF($D1133="","",IFERROR(INDEX(ClientRates!$E$5:$E$500,MATCH($B1133&amp;"|"&amp;$L1133,ClientRates!$A$5:$A$500,0)),0))</f>
        <v/>
      </c>
      <c r="O1133" s="26" t="str">
        <f aca="false">IF($D1133="","",F1133*M1133+G1133*N1133)</f>
        <v/>
      </c>
      <c r="P1133" s="26" t="str">
        <f aca="false">IF(OR($D1133="",$J1133&lt;&gt;"Supplier"),"",IFERROR(INDEX(SupplierRates!$D$5:$D$500,MATCH($K1133&amp;"|"&amp;$L1133,SupplierRates!$A$5:$A$500,0)),0))</f>
        <v/>
      </c>
      <c r="Q1133" s="26" t="str">
        <f aca="false">IF(OR($D1133="",$J1133&lt;&gt;"Supplier"),"",IFERROR(INDEX(SupplierRates!$E$5:$E$500,MATCH($K1133&amp;"|"&amp;$L1133,SupplierRates!$A$5:$A$500,0)),0))</f>
        <v/>
      </c>
      <c r="R1133" s="26" t="n">
        <f aca="false">IF(OR($D1133="",$J1133&lt;&gt;"Supplier"),0,F1133*P1133+G1133*Q1133)</f>
        <v>0</v>
      </c>
      <c r="S1133" s="26" t="n">
        <f aca="false">IF(OR($D1133="",$J1133&lt;&gt;"Own"),0,IFERROR((F1133+G1133*Settings!$B$13)*INDEX(Workers!$V$5:$V$2004,MATCH($D1133,Workers!$A$5:$A$2004,0)),0))</f>
        <v>0</v>
      </c>
      <c r="T1133" s="26" t="str">
        <f aca="false">IF($D1133="","",O1133-R1133-S1133)</f>
        <v/>
      </c>
    </row>
    <row r="1134" customFormat="false" ht="15" hidden="false" customHeight="false" outlineLevel="0" collapsed="false">
      <c r="I1134" s="24" t="str">
        <f aca="false">IF($D1134="","",IFERROR(INDEX(Workers!$B$5:$B$2004,MATCH($D1134,Workers!$A$5:$A$2004,0)),"NOT FOUND"))</f>
        <v/>
      </c>
      <c r="J1134" s="24" t="str">
        <f aca="false">IF($D1134="","",IFERROR(INDEX(Workers!$C$5:$C$2004,MATCH($D1134,Workers!$A$5:$A$2004,0)),""))</f>
        <v/>
      </c>
      <c r="K1134" s="24" t="str">
        <f aca="false">IF($D1134="","",IFERROR(IF(INDEX(Workers!$D$5:$D$2004,MATCH($D1134,Workers!$A$5:$A$2004,0))=0,"",INDEX(Workers!$D$5:$D$2004,MATCH($D1134,Workers!$A$5:$A$2004,0))),""))</f>
        <v/>
      </c>
      <c r="L1134" s="24" t="str">
        <f aca="false">IF($D1134="","",IFERROR(INDEX(Workers!$E$5:$E$2004,MATCH($D1134,Workers!$A$5:$A$2004,0)),""))</f>
        <v/>
      </c>
      <c r="M1134" s="26" t="str">
        <f aca="false">IF($D1134="","",IFERROR(INDEX(ClientRates!$D$5:$D$500,MATCH($B1134&amp;"|"&amp;$L1134,ClientRates!$A$5:$A$500,0)),0))</f>
        <v/>
      </c>
      <c r="N1134" s="26" t="str">
        <f aca="false">IF($D1134="","",IFERROR(INDEX(ClientRates!$E$5:$E$500,MATCH($B1134&amp;"|"&amp;$L1134,ClientRates!$A$5:$A$500,0)),0))</f>
        <v/>
      </c>
      <c r="O1134" s="26" t="str">
        <f aca="false">IF($D1134="","",F1134*M1134+G1134*N1134)</f>
        <v/>
      </c>
      <c r="P1134" s="26" t="str">
        <f aca="false">IF(OR($D1134="",$J1134&lt;&gt;"Supplier"),"",IFERROR(INDEX(SupplierRates!$D$5:$D$500,MATCH($K1134&amp;"|"&amp;$L1134,SupplierRates!$A$5:$A$500,0)),0))</f>
        <v/>
      </c>
      <c r="Q1134" s="26" t="str">
        <f aca="false">IF(OR($D1134="",$J1134&lt;&gt;"Supplier"),"",IFERROR(INDEX(SupplierRates!$E$5:$E$500,MATCH($K1134&amp;"|"&amp;$L1134,SupplierRates!$A$5:$A$500,0)),0))</f>
        <v/>
      </c>
      <c r="R1134" s="26" t="n">
        <f aca="false">IF(OR($D1134="",$J1134&lt;&gt;"Supplier"),0,F1134*P1134+G1134*Q1134)</f>
        <v>0</v>
      </c>
      <c r="S1134" s="26" t="n">
        <f aca="false">IF(OR($D1134="",$J1134&lt;&gt;"Own"),0,IFERROR((F1134+G1134*Settings!$B$13)*INDEX(Workers!$V$5:$V$2004,MATCH($D1134,Workers!$A$5:$A$2004,0)),0))</f>
        <v>0</v>
      </c>
      <c r="T1134" s="26" t="str">
        <f aca="false">IF($D1134="","",O1134-R1134-S1134)</f>
        <v/>
      </c>
    </row>
    <row r="1135" customFormat="false" ht="15" hidden="false" customHeight="false" outlineLevel="0" collapsed="false">
      <c r="I1135" s="24" t="str">
        <f aca="false">IF($D1135="","",IFERROR(INDEX(Workers!$B$5:$B$2004,MATCH($D1135,Workers!$A$5:$A$2004,0)),"NOT FOUND"))</f>
        <v/>
      </c>
      <c r="J1135" s="24" t="str">
        <f aca="false">IF($D1135="","",IFERROR(INDEX(Workers!$C$5:$C$2004,MATCH($D1135,Workers!$A$5:$A$2004,0)),""))</f>
        <v/>
      </c>
      <c r="K1135" s="24" t="str">
        <f aca="false">IF($D1135="","",IFERROR(IF(INDEX(Workers!$D$5:$D$2004,MATCH($D1135,Workers!$A$5:$A$2004,0))=0,"",INDEX(Workers!$D$5:$D$2004,MATCH($D1135,Workers!$A$5:$A$2004,0))),""))</f>
        <v/>
      </c>
      <c r="L1135" s="24" t="str">
        <f aca="false">IF($D1135="","",IFERROR(INDEX(Workers!$E$5:$E$2004,MATCH($D1135,Workers!$A$5:$A$2004,0)),""))</f>
        <v/>
      </c>
      <c r="M1135" s="26" t="str">
        <f aca="false">IF($D1135="","",IFERROR(INDEX(ClientRates!$D$5:$D$500,MATCH($B1135&amp;"|"&amp;$L1135,ClientRates!$A$5:$A$500,0)),0))</f>
        <v/>
      </c>
      <c r="N1135" s="26" t="str">
        <f aca="false">IF($D1135="","",IFERROR(INDEX(ClientRates!$E$5:$E$500,MATCH($B1135&amp;"|"&amp;$L1135,ClientRates!$A$5:$A$500,0)),0))</f>
        <v/>
      </c>
      <c r="O1135" s="26" t="str">
        <f aca="false">IF($D1135="","",F1135*M1135+G1135*N1135)</f>
        <v/>
      </c>
      <c r="P1135" s="26" t="str">
        <f aca="false">IF(OR($D1135="",$J1135&lt;&gt;"Supplier"),"",IFERROR(INDEX(SupplierRates!$D$5:$D$500,MATCH($K1135&amp;"|"&amp;$L1135,SupplierRates!$A$5:$A$500,0)),0))</f>
        <v/>
      </c>
      <c r="Q1135" s="26" t="str">
        <f aca="false">IF(OR($D1135="",$J1135&lt;&gt;"Supplier"),"",IFERROR(INDEX(SupplierRates!$E$5:$E$500,MATCH($K1135&amp;"|"&amp;$L1135,SupplierRates!$A$5:$A$500,0)),0))</f>
        <v/>
      </c>
      <c r="R1135" s="26" t="n">
        <f aca="false">IF(OR($D1135="",$J1135&lt;&gt;"Supplier"),0,F1135*P1135+G1135*Q1135)</f>
        <v>0</v>
      </c>
      <c r="S1135" s="26" t="n">
        <f aca="false">IF(OR($D1135="",$J1135&lt;&gt;"Own"),0,IFERROR((F1135+G1135*Settings!$B$13)*INDEX(Workers!$V$5:$V$2004,MATCH($D1135,Workers!$A$5:$A$2004,0)),0))</f>
        <v>0</v>
      </c>
      <c r="T1135" s="26" t="str">
        <f aca="false">IF($D1135="","",O1135-R1135-S1135)</f>
        <v/>
      </c>
    </row>
    <row r="1136" customFormat="false" ht="15" hidden="false" customHeight="false" outlineLevel="0" collapsed="false">
      <c r="I1136" s="24" t="str">
        <f aca="false">IF($D1136="","",IFERROR(INDEX(Workers!$B$5:$B$2004,MATCH($D1136,Workers!$A$5:$A$2004,0)),"NOT FOUND"))</f>
        <v/>
      </c>
      <c r="J1136" s="24" t="str">
        <f aca="false">IF($D1136="","",IFERROR(INDEX(Workers!$C$5:$C$2004,MATCH($D1136,Workers!$A$5:$A$2004,0)),""))</f>
        <v/>
      </c>
      <c r="K1136" s="24" t="str">
        <f aca="false">IF($D1136="","",IFERROR(IF(INDEX(Workers!$D$5:$D$2004,MATCH($D1136,Workers!$A$5:$A$2004,0))=0,"",INDEX(Workers!$D$5:$D$2004,MATCH($D1136,Workers!$A$5:$A$2004,0))),""))</f>
        <v/>
      </c>
      <c r="L1136" s="24" t="str">
        <f aca="false">IF($D1136="","",IFERROR(INDEX(Workers!$E$5:$E$2004,MATCH($D1136,Workers!$A$5:$A$2004,0)),""))</f>
        <v/>
      </c>
      <c r="M1136" s="26" t="str">
        <f aca="false">IF($D1136="","",IFERROR(INDEX(ClientRates!$D$5:$D$500,MATCH($B1136&amp;"|"&amp;$L1136,ClientRates!$A$5:$A$500,0)),0))</f>
        <v/>
      </c>
      <c r="N1136" s="26" t="str">
        <f aca="false">IF($D1136="","",IFERROR(INDEX(ClientRates!$E$5:$E$500,MATCH($B1136&amp;"|"&amp;$L1136,ClientRates!$A$5:$A$500,0)),0))</f>
        <v/>
      </c>
      <c r="O1136" s="26" t="str">
        <f aca="false">IF($D1136="","",F1136*M1136+G1136*N1136)</f>
        <v/>
      </c>
      <c r="P1136" s="26" t="str">
        <f aca="false">IF(OR($D1136="",$J1136&lt;&gt;"Supplier"),"",IFERROR(INDEX(SupplierRates!$D$5:$D$500,MATCH($K1136&amp;"|"&amp;$L1136,SupplierRates!$A$5:$A$500,0)),0))</f>
        <v/>
      </c>
      <c r="Q1136" s="26" t="str">
        <f aca="false">IF(OR($D1136="",$J1136&lt;&gt;"Supplier"),"",IFERROR(INDEX(SupplierRates!$E$5:$E$500,MATCH($K1136&amp;"|"&amp;$L1136,SupplierRates!$A$5:$A$500,0)),0))</f>
        <v/>
      </c>
      <c r="R1136" s="26" t="n">
        <f aca="false">IF(OR($D1136="",$J1136&lt;&gt;"Supplier"),0,F1136*P1136+G1136*Q1136)</f>
        <v>0</v>
      </c>
      <c r="S1136" s="26" t="n">
        <f aca="false">IF(OR($D1136="",$J1136&lt;&gt;"Own"),0,IFERROR((F1136+G1136*Settings!$B$13)*INDEX(Workers!$V$5:$V$2004,MATCH($D1136,Workers!$A$5:$A$2004,0)),0))</f>
        <v>0</v>
      </c>
      <c r="T1136" s="26" t="str">
        <f aca="false">IF($D1136="","",O1136-R1136-S1136)</f>
        <v/>
      </c>
    </row>
    <row r="1137" customFormat="false" ht="15" hidden="false" customHeight="false" outlineLevel="0" collapsed="false">
      <c r="I1137" s="24" t="str">
        <f aca="false">IF($D1137="","",IFERROR(INDEX(Workers!$B$5:$B$2004,MATCH($D1137,Workers!$A$5:$A$2004,0)),"NOT FOUND"))</f>
        <v/>
      </c>
      <c r="J1137" s="24" t="str">
        <f aca="false">IF($D1137="","",IFERROR(INDEX(Workers!$C$5:$C$2004,MATCH($D1137,Workers!$A$5:$A$2004,0)),""))</f>
        <v/>
      </c>
      <c r="K1137" s="24" t="str">
        <f aca="false">IF($D1137="","",IFERROR(IF(INDEX(Workers!$D$5:$D$2004,MATCH($D1137,Workers!$A$5:$A$2004,0))=0,"",INDEX(Workers!$D$5:$D$2004,MATCH($D1137,Workers!$A$5:$A$2004,0))),""))</f>
        <v/>
      </c>
      <c r="L1137" s="24" t="str">
        <f aca="false">IF($D1137="","",IFERROR(INDEX(Workers!$E$5:$E$2004,MATCH($D1137,Workers!$A$5:$A$2004,0)),""))</f>
        <v/>
      </c>
      <c r="M1137" s="26" t="str">
        <f aca="false">IF($D1137="","",IFERROR(INDEX(ClientRates!$D$5:$D$500,MATCH($B1137&amp;"|"&amp;$L1137,ClientRates!$A$5:$A$500,0)),0))</f>
        <v/>
      </c>
      <c r="N1137" s="26" t="str">
        <f aca="false">IF($D1137="","",IFERROR(INDEX(ClientRates!$E$5:$E$500,MATCH($B1137&amp;"|"&amp;$L1137,ClientRates!$A$5:$A$500,0)),0))</f>
        <v/>
      </c>
      <c r="O1137" s="26" t="str">
        <f aca="false">IF($D1137="","",F1137*M1137+G1137*N1137)</f>
        <v/>
      </c>
      <c r="P1137" s="26" t="str">
        <f aca="false">IF(OR($D1137="",$J1137&lt;&gt;"Supplier"),"",IFERROR(INDEX(SupplierRates!$D$5:$D$500,MATCH($K1137&amp;"|"&amp;$L1137,SupplierRates!$A$5:$A$500,0)),0))</f>
        <v/>
      </c>
      <c r="Q1137" s="26" t="str">
        <f aca="false">IF(OR($D1137="",$J1137&lt;&gt;"Supplier"),"",IFERROR(INDEX(SupplierRates!$E$5:$E$500,MATCH($K1137&amp;"|"&amp;$L1137,SupplierRates!$A$5:$A$500,0)),0))</f>
        <v/>
      </c>
      <c r="R1137" s="26" t="n">
        <f aca="false">IF(OR($D1137="",$J1137&lt;&gt;"Supplier"),0,F1137*P1137+G1137*Q1137)</f>
        <v>0</v>
      </c>
      <c r="S1137" s="26" t="n">
        <f aca="false">IF(OR($D1137="",$J1137&lt;&gt;"Own"),0,IFERROR((F1137+G1137*Settings!$B$13)*INDEX(Workers!$V$5:$V$2004,MATCH($D1137,Workers!$A$5:$A$2004,0)),0))</f>
        <v>0</v>
      </c>
      <c r="T1137" s="26" t="str">
        <f aca="false">IF($D1137="","",O1137-R1137-S1137)</f>
        <v/>
      </c>
    </row>
    <row r="1138" customFormat="false" ht="15" hidden="false" customHeight="false" outlineLevel="0" collapsed="false">
      <c r="I1138" s="24" t="str">
        <f aca="false">IF($D1138="","",IFERROR(INDEX(Workers!$B$5:$B$2004,MATCH($D1138,Workers!$A$5:$A$2004,0)),"NOT FOUND"))</f>
        <v/>
      </c>
      <c r="J1138" s="24" t="str">
        <f aca="false">IF($D1138="","",IFERROR(INDEX(Workers!$C$5:$C$2004,MATCH($D1138,Workers!$A$5:$A$2004,0)),""))</f>
        <v/>
      </c>
      <c r="K1138" s="24" t="str">
        <f aca="false">IF($D1138="","",IFERROR(IF(INDEX(Workers!$D$5:$D$2004,MATCH($D1138,Workers!$A$5:$A$2004,0))=0,"",INDEX(Workers!$D$5:$D$2004,MATCH($D1138,Workers!$A$5:$A$2004,0))),""))</f>
        <v/>
      </c>
      <c r="L1138" s="24" t="str">
        <f aca="false">IF($D1138="","",IFERROR(INDEX(Workers!$E$5:$E$2004,MATCH($D1138,Workers!$A$5:$A$2004,0)),""))</f>
        <v/>
      </c>
      <c r="M1138" s="26" t="str">
        <f aca="false">IF($D1138="","",IFERROR(INDEX(ClientRates!$D$5:$D$500,MATCH($B1138&amp;"|"&amp;$L1138,ClientRates!$A$5:$A$500,0)),0))</f>
        <v/>
      </c>
      <c r="N1138" s="26" t="str">
        <f aca="false">IF($D1138="","",IFERROR(INDEX(ClientRates!$E$5:$E$500,MATCH($B1138&amp;"|"&amp;$L1138,ClientRates!$A$5:$A$500,0)),0))</f>
        <v/>
      </c>
      <c r="O1138" s="26" t="str">
        <f aca="false">IF($D1138="","",F1138*M1138+G1138*N1138)</f>
        <v/>
      </c>
      <c r="P1138" s="26" t="str">
        <f aca="false">IF(OR($D1138="",$J1138&lt;&gt;"Supplier"),"",IFERROR(INDEX(SupplierRates!$D$5:$D$500,MATCH($K1138&amp;"|"&amp;$L1138,SupplierRates!$A$5:$A$500,0)),0))</f>
        <v/>
      </c>
      <c r="Q1138" s="26" t="str">
        <f aca="false">IF(OR($D1138="",$J1138&lt;&gt;"Supplier"),"",IFERROR(INDEX(SupplierRates!$E$5:$E$500,MATCH($K1138&amp;"|"&amp;$L1138,SupplierRates!$A$5:$A$500,0)),0))</f>
        <v/>
      </c>
      <c r="R1138" s="26" t="n">
        <f aca="false">IF(OR($D1138="",$J1138&lt;&gt;"Supplier"),0,F1138*P1138+G1138*Q1138)</f>
        <v>0</v>
      </c>
      <c r="S1138" s="26" t="n">
        <f aca="false">IF(OR($D1138="",$J1138&lt;&gt;"Own"),0,IFERROR((F1138+G1138*Settings!$B$13)*INDEX(Workers!$V$5:$V$2004,MATCH($D1138,Workers!$A$5:$A$2004,0)),0))</f>
        <v>0</v>
      </c>
      <c r="T1138" s="26" t="str">
        <f aca="false">IF($D1138="","",O1138-R1138-S1138)</f>
        <v/>
      </c>
    </row>
    <row r="1139" customFormat="false" ht="15" hidden="false" customHeight="false" outlineLevel="0" collapsed="false">
      <c r="I1139" s="24" t="str">
        <f aca="false">IF($D1139="","",IFERROR(INDEX(Workers!$B$5:$B$2004,MATCH($D1139,Workers!$A$5:$A$2004,0)),"NOT FOUND"))</f>
        <v/>
      </c>
      <c r="J1139" s="24" t="str">
        <f aca="false">IF($D1139="","",IFERROR(INDEX(Workers!$C$5:$C$2004,MATCH($D1139,Workers!$A$5:$A$2004,0)),""))</f>
        <v/>
      </c>
      <c r="K1139" s="24" t="str">
        <f aca="false">IF($D1139="","",IFERROR(IF(INDEX(Workers!$D$5:$D$2004,MATCH($D1139,Workers!$A$5:$A$2004,0))=0,"",INDEX(Workers!$D$5:$D$2004,MATCH($D1139,Workers!$A$5:$A$2004,0))),""))</f>
        <v/>
      </c>
      <c r="L1139" s="24" t="str">
        <f aca="false">IF($D1139="","",IFERROR(INDEX(Workers!$E$5:$E$2004,MATCH($D1139,Workers!$A$5:$A$2004,0)),""))</f>
        <v/>
      </c>
      <c r="M1139" s="26" t="str">
        <f aca="false">IF($D1139="","",IFERROR(INDEX(ClientRates!$D$5:$D$500,MATCH($B1139&amp;"|"&amp;$L1139,ClientRates!$A$5:$A$500,0)),0))</f>
        <v/>
      </c>
      <c r="N1139" s="26" t="str">
        <f aca="false">IF($D1139="","",IFERROR(INDEX(ClientRates!$E$5:$E$500,MATCH($B1139&amp;"|"&amp;$L1139,ClientRates!$A$5:$A$500,0)),0))</f>
        <v/>
      </c>
      <c r="O1139" s="26" t="str">
        <f aca="false">IF($D1139="","",F1139*M1139+G1139*N1139)</f>
        <v/>
      </c>
      <c r="P1139" s="26" t="str">
        <f aca="false">IF(OR($D1139="",$J1139&lt;&gt;"Supplier"),"",IFERROR(INDEX(SupplierRates!$D$5:$D$500,MATCH($K1139&amp;"|"&amp;$L1139,SupplierRates!$A$5:$A$500,0)),0))</f>
        <v/>
      </c>
      <c r="Q1139" s="26" t="str">
        <f aca="false">IF(OR($D1139="",$J1139&lt;&gt;"Supplier"),"",IFERROR(INDEX(SupplierRates!$E$5:$E$500,MATCH($K1139&amp;"|"&amp;$L1139,SupplierRates!$A$5:$A$500,0)),0))</f>
        <v/>
      </c>
      <c r="R1139" s="26" t="n">
        <f aca="false">IF(OR($D1139="",$J1139&lt;&gt;"Supplier"),0,F1139*P1139+G1139*Q1139)</f>
        <v>0</v>
      </c>
      <c r="S1139" s="26" t="n">
        <f aca="false">IF(OR($D1139="",$J1139&lt;&gt;"Own"),0,IFERROR((F1139+G1139*Settings!$B$13)*INDEX(Workers!$V$5:$V$2004,MATCH($D1139,Workers!$A$5:$A$2004,0)),0))</f>
        <v>0</v>
      </c>
      <c r="T1139" s="26" t="str">
        <f aca="false">IF($D1139="","",O1139-R1139-S1139)</f>
        <v/>
      </c>
    </row>
    <row r="1140" customFormat="false" ht="15" hidden="false" customHeight="false" outlineLevel="0" collapsed="false">
      <c r="I1140" s="24" t="str">
        <f aca="false">IF($D1140="","",IFERROR(INDEX(Workers!$B$5:$B$2004,MATCH($D1140,Workers!$A$5:$A$2004,0)),"NOT FOUND"))</f>
        <v/>
      </c>
      <c r="J1140" s="24" t="str">
        <f aca="false">IF($D1140="","",IFERROR(INDEX(Workers!$C$5:$C$2004,MATCH($D1140,Workers!$A$5:$A$2004,0)),""))</f>
        <v/>
      </c>
      <c r="K1140" s="24" t="str">
        <f aca="false">IF($D1140="","",IFERROR(IF(INDEX(Workers!$D$5:$D$2004,MATCH($D1140,Workers!$A$5:$A$2004,0))=0,"",INDEX(Workers!$D$5:$D$2004,MATCH($D1140,Workers!$A$5:$A$2004,0))),""))</f>
        <v/>
      </c>
      <c r="L1140" s="24" t="str">
        <f aca="false">IF($D1140="","",IFERROR(INDEX(Workers!$E$5:$E$2004,MATCH($D1140,Workers!$A$5:$A$2004,0)),""))</f>
        <v/>
      </c>
      <c r="M1140" s="26" t="str">
        <f aca="false">IF($D1140="","",IFERROR(INDEX(ClientRates!$D$5:$D$500,MATCH($B1140&amp;"|"&amp;$L1140,ClientRates!$A$5:$A$500,0)),0))</f>
        <v/>
      </c>
      <c r="N1140" s="26" t="str">
        <f aca="false">IF($D1140="","",IFERROR(INDEX(ClientRates!$E$5:$E$500,MATCH($B1140&amp;"|"&amp;$L1140,ClientRates!$A$5:$A$500,0)),0))</f>
        <v/>
      </c>
      <c r="O1140" s="26" t="str">
        <f aca="false">IF($D1140="","",F1140*M1140+G1140*N1140)</f>
        <v/>
      </c>
      <c r="P1140" s="26" t="str">
        <f aca="false">IF(OR($D1140="",$J1140&lt;&gt;"Supplier"),"",IFERROR(INDEX(SupplierRates!$D$5:$D$500,MATCH($K1140&amp;"|"&amp;$L1140,SupplierRates!$A$5:$A$500,0)),0))</f>
        <v/>
      </c>
      <c r="Q1140" s="26" t="str">
        <f aca="false">IF(OR($D1140="",$J1140&lt;&gt;"Supplier"),"",IFERROR(INDEX(SupplierRates!$E$5:$E$500,MATCH($K1140&amp;"|"&amp;$L1140,SupplierRates!$A$5:$A$500,0)),0))</f>
        <v/>
      </c>
      <c r="R1140" s="26" t="n">
        <f aca="false">IF(OR($D1140="",$J1140&lt;&gt;"Supplier"),0,F1140*P1140+G1140*Q1140)</f>
        <v>0</v>
      </c>
      <c r="S1140" s="26" t="n">
        <f aca="false">IF(OR($D1140="",$J1140&lt;&gt;"Own"),0,IFERROR((F1140+G1140*Settings!$B$13)*INDEX(Workers!$V$5:$V$2004,MATCH($D1140,Workers!$A$5:$A$2004,0)),0))</f>
        <v>0</v>
      </c>
      <c r="T1140" s="26" t="str">
        <f aca="false">IF($D1140="","",O1140-R1140-S1140)</f>
        <v/>
      </c>
    </row>
    <row r="1141" customFormat="false" ht="15" hidden="false" customHeight="false" outlineLevel="0" collapsed="false">
      <c r="I1141" s="24" t="str">
        <f aca="false">IF($D1141="","",IFERROR(INDEX(Workers!$B$5:$B$2004,MATCH($D1141,Workers!$A$5:$A$2004,0)),"NOT FOUND"))</f>
        <v/>
      </c>
      <c r="J1141" s="24" t="str">
        <f aca="false">IF($D1141="","",IFERROR(INDEX(Workers!$C$5:$C$2004,MATCH($D1141,Workers!$A$5:$A$2004,0)),""))</f>
        <v/>
      </c>
      <c r="K1141" s="24" t="str">
        <f aca="false">IF($D1141="","",IFERROR(IF(INDEX(Workers!$D$5:$D$2004,MATCH($D1141,Workers!$A$5:$A$2004,0))=0,"",INDEX(Workers!$D$5:$D$2004,MATCH($D1141,Workers!$A$5:$A$2004,0))),""))</f>
        <v/>
      </c>
      <c r="L1141" s="24" t="str">
        <f aca="false">IF($D1141="","",IFERROR(INDEX(Workers!$E$5:$E$2004,MATCH($D1141,Workers!$A$5:$A$2004,0)),""))</f>
        <v/>
      </c>
      <c r="M1141" s="26" t="str">
        <f aca="false">IF($D1141="","",IFERROR(INDEX(ClientRates!$D$5:$D$500,MATCH($B1141&amp;"|"&amp;$L1141,ClientRates!$A$5:$A$500,0)),0))</f>
        <v/>
      </c>
      <c r="N1141" s="26" t="str">
        <f aca="false">IF($D1141="","",IFERROR(INDEX(ClientRates!$E$5:$E$500,MATCH($B1141&amp;"|"&amp;$L1141,ClientRates!$A$5:$A$500,0)),0))</f>
        <v/>
      </c>
      <c r="O1141" s="26" t="str">
        <f aca="false">IF($D1141="","",F1141*M1141+G1141*N1141)</f>
        <v/>
      </c>
      <c r="P1141" s="26" t="str">
        <f aca="false">IF(OR($D1141="",$J1141&lt;&gt;"Supplier"),"",IFERROR(INDEX(SupplierRates!$D$5:$D$500,MATCH($K1141&amp;"|"&amp;$L1141,SupplierRates!$A$5:$A$500,0)),0))</f>
        <v/>
      </c>
      <c r="Q1141" s="26" t="str">
        <f aca="false">IF(OR($D1141="",$J1141&lt;&gt;"Supplier"),"",IFERROR(INDEX(SupplierRates!$E$5:$E$500,MATCH($K1141&amp;"|"&amp;$L1141,SupplierRates!$A$5:$A$500,0)),0))</f>
        <v/>
      </c>
      <c r="R1141" s="26" t="n">
        <f aca="false">IF(OR($D1141="",$J1141&lt;&gt;"Supplier"),0,F1141*P1141+G1141*Q1141)</f>
        <v>0</v>
      </c>
      <c r="S1141" s="26" t="n">
        <f aca="false">IF(OR($D1141="",$J1141&lt;&gt;"Own"),0,IFERROR((F1141+G1141*Settings!$B$13)*INDEX(Workers!$V$5:$V$2004,MATCH($D1141,Workers!$A$5:$A$2004,0)),0))</f>
        <v>0</v>
      </c>
      <c r="T1141" s="26" t="str">
        <f aca="false">IF($D1141="","",O1141-R1141-S1141)</f>
        <v/>
      </c>
    </row>
    <row r="1142" customFormat="false" ht="15" hidden="false" customHeight="false" outlineLevel="0" collapsed="false">
      <c r="I1142" s="24" t="str">
        <f aca="false">IF($D1142="","",IFERROR(INDEX(Workers!$B$5:$B$2004,MATCH($D1142,Workers!$A$5:$A$2004,0)),"NOT FOUND"))</f>
        <v/>
      </c>
      <c r="J1142" s="24" t="str">
        <f aca="false">IF($D1142="","",IFERROR(INDEX(Workers!$C$5:$C$2004,MATCH($D1142,Workers!$A$5:$A$2004,0)),""))</f>
        <v/>
      </c>
      <c r="K1142" s="24" t="str">
        <f aca="false">IF($D1142="","",IFERROR(IF(INDEX(Workers!$D$5:$D$2004,MATCH($D1142,Workers!$A$5:$A$2004,0))=0,"",INDEX(Workers!$D$5:$D$2004,MATCH($D1142,Workers!$A$5:$A$2004,0))),""))</f>
        <v/>
      </c>
      <c r="L1142" s="24" t="str">
        <f aca="false">IF($D1142="","",IFERROR(INDEX(Workers!$E$5:$E$2004,MATCH($D1142,Workers!$A$5:$A$2004,0)),""))</f>
        <v/>
      </c>
      <c r="M1142" s="26" t="str">
        <f aca="false">IF($D1142="","",IFERROR(INDEX(ClientRates!$D$5:$D$500,MATCH($B1142&amp;"|"&amp;$L1142,ClientRates!$A$5:$A$500,0)),0))</f>
        <v/>
      </c>
      <c r="N1142" s="26" t="str">
        <f aca="false">IF($D1142="","",IFERROR(INDEX(ClientRates!$E$5:$E$500,MATCH($B1142&amp;"|"&amp;$L1142,ClientRates!$A$5:$A$500,0)),0))</f>
        <v/>
      </c>
      <c r="O1142" s="26" t="str">
        <f aca="false">IF($D1142="","",F1142*M1142+G1142*N1142)</f>
        <v/>
      </c>
      <c r="P1142" s="26" t="str">
        <f aca="false">IF(OR($D1142="",$J1142&lt;&gt;"Supplier"),"",IFERROR(INDEX(SupplierRates!$D$5:$D$500,MATCH($K1142&amp;"|"&amp;$L1142,SupplierRates!$A$5:$A$500,0)),0))</f>
        <v/>
      </c>
      <c r="Q1142" s="26" t="str">
        <f aca="false">IF(OR($D1142="",$J1142&lt;&gt;"Supplier"),"",IFERROR(INDEX(SupplierRates!$E$5:$E$500,MATCH($K1142&amp;"|"&amp;$L1142,SupplierRates!$A$5:$A$500,0)),0))</f>
        <v/>
      </c>
      <c r="R1142" s="26" t="n">
        <f aca="false">IF(OR($D1142="",$J1142&lt;&gt;"Supplier"),0,F1142*P1142+G1142*Q1142)</f>
        <v>0</v>
      </c>
      <c r="S1142" s="26" t="n">
        <f aca="false">IF(OR($D1142="",$J1142&lt;&gt;"Own"),0,IFERROR((F1142+G1142*Settings!$B$13)*INDEX(Workers!$V$5:$V$2004,MATCH($D1142,Workers!$A$5:$A$2004,0)),0))</f>
        <v>0</v>
      </c>
      <c r="T1142" s="26" t="str">
        <f aca="false">IF($D1142="","",O1142-R1142-S1142)</f>
        <v/>
      </c>
    </row>
    <row r="1143" customFormat="false" ht="15" hidden="false" customHeight="false" outlineLevel="0" collapsed="false">
      <c r="I1143" s="24" t="str">
        <f aca="false">IF($D1143="","",IFERROR(INDEX(Workers!$B$5:$B$2004,MATCH($D1143,Workers!$A$5:$A$2004,0)),"NOT FOUND"))</f>
        <v/>
      </c>
      <c r="J1143" s="24" t="str">
        <f aca="false">IF($D1143="","",IFERROR(INDEX(Workers!$C$5:$C$2004,MATCH($D1143,Workers!$A$5:$A$2004,0)),""))</f>
        <v/>
      </c>
      <c r="K1143" s="24" t="str">
        <f aca="false">IF($D1143="","",IFERROR(IF(INDEX(Workers!$D$5:$D$2004,MATCH($D1143,Workers!$A$5:$A$2004,0))=0,"",INDEX(Workers!$D$5:$D$2004,MATCH($D1143,Workers!$A$5:$A$2004,0))),""))</f>
        <v/>
      </c>
      <c r="L1143" s="24" t="str">
        <f aca="false">IF($D1143="","",IFERROR(INDEX(Workers!$E$5:$E$2004,MATCH($D1143,Workers!$A$5:$A$2004,0)),""))</f>
        <v/>
      </c>
      <c r="M1143" s="26" t="str">
        <f aca="false">IF($D1143="","",IFERROR(INDEX(ClientRates!$D$5:$D$500,MATCH($B1143&amp;"|"&amp;$L1143,ClientRates!$A$5:$A$500,0)),0))</f>
        <v/>
      </c>
      <c r="N1143" s="26" t="str">
        <f aca="false">IF($D1143="","",IFERROR(INDEX(ClientRates!$E$5:$E$500,MATCH($B1143&amp;"|"&amp;$L1143,ClientRates!$A$5:$A$500,0)),0))</f>
        <v/>
      </c>
      <c r="O1143" s="26" t="str">
        <f aca="false">IF($D1143="","",F1143*M1143+G1143*N1143)</f>
        <v/>
      </c>
      <c r="P1143" s="26" t="str">
        <f aca="false">IF(OR($D1143="",$J1143&lt;&gt;"Supplier"),"",IFERROR(INDEX(SupplierRates!$D$5:$D$500,MATCH($K1143&amp;"|"&amp;$L1143,SupplierRates!$A$5:$A$500,0)),0))</f>
        <v/>
      </c>
      <c r="Q1143" s="26" t="str">
        <f aca="false">IF(OR($D1143="",$J1143&lt;&gt;"Supplier"),"",IFERROR(INDEX(SupplierRates!$E$5:$E$500,MATCH($K1143&amp;"|"&amp;$L1143,SupplierRates!$A$5:$A$500,0)),0))</f>
        <v/>
      </c>
      <c r="R1143" s="26" t="n">
        <f aca="false">IF(OR($D1143="",$J1143&lt;&gt;"Supplier"),0,F1143*P1143+G1143*Q1143)</f>
        <v>0</v>
      </c>
      <c r="S1143" s="26" t="n">
        <f aca="false">IF(OR($D1143="",$J1143&lt;&gt;"Own"),0,IFERROR((F1143+G1143*Settings!$B$13)*INDEX(Workers!$V$5:$V$2004,MATCH($D1143,Workers!$A$5:$A$2004,0)),0))</f>
        <v>0</v>
      </c>
      <c r="T1143" s="26" t="str">
        <f aca="false">IF($D1143="","",O1143-R1143-S1143)</f>
        <v/>
      </c>
    </row>
    <row r="1144" customFormat="false" ht="15" hidden="false" customHeight="false" outlineLevel="0" collapsed="false">
      <c r="I1144" s="24" t="str">
        <f aca="false">IF($D1144="","",IFERROR(INDEX(Workers!$B$5:$B$2004,MATCH($D1144,Workers!$A$5:$A$2004,0)),"NOT FOUND"))</f>
        <v/>
      </c>
      <c r="J1144" s="24" t="str">
        <f aca="false">IF($D1144="","",IFERROR(INDEX(Workers!$C$5:$C$2004,MATCH($D1144,Workers!$A$5:$A$2004,0)),""))</f>
        <v/>
      </c>
      <c r="K1144" s="24" t="str">
        <f aca="false">IF($D1144="","",IFERROR(IF(INDEX(Workers!$D$5:$D$2004,MATCH($D1144,Workers!$A$5:$A$2004,0))=0,"",INDEX(Workers!$D$5:$D$2004,MATCH($D1144,Workers!$A$5:$A$2004,0))),""))</f>
        <v/>
      </c>
      <c r="L1144" s="24" t="str">
        <f aca="false">IF($D1144="","",IFERROR(INDEX(Workers!$E$5:$E$2004,MATCH($D1144,Workers!$A$5:$A$2004,0)),""))</f>
        <v/>
      </c>
      <c r="M1144" s="26" t="str">
        <f aca="false">IF($D1144="","",IFERROR(INDEX(ClientRates!$D$5:$D$500,MATCH($B1144&amp;"|"&amp;$L1144,ClientRates!$A$5:$A$500,0)),0))</f>
        <v/>
      </c>
      <c r="N1144" s="26" t="str">
        <f aca="false">IF($D1144="","",IFERROR(INDEX(ClientRates!$E$5:$E$500,MATCH($B1144&amp;"|"&amp;$L1144,ClientRates!$A$5:$A$500,0)),0))</f>
        <v/>
      </c>
      <c r="O1144" s="26" t="str">
        <f aca="false">IF($D1144="","",F1144*M1144+G1144*N1144)</f>
        <v/>
      </c>
      <c r="P1144" s="26" t="str">
        <f aca="false">IF(OR($D1144="",$J1144&lt;&gt;"Supplier"),"",IFERROR(INDEX(SupplierRates!$D$5:$D$500,MATCH($K1144&amp;"|"&amp;$L1144,SupplierRates!$A$5:$A$500,0)),0))</f>
        <v/>
      </c>
      <c r="Q1144" s="26" t="str">
        <f aca="false">IF(OR($D1144="",$J1144&lt;&gt;"Supplier"),"",IFERROR(INDEX(SupplierRates!$E$5:$E$500,MATCH($K1144&amp;"|"&amp;$L1144,SupplierRates!$A$5:$A$500,0)),0))</f>
        <v/>
      </c>
      <c r="R1144" s="26" t="n">
        <f aca="false">IF(OR($D1144="",$J1144&lt;&gt;"Supplier"),0,F1144*P1144+G1144*Q1144)</f>
        <v>0</v>
      </c>
      <c r="S1144" s="26" t="n">
        <f aca="false">IF(OR($D1144="",$J1144&lt;&gt;"Own"),0,IFERROR((F1144+G1144*Settings!$B$13)*INDEX(Workers!$V$5:$V$2004,MATCH($D1144,Workers!$A$5:$A$2004,0)),0))</f>
        <v>0</v>
      </c>
      <c r="T1144" s="26" t="str">
        <f aca="false">IF($D1144="","",O1144-R1144-S1144)</f>
        <v/>
      </c>
    </row>
    <row r="1145" customFormat="false" ht="15" hidden="false" customHeight="false" outlineLevel="0" collapsed="false">
      <c r="I1145" s="24" t="str">
        <f aca="false">IF($D1145="","",IFERROR(INDEX(Workers!$B$5:$B$2004,MATCH($D1145,Workers!$A$5:$A$2004,0)),"NOT FOUND"))</f>
        <v/>
      </c>
      <c r="J1145" s="24" t="str">
        <f aca="false">IF($D1145="","",IFERROR(INDEX(Workers!$C$5:$C$2004,MATCH($D1145,Workers!$A$5:$A$2004,0)),""))</f>
        <v/>
      </c>
      <c r="K1145" s="24" t="str">
        <f aca="false">IF($D1145="","",IFERROR(IF(INDEX(Workers!$D$5:$D$2004,MATCH($D1145,Workers!$A$5:$A$2004,0))=0,"",INDEX(Workers!$D$5:$D$2004,MATCH($D1145,Workers!$A$5:$A$2004,0))),""))</f>
        <v/>
      </c>
      <c r="L1145" s="24" t="str">
        <f aca="false">IF($D1145="","",IFERROR(INDEX(Workers!$E$5:$E$2004,MATCH($D1145,Workers!$A$5:$A$2004,0)),""))</f>
        <v/>
      </c>
      <c r="M1145" s="26" t="str">
        <f aca="false">IF($D1145="","",IFERROR(INDEX(ClientRates!$D$5:$D$500,MATCH($B1145&amp;"|"&amp;$L1145,ClientRates!$A$5:$A$500,0)),0))</f>
        <v/>
      </c>
      <c r="N1145" s="26" t="str">
        <f aca="false">IF($D1145="","",IFERROR(INDEX(ClientRates!$E$5:$E$500,MATCH($B1145&amp;"|"&amp;$L1145,ClientRates!$A$5:$A$500,0)),0))</f>
        <v/>
      </c>
      <c r="O1145" s="26" t="str">
        <f aca="false">IF($D1145="","",F1145*M1145+G1145*N1145)</f>
        <v/>
      </c>
      <c r="P1145" s="26" t="str">
        <f aca="false">IF(OR($D1145="",$J1145&lt;&gt;"Supplier"),"",IFERROR(INDEX(SupplierRates!$D$5:$D$500,MATCH($K1145&amp;"|"&amp;$L1145,SupplierRates!$A$5:$A$500,0)),0))</f>
        <v/>
      </c>
      <c r="Q1145" s="26" t="str">
        <f aca="false">IF(OR($D1145="",$J1145&lt;&gt;"Supplier"),"",IFERROR(INDEX(SupplierRates!$E$5:$E$500,MATCH($K1145&amp;"|"&amp;$L1145,SupplierRates!$A$5:$A$500,0)),0))</f>
        <v/>
      </c>
      <c r="R1145" s="26" t="n">
        <f aca="false">IF(OR($D1145="",$J1145&lt;&gt;"Supplier"),0,F1145*P1145+G1145*Q1145)</f>
        <v>0</v>
      </c>
      <c r="S1145" s="26" t="n">
        <f aca="false">IF(OR($D1145="",$J1145&lt;&gt;"Own"),0,IFERROR((F1145+G1145*Settings!$B$13)*INDEX(Workers!$V$5:$V$2004,MATCH($D1145,Workers!$A$5:$A$2004,0)),0))</f>
        <v>0</v>
      </c>
      <c r="T1145" s="26" t="str">
        <f aca="false">IF($D1145="","",O1145-R1145-S1145)</f>
        <v/>
      </c>
    </row>
    <row r="1146" customFormat="false" ht="15" hidden="false" customHeight="false" outlineLevel="0" collapsed="false">
      <c r="I1146" s="24" t="str">
        <f aca="false">IF($D1146="","",IFERROR(INDEX(Workers!$B$5:$B$2004,MATCH($D1146,Workers!$A$5:$A$2004,0)),"NOT FOUND"))</f>
        <v/>
      </c>
      <c r="J1146" s="24" t="str">
        <f aca="false">IF($D1146="","",IFERROR(INDEX(Workers!$C$5:$C$2004,MATCH($D1146,Workers!$A$5:$A$2004,0)),""))</f>
        <v/>
      </c>
      <c r="K1146" s="24" t="str">
        <f aca="false">IF($D1146="","",IFERROR(IF(INDEX(Workers!$D$5:$D$2004,MATCH($D1146,Workers!$A$5:$A$2004,0))=0,"",INDEX(Workers!$D$5:$D$2004,MATCH($D1146,Workers!$A$5:$A$2004,0))),""))</f>
        <v/>
      </c>
      <c r="L1146" s="24" t="str">
        <f aca="false">IF($D1146="","",IFERROR(INDEX(Workers!$E$5:$E$2004,MATCH($D1146,Workers!$A$5:$A$2004,0)),""))</f>
        <v/>
      </c>
      <c r="M1146" s="26" t="str">
        <f aca="false">IF($D1146="","",IFERROR(INDEX(ClientRates!$D$5:$D$500,MATCH($B1146&amp;"|"&amp;$L1146,ClientRates!$A$5:$A$500,0)),0))</f>
        <v/>
      </c>
      <c r="N1146" s="26" t="str">
        <f aca="false">IF($D1146="","",IFERROR(INDEX(ClientRates!$E$5:$E$500,MATCH($B1146&amp;"|"&amp;$L1146,ClientRates!$A$5:$A$500,0)),0))</f>
        <v/>
      </c>
      <c r="O1146" s="26" t="str">
        <f aca="false">IF($D1146="","",F1146*M1146+G1146*N1146)</f>
        <v/>
      </c>
      <c r="P1146" s="26" t="str">
        <f aca="false">IF(OR($D1146="",$J1146&lt;&gt;"Supplier"),"",IFERROR(INDEX(SupplierRates!$D$5:$D$500,MATCH($K1146&amp;"|"&amp;$L1146,SupplierRates!$A$5:$A$500,0)),0))</f>
        <v/>
      </c>
      <c r="Q1146" s="26" t="str">
        <f aca="false">IF(OR($D1146="",$J1146&lt;&gt;"Supplier"),"",IFERROR(INDEX(SupplierRates!$E$5:$E$500,MATCH($K1146&amp;"|"&amp;$L1146,SupplierRates!$A$5:$A$500,0)),0))</f>
        <v/>
      </c>
      <c r="R1146" s="26" t="n">
        <f aca="false">IF(OR($D1146="",$J1146&lt;&gt;"Supplier"),0,F1146*P1146+G1146*Q1146)</f>
        <v>0</v>
      </c>
      <c r="S1146" s="26" t="n">
        <f aca="false">IF(OR($D1146="",$J1146&lt;&gt;"Own"),0,IFERROR((F1146+G1146*Settings!$B$13)*INDEX(Workers!$V$5:$V$2004,MATCH($D1146,Workers!$A$5:$A$2004,0)),0))</f>
        <v>0</v>
      </c>
      <c r="T1146" s="26" t="str">
        <f aca="false">IF($D1146="","",O1146-R1146-S1146)</f>
        <v/>
      </c>
    </row>
    <row r="1147" customFormat="false" ht="15" hidden="false" customHeight="false" outlineLevel="0" collapsed="false">
      <c r="I1147" s="24" t="str">
        <f aca="false">IF($D1147="","",IFERROR(INDEX(Workers!$B$5:$B$2004,MATCH($D1147,Workers!$A$5:$A$2004,0)),"NOT FOUND"))</f>
        <v/>
      </c>
      <c r="J1147" s="24" t="str">
        <f aca="false">IF($D1147="","",IFERROR(INDEX(Workers!$C$5:$C$2004,MATCH($D1147,Workers!$A$5:$A$2004,0)),""))</f>
        <v/>
      </c>
      <c r="K1147" s="24" t="str">
        <f aca="false">IF($D1147="","",IFERROR(IF(INDEX(Workers!$D$5:$D$2004,MATCH($D1147,Workers!$A$5:$A$2004,0))=0,"",INDEX(Workers!$D$5:$D$2004,MATCH($D1147,Workers!$A$5:$A$2004,0))),""))</f>
        <v/>
      </c>
      <c r="L1147" s="24" t="str">
        <f aca="false">IF($D1147="","",IFERROR(INDEX(Workers!$E$5:$E$2004,MATCH($D1147,Workers!$A$5:$A$2004,0)),""))</f>
        <v/>
      </c>
      <c r="M1147" s="26" t="str">
        <f aca="false">IF($D1147="","",IFERROR(INDEX(ClientRates!$D$5:$D$500,MATCH($B1147&amp;"|"&amp;$L1147,ClientRates!$A$5:$A$500,0)),0))</f>
        <v/>
      </c>
      <c r="N1147" s="26" t="str">
        <f aca="false">IF($D1147="","",IFERROR(INDEX(ClientRates!$E$5:$E$500,MATCH($B1147&amp;"|"&amp;$L1147,ClientRates!$A$5:$A$500,0)),0))</f>
        <v/>
      </c>
      <c r="O1147" s="26" t="str">
        <f aca="false">IF($D1147="","",F1147*M1147+G1147*N1147)</f>
        <v/>
      </c>
      <c r="P1147" s="26" t="str">
        <f aca="false">IF(OR($D1147="",$J1147&lt;&gt;"Supplier"),"",IFERROR(INDEX(SupplierRates!$D$5:$D$500,MATCH($K1147&amp;"|"&amp;$L1147,SupplierRates!$A$5:$A$500,0)),0))</f>
        <v/>
      </c>
      <c r="Q1147" s="26" t="str">
        <f aca="false">IF(OR($D1147="",$J1147&lt;&gt;"Supplier"),"",IFERROR(INDEX(SupplierRates!$E$5:$E$500,MATCH($K1147&amp;"|"&amp;$L1147,SupplierRates!$A$5:$A$500,0)),0))</f>
        <v/>
      </c>
      <c r="R1147" s="26" t="n">
        <f aca="false">IF(OR($D1147="",$J1147&lt;&gt;"Supplier"),0,F1147*P1147+G1147*Q1147)</f>
        <v>0</v>
      </c>
      <c r="S1147" s="26" t="n">
        <f aca="false">IF(OR($D1147="",$J1147&lt;&gt;"Own"),0,IFERROR((F1147+G1147*Settings!$B$13)*INDEX(Workers!$V$5:$V$2004,MATCH($D1147,Workers!$A$5:$A$2004,0)),0))</f>
        <v>0</v>
      </c>
      <c r="T1147" s="26" t="str">
        <f aca="false">IF($D1147="","",O1147-R1147-S1147)</f>
        <v/>
      </c>
    </row>
    <row r="1148" customFormat="false" ht="15" hidden="false" customHeight="false" outlineLevel="0" collapsed="false">
      <c r="I1148" s="24" t="str">
        <f aca="false">IF($D1148="","",IFERROR(INDEX(Workers!$B$5:$B$2004,MATCH($D1148,Workers!$A$5:$A$2004,0)),"NOT FOUND"))</f>
        <v/>
      </c>
      <c r="J1148" s="24" t="str">
        <f aca="false">IF($D1148="","",IFERROR(INDEX(Workers!$C$5:$C$2004,MATCH($D1148,Workers!$A$5:$A$2004,0)),""))</f>
        <v/>
      </c>
      <c r="K1148" s="24" t="str">
        <f aca="false">IF($D1148="","",IFERROR(IF(INDEX(Workers!$D$5:$D$2004,MATCH($D1148,Workers!$A$5:$A$2004,0))=0,"",INDEX(Workers!$D$5:$D$2004,MATCH($D1148,Workers!$A$5:$A$2004,0))),""))</f>
        <v/>
      </c>
      <c r="L1148" s="24" t="str">
        <f aca="false">IF($D1148="","",IFERROR(INDEX(Workers!$E$5:$E$2004,MATCH($D1148,Workers!$A$5:$A$2004,0)),""))</f>
        <v/>
      </c>
      <c r="M1148" s="26" t="str">
        <f aca="false">IF($D1148="","",IFERROR(INDEX(ClientRates!$D$5:$D$500,MATCH($B1148&amp;"|"&amp;$L1148,ClientRates!$A$5:$A$500,0)),0))</f>
        <v/>
      </c>
      <c r="N1148" s="26" t="str">
        <f aca="false">IF($D1148="","",IFERROR(INDEX(ClientRates!$E$5:$E$500,MATCH($B1148&amp;"|"&amp;$L1148,ClientRates!$A$5:$A$500,0)),0))</f>
        <v/>
      </c>
      <c r="O1148" s="26" t="str">
        <f aca="false">IF($D1148="","",F1148*M1148+G1148*N1148)</f>
        <v/>
      </c>
      <c r="P1148" s="26" t="str">
        <f aca="false">IF(OR($D1148="",$J1148&lt;&gt;"Supplier"),"",IFERROR(INDEX(SupplierRates!$D$5:$D$500,MATCH($K1148&amp;"|"&amp;$L1148,SupplierRates!$A$5:$A$500,0)),0))</f>
        <v/>
      </c>
      <c r="Q1148" s="26" t="str">
        <f aca="false">IF(OR($D1148="",$J1148&lt;&gt;"Supplier"),"",IFERROR(INDEX(SupplierRates!$E$5:$E$500,MATCH($K1148&amp;"|"&amp;$L1148,SupplierRates!$A$5:$A$500,0)),0))</f>
        <v/>
      </c>
      <c r="R1148" s="26" t="n">
        <f aca="false">IF(OR($D1148="",$J1148&lt;&gt;"Supplier"),0,F1148*P1148+G1148*Q1148)</f>
        <v>0</v>
      </c>
      <c r="S1148" s="26" t="n">
        <f aca="false">IF(OR($D1148="",$J1148&lt;&gt;"Own"),0,IFERROR((F1148+G1148*Settings!$B$13)*INDEX(Workers!$V$5:$V$2004,MATCH($D1148,Workers!$A$5:$A$2004,0)),0))</f>
        <v>0</v>
      </c>
      <c r="T1148" s="26" t="str">
        <f aca="false">IF($D1148="","",O1148-R1148-S1148)</f>
        <v/>
      </c>
    </row>
    <row r="1149" customFormat="false" ht="15" hidden="false" customHeight="false" outlineLevel="0" collapsed="false">
      <c r="I1149" s="24" t="str">
        <f aca="false">IF($D1149="","",IFERROR(INDEX(Workers!$B$5:$B$2004,MATCH($D1149,Workers!$A$5:$A$2004,0)),"NOT FOUND"))</f>
        <v/>
      </c>
      <c r="J1149" s="24" t="str">
        <f aca="false">IF($D1149="","",IFERROR(INDEX(Workers!$C$5:$C$2004,MATCH($D1149,Workers!$A$5:$A$2004,0)),""))</f>
        <v/>
      </c>
      <c r="K1149" s="24" t="str">
        <f aca="false">IF($D1149="","",IFERROR(IF(INDEX(Workers!$D$5:$D$2004,MATCH($D1149,Workers!$A$5:$A$2004,0))=0,"",INDEX(Workers!$D$5:$D$2004,MATCH($D1149,Workers!$A$5:$A$2004,0))),""))</f>
        <v/>
      </c>
      <c r="L1149" s="24" t="str">
        <f aca="false">IF($D1149="","",IFERROR(INDEX(Workers!$E$5:$E$2004,MATCH($D1149,Workers!$A$5:$A$2004,0)),""))</f>
        <v/>
      </c>
      <c r="M1149" s="26" t="str">
        <f aca="false">IF($D1149="","",IFERROR(INDEX(ClientRates!$D$5:$D$500,MATCH($B1149&amp;"|"&amp;$L1149,ClientRates!$A$5:$A$500,0)),0))</f>
        <v/>
      </c>
      <c r="N1149" s="26" t="str">
        <f aca="false">IF($D1149="","",IFERROR(INDEX(ClientRates!$E$5:$E$500,MATCH($B1149&amp;"|"&amp;$L1149,ClientRates!$A$5:$A$500,0)),0))</f>
        <v/>
      </c>
      <c r="O1149" s="26" t="str">
        <f aca="false">IF($D1149="","",F1149*M1149+G1149*N1149)</f>
        <v/>
      </c>
      <c r="P1149" s="26" t="str">
        <f aca="false">IF(OR($D1149="",$J1149&lt;&gt;"Supplier"),"",IFERROR(INDEX(SupplierRates!$D$5:$D$500,MATCH($K1149&amp;"|"&amp;$L1149,SupplierRates!$A$5:$A$500,0)),0))</f>
        <v/>
      </c>
      <c r="Q1149" s="26" t="str">
        <f aca="false">IF(OR($D1149="",$J1149&lt;&gt;"Supplier"),"",IFERROR(INDEX(SupplierRates!$E$5:$E$500,MATCH($K1149&amp;"|"&amp;$L1149,SupplierRates!$A$5:$A$500,0)),0))</f>
        <v/>
      </c>
      <c r="R1149" s="26" t="n">
        <f aca="false">IF(OR($D1149="",$J1149&lt;&gt;"Supplier"),0,F1149*P1149+G1149*Q1149)</f>
        <v>0</v>
      </c>
      <c r="S1149" s="26" t="n">
        <f aca="false">IF(OR($D1149="",$J1149&lt;&gt;"Own"),0,IFERROR((F1149+G1149*Settings!$B$13)*INDEX(Workers!$V$5:$V$2004,MATCH($D1149,Workers!$A$5:$A$2004,0)),0))</f>
        <v>0</v>
      </c>
      <c r="T1149" s="26" t="str">
        <f aca="false">IF($D1149="","",O1149-R1149-S1149)</f>
        <v/>
      </c>
    </row>
    <row r="1150" customFormat="false" ht="15" hidden="false" customHeight="false" outlineLevel="0" collapsed="false">
      <c r="I1150" s="24" t="str">
        <f aca="false">IF($D1150="","",IFERROR(INDEX(Workers!$B$5:$B$2004,MATCH($D1150,Workers!$A$5:$A$2004,0)),"NOT FOUND"))</f>
        <v/>
      </c>
      <c r="J1150" s="24" t="str">
        <f aca="false">IF($D1150="","",IFERROR(INDEX(Workers!$C$5:$C$2004,MATCH($D1150,Workers!$A$5:$A$2004,0)),""))</f>
        <v/>
      </c>
      <c r="K1150" s="24" t="str">
        <f aca="false">IF($D1150="","",IFERROR(IF(INDEX(Workers!$D$5:$D$2004,MATCH($D1150,Workers!$A$5:$A$2004,0))=0,"",INDEX(Workers!$D$5:$D$2004,MATCH($D1150,Workers!$A$5:$A$2004,0))),""))</f>
        <v/>
      </c>
      <c r="L1150" s="24" t="str">
        <f aca="false">IF($D1150="","",IFERROR(INDEX(Workers!$E$5:$E$2004,MATCH($D1150,Workers!$A$5:$A$2004,0)),""))</f>
        <v/>
      </c>
      <c r="M1150" s="26" t="str">
        <f aca="false">IF($D1150="","",IFERROR(INDEX(ClientRates!$D$5:$D$500,MATCH($B1150&amp;"|"&amp;$L1150,ClientRates!$A$5:$A$500,0)),0))</f>
        <v/>
      </c>
      <c r="N1150" s="26" t="str">
        <f aca="false">IF($D1150="","",IFERROR(INDEX(ClientRates!$E$5:$E$500,MATCH($B1150&amp;"|"&amp;$L1150,ClientRates!$A$5:$A$500,0)),0))</f>
        <v/>
      </c>
      <c r="O1150" s="26" t="str">
        <f aca="false">IF($D1150="","",F1150*M1150+G1150*N1150)</f>
        <v/>
      </c>
      <c r="P1150" s="26" t="str">
        <f aca="false">IF(OR($D1150="",$J1150&lt;&gt;"Supplier"),"",IFERROR(INDEX(SupplierRates!$D$5:$D$500,MATCH($K1150&amp;"|"&amp;$L1150,SupplierRates!$A$5:$A$500,0)),0))</f>
        <v/>
      </c>
      <c r="Q1150" s="26" t="str">
        <f aca="false">IF(OR($D1150="",$J1150&lt;&gt;"Supplier"),"",IFERROR(INDEX(SupplierRates!$E$5:$E$500,MATCH($K1150&amp;"|"&amp;$L1150,SupplierRates!$A$5:$A$500,0)),0))</f>
        <v/>
      </c>
      <c r="R1150" s="26" t="n">
        <f aca="false">IF(OR($D1150="",$J1150&lt;&gt;"Supplier"),0,F1150*P1150+G1150*Q1150)</f>
        <v>0</v>
      </c>
      <c r="S1150" s="26" t="n">
        <f aca="false">IF(OR($D1150="",$J1150&lt;&gt;"Own"),0,IFERROR((F1150+G1150*Settings!$B$13)*INDEX(Workers!$V$5:$V$2004,MATCH($D1150,Workers!$A$5:$A$2004,0)),0))</f>
        <v>0</v>
      </c>
      <c r="T1150" s="26" t="str">
        <f aca="false">IF($D1150="","",O1150-R1150-S1150)</f>
        <v/>
      </c>
    </row>
    <row r="1151" customFormat="false" ht="15" hidden="false" customHeight="false" outlineLevel="0" collapsed="false">
      <c r="I1151" s="24" t="str">
        <f aca="false">IF($D1151="","",IFERROR(INDEX(Workers!$B$5:$B$2004,MATCH($D1151,Workers!$A$5:$A$2004,0)),"NOT FOUND"))</f>
        <v/>
      </c>
      <c r="J1151" s="24" t="str">
        <f aca="false">IF($D1151="","",IFERROR(INDEX(Workers!$C$5:$C$2004,MATCH($D1151,Workers!$A$5:$A$2004,0)),""))</f>
        <v/>
      </c>
      <c r="K1151" s="24" t="str">
        <f aca="false">IF($D1151="","",IFERROR(IF(INDEX(Workers!$D$5:$D$2004,MATCH($D1151,Workers!$A$5:$A$2004,0))=0,"",INDEX(Workers!$D$5:$D$2004,MATCH($D1151,Workers!$A$5:$A$2004,0))),""))</f>
        <v/>
      </c>
      <c r="L1151" s="24" t="str">
        <f aca="false">IF($D1151="","",IFERROR(INDEX(Workers!$E$5:$E$2004,MATCH($D1151,Workers!$A$5:$A$2004,0)),""))</f>
        <v/>
      </c>
      <c r="M1151" s="26" t="str">
        <f aca="false">IF($D1151="","",IFERROR(INDEX(ClientRates!$D$5:$D$500,MATCH($B1151&amp;"|"&amp;$L1151,ClientRates!$A$5:$A$500,0)),0))</f>
        <v/>
      </c>
      <c r="N1151" s="26" t="str">
        <f aca="false">IF($D1151="","",IFERROR(INDEX(ClientRates!$E$5:$E$500,MATCH($B1151&amp;"|"&amp;$L1151,ClientRates!$A$5:$A$500,0)),0))</f>
        <v/>
      </c>
      <c r="O1151" s="26" t="str">
        <f aca="false">IF($D1151="","",F1151*M1151+G1151*N1151)</f>
        <v/>
      </c>
      <c r="P1151" s="26" t="str">
        <f aca="false">IF(OR($D1151="",$J1151&lt;&gt;"Supplier"),"",IFERROR(INDEX(SupplierRates!$D$5:$D$500,MATCH($K1151&amp;"|"&amp;$L1151,SupplierRates!$A$5:$A$500,0)),0))</f>
        <v/>
      </c>
      <c r="Q1151" s="26" t="str">
        <f aca="false">IF(OR($D1151="",$J1151&lt;&gt;"Supplier"),"",IFERROR(INDEX(SupplierRates!$E$5:$E$500,MATCH($K1151&amp;"|"&amp;$L1151,SupplierRates!$A$5:$A$500,0)),0))</f>
        <v/>
      </c>
      <c r="R1151" s="26" t="n">
        <f aca="false">IF(OR($D1151="",$J1151&lt;&gt;"Supplier"),0,F1151*P1151+G1151*Q1151)</f>
        <v>0</v>
      </c>
      <c r="S1151" s="26" t="n">
        <f aca="false">IF(OR($D1151="",$J1151&lt;&gt;"Own"),0,IFERROR((F1151+G1151*Settings!$B$13)*INDEX(Workers!$V$5:$V$2004,MATCH($D1151,Workers!$A$5:$A$2004,0)),0))</f>
        <v>0</v>
      </c>
      <c r="T1151" s="26" t="str">
        <f aca="false">IF($D1151="","",O1151-R1151-S1151)</f>
        <v/>
      </c>
    </row>
    <row r="1152" customFormat="false" ht="15" hidden="false" customHeight="false" outlineLevel="0" collapsed="false">
      <c r="I1152" s="24" t="str">
        <f aca="false">IF($D1152="","",IFERROR(INDEX(Workers!$B$5:$B$2004,MATCH($D1152,Workers!$A$5:$A$2004,0)),"NOT FOUND"))</f>
        <v/>
      </c>
      <c r="J1152" s="24" t="str">
        <f aca="false">IF($D1152="","",IFERROR(INDEX(Workers!$C$5:$C$2004,MATCH($D1152,Workers!$A$5:$A$2004,0)),""))</f>
        <v/>
      </c>
      <c r="K1152" s="24" t="str">
        <f aca="false">IF($D1152="","",IFERROR(IF(INDEX(Workers!$D$5:$D$2004,MATCH($D1152,Workers!$A$5:$A$2004,0))=0,"",INDEX(Workers!$D$5:$D$2004,MATCH($D1152,Workers!$A$5:$A$2004,0))),""))</f>
        <v/>
      </c>
      <c r="L1152" s="24" t="str">
        <f aca="false">IF($D1152="","",IFERROR(INDEX(Workers!$E$5:$E$2004,MATCH($D1152,Workers!$A$5:$A$2004,0)),""))</f>
        <v/>
      </c>
      <c r="M1152" s="26" t="str">
        <f aca="false">IF($D1152="","",IFERROR(INDEX(ClientRates!$D$5:$D$500,MATCH($B1152&amp;"|"&amp;$L1152,ClientRates!$A$5:$A$500,0)),0))</f>
        <v/>
      </c>
      <c r="N1152" s="26" t="str">
        <f aca="false">IF($D1152="","",IFERROR(INDEX(ClientRates!$E$5:$E$500,MATCH($B1152&amp;"|"&amp;$L1152,ClientRates!$A$5:$A$500,0)),0))</f>
        <v/>
      </c>
      <c r="O1152" s="26" t="str">
        <f aca="false">IF($D1152="","",F1152*M1152+G1152*N1152)</f>
        <v/>
      </c>
      <c r="P1152" s="26" t="str">
        <f aca="false">IF(OR($D1152="",$J1152&lt;&gt;"Supplier"),"",IFERROR(INDEX(SupplierRates!$D$5:$D$500,MATCH($K1152&amp;"|"&amp;$L1152,SupplierRates!$A$5:$A$500,0)),0))</f>
        <v/>
      </c>
      <c r="Q1152" s="26" t="str">
        <f aca="false">IF(OR($D1152="",$J1152&lt;&gt;"Supplier"),"",IFERROR(INDEX(SupplierRates!$E$5:$E$500,MATCH($K1152&amp;"|"&amp;$L1152,SupplierRates!$A$5:$A$500,0)),0))</f>
        <v/>
      </c>
      <c r="R1152" s="26" t="n">
        <f aca="false">IF(OR($D1152="",$J1152&lt;&gt;"Supplier"),0,F1152*P1152+G1152*Q1152)</f>
        <v>0</v>
      </c>
      <c r="S1152" s="26" t="n">
        <f aca="false">IF(OR($D1152="",$J1152&lt;&gt;"Own"),0,IFERROR((F1152+G1152*Settings!$B$13)*INDEX(Workers!$V$5:$V$2004,MATCH($D1152,Workers!$A$5:$A$2004,0)),0))</f>
        <v>0</v>
      </c>
      <c r="T1152" s="26" t="str">
        <f aca="false">IF($D1152="","",O1152-R1152-S1152)</f>
        <v/>
      </c>
    </row>
    <row r="1153" customFormat="false" ht="15" hidden="false" customHeight="false" outlineLevel="0" collapsed="false">
      <c r="I1153" s="24" t="str">
        <f aca="false">IF($D1153="","",IFERROR(INDEX(Workers!$B$5:$B$2004,MATCH($D1153,Workers!$A$5:$A$2004,0)),"NOT FOUND"))</f>
        <v/>
      </c>
      <c r="J1153" s="24" t="str">
        <f aca="false">IF($D1153="","",IFERROR(INDEX(Workers!$C$5:$C$2004,MATCH($D1153,Workers!$A$5:$A$2004,0)),""))</f>
        <v/>
      </c>
      <c r="K1153" s="24" t="str">
        <f aca="false">IF($D1153="","",IFERROR(IF(INDEX(Workers!$D$5:$D$2004,MATCH($D1153,Workers!$A$5:$A$2004,0))=0,"",INDEX(Workers!$D$5:$D$2004,MATCH($D1153,Workers!$A$5:$A$2004,0))),""))</f>
        <v/>
      </c>
      <c r="L1153" s="24" t="str">
        <f aca="false">IF($D1153="","",IFERROR(INDEX(Workers!$E$5:$E$2004,MATCH($D1153,Workers!$A$5:$A$2004,0)),""))</f>
        <v/>
      </c>
      <c r="M1153" s="26" t="str">
        <f aca="false">IF($D1153="","",IFERROR(INDEX(ClientRates!$D$5:$D$500,MATCH($B1153&amp;"|"&amp;$L1153,ClientRates!$A$5:$A$500,0)),0))</f>
        <v/>
      </c>
      <c r="N1153" s="26" t="str">
        <f aca="false">IF($D1153="","",IFERROR(INDEX(ClientRates!$E$5:$E$500,MATCH($B1153&amp;"|"&amp;$L1153,ClientRates!$A$5:$A$500,0)),0))</f>
        <v/>
      </c>
      <c r="O1153" s="26" t="str">
        <f aca="false">IF($D1153="","",F1153*M1153+G1153*N1153)</f>
        <v/>
      </c>
      <c r="P1153" s="26" t="str">
        <f aca="false">IF(OR($D1153="",$J1153&lt;&gt;"Supplier"),"",IFERROR(INDEX(SupplierRates!$D$5:$D$500,MATCH($K1153&amp;"|"&amp;$L1153,SupplierRates!$A$5:$A$500,0)),0))</f>
        <v/>
      </c>
      <c r="Q1153" s="26" t="str">
        <f aca="false">IF(OR($D1153="",$J1153&lt;&gt;"Supplier"),"",IFERROR(INDEX(SupplierRates!$E$5:$E$500,MATCH($K1153&amp;"|"&amp;$L1153,SupplierRates!$A$5:$A$500,0)),0))</f>
        <v/>
      </c>
      <c r="R1153" s="26" t="n">
        <f aca="false">IF(OR($D1153="",$J1153&lt;&gt;"Supplier"),0,F1153*P1153+G1153*Q1153)</f>
        <v>0</v>
      </c>
      <c r="S1153" s="26" t="n">
        <f aca="false">IF(OR($D1153="",$J1153&lt;&gt;"Own"),0,IFERROR((F1153+G1153*Settings!$B$13)*INDEX(Workers!$V$5:$V$2004,MATCH($D1153,Workers!$A$5:$A$2004,0)),0))</f>
        <v>0</v>
      </c>
      <c r="T1153" s="26" t="str">
        <f aca="false">IF($D1153="","",O1153-R1153-S1153)</f>
        <v/>
      </c>
    </row>
    <row r="1154" customFormat="false" ht="15" hidden="false" customHeight="false" outlineLevel="0" collapsed="false">
      <c r="I1154" s="24" t="str">
        <f aca="false">IF($D1154="","",IFERROR(INDEX(Workers!$B$5:$B$2004,MATCH($D1154,Workers!$A$5:$A$2004,0)),"NOT FOUND"))</f>
        <v/>
      </c>
      <c r="J1154" s="24" t="str">
        <f aca="false">IF($D1154="","",IFERROR(INDEX(Workers!$C$5:$C$2004,MATCH($D1154,Workers!$A$5:$A$2004,0)),""))</f>
        <v/>
      </c>
      <c r="K1154" s="24" t="str">
        <f aca="false">IF($D1154="","",IFERROR(IF(INDEX(Workers!$D$5:$D$2004,MATCH($D1154,Workers!$A$5:$A$2004,0))=0,"",INDEX(Workers!$D$5:$D$2004,MATCH($D1154,Workers!$A$5:$A$2004,0))),""))</f>
        <v/>
      </c>
      <c r="L1154" s="24" t="str">
        <f aca="false">IF($D1154="","",IFERROR(INDEX(Workers!$E$5:$E$2004,MATCH($D1154,Workers!$A$5:$A$2004,0)),""))</f>
        <v/>
      </c>
      <c r="M1154" s="26" t="str">
        <f aca="false">IF($D1154="","",IFERROR(INDEX(ClientRates!$D$5:$D$500,MATCH($B1154&amp;"|"&amp;$L1154,ClientRates!$A$5:$A$500,0)),0))</f>
        <v/>
      </c>
      <c r="N1154" s="26" t="str">
        <f aca="false">IF($D1154="","",IFERROR(INDEX(ClientRates!$E$5:$E$500,MATCH($B1154&amp;"|"&amp;$L1154,ClientRates!$A$5:$A$500,0)),0))</f>
        <v/>
      </c>
      <c r="O1154" s="26" t="str">
        <f aca="false">IF($D1154="","",F1154*M1154+G1154*N1154)</f>
        <v/>
      </c>
      <c r="P1154" s="26" t="str">
        <f aca="false">IF(OR($D1154="",$J1154&lt;&gt;"Supplier"),"",IFERROR(INDEX(SupplierRates!$D$5:$D$500,MATCH($K1154&amp;"|"&amp;$L1154,SupplierRates!$A$5:$A$500,0)),0))</f>
        <v/>
      </c>
      <c r="Q1154" s="26" t="str">
        <f aca="false">IF(OR($D1154="",$J1154&lt;&gt;"Supplier"),"",IFERROR(INDEX(SupplierRates!$E$5:$E$500,MATCH($K1154&amp;"|"&amp;$L1154,SupplierRates!$A$5:$A$500,0)),0))</f>
        <v/>
      </c>
      <c r="R1154" s="26" t="n">
        <f aca="false">IF(OR($D1154="",$J1154&lt;&gt;"Supplier"),0,F1154*P1154+G1154*Q1154)</f>
        <v>0</v>
      </c>
      <c r="S1154" s="26" t="n">
        <f aca="false">IF(OR($D1154="",$J1154&lt;&gt;"Own"),0,IFERROR((F1154+G1154*Settings!$B$13)*INDEX(Workers!$V$5:$V$2004,MATCH($D1154,Workers!$A$5:$A$2004,0)),0))</f>
        <v>0</v>
      </c>
      <c r="T1154" s="26" t="str">
        <f aca="false">IF($D1154="","",O1154-R1154-S1154)</f>
        <v/>
      </c>
    </row>
    <row r="1155" customFormat="false" ht="15" hidden="false" customHeight="false" outlineLevel="0" collapsed="false">
      <c r="I1155" s="24" t="str">
        <f aca="false">IF($D1155="","",IFERROR(INDEX(Workers!$B$5:$B$2004,MATCH($D1155,Workers!$A$5:$A$2004,0)),"NOT FOUND"))</f>
        <v/>
      </c>
      <c r="J1155" s="24" t="str">
        <f aca="false">IF($D1155="","",IFERROR(INDEX(Workers!$C$5:$C$2004,MATCH($D1155,Workers!$A$5:$A$2004,0)),""))</f>
        <v/>
      </c>
      <c r="K1155" s="24" t="str">
        <f aca="false">IF($D1155="","",IFERROR(IF(INDEX(Workers!$D$5:$D$2004,MATCH($D1155,Workers!$A$5:$A$2004,0))=0,"",INDEX(Workers!$D$5:$D$2004,MATCH($D1155,Workers!$A$5:$A$2004,0))),""))</f>
        <v/>
      </c>
      <c r="L1155" s="24" t="str">
        <f aca="false">IF($D1155="","",IFERROR(INDEX(Workers!$E$5:$E$2004,MATCH($D1155,Workers!$A$5:$A$2004,0)),""))</f>
        <v/>
      </c>
      <c r="M1155" s="26" t="str">
        <f aca="false">IF($D1155="","",IFERROR(INDEX(ClientRates!$D$5:$D$500,MATCH($B1155&amp;"|"&amp;$L1155,ClientRates!$A$5:$A$500,0)),0))</f>
        <v/>
      </c>
      <c r="N1155" s="26" t="str">
        <f aca="false">IF($D1155="","",IFERROR(INDEX(ClientRates!$E$5:$E$500,MATCH($B1155&amp;"|"&amp;$L1155,ClientRates!$A$5:$A$500,0)),0))</f>
        <v/>
      </c>
      <c r="O1155" s="26" t="str">
        <f aca="false">IF($D1155="","",F1155*M1155+G1155*N1155)</f>
        <v/>
      </c>
      <c r="P1155" s="26" t="str">
        <f aca="false">IF(OR($D1155="",$J1155&lt;&gt;"Supplier"),"",IFERROR(INDEX(SupplierRates!$D$5:$D$500,MATCH($K1155&amp;"|"&amp;$L1155,SupplierRates!$A$5:$A$500,0)),0))</f>
        <v/>
      </c>
      <c r="Q1155" s="26" t="str">
        <f aca="false">IF(OR($D1155="",$J1155&lt;&gt;"Supplier"),"",IFERROR(INDEX(SupplierRates!$E$5:$E$500,MATCH($K1155&amp;"|"&amp;$L1155,SupplierRates!$A$5:$A$500,0)),0))</f>
        <v/>
      </c>
      <c r="R1155" s="26" t="n">
        <f aca="false">IF(OR($D1155="",$J1155&lt;&gt;"Supplier"),0,F1155*P1155+G1155*Q1155)</f>
        <v>0</v>
      </c>
      <c r="S1155" s="26" t="n">
        <f aca="false">IF(OR($D1155="",$J1155&lt;&gt;"Own"),0,IFERROR((F1155+G1155*Settings!$B$13)*INDEX(Workers!$V$5:$V$2004,MATCH($D1155,Workers!$A$5:$A$2004,0)),0))</f>
        <v>0</v>
      </c>
      <c r="T1155" s="26" t="str">
        <f aca="false">IF($D1155="","",O1155-R1155-S1155)</f>
        <v/>
      </c>
    </row>
    <row r="1156" customFormat="false" ht="15" hidden="false" customHeight="false" outlineLevel="0" collapsed="false">
      <c r="I1156" s="24" t="str">
        <f aca="false">IF($D1156="","",IFERROR(INDEX(Workers!$B$5:$B$2004,MATCH($D1156,Workers!$A$5:$A$2004,0)),"NOT FOUND"))</f>
        <v/>
      </c>
      <c r="J1156" s="24" t="str">
        <f aca="false">IF($D1156="","",IFERROR(INDEX(Workers!$C$5:$C$2004,MATCH($D1156,Workers!$A$5:$A$2004,0)),""))</f>
        <v/>
      </c>
      <c r="K1156" s="24" t="str">
        <f aca="false">IF($D1156="","",IFERROR(IF(INDEX(Workers!$D$5:$D$2004,MATCH($D1156,Workers!$A$5:$A$2004,0))=0,"",INDEX(Workers!$D$5:$D$2004,MATCH($D1156,Workers!$A$5:$A$2004,0))),""))</f>
        <v/>
      </c>
      <c r="L1156" s="24" t="str">
        <f aca="false">IF($D1156="","",IFERROR(INDEX(Workers!$E$5:$E$2004,MATCH($D1156,Workers!$A$5:$A$2004,0)),""))</f>
        <v/>
      </c>
      <c r="M1156" s="26" t="str">
        <f aca="false">IF($D1156="","",IFERROR(INDEX(ClientRates!$D$5:$D$500,MATCH($B1156&amp;"|"&amp;$L1156,ClientRates!$A$5:$A$500,0)),0))</f>
        <v/>
      </c>
      <c r="N1156" s="26" t="str">
        <f aca="false">IF($D1156="","",IFERROR(INDEX(ClientRates!$E$5:$E$500,MATCH($B1156&amp;"|"&amp;$L1156,ClientRates!$A$5:$A$500,0)),0))</f>
        <v/>
      </c>
      <c r="O1156" s="26" t="str">
        <f aca="false">IF($D1156="","",F1156*M1156+G1156*N1156)</f>
        <v/>
      </c>
      <c r="P1156" s="26" t="str">
        <f aca="false">IF(OR($D1156="",$J1156&lt;&gt;"Supplier"),"",IFERROR(INDEX(SupplierRates!$D$5:$D$500,MATCH($K1156&amp;"|"&amp;$L1156,SupplierRates!$A$5:$A$500,0)),0))</f>
        <v/>
      </c>
      <c r="Q1156" s="26" t="str">
        <f aca="false">IF(OR($D1156="",$J1156&lt;&gt;"Supplier"),"",IFERROR(INDEX(SupplierRates!$E$5:$E$500,MATCH($K1156&amp;"|"&amp;$L1156,SupplierRates!$A$5:$A$500,0)),0))</f>
        <v/>
      </c>
      <c r="R1156" s="26" t="n">
        <f aca="false">IF(OR($D1156="",$J1156&lt;&gt;"Supplier"),0,F1156*P1156+G1156*Q1156)</f>
        <v>0</v>
      </c>
      <c r="S1156" s="26" t="n">
        <f aca="false">IF(OR($D1156="",$J1156&lt;&gt;"Own"),0,IFERROR((F1156+G1156*Settings!$B$13)*INDEX(Workers!$V$5:$V$2004,MATCH($D1156,Workers!$A$5:$A$2004,0)),0))</f>
        <v>0</v>
      </c>
      <c r="T1156" s="26" t="str">
        <f aca="false">IF($D1156="","",O1156-R1156-S1156)</f>
        <v/>
      </c>
    </row>
    <row r="1157" customFormat="false" ht="15" hidden="false" customHeight="false" outlineLevel="0" collapsed="false">
      <c r="I1157" s="24" t="str">
        <f aca="false">IF($D1157="","",IFERROR(INDEX(Workers!$B$5:$B$2004,MATCH($D1157,Workers!$A$5:$A$2004,0)),"NOT FOUND"))</f>
        <v/>
      </c>
      <c r="J1157" s="24" t="str">
        <f aca="false">IF($D1157="","",IFERROR(INDEX(Workers!$C$5:$C$2004,MATCH($D1157,Workers!$A$5:$A$2004,0)),""))</f>
        <v/>
      </c>
      <c r="K1157" s="24" t="str">
        <f aca="false">IF($D1157="","",IFERROR(IF(INDEX(Workers!$D$5:$D$2004,MATCH($D1157,Workers!$A$5:$A$2004,0))=0,"",INDEX(Workers!$D$5:$D$2004,MATCH($D1157,Workers!$A$5:$A$2004,0))),""))</f>
        <v/>
      </c>
      <c r="L1157" s="24" t="str">
        <f aca="false">IF($D1157="","",IFERROR(INDEX(Workers!$E$5:$E$2004,MATCH($D1157,Workers!$A$5:$A$2004,0)),""))</f>
        <v/>
      </c>
      <c r="M1157" s="26" t="str">
        <f aca="false">IF($D1157="","",IFERROR(INDEX(ClientRates!$D$5:$D$500,MATCH($B1157&amp;"|"&amp;$L1157,ClientRates!$A$5:$A$500,0)),0))</f>
        <v/>
      </c>
      <c r="N1157" s="26" t="str">
        <f aca="false">IF($D1157="","",IFERROR(INDEX(ClientRates!$E$5:$E$500,MATCH($B1157&amp;"|"&amp;$L1157,ClientRates!$A$5:$A$500,0)),0))</f>
        <v/>
      </c>
      <c r="O1157" s="26" t="str">
        <f aca="false">IF($D1157="","",F1157*M1157+G1157*N1157)</f>
        <v/>
      </c>
      <c r="P1157" s="26" t="str">
        <f aca="false">IF(OR($D1157="",$J1157&lt;&gt;"Supplier"),"",IFERROR(INDEX(SupplierRates!$D$5:$D$500,MATCH($K1157&amp;"|"&amp;$L1157,SupplierRates!$A$5:$A$500,0)),0))</f>
        <v/>
      </c>
      <c r="Q1157" s="26" t="str">
        <f aca="false">IF(OR($D1157="",$J1157&lt;&gt;"Supplier"),"",IFERROR(INDEX(SupplierRates!$E$5:$E$500,MATCH($K1157&amp;"|"&amp;$L1157,SupplierRates!$A$5:$A$500,0)),0))</f>
        <v/>
      </c>
      <c r="R1157" s="26" t="n">
        <f aca="false">IF(OR($D1157="",$J1157&lt;&gt;"Supplier"),0,F1157*P1157+G1157*Q1157)</f>
        <v>0</v>
      </c>
      <c r="S1157" s="26" t="n">
        <f aca="false">IF(OR($D1157="",$J1157&lt;&gt;"Own"),0,IFERROR((F1157+G1157*Settings!$B$13)*INDEX(Workers!$V$5:$V$2004,MATCH($D1157,Workers!$A$5:$A$2004,0)),0))</f>
        <v>0</v>
      </c>
      <c r="T1157" s="26" t="str">
        <f aca="false">IF($D1157="","",O1157-R1157-S1157)</f>
        <v/>
      </c>
    </row>
    <row r="1158" customFormat="false" ht="15" hidden="false" customHeight="false" outlineLevel="0" collapsed="false">
      <c r="I1158" s="24" t="str">
        <f aca="false">IF($D1158="","",IFERROR(INDEX(Workers!$B$5:$B$2004,MATCH($D1158,Workers!$A$5:$A$2004,0)),"NOT FOUND"))</f>
        <v/>
      </c>
      <c r="J1158" s="24" t="str">
        <f aca="false">IF($D1158="","",IFERROR(INDEX(Workers!$C$5:$C$2004,MATCH($D1158,Workers!$A$5:$A$2004,0)),""))</f>
        <v/>
      </c>
      <c r="K1158" s="24" t="str">
        <f aca="false">IF($D1158="","",IFERROR(IF(INDEX(Workers!$D$5:$D$2004,MATCH($D1158,Workers!$A$5:$A$2004,0))=0,"",INDEX(Workers!$D$5:$D$2004,MATCH($D1158,Workers!$A$5:$A$2004,0))),""))</f>
        <v/>
      </c>
      <c r="L1158" s="24" t="str">
        <f aca="false">IF($D1158="","",IFERROR(INDEX(Workers!$E$5:$E$2004,MATCH($D1158,Workers!$A$5:$A$2004,0)),""))</f>
        <v/>
      </c>
      <c r="M1158" s="26" t="str">
        <f aca="false">IF($D1158="","",IFERROR(INDEX(ClientRates!$D$5:$D$500,MATCH($B1158&amp;"|"&amp;$L1158,ClientRates!$A$5:$A$500,0)),0))</f>
        <v/>
      </c>
      <c r="N1158" s="26" t="str">
        <f aca="false">IF($D1158="","",IFERROR(INDEX(ClientRates!$E$5:$E$500,MATCH($B1158&amp;"|"&amp;$L1158,ClientRates!$A$5:$A$500,0)),0))</f>
        <v/>
      </c>
      <c r="O1158" s="26" t="str">
        <f aca="false">IF($D1158="","",F1158*M1158+G1158*N1158)</f>
        <v/>
      </c>
      <c r="P1158" s="26" t="str">
        <f aca="false">IF(OR($D1158="",$J1158&lt;&gt;"Supplier"),"",IFERROR(INDEX(SupplierRates!$D$5:$D$500,MATCH($K1158&amp;"|"&amp;$L1158,SupplierRates!$A$5:$A$500,0)),0))</f>
        <v/>
      </c>
      <c r="Q1158" s="26" t="str">
        <f aca="false">IF(OR($D1158="",$J1158&lt;&gt;"Supplier"),"",IFERROR(INDEX(SupplierRates!$E$5:$E$500,MATCH($K1158&amp;"|"&amp;$L1158,SupplierRates!$A$5:$A$500,0)),0))</f>
        <v/>
      </c>
      <c r="R1158" s="26" t="n">
        <f aca="false">IF(OR($D1158="",$J1158&lt;&gt;"Supplier"),0,F1158*P1158+G1158*Q1158)</f>
        <v>0</v>
      </c>
      <c r="S1158" s="26" t="n">
        <f aca="false">IF(OR($D1158="",$J1158&lt;&gt;"Own"),0,IFERROR((F1158+G1158*Settings!$B$13)*INDEX(Workers!$V$5:$V$2004,MATCH($D1158,Workers!$A$5:$A$2004,0)),0))</f>
        <v>0</v>
      </c>
      <c r="T1158" s="26" t="str">
        <f aca="false">IF($D1158="","",O1158-R1158-S1158)</f>
        <v/>
      </c>
    </row>
    <row r="1159" customFormat="false" ht="15" hidden="false" customHeight="false" outlineLevel="0" collapsed="false">
      <c r="I1159" s="24" t="str">
        <f aca="false">IF($D1159="","",IFERROR(INDEX(Workers!$B$5:$B$2004,MATCH($D1159,Workers!$A$5:$A$2004,0)),"NOT FOUND"))</f>
        <v/>
      </c>
      <c r="J1159" s="24" t="str">
        <f aca="false">IF($D1159="","",IFERROR(INDEX(Workers!$C$5:$C$2004,MATCH($D1159,Workers!$A$5:$A$2004,0)),""))</f>
        <v/>
      </c>
      <c r="K1159" s="24" t="str">
        <f aca="false">IF($D1159="","",IFERROR(IF(INDEX(Workers!$D$5:$D$2004,MATCH($D1159,Workers!$A$5:$A$2004,0))=0,"",INDEX(Workers!$D$5:$D$2004,MATCH($D1159,Workers!$A$5:$A$2004,0))),""))</f>
        <v/>
      </c>
      <c r="L1159" s="24" t="str">
        <f aca="false">IF($D1159="","",IFERROR(INDEX(Workers!$E$5:$E$2004,MATCH($D1159,Workers!$A$5:$A$2004,0)),""))</f>
        <v/>
      </c>
      <c r="M1159" s="26" t="str">
        <f aca="false">IF($D1159="","",IFERROR(INDEX(ClientRates!$D$5:$D$500,MATCH($B1159&amp;"|"&amp;$L1159,ClientRates!$A$5:$A$500,0)),0))</f>
        <v/>
      </c>
      <c r="N1159" s="26" t="str">
        <f aca="false">IF($D1159="","",IFERROR(INDEX(ClientRates!$E$5:$E$500,MATCH($B1159&amp;"|"&amp;$L1159,ClientRates!$A$5:$A$500,0)),0))</f>
        <v/>
      </c>
      <c r="O1159" s="26" t="str">
        <f aca="false">IF($D1159="","",F1159*M1159+G1159*N1159)</f>
        <v/>
      </c>
      <c r="P1159" s="26" t="str">
        <f aca="false">IF(OR($D1159="",$J1159&lt;&gt;"Supplier"),"",IFERROR(INDEX(SupplierRates!$D$5:$D$500,MATCH($K1159&amp;"|"&amp;$L1159,SupplierRates!$A$5:$A$500,0)),0))</f>
        <v/>
      </c>
      <c r="Q1159" s="26" t="str">
        <f aca="false">IF(OR($D1159="",$J1159&lt;&gt;"Supplier"),"",IFERROR(INDEX(SupplierRates!$E$5:$E$500,MATCH($K1159&amp;"|"&amp;$L1159,SupplierRates!$A$5:$A$500,0)),0))</f>
        <v/>
      </c>
      <c r="R1159" s="26" t="n">
        <f aca="false">IF(OR($D1159="",$J1159&lt;&gt;"Supplier"),0,F1159*P1159+G1159*Q1159)</f>
        <v>0</v>
      </c>
      <c r="S1159" s="26" t="n">
        <f aca="false">IF(OR($D1159="",$J1159&lt;&gt;"Own"),0,IFERROR((F1159+G1159*Settings!$B$13)*INDEX(Workers!$V$5:$V$2004,MATCH($D1159,Workers!$A$5:$A$2004,0)),0))</f>
        <v>0</v>
      </c>
      <c r="T1159" s="26" t="str">
        <f aca="false">IF($D1159="","",O1159-R1159-S1159)</f>
        <v/>
      </c>
    </row>
    <row r="1160" customFormat="false" ht="15" hidden="false" customHeight="false" outlineLevel="0" collapsed="false">
      <c r="I1160" s="24" t="str">
        <f aca="false">IF($D1160="","",IFERROR(INDEX(Workers!$B$5:$B$2004,MATCH($D1160,Workers!$A$5:$A$2004,0)),"NOT FOUND"))</f>
        <v/>
      </c>
      <c r="J1160" s="24" t="str">
        <f aca="false">IF($D1160="","",IFERROR(INDEX(Workers!$C$5:$C$2004,MATCH($D1160,Workers!$A$5:$A$2004,0)),""))</f>
        <v/>
      </c>
      <c r="K1160" s="24" t="str">
        <f aca="false">IF($D1160="","",IFERROR(IF(INDEX(Workers!$D$5:$D$2004,MATCH($D1160,Workers!$A$5:$A$2004,0))=0,"",INDEX(Workers!$D$5:$D$2004,MATCH($D1160,Workers!$A$5:$A$2004,0))),""))</f>
        <v/>
      </c>
      <c r="L1160" s="24" t="str">
        <f aca="false">IF($D1160="","",IFERROR(INDEX(Workers!$E$5:$E$2004,MATCH($D1160,Workers!$A$5:$A$2004,0)),""))</f>
        <v/>
      </c>
      <c r="M1160" s="26" t="str">
        <f aca="false">IF($D1160="","",IFERROR(INDEX(ClientRates!$D$5:$D$500,MATCH($B1160&amp;"|"&amp;$L1160,ClientRates!$A$5:$A$500,0)),0))</f>
        <v/>
      </c>
      <c r="N1160" s="26" t="str">
        <f aca="false">IF($D1160="","",IFERROR(INDEX(ClientRates!$E$5:$E$500,MATCH($B1160&amp;"|"&amp;$L1160,ClientRates!$A$5:$A$500,0)),0))</f>
        <v/>
      </c>
      <c r="O1160" s="26" t="str">
        <f aca="false">IF($D1160="","",F1160*M1160+G1160*N1160)</f>
        <v/>
      </c>
      <c r="P1160" s="26" t="str">
        <f aca="false">IF(OR($D1160="",$J1160&lt;&gt;"Supplier"),"",IFERROR(INDEX(SupplierRates!$D$5:$D$500,MATCH($K1160&amp;"|"&amp;$L1160,SupplierRates!$A$5:$A$500,0)),0))</f>
        <v/>
      </c>
      <c r="Q1160" s="26" t="str">
        <f aca="false">IF(OR($D1160="",$J1160&lt;&gt;"Supplier"),"",IFERROR(INDEX(SupplierRates!$E$5:$E$500,MATCH($K1160&amp;"|"&amp;$L1160,SupplierRates!$A$5:$A$500,0)),0))</f>
        <v/>
      </c>
      <c r="R1160" s="26" t="n">
        <f aca="false">IF(OR($D1160="",$J1160&lt;&gt;"Supplier"),0,F1160*P1160+G1160*Q1160)</f>
        <v>0</v>
      </c>
      <c r="S1160" s="26" t="n">
        <f aca="false">IF(OR($D1160="",$J1160&lt;&gt;"Own"),0,IFERROR((F1160+G1160*Settings!$B$13)*INDEX(Workers!$V$5:$V$2004,MATCH($D1160,Workers!$A$5:$A$2004,0)),0))</f>
        <v>0</v>
      </c>
      <c r="T1160" s="26" t="str">
        <f aca="false">IF($D1160="","",O1160-R1160-S1160)</f>
        <v/>
      </c>
    </row>
    <row r="1161" customFormat="false" ht="15" hidden="false" customHeight="false" outlineLevel="0" collapsed="false">
      <c r="I1161" s="24" t="str">
        <f aca="false">IF($D1161="","",IFERROR(INDEX(Workers!$B$5:$B$2004,MATCH($D1161,Workers!$A$5:$A$2004,0)),"NOT FOUND"))</f>
        <v/>
      </c>
      <c r="J1161" s="24" t="str">
        <f aca="false">IF($D1161="","",IFERROR(INDEX(Workers!$C$5:$C$2004,MATCH($D1161,Workers!$A$5:$A$2004,0)),""))</f>
        <v/>
      </c>
      <c r="K1161" s="24" t="str">
        <f aca="false">IF($D1161="","",IFERROR(IF(INDEX(Workers!$D$5:$D$2004,MATCH($D1161,Workers!$A$5:$A$2004,0))=0,"",INDEX(Workers!$D$5:$D$2004,MATCH($D1161,Workers!$A$5:$A$2004,0))),""))</f>
        <v/>
      </c>
      <c r="L1161" s="24" t="str">
        <f aca="false">IF($D1161="","",IFERROR(INDEX(Workers!$E$5:$E$2004,MATCH($D1161,Workers!$A$5:$A$2004,0)),""))</f>
        <v/>
      </c>
      <c r="M1161" s="26" t="str">
        <f aca="false">IF($D1161="","",IFERROR(INDEX(ClientRates!$D$5:$D$500,MATCH($B1161&amp;"|"&amp;$L1161,ClientRates!$A$5:$A$500,0)),0))</f>
        <v/>
      </c>
      <c r="N1161" s="26" t="str">
        <f aca="false">IF($D1161="","",IFERROR(INDEX(ClientRates!$E$5:$E$500,MATCH($B1161&amp;"|"&amp;$L1161,ClientRates!$A$5:$A$500,0)),0))</f>
        <v/>
      </c>
      <c r="O1161" s="26" t="str">
        <f aca="false">IF($D1161="","",F1161*M1161+G1161*N1161)</f>
        <v/>
      </c>
      <c r="P1161" s="26" t="str">
        <f aca="false">IF(OR($D1161="",$J1161&lt;&gt;"Supplier"),"",IFERROR(INDEX(SupplierRates!$D$5:$D$500,MATCH($K1161&amp;"|"&amp;$L1161,SupplierRates!$A$5:$A$500,0)),0))</f>
        <v/>
      </c>
      <c r="Q1161" s="26" t="str">
        <f aca="false">IF(OR($D1161="",$J1161&lt;&gt;"Supplier"),"",IFERROR(INDEX(SupplierRates!$E$5:$E$500,MATCH($K1161&amp;"|"&amp;$L1161,SupplierRates!$A$5:$A$500,0)),0))</f>
        <v/>
      </c>
      <c r="R1161" s="26" t="n">
        <f aca="false">IF(OR($D1161="",$J1161&lt;&gt;"Supplier"),0,F1161*P1161+G1161*Q1161)</f>
        <v>0</v>
      </c>
      <c r="S1161" s="26" t="n">
        <f aca="false">IF(OR($D1161="",$J1161&lt;&gt;"Own"),0,IFERROR((F1161+G1161*Settings!$B$13)*INDEX(Workers!$V$5:$V$2004,MATCH($D1161,Workers!$A$5:$A$2004,0)),0))</f>
        <v>0</v>
      </c>
      <c r="T1161" s="26" t="str">
        <f aca="false">IF($D1161="","",O1161-R1161-S1161)</f>
        <v/>
      </c>
    </row>
    <row r="1162" customFormat="false" ht="15" hidden="false" customHeight="false" outlineLevel="0" collapsed="false">
      <c r="I1162" s="24" t="str">
        <f aca="false">IF($D1162="","",IFERROR(INDEX(Workers!$B$5:$B$2004,MATCH($D1162,Workers!$A$5:$A$2004,0)),"NOT FOUND"))</f>
        <v/>
      </c>
      <c r="J1162" s="24" t="str">
        <f aca="false">IF($D1162="","",IFERROR(INDEX(Workers!$C$5:$C$2004,MATCH($D1162,Workers!$A$5:$A$2004,0)),""))</f>
        <v/>
      </c>
      <c r="K1162" s="24" t="str">
        <f aca="false">IF($D1162="","",IFERROR(IF(INDEX(Workers!$D$5:$D$2004,MATCH($D1162,Workers!$A$5:$A$2004,0))=0,"",INDEX(Workers!$D$5:$D$2004,MATCH($D1162,Workers!$A$5:$A$2004,0))),""))</f>
        <v/>
      </c>
      <c r="L1162" s="24" t="str">
        <f aca="false">IF($D1162="","",IFERROR(INDEX(Workers!$E$5:$E$2004,MATCH($D1162,Workers!$A$5:$A$2004,0)),""))</f>
        <v/>
      </c>
      <c r="M1162" s="26" t="str">
        <f aca="false">IF($D1162="","",IFERROR(INDEX(ClientRates!$D$5:$D$500,MATCH($B1162&amp;"|"&amp;$L1162,ClientRates!$A$5:$A$500,0)),0))</f>
        <v/>
      </c>
      <c r="N1162" s="26" t="str">
        <f aca="false">IF($D1162="","",IFERROR(INDEX(ClientRates!$E$5:$E$500,MATCH($B1162&amp;"|"&amp;$L1162,ClientRates!$A$5:$A$500,0)),0))</f>
        <v/>
      </c>
      <c r="O1162" s="26" t="str">
        <f aca="false">IF($D1162="","",F1162*M1162+G1162*N1162)</f>
        <v/>
      </c>
      <c r="P1162" s="26" t="str">
        <f aca="false">IF(OR($D1162="",$J1162&lt;&gt;"Supplier"),"",IFERROR(INDEX(SupplierRates!$D$5:$D$500,MATCH($K1162&amp;"|"&amp;$L1162,SupplierRates!$A$5:$A$500,0)),0))</f>
        <v/>
      </c>
      <c r="Q1162" s="26" t="str">
        <f aca="false">IF(OR($D1162="",$J1162&lt;&gt;"Supplier"),"",IFERROR(INDEX(SupplierRates!$E$5:$E$500,MATCH($K1162&amp;"|"&amp;$L1162,SupplierRates!$A$5:$A$500,0)),0))</f>
        <v/>
      </c>
      <c r="R1162" s="26" t="n">
        <f aca="false">IF(OR($D1162="",$J1162&lt;&gt;"Supplier"),0,F1162*P1162+G1162*Q1162)</f>
        <v>0</v>
      </c>
      <c r="S1162" s="26" t="n">
        <f aca="false">IF(OR($D1162="",$J1162&lt;&gt;"Own"),0,IFERROR((F1162+G1162*Settings!$B$13)*INDEX(Workers!$V$5:$V$2004,MATCH($D1162,Workers!$A$5:$A$2004,0)),0))</f>
        <v>0</v>
      </c>
      <c r="T1162" s="26" t="str">
        <f aca="false">IF($D1162="","",O1162-R1162-S1162)</f>
        <v/>
      </c>
    </row>
    <row r="1163" customFormat="false" ht="15" hidden="false" customHeight="false" outlineLevel="0" collapsed="false">
      <c r="I1163" s="24" t="str">
        <f aca="false">IF($D1163="","",IFERROR(INDEX(Workers!$B$5:$B$2004,MATCH($D1163,Workers!$A$5:$A$2004,0)),"NOT FOUND"))</f>
        <v/>
      </c>
      <c r="J1163" s="24" t="str">
        <f aca="false">IF($D1163="","",IFERROR(INDEX(Workers!$C$5:$C$2004,MATCH($D1163,Workers!$A$5:$A$2004,0)),""))</f>
        <v/>
      </c>
      <c r="K1163" s="24" t="str">
        <f aca="false">IF($D1163="","",IFERROR(IF(INDEX(Workers!$D$5:$D$2004,MATCH($D1163,Workers!$A$5:$A$2004,0))=0,"",INDEX(Workers!$D$5:$D$2004,MATCH($D1163,Workers!$A$5:$A$2004,0))),""))</f>
        <v/>
      </c>
      <c r="L1163" s="24" t="str">
        <f aca="false">IF($D1163="","",IFERROR(INDEX(Workers!$E$5:$E$2004,MATCH($D1163,Workers!$A$5:$A$2004,0)),""))</f>
        <v/>
      </c>
      <c r="M1163" s="26" t="str">
        <f aca="false">IF($D1163="","",IFERROR(INDEX(ClientRates!$D$5:$D$500,MATCH($B1163&amp;"|"&amp;$L1163,ClientRates!$A$5:$A$500,0)),0))</f>
        <v/>
      </c>
      <c r="N1163" s="26" t="str">
        <f aca="false">IF($D1163="","",IFERROR(INDEX(ClientRates!$E$5:$E$500,MATCH($B1163&amp;"|"&amp;$L1163,ClientRates!$A$5:$A$500,0)),0))</f>
        <v/>
      </c>
      <c r="O1163" s="26" t="str">
        <f aca="false">IF($D1163="","",F1163*M1163+G1163*N1163)</f>
        <v/>
      </c>
      <c r="P1163" s="26" t="str">
        <f aca="false">IF(OR($D1163="",$J1163&lt;&gt;"Supplier"),"",IFERROR(INDEX(SupplierRates!$D$5:$D$500,MATCH($K1163&amp;"|"&amp;$L1163,SupplierRates!$A$5:$A$500,0)),0))</f>
        <v/>
      </c>
      <c r="Q1163" s="26" t="str">
        <f aca="false">IF(OR($D1163="",$J1163&lt;&gt;"Supplier"),"",IFERROR(INDEX(SupplierRates!$E$5:$E$500,MATCH($K1163&amp;"|"&amp;$L1163,SupplierRates!$A$5:$A$500,0)),0))</f>
        <v/>
      </c>
      <c r="R1163" s="26" t="n">
        <f aca="false">IF(OR($D1163="",$J1163&lt;&gt;"Supplier"),0,F1163*P1163+G1163*Q1163)</f>
        <v>0</v>
      </c>
      <c r="S1163" s="26" t="n">
        <f aca="false">IF(OR($D1163="",$J1163&lt;&gt;"Own"),0,IFERROR((F1163+G1163*Settings!$B$13)*INDEX(Workers!$V$5:$V$2004,MATCH($D1163,Workers!$A$5:$A$2004,0)),0))</f>
        <v>0</v>
      </c>
      <c r="T1163" s="26" t="str">
        <f aca="false">IF($D1163="","",O1163-R1163-S1163)</f>
        <v/>
      </c>
    </row>
    <row r="1164" customFormat="false" ht="15" hidden="false" customHeight="false" outlineLevel="0" collapsed="false">
      <c r="I1164" s="24" t="str">
        <f aca="false">IF($D1164="","",IFERROR(INDEX(Workers!$B$5:$B$2004,MATCH($D1164,Workers!$A$5:$A$2004,0)),"NOT FOUND"))</f>
        <v/>
      </c>
      <c r="J1164" s="24" t="str">
        <f aca="false">IF($D1164="","",IFERROR(INDEX(Workers!$C$5:$C$2004,MATCH($D1164,Workers!$A$5:$A$2004,0)),""))</f>
        <v/>
      </c>
      <c r="K1164" s="24" t="str">
        <f aca="false">IF($D1164="","",IFERROR(IF(INDEX(Workers!$D$5:$D$2004,MATCH($D1164,Workers!$A$5:$A$2004,0))=0,"",INDEX(Workers!$D$5:$D$2004,MATCH($D1164,Workers!$A$5:$A$2004,0))),""))</f>
        <v/>
      </c>
      <c r="L1164" s="24" t="str">
        <f aca="false">IF($D1164="","",IFERROR(INDEX(Workers!$E$5:$E$2004,MATCH($D1164,Workers!$A$5:$A$2004,0)),""))</f>
        <v/>
      </c>
      <c r="M1164" s="26" t="str">
        <f aca="false">IF($D1164="","",IFERROR(INDEX(ClientRates!$D$5:$D$500,MATCH($B1164&amp;"|"&amp;$L1164,ClientRates!$A$5:$A$500,0)),0))</f>
        <v/>
      </c>
      <c r="N1164" s="26" t="str">
        <f aca="false">IF($D1164="","",IFERROR(INDEX(ClientRates!$E$5:$E$500,MATCH($B1164&amp;"|"&amp;$L1164,ClientRates!$A$5:$A$500,0)),0))</f>
        <v/>
      </c>
      <c r="O1164" s="26" t="str">
        <f aca="false">IF($D1164="","",F1164*M1164+G1164*N1164)</f>
        <v/>
      </c>
      <c r="P1164" s="26" t="str">
        <f aca="false">IF(OR($D1164="",$J1164&lt;&gt;"Supplier"),"",IFERROR(INDEX(SupplierRates!$D$5:$D$500,MATCH($K1164&amp;"|"&amp;$L1164,SupplierRates!$A$5:$A$500,0)),0))</f>
        <v/>
      </c>
      <c r="Q1164" s="26" t="str">
        <f aca="false">IF(OR($D1164="",$J1164&lt;&gt;"Supplier"),"",IFERROR(INDEX(SupplierRates!$E$5:$E$500,MATCH($K1164&amp;"|"&amp;$L1164,SupplierRates!$A$5:$A$500,0)),0))</f>
        <v/>
      </c>
      <c r="R1164" s="26" t="n">
        <f aca="false">IF(OR($D1164="",$J1164&lt;&gt;"Supplier"),0,F1164*P1164+G1164*Q1164)</f>
        <v>0</v>
      </c>
      <c r="S1164" s="26" t="n">
        <f aca="false">IF(OR($D1164="",$J1164&lt;&gt;"Own"),0,IFERROR((F1164+G1164*Settings!$B$13)*INDEX(Workers!$V$5:$V$2004,MATCH($D1164,Workers!$A$5:$A$2004,0)),0))</f>
        <v>0</v>
      </c>
      <c r="T1164" s="26" t="str">
        <f aca="false">IF($D1164="","",O1164-R1164-S1164)</f>
        <v/>
      </c>
    </row>
    <row r="1165" customFormat="false" ht="15" hidden="false" customHeight="false" outlineLevel="0" collapsed="false">
      <c r="I1165" s="24" t="str">
        <f aca="false">IF($D1165="","",IFERROR(INDEX(Workers!$B$5:$B$2004,MATCH($D1165,Workers!$A$5:$A$2004,0)),"NOT FOUND"))</f>
        <v/>
      </c>
      <c r="J1165" s="24" t="str">
        <f aca="false">IF($D1165="","",IFERROR(INDEX(Workers!$C$5:$C$2004,MATCH($D1165,Workers!$A$5:$A$2004,0)),""))</f>
        <v/>
      </c>
      <c r="K1165" s="24" t="str">
        <f aca="false">IF($D1165="","",IFERROR(IF(INDEX(Workers!$D$5:$D$2004,MATCH($D1165,Workers!$A$5:$A$2004,0))=0,"",INDEX(Workers!$D$5:$D$2004,MATCH($D1165,Workers!$A$5:$A$2004,0))),""))</f>
        <v/>
      </c>
      <c r="L1165" s="24" t="str">
        <f aca="false">IF($D1165="","",IFERROR(INDEX(Workers!$E$5:$E$2004,MATCH($D1165,Workers!$A$5:$A$2004,0)),""))</f>
        <v/>
      </c>
      <c r="M1165" s="26" t="str">
        <f aca="false">IF($D1165="","",IFERROR(INDEX(ClientRates!$D$5:$D$500,MATCH($B1165&amp;"|"&amp;$L1165,ClientRates!$A$5:$A$500,0)),0))</f>
        <v/>
      </c>
      <c r="N1165" s="26" t="str">
        <f aca="false">IF($D1165="","",IFERROR(INDEX(ClientRates!$E$5:$E$500,MATCH($B1165&amp;"|"&amp;$L1165,ClientRates!$A$5:$A$500,0)),0))</f>
        <v/>
      </c>
      <c r="O1165" s="26" t="str">
        <f aca="false">IF($D1165="","",F1165*M1165+G1165*N1165)</f>
        <v/>
      </c>
      <c r="P1165" s="26" t="str">
        <f aca="false">IF(OR($D1165="",$J1165&lt;&gt;"Supplier"),"",IFERROR(INDEX(SupplierRates!$D$5:$D$500,MATCH($K1165&amp;"|"&amp;$L1165,SupplierRates!$A$5:$A$500,0)),0))</f>
        <v/>
      </c>
      <c r="Q1165" s="26" t="str">
        <f aca="false">IF(OR($D1165="",$J1165&lt;&gt;"Supplier"),"",IFERROR(INDEX(SupplierRates!$E$5:$E$500,MATCH($K1165&amp;"|"&amp;$L1165,SupplierRates!$A$5:$A$500,0)),0))</f>
        <v/>
      </c>
      <c r="R1165" s="26" t="n">
        <f aca="false">IF(OR($D1165="",$J1165&lt;&gt;"Supplier"),0,F1165*P1165+G1165*Q1165)</f>
        <v>0</v>
      </c>
      <c r="S1165" s="26" t="n">
        <f aca="false">IF(OR($D1165="",$J1165&lt;&gt;"Own"),0,IFERROR((F1165+G1165*Settings!$B$13)*INDEX(Workers!$V$5:$V$2004,MATCH($D1165,Workers!$A$5:$A$2004,0)),0))</f>
        <v>0</v>
      </c>
      <c r="T1165" s="26" t="str">
        <f aca="false">IF($D1165="","",O1165-R1165-S1165)</f>
        <v/>
      </c>
    </row>
    <row r="1166" customFormat="false" ht="15" hidden="false" customHeight="false" outlineLevel="0" collapsed="false">
      <c r="I1166" s="24" t="str">
        <f aca="false">IF($D1166="","",IFERROR(INDEX(Workers!$B$5:$B$2004,MATCH($D1166,Workers!$A$5:$A$2004,0)),"NOT FOUND"))</f>
        <v/>
      </c>
      <c r="J1166" s="24" t="str">
        <f aca="false">IF($D1166="","",IFERROR(INDEX(Workers!$C$5:$C$2004,MATCH($D1166,Workers!$A$5:$A$2004,0)),""))</f>
        <v/>
      </c>
      <c r="K1166" s="24" t="str">
        <f aca="false">IF($D1166="","",IFERROR(IF(INDEX(Workers!$D$5:$D$2004,MATCH($D1166,Workers!$A$5:$A$2004,0))=0,"",INDEX(Workers!$D$5:$D$2004,MATCH($D1166,Workers!$A$5:$A$2004,0))),""))</f>
        <v/>
      </c>
      <c r="L1166" s="24" t="str">
        <f aca="false">IF($D1166="","",IFERROR(INDEX(Workers!$E$5:$E$2004,MATCH($D1166,Workers!$A$5:$A$2004,0)),""))</f>
        <v/>
      </c>
      <c r="M1166" s="26" t="str">
        <f aca="false">IF($D1166="","",IFERROR(INDEX(ClientRates!$D$5:$D$500,MATCH($B1166&amp;"|"&amp;$L1166,ClientRates!$A$5:$A$500,0)),0))</f>
        <v/>
      </c>
      <c r="N1166" s="26" t="str">
        <f aca="false">IF($D1166="","",IFERROR(INDEX(ClientRates!$E$5:$E$500,MATCH($B1166&amp;"|"&amp;$L1166,ClientRates!$A$5:$A$500,0)),0))</f>
        <v/>
      </c>
      <c r="O1166" s="26" t="str">
        <f aca="false">IF($D1166="","",F1166*M1166+G1166*N1166)</f>
        <v/>
      </c>
      <c r="P1166" s="26" t="str">
        <f aca="false">IF(OR($D1166="",$J1166&lt;&gt;"Supplier"),"",IFERROR(INDEX(SupplierRates!$D$5:$D$500,MATCH($K1166&amp;"|"&amp;$L1166,SupplierRates!$A$5:$A$500,0)),0))</f>
        <v/>
      </c>
      <c r="Q1166" s="26" t="str">
        <f aca="false">IF(OR($D1166="",$J1166&lt;&gt;"Supplier"),"",IFERROR(INDEX(SupplierRates!$E$5:$E$500,MATCH($K1166&amp;"|"&amp;$L1166,SupplierRates!$A$5:$A$500,0)),0))</f>
        <v/>
      </c>
      <c r="R1166" s="26" t="n">
        <f aca="false">IF(OR($D1166="",$J1166&lt;&gt;"Supplier"),0,F1166*P1166+G1166*Q1166)</f>
        <v>0</v>
      </c>
      <c r="S1166" s="26" t="n">
        <f aca="false">IF(OR($D1166="",$J1166&lt;&gt;"Own"),0,IFERROR((F1166+G1166*Settings!$B$13)*INDEX(Workers!$V$5:$V$2004,MATCH($D1166,Workers!$A$5:$A$2004,0)),0))</f>
        <v>0</v>
      </c>
      <c r="T1166" s="26" t="str">
        <f aca="false">IF($D1166="","",O1166-R1166-S1166)</f>
        <v/>
      </c>
    </row>
    <row r="1167" customFormat="false" ht="15" hidden="false" customHeight="false" outlineLevel="0" collapsed="false">
      <c r="I1167" s="24" t="str">
        <f aca="false">IF($D1167="","",IFERROR(INDEX(Workers!$B$5:$B$2004,MATCH($D1167,Workers!$A$5:$A$2004,0)),"NOT FOUND"))</f>
        <v/>
      </c>
      <c r="J1167" s="24" t="str">
        <f aca="false">IF($D1167="","",IFERROR(INDEX(Workers!$C$5:$C$2004,MATCH($D1167,Workers!$A$5:$A$2004,0)),""))</f>
        <v/>
      </c>
      <c r="K1167" s="24" t="str">
        <f aca="false">IF($D1167="","",IFERROR(IF(INDEX(Workers!$D$5:$D$2004,MATCH($D1167,Workers!$A$5:$A$2004,0))=0,"",INDEX(Workers!$D$5:$D$2004,MATCH($D1167,Workers!$A$5:$A$2004,0))),""))</f>
        <v/>
      </c>
      <c r="L1167" s="24" t="str">
        <f aca="false">IF($D1167="","",IFERROR(INDEX(Workers!$E$5:$E$2004,MATCH($D1167,Workers!$A$5:$A$2004,0)),""))</f>
        <v/>
      </c>
      <c r="M1167" s="26" t="str">
        <f aca="false">IF($D1167="","",IFERROR(INDEX(ClientRates!$D$5:$D$500,MATCH($B1167&amp;"|"&amp;$L1167,ClientRates!$A$5:$A$500,0)),0))</f>
        <v/>
      </c>
      <c r="N1167" s="26" t="str">
        <f aca="false">IF($D1167="","",IFERROR(INDEX(ClientRates!$E$5:$E$500,MATCH($B1167&amp;"|"&amp;$L1167,ClientRates!$A$5:$A$500,0)),0))</f>
        <v/>
      </c>
      <c r="O1167" s="26" t="str">
        <f aca="false">IF($D1167="","",F1167*M1167+G1167*N1167)</f>
        <v/>
      </c>
      <c r="P1167" s="26" t="str">
        <f aca="false">IF(OR($D1167="",$J1167&lt;&gt;"Supplier"),"",IFERROR(INDEX(SupplierRates!$D$5:$D$500,MATCH($K1167&amp;"|"&amp;$L1167,SupplierRates!$A$5:$A$500,0)),0))</f>
        <v/>
      </c>
      <c r="Q1167" s="26" t="str">
        <f aca="false">IF(OR($D1167="",$J1167&lt;&gt;"Supplier"),"",IFERROR(INDEX(SupplierRates!$E$5:$E$500,MATCH($K1167&amp;"|"&amp;$L1167,SupplierRates!$A$5:$A$500,0)),0))</f>
        <v/>
      </c>
      <c r="R1167" s="26" t="n">
        <f aca="false">IF(OR($D1167="",$J1167&lt;&gt;"Supplier"),0,F1167*P1167+G1167*Q1167)</f>
        <v>0</v>
      </c>
      <c r="S1167" s="26" t="n">
        <f aca="false">IF(OR($D1167="",$J1167&lt;&gt;"Own"),0,IFERROR((F1167+G1167*Settings!$B$13)*INDEX(Workers!$V$5:$V$2004,MATCH($D1167,Workers!$A$5:$A$2004,0)),0))</f>
        <v>0</v>
      </c>
      <c r="T1167" s="26" t="str">
        <f aca="false">IF($D1167="","",O1167-R1167-S1167)</f>
        <v/>
      </c>
    </row>
    <row r="1168" customFormat="false" ht="15" hidden="false" customHeight="false" outlineLevel="0" collapsed="false">
      <c r="I1168" s="24" t="str">
        <f aca="false">IF($D1168="","",IFERROR(INDEX(Workers!$B$5:$B$2004,MATCH($D1168,Workers!$A$5:$A$2004,0)),"NOT FOUND"))</f>
        <v/>
      </c>
      <c r="J1168" s="24" t="str">
        <f aca="false">IF($D1168="","",IFERROR(INDEX(Workers!$C$5:$C$2004,MATCH($D1168,Workers!$A$5:$A$2004,0)),""))</f>
        <v/>
      </c>
      <c r="K1168" s="24" t="str">
        <f aca="false">IF($D1168="","",IFERROR(IF(INDEX(Workers!$D$5:$D$2004,MATCH($D1168,Workers!$A$5:$A$2004,0))=0,"",INDEX(Workers!$D$5:$D$2004,MATCH($D1168,Workers!$A$5:$A$2004,0))),""))</f>
        <v/>
      </c>
      <c r="L1168" s="24" t="str">
        <f aca="false">IF($D1168="","",IFERROR(INDEX(Workers!$E$5:$E$2004,MATCH($D1168,Workers!$A$5:$A$2004,0)),""))</f>
        <v/>
      </c>
      <c r="M1168" s="26" t="str">
        <f aca="false">IF($D1168="","",IFERROR(INDEX(ClientRates!$D$5:$D$500,MATCH($B1168&amp;"|"&amp;$L1168,ClientRates!$A$5:$A$500,0)),0))</f>
        <v/>
      </c>
      <c r="N1168" s="26" t="str">
        <f aca="false">IF($D1168="","",IFERROR(INDEX(ClientRates!$E$5:$E$500,MATCH($B1168&amp;"|"&amp;$L1168,ClientRates!$A$5:$A$500,0)),0))</f>
        <v/>
      </c>
      <c r="O1168" s="26" t="str">
        <f aca="false">IF($D1168="","",F1168*M1168+G1168*N1168)</f>
        <v/>
      </c>
      <c r="P1168" s="26" t="str">
        <f aca="false">IF(OR($D1168="",$J1168&lt;&gt;"Supplier"),"",IFERROR(INDEX(SupplierRates!$D$5:$D$500,MATCH($K1168&amp;"|"&amp;$L1168,SupplierRates!$A$5:$A$500,0)),0))</f>
        <v/>
      </c>
      <c r="Q1168" s="26" t="str">
        <f aca="false">IF(OR($D1168="",$J1168&lt;&gt;"Supplier"),"",IFERROR(INDEX(SupplierRates!$E$5:$E$500,MATCH($K1168&amp;"|"&amp;$L1168,SupplierRates!$A$5:$A$500,0)),0))</f>
        <v/>
      </c>
      <c r="R1168" s="26" t="n">
        <f aca="false">IF(OR($D1168="",$J1168&lt;&gt;"Supplier"),0,F1168*P1168+G1168*Q1168)</f>
        <v>0</v>
      </c>
      <c r="S1168" s="26" t="n">
        <f aca="false">IF(OR($D1168="",$J1168&lt;&gt;"Own"),0,IFERROR((F1168+G1168*Settings!$B$13)*INDEX(Workers!$V$5:$V$2004,MATCH($D1168,Workers!$A$5:$A$2004,0)),0))</f>
        <v>0</v>
      </c>
      <c r="T1168" s="26" t="str">
        <f aca="false">IF($D1168="","",O1168-R1168-S1168)</f>
        <v/>
      </c>
    </row>
    <row r="1169" customFormat="false" ht="15" hidden="false" customHeight="false" outlineLevel="0" collapsed="false">
      <c r="I1169" s="24" t="str">
        <f aca="false">IF($D1169="","",IFERROR(INDEX(Workers!$B$5:$B$2004,MATCH($D1169,Workers!$A$5:$A$2004,0)),"NOT FOUND"))</f>
        <v/>
      </c>
      <c r="J1169" s="24" t="str">
        <f aca="false">IF($D1169="","",IFERROR(INDEX(Workers!$C$5:$C$2004,MATCH($D1169,Workers!$A$5:$A$2004,0)),""))</f>
        <v/>
      </c>
      <c r="K1169" s="24" t="str">
        <f aca="false">IF($D1169="","",IFERROR(IF(INDEX(Workers!$D$5:$D$2004,MATCH($D1169,Workers!$A$5:$A$2004,0))=0,"",INDEX(Workers!$D$5:$D$2004,MATCH($D1169,Workers!$A$5:$A$2004,0))),""))</f>
        <v/>
      </c>
      <c r="L1169" s="24" t="str">
        <f aca="false">IF($D1169="","",IFERROR(INDEX(Workers!$E$5:$E$2004,MATCH($D1169,Workers!$A$5:$A$2004,0)),""))</f>
        <v/>
      </c>
      <c r="M1169" s="26" t="str">
        <f aca="false">IF($D1169="","",IFERROR(INDEX(ClientRates!$D$5:$D$500,MATCH($B1169&amp;"|"&amp;$L1169,ClientRates!$A$5:$A$500,0)),0))</f>
        <v/>
      </c>
      <c r="N1169" s="26" t="str">
        <f aca="false">IF($D1169="","",IFERROR(INDEX(ClientRates!$E$5:$E$500,MATCH($B1169&amp;"|"&amp;$L1169,ClientRates!$A$5:$A$500,0)),0))</f>
        <v/>
      </c>
      <c r="O1169" s="26" t="str">
        <f aca="false">IF($D1169="","",F1169*M1169+G1169*N1169)</f>
        <v/>
      </c>
      <c r="P1169" s="26" t="str">
        <f aca="false">IF(OR($D1169="",$J1169&lt;&gt;"Supplier"),"",IFERROR(INDEX(SupplierRates!$D$5:$D$500,MATCH($K1169&amp;"|"&amp;$L1169,SupplierRates!$A$5:$A$500,0)),0))</f>
        <v/>
      </c>
      <c r="Q1169" s="26" t="str">
        <f aca="false">IF(OR($D1169="",$J1169&lt;&gt;"Supplier"),"",IFERROR(INDEX(SupplierRates!$E$5:$E$500,MATCH($K1169&amp;"|"&amp;$L1169,SupplierRates!$A$5:$A$500,0)),0))</f>
        <v/>
      </c>
      <c r="R1169" s="26" t="n">
        <f aca="false">IF(OR($D1169="",$J1169&lt;&gt;"Supplier"),0,F1169*P1169+G1169*Q1169)</f>
        <v>0</v>
      </c>
      <c r="S1169" s="26" t="n">
        <f aca="false">IF(OR($D1169="",$J1169&lt;&gt;"Own"),0,IFERROR((F1169+G1169*Settings!$B$13)*INDEX(Workers!$V$5:$V$2004,MATCH($D1169,Workers!$A$5:$A$2004,0)),0))</f>
        <v>0</v>
      </c>
      <c r="T1169" s="26" t="str">
        <f aca="false">IF($D1169="","",O1169-R1169-S1169)</f>
        <v/>
      </c>
    </row>
    <row r="1170" customFormat="false" ht="15" hidden="false" customHeight="false" outlineLevel="0" collapsed="false">
      <c r="I1170" s="24" t="str">
        <f aca="false">IF($D1170="","",IFERROR(INDEX(Workers!$B$5:$B$2004,MATCH($D1170,Workers!$A$5:$A$2004,0)),"NOT FOUND"))</f>
        <v/>
      </c>
      <c r="J1170" s="24" t="str">
        <f aca="false">IF($D1170="","",IFERROR(INDEX(Workers!$C$5:$C$2004,MATCH($D1170,Workers!$A$5:$A$2004,0)),""))</f>
        <v/>
      </c>
      <c r="K1170" s="24" t="str">
        <f aca="false">IF($D1170="","",IFERROR(IF(INDEX(Workers!$D$5:$D$2004,MATCH($D1170,Workers!$A$5:$A$2004,0))=0,"",INDEX(Workers!$D$5:$D$2004,MATCH($D1170,Workers!$A$5:$A$2004,0))),""))</f>
        <v/>
      </c>
      <c r="L1170" s="24" t="str">
        <f aca="false">IF($D1170="","",IFERROR(INDEX(Workers!$E$5:$E$2004,MATCH($D1170,Workers!$A$5:$A$2004,0)),""))</f>
        <v/>
      </c>
      <c r="M1170" s="26" t="str">
        <f aca="false">IF($D1170="","",IFERROR(INDEX(ClientRates!$D$5:$D$500,MATCH($B1170&amp;"|"&amp;$L1170,ClientRates!$A$5:$A$500,0)),0))</f>
        <v/>
      </c>
      <c r="N1170" s="26" t="str">
        <f aca="false">IF($D1170="","",IFERROR(INDEX(ClientRates!$E$5:$E$500,MATCH($B1170&amp;"|"&amp;$L1170,ClientRates!$A$5:$A$500,0)),0))</f>
        <v/>
      </c>
      <c r="O1170" s="26" t="str">
        <f aca="false">IF($D1170="","",F1170*M1170+G1170*N1170)</f>
        <v/>
      </c>
      <c r="P1170" s="26" t="str">
        <f aca="false">IF(OR($D1170="",$J1170&lt;&gt;"Supplier"),"",IFERROR(INDEX(SupplierRates!$D$5:$D$500,MATCH($K1170&amp;"|"&amp;$L1170,SupplierRates!$A$5:$A$500,0)),0))</f>
        <v/>
      </c>
      <c r="Q1170" s="26" t="str">
        <f aca="false">IF(OR($D1170="",$J1170&lt;&gt;"Supplier"),"",IFERROR(INDEX(SupplierRates!$E$5:$E$500,MATCH($K1170&amp;"|"&amp;$L1170,SupplierRates!$A$5:$A$500,0)),0))</f>
        <v/>
      </c>
      <c r="R1170" s="26" t="n">
        <f aca="false">IF(OR($D1170="",$J1170&lt;&gt;"Supplier"),0,F1170*P1170+G1170*Q1170)</f>
        <v>0</v>
      </c>
      <c r="S1170" s="26" t="n">
        <f aca="false">IF(OR($D1170="",$J1170&lt;&gt;"Own"),0,IFERROR((F1170+G1170*Settings!$B$13)*INDEX(Workers!$V$5:$V$2004,MATCH($D1170,Workers!$A$5:$A$2004,0)),0))</f>
        <v>0</v>
      </c>
      <c r="T1170" s="26" t="str">
        <f aca="false">IF($D1170="","",O1170-R1170-S1170)</f>
        <v/>
      </c>
    </row>
    <row r="1171" customFormat="false" ht="15" hidden="false" customHeight="false" outlineLevel="0" collapsed="false">
      <c r="I1171" s="24" t="str">
        <f aca="false">IF($D1171="","",IFERROR(INDEX(Workers!$B$5:$B$2004,MATCH($D1171,Workers!$A$5:$A$2004,0)),"NOT FOUND"))</f>
        <v/>
      </c>
      <c r="J1171" s="24" t="str">
        <f aca="false">IF($D1171="","",IFERROR(INDEX(Workers!$C$5:$C$2004,MATCH($D1171,Workers!$A$5:$A$2004,0)),""))</f>
        <v/>
      </c>
      <c r="K1171" s="24" t="str">
        <f aca="false">IF($D1171="","",IFERROR(IF(INDEX(Workers!$D$5:$D$2004,MATCH($D1171,Workers!$A$5:$A$2004,0))=0,"",INDEX(Workers!$D$5:$D$2004,MATCH($D1171,Workers!$A$5:$A$2004,0))),""))</f>
        <v/>
      </c>
      <c r="L1171" s="24" t="str">
        <f aca="false">IF($D1171="","",IFERROR(INDEX(Workers!$E$5:$E$2004,MATCH($D1171,Workers!$A$5:$A$2004,0)),""))</f>
        <v/>
      </c>
      <c r="M1171" s="26" t="str">
        <f aca="false">IF($D1171="","",IFERROR(INDEX(ClientRates!$D$5:$D$500,MATCH($B1171&amp;"|"&amp;$L1171,ClientRates!$A$5:$A$500,0)),0))</f>
        <v/>
      </c>
      <c r="N1171" s="26" t="str">
        <f aca="false">IF($D1171="","",IFERROR(INDEX(ClientRates!$E$5:$E$500,MATCH($B1171&amp;"|"&amp;$L1171,ClientRates!$A$5:$A$500,0)),0))</f>
        <v/>
      </c>
      <c r="O1171" s="26" t="str">
        <f aca="false">IF($D1171="","",F1171*M1171+G1171*N1171)</f>
        <v/>
      </c>
      <c r="P1171" s="26" t="str">
        <f aca="false">IF(OR($D1171="",$J1171&lt;&gt;"Supplier"),"",IFERROR(INDEX(SupplierRates!$D$5:$D$500,MATCH($K1171&amp;"|"&amp;$L1171,SupplierRates!$A$5:$A$500,0)),0))</f>
        <v/>
      </c>
      <c r="Q1171" s="26" t="str">
        <f aca="false">IF(OR($D1171="",$J1171&lt;&gt;"Supplier"),"",IFERROR(INDEX(SupplierRates!$E$5:$E$500,MATCH($K1171&amp;"|"&amp;$L1171,SupplierRates!$A$5:$A$500,0)),0))</f>
        <v/>
      </c>
      <c r="R1171" s="26" t="n">
        <f aca="false">IF(OR($D1171="",$J1171&lt;&gt;"Supplier"),0,F1171*P1171+G1171*Q1171)</f>
        <v>0</v>
      </c>
      <c r="S1171" s="26" t="n">
        <f aca="false">IF(OR($D1171="",$J1171&lt;&gt;"Own"),0,IFERROR((F1171+G1171*Settings!$B$13)*INDEX(Workers!$V$5:$V$2004,MATCH($D1171,Workers!$A$5:$A$2004,0)),0))</f>
        <v>0</v>
      </c>
      <c r="T1171" s="26" t="str">
        <f aca="false">IF($D1171="","",O1171-R1171-S1171)</f>
        <v/>
      </c>
    </row>
    <row r="1172" customFormat="false" ht="15" hidden="false" customHeight="false" outlineLevel="0" collapsed="false">
      <c r="I1172" s="24" t="str">
        <f aca="false">IF($D1172="","",IFERROR(INDEX(Workers!$B$5:$B$2004,MATCH($D1172,Workers!$A$5:$A$2004,0)),"NOT FOUND"))</f>
        <v/>
      </c>
      <c r="J1172" s="24" t="str">
        <f aca="false">IF($D1172="","",IFERROR(INDEX(Workers!$C$5:$C$2004,MATCH($D1172,Workers!$A$5:$A$2004,0)),""))</f>
        <v/>
      </c>
      <c r="K1172" s="24" t="str">
        <f aca="false">IF($D1172="","",IFERROR(IF(INDEX(Workers!$D$5:$D$2004,MATCH($D1172,Workers!$A$5:$A$2004,0))=0,"",INDEX(Workers!$D$5:$D$2004,MATCH($D1172,Workers!$A$5:$A$2004,0))),""))</f>
        <v/>
      </c>
      <c r="L1172" s="24" t="str">
        <f aca="false">IF($D1172="","",IFERROR(INDEX(Workers!$E$5:$E$2004,MATCH($D1172,Workers!$A$5:$A$2004,0)),""))</f>
        <v/>
      </c>
      <c r="M1172" s="26" t="str">
        <f aca="false">IF($D1172="","",IFERROR(INDEX(ClientRates!$D$5:$D$500,MATCH($B1172&amp;"|"&amp;$L1172,ClientRates!$A$5:$A$500,0)),0))</f>
        <v/>
      </c>
      <c r="N1172" s="26" t="str">
        <f aca="false">IF($D1172="","",IFERROR(INDEX(ClientRates!$E$5:$E$500,MATCH($B1172&amp;"|"&amp;$L1172,ClientRates!$A$5:$A$500,0)),0))</f>
        <v/>
      </c>
      <c r="O1172" s="26" t="str">
        <f aca="false">IF($D1172="","",F1172*M1172+G1172*N1172)</f>
        <v/>
      </c>
      <c r="P1172" s="26" t="str">
        <f aca="false">IF(OR($D1172="",$J1172&lt;&gt;"Supplier"),"",IFERROR(INDEX(SupplierRates!$D$5:$D$500,MATCH($K1172&amp;"|"&amp;$L1172,SupplierRates!$A$5:$A$500,0)),0))</f>
        <v/>
      </c>
      <c r="Q1172" s="26" t="str">
        <f aca="false">IF(OR($D1172="",$J1172&lt;&gt;"Supplier"),"",IFERROR(INDEX(SupplierRates!$E$5:$E$500,MATCH($K1172&amp;"|"&amp;$L1172,SupplierRates!$A$5:$A$500,0)),0))</f>
        <v/>
      </c>
      <c r="R1172" s="26" t="n">
        <f aca="false">IF(OR($D1172="",$J1172&lt;&gt;"Supplier"),0,F1172*P1172+G1172*Q1172)</f>
        <v>0</v>
      </c>
      <c r="S1172" s="26" t="n">
        <f aca="false">IF(OR($D1172="",$J1172&lt;&gt;"Own"),0,IFERROR((F1172+G1172*Settings!$B$13)*INDEX(Workers!$V$5:$V$2004,MATCH($D1172,Workers!$A$5:$A$2004,0)),0))</f>
        <v>0</v>
      </c>
      <c r="T1172" s="26" t="str">
        <f aca="false">IF($D1172="","",O1172-R1172-S1172)</f>
        <v/>
      </c>
    </row>
    <row r="1173" customFormat="false" ht="15" hidden="false" customHeight="false" outlineLevel="0" collapsed="false">
      <c r="I1173" s="24" t="str">
        <f aca="false">IF($D1173="","",IFERROR(INDEX(Workers!$B$5:$B$2004,MATCH($D1173,Workers!$A$5:$A$2004,0)),"NOT FOUND"))</f>
        <v/>
      </c>
      <c r="J1173" s="24" t="str">
        <f aca="false">IF($D1173="","",IFERROR(INDEX(Workers!$C$5:$C$2004,MATCH($D1173,Workers!$A$5:$A$2004,0)),""))</f>
        <v/>
      </c>
      <c r="K1173" s="24" t="str">
        <f aca="false">IF($D1173="","",IFERROR(IF(INDEX(Workers!$D$5:$D$2004,MATCH($D1173,Workers!$A$5:$A$2004,0))=0,"",INDEX(Workers!$D$5:$D$2004,MATCH($D1173,Workers!$A$5:$A$2004,0))),""))</f>
        <v/>
      </c>
      <c r="L1173" s="24" t="str">
        <f aca="false">IF($D1173="","",IFERROR(INDEX(Workers!$E$5:$E$2004,MATCH($D1173,Workers!$A$5:$A$2004,0)),""))</f>
        <v/>
      </c>
      <c r="M1173" s="26" t="str">
        <f aca="false">IF($D1173="","",IFERROR(INDEX(ClientRates!$D$5:$D$500,MATCH($B1173&amp;"|"&amp;$L1173,ClientRates!$A$5:$A$500,0)),0))</f>
        <v/>
      </c>
      <c r="N1173" s="26" t="str">
        <f aca="false">IF($D1173="","",IFERROR(INDEX(ClientRates!$E$5:$E$500,MATCH($B1173&amp;"|"&amp;$L1173,ClientRates!$A$5:$A$500,0)),0))</f>
        <v/>
      </c>
      <c r="O1173" s="26" t="str">
        <f aca="false">IF($D1173="","",F1173*M1173+G1173*N1173)</f>
        <v/>
      </c>
      <c r="P1173" s="26" t="str">
        <f aca="false">IF(OR($D1173="",$J1173&lt;&gt;"Supplier"),"",IFERROR(INDEX(SupplierRates!$D$5:$D$500,MATCH($K1173&amp;"|"&amp;$L1173,SupplierRates!$A$5:$A$500,0)),0))</f>
        <v/>
      </c>
      <c r="Q1173" s="26" t="str">
        <f aca="false">IF(OR($D1173="",$J1173&lt;&gt;"Supplier"),"",IFERROR(INDEX(SupplierRates!$E$5:$E$500,MATCH($K1173&amp;"|"&amp;$L1173,SupplierRates!$A$5:$A$500,0)),0))</f>
        <v/>
      </c>
      <c r="R1173" s="26" t="n">
        <f aca="false">IF(OR($D1173="",$J1173&lt;&gt;"Supplier"),0,F1173*P1173+G1173*Q1173)</f>
        <v>0</v>
      </c>
      <c r="S1173" s="26" t="n">
        <f aca="false">IF(OR($D1173="",$J1173&lt;&gt;"Own"),0,IFERROR((F1173+G1173*Settings!$B$13)*INDEX(Workers!$V$5:$V$2004,MATCH($D1173,Workers!$A$5:$A$2004,0)),0))</f>
        <v>0</v>
      </c>
      <c r="T1173" s="26" t="str">
        <f aca="false">IF($D1173="","",O1173-R1173-S1173)</f>
        <v/>
      </c>
    </row>
    <row r="1174" customFormat="false" ht="15" hidden="false" customHeight="false" outlineLevel="0" collapsed="false">
      <c r="I1174" s="24" t="str">
        <f aca="false">IF($D1174="","",IFERROR(INDEX(Workers!$B$5:$B$2004,MATCH($D1174,Workers!$A$5:$A$2004,0)),"NOT FOUND"))</f>
        <v/>
      </c>
      <c r="J1174" s="24" t="str">
        <f aca="false">IF($D1174="","",IFERROR(INDEX(Workers!$C$5:$C$2004,MATCH($D1174,Workers!$A$5:$A$2004,0)),""))</f>
        <v/>
      </c>
      <c r="K1174" s="24" t="str">
        <f aca="false">IF($D1174="","",IFERROR(IF(INDEX(Workers!$D$5:$D$2004,MATCH($D1174,Workers!$A$5:$A$2004,0))=0,"",INDEX(Workers!$D$5:$D$2004,MATCH($D1174,Workers!$A$5:$A$2004,0))),""))</f>
        <v/>
      </c>
      <c r="L1174" s="24" t="str">
        <f aca="false">IF($D1174="","",IFERROR(INDEX(Workers!$E$5:$E$2004,MATCH($D1174,Workers!$A$5:$A$2004,0)),""))</f>
        <v/>
      </c>
      <c r="M1174" s="26" t="str">
        <f aca="false">IF($D1174="","",IFERROR(INDEX(ClientRates!$D$5:$D$500,MATCH($B1174&amp;"|"&amp;$L1174,ClientRates!$A$5:$A$500,0)),0))</f>
        <v/>
      </c>
      <c r="N1174" s="26" t="str">
        <f aca="false">IF($D1174="","",IFERROR(INDEX(ClientRates!$E$5:$E$500,MATCH($B1174&amp;"|"&amp;$L1174,ClientRates!$A$5:$A$500,0)),0))</f>
        <v/>
      </c>
      <c r="O1174" s="26" t="str">
        <f aca="false">IF($D1174="","",F1174*M1174+G1174*N1174)</f>
        <v/>
      </c>
      <c r="P1174" s="26" t="str">
        <f aca="false">IF(OR($D1174="",$J1174&lt;&gt;"Supplier"),"",IFERROR(INDEX(SupplierRates!$D$5:$D$500,MATCH($K1174&amp;"|"&amp;$L1174,SupplierRates!$A$5:$A$500,0)),0))</f>
        <v/>
      </c>
      <c r="Q1174" s="26" t="str">
        <f aca="false">IF(OR($D1174="",$J1174&lt;&gt;"Supplier"),"",IFERROR(INDEX(SupplierRates!$E$5:$E$500,MATCH($K1174&amp;"|"&amp;$L1174,SupplierRates!$A$5:$A$500,0)),0))</f>
        <v/>
      </c>
      <c r="R1174" s="26" t="n">
        <f aca="false">IF(OR($D1174="",$J1174&lt;&gt;"Supplier"),0,F1174*P1174+G1174*Q1174)</f>
        <v>0</v>
      </c>
      <c r="S1174" s="26" t="n">
        <f aca="false">IF(OR($D1174="",$J1174&lt;&gt;"Own"),0,IFERROR((F1174+G1174*Settings!$B$13)*INDEX(Workers!$V$5:$V$2004,MATCH($D1174,Workers!$A$5:$A$2004,0)),0))</f>
        <v>0</v>
      </c>
      <c r="T1174" s="26" t="str">
        <f aca="false">IF($D1174="","",O1174-R1174-S1174)</f>
        <v/>
      </c>
    </row>
    <row r="1175" customFormat="false" ht="15" hidden="false" customHeight="false" outlineLevel="0" collapsed="false">
      <c r="I1175" s="24" t="str">
        <f aca="false">IF($D1175="","",IFERROR(INDEX(Workers!$B$5:$B$2004,MATCH($D1175,Workers!$A$5:$A$2004,0)),"NOT FOUND"))</f>
        <v/>
      </c>
      <c r="J1175" s="24" t="str">
        <f aca="false">IF($D1175="","",IFERROR(INDEX(Workers!$C$5:$C$2004,MATCH($D1175,Workers!$A$5:$A$2004,0)),""))</f>
        <v/>
      </c>
      <c r="K1175" s="24" t="str">
        <f aca="false">IF($D1175="","",IFERROR(IF(INDEX(Workers!$D$5:$D$2004,MATCH($D1175,Workers!$A$5:$A$2004,0))=0,"",INDEX(Workers!$D$5:$D$2004,MATCH($D1175,Workers!$A$5:$A$2004,0))),""))</f>
        <v/>
      </c>
      <c r="L1175" s="24" t="str">
        <f aca="false">IF($D1175="","",IFERROR(INDEX(Workers!$E$5:$E$2004,MATCH($D1175,Workers!$A$5:$A$2004,0)),""))</f>
        <v/>
      </c>
      <c r="M1175" s="26" t="str">
        <f aca="false">IF($D1175="","",IFERROR(INDEX(ClientRates!$D$5:$D$500,MATCH($B1175&amp;"|"&amp;$L1175,ClientRates!$A$5:$A$500,0)),0))</f>
        <v/>
      </c>
      <c r="N1175" s="26" t="str">
        <f aca="false">IF($D1175="","",IFERROR(INDEX(ClientRates!$E$5:$E$500,MATCH($B1175&amp;"|"&amp;$L1175,ClientRates!$A$5:$A$500,0)),0))</f>
        <v/>
      </c>
      <c r="O1175" s="26" t="str">
        <f aca="false">IF($D1175="","",F1175*M1175+G1175*N1175)</f>
        <v/>
      </c>
      <c r="P1175" s="26" t="str">
        <f aca="false">IF(OR($D1175="",$J1175&lt;&gt;"Supplier"),"",IFERROR(INDEX(SupplierRates!$D$5:$D$500,MATCH($K1175&amp;"|"&amp;$L1175,SupplierRates!$A$5:$A$500,0)),0))</f>
        <v/>
      </c>
      <c r="Q1175" s="26" t="str">
        <f aca="false">IF(OR($D1175="",$J1175&lt;&gt;"Supplier"),"",IFERROR(INDEX(SupplierRates!$E$5:$E$500,MATCH($K1175&amp;"|"&amp;$L1175,SupplierRates!$A$5:$A$500,0)),0))</f>
        <v/>
      </c>
      <c r="R1175" s="26" t="n">
        <f aca="false">IF(OR($D1175="",$J1175&lt;&gt;"Supplier"),0,F1175*P1175+G1175*Q1175)</f>
        <v>0</v>
      </c>
      <c r="S1175" s="26" t="n">
        <f aca="false">IF(OR($D1175="",$J1175&lt;&gt;"Own"),0,IFERROR((F1175+G1175*Settings!$B$13)*INDEX(Workers!$V$5:$V$2004,MATCH($D1175,Workers!$A$5:$A$2004,0)),0))</f>
        <v>0</v>
      </c>
      <c r="T1175" s="26" t="str">
        <f aca="false">IF($D1175="","",O1175-R1175-S1175)</f>
        <v/>
      </c>
    </row>
    <row r="1176" customFormat="false" ht="15" hidden="false" customHeight="false" outlineLevel="0" collapsed="false">
      <c r="I1176" s="24" t="str">
        <f aca="false">IF($D1176="","",IFERROR(INDEX(Workers!$B$5:$B$2004,MATCH($D1176,Workers!$A$5:$A$2004,0)),"NOT FOUND"))</f>
        <v/>
      </c>
      <c r="J1176" s="24" t="str">
        <f aca="false">IF($D1176="","",IFERROR(INDEX(Workers!$C$5:$C$2004,MATCH($D1176,Workers!$A$5:$A$2004,0)),""))</f>
        <v/>
      </c>
      <c r="K1176" s="24" t="str">
        <f aca="false">IF($D1176="","",IFERROR(IF(INDEX(Workers!$D$5:$D$2004,MATCH($D1176,Workers!$A$5:$A$2004,0))=0,"",INDEX(Workers!$D$5:$D$2004,MATCH($D1176,Workers!$A$5:$A$2004,0))),""))</f>
        <v/>
      </c>
      <c r="L1176" s="24" t="str">
        <f aca="false">IF($D1176="","",IFERROR(INDEX(Workers!$E$5:$E$2004,MATCH($D1176,Workers!$A$5:$A$2004,0)),""))</f>
        <v/>
      </c>
      <c r="M1176" s="26" t="str">
        <f aca="false">IF($D1176="","",IFERROR(INDEX(ClientRates!$D$5:$D$500,MATCH($B1176&amp;"|"&amp;$L1176,ClientRates!$A$5:$A$500,0)),0))</f>
        <v/>
      </c>
      <c r="N1176" s="26" t="str">
        <f aca="false">IF($D1176="","",IFERROR(INDEX(ClientRates!$E$5:$E$500,MATCH($B1176&amp;"|"&amp;$L1176,ClientRates!$A$5:$A$500,0)),0))</f>
        <v/>
      </c>
      <c r="O1176" s="26" t="str">
        <f aca="false">IF($D1176="","",F1176*M1176+G1176*N1176)</f>
        <v/>
      </c>
      <c r="P1176" s="26" t="str">
        <f aca="false">IF(OR($D1176="",$J1176&lt;&gt;"Supplier"),"",IFERROR(INDEX(SupplierRates!$D$5:$D$500,MATCH($K1176&amp;"|"&amp;$L1176,SupplierRates!$A$5:$A$500,0)),0))</f>
        <v/>
      </c>
      <c r="Q1176" s="26" t="str">
        <f aca="false">IF(OR($D1176="",$J1176&lt;&gt;"Supplier"),"",IFERROR(INDEX(SupplierRates!$E$5:$E$500,MATCH($K1176&amp;"|"&amp;$L1176,SupplierRates!$A$5:$A$500,0)),0))</f>
        <v/>
      </c>
      <c r="R1176" s="26" t="n">
        <f aca="false">IF(OR($D1176="",$J1176&lt;&gt;"Supplier"),0,F1176*P1176+G1176*Q1176)</f>
        <v>0</v>
      </c>
      <c r="S1176" s="26" t="n">
        <f aca="false">IF(OR($D1176="",$J1176&lt;&gt;"Own"),0,IFERROR((F1176+G1176*Settings!$B$13)*INDEX(Workers!$V$5:$V$2004,MATCH($D1176,Workers!$A$5:$A$2004,0)),0))</f>
        <v>0</v>
      </c>
      <c r="T1176" s="26" t="str">
        <f aca="false">IF($D1176="","",O1176-R1176-S1176)</f>
        <v/>
      </c>
    </row>
    <row r="1177" customFormat="false" ht="15" hidden="false" customHeight="false" outlineLevel="0" collapsed="false">
      <c r="I1177" s="24" t="str">
        <f aca="false">IF($D1177="","",IFERROR(INDEX(Workers!$B$5:$B$2004,MATCH($D1177,Workers!$A$5:$A$2004,0)),"NOT FOUND"))</f>
        <v/>
      </c>
      <c r="J1177" s="24" t="str">
        <f aca="false">IF($D1177="","",IFERROR(INDEX(Workers!$C$5:$C$2004,MATCH($D1177,Workers!$A$5:$A$2004,0)),""))</f>
        <v/>
      </c>
      <c r="K1177" s="24" t="str">
        <f aca="false">IF($D1177="","",IFERROR(IF(INDEX(Workers!$D$5:$D$2004,MATCH($D1177,Workers!$A$5:$A$2004,0))=0,"",INDEX(Workers!$D$5:$D$2004,MATCH($D1177,Workers!$A$5:$A$2004,0))),""))</f>
        <v/>
      </c>
      <c r="L1177" s="24" t="str">
        <f aca="false">IF($D1177="","",IFERROR(INDEX(Workers!$E$5:$E$2004,MATCH($D1177,Workers!$A$5:$A$2004,0)),""))</f>
        <v/>
      </c>
      <c r="M1177" s="26" t="str">
        <f aca="false">IF($D1177="","",IFERROR(INDEX(ClientRates!$D$5:$D$500,MATCH($B1177&amp;"|"&amp;$L1177,ClientRates!$A$5:$A$500,0)),0))</f>
        <v/>
      </c>
      <c r="N1177" s="26" t="str">
        <f aca="false">IF($D1177="","",IFERROR(INDEX(ClientRates!$E$5:$E$500,MATCH($B1177&amp;"|"&amp;$L1177,ClientRates!$A$5:$A$500,0)),0))</f>
        <v/>
      </c>
      <c r="O1177" s="26" t="str">
        <f aca="false">IF($D1177="","",F1177*M1177+G1177*N1177)</f>
        <v/>
      </c>
      <c r="P1177" s="26" t="str">
        <f aca="false">IF(OR($D1177="",$J1177&lt;&gt;"Supplier"),"",IFERROR(INDEX(SupplierRates!$D$5:$D$500,MATCH($K1177&amp;"|"&amp;$L1177,SupplierRates!$A$5:$A$500,0)),0))</f>
        <v/>
      </c>
      <c r="Q1177" s="26" t="str">
        <f aca="false">IF(OR($D1177="",$J1177&lt;&gt;"Supplier"),"",IFERROR(INDEX(SupplierRates!$E$5:$E$500,MATCH($K1177&amp;"|"&amp;$L1177,SupplierRates!$A$5:$A$500,0)),0))</f>
        <v/>
      </c>
      <c r="R1177" s="26" t="n">
        <f aca="false">IF(OR($D1177="",$J1177&lt;&gt;"Supplier"),0,F1177*P1177+G1177*Q1177)</f>
        <v>0</v>
      </c>
      <c r="S1177" s="26" t="n">
        <f aca="false">IF(OR($D1177="",$J1177&lt;&gt;"Own"),0,IFERROR((F1177+G1177*Settings!$B$13)*INDEX(Workers!$V$5:$V$2004,MATCH($D1177,Workers!$A$5:$A$2004,0)),0))</f>
        <v>0</v>
      </c>
      <c r="T1177" s="26" t="str">
        <f aca="false">IF($D1177="","",O1177-R1177-S1177)</f>
        <v/>
      </c>
    </row>
    <row r="1178" customFormat="false" ht="15" hidden="false" customHeight="false" outlineLevel="0" collapsed="false">
      <c r="I1178" s="24" t="str">
        <f aca="false">IF($D1178="","",IFERROR(INDEX(Workers!$B$5:$B$2004,MATCH($D1178,Workers!$A$5:$A$2004,0)),"NOT FOUND"))</f>
        <v/>
      </c>
      <c r="J1178" s="24" t="str">
        <f aca="false">IF($D1178="","",IFERROR(INDEX(Workers!$C$5:$C$2004,MATCH($D1178,Workers!$A$5:$A$2004,0)),""))</f>
        <v/>
      </c>
      <c r="K1178" s="24" t="str">
        <f aca="false">IF($D1178="","",IFERROR(IF(INDEX(Workers!$D$5:$D$2004,MATCH($D1178,Workers!$A$5:$A$2004,0))=0,"",INDEX(Workers!$D$5:$D$2004,MATCH($D1178,Workers!$A$5:$A$2004,0))),""))</f>
        <v/>
      </c>
      <c r="L1178" s="24" t="str">
        <f aca="false">IF($D1178="","",IFERROR(INDEX(Workers!$E$5:$E$2004,MATCH($D1178,Workers!$A$5:$A$2004,0)),""))</f>
        <v/>
      </c>
      <c r="M1178" s="26" t="str">
        <f aca="false">IF($D1178="","",IFERROR(INDEX(ClientRates!$D$5:$D$500,MATCH($B1178&amp;"|"&amp;$L1178,ClientRates!$A$5:$A$500,0)),0))</f>
        <v/>
      </c>
      <c r="N1178" s="26" t="str">
        <f aca="false">IF($D1178="","",IFERROR(INDEX(ClientRates!$E$5:$E$500,MATCH($B1178&amp;"|"&amp;$L1178,ClientRates!$A$5:$A$500,0)),0))</f>
        <v/>
      </c>
      <c r="O1178" s="26" t="str">
        <f aca="false">IF($D1178="","",F1178*M1178+G1178*N1178)</f>
        <v/>
      </c>
      <c r="P1178" s="26" t="str">
        <f aca="false">IF(OR($D1178="",$J1178&lt;&gt;"Supplier"),"",IFERROR(INDEX(SupplierRates!$D$5:$D$500,MATCH($K1178&amp;"|"&amp;$L1178,SupplierRates!$A$5:$A$500,0)),0))</f>
        <v/>
      </c>
      <c r="Q1178" s="26" t="str">
        <f aca="false">IF(OR($D1178="",$J1178&lt;&gt;"Supplier"),"",IFERROR(INDEX(SupplierRates!$E$5:$E$500,MATCH($K1178&amp;"|"&amp;$L1178,SupplierRates!$A$5:$A$500,0)),0))</f>
        <v/>
      </c>
      <c r="R1178" s="26" t="n">
        <f aca="false">IF(OR($D1178="",$J1178&lt;&gt;"Supplier"),0,F1178*P1178+G1178*Q1178)</f>
        <v>0</v>
      </c>
      <c r="S1178" s="26" t="n">
        <f aca="false">IF(OR($D1178="",$J1178&lt;&gt;"Own"),0,IFERROR((F1178+G1178*Settings!$B$13)*INDEX(Workers!$V$5:$V$2004,MATCH($D1178,Workers!$A$5:$A$2004,0)),0))</f>
        <v>0</v>
      </c>
      <c r="T1178" s="26" t="str">
        <f aca="false">IF($D1178="","",O1178-R1178-S1178)</f>
        <v/>
      </c>
    </row>
    <row r="1179" customFormat="false" ht="15" hidden="false" customHeight="false" outlineLevel="0" collapsed="false">
      <c r="I1179" s="24" t="str">
        <f aca="false">IF($D1179="","",IFERROR(INDEX(Workers!$B$5:$B$2004,MATCH($D1179,Workers!$A$5:$A$2004,0)),"NOT FOUND"))</f>
        <v/>
      </c>
      <c r="J1179" s="24" t="str">
        <f aca="false">IF($D1179="","",IFERROR(INDEX(Workers!$C$5:$C$2004,MATCH($D1179,Workers!$A$5:$A$2004,0)),""))</f>
        <v/>
      </c>
      <c r="K1179" s="24" t="str">
        <f aca="false">IF($D1179="","",IFERROR(IF(INDEX(Workers!$D$5:$D$2004,MATCH($D1179,Workers!$A$5:$A$2004,0))=0,"",INDEX(Workers!$D$5:$D$2004,MATCH($D1179,Workers!$A$5:$A$2004,0))),""))</f>
        <v/>
      </c>
      <c r="L1179" s="24" t="str">
        <f aca="false">IF($D1179="","",IFERROR(INDEX(Workers!$E$5:$E$2004,MATCH($D1179,Workers!$A$5:$A$2004,0)),""))</f>
        <v/>
      </c>
      <c r="M1179" s="26" t="str">
        <f aca="false">IF($D1179="","",IFERROR(INDEX(ClientRates!$D$5:$D$500,MATCH($B1179&amp;"|"&amp;$L1179,ClientRates!$A$5:$A$500,0)),0))</f>
        <v/>
      </c>
      <c r="N1179" s="26" t="str">
        <f aca="false">IF($D1179="","",IFERROR(INDEX(ClientRates!$E$5:$E$500,MATCH($B1179&amp;"|"&amp;$L1179,ClientRates!$A$5:$A$500,0)),0))</f>
        <v/>
      </c>
      <c r="O1179" s="26" t="str">
        <f aca="false">IF($D1179="","",F1179*M1179+G1179*N1179)</f>
        <v/>
      </c>
      <c r="P1179" s="26" t="str">
        <f aca="false">IF(OR($D1179="",$J1179&lt;&gt;"Supplier"),"",IFERROR(INDEX(SupplierRates!$D$5:$D$500,MATCH($K1179&amp;"|"&amp;$L1179,SupplierRates!$A$5:$A$500,0)),0))</f>
        <v/>
      </c>
      <c r="Q1179" s="26" t="str">
        <f aca="false">IF(OR($D1179="",$J1179&lt;&gt;"Supplier"),"",IFERROR(INDEX(SupplierRates!$E$5:$E$500,MATCH($K1179&amp;"|"&amp;$L1179,SupplierRates!$A$5:$A$500,0)),0))</f>
        <v/>
      </c>
      <c r="R1179" s="26" t="n">
        <f aca="false">IF(OR($D1179="",$J1179&lt;&gt;"Supplier"),0,F1179*P1179+G1179*Q1179)</f>
        <v>0</v>
      </c>
      <c r="S1179" s="26" t="n">
        <f aca="false">IF(OR($D1179="",$J1179&lt;&gt;"Own"),0,IFERROR((F1179+G1179*Settings!$B$13)*INDEX(Workers!$V$5:$V$2004,MATCH($D1179,Workers!$A$5:$A$2004,0)),0))</f>
        <v>0</v>
      </c>
      <c r="T1179" s="26" t="str">
        <f aca="false">IF($D1179="","",O1179-R1179-S1179)</f>
        <v/>
      </c>
    </row>
    <row r="1180" customFormat="false" ht="15" hidden="false" customHeight="false" outlineLevel="0" collapsed="false">
      <c r="I1180" s="24" t="str">
        <f aca="false">IF($D1180="","",IFERROR(INDEX(Workers!$B$5:$B$2004,MATCH($D1180,Workers!$A$5:$A$2004,0)),"NOT FOUND"))</f>
        <v/>
      </c>
      <c r="J1180" s="24" t="str">
        <f aca="false">IF($D1180="","",IFERROR(INDEX(Workers!$C$5:$C$2004,MATCH($D1180,Workers!$A$5:$A$2004,0)),""))</f>
        <v/>
      </c>
      <c r="K1180" s="24" t="str">
        <f aca="false">IF($D1180="","",IFERROR(IF(INDEX(Workers!$D$5:$D$2004,MATCH($D1180,Workers!$A$5:$A$2004,0))=0,"",INDEX(Workers!$D$5:$D$2004,MATCH($D1180,Workers!$A$5:$A$2004,0))),""))</f>
        <v/>
      </c>
      <c r="L1180" s="24" t="str">
        <f aca="false">IF($D1180="","",IFERROR(INDEX(Workers!$E$5:$E$2004,MATCH($D1180,Workers!$A$5:$A$2004,0)),""))</f>
        <v/>
      </c>
      <c r="M1180" s="26" t="str">
        <f aca="false">IF($D1180="","",IFERROR(INDEX(ClientRates!$D$5:$D$500,MATCH($B1180&amp;"|"&amp;$L1180,ClientRates!$A$5:$A$500,0)),0))</f>
        <v/>
      </c>
      <c r="N1180" s="26" t="str">
        <f aca="false">IF($D1180="","",IFERROR(INDEX(ClientRates!$E$5:$E$500,MATCH($B1180&amp;"|"&amp;$L1180,ClientRates!$A$5:$A$500,0)),0))</f>
        <v/>
      </c>
      <c r="O1180" s="26" t="str">
        <f aca="false">IF($D1180="","",F1180*M1180+G1180*N1180)</f>
        <v/>
      </c>
      <c r="P1180" s="26" t="str">
        <f aca="false">IF(OR($D1180="",$J1180&lt;&gt;"Supplier"),"",IFERROR(INDEX(SupplierRates!$D$5:$D$500,MATCH($K1180&amp;"|"&amp;$L1180,SupplierRates!$A$5:$A$500,0)),0))</f>
        <v/>
      </c>
      <c r="Q1180" s="26" t="str">
        <f aca="false">IF(OR($D1180="",$J1180&lt;&gt;"Supplier"),"",IFERROR(INDEX(SupplierRates!$E$5:$E$500,MATCH($K1180&amp;"|"&amp;$L1180,SupplierRates!$A$5:$A$500,0)),0))</f>
        <v/>
      </c>
      <c r="R1180" s="26" t="n">
        <f aca="false">IF(OR($D1180="",$J1180&lt;&gt;"Supplier"),0,F1180*P1180+G1180*Q1180)</f>
        <v>0</v>
      </c>
      <c r="S1180" s="26" t="n">
        <f aca="false">IF(OR($D1180="",$J1180&lt;&gt;"Own"),0,IFERROR((F1180+G1180*Settings!$B$13)*INDEX(Workers!$V$5:$V$2004,MATCH($D1180,Workers!$A$5:$A$2004,0)),0))</f>
        <v>0</v>
      </c>
      <c r="T1180" s="26" t="str">
        <f aca="false">IF($D1180="","",O1180-R1180-S1180)</f>
        <v/>
      </c>
    </row>
    <row r="1181" customFormat="false" ht="15" hidden="false" customHeight="false" outlineLevel="0" collapsed="false">
      <c r="I1181" s="24" t="str">
        <f aca="false">IF($D1181="","",IFERROR(INDEX(Workers!$B$5:$B$2004,MATCH($D1181,Workers!$A$5:$A$2004,0)),"NOT FOUND"))</f>
        <v/>
      </c>
      <c r="J1181" s="24" t="str">
        <f aca="false">IF($D1181="","",IFERROR(INDEX(Workers!$C$5:$C$2004,MATCH($D1181,Workers!$A$5:$A$2004,0)),""))</f>
        <v/>
      </c>
      <c r="K1181" s="24" t="str">
        <f aca="false">IF($D1181="","",IFERROR(IF(INDEX(Workers!$D$5:$D$2004,MATCH($D1181,Workers!$A$5:$A$2004,0))=0,"",INDEX(Workers!$D$5:$D$2004,MATCH($D1181,Workers!$A$5:$A$2004,0))),""))</f>
        <v/>
      </c>
      <c r="L1181" s="24" t="str">
        <f aca="false">IF($D1181="","",IFERROR(INDEX(Workers!$E$5:$E$2004,MATCH($D1181,Workers!$A$5:$A$2004,0)),""))</f>
        <v/>
      </c>
      <c r="M1181" s="26" t="str">
        <f aca="false">IF($D1181="","",IFERROR(INDEX(ClientRates!$D$5:$D$500,MATCH($B1181&amp;"|"&amp;$L1181,ClientRates!$A$5:$A$500,0)),0))</f>
        <v/>
      </c>
      <c r="N1181" s="26" t="str">
        <f aca="false">IF($D1181="","",IFERROR(INDEX(ClientRates!$E$5:$E$500,MATCH($B1181&amp;"|"&amp;$L1181,ClientRates!$A$5:$A$500,0)),0))</f>
        <v/>
      </c>
      <c r="O1181" s="26" t="str">
        <f aca="false">IF($D1181="","",F1181*M1181+G1181*N1181)</f>
        <v/>
      </c>
      <c r="P1181" s="26" t="str">
        <f aca="false">IF(OR($D1181="",$J1181&lt;&gt;"Supplier"),"",IFERROR(INDEX(SupplierRates!$D$5:$D$500,MATCH($K1181&amp;"|"&amp;$L1181,SupplierRates!$A$5:$A$500,0)),0))</f>
        <v/>
      </c>
      <c r="Q1181" s="26" t="str">
        <f aca="false">IF(OR($D1181="",$J1181&lt;&gt;"Supplier"),"",IFERROR(INDEX(SupplierRates!$E$5:$E$500,MATCH($K1181&amp;"|"&amp;$L1181,SupplierRates!$A$5:$A$500,0)),0))</f>
        <v/>
      </c>
      <c r="R1181" s="26" t="n">
        <f aca="false">IF(OR($D1181="",$J1181&lt;&gt;"Supplier"),0,F1181*P1181+G1181*Q1181)</f>
        <v>0</v>
      </c>
      <c r="S1181" s="26" t="n">
        <f aca="false">IF(OR($D1181="",$J1181&lt;&gt;"Own"),0,IFERROR((F1181+G1181*Settings!$B$13)*INDEX(Workers!$V$5:$V$2004,MATCH($D1181,Workers!$A$5:$A$2004,0)),0))</f>
        <v>0</v>
      </c>
      <c r="T1181" s="26" t="str">
        <f aca="false">IF($D1181="","",O1181-R1181-S1181)</f>
        <v/>
      </c>
    </row>
    <row r="1182" customFormat="false" ht="15" hidden="false" customHeight="false" outlineLevel="0" collapsed="false">
      <c r="I1182" s="24" t="str">
        <f aca="false">IF($D1182="","",IFERROR(INDEX(Workers!$B$5:$B$2004,MATCH($D1182,Workers!$A$5:$A$2004,0)),"NOT FOUND"))</f>
        <v/>
      </c>
      <c r="J1182" s="24" t="str">
        <f aca="false">IF($D1182="","",IFERROR(INDEX(Workers!$C$5:$C$2004,MATCH($D1182,Workers!$A$5:$A$2004,0)),""))</f>
        <v/>
      </c>
      <c r="K1182" s="24" t="str">
        <f aca="false">IF($D1182="","",IFERROR(IF(INDEX(Workers!$D$5:$D$2004,MATCH($D1182,Workers!$A$5:$A$2004,0))=0,"",INDEX(Workers!$D$5:$D$2004,MATCH($D1182,Workers!$A$5:$A$2004,0))),""))</f>
        <v/>
      </c>
      <c r="L1182" s="24" t="str">
        <f aca="false">IF($D1182="","",IFERROR(INDEX(Workers!$E$5:$E$2004,MATCH($D1182,Workers!$A$5:$A$2004,0)),""))</f>
        <v/>
      </c>
      <c r="M1182" s="26" t="str">
        <f aca="false">IF($D1182="","",IFERROR(INDEX(ClientRates!$D$5:$D$500,MATCH($B1182&amp;"|"&amp;$L1182,ClientRates!$A$5:$A$500,0)),0))</f>
        <v/>
      </c>
      <c r="N1182" s="26" t="str">
        <f aca="false">IF($D1182="","",IFERROR(INDEX(ClientRates!$E$5:$E$500,MATCH($B1182&amp;"|"&amp;$L1182,ClientRates!$A$5:$A$500,0)),0))</f>
        <v/>
      </c>
      <c r="O1182" s="26" t="str">
        <f aca="false">IF($D1182="","",F1182*M1182+G1182*N1182)</f>
        <v/>
      </c>
      <c r="P1182" s="26" t="str">
        <f aca="false">IF(OR($D1182="",$J1182&lt;&gt;"Supplier"),"",IFERROR(INDEX(SupplierRates!$D$5:$D$500,MATCH($K1182&amp;"|"&amp;$L1182,SupplierRates!$A$5:$A$500,0)),0))</f>
        <v/>
      </c>
      <c r="Q1182" s="26" t="str">
        <f aca="false">IF(OR($D1182="",$J1182&lt;&gt;"Supplier"),"",IFERROR(INDEX(SupplierRates!$E$5:$E$500,MATCH($K1182&amp;"|"&amp;$L1182,SupplierRates!$A$5:$A$500,0)),0))</f>
        <v/>
      </c>
      <c r="R1182" s="26" t="n">
        <f aca="false">IF(OR($D1182="",$J1182&lt;&gt;"Supplier"),0,F1182*P1182+G1182*Q1182)</f>
        <v>0</v>
      </c>
      <c r="S1182" s="26" t="n">
        <f aca="false">IF(OR($D1182="",$J1182&lt;&gt;"Own"),0,IFERROR((F1182+G1182*Settings!$B$13)*INDEX(Workers!$V$5:$V$2004,MATCH($D1182,Workers!$A$5:$A$2004,0)),0))</f>
        <v>0</v>
      </c>
      <c r="T1182" s="26" t="str">
        <f aca="false">IF($D1182="","",O1182-R1182-S1182)</f>
        <v/>
      </c>
    </row>
    <row r="1183" customFormat="false" ht="15" hidden="false" customHeight="false" outlineLevel="0" collapsed="false">
      <c r="I1183" s="24" t="str">
        <f aca="false">IF($D1183="","",IFERROR(INDEX(Workers!$B$5:$B$2004,MATCH($D1183,Workers!$A$5:$A$2004,0)),"NOT FOUND"))</f>
        <v/>
      </c>
      <c r="J1183" s="24" t="str">
        <f aca="false">IF($D1183="","",IFERROR(INDEX(Workers!$C$5:$C$2004,MATCH($D1183,Workers!$A$5:$A$2004,0)),""))</f>
        <v/>
      </c>
      <c r="K1183" s="24" t="str">
        <f aca="false">IF($D1183="","",IFERROR(IF(INDEX(Workers!$D$5:$D$2004,MATCH($D1183,Workers!$A$5:$A$2004,0))=0,"",INDEX(Workers!$D$5:$D$2004,MATCH($D1183,Workers!$A$5:$A$2004,0))),""))</f>
        <v/>
      </c>
      <c r="L1183" s="24" t="str">
        <f aca="false">IF($D1183="","",IFERROR(INDEX(Workers!$E$5:$E$2004,MATCH($D1183,Workers!$A$5:$A$2004,0)),""))</f>
        <v/>
      </c>
      <c r="M1183" s="26" t="str">
        <f aca="false">IF($D1183="","",IFERROR(INDEX(ClientRates!$D$5:$D$500,MATCH($B1183&amp;"|"&amp;$L1183,ClientRates!$A$5:$A$500,0)),0))</f>
        <v/>
      </c>
      <c r="N1183" s="26" t="str">
        <f aca="false">IF($D1183="","",IFERROR(INDEX(ClientRates!$E$5:$E$500,MATCH($B1183&amp;"|"&amp;$L1183,ClientRates!$A$5:$A$500,0)),0))</f>
        <v/>
      </c>
      <c r="O1183" s="26" t="str">
        <f aca="false">IF($D1183="","",F1183*M1183+G1183*N1183)</f>
        <v/>
      </c>
      <c r="P1183" s="26" t="str">
        <f aca="false">IF(OR($D1183="",$J1183&lt;&gt;"Supplier"),"",IFERROR(INDEX(SupplierRates!$D$5:$D$500,MATCH($K1183&amp;"|"&amp;$L1183,SupplierRates!$A$5:$A$500,0)),0))</f>
        <v/>
      </c>
      <c r="Q1183" s="26" t="str">
        <f aca="false">IF(OR($D1183="",$J1183&lt;&gt;"Supplier"),"",IFERROR(INDEX(SupplierRates!$E$5:$E$500,MATCH($K1183&amp;"|"&amp;$L1183,SupplierRates!$A$5:$A$500,0)),0))</f>
        <v/>
      </c>
      <c r="R1183" s="26" t="n">
        <f aca="false">IF(OR($D1183="",$J1183&lt;&gt;"Supplier"),0,F1183*P1183+G1183*Q1183)</f>
        <v>0</v>
      </c>
      <c r="S1183" s="26" t="n">
        <f aca="false">IF(OR($D1183="",$J1183&lt;&gt;"Own"),0,IFERROR((F1183+G1183*Settings!$B$13)*INDEX(Workers!$V$5:$V$2004,MATCH($D1183,Workers!$A$5:$A$2004,0)),0))</f>
        <v>0</v>
      </c>
      <c r="T1183" s="26" t="str">
        <f aca="false">IF($D1183="","",O1183-R1183-S1183)</f>
        <v/>
      </c>
    </row>
    <row r="1184" customFormat="false" ht="15" hidden="false" customHeight="false" outlineLevel="0" collapsed="false">
      <c r="I1184" s="24" t="str">
        <f aca="false">IF($D1184="","",IFERROR(INDEX(Workers!$B$5:$B$2004,MATCH($D1184,Workers!$A$5:$A$2004,0)),"NOT FOUND"))</f>
        <v/>
      </c>
      <c r="J1184" s="24" t="str">
        <f aca="false">IF($D1184="","",IFERROR(INDEX(Workers!$C$5:$C$2004,MATCH($D1184,Workers!$A$5:$A$2004,0)),""))</f>
        <v/>
      </c>
      <c r="K1184" s="24" t="str">
        <f aca="false">IF($D1184="","",IFERROR(IF(INDEX(Workers!$D$5:$D$2004,MATCH($D1184,Workers!$A$5:$A$2004,0))=0,"",INDEX(Workers!$D$5:$D$2004,MATCH($D1184,Workers!$A$5:$A$2004,0))),""))</f>
        <v/>
      </c>
      <c r="L1184" s="24" t="str">
        <f aca="false">IF($D1184="","",IFERROR(INDEX(Workers!$E$5:$E$2004,MATCH($D1184,Workers!$A$5:$A$2004,0)),""))</f>
        <v/>
      </c>
      <c r="M1184" s="26" t="str">
        <f aca="false">IF($D1184="","",IFERROR(INDEX(ClientRates!$D$5:$D$500,MATCH($B1184&amp;"|"&amp;$L1184,ClientRates!$A$5:$A$500,0)),0))</f>
        <v/>
      </c>
      <c r="N1184" s="26" t="str">
        <f aca="false">IF($D1184="","",IFERROR(INDEX(ClientRates!$E$5:$E$500,MATCH($B1184&amp;"|"&amp;$L1184,ClientRates!$A$5:$A$500,0)),0))</f>
        <v/>
      </c>
      <c r="O1184" s="26" t="str">
        <f aca="false">IF($D1184="","",F1184*M1184+G1184*N1184)</f>
        <v/>
      </c>
      <c r="P1184" s="26" t="str">
        <f aca="false">IF(OR($D1184="",$J1184&lt;&gt;"Supplier"),"",IFERROR(INDEX(SupplierRates!$D$5:$D$500,MATCH($K1184&amp;"|"&amp;$L1184,SupplierRates!$A$5:$A$500,0)),0))</f>
        <v/>
      </c>
      <c r="Q1184" s="26" t="str">
        <f aca="false">IF(OR($D1184="",$J1184&lt;&gt;"Supplier"),"",IFERROR(INDEX(SupplierRates!$E$5:$E$500,MATCH($K1184&amp;"|"&amp;$L1184,SupplierRates!$A$5:$A$500,0)),0))</f>
        <v/>
      </c>
      <c r="R1184" s="26" t="n">
        <f aca="false">IF(OR($D1184="",$J1184&lt;&gt;"Supplier"),0,F1184*P1184+G1184*Q1184)</f>
        <v>0</v>
      </c>
      <c r="S1184" s="26" t="n">
        <f aca="false">IF(OR($D1184="",$J1184&lt;&gt;"Own"),0,IFERROR((F1184+G1184*Settings!$B$13)*INDEX(Workers!$V$5:$V$2004,MATCH($D1184,Workers!$A$5:$A$2004,0)),0))</f>
        <v>0</v>
      </c>
      <c r="T1184" s="26" t="str">
        <f aca="false">IF($D1184="","",O1184-R1184-S1184)</f>
        <v/>
      </c>
    </row>
    <row r="1185" customFormat="false" ht="15" hidden="false" customHeight="false" outlineLevel="0" collapsed="false">
      <c r="I1185" s="24" t="str">
        <f aca="false">IF($D1185="","",IFERROR(INDEX(Workers!$B$5:$B$2004,MATCH($D1185,Workers!$A$5:$A$2004,0)),"NOT FOUND"))</f>
        <v/>
      </c>
      <c r="J1185" s="24" t="str">
        <f aca="false">IF($D1185="","",IFERROR(INDEX(Workers!$C$5:$C$2004,MATCH($D1185,Workers!$A$5:$A$2004,0)),""))</f>
        <v/>
      </c>
      <c r="K1185" s="24" t="str">
        <f aca="false">IF($D1185="","",IFERROR(IF(INDEX(Workers!$D$5:$D$2004,MATCH($D1185,Workers!$A$5:$A$2004,0))=0,"",INDEX(Workers!$D$5:$D$2004,MATCH($D1185,Workers!$A$5:$A$2004,0))),""))</f>
        <v/>
      </c>
      <c r="L1185" s="24" t="str">
        <f aca="false">IF($D1185="","",IFERROR(INDEX(Workers!$E$5:$E$2004,MATCH($D1185,Workers!$A$5:$A$2004,0)),""))</f>
        <v/>
      </c>
      <c r="M1185" s="26" t="str">
        <f aca="false">IF($D1185="","",IFERROR(INDEX(ClientRates!$D$5:$D$500,MATCH($B1185&amp;"|"&amp;$L1185,ClientRates!$A$5:$A$500,0)),0))</f>
        <v/>
      </c>
      <c r="N1185" s="26" t="str">
        <f aca="false">IF($D1185="","",IFERROR(INDEX(ClientRates!$E$5:$E$500,MATCH($B1185&amp;"|"&amp;$L1185,ClientRates!$A$5:$A$500,0)),0))</f>
        <v/>
      </c>
      <c r="O1185" s="26" t="str">
        <f aca="false">IF($D1185="","",F1185*M1185+G1185*N1185)</f>
        <v/>
      </c>
      <c r="P1185" s="26" t="str">
        <f aca="false">IF(OR($D1185="",$J1185&lt;&gt;"Supplier"),"",IFERROR(INDEX(SupplierRates!$D$5:$D$500,MATCH($K1185&amp;"|"&amp;$L1185,SupplierRates!$A$5:$A$500,0)),0))</f>
        <v/>
      </c>
      <c r="Q1185" s="26" t="str">
        <f aca="false">IF(OR($D1185="",$J1185&lt;&gt;"Supplier"),"",IFERROR(INDEX(SupplierRates!$E$5:$E$500,MATCH($K1185&amp;"|"&amp;$L1185,SupplierRates!$A$5:$A$500,0)),0))</f>
        <v/>
      </c>
      <c r="R1185" s="26" t="n">
        <f aca="false">IF(OR($D1185="",$J1185&lt;&gt;"Supplier"),0,F1185*P1185+G1185*Q1185)</f>
        <v>0</v>
      </c>
      <c r="S1185" s="26" t="n">
        <f aca="false">IF(OR($D1185="",$J1185&lt;&gt;"Own"),0,IFERROR((F1185+G1185*Settings!$B$13)*INDEX(Workers!$V$5:$V$2004,MATCH($D1185,Workers!$A$5:$A$2004,0)),0))</f>
        <v>0</v>
      </c>
      <c r="T1185" s="26" t="str">
        <f aca="false">IF($D1185="","",O1185-R1185-S1185)</f>
        <v/>
      </c>
    </row>
    <row r="1186" customFormat="false" ht="15" hidden="false" customHeight="false" outlineLevel="0" collapsed="false">
      <c r="I1186" s="24" t="str">
        <f aca="false">IF($D1186="","",IFERROR(INDEX(Workers!$B$5:$B$2004,MATCH($D1186,Workers!$A$5:$A$2004,0)),"NOT FOUND"))</f>
        <v/>
      </c>
      <c r="J1186" s="24" t="str">
        <f aca="false">IF($D1186="","",IFERROR(INDEX(Workers!$C$5:$C$2004,MATCH($D1186,Workers!$A$5:$A$2004,0)),""))</f>
        <v/>
      </c>
      <c r="K1186" s="24" t="str">
        <f aca="false">IF($D1186="","",IFERROR(IF(INDEX(Workers!$D$5:$D$2004,MATCH($D1186,Workers!$A$5:$A$2004,0))=0,"",INDEX(Workers!$D$5:$D$2004,MATCH($D1186,Workers!$A$5:$A$2004,0))),""))</f>
        <v/>
      </c>
      <c r="L1186" s="24" t="str">
        <f aca="false">IF($D1186="","",IFERROR(INDEX(Workers!$E$5:$E$2004,MATCH($D1186,Workers!$A$5:$A$2004,0)),""))</f>
        <v/>
      </c>
      <c r="M1186" s="26" t="str">
        <f aca="false">IF($D1186="","",IFERROR(INDEX(ClientRates!$D$5:$D$500,MATCH($B1186&amp;"|"&amp;$L1186,ClientRates!$A$5:$A$500,0)),0))</f>
        <v/>
      </c>
      <c r="N1186" s="26" t="str">
        <f aca="false">IF($D1186="","",IFERROR(INDEX(ClientRates!$E$5:$E$500,MATCH($B1186&amp;"|"&amp;$L1186,ClientRates!$A$5:$A$500,0)),0))</f>
        <v/>
      </c>
      <c r="O1186" s="26" t="str">
        <f aca="false">IF($D1186="","",F1186*M1186+G1186*N1186)</f>
        <v/>
      </c>
      <c r="P1186" s="26" t="str">
        <f aca="false">IF(OR($D1186="",$J1186&lt;&gt;"Supplier"),"",IFERROR(INDEX(SupplierRates!$D$5:$D$500,MATCH($K1186&amp;"|"&amp;$L1186,SupplierRates!$A$5:$A$500,0)),0))</f>
        <v/>
      </c>
      <c r="Q1186" s="26" t="str">
        <f aca="false">IF(OR($D1186="",$J1186&lt;&gt;"Supplier"),"",IFERROR(INDEX(SupplierRates!$E$5:$E$500,MATCH($K1186&amp;"|"&amp;$L1186,SupplierRates!$A$5:$A$500,0)),0))</f>
        <v/>
      </c>
      <c r="R1186" s="26" t="n">
        <f aca="false">IF(OR($D1186="",$J1186&lt;&gt;"Supplier"),0,F1186*P1186+G1186*Q1186)</f>
        <v>0</v>
      </c>
      <c r="S1186" s="26" t="n">
        <f aca="false">IF(OR($D1186="",$J1186&lt;&gt;"Own"),0,IFERROR((F1186+G1186*Settings!$B$13)*INDEX(Workers!$V$5:$V$2004,MATCH($D1186,Workers!$A$5:$A$2004,0)),0))</f>
        <v>0</v>
      </c>
      <c r="T1186" s="26" t="str">
        <f aca="false">IF($D1186="","",O1186-R1186-S1186)</f>
        <v/>
      </c>
    </row>
    <row r="1187" customFormat="false" ht="15" hidden="false" customHeight="false" outlineLevel="0" collapsed="false">
      <c r="I1187" s="24" t="str">
        <f aca="false">IF($D1187="","",IFERROR(INDEX(Workers!$B$5:$B$2004,MATCH($D1187,Workers!$A$5:$A$2004,0)),"NOT FOUND"))</f>
        <v/>
      </c>
      <c r="J1187" s="24" t="str">
        <f aca="false">IF($D1187="","",IFERROR(INDEX(Workers!$C$5:$C$2004,MATCH($D1187,Workers!$A$5:$A$2004,0)),""))</f>
        <v/>
      </c>
      <c r="K1187" s="24" t="str">
        <f aca="false">IF($D1187="","",IFERROR(IF(INDEX(Workers!$D$5:$D$2004,MATCH($D1187,Workers!$A$5:$A$2004,0))=0,"",INDEX(Workers!$D$5:$D$2004,MATCH($D1187,Workers!$A$5:$A$2004,0))),""))</f>
        <v/>
      </c>
      <c r="L1187" s="24" t="str">
        <f aca="false">IF($D1187="","",IFERROR(INDEX(Workers!$E$5:$E$2004,MATCH($D1187,Workers!$A$5:$A$2004,0)),""))</f>
        <v/>
      </c>
      <c r="M1187" s="26" t="str">
        <f aca="false">IF($D1187="","",IFERROR(INDEX(ClientRates!$D$5:$D$500,MATCH($B1187&amp;"|"&amp;$L1187,ClientRates!$A$5:$A$500,0)),0))</f>
        <v/>
      </c>
      <c r="N1187" s="26" t="str">
        <f aca="false">IF($D1187="","",IFERROR(INDEX(ClientRates!$E$5:$E$500,MATCH($B1187&amp;"|"&amp;$L1187,ClientRates!$A$5:$A$500,0)),0))</f>
        <v/>
      </c>
      <c r="O1187" s="26" t="str">
        <f aca="false">IF($D1187="","",F1187*M1187+G1187*N1187)</f>
        <v/>
      </c>
      <c r="P1187" s="26" t="str">
        <f aca="false">IF(OR($D1187="",$J1187&lt;&gt;"Supplier"),"",IFERROR(INDEX(SupplierRates!$D$5:$D$500,MATCH($K1187&amp;"|"&amp;$L1187,SupplierRates!$A$5:$A$500,0)),0))</f>
        <v/>
      </c>
      <c r="Q1187" s="26" t="str">
        <f aca="false">IF(OR($D1187="",$J1187&lt;&gt;"Supplier"),"",IFERROR(INDEX(SupplierRates!$E$5:$E$500,MATCH($K1187&amp;"|"&amp;$L1187,SupplierRates!$A$5:$A$500,0)),0))</f>
        <v/>
      </c>
      <c r="R1187" s="26" t="n">
        <f aca="false">IF(OR($D1187="",$J1187&lt;&gt;"Supplier"),0,F1187*P1187+G1187*Q1187)</f>
        <v>0</v>
      </c>
      <c r="S1187" s="26" t="n">
        <f aca="false">IF(OR($D1187="",$J1187&lt;&gt;"Own"),0,IFERROR((F1187+G1187*Settings!$B$13)*INDEX(Workers!$V$5:$V$2004,MATCH($D1187,Workers!$A$5:$A$2004,0)),0))</f>
        <v>0</v>
      </c>
      <c r="T1187" s="26" t="str">
        <f aca="false">IF($D1187="","",O1187-R1187-S1187)</f>
        <v/>
      </c>
    </row>
    <row r="1188" customFormat="false" ht="15" hidden="false" customHeight="false" outlineLevel="0" collapsed="false">
      <c r="I1188" s="24" t="str">
        <f aca="false">IF($D1188="","",IFERROR(INDEX(Workers!$B$5:$B$2004,MATCH($D1188,Workers!$A$5:$A$2004,0)),"NOT FOUND"))</f>
        <v/>
      </c>
      <c r="J1188" s="24" t="str">
        <f aca="false">IF($D1188="","",IFERROR(INDEX(Workers!$C$5:$C$2004,MATCH($D1188,Workers!$A$5:$A$2004,0)),""))</f>
        <v/>
      </c>
      <c r="K1188" s="24" t="str">
        <f aca="false">IF($D1188="","",IFERROR(IF(INDEX(Workers!$D$5:$D$2004,MATCH($D1188,Workers!$A$5:$A$2004,0))=0,"",INDEX(Workers!$D$5:$D$2004,MATCH($D1188,Workers!$A$5:$A$2004,0))),""))</f>
        <v/>
      </c>
      <c r="L1188" s="24" t="str">
        <f aca="false">IF($D1188="","",IFERROR(INDEX(Workers!$E$5:$E$2004,MATCH($D1188,Workers!$A$5:$A$2004,0)),""))</f>
        <v/>
      </c>
      <c r="M1188" s="26" t="str">
        <f aca="false">IF($D1188="","",IFERROR(INDEX(ClientRates!$D$5:$D$500,MATCH($B1188&amp;"|"&amp;$L1188,ClientRates!$A$5:$A$500,0)),0))</f>
        <v/>
      </c>
      <c r="N1188" s="26" t="str">
        <f aca="false">IF($D1188="","",IFERROR(INDEX(ClientRates!$E$5:$E$500,MATCH($B1188&amp;"|"&amp;$L1188,ClientRates!$A$5:$A$500,0)),0))</f>
        <v/>
      </c>
      <c r="O1188" s="26" t="str">
        <f aca="false">IF($D1188="","",F1188*M1188+G1188*N1188)</f>
        <v/>
      </c>
      <c r="P1188" s="26" t="str">
        <f aca="false">IF(OR($D1188="",$J1188&lt;&gt;"Supplier"),"",IFERROR(INDEX(SupplierRates!$D$5:$D$500,MATCH($K1188&amp;"|"&amp;$L1188,SupplierRates!$A$5:$A$500,0)),0))</f>
        <v/>
      </c>
      <c r="Q1188" s="26" t="str">
        <f aca="false">IF(OR($D1188="",$J1188&lt;&gt;"Supplier"),"",IFERROR(INDEX(SupplierRates!$E$5:$E$500,MATCH($K1188&amp;"|"&amp;$L1188,SupplierRates!$A$5:$A$500,0)),0))</f>
        <v/>
      </c>
      <c r="R1188" s="26" t="n">
        <f aca="false">IF(OR($D1188="",$J1188&lt;&gt;"Supplier"),0,F1188*P1188+G1188*Q1188)</f>
        <v>0</v>
      </c>
      <c r="S1188" s="26" t="n">
        <f aca="false">IF(OR($D1188="",$J1188&lt;&gt;"Own"),0,IFERROR((F1188+G1188*Settings!$B$13)*INDEX(Workers!$V$5:$V$2004,MATCH($D1188,Workers!$A$5:$A$2004,0)),0))</f>
        <v>0</v>
      </c>
      <c r="T1188" s="26" t="str">
        <f aca="false">IF($D1188="","",O1188-R1188-S1188)</f>
        <v/>
      </c>
    </row>
    <row r="1189" customFormat="false" ht="15" hidden="false" customHeight="false" outlineLevel="0" collapsed="false">
      <c r="I1189" s="24" t="str">
        <f aca="false">IF($D1189="","",IFERROR(INDEX(Workers!$B$5:$B$2004,MATCH($D1189,Workers!$A$5:$A$2004,0)),"NOT FOUND"))</f>
        <v/>
      </c>
      <c r="J1189" s="24" t="str">
        <f aca="false">IF($D1189="","",IFERROR(INDEX(Workers!$C$5:$C$2004,MATCH($D1189,Workers!$A$5:$A$2004,0)),""))</f>
        <v/>
      </c>
      <c r="K1189" s="24" t="str">
        <f aca="false">IF($D1189="","",IFERROR(IF(INDEX(Workers!$D$5:$D$2004,MATCH($D1189,Workers!$A$5:$A$2004,0))=0,"",INDEX(Workers!$D$5:$D$2004,MATCH($D1189,Workers!$A$5:$A$2004,0))),""))</f>
        <v/>
      </c>
      <c r="L1189" s="24" t="str">
        <f aca="false">IF($D1189="","",IFERROR(INDEX(Workers!$E$5:$E$2004,MATCH($D1189,Workers!$A$5:$A$2004,0)),""))</f>
        <v/>
      </c>
      <c r="M1189" s="26" t="str">
        <f aca="false">IF($D1189="","",IFERROR(INDEX(ClientRates!$D$5:$D$500,MATCH($B1189&amp;"|"&amp;$L1189,ClientRates!$A$5:$A$500,0)),0))</f>
        <v/>
      </c>
      <c r="N1189" s="26" t="str">
        <f aca="false">IF($D1189="","",IFERROR(INDEX(ClientRates!$E$5:$E$500,MATCH($B1189&amp;"|"&amp;$L1189,ClientRates!$A$5:$A$500,0)),0))</f>
        <v/>
      </c>
      <c r="O1189" s="26" t="str">
        <f aca="false">IF($D1189="","",F1189*M1189+G1189*N1189)</f>
        <v/>
      </c>
      <c r="P1189" s="26" t="str">
        <f aca="false">IF(OR($D1189="",$J1189&lt;&gt;"Supplier"),"",IFERROR(INDEX(SupplierRates!$D$5:$D$500,MATCH($K1189&amp;"|"&amp;$L1189,SupplierRates!$A$5:$A$500,0)),0))</f>
        <v/>
      </c>
      <c r="Q1189" s="26" t="str">
        <f aca="false">IF(OR($D1189="",$J1189&lt;&gt;"Supplier"),"",IFERROR(INDEX(SupplierRates!$E$5:$E$500,MATCH($K1189&amp;"|"&amp;$L1189,SupplierRates!$A$5:$A$500,0)),0))</f>
        <v/>
      </c>
      <c r="R1189" s="26" t="n">
        <f aca="false">IF(OR($D1189="",$J1189&lt;&gt;"Supplier"),0,F1189*P1189+G1189*Q1189)</f>
        <v>0</v>
      </c>
      <c r="S1189" s="26" t="n">
        <f aca="false">IF(OR($D1189="",$J1189&lt;&gt;"Own"),0,IFERROR((F1189+G1189*Settings!$B$13)*INDEX(Workers!$V$5:$V$2004,MATCH($D1189,Workers!$A$5:$A$2004,0)),0))</f>
        <v>0</v>
      </c>
      <c r="T1189" s="26" t="str">
        <f aca="false">IF($D1189="","",O1189-R1189-S1189)</f>
        <v/>
      </c>
    </row>
    <row r="1190" customFormat="false" ht="15" hidden="false" customHeight="false" outlineLevel="0" collapsed="false">
      <c r="I1190" s="24" t="str">
        <f aca="false">IF($D1190="","",IFERROR(INDEX(Workers!$B$5:$B$2004,MATCH($D1190,Workers!$A$5:$A$2004,0)),"NOT FOUND"))</f>
        <v/>
      </c>
      <c r="J1190" s="24" t="str">
        <f aca="false">IF($D1190="","",IFERROR(INDEX(Workers!$C$5:$C$2004,MATCH($D1190,Workers!$A$5:$A$2004,0)),""))</f>
        <v/>
      </c>
      <c r="K1190" s="24" t="str">
        <f aca="false">IF($D1190="","",IFERROR(IF(INDEX(Workers!$D$5:$D$2004,MATCH($D1190,Workers!$A$5:$A$2004,0))=0,"",INDEX(Workers!$D$5:$D$2004,MATCH($D1190,Workers!$A$5:$A$2004,0))),""))</f>
        <v/>
      </c>
      <c r="L1190" s="24" t="str">
        <f aca="false">IF($D1190="","",IFERROR(INDEX(Workers!$E$5:$E$2004,MATCH($D1190,Workers!$A$5:$A$2004,0)),""))</f>
        <v/>
      </c>
      <c r="M1190" s="26" t="str">
        <f aca="false">IF($D1190="","",IFERROR(INDEX(ClientRates!$D$5:$D$500,MATCH($B1190&amp;"|"&amp;$L1190,ClientRates!$A$5:$A$500,0)),0))</f>
        <v/>
      </c>
      <c r="N1190" s="26" t="str">
        <f aca="false">IF($D1190="","",IFERROR(INDEX(ClientRates!$E$5:$E$500,MATCH($B1190&amp;"|"&amp;$L1190,ClientRates!$A$5:$A$500,0)),0))</f>
        <v/>
      </c>
      <c r="O1190" s="26" t="str">
        <f aca="false">IF($D1190="","",F1190*M1190+G1190*N1190)</f>
        <v/>
      </c>
      <c r="P1190" s="26" t="str">
        <f aca="false">IF(OR($D1190="",$J1190&lt;&gt;"Supplier"),"",IFERROR(INDEX(SupplierRates!$D$5:$D$500,MATCH($K1190&amp;"|"&amp;$L1190,SupplierRates!$A$5:$A$500,0)),0))</f>
        <v/>
      </c>
      <c r="Q1190" s="26" t="str">
        <f aca="false">IF(OR($D1190="",$J1190&lt;&gt;"Supplier"),"",IFERROR(INDEX(SupplierRates!$E$5:$E$500,MATCH($K1190&amp;"|"&amp;$L1190,SupplierRates!$A$5:$A$500,0)),0))</f>
        <v/>
      </c>
      <c r="R1190" s="26" t="n">
        <f aca="false">IF(OR($D1190="",$J1190&lt;&gt;"Supplier"),0,F1190*P1190+G1190*Q1190)</f>
        <v>0</v>
      </c>
      <c r="S1190" s="26" t="n">
        <f aca="false">IF(OR($D1190="",$J1190&lt;&gt;"Own"),0,IFERROR((F1190+G1190*Settings!$B$13)*INDEX(Workers!$V$5:$V$2004,MATCH($D1190,Workers!$A$5:$A$2004,0)),0))</f>
        <v>0</v>
      </c>
      <c r="T1190" s="26" t="str">
        <f aca="false">IF($D1190="","",O1190-R1190-S1190)</f>
        <v/>
      </c>
    </row>
    <row r="1191" customFormat="false" ht="15" hidden="false" customHeight="false" outlineLevel="0" collapsed="false">
      <c r="I1191" s="24" t="str">
        <f aca="false">IF($D1191="","",IFERROR(INDEX(Workers!$B$5:$B$2004,MATCH($D1191,Workers!$A$5:$A$2004,0)),"NOT FOUND"))</f>
        <v/>
      </c>
      <c r="J1191" s="24" t="str">
        <f aca="false">IF($D1191="","",IFERROR(INDEX(Workers!$C$5:$C$2004,MATCH($D1191,Workers!$A$5:$A$2004,0)),""))</f>
        <v/>
      </c>
      <c r="K1191" s="24" t="str">
        <f aca="false">IF($D1191="","",IFERROR(IF(INDEX(Workers!$D$5:$D$2004,MATCH($D1191,Workers!$A$5:$A$2004,0))=0,"",INDEX(Workers!$D$5:$D$2004,MATCH($D1191,Workers!$A$5:$A$2004,0))),""))</f>
        <v/>
      </c>
      <c r="L1191" s="24" t="str">
        <f aca="false">IF($D1191="","",IFERROR(INDEX(Workers!$E$5:$E$2004,MATCH($D1191,Workers!$A$5:$A$2004,0)),""))</f>
        <v/>
      </c>
      <c r="M1191" s="26" t="str">
        <f aca="false">IF($D1191="","",IFERROR(INDEX(ClientRates!$D$5:$D$500,MATCH($B1191&amp;"|"&amp;$L1191,ClientRates!$A$5:$A$500,0)),0))</f>
        <v/>
      </c>
      <c r="N1191" s="26" t="str">
        <f aca="false">IF($D1191="","",IFERROR(INDEX(ClientRates!$E$5:$E$500,MATCH($B1191&amp;"|"&amp;$L1191,ClientRates!$A$5:$A$500,0)),0))</f>
        <v/>
      </c>
      <c r="O1191" s="26" t="str">
        <f aca="false">IF($D1191="","",F1191*M1191+G1191*N1191)</f>
        <v/>
      </c>
      <c r="P1191" s="26" t="str">
        <f aca="false">IF(OR($D1191="",$J1191&lt;&gt;"Supplier"),"",IFERROR(INDEX(SupplierRates!$D$5:$D$500,MATCH($K1191&amp;"|"&amp;$L1191,SupplierRates!$A$5:$A$500,0)),0))</f>
        <v/>
      </c>
      <c r="Q1191" s="26" t="str">
        <f aca="false">IF(OR($D1191="",$J1191&lt;&gt;"Supplier"),"",IFERROR(INDEX(SupplierRates!$E$5:$E$500,MATCH($K1191&amp;"|"&amp;$L1191,SupplierRates!$A$5:$A$500,0)),0))</f>
        <v/>
      </c>
      <c r="R1191" s="26" t="n">
        <f aca="false">IF(OR($D1191="",$J1191&lt;&gt;"Supplier"),0,F1191*P1191+G1191*Q1191)</f>
        <v>0</v>
      </c>
      <c r="S1191" s="26" t="n">
        <f aca="false">IF(OR($D1191="",$J1191&lt;&gt;"Own"),0,IFERROR((F1191+G1191*Settings!$B$13)*INDEX(Workers!$V$5:$V$2004,MATCH($D1191,Workers!$A$5:$A$2004,0)),0))</f>
        <v>0</v>
      </c>
      <c r="T1191" s="26" t="str">
        <f aca="false">IF($D1191="","",O1191-R1191-S1191)</f>
        <v/>
      </c>
    </row>
    <row r="1192" customFormat="false" ht="15" hidden="false" customHeight="false" outlineLevel="0" collapsed="false">
      <c r="I1192" s="24" t="str">
        <f aca="false">IF($D1192="","",IFERROR(INDEX(Workers!$B$5:$B$2004,MATCH($D1192,Workers!$A$5:$A$2004,0)),"NOT FOUND"))</f>
        <v/>
      </c>
      <c r="J1192" s="24" t="str">
        <f aca="false">IF($D1192="","",IFERROR(INDEX(Workers!$C$5:$C$2004,MATCH($D1192,Workers!$A$5:$A$2004,0)),""))</f>
        <v/>
      </c>
      <c r="K1192" s="24" t="str">
        <f aca="false">IF($D1192="","",IFERROR(IF(INDEX(Workers!$D$5:$D$2004,MATCH($D1192,Workers!$A$5:$A$2004,0))=0,"",INDEX(Workers!$D$5:$D$2004,MATCH($D1192,Workers!$A$5:$A$2004,0))),""))</f>
        <v/>
      </c>
      <c r="L1192" s="24" t="str">
        <f aca="false">IF($D1192="","",IFERROR(INDEX(Workers!$E$5:$E$2004,MATCH($D1192,Workers!$A$5:$A$2004,0)),""))</f>
        <v/>
      </c>
      <c r="M1192" s="26" t="str">
        <f aca="false">IF($D1192="","",IFERROR(INDEX(ClientRates!$D$5:$D$500,MATCH($B1192&amp;"|"&amp;$L1192,ClientRates!$A$5:$A$500,0)),0))</f>
        <v/>
      </c>
      <c r="N1192" s="26" t="str">
        <f aca="false">IF($D1192="","",IFERROR(INDEX(ClientRates!$E$5:$E$500,MATCH($B1192&amp;"|"&amp;$L1192,ClientRates!$A$5:$A$500,0)),0))</f>
        <v/>
      </c>
      <c r="O1192" s="26" t="str">
        <f aca="false">IF($D1192="","",F1192*M1192+G1192*N1192)</f>
        <v/>
      </c>
      <c r="P1192" s="26" t="str">
        <f aca="false">IF(OR($D1192="",$J1192&lt;&gt;"Supplier"),"",IFERROR(INDEX(SupplierRates!$D$5:$D$500,MATCH($K1192&amp;"|"&amp;$L1192,SupplierRates!$A$5:$A$500,0)),0))</f>
        <v/>
      </c>
      <c r="Q1192" s="26" t="str">
        <f aca="false">IF(OR($D1192="",$J1192&lt;&gt;"Supplier"),"",IFERROR(INDEX(SupplierRates!$E$5:$E$500,MATCH($K1192&amp;"|"&amp;$L1192,SupplierRates!$A$5:$A$500,0)),0))</f>
        <v/>
      </c>
      <c r="R1192" s="26" t="n">
        <f aca="false">IF(OR($D1192="",$J1192&lt;&gt;"Supplier"),0,F1192*P1192+G1192*Q1192)</f>
        <v>0</v>
      </c>
      <c r="S1192" s="26" t="n">
        <f aca="false">IF(OR($D1192="",$J1192&lt;&gt;"Own"),0,IFERROR((F1192+G1192*Settings!$B$13)*INDEX(Workers!$V$5:$V$2004,MATCH($D1192,Workers!$A$5:$A$2004,0)),0))</f>
        <v>0</v>
      </c>
      <c r="T1192" s="26" t="str">
        <f aca="false">IF($D1192="","",O1192-R1192-S1192)</f>
        <v/>
      </c>
    </row>
    <row r="1193" customFormat="false" ht="15" hidden="false" customHeight="false" outlineLevel="0" collapsed="false">
      <c r="I1193" s="24" t="str">
        <f aca="false">IF($D1193="","",IFERROR(INDEX(Workers!$B$5:$B$2004,MATCH($D1193,Workers!$A$5:$A$2004,0)),"NOT FOUND"))</f>
        <v/>
      </c>
      <c r="J1193" s="24" t="str">
        <f aca="false">IF($D1193="","",IFERROR(INDEX(Workers!$C$5:$C$2004,MATCH($D1193,Workers!$A$5:$A$2004,0)),""))</f>
        <v/>
      </c>
      <c r="K1193" s="24" t="str">
        <f aca="false">IF($D1193="","",IFERROR(IF(INDEX(Workers!$D$5:$D$2004,MATCH($D1193,Workers!$A$5:$A$2004,0))=0,"",INDEX(Workers!$D$5:$D$2004,MATCH($D1193,Workers!$A$5:$A$2004,0))),""))</f>
        <v/>
      </c>
      <c r="L1193" s="24" t="str">
        <f aca="false">IF($D1193="","",IFERROR(INDEX(Workers!$E$5:$E$2004,MATCH($D1193,Workers!$A$5:$A$2004,0)),""))</f>
        <v/>
      </c>
      <c r="M1193" s="26" t="str">
        <f aca="false">IF($D1193="","",IFERROR(INDEX(ClientRates!$D$5:$D$500,MATCH($B1193&amp;"|"&amp;$L1193,ClientRates!$A$5:$A$500,0)),0))</f>
        <v/>
      </c>
      <c r="N1193" s="26" t="str">
        <f aca="false">IF($D1193="","",IFERROR(INDEX(ClientRates!$E$5:$E$500,MATCH($B1193&amp;"|"&amp;$L1193,ClientRates!$A$5:$A$500,0)),0))</f>
        <v/>
      </c>
      <c r="O1193" s="26" t="str">
        <f aca="false">IF($D1193="","",F1193*M1193+G1193*N1193)</f>
        <v/>
      </c>
      <c r="P1193" s="26" t="str">
        <f aca="false">IF(OR($D1193="",$J1193&lt;&gt;"Supplier"),"",IFERROR(INDEX(SupplierRates!$D$5:$D$500,MATCH($K1193&amp;"|"&amp;$L1193,SupplierRates!$A$5:$A$500,0)),0))</f>
        <v/>
      </c>
      <c r="Q1193" s="26" t="str">
        <f aca="false">IF(OR($D1193="",$J1193&lt;&gt;"Supplier"),"",IFERROR(INDEX(SupplierRates!$E$5:$E$500,MATCH($K1193&amp;"|"&amp;$L1193,SupplierRates!$A$5:$A$500,0)),0))</f>
        <v/>
      </c>
      <c r="R1193" s="26" t="n">
        <f aca="false">IF(OR($D1193="",$J1193&lt;&gt;"Supplier"),0,F1193*P1193+G1193*Q1193)</f>
        <v>0</v>
      </c>
      <c r="S1193" s="26" t="n">
        <f aca="false">IF(OR($D1193="",$J1193&lt;&gt;"Own"),0,IFERROR((F1193+G1193*Settings!$B$13)*INDEX(Workers!$V$5:$V$2004,MATCH($D1193,Workers!$A$5:$A$2004,0)),0))</f>
        <v>0</v>
      </c>
      <c r="T1193" s="26" t="str">
        <f aca="false">IF($D1193="","",O1193-R1193-S1193)</f>
        <v/>
      </c>
    </row>
    <row r="1194" customFormat="false" ht="15" hidden="false" customHeight="false" outlineLevel="0" collapsed="false">
      <c r="I1194" s="24" t="str">
        <f aca="false">IF($D1194="","",IFERROR(INDEX(Workers!$B$5:$B$2004,MATCH($D1194,Workers!$A$5:$A$2004,0)),"NOT FOUND"))</f>
        <v/>
      </c>
      <c r="J1194" s="24" t="str">
        <f aca="false">IF($D1194="","",IFERROR(INDEX(Workers!$C$5:$C$2004,MATCH($D1194,Workers!$A$5:$A$2004,0)),""))</f>
        <v/>
      </c>
      <c r="K1194" s="24" t="str">
        <f aca="false">IF($D1194="","",IFERROR(IF(INDEX(Workers!$D$5:$D$2004,MATCH($D1194,Workers!$A$5:$A$2004,0))=0,"",INDEX(Workers!$D$5:$D$2004,MATCH($D1194,Workers!$A$5:$A$2004,0))),""))</f>
        <v/>
      </c>
      <c r="L1194" s="24" t="str">
        <f aca="false">IF($D1194="","",IFERROR(INDEX(Workers!$E$5:$E$2004,MATCH($D1194,Workers!$A$5:$A$2004,0)),""))</f>
        <v/>
      </c>
      <c r="M1194" s="26" t="str">
        <f aca="false">IF($D1194="","",IFERROR(INDEX(ClientRates!$D$5:$D$500,MATCH($B1194&amp;"|"&amp;$L1194,ClientRates!$A$5:$A$500,0)),0))</f>
        <v/>
      </c>
      <c r="N1194" s="26" t="str">
        <f aca="false">IF($D1194="","",IFERROR(INDEX(ClientRates!$E$5:$E$500,MATCH($B1194&amp;"|"&amp;$L1194,ClientRates!$A$5:$A$500,0)),0))</f>
        <v/>
      </c>
      <c r="O1194" s="26" t="str">
        <f aca="false">IF($D1194="","",F1194*M1194+G1194*N1194)</f>
        <v/>
      </c>
      <c r="P1194" s="26" t="str">
        <f aca="false">IF(OR($D1194="",$J1194&lt;&gt;"Supplier"),"",IFERROR(INDEX(SupplierRates!$D$5:$D$500,MATCH($K1194&amp;"|"&amp;$L1194,SupplierRates!$A$5:$A$500,0)),0))</f>
        <v/>
      </c>
      <c r="Q1194" s="26" t="str">
        <f aca="false">IF(OR($D1194="",$J1194&lt;&gt;"Supplier"),"",IFERROR(INDEX(SupplierRates!$E$5:$E$500,MATCH($K1194&amp;"|"&amp;$L1194,SupplierRates!$A$5:$A$500,0)),0))</f>
        <v/>
      </c>
      <c r="R1194" s="26" t="n">
        <f aca="false">IF(OR($D1194="",$J1194&lt;&gt;"Supplier"),0,F1194*P1194+G1194*Q1194)</f>
        <v>0</v>
      </c>
      <c r="S1194" s="26" t="n">
        <f aca="false">IF(OR($D1194="",$J1194&lt;&gt;"Own"),0,IFERROR((F1194+G1194*Settings!$B$13)*INDEX(Workers!$V$5:$V$2004,MATCH($D1194,Workers!$A$5:$A$2004,0)),0))</f>
        <v>0</v>
      </c>
      <c r="T1194" s="26" t="str">
        <f aca="false">IF($D1194="","",O1194-R1194-S1194)</f>
        <v/>
      </c>
    </row>
    <row r="1195" customFormat="false" ht="15" hidden="false" customHeight="false" outlineLevel="0" collapsed="false">
      <c r="I1195" s="24" t="str">
        <f aca="false">IF($D1195="","",IFERROR(INDEX(Workers!$B$5:$B$2004,MATCH($D1195,Workers!$A$5:$A$2004,0)),"NOT FOUND"))</f>
        <v/>
      </c>
      <c r="J1195" s="24" t="str">
        <f aca="false">IF($D1195="","",IFERROR(INDEX(Workers!$C$5:$C$2004,MATCH($D1195,Workers!$A$5:$A$2004,0)),""))</f>
        <v/>
      </c>
      <c r="K1195" s="24" t="str">
        <f aca="false">IF($D1195="","",IFERROR(IF(INDEX(Workers!$D$5:$D$2004,MATCH($D1195,Workers!$A$5:$A$2004,0))=0,"",INDEX(Workers!$D$5:$D$2004,MATCH($D1195,Workers!$A$5:$A$2004,0))),""))</f>
        <v/>
      </c>
      <c r="L1195" s="24" t="str">
        <f aca="false">IF($D1195="","",IFERROR(INDEX(Workers!$E$5:$E$2004,MATCH($D1195,Workers!$A$5:$A$2004,0)),""))</f>
        <v/>
      </c>
      <c r="M1195" s="26" t="str">
        <f aca="false">IF($D1195="","",IFERROR(INDEX(ClientRates!$D$5:$D$500,MATCH($B1195&amp;"|"&amp;$L1195,ClientRates!$A$5:$A$500,0)),0))</f>
        <v/>
      </c>
      <c r="N1195" s="26" t="str">
        <f aca="false">IF($D1195="","",IFERROR(INDEX(ClientRates!$E$5:$E$500,MATCH($B1195&amp;"|"&amp;$L1195,ClientRates!$A$5:$A$500,0)),0))</f>
        <v/>
      </c>
      <c r="O1195" s="26" t="str">
        <f aca="false">IF($D1195="","",F1195*M1195+G1195*N1195)</f>
        <v/>
      </c>
      <c r="P1195" s="26" t="str">
        <f aca="false">IF(OR($D1195="",$J1195&lt;&gt;"Supplier"),"",IFERROR(INDEX(SupplierRates!$D$5:$D$500,MATCH($K1195&amp;"|"&amp;$L1195,SupplierRates!$A$5:$A$500,0)),0))</f>
        <v/>
      </c>
      <c r="Q1195" s="26" t="str">
        <f aca="false">IF(OR($D1195="",$J1195&lt;&gt;"Supplier"),"",IFERROR(INDEX(SupplierRates!$E$5:$E$500,MATCH($K1195&amp;"|"&amp;$L1195,SupplierRates!$A$5:$A$500,0)),0))</f>
        <v/>
      </c>
      <c r="R1195" s="26" t="n">
        <f aca="false">IF(OR($D1195="",$J1195&lt;&gt;"Supplier"),0,F1195*P1195+G1195*Q1195)</f>
        <v>0</v>
      </c>
      <c r="S1195" s="26" t="n">
        <f aca="false">IF(OR($D1195="",$J1195&lt;&gt;"Own"),0,IFERROR((F1195+G1195*Settings!$B$13)*INDEX(Workers!$V$5:$V$2004,MATCH($D1195,Workers!$A$5:$A$2004,0)),0))</f>
        <v>0</v>
      </c>
      <c r="T1195" s="26" t="str">
        <f aca="false">IF($D1195="","",O1195-R1195-S1195)</f>
        <v/>
      </c>
    </row>
    <row r="1196" customFormat="false" ht="15" hidden="false" customHeight="false" outlineLevel="0" collapsed="false">
      <c r="I1196" s="24" t="str">
        <f aca="false">IF($D1196="","",IFERROR(INDEX(Workers!$B$5:$B$2004,MATCH($D1196,Workers!$A$5:$A$2004,0)),"NOT FOUND"))</f>
        <v/>
      </c>
      <c r="J1196" s="24" t="str">
        <f aca="false">IF($D1196="","",IFERROR(INDEX(Workers!$C$5:$C$2004,MATCH($D1196,Workers!$A$5:$A$2004,0)),""))</f>
        <v/>
      </c>
      <c r="K1196" s="24" t="str">
        <f aca="false">IF($D1196="","",IFERROR(IF(INDEX(Workers!$D$5:$D$2004,MATCH($D1196,Workers!$A$5:$A$2004,0))=0,"",INDEX(Workers!$D$5:$D$2004,MATCH($D1196,Workers!$A$5:$A$2004,0))),""))</f>
        <v/>
      </c>
      <c r="L1196" s="24" t="str">
        <f aca="false">IF($D1196="","",IFERROR(INDEX(Workers!$E$5:$E$2004,MATCH($D1196,Workers!$A$5:$A$2004,0)),""))</f>
        <v/>
      </c>
      <c r="M1196" s="26" t="str">
        <f aca="false">IF($D1196="","",IFERROR(INDEX(ClientRates!$D$5:$D$500,MATCH($B1196&amp;"|"&amp;$L1196,ClientRates!$A$5:$A$500,0)),0))</f>
        <v/>
      </c>
      <c r="N1196" s="26" t="str">
        <f aca="false">IF($D1196="","",IFERROR(INDEX(ClientRates!$E$5:$E$500,MATCH($B1196&amp;"|"&amp;$L1196,ClientRates!$A$5:$A$500,0)),0))</f>
        <v/>
      </c>
      <c r="O1196" s="26" t="str">
        <f aca="false">IF($D1196="","",F1196*M1196+G1196*N1196)</f>
        <v/>
      </c>
      <c r="P1196" s="26" t="str">
        <f aca="false">IF(OR($D1196="",$J1196&lt;&gt;"Supplier"),"",IFERROR(INDEX(SupplierRates!$D$5:$D$500,MATCH($K1196&amp;"|"&amp;$L1196,SupplierRates!$A$5:$A$500,0)),0))</f>
        <v/>
      </c>
      <c r="Q1196" s="26" t="str">
        <f aca="false">IF(OR($D1196="",$J1196&lt;&gt;"Supplier"),"",IFERROR(INDEX(SupplierRates!$E$5:$E$500,MATCH($K1196&amp;"|"&amp;$L1196,SupplierRates!$A$5:$A$500,0)),0))</f>
        <v/>
      </c>
      <c r="R1196" s="26" t="n">
        <f aca="false">IF(OR($D1196="",$J1196&lt;&gt;"Supplier"),0,F1196*P1196+G1196*Q1196)</f>
        <v>0</v>
      </c>
      <c r="S1196" s="26" t="n">
        <f aca="false">IF(OR($D1196="",$J1196&lt;&gt;"Own"),0,IFERROR((F1196+G1196*Settings!$B$13)*INDEX(Workers!$V$5:$V$2004,MATCH($D1196,Workers!$A$5:$A$2004,0)),0))</f>
        <v>0</v>
      </c>
      <c r="T1196" s="26" t="str">
        <f aca="false">IF($D1196="","",O1196-R1196-S1196)</f>
        <v/>
      </c>
    </row>
    <row r="1197" customFormat="false" ht="15" hidden="false" customHeight="false" outlineLevel="0" collapsed="false">
      <c r="I1197" s="24" t="str">
        <f aca="false">IF($D1197="","",IFERROR(INDEX(Workers!$B$5:$B$2004,MATCH($D1197,Workers!$A$5:$A$2004,0)),"NOT FOUND"))</f>
        <v/>
      </c>
      <c r="J1197" s="24" t="str">
        <f aca="false">IF($D1197="","",IFERROR(INDEX(Workers!$C$5:$C$2004,MATCH($D1197,Workers!$A$5:$A$2004,0)),""))</f>
        <v/>
      </c>
      <c r="K1197" s="24" t="str">
        <f aca="false">IF($D1197="","",IFERROR(IF(INDEX(Workers!$D$5:$D$2004,MATCH($D1197,Workers!$A$5:$A$2004,0))=0,"",INDEX(Workers!$D$5:$D$2004,MATCH($D1197,Workers!$A$5:$A$2004,0))),""))</f>
        <v/>
      </c>
      <c r="L1197" s="24" t="str">
        <f aca="false">IF($D1197="","",IFERROR(INDEX(Workers!$E$5:$E$2004,MATCH($D1197,Workers!$A$5:$A$2004,0)),""))</f>
        <v/>
      </c>
      <c r="M1197" s="26" t="str">
        <f aca="false">IF($D1197="","",IFERROR(INDEX(ClientRates!$D$5:$D$500,MATCH($B1197&amp;"|"&amp;$L1197,ClientRates!$A$5:$A$500,0)),0))</f>
        <v/>
      </c>
      <c r="N1197" s="26" t="str">
        <f aca="false">IF($D1197="","",IFERROR(INDEX(ClientRates!$E$5:$E$500,MATCH($B1197&amp;"|"&amp;$L1197,ClientRates!$A$5:$A$500,0)),0))</f>
        <v/>
      </c>
      <c r="O1197" s="26" t="str">
        <f aca="false">IF($D1197="","",F1197*M1197+G1197*N1197)</f>
        <v/>
      </c>
      <c r="P1197" s="26" t="str">
        <f aca="false">IF(OR($D1197="",$J1197&lt;&gt;"Supplier"),"",IFERROR(INDEX(SupplierRates!$D$5:$D$500,MATCH($K1197&amp;"|"&amp;$L1197,SupplierRates!$A$5:$A$500,0)),0))</f>
        <v/>
      </c>
      <c r="Q1197" s="26" t="str">
        <f aca="false">IF(OR($D1197="",$J1197&lt;&gt;"Supplier"),"",IFERROR(INDEX(SupplierRates!$E$5:$E$500,MATCH($K1197&amp;"|"&amp;$L1197,SupplierRates!$A$5:$A$500,0)),0))</f>
        <v/>
      </c>
      <c r="R1197" s="26" t="n">
        <f aca="false">IF(OR($D1197="",$J1197&lt;&gt;"Supplier"),0,F1197*P1197+G1197*Q1197)</f>
        <v>0</v>
      </c>
      <c r="S1197" s="26" t="n">
        <f aca="false">IF(OR($D1197="",$J1197&lt;&gt;"Own"),0,IFERROR((F1197+G1197*Settings!$B$13)*INDEX(Workers!$V$5:$V$2004,MATCH($D1197,Workers!$A$5:$A$2004,0)),0))</f>
        <v>0</v>
      </c>
      <c r="T1197" s="26" t="str">
        <f aca="false">IF($D1197="","",O1197-R1197-S1197)</f>
        <v/>
      </c>
    </row>
    <row r="1198" customFormat="false" ht="15" hidden="false" customHeight="false" outlineLevel="0" collapsed="false">
      <c r="I1198" s="24" t="str">
        <f aca="false">IF($D1198="","",IFERROR(INDEX(Workers!$B$5:$B$2004,MATCH($D1198,Workers!$A$5:$A$2004,0)),"NOT FOUND"))</f>
        <v/>
      </c>
      <c r="J1198" s="24" t="str">
        <f aca="false">IF($D1198="","",IFERROR(INDEX(Workers!$C$5:$C$2004,MATCH($D1198,Workers!$A$5:$A$2004,0)),""))</f>
        <v/>
      </c>
      <c r="K1198" s="24" t="str">
        <f aca="false">IF($D1198="","",IFERROR(IF(INDEX(Workers!$D$5:$D$2004,MATCH($D1198,Workers!$A$5:$A$2004,0))=0,"",INDEX(Workers!$D$5:$D$2004,MATCH($D1198,Workers!$A$5:$A$2004,0))),""))</f>
        <v/>
      </c>
      <c r="L1198" s="24" t="str">
        <f aca="false">IF($D1198="","",IFERROR(INDEX(Workers!$E$5:$E$2004,MATCH($D1198,Workers!$A$5:$A$2004,0)),""))</f>
        <v/>
      </c>
      <c r="M1198" s="26" t="str">
        <f aca="false">IF($D1198="","",IFERROR(INDEX(ClientRates!$D$5:$D$500,MATCH($B1198&amp;"|"&amp;$L1198,ClientRates!$A$5:$A$500,0)),0))</f>
        <v/>
      </c>
      <c r="N1198" s="26" t="str">
        <f aca="false">IF($D1198="","",IFERROR(INDEX(ClientRates!$E$5:$E$500,MATCH($B1198&amp;"|"&amp;$L1198,ClientRates!$A$5:$A$500,0)),0))</f>
        <v/>
      </c>
      <c r="O1198" s="26" t="str">
        <f aca="false">IF($D1198="","",F1198*M1198+G1198*N1198)</f>
        <v/>
      </c>
      <c r="P1198" s="26" t="str">
        <f aca="false">IF(OR($D1198="",$J1198&lt;&gt;"Supplier"),"",IFERROR(INDEX(SupplierRates!$D$5:$D$500,MATCH($K1198&amp;"|"&amp;$L1198,SupplierRates!$A$5:$A$500,0)),0))</f>
        <v/>
      </c>
      <c r="Q1198" s="26" t="str">
        <f aca="false">IF(OR($D1198="",$J1198&lt;&gt;"Supplier"),"",IFERROR(INDEX(SupplierRates!$E$5:$E$500,MATCH($K1198&amp;"|"&amp;$L1198,SupplierRates!$A$5:$A$500,0)),0))</f>
        <v/>
      </c>
      <c r="R1198" s="26" t="n">
        <f aca="false">IF(OR($D1198="",$J1198&lt;&gt;"Supplier"),0,F1198*P1198+G1198*Q1198)</f>
        <v>0</v>
      </c>
      <c r="S1198" s="26" t="n">
        <f aca="false">IF(OR($D1198="",$J1198&lt;&gt;"Own"),0,IFERROR((F1198+G1198*Settings!$B$13)*INDEX(Workers!$V$5:$V$2004,MATCH($D1198,Workers!$A$5:$A$2004,0)),0))</f>
        <v>0</v>
      </c>
      <c r="T1198" s="26" t="str">
        <f aca="false">IF($D1198="","",O1198-R1198-S1198)</f>
        <v/>
      </c>
    </row>
    <row r="1199" customFormat="false" ht="15" hidden="false" customHeight="false" outlineLevel="0" collapsed="false">
      <c r="I1199" s="24" t="str">
        <f aca="false">IF($D1199="","",IFERROR(INDEX(Workers!$B$5:$B$2004,MATCH($D1199,Workers!$A$5:$A$2004,0)),"NOT FOUND"))</f>
        <v/>
      </c>
      <c r="J1199" s="24" t="str">
        <f aca="false">IF($D1199="","",IFERROR(INDEX(Workers!$C$5:$C$2004,MATCH($D1199,Workers!$A$5:$A$2004,0)),""))</f>
        <v/>
      </c>
      <c r="K1199" s="24" t="str">
        <f aca="false">IF($D1199="","",IFERROR(IF(INDEX(Workers!$D$5:$D$2004,MATCH($D1199,Workers!$A$5:$A$2004,0))=0,"",INDEX(Workers!$D$5:$D$2004,MATCH($D1199,Workers!$A$5:$A$2004,0))),""))</f>
        <v/>
      </c>
      <c r="L1199" s="24" t="str">
        <f aca="false">IF($D1199="","",IFERROR(INDEX(Workers!$E$5:$E$2004,MATCH($D1199,Workers!$A$5:$A$2004,0)),""))</f>
        <v/>
      </c>
      <c r="M1199" s="26" t="str">
        <f aca="false">IF($D1199="","",IFERROR(INDEX(ClientRates!$D$5:$D$500,MATCH($B1199&amp;"|"&amp;$L1199,ClientRates!$A$5:$A$500,0)),0))</f>
        <v/>
      </c>
      <c r="N1199" s="26" t="str">
        <f aca="false">IF($D1199="","",IFERROR(INDEX(ClientRates!$E$5:$E$500,MATCH($B1199&amp;"|"&amp;$L1199,ClientRates!$A$5:$A$500,0)),0))</f>
        <v/>
      </c>
      <c r="O1199" s="26" t="str">
        <f aca="false">IF($D1199="","",F1199*M1199+G1199*N1199)</f>
        <v/>
      </c>
      <c r="P1199" s="26" t="str">
        <f aca="false">IF(OR($D1199="",$J1199&lt;&gt;"Supplier"),"",IFERROR(INDEX(SupplierRates!$D$5:$D$500,MATCH($K1199&amp;"|"&amp;$L1199,SupplierRates!$A$5:$A$500,0)),0))</f>
        <v/>
      </c>
      <c r="Q1199" s="26" t="str">
        <f aca="false">IF(OR($D1199="",$J1199&lt;&gt;"Supplier"),"",IFERROR(INDEX(SupplierRates!$E$5:$E$500,MATCH($K1199&amp;"|"&amp;$L1199,SupplierRates!$A$5:$A$500,0)),0))</f>
        <v/>
      </c>
      <c r="R1199" s="26" t="n">
        <f aca="false">IF(OR($D1199="",$J1199&lt;&gt;"Supplier"),0,F1199*P1199+G1199*Q1199)</f>
        <v>0</v>
      </c>
      <c r="S1199" s="26" t="n">
        <f aca="false">IF(OR($D1199="",$J1199&lt;&gt;"Own"),0,IFERROR((F1199+G1199*Settings!$B$13)*INDEX(Workers!$V$5:$V$2004,MATCH($D1199,Workers!$A$5:$A$2004,0)),0))</f>
        <v>0</v>
      </c>
      <c r="T1199" s="26" t="str">
        <f aca="false">IF($D1199="","",O1199-R1199-S1199)</f>
        <v/>
      </c>
    </row>
    <row r="1200" customFormat="false" ht="15" hidden="false" customHeight="false" outlineLevel="0" collapsed="false">
      <c r="I1200" s="24" t="str">
        <f aca="false">IF($D1200="","",IFERROR(INDEX(Workers!$B$5:$B$2004,MATCH($D1200,Workers!$A$5:$A$2004,0)),"NOT FOUND"))</f>
        <v/>
      </c>
      <c r="J1200" s="24" t="str">
        <f aca="false">IF($D1200="","",IFERROR(INDEX(Workers!$C$5:$C$2004,MATCH($D1200,Workers!$A$5:$A$2004,0)),""))</f>
        <v/>
      </c>
      <c r="K1200" s="24" t="str">
        <f aca="false">IF($D1200="","",IFERROR(IF(INDEX(Workers!$D$5:$D$2004,MATCH($D1200,Workers!$A$5:$A$2004,0))=0,"",INDEX(Workers!$D$5:$D$2004,MATCH($D1200,Workers!$A$5:$A$2004,0))),""))</f>
        <v/>
      </c>
      <c r="L1200" s="24" t="str">
        <f aca="false">IF($D1200="","",IFERROR(INDEX(Workers!$E$5:$E$2004,MATCH($D1200,Workers!$A$5:$A$2004,0)),""))</f>
        <v/>
      </c>
      <c r="M1200" s="26" t="str">
        <f aca="false">IF($D1200="","",IFERROR(INDEX(ClientRates!$D$5:$D$500,MATCH($B1200&amp;"|"&amp;$L1200,ClientRates!$A$5:$A$500,0)),0))</f>
        <v/>
      </c>
      <c r="N1200" s="26" t="str">
        <f aca="false">IF($D1200="","",IFERROR(INDEX(ClientRates!$E$5:$E$500,MATCH($B1200&amp;"|"&amp;$L1200,ClientRates!$A$5:$A$500,0)),0))</f>
        <v/>
      </c>
      <c r="O1200" s="26" t="str">
        <f aca="false">IF($D1200="","",F1200*M1200+G1200*N1200)</f>
        <v/>
      </c>
      <c r="P1200" s="26" t="str">
        <f aca="false">IF(OR($D1200="",$J1200&lt;&gt;"Supplier"),"",IFERROR(INDEX(SupplierRates!$D$5:$D$500,MATCH($K1200&amp;"|"&amp;$L1200,SupplierRates!$A$5:$A$500,0)),0))</f>
        <v/>
      </c>
      <c r="Q1200" s="26" t="str">
        <f aca="false">IF(OR($D1200="",$J1200&lt;&gt;"Supplier"),"",IFERROR(INDEX(SupplierRates!$E$5:$E$500,MATCH($K1200&amp;"|"&amp;$L1200,SupplierRates!$A$5:$A$500,0)),0))</f>
        <v/>
      </c>
      <c r="R1200" s="26" t="n">
        <f aca="false">IF(OR($D1200="",$J1200&lt;&gt;"Supplier"),0,F1200*P1200+G1200*Q1200)</f>
        <v>0</v>
      </c>
      <c r="S1200" s="26" t="n">
        <f aca="false">IF(OR($D1200="",$J1200&lt;&gt;"Own"),0,IFERROR((F1200+G1200*Settings!$B$13)*INDEX(Workers!$V$5:$V$2004,MATCH($D1200,Workers!$A$5:$A$2004,0)),0))</f>
        <v>0</v>
      </c>
      <c r="T1200" s="26" t="str">
        <f aca="false">IF($D1200="","",O1200-R1200-S1200)</f>
        <v/>
      </c>
    </row>
    <row r="1201" customFormat="false" ht="15" hidden="false" customHeight="false" outlineLevel="0" collapsed="false">
      <c r="I1201" s="24" t="str">
        <f aca="false">IF($D1201="","",IFERROR(INDEX(Workers!$B$5:$B$2004,MATCH($D1201,Workers!$A$5:$A$2004,0)),"NOT FOUND"))</f>
        <v/>
      </c>
      <c r="J1201" s="24" t="str">
        <f aca="false">IF($D1201="","",IFERROR(INDEX(Workers!$C$5:$C$2004,MATCH($D1201,Workers!$A$5:$A$2004,0)),""))</f>
        <v/>
      </c>
      <c r="K1201" s="24" t="str">
        <f aca="false">IF($D1201="","",IFERROR(IF(INDEX(Workers!$D$5:$D$2004,MATCH($D1201,Workers!$A$5:$A$2004,0))=0,"",INDEX(Workers!$D$5:$D$2004,MATCH($D1201,Workers!$A$5:$A$2004,0))),""))</f>
        <v/>
      </c>
      <c r="L1201" s="24" t="str">
        <f aca="false">IF($D1201="","",IFERROR(INDEX(Workers!$E$5:$E$2004,MATCH($D1201,Workers!$A$5:$A$2004,0)),""))</f>
        <v/>
      </c>
      <c r="M1201" s="26" t="str">
        <f aca="false">IF($D1201="","",IFERROR(INDEX(ClientRates!$D$5:$D$500,MATCH($B1201&amp;"|"&amp;$L1201,ClientRates!$A$5:$A$500,0)),0))</f>
        <v/>
      </c>
      <c r="N1201" s="26" t="str">
        <f aca="false">IF($D1201="","",IFERROR(INDEX(ClientRates!$E$5:$E$500,MATCH($B1201&amp;"|"&amp;$L1201,ClientRates!$A$5:$A$500,0)),0))</f>
        <v/>
      </c>
      <c r="O1201" s="26" t="str">
        <f aca="false">IF($D1201="","",F1201*M1201+G1201*N1201)</f>
        <v/>
      </c>
      <c r="P1201" s="26" t="str">
        <f aca="false">IF(OR($D1201="",$J1201&lt;&gt;"Supplier"),"",IFERROR(INDEX(SupplierRates!$D$5:$D$500,MATCH($K1201&amp;"|"&amp;$L1201,SupplierRates!$A$5:$A$500,0)),0))</f>
        <v/>
      </c>
      <c r="Q1201" s="26" t="str">
        <f aca="false">IF(OR($D1201="",$J1201&lt;&gt;"Supplier"),"",IFERROR(INDEX(SupplierRates!$E$5:$E$500,MATCH($K1201&amp;"|"&amp;$L1201,SupplierRates!$A$5:$A$500,0)),0))</f>
        <v/>
      </c>
      <c r="R1201" s="26" t="n">
        <f aca="false">IF(OR($D1201="",$J1201&lt;&gt;"Supplier"),0,F1201*P1201+G1201*Q1201)</f>
        <v>0</v>
      </c>
      <c r="S1201" s="26" t="n">
        <f aca="false">IF(OR($D1201="",$J1201&lt;&gt;"Own"),0,IFERROR((F1201+G1201*Settings!$B$13)*INDEX(Workers!$V$5:$V$2004,MATCH($D1201,Workers!$A$5:$A$2004,0)),0))</f>
        <v>0</v>
      </c>
      <c r="T1201" s="26" t="str">
        <f aca="false">IF($D1201="","",O1201-R1201-S1201)</f>
        <v/>
      </c>
    </row>
    <row r="1202" customFormat="false" ht="15" hidden="false" customHeight="false" outlineLevel="0" collapsed="false">
      <c r="I1202" s="24" t="str">
        <f aca="false">IF($D1202="","",IFERROR(INDEX(Workers!$B$5:$B$2004,MATCH($D1202,Workers!$A$5:$A$2004,0)),"NOT FOUND"))</f>
        <v/>
      </c>
      <c r="J1202" s="24" t="str">
        <f aca="false">IF($D1202="","",IFERROR(INDEX(Workers!$C$5:$C$2004,MATCH($D1202,Workers!$A$5:$A$2004,0)),""))</f>
        <v/>
      </c>
      <c r="K1202" s="24" t="str">
        <f aca="false">IF($D1202="","",IFERROR(IF(INDEX(Workers!$D$5:$D$2004,MATCH($D1202,Workers!$A$5:$A$2004,0))=0,"",INDEX(Workers!$D$5:$D$2004,MATCH($D1202,Workers!$A$5:$A$2004,0))),""))</f>
        <v/>
      </c>
      <c r="L1202" s="24" t="str">
        <f aca="false">IF($D1202="","",IFERROR(INDEX(Workers!$E$5:$E$2004,MATCH($D1202,Workers!$A$5:$A$2004,0)),""))</f>
        <v/>
      </c>
      <c r="M1202" s="26" t="str">
        <f aca="false">IF($D1202="","",IFERROR(INDEX(ClientRates!$D$5:$D$500,MATCH($B1202&amp;"|"&amp;$L1202,ClientRates!$A$5:$A$500,0)),0))</f>
        <v/>
      </c>
      <c r="N1202" s="26" t="str">
        <f aca="false">IF($D1202="","",IFERROR(INDEX(ClientRates!$E$5:$E$500,MATCH($B1202&amp;"|"&amp;$L1202,ClientRates!$A$5:$A$500,0)),0))</f>
        <v/>
      </c>
      <c r="O1202" s="26" t="str">
        <f aca="false">IF($D1202="","",F1202*M1202+G1202*N1202)</f>
        <v/>
      </c>
      <c r="P1202" s="26" t="str">
        <f aca="false">IF(OR($D1202="",$J1202&lt;&gt;"Supplier"),"",IFERROR(INDEX(SupplierRates!$D$5:$D$500,MATCH($K1202&amp;"|"&amp;$L1202,SupplierRates!$A$5:$A$500,0)),0))</f>
        <v/>
      </c>
      <c r="Q1202" s="26" t="str">
        <f aca="false">IF(OR($D1202="",$J1202&lt;&gt;"Supplier"),"",IFERROR(INDEX(SupplierRates!$E$5:$E$500,MATCH($K1202&amp;"|"&amp;$L1202,SupplierRates!$A$5:$A$500,0)),0))</f>
        <v/>
      </c>
      <c r="R1202" s="26" t="n">
        <f aca="false">IF(OR($D1202="",$J1202&lt;&gt;"Supplier"),0,F1202*P1202+G1202*Q1202)</f>
        <v>0</v>
      </c>
      <c r="S1202" s="26" t="n">
        <f aca="false">IF(OR($D1202="",$J1202&lt;&gt;"Own"),0,IFERROR((F1202+G1202*Settings!$B$13)*INDEX(Workers!$V$5:$V$2004,MATCH($D1202,Workers!$A$5:$A$2004,0)),0))</f>
        <v>0</v>
      </c>
      <c r="T1202" s="26" t="str">
        <f aca="false">IF($D1202="","",O1202-R1202-S1202)</f>
        <v/>
      </c>
    </row>
    <row r="1203" customFormat="false" ht="15" hidden="false" customHeight="false" outlineLevel="0" collapsed="false">
      <c r="I1203" s="24" t="str">
        <f aca="false">IF($D1203="","",IFERROR(INDEX(Workers!$B$5:$B$2004,MATCH($D1203,Workers!$A$5:$A$2004,0)),"NOT FOUND"))</f>
        <v/>
      </c>
      <c r="J1203" s="24" t="str">
        <f aca="false">IF($D1203="","",IFERROR(INDEX(Workers!$C$5:$C$2004,MATCH($D1203,Workers!$A$5:$A$2004,0)),""))</f>
        <v/>
      </c>
      <c r="K1203" s="24" t="str">
        <f aca="false">IF($D1203="","",IFERROR(IF(INDEX(Workers!$D$5:$D$2004,MATCH($D1203,Workers!$A$5:$A$2004,0))=0,"",INDEX(Workers!$D$5:$D$2004,MATCH($D1203,Workers!$A$5:$A$2004,0))),""))</f>
        <v/>
      </c>
      <c r="L1203" s="24" t="str">
        <f aca="false">IF($D1203="","",IFERROR(INDEX(Workers!$E$5:$E$2004,MATCH($D1203,Workers!$A$5:$A$2004,0)),""))</f>
        <v/>
      </c>
      <c r="M1203" s="26" t="str">
        <f aca="false">IF($D1203="","",IFERROR(INDEX(ClientRates!$D$5:$D$500,MATCH($B1203&amp;"|"&amp;$L1203,ClientRates!$A$5:$A$500,0)),0))</f>
        <v/>
      </c>
      <c r="N1203" s="26" t="str">
        <f aca="false">IF($D1203="","",IFERROR(INDEX(ClientRates!$E$5:$E$500,MATCH($B1203&amp;"|"&amp;$L1203,ClientRates!$A$5:$A$500,0)),0))</f>
        <v/>
      </c>
      <c r="O1203" s="26" t="str">
        <f aca="false">IF($D1203="","",F1203*M1203+G1203*N1203)</f>
        <v/>
      </c>
      <c r="P1203" s="26" t="str">
        <f aca="false">IF(OR($D1203="",$J1203&lt;&gt;"Supplier"),"",IFERROR(INDEX(SupplierRates!$D$5:$D$500,MATCH($K1203&amp;"|"&amp;$L1203,SupplierRates!$A$5:$A$500,0)),0))</f>
        <v/>
      </c>
      <c r="Q1203" s="26" t="str">
        <f aca="false">IF(OR($D1203="",$J1203&lt;&gt;"Supplier"),"",IFERROR(INDEX(SupplierRates!$E$5:$E$500,MATCH($K1203&amp;"|"&amp;$L1203,SupplierRates!$A$5:$A$500,0)),0))</f>
        <v/>
      </c>
      <c r="R1203" s="26" t="n">
        <f aca="false">IF(OR($D1203="",$J1203&lt;&gt;"Supplier"),0,F1203*P1203+G1203*Q1203)</f>
        <v>0</v>
      </c>
      <c r="S1203" s="26" t="n">
        <f aca="false">IF(OR($D1203="",$J1203&lt;&gt;"Own"),0,IFERROR((F1203+G1203*Settings!$B$13)*INDEX(Workers!$V$5:$V$2004,MATCH($D1203,Workers!$A$5:$A$2004,0)),0))</f>
        <v>0</v>
      </c>
      <c r="T1203" s="26" t="str">
        <f aca="false">IF($D1203="","",O1203-R1203-S1203)</f>
        <v/>
      </c>
    </row>
    <row r="1204" customFormat="false" ht="15" hidden="false" customHeight="false" outlineLevel="0" collapsed="false">
      <c r="I1204" s="24" t="str">
        <f aca="false">IF($D1204="","",IFERROR(INDEX(Workers!$B$5:$B$2004,MATCH($D1204,Workers!$A$5:$A$2004,0)),"NOT FOUND"))</f>
        <v/>
      </c>
      <c r="J1204" s="24" t="str">
        <f aca="false">IF($D1204="","",IFERROR(INDEX(Workers!$C$5:$C$2004,MATCH($D1204,Workers!$A$5:$A$2004,0)),""))</f>
        <v/>
      </c>
      <c r="K1204" s="24" t="str">
        <f aca="false">IF($D1204="","",IFERROR(IF(INDEX(Workers!$D$5:$D$2004,MATCH($D1204,Workers!$A$5:$A$2004,0))=0,"",INDEX(Workers!$D$5:$D$2004,MATCH($D1204,Workers!$A$5:$A$2004,0))),""))</f>
        <v/>
      </c>
      <c r="L1204" s="24" t="str">
        <f aca="false">IF($D1204="","",IFERROR(INDEX(Workers!$E$5:$E$2004,MATCH($D1204,Workers!$A$5:$A$2004,0)),""))</f>
        <v/>
      </c>
      <c r="M1204" s="26" t="str">
        <f aca="false">IF($D1204="","",IFERROR(INDEX(ClientRates!$D$5:$D$500,MATCH($B1204&amp;"|"&amp;$L1204,ClientRates!$A$5:$A$500,0)),0))</f>
        <v/>
      </c>
      <c r="N1204" s="26" t="str">
        <f aca="false">IF($D1204="","",IFERROR(INDEX(ClientRates!$E$5:$E$500,MATCH($B1204&amp;"|"&amp;$L1204,ClientRates!$A$5:$A$500,0)),0))</f>
        <v/>
      </c>
      <c r="O1204" s="26" t="str">
        <f aca="false">IF($D1204="","",F1204*M1204+G1204*N1204)</f>
        <v/>
      </c>
      <c r="P1204" s="26" t="str">
        <f aca="false">IF(OR($D1204="",$J1204&lt;&gt;"Supplier"),"",IFERROR(INDEX(SupplierRates!$D$5:$D$500,MATCH($K1204&amp;"|"&amp;$L1204,SupplierRates!$A$5:$A$500,0)),0))</f>
        <v/>
      </c>
      <c r="Q1204" s="26" t="str">
        <f aca="false">IF(OR($D1204="",$J1204&lt;&gt;"Supplier"),"",IFERROR(INDEX(SupplierRates!$E$5:$E$500,MATCH($K1204&amp;"|"&amp;$L1204,SupplierRates!$A$5:$A$500,0)),0))</f>
        <v/>
      </c>
      <c r="R1204" s="26" t="n">
        <f aca="false">IF(OR($D1204="",$J1204&lt;&gt;"Supplier"),0,F1204*P1204+G1204*Q1204)</f>
        <v>0</v>
      </c>
      <c r="S1204" s="26" t="n">
        <f aca="false">IF(OR($D1204="",$J1204&lt;&gt;"Own"),0,IFERROR((F1204+G1204*Settings!$B$13)*INDEX(Workers!$V$5:$V$2004,MATCH($D1204,Workers!$A$5:$A$2004,0)),0))</f>
        <v>0</v>
      </c>
      <c r="T1204" s="26" t="str">
        <f aca="false">IF($D1204="","",O1204-R1204-S1204)</f>
        <v/>
      </c>
    </row>
    <row r="1205" customFormat="false" ht="15" hidden="false" customHeight="false" outlineLevel="0" collapsed="false">
      <c r="I1205" s="24" t="str">
        <f aca="false">IF($D1205="","",IFERROR(INDEX(Workers!$B$5:$B$2004,MATCH($D1205,Workers!$A$5:$A$2004,0)),"NOT FOUND"))</f>
        <v/>
      </c>
      <c r="J1205" s="24" t="str">
        <f aca="false">IF($D1205="","",IFERROR(INDEX(Workers!$C$5:$C$2004,MATCH($D1205,Workers!$A$5:$A$2004,0)),""))</f>
        <v/>
      </c>
      <c r="K1205" s="24" t="str">
        <f aca="false">IF($D1205="","",IFERROR(IF(INDEX(Workers!$D$5:$D$2004,MATCH($D1205,Workers!$A$5:$A$2004,0))=0,"",INDEX(Workers!$D$5:$D$2004,MATCH($D1205,Workers!$A$5:$A$2004,0))),""))</f>
        <v/>
      </c>
      <c r="L1205" s="24" t="str">
        <f aca="false">IF($D1205="","",IFERROR(INDEX(Workers!$E$5:$E$2004,MATCH($D1205,Workers!$A$5:$A$2004,0)),""))</f>
        <v/>
      </c>
      <c r="M1205" s="26" t="str">
        <f aca="false">IF($D1205="","",IFERROR(INDEX(ClientRates!$D$5:$D$500,MATCH($B1205&amp;"|"&amp;$L1205,ClientRates!$A$5:$A$500,0)),0))</f>
        <v/>
      </c>
      <c r="N1205" s="26" t="str">
        <f aca="false">IF($D1205="","",IFERROR(INDEX(ClientRates!$E$5:$E$500,MATCH($B1205&amp;"|"&amp;$L1205,ClientRates!$A$5:$A$500,0)),0))</f>
        <v/>
      </c>
      <c r="O1205" s="26" t="str">
        <f aca="false">IF($D1205="","",F1205*M1205+G1205*N1205)</f>
        <v/>
      </c>
      <c r="P1205" s="26" t="str">
        <f aca="false">IF(OR($D1205="",$J1205&lt;&gt;"Supplier"),"",IFERROR(INDEX(SupplierRates!$D$5:$D$500,MATCH($K1205&amp;"|"&amp;$L1205,SupplierRates!$A$5:$A$500,0)),0))</f>
        <v/>
      </c>
      <c r="Q1205" s="26" t="str">
        <f aca="false">IF(OR($D1205="",$J1205&lt;&gt;"Supplier"),"",IFERROR(INDEX(SupplierRates!$E$5:$E$500,MATCH($K1205&amp;"|"&amp;$L1205,SupplierRates!$A$5:$A$500,0)),0))</f>
        <v/>
      </c>
      <c r="R1205" s="26" t="n">
        <f aca="false">IF(OR($D1205="",$J1205&lt;&gt;"Supplier"),0,F1205*P1205+G1205*Q1205)</f>
        <v>0</v>
      </c>
      <c r="S1205" s="26" t="n">
        <f aca="false">IF(OR($D1205="",$J1205&lt;&gt;"Own"),0,IFERROR((F1205+G1205*Settings!$B$13)*INDEX(Workers!$V$5:$V$2004,MATCH($D1205,Workers!$A$5:$A$2004,0)),0))</f>
        <v>0</v>
      </c>
      <c r="T1205" s="26" t="str">
        <f aca="false">IF($D1205="","",O1205-R1205-S1205)</f>
        <v/>
      </c>
    </row>
    <row r="1206" customFormat="false" ht="15" hidden="false" customHeight="false" outlineLevel="0" collapsed="false">
      <c r="I1206" s="24" t="str">
        <f aca="false">IF($D1206="","",IFERROR(INDEX(Workers!$B$5:$B$2004,MATCH($D1206,Workers!$A$5:$A$2004,0)),"NOT FOUND"))</f>
        <v/>
      </c>
      <c r="J1206" s="24" t="str">
        <f aca="false">IF($D1206="","",IFERROR(INDEX(Workers!$C$5:$C$2004,MATCH($D1206,Workers!$A$5:$A$2004,0)),""))</f>
        <v/>
      </c>
      <c r="K1206" s="24" t="str">
        <f aca="false">IF($D1206="","",IFERROR(IF(INDEX(Workers!$D$5:$D$2004,MATCH($D1206,Workers!$A$5:$A$2004,0))=0,"",INDEX(Workers!$D$5:$D$2004,MATCH($D1206,Workers!$A$5:$A$2004,0))),""))</f>
        <v/>
      </c>
      <c r="L1206" s="24" t="str">
        <f aca="false">IF($D1206="","",IFERROR(INDEX(Workers!$E$5:$E$2004,MATCH($D1206,Workers!$A$5:$A$2004,0)),""))</f>
        <v/>
      </c>
      <c r="M1206" s="26" t="str">
        <f aca="false">IF($D1206="","",IFERROR(INDEX(ClientRates!$D$5:$D$500,MATCH($B1206&amp;"|"&amp;$L1206,ClientRates!$A$5:$A$500,0)),0))</f>
        <v/>
      </c>
      <c r="N1206" s="26" t="str">
        <f aca="false">IF($D1206="","",IFERROR(INDEX(ClientRates!$E$5:$E$500,MATCH($B1206&amp;"|"&amp;$L1206,ClientRates!$A$5:$A$500,0)),0))</f>
        <v/>
      </c>
      <c r="O1206" s="26" t="str">
        <f aca="false">IF($D1206="","",F1206*M1206+G1206*N1206)</f>
        <v/>
      </c>
      <c r="P1206" s="26" t="str">
        <f aca="false">IF(OR($D1206="",$J1206&lt;&gt;"Supplier"),"",IFERROR(INDEX(SupplierRates!$D$5:$D$500,MATCH($K1206&amp;"|"&amp;$L1206,SupplierRates!$A$5:$A$500,0)),0))</f>
        <v/>
      </c>
      <c r="Q1206" s="26" t="str">
        <f aca="false">IF(OR($D1206="",$J1206&lt;&gt;"Supplier"),"",IFERROR(INDEX(SupplierRates!$E$5:$E$500,MATCH($K1206&amp;"|"&amp;$L1206,SupplierRates!$A$5:$A$500,0)),0))</f>
        <v/>
      </c>
      <c r="R1206" s="26" t="n">
        <f aca="false">IF(OR($D1206="",$J1206&lt;&gt;"Supplier"),0,F1206*P1206+G1206*Q1206)</f>
        <v>0</v>
      </c>
      <c r="S1206" s="26" t="n">
        <f aca="false">IF(OR($D1206="",$J1206&lt;&gt;"Own"),0,IFERROR((F1206+G1206*Settings!$B$13)*INDEX(Workers!$V$5:$V$2004,MATCH($D1206,Workers!$A$5:$A$2004,0)),0))</f>
        <v>0</v>
      </c>
      <c r="T1206" s="26" t="str">
        <f aca="false">IF($D1206="","",O1206-R1206-S1206)</f>
        <v/>
      </c>
    </row>
    <row r="1207" customFormat="false" ht="15" hidden="false" customHeight="false" outlineLevel="0" collapsed="false">
      <c r="I1207" s="24" t="str">
        <f aca="false">IF($D1207="","",IFERROR(INDEX(Workers!$B$5:$B$2004,MATCH($D1207,Workers!$A$5:$A$2004,0)),"NOT FOUND"))</f>
        <v/>
      </c>
      <c r="J1207" s="24" t="str">
        <f aca="false">IF($D1207="","",IFERROR(INDEX(Workers!$C$5:$C$2004,MATCH($D1207,Workers!$A$5:$A$2004,0)),""))</f>
        <v/>
      </c>
      <c r="K1207" s="24" t="str">
        <f aca="false">IF($D1207="","",IFERROR(IF(INDEX(Workers!$D$5:$D$2004,MATCH($D1207,Workers!$A$5:$A$2004,0))=0,"",INDEX(Workers!$D$5:$D$2004,MATCH($D1207,Workers!$A$5:$A$2004,0))),""))</f>
        <v/>
      </c>
      <c r="L1207" s="24" t="str">
        <f aca="false">IF($D1207="","",IFERROR(INDEX(Workers!$E$5:$E$2004,MATCH($D1207,Workers!$A$5:$A$2004,0)),""))</f>
        <v/>
      </c>
      <c r="M1207" s="26" t="str">
        <f aca="false">IF($D1207="","",IFERROR(INDEX(ClientRates!$D$5:$D$500,MATCH($B1207&amp;"|"&amp;$L1207,ClientRates!$A$5:$A$500,0)),0))</f>
        <v/>
      </c>
      <c r="N1207" s="26" t="str">
        <f aca="false">IF($D1207="","",IFERROR(INDEX(ClientRates!$E$5:$E$500,MATCH($B1207&amp;"|"&amp;$L1207,ClientRates!$A$5:$A$500,0)),0))</f>
        <v/>
      </c>
      <c r="O1207" s="26" t="str">
        <f aca="false">IF($D1207="","",F1207*M1207+G1207*N1207)</f>
        <v/>
      </c>
      <c r="P1207" s="26" t="str">
        <f aca="false">IF(OR($D1207="",$J1207&lt;&gt;"Supplier"),"",IFERROR(INDEX(SupplierRates!$D$5:$D$500,MATCH($K1207&amp;"|"&amp;$L1207,SupplierRates!$A$5:$A$500,0)),0))</f>
        <v/>
      </c>
      <c r="Q1207" s="26" t="str">
        <f aca="false">IF(OR($D1207="",$J1207&lt;&gt;"Supplier"),"",IFERROR(INDEX(SupplierRates!$E$5:$E$500,MATCH($K1207&amp;"|"&amp;$L1207,SupplierRates!$A$5:$A$500,0)),0))</f>
        <v/>
      </c>
      <c r="R1207" s="26" t="n">
        <f aca="false">IF(OR($D1207="",$J1207&lt;&gt;"Supplier"),0,F1207*P1207+G1207*Q1207)</f>
        <v>0</v>
      </c>
      <c r="S1207" s="26" t="n">
        <f aca="false">IF(OR($D1207="",$J1207&lt;&gt;"Own"),0,IFERROR((F1207+G1207*Settings!$B$13)*INDEX(Workers!$V$5:$V$2004,MATCH($D1207,Workers!$A$5:$A$2004,0)),0))</f>
        <v>0</v>
      </c>
      <c r="T1207" s="26" t="str">
        <f aca="false">IF($D1207="","",O1207-R1207-S1207)</f>
        <v/>
      </c>
    </row>
    <row r="1208" customFormat="false" ht="15" hidden="false" customHeight="false" outlineLevel="0" collapsed="false">
      <c r="I1208" s="24" t="str">
        <f aca="false">IF($D1208="","",IFERROR(INDEX(Workers!$B$5:$B$2004,MATCH($D1208,Workers!$A$5:$A$2004,0)),"NOT FOUND"))</f>
        <v/>
      </c>
      <c r="J1208" s="24" t="str">
        <f aca="false">IF($D1208="","",IFERROR(INDEX(Workers!$C$5:$C$2004,MATCH($D1208,Workers!$A$5:$A$2004,0)),""))</f>
        <v/>
      </c>
      <c r="K1208" s="24" t="str">
        <f aca="false">IF($D1208="","",IFERROR(IF(INDEX(Workers!$D$5:$D$2004,MATCH($D1208,Workers!$A$5:$A$2004,0))=0,"",INDEX(Workers!$D$5:$D$2004,MATCH($D1208,Workers!$A$5:$A$2004,0))),""))</f>
        <v/>
      </c>
      <c r="L1208" s="24" t="str">
        <f aca="false">IF($D1208="","",IFERROR(INDEX(Workers!$E$5:$E$2004,MATCH($D1208,Workers!$A$5:$A$2004,0)),""))</f>
        <v/>
      </c>
      <c r="M1208" s="26" t="str">
        <f aca="false">IF($D1208="","",IFERROR(INDEX(ClientRates!$D$5:$D$500,MATCH($B1208&amp;"|"&amp;$L1208,ClientRates!$A$5:$A$500,0)),0))</f>
        <v/>
      </c>
      <c r="N1208" s="26" t="str">
        <f aca="false">IF($D1208="","",IFERROR(INDEX(ClientRates!$E$5:$E$500,MATCH($B1208&amp;"|"&amp;$L1208,ClientRates!$A$5:$A$500,0)),0))</f>
        <v/>
      </c>
      <c r="O1208" s="26" t="str">
        <f aca="false">IF($D1208="","",F1208*M1208+G1208*N1208)</f>
        <v/>
      </c>
      <c r="P1208" s="26" t="str">
        <f aca="false">IF(OR($D1208="",$J1208&lt;&gt;"Supplier"),"",IFERROR(INDEX(SupplierRates!$D$5:$D$500,MATCH($K1208&amp;"|"&amp;$L1208,SupplierRates!$A$5:$A$500,0)),0))</f>
        <v/>
      </c>
      <c r="Q1208" s="26" t="str">
        <f aca="false">IF(OR($D1208="",$J1208&lt;&gt;"Supplier"),"",IFERROR(INDEX(SupplierRates!$E$5:$E$500,MATCH($K1208&amp;"|"&amp;$L1208,SupplierRates!$A$5:$A$500,0)),0))</f>
        <v/>
      </c>
      <c r="R1208" s="26" t="n">
        <f aca="false">IF(OR($D1208="",$J1208&lt;&gt;"Supplier"),0,F1208*P1208+G1208*Q1208)</f>
        <v>0</v>
      </c>
      <c r="S1208" s="26" t="n">
        <f aca="false">IF(OR($D1208="",$J1208&lt;&gt;"Own"),0,IFERROR((F1208+G1208*Settings!$B$13)*INDEX(Workers!$V$5:$V$2004,MATCH($D1208,Workers!$A$5:$A$2004,0)),0))</f>
        <v>0</v>
      </c>
      <c r="T1208" s="26" t="str">
        <f aca="false">IF($D1208="","",O1208-R1208-S1208)</f>
        <v/>
      </c>
    </row>
    <row r="1209" customFormat="false" ht="15" hidden="false" customHeight="false" outlineLevel="0" collapsed="false">
      <c r="I1209" s="24" t="str">
        <f aca="false">IF($D1209="","",IFERROR(INDEX(Workers!$B$5:$B$2004,MATCH($D1209,Workers!$A$5:$A$2004,0)),"NOT FOUND"))</f>
        <v/>
      </c>
      <c r="J1209" s="24" t="str">
        <f aca="false">IF($D1209="","",IFERROR(INDEX(Workers!$C$5:$C$2004,MATCH($D1209,Workers!$A$5:$A$2004,0)),""))</f>
        <v/>
      </c>
      <c r="K1209" s="24" t="str">
        <f aca="false">IF($D1209="","",IFERROR(IF(INDEX(Workers!$D$5:$D$2004,MATCH($D1209,Workers!$A$5:$A$2004,0))=0,"",INDEX(Workers!$D$5:$D$2004,MATCH($D1209,Workers!$A$5:$A$2004,0))),""))</f>
        <v/>
      </c>
      <c r="L1209" s="24" t="str">
        <f aca="false">IF($D1209="","",IFERROR(INDEX(Workers!$E$5:$E$2004,MATCH($D1209,Workers!$A$5:$A$2004,0)),""))</f>
        <v/>
      </c>
      <c r="M1209" s="26" t="str">
        <f aca="false">IF($D1209="","",IFERROR(INDEX(ClientRates!$D$5:$D$500,MATCH($B1209&amp;"|"&amp;$L1209,ClientRates!$A$5:$A$500,0)),0))</f>
        <v/>
      </c>
      <c r="N1209" s="26" t="str">
        <f aca="false">IF($D1209="","",IFERROR(INDEX(ClientRates!$E$5:$E$500,MATCH($B1209&amp;"|"&amp;$L1209,ClientRates!$A$5:$A$500,0)),0))</f>
        <v/>
      </c>
      <c r="O1209" s="26" t="str">
        <f aca="false">IF($D1209="","",F1209*M1209+G1209*N1209)</f>
        <v/>
      </c>
      <c r="P1209" s="26" t="str">
        <f aca="false">IF(OR($D1209="",$J1209&lt;&gt;"Supplier"),"",IFERROR(INDEX(SupplierRates!$D$5:$D$500,MATCH($K1209&amp;"|"&amp;$L1209,SupplierRates!$A$5:$A$500,0)),0))</f>
        <v/>
      </c>
      <c r="Q1209" s="26" t="str">
        <f aca="false">IF(OR($D1209="",$J1209&lt;&gt;"Supplier"),"",IFERROR(INDEX(SupplierRates!$E$5:$E$500,MATCH($K1209&amp;"|"&amp;$L1209,SupplierRates!$A$5:$A$500,0)),0))</f>
        <v/>
      </c>
      <c r="R1209" s="26" t="n">
        <f aca="false">IF(OR($D1209="",$J1209&lt;&gt;"Supplier"),0,F1209*P1209+G1209*Q1209)</f>
        <v>0</v>
      </c>
      <c r="S1209" s="26" t="n">
        <f aca="false">IF(OR($D1209="",$J1209&lt;&gt;"Own"),0,IFERROR((F1209+G1209*Settings!$B$13)*INDEX(Workers!$V$5:$V$2004,MATCH($D1209,Workers!$A$5:$A$2004,0)),0))</f>
        <v>0</v>
      </c>
      <c r="T1209" s="26" t="str">
        <f aca="false">IF($D1209="","",O1209-R1209-S1209)</f>
        <v/>
      </c>
    </row>
    <row r="1210" customFormat="false" ht="15" hidden="false" customHeight="false" outlineLevel="0" collapsed="false">
      <c r="I1210" s="24" t="str">
        <f aca="false">IF($D1210="","",IFERROR(INDEX(Workers!$B$5:$B$2004,MATCH($D1210,Workers!$A$5:$A$2004,0)),"NOT FOUND"))</f>
        <v/>
      </c>
      <c r="J1210" s="24" t="str">
        <f aca="false">IF($D1210="","",IFERROR(INDEX(Workers!$C$5:$C$2004,MATCH($D1210,Workers!$A$5:$A$2004,0)),""))</f>
        <v/>
      </c>
      <c r="K1210" s="24" t="str">
        <f aca="false">IF($D1210="","",IFERROR(IF(INDEX(Workers!$D$5:$D$2004,MATCH($D1210,Workers!$A$5:$A$2004,0))=0,"",INDEX(Workers!$D$5:$D$2004,MATCH($D1210,Workers!$A$5:$A$2004,0))),""))</f>
        <v/>
      </c>
      <c r="L1210" s="24" t="str">
        <f aca="false">IF($D1210="","",IFERROR(INDEX(Workers!$E$5:$E$2004,MATCH($D1210,Workers!$A$5:$A$2004,0)),""))</f>
        <v/>
      </c>
      <c r="M1210" s="26" t="str">
        <f aca="false">IF($D1210="","",IFERROR(INDEX(ClientRates!$D$5:$D$500,MATCH($B1210&amp;"|"&amp;$L1210,ClientRates!$A$5:$A$500,0)),0))</f>
        <v/>
      </c>
      <c r="N1210" s="26" t="str">
        <f aca="false">IF($D1210="","",IFERROR(INDEX(ClientRates!$E$5:$E$500,MATCH($B1210&amp;"|"&amp;$L1210,ClientRates!$A$5:$A$500,0)),0))</f>
        <v/>
      </c>
      <c r="O1210" s="26" t="str">
        <f aca="false">IF($D1210="","",F1210*M1210+G1210*N1210)</f>
        <v/>
      </c>
      <c r="P1210" s="26" t="str">
        <f aca="false">IF(OR($D1210="",$J1210&lt;&gt;"Supplier"),"",IFERROR(INDEX(SupplierRates!$D$5:$D$500,MATCH($K1210&amp;"|"&amp;$L1210,SupplierRates!$A$5:$A$500,0)),0))</f>
        <v/>
      </c>
      <c r="Q1210" s="26" t="str">
        <f aca="false">IF(OR($D1210="",$J1210&lt;&gt;"Supplier"),"",IFERROR(INDEX(SupplierRates!$E$5:$E$500,MATCH($K1210&amp;"|"&amp;$L1210,SupplierRates!$A$5:$A$500,0)),0))</f>
        <v/>
      </c>
      <c r="R1210" s="26" t="n">
        <f aca="false">IF(OR($D1210="",$J1210&lt;&gt;"Supplier"),0,F1210*P1210+G1210*Q1210)</f>
        <v>0</v>
      </c>
      <c r="S1210" s="26" t="n">
        <f aca="false">IF(OR($D1210="",$J1210&lt;&gt;"Own"),0,IFERROR((F1210+G1210*Settings!$B$13)*INDEX(Workers!$V$5:$V$2004,MATCH($D1210,Workers!$A$5:$A$2004,0)),0))</f>
        <v>0</v>
      </c>
      <c r="T1210" s="26" t="str">
        <f aca="false">IF($D1210="","",O1210-R1210-S1210)</f>
        <v/>
      </c>
    </row>
    <row r="1211" customFormat="false" ht="15" hidden="false" customHeight="false" outlineLevel="0" collapsed="false">
      <c r="I1211" s="24" t="str">
        <f aca="false">IF($D1211="","",IFERROR(INDEX(Workers!$B$5:$B$2004,MATCH($D1211,Workers!$A$5:$A$2004,0)),"NOT FOUND"))</f>
        <v/>
      </c>
      <c r="J1211" s="24" t="str">
        <f aca="false">IF($D1211="","",IFERROR(INDEX(Workers!$C$5:$C$2004,MATCH($D1211,Workers!$A$5:$A$2004,0)),""))</f>
        <v/>
      </c>
      <c r="K1211" s="24" t="str">
        <f aca="false">IF($D1211="","",IFERROR(IF(INDEX(Workers!$D$5:$D$2004,MATCH($D1211,Workers!$A$5:$A$2004,0))=0,"",INDEX(Workers!$D$5:$D$2004,MATCH($D1211,Workers!$A$5:$A$2004,0))),""))</f>
        <v/>
      </c>
      <c r="L1211" s="24" t="str">
        <f aca="false">IF($D1211="","",IFERROR(INDEX(Workers!$E$5:$E$2004,MATCH($D1211,Workers!$A$5:$A$2004,0)),""))</f>
        <v/>
      </c>
      <c r="M1211" s="26" t="str">
        <f aca="false">IF($D1211="","",IFERROR(INDEX(ClientRates!$D$5:$D$500,MATCH($B1211&amp;"|"&amp;$L1211,ClientRates!$A$5:$A$500,0)),0))</f>
        <v/>
      </c>
      <c r="N1211" s="26" t="str">
        <f aca="false">IF($D1211="","",IFERROR(INDEX(ClientRates!$E$5:$E$500,MATCH($B1211&amp;"|"&amp;$L1211,ClientRates!$A$5:$A$500,0)),0))</f>
        <v/>
      </c>
      <c r="O1211" s="26" t="str">
        <f aca="false">IF($D1211="","",F1211*M1211+G1211*N1211)</f>
        <v/>
      </c>
      <c r="P1211" s="26" t="str">
        <f aca="false">IF(OR($D1211="",$J1211&lt;&gt;"Supplier"),"",IFERROR(INDEX(SupplierRates!$D$5:$D$500,MATCH($K1211&amp;"|"&amp;$L1211,SupplierRates!$A$5:$A$500,0)),0))</f>
        <v/>
      </c>
      <c r="Q1211" s="26" t="str">
        <f aca="false">IF(OR($D1211="",$J1211&lt;&gt;"Supplier"),"",IFERROR(INDEX(SupplierRates!$E$5:$E$500,MATCH($K1211&amp;"|"&amp;$L1211,SupplierRates!$A$5:$A$500,0)),0))</f>
        <v/>
      </c>
      <c r="R1211" s="26" t="n">
        <f aca="false">IF(OR($D1211="",$J1211&lt;&gt;"Supplier"),0,F1211*P1211+G1211*Q1211)</f>
        <v>0</v>
      </c>
      <c r="S1211" s="26" t="n">
        <f aca="false">IF(OR($D1211="",$J1211&lt;&gt;"Own"),0,IFERROR((F1211+G1211*Settings!$B$13)*INDEX(Workers!$V$5:$V$2004,MATCH($D1211,Workers!$A$5:$A$2004,0)),0))</f>
        <v>0</v>
      </c>
      <c r="T1211" s="26" t="str">
        <f aca="false">IF($D1211="","",O1211-R1211-S1211)</f>
        <v/>
      </c>
    </row>
    <row r="1212" customFormat="false" ht="15" hidden="false" customHeight="false" outlineLevel="0" collapsed="false">
      <c r="I1212" s="24" t="str">
        <f aca="false">IF($D1212="","",IFERROR(INDEX(Workers!$B$5:$B$2004,MATCH($D1212,Workers!$A$5:$A$2004,0)),"NOT FOUND"))</f>
        <v/>
      </c>
      <c r="J1212" s="24" t="str">
        <f aca="false">IF($D1212="","",IFERROR(INDEX(Workers!$C$5:$C$2004,MATCH($D1212,Workers!$A$5:$A$2004,0)),""))</f>
        <v/>
      </c>
      <c r="K1212" s="24" t="str">
        <f aca="false">IF($D1212="","",IFERROR(IF(INDEX(Workers!$D$5:$D$2004,MATCH($D1212,Workers!$A$5:$A$2004,0))=0,"",INDEX(Workers!$D$5:$D$2004,MATCH($D1212,Workers!$A$5:$A$2004,0))),""))</f>
        <v/>
      </c>
      <c r="L1212" s="24" t="str">
        <f aca="false">IF($D1212="","",IFERROR(INDEX(Workers!$E$5:$E$2004,MATCH($D1212,Workers!$A$5:$A$2004,0)),""))</f>
        <v/>
      </c>
      <c r="M1212" s="26" t="str">
        <f aca="false">IF($D1212="","",IFERROR(INDEX(ClientRates!$D$5:$D$500,MATCH($B1212&amp;"|"&amp;$L1212,ClientRates!$A$5:$A$500,0)),0))</f>
        <v/>
      </c>
      <c r="N1212" s="26" t="str">
        <f aca="false">IF($D1212="","",IFERROR(INDEX(ClientRates!$E$5:$E$500,MATCH($B1212&amp;"|"&amp;$L1212,ClientRates!$A$5:$A$500,0)),0))</f>
        <v/>
      </c>
      <c r="O1212" s="26" t="str">
        <f aca="false">IF($D1212="","",F1212*M1212+G1212*N1212)</f>
        <v/>
      </c>
      <c r="P1212" s="26" t="str">
        <f aca="false">IF(OR($D1212="",$J1212&lt;&gt;"Supplier"),"",IFERROR(INDEX(SupplierRates!$D$5:$D$500,MATCH($K1212&amp;"|"&amp;$L1212,SupplierRates!$A$5:$A$500,0)),0))</f>
        <v/>
      </c>
      <c r="Q1212" s="26" t="str">
        <f aca="false">IF(OR($D1212="",$J1212&lt;&gt;"Supplier"),"",IFERROR(INDEX(SupplierRates!$E$5:$E$500,MATCH($K1212&amp;"|"&amp;$L1212,SupplierRates!$A$5:$A$500,0)),0))</f>
        <v/>
      </c>
      <c r="R1212" s="26" t="n">
        <f aca="false">IF(OR($D1212="",$J1212&lt;&gt;"Supplier"),0,F1212*P1212+G1212*Q1212)</f>
        <v>0</v>
      </c>
      <c r="S1212" s="26" t="n">
        <f aca="false">IF(OR($D1212="",$J1212&lt;&gt;"Own"),0,IFERROR((F1212+G1212*Settings!$B$13)*INDEX(Workers!$V$5:$V$2004,MATCH($D1212,Workers!$A$5:$A$2004,0)),0))</f>
        <v>0</v>
      </c>
      <c r="T1212" s="26" t="str">
        <f aca="false">IF($D1212="","",O1212-R1212-S1212)</f>
        <v/>
      </c>
    </row>
    <row r="1213" customFormat="false" ht="15" hidden="false" customHeight="false" outlineLevel="0" collapsed="false">
      <c r="I1213" s="24" t="str">
        <f aca="false">IF($D1213="","",IFERROR(INDEX(Workers!$B$5:$B$2004,MATCH($D1213,Workers!$A$5:$A$2004,0)),"NOT FOUND"))</f>
        <v/>
      </c>
      <c r="J1213" s="24" t="str">
        <f aca="false">IF($D1213="","",IFERROR(INDEX(Workers!$C$5:$C$2004,MATCH($D1213,Workers!$A$5:$A$2004,0)),""))</f>
        <v/>
      </c>
      <c r="K1213" s="24" t="str">
        <f aca="false">IF($D1213="","",IFERROR(IF(INDEX(Workers!$D$5:$D$2004,MATCH($D1213,Workers!$A$5:$A$2004,0))=0,"",INDEX(Workers!$D$5:$D$2004,MATCH($D1213,Workers!$A$5:$A$2004,0))),""))</f>
        <v/>
      </c>
      <c r="L1213" s="24" t="str">
        <f aca="false">IF($D1213="","",IFERROR(INDEX(Workers!$E$5:$E$2004,MATCH($D1213,Workers!$A$5:$A$2004,0)),""))</f>
        <v/>
      </c>
      <c r="M1213" s="26" t="str">
        <f aca="false">IF($D1213="","",IFERROR(INDEX(ClientRates!$D$5:$D$500,MATCH($B1213&amp;"|"&amp;$L1213,ClientRates!$A$5:$A$500,0)),0))</f>
        <v/>
      </c>
      <c r="N1213" s="26" t="str">
        <f aca="false">IF($D1213="","",IFERROR(INDEX(ClientRates!$E$5:$E$500,MATCH($B1213&amp;"|"&amp;$L1213,ClientRates!$A$5:$A$500,0)),0))</f>
        <v/>
      </c>
      <c r="O1213" s="26" t="str">
        <f aca="false">IF($D1213="","",F1213*M1213+G1213*N1213)</f>
        <v/>
      </c>
      <c r="P1213" s="26" t="str">
        <f aca="false">IF(OR($D1213="",$J1213&lt;&gt;"Supplier"),"",IFERROR(INDEX(SupplierRates!$D$5:$D$500,MATCH($K1213&amp;"|"&amp;$L1213,SupplierRates!$A$5:$A$500,0)),0))</f>
        <v/>
      </c>
      <c r="Q1213" s="26" t="str">
        <f aca="false">IF(OR($D1213="",$J1213&lt;&gt;"Supplier"),"",IFERROR(INDEX(SupplierRates!$E$5:$E$500,MATCH($K1213&amp;"|"&amp;$L1213,SupplierRates!$A$5:$A$500,0)),0))</f>
        <v/>
      </c>
      <c r="R1213" s="26" t="n">
        <f aca="false">IF(OR($D1213="",$J1213&lt;&gt;"Supplier"),0,F1213*P1213+G1213*Q1213)</f>
        <v>0</v>
      </c>
      <c r="S1213" s="26" t="n">
        <f aca="false">IF(OR($D1213="",$J1213&lt;&gt;"Own"),0,IFERROR((F1213+G1213*Settings!$B$13)*INDEX(Workers!$V$5:$V$2004,MATCH($D1213,Workers!$A$5:$A$2004,0)),0))</f>
        <v>0</v>
      </c>
      <c r="T1213" s="26" t="str">
        <f aca="false">IF($D1213="","",O1213-R1213-S1213)</f>
        <v/>
      </c>
    </row>
    <row r="1214" customFormat="false" ht="15" hidden="false" customHeight="false" outlineLevel="0" collapsed="false">
      <c r="I1214" s="24" t="str">
        <f aca="false">IF($D1214="","",IFERROR(INDEX(Workers!$B$5:$B$2004,MATCH($D1214,Workers!$A$5:$A$2004,0)),"NOT FOUND"))</f>
        <v/>
      </c>
      <c r="J1214" s="24" t="str">
        <f aca="false">IF($D1214="","",IFERROR(INDEX(Workers!$C$5:$C$2004,MATCH($D1214,Workers!$A$5:$A$2004,0)),""))</f>
        <v/>
      </c>
      <c r="K1214" s="24" t="str">
        <f aca="false">IF($D1214="","",IFERROR(IF(INDEX(Workers!$D$5:$D$2004,MATCH($D1214,Workers!$A$5:$A$2004,0))=0,"",INDEX(Workers!$D$5:$D$2004,MATCH($D1214,Workers!$A$5:$A$2004,0))),""))</f>
        <v/>
      </c>
      <c r="L1214" s="24" t="str">
        <f aca="false">IF($D1214="","",IFERROR(INDEX(Workers!$E$5:$E$2004,MATCH($D1214,Workers!$A$5:$A$2004,0)),""))</f>
        <v/>
      </c>
      <c r="M1214" s="26" t="str">
        <f aca="false">IF($D1214="","",IFERROR(INDEX(ClientRates!$D$5:$D$500,MATCH($B1214&amp;"|"&amp;$L1214,ClientRates!$A$5:$A$500,0)),0))</f>
        <v/>
      </c>
      <c r="N1214" s="26" t="str">
        <f aca="false">IF($D1214="","",IFERROR(INDEX(ClientRates!$E$5:$E$500,MATCH($B1214&amp;"|"&amp;$L1214,ClientRates!$A$5:$A$500,0)),0))</f>
        <v/>
      </c>
      <c r="O1214" s="26" t="str">
        <f aca="false">IF($D1214="","",F1214*M1214+G1214*N1214)</f>
        <v/>
      </c>
      <c r="P1214" s="26" t="str">
        <f aca="false">IF(OR($D1214="",$J1214&lt;&gt;"Supplier"),"",IFERROR(INDEX(SupplierRates!$D$5:$D$500,MATCH($K1214&amp;"|"&amp;$L1214,SupplierRates!$A$5:$A$500,0)),0))</f>
        <v/>
      </c>
      <c r="Q1214" s="26" t="str">
        <f aca="false">IF(OR($D1214="",$J1214&lt;&gt;"Supplier"),"",IFERROR(INDEX(SupplierRates!$E$5:$E$500,MATCH($K1214&amp;"|"&amp;$L1214,SupplierRates!$A$5:$A$500,0)),0))</f>
        <v/>
      </c>
      <c r="R1214" s="26" t="n">
        <f aca="false">IF(OR($D1214="",$J1214&lt;&gt;"Supplier"),0,F1214*P1214+G1214*Q1214)</f>
        <v>0</v>
      </c>
      <c r="S1214" s="26" t="n">
        <f aca="false">IF(OR($D1214="",$J1214&lt;&gt;"Own"),0,IFERROR((F1214+G1214*Settings!$B$13)*INDEX(Workers!$V$5:$V$2004,MATCH($D1214,Workers!$A$5:$A$2004,0)),0))</f>
        <v>0</v>
      </c>
      <c r="T1214" s="26" t="str">
        <f aca="false">IF($D1214="","",O1214-R1214-S1214)</f>
        <v/>
      </c>
    </row>
    <row r="1215" customFormat="false" ht="15" hidden="false" customHeight="false" outlineLevel="0" collapsed="false">
      <c r="I1215" s="24" t="str">
        <f aca="false">IF($D1215="","",IFERROR(INDEX(Workers!$B$5:$B$2004,MATCH($D1215,Workers!$A$5:$A$2004,0)),"NOT FOUND"))</f>
        <v/>
      </c>
      <c r="J1215" s="24" t="str">
        <f aca="false">IF($D1215="","",IFERROR(INDEX(Workers!$C$5:$C$2004,MATCH($D1215,Workers!$A$5:$A$2004,0)),""))</f>
        <v/>
      </c>
      <c r="K1215" s="24" t="str">
        <f aca="false">IF($D1215="","",IFERROR(IF(INDEX(Workers!$D$5:$D$2004,MATCH($D1215,Workers!$A$5:$A$2004,0))=0,"",INDEX(Workers!$D$5:$D$2004,MATCH($D1215,Workers!$A$5:$A$2004,0))),""))</f>
        <v/>
      </c>
      <c r="L1215" s="24" t="str">
        <f aca="false">IF($D1215="","",IFERROR(INDEX(Workers!$E$5:$E$2004,MATCH($D1215,Workers!$A$5:$A$2004,0)),""))</f>
        <v/>
      </c>
      <c r="M1215" s="26" t="str">
        <f aca="false">IF($D1215="","",IFERROR(INDEX(ClientRates!$D$5:$D$500,MATCH($B1215&amp;"|"&amp;$L1215,ClientRates!$A$5:$A$500,0)),0))</f>
        <v/>
      </c>
      <c r="N1215" s="26" t="str">
        <f aca="false">IF($D1215="","",IFERROR(INDEX(ClientRates!$E$5:$E$500,MATCH($B1215&amp;"|"&amp;$L1215,ClientRates!$A$5:$A$500,0)),0))</f>
        <v/>
      </c>
      <c r="O1215" s="26" t="str">
        <f aca="false">IF($D1215="","",F1215*M1215+G1215*N1215)</f>
        <v/>
      </c>
      <c r="P1215" s="26" t="str">
        <f aca="false">IF(OR($D1215="",$J1215&lt;&gt;"Supplier"),"",IFERROR(INDEX(SupplierRates!$D$5:$D$500,MATCH($K1215&amp;"|"&amp;$L1215,SupplierRates!$A$5:$A$500,0)),0))</f>
        <v/>
      </c>
      <c r="Q1215" s="26" t="str">
        <f aca="false">IF(OR($D1215="",$J1215&lt;&gt;"Supplier"),"",IFERROR(INDEX(SupplierRates!$E$5:$E$500,MATCH($K1215&amp;"|"&amp;$L1215,SupplierRates!$A$5:$A$500,0)),0))</f>
        <v/>
      </c>
      <c r="R1215" s="26" t="n">
        <f aca="false">IF(OR($D1215="",$J1215&lt;&gt;"Supplier"),0,F1215*P1215+G1215*Q1215)</f>
        <v>0</v>
      </c>
      <c r="S1215" s="26" t="n">
        <f aca="false">IF(OR($D1215="",$J1215&lt;&gt;"Own"),0,IFERROR((F1215+G1215*Settings!$B$13)*INDEX(Workers!$V$5:$V$2004,MATCH($D1215,Workers!$A$5:$A$2004,0)),0))</f>
        <v>0</v>
      </c>
      <c r="T1215" s="26" t="str">
        <f aca="false">IF($D1215="","",O1215-R1215-S1215)</f>
        <v/>
      </c>
    </row>
    <row r="1216" customFormat="false" ht="15" hidden="false" customHeight="false" outlineLevel="0" collapsed="false">
      <c r="I1216" s="24" t="str">
        <f aca="false">IF($D1216="","",IFERROR(INDEX(Workers!$B$5:$B$2004,MATCH($D1216,Workers!$A$5:$A$2004,0)),"NOT FOUND"))</f>
        <v/>
      </c>
      <c r="J1216" s="24" t="str">
        <f aca="false">IF($D1216="","",IFERROR(INDEX(Workers!$C$5:$C$2004,MATCH($D1216,Workers!$A$5:$A$2004,0)),""))</f>
        <v/>
      </c>
      <c r="K1216" s="24" t="str">
        <f aca="false">IF($D1216="","",IFERROR(IF(INDEX(Workers!$D$5:$D$2004,MATCH($D1216,Workers!$A$5:$A$2004,0))=0,"",INDEX(Workers!$D$5:$D$2004,MATCH($D1216,Workers!$A$5:$A$2004,0))),""))</f>
        <v/>
      </c>
      <c r="L1216" s="24" t="str">
        <f aca="false">IF($D1216="","",IFERROR(INDEX(Workers!$E$5:$E$2004,MATCH($D1216,Workers!$A$5:$A$2004,0)),""))</f>
        <v/>
      </c>
      <c r="M1216" s="26" t="str">
        <f aca="false">IF($D1216="","",IFERROR(INDEX(ClientRates!$D$5:$D$500,MATCH($B1216&amp;"|"&amp;$L1216,ClientRates!$A$5:$A$500,0)),0))</f>
        <v/>
      </c>
      <c r="N1216" s="26" t="str">
        <f aca="false">IF($D1216="","",IFERROR(INDEX(ClientRates!$E$5:$E$500,MATCH($B1216&amp;"|"&amp;$L1216,ClientRates!$A$5:$A$500,0)),0))</f>
        <v/>
      </c>
      <c r="O1216" s="26" t="str">
        <f aca="false">IF($D1216="","",F1216*M1216+G1216*N1216)</f>
        <v/>
      </c>
      <c r="P1216" s="26" t="str">
        <f aca="false">IF(OR($D1216="",$J1216&lt;&gt;"Supplier"),"",IFERROR(INDEX(SupplierRates!$D$5:$D$500,MATCH($K1216&amp;"|"&amp;$L1216,SupplierRates!$A$5:$A$500,0)),0))</f>
        <v/>
      </c>
      <c r="Q1216" s="26" t="str">
        <f aca="false">IF(OR($D1216="",$J1216&lt;&gt;"Supplier"),"",IFERROR(INDEX(SupplierRates!$E$5:$E$500,MATCH($K1216&amp;"|"&amp;$L1216,SupplierRates!$A$5:$A$500,0)),0))</f>
        <v/>
      </c>
      <c r="R1216" s="26" t="n">
        <f aca="false">IF(OR($D1216="",$J1216&lt;&gt;"Supplier"),0,F1216*P1216+G1216*Q1216)</f>
        <v>0</v>
      </c>
      <c r="S1216" s="26" t="n">
        <f aca="false">IF(OR($D1216="",$J1216&lt;&gt;"Own"),0,IFERROR((F1216+G1216*Settings!$B$13)*INDEX(Workers!$V$5:$V$2004,MATCH($D1216,Workers!$A$5:$A$2004,0)),0))</f>
        <v>0</v>
      </c>
      <c r="T1216" s="26" t="str">
        <f aca="false">IF($D1216="","",O1216-R1216-S1216)</f>
        <v/>
      </c>
    </row>
    <row r="1217" customFormat="false" ht="15" hidden="false" customHeight="false" outlineLevel="0" collapsed="false">
      <c r="I1217" s="24" t="str">
        <f aca="false">IF($D1217="","",IFERROR(INDEX(Workers!$B$5:$B$2004,MATCH($D1217,Workers!$A$5:$A$2004,0)),"NOT FOUND"))</f>
        <v/>
      </c>
      <c r="J1217" s="24" t="str">
        <f aca="false">IF($D1217="","",IFERROR(INDEX(Workers!$C$5:$C$2004,MATCH($D1217,Workers!$A$5:$A$2004,0)),""))</f>
        <v/>
      </c>
      <c r="K1217" s="24" t="str">
        <f aca="false">IF($D1217="","",IFERROR(IF(INDEX(Workers!$D$5:$D$2004,MATCH($D1217,Workers!$A$5:$A$2004,0))=0,"",INDEX(Workers!$D$5:$D$2004,MATCH($D1217,Workers!$A$5:$A$2004,0))),""))</f>
        <v/>
      </c>
      <c r="L1217" s="24" t="str">
        <f aca="false">IF($D1217="","",IFERROR(INDEX(Workers!$E$5:$E$2004,MATCH($D1217,Workers!$A$5:$A$2004,0)),""))</f>
        <v/>
      </c>
      <c r="M1217" s="26" t="str">
        <f aca="false">IF($D1217="","",IFERROR(INDEX(ClientRates!$D$5:$D$500,MATCH($B1217&amp;"|"&amp;$L1217,ClientRates!$A$5:$A$500,0)),0))</f>
        <v/>
      </c>
      <c r="N1217" s="26" t="str">
        <f aca="false">IF($D1217="","",IFERROR(INDEX(ClientRates!$E$5:$E$500,MATCH($B1217&amp;"|"&amp;$L1217,ClientRates!$A$5:$A$500,0)),0))</f>
        <v/>
      </c>
      <c r="O1217" s="26" t="str">
        <f aca="false">IF($D1217="","",F1217*M1217+G1217*N1217)</f>
        <v/>
      </c>
      <c r="P1217" s="26" t="str">
        <f aca="false">IF(OR($D1217="",$J1217&lt;&gt;"Supplier"),"",IFERROR(INDEX(SupplierRates!$D$5:$D$500,MATCH($K1217&amp;"|"&amp;$L1217,SupplierRates!$A$5:$A$500,0)),0))</f>
        <v/>
      </c>
      <c r="Q1217" s="26" t="str">
        <f aca="false">IF(OR($D1217="",$J1217&lt;&gt;"Supplier"),"",IFERROR(INDEX(SupplierRates!$E$5:$E$500,MATCH($K1217&amp;"|"&amp;$L1217,SupplierRates!$A$5:$A$500,0)),0))</f>
        <v/>
      </c>
      <c r="R1217" s="26" t="n">
        <f aca="false">IF(OR($D1217="",$J1217&lt;&gt;"Supplier"),0,F1217*P1217+G1217*Q1217)</f>
        <v>0</v>
      </c>
      <c r="S1217" s="26" t="n">
        <f aca="false">IF(OR($D1217="",$J1217&lt;&gt;"Own"),0,IFERROR((F1217+G1217*Settings!$B$13)*INDEX(Workers!$V$5:$V$2004,MATCH($D1217,Workers!$A$5:$A$2004,0)),0))</f>
        <v>0</v>
      </c>
      <c r="T1217" s="26" t="str">
        <f aca="false">IF($D1217="","",O1217-R1217-S1217)</f>
        <v/>
      </c>
    </row>
    <row r="1218" customFormat="false" ht="15" hidden="false" customHeight="false" outlineLevel="0" collapsed="false">
      <c r="I1218" s="24" t="str">
        <f aca="false">IF($D1218="","",IFERROR(INDEX(Workers!$B$5:$B$2004,MATCH($D1218,Workers!$A$5:$A$2004,0)),"NOT FOUND"))</f>
        <v/>
      </c>
      <c r="J1218" s="24" t="str">
        <f aca="false">IF($D1218="","",IFERROR(INDEX(Workers!$C$5:$C$2004,MATCH($D1218,Workers!$A$5:$A$2004,0)),""))</f>
        <v/>
      </c>
      <c r="K1218" s="24" t="str">
        <f aca="false">IF($D1218="","",IFERROR(IF(INDEX(Workers!$D$5:$D$2004,MATCH($D1218,Workers!$A$5:$A$2004,0))=0,"",INDEX(Workers!$D$5:$D$2004,MATCH($D1218,Workers!$A$5:$A$2004,0))),""))</f>
        <v/>
      </c>
      <c r="L1218" s="24" t="str">
        <f aca="false">IF($D1218="","",IFERROR(INDEX(Workers!$E$5:$E$2004,MATCH($D1218,Workers!$A$5:$A$2004,0)),""))</f>
        <v/>
      </c>
      <c r="M1218" s="26" t="str">
        <f aca="false">IF($D1218="","",IFERROR(INDEX(ClientRates!$D$5:$D$500,MATCH($B1218&amp;"|"&amp;$L1218,ClientRates!$A$5:$A$500,0)),0))</f>
        <v/>
      </c>
      <c r="N1218" s="26" t="str">
        <f aca="false">IF($D1218="","",IFERROR(INDEX(ClientRates!$E$5:$E$500,MATCH($B1218&amp;"|"&amp;$L1218,ClientRates!$A$5:$A$500,0)),0))</f>
        <v/>
      </c>
      <c r="O1218" s="26" t="str">
        <f aca="false">IF($D1218="","",F1218*M1218+G1218*N1218)</f>
        <v/>
      </c>
      <c r="P1218" s="26" t="str">
        <f aca="false">IF(OR($D1218="",$J1218&lt;&gt;"Supplier"),"",IFERROR(INDEX(SupplierRates!$D$5:$D$500,MATCH($K1218&amp;"|"&amp;$L1218,SupplierRates!$A$5:$A$500,0)),0))</f>
        <v/>
      </c>
      <c r="Q1218" s="26" t="str">
        <f aca="false">IF(OR($D1218="",$J1218&lt;&gt;"Supplier"),"",IFERROR(INDEX(SupplierRates!$E$5:$E$500,MATCH($K1218&amp;"|"&amp;$L1218,SupplierRates!$A$5:$A$500,0)),0))</f>
        <v/>
      </c>
      <c r="R1218" s="26" t="n">
        <f aca="false">IF(OR($D1218="",$J1218&lt;&gt;"Supplier"),0,F1218*P1218+G1218*Q1218)</f>
        <v>0</v>
      </c>
      <c r="S1218" s="26" t="n">
        <f aca="false">IF(OR($D1218="",$J1218&lt;&gt;"Own"),0,IFERROR((F1218+G1218*Settings!$B$13)*INDEX(Workers!$V$5:$V$2004,MATCH($D1218,Workers!$A$5:$A$2004,0)),0))</f>
        <v>0</v>
      </c>
      <c r="T1218" s="26" t="str">
        <f aca="false">IF($D1218="","",O1218-R1218-S1218)</f>
        <v/>
      </c>
    </row>
    <row r="1219" customFormat="false" ht="15" hidden="false" customHeight="false" outlineLevel="0" collapsed="false">
      <c r="I1219" s="24" t="str">
        <f aca="false">IF($D1219="","",IFERROR(INDEX(Workers!$B$5:$B$2004,MATCH($D1219,Workers!$A$5:$A$2004,0)),"NOT FOUND"))</f>
        <v/>
      </c>
      <c r="J1219" s="24" t="str">
        <f aca="false">IF($D1219="","",IFERROR(INDEX(Workers!$C$5:$C$2004,MATCH($D1219,Workers!$A$5:$A$2004,0)),""))</f>
        <v/>
      </c>
      <c r="K1219" s="24" t="str">
        <f aca="false">IF($D1219="","",IFERROR(IF(INDEX(Workers!$D$5:$D$2004,MATCH($D1219,Workers!$A$5:$A$2004,0))=0,"",INDEX(Workers!$D$5:$D$2004,MATCH($D1219,Workers!$A$5:$A$2004,0))),""))</f>
        <v/>
      </c>
      <c r="L1219" s="24" t="str">
        <f aca="false">IF($D1219="","",IFERROR(INDEX(Workers!$E$5:$E$2004,MATCH($D1219,Workers!$A$5:$A$2004,0)),""))</f>
        <v/>
      </c>
      <c r="M1219" s="26" t="str">
        <f aca="false">IF($D1219="","",IFERROR(INDEX(ClientRates!$D$5:$D$500,MATCH($B1219&amp;"|"&amp;$L1219,ClientRates!$A$5:$A$500,0)),0))</f>
        <v/>
      </c>
      <c r="N1219" s="26" t="str">
        <f aca="false">IF($D1219="","",IFERROR(INDEX(ClientRates!$E$5:$E$500,MATCH($B1219&amp;"|"&amp;$L1219,ClientRates!$A$5:$A$500,0)),0))</f>
        <v/>
      </c>
      <c r="O1219" s="26" t="str">
        <f aca="false">IF($D1219="","",F1219*M1219+G1219*N1219)</f>
        <v/>
      </c>
      <c r="P1219" s="26" t="str">
        <f aca="false">IF(OR($D1219="",$J1219&lt;&gt;"Supplier"),"",IFERROR(INDEX(SupplierRates!$D$5:$D$500,MATCH($K1219&amp;"|"&amp;$L1219,SupplierRates!$A$5:$A$500,0)),0))</f>
        <v/>
      </c>
      <c r="Q1219" s="26" t="str">
        <f aca="false">IF(OR($D1219="",$J1219&lt;&gt;"Supplier"),"",IFERROR(INDEX(SupplierRates!$E$5:$E$500,MATCH($K1219&amp;"|"&amp;$L1219,SupplierRates!$A$5:$A$500,0)),0))</f>
        <v/>
      </c>
      <c r="R1219" s="26" t="n">
        <f aca="false">IF(OR($D1219="",$J1219&lt;&gt;"Supplier"),0,F1219*P1219+G1219*Q1219)</f>
        <v>0</v>
      </c>
      <c r="S1219" s="26" t="n">
        <f aca="false">IF(OR($D1219="",$J1219&lt;&gt;"Own"),0,IFERROR((F1219+G1219*Settings!$B$13)*INDEX(Workers!$V$5:$V$2004,MATCH($D1219,Workers!$A$5:$A$2004,0)),0))</f>
        <v>0</v>
      </c>
      <c r="T1219" s="26" t="str">
        <f aca="false">IF($D1219="","",O1219-R1219-S1219)</f>
        <v/>
      </c>
    </row>
    <row r="1220" customFormat="false" ht="15" hidden="false" customHeight="false" outlineLevel="0" collapsed="false">
      <c r="I1220" s="24" t="str">
        <f aca="false">IF($D1220="","",IFERROR(INDEX(Workers!$B$5:$B$2004,MATCH($D1220,Workers!$A$5:$A$2004,0)),"NOT FOUND"))</f>
        <v/>
      </c>
      <c r="J1220" s="24" t="str">
        <f aca="false">IF($D1220="","",IFERROR(INDEX(Workers!$C$5:$C$2004,MATCH($D1220,Workers!$A$5:$A$2004,0)),""))</f>
        <v/>
      </c>
      <c r="K1220" s="24" t="str">
        <f aca="false">IF($D1220="","",IFERROR(IF(INDEX(Workers!$D$5:$D$2004,MATCH($D1220,Workers!$A$5:$A$2004,0))=0,"",INDEX(Workers!$D$5:$D$2004,MATCH($D1220,Workers!$A$5:$A$2004,0))),""))</f>
        <v/>
      </c>
      <c r="L1220" s="24" t="str">
        <f aca="false">IF($D1220="","",IFERROR(INDEX(Workers!$E$5:$E$2004,MATCH($D1220,Workers!$A$5:$A$2004,0)),""))</f>
        <v/>
      </c>
      <c r="M1220" s="26" t="str">
        <f aca="false">IF($D1220="","",IFERROR(INDEX(ClientRates!$D$5:$D$500,MATCH($B1220&amp;"|"&amp;$L1220,ClientRates!$A$5:$A$500,0)),0))</f>
        <v/>
      </c>
      <c r="N1220" s="26" t="str">
        <f aca="false">IF($D1220="","",IFERROR(INDEX(ClientRates!$E$5:$E$500,MATCH($B1220&amp;"|"&amp;$L1220,ClientRates!$A$5:$A$500,0)),0))</f>
        <v/>
      </c>
      <c r="O1220" s="26" t="str">
        <f aca="false">IF($D1220="","",F1220*M1220+G1220*N1220)</f>
        <v/>
      </c>
      <c r="P1220" s="26" t="str">
        <f aca="false">IF(OR($D1220="",$J1220&lt;&gt;"Supplier"),"",IFERROR(INDEX(SupplierRates!$D$5:$D$500,MATCH($K1220&amp;"|"&amp;$L1220,SupplierRates!$A$5:$A$500,0)),0))</f>
        <v/>
      </c>
      <c r="Q1220" s="26" t="str">
        <f aca="false">IF(OR($D1220="",$J1220&lt;&gt;"Supplier"),"",IFERROR(INDEX(SupplierRates!$E$5:$E$500,MATCH($K1220&amp;"|"&amp;$L1220,SupplierRates!$A$5:$A$500,0)),0))</f>
        <v/>
      </c>
      <c r="R1220" s="26" t="n">
        <f aca="false">IF(OR($D1220="",$J1220&lt;&gt;"Supplier"),0,F1220*P1220+G1220*Q1220)</f>
        <v>0</v>
      </c>
      <c r="S1220" s="26" t="n">
        <f aca="false">IF(OR($D1220="",$J1220&lt;&gt;"Own"),0,IFERROR((F1220+G1220*Settings!$B$13)*INDEX(Workers!$V$5:$V$2004,MATCH($D1220,Workers!$A$5:$A$2004,0)),0))</f>
        <v>0</v>
      </c>
      <c r="T1220" s="26" t="str">
        <f aca="false">IF($D1220="","",O1220-R1220-S1220)</f>
        <v/>
      </c>
    </row>
    <row r="1221" customFormat="false" ht="15" hidden="false" customHeight="false" outlineLevel="0" collapsed="false">
      <c r="I1221" s="24" t="str">
        <f aca="false">IF($D1221="","",IFERROR(INDEX(Workers!$B$5:$B$2004,MATCH($D1221,Workers!$A$5:$A$2004,0)),"NOT FOUND"))</f>
        <v/>
      </c>
      <c r="J1221" s="24" t="str">
        <f aca="false">IF($D1221="","",IFERROR(INDEX(Workers!$C$5:$C$2004,MATCH($D1221,Workers!$A$5:$A$2004,0)),""))</f>
        <v/>
      </c>
      <c r="K1221" s="24" t="str">
        <f aca="false">IF($D1221="","",IFERROR(IF(INDEX(Workers!$D$5:$D$2004,MATCH($D1221,Workers!$A$5:$A$2004,0))=0,"",INDEX(Workers!$D$5:$D$2004,MATCH($D1221,Workers!$A$5:$A$2004,0))),""))</f>
        <v/>
      </c>
      <c r="L1221" s="24" t="str">
        <f aca="false">IF($D1221="","",IFERROR(INDEX(Workers!$E$5:$E$2004,MATCH($D1221,Workers!$A$5:$A$2004,0)),""))</f>
        <v/>
      </c>
      <c r="M1221" s="26" t="str">
        <f aca="false">IF($D1221="","",IFERROR(INDEX(ClientRates!$D$5:$D$500,MATCH($B1221&amp;"|"&amp;$L1221,ClientRates!$A$5:$A$500,0)),0))</f>
        <v/>
      </c>
      <c r="N1221" s="26" t="str">
        <f aca="false">IF($D1221="","",IFERROR(INDEX(ClientRates!$E$5:$E$500,MATCH($B1221&amp;"|"&amp;$L1221,ClientRates!$A$5:$A$500,0)),0))</f>
        <v/>
      </c>
      <c r="O1221" s="26" t="str">
        <f aca="false">IF($D1221="","",F1221*M1221+G1221*N1221)</f>
        <v/>
      </c>
      <c r="P1221" s="26" t="str">
        <f aca="false">IF(OR($D1221="",$J1221&lt;&gt;"Supplier"),"",IFERROR(INDEX(SupplierRates!$D$5:$D$500,MATCH($K1221&amp;"|"&amp;$L1221,SupplierRates!$A$5:$A$500,0)),0))</f>
        <v/>
      </c>
      <c r="Q1221" s="26" t="str">
        <f aca="false">IF(OR($D1221="",$J1221&lt;&gt;"Supplier"),"",IFERROR(INDEX(SupplierRates!$E$5:$E$500,MATCH($K1221&amp;"|"&amp;$L1221,SupplierRates!$A$5:$A$500,0)),0))</f>
        <v/>
      </c>
      <c r="R1221" s="26" t="n">
        <f aca="false">IF(OR($D1221="",$J1221&lt;&gt;"Supplier"),0,F1221*P1221+G1221*Q1221)</f>
        <v>0</v>
      </c>
      <c r="S1221" s="26" t="n">
        <f aca="false">IF(OR($D1221="",$J1221&lt;&gt;"Own"),0,IFERROR((F1221+G1221*Settings!$B$13)*INDEX(Workers!$V$5:$V$2004,MATCH($D1221,Workers!$A$5:$A$2004,0)),0))</f>
        <v>0</v>
      </c>
      <c r="T1221" s="26" t="str">
        <f aca="false">IF($D1221="","",O1221-R1221-S1221)</f>
        <v/>
      </c>
    </row>
    <row r="1222" customFormat="false" ht="15" hidden="false" customHeight="false" outlineLevel="0" collapsed="false">
      <c r="I1222" s="24" t="str">
        <f aca="false">IF($D1222="","",IFERROR(INDEX(Workers!$B$5:$B$2004,MATCH($D1222,Workers!$A$5:$A$2004,0)),"NOT FOUND"))</f>
        <v/>
      </c>
      <c r="J1222" s="24" t="str">
        <f aca="false">IF($D1222="","",IFERROR(INDEX(Workers!$C$5:$C$2004,MATCH($D1222,Workers!$A$5:$A$2004,0)),""))</f>
        <v/>
      </c>
      <c r="K1222" s="24" t="str">
        <f aca="false">IF($D1222="","",IFERROR(IF(INDEX(Workers!$D$5:$D$2004,MATCH($D1222,Workers!$A$5:$A$2004,0))=0,"",INDEX(Workers!$D$5:$D$2004,MATCH($D1222,Workers!$A$5:$A$2004,0))),""))</f>
        <v/>
      </c>
      <c r="L1222" s="24" t="str">
        <f aca="false">IF($D1222="","",IFERROR(INDEX(Workers!$E$5:$E$2004,MATCH($D1222,Workers!$A$5:$A$2004,0)),""))</f>
        <v/>
      </c>
      <c r="M1222" s="26" t="str">
        <f aca="false">IF($D1222="","",IFERROR(INDEX(ClientRates!$D$5:$D$500,MATCH($B1222&amp;"|"&amp;$L1222,ClientRates!$A$5:$A$500,0)),0))</f>
        <v/>
      </c>
      <c r="N1222" s="26" t="str">
        <f aca="false">IF($D1222="","",IFERROR(INDEX(ClientRates!$E$5:$E$500,MATCH($B1222&amp;"|"&amp;$L1222,ClientRates!$A$5:$A$500,0)),0))</f>
        <v/>
      </c>
      <c r="O1222" s="26" t="str">
        <f aca="false">IF($D1222="","",F1222*M1222+G1222*N1222)</f>
        <v/>
      </c>
      <c r="P1222" s="26" t="str">
        <f aca="false">IF(OR($D1222="",$J1222&lt;&gt;"Supplier"),"",IFERROR(INDEX(SupplierRates!$D$5:$D$500,MATCH($K1222&amp;"|"&amp;$L1222,SupplierRates!$A$5:$A$500,0)),0))</f>
        <v/>
      </c>
      <c r="Q1222" s="26" t="str">
        <f aca="false">IF(OR($D1222="",$J1222&lt;&gt;"Supplier"),"",IFERROR(INDEX(SupplierRates!$E$5:$E$500,MATCH($K1222&amp;"|"&amp;$L1222,SupplierRates!$A$5:$A$500,0)),0))</f>
        <v/>
      </c>
      <c r="R1222" s="26" t="n">
        <f aca="false">IF(OR($D1222="",$J1222&lt;&gt;"Supplier"),0,F1222*P1222+G1222*Q1222)</f>
        <v>0</v>
      </c>
      <c r="S1222" s="26" t="n">
        <f aca="false">IF(OR($D1222="",$J1222&lt;&gt;"Own"),0,IFERROR((F1222+G1222*Settings!$B$13)*INDEX(Workers!$V$5:$V$2004,MATCH($D1222,Workers!$A$5:$A$2004,0)),0))</f>
        <v>0</v>
      </c>
      <c r="T1222" s="26" t="str">
        <f aca="false">IF($D1222="","",O1222-R1222-S1222)</f>
        <v/>
      </c>
    </row>
    <row r="1223" customFormat="false" ht="15" hidden="false" customHeight="false" outlineLevel="0" collapsed="false">
      <c r="I1223" s="24" t="str">
        <f aca="false">IF($D1223="","",IFERROR(INDEX(Workers!$B$5:$B$2004,MATCH($D1223,Workers!$A$5:$A$2004,0)),"NOT FOUND"))</f>
        <v/>
      </c>
      <c r="J1223" s="24" t="str">
        <f aca="false">IF($D1223="","",IFERROR(INDEX(Workers!$C$5:$C$2004,MATCH($D1223,Workers!$A$5:$A$2004,0)),""))</f>
        <v/>
      </c>
      <c r="K1223" s="24" t="str">
        <f aca="false">IF($D1223="","",IFERROR(IF(INDEX(Workers!$D$5:$D$2004,MATCH($D1223,Workers!$A$5:$A$2004,0))=0,"",INDEX(Workers!$D$5:$D$2004,MATCH($D1223,Workers!$A$5:$A$2004,0))),""))</f>
        <v/>
      </c>
      <c r="L1223" s="24" t="str">
        <f aca="false">IF($D1223="","",IFERROR(INDEX(Workers!$E$5:$E$2004,MATCH($D1223,Workers!$A$5:$A$2004,0)),""))</f>
        <v/>
      </c>
      <c r="M1223" s="26" t="str">
        <f aca="false">IF($D1223="","",IFERROR(INDEX(ClientRates!$D$5:$D$500,MATCH($B1223&amp;"|"&amp;$L1223,ClientRates!$A$5:$A$500,0)),0))</f>
        <v/>
      </c>
      <c r="N1223" s="26" t="str">
        <f aca="false">IF($D1223="","",IFERROR(INDEX(ClientRates!$E$5:$E$500,MATCH($B1223&amp;"|"&amp;$L1223,ClientRates!$A$5:$A$500,0)),0))</f>
        <v/>
      </c>
      <c r="O1223" s="26" t="str">
        <f aca="false">IF($D1223="","",F1223*M1223+G1223*N1223)</f>
        <v/>
      </c>
      <c r="P1223" s="26" t="str">
        <f aca="false">IF(OR($D1223="",$J1223&lt;&gt;"Supplier"),"",IFERROR(INDEX(SupplierRates!$D$5:$D$500,MATCH($K1223&amp;"|"&amp;$L1223,SupplierRates!$A$5:$A$500,0)),0))</f>
        <v/>
      </c>
      <c r="Q1223" s="26" t="str">
        <f aca="false">IF(OR($D1223="",$J1223&lt;&gt;"Supplier"),"",IFERROR(INDEX(SupplierRates!$E$5:$E$500,MATCH($K1223&amp;"|"&amp;$L1223,SupplierRates!$A$5:$A$500,0)),0))</f>
        <v/>
      </c>
      <c r="R1223" s="26" t="n">
        <f aca="false">IF(OR($D1223="",$J1223&lt;&gt;"Supplier"),0,F1223*P1223+G1223*Q1223)</f>
        <v>0</v>
      </c>
      <c r="S1223" s="26" t="n">
        <f aca="false">IF(OR($D1223="",$J1223&lt;&gt;"Own"),0,IFERROR((F1223+G1223*Settings!$B$13)*INDEX(Workers!$V$5:$V$2004,MATCH($D1223,Workers!$A$5:$A$2004,0)),0))</f>
        <v>0</v>
      </c>
      <c r="T1223" s="26" t="str">
        <f aca="false">IF($D1223="","",O1223-R1223-S1223)</f>
        <v/>
      </c>
    </row>
    <row r="1224" customFormat="false" ht="15" hidden="false" customHeight="false" outlineLevel="0" collapsed="false">
      <c r="I1224" s="24" t="str">
        <f aca="false">IF($D1224="","",IFERROR(INDEX(Workers!$B$5:$B$2004,MATCH($D1224,Workers!$A$5:$A$2004,0)),"NOT FOUND"))</f>
        <v/>
      </c>
      <c r="J1224" s="24" t="str">
        <f aca="false">IF($D1224="","",IFERROR(INDEX(Workers!$C$5:$C$2004,MATCH($D1224,Workers!$A$5:$A$2004,0)),""))</f>
        <v/>
      </c>
      <c r="K1224" s="24" t="str">
        <f aca="false">IF($D1224="","",IFERROR(IF(INDEX(Workers!$D$5:$D$2004,MATCH($D1224,Workers!$A$5:$A$2004,0))=0,"",INDEX(Workers!$D$5:$D$2004,MATCH($D1224,Workers!$A$5:$A$2004,0))),""))</f>
        <v/>
      </c>
      <c r="L1224" s="24" t="str">
        <f aca="false">IF($D1224="","",IFERROR(INDEX(Workers!$E$5:$E$2004,MATCH($D1224,Workers!$A$5:$A$2004,0)),""))</f>
        <v/>
      </c>
      <c r="M1224" s="26" t="str">
        <f aca="false">IF($D1224="","",IFERROR(INDEX(ClientRates!$D$5:$D$500,MATCH($B1224&amp;"|"&amp;$L1224,ClientRates!$A$5:$A$500,0)),0))</f>
        <v/>
      </c>
      <c r="N1224" s="26" t="str">
        <f aca="false">IF($D1224="","",IFERROR(INDEX(ClientRates!$E$5:$E$500,MATCH($B1224&amp;"|"&amp;$L1224,ClientRates!$A$5:$A$500,0)),0))</f>
        <v/>
      </c>
      <c r="O1224" s="26" t="str">
        <f aca="false">IF($D1224="","",F1224*M1224+G1224*N1224)</f>
        <v/>
      </c>
      <c r="P1224" s="26" t="str">
        <f aca="false">IF(OR($D1224="",$J1224&lt;&gt;"Supplier"),"",IFERROR(INDEX(SupplierRates!$D$5:$D$500,MATCH($K1224&amp;"|"&amp;$L1224,SupplierRates!$A$5:$A$500,0)),0))</f>
        <v/>
      </c>
      <c r="Q1224" s="26" t="str">
        <f aca="false">IF(OR($D1224="",$J1224&lt;&gt;"Supplier"),"",IFERROR(INDEX(SupplierRates!$E$5:$E$500,MATCH($K1224&amp;"|"&amp;$L1224,SupplierRates!$A$5:$A$500,0)),0))</f>
        <v/>
      </c>
      <c r="R1224" s="26" t="n">
        <f aca="false">IF(OR($D1224="",$J1224&lt;&gt;"Supplier"),0,F1224*P1224+G1224*Q1224)</f>
        <v>0</v>
      </c>
      <c r="S1224" s="26" t="n">
        <f aca="false">IF(OR($D1224="",$J1224&lt;&gt;"Own"),0,IFERROR((F1224+G1224*Settings!$B$13)*INDEX(Workers!$V$5:$V$2004,MATCH($D1224,Workers!$A$5:$A$2004,0)),0))</f>
        <v>0</v>
      </c>
      <c r="T1224" s="26" t="str">
        <f aca="false">IF($D1224="","",O1224-R1224-S1224)</f>
        <v/>
      </c>
    </row>
    <row r="1225" customFormat="false" ht="15" hidden="false" customHeight="false" outlineLevel="0" collapsed="false">
      <c r="I1225" s="24" t="str">
        <f aca="false">IF($D1225="","",IFERROR(INDEX(Workers!$B$5:$B$2004,MATCH($D1225,Workers!$A$5:$A$2004,0)),"NOT FOUND"))</f>
        <v/>
      </c>
      <c r="J1225" s="24" t="str">
        <f aca="false">IF($D1225="","",IFERROR(INDEX(Workers!$C$5:$C$2004,MATCH($D1225,Workers!$A$5:$A$2004,0)),""))</f>
        <v/>
      </c>
      <c r="K1225" s="24" t="str">
        <f aca="false">IF($D1225="","",IFERROR(IF(INDEX(Workers!$D$5:$D$2004,MATCH($D1225,Workers!$A$5:$A$2004,0))=0,"",INDEX(Workers!$D$5:$D$2004,MATCH($D1225,Workers!$A$5:$A$2004,0))),""))</f>
        <v/>
      </c>
      <c r="L1225" s="24" t="str">
        <f aca="false">IF($D1225="","",IFERROR(INDEX(Workers!$E$5:$E$2004,MATCH($D1225,Workers!$A$5:$A$2004,0)),""))</f>
        <v/>
      </c>
      <c r="M1225" s="26" t="str">
        <f aca="false">IF($D1225="","",IFERROR(INDEX(ClientRates!$D$5:$D$500,MATCH($B1225&amp;"|"&amp;$L1225,ClientRates!$A$5:$A$500,0)),0))</f>
        <v/>
      </c>
      <c r="N1225" s="26" t="str">
        <f aca="false">IF($D1225="","",IFERROR(INDEX(ClientRates!$E$5:$E$500,MATCH($B1225&amp;"|"&amp;$L1225,ClientRates!$A$5:$A$500,0)),0))</f>
        <v/>
      </c>
      <c r="O1225" s="26" t="str">
        <f aca="false">IF($D1225="","",F1225*M1225+G1225*N1225)</f>
        <v/>
      </c>
      <c r="P1225" s="26" t="str">
        <f aca="false">IF(OR($D1225="",$J1225&lt;&gt;"Supplier"),"",IFERROR(INDEX(SupplierRates!$D$5:$D$500,MATCH($K1225&amp;"|"&amp;$L1225,SupplierRates!$A$5:$A$500,0)),0))</f>
        <v/>
      </c>
      <c r="Q1225" s="26" t="str">
        <f aca="false">IF(OR($D1225="",$J1225&lt;&gt;"Supplier"),"",IFERROR(INDEX(SupplierRates!$E$5:$E$500,MATCH($K1225&amp;"|"&amp;$L1225,SupplierRates!$A$5:$A$500,0)),0))</f>
        <v/>
      </c>
      <c r="R1225" s="26" t="n">
        <f aca="false">IF(OR($D1225="",$J1225&lt;&gt;"Supplier"),0,F1225*P1225+G1225*Q1225)</f>
        <v>0</v>
      </c>
      <c r="S1225" s="26" t="n">
        <f aca="false">IF(OR($D1225="",$J1225&lt;&gt;"Own"),0,IFERROR((F1225+G1225*Settings!$B$13)*INDEX(Workers!$V$5:$V$2004,MATCH($D1225,Workers!$A$5:$A$2004,0)),0))</f>
        <v>0</v>
      </c>
      <c r="T1225" s="26" t="str">
        <f aca="false">IF($D1225="","",O1225-R1225-S1225)</f>
        <v/>
      </c>
    </row>
    <row r="1226" customFormat="false" ht="15" hidden="false" customHeight="false" outlineLevel="0" collapsed="false">
      <c r="I1226" s="24" t="str">
        <f aca="false">IF($D1226="","",IFERROR(INDEX(Workers!$B$5:$B$2004,MATCH($D1226,Workers!$A$5:$A$2004,0)),"NOT FOUND"))</f>
        <v/>
      </c>
      <c r="J1226" s="24" t="str">
        <f aca="false">IF($D1226="","",IFERROR(INDEX(Workers!$C$5:$C$2004,MATCH($D1226,Workers!$A$5:$A$2004,0)),""))</f>
        <v/>
      </c>
      <c r="K1226" s="24" t="str">
        <f aca="false">IF($D1226="","",IFERROR(IF(INDEX(Workers!$D$5:$D$2004,MATCH($D1226,Workers!$A$5:$A$2004,0))=0,"",INDEX(Workers!$D$5:$D$2004,MATCH($D1226,Workers!$A$5:$A$2004,0))),""))</f>
        <v/>
      </c>
      <c r="L1226" s="24" t="str">
        <f aca="false">IF($D1226="","",IFERROR(INDEX(Workers!$E$5:$E$2004,MATCH($D1226,Workers!$A$5:$A$2004,0)),""))</f>
        <v/>
      </c>
      <c r="M1226" s="26" t="str">
        <f aca="false">IF($D1226="","",IFERROR(INDEX(ClientRates!$D$5:$D$500,MATCH($B1226&amp;"|"&amp;$L1226,ClientRates!$A$5:$A$500,0)),0))</f>
        <v/>
      </c>
      <c r="N1226" s="26" t="str">
        <f aca="false">IF($D1226="","",IFERROR(INDEX(ClientRates!$E$5:$E$500,MATCH($B1226&amp;"|"&amp;$L1226,ClientRates!$A$5:$A$500,0)),0))</f>
        <v/>
      </c>
      <c r="O1226" s="26" t="str">
        <f aca="false">IF($D1226="","",F1226*M1226+G1226*N1226)</f>
        <v/>
      </c>
      <c r="P1226" s="26" t="str">
        <f aca="false">IF(OR($D1226="",$J1226&lt;&gt;"Supplier"),"",IFERROR(INDEX(SupplierRates!$D$5:$D$500,MATCH($K1226&amp;"|"&amp;$L1226,SupplierRates!$A$5:$A$500,0)),0))</f>
        <v/>
      </c>
      <c r="Q1226" s="26" t="str">
        <f aca="false">IF(OR($D1226="",$J1226&lt;&gt;"Supplier"),"",IFERROR(INDEX(SupplierRates!$E$5:$E$500,MATCH($K1226&amp;"|"&amp;$L1226,SupplierRates!$A$5:$A$500,0)),0))</f>
        <v/>
      </c>
      <c r="R1226" s="26" t="n">
        <f aca="false">IF(OR($D1226="",$J1226&lt;&gt;"Supplier"),0,F1226*P1226+G1226*Q1226)</f>
        <v>0</v>
      </c>
      <c r="S1226" s="26" t="n">
        <f aca="false">IF(OR($D1226="",$J1226&lt;&gt;"Own"),0,IFERROR((F1226+G1226*Settings!$B$13)*INDEX(Workers!$V$5:$V$2004,MATCH($D1226,Workers!$A$5:$A$2004,0)),0))</f>
        <v>0</v>
      </c>
      <c r="T1226" s="26" t="str">
        <f aca="false">IF($D1226="","",O1226-R1226-S1226)</f>
        <v/>
      </c>
    </row>
    <row r="1227" customFormat="false" ht="15" hidden="false" customHeight="false" outlineLevel="0" collapsed="false">
      <c r="I1227" s="24" t="str">
        <f aca="false">IF($D1227="","",IFERROR(INDEX(Workers!$B$5:$B$2004,MATCH($D1227,Workers!$A$5:$A$2004,0)),"NOT FOUND"))</f>
        <v/>
      </c>
      <c r="J1227" s="24" t="str">
        <f aca="false">IF($D1227="","",IFERROR(INDEX(Workers!$C$5:$C$2004,MATCH($D1227,Workers!$A$5:$A$2004,0)),""))</f>
        <v/>
      </c>
      <c r="K1227" s="24" t="str">
        <f aca="false">IF($D1227="","",IFERROR(IF(INDEX(Workers!$D$5:$D$2004,MATCH($D1227,Workers!$A$5:$A$2004,0))=0,"",INDEX(Workers!$D$5:$D$2004,MATCH($D1227,Workers!$A$5:$A$2004,0))),""))</f>
        <v/>
      </c>
      <c r="L1227" s="24" t="str">
        <f aca="false">IF($D1227="","",IFERROR(INDEX(Workers!$E$5:$E$2004,MATCH($D1227,Workers!$A$5:$A$2004,0)),""))</f>
        <v/>
      </c>
      <c r="M1227" s="26" t="str">
        <f aca="false">IF($D1227="","",IFERROR(INDEX(ClientRates!$D$5:$D$500,MATCH($B1227&amp;"|"&amp;$L1227,ClientRates!$A$5:$A$500,0)),0))</f>
        <v/>
      </c>
      <c r="N1227" s="26" t="str">
        <f aca="false">IF($D1227="","",IFERROR(INDEX(ClientRates!$E$5:$E$500,MATCH($B1227&amp;"|"&amp;$L1227,ClientRates!$A$5:$A$500,0)),0))</f>
        <v/>
      </c>
      <c r="O1227" s="26" t="str">
        <f aca="false">IF($D1227="","",F1227*M1227+G1227*N1227)</f>
        <v/>
      </c>
      <c r="P1227" s="26" t="str">
        <f aca="false">IF(OR($D1227="",$J1227&lt;&gt;"Supplier"),"",IFERROR(INDEX(SupplierRates!$D$5:$D$500,MATCH($K1227&amp;"|"&amp;$L1227,SupplierRates!$A$5:$A$500,0)),0))</f>
        <v/>
      </c>
      <c r="Q1227" s="26" t="str">
        <f aca="false">IF(OR($D1227="",$J1227&lt;&gt;"Supplier"),"",IFERROR(INDEX(SupplierRates!$E$5:$E$500,MATCH($K1227&amp;"|"&amp;$L1227,SupplierRates!$A$5:$A$500,0)),0))</f>
        <v/>
      </c>
      <c r="R1227" s="26" t="n">
        <f aca="false">IF(OR($D1227="",$J1227&lt;&gt;"Supplier"),0,F1227*P1227+G1227*Q1227)</f>
        <v>0</v>
      </c>
      <c r="S1227" s="26" t="n">
        <f aca="false">IF(OR($D1227="",$J1227&lt;&gt;"Own"),0,IFERROR((F1227+G1227*Settings!$B$13)*INDEX(Workers!$V$5:$V$2004,MATCH($D1227,Workers!$A$5:$A$2004,0)),0))</f>
        <v>0</v>
      </c>
      <c r="T1227" s="26" t="str">
        <f aca="false">IF($D1227="","",O1227-R1227-S1227)</f>
        <v/>
      </c>
    </row>
    <row r="1228" customFormat="false" ht="15" hidden="false" customHeight="false" outlineLevel="0" collapsed="false">
      <c r="I1228" s="24" t="str">
        <f aca="false">IF($D1228="","",IFERROR(INDEX(Workers!$B$5:$B$2004,MATCH($D1228,Workers!$A$5:$A$2004,0)),"NOT FOUND"))</f>
        <v/>
      </c>
      <c r="J1228" s="24" t="str">
        <f aca="false">IF($D1228="","",IFERROR(INDEX(Workers!$C$5:$C$2004,MATCH($D1228,Workers!$A$5:$A$2004,0)),""))</f>
        <v/>
      </c>
      <c r="K1228" s="24" t="str">
        <f aca="false">IF($D1228="","",IFERROR(IF(INDEX(Workers!$D$5:$D$2004,MATCH($D1228,Workers!$A$5:$A$2004,0))=0,"",INDEX(Workers!$D$5:$D$2004,MATCH($D1228,Workers!$A$5:$A$2004,0))),""))</f>
        <v/>
      </c>
      <c r="L1228" s="24" t="str">
        <f aca="false">IF($D1228="","",IFERROR(INDEX(Workers!$E$5:$E$2004,MATCH($D1228,Workers!$A$5:$A$2004,0)),""))</f>
        <v/>
      </c>
      <c r="M1228" s="26" t="str">
        <f aca="false">IF($D1228="","",IFERROR(INDEX(ClientRates!$D$5:$D$500,MATCH($B1228&amp;"|"&amp;$L1228,ClientRates!$A$5:$A$500,0)),0))</f>
        <v/>
      </c>
      <c r="N1228" s="26" t="str">
        <f aca="false">IF($D1228="","",IFERROR(INDEX(ClientRates!$E$5:$E$500,MATCH($B1228&amp;"|"&amp;$L1228,ClientRates!$A$5:$A$500,0)),0))</f>
        <v/>
      </c>
      <c r="O1228" s="26" t="str">
        <f aca="false">IF($D1228="","",F1228*M1228+G1228*N1228)</f>
        <v/>
      </c>
      <c r="P1228" s="26" t="str">
        <f aca="false">IF(OR($D1228="",$J1228&lt;&gt;"Supplier"),"",IFERROR(INDEX(SupplierRates!$D$5:$D$500,MATCH($K1228&amp;"|"&amp;$L1228,SupplierRates!$A$5:$A$500,0)),0))</f>
        <v/>
      </c>
      <c r="Q1228" s="26" t="str">
        <f aca="false">IF(OR($D1228="",$J1228&lt;&gt;"Supplier"),"",IFERROR(INDEX(SupplierRates!$E$5:$E$500,MATCH($K1228&amp;"|"&amp;$L1228,SupplierRates!$A$5:$A$500,0)),0))</f>
        <v/>
      </c>
      <c r="R1228" s="26" t="n">
        <f aca="false">IF(OR($D1228="",$J1228&lt;&gt;"Supplier"),0,F1228*P1228+G1228*Q1228)</f>
        <v>0</v>
      </c>
      <c r="S1228" s="26" t="n">
        <f aca="false">IF(OR($D1228="",$J1228&lt;&gt;"Own"),0,IFERROR((F1228+G1228*Settings!$B$13)*INDEX(Workers!$V$5:$V$2004,MATCH($D1228,Workers!$A$5:$A$2004,0)),0))</f>
        <v>0</v>
      </c>
      <c r="T1228" s="26" t="str">
        <f aca="false">IF($D1228="","",O1228-R1228-S1228)</f>
        <v/>
      </c>
    </row>
    <row r="1229" customFormat="false" ht="15" hidden="false" customHeight="false" outlineLevel="0" collapsed="false">
      <c r="I1229" s="24" t="str">
        <f aca="false">IF($D1229="","",IFERROR(INDEX(Workers!$B$5:$B$2004,MATCH($D1229,Workers!$A$5:$A$2004,0)),"NOT FOUND"))</f>
        <v/>
      </c>
      <c r="J1229" s="24" t="str">
        <f aca="false">IF($D1229="","",IFERROR(INDEX(Workers!$C$5:$C$2004,MATCH($D1229,Workers!$A$5:$A$2004,0)),""))</f>
        <v/>
      </c>
      <c r="K1229" s="24" t="str">
        <f aca="false">IF($D1229="","",IFERROR(IF(INDEX(Workers!$D$5:$D$2004,MATCH($D1229,Workers!$A$5:$A$2004,0))=0,"",INDEX(Workers!$D$5:$D$2004,MATCH($D1229,Workers!$A$5:$A$2004,0))),""))</f>
        <v/>
      </c>
      <c r="L1229" s="24" t="str">
        <f aca="false">IF($D1229="","",IFERROR(INDEX(Workers!$E$5:$E$2004,MATCH($D1229,Workers!$A$5:$A$2004,0)),""))</f>
        <v/>
      </c>
      <c r="M1229" s="26" t="str">
        <f aca="false">IF($D1229="","",IFERROR(INDEX(ClientRates!$D$5:$D$500,MATCH($B1229&amp;"|"&amp;$L1229,ClientRates!$A$5:$A$500,0)),0))</f>
        <v/>
      </c>
      <c r="N1229" s="26" t="str">
        <f aca="false">IF($D1229="","",IFERROR(INDEX(ClientRates!$E$5:$E$500,MATCH($B1229&amp;"|"&amp;$L1229,ClientRates!$A$5:$A$500,0)),0))</f>
        <v/>
      </c>
      <c r="O1229" s="26" t="str">
        <f aca="false">IF($D1229="","",F1229*M1229+G1229*N1229)</f>
        <v/>
      </c>
      <c r="P1229" s="26" t="str">
        <f aca="false">IF(OR($D1229="",$J1229&lt;&gt;"Supplier"),"",IFERROR(INDEX(SupplierRates!$D$5:$D$500,MATCH($K1229&amp;"|"&amp;$L1229,SupplierRates!$A$5:$A$500,0)),0))</f>
        <v/>
      </c>
      <c r="Q1229" s="26" t="str">
        <f aca="false">IF(OR($D1229="",$J1229&lt;&gt;"Supplier"),"",IFERROR(INDEX(SupplierRates!$E$5:$E$500,MATCH($K1229&amp;"|"&amp;$L1229,SupplierRates!$A$5:$A$500,0)),0))</f>
        <v/>
      </c>
      <c r="R1229" s="26" t="n">
        <f aca="false">IF(OR($D1229="",$J1229&lt;&gt;"Supplier"),0,F1229*P1229+G1229*Q1229)</f>
        <v>0</v>
      </c>
      <c r="S1229" s="26" t="n">
        <f aca="false">IF(OR($D1229="",$J1229&lt;&gt;"Own"),0,IFERROR((F1229+G1229*Settings!$B$13)*INDEX(Workers!$V$5:$V$2004,MATCH($D1229,Workers!$A$5:$A$2004,0)),0))</f>
        <v>0</v>
      </c>
      <c r="T1229" s="26" t="str">
        <f aca="false">IF($D1229="","",O1229-R1229-S1229)</f>
        <v/>
      </c>
    </row>
    <row r="1230" customFormat="false" ht="15" hidden="false" customHeight="false" outlineLevel="0" collapsed="false">
      <c r="I1230" s="24" t="str">
        <f aca="false">IF($D1230="","",IFERROR(INDEX(Workers!$B$5:$B$2004,MATCH($D1230,Workers!$A$5:$A$2004,0)),"NOT FOUND"))</f>
        <v/>
      </c>
      <c r="J1230" s="24" t="str">
        <f aca="false">IF($D1230="","",IFERROR(INDEX(Workers!$C$5:$C$2004,MATCH($D1230,Workers!$A$5:$A$2004,0)),""))</f>
        <v/>
      </c>
      <c r="K1230" s="24" t="str">
        <f aca="false">IF($D1230="","",IFERROR(IF(INDEX(Workers!$D$5:$D$2004,MATCH($D1230,Workers!$A$5:$A$2004,0))=0,"",INDEX(Workers!$D$5:$D$2004,MATCH($D1230,Workers!$A$5:$A$2004,0))),""))</f>
        <v/>
      </c>
      <c r="L1230" s="24" t="str">
        <f aca="false">IF($D1230="","",IFERROR(INDEX(Workers!$E$5:$E$2004,MATCH($D1230,Workers!$A$5:$A$2004,0)),""))</f>
        <v/>
      </c>
      <c r="M1230" s="26" t="str">
        <f aca="false">IF($D1230="","",IFERROR(INDEX(ClientRates!$D$5:$D$500,MATCH($B1230&amp;"|"&amp;$L1230,ClientRates!$A$5:$A$500,0)),0))</f>
        <v/>
      </c>
      <c r="N1230" s="26" t="str">
        <f aca="false">IF($D1230="","",IFERROR(INDEX(ClientRates!$E$5:$E$500,MATCH($B1230&amp;"|"&amp;$L1230,ClientRates!$A$5:$A$500,0)),0))</f>
        <v/>
      </c>
      <c r="O1230" s="26" t="str">
        <f aca="false">IF($D1230="","",F1230*M1230+G1230*N1230)</f>
        <v/>
      </c>
      <c r="P1230" s="26" t="str">
        <f aca="false">IF(OR($D1230="",$J1230&lt;&gt;"Supplier"),"",IFERROR(INDEX(SupplierRates!$D$5:$D$500,MATCH($K1230&amp;"|"&amp;$L1230,SupplierRates!$A$5:$A$500,0)),0))</f>
        <v/>
      </c>
      <c r="Q1230" s="26" t="str">
        <f aca="false">IF(OR($D1230="",$J1230&lt;&gt;"Supplier"),"",IFERROR(INDEX(SupplierRates!$E$5:$E$500,MATCH($K1230&amp;"|"&amp;$L1230,SupplierRates!$A$5:$A$500,0)),0))</f>
        <v/>
      </c>
      <c r="R1230" s="26" t="n">
        <f aca="false">IF(OR($D1230="",$J1230&lt;&gt;"Supplier"),0,F1230*P1230+G1230*Q1230)</f>
        <v>0</v>
      </c>
      <c r="S1230" s="26" t="n">
        <f aca="false">IF(OR($D1230="",$J1230&lt;&gt;"Own"),0,IFERROR((F1230+G1230*Settings!$B$13)*INDEX(Workers!$V$5:$V$2004,MATCH($D1230,Workers!$A$5:$A$2004,0)),0))</f>
        <v>0</v>
      </c>
      <c r="T1230" s="26" t="str">
        <f aca="false">IF($D1230="","",O1230-R1230-S1230)</f>
        <v/>
      </c>
    </row>
    <row r="1231" customFormat="false" ht="15" hidden="false" customHeight="false" outlineLevel="0" collapsed="false">
      <c r="I1231" s="24" t="str">
        <f aca="false">IF($D1231="","",IFERROR(INDEX(Workers!$B$5:$B$2004,MATCH($D1231,Workers!$A$5:$A$2004,0)),"NOT FOUND"))</f>
        <v/>
      </c>
      <c r="J1231" s="24" t="str">
        <f aca="false">IF($D1231="","",IFERROR(INDEX(Workers!$C$5:$C$2004,MATCH($D1231,Workers!$A$5:$A$2004,0)),""))</f>
        <v/>
      </c>
      <c r="K1231" s="24" t="str">
        <f aca="false">IF($D1231="","",IFERROR(IF(INDEX(Workers!$D$5:$D$2004,MATCH($D1231,Workers!$A$5:$A$2004,0))=0,"",INDEX(Workers!$D$5:$D$2004,MATCH($D1231,Workers!$A$5:$A$2004,0))),""))</f>
        <v/>
      </c>
      <c r="L1231" s="24" t="str">
        <f aca="false">IF($D1231="","",IFERROR(INDEX(Workers!$E$5:$E$2004,MATCH($D1231,Workers!$A$5:$A$2004,0)),""))</f>
        <v/>
      </c>
      <c r="M1231" s="26" t="str">
        <f aca="false">IF($D1231="","",IFERROR(INDEX(ClientRates!$D$5:$D$500,MATCH($B1231&amp;"|"&amp;$L1231,ClientRates!$A$5:$A$500,0)),0))</f>
        <v/>
      </c>
      <c r="N1231" s="26" t="str">
        <f aca="false">IF($D1231="","",IFERROR(INDEX(ClientRates!$E$5:$E$500,MATCH($B1231&amp;"|"&amp;$L1231,ClientRates!$A$5:$A$500,0)),0))</f>
        <v/>
      </c>
      <c r="O1231" s="26" t="str">
        <f aca="false">IF($D1231="","",F1231*M1231+G1231*N1231)</f>
        <v/>
      </c>
      <c r="P1231" s="26" t="str">
        <f aca="false">IF(OR($D1231="",$J1231&lt;&gt;"Supplier"),"",IFERROR(INDEX(SupplierRates!$D$5:$D$500,MATCH($K1231&amp;"|"&amp;$L1231,SupplierRates!$A$5:$A$500,0)),0))</f>
        <v/>
      </c>
      <c r="Q1231" s="26" t="str">
        <f aca="false">IF(OR($D1231="",$J1231&lt;&gt;"Supplier"),"",IFERROR(INDEX(SupplierRates!$E$5:$E$500,MATCH($K1231&amp;"|"&amp;$L1231,SupplierRates!$A$5:$A$500,0)),0))</f>
        <v/>
      </c>
      <c r="R1231" s="26" t="n">
        <f aca="false">IF(OR($D1231="",$J1231&lt;&gt;"Supplier"),0,F1231*P1231+G1231*Q1231)</f>
        <v>0</v>
      </c>
      <c r="S1231" s="26" t="n">
        <f aca="false">IF(OR($D1231="",$J1231&lt;&gt;"Own"),0,IFERROR((F1231+G1231*Settings!$B$13)*INDEX(Workers!$V$5:$V$2004,MATCH($D1231,Workers!$A$5:$A$2004,0)),0))</f>
        <v>0</v>
      </c>
      <c r="T1231" s="26" t="str">
        <f aca="false">IF($D1231="","",O1231-R1231-S1231)</f>
        <v/>
      </c>
    </row>
    <row r="1232" customFormat="false" ht="15" hidden="false" customHeight="false" outlineLevel="0" collapsed="false">
      <c r="I1232" s="24" t="str">
        <f aca="false">IF($D1232="","",IFERROR(INDEX(Workers!$B$5:$B$2004,MATCH($D1232,Workers!$A$5:$A$2004,0)),"NOT FOUND"))</f>
        <v/>
      </c>
      <c r="J1232" s="24" t="str">
        <f aca="false">IF($D1232="","",IFERROR(INDEX(Workers!$C$5:$C$2004,MATCH($D1232,Workers!$A$5:$A$2004,0)),""))</f>
        <v/>
      </c>
      <c r="K1232" s="24" t="str">
        <f aca="false">IF($D1232="","",IFERROR(IF(INDEX(Workers!$D$5:$D$2004,MATCH($D1232,Workers!$A$5:$A$2004,0))=0,"",INDEX(Workers!$D$5:$D$2004,MATCH($D1232,Workers!$A$5:$A$2004,0))),""))</f>
        <v/>
      </c>
      <c r="L1232" s="24" t="str">
        <f aca="false">IF($D1232="","",IFERROR(INDEX(Workers!$E$5:$E$2004,MATCH($D1232,Workers!$A$5:$A$2004,0)),""))</f>
        <v/>
      </c>
      <c r="M1232" s="26" t="str">
        <f aca="false">IF($D1232="","",IFERROR(INDEX(ClientRates!$D$5:$D$500,MATCH($B1232&amp;"|"&amp;$L1232,ClientRates!$A$5:$A$500,0)),0))</f>
        <v/>
      </c>
      <c r="N1232" s="26" t="str">
        <f aca="false">IF($D1232="","",IFERROR(INDEX(ClientRates!$E$5:$E$500,MATCH($B1232&amp;"|"&amp;$L1232,ClientRates!$A$5:$A$500,0)),0))</f>
        <v/>
      </c>
      <c r="O1232" s="26" t="str">
        <f aca="false">IF($D1232="","",F1232*M1232+G1232*N1232)</f>
        <v/>
      </c>
      <c r="P1232" s="26" t="str">
        <f aca="false">IF(OR($D1232="",$J1232&lt;&gt;"Supplier"),"",IFERROR(INDEX(SupplierRates!$D$5:$D$500,MATCH($K1232&amp;"|"&amp;$L1232,SupplierRates!$A$5:$A$500,0)),0))</f>
        <v/>
      </c>
      <c r="Q1232" s="26" t="str">
        <f aca="false">IF(OR($D1232="",$J1232&lt;&gt;"Supplier"),"",IFERROR(INDEX(SupplierRates!$E$5:$E$500,MATCH($K1232&amp;"|"&amp;$L1232,SupplierRates!$A$5:$A$500,0)),0))</f>
        <v/>
      </c>
      <c r="R1232" s="26" t="n">
        <f aca="false">IF(OR($D1232="",$J1232&lt;&gt;"Supplier"),0,F1232*P1232+G1232*Q1232)</f>
        <v>0</v>
      </c>
      <c r="S1232" s="26" t="n">
        <f aca="false">IF(OR($D1232="",$J1232&lt;&gt;"Own"),0,IFERROR((F1232+G1232*Settings!$B$13)*INDEX(Workers!$V$5:$V$2004,MATCH($D1232,Workers!$A$5:$A$2004,0)),0))</f>
        <v>0</v>
      </c>
      <c r="T1232" s="26" t="str">
        <f aca="false">IF($D1232="","",O1232-R1232-S1232)</f>
        <v/>
      </c>
    </row>
    <row r="1233" customFormat="false" ht="15" hidden="false" customHeight="false" outlineLevel="0" collapsed="false">
      <c r="I1233" s="24" t="str">
        <f aca="false">IF($D1233="","",IFERROR(INDEX(Workers!$B$5:$B$2004,MATCH($D1233,Workers!$A$5:$A$2004,0)),"NOT FOUND"))</f>
        <v/>
      </c>
      <c r="J1233" s="24" t="str">
        <f aca="false">IF($D1233="","",IFERROR(INDEX(Workers!$C$5:$C$2004,MATCH($D1233,Workers!$A$5:$A$2004,0)),""))</f>
        <v/>
      </c>
      <c r="K1233" s="24" t="str">
        <f aca="false">IF($D1233="","",IFERROR(IF(INDEX(Workers!$D$5:$D$2004,MATCH($D1233,Workers!$A$5:$A$2004,0))=0,"",INDEX(Workers!$D$5:$D$2004,MATCH($D1233,Workers!$A$5:$A$2004,0))),""))</f>
        <v/>
      </c>
      <c r="L1233" s="24" t="str">
        <f aca="false">IF($D1233="","",IFERROR(INDEX(Workers!$E$5:$E$2004,MATCH($D1233,Workers!$A$5:$A$2004,0)),""))</f>
        <v/>
      </c>
      <c r="M1233" s="26" t="str">
        <f aca="false">IF($D1233="","",IFERROR(INDEX(ClientRates!$D$5:$D$500,MATCH($B1233&amp;"|"&amp;$L1233,ClientRates!$A$5:$A$500,0)),0))</f>
        <v/>
      </c>
      <c r="N1233" s="26" t="str">
        <f aca="false">IF($D1233="","",IFERROR(INDEX(ClientRates!$E$5:$E$500,MATCH($B1233&amp;"|"&amp;$L1233,ClientRates!$A$5:$A$500,0)),0))</f>
        <v/>
      </c>
      <c r="O1233" s="26" t="str">
        <f aca="false">IF($D1233="","",F1233*M1233+G1233*N1233)</f>
        <v/>
      </c>
      <c r="P1233" s="26" t="str">
        <f aca="false">IF(OR($D1233="",$J1233&lt;&gt;"Supplier"),"",IFERROR(INDEX(SupplierRates!$D$5:$D$500,MATCH($K1233&amp;"|"&amp;$L1233,SupplierRates!$A$5:$A$500,0)),0))</f>
        <v/>
      </c>
      <c r="Q1233" s="26" t="str">
        <f aca="false">IF(OR($D1233="",$J1233&lt;&gt;"Supplier"),"",IFERROR(INDEX(SupplierRates!$E$5:$E$500,MATCH($K1233&amp;"|"&amp;$L1233,SupplierRates!$A$5:$A$500,0)),0))</f>
        <v/>
      </c>
      <c r="R1233" s="26" t="n">
        <f aca="false">IF(OR($D1233="",$J1233&lt;&gt;"Supplier"),0,F1233*P1233+G1233*Q1233)</f>
        <v>0</v>
      </c>
      <c r="S1233" s="26" t="n">
        <f aca="false">IF(OR($D1233="",$J1233&lt;&gt;"Own"),0,IFERROR((F1233+G1233*Settings!$B$13)*INDEX(Workers!$V$5:$V$2004,MATCH($D1233,Workers!$A$5:$A$2004,0)),0))</f>
        <v>0</v>
      </c>
      <c r="T1233" s="26" t="str">
        <f aca="false">IF($D1233="","",O1233-R1233-S1233)</f>
        <v/>
      </c>
    </row>
    <row r="1234" customFormat="false" ht="15" hidden="false" customHeight="false" outlineLevel="0" collapsed="false">
      <c r="I1234" s="24" t="str">
        <f aca="false">IF($D1234="","",IFERROR(INDEX(Workers!$B$5:$B$2004,MATCH($D1234,Workers!$A$5:$A$2004,0)),"NOT FOUND"))</f>
        <v/>
      </c>
      <c r="J1234" s="24" t="str">
        <f aca="false">IF($D1234="","",IFERROR(INDEX(Workers!$C$5:$C$2004,MATCH($D1234,Workers!$A$5:$A$2004,0)),""))</f>
        <v/>
      </c>
      <c r="K1234" s="24" t="str">
        <f aca="false">IF($D1234="","",IFERROR(IF(INDEX(Workers!$D$5:$D$2004,MATCH($D1234,Workers!$A$5:$A$2004,0))=0,"",INDEX(Workers!$D$5:$D$2004,MATCH($D1234,Workers!$A$5:$A$2004,0))),""))</f>
        <v/>
      </c>
      <c r="L1234" s="24" t="str">
        <f aca="false">IF($D1234="","",IFERROR(INDEX(Workers!$E$5:$E$2004,MATCH($D1234,Workers!$A$5:$A$2004,0)),""))</f>
        <v/>
      </c>
      <c r="M1234" s="26" t="str">
        <f aca="false">IF($D1234="","",IFERROR(INDEX(ClientRates!$D$5:$D$500,MATCH($B1234&amp;"|"&amp;$L1234,ClientRates!$A$5:$A$500,0)),0))</f>
        <v/>
      </c>
      <c r="N1234" s="26" t="str">
        <f aca="false">IF($D1234="","",IFERROR(INDEX(ClientRates!$E$5:$E$500,MATCH($B1234&amp;"|"&amp;$L1234,ClientRates!$A$5:$A$500,0)),0))</f>
        <v/>
      </c>
      <c r="O1234" s="26" t="str">
        <f aca="false">IF($D1234="","",F1234*M1234+G1234*N1234)</f>
        <v/>
      </c>
      <c r="P1234" s="26" t="str">
        <f aca="false">IF(OR($D1234="",$J1234&lt;&gt;"Supplier"),"",IFERROR(INDEX(SupplierRates!$D$5:$D$500,MATCH($K1234&amp;"|"&amp;$L1234,SupplierRates!$A$5:$A$500,0)),0))</f>
        <v/>
      </c>
      <c r="Q1234" s="26" t="str">
        <f aca="false">IF(OR($D1234="",$J1234&lt;&gt;"Supplier"),"",IFERROR(INDEX(SupplierRates!$E$5:$E$500,MATCH($K1234&amp;"|"&amp;$L1234,SupplierRates!$A$5:$A$500,0)),0))</f>
        <v/>
      </c>
      <c r="R1234" s="26" t="n">
        <f aca="false">IF(OR($D1234="",$J1234&lt;&gt;"Supplier"),0,F1234*P1234+G1234*Q1234)</f>
        <v>0</v>
      </c>
      <c r="S1234" s="26" t="n">
        <f aca="false">IF(OR($D1234="",$J1234&lt;&gt;"Own"),0,IFERROR((F1234+G1234*Settings!$B$13)*INDEX(Workers!$V$5:$V$2004,MATCH($D1234,Workers!$A$5:$A$2004,0)),0))</f>
        <v>0</v>
      </c>
      <c r="T1234" s="26" t="str">
        <f aca="false">IF($D1234="","",O1234-R1234-S1234)</f>
        <v/>
      </c>
    </row>
    <row r="1235" customFormat="false" ht="15" hidden="false" customHeight="false" outlineLevel="0" collapsed="false">
      <c r="I1235" s="24" t="str">
        <f aca="false">IF($D1235="","",IFERROR(INDEX(Workers!$B$5:$B$2004,MATCH($D1235,Workers!$A$5:$A$2004,0)),"NOT FOUND"))</f>
        <v/>
      </c>
      <c r="J1235" s="24" t="str">
        <f aca="false">IF($D1235="","",IFERROR(INDEX(Workers!$C$5:$C$2004,MATCH($D1235,Workers!$A$5:$A$2004,0)),""))</f>
        <v/>
      </c>
      <c r="K1235" s="24" t="str">
        <f aca="false">IF($D1235="","",IFERROR(IF(INDEX(Workers!$D$5:$D$2004,MATCH($D1235,Workers!$A$5:$A$2004,0))=0,"",INDEX(Workers!$D$5:$D$2004,MATCH($D1235,Workers!$A$5:$A$2004,0))),""))</f>
        <v/>
      </c>
      <c r="L1235" s="24" t="str">
        <f aca="false">IF($D1235="","",IFERROR(INDEX(Workers!$E$5:$E$2004,MATCH($D1235,Workers!$A$5:$A$2004,0)),""))</f>
        <v/>
      </c>
      <c r="M1235" s="26" t="str">
        <f aca="false">IF($D1235="","",IFERROR(INDEX(ClientRates!$D$5:$D$500,MATCH($B1235&amp;"|"&amp;$L1235,ClientRates!$A$5:$A$500,0)),0))</f>
        <v/>
      </c>
      <c r="N1235" s="26" t="str">
        <f aca="false">IF($D1235="","",IFERROR(INDEX(ClientRates!$E$5:$E$500,MATCH($B1235&amp;"|"&amp;$L1235,ClientRates!$A$5:$A$500,0)),0))</f>
        <v/>
      </c>
      <c r="O1235" s="26" t="str">
        <f aca="false">IF($D1235="","",F1235*M1235+G1235*N1235)</f>
        <v/>
      </c>
      <c r="P1235" s="26" t="str">
        <f aca="false">IF(OR($D1235="",$J1235&lt;&gt;"Supplier"),"",IFERROR(INDEX(SupplierRates!$D$5:$D$500,MATCH($K1235&amp;"|"&amp;$L1235,SupplierRates!$A$5:$A$500,0)),0))</f>
        <v/>
      </c>
      <c r="Q1235" s="26" t="str">
        <f aca="false">IF(OR($D1235="",$J1235&lt;&gt;"Supplier"),"",IFERROR(INDEX(SupplierRates!$E$5:$E$500,MATCH($K1235&amp;"|"&amp;$L1235,SupplierRates!$A$5:$A$500,0)),0))</f>
        <v/>
      </c>
      <c r="R1235" s="26" t="n">
        <f aca="false">IF(OR($D1235="",$J1235&lt;&gt;"Supplier"),0,F1235*P1235+G1235*Q1235)</f>
        <v>0</v>
      </c>
      <c r="S1235" s="26" t="n">
        <f aca="false">IF(OR($D1235="",$J1235&lt;&gt;"Own"),0,IFERROR((F1235+G1235*Settings!$B$13)*INDEX(Workers!$V$5:$V$2004,MATCH($D1235,Workers!$A$5:$A$2004,0)),0))</f>
        <v>0</v>
      </c>
      <c r="T1235" s="26" t="str">
        <f aca="false">IF($D1235="","",O1235-R1235-S1235)</f>
        <v/>
      </c>
    </row>
    <row r="1236" customFormat="false" ht="15" hidden="false" customHeight="false" outlineLevel="0" collapsed="false">
      <c r="I1236" s="24" t="str">
        <f aca="false">IF($D1236="","",IFERROR(INDEX(Workers!$B$5:$B$2004,MATCH($D1236,Workers!$A$5:$A$2004,0)),"NOT FOUND"))</f>
        <v/>
      </c>
      <c r="J1236" s="24" t="str">
        <f aca="false">IF($D1236="","",IFERROR(INDEX(Workers!$C$5:$C$2004,MATCH($D1236,Workers!$A$5:$A$2004,0)),""))</f>
        <v/>
      </c>
      <c r="K1236" s="24" t="str">
        <f aca="false">IF($D1236="","",IFERROR(IF(INDEX(Workers!$D$5:$D$2004,MATCH($D1236,Workers!$A$5:$A$2004,0))=0,"",INDEX(Workers!$D$5:$D$2004,MATCH($D1236,Workers!$A$5:$A$2004,0))),""))</f>
        <v/>
      </c>
      <c r="L1236" s="24" t="str">
        <f aca="false">IF($D1236="","",IFERROR(INDEX(Workers!$E$5:$E$2004,MATCH($D1236,Workers!$A$5:$A$2004,0)),""))</f>
        <v/>
      </c>
      <c r="M1236" s="26" t="str">
        <f aca="false">IF($D1236="","",IFERROR(INDEX(ClientRates!$D$5:$D$500,MATCH($B1236&amp;"|"&amp;$L1236,ClientRates!$A$5:$A$500,0)),0))</f>
        <v/>
      </c>
      <c r="N1236" s="26" t="str">
        <f aca="false">IF($D1236="","",IFERROR(INDEX(ClientRates!$E$5:$E$500,MATCH($B1236&amp;"|"&amp;$L1236,ClientRates!$A$5:$A$500,0)),0))</f>
        <v/>
      </c>
      <c r="O1236" s="26" t="str">
        <f aca="false">IF($D1236="","",F1236*M1236+G1236*N1236)</f>
        <v/>
      </c>
      <c r="P1236" s="26" t="str">
        <f aca="false">IF(OR($D1236="",$J1236&lt;&gt;"Supplier"),"",IFERROR(INDEX(SupplierRates!$D$5:$D$500,MATCH($K1236&amp;"|"&amp;$L1236,SupplierRates!$A$5:$A$500,0)),0))</f>
        <v/>
      </c>
      <c r="Q1236" s="26" t="str">
        <f aca="false">IF(OR($D1236="",$J1236&lt;&gt;"Supplier"),"",IFERROR(INDEX(SupplierRates!$E$5:$E$500,MATCH($K1236&amp;"|"&amp;$L1236,SupplierRates!$A$5:$A$500,0)),0))</f>
        <v/>
      </c>
      <c r="R1236" s="26" t="n">
        <f aca="false">IF(OR($D1236="",$J1236&lt;&gt;"Supplier"),0,F1236*P1236+G1236*Q1236)</f>
        <v>0</v>
      </c>
      <c r="S1236" s="26" t="n">
        <f aca="false">IF(OR($D1236="",$J1236&lt;&gt;"Own"),0,IFERROR((F1236+G1236*Settings!$B$13)*INDEX(Workers!$V$5:$V$2004,MATCH($D1236,Workers!$A$5:$A$2004,0)),0))</f>
        <v>0</v>
      </c>
      <c r="T1236" s="26" t="str">
        <f aca="false">IF($D1236="","",O1236-R1236-S1236)</f>
        <v/>
      </c>
    </row>
    <row r="1237" customFormat="false" ht="15" hidden="false" customHeight="false" outlineLevel="0" collapsed="false">
      <c r="I1237" s="24" t="str">
        <f aca="false">IF($D1237="","",IFERROR(INDEX(Workers!$B$5:$B$2004,MATCH($D1237,Workers!$A$5:$A$2004,0)),"NOT FOUND"))</f>
        <v/>
      </c>
      <c r="J1237" s="24" t="str">
        <f aca="false">IF($D1237="","",IFERROR(INDEX(Workers!$C$5:$C$2004,MATCH($D1237,Workers!$A$5:$A$2004,0)),""))</f>
        <v/>
      </c>
      <c r="K1237" s="24" t="str">
        <f aca="false">IF($D1237="","",IFERROR(IF(INDEX(Workers!$D$5:$D$2004,MATCH($D1237,Workers!$A$5:$A$2004,0))=0,"",INDEX(Workers!$D$5:$D$2004,MATCH($D1237,Workers!$A$5:$A$2004,0))),""))</f>
        <v/>
      </c>
      <c r="L1237" s="24" t="str">
        <f aca="false">IF($D1237="","",IFERROR(INDEX(Workers!$E$5:$E$2004,MATCH($D1237,Workers!$A$5:$A$2004,0)),""))</f>
        <v/>
      </c>
      <c r="M1237" s="26" t="str">
        <f aca="false">IF($D1237="","",IFERROR(INDEX(ClientRates!$D$5:$D$500,MATCH($B1237&amp;"|"&amp;$L1237,ClientRates!$A$5:$A$500,0)),0))</f>
        <v/>
      </c>
      <c r="N1237" s="26" t="str">
        <f aca="false">IF($D1237="","",IFERROR(INDEX(ClientRates!$E$5:$E$500,MATCH($B1237&amp;"|"&amp;$L1237,ClientRates!$A$5:$A$500,0)),0))</f>
        <v/>
      </c>
      <c r="O1237" s="26" t="str">
        <f aca="false">IF($D1237="","",F1237*M1237+G1237*N1237)</f>
        <v/>
      </c>
      <c r="P1237" s="26" t="str">
        <f aca="false">IF(OR($D1237="",$J1237&lt;&gt;"Supplier"),"",IFERROR(INDEX(SupplierRates!$D$5:$D$500,MATCH($K1237&amp;"|"&amp;$L1237,SupplierRates!$A$5:$A$500,0)),0))</f>
        <v/>
      </c>
      <c r="Q1237" s="26" t="str">
        <f aca="false">IF(OR($D1237="",$J1237&lt;&gt;"Supplier"),"",IFERROR(INDEX(SupplierRates!$E$5:$E$500,MATCH($K1237&amp;"|"&amp;$L1237,SupplierRates!$A$5:$A$500,0)),0))</f>
        <v/>
      </c>
      <c r="R1237" s="26" t="n">
        <f aca="false">IF(OR($D1237="",$J1237&lt;&gt;"Supplier"),0,F1237*P1237+G1237*Q1237)</f>
        <v>0</v>
      </c>
      <c r="S1237" s="26" t="n">
        <f aca="false">IF(OR($D1237="",$J1237&lt;&gt;"Own"),0,IFERROR((F1237+G1237*Settings!$B$13)*INDEX(Workers!$V$5:$V$2004,MATCH($D1237,Workers!$A$5:$A$2004,0)),0))</f>
        <v>0</v>
      </c>
      <c r="T1237" s="26" t="str">
        <f aca="false">IF($D1237="","",O1237-R1237-S1237)</f>
        <v/>
      </c>
    </row>
    <row r="1238" customFormat="false" ht="15" hidden="false" customHeight="false" outlineLevel="0" collapsed="false">
      <c r="I1238" s="24" t="str">
        <f aca="false">IF($D1238="","",IFERROR(INDEX(Workers!$B$5:$B$2004,MATCH($D1238,Workers!$A$5:$A$2004,0)),"NOT FOUND"))</f>
        <v/>
      </c>
      <c r="J1238" s="24" t="str">
        <f aca="false">IF($D1238="","",IFERROR(INDEX(Workers!$C$5:$C$2004,MATCH($D1238,Workers!$A$5:$A$2004,0)),""))</f>
        <v/>
      </c>
      <c r="K1238" s="24" t="str">
        <f aca="false">IF($D1238="","",IFERROR(IF(INDEX(Workers!$D$5:$D$2004,MATCH($D1238,Workers!$A$5:$A$2004,0))=0,"",INDEX(Workers!$D$5:$D$2004,MATCH($D1238,Workers!$A$5:$A$2004,0))),""))</f>
        <v/>
      </c>
      <c r="L1238" s="24" t="str">
        <f aca="false">IF($D1238="","",IFERROR(INDEX(Workers!$E$5:$E$2004,MATCH($D1238,Workers!$A$5:$A$2004,0)),""))</f>
        <v/>
      </c>
      <c r="M1238" s="26" t="str">
        <f aca="false">IF($D1238="","",IFERROR(INDEX(ClientRates!$D$5:$D$500,MATCH($B1238&amp;"|"&amp;$L1238,ClientRates!$A$5:$A$500,0)),0))</f>
        <v/>
      </c>
      <c r="N1238" s="26" t="str">
        <f aca="false">IF($D1238="","",IFERROR(INDEX(ClientRates!$E$5:$E$500,MATCH($B1238&amp;"|"&amp;$L1238,ClientRates!$A$5:$A$500,0)),0))</f>
        <v/>
      </c>
      <c r="O1238" s="26" t="str">
        <f aca="false">IF($D1238="","",F1238*M1238+G1238*N1238)</f>
        <v/>
      </c>
      <c r="P1238" s="26" t="str">
        <f aca="false">IF(OR($D1238="",$J1238&lt;&gt;"Supplier"),"",IFERROR(INDEX(SupplierRates!$D$5:$D$500,MATCH($K1238&amp;"|"&amp;$L1238,SupplierRates!$A$5:$A$500,0)),0))</f>
        <v/>
      </c>
      <c r="Q1238" s="26" t="str">
        <f aca="false">IF(OR($D1238="",$J1238&lt;&gt;"Supplier"),"",IFERROR(INDEX(SupplierRates!$E$5:$E$500,MATCH($K1238&amp;"|"&amp;$L1238,SupplierRates!$A$5:$A$500,0)),0))</f>
        <v/>
      </c>
      <c r="R1238" s="26" t="n">
        <f aca="false">IF(OR($D1238="",$J1238&lt;&gt;"Supplier"),0,F1238*P1238+G1238*Q1238)</f>
        <v>0</v>
      </c>
      <c r="S1238" s="26" t="n">
        <f aca="false">IF(OR($D1238="",$J1238&lt;&gt;"Own"),0,IFERROR((F1238+G1238*Settings!$B$13)*INDEX(Workers!$V$5:$V$2004,MATCH($D1238,Workers!$A$5:$A$2004,0)),0))</f>
        <v>0</v>
      </c>
      <c r="T1238" s="26" t="str">
        <f aca="false">IF($D1238="","",O1238-R1238-S1238)</f>
        <v/>
      </c>
    </row>
    <row r="1239" customFormat="false" ht="15" hidden="false" customHeight="false" outlineLevel="0" collapsed="false">
      <c r="I1239" s="24" t="str">
        <f aca="false">IF($D1239="","",IFERROR(INDEX(Workers!$B$5:$B$2004,MATCH($D1239,Workers!$A$5:$A$2004,0)),"NOT FOUND"))</f>
        <v/>
      </c>
      <c r="J1239" s="24" t="str">
        <f aca="false">IF($D1239="","",IFERROR(INDEX(Workers!$C$5:$C$2004,MATCH($D1239,Workers!$A$5:$A$2004,0)),""))</f>
        <v/>
      </c>
      <c r="K1239" s="24" t="str">
        <f aca="false">IF($D1239="","",IFERROR(IF(INDEX(Workers!$D$5:$D$2004,MATCH($D1239,Workers!$A$5:$A$2004,0))=0,"",INDEX(Workers!$D$5:$D$2004,MATCH($D1239,Workers!$A$5:$A$2004,0))),""))</f>
        <v/>
      </c>
      <c r="L1239" s="24" t="str">
        <f aca="false">IF($D1239="","",IFERROR(INDEX(Workers!$E$5:$E$2004,MATCH($D1239,Workers!$A$5:$A$2004,0)),""))</f>
        <v/>
      </c>
      <c r="M1239" s="26" t="str">
        <f aca="false">IF($D1239="","",IFERROR(INDEX(ClientRates!$D$5:$D$500,MATCH($B1239&amp;"|"&amp;$L1239,ClientRates!$A$5:$A$500,0)),0))</f>
        <v/>
      </c>
      <c r="N1239" s="26" t="str">
        <f aca="false">IF($D1239="","",IFERROR(INDEX(ClientRates!$E$5:$E$500,MATCH($B1239&amp;"|"&amp;$L1239,ClientRates!$A$5:$A$500,0)),0))</f>
        <v/>
      </c>
      <c r="O1239" s="26" t="str">
        <f aca="false">IF($D1239="","",F1239*M1239+G1239*N1239)</f>
        <v/>
      </c>
      <c r="P1239" s="26" t="str">
        <f aca="false">IF(OR($D1239="",$J1239&lt;&gt;"Supplier"),"",IFERROR(INDEX(SupplierRates!$D$5:$D$500,MATCH($K1239&amp;"|"&amp;$L1239,SupplierRates!$A$5:$A$500,0)),0))</f>
        <v/>
      </c>
      <c r="Q1239" s="26" t="str">
        <f aca="false">IF(OR($D1239="",$J1239&lt;&gt;"Supplier"),"",IFERROR(INDEX(SupplierRates!$E$5:$E$500,MATCH($K1239&amp;"|"&amp;$L1239,SupplierRates!$A$5:$A$500,0)),0))</f>
        <v/>
      </c>
      <c r="R1239" s="26" t="n">
        <f aca="false">IF(OR($D1239="",$J1239&lt;&gt;"Supplier"),0,F1239*P1239+G1239*Q1239)</f>
        <v>0</v>
      </c>
      <c r="S1239" s="26" t="n">
        <f aca="false">IF(OR($D1239="",$J1239&lt;&gt;"Own"),0,IFERROR((F1239+G1239*Settings!$B$13)*INDEX(Workers!$V$5:$V$2004,MATCH($D1239,Workers!$A$5:$A$2004,0)),0))</f>
        <v>0</v>
      </c>
      <c r="T1239" s="26" t="str">
        <f aca="false">IF($D1239="","",O1239-R1239-S1239)</f>
        <v/>
      </c>
    </row>
    <row r="1240" customFormat="false" ht="15" hidden="false" customHeight="false" outlineLevel="0" collapsed="false">
      <c r="I1240" s="24" t="str">
        <f aca="false">IF($D1240="","",IFERROR(INDEX(Workers!$B$5:$B$2004,MATCH($D1240,Workers!$A$5:$A$2004,0)),"NOT FOUND"))</f>
        <v/>
      </c>
      <c r="J1240" s="24" t="str">
        <f aca="false">IF($D1240="","",IFERROR(INDEX(Workers!$C$5:$C$2004,MATCH($D1240,Workers!$A$5:$A$2004,0)),""))</f>
        <v/>
      </c>
      <c r="K1240" s="24" t="str">
        <f aca="false">IF($D1240="","",IFERROR(IF(INDEX(Workers!$D$5:$D$2004,MATCH($D1240,Workers!$A$5:$A$2004,0))=0,"",INDEX(Workers!$D$5:$D$2004,MATCH($D1240,Workers!$A$5:$A$2004,0))),""))</f>
        <v/>
      </c>
      <c r="L1240" s="24" t="str">
        <f aca="false">IF($D1240="","",IFERROR(INDEX(Workers!$E$5:$E$2004,MATCH($D1240,Workers!$A$5:$A$2004,0)),""))</f>
        <v/>
      </c>
      <c r="M1240" s="26" t="str">
        <f aca="false">IF($D1240="","",IFERROR(INDEX(ClientRates!$D$5:$D$500,MATCH($B1240&amp;"|"&amp;$L1240,ClientRates!$A$5:$A$500,0)),0))</f>
        <v/>
      </c>
      <c r="N1240" s="26" t="str">
        <f aca="false">IF($D1240="","",IFERROR(INDEX(ClientRates!$E$5:$E$500,MATCH($B1240&amp;"|"&amp;$L1240,ClientRates!$A$5:$A$500,0)),0))</f>
        <v/>
      </c>
      <c r="O1240" s="26" t="str">
        <f aca="false">IF($D1240="","",F1240*M1240+G1240*N1240)</f>
        <v/>
      </c>
      <c r="P1240" s="26" t="str">
        <f aca="false">IF(OR($D1240="",$J1240&lt;&gt;"Supplier"),"",IFERROR(INDEX(SupplierRates!$D$5:$D$500,MATCH($K1240&amp;"|"&amp;$L1240,SupplierRates!$A$5:$A$500,0)),0))</f>
        <v/>
      </c>
      <c r="Q1240" s="26" t="str">
        <f aca="false">IF(OR($D1240="",$J1240&lt;&gt;"Supplier"),"",IFERROR(INDEX(SupplierRates!$E$5:$E$500,MATCH($K1240&amp;"|"&amp;$L1240,SupplierRates!$A$5:$A$500,0)),0))</f>
        <v/>
      </c>
      <c r="R1240" s="26" t="n">
        <f aca="false">IF(OR($D1240="",$J1240&lt;&gt;"Supplier"),0,F1240*P1240+G1240*Q1240)</f>
        <v>0</v>
      </c>
      <c r="S1240" s="26" t="n">
        <f aca="false">IF(OR($D1240="",$J1240&lt;&gt;"Own"),0,IFERROR((F1240+G1240*Settings!$B$13)*INDEX(Workers!$V$5:$V$2004,MATCH($D1240,Workers!$A$5:$A$2004,0)),0))</f>
        <v>0</v>
      </c>
      <c r="T1240" s="26" t="str">
        <f aca="false">IF($D1240="","",O1240-R1240-S1240)</f>
        <v/>
      </c>
    </row>
    <row r="1241" customFormat="false" ht="15" hidden="false" customHeight="false" outlineLevel="0" collapsed="false">
      <c r="I1241" s="24" t="str">
        <f aca="false">IF($D1241="","",IFERROR(INDEX(Workers!$B$5:$B$2004,MATCH($D1241,Workers!$A$5:$A$2004,0)),"NOT FOUND"))</f>
        <v/>
      </c>
      <c r="J1241" s="24" t="str">
        <f aca="false">IF($D1241="","",IFERROR(INDEX(Workers!$C$5:$C$2004,MATCH($D1241,Workers!$A$5:$A$2004,0)),""))</f>
        <v/>
      </c>
      <c r="K1241" s="24" t="str">
        <f aca="false">IF($D1241="","",IFERROR(IF(INDEX(Workers!$D$5:$D$2004,MATCH($D1241,Workers!$A$5:$A$2004,0))=0,"",INDEX(Workers!$D$5:$D$2004,MATCH($D1241,Workers!$A$5:$A$2004,0))),""))</f>
        <v/>
      </c>
      <c r="L1241" s="24" t="str">
        <f aca="false">IF($D1241="","",IFERROR(INDEX(Workers!$E$5:$E$2004,MATCH($D1241,Workers!$A$5:$A$2004,0)),""))</f>
        <v/>
      </c>
      <c r="M1241" s="26" t="str">
        <f aca="false">IF($D1241="","",IFERROR(INDEX(ClientRates!$D$5:$D$500,MATCH($B1241&amp;"|"&amp;$L1241,ClientRates!$A$5:$A$500,0)),0))</f>
        <v/>
      </c>
      <c r="N1241" s="26" t="str">
        <f aca="false">IF($D1241="","",IFERROR(INDEX(ClientRates!$E$5:$E$500,MATCH($B1241&amp;"|"&amp;$L1241,ClientRates!$A$5:$A$500,0)),0))</f>
        <v/>
      </c>
      <c r="O1241" s="26" t="str">
        <f aca="false">IF($D1241="","",F1241*M1241+G1241*N1241)</f>
        <v/>
      </c>
      <c r="P1241" s="26" t="str">
        <f aca="false">IF(OR($D1241="",$J1241&lt;&gt;"Supplier"),"",IFERROR(INDEX(SupplierRates!$D$5:$D$500,MATCH($K1241&amp;"|"&amp;$L1241,SupplierRates!$A$5:$A$500,0)),0))</f>
        <v/>
      </c>
      <c r="Q1241" s="26" t="str">
        <f aca="false">IF(OR($D1241="",$J1241&lt;&gt;"Supplier"),"",IFERROR(INDEX(SupplierRates!$E$5:$E$500,MATCH($K1241&amp;"|"&amp;$L1241,SupplierRates!$A$5:$A$500,0)),0))</f>
        <v/>
      </c>
      <c r="R1241" s="26" t="n">
        <f aca="false">IF(OR($D1241="",$J1241&lt;&gt;"Supplier"),0,F1241*P1241+G1241*Q1241)</f>
        <v>0</v>
      </c>
      <c r="S1241" s="26" t="n">
        <f aca="false">IF(OR($D1241="",$J1241&lt;&gt;"Own"),0,IFERROR((F1241+G1241*Settings!$B$13)*INDEX(Workers!$V$5:$V$2004,MATCH($D1241,Workers!$A$5:$A$2004,0)),0))</f>
        <v>0</v>
      </c>
      <c r="T1241" s="26" t="str">
        <f aca="false">IF($D1241="","",O1241-R1241-S1241)</f>
        <v/>
      </c>
    </row>
    <row r="1242" customFormat="false" ht="15" hidden="false" customHeight="false" outlineLevel="0" collapsed="false">
      <c r="I1242" s="24" t="str">
        <f aca="false">IF($D1242="","",IFERROR(INDEX(Workers!$B$5:$B$2004,MATCH($D1242,Workers!$A$5:$A$2004,0)),"NOT FOUND"))</f>
        <v/>
      </c>
      <c r="J1242" s="24" t="str">
        <f aca="false">IF($D1242="","",IFERROR(INDEX(Workers!$C$5:$C$2004,MATCH($D1242,Workers!$A$5:$A$2004,0)),""))</f>
        <v/>
      </c>
      <c r="K1242" s="24" t="str">
        <f aca="false">IF($D1242="","",IFERROR(IF(INDEX(Workers!$D$5:$D$2004,MATCH($D1242,Workers!$A$5:$A$2004,0))=0,"",INDEX(Workers!$D$5:$D$2004,MATCH($D1242,Workers!$A$5:$A$2004,0))),""))</f>
        <v/>
      </c>
      <c r="L1242" s="24" t="str">
        <f aca="false">IF($D1242="","",IFERROR(INDEX(Workers!$E$5:$E$2004,MATCH($D1242,Workers!$A$5:$A$2004,0)),""))</f>
        <v/>
      </c>
      <c r="M1242" s="26" t="str">
        <f aca="false">IF($D1242="","",IFERROR(INDEX(ClientRates!$D$5:$D$500,MATCH($B1242&amp;"|"&amp;$L1242,ClientRates!$A$5:$A$500,0)),0))</f>
        <v/>
      </c>
      <c r="N1242" s="26" t="str">
        <f aca="false">IF($D1242="","",IFERROR(INDEX(ClientRates!$E$5:$E$500,MATCH($B1242&amp;"|"&amp;$L1242,ClientRates!$A$5:$A$500,0)),0))</f>
        <v/>
      </c>
      <c r="O1242" s="26" t="str">
        <f aca="false">IF($D1242="","",F1242*M1242+G1242*N1242)</f>
        <v/>
      </c>
      <c r="P1242" s="26" t="str">
        <f aca="false">IF(OR($D1242="",$J1242&lt;&gt;"Supplier"),"",IFERROR(INDEX(SupplierRates!$D$5:$D$500,MATCH($K1242&amp;"|"&amp;$L1242,SupplierRates!$A$5:$A$500,0)),0))</f>
        <v/>
      </c>
      <c r="Q1242" s="26" t="str">
        <f aca="false">IF(OR($D1242="",$J1242&lt;&gt;"Supplier"),"",IFERROR(INDEX(SupplierRates!$E$5:$E$500,MATCH($K1242&amp;"|"&amp;$L1242,SupplierRates!$A$5:$A$500,0)),0))</f>
        <v/>
      </c>
      <c r="R1242" s="26" t="n">
        <f aca="false">IF(OR($D1242="",$J1242&lt;&gt;"Supplier"),0,F1242*P1242+G1242*Q1242)</f>
        <v>0</v>
      </c>
      <c r="S1242" s="26" t="n">
        <f aca="false">IF(OR($D1242="",$J1242&lt;&gt;"Own"),0,IFERROR((F1242+G1242*Settings!$B$13)*INDEX(Workers!$V$5:$V$2004,MATCH($D1242,Workers!$A$5:$A$2004,0)),0))</f>
        <v>0</v>
      </c>
      <c r="T1242" s="26" t="str">
        <f aca="false">IF($D1242="","",O1242-R1242-S1242)</f>
        <v/>
      </c>
    </row>
    <row r="1243" customFormat="false" ht="15" hidden="false" customHeight="false" outlineLevel="0" collapsed="false">
      <c r="I1243" s="24" t="str">
        <f aca="false">IF($D1243="","",IFERROR(INDEX(Workers!$B$5:$B$2004,MATCH($D1243,Workers!$A$5:$A$2004,0)),"NOT FOUND"))</f>
        <v/>
      </c>
      <c r="J1243" s="24" t="str">
        <f aca="false">IF($D1243="","",IFERROR(INDEX(Workers!$C$5:$C$2004,MATCH($D1243,Workers!$A$5:$A$2004,0)),""))</f>
        <v/>
      </c>
      <c r="K1243" s="24" t="str">
        <f aca="false">IF($D1243="","",IFERROR(IF(INDEX(Workers!$D$5:$D$2004,MATCH($D1243,Workers!$A$5:$A$2004,0))=0,"",INDEX(Workers!$D$5:$D$2004,MATCH($D1243,Workers!$A$5:$A$2004,0))),""))</f>
        <v/>
      </c>
      <c r="L1243" s="24" t="str">
        <f aca="false">IF($D1243="","",IFERROR(INDEX(Workers!$E$5:$E$2004,MATCH($D1243,Workers!$A$5:$A$2004,0)),""))</f>
        <v/>
      </c>
      <c r="M1243" s="26" t="str">
        <f aca="false">IF($D1243="","",IFERROR(INDEX(ClientRates!$D$5:$D$500,MATCH($B1243&amp;"|"&amp;$L1243,ClientRates!$A$5:$A$500,0)),0))</f>
        <v/>
      </c>
      <c r="N1243" s="26" t="str">
        <f aca="false">IF($D1243="","",IFERROR(INDEX(ClientRates!$E$5:$E$500,MATCH($B1243&amp;"|"&amp;$L1243,ClientRates!$A$5:$A$500,0)),0))</f>
        <v/>
      </c>
      <c r="O1243" s="26" t="str">
        <f aca="false">IF($D1243="","",F1243*M1243+G1243*N1243)</f>
        <v/>
      </c>
      <c r="P1243" s="26" t="str">
        <f aca="false">IF(OR($D1243="",$J1243&lt;&gt;"Supplier"),"",IFERROR(INDEX(SupplierRates!$D$5:$D$500,MATCH($K1243&amp;"|"&amp;$L1243,SupplierRates!$A$5:$A$500,0)),0))</f>
        <v/>
      </c>
      <c r="Q1243" s="26" t="str">
        <f aca="false">IF(OR($D1243="",$J1243&lt;&gt;"Supplier"),"",IFERROR(INDEX(SupplierRates!$E$5:$E$500,MATCH($K1243&amp;"|"&amp;$L1243,SupplierRates!$A$5:$A$500,0)),0))</f>
        <v/>
      </c>
      <c r="R1243" s="26" t="n">
        <f aca="false">IF(OR($D1243="",$J1243&lt;&gt;"Supplier"),0,F1243*P1243+G1243*Q1243)</f>
        <v>0</v>
      </c>
      <c r="S1243" s="26" t="n">
        <f aca="false">IF(OR($D1243="",$J1243&lt;&gt;"Own"),0,IFERROR((F1243+G1243*Settings!$B$13)*INDEX(Workers!$V$5:$V$2004,MATCH($D1243,Workers!$A$5:$A$2004,0)),0))</f>
        <v>0</v>
      </c>
      <c r="T1243" s="26" t="str">
        <f aca="false">IF($D1243="","",O1243-R1243-S1243)</f>
        <v/>
      </c>
    </row>
    <row r="1244" customFormat="false" ht="15" hidden="false" customHeight="false" outlineLevel="0" collapsed="false">
      <c r="I1244" s="24" t="str">
        <f aca="false">IF($D1244="","",IFERROR(INDEX(Workers!$B$5:$B$2004,MATCH($D1244,Workers!$A$5:$A$2004,0)),"NOT FOUND"))</f>
        <v/>
      </c>
      <c r="J1244" s="24" t="str">
        <f aca="false">IF($D1244="","",IFERROR(INDEX(Workers!$C$5:$C$2004,MATCH($D1244,Workers!$A$5:$A$2004,0)),""))</f>
        <v/>
      </c>
      <c r="K1244" s="24" t="str">
        <f aca="false">IF($D1244="","",IFERROR(IF(INDEX(Workers!$D$5:$D$2004,MATCH($D1244,Workers!$A$5:$A$2004,0))=0,"",INDEX(Workers!$D$5:$D$2004,MATCH($D1244,Workers!$A$5:$A$2004,0))),""))</f>
        <v/>
      </c>
      <c r="L1244" s="24" t="str">
        <f aca="false">IF($D1244="","",IFERROR(INDEX(Workers!$E$5:$E$2004,MATCH($D1244,Workers!$A$5:$A$2004,0)),""))</f>
        <v/>
      </c>
      <c r="M1244" s="26" t="str">
        <f aca="false">IF($D1244="","",IFERROR(INDEX(ClientRates!$D$5:$D$500,MATCH($B1244&amp;"|"&amp;$L1244,ClientRates!$A$5:$A$500,0)),0))</f>
        <v/>
      </c>
      <c r="N1244" s="26" t="str">
        <f aca="false">IF($D1244="","",IFERROR(INDEX(ClientRates!$E$5:$E$500,MATCH($B1244&amp;"|"&amp;$L1244,ClientRates!$A$5:$A$500,0)),0))</f>
        <v/>
      </c>
      <c r="O1244" s="26" t="str">
        <f aca="false">IF($D1244="","",F1244*M1244+G1244*N1244)</f>
        <v/>
      </c>
      <c r="P1244" s="26" t="str">
        <f aca="false">IF(OR($D1244="",$J1244&lt;&gt;"Supplier"),"",IFERROR(INDEX(SupplierRates!$D$5:$D$500,MATCH($K1244&amp;"|"&amp;$L1244,SupplierRates!$A$5:$A$500,0)),0))</f>
        <v/>
      </c>
      <c r="Q1244" s="26" t="str">
        <f aca="false">IF(OR($D1244="",$J1244&lt;&gt;"Supplier"),"",IFERROR(INDEX(SupplierRates!$E$5:$E$500,MATCH($K1244&amp;"|"&amp;$L1244,SupplierRates!$A$5:$A$500,0)),0))</f>
        <v/>
      </c>
      <c r="R1244" s="26" t="n">
        <f aca="false">IF(OR($D1244="",$J1244&lt;&gt;"Supplier"),0,F1244*P1244+G1244*Q1244)</f>
        <v>0</v>
      </c>
      <c r="S1244" s="26" t="n">
        <f aca="false">IF(OR($D1244="",$J1244&lt;&gt;"Own"),0,IFERROR((F1244+G1244*Settings!$B$13)*INDEX(Workers!$V$5:$V$2004,MATCH($D1244,Workers!$A$5:$A$2004,0)),0))</f>
        <v>0</v>
      </c>
      <c r="T1244" s="26" t="str">
        <f aca="false">IF($D1244="","",O1244-R1244-S1244)</f>
        <v/>
      </c>
    </row>
    <row r="1245" customFormat="false" ht="15" hidden="false" customHeight="false" outlineLevel="0" collapsed="false">
      <c r="I1245" s="24" t="str">
        <f aca="false">IF($D1245="","",IFERROR(INDEX(Workers!$B$5:$B$2004,MATCH($D1245,Workers!$A$5:$A$2004,0)),"NOT FOUND"))</f>
        <v/>
      </c>
      <c r="J1245" s="24" t="str">
        <f aca="false">IF($D1245="","",IFERROR(INDEX(Workers!$C$5:$C$2004,MATCH($D1245,Workers!$A$5:$A$2004,0)),""))</f>
        <v/>
      </c>
      <c r="K1245" s="24" t="str">
        <f aca="false">IF($D1245="","",IFERROR(IF(INDEX(Workers!$D$5:$D$2004,MATCH($D1245,Workers!$A$5:$A$2004,0))=0,"",INDEX(Workers!$D$5:$D$2004,MATCH($D1245,Workers!$A$5:$A$2004,0))),""))</f>
        <v/>
      </c>
      <c r="L1245" s="24" t="str">
        <f aca="false">IF($D1245="","",IFERROR(INDEX(Workers!$E$5:$E$2004,MATCH($D1245,Workers!$A$5:$A$2004,0)),""))</f>
        <v/>
      </c>
      <c r="M1245" s="26" t="str">
        <f aca="false">IF($D1245="","",IFERROR(INDEX(ClientRates!$D$5:$D$500,MATCH($B1245&amp;"|"&amp;$L1245,ClientRates!$A$5:$A$500,0)),0))</f>
        <v/>
      </c>
      <c r="N1245" s="26" t="str">
        <f aca="false">IF($D1245="","",IFERROR(INDEX(ClientRates!$E$5:$E$500,MATCH($B1245&amp;"|"&amp;$L1245,ClientRates!$A$5:$A$500,0)),0))</f>
        <v/>
      </c>
      <c r="O1245" s="26" t="str">
        <f aca="false">IF($D1245="","",F1245*M1245+G1245*N1245)</f>
        <v/>
      </c>
      <c r="P1245" s="26" t="str">
        <f aca="false">IF(OR($D1245="",$J1245&lt;&gt;"Supplier"),"",IFERROR(INDEX(SupplierRates!$D$5:$D$500,MATCH($K1245&amp;"|"&amp;$L1245,SupplierRates!$A$5:$A$500,0)),0))</f>
        <v/>
      </c>
      <c r="Q1245" s="26" t="str">
        <f aca="false">IF(OR($D1245="",$J1245&lt;&gt;"Supplier"),"",IFERROR(INDEX(SupplierRates!$E$5:$E$500,MATCH($K1245&amp;"|"&amp;$L1245,SupplierRates!$A$5:$A$500,0)),0))</f>
        <v/>
      </c>
      <c r="R1245" s="26" t="n">
        <f aca="false">IF(OR($D1245="",$J1245&lt;&gt;"Supplier"),0,F1245*P1245+G1245*Q1245)</f>
        <v>0</v>
      </c>
      <c r="S1245" s="26" t="n">
        <f aca="false">IF(OR($D1245="",$J1245&lt;&gt;"Own"),0,IFERROR((F1245+G1245*Settings!$B$13)*INDEX(Workers!$V$5:$V$2004,MATCH($D1245,Workers!$A$5:$A$2004,0)),0))</f>
        <v>0</v>
      </c>
      <c r="T1245" s="26" t="str">
        <f aca="false">IF($D1245="","",O1245-R1245-S1245)</f>
        <v/>
      </c>
    </row>
    <row r="1246" customFormat="false" ht="15" hidden="false" customHeight="false" outlineLevel="0" collapsed="false">
      <c r="I1246" s="24" t="str">
        <f aca="false">IF($D1246="","",IFERROR(INDEX(Workers!$B$5:$B$2004,MATCH($D1246,Workers!$A$5:$A$2004,0)),"NOT FOUND"))</f>
        <v/>
      </c>
      <c r="J1246" s="24" t="str">
        <f aca="false">IF($D1246="","",IFERROR(INDEX(Workers!$C$5:$C$2004,MATCH($D1246,Workers!$A$5:$A$2004,0)),""))</f>
        <v/>
      </c>
      <c r="K1246" s="24" t="str">
        <f aca="false">IF($D1246="","",IFERROR(IF(INDEX(Workers!$D$5:$D$2004,MATCH($D1246,Workers!$A$5:$A$2004,0))=0,"",INDEX(Workers!$D$5:$D$2004,MATCH($D1246,Workers!$A$5:$A$2004,0))),""))</f>
        <v/>
      </c>
      <c r="L1246" s="24" t="str">
        <f aca="false">IF($D1246="","",IFERROR(INDEX(Workers!$E$5:$E$2004,MATCH($D1246,Workers!$A$5:$A$2004,0)),""))</f>
        <v/>
      </c>
      <c r="M1246" s="26" t="str">
        <f aca="false">IF($D1246="","",IFERROR(INDEX(ClientRates!$D$5:$D$500,MATCH($B1246&amp;"|"&amp;$L1246,ClientRates!$A$5:$A$500,0)),0))</f>
        <v/>
      </c>
      <c r="N1246" s="26" t="str">
        <f aca="false">IF($D1246="","",IFERROR(INDEX(ClientRates!$E$5:$E$500,MATCH($B1246&amp;"|"&amp;$L1246,ClientRates!$A$5:$A$500,0)),0))</f>
        <v/>
      </c>
      <c r="O1246" s="26" t="str">
        <f aca="false">IF($D1246="","",F1246*M1246+G1246*N1246)</f>
        <v/>
      </c>
      <c r="P1246" s="26" t="str">
        <f aca="false">IF(OR($D1246="",$J1246&lt;&gt;"Supplier"),"",IFERROR(INDEX(SupplierRates!$D$5:$D$500,MATCH($K1246&amp;"|"&amp;$L1246,SupplierRates!$A$5:$A$500,0)),0))</f>
        <v/>
      </c>
      <c r="Q1246" s="26" t="str">
        <f aca="false">IF(OR($D1246="",$J1246&lt;&gt;"Supplier"),"",IFERROR(INDEX(SupplierRates!$E$5:$E$500,MATCH($K1246&amp;"|"&amp;$L1246,SupplierRates!$A$5:$A$500,0)),0))</f>
        <v/>
      </c>
      <c r="R1246" s="26" t="n">
        <f aca="false">IF(OR($D1246="",$J1246&lt;&gt;"Supplier"),0,F1246*P1246+G1246*Q1246)</f>
        <v>0</v>
      </c>
      <c r="S1246" s="26" t="n">
        <f aca="false">IF(OR($D1246="",$J1246&lt;&gt;"Own"),0,IFERROR((F1246+G1246*Settings!$B$13)*INDEX(Workers!$V$5:$V$2004,MATCH($D1246,Workers!$A$5:$A$2004,0)),0))</f>
        <v>0</v>
      </c>
      <c r="T1246" s="26" t="str">
        <f aca="false">IF($D1246="","",O1246-R1246-S1246)</f>
        <v/>
      </c>
    </row>
    <row r="1247" customFormat="false" ht="15" hidden="false" customHeight="false" outlineLevel="0" collapsed="false">
      <c r="I1247" s="24" t="str">
        <f aca="false">IF($D1247="","",IFERROR(INDEX(Workers!$B$5:$B$2004,MATCH($D1247,Workers!$A$5:$A$2004,0)),"NOT FOUND"))</f>
        <v/>
      </c>
      <c r="J1247" s="24" t="str">
        <f aca="false">IF($D1247="","",IFERROR(INDEX(Workers!$C$5:$C$2004,MATCH($D1247,Workers!$A$5:$A$2004,0)),""))</f>
        <v/>
      </c>
      <c r="K1247" s="24" t="str">
        <f aca="false">IF($D1247="","",IFERROR(IF(INDEX(Workers!$D$5:$D$2004,MATCH($D1247,Workers!$A$5:$A$2004,0))=0,"",INDEX(Workers!$D$5:$D$2004,MATCH($D1247,Workers!$A$5:$A$2004,0))),""))</f>
        <v/>
      </c>
      <c r="L1247" s="24" t="str">
        <f aca="false">IF($D1247="","",IFERROR(INDEX(Workers!$E$5:$E$2004,MATCH($D1247,Workers!$A$5:$A$2004,0)),""))</f>
        <v/>
      </c>
      <c r="M1247" s="26" t="str">
        <f aca="false">IF($D1247="","",IFERROR(INDEX(ClientRates!$D$5:$D$500,MATCH($B1247&amp;"|"&amp;$L1247,ClientRates!$A$5:$A$500,0)),0))</f>
        <v/>
      </c>
      <c r="N1247" s="26" t="str">
        <f aca="false">IF($D1247="","",IFERROR(INDEX(ClientRates!$E$5:$E$500,MATCH($B1247&amp;"|"&amp;$L1247,ClientRates!$A$5:$A$500,0)),0))</f>
        <v/>
      </c>
      <c r="O1247" s="26" t="str">
        <f aca="false">IF($D1247="","",F1247*M1247+G1247*N1247)</f>
        <v/>
      </c>
      <c r="P1247" s="26" t="str">
        <f aca="false">IF(OR($D1247="",$J1247&lt;&gt;"Supplier"),"",IFERROR(INDEX(SupplierRates!$D$5:$D$500,MATCH($K1247&amp;"|"&amp;$L1247,SupplierRates!$A$5:$A$500,0)),0))</f>
        <v/>
      </c>
      <c r="Q1247" s="26" t="str">
        <f aca="false">IF(OR($D1247="",$J1247&lt;&gt;"Supplier"),"",IFERROR(INDEX(SupplierRates!$E$5:$E$500,MATCH($K1247&amp;"|"&amp;$L1247,SupplierRates!$A$5:$A$500,0)),0))</f>
        <v/>
      </c>
      <c r="R1247" s="26" t="n">
        <f aca="false">IF(OR($D1247="",$J1247&lt;&gt;"Supplier"),0,F1247*P1247+G1247*Q1247)</f>
        <v>0</v>
      </c>
      <c r="S1247" s="26" t="n">
        <f aca="false">IF(OR($D1247="",$J1247&lt;&gt;"Own"),0,IFERROR((F1247+G1247*Settings!$B$13)*INDEX(Workers!$V$5:$V$2004,MATCH($D1247,Workers!$A$5:$A$2004,0)),0))</f>
        <v>0</v>
      </c>
      <c r="T1247" s="26" t="str">
        <f aca="false">IF($D1247="","",O1247-R1247-S1247)</f>
        <v/>
      </c>
    </row>
    <row r="1248" customFormat="false" ht="15" hidden="false" customHeight="false" outlineLevel="0" collapsed="false">
      <c r="I1248" s="24" t="str">
        <f aca="false">IF($D1248="","",IFERROR(INDEX(Workers!$B$5:$B$2004,MATCH($D1248,Workers!$A$5:$A$2004,0)),"NOT FOUND"))</f>
        <v/>
      </c>
      <c r="J1248" s="24" t="str">
        <f aca="false">IF($D1248="","",IFERROR(INDEX(Workers!$C$5:$C$2004,MATCH($D1248,Workers!$A$5:$A$2004,0)),""))</f>
        <v/>
      </c>
      <c r="K1248" s="24" t="str">
        <f aca="false">IF($D1248="","",IFERROR(IF(INDEX(Workers!$D$5:$D$2004,MATCH($D1248,Workers!$A$5:$A$2004,0))=0,"",INDEX(Workers!$D$5:$D$2004,MATCH($D1248,Workers!$A$5:$A$2004,0))),""))</f>
        <v/>
      </c>
      <c r="L1248" s="24" t="str">
        <f aca="false">IF($D1248="","",IFERROR(INDEX(Workers!$E$5:$E$2004,MATCH($D1248,Workers!$A$5:$A$2004,0)),""))</f>
        <v/>
      </c>
      <c r="M1248" s="26" t="str">
        <f aca="false">IF($D1248="","",IFERROR(INDEX(ClientRates!$D$5:$D$500,MATCH($B1248&amp;"|"&amp;$L1248,ClientRates!$A$5:$A$500,0)),0))</f>
        <v/>
      </c>
      <c r="N1248" s="26" t="str">
        <f aca="false">IF($D1248="","",IFERROR(INDEX(ClientRates!$E$5:$E$500,MATCH($B1248&amp;"|"&amp;$L1248,ClientRates!$A$5:$A$500,0)),0))</f>
        <v/>
      </c>
      <c r="O1248" s="26" t="str">
        <f aca="false">IF($D1248="","",F1248*M1248+G1248*N1248)</f>
        <v/>
      </c>
      <c r="P1248" s="26" t="str">
        <f aca="false">IF(OR($D1248="",$J1248&lt;&gt;"Supplier"),"",IFERROR(INDEX(SupplierRates!$D$5:$D$500,MATCH($K1248&amp;"|"&amp;$L1248,SupplierRates!$A$5:$A$500,0)),0))</f>
        <v/>
      </c>
      <c r="Q1248" s="26" t="str">
        <f aca="false">IF(OR($D1248="",$J1248&lt;&gt;"Supplier"),"",IFERROR(INDEX(SupplierRates!$E$5:$E$500,MATCH($K1248&amp;"|"&amp;$L1248,SupplierRates!$A$5:$A$500,0)),0))</f>
        <v/>
      </c>
      <c r="R1248" s="26" t="n">
        <f aca="false">IF(OR($D1248="",$J1248&lt;&gt;"Supplier"),0,F1248*P1248+G1248*Q1248)</f>
        <v>0</v>
      </c>
      <c r="S1248" s="26" t="n">
        <f aca="false">IF(OR($D1248="",$J1248&lt;&gt;"Own"),0,IFERROR((F1248+G1248*Settings!$B$13)*INDEX(Workers!$V$5:$V$2004,MATCH($D1248,Workers!$A$5:$A$2004,0)),0))</f>
        <v>0</v>
      </c>
      <c r="T1248" s="26" t="str">
        <f aca="false">IF($D1248="","",O1248-R1248-S1248)</f>
        <v/>
      </c>
    </row>
    <row r="1249" customFormat="false" ht="15" hidden="false" customHeight="false" outlineLevel="0" collapsed="false">
      <c r="I1249" s="24" t="str">
        <f aca="false">IF($D1249="","",IFERROR(INDEX(Workers!$B$5:$B$2004,MATCH($D1249,Workers!$A$5:$A$2004,0)),"NOT FOUND"))</f>
        <v/>
      </c>
      <c r="J1249" s="24" t="str">
        <f aca="false">IF($D1249="","",IFERROR(INDEX(Workers!$C$5:$C$2004,MATCH($D1249,Workers!$A$5:$A$2004,0)),""))</f>
        <v/>
      </c>
      <c r="K1249" s="24" t="str">
        <f aca="false">IF($D1249="","",IFERROR(IF(INDEX(Workers!$D$5:$D$2004,MATCH($D1249,Workers!$A$5:$A$2004,0))=0,"",INDEX(Workers!$D$5:$D$2004,MATCH($D1249,Workers!$A$5:$A$2004,0))),""))</f>
        <v/>
      </c>
      <c r="L1249" s="24" t="str">
        <f aca="false">IF($D1249="","",IFERROR(INDEX(Workers!$E$5:$E$2004,MATCH($D1249,Workers!$A$5:$A$2004,0)),""))</f>
        <v/>
      </c>
      <c r="M1249" s="26" t="str">
        <f aca="false">IF($D1249="","",IFERROR(INDEX(ClientRates!$D$5:$D$500,MATCH($B1249&amp;"|"&amp;$L1249,ClientRates!$A$5:$A$500,0)),0))</f>
        <v/>
      </c>
      <c r="N1249" s="26" t="str">
        <f aca="false">IF($D1249="","",IFERROR(INDEX(ClientRates!$E$5:$E$500,MATCH($B1249&amp;"|"&amp;$L1249,ClientRates!$A$5:$A$500,0)),0))</f>
        <v/>
      </c>
      <c r="O1249" s="26" t="str">
        <f aca="false">IF($D1249="","",F1249*M1249+G1249*N1249)</f>
        <v/>
      </c>
      <c r="P1249" s="26" t="str">
        <f aca="false">IF(OR($D1249="",$J1249&lt;&gt;"Supplier"),"",IFERROR(INDEX(SupplierRates!$D$5:$D$500,MATCH($K1249&amp;"|"&amp;$L1249,SupplierRates!$A$5:$A$500,0)),0))</f>
        <v/>
      </c>
      <c r="Q1249" s="26" t="str">
        <f aca="false">IF(OR($D1249="",$J1249&lt;&gt;"Supplier"),"",IFERROR(INDEX(SupplierRates!$E$5:$E$500,MATCH($K1249&amp;"|"&amp;$L1249,SupplierRates!$A$5:$A$500,0)),0))</f>
        <v/>
      </c>
      <c r="R1249" s="26" t="n">
        <f aca="false">IF(OR($D1249="",$J1249&lt;&gt;"Supplier"),0,F1249*P1249+G1249*Q1249)</f>
        <v>0</v>
      </c>
      <c r="S1249" s="26" t="n">
        <f aca="false">IF(OR($D1249="",$J1249&lt;&gt;"Own"),0,IFERROR((F1249+G1249*Settings!$B$13)*INDEX(Workers!$V$5:$V$2004,MATCH($D1249,Workers!$A$5:$A$2004,0)),0))</f>
        <v>0</v>
      </c>
      <c r="T1249" s="26" t="str">
        <f aca="false">IF($D1249="","",O1249-R1249-S1249)</f>
        <v/>
      </c>
    </row>
    <row r="1250" customFormat="false" ht="15" hidden="false" customHeight="false" outlineLevel="0" collapsed="false">
      <c r="I1250" s="24" t="str">
        <f aca="false">IF($D1250="","",IFERROR(INDEX(Workers!$B$5:$B$2004,MATCH($D1250,Workers!$A$5:$A$2004,0)),"NOT FOUND"))</f>
        <v/>
      </c>
      <c r="J1250" s="24" t="str">
        <f aca="false">IF($D1250="","",IFERROR(INDEX(Workers!$C$5:$C$2004,MATCH($D1250,Workers!$A$5:$A$2004,0)),""))</f>
        <v/>
      </c>
      <c r="K1250" s="24" t="str">
        <f aca="false">IF($D1250="","",IFERROR(IF(INDEX(Workers!$D$5:$D$2004,MATCH($D1250,Workers!$A$5:$A$2004,0))=0,"",INDEX(Workers!$D$5:$D$2004,MATCH($D1250,Workers!$A$5:$A$2004,0))),""))</f>
        <v/>
      </c>
      <c r="L1250" s="24" t="str">
        <f aca="false">IF($D1250="","",IFERROR(INDEX(Workers!$E$5:$E$2004,MATCH($D1250,Workers!$A$5:$A$2004,0)),""))</f>
        <v/>
      </c>
      <c r="M1250" s="26" t="str">
        <f aca="false">IF($D1250="","",IFERROR(INDEX(ClientRates!$D$5:$D$500,MATCH($B1250&amp;"|"&amp;$L1250,ClientRates!$A$5:$A$500,0)),0))</f>
        <v/>
      </c>
      <c r="N1250" s="26" t="str">
        <f aca="false">IF($D1250="","",IFERROR(INDEX(ClientRates!$E$5:$E$500,MATCH($B1250&amp;"|"&amp;$L1250,ClientRates!$A$5:$A$500,0)),0))</f>
        <v/>
      </c>
      <c r="O1250" s="26" t="str">
        <f aca="false">IF($D1250="","",F1250*M1250+G1250*N1250)</f>
        <v/>
      </c>
      <c r="P1250" s="26" t="str">
        <f aca="false">IF(OR($D1250="",$J1250&lt;&gt;"Supplier"),"",IFERROR(INDEX(SupplierRates!$D$5:$D$500,MATCH($K1250&amp;"|"&amp;$L1250,SupplierRates!$A$5:$A$500,0)),0))</f>
        <v/>
      </c>
      <c r="Q1250" s="26" t="str">
        <f aca="false">IF(OR($D1250="",$J1250&lt;&gt;"Supplier"),"",IFERROR(INDEX(SupplierRates!$E$5:$E$500,MATCH($K1250&amp;"|"&amp;$L1250,SupplierRates!$A$5:$A$500,0)),0))</f>
        <v/>
      </c>
      <c r="R1250" s="26" t="n">
        <f aca="false">IF(OR($D1250="",$J1250&lt;&gt;"Supplier"),0,F1250*P1250+G1250*Q1250)</f>
        <v>0</v>
      </c>
      <c r="S1250" s="26" t="n">
        <f aca="false">IF(OR($D1250="",$J1250&lt;&gt;"Own"),0,IFERROR((F1250+G1250*Settings!$B$13)*INDEX(Workers!$V$5:$V$2004,MATCH($D1250,Workers!$A$5:$A$2004,0)),0))</f>
        <v>0</v>
      </c>
      <c r="T1250" s="26" t="str">
        <f aca="false">IF($D1250="","",O1250-R1250-S1250)</f>
        <v/>
      </c>
    </row>
    <row r="1251" customFormat="false" ht="15" hidden="false" customHeight="false" outlineLevel="0" collapsed="false">
      <c r="I1251" s="24" t="str">
        <f aca="false">IF($D1251="","",IFERROR(INDEX(Workers!$B$5:$B$2004,MATCH($D1251,Workers!$A$5:$A$2004,0)),"NOT FOUND"))</f>
        <v/>
      </c>
      <c r="J1251" s="24" t="str">
        <f aca="false">IF($D1251="","",IFERROR(INDEX(Workers!$C$5:$C$2004,MATCH($D1251,Workers!$A$5:$A$2004,0)),""))</f>
        <v/>
      </c>
      <c r="K1251" s="24" t="str">
        <f aca="false">IF($D1251="","",IFERROR(IF(INDEX(Workers!$D$5:$D$2004,MATCH($D1251,Workers!$A$5:$A$2004,0))=0,"",INDEX(Workers!$D$5:$D$2004,MATCH($D1251,Workers!$A$5:$A$2004,0))),""))</f>
        <v/>
      </c>
      <c r="L1251" s="24" t="str">
        <f aca="false">IF($D1251="","",IFERROR(INDEX(Workers!$E$5:$E$2004,MATCH($D1251,Workers!$A$5:$A$2004,0)),""))</f>
        <v/>
      </c>
      <c r="M1251" s="26" t="str">
        <f aca="false">IF($D1251="","",IFERROR(INDEX(ClientRates!$D$5:$D$500,MATCH($B1251&amp;"|"&amp;$L1251,ClientRates!$A$5:$A$500,0)),0))</f>
        <v/>
      </c>
      <c r="N1251" s="26" t="str">
        <f aca="false">IF($D1251="","",IFERROR(INDEX(ClientRates!$E$5:$E$500,MATCH($B1251&amp;"|"&amp;$L1251,ClientRates!$A$5:$A$500,0)),0))</f>
        <v/>
      </c>
      <c r="O1251" s="26" t="str">
        <f aca="false">IF($D1251="","",F1251*M1251+G1251*N1251)</f>
        <v/>
      </c>
      <c r="P1251" s="26" t="str">
        <f aca="false">IF(OR($D1251="",$J1251&lt;&gt;"Supplier"),"",IFERROR(INDEX(SupplierRates!$D$5:$D$500,MATCH($K1251&amp;"|"&amp;$L1251,SupplierRates!$A$5:$A$500,0)),0))</f>
        <v/>
      </c>
      <c r="Q1251" s="26" t="str">
        <f aca="false">IF(OR($D1251="",$J1251&lt;&gt;"Supplier"),"",IFERROR(INDEX(SupplierRates!$E$5:$E$500,MATCH($K1251&amp;"|"&amp;$L1251,SupplierRates!$A$5:$A$500,0)),0))</f>
        <v/>
      </c>
      <c r="R1251" s="26" t="n">
        <f aca="false">IF(OR($D1251="",$J1251&lt;&gt;"Supplier"),0,F1251*P1251+G1251*Q1251)</f>
        <v>0</v>
      </c>
      <c r="S1251" s="26" t="n">
        <f aca="false">IF(OR($D1251="",$J1251&lt;&gt;"Own"),0,IFERROR((F1251+G1251*Settings!$B$13)*INDEX(Workers!$V$5:$V$2004,MATCH($D1251,Workers!$A$5:$A$2004,0)),0))</f>
        <v>0</v>
      </c>
      <c r="T1251" s="26" t="str">
        <f aca="false">IF($D1251="","",O1251-R1251-S1251)</f>
        <v/>
      </c>
    </row>
    <row r="1252" customFormat="false" ht="15" hidden="false" customHeight="false" outlineLevel="0" collapsed="false">
      <c r="I1252" s="24" t="str">
        <f aca="false">IF($D1252="","",IFERROR(INDEX(Workers!$B$5:$B$2004,MATCH($D1252,Workers!$A$5:$A$2004,0)),"NOT FOUND"))</f>
        <v/>
      </c>
      <c r="J1252" s="24" t="str">
        <f aca="false">IF($D1252="","",IFERROR(INDEX(Workers!$C$5:$C$2004,MATCH($D1252,Workers!$A$5:$A$2004,0)),""))</f>
        <v/>
      </c>
      <c r="K1252" s="24" t="str">
        <f aca="false">IF($D1252="","",IFERROR(IF(INDEX(Workers!$D$5:$D$2004,MATCH($D1252,Workers!$A$5:$A$2004,0))=0,"",INDEX(Workers!$D$5:$D$2004,MATCH($D1252,Workers!$A$5:$A$2004,0))),""))</f>
        <v/>
      </c>
      <c r="L1252" s="24" t="str">
        <f aca="false">IF($D1252="","",IFERROR(INDEX(Workers!$E$5:$E$2004,MATCH($D1252,Workers!$A$5:$A$2004,0)),""))</f>
        <v/>
      </c>
      <c r="M1252" s="26" t="str">
        <f aca="false">IF($D1252="","",IFERROR(INDEX(ClientRates!$D$5:$D$500,MATCH($B1252&amp;"|"&amp;$L1252,ClientRates!$A$5:$A$500,0)),0))</f>
        <v/>
      </c>
      <c r="N1252" s="26" t="str">
        <f aca="false">IF($D1252="","",IFERROR(INDEX(ClientRates!$E$5:$E$500,MATCH($B1252&amp;"|"&amp;$L1252,ClientRates!$A$5:$A$500,0)),0))</f>
        <v/>
      </c>
      <c r="O1252" s="26" t="str">
        <f aca="false">IF($D1252="","",F1252*M1252+G1252*N1252)</f>
        <v/>
      </c>
      <c r="P1252" s="26" t="str">
        <f aca="false">IF(OR($D1252="",$J1252&lt;&gt;"Supplier"),"",IFERROR(INDEX(SupplierRates!$D$5:$D$500,MATCH($K1252&amp;"|"&amp;$L1252,SupplierRates!$A$5:$A$500,0)),0))</f>
        <v/>
      </c>
      <c r="Q1252" s="26" t="str">
        <f aca="false">IF(OR($D1252="",$J1252&lt;&gt;"Supplier"),"",IFERROR(INDEX(SupplierRates!$E$5:$E$500,MATCH($K1252&amp;"|"&amp;$L1252,SupplierRates!$A$5:$A$500,0)),0))</f>
        <v/>
      </c>
      <c r="R1252" s="26" t="n">
        <f aca="false">IF(OR($D1252="",$J1252&lt;&gt;"Supplier"),0,F1252*P1252+G1252*Q1252)</f>
        <v>0</v>
      </c>
      <c r="S1252" s="26" t="n">
        <f aca="false">IF(OR($D1252="",$J1252&lt;&gt;"Own"),0,IFERROR((F1252+G1252*Settings!$B$13)*INDEX(Workers!$V$5:$V$2004,MATCH($D1252,Workers!$A$5:$A$2004,0)),0))</f>
        <v>0</v>
      </c>
      <c r="T1252" s="26" t="str">
        <f aca="false">IF($D1252="","",O1252-R1252-S1252)</f>
        <v/>
      </c>
    </row>
    <row r="1253" customFormat="false" ht="15" hidden="false" customHeight="false" outlineLevel="0" collapsed="false">
      <c r="I1253" s="24" t="str">
        <f aca="false">IF($D1253="","",IFERROR(INDEX(Workers!$B$5:$B$2004,MATCH($D1253,Workers!$A$5:$A$2004,0)),"NOT FOUND"))</f>
        <v/>
      </c>
      <c r="J1253" s="24" t="str">
        <f aca="false">IF($D1253="","",IFERROR(INDEX(Workers!$C$5:$C$2004,MATCH($D1253,Workers!$A$5:$A$2004,0)),""))</f>
        <v/>
      </c>
      <c r="K1253" s="24" t="str">
        <f aca="false">IF($D1253="","",IFERROR(IF(INDEX(Workers!$D$5:$D$2004,MATCH($D1253,Workers!$A$5:$A$2004,0))=0,"",INDEX(Workers!$D$5:$D$2004,MATCH($D1253,Workers!$A$5:$A$2004,0))),""))</f>
        <v/>
      </c>
      <c r="L1253" s="24" t="str">
        <f aca="false">IF($D1253="","",IFERROR(INDEX(Workers!$E$5:$E$2004,MATCH($D1253,Workers!$A$5:$A$2004,0)),""))</f>
        <v/>
      </c>
      <c r="M1253" s="26" t="str">
        <f aca="false">IF($D1253="","",IFERROR(INDEX(ClientRates!$D$5:$D$500,MATCH($B1253&amp;"|"&amp;$L1253,ClientRates!$A$5:$A$500,0)),0))</f>
        <v/>
      </c>
      <c r="N1253" s="26" t="str">
        <f aca="false">IF($D1253="","",IFERROR(INDEX(ClientRates!$E$5:$E$500,MATCH($B1253&amp;"|"&amp;$L1253,ClientRates!$A$5:$A$500,0)),0))</f>
        <v/>
      </c>
      <c r="O1253" s="26" t="str">
        <f aca="false">IF($D1253="","",F1253*M1253+G1253*N1253)</f>
        <v/>
      </c>
      <c r="P1253" s="26" t="str">
        <f aca="false">IF(OR($D1253="",$J1253&lt;&gt;"Supplier"),"",IFERROR(INDEX(SupplierRates!$D$5:$D$500,MATCH($K1253&amp;"|"&amp;$L1253,SupplierRates!$A$5:$A$500,0)),0))</f>
        <v/>
      </c>
      <c r="Q1253" s="26" t="str">
        <f aca="false">IF(OR($D1253="",$J1253&lt;&gt;"Supplier"),"",IFERROR(INDEX(SupplierRates!$E$5:$E$500,MATCH($K1253&amp;"|"&amp;$L1253,SupplierRates!$A$5:$A$500,0)),0))</f>
        <v/>
      </c>
      <c r="R1253" s="26" t="n">
        <f aca="false">IF(OR($D1253="",$J1253&lt;&gt;"Supplier"),0,F1253*P1253+G1253*Q1253)</f>
        <v>0</v>
      </c>
      <c r="S1253" s="26" t="n">
        <f aca="false">IF(OR($D1253="",$J1253&lt;&gt;"Own"),0,IFERROR((F1253+G1253*Settings!$B$13)*INDEX(Workers!$V$5:$V$2004,MATCH($D1253,Workers!$A$5:$A$2004,0)),0))</f>
        <v>0</v>
      </c>
      <c r="T1253" s="26" t="str">
        <f aca="false">IF($D1253="","",O1253-R1253-S1253)</f>
        <v/>
      </c>
    </row>
    <row r="1254" customFormat="false" ht="15" hidden="false" customHeight="false" outlineLevel="0" collapsed="false">
      <c r="I1254" s="24" t="str">
        <f aca="false">IF($D1254="","",IFERROR(INDEX(Workers!$B$5:$B$2004,MATCH($D1254,Workers!$A$5:$A$2004,0)),"NOT FOUND"))</f>
        <v/>
      </c>
      <c r="J1254" s="24" t="str">
        <f aca="false">IF($D1254="","",IFERROR(INDEX(Workers!$C$5:$C$2004,MATCH($D1254,Workers!$A$5:$A$2004,0)),""))</f>
        <v/>
      </c>
      <c r="K1254" s="24" t="str">
        <f aca="false">IF($D1254="","",IFERROR(IF(INDEX(Workers!$D$5:$D$2004,MATCH($D1254,Workers!$A$5:$A$2004,0))=0,"",INDEX(Workers!$D$5:$D$2004,MATCH($D1254,Workers!$A$5:$A$2004,0))),""))</f>
        <v/>
      </c>
      <c r="L1254" s="24" t="str">
        <f aca="false">IF($D1254="","",IFERROR(INDEX(Workers!$E$5:$E$2004,MATCH($D1254,Workers!$A$5:$A$2004,0)),""))</f>
        <v/>
      </c>
      <c r="M1254" s="26" t="str">
        <f aca="false">IF($D1254="","",IFERROR(INDEX(ClientRates!$D$5:$D$500,MATCH($B1254&amp;"|"&amp;$L1254,ClientRates!$A$5:$A$500,0)),0))</f>
        <v/>
      </c>
      <c r="N1254" s="26" t="str">
        <f aca="false">IF($D1254="","",IFERROR(INDEX(ClientRates!$E$5:$E$500,MATCH($B1254&amp;"|"&amp;$L1254,ClientRates!$A$5:$A$500,0)),0))</f>
        <v/>
      </c>
      <c r="O1254" s="26" t="str">
        <f aca="false">IF($D1254="","",F1254*M1254+G1254*N1254)</f>
        <v/>
      </c>
      <c r="P1254" s="26" t="str">
        <f aca="false">IF(OR($D1254="",$J1254&lt;&gt;"Supplier"),"",IFERROR(INDEX(SupplierRates!$D$5:$D$500,MATCH($K1254&amp;"|"&amp;$L1254,SupplierRates!$A$5:$A$500,0)),0))</f>
        <v/>
      </c>
      <c r="Q1254" s="26" t="str">
        <f aca="false">IF(OR($D1254="",$J1254&lt;&gt;"Supplier"),"",IFERROR(INDEX(SupplierRates!$E$5:$E$500,MATCH($K1254&amp;"|"&amp;$L1254,SupplierRates!$A$5:$A$500,0)),0))</f>
        <v/>
      </c>
      <c r="R1254" s="26" t="n">
        <f aca="false">IF(OR($D1254="",$J1254&lt;&gt;"Supplier"),0,F1254*P1254+G1254*Q1254)</f>
        <v>0</v>
      </c>
      <c r="S1254" s="26" t="n">
        <f aca="false">IF(OR($D1254="",$J1254&lt;&gt;"Own"),0,IFERROR((F1254+G1254*Settings!$B$13)*INDEX(Workers!$V$5:$V$2004,MATCH($D1254,Workers!$A$5:$A$2004,0)),0))</f>
        <v>0</v>
      </c>
      <c r="T1254" s="26" t="str">
        <f aca="false">IF($D1254="","",O1254-R1254-S1254)</f>
        <v/>
      </c>
    </row>
    <row r="1255" customFormat="false" ht="15" hidden="false" customHeight="false" outlineLevel="0" collapsed="false">
      <c r="I1255" s="24" t="str">
        <f aca="false">IF($D1255="","",IFERROR(INDEX(Workers!$B$5:$B$2004,MATCH($D1255,Workers!$A$5:$A$2004,0)),"NOT FOUND"))</f>
        <v/>
      </c>
      <c r="J1255" s="24" t="str">
        <f aca="false">IF($D1255="","",IFERROR(INDEX(Workers!$C$5:$C$2004,MATCH($D1255,Workers!$A$5:$A$2004,0)),""))</f>
        <v/>
      </c>
      <c r="K1255" s="24" t="str">
        <f aca="false">IF($D1255="","",IFERROR(IF(INDEX(Workers!$D$5:$D$2004,MATCH($D1255,Workers!$A$5:$A$2004,0))=0,"",INDEX(Workers!$D$5:$D$2004,MATCH($D1255,Workers!$A$5:$A$2004,0))),""))</f>
        <v/>
      </c>
      <c r="L1255" s="24" t="str">
        <f aca="false">IF($D1255="","",IFERROR(INDEX(Workers!$E$5:$E$2004,MATCH($D1255,Workers!$A$5:$A$2004,0)),""))</f>
        <v/>
      </c>
      <c r="M1255" s="26" t="str">
        <f aca="false">IF($D1255="","",IFERROR(INDEX(ClientRates!$D$5:$D$500,MATCH($B1255&amp;"|"&amp;$L1255,ClientRates!$A$5:$A$500,0)),0))</f>
        <v/>
      </c>
      <c r="N1255" s="26" t="str">
        <f aca="false">IF($D1255="","",IFERROR(INDEX(ClientRates!$E$5:$E$500,MATCH($B1255&amp;"|"&amp;$L1255,ClientRates!$A$5:$A$500,0)),0))</f>
        <v/>
      </c>
      <c r="O1255" s="26" t="str">
        <f aca="false">IF($D1255="","",F1255*M1255+G1255*N1255)</f>
        <v/>
      </c>
      <c r="P1255" s="26" t="str">
        <f aca="false">IF(OR($D1255="",$J1255&lt;&gt;"Supplier"),"",IFERROR(INDEX(SupplierRates!$D$5:$D$500,MATCH($K1255&amp;"|"&amp;$L1255,SupplierRates!$A$5:$A$500,0)),0))</f>
        <v/>
      </c>
      <c r="Q1255" s="26" t="str">
        <f aca="false">IF(OR($D1255="",$J1255&lt;&gt;"Supplier"),"",IFERROR(INDEX(SupplierRates!$E$5:$E$500,MATCH($K1255&amp;"|"&amp;$L1255,SupplierRates!$A$5:$A$500,0)),0))</f>
        <v/>
      </c>
      <c r="R1255" s="26" t="n">
        <f aca="false">IF(OR($D1255="",$J1255&lt;&gt;"Supplier"),0,F1255*P1255+G1255*Q1255)</f>
        <v>0</v>
      </c>
      <c r="S1255" s="26" t="n">
        <f aca="false">IF(OR($D1255="",$J1255&lt;&gt;"Own"),0,IFERROR((F1255+G1255*Settings!$B$13)*INDEX(Workers!$V$5:$V$2004,MATCH($D1255,Workers!$A$5:$A$2004,0)),0))</f>
        <v>0</v>
      </c>
      <c r="T1255" s="26" t="str">
        <f aca="false">IF($D1255="","",O1255-R1255-S1255)</f>
        <v/>
      </c>
    </row>
    <row r="1256" customFormat="false" ht="15" hidden="false" customHeight="false" outlineLevel="0" collapsed="false">
      <c r="I1256" s="24" t="str">
        <f aca="false">IF($D1256="","",IFERROR(INDEX(Workers!$B$5:$B$2004,MATCH($D1256,Workers!$A$5:$A$2004,0)),"NOT FOUND"))</f>
        <v/>
      </c>
      <c r="J1256" s="24" t="str">
        <f aca="false">IF($D1256="","",IFERROR(INDEX(Workers!$C$5:$C$2004,MATCH($D1256,Workers!$A$5:$A$2004,0)),""))</f>
        <v/>
      </c>
      <c r="K1256" s="24" t="str">
        <f aca="false">IF($D1256="","",IFERROR(IF(INDEX(Workers!$D$5:$D$2004,MATCH($D1256,Workers!$A$5:$A$2004,0))=0,"",INDEX(Workers!$D$5:$D$2004,MATCH($D1256,Workers!$A$5:$A$2004,0))),""))</f>
        <v/>
      </c>
      <c r="L1256" s="24" t="str">
        <f aca="false">IF($D1256="","",IFERROR(INDEX(Workers!$E$5:$E$2004,MATCH($D1256,Workers!$A$5:$A$2004,0)),""))</f>
        <v/>
      </c>
      <c r="M1256" s="26" t="str">
        <f aca="false">IF($D1256="","",IFERROR(INDEX(ClientRates!$D$5:$D$500,MATCH($B1256&amp;"|"&amp;$L1256,ClientRates!$A$5:$A$500,0)),0))</f>
        <v/>
      </c>
      <c r="N1256" s="26" t="str">
        <f aca="false">IF($D1256="","",IFERROR(INDEX(ClientRates!$E$5:$E$500,MATCH($B1256&amp;"|"&amp;$L1256,ClientRates!$A$5:$A$500,0)),0))</f>
        <v/>
      </c>
      <c r="O1256" s="26" t="str">
        <f aca="false">IF($D1256="","",F1256*M1256+G1256*N1256)</f>
        <v/>
      </c>
      <c r="P1256" s="26" t="str">
        <f aca="false">IF(OR($D1256="",$J1256&lt;&gt;"Supplier"),"",IFERROR(INDEX(SupplierRates!$D$5:$D$500,MATCH($K1256&amp;"|"&amp;$L1256,SupplierRates!$A$5:$A$500,0)),0))</f>
        <v/>
      </c>
      <c r="Q1256" s="26" t="str">
        <f aca="false">IF(OR($D1256="",$J1256&lt;&gt;"Supplier"),"",IFERROR(INDEX(SupplierRates!$E$5:$E$500,MATCH($K1256&amp;"|"&amp;$L1256,SupplierRates!$A$5:$A$500,0)),0))</f>
        <v/>
      </c>
      <c r="R1256" s="26" t="n">
        <f aca="false">IF(OR($D1256="",$J1256&lt;&gt;"Supplier"),0,F1256*P1256+G1256*Q1256)</f>
        <v>0</v>
      </c>
      <c r="S1256" s="26" t="n">
        <f aca="false">IF(OR($D1256="",$J1256&lt;&gt;"Own"),0,IFERROR((F1256+G1256*Settings!$B$13)*INDEX(Workers!$V$5:$V$2004,MATCH($D1256,Workers!$A$5:$A$2004,0)),0))</f>
        <v>0</v>
      </c>
      <c r="T1256" s="26" t="str">
        <f aca="false">IF($D1256="","",O1256-R1256-S1256)</f>
        <v/>
      </c>
    </row>
    <row r="1257" customFormat="false" ht="15" hidden="false" customHeight="false" outlineLevel="0" collapsed="false">
      <c r="I1257" s="24" t="str">
        <f aca="false">IF($D1257="","",IFERROR(INDEX(Workers!$B$5:$B$2004,MATCH($D1257,Workers!$A$5:$A$2004,0)),"NOT FOUND"))</f>
        <v/>
      </c>
      <c r="J1257" s="24" t="str">
        <f aca="false">IF($D1257="","",IFERROR(INDEX(Workers!$C$5:$C$2004,MATCH($D1257,Workers!$A$5:$A$2004,0)),""))</f>
        <v/>
      </c>
      <c r="K1257" s="24" t="str">
        <f aca="false">IF($D1257="","",IFERROR(IF(INDEX(Workers!$D$5:$D$2004,MATCH($D1257,Workers!$A$5:$A$2004,0))=0,"",INDEX(Workers!$D$5:$D$2004,MATCH($D1257,Workers!$A$5:$A$2004,0))),""))</f>
        <v/>
      </c>
      <c r="L1257" s="24" t="str">
        <f aca="false">IF($D1257="","",IFERROR(INDEX(Workers!$E$5:$E$2004,MATCH($D1257,Workers!$A$5:$A$2004,0)),""))</f>
        <v/>
      </c>
      <c r="M1257" s="26" t="str">
        <f aca="false">IF($D1257="","",IFERROR(INDEX(ClientRates!$D$5:$D$500,MATCH($B1257&amp;"|"&amp;$L1257,ClientRates!$A$5:$A$500,0)),0))</f>
        <v/>
      </c>
      <c r="N1257" s="26" t="str">
        <f aca="false">IF($D1257="","",IFERROR(INDEX(ClientRates!$E$5:$E$500,MATCH($B1257&amp;"|"&amp;$L1257,ClientRates!$A$5:$A$500,0)),0))</f>
        <v/>
      </c>
      <c r="O1257" s="26" t="str">
        <f aca="false">IF($D1257="","",F1257*M1257+G1257*N1257)</f>
        <v/>
      </c>
      <c r="P1257" s="26" t="str">
        <f aca="false">IF(OR($D1257="",$J1257&lt;&gt;"Supplier"),"",IFERROR(INDEX(SupplierRates!$D$5:$D$500,MATCH($K1257&amp;"|"&amp;$L1257,SupplierRates!$A$5:$A$500,0)),0))</f>
        <v/>
      </c>
      <c r="Q1257" s="26" t="str">
        <f aca="false">IF(OR($D1257="",$J1257&lt;&gt;"Supplier"),"",IFERROR(INDEX(SupplierRates!$E$5:$E$500,MATCH($K1257&amp;"|"&amp;$L1257,SupplierRates!$A$5:$A$500,0)),0))</f>
        <v/>
      </c>
      <c r="R1257" s="26" t="n">
        <f aca="false">IF(OR($D1257="",$J1257&lt;&gt;"Supplier"),0,F1257*P1257+G1257*Q1257)</f>
        <v>0</v>
      </c>
      <c r="S1257" s="26" t="n">
        <f aca="false">IF(OR($D1257="",$J1257&lt;&gt;"Own"),0,IFERROR((F1257+G1257*Settings!$B$13)*INDEX(Workers!$V$5:$V$2004,MATCH($D1257,Workers!$A$5:$A$2004,0)),0))</f>
        <v>0</v>
      </c>
      <c r="T1257" s="26" t="str">
        <f aca="false">IF($D1257="","",O1257-R1257-S1257)</f>
        <v/>
      </c>
    </row>
    <row r="1258" customFormat="false" ht="15" hidden="false" customHeight="false" outlineLevel="0" collapsed="false">
      <c r="I1258" s="24" t="str">
        <f aca="false">IF($D1258="","",IFERROR(INDEX(Workers!$B$5:$B$2004,MATCH($D1258,Workers!$A$5:$A$2004,0)),"NOT FOUND"))</f>
        <v/>
      </c>
      <c r="J1258" s="24" t="str">
        <f aca="false">IF($D1258="","",IFERROR(INDEX(Workers!$C$5:$C$2004,MATCH($D1258,Workers!$A$5:$A$2004,0)),""))</f>
        <v/>
      </c>
      <c r="K1258" s="24" t="str">
        <f aca="false">IF($D1258="","",IFERROR(IF(INDEX(Workers!$D$5:$D$2004,MATCH($D1258,Workers!$A$5:$A$2004,0))=0,"",INDEX(Workers!$D$5:$D$2004,MATCH($D1258,Workers!$A$5:$A$2004,0))),""))</f>
        <v/>
      </c>
      <c r="L1258" s="24" t="str">
        <f aca="false">IF($D1258="","",IFERROR(INDEX(Workers!$E$5:$E$2004,MATCH($D1258,Workers!$A$5:$A$2004,0)),""))</f>
        <v/>
      </c>
      <c r="M1258" s="26" t="str">
        <f aca="false">IF($D1258="","",IFERROR(INDEX(ClientRates!$D$5:$D$500,MATCH($B1258&amp;"|"&amp;$L1258,ClientRates!$A$5:$A$500,0)),0))</f>
        <v/>
      </c>
      <c r="N1258" s="26" t="str">
        <f aca="false">IF($D1258="","",IFERROR(INDEX(ClientRates!$E$5:$E$500,MATCH($B1258&amp;"|"&amp;$L1258,ClientRates!$A$5:$A$500,0)),0))</f>
        <v/>
      </c>
      <c r="O1258" s="26" t="str">
        <f aca="false">IF($D1258="","",F1258*M1258+G1258*N1258)</f>
        <v/>
      </c>
      <c r="P1258" s="26" t="str">
        <f aca="false">IF(OR($D1258="",$J1258&lt;&gt;"Supplier"),"",IFERROR(INDEX(SupplierRates!$D$5:$D$500,MATCH($K1258&amp;"|"&amp;$L1258,SupplierRates!$A$5:$A$500,0)),0))</f>
        <v/>
      </c>
      <c r="Q1258" s="26" t="str">
        <f aca="false">IF(OR($D1258="",$J1258&lt;&gt;"Supplier"),"",IFERROR(INDEX(SupplierRates!$E$5:$E$500,MATCH($K1258&amp;"|"&amp;$L1258,SupplierRates!$A$5:$A$500,0)),0))</f>
        <v/>
      </c>
      <c r="R1258" s="26" t="n">
        <f aca="false">IF(OR($D1258="",$J1258&lt;&gt;"Supplier"),0,F1258*P1258+G1258*Q1258)</f>
        <v>0</v>
      </c>
      <c r="S1258" s="26" t="n">
        <f aca="false">IF(OR($D1258="",$J1258&lt;&gt;"Own"),0,IFERROR((F1258+G1258*Settings!$B$13)*INDEX(Workers!$V$5:$V$2004,MATCH($D1258,Workers!$A$5:$A$2004,0)),0))</f>
        <v>0</v>
      </c>
      <c r="T1258" s="26" t="str">
        <f aca="false">IF($D1258="","",O1258-R1258-S1258)</f>
        <v/>
      </c>
    </row>
    <row r="1259" customFormat="false" ht="15" hidden="false" customHeight="false" outlineLevel="0" collapsed="false">
      <c r="I1259" s="24" t="str">
        <f aca="false">IF($D1259="","",IFERROR(INDEX(Workers!$B$5:$B$2004,MATCH($D1259,Workers!$A$5:$A$2004,0)),"NOT FOUND"))</f>
        <v/>
      </c>
      <c r="J1259" s="24" t="str">
        <f aca="false">IF($D1259="","",IFERROR(INDEX(Workers!$C$5:$C$2004,MATCH($D1259,Workers!$A$5:$A$2004,0)),""))</f>
        <v/>
      </c>
      <c r="K1259" s="24" t="str">
        <f aca="false">IF($D1259="","",IFERROR(IF(INDEX(Workers!$D$5:$D$2004,MATCH($D1259,Workers!$A$5:$A$2004,0))=0,"",INDEX(Workers!$D$5:$D$2004,MATCH($D1259,Workers!$A$5:$A$2004,0))),""))</f>
        <v/>
      </c>
      <c r="L1259" s="24" t="str">
        <f aca="false">IF($D1259="","",IFERROR(INDEX(Workers!$E$5:$E$2004,MATCH($D1259,Workers!$A$5:$A$2004,0)),""))</f>
        <v/>
      </c>
      <c r="M1259" s="26" t="str">
        <f aca="false">IF($D1259="","",IFERROR(INDEX(ClientRates!$D$5:$D$500,MATCH($B1259&amp;"|"&amp;$L1259,ClientRates!$A$5:$A$500,0)),0))</f>
        <v/>
      </c>
      <c r="N1259" s="26" t="str">
        <f aca="false">IF($D1259="","",IFERROR(INDEX(ClientRates!$E$5:$E$500,MATCH($B1259&amp;"|"&amp;$L1259,ClientRates!$A$5:$A$500,0)),0))</f>
        <v/>
      </c>
      <c r="O1259" s="26" t="str">
        <f aca="false">IF($D1259="","",F1259*M1259+G1259*N1259)</f>
        <v/>
      </c>
      <c r="P1259" s="26" t="str">
        <f aca="false">IF(OR($D1259="",$J1259&lt;&gt;"Supplier"),"",IFERROR(INDEX(SupplierRates!$D$5:$D$500,MATCH($K1259&amp;"|"&amp;$L1259,SupplierRates!$A$5:$A$500,0)),0))</f>
        <v/>
      </c>
      <c r="Q1259" s="26" t="str">
        <f aca="false">IF(OR($D1259="",$J1259&lt;&gt;"Supplier"),"",IFERROR(INDEX(SupplierRates!$E$5:$E$500,MATCH($K1259&amp;"|"&amp;$L1259,SupplierRates!$A$5:$A$500,0)),0))</f>
        <v/>
      </c>
      <c r="R1259" s="26" t="n">
        <f aca="false">IF(OR($D1259="",$J1259&lt;&gt;"Supplier"),0,F1259*P1259+G1259*Q1259)</f>
        <v>0</v>
      </c>
      <c r="S1259" s="26" t="n">
        <f aca="false">IF(OR($D1259="",$J1259&lt;&gt;"Own"),0,IFERROR((F1259+G1259*Settings!$B$13)*INDEX(Workers!$V$5:$V$2004,MATCH($D1259,Workers!$A$5:$A$2004,0)),0))</f>
        <v>0</v>
      </c>
      <c r="T1259" s="26" t="str">
        <f aca="false">IF($D1259="","",O1259-R1259-S1259)</f>
        <v/>
      </c>
    </row>
    <row r="1260" customFormat="false" ht="15" hidden="false" customHeight="false" outlineLevel="0" collapsed="false">
      <c r="I1260" s="24" t="str">
        <f aca="false">IF($D1260="","",IFERROR(INDEX(Workers!$B$5:$B$2004,MATCH($D1260,Workers!$A$5:$A$2004,0)),"NOT FOUND"))</f>
        <v/>
      </c>
      <c r="J1260" s="24" t="str">
        <f aca="false">IF($D1260="","",IFERROR(INDEX(Workers!$C$5:$C$2004,MATCH($D1260,Workers!$A$5:$A$2004,0)),""))</f>
        <v/>
      </c>
      <c r="K1260" s="24" t="str">
        <f aca="false">IF($D1260="","",IFERROR(IF(INDEX(Workers!$D$5:$D$2004,MATCH($D1260,Workers!$A$5:$A$2004,0))=0,"",INDEX(Workers!$D$5:$D$2004,MATCH($D1260,Workers!$A$5:$A$2004,0))),""))</f>
        <v/>
      </c>
      <c r="L1260" s="24" t="str">
        <f aca="false">IF($D1260="","",IFERROR(INDEX(Workers!$E$5:$E$2004,MATCH($D1260,Workers!$A$5:$A$2004,0)),""))</f>
        <v/>
      </c>
      <c r="M1260" s="26" t="str">
        <f aca="false">IF($D1260="","",IFERROR(INDEX(ClientRates!$D$5:$D$500,MATCH($B1260&amp;"|"&amp;$L1260,ClientRates!$A$5:$A$500,0)),0))</f>
        <v/>
      </c>
      <c r="N1260" s="26" t="str">
        <f aca="false">IF($D1260="","",IFERROR(INDEX(ClientRates!$E$5:$E$500,MATCH($B1260&amp;"|"&amp;$L1260,ClientRates!$A$5:$A$500,0)),0))</f>
        <v/>
      </c>
      <c r="O1260" s="26" t="str">
        <f aca="false">IF($D1260="","",F1260*M1260+G1260*N1260)</f>
        <v/>
      </c>
      <c r="P1260" s="26" t="str">
        <f aca="false">IF(OR($D1260="",$J1260&lt;&gt;"Supplier"),"",IFERROR(INDEX(SupplierRates!$D$5:$D$500,MATCH($K1260&amp;"|"&amp;$L1260,SupplierRates!$A$5:$A$500,0)),0))</f>
        <v/>
      </c>
      <c r="Q1260" s="26" t="str">
        <f aca="false">IF(OR($D1260="",$J1260&lt;&gt;"Supplier"),"",IFERROR(INDEX(SupplierRates!$E$5:$E$500,MATCH($K1260&amp;"|"&amp;$L1260,SupplierRates!$A$5:$A$500,0)),0))</f>
        <v/>
      </c>
      <c r="R1260" s="26" t="n">
        <f aca="false">IF(OR($D1260="",$J1260&lt;&gt;"Supplier"),0,F1260*P1260+G1260*Q1260)</f>
        <v>0</v>
      </c>
      <c r="S1260" s="26" t="n">
        <f aca="false">IF(OR($D1260="",$J1260&lt;&gt;"Own"),0,IFERROR((F1260+G1260*Settings!$B$13)*INDEX(Workers!$V$5:$V$2004,MATCH($D1260,Workers!$A$5:$A$2004,0)),0))</f>
        <v>0</v>
      </c>
      <c r="T1260" s="26" t="str">
        <f aca="false">IF($D1260="","",O1260-R1260-S1260)</f>
        <v/>
      </c>
    </row>
    <row r="1261" customFormat="false" ht="15" hidden="false" customHeight="false" outlineLevel="0" collapsed="false">
      <c r="I1261" s="24" t="str">
        <f aca="false">IF($D1261="","",IFERROR(INDEX(Workers!$B$5:$B$2004,MATCH($D1261,Workers!$A$5:$A$2004,0)),"NOT FOUND"))</f>
        <v/>
      </c>
      <c r="J1261" s="24" t="str">
        <f aca="false">IF($D1261="","",IFERROR(INDEX(Workers!$C$5:$C$2004,MATCH($D1261,Workers!$A$5:$A$2004,0)),""))</f>
        <v/>
      </c>
      <c r="K1261" s="24" t="str">
        <f aca="false">IF($D1261="","",IFERROR(IF(INDEX(Workers!$D$5:$D$2004,MATCH($D1261,Workers!$A$5:$A$2004,0))=0,"",INDEX(Workers!$D$5:$D$2004,MATCH($D1261,Workers!$A$5:$A$2004,0))),""))</f>
        <v/>
      </c>
      <c r="L1261" s="24" t="str">
        <f aca="false">IF($D1261="","",IFERROR(INDEX(Workers!$E$5:$E$2004,MATCH($D1261,Workers!$A$5:$A$2004,0)),""))</f>
        <v/>
      </c>
      <c r="M1261" s="26" t="str">
        <f aca="false">IF($D1261="","",IFERROR(INDEX(ClientRates!$D$5:$D$500,MATCH($B1261&amp;"|"&amp;$L1261,ClientRates!$A$5:$A$500,0)),0))</f>
        <v/>
      </c>
      <c r="N1261" s="26" t="str">
        <f aca="false">IF($D1261="","",IFERROR(INDEX(ClientRates!$E$5:$E$500,MATCH($B1261&amp;"|"&amp;$L1261,ClientRates!$A$5:$A$500,0)),0))</f>
        <v/>
      </c>
      <c r="O1261" s="26" t="str">
        <f aca="false">IF($D1261="","",F1261*M1261+G1261*N1261)</f>
        <v/>
      </c>
      <c r="P1261" s="26" t="str">
        <f aca="false">IF(OR($D1261="",$J1261&lt;&gt;"Supplier"),"",IFERROR(INDEX(SupplierRates!$D$5:$D$500,MATCH($K1261&amp;"|"&amp;$L1261,SupplierRates!$A$5:$A$500,0)),0))</f>
        <v/>
      </c>
      <c r="Q1261" s="26" t="str">
        <f aca="false">IF(OR($D1261="",$J1261&lt;&gt;"Supplier"),"",IFERROR(INDEX(SupplierRates!$E$5:$E$500,MATCH($K1261&amp;"|"&amp;$L1261,SupplierRates!$A$5:$A$500,0)),0))</f>
        <v/>
      </c>
      <c r="R1261" s="26" t="n">
        <f aca="false">IF(OR($D1261="",$J1261&lt;&gt;"Supplier"),0,F1261*P1261+G1261*Q1261)</f>
        <v>0</v>
      </c>
      <c r="S1261" s="26" t="n">
        <f aca="false">IF(OR($D1261="",$J1261&lt;&gt;"Own"),0,IFERROR((F1261+G1261*Settings!$B$13)*INDEX(Workers!$V$5:$V$2004,MATCH($D1261,Workers!$A$5:$A$2004,0)),0))</f>
        <v>0</v>
      </c>
      <c r="T1261" s="26" t="str">
        <f aca="false">IF($D1261="","",O1261-R1261-S1261)</f>
        <v/>
      </c>
    </row>
    <row r="1262" customFormat="false" ht="15" hidden="false" customHeight="false" outlineLevel="0" collapsed="false">
      <c r="I1262" s="24" t="str">
        <f aca="false">IF($D1262="","",IFERROR(INDEX(Workers!$B$5:$B$2004,MATCH($D1262,Workers!$A$5:$A$2004,0)),"NOT FOUND"))</f>
        <v/>
      </c>
      <c r="J1262" s="24" t="str">
        <f aca="false">IF($D1262="","",IFERROR(INDEX(Workers!$C$5:$C$2004,MATCH($D1262,Workers!$A$5:$A$2004,0)),""))</f>
        <v/>
      </c>
      <c r="K1262" s="24" t="str">
        <f aca="false">IF($D1262="","",IFERROR(IF(INDEX(Workers!$D$5:$D$2004,MATCH($D1262,Workers!$A$5:$A$2004,0))=0,"",INDEX(Workers!$D$5:$D$2004,MATCH($D1262,Workers!$A$5:$A$2004,0))),""))</f>
        <v/>
      </c>
      <c r="L1262" s="24" t="str">
        <f aca="false">IF($D1262="","",IFERROR(INDEX(Workers!$E$5:$E$2004,MATCH($D1262,Workers!$A$5:$A$2004,0)),""))</f>
        <v/>
      </c>
      <c r="M1262" s="26" t="str">
        <f aca="false">IF($D1262="","",IFERROR(INDEX(ClientRates!$D$5:$D$500,MATCH($B1262&amp;"|"&amp;$L1262,ClientRates!$A$5:$A$500,0)),0))</f>
        <v/>
      </c>
      <c r="N1262" s="26" t="str">
        <f aca="false">IF($D1262="","",IFERROR(INDEX(ClientRates!$E$5:$E$500,MATCH($B1262&amp;"|"&amp;$L1262,ClientRates!$A$5:$A$500,0)),0))</f>
        <v/>
      </c>
      <c r="O1262" s="26" t="str">
        <f aca="false">IF($D1262="","",F1262*M1262+G1262*N1262)</f>
        <v/>
      </c>
      <c r="P1262" s="26" t="str">
        <f aca="false">IF(OR($D1262="",$J1262&lt;&gt;"Supplier"),"",IFERROR(INDEX(SupplierRates!$D$5:$D$500,MATCH($K1262&amp;"|"&amp;$L1262,SupplierRates!$A$5:$A$500,0)),0))</f>
        <v/>
      </c>
      <c r="Q1262" s="26" t="str">
        <f aca="false">IF(OR($D1262="",$J1262&lt;&gt;"Supplier"),"",IFERROR(INDEX(SupplierRates!$E$5:$E$500,MATCH($K1262&amp;"|"&amp;$L1262,SupplierRates!$A$5:$A$500,0)),0))</f>
        <v/>
      </c>
      <c r="R1262" s="26" t="n">
        <f aca="false">IF(OR($D1262="",$J1262&lt;&gt;"Supplier"),0,F1262*P1262+G1262*Q1262)</f>
        <v>0</v>
      </c>
      <c r="S1262" s="26" t="n">
        <f aca="false">IF(OR($D1262="",$J1262&lt;&gt;"Own"),0,IFERROR((F1262+G1262*Settings!$B$13)*INDEX(Workers!$V$5:$V$2004,MATCH($D1262,Workers!$A$5:$A$2004,0)),0))</f>
        <v>0</v>
      </c>
      <c r="T1262" s="26" t="str">
        <f aca="false">IF($D1262="","",O1262-R1262-S1262)</f>
        <v/>
      </c>
    </row>
    <row r="1263" customFormat="false" ht="15" hidden="false" customHeight="false" outlineLevel="0" collapsed="false">
      <c r="I1263" s="24" t="str">
        <f aca="false">IF($D1263="","",IFERROR(INDEX(Workers!$B$5:$B$2004,MATCH($D1263,Workers!$A$5:$A$2004,0)),"NOT FOUND"))</f>
        <v/>
      </c>
      <c r="J1263" s="24" t="str">
        <f aca="false">IF($D1263="","",IFERROR(INDEX(Workers!$C$5:$C$2004,MATCH($D1263,Workers!$A$5:$A$2004,0)),""))</f>
        <v/>
      </c>
      <c r="K1263" s="24" t="str">
        <f aca="false">IF($D1263="","",IFERROR(IF(INDEX(Workers!$D$5:$D$2004,MATCH($D1263,Workers!$A$5:$A$2004,0))=0,"",INDEX(Workers!$D$5:$D$2004,MATCH($D1263,Workers!$A$5:$A$2004,0))),""))</f>
        <v/>
      </c>
      <c r="L1263" s="24" t="str">
        <f aca="false">IF($D1263="","",IFERROR(INDEX(Workers!$E$5:$E$2004,MATCH($D1263,Workers!$A$5:$A$2004,0)),""))</f>
        <v/>
      </c>
      <c r="M1263" s="26" t="str">
        <f aca="false">IF($D1263="","",IFERROR(INDEX(ClientRates!$D$5:$D$500,MATCH($B1263&amp;"|"&amp;$L1263,ClientRates!$A$5:$A$500,0)),0))</f>
        <v/>
      </c>
      <c r="N1263" s="26" t="str">
        <f aca="false">IF($D1263="","",IFERROR(INDEX(ClientRates!$E$5:$E$500,MATCH($B1263&amp;"|"&amp;$L1263,ClientRates!$A$5:$A$500,0)),0))</f>
        <v/>
      </c>
      <c r="O1263" s="26" t="str">
        <f aca="false">IF($D1263="","",F1263*M1263+G1263*N1263)</f>
        <v/>
      </c>
      <c r="P1263" s="26" t="str">
        <f aca="false">IF(OR($D1263="",$J1263&lt;&gt;"Supplier"),"",IFERROR(INDEX(SupplierRates!$D$5:$D$500,MATCH($K1263&amp;"|"&amp;$L1263,SupplierRates!$A$5:$A$500,0)),0))</f>
        <v/>
      </c>
      <c r="Q1263" s="26" t="str">
        <f aca="false">IF(OR($D1263="",$J1263&lt;&gt;"Supplier"),"",IFERROR(INDEX(SupplierRates!$E$5:$E$500,MATCH($K1263&amp;"|"&amp;$L1263,SupplierRates!$A$5:$A$500,0)),0))</f>
        <v/>
      </c>
      <c r="R1263" s="26" t="n">
        <f aca="false">IF(OR($D1263="",$J1263&lt;&gt;"Supplier"),0,F1263*P1263+G1263*Q1263)</f>
        <v>0</v>
      </c>
      <c r="S1263" s="26" t="n">
        <f aca="false">IF(OR($D1263="",$J1263&lt;&gt;"Own"),0,IFERROR((F1263+G1263*Settings!$B$13)*INDEX(Workers!$V$5:$V$2004,MATCH($D1263,Workers!$A$5:$A$2004,0)),0))</f>
        <v>0</v>
      </c>
      <c r="T1263" s="26" t="str">
        <f aca="false">IF($D1263="","",O1263-R1263-S1263)</f>
        <v/>
      </c>
    </row>
    <row r="1264" customFormat="false" ht="15" hidden="false" customHeight="false" outlineLevel="0" collapsed="false">
      <c r="I1264" s="24" t="str">
        <f aca="false">IF($D1264="","",IFERROR(INDEX(Workers!$B$5:$B$2004,MATCH($D1264,Workers!$A$5:$A$2004,0)),"NOT FOUND"))</f>
        <v/>
      </c>
      <c r="J1264" s="24" t="str">
        <f aca="false">IF($D1264="","",IFERROR(INDEX(Workers!$C$5:$C$2004,MATCH($D1264,Workers!$A$5:$A$2004,0)),""))</f>
        <v/>
      </c>
      <c r="K1264" s="24" t="str">
        <f aca="false">IF($D1264="","",IFERROR(IF(INDEX(Workers!$D$5:$D$2004,MATCH($D1264,Workers!$A$5:$A$2004,0))=0,"",INDEX(Workers!$D$5:$D$2004,MATCH($D1264,Workers!$A$5:$A$2004,0))),""))</f>
        <v/>
      </c>
      <c r="L1264" s="24" t="str">
        <f aca="false">IF($D1264="","",IFERROR(INDEX(Workers!$E$5:$E$2004,MATCH($D1264,Workers!$A$5:$A$2004,0)),""))</f>
        <v/>
      </c>
      <c r="M1264" s="26" t="str">
        <f aca="false">IF($D1264="","",IFERROR(INDEX(ClientRates!$D$5:$D$500,MATCH($B1264&amp;"|"&amp;$L1264,ClientRates!$A$5:$A$500,0)),0))</f>
        <v/>
      </c>
      <c r="N1264" s="26" t="str">
        <f aca="false">IF($D1264="","",IFERROR(INDEX(ClientRates!$E$5:$E$500,MATCH($B1264&amp;"|"&amp;$L1264,ClientRates!$A$5:$A$500,0)),0))</f>
        <v/>
      </c>
      <c r="O1264" s="26" t="str">
        <f aca="false">IF($D1264="","",F1264*M1264+G1264*N1264)</f>
        <v/>
      </c>
      <c r="P1264" s="26" t="str">
        <f aca="false">IF(OR($D1264="",$J1264&lt;&gt;"Supplier"),"",IFERROR(INDEX(SupplierRates!$D$5:$D$500,MATCH($K1264&amp;"|"&amp;$L1264,SupplierRates!$A$5:$A$500,0)),0))</f>
        <v/>
      </c>
      <c r="Q1264" s="26" t="str">
        <f aca="false">IF(OR($D1264="",$J1264&lt;&gt;"Supplier"),"",IFERROR(INDEX(SupplierRates!$E$5:$E$500,MATCH($K1264&amp;"|"&amp;$L1264,SupplierRates!$A$5:$A$500,0)),0))</f>
        <v/>
      </c>
      <c r="R1264" s="26" t="n">
        <f aca="false">IF(OR($D1264="",$J1264&lt;&gt;"Supplier"),0,F1264*P1264+G1264*Q1264)</f>
        <v>0</v>
      </c>
      <c r="S1264" s="26" t="n">
        <f aca="false">IF(OR($D1264="",$J1264&lt;&gt;"Own"),0,IFERROR((F1264+G1264*Settings!$B$13)*INDEX(Workers!$V$5:$V$2004,MATCH($D1264,Workers!$A$5:$A$2004,0)),0))</f>
        <v>0</v>
      </c>
      <c r="T1264" s="26" t="str">
        <f aca="false">IF($D1264="","",O1264-R1264-S1264)</f>
        <v/>
      </c>
    </row>
    <row r="1265" customFormat="false" ht="15" hidden="false" customHeight="false" outlineLevel="0" collapsed="false">
      <c r="I1265" s="24" t="str">
        <f aca="false">IF($D1265="","",IFERROR(INDEX(Workers!$B$5:$B$2004,MATCH($D1265,Workers!$A$5:$A$2004,0)),"NOT FOUND"))</f>
        <v/>
      </c>
      <c r="J1265" s="24" t="str">
        <f aca="false">IF($D1265="","",IFERROR(INDEX(Workers!$C$5:$C$2004,MATCH($D1265,Workers!$A$5:$A$2004,0)),""))</f>
        <v/>
      </c>
      <c r="K1265" s="24" t="str">
        <f aca="false">IF($D1265="","",IFERROR(IF(INDEX(Workers!$D$5:$D$2004,MATCH($D1265,Workers!$A$5:$A$2004,0))=0,"",INDEX(Workers!$D$5:$D$2004,MATCH($D1265,Workers!$A$5:$A$2004,0))),""))</f>
        <v/>
      </c>
      <c r="L1265" s="24" t="str">
        <f aca="false">IF($D1265="","",IFERROR(INDEX(Workers!$E$5:$E$2004,MATCH($D1265,Workers!$A$5:$A$2004,0)),""))</f>
        <v/>
      </c>
      <c r="M1265" s="26" t="str">
        <f aca="false">IF($D1265="","",IFERROR(INDEX(ClientRates!$D$5:$D$500,MATCH($B1265&amp;"|"&amp;$L1265,ClientRates!$A$5:$A$500,0)),0))</f>
        <v/>
      </c>
      <c r="N1265" s="26" t="str">
        <f aca="false">IF($D1265="","",IFERROR(INDEX(ClientRates!$E$5:$E$500,MATCH($B1265&amp;"|"&amp;$L1265,ClientRates!$A$5:$A$500,0)),0))</f>
        <v/>
      </c>
      <c r="O1265" s="26" t="str">
        <f aca="false">IF($D1265="","",F1265*M1265+G1265*N1265)</f>
        <v/>
      </c>
      <c r="P1265" s="26" t="str">
        <f aca="false">IF(OR($D1265="",$J1265&lt;&gt;"Supplier"),"",IFERROR(INDEX(SupplierRates!$D$5:$D$500,MATCH($K1265&amp;"|"&amp;$L1265,SupplierRates!$A$5:$A$500,0)),0))</f>
        <v/>
      </c>
      <c r="Q1265" s="26" t="str">
        <f aca="false">IF(OR($D1265="",$J1265&lt;&gt;"Supplier"),"",IFERROR(INDEX(SupplierRates!$E$5:$E$500,MATCH($K1265&amp;"|"&amp;$L1265,SupplierRates!$A$5:$A$500,0)),0))</f>
        <v/>
      </c>
      <c r="R1265" s="26" t="n">
        <f aca="false">IF(OR($D1265="",$J1265&lt;&gt;"Supplier"),0,F1265*P1265+G1265*Q1265)</f>
        <v>0</v>
      </c>
      <c r="S1265" s="26" t="n">
        <f aca="false">IF(OR($D1265="",$J1265&lt;&gt;"Own"),0,IFERROR((F1265+G1265*Settings!$B$13)*INDEX(Workers!$V$5:$V$2004,MATCH($D1265,Workers!$A$5:$A$2004,0)),0))</f>
        <v>0</v>
      </c>
      <c r="T1265" s="26" t="str">
        <f aca="false">IF($D1265="","",O1265-R1265-S1265)</f>
        <v/>
      </c>
    </row>
    <row r="1266" customFormat="false" ht="15" hidden="false" customHeight="false" outlineLevel="0" collapsed="false">
      <c r="I1266" s="24" t="str">
        <f aca="false">IF($D1266="","",IFERROR(INDEX(Workers!$B$5:$B$2004,MATCH($D1266,Workers!$A$5:$A$2004,0)),"NOT FOUND"))</f>
        <v/>
      </c>
      <c r="J1266" s="24" t="str">
        <f aca="false">IF($D1266="","",IFERROR(INDEX(Workers!$C$5:$C$2004,MATCH($D1266,Workers!$A$5:$A$2004,0)),""))</f>
        <v/>
      </c>
      <c r="K1266" s="24" t="str">
        <f aca="false">IF($D1266="","",IFERROR(IF(INDEX(Workers!$D$5:$D$2004,MATCH($D1266,Workers!$A$5:$A$2004,0))=0,"",INDEX(Workers!$D$5:$D$2004,MATCH($D1266,Workers!$A$5:$A$2004,0))),""))</f>
        <v/>
      </c>
      <c r="L1266" s="24" t="str">
        <f aca="false">IF($D1266="","",IFERROR(INDEX(Workers!$E$5:$E$2004,MATCH($D1266,Workers!$A$5:$A$2004,0)),""))</f>
        <v/>
      </c>
      <c r="M1266" s="26" t="str">
        <f aca="false">IF($D1266="","",IFERROR(INDEX(ClientRates!$D$5:$D$500,MATCH($B1266&amp;"|"&amp;$L1266,ClientRates!$A$5:$A$500,0)),0))</f>
        <v/>
      </c>
      <c r="N1266" s="26" t="str">
        <f aca="false">IF($D1266="","",IFERROR(INDEX(ClientRates!$E$5:$E$500,MATCH($B1266&amp;"|"&amp;$L1266,ClientRates!$A$5:$A$500,0)),0))</f>
        <v/>
      </c>
      <c r="O1266" s="26" t="str">
        <f aca="false">IF($D1266="","",F1266*M1266+G1266*N1266)</f>
        <v/>
      </c>
      <c r="P1266" s="26" t="str">
        <f aca="false">IF(OR($D1266="",$J1266&lt;&gt;"Supplier"),"",IFERROR(INDEX(SupplierRates!$D$5:$D$500,MATCH($K1266&amp;"|"&amp;$L1266,SupplierRates!$A$5:$A$500,0)),0))</f>
        <v/>
      </c>
      <c r="Q1266" s="26" t="str">
        <f aca="false">IF(OR($D1266="",$J1266&lt;&gt;"Supplier"),"",IFERROR(INDEX(SupplierRates!$E$5:$E$500,MATCH($K1266&amp;"|"&amp;$L1266,SupplierRates!$A$5:$A$500,0)),0))</f>
        <v/>
      </c>
      <c r="R1266" s="26" t="n">
        <f aca="false">IF(OR($D1266="",$J1266&lt;&gt;"Supplier"),0,F1266*P1266+G1266*Q1266)</f>
        <v>0</v>
      </c>
      <c r="S1266" s="26" t="n">
        <f aca="false">IF(OR($D1266="",$J1266&lt;&gt;"Own"),0,IFERROR((F1266+G1266*Settings!$B$13)*INDEX(Workers!$V$5:$V$2004,MATCH($D1266,Workers!$A$5:$A$2004,0)),0))</f>
        <v>0</v>
      </c>
      <c r="T1266" s="26" t="str">
        <f aca="false">IF($D1266="","",O1266-R1266-S1266)</f>
        <v/>
      </c>
    </row>
    <row r="1267" customFormat="false" ht="15" hidden="false" customHeight="false" outlineLevel="0" collapsed="false">
      <c r="I1267" s="24" t="str">
        <f aca="false">IF($D1267="","",IFERROR(INDEX(Workers!$B$5:$B$2004,MATCH($D1267,Workers!$A$5:$A$2004,0)),"NOT FOUND"))</f>
        <v/>
      </c>
      <c r="J1267" s="24" t="str">
        <f aca="false">IF($D1267="","",IFERROR(INDEX(Workers!$C$5:$C$2004,MATCH($D1267,Workers!$A$5:$A$2004,0)),""))</f>
        <v/>
      </c>
      <c r="K1267" s="24" t="str">
        <f aca="false">IF($D1267="","",IFERROR(IF(INDEX(Workers!$D$5:$D$2004,MATCH($D1267,Workers!$A$5:$A$2004,0))=0,"",INDEX(Workers!$D$5:$D$2004,MATCH($D1267,Workers!$A$5:$A$2004,0))),""))</f>
        <v/>
      </c>
      <c r="L1267" s="24" t="str">
        <f aca="false">IF($D1267="","",IFERROR(INDEX(Workers!$E$5:$E$2004,MATCH($D1267,Workers!$A$5:$A$2004,0)),""))</f>
        <v/>
      </c>
      <c r="M1267" s="26" t="str">
        <f aca="false">IF($D1267="","",IFERROR(INDEX(ClientRates!$D$5:$D$500,MATCH($B1267&amp;"|"&amp;$L1267,ClientRates!$A$5:$A$500,0)),0))</f>
        <v/>
      </c>
      <c r="N1267" s="26" t="str">
        <f aca="false">IF($D1267="","",IFERROR(INDEX(ClientRates!$E$5:$E$500,MATCH($B1267&amp;"|"&amp;$L1267,ClientRates!$A$5:$A$500,0)),0))</f>
        <v/>
      </c>
      <c r="O1267" s="26" t="str">
        <f aca="false">IF($D1267="","",F1267*M1267+G1267*N1267)</f>
        <v/>
      </c>
      <c r="P1267" s="26" t="str">
        <f aca="false">IF(OR($D1267="",$J1267&lt;&gt;"Supplier"),"",IFERROR(INDEX(SupplierRates!$D$5:$D$500,MATCH($K1267&amp;"|"&amp;$L1267,SupplierRates!$A$5:$A$500,0)),0))</f>
        <v/>
      </c>
      <c r="Q1267" s="26" t="str">
        <f aca="false">IF(OR($D1267="",$J1267&lt;&gt;"Supplier"),"",IFERROR(INDEX(SupplierRates!$E$5:$E$500,MATCH($K1267&amp;"|"&amp;$L1267,SupplierRates!$A$5:$A$500,0)),0))</f>
        <v/>
      </c>
      <c r="R1267" s="26" t="n">
        <f aca="false">IF(OR($D1267="",$J1267&lt;&gt;"Supplier"),0,F1267*P1267+G1267*Q1267)</f>
        <v>0</v>
      </c>
      <c r="S1267" s="26" t="n">
        <f aca="false">IF(OR($D1267="",$J1267&lt;&gt;"Own"),0,IFERROR((F1267+G1267*Settings!$B$13)*INDEX(Workers!$V$5:$V$2004,MATCH($D1267,Workers!$A$5:$A$2004,0)),0))</f>
        <v>0</v>
      </c>
      <c r="T1267" s="26" t="str">
        <f aca="false">IF($D1267="","",O1267-R1267-S1267)</f>
        <v/>
      </c>
    </row>
    <row r="1268" customFormat="false" ht="15" hidden="false" customHeight="false" outlineLevel="0" collapsed="false">
      <c r="I1268" s="24" t="str">
        <f aca="false">IF($D1268="","",IFERROR(INDEX(Workers!$B$5:$B$2004,MATCH($D1268,Workers!$A$5:$A$2004,0)),"NOT FOUND"))</f>
        <v/>
      </c>
      <c r="J1268" s="24" t="str">
        <f aca="false">IF($D1268="","",IFERROR(INDEX(Workers!$C$5:$C$2004,MATCH($D1268,Workers!$A$5:$A$2004,0)),""))</f>
        <v/>
      </c>
      <c r="K1268" s="24" t="str">
        <f aca="false">IF($D1268="","",IFERROR(IF(INDEX(Workers!$D$5:$D$2004,MATCH($D1268,Workers!$A$5:$A$2004,0))=0,"",INDEX(Workers!$D$5:$D$2004,MATCH($D1268,Workers!$A$5:$A$2004,0))),""))</f>
        <v/>
      </c>
      <c r="L1268" s="24" t="str">
        <f aca="false">IF($D1268="","",IFERROR(INDEX(Workers!$E$5:$E$2004,MATCH($D1268,Workers!$A$5:$A$2004,0)),""))</f>
        <v/>
      </c>
      <c r="M1268" s="26" t="str">
        <f aca="false">IF($D1268="","",IFERROR(INDEX(ClientRates!$D$5:$D$500,MATCH($B1268&amp;"|"&amp;$L1268,ClientRates!$A$5:$A$500,0)),0))</f>
        <v/>
      </c>
      <c r="N1268" s="26" t="str">
        <f aca="false">IF($D1268="","",IFERROR(INDEX(ClientRates!$E$5:$E$500,MATCH($B1268&amp;"|"&amp;$L1268,ClientRates!$A$5:$A$500,0)),0))</f>
        <v/>
      </c>
      <c r="O1268" s="26" t="str">
        <f aca="false">IF($D1268="","",F1268*M1268+G1268*N1268)</f>
        <v/>
      </c>
      <c r="P1268" s="26" t="str">
        <f aca="false">IF(OR($D1268="",$J1268&lt;&gt;"Supplier"),"",IFERROR(INDEX(SupplierRates!$D$5:$D$500,MATCH($K1268&amp;"|"&amp;$L1268,SupplierRates!$A$5:$A$500,0)),0))</f>
        <v/>
      </c>
      <c r="Q1268" s="26" t="str">
        <f aca="false">IF(OR($D1268="",$J1268&lt;&gt;"Supplier"),"",IFERROR(INDEX(SupplierRates!$E$5:$E$500,MATCH($K1268&amp;"|"&amp;$L1268,SupplierRates!$A$5:$A$500,0)),0))</f>
        <v/>
      </c>
      <c r="R1268" s="26" t="n">
        <f aca="false">IF(OR($D1268="",$J1268&lt;&gt;"Supplier"),0,F1268*P1268+G1268*Q1268)</f>
        <v>0</v>
      </c>
      <c r="S1268" s="26" t="n">
        <f aca="false">IF(OR($D1268="",$J1268&lt;&gt;"Own"),0,IFERROR((F1268+G1268*Settings!$B$13)*INDEX(Workers!$V$5:$V$2004,MATCH($D1268,Workers!$A$5:$A$2004,0)),0))</f>
        <v>0</v>
      </c>
      <c r="T1268" s="26" t="str">
        <f aca="false">IF($D1268="","",O1268-R1268-S1268)</f>
        <v/>
      </c>
    </row>
    <row r="1269" customFormat="false" ht="15" hidden="false" customHeight="false" outlineLevel="0" collapsed="false">
      <c r="I1269" s="24" t="str">
        <f aca="false">IF($D1269="","",IFERROR(INDEX(Workers!$B$5:$B$2004,MATCH($D1269,Workers!$A$5:$A$2004,0)),"NOT FOUND"))</f>
        <v/>
      </c>
      <c r="J1269" s="24" t="str">
        <f aca="false">IF($D1269="","",IFERROR(INDEX(Workers!$C$5:$C$2004,MATCH($D1269,Workers!$A$5:$A$2004,0)),""))</f>
        <v/>
      </c>
      <c r="K1269" s="24" t="str">
        <f aca="false">IF($D1269="","",IFERROR(IF(INDEX(Workers!$D$5:$D$2004,MATCH($D1269,Workers!$A$5:$A$2004,0))=0,"",INDEX(Workers!$D$5:$D$2004,MATCH($D1269,Workers!$A$5:$A$2004,0))),""))</f>
        <v/>
      </c>
      <c r="L1269" s="24" t="str">
        <f aca="false">IF($D1269="","",IFERROR(INDEX(Workers!$E$5:$E$2004,MATCH($D1269,Workers!$A$5:$A$2004,0)),""))</f>
        <v/>
      </c>
      <c r="M1269" s="26" t="str">
        <f aca="false">IF($D1269="","",IFERROR(INDEX(ClientRates!$D$5:$D$500,MATCH($B1269&amp;"|"&amp;$L1269,ClientRates!$A$5:$A$500,0)),0))</f>
        <v/>
      </c>
      <c r="N1269" s="26" t="str">
        <f aca="false">IF($D1269="","",IFERROR(INDEX(ClientRates!$E$5:$E$500,MATCH($B1269&amp;"|"&amp;$L1269,ClientRates!$A$5:$A$500,0)),0))</f>
        <v/>
      </c>
      <c r="O1269" s="26" t="str">
        <f aca="false">IF($D1269="","",F1269*M1269+G1269*N1269)</f>
        <v/>
      </c>
      <c r="P1269" s="26" t="str">
        <f aca="false">IF(OR($D1269="",$J1269&lt;&gt;"Supplier"),"",IFERROR(INDEX(SupplierRates!$D$5:$D$500,MATCH($K1269&amp;"|"&amp;$L1269,SupplierRates!$A$5:$A$500,0)),0))</f>
        <v/>
      </c>
      <c r="Q1269" s="26" t="str">
        <f aca="false">IF(OR($D1269="",$J1269&lt;&gt;"Supplier"),"",IFERROR(INDEX(SupplierRates!$E$5:$E$500,MATCH($K1269&amp;"|"&amp;$L1269,SupplierRates!$A$5:$A$500,0)),0))</f>
        <v/>
      </c>
      <c r="R1269" s="26" t="n">
        <f aca="false">IF(OR($D1269="",$J1269&lt;&gt;"Supplier"),0,F1269*P1269+G1269*Q1269)</f>
        <v>0</v>
      </c>
      <c r="S1269" s="26" t="n">
        <f aca="false">IF(OR($D1269="",$J1269&lt;&gt;"Own"),0,IFERROR((F1269+G1269*Settings!$B$13)*INDEX(Workers!$V$5:$V$2004,MATCH($D1269,Workers!$A$5:$A$2004,0)),0))</f>
        <v>0</v>
      </c>
      <c r="T1269" s="26" t="str">
        <f aca="false">IF($D1269="","",O1269-R1269-S1269)</f>
        <v/>
      </c>
    </row>
    <row r="1270" customFormat="false" ht="15" hidden="false" customHeight="false" outlineLevel="0" collapsed="false">
      <c r="I1270" s="24" t="str">
        <f aca="false">IF($D1270="","",IFERROR(INDEX(Workers!$B$5:$B$2004,MATCH($D1270,Workers!$A$5:$A$2004,0)),"NOT FOUND"))</f>
        <v/>
      </c>
      <c r="J1270" s="24" t="str">
        <f aca="false">IF($D1270="","",IFERROR(INDEX(Workers!$C$5:$C$2004,MATCH($D1270,Workers!$A$5:$A$2004,0)),""))</f>
        <v/>
      </c>
      <c r="K1270" s="24" t="str">
        <f aca="false">IF($D1270="","",IFERROR(IF(INDEX(Workers!$D$5:$D$2004,MATCH($D1270,Workers!$A$5:$A$2004,0))=0,"",INDEX(Workers!$D$5:$D$2004,MATCH($D1270,Workers!$A$5:$A$2004,0))),""))</f>
        <v/>
      </c>
      <c r="L1270" s="24" t="str">
        <f aca="false">IF($D1270="","",IFERROR(INDEX(Workers!$E$5:$E$2004,MATCH($D1270,Workers!$A$5:$A$2004,0)),""))</f>
        <v/>
      </c>
      <c r="M1270" s="26" t="str">
        <f aca="false">IF($D1270="","",IFERROR(INDEX(ClientRates!$D$5:$D$500,MATCH($B1270&amp;"|"&amp;$L1270,ClientRates!$A$5:$A$500,0)),0))</f>
        <v/>
      </c>
      <c r="N1270" s="26" t="str">
        <f aca="false">IF($D1270="","",IFERROR(INDEX(ClientRates!$E$5:$E$500,MATCH($B1270&amp;"|"&amp;$L1270,ClientRates!$A$5:$A$500,0)),0))</f>
        <v/>
      </c>
      <c r="O1270" s="26" t="str">
        <f aca="false">IF($D1270="","",F1270*M1270+G1270*N1270)</f>
        <v/>
      </c>
      <c r="P1270" s="26" t="str">
        <f aca="false">IF(OR($D1270="",$J1270&lt;&gt;"Supplier"),"",IFERROR(INDEX(SupplierRates!$D$5:$D$500,MATCH($K1270&amp;"|"&amp;$L1270,SupplierRates!$A$5:$A$500,0)),0))</f>
        <v/>
      </c>
      <c r="Q1270" s="26" t="str">
        <f aca="false">IF(OR($D1270="",$J1270&lt;&gt;"Supplier"),"",IFERROR(INDEX(SupplierRates!$E$5:$E$500,MATCH($K1270&amp;"|"&amp;$L1270,SupplierRates!$A$5:$A$500,0)),0))</f>
        <v/>
      </c>
      <c r="R1270" s="26" t="n">
        <f aca="false">IF(OR($D1270="",$J1270&lt;&gt;"Supplier"),0,F1270*P1270+G1270*Q1270)</f>
        <v>0</v>
      </c>
      <c r="S1270" s="26" t="n">
        <f aca="false">IF(OR($D1270="",$J1270&lt;&gt;"Own"),0,IFERROR((F1270+G1270*Settings!$B$13)*INDEX(Workers!$V$5:$V$2004,MATCH($D1270,Workers!$A$5:$A$2004,0)),0))</f>
        <v>0</v>
      </c>
      <c r="T1270" s="26" t="str">
        <f aca="false">IF($D1270="","",O1270-R1270-S1270)</f>
        <v/>
      </c>
    </row>
    <row r="1271" customFormat="false" ht="15" hidden="false" customHeight="false" outlineLevel="0" collapsed="false">
      <c r="I1271" s="24" t="str">
        <f aca="false">IF($D1271="","",IFERROR(INDEX(Workers!$B$5:$B$2004,MATCH($D1271,Workers!$A$5:$A$2004,0)),"NOT FOUND"))</f>
        <v/>
      </c>
      <c r="J1271" s="24" t="str">
        <f aca="false">IF($D1271="","",IFERROR(INDEX(Workers!$C$5:$C$2004,MATCH($D1271,Workers!$A$5:$A$2004,0)),""))</f>
        <v/>
      </c>
      <c r="K1271" s="24" t="str">
        <f aca="false">IF($D1271="","",IFERROR(IF(INDEX(Workers!$D$5:$D$2004,MATCH($D1271,Workers!$A$5:$A$2004,0))=0,"",INDEX(Workers!$D$5:$D$2004,MATCH($D1271,Workers!$A$5:$A$2004,0))),""))</f>
        <v/>
      </c>
      <c r="L1271" s="24" t="str">
        <f aca="false">IF($D1271="","",IFERROR(INDEX(Workers!$E$5:$E$2004,MATCH($D1271,Workers!$A$5:$A$2004,0)),""))</f>
        <v/>
      </c>
      <c r="M1271" s="26" t="str">
        <f aca="false">IF($D1271="","",IFERROR(INDEX(ClientRates!$D$5:$D$500,MATCH($B1271&amp;"|"&amp;$L1271,ClientRates!$A$5:$A$500,0)),0))</f>
        <v/>
      </c>
      <c r="N1271" s="26" t="str">
        <f aca="false">IF($D1271="","",IFERROR(INDEX(ClientRates!$E$5:$E$500,MATCH($B1271&amp;"|"&amp;$L1271,ClientRates!$A$5:$A$500,0)),0))</f>
        <v/>
      </c>
      <c r="O1271" s="26" t="str">
        <f aca="false">IF($D1271="","",F1271*M1271+G1271*N1271)</f>
        <v/>
      </c>
      <c r="P1271" s="26" t="str">
        <f aca="false">IF(OR($D1271="",$J1271&lt;&gt;"Supplier"),"",IFERROR(INDEX(SupplierRates!$D$5:$D$500,MATCH($K1271&amp;"|"&amp;$L1271,SupplierRates!$A$5:$A$500,0)),0))</f>
        <v/>
      </c>
      <c r="Q1271" s="26" t="str">
        <f aca="false">IF(OR($D1271="",$J1271&lt;&gt;"Supplier"),"",IFERROR(INDEX(SupplierRates!$E$5:$E$500,MATCH($K1271&amp;"|"&amp;$L1271,SupplierRates!$A$5:$A$500,0)),0))</f>
        <v/>
      </c>
      <c r="R1271" s="26" t="n">
        <f aca="false">IF(OR($D1271="",$J1271&lt;&gt;"Supplier"),0,F1271*P1271+G1271*Q1271)</f>
        <v>0</v>
      </c>
      <c r="S1271" s="26" t="n">
        <f aca="false">IF(OR($D1271="",$J1271&lt;&gt;"Own"),0,IFERROR((F1271+G1271*Settings!$B$13)*INDEX(Workers!$V$5:$V$2004,MATCH($D1271,Workers!$A$5:$A$2004,0)),0))</f>
        <v>0</v>
      </c>
      <c r="T1271" s="26" t="str">
        <f aca="false">IF($D1271="","",O1271-R1271-S1271)</f>
        <v/>
      </c>
    </row>
    <row r="1272" customFormat="false" ht="15" hidden="false" customHeight="false" outlineLevel="0" collapsed="false">
      <c r="I1272" s="24" t="str">
        <f aca="false">IF($D1272="","",IFERROR(INDEX(Workers!$B$5:$B$2004,MATCH($D1272,Workers!$A$5:$A$2004,0)),"NOT FOUND"))</f>
        <v/>
      </c>
      <c r="J1272" s="24" t="str">
        <f aca="false">IF($D1272="","",IFERROR(INDEX(Workers!$C$5:$C$2004,MATCH($D1272,Workers!$A$5:$A$2004,0)),""))</f>
        <v/>
      </c>
      <c r="K1272" s="24" t="str">
        <f aca="false">IF($D1272="","",IFERROR(IF(INDEX(Workers!$D$5:$D$2004,MATCH($D1272,Workers!$A$5:$A$2004,0))=0,"",INDEX(Workers!$D$5:$D$2004,MATCH($D1272,Workers!$A$5:$A$2004,0))),""))</f>
        <v/>
      </c>
      <c r="L1272" s="24" t="str">
        <f aca="false">IF($D1272="","",IFERROR(INDEX(Workers!$E$5:$E$2004,MATCH($D1272,Workers!$A$5:$A$2004,0)),""))</f>
        <v/>
      </c>
      <c r="M1272" s="26" t="str">
        <f aca="false">IF($D1272="","",IFERROR(INDEX(ClientRates!$D$5:$D$500,MATCH($B1272&amp;"|"&amp;$L1272,ClientRates!$A$5:$A$500,0)),0))</f>
        <v/>
      </c>
      <c r="N1272" s="26" t="str">
        <f aca="false">IF($D1272="","",IFERROR(INDEX(ClientRates!$E$5:$E$500,MATCH($B1272&amp;"|"&amp;$L1272,ClientRates!$A$5:$A$500,0)),0))</f>
        <v/>
      </c>
      <c r="O1272" s="26" t="str">
        <f aca="false">IF($D1272="","",F1272*M1272+G1272*N1272)</f>
        <v/>
      </c>
      <c r="P1272" s="26" t="str">
        <f aca="false">IF(OR($D1272="",$J1272&lt;&gt;"Supplier"),"",IFERROR(INDEX(SupplierRates!$D$5:$D$500,MATCH($K1272&amp;"|"&amp;$L1272,SupplierRates!$A$5:$A$500,0)),0))</f>
        <v/>
      </c>
      <c r="Q1272" s="26" t="str">
        <f aca="false">IF(OR($D1272="",$J1272&lt;&gt;"Supplier"),"",IFERROR(INDEX(SupplierRates!$E$5:$E$500,MATCH($K1272&amp;"|"&amp;$L1272,SupplierRates!$A$5:$A$500,0)),0))</f>
        <v/>
      </c>
      <c r="R1272" s="26" t="n">
        <f aca="false">IF(OR($D1272="",$J1272&lt;&gt;"Supplier"),0,F1272*P1272+G1272*Q1272)</f>
        <v>0</v>
      </c>
      <c r="S1272" s="26" t="n">
        <f aca="false">IF(OR($D1272="",$J1272&lt;&gt;"Own"),0,IFERROR((F1272+G1272*Settings!$B$13)*INDEX(Workers!$V$5:$V$2004,MATCH($D1272,Workers!$A$5:$A$2004,0)),0))</f>
        <v>0</v>
      </c>
      <c r="T1272" s="26" t="str">
        <f aca="false">IF($D1272="","",O1272-R1272-S1272)</f>
        <v/>
      </c>
    </row>
    <row r="1273" customFormat="false" ht="15" hidden="false" customHeight="false" outlineLevel="0" collapsed="false">
      <c r="I1273" s="24" t="str">
        <f aca="false">IF($D1273="","",IFERROR(INDEX(Workers!$B$5:$B$2004,MATCH($D1273,Workers!$A$5:$A$2004,0)),"NOT FOUND"))</f>
        <v/>
      </c>
      <c r="J1273" s="24" t="str">
        <f aca="false">IF($D1273="","",IFERROR(INDEX(Workers!$C$5:$C$2004,MATCH($D1273,Workers!$A$5:$A$2004,0)),""))</f>
        <v/>
      </c>
      <c r="K1273" s="24" t="str">
        <f aca="false">IF($D1273="","",IFERROR(IF(INDEX(Workers!$D$5:$D$2004,MATCH($D1273,Workers!$A$5:$A$2004,0))=0,"",INDEX(Workers!$D$5:$D$2004,MATCH($D1273,Workers!$A$5:$A$2004,0))),""))</f>
        <v/>
      </c>
      <c r="L1273" s="24" t="str">
        <f aca="false">IF($D1273="","",IFERROR(INDEX(Workers!$E$5:$E$2004,MATCH($D1273,Workers!$A$5:$A$2004,0)),""))</f>
        <v/>
      </c>
      <c r="M1273" s="26" t="str">
        <f aca="false">IF($D1273="","",IFERROR(INDEX(ClientRates!$D$5:$D$500,MATCH($B1273&amp;"|"&amp;$L1273,ClientRates!$A$5:$A$500,0)),0))</f>
        <v/>
      </c>
      <c r="N1273" s="26" t="str">
        <f aca="false">IF($D1273="","",IFERROR(INDEX(ClientRates!$E$5:$E$500,MATCH($B1273&amp;"|"&amp;$L1273,ClientRates!$A$5:$A$500,0)),0))</f>
        <v/>
      </c>
      <c r="O1273" s="26" t="str">
        <f aca="false">IF($D1273="","",F1273*M1273+G1273*N1273)</f>
        <v/>
      </c>
      <c r="P1273" s="26" t="str">
        <f aca="false">IF(OR($D1273="",$J1273&lt;&gt;"Supplier"),"",IFERROR(INDEX(SupplierRates!$D$5:$D$500,MATCH($K1273&amp;"|"&amp;$L1273,SupplierRates!$A$5:$A$500,0)),0))</f>
        <v/>
      </c>
      <c r="Q1273" s="26" t="str">
        <f aca="false">IF(OR($D1273="",$J1273&lt;&gt;"Supplier"),"",IFERROR(INDEX(SupplierRates!$E$5:$E$500,MATCH($K1273&amp;"|"&amp;$L1273,SupplierRates!$A$5:$A$500,0)),0))</f>
        <v/>
      </c>
      <c r="R1273" s="26" t="n">
        <f aca="false">IF(OR($D1273="",$J1273&lt;&gt;"Supplier"),0,F1273*P1273+G1273*Q1273)</f>
        <v>0</v>
      </c>
      <c r="S1273" s="26" t="n">
        <f aca="false">IF(OR($D1273="",$J1273&lt;&gt;"Own"),0,IFERROR((F1273+G1273*Settings!$B$13)*INDEX(Workers!$V$5:$V$2004,MATCH($D1273,Workers!$A$5:$A$2004,0)),0))</f>
        <v>0</v>
      </c>
      <c r="T1273" s="26" t="str">
        <f aca="false">IF($D1273="","",O1273-R1273-S1273)</f>
        <v/>
      </c>
    </row>
    <row r="1274" customFormat="false" ht="15" hidden="false" customHeight="false" outlineLevel="0" collapsed="false">
      <c r="I1274" s="24" t="str">
        <f aca="false">IF($D1274="","",IFERROR(INDEX(Workers!$B$5:$B$2004,MATCH($D1274,Workers!$A$5:$A$2004,0)),"NOT FOUND"))</f>
        <v/>
      </c>
      <c r="J1274" s="24" t="str">
        <f aca="false">IF($D1274="","",IFERROR(INDEX(Workers!$C$5:$C$2004,MATCH($D1274,Workers!$A$5:$A$2004,0)),""))</f>
        <v/>
      </c>
      <c r="K1274" s="24" t="str">
        <f aca="false">IF($D1274="","",IFERROR(IF(INDEX(Workers!$D$5:$D$2004,MATCH($D1274,Workers!$A$5:$A$2004,0))=0,"",INDEX(Workers!$D$5:$D$2004,MATCH($D1274,Workers!$A$5:$A$2004,0))),""))</f>
        <v/>
      </c>
      <c r="L1274" s="24" t="str">
        <f aca="false">IF($D1274="","",IFERROR(INDEX(Workers!$E$5:$E$2004,MATCH($D1274,Workers!$A$5:$A$2004,0)),""))</f>
        <v/>
      </c>
      <c r="M1274" s="26" t="str">
        <f aca="false">IF($D1274="","",IFERROR(INDEX(ClientRates!$D$5:$D$500,MATCH($B1274&amp;"|"&amp;$L1274,ClientRates!$A$5:$A$500,0)),0))</f>
        <v/>
      </c>
      <c r="N1274" s="26" t="str">
        <f aca="false">IF($D1274="","",IFERROR(INDEX(ClientRates!$E$5:$E$500,MATCH($B1274&amp;"|"&amp;$L1274,ClientRates!$A$5:$A$500,0)),0))</f>
        <v/>
      </c>
      <c r="O1274" s="26" t="str">
        <f aca="false">IF($D1274="","",F1274*M1274+G1274*N1274)</f>
        <v/>
      </c>
      <c r="P1274" s="26" t="str">
        <f aca="false">IF(OR($D1274="",$J1274&lt;&gt;"Supplier"),"",IFERROR(INDEX(SupplierRates!$D$5:$D$500,MATCH($K1274&amp;"|"&amp;$L1274,SupplierRates!$A$5:$A$500,0)),0))</f>
        <v/>
      </c>
      <c r="Q1274" s="26" t="str">
        <f aca="false">IF(OR($D1274="",$J1274&lt;&gt;"Supplier"),"",IFERROR(INDEX(SupplierRates!$E$5:$E$500,MATCH($K1274&amp;"|"&amp;$L1274,SupplierRates!$A$5:$A$500,0)),0))</f>
        <v/>
      </c>
      <c r="R1274" s="26" t="n">
        <f aca="false">IF(OR($D1274="",$J1274&lt;&gt;"Supplier"),0,F1274*P1274+G1274*Q1274)</f>
        <v>0</v>
      </c>
      <c r="S1274" s="26" t="n">
        <f aca="false">IF(OR($D1274="",$J1274&lt;&gt;"Own"),0,IFERROR((F1274+G1274*Settings!$B$13)*INDEX(Workers!$V$5:$V$2004,MATCH($D1274,Workers!$A$5:$A$2004,0)),0))</f>
        <v>0</v>
      </c>
      <c r="T1274" s="26" t="str">
        <f aca="false">IF($D1274="","",O1274-R1274-S1274)</f>
        <v/>
      </c>
    </row>
    <row r="1275" customFormat="false" ht="15" hidden="false" customHeight="false" outlineLevel="0" collapsed="false">
      <c r="I1275" s="24" t="str">
        <f aca="false">IF($D1275="","",IFERROR(INDEX(Workers!$B$5:$B$2004,MATCH($D1275,Workers!$A$5:$A$2004,0)),"NOT FOUND"))</f>
        <v/>
      </c>
      <c r="J1275" s="24" t="str">
        <f aca="false">IF($D1275="","",IFERROR(INDEX(Workers!$C$5:$C$2004,MATCH($D1275,Workers!$A$5:$A$2004,0)),""))</f>
        <v/>
      </c>
      <c r="K1275" s="24" t="str">
        <f aca="false">IF($D1275="","",IFERROR(IF(INDEX(Workers!$D$5:$D$2004,MATCH($D1275,Workers!$A$5:$A$2004,0))=0,"",INDEX(Workers!$D$5:$D$2004,MATCH($D1275,Workers!$A$5:$A$2004,0))),""))</f>
        <v/>
      </c>
      <c r="L1275" s="24" t="str">
        <f aca="false">IF($D1275="","",IFERROR(INDEX(Workers!$E$5:$E$2004,MATCH($D1275,Workers!$A$5:$A$2004,0)),""))</f>
        <v/>
      </c>
      <c r="M1275" s="26" t="str">
        <f aca="false">IF($D1275="","",IFERROR(INDEX(ClientRates!$D$5:$D$500,MATCH($B1275&amp;"|"&amp;$L1275,ClientRates!$A$5:$A$500,0)),0))</f>
        <v/>
      </c>
      <c r="N1275" s="26" t="str">
        <f aca="false">IF($D1275="","",IFERROR(INDEX(ClientRates!$E$5:$E$500,MATCH($B1275&amp;"|"&amp;$L1275,ClientRates!$A$5:$A$500,0)),0))</f>
        <v/>
      </c>
      <c r="O1275" s="26" t="str">
        <f aca="false">IF($D1275="","",F1275*M1275+G1275*N1275)</f>
        <v/>
      </c>
      <c r="P1275" s="26" t="str">
        <f aca="false">IF(OR($D1275="",$J1275&lt;&gt;"Supplier"),"",IFERROR(INDEX(SupplierRates!$D$5:$D$500,MATCH($K1275&amp;"|"&amp;$L1275,SupplierRates!$A$5:$A$500,0)),0))</f>
        <v/>
      </c>
      <c r="Q1275" s="26" t="str">
        <f aca="false">IF(OR($D1275="",$J1275&lt;&gt;"Supplier"),"",IFERROR(INDEX(SupplierRates!$E$5:$E$500,MATCH($K1275&amp;"|"&amp;$L1275,SupplierRates!$A$5:$A$500,0)),0))</f>
        <v/>
      </c>
      <c r="R1275" s="26" t="n">
        <f aca="false">IF(OR($D1275="",$J1275&lt;&gt;"Supplier"),0,F1275*P1275+G1275*Q1275)</f>
        <v>0</v>
      </c>
      <c r="S1275" s="26" t="n">
        <f aca="false">IF(OR($D1275="",$J1275&lt;&gt;"Own"),0,IFERROR((F1275+G1275*Settings!$B$13)*INDEX(Workers!$V$5:$V$2004,MATCH($D1275,Workers!$A$5:$A$2004,0)),0))</f>
        <v>0</v>
      </c>
      <c r="T1275" s="26" t="str">
        <f aca="false">IF($D1275="","",O1275-R1275-S1275)</f>
        <v/>
      </c>
    </row>
    <row r="1276" customFormat="false" ht="15" hidden="false" customHeight="false" outlineLevel="0" collapsed="false">
      <c r="I1276" s="24" t="str">
        <f aca="false">IF($D1276="","",IFERROR(INDEX(Workers!$B$5:$B$2004,MATCH($D1276,Workers!$A$5:$A$2004,0)),"NOT FOUND"))</f>
        <v/>
      </c>
      <c r="J1276" s="24" t="str">
        <f aca="false">IF($D1276="","",IFERROR(INDEX(Workers!$C$5:$C$2004,MATCH($D1276,Workers!$A$5:$A$2004,0)),""))</f>
        <v/>
      </c>
      <c r="K1276" s="24" t="str">
        <f aca="false">IF($D1276="","",IFERROR(IF(INDEX(Workers!$D$5:$D$2004,MATCH($D1276,Workers!$A$5:$A$2004,0))=0,"",INDEX(Workers!$D$5:$D$2004,MATCH($D1276,Workers!$A$5:$A$2004,0))),""))</f>
        <v/>
      </c>
      <c r="L1276" s="24" t="str">
        <f aca="false">IF($D1276="","",IFERROR(INDEX(Workers!$E$5:$E$2004,MATCH($D1276,Workers!$A$5:$A$2004,0)),""))</f>
        <v/>
      </c>
      <c r="M1276" s="26" t="str">
        <f aca="false">IF($D1276="","",IFERROR(INDEX(ClientRates!$D$5:$D$500,MATCH($B1276&amp;"|"&amp;$L1276,ClientRates!$A$5:$A$500,0)),0))</f>
        <v/>
      </c>
      <c r="N1276" s="26" t="str">
        <f aca="false">IF($D1276="","",IFERROR(INDEX(ClientRates!$E$5:$E$500,MATCH($B1276&amp;"|"&amp;$L1276,ClientRates!$A$5:$A$500,0)),0))</f>
        <v/>
      </c>
      <c r="O1276" s="26" t="str">
        <f aca="false">IF($D1276="","",F1276*M1276+G1276*N1276)</f>
        <v/>
      </c>
      <c r="P1276" s="26" t="str">
        <f aca="false">IF(OR($D1276="",$J1276&lt;&gt;"Supplier"),"",IFERROR(INDEX(SupplierRates!$D$5:$D$500,MATCH($K1276&amp;"|"&amp;$L1276,SupplierRates!$A$5:$A$500,0)),0))</f>
        <v/>
      </c>
      <c r="Q1276" s="26" t="str">
        <f aca="false">IF(OR($D1276="",$J1276&lt;&gt;"Supplier"),"",IFERROR(INDEX(SupplierRates!$E$5:$E$500,MATCH($K1276&amp;"|"&amp;$L1276,SupplierRates!$A$5:$A$500,0)),0))</f>
        <v/>
      </c>
      <c r="R1276" s="26" t="n">
        <f aca="false">IF(OR($D1276="",$J1276&lt;&gt;"Supplier"),0,F1276*P1276+G1276*Q1276)</f>
        <v>0</v>
      </c>
      <c r="S1276" s="26" t="n">
        <f aca="false">IF(OR($D1276="",$J1276&lt;&gt;"Own"),0,IFERROR((F1276+G1276*Settings!$B$13)*INDEX(Workers!$V$5:$V$2004,MATCH($D1276,Workers!$A$5:$A$2004,0)),0))</f>
        <v>0</v>
      </c>
      <c r="T1276" s="26" t="str">
        <f aca="false">IF($D1276="","",O1276-R1276-S1276)</f>
        <v/>
      </c>
    </row>
    <row r="1277" customFormat="false" ht="15" hidden="false" customHeight="false" outlineLevel="0" collapsed="false">
      <c r="I1277" s="24" t="str">
        <f aca="false">IF($D1277="","",IFERROR(INDEX(Workers!$B$5:$B$2004,MATCH($D1277,Workers!$A$5:$A$2004,0)),"NOT FOUND"))</f>
        <v/>
      </c>
      <c r="J1277" s="24" t="str">
        <f aca="false">IF($D1277="","",IFERROR(INDEX(Workers!$C$5:$C$2004,MATCH($D1277,Workers!$A$5:$A$2004,0)),""))</f>
        <v/>
      </c>
      <c r="K1277" s="24" t="str">
        <f aca="false">IF($D1277="","",IFERROR(IF(INDEX(Workers!$D$5:$D$2004,MATCH($D1277,Workers!$A$5:$A$2004,0))=0,"",INDEX(Workers!$D$5:$D$2004,MATCH($D1277,Workers!$A$5:$A$2004,0))),""))</f>
        <v/>
      </c>
      <c r="L1277" s="24" t="str">
        <f aca="false">IF($D1277="","",IFERROR(INDEX(Workers!$E$5:$E$2004,MATCH($D1277,Workers!$A$5:$A$2004,0)),""))</f>
        <v/>
      </c>
      <c r="M1277" s="26" t="str">
        <f aca="false">IF($D1277="","",IFERROR(INDEX(ClientRates!$D$5:$D$500,MATCH($B1277&amp;"|"&amp;$L1277,ClientRates!$A$5:$A$500,0)),0))</f>
        <v/>
      </c>
      <c r="N1277" s="26" t="str">
        <f aca="false">IF($D1277="","",IFERROR(INDEX(ClientRates!$E$5:$E$500,MATCH($B1277&amp;"|"&amp;$L1277,ClientRates!$A$5:$A$500,0)),0))</f>
        <v/>
      </c>
      <c r="O1277" s="26" t="str">
        <f aca="false">IF($D1277="","",F1277*M1277+G1277*N1277)</f>
        <v/>
      </c>
      <c r="P1277" s="26" t="str">
        <f aca="false">IF(OR($D1277="",$J1277&lt;&gt;"Supplier"),"",IFERROR(INDEX(SupplierRates!$D$5:$D$500,MATCH($K1277&amp;"|"&amp;$L1277,SupplierRates!$A$5:$A$500,0)),0))</f>
        <v/>
      </c>
      <c r="Q1277" s="26" t="str">
        <f aca="false">IF(OR($D1277="",$J1277&lt;&gt;"Supplier"),"",IFERROR(INDEX(SupplierRates!$E$5:$E$500,MATCH($K1277&amp;"|"&amp;$L1277,SupplierRates!$A$5:$A$500,0)),0))</f>
        <v/>
      </c>
      <c r="R1277" s="26" t="n">
        <f aca="false">IF(OR($D1277="",$J1277&lt;&gt;"Supplier"),0,F1277*P1277+G1277*Q1277)</f>
        <v>0</v>
      </c>
      <c r="S1277" s="26" t="n">
        <f aca="false">IF(OR($D1277="",$J1277&lt;&gt;"Own"),0,IFERROR((F1277+G1277*Settings!$B$13)*INDEX(Workers!$V$5:$V$2004,MATCH($D1277,Workers!$A$5:$A$2004,0)),0))</f>
        <v>0</v>
      </c>
      <c r="T1277" s="26" t="str">
        <f aca="false">IF($D1277="","",O1277-R1277-S1277)</f>
        <v/>
      </c>
    </row>
    <row r="1278" customFormat="false" ht="15" hidden="false" customHeight="false" outlineLevel="0" collapsed="false">
      <c r="I1278" s="24" t="str">
        <f aca="false">IF($D1278="","",IFERROR(INDEX(Workers!$B$5:$B$2004,MATCH($D1278,Workers!$A$5:$A$2004,0)),"NOT FOUND"))</f>
        <v/>
      </c>
      <c r="J1278" s="24" t="str">
        <f aca="false">IF($D1278="","",IFERROR(INDEX(Workers!$C$5:$C$2004,MATCH($D1278,Workers!$A$5:$A$2004,0)),""))</f>
        <v/>
      </c>
      <c r="K1278" s="24" t="str">
        <f aca="false">IF($D1278="","",IFERROR(IF(INDEX(Workers!$D$5:$D$2004,MATCH($D1278,Workers!$A$5:$A$2004,0))=0,"",INDEX(Workers!$D$5:$D$2004,MATCH($D1278,Workers!$A$5:$A$2004,0))),""))</f>
        <v/>
      </c>
      <c r="L1278" s="24" t="str">
        <f aca="false">IF($D1278="","",IFERROR(INDEX(Workers!$E$5:$E$2004,MATCH($D1278,Workers!$A$5:$A$2004,0)),""))</f>
        <v/>
      </c>
      <c r="M1278" s="26" t="str">
        <f aca="false">IF($D1278="","",IFERROR(INDEX(ClientRates!$D$5:$D$500,MATCH($B1278&amp;"|"&amp;$L1278,ClientRates!$A$5:$A$500,0)),0))</f>
        <v/>
      </c>
      <c r="N1278" s="26" t="str">
        <f aca="false">IF($D1278="","",IFERROR(INDEX(ClientRates!$E$5:$E$500,MATCH($B1278&amp;"|"&amp;$L1278,ClientRates!$A$5:$A$500,0)),0))</f>
        <v/>
      </c>
      <c r="O1278" s="26" t="str">
        <f aca="false">IF($D1278="","",F1278*M1278+G1278*N1278)</f>
        <v/>
      </c>
      <c r="P1278" s="26" t="str">
        <f aca="false">IF(OR($D1278="",$J1278&lt;&gt;"Supplier"),"",IFERROR(INDEX(SupplierRates!$D$5:$D$500,MATCH($K1278&amp;"|"&amp;$L1278,SupplierRates!$A$5:$A$500,0)),0))</f>
        <v/>
      </c>
      <c r="Q1278" s="26" t="str">
        <f aca="false">IF(OR($D1278="",$J1278&lt;&gt;"Supplier"),"",IFERROR(INDEX(SupplierRates!$E$5:$E$500,MATCH($K1278&amp;"|"&amp;$L1278,SupplierRates!$A$5:$A$500,0)),0))</f>
        <v/>
      </c>
      <c r="R1278" s="26" t="n">
        <f aca="false">IF(OR($D1278="",$J1278&lt;&gt;"Supplier"),0,F1278*P1278+G1278*Q1278)</f>
        <v>0</v>
      </c>
      <c r="S1278" s="26" t="n">
        <f aca="false">IF(OR($D1278="",$J1278&lt;&gt;"Own"),0,IFERROR((F1278+G1278*Settings!$B$13)*INDEX(Workers!$V$5:$V$2004,MATCH($D1278,Workers!$A$5:$A$2004,0)),0))</f>
        <v>0</v>
      </c>
      <c r="T1278" s="26" t="str">
        <f aca="false">IF($D1278="","",O1278-R1278-S1278)</f>
        <v/>
      </c>
    </row>
    <row r="1279" customFormat="false" ht="15" hidden="false" customHeight="false" outlineLevel="0" collapsed="false">
      <c r="I1279" s="24" t="str">
        <f aca="false">IF($D1279="","",IFERROR(INDEX(Workers!$B$5:$B$2004,MATCH($D1279,Workers!$A$5:$A$2004,0)),"NOT FOUND"))</f>
        <v/>
      </c>
      <c r="J1279" s="24" t="str">
        <f aca="false">IF($D1279="","",IFERROR(INDEX(Workers!$C$5:$C$2004,MATCH($D1279,Workers!$A$5:$A$2004,0)),""))</f>
        <v/>
      </c>
      <c r="K1279" s="24" t="str">
        <f aca="false">IF($D1279="","",IFERROR(IF(INDEX(Workers!$D$5:$D$2004,MATCH($D1279,Workers!$A$5:$A$2004,0))=0,"",INDEX(Workers!$D$5:$D$2004,MATCH($D1279,Workers!$A$5:$A$2004,0))),""))</f>
        <v/>
      </c>
      <c r="L1279" s="24" t="str">
        <f aca="false">IF($D1279="","",IFERROR(INDEX(Workers!$E$5:$E$2004,MATCH($D1279,Workers!$A$5:$A$2004,0)),""))</f>
        <v/>
      </c>
      <c r="M1279" s="26" t="str">
        <f aca="false">IF($D1279="","",IFERROR(INDEX(ClientRates!$D$5:$D$500,MATCH($B1279&amp;"|"&amp;$L1279,ClientRates!$A$5:$A$500,0)),0))</f>
        <v/>
      </c>
      <c r="N1279" s="26" t="str">
        <f aca="false">IF($D1279="","",IFERROR(INDEX(ClientRates!$E$5:$E$500,MATCH($B1279&amp;"|"&amp;$L1279,ClientRates!$A$5:$A$500,0)),0))</f>
        <v/>
      </c>
      <c r="O1279" s="26" t="str">
        <f aca="false">IF($D1279="","",F1279*M1279+G1279*N1279)</f>
        <v/>
      </c>
      <c r="P1279" s="26" t="str">
        <f aca="false">IF(OR($D1279="",$J1279&lt;&gt;"Supplier"),"",IFERROR(INDEX(SupplierRates!$D$5:$D$500,MATCH($K1279&amp;"|"&amp;$L1279,SupplierRates!$A$5:$A$500,0)),0))</f>
        <v/>
      </c>
      <c r="Q1279" s="26" t="str">
        <f aca="false">IF(OR($D1279="",$J1279&lt;&gt;"Supplier"),"",IFERROR(INDEX(SupplierRates!$E$5:$E$500,MATCH($K1279&amp;"|"&amp;$L1279,SupplierRates!$A$5:$A$500,0)),0))</f>
        <v/>
      </c>
      <c r="R1279" s="26" t="n">
        <f aca="false">IF(OR($D1279="",$J1279&lt;&gt;"Supplier"),0,F1279*P1279+G1279*Q1279)</f>
        <v>0</v>
      </c>
      <c r="S1279" s="26" t="n">
        <f aca="false">IF(OR($D1279="",$J1279&lt;&gt;"Own"),0,IFERROR((F1279+G1279*Settings!$B$13)*INDEX(Workers!$V$5:$V$2004,MATCH($D1279,Workers!$A$5:$A$2004,0)),0))</f>
        <v>0</v>
      </c>
      <c r="T1279" s="26" t="str">
        <f aca="false">IF($D1279="","",O1279-R1279-S1279)</f>
        <v/>
      </c>
    </row>
    <row r="1280" customFormat="false" ht="15" hidden="false" customHeight="false" outlineLevel="0" collapsed="false">
      <c r="I1280" s="24" t="str">
        <f aca="false">IF($D1280="","",IFERROR(INDEX(Workers!$B$5:$B$2004,MATCH($D1280,Workers!$A$5:$A$2004,0)),"NOT FOUND"))</f>
        <v/>
      </c>
      <c r="J1280" s="24" t="str">
        <f aca="false">IF($D1280="","",IFERROR(INDEX(Workers!$C$5:$C$2004,MATCH($D1280,Workers!$A$5:$A$2004,0)),""))</f>
        <v/>
      </c>
      <c r="K1280" s="24" t="str">
        <f aca="false">IF($D1280="","",IFERROR(IF(INDEX(Workers!$D$5:$D$2004,MATCH($D1280,Workers!$A$5:$A$2004,0))=0,"",INDEX(Workers!$D$5:$D$2004,MATCH($D1280,Workers!$A$5:$A$2004,0))),""))</f>
        <v/>
      </c>
      <c r="L1280" s="24" t="str">
        <f aca="false">IF($D1280="","",IFERROR(INDEX(Workers!$E$5:$E$2004,MATCH($D1280,Workers!$A$5:$A$2004,0)),""))</f>
        <v/>
      </c>
      <c r="M1280" s="26" t="str">
        <f aca="false">IF($D1280="","",IFERROR(INDEX(ClientRates!$D$5:$D$500,MATCH($B1280&amp;"|"&amp;$L1280,ClientRates!$A$5:$A$500,0)),0))</f>
        <v/>
      </c>
      <c r="N1280" s="26" t="str">
        <f aca="false">IF($D1280="","",IFERROR(INDEX(ClientRates!$E$5:$E$500,MATCH($B1280&amp;"|"&amp;$L1280,ClientRates!$A$5:$A$500,0)),0))</f>
        <v/>
      </c>
      <c r="O1280" s="26" t="str">
        <f aca="false">IF($D1280="","",F1280*M1280+G1280*N1280)</f>
        <v/>
      </c>
      <c r="P1280" s="26" t="str">
        <f aca="false">IF(OR($D1280="",$J1280&lt;&gt;"Supplier"),"",IFERROR(INDEX(SupplierRates!$D$5:$D$500,MATCH($K1280&amp;"|"&amp;$L1280,SupplierRates!$A$5:$A$500,0)),0))</f>
        <v/>
      </c>
      <c r="Q1280" s="26" t="str">
        <f aca="false">IF(OR($D1280="",$J1280&lt;&gt;"Supplier"),"",IFERROR(INDEX(SupplierRates!$E$5:$E$500,MATCH($K1280&amp;"|"&amp;$L1280,SupplierRates!$A$5:$A$500,0)),0))</f>
        <v/>
      </c>
      <c r="R1280" s="26" t="n">
        <f aca="false">IF(OR($D1280="",$J1280&lt;&gt;"Supplier"),0,F1280*P1280+G1280*Q1280)</f>
        <v>0</v>
      </c>
      <c r="S1280" s="26" t="n">
        <f aca="false">IF(OR($D1280="",$J1280&lt;&gt;"Own"),0,IFERROR((F1280+G1280*Settings!$B$13)*INDEX(Workers!$V$5:$V$2004,MATCH($D1280,Workers!$A$5:$A$2004,0)),0))</f>
        <v>0</v>
      </c>
      <c r="T1280" s="26" t="str">
        <f aca="false">IF($D1280="","",O1280-R1280-S1280)</f>
        <v/>
      </c>
    </row>
    <row r="1281" customFormat="false" ht="15" hidden="false" customHeight="false" outlineLevel="0" collapsed="false">
      <c r="I1281" s="24" t="str">
        <f aca="false">IF($D1281="","",IFERROR(INDEX(Workers!$B$5:$B$2004,MATCH($D1281,Workers!$A$5:$A$2004,0)),"NOT FOUND"))</f>
        <v/>
      </c>
      <c r="J1281" s="24" t="str">
        <f aca="false">IF($D1281="","",IFERROR(INDEX(Workers!$C$5:$C$2004,MATCH($D1281,Workers!$A$5:$A$2004,0)),""))</f>
        <v/>
      </c>
      <c r="K1281" s="24" t="str">
        <f aca="false">IF($D1281="","",IFERROR(IF(INDEX(Workers!$D$5:$D$2004,MATCH($D1281,Workers!$A$5:$A$2004,0))=0,"",INDEX(Workers!$D$5:$D$2004,MATCH($D1281,Workers!$A$5:$A$2004,0))),""))</f>
        <v/>
      </c>
      <c r="L1281" s="24" t="str">
        <f aca="false">IF($D1281="","",IFERROR(INDEX(Workers!$E$5:$E$2004,MATCH($D1281,Workers!$A$5:$A$2004,0)),""))</f>
        <v/>
      </c>
      <c r="M1281" s="26" t="str">
        <f aca="false">IF($D1281="","",IFERROR(INDEX(ClientRates!$D$5:$D$500,MATCH($B1281&amp;"|"&amp;$L1281,ClientRates!$A$5:$A$500,0)),0))</f>
        <v/>
      </c>
      <c r="N1281" s="26" t="str">
        <f aca="false">IF($D1281="","",IFERROR(INDEX(ClientRates!$E$5:$E$500,MATCH($B1281&amp;"|"&amp;$L1281,ClientRates!$A$5:$A$500,0)),0))</f>
        <v/>
      </c>
      <c r="O1281" s="26" t="str">
        <f aca="false">IF($D1281="","",F1281*M1281+G1281*N1281)</f>
        <v/>
      </c>
      <c r="P1281" s="26" t="str">
        <f aca="false">IF(OR($D1281="",$J1281&lt;&gt;"Supplier"),"",IFERROR(INDEX(SupplierRates!$D$5:$D$500,MATCH($K1281&amp;"|"&amp;$L1281,SupplierRates!$A$5:$A$500,0)),0))</f>
        <v/>
      </c>
      <c r="Q1281" s="26" t="str">
        <f aca="false">IF(OR($D1281="",$J1281&lt;&gt;"Supplier"),"",IFERROR(INDEX(SupplierRates!$E$5:$E$500,MATCH($K1281&amp;"|"&amp;$L1281,SupplierRates!$A$5:$A$500,0)),0))</f>
        <v/>
      </c>
      <c r="R1281" s="26" t="n">
        <f aca="false">IF(OR($D1281="",$J1281&lt;&gt;"Supplier"),0,F1281*P1281+G1281*Q1281)</f>
        <v>0</v>
      </c>
      <c r="S1281" s="26" t="n">
        <f aca="false">IF(OR($D1281="",$J1281&lt;&gt;"Own"),0,IFERROR((F1281+G1281*Settings!$B$13)*INDEX(Workers!$V$5:$V$2004,MATCH($D1281,Workers!$A$5:$A$2004,0)),0))</f>
        <v>0</v>
      </c>
      <c r="T1281" s="26" t="str">
        <f aca="false">IF($D1281="","",O1281-R1281-S1281)</f>
        <v/>
      </c>
    </row>
    <row r="1282" customFormat="false" ht="15" hidden="false" customHeight="false" outlineLevel="0" collapsed="false">
      <c r="I1282" s="24" t="str">
        <f aca="false">IF($D1282="","",IFERROR(INDEX(Workers!$B$5:$B$2004,MATCH($D1282,Workers!$A$5:$A$2004,0)),"NOT FOUND"))</f>
        <v/>
      </c>
      <c r="J1282" s="24" t="str">
        <f aca="false">IF($D1282="","",IFERROR(INDEX(Workers!$C$5:$C$2004,MATCH($D1282,Workers!$A$5:$A$2004,0)),""))</f>
        <v/>
      </c>
      <c r="K1282" s="24" t="str">
        <f aca="false">IF($D1282="","",IFERROR(IF(INDEX(Workers!$D$5:$D$2004,MATCH($D1282,Workers!$A$5:$A$2004,0))=0,"",INDEX(Workers!$D$5:$D$2004,MATCH($D1282,Workers!$A$5:$A$2004,0))),""))</f>
        <v/>
      </c>
      <c r="L1282" s="24" t="str">
        <f aca="false">IF($D1282="","",IFERROR(INDEX(Workers!$E$5:$E$2004,MATCH($D1282,Workers!$A$5:$A$2004,0)),""))</f>
        <v/>
      </c>
      <c r="M1282" s="26" t="str">
        <f aca="false">IF($D1282="","",IFERROR(INDEX(ClientRates!$D$5:$D$500,MATCH($B1282&amp;"|"&amp;$L1282,ClientRates!$A$5:$A$500,0)),0))</f>
        <v/>
      </c>
      <c r="N1282" s="26" t="str">
        <f aca="false">IF($D1282="","",IFERROR(INDEX(ClientRates!$E$5:$E$500,MATCH($B1282&amp;"|"&amp;$L1282,ClientRates!$A$5:$A$500,0)),0))</f>
        <v/>
      </c>
      <c r="O1282" s="26" t="str">
        <f aca="false">IF($D1282="","",F1282*M1282+G1282*N1282)</f>
        <v/>
      </c>
      <c r="P1282" s="26" t="str">
        <f aca="false">IF(OR($D1282="",$J1282&lt;&gt;"Supplier"),"",IFERROR(INDEX(SupplierRates!$D$5:$D$500,MATCH($K1282&amp;"|"&amp;$L1282,SupplierRates!$A$5:$A$500,0)),0))</f>
        <v/>
      </c>
      <c r="Q1282" s="26" t="str">
        <f aca="false">IF(OR($D1282="",$J1282&lt;&gt;"Supplier"),"",IFERROR(INDEX(SupplierRates!$E$5:$E$500,MATCH($K1282&amp;"|"&amp;$L1282,SupplierRates!$A$5:$A$500,0)),0))</f>
        <v/>
      </c>
      <c r="R1282" s="26" t="n">
        <f aca="false">IF(OR($D1282="",$J1282&lt;&gt;"Supplier"),0,F1282*P1282+G1282*Q1282)</f>
        <v>0</v>
      </c>
      <c r="S1282" s="26" t="n">
        <f aca="false">IF(OR($D1282="",$J1282&lt;&gt;"Own"),0,IFERROR((F1282+G1282*Settings!$B$13)*INDEX(Workers!$V$5:$V$2004,MATCH($D1282,Workers!$A$5:$A$2004,0)),0))</f>
        <v>0</v>
      </c>
      <c r="T1282" s="26" t="str">
        <f aca="false">IF($D1282="","",O1282-R1282-S1282)</f>
        <v/>
      </c>
    </row>
    <row r="1283" customFormat="false" ht="15" hidden="false" customHeight="false" outlineLevel="0" collapsed="false">
      <c r="I1283" s="24" t="str">
        <f aca="false">IF($D1283="","",IFERROR(INDEX(Workers!$B$5:$B$2004,MATCH($D1283,Workers!$A$5:$A$2004,0)),"NOT FOUND"))</f>
        <v/>
      </c>
      <c r="J1283" s="24" t="str">
        <f aca="false">IF($D1283="","",IFERROR(INDEX(Workers!$C$5:$C$2004,MATCH($D1283,Workers!$A$5:$A$2004,0)),""))</f>
        <v/>
      </c>
      <c r="K1283" s="24" t="str">
        <f aca="false">IF($D1283="","",IFERROR(IF(INDEX(Workers!$D$5:$D$2004,MATCH($D1283,Workers!$A$5:$A$2004,0))=0,"",INDEX(Workers!$D$5:$D$2004,MATCH($D1283,Workers!$A$5:$A$2004,0))),""))</f>
        <v/>
      </c>
      <c r="L1283" s="24" t="str">
        <f aca="false">IF($D1283="","",IFERROR(INDEX(Workers!$E$5:$E$2004,MATCH($D1283,Workers!$A$5:$A$2004,0)),""))</f>
        <v/>
      </c>
      <c r="M1283" s="26" t="str">
        <f aca="false">IF($D1283="","",IFERROR(INDEX(ClientRates!$D$5:$D$500,MATCH($B1283&amp;"|"&amp;$L1283,ClientRates!$A$5:$A$500,0)),0))</f>
        <v/>
      </c>
      <c r="N1283" s="26" t="str">
        <f aca="false">IF($D1283="","",IFERROR(INDEX(ClientRates!$E$5:$E$500,MATCH($B1283&amp;"|"&amp;$L1283,ClientRates!$A$5:$A$500,0)),0))</f>
        <v/>
      </c>
      <c r="O1283" s="26" t="str">
        <f aca="false">IF($D1283="","",F1283*M1283+G1283*N1283)</f>
        <v/>
      </c>
      <c r="P1283" s="26" t="str">
        <f aca="false">IF(OR($D1283="",$J1283&lt;&gt;"Supplier"),"",IFERROR(INDEX(SupplierRates!$D$5:$D$500,MATCH($K1283&amp;"|"&amp;$L1283,SupplierRates!$A$5:$A$500,0)),0))</f>
        <v/>
      </c>
      <c r="Q1283" s="26" t="str">
        <f aca="false">IF(OR($D1283="",$J1283&lt;&gt;"Supplier"),"",IFERROR(INDEX(SupplierRates!$E$5:$E$500,MATCH($K1283&amp;"|"&amp;$L1283,SupplierRates!$A$5:$A$500,0)),0))</f>
        <v/>
      </c>
      <c r="R1283" s="26" t="n">
        <f aca="false">IF(OR($D1283="",$J1283&lt;&gt;"Supplier"),0,F1283*P1283+G1283*Q1283)</f>
        <v>0</v>
      </c>
      <c r="S1283" s="26" t="n">
        <f aca="false">IF(OR($D1283="",$J1283&lt;&gt;"Own"),0,IFERROR((F1283+G1283*Settings!$B$13)*INDEX(Workers!$V$5:$V$2004,MATCH($D1283,Workers!$A$5:$A$2004,0)),0))</f>
        <v>0</v>
      </c>
      <c r="T1283" s="26" t="str">
        <f aca="false">IF($D1283="","",O1283-R1283-S1283)</f>
        <v/>
      </c>
    </row>
    <row r="1284" customFormat="false" ht="15" hidden="false" customHeight="false" outlineLevel="0" collapsed="false">
      <c r="I1284" s="24" t="str">
        <f aca="false">IF($D1284="","",IFERROR(INDEX(Workers!$B$5:$B$2004,MATCH($D1284,Workers!$A$5:$A$2004,0)),"NOT FOUND"))</f>
        <v/>
      </c>
      <c r="J1284" s="24" t="str">
        <f aca="false">IF($D1284="","",IFERROR(INDEX(Workers!$C$5:$C$2004,MATCH($D1284,Workers!$A$5:$A$2004,0)),""))</f>
        <v/>
      </c>
      <c r="K1284" s="24" t="str">
        <f aca="false">IF($D1284="","",IFERROR(IF(INDEX(Workers!$D$5:$D$2004,MATCH($D1284,Workers!$A$5:$A$2004,0))=0,"",INDEX(Workers!$D$5:$D$2004,MATCH($D1284,Workers!$A$5:$A$2004,0))),""))</f>
        <v/>
      </c>
      <c r="L1284" s="24" t="str">
        <f aca="false">IF($D1284="","",IFERROR(INDEX(Workers!$E$5:$E$2004,MATCH($D1284,Workers!$A$5:$A$2004,0)),""))</f>
        <v/>
      </c>
      <c r="M1284" s="26" t="str">
        <f aca="false">IF($D1284="","",IFERROR(INDEX(ClientRates!$D$5:$D$500,MATCH($B1284&amp;"|"&amp;$L1284,ClientRates!$A$5:$A$500,0)),0))</f>
        <v/>
      </c>
      <c r="N1284" s="26" t="str">
        <f aca="false">IF($D1284="","",IFERROR(INDEX(ClientRates!$E$5:$E$500,MATCH($B1284&amp;"|"&amp;$L1284,ClientRates!$A$5:$A$500,0)),0))</f>
        <v/>
      </c>
      <c r="O1284" s="26" t="str">
        <f aca="false">IF($D1284="","",F1284*M1284+G1284*N1284)</f>
        <v/>
      </c>
      <c r="P1284" s="26" t="str">
        <f aca="false">IF(OR($D1284="",$J1284&lt;&gt;"Supplier"),"",IFERROR(INDEX(SupplierRates!$D$5:$D$500,MATCH($K1284&amp;"|"&amp;$L1284,SupplierRates!$A$5:$A$500,0)),0))</f>
        <v/>
      </c>
      <c r="Q1284" s="26" t="str">
        <f aca="false">IF(OR($D1284="",$J1284&lt;&gt;"Supplier"),"",IFERROR(INDEX(SupplierRates!$E$5:$E$500,MATCH($K1284&amp;"|"&amp;$L1284,SupplierRates!$A$5:$A$500,0)),0))</f>
        <v/>
      </c>
      <c r="R1284" s="26" t="n">
        <f aca="false">IF(OR($D1284="",$J1284&lt;&gt;"Supplier"),0,F1284*P1284+G1284*Q1284)</f>
        <v>0</v>
      </c>
      <c r="S1284" s="26" t="n">
        <f aca="false">IF(OR($D1284="",$J1284&lt;&gt;"Own"),0,IFERROR((F1284+G1284*Settings!$B$13)*INDEX(Workers!$V$5:$V$2004,MATCH($D1284,Workers!$A$5:$A$2004,0)),0))</f>
        <v>0</v>
      </c>
      <c r="T1284" s="26" t="str">
        <f aca="false">IF($D1284="","",O1284-R1284-S1284)</f>
        <v/>
      </c>
    </row>
    <row r="1285" customFormat="false" ht="15" hidden="false" customHeight="false" outlineLevel="0" collapsed="false">
      <c r="I1285" s="24" t="str">
        <f aca="false">IF($D1285="","",IFERROR(INDEX(Workers!$B$5:$B$2004,MATCH($D1285,Workers!$A$5:$A$2004,0)),"NOT FOUND"))</f>
        <v/>
      </c>
      <c r="J1285" s="24" t="str">
        <f aca="false">IF($D1285="","",IFERROR(INDEX(Workers!$C$5:$C$2004,MATCH($D1285,Workers!$A$5:$A$2004,0)),""))</f>
        <v/>
      </c>
      <c r="K1285" s="24" t="str">
        <f aca="false">IF($D1285="","",IFERROR(IF(INDEX(Workers!$D$5:$D$2004,MATCH($D1285,Workers!$A$5:$A$2004,0))=0,"",INDEX(Workers!$D$5:$D$2004,MATCH($D1285,Workers!$A$5:$A$2004,0))),""))</f>
        <v/>
      </c>
      <c r="L1285" s="24" t="str">
        <f aca="false">IF($D1285="","",IFERROR(INDEX(Workers!$E$5:$E$2004,MATCH($D1285,Workers!$A$5:$A$2004,0)),""))</f>
        <v/>
      </c>
      <c r="M1285" s="26" t="str">
        <f aca="false">IF($D1285="","",IFERROR(INDEX(ClientRates!$D$5:$D$500,MATCH($B1285&amp;"|"&amp;$L1285,ClientRates!$A$5:$A$500,0)),0))</f>
        <v/>
      </c>
      <c r="N1285" s="26" t="str">
        <f aca="false">IF($D1285="","",IFERROR(INDEX(ClientRates!$E$5:$E$500,MATCH($B1285&amp;"|"&amp;$L1285,ClientRates!$A$5:$A$500,0)),0))</f>
        <v/>
      </c>
      <c r="O1285" s="26" t="str">
        <f aca="false">IF($D1285="","",F1285*M1285+G1285*N1285)</f>
        <v/>
      </c>
      <c r="P1285" s="26" t="str">
        <f aca="false">IF(OR($D1285="",$J1285&lt;&gt;"Supplier"),"",IFERROR(INDEX(SupplierRates!$D$5:$D$500,MATCH($K1285&amp;"|"&amp;$L1285,SupplierRates!$A$5:$A$500,0)),0))</f>
        <v/>
      </c>
      <c r="Q1285" s="26" t="str">
        <f aca="false">IF(OR($D1285="",$J1285&lt;&gt;"Supplier"),"",IFERROR(INDEX(SupplierRates!$E$5:$E$500,MATCH($K1285&amp;"|"&amp;$L1285,SupplierRates!$A$5:$A$500,0)),0))</f>
        <v/>
      </c>
      <c r="R1285" s="26" t="n">
        <f aca="false">IF(OR($D1285="",$J1285&lt;&gt;"Supplier"),0,F1285*P1285+G1285*Q1285)</f>
        <v>0</v>
      </c>
      <c r="S1285" s="26" t="n">
        <f aca="false">IF(OR($D1285="",$J1285&lt;&gt;"Own"),0,IFERROR((F1285+G1285*Settings!$B$13)*INDEX(Workers!$V$5:$V$2004,MATCH($D1285,Workers!$A$5:$A$2004,0)),0))</f>
        <v>0</v>
      </c>
      <c r="T1285" s="26" t="str">
        <f aca="false">IF($D1285="","",O1285-R1285-S1285)</f>
        <v/>
      </c>
    </row>
    <row r="1286" customFormat="false" ht="15" hidden="false" customHeight="false" outlineLevel="0" collapsed="false">
      <c r="I1286" s="24" t="str">
        <f aca="false">IF($D1286="","",IFERROR(INDEX(Workers!$B$5:$B$2004,MATCH($D1286,Workers!$A$5:$A$2004,0)),"NOT FOUND"))</f>
        <v/>
      </c>
      <c r="J1286" s="24" t="str">
        <f aca="false">IF($D1286="","",IFERROR(INDEX(Workers!$C$5:$C$2004,MATCH($D1286,Workers!$A$5:$A$2004,0)),""))</f>
        <v/>
      </c>
      <c r="K1286" s="24" t="str">
        <f aca="false">IF($D1286="","",IFERROR(IF(INDEX(Workers!$D$5:$D$2004,MATCH($D1286,Workers!$A$5:$A$2004,0))=0,"",INDEX(Workers!$D$5:$D$2004,MATCH($D1286,Workers!$A$5:$A$2004,0))),""))</f>
        <v/>
      </c>
      <c r="L1286" s="24" t="str">
        <f aca="false">IF($D1286="","",IFERROR(INDEX(Workers!$E$5:$E$2004,MATCH($D1286,Workers!$A$5:$A$2004,0)),""))</f>
        <v/>
      </c>
      <c r="M1286" s="26" t="str">
        <f aca="false">IF($D1286="","",IFERROR(INDEX(ClientRates!$D$5:$D$500,MATCH($B1286&amp;"|"&amp;$L1286,ClientRates!$A$5:$A$500,0)),0))</f>
        <v/>
      </c>
      <c r="N1286" s="26" t="str">
        <f aca="false">IF($D1286="","",IFERROR(INDEX(ClientRates!$E$5:$E$500,MATCH($B1286&amp;"|"&amp;$L1286,ClientRates!$A$5:$A$500,0)),0))</f>
        <v/>
      </c>
      <c r="O1286" s="26" t="str">
        <f aca="false">IF($D1286="","",F1286*M1286+G1286*N1286)</f>
        <v/>
      </c>
      <c r="P1286" s="26" t="str">
        <f aca="false">IF(OR($D1286="",$J1286&lt;&gt;"Supplier"),"",IFERROR(INDEX(SupplierRates!$D$5:$D$500,MATCH($K1286&amp;"|"&amp;$L1286,SupplierRates!$A$5:$A$500,0)),0))</f>
        <v/>
      </c>
      <c r="Q1286" s="26" t="str">
        <f aca="false">IF(OR($D1286="",$J1286&lt;&gt;"Supplier"),"",IFERROR(INDEX(SupplierRates!$E$5:$E$500,MATCH($K1286&amp;"|"&amp;$L1286,SupplierRates!$A$5:$A$500,0)),0))</f>
        <v/>
      </c>
      <c r="R1286" s="26" t="n">
        <f aca="false">IF(OR($D1286="",$J1286&lt;&gt;"Supplier"),0,F1286*P1286+G1286*Q1286)</f>
        <v>0</v>
      </c>
      <c r="S1286" s="26" t="n">
        <f aca="false">IF(OR($D1286="",$J1286&lt;&gt;"Own"),0,IFERROR((F1286+G1286*Settings!$B$13)*INDEX(Workers!$V$5:$V$2004,MATCH($D1286,Workers!$A$5:$A$2004,0)),0))</f>
        <v>0</v>
      </c>
      <c r="T1286" s="26" t="str">
        <f aca="false">IF($D1286="","",O1286-R1286-S1286)</f>
        <v/>
      </c>
    </row>
    <row r="1287" customFormat="false" ht="15" hidden="false" customHeight="false" outlineLevel="0" collapsed="false">
      <c r="I1287" s="24" t="str">
        <f aca="false">IF($D1287="","",IFERROR(INDEX(Workers!$B$5:$B$2004,MATCH($D1287,Workers!$A$5:$A$2004,0)),"NOT FOUND"))</f>
        <v/>
      </c>
      <c r="J1287" s="24" t="str">
        <f aca="false">IF($D1287="","",IFERROR(INDEX(Workers!$C$5:$C$2004,MATCH($D1287,Workers!$A$5:$A$2004,0)),""))</f>
        <v/>
      </c>
      <c r="K1287" s="24" t="str">
        <f aca="false">IF($D1287="","",IFERROR(IF(INDEX(Workers!$D$5:$D$2004,MATCH($D1287,Workers!$A$5:$A$2004,0))=0,"",INDEX(Workers!$D$5:$D$2004,MATCH($D1287,Workers!$A$5:$A$2004,0))),""))</f>
        <v/>
      </c>
      <c r="L1287" s="24" t="str">
        <f aca="false">IF($D1287="","",IFERROR(INDEX(Workers!$E$5:$E$2004,MATCH($D1287,Workers!$A$5:$A$2004,0)),""))</f>
        <v/>
      </c>
      <c r="M1287" s="26" t="str">
        <f aca="false">IF($D1287="","",IFERROR(INDEX(ClientRates!$D$5:$D$500,MATCH($B1287&amp;"|"&amp;$L1287,ClientRates!$A$5:$A$500,0)),0))</f>
        <v/>
      </c>
      <c r="N1287" s="26" t="str">
        <f aca="false">IF($D1287="","",IFERROR(INDEX(ClientRates!$E$5:$E$500,MATCH($B1287&amp;"|"&amp;$L1287,ClientRates!$A$5:$A$500,0)),0))</f>
        <v/>
      </c>
      <c r="O1287" s="26" t="str">
        <f aca="false">IF($D1287="","",F1287*M1287+G1287*N1287)</f>
        <v/>
      </c>
      <c r="P1287" s="26" t="str">
        <f aca="false">IF(OR($D1287="",$J1287&lt;&gt;"Supplier"),"",IFERROR(INDEX(SupplierRates!$D$5:$D$500,MATCH($K1287&amp;"|"&amp;$L1287,SupplierRates!$A$5:$A$500,0)),0))</f>
        <v/>
      </c>
      <c r="Q1287" s="26" t="str">
        <f aca="false">IF(OR($D1287="",$J1287&lt;&gt;"Supplier"),"",IFERROR(INDEX(SupplierRates!$E$5:$E$500,MATCH($K1287&amp;"|"&amp;$L1287,SupplierRates!$A$5:$A$500,0)),0))</f>
        <v/>
      </c>
      <c r="R1287" s="26" t="n">
        <f aca="false">IF(OR($D1287="",$J1287&lt;&gt;"Supplier"),0,F1287*P1287+G1287*Q1287)</f>
        <v>0</v>
      </c>
      <c r="S1287" s="26" t="n">
        <f aca="false">IF(OR($D1287="",$J1287&lt;&gt;"Own"),0,IFERROR((F1287+G1287*Settings!$B$13)*INDEX(Workers!$V$5:$V$2004,MATCH($D1287,Workers!$A$5:$A$2004,0)),0))</f>
        <v>0</v>
      </c>
      <c r="T1287" s="26" t="str">
        <f aca="false">IF($D1287="","",O1287-R1287-S1287)</f>
        <v/>
      </c>
    </row>
    <row r="1288" customFormat="false" ht="15" hidden="false" customHeight="false" outlineLevel="0" collapsed="false">
      <c r="I1288" s="24" t="str">
        <f aca="false">IF($D1288="","",IFERROR(INDEX(Workers!$B$5:$B$2004,MATCH($D1288,Workers!$A$5:$A$2004,0)),"NOT FOUND"))</f>
        <v/>
      </c>
      <c r="J1288" s="24" t="str">
        <f aca="false">IF($D1288="","",IFERROR(INDEX(Workers!$C$5:$C$2004,MATCH($D1288,Workers!$A$5:$A$2004,0)),""))</f>
        <v/>
      </c>
      <c r="K1288" s="24" t="str">
        <f aca="false">IF($D1288="","",IFERROR(IF(INDEX(Workers!$D$5:$D$2004,MATCH($D1288,Workers!$A$5:$A$2004,0))=0,"",INDEX(Workers!$D$5:$D$2004,MATCH($D1288,Workers!$A$5:$A$2004,0))),""))</f>
        <v/>
      </c>
      <c r="L1288" s="24" t="str">
        <f aca="false">IF($D1288="","",IFERROR(INDEX(Workers!$E$5:$E$2004,MATCH($D1288,Workers!$A$5:$A$2004,0)),""))</f>
        <v/>
      </c>
      <c r="M1288" s="26" t="str">
        <f aca="false">IF($D1288="","",IFERROR(INDEX(ClientRates!$D$5:$D$500,MATCH($B1288&amp;"|"&amp;$L1288,ClientRates!$A$5:$A$500,0)),0))</f>
        <v/>
      </c>
      <c r="N1288" s="26" t="str">
        <f aca="false">IF($D1288="","",IFERROR(INDEX(ClientRates!$E$5:$E$500,MATCH($B1288&amp;"|"&amp;$L1288,ClientRates!$A$5:$A$500,0)),0))</f>
        <v/>
      </c>
      <c r="O1288" s="26" t="str">
        <f aca="false">IF($D1288="","",F1288*M1288+G1288*N1288)</f>
        <v/>
      </c>
      <c r="P1288" s="26" t="str">
        <f aca="false">IF(OR($D1288="",$J1288&lt;&gt;"Supplier"),"",IFERROR(INDEX(SupplierRates!$D$5:$D$500,MATCH($K1288&amp;"|"&amp;$L1288,SupplierRates!$A$5:$A$500,0)),0))</f>
        <v/>
      </c>
      <c r="Q1288" s="26" t="str">
        <f aca="false">IF(OR($D1288="",$J1288&lt;&gt;"Supplier"),"",IFERROR(INDEX(SupplierRates!$E$5:$E$500,MATCH($K1288&amp;"|"&amp;$L1288,SupplierRates!$A$5:$A$500,0)),0))</f>
        <v/>
      </c>
      <c r="R1288" s="26" t="n">
        <f aca="false">IF(OR($D1288="",$J1288&lt;&gt;"Supplier"),0,F1288*P1288+G1288*Q1288)</f>
        <v>0</v>
      </c>
      <c r="S1288" s="26" t="n">
        <f aca="false">IF(OR($D1288="",$J1288&lt;&gt;"Own"),0,IFERROR((F1288+G1288*Settings!$B$13)*INDEX(Workers!$V$5:$V$2004,MATCH($D1288,Workers!$A$5:$A$2004,0)),0))</f>
        <v>0</v>
      </c>
      <c r="T1288" s="26" t="str">
        <f aca="false">IF($D1288="","",O1288-R1288-S1288)</f>
        <v/>
      </c>
    </row>
    <row r="1289" customFormat="false" ht="15" hidden="false" customHeight="false" outlineLevel="0" collapsed="false">
      <c r="I1289" s="24" t="str">
        <f aca="false">IF($D1289="","",IFERROR(INDEX(Workers!$B$5:$B$2004,MATCH($D1289,Workers!$A$5:$A$2004,0)),"NOT FOUND"))</f>
        <v/>
      </c>
      <c r="J1289" s="24" t="str">
        <f aca="false">IF($D1289="","",IFERROR(INDEX(Workers!$C$5:$C$2004,MATCH($D1289,Workers!$A$5:$A$2004,0)),""))</f>
        <v/>
      </c>
      <c r="K1289" s="24" t="str">
        <f aca="false">IF($D1289="","",IFERROR(IF(INDEX(Workers!$D$5:$D$2004,MATCH($D1289,Workers!$A$5:$A$2004,0))=0,"",INDEX(Workers!$D$5:$D$2004,MATCH($D1289,Workers!$A$5:$A$2004,0))),""))</f>
        <v/>
      </c>
      <c r="L1289" s="24" t="str">
        <f aca="false">IF($D1289="","",IFERROR(INDEX(Workers!$E$5:$E$2004,MATCH($D1289,Workers!$A$5:$A$2004,0)),""))</f>
        <v/>
      </c>
      <c r="M1289" s="26" t="str">
        <f aca="false">IF($D1289="","",IFERROR(INDEX(ClientRates!$D$5:$D$500,MATCH($B1289&amp;"|"&amp;$L1289,ClientRates!$A$5:$A$500,0)),0))</f>
        <v/>
      </c>
      <c r="N1289" s="26" t="str">
        <f aca="false">IF($D1289="","",IFERROR(INDEX(ClientRates!$E$5:$E$500,MATCH($B1289&amp;"|"&amp;$L1289,ClientRates!$A$5:$A$500,0)),0))</f>
        <v/>
      </c>
      <c r="O1289" s="26" t="str">
        <f aca="false">IF($D1289="","",F1289*M1289+G1289*N1289)</f>
        <v/>
      </c>
      <c r="P1289" s="26" t="str">
        <f aca="false">IF(OR($D1289="",$J1289&lt;&gt;"Supplier"),"",IFERROR(INDEX(SupplierRates!$D$5:$D$500,MATCH($K1289&amp;"|"&amp;$L1289,SupplierRates!$A$5:$A$500,0)),0))</f>
        <v/>
      </c>
      <c r="Q1289" s="26" t="str">
        <f aca="false">IF(OR($D1289="",$J1289&lt;&gt;"Supplier"),"",IFERROR(INDEX(SupplierRates!$E$5:$E$500,MATCH($K1289&amp;"|"&amp;$L1289,SupplierRates!$A$5:$A$500,0)),0))</f>
        <v/>
      </c>
      <c r="R1289" s="26" t="n">
        <f aca="false">IF(OR($D1289="",$J1289&lt;&gt;"Supplier"),0,F1289*P1289+G1289*Q1289)</f>
        <v>0</v>
      </c>
      <c r="S1289" s="26" t="n">
        <f aca="false">IF(OR($D1289="",$J1289&lt;&gt;"Own"),0,IFERROR((F1289+G1289*Settings!$B$13)*INDEX(Workers!$V$5:$V$2004,MATCH($D1289,Workers!$A$5:$A$2004,0)),0))</f>
        <v>0</v>
      </c>
      <c r="T1289" s="26" t="str">
        <f aca="false">IF($D1289="","",O1289-R1289-S1289)</f>
        <v/>
      </c>
    </row>
    <row r="1290" customFormat="false" ht="15" hidden="false" customHeight="false" outlineLevel="0" collapsed="false">
      <c r="I1290" s="24" t="str">
        <f aca="false">IF($D1290="","",IFERROR(INDEX(Workers!$B$5:$B$2004,MATCH($D1290,Workers!$A$5:$A$2004,0)),"NOT FOUND"))</f>
        <v/>
      </c>
      <c r="J1290" s="24" t="str">
        <f aca="false">IF($D1290="","",IFERROR(INDEX(Workers!$C$5:$C$2004,MATCH($D1290,Workers!$A$5:$A$2004,0)),""))</f>
        <v/>
      </c>
      <c r="K1290" s="24" t="str">
        <f aca="false">IF($D1290="","",IFERROR(IF(INDEX(Workers!$D$5:$D$2004,MATCH($D1290,Workers!$A$5:$A$2004,0))=0,"",INDEX(Workers!$D$5:$D$2004,MATCH($D1290,Workers!$A$5:$A$2004,0))),""))</f>
        <v/>
      </c>
      <c r="L1290" s="24" t="str">
        <f aca="false">IF($D1290="","",IFERROR(INDEX(Workers!$E$5:$E$2004,MATCH($D1290,Workers!$A$5:$A$2004,0)),""))</f>
        <v/>
      </c>
      <c r="M1290" s="26" t="str">
        <f aca="false">IF($D1290="","",IFERROR(INDEX(ClientRates!$D$5:$D$500,MATCH($B1290&amp;"|"&amp;$L1290,ClientRates!$A$5:$A$500,0)),0))</f>
        <v/>
      </c>
      <c r="N1290" s="26" t="str">
        <f aca="false">IF($D1290="","",IFERROR(INDEX(ClientRates!$E$5:$E$500,MATCH($B1290&amp;"|"&amp;$L1290,ClientRates!$A$5:$A$500,0)),0))</f>
        <v/>
      </c>
      <c r="O1290" s="26" t="str">
        <f aca="false">IF($D1290="","",F1290*M1290+G1290*N1290)</f>
        <v/>
      </c>
      <c r="P1290" s="26" t="str">
        <f aca="false">IF(OR($D1290="",$J1290&lt;&gt;"Supplier"),"",IFERROR(INDEX(SupplierRates!$D$5:$D$500,MATCH($K1290&amp;"|"&amp;$L1290,SupplierRates!$A$5:$A$500,0)),0))</f>
        <v/>
      </c>
      <c r="Q1290" s="26" t="str">
        <f aca="false">IF(OR($D1290="",$J1290&lt;&gt;"Supplier"),"",IFERROR(INDEX(SupplierRates!$E$5:$E$500,MATCH($K1290&amp;"|"&amp;$L1290,SupplierRates!$A$5:$A$500,0)),0))</f>
        <v/>
      </c>
      <c r="R1290" s="26" t="n">
        <f aca="false">IF(OR($D1290="",$J1290&lt;&gt;"Supplier"),0,F1290*P1290+G1290*Q1290)</f>
        <v>0</v>
      </c>
      <c r="S1290" s="26" t="n">
        <f aca="false">IF(OR($D1290="",$J1290&lt;&gt;"Own"),0,IFERROR((F1290+G1290*Settings!$B$13)*INDEX(Workers!$V$5:$V$2004,MATCH($D1290,Workers!$A$5:$A$2004,0)),0))</f>
        <v>0</v>
      </c>
      <c r="T1290" s="26" t="str">
        <f aca="false">IF($D1290="","",O1290-R1290-S1290)</f>
        <v/>
      </c>
    </row>
    <row r="1291" customFormat="false" ht="15" hidden="false" customHeight="false" outlineLevel="0" collapsed="false">
      <c r="I1291" s="24" t="str">
        <f aca="false">IF($D1291="","",IFERROR(INDEX(Workers!$B$5:$B$2004,MATCH($D1291,Workers!$A$5:$A$2004,0)),"NOT FOUND"))</f>
        <v/>
      </c>
      <c r="J1291" s="24" t="str">
        <f aca="false">IF($D1291="","",IFERROR(INDEX(Workers!$C$5:$C$2004,MATCH($D1291,Workers!$A$5:$A$2004,0)),""))</f>
        <v/>
      </c>
      <c r="K1291" s="24" t="str">
        <f aca="false">IF($D1291="","",IFERROR(IF(INDEX(Workers!$D$5:$D$2004,MATCH($D1291,Workers!$A$5:$A$2004,0))=0,"",INDEX(Workers!$D$5:$D$2004,MATCH($D1291,Workers!$A$5:$A$2004,0))),""))</f>
        <v/>
      </c>
      <c r="L1291" s="24" t="str">
        <f aca="false">IF($D1291="","",IFERROR(INDEX(Workers!$E$5:$E$2004,MATCH($D1291,Workers!$A$5:$A$2004,0)),""))</f>
        <v/>
      </c>
      <c r="M1291" s="26" t="str">
        <f aca="false">IF($D1291="","",IFERROR(INDEX(ClientRates!$D$5:$D$500,MATCH($B1291&amp;"|"&amp;$L1291,ClientRates!$A$5:$A$500,0)),0))</f>
        <v/>
      </c>
      <c r="N1291" s="26" t="str">
        <f aca="false">IF($D1291="","",IFERROR(INDEX(ClientRates!$E$5:$E$500,MATCH($B1291&amp;"|"&amp;$L1291,ClientRates!$A$5:$A$500,0)),0))</f>
        <v/>
      </c>
      <c r="O1291" s="26" t="str">
        <f aca="false">IF($D1291="","",F1291*M1291+G1291*N1291)</f>
        <v/>
      </c>
      <c r="P1291" s="26" t="str">
        <f aca="false">IF(OR($D1291="",$J1291&lt;&gt;"Supplier"),"",IFERROR(INDEX(SupplierRates!$D$5:$D$500,MATCH($K1291&amp;"|"&amp;$L1291,SupplierRates!$A$5:$A$500,0)),0))</f>
        <v/>
      </c>
      <c r="Q1291" s="26" t="str">
        <f aca="false">IF(OR($D1291="",$J1291&lt;&gt;"Supplier"),"",IFERROR(INDEX(SupplierRates!$E$5:$E$500,MATCH($K1291&amp;"|"&amp;$L1291,SupplierRates!$A$5:$A$500,0)),0))</f>
        <v/>
      </c>
      <c r="R1291" s="26" t="n">
        <f aca="false">IF(OR($D1291="",$J1291&lt;&gt;"Supplier"),0,F1291*P1291+G1291*Q1291)</f>
        <v>0</v>
      </c>
      <c r="S1291" s="26" t="n">
        <f aca="false">IF(OR($D1291="",$J1291&lt;&gt;"Own"),0,IFERROR((F1291+G1291*Settings!$B$13)*INDEX(Workers!$V$5:$V$2004,MATCH($D1291,Workers!$A$5:$A$2004,0)),0))</f>
        <v>0</v>
      </c>
      <c r="T1291" s="26" t="str">
        <f aca="false">IF($D1291="","",O1291-R1291-S1291)</f>
        <v/>
      </c>
    </row>
    <row r="1292" customFormat="false" ht="15" hidden="false" customHeight="false" outlineLevel="0" collapsed="false">
      <c r="I1292" s="24" t="str">
        <f aca="false">IF($D1292="","",IFERROR(INDEX(Workers!$B$5:$B$2004,MATCH($D1292,Workers!$A$5:$A$2004,0)),"NOT FOUND"))</f>
        <v/>
      </c>
      <c r="J1292" s="24" t="str">
        <f aca="false">IF($D1292="","",IFERROR(INDEX(Workers!$C$5:$C$2004,MATCH($D1292,Workers!$A$5:$A$2004,0)),""))</f>
        <v/>
      </c>
      <c r="K1292" s="24" t="str">
        <f aca="false">IF($D1292="","",IFERROR(IF(INDEX(Workers!$D$5:$D$2004,MATCH($D1292,Workers!$A$5:$A$2004,0))=0,"",INDEX(Workers!$D$5:$D$2004,MATCH($D1292,Workers!$A$5:$A$2004,0))),""))</f>
        <v/>
      </c>
      <c r="L1292" s="24" t="str">
        <f aca="false">IF($D1292="","",IFERROR(INDEX(Workers!$E$5:$E$2004,MATCH($D1292,Workers!$A$5:$A$2004,0)),""))</f>
        <v/>
      </c>
      <c r="M1292" s="26" t="str">
        <f aca="false">IF($D1292="","",IFERROR(INDEX(ClientRates!$D$5:$D$500,MATCH($B1292&amp;"|"&amp;$L1292,ClientRates!$A$5:$A$500,0)),0))</f>
        <v/>
      </c>
      <c r="N1292" s="26" t="str">
        <f aca="false">IF($D1292="","",IFERROR(INDEX(ClientRates!$E$5:$E$500,MATCH($B1292&amp;"|"&amp;$L1292,ClientRates!$A$5:$A$500,0)),0))</f>
        <v/>
      </c>
      <c r="O1292" s="26" t="str">
        <f aca="false">IF($D1292="","",F1292*M1292+G1292*N1292)</f>
        <v/>
      </c>
      <c r="P1292" s="26" t="str">
        <f aca="false">IF(OR($D1292="",$J1292&lt;&gt;"Supplier"),"",IFERROR(INDEX(SupplierRates!$D$5:$D$500,MATCH($K1292&amp;"|"&amp;$L1292,SupplierRates!$A$5:$A$500,0)),0))</f>
        <v/>
      </c>
      <c r="Q1292" s="26" t="str">
        <f aca="false">IF(OR($D1292="",$J1292&lt;&gt;"Supplier"),"",IFERROR(INDEX(SupplierRates!$E$5:$E$500,MATCH($K1292&amp;"|"&amp;$L1292,SupplierRates!$A$5:$A$500,0)),0))</f>
        <v/>
      </c>
      <c r="R1292" s="26" t="n">
        <f aca="false">IF(OR($D1292="",$J1292&lt;&gt;"Supplier"),0,F1292*P1292+G1292*Q1292)</f>
        <v>0</v>
      </c>
      <c r="S1292" s="26" t="n">
        <f aca="false">IF(OR($D1292="",$J1292&lt;&gt;"Own"),0,IFERROR((F1292+G1292*Settings!$B$13)*INDEX(Workers!$V$5:$V$2004,MATCH($D1292,Workers!$A$5:$A$2004,0)),0))</f>
        <v>0</v>
      </c>
      <c r="T1292" s="26" t="str">
        <f aca="false">IF($D1292="","",O1292-R1292-S1292)</f>
        <v/>
      </c>
    </row>
    <row r="1293" customFormat="false" ht="15" hidden="false" customHeight="false" outlineLevel="0" collapsed="false">
      <c r="I1293" s="24" t="str">
        <f aca="false">IF($D1293="","",IFERROR(INDEX(Workers!$B$5:$B$2004,MATCH($D1293,Workers!$A$5:$A$2004,0)),"NOT FOUND"))</f>
        <v/>
      </c>
      <c r="J1293" s="24" t="str">
        <f aca="false">IF($D1293="","",IFERROR(INDEX(Workers!$C$5:$C$2004,MATCH($D1293,Workers!$A$5:$A$2004,0)),""))</f>
        <v/>
      </c>
      <c r="K1293" s="24" t="str">
        <f aca="false">IF($D1293="","",IFERROR(IF(INDEX(Workers!$D$5:$D$2004,MATCH($D1293,Workers!$A$5:$A$2004,0))=0,"",INDEX(Workers!$D$5:$D$2004,MATCH($D1293,Workers!$A$5:$A$2004,0))),""))</f>
        <v/>
      </c>
      <c r="L1293" s="24" t="str">
        <f aca="false">IF($D1293="","",IFERROR(INDEX(Workers!$E$5:$E$2004,MATCH($D1293,Workers!$A$5:$A$2004,0)),""))</f>
        <v/>
      </c>
      <c r="M1293" s="26" t="str">
        <f aca="false">IF($D1293="","",IFERROR(INDEX(ClientRates!$D$5:$D$500,MATCH($B1293&amp;"|"&amp;$L1293,ClientRates!$A$5:$A$500,0)),0))</f>
        <v/>
      </c>
      <c r="N1293" s="26" t="str">
        <f aca="false">IF($D1293="","",IFERROR(INDEX(ClientRates!$E$5:$E$500,MATCH($B1293&amp;"|"&amp;$L1293,ClientRates!$A$5:$A$500,0)),0))</f>
        <v/>
      </c>
      <c r="O1293" s="26" t="str">
        <f aca="false">IF($D1293="","",F1293*M1293+G1293*N1293)</f>
        <v/>
      </c>
      <c r="P1293" s="26" t="str">
        <f aca="false">IF(OR($D1293="",$J1293&lt;&gt;"Supplier"),"",IFERROR(INDEX(SupplierRates!$D$5:$D$500,MATCH($K1293&amp;"|"&amp;$L1293,SupplierRates!$A$5:$A$500,0)),0))</f>
        <v/>
      </c>
      <c r="Q1293" s="26" t="str">
        <f aca="false">IF(OR($D1293="",$J1293&lt;&gt;"Supplier"),"",IFERROR(INDEX(SupplierRates!$E$5:$E$500,MATCH($K1293&amp;"|"&amp;$L1293,SupplierRates!$A$5:$A$500,0)),0))</f>
        <v/>
      </c>
      <c r="R1293" s="26" t="n">
        <f aca="false">IF(OR($D1293="",$J1293&lt;&gt;"Supplier"),0,F1293*P1293+G1293*Q1293)</f>
        <v>0</v>
      </c>
      <c r="S1293" s="26" t="n">
        <f aca="false">IF(OR($D1293="",$J1293&lt;&gt;"Own"),0,IFERROR((F1293+G1293*Settings!$B$13)*INDEX(Workers!$V$5:$V$2004,MATCH($D1293,Workers!$A$5:$A$2004,0)),0))</f>
        <v>0</v>
      </c>
      <c r="T1293" s="26" t="str">
        <f aca="false">IF($D1293="","",O1293-R1293-S1293)</f>
        <v/>
      </c>
    </row>
    <row r="1294" customFormat="false" ht="15" hidden="false" customHeight="false" outlineLevel="0" collapsed="false">
      <c r="I1294" s="24" t="str">
        <f aca="false">IF($D1294="","",IFERROR(INDEX(Workers!$B$5:$B$2004,MATCH($D1294,Workers!$A$5:$A$2004,0)),"NOT FOUND"))</f>
        <v/>
      </c>
      <c r="J1294" s="24" t="str">
        <f aca="false">IF($D1294="","",IFERROR(INDEX(Workers!$C$5:$C$2004,MATCH($D1294,Workers!$A$5:$A$2004,0)),""))</f>
        <v/>
      </c>
      <c r="K1294" s="24" t="str">
        <f aca="false">IF($D1294="","",IFERROR(IF(INDEX(Workers!$D$5:$D$2004,MATCH($D1294,Workers!$A$5:$A$2004,0))=0,"",INDEX(Workers!$D$5:$D$2004,MATCH($D1294,Workers!$A$5:$A$2004,0))),""))</f>
        <v/>
      </c>
      <c r="L1294" s="24" t="str">
        <f aca="false">IF($D1294="","",IFERROR(INDEX(Workers!$E$5:$E$2004,MATCH($D1294,Workers!$A$5:$A$2004,0)),""))</f>
        <v/>
      </c>
      <c r="M1294" s="26" t="str">
        <f aca="false">IF($D1294="","",IFERROR(INDEX(ClientRates!$D$5:$D$500,MATCH($B1294&amp;"|"&amp;$L1294,ClientRates!$A$5:$A$500,0)),0))</f>
        <v/>
      </c>
      <c r="N1294" s="26" t="str">
        <f aca="false">IF($D1294="","",IFERROR(INDEX(ClientRates!$E$5:$E$500,MATCH($B1294&amp;"|"&amp;$L1294,ClientRates!$A$5:$A$500,0)),0))</f>
        <v/>
      </c>
      <c r="O1294" s="26" t="str">
        <f aca="false">IF($D1294="","",F1294*M1294+G1294*N1294)</f>
        <v/>
      </c>
      <c r="P1294" s="26" t="str">
        <f aca="false">IF(OR($D1294="",$J1294&lt;&gt;"Supplier"),"",IFERROR(INDEX(SupplierRates!$D$5:$D$500,MATCH($K1294&amp;"|"&amp;$L1294,SupplierRates!$A$5:$A$500,0)),0))</f>
        <v/>
      </c>
      <c r="Q1294" s="26" t="str">
        <f aca="false">IF(OR($D1294="",$J1294&lt;&gt;"Supplier"),"",IFERROR(INDEX(SupplierRates!$E$5:$E$500,MATCH($K1294&amp;"|"&amp;$L1294,SupplierRates!$A$5:$A$500,0)),0))</f>
        <v/>
      </c>
      <c r="R1294" s="26" t="n">
        <f aca="false">IF(OR($D1294="",$J1294&lt;&gt;"Supplier"),0,F1294*P1294+G1294*Q1294)</f>
        <v>0</v>
      </c>
      <c r="S1294" s="26" t="n">
        <f aca="false">IF(OR($D1294="",$J1294&lt;&gt;"Own"),0,IFERROR((F1294+G1294*Settings!$B$13)*INDEX(Workers!$V$5:$V$2004,MATCH($D1294,Workers!$A$5:$A$2004,0)),0))</f>
        <v>0</v>
      </c>
      <c r="T1294" s="26" t="str">
        <f aca="false">IF($D1294="","",O1294-R1294-S1294)</f>
        <v/>
      </c>
    </row>
    <row r="1295" customFormat="false" ht="15" hidden="false" customHeight="false" outlineLevel="0" collapsed="false">
      <c r="I1295" s="24" t="str">
        <f aca="false">IF($D1295="","",IFERROR(INDEX(Workers!$B$5:$B$2004,MATCH($D1295,Workers!$A$5:$A$2004,0)),"NOT FOUND"))</f>
        <v/>
      </c>
      <c r="J1295" s="24" t="str">
        <f aca="false">IF($D1295="","",IFERROR(INDEX(Workers!$C$5:$C$2004,MATCH($D1295,Workers!$A$5:$A$2004,0)),""))</f>
        <v/>
      </c>
      <c r="K1295" s="24" t="str">
        <f aca="false">IF($D1295="","",IFERROR(IF(INDEX(Workers!$D$5:$D$2004,MATCH($D1295,Workers!$A$5:$A$2004,0))=0,"",INDEX(Workers!$D$5:$D$2004,MATCH($D1295,Workers!$A$5:$A$2004,0))),""))</f>
        <v/>
      </c>
      <c r="L1295" s="24" t="str">
        <f aca="false">IF($D1295="","",IFERROR(INDEX(Workers!$E$5:$E$2004,MATCH($D1295,Workers!$A$5:$A$2004,0)),""))</f>
        <v/>
      </c>
      <c r="M1295" s="26" t="str">
        <f aca="false">IF($D1295="","",IFERROR(INDEX(ClientRates!$D$5:$D$500,MATCH($B1295&amp;"|"&amp;$L1295,ClientRates!$A$5:$A$500,0)),0))</f>
        <v/>
      </c>
      <c r="N1295" s="26" t="str">
        <f aca="false">IF($D1295="","",IFERROR(INDEX(ClientRates!$E$5:$E$500,MATCH($B1295&amp;"|"&amp;$L1295,ClientRates!$A$5:$A$500,0)),0))</f>
        <v/>
      </c>
      <c r="O1295" s="26" t="str">
        <f aca="false">IF($D1295="","",F1295*M1295+G1295*N1295)</f>
        <v/>
      </c>
      <c r="P1295" s="26" t="str">
        <f aca="false">IF(OR($D1295="",$J1295&lt;&gt;"Supplier"),"",IFERROR(INDEX(SupplierRates!$D$5:$D$500,MATCH($K1295&amp;"|"&amp;$L1295,SupplierRates!$A$5:$A$500,0)),0))</f>
        <v/>
      </c>
      <c r="Q1295" s="26" t="str">
        <f aca="false">IF(OR($D1295="",$J1295&lt;&gt;"Supplier"),"",IFERROR(INDEX(SupplierRates!$E$5:$E$500,MATCH($K1295&amp;"|"&amp;$L1295,SupplierRates!$A$5:$A$500,0)),0))</f>
        <v/>
      </c>
      <c r="R1295" s="26" t="n">
        <f aca="false">IF(OR($D1295="",$J1295&lt;&gt;"Supplier"),0,F1295*P1295+G1295*Q1295)</f>
        <v>0</v>
      </c>
      <c r="S1295" s="26" t="n">
        <f aca="false">IF(OR($D1295="",$J1295&lt;&gt;"Own"),0,IFERROR((F1295+G1295*Settings!$B$13)*INDEX(Workers!$V$5:$V$2004,MATCH($D1295,Workers!$A$5:$A$2004,0)),0))</f>
        <v>0</v>
      </c>
      <c r="T1295" s="26" t="str">
        <f aca="false">IF($D1295="","",O1295-R1295-S1295)</f>
        <v/>
      </c>
    </row>
    <row r="1296" customFormat="false" ht="15" hidden="false" customHeight="false" outlineLevel="0" collapsed="false">
      <c r="I1296" s="24" t="str">
        <f aca="false">IF($D1296="","",IFERROR(INDEX(Workers!$B$5:$B$2004,MATCH($D1296,Workers!$A$5:$A$2004,0)),"NOT FOUND"))</f>
        <v/>
      </c>
      <c r="J1296" s="24" t="str">
        <f aca="false">IF($D1296="","",IFERROR(INDEX(Workers!$C$5:$C$2004,MATCH($D1296,Workers!$A$5:$A$2004,0)),""))</f>
        <v/>
      </c>
      <c r="K1296" s="24" t="str">
        <f aca="false">IF($D1296="","",IFERROR(IF(INDEX(Workers!$D$5:$D$2004,MATCH($D1296,Workers!$A$5:$A$2004,0))=0,"",INDEX(Workers!$D$5:$D$2004,MATCH($D1296,Workers!$A$5:$A$2004,0))),""))</f>
        <v/>
      </c>
      <c r="L1296" s="24" t="str">
        <f aca="false">IF($D1296="","",IFERROR(INDEX(Workers!$E$5:$E$2004,MATCH($D1296,Workers!$A$5:$A$2004,0)),""))</f>
        <v/>
      </c>
      <c r="M1296" s="26" t="str">
        <f aca="false">IF($D1296="","",IFERROR(INDEX(ClientRates!$D$5:$D$500,MATCH($B1296&amp;"|"&amp;$L1296,ClientRates!$A$5:$A$500,0)),0))</f>
        <v/>
      </c>
      <c r="N1296" s="26" t="str">
        <f aca="false">IF($D1296="","",IFERROR(INDEX(ClientRates!$E$5:$E$500,MATCH($B1296&amp;"|"&amp;$L1296,ClientRates!$A$5:$A$500,0)),0))</f>
        <v/>
      </c>
      <c r="O1296" s="26" t="str">
        <f aca="false">IF($D1296="","",F1296*M1296+G1296*N1296)</f>
        <v/>
      </c>
      <c r="P1296" s="26" t="str">
        <f aca="false">IF(OR($D1296="",$J1296&lt;&gt;"Supplier"),"",IFERROR(INDEX(SupplierRates!$D$5:$D$500,MATCH($K1296&amp;"|"&amp;$L1296,SupplierRates!$A$5:$A$500,0)),0))</f>
        <v/>
      </c>
      <c r="Q1296" s="26" t="str">
        <f aca="false">IF(OR($D1296="",$J1296&lt;&gt;"Supplier"),"",IFERROR(INDEX(SupplierRates!$E$5:$E$500,MATCH($K1296&amp;"|"&amp;$L1296,SupplierRates!$A$5:$A$500,0)),0))</f>
        <v/>
      </c>
      <c r="R1296" s="26" t="n">
        <f aca="false">IF(OR($D1296="",$J1296&lt;&gt;"Supplier"),0,F1296*P1296+G1296*Q1296)</f>
        <v>0</v>
      </c>
      <c r="S1296" s="26" t="n">
        <f aca="false">IF(OR($D1296="",$J1296&lt;&gt;"Own"),0,IFERROR((F1296+G1296*Settings!$B$13)*INDEX(Workers!$V$5:$V$2004,MATCH($D1296,Workers!$A$5:$A$2004,0)),0))</f>
        <v>0</v>
      </c>
      <c r="T1296" s="26" t="str">
        <f aca="false">IF($D1296="","",O1296-R1296-S1296)</f>
        <v/>
      </c>
    </row>
    <row r="1297" customFormat="false" ht="15" hidden="false" customHeight="false" outlineLevel="0" collapsed="false">
      <c r="I1297" s="24" t="str">
        <f aca="false">IF($D1297="","",IFERROR(INDEX(Workers!$B$5:$B$2004,MATCH($D1297,Workers!$A$5:$A$2004,0)),"NOT FOUND"))</f>
        <v/>
      </c>
      <c r="J1297" s="24" t="str">
        <f aca="false">IF($D1297="","",IFERROR(INDEX(Workers!$C$5:$C$2004,MATCH($D1297,Workers!$A$5:$A$2004,0)),""))</f>
        <v/>
      </c>
      <c r="K1297" s="24" t="str">
        <f aca="false">IF($D1297="","",IFERROR(IF(INDEX(Workers!$D$5:$D$2004,MATCH($D1297,Workers!$A$5:$A$2004,0))=0,"",INDEX(Workers!$D$5:$D$2004,MATCH($D1297,Workers!$A$5:$A$2004,0))),""))</f>
        <v/>
      </c>
      <c r="L1297" s="24" t="str">
        <f aca="false">IF($D1297="","",IFERROR(INDEX(Workers!$E$5:$E$2004,MATCH($D1297,Workers!$A$5:$A$2004,0)),""))</f>
        <v/>
      </c>
      <c r="M1297" s="26" t="str">
        <f aca="false">IF($D1297="","",IFERROR(INDEX(ClientRates!$D$5:$D$500,MATCH($B1297&amp;"|"&amp;$L1297,ClientRates!$A$5:$A$500,0)),0))</f>
        <v/>
      </c>
      <c r="N1297" s="26" t="str">
        <f aca="false">IF($D1297="","",IFERROR(INDEX(ClientRates!$E$5:$E$500,MATCH($B1297&amp;"|"&amp;$L1297,ClientRates!$A$5:$A$500,0)),0))</f>
        <v/>
      </c>
      <c r="O1297" s="26" t="str">
        <f aca="false">IF($D1297="","",F1297*M1297+G1297*N1297)</f>
        <v/>
      </c>
      <c r="P1297" s="26" t="str">
        <f aca="false">IF(OR($D1297="",$J1297&lt;&gt;"Supplier"),"",IFERROR(INDEX(SupplierRates!$D$5:$D$500,MATCH($K1297&amp;"|"&amp;$L1297,SupplierRates!$A$5:$A$500,0)),0))</f>
        <v/>
      </c>
      <c r="Q1297" s="26" t="str">
        <f aca="false">IF(OR($D1297="",$J1297&lt;&gt;"Supplier"),"",IFERROR(INDEX(SupplierRates!$E$5:$E$500,MATCH($K1297&amp;"|"&amp;$L1297,SupplierRates!$A$5:$A$500,0)),0))</f>
        <v/>
      </c>
      <c r="R1297" s="26" t="n">
        <f aca="false">IF(OR($D1297="",$J1297&lt;&gt;"Supplier"),0,F1297*P1297+G1297*Q1297)</f>
        <v>0</v>
      </c>
      <c r="S1297" s="26" t="n">
        <f aca="false">IF(OR($D1297="",$J1297&lt;&gt;"Own"),0,IFERROR((F1297+G1297*Settings!$B$13)*INDEX(Workers!$V$5:$V$2004,MATCH($D1297,Workers!$A$5:$A$2004,0)),0))</f>
        <v>0</v>
      </c>
      <c r="T1297" s="26" t="str">
        <f aca="false">IF($D1297="","",O1297-R1297-S1297)</f>
        <v/>
      </c>
    </row>
    <row r="1298" customFormat="false" ht="15" hidden="false" customHeight="false" outlineLevel="0" collapsed="false">
      <c r="I1298" s="24" t="str">
        <f aca="false">IF($D1298="","",IFERROR(INDEX(Workers!$B$5:$B$2004,MATCH($D1298,Workers!$A$5:$A$2004,0)),"NOT FOUND"))</f>
        <v/>
      </c>
      <c r="J1298" s="24" t="str">
        <f aca="false">IF($D1298="","",IFERROR(INDEX(Workers!$C$5:$C$2004,MATCH($D1298,Workers!$A$5:$A$2004,0)),""))</f>
        <v/>
      </c>
      <c r="K1298" s="24" t="str">
        <f aca="false">IF($D1298="","",IFERROR(IF(INDEX(Workers!$D$5:$D$2004,MATCH($D1298,Workers!$A$5:$A$2004,0))=0,"",INDEX(Workers!$D$5:$D$2004,MATCH($D1298,Workers!$A$5:$A$2004,0))),""))</f>
        <v/>
      </c>
      <c r="L1298" s="24" t="str">
        <f aca="false">IF($D1298="","",IFERROR(INDEX(Workers!$E$5:$E$2004,MATCH($D1298,Workers!$A$5:$A$2004,0)),""))</f>
        <v/>
      </c>
      <c r="M1298" s="26" t="str">
        <f aca="false">IF($D1298="","",IFERROR(INDEX(ClientRates!$D$5:$D$500,MATCH($B1298&amp;"|"&amp;$L1298,ClientRates!$A$5:$A$500,0)),0))</f>
        <v/>
      </c>
      <c r="N1298" s="26" t="str">
        <f aca="false">IF($D1298="","",IFERROR(INDEX(ClientRates!$E$5:$E$500,MATCH($B1298&amp;"|"&amp;$L1298,ClientRates!$A$5:$A$500,0)),0))</f>
        <v/>
      </c>
      <c r="O1298" s="26" t="str">
        <f aca="false">IF($D1298="","",F1298*M1298+G1298*N1298)</f>
        <v/>
      </c>
      <c r="P1298" s="26" t="str">
        <f aca="false">IF(OR($D1298="",$J1298&lt;&gt;"Supplier"),"",IFERROR(INDEX(SupplierRates!$D$5:$D$500,MATCH($K1298&amp;"|"&amp;$L1298,SupplierRates!$A$5:$A$500,0)),0))</f>
        <v/>
      </c>
      <c r="Q1298" s="26" t="str">
        <f aca="false">IF(OR($D1298="",$J1298&lt;&gt;"Supplier"),"",IFERROR(INDEX(SupplierRates!$E$5:$E$500,MATCH($K1298&amp;"|"&amp;$L1298,SupplierRates!$A$5:$A$500,0)),0))</f>
        <v/>
      </c>
      <c r="R1298" s="26" t="n">
        <f aca="false">IF(OR($D1298="",$J1298&lt;&gt;"Supplier"),0,F1298*P1298+G1298*Q1298)</f>
        <v>0</v>
      </c>
      <c r="S1298" s="26" t="n">
        <f aca="false">IF(OR($D1298="",$J1298&lt;&gt;"Own"),0,IFERROR((F1298+G1298*Settings!$B$13)*INDEX(Workers!$V$5:$V$2004,MATCH($D1298,Workers!$A$5:$A$2004,0)),0))</f>
        <v>0</v>
      </c>
      <c r="T1298" s="26" t="str">
        <f aca="false">IF($D1298="","",O1298-R1298-S1298)</f>
        <v/>
      </c>
    </row>
    <row r="1299" customFormat="false" ht="15" hidden="false" customHeight="false" outlineLevel="0" collapsed="false">
      <c r="I1299" s="24" t="str">
        <f aca="false">IF($D1299="","",IFERROR(INDEX(Workers!$B$5:$B$2004,MATCH($D1299,Workers!$A$5:$A$2004,0)),"NOT FOUND"))</f>
        <v/>
      </c>
      <c r="J1299" s="24" t="str">
        <f aca="false">IF($D1299="","",IFERROR(INDEX(Workers!$C$5:$C$2004,MATCH($D1299,Workers!$A$5:$A$2004,0)),""))</f>
        <v/>
      </c>
      <c r="K1299" s="24" t="str">
        <f aca="false">IF($D1299="","",IFERROR(IF(INDEX(Workers!$D$5:$D$2004,MATCH($D1299,Workers!$A$5:$A$2004,0))=0,"",INDEX(Workers!$D$5:$D$2004,MATCH($D1299,Workers!$A$5:$A$2004,0))),""))</f>
        <v/>
      </c>
      <c r="L1299" s="24" t="str">
        <f aca="false">IF($D1299="","",IFERROR(INDEX(Workers!$E$5:$E$2004,MATCH($D1299,Workers!$A$5:$A$2004,0)),""))</f>
        <v/>
      </c>
      <c r="M1299" s="26" t="str">
        <f aca="false">IF($D1299="","",IFERROR(INDEX(ClientRates!$D$5:$D$500,MATCH($B1299&amp;"|"&amp;$L1299,ClientRates!$A$5:$A$500,0)),0))</f>
        <v/>
      </c>
      <c r="N1299" s="26" t="str">
        <f aca="false">IF($D1299="","",IFERROR(INDEX(ClientRates!$E$5:$E$500,MATCH($B1299&amp;"|"&amp;$L1299,ClientRates!$A$5:$A$500,0)),0))</f>
        <v/>
      </c>
      <c r="O1299" s="26" t="str">
        <f aca="false">IF($D1299="","",F1299*M1299+G1299*N1299)</f>
        <v/>
      </c>
      <c r="P1299" s="26" t="str">
        <f aca="false">IF(OR($D1299="",$J1299&lt;&gt;"Supplier"),"",IFERROR(INDEX(SupplierRates!$D$5:$D$500,MATCH($K1299&amp;"|"&amp;$L1299,SupplierRates!$A$5:$A$500,0)),0))</f>
        <v/>
      </c>
      <c r="Q1299" s="26" t="str">
        <f aca="false">IF(OR($D1299="",$J1299&lt;&gt;"Supplier"),"",IFERROR(INDEX(SupplierRates!$E$5:$E$500,MATCH($K1299&amp;"|"&amp;$L1299,SupplierRates!$A$5:$A$500,0)),0))</f>
        <v/>
      </c>
      <c r="R1299" s="26" t="n">
        <f aca="false">IF(OR($D1299="",$J1299&lt;&gt;"Supplier"),0,F1299*P1299+G1299*Q1299)</f>
        <v>0</v>
      </c>
      <c r="S1299" s="26" t="n">
        <f aca="false">IF(OR($D1299="",$J1299&lt;&gt;"Own"),0,IFERROR((F1299+G1299*Settings!$B$13)*INDEX(Workers!$V$5:$V$2004,MATCH($D1299,Workers!$A$5:$A$2004,0)),0))</f>
        <v>0</v>
      </c>
      <c r="T1299" s="26" t="str">
        <f aca="false">IF($D1299="","",O1299-R1299-S1299)</f>
        <v/>
      </c>
    </row>
    <row r="1300" customFormat="false" ht="15" hidden="false" customHeight="false" outlineLevel="0" collapsed="false">
      <c r="I1300" s="24" t="str">
        <f aca="false">IF($D1300="","",IFERROR(INDEX(Workers!$B$5:$B$2004,MATCH($D1300,Workers!$A$5:$A$2004,0)),"NOT FOUND"))</f>
        <v/>
      </c>
      <c r="J1300" s="24" t="str">
        <f aca="false">IF($D1300="","",IFERROR(INDEX(Workers!$C$5:$C$2004,MATCH($D1300,Workers!$A$5:$A$2004,0)),""))</f>
        <v/>
      </c>
      <c r="K1300" s="24" t="str">
        <f aca="false">IF($D1300="","",IFERROR(IF(INDEX(Workers!$D$5:$D$2004,MATCH($D1300,Workers!$A$5:$A$2004,0))=0,"",INDEX(Workers!$D$5:$D$2004,MATCH($D1300,Workers!$A$5:$A$2004,0))),""))</f>
        <v/>
      </c>
      <c r="L1300" s="24" t="str">
        <f aca="false">IF($D1300="","",IFERROR(INDEX(Workers!$E$5:$E$2004,MATCH($D1300,Workers!$A$5:$A$2004,0)),""))</f>
        <v/>
      </c>
      <c r="M1300" s="26" t="str">
        <f aca="false">IF($D1300="","",IFERROR(INDEX(ClientRates!$D$5:$D$500,MATCH($B1300&amp;"|"&amp;$L1300,ClientRates!$A$5:$A$500,0)),0))</f>
        <v/>
      </c>
      <c r="N1300" s="26" t="str">
        <f aca="false">IF($D1300="","",IFERROR(INDEX(ClientRates!$E$5:$E$500,MATCH($B1300&amp;"|"&amp;$L1300,ClientRates!$A$5:$A$500,0)),0))</f>
        <v/>
      </c>
      <c r="O1300" s="26" t="str">
        <f aca="false">IF($D1300="","",F1300*M1300+G1300*N1300)</f>
        <v/>
      </c>
      <c r="P1300" s="26" t="str">
        <f aca="false">IF(OR($D1300="",$J1300&lt;&gt;"Supplier"),"",IFERROR(INDEX(SupplierRates!$D$5:$D$500,MATCH($K1300&amp;"|"&amp;$L1300,SupplierRates!$A$5:$A$500,0)),0))</f>
        <v/>
      </c>
      <c r="Q1300" s="26" t="str">
        <f aca="false">IF(OR($D1300="",$J1300&lt;&gt;"Supplier"),"",IFERROR(INDEX(SupplierRates!$E$5:$E$500,MATCH($K1300&amp;"|"&amp;$L1300,SupplierRates!$A$5:$A$500,0)),0))</f>
        <v/>
      </c>
      <c r="R1300" s="26" t="n">
        <f aca="false">IF(OR($D1300="",$J1300&lt;&gt;"Supplier"),0,F1300*P1300+G1300*Q1300)</f>
        <v>0</v>
      </c>
      <c r="S1300" s="26" t="n">
        <f aca="false">IF(OR($D1300="",$J1300&lt;&gt;"Own"),0,IFERROR((F1300+G1300*Settings!$B$13)*INDEX(Workers!$V$5:$V$2004,MATCH($D1300,Workers!$A$5:$A$2004,0)),0))</f>
        <v>0</v>
      </c>
      <c r="T1300" s="26" t="str">
        <f aca="false">IF($D1300="","",O1300-R1300-S1300)</f>
        <v/>
      </c>
    </row>
    <row r="1301" customFormat="false" ht="15" hidden="false" customHeight="false" outlineLevel="0" collapsed="false">
      <c r="I1301" s="24" t="str">
        <f aca="false">IF($D1301="","",IFERROR(INDEX(Workers!$B$5:$B$2004,MATCH($D1301,Workers!$A$5:$A$2004,0)),"NOT FOUND"))</f>
        <v/>
      </c>
      <c r="J1301" s="24" t="str">
        <f aca="false">IF($D1301="","",IFERROR(INDEX(Workers!$C$5:$C$2004,MATCH($D1301,Workers!$A$5:$A$2004,0)),""))</f>
        <v/>
      </c>
      <c r="K1301" s="24" t="str">
        <f aca="false">IF($D1301="","",IFERROR(IF(INDEX(Workers!$D$5:$D$2004,MATCH($D1301,Workers!$A$5:$A$2004,0))=0,"",INDEX(Workers!$D$5:$D$2004,MATCH($D1301,Workers!$A$5:$A$2004,0))),""))</f>
        <v/>
      </c>
      <c r="L1301" s="24" t="str">
        <f aca="false">IF($D1301="","",IFERROR(INDEX(Workers!$E$5:$E$2004,MATCH($D1301,Workers!$A$5:$A$2004,0)),""))</f>
        <v/>
      </c>
      <c r="M1301" s="26" t="str">
        <f aca="false">IF($D1301="","",IFERROR(INDEX(ClientRates!$D$5:$D$500,MATCH($B1301&amp;"|"&amp;$L1301,ClientRates!$A$5:$A$500,0)),0))</f>
        <v/>
      </c>
      <c r="N1301" s="26" t="str">
        <f aca="false">IF($D1301="","",IFERROR(INDEX(ClientRates!$E$5:$E$500,MATCH($B1301&amp;"|"&amp;$L1301,ClientRates!$A$5:$A$500,0)),0))</f>
        <v/>
      </c>
      <c r="O1301" s="26" t="str">
        <f aca="false">IF($D1301="","",F1301*M1301+G1301*N1301)</f>
        <v/>
      </c>
      <c r="P1301" s="26" t="str">
        <f aca="false">IF(OR($D1301="",$J1301&lt;&gt;"Supplier"),"",IFERROR(INDEX(SupplierRates!$D$5:$D$500,MATCH($K1301&amp;"|"&amp;$L1301,SupplierRates!$A$5:$A$500,0)),0))</f>
        <v/>
      </c>
      <c r="Q1301" s="26" t="str">
        <f aca="false">IF(OR($D1301="",$J1301&lt;&gt;"Supplier"),"",IFERROR(INDEX(SupplierRates!$E$5:$E$500,MATCH($K1301&amp;"|"&amp;$L1301,SupplierRates!$A$5:$A$500,0)),0))</f>
        <v/>
      </c>
      <c r="R1301" s="26" t="n">
        <f aca="false">IF(OR($D1301="",$J1301&lt;&gt;"Supplier"),0,F1301*P1301+G1301*Q1301)</f>
        <v>0</v>
      </c>
      <c r="S1301" s="26" t="n">
        <f aca="false">IF(OR($D1301="",$J1301&lt;&gt;"Own"),0,IFERROR((F1301+G1301*Settings!$B$13)*INDEX(Workers!$V$5:$V$2004,MATCH($D1301,Workers!$A$5:$A$2004,0)),0))</f>
        <v>0</v>
      </c>
      <c r="T1301" s="26" t="str">
        <f aca="false">IF($D1301="","",O1301-R1301-S1301)</f>
        <v/>
      </c>
    </row>
    <row r="1302" customFormat="false" ht="15" hidden="false" customHeight="false" outlineLevel="0" collapsed="false">
      <c r="I1302" s="24" t="str">
        <f aca="false">IF($D1302="","",IFERROR(INDEX(Workers!$B$5:$B$2004,MATCH($D1302,Workers!$A$5:$A$2004,0)),"NOT FOUND"))</f>
        <v/>
      </c>
      <c r="J1302" s="24" t="str">
        <f aca="false">IF($D1302="","",IFERROR(INDEX(Workers!$C$5:$C$2004,MATCH($D1302,Workers!$A$5:$A$2004,0)),""))</f>
        <v/>
      </c>
      <c r="K1302" s="24" t="str">
        <f aca="false">IF($D1302="","",IFERROR(IF(INDEX(Workers!$D$5:$D$2004,MATCH($D1302,Workers!$A$5:$A$2004,0))=0,"",INDEX(Workers!$D$5:$D$2004,MATCH($D1302,Workers!$A$5:$A$2004,0))),""))</f>
        <v/>
      </c>
      <c r="L1302" s="24" t="str">
        <f aca="false">IF($D1302="","",IFERROR(INDEX(Workers!$E$5:$E$2004,MATCH($D1302,Workers!$A$5:$A$2004,0)),""))</f>
        <v/>
      </c>
      <c r="M1302" s="26" t="str">
        <f aca="false">IF($D1302="","",IFERROR(INDEX(ClientRates!$D$5:$D$500,MATCH($B1302&amp;"|"&amp;$L1302,ClientRates!$A$5:$A$500,0)),0))</f>
        <v/>
      </c>
      <c r="N1302" s="26" t="str">
        <f aca="false">IF($D1302="","",IFERROR(INDEX(ClientRates!$E$5:$E$500,MATCH($B1302&amp;"|"&amp;$L1302,ClientRates!$A$5:$A$500,0)),0))</f>
        <v/>
      </c>
      <c r="O1302" s="26" t="str">
        <f aca="false">IF($D1302="","",F1302*M1302+G1302*N1302)</f>
        <v/>
      </c>
      <c r="P1302" s="26" t="str">
        <f aca="false">IF(OR($D1302="",$J1302&lt;&gt;"Supplier"),"",IFERROR(INDEX(SupplierRates!$D$5:$D$500,MATCH($K1302&amp;"|"&amp;$L1302,SupplierRates!$A$5:$A$500,0)),0))</f>
        <v/>
      </c>
      <c r="Q1302" s="26" t="str">
        <f aca="false">IF(OR($D1302="",$J1302&lt;&gt;"Supplier"),"",IFERROR(INDEX(SupplierRates!$E$5:$E$500,MATCH($K1302&amp;"|"&amp;$L1302,SupplierRates!$A$5:$A$500,0)),0))</f>
        <v/>
      </c>
      <c r="R1302" s="26" t="n">
        <f aca="false">IF(OR($D1302="",$J1302&lt;&gt;"Supplier"),0,F1302*P1302+G1302*Q1302)</f>
        <v>0</v>
      </c>
      <c r="S1302" s="26" t="n">
        <f aca="false">IF(OR($D1302="",$J1302&lt;&gt;"Own"),0,IFERROR((F1302+G1302*Settings!$B$13)*INDEX(Workers!$V$5:$V$2004,MATCH($D1302,Workers!$A$5:$A$2004,0)),0))</f>
        <v>0</v>
      </c>
      <c r="T1302" s="26" t="str">
        <f aca="false">IF($D1302="","",O1302-R1302-S1302)</f>
        <v/>
      </c>
    </row>
    <row r="1303" customFormat="false" ht="15" hidden="false" customHeight="false" outlineLevel="0" collapsed="false">
      <c r="I1303" s="24" t="str">
        <f aca="false">IF($D1303="","",IFERROR(INDEX(Workers!$B$5:$B$2004,MATCH($D1303,Workers!$A$5:$A$2004,0)),"NOT FOUND"))</f>
        <v/>
      </c>
      <c r="J1303" s="24" t="str">
        <f aca="false">IF($D1303="","",IFERROR(INDEX(Workers!$C$5:$C$2004,MATCH($D1303,Workers!$A$5:$A$2004,0)),""))</f>
        <v/>
      </c>
      <c r="K1303" s="24" t="str">
        <f aca="false">IF($D1303="","",IFERROR(IF(INDEX(Workers!$D$5:$D$2004,MATCH($D1303,Workers!$A$5:$A$2004,0))=0,"",INDEX(Workers!$D$5:$D$2004,MATCH($D1303,Workers!$A$5:$A$2004,0))),""))</f>
        <v/>
      </c>
      <c r="L1303" s="24" t="str">
        <f aca="false">IF($D1303="","",IFERROR(INDEX(Workers!$E$5:$E$2004,MATCH($D1303,Workers!$A$5:$A$2004,0)),""))</f>
        <v/>
      </c>
      <c r="M1303" s="26" t="str">
        <f aca="false">IF($D1303="","",IFERROR(INDEX(ClientRates!$D$5:$D$500,MATCH($B1303&amp;"|"&amp;$L1303,ClientRates!$A$5:$A$500,0)),0))</f>
        <v/>
      </c>
      <c r="N1303" s="26" t="str">
        <f aca="false">IF($D1303="","",IFERROR(INDEX(ClientRates!$E$5:$E$500,MATCH($B1303&amp;"|"&amp;$L1303,ClientRates!$A$5:$A$500,0)),0))</f>
        <v/>
      </c>
      <c r="O1303" s="26" t="str">
        <f aca="false">IF($D1303="","",F1303*M1303+G1303*N1303)</f>
        <v/>
      </c>
      <c r="P1303" s="26" t="str">
        <f aca="false">IF(OR($D1303="",$J1303&lt;&gt;"Supplier"),"",IFERROR(INDEX(SupplierRates!$D$5:$D$500,MATCH($K1303&amp;"|"&amp;$L1303,SupplierRates!$A$5:$A$500,0)),0))</f>
        <v/>
      </c>
      <c r="Q1303" s="26" t="str">
        <f aca="false">IF(OR($D1303="",$J1303&lt;&gt;"Supplier"),"",IFERROR(INDEX(SupplierRates!$E$5:$E$500,MATCH($K1303&amp;"|"&amp;$L1303,SupplierRates!$A$5:$A$500,0)),0))</f>
        <v/>
      </c>
      <c r="R1303" s="26" t="n">
        <f aca="false">IF(OR($D1303="",$J1303&lt;&gt;"Supplier"),0,F1303*P1303+G1303*Q1303)</f>
        <v>0</v>
      </c>
      <c r="S1303" s="26" t="n">
        <f aca="false">IF(OR($D1303="",$J1303&lt;&gt;"Own"),0,IFERROR((F1303+G1303*Settings!$B$13)*INDEX(Workers!$V$5:$V$2004,MATCH($D1303,Workers!$A$5:$A$2004,0)),0))</f>
        <v>0</v>
      </c>
      <c r="T1303" s="26" t="str">
        <f aca="false">IF($D1303="","",O1303-R1303-S1303)</f>
        <v/>
      </c>
    </row>
    <row r="1304" customFormat="false" ht="15" hidden="false" customHeight="false" outlineLevel="0" collapsed="false">
      <c r="I1304" s="24" t="str">
        <f aca="false">IF($D1304="","",IFERROR(INDEX(Workers!$B$5:$B$2004,MATCH($D1304,Workers!$A$5:$A$2004,0)),"NOT FOUND"))</f>
        <v/>
      </c>
      <c r="J1304" s="24" t="str">
        <f aca="false">IF($D1304="","",IFERROR(INDEX(Workers!$C$5:$C$2004,MATCH($D1304,Workers!$A$5:$A$2004,0)),""))</f>
        <v/>
      </c>
      <c r="K1304" s="24" t="str">
        <f aca="false">IF($D1304="","",IFERROR(IF(INDEX(Workers!$D$5:$D$2004,MATCH($D1304,Workers!$A$5:$A$2004,0))=0,"",INDEX(Workers!$D$5:$D$2004,MATCH($D1304,Workers!$A$5:$A$2004,0))),""))</f>
        <v/>
      </c>
      <c r="L1304" s="24" t="str">
        <f aca="false">IF($D1304="","",IFERROR(INDEX(Workers!$E$5:$E$2004,MATCH($D1304,Workers!$A$5:$A$2004,0)),""))</f>
        <v/>
      </c>
      <c r="M1304" s="26" t="str">
        <f aca="false">IF($D1304="","",IFERROR(INDEX(ClientRates!$D$5:$D$500,MATCH($B1304&amp;"|"&amp;$L1304,ClientRates!$A$5:$A$500,0)),0))</f>
        <v/>
      </c>
      <c r="N1304" s="26" t="str">
        <f aca="false">IF($D1304="","",IFERROR(INDEX(ClientRates!$E$5:$E$500,MATCH($B1304&amp;"|"&amp;$L1304,ClientRates!$A$5:$A$500,0)),0))</f>
        <v/>
      </c>
      <c r="O1304" s="26" t="str">
        <f aca="false">IF($D1304="","",F1304*M1304+G1304*N1304)</f>
        <v/>
      </c>
      <c r="P1304" s="26" t="str">
        <f aca="false">IF(OR($D1304="",$J1304&lt;&gt;"Supplier"),"",IFERROR(INDEX(SupplierRates!$D$5:$D$500,MATCH($K1304&amp;"|"&amp;$L1304,SupplierRates!$A$5:$A$500,0)),0))</f>
        <v/>
      </c>
      <c r="Q1304" s="26" t="str">
        <f aca="false">IF(OR($D1304="",$J1304&lt;&gt;"Supplier"),"",IFERROR(INDEX(SupplierRates!$E$5:$E$500,MATCH($K1304&amp;"|"&amp;$L1304,SupplierRates!$A$5:$A$500,0)),0))</f>
        <v/>
      </c>
      <c r="R1304" s="26" t="n">
        <f aca="false">IF(OR($D1304="",$J1304&lt;&gt;"Supplier"),0,F1304*P1304+G1304*Q1304)</f>
        <v>0</v>
      </c>
      <c r="S1304" s="26" t="n">
        <f aca="false">IF(OR($D1304="",$J1304&lt;&gt;"Own"),0,IFERROR((F1304+G1304*Settings!$B$13)*INDEX(Workers!$V$5:$V$2004,MATCH($D1304,Workers!$A$5:$A$2004,0)),0))</f>
        <v>0</v>
      </c>
      <c r="T1304" s="26" t="str">
        <f aca="false">IF($D1304="","",O1304-R1304-S1304)</f>
        <v/>
      </c>
    </row>
    <row r="1305" customFormat="false" ht="15" hidden="false" customHeight="false" outlineLevel="0" collapsed="false">
      <c r="I1305" s="24" t="str">
        <f aca="false">IF($D1305="","",IFERROR(INDEX(Workers!$B$5:$B$2004,MATCH($D1305,Workers!$A$5:$A$2004,0)),"NOT FOUND"))</f>
        <v/>
      </c>
      <c r="J1305" s="24" t="str">
        <f aca="false">IF($D1305="","",IFERROR(INDEX(Workers!$C$5:$C$2004,MATCH($D1305,Workers!$A$5:$A$2004,0)),""))</f>
        <v/>
      </c>
      <c r="K1305" s="24" t="str">
        <f aca="false">IF($D1305="","",IFERROR(IF(INDEX(Workers!$D$5:$D$2004,MATCH($D1305,Workers!$A$5:$A$2004,0))=0,"",INDEX(Workers!$D$5:$D$2004,MATCH($D1305,Workers!$A$5:$A$2004,0))),""))</f>
        <v/>
      </c>
      <c r="L1305" s="24" t="str">
        <f aca="false">IF($D1305="","",IFERROR(INDEX(Workers!$E$5:$E$2004,MATCH($D1305,Workers!$A$5:$A$2004,0)),""))</f>
        <v/>
      </c>
      <c r="M1305" s="26" t="str">
        <f aca="false">IF($D1305="","",IFERROR(INDEX(ClientRates!$D$5:$D$500,MATCH($B1305&amp;"|"&amp;$L1305,ClientRates!$A$5:$A$500,0)),0))</f>
        <v/>
      </c>
      <c r="N1305" s="26" t="str">
        <f aca="false">IF($D1305="","",IFERROR(INDEX(ClientRates!$E$5:$E$500,MATCH($B1305&amp;"|"&amp;$L1305,ClientRates!$A$5:$A$500,0)),0))</f>
        <v/>
      </c>
      <c r="O1305" s="26" t="str">
        <f aca="false">IF($D1305="","",F1305*M1305+G1305*N1305)</f>
        <v/>
      </c>
      <c r="P1305" s="26" t="str">
        <f aca="false">IF(OR($D1305="",$J1305&lt;&gt;"Supplier"),"",IFERROR(INDEX(SupplierRates!$D$5:$D$500,MATCH($K1305&amp;"|"&amp;$L1305,SupplierRates!$A$5:$A$500,0)),0))</f>
        <v/>
      </c>
      <c r="Q1305" s="26" t="str">
        <f aca="false">IF(OR($D1305="",$J1305&lt;&gt;"Supplier"),"",IFERROR(INDEX(SupplierRates!$E$5:$E$500,MATCH($K1305&amp;"|"&amp;$L1305,SupplierRates!$A$5:$A$500,0)),0))</f>
        <v/>
      </c>
      <c r="R1305" s="26" t="n">
        <f aca="false">IF(OR($D1305="",$J1305&lt;&gt;"Supplier"),0,F1305*P1305+G1305*Q1305)</f>
        <v>0</v>
      </c>
      <c r="S1305" s="26" t="n">
        <f aca="false">IF(OR($D1305="",$J1305&lt;&gt;"Own"),0,IFERROR((F1305+G1305*Settings!$B$13)*INDEX(Workers!$V$5:$V$2004,MATCH($D1305,Workers!$A$5:$A$2004,0)),0))</f>
        <v>0</v>
      </c>
      <c r="T1305" s="26" t="str">
        <f aca="false">IF($D1305="","",O1305-R1305-S1305)</f>
        <v/>
      </c>
    </row>
    <row r="1306" customFormat="false" ht="15" hidden="false" customHeight="false" outlineLevel="0" collapsed="false">
      <c r="I1306" s="24" t="str">
        <f aca="false">IF($D1306="","",IFERROR(INDEX(Workers!$B$5:$B$2004,MATCH($D1306,Workers!$A$5:$A$2004,0)),"NOT FOUND"))</f>
        <v/>
      </c>
      <c r="J1306" s="24" t="str">
        <f aca="false">IF($D1306="","",IFERROR(INDEX(Workers!$C$5:$C$2004,MATCH($D1306,Workers!$A$5:$A$2004,0)),""))</f>
        <v/>
      </c>
      <c r="K1306" s="24" t="str">
        <f aca="false">IF($D1306="","",IFERROR(IF(INDEX(Workers!$D$5:$D$2004,MATCH($D1306,Workers!$A$5:$A$2004,0))=0,"",INDEX(Workers!$D$5:$D$2004,MATCH($D1306,Workers!$A$5:$A$2004,0))),""))</f>
        <v/>
      </c>
      <c r="L1306" s="24" t="str">
        <f aca="false">IF($D1306="","",IFERROR(INDEX(Workers!$E$5:$E$2004,MATCH($D1306,Workers!$A$5:$A$2004,0)),""))</f>
        <v/>
      </c>
      <c r="M1306" s="26" t="str">
        <f aca="false">IF($D1306="","",IFERROR(INDEX(ClientRates!$D$5:$D$500,MATCH($B1306&amp;"|"&amp;$L1306,ClientRates!$A$5:$A$500,0)),0))</f>
        <v/>
      </c>
      <c r="N1306" s="26" t="str">
        <f aca="false">IF($D1306="","",IFERROR(INDEX(ClientRates!$E$5:$E$500,MATCH($B1306&amp;"|"&amp;$L1306,ClientRates!$A$5:$A$500,0)),0))</f>
        <v/>
      </c>
      <c r="O1306" s="26" t="str">
        <f aca="false">IF($D1306="","",F1306*M1306+G1306*N1306)</f>
        <v/>
      </c>
      <c r="P1306" s="26" t="str">
        <f aca="false">IF(OR($D1306="",$J1306&lt;&gt;"Supplier"),"",IFERROR(INDEX(SupplierRates!$D$5:$D$500,MATCH($K1306&amp;"|"&amp;$L1306,SupplierRates!$A$5:$A$500,0)),0))</f>
        <v/>
      </c>
      <c r="Q1306" s="26" t="str">
        <f aca="false">IF(OR($D1306="",$J1306&lt;&gt;"Supplier"),"",IFERROR(INDEX(SupplierRates!$E$5:$E$500,MATCH($K1306&amp;"|"&amp;$L1306,SupplierRates!$A$5:$A$500,0)),0))</f>
        <v/>
      </c>
      <c r="R1306" s="26" t="n">
        <f aca="false">IF(OR($D1306="",$J1306&lt;&gt;"Supplier"),0,F1306*P1306+G1306*Q1306)</f>
        <v>0</v>
      </c>
      <c r="S1306" s="26" t="n">
        <f aca="false">IF(OR($D1306="",$J1306&lt;&gt;"Own"),0,IFERROR((F1306+G1306*Settings!$B$13)*INDEX(Workers!$V$5:$V$2004,MATCH($D1306,Workers!$A$5:$A$2004,0)),0))</f>
        <v>0</v>
      </c>
      <c r="T1306" s="26" t="str">
        <f aca="false">IF($D1306="","",O1306-R1306-S1306)</f>
        <v/>
      </c>
    </row>
    <row r="1307" customFormat="false" ht="15" hidden="false" customHeight="false" outlineLevel="0" collapsed="false">
      <c r="I1307" s="24" t="str">
        <f aca="false">IF($D1307="","",IFERROR(INDEX(Workers!$B$5:$B$2004,MATCH($D1307,Workers!$A$5:$A$2004,0)),"NOT FOUND"))</f>
        <v/>
      </c>
      <c r="J1307" s="24" t="str">
        <f aca="false">IF($D1307="","",IFERROR(INDEX(Workers!$C$5:$C$2004,MATCH($D1307,Workers!$A$5:$A$2004,0)),""))</f>
        <v/>
      </c>
      <c r="K1307" s="24" t="str">
        <f aca="false">IF($D1307="","",IFERROR(IF(INDEX(Workers!$D$5:$D$2004,MATCH($D1307,Workers!$A$5:$A$2004,0))=0,"",INDEX(Workers!$D$5:$D$2004,MATCH($D1307,Workers!$A$5:$A$2004,0))),""))</f>
        <v/>
      </c>
      <c r="L1307" s="24" t="str">
        <f aca="false">IF($D1307="","",IFERROR(INDEX(Workers!$E$5:$E$2004,MATCH($D1307,Workers!$A$5:$A$2004,0)),""))</f>
        <v/>
      </c>
      <c r="M1307" s="26" t="str">
        <f aca="false">IF($D1307="","",IFERROR(INDEX(ClientRates!$D$5:$D$500,MATCH($B1307&amp;"|"&amp;$L1307,ClientRates!$A$5:$A$500,0)),0))</f>
        <v/>
      </c>
      <c r="N1307" s="26" t="str">
        <f aca="false">IF($D1307="","",IFERROR(INDEX(ClientRates!$E$5:$E$500,MATCH($B1307&amp;"|"&amp;$L1307,ClientRates!$A$5:$A$500,0)),0))</f>
        <v/>
      </c>
      <c r="O1307" s="26" t="str">
        <f aca="false">IF($D1307="","",F1307*M1307+G1307*N1307)</f>
        <v/>
      </c>
      <c r="P1307" s="26" t="str">
        <f aca="false">IF(OR($D1307="",$J1307&lt;&gt;"Supplier"),"",IFERROR(INDEX(SupplierRates!$D$5:$D$500,MATCH($K1307&amp;"|"&amp;$L1307,SupplierRates!$A$5:$A$500,0)),0))</f>
        <v/>
      </c>
      <c r="Q1307" s="26" t="str">
        <f aca="false">IF(OR($D1307="",$J1307&lt;&gt;"Supplier"),"",IFERROR(INDEX(SupplierRates!$E$5:$E$500,MATCH($K1307&amp;"|"&amp;$L1307,SupplierRates!$A$5:$A$500,0)),0))</f>
        <v/>
      </c>
      <c r="R1307" s="26" t="n">
        <f aca="false">IF(OR($D1307="",$J1307&lt;&gt;"Supplier"),0,F1307*P1307+G1307*Q1307)</f>
        <v>0</v>
      </c>
      <c r="S1307" s="26" t="n">
        <f aca="false">IF(OR($D1307="",$J1307&lt;&gt;"Own"),0,IFERROR((F1307+G1307*Settings!$B$13)*INDEX(Workers!$V$5:$V$2004,MATCH($D1307,Workers!$A$5:$A$2004,0)),0))</f>
        <v>0</v>
      </c>
      <c r="T1307" s="26" t="str">
        <f aca="false">IF($D1307="","",O1307-R1307-S1307)</f>
        <v/>
      </c>
    </row>
    <row r="1308" customFormat="false" ht="15" hidden="false" customHeight="false" outlineLevel="0" collapsed="false">
      <c r="I1308" s="24" t="str">
        <f aca="false">IF($D1308="","",IFERROR(INDEX(Workers!$B$5:$B$2004,MATCH($D1308,Workers!$A$5:$A$2004,0)),"NOT FOUND"))</f>
        <v/>
      </c>
      <c r="J1308" s="24" t="str">
        <f aca="false">IF($D1308="","",IFERROR(INDEX(Workers!$C$5:$C$2004,MATCH($D1308,Workers!$A$5:$A$2004,0)),""))</f>
        <v/>
      </c>
      <c r="K1308" s="24" t="str">
        <f aca="false">IF($D1308="","",IFERROR(IF(INDEX(Workers!$D$5:$D$2004,MATCH($D1308,Workers!$A$5:$A$2004,0))=0,"",INDEX(Workers!$D$5:$D$2004,MATCH($D1308,Workers!$A$5:$A$2004,0))),""))</f>
        <v/>
      </c>
      <c r="L1308" s="24" t="str">
        <f aca="false">IF($D1308="","",IFERROR(INDEX(Workers!$E$5:$E$2004,MATCH($D1308,Workers!$A$5:$A$2004,0)),""))</f>
        <v/>
      </c>
      <c r="M1308" s="26" t="str">
        <f aca="false">IF($D1308="","",IFERROR(INDEX(ClientRates!$D$5:$D$500,MATCH($B1308&amp;"|"&amp;$L1308,ClientRates!$A$5:$A$500,0)),0))</f>
        <v/>
      </c>
      <c r="N1308" s="26" t="str">
        <f aca="false">IF($D1308="","",IFERROR(INDEX(ClientRates!$E$5:$E$500,MATCH($B1308&amp;"|"&amp;$L1308,ClientRates!$A$5:$A$500,0)),0))</f>
        <v/>
      </c>
      <c r="O1308" s="26" t="str">
        <f aca="false">IF($D1308="","",F1308*M1308+G1308*N1308)</f>
        <v/>
      </c>
      <c r="P1308" s="26" t="str">
        <f aca="false">IF(OR($D1308="",$J1308&lt;&gt;"Supplier"),"",IFERROR(INDEX(SupplierRates!$D$5:$D$500,MATCH($K1308&amp;"|"&amp;$L1308,SupplierRates!$A$5:$A$500,0)),0))</f>
        <v/>
      </c>
      <c r="Q1308" s="26" t="str">
        <f aca="false">IF(OR($D1308="",$J1308&lt;&gt;"Supplier"),"",IFERROR(INDEX(SupplierRates!$E$5:$E$500,MATCH($K1308&amp;"|"&amp;$L1308,SupplierRates!$A$5:$A$500,0)),0))</f>
        <v/>
      </c>
      <c r="R1308" s="26" t="n">
        <f aca="false">IF(OR($D1308="",$J1308&lt;&gt;"Supplier"),0,F1308*P1308+G1308*Q1308)</f>
        <v>0</v>
      </c>
      <c r="S1308" s="26" t="n">
        <f aca="false">IF(OR($D1308="",$J1308&lt;&gt;"Own"),0,IFERROR((F1308+G1308*Settings!$B$13)*INDEX(Workers!$V$5:$V$2004,MATCH($D1308,Workers!$A$5:$A$2004,0)),0))</f>
        <v>0</v>
      </c>
      <c r="T1308" s="26" t="str">
        <f aca="false">IF($D1308="","",O1308-R1308-S1308)</f>
        <v/>
      </c>
    </row>
    <row r="1309" customFormat="false" ht="15" hidden="false" customHeight="false" outlineLevel="0" collapsed="false">
      <c r="I1309" s="24" t="str">
        <f aca="false">IF($D1309="","",IFERROR(INDEX(Workers!$B$5:$B$2004,MATCH($D1309,Workers!$A$5:$A$2004,0)),"NOT FOUND"))</f>
        <v/>
      </c>
      <c r="J1309" s="24" t="str">
        <f aca="false">IF($D1309="","",IFERROR(INDEX(Workers!$C$5:$C$2004,MATCH($D1309,Workers!$A$5:$A$2004,0)),""))</f>
        <v/>
      </c>
      <c r="K1309" s="24" t="str">
        <f aca="false">IF($D1309="","",IFERROR(IF(INDEX(Workers!$D$5:$D$2004,MATCH($D1309,Workers!$A$5:$A$2004,0))=0,"",INDEX(Workers!$D$5:$D$2004,MATCH($D1309,Workers!$A$5:$A$2004,0))),""))</f>
        <v/>
      </c>
      <c r="L1309" s="24" t="str">
        <f aca="false">IF($D1309="","",IFERROR(INDEX(Workers!$E$5:$E$2004,MATCH($D1309,Workers!$A$5:$A$2004,0)),""))</f>
        <v/>
      </c>
      <c r="M1309" s="26" t="str">
        <f aca="false">IF($D1309="","",IFERROR(INDEX(ClientRates!$D$5:$D$500,MATCH($B1309&amp;"|"&amp;$L1309,ClientRates!$A$5:$A$500,0)),0))</f>
        <v/>
      </c>
      <c r="N1309" s="26" t="str">
        <f aca="false">IF($D1309="","",IFERROR(INDEX(ClientRates!$E$5:$E$500,MATCH($B1309&amp;"|"&amp;$L1309,ClientRates!$A$5:$A$500,0)),0))</f>
        <v/>
      </c>
      <c r="O1309" s="26" t="str">
        <f aca="false">IF($D1309="","",F1309*M1309+G1309*N1309)</f>
        <v/>
      </c>
      <c r="P1309" s="26" t="str">
        <f aca="false">IF(OR($D1309="",$J1309&lt;&gt;"Supplier"),"",IFERROR(INDEX(SupplierRates!$D$5:$D$500,MATCH($K1309&amp;"|"&amp;$L1309,SupplierRates!$A$5:$A$500,0)),0))</f>
        <v/>
      </c>
      <c r="Q1309" s="26" t="str">
        <f aca="false">IF(OR($D1309="",$J1309&lt;&gt;"Supplier"),"",IFERROR(INDEX(SupplierRates!$E$5:$E$500,MATCH($K1309&amp;"|"&amp;$L1309,SupplierRates!$A$5:$A$500,0)),0))</f>
        <v/>
      </c>
      <c r="R1309" s="26" t="n">
        <f aca="false">IF(OR($D1309="",$J1309&lt;&gt;"Supplier"),0,F1309*P1309+G1309*Q1309)</f>
        <v>0</v>
      </c>
      <c r="S1309" s="26" t="n">
        <f aca="false">IF(OR($D1309="",$J1309&lt;&gt;"Own"),0,IFERROR((F1309+G1309*Settings!$B$13)*INDEX(Workers!$V$5:$V$2004,MATCH($D1309,Workers!$A$5:$A$2004,0)),0))</f>
        <v>0</v>
      </c>
      <c r="T1309" s="26" t="str">
        <f aca="false">IF($D1309="","",O1309-R1309-S1309)</f>
        <v/>
      </c>
    </row>
    <row r="1310" customFormat="false" ht="15" hidden="false" customHeight="false" outlineLevel="0" collapsed="false">
      <c r="I1310" s="24" t="str">
        <f aca="false">IF($D1310="","",IFERROR(INDEX(Workers!$B$5:$B$2004,MATCH($D1310,Workers!$A$5:$A$2004,0)),"NOT FOUND"))</f>
        <v/>
      </c>
      <c r="J1310" s="24" t="str">
        <f aca="false">IF($D1310="","",IFERROR(INDEX(Workers!$C$5:$C$2004,MATCH($D1310,Workers!$A$5:$A$2004,0)),""))</f>
        <v/>
      </c>
      <c r="K1310" s="24" t="str">
        <f aca="false">IF($D1310="","",IFERROR(IF(INDEX(Workers!$D$5:$D$2004,MATCH($D1310,Workers!$A$5:$A$2004,0))=0,"",INDEX(Workers!$D$5:$D$2004,MATCH($D1310,Workers!$A$5:$A$2004,0))),""))</f>
        <v/>
      </c>
      <c r="L1310" s="24" t="str">
        <f aca="false">IF($D1310="","",IFERROR(INDEX(Workers!$E$5:$E$2004,MATCH($D1310,Workers!$A$5:$A$2004,0)),""))</f>
        <v/>
      </c>
      <c r="M1310" s="26" t="str">
        <f aca="false">IF($D1310="","",IFERROR(INDEX(ClientRates!$D$5:$D$500,MATCH($B1310&amp;"|"&amp;$L1310,ClientRates!$A$5:$A$500,0)),0))</f>
        <v/>
      </c>
      <c r="N1310" s="26" t="str">
        <f aca="false">IF($D1310="","",IFERROR(INDEX(ClientRates!$E$5:$E$500,MATCH($B1310&amp;"|"&amp;$L1310,ClientRates!$A$5:$A$500,0)),0))</f>
        <v/>
      </c>
      <c r="O1310" s="26" t="str">
        <f aca="false">IF($D1310="","",F1310*M1310+G1310*N1310)</f>
        <v/>
      </c>
      <c r="P1310" s="26" t="str">
        <f aca="false">IF(OR($D1310="",$J1310&lt;&gt;"Supplier"),"",IFERROR(INDEX(SupplierRates!$D$5:$D$500,MATCH($K1310&amp;"|"&amp;$L1310,SupplierRates!$A$5:$A$500,0)),0))</f>
        <v/>
      </c>
      <c r="Q1310" s="26" t="str">
        <f aca="false">IF(OR($D1310="",$J1310&lt;&gt;"Supplier"),"",IFERROR(INDEX(SupplierRates!$E$5:$E$500,MATCH($K1310&amp;"|"&amp;$L1310,SupplierRates!$A$5:$A$500,0)),0))</f>
        <v/>
      </c>
      <c r="R1310" s="26" t="n">
        <f aca="false">IF(OR($D1310="",$J1310&lt;&gt;"Supplier"),0,F1310*P1310+G1310*Q1310)</f>
        <v>0</v>
      </c>
      <c r="S1310" s="26" t="n">
        <f aca="false">IF(OR($D1310="",$J1310&lt;&gt;"Own"),0,IFERROR((F1310+G1310*Settings!$B$13)*INDEX(Workers!$V$5:$V$2004,MATCH($D1310,Workers!$A$5:$A$2004,0)),0))</f>
        <v>0</v>
      </c>
      <c r="T1310" s="26" t="str">
        <f aca="false">IF($D1310="","",O1310-R1310-S1310)</f>
        <v/>
      </c>
    </row>
    <row r="1311" customFormat="false" ht="15" hidden="false" customHeight="false" outlineLevel="0" collapsed="false">
      <c r="I1311" s="24" t="str">
        <f aca="false">IF($D1311="","",IFERROR(INDEX(Workers!$B$5:$B$2004,MATCH($D1311,Workers!$A$5:$A$2004,0)),"NOT FOUND"))</f>
        <v/>
      </c>
      <c r="J1311" s="24" t="str">
        <f aca="false">IF($D1311="","",IFERROR(INDEX(Workers!$C$5:$C$2004,MATCH($D1311,Workers!$A$5:$A$2004,0)),""))</f>
        <v/>
      </c>
      <c r="K1311" s="24" t="str">
        <f aca="false">IF($D1311="","",IFERROR(IF(INDEX(Workers!$D$5:$D$2004,MATCH($D1311,Workers!$A$5:$A$2004,0))=0,"",INDEX(Workers!$D$5:$D$2004,MATCH($D1311,Workers!$A$5:$A$2004,0))),""))</f>
        <v/>
      </c>
      <c r="L1311" s="24" t="str">
        <f aca="false">IF($D1311="","",IFERROR(INDEX(Workers!$E$5:$E$2004,MATCH($D1311,Workers!$A$5:$A$2004,0)),""))</f>
        <v/>
      </c>
      <c r="M1311" s="26" t="str">
        <f aca="false">IF($D1311="","",IFERROR(INDEX(ClientRates!$D$5:$D$500,MATCH($B1311&amp;"|"&amp;$L1311,ClientRates!$A$5:$A$500,0)),0))</f>
        <v/>
      </c>
      <c r="N1311" s="26" t="str">
        <f aca="false">IF($D1311="","",IFERROR(INDEX(ClientRates!$E$5:$E$500,MATCH($B1311&amp;"|"&amp;$L1311,ClientRates!$A$5:$A$500,0)),0))</f>
        <v/>
      </c>
      <c r="O1311" s="26" t="str">
        <f aca="false">IF($D1311="","",F1311*M1311+G1311*N1311)</f>
        <v/>
      </c>
      <c r="P1311" s="26" t="str">
        <f aca="false">IF(OR($D1311="",$J1311&lt;&gt;"Supplier"),"",IFERROR(INDEX(SupplierRates!$D$5:$D$500,MATCH($K1311&amp;"|"&amp;$L1311,SupplierRates!$A$5:$A$500,0)),0))</f>
        <v/>
      </c>
      <c r="Q1311" s="26" t="str">
        <f aca="false">IF(OR($D1311="",$J1311&lt;&gt;"Supplier"),"",IFERROR(INDEX(SupplierRates!$E$5:$E$500,MATCH($K1311&amp;"|"&amp;$L1311,SupplierRates!$A$5:$A$500,0)),0))</f>
        <v/>
      </c>
      <c r="R1311" s="26" t="n">
        <f aca="false">IF(OR($D1311="",$J1311&lt;&gt;"Supplier"),0,F1311*P1311+G1311*Q1311)</f>
        <v>0</v>
      </c>
      <c r="S1311" s="26" t="n">
        <f aca="false">IF(OR($D1311="",$J1311&lt;&gt;"Own"),0,IFERROR((F1311+G1311*Settings!$B$13)*INDEX(Workers!$V$5:$V$2004,MATCH($D1311,Workers!$A$5:$A$2004,0)),0))</f>
        <v>0</v>
      </c>
      <c r="T1311" s="26" t="str">
        <f aca="false">IF($D1311="","",O1311-R1311-S1311)</f>
        <v/>
      </c>
    </row>
    <row r="1312" customFormat="false" ht="15" hidden="false" customHeight="false" outlineLevel="0" collapsed="false">
      <c r="I1312" s="24" t="str">
        <f aca="false">IF($D1312="","",IFERROR(INDEX(Workers!$B$5:$B$2004,MATCH($D1312,Workers!$A$5:$A$2004,0)),"NOT FOUND"))</f>
        <v/>
      </c>
      <c r="J1312" s="24" t="str">
        <f aca="false">IF($D1312="","",IFERROR(INDEX(Workers!$C$5:$C$2004,MATCH($D1312,Workers!$A$5:$A$2004,0)),""))</f>
        <v/>
      </c>
      <c r="K1312" s="24" t="str">
        <f aca="false">IF($D1312="","",IFERROR(IF(INDEX(Workers!$D$5:$D$2004,MATCH($D1312,Workers!$A$5:$A$2004,0))=0,"",INDEX(Workers!$D$5:$D$2004,MATCH($D1312,Workers!$A$5:$A$2004,0))),""))</f>
        <v/>
      </c>
      <c r="L1312" s="24" t="str">
        <f aca="false">IF($D1312="","",IFERROR(INDEX(Workers!$E$5:$E$2004,MATCH($D1312,Workers!$A$5:$A$2004,0)),""))</f>
        <v/>
      </c>
      <c r="M1312" s="26" t="str">
        <f aca="false">IF($D1312="","",IFERROR(INDEX(ClientRates!$D$5:$D$500,MATCH($B1312&amp;"|"&amp;$L1312,ClientRates!$A$5:$A$500,0)),0))</f>
        <v/>
      </c>
      <c r="N1312" s="26" t="str">
        <f aca="false">IF($D1312="","",IFERROR(INDEX(ClientRates!$E$5:$E$500,MATCH($B1312&amp;"|"&amp;$L1312,ClientRates!$A$5:$A$500,0)),0))</f>
        <v/>
      </c>
      <c r="O1312" s="26" t="str">
        <f aca="false">IF($D1312="","",F1312*M1312+G1312*N1312)</f>
        <v/>
      </c>
      <c r="P1312" s="26" t="str">
        <f aca="false">IF(OR($D1312="",$J1312&lt;&gt;"Supplier"),"",IFERROR(INDEX(SupplierRates!$D$5:$D$500,MATCH($K1312&amp;"|"&amp;$L1312,SupplierRates!$A$5:$A$500,0)),0))</f>
        <v/>
      </c>
      <c r="Q1312" s="26" t="str">
        <f aca="false">IF(OR($D1312="",$J1312&lt;&gt;"Supplier"),"",IFERROR(INDEX(SupplierRates!$E$5:$E$500,MATCH($K1312&amp;"|"&amp;$L1312,SupplierRates!$A$5:$A$500,0)),0))</f>
        <v/>
      </c>
      <c r="R1312" s="26" t="n">
        <f aca="false">IF(OR($D1312="",$J1312&lt;&gt;"Supplier"),0,F1312*P1312+G1312*Q1312)</f>
        <v>0</v>
      </c>
      <c r="S1312" s="26" t="n">
        <f aca="false">IF(OR($D1312="",$J1312&lt;&gt;"Own"),0,IFERROR((F1312+G1312*Settings!$B$13)*INDEX(Workers!$V$5:$V$2004,MATCH($D1312,Workers!$A$5:$A$2004,0)),0))</f>
        <v>0</v>
      </c>
      <c r="T1312" s="26" t="str">
        <f aca="false">IF($D1312="","",O1312-R1312-S1312)</f>
        <v/>
      </c>
    </row>
    <row r="1313" customFormat="false" ht="15" hidden="false" customHeight="false" outlineLevel="0" collapsed="false">
      <c r="I1313" s="24" t="str">
        <f aca="false">IF($D1313="","",IFERROR(INDEX(Workers!$B$5:$B$2004,MATCH($D1313,Workers!$A$5:$A$2004,0)),"NOT FOUND"))</f>
        <v/>
      </c>
      <c r="J1313" s="24" t="str">
        <f aca="false">IF($D1313="","",IFERROR(INDEX(Workers!$C$5:$C$2004,MATCH($D1313,Workers!$A$5:$A$2004,0)),""))</f>
        <v/>
      </c>
      <c r="K1313" s="24" t="str">
        <f aca="false">IF($D1313="","",IFERROR(IF(INDEX(Workers!$D$5:$D$2004,MATCH($D1313,Workers!$A$5:$A$2004,0))=0,"",INDEX(Workers!$D$5:$D$2004,MATCH($D1313,Workers!$A$5:$A$2004,0))),""))</f>
        <v/>
      </c>
      <c r="L1313" s="24" t="str">
        <f aca="false">IF($D1313="","",IFERROR(INDEX(Workers!$E$5:$E$2004,MATCH($D1313,Workers!$A$5:$A$2004,0)),""))</f>
        <v/>
      </c>
      <c r="M1313" s="26" t="str">
        <f aca="false">IF($D1313="","",IFERROR(INDEX(ClientRates!$D$5:$D$500,MATCH($B1313&amp;"|"&amp;$L1313,ClientRates!$A$5:$A$500,0)),0))</f>
        <v/>
      </c>
      <c r="N1313" s="26" t="str">
        <f aca="false">IF($D1313="","",IFERROR(INDEX(ClientRates!$E$5:$E$500,MATCH($B1313&amp;"|"&amp;$L1313,ClientRates!$A$5:$A$500,0)),0))</f>
        <v/>
      </c>
      <c r="O1313" s="26" t="str">
        <f aca="false">IF($D1313="","",F1313*M1313+G1313*N1313)</f>
        <v/>
      </c>
      <c r="P1313" s="26" t="str">
        <f aca="false">IF(OR($D1313="",$J1313&lt;&gt;"Supplier"),"",IFERROR(INDEX(SupplierRates!$D$5:$D$500,MATCH($K1313&amp;"|"&amp;$L1313,SupplierRates!$A$5:$A$500,0)),0))</f>
        <v/>
      </c>
      <c r="Q1313" s="26" t="str">
        <f aca="false">IF(OR($D1313="",$J1313&lt;&gt;"Supplier"),"",IFERROR(INDEX(SupplierRates!$E$5:$E$500,MATCH($K1313&amp;"|"&amp;$L1313,SupplierRates!$A$5:$A$500,0)),0))</f>
        <v/>
      </c>
      <c r="R1313" s="26" t="n">
        <f aca="false">IF(OR($D1313="",$J1313&lt;&gt;"Supplier"),0,F1313*P1313+G1313*Q1313)</f>
        <v>0</v>
      </c>
      <c r="S1313" s="26" t="n">
        <f aca="false">IF(OR($D1313="",$J1313&lt;&gt;"Own"),0,IFERROR((F1313+G1313*Settings!$B$13)*INDEX(Workers!$V$5:$V$2004,MATCH($D1313,Workers!$A$5:$A$2004,0)),0))</f>
        <v>0</v>
      </c>
      <c r="T1313" s="26" t="str">
        <f aca="false">IF($D1313="","",O1313-R1313-S1313)</f>
        <v/>
      </c>
    </row>
    <row r="1314" customFormat="false" ht="15" hidden="false" customHeight="false" outlineLevel="0" collapsed="false">
      <c r="I1314" s="24" t="str">
        <f aca="false">IF($D1314="","",IFERROR(INDEX(Workers!$B$5:$B$2004,MATCH($D1314,Workers!$A$5:$A$2004,0)),"NOT FOUND"))</f>
        <v/>
      </c>
      <c r="J1314" s="24" t="str">
        <f aca="false">IF($D1314="","",IFERROR(INDEX(Workers!$C$5:$C$2004,MATCH($D1314,Workers!$A$5:$A$2004,0)),""))</f>
        <v/>
      </c>
      <c r="K1314" s="24" t="str">
        <f aca="false">IF($D1314="","",IFERROR(IF(INDEX(Workers!$D$5:$D$2004,MATCH($D1314,Workers!$A$5:$A$2004,0))=0,"",INDEX(Workers!$D$5:$D$2004,MATCH($D1314,Workers!$A$5:$A$2004,0))),""))</f>
        <v/>
      </c>
      <c r="L1314" s="24" t="str">
        <f aca="false">IF($D1314="","",IFERROR(INDEX(Workers!$E$5:$E$2004,MATCH($D1314,Workers!$A$5:$A$2004,0)),""))</f>
        <v/>
      </c>
      <c r="M1314" s="26" t="str">
        <f aca="false">IF($D1314="","",IFERROR(INDEX(ClientRates!$D$5:$D$500,MATCH($B1314&amp;"|"&amp;$L1314,ClientRates!$A$5:$A$500,0)),0))</f>
        <v/>
      </c>
      <c r="N1314" s="26" t="str">
        <f aca="false">IF($D1314="","",IFERROR(INDEX(ClientRates!$E$5:$E$500,MATCH($B1314&amp;"|"&amp;$L1314,ClientRates!$A$5:$A$500,0)),0))</f>
        <v/>
      </c>
      <c r="O1314" s="26" t="str">
        <f aca="false">IF($D1314="","",F1314*M1314+G1314*N1314)</f>
        <v/>
      </c>
      <c r="P1314" s="26" t="str">
        <f aca="false">IF(OR($D1314="",$J1314&lt;&gt;"Supplier"),"",IFERROR(INDEX(SupplierRates!$D$5:$D$500,MATCH($K1314&amp;"|"&amp;$L1314,SupplierRates!$A$5:$A$500,0)),0))</f>
        <v/>
      </c>
      <c r="Q1314" s="26" t="str">
        <f aca="false">IF(OR($D1314="",$J1314&lt;&gt;"Supplier"),"",IFERROR(INDEX(SupplierRates!$E$5:$E$500,MATCH($K1314&amp;"|"&amp;$L1314,SupplierRates!$A$5:$A$500,0)),0))</f>
        <v/>
      </c>
      <c r="R1314" s="26" t="n">
        <f aca="false">IF(OR($D1314="",$J1314&lt;&gt;"Supplier"),0,F1314*P1314+G1314*Q1314)</f>
        <v>0</v>
      </c>
      <c r="S1314" s="26" t="n">
        <f aca="false">IF(OR($D1314="",$J1314&lt;&gt;"Own"),0,IFERROR((F1314+G1314*Settings!$B$13)*INDEX(Workers!$V$5:$V$2004,MATCH($D1314,Workers!$A$5:$A$2004,0)),0))</f>
        <v>0</v>
      </c>
      <c r="T1314" s="26" t="str">
        <f aca="false">IF($D1314="","",O1314-R1314-S1314)</f>
        <v/>
      </c>
    </row>
    <row r="1315" customFormat="false" ht="15" hidden="false" customHeight="false" outlineLevel="0" collapsed="false">
      <c r="I1315" s="24" t="str">
        <f aca="false">IF($D1315="","",IFERROR(INDEX(Workers!$B$5:$B$2004,MATCH($D1315,Workers!$A$5:$A$2004,0)),"NOT FOUND"))</f>
        <v/>
      </c>
      <c r="J1315" s="24" t="str">
        <f aca="false">IF($D1315="","",IFERROR(INDEX(Workers!$C$5:$C$2004,MATCH($D1315,Workers!$A$5:$A$2004,0)),""))</f>
        <v/>
      </c>
      <c r="K1315" s="24" t="str">
        <f aca="false">IF($D1315="","",IFERROR(IF(INDEX(Workers!$D$5:$D$2004,MATCH($D1315,Workers!$A$5:$A$2004,0))=0,"",INDEX(Workers!$D$5:$D$2004,MATCH($D1315,Workers!$A$5:$A$2004,0))),""))</f>
        <v/>
      </c>
      <c r="L1315" s="24" t="str">
        <f aca="false">IF($D1315="","",IFERROR(INDEX(Workers!$E$5:$E$2004,MATCH($D1315,Workers!$A$5:$A$2004,0)),""))</f>
        <v/>
      </c>
      <c r="M1315" s="26" t="str">
        <f aca="false">IF($D1315="","",IFERROR(INDEX(ClientRates!$D$5:$D$500,MATCH($B1315&amp;"|"&amp;$L1315,ClientRates!$A$5:$A$500,0)),0))</f>
        <v/>
      </c>
      <c r="N1315" s="26" t="str">
        <f aca="false">IF($D1315="","",IFERROR(INDEX(ClientRates!$E$5:$E$500,MATCH($B1315&amp;"|"&amp;$L1315,ClientRates!$A$5:$A$500,0)),0))</f>
        <v/>
      </c>
      <c r="O1315" s="26" t="str">
        <f aca="false">IF($D1315="","",F1315*M1315+G1315*N1315)</f>
        <v/>
      </c>
      <c r="P1315" s="26" t="str">
        <f aca="false">IF(OR($D1315="",$J1315&lt;&gt;"Supplier"),"",IFERROR(INDEX(SupplierRates!$D$5:$D$500,MATCH($K1315&amp;"|"&amp;$L1315,SupplierRates!$A$5:$A$500,0)),0))</f>
        <v/>
      </c>
      <c r="Q1315" s="26" t="str">
        <f aca="false">IF(OR($D1315="",$J1315&lt;&gt;"Supplier"),"",IFERROR(INDEX(SupplierRates!$E$5:$E$500,MATCH($K1315&amp;"|"&amp;$L1315,SupplierRates!$A$5:$A$500,0)),0))</f>
        <v/>
      </c>
      <c r="R1315" s="26" t="n">
        <f aca="false">IF(OR($D1315="",$J1315&lt;&gt;"Supplier"),0,F1315*P1315+G1315*Q1315)</f>
        <v>0</v>
      </c>
      <c r="S1315" s="26" t="n">
        <f aca="false">IF(OR($D1315="",$J1315&lt;&gt;"Own"),0,IFERROR((F1315+G1315*Settings!$B$13)*INDEX(Workers!$V$5:$V$2004,MATCH($D1315,Workers!$A$5:$A$2004,0)),0))</f>
        <v>0</v>
      </c>
      <c r="T1315" s="26" t="str">
        <f aca="false">IF($D1315="","",O1315-R1315-S1315)</f>
        <v/>
      </c>
    </row>
    <row r="1316" customFormat="false" ht="15" hidden="false" customHeight="false" outlineLevel="0" collapsed="false">
      <c r="I1316" s="24" t="str">
        <f aca="false">IF($D1316="","",IFERROR(INDEX(Workers!$B$5:$B$2004,MATCH($D1316,Workers!$A$5:$A$2004,0)),"NOT FOUND"))</f>
        <v/>
      </c>
      <c r="J1316" s="24" t="str">
        <f aca="false">IF($D1316="","",IFERROR(INDEX(Workers!$C$5:$C$2004,MATCH($D1316,Workers!$A$5:$A$2004,0)),""))</f>
        <v/>
      </c>
      <c r="K1316" s="24" t="str">
        <f aca="false">IF($D1316="","",IFERROR(IF(INDEX(Workers!$D$5:$D$2004,MATCH($D1316,Workers!$A$5:$A$2004,0))=0,"",INDEX(Workers!$D$5:$D$2004,MATCH($D1316,Workers!$A$5:$A$2004,0))),""))</f>
        <v/>
      </c>
      <c r="L1316" s="24" t="str">
        <f aca="false">IF($D1316="","",IFERROR(INDEX(Workers!$E$5:$E$2004,MATCH($D1316,Workers!$A$5:$A$2004,0)),""))</f>
        <v/>
      </c>
      <c r="M1316" s="26" t="str">
        <f aca="false">IF($D1316="","",IFERROR(INDEX(ClientRates!$D$5:$D$500,MATCH($B1316&amp;"|"&amp;$L1316,ClientRates!$A$5:$A$500,0)),0))</f>
        <v/>
      </c>
      <c r="N1316" s="26" t="str">
        <f aca="false">IF($D1316="","",IFERROR(INDEX(ClientRates!$E$5:$E$500,MATCH($B1316&amp;"|"&amp;$L1316,ClientRates!$A$5:$A$500,0)),0))</f>
        <v/>
      </c>
      <c r="O1316" s="26" t="str">
        <f aca="false">IF($D1316="","",F1316*M1316+G1316*N1316)</f>
        <v/>
      </c>
      <c r="P1316" s="26" t="str">
        <f aca="false">IF(OR($D1316="",$J1316&lt;&gt;"Supplier"),"",IFERROR(INDEX(SupplierRates!$D$5:$D$500,MATCH($K1316&amp;"|"&amp;$L1316,SupplierRates!$A$5:$A$500,0)),0))</f>
        <v/>
      </c>
      <c r="Q1316" s="26" t="str">
        <f aca="false">IF(OR($D1316="",$J1316&lt;&gt;"Supplier"),"",IFERROR(INDEX(SupplierRates!$E$5:$E$500,MATCH($K1316&amp;"|"&amp;$L1316,SupplierRates!$A$5:$A$500,0)),0))</f>
        <v/>
      </c>
      <c r="R1316" s="26" t="n">
        <f aca="false">IF(OR($D1316="",$J1316&lt;&gt;"Supplier"),0,F1316*P1316+G1316*Q1316)</f>
        <v>0</v>
      </c>
      <c r="S1316" s="26" t="n">
        <f aca="false">IF(OR($D1316="",$J1316&lt;&gt;"Own"),0,IFERROR((F1316+G1316*Settings!$B$13)*INDEX(Workers!$V$5:$V$2004,MATCH($D1316,Workers!$A$5:$A$2004,0)),0))</f>
        <v>0</v>
      </c>
      <c r="T1316" s="26" t="str">
        <f aca="false">IF($D1316="","",O1316-R1316-S1316)</f>
        <v/>
      </c>
    </row>
    <row r="1317" customFormat="false" ht="15" hidden="false" customHeight="false" outlineLevel="0" collapsed="false">
      <c r="I1317" s="24" t="str">
        <f aca="false">IF($D1317="","",IFERROR(INDEX(Workers!$B$5:$B$2004,MATCH($D1317,Workers!$A$5:$A$2004,0)),"NOT FOUND"))</f>
        <v/>
      </c>
      <c r="J1317" s="24" t="str">
        <f aca="false">IF($D1317="","",IFERROR(INDEX(Workers!$C$5:$C$2004,MATCH($D1317,Workers!$A$5:$A$2004,0)),""))</f>
        <v/>
      </c>
      <c r="K1317" s="24" t="str">
        <f aca="false">IF($D1317="","",IFERROR(IF(INDEX(Workers!$D$5:$D$2004,MATCH($D1317,Workers!$A$5:$A$2004,0))=0,"",INDEX(Workers!$D$5:$D$2004,MATCH($D1317,Workers!$A$5:$A$2004,0))),""))</f>
        <v/>
      </c>
      <c r="L1317" s="24" t="str">
        <f aca="false">IF($D1317="","",IFERROR(INDEX(Workers!$E$5:$E$2004,MATCH($D1317,Workers!$A$5:$A$2004,0)),""))</f>
        <v/>
      </c>
      <c r="M1317" s="26" t="str">
        <f aca="false">IF($D1317="","",IFERROR(INDEX(ClientRates!$D$5:$D$500,MATCH($B1317&amp;"|"&amp;$L1317,ClientRates!$A$5:$A$500,0)),0))</f>
        <v/>
      </c>
      <c r="N1317" s="26" t="str">
        <f aca="false">IF($D1317="","",IFERROR(INDEX(ClientRates!$E$5:$E$500,MATCH($B1317&amp;"|"&amp;$L1317,ClientRates!$A$5:$A$500,0)),0))</f>
        <v/>
      </c>
      <c r="O1317" s="26" t="str">
        <f aca="false">IF($D1317="","",F1317*M1317+G1317*N1317)</f>
        <v/>
      </c>
      <c r="P1317" s="26" t="str">
        <f aca="false">IF(OR($D1317="",$J1317&lt;&gt;"Supplier"),"",IFERROR(INDEX(SupplierRates!$D$5:$D$500,MATCH($K1317&amp;"|"&amp;$L1317,SupplierRates!$A$5:$A$500,0)),0))</f>
        <v/>
      </c>
      <c r="Q1317" s="26" t="str">
        <f aca="false">IF(OR($D1317="",$J1317&lt;&gt;"Supplier"),"",IFERROR(INDEX(SupplierRates!$E$5:$E$500,MATCH($K1317&amp;"|"&amp;$L1317,SupplierRates!$A$5:$A$500,0)),0))</f>
        <v/>
      </c>
      <c r="R1317" s="26" t="n">
        <f aca="false">IF(OR($D1317="",$J1317&lt;&gt;"Supplier"),0,F1317*P1317+G1317*Q1317)</f>
        <v>0</v>
      </c>
      <c r="S1317" s="26" t="n">
        <f aca="false">IF(OR($D1317="",$J1317&lt;&gt;"Own"),0,IFERROR((F1317+G1317*Settings!$B$13)*INDEX(Workers!$V$5:$V$2004,MATCH($D1317,Workers!$A$5:$A$2004,0)),0))</f>
        <v>0</v>
      </c>
      <c r="T1317" s="26" t="str">
        <f aca="false">IF($D1317="","",O1317-R1317-S1317)</f>
        <v/>
      </c>
    </row>
    <row r="1318" customFormat="false" ht="15" hidden="false" customHeight="false" outlineLevel="0" collapsed="false">
      <c r="I1318" s="24" t="str">
        <f aca="false">IF($D1318="","",IFERROR(INDEX(Workers!$B$5:$B$2004,MATCH($D1318,Workers!$A$5:$A$2004,0)),"NOT FOUND"))</f>
        <v/>
      </c>
      <c r="J1318" s="24" t="str">
        <f aca="false">IF($D1318="","",IFERROR(INDEX(Workers!$C$5:$C$2004,MATCH($D1318,Workers!$A$5:$A$2004,0)),""))</f>
        <v/>
      </c>
      <c r="K1318" s="24" t="str">
        <f aca="false">IF($D1318="","",IFERROR(IF(INDEX(Workers!$D$5:$D$2004,MATCH($D1318,Workers!$A$5:$A$2004,0))=0,"",INDEX(Workers!$D$5:$D$2004,MATCH($D1318,Workers!$A$5:$A$2004,0))),""))</f>
        <v/>
      </c>
      <c r="L1318" s="24" t="str">
        <f aca="false">IF($D1318="","",IFERROR(INDEX(Workers!$E$5:$E$2004,MATCH($D1318,Workers!$A$5:$A$2004,0)),""))</f>
        <v/>
      </c>
      <c r="M1318" s="26" t="str">
        <f aca="false">IF($D1318="","",IFERROR(INDEX(ClientRates!$D$5:$D$500,MATCH($B1318&amp;"|"&amp;$L1318,ClientRates!$A$5:$A$500,0)),0))</f>
        <v/>
      </c>
      <c r="N1318" s="26" t="str">
        <f aca="false">IF($D1318="","",IFERROR(INDEX(ClientRates!$E$5:$E$500,MATCH($B1318&amp;"|"&amp;$L1318,ClientRates!$A$5:$A$500,0)),0))</f>
        <v/>
      </c>
      <c r="O1318" s="26" t="str">
        <f aca="false">IF($D1318="","",F1318*M1318+G1318*N1318)</f>
        <v/>
      </c>
      <c r="P1318" s="26" t="str">
        <f aca="false">IF(OR($D1318="",$J1318&lt;&gt;"Supplier"),"",IFERROR(INDEX(SupplierRates!$D$5:$D$500,MATCH($K1318&amp;"|"&amp;$L1318,SupplierRates!$A$5:$A$500,0)),0))</f>
        <v/>
      </c>
      <c r="Q1318" s="26" t="str">
        <f aca="false">IF(OR($D1318="",$J1318&lt;&gt;"Supplier"),"",IFERROR(INDEX(SupplierRates!$E$5:$E$500,MATCH($K1318&amp;"|"&amp;$L1318,SupplierRates!$A$5:$A$500,0)),0))</f>
        <v/>
      </c>
      <c r="R1318" s="26" t="n">
        <f aca="false">IF(OR($D1318="",$J1318&lt;&gt;"Supplier"),0,F1318*P1318+G1318*Q1318)</f>
        <v>0</v>
      </c>
      <c r="S1318" s="26" t="n">
        <f aca="false">IF(OR($D1318="",$J1318&lt;&gt;"Own"),0,IFERROR((F1318+G1318*Settings!$B$13)*INDEX(Workers!$V$5:$V$2004,MATCH($D1318,Workers!$A$5:$A$2004,0)),0))</f>
        <v>0</v>
      </c>
      <c r="T1318" s="26" t="str">
        <f aca="false">IF($D1318="","",O1318-R1318-S1318)</f>
        <v/>
      </c>
    </row>
    <row r="1319" customFormat="false" ht="15" hidden="false" customHeight="false" outlineLevel="0" collapsed="false">
      <c r="I1319" s="24" t="str">
        <f aca="false">IF($D1319="","",IFERROR(INDEX(Workers!$B$5:$B$2004,MATCH($D1319,Workers!$A$5:$A$2004,0)),"NOT FOUND"))</f>
        <v/>
      </c>
      <c r="J1319" s="24" t="str">
        <f aca="false">IF($D1319="","",IFERROR(INDEX(Workers!$C$5:$C$2004,MATCH($D1319,Workers!$A$5:$A$2004,0)),""))</f>
        <v/>
      </c>
      <c r="K1319" s="24" t="str">
        <f aca="false">IF($D1319="","",IFERROR(IF(INDEX(Workers!$D$5:$D$2004,MATCH($D1319,Workers!$A$5:$A$2004,0))=0,"",INDEX(Workers!$D$5:$D$2004,MATCH($D1319,Workers!$A$5:$A$2004,0))),""))</f>
        <v/>
      </c>
      <c r="L1319" s="24" t="str">
        <f aca="false">IF($D1319="","",IFERROR(INDEX(Workers!$E$5:$E$2004,MATCH($D1319,Workers!$A$5:$A$2004,0)),""))</f>
        <v/>
      </c>
      <c r="M1319" s="26" t="str">
        <f aca="false">IF($D1319="","",IFERROR(INDEX(ClientRates!$D$5:$D$500,MATCH($B1319&amp;"|"&amp;$L1319,ClientRates!$A$5:$A$500,0)),0))</f>
        <v/>
      </c>
      <c r="N1319" s="26" t="str">
        <f aca="false">IF($D1319="","",IFERROR(INDEX(ClientRates!$E$5:$E$500,MATCH($B1319&amp;"|"&amp;$L1319,ClientRates!$A$5:$A$500,0)),0))</f>
        <v/>
      </c>
      <c r="O1319" s="26" t="str">
        <f aca="false">IF($D1319="","",F1319*M1319+G1319*N1319)</f>
        <v/>
      </c>
      <c r="P1319" s="26" t="str">
        <f aca="false">IF(OR($D1319="",$J1319&lt;&gt;"Supplier"),"",IFERROR(INDEX(SupplierRates!$D$5:$D$500,MATCH($K1319&amp;"|"&amp;$L1319,SupplierRates!$A$5:$A$500,0)),0))</f>
        <v/>
      </c>
      <c r="Q1319" s="26" t="str">
        <f aca="false">IF(OR($D1319="",$J1319&lt;&gt;"Supplier"),"",IFERROR(INDEX(SupplierRates!$E$5:$E$500,MATCH($K1319&amp;"|"&amp;$L1319,SupplierRates!$A$5:$A$500,0)),0))</f>
        <v/>
      </c>
      <c r="R1319" s="26" t="n">
        <f aca="false">IF(OR($D1319="",$J1319&lt;&gt;"Supplier"),0,F1319*P1319+G1319*Q1319)</f>
        <v>0</v>
      </c>
      <c r="S1319" s="26" t="n">
        <f aca="false">IF(OR($D1319="",$J1319&lt;&gt;"Own"),0,IFERROR((F1319+G1319*Settings!$B$13)*INDEX(Workers!$V$5:$V$2004,MATCH($D1319,Workers!$A$5:$A$2004,0)),0))</f>
        <v>0</v>
      </c>
      <c r="T1319" s="26" t="str">
        <f aca="false">IF($D1319="","",O1319-R1319-S1319)</f>
        <v/>
      </c>
    </row>
    <row r="1320" customFormat="false" ht="15" hidden="false" customHeight="false" outlineLevel="0" collapsed="false">
      <c r="I1320" s="24" t="str">
        <f aca="false">IF($D1320="","",IFERROR(INDEX(Workers!$B$5:$B$2004,MATCH($D1320,Workers!$A$5:$A$2004,0)),"NOT FOUND"))</f>
        <v/>
      </c>
      <c r="J1320" s="24" t="str">
        <f aca="false">IF($D1320="","",IFERROR(INDEX(Workers!$C$5:$C$2004,MATCH($D1320,Workers!$A$5:$A$2004,0)),""))</f>
        <v/>
      </c>
      <c r="K1320" s="24" t="str">
        <f aca="false">IF($D1320="","",IFERROR(IF(INDEX(Workers!$D$5:$D$2004,MATCH($D1320,Workers!$A$5:$A$2004,0))=0,"",INDEX(Workers!$D$5:$D$2004,MATCH($D1320,Workers!$A$5:$A$2004,0))),""))</f>
        <v/>
      </c>
      <c r="L1320" s="24" t="str">
        <f aca="false">IF($D1320="","",IFERROR(INDEX(Workers!$E$5:$E$2004,MATCH($D1320,Workers!$A$5:$A$2004,0)),""))</f>
        <v/>
      </c>
      <c r="M1320" s="26" t="str">
        <f aca="false">IF($D1320="","",IFERROR(INDEX(ClientRates!$D$5:$D$500,MATCH($B1320&amp;"|"&amp;$L1320,ClientRates!$A$5:$A$500,0)),0))</f>
        <v/>
      </c>
      <c r="N1320" s="26" t="str">
        <f aca="false">IF($D1320="","",IFERROR(INDEX(ClientRates!$E$5:$E$500,MATCH($B1320&amp;"|"&amp;$L1320,ClientRates!$A$5:$A$500,0)),0))</f>
        <v/>
      </c>
      <c r="O1320" s="26" t="str">
        <f aca="false">IF($D1320="","",F1320*M1320+G1320*N1320)</f>
        <v/>
      </c>
      <c r="P1320" s="26" t="str">
        <f aca="false">IF(OR($D1320="",$J1320&lt;&gt;"Supplier"),"",IFERROR(INDEX(SupplierRates!$D$5:$D$500,MATCH($K1320&amp;"|"&amp;$L1320,SupplierRates!$A$5:$A$500,0)),0))</f>
        <v/>
      </c>
      <c r="Q1320" s="26" t="str">
        <f aca="false">IF(OR($D1320="",$J1320&lt;&gt;"Supplier"),"",IFERROR(INDEX(SupplierRates!$E$5:$E$500,MATCH($K1320&amp;"|"&amp;$L1320,SupplierRates!$A$5:$A$500,0)),0))</f>
        <v/>
      </c>
      <c r="R1320" s="26" t="n">
        <f aca="false">IF(OR($D1320="",$J1320&lt;&gt;"Supplier"),0,F1320*P1320+G1320*Q1320)</f>
        <v>0</v>
      </c>
      <c r="S1320" s="26" t="n">
        <f aca="false">IF(OR($D1320="",$J1320&lt;&gt;"Own"),0,IFERROR((F1320+G1320*Settings!$B$13)*INDEX(Workers!$V$5:$V$2004,MATCH($D1320,Workers!$A$5:$A$2004,0)),0))</f>
        <v>0</v>
      </c>
      <c r="T1320" s="26" t="str">
        <f aca="false">IF($D1320="","",O1320-R1320-S1320)</f>
        <v/>
      </c>
    </row>
    <row r="1321" customFormat="false" ht="15" hidden="false" customHeight="false" outlineLevel="0" collapsed="false">
      <c r="I1321" s="24" t="str">
        <f aca="false">IF($D1321="","",IFERROR(INDEX(Workers!$B$5:$B$2004,MATCH($D1321,Workers!$A$5:$A$2004,0)),"NOT FOUND"))</f>
        <v/>
      </c>
      <c r="J1321" s="24" t="str">
        <f aca="false">IF($D1321="","",IFERROR(INDEX(Workers!$C$5:$C$2004,MATCH($D1321,Workers!$A$5:$A$2004,0)),""))</f>
        <v/>
      </c>
      <c r="K1321" s="24" t="str">
        <f aca="false">IF($D1321="","",IFERROR(IF(INDEX(Workers!$D$5:$D$2004,MATCH($D1321,Workers!$A$5:$A$2004,0))=0,"",INDEX(Workers!$D$5:$D$2004,MATCH($D1321,Workers!$A$5:$A$2004,0))),""))</f>
        <v/>
      </c>
      <c r="L1321" s="24" t="str">
        <f aca="false">IF($D1321="","",IFERROR(INDEX(Workers!$E$5:$E$2004,MATCH($D1321,Workers!$A$5:$A$2004,0)),""))</f>
        <v/>
      </c>
      <c r="M1321" s="26" t="str">
        <f aca="false">IF($D1321="","",IFERROR(INDEX(ClientRates!$D$5:$D$500,MATCH($B1321&amp;"|"&amp;$L1321,ClientRates!$A$5:$A$500,0)),0))</f>
        <v/>
      </c>
      <c r="N1321" s="26" t="str">
        <f aca="false">IF($D1321="","",IFERROR(INDEX(ClientRates!$E$5:$E$500,MATCH($B1321&amp;"|"&amp;$L1321,ClientRates!$A$5:$A$500,0)),0))</f>
        <v/>
      </c>
      <c r="O1321" s="26" t="str">
        <f aca="false">IF($D1321="","",F1321*M1321+G1321*N1321)</f>
        <v/>
      </c>
      <c r="P1321" s="26" t="str">
        <f aca="false">IF(OR($D1321="",$J1321&lt;&gt;"Supplier"),"",IFERROR(INDEX(SupplierRates!$D$5:$D$500,MATCH($K1321&amp;"|"&amp;$L1321,SupplierRates!$A$5:$A$500,0)),0))</f>
        <v/>
      </c>
      <c r="Q1321" s="26" t="str">
        <f aca="false">IF(OR($D1321="",$J1321&lt;&gt;"Supplier"),"",IFERROR(INDEX(SupplierRates!$E$5:$E$500,MATCH($K1321&amp;"|"&amp;$L1321,SupplierRates!$A$5:$A$500,0)),0))</f>
        <v/>
      </c>
      <c r="R1321" s="26" t="n">
        <f aca="false">IF(OR($D1321="",$J1321&lt;&gt;"Supplier"),0,F1321*P1321+G1321*Q1321)</f>
        <v>0</v>
      </c>
      <c r="S1321" s="26" t="n">
        <f aca="false">IF(OR($D1321="",$J1321&lt;&gt;"Own"),0,IFERROR((F1321+G1321*Settings!$B$13)*INDEX(Workers!$V$5:$V$2004,MATCH($D1321,Workers!$A$5:$A$2004,0)),0))</f>
        <v>0</v>
      </c>
      <c r="T1321" s="26" t="str">
        <f aca="false">IF($D1321="","",O1321-R1321-S1321)</f>
        <v/>
      </c>
    </row>
    <row r="1322" customFormat="false" ht="15" hidden="false" customHeight="false" outlineLevel="0" collapsed="false">
      <c r="I1322" s="24" t="str">
        <f aca="false">IF($D1322="","",IFERROR(INDEX(Workers!$B$5:$B$2004,MATCH($D1322,Workers!$A$5:$A$2004,0)),"NOT FOUND"))</f>
        <v/>
      </c>
      <c r="J1322" s="24" t="str">
        <f aca="false">IF($D1322="","",IFERROR(INDEX(Workers!$C$5:$C$2004,MATCH($D1322,Workers!$A$5:$A$2004,0)),""))</f>
        <v/>
      </c>
      <c r="K1322" s="24" t="str">
        <f aca="false">IF($D1322="","",IFERROR(IF(INDEX(Workers!$D$5:$D$2004,MATCH($D1322,Workers!$A$5:$A$2004,0))=0,"",INDEX(Workers!$D$5:$D$2004,MATCH($D1322,Workers!$A$5:$A$2004,0))),""))</f>
        <v/>
      </c>
      <c r="L1322" s="24" t="str">
        <f aca="false">IF($D1322="","",IFERROR(INDEX(Workers!$E$5:$E$2004,MATCH($D1322,Workers!$A$5:$A$2004,0)),""))</f>
        <v/>
      </c>
      <c r="M1322" s="26" t="str">
        <f aca="false">IF($D1322="","",IFERROR(INDEX(ClientRates!$D$5:$D$500,MATCH($B1322&amp;"|"&amp;$L1322,ClientRates!$A$5:$A$500,0)),0))</f>
        <v/>
      </c>
      <c r="N1322" s="26" t="str">
        <f aca="false">IF($D1322="","",IFERROR(INDEX(ClientRates!$E$5:$E$500,MATCH($B1322&amp;"|"&amp;$L1322,ClientRates!$A$5:$A$500,0)),0))</f>
        <v/>
      </c>
      <c r="O1322" s="26" t="str">
        <f aca="false">IF($D1322="","",F1322*M1322+G1322*N1322)</f>
        <v/>
      </c>
      <c r="P1322" s="26" t="str">
        <f aca="false">IF(OR($D1322="",$J1322&lt;&gt;"Supplier"),"",IFERROR(INDEX(SupplierRates!$D$5:$D$500,MATCH($K1322&amp;"|"&amp;$L1322,SupplierRates!$A$5:$A$500,0)),0))</f>
        <v/>
      </c>
      <c r="Q1322" s="26" t="str">
        <f aca="false">IF(OR($D1322="",$J1322&lt;&gt;"Supplier"),"",IFERROR(INDEX(SupplierRates!$E$5:$E$500,MATCH($K1322&amp;"|"&amp;$L1322,SupplierRates!$A$5:$A$500,0)),0))</f>
        <v/>
      </c>
      <c r="R1322" s="26" t="n">
        <f aca="false">IF(OR($D1322="",$J1322&lt;&gt;"Supplier"),0,F1322*P1322+G1322*Q1322)</f>
        <v>0</v>
      </c>
      <c r="S1322" s="26" t="n">
        <f aca="false">IF(OR($D1322="",$J1322&lt;&gt;"Own"),0,IFERROR((F1322+G1322*Settings!$B$13)*INDEX(Workers!$V$5:$V$2004,MATCH($D1322,Workers!$A$5:$A$2004,0)),0))</f>
        <v>0</v>
      </c>
      <c r="T1322" s="26" t="str">
        <f aca="false">IF($D1322="","",O1322-R1322-S1322)</f>
        <v/>
      </c>
    </row>
    <row r="1323" customFormat="false" ht="15" hidden="false" customHeight="false" outlineLevel="0" collapsed="false">
      <c r="I1323" s="24" t="str">
        <f aca="false">IF($D1323="","",IFERROR(INDEX(Workers!$B$5:$B$2004,MATCH($D1323,Workers!$A$5:$A$2004,0)),"NOT FOUND"))</f>
        <v/>
      </c>
      <c r="J1323" s="24" t="str">
        <f aca="false">IF($D1323="","",IFERROR(INDEX(Workers!$C$5:$C$2004,MATCH($D1323,Workers!$A$5:$A$2004,0)),""))</f>
        <v/>
      </c>
      <c r="K1323" s="24" t="str">
        <f aca="false">IF($D1323="","",IFERROR(IF(INDEX(Workers!$D$5:$D$2004,MATCH($D1323,Workers!$A$5:$A$2004,0))=0,"",INDEX(Workers!$D$5:$D$2004,MATCH($D1323,Workers!$A$5:$A$2004,0))),""))</f>
        <v/>
      </c>
      <c r="L1323" s="24" t="str">
        <f aca="false">IF($D1323="","",IFERROR(INDEX(Workers!$E$5:$E$2004,MATCH($D1323,Workers!$A$5:$A$2004,0)),""))</f>
        <v/>
      </c>
      <c r="M1323" s="26" t="str">
        <f aca="false">IF($D1323="","",IFERROR(INDEX(ClientRates!$D$5:$D$500,MATCH($B1323&amp;"|"&amp;$L1323,ClientRates!$A$5:$A$500,0)),0))</f>
        <v/>
      </c>
      <c r="N1323" s="26" t="str">
        <f aca="false">IF($D1323="","",IFERROR(INDEX(ClientRates!$E$5:$E$500,MATCH($B1323&amp;"|"&amp;$L1323,ClientRates!$A$5:$A$500,0)),0))</f>
        <v/>
      </c>
      <c r="O1323" s="26" t="str">
        <f aca="false">IF($D1323="","",F1323*M1323+G1323*N1323)</f>
        <v/>
      </c>
      <c r="P1323" s="26" t="str">
        <f aca="false">IF(OR($D1323="",$J1323&lt;&gt;"Supplier"),"",IFERROR(INDEX(SupplierRates!$D$5:$D$500,MATCH($K1323&amp;"|"&amp;$L1323,SupplierRates!$A$5:$A$500,0)),0))</f>
        <v/>
      </c>
      <c r="Q1323" s="26" t="str">
        <f aca="false">IF(OR($D1323="",$J1323&lt;&gt;"Supplier"),"",IFERROR(INDEX(SupplierRates!$E$5:$E$500,MATCH($K1323&amp;"|"&amp;$L1323,SupplierRates!$A$5:$A$500,0)),0))</f>
        <v/>
      </c>
      <c r="R1323" s="26" t="n">
        <f aca="false">IF(OR($D1323="",$J1323&lt;&gt;"Supplier"),0,F1323*P1323+G1323*Q1323)</f>
        <v>0</v>
      </c>
      <c r="S1323" s="26" t="n">
        <f aca="false">IF(OR($D1323="",$J1323&lt;&gt;"Own"),0,IFERROR((F1323+G1323*Settings!$B$13)*INDEX(Workers!$V$5:$V$2004,MATCH($D1323,Workers!$A$5:$A$2004,0)),0))</f>
        <v>0</v>
      </c>
      <c r="T1323" s="26" t="str">
        <f aca="false">IF($D1323="","",O1323-R1323-S1323)</f>
        <v/>
      </c>
    </row>
    <row r="1324" customFormat="false" ht="15" hidden="false" customHeight="false" outlineLevel="0" collapsed="false">
      <c r="I1324" s="24" t="str">
        <f aca="false">IF($D1324="","",IFERROR(INDEX(Workers!$B$5:$B$2004,MATCH($D1324,Workers!$A$5:$A$2004,0)),"NOT FOUND"))</f>
        <v/>
      </c>
      <c r="J1324" s="24" t="str">
        <f aca="false">IF($D1324="","",IFERROR(INDEX(Workers!$C$5:$C$2004,MATCH($D1324,Workers!$A$5:$A$2004,0)),""))</f>
        <v/>
      </c>
      <c r="K1324" s="24" t="str">
        <f aca="false">IF($D1324="","",IFERROR(IF(INDEX(Workers!$D$5:$D$2004,MATCH($D1324,Workers!$A$5:$A$2004,0))=0,"",INDEX(Workers!$D$5:$D$2004,MATCH($D1324,Workers!$A$5:$A$2004,0))),""))</f>
        <v/>
      </c>
      <c r="L1324" s="24" t="str">
        <f aca="false">IF($D1324="","",IFERROR(INDEX(Workers!$E$5:$E$2004,MATCH($D1324,Workers!$A$5:$A$2004,0)),""))</f>
        <v/>
      </c>
      <c r="M1324" s="26" t="str">
        <f aca="false">IF($D1324="","",IFERROR(INDEX(ClientRates!$D$5:$D$500,MATCH($B1324&amp;"|"&amp;$L1324,ClientRates!$A$5:$A$500,0)),0))</f>
        <v/>
      </c>
      <c r="N1324" s="26" t="str">
        <f aca="false">IF($D1324="","",IFERROR(INDEX(ClientRates!$E$5:$E$500,MATCH($B1324&amp;"|"&amp;$L1324,ClientRates!$A$5:$A$500,0)),0))</f>
        <v/>
      </c>
      <c r="O1324" s="26" t="str">
        <f aca="false">IF($D1324="","",F1324*M1324+G1324*N1324)</f>
        <v/>
      </c>
      <c r="P1324" s="26" t="str">
        <f aca="false">IF(OR($D1324="",$J1324&lt;&gt;"Supplier"),"",IFERROR(INDEX(SupplierRates!$D$5:$D$500,MATCH($K1324&amp;"|"&amp;$L1324,SupplierRates!$A$5:$A$500,0)),0))</f>
        <v/>
      </c>
      <c r="Q1324" s="26" t="str">
        <f aca="false">IF(OR($D1324="",$J1324&lt;&gt;"Supplier"),"",IFERROR(INDEX(SupplierRates!$E$5:$E$500,MATCH($K1324&amp;"|"&amp;$L1324,SupplierRates!$A$5:$A$500,0)),0))</f>
        <v/>
      </c>
      <c r="R1324" s="26" t="n">
        <f aca="false">IF(OR($D1324="",$J1324&lt;&gt;"Supplier"),0,F1324*P1324+G1324*Q1324)</f>
        <v>0</v>
      </c>
      <c r="S1324" s="26" t="n">
        <f aca="false">IF(OR($D1324="",$J1324&lt;&gt;"Own"),0,IFERROR((F1324+G1324*Settings!$B$13)*INDEX(Workers!$V$5:$V$2004,MATCH($D1324,Workers!$A$5:$A$2004,0)),0))</f>
        <v>0</v>
      </c>
      <c r="T1324" s="26" t="str">
        <f aca="false">IF($D1324="","",O1324-R1324-S1324)</f>
        <v/>
      </c>
    </row>
    <row r="1325" customFormat="false" ht="15" hidden="false" customHeight="false" outlineLevel="0" collapsed="false">
      <c r="I1325" s="24" t="str">
        <f aca="false">IF($D1325="","",IFERROR(INDEX(Workers!$B$5:$B$2004,MATCH($D1325,Workers!$A$5:$A$2004,0)),"NOT FOUND"))</f>
        <v/>
      </c>
      <c r="J1325" s="24" t="str">
        <f aca="false">IF($D1325="","",IFERROR(INDEX(Workers!$C$5:$C$2004,MATCH($D1325,Workers!$A$5:$A$2004,0)),""))</f>
        <v/>
      </c>
      <c r="K1325" s="24" t="str">
        <f aca="false">IF($D1325="","",IFERROR(IF(INDEX(Workers!$D$5:$D$2004,MATCH($D1325,Workers!$A$5:$A$2004,0))=0,"",INDEX(Workers!$D$5:$D$2004,MATCH($D1325,Workers!$A$5:$A$2004,0))),""))</f>
        <v/>
      </c>
      <c r="L1325" s="24" t="str">
        <f aca="false">IF($D1325="","",IFERROR(INDEX(Workers!$E$5:$E$2004,MATCH($D1325,Workers!$A$5:$A$2004,0)),""))</f>
        <v/>
      </c>
      <c r="M1325" s="26" t="str">
        <f aca="false">IF($D1325="","",IFERROR(INDEX(ClientRates!$D$5:$D$500,MATCH($B1325&amp;"|"&amp;$L1325,ClientRates!$A$5:$A$500,0)),0))</f>
        <v/>
      </c>
      <c r="N1325" s="26" t="str">
        <f aca="false">IF($D1325="","",IFERROR(INDEX(ClientRates!$E$5:$E$500,MATCH($B1325&amp;"|"&amp;$L1325,ClientRates!$A$5:$A$500,0)),0))</f>
        <v/>
      </c>
      <c r="O1325" s="26" t="str">
        <f aca="false">IF($D1325="","",F1325*M1325+G1325*N1325)</f>
        <v/>
      </c>
      <c r="P1325" s="26" t="str">
        <f aca="false">IF(OR($D1325="",$J1325&lt;&gt;"Supplier"),"",IFERROR(INDEX(SupplierRates!$D$5:$D$500,MATCH($K1325&amp;"|"&amp;$L1325,SupplierRates!$A$5:$A$500,0)),0))</f>
        <v/>
      </c>
      <c r="Q1325" s="26" t="str">
        <f aca="false">IF(OR($D1325="",$J1325&lt;&gt;"Supplier"),"",IFERROR(INDEX(SupplierRates!$E$5:$E$500,MATCH($K1325&amp;"|"&amp;$L1325,SupplierRates!$A$5:$A$500,0)),0))</f>
        <v/>
      </c>
      <c r="R1325" s="26" t="n">
        <f aca="false">IF(OR($D1325="",$J1325&lt;&gt;"Supplier"),0,F1325*P1325+G1325*Q1325)</f>
        <v>0</v>
      </c>
      <c r="S1325" s="26" t="n">
        <f aca="false">IF(OR($D1325="",$J1325&lt;&gt;"Own"),0,IFERROR((F1325+G1325*Settings!$B$13)*INDEX(Workers!$V$5:$V$2004,MATCH($D1325,Workers!$A$5:$A$2004,0)),0))</f>
        <v>0</v>
      </c>
      <c r="T1325" s="26" t="str">
        <f aca="false">IF($D1325="","",O1325-R1325-S1325)</f>
        <v/>
      </c>
    </row>
    <row r="1326" customFormat="false" ht="15" hidden="false" customHeight="false" outlineLevel="0" collapsed="false">
      <c r="I1326" s="24" t="str">
        <f aca="false">IF($D1326="","",IFERROR(INDEX(Workers!$B$5:$B$2004,MATCH($D1326,Workers!$A$5:$A$2004,0)),"NOT FOUND"))</f>
        <v/>
      </c>
      <c r="J1326" s="24" t="str">
        <f aca="false">IF($D1326="","",IFERROR(INDEX(Workers!$C$5:$C$2004,MATCH($D1326,Workers!$A$5:$A$2004,0)),""))</f>
        <v/>
      </c>
      <c r="K1326" s="24" t="str">
        <f aca="false">IF($D1326="","",IFERROR(IF(INDEX(Workers!$D$5:$D$2004,MATCH($D1326,Workers!$A$5:$A$2004,0))=0,"",INDEX(Workers!$D$5:$D$2004,MATCH($D1326,Workers!$A$5:$A$2004,0))),""))</f>
        <v/>
      </c>
      <c r="L1326" s="24" t="str">
        <f aca="false">IF($D1326="","",IFERROR(INDEX(Workers!$E$5:$E$2004,MATCH($D1326,Workers!$A$5:$A$2004,0)),""))</f>
        <v/>
      </c>
      <c r="M1326" s="26" t="str">
        <f aca="false">IF($D1326="","",IFERROR(INDEX(ClientRates!$D$5:$D$500,MATCH($B1326&amp;"|"&amp;$L1326,ClientRates!$A$5:$A$500,0)),0))</f>
        <v/>
      </c>
      <c r="N1326" s="26" t="str">
        <f aca="false">IF($D1326="","",IFERROR(INDEX(ClientRates!$E$5:$E$500,MATCH($B1326&amp;"|"&amp;$L1326,ClientRates!$A$5:$A$500,0)),0))</f>
        <v/>
      </c>
      <c r="O1326" s="26" t="str">
        <f aca="false">IF($D1326="","",F1326*M1326+G1326*N1326)</f>
        <v/>
      </c>
      <c r="P1326" s="26" t="str">
        <f aca="false">IF(OR($D1326="",$J1326&lt;&gt;"Supplier"),"",IFERROR(INDEX(SupplierRates!$D$5:$D$500,MATCH($K1326&amp;"|"&amp;$L1326,SupplierRates!$A$5:$A$500,0)),0))</f>
        <v/>
      </c>
      <c r="Q1326" s="26" t="str">
        <f aca="false">IF(OR($D1326="",$J1326&lt;&gt;"Supplier"),"",IFERROR(INDEX(SupplierRates!$E$5:$E$500,MATCH($K1326&amp;"|"&amp;$L1326,SupplierRates!$A$5:$A$500,0)),0))</f>
        <v/>
      </c>
      <c r="R1326" s="26" t="n">
        <f aca="false">IF(OR($D1326="",$J1326&lt;&gt;"Supplier"),0,F1326*P1326+G1326*Q1326)</f>
        <v>0</v>
      </c>
      <c r="S1326" s="26" t="n">
        <f aca="false">IF(OR($D1326="",$J1326&lt;&gt;"Own"),0,IFERROR((F1326+G1326*Settings!$B$13)*INDEX(Workers!$V$5:$V$2004,MATCH($D1326,Workers!$A$5:$A$2004,0)),0))</f>
        <v>0</v>
      </c>
      <c r="T1326" s="26" t="str">
        <f aca="false">IF($D1326="","",O1326-R1326-S1326)</f>
        <v/>
      </c>
    </row>
    <row r="1327" customFormat="false" ht="15" hidden="false" customHeight="false" outlineLevel="0" collapsed="false">
      <c r="I1327" s="24" t="str">
        <f aca="false">IF($D1327="","",IFERROR(INDEX(Workers!$B$5:$B$2004,MATCH($D1327,Workers!$A$5:$A$2004,0)),"NOT FOUND"))</f>
        <v/>
      </c>
      <c r="J1327" s="24" t="str">
        <f aca="false">IF($D1327="","",IFERROR(INDEX(Workers!$C$5:$C$2004,MATCH($D1327,Workers!$A$5:$A$2004,0)),""))</f>
        <v/>
      </c>
      <c r="K1327" s="24" t="str">
        <f aca="false">IF($D1327="","",IFERROR(IF(INDEX(Workers!$D$5:$D$2004,MATCH($D1327,Workers!$A$5:$A$2004,0))=0,"",INDEX(Workers!$D$5:$D$2004,MATCH($D1327,Workers!$A$5:$A$2004,0))),""))</f>
        <v/>
      </c>
      <c r="L1327" s="24" t="str">
        <f aca="false">IF($D1327="","",IFERROR(INDEX(Workers!$E$5:$E$2004,MATCH($D1327,Workers!$A$5:$A$2004,0)),""))</f>
        <v/>
      </c>
      <c r="M1327" s="26" t="str">
        <f aca="false">IF($D1327="","",IFERROR(INDEX(ClientRates!$D$5:$D$500,MATCH($B1327&amp;"|"&amp;$L1327,ClientRates!$A$5:$A$500,0)),0))</f>
        <v/>
      </c>
      <c r="N1327" s="26" t="str">
        <f aca="false">IF($D1327="","",IFERROR(INDEX(ClientRates!$E$5:$E$500,MATCH($B1327&amp;"|"&amp;$L1327,ClientRates!$A$5:$A$500,0)),0))</f>
        <v/>
      </c>
      <c r="O1327" s="26" t="str">
        <f aca="false">IF($D1327="","",F1327*M1327+G1327*N1327)</f>
        <v/>
      </c>
      <c r="P1327" s="26" t="str">
        <f aca="false">IF(OR($D1327="",$J1327&lt;&gt;"Supplier"),"",IFERROR(INDEX(SupplierRates!$D$5:$D$500,MATCH($K1327&amp;"|"&amp;$L1327,SupplierRates!$A$5:$A$500,0)),0))</f>
        <v/>
      </c>
      <c r="Q1327" s="26" t="str">
        <f aca="false">IF(OR($D1327="",$J1327&lt;&gt;"Supplier"),"",IFERROR(INDEX(SupplierRates!$E$5:$E$500,MATCH($K1327&amp;"|"&amp;$L1327,SupplierRates!$A$5:$A$500,0)),0))</f>
        <v/>
      </c>
      <c r="R1327" s="26" t="n">
        <f aca="false">IF(OR($D1327="",$J1327&lt;&gt;"Supplier"),0,F1327*P1327+G1327*Q1327)</f>
        <v>0</v>
      </c>
      <c r="S1327" s="26" t="n">
        <f aca="false">IF(OR($D1327="",$J1327&lt;&gt;"Own"),0,IFERROR((F1327+G1327*Settings!$B$13)*INDEX(Workers!$V$5:$V$2004,MATCH($D1327,Workers!$A$5:$A$2004,0)),0))</f>
        <v>0</v>
      </c>
      <c r="T1327" s="26" t="str">
        <f aca="false">IF($D1327="","",O1327-R1327-S1327)</f>
        <v/>
      </c>
    </row>
    <row r="1328" customFormat="false" ht="15" hidden="false" customHeight="false" outlineLevel="0" collapsed="false">
      <c r="I1328" s="24" t="str">
        <f aca="false">IF($D1328="","",IFERROR(INDEX(Workers!$B$5:$B$2004,MATCH($D1328,Workers!$A$5:$A$2004,0)),"NOT FOUND"))</f>
        <v/>
      </c>
      <c r="J1328" s="24" t="str">
        <f aca="false">IF($D1328="","",IFERROR(INDEX(Workers!$C$5:$C$2004,MATCH($D1328,Workers!$A$5:$A$2004,0)),""))</f>
        <v/>
      </c>
      <c r="K1328" s="24" t="str">
        <f aca="false">IF($D1328="","",IFERROR(IF(INDEX(Workers!$D$5:$D$2004,MATCH($D1328,Workers!$A$5:$A$2004,0))=0,"",INDEX(Workers!$D$5:$D$2004,MATCH($D1328,Workers!$A$5:$A$2004,0))),""))</f>
        <v/>
      </c>
      <c r="L1328" s="24" t="str">
        <f aca="false">IF($D1328="","",IFERROR(INDEX(Workers!$E$5:$E$2004,MATCH($D1328,Workers!$A$5:$A$2004,0)),""))</f>
        <v/>
      </c>
      <c r="M1328" s="26" t="str">
        <f aca="false">IF($D1328="","",IFERROR(INDEX(ClientRates!$D$5:$D$500,MATCH($B1328&amp;"|"&amp;$L1328,ClientRates!$A$5:$A$500,0)),0))</f>
        <v/>
      </c>
      <c r="N1328" s="26" t="str">
        <f aca="false">IF($D1328="","",IFERROR(INDEX(ClientRates!$E$5:$E$500,MATCH($B1328&amp;"|"&amp;$L1328,ClientRates!$A$5:$A$500,0)),0))</f>
        <v/>
      </c>
      <c r="O1328" s="26" t="str">
        <f aca="false">IF($D1328="","",F1328*M1328+G1328*N1328)</f>
        <v/>
      </c>
      <c r="P1328" s="26" t="str">
        <f aca="false">IF(OR($D1328="",$J1328&lt;&gt;"Supplier"),"",IFERROR(INDEX(SupplierRates!$D$5:$D$500,MATCH($K1328&amp;"|"&amp;$L1328,SupplierRates!$A$5:$A$500,0)),0))</f>
        <v/>
      </c>
      <c r="Q1328" s="26" t="str">
        <f aca="false">IF(OR($D1328="",$J1328&lt;&gt;"Supplier"),"",IFERROR(INDEX(SupplierRates!$E$5:$E$500,MATCH($K1328&amp;"|"&amp;$L1328,SupplierRates!$A$5:$A$500,0)),0))</f>
        <v/>
      </c>
      <c r="R1328" s="26" t="n">
        <f aca="false">IF(OR($D1328="",$J1328&lt;&gt;"Supplier"),0,F1328*P1328+G1328*Q1328)</f>
        <v>0</v>
      </c>
      <c r="S1328" s="26" t="n">
        <f aca="false">IF(OR($D1328="",$J1328&lt;&gt;"Own"),0,IFERROR((F1328+G1328*Settings!$B$13)*INDEX(Workers!$V$5:$V$2004,MATCH($D1328,Workers!$A$5:$A$2004,0)),0))</f>
        <v>0</v>
      </c>
      <c r="T1328" s="26" t="str">
        <f aca="false">IF($D1328="","",O1328-R1328-S1328)</f>
        <v/>
      </c>
    </row>
    <row r="1329" customFormat="false" ht="15" hidden="false" customHeight="false" outlineLevel="0" collapsed="false">
      <c r="I1329" s="24" t="str">
        <f aca="false">IF($D1329="","",IFERROR(INDEX(Workers!$B$5:$B$2004,MATCH($D1329,Workers!$A$5:$A$2004,0)),"NOT FOUND"))</f>
        <v/>
      </c>
      <c r="J1329" s="24" t="str">
        <f aca="false">IF($D1329="","",IFERROR(INDEX(Workers!$C$5:$C$2004,MATCH($D1329,Workers!$A$5:$A$2004,0)),""))</f>
        <v/>
      </c>
      <c r="K1329" s="24" t="str">
        <f aca="false">IF($D1329="","",IFERROR(IF(INDEX(Workers!$D$5:$D$2004,MATCH($D1329,Workers!$A$5:$A$2004,0))=0,"",INDEX(Workers!$D$5:$D$2004,MATCH($D1329,Workers!$A$5:$A$2004,0))),""))</f>
        <v/>
      </c>
      <c r="L1329" s="24" t="str">
        <f aca="false">IF($D1329="","",IFERROR(INDEX(Workers!$E$5:$E$2004,MATCH($D1329,Workers!$A$5:$A$2004,0)),""))</f>
        <v/>
      </c>
      <c r="M1329" s="26" t="str">
        <f aca="false">IF($D1329="","",IFERROR(INDEX(ClientRates!$D$5:$D$500,MATCH($B1329&amp;"|"&amp;$L1329,ClientRates!$A$5:$A$500,0)),0))</f>
        <v/>
      </c>
      <c r="N1329" s="26" t="str">
        <f aca="false">IF($D1329="","",IFERROR(INDEX(ClientRates!$E$5:$E$500,MATCH($B1329&amp;"|"&amp;$L1329,ClientRates!$A$5:$A$500,0)),0))</f>
        <v/>
      </c>
      <c r="O1329" s="26" t="str">
        <f aca="false">IF($D1329="","",F1329*M1329+G1329*N1329)</f>
        <v/>
      </c>
      <c r="P1329" s="26" t="str">
        <f aca="false">IF(OR($D1329="",$J1329&lt;&gt;"Supplier"),"",IFERROR(INDEX(SupplierRates!$D$5:$D$500,MATCH($K1329&amp;"|"&amp;$L1329,SupplierRates!$A$5:$A$500,0)),0))</f>
        <v/>
      </c>
      <c r="Q1329" s="26" t="str">
        <f aca="false">IF(OR($D1329="",$J1329&lt;&gt;"Supplier"),"",IFERROR(INDEX(SupplierRates!$E$5:$E$500,MATCH($K1329&amp;"|"&amp;$L1329,SupplierRates!$A$5:$A$500,0)),0))</f>
        <v/>
      </c>
      <c r="R1329" s="26" t="n">
        <f aca="false">IF(OR($D1329="",$J1329&lt;&gt;"Supplier"),0,F1329*P1329+G1329*Q1329)</f>
        <v>0</v>
      </c>
      <c r="S1329" s="26" t="n">
        <f aca="false">IF(OR($D1329="",$J1329&lt;&gt;"Own"),0,IFERROR((F1329+G1329*Settings!$B$13)*INDEX(Workers!$V$5:$V$2004,MATCH($D1329,Workers!$A$5:$A$2004,0)),0))</f>
        <v>0</v>
      </c>
      <c r="T1329" s="26" t="str">
        <f aca="false">IF($D1329="","",O1329-R1329-S1329)</f>
        <v/>
      </c>
    </row>
    <row r="1330" customFormat="false" ht="15" hidden="false" customHeight="false" outlineLevel="0" collapsed="false">
      <c r="I1330" s="24" t="str">
        <f aca="false">IF($D1330="","",IFERROR(INDEX(Workers!$B$5:$B$2004,MATCH($D1330,Workers!$A$5:$A$2004,0)),"NOT FOUND"))</f>
        <v/>
      </c>
      <c r="J1330" s="24" t="str">
        <f aca="false">IF($D1330="","",IFERROR(INDEX(Workers!$C$5:$C$2004,MATCH($D1330,Workers!$A$5:$A$2004,0)),""))</f>
        <v/>
      </c>
      <c r="K1330" s="24" t="str">
        <f aca="false">IF($D1330="","",IFERROR(IF(INDEX(Workers!$D$5:$D$2004,MATCH($D1330,Workers!$A$5:$A$2004,0))=0,"",INDEX(Workers!$D$5:$D$2004,MATCH($D1330,Workers!$A$5:$A$2004,0))),""))</f>
        <v/>
      </c>
      <c r="L1330" s="24" t="str">
        <f aca="false">IF($D1330="","",IFERROR(INDEX(Workers!$E$5:$E$2004,MATCH($D1330,Workers!$A$5:$A$2004,0)),""))</f>
        <v/>
      </c>
      <c r="M1330" s="26" t="str">
        <f aca="false">IF($D1330="","",IFERROR(INDEX(ClientRates!$D$5:$D$500,MATCH($B1330&amp;"|"&amp;$L1330,ClientRates!$A$5:$A$500,0)),0))</f>
        <v/>
      </c>
      <c r="N1330" s="26" t="str">
        <f aca="false">IF($D1330="","",IFERROR(INDEX(ClientRates!$E$5:$E$500,MATCH($B1330&amp;"|"&amp;$L1330,ClientRates!$A$5:$A$500,0)),0))</f>
        <v/>
      </c>
      <c r="O1330" s="26" t="str">
        <f aca="false">IF($D1330="","",F1330*M1330+G1330*N1330)</f>
        <v/>
      </c>
      <c r="P1330" s="26" t="str">
        <f aca="false">IF(OR($D1330="",$J1330&lt;&gt;"Supplier"),"",IFERROR(INDEX(SupplierRates!$D$5:$D$500,MATCH($K1330&amp;"|"&amp;$L1330,SupplierRates!$A$5:$A$500,0)),0))</f>
        <v/>
      </c>
      <c r="Q1330" s="26" t="str">
        <f aca="false">IF(OR($D1330="",$J1330&lt;&gt;"Supplier"),"",IFERROR(INDEX(SupplierRates!$E$5:$E$500,MATCH($K1330&amp;"|"&amp;$L1330,SupplierRates!$A$5:$A$500,0)),0))</f>
        <v/>
      </c>
      <c r="R1330" s="26" t="n">
        <f aca="false">IF(OR($D1330="",$J1330&lt;&gt;"Supplier"),0,F1330*P1330+G1330*Q1330)</f>
        <v>0</v>
      </c>
      <c r="S1330" s="26" t="n">
        <f aca="false">IF(OR($D1330="",$J1330&lt;&gt;"Own"),0,IFERROR((F1330+G1330*Settings!$B$13)*INDEX(Workers!$V$5:$V$2004,MATCH($D1330,Workers!$A$5:$A$2004,0)),0))</f>
        <v>0</v>
      </c>
      <c r="T1330" s="26" t="str">
        <f aca="false">IF($D1330="","",O1330-R1330-S1330)</f>
        <v/>
      </c>
    </row>
    <row r="1331" customFormat="false" ht="15" hidden="false" customHeight="false" outlineLevel="0" collapsed="false">
      <c r="I1331" s="24" t="str">
        <f aca="false">IF($D1331="","",IFERROR(INDEX(Workers!$B$5:$B$2004,MATCH($D1331,Workers!$A$5:$A$2004,0)),"NOT FOUND"))</f>
        <v/>
      </c>
      <c r="J1331" s="24" t="str">
        <f aca="false">IF($D1331="","",IFERROR(INDEX(Workers!$C$5:$C$2004,MATCH($D1331,Workers!$A$5:$A$2004,0)),""))</f>
        <v/>
      </c>
      <c r="K1331" s="24" t="str">
        <f aca="false">IF($D1331="","",IFERROR(IF(INDEX(Workers!$D$5:$D$2004,MATCH($D1331,Workers!$A$5:$A$2004,0))=0,"",INDEX(Workers!$D$5:$D$2004,MATCH($D1331,Workers!$A$5:$A$2004,0))),""))</f>
        <v/>
      </c>
      <c r="L1331" s="24" t="str">
        <f aca="false">IF($D1331="","",IFERROR(INDEX(Workers!$E$5:$E$2004,MATCH($D1331,Workers!$A$5:$A$2004,0)),""))</f>
        <v/>
      </c>
      <c r="M1331" s="26" t="str">
        <f aca="false">IF($D1331="","",IFERROR(INDEX(ClientRates!$D$5:$D$500,MATCH($B1331&amp;"|"&amp;$L1331,ClientRates!$A$5:$A$500,0)),0))</f>
        <v/>
      </c>
      <c r="N1331" s="26" t="str">
        <f aca="false">IF($D1331="","",IFERROR(INDEX(ClientRates!$E$5:$E$500,MATCH($B1331&amp;"|"&amp;$L1331,ClientRates!$A$5:$A$500,0)),0))</f>
        <v/>
      </c>
      <c r="O1331" s="26" t="str">
        <f aca="false">IF($D1331="","",F1331*M1331+G1331*N1331)</f>
        <v/>
      </c>
      <c r="P1331" s="26" t="str">
        <f aca="false">IF(OR($D1331="",$J1331&lt;&gt;"Supplier"),"",IFERROR(INDEX(SupplierRates!$D$5:$D$500,MATCH($K1331&amp;"|"&amp;$L1331,SupplierRates!$A$5:$A$500,0)),0))</f>
        <v/>
      </c>
      <c r="Q1331" s="26" t="str">
        <f aca="false">IF(OR($D1331="",$J1331&lt;&gt;"Supplier"),"",IFERROR(INDEX(SupplierRates!$E$5:$E$500,MATCH($K1331&amp;"|"&amp;$L1331,SupplierRates!$A$5:$A$500,0)),0))</f>
        <v/>
      </c>
      <c r="R1331" s="26" t="n">
        <f aca="false">IF(OR($D1331="",$J1331&lt;&gt;"Supplier"),0,F1331*P1331+G1331*Q1331)</f>
        <v>0</v>
      </c>
      <c r="S1331" s="26" t="n">
        <f aca="false">IF(OR($D1331="",$J1331&lt;&gt;"Own"),0,IFERROR((F1331+G1331*Settings!$B$13)*INDEX(Workers!$V$5:$V$2004,MATCH($D1331,Workers!$A$5:$A$2004,0)),0))</f>
        <v>0</v>
      </c>
      <c r="T1331" s="26" t="str">
        <f aca="false">IF($D1331="","",O1331-R1331-S1331)</f>
        <v/>
      </c>
    </row>
    <row r="1332" customFormat="false" ht="15" hidden="false" customHeight="false" outlineLevel="0" collapsed="false">
      <c r="I1332" s="24" t="str">
        <f aca="false">IF($D1332="","",IFERROR(INDEX(Workers!$B$5:$B$2004,MATCH($D1332,Workers!$A$5:$A$2004,0)),"NOT FOUND"))</f>
        <v/>
      </c>
      <c r="J1332" s="24" t="str">
        <f aca="false">IF($D1332="","",IFERROR(INDEX(Workers!$C$5:$C$2004,MATCH($D1332,Workers!$A$5:$A$2004,0)),""))</f>
        <v/>
      </c>
      <c r="K1332" s="24" t="str">
        <f aca="false">IF($D1332="","",IFERROR(IF(INDEX(Workers!$D$5:$D$2004,MATCH($D1332,Workers!$A$5:$A$2004,0))=0,"",INDEX(Workers!$D$5:$D$2004,MATCH($D1332,Workers!$A$5:$A$2004,0))),""))</f>
        <v/>
      </c>
      <c r="L1332" s="24" t="str">
        <f aca="false">IF($D1332="","",IFERROR(INDEX(Workers!$E$5:$E$2004,MATCH($D1332,Workers!$A$5:$A$2004,0)),""))</f>
        <v/>
      </c>
      <c r="M1332" s="26" t="str">
        <f aca="false">IF($D1332="","",IFERROR(INDEX(ClientRates!$D$5:$D$500,MATCH($B1332&amp;"|"&amp;$L1332,ClientRates!$A$5:$A$500,0)),0))</f>
        <v/>
      </c>
      <c r="N1332" s="26" t="str">
        <f aca="false">IF($D1332="","",IFERROR(INDEX(ClientRates!$E$5:$E$500,MATCH($B1332&amp;"|"&amp;$L1332,ClientRates!$A$5:$A$500,0)),0))</f>
        <v/>
      </c>
      <c r="O1332" s="26" t="str">
        <f aca="false">IF($D1332="","",F1332*M1332+G1332*N1332)</f>
        <v/>
      </c>
      <c r="P1332" s="26" t="str">
        <f aca="false">IF(OR($D1332="",$J1332&lt;&gt;"Supplier"),"",IFERROR(INDEX(SupplierRates!$D$5:$D$500,MATCH($K1332&amp;"|"&amp;$L1332,SupplierRates!$A$5:$A$500,0)),0))</f>
        <v/>
      </c>
      <c r="Q1332" s="26" t="str">
        <f aca="false">IF(OR($D1332="",$J1332&lt;&gt;"Supplier"),"",IFERROR(INDEX(SupplierRates!$E$5:$E$500,MATCH($K1332&amp;"|"&amp;$L1332,SupplierRates!$A$5:$A$500,0)),0))</f>
        <v/>
      </c>
      <c r="R1332" s="26" t="n">
        <f aca="false">IF(OR($D1332="",$J1332&lt;&gt;"Supplier"),0,F1332*P1332+G1332*Q1332)</f>
        <v>0</v>
      </c>
      <c r="S1332" s="26" t="n">
        <f aca="false">IF(OR($D1332="",$J1332&lt;&gt;"Own"),0,IFERROR((F1332+G1332*Settings!$B$13)*INDEX(Workers!$V$5:$V$2004,MATCH($D1332,Workers!$A$5:$A$2004,0)),0))</f>
        <v>0</v>
      </c>
      <c r="T1332" s="26" t="str">
        <f aca="false">IF($D1332="","",O1332-R1332-S1332)</f>
        <v/>
      </c>
    </row>
    <row r="1333" customFormat="false" ht="15" hidden="false" customHeight="false" outlineLevel="0" collapsed="false">
      <c r="I1333" s="24" t="str">
        <f aca="false">IF($D1333="","",IFERROR(INDEX(Workers!$B$5:$B$2004,MATCH($D1333,Workers!$A$5:$A$2004,0)),"NOT FOUND"))</f>
        <v/>
      </c>
      <c r="J1333" s="24" t="str">
        <f aca="false">IF($D1333="","",IFERROR(INDEX(Workers!$C$5:$C$2004,MATCH($D1333,Workers!$A$5:$A$2004,0)),""))</f>
        <v/>
      </c>
      <c r="K1333" s="24" t="str">
        <f aca="false">IF($D1333="","",IFERROR(IF(INDEX(Workers!$D$5:$D$2004,MATCH($D1333,Workers!$A$5:$A$2004,0))=0,"",INDEX(Workers!$D$5:$D$2004,MATCH($D1333,Workers!$A$5:$A$2004,0))),""))</f>
        <v/>
      </c>
      <c r="L1333" s="24" t="str">
        <f aca="false">IF($D1333="","",IFERROR(INDEX(Workers!$E$5:$E$2004,MATCH($D1333,Workers!$A$5:$A$2004,0)),""))</f>
        <v/>
      </c>
      <c r="M1333" s="26" t="str">
        <f aca="false">IF($D1333="","",IFERROR(INDEX(ClientRates!$D$5:$D$500,MATCH($B1333&amp;"|"&amp;$L1333,ClientRates!$A$5:$A$500,0)),0))</f>
        <v/>
      </c>
      <c r="N1333" s="26" t="str">
        <f aca="false">IF($D1333="","",IFERROR(INDEX(ClientRates!$E$5:$E$500,MATCH($B1333&amp;"|"&amp;$L1333,ClientRates!$A$5:$A$500,0)),0))</f>
        <v/>
      </c>
      <c r="O1333" s="26" t="str">
        <f aca="false">IF($D1333="","",F1333*M1333+G1333*N1333)</f>
        <v/>
      </c>
      <c r="P1333" s="26" t="str">
        <f aca="false">IF(OR($D1333="",$J1333&lt;&gt;"Supplier"),"",IFERROR(INDEX(SupplierRates!$D$5:$D$500,MATCH($K1333&amp;"|"&amp;$L1333,SupplierRates!$A$5:$A$500,0)),0))</f>
        <v/>
      </c>
      <c r="Q1333" s="26" t="str">
        <f aca="false">IF(OR($D1333="",$J1333&lt;&gt;"Supplier"),"",IFERROR(INDEX(SupplierRates!$E$5:$E$500,MATCH($K1333&amp;"|"&amp;$L1333,SupplierRates!$A$5:$A$500,0)),0))</f>
        <v/>
      </c>
      <c r="R1333" s="26" t="n">
        <f aca="false">IF(OR($D1333="",$J1333&lt;&gt;"Supplier"),0,F1333*P1333+G1333*Q1333)</f>
        <v>0</v>
      </c>
      <c r="S1333" s="26" t="n">
        <f aca="false">IF(OR($D1333="",$J1333&lt;&gt;"Own"),0,IFERROR((F1333+G1333*Settings!$B$13)*INDEX(Workers!$V$5:$V$2004,MATCH($D1333,Workers!$A$5:$A$2004,0)),0))</f>
        <v>0</v>
      </c>
      <c r="T1333" s="26" t="str">
        <f aca="false">IF($D1333="","",O1333-R1333-S1333)</f>
        <v/>
      </c>
    </row>
    <row r="1334" customFormat="false" ht="15" hidden="false" customHeight="false" outlineLevel="0" collapsed="false">
      <c r="I1334" s="24" t="str">
        <f aca="false">IF($D1334="","",IFERROR(INDEX(Workers!$B$5:$B$2004,MATCH($D1334,Workers!$A$5:$A$2004,0)),"NOT FOUND"))</f>
        <v/>
      </c>
      <c r="J1334" s="24" t="str">
        <f aca="false">IF($D1334="","",IFERROR(INDEX(Workers!$C$5:$C$2004,MATCH($D1334,Workers!$A$5:$A$2004,0)),""))</f>
        <v/>
      </c>
      <c r="K1334" s="24" t="str">
        <f aca="false">IF($D1334="","",IFERROR(IF(INDEX(Workers!$D$5:$D$2004,MATCH($D1334,Workers!$A$5:$A$2004,0))=0,"",INDEX(Workers!$D$5:$D$2004,MATCH($D1334,Workers!$A$5:$A$2004,0))),""))</f>
        <v/>
      </c>
      <c r="L1334" s="24" t="str">
        <f aca="false">IF($D1334="","",IFERROR(INDEX(Workers!$E$5:$E$2004,MATCH($D1334,Workers!$A$5:$A$2004,0)),""))</f>
        <v/>
      </c>
      <c r="M1334" s="26" t="str">
        <f aca="false">IF($D1334="","",IFERROR(INDEX(ClientRates!$D$5:$D$500,MATCH($B1334&amp;"|"&amp;$L1334,ClientRates!$A$5:$A$500,0)),0))</f>
        <v/>
      </c>
      <c r="N1334" s="26" t="str">
        <f aca="false">IF($D1334="","",IFERROR(INDEX(ClientRates!$E$5:$E$500,MATCH($B1334&amp;"|"&amp;$L1334,ClientRates!$A$5:$A$500,0)),0))</f>
        <v/>
      </c>
      <c r="O1334" s="26" t="str">
        <f aca="false">IF($D1334="","",F1334*M1334+G1334*N1334)</f>
        <v/>
      </c>
      <c r="P1334" s="26" t="str">
        <f aca="false">IF(OR($D1334="",$J1334&lt;&gt;"Supplier"),"",IFERROR(INDEX(SupplierRates!$D$5:$D$500,MATCH($K1334&amp;"|"&amp;$L1334,SupplierRates!$A$5:$A$500,0)),0))</f>
        <v/>
      </c>
      <c r="Q1334" s="26" t="str">
        <f aca="false">IF(OR($D1334="",$J1334&lt;&gt;"Supplier"),"",IFERROR(INDEX(SupplierRates!$E$5:$E$500,MATCH($K1334&amp;"|"&amp;$L1334,SupplierRates!$A$5:$A$500,0)),0))</f>
        <v/>
      </c>
      <c r="R1334" s="26" t="n">
        <f aca="false">IF(OR($D1334="",$J1334&lt;&gt;"Supplier"),0,F1334*P1334+G1334*Q1334)</f>
        <v>0</v>
      </c>
      <c r="S1334" s="26" t="n">
        <f aca="false">IF(OR($D1334="",$J1334&lt;&gt;"Own"),0,IFERROR((F1334+G1334*Settings!$B$13)*INDEX(Workers!$V$5:$V$2004,MATCH($D1334,Workers!$A$5:$A$2004,0)),0))</f>
        <v>0</v>
      </c>
      <c r="T1334" s="26" t="str">
        <f aca="false">IF($D1334="","",O1334-R1334-S1334)</f>
        <v/>
      </c>
    </row>
    <row r="1335" customFormat="false" ht="15" hidden="false" customHeight="false" outlineLevel="0" collapsed="false">
      <c r="I1335" s="24" t="str">
        <f aca="false">IF($D1335="","",IFERROR(INDEX(Workers!$B$5:$B$2004,MATCH($D1335,Workers!$A$5:$A$2004,0)),"NOT FOUND"))</f>
        <v/>
      </c>
      <c r="J1335" s="24" t="str">
        <f aca="false">IF($D1335="","",IFERROR(INDEX(Workers!$C$5:$C$2004,MATCH($D1335,Workers!$A$5:$A$2004,0)),""))</f>
        <v/>
      </c>
      <c r="K1335" s="24" t="str">
        <f aca="false">IF($D1335="","",IFERROR(IF(INDEX(Workers!$D$5:$D$2004,MATCH($D1335,Workers!$A$5:$A$2004,0))=0,"",INDEX(Workers!$D$5:$D$2004,MATCH($D1335,Workers!$A$5:$A$2004,0))),""))</f>
        <v/>
      </c>
      <c r="L1335" s="24" t="str">
        <f aca="false">IF($D1335="","",IFERROR(INDEX(Workers!$E$5:$E$2004,MATCH($D1335,Workers!$A$5:$A$2004,0)),""))</f>
        <v/>
      </c>
      <c r="M1335" s="26" t="str">
        <f aca="false">IF($D1335="","",IFERROR(INDEX(ClientRates!$D$5:$D$500,MATCH($B1335&amp;"|"&amp;$L1335,ClientRates!$A$5:$A$500,0)),0))</f>
        <v/>
      </c>
      <c r="N1335" s="26" t="str">
        <f aca="false">IF($D1335="","",IFERROR(INDEX(ClientRates!$E$5:$E$500,MATCH($B1335&amp;"|"&amp;$L1335,ClientRates!$A$5:$A$500,0)),0))</f>
        <v/>
      </c>
      <c r="O1335" s="26" t="str">
        <f aca="false">IF($D1335="","",F1335*M1335+G1335*N1335)</f>
        <v/>
      </c>
      <c r="P1335" s="26" t="str">
        <f aca="false">IF(OR($D1335="",$J1335&lt;&gt;"Supplier"),"",IFERROR(INDEX(SupplierRates!$D$5:$D$500,MATCH($K1335&amp;"|"&amp;$L1335,SupplierRates!$A$5:$A$500,0)),0))</f>
        <v/>
      </c>
      <c r="Q1335" s="26" t="str">
        <f aca="false">IF(OR($D1335="",$J1335&lt;&gt;"Supplier"),"",IFERROR(INDEX(SupplierRates!$E$5:$E$500,MATCH($K1335&amp;"|"&amp;$L1335,SupplierRates!$A$5:$A$500,0)),0))</f>
        <v/>
      </c>
      <c r="R1335" s="26" t="n">
        <f aca="false">IF(OR($D1335="",$J1335&lt;&gt;"Supplier"),0,F1335*P1335+G1335*Q1335)</f>
        <v>0</v>
      </c>
      <c r="S1335" s="26" t="n">
        <f aca="false">IF(OR($D1335="",$J1335&lt;&gt;"Own"),0,IFERROR((F1335+G1335*Settings!$B$13)*INDEX(Workers!$V$5:$V$2004,MATCH($D1335,Workers!$A$5:$A$2004,0)),0))</f>
        <v>0</v>
      </c>
      <c r="T1335" s="26" t="str">
        <f aca="false">IF($D1335="","",O1335-R1335-S1335)</f>
        <v/>
      </c>
    </row>
    <row r="1336" customFormat="false" ht="15" hidden="false" customHeight="false" outlineLevel="0" collapsed="false">
      <c r="I1336" s="24" t="str">
        <f aca="false">IF($D1336="","",IFERROR(INDEX(Workers!$B$5:$B$2004,MATCH($D1336,Workers!$A$5:$A$2004,0)),"NOT FOUND"))</f>
        <v/>
      </c>
      <c r="J1336" s="24" t="str">
        <f aca="false">IF($D1336="","",IFERROR(INDEX(Workers!$C$5:$C$2004,MATCH($D1336,Workers!$A$5:$A$2004,0)),""))</f>
        <v/>
      </c>
      <c r="K1336" s="24" t="str">
        <f aca="false">IF($D1336="","",IFERROR(IF(INDEX(Workers!$D$5:$D$2004,MATCH($D1336,Workers!$A$5:$A$2004,0))=0,"",INDEX(Workers!$D$5:$D$2004,MATCH($D1336,Workers!$A$5:$A$2004,0))),""))</f>
        <v/>
      </c>
      <c r="L1336" s="24" t="str">
        <f aca="false">IF($D1336="","",IFERROR(INDEX(Workers!$E$5:$E$2004,MATCH($D1336,Workers!$A$5:$A$2004,0)),""))</f>
        <v/>
      </c>
      <c r="M1336" s="26" t="str">
        <f aca="false">IF($D1336="","",IFERROR(INDEX(ClientRates!$D$5:$D$500,MATCH($B1336&amp;"|"&amp;$L1336,ClientRates!$A$5:$A$500,0)),0))</f>
        <v/>
      </c>
      <c r="N1336" s="26" t="str">
        <f aca="false">IF($D1336="","",IFERROR(INDEX(ClientRates!$E$5:$E$500,MATCH($B1336&amp;"|"&amp;$L1336,ClientRates!$A$5:$A$500,0)),0))</f>
        <v/>
      </c>
      <c r="O1336" s="26" t="str">
        <f aca="false">IF($D1336="","",F1336*M1336+G1336*N1336)</f>
        <v/>
      </c>
      <c r="P1336" s="26" t="str">
        <f aca="false">IF(OR($D1336="",$J1336&lt;&gt;"Supplier"),"",IFERROR(INDEX(SupplierRates!$D$5:$D$500,MATCH($K1336&amp;"|"&amp;$L1336,SupplierRates!$A$5:$A$500,0)),0))</f>
        <v/>
      </c>
      <c r="Q1336" s="26" t="str">
        <f aca="false">IF(OR($D1336="",$J1336&lt;&gt;"Supplier"),"",IFERROR(INDEX(SupplierRates!$E$5:$E$500,MATCH($K1336&amp;"|"&amp;$L1336,SupplierRates!$A$5:$A$500,0)),0))</f>
        <v/>
      </c>
      <c r="R1336" s="26" t="n">
        <f aca="false">IF(OR($D1336="",$J1336&lt;&gt;"Supplier"),0,F1336*P1336+G1336*Q1336)</f>
        <v>0</v>
      </c>
      <c r="S1336" s="26" t="n">
        <f aca="false">IF(OR($D1336="",$J1336&lt;&gt;"Own"),0,IFERROR((F1336+G1336*Settings!$B$13)*INDEX(Workers!$V$5:$V$2004,MATCH($D1336,Workers!$A$5:$A$2004,0)),0))</f>
        <v>0</v>
      </c>
      <c r="T1336" s="26" t="str">
        <f aca="false">IF($D1336="","",O1336-R1336-S1336)</f>
        <v/>
      </c>
    </row>
    <row r="1337" customFormat="false" ht="15" hidden="false" customHeight="false" outlineLevel="0" collapsed="false">
      <c r="I1337" s="24" t="str">
        <f aca="false">IF($D1337="","",IFERROR(INDEX(Workers!$B$5:$B$2004,MATCH($D1337,Workers!$A$5:$A$2004,0)),"NOT FOUND"))</f>
        <v/>
      </c>
      <c r="J1337" s="24" t="str">
        <f aca="false">IF($D1337="","",IFERROR(INDEX(Workers!$C$5:$C$2004,MATCH($D1337,Workers!$A$5:$A$2004,0)),""))</f>
        <v/>
      </c>
      <c r="K1337" s="24" t="str">
        <f aca="false">IF($D1337="","",IFERROR(IF(INDEX(Workers!$D$5:$D$2004,MATCH($D1337,Workers!$A$5:$A$2004,0))=0,"",INDEX(Workers!$D$5:$D$2004,MATCH($D1337,Workers!$A$5:$A$2004,0))),""))</f>
        <v/>
      </c>
      <c r="L1337" s="24" t="str">
        <f aca="false">IF($D1337="","",IFERROR(INDEX(Workers!$E$5:$E$2004,MATCH($D1337,Workers!$A$5:$A$2004,0)),""))</f>
        <v/>
      </c>
      <c r="M1337" s="26" t="str">
        <f aca="false">IF($D1337="","",IFERROR(INDEX(ClientRates!$D$5:$D$500,MATCH($B1337&amp;"|"&amp;$L1337,ClientRates!$A$5:$A$500,0)),0))</f>
        <v/>
      </c>
      <c r="N1337" s="26" t="str">
        <f aca="false">IF($D1337="","",IFERROR(INDEX(ClientRates!$E$5:$E$500,MATCH($B1337&amp;"|"&amp;$L1337,ClientRates!$A$5:$A$500,0)),0))</f>
        <v/>
      </c>
      <c r="O1337" s="26" t="str">
        <f aca="false">IF($D1337="","",F1337*M1337+G1337*N1337)</f>
        <v/>
      </c>
      <c r="P1337" s="26" t="str">
        <f aca="false">IF(OR($D1337="",$J1337&lt;&gt;"Supplier"),"",IFERROR(INDEX(SupplierRates!$D$5:$D$500,MATCH($K1337&amp;"|"&amp;$L1337,SupplierRates!$A$5:$A$500,0)),0))</f>
        <v/>
      </c>
      <c r="Q1337" s="26" t="str">
        <f aca="false">IF(OR($D1337="",$J1337&lt;&gt;"Supplier"),"",IFERROR(INDEX(SupplierRates!$E$5:$E$500,MATCH($K1337&amp;"|"&amp;$L1337,SupplierRates!$A$5:$A$500,0)),0))</f>
        <v/>
      </c>
      <c r="R1337" s="26" t="n">
        <f aca="false">IF(OR($D1337="",$J1337&lt;&gt;"Supplier"),0,F1337*P1337+G1337*Q1337)</f>
        <v>0</v>
      </c>
      <c r="S1337" s="26" t="n">
        <f aca="false">IF(OR($D1337="",$J1337&lt;&gt;"Own"),0,IFERROR((F1337+G1337*Settings!$B$13)*INDEX(Workers!$V$5:$V$2004,MATCH($D1337,Workers!$A$5:$A$2004,0)),0))</f>
        <v>0</v>
      </c>
      <c r="T1337" s="26" t="str">
        <f aca="false">IF($D1337="","",O1337-R1337-S1337)</f>
        <v/>
      </c>
    </row>
    <row r="1338" customFormat="false" ht="15" hidden="false" customHeight="false" outlineLevel="0" collapsed="false">
      <c r="I1338" s="24" t="str">
        <f aca="false">IF($D1338="","",IFERROR(INDEX(Workers!$B$5:$B$2004,MATCH($D1338,Workers!$A$5:$A$2004,0)),"NOT FOUND"))</f>
        <v/>
      </c>
      <c r="J1338" s="24" t="str">
        <f aca="false">IF($D1338="","",IFERROR(INDEX(Workers!$C$5:$C$2004,MATCH($D1338,Workers!$A$5:$A$2004,0)),""))</f>
        <v/>
      </c>
      <c r="K1338" s="24" t="str">
        <f aca="false">IF($D1338="","",IFERROR(IF(INDEX(Workers!$D$5:$D$2004,MATCH($D1338,Workers!$A$5:$A$2004,0))=0,"",INDEX(Workers!$D$5:$D$2004,MATCH($D1338,Workers!$A$5:$A$2004,0))),""))</f>
        <v/>
      </c>
      <c r="L1338" s="24" t="str">
        <f aca="false">IF($D1338="","",IFERROR(INDEX(Workers!$E$5:$E$2004,MATCH($D1338,Workers!$A$5:$A$2004,0)),""))</f>
        <v/>
      </c>
      <c r="M1338" s="26" t="str">
        <f aca="false">IF($D1338="","",IFERROR(INDEX(ClientRates!$D$5:$D$500,MATCH($B1338&amp;"|"&amp;$L1338,ClientRates!$A$5:$A$500,0)),0))</f>
        <v/>
      </c>
      <c r="N1338" s="26" t="str">
        <f aca="false">IF($D1338="","",IFERROR(INDEX(ClientRates!$E$5:$E$500,MATCH($B1338&amp;"|"&amp;$L1338,ClientRates!$A$5:$A$500,0)),0))</f>
        <v/>
      </c>
      <c r="O1338" s="26" t="str">
        <f aca="false">IF($D1338="","",F1338*M1338+G1338*N1338)</f>
        <v/>
      </c>
      <c r="P1338" s="26" t="str">
        <f aca="false">IF(OR($D1338="",$J1338&lt;&gt;"Supplier"),"",IFERROR(INDEX(SupplierRates!$D$5:$D$500,MATCH($K1338&amp;"|"&amp;$L1338,SupplierRates!$A$5:$A$500,0)),0))</f>
        <v/>
      </c>
      <c r="Q1338" s="26" t="str">
        <f aca="false">IF(OR($D1338="",$J1338&lt;&gt;"Supplier"),"",IFERROR(INDEX(SupplierRates!$E$5:$E$500,MATCH($K1338&amp;"|"&amp;$L1338,SupplierRates!$A$5:$A$500,0)),0))</f>
        <v/>
      </c>
      <c r="R1338" s="26" t="n">
        <f aca="false">IF(OR($D1338="",$J1338&lt;&gt;"Supplier"),0,F1338*P1338+G1338*Q1338)</f>
        <v>0</v>
      </c>
      <c r="S1338" s="26" t="n">
        <f aca="false">IF(OR($D1338="",$J1338&lt;&gt;"Own"),0,IFERROR((F1338+G1338*Settings!$B$13)*INDEX(Workers!$V$5:$V$2004,MATCH($D1338,Workers!$A$5:$A$2004,0)),0))</f>
        <v>0</v>
      </c>
      <c r="T1338" s="26" t="str">
        <f aca="false">IF($D1338="","",O1338-R1338-S1338)</f>
        <v/>
      </c>
    </row>
    <row r="1339" customFormat="false" ht="15" hidden="false" customHeight="false" outlineLevel="0" collapsed="false">
      <c r="I1339" s="24" t="str">
        <f aca="false">IF($D1339="","",IFERROR(INDEX(Workers!$B$5:$B$2004,MATCH($D1339,Workers!$A$5:$A$2004,0)),"NOT FOUND"))</f>
        <v/>
      </c>
      <c r="J1339" s="24" t="str">
        <f aca="false">IF($D1339="","",IFERROR(INDEX(Workers!$C$5:$C$2004,MATCH($D1339,Workers!$A$5:$A$2004,0)),""))</f>
        <v/>
      </c>
      <c r="K1339" s="24" t="str">
        <f aca="false">IF($D1339="","",IFERROR(IF(INDEX(Workers!$D$5:$D$2004,MATCH($D1339,Workers!$A$5:$A$2004,0))=0,"",INDEX(Workers!$D$5:$D$2004,MATCH($D1339,Workers!$A$5:$A$2004,0))),""))</f>
        <v/>
      </c>
      <c r="L1339" s="24" t="str">
        <f aca="false">IF($D1339="","",IFERROR(INDEX(Workers!$E$5:$E$2004,MATCH($D1339,Workers!$A$5:$A$2004,0)),""))</f>
        <v/>
      </c>
      <c r="M1339" s="26" t="str">
        <f aca="false">IF($D1339="","",IFERROR(INDEX(ClientRates!$D$5:$D$500,MATCH($B1339&amp;"|"&amp;$L1339,ClientRates!$A$5:$A$500,0)),0))</f>
        <v/>
      </c>
      <c r="N1339" s="26" t="str">
        <f aca="false">IF($D1339="","",IFERROR(INDEX(ClientRates!$E$5:$E$500,MATCH($B1339&amp;"|"&amp;$L1339,ClientRates!$A$5:$A$500,0)),0))</f>
        <v/>
      </c>
      <c r="O1339" s="26" t="str">
        <f aca="false">IF($D1339="","",F1339*M1339+G1339*N1339)</f>
        <v/>
      </c>
      <c r="P1339" s="26" t="str">
        <f aca="false">IF(OR($D1339="",$J1339&lt;&gt;"Supplier"),"",IFERROR(INDEX(SupplierRates!$D$5:$D$500,MATCH($K1339&amp;"|"&amp;$L1339,SupplierRates!$A$5:$A$500,0)),0))</f>
        <v/>
      </c>
      <c r="Q1339" s="26" t="str">
        <f aca="false">IF(OR($D1339="",$J1339&lt;&gt;"Supplier"),"",IFERROR(INDEX(SupplierRates!$E$5:$E$500,MATCH($K1339&amp;"|"&amp;$L1339,SupplierRates!$A$5:$A$500,0)),0))</f>
        <v/>
      </c>
      <c r="R1339" s="26" t="n">
        <f aca="false">IF(OR($D1339="",$J1339&lt;&gt;"Supplier"),0,F1339*P1339+G1339*Q1339)</f>
        <v>0</v>
      </c>
      <c r="S1339" s="26" t="n">
        <f aca="false">IF(OR($D1339="",$J1339&lt;&gt;"Own"),0,IFERROR((F1339+G1339*Settings!$B$13)*INDEX(Workers!$V$5:$V$2004,MATCH($D1339,Workers!$A$5:$A$2004,0)),0))</f>
        <v>0</v>
      </c>
      <c r="T1339" s="26" t="str">
        <f aca="false">IF($D1339="","",O1339-R1339-S1339)</f>
        <v/>
      </c>
    </row>
    <row r="1340" customFormat="false" ht="15" hidden="false" customHeight="false" outlineLevel="0" collapsed="false">
      <c r="I1340" s="24" t="str">
        <f aca="false">IF($D1340="","",IFERROR(INDEX(Workers!$B$5:$B$2004,MATCH($D1340,Workers!$A$5:$A$2004,0)),"NOT FOUND"))</f>
        <v/>
      </c>
      <c r="J1340" s="24" t="str">
        <f aca="false">IF($D1340="","",IFERROR(INDEX(Workers!$C$5:$C$2004,MATCH($D1340,Workers!$A$5:$A$2004,0)),""))</f>
        <v/>
      </c>
      <c r="K1340" s="24" t="str">
        <f aca="false">IF($D1340="","",IFERROR(IF(INDEX(Workers!$D$5:$D$2004,MATCH($D1340,Workers!$A$5:$A$2004,0))=0,"",INDEX(Workers!$D$5:$D$2004,MATCH($D1340,Workers!$A$5:$A$2004,0))),""))</f>
        <v/>
      </c>
      <c r="L1340" s="24" t="str">
        <f aca="false">IF($D1340="","",IFERROR(INDEX(Workers!$E$5:$E$2004,MATCH($D1340,Workers!$A$5:$A$2004,0)),""))</f>
        <v/>
      </c>
      <c r="M1340" s="26" t="str">
        <f aca="false">IF($D1340="","",IFERROR(INDEX(ClientRates!$D$5:$D$500,MATCH($B1340&amp;"|"&amp;$L1340,ClientRates!$A$5:$A$500,0)),0))</f>
        <v/>
      </c>
      <c r="N1340" s="26" t="str">
        <f aca="false">IF($D1340="","",IFERROR(INDEX(ClientRates!$E$5:$E$500,MATCH($B1340&amp;"|"&amp;$L1340,ClientRates!$A$5:$A$500,0)),0))</f>
        <v/>
      </c>
      <c r="O1340" s="26" t="str">
        <f aca="false">IF($D1340="","",F1340*M1340+G1340*N1340)</f>
        <v/>
      </c>
      <c r="P1340" s="26" t="str">
        <f aca="false">IF(OR($D1340="",$J1340&lt;&gt;"Supplier"),"",IFERROR(INDEX(SupplierRates!$D$5:$D$500,MATCH($K1340&amp;"|"&amp;$L1340,SupplierRates!$A$5:$A$500,0)),0))</f>
        <v/>
      </c>
      <c r="Q1340" s="26" t="str">
        <f aca="false">IF(OR($D1340="",$J1340&lt;&gt;"Supplier"),"",IFERROR(INDEX(SupplierRates!$E$5:$E$500,MATCH($K1340&amp;"|"&amp;$L1340,SupplierRates!$A$5:$A$500,0)),0))</f>
        <v/>
      </c>
      <c r="R1340" s="26" t="n">
        <f aca="false">IF(OR($D1340="",$J1340&lt;&gt;"Supplier"),0,F1340*P1340+G1340*Q1340)</f>
        <v>0</v>
      </c>
      <c r="S1340" s="26" t="n">
        <f aca="false">IF(OR($D1340="",$J1340&lt;&gt;"Own"),0,IFERROR((F1340+G1340*Settings!$B$13)*INDEX(Workers!$V$5:$V$2004,MATCH($D1340,Workers!$A$5:$A$2004,0)),0))</f>
        <v>0</v>
      </c>
      <c r="T1340" s="26" t="str">
        <f aca="false">IF($D1340="","",O1340-R1340-S1340)</f>
        <v/>
      </c>
    </row>
    <row r="1341" customFormat="false" ht="15" hidden="false" customHeight="false" outlineLevel="0" collapsed="false">
      <c r="I1341" s="24" t="str">
        <f aca="false">IF($D1341="","",IFERROR(INDEX(Workers!$B$5:$B$2004,MATCH($D1341,Workers!$A$5:$A$2004,0)),"NOT FOUND"))</f>
        <v/>
      </c>
      <c r="J1341" s="24" t="str">
        <f aca="false">IF($D1341="","",IFERROR(INDEX(Workers!$C$5:$C$2004,MATCH($D1341,Workers!$A$5:$A$2004,0)),""))</f>
        <v/>
      </c>
      <c r="K1341" s="24" t="str">
        <f aca="false">IF($D1341="","",IFERROR(IF(INDEX(Workers!$D$5:$D$2004,MATCH($D1341,Workers!$A$5:$A$2004,0))=0,"",INDEX(Workers!$D$5:$D$2004,MATCH($D1341,Workers!$A$5:$A$2004,0))),""))</f>
        <v/>
      </c>
      <c r="L1341" s="24" t="str">
        <f aca="false">IF($D1341="","",IFERROR(INDEX(Workers!$E$5:$E$2004,MATCH($D1341,Workers!$A$5:$A$2004,0)),""))</f>
        <v/>
      </c>
      <c r="M1341" s="26" t="str">
        <f aca="false">IF($D1341="","",IFERROR(INDEX(ClientRates!$D$5:$D$500,MATCH($B1341&amp;"|"&amp;$L1341,ClientRates!$A$5:$A$500,0)),0))</f>
        <v/>
      </c>
      <c r="N1341" s="26" t="str">
        <f aca="false">IF($D1341="","",IFERROR(INDEX(ClientRates!$E$5:$E$500,MATCH($B1341&amp;"|"&amp;$L1341,ClientRates!$A$5:$A$500,0)),0))</f>
        <v/>
      </c>
      <c r="O1341" s="26" t="str">
        <f aca="false">IF($D1341="","",F1341*M1341+G1341*N1341)</f>
        <v/>
      </c>
      <c r="P1341" s="26" t="str">
        <f aca="false">IF(OR($D1341="",$J1341&lt;&gt;"Supplier"),"",IFERROR(INDEX(SupplierRates!$D$5:$D$500,MATCH($K1341&amp;"|"&amp;$L1341,SupplierRates!$A$5:$A$500,0)),0))</f>
        <v/>
      </c>
      <c r="Q1341" s="26" t="str">
        <f aca="false">IF(OR($D1341="",$J1341&lt;&gt;"Supplier"),"",IFERROR(INDEX(SupplierRates!$E$5:$E$500,MATCH($K1341&amp;"|"&amp;$L1341,SupplierRates!$A$5:$A$500,0)),0))</f>
        <v/>
      </c>
      <c r="R1341" s="26" t="n">
        <f aca="false">IF(OR($D1341="",$J1341&lt;&gt;"Supplier"),0,F1341*P1341+G1341*Q1341)</f>
        <v>0</v>
      </c>
      <c r="S1341" s="26" t="n">
        <f aca="false">IF(OR($D1341="",$J1341&lt;&gt;"Own"),0,IFERROR((F1341+G1341*Settings!$B$13)*INDEX(Workers!$V$5:$V$2004,MATCH($D1341,Workers!$A$5:$A$2004,0)),0))</f>
        <v>0</v>
      </c>
      <c r="T1341" s="26" t="str">
        <f aca="false">IF($D1341="","",O1341-R1341-S1341)</f>
        <v/>
      </c>
    </row>
    <row r="1342" customFormat="false" ht="15" hidden="false" customHeight="false" outlineLevel="0" collapsed="false">
      <c r="I1342" s="24" t="str">
        <f aca="false">IF($D1342="","",IFERROR(INDEX(Workers!$B$5:$B$2004,MATCH($D1342,Workers!$A$5:$A$2004,0)),"NOT FOUND"))</f>
        <v/>
      </c>
      <c r="J1342" s="24" t="str">
        <f aca="false">IF($D1342="","",IFERROR(INDEX(Workers!$C$5:$C$2004,MATCH($D1342,Workers!$A$5:$A$2004,0)),""))</f>
        <v/>
      </c>
      <c r="K1342" s="24" t="str">
        <f aca="false">IF($D1342="","",IFERROR(IF(INDEX(Workers!$D$5:$D$2004,MATCH($D1342,Workers!$A$5:$A$2004,0))=0,"",INDEX(Workers!$D$5:$D$2004,MATCH($D1342,Workers!$A$5:$A$2004,0))),""))</f>
        <v/>
      </c>
      <c r="L1342" s="24" t="str">
        <f aca="false">IF($D1342="","",IFERROR(INDEX(Workers!$E$5:$E$2004,MATCH($D1342,Workers!$A$5:$A$2004,0)),""))</f>
        <v/>
      </c>
      <c r="M1342" s="26" t="str">
        <f aca="false">IF($D1342="","",IFERROR(INDEX(ClientRates!$D$5:$D$500,MATCH($B1342&amp;"|"&amp;$L1342,ClientRates!$A$5:$A$500,0)),0))</f>
        <v/>
      </c>
      <c r="N1342" s="26" t="str">
        <f aca="false">IF($D1342="","",IFERROR(INDEX(ClientRates!$E$5:$E$500,MATCH($B1342&amp;"|"&amp;$L1342,ClientRates!$A$5:$A$500,0)),0))</f>
        <v/>
      </c>
      <c r="O1342" s="26" t="str">
        <f aca="false">IF($D1342="","",F1342*M1342+G1342*N1342)</f>
        <v/>
      </c>
      <c r="P1342" s="26" t="str">
        <f aca="false">IF(OR($D1342="",$J1342&lt;&gt;"Supplier"),"",IFERROR(INDEX(SupplierRates!$D$5:$D$500,MATCH($K1342&amp;"|"&amp;$L1342,SupplierRates!$A$5:$A$500,0)),0))</f>
        <v/>
      </c>
      <c r="Q1342" s="26" t="str">
        <f aca="false">IF(OR($D1342="",$J1342&lt;&gt;"Supplier"),"",IFERROR(INDEX(SupplierRates!$E$5:$E$500,MATCH($K1342&amp;"|"&amp;$L1342,SupplierRates!$A$5:$A$500,0)),0))</f>
        <v/>
      </c>
      <c r="R1342" s="26" t="n">
        <f aca="false">IF(OR($D1342="",$J1342&lt;&gt;"Supplier"),0,F1342*P1342+G1342*Q1342)</f>
        <v>0</v>
      </c>
      <c r="S1342" s="26" t="n">
        <f aca="false">IF(OR($D1342="",$J1342&lt;&gt;"Own"),0,IFERROR((F1342+G1342*Settings!$B$13)*INDEX(Workers!$V$5:$V$2004,MATCH($D1342,Workers!$A$5:$A$2004,0)),0))</f>
        <v>0</v>
      </c>
      <c r="T1342" s="26" t="str">
        <f aca="false">IF($D1342="","",O1342-R1342-S1342)</f>
        <v/>
      </c>
    </row>
    <row r="1343" customFormat="false" ht="15" hidden="false" customHeight="false" outlineLevel="0" collapsed="false">
      <c r="I1343" s="24" t="str">
        <f aca="false">IF($D1343="","",IFERROR(INDEX(Workers!$B$5:$B$2004,MATCH($D1343,Workers!$A$5:$A$2004,0)),"NOT FOUND"))</f>
        <v/>
      </c>
      <c r="J1343" s="24" t="str">
        <f aca="false">IF($D1343="","",IFERROR(INDEX(Workers!$C$5:$C$2004,MATCH($D1343,Workers!$A$5:$A$2004,0)),""))</f>
        <v/>
      </c>
      <c r="K1343" s="24" t="str">
        <f aca="false">IF($D1343="","",IFERROR(IF(INDEX(Workers!$D$5:$D$2004,MATCH($D1343,Workers!$A$5:$A$2004,0))=0,"",INDEX(Workers!$D$5:$D$2004,MATCH($D1343,Workers!$A$5:$A$2004,0))),""))</f>
        <v/>
      </c>
      <c r="L1343" s="24" t="str">
        <f aca="false">IF($D1343="","",IFERROR(INDEX(Workers!$E$5:$E$2004,MATCH($D1343,Workers!$A$5:$A$2004,0)),""))</f>
        <v/>
      </c>
      <c r="M1343" s="26" t="str">
        <f aca="false">IF($D1343="","",IFERROR(INDEX(ClientRates!$D$5:$D$500,MATCH($B1343&amp;"|"&amp;$L1343,ClientRates!$A$5:$A$500,0)),0))</f>
        <v/>
      </c>
      <c r="N1343" s="26" t="str">
        <f aca="false">IF($D1343="","",IFERROR(INDEX(ClientRates!$E$5:$E$500,MATCH($B1343&amp;"|"&amp;$L1343,ClientRates!$A$5:$A$500,0)),0))</f>
        <v/>
      </c>
      <c r="O1343" s="26" t="str">
        <f aca="false">IF($D1343="","",F1343*M1343+G1343*N1343)</f>
        <v/>
      </c>
      <c r="P1343" s="26" t="str">
        <f aca="false">IF(OR($D1343="",$J1343&lt;&gt;"Supplier"),"",IFERROR(INDEX(SupplierRates!$D$5:$D$500,MATCH($K1343&amp;"|"&amp;$L1343,SupplierRates!$A$5:$A$500,0)),0))</f>
        <v/>
      </c>
      <c r="Q1343" s="26" t="str">
        <f aca="false">IF(OR($D1343="",$J1343&lt;&gt;"Supplier"),"",IFERROR(INDEX(SupplierRates!$E$5:$E$500,MATCH($K1343&amp;"|"&amp;$L1343,SupplierRates!$A$5:$A$500,0)),0))</f>
        <v/>
      </c>
      <c r="R1343" s="26" t="n">
        <f aca="false">IF(OR($D1343="",$J1343&lt;&gt;"Supplier"),0,F1343*P1343+G1343*Q1343)</f>
        <v>0</v>
      </c>
      <c r="S1343" s="26" t="n">
        <f aca="false">IF(OR($D1343="",$J1343&lt;&gt;"Own"),0,IFERROR((F1343+G1343*Settings!$B$13)*INDEX(Workers!$V$5:$V$2004,MATCH($D1343,Workers!$A$5:$A$2004,0)),0))</f>
        <v>0</v>
      </c>
      <c r="T1343" s="26" t="str">
        <f aca="false">IF($D1343="","",O1343-R1343-S1343)</f>
        <v/>
      </c>
    </row>
    <row r="1344" customFormat="false" ht="15" hidden="false" customHeight="false" outlineLevel="0" collapsed="false">
      <c r="I1344" s="24" t="str">
        <f aca="false">IF($D1344="","",IFERROR(INDEX(Workers!$B$5:$B$2004,MATCH($D1344,Workers!$A$5:$A$2004,0)),"NOT FOUND"))</f>
        <v/>
      </c>
      <c r="J1344" s="24" t="str">
        <f aca="false">IF($D1344="","",IFERROR(INDEX(Workers!$C$5:$C$2004,MATCH($D1344,Workers!$A$5:$A$2004,0)),""))</f>
        <v/>
      </c>
      <c r="K1344" s="24" t="str">
        <f aca="false">IF($D1344="","",IFERROR(IF(INDEX(Workers!$D$5:$D$2004,MATCH($D1344,Workers!$A$5:$A$2004,0))=0,"",INDEX(Workers!$D$5:$D$2004,MATCH($D1344,Workers!$A$5:$A$2004,0))),""))</f>
        <v/>
      </c>
      <c r="L1344" s="24" t="str">
        <f aca="false">IF($D1344="","",IFERROR(INDEX(Workers!$E$5:$E$2004,MATCH($D1344,Workers!$A$5:$A$2004,0)),""))</f>
        <v/>
      </c>
      <c r="M1344" s="26" t="str">
        <f aca="false">IF($D1344="","",IFERROR(INDEX(ClientRates!$D$5:$D$500,MATCH($B1344&amp;"|"&amp;$L1344,ClientRates!$A$5:$A$500,0)),0))</f>
        <v/>
      </c>
      <c r="N1344" s="26" t="str">
        <f aca="false">IF($D1344="","",IFERROR(INDEX(ClientRates!$E$5:$E$500,MATCH($B1344&amp;"|"&amp;$L1344,ClientRates!$A$5:$A$500,0)),0))</f>
        <v/>
      </c>
      <c r="O1344" s="26" t="str">
        <f aca="false">IF($D1344="","",F1344*M1344+G1344*N1344)</f>
        <v/>
      </c>
      <c r="P1344" s="26" t="str">
        <f aca="false">IF(OR($D1344="",$J1344&lt;&gt;"Supplier"),"",IFERROR(INDEX(SupplierRates!$D$5:$D$500,MATCH($K1344&amp;"|"&amp;$L1344,SupplierRates!$A$5:$A$500,0)),0))</f>
        <v/>
      </c>
      <c r="Q1344" s="26" t="str">
        <f aca="false">IF(OR($D1344="",$J1344&lt;&gt;"Supplier"),"",IFERROR(INDEX(SupplierRates!$E$5:$E$500,MATCH($K1344&amp;"|"&amp;$L1344,SupplierRates!$A$5:$A$500,0)),0))</f>
        <v/>
      </c>
      <c r="R1344" s="26" t="n">
        <f aca="false">IF(OR($D1344="",$J1344&lt;&gt;"Supplier"),0,F1344*P1344+G1344*Q1344)</f>
        <v>0</v>
      </c>
      <c r="S1344" s="26" t="n">
        <f aca="false">IF(OR($D1344="",$J1344&lt;&gt;"Own"),0,IFERROR((F1344+G1344*Settings!$B$13)*INDEX(Workers!$V$5:$V$2004,MATCH($D1344,Workers!$A$5:$A$2004,0)),0))</f>
        <v>0</v>
      </c>
      <c r="T1344" s="26" t="str">
        <f aca="false">IF($D1344="","",O1344-R1344-S1344)</f>
        <v/>
      </c>
    </row>
    <row r="1345" customFormat="false" ht="15" hidden="false" customHeight="false" outlineLevel="0" collapsed="false">
      <c r="I1345" s="24" t="str">
        <f aca="false">IF($D1345="","",IFERROR(INDEX(Workers!$B$5:$B$2004,MATCH($D1345,Workers!$A$5:$A$2004,0)),"NOT FOUND"))</f>
        <v/>
      </c>
      <c r="J1345" s="24" t="str">
        <f aca="false">IF($D1345="","",IFERROR(INDEX(Workers!$C$5:$C$2004,MATCH($D1345,Workers!$A$5:$A$2004,0)),""))</f>
        <v/>
      </c>
      <c r="K1345" s="24" t="str">
        <f aca="false">IF($D1345="","",IFERROR(IF(INDEX(Workers!$D$5:$D$2004,MATCH($D1345,Workers!$A$5:$A$2004,0))=0,"",INDEX(Workers!$D$5:$D$2004,MATCH($D1345,Workers!$A$5:$A$2004,0))),""))</f>
        <v/>
      </c>
      <c r="L1345" s="24" t="str">
        <f aca="false">IF($D1345="","",IFERROR(INDEX(Workers!$E$5:$E$2004,MATCH($D1345,Workers!$A$5:$A$2004,0)),""))</f>
        <v/>
      </c>
      <c r="M1345" s="26" t="str">
        <f aca="false">IF($D1345="","",IFERROR(INDEX(ClientRates!$D$5:$D$500,MATCH($B1345&amp;"|"&amp;$L1345,ClientRates!$A$5:$A$500,0)),0))</f>
        <v/>
      </c>
      <c r="N1345" s="26" t="str">
        <f aca="false">IF($D1345="","",IFERROR(INDEX(ClientRates!$E$5:$E$500,MATCH($B1345&amp;"|"&amp;$L1345,ClientRates!$A$5:$A$500,0)),0))</f>
        <v/>
      </c>
      <c r="O1345" s="26" t="str">
        <f aca="false">IF($D1345="","",F1345*M1345+G1345*N1345)</f>
        <v/>
      </c>
      <c r="P1345" s="26" t="str">
        <f aca="false">IF(OR($D1345="",$J1345&lt;&gt;"Supplier"),"",IFERROR(INDEX(SupplierRates!$D$5:$D$500,MATCH($K1345&amp;"|"&amp;$L1345,SupplierRates!$A$5:$A$500,0)),0))</f>
        <v/>
      </c>
      <c r="Q1345" s="26" t="str">
        <f aca="false">IF(OR($D1345="",$J1345&lt;&gt;"Supplier"),"",IFERROR(INDEX(SupplierRates!$E$5:$E$500,MATCH($K1345&amp;"|"&amp;$L1345,SupplierRates!$A$5:$A$500,0)),0))</f>
        <v/>
      </c>
      <c r="R1345" s="26" t="n">
        <f aca="false">IF(OR($D1345="",$J1345&lt;&gt;"Supplier"),0,F1345*P1345+G1345*Q1345)</f>
        <v>0</v>
      </c>
      <c r="S1345" s="26" t="n">
        <f aca="false">IF(OR($D1345="",$J1345&lt;&gt;"Own"),0,IFERROR((F1345+G1345*Settings!$B$13)*INDEX(Workers!$V$5:$V$2004,MATCH($D1345,Workers!$A$5:$A$2004,0)),0))</f>
        <v>0</v>
      </c>
      <c r="T1345" s="26" t="str">
        <f aca="false">IF($D1345="","",O1345-R1345-S1345)</f>
        <v/>
      </c>
    </row>
    <row r="1346" customFormat="false" ht="15" hidden="false" customHeight="false" outlineLevel="0" collapsed="false">
      <c r="I1346" s="24" t="str">
        <f aca="false">IF($D1346="","",IFERROR(INDEX(Workers!$B$5:$B$2004,MATCH($D1346,Workers!$A$5:$A$2004,0)),"NOT FOUND"))</f>
        <v/>
      </c>
      <c r="J1346" s="24" t="str">
        <f aca="false">IF($D1346="","",IFERROR(INDEX(Workers!$C$5:$C$2004,MATCH($D1346,Workers!$A$5:$A$2004,0)),""))</f>
        <v/>
      </c>
      <c r="K1346" s="24" t="str">
        <f aca="false">IF($D1346="","",IFERROR(IF(INDEX(Workers!$D$5:$D$2004,MATCH($D1346,Workers!$A$5:$A$2004,0))=0,"",INDEX(Workers!$D$5:$D$2004,MATCH($D1346,Workers!$A$5:$A$2004,0))),""))</f>
        <v/>
      </c>
      <c r="L1346" s="24" t="str">
        <f aca="false">IF($D1346="","",IFERROR(INDEX(Workers!$E$5:$E$2004,MATCH($D1346,Workers!$A$5:$A$2004,0)),""))</f>
        <v/>
      </c>
      <c r="M1346" s="26" t="str">
        <f aca="false">IF($D1346="","",IFERROR(INDEX(ClientRates!$D$5:$D$500,MATCH($B1346&amp;"|"&amp;$L1346,ClientRates!$A$5:$A$500,0)),0))</f>
        <v/>
      </c>
      <c r="N1346" s="26" t="str">
        <f aca="false">IF($D1346="","",IFERROR(INDEX(ClientRates!$E$5:$E$500,MATCH($B1346&amp;"|"&amp;$L1346,ClientRates!$A$5:$A$500,0)),0))</f>
        <v/>
      </c>
      <c r="O1346" s="26" t="str">
        <f aca="false">IF($D1346="","",F1346*M1346+G1346*N1346)</f>
        <v/>
      </c>
      <c r="P1346" s="26" t="str">
        <f aca="false">IF(OR($D1346="",$J1346&lt;&gt;"Supplier"),"",IFERROR(INDEX(SupplierRates!$D$5:$D$500,MATCH($K1346&amp;"|"&amp;$L1346,SupplierRates!$A$5:$A$500,0)),0))</f>
        <v/>
      </c>
      <c r="Q1346" s="26" t="str">
        <f aca="false">IF(OR($D1346="",$J1346&lt;&gt;"Supplier"),"",IFERROR(INDEX(SupplierRates!$E$5:$E$500,MATCH($K1346&amp;"|"&amp;$L1346,SupplierRates!$A$5:$A$500,0)),0))</f>
        <v/>
      </c>
      <c r="R1346" s="26" t="n">
        <f aca="false">IF(OR($D1346="",$J1346&lt;&gt;"Supplier"),0,F1346*P1346+G1346*Q1346)</f>
        <v>0</v>
      </c>
      <c r="S1346" s="26" t="n">
        <f aca="false">IF(OR($D1346="",$J1346&lt;&gt;"Own"),0,IFERROR((F1346+G1346*Settings!$B$13)*INDEX(Workers!$V$5:$V$2004,MATCH($D1346,Workers!$A$5:$A$2004,0)),0))</f>
        <v>0</v>
      </c>
      <c r="T1346" s="26" t="str">
        <f aca="false">IF($D1346="","",O1346-R1346-S1346)</f>
        <v/>
      </c>
    </row>
    <row r="1347" customFormat="false" ht="15" hidden="false" customHeight="false" outlineLevel="0" collapsed="false">
      <c r="I1347" s="24" t="str">
        <f aca="false">IF($D1347="","",IFERROR(INDEX(Workers!$B$5:$B$2004,MATCH($D1347,Workers!$A$5:$A$2004,0)),"NOT FOUND"))</f>
        <v/>
      </c>
      <c r="J1347" s="24" t="str">
        <f aca="false">IF($D1347="","",IFERROR(INDEX(Workers!$C$5:$C$2004,MATCH($D1347,Workers!$A$5:$A$2004,0)),""))</f>
        <v/>
      </c>
      <c r="K1347" s="24" t="str">
        <f aca="false">IF($D1347="","",IFERROR(IF(INDEX(Workers!$D$5:$D$2004,MATCH($D1347,Workers!$A$5:$A$2004,0))=0,"",INDEX(Workers!$D$5:$D$2004,MATCH($D1347,Workers!$A$5:$A$2004,0))),""))</f>
        <v/>
      </c>
      <c r="L1347" s="24" t="str">
        <f aca="false">IF($D1347="","",IFERROR(INDEX(Workers!$E$5:$E$2004,MATCH($D1347,Workers!$A$5:$A$2004,0)),""))</f>
        <v/>
      </c>
      <c r="M1347" s="26" t="str">
        <f aca="false">IF($D1347="","",IFERROR(INDEX(ClientRates!$D$5:$D$500,MATCH($B1347&amp;"|"&amp;$L1347,ClientRates!$A$5:$A$500,0)),0))</f>
        <v/>
      </c>
      <c r="N1347" s="26" t="str">
        <f aca="false">IF($D1347="","",IFERROR(INDEX(ClientRates!$E$5:$E$500,MATCH($B1347&amp;"|"&amp;$L1347,ClientRates!$A$5:$A$500,0)),0))</f>
        <v/>
      </c>
      <c r="O1347" s="26" t="str">
        <f aca="false">IF($D1347="","",F1347*M1347+G1347*N1347)</f>
        <v/>
      </c>
      <c r="P1347" s="26" t="str">
        <f aca="false">IF(OR($D1347="",$J1347&lt;&gt;"Supplier"),"",IFERROR(INDEX(SupplierRates!$D$5:$D$500,MATCH($K1347&amp;"|"&amp;$L1347,SupplierRates!$A$5:$A$500,0)),0))</f>
        <v/>
      </c>
      <c r="Q1347" s="26" t="str">
        <f aca="false">IF(OR($D1347="",$J1347&lt;&gt;"Supplier"),"",IFERROR(INDEX(SupplierRates!$E$5:$E$500,MATCH($K1347&amp;"|"&amp;$L1347,SupplierRates!$A$5:$A$500,0)),0))</f>
        <v/>
      </c>
      <c r="R1347" s="26" t="n">
        <f aca="false">IF(OR($D1347="",$J1347&lt;&gt;"Supplier"),0,F1347*P1347+G1347*Q1347)</f>
        <v>0</v>
      </c>
      <c r="S1347" s="26" t="n">
        <f aca="false">IF(OR($D1347="",$J1347&lt;&gt;"Own"),0,IFERROR((F1347+G1347*Settings!$B$13)*INDEX(Workers!$V$5:$V$2004,MATCH($D1347,Workers!$A$5:$A$2004,0)),0))</f>
        <v>0</v>
      </c>
      <c r="T1347" s="26" t="str">
        <f aca="false">IF($D1347="","",O1347-R1347-S1347)</f>
        <v/>
      </c>
    </row>
    <row r="1348" customFormat="false" ht="15" hidden="false" customHeight="false" outlineLevel="0" collapsed="false">
      <c r="I1348" s="24" t="str">
        <f aca="false">IF($D1348="","",IFERROR(INDEX(Workers!$B$5:$B$2004,MATCH($D1348,Workers!$A$5:$A$2004,0)),"NOT FOUND"))</f>
        <v/>
      </c>
      <c r="J1348" s="24" t="str">
        <f aca="false">IF($D1348="","",IFERROR(INDEX(Workers!$C$5:$C$2004,MATCH($D1348,Workers!$A$5:$A$2004,0)),""))</f>
        <v/>
      </c>
      <c r="K1348" s="24" t="str">
        <f aca="false">IF($D1348="","",IFERROR(IF(INDEX(Workers!$D$5:$D$2004,MATCH($D1348,Workers!$A$5:$A$2004,0))=0,"",INDEX(Workers!$D$5:$D$2004,MATCH($D1348,Workers!$A$5:$A$2004,0))),""))</f>
        <v/>
      </c>
      <c r="L1348" s="24" t="str">
        <f aca="false">IF($D1348="","",IFERROR(INDEX(Workers!$E$5:$E$2004,MATCH($D1348,Workers!$A$5:$A$2004,0)),""))</f>
        <v/>
      </c>
      <c r="M1348" s="26" t="str">
        <f aca="false">IF($D1348="","",IFERROR(INDEX(ClientRates!$D$5:$D$500,MATCH($B1348&amp;"|"&amp;$L1348,ClientRates!$A$5:$A$500,0)),0))</f>
        <v/>
      </c>
      <c r="N1348" s="26" t="str">
        <f aca="false">IF($D1348="","",IFERROR(INDEX(ClientRates!$E$5:$E$500,MATCH($B1348&amp;"|"&amp;$L1348,ClientRates!$A$5:$A$500,0)),0))</f>
        <v/>
      </c>
      <c r="O1348" s="26" t="str">
        <f aca="false">IF($D1348="","",F1348*M1348+G1348*N1348)</f>
        <v/>
      </c>
      <c r="P1348" s="26" t="str">
        <f aca="false">IF(OR($D1348="",$J1348&lt;&gt;"Supplier"),"",IFERROR(INDEX(SupplierRates!$D$5:$D$500,MATCH($K1348&amp;"|"&amp;$L1348,SupplierRates!$A$5:$A$500,0)),0))</f>
        <v/>
      </c>
      <c r="Q1348" s="26" t="str">
        <f aca="false">IF(OR($D1348="",$J1348&lt;&gt;"Supplier"),"",IFERROR(INDEX(SupplierRates!$E$5:$E$500,MATCH($K1348&amp;"|"&amp;$L1348,SupplierRates!$A$5:$A$500,0)),0))</f>
        <v/>
      </c>
      <c r="R1348" s="26" t="n">
        <f aca="false">IF(OR($D1348="",$J1348&lt;&gt;"Supplier"),0,F1348*P1348+G1348*Q1348)</f>
        <v>0</v>
      </c>
      <c r="S1348" s="26" t="n">
        <f aca="false">IF(OR($D1348="",$J1348&lt;&gt;"Own"),0,IFERROR((F1348+G1348*Settings!$B$13)*INDEX(Workers!$V$5:$V$2004,MATCH($D1348,Workers!$A$5:$A$2004,0)),0))</f>
        <v>0</v>
      </c>
      <c r="T1348" s="26" t="str">
        <f aca="false">IF($D1348="","",O1348-R1348-S1348)</f>
        <v/>
      </c>
    </row>
    <row r="1349" customFormat="false" ht="15" hidden="false" customHeight="false" outlineLevel="0" collapsed="false">
      <c r="I1349" s="24" t="str">
        <f aca="false">IF($D1349="","",IFERROR(INDEX(Workers!$B$5:$B$2004,MATCH($D1349,Workers!$A$5:$A$2004,0)),"NOT FOUND"))</f>
        <v/>
      </c>
      <c r="J1349" s="24" t="str">
        <f aca="false">IF($D1349="","",IFERROR(INDEX(Workers!$C$5:$C$2004,MATCH($D1349,Workers!$A$5:$A$2004,0)),""))</f>
        <v/>
      </c>
      <c r="K1349" s="24" t="str">
        <f aca="false">IF($D1349="","",IFERROR(IF(INDEX(Workers!$D$5:$D$2004,MATCH($D1349,Workers!$A$5:$A$2004,0))=0,"",INDEX(Workers!$D$5:$D$2004,MATCH($D1349,Workers!$A$5:$A$2004,0))),""))</f>
        <v/>
      </c>
      <c r="L1349" s="24" t="str">
        <f aca="false">IF($D1349="","",IFERROR(INDEX(Workers!$E$5:$E$2004,MATCH($D1349,Workers!$A$5:$A$2004,0)),""))</f>
        <v/>
      </c>
      <c r="M1349" s="26" t="str">
        <f aca="false">IF($D1349="","",IFERROR(INDEX(ClientRates!$D$5:$D$500,MATCH($B1349&amp;"|"&amp;$L1349,ClientRates!$A$5:$A$500,0)),0))</f>
        <v/>
      </c>
      <c r="N1349" s="26" t="str">
        <f aca="false">IF($D1349="","",IFERROR(INDEX(ClientRates!$E$5:$E$500,MATCH($B1349&amp;"|"&amp;$L1349,ClientRates!$A$5:$A$500,0)),0))</f>
        <v/>
      </c>
      <c r="O1349" s="26" t="str">
        <f aca="false">IF($D1349="","",F1349*M1349+G1349*N1349)</f>
        <v/>
      </c>
      <c r="P1349" s="26" t="str">
        <f aca="false">IF(OR($D1349="",$J1349&lt;&gt;"Supplier"),"",IFERROR(INDEX(SupplierRates!$D$5:$D$500,MATCH($K1349&amp;"|"&amp;$L1349,SupplierRates!$A$5:$A$500,0)),0))</f>
        <v/>
      </c>
      <c r="Q1349" s="26" t="str">
        <f aca="false">IF(OR($D1349="",$J1349&lt;&gt;"Supplier"),"",IFERROR(INDEX(SupplierRates!$E$5:$E$500,MATCH($K1349&amp;"|"&amp;$L1349,SupplierRates!$A$5:$A$500,0)),0))</f>
        <v/>
      </c>
      <c r="R1349" s="26" t="n">
        <f aca="false">IF(OR($D1349="",$J1349&lt;&gt;"Supplier"),0,F1349*P1349+G1349*Q1349)</f>
        <v>0</v>
      </c>
      <c r="S1349" s="26" t="n">
        <f aca="false">IF(OR($D1349="",$J1349&lt;&gt;"Own"),0,IFERROR((F1349+G1349*Settings!$B$13)*INDEX(Workers!$V$5:$V$2004,MATCH($D1349,Workers!$A$5:$A$2004,0)),0))</f>
        <v>0</v>
      </c>
      <c r="T1349" s="26" t="str">
        <f aca="false">IF($D1349="","",O1349-R1349-S1349)</f>
        <v/>
      </c>
    </row>
    <row r="1350" customFormat="false" ht="15" hidden="false" customHeight="false" outlineLevel="0" collapsed="false">
      <c r="I1350" s="24" t="str">
        <f aca="false">IF($D1350="","",IFERROR(INDEX(Workers!$B$5:$B$2004,MATCH($D1350,Workers!$A$5:$A$2004,0)),"NOT FOUND"))</f>
        <v/>
      </c>
      <c r="J1350" s="24" t="str">
        <f aca="false">IF($D1350="","",IFERROR(INDEX(Workers!$C$5:$C$2004,MATCH($D1350,Workers!$A$5:$A$2004,0)),""))</f>
        <v/>
      </c>
      <c r="K1350" s="24" t="str">
        <f aca="false">IF($D1350="","",IFERROR(IF(INDEX(Workers!$D$5:$D$2004,MATCH($D1350,Workers!$A$5:$A$2004,0))=0,"",INDEX(Workers!$D$5:$D$2004,MATCH($D1350,Workers!$A$5:$A$2004,0))),""))</f>
        <v/>
      </c>
      <c r="L1350" s="24" t="str">
        <f aca="false">IF($D1350="","",IFERROR(INDEX(Workers!$E$5:$E$2004,MATCH($D1350,Workers!$A$5:$A$2004,0)),""))</f>
        <v/>
      </c>
      <c r="M1350" s="26" t="str">
        <f aca="false">IF($D1350="","",IFERROR(INDEX(ClientRates!$D$5:$D$500,MATCH($B1350&amp;"|"&amp;$L1350,ClientRates!$A$5:$A$500,0)),0))</f>
        <v/>
      </c>
      <c r="N1350" s="26" t="str">
        <f aca="false">IF($D1350="","",IFERROR(INDEX(ClientRates!$E$5:$E$500,MATCH($B1350&amp;"|"&amp;$L1350,ClientRates!$A$5:$A$500,0)),0))</f>
        <v/>
      </c>
      <c r="O1350" s="26" t="str">
        <f aca="false">IF($D1350="","",F1350*M1350+G1350*N1350)</f>
        <v/>
      </c>
      <c r="P1350" s="26" t="str">
        <f aca="false">IF(OR($D1350="",$J1350&lt;&gt;"Supplier"),"",IFERROR(INDEX(SupplierRates!$D$5:$D$500,MATCH($K1350&amp;"|"&amp;$L1350,SupplierRates!$A$5:$A$500,0)),0))</f>
        <v/>
      </c>
      <c r="Q1350" s="26" t="str">
        <f aca="false">IF(OR($D1350="",$J1350&lt;&gt;"Supplier"),"",IFERROR(INDEX(SupplierRates!$E$5:$E$500,MATCH($K1350&amp;"|"&amp;$L1350,SupplierRates!$A$5:$A$500,0)),0))</f>
        <v/>
      </c>
      <c r="R1350" s="26" t="n">
        <f aca="false">IF(OR($D1350="",$J1350&lt;&gt;"Supplier"),0,F1350*P1350+G1350*Q1350)</f>
        <v>0</v>
      </c>
      <c r="S1350" s="26" t="n">
        <f aca="false">IF(OR($D1350="",$J1350&lt;&gt;"Own"),0,IFERROR((F1350+G1350*Settings!$B$13)*INDEX(Workers!$V$5:$V$2004,MATCH($D1350,Workers!$A$5:$A$2004,0)),0))</f>
        <v>0</v>
      </c>
      <c r="T1350" s="26" t="str">
        <f aca="false">IF($D1350="","",O1350-R1350-S1350)</f>
        <v/>
      </c>
    </row>
    <row r="1351" customFormat="false" ht="15" hidden="false" customHeight="false" outlineLevel="0" collapsed="false">
      <c r="I1351" s="24" t="str">
        <f aca="false">IF($D1351="","",IFERROR(INDEX(Workers!$B$5:$B$2004,MATCH($D1351,Workers!$A$5:$A$2004,0)),"NOT FOUND"))</f>
        <v/>
      </c>
      <c r="J1351" s="24" t="str">
        <f aca="false">IF($D1351="","",IFERROR(INDEX(Workers!$C$5:$C$2004,MATCH($D1351,Workers!$A$5:$A$2004,0)),""))</f>
        <v/>
      </c>
      <c r="K1351" s="24" t="str">
        <f aca="false">IF($D1351="","",IFERROR(IF(INDEX(Workers!$D$5:$D$2004,MATCH($D1351,Workers!$A$5:$A$2004,0))=0,"",INDEX(Workers!$D$5:$D$2004,MATCH($D1351,Workers!$A$5:$A$2004,0))),""))</f>
        <v/>
      </c>
      <c r="L1351" s="24" t="str">
        <f aca="false">IF($D1351="","",IFERROR(INDEX(Workers!$E$5:$E$2004,MATCH($D1351,Workers!$A$5:$A$2004,0)),""))</f>
        <v/>
      </c>
      <c r="M1351" s="26" t="str">
        <f aca="false">IF($D1351="","",IFERROR(INDEX(ClientRates!$D$5:$D$500,MATCH($B1351&amp;"|"&amp;$L1351,ClientRates!$A$5:$A$500,0)),0))</f>
        <v/>
      </c>
      <c r="N1351" s="26" t="str">
        <f aca="false">IF($D1351="","",IFERROR(INDEX(ClientRates!$E$5:$E$500,MATCH($B1351&amp;"|"&amp;$L1351,ClientRates!$A$5:$A$500,0)),0))</f>
        <v/>
      </c>
      <c r="O1351" s="26" t="str">
        <f aca="false">IF($D1351="","",F1351*M1351+G1351*N1351)</f>
        <v/>
      </c>
      <c r="P1351" s="26" t="str">
        <f aca="false">IF(OR($D1351="",$J1351&lt;&gt;"Supplier"),"",IFERROR(INDEX(SupplierRates!$D$5:$D$500,MATCH($K1351&amp;"|"&amp;$L1351,SupplierRates!$A$5:$A$500,0)),0))</f>
        <v/>
      </c>
      <c r="Q1351" s="26" t="str">
        <f aca="false">IF(OR($D1351="",$J1351&lt;&gt;"Supplier"),"",IFERROR(INDEX(SupplierRates!$E$5:$E$500,MATCH($K1351&amp;"|"&amp;$L1351,SupplierRates!$A$5:$A$500,0)),0))</f>
        <v/>
      </c>
      <c r="R1351" s="26" t="n">
        <f aca="false">IF(OR($D1351="",$J1351&lt;&gt;"Supplier"),0,F1351*P1351+G1351*Q1351)</f>
        <v>0</v>
      </c>
      <c r="S1351" s="26" t="n">
        <f aca="false">IF(OR($D1351="",$J1351&lt;&gt;"Own"),0,IFERROR((F1351+G1351*Settings!$B$13)*INDEX(Workers!$V$5:$V$2004,MATCH($D1351,Workers!$A$5:$A$2004,0)),0))</f>
        <v>0</v>
      </c>
      <c r="T1351" s="26" t="str">
        <f aca="false">IF($D1351="","",O1351-R1351-S1351)</f>
        <v/>
      </c>
    </row>
    <row r="1352" customFormat="false" ht="15" hidden="false" customHeight="false" outlineLevel="0" collapsed="false">
      <c r="I1352" s="24" t="str">
        <f aca="false">IF($D1352="","",IFERROR(INDEX(Workers!$B$5:$B$2004,MATCH($D1352,Workers!$A$5:$A$2004,0)),"NOT FOUND"))</f>
        <v/>
      </c>
      <c r="J1352" s="24" t="str">
        <f aca="false">IF($D1352="","",IFERROR(INDEX(Workers!$C$5:$C$2004,MATCH($D1352,Workers!$A$5:$A$2004,0)),""))</f>
        <v/>
      </c>
      <c r="K1352" s="24" t="str">
        <f aca="false">IF($D1352="","",IFERROR(IF(INDEX(Workers!$D$5:$D$2004,MATCH($D1352,Workers!$A$5:$A$2004,0))=0,"",INDEX(Workers!$D$5:$D$2004,MATCH($D1352,Workers!$A$5:$A$2004,0))),""))</f>
        <v/>
      </c>
      <c r="L1352" s="24" t="str">
        <f aca="false">IF($D1352="","",IFERROR(INDEX(Workers!$E$5:$E$2004,MATCH($D1352,Workers!$A$5:$A$2004,0)),""))</f>
        <v/>
      </c>
      <c r="M1352" s="26" t="str">
        <f aca="false">IF($D1352="","",IFERROR(INDEX(ClientRates!$D$5:$D$500,MATCH($B1352&amp;"|"&amp;$L1352,ClientRates!$A$5:$A$500,0)),0))</f>
        <v/>
      </c>
      <c r="N1352" s="26" t="str">
        <f aca="false">IF($D1352="","",IFERROR(INDEX(ClientRates!$E$5:$E$500,MATCH($B1352&amp;"|"&amp;$L1352,ClientRates!$A$5:$A$500,0)),0))</f>
        <v/>
      </c>
      <c r="O1352" s="26" t="str">
        <f aca="false">IF($D1352="","",F1352*M1352+G1352*N1352)</f>
        <v/>
      </c>
      <c r="P1352" s="26" t="str">
        <f aca="false">IF(OR($D1352="",$J1352&lt;&gt;"Supplier"),"",IFERROR(INDEX(SupplierRates!$D$5:$D$500,MATCH($K1352&amp;"|"&amp;$L1352,SupplierRates!$A$5:$A$500,0)),0))</f>
        <v/>
      </c>
      <c r="Q1352" s="26" t="str">
        <f aca="false">IF(OR($D1352="",$J1352&lt;&gt;"Supplier"),"",IFERROR(INDEX(SupplierRates!$E$5:$E$500,MATCH($K1352&amp;"|"&amp;$L1352,SupplierRates!$A$5:$A$500,0)),0))</f>
        <v/>
      </c>
      <c r="R1352" s="26" t="n">
        <f aca="false">IF(OR($D1352="",$J1352&lt;&gt;"Supplier"),0,F1352*P1352+G1352*Q1352)</f>
        <v>0</v>
      </c>
      <c r="S1352" s="26" t="n">
        <f aca="false">IF(OR($D1352="",$J1352&lt;&gt;"Own"),0,IFERROR((F1352+G1352*Settings!$B$13)*INDEX(Workers!$V$5:$V$2004,MATCH($D1352,Workers!$A$5:$A$2004,0)),0))</f>
        <v>0</v>
      </c>
      <c r="T1352" s="26" t="str">
        <f aca="false">IF($D1352="","",O1352-R1352-S1352)</f>
        <v/>
      </c>
    </row>
    <row r="1353" customFormat="false" ht="15" hidden="false" customHeight="false" outlineLevel="0" collapsed="false">
      <c r="I1353" s="24" t="str">
        <f aca="false">IF($D1353="","",IFERROR(INDEX(Workers!$B$5:$B$2004,MATCH($D1353,Workers!$A$5:$A$2004,0)),"NOT FOUND"))</f>
        <v/>
      </c>
      <c r="J1353" s="24" t="str">
        <f aca="false">IF($D1353="","",IFERROR(INDEX(Workers!$C$5:$C$2004,MATCH($D1353,Workers!$A$5:$A$2004,0)),""))</f>
        <v/>
      </c>
      <c r="K1353" s="24" t="str">
        <f aca="false">IF($D1353="","",IFERROR(IF(INDEX(Workers!$D$5:$D$2004,MATCH($D1353,Workers!$A$5:$A$2004,0))=0,"",INDEX(Workers!$D$5:$D$2004,MATCH($D1353,Workers!$A$5:$A$2004,0))),""))</f>
        <v/>
      </c>
      <c r="L1353" s="24" t="str">
        <f aca="false">IF($D1353="","",IFERROR(INDEX(Workers!$E$5:$E$2004,MATCH($D1353,Workers!$A$5:$A$2004,0)),""))</f>
        <v/>
      </c>
      <c r="M1353" s="26" t="str">
        <f aca="false">IF($D1353="","",IFERROR(INDEX(ClientRates!$D$5:$D$500,MATCH($B1353&amp;"|"&amp;$L1353,ClientRates!$A$5:$A$500,0)),0))</f>
        <v/>
      </c>
      <c r="N1353" s="26" t="str">
        <f aca="false">IF($D1353="","",IFERROR(INDEX(ClientRates!$E$5:$E$500,MATCH($B1353&amp;"|"&amp;$L1353,ClientRates!$A$5:$A$500,0)),0))</f>
        <v/>
      </c>
      <c r="O1353" s="26" t="str">
        <f aca="false">IF($D1353="","",F1353*M1353+G1353*N1353)</f>
        <v/>
      </c>
      <c r="P1353" s="26" t="str">
        <f aca="false">IF(OR($D1353="",$J1353&lt;&gt;"Supplier"),"",IFERROR(INDEX(SupplierRates!$D$5:$D$500,MATCH($K1353&amp;"|"&amp;$L1353,SupplierRates!$A$5:$A$500,0)),0))</f>
        <v/>
      </c>
      <c r="Q1353" s="26" t="str">
        <f aca="false">IF(OR($D1353="",$J1353&lt;&gt;"Supplier"),"",IFERROR(INDEX(SupplierRates!$E$5:$E$500,MATCH($K1353&amp;"|"&amp;$L1353,SupplierRates!$A$5:$A$500,0)),0))</f>
        <v/>
      </c>
      <c r="R1353" s="26" t="n">
        <f aca="false">IF(OR($D1353="",$J1353&lt;&gt;"Supplier"),0,F1353*P1353+G1353*Q1353)</f>
        <v>0</v>
      </c>
      <c r="S1353" s="26" t="n">
        <f aca="false">IF(OR($D1353="",$J1353&lt;&gt;"Own"),0,IFERROR((F1353+G1353*Settings!$B$13)*INDEX(Workers!$V$5:$V$2004,MATCH($D1353,Workers!$A$5:$A$2004,0)),0))</f>
        <v>0</v>
      </c>
      <c r="T1353" s="26" t="str">
        <f aca="false">IF($D1353="","",O1353-R1353-S1353)</f>
        <v/>
      </c>
    </row>
    <row r="1354" customFormat="false" ht="15" hidden="false" customHeight="false" outlineLevel="0" collapsed="false">
      <c r="I1354" s="24" t="str">
        <f aca="false">IF($D1354="","",IFERROR(INDEX(Workers!$B$5:$B$2004,MATCH($D1354,Workers!$A$5:$A$2004,0)),"NOT FOUND"))</f>
        <v/>
      </c>
      <c r="J1354" s="24" t="str">
        <f aca="false">IF($D1354="","",IFERROR(INDEX(Workers!$C$5:$C$2004,MATCH($D1354,Workers!$A$5:$A$2004,0)),""))</f>
        <v/>
      </c>
      <c r="K1354" s="24" t="str">
        <f aca="false">IF($D1354="","",IFERROR(IF(INDEX(Workers!$D$5:$D$2004,MATCH($D1354,Workers!$A$5:$A$2004,0))=0,"",INDEX(Workers!$D$5:$D$2004,MATCH($D1354,Workers!$A$5:$A$2004,0))),""))</f>
        <v/>
      </c>
      <c r="L1354" s="24" t="str">
        <f aca="false">IF($D1354="","",IFERROR(INDEX(Workers!$E$5:$E$2004,MATCH($D1354,Workers!$A$5:$A$2004,0)),""))</f>
        <v/>
      </c>
      <c r="M1354" s="26" t="str">
        <f aca="false">IF($D1354="","",IFERROR(INDEX(ClientRates!$D$5:$D$500,MATCH($B1354&amp;"|"&amp;$L1354,ClientRates!$A$5:$A$500,0)),0))</f>
        <v/>
      </c>
      <c r="N1354" s="26" t="str">
        <f aca="false">IF($D1354="","",IFERROR(INDEX(ClientRates!$E$5:$E$500,MATCH($B1354&amp;"|"&amp;$L1354,ClientRates!$A$5:$A$500,0)),0))</f>
        <v/>
      </c>
      <c r="O1354" s="26" t="str">
        <f aca="false">IF($D1354="","",F1354*M1354+G1354*N1354)</f>
        <v/>
      </c>
      <c r="P1354" s="26" t="str">
        <f aca="false">IF(OR($D1354="",$J1354&lt;&gt;"Supplier"),"",IFERROR(INDEX(SupplierRates!$D$5:$D$500,MATCH($K1354&amp;"|"&amp;$L1354,SupplierRates!$A$5:$A$500,0)),0))</f>
        <v/>
      </c>
      <c r="Q1354" s="26" t="str">
        <f aca="false">IF(OR($D1354="",$J1354&lt;&gt;"Supplier"),"",IFERROR(INDEX(SupplierRates!$E$5:$E$500,MATCH($K1354&amp;"|"&amp;$L1354,SupplierRates!$A$5:$A$500,0)),0))</f>
        <v/>
      </c>
      <c r="R1354" s="26" t="n">
        <f aca="false">IF(OR($D1354="",$J1354&lt;&gt;"Supplier"),0,F1354*P1354+G1354*Q1354)</f>
        <v>0</v>
      </c>
      <c r="S1354" s="26" t="n">
        <f aca="false">IF(OR($D1354="",$J1354&lt;&gt;"Own"),0,IFERROR((F1354+G1354*Settings!$B$13)*INDEX(Workers!$V$5:$V$2004,MATCH($D1354,Workers!$A$5:$A$2004,0)),0))</f>
        <v>0</v>
      </c>
      <c r="T1354" s="26" t="str">
        <f aca="false">IF($D1354="","",O1354-R1354-S1354)</f>
        <v/>
      </c>
    </row>
    <row r="1355" customFormat="false" ht="15" hidden="false" customHeight="false" outlineLevel="0" collapsed="false">
      <c r="I1355" s="24" t="str">
        <f aca="false">IF($D1355="","",IFERROR(INDEX(Workers!$B$5:$B$2004,MATCH($D1355,Workers!$A$5:$A$2004,0)),"NOT FOUND"))</f>
        <v/>
      </c>
      <c r="J1355" s="24" t="str">
        <f aca="false">IF($D1355="","",IFERROR(INDEX(Workers!$C$5:$C$2004,MATCH($D1355,Workers!$A$5:$A$2004,0)),""))</f>
        <v/>
      </c>
      <c r="K1355" s="24" t="str">
        <f aca="false">IF($D1355="","",IFERROR(IF(INDEX(Workers!$D$5:$D$2004,MATCH($D1355,Workers!$A$5:$A$2004,0))=0,"",INDEX(Workers!$D$5:$D$2004,MATCH($D1355,Workers!$A$5:$A$2004,0))),""))</f>
        <v/>
      </c>
      <c r="L1355" s="24" t="str">
        <f aca="false">IF($D1355="","",IFERROR(INDEX(Workers!$E$5:$E$2004,MATCH($D1355,Workers!$A$5:$A$2004,0)),""))</f>
        <v/>
      </c>
      <c r="M1355" s="26" t="str">
        <f aca="false">IF($D1355="","",IFERROR(INDEX(ClientRates!$D$5:$D$500,MATCH($B1355&amp;"|"&amp;$L1355,ClientRates!$A$5:$A$500,0)),0))</f>
        <v/>
      </c>
      <c r="N1355" s="26" t="str">
        <f aca="false">IF($D1355="","",IFERROR(INDEX(ClientRates!$E$5:$E$500,MATCH($B1355&amp;"|"&amp;$L1355,ClientRates!$A$5:$A$500,0)),0))</f>
        <v/>
      </c>
      <c r="O1355" s="26" t="str">
        <f aca="false">IF($D1355="","",F1355*M1355+G1355*N1355)</f>
        <v/>
      </c>
      <c r="P1355" s="26" t="str">
        <f aca="false">IF(OR($D1355="",$J1355&lt;&gt;"Supplier"),"",IFERROR(INDEX(SupplierRates!$D$5:$D$500,MATCH($K1355&amp;"|"&amp;$L1355,SupplierRates!$A$5:$A$500,0)),0))</f>
        <v/>
      </c>
      <c r="Q1355" s="26" t="str">
        <f aca="false">IF(OR($D1355="",$J1355&lt;&gt;"Supplier"),"",IFERROR(INDEX(SupplierRates!$E$5:$E$500,MATCH($K1355&amp;"|"&amp;$L1355,SupplierRates!$A$5:$A$500,0)),0))</f>
        <v/>
      </c>
      <c r="R1355" s="26" t="n">
        <f aca="false">IF(OR($D1355="",$J1355&lt;&gt;"Supplier"),0,F1355*P1355+G1355*Q1355)</f>
        <v>0</v>
      </c>
      <c r="S1355" s="26" t="n">
        <f aca="false">IF(OR($D1355="",$J1355&lt;&gt;"Own"),0,IFERROR((F1355+G1355*Settings!$B$13)*INDEX(Workers!$V$5:$V$2004,MATCH($D1355,Workers!$A$5:$A$2004,0)),0))</f>
        <v>0</v>
      </c>
      <c r="T1355" s="26" t="str">
        <f aca="false">IF($D1355="","",O1355-R1355-S1355)</f>
        <v/>
      </c>
    </row>
    <row r="1356" customFormat="false" ht="15" hidden="false" customHeight="false" outlineLevel="0" collapsed="false">
      <c r="I1356" s="24" t="str">
        <f aca="false">IF($D1356="","",IFERROR(INDEX(Workers!$B$5:$B$2004,MATCH($D1356,Workers!$A$5:$A$2004,0)),"NOT FOUND"))</f>
        <v/>
      </c>
      <c r="J1356" s="24" t="str">
        <f aca="false">IF($D1356="","",IFERROR(INDEX(Workers!$C$5:$C$2004,MATCH($D1356,Workers!$A$5:$A$2004,0)),""))</f>
        <v/>
      </c>
      <c r="K1356" s="24" t="str">
        <f aca="false">IF($D1356="","",IFERROR(IF(INDEX(Workers!$D$5:$D$2004,MATCH($D1356,Workers!$A$5:$A$2004,0))=0,"",INDEX(Workers!$D$5:$D$2004,MATCH($D1356,Workers!$A$5:$A$2004,0))),""))</f>
        <v/>
      </c>
      <c r="L1356" s="24" t="str">
        <f aca="false">IF($D1356="","",IFERROR(INDEX(Workers!$E$5:$E$2004,MATCH($D1356,Workers!$A$5:$A$2004,0)),""))</f>
        <v/>
      </c>
      <c r="M1356" s="26" t="str">
        <f aca="false">IF($D1356="","",IFERROR(INDEX(ClientRates!$D$5:$D$500,MATCH($B1356&amp;"|"&amp;$L1356,ClientRates!$A$5:$A$500,0)),0))</f>
        <v/>
      </c>
      <c r="N1356" s="26" t="str">
        <f aca="false">IF($D1356="","",IFERROR(INDEX(ClientRates!$E$5:$E$500,MATCH($B1356&amp;"|"&amp;$L1356,ClientRates!$A$5:$A$500,0)),0))</f>
        <v/>
      </c>
      <c r="O1356" s="26" t="str">
        <f aca="false">IF($D1356="","",F1356*M1356+G1356*N1356)</f>
        <v/>
      </c>
      <c r="P1356" s="26" t="str">
        <f aca="false">IF(OR($D1356="",$J1356&lt;&gt;"Supplier"),"",IFERROR(INDEX(SupplierRates!$D$5:$D$500,MATCH($K1356&amp;"|"&amp;$L1356,SupplierRates!$A$5:$A$500,0)),0))</f>
        <v/>
      </c>
      <c r="Q1356" s="26" t="str">
        <f aca="false">IF(OR($D1356="",$J1356&lt;&gt;"Supplier"),"",IFERROR(INDEX(SupplierRates!$E$5:$E$500,MATCH($K1356&amp;"|"&amp;$L1356,SupplierRates!$A$5:$A$500,0)),0))</f>
        <v/>
      </c>
      <c r="R1356" s="26" t="n">
        <f aca="false">IF(OR($D1356="",$J1356&lt;&gt;"Supplier"),0,F1356*P1356+G1356*Q1356)</f>
        <v>0</v>
      </c>
      <c r="S1356" s="26" t="n">
        <f aca="false">IF(OR($D1356="",$J1356&lt;&gt;"Own"),0,IFERROR((F1356+G1356*Settings!$B$13)*INDEX(Workers!$V$5:$V$2004,MATCH($D1356,Workers!$A$5:$A$2004,0)),0))</f>
        <v>0</v>
      </c>
      <c r="T1356" s="26" t="str">
        <f aca="false">IF($D1356="","",O1356-R1356-S1356)</f>
        <v/>
      </c>
    </row>
    <row r="1357" customFormat="false" ht="15" hidden="false" customHeight="false" outlineLevel="0" collapsed="false">
      <c r="I1357" s="24" t="str">
        <f aca="false">IF($D1357="","",IFERROR(INDEX(Workers!$B$5:$B$2004,MATCH($D1357,Workers!$A$5:$A$2004,0)),"NOT FOUND"))</f>
        <v/>
      </c>
      <c r="J1357" s="24" t="str">
        <f aca="false">IF($D1357="","",IFERROR(INDEX(Workers!$C$5:$C$2004,MATCH($D1357,Workers!$A$5:$A$2004,0)),""))</f>
        <v/>
      </c>
      <c r="K1357" s="24" t="str">
        <f aca="false">IF($D1357="","",IFERROR(IF(INDEX(Workers!$D$5:$D$2004,MATCH($D1357,Workers!$A$5:$A$2004,0))=0,"",INDEX(Workers!$D$5:$D$2004,MATCH($D1357,Workers!$A$5:$A$2004,0))),""))</f>
        <v/>
      </c>
      <c r="L1357" s="24" t="str">
        <f aca="false">IF($D1357="","",IFERROR(INDEX(Workers!$E$5:$E$2004,MATCH($D1357,Workers!$A$5:$A$2004,0)),""))</f>
        <v/>
      </c>
      <c r="M1357" s="26" t="str">
        <f aca="false">IF($D1357="","",IFERROR(INDEX(ClientRates!$D$5:$D$500,MATCH($B1357&amp;"|"&amp;$L1357,ClientRates!$A$5:$A$500,0)),0))</f>
        <v/>
      </c>
      <c r="N1357" s="26" t="str">
        <f aca="false">IF($D1357="","",IFERROR(INDEX(ClientRates!$E$5:$E$500,MATCH($B1357&amp;"|"&amp;$L1357,ClientRates!$A$5:$A$500,0)),0))</f>
        <v/>
      </c>
      <c r="O1357" s="26" t="str">
        <f aca="false">IF($D1357="","",F1357*M1357+G1357*N1357)</f>
        <v/>
      </c>
      <c r="P1357" s="26" t="str">
        <f aca="false">IF(OR($D1357="",$J1357&lt;&gt;"Supplier"),"",IFERROR(INDEX(SupplierRates!$D$5:$D$500,MATCH($K1357&amp;"|"&amp;$L1357,SupplierRates!$A$5:$A$500,0)),0))</f>
        <v/>
      </c>
      <c r="Q1357" s="26" t="str">
        <f aca="false">IF(OR($D1357="",$J1357&lt;&gt;"Supplier"),"",IFERROR(INDEX(SupplierRates!$E$5:$E$500,MATCH($K1357&amp;"|"&amp;$L1357,SupplierRates!$A$5:$A$500,0)),0))</f>
        <v/>
      </c>
      <c r="R1357" s="26" t="n">
        <f aca="false">IF(OR($D1357="",$J1357&lt;&gt;"Supplier"),0,F1357*P1357+G1357*Q1357)</f>
        <v>0</v>
      </c>
      <c r="S1357" s="26" t="n">
        <f aca="false">IF(OR($D1357="",$J1357&lt;&gt;"Own"),0,IFERROR((F1357+G1357*Settings!$B$13)*INDEX(Workers!$V$5:$V$2004,MATCH($D1357,Workers!$A$5:$A$2004,0)),0))</f>
        <v>0</v>
      </c>
      <c r="T1357" s="26" t="str">
        <f aca="false">IF($D1357="","",O1357-R1357-S1357)</f>
        <v/>
      </c>
    </row>
    <row r="1358" customFormat="false" ht="15" hidden="false" customHeight="false" outlineLevel="0" collapsed="false">
      <c r="I1358" s="24" t="str">
        <f aca="false">IF($D1358="","",IFERROR(INDEX(Workers!$B$5:$B$2004,MATCH($D1358,Workers!$A$5:$A$2004,0)),"NOT FOUND"))</f>
        <v/>
      </c>
      <c r="J1358" s="24" t="str">
        <f aca="false">IF($D1358="","",IFERROR(INDEX(Workers!$C$5:$C$2004,MATCH($D1358,Workers!$A$5:$A$2004,0)),""))</f>
        <v/>
      </c>
      <c r="K1358" s="24" t="str">
        <f aca="false">IF($D1358="","",IFERROR(IF(INDEX(Workers!$D$5:$D$2004,MATCH($D1358,Workers!$A$5:$A$2004,0))=0,"",INDEX(Workers!$D$5:$D$2004,MATCH($D1358,Workers!$A$5:$A$2004,0))),""))</f>
        <v/>
      </c>
      <c r="L1358" s="24" t="str">
        <f aca="false">IF($D1358="","",IFERROR(INDEX(Workers!$E$5:$E$2004,MATCH($D1358,Workers!$A$5:$A$2004,0)),""))</f>
        <v/>
      </c>
      <c r="M1358" s="26" t="str">
        <f aca="false">IF($D1358="","",IFERROR(INDEX(ClientRates!$D$5:$D$500,MATCH($B1358&amp;"|"&amp;$L1358,ClientRates!$A$5:$A$500,0)),0))</f>
        <v/>
      </c>
      <c r="N1358" s="26" t="str">
        <f aca="false">IF($D1358="","",IFERROR(INDEX(ClientRates!$E$5:$E$500,MATCH($B1358&amp;"|"&amp;$L1358,ClientRates!$A$5:$A$500,0)),0))</f>
        <v/>
      </c>
      <c r="O1358" s="26" t="str">
        <f aca="false">IF($D1358="","",F1358*M1358+G1358*N1358)</f>
        <v/>
      </c>
      <c r="P1358" s="26" t="str">
        <f aca="false">IF(OR($D1358="",$J1358&lt;&gt;"Supplier"),"",IFERROR(INDEX(SupplierRates!$D$5:$D$500,MATCH($K1358&amp;"|"&amp;$L1358,SupplierRates!$A$5:$A$500,0)),0))</f>
        <v/>
      </c>
      <c r="Q1358" s="26" t="str">
        <f aca="false">IF(OR($D1358="",$J1358&lt;&gt;"Supplier"),"",IFERROR(INDEX(SupplierRates!$E$5:$E$500,MATCH($K1358&amp;"|"&amp;$L1358,SupplierRates!$A$5:$A$500,0)),0))</f>
        <v/>
      </c>
      <c r="R1358" s="26" t="n">
        <f aca="false">IF(OR($D1358="",$J1358&lt;&gt;"Supplier"),0,F1358*P1358+G1358*Q1358)</f>
        <v>0</v>
      </c>
      <c r="S1358" s="26" t="n">
        <f aca="false">IF(OR($D1358="",$J1358&lt;&gt;"Own"),0,IFERROR((F1358+G1358*Settings!$B$13)*INDEX(Workers!$V$5:$V$2004,MATCH($D1358,Workers!$A$5:$A$2004,0)),0))</f>
        <v>0</v>
      </c>
      <c r="T1358" s="26" t="str">
        <f aca="false">IF($D1358="","",O1358-R1358-S1358)</f>
        <v/>
      </c>
    </row>
    <row r="1359" customFormat="false" ht="15" hidden="false" customHeight="false" outlineLevel="0" collapsed="false">
      <c r="I1359" s="24" t="str">
        <f aca="false">IF($D1359="","",IFERROR(INDEX(Workers!$B$5:$B$2004,MATCH($D1359,Workers!$A$5:$A$2004,0)),"NOT FOUND"))</f>
        <v/>
      </c>
      <c r="J1359" s="24" t="str">
        <f aca="false">IF($D1359="","",IFERROR(INDEX(Workers!$C$5:$C$2004,MATCH($D1359,Workers!$A$5:$A$2004,0)),""))</f>
        <v/>
      </c>
      <c r="K1359" s="24" t="str">
        <f aca="false">IF($D1359="","",IFERROR(IF(INDEX(Workers!$D$5:$D$2004,MATCH($D1359,Workers!$A$5:$A$2004,0))=0,"",INDEX(Workers!$D$5:$D$2004,MATCH($D1359,Workers!$A$5:$A$2004,0))),""))</f>
        <v/>
      </c>
      <c r="L1359" s="24" t="str">
        <f aca="false">IF($D1359="","",IFERROR(INDEX(Workers!$E$5:$E$2004,MATCH($D1359,Workers!$A$5:$A$2004,0)),""))</f>
        <v/>
      </c>
      <c r="M1359" s="26" t="str">
        <f aca="false">IF($D1359="","",IFERROR(INDEX(ClientRates!$D$5:$D$500,MATCH($B1359&amp;"|"&amp;$L1359,ClientRates!$A$5:$A$500,0)),0))</f>
        <v/>
      </c>
      <c r="N1359" s="26" t="str">
        <f aca="false">IF($D1359="","",IFERROR(INDEX(ClientRates!$E$5:$E$500,MATCH($B1359&amp;"|"&amp;$L1359,ClientRates!$A$5:$A$500,0)),0))</f>
        <v/>
      </c>
      <c r="O1359" s="26" t="str">
        <f aca="false">IF($D1359="","",F1359*M1359+G1359*N1359)</f>
        <v/>
      </c>
      <c r="P1359" s="26" t="str">
        <f aca="false">IF(OR($D1359="",$J1359&lt;&gt;"Supplier"),"",IFERROR(INDEX(SupplierRates!$D$5:$D$500,MATCH($K1359&amp;"|"&amp;$L1359,SupplierRates!$A$5:$A$500,0)),0))</f>
        <v/>
      </c>
      <c r="Q1359" s="26" t="str">
        <f aca="false">IF(OR($D1359="",$J1359&lt;&gt;"Supplier"),"",IFERROR(INDEX(SupplierRates!$E$5:$E$500,MATCH($K1359&amp;"|"&amp;$L1359,SupplierRates!$A$5:$A$500,0)),0))</f>
        <v/>
      </c>
      <c r="R1359" s="26" t="n">
        <f aca="false">IF(OR($D1359="",$J1359&lt;&gt;"Supplier"),0,F1359*P1359+G1359*Q1359)</f>
        <v>0</v>
      </c>
      <c r="S1359" s="26" t="n">
        <f aca="false">IF(OR($D1359="",$J1359&lt;&gt;"Own"),0,IFERROR((F1359+G1359*Settings!$B$13)*INDEX(Workers!$V$5:$V$2004,MATCH($D1359,Workers!$A$5:$A$2004,0)),0))</f>
        <v>0</v>
      </c>
      <c r="T1359" s="26" t="str">
        <f aca="false">IF($D1359="","",O1359-R1359-S1359)</f>
        <v/>
      </c>
    </row>
    <row r="1360" customFormat="false" ht="15" hidden="false" customHeight="false" outlineLevel="0" collapsed="false">
      <c r="I1360" s="24" t="str">
        <f aca="false">IF($D1360="","",IFERROR(INDEX(Workers!$B$5:$B$2004,MATCH($D1360,Workers!$A$5:$A$2004,0)),"NOT FOUND"))</f>
        <v/>
      </c>
      <c r="J1360" s="24" t="str">
        <f aca="false">IF($D1360="","",IFERROR(INDEX(Workers!$C$5:$C$2004,MATCH($D1360,Workers!$A$5:$A$2004,0)),""))</f>
        <v/>
      </c>
      <c r="K1360" s="24" t="str">
        <f aca="false">IF($D1360="","",IFERROR(IF(INDEX(Workers!$D$5:$D$2004,MATCH($D1360,Workers!$A$5:$A$2004,0))=0,"",INDEX(Workers!$D$5:$D$2004,MATCH($D1360,Workers!$A$5:$A$2004,0))),""))</f>
        <v/>
      </c>
      <c r="L1360" s="24" t="str">
        <f aca="false">IF($D1360="","",IFERROR(INDEX(Workers!$E$5:$E$2004,MATCH($D1360,Workers!$A$5:$A$2004,0)),""))</f>
        <v/>
      </c>
      <c r="M1360" s="26" t="str">
        <f aca="false">IF($D1360="","",IFERROR(INDEX(ClientRates!$D$5:$D$500,MATCH($B1360&amp;"|"&amp;$L1360,ClientRates!$A$5:$A$500,0)),0))</f>
        <v/>
      </c>
      <c r="N1360" s="26" t="str">
        <f aca="false">IF($D1360="","",IFERROR(INDEX(ClientRates!$E$5:$E$500,MATCH($B1360&amp;"|"&amp;$L1360,ClientRates!$A$5:$A$500,0)),0))</f>
        <v/>
      </c>
      <c r="O1360" s="26" t="str">
        <f aca="false">IF($D1360="","",F1360*M1360+G1360*N1360)</f>
        <v/>
      </c>
      <c r="P1360" s="26" t="str">
        <f aca="false">IF(OR($D1360="",$J1360&lt;&gt;"Supplier"),"",IFERROR(INDEX(SupplierRates!$D$5:$D$500,MATCH($K1360&amp;"|"&amp;$L1360,SupplierRates!$A$5:$A$500,0)),0))</f>
        <v/>
      </c>
      <c r="Q1360" s="26" t="str">
        <f aca="false">IF(OR($D1360="",$J1360&lt;&gt;"Supplier"),"",IFERROR(INDEX(SupplierRates!$E$5:$E$500,MATCH($K1360&amp;"|"&amp;$L1360,SupplierRates!$A$5:$A$500,0)),0))</f>
        <v/>
      </c>
      <c r="R1360" s="26" t="n">
        <f aca="false">IF(OR($D1360="",$J1360&lt;&gt;"Supplier"),0,F1360*P1360+G1360*Q1360)</f>
        <v>0</v>
      </c>
      <c r="S1360" s="26" t="n">
        <f aca="false">IF(OR($D1360="",$J1360&lt;&gt;"Own"),0,IFERROR((F1360+G1360*Settings!$B$13)*INDEX(Workers!$V$5:$V$2004,MATCH($D1360,Workers!$A$5:$A$2004,0)),0))</f>
        <v>0</v>
      </c>
      <c r="T1360" s="26" t="str">
        <f aca="false">IF($D1360="","",O1360-R1360-S1360)</f>
        <v/>
      </c>
    </row>
    <row r="1361" customFormat="false" ht="15" hidden="false" customHeight="false" outlineLevel="0" collapsed="false">
      <c r="I1361" s="24" t="str">
        <f aca="false">IF($D1361="","",IFERROR(INDEX(Workers!$B$5:$B$2004,MATCH($D1361,Workers!$A$5:$A$2004,0)),"NOT FOUND"))</f>
        <v/>
      </c>
      <c r="J1361" s="24" t="str">
        <f aca="false">IF($D1361="","",IFERROR(INDEX(Workers!$C$5:$C$2004,MATCH($D1361,Workers!$A$5:$A$2004,0)),""))</f>
        <v/>
      </c>
      <c r="K1361" s="24" t="str">
        <f aca="false">IF($D1361="","",IFERROR(IF(INDEX(Workers!$D$5:$D$2004,MATCH($D1361,Workers!$A$5:$A$2004,0))=0,"",INDEX(Workers!$D$5:$D$2004,MATCH($D1361,Workers!$A$5:$A$2004,0))),""))</f>
        <v/>
      </c>
      <c r="L1361" s="24" t="str">
        <f aca="false">IF($D1361="","",IFERROR(INDEX(Workers!$E$5:$E$2004,MATCH($D1361,Workers!$A$5:$A$2004,0)),""))</f>
        <v/>
      </c>
      <c r="M1361" s="26" t="str">
        <f aca="false">IF($D1361="","",IFERROR(INDEX(ClientRates!$D$5:$D$500,MATCH($B1361&amp;"|"&amp;$L1361,ClientRates!$A$5:$A$500,0)),0))</f>
        <v/>
      </c>
      <c r="N1361" s="26" t="str">
        <f aca="false">IF($D1361="","",IFERROR(INDEX(ClientRates!$E$5:$E$500,MATCH($B1361&amp;"|"&amp;$L1361,ClientRates!$A$5:$A$500,0)),0))</f>
        <v/>
      </c>
      <c r="O1361" s="26" t="str">
        <f aca="false">IF($D1361="","",F1361*M1361+G1361*N1361)</f>
        <v/>
      </c>
      <c r="P1361" s="26" t="str">
        <f aca="false">IF(OR($D1361="",$J1361&lt;&gt;"Supplier"),"",IFERROR(INDEX(SupplierRates!$D$5:$D$500,MATCH($K1361&amp;"|"&amp;$L1361,SupplierRates!$A$5:$A$500,0)),0))</f>
        <v/>
      </c>
      <c r="Q1361" s="26" t="str">
        <f aca="false">IF(OR($D1361="",$J1361&lt;&gt;"Supplier"),"",IFERROR(INDEX(SupplierRates!$E$5:$E$500,MATCH($K1361&amp;"|"&amp;$L1361,SupplierRates!$A$5:$A$500,0)),0))</f>
        <v/>
      </c>
      <c r="R1361" s="26" t="n">
        <f aca="false">IF(OR($D1361="",$J1361&lt;&gt;"Supplier"),0,F1361*P1361+G1361*Q1361)</f>
        <v>0</v>
      </c>
      <c r="S1361" s="26" t="n">
        <f aca="false">IF(OR($D1361="",$J1361&lt;&gt;"Own"),0,IFERROR((F1361+G1361*Settings!$B$13)*INDEX(Workers!$V$5:$V$2004,MATCH($D1361,Workers!$A$5:$A$2004,0)),0))</f>
        <v>0</v>
      </c>
      <c r="T1361" s="26" t="str">
        <f aca="false">IF($D1361="","",O1361-R1361-S1361)</f>
        <v/>
      </c>
    </row>
    <row r="1362" customFormat="false" ht="15" hidden="false" customHeight="false" outlineLevel="0" collapsed="false">
      <c r="I1362" s="24" t="str">
        <f aca="false">IF($D1362="","",IFERROR(INDEX(Workers!$B$5:$B$2004,MATCH($D1362,Workers!$A$5:$A$2004,0)),"NOT FOUND"))</f>
        <v/>
      </c>
      <c r="J1362" s="24" t="str">
        <f aca="false">IF($D1362="","",IFERROR(INDEX(Workers!$C$5:$C$2004,MATCH($D1362,Workers!$A$5:$A$2004,0)),""))</f>
        <v/>
      </c>
      <c r="K1362" s="24" t="str">
        <f aca="false">IF($D1362="","",IFERROR(IF(INDEX(Workers!$D$5:$D$2004,MATCH($D1362,Workers!$A$5:$A$2004,0))=0,"",INDEX(Workers!$D$5:$D$2004,MATCH($D1362,Workers!$A$5:$A$2004,0))),""))</f>
        <v/>
      </c>
      <c r="L1362" s="24" t="str">
        <f aca="false">IF($D1362="","",IFERROR(INDEX(Workers!$E$5:$E$2004,MATCH($D1362,Workers!$A$5:$A$2004,0)),""))</f>
        <v/>
      </c>
      <c r="M1362" s="26" t="str">
        <f aca="false">IF($D1362="","",IFERROR(INDEX(ClientRates!$D$5:$D$500,MATCH($B1362&amp;"|"&amp;$L1362,ClientRates!$A$5:$A$500,0)),0))</f>
        <v/>
      </c>
      <c r="N1362" s="26" t="str">
        <f aca="false">IF($D1362="","",IFERROR(INDEX(ClientRates!$E$5:$E$500,MATCH($B1362&amp;"|"&amp;$L1362,ClientRates!$A$5:$A$500,0)),0))</f>
        <v/>
      </c>
      <c r="O1362" s="26" t="str">
        <f aca="false">IF($D1362="","",F1362*M1362+G1362*N1362)</f>
        <v/>
      </c>
      <c r="P1362" s="26" t="str">
        <f aca="false">IF(OR($D1362="",$J1362&lt;&gt;"Supplier"),"",IFERROR(INDEX(SupplierRates!$D$5:$D$500,MATCH($K1362&amp;"|"&amp;$L1362,SupplierRates!$A$5:$A$500,0)),0))</f>
        <v/>
      </c>
      <c r="Q1362" s="26" t="str">
        <f aca="false">IF(OR($D1362="",$J1362&lt;&gt;"Supplier"),"",IFERROR(INDEX(SupplierRates!$E$5:$E$500,MATCH($K1362&amp;"|"&amp;$L1362,SupplierRates!$A$5:$A$500,0)),0))</f>
        <v/>
      </c>
      <c r="R1362" s="26" t="n">
        <f aca="false">IF(OR($D1362="",$J1362&lt;&gt;"Supplier"),0,F1362*P1362+G1362*Q1362)</f>
        <v>0</v>
      </c>
      <c r="S1362" s="26" t="n">
        <f aca="false">IF(OR($D1362="",$J1362&lt;&gt;"Own"),0,IFERROR((F1362+G1362*Settings!$B$13)*INDEX(Workers!$V$5:$V$2004,MATCH($D1362,Workers!$A$5:$A$2004,0)),0))</f>
        <v>0</v>
      </c>
      <c r="T1362" s="26" t="str">
        <f aca="false">IF($D1362="","",O1362-R1362-S1362)</f>
        <v/>
      </c>
    </row>
    <row r="1363" customFormat="false" ht="15" hidden="false" customHeight="false" outlineLevel="0" collapsed="false">
      <c r="I1363" s="24" t="str">
        <f aca="false">IF($D1363="","",IFERROR(INDEX(Workers!$B$5:$B$2004,MATCH($D1363,Workers!$A$5:$A$2004,0)),"NOT FOUND"))</f>
        <v/>
      </c>
      <c r="J1363" s="24" t="str">
        <f aca="false">IF($D1363="","",IFERROR(INDEX(Workers!$C$5:$C$2004,MATCH($D1363,Workers!$A$5:$A$2004,0)),""))</f>
        <v/>
      </c>
      <c r="K1363" s="24" t="str">
        <f aca="false">IF($D1363="","",IFERROR(IF(INDEX(Workers!$D$5:$D$2004,MATCH($D1363,Workers!$A$5:$A$2004,0))=0,"",INDEX(Workers!$D$5:$D$2004,MATCH($D1363,Workers!$A$5:$A$2004,0))),""))</f>
        <v/>
      </c>
      <c r="L1363" s="24" t="str">
        <f aca="false">IF($D1363="","",IFERROR(INDEX(Workers!$E$5:$E$2004,MATCH($D1363,Workers!$A$5:$A$2004,0)),""))</f>
        <v/>
      </c>
      <c r="M1363" s="26" t="str">
        <f aca="false">IF($D1363="","",IFERROR(INDEX(ClientRates!$D$5:$D$500,MATCH($B1363&amp;"|"&amp;$L1363,ClientRates!$A$5:$A$500,0)),0))</f>
        <v/>
      </c>
      <c r="N1363" s="26" t="str">
        <f aca="false">IF($D1363="","",IFERROR(INDEX(ClientRates!$E$5:$E$500,MATCH($B1363&amp;"|"&amp;$L1363,ClientRates!$A$5:$A$500,0)),0))</f>
        <v/>
      </c>
      <c r="O1363" s="26" t="str">
        <f aca="false">IF($D1363="","",F1363*M1363+G1363*N1363)</f>
        <v/>
      </c>
      <c r="P1363" s="26" t="str">
        <f aca="false">IF(OR($D1363="",$J1363&lt;&gt;"Supplier"),"",IFERROR(INDEX(SupplierRates!$D$5:$D$500,MATCH($K1363&amp;"|"&amp;$L1363,SupplierRates!$A$5:$A$500,0)),0))</f>
        <v/>
      </c>
      <c r="Q1363" s="26" t="str">
        <f aca="false">IF(OR($D1363="",$J1363&lt;&gt;"Supplier"),"",IFERROR(INDEX(SupplierRates!$E$5:$E$500,MATCH($K1363&amp;"|"&amp;$L1363,SupplierRates!$A$5:$A$500,0)),0))</f>
        <v/>
      </c>
      <c r="R1363" s="26" t="n">
        <f aca="false">IF(OR($D1363="",$J1363&lt;&gt;"Supplier"),0,F1363*P1363+G1363*Q1363)</f>
        <v>0</v>
      </c>
      <c r="S1363" s="26" t="n">
        <f aca="false">IF(OR($D1363="",$J1363&lt;&gt;"Own"),0,IFERROR((F1363+G1363*Settings!$B$13)*INDEX(Workers!$V$5:$V$2004,MATCH($D1363,Workers!$A$5:$A$2004,0)),0))</f>
        <v>0</v>
      </c>
      <c r="T1363" s="26" t="str">
        <f aca="false">IF($D1363="","",O1363-R1363-S1363)</f>
        <v/>
      </c>
    </row>
    <row r="1364" customFormat="false" ht="15" hidden="false" customHeight="false" outlineLevel="0" collapsed="false">
      <c r="I1364" s="24" t="str">
        <f aca="false">IF($D1364="","",IFERROR(INDEX(Workers!$B$5:$B$2004,MATCH($D1364,Workers!$A$5:$A$2004,0)),"NOT FOUND"))</f>
        <v/>
      </c>
      <c r="J1364" s="24" t="str">
        <f aca="false">IF($D1364="","",IFERROR(INDEX(Workers!$C$5:$C$2004,MATCH($D1364,Workers!$A$5:$A$2004,0)),""))</f>
        <v/>
      </c>
      <c r="K1364" s="24" t="str">
        <f aca="false">IF($D1364="","",IFERROR(IF(INDEX(Workers!$D$5:$D$2004,MATCH($D1364,Workers!$A$5:$A$2004,0))=0,"",INDEX(Workers!$D$5:$D$2004,MATCH($D1364,Workers!$A$5:$A$2004,0))),""))</f>
        <v/>
      </c>
      <c r="L1364" s="24" t="str">
        <f aca="false">IF($D1364="","",IFERROR(INDEX(Workers!$E$5:$E$2004,MATCH($D1364,Workers!$A$5:$A$2004,0)),""))</f>
        <v/>
      </c>
      <c r="M1364" s="26" t="str">
        <f aca="false">IF($D1364="","",IFERROR(INDEX(ClientRates!$D$5:$D$500,MATCH($B1364&amp;"|"&amp;$L1364,ClientRates!$A$5:$A$500,0)),0))</f>
        <v/>
      </c>
      <c r="N1364" s="26" t="str">
        <f aca="false">IF($D1364="","",IFERROR(INDEX(ClientRates!$E$5:$E$500,MATCH($B1364&amp;"|"&amp;$L1364,ClientRates!$A$5:$A$500,0)),0))</f>
        <v/>
      </c>
      <c r="O1364" s="26" t="str">
        <f aca="false">IF($D1364="","",F1364*M1364+G1364*N1364)</f>
        <v/>
      </c>
      <c r="P1364" s="26" t="str">
        <f aca="false">IF(OR($D1364="",$J1364&lt;&gt;"Supplier"),"",IFERROR(INDEX(SupplierRates!$D$5:$D$500,MATCH($K1364&amp;"|"&amp;$L1364,SupplierRates!$A$5:$A$500,0)),0))</f>
        <v/>
      </c>
      <c r="Q1364" s="26" t="str">
        <f aca="false">IF(OR($D1364="",$J1364&lt;&gt;"Supplier"),"",IFERROR(INDEX(SupplierRates!$E$5:$E$500,MATCH($K1364&amp;"|"&amp;$L1364,SupplierRates!$A$5:$A$500,0)),0))</f>
        <v/>
      </c>
      <c r="R1364" s="26" t="n">
        <f aca="false">IF(OR($D1364="",$J1364&lt;&gt;"Supplier"),0,F1364*P1364+G1364*Q1364)</f>
        <v>0</v>
      </c>
      <c r="S1364" s="26" t="n">
        <f aca="false">IF(OR($D1364="",$J1364&lt;&gt;"Own"),0,IFERROR((F1364+G1364*Settings!$B$13)*INDEX(Workers!$V$5:$V$2004,MATCH($D1364,Workers!$A$5:$A$2004,0)),0))</f>
        <v>0</v>
      </c>
      <c r="T1364" s="26" t="str">
        <f aca="false">IF($D1364="","",O1364-R1364-S1364)</f>
        <v/>
      </c>
    </row>
    <row r="1365" customFormat="false" ht="15" hidden="false" customHeight="false" outlineLevel="0" collapsed="false">
      <c r="I1365" s="24" t="str">
        <f aca="false">IF($D1365="","",IFERROR(INDEX(Workers!$B$5:$B$2004,MATCH($D1365,Workers!$A$5:$A$2004,0)),"NOT FOUND"))</f>
        <v/>
      </c>
      <c r="J1365" s="24" t="str">
        <f aca="false">IF($D1365="","",IFERROR(INDEX(Workers!$C$5:$C$2004,MATCH($D1365,Workers!$A$5:$A$2004,0)),""))</f>
        <v/>
      </c>
      <c r="K1365" s="24" t="str">
        <f aca="false">IF($D1365="","",IFERROR(IF(INDEX(Workers!$D$5:$D$2004,MATCH($D1365,Workers!$A$5:$A$2004,0))=0,"",INDEX(Workers!$D$5:$D$2004,MATCH($D1365,Workers!$A$5:$A$2004,0))),""))</f>
        <v/>
      </c>
      <c r="L1365" s="24" t="str">
        <f aca="false">IF($D1365="","",IFERROR(INDEX(Workers!$E$5:$E$2004,MATCH($D1365,Workers!$A$5:$A$2004,0)),""))</f>
        <v/>
      </c>
      <c r="M1365" s="26" t="str">
        <f aca="false">IF($D1365="","",IFERROR(INDEX(ClientRates!$D$5:$D$500,MATCH($B1365&amp;"|"&amp;$L1365,ClientRates!$A$5:$A$500,0)),0))</f>
        <v/>
      </c>
      <c r="N1365" s="26" t="str">
        <f aca="false">IF($D1365="","",IFERROR(INDEX(ClientRates!$E$5:$E$500,MATCH($B1365&amp;"|"&amp;$L1365,ClientRates!$A$5:$A$500,0)),0))</f>
        <v/>
      </c>
      <c r="O1365" s="26" t="str">
        <f aca="false">IF($D1365="","",F1365*M1365+G1365*N1365)</f>
        <v/>
      </c>
      <c r="P1365" s="26" t="str">
        <f aca="false">IF(OR($D1365="",$J1365&lt;&gt;"Supplier"),"",IFERROR(INDEX(SupplierRates!$D$5:$D$500,MATCH($K1365&amp;"|"&amp;$L1365,SupplierRates!$A$5:$A$500,0)),0))</f>
        <v/>
      </c>
      <c r="Q1365" s="26" t="str">
        <f aca="false">IF(OR($D1365="",$J1365&lt;&gt;"Supplier"),"",IFERROR(INDEX(SupplierRates!$E$5:$E$500,MATCH($K1365&amp;"|"&amp;$L1365,SupplierRates!$A$5:$A$500,0)),0))</f>
        <v/>
      </c>
      <c r="R1365" s="26" t="n">
        <f aca="false">IF(OR($D1365="",$J1365&lt;&gt;"Supplier"),0,F1365*P1365+G1365*Q1365)</f>
        <v>0</v>
      </c>
      <c r="S1365" s="26" t="n">
        <f aca="false">IF(OR($D1365="",$J1365&lt;&gt;"Own"),0,IFERROR((F1365+G1365*Settings!$B$13)*INDEX(Workers!$V$5:$V$2004,MATCH($D1365,Workers!$A$5:$A$2004,0)),0))</f>
        <v>0</v>
      </c>
      <c r="T1365" s="26" t="str">
        <f aca="false">IF($D1365="","",O1365-R1365-S1365)</f>
        <v/>
      </c>
    </row>
    <row r="1366" customFormat="false" ht="15" hidden="false" customHeight="false" outlineLevel="0" collapsed="false">
      <c r="I1366" s="24" t="str">
        <f aca="false">IF($D1366="","",IFERROR(INDEX(Workers!$B$5:$B$2004,MATCH($D1366,Workers!$A$5:$A$2004,0)),"NOT FOUND"))</f>
        <v/>
      </c>
      <c r="J1366" s="24" t="str">
        <f aca="false">IF($D1366="","",IFERROR(INDEX(Workers!$C$5:$C$2004,MATCH($D1366,Workers!$A$5:$A$2004,0)),""))</f>
        <v/>
      </c>
      <c r="K1366" s="24" t="str">
        <f aca="false">IF($D1366="","",IFERROR(IF(INDEX(Workers!$D$5:$D$2004,MATCH($D1366,Workers!$A$5:$A$2004,0))=0,"",INDEX(Workers!$D$5:$D$2004,MATCH($D1366,Workers!$A$5:$A$2004,0))),""))</f>
        <v/>
      </c>
      <c r="L1366" s="24" t="str">
        <f aca="false">IF($D1366="","",IFERROR(INDEX(Workers!$E$5:$E$2004,MATCH($D1366,Workers!$A$5:$A$2004,0)),""))</f>
        <v/>
      </c>
      <c r="M1366" s="26" t="str">
        <f aca="false">IF($D1366="","",IFERROR(INDEX(ClientRates!$D$5:$D$500,MATCH($B1366&amp;"|"&amp;$L1366,ClientRates!$A$5:$A$500,0)),0))</f>
        <v/>
      </c>
      <c r="N1366" s="26" t="str">
        <f aca="false">IF($D1366="","",IFERROR(INDEX(ClientRates!$E$5:$E$500,MATCH($B1366&amp;"|"&amp;$L1366,ClientRates!$A$5:$A$500,0)),0))</f>
        <v/>
      </c>
      <c r="O1366" s="26" t="str">
        <f aca="false">IF($D1366="","",F1366*M1366+G1366*N1366)</f>
        <v/>
      </c>
      <c r="P1366" s="26" t="str">
        <f aca="false">IF(OR($D1366="",$J1366&lt;&gt;"Supplier"),"",IFERROR(INDEX(SupplierRates!$D$5:$D$500,MATCH($K1366&amp;"|"&amp;$L1366,SupplierRates!$A$5:$A$500,0)),0))</f>
        <v/>
      </c>
      <c r="Q1366" s="26" t="str">
        <f aca="false">IF(OR($D1366="",$J1366&lt;&gt;"Supplier"),"",IFERROR(INDEX(SupplierRates!$E$5:$E$500,MATCH($K1366&amp;"|"&amp;$L1366,SupplierRates!$A$5:$A$500,0)),0))</f>
        <v/>
      </c>
      <c r="R1366" s="26" t="n">
        <f aca="false">IF(OR($D1366="",$J1366&lt;&gt;"Supplier"),0,F1366*P1366+G1366*Q1366)</f>
        <v>0</v>
      </c>
      <c r="S1366" s="26" t="n">
        <f aca="false">IF(OR($D1366="",$J1366&lt;&gt;"Own"),0,IFERROR((F1366+G1366*Settings!$B$13)*INDEX(Workers!$V$5:$V$2004,MATCH($D1366,Workers!$A$5:$A$2004,0)),0))</f>
        <v>0</v>
      </c>
      <c r="T1366" s="26" t="str">
        <f aca="false">IF($D1366="","",O1366-R1366-S1366)</f>
        <v/>
      </c>
    </row>
    <row r="1367" customFormat="false" ht="15" hidden="false" customHeight="false" outlineLevel="0" collapsed="false">
      <c r="I1367" s="24" t="str">
        <f aca="false">IF($D1367="","",IFERROR(INDEX(Workers!$B$5:$B$2004,MATCH($D1367,Workers!$A$5:$A$2004,0)),"NOT FOUND"))</f>
        <v/>
      </c>
      <c r="J1367" s="24" t="str">
        <f aca="false">IF($D1367="","",IFERROR(INDEX(Workers!$C$5:$C$2004,MATCH($D1367,Workers!$A$5:$A$2004,0)),""))</f>
        <v/>
      </c>
      <c r="K1367" s="24" t="str">
        <f aca="false">IF($D1367="","",IFERROR(IF(INDEX(Workers!$D$5:$D$2004,MATCH($D1367,Workers!$A$5:$A$2004,0))=0,"",INDEX(Workers!$D$5:$D$2004,MATCH($D1367,Workers!$A$5:$A$2004,0))),""))</f>
        <v/>
      </c>
      <c r="L1367" s="24" t="str">
        <f aca="false">IF($D1367="","",IFERROR(INDEX(Workers!$E$5:$E$2004,MATCH($D1367,Workers!$A$5:$A$2004,0)),""))</f>
        <v/>
      </c>
      <c r="M1367" s="26" t="str">
        <f aca="false">IF($D1367="","",IFERROR(INDEX(ClientRates!$D$5:$D$500,MATCH($B1367&amp;"|"&amp;$L1367,ClientRates!$A$5:$A$500,0)),0))</f>
        <v/>
      </c>
      <c r="N1367" s="26" t="str">
        <f aca="false">IF($D1367="","",IFERROR(INDEX(ClientRates!$E$5:$E$500,MATCH($B1367&amp;"|"&amp;$L1367,ClientRates!$A$5:$A$500,0)),0))</f>
        <v/>
      </c>
      <c r="O1367" s="26" t="str">
        <f aca="false">IF($D1367="","",F1367*M1367+G1367*N1367)</f>
        <v/>
      </c>
      <c r="P1367" s="26" t="str">
        <f aca="false">IF(OR($D1367="",$J1367&lt;&gt;"Supplier"),"",IFERROR(INDEX(SupplierRates!$D$5:$D$500,MATCH($K1367&amp;"|"&amp;$L1367,SupplierRates!$A$5:$A$500,0)),0))</f>
        <v/>
      </c>
      <c r="Q1367" s="26" t="str">
        <f aca="false">IF(OR($D1367="",$J1367&lt;&gt;"Supplier"),"",IFERROR(INDEX(SupplierRates!$E$5:$E$500,MATCH($K1367&amp;"|"&amp;$L1367,SupplierRates!$A$5:$A$500,0)),0))</f>
        <v/>
      </c>
      <c r="R1367" s="26" t="n">
        <f aca="false">IF(OR($D1367="",$J1367&lt;&gt;"Supplier"),0,F1367*P1367+G1367*Q1367)</f>
        <v>0</v>
      </c>
      <c r="S1367" s="26" t="n">
        <f aca="false">IF(OR($D1367="",$J1367&lt;&gt;"Own"),0,IFERROR((F1367+G1367*Settings!$B$13)*INDEX(Workers!$V$5:$V$2004,MATCH($D1367,Workers!$A$5:$A$2004,0)),0))</f>
        <v>0</v>
      </c>
      <c r="T1367" s="26" t="str">
        <f aca="false">IF($D1367="","",O1367-R1367-S1367)</f>
        <v/>
      </c>
    </row>
    <row r="1368" customFormat="false" ht="15" hidden="false" customHeight="false" outlineLevel="0" collapsed="false">
      <c r="I1368" s="24" t="str">
        <f aca="false">IF($D1368="","",IFERROR(INDEX(Workers!$B$5:$B$2004,MATCH($D1368,Workers!$A$5:$A$2004,0)),"NOT FOUND"))</f>
        <v/>
      </c>
      <c r="J1368" s="24" t="str">
        <f aca="false">IF($D1368="","",IFERROR(INDEX(Workers!$C$5:$C$2004,MATCH($D1368,Workers!$A$5:$A$2004,0)),""))</f>
        <v/>
      </c>
      <c r="K1368" s="24" t="str">
        <f aca="false">IF($D1368="","",IFERROR(IF(INDEX(Workers!$D$5:$D$2004,MATCH($D1368,Workers!$A$5:$A$2004,0))=0,"",INDEX(Workers!$D$5:$D$2004,MATCH($D1368,Workers!$A$5:$A$2004,0))),""))</f>
        <v/>
      </c>
      <c r="L1368" s="24" t="str">
        <f aca="false">IF($D1368="","",IFERROR(INDEX(Workers!$E$5:$E$2004,MATCH($D1368,Workers!$A$5:$A$2004,0)),""))</f>
        <v/>
      </c>
      <c r="M1368" s="26" t="str">
        <f aca="false">IF($D1368="","",IFERROR(INDEX(ClientRates!$D$5:$D$500,MATCH($B1368&amp;"|"&amp;$L1368,ClientRates!$A$5:$A$500,0)),0))</f>
        <v/>
      </c>
      <c r="N1368" s="26" t="str">
        <f aca="false">IF($D1368="","",IFERROR(INDEX(ClientRates!$E$5:$E$500,MATCH($B1368&amp;"|"&amp;$L1368,ClientRates!$A$5:$A$500,0)),0))</f>
        <v/>
      </c>
      <c r="O1368" s="26" t="str">
        <f aca="false">IF($D1368="","",F1368*M1368+G1368*N1368)</f>
        <v/>
      </c>
      <c r="P1368" s="26" t="str">
        <f aca="false">IF(OR($D1368="",$J1368&lt;&gt;"Supplier"),"",IFERROR(INDEX(SupplierRates!$D$5:$D$500,MATCH($K1368&amp;"|"&amp;$L1368,SupplierRates!$A$5:$A$500,0)),0))</f>
        <v/>
      </c>
      <c r="Q1368" s="26" t="str">
        <f aca="false">IF(OR($D1368="",$J1368&lt;&gt;"Supplier"),"",IFERROR(INDEX(SupplierRates!$E$5:$E$500,MATCH($K1368&amp;"|"&amp;$L1368,SupplierRates!$A$5:$A$500,0)),0))</f>
        <v/>
      </c>
      <c r="R1368" s="26" t="n">
        <f aca="false">IF(OR($D1368="",$J1368&lt;&gt;"Supplier"),0,F1368*P1368+G1368*Q1368)</f>
        <v>0</v>
      </c>
      <c r="S1368" s="26" t="n">
        <f aca="false">IF(OR($D1368="",$J1368&lt;&gt;"Own"),0,IFERROR((F1368+G1368*Settings!$B$13)*INDEX(Workers!$V$5:$V$2004,MATCH($D1368,Workers!$A$5:$A$2004,0)),0))</f>
        <v>0</v>
      </c>
      <c r="T1368" s="26" t="str">
        <f aca="false">IF($D1368="","",O1368-R1368-S1368)</f>
        <v/>
      </c>
    </row>
    <row r="1369" customFormat="false" ht="15" hidden="false" customHeight="false" outlineLevel="0" collapsed="false">
      <c r="I1369" s="24" t="str">
        <f aca="false">IF($D1369="","",IFERROR(INDEX(Workers!$B$5:$B$2004,MATCH($D1369,Workers!$A$5:$A$2004,0)),"NOT FOUND"))</f>
        <v/>
      </c>
      <c r="J1369" s="24" t="str">
        <f aca="false">IF($D1369="","",IFERROR(INDEX(Workers!$C$5:$C$2004,MATCH($D1369,Workers!$A$5:$A$2004,0)),""))</f>
        <v/>
      </c>
      <c r="K1369" s="24" t="str">
        <f aca="false">IF($D1369="","",IFERROR(IF(INDEX(Workers!$D$5:$D$2004,MATCH($D1369,Workers!$A$5:$A$2004,0))=0,"",INDEX(Workers!$D$5:$D$2004,MATCH($D1369,Workers!$A$5:$A$2004,0))),""))</f>
        <v/>
      </c>
      <c r="L1369" s="24" t="str">
        <f aca="false">IF($D1369="","",IFERROR(INDEX(Workers!$E$5:$E$2004,MATCH($D1369,Workers!$A$5:$A$2004,0)),""))</f>
        <v/>
      </c>
      <c r="M1369" s="26" t="str">
        <f aca="false">IF($D1369="","",IFERROR(INDEX(ClientRates!$D$5:$D$500,MATCH($B1369&amp;"|"&amp;$L1369,ClientRates!$A$5:$A$500,0)),0))</f>
        <v/>
      </c>
      <c r="N1369" s="26" t="str">
        <f aca="false">IF($D1369="","",IFERROR(INDEX(ClientRates!$E$5:$E$500,MATCH($B1369&amp;"|"&amp;$L1369,ClientRates!$A$5:$A$500,0)),0))</f>
        <v/>
      </c>
      <c r="O1369" s="26" t="str">
        <f aca="false">IF($D1369="","",F1369*M1369+G1369*N1369)</f>
        <v/>
      </c>
      <c r="P1369" s="26" t="str">
        <f aca="false">IF(OR($D1369="",$J1369&lt;&gt;"Supplier"),"",IFERROR(INDEX(SupplierRates!$D$5:$D$500,MATCH($K1369&amp;"|"&amp;$L1369,SupplierRates!$A$5:$A$500,0)),0))</f>
        <v/>
      </c>
      <c r="Q1369" s="26" t="str">
        <f aca="false">IF(OR($D1369="",$J1369&lt;&gt;"Supplier"),"",IFERROR(INDEX(SupplierRates!$E$5:$E$500,MATCH($K1369&amp;"|"&amp;$L1369,SupplierRates!$A$5:$A$500,0)),0))</f>
        <v/>
      </c>
      <c r="R1369" s="26" t="n">
        <f aca="false">IF(OR($D1369="",$J1369&lt;&gt;"Supplier"),0,F1369*P1369+G1369*Q1369)</f>
        <v>0</v>
      </c>
      <c r="S1369" s="26" t="n">
        <f aca="false">IF(OR($D1369="",$J1369&lt;&gt;"Own"),0,IFERROR((F1369+G1369*Settings!$B$13)*INDEX(Workers!$V$5:$V$2004,MATCH($D1369,Workers!$A$5:$A$2004,0)),0))</f>
        <v>0</v>
      </c>
      <c r="T1369" s="26" t="str">
        <f aca="false">IF($D1369="","",O1369-R1369-S1369)</f>
        <v/>
      </c>
    </row>
    <row r="1370" customFormat="false" ht="15" hidden="false" customHeight="false" outlineLevel="0" collapsed="false">
      <c r="I1370" s="24" t="str">
        <f aca="false">IF($D1370="","",IFERROR(INDEX(Workers!$B$5:$B$2004,MATCH($D1370,Workers!$A$5:$A$2004,0)),"NOT FOUND"))</f>
        <v/>
      </c>
      <c r="J1370" s="24" t="str">
        <f aca="false">IF($D1370="","",IFERROR(INDEX(Workers!$C$5:$C$2004,MATCH($D1370,Workers!$A$5:$A$2004,0)),""))</f>
        <v/>
      </c>
      <c r="K1370" s="24" t="str">
        <f aca="false">IF($D1370="","",IFERROR(IF(INDEX(Workers!$D$5:$D$2004,MATCH($D1370,Workers!$A$5:$A$2004,0))=0,"",INDEX(Workers!$D$5:$D$2004,MATCH($D1370,Workers!$A$5:$A$2004,0))),""))</f>
        <v/>
      </c>
      <c r="L1370" s="24" t="str">
        <f aca="false">IF($D1370="","",IFERROR(INDEX(Workers!$E$5:$E$2004,MATCH($D1370,Workers!$A$5:$A$2004,0)),""))</f>
        <v/>
      </c>
      <c r="M1370" s="26" t="str">
        <f aca="false">IF($D1370="","",IFERROR(INDEX(ClientRates!$D$5:$D$500,MATCH($B1370&amp;"|"&amp;$L1370,ClientRates!$A$5:$A$500,0)),0))</f>
        <v/>
      </c>
      <c r="N1370" s="26" t="str">
        <f aca="false">IF($D1370="","",IFERROR(INDEX(ClientRates!$E$5:$E$500,MATCH($B1370&amp;"|"&amp;$L1370,ClientRates!$A$5:$A$500,0)),0))</f>
        <v/>
      </c>
      <c r="O1370" s="26" t="str">
        <f aca="false">IF($D1370="","",F1370*M1370+G1370*N1370)</f>
        <v/>
      </c>
      <c r="P1370" s="26" t="str">
        <f aca="false">IF(OR($D1370="",$J1370&lt;&gt;"Supplier"),"",IFERROR(INDEX(SupplierRates!$D$5:$D$500,MATCH($K1370&amp;"|"&amp;$L1370,SupplierRates!$A$5:$A$500,0)),0))</f>
        <v/>
      </c>
      <c r="Q1370" s="26" t="str">
        <f aca="false">IF(OR($D1370="",$J1370&lt;&gt;"Supplier"),"",IFERROR(INDEX(SupplierRates!$E$5:$E$500,MATCH($K1370&amp;"|"&amp;$L1370,SupplierRates!$A$5:$A$500,0)),0))</f>
        <v/>
      </c>
      <c r="R1370" s="26" t="n">
        <f aca="false">IF(OR($D1370="",$J1370&lt;&gt;"Supplier"),0,F1370*P1370+G1370*Q1370)</f>
        <v>0</v>
      </c>
      <c r="S1370" s="26" t="n">
        <f aca="false">IF(OR($D1370="",$J1370&lt;&gt;"Own"),0,IFERROR((F1370+G1370*Settings!$B$13)*INDEX(Workers!$V$5:$V$2004,MATCH($D1370,Workers!$A$5:$A$2004,0)),0))</f>
        <v>0</v>
      </c>
      <c r="T1370" s="26" t="str">
        <f aca="false">IF($D1370="","",O1370-R1370-S1370)</f>
        <v/>
      </c>
    </row>
    <row r="1371" customFormat="false" ht="15" hidden="false" customHeight="false" outlineLevel="0" collapsed="false">
      <c r="I1371" s="24" t="str">
        <f aca="false">IF($D1371="","",IFERROR(INDEX(Workers!$B$5:$B$2004,MATCH($D1371,Workers!$A$5:$A$2004,0)),"NOT FOUND"))</f>
        <v/>
      </c>
      <c r="J1371" s="24" t="str">
        <f aca="false">IF($D1371="","",IFERROR(INDEX(Workers!$C$5:$C$2004,MATCH($D1371,Workers!$A$5:$A$2004,0)),""))</f>
        <v/>
      </c>
      <c r="K1371" s="24" t="str">
        <f aca="false">IF($D1371="","",IFERROR(IF(INDEX(Workers!$D$5:$D$2004,MATCH($D1371,Workers!$A$5:$A$2004,0))=0,"",INDEX(Workers!$D$5:$D$2004,MATCH($D1371,Workers!$A$5:$A$2004,0))),""))</f>
        <v/>
      </c>
      <c r="L1371" s="24" t="str">
        <f aca="false">IF($D1371="","",IFERROR(INDEX(Workers!$E$5:$E$2004,MATCH($D1371,Workers!$A$5:$A$2004,0)),""))</f>
        <v/>
      </c>
      <c r="M1371" s="26" t="str">
        <f aca="false">IF($D1371="","",IFERROR(INDEX(ClientRates!$D$5:$D$500,MATCH($B1371&amp;"|"&amp;$L1371,ClientRates!$A$5:$A$500,0)),0))</f>
        <v/>
      </c>
      <c r="N1371" s="26" t="str">
        <f aca="false">IF($D1371="","",IFERROR(INDEX(ClientRates!$E$5:$E$500,MATCH($B1371&amp;"|"&amp;$L1371,ClientRates!$A$5:$A$500,0)),0))</f>
        <v/>
      </c>
      <c r="O1371" s="26" t="str">
        <f aca="false">IF($D1371="","",F1371*M1371+G1371*N1371)</f>
        <v/>
      </c>
      <c r="P1371" s="26" t="str">
        <f aca="false">IF(OR($D1371="",$J1371&lt;&gt;"Supplier"),"",IFERROR(INDEX(SupplierRates!$D$5:$D$500,MATCH($K1371&amp;"|"&amp;$L1371,SupplierRates!$A$5:$A$500,0)),0))</f>
        <v/>
      </c>
      <c r="Q1371" s="26" t="str">
        <f aca="false">IF(OR($D1371="",$J1371&lt;&gt;"Supplier"),"",IFERROR(INDEX(SupplierRates!$E$5:$E$500,MATCH($K1371&amp;"|"&amp;$L1371,SupplierRates!$A$5:$A$500,0)),0))</f>
        <v/>
      </c>
      <c r="R1371" s="26" t="n">
        <f aca="false">IF(OR($D1371="",$J1371&lt;&gt;"Supplier"),0,F1371*P1371+G1371*Q1371)</f>
        <v>0</v>
      </c>
      <c r="S1371" s="26" t="n">
        <f aca="false">IF(OR($D1371="",$J1371&lt;&gt;"Own"),0,IFERROR((F1371+G1371*Settings!$B$13)*INDEX(Workers!$V$5:$V$2004,MATCH($D1371,Workers!$A$5:$A$2004,0)),0))</f>
        <v>0</v>
      </c>
      <c r="T1371" s="26" t="str">
        <f aca="false">IF($D1371="","",O1371-R1371-S1371)</f>
        <v/>
      </c>
    </row>
    <row r="1372" customFormat="false" ht="15" hidden="false" customHeight="false" outlineLevel="0" collapsed="false">
      <c r="I1372" s="24" t="str">
        <f aca="false">IF($D1372="","",IFERROR(INDEX(Workers!$B$5:$B$2004,MATCH($D1372,Workers!$A$5:$A$2004,0)),"NOT FOUND"))</f>
        <v/>
      </c>
      <c r="J1372" s="24" t="str">
        <f aca="false">IF($D1372="","",IFERROR(INDEX(Workers!$C$5:$C$2004,MATCH($D1372,Workers!$A$5:$A$2004,0)),""))</f>
        <v/>
      </c>
      <c r="K1372" s="24" t="str">
        <f aca="false">IF($D1372="","",IFERROR(IF(INDEX(Workers!$D$5:$D$2004,MATCH($D1372,Workers!$A$5:$A$2004,0))=0,"",INDEX(Workers!$D$5:$D$2004,MATCH($D1372,Workers!$A$5:$A$2004,0))),""))</f>
        <v/>
      </c>
      <c r="L1372" s="24" t="str">
        <f aca="false">IF($D1372="","",IFERROR(INDEX(Workers!$E$5:$E$2004,MATCH($D1372,Workers!$A$5:$A$2004,0)),""))</f>
        <v/>
      </c>
      <c r="M1372" s="26" t="str">
        <f aca="false">IF($D1372="","",IFERROR(INDEX(ClientRates!$D$5:$D$500,MATCH($B1372&amp;"|"&amp;$L1372,ClientRates!$A$5:$A$500,0)),0))</f>
        <v/>
      </c>
      <c r="N1372" s="26" t="str">
        <f aca="false">IF($D1372="","",IFERROR(INDEX(ClientRates!$E$5:$E$500,MATCH($B1372&amp;"|"&amp;$L1372,ClientRates!$A$5:$A$500,0)),0))</f>
        <v/>
      </c>
      <c r="O1372" s="26" t="str">
        <f aca="false">IF($D1372="","",F1372*M1372+G1372*N1372)</f>
        <v/>
      </c>
      <c r="P1372" s="26" t="str">
        <f aca="false">IF(OR($D1372="",$J1372&lt;&gt;"Supplier"),"",IFERROR(INDEX(SupplierRates!$D$5:$D$500,MATCH($K1372&amp;"|"&amp;$L1372,SupplierRates!$A$5:$A$500,0)),0))</f>
        <v/>
      </c>
      <c r="Q1372" s="26" t="str">
        <f aca="false">IF(OR($D1372="",$J1372&lt;&gt;"Supplier"),"",IFERROR(INDEX(SupplierRates!$E$5:$E$500,MATCH($K1372&amp;"|"&amp;$L1372,SupplierRates!$A$5:$A$500,0)),0))</f>
        <v/>
      </c>
      <c r="R1372" s="26" t="n">
        <f aca="false">IF(OR($D1372="",$J1372&lt;&gt;"Supplier"),0,F1372*P1372+G1372*Q1372)</f>
        <v>0</v>
      </c>
      <c r="S1372" s="26" t="n">
        <f aca="false">IF(OR($D1372="",$J1372&lt;&gt;"Own"),0,IFERROR((F1372+G1372*Settings!$B$13)*INDEX(Workers!$V$5:$V$2004,MATCH($D1372,Workers!$A$5:$A$2004,0)),0))</f>
        <v>0</v>
      </c>
      <c r="T1372" s="26" t="str">
        <f aca="false">IF($D1372="","",O1372-R1372-S1372)</f>
        <v/>
      </c>
    </row>
    <row r="1373" customFormat="false" ht="15" hidden="false" customHeight="false" outlineLevel="0" collapsed="false">
      <c r="I1373" s="24" t="str">
        <f aca="false">IF($D1373="","",IFERROR(INDEX(Workers!$B$5:$B$2004,MATCH($D1373,Workers!$A$5:$A$2004,0)),"NOT FOUND"))</f>
        <v/>
      </c>
      <c r="J1373" s="24" t="str">
        <f aca="false">IF($D1373="","",IFERROR(INDEX(Workers!$C$5:$C$2004,MATCH($D1373,Workers!$A$5:$A$2004,0)),""))</f>
        <v/>
      </c>
      <c r="K1373" s="24" t="str">
        <f aca="false">IF($D1373="","",IFERROR(IF(INDEX(Workers!$D$5:$D$2004,MATCH($D1373,Workers!$A$5:$A$2004,0))=0,"",INDEX(Workers!$D$5:$D$2004,MATCH($D1373,Workers!$A$5:$A$2004,0))),""))</f>
        <v/>
      </c>
      <c r="L1373" s="24" t="str">
        <f aca="false">IF($D1373="","",IFERROR(INDEX(Workers!$E$5:$E$2004,MATCH($D1373,Workers!$A$5:$A$2004,0)),""))</f>
        <v/>
      </c>
      <c r="M1373" s="26" t="str">
        <f aca="false">IF($D1373="","",IFERROR(INDEX(ClientRates!$D$5:$D$500,MATCH($B1373&amp;"|"&amp;$L1373,ClientRates!$A$5:$A$500,0)),0))</f>
        <v/>
      </c>
      <c r="N1373" s="26" t="str">
        <f aca="false">IF($D1373="","",IFERROR(INDEX(ClientRates!$E$5:$E$500,MATCH($B1373&amp;"|"&amp;$L1373,ClientRates!$A$5:$A$500,0)),0))</f>
        <v/>
      </c>
      <c r="O1373" s="26" t="str">
        <f aca="false">IF($D1373="","",F1373*M1373+G1373*N1373)</f>
        <v/>
      </c>
      <c r="P1373" s="26" t="str">
        <f aca="false">IF(OR($D1373="",$J1373&lt;&gt;"Supplier"),"",IFERROR(INDEX(SupplierRates!$D$5:$D$500,MATCH($K1373&amp;"|"&amp;$L1373,SupplierRates!$A$5:$A$500,0)),0))</f>
        <v/>
      </c>
      <c r="Q1373" s="26" t="str">
        <f aca="false">IF(OR($D1373="",$J1373&lt;&gt;"Supplier"),"",IFERROR(INDEX(SupplierRates!$E$5:$E$500,MATCH($K1373&amp;"|"&amp;$L1373,SupplierRates!$A$5:$A$500,0)),0))</f>
        <v/>
      </c>
      <c r="R1373" s="26" t="n">
        <f aca="false">IF(OR($D1373="",$J1373&lt;&gt;"Supplier"),0,F1373*P1373+G1373*Q1373)</f>
        <v>0</v>
      </c>
      <c r="S1373" s="26" t="n">
        <f aca="false">IF(OR($D1373="",$J1373&lt;&gt;"Own"),0,IFERROR((F1373+G1373*Settings!$B$13)*INDEX(Workers!$V$5:$V$2004,MATCH($D1373,Workers!$A$5:$A$2004,0)),0))</f>
        <v>0</v>
      </c>
      <c r="T1373" s="26" t="str">
        <f aca="false">IF($D1373="","",O1373-R1373-S1373)</f>
        <v/>
      </c>
    </row>
    <row r="1374" customFormat="false" ht="15" hidden="false" customHeight="false" outlineLevel="0" collapsed="false">
      <c r="I1374" s="24" t="str">
        <f aca="false">IF($D1374="","",IFERROR(INDEX(Workers!$B$5:$B$2004,MATCH($D1374,Workers!$A$5:$A$2004,0)),"NOT FOUND"))</f>
        <v/>
      </c>
      <c r="J1374" s="24" t="str">
        <f aca="false">IF($D1374="","",IFERROR(INDEX(Workers!$C$5:$C$2004,MATCH($D1374,Workers!$A$5:$A$2004,0)),""))</f>
        <v/>
      </c>
      <c r="K1374" s="24" t="str">
        <f aca="false">IF($D1374="","",IFERROR(IF(INDEX(Workers!$D$5:$D$2004,MATCH($D1374,Workers!$A$5:$A$2004,0))=0,"",INDEX(Workers!$D$5:$D$2004,MATCH($D1374,Workers!$A$5:$A$2004,0))),""))</f>
        <v/>
      </c>
      <c r="L1374" s="24" t="str">
        <f aca="false">IF($D1374="","",IFERROR(INDEX(Workers!$E$5:$E$2004,MATCH($D1374,Workers!$A$5:$A$2004,0)),""))</f>
        <v/>
      </c>
      <c r="M1374" s="26" t="str">
        <f aca="false">IF($D1374="","",IFERROR(INDEX(ClientRates!$D$5:$D$500,MATCH($B1374&amp;"|"&amp;$L1374,ClientRates!$A$5:$A$500,0)),0))</f>
        <v/>
      </c>
      <c r="N1374" s="26" t="str">
        <f aca="false">IF($D1374="","",IFERROR(INDEX(ClientRates!$E$5:$E$500,MATCH($B1374&amp;"|"&amp;$L1374,ClientRates!$A$5:$A$500,0)),0))</f>
        <v/>
      </c>
      <c r="O1374" s="26" t="str">
        <f aca="false">IF($D1374="","",F1374*M1374+G1374*N1374)</f>
        <v/>
      </c>
      <c r="P1374" s="26" t="str">
        <f aca="false">IF(OR($D1374="",$J1374&lt;&gt;"Supplier"),"",IFERROR(INDEX(SupplierRates!$D$5:$D$500,MATCH($K1374&amp;"|"&amp;$L1374,SupplierRates!$A$5:$A$500,0)),0))</f>
        <v/>
      </c>
      <c r="Q1374" s="26" t="str">
        <f aca="false">IF(OR($D1374="",$J1374&lt;&gt;"Supplier"),"",IFERROR(INDEX(SupplierRates!$E$5:$E$500,MATCH($K1374&amp;"|"&amp;$L1374,SupplierRates!$A$5:$A$500,0)),0))</f>
        <v/>
      </c>
      <c r="R1374" s="26" t="n">
        <f aca="false">IF(OR($D1374="",$J1374&lt;&gt;"Supplier"),0,F1374*P1374+G1374*Q1374)</f>
        <v>0</v>
      </c>
      <c r="S1374" s="26" t="n">
        <f aca="false">IF(OR($D1374="",$J1374&lt;&gt;"Own"),0,IFERROR((F1374+G1374*Settings!$B$13)*INDEX(Workers!$V$5:$V$2004,MATCH($D1374,Workers!$A$5:$A$2004,0)),0))</f>
        <v>0</v>
      </c>
      <c r="T1374" s="26" t="str">
        <f aca="false">IF($D1374="","",O1374-R1374-S1374)</f>
        <v/>
      </c>
    </row>
    <row r="1375" customFormat="false" ht="15" hidden="false" customHeight="false" outlineLevel="0" collapsed="false">
      <c r="I1375" s="24" t="str">
        <f aca="false">IF($D1375="","",IFERROR(INDEX(Workers!$B$5:$B$2004,MATCH($D1375,Workers!$A$5:$A$2004,0)),"NOT FOUND"))</f>
        <v/>
      </c>
      <c r="J1375" s="24" t="str">
        <f aca="false">IF($D1375="","",IFERROR(INDEX(Workers!$C$5:$C$2004,MATCH($D1375,Workers!$A$5:$A$2004,0)),""))</f>
        <v/>
      </c>
      <c r="K1375" s="24" t="str">
        <f aca="false">IF($D1375="","",IFERROR(IF(INDEX(Workers!$D$5:$D$2004,MATCH($D1375,Workers!$A$5:$A$2004,0))=0,"",INDEX(Workers!$D$5:$D$2004,MATCH($D1375,Workers!$A$5:$A$2004,0))),""))</f>
        <v/>
      </c>
      <c r="L1375" s="24" t="str">
        <f aca="false">IF($D1375="","",IFERROR(INDEX(Workers!$E$5:$E$2004,MATCH($D1375,Workers!$A$5:$A$2004,0)),""))</f>
        <v/>
      </c>
      <c r="M1375" s="26" t="str">
        <f aca="false">IF($D1375="","",IFERROR(INDEX(ClientRates!$D$5:$D$500,MATCH($B1375&amp;"|"&amp;$L1375,ClientRates!$A$5:$A$500,0)),0))</f>
        <v/>
      </c>
      <c r="N1375" s="26" t="str">
        <f aca="false">IF($D1375="","",IFERROR(INDEX(ClientRates!$E$5:$E$500,MATCH($B1375&amp;"|"&amp;$L1375,ClientRates!$A$5:$A$500,0)),0))</f>
        <v/>
      </c>
      <c r="O1375" s="26" t="str">
        <f aca="false">IF($D1375="","",F1375*M1375+G1375*N1375)</f>
        <v/>
      </c>
      <c r="P1375" s="26" t="str">
        <f aca="false">IF(OR($D1375="",$J1375&lt;&gt;"Supplier"),"",IFERROR(INDEX(SupplierRates!$D$5:$D$500,MATCH($K1375&amp;"|"&amp;$L1375,SupplierRates!$A$5:$A$500,0)),0))</f>
        <v/>
      </c>
      <c r="Q1375" s="26" t="str">
        <f aca="false">IF(OR($D1375="",$J1375&lt;&gt;"Supplier"),"",IFERROR(INDEX(SupplierRates!$E$5:$E$500,MATCH($K1375&amp;"|"&amp;$L1375,SupplierRates!$A$5:$A$500,0)),0))</f>
        <v/>
      </c>
      <c r="R1375" s="26" t="n">
        <f aca="false">IF(OR($D1375="",$J1375&lt;&gt;"Supplier"),0,F1375*P1375+G1375*Q1375)</f>
        <v>0</v>
      </c>
      <c r="S1375" s="26" t="n">
        <f aca="false">IF(OR($D1375="",$J1375&lt;&gt;"Own"),0,IFERROR((F1375+G1375*Settings!$B$13)*INDEX(Workers!$V$5:$V$2004,MATCH($D1375,Workers!$A$5:$A$2004,0)),0))</f>
        <v>0</v>
      </c>
      <c r="T1375" s="26" t="str">
        <f aca="false">IF($D1375="","",O1375-R1375-S1375)</f>
        <v/>
      </c>
    </row>
    <row r="1376" customFormat="false" ht="15" hidden="false" customHeight="false" outlineLevel="0" collapsed="false">
      <c r="I1376" s="24" t="str">
        <f aca="false">IF($D1376="","",IFERROR(INDEX(Workers!$B$5:$B$2004,MATCH($D1376,Workers!$A$5:$A$2004,0)),"NOT FOUND"))</f>
        <v/>
      </c>
      <c r="J1376" s="24" t="str">
        <f aca="false">IF($D1376="","",IFERROR(INDEX(Workers!$C$5:$C$2004,MATCH($D1376,Workers!$A$5:$A$2004,0)),""))</f>
        <v/>
      </c>
      <c r="K1376" s="24" t="str">
        <f aca="false">IF($D1376="","",IFERROR(IF(INDEX(Workers!$D$5:$D$2004,MATCH($D1376,Workers!$A$5:$A$2004,0))=0,"",INDEX(Workers!$D$5:$D$2004,MATCH($D1376,Workers!$A$5:$A$2004,0))),""))</f>
        <v/>
      </c>
      <c r="L1376" s="24" t="str">
        <f aca="false">IF($D1376="","",IFERROR(INDEX(Workers!$E$5:$E$2004,MATCH($D1376,Workers!$A$5:$A$2004,0)),""))</f>
        <v/>
      </c>
      <c r="M1376" s="26" t="str">
        <f aca="false">IF($D1376="","",IFERROR(INDEX(ClientRates!$D$5:$D$500,MATCH($B1376&amp;"|"&amp;$L1376,ClientRates!$A$5:$A$500,0)),0))</f>
        <v/>
      </c>
      <c r="N1376" s="26" t="str">
        <f aca="false">IF($D1376="","",IFERROR(INDEX(ClientRates!$E$5:$E$500,MATCH($B1376&amp;"|"&amp;$L1376,ClientRates!$A$5:$A$500,0)),0))</f>
        <v/>
      </c>
      <c r="O1376" s="26" t="str">
        <f aca="false">IF($D1376="","",F1376*M1376+G1376*N1376)</f>
        <v/>
      </c>
      <c r="P1376" s="26" t="str">
        <f aca="false">IF(OR($D1376="",$J1376&lt;&gt;"Supplier"),"",IFERROR(INDEX(SupplierRates!$D$5:$D$500,MATCH($K1376&amp;"|"&amp;$L1376,SupplierRates!$A$5:$A$500,0)),0))</f>
        <v/>
      </c>
      <c r="Q1376" s="26" t="str">
        <f aca="false">IF(OR($D1376="",$J1376&lt;&gt;"Supplier"),"",IFERROR(INDEX(SupplierRates!$E$5:$E$500,MATCH($K1376&amp;"|"&amp;$L1376,SupplierRates!$A$5:$A$500,0)),0))</f>
        <v/>
      </c>
      <c r="R1376" s="26" t="n">
        <f aca="false">IF(OR($D1376="",$J1376&lt;&gt;"Supplier"),0,F1376*P1376+G1376*Q1376)</f>
        <v>0</v>
      </c>
      <c r="S1376" s="26" t="n">
        <f aca="false">IF(OR($D1376="",$J1376&lt;&gt;"Own"),0,IFERROR((F1376+G1376*Settings!$B$13)*INDEX(Workers!$V$5:$V$2004,MATCH($D1376,Workers!$A$5:$A$2004,0)),0))</f>
        <v>0</v>
      </c>
      <c r="T1376" s="26" t="str">
        <f aca="false">IF($D1376="","",O1376-R1376-S1376)</f>
        <v/>
      </c>
    </row>
    <row r="1377" customFormat="false" ht="15" hidden="false" customHeight="false" outlineLevel="0" collapsed="false">
      <c r="I1377" s="24" t="str">
        <f aca="false">IF($D1377="","",IFERROR(INDEX(Workers!$B$5:$B$2004,MATCH($D1377,Workers!$A$5:$A$2004,0)),"NOT FOUND"))</f>
        <v/>
      </c>
      <c r="J1377" s="24" t="str">
        <f aca="false">IF($D1377="","",IFERROR(INDEX(Workers!$C$5:$C$2004,MATCH($D1377,Workers!$A$5:$A$2004,0)),""))</f>
        <v/>
      </c>
      <c r="K1377" s="24" t="str">
        <f aca="false">IF($D1377="","",IFERROR(IF(INDEX(Workers!$D$5:$D$2004,MATCH($D1377,Workers!$A$5:$A$2004,0))=0,"",INDEX(Workers!$D$5:$D$2004,MATCH($D1377,Workers!$A$5:$A$2004,0))),""))</f>
        <v/>
      </c>
      <c r="L1377" s="24" t="str">
        <f aca="false">IF($D1377="","",IFERROR(INDEX(Workers!$E$5:$E$2004,MATCH($D1377,Workers!$A$5:$A$2004,0)),""))</f>
        <v/>
      </c>
      <c r="M1377" s="26" t="str">
        <f aca="false">IF($D1377="","",IFERROR(INDEX(ClientRates!$D$5:$D$500,MATCH($B1377&amp;"|"&amp;$L1377,ClientRates!$A$5:$A$500,0)),0))</f>
        <v/>
      </c>
      <c r="N1377" s="26" t="str">
        <f aca="false">IF($D1377="","",IFERROR(INDEX(ClientRates!$E$5:$E$500,MATCH($B1377&amp;"|"&amp;$L1377,ClientRates!$A$5:$A$500,0)),0))</f>
        <v/>
      </c>
      <c r="O1377" s="26" t="str">
        <f aca="false">IF($D1377="","",F1377*M1377+G1377*N1377)</f>
        <v/>
      </c>
      <c r="P1377" s="26" t="str">
        <f aca="false">IF(OR($D1377="",$J1377&lt;&gt;"Supplier"),"",IFERROR(INDEX(SupplierRates!$D$5:$D$500,MATCH($K1377&amp;"|"&amp;$L1377,SupplierRates!$A$5:$A$500,0)),0))</f>
        <v/>
      </c>
      <c r="Q1377" s="26" t="str">
        <f aca="false">IF(OR($D1377="",$J1377&lt;&gt;"Supplier"),"",IFERROR(INDEX(SupplierRates!$E$5:$E$500,MATCH($K1377&amp;"|"&amp;$L1377,SupplierRates!$A$5:$A$500,0)),0))</f>
        <v/>
      </c>
      <c r="R1377" s="26" t="n">
        <f aca="false">IF(OR($D1377="",$J1377&lt;&gt;"Supplier"),0,F1377*P1377+G1377*Q1377)</f>
        <v>0</v>
      </c>
      <c r="S1377" s="26" t="n">
        <f aca="false">IF(OR($D1377="",$J1377&lt;&gt;"Own"),0,IFERROR((F1377+G1377*Settings!$B$13)*INDEX(Workers!$V$5:$V$2004,MATCH($D1377,Workers!$A$5:$A$2004,0)),0))</f>
        <v>0</v>
      </c>
      <c r="T1377" s="26" t="str">
        <f aca="false">IF($D1377="","",O1377-R1377-S1377)</f>
        <v/>
      </c>
    </row>
    <row r="1378" customFormat="false" ht="15" hidden="false" customHeight="false" outlineLevel="0" collapsed="false">
      <c r="I1378" s="24" t="str">
        <f aca="false">IF($D1378="","",IFERROR(INDEX(Workers!$B$5:$B$2004,MATCH($D1378,Workers!$A$5:$A$2004,0)),"NOT FOUND"))</f>
        <v/>
      </c>
      <c r="J1378" s="24" t="str">
        <f aca="false">IF($D1378="","",IFERROR(INDEX(Workers!$C$5:$C$2004,MATCH($D1378,Workers!$A$5:$A$2004,0)),""))</f>
        <v/>
      </c>
      <c r="K1378" s="24" t="str">
        <f aca="false">IF($D1378="","",IFERROR(IF(INDEX(Workers!$D$5:$D$2004,MATCH($D1378,Workers!$A$5:$A$2004,0))=0,"",INDEX(Workers!$D$5:$D$2004,MATCH($D1378,Workers!$A$5:$A$2004,0))),""))</f>
        <v/>
      </c>
      <c r="L1378" s="24" t="str">
        <f aca="false">IF($D1378="","",IFERROR(INDEX(Workers!$E$5:$E$2004,MATCH($D1378,Workers!$A$5:$A$2004,0)),""))</f>
        <v/>
      </c>
      <c r="M1378" s="26" t="str">
        <f aca="false">IF($D1378="","",IFERROR(INDEX(ClientRates!$D$5:$D$500,MATCH($B1378&amp;"|"&amp;$L1378,ClientRates!$A$5:$A$500,0)),0))</f>
        <v/>
      </c>
      <c r="N1378" s="26" t="str">
        <f aca="false">IF($D1378="","",IFERROR(INDEX(ClientRates!$E$5:$E$500,MATCH($B1378&amp;"|"&amp;$L1378,ClientRates!$A$5:$A$500,0)),0))</f>
        <v/>
      </c>
      <c r="O1378" s="26" t="str">
        <f aca="false">IF($D1378="","",F1378*M1378+G1378*N1378)</f>
        <v/>
      </c>
      <c r="P1378" s="26" t="str">
        <f aca="false">IF(OR($D1378="",$J1378&lt;&gt;"Supplier"),"",IFERROR(INDEX(SupplierRates!$D$5:$D$500,MATCH($K1378&amp;"|"&amp;$L1378,SupplierRates!$A$5:$A$500,0)),0))</f>
        <v/>
      </c>
      <c r="Q1378" s="26" t="str">
        <f aca="false">IF(OR($D1378="",$J1378&lt;&gt;"Supplier"),"",IFERROR(INDEX(SupplierRates!$E$5:$E$500,MATCH($K1378&amp;"|"&amp;$L1378,SupplierRates!$A$5:$A$500,0)),0))</f>
        <v/>
      </c>
      <c r="R1378" s="26" t="n">
        <f aca="false">IF(OR($D1378="",$J1378&lt;&gt;"Supplier"),0,F1378*P1378+G1378*Q1378)</f>
        <v>0</v>
      </c>
      <c r="S1378" s="26" t="n">
        <f aca="false">IF(OR($D1378="",$J1378&lt;&gt;"Own"),0,IFERROR((F1378+G1378*Settings!$B$13)*INDEX(Workers!$V$5:$V$2004,MATCH($D1378,Workers!$A$5:$A$2004,0)),0))</f>
        <v>0</v>
      </c>
      <c r="T1378" s="26" t="str">
        <f aca="false">IF($D1378="","",O1378-R1378-S1378)</f>
        <v/>
      </c>
    </row>
    <row r="1379" customFormat="false" ht="15" hidden="false" customHeight="false" outlineLevel="0" collapsed="false">
      <c r="I1379" s="24" t="str">
        <f aca="false">IF($D1379="","",IFERROR(INDEX(Workers!$B$5:$B$2004,MATCH($D1379,Workers!$A$5:$A$2004,0)),"NOT FOUND"))</f>
        <v/>
      </c>
      <c r="J1379" s="24" t="str">
        <f aca="false">IF($D1379="","",IFERROR(INDEX(Workers!$C$5:$C$2004,MATCH($D1379,Workers!$A$5:$A$2004,0)),""))</f>
        <v/>
      </c>
      <c r="K1379" s="24" t="str">
        <f aca="false">IF($D1379="","",IFERROR(IF(INDEX(Workers!$D$5:$D$2004,MATCH($D1379,Workers!$A$5:$A$2004,0))=0,"",INDEX(Workers!$D$5:$D$2004,MATCH($D1379,Workers!$A$5:$A$2004,0))),""))</f>
        <v/>
      </c>
      <c r="L1379" s="24" t="str">
        <f aca="false">IF($D1379="","",IFERROR(INDEX(Workers!$E$5:$E$2004,MATCH($D1379,Workers!$A$5:$A$2004,0)),""))</f>
        <v/>
      </c>
      <c r="M1379" s="26" t="str">
        <f aca="false">IF($D1379="","",IFERROR(INDEX(ClientRates!$D$5:$D$500,MATCH($B1379&amp;"|"&amp;$L1379,ClientRates!$A$5:$A$500,0)),0))</f>
        <v/>
      </c>
      <c r="N1379" s="26" t="str">
        <f aca="false">IF($D1379="","",IFERROR(INDEX(ClientRates!$E$5:$E$500,MATCH($B1379&amp;"|"&amp;$L1379,ClientRates!$A$5:$A$500,0)),0))</f>
        <v/>
      </c>
      <c r="O1379" s="26" t="str">
        <f aca="false">IF($D1379="","",F1379*M1379+G1379*N1379)</f>
        <v/>
      </c>
      <c r="P1379" s="26" t="str">
        <f aca="false">IF(OR($D1379="",$J1379&lt;&gt;"Supplier"),"",IFERROR(INDEX(SupplierRates!$D$5:$D$500,MATCH($K1379&amp;"|"&amp;$L1379,SupplierRates!$A$5:$A$500,0)),0))</f>
        <v/>
      </c>
      <c r="Q1379" s="26" t="str">
        <f aca="false">IF(OR($D1379="",$J1379&lt;&gt;"Supplier"),"",IFERROR(INDEX(SupplierRates!$E$5:$E$500,MATCH($K1379&amp;"|"&amp;$L1379,SupplierRates!$A$5:$A$500,0)),0))</f>
        <v/>
      </c>
      <c r="R1379" s="26" t="n">
        <f aca="false">IF(OR($D1379="",$J1379&lt;&gt;"Supplier"),0,F1379*P1379+G1379*Q1379)</f>
        <v>0</v>
      </c>
      <c r="S1379" s="26" t="n">
        <f aca="false">IF(OR($D1379="",$J1379&lt;&gt;"Own"),0,IFERROR((F1379+G1379*Settings!$B$13)*INDEX(Workers!$V$5:$V$2004,MATCH($D1379,Workers!$A$5:$A$2004,0)),0))</f>
        <v>0</v>
      </c>
      <c r="T1379" s="26" t="str">
        <f aca="false">IF($D1379="","",O1379-R1379-S1379)</f>
        <v/>
      </c>
    </row>
    <row r="1380" customFormat="false" ht="15" hidden="false" customHeight="false" outlineLevel="0" collapsed="false">
      <c r="I1380" s="24" t="str">
        <f aca="false">IF($D1380="","",IFERROR(INDEX(Workers!$B$5:$B$2004,MATCH($D1380,Workers!$A$5:$A$2004,0)),"NOT FOUND"))</f>
        <v/>
      </c>
      <c r="J1380" s="24" t="str">
        <f aca="false">IF($D1380="","",IFERROR(INDEX(Workers!$C$5:$C$2004,MATCH($D1380,Workers!$A$5:$A$2004,0)),""))</f>
        <v/>
      </c>
      <c r="K1380" s="24" t="str">
        <f aca="false">IF($D1380="","",IFERROR(IF(INDEX(Workers!$D$5:$D$2004,MATCH($D1380,Workers!$A$5:$A$2004,0))=0,"",INDEX(Workers!$D$5:$D$2004,MATCH($D1380,Workers!$A$5:$A$2004,0))),""))</f>
        <v/>
      </c>
      <c r="L1380" s="24" t="str">
        <f aca="false">IF($D1380="","",IFERROR(INDEX(Workers!$E$5:$E$2004,MATCH($D1380,Workers!$A$5:$A$2004,0)),""))</f>
        <v/>
      </c>
      <c r="M1380" s="26" t="str">
        <f aca="false">IF($D1380="","",IFERROR(INDEX(ClientRates!$D$5:$D$500,MATCH($B1380&amp;"|"&amp;$L1380,ClientRates!$A$5:$A$500,0)),0))</f>
        <v/>
      </c>
      <c r="N1380" s="26" t="str">
        <f aca="false">IF($D1380="","",IFERROR(INDEX(ClientRates!$E$5:$E$500,MATCH($B1380&amp;"|"&amp;$L1380,ClientRates!$A$5:$A$500,0)),0))</f>
        <v/>
      </c>
      <c r="O1380" s="26" t="str">
        <f aca="false">IF($D1380="","",F1380*M1380+G1380*N1380)</f>
        <v/>
      </c>
      <c r="P1380" s="26" t="str">
        <f aca="false">IF(OR($D1380="",$J1380&lt;&gt;"Supplier"),"",IFERROR(INDEX(SupplierRates!$D$5:$D$500,MATCH($K1380&amp;"|"&amp;$L1380,SupplierRates!$A$5:$A$500,0)),0))</f>
        <v/>
      </c>
      <c r="Q1380" s="26" t="str">
        <f aca="false">IF(OR($D1380="",$J1380&lt;&gt;"Supplier"),"",IFERROR(INDEX(SupplierRates!$E$5:$E$500,MATCH($K1380&amp;"|"&amp;$L1380,SupplierRates!$A$5:$A$500,0)),0))</f>
        <v/>
      </c>
      <c r="R1380" s="26" t="n">
        <f aca="false">IF(OR($D1380="",$J1380&lt;&gt;"Supplier"),0,F1380*P1380+G1380*Q1380)</f>
        <v>0</v>
      </c>
      <c r="S1380" s="26" t="n">
        <f aca="false">IF(OR($D1380="",$J1380&lt;&gt;"Own"),0,IFERROR((F1380+G1380*Settings!$B$13)*INDEX(Workers!$V$5:$V$2004,MATCH($D1380,Workers!$A$5:$A$2004,0)),0))</f>
        <v>0</v>
      </c>
      <c r="T1380" s="26" t="str">
        <f aca="false">IF($D1380="","",O1380-R1380-S1380)</f>
        <v/>
      </c>
    </row>
    <row r="1381" customFormat="false" ht="15" hidden="false" customHeight="false" outlineLevel="0" collapsed="false">
      <c r="I1381" s="24" t="str">
        <f aca="false">IF($D1381="","",IFERROR(INDEX(Workers!$B$5:$B$2004,MATCH($D1381,Workers!$A$5:$A$2004,0)),"NOT FOUND"))</f>
        <v/>
      </c>
      <c r="J1381" s="24" t="str">
        <f aca="false">IF($D1381="","",IFERROR(INDEX(Workers!$C$5:$C$2004,MATCH($D1381,Workers!$A$5:$A$2004,0)),""))</f>
        <v/>
      </c>
      <c r="K1381" s="24" t="str">
        <f aca="false">IF($D1381="","",IFERROR(IF(INDEX(Workers!$D$5:$D$2004,MATCH($D1381,Workers!$A$5:$A$2004,0))=0,"",INDEX(Workers!$D$5:$D$2004,MATCH($D1381,Workers!$A$5:$A$2004,0))),""))</f>
        <v/>
      </c>
      <c r="L1381" s="24" t="str">
        <f aca="false">IF($D1381="","",IFERROR(INDEX(Workers!$E$5:$E$2004,MATCH($D1381,Workers!$A$5:$A$2004,0)),""))</f>
        <v/>
      </c>
      <c r="M1381" s="26" t="str">
        <f aca="false">IF($D1381="","",IFERROR(INDEX(ClientRates!$D$5:$D$500,MATCH($B1381&amp;"|"&amp;$L1381,ClientRates!$A$5:$A$500,0)),0))</f>
        <v/>
      </c>
      <c r="N1381" s="26" t="str">
        <f aca="false">IF($D1381="","",IFERROR(INDEX(ClientRates!$E$5:$E$500,MATCH($B1381&amp;"|"&amp;$L1381,ClientRates!$A$5:$A$500,0)),0))</f>
        <v/>
      </c>
      <c r="O1381" s="26" t="str">
        <f aca="false">IF($D1381="","",F1381*M1381+G1381*N1381)</f>
        <v/>
      </c>
      <c r="P1381" s="26" t="str">
        <f aca="false">IF(OR($D1381="",$J1381&lt;&gt;"Supplier"),"",IFERROR(INDEX(SupplierRates!$D$5:$D$500,MATCH($K1381&amp;"|"&amp;$L1381,SupplierRates!$A$5:$A$500,0)),0))</f>
        <v/>
      </c>
      <c r="Q1381" s="26" t="str">
        <f aca="false">IF(OR($D1381="",$J1381&lt;&gt;"Supplier"),"",IFERROR(INDEX(SupplierRates!$E$5:$E$500,MATCH($K1381&amp;"|"&amp;$L1381,SupplierRates!$A$5:$A$500,0)),0))</f>
        <v/>
      </c>
      <c r="R1381" s="26" t="n">
        <f aca="false">IF(OR($D1381="",$J1381&lt;&gt;"Supplier"),0,F1381*P1381+G1381*Q1381)</f>
        <v>0</v>
      </c>
      <c r="S1381" s="26" t="n">
        <f aca="false">IF(OR($D1381="",$J1381&lt;&gt;"Own"),0,IFERROR((F1381+G1381*Settings!$B$13)*INDEX(Workers!$V$5:$V$2004,MATCH($D1381,Workers!$A$5:$A$2004,0)),0))</f>
        <v>0</v>
      </c>
      <c r="T1381" s="26" t="str">
        <f aca="false">IF($D1381="","",O1381-R1381-S1381)</f>
        <v/>
      </c>
    </row>
    <row r="1382" customFormat="false" ht="15" hidden="false" customHeight="false" outlineLevel="0" collapsed="false">
      <c r="I1382" s="24" t="str">
        <f aca="false">IF($D1382="","",IFERROR(INDEX(Workers!$B$5:$B$2004,MATCH($D1382,Workers!$A$5:$A$2004,0)),"NOT FOUND"))</f>
        <v/>
      </c>
      <c r="J1382" s="24" t="str">
        <f aca="false">IF($D1382="","",IFERROR(INDEX(Workers!$C$5:$C$2004,MATCH($D1382,Workers!$A$5:$A$2004,0)),""))</f>
        <v/>
      </c>
      <c r="K1382" s="24" t="str">
        <f aca="false">IF($D1382="","",IFERROR(IF(INDEX(Workers!$D$5:$D$2004,MATCH($D1382,Workers!$A$5:$A$2004,0))=0,"",INDEX(Workers!$D$5:$D$2004,MATCH($D1382,Workers!$A$5:$A$2004,0))),""))</f>
        <v/>
      </c>
      <c r="L1382" s="24" t="str">
        <f aca="false">IF($D1382="","",IFERROR(INDEX(Workers!$E$5:$E$2004,MATCH($D1382,Workers!$A$5:$A$2004,0)),""))</f>
        <v/>
      </c>
      <c r="M1382" s="26" t="str">
        <f aca="false">IF($D1382="","",IFERROR(INDEX(ClientRates!$D$5:$D$500,MATCH($B1382&amp;"|"&amp;$L1382,ClientRates!$A$5:$A$500,0)),0))</f>
        <v/>
      </c>
      <c r="N1382" s="26" t="str">
        <f aca="false">IF($D1382="","",IFERROR(INDEX(ClientRates!$E$5:$E$500,MATCH($B1382&amp;"|"&amp;$L1382,ClientRates!$A$5:$A$500,0)),0))</f>
        <v/>
      </c>
      <c r="O1382" s="26" t="str">
        <f aca="false">IF($D1382="","",F1382*M1382+G1382*N1382)</f>
        <v/>
      </c>
      <c r="P1382" s="26" t="str">
        <f aca="false">IF(OR($D1382="",$J1382&lt;&gt;"Supplier"),"",IFERROR(INDEX(SupplierRates!$D$5:$D$500,MATCH($K1382&amp;"|"&amp;$L1382,SupplierRates!$A$5:$A$500,0)),0))</f>
        <v/>
      </c>
      <c r="Q1382" s="26" t="str">
        <f aca="false">IF(OR($D1382="",$J1382&lt;&gt;"Supplier"),"",IFERROR(INDEX(SupplierRates!$E$5:$E$500,MATCH($K1382&amp;"|"&amp;$L1382,SupplierRates!$A$5:$A$500,0)),0))</f>
        <v/>
      </c>
      <c r="R1382" s="26" t="n">
        <f aca="false">IF(OR($D1382="",$J1382&lt;&gt;"Supplier"),0,F1382*P1382+G1382*Q1382)</f>
        <v>0</v>
      </c>
      <c r="S1382" s="26" t="n">
        <f aca="false">IF(OR($D1382="",$J1382&lt;&gt;"Own"),0,IFERROR((F1382+G1382*Settings!$B$13)*INDEX(Workers!$V$5:$V$2004,MATCH($D1382,Workers!$A$5:$A$2004,0)),0))</f>
        <v>0</v>
      </c>
      <c r="T1382" s="26" t="str">
        <f aca="false">IF($D1382="","",O1382-R1382-S1382)</f>
        <v/>
      </c>
    </row>
    <row r="1383" customFormat="false" ht="15" hidden="false" customHeight="false" outlineLevel="0" collapsed="false">
      <c r="I1383" s="24" t="str">
        <f aca="false">IF($D1383="","",IFERROR(INDEX(Workers!$B$5:$B$2004,MATCH($D1383,Workers!$A$5:$A$2004,0)),"NOT FOUND"))</f>
        <v/>
      </c>
      <c r="J1383" s="24" t="str">
        <f aca="false">IF($D1383="","",IFERROR(INDEX(Workers!$C$5:$C$2004,MATCH($D1383,Workers!$A$5:$A$2004,0)),""))</f>
        <v/>
      </c>
      <c r="K1383" s="24" t="str">
        <f aca="false">IF($D1383="","",IFERROR(IF(INDEX(Workers!$D$5:$D$2004,MATCH($D1383,Workers!$A$5:$A$2004,0))=0,"",INDEX(Workers!$D$5:$D$2004,MATCH($D1383,Workers!$A$5:$A$2004,0))),""))</f>
        <v/>
      </c>
      <c r="L1383" s="24" t="str">
        <f aca="false">IF($D1383="","",IFERROR(INDEX(Workers!$E$5:$E$2004,MATCH($D1383,Workers!$A$5:$A$2004,0)),""))</f>
        <v/>
      </c>
      <c r="M1383" s="26" t="str">
        <f aca="false">IF($D1383="","",IFERROR(INDEX(ClientRates!$D$5:$D$500,MATCH($B1383&amp;"|"&amp;$L1383,ClientRates!$A$5:$A$500,0)),0))</f>
        <v/>
      </c>
      <c r="N1383" s="26" t="str">
        <f aca="false">IF($D1383="","",IFERROR(INDEX(ClientRates!$E$5:$E$500,MATCH($B1383&amp;"|"&amp;$L1383,ClientRates!$A$5:$A$500,0)),0))</f>
        <v/>
      </c>
      <c r="O1383" s="26" t="str">
        <f aca="false">IF($D1383="","",F1383*M1383+G1383*N1383)</f>
        <v/>
      </c>
      <c r="P1383" s="26" t="str">
        <f aca="false">IF(OR($D1383="",$J1383&lt;&gt;"Supplier"),"",IFERROR(INDEX(SupplierRates!$D$5:$D$500,MATCH($K1383&amp;"|"&amp;$L1383,SupplierRates!$A$5:$A$500,0)),0))</f>
        <v/>
      </c>
      <c r="Q1383" s="26" t="str">
        <f aca="false">IF(OR($D1383="",$J1383&lt;&gt;"Supplier"),"",IFERROR(INDEX(SupplierRates!$E$5:$E$500,MATCH($K1383&amp;"|"&amp;$L1383,SupplierRates!$A$5:$A$500,0)),0))</f>
        <v/>
      </c>
      <c r="R1383" s="26" t="n">
        <f aca="false">IF(OR($D1383="",$J1383&lt;&gt;"Supplier"),0,F1383*P1383+G1383*Q1383)</f>
        <v>0</v>
      </c>
      <c r="S1383" s="26" t="n">
        <f aca="false">IF(OR($D1383="",$J1383&lt;&gt;"Own"),0,IFERROR((F1383+G1383*Settings!$B$13)*INDEX(Workers!$V$5:$V$2004,MATCH($D1383,Workers!$A$5:$A$2004,0)),0))</f>
        <v>0</v>
      </c>
      <c r="T1383" s="26" t="str">
        <f aca="false">IF($D1383="","",O1383-R1383-S1383)</f>
        <v/>
      </c>
    </row>
    <row r="1384" customFormat="false" ht="15" hidden="false" customHeight="false" outlineLevel="0" collapsed="false">
      <c r="I1384" s="24" t="str">
        <f aca="false">IF($D1384="","",IFERROR(INDEX(Workers!$B$5:$B$2004,MATCH($D1384,Workers!$A$5:$A$2004,0)),"NOT FOUND"))</f>
        <v/>
      </c>
      <c r="J1384" s="24" t="str">
        <f aca="false">IF($D1384="","",IFERROR(INDEX(Workers!$C$5:$C$2004,MATCH($D1384,Workers!$A$5:$A$2004,0)),""))</f>
        <v/>
      </c>
      <c r="K1384" s="24" t="str">
        <f aca="false">IF($D1384="","",IFERROR(IF(INDEX(Workers!$D$5:$D$2004,MATCH($D1384,Workers!$A$5:$A$2004,0))=0,"",INDEX(Workers!$D$5:$D$2004,MATCH($D1384,Workers!$A$5:$A$2004,0))),""))</f>
        <v/>
      </c>
      <c r="L1384" s="24" t="str">
        <f aca="false">IF($D1384="","",IFERROR(INDEX(Workers!$E$5:$E$2004,MATCH($D1384,Workers!$A$5:$A$2004,0)),""))</f>
        <v/>
      </c>
      <c r="M1384" s="26" t="str">
        <f aca="false">IF($D1384="","",IFERROR(INDEX(ClientRates!$D$5:$D$500,MATCH($B1384&amp;"|"&amp;$L1384,ClientRates!$A$5:$A$500,0)),0))</f>
        <v/>
      </c>
      <c r="N1384" s="26" t="str">
        <f aca="false">IF($D1384="","",IFERROR(INDEX(ClientRates!$E$5:$E$500,MATCH($B1384&amp;"|"&amp;$L1384,ClientRates!$A$5:$A$500,0)),0))</f>
        <v/>
      </c>
      <c r="O1384" s="26" t="str">
        <f aca="false">IF($D1384="","",F1384*M1384+G1384*N1384)</f>
        <v/>
      </c>
      <c r="P1384" s="26" t="str">
        <f aca="false">IF(OR($D1384="",$J1384&lt;&gt;"Supplier"),"",IFERROR(INDEX(SupplierRates!$D$5:$D$500,MATCH($K1384&amp;"|"&amp;$L1384,SupplierRates!$A$5:$A$500,0)),0))</f>
        <v/>
      </c>
      <c r="Q1384" s="26" t="str">
        <f aca="false">IF(OR($D1384="",$J1384&lt;&gt;"Supplier"),"",IFERROR(INDEX(SupplierRates!$E$5:$E$500,MATCH($K1384&amp;"|"&amp;$L1384,SupplierRates!$A$5:$A$500,0)),0))</f>
        <v/>
      </c>
      <c r="R1384" s="26" t="n">
        <f aca="false">IF(OR($D1384="",$J1384&lt;&gt;"Supplier"),0,F1384*P1384+G1384*Q1384)</f>
        <v>0</v>
      </c>
      <c r="S1384" s="26" t="n">
        <f aca="false">IF(OR($D1384="",$J1384&lt;&gt;"Own"),0,IFERROR((F1384+G1384*Settings!$B$13)*INDEX(Workers!$V$5:$V$2004,MATCH($D1384,Workers!$A$5:$A$2004,0)),0))</f>
        <v>0</v>
      </c>
      <c r="T1384" s="26" t="str">
        <f aca="false">IF($D1384="","",O1384-R1384-S1384)</f>
        <v/>
      </c>
    </row>
    <row r="1385" customFormat="false" ht="15" hidden="false" customHeight="false" outlineLevel="0" collapsed="false">
      <c r="I1385" s="24" t="str">
        <f aca="false">IF($D1385="","",IFERROR(INDEX(Workers!$B$5:$B$2004,MATCH($D1385,Workers!$A$5:$A$2004,0)),"NOT FOUND"))</f>
        <v/>
      </c>
      <c r="J1385" s="24" t="str">
        <f aca="false">IF($D1385="","",IFERROR(INDEX(Workers!$C$5:$C$2004,MATCH($D1385,Workers!$A$5:$A$2004,0)),""))</f>
        <v/>
      </c>
      <c r="K1385" s="24" t="str">
        <f aca="false">IF($D1385="","",IFERROR(IF(INDEX(Workers!$D$5:$D$2004,MATCH($D1385,Workers!$A$5:$A$2004,0))=0,"",INDEX(Workers!$D$5:$D$2004,MATCH($D1385,Workers!$A$5:$A$2004,0))),""))</f>
        <v/>
      </c>
      <c r="L1385" s="24" t="str">
        <f aca="false">IF($D1385="","",IFERROR(INDEX(Workers!$E$5:$E$2004,MATCH($D1385,Workers!$A$5:$A$2004,0)),""))</f>
        <v/>
      </c>
      <c r="M1385" s="26" t="str">
        <f aca="false">IF($D1385="","",IFERROR(INDEX(ClientRates!$D$5:$D$500,MATCH($B1385&amp;"|"&amp;$L1385,ClientRates!$A$5:$A$500,0)),0))</f>
        <v/>
      </c>
      <c r="N1385" s="26" t="str">
        <f aca="false">IF($D1385="","",IFERROR(INDEX(ClientRates!$E$5:$E$500,MATCH($B1385&amp;"|"&amp;$L1385,ClientRates!$A$5:$A$500,0)),0))</f>
        <v/>
      </c>
      <c r="O1385" s="26" t="str">
        <f aca="false">IF($D1385="","",F1385*M1385+G1385*N1385)</f>
        <v/>
      </c>
      <c r="P1385" s="26" t="str">
        <f aca="false">IF(OR($D1385="",$J1385&lt;&gt;"Supplier"),"",IFERROR(INDEX(SupplierRates!$D$5:$D$500,MATCH($K1385&amp;"|"&amp;$L1385,SupplierRates!$A$5:$A$500,0)),0))</f>
        <v/>
      </c>
      <c r="Q1385" s="26" t="str">
        <f aca="false">IF(OR($D1385="",$J1385&lt;&gt;"Supplier"),"",IFERROR(INDEX(SupplierRates!$E$5:$E$500,MATCH($K1385&amp;"|"&amp;$L1385,SupplierRates!$A$5:$A$500,0)),0))</f>
        <v/>
      </c>
      <c r="R1385" s="26" t="n">
        <f aca="false">IF(OR($D1385="",$J1385&lt;&gt;"Supplier"),0,F1385*P1385+G1385*Q1385)</f>
        <v>0</v>
      </c>
      <c r="S1385" s="26" t="n">
        <f aca="false">IF(OR($D1385="",$J1385&lt;&gt;"Own"),0,IFERROR((F1385+G1385*Settings!$B$13)*INDEX(Workers!$V$5:$V$2004,MATCH($D1385,Workers!$A$5:$A$2004,0)),0))</f>
        <v>0</v>
      </c>
      <c r="T1385" s="26" t="str">
        <f aca="false">IF($D1385="","",O1385-R1385-S1385)</f>
        <v/>
      </c>
    </row>
    <row r="1386" customFormat="false" ht="15" hidden="false" customHeight="false" outlineLevel="0" collapsed="false">
      <c r="I1386" s="24" t="str">
        <f aca="false">IF($D1386="","",IFERROR(INDEX(Workers!$B$5:$B$2004,MATCH($D1386,Workers!$A$5:$A$2004,0)),"NOT FOUND"))</f>
        <v/>
      </c>
      <c r="J1386" s="24" t="str">
        <f aca="false">IF($D1386="","",IFERROR(INDEX(Workers!$C$5:$C$2004,MATCH($D1386,Workers!$A$5:$A$2004,0)),""))</f>
        <v/>
      </c>
      <c r="K1386" s="24" t="str">
        <f aca="false">IF($D1386="","",IFERROR(IF(INDEX(Workers!$D$5:$D$2004,MATCH($D1386,Workers!$A$5:$A$2004,0))=0,"",INDEX(Workers!$D$5:$D$2004,MATCH($D1386,Workers!$A$5:$A$2004,0))),""))</f>
        <v/>
      </c>
      <c r="L1386" s="24" t="str">
        <f aca="false">IF($D1386="","",IFERROR(INDEX(Workers!$E$5:$E$2004,MATCH($D1386,Workers!$A$5:$A$2004,0)),""))</f>
        <v/>
      </c>
      <c r="M1386" s="26" t="str">
        <f aca="false">IF($D1386="","",IFERROR(INDEX(ClientRates!$D$5:$D$500,MATCH($B1386&amp;"|"&amp;$L1386,ClientRates!$A$5:$A$500,0)),0))</f>
        <v/>
      </c>
      <c r="N1386" s="26" t="str">
        <f aca="false">IF($D1386="","",IFERROR(INDEX(ClientRates!$E$5:$E$500,MATCH($B1386&amp;"|"&amp;$L1386,ClientRates!$A$5:$A$500,0)),0))</f>
        <v/>
      </c>
      <c r="O1386" s="26" t="str">
        <f aca="false">IF($D1386="","",F1386*M1386+G1386*N1386)</f>
        <v/>
      </c>
      <c r="P1386" s="26" t="str">
        <f aca="false">IF(OR($D1386="",$J1386&lt;&gt;"Supplier"),"",IFERROR(INDEX(SupplierRates!$D$5:$D$500,MATCH($K1386&amp;"|"&amp;$L1386,SupplierRates!$A$5:$A$500,0)),0))</f>
        <v/>
      </c>
      <c r="Q1386" s="26" t="str">
        <f aca="false">IF(OR($D1386="",$J1386&lt;&gt;"Supplier"),"",IFERROR(INDEX(SupplierRates!$E$5:$E$500,MATCH($K1386&amp;"|"&amp;$L1386,SupplierRates!$A$5:$A$500,0)),0))</f>
        <v/>
      </c>
      <c r="R1386" s="26" t="n">
        <f aca="false">IF(OR($D1386="",$J1386&lt;&gt;"Supplier"),0,F1386*P1386+G1386*Q1386)</f>
        <v>0</v>
      </c>
      <c r="S1386" s="26" t="n">
        <f aca="false">IF(OR($D1386="",$J1386&lt;&gt;"Own"),0,IFERROR((F1386+G1386*Settings!$B$13)*INDEX(Workers!$V$5:$V$2004,MATCH($D1386,Workers!$A$5:$A$2004,0)),0))</f>
        <v>0</v>
      </c>
      <c r="T1386" s="26" t="str">
        <f aca="false">IF($D1386="","",O1386-R1386-S1386)</f>
        <v/>
      </c>
    </row>
    <row r="1387" customFormat="false" ht="15" hidden="false" customHeight="false" outlineLevel="0" collapsed="false">
      <c r="I1387" s="24" t="str">
        <f aca="false">IF($D1387="","",IFERROR(INDEX(Workers!$B$5:$B$2004,MATCH($D1387,Workers!$A$5:$A$2004,0)),"NOT FOUND"))</f>
        <v/>
      </c>
      <c r="J1387" s="24" t="str">
        <f aca="false">IF($D1387="","",IFERROR(INDEX(Workers!$C$5:$C$2004,MATCH($D1387,Workers!$A$5:$A$2004,0)),""))</f>
        <v/>
      </c>
      <c r="K1387" s="24" t="str">
        <f aca="false">IF($D1387="","",IFERROR(IF(INDEX(Workers!$D$5:$D$2004,MATCH($D1387,Workers!$A$5:$A$2004,0))=0,"",INDEX(Workers!$D$5:$D$2004,MATCH($D1387,Workers!$A$5:$A$2004,0))),""))</f>
        <v/>
      </c>
      <c r="L1387" s="24" t="str">
        <f aca="false">IF($D1387="","",IFERROR(INDEX(Workers!$E$5:$E$2004,MATCH($D1387,Workers!$A$5:$A$2004,0)),""))</f>
        <v/>
      </c>
      <c r="M1387" s="26" t="str">
        <f aca="false">IF($D1387="","",IFERROR(INDEX(ClientRates!$D$5:$D$500,MATCH($B1387&amp;"|"&amp;$L1387,ClientRates!$A$5:$A$500,0)),0))</f>
        <v/>
      </c>
      <c r="N1387" s="26" t="str">
        <f aca="false">IF($D1387="","",IFERROR(INDEX(ClientRates!$E$5:$E$500,MATCH($B1387&amp;"|"&amp;$L1387,ClientRates!$A$5:$A$500,0)),0))</f>
        <v/>
      </c>
      <c r="O1387" s="26" t="str">
        <f aca="false">IF($D1387="","",F1387*M1387+G1387*N1387)</f>
        <v/>
      </c>
      <c r="P1387" s="26" t="str">
        <f aca="false">IF(OR($D1387="",$J1387&lt;&gt;"Supplier"),"",IFERROR(INDEX(SupplierRates!$D$5:$D$500,MATCH($K1387&amp;"|"&amp;$L1387,SupplierRates!$A$5:$A$500,0)),0))</f>
        <v/>
      </c>
      <c r="Q1387" s="26" t="str">
        <f aca="false">IF(OR($D1387="",$J1387&lt;&gt;"Supplier"),"",IFERROR(INDEX(SupplierRates!$E$5:$E$500,MATCH($K1387&amp;"|"&amp;$L1387,SupplierRates!$A$5:$A$500,0)),0))</f>
        <v/>
      </c>
      <c r="R1387" s="26" t="n">
        <f aca="false">IF(OR($D1387="",$J1387&lt;&gt;"Supplier"),0,F1387*P1387+G1387*Q1387)</f>
        <v>0</v>
      </c>
      <c r="S1387" s="26" t="n">
        <f aca="false">IF(OR($D1387="",$J1387&lt;&gt;"Own"),0,IFERROR((F1387+G1387*Settings!$B$13)*INDEX(Workers!$V$5:$V$2004,MATCH($D1387,Workers!$A$5:$A$2004,0)),0))</f>
        <v>0</v>
      </c>
      <c r="T1387" s="26" t="str">
        <f aca="false">IF($D1387="","",O1387-R1387-S1387)</f>
        <v/>
      </c>
    </row>
    <row r="1388" customFormat="false" ht="15" hidden="false" customHeight="false" outlineLevel="0" collapsed="false">
      <c r="I1388" s="24" t="str">
        <f aca="false">IF($D1388="","",IFERROR(INDEX(Workers!$B$5:$B$2004,MATCH($D1388,Workers!$A$5:$A$2004,0)),"NOT FOUND"))</f>
        <v/>
      </c>
      <c r="J1388" s="24" t="str">
        <f aca="false">IF($D1388="","",IFERROR(INDEX(Workers!$C$5:$C$2004,MATCH($D1388,Workers!$A$5:$A$2004,0)),""))</f>
        <v/>
      </c>
      <c r="K1388" s="24" t="str">
        <f aca="false">IF($D1388="","",IFERROR(IF(INDEX(Workers!$D$5:$D$2004,MATCH($D1388,Workers!$A$5:$A$2004,0))=0,"",INDEX(Workers!$D$5:$D$2004,MATCH($D1388,Workers!$A$5:$A$2004,0))),""))</f>
        <v/>
      </c>
      <c r="L1388" s="24" t="str">
        <f aca="false">IF($D1388="","",IFERROR(INDEX(Workers!$E$5:$E$2004,MATCH($D1388,Workers!$A$5:$A$2004,0)),""))</f>
        <v/>
      </c>
      <c r="M1388" s="26" t="str">
        <f aca="false">IF($D1388="","",IFERROR(INDEX(ClientRates!$D$5:$D$500,MATCH($B1388&amp;"|"&amp;$L1388,ClientRates!$A$5:$A$500,0)),0))</f>
        <v/>
      </c>
      <c r="N1388" s="26" t="str">
        <f aca="false">IF($D1388="","",IFERROR(INDEX(ClientRates!$E$5:$E$500,MATCH($B1388&amp;"|"&amp;$L1388,ClientRates!$A$5:$A$500,0)),0))</f>
        <v/>
      </c>
      <c r="O1388" s="26" t="str">
        <f aca="false">IF($D1388="","",F1388*M1388+G1388*N1388)</f>
        <v/>
      </c>
      <c r="P1388" s="26" t="str">
        <f aca="false">IF(OR($D1388="",$J1388&lt;&gt;"Supplier"),"",IFERROR(INDEX(SupplierRates!$D$5:$D$500,MATCH($K1388&amp;"|"&amp;$L1388,SupplierRates!$A$5:$A$500,0)),0))</f>
        <v/>
      </c>
      <c r="Q1388" s="26" t="str">
        <f aca="false">IF(OR($D1388="",$J1388&lt;&gt;"Supplier"),"",IFERROR(INDEX(SupplierRates!$E$5:$E$500,MATCH($K1388&amp;"|"&amp;$L1388,SupplierRates!$A$5:$A$500,0)),0))</f>
        <v/>
      </c>
      <c r="R1388" s="26" t="n">
        <f aca="false">IF(OR($D1388="",$J1388&lt;&gt;"Supplier"),0,F1388*P1388+G1388*Q1388)</f>
        <v>0</v>
      </c>
      <c r="S1388" s="26" t="n">
        <f aca="false">IF(OR($D1388="",$J1388&lt;&gt;"Own"),0,IFERROR((F1388+G1388*Settings!$B$13)*INDEX(Workers!$V$5:$V$2004,MATCH($D1388,Workers!$A$5:$A$2004,0)),0))</f>
        <v>0</v>
      </c>
      <c r="T1388" s="26" t="str">
        <f aca="false">IF($D1388="","",O1388-R1388-S1388)</f>
        <v/>
      </c>
    </row>
    <row r="1389" customFormat="false" ht="15" hidden="false" customHeight="false" outlineLevel="0" collapsed="false">
      <c r="I1389" s="24" t="str">
        <f aca="false">IF($D1389="","",IFERROR(INDEX(Workers!$B$5:$B$2004,MATCH($D1389,Workers!$A$5:$A$2004,0)),"NOT FOUND"))</f>
        <v/>
      </c>
      <c r="J1389" s="24" t="str">
        <f aca="false">IF($D1389="","",IFERROR(INDEX(Workers!$C$5:$C$2004,MATCH($D1389,Workers!$A$5:$A$2004,0)),""))</f>
        <v/>
      </c>
      <c r="K1389" s="24" t="str">
        <f aca="false">IF($D1389="","",IFERROR(IF(INDEX(Workers!$D$5:$D$2004,MATCH($D1389,Workers!$A$5:$A$2004,0))=0,"",INDEX(Workers!$D$5:$D$2004,MATCH($D1389,Workers!$A$5:$A$2004,0))),""))</f>
        <v/>
      </c>
      <c r="L1389" s="24" t="str">
        <f aca="false">IF($D1389="","",IFERROR(INDEX(Workers!$E$5:$E$2004,MATCH($D1389,Workers!$A$5:$A$2004,0)),""))</f>
        <v/>
      </c>
      <c r="M1389" s="26" t="str">
        <f aca="false">IF($D1389="","",IFERROR(INDEX(ClientRates!$D$5:$D$500,MATCH($B1389&amp;"|"&amp;$L1389,ClientRates!$A$5:$A$500,0)),0))</f>
        <v/>
      </c>
      <c r="N1389" s="26" t="str">
        <f aca="false">IF($D1389="","",IFERROR(INDEX(ClientRates!$E$5:$E$500,MATCH($B1389&amp;"|"&amp;$L1389,ClientRates!$A$5:$A$500,0)),0))</f>
        <v/>
      </c>
      <c r="O1389" s="26" t="str">
        <f aca="false">IF($D1389="","",F1389*M1389+G1389*N1389)</f>
        <v/>
      </c>
      <c r="P1389" s="26" t="str">
        <f aca="false">IF(OR($D1389="",$J1389&lt;&gt;"Supplier"),"",IFERROR(INDEX(SupplierRates!$D$5:$D$500,MATCH($K1389&amp;"|"&amp;$L1389,SupplierRates!$A$5:$A$500,0)),0))</f>
        <v/>
      </c>
      <c r="Q1389" s="26" t="str">
        <f aca="false">IF(OR($D1389="",$J1389&lt;&gt;"Supplier"),"",IFERROR(INDEX(SupplierRates!$E$5:$E$500,MATCH($K1389&amp;"|"&amp;$L1389,SupplierRates!$A$5:$A$500,0)),0))</f>
        <v/>
      </c>
      <c r="R1389" s="26" t="n">
        <f aca="false">IF(OR($D1389="",$J1389&lt;&gt;"Supplier"),0,F1389*P1389+G1389*Q1389)</f>
        <v>0</v>
      </c>
      <c r="S1389" s="26" t="n">
        <f aca="false">IF(OR($D1389="",$J1389&lt;&gt;"Own"),0,IFERROR((F1389+G1389*Settings!$B$13)*INDEX(Workers!$V$5:$V$2004,MATCH($D1389,Workers!$A$5:$A$2004,0)),0))</f>
        <v>0</v>
      </c>
      <c r="T1389" s="26" t="str">
        <f aca="false">IF($D1389="","",O1389-R1389-S1389)</f>
        <v/>
      </c>
    </row>
    <row r="1390" customFormat="false" ht="15" hidden="false" customHeight="false" outlineLevel="0" collapsed="false">
      <c r="I1390" s="24" t="str">
        <f aca="false">IF($D1390="","",IFERROR(INDEX(Workers!$B$5:$B$2004,MATCH($D1390,Workers!$A$5:$A$2004,0)),"NOT FOUND"))</f>
        <v/>
      </c>
      <c r="J1390" s="24" t="str">
        <f aca="false">IF($D1390="","",IFERROR(INDEX(Workers!$C$5:$C$2004,MATCH($D1390,Workers!$A$5:$A$2004,0)),""))</f>
        <v/>
      </c>
      <c r="K1390" s="24" t="str">
        <f aca="false">IF($D1390="","",IFERROR(IF(INDEX(Workers!$D$5:$D$2004,MATCH($D1390,Workers!$A$5:$A$2004,0))=0,"",INDEX(Workers!$D$5:$D$2004,MATCH($D1390,Workers!$A$5:$A$2004,0))),""))</f>
        <v/>
      </c>
      <c r="L1390" s="24" t="str">
        <f aca="false">IF($D1390="","",IFERROR(INDEX(Workers!$E$5:$E$2004,MATCH($D1390,Workers!$A$5:$A$2004,0)),""))</f>
        <v/>
      </c>
      <c r="M1390" s="26" t="str">
        <f aca="false">IF($D1390="","",IFERROR(INDEX(ClientRates!$D$5:$D$500,MATCH($B1390&amp;"|"&amp;$L1390,ClientRates!$A$5:$A$500,0)),0))</f>
        <v/>
      </c>
      <c r="N1390" s="26" t="str">
        <f aca="false">IF($D1390="","",IFERROR(INDEX(ClientRates!$E$5:$E$500,MATCH($B1390&amp;"|"&amp;$L1390,ClientRates!$A$5:$A$500,0)),0))</f>
        <v/>
      </c>
      <c r="O1390" s="26" t="str">
        <f aca="false">IF($D1390="","",F1390*M1390+G1390*N1390)</f>
        <v/>
      </c>
      <c r="P1390" s="26" t="str">
        <f aca="false">IF(OR($D1390="",$J1390&lt;&gt;"Supplier"),"",IFERROR(INDEX(SupplierRates!$D$5:$D$500,MATCH($K1390&amp;"|"&amp;$L1390,SupplierRates!$A$5:$A$500,0)),0))</f>
        <v/>
      </c>
      <c r="Q1390" s="26" t="str">
        <f aca="false">IF(OR($D1390="",$J1390&lt;&gt;"Supplier"),"",IFERROR(INDEX(SupplierRates!$E$5:$E$500,MATCH($K1390&amp;"|"&amp;$L1390,SupplierRates!$A$5:$A$500,0)),0))</f>
        <v/>
      </c>
      <c r="R1390" s="26" t="n">
        <f aca="false">IF(OR($D1390="",$J1390&lt;&gt;"Supplier"),0,F1390*P1390+G1390*Q1390)</f>
        <v>0</v>
      </c>
      <c r="S1390" s="26" t="n">
        <f aca="false">IF(OR($D1390="",$J1390&lt;&gt;"Own"),0,IFERROR((F1390+G1390*Settings!$B$13)*INDEX(Workers!$V$5:$V$2004,MATCH($D1390,Workers!$A$5:$A$2004,0)),0))</f>
        <v>0</v>
      </c>
      <c r="T1390" s="26" t="str">
        <f aca="false">IF($D1390="","",O1390-R1390-S1390)</f>
        <v/>
      </c>
    </row>
    <row r="1391" customFormat="false" ht="15" hidden="false" customHeight="false" outlineLevel="0" collapsed="false">
      <c r="I1391" s="24" t="str">
        <f aca="false">IF($D1391="","",IFERROR(INDEX(Workers!$B$5:$B$2004,MATCH($D1391,Workers!$A$5:$A$2004,0)),"NOT FOUND"))</f>
        <v/>
      </c>
      <c r="J1391" s="24" t="str">
        <f aca="false">IF($D1391="","",IFERROR(INDEX(Workers!$C$5:$C$2004,MATCH($D1391,Workers!$A$5:$A$2004,0)),""))</f>
        <v/>
      </c>
      <c r="K1391" s="24" t="str">
        <f aca="false">IF($D1391="","",IFERROR(IF(INDEX(Workers!$D$5:$D$2004,MATCH($D1391,Workers!$A$5:$A$2004,0))=0,"",INDEX(Workers!$D$5:$D$2004,MATCH($D1391,Workers!$A$5:$A$2004,0))),""))</f>
        <v/>
      </c>
      <c r="L1391" s="24" t="str">
        <f aca="false">IF($D1391="","",IFERROR(INDEX(Workers!$E$5:$E$2004,MATCH($D1391,Workers!$A$5:$A$2004,0)),""))</f>
        <v/>
      </c>
      <c r="M1391" s="26" t="str">
        <f aca="false">IF($D1391="","",IFERROR(INDEX(ClientRates!$D$5:$D$500,MATCH($B1391&amp;"|"&amp;$L1391,ClientRates!$A$5:$A$500,0)),0))</f>
        <v/>
      </c>
      <c r="N1391" s="26" t="str">
        <f aca="false">IF($D1391="","",IFERROR(INDEX(ClientRates!$E$5:$E$500,MATCH($B1391&amp;"|"&amp;$L1391,ClientRates!$A$5:$A$500,0)),0))</f>
        <v/>
      </c>
      <c r="O1391" s="26" t="str">
        <f aca="false">IF($D1391="","",F1391*M1391+G1391*N1391)</f>
        <v/>
      </c>
      <c r="P1391" s="26" t="str">
        <f aca="false">IF(OR($D1391="",$J1391&lt;&gt;"Supplier"),"",IFERROR(INDEX(SupplierRates!$D$5:$D$500,MATCH($K1391&amp;"|"&amp;$L1391,SupplierRates!$A$5:$A$500,0)),0))</f>
        <v/>
      </c>
      <c r="Q1391" s="26" t="str">
        <f aca="false">IF(OR($D1391="",$J1391&lt;&gt;"Supplier"),"",IFERROR(INDEX(SupplierRates!$E$5:$E$500,MATCH($K1391&amp;"|"&amp;$L1391,SupplierRates!$A$5:$A$500,0)),0))</f>
        <v/>
      </c>
      <c r="R1391" s="26" t="n">
        <f aca="false">IF(OR($D1391="",$J1391&lt;&gt;"Supplier"),0,F1391*P1391+G1391*Q1391)</f>
        <v>0</v>
      </c>
      <c r="S1391" s="26" t="n">
        <f aca="false">IF(OR($D1391="",$J1391&lt;&gt;"Own"),0,IFERROR((F1391+G1391*Settings!$B$13)*INDEX(Workers!$V$5:$V$2004,MATCH($D1391,Workers!$A$5:$A$2004,0)),0))</f>
        <v>0</v>
      </c>
      <c r="T1391" s="26" t="str">
        <f aca="false">IF($D1391="","",O1391-R1391-S1391)</f>
        <v/>
      </c>
    </row>
    <row r="1392" customFormat="false" ht="15" hidden="false" customHeight="false" outlineLevel="0" collapsed="false">
      <c r="I1392" s="24" t="str">
        <f aca="false">IF($D1392="","",IFERROR(INDEX(Workers!$B$5:$B$2004,MATCH($D1392,Workers!$A$5:$A$2004,0)),"NOT FOUND"))</f>
        <v/>
      </c>
      <c r="J1392" s="24" t="str">
        <f aca="false">IF($D1392="","",IFERROR(INDEX(Workers!$C$5:$C$2004,MATCH($D1392,Workers!$A$5:$A$2004,0)),""))</f>
        <v/>
      </c>
      <c r="K1392" s="24" t="str">
        <f aca="false">IF($D1392="","",IFERROR(IF(INDEX(Workers!$D$5:$D$2004,MATCH($D1392,Workers!$A$5:$A$2004,0))=0,"",INDEX(Workers!$D$5:$D$2004,MATCH($D1392,Workers!$A$5:$A$2004,0))),""))</f>
        <v/>
      </c>
      <c r="L1392" s="24" t="str">
        <f aca="false">IF($D1392="","",IFERROR(INDEX(Workers!$E$5:$E$2004,MATCH($D1392,Workers!$A$5:$A$2004,0)),""))</f>
        <v/>
      </c>
      <c r="M1392" s="26" t="str">
        <f aca="false">IF($D1392="","",IFERROR(INDEX(ClientRates!$D$5:$D$500,MATCH($B1392&amp;"|"&amp;$L1392,ClientRates!$A$5:$A$500,0)),0))</f>
        <v/>
      </c>
      <c r="N1392" s="26" t="str">
        <f aca="false">IF($D1392="","",IFERROR(INDEX(ClientRates!$E$5:$E$500,MATCH($B1392&amp;"|"&amp;$L1392,ClientRates!$A$5:$A$500,0)),0))</f>
        <v/>
      </c>
      <c r="O1392" s="26" t="str">
        <f aca="false">IF($D1392="","",F1392*M1392+G1392*N1392)</f>
        <v/>
      </c>
      <c r="P1392" s="26" t="str">
        <f aca="false">IF(OR($D1392="",$J1392&lt;&gt;"Supplier"),"",IFERROR(INDEX(SupplierRates!$D$5:$D$500,MATCH($K1392&amp;"|"&amp;$L1392,SupplierRates!$A$5:$A$500,0)),0))</f>
        <v/>
      </c>
      <c r="Q1392" s="26" t="str">
        <f aca="false">IF(OR($D1392="",$J1392&lt;&gt;"Supplier"),"",IFERROR(INDEX(SupplierRates!$E$5:$E$500,MATCH($K1392&amp;"|"&amp;$L1392,SupplierRates!$A$5:$A$500,0)),0))</f>
        <v/>
      </c>
      <c r="R1392" s="26" t="n">
        <f aca="false">IF(OR($D1392="",$J1392&lt;&gt;"Supplier"),0,F1392*P1392+G1392*Q1392)</f>
        <v>0</v>
      </c>
      <c r="S1392" s="26" t="n">
        <f aca="false">IF(OR($D1392="",$J1392&lt;&gt;"Own"),0,IFERROR((F1392+G1392*Settings!$B$13)*INDEX(Workers!$V$5:$V$2004,MATCH($D1392,Workers!$A$5:$A$2004,0)),0))</f>
        <v>0</v>
      </c>
      <c r="T1392" s="26" t="str">
        <f aca="false">IF($D1392="","",O1392-R1392-S1392)</f>
        <v/>
      </c>
    </row>
    <row r="1393" customFormat="false" ht="15" hidden="false" customHeight="false" outlineLevel="0" collapsed="false">
      <c r="I1393" s="24" t="str">
        <f aca="false">IF($D1393="","",IFERROR(INDEX(Workers!$B$5:$B$2004,MATCH($D1393,Workers!$A$5:$A$2004,0)),"NOT FOUND"))</f>
        <v/>
      </c>
      <c r="J1393" s="24" t="str">
        <f aca="false">IF($D1393="","",IFERROR(INDEX(Workers!$C$5:$C$2004,MATCH($D1393,Workers!$A$5:$A$2004,0)),""))</f>
        <v/>
      </c>
      <c r="K1393" s="24" t="str">
        <f aca="false">IF($D1393="","",IFERROR(IF(INDEX(Workers!$D$5:$D$2004,MATCH($D1393,Workers!$A$5:$A$2004,0))=0,"",INDEX(Workers!$D$5:$D$2004,MATCH($D1393,Workers!$A$5:$A$2004,0))),""))</f>
        <v/>
      </c>
      <c r="L1393" s="24" t="str">
        <f aca="false">IF($D1393="","",IFERROR(INDEX(Workers!$E$5:$E$2004,MATCH($D1393,Workers!$A$5:$A$2004,0)),""))</f>
        <v/>
      </c>
      <c r="M1393" s="26" t="str">
        <f aca="false">IF($D1393="","",IFERROR(INDEX(ClientRates!$D$5:$D$500,MATCH($B1393&amp;"|"&amp;$L1393,ClientRates!$A$5:$A$500,0)),0))</f>
        <v/>
      </c>
      <c r="N1393" s="26" t="str">
        <f aca="false">IF($D1393="","",IFERROR(INDEX(ClientRates!$E$5:$E$500,MATCH($B1393&amp;"|"&amp;$L1393,ClientRates!$A$5:$A$500,0)),0))</f>
        <v/>
      </c>
      <c r="O1393" s="26" t="str">
        <f aca="false">IF($D1393="","",F1393*M1393+G1393*N1393)</f>
        <v/>
      </c>
      <c r="P1393" s="26" t="str">
        <f aca="false">IF(OR($D1393="",$J1393&lt;&gt;"Supplier"),"",IFERROR(INDEX(SupplierRates!$D$5:$D$500,MATCH($K1393&amp;"|"&amp;$L1393,SupplierRates!$A$5:$A$500,0)),0))</f>
        <v/>
      </c>
      <c r="Q1393" s="26" t="str">
        <f aca="false">IF(OR($D1393="",$J1393&lt;&gt;"Supplier"),"",IFERROR(INDEX(SupplierRates!$E$5:$E$500,MATCH($K1393&amp;"|"&amp;$L1393,SupplierRates!$A$5:$A$500,0)),0))</f>
        <v/>
      </c>
      <c r="R1393" s="26" t="n">
        <f aca="false">IF(OR($D1393="",$J1393&lt;&gt;"Supplier"),0,F1393*P1393+G1393*Q1393)</f>
        <v>0</v>
      </c>
      <c r="S1393" s="26" t="n">
        <f aca="false">IF(OR($D1393="",$J1393&lt;&gt;"Own"),0,IFERROR((F1393+G1393*Settings!$B$13)*INDEX(Workers!$V$5:$V$2004,MATCH($D1393,Workers!$A$5:$A$2004,0)),0))</f>
        <v>0</v>
      </c>
      <c r="T1393" s="26" t="str">
        <f aca="false">IF($D1393="","",O1393-R1393-S1393)</f>
        <v/>
      </c>
    </row>
    <row r="1394" customFormat="false" ht="15" hidden="false" customHeight="false" outlineLevel="0" collapsed="false">
      <c r="I1394" s="24" t="str">
        <f aca="false">IF($D1394="","",IFERROR(INDEX(Workers!$B$5:$B$2004,MATCH($D1394,Workers!$A$5:$A$2004,0)),"NOT FOUND"))</f>
        <v/>
      </c>
      <c r="J1394" s="24" t="str">
        <f aca="false">IF($D1394="","",IFERROR(INDEX(Workers!$C$5:$C$2004,MATCH($D1394,Workers!$A$5:$A$2004,0)),""))</f>
        <v/>
      </c>
      <c r="K1394" s="24" t="str">
        <f aca="false">IF($D1394="","",IFERROR(IF(INDEX(Workers!$D$5:$D$2004,MATCH($D1394,Workers!$A$5:$A$2004,0))=0,"",INDEX(Workers!$D$5:$D$2004,MATCH($D1394,Workers!$A$5:$A$2004,0))),""))</f>
        <v/>
      </c>
      <c r="L1394" s="24" t="str">
        <f aca="false">IF($D1394="","",IFERROR(INDEX(Workers!$E$5:$E$2004,MATCH($D1394,Workers!$A$5:$A$2004,0)),""))</f>
        <v/>
      </c>
      <c r="M1394" s="26" t="str">
        <f aca="false">IF($D1394="","",IFERROR(INDEX(ClientRates!$D$5:$D$500,MATCH($B1394&amp;"|"&amp;$L1394,ClientRates!$A$5:$A$500,0)),0))</f>
        <v/>
      </c>
      <c r="N1394" s="26" t="str">
        <f aca="false">IF($D1394="","",IFERROR(INDEX(ClientRates!$E$5:$E$500,MATCH($B1394&amp;"|"&amp;$L1394,ClientRates!$A$5:$A$500,0)),0))</f>
        <v/>
      </c>
      <c r="O1394" s="26" t="str">
        <f aca="false">IF($D1394="","",F1394*M1394+G1394*N1394)</f>
        <v/>
      </c>
      <c r="P1394" s="26" t="str">
        <f aca="false">IF(OR($D1394="",$J1394&lt;&gt;"Supplier"),"",IFERROR(INDEX(SupplierRates!$D$5:$D$500,MATCH($K1394&amp;"|"&amp;$L1394,SupplierRates!$A$5:$A$500,0)),0))</f>
        <v/>
      </c>
      <c r="Q1394" s="26" t="str">
        <f aca="false">IF(OR($D1394="",$J1394&lt;&gt;"Supplier"),"",IFERROR(INDEX(SupplierRates!$E$5:$E$500,MATCH($K1394&amp;"|"&amp;$L1394,SupplierRates!$A$5:$A$500,0)),0))</f>
        <v/>
      </c>
      <c r="R1394" s="26" t="n">
        <f aca="false">IF(OR($D1394="",$J1394&lt;&gt;"Supplier"),0,F1394*P1394+G1394*Q1394)</f>
        <v>0</v>
      </c>
      <c r="S1394" s="26" t="n">
        <f aca="false">IF(OR($D1394="",$J1394&lt;&gt;"Own"),0,IFERROR((F1394+G1394*Settings!$B$13)*INDEX(Workers!$V$5:$V$2004,MATCH($D1394,Workers!$A$5:$A$2004,0)),0))</f>
        <v>0</v>
      </c>
      <c r="T1394" s="26" t="str">
        <f aca="false">IF($D1394="","",O1394-R1394-S1394)</f>
        <v/>
      </c>
    </row>
    <row r="1395" customFormat="false" ht="15" hidden="false" customHeight="false" outlineLevel="0" collapsed="false">
      <c r="I1395" s="24" t="str">
        <f aca="false">IF($D1395="","",IFERROR(INDEX(Workers!$B$5:$B$2004,MATCH($D1395,Workers!$A$5:$A$2004,0)),"NOT FOUND"))</f>
        <v/>
      </c>
      <c r="J1395" s="24" t="str">
        <f aca="false">IF($D1395="","",IFERROR(INDEX(Workers!$C$5:$C$2004,MATCH($D1395,Workers!$A$5:$A$2004,0)),""))</f>
        <v/>
      </c>
      <c r="K1395" s="24" t="str">
        <f aca="false">IF($D1395="","",IFERROR(IF(INDEX(Workers!$D$5:$D$2004,MATCH($D1395,Workers!$A$5:$A$2004,0))=0,"",INDEX(Workers!$D$5:$D$2004,MATCH($D1395,Workers!$A$5:$A$2004,0))),""))</f>
        <v/>
      </c>
      <c r="L1395" s="24" t="str">
        <f aca="false">IF($D1395="","",IFERROR(INDEX(Workers!$E$5:$E$2004,MATCH($D1395,Workers!$A$5:$A$2004,0)),""))</f>
        <v/>
      </c>
      <c r="M1395" s="26" t="str">
        <f aca="false">IF($D1395="","",IFERROR(INDEX(ClientRates!$D$5:$D$500,MATCH($B1395&amp;"|"&amp;$L1395,ClientRates!$A$5:$A$500,0)),0))</f>
        <v/>
      </c>
      <c r="N1395" s="26" t="str">
        <f aca="false">IF($D1395="","",IFERROR(INDEX(ClientRates!$E$5:$E$500,MATCH($B1395&amp;"|"&amp;$L1395,ClientRates!$A$5:$A$500,0)),0))</f>
        <v/>
      </c>
      <c r="O1395" s="26" t="str">
        <f aca="false">IF($D1395="","",F1395*M1395+G1395*N1395)</f>
        <v/>
      </c>
      <c r="P1395" s="26" t="str">
        <f aca="false">IF(OR($D1395="",$J1395&lt;&gt;"Supplier"),"",IFERROR(INDEX(SupplierRates!$D$5:$D$500,MATCH($K1395&amp;"|"&amp;$L1395,SupplierRates!$A$5:$A$500,0)),0))</f>
        <v/>
      </c>
      <c r="Q1395" s="26" t="str">
        <f aca="false">IF(OR($D1395="",$J1395&lt;&gt;"Supplier"),"",IFERROR(INDEX(SupplierRates!$E$5:$E$500,MATCH($K1395&amp;"|"&amp;$L1395,SupplierRates!$A$5:$A$500,0)),0))</f>
        <v/>
      </c>
      <c r="R1395" s="26" t="n">
        <f aca="false">IF(OR($D1395="",$J1395&lt;&gt;"Supplier"),0,F1395*P1395+G1395*Q1395)</f>
        <v>0</v>
      </c>
      <c r="S1395" s="26" t="n">
        <f aca="false">IF(OR($D1395="",$J1395&lt;&gt;"Own"),0,IFERROR((F1395+G1395*Settings!$B$13)*INDEX(Workers!$V$5:$V$2004,MATCH($D1395,Workers!$A$5:$A$2004,0)),0))</f>
        <v>0</v>
      </c>
      <c r="T1395" s="26" t="str">
        <f aca="false">IF($D1395="","",O1395-R1395-S1395)</f>
        <v/>
      </c>
    </row>
    <row r="1396" customFormat="false" ht="15" hidden="false" customHeight="false" outlineLevel="0" collapsed="false">
      <c r="I1396" s="24" t="str">
        <f aca="false">IF($D1396="","",IFERROR(INDEX(Workers!$B$5:$B$2004,MATCH($D1396,Workers!$A$5:$A$2004,0)),"NOT FOUND"))</f>
        <v/>
      </c>
      <c r="J1396" s="24" t="str">
        <f aca="false">IF($D1396="","",IFERROR(INDEX(Workers!$C$5:$C$2004,MATCH($D1396,Workers!$A$5:$A$2004,0)),""))</f>
        <v/>
      </c>
      <c r="K1396" s="24" t="str">
        <f aca="false">IF($D1396="","",IFERROR(IF(INDEX(Workers!$D$5:$D$2004,MATCH($D1396,Workers!$A$5:$A$2004,0))=0,"",INDEX(Workers!$D$5:$D$2004,MATCH($D1396,Workers!$A$5:$A$2004,0))),""))</f>
        <v/>
      </c>
      <c r="L1396" s="24" t="str">
        <f aca="false">IF($D1396="","",IFERROR(INDEX(Workers!$E$5:$E$2004,MATCH($D1396,Workers!$A$5:$A$2004,0)),""))</f>
        <v/>
      </c>
      <c r="M1396" s="26" t="str">
        <f aca="false">IF($D1396="","",IFERROR(INDEX(ClientRates!$D$5:$D$500,MATCH($B1396&amp;"|"&amp;$L1396,ClientRates!$A$5:$A$500,0)),0))</f>
        <v/>
      </c>
      <c r="N1396" s="26" t="str">
        <f aca="false">IF($D1396="","",IFERROR(INDEX(ClientRates!$E$5:$E$500,MATCH($B1396&amp;"|"&amp;$L1396,ClientRates!$A$5:$A$500,0)),0))</f>
        <v/>
      </c>
      <c r="O1396" s="26" t="str">
        <f aca="false">IF($D1396="","",F1396*M1396+G1396*N1396)</f>
        <v/>
      </c>
      <c r="P1396" s="26" t="str">
        <f aca="false">IF(OR($D1396="",$J1396&lt;&gt;"Supplier"),"",IFERROR(INDEX(SupplierRates!$D$5:$D$500,MATCH($K1396&amp;"|"&amp;$L1396,SupplierRates!$A$5:$A$500,0)),0))</f>
        <v/>
      </c>
      <c r="Q1396" s="26" t="str">
        <f aca="false">IF(OR($D1396="",$J1396&lt;&gt;"Supplier"),"",IFERROR(INDEX(SupplierRates!$E$5:$E$500,MATCH($K1396&amp;"|"&amp;$L1396,SupplierRates!$A$5:$A$500,0)),0))</f>
        <v/>
      </c>
      <c r="R1396" s="26" t="n">
        <f aca="false">IF(OR($D1396="",$J1396&lt;&gt;"Supplier"),0,F1396*P1396+G1396*Q1396)</f>
        <v>0</v>
      </c>
      <c r="S1396" s="26" t="n">
        <f aca="false">IF(OR($D1396="",$J1396&lt;&gt;"Own"),0,IFERROR((F1396+G1396*Settings!$B$13)*INDEX(Workers!$V$5:$V$2004,MATCH($D1396,Workers!$A$5:$A$2004,0)),0))</f>
        <v>0</v>
      </c>
      <c r="T1396" s="26" t="str">
        <f aca="false">IF($D1396="","",O1396-R1396-S1396)</f>
        <v/>
      </c>
    </row>
    <row r="1397" customFormat="false" ht="15" hidden="false" customHeight="false" outlineLevel="0" collapsed="false">
      <c r="I1397" s="24" t="str">
        <f aca="false">IF($D1397="","",IFERROR(INDEX(Workers!$B$5:$B$2004,MATCH($D1397,Workers!$A$5:$A$2004,0)),"NOT FOUND"))</f>
        <v/>
      </c>
      <c r="J1397" s="24" t="str">
        <f aca="false">IF($D1397="","",IFERROR(INDEX(Workers!$C$5:$C$2004,MATCH($D1397,Workers!$A$5:$A$2004,0)),""))</f>
        <v/>
      </c>
      <c r="K1397" s="24" t="str">
        <f aca="false">IF($D1397="","",IFERROR(IF(INDEX(Workers!$D$5:$D$2004,MATCH($D1397,Workers!$A$5:$A$2004,0))=0,"",INDEX(Workers!$D$5:$D$2004,MATCH($D1397,Workers!$A$5:$A$2004,0))),""))</f>
        <v/>
      </c>
      <c r="L1397" s="24" t="str">
        <f aca="false">IF($D1397="","",IFERROR(INDEX(Workers!$E$5:$E$2004,MATCH($D1397,Workers!$A$5:$A$2004,0)),""))</f>
        <v/>
      </c>
      <c r="M1397" s="26" t="str">
        <f aca="false">IF($D1397="","",IFERROR(INDEX(ClientRates!$D$5:$D$500,MATCH($B1397&amp;"|"&amp;$L1397,ClientRates!$A$5:$A$500,0)),0))</f>
        <v/>
      </c>
      <c r="N1397" s="26" t="str">
        <f aca="false">IF($D1397="","",IFERROR(INDEX(ClientRates!$E$5:$E$500,MATCH($B1397&amp;"|"&amp;$L1397,ClientRates!$A$5:$A$500,0)),0))</f>
        <v/>
      </c>
      <c r="O1397" s="26" t="str">
        <f aca="false">IF($D1397="","",F1397*M1397+G1397*N1397)</f>
        <v/>
      </c>
      <c r="P1397" s="26" t="str">
        <f aca="false">IF(OR($D1397="",$J1397&lt;&gt;"Supplier"),"",IFERROR(INDEX(SupplierRates!$D$5:$D$500,MATCH($K1397&amp;"|"&amp;$L1397,SupplierRates!$A$5:$A$500,0)),0))</f>
        <v/>
      </c>
      <c r="Q1397" s="26" t="str">
        <f aca="false">IF(OR($D1397="",$J1397&lt;&gt;"Supplier"),"",IFERROR(INDEX(SupplierRates!$E$5:$E$500,MATCH($K1397&amp;"|"&amp;$L1397,SupplierRates!$A$5:$A$500,0)),0))</f>
        <v/>
      </c>
      <c r="R1397" s="26" t="n">
        <f aca="false">IF(OR($D1397="",$J1397&lt;&gt;"Supplier"),0,F1397*P1397+G1397*Q1397)</f>
        <v>0</v>
      </c>
      <c r="S1397" s="26" t="n">
        <f aca="false">IF(OR($D1397="",$J1397&lt;&gt;"Own"),0,IFERROR((F1397+G1397*Settings!$B$13)*INDEX(Workers!$V$5:$V$2004,MATCH($D1397,Workers!$A$5:$A$2004,0)),0))</f>
        <v>0</v>
      </c>
      <c r="T1397" s="26" t="str">
        <f aca="false">IF($D1397="","",O1397-R1397-S1397)</f>
        <v/>
      </c>
    </row>
    <row r="1398" customFormat="false" ht="15" hidden="false" customHeight="false" outlineLevel="0" collapsed="false">
      <c r="I1398" s="24" t="str">
        <f aca="false">IF($D1398="","",IFERROR(INDEX(Workers!$B$5:$B$2004,MATCH($D1398,Workers!$A$5:$A$2004,0)),"NOT FOUND"))</f>
        <v/>
      </c>
      <c r="J1398" s="24" t="str">
        <f aca="false">IF($D1398="","",IFERROR(INDEX(Workers!$C$5:$C$2004,MATCH($D1398,Workers!$A$5:$A$2004,0)),""))</f>
        <v/>
      </c>
      <c r="K1398" s="24" t="str">
        <f aca="false">IF($D1398="","",IFERROR(IF(INDEX(Workers!$D$5:$D$2004,MATCH($D1398,Workers!$A$5:$A$2004,0))=0,"",INDEX(Workers!$D$5:$D$2004,MATCH($D1398,Workers!$A$5:$A$2004,0))),""))</f>
        <v/>
      </c>
      <c r="L1398" s="24" t="str">
        <f aca="false">IF($D1398="","",IFERROR(INDEX(Workers!$E$5:$E$2004,MATCH($D1398,Workers!$A$5:$A$2004,0)),""))</f>
        <v/>
      </c>
      <c r="M1398" s="26" t="str">
        <f aca="false">IF($D1398="","",IFERROR(INDEX(ClientRates!$D$5:$D$500,MATCH($B1398&amp;"|"&amp;$L1398,ClientRates!$A$5:$A$500,0)),0))</f>
        <v/>
      </c>
      <c r="N1398" s="26" t="str">
        <f aca="false">IF($D1398="","",IFERROR(INDEX(ClientRates!$E$5:$E$500,MATCH($B1398&amp;"|"&amp;$L1398,ClientRates!$A$5:$A$500,0)),0))</f>
        <v/>
      </c>
      <c r="O1398" s="26" t="str">
        <f aca="false">IF($D1398="","",F1398*M1398+G1398*N1398)</f>
        <v/>
      </c>
      <c r="P1398" s="26" t="str">
        <f aca="false">IF(OR($D1398="",$J1398&lt;&gt;"Supplier"),"",IFERROR(INDEX(SupplierRates!$D$5:$D$500,MATCH($K1398&amp;"|"&amp;$L1398,SupplierRates!$A$5:$A$500,0)),0))</f>
        <v/>
      </c>
      <c r="Q1398" s="26" t="str">
        <f aca="false">IF(OR($D1398="",$J1398&lt;&gt;"Supplier"),"",IFERROR(INDEX(SupplierRates!$E$5:$E$500,MATCH($K1398&amp;"|"&amp;$L1398,SupplierRates!$A$5:$A$500,0)),0))</f>
        <v/>
      </c>
      <c r="R1398" s="26" t="n">
        <f aca="false">IF(OR($D1398="",$J1398&lt;&gt;"Supplier"),0,F1398*P1398+G1398*Q1398)</f>
        <v>0</v>
      </c>
      <c r="S1398" s="26" t="n">
        <f aca="false">IF(OR($D1398="",$J1398&lt;&gt;"Own"),0,IFERROR((F1398+G1398*Settings!$B$13)*INDEX(Workers!$V$5:$V$2004,MATCH($D1398,Workers!$A$5:$A$2004,0)),0))</f>
        <v>0</v>
      </c>
      <c r="T1398" s="26" t="str">
        <f aca="false">IF($D1398="","",O1398-R1398-S1398)</f>
        <v/>
      </c>
    </row>
    <row r="1399" customFormat="false" ht="15" hidden="false" customHeight="false" outlineLevel="0" collapsed="false">
      <c r="I1399" s="24" t="str">
        <f aca="false">IF($D1399="","",IFERROR(INDEX(Workers!$B$5:$B$2004,MATCH($D1399,Workers!$A$5:$A$2004,0)),"NOT FOUND"))</f>
        <v/>
      </c>
      <c r="J1399" s="24" t="str">
        <f aca="false">IF($D1399="","",IFERROR(INDEX(Workers!$C$5:$C$2004,MATCH($D1399,Workers!$A$5:$A$2004,0)),""))</f>
        <v/>
      </c>
      <c r="K1399" s="24" t="str">
        <f aca="false">IF($D1399="","",IFERROR(IF(INDEX(Workers!$D$5:$D$2004,MATCH($D1399,Workers!$A$5:$A$2004,0))=0,"",INDEX(Workers!$D$5:$D$2004,MATCH($D1399,Workers!$A$5:$A$2004,0))),""))</f>
        <v/>
      </c>
      <c r="L1399" s="24" t="str">
        <f aca="false">IF($D1399="","",IFERROR(INDEX(Workers!$E$5:$E$2004,MATCH($D1399,Workers!$A$5:$A$2004,0)),""))</f>
        <v/>
      </c>
      <c r="M1399" s="26" t="str">
        <f aca="false">IF($D1399="","",IFERROR(INDEX(ClientRates!$D$5:$D$500,MATCH($B1399&amp;"|"&amp;$L1399,ClientRates!$A$5:$A$500,0)),0))</f>
        <v/>
      </c>
      <c r="N1399" s="26" t="str">
        <f aca="false">IF($D1399="","",IFERROR(INDEX(ClientRates!$E$5:$E$500,MATCH($B1399&amp;"|"&amp;$L1399,ClientRates!$A$5:$A$500,0)),0))</f>
        <v/>
      </c>
      <c r="O1399" s="26" t="str">
        <f aca="false">IF($D1399="","",F1399*M1399+G1399*N1399)</f>
        <v/>
      </c>
      <c r="P1399" s="26" t="str">
        <f aca="false">IF(OR($D1399="",$J1399&lt;&gt;"Supplier"),"",IFERROR(INDEX(SupplierRates!$D$5:$D$500,MATCH($K1399&amp;"|"&amp;$L1399,SupplierRates!$A$5:$A$500,0)),0))</f>
        <v/>
      </c>
      <c r="Q1399" s="26" t="str">
        <f aca="false">IF(OR($D1399="",$J1399&lt;&gt;"Supplier"),"",IFERROR(INDEX(SupplierRates!$E$5:$E$500,MATCH($K1399&amp;"|"&amp;$L1399,SupplierRates!$A$5:$A$500,0)),0))</f>
        <v/>
      </c>
      <c r="R1399" s="26" t="n">
        <f aca="false">IF(OR($D1399="",$J1399&lt;&gt;"Supplier"),0,F1399*P1399+G1399*Q1399)</f>
        <v>0</v>
      </c>
      <c r="S1399" s="26" t="n">
        <f aca="false">IF(OR($D1399="",$J1399&lt;&gt;"Own"),0,IFERROR((F1399+G1399*Settings!$B$13)*INDEX(Workers!$V$5:$V$2004,MATCH($D1399,Workers!$A$5:$A$2004,0)),0))</f>
        <v>0</v>
      </c>
      <c r="T1399" s="26" t="str">
        <f aca="false">IF($D1399="","",O1399-R1399-S1399)</f>
        <v/>
      </c>
    </row>
    <row r="1400" customFormat="false" ht="15" hidden="false" customHeight="false" outlineLevel="0" collapsed="false">
      <c r="I1400" s="24" t="str">
        <f aca="false">IF($D1400="","",IFERROR(INDEX(Workers!$B$5:$B$2004,MATCH($D1400,Workers!$A$5:$A$2004,0)),"NOT FOUND"))</f>
        <v/>
      </c>
      <c r="J1400" s="24" t="str">
        <f aca="false">IF($D1400="","",IFERROR(INDEX(Workers!$C$5:$C$2004,MATCH($D1400,Workers!$A$5:$A$2004,0)),""))</f>
        <v/>
      </c>
      <c r="K1400" s="24" t="str">
        <f aca="false">IF($D1400="","",IFERROR(IF(INDEX(Workers!$D$5:$D$2004,MATCH($D1400,Workers!$A$5:$A$2004,0))=0,"",INDEX(Workers!$D$5:$D$2004,MATCH($D1400,Workers!$A$5:$A$2004,0))),""))</f>
        <v/>
      </c>
      <c r="L1400" s="24" t="str">
        <f aca="false">IF($D1400="","",IFERROR(INDEX(Workers!$E$5:$E$2004,MATCH($D1400,Workers!$A$5:$A$2004,0)),""))</f>
        <v/>
      </c>
      <c r="M1400" s="26" t="str">
        <f aca="false">IF($D1400="","",IFERROR(INDEX(ClientRates!$D$5:$D$500,MATCH($B1400&amp;"|"&amp;$L1400,ClientRates!$A$5:$A$500,0)),0))</f>
        <v/>
      </c>
      <c r="N1400" s="26" t="str">
        <f aca="false">IF($D1400="","",IFERROR(INDEX(ClientRates!$E$5:$E$500,MATCH($B1400&amp;"|"&amp;$L1400,ClientRates!$A$5:$A$500,0)),0))</f>
        <v/>
      </c>
      <c r="O1400" s="26" t="str">
        <f aca="false">IF($D1400="","",F1400*M1400+G1400*N1400)</f>
        <v/>
      </c>
      <c r="P1400" s="26" t="str">
        <f aca="false">IF(OR($D1400="",$J1400&lt;&gt;"Supplier"),"",IFERROR(INDEX(SupplierRates!$D$5:$D$500,MATCH($K1400&amp;"|"&amp;$L1400,SupplierRates!$A$5:$A$500,0)),0))</f>
        <v/>
      </c>
      <c r="Q1400" s="26" t="str">
        <f aca="false">IF(OR($D1400="",$J1400&lt;&gt;"Supplier"),"",IFERROR(INDEX(SupplierRates!$E$5:$E$500,MATCH($K1400&amp;"|"&amp;$L1400,SupplierRates!$A$5:$A$500,0)),0))</f>
        <v/>
      </c>
      <c r="R1400" s="26" t="n">
        <f aca="false">IF(OR($D1400="",$J1400&lt;&gt;"Supplier"),0,F1400*P1400+G1400*Q1400)</f>
        <v>0</v>
      </c>
      <c r="S1400" s="26" t="n">
        <f aca="false">IF(OR($D1400="",$J1400&lt;&gt;"Own"),0,IFERROR((F1400+G1400*Settings!$B$13)*INDEX(Workers!$V$5:$V$2004,MATCH($D1400,Workers!$A$5:$A$2004,0)),0))</f>
        <v>0</v>
      </c>
      <c r="T1400" s="26" t="str">
        <f aca="false">IF($D1400="","",O1400-R1400-S1400)</f>
        <v/>
      </c>
    </row>
    <row r="1401" customFormat="false" ht="15" hidden="false" customHeight="false" outlineLevel="0" collapsed="false">
      <c r="I1401" s="24" t="str">
        <f aca="false">IF($D1401="","",IFERROR(INDEX(Workers!$B$5:$B$2004,MATCH($D1401,Workers!$A$5:$A$2004,0)),"NOT FOUND"))</f>
        <v/>
      </c>
      <c r="J1401" s="24" t="str">
        <f aca="false">IF($D1401="","",IFERROR(INDEX(Workers!$C$5:$C$2004,MATCH($D1401,Workers!$A$5:$A$2004,0)),""))</f>
        <v/>
      </c>
      <c r="K1401" s="24" t="str">
        <f aca="false">IF($D1401="","",IFERROR(IF(INDEX(Workers!$D$5:$D$2004,MATCH($D1401,Workers!$A$5:$A$2004,0))=0,"",INDEX(Workers!$D$5:$D$2004,MATCH($D1401,Workers!$A$5:$A$2004,0))),""))</f>
        <v/>
      </c>
      <c r="L1401" s="24" t="str">
        <f aca="false">IF($D1401="","",IFERROR(INDEX(Workers!$E$5:$E$2004,MATCH($D1401,Workers!$A$5:$A$2004,0)),""))</f>
        <v/>
      </c>
      <c r="M1401" s="26" t="str">
        <f aca="false">IF($D1401="","",IFERROR(INDEX(ClientRates!$D$5:$D$500,MATCH($B1401&amp;"|"&amp;$L1401,ClientRates!$A$5:$A$500,0)),0))</f>
        <v/>
      </c>
      <c r="N1401" s="26" t="str">
        <f aca="false">IF($D1401="","",IFERROR(INDEX(ClientRates!$E$5:$E$500,MATCH($B1401&amp;"|"&amp;$L1401,ClientRates!$A$5:$A$500,0)),0))</f>
        <v/>
      </c>
      <c r="O1401" s="26" t="str">
        <f aca="false">IF($D1401="","",F1401*M1401+G1401*N1401)</f>
        <v/>
      </c>
      <c r="P1401" s="26" t="str">
        <f aca="false">IF(OR($D1401="",$J1401&lt;&gt;"Supplier"),"",IFERROR(INDEX(SupplierRates!$D$5:$D$500,MATCH($K1401&amp;"|"&amp;$L1401,SupplierRates!$A$5:$A$500,0)),0))</f>
        <v/>
      </c>
      <c r="Q1401" s="26" t="str">
        <f aca="false">IF(OR($D1401="",$J1401&lt;&gt;"Supplier"),"",IFERROR(INDEX(SupplierRates!$E$5:$E$500,MATCH($K1401&amp;"|"&amp;$L1401,SupplierRates!$A$5:$A$500,0)),0))</f>
        <v/>
      </c>
      <c r="R1401" s="26" t="n">
        <f aca="false">IF(OR($D1401="",$J1401&lt;&gt;"Supplier"),0,F1401*P1401+G1401*Q1401)</f>
        <v>0</v>
      </c>
      <c r="S1401" s="26" t="n">
        <f aca="false">IF(OR($D1401="",$J1401&lt;&gt;"Own"),0,IFERROR((F1401+G1401*Settings!$B$13)*INDEX(Workers!$V$5:$V$2004,MATCH($D1401,Workers!$A$5:$A$2004,0)),0))</f>
        <v>0</v>
      </c>
      <c r="T1401" s="26" t="str">
        <f aca="false">IF($D1401="","",O1401-R1401-S1401)</f>
        <v/>
      </c>
    </row>
    <row r="1402" customFormat="false" ht="15" hidden="false" customHeight="false" outlineLevel="0" collapsed="false">
      <c r="I1402" s="24" t="str">
        <f aca="false">IF($D1402="","",IFERROR(INDEX(Workers!$B$5:$B$2004,MATCH($D1402,Workers!$A$5:$A$2004,0)),"NOT FOUND"))</f>
        <v/>
      </c>
      <c r="J1402" s="24" t="str">
        <f aca="false">IF($D1402="","",IFERROR(INDEX(Workers!$C$5:$C$2004,MATCH($D1402,Workers!$A$5:$A$2004,0)),""))</f>
        <v/>
      </c>
      <c r="K1402" s="24" t="str">
        <f aca="false">IF($D1402="","",IFERROR(IF(INDEX(Workers!$D$5:$D$2004,MATCH($D1402,Workers!$A$5:$A$2004,0))=0,"",INDEX(Workers!$D$5:$D$2004,MATCH($D1402,Workers!$A$5:$A$2004,0))),""))</f>
        <v/>
      </c>
      <c r="L1402" s="24" t="str">
        <f aca="false">IF($D1402="","",IFERROR(INDEX(Workers!$E$5:$E$2004,MATCH($D1402,Workers!$A$5:$A$2004,0)),""))</f>
        <v/>
      </c>
      <c r="M1402" s="26" t="str">
        <f aca="false">IF($D1402="","",IFERROR(INDEX(ClientRates!$D$5:$D$500,MATCH($B1402&amp;"|"&amp;$L1402,ClientRates!$A$5:$A$500,0)),0))</f>
        <v/>
      </c>
      <c r="N1402" s="26" t="str">
        <f aca="false">IF($D1402="","",IFERROR(INDEX(ClientRates!$E$5:$E$500,MATCH($B1402&amp;"|"&amp;$L1402,ClientRates!$A$5:$A$500,0)),0))</f>
        <v/>
      </c>
      <c r="O1402" s="26" t="str">
        <f aca="false">IF($D1402="","",F1402*M1402+G1402*N1402)</f>
        <v/>
      </c>
      <c r="P1402" s="26" t="str">
        <f aca="false">IF(OR($D1402="",$J1402&lt;&gt;"Supplier"),"",IFERROR(INDEX(SupplierRates!$D$5:$D$500,MATCH($K1402&amp;"|"&amp;$L1402,SupplierRates!$A$5:$A$500,0)),0))</f>
        <v/>
      </c>
      <c r="Q1402" s="26" t="str">
        <f aca="false">IF(OR($D1402="",$J1402&lt;&gt;"Supplier"),"",IFERROR(INDEX(SupplierRates!$E$5:$E$500,MATCH($K1402&amp;"|"&amp;$L1402,SupplierRates!$A$5:$A$500,0)),0))</f>
        <v/>
      </c>
      <c r="R1402" s="26" t="n">
        <f aca="false">IF(OR($D1402="",$J1402&lt;&gt;"Supplier"),0,F1402*P1402+G1402*Q1402)</f>
        <v>0</v>
      </c>
      <c r="S1402" s="26" t="n">
        <f aca="false">IF(OR($D1402="",$J1402&lt;&gt;"Own"),0,IFERROR((F1402+G1402*Settings!$B$13)*INDEX(Workers!$V$5:$V$2004,MATCH($D1402,Workers!$A$5:$A$2004,0)),0))</f>
        <v>0</v>
      </c>
      <c r="T1402" s="26" t="str">
        <f aca="false">IF($D1402="","",O1402-R1402-S1402)</f>
        <v/>
      </c>
    </row>
    <row r="1403" customFormat="false" ht="15" hidden="false" customHeight="false" outlineLevel="0" collapsed="false">
      <c r="I1403" s="24" t="str">
        <f aca="false">IF($D1403="","",IFERROR(INDEX(Workers!$B$5:$B$2004,MATCH($D1403,Workers!$A$5:$A$2004,0)),"NOT FOUND"))</f>
        <v/>
      </c>
      <c r="J1403" s="24" t="str">
        <f aca="false">IF($D1403="","",IFERROR(INDEX(Workers!$C$5:$C$2004,MATCH($D1403,Workers!$A$5:$A$2004,0)),""))</f>
        <v/>
      </c>
      <c r="K1403" s="24" t="str">
        <f aca="false">IF($D1403="","",IFERROR(IF(INDEX(Workers!$D$5:$D$2004,MATCH($D1403,Workers!$A$5:$A$2004,0))=0,"",INDEX(Workers!$D$5:$D$2004,MATCH($D1403,Workers!$A$5:$A$2004,0))),""))</f>
        <v/>
      </c>
      <c r="L1403" s="24" t="str">
        <f aca="false">IF($D1403="","",IFERROR(INDEX(Workers!$E$5:$E$2004,MATCH($D1403,Workers!$A$5:$A$2004,0)),""))</f>
        <v/>
      </c>
      <c r="M1403" s="26" t="str">
        <f aca="false">IF($D1403="","",IFERROR(INDEX(ClientRates!$D$5:$D$500,MATCH($B1403&amp;"|"&amp;$L1403,ClientRates!$A$5:$A$500,0)),0))</f>
        <v/>
      </c>
      <c r="N1403" s="26" t="str">
        <f aca="false">IF($D1403="","",IFERROR(INDEX(ClientRates!$E$5:$E$500,MATCH($B1403&amp;"|"&amp;$L1403,ClientRates!$A$5:$A$500,0)),0))</f>
        <v/>
      </c>
      <c r="O1403" s="26" t="str">
        <f aca="false">IF($D1403="","",F1403*M1403+G1403*N1403)</f>
        <v/>
      </c>
      <c r="P1403" s="26" t="str">
        <f aca="false">IF(OR($D1403="",$J1403&lt;&gt;"Supplier"),"",IFERROR(INDEX(SupplierRates!$D$5:$D$500,MATCH($K1403&amp;"|"&amp;$L1403,SupplierRates!$A$5:$A$500,0)),0))</f>
        <v/>
      </c>
      <c r="Q1403" s="26" t="str">
        <f aca="false">IF(OR($D1403="",$J1403&lt;&gt;"Supplier"),"",IFERROR(INDEX(SupplierRates!$E$5:$E$500,MATCH($K1403&amp;"|"&amp;$L1403,SupplierRates!$A$5:$A$500,0)),0))</f>
        <v/>
      </c>
      <c r="R1403" s="26" t="n">
        <f aca="false">IF(OR($D1403="",$J1403&lt;&gt;"Supplier"),0,F1403*P1403+G1403*Q1403)</f>
        <v>0</v>
      </c>
      <c r="S1403" s="26" t="n">
        <f aca="false">IF(OR($D1403="",$J1403&lt;&gt;"Own"),0,IFERROR((F1403+G1403*Settings!$B$13)*INDEX(Workers!$V$5:$V$2004,MATCH($D1403,Workers!$A$5:$A$2004,0)),0))</f>
        <v>0</v>
      </c>
      <c r="T1403" s="26" t="str">
        <f aca="false">IF($D1403="","",O1403-R1403-S1403)</f>
        <v/>
      </c>
    </row>
    <row r="1404" customFormat="false" ht="15" hidden="false" customHeight="false" outlineLevel="0" collapsed="false">
      <c r="I1404" s="24" t="str">
        <f aca="false">IF($D1404="","",IFERROR(INDEX(Workers!$B$5:$B$2004,MATCH($D1404,Workers!$A$5:$A$2004,0)),"NOT FOUND"))</f>
        <v/>
      </c>
      <c r="J1404" s="24" t="str">
        <f aca="false">IF($D1404="","",IFERROR(INDEX(Workers!$C$5:$C$2004,MATCH($D1404,Workers!$A$5:$A$2004,0)),""))</f>
        <v/>
      </c>
      <c r="K1404" s="24" t="str">
        <f aca="false">IF($D1404="","",IFERROR(IF(INDEX(Workers!$D$5:$D$2004,MATCH($D1404,Workers!$A$5:$A$2004,0))=0,"",INDEX(Workers!$D$5:$D$2004,MATCH($D1404,Workers!$A$5:$A$2004,0))),""))</f>
        <v/>
      </c>
      <c r="L1404" s="24" t="str">
        <f aca="false">IF($D1404="","",IFERROR(INDEX(Workers!$E$5:$E$2004,MATCH($D1404,Workers!$A$5:$A$2004,0)),""))</f>
        <v/>
      </c>
      <c r="M1404" s="26" t="str">
        <f aca="false">IF($D1404="","",IFERROR(INDEX(ClientRates!$D$5:$D$500,MATCH($B1404&amp;"|"&amp;$L1404,ClientRates!$A$5:$A$500,0)),0))</f>
        <v/>
      </c>
      <c r="N1404" s="26" t="str">
        <f aca="false">IF($D1404="","",IFERROR(INDEX(ClientRates!$E$5:$E$500,MATCH($B1404&amp;"|"&amp;$L1404,ClientRates!$A$5:$A$500,0)),0))</f>
        <v/>
      </c>
      <c r="O1404" s="26" t="str">
        <f aca="false">IF($D1404="","",F1404*M1404+G1404*N1404)</f>
        <v/>
      </c>
      <c r="P1404" s="26" t="str">
        <f aca="false">IF(OR($D1404="",$J1404&lt;&gt;"Supplier"),"",IFERROR(INDEX(SupplierRates!$D$5:$D$500,MATCH($K1404&amp;"|"&amp;$L1404,SupplierRates!$A$5:$A$500,0)),0))</f>
        <v/>
      </c>
      <c r="Q1404" s="26" t="str">
        <f aca="false">IF(OR($D1404="",$J1404&lt;&gt;"Supplier"),"",IFERROR(INDEX(SupplierRates!$E$5:$E$500,MATCH($K1404&amp;"|"&amp;$L1404,SupplierRates!$A$5:$A$500,0)),0))</f>
        <v/>
      </c>
      <c r="R1404" s="26" t="n">
        <f aca="false">IF(OR($D1404="",$J1404&lt;&gt;"Supplier"),0,F1404*P1404+G1404*Q1404)</f>
        <v>0</v>
      </c>
      <c r="S1404" s="26" t="n">
        <f aca="false">IF(OR($D1404="",$J1404&lt;&gt;"Own"),0,IFERROR((F1404+G1404*Settings!$B$13)*INDEX(Workers!$V$5:$V$2004,MATCH($D1404,Workers!$A$5:$A$2004,0)),0))</f>
        <v>0</v>
      </c>
      <c r="T1404" s="26" t="str">
        <f aca="false">IF($D1404="","",O1404-R1404-S1404)</f>
        <v/>
      </c>
    </row>
    <row r="1405" customFormat="false" ht="15" hidden="false" customHeight="false" outlineLevel="0" collapsed="false">
      <c r="I1405" s="24" t="str">
        <f aca="false">IF($D1405="","",IFERROR(INDEX(Workers!$B$5:$B$2004,MATCH($D1405,Workers!$A$5:$A$2004,0)),"NOT FOUND"))</f>
        <v/>
      </c>
      <c r="J1405" s="24" t="str">
        <f aca="false">IF($D1405="","",IFERROR(INDEX(Workers!$C$5:$C$2004,MATCH($D1405,Workers!$A$5:$A$2004,0)),""))</f>
        <v/>
      </c>
      <c r="K1405" s="24" t="str">
        <f aca="false">IF($D1405="","",IFERROR(IF(INDEX(Workers!$D$5:$D$2004,MATCH($D1405,Workers!$A$5:$A$2004,0))=0,"",INDEX(Workers!$D$5:$D$2004,MATCH($D1405,Workers!$A$5:$A$2004,0))),""))</f>
        <v/>
      </c>
      <c r="L1405" s="24" t="str">
        <f aca="false">IF($D1405="","",IFERROR(INDEX(Workers!$E$5:$E$2004,MATCH($D1405,Workers!$A$5:$A$2004,0)),""))</f>
        <v/>
      </c>
      <c r="M1405" s="26" t="str">
        <f aca="false">IF($D1405="","",IFERROR(INDEX(ClientRates!$D$5:$D$500,MATCH($B1405&amp;"|"&amp;$L1405,ClientRates!$A$5:$A$500,0)),0))</f>
        <v/>
      </c>
      <c r="N1405" s="26" t="str">
        <f aca="false">IF($D1405="","",IFERROR(INDEX(ClientRates!$E$5:$E$500,MATCH($B1405&amp;"|"&amp;$L1405,ClientRates!$A$5:$A$500,0)),0))</f>
        <v/>
      </c>
      <c r="O1405" s="26" t="str">
        <f aca="false">IF($D1405="","",F1405*M1405+G1405*N1405)</f>
        <v/>
      </c>
      <c r="P1405" s="26" t="str">
        <f aca="false">IF(OR($D1405="",$J1405&lt;&gt;"Supplier"),"",IFERROR(INDEX(SupplierRates!$D$5:$D$500,MATCH($K1405&amp;"|"&amp;$L1405,SupplierRates!$A$5:$A$500,0)),0))</f>
        <v/>
      </c>
      <c r="Q1405" s="26" t="str">
        <f aca="false">IF(OR($D1405="",$J1405&lt;&gt;"Supplier"),"",IFERROR(INDEX(SupplierRates!$E$5:$E$500,MATCH($K1405&amp;"|"&amp;$L1405,SupplierRates!$A$5:$A$500,0)),0))</f>
        <v/>
      </c>
      <c r="R1405" s="26" t="n">
        <f aca="false">IF(OR($D1405="",$J1405&lt;&gt;"Supplier"),0,F1405*P1405+G1405*Q1405)</f>
        <v>0</v>
      </c>
      <c r="S1405" s="26" t="n">
        <f aca="false">IF(OR($D1405="",$J1405&lt;&gt;"Own"),0,IFERROR((F1405+G1405*Settings!$B$13)*INDEX(Workers!$V$5:$V$2004,MATCH($D1405,Workers!$A$5:$A$2004,0)),0))</f>
        <v>0</v>
      </c>
      <c r="T1405" s="26" t="str">
        <f aca="false">IF($D1405="","",O1405-R1405-S1405)</f>
        <v/>
      </c>
    </row>
    <row r="1406" customFormat="false" ht="15" hidden="false" customHeight="false" outlineLevel="0" collapsed="false">
      <c r="I1406" s="24" t="str">
        <f aca="false">IF($D1406="","",IFERROR(INDEX(Workers!$B$5:$B$2004,MATCH($D1406,Workers!$A$5:$A$2004,0)),"NOT FOUND"))</f>
        <v/>
      </c>
      <c r="J1406" s="24" t="str">
        <f aca="false">IF($D1406="","",IFERROR(INDEX(Workers!$C$5:$C$2004,MATCH($D1406,Workers!$A$5:$A$2004,0)),""))</f>
        <v/>
      </c>
      <c r="K1406" s="24" t="str">
        <f aca="false">IF($D1406="","",IFERROR(IF(INDEX(Workers!$D$5:$D$2004,MATCH($D1406,Workers!$A$5:$A$2004,0))=0,"",INDEX(Workers!$D$5:$D$2004,MATCH($D1406,Workers!$A$5:$A$2004,0))),""))</f>
        <v/>
      </c>
      <c r="L1406" s="24" t="str">
        <f aca="false">IF($D1406="","",IFERROR(INDEX(Workers!$E$5:$E$2004,MATCH($D1406,Workers!$A$5:$A$2004,0)),""))</f>
        <v/>
      </c>
      <c r="M1406" s="26" t="str">
        <f aca="false">IF($D1406="","",IFERROR(INDEX(ClientRates!$D$5:$D$500,MATCH($B1406&amp;"|"&amp;$L1406,ClientRates!$A$5:$A$500,0)),0))</f>
        <v/>
      </c>
      <c r="N1406" s="26" t="str">
        <f aca="false">IF($D1406="","",IFERROR(INDEX(ClientRates!$E$5:$E$500,MATCH($B1406&amp;"|"&amp;$L1406,ClientRates!$A$5:$A$500,0)),0))</f>
        <v/>
      </c>
      <c r="O1406" s="26" t="str">
        <f aca="false">IF($D1406="","",F1406*M1406+G1406*N1406)</f>
        <v/>
      </c>
      <c r="P1406" s="26" t="str">
        <f aca="false">IF(OR($D1406="",$J1406&lt;&gt;"Supplier"),"",IFERROR(INDEX(SupplierRates!$D$5:$D$500,MATCH($K1406&amp;"|"&amp;$L1406,SupplierRates!$A$5:$A$500,0)),0))</f>
        <v/>
      </c>
      <c r="Q1406" s="26" t="str">
        <f aca="false">IF(OR($D1406="",$J1406&lt;&gt;"Supplier"),"",IFERROR(INDEX(SupplierRates!$E$5:$E$500,MATCH($K1406&amp;"|"&amp;$L1406,SupplierRates!$A$5:$A$500,0)),0))</f>
        <v/>
      </c>
      <c r="R1406" s="26" t="n">
        <f aca="false">IF(OR($D1406="",$J1406&lt;&gt;"Supplier"),0,F1406*P1406+G1406*Q1406)</f>
        <v>0</v>
      </c>
      <c r="S1406" s="26" t="n">
        <f aca="false">IF(OR($D1406="",$J1406&lt;&gt;"Own"),0,IFERROR((F1406+G1406*Settings!$B$13)*INDEX(Workers!$V$5:$V$2004,MATCH($D1406,Workers!$A$5:$A$2004,0)),0))</f>
        <v>0</v>
      </c>
      <c r="T1406" s="26" t="str">
        <f aca="false">IF($D1406="","",O1406-R1406-S1406)</f>
        <v/>
      </c>
    </row>
    <row r="1407" customFormat="false" ht="15" hidden="false" customHeight="false" outlineLevel="0" collapsed="false">
      <c r="I1407" s="24" t="str">
        <f aca="false">IF($D1407="","",IFERROR(INDEX(Workers!$B$5:$B$2004,MATCH($D1407,Workers!$A$5:$A$2004,0)),"NOT FOUND"))</f>
        <v/>
      </c>
      <c r="J1407" s="24" t="str">
        <f aca="false">IF($D1407="","",IFERROR(INDEX(Workers!$C$5:$C$2004,MATCH($D1407,Workers!$A$5:$A$2004,0)),""))</f>
        <v/>
      </c>
      <c r="K1407" s="24" t="str">
        <f aca="false">IF($D1407="","",IFERROR(IF(INDEX(Workers!$D$5:$D$2004,MATCH($D1407,Workers!$A$5:$A$2004,0))=0,"",INDEX(Workers!$D$5:$D$2004,MATCH($D1407,Workers!$A$5:$A$2004,0))),""))</f>
        <v/>
      </c>
      <c r="L1407" s="24" t="str">
        <f aca="false">IF($D1407="","",IFERROR(INDEX(Workers!$E$5:$E$2004,MATCH($D1407,Workers!$A$5:$A$2004,0)),""))</f>
        <v/>
      </c>
      <c r="M1407" s="26" t="str">
        <f aca="false">IF($D1407="","",IFERROR(INDEX(ClientRates!$D$5:$D$500,MATCH($B1407&amp;"|"&amp;$L1407,ClientRates!$A$5:$A$500,0)),0))</f>
        <v/>
      </c>
      <c r="N1407" s="26" t="str">
        <f aca="false">IF($D1407="","",IFERROR(INDEX(ClientRates!$E$5:$E$500,MATCH($B1407&amp;"|"&amp;$L1407,ClientRates!$A$5:$A$500,0)),0))</f>
        <v/>
      </c>
      <c r="O1407" s="26" t="str">
        <f aca="false">IF($D1407="","",F1407*M1407+G1407*N1407)</f>
        <v/>
      </c>
      <c r="P1407" s="26" t="str">
        <f aca="false">IF(OR($D1407="",$J1407&lt;&gt;"Supplier"),"",IFERROR(INDEX(SupplierRates!$D$5:$D$500,MATCH($K1407&amp;"|"&amp;$L1407,SupplierRates!$A$5:$A$500,0)),0))</f>
        <v/>
      </c>
      <c r="Q1407" s="26" t="str">
        <f aca="false">IF(OR($D1407="",$J1407&lt;&gt;"Supplier"),"",IFERROR(INDEX(SupplierRates!$E$5:$E$500,MATCH($K1407&amp;"|"&amp;$L1407,SupplierRates!$A$5:$A$500,0)),0))</f>
        <v/>
      </c>
      <c r="R1407" s="26" t="n">
        <f aca="false">IF(OR($D1407="",$J1407&lt;&gt;"Supplier"),0,F1407*P1407+G1407*Q1407)</f>
        <v>0</v>
      </c>
      <c r="S1407" s="26" t="n">
        <f aca="false">IF(OR($D1407="",$J1407&lt;&gt;"Own"),0,IFERROR((F1407+G1407*Settings!$B$13)*INDEX(Workers!$V$5:$V$2004,MATCH($D1407,Workers!$A$5:$A$2004,0)),0))</f>
        <v>0</v>
      </c>
      <c r="T1407" s="26" t="str">
        <f aca="false">IF($D1407="","",O1407-R1407-S1407)</f>
        <v/>
      </c>
    </row>
    <row r="1408" customFormat="false" ht="15" hidden="false" customHeight="false" outlineLevel="0" collapsed="false">
      <c r="I1408" s="24" t="str">
        <f aca="false">IF($D1408="","",IFERROR(INDEX(Workers!$B$5:$B$2004,MATCH($D1408,Workers!$A$5:$A$2004,0)),"NOT FOUND"))</f>
        <v/>
      </c>
      <c r="J1408" s="24" t="str">
        <f aca="false">IF($D1408="","",IFERROR(INDEX(Workers!$C$5:$C$2004,MATCH($D1408,Workers!$A$5:$A$2004,0)),""))</f>
        <v/>
      </c>
      <c r="K1408" s="24" t="str">
        <f aca="false">IF($D1408="","",IFERROR(IF(INDEX(Workers!$D$5:$D$2004,MATCH($D1408,Workers!$A$5:$A$2004,0))=0,"",INDEX(Workers!$D$5:$D$2004,MATCH($D1408,Workers!$A$5:$A$2004,0))),""))</f>
        <v/>
      </c>
      <c r="L1408" s="24" t="str">
        <f aca="false">IF($D1408="","",IFERROR(INDEX(Workers!$E$5:$E$2004,MATCH($D1408,Workers!$A$5:$A$2004,0)),""))</f>
        <v/>
      </c>
      <c r="M1408" s="26" t="str">
        <f aca="false">IF($D1408="","",IFERROR(INDEX(ClientRates!$D$5:$D$500,MATCH($B1408&amp;"|"&amp;$L1408,ClientRates!$A$5:$A$500,0)),0))</f>
        <v/>
      </c>
      <c r="N1408" s="26" t="str">
        <f aca="false">IF($D1408="","",IFERROR(INDEX(ClientRates!$E$5:$E$500,MATCH($B1408&amp;"|"&amp;$L1408,ClientRates!$A$5:$A$500,0)),0))</f>
        <v/>
      </c>
      <c r="O1408" s="26" t="str">
        <f aca="false">IF($D1408="","",F1408*M1408+G1408*N1408)</f>
        <v/>
      </c>
      <c r="P1408" s="26" t="str">
        <f aca="false">IF(OR($D1408="",$J1408&lt;&gt;"Supplier"),"",IFERROR(INDEX(SupplierRates!$D$5:$D$500,MATCH($K1408&amp;"|"&amp;$L1408,SupplierRates!$A$5:$A$500,0)),0))</f>
        <v/>
      </c>
      <c r="Q1408" s="26" t="str">
        <f aca="false">IF(OR($D1408="",$J1408&lt;&gt;"Supplier"),"",IFERROR(INDEX(SupplierRates!$E$5:$E$500,MATCH($K1408&amp;"|"&amp;$L1408,SupplierRates!$A$5:$A$500,0)),0))</f>
        <v/>
      </c>
      <c r="R1408" s="26" t="n">
        <f aca="false">IF(OR($D1408="",$J1408&lt;&gt;"Supplier"),0,F1408*P1408+G1408*Q1408)</f>
        <v>0</v>
      </c>
      <c r="S1408" s="26" t="n">
        <f aca="false">IF(OR($D1408="",$J1408&lt;&gt;"Own"),0,IFERROR((F1408+G1408*Settings!$B$13)*INDEX(Workers!$V$5:$V$2004,MATCH($D1408,Workers!$A$5:$A$2004,0)),0))</f>
        <v>0</v>
      </c>
      <c r="T1408" s="26" t="str">
        <f aca="false">IF($D1408="","",O1408-R1408-S1408)</f>
        <v/>
      </c>
    </row>
    <row r="1409" customFormat="false" ht="15" hidden="false" customHeight="false" outlineLevel="0" collapsed="false">
      <c r="I1409" s="24" t="str">
        <f aca="false">IF($D1409="","",IFERROR(INDEX(Workers!$B$5:$B$2004,MATCH($D1409,Workers!$A$5:$A$2004,0)),"NOT FOUND"))</f>
        <v/>
      </c>
      <c r="J1409" s="24" t="str">
        <f aca="false">IF($D1409="","",IFERROR(INDEX(Workers!$C$5:$C$2004,MATCH($D1409,Workers!$A$5:$A$2004,0)),""))</f>
        <v/>
      </c>
      <c r="K1409" s="24" t="str">
        <f aca="false">IF($D1409="","",IFERROR(IF(INDEX(Workers!$D$5:$D$2004,MATCH($D1409,Workers!$A$5:$A$2004,0))=0,"",INDEX(Workers!$D$5:$D$2004,MATCH($D1409,Workers!$A$5:$A$2004,0))),""))</f>
        <v/>
      </c>
      <c r="L1409" s="24" t="str">
        <f aca="false">IF($D1409="","",IFERROR(INDEX(Workers!$E$5:$E$2004,MATCH($D1409,Workers!$A$5:$A$2004,0)),""))</f>
        <v/>
      </c>
      <c r="M1409" s="26" t="str">
        <f aca="false">IF($D1409="","",IFERROR(INDEX(ClientRates!$D$5:$D$500,MATCH($B1409&amp;"|"&amp;$L1409,ClientRates!$A$5:$A$500,0)),0))</f>
        <v/>
      </c>
      <c r="N1409" s="26" t="str">
        <f aca="false">IF($D1409="","",IFERROR(INDEX(ClientRates!$E$5:$E$500,MATCH($B1409&amp;"|"&amp;$L1409,ClientRates!$A$5:$A$500,0)),0))</f>
        <v/>
      </c>
      <c r="O1409" s="26" t="str">
        <f aca="false">IF($D1409="","",F1409*M1409+G1409*N1409)</f>
        <v/>
      </c>
      <c r="P1409" s="26" t="str">
        <f aca="false">IF(OR($D1409="",$J1409&lt;&gt;"Supplier"),"",IFERROR(INDEX(SupplierRates!$D$5:$D$500,MATCH($K1409&amp;"|"&amp;$L1409,SupplierRates!$A$5:$A$500,0)),0))</f>
        <v/>
      </c>
      <c r="Q1409" s="26" t="str">
        <f aca="false">IF(OR($D1409="",$J1409&lt;&gt;"Supplier"),"",IFERROR(INDEX(SupplierRates!$E$5:$E$500,MATCH($K1409&amp;"|"&amp;$L1409,SupplierRates!$A$5:$A$500,0)),0))</f>
        <v/>
      </c>
      <c r="R1409" s="26" t="n">
        <f aca="false">IF(OR($D1409="",$J1409&lt;&gt;"Supplier"),0,F1409*P1409+G1409*Q1409)</f>
        <v>0</v>
      </c>
      <c r="S1409" s="26" t="n">
        <f aca="false">IF(OR($D1409="",$J1409&lt;&gt;"Own"),0,IFERROR((F1409+G1409*Settings!$B$13)*INDEX(Workers!$V$5:$V$2004,MATCH($D1409,Workers!$A$5:$A$2004,0)),0))</f>
        <v>0</v>
      </c>
      <c r="T1409" s="26" t="str">
        <f aca="false">IF($D1409="","",O1409-R1409-S1409)</f>
        <v/>
      </c>
    </row>
    <row r="1410" customFormat="false" ht="15" hidden="false" customHeight="false" outlineLevel="0" collapsed="false">
      <c r="I1410" s="24" t="str">
        <f aca="false">IF($D1410="","",IFERROR(INDEX(Workers!$B$5:$B$2004,MATCH($D1410,Workers!$A$5:$A$2004,0)),"NOT FOUND"))</f>
        <v/>
      </c>
      <c r="J1410" s="24" t="str">
        <f aca="false">IF($D1410="","",IFERROR(INDEX(Workers!$C$5:$C$2004,MATCH($D1410,Workers!$A$5:$A$2004,0)),""))</f>
        <v/>
      </c>
      <c r="K1410" s="24" t="str">
        <f aca="false">IF($D1410="","",IFERROR(IF(INDEX(Workers!$D$5:$D$2004,MATCH($D1410,Workers!$A$5:$A$2004,0))=0,"",INDEX(Workers!$D$5:$D$2004,MATCH($D1410,Workers!$A$5:$A$2004,0))),""))</f>
        <v/>
      </c>
      <c r="L1410" s="24" t="str">
        <f aca="false">IF($D1410="","",IFERROR(INDEX(Workers!$E$5:$E$2004,MATCH($D1410,Workers!$A$5:$A$2004,0)),""))</f>
        <v/>
      </c>
      <c r="M1410" s="26" t="str">
        <f aca="false">IF($D1410="","",IFERROR(INDEX(ClientRates!$D$5:$D$500,MATCH($B1410&amp;"|"&amp;$L1410,ClientRates!$A$5:$A$500,0)),0))</f>
        <v/>
      </c>
      <c r="N1410" s="26" t="str">
        <f aca="false">IF($D1410="","",IFERROR(INDEX(ClientRates!$E$5:$E$500,MATCH($B1410&amp;"|"&amp;$L1410,ClientRates!$A$5:$A$500,0)),0))</f>
        <v/>
      </c>
      <c r="O1410" s="26" t="str">
        <f aca="false">IF($D1410="","",F1410*M1410+G1410*N1410)</f>
        <v/>
      </c>
      <c r="P1410" s="26" t="str">
        <f aca="false">IF(OR($D1410="",$J1410&lt;&gt;"Supplier"),"",IFERROR(INDEX(SupplierRates!$D$5:$D$500,MATCH($K1410&amp;"|"&amp;$L1410,SupplierRates!$A$5:$A$500,0)),0))</f>
        <v/>
      </c>
      <c r="Q1410" s="26" t="str">
        <f aca="false">IF(OR($D1410="",$J1410&lt;&gt;"Supplier"),"",IFERROR(INDEX(SupplierRates!$E$5:$E$500,MATCH($K1410&amp;"|"&amp;$L1410,SupplierRates!$A$5:$A$500,0)),0))</f>
        <v/>
      </c>
      <c r="R1410" s="26" t="n">
        <f aca="false">IF(OR($D1410="",$J1410&lt;&gt;"Supplier"),0,F1410*P1410+G1410*Q1410)</f>
        <v>0</v>
      </c>
      <c r="S1410" s="26" t="n">
        <f aca="false">IF(OR($D1410="",$J1410&lt;&gt;"Own"),0,IFERROR((F1410+G1410*Settings!$B$13)*INDEX(Workers!$V$5:$V$2004,MATCH($D1410,Workers!$A$5:$A$2004,0)),0))</f>
        <v>0</v>
      </c>
      <c r="T1410" s="26" t="str">
        <f aca="false">IF($D1410="","",O1410-R1410-S1410)</f>
        <v/>
      </c>
    </row>
    <row r="1411" customFormat="false" ht="15" hidden="false" customHeight="false" outlineLevel="0" collapsed="false">
      <c r="I1411" s="24" t="str">
        <f aca="false">IF($D1411="","",IFERROR(INDEX(Workers!$B$5:$B$2004,MATCH($D1411,Workers!$A$5:$A$2004,0)),"NOT FOUND"))</f>
        <v/>
      </c>
      <c r="J1411" s="24" t="str">
        <f aca="false">IF($D1411="","",IFERROR(INDEX(Workers!$C$5:$C$2004,MATCH($D1411,Workers!$A$5:$A$2004,0)),""))</f>
        <v/>
      </c>
      <c r="K1411" s="24" t="str">
        <f aca="false">IF($D1411="","",IFERROR(IF(INDEX(Workers!$D$5:$D$2004,MATCH($D1411,Workers!$A$5:$A$2004,0))=0,"",INDEX(Workers!$D$5:$D$2004,MATCH($D1411,Workers!$A$5:$A$2004,0))),""))</f>
        <v/>
      </c>
      <c r="L1411" s="24" t="str">
        <f aca="false">IF($D1411="","",IFERROR(INDEX(Workers!$E$5:$E$2004,MATCH($D1411,Workers!$A$5:$A$2004,0)),""))</f>
        <v/>
      </c>
      <c r="M1411" s="26" t="str">
        <f aca="false">IF($D1411="","",IFERROR(INDEX(ClientRates!$D$5:$D$500,MATCH($B1411&amp;"|"&amp;$L1411,ClientRates!$A$5:$A$500,0)),0))</f>
        <v/>
      </c>
      <c r="N1411" s="26" t="str">
        <f aca="false">IF($D1411="","",IFERROR(INDEX(ClientRates!$E$5:$E$500,MATCH($B1411&amp;"|"&amp;$L1411,ClientRates!$A$5:$A$500,0)),0))</f>
        <v/>
      </c>
      <c r="O1411" s="26" t="str">
        <f aca="false">IF($D1411="","",F1411*M1411+G1411*N1411)</f>
        <v/>
      </c>
      <c r="P1411" s="26" t="str">
        <f aca="false">IF(OR($D1411="",$J1411&lt;&gt;"Supplier"),"",IFERROR(INDEX(SupplierRates!$D$5:$D$500,MATCH($K1411&amp;"|"&amp;$L1411,SupplierRates!$A$5:$A$500,0)),0))</f>
        <v/>
      </c>
      <c r="Q1411" s="26" t="str">
        <f aca="false">IF(OR($D1411="",$J1411&lt;&gt;"Supplier"),"",IFERROR(INDEX(SupplierRates!$E$5:$E$500,MATCH($K1411&amp;"|"&amp;$L1411,SupplierRates!$A$5:$A$500,0)),0))</f>
        <v/>
      </c>
      <c r="R1411" s="26" t="n">
        <f aca="false">IF(OR($D1411="",$J1411&lt;&gt;"Supplier"),0,F1411*P1411+G1411*Q1411)</f>
        <v>0</v>
      </c>
      <c r="S1411" s="26" t="n">
        <f aca="false">IF(OR($D1411="",$J1411&lt;&gt;"Own"),0,IFERROR((F1411+G1411*Settings!$B$13)*INDEX(Workers!$V$5:$V$2004,MATCH($D1411,Workers!$A$5:$A$2004,0)),0))</f>
        <v>0</v>
      </c>
      <c r="T1411" s="26" t="str">
        <f aca="false">IF($D1411="","",O1411-R1411-S1411)</f>
        <v/>
      </c>
    </row>
    <row r="1412" customFormat="false" ht="15" hidden="false" customHeight="false" outlineLevel="0" collapsed="false">
      <c r="I1412" s="24" t="str">
        <f aca="false">IF($D1412="","",IFERROR(INDEX(Workers!$B$5:$B$2004,MATCH($D1412,Workers!$A$5:$A$2004,0)),"NOT FOUND"))</f>
        <v/>
      </c>
      <c r="J1412" s="24" t="str">
        <f aca="false">IF($D1412="","",IFERROR(INDEX(Workers!$C$5:$C$2004,MATCH($D1412,Workers!$A$5:$A$2004,0)),""))</f>
        <v/>
      </c>
      <c r="K1412" s="24" t="str">
        <f aca="false">IF($D1412="","",IFERROR(IF(INDEX(Workers!$D$5:$D$2004,MATCH($D1412,Workers!$A$5:$A$2004,0))=0,"",INDEX(Workers!$D$5:$D$2004,MATCH($D1412,Workers!$A$5:$A$2004,0))),""))</f>
        <v/>
      </c>
      <c r="L1412" s="24" t="str">
        <f aca="false">IF($D1412="","",IFERROR(INDEX(Workers!$E$5:$E$2004,MATCH($D1412,Workers!$A$5:$A$2004,0)),""))</f>
        <v/>
      </c>
      <c r="M1412" s="26" t="str">
        <f aca="false">IF($D1412="","",IFERROR(INDEX(ClientRates!$D$5:$D$500,MATCH($B1412&amp;"|"&amp;$L1412,ClientRates!$A$5:$A$500,0)),0))</f>
        <v/>
      </c>
      <c r="N1412" s="26" t="str">
        <f aca="false">IF($D1412="","",IFERROR(INDEX(ClientRates!$E$5:$E$500,MATCH($B1412&amp;"|"&amp;$L1412,ClientRates!$A$5:$A$500,0)),0))</f>
        <v/>
      </c>
      <c r="O1412" s="26" t="str">
        <f aca="false">IF($D1412="","",F1412*M1412+G1412*N1412)</f>
        <v/>
      </c>
      <c r="P1412" s="26" t="str">
        <f aca="false">IF(OR($D1412="",$J1412&lt;&gt;"Supplier"),"",IFERROR(INDEX(SupplierRates!$D$5:$D$500,MATCH($K1412&amp;"|"&amp;$L1412,SupplierRates!$A$5:$A$500,0)),0))</f>
        <v/>
      </c>
      <c r="Q1412" s="26" t="str">
        <f aca="false">IF(OR($D1412="",$J1412&lt;&gt;"Supplier"),"",IFERROR(INDEX(SupplierRates!$E$5:$E$500,MATCH($K1412&amp;"|"&amp;$L1412,SupplierRates!$A$5:$A$500,0)),0))</f>
        <v/>
      </c>
      <c r="R1412" s="26" t="n">
        <f aca="false">IF(OR($D1412="",$J1412&lt;&gt;"Supplier"),0,F1412*P1412+G1412*Q1412)</f>
        <v>0</v>
      </c>
      <c r="S1412" s="26" t="n">
        <f aca="false">IF(OR($D1412="",$J1412&lt;&gt;"Own"),0,IFERROR((F1412+G1412*Settings!$B$13)*INDEX(Workers!$V$5:$V$2004,MATCH($D1412,Workers!$A$5:$A$2004,0)),0))</f>
        <v>0</v>
      </c>
      <c r="T1412" s="26" t="str">
        <f aca="false">IF($D1412="","",O1412-R1412-S1412)</f>
        <v/>
      </c>
    </row>
    <row r="1413" customFormat="false" ht="15" hidden="false" customHeight="false" outlineLevel="0" collapsed="false">
      <c r="I1413" s="24" t="str">
        <f aca="false">IF($D1413="","",IFERROR(INDEX(Workers!$B$5:$B$2004,MATCH($D1413,Workers!$A$5:$A$2004,0)),"NOT FOUND"))</f>
        <v/>
      </c>
      <c r="J1413" s="24" t="str">
        <f aca="false">IF($D1413="","",IFERROR(INDEX(Workers!$C$5:$C$2004,MATCH($D1413,Workers!$A$5:$A$2004,0)),""))</f>
        <v/>
      </c>
      <c r="K1413" s="24" t="str">
        <f aca="false">IF($D1413="","",IFERROR(IF(INDEX(Workers!$D$5:$D$2004,MATCH($D1413,Workers!$A$5:$A$2004,0))=0,"",INDEX(Workers!$D$5:$D$2004,MATCH($D1413,Workers!$A$5:$A$2004,0))),""))</f>
        <v/>
      </c>
      <c r="L1413" s="24" t="str">
        <f aca="false">IF($D1413="","",IFERROR(INDEX(Workers!$E$5:$E$2004,MATCH($D1413,Workers!$A$5:$A$2004,0)),""))</f>
        <v/>
      </c>
      <c r="M1413" s="26" t="str">
        <f aca="false">IF($D1413="","",IFERROR(INDEX(ClientRates!$D$5:$D$500,MATCH($B1413&amp;"|"&amp;$L1413,ClientRates!$A$5:$A$500,0)),0))</f>
        <v/>
      </c>
      <c r="N1413" s="26" t="str">
        <f aca="false">IF($D1413="","",IFERROR(INDEX(ClientRates!$E$5:$E$500,MATCH($B1413&amp;"|"&amp;$L1413,ClientRates!$A$5:$A$500,0)),0))</f>
        <v/>
      </c>
      <c r="O1413" s="26" t="str">
        <f aca="false">IF($D1413="","",F1413*M1413+G1413*N1413)</f>
        <v/>
      </c>
      <c r="P1413" s="26" t="str">
        <f aca="false">IF(OR($D1413="",$J1413&lt;&gt;"Supplier"),"",IFERROR(INDEX(SupplierRates!$D$5:$D$500,MATCH($K1413&amp;"|"&amp;$L1413,SupplierRates!$A$5:$A$500,0)),0))</f>
        <v/>
      </c>
      <c r="Q1413" s="26" t="str">
        <f aca="false">IF(OR($D1413="",$J1413&lt;&gt;"Supplier"),"",IFERROR(INDEX(SupplierRates!$E$5:$E$500,MATCH($K1413&amp;"|"&amp;$L1413,SupplierRates!$A$5:$A$500,0)),0))</f>
        <v/>
      </c>
      <c r="R1413" s="26" t="n">
        <f aca="false">IF(OR($D1413="",$J1413&lt;&gt;"Supplier"),0,F1413*P1413+G1413*Q1413)</f>
        <v>0</v>
      </c>
      <c r="S1413" s="26" t="n">
        <f aca="false">IF(OR($D1413="",$J1413&lt;&gt;"Own"),0,IFERROR((F1413+G1413*Settings!$B$13)*INDEX(Workers!$V$5:$V$2004,MATCH($D1413,Workers!$A$5:$A$2004,0)),0))</f>
        <v>0</v>
      </c>
      <c r="T1413" s="26" t="str">
        <f aca="false">IF($D1413="","",O1413-R1413-S1413)</f>
        <v/>
      </c>
    </row>
    <row r="1414" customFormat="false" ht="15" hidden="false" customHeight="false" outlineLevel="0" collapsed="false">
      <c r="I1414" s="24" t="str">
        <f aca="false">IF($D1414="","",IFERROR(INDEX(Workers!$B$5:$B$2004,MATCH($D1414,Workers!$A$5:$A$2004,0)),"NOT FOUND"))</f>
        <v/>
      </c>
      <c r="J1414" s="24" t="str">
        <f aca="false">IF($D1414="","",IFERROR(INDEX(Workers!$C$5:$C$2004,MATCH($D1414,Workers!$A$5:$A$2004,0)),""))</f>
        <v/>
      </c>
      <c r="K1414" s="24" t="str">
        <f aca="false">IF($D1414="","",IFERROR(IF(INDEX(Workers!$D$5:$D$2004,MATCH($D1414,Workers!$A$5:$A$2004,0))=0,"",INDEX(Workers!$D$5:$D$2004,MATCH($D1414,Workers!$A$5:$A$2004,0))),""))</f>
        <v/>
      </c>
      <c r="L1414" s="24" t="str">
        <f aca="false">IF($D1414="","",IFERROR(INDEX(Workers!$E$5:$E$2004,MATCH($D1414,Workers!$A$5:$A$2004,0)),""))</f>
        <v/>
      </c>
      <c r="M1414" s="26" t="str">
        <f aca="false">IF($D1414="","",IFERROR(INDEX(ClientRates!$D$5:$D$500,MATCH($B1414&amp;"|"&amp;$L1414,ClientRates!$A$5:$A$500,0)),0))</f>
        <v/>
      </c>
      <c r="N1414" s="26" t="str">
        <f aca="false">IF($D1414="","",IFERROR(INDEX(ClientRates!$E$5:$E$500,MATCH($B1414&amp;"|"&amp;$L1414,ClientRates!$A$5:$A$500,0)),0))</f>
        <v/>
      </c>
      <c r="O1414" s="26" t="str">
        <f aca="false">IF($D1414="","",F1414*M1414+G1414*N1414)</f>
        <v/>
      </c>
      <c r="P1414" s="26" t="str">
        <f aca="false">IF(OR($D1414="",$J1414&lt;&gt;"Supplier"),"",IFERROR(INDEX(SupplierRates!$D$5:$D$500,MATCH($K1414&amp;"|"&amp;$L1414,SupplierRates!$A$5:$A$500,0)),0))</f>
        <v/>
      </c>
      <c r="Q1414" s="26" t="str">
        <f aca="false">IF(OR($D1414="",$J1414&lt;&gt;"Supplier"),"",IFERROR(INDEX(SupplierRates!$E$5:$E$500,MATCH($K1414&amp;"|"&amp;$L1414,SupplierRates!$A$5:$A$500,0)),0))</f>
        <v/>
      </c>
      <c r="R1414" s="26" t="n">
        <f aca="false">IF(OR($D1414="",$J1414&lt;&gt;"Supplier"),0,F1414*P1414+G1414*Q1414)</f>
        <v>0</v>
      </c>
      <c r="S1414" s="26" t="n">
        <f aca="false">IF(OR($D1414="",$J1414&lt;&gt;"Own"),0,IFERROR((F1414+G1414*Settings!$B$13)*INDEX(Workers!$V$5:$V$2004,MATCH($D1414,Workers!$A$5:$A$2004,0)),0))</f>
        <v>0</v>
      </c>
      <c r="T1414" s="26" t="str">
        <f aca="false">IF($D1414="","",O1414-R1414-S1414)</f>
        <v/>
      </c>
    </row>
    <row r="1415" customFormat="false" ht="15" hidden="false" customHeight="false" outlineLevel="0" collapsed="false">
      <c r="I1415" s="24" t="str">
        <f aca="false">IF($D1415="","",IFERROR(INDEX(Workers!$B$5:$B$2004,MATCH($D1415,Workers!$A$5:$A$2004,0)),"NOT FOUND"))</f>
        <v/>
      </c>
      <c r="J1415" s="24" t="str">
        <f aca="false">IF($D1415="","",IFERROR(INDEX(Workers!$C$5:$C$2004,MATCH($D1415,Workers!$A$5:$A$2004,0)),""))</f>
        <v/>
      </c>
      <c r="K1415" s="24" t="str">
        <f aca="false">IF($D1415="","",IFERROR(IF(INDEX(Workers!$D$5:$D$2004,MATCH($D1415,Workers!$A$5:$A$2004,0))=0,"",INDEX(Workers!$D$5:$D$2004,MATCH($D1415,Workers!$A$5:$A$2004,0))),""))</f>
        <v/>
      </c>
      <c r="L1415" s="24" t="str">
        <f aca="false">IF($D1415="","",IFERROR(INDEX(Workers!$E$5:$E$2004,MATCH($D1415,Workers!$A$5:$A$2004,0)),""))</f>
        <v/>
      </c>
      <c r="M1415" s="26" t="str">
        <f aca="false">IF($D1415="","",IFERROR(INDEX(ClientRates!$D$5:$D$500,MATCH($B1415&amp;"|"&amp;$L1415,ClientRates!$A$5:$A$500,0)),0))</f>
        <v/>
      </c>
      <c r="N1415" s="26" t="str">
        <f aca="false">IF($D1415="","",IFERROR(INDEX(ClientRates!$E$5:$E$500,MATCH($B1415&amp;"|"&amp;$L1415,ClientRates!$A$5:$A$500,0)),0))</f>
        <v/>
      </c>
      <c r="O1415" s="26" t="str">
        <f aca="false">IF($D1415="","",F1415*M1415+G1415*N1415)</f>
        <v/>
      </c>
      <c r="P1415" s="26" t="str">
        <f aca="false">IF(OR($D1415="",$J1415&lt;&gt;"Supplier"),"",IFERROR(INDEX(SupplierRates!$D$5:$D$500,MATCH($K1415&amp;"|"&amp;$L1415,SupplierRates!$A$5:$A$500,0)),0))</f>
        <v/>
      </c>
      <c r="Q1415" s="26" t="str">
        <f aca="false">IF(OR($D1415="",$J1415&lt;&gt;"Supplier"),"",IFERROR(INDEX(SupplierRates!$E$5:$E$500,MATCH($K1415&amp;"|"&amp;$L1415,SupplierRates!$A$5:$A$500,0)),0))</f>
        <v/>
      </c>
      <c r="R1415" s="26" t="n">
        <f aca="false">IF(OR($D1415="",$J1415&lt;&gt;"Supplier"),0,F1415*P1415+G1415*Q1415)</f>
        <v>0</v>
      </c>
      <c r="S1415" s="26" t="n">
        <f aca="false">IF(OR($D1415="",$J1415&lt;&gt;"Own"),0,IFERROR((F1415+G1415*Settings!$B$13)*INDEX(Workers!$V$5:$V$2004,MATCH($D1415,Workers!$A$5:$A$2004,0)),0))</f>
        <v>0</v>
      </c>
      <c r="T1415" s="26" t="str">
        <f aca="false">IF($D1415="","",O1415-R1415-S1415)</f>
        <v/>
      </c>
    </row>
    <row r="1416" customFormat="false" ht="15" hidden="false" customHeight="false" outlineLevel="0" collapsed="false">
      <c r="I1416" s="24" t="str">
        <f aca="false">IF($D1416="","",IFERROR(INDEX(Workers!$B$5:$B$2004,MATCH($D1416,Workers!$A$5:$A$2004,0)),"NOT FOUND"))</f>
        <v/>
      </c>
      <c r="J1416" s="24" t="str">
        <f aca="false">IF($D1416="","",IFERROR(INDEX(Workers!$C$5:$C$2004,MATCH($D1416,Workers!$A$5:$A$2004,0)),""))</f>
        <v/>
      </c>
      <c r="K1416" s="24" t="str">
        <f aca="false">IF($D1416="","",IFERROR(IF(INDEX(Workers!$D$5:$D$2004,MATCH($D1416,Workers!$A$5:$A$2004,0))=0,"",INDEX(Workers!$D$5:$D$2004,MATCH($D1416,Workers!$A$5:$A$2004,0))),""))</f>
        <v/>
      </c>
      <c r="L1416" s="24" t="str">
        <f aca="false">IF($D1416="","",IFERROR(INDEX(Workers!$E$5:$E$2004,MATCH($D1416,Workers!$A$5:$A$2004,0)),""))</f>
        <v/>
      </c>
      <c r="M1416" s="26" t="str">
        <f aca="false">IF($D1416="","",IFERROR(INDEX(ClientRates!$D$5:$D$500,MATCH($B1416&amp;"|"&amp;$L1416,ClientRates!$A$5:$A$500,0)),0))</f>
        <v/>
      </c>
      <c r="N1416" s="26" t="str">
        <f aca="false">IF($D1416="","",IFERROR(INDEX(ClientRates!$E$5:$E$500,MATCH($B1416&amp;"|"&amp;$L1416,ClientRates!$A$5:$A$500,0)),0))</f>
        <v/>
      </c>
      <c r="O1416" s="26" t="str">
        <f aca="false">IF($D1416="","",F1416*M1416+G1416*N1416)</f>
        <v/>
      </c>
      <c r="P1416" s="26" t="str">
        <f aca="false">IF(OR($D1416="",$J1416&lt;&gt;"Supplier"),"",IFERROR(INDEX(SupplierRates!$D$5:$D$500,MATCH($K1416&amp;"|"&amp;$L1416,SupplierRates!$A$5:$A$500,0)),0))</f>
        <v/>
      </c>
      <c r="Q1416" s="26" t="str">
        <f aca="false">IF(OR($D1416="",$J1416&lt;&gt;"Supplier"),"",IFERROR(INDEX(SupplierRates!$E$5:$E$500,MATCH($K1416&amp;"|"&amp;$L1416,SupplierRates!$A$5:$A$500,0)),0))</f>
        <v/>
      </c>
      <c r="R1416" s="26" t="n">
        <f aca="false">IF(OR($D1416="",$J1416&lt;&gt;"Supplier"),0,F1416*P1416+G1416*Q1416)</f>
        <v>0</v>
      </c>
      <c r="S1416" s="26" t="n">
        <f aca="false">IF(OR($D1416="",$J1416&lt;&gt;"Own"),0,IFERROR((F1416+G1416*Settings!$B$13)*INDEX(Workers!$V$5:$V$2004,MATCH($D1416,Workers!$A$5:$A$2004,0)),0))</f>
        <v>0</v>
      </c>
      <c r="T1416" s="26" t="str">
        <f aca="false">IF($D1416="","",O1416-R1416-S1416)</f>
        <v/>
      </c>
    </row>
    <row r="1417" customFormat="false" ht="15" hidden="false" customHeight="false" outlineLevel="0" collapsed="false">
      <c r="I1417" s="24" t="str">
        <f aca="false">IF($D1417="","",IFERROR(INDEX(Workers!$B$5:$B$2004,MATCH($D1417,Workers!$A$5:$A$2004,0)),"NOT FOUND"))</f>
        <v/>
      </c>
      <c r="J1417" s="24" t="str">
        <f aca="false">IF($D1417="","",IFERROR(INDEX(Workers!$C$5:$C$2004,MATCH($D1417,Workers!$A$5:$A$2004,0)),""))</f>
        <v/>
      </c>
      <c r="K1417" s="24" t="str">
        <f aca="false">IF($D1417="","",IFERROR(IF(INDEX(Workers!$D$5:$D$2004,MATCH($D1417,Workers!$A$5:$A$2004,0))=0,"",INDEX(Workers!$D$5:$D$2004,MATCH($D1417,Workers!$A$5:$A$2004,0))),""))</f>
        <v/>
      </c>
      <c r="L1417" s="24" t="str">
        <f aca="false">IF($D1417="","",IFERROR(INDEX(Workers!$E$5:$E$2004,MATCH($D1417,Workers!$A$5:$A$2004,0)),""))</f>
        <v/>
      </c>
      <c r="M1417" s="26" t="str">
        <f aca="false">IF($D1417="","",IFERROR(INDEX(ClientRates!$D$5:$D$500,MATCH($B1417&amp;"|"&amp;$L1417,ClientRates!$A$5:$A$500,0)),0))</f>
        <v/>
      </c>
      <c r="N1417" s="26" t="str">
        <f aca="false">IF($D1417="","",IFERROR(INDEX(ClientRates!$E$5:$E$500,MATCH($B1417&amp;"|"&amp;$L1417,ClientRates!$A$5:$A$500,0)),0))</f>
        <v/>
      </c>
      <c r="O1417" s="26" t="str">
        <f aca="false">IF($D1417="","",F1417*M1417+G1417*N1417)</f>
        <v/>
      </c>
      <c r="P1417" s="26" t="str">
        <f aca="false">IF(OR($D1417="",$J1417&lt;&gt;"Supplier"),"",IFERROR(INDEX(SupplierRates!$D$5:$D$500,MATCH($K1417&amp;"|"&amp;$L1417,SupplierRates!$A$5:$A$500,0)),0))</f>
        <v/>
      </c>
      <c r="Q1417" s="26" t="str">
        <f aca="false">IF(OR($D1417="",$J1417&lt;&gt;"Supplier"),"",IFERROR(INDEX(SupplierRates!$E$5:$E$500,MATCH($K1417&amp;"|"&amp;$L1417,SupplierRates!$A$5:$A$500,0)),0))</f>
        <v/>
      </c>
      <c r="R1417" s="26" t="n">
        <f aca="false">IF(OR($D1417="",$J1417&lt;&gt;"Supplier"),0,F1417*P1417+G1417*Q1417)</f>
        <v>0</v>
      </c>
      <c r="S1417" s="26" t="n">
        <f aca="false">IF(OR($D1417="",$J1417&lt;&gt;"Own"),0,IFERROR((F1417+G1417*Settings!$B$13)*INDEX(Workers!$V$5:$V$2004,MATCH($D1417,Workers!$A$5:$A$2004,0)),0))</f>
        <v>0</v>
      </c>
      <c r="T1417" s="26" t="str">
        <f aca="false">IF($D1417="","",O1417-R1417-S1417)</f>
        <v/>
      </c>
    </row>
    <row r="1418" customFormat="false" ht="15" hidden="false" customHeight="false" outlineLevel="0" collapsed="false">
      <c r="I1418" s="24" t="str">
        <f aca="false">IF($D1418="","",IFERROR(INDEX(Workers!$B$5:$B$2004,MATCH($D1418,Workers!$A$5:$A$2004,0)),"NOT FOUND"))</f>
        <v/>
      </c>
      <c r="J1418" s="24" t="str">
        <f aca="false">IF($D1418="","",IFERROR(INDEX(Workers!$C$5:$C$2004,MATCH($D1418,Workers!$A$5:$A$2004,0)),""))</f>
        <v/>
      </c>
      <c r="K1418" s="24" t="str">
        <f aca="false">IF($D1418="","",IFERROR(IF(INDEX(Workers!$D$5:$D$2004,MATCH($D1418,Workers!$A$5:$A$2004,0))=0,"",INDEX(Workers!$D$5:$D$2004,MATCH($D1418,Workers!$A$5:$A$2004,0))),""))</f>
        <v/>
      </c>
      <c r="L1418" s="24" t="str">
        <f aca="false">IF($D1418="","",IFERROR(INDEX(Workers!$E$5:$E$2004,MATCH($D1418,Workers!$A$5:$A$2004,0)),""))</f>
        <v/>
      </c>
      <c r="M1418" s="26" t="str">
        <f aca="false">IF($D1418="","",IFERROR(INDEX(ClientRates!$D$5:$D$500,MATCH($B1418&amp;"|"&amp;$L1418,ClientRates!$A$5:$A$500,0)),0))</f>
        <v/>
      </c>
      <c r="N1418" s="26" t="str">
        <f aca="false">IF($D1418="","",IFERROR(INDEX(ClientRates!$E$5:$E$500,MATCH($B1418&amp;"|"&amp;$L1418,ClientRates!$A$5:$A$500,0)),0))</f>
        <v/>
      </c>
      <c r="O1418" s="26" t="str">
        <f aca="false">IF($D1418="","",F1418*M1418+G1418*N1418)</f>
        <v/>
      </c>
      <c r="P1418" s="26" t="str">
        <f aca="false">IF(OR($D1418="",$J1418&lt;&gt;"Supplier"),"",IFERROR(INDEX(SupplierRates!$D$5:$D$500,MATCH($K1418&amp;"|"&amp;$L1418,SupplierRates!$A$5:$A$500,0)),0))</f>
        <v/>
      </c>
      <c r="Q1418" s="26" t="str">
        <f aca="false">IF(OR($D1418="",$J1418&lt;&gt;"Supplier"),"",IFERROR(INDEX(SupplierRates!$E$5:$E$500,MATCH($K1418&amp;"|"&amp;$L1418,SupplierRates!$A$5:$A$500,0)),0))</f>
        <v/>
      </c>
      <c r="R1418" s="26" t="n">
        <f aca="false">IF(OR($D1418="",$J1418&lt;&gt;"Supplier"),0,F1418*P1418+G1418*Q1418)</f>
        <v>0</v>
      </c>
      <c r="S1418" s="26" t="n">
        <f aca="false">IF(OR($D1418="",$J1418&lt;&gt;"Own"),0,IFERROR((F1418+G1418*Settings!$B$13)*INDEX(Workers!$V$5:$V$2004,MATCH($D1418,Workers!$A$5:$A$2004,0)),0))</f>
        <v>0</v>
      </c>
      <c r="T1418" s="26" t="str">
        <f aca="false">IF($D1418="","",O1418-R1418-S1418)</f>
        <v/>
      </c>
    </row>
    <row r="1419" customFormat="false" ht="15" hidden="false" customHeight="false" outlineLevel="0" collapsed="false">
      <c r="I1419" s="24" t="str">
        <f aca="false">IF($D1419="","",IFERROR(INDEX(Workers!$B$5:$B$2004,MATCH($D1419,Workers!$A$5:$A$2004,0)),"NOT FOUND"))</f>
        <v/>
      </c>
      <c r="J1419" s="24" t="str">
        <f aca="false">IF($D1419="","",IFERROR(INDEX(Workers!$C$5:$C$2004,MATCH($D1419,Workers!$A$5:$A$2004,0)),""))</f>
        <v/>
      </c>
      <c r="K1419" s="24" t="str">
        <f aca="false">IF($D1419="","",IFERROR(IF(INDEX(Workers!$D$5:$D$2004,MATCH($D1419,Workers!$A$5:$A$2004,0))=0,"",INDEX(Workers!$D$5:$D$2004,MATCH($D1419,Workers!$A$5:$A$2004,0))),""))</f>
        <v/>
      </c>
      <c r="L1419" s="24" t="str">
        <f aca="false">IF($D1419="","",IFERROR(INDEX(Workers!$E$5:$E$2004,MATCH($D1419,Workers!$A$5:$A$2004,0)),""))</f>
        <v/>
      </c>
      <c r="M1419" s="26" t="str">
        <f aca="false">IF($D1419="","",IFERROR(INDEX(ClientRates!$D$5:$D$500,MATCH($B1419&amp;"|"&amp;$L1419,ClientRates!$A$5:$A$500,0)),0))</f>
        <v/>
      </c>
      <c r="N1419" s="26" t="str">
        <f aca="false">IF($D1419="","",IFERROR(INDEX(ClientRates!$E$5:$E$500,MATCH($B1419&amp;"|"&amp;$L1419,ClientRates!$A$5:$A$500,0)),0))</f>
        <v/>
      </c>
      <c r="O1419" s="26" t="str">
        <f aca="false">IF($D1419="","",F1419*M1419+G1419*N1419)</f>
        <v/>
      </c>
      <c r="P1419" s="26" t="str">
        <f aca="false">IF(OR($D1419="",$J1419&lt;&gt;"Supplier"),"",IFERROR(INDEX(SupplierRates!$D$5:$D$500,MATCH($K1419&amp;"|"&amp;$L1419,SupplierRates!$A$5:$A$500,0)),0))</f>
        <v/>
      </c>
      <c r="Q1419" s="26" t="str">
        <f aca="false">IF(OR($D1419="",$J1419&lt;&gt;"Supplier"),"",IFERROR(INDEX(SupplierRates!$E$5:$E$500,MATCH($K1419&amp;"|"&amp;$L1419,SupplierRates!$A$5:$A$500,0)),0))</f>
        <v/>
      </c>
      <c r="R1419" s="26" t="n">
        <f aca="false">IF(OR($D1419="",$J1419&lt;&gt;"Supplier"),0,F1419*P1419+G1419*Q1419)</f>
        <v>0</v>
      </c>
      <c r="S1419" s="26" t="n">
        <f aca="false">IF(OR($D1419="",$J1419&lt;&gt;"Own"),0,IFERROR((F1419+G1419*Settings!$B$13)*INDEX(Workers!$V$5:$V$2004,MATCH($D1419,Workers!$A$5:$A$2004,0)),0))</f>
        <v>0</v>
      </c>
      <c r="T1419" s="26" t="str">
        <f aca="false">IF($D1419="","",O1419-R1419-S1419)</f>
        <v/>
      </c>
    </row>
    <row r="1420" customFormat="false" ht="15" hidden="false" customHeight="false" outlineLevel="0" collapsed="false">
      <c r="I1420" s="24" t="str">
        <f aca="false">IF($D1420="","",IFERROR(INDEX(Workers!$B$5:$B$2004,MATCH($D1420,Workers!$A$5:$A$2004,0)),"NOT FOUND"))</f>
        <v/>
      </c>
      <c r="J1420" s="24" t="str">
        <f aca="false">IF($D1420="","",IFERROR(INDEX(Workers!$C$5:$C$2004,MATCH($D1420,Workers!$A$5:$A$2004,0)),""))</f>
        <v/>
      </c>
      <c r="K1420" s="24" t="str">
        <f aca="false">IF($D1420="","",IFERROR(IF(INDEX(Workers!$D$5:$D$2004,MATCH($D1420,Workers!$A$5:$A$2004,0))=0,"",INDEX(Workers!$D$5:$D$2004,MATCH($D1420,Workers!$A$5:$A$2004,0))),""))</f>
        <v/>
      </c>
      <c r="L1420" s="24" t="str">
        <f aca="false">IF($D1420="","",IFERROR(INDEX(Workers!$E$5:$E$2004,MATCH($D1420,Workers!$A$5:$A$2004,0)),""))</f>
        <v/>
      </c>
      <c r="M1420" s="26" t="str">
        <f aca="false">IF($D1420="","",IFERROR(INDEX(ClientRates!$D$5:$D$500,MATCH($B1420&amp;"|"&amp;$L1420,ClientRates!$A$5:$A$500,0)),0))</f>
        <v/>
      </c>
      <c r="N1420" s="26" t="str">
        <f aca="false">IF($D1420="","",IFERROR(INDEX(ClientRates!$E$5:$E$500,MATCH($B1420&amp;"|"&amp;$L1420,ClientRates!$A$5:$A$500,0)),0))</f>
        <v/>
      </c>
      <c r="O1420" s="26" t="str">
        <f aca="false">IF($D1420="","",F1420*M1420+G1420*N1420)</f>
        <v/>
      </c>
      <c r="P1420" s="26" t="str">
        <f aca="false">IF(OR($D1420="",$J1420&lt;&gt;"Supplier"),"",IFERROR(INDEX(SupplierRates!$D$5:$D$500,MATCH($K1420&amp;"|"&amp;$L1420,SupplierRates!$A$5:$A$500,0)),0))</f>
        <v/>
      </c>
      <c r="Q1420" s="26" t="str">
        <f aca="false">IF(OR($D1420="",$J1420&lt;&gt;"Supplier"),"",IFERROR(INDEX(SupplierRates!$E$5:$E$500,MATCH($K1420&amp;"|"&amp;$L1420,SupplierRates!$A$5:$A$500,0)),0))</f>
        <v/>
      </c>
      <c r="R1420" s="26" t="n">
        <f aca="false">IF(OR($D1420="",$J1420&lt;&gt;"Supplier"),0,F1420*P1420+G1420*Q1420)</f>
        <v>0</v>
      </c>
      <c r="S1420" s="26" t="n">
        <f aca="false">IF(OR($D1420="",$J1420&lt;&gt;"Own"),0,IFERROR((F1420+G1420*Settings!$B$13)*INDEX(Workers!$V$5:$V$2004,MATCH($D1420,Workers!$A$5:$A$2004,0)),0))</f>
        <v>0</v>
      </c>
      <c r="T1420" s="26" t="str">
        <f aca="false">IF($D1420="","",O1420-R1420-S1420)</f>
        <v/>
      </c>
    </row>
    <row r="1421" customFormat="false" ht="15" hidden="false" customHeight="false" outlineLevel="0" collapsed="false">
      <c r="I1421" s="24" t="str">
        <f aca="false">IF($D1421="","",IFERROR(INDEX(Workers!$B$5:$B$2004,MATCH($D1421,Workers!$A$5:$A$2004,0)),"NOT FOUND"))</f>
        <v/>
      </c>
      <c r="J1421" s="24" t="str">
        <f aca="false">IF($D1421="","",IFERROR(INDEX(Workers!$C$5:$C$2004,MATCH($D1421,Workers!$A$5:$A$2004,0)),""))</f>
        <v/>
      </c>
      <c r="K1421" s="24" t="str">
        <f aca="false">IF($D1421="","",IFERROR(IF(INDEX(Workers!$D$5:$D$2004,MATCH($D1421,Workers!$A$5:$A$2004,0))=0,"",INDEX(Workers!$D$5:$D$2004,MATCH($D1421,Workers!$A$5:$A$2004,0))),""))</f>
        <v/>
      </c>
      <c r="L1421" s="24" t="str">
        <f aca="false">IF($D1421="","",IFERROR(INDEX(Workers!$E$5:$E$2004,MATCH($D1421,Workers!$A$5:$A$2004,0)),""))</f>
        <v/>
      </c>
      <c r="M1421" s="26" t="str">
        <f aca="false">IF($D1421="","",IFERROR(INDEX(ClientRates!$D$5:$D$500,MATCH($B1421&amp;"|"&amp;$L1421,ClientRates!$A$5:$A$500,0)),0))</f>
        <v/>
      </c>
      <c r="N1421" s="26" t="str">
        <f aca="false">IF($D1421="","",IFERROR(INDEX(ClientRates!$E$5:$E$500,MATCH($B1421&amp;"|"&amp;$L1421,ClientRates!$A$5:$A$500,0)),0))</f>
        <v/>
      </c>
      <c r="O1421" s="26" t="str">
        <f aca="false">IF($D1421="","",F1421*M1421+G1421*N1421)</f>
        <v/>
      </c>
      <c r="P1421" s="26" t="str">
        <f aca="false">IF(OR($D1421="",$J1421&lt;&gt;"Supplier"),"",IFERROR(INDEX(SupplierRates!$D$5:$D$500,MATCH($K1421&amp;"|"&amp;$L1421,SupplierRates!$A$5:$A$500,0)),0))</f>
        <v/>
      </c>
      <c r="Q1421" s="26" t="str">
        <f aca="false">IF(OR($D1421="",$J1421&lt;&gt;"Supplier"),"",IFERROR(INDEX(SupplierRates!$E$5:$E$500,MATCH($K1421&amp;"|"&amp;$L1421,SupplierRates!$A$5:$A$500,0)),0))</f>
        <v/>
      </c>
      <c r="R1421" s="26" t="n">
        <f aca="false">IF(OR($D1421="",$J1421&lt;&gt;"Supplier"),0,F1421*P1421+G1421*Q1421)</f>
        <v>0</v>
      </c>
      <c r="S1421" s="26" t="n">
        <f aca="false">IF(OR($D1421="",$J1421&lt;&gt;"Own"),0,IFERROR((F1421+G1421*Settings!$B$13)*INDEX(Workers!$V$5:$V$2004,MATCH($D1421,Workers!$A$5:$A$2004,0)),0))</f>
        <v>0</v>
      </c>
      <c r="T1421" s="26" t="str">
        <f aca="false">IF($D1421="","",O1421-R1421-S1421)</f>
        <v/>
      </c>
    </row>
    <row r="1422" customFormat="false" ht="15" hidden="false" customHeight="false" outlineLevel="0" collapsed="false">
      <c r="I1422" s="24" t="str">
        <f aca="false">IF($D1422="","",IFERROR(INDEX(Workers!$B$5:$B$2004,MATCH($D1422,Workers!$A$5:$A$2004,0)),"NOT FOUND"))</f>
        <v/>
      </c>
      <c r="J1422" s="24" t="str">
        <f aca="false">IF($D1422="","",IFERROR(INDEX(Workers!$C$5:$C$2004,MATCH($D1422,Workers!$A$5:$A$2004,0)),""))</f>
        <v/>
      </c>
      <c r="K1422" s="24" t="str">
        <f aca="false">IF($D1422="","",IFERROR(IF(INDEX(Workers!$D$5:$D$2004,MATCH($D1422,Workers!$A$5:$A$2004,0))=0,"",INDEX(Workers!$D$5:$D$2004,MATCH($D1422,Workers!$A$5:$A$2004,0))),""))</f>
        <v/>
      </c>
      <c r="L1422" s="24" t="str">
        <f aca="false">IF($D1422="","",IFERROR(INDEX(Workers!$E$5:$E$2004,MATCH($D1422,Workers!$A$5:$A$2004,0)),""))</f>
        <v/>
      </c>
      <c r="M1422" s="26" t="str">
        <f aca="false">IF($D1422="","",IFERROR(INDEX(ClientRates!$D$5:$D$500,MATCH($B1422&amp;"|"&amp;$L1422,ClientRates!$A$5:$A$500,0)),0))</f>
        <v/>
      </c>
      <c r="N1422" s="26" t="str">
        <f aca="false">IF($D1422="","",IFERROR(INDEX(ClientRates!$E$5:$E$500,MATCH($B1422&amp;"|"&amp;$L1422,ClientRates!$A$5:$A$500,0)),0))</f>
        <v/>
      </c>
      <c r="O1422" s="26" t="str">
        <f aca="false">IF($D1422="","",F1422*M1422+G1422*N1422)</f>
        <v/>
      </c>
      <c r="P1422" s="26" t="str">
        <f aca="false">IF(OR($D1422="",$J1422&lt;&gt;"Supplier"),"",IFERROR(INDEX(SupplierRates!$D$5:$D$500,MATCH($K1422&amp;"|"&amp;$L1422,SupplierRates!$A$5:$A$500,0)),0))</f>
        <v/>
      </c>
      <c r="Q1422" s="26" t="str">
        <f aca="false">IF(OR($D1422="",$J1422&lt;&gt;"Supplier"),"",IFERROR(INDEX(SupplierRates!$E$5:$E$500,MATCH($K1422&amp;"|"&amp;$L1422,SupplierRates!$A$5:$A$500,0)),0))</f>
        <v/>
      </c>
      <c r="R1422" s="26" t="n">
        <f aca="false">IF(OR($D1422="",$J1422&lt;&gt;"Supplier"),0,F1422*P1422+G1422*Q1422)</f>
        <v>0</v>
      </c>
      <c r="S1422" s="26" t="n">
        <f aca="false">IF(OR($D1422="",$J1422&lt;&gt;"Own"),0,IFERROR((F1422+G1422*Settings!$B$13)*INDEX(Workers!$V$5:$V$2004,MATCH($D1422,Workers!$A$5:$A$2004,0)),0))</f>
        <v>0</v>
      </c>
      <c r="T1422" s="26" t="str">
        <f aca="false">IF($D1422="","",O1422-R1422-S1422)</f>
        <v/>
      </c>
    </row>
    <row r="1423" customFormat="false" ht="15" hidden="false" customHeight="false" outlineLevel="0" collapsed="false">
      <c r="I1423" s="24" t="str">
        <f aca="false">IF($D1423="","",IFERROR(INDEX(Workers!$B$5:$B$2004,MATCH($D1423,Workers!$A$5:$A$2004,0)),"NOT FOUND"))</f>
        <v/>
      </c>
      <c r="J1423" s="24" t="str">
        <f aca="false">IF($D1423="","",IFERROR(INDEX(Workers!$C$5:$C$2004,MATCH($D1423,Workers!$A$5:$A$2004,0)),""))</f>
        <v/>
      </c>
      <c r="K1423" s="24" t="str">
        <f aca="false">IF($D1423="","",IFERROR(IF(INDEX(Workers!$D$5:$D$2004,MATCH($D1423,Workers!$A$5:$A$2004,0))=0,"",INDEX(Workers!$D$5:$D$2004,MATCH($D1423,Workers!$A$5:$A$2004,0))),""))</f>
        <v/>
      </c>
      <c r="L1423" s="24" t="str">
        <f aca="false">IF($D1423="","",IFERROR(INDEX(Workers!$E$5:$E$2004,MATCH($D1423,Workers!$A$5:$A$2004,0)),""))</f>
        <v/>
      </c>
      <c r="M1423" s="26" t="str">
        <f aca="false">IF($D1423="","",IFERROR(INDEX(ClientRates!$D$5:$D$500,MATCH($B1423&amp;"|"&amp;$L1423,ClientRates!$A$5:$A$500,0)),0))</f>
        <v/>
      </c>
      <c r="N1423" s="26" t="str">
        <f aca="false">IF($D1423="","",IFERROR(INDEX(ClientRates!$E$5:$E$500,MATCH($B1423&amp;"|"&amp;$L1423,ClientRates!$A$5:$A$500,0)),0))</f>
        <v/>
      </c>
      <c r="O1423" s="26" t="str">
        <f aca="false">IF($D1423="","",F1423*M1423+G1423*N1423)</f>
        <v/>
      </c>
      <c r="P1423" s="26" t="str">
        <f aca="false">IF(OR($D1423="",$J1423&lt;&gt;"Supplier"),"",IFERROR(INDEX(SupplierRates!$D$5:$D$500,MATCH($K1423&amp;"|"&amp;$L1423,SupplierRates!$A$5:$A$500,0)),0))</f>
        <v/>
      </c>
      <c r="Q1423" s="26" t="str">
        <f aca="false">IF(OR($D1423="",$J1423&lt;&gt;"Supplier"),"",IFERROR(INDEX(SupplierRates!$E$5:$E$500,MATCH($K1423&amp;"|"&amp;$L1423,SupplierRates!$A$5:$A$500,0)),0))</f>
        <v/>
      </c>
      <c r="R1423" s="26" t="n">
        <f aca="false">IF(OR($D1423="",$J1423&lt;&gt;"Supplier"),0,F1423*P1423+G1423*Q1423)</f>
        <v>0</v>
      </c>
      <c r="S1423" s="26" t="n">
        <f aca="false">IF(OR($D1423="",$J1423&lt;&gt;"Own"),0,IFERROR((F1423+G1423*Settings!$B$13)*INDEX(Workers!$V$5:$V$2004,MATCH($D1423,Workers!$A$5:$A$2004,0)),0))</f>
        <v>0</v>
      </c>
      <c r="T1423" s="26" t="str">
        <f aca="false">IF($D1423="","",O1423-R1423-S1423)</f>
        <v/>
      </c>
    </row>
    <row r="1424" customFormat="false" ht="15" hidden="false" customHeight="false" outlineLevel="0" collapsed="false">
      <c r="I1424" s="24" t="str">
        <f aca="false">IF($D1424="","",IFERROR(INDEX(Workers!$B$5:$B$2004,MATCH($D1424,Workers!$A$5:$A$2004,0)),"NOT FOUND"))</f>
        <v/>
      </c>
      <c r="J1424" s="24" t="str">
        <f aca="false">IF($D1424="","",IFERROR(INDEX(Workers!$C$5:$C$2004,MATCH($D1424,Workers!$A$5:$A$2004,0)),""))</f>
        <v/>
      </c>
      <c r="K1424" s="24" t="str">
        <f aca="false">IF($D1424="","",IFERROR(IF(INDEX(Workers!$D$5:$D$2004,MATCH($D1424,Workers!$A$5:$A$2004,0))=0,"",INDEX(Workers!$D$5:$D$2004,MATCH($D1424,Workers!$A$5:$A$2004,0))),""))</f>
        <v/>
      </c>
      <c r="L1424" s="24" t="str">
        <f aca="false">IF($D1424="","",IFERROR(INDEX(Workers!$E$5:$E$2004,MATCH($D1424,Workers!$A$5:$A$2004,0)),""))</f>
        <v/>
      </c>
      <c r="M1424" s="26" t="str">
        <f aca="false">IF($D1424="","",IFERROR(INDEX(ClientRates!$D$5:$D$500,MATCH($B1424&amp;"|"&amp;$L1424,ClientRates!$A$5:$A$500,0)),0))</f>
        <v/>
      </c>
      <c r="N1424" s="26" t="str">
        <f aca="false">IF($D1424="","",IFERROR(INDEX(ClientRates!$E$5:$E$500,MATCH($B1424&amp;"|"&amp;$L1424,ClientRates!$A$5:$A$500,0)),0))</f>
        <v/>
      </c>
      <c r="O1424" s="26" t="str">
        <f aca="false">IF($D1424="","",F1424*M1424+G1424*N1424)</f>
        <v/>
      </c>
      <c r="P1424" s="26" t="str">
        <f aca="false">IF(OR($D1424="",$J1424&lt;&gt;"Supplier"),"",IFERROR(INDEX(SupplierRates!$D$5:$D$500,MATCH($K1424&amp;"|"&amp;$L1424,SupplierRates!$A$5:$A$500,0)),0))</f>
        <v/>
      </c>
      <c r="Q1424" s="26" t="str">
        <f aca="false">IF(OR($D1424="",$J1424&lt;&gt;"Supplier"),"",IFERROR(INDEX(SupplierRates!$E$5:$E$500,MATCH($K1424&amp;"|"&amp;$L1424,SupplierRates!$A$5:$A$500,0)),0))</f>
        <v/>
      </c>
      <c r="R1424" s="26" t="n">
        <f aca="false">IF(OR($D1424="",$J1424&lt;&gt;"Supplier"),0,F1424*P1424+G1424*Q1424)</f>
        <v>0</v>
      </c>
      <c r="S1424" s="26" t="n">
        <f aca="false">IF(OR($D1424="",$J1424&lt;&gt;"Own"),0,IFERROR((F1424+G1424*Settings!$B$13)*INDEX(Workers!$V$5:$V$2004,MATCH($D1424,Workers!$A$5:$A$2004,0)),0))</f>
        <v>0</v>
      </c>
      <c r="T1424" s="26" t="str">
        <f aca="false">IF($D1424="","",O1424-R1424-S1424)</f>
        <v/>
      </c>
    </row>
    <row r="1425" customFormat="false" ht="15" hidden="false" customHeight="false" outlineLevel="0" collapsed="false">
      <c r="I1425" s="24" t="str">
        <f aca="false">IF($D1425="","",IFERROR(INDEX(Workers!$B$5:$B$2004,MATCH($D1425,Workers!$A$5:$A$2004,0)),"NOT FOUND"))</f>
        <v/>
      </c>
      <c r="J1425" s="24" t="str">
        <f aca="false">IF($D1425="","",IFERROR(INDEX(Workers!$C$5:$C$2004,MATCH($D1425,Workers!$A$5:$A$2004,0)),""))</f>
        <v/>
      </c>
      <c r="K1425" s="24" t="str">
        <f aca="false">IF($D1425="","",IFERROR(IF(INDEX(Workers!$D$5:$D$2004,MATCH($D1425,Workers!$A$5:$A$2004,0))=0,"",INDEX(Workers!$D$5:$D$2004,MATCH($D1425,Workers!$A$5:$A$2004,0))),""))</f>
        <v/>
      </c>
      <c r="L1425" s="24" t="str">
        <f aca="false">IF($D1425="","",IFERROR(INDEX(Workers!$E$5:$E$2004,MATCH($D1425,Workers!$A$5:$A$2004,0)),""))</f>
        <v/>
      </c>
      <c r="M1425" s="26" t="str">
        <f aca="false">IF($D1425="","",IFERROR(INDEX(ClientRates!$D$5:$D$500,MATCH($B1425&amp;"|"&amp;$L1425,ClientRates!$A$5:$A$500,0)),0))</f>
        <v/>
      </c>
      <c r="N1425" s="26" t="str">
        <f aca="false">IF($D1425="","",IFERROR(INDEX(ClientRates!$E$5:$E$500,MATCH($B1425&amp;"|"&amp;$L1425,ClientRates!$A$5:$A$500,0)),0))</f>
        <v/>
      </c>
      <c r="O1425" s="26" t="str">
        <f aca="false">IF($D1425="","",F1425*M1425+G1425*N1425)</f>
        <v/>
      </c>
      <c r="P1425" s="26" t="str">
        <f aca="false">IF(OR($D1425="",$J1425&lt;&gt;"Supplier"),"",IFERROR(INDEX(SupplierRates!$D$5:$D$500,MATCH($K1425&amp;"|"&amp;$L1425,SupplierRates!$A$5:$A$500,0)),0))</f>
        <v/>
      </c>
      <c r="Q1425" s="26" t="str">
        <f aca="false">IF(OR($D1425="",$J1425&lt;&gt;"Supplier"),"",IFERROR(INDEX(SupplierRates!$E$5:$E$500,MATCH($K1425&amp;"|"&amp;$L1425,SupplierRates!$A$5:$A$500,0)),0))</f>
        <v/>
      </c>
      <c r="R1425" s="26" t="n">
        <f aca="false">IF(OR($D1425="",$J1425&lt;&gt;"Supplier"),0,F1425*P1425+G1425*Q1425)</f>
        <v>0</v>
      </c>
      <c r="S1425" s="26" t="n">
        <f aca="false">IF(OR($D1425="",$J1425&lt;&gt;"Own"),0,IFERROR((F1425+G1425*Settings!$B$13)*INDEX(Workers!$V$5:$V$2004,MATCH($D1425,Workers!$A$5:$A$2004,0)),0))</f>
        <v>0</v>
      </c>
      <c r="T1425" s="26" t="str">
        <f aca="false">IF($D1425="","",O1425-R1425-S1425)</f>
        <v/>
      </c>
    </row>
    <row r="1426" customFormat="false" ht="15" hidden="false" customHeight="false" outlineLevel="0" collapsed="false">
      <c r="I1426" s="24" t="str">
        <f aca="false">IF($D1426="","",IFERROR(INDEX(Workers!$B$5:$B$2004,MATCH($D1426,Workers!$A$5:$A$2004,0)),"NOT FOUND"))</f>
        <v/>
      </c>
      <c r="J1426" s="24" t="str">
        <f aca="false">IF($D1426="","",IFERROR(INDEX(Workers!$C$5:$C$2004,MATCH($D1426,Workers!$A$5:$A$2004,0)),""))</f>
        <v/>
      </c>
      <c r="K1426" s="24" t="str">
        <f aca="false">IF($D1426="","",IFERROR(IF(INDEX(Workers!$D$5:$D$2004,MATCH($D1426,Workers!$A$5:$A$2004,0))=0,"",INDEX(Workers!$D$5:$D$2004,MATCH($D1426,Workers!$A$5:$A$2004,0))),""))</f>
        <v/>
      </c>
      <c r="L1426" s="24" t="str">
        <f aca="false">IF($D1426="","",IFERROR(INDEX(Workers!$E$5:$E$2004,MATCH($D1426,Workers!$A$5:$A$2004,0)),""))</f>
        <v/>
      </c>
      <c r="M1426" s="26" t="str">
        <f aca="false">IF($D1426="","",IFERROR(INDEX(ClientRates!$D$5:$D$500,MATCH($B1426&amp;"|"&amp;$L1426,ClientRates!$A$5:$A$500,0)),0))</f>
        <v/>
      </c>
      <c r="N1426" s="26" t="str">
        <f aca="false">IF($D1426="","",IFERROR(INDEX(ClientRates!$E$5:$E$500,MATCH($B1426&amp;"|"&amp;$L1426,ClientRates!$A$5:$A$500,0)),0))</f>
        <v/>
      </c>
      <c r="O1426" s="26" t="str">
        <f aca="false">IF($D1426="","",F1426*M1426+G1426*N1426)</f>
        <v/>
      </c>
      <c r="P1426" s="26" t="str">
        <f aca="false">IF(OR($D1426="",$J1426&lt;&gt;"Supplier"),"",IFERROR(INDEX(SupplierRates!$D$5:$D$500,MATCH($K1426&amp;"|"&amp;$L1426,SupplierRates!$A$5:$A$500,0)),0))</f>
        <v/>
      </c>
      <c r="Q1426" s="26" t="str">
        <f aca="false">IF(OR($D1426="",$J1426&lt;&gt;"Supplier"),"",IFERROR(INDEX(SupplierRates!$E$5:$E$500,MATCH($K1426&amp;"|"&amp;$L1426,SupplierRates!$A$5:$A$500,0)),0))</f>
        <v/>
      </c>
      <c r="R1426" s="26" t="n">
        <f aca="false">IF(OR($D1426="",$J1426&lt;&gt;"Supplier"),0,F1426*P1426+G1426*Q1426)</f>
        <v>0</v>
      </c>
      <c r="S1426" s="26" t="n">
        <f aca="false">IF(OR($D1426="",$J1426&lt;&gt;"Own"),0,IFERROR((F1426+G1426*Settings!$B$13)*INDEX(Workers!$V$5:$V$2004,MATCH($D1426,Workers!$A$5:$A$2004,0)),0))</f>
        <v>0</v>
      </c>
      <c r="T1426" s="26" t="str">
        <f aca="false">IF($D1426="","",O1426-R1426-S1426)</f>
        <v/>
      </c>
    </row>
    <row r="1427" customFormat="false" ht="15" hidden="false" customHeight="false" outlineLevel="0" collapsed="false">
      <c r="I1427" s="24" t="str">
        <f aca="false">IF($D1427="","",IFERROR(INDEX(Workers!$B$5:$B$2004,MATCH($D1427,Workers!$A$5:$A$2004,0)),"NOT FOUND"))</f>
        <v/>
      </c>
      <c r="J1427" s="24" t="str">
        <f aca="false">IF($D1427="","",IFERROR(INDEX(Workers!$C$5:$C$2004,MATCH($D1427,Workers!$A$5:$A$2004,0)),""))</f>
        <v/>
      </c>
      <c r="K1427" s="24" t="str">
        <f aca="false">IF($D1427="","",IFERROR(IF(INDEX(Workers!$D$5:$D$2004,MATCH($D1427,Workers!$A$5:$A$2004,0))=0,"",INDEX(Workers!$D$5:$D$2004,MATCH($D1427,Workers!$A$5:$A$2004,0))),""))</f>
        <v/>
      </c>
      <c r="L1427" s="24" t="str">
        <f aca="false">IF($D1427="","",IFERROR(INDEX(Workers!$E$5:$E$2004,MATCH($D1427,Workers!$A$5:$A$2004,0)),""))</f>
        <v/>
      </c>
      <c r="M1427" s="26" t="str">
        <f aca="false">IF($D1427="","",IFERROR(INDEX(ClientRates!$D$5:$D$500,MATCH($B1427&amp;"|"&amp;$L1427,ClientRates!$A$5:$A$500,0)),0))</f>
        <v/>
      </c>
      <c r="N1427" s="26" t="str">
        <f aca="false">IF($D1427="","",IFERROR(INDEX(ClientRates!$E$5:$E$500,MATCH($B1427&amp;"|"&amp;$L1427,ClientRates!$A$5:$A$500,0)),0))</f>
        <v/>
      </c>
      <c r="O1427" s="26" t="str">
        <f aca="false">IF($D1427="","",F1427*M1427+G1427*N1427)</f>
        <v/>
      </c>
      <c r="P1427" s="26" t="str">
        <f aca="false">IF(OR($D1427="",$J1427&lt;&gt;"Supplier"),"",IFERROR(INDEX(SupplierRates!$D$5:$D$500,MATCH($K1427&amp;"|"&amp;$L1427,SupplierRates!$A$5:$A$500,0)),0))</f>
        <v/>
      </c>
      <c r="Q1427" s="26" t="str">
        <f aca="false">IF(OR($D1427="",$J1427&lt;&gt;"Supplier"),"",IFERROR(INDEX(SupplierRates!$E$5:$E$500,MATCH($K1427&amp;"|"&amp;$L1427,SupplierRates!$A$5:$A$500,0)),0))</f>
        <v/>
      </c>
      <c r="R1427" s="26" t="n">
        <f aca="false">IF(OR($D1427="",$J1427&lt;&gt;"Supplier"),0,F1427*P1427+G1427*Q1427)</f>
        <v>0</v>
      </c>
      <c r="S1427" s="26" t="n">
        <f aca="false">IF(OR($D1427="",$J1427&lt;&gt;"Own"),0,IFERROR((F1427+G1427*Settings!$B$13)*INDEX(Workers!$V$5:$V$2004,MATCH($D1427,Workers!$A$5:$A$2004,0)),0))</f>
        <v>0</v>
      </c>
      <c r="T1427" s="26" t="str">
        <f aca="false">IF($D1427="","",O1427-R1427-S1427)</f>
        <v/>
      </c>
    </row>
    <row r="1428" customFormat="false" ht="15" hidden="false" customHeight="false" outlineLevel="0" collapsed="false">
      <c r="I1428" s="24" t="str">
        <f aca="false">IF($D1428="","",IFERROR(INDEX(Workers!$B$5:$B$2004,MATCH($D1428,Workers!$A$5:$A$2004,0)),"NOT FOUND"))</f>
        <v/>
      </c>
      <c r="J1428" s="24" t="str">
        <f aca="false">IF($D1428="","",IFERROR(INDEX(Workers!$C$5:$C$2004,MATCH($D1428,Workers!$A$5:$A$2004,0)),""))</f>
        <v/>
      </c>
      <c r="K1428" s="24" t="str">
        <f aca="false">IF($D1428="","",IFERROR(IF(INDEX(Workers!$D$5:$D$2004,MATCH($D1428,Workers!$A$5:$A$2004,0))=0,"",INDEX(Workers!$D$5:$D$2004,MATCH($D1428,Workers!$A$5:$A$2004,0))),""))</f>
        <v/>
      </c>
      <c r="L1428" s="24" t="str">
        <f aca="false">IF($D1428="","",IFERROR(INDEX(Workers!$E$5:$E$2004,MATCH($D1428,Workers!$A$5:$A$2004,0)),""))</f>
        <v/>
      </c>
      <c r="M1428" s="26" t="str">
        <f aca="false">IF($D1428="","",IFERROR(INDEX(ClientRates!$D$5:$D$500,MATCH($B1428&amp;"|"&amp;$L1428,ClientRates!$A$5:$A$500,0)),0))</f>
        <v/>
      </c>
      <c r="N1428" s="26" t="str">
        <f aca="false">IF($D1428="","",IFERROR(INDEX(ClientRates!$E$5:$E$500,MATCH($B1428&amp;"|"&amp;$L1428,ClientRates!$A$5:$A$500,0)),0))</f>
        <v/>
      </c>
      <c r="O1428" s="26" t="str">
        <f aca="false">IF($D1428="","",F1428*M1428+G1428*N1428)</f>
        <v/>
      </c>
      <c r="P1428" s="26" t="str">
        <f aca="false">IF(OR($D1428="",$J1428&lt;&gt;"Supplier"),"",IFERROR(INDEX(SupplierRates!$D$5:$D$500,MATCH($K1428&amp;"|"&amp;$L1428,SupplierRates!$A$5:$A$500,0)),0))</f>
        <v/>
      </c>
      <c r="Q1428" s="26" t="str">
        <f aca="false">IF(OR($D1428="",$J1428&lt;&gt;"Supplier"),"",IFERROR(INDEX(SupplierRates!$E$5:$E$500,MATCH($K1428&amp;"|"&amp;$L1428,SupplierRates!$A$5:$A$500,0)),0))</f>
        <v/>
      </c>
      <c r="R1428" s="26" t="n">
        <f aca="false">IF(OR($D1428="",$J1428&lt;&gt;"Supplier"),0,F1428*P1428+G1428*Q1428)</f>
        <v>0</v>
      </c>
      <c r="S1428" s="26" t="n">
        <f aca="false">IF(OR($D1428="",$J1428&lt;&gt;"Own"),0,IFERROR((F1428+G1428*Settings!$B$13)*INDEX(Workers!$V$5:$V$2004,MATCH($D1428,Workers!$A$5:$A$2004,0)),0))</f>
        <v>0</v>
      </c>
      <c r="T1428" s="26" t="str">
        <f aca="false">IF($D1428="","",O1428-R1428-S1428)</f>
        <v/>
      </c>
    </row>
    <row r="1429" customFormat="false" ht="15" hidden="false" customHeight="false" outlineLevel="0" collapsed="false">
      <c r="I1429" s="24" t="str">
        <f aca="false">IF($D1429="","",IFERROR(INDEX(Workers!$B$5:$B$2004,MATCH($D1429,Workers!$A$5:$A$2004,0)),"NOT FOUND"))</f>
        <v/>
      </c>
      <c r="J1429" s="24" t="str">
        <f aca="false">IF($D1429="","",IFERROR(INDEX(Workers!$C$5:$C$2004,MATCH($D1429,Workers!$A$5:$A$2004,0)),""))</f>
        <v/>
      </c>
      <c r="K1429" s="24" t="str">
        <f aca="false">IF($D1429="","",IFERROR(IF(INDEX(Workers!$D$5:$D$2004,MATCH($D1429,Workers!$A$5:$A$2004,0))=0,"",INDEX(Workers!$D$5:$D$2004,MATCH($D1429,Workers!$A$5:$A$2004,0))),""))</f>
        <v/>
      </c>
      <c r="L1429" s="24" t="str">
        <f aca="false">IF($D1429="","",IFERROR(INDEX(Workers!$E$5:$E$2004,MATCH($D1429,Workers!$A$5:$A$2004,0)),""))</f>
        <v/>
      </c>
      <c r="M1429" s="26" t="str">
        <f aca="false">IF($D1429="","",IFERROR(INDEX(ClientRates!$D$5:$D$500,MATCH($B1429&amp;"|"&amp;$L1429,ClientRates!$A$5:$A$500,0)),0))</f>
        <v/>
      </c>
      <c r="N1429" s="26" t="str">
        <f aca="false">IF($D1429="","",IFERROR(INDEX(ClientRates!$E$5:$E$500,MATCH($B1429&amp;"|"&amp;$L1429,ClientRates!$A$5:$A$500,0)),0))</f>
        <v/>
      </c>
      <c r="O1429" s="26" t="str">
        <f aca="false">IF($D1429="","",F1429*M1429+G1429*N1429)</f>
        <v/>
      </c>
      <c r="P1429" s="26" t="str">
        <f aca="false">IF(OR($D1429="",$J1429&lt;&gt;"Supplier"),"",IFERROR(INDEX(SupplierRates!$D$5:$D$500,MATCH($K1429&amp;"|"&amp;$L1429,SupplierRates!$A$5:$A$500,0)),0))</f>
        <v/>
      </c>
      <c r="Q1429" s="26" t="str">
        <f aca="false">IF(OR($D1429="",$J1429&lt;&gt;"Supplier"),"",IFERROR(INDEX(SupplierRates!$E$5:$E$500,MATCH($K1429&amp;"|"&amp;$L1429,SupplierRates!$A$5:$A$500,0)),0))</f>
        <v/>
      </c>
      <c r="R1429" s="26" t="n">
        <f aca="false">IF(OR($D1429="",$J1429&lt;&gt;"Supplier"),0,F1429*P1429+G1429*Q1429)</f>
        <v>0</v>
      </c>
      <c r="S1429" s="26" t="n">
        <f aca="false">IF(OR($D1429="",$J1429&lt;&gt;"Own"),0,IFERROR((F1429+G1429*Settings!$B$13)*INDEX(Workers!$V$5:$V$2004,MATCH($D1429,Workers!$A$5:$A$2004,0)),0))</f>
        <v>0</v>
      </c>
      <c r="T1429" s="26" t="str">
        <f aca="false">IF($D1429="","",O1429-R1429-S1429)</f>
        <v/>
      </c>
    </row>
    <row r="1430" customFormat="false" ht="15" hidden="false" customHeight="false" outlineLevel="0" collapsed="false">
      <c r="I1430" s="24" t="str">
        <f aca="false">IF($D1430="","",IFERROR(INDEX(Workers!$B$5:$B$2004,MATCH($D1430,Workers!$A$5:$A$2004,0)),"NOT FOUND"))</f>
        <v/>
      </c>
      <c r="J1430" s="24" t="str">
        <f aca="false">IF($D1430="","",IFERROR(INDEX(Workers!$C$5:$C$2004,MATCH($D1430,Workers!$A$5:$A$2004,0)),""))</f>
        <v/>
      </c>
      <c r="K1430" s="24" t="str">
        <f aca="false">IF($D1430="","",IFERROR(IF(INDEX(Workers!$D$5:$D$2004,MATCH($D1430,Workers!$A$5:$A$2004,0))=0,"",INDEX(Workers!$D$5:$D$2004,MATCH($D1430,Workers!$A$5:$A$2004,0))),""))</f>
        <v/>
      </c>
      <c r="L1430" s="24" t="str">
        <f aca="false">IF($D1430="","",IFERROR(INDEX(Workers!$E$5:$E$2004,MATCH($D1430,Workers!$A$5:$A$2004,0)),""))</f>
        <v/>
      </c>
      <c r="M1430" s="26" t="str">
        <f aca="false">IF($D1430="","",IFERROR(INDEX(ClientRates!$D$5:$D$500,MATCH($B1430&amp;"|"&amp;$L1430,ClientRates!$A$5:$A$500,0)),0))</f>
        <v/>
      </c>
      <c r="N1430" s="26" t="str">
        <f aca="false">IF($D1430="","",IFERROR(INDEX(ClientRates!$E$5:$E$500,MATCH($B1430&amp;"|"&amp;$L1430,ClientRates!$A$5:$A$500,0)),0))</f>
        <v/>
      </c>
      <c r="O1430" s="26" t="str">
        <f aca="false">IF($D1430="","",F1430*M1430+G1430*N1430)</f>
        <v/>
      </c>
      <c r="P1430" s="26" t="str">
        <f aca="false">IF(OR($D1430="",$J1430&lt;&gt;"Supplier"),"",IFERROR(INDEX(SupplierRates!$D$5:$D$500,MATCH($K1430&amp;"|"&amp;$L1430,SupplierRates!$A$5:$A$500,0)),0))</f>
        <v/>
      </c>
      <c r="Q1430" s="26" t="str">
        <f aca="false">IF(OR($D1430="",$J1430&lt;&gt;"Supplier"),"",IFERROR(INDEX(SupplierRates!$E$5:$E$500,MATCH($K1430&amp;"|"&amp;$L1430,SupplierRates!$A$5:$A$500,0)),0))</f>
        <v/>
      </c>
      <c r="R1430" s="26" t="n">
        <f aca="false">IF(OR($D1430="",$J1430&lt;&gt;"Supplier"),0,F1430*P1430+G1430*Q1430)</f>
        <v>0</v>
      </c>
      <c r="S1430" s="26" t="n">
        <f aca="false">IF(OR($D1430="",$J1430&lt;&gt;"Own"),0,IFERROR((F1430+G1430*Settings!$B$13)*INDEX(Workers!$V$5:$V$2004,MATCH($D1430,Workers!$A$5:$A$2004,0)),0))</f>
        <v>0</v>
      </c>
      <c r="T1430" s="26" t="str">
        <f aca="false">IF($D1430="","",O1430-R1430-S1430)</f>
        <v/>
      </c>
    </row>
    <row r="1431" customFormat="false" ht="15" hidden="false" customHeight="false" outlineLevel="0" collapsed="false">
      <c r="I1431" s="24" t="str">
        <f aca="false">IF($D1431="","",IFERROR(INDEX(Workers!$B$5:$B$2004,MATCH($D1431,Workers!$A$5:$A$2004,0)),"NOT FOUND"))</f>
        <v/>
      </c>
      <c r="J1431" s="24" t="str">
        <f aca="false">IF($D1431="","",IFERROR(INDEX(Workers!$C$5:$C$2004,MATCH($D1431,Workers!$A$5:$A$2004,0)),""))</f>
        <v/>
      </c>
      <c r="K1431" s="24" t="str">
        <f aca="false">IF($D1431="","",IFERROR(IF(INDEX(Workers!$D$5:$D$2004,MATCH($D1431,Workers!$A$5:$A$2004,0))=0,"",INDEX(Workers!$D$5:$D$2004,MATCH($D1431,Workers!$A$5:$A$2004,0))),""))</f>
        <v/>
      </c>
      <c r="L1431" s="24" t="str">
        <f aca="false">IF($D1431="","",IFERROR(INDEX(Workers!$E$5:$E$2004,MATCH($D1431,Workers!$A$5:$A$2004,0)),""))</f>
        <v/>
      </c>
      <c r="M1431" s="26" t="str">
        <f aca="false">IF($D1431="","",IFERROR(INDEX(ClientRates!$D$5:$D$500,MATCH($B1431&amp;"|"&amp;$L1431,ClientRates!$A$5:$A$500,0)),0))</f>
        <v/>
      </c>
      <c r="N1431" s="26" t="str">
        <f aca="false">IF($D1431="","",IFERROR(INDEX(ClientRates!$E$5:$E$500,MATCH($B1431&amp;"|"&amp;$L1431,ClientRates!$A$5:$A$500,0)),0))</f>
        <v/>
      </c>
      <c r="O1431" s="26" t="str">
        <f aca="false">IF($D1431="","",F1431*M1431+G1431*N1431)</f>
        <v/>
      </c>
      <c r="P1431" s="26" t="str">
        <f aca="false">IF(OR($D1431="",$J1431&lt;&gt;"Supplier"),"",IFERROR(INDEX(SupplierRates!$D$5:$D$500,MATCH($K1431&amp;"|"&amp;$L1431,SupplierRates!$A$5:$A$500,0)),0))</f>
        <v/>
      </c>
      <c r="Q1431" s="26" t="str">
        <f aca="false">IF(OR($D1431="",$J1431&lt;&gt;"Supplier"),"",IFERROR(INDEX(SupplierRates!$E$5:$E$500,MATCH($K1431&amp;"|"&amp;$L1431,SupplierRates!$A$5:$A$500,0)),0))</f>
        <v/>
      </c>
      <c r="R1431" s="26" t="n">
        <f aca="false">IF(OR($D1431="",$J1431&lt;&gt;"Supplier"),0,F1431*P1431+G1431*Q1431)</f>
        <v>0</v>
      </c>
      <c r="S1431" s="26" t="n">
        <f aca="false">IF(OR($D1431="",$J1431&lt;&gt;"Own"),0,IFERROR((F1431+G1431*Settings!$B$13)*INDEX(Workers!$V$5:$V$2004,MATCH($D1431,Workers!$A$5:$A$2004,0)),0))</f>
        <v>0</v>
      </c>
      <c r="T1431" s="26" t="str">
        <f aca="false">IF($D1431="","",O1431-R1431-S1431)</f>
        <v/>
      </c>
    </row>
    <row r="1432" customFormat="false" ht="15" hidden="false" customHeight="false" outlineLevel="0" collapsed="false">
      <c r="I1432" s="24" t="str">
        <f aca="false">IF($D1432="","",IFERROR(INDEX(Workers!$B$5:$B$2004,MATCH($D1432,Workers!$A$5:$A$2004,0)),"NOT FOUND"))</f>
        <v/>
      </c>
      <c r="J1432" s="24" t="str">
        <f aca="false">IF($D1432="","",IFERROR(INDEX(Workers!$C$5:$C$2004,MATCH($D1432,Workers!$A$5:$A$2004,0)),""))</f>
        <v/>
      </c>
      <c r="K1432" s="24" t="str">
        <f aca="false">IF($D1432="","",IFERROR(IF(INDEX(Workers!$D$5:$D$2004,MATCH($D1432,Workers!$A$5:$A$2004,0))=0,"",INDEX(Workers!$D$5:$D$2004,MATCH($D1432,Workers!$A$5:$A$2004,0))),""))</f>
        <v/>
      </c>
      <c r="L1432" s="24" t="str">
        <f aca="false">IF($D1432="","",IFERROR(INDEX(Workers!$E$5:$E$2004,MATCH($D1432,Workers!$A$5:$A$2004,0)),""))</f>
        <v/>
      </c>
      <c r="M1432" s="26" t="str">
        <f aca="false">IF($D1432="","",IFERROR(INDEX(ClientRates!$D$5:$D$500,MATCH($B1432&amp;"|"&amp;$L1432,ClientRates!$A$5:$A$500,0)),0))</f>
        <v/>
      </c>
      <c r="N1432" s="26" t="str">
        <f aca="false">IF($D1432="","",IFERROR(INDEX(ClientRates!$E$5:$E$500,MATCH($B1432&amp;"|"&amp;$L1432,ClientRates!$A$5:$A$500,0)),0))</f>
        <v/>
      </c>
      <c r="O1432" s="26" t="str">
        <f aca="false">IF($D1432="","",F1432*M1432+G1432*N1432)</f>
        <v/>
      </c>
      <c r="P1432" s="26" t="str">
        <f aca="false">IF(OR($D1432="",$J1432&lt;&gt;"Supplier"),"",IFERROR(INDEX(SupplierRates!$D$5:$D$500,MATCH($K1432&amp;"|"&amp;$L1432,SupplierRates!$A$5:$A$500,0)),0))</f>
        <v/>
      </c>
      <c r="Q1432" s="26" t="str">
        <f aca="false">IF(OR($D1432="",$J1432&lt;&gt;"Supplier"),"",IFERROR(INDEX(SupplierRates!$E$5:$E$500,MATCH($K1432&amp;"|"&amp;$L1432,SupplierRates!$A$5:$A$500,0)),0))</f>
        <v/>
      </c>
      <c r="R1432" s="26" t="n">
        <f aca="false">IF(OR($D1432="",$J1432&lt;&gt;"Supplier"),0,F1432*P1432+G1432*Q1432)</f>
        <v>0</v>
      </c>
      <c r="S1432" s="26" t="n">
        <f aca="false">IF(OR($D1432="",$J1432&lt;&gt;"Own"),0,IFERROR((F1432+G1432*Settings!$B$13)*INDEX(Workers!$V$5:$V$2004,MATCH($D1432,Workers!$A$5:$A$2004,0)),0))</f>
        <v>0</v>
      </c>
      <c r="T1432" s="26" t="str">
        <f aca="false">IF($D1432="","",O1432-R1432-S1432)</f>
        <v/>
      </c>
    </row>
    <row r="1433" customFormat="false" ht="15" hidden="false" customHeight="false" outlineLevel="0" collapsed="false">
      <c r="I1433" s="24" t="str">
        <f aca="false">IF($D1433="","",IFERROR(INDEX(Workers!$B$5:$B$2004,MATCH($D1433,Workers!$A$5:$A$2004,0)),"NOT FOUND"))</f>
        <v/>
      </c>
      <c r="J1433" s="24" t="str">
        <f aca="false">IF($D1433="","",IFERROR(INDEX(Workers!$C$5:$C$2004,MATCH($D1433,Workers!$A$5:$A$2004,0)),""))</f>
        <v/>
      </c>
      <c r="K1433" s="24" t="str">
        <f aca="false">IF($D1433="","",IFERROR(IF(INDEX(Workers!$D$5:$D$2004,MATCH($D1433,Workers!$A$5:$A$2004,0))=0,"",INDEX(Workers!$D$5:$D$2004,MATCH($D1433,Workers!$A$5:$A$2004,0))),""))</f>
        <v/>
      </c>
      <c r="L1433" s="24" t="str">
        <f aca="false">IF($D1433="","",IFERROR(INDEX(Workers!$E$5:$E$2004,MATCH($D1433,Workers!$A$5:$A$2004,0)),""))</f>
        <v/>
      </c>
      <c r="M1433" s="26" t="str">
        <f aca="false">IF($D1433="","",IFERROR(INDEX(ClientRates!$D$5:$D$500,MATCH($B1433&amp;"|"&amp;$L1433,ClientRates!$A$5:$A$500,0)),0))</f>
        <v/>
      </c>
      <c r="N1433" s="26" t="str">
        <f aca="false">IF($D1433="","",IFERROR(INDEX(ClientRates!$E$5:$E$500,MATCH($B1433&amp;"|"&amp;$L1433,ClientRates!$A$5:$A$500,0)),0))</f>
        <v/>
      </c>
      <c r="O1433" s="26" t="str">
        <f aca="false">IF($D1433="","",F1433*M1433+G1433*N1433)</f>
        <v/>
      </c>
      <c r="P1433" s="26" t="str">
        <f aca="false">IF(OR($D1433="",$J1433&lt;&gt;"Supplier"),"",IFERROR(INDEX(SupplierRates!$D$5:$D$500,MATCH($K1433&amp;"|"&amp;$L1433,SupplierRates!$A$5:$A$500,0)),0))</f>
        <v/>
      </c>
      <c r="Q1433" s="26" t="str">
        <f aca="false">IF(OR($D1433="",$J1433&lt;&gt;"Supplier"),"",IFERROR(INDEX(SupplierRates!$E$5:$E$500,MATCH($K1433&amp;"|"&amp;$L1433,SupplierRates!$A$5:$A$500,0)),0))</f>
        <v/>
      </c>
      <c r="R1433" s="26" t="n">
        <f aca="false">IF(OR($D1433="",$J1433&lt;&gt;"Supplier"),0,F1433*P1433+G1433*Q1433)</f>
        <v>0</v>
      </c>
      <c r="S1433" s="26" t="n">
        <f aca="false">IF(OR($D1433="",$J1433&lt;&gt;"Own"),0,IFERROR((F1433+G1433*Settings!$B$13)*INDEX(Workers!$V$5:$V$2004,MATCH($D1433,Workers!$A$5:$A$2004,0)),0))</f>
        <v>0</v>
      </c>
      <c r="T1433" s="26" t="str">
        <f aca="false">IF($D1433="","",O1433-R1433-S1433)</f>
        <v/>
      </c>
    </row>
    <row r="1434" customFormat="false" ht="15" hidden="false" customHeight="false" outlineLevel="0" collapsed="false">
      <c r="I1434" s="24" t="str">
        <f aca="false">IF($D1434="","",IFERROR(INDEX(Workers!$B$5:$B$2004,MATCH($D1434,Workers!$A$5:$A$2004,0)),"NOT FOUND"))</f>
        <v/>
      </c>
      <c r="J1434" s="24" t="str">
        <f aca="false">IF($D1434="","",IFERROR(INDEX(Workers!$C$5:$C$2004,MATCH($D1434,Workers!$A$5:$A$2004,0)),""))</f>
        <v/>
      </c>
      <c r="K1434" s="24" t="str">
        <f aca="false">IF($D1434="","",IFERROR(IF(INDEX(Workers!$D$5:$D$2004,MATCH($D1434,Workers!$A$5:$A$2004,0))=0,"",INDEX(Workers!$D$5:$D$2004,MATCH($D1434,Workers!$A$5:$A$2004,0))),""))</f>
        <v/>
      </c>
      <c r="L1434" s="24" t="str">
        <f aca="false">IF($D1434="","",IFERROR(INDEX(Workers!$E$5:$E$2004,MATCH($D1434,Workers!$A$5:$A$2004,0)),""))</f>
        <v/>
      </c>
      <c r="M1434" s="26" t="str">
        <f aca="false">IF($D1434="","",IFERROR(INDEX(ClientRates!$D$5:$D$500,MATCH($B1434&amp;"|"&amp;$L1434,ClientRates!$A$5:$A$500,0)),0))</f>
        <v/>
      </c>
      <c r="N1434" s="26" t="str">
        <f aca="false">IF($D1434="","",IFERROR(INDEX(ClientRates!$E$5:$E$500,MATCH($B1434&amp;"|"&amp;$L1434,ClientRates!$A$5:$A$500,0)),0))</f>
        <v/>
      </c>
      <c r="O1434" s="26" t="str">
        <f aca="false">IF($D1434="","",F1434*M1434+G1434*N1434)</f>
        <v/>
      </c>
      <c r="P1434" s="26" t="str">
        <f aca="false">IF(OR($D1434="",$J1434&lt;&gt;"Supplier"),"",IFERROR(INDEX(SupplierRates!$D$5:$D$500,MATCH($K1434&amp;"|"&amp;$L1434,SupplierRates!$A$5:$A$500,0)),0))</f>
        <v/>
      </c>
      <c r="Q1434" s="26" t="str">
        <f aca="false">IF(OR($D1434="",$J1434&lt;&gt;"Supplier"),"",IFERROR(INDEX(SupplierRates!$E$5:$E$500,MATCH($K1434&amp;"|"&amp;$L1434,SupplierRates!$A$5:$A$500,0)),0))</f>
        <v/>
      </c>
      <c r="R1434" s="26" t="n">
        <f aca="false">IF(OR($D1434="",$J1434&lt;&gt;"Supplier"),0,F1434*P1434+G1434*Q1434)</f>
        <v>0</v>
      </c>
      <c r="S1434" s="26" t="n">
        <f aca="false">IF(OR($D1434="",$J1434&lt;&gt;"Own"),0,IFERROR((F1434+G1434*Settings!$B$13)*INDEX(Workers!$V$5:$V$2004,MATCH($D1434,Workers!$A$5:$A$2004,0)),0))</f>
        <v>0</v>
      </c>
      <c r="T1434" s="26" t="str">
        <f aca="false">IF($D1434="","",O1434-R1434-S1434)</f>
        <v/>
      </c>
    </row>
    <row r="1435" customFormat="false" ht="15" hidden="false" customHeight="false" outlineLevel="0" collapsed="false">
      <c r="I1435" s="24" t="str">
        <f aca="false">IF($D1435="","",IFERROR(INDEX(Workers!$B$5:$B$2004,MATCH($D1435,Workers!$A$5:$A$2004,0)),"NOT FOUND"))</f>
        <v/>
      </c>
      <c r="J1435" s="24" t="str">
        <f aca="false">IF($D1435="","",IFERROR(INDEX(Workers!$C$5:$C$2004,MATCH($D1435,Workers!$A$5:$A$2004,0)),""))</f>
        <v/>
      </c>
      <c r="K1435" s="24" t="str">
        <f aca="false">IF($D1435="","",IFERROR(IF(INDEX(Workers!$D$5:$D$2004,MATCH($D1435,Workers!$A$5:$A$2004,0))=0,"",INDEX(Workers!$D$5:$D$2004,MATCH($D1435,Workers!$A$5:$A$2004,0))),""))</f>
        <v/>
      </c>
      <c r="L1435" s="24" t="str">
        <f aca="false">IF($D1435="","",IFERROR(INDEX(Workers!$E$5:$E$2004,MATCH($D1435,Workers!$A$5:$A$2004,0)),""))</f>
        <v/>
      </c>
      <c r="M1435" s="26" t="str">
        <f aca="false">IF($D1435="","",IFERROR(INDEX(ClientRates!$D$5:$D$500,MATCH($B1435&amp;"|"&amp;$L1435,ClientRates!$A$5:$A$500,0)),0))</f>
        <v/>
      </c>
      <c r="N1435" s="26" t="str">
        <f aca="false">IF($D1435="","",IFERROR(INDEX(ClientRates!$E$5:$E$500,MATCH($B1435&amp;"|"&amp;$L1435,ClientRates!$A$5:$A$500,0)),0))</f>
        <v/>
      </c>
      <c r="O1435" s="26" t="str">
        <f aca="false">IF($D1435="","",F1435*M1435+G1435*N1435)</f>
        <v/>
      </c>
      <c r="P1435" s="26" t="str">
        <f aca="false">IF(OR($D1435="",$J1435&lt;&gt;"Supplier"),"",IFERROR(INDEX(SupplierRates!$D$5:$D$500,MATCH($K1435&amp;"|"&amp;$L1435,SupplierRates!$A$5:$A$500,0)),0))</f>
        <v/>
      </c>
      <c r="Q1435" s="26" t="str">
        <f aca="false">IF(OR($D1435="",$J1435&lt;&gt;"Supplier"),"",IFERROR(INDEX(SupplierRates!$E$5:$E$500,MATCH($K1435&amp;"|"&amp;$L1435,SupplierRates!$A$5:$A$500,0)),0))</f>
        <v/>
      </c>
      <c r="R1435" s="26" t="n">
        <f aca="false">IF(OR($D1435="",$J1435&lt;&gt;"Supplier"),0,F1435*P1435+G1435*Q1435)</f>
        <v>0</v>
      </c>
      <c r="S1435" s="26" t="n">
        <f aca="false">IF(OR($D1435="",$J1435&lt;&gt;"Own"),0,IFERROR((F1435+G1435*Settings!$B$13)*INDEX(Workers!$V$5:$V$2004,MATCH($D1435,Workers!$A$5:$A$2004,0)),0))</f>
        <v>0</v>
      </c>
      <c r="T1435" s="26" t="str">
        <f aca="false">IF($D1435="","",O1435-R1435-S1435)</f>
        <v/>
      </c>
    </row>
    <row r="1436" customFormat="false" ht="15" hidden="false" customHeight="false" outlineLevel="0" collapsed="false">
      <c r="I1436" s="24" t="str">
        <f aca="false">IF($D1436="","",IFERROR(INDEX(Workers!$B$5:$B$2004,MATCH($D1436,Workers!$A$5:$A$2004,0)),"NOT FOUND"))</f>
        <v/>
      </c>
      <c r="J1436" s="24" t="str">
        <f aca="false">IF($D1436="","",IFERROR(INDEX(Workers!$C$5:$C$2004,MATCH($D1436,Workers!$A$5:$A$2004,0)),""))</f>
        <v/>
      </c>
      <c r="K1436" s="24" t="str">
        <f aca="false">IF($D1436="","",IFERROR(IF(INDEX(Workers!$D$5:$D$2004,MATCH($D1436,Workers!$A$5:$A$2004,0))=0,"",INDEX(Workers!$D$5:$D$2004,MATCH($D1436,Workers!$A$5:$A$2004,0))),""))</f>
        <v/>
      </c>
      <c r="L1436" s="24" t="str">
        <f aca="false">IF($D1436="","",IFERROR(INDEX(Workers!$E$5:$E$2004,MATCH($D1436,Workers!$A$5:$A$2004,0)),""))</f>
        <v/>
      </c>
      <c r="M1436" s="26" t="str">
        <f aca="false">IF($D1436="","",IFERROR(INDEX(ClientRates!$D$5:$D$500,MATCH($B1436&amp;"|"&amp;$L1436,ClientRates!$A$5:$A$500,0)),0))</f>
        <v/>
      </c>
      <c r="N1436" s="26" t="str">
        <f aca="false">IF($D1436="","",IFERROR(INDEX(ClientRates!$E$5:$E$500,MATCH($B1436&amp;"|"&amp;$L1436,ClientRates!$A$5:$A$500,0)),0))</f>
        <v/>
      </c>
      <c r="O1436" s="26" t="str">
        <f aca="false">IF($D1436="","",F1436*M1436+G1436*N1436)</f>
        <v/>
      </c>
      <c r="P1436" s="26" t="str">
        <f aca="false">IF(OR($D1436="",$J1436&lt;&gt;"Supplier"),"",IFERROR(INDEX(SupplierRates!$D$5:$D$500,MATCH($K1436&amp;"|"&amp;$L1436,SupplierRates!$A$5:$A$500,0)),0))</f>
        <v/>
      </c>
      <c r="Q1436" s="26" t="str">
        <f aca="false">IF(OR($D1436="",$J1436&lt;&gt;"Supplier"),"",IFERROR(INDEX(SupplierRates!$E$5:$E$500,MATCH($K1436&amp;"|"&amp;$L1436,SupplierRates!$A$5:$A$500,0)),0))</f>
        <v/>
      </c>
      <c r="R1436" s="26" t="n">
        <f aca="false">IF(OR($D1436="",$J1436&lt;&gt;"Supplier"),0,F1436*P1436+G1436*Q1436)</f>
        <v>0</v>
      </c>
      <c r="S1436" s="26" t="n">
        <f aca="false">IF(OR($D1436="",$J1436&lt;&gt;"Own"),0,IFERROR((F1436+G1436*Settings!$B$13)*INDEX(Workers!$V$5:$V$2004,MATCH($D1436,Workers!$A$5:$A$2004,0)),0))</f>
        <v>0</v>
      </c>
      <c r="T1436" s="26" t="str">
        <f aca="false">IF($D1436="","",O1436-R1436-S1436)</f>
        <v/>
      </c>
    </row>
    <row r="1437" customFormat="false" ht="15" hidden="false" customHeight="false" outlineLevel="0" collapsed="false">
      <c r="I1437" s="24" t="str">
        <f aca="false">IF($D1437="","",IFERROR(INDEX(Workers!$B$5:$B$2004,MATCH($D1437,Workers!$A$5:$A$2004,0)),"NOT FOUND"))</f>
        <v/>
      </c>
      <c r="J1437" s="24" t="str">
        <f aca="false">IF($D1437="","",IFERROR(INDEX(Workers!$C$5:$C$2004,MATCH($D1437,Workers!$A$5:$A$2004,0)),""))</f>
        <v/>
      </c>
      <c r="K1437" s="24" t="str">
        <f aca="false">IF($D1437="","",IFERROR(IF(INDEX(Workers!$D$5:$D$2004,MATCH($D1437,Workers!$A$5:$A$2004,0))=0,"",INDEX(Workers!$D$5:$D$2004,MATCH($D1437,Workers!$A$5:$A$2004,0))),""))</f>
        <v/>
      </c>
      <c r="L1437" s="24" t="str">
        <f aca="false">IF($D1437="","",IFERROR(INDEX(Workers!$E$5:$E$2004,MATCH($D1437,Workers!$A$5:$A$2004,0)),""))</f>
        <v/>
      </c>
      <c r="M1437" s="26" t="str">
        <f aca="false">IF($D1437="","",IFERROR(INDEX(ClientRates!$D$5:$D$500,MATCH($B1437&amp;"|"&amp;$L1437,ClientRates!$A$5:$A$500,0)),0))</f>
        <v/>
      </c>
      <c r="N1437" s="26" t="str">
        <f aca="false">IF($D1437="","",IFERROR(INDEX(ClientRates!$E$5:$E$500,MATCH($B1437&amp;"|"&amp;$L1437,ClientRates!$A$5:$A$500,0)),0))</f>
        <v/>
      </c>
      <c r="O1437" s="26" t="str">
        <f aca="false">IF($D1437="","",F1437*M1437+G1437*N1437)</f>
        <v/>
      </c>
      <c r="P1437" s="26" t="str">
        <f aca="false">IF(OR($D1437="",$J1437&lt;&gt;"Supplier"),"",IFERROR(INDEX(SupplierRates!$D$5:$D$500,MATCH($K1437&amp;"|"&amp;$L1437,SupplierRates!$A$5:$A$500,0)),0))</f>
        <v/>
      </c>
      <c r="Q1437" s="26" t="str">
        <f aca="false">IF(OR($D1437="",$J1437&lt;&gt;"Supplier"),"",IFERROR(INDEX(SupplierRates!$E$5:$E$500,MATCH($K1437&amp;"|"&amp;$L1437,SupplierRates!$A$5:$A$500,0)),0))</f>
        <v/>
      </c>
      <c r="R1437" s="26" t="n">
        <f aca="false">IF(OR($D1437="",$J1437&lt;&gt;"Supplier"),0,F1437*P1437+G1437*Q1437)</f>
        <v>0</v>
      </c>
      <c r="S1437" s="26" t="n">
        <f aca="false">IF(OR($D1437="",$J1437&lt;&gt;"Own"),0,IFERROR((F1437+G1437*Settings!$B$13)*INDEX(Workers!$V$5:$V$2004,MATCH($D1437,Workers!$A$5:$A$2004,0)),0))</f>
        <v>0</v>
      </c>
      <c r="T1437" s="26" t="str">
        <f aca="false">IF($D1437="","",O1437-R1437-S1437)</f>
        <v/>
      </c>
    </row>
    <row r="1438" customFormat="false" ht="15" hidden="false" customHeight="false" outlineLevel="0" collapsed="false">
      <c r="I1438" s="24" t="str">
        <f aca="false">IF($D1438="","",IFERROR(INDEX(Workers!$B$5:$B$2004,MATCH($D1438,Workers!$A$5:$A$2004,0)),"NOT FOUND"))</f>
        <v/>
      </c>
      <c r="J1438" s="24" t="str">
        <f aca="false">IF($D1438="","",IFERROR(INDEX(Workers!$C$5:$C$2004,MATCH($D1438,Workers!$A$5:$A$2004,0)),""))</f>
        <v/>
      </c>
      <c r="K1438" s="24" t="str">
        <f aca="false">IF($D1438="","",IFERROR(IF(INDEX(Workers!$D$5:$D$2004,MATCH($D1438,Workers!$A$5:$A$2004,0))=0,"",INDEX(Workers!$D$5:$D$2004,MATCH($D1438,Workers!$A$5:$A$2004,0))),""))</f>
        <v/>
      </c>
      <c r="L1438" s="24" t="str">
        <f aca="false">IF($D1438="","",IFERROR(INDEX(Workers!$E$5:$E$2004,MATCH($D1438,Workers!$A$5:$A$2004,0)),""))</f>
        <v/>
      </c>
      <c r="M1438" s="26" t="str">
        <f aca="false">IF($D1438="","",IFERROR(INDEX(ClientRates!$D$5:$D$500,MATCH($B1438&amp;"|"&amp;$L1438,ClientRates!$A$5:$A$500,0)),0))</f>
        <v/>
      </c>
      <c r="N1438" s="26" t="str">
        <f aca="false">IF($D1438="","",IFERROR(INDEX(ClientRates!$E$5:$E$500,MATCH($B1438&amp;"|"&amp;$L1438,ClientRates!$A$5:$A$500,0)),0))</f>
        <v/>
      </c>
      <c r="O1438" s="26" t="str">
        <f aca="false">IF($D1438="","",F1438*M1438+G1438*N1438)</f>
        <v/>
      </c>
      <c r="P1438" s="26" t="str">
        <f aca="false">IF(OR($D1438="",$J1438&lt;&gt;"Supplier"),"",IFERROR(INDEX(SupplierRates!$D$5:$D$500,MATCH($K1438&amp;"|"&amp;$L1438,SupplierRates!$A$5:$A$500,0)),0))</f>
        <v/>
      </c>
      <c r="Q1438" s="26" t="str">
        <f aca="false">IF(OR($D1438="",$J1438&lt;&gt;"Supplier"),"",IFERROR(INDEX(SupplierRates!$E$5:$E$500,MATCH($K1438&amp;"|"&amp;$L1438,SupplierRates!$A$5:$A$500,0)),0))</f>
        <v/>
      </c>
      <c r="R1438" s="26" t="n">
        <f aca="false">IF(OR($D1438="",$J1438&lt;&gt;"Supplier"),0,F1438*P1438+G1438*Q1438)</f>
        <v>0</v>
      </c>
      <c r="S1438" s="26" t="n">
        <f aca="false">IF(OR($D1438="",$J1438&lt;&gt;"Own"),0,IFERROR((F1438+G1438*Settings!$B$13)*INDEX(Workers!$V$5:$V$2004,MATCH($D1438,Workers!$A$5:$A$2004,0)),0))</f>
        <v>0</v>
      </c>
      <c r="T1438" s="26" t="str">
        <f aca="false">IF($D1438="","",O1438-R1438-S1438)</f>
        <v/>
      </c>
    </row>
    <row r="1439" customFormat="false" ht="15" hidden="false" customHeight="false" outlineLevel="0" collapsed="false">
      <c r="I1439" s="24" t="str">
        <f aca="false">IF($D1439="","",IFERROR(INDEX(Workers!$B$5:$B$2004,MATCH($D1439,Workers!$A$5:$A$2004,0)),"NOT FOUND"))</f>
        <v/>
      </c>
      <c r="J1439" s="24" t="str">
        <f aca="false">IF($D1439="","",IFERROR(INDEX(Workers!$C$5:$C$2004,MATCH($D1439,Workers!$A$5:$A$2004,0)),""))</f>
        <v/>
      </c>
      <c r="K1439" s="24" t="str">
        <f aca="false">IF($D1439="","",IFERROR(IF(INDEX(Workers!$D$5:$D$2004,MATCH($D1439,Workers!$A$5:$A$2004,0))=0,"",INDEX(Workers!$D$5:$D$2004,MATCH($D1439,Workers!$A$5:$A$2004,0))),""))</f>
        <v/>
      </c>
      <c r="L1439" s="24" t="str">
        <f aca="false">IF($D1439="","",IFERROR(INDEX(Workers!$E$5:$E$2004,MATCH($D1439,Workers!$A$5:$A$2004,0)),""))</f>
        <v/>
      </c>
      <c r="M1439" s="26" t="str">
        <f aca="false">IF($D1439="","",IFERROR(INDEX(ClientRates!$D$5:$D$500,MATCH($B1439&amp;"|"&amp;$L1439,ClientRates!$A$5:$A$500,0)),0))</f>
        <v/>
      </c>
      <c r="N1439" s="26" t="str">
        <f aca="false">IF($D1439="","",IFERROR(INDEX(ClientRates!$E$5:$E$500,MATCH($B1439&amp;"|"&amp;$L1439,ClientRates!$A$5:$A$500,0)),0))</f>
        <v/>
      </c>
      <c r="O1439" s="26" t="str">
        <f aca="false">IF($D1439="","",F1439*M1439+G1439*N1439)</f>
        <v/>
      </c>
      <c r="P1439" s="26" t="str">
        <f aca="false">IF(OR($D1439="",$J1439&lt;&gt;"Supplier"),"",IFERROR(INDEX(SupplierRates!$D$5:$D$500,MATCH($K1439&amp;"|"&amp;$L1439,SupplierRates!$A$5:$A$500,0)),0))</f>
        <v/>
      </c>
      <c r="Q1439" s="26" t="str">
        <f aca="false">IF(OR($D1439="",$J1439&lt;&gt;"Supplier"),"",IFERROR(INDEX(SupplierRates!$E$5:$E$500,MATCH($K1439&amp;"|"&amp;$L1439,SupplierRates!$A$5:$A$500,0)),0))</f>
        <v/>
      </c>
      <c r="R1439" s="26" t="n">
        <f aca="false">IF(OR($D1439="",$J1439&lt;&gt;"Supplier"),0,F1439*P1439+G1439*Q1439)</f>
        <v>0</v>
      </c>
      <c r="S1439" s="26" t="n">
        <f aca="false">IF(OR($D1439="",$J1439&lt;&gt;"Own"),0,IFERROR((F1439+G1439*Settings!$B$13)*INDEX(Workers!$V$5:$V$2004,MATCH($D1439,Workers!$A$5:$A$2004,0)),0))</f>
        <v>0</v>
      </c>
      <c r="T1439" s="26" t="str">
        <f aca="false">IF($D1439="","",O1439-R1439-S1439)</f>
        <v/>
      </c>
    </row>
    <row r="1440" customFormat="false" ht="15" hidden="false" customHeight="false" outlineLevel="0" collapsed="false">
      <c r="I1440" s="24" t="str">
        <f aca="false">IF($D1440="","",IFERROR(INDEX(Workers!$B$5:$B$2004,MATCH($D1440,Workers!$A$5:$A$2004,0)),"NOT FOUND"))</f>
        <v/>
      </c>
      <c r="J1440" s="24" t="str">
        <f aca="false">IF($D1440="","",IFERROR(INDEX(Workers!$C$5:$C$2004,MATCH($D1440,Workers!$A$5:$A$2004,0)),""))</f>
        <v/>
      </c>
      <c r="K1440" s="24" t="str">
        <f aca="false">IF($D1440="","",IFERROR(IF(INDEX(Workers!$D$5:$D$2004,MATCH($D1440,Workers!$A$5:$A$2004,0))=0,"",INDEX(Workers!$D$5:$D$2004,MATCH($D1440,Workers!$A$5:$A$2004,0))),""))</f>
        <v/>
      </c>
      <c r="L1440" s="24" t="str">
        <f aca="false">IF($D1440="","",IFERROR(INDEX(Workers!$E$5:$E$2004,MATCH($D1440,Workers!$A$5:$A$2004,0)),""))</f>
        <v/>
      </c>
      <c r="M1440" s="26" t="str">
        <f aca="false">IF($D1440="","",IFERROR(INDEX(ClientRates!$D$5:$D$500,MATCH($B1440&amp;"|"&amp;$L1440,ClientRates!$A$5:$A$500,0)),0))</f>
        <v/>
      </c>
      <c r="N1440" s="26" t="str">
        <f aca="false">IF($D1440="","",IFERROR(INDEX(ClientRates!$E$5:$E$500,MATCH($B1440&amp;"|"&amp;$L1440,ClientRates!$A$5:$A$500,0)),0))</f>
        <v/>
      </c>
      <c r="O1440" s="26" t="str">
        <f aca="false">IF($D1440="","",F1440*M1440+G1440*N1440)</f>
        <v/>
      </c>
      <c r="P1440" s="26" t="str">
        <f aca="false">IF(OR($D1440="",$J1440&lt;&gt;"Supplier"),"",IFERROR(INDEX(SupplierRates!$D$5:$D$500,MATCH($K1440&amp;"|"&amp;$L1440,SupplierRates!$A$5:$A$500,0)),0))</f>
        <v/>
      </c>
      <c r="Q1440" s="26" t="str">
        <f aca="false">IF(OR($D1440="",$J1440&lt;&gt;"Supplier"),"",IFERROR(INDEX(SupplierRates!$E$5:$E$500,MATCH($K1440&amp;"|"&amp;$L1440,SupplierRates!$A$5:$A$500,0)),0))</f>
        <v/>
      </c>
      <c r="R1440" s="26" t="n">
        <f aca="false">IF(OR($D1440="",$J1440&lt;&gt;"Supplier"),0,F1440*P1440+G1440*Q1440)</f>
        <v>0</v>
      </c>
      <c r="S1440" s="26" t="n">
        <f aca="false">IF(OR($D1440="",$J1440&lt;&gt;"Own"),0,IFERROR((F1440+G1440*Settings!$B$13)*INDEX(Workers!$V$5:$V$2004,MATCH($D1440,Workers!$A$5:$A$2004,0)),0))</f>
        <v>0</v>
      </c>
      <c r="T1440" s="26" t="str">
        <f aca="false">IF($D1440="","",O1440-R1440-S1440)</f>
        <v/>
      </c>
    </row>
    <row r="1441" customFormat="false" ht="15" hidden="false" customHeight="false" outlineLevel="0" collapsed="false">
      <c r="I1441" s="24" t="str">
        <f aca="false">IF($D1441="","",IFERROR(INDEX(Workers!$B$5:$B$2004,MATCH($D1441,Workers!$A$5:$A$2004,0)),"NOT FOUND"))</f>
        <v/>
      </c>
      <c r="J1441" s="24" t="str">
        <f aca="false">IF($D1441="","",IFERROR(INDEX(Workers!$C$5:$C$2004,MATCH($D1441,Workers!$A$5:$A$2004,0)),""))</f>
        <v/>
      </c>
      <c r="K1441" s="24" t="str">
        <f aca="false">IF($D1441="","",IFERROR(IF(INDEX(Workers!$D$5:$D$2004,MATCH($D1441,Workers!$A$5:$A$2004,0))=0,"",INDEX(Workers!$D$5:$D$2004,MATCH($D1441,Workers!$A$5:$A$2004,0))),""))</f>
        <v/>
      </c>
      <c r="L1441" s="24" t="str">
        <f aca="false">IF($D1441="","",IFERROR(INDEX(Workers!$E$5:$E$2004,MATCH($D1441,Workers!$A$5:$A$2004,0)),""))</f>
        <v/>
      </c>
      <c r="M1441" s="26" t="str">
        <f aca="false">IF($D1441="","",IFERROR(INDEX(ClientRates!$D$5:$D$500,MATCH($B1441&amp;"|"&amp;$L1441,ClientRates!$A$5:$A$500,0)),0))</f>
        <v/>
      </c>
      <c r="N1441" s="26" t="str">
        <f aca="false">IF($D1441="","",IFERROR(INDEX(ClientRates!$E$5:$E$500,MATCH($B1441&amp;"|"&amp;$L1441,ClientRates!$A$5:$A$500,0)),0))</f>
        <v/>
      </c>
      <c r="O1441" s="26" t="str">
        <f aca="false">IF($D1441="","",F1441*M1441+G1441*N1441)</f>
        <v/>
      </c>
      <c r="P1441" s="26" t="str">
        <f aca="false">IF(OR($D1441="",$J1441&lt;&gt;"Supplier"),"",IFERROR(INDEX(SupplierRates!$D$5:$D$500,MATCH($K1441&amp;"|"&amp;$L1441,SupplierRates!$A$5:$A$500,0)),0))</f>
        <v/>
      </c>
      <c r="Q1441" s="26" t="str">
        <f aca="false">IF(OR($D1441="",$J1441&lt;&gt;"Supplier"),"",IFERROR(INDEX(SupplierRates!$E$5:$E$500,MATCH($K1441&amp;"|"&amp;$L1441,SupplierRates!$A$5:$A$500,0)),0))</f>
        <v/>
      </c>
      <c r="R1441" s="26" t="n">
        <f aca="false">IF(OR($D1441="",$J1441&lt;&gt;"Supplier"),0,F1441*P1441+G1441*Q1441)</f>
        <v>0</v>
      </c>
      <c r="S1441" s="26" t="n">
        <f aca="false">IF(OR($D1441="",$J1441&lt;&gt;"Own"),0,IFERROR((F1441+G1441*Settings!$B$13)*INDEX(Workers!$V$5:$V$2004,MATCH($D1441,Workers!$A$5:$A$2004,0)),0))</f>
        <v>0</v>
      </c>
      <c r="T1441" s="26" t="str">
        <f aca="false">IF($D1441="","",O1441-R1441-S1441)</f>
        <v/>
      </c>
    </row>
    <row r="1442" customFormat="false" ht="15" hidden="false" customHeight="false" outlineLevel="0" collapsed="false">
      <c r="I1442" s="24" t="str">
        <f aca="false">IF($D1442="","",IFERROR(INDEX(Workers!$B$5:$B$2004,MATCH($D1442,Workers!$A$5:$A$2004,0)),"NOT FOUND"))</f>
        <v/>
      </c>
      <c r="J1442" s="24" t="str">
        <f aca="false">IF($D1442="","",IFERROR(INDEX(Workers!$C$5:$C$2004,MATCH($D1442,Workers!$A$5:$A$2004,0)),""))</f>
        <v/>
      </c>
      <c r="K1442" s="24" t="str">
        <f aca="false">IF($D1442="","",IFERROR(IF(INDEX(Workers!$D$5:$D$2004,MATCH($D1442,Workers!$A$5:$A$2004,0))=0,"",INDEX(Workers!$D$5:$D$2004,MATCH($D1442,Workers!$A$5:$A$2004,0))),""))</f>
        <v/>
      </c>
      <c r="L1442" s="24" t="str">
        <f aca="false">IF($D1442="","",IFERROR(INDEX(Workers!$E$5:$E$2004,MATCH($D1442,Workers!$A$5:$A$2004,0)),""))</f>
        <v/>
      </c>
      <c r="M1442" s="26" t="str">
        <f aca="false">IF($D1442="","",IFERROR(INDEX(ClientRates!$D$5:$D$500,MATCH($B1442&amp;"|"&amp;$L1442,ClientRates!$A$5:$A$500,0)),0))</f>
        <v/>
      </c>
      <c r="N1442" s="26" t="str">
        <f aca="false">IF($D1442="","",IFERROR(INDEX(ClientRates!$E$5:$E$500,MATCH($B1442&amp;"|"&amp;$L1442,ClientRates!$A$5:$A$500,0)),0))</f>
        <v/>
      </c>
      <c r="O1442" s="26" t="str">
        <f aca="false">IF($D1442="","",F1442*M1442+G1442*N1442)</f>
        <v/>
      </c>
      <c r="P1442" s="26" t="str">
        <f aca="false">IF(OR($D1442="",$J1442&lt;&gt;"Supplier"),"",IFERROR(INDEX(SupplierRates!$D$5:$D$500,MATCH($K1442&amp;"|"&amp;$L1442,SupplierRates!$A$5:$A$500,0)),0))</f>
        <v/>
      </c>
      <c r="Q1442" s="26" t="str">
        <f aca="false">IF(OR($D1442="",$J1442&lt;&gt;"Supplier"),"",IFERROR(INDEX(SupplierRates!$E$5:$E$500,MATCH($K1442&amp;"|"&amp;$L1442,SupplierRates!$A$5:$A$500,0)),0))</f>
        <v/>
      </c>
      <c r="R1442" s="26" t="n">
        <f aca="false">IF(OR($D1442="",$J1442&lt;&gt;"Supplier"),0,F1442*P1442+G1442*Q1442)</f>
        <v>0</v>
      </c>
      <c r="S1442" s="26" t="n">
        <f aca="false">IF(OR($D1442="",$J1442&lt;&gt;"Own"),0,IFERROR((F1442+G1442*Settings!$B$13)*INDEX(Workers!$V$5:$V$2004,MATCH($D1442,Workers!$A$5:$A$2004,0)),0))</f>
        <v>0</v>
      </c>
      <c r="T1442" s="26" t="str">
        <f aca="false">IF($D1442="","",O1442-R1442-S1442)</f>
        <v/>
      </c>
    </row>
    <row r="1443" customFormat="false" ht="15" hidden="false" customHeight="false" outlineLevel="0" collapsed="false">
      <c r="I1443" s="24" t="str">
        <f aca="false">IF($D1443="","",IFERROR(INDEX(Workers!$B$5:$B$2004,MATCH($D1443,Workers!$A$5:$A$2004,0)),"NOT FOUND"))</f>
        <v/>
      </c>
      <c r="J1443" s="24" t="str">
        <f aca="false">IF($D1443="","",IFERROR(INDEX(Workers!$C$5:$C$2004,MATCH($D1443,Workers!$A$5:$A$2004,0)),""))</f>
        <v/>
      </c>
      <c r="K1443" s="24" t="str">
        <f aca="false">IF($D1443="","",IFERROR(IF(INDEX(Workers!$D$5:$D$2004,MATCH($D1443,Workers!$A$5:$A$2004,0))=0,"",INDEX(Workers!$D$5:$D$2004,MATCH($D1443,Workers!$A$5:$A$2004,0))),""))</f>
        <v/>
      </c>
      <c r="L1443" s="24" t="str">
        <f aca="false">IF($D1443="","",IFERROR(INDEX(Workers!$E$5:$E$2004,MATCH($D1443,Workers!$A$5:$A$2004,0)),""))</f>
        <v/>
      </c>
      <c r="M1443" s="26" t="str">
        <f aca="false">IF($D1443="","",IFERROR(INDEX(ClientRates!$D$5:$D$500,MATCH($B1443&amp;"|"&amp;$L1443,ClientRates!$A$5:$A$500,0)),0))</f>
        <v/>
      </c>
      <c r="N1443" s="26" t="str">
        <f aca="false">IF($D1443="","",IFERROR(INDEX(ClientRates!$E$5:$E$500,MATCH($B1443&amp;"|"&amp;$L1443,ClientRates!$A$5:$A$500,0)),0))</f>
        <v/>
      </c>
      <c r="O1443" s="26" t="str">
        <f aca="false">IF($D1443="","",F1443*M1443+G1443*N1443)</f>
        <v/>
      </c>
      <c r="P1443" s="26" t="str">
        <f aca="false">IF(OR($D1443="",$J1443&lt;&gt;"Supplier"),"",IFERROR(INDEX(SupplierRates!$D$5:$D$500,MATCH($K1443&amp;"|"&amp;$L1443,SupplierRates!$A$5:$A$500,0)),0))</f>
        <v/>
      </c>
      <c r="Q1443" s="26" t="str">
        <f aca="false">IF(OR($D1443="",$J1443&lt;&gt;"Supplier"),"",IFERROR(INDEX(SupplierRates!$E$5:$E$500,MATCH($K1443&amp;"|"&amp;$L1443,SupplierRates!$A$5:$A$500,0)),0))</f>
        <v/>
      </c>
      <c r="R1443" s="26" t="n">
        <f aca="false">IF(OR($D1443="",$J1443&lt;&gt;"Supplier"),0,F1443*P1443+G1443*Q1443)</f>
        <v>0</v>
      </c>
      <c r="S1443" s="26" t="n">
        <f aca="false">IF(OR($D1443="",$J1443&lt;&gt;"Own"),0,IFERROR((F1443+G1443*Settings!$B$13)*INDEX(Workers!$V$5:$V$2004,MATCH($D1443,Workers!$A$5:$A$2004,0)),0))</f>
        <v>0</v>
      </c>
      <c r="T1443" s="26" t="str">
        <f aca="false">IF($D1443="","",O1443-R1443-S1443)</f>
        <v/>
      </c>
    </row>
    <row r="1444" customFormat="false" ht="15" hidden="false" customHeight="false" outlineLevel="0" collapsed="false">
      <c r="I1444" s="24" t="str">
        <f aca="false">IF($D1444="","",IFERROR(INDEX(Workers!$B$5:$B$2004,MATCH($D1444,Workers!$A$5:$A$2004,0)),"NOT FOUND"))</f>
        <v/>
      </c>
      <c r="J1444" s="24" t="str">
        <f aca="false">IF($D1444="","",IFERROR(INDEX(Workers!$C$5:$C$2004,MATCH($D1444,Workers!$A$5:$A$2004,0)),""))</f>
        <v/>
      </c>
      <c r="K1444" s="24" t="str">
        <f aca="false">IF($D1444="","",IFERROR(IF(INDEX(Workers!$D$5:$D$2004,MATCH($D1444,Workers!$A$5:$A$2004,0))=0,"",INDEX(Workers!$D$5:$D$2004,MATCH($D1444,Workers!$A$5:$A$2004,0))),""))</f>
        <v/>
      </c>
      <c r="L1444" s="24" t="str">
        <f aca="false">IF($D1444="","",IFERROR(INDEX(Workers!$E$5:$E$2004,MATCH($D1444,Workers!$A$5:$A$2004,0)),""))</f>
        <v/>
      </c>
      <c r="M1444" s="26" t="str">
        <f aca="false">IF($D1444="","",IFERROR(INDEX(ClientRates!$D$5:$D$500,MATCH($B1444&amp;"|"&amp;$L1444,ClientRates!$A$5:$A$500,0)),0))</f>
        <v/>
      </c>
      <c r="N1444" s="26" t="str">
        <f aca="false">IF($D1444="","",IFERROR(INDEX(ClientRates!$E$5:$E$500,MATCH($B1444&amp;"|"&amp;$L1444,ClientRates!$A$5:$A$500,0)),0))</f>
        <v/>
      </c>
      <c r="O1444" s="26" t="str">
        <f aca="false">IF($D1444="","",F1444*M1444+G1444*N1444)</f>
        <v/>
      </c>
      <c r="P1444" s="26" t="str">
        <f aca="false">IF(OR($D1444="",$J1444&lt;&gt;"Supplier"),"",IFERROR(INDEX(SupplierRates!$D$5:$D$500,MATCH($K1444&amp;"|"&amp;$L1444,SupplierRates!$A$5:$A$500,0)),0))</f>
        <v/>
      </c>
      <c r="Q1444" s="26" t="str">
        <f aca="false">IF(OR($D1444="",$J1444&lt;&gt;"Supplier"),"",IFERROR(INDEX(SupplierRates!$E$5:$E$500,MATCH($K1444&amp;"|"&amp;$L1444,SupplierRates!$A$5:$A$500,0)),0))</f>
        <v/>
      </c>
      <c r="R1444" s="26" t="n">
        <f aca="false">IF(OR($D1444="",$J1444&lt;&gt;"Supplier"),0,F1444*P1444+G1444*Q1444)</f>
        <v>0</v>
      </c>
      <c r="S1444" s="26" t="n">
        <f aca="false">IF(OR($D1444="",$J1444&lt;&gt;"Own"),0,IFERROR((F1444+G1444*Settings!$B$13)*INDEX(Workers!$V$5:$V$2004,MATCH($D1444,Workers!$A$5:$A$2004,0)),0))</f>
        <v>0</v>
      </c>
      <c r="T1444" s="26" t="str">
        <f aca="false">IF($D1444="","",O1444-R1444-S1444)</f>
        <v/>
      </c>
    </row>
    <row r="1445" customFormat="false" ht="15" hidden="false" customHeight="false" outlineLevel="0" collapsed="false">
      <c r="I1445" s="24" t="str">
        <f aca="false">IF($D1445="","",IFERROR(INDEX(Workers!$B$5:$B$2004,MATCH($D1445,Workers!$A$5:$A$2004,0)),"NOT FOUND"))</f>
        <v/>
      </c>
      <c r="J1445" s="24" t="str">
        <f aca="false">IF($D1445="","",IFERROR(INDEX(Workers!$C$5:$C$2004,MATCH($D1445,Workers!$A$5:$A$2004,0)),""))</f>
        <v/>
      </c>
      <c r="K1445" s="24" t="str">
        <f aca="false">IF($D1445="","",IFERROR(IF(INDEX(Workers!$D$5:$D$2004,MATCH($D1445,Workers!$A$5:$A$2004,0))=0,"",INDEX(Workers!$D$5:$D$2004,MATCH($D1445,Workers!$A$5:$A$2004,0))),""))</f>
        <v/>
      </c>
      <c r="L1445" s="24" t="str">
        <f aca="false">IF($D1445="","",IFERROR(INDEX(Workers!$E$5:$E$2004,MATCH($D1445,Workers!$A$5:$A$2004,0)),""))</f>
        <v/>
      </c>
      <c r="M1445" s="26" t="str">
        <f aca="false">IF($D1445="","",IFERROR(INDEX(ClientRates!$D$5:$D$500,MATCH($B1445&amp;"|"&amp;$L1445,ClientRates!$A$5:$A$500,0)),0))</f>
        <v/>
      </c>
      <c r="N1445" s="26" t="str">
        <f aca="false">IF($D1445="","",IFERROR(INDEX(ClientRates!$E$5:$E$500,MATCH($B1445&amp;"|"&amp;$L1445,ClientRates!$A$5:$A$500,0)),0))</f>
        <v/>
      </c>
      <c r="O1445" s="26" t="str">
        <f aca="false">IF($D1445="","",F1445*M1445+G1445*N1445)</f>
        <v/>
      </c>
      <c r="P1445" s="26" t="str">
        <f aca="false">IF(OR($D1445="",$J1445&lt;&gt;"Supplier"),"",IFERROR(INDEX(SupplierRates!$D$5:$D$500,MATCH($K1445&amp;"|"&amp;$L1445,SupplierRates!$A$5:$A$500,0)),0))</f>
        <v/>
      </c>
      <c r="Q1445" s="26" t="str">
        <f aca="false">IF(OR($D1445="",$J1445&lt;&gt;"Supplier"),"",IFERROR(INDEX(SupplierRates!$E$5:$E$500,MATCH($K1445&amp;"|"&amp;$L1445,SupplierRates!$A$5:$A$500,0)),0))</f>
        <v/>
      </c>
      <c r="R1445" s="26" t="n">
        <f aca="false">IF(OR($D1445="",$J1445&lt;&gt;"Supplier"),0,F1445*P1445+G1445*Q1445)</f>
        <v>0</v>
      </c>
      <c r="S1445" s="26" t="n">
        <f aca="false">IF(OR($D1445="",$J1445&lt;&gt;"Own"),0,IFERROR((F1445+G1445*Settings!$B$13)*INDEX(Workers!$V$5:$V$2004,MATCH($D1445,Workers!$A$5:$A$2004,0)),0))</f>
        <v>0</v>
      </c>
      <c r="T1445" s="26" t="str">
        <f aca="false">IF($D1445="","",O1445-R1445-S1445)</f>
        <v/>
      </c>
    </row>
    <row r="1446" customFormat="false" ht="15" hidden="false" customHeight="false" outlineLevel="0" collapsed="false">
      <c r="I1446" s="24" t="str">
        <f aca="false">IF($D1446="","",IFERROR(INDEX(Workers!$B$5:$B$2004,MATCH($D1446,Workers!$A$5:$A$2004,0)),"NOT FOUND"))</f>
        <v/>
      </c>
      <c r="J1446" s="24" t="str">
        <f aca="false">IF($D1446="","",IFERROR(INDEX(Workers!$C$5:$C$2004,MATCH($D1446,Workers!$A$5:$A$2004,0)),""))</f>
        <v/>
      </c>
      <c r="K1446" s="24" t="str">
        <f aca="false">IF($D1446="","",IFERROR(IF(INDEX(Workers!$D$5:$D$2004,MATCH($D1446,Workers!$A$5:$A$2004,0))=0,"",INDEX(Workers!$D$5:$D$2004,MATCH($D1446,Workers!$A$5:$A$2004,0))),""))</f>
        <v/>
      </c>
      <c r="L1446" s="24" t="str">
        <f aca="false">IF($D1446="","",IFERROR(INDEX(Workers!$E$5:$E$2004,MATCH($D1446,Workers!$A$5:$A$2004,0)),""))</f>
        <v/>
      </c>
      <c r="M1446" s="26" t="str">
        <f aca="false">IF($D1446="","",IFERROR(INDEX(ClientRates!$D$5:$D$500,MATCH($B1446&amp;"|"&amp;$L1446,ClientRates!$A$5:$A$500,0)),0))</f>
        <v/>
      </c>
      <c r="N1446" s="26" t="str">
        <f aca="false">IF($D1446="","",IFERROR(INDEX(ClientRates!$E$5:$E$500,MATCH($B1446&amp;"|"&amp;$L1446,ClientRates!$A$5:$A$500,0)),0))</f>
        <v/>
      </c>
      <c r="O1446" s="26" t="str">
        <f aca="false">IF($D1446="","",F1446*M1446+G1446*N1446)</f>
        <v/>
      </c>
      <c r="P1446" s="26" t="str">
        <f aca="false">IF(OR($D1446="",$J1446&lt;&gt;"Supplier"),"",IFERROR(INDEX(SupplierRates!$D$5:$D$500,MATCH($K1446&amp;"|"&amp;$L1446,SupplierRates!$A$5:$A$500,0)),0))</f>
        <v/>
      </c>
      <c r="Q1446" s="26" t="str">
        <f aca="false">IF(OR($D1446="",$J1446&lt;&gt;"Supplier"),"",IFERROR(INDEX(SupplierRates!$E$5:$E$500,MATCH($K1446&amp;"|"&amp;$L1446,SupplierRates!$A$5:$A$500,0)),0))</f>
        <v/>
      </c>
      <c r="R1446" s="26" t="n">
        <f aca="false">IF(OR($D1446="",$J1446&lt;&gt;"Supplier"),0,F1446*P1446+G1446*Q1446)</f>
        <v>0</v>
      </c>
      <c r="S1446" s="26" t="n">
        <f aca="false">IF(OR($D1446="",$J1446&lt;&gt;"Own"),0,IFERROR((F1446+G1446*Settings!$B$13)*INDEX(Workers!$V$5:$V$2004,MATCH($D1446,Workers!$A$5:$A$2004,0)),0))</f>
        <v>0</v>
      </c>
      <c r="T1446" s="26" t="str">
        <f aca="false">IF($D1446="","",O1446-R1446-S1446)</f>
        <v/>
      </c>
    </row>
    <row r="1447" customFormat="false" ht="15" hidden="false" customHeight="false" outlineLevel="0" collapsed="false">
      <c r="I1447" s="24" t="str">
        <f aca="false">IF($D1447="","",IFERROR(INDEX(Workers!$B$5:$B$2004,MATCH($D1447,Workers!$A$5:$A$2004,0)),"NOT FOUND"))</f>
        <v/>
      </c>
      <c r="J1447" s="24" t="str">
        <f aca="false">IF($D1447="","",IFERROR(INDEX(Workers!$C$5:$C$2004,MATCH($D1447,Workers!$A$5:$A$2004,0)),""))</f>
        <v/>
      </c>
      <c r="K1447" s="24" t="str">
        <f aca="false">IF($D1447="","",IFERROR(IF(INDEX(Workers!$D$5:$D$2004,MATCH($D1447,Workers!$A$5:$A$2004,0))=0,"",INDEX(Workers!$D$5:$D$2004,MATCH($D1447,Workers!$A$5:$A$2004,0))),""))</f>
        <v/>
      </c>
      <c r="L1447" s="24" t="str">
        <f aca="false">IF($D1447="","",IFERROR(INDEX(Workers!$E$5:$E$2004,MATCH($D1447,Workers!$A$5:$A$2004,0)),""))</f>
        <v/>
      </c>
      <c r="M1447" s="26" t="str">
        <f aca="false">IF($D1447="","",IFERROR(INDEX(ClientRates!$D$5:$D$500,MATCH($B1447&amp;"|"&amp;$L1447,ClientRates!$A$5:$A$500,0)),0))</f>
        <v/>
      </c>
      <c r="N1447" s="26" t="str">
        <f aca="false">IF($D1447="","",IFERROR(INDEX(ClientRates!$E$5:$E$500,MATCH($B1447&amp;"|"&amp;$L1447,ClientRates!$A$5:$A$500,0)),0))</f>
        <v/>
      </c>
      <c r="O1447" s="26" t="str">
        <f aca="false">IF($D1447="","",F1447*M1447+G1447*N1447)</f>
        <v/>
      </c>
      <c r="P1447" s="26" t="str">
        <f aca="false">IF(OR($D1447="",$J1447&lt;&gt;"Supplier"),"",IFERROR(INDEX(SupplierRates!$D$5:$D$500,MATCH($K1447&amp;"|"&amp;$L1447,SupplierRates!$A$5:$A$500,0)),0))</f>
        <v/>
      </c>
      <c r="Q1447" s="26" t="str">
        <f aca="false">IF(OR($D1447="",$J1447&lt;&gt;"Supplier"),"",IFERROR(INDEX(SupplierRates!$E$5:$E$500,MATCH($K1447&amp;"|"&amp;$L1447,SupplierRates!$A$5:$A$500,0)),0))</f>
        <v/>
      </c>
      <c r="R1447" s="26" t="n">
        <f aca="false">IF(OR($D1447="",$J1447&lt;&gt;"Supplier"),0,F1447*P1447+G1447*Q1447)</f>
        <v>0</v>
      </c>
      <c r="S1447" s="26" t="n">
        <f aca="false">IF(OR($D1447="",$J1447&lt;&gt;"Own"),0,IFERROR((F1447+G1447*Settings!$B$13)*INDEX(Workers!$V$5:$V$2004,MATCH($D1447,Workers!$A$5:$A$2004,0)),0))</f>
        <v>0</v>
      </c>
      <c r="T1447" s="26" t="str">
        <f aca="false">IF($D1447="","",O1447-R1447-S1447)</f>
        <v/>
      </c>
    </row>
    <row r="1448" customFormat="false" ht="15" hidden="false" customHeight="false" outlineLevel="0" collapsed="false">
      <c r="I1448" s="24" t="str">
        <f aca="false">IF($D1448="","",IFERROR(INDEX(Workers!$B$5:$B$2004,MATCH($D1448,Workers!$A$5:$A$2004,0)),"NOT FOUND"))</f>
        <v/>
      </c>
      <c r="J1448" s="24" t="str">
        <f aca="false">IF($D1448="","",IFERROR(INDEX(Workers!$C$5:$C$2004,MATCH($D1448,Workers!$A$5:$A$2004,0)),""))</f>
        <v/>
      </c>
      <c r="K1448" s="24" t="str">
        <f aca="false">IF($D1448="","",IFERROR(IF(INDEX(Workers!$D$5:$D$2004,MATCH($D1448,Workers!$A$5:$A$2004,0))=0,"",INDEX(Workers!$D$5:$D$2004,MATCH($D1448,Workers!$A$5:$A$2004,0))),""))</f>
        <v/>
      </c>
      <c r="L1448" s="24" t="str">
        <f aca="false">IF($D1448="","",IFERROR(INDEX(Workers!$E$5:$E$2004,MATCH($D1448,Workers!$A$5:$A$2004,0)),""))</f>
        <v/>
      </c>
      <c r="M1448" s="26" t="str">
        <f aca="false">IF($D1448="","",IFERROR(INDEX(ClientRates!$D$5:$D$500,MATCH($B1448&amp;"|"&amp;$L1448,ClientRates!$A$5:$A$500,0)),0))</f>
        <v/>
      </c>
      <c r="N1448" s="26" t="str">
        <f aca="false">IF($D1448="","",IFERROR(INDEX(ClientRates!$E$5:$E$500,MATCH($B1448&amp;"|"&amp;$L1448,ClientRates!$A$5:$A$500,0)),0))</f>
        <v/>
      </c>
      <c r="O1448" s="26" t="str">
        <f aca="false">IF($D1448="","",F1448*M1448+G1448*N1448)</f>
        <v/>
      </c>
      <c r="P1448" s="26" t="str">
        <f aca="false">IF(OR($D1448="",$J1448&lt;&gt;"Supplier"),"",IFERROR(INDEX(SupplierRates!$D$5:$D$500,MATCH($K1448&amp;"|"&amp;$L1448,SupplierRates!$A$5:$A$500,0)),0))</f>
        <v/>
      </c>
      <c r="Q1448" s="26" t="str">
        <f aca="false">IF(OR($D1448="",$J1448&lt;&gt;"Supplier"),"",IFERROR(INDEX(SupplierRates!$E$5:$E$500,MATCH($K1448&amp;"|"&amp;$L1448,SupplierRates!$A$5:$A$500,0)),0))</f>
        <v/>
      </c>
      <c r="R1448" s="26" t="n">
        <f aca="false">IF(OR($D1448="",$J1448&lt;&gt;"Supplier"),0,F1448*P1448+G1448*Q1448)</f>
        <v>0</v>
      </c>
      <c r="S1448" s="26" t="n">
        <f aca="false">IF(OR($D1448="",$J1448&lt;&gt;"Own"),0,IFERROR((F1448+G1448*Settings!$B$13)*INDEX(Workers!$V$5:$V$2004,MATCH($D1448,Workers!$A$5:$A$2004,0)),0))</f>
        <v>0</v>
      </c>
      <c r="T1448" s="26" t="str">
        <f aca="false">IF($D1448="","",O1448-R1448-S1448)</f>
        <v/>
      </c>
    </row>
    <row r="1449" customFormat="false" ht="15" hidden="false" customHeight="false" outlineLevel="0" collapsed="false">
      <c r="I1449" s="24" t="str">
        <f aca="false">IF($D1449="","",IFERROR(INDEX(Workers!$B$5:$B$2004,MATCH($D1449,Workers!$A$5:$A$2004,0)),"NOT FOUND"))</f>
        <v/>
      </c>
      <c r="J1449" s="24" t="str">
        <f aca="false">IF($D1449="","",IFERROR(INDEX(Workers!$C$5:$C$2004,MATCH($D1449,Workers!$A$5:$A$2004,0)),""))</f>
        <v/>
      </c>
      <c r="K1449" s="24" t="str">
        <f aca="false">IF($D1449="","",IFERROR(IF(INDEX(Workers!$D$5:$D$2004,MATCH($D1449,Workers!$A$5:$A$2004,0))=0,"",INDEX(Workers!$D$5:$D$2004,MATCH($D1449,Workers!$A$5:$A$2004,0))),""))</f>
        <v/>
      </c>
      <c r="L1449" s="24" t="str">
        <f aca="false">IF($D1449="","",IFERROR(INDEX(Workers!$E$5:$E$2004,MATCH($D1449,Workers!$A$5:$A$2004,0)),""))</f>
        <v/>
      </c>
      <c r="M1449" s="26" t="str">
        <f aca="false">IF($D1449="","",IFERROR(INDEX(ClientRates!$D$5:$D$500,MATCH($B1449&amp;"|"&amp;$L1449,ClientRates!$A$5:$A$500,0)),0))</f>
        <v/>
      </c>
      <c r="N1449" s="26" t="str">
        <f aca="false">IF($D1449="","",IFERROR(INDEX(ClientRates!$E$5:$E$500,MATCH($B1449&amp;"|"&amp;$L1449,ClientRates!$A$5:$A$500,0)),0))</f>
        <v/>
      </c>
      <c r="O1449" s="26" t="str">
        <f aca="false">IF($D1449="","",F1449*M1449+G1449*N1449)</f>
        <v/>
      </c>
      <c r="P1449" s="26" t="str">
        <f aca="false">IF(OR($D1449="",$J1449&lt;&gt;"Supplier"),"",IFERROR(INDEX(SupplierRates!$D$5:$D$500,MATCH($K1449&amp;"|"&amp;$L1449,SupplierRates!$A$5:$A$500,0)),0))</f>
        <v/>
      </c>
      <c r="Q1449" s="26" t="str">
        <f aca="false">IF(OR($D1449="",$J1449&lt;&gt;"Supplier"),"",IFERROR(INDEX(SupplierRates!$E$5:$E$500,MATCH($K1449&amp;"|"&amp;$L1449,SupplierRates!$A$5:$A$500,0)),0))</f>
        <v/>
      </c>
      <c r="R1449" s="26" t="n">
        <f aca="false">IF(OR($D1449="",$J1449&lt;&gt;"Supplier"),0,F1449*P1449+G1449*Q1449)</f>
        <v>0</v>
      </c>
      <c r="S1449" s="26" t="n">
        <f aca="false">IF(OR($D1449="",$J1449&lt;&gt;"Own"),0,IFERROR((F1449+G1449*Settings!$B$13)*INDEX(Workers!$V$5:$V$2004,MATCH($D1449,Workers!$A$5:$A$2004,0)),0))</f>
        <v>0</v>
      </c>
      <c r="T1449" s="26" t="str">
        <f aca="false">IF($D1449="","",O1449-R1449-S1449)</f>
        <v/>
      </c>
    </row>
    <row r="1450" customFormat="false" ht="15" hidden="false" customHeight="false" outlineLevel="0" collapsed="false">
      <c r="I1450" s="24" t="str">
        <f aca="false">IF($D1450="","",IFERROR(INDEX(Workers!$B$5:$B$2004,MATCH($D1450,Workers!$A$5:$A$2004,0)),"NOT FOUND"))</f>
        <v/>
      </c>
      <c r="J1450" s="24" t="str">
        <f aca="false">IF($D1450="","",IFERROR(INDEX(Workers!$C$5:$C$2004,MATCH($D1450,Workers!$A$5:$A$2004,0)),""))</f>
        <v/>
      </c>
      <c r="K1450" s="24" t="str">
        <f aca="false">IF($D1450="","",IFERROR(IF(INDEX(Workers!$D$5:$D$2004,MATCH($D1450,Workers!$A$5:$A$2004,0))=0,"",INDEX(Workers!$D$5:$D$2004,MATCH($D1450,Workers!$A$5:$A$2004,0))),""))</f>
        <v/>
      </c>
      <c r="L1450" s="24" t="str">
        <f aca="false">IF($D1450="","",IFERROR(INDEX(Workers!$E$5:$E$2004,MATCH($D1450,Workers!$A$5:$A$2004,0)),""))</f>
        <v/>
      </c>
      <c r="M1450" s="26" t="str">
        <f aca="false">IF($D1450="","",IFERROR(INDEX(ClientRates!$D$5:$D$500,MATCH($B1450&amp;"|"&amp;$L1450,ClientRates!$A$5:$A$500,0)),0))</f>
        <v/>
      </c>
      <c r="N1450" s="26" t="str">
        <f aca="false">IF($D1450="","",IFERROR(INDEX(ClientRates!$E$5:$E$500,MATCH($B1450&amp;"|"&amp;$L1450,ClientRates!$A$5:$A$500,0)),0))</f>
        <v/>
      </c>
      <c r="O1450" s="26" t="str">
        <f aca="false">IF($D1450="","",F1450*M1450+G1450*N1450)</f>
        <v/>
      </c>
      <c r="P1450" s="26" t="str">
        <f aca="false">IF(OR($D1450="",$J1450&lt;&gt;"Supplier"),"",IFERROR(INDEX(SupplierRates!$D$5:$D$500,MATCH($K1450&amp;"|"&amp;$L1450,SupplierRates!$A$5:$A$500,0)),0))</f>
        <v/>
      </c>
      <c r="Q1450" s="26" t="str">
        <f aca="false">IF(OR($D1450="",$J1450&lt;&gt;"Supplier"),"",IFERROR(INDEX(SupplierRates!$E$5:$E$500,MATCH($K1450&amp;"|"&amp;$L1450,SupplierRates!$A$5:$A$500,0)),0))</f>
        <v/>
      </c>
      <c r="R1450" s="26" t="n">
        <f aca="false">IF(OR($D1450="",$J1450&lt;&gt;"Supplier"),0,F1450*P1450+G1450*Q1450)</f>
        <v>0</v>
      </c>
      <c r="S1450" s="26" t="n">
        <f aca="false">IF(OR($D1450="",$J1450&lt;&gt;"Own"),0,IFERROR((F1450+G1450*Settings!$B$13)*INDEX(Workers!$V$5:$V$2004,MATCH($D1450,Workers!$A$5:$A$2004,0)),0))</f>
        <v>0</v>
      </c>
      <c r="T1450" s="26" t="str">
        <f aca="false">IF($D1450="","",O1450-R1450-S1450)</f>
        <v/>
      </c>
    </row>
    <row r="1451" customFormat="false" ht="15" hidden="false" customHeight="false" outlineLevel="0" collapsed="false">
      <c r="I1451" s="24" t="str">
        <f aca="false">IF($D1451="","",IFERROR(INDEX(Workers!$B$5:$B$2004,MATCH($D1451,Workers!$A$5:$A$2004,0)),"NOT FOUND"))</f>
        <v/>
      </c>
      <c r="J1451" s="24" t="str">
        <f aca="false">IF($D1451="","",IFERROR(INDEX(Workers!$C$5:$C$2004,MATCH($D1451,Workers!$A$5:$A$2004,0)),""))</f>
        <v/>
      </c>
      <c r="K1451" s="24" t="str">
        <f aca="false">IF($D1451="","",IFERROR(IF(INDEX(Workers!$D$5:$D$2004,MATCH($D1451,Workers!$A$5:$A$2004,0))=0,"",INDEX(Workers!$D$5:$D$2004,MATCH($D1451,Workers!$A$5:$A$2004,0))),""))</f>
        <v/>
      </c>
      <c r="L1451" s="24" t="str">
        <f aca="false">IF($D1451="","",IFERROR(INDEX(Workers!$E$5:$E$2004,MATCH($D1451,Workers!$A$5:$A$2004,0)),""))</f>
        <v/>
      </c>
      <c r="M1451" s="26" t="str">
        <f aca="false">IF($D1451="","",IFERROR(INDEX(ClientRates!$D$5:$D$500,MATCH($B1451&amp;"|"&amp;$L1451,ClientRates!$A$5:$A$500,0)),0))</f>
        <v/>
      </c>
      <c r="N1451" s="26" t="str">
        <f aca="false">IF($D1451="","",IFERROR(INDEX(ClientRates!$E$5:$E$500,MATCH($B1451&amp;"|"&amp;$L1451,ClientRates!$A$5:$A$500,0)),0))</f>
        <v/>
      </c>
      <c r="O1451" s="26" t="str">
        <f aca="false">IF($D1451="","",F1451*M1451+G1451*N1451)</f>
        <v/>
      </c>
      <c r="P1451" s="26" t="str">
        <f aca="false">IF(OR($D1451="",$J1451&lt;&gt;"Supplier"),"",IFERROR(INDEX(SupplierRates!$D$5:$D$500,MATCH($K1451&amp;"|"&amp;$L1451,SupplierRates!$A$5:$A$500,0)),0))</f>
        <v/>
      </c>
      <c r="Q1451" s="26" t="str">
        <f aca="false">IF(OR($D1451="",$J1451&lt;&gt;"Supplier"),"",IFERROR(INDEX(SupplierRates!$E$5:$E$500,MATCH($K1451&amp;"|"&amp;$L1451,SupplierRates!$A$5:$A$500,0)),0))</f>
        <v/>
      </c>
      <c r="R1451" s="26" t="n">
        <f aca="false">IF(OR($D1451="",$J1451&lt;&gt;"Supplier"),0,F1451*P1451+G1451*Q1451)</f>
        <v>0</v>
      </c>
      <c r="S1451" s="26" t="n">
        <f aca="false">IF(OR($D1451="",$J1451&lt;&gt;"Own"),0,IFERROR((F1451+G1451*Settings!$B$13)*INDEX(Workers!$V$5:$V$2004,MATCH($D1451,Workers!$A$5:$A$2004,0)),0))</f>
        <v>0</v>
      </c>
      <c r="T1451" s="26" t="str">
        <f aca="false">IF($D1451="","",O1451-R1451-S1451)</f>
        <v/>
      </c>
    </row>
    <row r="1452" customFormat="false" ht="15" hidden="false" customHeight="false" outlineLevel="0" collapsed="false">
      <c r="I1452" s="24" t="str">
        <f aca="false">IF($D1452="","",IFERROR(INDEX(Workers!$B$5:$B$2004,MATCH($D1452,Workers!$A$5:$A$2004,0)),"NOT FOUND"))</f>
        <v/>
      </c>
      <c r="J1452" s="24" t="str">
        <f aca="false">IF($D1452="","",IFERROR(INDEX(Workers!$C$5:$C$2004,MATCH($D1452,Workers!$A$5:$A$2004,0)),""))</f>
        <v/>
      </c>
      <c r="K1452" s="24" t="str">
        <f aca="false">IF($D1452="","",IFERROR(IF(INDEX(Workers!$D$5:$D$2004,MATCH($D1452,Workers!$A$5:$A$2004,0))=0,"",INDEX(Workers!$D$5:$D$2004,MATCH($D1452,Workers!$A$5:$A$2004,0))),""))</f>
        <v/>
      </c>
      <c r="L1452" s="24" t="str">
        <f aca="false">IF($D1452="","",IFERROR(INDEX(Workers!$E$5:$E$2004,MATCH($D1452,Workers!$A$5:$A$2004,0)),""))</f>
        <v/>
      </c>
      <c r="M1452" s="26" t="str">
        <f aca="false">IF($D1452="","",IFERROR(INDEX(ClientRates!$D$5:$D$500,MATCH($B1452&amp;"|"&amp;$L1452,ClientRates!$A$5:$A$500,0)),0))</f>
        <v/>
      </c>
      <c r="N1452" s="26" t="str">
        <f aca="false">IF($D1452="","",IFERROR(INDEX(ClientRates!$E$5:$E$500,MATCH($B1452&amp;"|"&amp;$L1452,ClientRates!$A$5:$A$500,0)),0))</f>
        <v/>
      </c>
      <c r="O1452" s="26" t="str">
        <f aca="false">IF($D1452="","",F1452*M1452+G1452*N1452)</f>
        <v/>
      </c>
      <c r="P1452" s="26" t="str">
        <f aca="false">IF(OR($D1452="",$J1452&lt;&gt;"Supplier"),"",IFERROR(INDEX(SupplierRates!$D$5:$D$500,MATCH($K1452&amp;"|"&amp;$L1452,SupplierRates!$A$5:$A$500,0)),0))</f>
        <v/>
      </c>
      <c r="Q1452" s="26" t="str">
        <f aca="false">IF(OR($D1452="",$J1452&lt;&gt;"Supplier"),"",IFERROR(INDEX(SupplierRates!$E$5:$E$500,MATCH($K1452&amp;"|"&amp;$L1452,SupplierRates!$A$5:$A$500,0)),0))</f>
        <v/>
      </c>
      <c r="R1452" s="26" t="n">
        <f aca="false">IF(OR($D1452="",$J1452&lt;&gt;"Supplier"),0,F1452*P1452+G1452*Q1452)</f>
        <v>0</v>
      </c>
      <c r="S1452" s="26" t="n">
        <f aca="false">IF(OR($D1452="",$J1452&lt;&gt;"Own"),0,IFERROR((F1452+G1452*Settings!$B$13)*INDEX(Workers!$V$5:$V$2004,MATCH($D1452,Workers!$A$5:$A$2004,0)),0))</f>
        <v>0</v>
      </c>
      <c r="T1452" s="26" t="str">
        <f aca="false">IF($D1452="","",O1452-R1452-S1452)</f>
        <v/>
      </c>
    </row>
    <row r="1453" customFormat="false" ht="15" hidden="false" customHeight="false" outlineLevel="0" collapsed="false">
      <c r="I1453" s="24" t="str">
        <f aca="false">IF($D1453="","",IFERROR(INDEX(Workers!$B$5:$B$2004,MATCH($D1453,Workers!$A$5:$A$2004,0)),"NOT FOUND"))</f>
        <v/>
      </c>
      <c r="J1453" s="24" t="str">
        <f aca="false">IF($D1453="","",IFERROR(INDEX(Workers!$C$5:$C$2004,MATCH($D1453,Workers!$A$5:$A$2004,0)),""))</f>
        <v/>
      </c>
      <c r="K1453" s="24" t="str">
        <f aca="false">IF($D1453="","",IFERROR(IF(INDEX(Workers!$D$5:$D$2004,MATCH($D1453,Workers!$A$5:$A$2004,0))=0,"",INDEX(Workers!$D$5:$D$2004,MATCH($D1453,Workers!$A$5:$A$2004,0))),""))</f>
        <v/>
      </c>
      <c r="L1453" s="24" t="str">
        <f aca="false">IF($D1453="","",IFERROR(INDEX(Workers!$E$5:$E$2004,MATCH($D1453,Workers!$A$5:$A$2004,0)),""))</f>
        <v/>
      </c>
      <c r="M1453" s="26" t="str">
        <f aca="false">IF($D1453="","",IFERROR(INDEX(ClientRates!$D$5:$D$500,MATCH($B1453&amp;"|"&amp;$L1453,ClientRates!$A$5:$A$500,0)),0))</f>
        <v/>
      </c>
      <c r="N1453" s="26" t="str">
        <f aca="false">IF($D1453="","",IFERROR(INDEX(ClientRates!$E$5:$E$500,MATCH($B1453&amp;"|"&amp;$L1453,ClientRates!$A$5:$A$500,0)),0))</f>
        <v/>
      </c>
      <c r="O1453" s="26" t="str">
        <f aca="false">IF($D1453="","",F1453*M1453+G1453*N1453)</f>
        <v/>
      </c>
      <c r="P1453" s="26" t="str">
        <f aca="false">IF(OR($D1453="",$J1453&lt;&gt;"Supplier"),"",IFERROR(INDEX(SupplierRates!$D$5:$D$500,MATCH($K1453&amp;"|"&amp;$L1453,SupplierRates!$A$5:$A$500,0)),0))</f>
        <v/>
      </c>
      <c r="Q1453" s="26" t="str">
        <f aca="false">IF(OR($D1453="",$J1453&lt;&gt;"Supplier"),"",IFERROR(INDEX(SupplierRates!$E$5:$E$500,MATCH($K1453&amp;"|"&amp;$L1453,SupplierRates!$A$5:$A$500,0)),0))</f>
        <v/>
      </c>
      <c r="R1453" s="26" t="n">
        <f aca="false">IF(OR($D1453="",$J1453&lt;&gt;"Supplier"),0,F1453*P1453+G1453*Q1453)</f>
        <v>0</v>
      </c>
      <c r="S1453" s="26" t="n">
        <f aca="false">IF(OR($D1453="",$J1453&lt;&gt;"Own"),0,IFERROR((F1453+G1453*Settings!$B$13)*INDEX(Workers!$V$5:$V$2004,MATCH($D1453,Workers!$A$5:$A$2004,0)),0))</f>
        <v>0</v>
      </c>
      <c r="T1453" s="26" t="str">
        <f aca="false">IF($D1453="","",O1453-R1453-S1453)</f>
        <v/>
      </c>
    </row>
    <row r="1454" customFormat="false" ht="15" hidden="false" customHeight="false" outlineLevel="0" collapsed="false">
      <c r="I1454" s="24" t="str">
        <f aca="false">IF($D1454="","",IFERROR(INDEX(Workers!$B$5:$B$2004,MATCH($D1454,Workers!$A$5:$A$2004,0)),"NOT FOUND"))</f>
        <v/>
      </c>
      <c r="J1454" s="24" t="str">
        <f aca="false">IF($D1454="","",IFERROR(INDEX(Workers!$C$5:$C$2004,MATCH($D1454,Workers!$A$5:$A$2004,0)),""))</f>
        <v/>
      </c>
      <c r="K1454" s="24" t="str">
        <f aca="false">IF($D1454="","",IFERROR(IF(INDEX(Workers!$D$5:$D$2004,MATCH($D1454,Workers!$A$5:$A$2004,0))=0,"",INDEX(Workers!$D$5:$D$2004,MATCH($D1454,Workers!$A$5:$A$2004,0))),""))</f>
        <v/>
      </c>
      <c r="L1454" s="24" t="str">
        <f aca="false">IF($D1454="","",IFERROR(INDEX(Workers!$E$5:$E$2004,MATCH($D1454,Workers!$A$5:$A$2004,0)),""))</f>
        <v/>
      </c>
      <c r="M1454" s="26" t="str">
        <f aca="false">IF($D1454="","",IFERROR(INDEX(ClientRates!$D$5:$D$500,MATCH($B1454&amp;"|"&amp;$L1454,ClientRates!$A$5:$A$500,0)),0))</f>
        <v/>
      </c>
      <c r="N1454" s="26" t="str">
        <f aca="false">IF($D1454="","",IFERROR(INDEX(ClientRates!$E$5:$E$500,MATCH($B1454&amp;"|"&amp;$L1454,ClientRates!$A$5:$A$500,0)),0))</f>
        <v/>
      </c>
      <c r="O1454" s="26" t="str">
        <f aca="false">IF($D1454="","",F1454*M1454+G1454*N1454)</f>
        <v/>
      </c>
      <c r="P1454" s="26" t="str">
        <f aca="false">IF(OR($D1454="",$J1454&lt;&gt;"Supplier"),"",IFERROR(INDEX(SupplierRates!$D$5:$D$500,MATCH($K1454&amp;"|"&amp;$L1454,SupplierRates!$A$5:$A$500,0)),0))</f>
        <v/>
      </c>
      <c r="Q1454" s="26" t="str">
        <f aca="false">IF(OR($D1454="",$J1454&lt;&gt;"Supplier"),"",IFERROR(INDEX(SupplierRates!$E$5:$E$500,MATCH($K1454&amp;"|"&amp;$L1454,SupplierRates!$A$5:$A$500,0)),0))</f>
        <v/>
      </c>
      <c r="R1454" s="26" t="n">
        <f aca="false">IF(OR($D1454="",$J1454&lt;&gt;"Supplier"),0,F1454*P1454+G1454*Q1454)</f>
        <v>0</v>
      </c>
      <c r="S1454" s="26" t="n">
        <f aca="false">IF(OR($D1454="",$J1454&lt;&gt;"Own"),0,IFERROR((F1454+G1454*Settings!$B$13)*INDEX(Workers!$V$5:$V$2004,MATCH($D1454,Workers!$A$5:$A$2004,0)),0))</f>
        <v>0</v>
      </c>
      <c r="T1454" s="26" t="str">
        <f aca="false">IF($D1454="","",O1454-R1454-S1454)</f>
        <v/>
      </c>
    </row>
    <row r="1455" customFormat="false" ht="15" hidden="false" customHeight="false" outlineLevel="0" collapsed="false">
      <c r="I1455" s="24" t="str">
        <f aca="false">IF($D1455="","",IFERROR(INDEX(Workers!$B$5:$B$2004,MATCH($D1455,Workers!$A$5:$A$2004,0)),"NOT FOUND"))</f>
        <v/>
      </c>
      <c r="J1455" s="24" t="str">
        <f aca="false">IF($D1455="","",IFERROR(INDEX(Workers!$C$5:$C$2004,MATCH($D1455,Workers!$A$5:$A$2004,0)),""))</f>
        <v/>
      </c>
      <c r="K1455" s="24" t="str">
        <f aca="false">IF($D1455="","",IFERROR(IF(INDEX(Workers!$D$5:$D$2004,MATCH($D1455,Workers!$A$5:$A$2004,0))=0,"",INDEX(Workers!$D$5:$D$2004,MATCH($D1455,Workers!$A$5:$A$2004,0))),""))</f>
        <v/>
      </c>
      <c r="L1455" s="24" t="str">
        <f aca="false">IF($D1455="","",IFERROR(INDEX(Workers!$E$5:$E$2004,MATCH($D1455,Workers!$A$5:$A$2004,0)),""))</f>
        <v/>
      </c>
      <c r="M1455" s="26" t="str">
        <f aca="false">IF($D1455="","",IFERROR(INDEX(ClientRates!$D$5:$D$500,MATCH($B1455&amp;"|"&amp;$L1455,ClientRates!$A$5:$A$500,0)),0))</f>
        <v/>
      </c>
      <c r="N1455" s="26" t="str">
        <f aca="false">IF($D1455="","",IFERROR(INDEX(ClientRates!$E$5:$E$500,MATCH($B1455&amp;"|"&amp;$L1455,ClientRates!$A$5:$A$500,0)),0))</f>
        <v/>
      </c>
      <c r="O1455" s="26" t="str">
        <f aca="false">IF($D1455="","",F1455*M1455+G1455*N1455)</f>
        <v/>
      </c>
      <c r="P1455" s="26" t="str">
        <f aca="false">IF(OR($D1455="",$J1455&lt;&gt;"Supplier"),"",IFERROR(INDEX(SupplierRates!$D$5:$D$500,MATCH($K1455&amp;"|"&amp;$L1455,SupplierRates!$A$5:$A$500,0)),0))</f>
        <v/>
      </c>
      <c r="Q1455" s="26" t="str">
        <f aca="false">IF(OR($D1455="",$J1455&lt;&gt;"Supplier"),"",IFERROR(INDEX(SupplierRates!$E$5:$E$500,MATCH($K1455&amp;"|"&amp;$L1455,SupplierRates!$A$5:$A$500,0)),0))</f>
        <v/>
      </c>
      <c r="R1455" s="26" t="n">
        <f aca="false">IF(OR($D1455="",$J1455&lt;&gt;"Supplier"),0,F1455*P1455+G1455*Q1455)</f>
        <v>0</v>
      </c>
      <c r="S1455" s="26" t="n">
        <f aca="false">IF(OR($D1455="",$J1455&lt;&gt;"Own"),0,IFERROR((F1455+G1455*Settings!$B$13)*INDEX(Workers!$V$5:$V$2004,MATCH($D1455,Workers!$A$5:$A$2004,0)),0))</f>
        <v>0</v>
      </c>
      <c r="T1455" s="26" t="str">
        <f aca="false">IF($D1455="","",O1455-R1455-S1455)</f>
        <v/>
      </c>
    </row>
    <row r="1456" customFormat="false" ht="15" hidden="false" customHeight="false" outlineLevel="0" collapsed="false">
      <c r="I1456" s="24" t="str">
        <f aca="false">IF($D1456="","",IFERROR(INDEX(Workers!$B$5:$B$2004,MATCH($D1456,Workers!$A$5:$A$2004,0)),"NOT FOUND"))</f>
        <v/>
      </c>
      <c r="J1456" s="24" t="str">
        <f aca="false">IF($D1456="","",IFERROR(INDEX(Workers!$C$5:$C$2004,MATCH($D1456,Workers!$A$5:$A$2004,0)),""))</f>
        <v/>
      </c>
      <c r="K1456" s="24" t="str">
        <f aca="false">IF($D1456="","",IFERROR(IF(INDEX(Workers!$D$5:$D$2004,MATCH($D1456,Workers!$A$5:$A$2004,0))=0,"",INDEX(Workers!$D$5:$D$2004,MATCH($D1456,Workers!$A$5:$A$2004,0))),""))</f>
        <v/>
      </c>
      <c r="L1456" s="24" t="str">
        <f aca="false">IF($D1456="","",IFERROR(INDEX(Workers!$E$5:$E$2004,MATCH($D1456,Workers!$A$5:$A$2004,0)),""))</f>
        <v/>
      </c>
      <c r="M1456" s="26" t="str">
        <f aca="false">IF($D1456="","",IFERROR(INDEX(ClientRates!$D$5:$D$500,MATCH($B1456&amp;"|"&amp;$L1456,ClientRates!$A$5:$A$500,0)),0))</f>
        <v/>
      </c>
      <c r="N1456" s="26" t="str">
        <f aca="false">IF($D1456="","",IFERROR(INDEX(ClientRates!$E$5:$E$500,MATCH($B1456&amp;"|"&amp;$L1456,ClientRates!$A$5:$A$500,0)),0))</f>
        <v/>
      </c>
      <c r="O1456" s="26" t="str">
        <f aca="false">IF($D1456="","",F1456*M1456+G1456*N1456)</f>
        <v/>
      </c>
      <c r="P1456" s="26" t="str">
        <f aca="false">IF(OR($D1456="",$J1456&lt;&gt;"Supplier"),"",IFERROR(INDEX(SupplierRates!$D$5:$D$500,MATCH($K1456&amp;"|"&amp;$L1456,SupplierRates!$A$5:$A$500,0)),0))</f>
        <v/>
      </c>
      <c r="Q1456" s="26" t="str">
        <f aca="false">IF(OR($D1456="",$J1456&lt;&gt;"Supplier"),"",IFERROR(INDEX(SupplierRates!$E$5:$E$500,MATCH($K1456&amp;"|"&amp;$L1456,SupplierRates!$A$5:$A$500,0)),0))</f>
        <v/>
      </c>
      <c r="R1456" s="26" t="n">
        <f aca="false">IF(OR($D1456="",$J1456&lt;&gt;"Supplier"),0,F1456*P1456+G1456*Q1456)</f>
        <v>0</v>
      </c>
      <c r="S1456" s="26" t="n">
        <f aca="false">IF(OR($D1456="",$J1456&lt;&gt;"Own"),0,IFERROR((F1456+G1456*Settings!$B$13)*INDEX(Workers!$V$5:$V$2004,MATCH($D1456,Workers!$A$5:$A$2004,0)),0))</f>
        <v>0</v>
      </c>
      <c r="T1456" s="26" t="str">
        <f aca="false">IF($D1456="","",O1456-R1456-S1456)</f>
        <v/>
      </c>
    </row>
    <row r="1457" customFormat="false" ht="15" hidden="false" customHeight="false" outlineLevel="0" collapsed="false">
      <c r="I1457" s="24" t="str">
        <f aca="false">IF($D1457="","",IFERROR(INDEX(Workers!$B$5:$B$2004,MATCH($D1457,Workers!$A$5:$A$2004,0)),"NOT FOUND"))</f>
        <v/>
      </c>
      <c r="J1457" s="24" t="str">
        <f aca="false">IF($D1457="","",IFERROR(INDEX(Workers!$C$5:$C$2004,MATCH($D1457,Workers!$A$5:$A$2004,0)),""))</f>
        <v/>
      </c>
      <c r="K1457" s="24" t="str">
        <f aca="false">IF($D1457="","",IFERROR(IF(INDEX(Workers!$D$5:$D$2004,MATCH($D1457,Workers!$A$5:$A$2004,0))=0,"",INDEX(Workers!$D$5:$D$2004,MATCH($D1457,Workers!$A$5:$A$2004,0))),""))</f>
        <v/>
      </c>
      <c r="L1457" s="24" t="str">
        <f aca="false">IF($D1457="","",IFERROR(INDEX(Workers!$E$5:$E$2004,MATCH($D1457,Workers!$A$5:$A$2004,0)),""))</f>
        <v/>
      </c>
      <c r="M1457" s="26" t="str">
        <f aca="false">IF($D1457="","",IFERROR(INDEX(ClientRates!$D$5:$D$500,MATCH($B1457&amp;"|"&amp;$L1457,ClientRates!$A$5:$A$500,0)),0))</f>
        <v/>
      </c>
      <c r="N1457" s="26" t="str">
        <f aca="false">IF($D1457="","",IFERROR(INDEX(ClientRates!$E$5:$E$500,MATCH($B1457&amp;"|"&amp;$L1457,ClientRates!$A$5:$A$500,0)),0))</f>
        <v/>
      </c>
      <c r="O1457" s="26" t="str">
        <f aca="false">IF($D1457="","",F1457*M1457+G1457*N1457)</f>
        <v/>
      </c>
      <c r="P1457" s="26" t="str">
        <f aca="false">IF(OR($D1457="",$J1457&lt;&gt;"Supplier"),"",IFERROR(INDEX(SupplierRates!$D$5:$D$500,MATCH($K1457&amp;"|"&amp;$L1457,SupplierRates!$A$5:$A$500,0)),0))</f>
        <v/>
      </c>
      <c r="Q1457" s="26" t="str">
        <f aca="false">IF(OR($D1457="",$J1457&lt;&gt;"Supplier"),"",IFERROR(INDEX(SupplierRates!$E$5:$E$500,MATCH($K1457&amp;"|"&amp;$L1457,SupplierRates!$A$5:$A$500,0)),0))</f>
        <v/>
      </c>
      <c r="R1457" s="26" t="n">
        <f aca="false">IF(OR($D1457="",$J1457&lt;&gt;"Supplier"),0,F1457*P1457+G1457*Q1457)</f>
        <v>0</v>
      </c>
      <c r="S1457" s="26" t="n">
        <f aca="false">IF(OR($D1457="",$J1457&lt;&gt;"Own"),0,IFERROR((F1457+G1457*Settings!$B$13)*INDEX(Workers!$V$5:$V$2004,MATCH($D1457,Workers!$A$5:$A$2004,0)),0))</f>
        <v>0</v>
      </c>
      <c r="T1457" s="26" t="str">
        <f aca="false">IF($D1457="","",O1457-R1457-S1457)</f>
        <v/>
      </c>
    </row>
    <row r="1458" customFormat="false" ht="15" hidden="false" customHeight="false" outlineLevel="0" collapsed="false">
      <c r="I1458" s="24" t="str">
        <f aca="false">IF($D1458="","",IFERROR(INDEX(Workers!$B$5:$B$2004,MATCH($D1458,Workers!$A$5:$A$2004,0)),"NOT FOUND"))</f>
        <v/>
      </c>
      <c r="J1458" s="24" t="str">
        <f aca="false">IF($D1458="","",IFERROR(INDEX(Workers!$C$5:$C$2004,MATCH($D1458,Workers!$A$5:$A$2004,0)),""))</f>
        <v/>
      </c>
      <c r="K1458" s="24" t="str">
        <f aca="false">IF($D1458="","",IFERROR(IF(INDEX(Workers!$D$5:$D$2004,MATCH($D1458,Workers!$A$5:$A$2004,0))=0,"",INDEX(Workers!$D$5:$D$2004,MATCH($D1458,Workers!$A$5:$A$2004,0))),""))</f>
        <v/>
      </c>
      <c r="L1458" s="24" t="str">
        <f aca="false">IF($D1458="","",IFERROR(INDEX(Workers!$E$5:$E$2004,MATCH($D1458,Workers!$A$5:$A$2004,0)),""))</f>
        <v/>
      </c>
      <c r="M1458" s="26" t="str">
        <f aca="false">IF($D1458="","",IFERROR(INDEX(ClientRates!$D$5:$D$500,MATCH($B1458&amp;"|"&amp;$L1458,ClientRates!$A$5:$A$500,0)),0))</f>
        <v/>
      </c>
      <c r="N1458" s="26" t="str">
        <f aca="false">IF($D1458="","",IFERROR(INDEX(ClientRates!$E$5:$E$500,MATCH($B1458&amp;"|"&amp;$L1458,ClientRates!$A$5:$A$500,0)),0))</f>
        <v/>
      </c>
      <c r="O1458" s="26" t="str">
        <f aca="false">IF($D1458="","",F1458*M1458+G1458*N1458)</f>
        <v/>
      </c>
      <c r="P1458" s="26" t="str">
        <f aca="false">IF(OR($D1458="",$J1458&lt;&gt;"Supplier"),"",IFERROR(INDEX(SupplierRates!$D$5:$D$500,MATCH($K1458&amp;"|"&amp;$L1458,SupplierRates!$A$5:$A$500,0)),0))</f>
        <v/>
      </c>
      <c r="Q1458" s="26" t="str">
        <f aca="false">IF(OR($D1458="",$J1458&lt;&gt;"Supplier"),"",IFERROR(INDEX(SupplierRates!$E$5:$E$500,MATCH($K1458&amp;"|"&amp;$L1458,SupplierRates!$A$5:$A$500,0)),0))</f>
        <v/>
      </c>
      <c r="R1458" s="26" t="n">
        <f aca="false">IF(OR($D1458="",$J1458&lt;&gt;"Supplier"),0,F1458*P1458+G1458*Q1458)</f>
        <v>0</v>
      </c>
      <c r="S1458" s="26" t="n">
        <f aca="false">IF(OR($D1458="",$J1458&lt;&gt;"Own"),0,IFERROR((F1458+G1458*Settings!$B$13)*INDEX(Workers!$V$5:$V$2004,MATCH($D1458,Workers!$A$5:$A$2004,0)),0))</f>
        <v>0</v>
      </c>
      <c r="T1458" s="26" t="str">
        <f aca="false">IF($D1458="","",O1458-R1458-S1458)</f>
        <v/>
      </c>
    </row>
    <row r="1459" customFormat="false" ht="15" hidden="false" customHeight="false" outlineLevel="0" collapsed="false">
      <c r="I1459" s="24" t="str">
        <f aca="false">IF($D1459="","",IFERROR(INDEX(Workers!$B$5:$B$2004,MATCH($D1459,Workers!$A$5:$A$2004,0)),"NOT FOUND"))</f>
        <v/>
      </c>
      <c r="J1459" s="24" t="str">
        <f aca="false">IF($D1459="","",IFERROR(INDEX(Workers!$C$5:$C$2004,MATCH($D1459,Workers!$A$5:$A$2004,0)),""))</f>
        <v/>
      </c>
      <c r="K1459" s="24" t="str">
        <f aca="false">IF($D1459="","",IFERROR(IF(INDEX(Workers!$D$5:$D$2004,MATCH($D1459,Workers!$A$5:$A$2004,0))=0,"",INDEX(Workers!$D$5:$D$2004,MATCH($D1459,Workers!$A$5:$A$2004,0))),""))</f>
        <v/>
      </c>
      <c r="L1459" s="24" t="str">
        <f aca="false">IF($D1459="","",IFERROR(INDEX(Workers!$E$5:$E$2004,MATCH($D1459,Workers!$A$5:$A$2004,0)),""))</f>
        <v/>
      </c>
      <c r="M1459" s="26" t="str">
        <f aca="false">IF($D1459="","",IFERROR(INDEX(ClientRates!$D$5:$D$500,MATCH($B1459&amp;"|"&amp;$L1459,ClientRates!$A$5:$A$500,0)),0))</f>
        <v/>
      </c>
      <c r="N1459" s="26" t="str">
        <f aca="false">IF($D1459="","",IFERROR(INDEX(ClientRates!$E$5:$E$500,MATCH($B1459&amp;"|"&amp;$L1459,ClientRates!$A$5:$A$500,0)),0))</f>
        <v/>
      </c>
      <c r="O1459" s="26" t="str">
        <f aca="false">IF($D1459="","",F1459*M1459+G1459*N1459)</f>
        <v/>
      </c>
      <c r="P1459" s="26" t="str">
        <f aca="false">IF(OR($D1459="",$J1459&lt;&gt;"Supplier"),"",IFERROR(INDEX(SupplierRates!$D$5:$D$500,MATCH($K1459&amp;"|"&amp;$L1459,SupplierRates!$A$5:$A$500,0)),0))</f>
        <v/>
      </c>
      <c r="Q1459" s="26" t="str">
        <f aca="false">IF(OR($D1459="",$J1459&lt;&gt;"Supplier"),"",IFERROR(INDEX(SupplierRates!$E$5:$E$500,MATCH($K1459&amp;"|"&amp;$L1459,SupplierRates!$A$5:$A$500,0)),0))</f>
        <v/>
      </c>
      <c r="R1459" s="26" t="n">
        <f aca="false">IF(OR($D1459="",$J1459&lt;&gt;"Supplier"),0,F1459*P1459+G1459*Q1459)</f>
        <v>0</v>
      </c>
      <c r="S1459" s="26" t="n">
        <f aca="false">IF(OR($D1459="",$J1459&lt;&gt;"Own"),0,IFERROR((F1459+G1459*Settings!$B$13)*INDEX(Workers!$V$5:$V$2004,MATCH($D1459,Workers!$A$5:$A$2004,0)),0))</f>
        <v>0</v>
      </c>
      <c r="T1459" s="26" t="str">
        <f aca="false">IF($D1459="","",O1459-R1459-S1459)</f>
        <v/>
      </c>
    </row>
    <row r="1460" customFormat="false" ht="15" hidden="false" customHeight="false" outlineLevel="0" collapsed="false">
      <c r="I1460" s="24" t="str">
        <f aca="false">IF($D1460="","",IFERROR(INDEX(Workers!$B$5:$B$2004,MATCH($D1460,Workers!$A$5:$A$2004,0)),"NOT FOUND"))</f>
        <v/>
      </c>
      <c r="J1460" s="24" t="str">
        <f aca="false">IF($D1460="","",IFERROR(INDEX(Workers!$C$5:$C$2004,MATCH($D1460,Workers!$A$5:$A$2004,0)),""))</f>
        <v/>
      </c>
      <c r="K1460" s="24" t="str">
        <f aca="false">IF($D1460="","",IFERROR(IF(INDEX(Workers!$D$5:$D$2004,MATCH($D1460,Workers!$A$5:$A$2004,0))=0,"",INDEX(Workers!$D$5:$D$2004,MATCH($D1460,Workers!$A$5:$A$2004,0))),""))</f>
        <v/>
      </c>
      <c r="L1460" s="24" t="str">
        <f aca="false">IF($D1460="","",IFERROR(INDEX(Workers!$E$5:$E$2004,MATCH($D1460,Workers!$A$5:$A$2004,0)),""))</f>
        <v/>
      </c>
      <c r="M1460" s="26" t="str">
        <f aca="false">IF($D1460="","",IFERROR(INDEX(ClientRates!$D$5:$D$500,MATCH($B1460&amp;"|"&amp;$L1460,ClientRates!$A$5:$A$500,0)),0))</f>
        <v/>
      </c>
      <c r="N1460" s="26" t="str">
        <f aca="false">IF($D1460="","",IFERROR(INDEX(ClientRates!$E$5:$E$500,MATCH($B1460&amp;"|"&amp;$L1460,ClientRates!$A$5:$A$500,0)),0))</f>
        <v/>
      </c>
      <c r="O1460" s="26" t="str">
        <f aca="false">IF($D1460="","",F1460*M1460+G1460*N1460)</f>
        <v/>
      </c>
      <c r="P1460" s="26" t="str">
        <f aca="false">IF(OR($D1460="",$J1460&lt;&gt;"Supplier"),"",IFERROR(INDEX(SupplierRates!$D$5:$D$500,MATCH($K1460&amp;"|"&amp;$L1460,SupplierRates!$A$5:$A$500,0)),0))</f>
        <v/>
      </c>
      <c r="Q1460" s="26" t="str">
        <f aca="false">IF(OR($D1460="",$J1460&lt;&gt;"Supplier"),"",IFERROR(INDEX(SupplierRates!$E$5:$E$500,MATCH($K1460&amp;"|"&amp;$L1460,SupplierRates!$A$5:$A$500,0)),0))</f>
        <v/>
      </c>
      <c r="R1460" s="26" t="n">
        <f aca="false">IF(OR($D1460="",$J1460&lt;&gt;"Supplier"),0,F1460*P1460+G1460*Q1460)</f>
        <v>0</v>
      </c>
      <c r="S1460" s="26" t="n">
        <f aca="false">IF(OR($D1460="",$J1460&lt;&gt;"Own"),0,IFERROR((F1460+G1460*Settings!$B$13)*INDEX(Workers!$V$5:$V$2004,MATCH($D1460,Workers!$A$5:$A$2004,0)),0))</f>
        <v>0</v>
      </c>
      <c r="T1460" s="26" t="str">
        <f aca="false">IF($D1460="","",O1460-R1460-S1460)</f>
        <v/>
      </c>
    </row>
    <row r="1461" customFormat="false" ht="15" hidden="false" customHeight="false" outlineLevel="0" collapsed="false">
      <c r="I1461" s="24" t="str">
        <f aca="false">IF($D1461="","",IFERROR(INDEX(Workers!$B$5:$B$2004,MATCH($D1461,Workers!$A$5:$A$2004,0)),"NOT FOUND"))</f>
        <v/>
      </c>
      <c r="J1461" s="24" t="str">
        <f aca="false">IF($D1461="","",IFERROR(INDEX(Workers!$C$5:$C$2004,MATCH($D1461,Workers!$A$5:$A$2004,0)),""))</f>
        <v/>
      </c>
      <c r="K1461" s="24" t="str">
        <f aca="false">IF($D1461="","",IFERROR(IF(INDEX(Workers!$D$5:$D$2004,MATCH($D1461,Workers!$A$5:$A$2004,0))=0,"",INDEX(Workers!$D$5:$D$2004,MATCH($D1461,Workers!$A$5:$A$2004,0))),""))</f>
        <v/>
      </c>
      <c r="L1461" s="24" t="str">
        <f aca="false">IF($D1461="","",IFERROR(INDEX(Workers!$E$5:$E$2004,MATCH($D1461,Workers!$A$5:$A$2004,0)),""))</f>
        <v/>
      </c>
      <c r="M1461" s="26" t="str">
        <f aca="false">IF($D1461="","",IFERROR(INDEX(ClientRates!$D$5:$D$500,MATCH($B1461&amp;"|"&amp;$L1461,ClientRates!$A$5:$A$500,0)),0))</f>
        <v/>
      </c>
      <c r="N1461" s="26" t="str">
        <f aca="false">IF($D1461="","",IFERROR(INDEX(ClientRates!$E$5:$E$500,MATCH($B1461&amp;"|"&amp;$L1461,ClientRates!$A$5:$A$500,0)),0))</f>
        <v/>
      </c>
      <c r="O1461" s="26" t="str">
        <f aca="false">IF($D1461="","",F1461*M1461+G1461*N1461)</f>
        <v/>
      </c>
      <c r="P1461" s="26" t="str">
        <f aca="false">IF(OR($D1461="",$J1461&lt;&gt;"Supplier"),"",IFERROR(INDEX(SupplierRates!$D$5:$D$500,MATCH($K1461&amp;"|"&amp;$L1461,SupplierRates!$A$5:$A$500,0)),0))</f>
        <v/>
      </c>
      <c r="Q1461" s="26" t="str">
        <f aca="false">IF(OR($D1461="",$J1461&lt;&gt;"Supplier"),"",IFERROR(INDEX(SupplierRates!$E$5:$E$500,MATCH($K1461&amp;"|"&amp;$L1461,SupplierRates!$A$5:$A$500,0)),0))</f>
        <v/>
      </c>
      <c r="R1461" s="26" t="n">
        <f aca="false">IF(OR($D1461="",$J1461&lt;&gt;"Supplier"),0,F1461*P1461+G1461*Q1461)</f>
        <v>0</v>
      </c>
      <c r="S1461" s="26" t="n">
        <f aca="false">IF(OR($D1461="",$J1461&lt;&gt;"Own"),0,IFERROR((F1461+G1461*Settings!$B$13)*INDEX(Workers!$V$5:$V$2004,MATCH($D1461,Workers!$A$5:$A$2004,0)),0))</f>
        <v>0</v>
      </c>
      <c r="T1461" s="26" t="str">
        <f aca="false">IF($D1461="","",O1461-R1461-S1461)</f>
        <v/>
      </c>
    </row>
    <row r="1462" customFormat="false" ht="15" hidden="false" customHeight="false" outlineLevel="0" collapsed="false">
      <c r="I1462" s="24" t="str">
        <f aca="false">IF($D1462="","",IFERROR(INDEX(Workers!$B$5:$B$2004,MATCH($D1462,Workers!$A$5:$A$2004,0)),"NOT FOUND"))</f>
        <v/>
      </c>
      <c r="J1462" s="24" t="str">
        <f aca="false">IF($D1462="","",IFERROR(INDEX(Workers!$C$5:$C$2004,MATCH($D1462,Workers!$A$5:$A$2004,0)),""))</f>
        <v/>
      </c>
      <c r="K1462" s="24" t="str">
        <f aca="false">IF($D1462="","",IFERROR(IF(INDEX(Workers!$D$5:$D$2004,MATCH($D1462,Workers!$A$5:$A$2004,0))=0,"",INDEX(Workers!$D$5:$D$2004,MATCH($D1462,Workers!$A$5:$A$2004,0))),""))</f>
        <v/>
      </c>
      <c r="L1462" s="24" t="str">
        <f aca="false">IF($D1462="","",IFERROR(INDEX(Workers!$E$5:$E$2004,MATCH($D1462,Workers!$A$5:$A$2004,0)),""))</f>
        <v/>
      </c>
      <c r="M1462" s="26" t="str">
        <f aca="false">IF($D1462="","",IFERROR(INDEX(ClientRates!$D$5:$D$500,MATCH($B1462&amp;"|"&amp;$L1462,ClientRates!$A$5:$A$500,0)),0))</f>
        <v/>
      </c>
      <c r="N1462" s="26" t="str">
        <f aca="false">IF($D1462="","",IFERROR(INDEX(ClientRates!$E$5:$E$500,MATCH($B1462&amp;"|"&amp;$L1462,ClientRates!$A$5:$A$500,0)),0))</f>
        <v/>
      </c>
      <c r="O1462" s="26" t="str">
        <f aca="false">IF($D1462="","",F1462*M1462+G1462*N1462)</f>
        <v/>
      </c>
      <c r="P1462" s="26" t="str">
        <f aca="false">IF(OR($D1462="",$J1462&lt;&gt;"Supplier"),"",IFERROR(INDEX(SupplierRates!$D$5:$D$500,MATCH($K1462&amp;"|"&amp;$L1462,SupplierRates!$A$5:$A$500,0)),0))</f>
        <v/>
      </c>
      <c r="Q1462" s="26" t="str">
        <f aca="false">IF(OR($D1462="",$J1462&lt;&gt;"Supplier"),"",IFERROR(INDEX(SupplierRates!$E$5:$E$500,MATCH($K1462&amp;"|"&amp;$L1462,SupplierRates!$A$5:$A$500,0)),0))</f>
        <v/>
      </c>
      <c r="R1462" s="26" t="n">
        <f aca="false">IF(OR($D1462="",$J1462&lt;&gt;"Supplier"),0,F1462*P1462+G1462*Q1462)</f>
        <v>0</v>
      </c>
      <c r="S1462" s="26" t="n">
        <f aca="false">IF(OR($D1462="",$J1462&lt;&gt;"Own"),0,IFERROR((F1462+G1462*Settings!$B$13)*INDEX(Workers!$V$5:$V$2004,MATCH($D1462,Workers!$A$5:$A$2004,0)),0))</f>
        <v>0</v>
      </c>
      <c r="T1462" s="26" t="str">
        <f aca="false">IF($D1462="","",O1462-R1462-S1462)</f>
        <v/>
      </c>
    </row>
    <row r="1463" customFormat="false" ht="15" hidden="false" customHeight="false" outlineLevel="0" collapsed="false">
      <c r="I1463" s="24" t="str">
        <f aca="false">IF($D1463="","",IFERROR(INDEX(Workers!$B$5:$B$2004,MATCH($D1463,Workers!$A$5:$A$2004,0)),"NOT FOUND"))</f>
        <v/>
      </c>
      <c r="J1463" s="24" t="str">
        <f aca="false">IF($D1463="","",IFERROR(INDEX(Workers!$C$5:$C$2004,MATCH($D1463,Workers!$A$5:$A$2004,0)),""))</f>
        <v/>
      </c>
      <c r="K1463" s="24" t="str">
        <f aca="false">IF($D1463="","",IFERROR(IF(INDEX(Workers!$D$5:$D$2004,MATCH($D1463,Workers!$A$5:$A$2004,0))=0,"",INDEX(Workers!$D$5:$D$2004,MATCH($D1463,Workers!$A$5:$A$2004,0))),""))</f>
        <v/>
      </c>
      <c r="L1463" s="24" t="str">
        <f aca="false">IF($D1463="","",IFERROR(INDEX(Workers!$E$5:$E$2004,MATCH($D1463,Workers!$A$5:$A$2004,0)),""))</f>
        <v/>
      </c>
      <c r="M1463" s="26" t="str">
        <f aca="false">IF($D1463="","",IFERROR(INDEX(ClientRates!$D$5:$D$500,MATCH($B1463&amp;"|"&amp;$L1463,ClientRates!$A$5:$A$500,0)),0))</f>
        <v/>
      </c>
      <c r="N1463" s="26" t="str">
        <f aca="false">IF($D1463="","",IFERROR(INDEX(ClientRates!$E$5:$E$500,MATCH($B1463&amp;"|"&amp;$L1463,ClientRates!$A$5:$A$500,0)),0))</f>
        <v/>
      </c>
      <c r="O1463" s="26" t="str">
        <f aca="false">IF($D1463="","",F1463*M1463+G1463*N1463)</f>
        <v/>
      </c>
      <c r="P1463" s="26" t="str">
        <f aca="false">IF(OR($D1463="",$J1463&lt;&gt;"Supplier"),"",IFERROR(INDEX(SupplierRates!$D$5:$D$500,MATCH($K1463&amp;"|"&amp;$L1463,SupplierRates!$A$5:$A$500,0)),0))</f>
        <v/>
      </c>
      <c r="Q1463" s="26" t="str">
        <f aca="false">IF(OR($D1463="",$J1463&lt;&gt;"Supplier"),"",IFERROR(INDEX(SupplierRates!$E$5:$E$500,MATCH($K1463&amp;"|"&amp;$L1463,SupplierRates!$A$5:$A$500,0)),0))</f>
        <v/>
      </c>
      <c r="R1463" s="26" t="n">
        <f aca="false">IF(OR($D1463="",$J1463&lt;&gt;"Supplier"),0,F1463*P1463+G1463*Q1463)</f>
        <v>0</v>
      </c>
      <c r="S1463" s="26" t="n">
        <f aca="false">IF(OR($D1463="",$J1463&lt;&gt;"Own"),0,IFERROR((F1463+G1463*Settings!$B$13)*INDEX(Workers!$V$5:$V$2004,MATCH($D1463,Workers!$A$5:$A$2004,0)),0))</f>
        <v>0</v>
      </c>
      <c r="T1463" s="26" t="str">
        <f aca="false">IF($D1463="","",O1463-R1463-S1463)</f>
        <v/>
      </c>
    </row>
    <row r="1464" customFormat="false" ht="15" hidden="false" customHeight="false" outlineLevel="0" collapsed="false">
      <c r="I1464" s="24" t="str">
        <f aca="false">IF($D1464="","",IFERROR(INDEX(Workers!$B$5:$B$2004,MATCH($D1464,Workers!$A$5:$A$2004,0)),"NOT FOUND"))</f>
        <v/>
      </c>
      <c r="J1464" s="24" t="str">
        <f aca="false">IF($D1464="","",IFERROR(INDEX(Workers!$C$5:$C$2004,MATCH($D1464,Workers!$A$5:$A$2004,0)),""))</f>
        <v/>
      </c>
      <c r="K1464" s="24" t="str">
        <f aca="false">IF($D1464="","",IFERROR(IF(INDEX(Workers!$D$5:$D$2004,MATCH($D1464,Workers!$A$5:$A$2004,0))=0,"",INDEX(Workers!$D$5:$D$2004,MATCH($D1464,Workers!$A$5:$A$2004,0))),""))</f>
        <v/>
      </c>
      <c r="L1464" s="24" t="str">
        <f aca="false">IF($D1464="","",IFERROR(INDEX(Workers!$E$5:$E$2004,MATCH($D1464,Workers!$A$5:$A$2004,0)),""))</f>
        <v/>
      </c>
      <c r="M1464" s="26" t="str">
        <f aca="false">IF($D1464="","",IFERROR(INDEX(ClientRates!$D$5:$D$500,MATCH($B1464&amp;"|"&amp;$L1464,ClientRates!$A$5:$A$500,0)),0))</f>
        <v/>
      </c>
      <c r="N1464" s="26" t="str">
        <f aca="false">IF($D1464="","",IFERROR(INDEX(ClientRates!$E$5:$E$500,MATCH($B1464&amp;"|"&amp;$L1464,ClientRates!$A$5:$A$500,0)),0))</f>
        <v/>
      </c>
      <c r="O1464" s="26" t="str">
        <f aca="false">IF($D1464="","",F1464*M1464+G1464*N1464)</f>
        <v/>
      </c>
      <c r="P1464" s="26" t="str">
        <f aca="false">IF(OR($D1464="",$J1464&lt;&gt;"Supplier"),"",IFERROR(INDEX(SupplierRates!$D$5:$D$500,MATCH($K1464&amp;"|"&amp;$L1464,SupplierRates!$A$5:$A$500,0)),0))</f>
        <v/>
      </c>
      <c r="Q1464" s="26" t="str">
        <f aca="false">IF(OR($D1464="",$J1464&lt;&gt;"Supplier"),"",IFERROR(INDEX(SupplierRates!$E$5:$E$500,MATCH($K1464&amp;"|"&amp;$L1464,SupplierRates!$A$5:$A$500,0)),0))</f>
        <v/>
      </c>
      <c r="R1464" s="26" t="n">
        <f aca="false">IF(OR($D1464="",$J1464&lt;&gt;"Supplier"),0,F1464*P1464+G1464*Q1464)</f>
        <v>0</v>
      </c>
      <c r="S1464" s="26" t="n">
        <f aca="false">IF(OR($D1464="",$J1464&lt;&gt;"Own"),0,IFERROR((F1464+G1464*Settings!$B$13)*INDEX(Workers!$V$5:$V$2004,MATCH($D1464,Workers!$A$5:$A$2004,0)),0))</f>
        <v>0</v>
      </c>
      <c r="T1464" s="26" t="str">
        <f aca="false">IF($D1464="","",O1464-R1464-S1464)</f>
        <v/>
      </c>
    </row>
    <row r="1465" customFormat="false" ht="15" hidden="false" customHeight="false" outlineLevel="0" collapsed="false">
      <c r="I1465" s="24" t="str">
        <f aca="false">IF($D1465="","",IFERROR(INDEX(Workers!$B$5:$B$2004,MATCH($D1465,Workers!$A$5:$A$2004,0)),"NOT FOUND"))</f>
        <v/>
      </c>
      <c r="J1465" s="24" t="str">
        <f aca="false">IF($D1465="","",IFERROR(INDEX(Workers!$C$5:$C$2004,MATCH($D1465,Workers!$A$5:$A$2004,0)),""))</f>
        <v/>
      </c>
      <c r="K1465" s="24" t="str">
        <f aca="false">IF($D1465="","",IFERROR(IF(INDEX(Workers!$D$5:$D$2004,MATCH($D1465,Workers!$A$5:$A$2004,0))=0,"",INDEX(Workers!$D$5:$D$2004,MATCH($D1465,Workers!$A$5:$A$2004,0))),""))</f>
        <v/>
      </c>
      <c r="L1465" s="24" t="str">
        <f aca="false">IF($D1465="","",IFERROR(INDEX(Workers!$E$5:$E$2004,MATCH($D1465,Workers!$A$5:$A$2004,0)),""))</f>
        <v/>
      </c>
      <c r="M1465" s="26" t="str">
        <f aca="false">IF($D1465="","",IFERROR(INDEX(ClientRates!$D$5:$D$500,MATCH($B1465&amp;"|"&amp;$L1465,ClientRates!$A$5:$A$500,0)),0))</f>
        <v/>
      </c>
      <c r="N1465" s="26" t="str">
        <f aca="false">IF($D1465="","",IFERROR(INDEX(ClientRates!$E$5:$E$500,MATCH($B1465&amp;"|"&amp;$L1465,ClientRates!$A$5:$A$500,0)),0))</f>
        <v/>
      </c>
      <c r="O1465" s="26" t="str">
        <f aca="false">IF($D1465="","",F1465*M1465+G1465*N1465)</f>
        <v/>
      </c>
      <c r="P1465" s="26" t="str">
        <f aca="false">IF(OR($D1465="",$J1465&lt;&gt;"Supplier"),"",IFERROR(INDEX(SupplierRates!$D$5:$D$500,MATCH($K1465&amp;"|"&amp;$L1465,SupplierRates!$A$5:$A$500,0)),0))</f>
        <v/>
      </c>
      <c r="Q1465" s="26" t="str">
        <f aca="false">IF(OR($D1465="",$J1465&lt;&gt;"Supplier"),"",IFERROR(INDEX(SupplierRates!$E$5:$E$500,MATCH($K1465&amp;"|"&amp;$L1465,SupplierRates!$A$5:$A$500,0)),0))</f>
        <v/>
      </c>
      <c r="R1465" s="26" t="n">
        <f aca="false">IF(OR($D1465="",$J1465&lt;&gt;"Supplier"),0,F1465*P1465+G1465*Q1465)</f>
        <v>0</v>
      </c>
      <c r="S1465" s="26" t="n">
        <f aca="false">IF(OR($D1465="",$J1465&lt;&gt;"Own"),0,IFERROR((F1465+G1465*Settings!$B$13)*INDEX(Workers!$V$5:$V$2004,MATCH($D1465,Workers!$A$5:$A$2004,0)),0))</f>
        <v>0</v>
      </c>
      <c r="T1465" s="26" t="str">
        <f aca="false">IF($D1465="","",O1465-R1465-S1465)</f>
        <v/>
      </c>
    </row>
    <row r="1466" customFormat="false" ht="15" hidden="false" customHeight="false" outlineLevel="0" collapsed="false">
      <c r="I1466" s="24" t="str">
        <f aca="false">IF($D1466="","",IFERROR(INDEX(Workers!$B$5:$B$2004,MATCH($D1466,Workers!$A$5:$A$2004,0)),"NOT FOUND"))</f>
        <v/>
      </c>
      <c r="J1466" s="24" t="str">
        <f aca="false">IF($D1466="","",IFERROR(INDEX(Workers!$C$5:$C$2004,MATCH($D1466,Workers!$A$5:$A$2004,0)),""))</f>
        <v/>
      </c>
      <c r="K1466" s="24" t="str">
        <f aca="false">IF($D1466="","",IFERROR(IF(INDEX(Workers!$D$5:$D$2004,MATCH($D1466,Workers!$A$5:$A$2004,0))=0,"",INDEX(Workers!$D$5:$D$2004,MATCH($D1466,Workers!$A$5:$A$2004,0))),""))</f>
        <v/>
      </c>
      <c r="L1466" s="24" t="str">
        <f aca="false">IF($D1466="","",IFERROR(INDEX(Workers!$E$5:$E$2004,MATCH($D1466,Workers!$A$5:$A$2004,0)),""))</f>
        <v/>
      </c>
      <c r="M1466" s="26" t="str">
        <f aca="false">IF($D1466="","",IFERROR(INDEX(ClientRates!$D$5:$D$500,MATCH($B1466&amp;"|"&amp;$L1466,ClientRates!$A$5:$A$500,0)),0))</f>
        <v/>
      </c>
      <c r="N1466" s="26" t="str">
        <f aca="false">IF($D1466="","",IFERROR(INDEX(ClientRates!$E$5:$E$500,MATCH($B1466&amp;"|"&amp;$L1466,ClientRates!$A$5:$A$500,0)),0))</f>
        <v/>
      </c>
      <c r="O1466" s="26" t="str">
        <f aca="false">IF($D1466="","",F1466*M1466+G1466*N1466)</f>
        <v/>
      </c>
      <c r="P1466" s="26" t="str">
        <f aca="false">IF(OR($D1466="",$J1466&lt;&gt;"Supplier"),"",IFERROR(INDEX(SupplierRates!$D$5:$D$500,MATCH($K1466&amp;"|"&amp;$L1466,SupplierRates!$A$5:$A$500,0)),0))</f>
        <v/>
      </c>
      <c r="Q1466" s="26" t="str">
        <f aca="false">IF(OR($D1466="",$J1466&lt;&gt;"Supplier"),"",IFERROR(INDEX(SupplierRates!$E$5:$E$500,MATCH($K1466&amp;"|"&amp;$L1466,SupplierRates!$A$5:$A$500,0)),0))</f>
        <v/>
      </c>
      <c r="R1466" s="26" t="n">
        <f aca="false">IF(OR($D1466="",$J1466&lt;&gt;"Supplier"),0,F1466*P1466+G1466*Q1466)</f>
        <v>0</v>
      </c>
      <c r="S1466" s="26" t="n">
        <f aca="false">IF(OR($D1466="",$J1466&lt;&gt;"Own"),0,IFERROR((F1466+G1466*Settings!$B$13)*INDEX(Workers!$V$5:$V$2004,MATCH($D1466,Workers!$A$5:$A$2004,0)),0))</f>
        <v>0</v>
      </c>
      <c r="T1466" s="26" t="str">
        <f aca="false">IF($D1466="","",O1466-R1466-S1466)</f>
        <v/>
      </c>
    </row>
    <row r="1467" customFormat="false" ht="15" hidden="false" customHeight="false" outlineLevel="0" collapsed="false">
      <c r="I1467" s="24" t="str">
        <f aca="false">IF($D1467="","",IFERROR(INDEX(Workers!$B$5:$B$2004,MATCH($D1467,Workers!$A$5:$A$2004,0)),"NOT FOUND"))</f>
        <v/>
      </c>
      <c r="J1467" s="24" t="str">
        <f aca="false">IF($D1467="","",IFERROR(INDEX(Workers!$C$5:$C$2004,MATCH($D1467,Workers!$A$5:$A$2004,0)),""))</f>
        <v/>
      </c>
      <c r="K1467" s="24" t="str">
        <f aca="false">IF($D1467="","",IFERROR(IF(INDEX(Workers!$D$5:$D$2004,MATCH($D1467,Workers!$A$5:$A$2004,0))=0,"",INDEX(Workers!$D$5:$D$2004,MATCH($D1467,Workers!$A$5:$A$2004,0))),""))</f>
        <v/>
      </c>
      <c r="L1467" s="24" t="str">
        <f aca="false">IF($D1467="","",IFERROR(INDEX(Workers!$E$5:$E$2004,MATCH($D1467,Workers!$A$5:$A$2004,0)),""))</f>
        <v/>
      </c>
      <c r="M1467" s="26" t="str">
        <f aca="false">IF($D1467="","",IFERROR(INDEX(ClientRates!$D$5:$D$500,MATCH($B1467&amp;"|"&amp;$L1467,ClientRates!$A$5:$A$500,0)),0))</f>
        <v/>
      </c>
      <c r="N1467" s="26" t="str">
        <f aca="false">IF($D1467="","",IFERROR(INDEX(ClientRates!$E$5:$E$500,MATCH($B1467&amp;"|"&amp;$L1467,ClientRates!$A$5:$A$500,0)),0))</f>
        <v/>
      </c>
      <c r="O1467" s="26" t="str">
        <f aca="false">IF($D1467="","",F1467*M1467+G1467*N1467)</f>
        <v/>
      </c>
      <c r="P1467" s="26" t="str">
        <f aca="false">IF(OR($D1467="",$J1467&lt;&gt;"Supplier"),"",IFERROR(INDEX(SupplierRates!$D$5:$D$500,MATCH($K1467&amp;"|"&amp;$L1467,SupplierRates!$A$5:$A$500,0)),0))</f>
        <v/>
      </c>
      <c r="Q1467" s="26" t="str">
        <f aca="false">IF(OR($D1467="",$J1467&lt;&gt;"Supplier"),"",IFERROR(INDEX(SupplierRates!$E$5:$E$500,MATCH($K1467&amp;"|"&amp;$L1467,SupplierRates!$A$5:$A$500,0)),0))</f>
        <v/>
      </c>
      <c r="R1467" s="26" t="n">
        <f aca="false">IF(OR($D1467="",$J1467&lt;&gt;"Supplier"),0,F1467*P1467+G1467*Q1467)</f>
        <v>0</v>
      </c>
      <c r="S1467" s="26" t="n">
        <f aca="false">IF(OR($D1467="",$J1467&lt;&gt;"Own"),0,IFERROR((F1467+G1467*Settings!$B$13)*INDEX(Workers!$V$5:$V$2004,MATCH($D1467,Workers!$A$5:$A$2004,0)),0))</f>
        <v>0</v>
      </c>
      <c r="T1467" s="26" t="str">
        <f aca="false">IF($D1467="","",O1467-R1467-S1467)</f>
        <v/>
      </c>
    </row>
    <row r="1468" customFormat="false" ht="15" hidden="false" customHeight="false" outlineLevel="0" collapsed="false">
      <c r="I1468" s="24" t="str">
        <f aca="false">IF($D1468="","",IFERROR(INDEX(Workers!$B$5:$B$2004,MATCH($D1468,Workers!$A$5:$A$2004,0)),"NOT FOUND"))</f>
        <v/>
      </c>
      <c r="J1468" s="24" t="str">
        <f aca="false">IF($D1468="","",IFERROR(INDEX(Workers!$C$5:$C$2004,MATCH($D1468,Workers!$A$5:$A$2004,0)),""))</f>
        <v/>
      </c>
      <c r="K1468" s="24" t="str">
        <f aca="false">IF($D1468="","",IFERROR(IF(INDEX(Workers!$D$5:$D$2004,MATCH($D1468,Workers!$A$5:$A$2004,0))=0,"",INDEX(Workers!$D$5:$D$2004,MATCH($D1468,Workers!$A$5:$A$2004,0))),""))</f>
        <v/>
      </c>
      <c r="L1468" s="24" t="str">
        <f aca="false">IF($D1468="","",IFERROR(INDEX(Workers!$E$5:$E$2004,MATCH($D1468,Workers!$A$5:$A$2004,0)),""))</f>
        <v/>
      </c>
      <c r="M1468" s="26" t="str">
        <f aca="false">IF($D1468="","",IFERROR(INDEX(ClientRates!$D$5:$D$500,MATCH($B1468&amp;"|"&amp;$L1468,ClientRates!$A$5:$A$500,0)),0))</f>
        <v/>
      </c>
      <c r="N1468" s="26" t="str">
        <f aca="false">IF($D1468="","",IFERROR(INDEX(ClientRates!$E$5:$E$500,MATCH($B1468&amp;"|"&amp;$L1468,ClientRates!$A$5:$A$500,0)),0))</f>
        <v/>
      </c>
      <c r="O1468" s="26" t="str">
        <f aca="false">IF($D1468="","",F1468*M1468+G1468*N1468)</f>
        <v/>
      </c>
      <c r="P1468" s="26" t="str">
        <f aca="false">IF(OR($D1468="",$J1468&lt;&gt;"Supplier"),"",IFERROR(INDEX(SupplierRates!$D$5:$D$500,MATCH($K1468&amp;"|"&amp;$L1468,SupplierRates!$A$5:$A$500,0)),0))</f>
        <v/>
      </c>
      <c r="Q1468" s="26" t="str">
        <f aca="false">IF(OR($D1468="",$J1468&lt;&gt;"Supplier"),"",IFERROR(INDEX(SupplierRates!$E$5:$E$500,MATCH($K1468&amp;"|"&amp;$L1468,SupplierRates!$A$5:$A$500,0)),0))</f>
        <v/>
      </c>
      <c r="R1468" s="26" t="n">
        <f aca="false">IF(OR($D1468="",$J1468&lt;&gt;"Supplier"),0,F1468*P1468+G1468*Q1468)</f>
        <v>0</v>
      </c>
      <c r="S1468" s="26" t="n">
        <f aca="false">IF(OR($D1468="",$J1468&lt;&gt;"Own"),0,IFERROR((F1468+G1468*Settings!$B$13)*INDEX(Workers!$V$5:$V$2004,MATCH($D1468,Workers!$A$5:$A$2004,0)),0))</f>
        <v>0</v>
      </c>
      <c r="T1468" s="26" t="str">
        <f aca="false">IF($D1468="","",O1468-R1468-S1468)</f>
        <v/>
      </c>
    </row>
    <row r="1469" customFormat="false" ht="15" hidden="false" customHeight="false" outlineLevel="0" collapsed="false">
      <c r="I1469" s="24" t="str">
        <f aca="false">IF($D1469="","",IFERROR(INDEX(Workers!$B$5:$B$2004,MATCH($D1469,Workers!$A$5:$A$2004,0)),"NOT FOUND"))</f>
        <v/>
      </c>
      <c r="J1469" s="24" t="str">
        <f aca="false">IF($D1469="","",IFERROR(INDEX(Workers!$C$5:$C$2004,MATCH($D1469,Workers!$A$5:$A$2004,0)),""))</f>
        <v/>
      </c>
      <c r="K1469" s="24" t="str">
        <f aca="false">IF($D1469="","",IFERROR(IF(INDEX(Workers!$D$5:$D$2004,MATCH($D1469,Workers!$A$5:$A$2004,0))=0,"",INDEX(Workers!$D$5:$D$2004,MATCH($D1469,Workers!$A$5:$A$2004,0))),""))</f>
        <v/>
      </c>
      <c r="L1469" s="24" t="str">
        <f aca="false">IF($D1469="","",IFERROR(INDEX(Workers!$E$5:$E$2004,MATCH($D1469,Workers!$A$5:$A$2004,0)),""))</f>
        <v/>
      </c>
      <c r="M1469" s="26" t="str">
        <f aca="false">IF($D1469="","",IFERROR(INDEX(ClientRates!$D$5:$D$500,MATCH($B1469&amp;"|"&amp;$L1469,ClientRates!$A$5:$A$500,0)),0))</f>
        <v/>
      </c>
      <c r="N1469" s="26" t="str">
        <f aca="false">IF($D1469="","",IFERROR(INDEX(ClientRates!$E$5:$E$500,MATCH($B1469&amp;"|"&amp;$L1469,ClientRates!$A$5:$A$500,0)),0))</f>
        <v/>
      </c>
      <c r="O1469" s="26" t="str">
        <f aca="false">IF($D1469="","",F1469*M1469+G1469*N1469)</f>
        <v/>
      </c>
      <c r="P1469" s="26" t="str">
        <f aca="false">IF(OR($D1469="",$J1469&lt;&gt;"Supplier"),"",IFERROR(INDEX(SupplierRates!$D$5:$D$500,MATCH($K1469&amp;"|"&amp;$L1469,SupplierRates!$A$5:$A$500,0)),0))</f>
        <v/>
      </c>
      <c r="Q1469" s="26" t="str">
        <f aca="false">IF(OR($D1469="",$J1469&lt;&gt;"Supplier"),"",IFERROR(INDEX(SupplierRates!$E$5:$E$500,MATCH($K1469&amp;"|"&amp;$L1469,SupplierRates!$A$5:$A$500,0)),0))</f>
        <v/>
      </c>
      <c r="R1469" s="26" t="n">
        <f aca="false">IF(OR($D1469="",$J1469&lt;&gt;"Supplier"),0,F1469*P1469+G1469*Q1469)</f>
        <v>0</v>
      </c>
      <c r="S1469" s="26" t="n">
        <f aca="false">IF(OR($D1469="",$J1469&lt;&gt;"Own"),0,IFERROR((F1469+G1469*Settings!$B$13)*INDEX(Workers!$V$5:$V$2004,MATCH($D1469,Workers!$A$5:$A$2004,0)),0))</f>
        <v>0</v>
      </c>
      <c r="T1469" s="26" t="str">
        <f aca="false">IF($D1469="","",O1469-R1469-S1469)</f>
        <v/>
      </c>
    </row>
    <row r="1470" customFormat="false" ht="15" hidden="false" customHeight="false" outlineLevel="0" collapsed="false">
      <c r="I1470" s="24" t="str">
        <f aca="false">IF($D1470="","",IFERROR(INDEX(Workers!$B$5:$B$2004,MATCH($D1470,Workers!$A$5:$A$2004,0)),"NOT FOUND"))</f>
        <v/>
      </c>
      <c r="J1470" s="24" t="str">
        <f aca="false">IF($D1470="","",IFERROR(INDEX(Workers!$C$5:$C$2004,MATCH($D1470,Workers!$A$5:$A$2004,0)),""))</f>
        <v/>
      </c>
      <c r="K1470" s="24" t="str">
        <f aca="false">IF($D1470="","",IFERROR(IF(INDEX(Workers!$D$5:$D$2004,MATCH($D1470,Workers!$A$5:$A$2004,0))=0,"",INDEX(Workers!$D$5:$D$2004,MATCH($D1470,Workers!$A$5:$A$2004,0))),""))</f>
        <v/>
      </c>
      <c r="L1470" s="24" t="str">
        <f aca="false">IF($D1470="","",IFERROR(INDEX(Workers!$E$5:$E$2004,MATCH($D1470,Workers!$A$5:$A$2004,0)),""))</f>
        <v/>
      </c>
      <c r="M1470" s="26" t="str">
        <f aca="false">IF($D1470="","",IFERROR(INDEX(ClientRates!$D$5:$D$500,MATCH($B1470&amp;"|"&amp;$L1470,ClientRates!$A$5:$A$500,0)),0))</f>
        <v/>
      </c>
      <c r="N1470" s="26" t="str">
        <f aca="false">IF($D1470="","",IFERROR(INDEX(ClientRates!$E$5:$E$500,MATCH($B1470&amp;"|"&amp;$L1470,ClientRates!$A$5:$A$500,0)),0))</f>
        <v/>
      </c>
      <c r="O1470" s="26" t="str">
        <f aca="false">IF($D1470="","",F1470*M1470+G1470*N1470)</f>
        <v/>
      </c>
      <c r="P1470" s="26" t="str">
        <f aca="false">IF(OR($D1470="",$J1470&lt;&gt;"Supplier"),"",IFERROR(INDEX(SupplierRates!$D$5:$D$500,MATCH($K1470&amp;"|"&amp;$L1470,SupplierRates!$A$5:$A$500,0)),0))</f>
        <v/>
      </c>
      <c r="Q1470" s="26" t="str">
        <f aca="false">IF(OR($D1470="",$J1470&lt;&gt;"Supplier"),"",IFERROR(INDEX(SupplierRates!$E$5:$E$500,MATCH($K1470&amp;"|"&amp;$L1470,SupplierRates!$A$5:$A$500,0)),0))</f>
        <v/>
      </c>
      <c r="R1470" s="26" t="n">
        <f aca="false">IF(OR($D1470="",$J1470&lt;&gt;"Supplier"),0,F1470*P1470+G1470*Q1470)</f>
        <v>0</v>
      </c>
      <c r="S1470" s="26" t="n">
        <f aca="false">IF(OR($D1470="",$J1470&lt;&gt;"Own"),0,IFERROR((F1470+G1470*Settings!$B$13)*INDEX(Workers!$V$5:$V$2004,MATCH($D1470,Workers!$A$5:$A$2004,0)),0))</f>
        <v>0</v>
      </c>
      <c r="T1470" s="26" t="str">
        <f aca="false">IF($D1470="","",O1470-R1470-S1470)</f>
        <v/>
      </c>
    </row>
    <row r="1471" customFormat="false" ht="15" hidden="false" customHeight="false" outlineLevel="0" collapsed="false">
      <c r="I1471" s="24" t="str">
        <f aca="false">IF($D1471="","",IFERROR(INDEX(Workers!$B$5:$B$2004,MATCH($D1471,Workers!$A$5:$A$2004,0)),"NOT FOUND"))</f>
        <v/>
      </c>
      <c r="J1471" s="24" t="str">
        <f aca="false">IF($D1471="","",IFERROR(INDEX(Workers!$C$5:$C$2004,MATCH($D1471,Workers!$A$5:$A$2004,0)),""))</f>
        <v/>
      </c>
      <c r="K1471" s="24" t="str">
        <f aca="false">IF($D1471="","",IFERROR(IF(INDEX(Workers!$D$5:$D$2004,MATCH($D1471,Workers!$A$5:$A$2004,0))=0,"",INDEX(Workers!$D$5:$D$2004,MATCH($D1471,Workers!$A$5:$A$2004,0))),""))</f>
        <v/>
      </c>
      <c r="L1471" s="24" t="str">
        <f aca="false">IF($D1471="","",IFERROR(INDEX(Workers!$E$5:$E$2004,MATCH($D1471,Workers!$A$5:$A$2004,0)),""))</f>
        <v/>
      </c>
      <c r="M1471" s="26" t="str">
        <f aca="false">IF($D1471="","",IFERROR(INDEX(ClientRates!$D$5:$D$500,MATCH($B1471&amp;"|"&amp;$L1471,ClientRates!$A$5:$A$500,0)),0))</f>
        <v/>
      </c>
      <c r="N1471" s="26" t="str">
        <f aca="false">IF($D1471="","",IFERROR(INDEX(ClientRates!$E$5:$E$500,MATCH($B1471&amp;"|"&amp;$L1471,ClientRates!$A$5:$A$500,0)),0))</f>
        <v/>
      </c>
      <c r="O1471" s="26" t="str">
        <f aca="false">IF($D1471="","",F1471*M1471+G1471*N1471)</f>
        <v/>
      </c>
      <c r="P1471" s="26" t="str">
        <f aca="false">IF(OR($D1471="",$J1471&lt;&gt;"Supplier"),"",IFERROR(INDEX(SupplierRates!$D$5:$D$500,MATCH($K1471&amp;"|"&amp;$L1471,SupplierRates!$A$5:$A$500,0)),0))</f>
        <v/>
      </c>
      <c r="Q1471" s="26" t="str">
        <f aca="false">IF(OR($D1471="",$J1471&lt;&gt;"Supplier"),"",IFERROR(INDEX(SupplierRates!$E$5:$E$500,MATCH($K1471&amp;"|"&amp;$L1471,SupplierRates!$A$5:$A$500,0)),0))</f>
        <v/>
      </c>
      <c r="R1471" s="26" t="n">
        <f aca="false">IF(OR($D1471="",$J1471&lt;&gt;"Supplier"),0,F1471*P1471+G1471*Q1471)</f>
        <v>0</v>
      </c>
      <c r="S1471" s="26" t="n">
        <f aca="false">IF(OR($D1471="",$J1471&lt;&gt;"Own"),0,IFERROR((F1471+G1471*Settings!$B$13)*INDEX(Workers!$V$5:$V$2004,MATCH($D1471,Workers!$A$5:$A$2004,0)),0))</f>
        <v>0</v>
      </c>
      <c r="T1471" s="26" t="str">
        <f aca="false">IF($D1471="","",O1471-R1471-S1471)</f>
        <v/>
      </c>
    </row>
    <row r="1472" customFormat="false" ht="15" hidden="false" customHeight="false" outlineLevel="0" collapsed="false">
      <c r="I1472" s="24" t="str">
        <f aca="false">IF($D1472="","",IFERROR(INDEX(Workers!$B$5:$B$2004,MATCH($D1472,Workers!$A$5:$A$2004,0)),"NOT FOUND"))</f>
        <v/>
      </c>
      <c r="J1472" s="24" t="str">
        <f aca="false">IF($D1472="","",IFERROR(INDEX(Workers!$C$5:$C$2004,MATCH($D1472,Workers!$A$5:$A$2004,0)),""))</f>
        <v/>
      </c>
      <c r="K1472" s="24" t="str">
        <f aca="false">IF($D1472="","",IFERROR(IF(INDEX(Workers!$D$5:$D$2004,MATCH($D1472,Workers!$A$5:$A$2004,0))=0,"",INDEX(Workers!$D$5:$D$2004,MATCH($D1472,Workers!$A$5:$A$2004,0))),""))</f>
        <v/>
      </c>
      <c r="L1472" s="24" t="str">
        <f aca="false">IF($D1472="","",IFERROR(INDEX(Workers!$E$5:$E$2004,MATCH($D1472,Workers!$A$5:$A$2004,0)),""))</f>
        <v/>
      </c>
      <c r="M1472" s="26" t="str">
        <f aca="false">IF($D1472="","",IFERROR(INDEX(ClientRates!$D$5:$D$500,MATCH($B1472&amp;"|"&amp;$L1472,ClientRates!$A$5:$A$500,0)),0))</f>
        <v/>
      </c>
      <c r="N1472" s="26" t="str">
        <f aca="false">IF($D1472="","",IFERROR(INDEX(ClientRates!$E$5:$E$500,MATCH($B1472&amp;"|"&amp;$L1472,ClientRates!$A$5:$A$500,0)),0))</f>
        <v/>
      </c>
      <c r="O1472" s="26" t="str">
        <f aca="false">IF($D1472="","",F1472*M1472+G1472*N1472)</f>
        <v/>
      </c>
      <c r="P1472" s="26" t="str">
        <f aca="false">IF(OR($D1472="",$J1472&lt;&gt;"Supplier"),"",IFERROR(INDEX(SupplierRates!$D$5:$D$500,MATCH($K1472&amp;"|"&amp;$L1472,SupplierRates!$A$5:$A$500,0)),0))</f>
        <v/>
      </c>
      <c r="Q1472" s="26" t="str">
        <f aca="false">IF(OR($D1472="",$J1472&lt;&gt;"Supplier"),"",IFERROR(INDEX(SupplierRates!$E$5:$E$500,MATCH($K1472&amp;"|"&amp;$L1472,SupplierRates!$A$5:$A$500,0)),0))</f>
        <v/>
      </c>
      <c r="R1472" s="26" t="n">
        <f aca="false">IF(OR($D1472="",$J1472&lt;&gt;"Supplier"),0,F1472*P1472+G1472*Q1472)</f>
        <v>0</v>
      </c>
      <c r="S1472" s="26" t="n">
        <f aca="false">IF(OR($D1472="",$J1472&lt;&gt;"Own"),0,IFERROR((F1472+G1472*Settings!$B$13)*INDEX(Workers!$V$5:$V$2004,MATCH($D1472,Workers!$A$5:$A$2004,0)),0))</f>
        <v>0</v>
      </c>
      <c r="T1472" s="26" t="str">
        <f aca="false">IF($D1472="","",O1472-R1472-S1472)</f>
        <v/>
      </c>
    </row>
    <row r="1473" customFormat="false" ht="15" hidden="false" customHeight="false" outlineLevel="0" collapsed="false">
      <c r="I1473" s="24" t="str">
        <f aca="false">IF($D1473="","",IFERROR(INDEX(Workers!$B$5:$B$2004,MATCH($D1473,Workers!$A$5:$A$2004,0)),"NOT FOUND"))</f>
        <v/>
      </c>
      <c r="J1473" s="24" t="str">
        <f aca="false">IF($D1473="","",IFERROR(INDEX(Workers!$C$5:$C$2004,MATCH($D1473,Workers!$A$5:$A$2004,0)),""))</f>
        <v/>
      </c>
      <c r="K1473" s="24" t="str">
        <f aca="false">IF($D1473="","",IFERROR(IF(INDEX(Workers!$D$5:$D$2004,MATCH($D1473,Workers!$A$5:$A$2004,0))=0,"",INDEX(Workers!$D$5:$D$2004,MATCH($D1473,Workers!$A$5:$A$2004,0))),""))</f>
        <v/>
      </c>
      <c r="L1473" s="24" t="str">
        <f aca="false">IF($D1473="","",IFERROR(INDEX(Workers!$E$5:$E$2004,MATCH($D1473,Workers!$A$5:$A$2004,0)),""))</f>
        <v/>
      </c>
      <c r="M1473" s="26" t="str">
        <f aca="false">IF($D1473="","",IFERROR(INDEX(ClientRates!$D$5:$D$500,MATCH($B1473&amp;"|"&amp;$L1473,ClientRates!$A$5:$A$500,0)),0))</f>
        <v/>
      </c>
      <c r="N1473" s="26" t="str">
        <f aca="false">IF($D1473="","",IFERROR(INDEX(ClientRates!$E$5:$E$500,MATCH($B1473&amp;"|"&amp;$L1473,ClientRates!$A$5:$A$500,0)),0))</f>
        <v/>
      </c>
      <c r="O1473" s="26" t="str">
        <f aca="false">IF($D1473="","",F1473*M1473+G1473*N1473)</f>
        <v/>
      </c>
      <c r="P1473" s="26" t="str">
        <f aca="false">IF(OR($D1473="",$J1473&lt;&gt;"Supplier"),"",IFERROR(INDEX(SupplierRates!$D$5:$D$500,MATCH($K1473&amp;"|"&amp;$L1473,SupplierRates!$A$5:$A$500,0)),0))</f>
        <v/>
      </c>
      <c r="Q1473" s="26" t="str">
        <f aca="false">IF(OR($D1473="",$J1473&lt;&gt;"Supplier"),"",IFERROR(INDEX(SupplierRates!$E$5:$E$500,MATCH($K1473&amp;"|"&amp;$L1473,SupplierRates!$A$5:$A$500,0)),0))</f>
        <v/>
      </c>
      <c r="R1473" s="26" t="n">
        <f aca="false">IF(OR($D1473="",$J1473&lt;&gt;"Supplier"),0,F1473*P1473+G1473*Q1473)</f>
        <v>0</v>
      </c>
      <c r="S1473" s="26" t="n">
        <f aca="false">IF(OR($D1473="",$J1473&lt;&gt;"Own"),0,IFERROR((F1473+G1473*Settings!$B$13)*INDEX(Workers!$V$5:$V$2004,MATCH($D1473,Workers!$A$5:$A$2004,0)),0))</f>
        <v>0</v>
      </c>
      <c r="T1473" s="26" t="str">
        <f aca="false">IF($D1473="","",O1473-R1473-S1473)</f>
        <v/>
      </c>
    </row>
    <row r="1474" customFormat="false" ht="15" hidden="false" customHeight="false" outlineLevel="0" collapsed="false">
      <c r="I1474" s="24" t="str">
        <f aca="false">IF($D1474="","",IFERROR(INDEX(Workers!$B$5:$B$2004,MATCH($D1474,Workers!$A$5:$A$2004,0)),"NOT FOUND"))</f>
        <v/>
      </c>
      <c r="J1474" s="24" t="str">
        <f aca="false">IF($D1474="","",IFERROR(INDEX(Workers!$C$5:$C$2004,MATCH($D1474,Workers!$A$5:$A$2004,0)),""))</f>
        <v/>
      </c>
      <c r="K1474" s="24" t="str">
        <f aca="false">IF($D1474="","",IFERROR(IF(INDEX(Workers!$D$5:$D$2004,MATCH($D1474,Workers!$A$5:$A$2004,0))=0,"",INDEX(Workers!$D$5:$D$2004,MATCH($D1474,Workers!$A$5:$A$2004,0))),""))</f>
        <v/>
      </c>
      <c r="L1474" s="24" t="str">
        <f aca="false">IF($D1474="","",IFERROR(INDEX(Workers!$E$5:$E$2004,MATCH($D1474,Workers!$A$5:$A$2004,0)),""))</f>
        <v/>
      </c>
      <c r="M1474" s="26" t="str">
        <f aca="false">IF($D1474="","",IFERROR(INDEX(ClientRates!$D$5:$D$500,MATCH($B1474&amp;"|"&amp;$L1474,ClientRates!$A$5:$A$500,0)),0))</f>
        <v/>
      </c>
      <c r="N1474" s="26" t="str">
        <f aca="false">IF($D1474="","",IFERROR(INDEX(ClientRates!$E$5:$E$500,MATCH($B1474&amp;"|"&amp;$L1474,ClientRates!$A$5:$A$500,0)),0))</f>
        <v/>
      </c>
      <c r="O1474" s="26" t="str">
        <f aca="false">IF($D1474="","",F1474*M1474+G1474*N1474)</f>
        <v/>
      </c>
      <c r="P1474" s="26" t="str">
        <f aca="false">IF(OR($D1474="",$J1474&lt;&gt;"Supplier"),"",IFERROR(INDEX(SupplierRates!$D$5:$D$500,MATCH($K1474&amp;"|"&amp;$L1474,SupplierRates!$A$5:$A$500,0)),0))</f>
        <v/>
      </c>
      <c r="Q1474" s="26" t="str">
        <f aca="false">IF(OR($D1474="",$J1474&lt;&gt;"Supplier"),"",IFERROR(INDEX(SupplierRates!$E$5:$E$500,MATCH($K1474&amp;"|"&amp;$L1474,SupplierRates!$A$5:$A$500,0)),0))</f>
        <v/>
      </c>
      <c r="R1474" s="26" t="n">
        <f aca="false">IF(OR($D1474="",$J1474&lt;&gt;"Supplier"),0,F1474*P1474+G1474*Q1474)</f>
        <v>0</v>
      </c>
      <c r="S1474" s="26" t="n">
        <f aca="false">IF(OR($D1474="",$J1474&lt;&gt;"Own"),0,IFERROR((F1474+G1474*Settings!$B$13)*INDEX(Workers!$V$5:$V$2004,MATCH($D1474,Workers!$A$5:$A$2004,0)),0))</f>
        <v>0</v>
      </c>
      <c r="T1474" s="26" t="str">
        <f aca="false">IF($D1474="","",O1474-R1474-S1474)</f>
        <v/>
      </c>
    </row>
    <row r="1475" customFormat="false" ht="15" hidden="false" customHeight="false" outlineLevel="0" collapsed="false">
      <c r="I1475" s="24" t="str">
        <f aca="false">IF($D1475="","",IFERROR(INDEX(Workers!$B$5:$B$2004,MATCH($D1475,Workers!$A$5:$A$2004,0)),"NOT FOUND"))</f>
        <v/>
      </c>
      <c r="J1475" s="24" t="str">
        <f aca="false">IF($D1475="","",IFERROR(INDEX(Workers!$C$5:$C$2004,MATCH($D1475,Workers!$A$5:$A$2004,0)),""))</f>
        <v/>
      </c>
      <c r="K1475" s="24" t="str">
        <f aca="false">IF($D1475="","",IFERROR(IF(INDEX(Workers!$D$5:$D$2004,MATCH($D1475,Workers!$A$5:$A$2004,0))=0,"",INDEX(Workers!$D$5:$D$2004,MATCH($D1475,Workers!$A$5:$A$2004,0))),""))</f>
        <v/>
      </c>
      <c r="L1475" s="24" t="str">
        <f aca="false">IF($D1475="","",IFERROR(INDEX(Workers!$E$5:$E$2004,MATCH($D1475,Workers!$A$5:$A$2004,0)),""))</f>
        <v/>
      </c>
      <c r="M1475" s="26" t="str">
        <f aca="false">IF($D1475="","",IFERROR(INDEX(ClientRates!$D$5:$D$500,MATCH($B1475&amp;"|"&amp;$L1475,ClientRates!$A$5:$A$500,0)),0))</f>
        <v/>
      </c>
      <c r="N1475" s="26" t="str">
        <f aca="false">IF($D1475="","",IFERROR(INDEX(ClientRates!$E$5:$E$500,MATCH($B1475&amp;"|"&amp;$L1475,ClientRates!$A$5:$A$500,0)),0))</f>
        <v/>
      </c>
      <c r="O1475" s="26" t="str">
        <f aca="false">IF($D1475="","",F1475*M1475+G1475*N1475)</f>
        <v/>
      </c>
      <c r="P1475" s="26" t="str">
        <f aca="false">IF(OR($D1475="",$J1475&lt;&gt;"Supplier"),"",IFERROR(INDEX(SupplierRates!$D$5:$D$500,MATCH($K1475&amp;"|"&amp;$L1475,SupplierRates!$A$5:$A$500,0)),0))</f>
        <v/>
      </c>
      <c r="Q1475" s="26" t="str">
        <f aca="false">IF(OR($D1475="",$J1475&lt;&gt;"Supplier"),"",IFERROR(INDEX(SupplierRates!$E$5:$E$500,MATCH($K1475&amp;"|"&amp;$L1475,SupplierRates!$A$5:$A$500,0)),0))</f>
        <v/>
      </c>
      <c r="R1475" s="26" t="n">
        <f aca="false">IF(OR($D1475="",$J1475&lt;&gt;"Supplier"),0,F1475*P1475+G1475*Q1475)</f>
        <v>0</v>
      </c>
      <c r="S1475" s="26" t="n">
        <f aca="false">IF(OR($D1475="",$J1475&lt;&gt;"Own"),0,IFERROR((F1475+G1475*Settings!$B$13)*INDEX(Workers!$V$5:$V$2004,MATCH($D1475,Workers!$A$5:$A$2004,0)),0))</f>
        <v>0</v>
      </c>
      <c r="T1475" s="26" t="str">
        <f aca="false">IF($D1475="","",O1475-R1475-S1475)</f>
        <v/>
      </c>
    </row>
    <row r="1476" customFormat="false" ht="15" hidden="false" customHeight="false" outlineLevel="0" collapsed="false">
      <c r="I1476" s="24" t="str">
        <f aca="false">IF($D1476="","",IFERROR(INDEX(Workers!$B$5:$B$2004,MATCH($D1476,Workers!$A$5:$A$2004,0)),"NOT FOUND"))</f>
        <v/>
      </c>
      <c r="J1476" s="24" t="str">
        <f aca="false">IF($D1476="","",IFERROR(INDEX(Workers!$C$5:$C$2004,MATCH($D1476,Workers!$A$5:$A$2004,0)),""))</f>
        <v/>
      </c>
      <c r="K1476" s="24" t="str">
        <f aca="false">IF($D1476="","",IFERROR(IF(INDEX(Workers!$D$5:$D$2004,MATCH($D1476,Workers!$A$5:$A$2004,0))=0,"",INDEX(Workers!$D$5:$D$2004,MATCH($D1476,Workers!$A$5:$A$2004,0))),""))</f>
        <v/>
      </c>
      <c r="L1476" s="24" t="str">
        <f aca="false">IF($D1476="","",IFERROR(INDEX(Workers!$E$5:$E$2004,MATCH($D1476,Workers!$A$5:$A$2004,0)),""))</f>
        <v/>
      </c>
      <c r="M1476" s="26" t="str">
        <f aca="false">IF($D1476="","",IFERROR(INDEX(ClientRates!$D$5:$D$500,MATCH($B1476&amp;"|"&amp;$L1476,ClientRates!$A$5:$A$500,0)),0))</f>
        <v/>
      </c>
      <c r="N1476" s="26" t="str">
        <f aca="false">IF($D1476="","",IFERROR(INDEX(ClientRates!$E$5:$E$500,MATCH($B1476&amp;"|"&amp;$L1476,ClientRates!$A$5:$A$500,0)),0))</f>
        <v/>
      </c>
      <c r="O1476" s="26" t="str">
        <f aca="false">IF($D1476="","",F1476*M1476+G1476*N1476)</f>
        <v/>
      </c>
      <c r="P1476" s="26" t="str">
        <f aca="false">IF(OR($D1476="",$J1476&lt;&gt;"Supplier"),"",IFERROR(INDEX(SupplierRates!$D$5:$D$500,MATCH($K1476&amp;"|"&amp;$L1476,SupplierRates!$A$5:$A$500,0)),0))</f>
        <v/>
      </c>
      <c r="Q1476" s="26" t="str">
        <f aca="false">IF(OR($D1476="",$J1476&lt;&gt;"Supplier"),"",IFERROR(INDEX(SupplierRates!$E$5:$E$500,MATCH($K1476&amp;"|"&amp;$L1476,SupplierRates!$A$5:$A$500,0)),0))</f>
        <v/>
      </c>
      <c r="R1476" s="26" t="n">
        <f aca="false">IF(OR($D1476="",$J1476&lt;&gt;"Supplier"),0,F1476*P1476+G1476*Q1476)</f>
        <v>0</v>
      </c>
      <c r="S1476" s="26" t="n">
        <f aca="false">IF(OR($D1476="",$J1476&lt;&gt;"Own"),0,IFERROR((F1476+G1476*Settings!$B$13)*INDEX(Workers!$V$5:$V$2004,MATCH($D1476,Workers!$A$5:$A$2004,0)),0))</f>
        <v>0</v>
      </c>
      <c r="T1476" s="26" t="str">
        <f aca="false">IF($D1476="","",O1476-R1476-S1476)</f>
        <v/>
      </c>
    </row>
    <row r="1477" customFormat="false" ht="15" hidden="false" customHeight="false" outlineLevel="0" collapsed="false">
      <c r="I1477" s="24" t="str">
        <f aca="false">IF($D1477="","",IFERROR(INDEX(Workers!$B$5:$B$2004,MATCH($D1477,Workers!$A$5:$A$2004,0)),"NOT FOUND"))</f>
        <v/>
      </c>
      <c r="J1477" s="24" t="str">
        <f aca="false">IF($D1477="","",IFERROR(INDEX(Workers!$C$5:$C$2004,MATCH($D1477,Workers!$A$5:$A$2004,0)),""))</f>
        <v/>
      </c>
      <c r="K1477" s="24" t="str">
        <f aca="false">IF($D1477="","",IFERROR(IF(INDEX(Workers!$D$5:$D$2004,MATCH($D1477,Workers!$A$5:$A$2004,0))=0,"",INDEX(Workers!$D$5:$D$2004,MATCH($D1477,Workers!$A$5:$A$2004,0))),""))</f>
        <v/>
      </c>
      <c r="L1477" s="24" t="str">
        <f aca="false">IF($D1477="","",IFERROR(INDEX(Workers!$E$5:$E$2004,MATCH($D1477,Workers!$A$5:$A$2004,0)),""))</f>
        <v/>
      </c>
      <c r="M1477" s="26" t="str">
        <f aca="false">IF($D1477="","",IFERROR(INDEX(ClientRates!$D$5:$D$500,MATCH($B1477&amp;"|"&amp;$L1477,ClientRates!$A$5:$A$500,0)),0))</f>
        <v/>
      </c>
      <c r="N1477" s="26" t="str">
        <f aca="false">IF($D1477="","",IFERROR(INDEX(ClientRates!$E$5:$E$500,MATCH($B1477&amp;"|"&amp;$L1477,ClientRates!$A$5:$A$500,0)),0))</f>
        <v/>
      </c>
      <c r="O1477" s="26" t="str">
        <f aca="false">IF($D1477="","",F1477*M1477+G1477*N1477)</f>
        <v/>
      </c>
      <c r="P1477" s="26" t="str">
        <f aca="false">IF(OR($D1477="",$J1477&lt;&gt;"Supplier"),"",IFERROR(INDEX(SupplierRates!$D$5:$D$500,MATCH($K1477&amp;"|"&amp;$L1477,SupplierRates!$A$5:$A$500,0)),0))</f>
        <v/>
      </c>
      <c r="Q1477" s="26" t="str">
        <f aca="false">IF(OR($D1477="",$J1477&lt;&gt;"Supplier"),"",IFERROR(INDEX(SupplierRates!$E$5:$E$500,MATCH($K1477&amp;"|"&amp;$L1477,SupplierRates!$A$5:$A$500,0)),0))</f>
        <v/>
      </c>
      <c r="R1477" s="26" t="n">
        <f aca="false">IF(OR($D1477="",$J1477&lt;&gt;"Supplier"),0,F1477*P1477+G1477*Q1477)</f>
        <v>0</v>
      </c>
      <c r="S1477" s="26" t="n">
        <f aca="false">IF(OR($D1477="",$J1477&lt;&gt;"Own"),0,IFERROR((F1477+G1477*Settings!$B$13)*INDEX(Workers!$V$5:$V$2004,MATCH($D1477,Workers!$A$5:$A$2004,0)),0))</f>
        <v>0</v>
      </c>
      <c r="T1477" s="26" t="str">
        <f aca="false">IF($D1477="","",O1477-R1477-S1477)</f>
        <v/>
      </c>
    </row>
    <row r="1478" customFormat="false" ht="15" hidden="false" customHeight="false" outlineLevel="0" collapsed="false">
      <c r="I1478" s="24" t="str">
        <f aca="false">IF($D1478="","",IFERROR(INDEX(Workers!$B$5:$B$2004,MATCH($D1478,Workers!$A$5:$A$2004,0)),"NOT FOUND"))</f>
        <v/>
      </c>
      <c r="J1478" s="24" t="str">
        <f aca="false">IF($D1478="","",IFERROR(INDEX(Workers!$C$5:$C$2004,MATCH($D1478,Workers!$A$5:$A$2004,0)),""))</f>
        <v/>
      </c>
      <c r="K1478" s="24" t="str">
        <f aca="false">IF($D1478="","",IFERROR(IF(INDEX(Workers!$D$5:$D$2004,MATCH($D1478,Workers!$A$5:$A$2004,0))=0,"",INDEX(Workers!$D$5:$D$2004,MATCH($D1478,Workers!$A$5:$A$2004,0))),""))</f>
        <v/>
      </c>
      <c r="L1478" s="24" t="str">
        <f aca="false">IF($D1478="","",IFERROR(INDEX(Workers!$E$5:$E$2004,MATCH($D1478,Workers!$A$5:$A$2004,0)),""))</f>
        <v/>
      </c>
      <c r="M1478" s="26" t="str">
        <f aca="false">IF($D1478="","",IFERROR(INDEX(ClientRates!$D$5:$D$500,MATCH($B1478&amp;"|"&amp;$L1478,ClientRates!$A$5:$A$500,0)),0))</f>
        <v/>
      </c>
      <c r="N1478" s="26" t="str">
        <f aca="false">IF($D1478="","",IFERROR(INDEX(ClientRates!$E$5:$E$500,MATCH($B1478&amp;"|"&amp;$L1478,ClientRates!$A$5:$A$500,0)),0))</f>
        <v/>
      </c>
      <c r="O1478" s="26" t="str">
        <f aca="false">IF($D1478="","",F1478*M1478+G1478*N1478)</f>
        <v/>
      </c>
      <c r="P1478" s="26" t="str">
        <f aca="false">IF(OR($D1478="",$J1478&lt;&gt;"Supplier"),"",IFERROR(INDEX(SupplierRates!$D$5:$D$500,MATCH($K1478&amp;"|"&amp;$L1478,SupplierRates!$A$5:$A$500,0)),0))</f>
        <v/>
      </c>
      <c r="Q1478" s="26" t="str">
        <f aca="false">IF(OR($D1478="",$J1478&lt;&gt;"Supplier"),"",IFERROR(INDEX(SupplierRates!$E$5:$E$500,MATCH($K1478&amp;"|"&amp;$L1478,SupplierRates!$A$5:$A$500,0)),0))</f>
        <v/>
      </c>
      <c r="R1478" s="26" t="n">
        <f aca="false">IF(OR($D1478="",$J1478&lt;&gt;"Supplier"),0,F1478*P1478+G1478*Q1478)</f>
        <v>0</v>
      </c>
      <c r="S1478" s="26" t="n">
        <f aca="false">IF(OR($D1478="",$J1478&lt;&gt;"Own"),0,IFERROR((F1478+G1478*Settings!$B$13)*INDEX(Workers!$V$5:$V$2004,MATCH($D1478,Workers!$A$5:$A$2004,0)),0))</f>
        <v>0</v>
      </c>
      <c r="T1478" s="26" t="str">
        <f aca="false">IF($D1478="","",O1478-R1478-S1478)</f>
        <v/>
      </c>
    </row>
    <row r="1479" customFormat="false" ht="15" hidden="false" customHeight="false" outlineLevel="0" collapsed="false">
      <c r="I1479" s="24" t="str">
        <f aca="false">IF($D1479="","",IFERROR(INDEX(Workers!$B$5:$B$2004,MATCH($D1479,Workers!$A$5:$A$2004,0)),"NOT FOUND"))</f>
        <v/>
      </c>
      <c r="J1479" s="24" t="str">
        <f aca="false">IF($D1479="","",IFERROR(INDEX(Workers!$C$5:$C$2004,MATCH($D1479,Workers!$A$5:$A$2004,0)),""))</f>
        <v/>
      </c>
      <c r="K1479" s="24" t="str">
        <f aca="false">IF($D1479="","",IFERROR(IF(INDEX(Workers!$D$5:$D$2004,MATCH($D1479,Workers!$A$5:$A$2004,0))=0,"",INDEX(Workers!$D$5:$D$2004,MATCH($D1479,Workers!$A$5:$A$2004,0))),""))</f>
        <v/>
      </c>
      <c r="L1479" s="24" t="str">
        <f aca="false">IF($D1479="","",IFERROR(INDEX(Workers!$E$5:$E$2004,MATCH($D1479,Workers!$A$5:$A$2004,0)),""))</f>
        <v/>
      </c>
      <c r="M1479" s="26" t="str">
        <f aca="false">IF($D1479="","",IFERROR(INDEX(ClientRates!$D$5:$D$500,MATCH($B1479&amp;"|"&amp;$L1479,ClientRates!$A$5:$A$500,0)),0))</f>
        <v/>
      </c>
      <c r="N1479" s="26" t="str">
        <f aca="false">IF($D1479="","",IFERROR(INDEX(ClientRates!$E$5:$E$500,MATCH($B1479&amp;"|"&amp;$L1479,ClientRates!$A$5:$A$500,0)),0))</f>
        <v/>
      </c>
      <c r="O1479" s="26" t="str">
        <f aca="false">IF($D1479="","",F1479*M1479+G1479*N1479)</f>
        <v/>
      </c>
      <c r="P1479" s="26" t="str">
        <f aca="false">IF(OR($D1479="",$J1479&lt;&gt;"Supplier"),"",IFERROR(INDEX(SupplierRates!$D$5:$D$500,MATCH($K1479&amp;"|"&amp;$L1479,SupplierRates!$A$5:$A$500,0)),0))</f>
        <v/>
      </c>
      <c r="Q1479" s="26" t="str">
        <f aca="false">IF(OR($D1479="",$J1479&lt;&gt;"Supplier"),"",IFERROR(INDEX(SupplierRates!$E$5:$E$500,MATCH($K1479&amp;"|"&amp;$L1479,SupplierRates!$A$5:$A$500,0)),0))</f>
        <v/>
      </c>
      <c r="R1479" s="26" t="n">
        <f aca="false">IF(OR($D1479="",$J1479&lt;&gt;"Supplier"),0,F1479*P1479+G1479*Q1479)</f>
        <v>0</v>
      </c>
      <c r="S1479" s="26" t="n">
        <f aca="false">IF(OR($D1479="",$J1479&lt;&gt;"Own"),0,IFERROR((F1479+G1479*Settings!$B$13)*INDEX(Workers!$V$5:$V$2004,MATCH($D1479,Workers!$A$5:$A$2004,0)),0))</f>
        <v>0</v>
      </c>
      <c r="T1479" s="26" t="str">
        <f aca="false">IF($D1479="","",O1479-R1479-S1479)</f>
        <v/>
      </c>
    </row>
    <row r="1480" customFormat="false" ht="15" hidden="false" customHeight="false" outlineLevel="0" collapsed="false">
      <c r="I1480" s="24" t="str">
        <f aca="false">IF($D1480="","",IFERROR(INDEX(Workers!$B$5:$B$2004,MATCH($D1480,Workers!$A$5:$A$2004,0)),"NOT FOUND"))</f>
        <v/>
      </c>
      <c r="J1480" s="24" t="str">
        <f aca="false">IF($D1480="","",IFERROR(INDEX(Workers!$C$5:$C$2004,MATCH($D1480,Workers!$A$5:$A$2004,0)),""))</f>
        <v/>
      </c>
      <c r="K1480" s="24" t="str">
        <f aca="false">IF($D1480="","",IFERROR(IF(INDEX(Workers!$D$5:$D$2004,MATCH($D1480,Workers!$A$5:$A$2004,0))=0,"",INDEX(Workers!$D$5:$D$2004,MATCH($D1480,Workers!$A$5:$A$2004,0))),""))</f>
        <v/>
      </c>
      <c r="L1480" s="24" t="str">
        <f aca="false">IF($D1480="","",IFERROR(INDEX(Workers!$E$5:$E$2004,MATCH($D1480,Workers!$A$5:$A$2004,0)),""))</f>
        <v/>
      </c>
      <c r="M1480" s="26" t="str">
        <f aca="false">IF($D1480="","",IFERROR(INDEX(ClientRates!$D$5:$D$500,MATCH($B1480&amp;"|"&amp;$L1480,ClientRates!$A$5:$A$500,0)),0))</f>
        <v/>
      </c>
      <c r="N1480" s="26" t="str">
        <f aca="false">IF($D1480="","",IFERROR(INDEX(ClientRates!$E$5:$E$500,MATCH($B1480&amp;"|"&amp;$L1480,ClientRates!$A$5:$A$500,0)),0))</f>
        <v/>
      </c>
      <c r="O1480" s="26" t="str">
        <f aca="false">IF($D1480="","",F1480*M1480+G1480*N1480)</f>
        <v/>
      </c>
      <c r="P1480" s="26" t="str">
        <f aca="false">IF(OR($D1480="",$J1480&lt;&gt;"Supplier"),"",IFERROR(INDEX(SupplierRates!$D$5:$D$500,MATCH($K1480&amp;"|"&amp;$L1480,SupplierRates!$A$5:$A$500,0)),0))</f>
        <v/>
      </c>
      <c r="Q1480" s="26" t="str">
        <f aca="false">IF(OR($D1480="",$J1480&lt;&gt;"Supplier"),"",IFERROR(INDEX(SupplierRates!$E$5:$E$500,MATCH($K1480&amp;"|"&amp;$L1480,SupplierRates!$A$5:$A$500,0)),0))</f>
        <v/>
      </c>
      <c r="R1480" s="26" t="n">
        <f aca="false">IF(OR($D1480="",$J1480&lt;&gt;"Supplier"),0,F1480*P1480+G1480*Q1480)</f>
        <v>0</v>
      </c>
      <c r="S1480" s="26" t="n">
        <f aca="false">IF(OR($D1480="",$J1480&lt;&gt;"Own"),0,IFERROR((F1480+G1480*Settings!$B$13)*INDEX(Workers!$V$5:$V$2004,MATCH($D1480,Workers!$A$5:$A$2004,0)),0))</f>
        <v>0</v>
      </c>
      <c r="T1480" s="26" t="str">
        <f aca="false">IF($D1480="","",O1480-R1480-S1480)</f>
        <v/>
      </c>
    </row>
    <row r="1481" customFormat="false" ht="15" hidden="false" customHeight="false" outlineLevel="0" collapsed="false">
      <c r="I1481" s="24" t="str">
        <f aca="false">IF($D1481="","",IFERROR(INDEX(Workers!$B$5:$B$2004,MATCH($D1481,Workers!$A$5:$A$2004,0)),"NOT FOUND"))</f>
        <v/>
      </c>
      <c r="J1481" s="24" t="str">
        <f aca="false">IF($D1481="","",IFERROR(INDEX(Workers!$C$5:$C$2004,MATCH($D1481,Workers!$A$5:$A$2004,0)),""))</f>
        <v/>
      </c>
      <c r="K1481" s="24" t="str">
        <f aca="false">IF($D1481="","",IFERROR(IF(INDEX(Workers!$D$5:$D$2004,MATCH($D1481,Workers!$A$5:$A$2004,0))=0,"",INDEX(Workers!$D$5:$D$2004,MATCH($D1481,Workers!$A$5:$A$2004,0))),""))</f>
        <v/>
      </c>
      <c r="L1481" s="24" t="str">
        <f aca="false">IF($D1481="","",IFERROR(INDEX(Workers!$E$5:$E$2004,MATCH($D1481,Workers!$A$5:$A$2004,0)),""))</f>
        <v/>
      </c>
      <c r="M1481" s="26" t="str">
        <f aca="false">IF($D1481="","",IFERROR(INDEX(ClientRates!$D$5:$D$500,MATCH($B1481&amp;"|"&amp;$L1481,ClientRates!$A$5:$A$500,0)),0))</f>
        <v/>
      </c>
      <c r="N1481" s="26" t="str">
        <f aca="false">IF($D1481="","",IFERROR(INDEX(ClientRates!$E$5:$E$500,MATCH($B1481&amp;"|"&amp;$L1481,ClientRates!$A$5:$A$500,0)),0))</f>
        <v/>
      </c>
      <c r="O1481" s="26" t="str">
        <f aca="false">IF($D1481="","",F1481*M1481+G1481*N1481)</f>
        <v/>
      </c>
      <c r="P1481" s="26" t="str">
        <f aca="false">IF(OR($D1481="",$J1481&lt;&gt;"Supplier"),"",IFERROR(INDEX(SupplierRates!$D$5:$D$500,MATCH($K1481&amp;"|"&amp;$L1481,SupplierRates!$A$5:$A$500,0)),0))</f>
        <v/>
      </c>
      <c r="Q1481" s="26" t="str">
        <f aca="false">IF(OR($D1481="",$J1481&lt;&gt;"Supplier"),"",IFERROR(INDEX(SupplierRates!$E$5:$E$500,MATCH($K1481&amp;"|"&amp;$L1481,SupplierRates!$A$5:$A$500,0)),0))</f>
        <v/>
      </c>
      <c r="R1481" s="26" t="n">
        <f aca="false">IF(OR($D1481="",$J1481&lt;&gt;"Supplier"),0,F1481*P1481+G1481*Q1481)</f>
        <v>0</v>
      </c>
      <c r="S1481" s="26" t="n">
        <f aca="false">IF(OR($D1481="",$J1481&lt;&gt;"Own"),0,IFERROR((F1481+G1481*Settings!$B$13)*INDEX(Workers!$V$5:$V$2004,MATCH($D1481,Workers!$A$5:$A$2004,0)),0))</f>
        <v>0</v>
      </c>
      <c r="T1481" s="26" t="str">
        <f aca="false">IF($D1481="","",O1481-R1481-S1481)</f>
        <v/>
      </c>
    </row>
    <row r="1482" customFormat="false" ht="15" hidden="false" customHeight="false" outlineLevel="0" collapsed="false">
      <c r="I1482" s="24" t="str">
        <f aca="false">IF($D1482="","",IFERROR(INDEX(Workers!$B$5:$B$2004,MATCH($D1482,Workers!$A$5:$A$2004,0)),"NOT FOUND"))</f>
        <v/>
      </c>
      <c r="J1482" s="24" t="str">
        <f aca="false">IF($D1482="","",IFERROR(INDEX(Workers!$C$5:$C$2004,MATCH($D1482,Workers!$A$5:$A$2004,0)),""))</f>
        <v/>
      </c>
      <c r="K1482" s="24" t="str">
        <f aca="false">IF($D1482="","",IFERROR(IF(INDEX(Workers!$D$5:$D$2004,MATCH($D1482,Workers!$A$5:$A$2004,0))=0,"",INDEX(Workers!$D$5:$D$2004,MATCH($D1482,Workers!$A$5:$A$2004,0))),""))</f>
        <v/>
      </c>
      <c r="L1482" s="24" t="str">
        <f aca="false">IF($D1482="","",IFERROR(INDEX(Workers!$E$5:$E$2004,MATCH($D1482,Workers!$A$5:$A$2004,0)),""))</f>
        <v/>
      </c>
      <c r="M1482" s="26" t="str">
        <f aca="false">IF($D1482="","",IFERROR(INDEX(ClientRates!$D$5:$D$500,MATCH($B1482&amp;"|"&amp;$L1482,ClientRates!$A$5:$A$500,0)),0))</f>
        <v/>
      </c>
      <c r="N1482" s="26" t="str">
        <f aca="false">IF($D1482="","",IFERROR(INDEX(ClientRates!$E$5:$E$500,MATCH($B1482&amp;"|"&amp;$L1482,ClientRates!$A$5:$A$500,0)),0))</f>
        <v/>
      </c>
      <c r="O1482" s="26" t="str">
        <f aca="false">IF($D1482="","",F1482*M1482+G1482*N1482)</f>
        <v/>
      </c>
      <c r="P1482" s="26" t="str">
        <f aca="false">IF(OR($D1482="",$J1482&lt;&gt;"Supplier"),"",IFERROR(INDEX(SupplierRates!$D$5:$D$500,MATCH($K1482&amp;"|"&amp;$L1482,SupplierRates!$A$5:$A$500,0)),0))</f>
        <v/>
      </c>
      <c r="Q1482" s="26" t="str">
        <f aca="false">IF(OR($D1482="",$J1482&lt;&gt;"Supplier"),"",IFERROR(INDEX(SupplierRates!$E$5:$E$500,MATCH($K1482&amp;"|"&amp;$L1482,SupplierRates!$A$5:$A$500,0)),0))</f>
        <v/>
      </c>
      <c r="R1482" s="26" t="n">
        <f aca="false">IF(OR($D1482="",$J1482&lt;&gt;"Supplier"),0,F1482*P1482+G1482*Q1482)</f>
        <v>0</v>
      </c>
      <c r="S1482" s="26" t="n">
        <f aca="false">IF(OR($D1482="",$J1482&lt;&gt;"Own"),0,IFERROR((F1482+G1482*Settings!$B$13)*INDEX(Workers!$V$5:$V$2004,MATCH($D1482,Workers!$A$5:$A$2004,0)),0))</f>
        <v>0</v>
      </c>
      <c r="T1482" s="26" t="str">
        <f aca="false">IF($D1482="","",O1482-R1482-S1482)</f>
        <v/>
      </c>
    </row>
    <row r="1483" customFormat="false" ht="15" hidden="false" customHeight="false" outlineLevel="0" collapsed="false">
      <c r="I1483" s="24" t="str">
        <f aca="false">IF($D1483="","",IFERROR(INDEX(Workers!$B$5:$B$2004,MATCH($D1483,Workers!$A$5:$A$2004,0)),"NOT FOUND"))</f>
        <v/>
      </c>
      <c r="J1483" s="24" t="str">
        <f aca="false">IF($D1483="","",IFERROR(INDEX(Workers!$C$5:$C$2004,MATCH($D1483,Workers!$A$5:$A$2004,0)),""))</f>
        <v/>
      </c>
      <c r="K1483" s="24" t="str">
        <f aca="false">IF($D1483="","",IFERROR(IF(INDEX(Workers!$D$5:$D$2004,MATCH($D1483,Workers!$A$5:$A$2004,0))=0,"",INDEX(Workers!$D$5:$D$2004,MATCH($D1483,Workers!$A$5:$A$2004,0))),""))</f>
        <v/>
      </c>
      <c r="L1483" s="24" t="str">
        <f aca="false">IF($D1483="","",IFERROR(INDEX(Workers!$E$5:$E$2004,MATCH($D1483,Workers!$A$5:$A$2004,0)),""))</f>
        <v/>
      </c>
      <c r="M1483" s="26" t="str">
        <f aca="false">IF($D1483="","",IFERROR(INDEX(ClientRates!$D$5:$D$500,MATCH($B1483&amp;"|"&amp;$L1483,ClientRates!$A$5:$A$500,0)),0))</f>
        <v/>
      </c>
      <c r="N1483" s="26" t="str">
        <f aca="false">IF($D1483="","",IFERROR(INDEX(ClientRates!$E$5:$E$500,MATCH($B1483&amp;"|"&amp;$L1483,ClientRates!$A$5:$A$500,0)),0))</f>
        <v/>
      </c>
      <c r="O1483" s="26" t="str">
        <f aca="false">IF($D1483="","",F1483*M1483+G1483*N1483)</f>
        <v/>
      </c>
      <c r="P1483" s="26" t="str">
        <f aca="false">IF(OR($D1483="",$J1483&lt;&gt;"Supplier"),"",IFERROR(INDEX(SupplierRates!$D$5:$D$500,MATCH($K1483&amp;"|"&amp;$L1483,SupplierRates!$A$5:$A$500,0)),0))</f>
        <v/>
      </c>
      <c r="Q1483" s="26" t="str">
        <f aca="false">IF(OR($D1483="",$J1483&lt;&gt;"Supplier"),"",IFERROR(INDEX(SupplierRates!$E$5:$E$500,MATCH($K1483&amp;"|"&amp;$L1483,SupplierRates!$A$5:$A$500,0)),0))</f>
        <v/>
      </c>
      <c r="R1483" s="26" t="n">
        <f aca="false">IF(OR($D1483="",$J1483&lt;&gt;"Supplier"),0,F1483*P1483+G1483*Q1483)</f>
        <v>0</v>
      </c>
      <c r="S1483" s="26" t="n">
        <f aca="false">IF(OR($D1483="",$J1483&lt;&gt;"Own"),0,IFERROR((F1483+G1483*Settings!$B$13)*INDEX(Workers!$V$5:$V$2004,MATCH($D1483,Workers!$A$5:$A$2004,0)),0))</f>
        <v>0</v>
      </c>
      <c r="T1483" s="26" t="str">
        <f aca="false">IF($D1483="","",O1483-R1483-S1483)</f>
        <v/>
      </c>
    </row>
    <row r="1484" customFormat="false" ht="15" hidden="false" customHeight="false" outlineLevel="0" collapsed="false">
      <c r="I1484" s="24" t="str">
        <f aca="false">IF($D1484="","",IFERROR(INDEX(Workers!$B$5:$B$2004,MATCH($D1484,Workers!$A$5:$A$2004,0)),"NOT FOUND"))</f>
        <v/>
      </c>
      <c r="J1484" s="24" t="str">
        <f aca="false">IF($D1484="","",IFERROR(INDEX(Workers!$C$5:$C$2004,MATCH($D1484,Workers!$A$5:$A$2004,0)),""))</f>
        <v/>
      </c>
      <c r="K1484" s="24" t="str">
        <f aca="false">IF($D1484="","",IFERROR(IF(INDEX(Workers!$D$5:$D$2004,MATCH($D1484,Workers!$A$5:$A$2004,0))=0,"",INDEX(Workers!$D$5:$D$2004,MATCH($D1484,Workers!$A$5:$A$2004,0))),""))</f>
        <v/>
      </c>
      <c r="L1484" s="24" t="str">
        <f aca="false">IF($D1484="","",IFERROR(INDEX(Workers!$E$5:$E$2004,MATCH($D1484,Workers!$A$5:$A$2004,0)),""))</f>
        <v/>
      </c>
      <c r="M1484" s="26" t="str">
        <f aca="false">IF($D1484="","",IFERROR(INDEX(ClientRates!$D$5:$D$500,MATCH($B1484&amp;"|"&amp;$L1484,ClientRates!$A$5:$A$500,0)),0))</f>
        <v/>
      </c>
      <c r="N1484" s="26" t="str">
        <f aca="false">IF($D1484="","",IFERROR(INDEX(ClientRates!$E$5:$E$500,MATCH($B1484&amp;"|"&amp;$L1484,ClientRates!$A$5:$A$500,0)),0))</f>
        <v/>
      </c>
      <c r="O1484" s="26" t="str">
        <f aca="false">IF($D1484="","",F1484*M1484+G1484*N1484)</f>
        <v/>
      </c>
      <c r="P1484" s="26" t="str">
        <f aca="false">IF(OR($D1484="",$J1484&lt;&gt;"Supplier"),"",IFERROR(INDEX(SupplierRates!$D$5:$D$500,MATCH($K1484&amp;"|"&amp;$L1484,SupplierRates!$A$5:$A$500,0)),0))</f>
        <v/>
      </c>
      <c r="Q1484" s="26" t="str">
        <f aca="false">IF(OR($D1484="",$J1484&lt;&gt;"Supplier"),"",IFERROR(INDEX(SupplierRates!$E$5:$E$500,MATCH($K1484&amp;"|"&amp;$L1484,SupplierRates!$A$5:$A$500,0)),0))</f>
        <v/>
      </c>
      <c r="R1484" s="26" t="n">
        <f aca="false">IF(OR($D1484="",$J1484&lt;&gt;"Supplier"),0,F1484*P1484+G1484*Q1484)</f>
        <v>0</v>
      </c>
      <c r="S1484" s="26" t="n">
        <f aca="false">IF(OR($D1484="",$J1484&lt;&gt;"Own"),0,IFERROR((F1484+G1484*Settings!$B$13)*INDEX(Workers!$V$5:$V$2004,MATCH($D1484,Workers!$A$5:$A$2004,0)),0))</f>
        <v>0</v>
      </c>
      <c r="T1484" s="26" t="str">
        <f aca="false">IF($D1484="","",O1484-R1484-S1484)</f>
        <v/>
      </c>
    </row>
    <row r="1485" customFormat="false" ht="15" hidden="false" customHeight="false" outlineLevel="0" collapsed="false">
      <c r="I1485" s="24" t="str">
        <f aca="false">IF($D1485="","",IFERROR(INDEX(Workers!$B$5:$B$2004,MATCH($D1485,Workers!$A$5:$A$2004,0)),"NOT FOUND"))</f>
        <v/>
      </c>
      <c r="J1485" s="24" t="str">
        <f aca="false">IF($D1485="","",IFERROR(INDEX(Workers!$C$5:$C$2004,MATCH($D1485,Workers!$A$5:$A$2004,0)),""))</f>
        <v/>
      </c>
      <c r="K1485" s="24" t="str">
        <f aca="false">IF($D1485="","",IFERROR(IF(INDEX(Workers!$D$5:$D$2004,MATCH($D1485,Workers!$A$5:$A$2004,0))=0,"",INDEX(Workers!$D$5:$D$2004,MATCH($D1485,Workers!$A$5:$A$2004,0))),""))</f>
        <v/>
      </c>
      <c r="L1485" s="24" t="str">
        <f aca="false">IF($D1485="","",IFERROR(INDEX(Workers!$E$5:$E$2004,MATCH($D1485,Workers!$A$5:$A$2004,0)),""))</f>
        <v/>
      </c>
      <c r="M1485" s="26" t="str">
        <f aca="false">IF($D1485="","",IFERROR(INDEX(ClientRates!$D$5:$D$500,MATCH($B1485&amp;"|"&amp;$L1485,ClientRates!$A$5:$A$500,0)),0))</f>
        <v/>
      </c>
      <c r="N1485" s="26" t="str">
        <f aca="false">IF($D1485="","",IFERROR(INDEX(ClientRates!$E$5:$E$500,MATCH($B1485&amp;"|"&amp;$L1485,ClientRates!$A$5:$A$500,0)),0))</f>
        <v/>
      </c>
      <c r="O1485" s="26" t="str">
        <f aca="false">IF($D1485="","",F1485*M1485+G1485*N1485)</f>
        <v/>
      </c>
      <c r="P1485" s="26" t="str">
        <f aca="false">IF(OR($D1485="",$J1485&lt;&gt;"Supplier"),"",IFERROR(INDEX(SupplierRates!$D$5:$D$500,MATCH($K1485&amp;"|"&amp;$L1485,SupplierRates!$A$5:$A$500,0)),0))</f>
        <v/>
      </c>
      <c r="Q1485" s="26" t="str">
        <f aca="false">IF(OR($D1485="",$J1485&lt;&gt;"Supplier"),"",IFERROR(INDEX(SupplierRates!$E$5:$E$500,MATCH($K1485&amp;"|"&amp;$L1485,SupplierRates!$A$5:$A$500,0)),0))</f>
        <v/>
      </c>
      <c r="R1485" s="26" t="n">
        <f aca="false">IF(OR($D1485="",$J1485&lt;&gt;"Supplier"),0,F1485*P1485+G1485*Q1485)</f>
        <v>0</v>
      </c>
      <c r="S1485" s="26" t="n">
        <f aca="false">IF(OR($D1485="",$J1485&lt;&gt;"Own"),0,IFERROR((F1485+G1485*Settings!$B$13)*INDEX(Workers!$V$5:$V$2004,MATCH($D1485,Workers!$A$5:$A$2004,0)),0))</f>
        <v>0</v>
      </c>
      <c r="T1485" s="26" t="str">
        <f aca="false">IF($D1485="","",O1485-R1485-S1485)</f>
        <v/>
      </c>
    </row>
    <row r="1486" customFormat="false" ht="15" hidden="false" customHeight="false" outlineLevel="0" collapsed="false">
      <c r="I1486" s="24" t="str">
        <f aca="false">IF($D1486="","",IFERROR(INDEX(Workers!$B$5:$B$2004,MATCH($D1486,Workers!$A$5:$A$2004,0)),"NOT FOUND"))</f>
        <v/>
      </c>
      <c r="J1486" s="24" t="str">
        <f aca="false">IF($D1486="","",IFERROR(INDEX(Workers!$C$5:$C$2004,MATCH($D1486,Workers!$A$5:$A$2004,0)),""))</f>
        <v/>
      </c>
      <c r="K1486" s="24" t="str">
        <f aca="false">IF($D1486="","",IFERROR(IF(INDEX(Workers!$D$5:$D$2004,MATCH($D1486,Workers!$A$5:$A$2004,0))=0,"",INDEX(Workers!$D$5:$D$2004,MATCH($D1486,Workers!$A$5:$A$2004,0))),""))</f>
        <v/>
      </c>
      <c r="L1486" s="24" t="str">
        <f aca="false">IF($D1486="","",IFERROR(INDEX(Workers!$E$5:$E$2004,MATCH($D1486,Workers!$A$5:$A$2004,0)),""))</f>
        <v/>
      </c>
      <c r="M1486" s="26" t="str">
        <f aca="false">IF($D1486="","",IFERROR(INDEX(ClientRates!$D$5:$D$500,MATCH($B1486&amp;"|"&amp;$L1486,ClientRates!$A$5:$A$500,0)),0))</f>
        <v/>
      </c>
      <c r="N1486" s="26" t="str">
        <f aca="false">IF($D1486="","",IFERROR(INDEX(ClientRates!$E$5:$E$500,MATCH($B1486&amp;"|"&amp;$L1486,ClientRates!$A$5:$A$500,0)),0))</f>
        <v/>
      </c>
      <c r="O1486" s="26" t="str">
        <f aca="false">IF($D1486="","",F1486*M1486+G1486*N1486)</f>
        <v/>
      </c>
      <c r="P1486" s="26" t="str">
        <f aca="false">IF(OR($D1486="",$J1486&lt;&gt;"Supplier"),"",IFERROR(INDEX(SupplierRates!$D$5:$D$500,MATCH($K1486&amp;"|"&amp;$L1486,SupplierRates!$A$5:$A$500,0)),0))</f>
        <v/>
      </c>
      <c r="Q1486" s="26" t="str">
        <f aca="false">IF(OR($D1486="",$J1486&lt;&gt;"Supplier"),"",IFERROR(INDEX(SupplierRates!$E$5:$E$500,MATCH($K1486&amp;"|"&amp;$L1486,SupplierRates!$A$5:$A$500,0)),0))</f>
        <v/>
      </c>
      <c r="R1486" s="26" t="n">
        <f aca="false">IF(OR($D1486="",$J1486&lt;&gt;"Supplier"),0,F1486*P1486+G1486*Q1486)</f>
        <v>0</v>
      </c>
      <c r="S1486" s="26" t="n">
        <f aca="false">IF(OR($D1486="",$J1486&lt;&gt;"Own"),0,IFERROR((F1486+G1486*Settings!$B$13)*INDEX(Workers!$V$5:$V$2004,MATCH($D1486,Workers!$A$5:$A$2004,0)),0))</f>
        <v>0</v>
      </c>
      <c r="T1486" s="26" t="str">
        <f aca="false">IF($D1486="","",O1486-R1486-S1486)</f>
        <v/>
      </c>
    </row>
    <row r="1487" customFormat="false" ht="15" hidden="false" customHeight="false" outlineLevel="0" collapsed="false">
      <c r="I1487" s="24" t="str">
        <f aca="false">IF($D1487="","",IFERROR(INDEX(Workers!$B$5:$B$2004,MATCH($D1487,Workers!$A$5:$A$2004,0)),"NOT FOUND"))</f>
        <v/>
      </c>
      <c r="J1487" s="24" t="str">
        <f aca="false">IF($D1487="","",IFERROR(INDEX(Workers!$C$5:$C$2004,MATCH($D1487,Workers!$A$5:$A$2004,0)),""))</f>
        <v/>
      </c>
      <c r="K1487" s="24" t="str">
        <f aca="false">IF($D1487="","",IFERROR(IF(INDEX(Workers!$D$5:$D$2004,MATCH($D1487,Workers!$A$5:$A$2004,0))=0,"",INDEX(Workers!$D$5:$D$2004,MATCH($D1487,Workers!$A$5:$A$2004,0))),""))</f>
        <v/>
      </c>
      <c r="L1487" s="24" t="str">
        <f aca="false">IF($D1487="","",IFERROR(INDEX(Workers!$E$5:$E$2004,MATCH($D1487,Workers!$A$5:$A$2004,0)),""))</f>
        <v/>
      </c>
      <c r="M1487" s="26" t="str">
        <f aca="false">IF($D1487="","",IFERROR(INDEX(ClientRates!$D$5:$D$500,MATCH($B1487&amp;"|"&amp;$L1487,ClientRates!$A$5:$A$500,0)),0))</f>
        <v/>
      </c>
      <c r="N1487" s="26" t="str">
        <f aca="false">IF($D1487="","",IFERROR(INDEX(ClientRates!$E$5:$E$500,MATCH($B1487&amp;"|"&amp;$L1487,ClientRates!$A$5:$A$500,0)),0))</f>
        <v/>
      </c>
      <c r="O1487" s="26" t="str">
        <f aca="false">IF($D1487="","",F1487*M1487+G1487*N1487)</f>
        <v/>
      </c>
      <c r="P1487" s="26" t="str">
        <f aca="false">IF(OR($D1487="",$J1487&lt;&gt;"Supplier"),"",IFERROR(INDEX(SupplierRates!$D$5:$D$500,MATCH($K1487&amp;"|"&amp;$L1487,SupplierRates!$A$5:$A$500,0)),0))</f>
        <v/>
      </c>
      <c r="Q1487" s="26" t="str">
        <f aca="false">IF(OR($D1487="",$J1487&lt;&gt;"Supplier"),"",IFERROR(INDEX(SupplierRates!$E$5:$E$500,MATCH($K1487&amp;"|"&amp;$L1487,SupplierRates!$A$5:$A$500,0)),0))</f>
        <v/>
      </c>
      <c r="R1487" s="26" t="n">
        <f aca="false">IF(OR($D1487="",$J1487&lt;&gt;"Supplier"),0,F1487*P1487+G1487*Q1487)</f>
        <v>0</v>
      </c>
      <c r="S1487" s="26" t="n">
        <f aca="false">IF(OR($D1487="",$J1487&lt;&gt;"Own"),0,IFERROR((F1487+G1487*Settings!$B$13)*INDEX(Workers!$V$5:$V$2004,MATCH($D1487,Workers!$A$5:$A$2004,0)),0))</f>
        <v>0</v>
      </c>
      <c r="T1487" s="26" t="str">
        <f aca="false">IF($D1487="","",O1487-R1487-S1487)</f>
        <v/>
      </c>
    </row>
    <row r="1488" customFormat="false" ht="15" hidden="false" customHeight="false" outlineLevel="0" collapsed="false">
      <c r="I1488" s="24" t="str">
        <f aca="false">IF($D1488="","",IFERROR(INDEX(Workers!$B$5:$B$2004,MATCH($D1488,Workers!$A$5:$A$2004,0)),"NOT FOUND"))</f>
        <v/>
      </c>
      <c r="J1488" s="24" t="str">
        <f aca="false">IF($D1488="","",IFERROR(INDEX(Workers!$C$5:$C$2004,MATCH($D1488,Workers!$A$5:$A$2004,0)),""))</f>
        <v/>
      </c>
      <c r="K1488" s="24" t="str">
        <f aca="false">IF($D1488="","",IFERROR(IF(INDEX(Workers!$D$5:$D$2004,MATCH($D1488,Workers!$A$5:$A$2004,0))=0,"",INDEX(Workers!$D$5:$D$2004,MATCH($D1488,Workers!$A$5:$A$2004,0))),""))</f>
        <v/>
      </c>
      <c r="L1488" s="24" t="str">
        <f aca="false">IF($D1488="","",IFERROR(INDEX(Workers!$E$5:$E$2004,MATCH($D1488,Workers!$A$5:$A$2004,0)),""))</f>
        <v/>
      </c>
      <c r="M1488" s="26" t="str">
        <f aca="false">IF($D1488="","",IFERROR(INDEX(ClientRates!$D$5:$D$500,MATCH($B1488&amp;"|"&amp;$L1488,ClientRates!$A$5:$A$500,0)),0))</f>
        <v/>
      </c>
      <c r="N1488" s="26" t="str">
        <f aca="false">IF($D1488="","",IFERROR(INDEX(ClientRates!$E$5:$E$500,MATCH($B1488&amp;"|"&amp;$L1488,ClientRates!$A$5:$A$500,0)),0))</f>
        <v/>
      </c>
      <c r="O1488" s="26" t="str">
        <f aca="false">IF($D1488="","",F1488*M1488+G1488*N1488)</f>
        <v/>
      </c>
      <c r="P1488" s="26" t="str">
        <f aca="false">IF(OR($D1488="",$J1488&lt;&gt;"Supplier"),"",IFERROR(INDEX(SupplierRates!$D$5:$D$500,MATCH($K1488&amp;"|"&amp;$L1488,SupplierRates!$A$5:$A$500,0)),0))</f>
        <v/>
      </c>
      <c r="Q1488" s="26" t="str">
        <f aca="false">IF(OR($D1488="",$J1488&lt;&gt;"Supplier"),"",IFERROR(INDEX(SupplierRates!$E$5:$E$500,MATCH($K1488&amp;"|"&amp;$L1488,SupplierRates!$A$5:$A$500,0)),0))</f>
        <v/>
      </c>
      <c r="R1488" s="26" t="n">
        <f aca="false">IF(OR($D1488="",$J1488&lt;&gt;"Supplier"),0,F1488*P1488+G1488*Q1488)</f>
        <v>0</v>
      </c>
      <c r="S1488" s="26" t="n">
        <f aca="false">IF(OR($D1488="",$J1488&lt;&gt;"Own"),0,IFERROR((F1488+G1488*Settings!$B$13)*INDEX(Workers!$V$5:$V$2004,MATCH($D1488,Workers!$A$5:$A$2004,0)),0))</f>
        <v>0</v>
      </c>
      <c r="T1488" s="26" t="str">
        <f aca="false">IF($D1488="","",O1488-R1488-S1488)</f>
        <v/>
      </c>
    </row>
    <row r="1489" customFormat="false" ht="15" hidden="false" customHeight="false" outlineLevel="0" collapsed="false">
      <c r="I1489" s="24" t="str">
        <f aca="false">IF($D1489="","",IFERROR(INDEX(Workers!$B$5:$B$2004,MATCH($D1489,Workers!$A$5:$A$2004,0)),"NOT FOUND"))</f>
        <v/>
      </c>
      <c r="J1489" s="24" t="str">
        <f aca="false">IF($D1489="","",IFERROR(INDEX(Workers!$C$5:$C$2004,MATCH($D1489,Workers!$A$5:$A$2004,0)),""))</f>
        <v/>
      </c>
      <c r="K1489" s="24" t="str">
        <f aca="false">IF($D1489="","",IFERROR(IF(INDEX(Workers!$D$5:$D$2004,MATCH($D1489,Workers!$A$5:$A$2004,0))=0,"",INDEX(Workers!$D$5:$D$2004,MATCH($D1489,Workers!$A$5:$A$2004,0))),""))</f>
        <v/>
      </c>
      <c r="L1489" s="24" t="str">
        <f aca="false">IF($D1489="","",IFERROR(INDEX(Workers!$E$5:$E$2004,MATCH($D1489,Workers!$A$5:$A$2004,0)),""))</f>
        <v/>
      </c>
      <c r="M1489" s="26" t="str">
        <f aca="false">IF($D1489="","",IFERROR(INDEX(ClientRates!$D$5:$D$500,MATCH($B1489&amp;"|"&amp;$L1489,ClientRates!$A$5:$A$500,0)),0))</f>
        <v/>
      </c>
      <c r="N1489" s="26" t="str">
        <f aca="false">IF($D1489="","",IFERROR(INDEX(ClientRates!$E$5:$E$500,MATCH($B1489&amp;"|"&amp;$L1489,ClientRates!$A$5:$A$500,0)),0))</f>
        <v/>
      </c>
      <c r="O1489" s="26" t="str">
        <f aca="false">IF($D1489="","",F1489*M1489+G1489*N1489)</f>
        <v/>
      </c>
      <c r="P1489" s="26" t="str">
        <f aca="false">IF(OR($D1489="",$J1489&lt;&gt;"Supplier"),"",IFERROR(INDEX(SupplierRates!$D$5:$D$500,MATCH($K1489&amp;"|"&amp;$L1489,SupplierRates!$A$5:$A$500,0)),0))</f>
        <v/>
      </c>
      <c r="Q1489" s="26" t="str">
        <f aca="false">IF(OR($D1489="",$J1489&lt;&gt;"Supplier"),"",IFERROR(INDEX(SupplierRates!$E$5:$E$500,MATCH($K1489&amp;"|"&amp;$L1489,SupplierRates!$A$5:$A$500,0)),0))</f>
        <v/>
      </c>
      <c r="R1489" s="26" t="n">
        <f aca="false">IF(OR($D1489="",$J1489&lt;&gt;"Supplier"),0,F1489*P1489+G1489*Q1489)</f>
        <v>0</v>
      </c>
      <c r="S1489" s="26" t="n">
        <f aca="false">IF(OR($D1489="",$J1489&lt;&gt;"Own"),0,IFERROR((F1489+G1489*Settings!$B$13)*INDEX(Workers!$V$5:$V$2004,MATCH($D1489,Workers!$A$5:$A$2004,0)),0))</f>
        <v>0</v>
      </c>
      <c r="T1489" s="26" t="str">
        <f aca="false">IF($D1489="","",O1489-R1489-S1489)</f>
        <v/>
      </c>
    </row>
    <row r="1490" customFormat="false" ht="15" hidden="false" customHeight="false" outlineLevel="0" collapsed="false">
      <c r="I1490" s="24" t="str">
        <f aca="false">IF($D1490="","",IFERROR(INDEX(Workers!$B$5:$B$2004,MATCH($D1490,Workers!$A$5:$A$2004,0)),"NOT FOUND"))</f>
        <v/>
      </c>
      <c r="J1490" s="24" t="str">
        <f aca="false">IF($D1490="","",IFERROR(INDEX(Workers!$C$5:$C$2004,MATCH($D1490,Workers!$A$5:$A$2004,0)),""))</f>
        <v/>
      </c>
      <c r="K1490" s="24" t="str">
        <f aca="false">IF($D1490="","",IFERROR(IF(INDEX(Workers!$D$5:$D$2004,MATCH($D1490,Workers!$A$5:$A$2004,0))=0,"",INDEX(Workers!$D$5:$D$2004,MATCH($D1490,Workers!$A$5:$A$2004,0))),""))</f>
        <v/>
      </c>
      <c r="L1490" s="24" t="str">
        <f aca="false">IF($D1490="","",IFERROR(INDEX(Workers!$E$5:$E$2004,MATCH($D1490,Workers!$A$5:$A$2004,0)),""))</f>
        <v/>
      </c>
      <c r="M1490" s="26" t="str">
        <f aca="false">IF($D1490="","",IFERROR(INDEX(ClientRates!$D$5:$D$500,MATCH($B1490&amp;"|"&amp;$L1490,ClientRates!$A$5:$A$500,0)),0))</f>
        <v/>
      </c>
      <c r="N1490" s="26" t="str">
        <f aca="false">IF($D1490="","",IFERROR(INDEX(ClientRates!$E$5:$E$500,MATCH($B1490&amp;"|"&amp;$L1490,ClientRates!$A$5:$A$500,0)),0))</f>
        <v/>
      </c>
      <c r="O1490" s="26" t="str">
        <f aca="false">IF($D1490="","",F1490*M1490+G1490*N1490)</f>
        <v/>
      </c>
      <c r="P1490" s="26" t="str">
        <f aca="false">IF(OR($D1490="",$J1490&lt;&gt;"Supplier"),"",IFERROR(INDEX(SupplierRates!$D$5:$D$500,MATCH($K1490&amp;"|"&amp;$L1490,SupplierRates!$A$5:$A$500,0)),0))</f>
        <v/>
      </c>
      <c r="Q1490" s="26" t="str">
        <f aca="false">IF(OR($D1490="",$J1490&lt;&gt;"Supplier"),"",IFERROR(INDEX(SupplierRates!$E$5:$E$500,MATCH($K1490&amp;"|"&amp;$L1490,SupplierRates!$A$5:$A$500,0)),0))</f>
        <v/>
      </c>
      <c r="R1490" s="26" t="n">
        <f aca="false">IF(OR($D1490="",$J1490&lt;&gt;"Supplier"),0,F1490*P1490+G1490*Q1490)</f>
        <v>0</v>
      </c>
      <c r="S1490" s="26" t="n">
        <f aca="false">IF(OR($D1490="",$J1490&lt;&gt;"Own"),0,IFERROR((F1490+G1490*Settings!$B$13)*INDEX(Workers!$V$5:$V$2004,MATCH($D1490,Workers!$A$5:$A$2004,0)),0))</f>
        <v>0</v>
      </c>
      <c r="T1490" s="26" t="str">
        <f aca="false">IF($D1490="","",O1490-R1490-S1490)</f>
        <v/>
      </c>
    </row>
    <row r="1491" customFormat="false" ht="15" hidden="false" customHeight="false" outlineLevel="0" collapsed="false">
      <c r="I1491" s="24" t="str">
        <f aca="false">IF($D1491="","",IFERROR(INDEX(Workers!$B$5:$B$2004,MATCH($D1491,Workers!$A$5:$A$2004,0)),"NOT FOUND"))</f>
        <v/>
      </c>
      <c r="J1491" s="24" t="str">
        <f aca="false">IF($D1491="","",IFERROR(INDEX(Workers!$C$5:$C$2004,MATCH($D1491,Workers!$A$5:$A$2004,0)),""))</f>
        <v/>
      </c>
      <c r="K1491" s="24" t="str">
        <f aca="false">IF($D1491="","",IFERROR(IF(INDEX(Workers!$D$5:$D$2004,MATCH($D1491,Workers!$A$5:$A$2004,0))=0,"",INDEX(Workers!$D$5:$D$2004,MATCH($D1491,Workers!$A$5:$A$2004,0))),""))</f>
        <v/>
      </c>
      <c r="L1491" s="24" t="str">
        <f aca="false">IF($D1491="","",IFERROR(INDEX(Workers!$E$5:$E$2004,MATCH($D1491,Workers!$A$5:$A$2004,0)),""))</f>
        <v/>
      </c>
      <c r="M1491" s="26" t="str">
        <f aca="false">IF($D1491="","",IFERROR(INDEX(ClientRates!$D$5:$D$500,MATCH($B1491&amp;"|"&amp;$L1491,ClientRates!$A$5:$A$500,0)),0))</f>
        <v/>
      </c>
      <c r="N1491" s="26" t="str">
        <f aca="false">IF($D1491="","",IFERROR(INDEX(ClientRates!$E$5:$E$500,MATCH($B1491&amp;"|"&amp;$L1491,ClientRates!$A$5:$A$500,0)),0))</f>
        <v/>
      </c>
      <c r="O1491" s="26" t="str">
        <f aca="false">IF($D1491="","",F1491*M1491+G1491*N1491)</f>
        <v/>
      </c>
      <c r="P1491" s="26" t="str">
        <f aca="false">IF(OR($D1491="",$J1491&lt;&gt;"Supplier"),"",IFERROR(INDEX(SupplierRates!$D$5:$D$500,MATCH($K1491&amp;"|"&amp;$L1491,SupplierRates!$A$5:$A$500,0)),0))</f>
        <v/>
      </c>
      <c r="Q1491" s="26" t="str">
        <f aca="false">IF(OR($D1491="",$J1491&lt;&gt;"Supplier"),"",IFERROR(INDEX(SupplierRates!$E$5:$E$500,MATCH($K1491&amp;"|"&amp;$L1491,SupplierRates!$A$5:$A$500,0)),0))</f>
        <v/>
      </c>
      <c r="R1491" s="26" t="n">
        <f aca="false">IF(OR($D1491="",$J1491&lt;&gt;"Supplier"),0,F1491*P1491+G1491*Q1491)</f>
        <v>0</v>
      </c>
      <c r="S1491" s="26" t="n">
        <f aca="false">IF(OR($D1491="",$J1491&lt;&gt;"Own"),0,IFERROR((F1491+G1491*Settings!$B$13)*INDEX(Workers!$V$5:$V$2004,MATCH($D1491,Workers!$A$5:$A$2004,0)),0))</f>
        <v>0</v>
      </c>
      <c r="T1491" s="26" t="str">
        <f aca="false">IF($D1491="","",O1491-R1491-S1491)</f>
        <v/>
      </c>
    </row>
    <row r="1492" customFormat="false" ht="15" hidden="false" customHeight="false" outlineLevel="0" collapsed="false">
      <c r="I1492" s="24" t="str">
        <f aca="false">IF($D1492="","",IFERROR(INDEX(Workers!$B$5:$B$2004,MATCH($D1492,Workers!$A$5:$A$2004,0)),"NOT FOUND"))</f>
        <v/>
      </c>
      <c r="J1492" s="24" t="str">
        <f aca="false">IF($D1492="","",IFERROR(INDEX(Workers!$C$5:$C$2004,MATCH($D1492,Workers!$A$5:$A$2004,0)),""))</f>
        <v/>
      </c>
      <c r="K1492" s="24" t="str">
        <f aca="false">IF($D1492="","",IFERROR(IF(INDEX(Workers!$D$5:$D$2004,MATCH($D1492,Workers!$A$5:$A$2004,0))=0,"",INDEX(Workers!$D$5:$D$2004,MATCH($D1492,Workers!$A$5:$A$2004,0))),""))</f>
        <v/>
      </c>
      <c r="L1492" s="24" t="str">
        <f aca="false">IF($D1492="","",IFERROR(INDEX(Workers!$E$5:$E$2004,MATCH($D1492,Workers!$A$5:$A$2004,0)),""))</f>
        <v/>
      </c>
      <c r="M1492" s="26" t="str">
        <f aca="false">IF($D1492="","",IFERROR(INDEX(ClientRates!$D$5:$D$500,MATCH($B1492&amp;"|"&amp;$L1492,ClientRates!$A$5:$A$500,0)),0))</f>
        <v/>
      </c>
      <c r="N1492" s="26" t="str">
        <f aca="false">IF($D1492="","",IFERROR(INDEX(ClientRates!$E$5:$E$500,MATCH($B1492&amp;"|"&amp;$L1492,ClientRates!$A$5:$A$500,0)),0))</f>
        <v/>
      </c>
      <c r="O1492" s="26" t="str">
        <f aca="false">IF($D1492="","",F1492*M1492+G1492*N1492)</f>
        <v/>
      </c>
      <c r="P1492" s="26" t="str">
        <f aca="false">IF(OR($D1492="",$J1492&lt;&gt;"Supplier"),"",IFERROR(INDEX(SupplierRates!$D$5:$D$500,MATCH($K1492&amp;"|"&amp;$L1492,SupplierRates!$A$5:$A$500,0)),0))</f>
        <v/>
      </c>
      <c r="Q1492" s="26" t="str">
        <f aca="false">IF(OR($D1492="",$J1492&lt;&gt;"Supplier"),"",IFERROR(INDEX(SupplierRates!$E$5:$E$500,MATCH($K1492&amp;"|"&amp;$L1492,SupplierRates!$A$5:$A$500,0)),0))</f>
        <v/>
      </c>
      <c r="R1492" s="26" t="n">
        <f aca="false">IF(OR($D1492="",$J1492&lt;&gt;"Supplier"),0,F1492*P1492+G1492*Q1492)</f>
        <v>0</v>
      </c>
      <c r="S1492" s="26" t="n">
        <f aca="false">IF(OR($D1492="",$J1492&lt;&gt;"Own"),0,IFERROR((F1492+G1492*Settings!$B$13)*INDEX(Workers!$V$5:$V$2004,MATCH($D1492,Workers!$A$5:$A$2004,0)),0))</f>
        <v>0</v>
      </c>
      <c r="T1492" s="26" t="str">
        <f aca="false">IF($D1492="","",O1492-R1492-S1492)</f>
        <v/>
      </c>
    </row>
    <row r="1493" customFormat="false" ht="15" hidden="false" customHeight="false" outlineLevel="0" collapsed="false">
      <c r="I1493" s="24" t="str">
        <f aca="false">IF($D1493="","",IFERROR(INDEX(Workers!$B$5:$B$2004,MATCH($D1493,Workers!$A$5:$A$2004,0)),"NOT FOUND"))</f>
        <v/>
      </c>
      <c r="J1493" s="24" t="str">
        <f aca="false">IF($D1493="","",IFERROR(INDEX(Workers!$C$5:$C$2004,MATCH($D1493,Workers!$A$5:$A$2004,0)),""))</f>
        <v/>
      </c>
      <c r="K1493" s="24" t="str">
        <f aca="false">IF($D1493="","",IFERROR(IF(INDEX(Workers!$D$5:$D$2004,MATCH($D1493,Workers!$A$5:$A$2004,0))=0,"",INDEX(Workers!$D$5:$D$2004,MATCH($D1493,Workers!$A$5:$A$2004,0))),""))</f>
        <v/>
      </c>
      <c r="L1493" s="24" t="str">
        <f aca="false">IF($D1493="","",IFERROR(INDEX(Workers!$E$5:$E$2004,MATCH($D1493,Workers!$A$5:$A$2004,0)),""))</f>
        <v/>
      </c>
      <c r="M1493" s="26" t="str">
        <f aca="false">IF($D1493="","",IFERROR(INDEX(ClientRates!$D$5:$D$500,MATCH($B1493&amp;"|"&amp;$L1493,ClientRates!$A$5:$A$500,0)),0))</f>
        <v/>
      </c>
      <c r="N1493" s="26" t="str">
        <f aca="false">IF($D1493="","",IFERROR(INDEX(ClientRates!$E$5:$E$500,MATCH($B1493&amp;"|"&amp;$L1493,ClientRates!$A$5:$A$500,0)),0))</f>
        <v/>
      </c>
      <c r="O1493" s="26" t="str">
        <f aca="false">IF($D1493="","",F1493*M1493+G1493*N1493)</f>
        <v/>
      </c>
      <c r="P1493" s="26" t="str">
        <f aca="false">IF(OR($D1493="",$J1493&lt;&gt;"Supplier"),"",IFERROR(INDEX(SupplierRates!$D$5:$D$500,MATCH($K1493&amp;"|"&amp;$L1493,SupplierRates!$A$5:$A$500,0)),0))</f>
        <v/>
      </c>
      <c r="Q1493" s="26" t="str">
        <f aca="false">IF(OR($D1493="",$J1493&lt;&gt;"Supplier"),"",IFERROR(INDEX(SupplierRates!$E$5:$E$500,MATCH($K1493&amp;"|"&amp;$L1493,SupplierRates!$A$5:$A$500,0)),0))</f>
        <v/>
      </c>
      <c r="R1493" s="26" t="n">
        <f aca="false">IF(OR($D1493="",$J1493&lt;&gt;"Supplier"),0,F1493*P1493+G1493*Q1493)</f>
        <v>0</v>
      </c>
      <c r="S1493" s="26" t="n">
        <f aca="false">IF(OR($D1493="",$J1493&lt;&gt;"Own"),0,IFERROR((F1493+G1493*Settings!$B$13)*INDEX(Workers!$V$5:$V$2004,MATCH($D1493,Workers!$A$5:$A$2004,0)),0))</f>
        <v>0</v>
      </c>
      <c r="T1493" s="26" t="str">
        <f aca="false">IF($D1493="","",O1493-R1493-S1493)</f>
        <v/>
      </c>
    </row>
    <row r="1494" customFormat="false" ht="15" hidden="false" customHeight="false" outlineLevel="0" collapsed="false">
      <c r="I1494" s="24" t="str">
        <f aca="false">IF($D1494="","",IFERROR(INDEX(Workers!$B$5:$B$2004,MATCH($D1494,Workers!$A$5:$A$2004,0)),"NOT FOUND"))</f>
        <v/>
      </c>
      <c r="J1494" s="24" t="str">
        <f aca="false">IF($D1494="","",IFERROR(INDEX(Workers!$C$5:$C$2004,MATCH($D1494,Workers!$A$5:$A$2004,0)),""))</f>
        <v/>
      </c>
      <c r="K1494" s="24" t="str">
        <f aca="false">IF($D1494="","",IFERROR(IF(INDEX(Workers!$D$5:$D$2004,MATCH($D1494,Workers!$A$5:$A$2004,0))=0,"",INDEX(Workers!$D$5:$D$2004,MATCH($D1494,Workers!$A$5:$A$2004,0))),""))</f>
        <v/>
      </c>
      <c r="L1494" s="24" t="str">
        <f aca="false">IF($D1494="","",IFERROR(INDEX(Workers!$E$5:$E$2004,MATCH($D1494,Workers!$A$5:$A$2004,0)),""))</f>
        <v/>
      </c>
      <c r="M1494" s="26" t="str">
        <f aca="false">IF($D1494="","",IFERROR(INDEX(ClientRates!$D$5:$D$500,MATCH($B1494&amp;"|"&amp;$L1494,ClientRates!$A$5:$A$500,0)),0))</f>
        <v/>
      </c>
      <c r="N1494" s="26" t="str">
        <f aca="false">IF($D1494="","",IFERROR(INDEX(ClientRates!$E$5:$E$500,MATCH($B1494&amp;"|"&amp;$L1494,ClientRates!$A$5:$A$500,0)),0))</f>
        <v/>
      </c>
      <c r="O1494" s="26" t="str">
        <f aca="false">IF($D1494="","",F1494*M1494+G1494*N1494)</f>
        <v/>
      </c>
      <c r="P1494" s="26" t="str">
        <f aca="false">IF(OR($D1494="",$J1494&lt;&gt;"Supplier"),"",IFERROR(INDEX(SupplierRates!$D$5:$D$500,MATCH($K1494&amp;"|"&amp;$L1494,SupplierRates!$A$5:$A$500,0)),0))</f>
        <v/>
      </c>
      <c r="Q1494" s="26" t="str">
        <f aca="false">IF(OR($D1494="",$J1494&lt;&gt;"Supplier"),"",IFERROR(INDEX(SupplierRates!$E$5:$E$500,MATCH($K1494&amp;"|"&amp;$L1494,SupplierRates!$A$5:$A$500,0)),0))</f>
        <v/>
      </c>
      <c r="R1494" s="26" t="n">
        <f aca="false">IF(OR($D1494="",$J1494&lt;&gt;"Supplier"),0,F1494*P1494+G1494*Q1494)</f>
        <v>0</v>
      </c>
      <c r="S1494" s="26" t="n">
        <f aca="false">IF(OR($D1494="",$J1494&lt;&gt;"Own"),0,IFERROR((F1494+G1494*Settings!$B$13)*INDEX(Workers!$V$5:$V$2004,MATCH($D1494,Workers!$A$5:$A$2004,0)),0))</f>
        <v>0</v>
      </c>
      <c r="T1494" s="26" t="str">
        <f aca="false">IF($D1494="","",O1494-R1494-S1494)</f>
        <v/>
      </c>
    </row>
    <row r="1495" customFormat="false" ht="15" hidden="false" customHeight="false" outlineLevel="0" collapsed="false">
      <c r="I1495" s="24" t="str">
        <f aca="false">IF($D1495="","",IFERROR(INDEX(Workers!$B$5:$B$2004,MATCH($D1495,Workers!$A$5:$A$2004,0)),"NOT FOUND"))</f>
        <v/>
      </c>
      <c r="J1495" s="24" t="str">
        <f aca="false">IF($D1495="","",IFERROR(INDEX(Workers!$C$5:$C$2004,MATCH($D1495,Workers!$A$5:$A$2004,0)),""))</f>
        <v/>
      </c>
      <c r="K1495" s="24" t="str">
        <f aca="false">IF($D1495="","",IFERROR(IF(INDEX(Workers!$D$5:$D$2004,MATCH($D1495,Workers!$A$5:$A$2004,0))=0,"",INDEX(Workers!$D$5:$D$2004,MATCH($D1495,Workers!$A$5:$A$2004,0))),""))</f>
        <v/>
      </c>
      <c r="L1495" s="24" t="str">
        <f aca="false">IF($D1495="","",IFERROR(INDEX(Workers!$E$5:$E$2004,MATCH($D1495,Workers!$A$5:$A$2004,0)),""))</f>
        <v/>
      </c>
      <c r="M1495" s="26" t="str">
        <f aca="false">IF($D1495="","",IFERROR(INDEX(ClientRates!$D$5:$D$500,MATCH($B1495&amp;"|"&amp;$L1495,ClientRates!$A$5:$A$500,0)),0))</f>
        <v/>
      </c>
      <c r="N1495" s="26" t="str">
        <f aca="false">IF($D1495="","",IFERROR(INDEX(ClientRates!$E$5:$E$500,MATCH($B1495&amp;"|"&amp;$L1495,ClientRates!$A$5:$A$500,0)),0))</f>
        <v/>
      </c>
      <c r="O1495" s="26" t="str">
        <f aca="false">IF($D1495="","",F1495*M1495+G1495*N1495)</f>
        <v/>
      </c>
      <c r="P1495" s="26" t="str">
        <f aca="false">IF(OR($D1495="",$J1495&lt;&gt;"Supplier"),"",IFERROR(INDEX(SupplierRates!$D$5:$D$500,MATCH($K1495&amp;"|"&amp;$L1495,SupplierRates!$A$5:$A$500,0)),0))</f>
        <v/>
      </c>
      <c r="Q1495" s="26" t="str">
        <f aca="false">IF(OR($D1495="",$J1495&lt;&gt;"Supplier"),"",IFERROR(INDEX(SupplierRates!$E$5:$E$500,MATCH($K1495&amp;"|"&amp;$L1495,SupplierRates!$A$5:$A$500,0)),0))</f>
        <v/>
      </c>
      <c r="R1495" s="26" t="n">
        <f aca="false">IF(OR($D1495="",$J1495&lt;&gt;"Supplier"),0,F1495*P1495+G1495*Q1495)</f>
        <v>0</v>
      </c>
      <c r="S1495" s="26" t="n">
        <f aca="false">IF(OR($D1495="",$J1495&lt;&gt;"Own"),0,IFERROR((F1495+G1495*Settings!$B$13)*INDEX(Workers!$V$5:$V$2004,MATCH($D1495,Workers!$A$5:$A$2004,0)),0))</f>
        <v>0</v>
      </c>
      <c r="T1495" s="26" t="str">
        <f aca="false">IF($D1495="","",O1495-R1495-S1495)</f>
        <v/>
      </c>
    </row>
    <row r="1496" customFormat="false" ht="15" hidden="false" customHeight="false" outlineLevel="0" collapsed="false">
      <c r="I1496" s="24" t="str">
        <f aca="false">IF($D1496="","",IFERROR(INDEX(Workers!$B$5:$B$2004,MATCH($D1496,Workers!$A$5:$A$2004,0)),"NOT FOUND"))</f>
        <v/>
      </c>
      <c r="J1496" s="24" t="str">
        <f aca="false">IF($D1496="","",IFERROR(INDEX(Workers!$C$5:$C$2004,MATCH($D1496,Workers!$A$5:$A$2004,0)),""))</f>
        <v/>
      </c>
      <c r="K1496" s="24" t="str">
        <f aca="false">IF($D1496="","",IFERROR(IF(INDEX(Workers!$D$5:$D$2004,MATCH($D1496,Workers!$A$5:$A$2004,0))=0,"",INDEX(Workers!$D$5:$D$2004,MATCH($D1496,Workers!$A$5:$A$2004,0))),""))</f>
        <v/>
      </c>
      <c r="L1496" s="24" t="str">
        <f aca="false">IF($D1496="","",IFERROR(INDEX(Workers!$E$5:$E$2004,MATCH($D1496,Workers!$A$5:$A$2004,0)),""))</f>
        <v/>
      </c>
      <c r="M1496" s="26" t="str">
        <f aca="false">IF($D1496="","",IFERROR(INDEX(ClientRates!$D$5:$D$500,MATCH($B1496&amp;"|"&amp;$L1496,ClientRates!$A$5:$A$500,0)),0))</f>
        <v/>
      </c>
      <c r="N1496" s="26" t="str">
        <f aca="false">IF($D1496="","",IFERROR(INDEX(ClientRates!$E$5:$E$500,MATCH($B1496&amp;"|"&amp;$L1496,ClientRates!$A$5:$A$500,0)),0))</f>
        <v/>
      </c>
      <c r="O1496" s="26" t="str">
        <f aca="false">IF($D1496="","",F1496*M1496+G1496*N1496)</f>
        <v/>
      </c>
      <c r="P1496" s="26" t="str">
        <f aca="false">IF(OR($D1496="",$J1496&lt;&gt;"Supplier"),"",IFERROR(INDEX(SupplierRates!$D$5:$D$500,MATCH($K1496&amp;"|"&amp;$L1496,SupplierRates!$A$5:$A$500,0)),0))</f>
        <v/>
      </c>
      <c r="Q1496" s="26" t="str">
        <f aca="false">IF(OR($D1496="",$J1496&lt;&gt;"Supplier"),"",IFERROR(INDEX(SupplierRates!$E$5:$E$500,MATCH($K1496&amp;"|"&amp;$L1496,SupplierRates!$A$5:$A$500,0)),0))</f>
        <v/>
      </c>
      <c r="R1496" s="26" t="n">
        <f aca="false">IF(OR($D1496="",$J1496&lt;&gt;"Supplier"),0,F1496*P1496+G1496*Q1496)</f>
        <v>0</v>
      </c>
      <c r="S1496" s="26" t="n">
        <f aca="false">IF(OR($D1496="",$J1496&lt;&gt;"Own"),0,IFERROR((F1496+G1496*Settings!$B$13)*INDEX(Workers!$V$5:$V$2004,MATCH($D1496,Workers!$A$5:$A$2004,0)),0))</f>
        <v>0</v>
      </c>
      <c r="T1496" s="26" t="str">
        <f aca="false">IF($D1496="","",O1496-R1496-S1496)</f>
        <v/>
      </c>
    </row>
    <row r="1497" customFormat="false" ht="15" hidden="false" customHeight="false" outlineLevel="0" collapsed="false">
      <c r="I1497" s="24" t="str">
        <f aca="false">IF($D1497="","",IFERROR(INDEX(Workers!$B$5:$B$2004,MATCH($D1497,Workers!$A$5:$A$2004,0)),"NOT FOUND"))</f>
        <v/>
      </c>
      <c r="J1497" s="24" t="str">
        <f aca="false">IF($D1497="","",IFERROR(INDEX(Workers!$C$5:$C$2004,MATCH($D1497,Workers!$A$5:$A$2004,0)),""))</f>
        <v/>
      </c>
      <c r="K1497" s="24" t="str">
        <f aca="false">IF($D1497="","",IFERROR(IF(INDEX(Workers!$D$5:$D$2004,MATCH($D1497,Workers!$A$5:$A$2004,0))=0,"",INDEX(Workers!$D$5:$D$2004,MATCH($D1497,Workers!$A$5:$A$2004,0))),""))</f>
        <v/>
      </c>
      <c r="L1497" s="24" t="str">
        <f aca="false">IF($D1497="","",IFERROR(INDEX(Workers!$E$5:$E$2004,MATCH($D1497,Workers!$A$5:$A$2004,0)),""))</f>
        <v/>
      </c>
      <c r="M1497" s="26" t="str">
        <f aca="false">IF($D1497="","",IFERROR(INDEX(ClientRates!$D$5:$D$500,MATCH($B1497&amp;"|"&amp;$L1497,ClientRates!$A$5:$A$500,0)),0))</f>
        <v/>
      </c>
      <c r="N1497" s="26" t="str">
        <f aca="false">IF($D1497="","",IFERROR(INDEX(ClientRates!$E$5:$E$500,MATCH($B1497&amp;"|"&amp;$L1497,ClientRates!$A$5:$A$500,0)),0))</f>
        <v/>
      </c>
      <c r="O1497" s="26" t="str">
        <f aca="false">IF($D1497="","",F1497*M1497+G1497*N1497)</f>
        <v/>
      </c>
      <c r="P1497" s="26" t="str">
        <f aca="false">IF(OR($D1497="",$J1497&lt;&gt;"Supplier"),"",IFERROR(INDEX(SupplierRates!$D$5:$D$500,MATCH($K1497&amp;"|"&amp;$L1497,SupplierRates!$A$5:$A$500,0)),0))</f>
        <v/>
      </c>
      <c r="Q1497" s="26" t="str">
        <f aca="false">IF(OR($D1497="",$J1497&lt;&gt;"Supplier"),"",IFERROR(INDEX(SupplierRates!$E$5:$E$500,MATCH($K1497&amp;"|"&amp;$L1497,SupplierRates!$A$5:$A$500,0)),0))</f>
        <v/>
      </c>
      <c r="R1497" s="26" t="n">
        <f aca="false">IF(OR($D1497="",$J1497&lt;&gt;"Supplier"),0,F1497*P1497+G1497*Q1497)</f>
        <v>0</v>
      </c>
      <c r="S1497" s="26" t="n">
        <f aca="false">IF(OR($D1497="",$J1497&lt;&gt;"Own"),0,IFERROR((F1497+G1497*Settings!$B$13)*INDEX(Workers!$V$5:$V$2004,MATCH($D1497,Workers!$A$5:$A$2004,0)),0))</f>
        <v>0</v>
      </c>
      <c r="T1497" s="26" t="str">
        <f aca="false">IF($D1497="","",O1497-R1497-S1497)</f>
        <v/>
      </c>
    </row>
    <row r="1498" customFormat="false" ht="15" hidden="false" customHeight="false" outlineLevel="0" collapsed="false">
      <c r="I1498" s="24" t="str">
        <f aca="false">IF($D1498="","",IFERROR(INDEX(Workers!$B$5:$B$2004,MATCH($D1498,Workers!$A$5:$A$2004,0)),"NOT FOUND"))</f>
        <v/>
      </c>
      <c r="J1498" s="24" t="str">
        <f aca="false">IF($D1498="","",IFERROR(INDEX(Workers!$C$5:$C$2004,MATCH($D1498,Workers!$A$5:$A$2004,0)),""))</f>
        <v/>
      </c>
      <c r="K1498" s="24" t="str">
        <f aca="false">IF($D1498="","",IFERROR(IF(INDEX(Workers!$D$5:$D$2004,MATCH($D1498,Workers!$A$5:$A$2004,0))=0,"",INDEX(Workers!$D$5:$D$2004,MATCH($D1498,Workers!$A$5:$A$2004,0))),""))</f>
        <v/>
      </c>
      <c r="L1498" s="24" t="str">
        <f aca="false">IF($D1498="","",IFERROR(INDEX(Workers!$E$5:$E$2004,MATCH($D1498,Workers!$A$5:$A$2004,0)),""))</f>
        <v/>
      </c>
      <c r="M1498" s="26" t="str">
        <f aca="false">IF($D1498="","",IFERROR(INDEX(ClientRates!$D$5:$D$500,MATCH($B1498&amp;"|"&amp;$L1498,ClientRates!$A$5:$A$500,0)),0))</f>
        <v/>
      </c>
      <c r="N1498" s="26" t="str">
        <f aca="false">IF($D1498="","",IFERROR(INDEX(ClientRates!$E$5:$E$500,MATCH($B1498&amp;"|"&amp;$L1498,ClientRates!$A$5:$A$500,0)),0))</f>
        <v/>
      </c>
      <c r="O1498" s="26" t="str">
        <f aca="false">IF($D1498="","",F1498*M1498+G1498*N1498)</f>
        <v/>
      </c>
      <c r="P1498" s="26" t="str">
        <f aca="false">IF(OR($D1498="",$J1498&lt;&gt;"Supplier"),"",IFERROR(INDEX(SupplierRates!$D$5:$D$500,MATCH($K1498&amp;"|"&amp;$L1498,SupplierRates!$A$5:$A$500,0)),0))</f>
        <v/>
      </c>
      <c r="Q1498" s="26" t="str">
        <f aca="false">IF(OR($D1498="",$J1498&lt;&gt;"Supplier"),"",IFERROR(INDEX(SupplierRates!$E$5:$E$500,MATCH($K1498&amp;"|"&amp;$L1498,SupplierRates!$A$5:$A$500,0)),0))</f>
        <v/>
      </c>
      <c r="R1498" s="26" t="n">
        <f aca="false">IF(OR($D1498="",$J1498&lt;&gt;"Supplier"),0,F1498*P1498+G1498*Q1498)</f>
        <v>0</v>
      </c>
      <c r="S1498" s="26" t="n">
        <f aca="false">IF(OR($D1498="",$J1498&lt;&gt;"Own"),0,IFERROR((F1498+G1498*Settings!$B$13)*INDEX(Workers!$V$5:$V$2004,MATCH($D1498,Workers!$A$5:$A$2004,0)),0))</f>
        <v>0</v>
      </c>
      <c r="T1498" s="26" t="str">
        <f aca="false">IF($D1498="","",O1498-R1498-S1498)</f>
        <v/>
      </c>
    </row>
    <row r="1499" customFormat="false" ht="15" hidden="false" customHeight="false" outlineLevel="0" collapsed="false">
      <c r="I1499" s="24" t="str">
        <f aca="false">IF($D1499="","",IFERROR(INDEX(Workers!$B$5:$B$2004,MATCH($D1499,Workers!$A$5:$A$2004,0)),"NOT FOUND"))</f>
        <v/>
      </c>
      <c r="J1499" s="24" t="str">
        <f aca="false">IF($D1499="","",IFERROR(INDEX(Workers!$C$5:$C$2004,MATCH($D1499,Workers!$A$5:$A$2004,0)),""))</f>
        <v/>
      </c>
      <c r="K1499" s="24" t="str">
        <f aca="false">IF($D1499="","",IFERROR(IF(INDEX(Workers!$D$5:$D$2004,MATCH($D1499,Workers!$A$5:$A$2004,0))=0,"",INDEX(Workers!$D$5:$D$2004,MATCH($D1499,Workers!$A$5:$A$2004,0))),""))</f>
        <v/>
      </c>
      <c r="L1499" s="24" t="str">
        <f aca="false">IF($D1499="","",IFERROR(INDEX(Workers!$E$5:$E$2004,MATCH($D1499,Workers!$A$5:$A$2004,0)),""))</f>
        <v/>
      </c>
      <c r="M1499" s="26" t="str">
        <f aca="false">IF($D1499="","",IFERROR(INDEX(ClientRates!$D$5:$D$500,MATCH($B1499&amp;"|"&amp;$L1499,ClientRates!$A$5:$A$500,0)),0))</f>
        <v/>
      </c>
      <c r="N1499" s="26" t="str">
        <f aca="false">IF($D1499="","",IFERROR(INDEX(ClientRates!$E$5:$E$500,MATCH($B1499&amp;"|"&amp;$L1499,ClientRates!$A$5:$A$500,0)),0))</f>
        <v/>
      </c>
      <c r="O1499" s="26" t="str">
        <f aca="false">IF($D1499="","",F1499*M1499+G1499*N1499)</f>
        <v/>
      </c>
      <c r="P1499" s="26" t="str">
        <f aca="false">IF(OR($D1499="",$J1499&lt;&gt;"Supplier"),"",IFERROR(INDEX(SupplierRates!$D$5:$D$500,MATCH($K1499&amp;"|"&amp;$L1499,SupplierRates!$A$5:$A$500,0)),0))</f>
        <v/>
      </c>
      <c r="Q1499" s="26" t="str">
        <f aca="false">IF(OR($D1499="",$J1499&lt;&gt;"Supplier"),"",IFERROR(INDEX(SupplierRates!$E$5:$E$500,MATCH($K1499&amp;"|"&amp;$L1499,SupplierRates!$A$5:$A$500,0)),0))</f>
        <v/>
      </c>
      <c r="R1499" s="26" t="n">
        <f aca="false">IF(OR($D1499="",$J1499&lt;&gt;"Supplier"),0,F1499*P1499+G1499*Q1499)</f>
        <v>0</v>
      </c>
      <c r="S1499" s="26" t="n">
        <f aca="false">IF(OR($D1499="",$J1499&lt;&gt;"Own"),0,IFERROR((F1499+G1499*Settings!$B$13)*INDEX(Workers!$V$5:$V$2004,MATCH($D1499,Workers!$A$5:$A$2004,0)),0))</f>
        <v>0</v>
      </c>
      <c r="T1499" s="26" t="str">
        <f aca="false">IF($D1499="","",O1499-R1499-S1499)</f>
        <v/>
      </c>
    </row>
    <row r="1500" customFormat="false" ht="15" hidden="false" customHeight="false" outlineLevel="0" collapsed="false">
      <c r="I1500" s="24" t="str">
        <f aca="false">IF($D1500="","",IFERROR(INDEX(Workers!$B$5:$B$2004,MATCH($D1500,Workers!$A$5:$A$2004,0)),"NOT FOUND"))</f>
        <v/>
      </c>
      <c r="J1500" s="24" t="str">
        <f aca="false">IF($D1500="","",IFERROR(INDEX(Workers!$C$5:$C$2004,MATCH($D1500,Workers!$A$5:$A$2004,0)),""))</f>
        <v/>
      </c>
      <c r="K1500" s="24" t="str">
        <f aca="false">IF($D1500="","",IFERROR(IF(INDEX(Workers!$D$5:$D$2004,MATCH($D1500,Workers!$A$5:$A$2004,0))=0,"",INDEX(Workers!$D$5:$D$2004,MATCH($D1500,Workers!$A$5:$A$2004,0))),""))</f>
        <v/>
      </c>
      <c r="L1500" s="24" t="str">
        <f aca="false">IF($D1500="","",IFERROR(INDEX(Workers!$E$5:$E$2004,MATCH($D1500,Workers!$A$5:$A$2004,0)),""))</f>
        <v/>
      </c>
      <c r="M1500" s="26" t="str">
        <f aca="false">IF($D1500="","",IFERROR(INDEX(ClientRates!$D$5:$D$500,MATCH($B1500&amp;"|"&amp;$L1500,ClientRates!$A$5:$A$500,0)),0))</f>
        <v/>
      </c>
      <c r="N1500" s="26" t="str">
        <f aca="false">IF($D1500="","",IFERROR(INDEX(ClientRates!$E$5:$E$500,MATCH($B1500&amp;"|"&amp;$L1500,ClientRates!$A$5:$A$500,0)),0))</f>
        <v/>
      </c>
      <c r="O1500" s="26" t="str">
        <f aca="false">IF($D1500="","",F1500*M1500+G1500*N1500)</f>
        <v/>
      </c>
      <c r="P1500" s="26" t="str">
        <f aca="false">IF(OR($D1500="",$J1500&lt;&gt;"Supplier"),"",IFERROR(INDEX(SupplierRates!$D$5:$D$500,MATCH($K1500&amp;"|"&amp;$L1500,SupplierRates!$A$5:$A$500,0)),0))</f>
        <v/>
      </c>
      <c r="Q1500" s="26" t="str">
        <f aca="false">IF(OR($D1500="",$J1500&lt;&gt;"Supplier"),"",IFERROR(INDEX(SupplierRates!$E$5:$E$500,MATCH($K1500&amp;"|"&amp;$L1500,SupplierRates!$A$5:$A$500,0)),0))</f>
        <v/>
      </c>
      <c r="R1500" s="26" t="n">
        <f aca="false">IF(OR($D1500="",$J1500&lt;&gt;"Supplier"),0,F1500*P1500+G1500*Q1500)</f>
        <v>0</v>
      </c>
      <c r="S1500" s="26" t="n">
        <f aca="false">IF(OR($D1500="",$J1500&lt;&gt;"Own"),0,IFERROR((F1500+G1500*Settings!$B$13)*INDEX(Workers!$V$5:$V$2004,MATCH($D1500,Workers!$A$5:$A$2004,0)),0))</f>
        <v>0</v>
      </c>
      <c r="T1500" s="26" t="str">
        <f aca="false">IF($D1500="","",O1500-R1500-S1500)</f>
        <v/>
      </c>
    </row>
    <row r="1501" customFormat="false" ht="15" hidden="false" customHeight="false" outlineLevel="0" collapsed="false">
      <c r="I1501" s="24" t="str">
        <f aca="false">IF($D1501="","",IFERROR(INDEX(Workers!$B$5:$B$2004,MATCH($D1501,Workers!$A$5:$A$2004,0)),"NOT FOUND"))</f>
        <v/>
      </c>
      <c r="J1501" s="24" t="str">
        <f aca="false">IF($D1501="","",IFERROR(INDEX(Workers!$C$5:$C$2004,MATCH($D1501,Workers!$A$5:$A$2004,0)),""))</f>
        <v/>
      </c>
      <c r="K1501" s="24" t="str">
        <f aca="false">IF($D1501="","",IFERROR(IF(INDEX(Workers!$D$5:$D$2004,MATCH($D1501,Workers!$A$5:$A$2004,0))=0,"",INDEX(Workers!$D$5:$D$2004,MATCH($D1501,Workers!$A$5:$A$2004,0))),""))</f>
        <v/>
      </c>
      <c r="L1501" s="24" t="str">
        <f aca="false">IF($D1501="","",IFERROR(INDEX(Workers!$E$5:$E$2004,MATCH($D1501,Workers!$A$5:$A$2004,0)),""))</f>
        <v/>
      </c>
      <c r="M1501" s="26" t="str">
        <f aca="false">IF($D1501="","",IFERROR(INDEX(ClientRates!$D$5:$D$500,MATCH($B1501&amp;"|"&amp;$L1501,ClientRates!$A$5:$A$500,0)),0))</f>
        <v/>
      </c>
      <c r="N1501" s="26" t="str">
        <f aca="false">IF($D1501="","",IFERROR(INDEX(ClientRates!$E$5:$E$500,MATCH($B1501&amp;"|"&amp;$L1501,ClientRates!$A$5:$A$500,0)),0))</f>
        <v/>
      </c>
      <c r="O1501" s="26" t="str">
        <f aca="false">IF($D1501="","",F1501*M1501+G1501*N1501)</f>
        <v/>
      </c>
      <c r="P1501" s="26" t="str">
        <f aca="false">IF(OR($D1501="",$J1501&lt;&gt;"Supplier"),"",IFERROR(INDEX(SupplierRates!$D$5:$D$500,MATCH($K1501&amp;"|"&amp;$L1501,SupplierRates!$A$5:$A$500,0)),0))</f>
        <v/>
      </c>
      <c r="Q1501" s="26" t="str">
        <f aca="false">IF(OR($D1501="",$J1501&lt;&gt;"Supplier"),"",IFERROR(INDEX(SupplierRates!$E$5:$E$500,MATCH($K1501&amp;"|"&amp;$L1501,SupplierRates!$A$5:$A$500,0)),0))</f>
        <v/>
      </c>
      <c r="R1501" s="26" t="n">
        <f aca="false">IF(OR($D1501="",$J1501&lt;&gt;"Supplier"),0,F1501*P1501+G1501*Q1501)</f>
        <v>0</v>
      </c>
      <c r="S1501" s="26" t="n">
        <f aca="false">IF(OR($D1501="",$J1501&lt;&gt;"Own"),0,IFERROR((F1501+G1501*Settings!$B$13)*INDEX(Workers!$V$5:$V$2004,MATCH($D1501,Workers!$A$5:$A$2004,0)),0))</f>
        <v>0</v>
      </c>
      <c r="T1501" s="26" t="str">
        <f aca="false">IF($D1501="","",O1501-R1501-S1501)</f>
        <v/>
      </c>
    </row>
    <row r="1502" customFormat="false" ht="15" hidden="false" customHeight="false" outlineLevel="0" collapsed="false">
      <c r="I1502" s="24" t="str">
        <f aca="false">IF($D1502="","",IFERROR(INDEX(Workers!$B$5:$B$2004,MATCH($D1502,Workers!$A$5:$A$2004,0)),"NOT FOUND"))</f>
        <v/>
      </c>
      <c r="J1502" s="24" t="str">
        <f aca="false">IF($D1502="","",IFERROR(INDEX(Workers!$C$5:$C$2004,MATCH($D1502,Workers!$A$5:$A$2004,0)),""))</f>
        <v/>
      </c>
      <c r="K1502" s="24" t="str">
        <f aca="false">IF($D1502="","",IFERROR(IF(INDEX(Workers!$D$5:$D$2004,MATCH($D1502,Workers!$A$5:$A$2004,0))=0,"",INDEX(Workers!$D$5:$D$2004,MATCH($D1502,Workers!$A$5:$A$2004,0))),""))</f>
        <v/>
      </c>
      <c r="L1502" s="24" t="str">
        <f aca="false">IF($D1502="","",IFERROR(INDEX(Workers!$E$5:$E$2004,MATCH($D1502,Workers!$A$5:$A$2004,0)),""))</f>
        <v/>
      </c>
      <c r="M1502" s="26" t="str">
        <f aca="false">IF($D1502="","",IFERROR(INDEX(ClientRates!$D$5:$D$500,MATCH($B1502&amp;"|"&amp;$L1502,ClientRates!$A$5:$A$500,0)),0))</f>
        <v/>
      </c>
      <c r="N1502" s="26" t="str">
        <f aca="false">IF($D1502="","",IFERROR(INDEX(ClientRates!$E$5:$E$500,MATCH($B1502&amp;"|"&amp;$L1502,ClientRates!$A$5:$A$500,0)),0))</f>
        <v/>
      </c>
      <c r="O1502" s="26" t="str">
        <f aca="false">IF($D1502="","",F1502*M1502+G1502*N1502)</f>
        <v/>
      </c>
      <c r="P1502" s="26" t="str">
        <f aca="false">IF(OR($D1502="",$J1502&lt;&gt;"Supplier"),"",IFERROR(INDEX(SupplierRates!$D$5:$D$500,MATCH($K1502&amp;"|"&amp;$L1502,SupplierRates!$A$5:$A$500,0)),0))</f>
        <v/>
      </c>
      <c r="Q1502" s="26" t="str">
        <f aca="false">IF(OR($D1502="",$J1502&lt;&gt;"Supplier"),"",IFERROR(INDEX(SupplierRates!$E$5:$E$500,MATCH($K1502&amp;"|"&amp;$L1502,SupplierRates!$A$5:$A$500,0)),0))</f>
        <v/>
      </c>
      <c r="R1502" s="26" t="n">
        <f aca="false">IF(OR($D1502="",$J1502&lt;&gt;"Supplier"),0,F1502*P1502+G1502*Q1502)</f>
        <v>0</v>
      </c>
      <c r="S1502" s="26" t="n">
        <f aca="false">IF(OR($D1502="",$J1502&lt;&gt;"Own"),0,IFERROR((F1502+G1502*Settings!$B$13)*INDEX(Workers!$V$5:$V$2004,MATCH($D1502,Workers!$A$5:$A$2004,0)),0))</f>
        <v>0</v>
      </c>
      <c r="T1502" s="26" t="str">
        <f aca="false">IF($D1502="","",O1502-R1502-S1502)</f>
        <v/>
      </c>
    </row>
    <row r="1503" customFormat="false" ht="15" hidden="false" customHeight="false" outlineLevel="0" collapsed="false">
      <c r="I1503" s="24" t="str">
        <f aca="false">IF($D1503="","",IFERROR(INDEX(Workers!$B$5:$B$2004,MATCH($D1503,Workers!$A$5:$A$2004,0)),"NOT FOUND"))</f>
        <v/>
      </c>
      <c r="J1503" s="24" t="str">
        <f aca="false">IF($D1503="","",IFERROR(INDEX(Workers!$C$5:$C$2004,MATCH($D1503,Workers!$A$5:$A$2004,0)),""))</f>
        <v/>
      </c>
      <c r="K1503" s="24" t="str">
        <f aca="false">IF($D1503="","",IFERROR(IF(INDEX(Workers!$D$5:$D$2004,MATCH($D1503,Workers!$A$5:$A$2004,0))=0,"",INDEX(Workers!$D$5:$D$2004,MATCH($D1503,Workers!$A$5:$A$2004,0))),""))</f>
        <v/>
      </c>
      <c r="L1503" s="24" t="str">
        <f aca="false">IF($D1503="","",IFERROR(INDEX(Workers!$E$5:$E$2004,MATCH($D1503,Workers!$A$5:$A$2004,0)),""))</f>
        <v/>
      </c>
      <c r="M1503" s="26" t="str">
        <f aca="false">IF($D1503="","",IFERROR(INDEX(ClientRates!$D$5:$D$500,MATCH($B1503&amp;"|"&amp;$L1503,ClientRates!$A$5:$A$500,0)),0))</f>
        <v/>
      </c>
      <c r="N1503" s="26" t="str">
        <f aca="false">IF($D1503="","",IFERROR(INDEX(ClientRates!$E$5:$E$500,MATCH($B1503&amp;"|"&amp;$L1503,ClientRates!$A$5:$A$500,0)),0))</f>
        <v/>
      </c>
      <c r="O1503" s="26" t="str">
        <f aca="false">IF($D1503="","",F1503*M1503+G1503*N1503)</f>
        <v/>
      </c>
      <c r="P1503" s="26" t="str">
        <f aca="false">IF(OR($D1503="",$J1503&lt;&gt;"Supplier"),"",IFERROR(INDEX(SupplierRates!$D$5:$D$500,MATCH($K1503&amp;"|"&amp;$L1503,SupplierRates!$A$5:$A$500,0)),0))</f>
        <v/>
      </c>
      <c r="Q1503" s="26" t="str">
        <f aca="false">IF(OR($D1503="",$J1503&lt;&gt;"Supplier"),"",IFERROR(INDEX(SupplierRates!$E$5:$E$500,MATCH($K1503&amp;"|"&amp;$L1503,SupplierRates!$A$5:$A$500,0)),0))</f>
        <v/>
      </c>
      <c r="R1503" s="26" t="n">
        <f aca="false">IF(OR($D1503="",$J1503&lt;&gt;"Supplier"),0,F1503*P1503+G1503*Q1503)</f>
        <v>0</v>
      </c>
      <c r="S1503" s="26" t="n">
        <f aca="false">IF(OR($D1503="",$J1503&lt;&gt;"Own"),0,IFERROR((F1503+G1503*Settings!$B$13)*INDEX(Workers!$V$5:$V$2004,MATCH($D1503,Workers!$A$5:$A$2004,0)),0))</f>
        <v>0</v>
      </c>
      <c r="T1503" s="26" t="str">
        <f aca="false">IF($D1503="","",O1503-R1503-S1503)</f>
        <v/>
      </c>
    </row>
    <row r="1504" customFormat="false" ht="15" hidden="false" customHeight="false" outlineLevel="0" collapsed="false">
      <c r="I1504" s="24" t="str">
        <f aca="false">IF($D1504="","",IFERROR(INDEX(Workers!$B$5:$B$2004,MATCH($D1504,Workers!$A$5:$A$2004,0)),"NOT FOUND"))</f>
        <v/>
      </c>
      <c r="J1504" s="24" t="str">
        <f aca="false">IF($D1504="","",IFERROR(INDEX(Workers!$C$5:$C$2004,MATCH($D1504,Workers!$A$5:$A$2004,0)),""))</f>
        <v/>
      </c>
      <c r="K1504" s="24" t="str">
        <f aca="false">IF($D1504="","",IFERROR(IF(INDEX(Workers!$D$5:$D$2004,MATCH($D1504,Workers!$A$5:$A$2004,0))=0,"",INDEX(Workers!$D$5:$D$2004,MATCH($D1504,Workers!$A$5:$A$2004,0))),""))</f>
        <v/>
      </c>
      <c r="L1504" s="24" t="str">
        <f aca="false">IF($D1504="","",IFERROR(INDEX(Workers!$E$5:$E$2004,MATCH($D1504,Workers!$A$5:$A$2004,0)),""))</f>
        <v/>
      </c>
      <c r="M1504" s="26" t="str">
        <f aca="false">IF($D1504="","",IFERROR(INDEX(ClientRates!$D$5:$D$500,MATCH($B1504&amp;"|"&amp;$L1504,ClientRates!$A$5:$A$500,0)),0))</f>
        <v/>
      </c>
      <c r="N1504" s="26" t="str">
        <f aca="false">IF($D1504="","",IFERROR(INDEX(ClientRates!$E$5:$E$500,MATCH($B1504&amp;"|"&amp;$L1504,ClientRates!$A$5:$A$500,0)),0))</f>
        <v/>
      </c>
      <c r="O1504" s="26" t="str">
        <f aca="false">IF($D1504="","",F1504*M1504+G1504*N1504)</f>
        <v/>
      </c>
      <c r="P1504" s="26" t="str">
        <f aca="false">IF(OR($D1504="",$J1504&lt;&gt;"Supplier"),"",IFERROR(INDEX(SupplierRates!$D$5:$D$500,MATCH($K1504&amp;"|"&amp;$L1504,SupplierRates!$A$5:$A$500,0)),0))</f>
        <v/>
      </c>
      <c r="Q1504" s="26" t="str">
        <f aca="false">IF(OR($D1504="",$J1504&lt;&gt;"Supplier"),"",IFERROR(INDEX(SupplierRates!$E$5:$E$500,MATCH($K1504&amp;"|"&amp;$L1504,SupplierRates!$A$5:$A$500,0)),0))</f>
        <v/>
      </c>
      <c r="R1504" s="26" t="n">
        <f aca="false">IF(OR($D1504="",$J1504&lt;&gt;"Supplier"),0,F1504*P1504+G1504*Q1504)</f>
        <v>0</v>
      </c>
      <c r="S1504" s="26" t="n">
        <f aca="false">IF(OR($D1504="",$J1504&lt;&gt;"Own"),0,IFERROR((F1504+G1504*Settings!$B$13)*INDEX(Workers!$V$5:$V$2004,MATCH($D1504,Workers!$A$5:$A$2004,0)),0))</f>
        <v>0</v>
      </c>
      <c r="T1504" s="26" t="str">
        <f aca="false">IF($D1504="","",O1504-R1504-S1504)</f>
        <v/>
      </c>
    </row>
    <row r="1505" customFormat="false" ht="15" hidden="false" customHeight="false" outlineLevel="0" collapsed="false">
      <c r="I1505" s="24" t="str">
        <f aca="false">IF($D1505="","",IFERROR(INDEX(Workers!$B$5:$B$2004,MATCH($D1505,Workers!$A$5:$A$2004,0)),"NOT FOUND"))</f>
        <v/>
      </c>
      <c r="J1505" s="24" t="str">
        <f aca="false">IF($D1505="","",IFERROR(INDEX(Workers!$C$5:$C$2004,MATCH($D1505,Workers!$A$5:$A$2004,0)),""))</f>
        <v/>
      </c>
      <c r="K1505" s="24" t="str">
        <f aca="false">IF($D1505="","",IFERROR(IF(INDEX(Workers!$D$5:$D$2004,MATCH($D1505,Workers!$A$5:$A$2004,0))=0,"",INDEX(Workers!$D$5:$D$2004,MATCH($D1505,Workers!$A$5:$A$2004,0))),""))</f>
        <v/>
      </c>
      <c r="L1505" s="24" t="str">
        <f aca="false">IF($D1505="","",IFERROR(INDEX(Workers!$E$5:$E$2004,MATCH($D1505,Workers!$A$5:$A$2004,0)),""))</f>
        <v/>
      </c>
      <c r="M1505" s="26" t="str">
        <f aca="false">IF($D1505="","",IFERROR(INDEX(ClientRates!$D$5:$D$500,MATCH($B1505&amp;"|"&amp;$L1505,ClientRates!$A$5:$A$500,0)),0))</f>
        <v/>
      </c>
      <c r="N1505" s="26" t="str">
        <f aca="false">IF($D1505="","",IFERROR(INDEX(ClientRates!$E$5:$E$500,MATCH($B1505&amp;"|"&amp;$L1505,ClientRates!$A$5:$A$500,0)),0))</f>
        <v/>
      </c>
      <c r="O1505" s="26" t="str">
        <f aca="false">IF($D1505="","",F1505*M1505+G1505*N1505)</f>
        <v/>
      </c>
      <c r="P1505" s="26" t="str">
        <f aca="false">IF(OR($D1505="",$J1505&lt;&gt;"Supplier"),"",IFERROR(INDEX(SupplierRates!$D$5:$D$500,MATCH($K1505&amp;"|"&amp;$L1505,SupplierRates!$A$5:$A$500,0)),0))</f>
        <v/>
      </c>
      <c r="Q1505" s="26" t="str">
        <f aca="false">IF(OR($D1505="",$J1505&lt;&gt;"Supplier"),"",IFERROR(INDEX(SupplierRates!$E$5:$E$500,MATCH($K1505&amp;"|"&amp;$L1505,SupplierRates!$A$5:$A$500,0)),0))</f>
        <v/>
      </c>
      <c r="R1505" s="26" t="n">
        <f aca="false">IF(OR($D1505="",$J1505&lt;&gt;"Supplier"),0,F1505*P1505+G1505*Q1505)</f>
        <v>0</v>
      </c>
      <c r="S1505" s="26" t="n">
        <f aca="false">IF(OR($D1505="",$J1505&lt;&gt;"Own"),0,IFERROR((F1505+G1505*Settings!$B$13)*INDEX(Workers!$V$5:$V$2004,MATCH($D1505,Workers!$A$5:$A$2004,0)),0))</f>
        <v>0</v>
      </c>
      <c r="T1505" s="26" t="str">
        <f aca="false">IF($D1505="","",O1505-R1505-S1505)</f>
        <v/>
      </c>
    </row>
    <row r="1506" customFormat="false" ht="15" hidden="false" customHeight="false" outlineLevel="0" collapsed="false">
      <c r="I1506" s="24" t="str">
        <f aca="false">IF($D1506="","",IFERROR(INDEX(Workers!$B$5:$B$2004,MATCH($D1506,Workers!$A$5:$A$2004,0)),"NOT FOUND"))</f>
        <v/>
      </c>
      <c r="J1506" s="24" t="str">
        <f aca="false">IF($D1506="","",IFERROR(INDEX(Workers!$C$5:$C$2004,MATCH($D1506,Workers!$A$5:$A$2004,0)),""))</f>
        <v/>
      </c>
      <c r="K1506" s="24" t="str">
        <f aca="false">IF($D1506="","",IFERROR(IF(INDEX(Workers!$D$5:$D$2004,MATCH($D1506,Workers!$A$5:$A$2004,0))=0,"",INDEX(Workers!$D$5:$D$2004,MATCH($D1506,Workers!$A$5:$A$2004,0))),""))</f>
        <v/>
      </c>
      <c r="L1506" s="24" t="str">
        <f aca="false">IF($D1506="","",IFERROR(INDEX(Workers!$E$5:$E$2004,MATCH($D1506,Workers!$A$5:$A$2004,0)),""))</f>
        <v/>
      </c>
      <c r="M1506" s="26" t="str">
        <f aca="false">IF($D1506="","",IFERROR(INDEX(ClientRates!$D$5:$D$500,MATCH($B1506&amp;"|"&amp;$L1506,ClientRates!$A$5:$A$500,0)),0))</f>
        <v/>
      </c>
      <c r="N1506" s="26" t="str">
        <f aca="false">IF($D1506="","",IFERROR(INDEX(ClientRates!$E$5:$E$500,MATCH($B1506&amp;"|"&amp;$L1506,ClientRates!$A$5:$A$500,0)),0))</f>
        <v/>
      </c>
      <c r="O1506" s="26" t="str">
        <f aca="false">IF($D1506="","",F1506*M1506+G1506*N1506)</f>
        <v/>
      </c>
      <c r="P1506" s="26" t="str">
        <f aca="false">IF(OR($D1506="",$J1506&lt;&gt;"Supplier"),"",IFERROR(INDEX(SupplierRates!$D$5:$D$500,MATCH($K1506&amp;"|"&amp;$L1506,SupplierRates!$A$5:$A$500,0)),0))</f>
        <v/>
      </c>
      <c r="Q1506" s="26" t="str">
        <f aca="false">IF(OR($D1506="",$J1506&lt;&gt;"Supplier"),"",IFERROR(INDEX(SupplierRates!$E$5:$E$500,MATCH($K1506&amp;"|"&amp;$L1506,SupplierRates!$A$5:$A$500,0)),0))</f>
        <v/>
      </c>
      <c r="R1506" s="26" t="n">
        <f aca="false">IF(OR($D1506="",$J1506&lt;&gt;"Supplier"),0,F1506*P1506+G1506*Q1506)</f>
        <v>0</v>
      </c>
      <c r="S1506" s="26" t="n">
        <f aca="false">IF(OR($D1506="",$J1506&lt;&gt;"Own"),0,IFERROR((F1506+G1506*Settings!$B$13)*INDEX(Workers!$V$5:$V$2004,MATCH($D1506,Workers!$A$5:$A$2004,0)),0))</f>
        <v>0</v>
      </c>
      <c r="T1506" s="26" t="str">
        <f aca="false">IF($D1506="","",O1506-R1506-S1506)</f>
        <v/>
      </c>
    </row>
    <row r="1507" customFormat="false" ht="15" hidden="false" customHeight="false" outlineLevel="0" collapsed="false">
      <c r="I1507" s="24" t="str">
        <f aca="false">IF($D1507="","",IFERROR(INDEX(Workers!$B$5:$B$2004,MATCH($D1507,Workers!$A$5:$A$2004,0)),"NOT FOUND"))</f>
        <v/>
      </c>
      <c r="J1507" s="24" t="str">
        <f aca="false">IF($D1507="","",IFERROR(INDEX(Workers!$C$5:$C$2004,MATCH($D1507,Workers!$A$5:$A$2004,0)),""))</f>
        <v/>
      </c>
      <c r="K1507" s="24" t="str">
        <f aca="false">IF($D1507="","",IFERROR(IF(INDEX(Workers!$D$5:$D$2004,MATCH($D1507,Workers!$A$5:$A$2004,0))=0,"",INDEX(Workers!$D$5:$D$2004,MATCH($D1507,Workers!$A$5:$A$2004,0))),""))</f>
        <v/>
      </c>
      <c r="L1507" s="24" t="str">
        <f aca="false">IF($D1507="","",IFERROR(INDEX(Workers!$E$5:$E$2004,MATCH($D1507,Workers!$A$5:$A$2004,0)),""))</f>
        <v/>
      </c>
      <c r="M1507" s="26" t="str">
        <f aca="false">IF($D1507="","",IFERROR(INDEX(ClientRates!$D$5:$D$500,MATCH($B1507&amp;"|"&amp;$L1507,ClientRates!$A$5:$A$500,0)),0))</f>
        <v/>
      </c>
      <c r="N1507" s="26" t="str">
        <f aca="false">IF($D1507="","",IFERROR(INDEX(ClientRates!$E$5:$E$500,MATCH($B1507&amp;"|"&amp;$L1507,ClientRates!$A$5:$A$500,0)),0))</f>
        <v/>
      </c>
      <c r="O1507" s="26" t="str">
        <f aca="false">IF($D1507="","",F1507*M1507+G1507*N1507)</f>
        <v/>
      </c>
      <c r="P1507" s="26" t="str">
        <f aca="false">IF(OR($D1507="",$J1507&lt;&gt;"Supplier"),"",IFERROR(INDEX(SupplierRates!$D$5:$D$500,MATCH($K1507&amp;"|"&amp;$L1507,SupplierRates!$A$5:$A$500,0)),0))</f>
        <v/>
      </c>
      <c r="Q1507" s="26" t="str">
        <f aca="false">IF(OR($D1507="",$J1507&lt;&gt;"Supplier"),"",IFERROR(INDEX(SupplierRates!$E$5:$E$500,MATCH($K1507&amp;"|"&amp;$L1507,SupplierRates!$A$5:$A$500,0)),0))</f>
        <v/>
      </c>
      <c r="R1507" s="26" t="n">
        <f aca="false">IF(OR($D1507="",$J1507&lt;&gt;"Supplier"),0,F1507*P1507+G1507*Q1507)</f>
        <v>0</v>
      </c>
      <c r="S1507" s="26" t="n">
        <f aca="false">IF(OR($D1507="",$J1507&lt;&gt;"Own"),0,IFERROR((F1507+G1507*Settings!$B$13)*INDEX(Workers!$V$5:$V$2004,MATCH($D1507,Workers!$A$5:$A$2004,0)),0))</f>
        <v>0</v>
      </c>
      <c r="T1507" s="26" t="str">
        <f aca="false">IF($D1507="","",O1507-R1507-S1507)</f>
        <v/>
      </c>
    </row>
    <row r="1508" customFormat="false" ht="15" hidden="false" customHeight="false" outlineLevel="0" collapsed="false">
      <c r="I1508" s="24" t="str">
        <f aca="false">IF($D1508="","",IFERROR(INDEX(Workers!$B$5:$B$2004,MATCH($D1508,Workers!$A$5:$A$2004,0)),"NOT FOUND"))</f>
        <v/>
      </c>
      <c r="J1508" s="24" t="str">
        <f aca="false">IF($D1508="","",IFERROR(INDEX(Workers!$C$5:$C$2004,MATCH($D1508,Workers!$A$5:$A$2004,0)),""))</f>
        <v/>
      </c>
      <c r="K1508" s="24" t="str">
        <f aca="false">IF($D1508="","",IFERROR(IF(INDEX(Workers!$D$5:$D$2004,MATCH($D1508,Workers!$A$5:$A$2004,0))=0,"",INDEX(Workers!$D$5:$D$2004,MATCH($D1508,Workers!$A$5:$A$2004,0))),""))</f>
        <v/>
      </c>
      <c r="L1508" s="24" t="str">
        <f aca="false">IF($D1508="","",IFERROR(INDEX(Workers!$E$5:$E$2004,MATCH($D1508,Workers!$A$5:$A$2004,0)),""))</f>
        <v/>
      </c>
      <c r="M1508" s="26" t="str">
        <f aca="false">IF($D1508="","",IFERROR(INDEX(ClientRates!$D$5:$D$500,MATCH($B1508&amp;"|"&amp;$L1508,ClientRates!$A$5:$A$500,0)),0))</f>
        <v/>
      </c>
      <c r="N1508" s="26" t="str">
        <f aca="false">IF($D1508="","",IFERROR(INDEX(ClientRates!$E$5:$E$500,MATCH($B1508&amp;"|"&amp;$L1508,ClientRates!$A$5:$A$500,0)),0))</f>
        <v/>
      </c>
      <c r="O1508" s="26" t="str">
        <f aca="false">IF($D1508="","",F1508*M1508+G1508*N1508)</f>
        <v/>
      </c>
      <c r="P1508" s="26" t="str">
        <f aca="false">IF(OR($D1508="",$J1508&lt;&gt;"Supplier"),"",IFERROR(INDEX(SupplierRates!$D$5:$D$500,MATCH($K1508&amp;"|"&amp;$L1508,SupplierRates!$A$5:$A$500,0)),0))</f>
        <v/>
      </c>
      <c r="Q1508" s="26" t="str">
        <f aca="false">IF(OR($D1508="",$J1508&lt;&gt;"Supplier"),"",IFERROR(INDEX(SupplierRates!$E$5:$E$500,MATCH($K1508&amp;"|"&amp;$L1508,SupplierRates!$A$5:$A$500,0)),0))</f>
        <v/>
      </c>
      <c r="R1508" s="26" t="n">
        <f aca="false">IF(OR($D1508="",$J1508&lt;&gt;"Supplier"),0,F1508*P1508+G1508*Q1508)</f>
        <v>0</v>
      </c>
      <c r="S1508" s="26" t="n">
        <f aca="false">IF(OR($D1508="",$J1508&lt;&gt;"Own"),0,IFERROR((F1508+G1508*Settings!$B$13)*INDEX(Workers!$V$5:$V$2004,MATCH($D1508,Workers!$A$5:$A$2004,0)),0))</f>
        <v>0</v>
      </c>
      <c r="T1508" s="26" t="str">
        <f aca="false">IF($D1508="","",O1508-R1508-S1508)</f>
        <v/>
      </c>
    </row>
    <row r="1509" customFormat="false" ht="15" hidden="false" customHeight="false" outlineLevel="0" collapsed="false">
      <c r="I1509" s="24" t="str">
        <f aca="false">IF($D1509="","",IFERROR(INDEX(Workers!$B$5:$B$2004,MATCH($D1509,Workers!$A$5:$A$2004,0)),"NOT FOUND"))</f>
        <v/>
      </c>
      <c r="J1509" s="24" t="str">
        <f aca="false">IF($D1509="","",IFERROR(INDEX(Workers!$C$5:$C$2004,MATCH($D1509,Workers!$A$5:$A$2004,0)),""))</f>
        <v/>
      </c>
      <c r="K1509" s="24" t="str">
        <f aca="false">IF($D1509="","",IFERROR(IF(INDEX(Workers!$D$5:$D$2004,MATCH($D1509,Workers!$A$5:$A$2004,0))=0,"",INDEX(Workers!$D$5:$D$2004,MATCH($D1509,Workers!$A$5:$A$2004,0))),""))</f>
        <v/>
      </c>
      <c r="L1509" s="24" t="str">
        <f aca="false">IF($D1509="","",IFERROR(INDEX(Workers!$E$5:$E$2004,MATCH($D1509,Workers!$A$5:$A$2004,0)),""))</f>
        <v/>
      </c>
      <c r="M1509" s="26" t="str">
        <f aca="false">IF($D1509="","",IFERROR(INDEX(ClientRates!$D$5:$D$500,MATCH($B1509&amp;"|"&amp;$L1509,ClientRates!$A$5:$A$500,0)),0))</f>
        <v/>
      </c>
      <c r="N1509" s="26" t="str">
        <f aca="false">IF($D1509="","",IFERROR(INDEX(ClientRates!$E$5:$E$500,MATCH($B1509&amp;"|"&amp;$L1509,ClientRates!$A$5:$A$500,0)),0))</f>
        <v/>
      </c>
      <c r="O1509" s="26" t="str">
        <f aca="false">IF($D1509="","",F1509*M1509+G1509*N1509)</f>
        <v/>
      </c>
      <c r="P1509" s="26" t="str">
        <f aca="false">IF(OR($D1509="",$J1509&lt;&gt;"Supplier"),"",IFERROR(INDEX(SupplierRates!$D$5:$D$500,MATCH($K1509&amp;"|"&amp;$L1509,SupplierRates!$A$5:$A$500,0)),0))</f>
        <v/>
      </c>
      <c r="Q1509" s="26" t="str">
        <f aca="false">IF(OR($D1509="",$J1509&lt;&gt;"Supplier"),"",IFERROR(INDEX(SupplierRates!$E$5:$E$500,MATCH($K1509&amp;"|"&amp;$L1509,SupplierRates!$A$5:$A$500,0)),0))</f>
        <v/>
      </c>
      <c r="R1509" s="26" t="n">
        <f aca="false">IF(OR($D1509="",$J1509&lt;&gt;"Supplier"),0,F1509*P1509+G1509*Q1509)</f>
        <v>0</v>
      </c>
      <c r="S1509" s="26" t="n">
        <f aca="false">IF(OR($D1509="",$J1509&lt;&gt;"Own"),0,IFERROR((F1509+G1509*Settings!$B$13)*INDEX(Workers!$V$5:$V$2004,MATCH($D1509,Workers!$A$5:$A$2004,0)),0))</f>
        <v>0</v>
      </c>
      <c r="T1509" s="26" t="str">
        <f aca="false">IF($D1509="","",O1509-R1509-S1509)</f>
        <v/>
      </c>
    </row>
    <row r="1510" customFormat="false" ht="15" hidden="false" customHeight="false" outlineLevel="0" collapsed="false">
      <c r="I1510" s="24" t="str">
        <f aca="false">IF($D1510="","",IFERROR(INDEX(Workers!$B$5:$B$2004,MATCH($D1510,Workers!$A$5:$A$2004,0)),"NOT FOUND"))</f>
        <v/>
      </c>
      <c r="J1510" s="24" t="str">
        <f aca="false">IF($D1510="","",IFERROR(INDEX(Workers!$C$5:$C$2004,MATCH($D1510,Workers!$A$5:$A$2004,0)),""))</f>
        <v/>
      </c>
      <c r="K1510" s="24" t="str">
        <f aca="false">IF($D1510="","",IFERROR(IF(INDEX(Workers!$D$5:$D$2004,MATCH($D1510,Workers!$A$5:$A$2004,0))=0,"",INDEX(Workers!$D$5:$D$2004,MATCH($D1510,Workers!$A$5:$A$2004,0))),""))</f>
        <v/>
      </c>
      <c r="L1510" s="24" t="str">
        <f aca="false">IF($D1510="","",IFERROR(INDEX(Workers!$E$5:$E$2004,MATCH($D1510,Workers!$A$5:$A$2004,0)),""))</f>
        <v/>
      </c>
      <c r="M1510" s="26" t="str">
        <f aca="false">IF($D1510="","",IFERROR(INDEX(ClientRates!$D$5:$D$500,MATCH($B1510&amp;"|"&amp;$L1510,ClientRates!$A$5:$A$500,0)),0))</f>
        <v/>
      </c>
      <c r="N1510" s="26" t="str">
        <f aca="false">IF($D1510="","",IFERROR(INDEX(ClientRates!$E$5:$E$500,MATCH($B1510&amp;"|"&amp;$L1510,ClientRates!$A$5:$A$500,0)),0))</f>
        <v/>
      </c>
      <c r="O1510" s="26" t="str">
        <f aca="false">IF($D1510="","",F1510*M1510+G1510*N1510)</f>
        <v/>
      </c>
      <c r="P1510" s="26" t="str">
        <f aca="false">IF(OR($D1510="",$J1510&lt;&gt;"Supplier"),"",IFERROR(INDEX(SupplierRates!$D$5:$D$500,MATCH($K1510&amp;"|"&amp;$L1510,SupplierRates!$A$5:$A$500,0)),0))</f>
        <v/>
      </c>
      <c r="Q1510" s="26" t="str">
        <f aca="false">IF(OR($D1510="",$J1510&lt;&gt;"Supplier"),"",IFERROR(INDEX(SupplierRates!$E$5:$E$500,MATCH($K1510&amp;"|"&amp;$L1510,SupplierRates!$A$5:$A$500,0)),0))</f>
        <v/>
      </c>
      <c r="R1510" s="26" t="n">
        <f aca="false">IF(OR($D1510="",$J1510&lt;&gt;"Supplier"),0,F1510*P1510+G1510*Q1510)</f>
        <v>0</v>
      </c>
      <c r="S1510" s="26" t="n">
        <f aca="false">IF(OR($D1510="",$J1510&lt;&gt;"Own"),0,IFERROR((F1510+G1510*Settings!$B$13)*INDEX(Workers!$V$5:$V$2004,MATCH($D1510,Workers!$A$5:$A$2004,0)),0))</f>
        <v>0</v>
      </c>
      <c r="T1510" s="26" t="str">
        <f aca="false">IF($D1510="","",O1510-R1510-S1510)</f>
        <v/>
      </c>
    </row>
    <row r="1511" customFormat="false" ht="15" hidden="false" customHeight="false" outlineLevel="0" collapsed="false">
      <c r="I1511" s="24" t="str">
        <f aca="false">IF($D1511="","",IFERROR(INDEX(Workers!$B$5:$B$2004,MATCH($D1511,Workers!$A$5:$A$2004,0)),"NOT FOUND"))</f>
        <v/>
      </c>
      <c r="J1511" s="24" t="str">
        <f aca="false">IF($D1511="","",IFERROR(INDEX(Workers!$C$5:$C$2004,MATCH($D1511,Workers!$A$5:$A$2004,0)),""))</f>
        <v/>
      </c>
      <c r="K1511" s="24" t="str">
        <f aca="false">IF($D1511="","",IFERROR(IF(INDEX(Workers!$D$5:$D$2004,MATCH($D1511,Workers!$A$5:$A$2004,0))=0,"",INDEX(Workers!$D$5:$D$2004,MATCH($D1511,Workers!$A$5:$A$2004,0))),""))</f>
        <v/>
      </c>
      <c r="L1511" s="24" t="str">
        <f aca="false">IF($D1511="","",IFERROR(INDEX(Workers!$E$5:$E$2004,MATCH($D1511,Workers!$A$5:$A$2004,0)),""))</f>
        <v/>
      </c>
      <c r="M1511" s="26" t="str">
        <f aca="false">IF($D1511="","",IFERROR(INDEX(ClientRates!$D$5:$D$500,MATCH($B1511&amp;"|"&amp;$L1511,ClientRates!$A$5:$A$500,0)),0))</f>
        <v/>
      </c>
      <c r="N1511" s="26" t="str">
        <f aca="false">IF($D1511="","",IFERROR(INDEX(ClientRates!$E$5:$E$500,MATCH($B1511&amp;"|"&amp;$L1511,ClientRates!$A$5:$A$500,0)),0))</f>
        <v/>
      </c>
      <c r="O1511" s="26" t="str">
        <f aca="false">IF($D1511="","",F1511*M1511+G1511*N1511)</f>
        <v/>
      </c>
      <c r="P1511" s="26" t="str">
        <f aca="false">IF(OR($D1511="",$J1511&lt;&gt;"Supplier"),"",IFERROR(INDEX(SupplierRates!$D$5:$D$500,MATCH($K1511&amp;"|"&amp;$L1511,SupplierRates!$A$5:$A$500,0)),0))</f>
        <v/>
      </c>
      <c r="Q1511" s="26" t="str">
        <f aca="false">IF(OR($D1511="",$J1511&lt;&gt;"Supplier"),"",IFERROR(INDEX(SupplierRates!$E$5:$E$500,MATCH($K1511&amp;"|"&amp;$L1511,SupplierRates!$A$5:$A$500,0)),0))</f>
        <v/>
      </c>
      <c r="R1511" s="26" t="n">
        <f aca="false">IF(OR($D1511="",$J1511&lt;&gt;"Supplier"),0,F1511*P1511+G1511*Q1511)</f>
        <v>0</v>
      </c>
      <c r="S1511" s="26" t="n">
        <f aca="false">IF(OR($D1511="",$J1511&lt;&gt;"Own"),0,IFERROR((F1511+G1511*Settings!$B$13)*INDEX(Workers!$V$5:$V$2004,MATCH($D1511,Workers!$A$5:$A$2004,0)),0))</f>
        <v>0</v>
      </c>
      <c r="T1511" s="26" t="str">
        <f aca="false">IF($D1511="","",O1511-R1511-S1511)</f>
        <v/>
      </c>
    </row>
    <row r="1512" customFormat="false" ht="15" hidden="false" customHeight="false" outlineLevel="0" collapsed="false">
      <c r="I1512" s="24" t="str">
        <f aca="false">IF($D1512="","",IFERROR(INDEX(Workers!$B$5:$B$2004,MATCH($D1512,Workers!$A$5:$A$2004,0)),"NOT FOUND"))</f>
        <v/>
      </c>
      <c r="J1512" s="24" t="str">
        <f aca="false">IF($D1512="","",IFERROR(INDEX(Workers!$C$5:$C$2004,MATCH($D1512,Workers!$A$5:$A$2004,0)),""))</f>
        <v/>
      </c>
      <c r="K1512" s="24" t="str">
        <f aca="false">IF($D1512="","",IFERROR(IF(INDEX(Workers!$D$5:$D$2004,MATCH($D1512,Workers!$A$5:$A$2004,0))=0,"",INDEX(Workers!$D$5:$D$2004,MATCH($D1512,Workers!$A$5:$A$2004,0))),""))</f>
        <v/>
      </c>
      <c r="L1512" s="24" t="str">
        <f aca="false">IF($D1512="","",IFERROR(INDEX(Workers!$E$5:$E$2004,MATCH($D1512,Workers!$A$5:$A$2004,0)),""))</f>
        <v/>
      </c>
      <c r="M1512" s="26" t="str">
        <f aca="false">IF($D1512="","",IFERROR(INDEX(ClientRates!$D$5:$D$500,MATCH($B1512&amp;"|"&amp;$L1512,ClientRates!$A$5:$A$500,0)),0))</f>
        <v/>
      </c>
      <c r="N1512" s="26" t="str">
        <f aca="false">IF($D1512="","",IFERROR(INDEX(ClientRates!$E$5:$E$500,MATCH($B1512&amp;"|"&amp;$L1512,ClientRates!$A$5:$A$500,0)),0))</f>
        <v/>
      </c>
      <c r="O1512" s="26" t="str">
        <f aca="false">IF($D1512="","",F1512*M1512+G1512*N1512)</f>
        <v/>
      </c>
      <c r="P1512" s="26" t="str">
        <f aca="false">IF(OR($D1512="",$J1512&lt;&gt;"Supplier"),"",IFERROR(INDEX(SupplierRates!$D$5:$D$500,MATCH($K1512&amp;"|"&amp;$L1512,SupplierRates!$A$5:$A$500,0)),0))</f>
        <v/>
      </c>
      <c r="Q1512" s="26" t="str">
        <f aca="false">IF(OR($D1512="",$J1512&lt;&gt;"Supplier"),"",IFERROR(INDEX(SupplierRates!$E$5:$E$500,MATCH($K1512&amp;"|"&amp;$L1512,SupplierRates!$A$5:$A$500,0)),0))</f>
        <v/>
      </c>
      <c r="R1512" s="26" t="n">
        <f aca="false">IF(OR($D1512="",$J1512&lt;&gt;"Supplier"),0,F1512*P1512+G1512*Q1512)</f>
        <v>0</v>
      </c>
      <c r="S1512" s="26" t="n">
        <f aca="false">IF(OR($D1512="",$J1512&lt;&gt;"Own"),0,IFERROR((F1512+G1512*Settings!$B$13)*INDEX(Workers!$V$5:$V$2004,MATCH($D1512,Workers!$A$5:$A$2004,0)),0))</f>
        <v>0</v>
      </c>
      <c r="T1512" s="26" t="str">
        <f aca="false">IF($D1512="","",O1512-R1512-S1512)</f>
        <v/>
      </c>
    </row>
    <row r="1513" customFormat="false" ht="15" hidden="false" customHeight="false" outlineLevel="0" collapsed="false">
      <c r="I1513" s="24" t="str">
        <f aca="false">IF($D1513="","",IFERROR(INDEX(Workers!$B$5:$B$2004,MATCH($D1513,Workers!$A$5:$A$2004,0)),"NOT FOUND"))</f>
        <v/>
      </c>
      <c r="J1513" s="24" t="str">
        <f aca="false">IF($D1513="","",IFERROR(INDEX(Workers!$C$5:$C$2004,MATCH($D1513,Workers!$A$5:$A$2004,0)),""))</f>
        <v/>
      </c>
      <c r="K1513" s="24" t="str">
        <f aca="false">IF($D1513="","",IFERROR(IF(INDEX(Workers!$D$5:$D$2004,MATCH($D1513,Workers!$A$5:$A$2004,0))=0,"",INDEX(Workers!$D$5:$D$2004,MATCH($D1513,Workers!$A$5:$A$2004,0))),""))</f>
        <v/>
      </c>
      <c r="L1513" s="24" t="str">
        <f aca="false">IF($D1513="","",IFERROR(INDEX(Workers!$E$5:$E$2004,MATCH($D1513,Workers!$A$5:$A$2004,0)),""))</f>
        <v/>
      </c>
      <c r="M1513" s="26" t="str">
        <f aca="false">IF($D1513="","",IFERROR(INDEX(ClientRates!$D$5:$D$500,MATCH($B1513&amp;"|"&amp;$L1513,ClientRates!$A$5:$A$500,0)),0))</f>
        <v/>
      </c>
      <c r="N1513" s="26" t="str">
        <f aca="false">IF($D1513="","",IFERROR(INDEX(ClientRates!$E$5:$E$500,MATCH($B1513&amp;"|"&amp;$L1513,ClientRates!$A$5:$A$500,0)),0))</f>
        <v/>
      </c>
      <c r="O1513" s="26" t="str">
        <f aca="false">IF($D1513="","",F1513*M1513+G1513*N1513)</f>
        <v/>
      </c>
      <c r="P1513" s="26" t="str">
        <f aca="false">IF(OR($D1513="",$J1513&lt;&gt;"Supplier"),"",IFERROR(INDEX(SupplierRates!$D$5:$D$500,MATCH($K1513&amp;"|"&amp;$L1513,SupplierRates!$A$5:$A$500,0)),0))</f>
        <v/>
      </c>
      <c r="Q1513" s="26" t="str">
        <f aca="false">IF(OR($D1513="",$J1513&lt;&gt;"Supplier"),"",IFERROR(INDEX(SupplierRates!$E$5:$E$500,MATCH($K1513&amp;"|"&amp;$L1513,SupplierRates!$A$5:$A$500,0)),0))</f>
        <v/>
      </c>
      <c r="R1513" s="26" t="n">
        <f aca="false">IF(OR($D1513="",$J1513&lt;&gt;"Supplier"),0,F1513*P1513+G1513*Q1513)</f>
        <v>0</v>
      </c>
      <c r="S1513" s="26" t="n">
        <f aca="false">IF(OR($D1513="",$J1513&lt;&gt;"Own"),0,IFERROR((F1513+G1513*Settings!$B$13)*INDEX(Workers!$V$5:$V$2004,MATCH($D1513,Workers!$A$5:$A$2004,0)),0))</f>
        <v>0</v>
      </c>
      <c r="T1513" s="26" t="str">
        <f aca="false">IF($D1513="","",O1513-R1513-S1513)</f>
        <v/>
      </c>
    </row>
    <row r="1514" customFormat="false" ht="15" hidden="false" customHeight="false" outlineLevel="0" collapsed="false">
      <c r="I1514" s="24" t="str">
        <f aca="false">IF($D1514="","",IFERROR(INDEX(Workers!$B$5:$B$2004,MATCH($D1514,Workers!$A$5:$A$2004,0)),"NOT FOUND"))</f>
        <v/>
      </c>
      <c r="J1514" s="24" t="str">
        <f aca="false">IF($D1514="","",IFERROR(INDEX(Workers!$C$5:$C$2004,MATCH($D1514,Workers!$A$5:$A$2004,0)),""))</f>
        <v/>
      </c>
      <c r="K1514" s="24" t="str">
        <f aca="false">IF($D1514="","",IFERROR(IF(INDEX(Workers!$D$5:$D$2004,MATCH($D1514,Workers!$A$5:$A$2004,0))=0,"",INDEX(Workers!$D$5:$D$2004,MATCH($D1514,Workers!$A$5:$A$2004,0))),""))</f>
        <v/>
      </c>
      <c r="L1514" s="24" t="str">
        <f aca="false">IF($D1514="","",IFERROR(INDEX(Workers!$E$5:$E$2004,MATCH($D1514,Workers!$A$5:$A$2004,0)),""))</f>
        <v/>
      </c>
      <c r="M1514" s="26" t="str">
        <f aca="false">IF($D1514="","",IFERROR(INDEX(ClientRates!$D$5:$D$500,MATCH($B1514&amp;"|"&amp;$L1514,ClientRates!$A$5:$A$500,0)),0))</f>
        <v/>
      </c>
      <c r="N1514" s="26" t="str">
        <f aca="false">IF($D1514="","",IFERROR(INDEX(ClientRates!$E$5:$E$500,MATCH($B1514&amp;"|"&amp;$L1514,ClientRates!$A$5:$A$500,0)),0))</f>
        <v/>
      </c>
      <c r="O1514" s="26" t="str">
        <f aca="false">IF($D1514="","",F1514*M1514+G1514*N1514)</f>
        <v/>
      </c>
      <c r="P1514" s="26" t="str">
        <f aca="false">IF(OR($D1514="",$J1514&lt;&gt;"Supplier"),"",IFERROR(INDEX(SupplierRates!$D$5:$D$500,MATCH($K1514&amp;"|"&amp;$L1514,SupplierRates!$A$5:$A$500,0)),0))</f>
        <v/>
      </c>
      <c r="Q1514" s="26" t="str">
        <f aca="false">IF(OR($D1514="",$J1514&lt;&gt;"Supplier"),"",IFERROR(INDEX(SupplierRates!$E$5:$E$500,MATCH($K1514&amp;"|"&amp;$L1514,SupplierRates!$A$5:$A$500,0)),0))</f>
        <v/>
      </c>
      <c r="R1514" s="26" t="n">
        <f aca="false">IF(OR($D1514="",$J1514&lt;&gt;"Supplier"),0,F1514*P1514+G1514*Q1514)</f>
        <v>0</v>
      </c>
      <c r="S1514" s="26" t="n">
        <f aca="false">IF(OR($D1514="",$J1514&lt;&gt;"Own"),0,IFERROR((F1514+G1514*Settings!$B$13)*INDEX(Workers!$V$5:$V$2004,MATCH($D1514,Workers!$A$5:$A$2004,0)),0))</f>
        <v>0</v>
      </c>
      <c r="T1514" s="26" t="str">
        <f aca="false">IF($D1514="","",O1514-R1514-S1514)</f>
        <v/>
      </c>
    </row>
    <row r="1515" customFormat="false" ht="15" hidden="false" customHeight="false" outlineLevel="0" collapsed="false">
      <c r="I1515" s="24" t="str">
        <f aca="false">IF($D1515="","",IFERROR(INDEX(Workers!$B$5:$B$2004,MATCH($D1515,Workers!$A$5:$A$2004,0)),"NOT FOUND"))</f>
        <v/>
      </c>
      <c r="J1515" s="24" t="str">
        <f aca="false">IF($D1515="","",IFERROR(INDEX(Workers!$C$5:$C$2004,MATCH($D1515,Workers!$A$5:$A$2004,0)),""))</f>
        <v/>
      </c>
      <c r="K1515" s="24" t="str">
        <f aca="false">IF($D1515="","",IFERROR(IF(INDEX(Workers!$D$5:$D$2004,MATCH($D1515,Workers!$A$5:$A$2004,0))=0,"",INDEX(Workers!$D$5:$D$2004,MATCH($D1515,Workers!$A$5:$A$2004,0))),""))</f>
        <v/>
      </c>
      <c r="L1515" s="24" t="str">
        <f aca="false">IF($D1515="","",IFERROR(INDEX(Workers!$E$5:$E$2004,MATCH($D1515,Workers!$A$5:$A$2004,0)),""))</f>
        <v/>
      </c>
      <c r="M1515" s="26" t="str">
        <f aca="false">IF($D1515="","",IFERROR(INDEX(ClientRates!$D$5:$D$500,MATCH($B1515&amp;"|"&amp;$L1515,ClientRates!$A$5:$A$500,0)),0))</f>
        <v/>
      </c>
      <c r="N1515" s="26" t="str">
        <f aca="false">IF($D1515="","",IFERROR(INDEX(ClientRates!$E$5:$E$500,MATCH($B1515&amp;"|"&amp;$L1515,ClientRates!$A$5:$A$500,0)),0))</f>
        <v/>
      </c>
      <c r="O1515" s="26" t="str">
        <f aca="false">IF($D1515="","",F1515*M1515+G1515*N1515)</f>
        <v/>
      </c>
      <c r="P1515" s="26" t="str">
        <f aca="false">IF(OR($D1515="",$J1515&lt;&gt;"Supplier"),"",IFERROR(INDEX(SupplierRates!$D$5:$D$500,MATCH($K1515&amp;"|"&amp;$L1515,SupplierRates!$A$5:$A$500,0)),0))</f>
        <v/>
      </c>
      <c r="Q1515" s="26" t="str">
        <f aca="false">IF(OR($D1515="",$J1515&lt;&gt;"Supplier"),"",IFERROR(INDEX(SupplierRates!$E$5:$E$500,MATCH($K1515&amp;"|"&amp;$L1515,SupplierRates!$A$5:$A$500,0)),0))</f>
        <v/>
      </c>
      <c r="R1515" s="26" t="n">
        <f aca="false">IF(OR($D1515="",$J1515&lt;&gt;"Supplier"),0,F1515*P1515+G1515*Q1515)</f>
        <v>0</v>
      </c>
      <c r="S1515" s="26" t="n">
        <f aca="false">IF(OR($D1515="",$J1515&lt;&gt;"Own"),0,IFERROR((F1515+G1515*Settings!$B$13)*INDEX(Workers!$V$5:$V$2004,MATCH($D1515,Workers!$A$5:$A$2004,0)),0))</f>
        <v>0</v>
      </c>
      <c r="T1515" s="26" t="str">
        <f aca="false">IF($D1515="","",O1515-R1515-S1515)</f>
        <v/>
      </c>
    </row>
    <row r="1516" customFormat="false" ht="15" hidden="false" customHeight="false" outlineLevel="0" collapsed="false">
      <c r="I1516" s="24" t="str">
        <f aca="false">IF($D1516="","",IFERROR(INDEX(Workers!$B$5:$B$2004,MATCH($D1516,Workers!$A$5:$A$2004,0)),"NOT FOUND"))</f>
        <v/>
      </c>
      <c r="J1516" s="24" t="str">
        <f aca="false">IF($D1516="","",IFERROR(INDEX(Workers!$C$5:$C$2004,MATCH($D1516,Workers!$A$5:$A$2004,0)),""))</f>
        <v/>
      </c>
      <c r="K1516" s="24" t="str">
        <f aca="false">IF($D1516="","",IFERROR(IF(INDEX(Workers!$D$5:$D$2004,MATCH($D1516,Workers!$A$5:$A$2004,0))=0,"",INDEX(Workers!$D$5:$D$2004,MATCH($D1516,Workers!$A$5:$A$2004,0))),""))</f>
        <v/>
      </c>
      <c r="L1516" s="24" t="str">
        <f aca="false">IF($D1516="","",IFERROR(INDEX(Workers!$E$5:$E$2004,MATCH($D1516,Workers!$A$5:$A$2004,0)),""))</f>
        <v/>
      </c>
      <c r="M1516" s="26" t="str">
        <f aca="false">IF($D1516="","",IFERROR(INDEX(ClientRates!$D$5:$D$500,MATCH($B1516&amp;"|"&amp;$L1516,ClientRates!$A$5:$A$500,0)),0))</f>
        <v/>
      </c>
      <c r="N1516" s="26" t="str">
        <f aca="false">IF($D1516="","",IFERROR(INDEX(ClientRates!$E$5:$E$500,MATCH($B1516&amp;"|"&amp;$L1516,ClientRates!$A$5:$A$500,0)),0))</f>
        <v/>
      </c>
      <c r="O1516" s="26" t="str">
        <f aca="false">IF($D1516="","",F1516*M1516+G1516*N1516)</f>
        <v/>
      </c>
      <c r="P1516" s="26" t="str">
        <f aca="false">IF(OR($D1516="",$J1516&lt;&gt;"Supplier"),"",IFERROR(INDEX(SupplierRates!$D$5:$D$500,MATCH($K1516&amp;"|"&amp;$L1516,SupplierRates!$A$5:$A$500,0)),0))</f>
        <v/>
      </c>
      <c r="Q1516" s="26" t="str">
        <f aca="false">IF(OR($D1516="",$J1516&lt;&gt;"Supplier"),"",IFERROR(INDEX(SupplierRates!$E$5:$E$500,MATCH($K1516&amp;"|"&amp;$L1516,SupplierRates!$A$5:$A$500,0)),0))</f>
        <v/>
      </c>
      <c r="R1516" s="26" t="n">
        <f aca="false">IF(OR($D1516="",$J1516&lt;&gt;"Supplier"),0,F1516*P1516+G1516*Q1516)</f>
        <v>0</v>
      </c>
      <c r="S1516" s="26" t="n">
        <f aca="false">IF(OR($D1516="",$J1516&lt;&gt;"Own"),0,IFERROR((F1516+G1516*Settings!$B$13)*INDEX(Workers!$V$5:$V$2004,MATCH($D1516,Workers!$A$5:$A$2004,0)),0))</f>
        <v>0</v>
      </c>
      <c r="T1516" s="26" t="str">
        <f aca="false">IF($D1516="","",O1516-R1516-S1516)</f>
        <v/>
      </c>
    </row>
    <row r="1517" customFormat="false" ht="15" hidden="false" customHeight="false" outlineLevel="0" collapsed="false">
      <c r="I1517" s="24" t="str">
        <f aca="false">IF($D1517="","",IFERROR(INDEX(Workers!$B$5:$B$2004,MATCH($D1517,Workers!$A$5:$A$2004,0)),"NOT FOUND"))</f>
        <v/>
      </c>
      <c r="J1517" s="24" t="str">
        <f aca="false">IF($D1517="","",IFERROR(INDEX(Workers!$C$5:$C$2004,MATCH($D1517,Workers!$A$5:$A$2004,0)),""))</f>
        <v/>
      </c>
      <c r="K1517" s="24" t="str">
        <f aca="false">IF($D1517="","",IFERROR(IF(INDEX(Workers!$D$5:$D$2004,MATCH($D1517,Workers!$A$5:$A$2004,0))=0,"",INDEX(Workers!$D$5:$D$2004,MATCH($D1517,Workers!$A$5:$A$2004,0))),""))</f>
        <v/>
      </c>
      <c r="L1517" s="24" t="str">
        <f aca="false">IF($D1517="","",IFERROR(INDEX(Workers!$E$5:$E$2004,MATCH($D1517,Workers!$A$5:$A$2004,0)),""))</f>
        <v/>
      </c>
      <c r="M1517" s="26" t="str">
        <f aca="false">IF($D1517="","",IFERROR(INDEX(ClientRates!$D$5:$D$500,MATCH($B1517&amp;"|"&amp;$L1517,ClientRates!$A$5:$A$500,0)),0))</f>
        <v/>
      </c>
      <c r="N1517" s="26" t="str">
        <f aca="false">IF($D1517="","",IFERROR(INDEX(ClientRates!$E$5:$E$500,MATCH($B1517&amp;"|"&amp;$L1517,ClientRates!$A$5:$A$500,0)),0))</f>
        <v/>
      </c>
      <c r="O1517" s="26" t="str">
        <f aca="false">IF($D1517="","",F1517*M1517+G1517*N1517)</f>
        <v/>
      </c>
      <c r="P1517" s="26" t="str">
        <f aca="false">IF(OR($D1517="",$J1517&lt;&gt;"Supplier"),"",IFERROR(INDEX(SupplierRates!$D$5:$D$500,MATCH($K1517&amp;"|"&amp;$L1517,SupplierRates!$A$5:$A$500,0)),0))</f>
        <v/>
      </c>
      <c r="Q1517" s="26" t="str">
        <f aca="false">IF(OR($D1517="",$J1517&lt;&gt;"Supplier"),"",IFERROR(INDEX(SupplierRates!$E$5:$E$500,MATCH($K1517&amp;"|"&amp;$L1517,SupplierRates!$A$5:$A$500,0)),0))</f>
        <v/>
      </c>
      <c r="R1517" s="26" t="n">
        <f aca="false">IF(OR($D1517="",$J1517&lt;&gt;"Supplier"),0,F1517*P1517+G1517*Q1517)</f>
        <v>0</v>
      </c>
      <c r="S1517" s="26" t="n">
        <f aca="false">IF(OR($D1517="",$J1517&lt;&gt;"Own"),0,IFERROR((F1517+G1517*Settings!$B$13)*INDEX(Workers!$V$5:$V$2004,MATCH($D1517,Workers!$A$5:$A$2004,0)),0))</f>
        <v>0</v>
      </c>
      <c r="T1517" s="26" t="str">
        <f aca="false">IF($D1517="","",O1517-R1517-S1517)</f>
        <v/>
      </c>
    </row>
    <row r="1518" customFormat="false" ht="15" hidden="false" customHeight="false" outlineLevel="0" collapsed="false">
      <c r="I1518" s="24" t="str">
        <f aca="false">IF($D1518="","",IFERROR(INDEX(Workers!$B$5:$B$2004,MATCH($D1518,Workers!$A$5:$A$2004,0)),"NOT FOUND"))</f>
        <v/>
      </c>
      <c r="J1518" s="24" t="str">
        <f aca="false">IF($D1518="","",IFERROR(INDEX(Workers!$C$5:$C$2004,MATCH($D1518,Workers!$A$5:$A$2004,0)),""))</f>
        <v/>
      </c>
      <c r="K1518" s="24" t="str">
        <f aca="false">IF($D1518="","",IFERROR(IF(INDEX(Workers!$D$5:$D$2004,MATCH($D1518,Workers!$A$5:$A$2004,0))=0,"",INDEX(Workers!$D$5:$D$2004,MATCH($D1518,Workers!$A$5:$A$2004,0))),""))</f>
        <v/>
      </c>
      <c r="L1518" s="24" t="str">
        <f aca="false">IF($D1518="","",IFERROR(INDEX(Workers!$E$5:$E$2004,MATCH($D1518,Workers!$A$5:$A$2004,0)),""))</f>
        <v/>
      </c>
      <c r="M1518" s="26" t="str">
        <f aca="false">IF($D1518="","",IFERROR(INDEX(ClientRates!$D$5:$D$500,MATCH($B1518&amp;"|"&amp;$L1518,ClientRates!$A$5:$A$500,0)),0))</f>
        <v/>
      </c>
      <c r="N1518" s="26" t="str">
        <f aca="false">IF($D1518="","",IFERROR(INDEX(ClientRates!$E$5:$E$500,MATCH($B1518&amp;"|"&amp;$L1518,ClientRates!$A$5:$A$500,0)),0))</f>
        <v/>
      </c>
      <c r="O1518" s="26" t="str">
        <f aca="false">IF($D1518="","",F1518*M1518+G1518*N1518)</f>
        <v/>
      </c>
      <c r="P1518" s="26" t="str">
        <f aca="false">IF(OR($D1518="",$J1518&lt;&gt;"Supplier"),"",IFERROR(INDEX(SupplierRates!$D$5:$D$500,MATCH($K1518&amp;"|"&amp;$L1518,SupplierRates!$A$5:$A$500,0)),0))</f>
        <v/>
      </c>
      <c r="Q1518" s="26" t="str">
        <f aca="false">IF(OR($D1518="",$J1518&lt;&gt;"Supplier"),"",IFERROR(INDEX(SupplierRates!$E$5:$E$500,MATCH($K1518&amp;"|"&amp;$L1518,SupplierRates!$A$5:$A$500,0)),0))</f>
        <v/>
      </c>
      <c r="R1518" s="26" t="n">
        <f aca="false">IF(OR($D1518="",$J1518&lt;&gt;"Supplier"),0,F1518*P1518+G1518*Q1518)</f>
        <v>0</v>
      </c>
      <c r="S1518" s="26" t="n">
        <f aca="false">IF(OR($D1518="",$J1518&lt;&gt;"Own"),0,IFERROR((F1518+G1518*Settings!$B$13)*INDEX(Workers!$V$5:$V$2004,MATCH($D1518,Workers!$A$5:$A$2004,0)),0))</f>
        <v>0</v>
      </c>
      <c r="T1518" s="26" t="str">
        <f aca="false">IF($D1518="","",O1518-R1518-S1518)</f>
        <v/>
      </c>
    </row>
    <row r="1519" customFormat="false" ht="15" hidden="false" customHeight="false" outlineLevel="0" collapsed="false">
      <c r="I1519" s="24" t="str">
        <f aca="false">IF($D1519="","",IFERROR(INDEX(Workers!$B$5:$B$2004,MATCH($D1519,Workers!$A$5:$A$2004,0)),"NOT FOUND"))</f>
        <v/>
      </c>
      <c r="J1519" s="24" t="str">
        <f aca="false">IF($D1519="","",IFERROR(INDEX(Workers!$C$5:$C$2004,MATCH($D1519,Workers!$A$5:$A$2004,0)),""))</f>
        <v/>
      </c>
      <c r="K1519" s="24" t="str">
        <f aca="false">IF($D1519="","",IFERROR(IF(INDEX(Workers!$D$5:$D$2004,MATCH($D1519,Workers!$A$5:$A$2004,0))=0,"",INDEX(Workers!$D$5:$D$2004,MATCH($D1519,Workers!$A$5:$A$2004,0))),""))</f>
        <v/>
      </c>
      <c r="L1519" s="24" t="str">
        <f aca="false">IF($D1519="","",IFERROR(INDEX(Workers!$E$5:$E$2004,MATCH($D1519,Workers!$A$5:$A$2004,0)),""))</f>
        <v/>
      </c>
      <c r="M1519" s="26" t="str">
        <f aca="false">IF($D1519="","",IFERROR(INDEX(ClientRates!$D$5:$D$500,MATCH($B1519&amp;"|"&amp;$L1519,ClientRates!$A$5:$A$500,0)),0))</f>
        <v/>
      </c>
      <c r="N1519" s="26" t="str">
        <f aca="false">IF($D1519="","",IFERROR(INDEX(ClientRates!$E$5:$E$500,MATCH($B1519&amp;"|"&amp;$L1519,ClientRates!$A$5:$A$500,0)),0))</f>
        <v/>
      </c>
      <c r="O1519" s="26" t="str">
        <f aca="false">IF($D1519="","",F1519*M1519+G1519*N1519)</f>
        <v/>
      </c>
      <c r="P1519" s="26" t="str">
        <f aca="false">IF(OR($D1519="",$J1519&lt;&gt;"Supplier"),"",IFERROR(INDEX(SupplierRates!$D$5:$D$500,MATCH($K1519&amp;"|"&amp;$L1519,SupplierRates!$A$5:$A$500,0)),0))</f>
        <v/>
      </c>
      <c r="Q1519" s="26" t="str">
        <f aca="false">IF(OR($D1519="",$J1519&lt;&gt;"Supplier"),"",IFERROR(INDEX(SupplierRates!$E$5:$E$500,MATCH($K1519&amp;"|"&amp;$L1519,SupplierRates!$A$5:$A$500,0)),0))</f>
        <v/>
      </c>
      <c r="R1519" s="26" t="n">
        <f aca="false">IF(OR($D1519="",$J1519&lt;&gt;"Supplier"),0,F1519*P1519+G1519*Q1519)</f>
        <v>0</v>
      </c>
      <c r="S1519" s="26" t="n">
        <f aca="false">IF(OR($D1519="",$J1519&lt;&gt;"Own"),0,IFERROR((F1519+G1519*Settings!$B$13)*INDEX(Workers!$V$5:$V$2004,MATCH($D1519,Workers!$A$5:$A$2004,0)),0))</f>
        <v>0</v>
      </c>
      <c r="T1519" s="26" t="str">
        <f aca="false">IF($D1519="","",O1519-R1519-S1519)</f>
        <v/>
      </c>
    </row>
    <row r="1520" customFormat="false" ht="15" hidden="false" customHeight="false" outlineLevel="0" collapsed="false">
      <c r="I1520" s="24" t="str">
        <f aca="false">IF($D1520="","",IFERROR(INDEX(Workers!$B$5:$B$2004,MATCH($D1520,Workers!$A$5:$A$2004,0)),"NOT FOUND"))</f>
        <v/>
      </c>
      <c r="J1520" s="24" t="str">
        <f aca="false">IF($D1520="","",IFERROR(INDEX(Workers!$C$5:$C$2004,MATCH($D1520,Workers!$A$5:$A$2004,0)),""))</f>
        <v/>
      </c>
      <c r="K1520" s="24" t="str">
        <f aca="false">IF($D1520="","",IFERROR(IF(INDEX(Workers!$D$5:$D$2004,MATCH($D1520,Workers!$A$5:$A$2004,0))=0,"",INDEX(Workers!$D$5:$D$2004,MATCH($D1520,Workers!$A$5:$A$2004,0))),""))</f>
        <v/>
      </c>
      <c r="L1520" s="24" t="str">
        <f aca="false">IF($D1520="","",IFERROR(INDEX(Workers!$E$5:$E$2004,MATCH($D1520,Workers!$A$5:$A$2004,0)),""))</f>
        <v/>
      </c>
      <c r="M1520" s="26" t="str">
        <f aca="false">IF($D1520="","",IFERROR(INDEX(ClientRates!$D$5:$D$500,MATCH($B1520&amp;"|"&amp;$L1520,ClientRates!$A$5:$A$500,0)),0))</f>
        <v/>
      </c>
      <c r="N1520" s="26" t="str">
        <f aca="false">IF($D1520="","",IFERROR(INDEX(ClientRates!$E$5:$E$500,MATCH($B1520&amp;"|"&amp;$L1520,ClientRates!$A$5:$A$500,0)),0))</f>
        <v/>
      </c>
      <c r="O1520" s="26" t="str">
        <f aca="false">IF($D1520="","",F1520*M1520+G1520*N1520)</f>
        <v/>
      </c>
      <c r="P1520" s="26" t="str">
        <f aca="false">IF(OR($D1520="",$J1520&lt;&gt;"Supplier"),"",IFERROR(INDEX(SupplierRates!$D$5:$D$500,MATCH($K1520&amp;"|"&amp;$L1520,SupplierRates!$A$5:$A$500,0)),0))</f>
        <v/>
      </c>
      <c r="Q1520" s="26" t="str">
        <f aca="false">IF(OR($D1520="",$J1520&lt;&gt;"Supplier"),"",IFERROR(INDEX(SupplierRates!$E$5:$E$500,MATCH($K1520&amp;"|"&amp;$L1520,SupplierRates!$A$5:$A$500,0)),0))</f>
        <v/>
      </c>
      <c r="R1520" s="26" t="n">
        <f aca="false">IF(OR($D1520="",$J1520&lt;&gt;"Supplier"),0,F1520*P1520+G1520*Q1520)</f>
        <v>0</v>
      </c>
      <c r="S1520" s="26" t="n">
        <f aca="false">IF(OR($D1520="",$J1520&lt;&gt;"Own"),0,IFERROR((F1520+G1520*Settings!$B$13)*INDEX(Workers!$V$5:$V$2004,MATCH($D1520,Workers!$A$5:$A$2004,0)),0))</f>
        <v>0</v>
      </c>
      <c r="T1520" s="26" t="str">
        <f aca="false">IF($D1520="","",O1520-R1520-S1520)</f>
        <v/>
      </c>
    </row>
    <row r="1521" customFormat="false" ht="15" hidden="false" customHeight="false" outlineLevel="0" collapsed="false">
      <c r="I1521" s="24" t="str">
        <f aca="false">IF($D1521="","",IFERROR(INDEX(Workers!$B$5:$B$2004,MATCH($D1521,Workers!$A$5:$A$2004,0)),"NOT FOUND"))</f>
        <v/>
      </c>
      <c r="J1521" s="24" t="str">
        <f aca="false">IF($D1521="","",IFERROR(INDEX(Workers!$C$5:$C$2004,MATCH($D1521,Workers!$A$5:$A$2004,0)),""))</f>
        <v/>
      </c>
      <c r="K1521" s="24" t="str">
        <f aca="false">IF($D1521="","",IFERROR(IF(INDEX(Workers!$D$5:$D$2004,MATCH($D1521,Workers!$A$5:$A$2004,0))=0,"",INDEX(Workers!$D$5:$D$2004,MATCH($D1521,Workers!$A$5:$A$2004,0))),""))</f>
        <v/>
      </c>
      <c r="L1521" s="24" t="str">
        <f aca="false">IF($D1521="","",IFERROR(INDEX(Workers!$E$5:$E$2004,MATCH($D1521,Workers!$A$5:$A$2004,0)),""))</f>
        <v/>
      </c>
      <c r="M1521" s="26" t="str">
        <f aca="false">IF($D1521="","",IFERROR(INDEX(ClientRates!$D$5:$D$500,MATCH($B1521&amp;"|"&amp;$L1521,ClientRates!$A$5:$A$500,0)),0))</f>
        <v/>
      </c>
      <c r="N1521" s="26" t="str">
        <f aca="false">IF($D1521="","",IFERROR(INDEX(ClientRates!$E$5:$E$500,MATCH($B1521&amp;"|"&amp;$L1521,ClientRates!$A$5:$A$500,0)),0))</f>
        <v/>
      </c>
      <c r="O1521" s="26" t="str">
        <f aca="false">IF($D1521="","",F1521*M1521+G1521*N1521)</f>
        <v/>
      </c>
      <c r="P1521" s="26" t="str">
        <f aca="false">IF(OR($D1521="",$J1521&lt;&gt;"Supplier"),"",IFERROR(INDEX(SupplierRates!$D$5:$D$500,MATCH($K1521&amp;"|"&amp;$L1521,SupplierRates!$A$5:$A$500,0)),0))</f>
        <v/>
      </c>
      <c r="Q1521" s="26" t="str">
        <f aca="false">IF(OR($D1521="",$J1521&lt;&gt;"Supplier"),"",IFERROR(INDEX(SupplierRates!$E$5:$E$500,MATCH($K1521&amp;"|"&amp;$L1521,SupplierRates!$A$5:$A$500,0)),0))</f>
        <v/>
      </c>
      <c r="R1521" s="26" t="n">
        <f aca="false">IF(OR($D1521="",$J1521&lt;&gt;"Supplier"),0,F1521*P1521+G1521*Q1521)</f>
        <v>0</v>
      </c>
      <c r="S1521" s="26" t="n">
        <f aca="false">IF(OR($D1521="",$J1521&lt;&gt;"Own"),0,IFERROR((F1521+G1521*Settings!$B$13)*INDEX(Workers!$V$5:$V$2004,MATCH($D1521,Workers!$A$5:$A$2004,0)),0))</f>
        <v>0</v>
      </c>
      <c r="T1521" s="26" t="str">
        <f aca="false">IF($D1521="","",O1521-R1521-S1521)</f>
        <v/>
      </c>
    </row>
    <row r="1522" customFormat="false" ht="15" hidden="false" customHeight="false" outlineLevel="0" collapsed="false">
      <c r="I1522" s="24" t="str">
        <f aca="false">IF($D1522="","",IFERROR(INDEX(Workers!$B$5:$B$2004,MATCH($D1522,Workers!$A$5:$A$2004,0)),"NOT FOUND"))</f>
        <v/>
      </c>
      <c r="J1522" s="24" t="str">
        <f aca="false">IF($D1522="","",IFERROR(INDEX(Workers!$C$5:$C$2004,MATCH($D1522,Workers!$A$5:$A$2004,0)),""))</f>
        <v/>
      </c>
      <c r="K1522" s="24" t="str">
        <f aca="false">IF($D1522="","",IFERROR(IF(INDEX(Workers!$D$5:$D$2004,MATCH($D1522,Workers!$A$5:$A$2004,0))=0,"",INDEX(Workers!$D$5:$D$2004,MATCH($D1522,Workers!$A$5:$A$2004,0))),""))</f>
        <v/>
      </c>
      <c r="L1522" s="24" t="str">
        <f aca="false">IF($D1522="","",IFERROR(INDEX(Workers!$E$5:$E$2004,MATCH($D1522,Workers!$A$5:$A$2004,0)),""))</f>
        <v/>
      </c>
      <c r="M1522" s="26" t="str">
        <f aca="false">IF($D1522="","",IFERROR(INDEX(ClientRates!$D$5:$D$500,MATCH($B1522&amp;"|"&amp;$L1522,ClientRates!$A$5:$A$500,0)),0))</f>
        <v/>
      </c>
      <c r="N1522" s="26" t="str">
        <f aca="false">IF($D1522="","",IFERROR(INDEX(ClientRates!$E$5:$E$500,MATCH($B1522&amp;"|"&amp;$L1522,ClientRates!$A$5:$A$500,0)),0))</f>
        <v/>
      </c>
      <c r="O1522" s="26" t="str">
        <f aca="false">IF($D1522="","",F1522*M1522+G1522*N1522)</f>
        <v/>
      </c>
      <c r="P1522" s="26" t="str">
        <f aca="false">IF(OR($D1522="",$J1522&lt;&gt;"Supplier"),"",IFERROR(INDEX(SupplierRates!$D$5:$D$500,MATCH($K1522&amp;"|"&amp;$L1522,SupplierRates!$A$5:$A$500,0)),0))</f>
        <v/>
      </c>
      <c r="Q1522" s="26" t="str">
        <f aca="false">IF(OR($D1522="",$J1522&lt;&gt;"Supplier"),"",IFERROR(INDEX(SupplierRates!$E$5:$E$500,MATCH($K1522&amp;"|"&amp;$L1522,SupplierRates!$A$5:$A$500,0)),0))</f>
        <v/>
      </c>
      <c r="R1522" s="26" t="n">
        <f aca="false">IF(OR($D1522="",$J1522&lt;&gt;"Supplier"),0,F1522*P1522+G1522*Q1522)</f>
        <v>0</v>
      </c>
      <c r="S1522" s="26" t="n">
        <f aca="false">IF(OR($D1522="",$J1522&lt;&gt;"Own"),0,IFERROR((F1522+G1522*Settings!$B$13)*INDEX(Workers!$V$5:$V$2004,MATCH($D1522,Workers!$A$5:$A$2004,0)),0))</f>
        <v>0</v>
      </c>
      <c r="T1522" s="26" t="str">
        <f aca="false">IF($D1522="","",O1522-R1522-S1522)</f>
        <v/>
      </c>
    </row>
    <row r="1523" customFormat="false" ht="15" hidden="false" customHeight="false" outlineLevel="0" collapsed="false">
      <c r="I1523" s="24" t="str">
        <f aca="false">IF($D1523="","",IFERROR(INDEX(Workers!$B$5:$B$2004,MATCH($D1523,Workers!$A$5:$A$2004,0)),"NOT FOUND"))</f>
        <v/>
      </c>
      <c r="J1523" s="24" t="str">
        <f aca="false">IF($D1523="","",IFERROR(INDEX(Workers!$C$5:$C$2004,MATCH($D1523,Workers!$A$5:$A$2004,0)),""))</f>
        <v/>
      </c>
      <c r="K1523" s="24" t="str">
        <f aca="false">IF($D1523="","",IFERROR(IF(INDEX(Workers!$D$5:$D$2004,MATCH($D1523,Workers!$A$5:$A$2004,0))=0,"",INDEX(Workers!$D$5:$D$2004,MATCH($D1523,Workers!$A$5:$A$2004,0))),""))</f>
        <v/>
      </c>
      <c r="L1523" s="24" t="str">
        <f aca="false">IF($D1523="","",IFERROR(INDEX(Workers!$E$5:$E$2004,MATCH($D1523,Workers!$A$5:$A$2004,0)),""))</f>
        <v/>
      </c>
      <c r="M1523" s="26" t="str">
        <f aca="false">IF($D1523="","",IFERROR(INDEX(ClientRates!$D$5:$D$500,MATCH($B1523&amp;"|"&amp;$L1523,ClientRates!$A$5:$A$500,0)),0))</f>
        <v/>
      </c>
      <c r="N1523" s="26" t="str">
        <f aca="false">IF($D1523="","",IFERROR(INDEX(ClientRates!$E$5:$E$500,MATCH($B1523&amp;"|"&amp;$L1523,ClientRates!$A$5:$A$500,0)),0))</f>
        <v/>
      </c>
      <c r="O1523" s="26" t="str">
        <f aca="false">IF($D1523="","",F1523*M1523+G1523*N1523)</f>
        <v/>
      </c>
      <c r="P1523" s="26" t="str">
        <f aca="false">IF(OR($D1523="",$J1523&lt;&gt;"Supplier"),"",IFERROR(INDEX(SupplierRates!$D$5:$D$500,MATCH($K1523&amp;"|"&amp;$L1523,SupplierRates!$A$5:$A$500,0)),0))</f>
        <v/>
      </c>
      <c r="Q1523" s="26" t="str">
        <f aca="false">IF(OR($D1523="",$J1523&lt;&gt;"Supplier"),"",IFERROR(INDEX(SupplierRates!$E$5:$E$500,MATCH($K1523&amp;"|"&amp;$L1523,SupplierRates!$A$5:$A$500,0)),0))</f>
        <v/>
      </c>
      <c r="R1523" s="26" t="n">
        <f aca="false">IF(OR($D1523="",$J1523&lt;&gt;"Supplier"),0,F1523*P1523+G1523*Q1523)</f>
        <v>0</v>
      </c>
      <c r="S1523" s="26" t="n">
        <f aca="false">IF(OR($D1523="",$J1523&lt;&gt;"Own"),0,IFERROR((F1523+G1523*Settings!$B$13)*INDEX(Workers!$V$5:$V$2004,MATCH($D1523,Workers!$A$5:$A$2004,0)),0))</f>
        <v>0</v>
      </c>
      <c r="T1523" s="26" t="str">
        <f aca="false">IF($D1523="","",O1523-R1523-S1523)</f>
        <v/>
      </c>
    </row>
    <row r="1524" customFormat="false" ht="15" hidden="false" customHeight="false" outlineLevel="0" collapsed="false">
      <c r="I1524" s="24" t="str">
        <f aca="false">IF($D1524="","",IFERROR(INDEX(Workers!$B$5:$B$2004,MATCH($D1524,Workers!$A$5:$A$2004,0)),"NOT FOUND"))</f>
        <v/>
      </c>
      <c r="J1524" s="24" t="str">
        <f aca="false">IF($D1524="","",IFERROR(INDEX(Workers!$C$5:$C$2004,MATCH($D1524,Workers!$A$5:$A$2004,0)),""))</f>
        <v/>
      </c>
      <c r="K1524" s="24" t="str">
        <f aca="false">IF($D1524="","",IFERROR(IF(INDEX(Workers!$D$5:$D$2004,MATCH($D1524,Workers!$A$5:$A$2004,0))=0,"",INDEX(Workers!$D$5:$D$2004,MATCH($D1524,Workers!$A$5:$A$2004,0))),""))</f>
        <v/>
      </c>
      <c r="L1524" s="24" t="str">
        <f aca="false">IF($D1524="","",IFERROR(INDEX(Workers!$E$5:$E$2004,MATCH($D1524,Workers!$A$5:$A$2004,0)),""))</f>
        <v/>
      </c>
      <c r="M1524" s="26" t="str">
        <f aca="false">IF($D1524="","",IFERROR(INDEX(ClientRates!$D$5:$D$500,MATCH($B1524&amp;"|"&amp;$L1524,ClientRates!$A$5:$A$500,0)),0))</f>
        <v/>
      </c>
      <c r="N1524" s="26" t="str">
        <f aca="false">IF($D1524="","",IFERROR(INDEX(ClientRates!$E$5:$E$500,MATCH($B1524&amp;"|"&amp;$L1524,ClientRates!$A$5:$A$500,0)),0))</f>
        <v/>
      </c>
      <c r="O1524" s="26" t="str">
        <f aca="false">IF($D1524="","",F1524*M1524+G1524*N1524)</f>
        <v/>
      </c>
      <c r="P1524" s="26" t="str">
        <f aca="false">IF(OR($D1524="",$J1524&lt;&gt;"Supplier"),"",IFERROR(INDEX(SupplierRates!$D$5:$D$500,MATCH($K1524&amp;"|"&amp;$L1524,SupplierRates!$A$5:$A$500,0)),0))</f>
        <v/>
      </c>
      <c r="Q1524" s="26" t="str">
        <f aca="false">IF(OR($D1524="",$J1524&lt;&gt;"Supplier"),"",IFERROR(INDEX(SupplierRates!$E$5:$E$500,MATCH($K1524&amp;"|"&amp;$L1524,SupplierRates!$A$5:$A$500,0)),0))</f>
        <v/>
      </c>
      <c r="R1524" s="26" t="n">
        <f aca="false">IF(OR($D1524="",$J1524&lt;&gt;"Supplier"),0,F1524*P1524+G1524*Q1524)</f>
        <v>0</v>
      </c>
      <c r="S1524" s="26" t="n">
        <f aca="false">IF(OR($D1524="",$J1524&lt;&gt;"Own"),0,IFERROR((F1524+G1524*Settings!$B$13)*INDEX(Workers!$V$5:$V$2004,MATCH($D1524,Workers!$A$5:$A$2004,0)),0))</f>
        <v>0</v>
      </c>
      <c r="T1524" s="26" t="str">
        <f aca="false">IF($D1524="","",O1524-R1524-S1524)</f>
        <v/>
      </c>
    </row>
    <row r="1525" customFormat="false" ht="15" hidden="false" customHeight="false" outlineLevel="0" collapsed="false">
      <c r="I1525" s="24" t="str">
        <f aca="false">IF($D1525="","",IFERROR(INDEX(Workers!$B$5:$B$2004,MATCH($D1525,Workers!$A$5:$A$2004,0)),"NOT FOUND"))</f>
        <v/>
      </c>
      <c r="J1525" s="24" t="str">
        <f aca="false">IF($D1525="","",IFERROR(INDEX(Workers!$C$5:$C$2004,MATCH($D1525,Workers!$A$5:$A$2004,0)),""))</f>
        <v/>
      </c>
      <c r="K1525" s="24" t="str">
        <f aca="false">IF($D1525="","",IFERROR(IF(INDEX(Workers!$D$5:$D$2004,MATCH($D1525,Workers!$A$5:$A$2004,0))=0,"",INDEX(Workers!$D$5:$D$2004,MATCH($D1525,Workers!$A$5:$A$2004,0))),""))</f>
        <v/>
      </c>
      <c r="L1525" s="24" t="str">
        <f aca="false">IF($D1525="","",IFERROR(INDEX(Workers!$E$5:$E$2004,MATCH($D1525,Workers!$A$5:$A$2004,0)),""))</f>
        <v/>
      </c>
      <c r="M1525" s="26" t="str">
        <f aca="false">IF($D1525="","",IFERROR(INDEX(ClientRates!$D$5:$D$500,MATCH($B1525&amp;"|"&amp;$L1525,ClientRates!$A$5:$A$500,0)),0))</f>
        <v/>
      </c>
      <c r="N1525" s="26" t="str">
        <f aca="false">IF($D1525="","",IFERROR(INDEX(ClientRates!$E$5:$E$500,MATCH($B1525&amp;"|"&amp;$L1525,ClientRates!$A$5:$A$500,0)),0))</f>
        <v/>
      </c>
      <c r="O1525" s="26" t="str">
        <f aca="false">IF($D1525="","",F1525*M1525+G1525*N1525)</f>
        <v/>
      </c>
      <c r="P1525" s="26" t="str">
        <f aca="false">IF(OR($D1525="",$J1525&lt;&gt;"Supplier"),"",IFERROR(INDEX(SupplierRates!$D$5:$D$500,MATCH($K1525&amp;"|"&amp;$L1525,SupplierRates!$A$5:$A$500,0)),0))</f>
        <v/>
      </c>
      <c r="Q1525" s="26" t="str">
        <f aca="false">IF(OR($D1525="",$J1525&lt;&gt;"Supplier"),"",IFERROR(INDEX(SupplierRates!$E$5:$E$500,MATCH($K1525&amp;"|"&amp;$L1525,SupplierRates!$A$5:$A$500,0)),0))</f>
        <v/>
      </c>
      <c r="R1525" s="26" t="n">
        <f aca="false">IF(OR($D1525="",$J1525&lt;&gt;"Supplier"),0,F1525*P1525+G1525*Q1525)</f>
        <v>0</v>
      </c>
      <c r="S1525" s="26" t="n">
        <f aca="false">IF(OR($D1525="",$J1525&lt;&gt;"Own"),0,IFERROR((F1525+G1525*Settings!$B$13)*INDEX(Workers!$V$5:$V$2004,MATCH($D1525,Workers!$A$5:$A$2004,0)),0))</f>
        <v>0</v>
      </c>
      <c r="T1525" s="26" t="str">
        <f aca="false">IF($D1525="","",O1525-R1525-S1525)</f>
        <v/>
      </c>
    </row>
    <row r="1526" customFormat="false" ht="15" hidden="false" customHeight="false" outlineLevel="0" collapsed="false">
      <c r="I1526" s="24" t="str">
        <f aca="false">IF($D1526="","",IFERROR(INDEX(Workers!$B$5:$B$2004,MATCH($D1526,Workers!$A$5:$A$2004,0)),"NOT FOUND"))</f>
        <v/>
      </c>
      <c r="J1526" s="24" t="str">
        <f aca="false">IF($D1526="","",IFERROR(INDEX(Workers!$C$5:$C$2004,MATCH($D1526,Workers!$A$5:$A$2004,0)),""))</f>
        <v/>
      </c>
      <c r="K1526" s="24" t="str">
        <f aca="false">IF($D1526="","",IFERROR(IF(INDEX(Workers!$D$5:$D$2004,MATCH($D1526,Workers!$A$5:$A$2004,0))=0,"",INDEX(Workers!$D$5:$D$2004,MATCH($D1526,Workers!$A$5:$A$2004,0))),""))</f>
        <v/>
      </c>
      <c r="L1526" s="24" t="str">
        <f aca="false">IF($D1526="","",IFERROR(INDEX(Workers!$E$5:$E$2004,MATCH($D1526,Workers!$A$5:$A$2004,0)),""))</f>
        <v/>
      </c>
      <c r="M1526" s="26" t="str">
        <f aca="false">IF($D1526="","",IFERROR(INDEX(ClientRates!$D$5:$D$500,MATCH($B1526&amp;"|"&amp;$L1526,ClientRates!$A$5:$A$500,0)),0))</f>
        <v/>
      </c>
      <c r="N1526" s="26" t="str">
        <f aca="false">IF($D1526="","",IFERROR(INDEX(ClientRates!$E$5:$E$500,MATCH($B1526&amp;"|"&amp;$L1526,ClientRates!$A$5:$A$500,0)),0))</f>
        <v/>
      </c>
      <c r="O1526" s="26" t="str">
        <f aca="false">IF($D1526="","",F1526*M1526+G1526*N1526)</f>
        <v/>
      </c>
      <c r="P1526" s="26" t="str">
        <f aca="false">IF(OR($D1526="",$J1526&lt;&gt;"Supplier"),"",IFERROR(INDEX(SupplierRates!$D$5:$D$500,MATCH($K1526&amp;"|"&amp;$L1526,SupplierRates!$A$5:$A$500,0)),0))</f>
        <v/>
      </c>
      <c r="Q1526" s="26" t="str">
        <f aca="false">IF(OR($D1526="",$J1526&lt;&gt;"Supplier"),"",IFERROR(INDEX(SupplierRates!$E$5:$E$500,MATCH($K1526&amp;"|"&amp;$L1526,SupplierRates!$A$5:$A$500,0)),0))</f>
        <v/>
      </c>
      <c r="R1526" s="26" t="n">
        <f aca="false">IF(OR($D1526="",$J1526&lt;&gt;"Supplier"),0,F1526*P1526+G1526*Q1526)</f>
        <v>0</v>
      </c>
      <c r="S1526" s="26" t="n">
        <f aca="false">IF(OR($D1526="",$J1526&lt;&gt;"Own"),0,IFERROR((F1526+G1526*Settings!$B$13)*INDEX(Workers!$V$5:$V$2004,MATCH($D1526,Workers!$A$5:$A$2004,0)),0))</f>
        <v>0</v>
      </c>
      <c r="T1526" s="26" t="str">
        <f aca="false">IF($D1526="","",O1526-R1526-S1526)</f>
        <v/>
      </c>
    </row>
    <row r="1527" customFormat="false" ht="15" hidden="false" customHeight="false" outlineLevel="0" collapsed="false">
      <c r="I1527" s="24" t="str">
        <f aca="false">IF($D1527="","",IFERROR(INDEX(Workers!$B$5:$B$2004,MATCH($D1527,Workers!$A$5:$A$2004,0)),"NOT FOUND"))</f>
        <v/>
      </c>
      <c r="J1527" s="24" t="str">
        <f aca="false">IF($D1527="","",IFERROR(INDEX(Workers!$C$5:$C$2004,MATCH($D1527,Workers!$A$5:$A$2004,0)),""))</f>
        <v/>
      </c>
      <c r="K1527" s="24" t="str">
        <f aca="false">IF($D1527="","",IFERROR(IF(INDEX(Workers!$D$5:$D$2004,MATCH($D1527,Workers!$A$5:$A$2004,0))=0,"",INDEX(Workers!$D$5:$D$2004,MATCH($D1527,Workers!$A$5:$A$2004,0))),""))</f>
        <v/>
      </c>
      <c r="L1527" s="24" t="str">
        <f aca="false">IF($D1527="","",IFERROR(INDEX(Workers!$E$5:$E$2004,MATCH($D1527,Workers!$A$5:$A$2004,0)),""))</f>
        <v/>
      </c>
      <c r="M1527" s="26" t="str">
        <f aca="false">IF($D1527="","",IFERROR(INDEX(ClientRates!$D$5:$D$500,MATCH($B1527&amp;"|"&amp;$L1527,ClientRates!$A$5:$A$500,0)),0))</f>
        <v/>
      </c>
      <c r="N1527" s="26" t="str">
        <f aca="false">IF($D1527="","",IFERROR(INDEX(ClientRates!$E$5:$E$500,MATCH($B1527&amp;"|"&amp;$L1527,ClientRates!$A$5:$A$500,0)),0))</f>
        <v/>
      </c>
      <c r="O1527" s="26" t="str">
        <f aca="false">IF($D1527="","",F1527*M1527+G1527*N1527)</f>
        <v/>
      </c>
      <c r="P1527" s="26" t="str">
        <f aca="false">IF(OR($D1527="",$J1527&lt;&gt;"Supplier"),"",IFERROR(INDEX(SupplierRates!$D$5:$D$500,MATCH($K1527&amp;"|"&amp;$L1527,SupplierRates!$A$5:$A$500,0)),0))</f>
        <v/>
      </c>
      <c r="Q1527" s="26" t="str">
        <f aca="false">IF(OR($D1527="",$J1527&lt;&gt;"Supplier"),"",IFERROR(INDEX(SupplierRates!$E$5:$E$500,MATCH($K1527&amp;"|"&amp;$L1527,SupplierRates!$A$5:$A$500,0)),0))</f>
        <v/>
      </c>
      <c r="R1527" s="26" t="n">
        <f aca="false">IF(OR($D1527="",$J1527&lt;&gt;"Supplier"),0,F1527*P1527+G1527*Q1527)</f>
        <v>0</v>
      </c>
      <c r="S1527" s="26" t="n">
        <f aca="false">IF(OR($D1527="",$J1527&lt;&gt;"Own"),0,IFERROR((F1527+G1527*Settings!$B$13)*INDEX(Workers!$V$5:$V$2004,MATCH($D1527,Workers!$A$5:$A$2004,0)),0))</f>
        <v>0</v>
      </c>
      <c r="T1527" s="26" t="str">
        <f aca="false">IF($D1527="","",O1527-R1527-S1527)</f>
        <v/>
      </c>
    </row>
    <row r="1528" customFormat="false" ht="15" hidden="false" customHeight="false" outlineLevel="0" collapsed="false">
      <c r="I1528" s="24" t="str">
        <f aca="false">IF($D1528="","",IFERROR(INDEX(Workers!$B$5:$B$2004,MATCH($D1528,Workers!$A$5:$A$2004,0)),"NOT FOUND"))</f>
        <v/>
      </c>
      <c r="J1528" s="24" t="str">
        <f aca="false">IF($D1528="","",IFERROR(INDEX(Workers!$C$5:$C$2004,MATCH($D1528,Workers!$A$5:$A$2004,0)),""))</f>
        <v/>
      </c>
      <c r="K1528" s="24" t="str">
        <f aca="false">IF($D1528="","",IFERROR(IF(INDEX(Workers!$D$5:$D$2004,MATCH($D1528,Workers!$A$5:$A$2004,0))=0,"",INDEX(Workers!$D$5:$D$2004,MATCH($D1528,Workers!$A$5:$A$2004,0))),""))</f>
        <v/>
      </c>
      <c r="L1528" s="24" t="str">
        <f aca="false">IF($D1528="","",IFERROR(INDEX(Workers!$E$5:$E$2004,MATCH($D1528,Workers!$A$5:$A$2004,0)),""))</f>
        <v/>
      </c>
      <c r="M1528" s="26" t="str">
        <f aca="false">IF($D1528="","",IFERROR(INDEX(ClientRates!$D$5:$D$500,MATCH($B1528&amp;"|"&amp;$L1528,ClientRates!$A$5:$A$500,0)),0))</f>
        <v/>
      </c>
      <c r="N1528" s="26" t="str">
        <f aca="false">IF($D1528="","",IFERROR(INDEX(ClientRates!$E$5:$E$500,MATCH($B1528&amp;"|"&amp;$L1528,ClientRates!$A$5:$A$500,0)),0))</f>
        <v/>
      </c>
      <c r="O1528" s="26" t="str">
        <f aca="false">IF($D1528="","",F1528*M1528+G1528*N1528)</f>
        <v/>
      </c>
      <c r="P1528" s="26" t="str">
        <f aca="false">IF(OR($D1528="",$J1528&lt;&gt;"Supplier"),"",IFERROR(INDEX(SupplierRates!$D$5:$D$500,MATCH($K1528&amp;"|"&amp;$L1528,SupplierRates!$A$5:$A$500,0)),0))</f>
        <v/>
      </c>
      <c r="Q1528" s="26" t="str">
        <f aca="false">IF(OR($D1528="",$J1528&lt;&gt;"Supplier"),"",IFERROR(INDEX(SupplierRates!$E$5:$E$500,MATCH($K1528&amp;"|"&amp;$L1528,SupplierRates!$A$5:$A$500,0)),0))</f>
        <v/>
      </c>
      <c r="R1528" s="26" t="n">
        <f aca="false">IF(OR($D1528="",$J1528&lt;&gt;"Supplier"),0,F1528*P1528+G1528*Q1528)</f>
        <v>0</v>
      </c>
      <c r="S1528" s="26" t="n">
        <f aca="false">IF(OR($D1528="",$J1528&lt;&gt;"Own"),0,IFERROR((F1528+G1528*Settings!$B$13)*INDEX(Workers!$V$5:$V$2004,MATCH($D1528,Workers!$A$5:$A$2004,0)),0))</f>
        <v>0</v>
      </c>
      <c r="T1528" s="26" t="str">
        <f aca="false">IF($D1528="","",O1528-R1528-S1528)</f>
        <v/>
      </c>
    </row>
    <row r="1529" customFormat="false" ht="15" hidden="false" customHeight="false" outlineLevel="0" collapsed="false">
      <c r="I1529" s="24" t="str">
        <f aca="false">IF($D1529="","",IFERROR(INDEX(Workers!$B$5:$B$2004,MATCH($D1529,Workers!$A$5:$A$2004,0)),"NOT FOUND"))</f>
        <v/>
      </c>
      <c r="J1529" s="24" t="str">
        <f aca="false">IF($D1529="","",IFERROR(INDEX(Workers!$C$5:$C$2004,MATCH($D1529,Workers!$A$5:$A$2004,0)),""))</f>
        <v/>
      </c>
      <c r="K1529" s="24" t="str">
        <f aca="false">IF($D1529="","",IFERROR(IF(INDEX(Workers!$D$5:$D$2004,MATCH($D1529,Workers!$A$5:$A$2004,0))=0,"",INDEX(Workers!$D$5:$D$2004,MATCH($D1529,Workers!$A$5:$A$2004,0))),""))</f>
        <v/>
      </c>
      <c r="L1529" s="24" t="str">
        <f aca="false">IF($D1529="","",IFERROR(INDEX(Workers!$E$5:$E$2004,MATCH($D1529,Workers!$A$5:$A$2004,0)),""))</f>
        <v/>
      </c>
      <c r="M1529" s="26" t="str">
        <f aca="false">IF($D1529="","",IFERROR(INDEX(ClientRates!$D$5:$D$500,MATCH($B1529&amp;"|"&amp;$L1529,ClientRates!$A$5:$A$500,0)),0))</f>
        <v/>
      </c>
      <c r="N1529" s="26" t="str">
        <f aca="false">IF($D1529="","",IFERROR(INDEX(ClientRates!$E$5:$E$500,MATCH($B1529&amp;"|"&amp;$L1529,ClientRates!$A$5:$A$500,0)),0))</f>
        <v/>
      </c>
      <c r="O1529" s="26" t="str">
        <f aca="false">IF($D1529="","",F1529*M1529+G1529*N1529)</f>
        <v/>
      </c>
      <c r="P1529" s="26" t="str">
        <f aca="false">IF(OR($D1529="",$J1529&lt;&gt;"Supplier"),"",IFERROR(INDEX(SupplierRates!$D$5:$D$500,MATCH($K1529&amp;"|"&amp;$L1529,SupplierRates!$A$5:$A$500,0)),0))</f>
        <v/>
      </c>
      <c r="Q1529" s="26" t="str">
        <f aca="false">IF(OR($D1529="",$J1529&lt;&gt;"Supplier"),"",IFERROR(INDEX(SupplierRates!$E$5:$E$500,MATCH($K1529&amp;"|"&amp;$L1529,SupplierRates!$A$5:$A$500,0)),0))</f>
        <v/>
      </c>
      <c r="R1529" s="26" t="n">
        <f aca="false">IF(OR($D1529="",$J1529&lt;&gt;"Supplier"),0,F1529*P1529+G1529*Q1529)</f>
        <v>0</v>
      </c>
      <c r="S1529" s="26" t="n">
        <f aca="false">IF(OR($D1529="",$J1529&lt;&gt;"Own"),0,IFERROR((F1529+G1529*Settings!$B$13)*INDEX(Workers!$V$5:$V$2004,MATCH($D1529,Workers!$A$5:$A$2004,0)),0))</f>
        <v>0</v>
      </c>
      <c r="T1529" s="26" t="str">
        <f aca="false">IF($D1529="","",O1529-R1529-S1529)</f>
        <v/>
      </c>
    </row>
    <row r="1530" customFormat="false" ht="15" hidden="false" customHeight="false" outlineLevel="0" collapsed="false">
      <c r="I1530" s="24" t="str">
        <f aca="false">IF($D1530="","",IFERROR(INDEX(Workers!$B$5:$B$2004,MATCH($D1530,Workers!$A$5:$A$2004,0)),"NOT FOUND"))</f>
        <v/>
      </c>
      <c r="J1530" s="24" t="str">
        <f aca="false">IF($D1530="","",IFERROR(INDEX(Workers!$C$5:$C$2004,MATCH($D1530,Workers!$A$5:$A$2004,0)),""))</f>
        <v/>
      </c>
      <c r="K1530" s="24" t="str">
        <f aca="false">IF($D1530="","",IFERROR(IF(INDEX(Workers!$D$5:$D$2004,MATCH($D1530,Workers!$A$5:$A$2004,0))=0,"",INDEX(Workers!$D$5:$D$2004,MATCH($D1530,Workers!$A$5:$A$2004,0))),""))</f>
        <v/>
      </c>
      <c r="L1530" s="24" t="str">
        <f aca="false">IF($D1530="","",IFERROR(INDEX(Workers!$E$5:$E$2004,MATCH($D1530,Workers!$A$5:$A$2004,0)),""))</f>
        <v/>
      </c>
      <c r="M1530" s="26" t="str">
        <f aca="false">IF($D1530="","",IFERROR(INDEX(ClientRates!$D$5:$D$500,MATCH($B1530&amp;"|"&amp;$L1530,ClientRates!$A$5:$A$500,0)),0))</f>
        <v/>
      </c>
      <c r="N1530" s="26" t="str">
        <f aca="false">IF($D1530="","",IFERROR(INDEX(ClientRates!$E$5:$E$500,MATCH($B1530&amp;"|"&amp;$L1530,ClientRates!$A$5:$A$500,0)),0))</f>
        <v/>
      </c>
      <c r="O1530" s="26" t="str">
        <f aca="false">IF($D1530="","",F1530*M1530+G1530*N1530)</f>
        <v/>
      </c>
      <c r="P1530" s="26" t="str">
        <f aca="false">IF(OR($D1530="",$J1530&lt;&gt;"Supplier"),"",IFERROR(INDEX(SupplierRates!$D$5:$D$500,MATCH($K1530&amp;"|"&amp;$L1530,SupplierRates!$A$5:$A$500,0)),0))</f>
        <v/>
      </c>
      <c r="Q1530" s="26" t="str">
        <f aca="false">IF(OR($D1530="",$J1530&lt;&gt;"Supplier"),"",IFERROR(INDEX(SupplierRates!$E$5:$E$500,MATCH($K1530&amp;"|"&amp;$L1530,SupplierRates!$A$5:$A$500,0)),0))</f>
        <v/>
      </c>
      <c r="R1530" s="26" t="n">
        <f aca="false">IF(OR($D1530="",$J1530&lt;&gt;"Supplier"),0,F1530*P1530+G1530*Q1530)</f>
        <v>0</v>
      </c>
      <c r="S1530" s="26" t="n">
        <f aca="false">IF(OR($D1530="",$J1530&lt;&gt;"Own"),0,IFERROR((F1530+G1530*Settings!$B$13)*INDEX(Workers!$V$5:$V$2004,MATCH($D1530,Workers!$A$5:$A$2004,0)),0))</f>
        <v>0</v>
      </c>
      <c r="T1530" s="26" t="str">
        <f aca="false">IF($D1530="","",O1530-R1530-S1530)</f>
        <v/>
      </c>
    </row>
    <row r="1531" customFormat="false" ht="15" hidden="false" customHeight="false" outlineLevel="0" collapsed="false">
      <c r="I1531" s="24" t="str">
        <f aca="false">IF($D1531="","",IFERROR(INDEX(Workers!$B$5:$B$2004,MATCH($D1531,Workers!$A$5:$A$2004,0)),"NOT FOUND"))</f>
        <v/>
      </c>
      <c r="J1531" s="24" t="str">
        <f aca="false">IF($D1531="","",IFERROR(INDEX(Workers!$C$5:$C$2004,MATCH($D1531,Workers!$A$5:$A$2004,0)),""))</f>
        <v/>
      </c>
      <c r="K1531" s="24" t="str">
        <f aca="false">IF($D1531="","",IFERROR(IF(INDEX(Workers!$D$5:$D$2004,MATCH($D1531,Workers!$A$5:$A$2004,0))=0,"",INDEX(Workers!$D$5:$D$2004,MATCH($D1531,Workers!$A$5:$A$2004,0))),""))</f>
        <v/>
      </c>
      <c r="L1531" s="24" t="str">
        <f aca="false">IF($D1531="","",IFERROR(INDEX(Workers!$E$5:$E$2004,MATCH($D1531,Workers!$A$5:$A$2004,0)),""))</f>
        <v/>
      </c>
      <c r="M1531" s="26" t="str">
        <f aca="false">IF($D1531="","",IFERROR(INDEX(ClientRates!$D$5:$D$500,MATCH($B1531&amp;"|"&amp;$L1531,ClientRates!$A$5:$A$500,0)),0))</f>
        <v/>
      </c>
      <c r="N1531" s="26" t="str">
        <f aca="false">IF($D1531="","",IFERROR(INDEX(ClientRates!$E$5:$E$500,MATCH($B1531&amp;"|"&amp;$L1531,ClientRates!$A$5:$A$500,0)),0))</f>
        <v/>
      </c>
      <c r="O1531" s="26" t="str">
        <f aca="false">IF($D1531="","",F1531*M1531+G1531*N1531)</f>
        <v/>
      </c>
      <c r="P1531" s="26" t="str">
        <f aca="false">IF(OR($D1531="",$J1531&lt;&gt;"Supplier"),"",IFERROR(INDEX(SupplierRates!$D$5:$D$500,MATCH($K1531&amp;"|"&amp;$L1531,SupplierRates!$A$5:$A$500,0)),0))</f>
        <v/>
      </c>
      <c r="Q1531" s="26" t="str">
        <f aca="false">IF(OR($D1531="",$J1531&lt;&gt;"Supplier"),"",IFERROR(INDEX(SupplierRates!$E$5:$E$500,MATCH($K1531&amp;"|"&amp;$L1531,SupplierRates!$A$5:$A$500,0)),0))</f>
        <v/>
      </c>
      <c r="R1531" s="26" t="n">
        <f aca="false">IF(OR($D1531="",$J1531&lt;&gt;"Supplier"),0,F1531*P1531+G1531*Q1531)</f>
        <v>0</v>
      </c>
      <c r="S1531" s="26" t="n">
        <f aca="false">IF(OR($D1531="",$J1531&lt;&gt;"Own"),0,IFERROR((F1531+G1531*Settings!$B$13)*INDEX(Workers!$V$5:$V$2004,MATCH($D1531,Workers!$A$5:$A$2004,0)),0))</f>
        <v>0</v>
      </c>
      <c r="T1531" s="26" t="str">
        <f aca="false">IF($D1531="","",O1531-R1531-S1531)</f>
        <v/>
      </c>
    </row>
    <row r="1532" customFormat="false" ht="15" hidden="false" customHeight="false" outlineLevel="0" collapsed="false">
      <c r="I1532" s="24" t="str">
        <f aca="false">IF($D1532="","",IFERROR(INDEX(Workers!$B$5:$B$2004,MATCH($D1532,Workers!$A$5:$A$2004,0)),"NOT FOUND"))</f>
        <v/>
      </c>
      <c r="J1532" s="24" t="str">
        <f aca="false">IF($D1532="","",IFERROR(INDEX(Workers!$C$5:$C$2004,MATCH($D1532,Workers!$A$5:$A$2004,0)),""))</f>
        <v/>
      </c>
      <c r="K1532" s="24" t="str">
        <f aca="false">IF($D1532="","",IFERROR(IF(INDEX(Workers!$D$5:$D$2004,MATCH($D1532,Workers!$A$5:$A$2004,0))=0,"",INDEX(Workers!$D$5:$D$2004,MATCH($D1532,Workers!$A$5:$A$2004,0))),""))</f>
        <v/>
      </c>
      <c r="L1532" s="24" t="str">
        <f aca="false">IF($D1532="","",IFERROR(INDEX(Workers!$E$5:$E$2004,MATCH($D1532,Workers!$A$5:$A$2004,0)),""))</f>
        <v/>
      </c>
      <c r="M1532" s="26" t="str">
        <f aca="false">IF($D1532="","",IFERROR(INDEX(ClientRates!$D$5:$D$500,MATCH($B1532&amp;"|"&amp;$L1532,ClientRates!$A$5:$A$500,0)),0))</f>
        <v/>
      </c>
      <c r="N1532" s="26" t="str">
        <f aca="false">IF($D1532="","",IFERROR(INDEX(ClientRates!$E$5:$E$500,MATCH($B1532&amp;"|"&amp;$L1532,ClientRates!$A$5:$A$500,0)),0))</f>
        <v/>
      </c>
      <c r="O1532" s="26" t="str">
        <f aca="false">IF($D1532="","",F1532*M1532+G1532*N1532)</f>
        <v/>
      </c>
      <c r="P1532" s="26" t="str">
        <f aca="false">IF(OR($D1532="",$J1532&lt;&gt;"Supplier"),"",IFERROR(INDEX(SupplierRates!$D$5:$D$500,MATCH($K1532&amp;"|"&amp;$L1532,SupplierRates!$A$5:$A$500,0)),0))</f>
        <v/>
      </c>
      <c r="Q1532" s="26" t="str">
        <f aca="false">IF(OR($D1532="",$J1532&lt;&gt;"Supplier"),"",IFERROR(INDEX(SupplierRates!$E$5:$E$500,MATCH($K1532&amp;"|"&amp;$L1532,SupplierRates!$A$5:$A$500,0)),0))</f>
        <v/>
      </c>
      <c r="R1532" s="26" t="n">
        <f aca="false">IF(OR($D1532="",$J1532&lt;&gt;"Supplier"),0,F1532*P1532+G1532*Q1532)</f>
        <v>0</v>
      </c>
      <c r="S1532" s="26" t="n">
        <f aca="false">IF(OR($D1532="",$J1532&lt;&gt;"Own"),0,IFERROR((F1532+G1532*Settings!$B$13)*INDEX(Workers!$V$5:$V$2004,MATCH($D1532,Workers!$A$5:$A$2004,0)),0))</f>
        <v>0</v>
      </c>
      <c r="T1532" s="26" t="str">
        <f aca="false">IF($D1532="","",O1532-R1532-S1532)</f>
        <v/>
      </c>
    </row>
    <row r="1533" customFormat="false" ht="15" hidden="false" customHeight="false" outlineLevel="0" collapsed="false">
      <c r="I1533" s="24" t="str">
        <f aca="false">IF($D1533="","",IFERROR(INDEX(Workers!$B$5:$B$2004,MATCH($D1533,Workers!$A$5:$A$2004,0)),"NOT FOUND"))</f>
        <v/>
      </c>
      <c r="J1533" s="24" t="str">
        <f aca="false">IF($D1533="","",IFERROR(INDEX(Workers!$C$5:$C$2004,MATCH($D1533,Workers!$A$5:$A$2004,0)),""))</f>
        <v/>
      </c>
      <c r="K1533" s="24" t="str">
        <f aca="false">IF($D1533="","",IFERROR(IF(INDEX(Workers!$D$5:$D$2004,MATCH($D1533,Workers!$A$5:$A$2004,0))=0,"",INDEX(Workers!$D$5:$D$2004,MATCH($D1533,Workers!$A$5:$A$2004,0))),""))</f>
        <v/>
      </c>
      <c r="L1533" s="24" t="str">
        <f aca="false">IF($D1533="","",IFERROR(INDEX(Workers!$E$5:$E$2004,MATCH($D1533,Workers!$A$5:$A$2004,0)),""))</f>
        <v/>
      </c>
      <c r="M1533" s="26" t="str">
        <f aca="false">IF($D1533="","",IFERROR(INDEX(ClientRates!$D$5:$D$500,MATCH($B1533&amp;"|"&amp;$L1533,ClientRates!$A$5:$A$500,0)),0))</f>
        <v/>
      </c>
      <c r="N1533" s="26" t="str">
        <f aca="false">IF($D1533="","",IFERROR(INDEX(ClientRates!$E$5:$E$500,MATCH($B1533&amp;"|"&amp;$L1533,ClientRates!$A$5:$A$500,0)),0))</f>
        <v/>
      </c>
      <c r="O1533" s="26" t="str">
        <f aca="false">IF($D1533="","",F1533*M1533+G1533*N1533)</f>
        <v/>
      </c>
      <c r="P1533" s="26" t="str">
        <f aca="false">IF(OR($D1533="",$J1533&lt;&gt;"Supplier"),"",IFERROR(INDEX(SupplierRates!$D$5:$D$500,MATCH($K1533&amp;"|"&amp;$L1533,SupplierRates!$A$5:$A$500,0)),0))</f>
        <v/>
      </c>
      <c r="Q1533" s="26" t="str">
        <f aca="false">IF(OR($D1533="",$J1533&lt;&gt;"Supplier"),"",IFERROR(INDEX(SupplierRates!$E$5:$E$500,MATCH($K1533&amp;"|"&amp;$L1533,SupplierRates!$A$5:$A$500,0)),0))</f>
        <v/>
      </c>
      <c r="R1533" s="26" t="n">
        <f aca="false">IF(OR($D1533="",$J1533&lt;&gt;"Supplier"),0,F1533*P1533+G1533*Q1533)</f>
        <v>0</v>
      </c>
      <c r="S1533" s="26" t="n">
        <f aca="false">IF(OR($D1533="",$J1533&lt;&gt;"Own"),0,IFERROR((F1533+G1533*Settings!$B$13)*INDEX(Workers!$V$5:$V$2004,MATCH($D1533,Workers!$A$5:$A$2004,0)),0))</f>
        <v>0</v>
      </c>
      <c r="T1533" s="26" t="str">
        <f aca="false">IF($D1533="","",O1533-R1533-S1533)</f>
        <v/>
      </c>
    </row>
    <row r="1534" customFormat="false" ht="15" hidden="false" customHeight="false" outlineLevel="0" collapsed="false">
      <c r="I1534" s="24" t="str">
        <f aca="false">IF($D1534="","",IFERROR(INDEX(Workers!$B$5:$B$2004,MATCH($D1534,Workers!$A$5:$A$2004,0)),"NOT FOUND"))</f>
        <v/>
      </c>
      <c r="J1534" s="24" t="str">
        <f aca="false">IF($D1534="","",IFERROR(INDEX(Workers!$C$5:$C$2004,MATCH($D1534,Workers!$A$5:$A$2004,0)),""))</f>
        <v/>
      </c>
      <c r="K1534" s="24" t="str">
        <f aca="false">IF($D1534="","",IFERROR(IF(INDEX(Workers!$D$5:$D$2004,MATCH($D1534,Workers!$A$5:$A$2004,0))=0,"",INDEX(Workers!$D$5:$D$2004,MATCH($D1534,Workers!$A$5:$A$2004,0))),""))</f>
        <v/>
      </c>
      <c r="L1534" s="24" t="str">
        <f aca="false">IF($D1534="","",IFERROR(INDEX(Workers!$E$5:$E$2004,MATCH($D1534,Workers!$A$5:$A$2004,0)),""))</f>
        <v/>
      </c>
      <c r="M1534" s="26" t="str">
        <f aca="false">IF($D1534="","",IFERROR(INDEX(ClientRates!$D$5:$D$500,MATCH($B1534&amp;"|"&amp;$L1534,ClientRates!$A$5:$A$500,0)),0))</f>
        <v/>
      </c>
      <c r="N1534" s="26" t="str">
        <f aca="false">IF($D1534="","",IFERROR(INDEX(ClientRates!$E$5:$E$500,MATCH($B1534&amp;"|"&amp;$L1534,ClientRates!$A$5:$A$500,0)),0))</f>
        <v/>
      </c>
      <c r="O1534" s="26" t="str">
        <f aca="false">IF($D1534="","",F1534*M1534+G1534*N1534)</f>
        <v/>
      </c>
      <c r="P1534" s="26" t="str">
        <f aca="false">IF(OR($D1534="",$J1534&lt;&gt;"Supplier"),"",IFERROR(INDEX(SupplierRates!$D$5:$D$500,MATCH($K1534&amp;"|"&amp;$L1534,SupplierRates!$A$5:$A$500,0)),0))</f>
        <v/>
      </c>
      <c r="Q1534" s="26" t="str">
        <f aca="false">IF(OR($D1534="",$J1534&lt;&gt;"Supplier"),"",IFERROR(INDEX(SupplierRates!$E$5:$E$500,MATCH($K1534&amp;"|"&amp;$L1534,SupplierRates!$A$5:$A$500,0)),0))</f>
        <v/>
      </c>
      <c r="R1534" s="26" t="n">
        <f aca="false">IF(OR($D1534="",$J1534&lt;&gt;"Supplier"),0,F1534*P1534+G1534*Q1534)</f>
        <v>0</v>
      </c>
      <c r="S1534" s="26" t="n">
        <f aca="false">IF(OR($D1534="",$J1534&lt;&gt;"Own"),0,IFERROR((F1534+G1534*Settings!$B$13)*INDEX(Workers!$V$5:$V$2004,MATCH($D1534,Workers!$A$5:$A$2004,0)),0))</f>
        <v>0</v>
      </c>
      <c r="T1534" s="26" t="str">
        <f aca="false">IF($D1534="","",O1534-R1534-S1534)</f>
        <v/>
      </c>
    </row>
    <row r="1535" customFormat="false" ht="15" hidden="false" customHeight="false" outlineLevel="0" collapsed="false">
      <c r="I1535" s="24" t="str">
        <f aca="false">IF($D1535="","",IFERROR(INDEX(Workers!$B$5:$B$2004,MATCH($D1535,Workers!$A$5:$A$2004,0)),"NOT FOUND"))</f>
        <v/>
      </c>
      <c r="J1535" s="24" t="str">
        <f aca="false">IF($D1535="","",IFERROR(INDEX(Workers!$C$5:$C$2004,MATCH($D1535,Workers!$A$5:$A$2004,0)),""))</f>
        <v/>
      </c>
      <c r="K1535" s="24" t="str">
        <f aca="false">IF($D1535="","",IFERROR(IF(INDEX(Workers!$D$5:$D$2004,MATCH($D1535,Workers!$A$5:$A$2004,0))=0,"",INDEX(Workers!$D$5:$D$2004,MATCH($D1535,Workers!$A$5:$A$2004,0))),""))</f>
        <v/>
      </c>
      <c r="L1535" s="24" t="str">
        <f aca="false">IF($D1535="","",IFERROR(INDEX(Workers!$E$5:$E$2004,MATCH($D1535,Workers!$A$5:$A$2004,0)),""))</f>
        <v/>
      </c>
      <c r="M1535" s="26" t="str">
        <f aca="false">IF($D1535="","",IFERROR(INDEX(ClientRates!$D$5:$D$500,MATCH($B1535&amp;"|"&amp;$L1535,ClientRates!$A$5:$A$500,0)),0))</f>
        <v/>
      </c>
      <c r="N1535" s="26" t="str">
        <f aca="false">IF($D1535="","",IFERROR(INDEX(ClientRates!$E$5:$E$500,MATCH($B1535&amp;"|"&amp;$L1535,ClientRates!$A$5:$A$500,0)),0))</f>
        <v/>
      </c>
      <c r="O1535" s="26" t="str">
        <f aca="false">IF($D1535="","",F1535*M1535+G1535*N1535)</f>
        <v/>
      </c>
      <c r="P1535" s="26" t="str">
        <f aca="false">IF(OR($D1535="",$J1535&lt;&gt;"Supplier"),"",IFERROR(INDEX(SupplierRates!$D$5:$D$500,MATCH($K1535&amp;"|"&amp;$L1535,SupplierRates!$A$5:$A$500,0)),0))</f>
        <v/>
      </c>
      <c r="Q1535" s="26" t="str">
        <f aca="false">IF(OR($D1535="",$J1535&lt;&gt;"Supplier"),"",IFERROR(INDEX(SupplierRates!$E$5:$E$500,MATCH($K1535&amp;"|"&amp;$L1535,SupplierRates!$A$5:$A$500,0)),0))</f>
        <v/>
      </c>
      <c r="R1535" s="26" t="n">
        <f aca="false">IF(OR($D1535="",$J1535&lt;&gt;"Supplier"),0,F1535*P1535+G1535*Q1535)</f>
        <v>0</v>
      </c>
      <c r="S1535" s="26" t="n">
        <f aca="false">IF(OR($D1535="",$J1535&lt;&gt;"Own"),0,IFERROR((F1535+G1535*Settings!$B$13)*INDEX(Workers!$V$5:$V$2004,MATCH($D1535,Workers!$A$5:$A$2004,0)),0))</f>
        <v>0</v>
      </c>
      <c r="T1535" s="26" t="str">
        <f aca="false">IF($D1535="","",O1535-R1535-S1535)</f>
        <v/>
      </c>
    </row>
    <row r="1536" customFormat="false" ht="15" hidden="false" customHeight="false" outlineLevel="0" collapsed="false">
      <c r="I1536" s="24" t="str">
        <f aca="false">IF($D1536="","",IFERROR(INDEX(Workers!$B$5:$B$2004,MATCH($D1536,Workers!$A$5:$A$2004,0)),"NOT FOUND"))</f>
        <v/>
      </c>
      <c r="J1536" s="24" t="str">
        <f aca="false">IF($D1536="","",IFERROR(INDEX(Workers!$C$5:$C$2004,MATCH($D1536,Workers!$A$5:$A$2004,0)),""))</f>
        <v/>
      </c>
      <c r="K1536" s="24" t="str">
        <f aca="false">IF($D1536="","",IFERROR(IF(INDEX(Workers!$D$5:$D$2004,MATCH($D1536,Workers!$A$5:$A$2004,0))=0,"",INDEX(Workers!$D$5:$D$2004,MATCH($D1536,Workers!$A$5:$A$2004,0))),""))</f>
        <v/>
      </c>
      <c r="L1536" s="24" t="str">
        <f aca="false">IF($D1536="","",IFERROR(INDEX(Workers!$E$5:$E$2004,MATCH($D1536,Workers!$A$5:$A$2004,0)),""))</f>
        <v/>
      </c>
      <c r="M1536" s="26" t="str">
        <f aca="false">IF($D1536="","",IFERROR(INDEX(ClientRates!$D$5:$D$500,MATCH($B1536&amp;"|"&amp;$L1536,ClientRates!$A$5:$A$500,0)),0))</f>
        <v/>
      </c>
      <c r="N1536" s="26" t="str">
        <f aca="false">IF($D1536="","",IFERROR(INDEX(ClientRates!$E$5:$E$500,MATCH($B1536&amp;"|"&amp;$L1536,ClientRates!$A$5:$A$500,0)),0))</f>
        <v/>
      </c>
      <c r="O1536" s="26" t="str">
        <f aca="false">IF($D1536="","",F1536*M1536+G1536*N1536)</f>
        <v/>
      </c>
      <c r="P1536" s="26" t="str">
        <f aca="false">IF(OR($D1536="",$J1536&lt;&gt;"Supplier"),"",IFERROR(INDEX(SupplierRates!$D$5:$D$500,MATCH($K1536&amp;"|"&amp;$L1536,SupplierRates!$A$5:$A$500,0)),0))</f>
        <v/>
      </c>
      <c r="Q1536" s="26" t="str">
        <f aca="false">IF(OR($D1536="",$J1536&lt;&gt;"Supplier"),"",IFERROR(INDEX(SupplierRates!$E$5:$E$500,MATCH($K1536&amp;"|"&amp;$L1536,SupplierRates!$A$5:$A$500,0)),0))</f>
        <v/>
      </c>
      <c r="R1536" s="26" t="n">
        <f aca="false">IF(OR($D1536="",$J1536&lt;&gt;"Supplier"),0,F1536*P1536+G1536*Q1536)</f>
        <v>0</v>
      </c>
      <c r="S1536" s="26" t="n">
        <f aca="false">IF(OR($D1536="",$J1536&lt;&gt;"Own"),0,IFERROR((F1536+G1536*Settings!$B$13)*INDEX(Workers!$V$5:$V$2004,MATCH($D1536,Workers!$A$5:$A$2004,0)),0))</f>
        <v>0</v>
      </c>
      <c r="T1536" s="26" t="str">
        <f aca="false">IF($D1536="","",O1536-R1536-S1536)</f>
        <v/>
      </c>
    </row>
    <row r="1537" customFormat="false" ht="15" hidden="false" customHeight="false" outlineLevel="0" collapsed="false">
      <c r="I1537" s="24" t="str">
        <f aca="false">IF($D1537="","",IFERROR(INDEX(Workers!$B$5:$B$2004,MATCH($D1537,Workers!$A$5:$A$2004,0)),"NOT FOUND"))</f>
        <v/>
      </c>
      <c r="J1537" s="24" t="str">
        <f aca="false">IF($D1537="","",IFERROR(INDEX(Workers!$C$5:$C$2004,MATCH($D1537,Workers!$A$5:$A$2004,0)),""))</f>
        <v/>
      </c>
      <c r="K1537" s="24" t="str">
        <f aca="false">IF($D1537="","",IFERROR(IF(INDEX(Workers!$D$5:$D$2004,MATCH($D1537,Workers!$A$5:$A$2004,0))=0,"",INDEX(Workers!$D$5:$D$2004,MATCH($D1537,Workers!$A$5:$A$2004,0))),""))</f>
        <v/>
      </c>
      <c r="L1537" s="24" t="str">
        <f aca="false">IF($D1537="","",IFERROR(INDEX(Workers!$E$5:$E$2004,MATCH($D1537,Workers!$A$5:$A$2004,0)),""))</f>
        <v/>
      </c>
      <c r="M1537" s="26" t="str">
        <f aca="false">IF($D1537="","",IFERROR(INDEX(ClientRates!$D$5:$D$500,MATCH($B1537&amp;"|"&amp;$L1537,ClientRates!$A$5:$A$500,0)),0))</f>
        <v/>
      </c>
      <c r="N1537" s="26" t="str">
        <f aca="false">IF($D1537="","",IFERROR(INDEX(ClientRates!$E$5:$E$500,MATCH($B1537&amp;"|"&amp;$L1537,ClientRates!$A$5:$A$500,0)),0))</f>
        <v/>
      </c>
      <c r="O1537" s="26" t="str">
        <f aca="false">IF($D1537="","",F1537*M1537+G1537*N1537)</f>
        <v/>
      </c>
      <c r="P1537" s="26" t="str">
        <f aca="false">IF(OR($D1537="",$J1537&lt;&gt;"Supplier"),"",IFERROR(INDEX(SupplierRates!$D$5:$D$500,MATCH($K1537&amp;"|"&amp;$L1537,SupplierRates!$A$5:$A$500,0)),0))</f>
        <v/>
      </c>
      <c r="Q1537" s="26" t="str">
        <f aca="false">IF(OR($D1537="",$J1537&lt;&gt;"Supplier"),"",IFERROR(INDEX(SupplierRates!$E$5:$E$500,MATCH($K1537&amp;"|"&amp;$L1537,SupplierRates!$A$5:$A$500,0)),0))</f>
        <v/>
      </c>
      <c r="R1537" s="26" t="n">
        <f aca="false">IF(OR($D1537="",$J1537&lt;&gt;"Supplier"),0,F1537*P1537+G1537*Q1537)</f>
        <v>0</v>
      </c>
      <c r="S1537" s="26" t="n">
        <f aca="false">IF(OR($D1537="",$J1537&lt;&gt;"Own"),0,IFERROR((F1537+G1537*Settings!$B$13)*INDEX(Workers!$V$5:$V$2004,MATCH($D1537,Workers!$A$5:$A$2004,0)),0))</f>
        <v>0</v>
      </c>
      <c r="T1537" s="26" t="str">
        <f aca="false">IF($D1537="","",O1537-R1537-S1537)</f>
        <v/>
      </c>
    </row>
    <row r="1538" customFormat="false" ht="15" hidden="false" customHeight="false" outlineLevel="0" collapsed="false">
      <c r="I1538" s="24" t="str">
        <f aca="false">IF($D1538="","",IFERROR(INDEX(Workers!$B$5:$B$2004,MATCH($D1538,Workers!$A$5:$A$2004,0)),"NOT FOUND"))</f>
        <v/>
      </c>
      <c r="J1538" s="24" t="str">
        <f aca="false">IF($D1538="","",IFERROR(INDEX(Workers!$C$5:$C$2004,MATCH($D1538,Workers!$A$5:$A$2004,0)),""))</f>
        <v/>
      </c>
      <c r="K1538" s="24" t="str">
        <f aca="false">IF($D1538="","",IFERROR(IF(INDEX(Workers!$D$5:$D$2004,MATCH($D1538,Workers!$A$5:$A$2004,0))=0,"",INDEX(Workers!$D$5:$D$2004,MATCH($D1538,Workers!$A$5:$A$2004,0))),""))</f>
        <v/>
      </c>
      <c r="L1538" s="24" t="str">
        <f aca="false">IF($D1538="","",IFERROR(INDEX(Workers!$E$5:$E$2004,MATCH($D1538,Workers!$A$5:$A$2004,0)),""))</f>
        <v/>
      </c>
      <c r="M1538" s="26" t="str">
        <f aca="false">IF($D1538="","",IFERROR(INDEX(ClientRates!$D$5:$D$500,MATCH($B1538&amp;"|"&amp;$L1538,ClientRates!$A$5:$A$500,0)),0))</f>
        <v/>
      </c>
      <c r="N1538" s="26" t="str">
        <f aca="false">IF($D1538="","",IFERROR(INDEX(ClientRates!$E$5:$E$500,MATCH($B1538&amp;"|"&amp;$L1538,ClientRates!$A$5:$A$500,0)),0))</f>
        <v/>
      </c>
      <c r="O1538" s="26" t="str">
        <f aca="false">IF($D1538="","",F1538*M1538+G1538*N1538)</f>
        <v/>
      </c>
      <c r="P1538" s="26" t="str">
        <f aca="false">IF(OR($D1538="",$J1538&lt;&gt;"Supplier"),"",IFERROR(INDEX(SupplierRates!$D$5:$D$500,MATCH($K1538&amp;"|"&amp;$L1538,SupplierRates!$A$5:$A$500,0)),0))</f>
        <v/>
      </c>
      <c r="Q1538" s="26" t="str">
        <f aca="false">IF(OR($D1538="",$J1538&lt;&gt;"Supplier"),"",IFERROR(INDEX(SupplierRates!$E$5:$E$500,MATCH($K1538&amp;"|"&amp;$L1538,SupplierRates!$A$5:$A$500,0)),0))</f>
        <v/>
      </c>
      <c r="R1538" s="26" t="n">
        <f aca="false">IF(OR($D1538="",$J1538&lt;&gt;"Supplier"),0,F1538*P1538+G1538*Q1538)</f>
        <v>0</v>
      </c>
      <c r="S1538" s="26" t="n">
        <f aca="false">IF(OR($D1538="",$J1538&lt;&gt;"Own"),0,IFERROR((F1538+G1538*Settings!$B$13)*INDEX(Workers!$V$5:$V$2004,MATCH($D1538,Workers!$A$5:$A$2004,0)),0))</f>
        <v>0</v>
      </c>
      <c r="T1538" s="26" t="str">
        <f aca="false">IF($D1538="","",O1538-R1538-S1538)</f>
        <v/>
      </c>
    </row>
    <row r="1539" customFormat="false" ht="15" hidden="false" customHeight="false" outlineLevel="0" collapsed="false">
      <c r="I1539" s="24" t="str">
        <f aca="false">IF($D1539="","",IFERROR(INDEX(Workers!$B$5:$B$2004,MATCH($D1539,Workers!$A$5:$A$2004,0)),"NOT FOUND"))</f>
        <v/>
      </c>
      <c r="J1539" s="24" t="str">
        <f aca="false">IF($D1539="","",IFERROR(INDEX(Workers!$C$5:$C$2004,MATCH($D1539,Workers!$A$5:$A$2004,0)),""))</f>
        <v/>
      </c>
      <c r="K1539" s="24" t="str">
        <f aca="false">IF($D1539="","",IFERROR(IF(INDEX(Workers!$D$5:$D$2004,MATCH($D1539,Workers!$A$5:$A$2004,0))=0,"",INDEX(Workers!$D$5:$D$2004,MATCH($D1539,Workers!$A$5:$A$2004,0))),""))</f>
        <v/>
      </c>
      <c r="L1539" s="24" t="str">
        <f aca="false">IF($D1539="","",IFERROR(INDEX(Workers!$E$5:$E$2004,MATCH($D1539,Workers!$A$5:$A$2004,0)),""))</f>
        <v/>
      </c>
      <c r="M1539" s="26" t="str">
        <f aca="false">IF($D1539="","",IFERROR(INDEX(ClientRates!$D$5:$D$500,MATCH($B1539&amp;"|"&amp;$L1539,ClientRates!$A$5:$A$500,0)),0))</f>
        <v/>
      </c>
      <c r="N1539" s="26" t="str">
        <f aca="false">IF($D1539="","",IFERROR(INDEX(ClientRates!$E$5:$E$500,MATCH($B1539&amp;"|"&amp;$L1539,ClientRates!$A$5:$A$500,0)),0))</f>
        <v/>
      </c>
      <c r="O1539" s="26" t="str">
        <f aca="false">IF($D1539="","",F1539*M1539+G1539*N1539)</f>
        <v/>
      </c>
      <c r="P1539" s="26" t="str">
        <f aca="false">IF(OR($D1539="",$J1539&lt;&gt;"Supplier"),"",IFERROR(INDEX(SupplierRates!$D$5:$D$500,MATCH($K1539&amp;"|"&amp;$L1539,SupplierRates!$A$5:$A$500,0)),0))</f>
        <v/>
      </c>
      <c r="Q1539" s="26" t="str">
        <f aca="false">IF(OR($D1539="",$J1539&lt;&gt;"Supplier"),"",IFERROR(INDEX(SupplierRates!$E$5:$E$500,MATCH($K1539&amp;"|"&amp;$L1539,SupplierRates!$A$5:$A$500,0)),0))</f>
        <v/>
      </c>
      <c r="R1539" s="26" t="n">
        <f aca="false">IF(OR($D1539="",$J1539&lt;&gt;"Supplier"),0,F1539*P1539+G1539*Q1539)</f>
        <v>0</v>
      </c>
      <c r="S1539" s="26" t="n">
        <f aca="false">IF(OR($D1539="",$J1539&lt;&gt;"Own"),0,IFERROR((F1539+G1539*Settings!$B$13)*INDEX(Workers!$V$5:$V$2004,MATCH($D1539,Workers!$A$5:$A$2004,0)),0))</f>
        <v>0</v>
      </c>
      <c r="T1539" s="26" t="str">
        <f aca="false">IF($D1539="","",O1539-R1539-S1539)</f>
        <v/>
      </c>
    </row>
    <row r="1540" customFormat="false" ht="15" hidden="false" customHeight="false" outlineLevel="0" collapsed="false">
      <c r="I1540" s="24" t="str">
        <f aca="false">IF($D1540="","",IFERROR(INDEX(Workers!$B$5:$B$2004,MATCH($D1540,Workers!$A$5:$A$2004,0)),"NOT FOUND"))</f>
        <v/>
      </c>
      <c r="J1540" s="24" t="str">
        <f aca="false">IF($D1540="","",IFERROR(INDEX(Workers!$C$5:$C$2004,MATCH($D1540,Workers!$A$5:$A$2004,0)),""))</f>
        <v/>
      </c>
      <c r="K1540" s="24" t="str">
        <f aca="false">IF($D1540="","",IFERROR(IF(INDEX(Workers!$D$5:$D$2004,MATCH($D1540,Workers!$A$5:$A$2004,0))=0,"",INDEX(Workers!$D$5:$D$2004,MATCH($D1540,Workers!$A$5:$A$2004,0))),""))</f>
        <v/>
      </c>
      <c r="L1540" s="24" t="str">
        <f aca="false">IF($D1540="","",IFERROR(INDEX(Workers!$E$5:$E$2004,MATCH($D1540,Workers!$A$5:$A$2004,0)),""))</f>
        <v/>
      </c>
      <c r="M1540" s="26" t="str">
        <f aca="false">IF($D1540="","",IFERROR(INDEX(ClientRates!$D$5:$D$500,MATCH($B1540&amp;"|"&amp;$L1540,ClientRates!$A$5:$A$500,0)),0))</f>
        <v/>
      </c>
      <c r="N1540" s="26" t="str">
        <f aca="false">IF($D1540="","",IFERROR(INDEX(ClientRates!$E$5:$E$500,MATCH($B1540&amp;"|"&amp;$L1540,ClientRates!$A$5:$A$500,0)),0))</f>
        <v/>
      </c>
      <c r="O1540" s="26" t="str">
        <f aca="false">IF($D1540="","",F1540*M1540+G1540*N1540)</f>
        <v/>
      </c>
      <c r="P1540" s="26" t="str">
        <f aca="false">IF(OR($D1540="",$J1540&lt;&gt;"Supplier"),"",IFERROR(INDEX(SupplierRates!$D$5:$D$500,MATCH($K1540&amp;"|"&amp;$L1540,SupplierRates!$A$5:$A$500,0)),0))</f>
        <v/>
      </c>
      <c r="Q1540" s="26" t="str">
        <f aca="false">IF(OR($D1540="",$J1540&lt;&gt;"Supplier"),"",IFERROR(INDEX(SupplierRates!$E$5:$E$500,MATCH($K1540&amp;"|"&amp;$L1540,SupplierRates!$A$5:$A$500,0)),0))</f>
        <v/>
      </c>
      <c r="R1540" s="26" t="n">
        <f aca="false">IF(OR($D1540="",$J1540&lt;&gt;"Supplier"),0,F1540*P1540+G1540*Q1540)</f>
        <v>0</v>
      </c>
      <c r="S1540" s="26" t="n">
        <f aca="false">IF(OR($D1540="",$J1540&lt;&gt;"Own"),0,IFERROR((F1540+G1540*Settings!$B$13)*INDEX(Workers!$V$5:$V$2004,MATCH($D1540,Workers!$A$5:$A$2004,0)),0))</f>
        <v>0</v>
      </c>
      <c r="T1540" s="26" t="str">
        <f aca="false">IF($D1540="","",O1540-R1540-S1540)</f>
        <v/>
      </c>
    </row>
    <row r="1541" customFormat="false" ht="15" hidden="false" customHeight="false" outlineLevel="0" collapsed="false">
      <c r="I1541" s="24" t="str">
        <f aca="false">IF($D1541="","",IFERROR(INDEX(Workers!$B$5:$B$2004,MATCH($D1541,Workers!$A$5:$A$2004,0)),"NOT FOUND"))</f>
        <v/>
      </c>
      <c r="J1541" s="24" t="str">
        <f aca="false">IF($D1541="","",IFERROR(INDEX(Workers!$C$5:$C$2004,MATCH($D1541,Workers!$A$5:$A$2004,0)),""))</f>
        <v/>
      </c>
      <c r="K1541" s="24" t="str">
        <f aca="false">IF($D1541="","",IFERROR(IF(INDEX(Workers!$D$5:$D$2004,MATCH($D1541,Workers!$A$5:$A$2004,0))=0,"",INDEX(Workers!$D$5:$D$2004,MATCH($D1541,Workers!$A$5:$A$2004,0))),""))</f>
        <v/>
      </c>
      <c r="L1541" s="24" t="str">
        <f aca="false">IF($D1541="","",IFERROR(INDEX(Workers!$E$5:$E$2004,MATCH($D1541,Workers!$A$5:$A$2004,0)),""))</f>
        <v/>
      </c>
      <c r="M1541" s="26" t="str">
        <f aca="false">IF($D1541="","",IFERROR(INDEX(ClientRates!$D$5:$D$500,MATCH($B1541&amp;"|"&amp;$L1541,ClientRates!$A$5:$A$500,0)),0))</f>
        <v/>
      </c>
      <c r="N1541" s="26" t="str">
        <f aca="false">IF($D1541="","",IFERROR(INDEX(ClientRates!$E$5:$E$500,MATCH($B1541&amp;"|"&amp;$L1541,ClientRates!$A$5:$A$500,0)),0))</f>
        <v/>
      </c>
      <c r="O1541" s="26" t="str">
        <f aca="false">IF($D1541="","",F1541*M1541+G1541*N1541)</f>
        <v/>
      </c>
      <c r="P1541" s="26" t="str">
        <f aca="false">IF(OR($D1541="",$J1541&lt;&gt;"Supplier"),"",IFERROR(INDEX(SupplierRates!$D$5:$D$500,MATCH($K1541&amp;"|"&amp;$L1541,SupplierRates!$A$5:$A$500,0)),0))</f>
        <v/>
      </c>
      <c r="Q1541" s="26" t="str">
        <f aca="false">IF(OR($D1541="",$J1541&lt;&gt;"Supplier"),"",IFERROR(INDEX(SupplierRates!$E$5:$E$500,MATCH($K1541&amp;"|"&amp;$L1541,SupplierRates!$A$5:$A$500,0)),0))</f>
        <v/>
      </c>
      <c r="R1541" s="26" t="n">
        <f aca="false">IF(OR($D1541="",$J1541&lt;&gt;"Supplier"),0,F1541*P1541+G1541*Q1541)</f>
        <v>0</v>
      </c>
      <c r="S1541" s="26" t="n">
        <f aca="false">IF(OR($D1541="",$J1541&lt;&gt;"Own"),0,IFERROR((F1541+G1541*Settings!$B$13)*INDEX(Workers!$V$5:$V$2004,MATCH($D1541,Workers!$A$5:$A$2004,0)),0))</f>
        <v>0</v>
      </c>
      <c r="T1541" s="26" t="str">
        <f aca="false">IF($D1541="","",O1541-R1541-S1541)</f>
        <v/>
      </c>
    </row>
    <row r="1542" customFormat="false" ht="15" hidden="false" customHeight="false" outlineLevel="0" collapsed="false">
      <c r="I1542" s="24" t="str">
        <f aca="false">IF($D1542="","",IFERROR(INDEX(Workers!$B$5:$B$2004,MATCH($D1542,Workers!$A$5:$A$2004,0)),"NOT FOUND"))</f>
        <v/>
      </c>
      <c r="J1542" s="24" t="str">
        <f aca="false">IF($D1542="","",IFERROR(INDEX(Workers!$C$5:$C$2004,MATCH($D1542,Workers!$A$5:$A$2004,0)),""))</f>
        <v/>
      </c>
      <c r="K1542" s="24" t="str">
        <f aca="false">IF($D1542="","",IFERROR(IF(INDEX(Workers!$D$5:$D$2004,MATCH($D1542,Workers!$A$5:$A$2004,0))=0,"",INDEX(Workers!$D$5:$D$2004,MATCH($D1542,Workers!$A$5:$A$2004,0))),""))</f>
        <v/>
      </c>
      <c r="L1542" s="24" t="str">
        <f aca="false">IF($D1542="","",IFERROR(INDEX(Workers!$E$5:$E$2004,MATCH($D1542,Workers!$A$5:$A$2004,0)),""))</f>
        <v/>
      </c>
      <c r="M1542" s="26" t="str">
        <f aca="false">IF($D1542="","",IFERROR(INDEX(ClientRates!$D$5:$D$500,MATCH($B1542&amp;"|"&amp;$L1542,ClientRates!$A$5:$A$500,0)),0))</f>
        <v/>
      </c>
      <c r="N1542" s="26" t="str">
        <f aca="false">IF($D1542="","",IFERROR(INDEX(ClientRates!$E$5:$E$500,MATCH($B1542&amp;"|"&amp;$L1542,ClientRates!$A$5:$A$500,0)),0))</f>
        <v/>
      </c>
      <c r="O1542" s="26" t="str">
        <f aca="false">IF($D1542="","",F1542*M1542+G1542*N1542)</f>
        <v/>
      </c>
      <c r="P1542" s="26" t="str">
        <f aca="false">IF(OR($D1542="",$J1542&lt;&gt;"Supplier"),"",IFERROR(INDEX(SupplierRates!$D$5:$D$500,MATCH($K1542&amp;"|"&amp;$L1542,SupplierRates!$A$5:$A$500,0)),0))</f>
        <v/>
      </c>
      <c r="Q1542" s="26" t="str">
        <f aca="false">IF(OR($D1542="",$J1542&lt;&gt;"Supplier"),"",IFERROR(INDEX(SupplierRates!$E$5:$E$500,MATCH($K1542&amp;"|"&amp;$L1542,SupplierRates!$A$5:$A$500,0)),0))</f>
        <v/>
      </c>
      <c r="R1542" s="26" t="n">
        <f aca="false">IF(OR($D1542="",$J1542&lt;&gt;"Supplier"),0,F1542*P1542+G1542*Q1542)</f>
        <v>0</v>
      </c>
      <c r="S1542" s="26" t="n">
        <f aca="false">IF(OR($D1542="",$J1542&lt;&gt;"Own"),0,IFERROR((F1542+G1542*Settings!$B$13)*INDEX(Workers!$V$5:$V$2004,MATCH($D1542,Workers!$A$5:$A$2004,0)),0))</f>
        <v>0</v>
      </c>
      <c r="T1542" s="26" t="str">
        <f aca="false">IF($D1542="","",O1542-R1542-S1542)</f>
        <v/>
      </c>
    </row>
    <row r="1543" customFormat="false" ht="15" hidden="false" customHeight="false" outlineLevel="0" collapsed="false">
      <c r="I1543" s="24" t="str">
        <f aca="false">IF($D1543="","",IFERROR(INDEX(Workers!$B$5:$B$2004,MATCH($D1543,Workers!$A$5:$A$2004,0)),"NOT FOUND"))</f>
        <v/>
      </c>
      <c r="J1543" s="24" t="str">
        <f aca="false">IF($D1543="","",IFERROR(INDEX(Workers!$C$5:$C$2004,MATCH($D1543,Workers!$A$5:$A$2004,0)),""))</f>
        <v/>
      </c>
      <c r="K1543" s="24" t="str">
        <f aca="false">IF($D1543="","",IFERROR(IF(INDEX(Workers!$D$5:$D$2004,MATCH($D1543,Workers!$A$5:$A$2004,0))=0,"",INDEX(Workers!$D$5:$D$2004,MATCH($D1543,Workers!$A$5:$A$2004,0))),""))</f>
        <v/>
      </c>
      <c r="L1543" s="24" t="str">
        <f aca="false">IF($D1543="","",IFERROR(INDEX(Workers!$E$5:$E$2004,MATCH($D1543,Workers!$A$5:$A$2004,0)),""))</f>
        <v/>
      </c>
      <c r="M1543" s="26" t="str">
        <f aca="false">IF($D1543="","",IFERROR(INDEX(ClientRates!$D$5:$D$500,MATCH($B1543&amp;"|"&amp;$L1543,ClientRates!$A$5:$A$500,0)),0))</f>
        <v/>
      </c>
      <c r="N1543" s="26" t="str">
        <f aca="false">IF($D1543="","",IFERROR(INDEX(ClientRates!$E$5:$E$500,MATCH($B1543&amp;"|"&amp;$L1543,ClientRates!$A$5:$A$500,0)),0))</f>
        <v/>
      </c>
      <c r="O1543" s="26" t="str">
        <f aca="false">IF($D1543="","",F1543*M1543+G1543*N1543)</f>
        <v/>
      </c>
      <c r="P1543" s="26" t="str">
        <f aca="false">IF(OR($D1543="",$J1543&lt;&gt;"Supplier"),"",IFERROR(INDEX(SupplierRates!$D$5:$D$500,MATCH($K1543&amp;"|"&amp;$L1543,SupplierRates!$A$5:$A$500,0)),0))</f>
        <v/>
      </c>
      <c r="Q1543" s="26" t="str">
        <f aca="false">IF(OR($D1543="",$J1543&lt;&gt;"Supplier"),"",IFERROR(INDEX(SupplierRates!$E$5:$E$500,MATCH($K1543&amp;"|"&amp;$L1543,SupplierRates!$A$5:$A$500,0)),0))</f>
        <v/>
      </c>
      <c r="R1543" s="26" t="n">
        <f aca="false">IF(OR($D1543="",$J1543&lt;&gt;"Supplier"),0,F1543*P1543+G1543*Q1543)</f>
        <v>0</v>
      </c>
      <c r="S1543" s="26" t="n">
        <f aca="false">IF(OR($D1543="",$J1543&lt;&gt;"Own"),0,IFERROR((F1543+G1543*Settings!$B$13)*INDEX(Workers!$V$5:$V$2004,MATCH($D1543,Workers!$A$5:$A$2004,0)),0))</f>
        <v>0</v>
      </c>
      <c r="T1543" s="26" t="str">
        <f aca="false">IF($D1543="","",O1543-R1543-S1543)</f>
        <v/>
      </c>
    </row>
    <row r="1544" customFormat="false" ht="15" hidden="false" customHeight="false" outlineLevel="0" collapsed="false">
      <c r="I1544" s="24" t="str">
        <f aca="false">IF($D1544="","",IFERROR(INDEX(Workers!$B$5:$B$2004,MATCH($D1544,Workers!$A$5:$A$2004,0)),"NOT FOUND"))</f>
        <v/>
      </c>
      <c r="J1544" s="24" t="str">
        <f aca="false">IF($D1544="","",IFERROR(INDEX(Workers!$C$5:$C$2004,MATCH($D1544,Workers!$A$5:$A$2004,0)),""))</f>
        <v/>
      </c>
      <c r="K1544" s="24" t="str">
        <f aca="false">IF($D1544="","",IFERROR(IF(INDEX(Workers!$D$5:$D$2004,MATCH($D1544,Workers!$A$5:$A$2004,0))=0,"",INDEX(Workers!$D$5:$D$2004,MATCH($D1544,Workers!$A$5:$A$2004,0))),""))</f>
        <v/>
      </c>
      <c r="L1544" s="24" t="str">
        <f aca="false">IF($D1544="","",IFERROR(INDEX(Workers!$E$5:$E$2004,MATCH($D1544,Workers!$A$5:$A$2004,0)),""))</f>
        <v/>
      </c>
      <c r="M1544" s="26" t="str">
        <f aca="false">IF($D1544="","",IFERROR(INDEX(ClientRates!$D$5:$D$500,MATCH($B1544&amp;"|"&amp;$L1544,ClientRates!$A$5:$A$500,0)),0))</f>
        <v/>
      </c>
      <c r="N1544" s="26" t="str">
        <f aca="false">IF($D1544="","",IFERROR(INDEX(ClientRates!$E$5:$E$500,MATCH($B1544&amp;"|"&amp;$L1544,ClientRates!$A$5:$A$500,0)),0))</f>
        <v/>
      </c>
      <c r="O1544" s="26" t="str">
        <f aca="false">IF($D1544="","",F1544*M1544+G1544*N1544)</f>
        <v/>
      </c>
      <c r="P1544" s="26" t="str">
        <f aca="false">IF(OR($D1544="",$J1544&lt;&gt;"Supplier"),"",IFERROR(INDEX(SupplierRates!$D$5:$D$500,MATCH($K1544&amp;"|"&amp;$L1544,SupplierRates!$A$5:$A$500,0)),0))</f>
        <v/>
      </c>
      <c r="Q1544" s="26" t="str">
        <f aca="false">IF(OR($D1544="",$J1544&lt;&gt;"Supplier"),"",IFERROR(INDEX(SupplierRates!$E$5:$E$500,MATCH($K1544&amp;"|"&amp;$L1544,SupplierRates!$A$5:$A$500,0)),0))</f>
        <v/>
      </c>
      <c r="R1544" s="26" t="n">
        <f aca="false">IF(OR($D1544="",$J1544&lt;&gt;"Supplier"),0,F1544*P1544+G1544*Q1544)</f>
        <v>0</v>
      </c>
      <c r="S1544" s="26" t="n">
        <f aca="false">IF(OR($D1544="",$J1544&lt;&gt;"Own"),0,IFERROR((F1544+G1544*Settings!$B$13)*INDEX(Workers!$V$5:$V$2004,MATCH($D1544,Workers!$A$5:$A$2004,0)),0))</f>
        <v>0</v>
      </c>
      <c r="T1544" s="26" t="str">
        <f aca="false">IF($D1544="","",O1544-R1544-S1544)</f>
        <v/>
      </c>
    </row>
    <row r="1545" customFormat="false" ht="15" hidden="false" customHeight="false" outlineLevel="0" collapsed="false">
      <c r="I1545" s="24" t="str">
        <f aca="false">IF($D1545="","",IFERROR(INDEX(Workers!$B$5:$B$2004,MATCH($D1545,Workers!$A$5:$A$2004,0)),"NOT FOUND"))</f>
        <v/>
      </c>
      <c r="J1545" s="24" t="str">
        <f aca="false">IF($D1545="","",IFERROR(INDEX(Workers!$C$5:$C$2004,MATCH($D1545,Workers!$A$5:$A$2004,0)),""))</f>
        <v/>
      </c>
      <c r="K1545" s="24" t="str">
        <f aca="false">IF($D1545="","",IFERROR(IF(INDEX(Workers!$D$5:$D$2004,MATCH($D1545,Workers!$A$5:$A$2004,0))=0,"",INDEX(Workers!$D$5:$D$2004,MATCH($D1545,Workers!$A$5:$A$2004,0))),""))</f>
        <v/>
      </c>
      <c r="L1545" s="24" t="str">
        <f aca="false">IF($D1545="","",IFERROR(INDEX(Workers!$E$5:$E$2004,MATCH($D1545,Workers!$A$5:$A$2004,0)),""))</f>
        <v/>
      </c>
      <c r="M1545" s="26" t="str">
        <f aca="false">IF($D1545="","",IFERROR(INDEX(ClientRates!$D$5:$D$500,MATCH($B1545&amp;"|"&amp;$L1545,ClientRates!$A$5:$A$500,0)),0))</f>
        <v/>
      </c>
      <c r="N1545" s="26" t="str">
        <f aca="false">IF($D1545="","",IFERROR(INDEX(ClientRates!$E$5:$E$500,MATCH($B1545&amp;"|"&amp;$L1545,ClientRates!$A$5:$A$500,0)),0))</f>
        <v/>
      </c>
      <c r="O1545" s="26" t="str">
        <f aca="false">IF($D1545="","",F1545*M1545+G1545*N1545)</f>
        <v/>
      </c>
      <c r="P1545" s="26" t="str">
        <f aca="false">IF(OR($D1545="",$J1545&lt;&gt;"Supplier"),"",IFERROR(INDEX(SupplierRates!$D$5:$D$500,MATCH($K1545&amp;"|"&amp;$L1545,SupplierRates!$A$5:$A$500,0)),0))</f>
        <v/>
      </c>
      <c r="Q1545" s="26" t="str">
        <f aca="false">IF(OR($D1545="",$J1545&lt;&gt;"Supplier"),"",IFERROR(INDEX(SupplierRates!$E$5:$E$500,MATCH($K1545&amp;"|"&amp;$L1545,SupplierRates!$A$5:$A$500,0)),0))</f>
        <v/>
      </c>
      <c r="R1545" s="26" t="n">
        <f aca="false">IF(OR($D1545="",$J1545&lt;&gt;"Supplier"),0,F1545*P1545+G1545*Q1545)</f>
        <v>0</v>
      </c>
      <c r="S1545" s="26" t="n">
        <f aca="false">IF(OR($D1545="",$J1545&lt;&gt;"Own"),0,IFERROR((F1545+G1545*Settings!$B$13)*INDEX(Workers!$V$5:$V$2004,MATCH($D1545,Workers!$A$5:$A$2004,0)),0))</f>
        <v>0</v>
      </c>
      <c r="T1545" s="26" t="str">
        <f aca="false">IF($D1545="","",O1545-R1545-S1545)</f>
        <v/>
      </c>
    </row>
    <row r="1546" customFormat="false" ht="15" hidden="false" customHeight="false" outlineLevel="0" collapsed="false">
      <c r="I1546" s="24" t="str">
        <f aca="false">IF($D1546="","",IFERROR(INDEX(Workers!$B$5:$B$2004,MATCH($D1546,Workers!$A$5:$A$2004,0)),"NOT FOUND"))</f>
        <v/>
      </c>
      <c r="J1546" s="24" t="str">
        <f aca="false">IF($D1546="","",IFERROR(INDEX(Workers!$C$5:$C$2004,MATCH($D1546,Workers!$A$5:$A$2004,0)),""))</f>
        <v/>
      </c>
      <c r="K1546" s="24" t="str">
        <f aca="false">IF($D1546="","",IFERROR(IF(INDEX(Workers!$D$5:$D$2004,MATCH($D1546,Workers!$A$5:$A$2004,0))=0,"",INDEX(Workers!$D$5:$D$2004,MATCH($D1546,Workers!$A$5:$A$2004,0))),""))</f>
        <v/>
      </c>
      <c r="L1546" s="24" t="str">
        <f aca="false">IF($D1546="","",IFERROR(INDEX(Workers!$E$5:$E$2004,MATCH($D1546,Workers!$A$5:$A$2004,0)),""))</f>
        <v/>
      </c>
      <c r="M1546" s="26" t="str">
        <f aca="false">IF($D1546="","",IFERROR(INDEX(ClientRates!$D$5:$D$500,MATCH($B1546&amp;"|"&amp;$L1546,ClientRates!$A$5:$A$500,0)),0))</f>
        <v/>
      </c>
      <c r="N1546" s="26" t="str">
        <f aca="false">IF($D1546="","",IFERROR(INDEX(ClientRates!$E$5:$E$500,MATCH($B1546&amp;"|"&amp;$L1546,ClientRates!$A$5:$A$500,0)),0))</f>
        <v/>
      </c>
      <c r="O1546" s="26" t="str">
        <f aca="false">IF($D1546="","",F1546*M1546+G1546*N1546)</f>
        <v/>
      </c>
      <c r="P1546" s="26" t="str">
        <f aca="false">IF(OR($D1546="",$J1546&lt;&gt;"Supplier"),"",IFERROR(INDEX(SupplierRates!$D$5:$D$500,MATCH($K1546&amp;"|"&amp;$L1546,SupplierRates!$A$5:$A$500,0)),0))</f>
        <v/>
      </c>
      <c r="Q1546" s="26" t="str">
        <f aca="false">IF(OR($D1546="",$J1546&lt;&gt;"Supplier"),"",IFERROR(INDEX(SupplierRates!$E$5:$E$500,MATCH($K1546&amp;"|"&amp;$L1546,SupplierRates!$A$5:$A$500,0)),0))</f>
        <v/>
      </c>
      <c r="R1546" s="26" t="n">
        <f aca="false">IF(OR($D1546="",$J1546&lt;&gt;"Supplier"),0,F1546*P1546+G1546*Q1546)</f>
        <v>0</v>
      </c>
      <c r="S1546" s="26" t="n">
        <f aca="false">IF(OR($D1546="",$J1546&lt;&gt;"Own"),0,IFERROR((F1546+G1546*Settings!$B$13)*INDEX(Workers!$V$5:$V$2004,MATCH($D1546,Workers!$A$5:$A$2004,0)),0))</f>
        <v>0</v>
      </c>
      <c r="T1546" s="26" t="str">
        <f aca="false">IF($D1546="","",O1546-R1546-S1546)</f>
        <v/>
      </c>
    </row>
    <row r="1547" customFormat="false" ht="15" hidden="false" customHeight="false" outlineLevel="0" collapsed="false">
      <c r="I1547" s="24" t="str">
        <f aca="false">IF($D1547="","",IFERROR(INDEX(Workers!$B$5:$B$2004,MATCH($D1547,Workers!$A$5:$A$2004,0)),"NOT FOUND"))</f>
        <v/>
      </c>
      <c r="J1547" s="24" t="str">
        <f aca="false">IF($D1547="","",IFERROR(INDEX(Workers!$C$5:$C$2004,MATCH($D1547,Workers!$A$5:$A$2004,0)),""))</f>
        <v/>
      </c>
      <c r="K1547" s="24" t="str">
        <f aca="false">IF($D1547="","",IFERROR(IF(INDEX(Workers!$D$5:$D$2004,MATCH($D1547,Workers!$A$5:$A$2004,0))=0,"",INDEX(Workers!$D$5:$D$2004,MATCH($D1547,Workers!$A$5:$A$2004,0))),""))</f>
        <v/>
      </c>
      <c r="L1547" s="24" t="str">
        <f aca="false">IF($D1547="","",IFERROR(INDEX(Workers!$E$5:$E$2004,MATCH($D1547,Workers!$A$5:$A$2004,0)),""))</f>
        <v/>
      </c>
      <c r="M1547" s="26" t="str">
        <f aca="false">IF($D1547="","",IFERROR(INDEX(ClientRates!$D$5:$D$500,MATCH($B1547&amp;"|"&amp;$L1547,ClientRates!$A$5:$A$500,0)),0))</f>
        <v/>
      </c>
      <c r="N1547" s="26" t="str">
        <f aca="false">IF($D1547="","",IFERROR(INDEX(ClientRates!$E$5:$E$500,MATCH($B1547&amp;"|"&amp;$L1547,ClientRates!$A$5:$A$500,0)),0))</f>
        <v/>
      </c>
      <c r="O1547" s="26" t="str">
        <f aca="false">IF($D1547="","",F1547*M1547+G1547*N1547)</f>
        <v/>
      </c>
      <c r="P1547" s="26" t="str">
        <f aca="false">IF(OR($D1547="",$J1547&lt;&gt;"Supplier"),"",IFERROR(INDEX(SupplierRates!$D$5:$D$500,MATCH($K1547&amp;"|"&amp;$L1547,SupplierRates!$A$5:$A$500,0)),0))</f>
        <v/>
      </c>
      <c r="Q1547" s="26" t="str">
        <f aca="false">IF(OR($D1547="",$J1547&lt;&gt;"Supplier"),"",IFERROR(INDEX(SupplierRates!$E$5:$E$500,MATCH($K1547&amp;"|"&amp;$L1547,SupplierRates!$A$5:$A$500,0)),0))</f>
        <v/>
      </c>
      <c r="R1547" s="26" t="n">
        <f aca="false">IF(OR($D1547="",$J1547&lt;&gt;"Supplier"),0,F1547*P1547+G1547*Q1547)</f>
        <v>0</v>
      </c>
      <c r="S1547" s="26" t="n">
        <f aca="false">IF(OR($D1547="",$J1547&lt;&gt;"Own"),0,IFERROR((F1547+G1547*Settings!$B$13)*INDEX(Workers!$V$5:$V$2004,MATCH($D1547,Workers!$A$5:$A$2004,0)),0))</f>
        <v>0</v>
      </c>
      <c r="T1547" s="26" t="str">
        <f aca="false">IF($D1547="","",O1547-R1547-S1547)</f>
        <v/>
      </c>
    </row>
    <row r="1548" customFormat="false" ht="15" hidden="false" customHeight="false" outlineLevel="0" collapsed="false">
      <c r="I1548" s="24" t="str">
        <f aca="false">IF($D1548="","",IFERROR(INDEX(Workers!$B$5:$B$2004,MATCH($D1548,Workers!$A$5:$A$2004,0)),"NOT FOUND"))</f>
        <v/>
      </c>
      <c r="J1548" s="24" t="str">
        <f aca="false">IF($D1548="","",IFERROR(INDEX(Workers!$C$5:$C$2004,MATCH($D1548,Workers!$A$5:$A$2004,0)),""))</f>
        <v/>
      </c>
      <c r="K1548" s="24" t="str">
        <f aca="false">IF($D1548="","",IFERROR(IF(INDEX(Workers!$D$5:$D$2004,MATCH($D1548,Workers!$A$5:$A$2004,0))=0,"",INDEX(Workers!$D$5:$D$2004,MATCH($D1548,Workers!$A$5:$A$2004,0))),""))</f>
        <v/>
      </c>
      <c r="L1548" s="24" t="str">
        <f aca="false">IF($D1548="","",IFERROR(INDEX(Workers!$E$5:$E$2004,MATCH($D1548,Workers!$A$5:$A$2004,0)),""))</f>
        <v/>
      </c>
      <c r="M1548" s="26" t="str">
        <f aca="false">IF($D1548="","",IFERROR(INDEX(ClientRates!$D$5:$D$500,MATCH($B1548&amp;"|"&amp;$L1548,ClientRates!$A$5:$A$500,0)),0))</f>
        <v/>
      </c>
      <c r="N1548" s="26" t="str">
        <f aca="false">IF($D1548="","",IFERROR(INDEX(ClientRates!$E$5:$E$500,MATCH($B1548&amp;"|"&amp;$L1548,ClientRates!$A$5:$A$500,0)),0))</f>
        <v/>
      </c>
      <c r="O1548" s="26" t="str">
        <f aca="false">IF($D1548="","",F1548*M1548+G1548*N1548)</f>
        <v/>
      </c>
      <c r="P1548" s="26" t="str">
        <f aca="false">IF(OR($D1548="",$J1548&lt;&gt;"Supplier"),"",IFERROR(INDEX(SupplierRates!$D$5:$D$500,MATCH($K1548&amp;"|"&amp;$L1548,SupplierRates!$A$5:$A$500,0)),0))</f>
        <v/>
      </c>
      <c r="Q1548" s="26" t="str">
        <f aca="false">IF(OR($D1548="",$J1548&lt;&gt;"Supplier"),"",IFERROR(INDEX(SupplierRates!$E$5:$E$500,MATCH($K1548&amp;"|"&amp;$L1548,SupplierRates!$A$5:$A$500,0)),0))</f>
        <v/>
      </c>
      <c r="R1548" s="26" t="n">
        <f aca="false">IF(OR($D1548="",$J1548&lt;&gt;"Supplier"),0,F1548*P1548+G1548*Q1548)</f>
        <v>0</v>
      </c>
      <c r="S1548" s="26" t="n">
        <f aca="false">IF(OR($D1548="",$J1548&lt;&gt;"Own"),0,IFERROR((F1548+G1548*Settings!$B$13)*INDEX(Workers!$V$5:$V$2004,MATCH($D1548,Workers!$A$5:$A$2004,0)),0))</f>
        <v>0</v>
      </c>
      <c r="T1548" s="26" t="str">
        <f aca="false">IF($D1548="","",O1548-R1548-S1548)</f>
        <v/>
      </c>
    </row>
    <row r="1549" customFormat="false" ht="15" hidden="false" customHeight="false" outlineLevel="0" collapsed="false">
      <c r="I1549" s="24" t="str">
        <f aca="false">IF($D1549="","",IFERROR(INDEX(Workers!$B$5:$B$2004,MATCH($D1549,Workers!$A$5:$A$2004,0)),"NOT FOUND"))</f>
        <v/>
      </c>
      <c r="J1549" s="24" t="str">
        <f aca="false">IF($D1549="","",IFERROR(INDEX(Workers!$C$5:$C$2004,MATCH($D1549,Workers!$A$5:$A$2004,0)),""))</f>
        <v/>
      </c>
      <c r="K1549" s="24" t="str">
        <f aca="false">IF($D1549="","",IFERROR(IF(INDEX(Workers!$D$5:$D$2004,MATCH($D1549,Workers!$A$5:$A$2004,0))=0,"",INDEX(Workers!$D$5:$D$2004,MATCH($D1549,Workers!$A$5:$A$2004,0))),""))</f>
        <v/>
      </c>
      <c r="L1549" s="24" t="str">
        <f aca="false">IF($D1549="","",IFERROR(INDEX(Workers!$E$5:$E$2004,MATCH($D1549,Workers!$A$5:$A$2004,0)),""))</f>
        <v/>
      </c>
      <c r="M1549" s="26" t="str">
        <f aca="false">IF($D1549="","",IFERROR(INDEX(ClientRates!$D$5:$D$500,MATCH($B1549&amp;"|"&amp;$L1549,ClientRates!$A$5:$A$500,0)),0))</f>
        <v/>
      </c>
      <c r="N1549" s="26" t="str">
        <f aca="false">IF($D1549="","",IFERROR(INDEX(ClientRates!$E$5:$E$500,MATCH($B1549&amp;"|"&amp;$L1549,ClientRates!$A$5:$A$500,0)),0))</f>
        <v/>
      </c>
      <c r="O1549" s="26" t="str">
        <f aca="false">IF($D1549="","",F1549*M1549+G1549*N1549)</f>
        <v/>
      </c>
      <c r="P1549" s="26" t="str">
        <f aca="false">IF(OR($D1549="",$J1549&lt;&gt;"Supplier"),"",IFERROR(INDEX(SupplierRates!$D$5:$D$500,MATCH($K1549&amp;"|"&amp;$L1549,SupplierRates!$A$5:$A$500,0)),0))</f>
        <v/>
      </c>
      <c r="Q1549" s="26" t="str">
        <f aca="false">IF(OR($D1549="",$J1549&lt;&gt;"Supplier"),"",IFERROR(INDEX(SupplierRates!$E$5:$E$500,MATCH($K1549&amp;"|"&amp;$L1549,SupplierRates!$A$5:$A$500,0)),0))</f>
        <v/>
      </c>
      <c r="R1549" s="26" t="n">
        <f aca="false">IF(OR($D1549="",$J1549&lt;&gt;"Supplier"),0,F1549*P1549+G1549*Q1549)</f>
        <v>0</v>
      </c>
      <c r="S1549" s="26" t="n">
        <f aca="false">IF(OR($D1549="",$J1549&lt;&gt;"Own"),0,IFERROR((F1549+G1549*Settings!$B$13)*INDEX(Workers!$V$5:$V$2004,MATCH($D1549,Workers!$A$5:$A$2004,0)),0))</f>
        <v>0</v>
      </c>
      <c r="T1549" s="26" t="str">
        <f aca="false">IF($D1549="","",O1549-R1549-S1549)</f>
        <v/>
      </c>
    </row>
    <row r="1550" customFormat="false" ht="15" hidden="false" customHeight="false" outlineLevel="0" collapsed="false">
      <c r="I1550" s="24" t="str">
        <f aca="false">IF($D1550="","",IFERROR(INDEX(Workers!$B$5:$B$2004,MATCH($D1550,Workers!$A$5:$A$2004,0)),"NOT FOUND"))</f>
        <v/>
      </c>
      <c r="J1550" s="24" t="str">
        <f aca="false">IF($D1550="","",IFERROR(INDEX(Workers!$C$5:$C$2004,MATCH($D1550,Workers!$A$5:$A$2004,0)),""))</f>
        <v/>
      </c>
      <c r="K1550" s="24" t="str">
        <f aca="false">IF($D1550="","",IFERROR(IF(INDEX(Workers!$D$5:$D$2004,MATCH($D1550,Workers!$A$5:$A$2004,0))=0,"",INDEX(Workers!$D$5:$D$2004,MATCH($D1550,Workers!$A$5:$A$2004,0))),""))</f>
        <v/>
      </c>
      <c r="L1550" s="24" t="str">
        <f aca="false">IF($D1550="","",IFERROR(INDEX(Workers!$E$5:$E$2004,MATCH($D1550,Workers!$A$5:$A$2004,0)),""))</f>
        <v/>
      </c>
      <c r="M1550" s="26" t="str">
        <f aca="false">IF($D1550="","",IFERROR(INDEX(ClientRates!$D$5:$D$500,MATCH($B1550&amp;"|"&amp;$L1550,ClientRates!$A$5:$A$500,0)),0))</f>
        <v/>
      </c>
      <c r="N1550" s="26" t="str">
        <f aca="false">IF($D1550="","",IFERROR(INDEX(ClientRates!$E$5:$E$500,MATCH($B1550&amp;"|"&amp;$L1550,ClientRates!$A$5:$A$500,0)),0))</f>
        <v/>
      </c>
      <c r="O1550" s="26" t="str">
        <f aca="false">IF($D1550="","",F1550*M1550+G1550*N1550)</f>
        <v/>
      </c>
      <c r="P1550" s="26" t="str">
        <f aca="false">IF(OR($D1550="",$J1550&lt;&gt;"Supplier"),"",IFERROR(INDEX(SupplierRates!$D$5:$D$500,MATCH($K1550&amp;"|"&amp;$L1550,SupplierRates!$A$5:$A$500,0)),0))</f>
        <v/>
      </c>
      <c r="Q1550" s="26" t="str">
        <f aca="false">IF(OR($D1550="",$J1550&lt;&gt;"Supplier"),"",IFERROR(INDEX(SupplierRates!$E$5:$E$500,MATCH($K1550&amp;"|"&amp;$L1550,SupplierRates!$A$5:$A$500,0)),0))</f>
        <v/>
      </c>
      <c r="R1550" s="26" t="n">
        <f aca="false">IF(OR($D1550="",$J1550&lt;&gt;"Supplier"),0,F1550*P1550+G1550*Q1550)</f>
        <v>0</v>
      </c>
      <c r="S1550" s="26" t="n">
        <f aca="false">IF(OR($D1550="",$J1550&lt;&gt;"Own"),0,IFERROR((F1550+G1550*Settings!$B$13)*INDEX(Workers!$V$5:$V$2004,MATCH($D1550,Workers!$A$5:$A$2004,0)),0))</f>
        <v>0</v>
      </c>
      <c r="T1550" s="26" t="str">
        <f aca="false">IF($D1550="","",O1550-R1550-S1550)</f>
        <v/>
      </c>
    </row>
    <row r="1551" customFormat="false" ht="15" hidden="false" customHeight="false" outlineLevel="0" collapsed="false">
      <c r="I1551" s="24" t="str">
        <f aca="false">IF($D1551="","",IFERROR(INDEX(Workers!$B$5:$B$2004,MATCH($D1551,Workers!$A$5:$A$2004,0)),"NOT FOUND"))</f>
        <v/>
      </c>
      <c r="J1551" s="24" t="str">
        <f aca="false">IF($D1551="","",IFERROR(INDEX(Workers!$C$5:$C$2004,MATCH($D1551,Workers!$A$5:$A$2004,0)),""))</f>
        <v/>
      </c>
      <c r="K1551" s="24" t="str">
        <f aca="false">IF($D1551="","",IFERROR(IF(INDEX(Workers!$D$5:$D$2004,MATCH($D1551,Workers!$A$5:$A$2004,0))=0,"",INDEX(Workers!$D$5:$D$2004,MATCH($D1551,Workers!$A$5:$A$2004,0))),""))</f>
        <v/>
      </c>
      <c r="L1551" s="24" t="str">
        <f aca="false">IF($D1551="","",IFERROR(INDEX(Workers!$E$5:$E$2004,MATCH($D1551,Workers!$A$5:$A$2004,0)),""))</f>
        <v/>
      </c>
      <c r="M1551" s="26" t="str">
        <f aca="false">IF($D1551="","",IFERROR(INDEX(ClientRates!$D$5:$D$500,MATCH($B1551&amp;"|"&amp;$L1551,ClientRates!$A$5:$A$500,0)),0))</f>
        <v/>
      </c>
      <c r="N1551" s="26" t="str">
        <f aca="false">IF($D1551="","",IFERROR(INDEX(ClientRates!$E$5:$E$500,MATCH($B1551&amp;"|"&amp;$L1551,ClientRates!$A$5:$A$500,0)),0))</f>
        <v/>
      </c>
      <c r="O1551" s="26" t="str">
        <f aca="false">IF($D1551="","",F1551*M1551+G1551*N1551)</f>
        <v/>
      </c>
      <c r="P1551" s="26" t="str">
        <f aca="false">IF(OR($D1551="",$J1551&lt;&gt;"Supplier"),"",IFERROR(INDEX(SupplierRates!$D$5:$D$500,MATCH($K1551&amp;"|"&amp;$L1551,SupplierRates!$A$5:$A$500,0)),0))</f>
        <v/>
      </c>
      <c r="Q1551" s="26" t="str">
        <f aca="false">IF(OR($D1551="",$J1551&lt;&gt;"Supplier"),"",IFERROR(INDEX(SupplierRates!$E$5:$E$500,MATCH($K1551&amp;"|"&amp;$L1551,SupplierRates!$A$5:$A$500,0)),0))</f>
        <v/>
      </c>
      <c r="R1551" s="26" t="n">
        <f aca="false">IF(OR($D1551="",$J1551&lt;&gt;"Supplier"),0,F1551*P1551+G1551*Q1551)</f>
        <v>0</v>
      </c>
      <c r="S1551" s="26" t="n">
        <f aca="false">IF(OR($D1551="",$J1551&lt;&gt;"Own"),0,IFERROR((F1551+G1551*Settings!$B$13)*INDEX(Workers!$V$5:$V$2004,MATCH($D1551,Workers!$A$5:$A$2004,0)),0))</f>
        <v>0</v>
      </c>
      <c r="T1551" s="26" t="str">
        <f aca="false">IF($D1551="","",O1551-R1551-S1551)</f>
        <v/>
      </c>
    </row>
    <row r="1552" customFormat="false" ht="15" hidden="false" customHeight="false" outlineLevel="0" collapsed="false">
      <c r="I1552" s="24" t="str">
        <f aca="false">IF($D1552="","",IFERROR(INDEX(Workers!$B$5:$B$2004,MATCH($D1552,Workers!$A$5:$A$2004,0)),"NOT FOUND"))</f>
        <v/>
      </c>
      <c r="J1552" s="24" t="str">
        <f aca="false">IF($D1552="","",IFERROR(INDEX(Workers!$C$5:$C$2004,MATCH($D1552,Workers!$A$5:$A$2004,0)),""))</f>
        <v/>
      </c>
      <c r="K1552" s="24" t="str">
        <f aca="false">IF($D1552="","",IFERROR(IF(INDEX(Workers!$D$5:$D$2004,MATCH($D1552,Workers!$A$5:$A$2004,0))=0,"",INDEX(Workers!$D$5:$D$2004,MATCH($D1552,Workers!$A$5:$A$2004,0))),""))</f>
        <v/>
      </c>
      <c r="L1552" s="24" t="str">
        <f aca="false">IF($D1552="","",IFERROR(INDEX(Workers!$E$5:$E$2004,MATCH($D1552,Workers!$A$5:$A$2004,0)),""))</f>
        <v/>
      </c>
      <c r="M1552" s="26" t="str">
        <f aca="false">IF($D1552="","",IFERROR(INDEX(ClientRates!$D$5:$D$500,MATCH($B1552&amp;"|"&amp;$L1552,ClientRates!$A$5:$A$500,0)),0))</f>
        <v/>
      </c>
      <c r="N1552" s="26" t="str">
        <f aca="false">IF($D1552="","",IFERROR(INDEX(ClientRates!$E$5:$E$500,MATCH($B1552&amp;"|"&amp;$L1552,ClientRates!$A$5:$A$500,0)),0))</f>
        <v/>
      </c>
      <c r="O1552" s="26" t="str">
        <f aca="false">IF($D1552="","",F1552*M1552+G1552*N1552)</f>
        <v/>
      </c>
      <c r="P1552" s="26" t="str">
        <f aca="false">IF(OR($D1552="",$J1552&lt;&gt;"Supplier"),"",IFERROR(INDEX(SupplierRates!$D$5:$D$500,MATCH($K1552&amp;"|"&amp;$L1552,SupplierRates!$A$5:$A$500,0)),0))</f>
        <v/>
      </c>
      <c r="Q1552" s="26" t="str">
        <f aca="false">IF(OR($D1552="",$J1552&lt;&gt;"Supplier"),"",IFERROR(INDEX(SupplierRates!$E$5:$E$500,MATCH($K1552&amp;"|"&amp;$L1552,SupplierRates!$A$5:$A$500,0)),0))</f>
        <v/>
      </c>
      <c r="R1552" s="26" t="n">
        <f aca="false">IF(OR($D1552="",$J1552&lt;&gt;"Supplier"),0,F1552*P1552+G1552*Q1552)</f>
        <v>0</v>
      </c>
      <c r="S1552" s="26" t="n">
        <f aca="false">IF(OR($D1552="",$J1552&lt;&gt;"Own"),0,IFERROR((F1552+G1552*Settings!$B$13)*INDEX(Workers!$V$5:$V$2004,MATCH($D1552,Workers!$A$5:$A$2004,0)),0))</f>
        <v>0</v>
      </c>
      <c r="T1552" s="26" t="str">
        <f aca="false">IF($D1552="","",O1552-R1552-S1552)</f>
        <v/>
      </c>
    </row>
    <row r="1553" customFormat="false" ht="15" hidden="false" customHeight="false" outlineLevel="0" collapsed="false">
      <c r="I1553" s="24" t="str">
        <f aca="false">IF($D1553="","",IFERROR(INDEX(Workers!$B$5:$B$2004,MATCH($D1553,Workers!$A$5:$A$2004,0)),"NOT FOUND"))</f>
        <v/>
      </c>
      <c r="J1553" s="24" t="str">
        <f aca="false">IF($D1553="","",IFERROR(INDEX(Workers!$C$5:$C$2004,MATCH($D1553,Workers!$A$5:$A$2004,0)),""))</f>
        <v/>
      </c>
      <c r="K1553" s="24" t="str">
        <f aca="false">IF($D1553="","",IFERROR(IF(INDEX(Workers!$D$5:$D$2004,MATCH($D1553,Workers!$A$5:$A$2004,0))=0,"",INDEX(Workers!$D$5:$D$2004,MATCH($D1553,Workers!$A$5:$A$2004,0))),""))</f>
        <v/>
      </c>
      <c r="L1553" s="24" t="str">
        <f aca="false">IF($D1553="","",IFERROR(INDEX(Workers!$E$5:$E$2004,MATCH($D1553,Workers!$A$5:$A$2004,0)),""))</f>
        <v/>
      </c>
      <c r="M1553" s="26" t="str">
        <f aca="false">IF($D1553="","",IFERROR(INDEX(ClientRates!$D$5:$D$500,MATCH($B1553&amp;"|"&amp;$L1553,ClientRates!$A$5:$A$500,0)),0))</f>
        <v/>
      </c>
      <c r="N1553" s="26" t="str">
        <f aca="false">IF($D1553="","",IFERROR(INDEX(ClientRates!$E$5:$E$500,MATCH($B1553&amp;"|"&amp;$L1553,ClientRates!$A$5:$A$500,0)),0))</f>
        <v/>
      </c>
      <c r="O1553" s="26" t="str">
        <f aca="false">IF($D1553="","",F1553*M1553+G1553*N1553)</f>
        <v/>
      </c>
      <c r="P1553" s="26" t="str">
        <f aca="false">IF(OR($D1553="",$J1553&lt;&gt;"Supplier"),"",IFERROR(INDEX(SupplierRates!$D$5:$D$500,MATCH($K1553&amp;"|"&amp;$L1553,SupplierRates!$A$5:$A$500,0)),0))</f>
        <v/>
      </c>
      <c r="Q1553" s="26" t="str">
        <f aca="false">IF(OR($D1553="",$J1553&lt;&gt;"Supplier"),"",IFERROR(INDEX(SupplierRates!$E$5:$E$500,MATCH($K1553&amp;"|"&amp;$L1553,SupplierRates!$A$5:$A$500,0)),0))</f>
        <v/>
      </c>
      <c r="R1553" s="26" t="n">
        <f aca="false">IF(OR($D1553="",$J1553&lt;&gt;"Supplier"),0,F1553*P1553+G1553*Q1553)</f>
        <v>0</v>
      </c>
      <c r="S1553" s="26" t="n">
        <f aca="false">IF(OR($D1553="",$J1553&lt;&gt;"Own"),0,IFERROR((F1553+G1553*Settings!$B$13)*INDEX(Workers!$V$5:$V$2004,MATCH($D1553,Workers!$A$5:$A$2004,0)),0))</f>
        <v>0</v>
      </c>
      <c r="T1553" s="26" t="str">
        <f aca="false">IF($D1553="","",O1553-R1553-S1553)</f>
        <v/>
      </c>
    </row>
    <row r="1554" customFormat="false" ht="15" hidden="false" customHeight="false" outlineLevel="0" collapsed="false">
      <c r="I1554" s="24" t="str">
        <f aca="false">IF($D1554="","",IFERROR(INDEX(Workers!$B$5:$B$2004,MATCH($D1554,Workers!$A$5:$A$2004,0)),"NOT FOUND"))</f>
        <v/>
      </c>
      <c r="J1554" s="24" t="str">
        <f aca="false">IF($D1554="","",IFERROR(INDEX(Workers!$C$5:$C$2004,MATCH($D1554,Workers!$A$5:$A$2004,0)),""))</f>
        <v/>
      </c>
      <c r="K1554" s="24" t="str">
        <f aca="false">IF($D1554="","",IFERROR(IF(INDEX(Workers!$D$5:$D$2004,MATCH($D1554,Workers!$A$5:$A$2004,0))=0,"",INDEX(Workers!$D$5:$D$2004,MATCH($D1554,Workers!$A$5:$A$2004,0))),""))</f>
        <v/>
      </c>
      <c r="L1554" s="24" t="str">
        <f aca="false">IF($D1554="","",IFERROR(INDEX(Workers!$E$5:$E$2004,MATCH($D1554,Workers!$A$5:$A$2004,0)),""))</f>
        <v/>
      </c>
      <c r="M1554" s="26" t="str">
        <f aca="false">IF($D1554="","",IFERROR(INDEX(ClientRates!$D$5:$D$500,MATCH($B1554&amp;"|"&amp;$L1554,ClientRates!$A$5:$A$500,0)),0))</f>
        <v/>
      </c>
      <c r="N1554" s="26" t="str">
        <f aca="false">IF($D1554="","",IFERROR(INDEX(ClientRates!$E$5:$E$500,MATCH($B1554&amp;"|"&amp;$L1554,ClientRates!$A$5:$A$500,0)),0))</f>
        <v/>
      </c>
      <c r="O1554" s="26" t="str">
        <f aca="false">IF($D1554="","",F1554*M1554+G1554*N1554)</f>
        <v/>
      </c>
      <c r="P1554" s="26" t="str">
        <f aca="false">IF(OR($D1554="",$J1554&lt;&gt;"Supplier"),"",IFERROR(INDEX(SupplierRates!$D$5:$D$500,MATCH($K1554&amp;"|"&amp;$L1554,SupplierRates!$A$5:$A$500,0)),0))</f>
        <v/>
      </c>
      <c r="Q1554" s="26" t="str">
        <f aca="false">IF(OR($D1554="",$J1554&lt;&gt;"Supplier"),"",IFERROR(INDEX(SupplierRates!$E$5:$E$500,MATCH($K1554&amp;"|"&amp;$L1554,SupplierRates!$A$5:$A$500,0)),0))</f>
        <v/>
      </c>
      <c r="R1554" s="26" t="n">
        <f aca="false">IF(OR($D1554="",$J1554&lt;&gt;"Supplier"),0,F1554*P1554+G1554*Q1554)</f>
        <v>0</v>
      </c>
      <c r="S1554" s="26" t="n">
        <f aca="false">IF(OR($D1554="",$J1554&lt;&gt;"Own"),0,IFERROR((F1554+G1554*Settings!$B$13)*INDEX(Workers!$V$5:$V$2004,MATCH($D1554,Workers!$A$5:$A$2004,0)),0))</f>
        <v>0</v>
      </c>
      <c r="T1554" s="26" t="str">
        <f aca="false">IF($D1554="","",O1554-R1554-S1554)</f>
        <v/>
      </c>
    </row>
    <row r="1555" customFormat="false" ht="15" hidden="false" customHeight="false" outlineLevel="0" collapsed="false">
      <c r="I1555" s="24" t="str">
        <f aca="false">IF($D1555="","",IFERROR(INDEX(Workers!$B$5:$B$2004,MATCH($D1555,Workers!$A$5:$A$2004,0)),"NOT FOUND"))</f>
        <v/>
      </c>
      <c r="J1555" s="24" t="str">
        <f aca="false">IF($D1555="","",IFERROR(INDEX(Workers!$C$5:$C$2004,MATCH($D1555,Workers!$A$5:$A$2004,0)),""))</f>
        <v/>
      </c>
      <c r="K1555" s="24" t="str">
        <f aca="false">IF($D1555="","",IFERROR(IF(INDEX(Workers!$D$5:$D$2004,MATCH($D1555,Workers!$A$5:$A$2004,0))=0,"",INDEX(Workers!$D$5:$D$2004,MATCH($D1555,Workers!$A$5:$A$2004,0))),""))</f>
        <v/>
      </c>
      <c r="L1555" s="24" t="str">
        <f aca="false">IF($D1555="","",IFERROR(INDEX(Workers!$E$5:$E$2004,MATCH($D1555,Workers!$A$5:$A$2004,0)),""))</f>
        <v/>
      </c>
      <c r="M1555" s="26" t="str">
        <f aca="false">IF($D1555="","",IFERROR(INDEX(ClientRates!$D$5:$D$500,MATCH($B1555&amp;"|"&amp;$L1555,ClientRates!$A$5:$A$500,0)),0))</f>
        <v/>
      </c>
      <c r="N1555" s="26" t="str">
        <f aca="false">IF($D1555="","",IFERROR(INDEX(ClientRates!$E$5:$E$500,MATCH($B1555&amp;"|"&amp;$L1555,ClientRates!$A$5:$A$500,0)),0))</f>
        <v/>
      </c>
      <c r="O1555" s="26" t="str">
        <f aca="false">IF($D1555="","",F1555*M1555+G1555*N1555)</f>
        <v/>
      </c>
      <c r="P1555" s="26" t="str">
        <f aca="false">IF(OR($D1555="",$J1555&lt;&gt;"Supplier"),"",IFERROR(INDEX(SupplierRates!$D$5:$D$500,MATCH($K1555&amp;"|"&amp;$L1555,SupplierRates!$A$5:$A$500,0)),0))</f>
        <v/>
      </c>
      <c r="Q1555" s="26" t="str">
        <f aca="false">IF(OR($D1555="",$J1555&lt;&gt;"Supplier"),"",IFERROR(INDEX(SupplierRates!$E$5:$E$500,MATCH($K1555&amp;"|"&amp;$L1555,SupplierRates!$A$5:$A$500,0)),0))</f>
        <v/>
      </c>
      <c r="R1555" s="26" t="n">
        <f aca="false">IF(OR($D1555="",$J1555&lt;&gt;"Supplier"),0,F1555*P1555+G1555*Q1555)</f>
        <v>0</v>
      </c>
      <c r="S1555" s="26" t="n">
        <f aca="false">IF(OR($D1555="",$J1555&lt;&gt;"Own"),0,IFERROR((F1555+G1555*Settings!$B$13)*INDEX(Workers!$V$5:$V$2004,MATCH($D1555,Workers!$A$5:$A$2004,0)),0))</f>
        <v>0</v>
      </c>
      <c r="T1555" s="26" t="str">
        <f aca="false">IF($D1555="","",O1555-R1555-S1555)</f>
        <v/>
      </c>
    </row>
    <row r="1556" customFormat="false" ht="15" hidden="false" customHeight="false" outlineLevel="0" collapsed="false">
      <c r="I1556" s="24" t="str">
        <f aca="false">IF($D1556="","",IFERROR(INDEX(Workers!$B$5:$B$2004,MATCH($D1556,Workers!$A$5:$A$2004,0)),"NOT FOUND"))</f>
        <v/>
      </c>
      <c r="J1556" s="24" t="str">
        <f aca="false">IF($D1556="","",IFERROR(INDEX(Workers!$C$5:$C$2004,MATCH($D1556,Workers!$A$5:$A$2004,0)),""))</f>
        <v/>
      </c>
      <c r="K1556" s="24" t="str">
        <f aca="false">IF($D1556="","",IFERROR(IF(INDEX(Workers!$D$5:$D$2004,MATCH($D1556,Workers!$A$5:$A$2004,0))=0,"",INDEX(Workers!$D$5:$D$2004,MATCH($D1556,Workers!$A$5:$A$2004,0))),""))</f>
        <v/>
      </c>
      <c r="L1556" s="24" t="str">
        <f aca="false">IF($D1556="","",IFERROR(INDEX(Workers!$E$5:$E$2004,MATCH($D1556,Workers!$A$5:$A$2004,0)),""))</f>
        <v/>
      </c>
      <c r="M1556" s="26" t="str">
        <f aca="false">IF($D1556="","",IFERROR(INDEX(ClientRates!$D$5:$D$500,MATCH($B1556&amp;"|"&amp;$L1556,ClientRates!$A$5:$A$500,0)),0))</f>
        <v/>
      </c>
      <c r="N1556" s="26" t="str">
        <f aca="false">IF($D1556="","",IFERROR(INDEX(ClientRates!$E$5:$E$500,MATCH($B1556&amp;"|"&amp;$L1556,ClientRates!$A$5:$A$500,0)),0))</f>
        <v/>
      </c>
      <c r="O1556" s="26" t="str">
        <f aca="false">IF($D1556="","",F1556*M1556+G1556*N1556)</f>
        <v/>
      </c>
      <c r="P1556" s="26" t="str">
        <f aca="false">IF(OR($D1556="",$J1556&lt;&gt;"Supplier"),"",IFERROR(INDEX(SupplierRates!$D$5:$D$500,MATCH($K1556&amp;"|"&amp;$L1556,SupplierRates!$A$5:$A$500,0)),0))</f>
        <v/>
      </c>
      <c r="Q1556" s="26" t="str">
        <f aca="false">IF(OR($D1556="",$J1556&lt;&gt;"Supplier"),"",IFERROR(INDEX(SupplierRates!$E$5:$E$500,MATCH($K1556&amp;"|"&amp;$L1556,SupplierRates!$A$5:$A$500,0)),0))</f>
        <v/>
      </c>
      <c r="R1556" s="26" t="n">
        <f aca="false">IF(OR($D1556="",$J1556&lt;&gt;"Supplier"),0,F1556*P1556+G1556*Q1556)</f>
        <v>0</v>
      </c>
      <c r="S1556" s="26" t="n">
        <f aca="false">IF(OR($D1556="",$J1556&lt;&gt;"Own"),0,IFERROR((F1556+G1556*Settings!$B$13)*INDEX(Workers!$V$5:$V$2004,MATCH($D1556,Workers!$A$5:$A$2004,0)),0))</f>
        <v>0</v>
      </c>
      <c r="T1556" s="26" t="str">
        <f aca="false">IF($D1556="","",O1556-R1556-S1556)</f>
        <v/>
      </c>
    </row>
    <row r="1557" customFormat="false" ht="15" hidden="false" customHeight="false" outlineLevel="0" collapsed="false">
      <c r="I1557" s="24" t="str">
        <f aca="false">IF($D1557="","",IFERROR(INDEX(Workers!$B$5:$B$2004,MATCH($D1557,Workers!$A$5:$A$2004,0)),"NOT FOUND"))</f>
        <v/>
      </c>
      <c r="J1557" s="24" t="str">
        <f aca="false">IF($D1557="","",IFERROR(INDEX(Workers!$C$5:$C$2004,MATCH($D1557,Workers!$A$5:$A$2004,0)),""))</f>
        <v/>
      </c>
      <c r="K1557" s="24" t="str">
        <f aca="false">IF($D1557="","",IFERROR(IF(INDEX(Workers!$D$5:$D$2004,MATCH($D1557,Workers!$A$5:$A$2004,0))=0,"",INDEX(Workers!$D$5:$D$2004,MATCH($D1557,Workers!$A$5:$A$2004,0))),""))</f>
        <v/>
      </c>
      <c r="L1557" s="24" t="str">
        <f aca="false">IF($D1557="","",IFERROR(INDEX(Workers!$E$5:$E$2004,MATCH($D1557,Workers!$A$5:$A$2004,0)),""))</f>
        <v/>
      </c>
      <c r="M1557" s="26" t="str">
        <f aca="false">IF($D1557="","",IFERROR(INDEX(ClientRates!$D$5:$D$500,MATCH($B1557&amp;"|"&amp;$L1557,ClientRates!$A$5:$A$500,0)),0))</f>
        <v/>
      </c>
      <c r="N1557" s="26" t="str">
        <f aca="false">IF($D1557="","",IFERROR(INDEX(ClientRates!$E$5:$E$500,MATCH($B1557&amp;"|"&amp;$L1557,ClientRates!$A$5:$A$500,0)),0))</f>
        <v/>
      </c>
      <c r="O1557" s="26" t="str">
        <f aca="false">IF($D1557="","",F1557*M1557+G1557*N1557)</f>
        <v/>
      </c>
      <c r="P1557" s="26" t="str">
        <f aca="false">IF(OR($D1557="",$J1557&lt;&gt;"Supplier"),"",IFERROR(INDEX(SupplierRates!$D$5:$D$500,MATCH($K1557&amp;"|"&amp;$L1557,SupplierRates!$A$5:$A$500,0)),0))</f>
        <v/>
      </c>
      <c r="Q1557" s="26" t="str">
        <f aca="false">IF(OR($D1557="",$J1557&lt;&gt;"Supplier"),"",IFERROR(INDEX(SupplierRates!$E$5:$E$500,MATCH($K1557&amp;"|"&amp;$L1557,SupplierRates!$A$5:$A$500,0)),0))</f>
        <v/>
      </c>
      <c r="R1557" s="26" t="n">
        <f aca="false">IF(OR($D1557="",$J1557&lt;&gt;"Supplier"),0,F1557*P1557+G1557*Q1557)</f>
        <v>0</v>
      </c>
      <c r="S1557" s="26" t="n">
        <f aca="false">IF(OR($D1557="",$J1557&lt;&gt;"Own"),0,IFERROR((F1557+G1557*Settings!$B$13)*INDEX(Workers!$V$5:$V$2004,MATCH($D1557,Workers!$A$5:$A$2004,0)),0))</f>
        <v>0</v>
      </c>
      <c r="T1557" s="26" t="str">
        <f aca="false">IF($D1557="","",O1557-R1557-S1557)</f>
        <v/>
      </c>
    </row>
    <row r="1558" customFormat="false" ht="15" hidden="false" customHeight="false" outlineLevel="0" collapsed="false">
      <c r="I1558" s="24" t="str">
        <f aca="false">IF($D1558="","",IFERROR(INDEX(Workers!$B$5:$B$2004,MATCH($D1558,Workers!$A$5:$A$2004,0)),"NOT FOUND"))</f>
        <v/>
      </c>
      <c r="J1558" s="24" t="str">
        <f aca="false">IF($D1558="","",IFERROR(INDEX(Workers!$C$5:$C$2004,MATCH($D1558,Workers!$A$5:$A$2004,0)),""))</f>
        <v/>
      </c>
      <c r="K1558" s="24" t="str">
        <f aca="false">IF($D1558="","",IFERROR(IF(INDEX(Workers!$D$5:$D$2004,MATCH($D1558,Workers!$A$5:$A$2004,0))=0,"",INDEX(Workers!$D$5:$D$2004,MATCH($D1558,Workers!$A$5:$A$2004,0))),""))</f>
        <v/>
      </c>
      <c r="L1558" s="24" t="str">
        <f aca="false">IF($D1558="","",IFERROR(INDEX(Workers!$E$5:$E$2004,MATCH($D1558,Workers!$A$5:$A$2004,0)),""))</f>
        <v/>
      </c>
      <c r="M1558" s="26" t="str">
        <f aca="false">IF($D1558="","",IFERROR(INDEX(ClientRates!$D$5:$D$500,MATCH($B1558&amp;"|"&amp;$L1558,ClientRates!$A$5:$A$500,0)),0))</f>
        <v/>
      </c>
      <c r="N1558" s="26" t="str">
        <f aca="false">IF($D1558="","",IFERROR(INDEX(ClientRates!$E$5:$E$500,MATCH($B1558&amp;"|"&amp;$L1558,ClientRates!$A$5:$A$500,0)),0))</f>
        <v/>
      </c>
      <c r="O1558" s="26" t="str">
        <f aca="false">IF($D1558="","",F1558*M1558+G1558*N1558)</f>
        <v/>
      </c>
      <c r="P1558" s="26" t="str">
        <f aca="false">IF(OR($D1558="",$J1558&lt;&gt;"Supplier"),"",IFERROR(INDEX(SupplierRates!$D$5:$D$500,MATCH($K1558&amp;"|"&amp;$L1558,SupplierRates!$A$5:$A$500,0)),0))</f>
        <v/>
      </c>
      <c r="Q1558" s="26" t="str">
        <f aca="false">IF(OR($D1558="",$J1558&lt;&gt;"Supplier"),"",IFERROR(INDEX(SupplierRates!$E$5:$E$500,MATCH($K1558&amp;"|"&amp;$L1558,SupplierRates!$A$5:$A$500,0)),0))</f>
        <v/>
      </c>
      <c r="R1558" s="26" t="n">
        <f aca="false">IF(OR($D1558="",$J1558&lt;&gt;"Supplier"),0,F1558*P1558+G1558*Q1558)</f>
        <v>0</v>
      </c>
      <c r="S1558" s="26" t="n">
        <f aca="false">IF(OR($D1558="",$J1558&lt;&gt;"Own"),0,IFERROR((F1558+G1558*Settings!$B$13)*INDEX(Workers!$V$5:$V$2004,MATCH($D1558,Workers!$A$5:$A$2004,0)),0))</f>
        <v>0</v>
      </c>
      <c r="T1558" s="26" t="str">
        <f aca="false">IF($D1558="","",O1558-R1558-S1558)</f>
        <v/>
      </c>
    </row>
    <row r="1559" customFormat="false" ht="15" hidden="false" customHeight="false" outlineLevel="0" collapsed="false">
      <c r="I1559" s="24" t="str">
        <f aca="false">IF($D1559="","",IFERROR(INDEX(Workers!$B$5:$B$2004,MATCH($D1559,Workers!$A$5:$A$2004,0)),"NOT FOUND"))</f>
        <v/>
      </c>
      <c r="J1559" s="24" t="str">
        <f aca="false">IF($D1559="","",IFERROR(INDEX(Workers!$C$5:$C$2004,MATCH($D1559,Workers!$A$5:$A$2004,0)),""))</f>
        <v/>
      </c>
      <c r="K1559" s="24" t="str">
        <f aca="false">IF($D1559="","",IFERROR(IF(INDEX(Workers!$D$5:$D$2004,MATCH($D1559,Workers!$A$5:$A$2004,0))=0,"",INDEX(Workers!$D$5:$D$2004,MATCH($D1559,Workers!$A$5:$A$2004,0))),""))</f>
        <v/>
      </c>
      <c r="L1559" s="24" t="str">
        <f aca="false">IF($D1559="","",IFERROR(INDEX(Workers!$E$5:$E$2004,MATCH($D1559,Workers!$A$5:$A$2004,0)),""))</f>
        <v/>
      </c>
      <c r="M1559" s="26" t="str">
        <f aca="false">IF($D1559="","",IFERROR(INDEX(ClientRates!$D$5:$D$500,MATCH($B1559&amp;"|"&amp;$L1559,ClientRates!$A$5:$A$500,0)),0))</f>
        <v/>
      </c>
      <c r="N1559" s="26" t="str">
        <f aca="false">IF($D1559="","",IFERROR(INDEX(ClientRates!$E$5:$E$500,MATCH($B1559&amp;"|"&amp;$L1559,ClientRates!$A$5:$A$500,0)),0))</f>
        <v/>
      </c>
      <c r="O1559" s="26" t="str">
        <f aca="false">IF($D1559="","",F1559*M1559+G1559*N1559)</f>
        <v/>
      </c>
      <c r="P1559" s="26" t="str">
        <f aca="false">IF(OR($D1559="",$J1559&lt;&gt;"Supplier"),"",IFERROR(INDEX(SupplierRates!$D$5:$D$500,MATCH($K1559&amp;"|"&amp;$L1559,SupplierRates!$A$5:$A$500,0)),0))</f>
        <v/>
      </c>
      <c r="Q1559" s="26" t="str">
        <f aca="false">IF(OR($D1559="",$J1559&lt;&gt;"Supplier"),"",IFERROR(INDEX(SupplierRates!$E$5:$E$500,MATCH($K1559&amp;"|"&amp;$L1559,SupplierRates!$A$5:$A$500,0)),0))</f>
        <v/>
      </c>
      <c r="R1559" s="26" t="n">
        <f aca="false">IF(OR($D1559="",$J1559&lt;&gt;"Supplier"),0,F1559*P1559+G1559*Q1559)</f>
        <v>0</v>
      </c>
      <c r="S1559" s="26" t="n">
        <f aca="false">IF(OR($D1559="",$J1559&lt;&gt;"Own"),0,IFERROR((F1559+G1559*Settings!$B$13)*INDEX(Workers!$V$5:$V$2004,MATCH($D1559,Workers!$A$5:$A$2004,0)),0))</f>
        <v>0</v>
      </c>
      <c r="T1559" s="26" t="str">
        <f aca="false">IF($D1559="","",O1559-R1559-S1559)</f>
        <v/>
      </c>
    </row>
    <row r="1560" customFormat="false" ht="15" hidden="false" customHeight="false" outlineLevel="0" collapsed="false">
      <c r="I1560" s="24" t="str">
        <f aca="false">IF($D1560="","",IFERROR(INDEX(Workers!$B$5:$B$2004,MATCH($D1560,Workers!$A$5:$A$2004,0)),"NOT FOUND"))</f>
        <v/>
      </c>
      <c r="J1560" s="24" t="str">
        <f aca="false">IF($D1560="","",IFERROR(INDEX(Workers!$C$5:$C$2004,MATCH($D1560,Workers!$A$5:$A$2004,0)),""))</f>
        <v/>
      </c>
      <c r="K1560" s="24" t="str">
        <f aca="false">IF($D1560="","",IFERROR(IF(INDEX(Workers!$D$5:$D$2004,MATCH($D1560,Workers!$A$5:$A$2004,0))=0,"",INDEX(Workers!$D$5:$D$2004,MATCH($D1560,Workers!$A$5:$A$2004,0))),""))</f>
        <v/>
      </c>
      <c r="L1560" s="24" t="str">
        <f aca="false">IF($D1560="","",IFERROR(INDEX(Workers!$E$5:$E$2004,MATCH($D1560,Workers!$A$5:$A$2004,0)),""))</f>
        <v/>
      </c>
      <c r="M1560" s="26" t="str">
        <f aca="false">IF($D1560="","",IFERROR(INDEX(ClientRates!$D$5:$D$500,MATCH($B1560&amp;"|"&amp;$L1560,ClientRates!$A$5:$A$500,0)),0))</f>
        <v/>
      </c>
      <c r="N1560" s="26" t="str">
        <f aca="false">IF($D1560="","",IFERROR(INDEX(ClientRates!$E$5:$E$500,MATCH($B1560&amp;"|"&amp;$L1560,ClientRates!$A$5:$A$500,0)),0))</f>
        <v/>
      </c>
      <c r="O1560" s="26" t="str">
        <f aca="false">IF($D1560="","",F1560*M1560+G1560*N1560)</f>
        <v/>
      </c>
      <c r="P1560" s="26" t="str">
        <f aca="false">IF(OR($D1560="",$J1560&lt;&gt;"Supplier"),"",IFERROR(INDEX(SupplierRates!$D$5:$D$500,MATCH($K1560&amp;"|"&amp;$L1560,SupplierRates!$A$5:$A$500,0)),0))</f>
        <v/>
      </c>
      <c r="Q1560" s="26" t="str">
        <f aca="false">IF(OR($D1560="",$J1560&lt;&gt;"Supplier"),"",IFERROR(INDEX(SupplierRates!$E$5:$E$500,MATCH($K1560&amp;"|"&amp;$L1560,SupplierRates!$A$5:$A$500,0)),0))</f>
        <v/>
      </c>
      <c r="R1560" s="26" t="n">
        <f aca="false">IF(OR($D1560="",$J1560&lt;&gt;"Supplier"),0,F1560*P1560+G1560*Q1560)</f>
        <v>0</v>
      </c>
      <c r="S1560" s="26" t="n">
        <f aca="false">IF(OR($D1560="",$J1560&lt;&gt;"Own"),0,IFERROR((F1560+G1560*Settings!$B$13)*INDEX(Workers!$V$5:$V$2004,MATCH($D1560,Workers!$A$5:$A$2004,0)),0))</f>
        <v>0</v>
      </c>
      <c r="T1560" s="26" t="str">
        <f aca="false">IF($D1560="","",O1560-R1560-S1560)</f>
        <v/>
      </c>
    </row>
    <row r="1561" customFormat="false" ht="15" hidden="false" customHeight="false" outlineLevel="0" collapsed="false">
      <c r="I1561" s="24" t="str">
        <f aca="false">IF($D1561="","",IFERROR(INDEX(Workers!$B$5:$B$2004,MATCH($D1561,Workers!$A$5:$A$2004,0)),"NOT FOUND"))</f>
        <v/>
      </c>
      <c r="J1561" s="24" t="str">
        <f aca="false">IF($D1561="","",IFERROR(INDEX(Workers!$C$5:$C$2004,MATCH($D1561,Workers!$A$5:$A$2004,0)),""))</f>
        <v/>
      </c>
      <c r="K1561" s="24" t="str">
        <f aca="false">IF($D1561="","",IFERROR(IF(INDEX(Workers!$D$5:$D$2004,MATCH($D1561,Workers!$A$5:$A$2004,0))=0,"",INDEX(Workers!$D$5:$D$2004,MATCH($D1561,Workers!$A$5:$A$2004,0))),""))</f>
        <v/>
      </c>
      <c r="L1561" s="24" t="str">
        <f aca="false">IF($D1561="","",IFERROR(INDEX(Workers!$E$5:$E$2004,MATCH($D1561,Workers!$A$5:$A$2004,0)),""))</f>
        <v/>
      </c>
      <c r="M1561" s="26" t="str">
        <f aca="false">IF($D1561="","",IFERROR(INDEX(ClientRates!$D$5:$D$500,MATCH($B1561&amp;"|"&amp;$L1561,ClientRates!$A$5:$A$500,0)),0))</f>
        <v/>
      </c>
      <c r="N1561" s="26" t="str">
        <f aca="false">IF($D1561="","",IFERROR(INDEX(ClientRates!$E$5:$E$500,MATCH($B1561&amp;"|"&amp;$L1561,ClientRates!$A$5:$A$500,0)),0))</f>
        <v/>
      </c>
      <c r="O1561" s="26" t="str">
        <f aca="false">IF($D1561="","",F1561*M1561+G1561*N1561)</f>
        <v/>
      </c>
      <c r="P1561" s="26" t="str">
        <f aca="false">IF(OR($D1561="",$J1561&lt;&gt;"Supplier"),"",IFERROR(INDEX(SupplierRates!$D$5:$D$500,MATCH($K1561&amp;"|"&amp;$L1561,SupplierRates!$A$5:$A$500,0)),0))</f>
        <v/>
      </c>
      <c r="Q1561" s="26" t="str">
        <f aca="false">IF(OR($D1561="",$J1561&lt;&gt;"Supplier"),"",IFERROR(INDEX(SupplierRates!$E$5:$E$500,MATCH($K1561&amp;"|"&amp;$L1561,SupplierRates!$A$5:$A$500,0)),0))</f>
        <v/>
      </c>
      <c r="R1561" s="26" t="n">
        <f aca="false">IF(OR($D1561="",$J1561&lt;&gt;"Supplier"),0,F1561*P1561+G1561*Q1561)</f>
        <v>0</v>
      </c>
      <c r="S1561" s="26" t="n">
        <f aca="false">IF(OR($D1561="",$J1561&lt;&gt;"Own"),0,IFERROR((F1561+G1561*Settings!$B$13)*INDEX(Workers!$V$5:$V$2004,MATCH($D1561,Workers!$A$5:$A$2004,0)),0))</f>
        <v>0</v>
      </c>
      <c r="T1561" s="26" t="str">
        <f aca="false">IF($D1561="","",O1561-R1561-S1561)</f>
        <v/>
      </c>
    </row>
    <row r="1562" customFormat="false" ht="15" hidden="false" customHeight="false" outlineLevel="0" collapsed="false">
      <c r="I1562" s="24" t="str">
        <f aca="false">IF($D1562="","",IFERROR(INDEX(Workers!$B$5:$B$2004,MATCH($D1562,Workers!$A$5:$A$2004,0)),"NOT FOUND"))</f>
        <v/>
      </c>
      <c r="J1562" s="24" t="str">
        <f aca="false">IF($D1562="","",IFERROR(INDEX(Workers!$C$5:$C$2004,MATCH($D1562,Workers!$A$5:$A$2004,0)),""))</f>
        <v/>
      </c>
      <c r="K1562" s="24" t="str">
        <f aca="false">IF($D1562="","",IFERROR(IF(INDEX(Workers!$D$5:$D$2004,MATCH($D1562,Workers!$A$5:$A$2004,0))=0,"",INDEX(Workers!$D$5:$D$2004,MATCH($D1562,Workers!$A$5:$A$2004,0))),""))</f>
        <v/>
      </c>
      <c r="L1562" s="24" t="str">
        <f aca="false">IF($D1562="","",IFERROR(INDEX(Workers!$E$5:$E$2004,MATCH($D1562,Workers!$A$5:$A$2004,0)),""))</f>
        <v/>
      </c>
      <c r="M1562" s="26" t="str">
        <f aca="false">IF($D1562="","",IFERROR(INDEX(ClientRates!$D$5:$D$500,MATCH($B1562&amp;"|"&amp;$L1562,ClientRates!$A$5:$A$500,0)),0))</f>
        <v/>
      </c>
      <c r="N1562" s="26" t="str">
        <f aca="false">IF($D1562="","",IFERROR(INDEX(ClientRates!$E$5:$E$500,MATCH($B1562&amp;"|"&amp;$L1562,ClientRates!$A$5:$A$500,0)),0))</f>
        <v/>
      </c>
      <c r="O1562" s="26" t="str">
        <f aca="false">IF($D1562="","",F1562*M1562+G1562*N1562)</f>
        <v/>
      </c>
      <c r="P1562" s="26" t="str">
        <f aca="false">IF(OR($D1562="",$J1562&lt;&gt;"Supplier"),"",IFERROR(INDEX(SupplierRates!$D$5:$D$500,MATCH($K1562&amp;"|"&amp;$L1562,SupplierRates!$A$5:$A$500,0)),0))</f>
        <v/>
      </c>
      <c r="Q1562" s="26" t="str">
        <f aca="false">IF(OR($D1562="",$J1562&lt;&gt;"Supplier"),"",IFERROR(INDEX(SupplierRates!$E$5:$E$500,MATCH($K1562&amp;"|"&amp;$L1562,SupplierRates!$A$5:$A$500,0)),0))</f>
        <v/>
      </c>
      <c r="R1562" s="26" t="n">
        <f aca="false">IF(OR($D1562="",$J1562&lt;&gt;"Supplier"),0,F1562*P1562+G1562*Q1562)</f>
        <v>0</v>
      </c>
      <c r="S1562" s="26" t="n">
        <f aca="false">IF(OR($D1562="",$J1562&lt;&gt;"Own"),0,IFERROR((F1562+G1562*Settings!$B$13)*INDEX(Workers!$V$5:$V$2004,MATCH($D1562,Workers!$A$5:$A$2004,0)),0))</f>
        <v>0</v>
      </c>
      <c r="T1562" s="26" t="str">
        <f aca="false">IF($D1562="","",O1562-R1562-S1562)</f>
        <v/>
      </c>
    </row>
    <row r="1563" customFormat="false" ht="15" hidden="false" customHeight="false" outlineLevel="0" collapsed="false">
      <c r="I1563" s="24" t="str">
        <f aca="false">IF($D1563="","",IFERROR(INDEX(Workers!$B$5:$B$2004,MATCH($D1563,Workers!$A$5:$A$2004,0)),"NOT FOUND"))</f>
        <v/>
      </c>
      <c r="J1563" s="24" t="str">
        <f aca="false">IF($D1563="","",IFERROR(INDEX(Workers!$C$5:$C$2004,MATCH($D1563,Workers!$A$5:$A$2004,0)),""))</f>
        <v/>
      </c>
      <c r="K1563" s="24" t="str">
        <f aca="false">IF($D1563="","",IFERROR(IF(INDEX(Workers!$D$5:$D$2004,MATCH($D1563,Workers!$A$5:$A$2004,0))=0,"",INDEX(Workers!$D$5:$D$2004,MATCH($D1563,Workers!$A$5:$A$2004,0))),""))</f>
        <v/>
      </c>
      <c r="L1563" s="24" t="str">
        <f aca="false">IF($D1563="","",IFERROR(INDEX(Workers!$E$5:$E$2004,MATCH($D1563,Workers!$A$5:$A$2004,0)),""))</f>
        <v/>
      </c>
      <c r="M1563" s="26" t="str">
        <f aca="false">IF($D1563="","",IFERROR(INDEX(ClientRates!$D$5:$D$500,MATCH($B1563&amp;"|"&amp;$L1563,ClientRates!$A$5:$A$500,0)),0))</f>
        <v/>
      </c>
      <c r="N1563" s="26" t="str">
        <f aca="false">IF($D1563="","",IFERROR(INDEX(ClientRates!$E$5:$E$500,MATCH($B1563&amp;"|"&amp;$L1563,ClientRates!$A$5:$A$500,0)),0))</f>
        <v/>
      </c>
      <c r="O1563" s="26" t="str">
        <f aca="false">IF($D1563="","",F1563*M1563+G1563*N1563)</f>
        <v/>
      </c>
      <c r="P1563" s="26" t="str">
        <f aca="false">IF(OR($D1563="",$J1563&lt;&gt;"Supplier"),"",IFERROR(INDEX(SupplierRates!$D$5:$D$500,MATCH($K1563&amp;"|"&amp;$L1563,SupplierRates!$A$5:$A$500,0)),0))</f>
        <v/>
      </c>
      <c r="Q1563" s="26" t="str">
        <f aca="false">IF(OR($D1563="",$J1563&lt;&gt;"Supplier"),"",IFERROR(INDEX(SupplierRates!$E$5:$E$500,MATCH($K1563&amp;"|"&amp;$L1563,SupplierRates!$A$5:$A$500,0)),0))</f>
        <v/>
      </c>
      <c r="R1563" s="26" t="n">
        <f aca="false">IF(OR($D1563="",$J1563&lt;&gt;"Supplier"),0,F1563*P1563+G1563*Q1563)</f>
        <v>0</v>
      </c>
      <c r="S1563" s="26" t="n">
        <f aca="false">IF(OR($D1563="",$J1563&lt;&gt;"Own"),0,IFERROR((F1563+G1563*Settings!$B$13)*INDEX(Workers!$V$5:$V$2004,MATCH($D1563,Workers!$A$5:$A$2004,0)),0))</f>
        <v>0</v>
      </c>
      <c r="T1563" s="26" t="str">
        <f aca="false">IF($D1563="","",O1563-R1563-S1563)</f>
        <v/>
      </c>
    </row>
    <row r="1564" customFormat="false" ht="15" hidden="false" customHeight="false" outlineLevel="0" collapsed="false">
      <c r="I1564" s="24" t="str">
        <f aca="false">IF($D1564="","",IFERROR(INDEX(Workers!$B$5:$B$2004,MATCH($D1564,Workers!$A$5:$A$2004,0)),"NOT FOUND"))</f>
        <v/>
      </c>
      <c r="J1564" s="24" t="str">
        <f aca="false">IF($D1564="","",IFERROR(INDEX(Workers!$C$5:$C$2004,MATCH($D1564,Workers!$A$5:$A$2004,0)),""))</f>
        <v/>
      </c>
      <c r="K1564" s="24" t="str">
        <f aca="false">IF($D1564="","",IFERROR(IF(INDEX(Workers!$D$5:$D$2004,MATCH($D1564,Workers!$A$5:$A$2004,0))=0,"",INDEX(Workers!$D$5:$D$2004,MATCH($D1564,Workers!$A$5:$A$2004,0))),""))</f>
        <v/>
      </c>
      <c r="L1564" s="24" t="str">
        <f aca="false">IF($D1564="","",IFERROR(INDEX(Workers!$E$5:$E$2004,MATCH($D1564,Workers!$A$5:$A$2004,0)),""))</f>
        <v/>
      </c>
      <c r="M1564" s="26" t="str">
        <f aca="false">IF($D1564="","",IFERROR(INDEX(ClientRates!$D$5:$D$500,MATCH($B1564&amp;"|"&amp;$L1564,ClientRates!$A$5:$A$500,0)),0))</f>
        <v/>
      </c>
      <c r="N1564" s="26" t="str">
        <f aca="false">IF($D1564="","",IFERROR(INDEX(ClientRates!$E$5:$E$500,MATCH($B1564&amp;"|"&amp;$L1564,ClientRates!$A$5:$A$500,0)),0))</f>
        <v/>
      </c>
      <c r="O1564" s="26" t="str">
        <f aca="false">IF($D1564="","",F1564*M1564+G1564*N1564)</f>
        <v/>
      </c>
      <c r="P1564" s="26" t="str">
        <f aca="false">IF(OR($D1564="",$J1564&lt;&gt;"Supplier"),"",IFERROR(INDEX(SupplierRates!$D$5:$D$500,MATCH($K1564&amp;"|"&amp;$L1564,SupplierRates!$A$5:$A$500,0)),0))</f>
        <v/>
      </c>
      <c r="Q1564" s="26" t="str">
        <f aca="false">IF(OR($D1564="",$J1564&lt;&gt;"Supplier"),"",IFERROR(INDEX(SupplierRates!$E$5:$E$500,MATCH($K1564&amp;"|"&amp;$L1564,SupplierRates!$A$5:$A$500,0)),0))</f>
        <v/>
      </c>
      <c r="R1564" s="26" t="n">
        <f aca="false">IF(OR($D1564="",$J1564&lt;&gt;"Supplier"),0,F1564*P1564+G1564*Q1564)</f>
        <v>0</v>
      </c>
      <c r="S1564" s="26" t="n">
        <f aca="false">IF(OR($D1564="",$J1564&lt;&gt;"Own"),0,IFERROR((F1564+G1564*Settings!$B$13)*INDEX(Workers!$V$5:$V$2004,MATCH($D1564,Workers!$A$5:$A$2004,0)),0))</f>
        <v>0</v>
      </c>
      <c r="T1564" s="26" t="str">
        <f aca="false">IF($D1564="","",O1564-R1564-S1564)</f>
        <v/>
      </c>
    </row>
    <row r="1565" customFormat="false" ht="15" hidden="false" customHeight="false" outlineLevel="0" collapsed="false">
      <c r="I1565" s="24" t="str">
        <f aca="false">IF($D1565="","",IFERROR(INDEX(Workers!$B$5:$B$2004,MATCH($D1565,Workers!$A$5:$A$2004,0)),"NOT FOUND"))</f>
        <v/>
      </c>
      <c r="J1565" s="24" t="str">
        <f aca="false">IF($D1565="","",IFERROR(INDEX(Workers!$C$5:$C$2004,MATCH($D1565,Workers!$A$5:$A$2004,0)),""))</f>
        <v/>
      </c>
      <c r="K1565" s="24" t="str">
        <f aca="false">IF($D1565="","",IFERROR(IF(INDEX(Workers!$D$5:$D$2004,MATCH($D1565,Workers!$A$5:$A$2004,0))=0,"",INDEX(Workers!$D$5:$D$2004,MATCH($D1565,Workers!$A$5:$A$2004,0))),""))</f>
        <v/>
      </c>
      <c r="L1565" s="24" t="str">
        <f aca="false">IF($D1565="","",IFERROR(INDEX(Workers!$E$5:$E$2004,MATCH($D1565,Workers!$A$5:$A$2004,0)),""))</f>
        <v/>
      </c>
      <c r="M1565" s="26" t="str">
        <f aca="false">IF($D1565="","",IFERROR(INDEX(ClientRates!$D$5:$D$500,MATCH($B1565&amp;"|"&amp;$L1565,ClientRates!$A$5:$A$500,0)),0))</f>
        <v/>
      </c>
      <c r="N1565" s="26" t="str">
        <f aca="false">IF($D1565="","",IFERROR(INDEX(ClientRates!$E$5:$E$500,MATCH($B1565&amp;"|"&amp;$L1565,ClientRates!$A$5:$A$500,0)),0))</f>
        <v/>
      </c>
      <c r="O1565" s="26" t="str">
        <f aca="false">IF($D1565="","",F1565*M1565+G1565*N1565)</f>
        <v/>
      </c>
      <c r="P1565" s="26" t="str">
        <f aca="false">IF(OR($D1565="",$J1565&lt;&gt;"Supplier"),"",IFERROR(INDEX(SupplierRates!$D$5:$D$500,MATCH($K1565&amp;"|"&amp;$L1565,SupplierRates!$A$5:$A$500,0)),0))</f>
        <v/>
      </c>
      <c r="Q1565" s="26" t="str">
        <f aca="false">IF(OR($D1565="",$J1565&lt;&gt;"Supplier"),"",IFERROR(INDEX(SupplierRates!$E$5:$E$500,MATCH($K1565&amp;"|"&amp;$L1565,SupplierRates!$A$5:$A$500,0)),0))</f>
        <v/>
      </c>
      <c r="R1565" s="26" t="n">
        <f aca="false">IF(OR($D1565="",$J1565&lt;&gt;"Supplier"),0,F1565*P1565+G1565*Q1565)</f>
        <v>0</v>
      </c>
      <c r="S1565" s="26" t="n">
        <f aca="false">IF(OR($D1565="",$J1565&lt;&gt;"Own"),0,IFERROR((F1565+G1565*Settings!$B$13)*INDEX(Workers!$V$5:$V$2004,MATCH($D1565,Workers!$A$5:$A$2004,0)),0))</f>
        <v>0</v>
      </c>
      <c r="T1565" s="26" t="str">
        <f aca="false">IF($D1565="","",O1565-R1565-S1565)</f>
        <v/>
      </c>
    </row>
    <row r="1566" customFormat="false" ht="15" hidden="false" customHeight="false" outlineLevel="0" collapsed="false">
      <c r="I1566" s="24" t="str">
        <f aca="false">IF($D1566="","",IFERROR(INDEX(Workers!$B$5:$B$2004,MATCH($D1566,Workers!$A$5:$A$2004,0)),"NOT FOUND"))</f>
        <v/>
      </c>
      <c r="J1566" s="24" t="str">
        <f aca="false">IF($D1566="","",IFERROR(INDEX(Workers!$C$5:$C$2004,MATCH($D1566,Workers!$A$5:$A$2004,0)),""))</f>
        <v/>
      </c>
      <c r="K1566" s="24" t="str">
        <f aca="false">IF($D1566="","",IFERROR(IF(INDEX(Workers!$D$5:$D$2004,MATCH($D1566,Workers!$A$5:$A$2004,0))=0,"",INDEX(Workers!$D$5:$D$2004,MATCH($D1566,Workers!$A$5:$A$2004,0))),""))</f>
        <v/>
      </c>
      <c r="L1566" s="24" t="str">
        <f aca="false">IF($D1566="","",IFERROR(INDEX(Workers!$E$5:$E$2004,MATCH($D1566,Workers!$A$5:$A$2004,0)),""))</f>
        <v/>
      </c>
      <c r="M1566" s="26" t="str">
        <f aca="false">IF($D1566="","",IFERROR(INDEX(ClientRates!$D$5:$D$500,MATCH($B1566&amp;"|"&amp;$L1566,ClientRates!$A$5:$A$500,0)),0))</f>
        <v/>
      </c>
      <c r="N1566" s="26" t="str">
        <f aca="false">IF($D1566="","",IFERROR(INDEX(ClientRates!$E$5:$E$500,MATCH($B1566&amp;"|"&amp;$L1566,ClientRates!$A$5:$A$500,0)),0))</f>
        <v/>
      </c>
      <c r="O1566" s="26" t="str">
        <f aca="false">IF($D1566="","",F1566*M1566+G1566*N1566)</f>
        <v/>
      </c>
      <c r="P1566" s="26" t="str">
        <f aca="false">IF(OR($D1566="",$J1566&lt;&gt;"Supplier"),"",IFERROR(INDEX(SupplierRates!$D$5:$D$500,MATCH($K1566&amp;"|"&amp;$L1566,SupplierRates!$A$5:$A$500,0)),0))</f>
        <v/>
      </c>
      <c r="Q1566" s="26" t="str">
        <f aca="false">IF(OR($D1566="",$J1566&lt;&gt;"Supplier"),"",IFERROR(INDEX(SupplierRates!$E$5:$E$500,MATCH($K1566&amp;"|"&amp;$L1566,SupplierRates!$A$5:$A$500,0)),0))</f>
        <v/>
      </c>
      <c r="R1566" s="26" t="n">
        <f aca="false">IF(OR($D1566="",$J1566&lt;&gt;"Supplier"),0,F1566*P1566+G1566*Q1566)</f>
        <v>0</v>
      </c>
      <c r="S1566" s="26" t="n">
        <f aca="false">IF(OR($D1566="",$J1566&lt;&gt;"Own"),0,IFERROR((F1566+G1566*Settings!$B$13)*INDEX(Workers!$V$5:$V$2004,MATCH($D1566,Workers!$A$5:$A$2004,0)),0))</f>
        <v>0</v>
      </c>
      <c r="T1566" s="26" t="str">
        <f aca="false">IF($D1566="","",O1566-R1566-S1566)</f>
        <v/>
      </c>
    </row>
    <row r="1567" customFormat="false" ht="15" hidden="false" customHeight="false" outlineLevel="0" collapsed="false">
      <c r="I1567" s="24" t="str">
        <f aca="false">IF($D1567="","",IFERROR(INDEX(Workers!$B$5:$B$2004,MATCH($D1567,Workers!$A$5:$A$2004,0)),"NOT FOUND"))</f>
        <v/>
      </c>
      <c r="J1567" s="24" t="str">
        <f aca="false">IF($D1567="","",IFERROR(INDEX(Workers!$C$5:$C$2004,MATCH($D1567,Workers!$A$5:$A$2004,0)),""))</f>
        <v/>
      </c>
      <c r="K1567" s="24" t="str">
        <f aca="false">IF($D1567="","",IFERROR(IF(INDEX(Workers!$D$5:$D$2004,MATCH($D1567,Workers!$A$5:$A$2004,0))=0,"",INDEX(Workers!$D$5:$D$2004,MATCH($D1567,Workers!$A$5:$A$2004,0))),""))</f>
        <v/>
      </c>
      <c r="L1567" s="24" t="str">
        <f aca="false">IF($D1567="","",IFERROR(INDEX(Workers!$E$5:$E$2004,MATCH($D1567,Workers!$A$5:$A$2004,0)),""))</f>
        <v/>
      </c>
      <c r="M1567" s="26" t="str">
        <f aca="false">IF($D1567="","",IFERROR(INDEX(ClientRates!$D$5:$D$500,MATCH($B1567&amp;"|"&amp;$L1567,ClientRates!$A$5:$A$500,0)),0))</f>
        <v/>
      </c>
      <c r="N1567" s="26" t="str">
        <f aca="false">IF($D1567="","",IFERROR(INDEX(ClientRates!$E$5:$E$500,MATCH($B1567&amp;"|"&amp;$L1567,ClientRates!$A$5:$A$500,0)),0))</f>
        <v/>
      </c>
      <c r="O1567" s="26" t="str">
        <f aca="false">IF($D1567="","",F1567*M1567+G1567*N1567)</f>
        <v/>
      </c>
      <c r="P1567" s="26" t="str">
        <f aca="false">IF(OR($D1567="",$J1567&lt;&gt;"Supplier"),"",IFERROR(INDEX(SupplierRates!$D$5:$D$500,MATCH($K1567&amp;"|"&amp;$L1567,SupplierRates!$A$5:$A$500,0)),0))</f>
        <v/>
      </c>
      <c r="Q1567" s="26" t="str">
        <f aca="false">IF(OR($D1567="",$J1567&lt;&gt;"Supplier"),"",IFERROR(INDEX(SupplierRates!$E$5:$E$500,MATCH($K1567&amp;"|"&amp;$L1567,SupplierRates!$A$5:$A$500,0)),0))</f>
        <v/>
      </c>
      <c r="R1567" s="26" t="n">
        <f aca="false">IF(OR($D1567="",$J1567&lt;&gt;"Supplier"),0,F1567*P1567+G1567*Q1567)</f>
        <v>0</v>
      </c>
      <c r="S1567" s="26" t="n">
        <f aca="false">IF(OR($D1567="",$J1567&lt;&gt;"Own"),0,IFERROR((F1567+G1567*Settings!$B$13)*INDEX(Workers!$V$5:$V$2004,MATCH($D1567,Workers!$A$5:$A$2004,0)),0))</f>
        <v>0</v>
      </c>
      <c r="T1567" s="26" t="str">
        <f aca="false">IF($D1567="","",O1567-R1567-S1567)</f>
        <v/>
      </c>
    </row>
    <row r="1568" customFormat="false" ht="15" hidden="false" customHeight="false" outlineLevel="0" collapsed="false">
      <c r="I1568" s="24" t="str">
        <f aca="false">IF($D1568="","",IFERROR(INDEX(Workers!$B$5:$B$2004,MATCH($D1568,Workers!$A$5:$A$2004,0)),"NOT FOUND"))</f>
        <v/>
      </c>
      <c r="J1568" s="24" t="str">
        <f aca="false">IF($D1568="","",IFERROR(INDEX(Workers!$C$5:$C$2004,MATCH($D1568,Workers!$A$5:$A$2004,0)),""))</f>
        <v/>
      </c>
      <c r="K1568" s="24" t="str">
        <f aca="false">IF($D1568="","",IFERROR(IF(INDEX(Workers!$D$5:$D$2004,MATCH($D1568,Workers!$A$5:$A$2004,0))=0,"",INDEX(Workers!$D$5:$D$2004,MATCH($D1568,Workers!$A$5:$A$2004,0))),""))</f>
        <v/>
      </c>
      <c r="L1568" s="24" t="str">
        <f aca="false">IF($D1568="","",IFERROR(INDEX(Workers!$E$5:$E$2004,MATCH($D1568,Workers!$A$5:$A$2004,0)),""))</f>
        <v/>
      </c>
      <c r="M1568" s="26" t="str">
        <f aca="false">IF($D1568="","",IFERROR(INDEX(ClientRates!$D$5:$D$500,MATCH($B1568&amp;"|"&amp;$L1568,ClientRates!$A$5:$A$500,0)),0))</f>
        <v/>
      </c>
      <c r="N1568" s="26" t="str">
        <f aca="false">IF($D1568="","",IFERROR(INDEX(ClientRates!$E$5:$E$500,MATCH($B1568&amp;"|"&amp;$L1568,ClientRates!$A$5:$A$500,0)),0))</f>
        <v/>
      </c>
      <c r="O1568" s="26" t="str">
        <f aca="false">IF($D1568="","",F1568*M1568+G1568*N1568)</f>
        <v/>
      </c>
      <c r="P1568" s="26" t="str">
        <f aca="false">IF(OR($D1568="",$J1568&lt;&gt;"Supplier"),"",IFERROR(INDEX(SupplierRates!$D$5:$D$500,MATCH($K1568&amp;"|"&amp;$L1568,SupplierRates!$A$5:$A$500,0)),0))</f>
        <v/>
      </c>
      <c r="Q1568" s="26" t="str">
        <f aca="false">IF(OR($D1568="",$J1568&lt;&gt;"Supplier"),"",IFERROR(INDEX(SupplierRates!$E$5:$E$500,MATCH($K1568&amp;"|"&amp;$L1568,SupplierRates!$A$5:$A$500,0)),0))</f>
        <v/>
      </c>
      <c r="R1568" s="26" t="n">
        <f aca="false">IF(OR($D1568="",$J1568&lt;&gt;"Supplier"),0,F1568*P1568+G1568*Q1568)</f>
        <v>0</v>
      </c>
      <c r="S1568" s="26" t="n">
        <f aca="false">IF(OR($D1568="",$J1568&lt;&gt;"Own"),0,IFERROR((F1568+G1568*Settings!$B$13)*INDEX(Workers!$V$5:$V$2004,MATCH($D1568,Workers!$A$5:$A$2004,0)),0))</f>
        <v>0</v>
      </c>
      <c r="T1568" s="26" t="str">
        <f aca="false">IF($D1568="","",O1568-R1568-S1568)</f>
        <v/>
      </c>
    </row>
    <row r="1569" customFormat="false" ht="15" hidden="false" customHeight="false" outlineLevel="0" collapsed="false">
      <c r="I1569" s="24" t="str">
        <f aca="false">IF($D1569="","",IFERROR(INDEX(Workers!$B$5:$B$2004,MATCH($D1569,Workers!$A$5:$A$2004,0)),"NOT FOUND"))</f>
        <v/>
      </c>
      <c r="J1569" s="24" t="str">
        <f aca="false">IF($D1569="","",IFERROR(INDEX(Workers!$C$5:$C$2004,MATCH($D1569,Workers!$A$5:$A$2004,0)),""))</f>
        <v/>
      </c>
      <c r="K1569" s="24" t="str">
        <f aca="false">IF($D1569="","",IFERROR(IF(INDEX(Workers!$D$5:$D$2004,MATCH($D1569,Workers!$A$5:$A$2004,0))=0,"",INDEX(Workers!$D$5:$D$2004,MATCH($D1569,Workers!$A$5:$A$2004,0))),""))</f>
        <v/>
      </c>
      <c r="L1569" s="24" t="str">
        <f aca="false">IF($D1569="","",IFERROR(INDEX(Workers!$E$5:$E$2004,MATCH($D1569,Workers!$A$5:$A$2004,0)),""))</f>
        <v/>
      </c>
      <c r="M1569" s="26" t="str">
        <f aca="false">IF($D1569="","",IFERROR(INDEX(ClientRates!$D$5:$D$500,MATCH($B1569&amp;"|"&amp;$L1569,ClientRates!$A$5:$A$500,0)),0))</f>
        <v/>
      </c>
      <c r="N1569" s="26" t="str">
        <f aca="false">IF($D1569="","",IFERROR(INDEX(ClientRates!$E$5:$E$500,MATCH($B1569&amp;"|"&amp;$L1569,ClientRates!$A$5:$A$500,0)),0))</f>
        <v/>
      </c>
      <c r="O1569" s="26" t="str">
        <f aca="false">IF($D1569="","",F1569*M1569+G1569*N1569)</f>
        <v/>
      </c>
      <c r="P1569" s="26" t="str">
        <f aca="false">IF(OR($D1569="",$J1569&lt;&gt;"Supplier"),"",IFERROR(INDEX(SupplierRates!$D$5:$D$500,MATCH($K1569&amp;"|"&amp;$L1569,SupplierRates!$A$5:$A$500,0)),0))</f>
        <v/>
      </c>
      <c r="Q1569" s="26" t="str">
        <f aca="false">IF(OR($D1569="",$J1569&lt;&gt;"Supplier"),"",IFERROR(INDEX(SupplierRates!$E$5:$E$500,MATCH($K1569&amp;"|"&amp;$L1569,SupplierRates!$A$5:$A$500,0)),0))</f>
        <v/>
      </c>
      <c r="R1569" s="26" t="n">
        <f aca="false">IF(OR($D1569="",$J1569&lt;&gt;"Supplier"),0,F1569*P1569+G1569*Q1569)</f>
        <v>0</v>
      </c>
      <c r="S1569" s="26" t="n">
        <f aca="false">IF(OR($D1569="",$J1569&lt;&gt;"Own"),0,IFERROR((F1569+G1569*Settings!$B$13)*INDEX(Workers!$V$5:$V$2004,MATCH($D1569,Workers!$A$5:$A$2004,0)),0))</f>
        <v>0</v>
      </c>
      <c r="T1569" s="26" t="str">
        <f aca="false">IF($D1569="","",O1569-R1569-S1569)</f>
        <v/>
      </c>
    </row>
    <row r="1570" customFormat="false" ht="15" hidden="false" customHeight="false" outlineLevel="0" collapsed="false">
      <c r="I1570" s="24" t="str">
        <f aca="false">IF($D1570="","",IFERROR(INDEX(Workers!$B$5:$B$2004,MATCH($D1570,Workers!$A$5:$A$2004,0)),"NOT FOUND"))</f>
        <v/>
      </c>
      <c r="J1570" s="24" t="str">
        <f aca="false">IF($D1570="","",IFERROR(INDEX(Workers!$C$5:$C$2004,MATCH($D1570,Workers!$A$5:$A$2004,0)),""))</f>
        <v/>
      </c>
      <c r="K1570" s="24" t="str">
        <f aca="false">IF($D1570="","",IFERROR(IF(INDEX(Workers!$D$5:$D$2004,MATCH($D1570,Workers!$A$5:$A$2004,0))=0,"",INDEX(Workers!$D$5:$D$2004,MATCH($D1570,Workers!$A$5:$A$2004,0))),""))</f>
        <v/>
      </c>
      <c r="L1570" s="24" t="str">
        <f aca="false">IF($D1570="","",IFERROR(INDEX(Workers!$E$5:$E$2004,MATCH($D1570,Workers!$A$5:$A$2004,0)),""))</f>
        <v/>
      </c>
      <c r="M1570" s="26" t="str">
        <f aca="false">IF($D1570="","",IFERROR(INDEX(ClientRates!$D$5:$D$500,MATCH($B1570&amp;"|"&amp;$L1570,ClientRates!$A$5:$A$500,0)),0))</f>
        <v/>
      </c>
      <c r="N1570" s="26" t="str">
        <f aca="false">IF($D1570="","",IFERROR(INDEX(ClientRates!$E$5:$E$500,MATCH($B1570&amp;"|"&amp;$L1570,ClientRates!$A$5:$A$500,0)),0))</f>
        <v/>
      </c>
      <c r="O1570" s="26" t="str">
        <f aca="false">IF($D1570="","",F1570*M1570+G1570*N1570)</f>
        <v/>
      </c>
      <c r="P1570" s="26" t="str">
        <f aca="false">IF(OR($D1570="",$J1570&lt;&gt;"Supplier"),"",IFERROR(INDEX(SupplierRates!$D$5:$D$500,MATCH($K1570&amp;"|"&amp;$L1570,SupplierRates!$A$5:$A$500,0)),0))</f>
        <v/>
      </c>
      <c r="Q1570" s="26" t="str">
        <f aca="false">IF(OR($D1570="",$J1570&lt;&gt;"Supplier"),"",IFERROR(INDEX(SupplierRates!$E$5:$E$500,MATCH($K1570&amp;"|"&amp;$L1570,SupplierRates!$A$5:$A$500,0)),0))</f>
        <v/>
      </c>
      <c r="R1570" s="26" t="n">
        <f aca="false">IF(OR($D1570="",$J1570&lt;&gt;"Supplier"),0,F1570*P1570+G1570*Q1570)</f>
        <v>0</v>
      </c>
      <c r="S1570" s="26" t="n">
        <f aca="false">IF(OR($D1570="",$J1570&lt;&gt;"Own"),0,IFERROR((F1570+G1570*Settings!$B$13)*INDEX(Workers!$V$5:$V$2004,MATCH($D1570,Workers!$A$5:$A$2004,0)),0))</f>
        <v>0</v>
      </c>
      <c r="T1570" s="26" t="str">
        <f aca="false">IF($D1570="","",O1570-R1570-S1570)</f>
        <v/>
      </c>
    </row>
    <row r="1571" customFormat="false" ht="15" hidden="false" customHeight="false" outlineLevel="0" collapsed="false">
      <c r="I1571" s="24" t="str">
        <f aca="false">IF($D1571="","",IFERROR(INDEX(Workers!$B$5:$B$2004,MATCH($D1571,Workers!$A$5:$A$2004,0)),"NOT FOUND"))</f>
        <v/>
      </c>
      <c r="J1571" s="24" t="str">
        <f aca="false">IF($D1571="","",IFERROR(INDEX(Workers!$C$5:$C$2004,MATCH($D1571,Workers!$A$5:$A$2004,0)),""))</f>
        <v/>
      </c>
      <c r="K1571" s="24" t="str">
        <f aca="false">IF($D1571="","",IFERROR(IF(INDEX(Workers!$D$5:$D$2004,MATCH($D1571,Workers!$A$5:$A$2004,0))=0,"",INDEX(Workers!$D$5:$D$2004,MATCH($D1571,Workers!$A$5:$A$2004,0))),""))</f>
        <v/>
      </c>
      <c r="L1571" s="24" t="str">
        <f aca="false">IF($D1571="","",IFERROR(INDEX(Workers!$E$5:$E$2004,MATCH($D1571,Workers!$A$5:$A$2004,0)),""))</f>
        <v/>
      </c>
      <c r="M1571" s="26" t="str">
        <f aca="false">IF($D1571="","",IFERROR(INDEX(ClientRates!$D$5:$D$500,MATCH($B1571&amp;"|"&amp;$L1571,ClientRates!$A$5:$A$500,0)),0))</f>
        <v/>
      </c>
      <c r="N1571" s="26" t="str">
        <f aca="false">IF($D1571="","",IFERROR(INDEX(ClientRates!$E$5:$E$500,MATCH($B1571&amp;"|"&amp;$L1571,ClientRates!$A$5:$A$500,0)),0))</f>
        <v/>
      </c>
      <c r="O1571" s="26" t="str">
        <f aca="false">IF($D1571="","",F1571*M1571+G1571*N1571)</f>
        <v/>
      </c>
      <c r="P1571" s="26" t="str">
        <f aca="false">IF(OR($D1571="",$J1571&lt;&gt;"Supplier"),"",IFERROR(INDEX(SupplierRates!$D$5:$D$500,MATCH($K1571&amp;"|"&amp;$L1571,SupplierRates!$A$5:$A$500,0)),0))</f>
        <v/>
      </c>
      <c r="Q1571" s="26" t="str">
        <f aca="false">IF(OR($D1571="",$J1571&lt;&gt;"Supplier"),"",IFERROR(INDEX(SupplierRates!$E$5:$E$500,MATCH($K1571&amp;"|"&amp;$L1571,SupplierRates!$A$5:$A$500,0)),0))</f>
        <v/>
      </c>
      <c r="R1571" s="26" t="n">
        <f aca="false">IF(OR($D1571="",$J1571&lt;&gt;"Supplier"),0,F1571*P1571+G1571*Q1571)</f>
        <v>0</v>
      </c>
      <c r="S1571" s="26" t="n">
        <f aca="false">IF(OR($D1571="",$J1571&lt;&gt;"Own"),0,IFERROR((F1571+G1571*Settings!$B$13)*INDEX(Workers!$V$5:$V$2004,MATCH($D1571,Workers!$A$5:$A$2004,0)),0))</f>
        <v>0</v>
      </c>
      <c r="T1571" s="26" t="str">
        <f aca="false">IF($D1571="","",O1571-R1571-S1571)</f>
        <v/>
      </c>
    </row>
    <row r="1572" customFormat="false" ht="15" hidden="false" customHeight="false" outlineLevel="0" collapsed="false">
      <c r="I1572" s="24" t="str">
        <f aca="false">IF($D1572="","",IFERROR(INDEX(Workers!$B$5:$B$2004,MATCH($D1572,Workers!$A$5:$A$2004,0)),"NOT FOUND"))</f>
        <v/>
      </c>
      <c r="J1572" s="24" t="str">
        <f aca="false">IF($D1572="","",IFERROR(INDEX(Workers!$C$5:$C$2004,MATCH($D1572,Workers!$A$5:$A$2004,0)),""))</f>
        <v/>
      </c>
      <c r="K1572" s="24" t="str">
        <f aca="false">IF($D1572="","",IFERROR(IF(INDEX(Workers!$D$5:$D$2004,MATCH($D1572,Workers!$A$5:$A$2004,0))=0,"",INDEX(Workers!$D$5:$D$2004,MATCH($D1572,Workers!$A$5:$A$2004,0))),""))</f>
        <v/>
      </c>
      <c r="L1572" s="24" t="str">
        <f aca="false">IF($D1572="","",IFERROR(INDEX(Workers!$E$5:$E$2004,MATCH($D1572,Workers!$A$5:$A$2004,0)),""))</f>
        <v/>
      </c>
      <c r="M1572" s="26" t="str">
        <f aca="false">IF($D1572="","",IFERROR(INDEX(ClientRates!$D$5:$D$500,MATCH($B1572&amp;"|"&amp;$L1572,ClientRates!$A$5:$A$500,0)),0))</f>
        <v/>
      </c>
      <c r="N1572" s="26" t="str">
        <f aca="false">IF($D1572="","",IFERROR(INDEX(ClientRates!$E$5:$E$500,MATCH($B1572&amp;"|"&amp;$L1572,ClientRates!$A$5:$A$500,0)),0))</f>
        <v/>
      </c>
      <c r="O1572" s="26" t="str">
        <f aca="false">IF($D1572="","",F1572*M1572+G1572*N1572)</f>
        <v/>
      </c>
      <c r="P1572" s="26" t="str">
        <f aca="false">IF(OR($D1572="",$J1572&lt;&gt;"Supplier"),"",IFERROR(INDEX(SupplierRates!$D$5:$D$500,MATCH($K1572&amp;"|"&amp;$L1572,SupplierRates!$A$5:$A$500,0)),0))</f>
        <v/>
      </c>
      <c r="Q1572" s="26" t="str">
        <f aca="false">IF(OR($D1572="",$J1572&lt;&gt;"Supplier"),"",IFERROR(INDEX(SupplierRates!$E$5:$E$500,MATCH($K1572&amp;"|"&amp;$L1572,SupplierRates!$A$5:$A$500,0)),0))</f>
        <v/>
      </c>
      <c r="R1572" s="26" t="n">
        <f aca="false">IF(OR($D1572="",$J1572&lt;&gt;"Supplier"),0,F1572*P1572+G1572*Q1572)</f>
        <v>0</v>
      </c>
      <c r="S1572" s="26" t="n">
        <f aca="false">IF(OR($D1572="",$J1572&lt;&gt;"Own"),0,IFERROR((F1572+G1572*Settings!$B$13)*INDEX(Workers!$V$5:$V$2004,MATCH($D1572,Workers!$A$5:$A$2004,0)),0))</f>
        <v>0</v>
      </c>
      <c r="T1572" s="26" t="str">
        <f aca="false">IF($D1572="","",O1572-R1572-S1572)</f>
        <v/>
      </c>
    </row>
    <row r="1573" customFormat="false" ht="15" hidden="false" customHeight="false" outlineLevel="0" collapsed="false">
      <c r="I1573" s="24" t="str">
        <f aca="false">IF($D1573="","",IFERROR(INDEX(Workers!$B$5:$B$2004,MATCH($D1573,Workers!$A$5:$A$2004,0)),"NOT FOUND"))</f>
        <v/>
      </c>
      <c r="J1573" s="24" t="str">
        <f aca="false">IF($D1573="","",IFERROR(INDEX(Workers!$C$5:$C$2004,MATCH($D1573,Workers!$A$5:$A$2004,0)),""))</f>
        <v/>
      </c>
      <c r="K1573" s="24" t="str">
        <f aca="false">IF($D1573="","",IFERROR(IF(INDEX(Workers!$D$5:$D$2004,MATCH($D1573,Workers!$A$5:$A$2004,0))=0,"",INDEX(Workers!$D$5:$D$2004,MATCH($D1573,Workers!$A$5:$A$2004,0))),""))</f>
        <v/>
      </c>
      <c r="L1573" s="24" t="str">
        <f aca="false">IF($D1573="","",IFERROR(INDEX(Workers!$E$5:$E$2004,MATCH($D1573,Workers!$A$5:$A$2004,0)),""))</f>
        <v/>
      </c>
      <c r="M1573" s="26" t="str">
        <f aca="false">IF($D1573="","",IFERROR(INDEX(ClientRates!$D$5:$D$500,MATCH($B1573&amp;"|"&amp;$L1573,ClientRates!$A$5:$A$500,0)),0))</f>
        <v/>
      </c>
      <c r="N1573" s="26" t="str">
        <f aca="false">IF($D1573="","",IFERROR(INDEX(ClientRates!$E$5:$E$500,MATCH($B1573&amp;"|"&amp;$L1573,ClientRates!$A$5:$A$500,0)),0))</f>
        <v/>
      </c>
      <c r="O1573" s="26" t="str">
        <f aca="false">IF($D1573="","",F1573*M1573+G1573*N1573)</f>
        <v/>
      </c>
      <c r="P1573" s="26" t="str">
        <f aca="false">IF(OR($D1573="",$J1573&lt;&gt;"Supplier"),"",IFERROR(INDEX(SupplierRates!$D$5:$D$500,MATCH($K1573&amp;"|"&amp;$L1573,SupplierRates!$A$5:$A$500,0)),0))</f>
        <v/>
      </c>
      <c r="Q1573" s="26" t="str">
        <f aca="false">IF(OR($D1573="",$J1573&lt;&gt;"Supplier"),"",IFERROR(INDEX(SupplierRates!$E$5:$E$500,MATCH($K1573&amp;"|"&amp;$L1573,SupplierRates!$A$5:$A$500,0)),0))</f>
        <v/>
      </c>
      <c r="R1573" s="26" t="n">
        <f aca="false">IF(OR($D1573="",$J1573&lt;&gt;"Supplier"),0,F1573*P1573+G1573*Q1573)</f>
        <v>0</v>
      </c>
      <c r="S1573" s="26" t="n">
        <f aca="false">IF(OR($D1573="",$J1573&lt;&gt;"Own"),0,IFERROR((F1573+G1573*Settings!$B$13)*INDEX(Workers!$V$5:$V$2004,MATCH($D1573,Workers!$A$5:$A$2004,0)),0))</f>
        <v>0</v>
      </c>
      <c r="T1573" s="26" t="str">
        <f aca="false">IF($D1573="","",O1573-R1573-S1573)</f>
        <v/>
      </c>
    </row>
    <row r="1574" customFormat="false" ht="15" hidden="false" customHeight="false" outlineLevel="0" collapsed="false">
      <c r="I1574" s="24" t="str">
        <f aca="false">IF($D1574="","",IFERROR(INDEX(Workers!$B$5:$B$2004,MATCH($D1574,Workers!$A$5:$A$2004,0)),"NOT FOUND"))</f>
        <v/>
      </c>
      <c r="J1574" s="24" t="str">
        <f aca="false">IF($D1574="","",IFERROR(INDEX(Workers!$C$5:$C$2004,MATCH($D1574,Workers!$A$5:$A$2004,0)),""))</f>
        <v/>
      </c>
      <c r="K1574" s="24" t="str">
        <f aca="false">IF($D1574="","",IFERROR(IF(INDEX(Workers!$D$5:$D$2004,MATCH($D1574,Workers!$A$5:$A$2004,0))=0,"",INDEX(Workers!$D$5:$D$2004,MATCH($D1574,Workers!$A$5:$A$2004,0))),""))</f>
        <v/>
      </c>
      <c r="L1574" s="24" t="str">
        <f aca="false">IF($D1574="","",IFERROR(INDEX(Workers!$E$5:$E$2004,MATCH($D1574,Workers!$A$5:$A$2004,0)),""))</f>
        <v/>
      </c>
      <c r="M1574" s="26" t="str">
        <f aca="false">IF($D1574="","",IFERROR(INDEX(ClientRates!$D$5:$D$500,MATCH($B1574&amp;"|"&amp;$L1574,ClientRates!$A$5:$A$500,0)),0))</f>
        <v/>
      </c>
      <c r="N1574" s="26" t="str">
        <f aca="false">IF($D1574="","",IFERROR(INDEX(ClientRates!$E$5:$E$500,MATCH($B1574&amp;"|"&amp;$L1574,ClientRates!$A$5:$A$500,0)),0))</f>
        <v/>
      </c>
      <c r="O1574" s="26" t="str">
        <f aca="false">IF($D1574="","",F1574*M1574+G1574*N1574)</f>
        <v/>
      </c>
      <c r="P1574" s="26" t="str">
        <f aca="false">IF(OR($D1574="",$J1574&lt;&gt;"Supplier"),"",IFERROR(INDEX(SupplierRates!$D$5:$D$500,MATCH($K1574&amp;"|"&amp;$L1574,SupplierRates!$A$5:$A$500,0)),0))</f>
        <v/>
      </c>
      <c r="Q1574" s="26" t="str">
        <f aca="false">IF(OR($D1574="",$J1574&lt;&gt;"Supplier"),"",IFERROR(INDEX(SupplierRates!$E$5:$E$500,MATCH($K1574&amp;"|"&amp;$L1574,SupplierRates!$A$5:$A$500,0)),0))</f>
        <v/>
      </c>
      <c r="R1574" s="26" t="n">
        <f aca="false">IF(OR($D1574="",$J1574&lt;&gt;"Supplier"),0,F1574*P1574+G1574*Q1574)</f>
        <v>0</v>
      </c>
      <c r="S1574" s="26" t="n">
        <f aca="false">IF(OR($D1574="",$J1574&lt;&gt;"Own"),0,IFERROR((F1574+G1574*Settings!$B$13)*INDEX(Workers!$V$5:$V$2004,MATCH($D1574,Workers!$A$5:$A$2004,0)),0))</f>
        <v>0</v>
      </c>
      <c r="T1574" s="26" t="str">
        <f aca="false">IF($D1574="","",O1574-R1574-S1574)</f>
        <v/>
      </c>
    </row>
    <row r="1575" customFormat="false" ht="15" hidden="false" customHeight="false" outlineLevel="0" collapsed="false">
      <c r="I1575" s="24" t="str">
        <f aca="false">IF($D1575="","",IFERROR(INDEX(Workers!$B$5:$B$2004,MATCH($D1575,Workers!$A$5:$A$2004,0)),"NOT FOUND"))</f>
        <v/>
      </c>
      <c r="J1575" s="24" t="str">
        <f aca="false">IF($D1575="","",IFERROR(INDEX(Workers!$C$5:$C$2004,MATCH($D1575,Workers!$A$5:$A$2004,0)),""))</f>
        <v/>
      </c>
      <c r="K1575" s="24" t="str">
        <f aca="false">IF($D1575="","",IFERROR(IF(INDEX(Workers!$D$5:$D$2004,MATCH($D1575,Workers!$A$5:$A$2004,0))=0,"",INDEX(Workers!$D$5:$D$2004,MATCH($D1575,Workers!$A$5:$A$2004,0))),""))</f>
        <v/>
      </c>
      <c r="L1575" s="24" t="str">
        <f aca="false">IF($D1575="","",IFERROR(INDEX(Workers!$E$5:$E$2004,MATCH($D1575,Workers!$A$5:$A$2004,0)),""))</f>
        <v/>
      </c>
      <c r="M1575" s="26" t="str">
        <f aca="false">IF($D1575="","",IFERROR(INDEX(ClientRates!$D$5:$D$500,MATCH($B1575&amp;"|"&amp;$L1575,ClientRates!$A$5:$A$500,0)),0))</f>
        <v/>
      </c>
      <c r="N1575" s="26" t="str">
        <f aca="false">IF($D1575="","",IFERROR(INDEX(ClientRates!$E$5:$E$500,MATCH($B1575&amp;"|"&amp;$L1575,ClientRates!$A$5:$A$500,0)),0))</f>
        <v/>
      </c>
      <c r="O1575" s="26" t="str">
        <f aca="false">IF($D1575="","",F1575*M1575+G1575*N1575)</f>
        <v/>
      </c>
      <c r="P1575" s="26" t="str">
        <f aca="false">IF(OR($D1575="",$J1575&lt;&gt;"Supplier"),"",IFERROR(INDEX(SupplierRates!$D$5:$D$500,MATCH($K1575&amp;"|"&amp;$L1575,SupplierRates!$A$5:$A$500,0)),0))</f>
        <v/>
      </c>
      <c r="Q1575" s="26" t="str">
        <f aca="false">IF(OR($D1575="",$J1575&lt;&gt;"Supplier"),"",IFERROR(INDEX(SupplierRates!$E$5:$E$500,MATCH($K1575&amp;"|"&amp;$L1575,SupplierRates!$A$5:$A$500,0)),0))</f>
        <v/>
      </c>
      <c r="R1575" s="26" t="n">
        <f aca="false">IF(OR($D1575="",$J1575&lt;&gt;"Supplier"),0,F1575*P1575+G1575*Q1575)</f>
        <v>0</v>
      </c>
      <c r="S1575" s="26" t="n">
        <f aca="false">IF(OR($D1575="",$J1575&lt;&gt;"Own"),0,IFERROR((F1575+G1575*Settings!$B$13)*INDEX(Workers!$V$5:$V$2004,MATCH($D1575,Workers!$A$5:$A$2004,0)),0))</f>
        <v>0</v>
      </c>
      <c r="T1575" s="26" t="str">
        <f aca="false">IF($D1575="","",O1575-R1575-S1575)</f>
        <v/>
      </c>
    </row>
    <row r="1576" customFormat="false" ht="15" hidden="false" customHeight="false" outlineLevel="0" collapsed="false">
      <c r="I1576" s="24" t="str">
        <f aca="false">IF($D1576="","",IFERROR(INDEX(Workers!$B$5:$B$2004,MATCH($D1576,Workers!$A$5:$A$2004,0)),"NOT FOUND"))</f>
        <v/>
      </c>
      <c r="J1576" s="24" t="str">
        <f aca="false">IF($D1576="","",IFERROR(INDEX(Workers!$C$5:$C$2004,MATCH($D1576,Workers!$A$5:$A$2004,0)),""))</f>
        <v/>
      </c>
      <c r="K1576" s="24" t="str">
        <f aca="false">IF($D1576="","",IFERROR(IF(INDEX(Workers!$D$5:$D$2004,MATCH($D1576,Workers!$A$5:$A$2004,0))=0,"",INDEX(Workers!$D$5:$D$2004,MATCH($D1576,Workers!$A$5:$A$2004,0))),""))</f>
        <v/>
      </c>
      <c r="L1576" s="24" t="str">
        <f aca="false">IF($D1576="","",IFERROR(INDEX(Workers!$E$5:$E$2004,MATCH($D1576,Workers!$A$5:$A$2004,0)),""))</f>
        <v/>
      </c>
      <c r="M1576" s="26" t="str">
        <f aca="false">IF($D1576="","",IFERROR(INDEX(ClientRates!$D$5:$D$500,MATCH($B1576&amp;"|"&amp;$L1576,ClientRates!$A$5:$A$500,0)),0))</f>
        <v/>
      </c>
      <c r="N1576" s="26" t="str">
        <f aca="false">IF($D1576="","",IFERROR(INDEX(ClientRates!$E$5:$E$500,MATCH($B1576&amp;"|"&amp;$L1576,ClientRates!$A$5:$A$500,0)),0))</f>
        <v/>
      </c>
      <c r="O1576" s="26" t="str">
        <f aca="false">IF($D1576="","",F1576*M1576+G1576*N1576)</f>
        <v/>
      </c>
      <c r="P1576" s="26" t="str">
        <f aca="false">IF(OR($D1576="",$J1576&lt;&gt;"Supplier"),"",IFERROR(INDEX(SupplierRates!$D$5:$D$500,MATCH($K1576&amp;"|"&amp;$L1576,SupplierRates!$A$5:$A$500,0)),0))</f>
        <v/>
      </c>
      <c r="Q1576" s="26" t="str">
        <f aca="false">IF(OR($D1576="",$J1576&lt;&gt;"Supplier"),"",IFERROR(INDEX(SupplierRates!$E$5:$E$500,MATCH($K1576&amp;"|"&amp;$L1576,SupplierRates!$A$5:$A$500,0)),0))</f>
        <v/>
      </c>
      <c r="R1576" s="26" t="n">
        <f aca="false">IF(OR($D1576="",$J1576&lt;&gt;"Supplier"),0,F1576*P1576+G1576*Q1576)</f>
        <v>0</v>
      </c>
      <c r="S1576" s="26" t="n">
        <f aca="false">IF(OR($D1576="",$J1576&lt;&gt;"Own"),0,IFERROR((F1576+G1576*Settings!$B$13)*INDEX(Workers!$V$5:$V$2004,MATCH($D1576,Workers!$A$5:$A$2004,0)),0))</f>
        <v>0</v>
      </c>
      <c r="T1576" s="26" t="str">
        <f aca="false">IF($D1576="","",O1576-R1576-S1576)</f>
        <v/>
      </c>
    </row>
    <row r="1577" customFormat="false" ht="15" hidden="false" customHeight="false" outlineLevel="0" collapsed="false">
      <c r="I1577" s="24" t="str">
        <f aca="false">IF($D1577="","",IFERROR(INDEX(Workers!$B$5:$B$2004,MATCH($D1577,Workers!$A$5:$A$2004,0)),"NOT FOUND"))</f>
        <v/>
      </c>
      <c r="J1577" s="24" t="str">
        <f aca="false">IF($D1577="","",IFERROR(INDEX(Workers!$C$5:$C$2004,MATCH($D1577,Workers!$A$5:$A$2004,0)),""))</f>
        <v/>
      </c>
      <c r="K1577" s="24" t="str">
        <f aca="false">IF($D1577="","",IFERROR(IF(INDEX(Workers!$D$5:$D$2004,MATCH($D1577,Workers!$A$5:$A$2004,0))=0,"",INDEX(Workers!$D$5:$D$2004,MATCH($D1577,Workers!$A$5:$A$2004,0))),""))</f>
        <v/>
      </c>
      <c r="L1577" s="24" t="str">
        <f aca="false">IF($D1577="","",IFERROR(INDEX(Workers!$E$5:$E$2004,MATCH($D1577,Workers!$A$5:$A$2004,0)),""))</f>
        <v/>
      </c>
      <c r="M1577" s="26" t="str">
        <f aca="false">IF($D1577="","",IFERROR(INDEX(ClientRates!$D$5:$D$500,MATCH($B1577&amp;"|"&amp;$L1577,ClientRates!$A$5:$A$500,0)),0))</f>
        <v/>
      </c>
      <c r="N1577" s="26" t="str">
        <f aca="false">IF($D1577="","",IFERROR(INDEX(ClientRates!$E$5:$E$500,MATCH($B1577&amp;"|"&amp;$L1577,ClientRates!$A$5:$A$500,0)),0))</f>
        <v/>
      </c>
      <c r="O1577" s="26" t="str">
        <f aca="false">IF($D1577="","",F1577*M1577+G1577*N1577)</f>
        <v/>
      </c>
      <c r="P1577" s="26" t="str">
        <f aca="false">IF(OR($D1577="",$J1577&lt;&gt;"Supplier"),"",IFERROR(INDEX(SupplierRates!$D$5:$D$500,MATCH($K1577&amp;"|"&amp;$L1577,SupplierRates!$A$5:$A$500,0)),0))</f>
        <v/>
      </c>
      <c r="Q1577" s="26" t="str">
        <f aca="false">IF(OR($D1577="",$J1577&lt;&gt;"Supplier"),"",IFERROR(INDEX(SupplierRates!$E$5:$E$500,MATCH($K1577&amp;"|"&amp;$L1577,SupplierRates!$A$5:$A$500,0)),0))</f>
        <v/>
      </c>
      <c r="R1577" s="26" t="n">
        <f aca="false">IF(OR($D1577="",$J1577&lt;&gt;"Supplier"),0,F1577*P1577+G1577*Q1577)</f>
        <v>0</v>
      </c>
      <c r="S1577" s="26" t="n">
        <f aca="false">IF(OR($D1577="",$J1577&lt;&gt;"Own"),0,IFERROR((F1577+G1577*Settings!$B$13)*INDEX(Workers!$V$5:$V$2004,MATCH($D1577,Workers!$A$5:$A$2004,0)),0))</f>
        <v>0</v>
      </c>
      <c r="T1577" s="26" t="str">
        <f aca="false">IF($D1577="","",O1577-R1577-S1577)</f>
        <v/>
      </c>
    </row>
    <row r="1578" customFormat="false" ht="15" hidden="false" customHeight="false" outlineLevel="0" collapsed="false">
      <c r="I1578" s="24" t="str">
        <f aca="false">IF($D1578="","",IFERROR(INDEX(Workers!$B$5:$B$2004,MATCH($D1578,Workers!$A$5:$A$2004,0)),"NOT FOUND"))</f>
        <v/>
      </c>
      <c r="J1578" s="24" t="str">
        <f aca="false">IF($D1578="","",IFERROR(INDEX(Workers!$C$5:$C$2004,MATCH($D1578,Workers!$A$5:$A$2004,0)),""))</f>
        <v/>
      </c>
      <c r="K1578" s="24" t="str">
        <f aca="false">IF($D1578="","",IFERROR(IF(INDEX(Workers!$D$5:$D$2004,MATCH($D1578,Workers!$A$5:$A$2004,0))=0,"",INDEX(Workers!$D$5:$D$2004,MATCH($D1578,Workers!$A$5:$A$2004,0))),""))</f>
        <v/>
      </c>
      <c r="L1578" s="24" t="str">
        <f aca="false">IF($D1578="","",IFERROR(INDEX(Workers!$E$5:$E$2004,MATCH($D1578,Workers!$A$5:$A$2004,0)),""))</f>
        <v/>
      </c>
      <c r="M1578" s="26" t="str">
        <f aca="false">IF($D1578="","",IFERROR(INDEX(ClientRates!$D$5:$D$500,MATCH($B1578&amp;"|"&amp;$L1578,ClientRates!$A$5:$A$500,0)),0))</f>
        <v/>
      </c>
      <c r="N1578" s="26" t="str">
        <f aca="false">IF($D1578="","",IFERROR(INDEX(ClientRates!$E$5:$E$500,MATCH($B1578&amp;"|"&amp;$L1578,ClientRates!$A$5:$A$500,0)),0))</f>
        <v/>
      </c>
      <c r="O1578" s="26" t="str">
        <f aca="false">IF($D1578="","",F1578*M1578+G1578*N1578)</f>
        <v/>
      </c>
      <c r="P1578" s="26" t="str">
        <f aca="false">IF(OR($D1578="",$J1578&lt;&gt;"Supplier"),"",IFERROR(INDEX(SupplierRates!$D$5:$D$500,MATCH($K1578&amp;"|"&amp;$L1578,SupplierRates!$A$5:$A$500,0)),0))</f>
        <v/>
      </c>
      <c r="Q1578" s="26" t="str">
        <f aca="false">IF(OR($D1578="",$J1578&lt;&gt;"Supplier"),"",IFERROR(INDEX(SupplierRates!$E$5:$E$500,MATCH($K1578&amp;"|"&amp;$L1578,SupplierRates!$A$5:$A$500,0)),0))</f>
        <v/>
      </c>
      <c r="R1578" s="26" t="n">
        <f aca="false">IF(OR($D1578="",$J1578&lt;&gt;"Supplier"),0,F1578*P1578+G1578*Q1578)</f>
        <v>0</v>
      </c>
      <c r="S1578" s="26" t="n">
        <f aca="false">IF(OR($D1578="",$J1578&lt;&gt;"Own"),0,IFERROR((F1578+G1578*Settings!$B$13)*INDEX(Workers!$V$5:$V$2004,MATCH($D1578,Workers!$A$5:$A$2004,0)),0))</f>
        <v>0</v>
      </c>
      <c r="T1578" s="26" t="str">
        <f aca="false">IF($D1578="","",O1578-R1578-S1578)</f>
        <v/>
      </c>
    </row>
    <row r="1579" customFormat="false" ht="15" hidden="false" customHeight="false" outlineLevel="0" collapsed="false">
      <c r="I1579" s="24" t="str">
        <f aca="false">IF($D1579="","",IFERROR(INDEX(Workers!$B$5:$B$2004,MATCH($D1579,Workers!$A$5:$A$2004,0)),"NOT FOUND"))</f>
        <v/>
      </c>
      <c r="J1579" s="24" t="str">
        <f aca="false">IF($D1579="","",IFERROR(INDEX(Workers!$C$5:$C$2004,MATCH($D1579,Workers!$A$5:$A$2004,0)),""))</f>
        <v/>
      </c>
      <c r="K1579" s="24" t="str">
        <f aca="false">IF($D1579="","",IFERROR(IF(INDEX(Workers!$D$5:$D$2004,MATCH($D1579,Workers!$A$5:$A$2004,0))=0,"",INDEX(Workers!$D$5:$D$2004,MATCH($D1579,Workers!$A$5:$A$2004,0))),""))</f>
        <v/>
      </c>
      <c r="L1579" s="24" t="str">
        <f aca="false">IF($D1579="","",IFERROR(INDEX(Workers!$E$5:$E$2004,MATCH($D1579,Workers!$A$5:$A$2004,0)),""))</f>
        <v/>
      </c>
      <c r="M1579" s="26" t="str">
        <f aca="false">IF($D1579="","",IFERROR(INDEX(ClientRates!$D$5:$D$500,MATCH($B1579&amp;"|"&amp;$L1579,ClientRates!$A$5:$A$500,0)),0))</f>
        <v/>
      </c>
      <c r="N1579" s="26" t="str">
        <f aca="false">IF($D1579="","",IFERROR(INDEX(ClientRates!$E$5:$E$500,MATCH($B1579&amp;"|"&amp;$L1579,ClientRates!$A$5:$A$500,0)),0))</f>
        <v/>
      </c>
      <c r="O1579" s="26" t="str">
        <f aca="false">IF($D1579="","",F1579*M1579+G1579*N1579)</f>
        <v/>
      </c>
      <c r="P1579" s="26" t="str">
        <f aca="false">IF(OR($D1579="",$J1579&lt;&gt;"Supplier"),"",IFERROR(INDEX(SupplierRates!$D$5:$D$500,MATCH($K1579&amp;"|"&amp;$L1579,SupplierRates!$A$5:$A$500,0)),0))</f>
        <v/>
      </c>
      <c r="Q1579" s="26" t="str">
        <f aca="false">IF(OR($D1579="",$J1579&lt;&gt;"Supplier"),"",IFERROR(INDEX(SupplierRates!$E$5:$E$500,MATCH($K1579&amp;"|"&amp;$L1579,SupplierRates!$A$5:$A$500,0)),0))</f>
        <v/>
      </c>
      <c r="R1579" s="26" t="n">
        <f aca="false">IF(OR($D1579="",$J1579&lt;&gt;"Supplier"),0,F1579*P1579+G1579*Q1579)</f>
        <v>0</v>
      </c>
      <c r="S1579" s="26" t="n">
        <f aca="false">IF(OR($D1579="",$J1579&lt;&gt;"Own"),0,IFERROR((F1579+G1579*Settings!$B$13)*INDEX(Workers!$V$5:$V$2004,MATCH($D1579,Workers!$A$5:$A$2004,0)),0))</f>
        <v>0</v>
      </c>
      <c r="T1579" s="26" t="str">
        <f aca="false">IF($D1579="","",O1579-R1579-S1579)</f>
        <v/>
      </c>
    </row>
    <row r="1580" customFormat="false" ht="15" hidden="false" customHeight="false" outlineLevel="0" collapsed="false">
      <c r="I1580" s="24" t="str">
        <f aca="false">IF($D1580="","",IFERROR(INDEX(Workers!$B$5:$B$2004,MATCH($D1580,Workers!$A$5:$A$2004,0)),"NOT FOUND"))</f>
        <v/>
      </c>
      <c r="J1580" s="24" t="str">
        <f aca="false">IF($D1580="","",IFERROR(INDEX(Workers!$C$5:$C$2004,MATCH($D1580,Workers!$A$5:$A$2004,0)),""))</f>
        <v/>
      </c>
      <c r="K1580" s="24" t="str">
        <f aca="false">IF($D1580="","",IFERROR(IF(INDEX(Workers!$D$5:$D$2004,MATCH($D1580,Workers!$A$5:$A$2004,0))=0,"",INDEX(Workers!$D$5:$D$2004,MATCH($D1580,Workers!$A$5:$A$2004,0))),""))</f>
        <v/>
      </c>
      <c r="L1580" s="24" t="str">
        <f aca="false">IF($D1580="","",IFERROR(INDEX(Workers!$E$5:$E$2004,MATCH($D1580,Workers!$A$5:$A$2004,0)),""))</f>
        <v/>
      </c>
      <c r="M1580" s="26" t="str">
        <f aca="false">IF($D1580="","",IFERROR(INDEX(ClientRates!$D$5:$D$500,MATCH($B1580&amp;"|"&amp;$L1580,ClientRates!$A$5:$A$500,0)),0))</f>
        <v/>
      </c>
      <c r="N1580" s="26" t="str">
        <f aca="false">IF($D1580="","",IFERROR(INDEX(ClientRates!$E$5:$E$500,MATCH($B1580&amp;"|"&amp;$L1580,ClientRates!$A$5:$A$500,0)),0))</f>
        <v/>
      </c>
      <c r="O1580" s="26" t="str">
        <f aca="false">IF($D1580="","",F1580*M1580+G1580*N1580)</f>
        <v/>
      </c>
      <c r="P1580" s="26" t="str">
        <f aca="false">IF(OR($D1580="",$J1580&lt;&gt;"Supplier"),"",IFERROR(INDEX(SupplierRates!$D$5:$D$500,MATCH($K1580&amp;"|"&amp;$L1580,SupplierRates!$A$5:$A$500,0)),0))</f>
        <v/>
      </c>
      <c r="Q1580" s="26" t="str">
        <f aca="false">IF(OR($D1580="",$J1580&lt;&gt;"Supplier"),"",IFERROR(INDEX(SupplierRates!$E$5:$E$500,MATCH($K1580&amp;"|"&amp;$L1580,SupplierRates!$A$5:$A$500,0)),0))</f>
        <v/>
      </c>
      <c r="R1580" s="26" t="n">
        <f aca="false">IF(OR($D1580="",$J1580&lt;&gt;"Supplier"),0,F1580*P1580+G1580*Q1580)</f>
        <v>0</v>
      </c>
      <c r="S1580" s="26" t="n">
        <f aca="false">IF(OR($D1580="",$J1580&lt;&gt;"Own"),0,IFERROR((F1580+G1580*Settings!$B$13)*INDEX(Workers!$V$5:$V$2004,MATCH($D1580,Workers!$A$5:$A$2004,0)),0))</f>
        <v>0</v>
      </c>
      <c r="T1580" s="26" t="str">
        <f aca="false">IF($D1580="","",O1580-R1580-S1580)</f>
        <v/>
      </c>
    </row>
    <row r="1581" customFormat="false" ht="15" hidden="false" customHeight="false" outlineLevel="0" collapsed="false">
      <c r="I1581" s="24" t="str">
        <f aca="false">IF($D1581="","",IFERROR(INDEX(Workers!$B$5:$B$2004,MATCH($D1581,Workers!$A$5:$A$2004,0)),"NOT FOUND"))</f>
        <v/>
      </c>
      <c r="J1581" s="24" t="str">
        <f aca="false">IF($D1581="","",IFERROR(INDEX(Workers!$C$5:$C$2004,MATCH($D1581,Workers!$A$5:$A$2004,0)),""))</f>
        <v/>
      </c>
      <c r="K1581" s="24" t="str">
        <f aca="false">IF($D1581="","",IFERROR(IF(INDEX(Workers!$D$5:$D$2004,MATCH($D1581,Workers!$A$5:$A$2004,0))=0,"",INDEX(Workers!$D$5:$D$2004,MATCH($D1581,Workers!$A$5:$A$2004,0))),""))</f>
        <v/>
      </c>
      <c r="L1581" s="24" t="str">
        <f aca="false">IF($D1581="","",IFERROR(INDEX(Workers!$E$5:$E$2004,MATCH($D1581,Workers!$A$5:$A$2004,0)),""))</f>
        <v/>
      </c>
      <c r="M1581" s="26" t="str">
        <f aca="false">IF($D1581="","",IFERROR(INDEX(ClientRates!$D$5:$D$500,MATCH($B1581&amp;"|"&amp;$L1581,ClientRates!$A$5:$A$500,0)),0))</f>
        <v/>
      </c>
      <c r="N1581" s="26" t="str">
        <f aca="false">IF($D1581="","",IFERROR(INDEX(ClientRates!$E$5:$E$500,MATCH($B1581&amp;"|"&amp;$L1581,ClientRates!$A$5:$A$500,0)),0))</f>
        <v/>
      </c>
      <c r="O1581" s="26" t="str">
        <f aca="false">IF($D1581="","",F1581*M1581+G1581*N1581)</f>
        <v/>
      </c>
      <c r="P1581" s="26" t="str">
        <f aca="false">IF(OR($D1581="",$J1581&lt;&gt;"Supplier"),"",IFERROR(INDEX(SupplierRates!$D$5:$D$500,MATCH($K1581&amp;"|"&amp;$L1581,SupplierRates!$A$5:$A$500,0)),0))</f>
        <v/>
      </c>
      <c r="Q1581" s="26" t="str">
        <f aca="false">IF(OR($D1581="",$J1581&lt;&gt;"Supplier"),"",IFERROR(INDEX(SupplierRates!$E$5:$E$500,MATCH($K1581&amp;"|"&amp;$L1581,SupplierRates!$A$5:$A$500,0)),0))</f>
        <v/>
      </c>
      <c r="R1581" s="26" t="n">
        <f aca="false">IF(OR($D1581="",$J1581&lt;&gt;"Supplier"),0,F1581*P1581+G1581*Q1581)</f>
        <v>0</v>
      </c>
      <c r="S1581" s="26" t="n">
        <f aca="false">IF(OR($D1581="",$J1581&lt;&gt;"Own"),0,IFERROR((F1581+G1581*Settings!$B$13)*INDEX(Workers!$V$5:$V$2004,MATCH($D1581,Workers!$A$5:$A$2004,0)),0))</f>
        <v>0</v>
      </c>
      <c r="T1581" s="26" t="str">
        <f aca="false">IF($D1581="","",O1581-R1581-S1581)</f>
        <v/>
      </c>
    </row>
    <row r="1582" customFormat="false" ht="15" hidden="false" customHeight="false" outlineLevel="0" collapsed="false">
      <c r="I1582" s="24" t="str">
        <f aca="false">IF($D1582="","",IFERROR(INDEX(Workers!$B$5:$B$2004,MATCH($D1582,Workers!$A$5:$A$2004,0)),"NOT FOUND"))</f>
        <v/>
      </c>
      <c r="J1582" s="24" t="str">
        <f aca="false">IF($D1582="","",IFERROR(INDEX(Workers!$C$5:$C$2004,MATCH($D1582,Workers!$A$5:$A$2004,0)),""))</f>
        <v/>
      </c>
      <c r="K1582" s="24" t="str">
        <f aca="false">IF($D1582="","",IFERROR(IF(INDEX(Workers!$D$5:$D$2004,MATCH($D1582,Workers!$A$5:$A$2004,0))=0,"",INDEX(Workers!$D$5:$D$2004,MATCH($D1582,Workers!$A$5:$A$2004,0))),""))</f>
        <v/>
      </c>
      <c r="L1582" s="24" t="str">
        <f aca="false">IF($D1582="","",IFERROR(INDEX(Workers!$E$5:$E$2004,MATCH($D1582,Workers!$A$5:$A$2004,0)),""))</f>
        <v/>
      </c>
      <c r="M1582" s="26" t="str">
        <f aca="false">IF($D1582="","",IFERROR(INDEX(ClientRates!$D$5:$D$500,MATCH($B1582&amp;"|"&amp;$L1582,ClientRates!$A$5:$A$500,0)),0))</f>
        <v/>
      </c>
      <c r="N1582" s="26" t="str">
        <f aca="false">IF($D1582="","",IFERROR(INDEX(ClientRates!$E$5:$E$500,MATCH($B1582&amp;"|"&amp;$L1582,ClientRates!$A$5:$A$500,0)),0))</f>
        <v/>
      </c>
      <c r="O1582" s="26" t="str">
        <f aca="false">IF($D1582="","",F1582*M1582+G1582*N1582)</f>
        <v/>
      </c>
      <c r="P1582" s="26" t="str">
        <f aca="false">IF(OR($D1582="",$J1582&lt;&gt;"Supplier"),"",IFERROR(INDEX(SupplierRates!$D$5:$D$500,MATCH($K1582&amp;"|"&amp;$L1582,SupplierRates!$A$5:$A$500,0)),0))</f>
        <v/>
      </c>
      <c r="Q1582" s="26" t="str">
        <f aca="false">IF(OR($D1582="",$J1582&lt;&gt;"Supplier"),"",IFERROR(INDEX(SupplierRates!$E$5:$E$500,MATCH($K1582&amp;"|"&amp;$L1582,SupplierRates!$A$5:$A$500,0)),0))</f>
        <v/>
      </c>
      <c r="R1582" s="26" t="n">
        <f aca="false">IF(OR($D1582="",$J1582&lt;&gt;"Supplier"),0,F1582*P1582+G1582*Q1582)</f>
        <v>0</v>
      </c>
      <c r="S1582" s="26" t="n">
        <f aca="false">IF(OR($D1582="",$J1582&lt;&gt;"Own"),0,IFERROR((F1582+G1582*Settings!$B$13)*INDEX(Workers!$V$5:$V$2004,MATCH($D1582,Workers!$A$5:$A$2004,0)),0))</f>
        <v>0</v>
      </c>
      <c r="T1582" s="26" t="str">
        <f aca="false">IF($D1582="","",O1582-R1582-S1582)</f>
        <v/>
      </c>
    </row>
    <row r="1583" customFormat="false" ht="15" hidden="false" customHeight="false" outlineLevel="0" collapsed="false">
      <c r="I1583" s="24" t="str">
        <f aca="false">IF($D1583="","",IFERROR(INDEX(Workers!$B$5:$B$2004,MATCH($D1583,Workers!$A$5:$A$2004,0)),"NOT FOUND"))</f>
        <v/>
      </c>
      <c r="J1583" s="24" t="str">
        <f aca="false">IF($D1583="","",IFERROR(INDEX(Workers!$C$5:$C$2004,MATCH($D1583,Workers!$A$5:$A$2004,0)),""))</f>
        <v/>
      </c>
      <c r="K1583" s="24" t="str">
        <f aca="false">IF($D1583="","",IFERROR(IF(INDEX(Workers!$D$5:$D$2004,MATCH($D1583,Workers!$A$5:$A$2004,0))=0,"",INDEX(Workers!$D$5:$D$2004,MATCH($D1583,Workers!$A$5:$A$2004,0))),""))</f>
        <v/>
      </c>
      <c r="L1583" s="24" t="str">
        <f aca="false">IF($D1583="","",IFERROR(INDEX(Workers!$E$5:$E$2004,MATCH($D1583,Workers!$A$5:$A$2004,0)),""))</f>
        <v/>
      </c>
      <c r="M1583" s="26" t="str">
        <f aca="false">IF($D1583="","",IFERROR(INDEX(ClientRates!$D$5:$D$500,MATCH($B1583&amp;"|"&amp;$L1583,ClientRates!$A$5:$A$500,0)),0))</f>
        <v/>
      </c>
      <c r="N1583" s="26" t="str">
        <f aca="false">IF($D1583="","",IFERROR(INDEX(ClientRates!$E$5:$E$500,MATCH($B1583&amp;"|"&amp;$L1583,ClientRates!$A$5:$A$500,0)),0))</f>
        <v/>
      </c>
      <c r="O1583" s="26" t="str">
        <f aca="false">IF($D1583="","",F1583*M1583+G1583*N1583)</f>
        <v/>
      </c>
      <c r="P1583" s="26" t="str">
        <f aca="false">IF(OR($D1583="",$J1583&lt;&gt;"Supplier"),"",IFERROR(INDEX(SupplierRates!$D$5:$D$500,MATCH($K1583&amp;"|"&amp;$L1583,SupplierRates!$A$5:$A$500,0)),0))</f>
        <v/>
      </c>
      <c r="Q1583" s="26" t="str">
        <f aca="false">IF(OR($D1583="",$J1583&lt;&gt;"Supplier"),"",IFERROR(INDEX(SupplierRates!$E$5:$E$500,MATCH($K1583&amp;"|"&amp;$L1583,SupplierRates!$A$5:$A$500,0)),0))</f>
        <v/>
      </c>
      <c r="R1583" s="26" t="n">
        <f aca="false">IF(OR($D1583="",$J1583&lt;&gt;"Supplier"),0,F1583*P1583+G1583*Q1583)</f>
        <v>0</v>
      </c>
      <c r="S1583" s="26" t="n">
        <f aca="false">IF(OR($D1583="",$J1583&lt;&gt;"Own"),0,IFERROR((F1583+G1583*Settings!$B$13)*INDEX(Workers!$V$5:$V$2004,MATCH($D1583,Workers!$A$5:$A$2004,0)),0))</f>
        <v>0</v>
      </c>
      <c r="T1583" s="26" t="str">
        <f aca="false">IF($D1583="","",O1583-R1583-S1583)</f>
        <v/>
      </c>
    </row>
    <row r="1584" customFormat="false" ht="15" hidden="false" customHeight="false" outlineLevel="0" collapsed="false">
      <c r="I1584" s="24" t="str">
        <f aca="false">IF($D1584="","",IFERROR(INDEX(Workers!$B$5:$B$2004,MATCH($D1584,Workers!$A$5:$A$2004,0)),"NOT FOUND"))</f>
        <v/>
      </c>
      <c r="J1584" s="24" t="str">
        <f aca="false">IF($D1584="","",IFERROR(INDEX(Workers!$C$5:$C$2004,MATCH($D1584,Workers!$A$5:$A$2004,0)),""))</f>
        <v/>
      </c>
      <c r="K1584" s="24" t="str">
        <f aca="false">IF($D1584="","",IFERROR(IF(INDEX(Workers!$D$5:$D$2004,MATCH($D1584,Workers!$A$5:$A$2004,0))=0,"",INDEX(Workers!$D$5:$D$2004,MATCH($D1584,Workers!$A$5:$A$2004,0))),""))</f>
        <v/>
      </c>
      <c r="L1584" s="24" t="str">
        <f aca="false">IF($D1584="","",IFERROR(INDEX(Workers!$E$5:$E$2004,MATCH($D1584,Workers!$A$5:$A$2004,0)),""))</f>
        <v/>
      </c>
      <c r="M1584" s="26" t="str">
        <f aca="false">IF($D1584="","",IFERROR(INDEX(ClientRates!$D$5:$D$500,MATCH($B1584&amp;"|"&amp;$L1584,ClientRates!$A$5:$A$500,0)),0))</f>
        <v/>
      </c>
      <c r="N1584" s="26" t="str">
        <f aca="false">IF($D1584="","",IFERROR(INDEX(ClientRates!$E$5:$E$500,MATCH($B1584&amp;"|"&amp;$L1584,ClientRates!$A$5:$A$500,0)),0))</f>
        <v/>
      </c>
      <c r="O1584" s="26" t="str">
        <f aca="false">IF($D1584="","",F1584*M1584+G1584*N1584)</f>
        <v/>
      </c>
      <c r="P1584" s="26" t="str">
        <f aca="false">IF(OR($D1584="",$J1584&lt;&gt;"Supplier"),"",IFERROR(INDEX(SupplierRates!$D$5:$D$500,MATCH($K1584&amp;"|"&amp;$L1584,SupplierRates!$A$5:$A$500,0)),0))</f>
        <v/>
      </c>
      <c r="Q1584" s="26" t="str">
        <f aca="false">IF(OR($D1584="",$J1584&lt;&gt;"Supplier"),"",IFERROR(INDEX(SupplierRates!$E$5:$E$500,MATCH($K1584&amp;"|"&amp;$L1584,SupplierRates!$A$5:$A$500,0)),0))</f>
        <v/>
      </c>
      <c r="R1584" s="26" t="n">
        <f aca="false">IF(OR($D1584="",$J1584&lt;&gt;"Supplier"),0,F1584*P1584+G1584*Q1584)</f>
        <v>0</v>
      </c>
      <c r="S1584" s="26" t="n">
        <f aca="false">IF(OR($D1584="",$J1584&lt;&gt;"Own"),0,IFERROR((F1584+G1584*Settings!$B$13)*INDEX(Workers!$V$5:$V$2004,MATCH($D1584,Workers!$A$5:$A$2004,0)),0))</f>
        <v>0</v>
      </c>
      <c r="T1584" s="26" t="str">
        <f aca="false">IF($D1584="","",O1584-R1584-S1584)</f>
        <v/>
      </c>
    </row>
    <row r="1585" customFormat="false" ht="15" hidden="false" customHeight="false" outlineLevel="0" collapsed="false">
      <c r="I1585" s="24" t="str">
        <f aca="false">IF($D1585="","",IFERROR(INDEX(Workers!$B$5:$B$2004,MATCH($D1585,Workers!$A$5:$A$2004,0)),"NOT FOUND"))</f>
        <v/>
      </c>
      <c r="J1585" s="24" t="str">
        <f aca="false">IF($D1585="","",IFERROR(INDEX(Workers!$C$5:$C$2004,MATCH($D1585,Workers!$A$5:$A$2004,0)),""))</f>
        <v/>
      </c>
      <c r="K1585" s="24" t="str">
        <f aca="false">IF($D1585="","",IFERROR(IF(INDEX(Workers!$D$5:$D$2004,MATCH($D1585,Workers!$A$5:$A$2004,0))=0,"",INDEX(Workers!$D$5:$D$2004,MATCH($D1585,Workers!$A$5:$A$2004,0))),""))</f>
        <v/>
      </c>
      <c r="L1585" s="24" t="str">
        <f aca="false">IF($D1585="","",IFERROR(INDEX(Workers!$E$5:$E$2004,MATCH($D1585,Workers!$A$5:$A$2004,0)),""))</f>
        <v/>
      </c>
      <c r="M1585" s="26" t="str">
        <f aca="false">IF($D1585="","",IFERROR(INDEX(ClientRates!$D$5:$D$500,MATCH($B1585&amp;"|"&amp;$L1585,ClientRates!$A$5:$A$500,0)),0))</f>
        <v/>
      </c>
      <c r="N1585" s="26" t="str">
        <f aca="false">IF($D1585="","",IFERROR(INDEX(ClientRates!$E$5:$E$500,MATCH($B1585&amp;"|"&amp;$L1585,ClientRates!$A$5:$A$500,0)),0))</f>
        <v/>
      </c>
      <c r="O1585" s="26" t="str">
        <f aca="false">IF($D1585="","",F1585*M1585+G1585*N1585)</f>
        <v/>
      </c>
      <c r="P1585" s="26" t="str">
        <f aca="false">IF(OR($D1585="",$J1585&lt;&gt;"Supplier"),"",IFERROR(INDEX(SupplierRates!$D$5:$D$500,MATCH($K1585&amp;"|"&amp;$L1585,SupplierRates!$A$5:$A$500,0)),0))</f>
        <v/>
      </c>
      <c r="Q1585" s="26" t="str">
        <f aca="false">IF(OR($D1585="",$J1585&lt;&gt;"Supplier"),"",IFERROR(INDEX(SupplierRates!$E$5:$E$500,MATCH($K1585&amp;"|"&amp;$L1585,SupplierRates!$A$5:$A$500,0)),0))</f>
        <v/>
      </c>
      <c r="R1585" s="26" t="n">
        <f aca="false">IF(OR($D1585="",$J1585&lt;&gt;"Supplier"),0,F1585*P1585+G1585*Q1585)</f>
        <v>0</v>
      </c>
      <c r="S1585" s="26" t="n">
        <f aca="false">IF(OR($D1585="",$J1585&lt;&gt;"Own"),0,IFERROR((F1585+G1585*Settings!$B$13)*INDEX(Workers!$V$5:$V$2004,MATCH($D1585,Workers!$A$5:$A$2004,0)),0))</f>
        <v>0</v>
      </c>
      <c r="T1585" s="26" t="str">
        <f aca="false">IF($D1585="","",O1585-R1585-S1585)</f>
        <v/>
      </c>
    </row>
    <row r="1586" customFormat="false" ht="15" hidden="false" customHeight="false" outlineLevel="0" collapsed="false">
      <c r="I1586" s="24" t="str">
        <f aca="false">IF($D1586="","",IFERROR(INDEX(Workers!$B$5:$B$2004,MATCH($D1586,Workers!$A$5:$A$2004,0)),"NOT FOUND"))</f>
        <v/>
      </c>
      <c r="J1586" s="24" t="str">
        <f aca="false">IF($D1586="","",IFERROR(INDEX(Workers!$C$5:$C$2004,MATCH($D1586,Workers!$A$5:$A$2004,0)),""))</f>
        <v/>
      </c>
      <c r="K1586" s="24" t="str">
        <f aca="false">IF($D1586="","",IFERROR(IF(INDEX(Workers!$D$5:$D$2004,MATCH($D1586,Workers!$A$5:$A$2004,0))=0,"",INDEX(Workers!$D$5:$D$2004,MATCH($D1586,Workers!$A$5:$A$2004,0))),""))</f>
        <v/>
      </c>
      <c r="L1586" s="24" t="str">
        <f aca="false">IF($D1586="","",IFERROR(INDEX(Workers!$E$5:$E$2004,MATCH($D1586,Workers!$A$5:$A$2004,0)),""))</f>
        <v/>
      </c>
      <c r="M1586" s="26" t="str">
        <f aca="false">IF($D1586="","",IFERROR(INDEX(ClientRates!$D$5:$D$500,MATCH($B1586&amp;"|"&amp;$L1586,ClientRates!$A$5:$A$500,0)),0))</f>
        <v/>
      </c>
      <c r="N1586" s="26" t="str">
        <f aca="false">IF($D1586="","",IFERROR(INDEX(ClientRates!$E$5:$E$500,MATCH($B1586&amp;"|"&amp;$L1586,ClientRates!$A$5:$A$500,0)),0))</f>
        <v/>
      </c>
      <c r="O1586" s="26" t="str">
        <f aca="false">IF($D1586="","",F1586*M1586+G1586*N1586)</f>
        <v/>
      </c>
      <c r="P1586" s="26" t="str">
        <f aca="false">IF(OR($D1586="",$J1586&lt;&gt;"Supplier"),"",IFERROR(INDEX(SupplierRates!$D$5:$D$500,MATCH($K1586&amp;"|"&amp;$L1586,SupplierRates!$A$5:$A$500,0)),0))</f>
        <v/>
      </c>
      <c r="Q1586" s="26" t="str">
        <f aca="false">IF(OR($D1586="",$J1586&lt;&gt;"Supplier"),"",IFERROR(INDEX(SupplierRates!$E$5:$E$500,MATCH($K1586&amp;"|"&amp;$L1586,SupplierRates!$A$5:$A$500,0)),0))</f>
        <v/>
      </c>
      <c r="R1586" s="26" t="n">
        <f aca="false">IF(OR($D1586="",$J1586&lt;&gt;"Supplier"),0,F1586*P1586+G1586*Q1586)</f>
        <v>0</v>
      </c>
      <c r="S1586" s="26" t="n">
        <f aca="false">IF(OR($D1586="",$J1586&lt;&gt;"Own"),0,IFERROR((F1586+G1586*Settings!$B$13)*INDEX(Workers!$V$5:$V$2004,MATCH($D1586,Workers!$A$5:$A$2004,0)),0))</f>
        <v>0</v>
      </c>
      <c r="T1586" s="26" t="str">
        <f aca="false">IF($D1586="","",O1586-R1586-S1586)</f>
        <v/>
      </c>
    </row>
    <row r="1587" customFormat="false" ht="15" hidden="false" customHeight="false" outlineLevel="0" collapsed="false">
      <c r="I1587" s="24" t="str">
        <f aca="false">IF($D1587="","",IFERROR(INDEX(Workers!$B$5:$B$2004,MATCH($D1587,Workers!$A$5:$A$2004,0)),"NOT FOUND"))</f>
        <v/>
      </c>
      <c r="J1587" s="24" t="str">
        <f aca="false">IF($D1587="","",IFERROR(INDEX(Workers!$C$5:$C$2004,MATCH($D1587,Workers!$A$5:$A$2004,0)),""))</f>
        <v/>
      </c>
      <c r="K1587" s="24" t="str">
        <f aca="false">IF($D1587="","",IFERROR(IF(INDEX(Workers!$D$5:$D$2004,MATCH($D1587,Workers!$A$5:$A$2004,0))=0,"",INDEX(Workers!$D$5:$D$2004,MATCH($D1587,Workers!$A$5:$A$2004,0))),""))</f>
        <v/>
      </c>
      <c r="L1587" s="24" t="str">
        <f aca="false">IF($D1587="","",IFERROR(INDEX(Workers!$E$5:$E$2004,MATCH($D1587,Workers!$A$5:$A$2004,0)),""))</f>
        <v/>
      </c>
      <c r="M1587" s="26" t="str">
        <f aca="false">IF($D1587="","",IFERROR(INDEX(ClientRates!$D$5:$D$500,MATCH($B1587&amp;"|"&amp;$L1587,ClientRates!$A$5:$A$500,0)),0))</f>
        <v/>
      </c>
      <c r="N1587" s="26" t="str">
        <f aca="false">IF($D1587="","",IFERROR(INDEX(ClientRates!$E$5:$E$500,MATCH($B1587&amp;"|"&amp;$L1587,ClientRates!$A$5:$A$500,0)),0))</f>
        <v/>
      </c>
      <c r="O1587" s="26" t="str">
        <f aca="false">IF($D1587="","",F1587*M1587+G1587*N1587)</f>
        <v/>
      </c>
      <c r="P1587" s="26" t="str">
        <f aca="false">IF(OR($D1587="",$J1587&lt;&gt;"Supplier"),"",IFERROR(INDEX(SupplierRates!$D$5:$D$500,MATCH($K1587&amp;"|"&amp;$L1587,SupplierRates!$A$5:$A$500,0)),0))</f>
        <v/>
      </c>
      <c r="Q1587" s="26" t="str">
        <f aca="false">IF(OR($D1587="",$J1587&lt;&gt;"Supplier"),"",IFERROR(INDEX(SupplierRates!$E$5:$E$500,MATCH($K1587&amp;"|"&amp;$L1587,SupplierRates!$A$5:$A$500,0)),0))</f>
        <v/>
      </c>
      <c r="R1587" s="26" t="n">
        <f aca="false">IF(OR($D1587="",$J1587&lt;&gt;"Supplier"),0,F1587*P1587+G1587*Q1587)</f>
        <v>0</v>
      </c>
      <c r="S1587" s="26" t="n">
        <f aca="false">IF(OR($D1587="",$J1587&lt;&gt;"Own"),0,IFERROR((F1587+G1587*Settings!$B$13)*INDEX(Workers!$V$5:$V$2004,MATCH($D1587,Workers!$A$5:$A$2004,0)),0))</f>
        <v>0</v>
      </c>
      <c r="T1587" s="26" t="str">
        <f aca="false">IF($D1587="","",O1587-R1587-S1587)</f>
        <v/>
      </c>
    </row>
    <row r="1588" customFormat="false" ht="15" hidden="false" customHeight="false" outlineLevel="0" collapsed="false">
      <c r="I1588" s="24" t="str">
        <f aca="false">IF($D1588="","",IFERROR(INDEX(Workers!$B$5:$B$2004,MATCH($D1588,Workers!$A$5:$A$2004,0)),"NOT FOUND"))</f>
        <v/>
      </c>
      <c r="J1588" s="24" t="str">
        <f aca="false">IF($D1588="","",IFERROR(INDEX(Workers!$C$5:$C$2004,MATCH($D1588,Workers!$A$5:$A$2004,0)),""))</f>
        <v/>
      </c>
      <c r="K1588" s="24" t="str">
        <f aca="false">IF($D1588="","",IFERROR(IF(INDEX(Workers!$D$5:$D$2004,MATCH($D1588,Workers!$A$5:$A$2004,0))=0,"",INDEX(Workers!$D$5:$D$2004,MATCH($D1588,Workers!$A$5:$A$2004,0))),""))</f>
        <v/>
      </c>
      <c r="L1588" s="24" t="str">
        <f aca="false">IF($D1588="","",IFERROR(INDEX(Workers!$E$5:$E$2004,MATCH($D1588,Workers!$A$5:$A$2004,0)),""))</f>
        <v/>
      </c>
      <c r="M1588" s="26" t="str">
        <f aca="false">IF($D1588="","",IFERROR(INDEX(ClientRates!$D$5:$D$500,MATCH($B1588&amp;"|"&amp;$L1588,ClientRates!$A$5:$A$500,0)),0))</f>
        <v/>
      </c>
      <c r="N1588" s="26" t="str">
        <f aca="false">IF($D1588="","",IFERROR(INDEX(ClientRates!$E$5:$E$500,MATCH($B1588&amp;"|"&amp;$L1588,ClientRates!$A$5:$A$500,0)),0))</f>
        <v/>
      </c>
      <c r="O1588" s="26" t="str">
        <f aca="false">IF($D1588="","",F1588*M1588+G1588*N1588)</f>
        <v/>
      </c>
      <c r="P1588" s="26" t="str">
        <f aca="false">IF(OR($D1588="",$J1588&lt;&gt;"Supplier"),"",IFERROR(INDEX(SupplierRates!$D$5:$D$500,MATCH($K1588&amp;"|"&amp;$L1588,SupplierRates!$A$5:$A$500,0)),0))</f>
        <v/>
      </c>
      <c r="Q1588" s="26" t="str">
        <f aca="false">IF(OR($D1588="",$J1588&lt;&gt;"Supplier"),"",IFERROR(INDEX(SupplierRates!$E$5:$E$500,MATCH($K1588&amp;"|"&amp;$L1588,SupplierRates!$A$5:$A$500,0)),0))</f>
        <v/>
      </c>
      <c r="R1588" s="26" t="n">
        <f aca="false">IF(OR($D1588="",$J1588&lt;&gt;"Supplier"),0,F1588*P1588+G1588*Q1588)</f>
        <v>0</v>
      </c>
      <c r="S1588" s="26" t="n">
        <f aca="false">IF(OR($D1588="",$J1588&lt;&gt;"Own"),0,IFERROR((F1588+G1588*Settings!$B$13)*INDEX(Workers!$V$5:$V$2004,MATCH($D1588,Workers!$A$5:$A$2004,0)),0))</f>
        <v>0</v>
      </c>
      <c r="T1588" s="26" t="str">
        <f aca="false">IF($D1588="","",O1588-R1588-S1588)</f>
        <v/>
      </c>
    </row>
    <row r="1589" customFormat="false" ht="15" hidden="false" customHeight="false" outlineLevel="0" collapsed="false">
      <c r="I1589" s="24" t="str">
        <f aca="false">IF($D1589="","",IFERROR(INDEX(Workers!$B$5:$B$2004,MATCH($D1589,Workers!$A$5:$A$2004,0)),"NOT FOUND"))</f>
        <v/>
      </c>
      <c r="J1589" s="24" t="str">
        <f aca="false">IF($D1589="","",IFERROR(INDEX(Workers!$C$5:$C$2004,MATCH($D1589,Workers!$A$5:$A$2004,0)),""))</f>
        <v/>
      </c>
      <c r="K1589" s="24" t="str">
        <f aca="false">IF($D1589="","",IFERROR(IF(INDEX(Workers!$D$5:$D$2004,MATCH($D1589,Workers!$A$5:$A$2004,0))=0,"",INDEX(Workers!$D$5:$D$2004,MATCH($D1589,Workers!$A$5:$A$2004,0))),""))</f>
        <v/>
      </c>
      <c r="L1589" s="24" t="str">
        <f aca="false">IF($D1589="","",IFERROR(INDEX(Workers!$E$5:$E$2004,MATCH($D1589,Workers!$A$5:$A$2004,0)),""))</f>
        <v/>
      </c>
      <c r="M1589" s="26" t="str">
        <f aca="false">IF($D1589="","",IFERROR(INDEX(ClientRates!$D$5:$D$500,MATCH($B1589&amp;"|"&amp;$L1589,ClientRates!$A$5:$A$500,0)),0))</f>
        <v/>
      </c>
      <c r="N1589" s="26" t="str">
        <f aca="false">IF($D1589="","",IFERROR(INDEX(ClientRates!$E$5:$E$500,MATCH($B1589&amp;"|"&amp;$L1589,ClientRates!$A$5:$A$500,0)),0))</f>
        <v/>
      </c>
      <c r="O1589" s="26" t="str">
        <f aca="false">IF($D1589="","",F1589*M1589+G1589*N1589)</f>
        <v/>
      </c>
      <c r="P1589" s="26" t="str">
        <f aca="false">IF(OR($D1589="",$J1589&lt;&gt;"Supplier"),"",IFERROR(INDEX(SupplierRates!$D$5:$D$500,MATCH($K1589&amp;"|"&amp;$L1589,SupplierRates!$A$5:$A$500,0)),0))</f>
        <v/>
      </c>
      <c r="Q1589" s="26" t="str">
        <f aca="false">IF(OR($D1589="",$J1589&lt;&gt;"Supplier"),"",IFERROR(INDEX(SupplierRates!$E$5:$E$500,MATCH($K1589&amp;"|"&amp;$L1589,SupplierRates!$A$5:$A$500,0)),0))</f>
        <v/>
      </c>
      <c r="R1589" s="26" t="n">
        <f aca="false">IF(OR($D1589="",$J1589&lt;&gt;"Supplier"),0,F1589*P1589+G1589*Q1589)</f>
        <v>0</v>
      </c>
      <c r="S1589" s="26" t="n">
        <f aca="false">IF(OR($D1589="",$J1589&lt;&gt;"Own"),0,IFERROR((F1589+G1589*Settings!$B$13)*INDEX(Workers!$V$5:$V$2004,MATCH($D1589,Workers!$A$5:$A$2004,0)),0))</f>
        <v>0</v>
      </c>
      <c r="T1589" s="26" t="str">
        <f aca="false">IF($D1589="","",O1589-R1589-S1589)</f>
        <v/>
      </c>
    </row>
    <row r="1590" customFormat="false" ht="15" hidden="false" customHeight="false" outlineLevel="0" collapsed="false">
      <c r="I1590" s="24" t="str">
        <f aca="false">IF($D1590="","",IFERROR(INDEX(Workers!$B$5:$B$2004,MATCH($D1590,Workers!$A$5:$A$2004,0)),"NOT FOUND"))</f>
        <v/>
      </c>
      <c r="J1590" s="24" t="str">
        <f aca="false">IF($D1590="","",IFERROR(INDEX(Workers!$C$5:$C$2004,MATCH($D1590,Workers!$A$5:$A$2004,0)),""))</f>
        <v/>
      </c>
      <c r="K1590" s="24" t="str">
        <f aca="false">IF($D1590="","",IFERROR(IF(INDEX(Workers!$D$5:$D$2004,MATCH($D1590,Workers!$A$5:$A$2004,0))=0,"",INDEX(Workers!$D$5:$D$2004,MATCH($D1590,Workers!$A$5:$A$2004,0))),""))</f>
        <v/>
      </c>
      <c r="L1590" s="24" t="str">
        <f aca="false">IF($D1590="","",IFERROR(INDEX(Workers!$E$5:$E$2004,MATCH($D1590,Workers!$A$5:$A$2004,0)),""))</f>
        <v/>
      </c>
      <c r="M1590" s="26" t="str">
        <f aca="false">IF($D1590="","",IFERROR(INDEX(ClientRates!$D$5:$D$500,MATCH($B1590&amp;"|"&amp;$L1590,ClientRates!$A$5:$A$500,0)),0))</f>
        <v/>
      </c>
      <c r="N1590" s="26" t="str">
        <f aca="false">IF($D1590="","",IFERROR(INDEX(ClientRates!$E$5:$E$500,MATCH($B1590&amp;"|"&amp;$L1590,ClientRates!$A$5:$A$500,0)),0))</f>
        <v/>
      </c>
      <c r="O1590" s="26" t="str">
        <f aca="false">IF($D1590="","",F1590*M1590+G1590*N1590)</f>
        <v/>
      </c>
      <c r="P1590" s="26" t="str">
        <f aca="false">IF(OR($D1590="",$J1590&lt;&gt;"Supplier"),"",IFERROR(INDEX(SupplierRates!$D$5:$D$500,MATCH($K1590&amp;"|"&amp;$L1590,SupplierRates!$A$5:$A$500,0)),0))</f>
        <v/>
      </c>
      <c r="Q1590" s="26" t="str">
        <f aca="false">IF(OR($D1590="",$J1590&lt;&gt;"Supplier"),"",IFERROR(INDEX(SupplierRates!$E$5:$E$500,MATCH($K1590&amp;"|"&amp;$L1590,SupplierRates!$A$5:$A$500,0)),0))</f>
        <v/>
      </c>
      <c r="R1590" s="26" t="n">
        <f aca="false">IF(OR($D1590="",$J1590&lt;&gt;"Supplier"),0,F1590*P1590+G1590*Q1590)</f>
        <v>0</v>
      </c>
      <c r="S1590" s="26" t="n">
        <f aca="false">IF(OR($D1590="",$J1590&lt;&gt;"Own"),0,IFERROR((F1590+G1590*Settings!$B$13)*INDEX(Workers!$V$5:$V$2004,MATCH($D1590,Workers!$A$5:$A$2004,0)),0))</f>
        <v>0</v>
      </c>
      <c r="T1590" s="26" t="str">
        <f aca="false">IF($D1590="","",O1590-R1590-S1590)</f>
        <v/>
      </c>
    </row>
    <row r="1591" customFormat="false" ht="15" hidden="false" customHeight="false" outlineLevel="0" collapsed="false">
      <c r="I1591" s="24" t="str">
        <f aca="false">IF($D1591="","",IFERROR(INDEX(Workers!$B$5:$B$2004,MATCH($D1591,Workers!$A$5:$A$2004,0)),"NOT FOUND"))</f>
        <v/>
      </c>
      <c r="J1591" s="24" t="str">
        <f aca="false">IF($D1591="","",IFERROR(INDEX(Workers!$C$5:$C$2004,MATCH($D1591,Workers!$A$5:$A$2004,0)),""))</f>
        <v/>
      </c>
      <c r="K1591" s="24" t="str">
        <f aca="false">IF($D1591="","",IFERROR(IF(INDEX(Workers!$D$5:$D$2004,MATCH($D1591,Workers!$A$5:$A$2004,0))=0,"",INDEX(Workers!$D$5:$D$2004,MATCH($D1591,Workers!$A$5:$A$2004,0))),""))</f>
        <v/>
      </c>
      <c r="L1591" s="24" t="str">
        <f aca="false">IF($D1591="","",IFERROR(INDEX(Workers!$E$5:$E$2004,MATCH($D1591,Workers!$A$5:$A$2004,0)),""))</f>
        <v/>
      </c>
      <c r="M1591" s="26" t="str">
        <f aca="false">IF($D1591="","",IFERROR(INDEX(ClientRates!$D$5:$D$500,MATCH($B1591&amp;"|"&amp;$L1591,ClientRates!$A$5:$A$500,0)),0))</f>
        <v/>
      </c>
      <c r="N1591" s="26" t="str">
        <f aca="false">IF($D1591="","",IFERROR(INDEX(ClientRates!$E$5:$E$500,MATCH($B1591&amp;"|"&amp;$L1591,ClientRates!$A$5:$A$500,0)),0))</f>
        <v/>
      </c>
      <c r="O1591" s="26" t="str">
        <f aca="false">IF($D1591="","",F1591*M1591+G1591*N1591)</f>
        <v/>
      </c>
      <c r="P1591" s="26" t="str">
        <f aca="false">IF(OR($D1591="",$J1591&lt;&gt;"Supplier"),"",IFERROR(INDEX(SupplierRates!$D$5:$D$500,MATCH($K1591&amp;"|"&amp;$L1591,SupplierRates!$A$5:$A$500,0)),0))</f>
        <v/>
      </c>
      <c r="Q1591" s="26" t="str">
        <f aca="false">IF(OR($D1591="",$J1591&lt;&gt;"Supplier"),"",IFERROR(INDEX(SupplierRates!$E$5:$E$500,MATCH($K1591&amp;"|"&amp;$L1591,SupplierRates!$A$5:$A$500,0)),0))</f>
        <v/>
      </c>
      <c r="R1591" s="26" t="n">
        <f aca="false">IF(OR($D1591="",$J1591&lt;&gt;"Supplier"),0,F1591*P1591+G1591*Q1591)</f>
        <v>0</v>
      </c>
      <c r="S1591" s="26" t="n">
        <f aca="false">IF(OR($D1591="",$J1591&lt;&gt;"Own"),0,IFERROR((F1591+G1591*Settings!$B$13)*INDEX(Workers!$V$5:$V$2004,MATCH($D1591,Workers!$A$5:$A$2004,0)),0))</f>
        <v>0</v>
      </c>
      <c r="T1591" s="26" t="str">
        <f aca="false">IF($D1591="","",O1591-R1591-S1591)</f>
        <v/>
      </c>
    </row>
    <row r="1592" customFormat="false" ht="15" hidden="false" customHeight="false" outlineLevel="0" collapsed="false">
      <c r="I1592" s="24" t="str">
        <f aca="false">IF($D1592="","",IFERROR(INDEX(Workers!$B$5:$B$2004,MATCH($D1592,Workers!$A$5:$A$2004,0)),"NOT FOUND"))</f>
        <v/>
      </c>
      <c r="J1592" s="24" t="str">
        <f aca="false">IF($D1592="","",IFERROR(INDEX(Workers!$C$5:$C$2004,MATCH($D1592,Workers!$A$5:$A$2004,0)),""))</f>
        <v/>
      </c>
      <c r="K1592" s="24" t="str">
        <f aca="false">IF($D1592="","",IFERROR(IF(INDEX(Workers!$D$5:$D$2004,MATCH($D1592,Workers!$A$5:$A$2004,0))=0,"",INDEX(Workers!$D$5:$D$2004,MATCH($D1592,Workers!$A$5:$A$2004,0))),""))</f>
        <v/>
      </c>
      <c r="L1592" s="24" t="str">
        <f aca="false">IF($D1592="","",IFERROR(INDEX(Workers!$E$5:$E$2004,MATCH($D1592,Workers!$A$5:$A$2004,0)),""))</f>
        <v/>
      </c>
      <c r="M1592" s="26" t="str">
        <f aca="false">IF($D1592="","",IFERROR(INDEX(ClientRates!$D$5:$D$500,MATCH($B1592&amp;"|"&amp;$L1592,ClientRates!$A$5:$A$500,0)),0))</f>
        <v/>
      </c>
      <c r="N1592" s="26" t="str">
        <f aca="false">IF($D1592="","",IFERROR(INDEX(ClientRates!$E$5:$E$500,MATCH($B1592&amp;"|"&amp;$L1592,ClientRates!$A$5:$A$500,0)),0))</f>
        <v/>
      </c>
      <c r="O1592" s="26" t="str">
        <f aca="false">IF($D1592="","",F1592*M1592+G1592*N1592)</f>
        <v/>
      </c>
      <c r="P1592" s="26" t="str">
        <f aca="false">IF(OR($D1592="",$J1592&lt;&gt;"Supplier"),"",IFERROR(INDEX(SupplierRates!$D$5:$D$500,MATCH($K1592&amp;"|"&amp;$L1592,SupplierRates!$A$5:$A$500,0)),0))</f>
        <v/>
      </c>
      <c r="Q1592" s="26" t="str">
        <f aca="false">IF(OR($D1592="",$J1592&lt;&gt;"Supplier"),"",IFERROR(INDEX(SupplierRates!$E$5:$E$500,MATCH($K1592&amp;"|"&amp;$L1592,SupplierRates!$A$5:$A$500,0)),0))</f>
        <v/>
      </c>
      <c r="R1592" s="26" t="n">
        <f aca="false">IF(OR($D1592="",$J1592&lt;&gt;"Supplier"),0,F1592*P1592+G1592*Q1592)</f>
        <v>0</v>
      </c>
      <c r="S1592" s="26" t="n">
        <f aca="false">IF(OR($D1592="",$J1592&lt;&gt;"Own"),0,IFERROR((F1592+G1592*Settings!$B$13)*INDEX(Workers!$V$5:$V$2004,MATCH($D1592,Workers!$A$5:$A$2004,0)),0))</f>
        <v>0</v>
      </c>
      <c r="T1592" s="26" t="str">
        <f aca="false">IF($D1592="","",O1592-R1592-S1592)</f>
        <v/>
      </c>
    </row>
    <row r="1593" customFormat="false" ht="15" hidden="false" customHeight="false" outlineLevel="0" collapsed="false">
      <c r="I1593" s="24" t="str">
        <f aca="false">IF($D1593="","",IFERROR(INDEX(Workers!$B$5:$B$2004,MATCH($D1593,Workers!$A$5:$A$2004,0)),"NOT FOUND"))</f>
        <v/>
      </c>
      <c r="J1593" s="24" t="str">
        <f aca="false">IF($D1593="","",IFERROR(INDEX(Workers!$C$5:$C$2004,MATCH($D1593,Workers!$A$5:$A$2004,0)),""))</f>
        <v/>
      </c>
      <c r="K1593" s="24" t="str">
        <f aca="false">IF($D1593="","",IFERROR(IF(INDEX(Workers!$D$5:$D$2004,MATCH($D1593,Workers!$A$5:$A$2004,0))=0,"",INDEX(Workers!$D$5:$D$2004,MATCH($D1593,Workers!$A$5:$A$2004,0))),""))</f>
        <v/>
      </c>
      <c r="L1593" s="24" t="str">
        <f aca="false">IF($D1593="","",IFERROR(INDEX(Workers!$E$5:$E$2004,MATCH($D1593,Workers!$A$5:$A$2004,0)),""))</f>
        <v/>
      </c>
      <c r="M1593" s="26" t="str">
        <f aca="false">IF($D1593="","",IFERROR(INDEX(ClientRates!$D$5:$D$500,MATCH($B1593&amp;"|"&amp;$L1593,ClientRates!$A$5:$A$500,0)),0))</f>
        <v/>
      </c>
      <c r="N1593" s="26" t="str">
        <f aca="false">IF($D1593="","",IFERROR(INDEX(ClientRates!$E$5:$E$500,MATCH($B1593&amp;"|"&amp;$L1593,ClientRates!$A$5:$A$500,0)),0))</f>
        <v/>
      </c>
      <c r="O1593" s="26" t="str">
        <f aca="false">IF($D1593="","",F1593*M1593+G1593*N1593)</f>
        <v/>
      </c>
      <c r="P1593" s="26" t="str">
        <f aca="false">IF(OR($D1593="",$J1593&lt;&gt;"Supplier"),"",IFERROR(INDEX(SupplierRates!$D$5:$D$500,MATCH($K1593&amp;"|"&amp;$L1593,SupplierRates!$A$5:$A$500,0)),0))</f>
        <v/>
      </c>
      <c r="Q1593" s="26" t="str">
        <f aca="false">IF(OR($D1593="",$J1593&lt;&gt;"Supplier"),"",IFERROR(INDEX(SupplierRates!$E$5:$E$500,MATCH($K1593&amp;"|"&amp;$L1593,SupplierRates!$A$5:$A$500,0)),0))</f>
        <v/>
      </c>
      <c r="R1593" s="26" t="n">
        <f aca="false">IF(OR($D1593="",$J1593&lt;&gt;"Supplier"),0,F1593*P1593+G1593*Q1593)</f>
        <v>0</v>
      </c>
      <c r="S1593" s="26" t="n">
        <f aca="false">IF(OR($D1593="",$J1593&lt;&gt;"Own"),0,IFERROR((F1593+G1593*Settings!$B$13)*INDEX(Workers!$V$5:$V$2004,MATCH($D1593,Workers!$A$5:$A$2004,0)),0))</f>
        <v>0</v>
      </c>
      <c r="T1593" s="26" t="str">
        <f aca="false">IF($D1593="","",O1593-R1593-S1593)</f>
        <v/>
      </c>
    </row>
    <row r="1594" customFormat="false" ht="15" hidden="false" customHeight="false" outlineLevel="0" collapsed="false">
      <c r="I1594" s="24" t="str">
        <f aca="false">IF($D1594="","",IFERROR(INDEX(Workers!$B$5:$B$2004,MATCH($D1594,Workers!$A$5:$A$2004,0)),"NOT FOUND"))</f>
        <v/>
      </c>
      <c r="J1594" s="24" t="str">
        <f aca="false">IF($D1594="","",IFERROR(INDEX(Workers!$C$5:$C$2004,MATCH($D1594,Workers!$A$5:$A$2004,0)),""))</f>
        <v/>
      </c>
      <c r="K1594" s="24" t="str">
        <f aca="false">IF($D1594="","",IFERROR(IF(INDEX(Workers!$D$5:$D$2004,MATCH($D1594,Workers!$A$5:$A$2004,0))=0,"",INDEX(Workers!$D$5:$D$2004,MATCH($D1594,Workers!$A$5:$A$2004,0))),""))</f>
        <v/>
      </c>
      <c r="L1594" s="24" t="str">
        <f aca="false">IF($D1594="","",IFERROR(INDEX(Workers!$E$5:$E$2004,MATCH($D1594,Workers!$A$5:$A$2004,0)),""))</f>
        <v/>
      </c>
      <c r="M1594" s="26" t="str">
        <f aca="false">IF($D1594="","",IFERROR(INDEX(ClientRates!$D$5:$D$500,MATCH($B1594&amp;"|"&amp;$L1594,ClientRates!$A$5:$A$500,0)),0))</f>
        <v/>
      </c>
      <c r="N1594" s="26" t="str">
        <f aca="false">IF($D1594="","",IFERROR(INDEX(ClientRates!$E$5:$E$500,MATCH($B1594&amp;"|"&amp;$L1594,ClientRates!$A$5:$A$500,0)),0))</f>
        <v/>
      </c>
      <c r="O1594" s="26" t="str">
        <f aca="false">IF($D1594="","",F1594*M1594+G1594*N1594)</f>
        <v/>
      </c>
      <c r="P1594" s="26" t="str">
        <f aca="false">IF(OR($D1594="",$J1594&lt;&gt;"Supplier"),"",IFERROR(INDEX(SupplierRates!$D$5:$D$500,MATCH($K1594&amp;"|"&amp;$L1594,SupplierRates!$A$5:$A$500,0)),0))</f>
        <v/>
      </c>
      <c r="Q1594" s="26" t="str">
        <f aca="false">IF(OR($D1594="",$J1594&lt;&gt;"Supplier"),"",IFERROR(INDEX(SupplierRates!$E$5:$E$500,MATCH($K1594&amp;"|"&amp;$L1594,SupplierRates!$A$5:$A$500,0)),0))</f>
        <v/>
      </c>
      <c r="R1594" s="26" t="n">
        <f aca="false">IF(OR($D1594="",$J1594&lt;&gt;"Supplier"),0,F1594*P1594+G1594*Q1594)</f>
        <v>0</v>
      </c>
      <c r="S1594" s="26" t="n">
        <f aca="false">IF(OR($D1594="",$J1594&lt;&gt;"Own"),0,IFERROR((F1594+G1594*Settings!$B$13)*INDEX(Workers!$V$5:$V$2004,MATCH($D1594,Workers!$A$5:$A$2004,0)),0))</f>
        <v>0</v>
      </c>
      <c r="T1594" s="26" t="str">
        <f aca="false">IF($D1594="","",O1594-R1594-S1594)</f>
        <v/>
      </c>
    </row>
    <row r="1595" customFormat="false" ht="15" hidden="false" customHeight="false" outlineLevel="0" collapsed="false">
      <c r="I1595" s="24" t="str">
        <f aca="false">IF($D1595="","",IFERROR(INDEX(Workers!$B$5:$B$2004,MATCH($D1595,Workers!$A$5:$A$2004,0)),"NOT FOUND"))</f>
        <v/>
      </c>
      <c r="J1595" s="24" t="str">
        <f aca="false">IF($D1595="","",IFERROR(INDEX(Workers!$C$5:$C$2004,MATCH($D1595,Workers!$A$5:$A$2004,0)),""))</f>
        <v/>
      </c>
      <c r="K1595" s="24" t="str">
        <f aca="false">IF($D1595="","",IFERROR(IF(INDEX(Workers!$D$5:$D$2004,MATCH($D1595,Workers!$A$5:$A$2004,0))=0,"",INDEX(Workers!$D$5:$D$2004,MATCH($D1595,Workers!$A$5:$A$2004,0))),""))</f>
        <v/>
      </c>
      <c r="L1595" s="24" t="str">
        <f aca="false">IF($D1595="","",IFERROR(INDEX(Workers!$E$5:$E$2004,MATCH($D1595,Workers!$A$5:$A$2004,0)),""))</f>
        <v/>
      </c>
      <c r="M1595" s="26" t="str">
        <f aca="false">IF($D1595="","",IFERROR(INDEX(ClientRates!$D$5:$D$500,MATCH($B1595&amp;"|"&amp;$L1595,ClientRates!$A$5:$A$500,0)),0))</f>
        <v/>
      </c>
      <c r="N1595" s="26" t="str">
        <f aca="false">IF($D1595="","",IFERROR(INDEX(ClientRates!$E$5:$E$500,MATCH($B1595&amp;"|"&amp;$L1595,ClientRates!$A$5:$A$500,0)),0))</f>
        <v/>
      </c>
      <c r="O1595" s="26" t="str">
        <f aca="false">IF($D1595="","",F1595*M1595+G1595*N1595)</f>
        <v/>
      </c>
      <c r="P1595" s="26" t="str">
        <f aca="false">IF(OR($D1595="",$J1595&lt;&gt;"Supplier"),"",IFERROR(INDEX(SupplierRates!$D$5:$D$500,MATCH($K1595&amp;"|"&amp;$L1595,SupplierRates!$A$5:$A$500,0)),0))</f>
        <v/>
      </c>
      <c r="Q1595" s="26" t="str">
        <f aca="false">IF(OR($D1595="",$J1595&lt;&gt;"Supplier"),"",IFERROR(INDEX(SupplierRates!$E$5:$E$500,MATCH($K1595&amp;"|"&amp;$L1595,SupplierRates!$A$5:$A$500,0)),0))</f>
        <v/>
      </c>
      <c r="R1595" s="26" t="n">
        <f aca="false">IF(OR($D1595="",$J1595&lt;&gt;"Supplier"),0,F1595*P1595+G1595*Q1595)</f>
        <v>0</v>
      </c>
      <c r="S1595" s="26" t="n">
        <f aca="false">IF(OR($D1595="",$J1595&lt;&gt;"Own"),0,IFERROR((F1595+G1595*Settings!$B$13)*INDEX(Workers!$V$5:$V$2004,MATCH($D1595,Workers!$A$5:$A$2004,0)),0))</f>
        <v>0</v>
      </c>
      <c r="T1595" s="26" t="str">
        <f aca="false">IF($D1595="","",O1595-R1595-S1595)</f>
        <v/>
      </c>
    </row>
    <row r="1596" customFormat="false" ht="15" hidden="false" customHeight="false" outlineLevel="0" collapsed="false">
      <c r="I1596" s="24" t="str">
        <f aca="false">IF($D1596="","",IFERROR(INDEX(Workers!$B$5:$B$2004,MATCH($D1596,Workers!$A$5:$A$2004,0)),"NOT FOUND"))</f>
        <v/>
      </c>
      <c r="J1596" s="24" t="str">
        <f aca="false">IF($D1596="","",IFERROR(INDEX(Workers!$C$5:$C$2004,MATCH($D1596,Workers!$A$5:$A$2004,0)),""))</f>
        <v/>
      </c>
      <c r="K1596" s="24" t="str">
        <f aca="false">IF($D1596="","",IFERROR(IF(INDEX(Workers!$D$5:$D$2004,MATCH($D1596,Workers!$A$5:$A$2004,0))=0,"",INDEX(Workers!$D$5:$D$2004,MATCH($D1596,Workers!$A$5:$A$2004,0))),""))</f>
        <v/>
      </c>
      <c r="L1596" s="24" t="str">
        <f aca="false">IF($D1596="","",IFERROR(INDEX(Workers!$E$5:$E$2004,MATCH($D1596,Workers!$A$5:$A$2004,0)),""))</f>
        <v/>
      </c>
      <c r="M1596" s="26" t="str">
        <f aca="false">IF($D1596="","",IFERROR(INDEX(ClientRates!$D$5:$D$500,MATCH($B1596&amp;"|"&amp;$L1596,ClientRates!$A$5:$A$500,0)),0))</f>
        <v/>
      </c>
      <c r="N1596" s="26" t="str">
        <f aca="false">IF($D1596="","",IFERROR(INDEX(ClientRates!$E$5:$E$500,MATCH($B1596&amp;"|"&amp;$L1596,ClientRates!$A$5:$A$500,0)),0))</f>
        <v/>
      </c>
      <c r="O1596" s="26" t="str">
        <f aca="false">IF($D1596="","",F1596*M1596+G1596*N1596)</f>
        <v/>
      </c>
      <c r="P1596" s="26" t="str">
        <f aca="false">IF(OR($D1596="",$J1596&lt;&gt;"Supplier"),"",IFERROR(INDEX(SupplierRates!$D$5:$D$500,MATCH($K1596&amp;"|"&amp;$L1596,SupplierRates!$A$5:$A$500,0)),0))</f>
        <v/>
      </c>
      <c r="Q1596" s="26" t="str">
        <f aca="false">IF(OR($D1596="",$J1596&lt;&gt;"Supplier"),"",IFERROR(INDEX(SupplierRates!$E$5:$E$500,MATCH($K1596&amp;"|"&amp;$L1596,SupplierRates!$A$5:$A$500,0)),0))</f>
        <v/>
      </c>
      <c r="R1596" s="26" t="n">
        <f aca="false">IF(OR($D1596="",$J1596&lt;&gt;"Supplier"),0,F1596*P1596+G1596*Q1596)</f>
        <v>0</v>
      </c>
      <c r="S1596" s="26" t="n">
        <f aca="false">IF(OR($D1596="",$J1596&lt;&gt;"Own"),0,IFERROR((F1596+G1596*Settings!$B$13)*INDEX(Workers!$V$5:$V$2004,MATCH($D1596,Workers!$A$5:$A$2004,0)),0))</f>
        <v>0</v>
      </c>
      <c r="T1596" s="26" t="str">
        <f aca="false">IF($D1596="","",O1596-R1596-S1596)</f>
        <v/>
      </c>
    </row>
    <row r="1597" customFormat="false" ht="15" hidden="false" customHeight="false" outlineLevel="0" collapsed="false">
      <c r="I1597" s="24" t="str">
        <f aca="false">IF($D1597="","",IFERROR(INDEX(Workers!$B$5:$B$2004,MATCH($D1597,Workers!$A$5:$A$2004,0)),"NOT FOUND"))</f>
        <v/>
      </c>
      <c r="J1597" s="24" t="str">
        <f aca="false">IF($D1597="","",IFERROR(INDEX(Workers!$C$5:$C$2004,MATCH($D1597,Workers!$A$5:$A$2004,0)),""))</f>
        <v/>
      </c>
      <c r="K1597" s="24" t="str">
        <f aca="false">IF($D1597="","",IFERROR(IF(INDEX(Workers!$D$5:$D$2004,MATCH($D1597,Workers!$A$5:$A$2004,0))=0,"",INDEX(Workers!$D$5:$D$2004,MATCH($D1597,Workers!$A$5:$A$2004,0))),""))</f>
        <v/>
      </c>
      <c r="L1597" s="24" t="str">
        <f aca="false">IF($D1597="","",IFERROR(INDEX(Workers!$E$5:$E$2004,MATCH($D1597,Workers!$A$5:$A$2004,0)),""))</f>
        <v/>
      </c>
      <c r="M1597" s="26" t="str">
        <f aca="false">IF($D1597="","",IFERROR(INDEX(ClientRates!$D$5:$D$500,MATCH($B1597&amp;"|"&amp;$L1597,ClientRates!$A$5:$A$500,0)),0))</f>
        <v/>
      </c>
      <c r="N1597" s="26" t="str">
        <f aca="false">IF($D1597="","",IFERROR(INDEX(ClientRates!$E$5:$E$500,MATCH($B1597&amp;"|"&amp;$L1597,ClientRates!$A$5:$A$500,0)),0))</f>
        <v/>
      </c>
      <c r="O1597" s="26" t="str">
        <f aca="false">IF($D1597="","",F1597*M1597+G1597*N1597)</f>
        <v/>
      </c>
      <c r="P1597" s="26" t="str">
        <f aca="false">IF(OR($D1597="",$J1597&lt;&gt;"Supplier"),"",IFERROR(INDEX(SupplierRates!$D$5:$D$500,MATCH($K1597&amp;"|"&amp;$L1597,SupplierRates!$A$5:$A$500,0)),0))</f>
        <v/>
      </c>
      <c r="Q1597" s="26" t="str">
        <f aca="false">IF(OR($D1597="",$J1597&lt;&gt;"Supplier"),"",IFERROR(INDEX(SupplierRates!$E$5:$E$500,MATCH($K1597&amp;"|"&amp;$L1597,SupplierRates!$A$5:$A$500,0)),0))</f>
        <v/>
      </c>
      <c r="R1597" s="26" t="n">
        <f aca="false">IF(OR($D1597="",$J1597&lt;&gt;"Supplier"),0,F1597*P1597+G1597*Q1597)</f>
        <v>0</v>
      </c>
      <c r="S1597" s="26" t="n">
        <f aca="false">IF(OR($D1597="",$J1597&lt;&gt;"Own"),0,IFERROR((F1597+G1597*Settings!$B$13)*INDEX(Workers!$V$5:$V$2004,MATCH($D1597,Workers!$A$5:$A$2004,0)),0))</f>
        <v>0</v>
      </c>
      <c r="T1597" s="26" t="str">
        <f aca="false">IF($D1597="","",O1597-R1597-S1597)</f>
        <v/>
      </c>
    </row>
    <row r="1598" customFormat="false" ht="15" hidden="false" customHeight="false" outlineLevel="0" collapsed="false">
      <c r="I1598" s="24" t="str">
        <f aca="false">IF($D1598="","",IFERROR(INDEX(Workers!$B$5:$B$2004,MATCH($D1598,Workers!$A$5:$A$2004,0)),"NOT FOUND"))</f>
        <v/>
      </c>
      <c r="J1598" s="24" t="str">
        <f aca="false">IF($D1598="","",IFERROR(INDEX(Workers!$C$5:$C$2004,MATCH($D1598,Workers!$A$5:$A$2004,0)),""))</f>
        <v/>
      </c>
      <c r="K1598" s="24" t="str">
        <f aca="false">IF($D1598="","",IFERROR(IF(INDEX(Workers!$D$5:$D$2004,MATCH($D1598,Workers!$A$5:$A$2004,0))=0,"",INDEX(Workers!$D$5:$D$2004,MATCH($D1598,Workers!$A$5:$A$2004,0))),""))</f>
        <v/>
      </c>
      <c r="L1598" s="24" t="str">
        <f aca="false">IF($D1598="","",IFERROR(INDEX(Workers!$E$5:$E$2004,MATCH($D1598,Workers!$A$5:$A$2004,0)),""))</f>
        <v/>
      </c>
      <c r="M1598" s="26" t="str">
        <f aca="false">IF($D1598="","",IFERROR(INDEX(ClientRates!$D$5:$D$500,MATCH($B1598&amp;"|"&amp;$L1598,ClientRates!$A$5:$A$500,0)),0))</f>
        <v/>
      </c>
      <c r="N1598" s="26" t="str">
        <f aca="false">IF($D1598="","",IFERROR(INDEX(ClientRates!$E$5:$E$500,MATCH($B1598&amp;"|"&amp;$L1598,ClientRates!$A$5:$A$500,0)),0))</f>
        <v/>
      </c>
      <c r="O1598" s="26" t="str">
        <f aca="false">IF($D1598="","",F1598*M1598+G1598*N1598)</f>
        <v/>
      </c>
      <c r="P1598" s="26" t="str">
        <f aca="false">IF(OR($D1598="",$J1598&lt;&gt;"Supplier"),"",IFERROR(INDEX(SupplierRates!$D$5:$D$500,MATCH($K1598&amp;"|"&amp;$L1598,SupplierRates!$A$5:$A$500,0)),0))</f>
        <v/>
      </c>
      <c r="Q1598" s="26" t="str">
        <f aca="false">IF(OR($D1598="",$J1598&lt;&gt;"Supplier"),"",IFERROR(INDEX(SupplierRates!$E$5:$E$500,MATCH($K1598&amp;"|"&amp;$L1598,SupplierRates!$A$5:$A$500,0)),0))</f>
        <v/>
      </c>
      <c r="R1598" s="26" t="n">
        <f aca="false">IF(OR($D1598="",$J1598&lt;&gt;"Supplier"),0,F1598*P1598+G1598*Q1598)</f>
        <v>0</v>
      </c>
      <c r="S1598" s="26" t="n">
        <f aca="false">IF(OR($D1598="",$J1598&lt;&gt;"Own"),0,IFERROR((F1598+G1598*Settings!$B$13)*INDEX(Workers!$V$5:$V$2004,MATCH($D1598,Workers!$A$5:$A$2004,0)),0))</f>
        <v>0</v>
      </c>
      <c r="T1598" s="26" t="str">
        <f aca="false">IF($D1598="","",O1598-R1598-S1598)</f>
        <v/>
      </c>
    </row>
    <row r="1599" customFormat="false" ht="15" hidden="false" customHeight="false" outlineLevel="0" collapsed="false">
      <c r="I1599" s="24" t="str">
        <f aca="false">IF($D1599="","",IFERROR(INDEX(Workers!$B$5:$B$2004,MATCH($D1599,Workers!$A$5:$A$2004,0)),"NOT FOUND"))</f>
        <v/>
      </c>
      <c r="J1599" s="24" t="str">
        <f aca="false">IF($D1599="","",IFERROR(INDEX(Workers!$C$5:$C$2004,MATCH($D1599,Workers!$A$5:$A$2004,0)),""))</f>
        <v/>
      </c>
      <c r="K1599" s="24" t="str">
        <f aca="false">IF($D1599="","",IFERROR(IF(INDEX(Workers!$D$5:$D$2004,MATCH($D1599,Workers!$A$5:$A$2004,0))=0,"",INDEX(Workers!$D$5:$D$2004,MATCH($D1599,Workers!$A$5:$A$2004,0))),""))</f>
        <v/>
      </c>
      <c r="L1599" s="24" t="str">
        <f aca="false">IF($D1599="","",IFERROR(INDEX(Workers!$E$5:$E$2004,MATCH($D1599,Workers!$A$5:$A$2004,0)),""))</f>
        <v/>
      </c>
      <c r="M1599" s="26" t="str">
        <f aca="false">IF($D1599="","",IFERROR(INDEX(ClientRates!$D$5:$D$500,MATCH($B1599&amp;"|"&amp;$L1599,ClientRates!$A$5:$A$500,0)),0))</f>
        <v/>
      </c>
      <c r="N1599" s="26" t="str">
        <f aca="false">IF($D1599="","",IFERROR(INDEX(ClientRates!$E$5:$E$500,MATCH($B1599&amp;"|"&amp;$L1599,ClientRates!$A$5:$A$500,0)),0))</f>
        <v/>
      </c>
      <c r="O1599" s="26" t="str">
        <f aca="false">IF($D1599="","",F1599*M1599+G1599*N1599)</f>
        <v/>
      </c>
      <c r="P1599" s="26" t="str">
        <f aca="false">IF(OR($D1599="",$J1599&lt;&gt;"Supplier"),"",IFERROR(INDEX(SupplierRates!$D$5:$D$500,MATCH($K1599&amp;"|"&amp;$L1599,SupplierRates!$A$5:$A$500,0)),0))</f>
        <v/>
      </c>
      <c r="Q1599" s="26" t="str">
        <f aca="false">IF(OR($D1599="",$J1599&lt;&gt;"Supplier"),"",IFERROR(INDEX(SupplierRates!$E$5:$E$500,MATCH($K1599&amp;"|"&amp;$L1599,SupplierRates!$A$5:$A$500,0)),0))</f>
        <v/>
      </c>
      <c r="R1599" s="26" t="n">
        <f aca="false">IF(OR($D1599="",$J1599&lt;&gt;"Supplier"),0,F1599*P1599+G1599*Q1599)</f>
        <v>0</v>
      </c>
      <c r="S1599" s="26" t="n">
        <f aca="false">IF(OR($D1599="",$J1599&lt;&gt;"Own"),0,IFERROR((F1599+G1599*Settings!$B$13)*INDEX(Workers!$V$5:$V$2004,MATCH($D1599,Workers!$A$5:$A$2004,0)),0))</f>
        <v>0</v>
      </c>
      <c r="T1599" s="26" t="str">
        <f aca="false">IF($D1599="","",O1599-R1599-S1599)</f>
        <v/>
      </c>
    </row>
    <row r="1600" customFormat="false" ht="15" hidden="false" customHeight="false" outlineLevel="0" collapsed="false">
      <c r="I1600" s="24" t="str">
        <f aca="false">IF($D1600="","",IFERROR(INDEX(Workers!$B$5:$B$2004,MATCH($D1600,Workers!$A$5:$A$2004,0)),"NOT FOUND"))</f>
        <v/>
      </c>
      <c r="J1600" s="24" t="str">
        <f aca="false">IF($D1600="","",IFERROR(INDEX(Workers!$C$5:$C$2004,MATCH($D1600,Workers!$A$5:$A$2004,0)),""))</f>
        <v/>
      </c>
      <c r="K1600" s="24" t="str">
        <f aca="false">IF($D1600="","",IFERROR(IF(INDEX(Workers!$D$5:$D$2004,MATCH($D1600,Workers!$A$5:$A$2004,0))=0,"",INDEX(Workers!$D$5:$D$2004,MATCH($D1600,Workers!$A$5:$A$2004,0))),""))</f>
        <v/>
      </c>
      <c r="L1600" s="24" t="str">
        <f aca="false">IF($D1600="","",IFERROR(INDEX(Workers!$E$5:$E$2004,MATCH($D1600,Workers!$A$5:$A$2004,0)),""))</f>
        <v/>
      </c>
      <c r="M1600" s="26" t="str">
        <f aca="false">IF($D1600="","",IFERROR(INDEX(ClientRates!$D$5:$D$500,MATCH($B1600&amp;"|"&amp;$L1600,ClientRates!$A$5:$A$500,0)),0))</f>
        <v/>
      </c>
      <c r="N1600" s="26" t="str">
        <f aca="false">IF($D1600="","",IFERROR(INDEX(ClientRates!$E$5:$E$500,MATCH($B1600&amp;"|"&amp;$L1600,ClientRates!$A$5:$A$500,0)),0))</f>
        <v/>
      </c>
      <c r="O1600" s="26" t="str">
        <f aca="false">IF($D1600="","",F1600*M1600+G1600*N1600)</f>
        <v/>
      </c>
      <c r="P1600" s="26" t="str">
        <f aca="false">IF(OR($D1600="",$J1600&lt;&gt;"Supplier"),"",IFERROR(INDEX(SupplierRates!$D$5:$D$500,MATCH($K1600&amp;"|"&amp;$L1600,SupplierRates!$A$5:$A$500,0)),0))</f>
        <v/>
      </c>
      <c r="Q1600" s="26" t="str">
        <f aca="false">IF(OR($D1600="",$J1600&lt;&gt;"Supplier"),"",IFERROR(INDEX(SupplierRates!$E$5:$E$500,MATCH($K1600&amp;"|"&amp;$L1600,SupplierRates!$A$5:$A$500,0)),0))</f>
        <v/>
      </c>
      <c r="R1600" s="26" t="n">
        <f aca="false">IF(OR($D1600="",$J1600&lt;&gt;"Supplier"),0,F1600*P1600+G1600*Q1600)</f>
        <v>0</v>
      </c>
      <c r="S1600" s="26" t="n">
        <f aca="false">IF(OR($D1600="",$J1600&lt;&gt;"Own"),0,IFERROR((F1600+G1600*Settings!$B$13)*INDEX(Workers!$V$5:$V$2004,MATCH($D1600,Workers!$A$5:$A$2004,0)),0))</f>
        <v>0</v>
      </c>
      <c r="T1600" s="26" t="str">
        <f aca="false">IF($D1600="","",O1600-R1600-S1600)</f>
        <v/>
      </c>
    </row>
    <row r="1601" customFormat="false" ht="15" hidden="false" customHeight="false" outlineLevel="0" collapsed="false">
      <c r="I1601" s="24" t="str">
        <f aca="false">IF($D1601="","",IFERROR(INDEX(Workers!$B$5:$B$2004,MATCH($D1601,Workers!$A$5:$A$2004,0)),"NOT FOUND"))</f>
        <v/>
      </c>
      <c r="J1601" s="24" t="str">
        <f aca="false">IF($D1601="","",IFERROR(INDEX(Workers!$C$5:$C$2004,MATCH($D1601,Workers!$A$5:$A$2004,0)),""))</f>
        <v/>
      </c>
      <c r="K1601" s="24" t="str">
        <f aca="false">IF($D1601="","",IFERROR(IF(INDEX(Workers!$D$5:$D$2004,MATCH($D1601,Workers!$A$5:$A$2004,0))=0,"",INDEX(Workers!$D$5:$D$2004,MATCH($D1601,Workers!$A$5:$A$2004,0))),""))</f>
        <v/>
      </c>
      <c r="L1601" s="24" t="str">
        <f aca="false">IF($D1601="","",IFERROR(INDEX(Workers!$E$5:$E$2004,MATCH($D1601,Workers!$A$5:$A$2004,0)),""))</f>
        <v/>
      </c>
      <c r="M1601" s="26" t="str">
        <f aca="false">IF($D1601="","",IFERROR(INDEX(ClientRates!$D$5:$D$500,MATCH($B1601&amp;"|"&amp;$L1601,ClientRates!$A$5:$A$500,0)),0))</f>
        <v/>
      </c>
      <c r="N1601" s="26" t="str">
        <f aca="false">IF($D1601="","",IFERROR(INDEX(ClientRates!$E$5:$E$500,MATCH($B1601&amp;"|"&amp;$L1601,ClientRates!$A$5:$A$500,0)),0))</f>
        <v/>
      </c>
      <c r="O1601" s="26" t="str">
        <f aca="false">IF($D1601="","",F1601*M1601+G1601*N1601)</f>
        <v/>
      </c>
      <c r="P1601" s="26" t="str">
        <f aca="false">IF(OR($D1601="",$J1601&lt;&gt;"Supplier"),"",IFERROR(INDEX(SupplierRates!$D$5:$D$500,MATCH($K1601&amp;"|"&amp;$L1601,SupplierRates!$A$5:$A$500,0)),0))</f>
        <v/>
      </c>
      <c r="Q1601" s="26" t="str">
        <f aca="false">IF(OR($D1601="",$J1601&lt;&gt;"Supplier"),"",IFERROR(INDEX(SupplierRates!$E$5:$E$500,MATCH($K1601&amp;"|"&amp;$L1601,SupplierRates!$A$5:$A$500,0)),0))</f>
        <v/>
      </c>
      <c r="R1601" s="26" t="n">
        <f aca="false">IF(OR($D1601="",$J1601&lt;&gt;"Supplier"),0,F1601*P1601+G1601*Q1601)</f>
        <v>0</v>
      </c>
      <c r="S1601" s="26" t="n">
        <f aca="false">IF(OR($D1601="",$J1601&lt;&gt;"Own"),0,IFERROR((F1601+G1601*Settings!$B$13)*INDEX(Workers!$V$5:$V$2004,MATCH($D1601,Workers!$A$5:$A$2004,0)),0))</f>
        <v>0</v>
      </c>
      <c r="T1601" s="26" t="str">
        <f aca="false">IF($D1601="","",O1601-R1601-S1601)</f>
        <v/>
      </c>
    </row>
    <row r="1602" customFormat="false" ht="15" hidden="false" customHeight="false" outlineLevel="0" collapsed="false">
      <c r="I1602" s="24" t="str">
        <f aca="false">IF($D1602="","",IFERROR(INDEX(Workers!$B$5:$B$2004,MATCH($D1602,Workers!$A$5:$A$2004,0)),"NOT FOUND"))</f>
        <v/>
      </c>
      <c r="J1602" s="24" t="str">
        <f aca="false">IF($D1602="","",IFERROR(INDEX(Workers!$C$5:$C$2004,MATCH($D1602,Workers!$A$5:$A$2004,0)),""))</f>
        <v/>
      </c>
      <c r="K1602" s="24" t="str">
        <f aca="false">IF($D1602="","",IFERROR(IF(INDEX(Workers!$D$5:$D$2004,MATCH($D1602,Workers!$A$5:$A$2004,0))=0,"",INDEX(Workers!$D$5:$D$2004,MATCH($D1602,Workers!$A$5:$A$2004,0))),""))</f>
        <v/>
      </c>
      <c r="L1602" s="24" t="str">
        <f aca="false">IF($D1602="","",IFERROR(INDEX(Workers!$E$5:$E$2004,MATCH($D1602,Workers!$A$5:$A$2004,0)),""))</f>
        <v/>
      </c>
      <c r="M1602" s="26" t="str">
        <f aca="false">IF($D1602="","",IFERROR(INDEX(ClientRates!$D$5:$D$500,MATCH($B1602&amp;"|"&amp;$L1602,ClientRates!$A$5:$A$500,0)),0))</f>
        <v/>
      </c>
      <c r="N1602" s="26" t="str">
        <f aca="false">IF($D1602="","",IFERROR(INDEX(ClientRates!$E$5:$E$500,MATCH($B1602&amp;"|"&amp;$L1602,ClientRates!$A$5:$A$500,0)),0))</f>
        <v/>
      </c>
      <c r="O1602" s="26" t="str">
        <f aca="false">IF($D1602="","",F1602*M1602+G1602*N1602)</f>
        <v/>
      </c>
      <c r="P1602" s="26" t="str">
        <f aca="false">IF(OR($D1602="",$J1602&lt;&gt;"Supplier"),"",IFERROR(INDEX(SupplierRates!$D$5:$D$500,MATCH($K1602&amp;"|"&amp;$L1602,SupplierRates!$A$5:$A$500,0)),0))</f>
        <v/>
      </c>
      <c r="Q1602" s="26" t="str">
        <f aca="false">IF(OR($D1602="",$J1602&lt;&gt;"Supplier"),"",IFERROR(INDEX(SupplierRates!$E$5:$E$500,MATCH($K1602&amp;"|"&amp;$L1602,SupplierRates!$A$5:$A$500,0)),0))</f>
        <v/>
      </c>
      <c r="R1602" s="26" t="n">
        <f aca="false">IF(OR($D1602="",$J1602&lt;&gt;"Supplier"),0,F1602*P1602+G1602*Q1602)</f>
        <v>0</v>
      </c>
      <c r="S1602" s="26" t="n">
        <f aca="false">IF(OR($D1602="",$J1602&lt;&gt;"Own"),0,IFERROR((F1602+G1602*Settings!$B$13)*INDEX(Workers!$V$5:$V$2004,MATCH($D1602,Workers!$A$5:$A$2004,0)),0))</f>
        <v>0</v>
      </c>
      <c r="T1602" s="26" t="str">
        <f aca="false">IF($D1602="","",O1602-R1602-S1602)</f>
        <v/>
      </c>
    </row>
    <row r="1603" customFormat="false" ht="15" hidden="false" customHeight="false" outlineLevel="0" collapsed="false">
      <c r="I1603" s="24" t="str">
        <f aca="false">IF($D1603="","",IFERROR(INDEX(Workers!$B$5:$B$2004,MATCH($D1603,Workers!$A$5:$A$2004,0)),"NOT FOUND"))</f>
        <v/>
      </c>
      <c r="J1603" s="24" t="str">
        <f aca="false">IF($D1603="","",IFERROR(INDEX(Workers!$C$5:$C$2004,MATCH($D1603,Workers!$A$5:$A$2004,0)),""))</f>
        <v/>
      </c>
      <c r="K1603" s="24" t="str">
        <f aca="false">IF($D1603="","",IFERROR(IF(INDEX(Workers!$D$5:$D$2004,MATCH($D1603,Workers!$A$5:$A$2004,0))=0,"",INDEX(Workers!$D$5:$D$2004,MATCH($D1603,Workers!$A$5:$A$2004,0))),""))</f>
        <v/>
      </c>
      <c r="L1603" s="24" t="str">
        <f aca="false">IF($D1603="","",IFERROR(INDEX(Workers!$E$5:$E$2004,MATCH($D1603,Workers!$A$5:$A$2004,0)),""))</f>
        <v/>
      </c>
      <c r="M1603" s="26" t="str">
        <f aca="false">IF($D1603="","",IFERROR(INDEX(ClientRates!$D$5:$D$500,MATCH($B1603&amp;"|"&amp;$L1603,ClientRates!$A$5:$A$500,0)),0))</f>
        <v/>
      </c>
      <c r="N1603" s="26" t="str">
        <f aca="false">IF($D1603="","",IFERROR(INDEX(ClientRates!$E$5:$E$500,MATCH($B1603&amp;"|"&amp;$L1603,ClientRates!$A$5:$A$500,0)),0))</f>
        <v/>
      </c>
      <c r="O1603" s="26" t="str">
        <f aca="false">IF($D1603="","",F1603*M1603+G1603*N1603)</f>
        <v/>
      </c>
      <c r="P1603" s="26" t="str">
        <f aca="false">IF(OR($D1603="",$J1603&lt;&gt;"Supplier"),"",IFERROR(INDEX(SupplierRates!$D$5:$D$500,MATCH($K1603&amp;"|"&amp;$L1603,SupplierRates!$A$5:$A$500,0)),0))</f>
        <v/>
      </c>
      <c r="Q1603" s="26" t="str">
        <f aca="false">IF(OR($D1603="",$J1603&lt;&gt;"Supplier"),"",IFERROR(INDEX(SupplierRates!$E$5:$E$500,MATCH($K1603&amp;"|"&amp;$L1603,SupplierRates!$A$5:$A$500,0)),0))</f>
        <v/>
      </c>
      <c r="R1603" s="26" t="n">
        <f aca="false">IF(OR($D1603="",$J1603&lt;&gt;"Supplier"),0,F1603*P1603+G1603*Q1603)</f>
        <v>0</v>
      </c>
      <c r="S1603" s="26" t="n">
        <f aca="false">IF(OR($D1603="",$J1603&lt;&gt;"Own"),0,IFERROR((F1603+G1603*Settings!$B$13)*INDEX(Workers!$V$5:$V$2004,MATCH($D1603,Workers!$A$5:$A$2004,0)),0))</f>
        <v>0</v>
      </c>
      <c r="T1603" s="26" t="str">
        <f aca="false">IF($D1603="","",O1603-R1603-S1603)</f>
        <v/>
      </c>
    </row>
    <row r="1604" customFormat="false" ht="15" hidden="false" customHeight="false" outlineLevel="0" collapsed="false">
      <c r="I1604" s="24" t="str">
        <f aca="false">IF($D1604="","",IFERROR(INDEX(Workers!$B$5:$B$2004,MATCH($D1604,Workers!$A$5:$A$2004,0)),"NOT FOUND"))</f>
        <v/>
      </c>
      <c r="J1604" s="24" t="str">
        <f aca="false">IF($D1604="","",IFERROR(INDEX(Workers!$C$5:$C$2004,MATCH($D1604,Workers!$A$5:$A$2004,0)),""))</f>
        <v/>
      </c>
      <c r="K1604" s="24" t="str">
        <f aca="false">IF($D1604="","",IFERROR(IF(INDEX(Workers!$D$5:$D$2004,MATCH($D1604,Workers!$A$5:$A$2004,0))=0,"",INDEX(Workers!$D$5:$D$2004,MATCH($D1604,Workers!$A$5:$A$2004,0))),""))</f>
        <v/>
      </c>
      <c r="L1604" s="24" t="str">
        <f aca="false">IF($D1604="","",IFERROR(INDEX(Workers!$E$5:$E$2004,MATCH($D1604,Workers!$A$5:$A$2004,0)),""))</f>
        <v/>
      </c>
      <c r="M1604" s="26" t="str">
        <f aca="false">IF($D1604="","",IFERROR(INDEX(ClientRates!$D$5:$D$500,MATCH($B1604&amp;"|"&amp;$L1604,ClientRates!$A$5:$A$500,0)),0))</f>
        <v/>
      </c>
      <c r="N1604" s="26" t="str">
        <f aca="false">IF($D1604="","",IFERROR(INDEX(ClientRates!$E$5:$E$500,MATCH($B1604&amp;"|"&amp;$L1604,ClientRates!$A$5:$A$500,0)),0))</f>
        <v/>
      </c>
      <c r="O1604" s="26" t="str">
        <f aca="false">IF($D1604="","",F1604*M1604+G1604*N1604)</f>
        <v/>
      </c>
      <c r="P1604" s="26" t="str">
        <f aca="false">IF(OR($D1604="",$J1604&lt;&gt;"Supplier"),"",IFERROR(INDEX(SupplierRates!$D$5:$D$500,MATCH($K1604&amp;"|"&amp;$L1604,SupplierRates!$A$5:$A$500,0)),0))</f>
        <v/>
      </c>
      <c r="Q1604" s="26" t="str">
        <f aca="false">IF(OR($D1604="",$J1604&lt;&gt;"Supplier"),"",IFERROR(INDEX(SupplierRates!$E$5:$E$500,MATCH($K1604&amp;"|"&amp;$L1604,SupplierRates!$A$5:$A$500,0)),0))</f>
        <v/>
      </c>
      <c r="R1604" s="26" t="n">
        <f aca="false">IF(OR($D1604="",$J1604&lt;&gt;"Supplier"),0,F1604*P1604+G1604*Q1604)</f>
        <v>0</v>
      </c>
      <c r="S1604" s="26" t="n">
        <f aca="false">IF(OR($D1604="",$J1604&lt;&gt;"Own"),0,IFERROR((F1604+G1604*Settings!$B$13)*INDEX(Workers!$V$5:$V$2004,MATCH($D1604,Workers!$A$5:$A$2004,0)),0))</f>
        <v>0</v>
      </c>
      <c r="T1604" s="26" t="str">
        <f aca="false">IF($D1604="","",O1604-R1604-S1604)</f>
        <v/>
      </c>
    </row>
    <row r="1605" customFormat="false" ht="15" hidden="false" customHeight="false" outlineLevel="0" collapsed="false">
      <c r="I1605" s="24" t="str">
        <f aca="false">IF($D1605="","",IFERROR(INDEX(Workers!$B$5:$B$2004,MATCH($D1605,Workers!$A$5:$A$2004,0)),"NOT FOUND"))</f>
        <v/>
      </c>
      <c r="J1605" s="24" t="str">
        <f aca="false">IF($D1605="","",IFERROR(INDEX(Workers!$C$5:$C$2004,MATCH($D1605,Workers!$A$5:$A$2004,0)),""))</f>
        <v/>
      </c>
      <c r="K1605" s="24" t="str">
        <f aca="false">IF($D1605="","",IFERROR(IF(INDEX(Workers!$D$5:$D$2004,MATCH($D1605,Workers!$A$5:$A$2004,0))=0,"",INDEX(Workers!$D$5:$D$2004,MATCH($D1605,Workers!$A$5:$A$2004,0))),""))</f>
        <v/>
      </c>
      <c r="L1605" s="24" t="str">
        <f aca="false">IF($D1605="","",IFERROR(INDEX(Workers!$E$5:$E$2004,MATCH($D1605,Workers!$A$5:$A$2004,0)),""))</f>
        <v/>
      </c>
      <c r="M1605" s="26" t="str">
        <f aca="false">IF($D1605="","",IFERROR(INDEX(ClientRates!$D$5:$D$500,MATCH($B1605&amp;"|"&amp;$L1605,ClientRates!$A$5:$A$500,0)),0))</f>
        <v/>
      </c>
      <c r="N1605" s="26" t="str">
        <f aca="false">IF($D1605="","",IFERROR(INDEX(ClientRates!$E$5:$E$500,MATCH($B1605&amp;"|"&amp;$L1605,ClientRates!$A$5:$A$500,0)),0))</f>
        <v/>
      </c>
      <c r="O1605" s="26" t="str">
        <f aca="false">IF($D1605="","",F1605*M1605+G1605*N1605)</f>
        <v/>
      </c>
      <c r="P1605" s="26" t="str">
        <f aca="false">IF(OR($D1605="",$J1605&lt;&gt;"Supplier"),"",IFERROR(INDEX(SupplierRates!$D$5:$D$500,MATCH($K1605&amp;"|"&amp;$L1605,SupplierRates!$A$5:$A$500,0)),0))</f>
        <v/>
      </c>
      <c r="Q1605" s="26" t="str">
        <f aca="false">IF(OR($D1605="",$J1605&lt;&gt;"Supplier"),"",IFERROR(INDEX(SupplierRates!$E$5:$E$500,MATCH($K1605&amp;"|"&amp;$L1605,SupplierRates!$A$5:$A$500,0)),0))</f>
        <v/>
      </c>
      <c r="R1605" s="26" t="n">
        <f aca="false">IF(OR($D1605="",$J1605&lt;&gt;"Supplier"),0,F1605*P1605+G1605*Q1605)</f>
        <v>0</v>
      </c>
      <c r="S1605" s="26" t="n">
        <f aca="false">IF(OR($D1605="",$J1605&lt;&gt;"Own"),0,IFERROR((F1605+G1605*Settings!$B$13)*INDEX(Workers!$V$5:$V$2004,MATCH($D1605,Workers!$A$5:$A$2004,0)),0))</f>
        <v>0</v>
      </c>
      <c r="T1605" s="26" t="str">
        <f aca="false">IF($D1605="","",O1605-R1605-S1605)</f>
        <v/>
      </c>
    </row>
    <row r="1606" customFormat="false" ht="15" hidden="false" customHeight="false" outlineLevel="0" collapsed="false">
      <c r="I1606" s="24" t="str">
        <f aca="false">IF($D1606="","",IFERROR(INDEX(Workers!$B$5:$B$2004,MATCH($D1606,Workers!$A$5:$A$2004,0)),"NOT FOUND"))</f>
        <v/>
      </c>
      <c r="J1606" s="24" t="str">
        <f aca="false">IF($D1606="","",IFERROR(INDEX(Workers!$C$5:$C$2004,MATCH($D1606,Workers!$A$5:$A$2004,0)),""))</f>
        <v/>
      </c>
      <c r="K1606" s="24" t="str">
        <f aca="false">IF($D1606="","",IFERROR(IF(INDEX(Workers!$D$5:$D$2004,MATCH($D1606,Workers!$A$5:$A$2004,0))=0,"",INDEX(Workers!$D$5:$D$2004,MATCH($D1606,Workers!$A$5:$A$2004,0))),""))</f>
        <v/>
      </c>
      <c r="L1606" s="24" t="str">
        <f aca="false">IF($D1606="","",IFERROR(INDEX(Workers!$E$5:$E$2004,MATCH($D1606,Workers!$A$5:$A$2004,0)),""))</f>
        <v/>
      </c>
      <c r="M1606" s="26" t="str">
        <f aca="false">IF($D1606="","",IFERROR(INDEX(ClientRates!$D$5:$D$500,MATCH($B1606&amp;"|"&amp;$L1606,ClientRates!$A$5:$A$500,0)),0))</f>
        <v/>
      </c>
      <c r="N1606" s="26" t="str">
        <f aca="false">IF($D1606="","",IFERROR(INDEX(ClientRates!$E$5:$E$500,MATCH($B1606&amp;"|"&amp;$L1606,ClientRates!$A$5:$A$500,0)),0))</f>
        <v/>
      </c>
      <c r="O1606" s="26" t="str">
        <f aca="false">IF($D1606="","",F1606*M1606+G1606*N1606)</f>
        <v/>
      </c>
      <c r="P1606" s="26" t="str">
        <f aca="false">IF(OR($D1606="",$J1606&lt;&gt;"Supplier"),"",IFERROR(INDEX(SupplierRates!$D$5:$D$500,MATCH($K1606&amp;"|"&amp;$L1606,SupplierRates!$A$5:$A$500,0)),0))</f>
        <v/>
      </c>
      <c r="Q1606" s="26" t="str">
        <f aca="false">IF(OR($D1606="",$J1606&lt;&gt;"Supplier"),"",IFERROR(INDEX(SupplierRates!$E$5:$E$500,MATCH($K1606&amp;"|"&amp;$L1606,SupplierRates!$A$5:$A$500,0)),0))</f>
        <v/>
      </c>
      <c r="R1606" s="26" t="n">
        <f aca="false">IF(OR($D1606="",$J1606&lt;&gt;"Supplier"),0,F1606*P1606+G1606*Q1606)</f>
        <v>0</v>
      </c>
      <c r="S1606" s="26" t="n">
        <f aca="false">IF(OR($D1606="",$J1606&lt;&gt;"Own"),0,IFERROR((F1606+G1606*Settings!$B$13)*INDEX(Workers!$V$5:$V$2004,MATCH($D1606,Workers!$A$5:$A$2004,0)),0))</f>
        <v>0</v>
      </c>
      <c r="T1606" s="26" t="str">
        <f aca="false">IF($D1606="","",O1606-R1606-S1606)</f>
        <v/>
      </c>
    </row>
    <row r="1607" customFormat="false" ht="15" hidden="false" customHeight="false" outlineLevel="0" collapsed="false">
      <c r="I1607" s="24" t="str">
        <f aca="false">IF($D1607="","",IFERROR(INDEX(Workers!$B$5:$B$2004,MATCH($D1607,Workers!$A$5:$A$2004,0)),"NOT FOUND"))</f>
        <v/>
      </c>
      <c r="J1607" s="24" t="str">
        <f aca="false">IF($D1607="","",IFERROR(INDEX(Workers!$C$5:$C$2004,MATCH($D1607,Workers!$A$5:$A$2004,0)),""))</f>
        <v/>
      </c>
      <c r="K1607" s="24" t="str">
        <f aca="false">IF($D1607="","",IFERROR(IF(INDEX(Workers!$D$5:$D$2004,MATCH($D1607,Workers!$A$5:$A$2004,0))=0,"",INDEX(Workers!$D$5:$D$2004,MATCH($D1607,Workers!$A$5:$A$2004,0))),""))</f>
        <v/>
      </c>
      <c r="L1607" s="24" t="str">
        <f aca="false">IF($D1607="","",IFERROR(INDEX(Workers!$E$5:$E$2004,MATCH($D1607,Workers!$A$5:$A$2004,0)),""))</f>
        <v/>
      </c>
      <c r="M1607" s="26" t="str">
        <f aca="false">IF($D1607="","",IFERROR(INDEX(ClientRates!$D$5:$D$500,MATCH($B1607&amp;"|"&amp;$L1607,ClientRates!$A$5:$A$500,0)),0))</f>
        <v/>
      </c>
      <c r="N1607" s="26" t="str">
        <f aca="false">IF($D1607="","",IFERROR(INDEX(ClientRates!$E$5:$E$500,MATCH($B1607&amp;"|"&amp;$L1607,ClientRates!$A$5:$A$500,0)),0))</f>
        <v/>
      </c>
      <c r="O1607" s="26" t="str">
        <f aca="false">IF($D1607="","",F1607*M1607+G1607*N1607)</f>
        <v/>
      </c>
      <c r="P1607" s="26" t="str">
        <f aca="false">IF(OR($D1607="",$J1607&lt;&gt;"Supplier"),"",IFERROR(INDEX(SupplierRates!$D$5:$D$500,MATCH($K1607&amp;"|"&amp;$L1607,SupplierRates!$A$5:$A$500,0)),0))</f>
        <v/>
      </c>
      <c r="Q1607" s="26" t="str">
        <f aca="false">IF(OR($D1607="",$J1607&lt;&gt;"Supplier"),"",IFERROR(INDEX(SupplierRates!$E$5:$E$500,MATCH($K1607&amp;"|"&amp;$L1607,SupplierRates!$A$5:$A$500,0)),0))</f>
        <v/>
      </c>
      <c r="R1607" s="26" t="n">
        <f aca="false">IF(OR($D1607="",$J1607&lt;&gt;"Supplier"),0,F1607*P1607+G1607*Q1607)</f>
        <v>0</v>
      </c>
      <c r="S1607" s="26" t="n">
        <f aca="false">IF(OR($D1607="",$J1607&lt;&gt;"Own"),0,IFERROR((F1607+G1607*Settings!$B$13)*INDEX(Workers!$V$5:$V$2004,MATCH($D1607,Workers!$A$5:$A$2004,0)),0))</f>
        <v>0</v>
      </c>
      <c r="T1607" s="26" t="str">
        <f aca="false">IF($D1607="","",O1607-R1607-S1607)</f>
        <v/>
      </c>
    </row>
    <row r="1608" customFormat="false" ht="15" hidden="false" customHeight="false" outlineLevel="0" collapsed="false">
      <c r="I1608" s="24" t="str">
        <f aca="false">IF($D1608="","",IFERROR(INDEX(Workers!$B$5:$B$2004,MATCH($D1608,Workers!$A$5:$A$2004,0)),"NOT FOUND"))</f>
        <v/>
      </c>
      <c r="J1608" s="24" t="str">
        <f aca="false">IF($D1608="","",IFERROR(INDEX(Workers!$C$5:$C$2004,MATCH($D1608,Workers!$A$5:$A$2004,0)),""))</f>
        <v/>
      </c>
      <c r="K1608" s="24" t="str">
        <f aca="false">IF($D1608="","",IFERROR(IF(INDEX(Workers!$D$5:$D$2004,MATCH($D1608,Workers!$A$5:$A$2004,0))=0,"",INDEX(Workers!$D$5:$D$2004,MATCH($D1608,Workers!$A$5:$A$2004,0))),""))</f>
        <v/>
      </c>
      <c r="L1608" s="24" t="str">
        <f aca="false">IF($D1608="","",IFERROR(INDEX(Workers!$E$5:$E$2004,MATCH($D1608,Workers!$A$5:$A$2004,0)),""))</f>
        <v/>
      </c>
      <c r="M1608" s="26" t="str">
        <f aca="false">IF($D1608="","",IFERROR(INDEX(ClientRates!$D$5:$D$500,MATCH($B1608&amp;"|"&amp;$L1608,ClientRates!$A$5:$A$500,0)),0))</f>
        <v/>
      </c>
      <c r="N1608" s="26" t="str">
        <f aca="false">IF($D1608="","",IFERROR(INDEX(ClientRates!$E$5:$E$500,MATCH($B1608&amp;"|"&amp;$L1608,ClientRates!$A$5:$A$500,0)),0))</f>
        <v/>
      </c>
      <c r="O1608" s="26" t="str">
        <f aca="false">IF($D1608="","",F1608*M1608+G1608*N1608)</f>
        <v/>
      </c>
      <c r="P1608" s="26" t="str">
        <f aca="false">IF(OR($D1608="",$J1608&lt;&gt;"Supplier"),"",IFERROR(INDEX(SupplierRates!$D$5:$D$500,MATCH($K1608&amp;"|"&amp;$L1608,SupplierRates!$A$5:$A$500,0)),0))</f>
        <v/>
      </c>
      <c r="Q1608" s="26" t="str">
        <f aca="false">IF(OR($D1608="",$J1608&lt;&gt;"Supplier"),"",IFERROR(INDEX(SupplierRates!$E$5:$E$500,MATCH($K1608&amp;"|"&amp;$L1608,SupplierRates!$A$5:$A$500,0)),0))</f>
        <v/>
      </c>
      <c r="R1608" s="26" t="n">
        <f aca="false">IF(OR($D1608="",$J1608&lt;&gt;"Supplier"),0,F1608*P1608+G1608*Q1608)</f>
        <v>0</v>
      </c>
      <c r="S1608" s="26" t="n">
        <f aca="false">IF(OR($D1608="",$J1608&lt;&gt;"Own"),0,IFERROR((F1608+G1608*Settings!$B$13)*INDEX(Workers!$V$5:$V$2004,MATCH($D1608,Workers!$A$5:$A$2004,0)),0))</f>
        <v>0</v>
      </c>
      <c r="T1608" s="26" t="str">
        <f aca="false">IF($D1608="","",O1608-R1608-S1608)</f>
        <v/>
      </c>
    </row>
    <row r="1609" customFormat="false" ht="15" hidden="false" customHeight="false" outlineLevel="0" collapsed="false">
      <c r="I1609" s="24" t="str">
        <f aca="false">IF($D1609="","",IFERROR(INDEX(Workers!$B$5:$B$2004,MATCH($D1609,Workers!$A$5:$A$2004,0)),"NOT FOUND"))</f>
        <v/>
      </c>
      <c r="J1609" s="24" t="str">
        <f aca="false">IF($D1609="","",IFERROR(INDEX(Workers!$C$5:$C$2004,MATCH($D1609,Workers!$A$5:$A$2004,0)),""))</f>
        <v/>
      </c>
      <c r="K1609" s="24" t="str">
        <f aca="false">IF($D1609="","",IFERROR(IF(INDEX(Workers!$D$5:$D$2004,MATCH($D1609,Workers!$A$5:$A$2004,0))=0,"",INDEX(Workers!$D$5:$D$2004,MATCH($D1609,Workers!$A$5:$A$2004,0))),""))</f>
        <v/>
      </c>
      <c r="L1609" s="24" t="str">
        <f aca="false">IF($D1609="","",IFERROR(INDEX(Workers!$E$5:$E$2004,MATCH($D1609,Workers!$A$5:$A$2004,0)),""))</f>
        <v/>
      </c>
      <c r="M1609" s="26" t="str">
        <f aca="false">IF($D1609="","",IFERROR(INDEX(ClientRates!$D$5:$D$500,MATCH($B1609&amp;"|"&amp;$L1609,ClientRates!$A$5:$A$500,0)),0))</f>
        <v/>
      </c>
      <c r="N1609" s="26" t="str">
        <f aca="false">IF($D1609="","",IFERROR(INDEX(ClientRates!$E$5:$E$500,MATCH($B1609&amp;"|"&amp;$L1609,ClientRates!$A$5:$A$500,0)),0))</f>
        <v/>
      </c>
      <c r="O1609" s="26" t="str">
        <f aca="false">IF($D1609="","",F1609*M1609+G1609*N1609)</f>
        <v/>
      </c>
      <c r="P1609" s="26" t="str">
        <f aca="false">IF(OR($D1609="",$J1609&lt;&gt;"Supplier"),"",IFERROR(INDEX(SupplierRates!$D$5:$D$500,MATCH($K1609&amp;"|"&amp;$L1609,SupplierRates!$A$5:$A$500,0)),0))</f>
        <v/>
      </c>
      <c r="Q1609" s="26" t="str">
        <f aca="false">IF(OR($D1609="",$J1609&lt;&gt;"Supplier"),"",IFERROR(INDEX(SupplierRates!$E$5:$E$500,MATCH($K1609&amp;"|"&amp;$L1609,SupplierRates!$A$5:$A$500,0)),0))</f>
        <v/>
      </c>
      <c r="R1609" s="26" t="n">
        <f aca="false">IF(OR($D1609="",$J1609&lt;&gt;"Supplier"),0,F1609*P1609+G1609*Q1609)</f>
        <v>0</v>
      </c>
      <c r="S1609" s="26" t="n">
        <f aca="false">IF(OR($D1609="",$J1609&lt;&gt;"Own"),0,IFERROR((F1609+G1609*Settings!$B$13)*INDEX(Workers!$V$5:$V$2004,MATCH($D1609,Workers!$A$5:$A$2004,0)),0))</f>
        <v>0</v>
      </c>
      <c r="T1609" s="26" t="str">
        <f aca="false">IF($D1609="","",O1609-R1609-S1609)</f>
        <v/>
      </c>
    </row>
    <row r="1610" customFormat="false" ht="15" hidden="false" customHeight="false" outlineLevel="0" collapsed="false">
      <c r="I1610" s="24" t="str">
        <f aca="false">IF($D1610="","",IFERROR(INDEX(Workers!$B$5:$B$2004,MATCH($D1610,Workers!$A$5:$A$2004,0)),"NOT FOUND"))</f>
        <v/>
      </c>
      <c r="J1610" s="24" t="str">
        <f aca="false">IF($D1610="","",IFERROR(INDEX(Workers!$C$5:$C$2004,MATCH($D1610,Workers!$A$5:$A$2004,0)),""))</f>
        <v/>
      </c>
      <c r="K1610" s="24" t="str">
        <f aca="false">IF($D1610="","",IFERROR(IF(INDEX(Workers!$D$5:$D$2004,MATCH($D1610,Workers!$A$5:$A$2004,0))=0,"",INDEX(Workers!$D$5:$D$2004,MATCH($D1610,Workers!$A$5:$A$2004,0))),""))</f>
        <v/>
      </c>
      <c r="L1610" s="24" t="str">
        <f aca="false">IF($D1610="","",IFERROR(INDEX(Workers!$E$5:$E$2004,MATCH($D1610,Workers!$A$5:$A$2004,0)),""))</f>
        <v/>
      </c>
      <c r="M1610" s="26" t="str">
        <f aca="false">IF($D1610="","",IFERROR(INDEX(ClientRates!$D$5:$D$500,MATCH($B1610&amp;"|"&amp;$L1610,ClientRates!$A$5:$A$500,0)),0))</f>
        <v/>
      </c>
      <c r="N1610" s="26" t="str">
        <f aca="false">IF($D1610="","",IFERROR(INDEX(ClientRates!$E$5:$E$500,MATCH($B1610&amp;"|"&amp;$L1610,ClientRates!$A$5:$A$500,0)),0))</f>
        <v/>
      </c>
      <c r="O1610" s="26" t="str">
        <f aca="false">IF($D1610="","",F1610*M1610+G1610*N1610)</f>
        <v/>
      </c>
      <c r="P1610" s="26" t="str">
        <f aca="false">IF(OR($D1610="",$J1610&lt;&gt;"Supplier"),"",IFERROR(INDEX(SupplierRates!$D$5:$D$500,MATCH($K1610&amp;"|"&amp;$L1610,SupplierRates!$A$5:$A$500,0)),0))</f>
        <v/>
      </c>
      <c r="Q1610" s="26" t="str">
        <f aca="false">IF(OR($D1610="",$J1610&lt;&gt;"Supplier"),"",IFERROR(INDEX(SupplierRates!$E$5:$E$500,MATCH($K1610&amp;"|"&amp;$L1610,SupplierRates!$A$5:$A$500,0)),0))</f>
        <v/>
      </c>
      <c r="R1610" s="26" t="n">
        <f aca="false">IF(OR($D1610="",$J1610&lt;&gt;"Supplier"),0,F1610*P1610+G1610*Q1610)</f>
        <v>0</v>
      </c>
      <c r="S1610" s="26" t="n">
        <f aca="false">IF(OR($D1610="",$J1610&lt;&gt;"Own"),0,IFERROR((F1610+G1610*Settings!$B$13)*INDEX(Workers!$V$5:$V$2004,MATCH($D1610,Workers!$A$5:$A$2004,0)),0))</f>
        <v>0</v>
      </c>
      <c r="T1610" s="26" t="str">
        <f aca="false">IF($D1610="","",O1610-R1610-S1610)</f>
        <v/>
      </c>
    </row>
    <row r="1611" customFormat="false" ht="15" hidden="false" customHeight="false" outlineLevel="0" collapsed="false">
      <c r="I1611" s="24" t="str">
        <f aca="false">IF($D1611="","",IFERROR(INDEX(Workers!$B$5:$B$2004,MATCH($D1611,Workers!$A$5:$A$2004,0)),"NOT FOUND"))</f>
        <v/>
      </c>
      <c r="J1611" s="24" t="str">
        <f aca="false">IF($D1611="","",IFERROR(INDEX(Workers!$C$5:$C$2004,MATCH($D1611,Workers!$A$5:$A$2004,0)),""))</f>
        <v/>
      </c>
      <c r="K1611" s="24" t="str">
        <f aca="false">IF($D1611="","",IFERROR(IF(INDEX(Workers!$D$5:$D$2004,MATCH($D1611,Workers!$A$5:$A$2004,0))=0,"",INDEX(Workers!$D$5:$D$2004,MATCH($D1611,Workers!$A$5:$A$2004,0))),""))</f>
        <v/>
      </c>
      <c r="L1611" s="24" t="str">
        <f aca="false">IF($D1611="","",IFERROR(INDEX(Workers!$E$5:$E$2004,MATCH($D1611,Workers!$A$5:$A$2004,0)),""))</f>
        <v/>
      </c>
      <c r="M1611" s="26" t="str">
        <f aca="false">IF($D1611="","",IFERROR(INDEX(ClientRates!$D$5:$D$500,MATCH($B1611&amp;"|"&amp;$L1611,ClientRates!$A$5:$A$500,0)),0))</f>
        <v/>
      </c>
      <c r="N1611" s="26" t="str">
        <f aca="false">IF($D1611="","",IFERROR(INDEX(ClientRates!$E$5:$E$500,MATCH($B1611&amp;"|"&amp;$L1611,ClientRates!$A$5:$A$500,0)),0))</f>
        <v/>
      </c>
      <c r="O1611" s="26" t="str">
        <f aca="false">IF($D1611="","",F1611*M1611+G1611*N1611)</f>
        <v/>
      </c>
      <c r="P1611" s="26" t="str">
        <f aca="false">IF(OR($D1611="",$J1611&lt;&gt;"Supplier"),"",IFERROR(INDEX(SupplierRates!$D$5:$D$500,MATCH($K1611&amp;"|"&amp;$L1611,SupplierRates!$A$5:$A$500,0)),0))</f>
        <v/>
      </c>
      <c r="Q1611" s="26" t="str">
        <f aca="false">IF(OR($D1611="",$J1611&lt;&gt;"Supplier"),"",IFERROR(INDEX(SupplierRates!$E$5:$E$500,MATCH($K1611&amp;"|"&amp;$L1611,SupplierRates!$A$5:$A$500,0)),0))</f>
        <v/>
      </c>
      <c r="R1611" s="26" t="n">
        <f aca="false">IF(OR($D1611="",$J1611&lt;&gt;"Supplier"),0,F1611*P1611+G1611*Q1611)</f>
        <v>0</v>
      </c>
      <c r="S1611" s="26" t="n">
        <f aca="false">IF(OR($D1611="",$J1611&lt;&gt;"Own"),0,IFERROR((F1611+G1611*Settings!$B$13)*INDEX(Workers!$V$5:$V$2004,MATCH($D1611,Workers!$A$5:$A$2004,0)),0))</f>
        <v>0</v>
      </c>
      <c r="T1611" s="26" t="str">
        <f aca="false">IF($D1611="","",O1611-R1611-S1611)</f>
        <v/>
      </c>
    </row>
    <row r="1612" customFormat="false" ht="15" hidden="false" customHeight="false" outlineLevel="0" collapsed="false">
      <c r="I1612" s="24" t="str">
        <f aca="false">IF($D1612="","",IFERROR(INDEX(Workers!$B$5:$B$2004,MATCH($D1612,Workers!$A$5:$A$2004,0)),"NOT FOUND"))</f>
        <v/>
      </c>
      <c r="J1612" s="24" t="str">
        <f aca="false">IF($D1612="","",IFERROR(INDEX(Workers!$C$5:$C$2004,MATCH($D1612,Workers!$A$5:$A$2004,0)),""))</f>
        <v/>
      </c>
      <c r="K1612" s="24" t="str">
        <f aca="false">IF($D1612="","",IFERROR(IF(INDEX(Workers!$D$5:$D$2004,MATCH($D1612,Workers!$A$5:$A$2004,0))=0,"",INDEX(Workers!$D$5:$D$2004,MATCH($D1612,Workers!$A$5:$A$2004,0))),""))</f>
        <v/>
      </c>
      <c r="L1612" s="24" t="str">
        <f aca="false">IF($D1612="","",IFERROR(INDEX(Workers!$E$5:$E$2004,MATCH($D1612,Workers!$A$5:$A$2004,0)),""))</f>
        <v/>
      </c>
      <c r="M1612" s="26" t="str">
        <f aca="false">IF($D1612="","",IFERROR(INDEX(ClientRates!$D$5:$D$500,MATCH($B1612&amp;"|"&amp;$L1612,ClientRates!$A$5:$A$500,0)),0))</f>
        <v/>
      </c>
      <c r="N1612" s="26" t="str">
        <f aca="false">IF($D1612="","",IFERROR(INDEX(ClientRates!$E$5:$E$500,MATCH($B1612&amp;"|"&amp;$L1612,ClientRates!$A$5:$A$500,0)),0))</f>
        <v/>
      </c>
      <c r="O1612" s="26" t="str">
        <f aca="false">IF($D1612="","",F1612*M1612+G1612*N1612)</f>
        <v/>
      </c>
      <c r="P1612" s="26" t="str">
        <f aca="false">IF(OR($D1612="",$J1612&lt;&gt;"Supplier"),"",IFERROR(INDEX(SupplierRates!$D$5:$D$500,MATCH($K1612&amp;"|"&amp;$L1612,SupplierRates!$A$5:$A$500,0)),0))</f>
        <v/>
      </c>
      <c r="Q1612" s="26" t="str">
        <f aca="false">IF(OR($D1612="",$J1612&lt;&gt;"Supplier"),"",IFERROR(INDEX(SupplierRates!$E$5:$E$500,MATCH($K1612&amp;"|"&amp;$L1612,SupplierRates!$A$5:$A$500,0)),0))</f>
        <v/>
      </c>
      <c r="R1612" s="26" t="n">
        <f aca="false">IF(OR($D1612="",$J1612&lt;&gt;"Supplier"),0,F1612*P1612+G1612*Q1612)</f>
        <v>0</v>
      </c>
      <c r="S1612" s="26" t="n">
        <f aca="false">IF(OR($D1612="",$J1612&lt;&gt;"Own"),0,IFERROR((F1612+G1612*Settings!$B$13)*INDEX(Workers!$V$5:$V$2004,MATCH($D1612,Workers!$A$5:$A$2004,0)),0))</f>
        <v>0</v>
      </c>
      <c r="T1612" s="26" t="str">
        <f aca="false">IF($D1612="","",O1612-R1612-S1612)</f>
        <v/>
      </c>
    </row>
    <row r="1613" customFormat="false" ht="15" hidden="false" customHeight="false" outlineLevel="0" collapsed="false">
      <c r="I1613" s="24" t="str">
        <f aca="false">IF($D1613="","",IFERROR(INDEX(Workers!$B$5:$B$2004,MATCH($D1613,Workers!$A$5:$A$2004,0)),"NOT FOUND"))</f>
        <v/>
      </c>
      <c r="J1613" s="24" t="str">
        <f aca="false">IF($D1613="","",IFERROR(INDEX(Workers!$C$5:$C$2004,MATCH($D1613,Workers!$A$5:$A$2004,0)),""))</f>
        <v/>
      </c>
      <c r="K1613" s="24" t="str">
        <f aca="false">IF($D1613="","",IFERROR(IF(INDEX(Workers!$D$5:$D$2004,MATCH($D1613,Workers!$A$5:$A$2004,0))=0,"",INDEX(Workers!$D$5:$D$2004,MATCH($D1613,Workers!$A$5:$A$2004,0))),""))</f>
        <v/>
      </c>
      <c r="L1613" s="24" t="str">
        <f aca="false">IF($D1613="","",IFERROR(INDEX(Workers!$E$5:$E$2004,MATCH($D1613,Workers!$A$5:$A$2004,0)),""))</f>
        <v/>
      </c>
      <c r="M1613" s="26" t="str">
        <f aca="false">IF($D1613="","",IFERROR(INDEX(ClientRates!$D$5:$D$500,MATCH($B1613&amp;"|"&amp;$L1613,ClientRates!$A$5:$A$500,0)),0))</f>
        <v/>
      </c>
      <c r="N1613" s="26" t="str">
        <f aca="false">IF($D1613="","",IFERROR(INDEX(ClientRates!$E$5:$E$500,MATCH($B1613&amp;"|"&amp;$L1613,ClientRates!$A$5:$A$500,0)),0))</f>
        <v/>
      </c>
      <c r="O1613" s="26" t="str">
        <f aca="false">IF($D1613="","",F1613*M1613+G1613*N1613)</f>
        <v/>
      </c>
      <c r="P1613" s="26" t="str">
        <f aca="false">IF(OR($D1613="",$J1613&lt;&gt;"Supplier"),"",IFERROR(INDEX(SupplierRates!$D$5:$D$500,MATCH($K1613&amp;"|"&amp;$L1613,SupplierRates!$A$5:$A$500,0)),0))</f>
        <v/>
      </c>
      <c r="Q1613" s="26" t="str">
        <f aca="false">IF(OR($D1613="",$J1613&lt;&gt;"Supplier"),"",IFERROR(INDEX(SupplierRates!$E$5:$E$500,MATCH($K1613&amp;"|"&amp;$L1613,SupplierRates!$A$5:$A$500,0)),0))</f>
        <v/>
      </c>
      <c r="R1613" s="26" t="n">
        <f aca="false">IF(OR($D1613="",$J1613&lt;&gt;"Supplier"),0,F1613*P1613+G1613*Q1613)</f>
        <v>0</v>
      </c>
      <c r="S1613" s="26" t="n">
        <f aca="false">IF(OR($D1613="",$J1613&lt;&gt;"Own"),0,IFERROR((F1613+G1613*Settings!$B$13)*INDEX(Workers!$V$5:$V$2004,MATCH($D1613,Workers!$A$5:$A$2004,0)),0))</f>
        <v>0</v>
      </c>
      <c r="T1613" s="26" t="str">
        <f aca="false">IF($D1613="","",O1613-R1613-S1613)</f>
        <v/>
      </c>
    </row>
    <row r="1614" customFormat="false" ht="15" hidden="false" customHeight="false" outlineLevel="0" collapsed="false">
      <c r="I1614" s="24" t="str">
        <f aca="false">IF($D1614="","",IFERROR(INDEX(Workers!$B$5:$B$2004,MATCH($D1614,Workers!$A$5:$A$2004,0)),"NOT FOUND"))</f>
        <v/>
      </c>
      <c r="J1614" s="24" t="str">
        <f aca="false">IF($D1614="","",IFERROR(INDEX(Workers!$C$5:$C$2004,MATCH($D1614,Workers!$A$5:$A$2004,0)),""))</f>
        <v/>
      </c>
      <c r="K1614" s="24" t="str">
        <f aca="false">IF($D1614="","",IFERROR(IF(INDEX(Workers!$D$5:$D$2004,MATCH($D1614,Workers!$A$5:$A$2004,0))=0,"",INDEX(Workers!$D$5:$D$2004,MATCH($D1614,Workers!$A$5:$A$2004,0))),""))</f>
        <v/>
      </c>
      <c r="L1614" s="24" t="str">
        <f aca="false">IF($D1614="","",IFERROR(INDEX(Workers!$E$5:$E$2004,MATCH($D1614,Workers!$A$5:$A$2004,0)),""))</f>
        <v/>
      </c>
      <c r="M1614" s="26" t="str">
        <f aca="false">IF($D1614="","",IFERROR(INDEX(ClientRates!$D$5:$D$500,MATCH($B1614&amp;"|"&amp;$L1614,ClientRates!$A$5:$A$500,0)),0))</f>
        <v/>
      </c>
      <c r="N1614" s="26" t="str">
        <f aca="false">IF($D1614="","",IFERROR(INDEX(ClientRates!$E$5:$E$500,MATCH($B1614&amp;"|"&amp;$L1614,ClientRates!$A$5:$A$500,0)),0))</f>
        <v/>
      </c>
      <c r="O1614" s="26" t="str">
        <f aca="false">IF($D1614="","",F1614*M1614+G1614*N1614)</f>
        <v/>
      </c>
      <c r="P1614" s="26" t="str">
        <f aca="false">IF(OR($D1614="",$J1614&lt;&gt;"Supplier"),"",IFERROR(INDEX(SupplierRates!$D$5:$D$500,MATCH($K1614&amp;"|"&amp;$L1614,SupplierRates!$A$5:$A$500,0)),0))</f>
        <v/>
      </c>
      <c r="Q1614" s="26" t="str">
        <f aca="false">IF(OR($D1614="",$J1614&lt;&gt;"Supplier"),"",IFERROR(INDEX(SupplierRates!$E$5:$E$500,MATCH($K1614&amp;"|"&amp;$L1614,SupplierRates!$A$5:$A$500,0)),0))</f>
        <v/>
      </c>
      <c r="R1614" s="26" t="n">
        <f aca="false">IF(OR($D1614="",$J1614&lt;&gt;"Supplier"),0,F1614*P1614+G1614*Q1614)</f>
        <v>0</v>
      </c>
      <c r="S1614" s="26" t="n">
        <f aca="false">IF(OR($D1614="",$J1614&lt;&gt;"Own"),0,IFERROR((F1614+G1614*Settings!$B$13)*INDEX(Workers!$V$5:$V$2004,MATCH($D1614,Workers!$A$5:$A$2004,0)),0))</f>
        <v>0</v>
      </c>
      <c r="T1614" s="26" t="str">
        <f aca="false">IF($D1614="","",O1614-R1614-S1614)</f>
        <v/>
      </c>
    </row>
    <row r="1615" customFormat="false" ht="15" hidden="false" customHeight="false" outlineLevel="0" collapsed="false">
      <c r="I1615" s="24" t="str">
        <f aca="false">IF($D1615="","",IFERROR(INDEX(Workers!$B$5:$B$2004,MATCH($D1615,Workers!$A$5:$A$2004,0)),"NOT FOUND"))</f>
        <v/>
      </c>
      <c r="J1615" s="24" t="str">
        <f aca="false">IF($D1615="","",IFERROR(INDEX(Workers!$C$5:$C$2004,MATCH($D1615,Workers!$A$5:$A$2004,0)),""))</f>
        <v/>
      </c>
      <c r="K1615" s="24" t="str">
        <f aca="false">IF($D1615="","",IFERROR(IF(INDEX(Workers!$D$5:$D$2004,MATCH($D1615,Workers!$A$5:$A$2004,0))=0,"",INDEX(Workers!$D$5:$D$2004,MATCH($D1615,Workers!$A$5:$A$2004,0))),""))</f>
        <v/>
      </c>
      <c r="L1615" s="24" t="str">
        <f aca="false">IF($D1615="","",IFERROR(INDEX(Workers!$E$5:$E$2004,MATCH($D1615,Workers!$A$5:$A$2004,0)),""))</f>
        <v/>
      </c>
      <c r="M1615" s="26" t="str">
        <f aca="false">IF($D1615="","",IFERROR(INDEX(ClientRates!$D$5:$D$500,MATCH($B1615&amp;"|"&amp;$L1615,ClientRates!$A$5:$A$500,0)),0))</f>
        <v/>
      </c>
      <c r="N1615" s="26" t="str">
        <f aca="false">IF($D1615="","",IFERROR(INDEX(ClientRates!$E$5:$E$500,MATCH($B1615&amp;"|"&amp;$L1615,ClientRates!$A$5:$A$500,0)),0))</f>
        <v/>
      </c>
      <c r="O1615" s="26" t="str">
        <f aca="false">IF($D1615="","",F1615*M1615+G1615*N1615)</f>
        <v/>
      </c>
      <c r="P1615" s="26" t="str">
        <f aca="false">IF(OR($D1615="",$J1615&lt;&gt;"Supplier"),"",IFERROR(INDEX(SupplierRates!$D$5:$D$500,MATCH($K1615&amp;"|"&amp;$L1615,SupplierRates!$A$5:$A$500,0)),0))</f>
        <v/>
      </c>
      <c r="Q1615" s="26" t="str">
        <f aca="false">IF(OR($D1615="",$J1615&lt;&gt;"Supplier"),"",IFERROR(INDEX(SupplierRates!$E$5:$E$500,MATCH($K1615&amp;"|"&amp;$L1615,SupplierRates!$A$5:$A$500,0)),0))</f>
        <v/>
      </c>
      <c r="R1615" s="26" t="n">
        <f aca="false">IF(OR($D1615="",$J1615&lt;&gt;"Supplier"),0,F1615*P1615+G1615*Q1615)</f>
        <v>0</v>
      </c>
      <c r="S1615" s="26" t="n">
        <f aca="false">IF(OR($D1615="",$J1615&lt;&gt;"Own"),0,IFERROR((F1615+G1615*Settings!$B$13)*INDEX(Workers!$V$5:$V$2004,MATCH($D1615,Workers!$A$5:$A$2004,0)),0))</f>
        <v>0</v>
      </c>
      <c r="T1615" s="26" t="str">
        <f aca="false">IF($D1615="","",O1615-R1615-S1615)</f>
        <v/>
      </c>
    </row>
    <row r="1616" customFormat="false" ht="15" hidden="false" customHeight="false" outlineLevel="0" collapsed="false">
      <c r="I1616" s="24" t="str">
        <f aca="false">IF($D1616="","",IFERROR(INDEX(Workers!$B$5:$B$2004,MATCH($D1616,Workers!$A$5:$A$2004,0)),"NOT FOUND"))</f>
        <v/>
      </c>
      <c r="J1616" s="24" t="str">
        <f aca="false">IF($D1616="","",IFERROR(INDEX(Workers!$C$5:$C$2004,MATCH($D1616,Workers!$A$5:$A$2004,0)),""))</f>
        <v/>
      </c>
      <c r="K1616" s="24" t="str">
        <f aca="false">IF($D1616="","",IFERROR(IF(INDEX(Workers!$D$5:$D$2004,MATCH($D1616,Workers!$A$5:$A$2004,0))=0,"",INDEX(Workers!$D$5:$D$2004,MATCH($D1616,Workers!$A$5:$A$2004,0))),""))</f>
        <v/>
      </c>
      <c r="L1616" s="24" t="str">
        <f aca="false">IF($D1616="","",IFERROR(INDEX(Workers!$E$5:$E$2004,MATCH($D1616,Workers!$A$5:$A$2004,0)),""))</f>
        <v/>
      </c>
      <c r="M1616" s="26" t="str">
        <f aca="false">IF($D1616="","",IFERROR(INDEX(ClientRates!$D$5:$D$500,MATCH($B1616&amp;"|"&amp;$L1616,ClientRates!$A$5:$A$500,0)),0))</f>
        <v/>
      </c>
      <c r="N1616" s="26" t="str">
        <f aca="false">IF($D1616="","",IFERROR(INDEX(ClientRates!$E$5:$E$500,MATCH($B1616&amp;"|"&amp;$L1616,ClientRates!$A$5:$A$500,0)),0))</f>
        <v/>
      </c>
      <c r="O1616" s="26" t="str">
        <f aca="false">IF($D1616="","",F1616*M1616+G1616*N1616)</f>
        <v/>
      </c>
      <c r="P1616" s="26" t="str">
        <f aca="false">IF(OR($D1616="",$J1616&lt;&gt;"Supplier"),"",IFERROR(INDEX(SupplierRates!$D$5:$D$500,MATCH($K1616&amp;"|"&amp;$L1616,SupplierRates!$A$5:$A$500,0)),0))</f>
        <v/>
      </c>
      <c r="Q1616" s="26" t="str">
        <f aca="false">IF(OR($D1616="",$J1616&lt;&gt;"Supplier"),"",IFERROR(INDEX(SupplierRates!$E$5:$E$500,MATCH($K1616&amp;"|"&amp;$L1616,SupplierRates!$A$5:$A$500,0)),0))</f>
        <v/>
      </c>
      <c r="R1616" s="26" t="n">
        <f aca="false">IF(OR($D1616="",$J1616&lt;&gt;"Supplier"),0,F1616*P1616+G1616*Q1616)</f>
        <v>0</v>
      </c>
      <c r="S1616" s="26" t="n">
        <f aca="false">IF(OR($D1616="",$J1616&lt;&gt;"Own"),0,IFERROR((F1616+G1616*Settings!$B$13)*INDEX(Workers!$V$5:$V$2004,MATCH($D1616,Workers!$A$5:$A$2004,0)),0))</f>
        <v>0</v>
      </c>
      <c r="T1616" s="26" t="str">
        <f aca="false">IF($D1616="","",O1616-R1616-S1616)</f>
        <v/>
      </c>
    </row>
    <row r="1617" customFormat="false" ht="15" hidden="false" customHeight="false" outlineLevel="0" collapsed="false">
      <c r="I1617" s="24" t="str">
        <f aca="false">IF($D1617="","",IFERROR(INDEX(Workers!$B$5:$B$2004,MATCH($D1617,Workers!$A$5:$A$2004,0)),"NOT FOUND"))</f>
        <v/>
      </c>
      <c r="J1617" s="24" t="str">
        <f aca="false">IF($D1617="","",IFERROR(INDEX(Workers!$C$5:$C$2004,MATCH($D1617,Workers!$A$5:$A$2004,0)),""))</f>
        <v/>
      </c>
      <c r="K1617" s="24" t="str">
        <f aca="false">IF($D1617="","",IFERROR(IF(INDEX(Workers!$D$5:$D$2004,MATCH($D1617,Workers!$A$5:$A$2004,0))=0,"",INDEX(Workers!$D$5:$D$2004,MATCH($D1617,Workers!$A$5:$A$2004,0))),""))</f>
        <v/>
      </c>
      <c r="L1617" s="24" t="str">
        <f aca="false">IF($D1617="","",IFERROR(INDEX(Workers!$E$5:$E$2004,MATCH($D1617,Workers!$A$5:$A$2004,0)),""))</f>
        <v/>
      </c>
      <c r="M1617" s="26" t="str">
        <f aca="false">IF($D1617="","",IFERROR(INDEX(ClientRates!$D$5:$D$500,MATCH($B1617&amp;"|"&amp;$L1617,ClientRates!$A$5:$A$500,0)),0))</f>
        <v/>
      </c>
      <c r="N1617" s="26" t="str">
        <f aca="false">IF($D1617="","",IFERROR(INDEX(ClientRates!$E$5:$E$500,MATCH($B1617&amp;"|"&amp;$L1617,ClientRates!$A$5:$A$500,0)),0))</f>
        <v/>
      </c>
      <c r="O1617" s="26" t="str">
        <f aca="false">IF($D1617="","",F1617*M1617+G1617*N1617)</f>
        <v/>
      </c>
      <c r="P1617" s="26" t="str">
        <f aca="false">IF(OR($D1617="",$J1617&lt;&gt;"Supplier"),"",IFERROR(INDEX(SupplierRates!$D$5:$D$500,MATCH($K1617&amp;"|"&amp;$L1617,SupplierRates!$A$5:$A$500,0)),0))</f>
        <v/>
      </c>
      <c r="Q1617" s="26" t="str">
        <f aca="false">IF(OR($D1617="",$J1617&lt;&gt;"Supplier"),"",IFERROR(INDEX(SupplierRates!$E$5:$E$500,MATCH($K1617&amp;"|"&amp;$L1617,SupplierRates!$A$5:$A$500,0)),0))</f>
        <v/>
      </c>
      <c r="R1617" s="26" t="n">
        <f aca="false">IF(OR($D1617="",$J1617&lt;&gt;"Supplier"),0,F1617*P1617+G1617*Q1617)</f>
        <v>0</v>
      </c>
      <c r="S1617" s="26" t="n">
        <f aca="false">IF(OR($D1617="",$J1617&lt;&gt;"Own"),0,IFERROR((F1617+G1617*Settings!$B$13)*INDEX(Workers!$V$5:$V$2004,MATCH($D1617,Workers!$A$5:$A$2004,0)),0))</f>
        <v>0</v>
      </c>
      <c r="T1617" s="26" t="str">
        <f aca="false">IF($D1617="","",O1617-R1617-S1617)</f>
        <v/>
      </c>
    </row>
    <row r="1618" customFormat="false" ht="15" hidden="false" customHeight="false" outlineLevel="0" collapsed="false">
      <c r="I1618" s="24" t="str">
        <f aca="false">IF($D1618="","",IFERROR(INDEX(Workers!$B$5:$B$2004,MATCH($D1618,Workers!$A$5:$A$2004,0)),"NOT FOUND"))</f>
        <v/>
      </c>
      <c r="J1618" s="24" t="str">
        <f aca="false">IF($D1618="","",IFERROR(INDEX(Workers!$C$5:$C$2004,MATCH($D1618,Workers!$A$5:$A$2004,0)),""))</f>
        <v/>
      </c>
      <c r="K1618" s="24" t="str">
        <f aca="false">IF($D1618="","",IFERROR(IF(INDEX(Workers!$D$5:$D$2004,MATCH($D1618,Workers!$A$5:$A$2004,0))=0,"",INDEX(Workers!$D$5:$D$2004,MATCH($D1618,Workers!$A$5:$A$2004,0))),""))</f>
        <v/>
      </c>
      <c r="L1618" s="24" t="str">
        <f aca="false">IF($D1618="","",IFERROR(INDEX(Workers!$E$5:$E$2004,MATCH($D1618,Workers!$A$5:$A$2004,0)),""))</f>
        <v/>
      </c>
      <c r="M1618" s="26" t="str">
        <f aca="false">IF($D1618="","",IFERROR(INDEX(ClientRates!$D$5:$D$500,MATCH($B1618&amp;"|"&amp;$L1618,ClientRates!$A$5:$A$500,0)),0))</f>
        <v/>
      </c>
      <c r="N1618" s="26" t="str">
        <f aca="false">IF($D1618="","",IFERROR(INDEX(ClientRates!$E$5:$E$500,MATCH($B1618&amp;"|"&amp;$L1618,ClientRates!$A$5:$A$500,0)),0))</f>
        <v/>
      </c>
      <c r="O1618" s="26" t="str">
        <f aca="false">IF($D1618="","",F1618*M1618+G1618*N1618)</f>
        <v/>
      </c>
      <c r="P1618" s="26" t="str">
        <f aca="false">IF(OR($D1618="",$J1618&lt;&gt;"Supplier"),"",IFERROR(INDEX(SupplierRates!$D$5:$D$500,MATCH($K1618&amp;"|"&amp;$L1618,SupplierRates!$A$5:$A$500,0)),0))</f>
        <v/>
      </c>
      <c r="Q1618" s="26" t="str">
        <f aca="false">IF(OR($D1618="",$J1618&lt;&gt;"Supplier"),"",IFERROR(INDEX(SupplierRates!$E$5:$E$500,MATCH($K1618&amp;"|"&amp;$L1618,SupplierRates!$A$5:$A$500,0)),0))</f>
        <v/>
      </c>
      <c r="R1618" s="26" t="n">
        <f aca="false">IF(OR($D1618="",$J1618&lt;&gt;"Supplier"),0,F1618*P1618+G1618*Q1618)</f>
        <v>0</v>
      </c>
      <c r="S1618" s="26" t="n">
        <f aca="false">IF(OR($D1618="",$J1618&lt;&gt;"Own"),0,IFERROR((F1618+G1618*Settings!$B$13)*INDEX(Workers!$V$5:$V$2004,MATCH($D1618,Workers!$A$5:$A$2004,0)),0))</f>
        <v>0</v>
      </c>
      <c r="T1618" s="26" t="str">
        <f aca="false">IF($D1618="","",O1618-R1618-S1618)</f>
        <v/>
      </c>
    </row>
    <row r="1619" customFormat="false" ht="15" hidden="false" customHeight="false" outlineLevel="0" collapsed="false">
      <c r="I1619" s="24" t="str">
        <f aca="false">IF($D1619="","",IFERROR(INDEX(Workers!$B$5:$B$2004,MATCH($D1619,Workers!$A$5:$A$2004,0)),"NOT FOUND"))</f>
        <v/>
      </c>
      <c r="J1619" s="24" t="str">
        <f aca="false">IF($D1619="","",IFERROR(INDEX(Workers!$C$5:$C$2004,MATCH($D1619,Workers!$A$5:$A$2004,0)),""))</f>
        <v/>
      </c>
      <c r="K1619" s="24" t="str">
        <f aca="false">IF($D1619="","",IFERROR(IF(INDEX(Workers!$D$5:$D$2004,MATCH($D1619,Workers!$A$5:$A$2004,0))=0,"",INDEX(Workers!$D$5:$D$2004,MATCH($D1619,Workers!$A$5:$A$2004,0))),""))</f>
        <v/>
      </c>
      <c r="L1619" s="24" t="str">
        <f aca="false">IF($D1619="","",IFERROR(INDEX(Workers!$E$5:$E$2004,MATCH($D1619,Workers!$A$5:$A$2004,0)),""))</f>
        <v/>
      </c>
      <c r="M1619" s="26" t="str">
        <f aca="false">IF($D1619="","",IFERROR(INDEX(ClientRates!$D$5:$D$500,MATCH($B1619&amp;"|"&amp;$L1619,ClientRates!$A$5:$A$500,0)),0))</f>
        <v/>
      </c>
      <c r="N1619" s="26" t="str">
        <f aca="false">IF($D1619="","",IFERROR(INDEX(ClientRates!$E$5:$E$500,MATCH($B1619&amp;"|"&amp;$L1619,ClientRates!$A$5:$A$500,0)),0))</f>
        <v/>
      </c>
      <c r="O1619" s="26" t="str">
        <f aca="false">IF($D1619="","",F1619*M1619+G1619*N1619)</f>
        <v/>
      </c>
      <c r="P1619" s="26" t="str">
        <f aca="false">IF(OR($D1619="",$J1619&lt;&gt;"Supplier"),"",IFERROR(INDEX(SupplierRates!$D$5:$D$500,MATCH($K1619&amp;"|"&amp;$L1619,SupplierRates!$A$5:$A$500,0)),0))</f>
        <v/>
      </c>
      <c r="Q1619" s="26" t="str">
        <f aca="false">IF(OR($D1619="",$J1619&lt;&gt;"Supplier"),"",IFERROR(INDEX(SupplierRates!$E$5:$E$500,MATCH($K1619&amp;"|"&amp;$L1619,SupplierRates!$A$5:$A$500,0)),0))</f>
        <v/>
      </c>
      <c r="R1619" s="26" t="n">
        <f aca="false">IF(OR($D1619="",$J1619&lt;&gt;"Supplier"),0,F1619*P1619+G1619*Q1619)</f>
        <v>0</v>
      </c>
      <c r="S1619" s="26" t="n">
        <f aca="false">IF(OR($D1619="",$J1619&lt;&gt;"Own"),0,IFERROR((F1619+G1619*Settings!$B$13)*INDEX(Workers!$V$5:$V$2004,MATCH($D1619,Workers!$A$5:$A$2004,0)),0))</f>
        <v>0</v>
      </c>
      <c r="T1619" s="26" t="str">
        <f aca="false">IF($D1619="","",O1619-R1619-S1619)</f>
        <v/>
      </c>
    </row>
    <row r="1620" customFormat="false" ht="15" hidden="false" customHeight="false" outlineLevel="0" collapsed="false">
      <c r="I1620" s="24" t="str">
        <f aca="false">IF($D1620="","",IFERROR(INDEX(Workers!$B$5:$B$2004,MATCH($D1620,Workers!$A$5:$A$2004,0)),"NOT FOUND"))</f>
        <v/>
      </c>
      <c r="J1620" s="24" t="str">
        <f aca="false">IF($D1620="","",IFERROR(INDEX(Workers!$C$5:$C$2004,MATCH($D1620,Workers!$A$5:$A$2004,0)),""))</f>
        <v/>
      </c>
      <c r="K1620" s="24" t="str">
        <f aca="false">IF($D1620="","",IFERROR(IF(INDEX(Workers!$D$5:$D$2004,MATCH($D1620,Workers!$A$5:$A$2004,0))=0,"",INDEX(Workers!$D$5:$D$2004,MATCH($D1620,Workers!$A$5:$A$2004,0))),""))</f>
        <v/>
      </c>
      <c r="L1620" s="24" t="str">
        <f aca="false">IF($D1620="","",IFERROR(INDEX(Workers!$E$5:$E$2004,MATCH($D1620,Workers!$A$5:$A$2004,0)),""))</f>
        <v/>
      </c>
      <c r="M1620" s="26" t="str">
        <f aca="false">IF($D1620="","",IFERROR(INDEX(ClientRates!$D$5:$D$500,MATCH($B1620&amp;"|"&amp;$L1620,ClientRates!$A$5:$A$500,0)),0))</f>
        <v/>
      </c>
      <c r="N1620" s="26" t="str">
        <f aca="false">IF($D1620="","",IFERROR(INDEX(ClientRates!$E$5:$E$500,MATCH($B1620&amp;"|"&amp;$L1620,ClientRates!$A$5:$A$500,0)),0))</f>
        <v/>
      </c>
      <c r="O1620" s="26" t="str">
        <f aca="false">IF($D1620="","",F1620*M1620+G1620*N1620)</f>
        <v/>
      </c>
      <c r="P1620" s="26" t="str">
        <f aca="false">IF(OR($D1620="",$J1620&lt;&gt;"Supplier"),"",IFERROR(INDEX(SupplierRates!$D$5:$D$500,MATCH($K1620&amp;"|"&amp;$L1620,SupplierRates!$A$5:$A$500,0)),0))</f>
        <v/>
      </c>
      <c r="Q1620" s="26" t="str">
        <f aca="false">IF(OR($D1620="",$J1620&lt;&gt;"Supplier"),"",IFERROR(INDEX(SupplierRates!$E$5:$E$500,MATCH($K1620&amp;"|"&amp;$L1620,SupplierRates!$A$5:$A$500,0)),0))</f>
        <v/>
      </c>
      <c r="R1620" s="26" t="n">
        <f aca="false">IF(OR($D1620="",$J1620&lt;&gt;"Supplier"),0,F1620*P1620+G1620*Q1620)</f>
        <v>0</v>
      </c>
      <c r="S1620" s="26" t="n">
        <f aca="false">IF(OR($D1620="",$J1620&lt;&gt;"Own"),0,IFERROR((F1620+G1620*Settings!$B$13)*INDEX(Workers!$V$5:$V$2004,MATCH($D1620,Workers!$A$5:$A$2004,0)),0))</f>
        <v>0</v>
      </c>
      <c r="T1620" s="26" t="str">
        <f aca="false">IF($D1620="","",O1620-R1620-S1620)</f>
        <v/>
      </c>
    </row>
    <row r="1621" customFormat="false" ht="15" hidden="false" customHeight="false" outlineLevel="0" collapsed="false">
      <c r="I1621" s="24" t="str">
        <f aca="false">IF($D1621="","",IFERROR(INDEX(Workers!$B$5:$B$2004,MATCH($D1621,Workers!$A$5:$A$2004,0)),"NOT FOUND"))</f>
        <v/>
      </c>
      <c r="J1621" s="24" t="str">
        <f aca="false">IF($D1621="","",IFERROR(INDEX(Workers!$C$5:$C$2004,MATCH($D1621,Workers!$A$5:$A$2004,0)),""))</f>
        <v/>
      </c>
      <c r="K1621" s="24" t="str">
        <f aca="false">IF($D1621="","",IFERROR(IF(INDEX(Workers!$D$5:$D$2004,MATCH($D1621,Workers!$A$5:$A$2004,0))=0,"",INDEX(Workers!$D$5:$D$2004,MATCH($D1621,Workers!$A$5:$A$2004,0))),""))</f>
        <v/>
      </c>
      <c r="L1621" s="24" t="str">
        <f aca="false">IF($D1621="","",IFERROR(INDEX(Workers!$E$5:$E$2004,MATCH($D1621,Workers!$A$5:$A$2004,0)),""))</f>
        <v/>
      </c>
      <c r="M1621" s="26" t="str">
        <f aca="false">IF($D1621="","",IFERROR(INDEX(ClientRates!$D$5:$D$500,MATCH($B1621&amp;"|"&amp;$L1621,ClientRates!$A$5:$A$500,0)),0))</f>
        <v/>
      </c>
      <c r="N1621" s="26" t="str">
        <f aca="false">IF($D1621="","",IFERROR(INDEX(ClientRates!$E$5:$E$500,MATCH($B1621&amp;"|"&amp;$L1621,ClientRates!$A$5:$A$500,0)),0))</f>
        <v/>
      </c>
      <c r="O1621" s="26" t="str">
        <f aca="false">IF($D1621="","",F1621*M1621+G1621*N1621)</f>
        <v/>
      </c>
      <c r="P1621" s="26" t="str">
        <f aca="false">IF(OR($D1621="",$J1621&lt;&gt;"Supplier"),"",IFERROR(INDEX(SupplierRates!$D$5:$D$500,MATCH($K1621&amp;"|"&amp;$L1621,SupplierRates!$A$5:$A$500,0)),0))</f>
        <v/>
      </c>
      <c r="Q1621" s="26" t="str">
        <f aca="false">IF(OR($D1621="",$J1621&lt;&gt;"Supplier"),"",IFERROR(INDEX(SupplierRates!$E$5:$E$500,MATCH($K1621&amp;"|"&amp;$L1621,SupplierRates!$A$5:$A$500,0)),0))</f>
        <v/>
      </c>
      <c r="R1621" s="26" t="n">
        <f aca="false">IF(OR($D1621="",$J1621&lt;&gt;"Supplier"),0,F1621*P1621+G1621*Q1621)</f>
        <v>0</v>
      </c>
      <c r="S1621" s="26" t="n">
        <f aca="false">IF(OR($D1621="",$J1621&lt;&gt;"Own"),0,IFERROR((F1621+G1621*Settings!$B$13)*INDEX(Workers!$V$5:$V$2004,MATCH($D1621,Workers!$A$5:$A$2004,0)),0))</f>
        <v>0</v>
      </c>
      <c r="T1621" s="26" t="str">
        <f aca="false">IF($D1621="","",O1621-R1621-S1621)</f>
        <v/>
      </c>
    </row>
    <row r="1622" customFormat="false" ht="15" hidden="false" customHeight="false" outlineLevel="0" collapsed="false">
      <c r="I1622" s="24" t="str">
        <f aca="false">IF($D1622="","",IFERROR(INDEX(Workers!$B$5:$B$2004,MATCH($D1622,Workers!$A$5:$A$2004,0)),"NOT FOUND"))</f>
        <v/>
      </c>
      <c r="J1622" s="24" t="str">
        <f aca="false">IF($D1622="","",IFERROR(INDEX(Workers!$C$5:$C$2004,MATCH($D1622,Workers!$A$5:$A$2004,0)),""))</f>
        <v/>
      </c>
      <c r="K1622" s="24" t="str">
        <f aca="false">IF($D1622="","",IFERROR(IF(INDEX(Workers!$D$5:$D$2004,MATCH($D1622,Workers!$A$5:$A$2004,0))=0,"",INDEX(Workers!$D$5:$D$2004,MATCH($D1622,Workers!$A$5:$A$2004,0))),""))</f>
        <v/>
      </c>
      <c r="L1622" s="24" t="str">
        <f aca="false">IF($D1622="","",IFERROR(INDEX(Workers!$E$5:$E$2004,MATCH($D1622,Workers!$A$5:$A$2004,0)),""))</f>
        <v/>
      </c>
      <c r="M1622" s="26" t="str">
        <f aca="false">IF($D1622="","",IFERROR(INDEX(ClientRates!$D$5:$D$500,MATCH($B1622&amp;"|"&amp;$L1622,ClientRates!$A$5:$A$500,0)),0))</f>
        <v/>
      </c>
      <c r="N1622" s="26" t="str">
        <f aca="false">IF($D1622="","",IFERROR(INDEX(ClientRates!$E$5:$E$500,MATCH($B1622&amp;"|"&amp;$L1622,ClientRates!$A$5:$A$500,0)),0))</f>
        <v/>
      </c>
      <c r="O1622" s="26" t="str">
        <f aca="false">IF($D1622="","",F1622*M1622+G1622*N1622)</f>
        <v/>
      </c>
      <c r="P1622" s="26" t="str">
        <f aca="false">IF(OR($D1622="",$J1622&lt;&gt;"Supplier"),"",IFERROR(INDEX(SupplierRates!$D$5:$D$500,MATCH($K1622&amp;"|"&amp;$L1622,SupplierRates!$A$5:$A$500,0)),0))</f>
        <v/>
      </c>
      <c r="Q1622" s="26" t="str">
        <f aca="false">IF(OR($D1622="",$J1622&lt;&gt;"Supplier"),"",IFERROR(INDEX(SupplierRates!$E$5:$E$500,MATCH($K1622&amp;"|"&amp;$L1622,SupplierRates!$A$5:$A$500,0)),0))</f>
        <v/>
      </c>
      <c r="R1622" s="26" t="n">
        <f aca="false">IF(OR($D1622="",$J1622&lt;&gt;"Supplier"),0,F1622*P1622+G1622*Q1622)</f>
        <v>0</v>
      </c>
      <c r="S1622" s="26" t="n">
        <f aca="false">IF(OR($D1622="",$J1622&lt;&gt;"Own"),0,IFERROR((F1622+G1622*Settings!$B$13)*INDEX(Workers!$V$5:$V$2004,MATCH($D1622,Workers!$A$5:$A$2004,0)),0))</f>
        <v>0</v>
      </c>
      <c r="T1622" s="26" t="str">
        <f aca="false">IF($D1622="","",O1622-R1622-S1622)</f>
        <v/>
      </c>
    </row>
    <row r="1623" customFormat="false" ht="15" hidden="false" customHeight="false" outlineLevel="0" collapsed="false">
      <c r="I1623" s="24" t="str">
        <f aca="false">IF($D1623="","",IFERROR(INDEX(Workers!$B$5:$B$2004,MATCH($D1623,Workers!$A$5:$A$2004,0)),"NOT FOUND"))</f>
        <v/>
      </c>
      <c r="J1623" s="24" t="str">
        <f aca="false">IF($D1623="","",IFERROR(INDEX(Workers!$C$5:$C$2004,MATCH($D1623,Workers!$A$5:$A$2004,0)),""))</f>
        <v/>
      </c>
      <c r="K1623" s="24" t="str">
        <f aca="false">IF($D1623="","",IFERROR(IF(INDEX(Workers!$D$5:$D$2004,MATCH($D1623,Workers!$A$5:$A$2004,0))=0,"",INDEX(Workers!$D$5:$D$2004,MATCH($D1623,Workers!$A$5:$A$2004,0))),""))</f>
        <v/>
      </c>
      <c r="L1623" s="24" t="str">
        <f aca="false">IF($D1623="","",IFERROR(INDEX(Workers!$E$5:$E$2004,MATCH($D1623,Workers!$A$5:$A$2004,0)),""))</f>
        <v/>
      </c>
      <c r="M1623" s="26" t="str">
        <f aca="false">IF($D1623="","",IFERROR(INDEX(ClientRates!$D$5:$D$500,MATCH($B1623&amp;"|"&amp;$L1623,ClientRates!$A$5:$A$500,0)),0))</f>
        <v/>
      </c>
      <c r="N1623" s="26" t="str">
        <f aca="false">IF($D1623="","",IFERROR(INDEX(ClientRates!$E$5:$E$500,MATCH($B1623&amp;"|"&amp;$L1623,ClientRates!$A$5:$A$500,0)),0))</f>
        <v/>
      </c>
      <c r="O1623" s="26" t="str">
        <f aca="false">IF($D1623="","",F1623*M1623+G1623*N1623)</f>
        <v/>
      </c>
      <c r="P1623" s="26" t="str">
        <f aca="false">IF(OR($D1623="",$J1623&lt;&gt;"Supplier"),"",IFERROR(INDEX(SupplierRates!$D$5:$D$500,MATCH($K1623&amp;"|"&amp;$L1623,SupplierRates!$A$5:$A$500,0)),0))</f>
        <v/>
      </c>
      <c r="Q1623" s="26" t="str">
        <f aca="false">IF(OR($D1623="",$J1623&lt;&gt;"Supplier"),"",IFERROR(INDEX(SupplierRates!$E$5:$E$500,MATCH($K1623&amp;"|"&amp;$L1623,SupplierRates!$A$5:$A$500,0)),0))</f>
        <v/>
      </c>
      <c r="R1623" s="26" t="n">
        <f aca="false">IF(OR($D1623="",$J1623&lt;&gt;"Supplier"),0,F1623*P1623+G1623*Q1623)</f>
        <v>0</v>
      </c>
      <c r="S1623" s="26" t="n">
        <f aca="false">IF(OR($D1623="",$J1623&lt;&gt;"Own"),0,IFERROR((F1623+G1623*Settings!$B$13)*INDEX(Workers!$V$5:$V$2004,MATCH($D1623,Workers!$A$5:$A$2004,0)),0))</f>
        <v>0</v>
      </c>
      <c r="T1623" s="26" t="str">
        <f aca="false">IF($D1623="","",O1623-R1623-S1623)</f>
        <v/>
      </c>
    </row>
    <row r="1624" customFormat="false" ht="15" hidden="false" customHeight="false" outlineLevel="0" collapsed="false">
      <c r="I1624" s="24" t="str">
        <f aca="false">IF($D1624="","",IFERROR(INDEX(Workers!$B$5:$B$2004,MATCH($D1624,Workers!$A$5:$A$2004,0)),"NOT FOUND"))</f>
        <v/>
      </c>
      <c r="J1624" s="24" t="str">
        <f aca="false">IF($D1624="","",IFERROR(INDEX(Workers!$C$5:$C$2004,MATCH($D1624,Workers!$A$5:$A$2004,0)),""))</f>
        <v/>
      </c>
      <c r="K1624" s="24" t="str">
        <f aca="false">IF($D1624="","",IFERROR(IF(INDEX(Workers!$D$5:$D$2004,MATCH($D1624,Workers!$A$5:$A$2004,0))=0,"",INDEX(Workers!$D$5:$D$2004,MATCH($D1624,Workers!$A$5:$A$2004,0))),""))</f>
        <v/>
      </c>
      <c r="L1624" s="24" t="str">
        <f aca="false">IF($D1624="","",IFERROR(INDEX(Workers!$E$5:$E$2004,MATCH($D1624,Workers!$A$5:$A$2004,0)),""))</f>
        <v/>
      </c>
      <c r="M1624" s="26" t="str">
        <f aca="false">IF($D1624="","",IFERROR(INDEX(ClientRates!$D$5:$D$500,MATCH($B1624&amp;"|"&amp;$L1624,ClientRates!$A$5:$A$500,0)),0))</f>
        <v/>
      </c>
      <c r="N1624" s="26" t="str">
        <f aca="false">IF($D1624="","",IFERROR(INDEX(ClientRates!$E$5:$E$500,MATCH($B1624&amp;"|"&amp;$L1624,ClientRates!$A$5:$A$500,0)),0))</f>
        <v/>
      </c>
      <c r="O1624" s="26" t="str">
        <f aca="false">IF($D1624="","",F1624*M1624+G1624*N1624)</f>
        <v/>
      </c>
      <c r="P1624" s="26" t="str">
        <f aca="false">IF(OR($D1624="",$J1624&lt;&gt;"Supplier"),"",IFERROR(INDEX(SupplierRates!$D$5:$D$500,MATCH($K1624&amp;"|"&amp;$L1624,SupplierRates!$A$5:$A$500,0)),0))</f>
        <v/>
      </c>
      <c r="Q1624" s="26" t="str">
        <f aca="false">IF(OR($D1624="",$J1624&lt;&gt;"Supplier"),"",IFERROR(INDEX(SupplierRates!$E$5:$E$500,MATCH($K1624&amp;"|"&amp;$L1624,SupplierRates!$A$5:$A$500,0)),0))</f>
        <v/>
      </c>
      <c r="R1624" s="26" t="n">
        <f aca="false">IF(OR($D1624="",$J1624&lt;&gt;"Supplier"),0,F1624*P1624+G1624*Q1624)</f>
        <v>0</v>
      </c>
      <c r="S1624" s="26" t="n">
        <f aca="false">IF(OR($D1624="",$J1624&lt;&gt;"Own"),0,IFERROR((F1624+G1624*Settings!$B$13)*INDEX(Workers!$V$5:$V$2004,MATCH($D1624,Workers!$A$5:$A$2004,0)),0))</f>
        <v>0</v>
      </c>
      <c r="T1624" s="26" t="str">
        <f aca="false">IF($D1624="","",O1624-R1624-S1624)</f>
        <v/>
      </c>
    </row>
    <row r="1625" customFormat="false" ht="15" hidden="false" customHeight="false" outlineLevel="0" collapsed="false">
      <c r="I1625" s="24" t="str">
        <f aca="false">IF($D1625="","",IFERROR(INDEX(Workers!$B$5:$B$2004,MATCH($D1625,Workers!$A$5:$A$2004,0)),"NOT FOUND"))</f>
        <v/>
      </c>
      <c r="J1625" s="24" t="str">
        <f aca="false">IF($D1625="","",IFERROR(INDEX(Workers!$C$5:$C$2004,MATCH($D1625,Workers!$A$5:$A$2004,0)),""))</f>
        <v/>
      </c>
      <c r="K1625" s="24" t="str">
        <f aca="false">IF($D1625="","",IFERROR(IF(INDEX(Workers!$D$5:$D$2004,MATCH($D1625,Workers!$A$5:$A$2004,0))=0,"",INDEX(Workers!$D$5:$D$2004,MATCH($D1625,Workers!$A$5:$A$2004,0))),""))</f>
        <v/>
      </c>
      <c r="L1625" s="24" t="str">
        <f aca="false">IF($D1625="","",IFERROR(INDEX(Workers!$E$5:$E$2004,MATCH($D1625,Workers!$A$5:$A$2004,0)),""))</f>
        <v/>
      </c>
      <c r="M1625" s="26" t="str">
        <f aca="false">IF($D1625="","",IFERROR(INDEX(ClientRates!$D$5:$D$500,MATCH($B1625&amp;"|"&amp;$L1625,ClientRates!$A$5:$A$500,0)),0))</f>
        <v/>
      </c>
      <c r="N1625" s="26" t="str">
        <f aca="false">IF($D1625="","",IFERROR(INDEX(ClientRates!$E$5:$E$500,MATCH($B1625&amp;"|"&amp;$L1625,ClientRates!$A$5:$A$500,0)),0))</f>
        <v/>
      </c>
      <c r="O1625" s="26" t="str">
        <f aca="false">IF($D1625="","",F1625*M1625+G1625*N1625)</f>
        <v/>
      </c>
      <c r="P1625" s="26" t="str">
        <f aca="false">IF(OR($D1625="",$J1625&lt;&gt;"Supplier"),"",IFERROR(INDEX(SupplierRates!$D$5:$D$500,MATCH($K1625&amp;"|"&amp;$L1625,SupplierRates!$A$5:$A$500,0)),0))</f>
        <v/>
      </c>
      <c r="Q1625" s="26" t="str">
        <f aca="false">IF(OR($D1625="",$J1625&lt;&gt;"Supplier"),"",IFERROR(INDEX(SupplierRates!$E$5:$E$500,MATCH($K1625&amp;"|"&amp;$L1625,SupplierRates!$A$5:$A$500,0)),0))</f>
        <v/>
      </c>
      <c r="R1625" s="26" t="n">
        <f aca="false">IF(OR($D1625="",$J1625&lt;&gt;"Supplier"),0,F1625*P1625+G1625*Q1625)</f>
        <v>0</v>
      </c>
      <c r="S1625" s="26" t="n">
        <f aca="false">IF(OR($D1625="",$J1625&lt;&gt;"Own"),0,IFERROR((F1625+G1625*Settings!$B$13)*INDEX(Workers!$V$5:$V$2004,MATCH($D1625,Workers!$A$5:$A$2004,0)),0))</f>
        <v>0</v>
      </c>
      <c r="T1625" s="26" t="str">
        <f aca="false">IF($D1625="","",O1625-R1625-S1625)</f>
        <v/>
      </c>
    </row>
    <row r="1626" customFormat="false" ht="15" hidden="false" customHeight="false" outlineLevel="0" collapsed="false">
      <c r="I1626" s="24" t="str">
        <f aca="false">IF($D1626="","",IFERROR(INDEX(Workers!$B$5:$B$2004,MATCH($D1626,Workers!$A$5:$A$2004,0)),"NOT FOUND"))</f>
        <v/>
      </c>
      <c r="J1626" s="24" t="str">
        <f aca="false">IF($D1626="","",IFERROR(INDEX(Workers!$C$5:$C$2004,MATCH($D1626,Workers!$A$5:$A$2004,0)),""))</f>
        <v/>
      </c>
      <c r="K1626" s="24" t="str">
        <f aca="false">IF($D1626="","",IFERROR(IF(INDEX(Workers!$D$5:$D$2004,MATCH($D1626,Workers!$A$5:$A$2004,0))=0,"",INDEX(Workers!$D$5:$D$2004,MATCH($D1626,Workers!$A$5:$A$2004,0))),""))</f>
        <v/>
      </c>
      <c r="L1626" s="24" t="str">
        <f aca="false">IF($D1626="","",IFERROR(INDEX(Workers!$E$5:$E$2004,MATCH($D1626,Workers!$A$5:$A$2004,0)),""))</f>
        <v/>
      </c>
      <c r="M1626" s="26" t="str">
        <f aca="false">IF($D1626="","",IFERROR(INDEX(ClientRates!$D$5:$D$500,MATCH($B1626&amp;"|"&amp;$L1626,ClientRates!$A$5:$A$500,0)),0))</f>
        <v/>
      </c>
      <c r="N1626" s="26" t="str">
        <f aca="false">IF($D1626="","",IFERROR(INDEX(ClientRates!$E$5:$E$500,MATCH($B1626&amp;"|"&amp;$L1626,ClientRates!$A$5:$A$500,0)),0))</f>
        <v/>
      </c>
      <c r="O1626" s="26" t="str">
        <f aca="false">IF($D1626="","",F1626*M1626+G1626*N1626)</f>
        <v/>
      </c>
      <c r="P1626" s="26" t="str">
        <f aca="false">IF(OR($D1626="",$J1626&lt;&gt;"Supplier"),"",IFERROR(INDEX(SupplierRates!$D$5:$D$500,MATCH($K1626&amp;"|"&amp;$L1626,SupplierRates!$A$5:$A$500,0)),0))</f>
        <v/>
      </c>
      <c r="Q1626" s="26" t="str">
        <f aca="false">IF(OR($D1626="",$J1626&lt;&gt;"Supplier"),"",IFERROR(INDEX(SupplierRates!$E$5:$E$500,MATCH($K1626&amp;"|"&amp;$L1626,SupplierRates!$A$5:$A$500,0)),0))</f>
        <v/>
      </c>
      <c r="R1626" s="26" t="n">
        <f aca="false">IF(OR($D1626="",$J1626&lt;&gt;"Supplier"),0,F1626*P1626+G1626*Q1626)</f>
        <v>0</v>
      </c>
      <c r="S1626" s="26" t="n">
        <f aca="false">IF(OR($D1626="",$J1626&lt;&gt;"Own"),0,IFERROR((F1626+G1626*Settings!$B$13)*INDEX(Workers!$V$5:$V$2004,MATCH($D1626,Workers!$A$5:$A$2004,0)),0))</f>
        <v>0</v>
      </c>
      <c r="T1626" s="26" t="str">
        <f aca="false">IF($D1626="","",O1626-R1626-S1626)</f>
        <v/>
      </c>
    </row>
    <row r="1627" customFormat="false" ht="15" hidden="false" customHeight="false" outlineLevel="0" collapsed="false">
      <c r="I1627" s="24" t="str">
        <f aca="false">IF($D1627="","",IFERROR(INDEX(Workers!$B$5:$B$2004,MATCH($D1627,Workers!$A$5:$A$2004,0)),"NOT FOUND"))</f>
        <v/>
      </c>
      <c r="J1627" s="24" t="str">
        <f aca="false">IF($D1627="","",IFERROR(INDEX(Workers!$C$5:$C$2004,MATCH($D1627,Workers!$A$5:$A$2004,0)),""))</f>
        <v/>
      </c>
      <c r="K1627" s="24" t="str">
        <f aca="false">IF($D1627="","",IFERROR(IF(INDEX(Workers!$D$5:$D$2004,MATCH($D1627,Workers!$A$5:$A$2004,0))=0,"",INDEX(Workers!$D$5:$D$2004,MATCH($D1627,Workers!$A$5:$A$2004,0))),""))</f>
        <v/>
      </c>
      <c r="L1627" s="24" t="str">
        <f aca="false">IF($D1627="","",IFERROR(INDEX(Workers!$E$5:$E$2004,MATCH($D1627,Workers!$A$5:$A$2004,0)),""))</f>
        <v/>
      </c>
      <c r="M1627" s="26" t="str">
        <f aca="false">IF($D1627="","",IFERROR(INDEX(ClientRates!$D$5:$D$500,MATCH($B1627&amp;"|"&amp;$L1627,ClientRates!$A$5:$A$500,0)),0))</f>
        <v/>
      </c>
      <c r="N1627" s="26" t="str">
        <f aca="false">IF($D1627="","",IFERROR(INDEX(ClientRates!$E$5:$E$500,MATCH($B1627&amp;"|"&amp;$L1627,ClientRates!$A$5:$A$500,0)),0))</f>
        <v/>
      </c>
      <c r="O1627" s="26" t="str">
        <f aca="false">IF($D1627="","",F1627*M1627+G1627*N1627)</f>
        <v/>
      </c>
      <c r="P1627" s="26" t="str">
        <f aca="false">IF(OR($D1627="",$J1627&lt;&gt;"Supplier"),"",IFERROR(INDEX(SupplierRates!$D$5:$D$500,MATCH($K1627&amp;"|"&amp;$L1627,SupplierRates!$A$5:$A$500,0)),0))</f>
        <v/>
      </c>
      <c r="Q1627" s="26" t="str">
        <f aca="false">IF(OR($D1627="",$J1627&lt;&gt;"Supplier"),"",IFERROR(INDEX(SupplierRates!$E$5:$E$500,MATCH($K1627&amp;"|"&amp;$L1627,SupplierRates!$A$5:$A$500,0)),0))</f>
        <v/>
      </c>
      <c r="R1627" s="26" t="n">
        <f aca="false">IF(OR($D1627="",$J1627&lt;&gt;"Supplier"),0,F1627*P1627+G1627*Q1627)</f>
        <v>0</v>
      </c>
      <c r="S1627" s="26" t="n">
        <f aca="false">IF(OR($D1627="",$J1627&lt;&gt;"Own"),0,IFERROR((F1627+G1627*Settings!$B$13)*INDEX(Workers!$V$5:$V$2004,MATCH($D1627,Workers!$A$5:$A$2004,0)),0))</f>
        <v>0</v>
      </c>
      <c r="T1627" s="26" t="str">
        <f aca="false">IF($D1627="","",O1627-R1627-S1627)</f>
        <v/>
      </c>
    </row>
    <row r="1628" customFormat="false" ht="15" hidden="false" customHeight="false" outlineLevel="0" collapsed="false">
      <c r="I1628" s="24" t="str">
        <f aca="false">IF($D1628="","",IFERROR(INDEX(Workers!$B$5:$B$2004,MATCH($D1628,Workers!$A$5:$A$2004,0)),"NOT FOUND"))</f>
        <v/>
      </c>
      <c r="J1628" s="24" t="str">
        <f aca="false">IF($D1628="","",IFERROR(INDEX(Workers!$C$5:$C$2004,MATCH($D1628,Workers!$A$5:$A$2004,0)),""))</f>
        <v/>
      </c>
      <c r="K1628" s="24" t="str">
        <f aca="false">IF($D1628="","",IFERROR(IF(INDEX(Workers!$D$5:$D$2004,MATCH($D1628,Workers!$A$5:$A$2004,0))=0,"",INDEX(Workers!$D$5:$D$2004,MATCH($D1628,Workers!$A$5:$A$2004,0))),""))</f>
        <v/>
      </c>
      <c r="L1628" s="24" t="str">
        <f aca="false">IF($D1628="","",IFERROR(INDEX(Workers!$E$5:$E$2004,MATCH($D1628,Workers!$A$5:$A$2004,0)),""))</f>
        <v/>
      </c>
      <c r="M1628" s="26" t="str">
        <f aca="false">IF($D1628="","",IFERROR(INDEX(ClientRates!$D$5:$D$500,MATCH($B1628&amp;"|"&amp;$L1628,ClientRates!$A$5:$A$500,0)),0))</f>
        <v/>
      </c>
      <c r="N1628" s="26" t="str">
        <f aca="false">IF($D1628="","",IFERROR(INDEX(ClientRates!$E$5:$E$500,MATCH($B1628&amp;"|"&amp;$L1628,ClientRates!$A$5:$A$500,0)),0))</f>
        <v/>
      </c>
      <c r="O1628" s="26" t="str">
        <f aca="false">IF($D1628="","",F1628*M1628+G1628*N1628)</f>
        <v/>
      </c>
      <c r="P1628" s="26" t="str">
        <f aca="false">IF(OR($D1628="",$J1628&lt;&gt;"Supplier"),"",IFERROR(INDEX(SupplierRates!$D$5:$D$500,MATCH($K1628&amp;"|"&amp;$L1628,SupplierRates!$A$5:$A$500,0)),0))</f>
        <v/>
      </c>
      <c r="Q1628" s="26" t="str">
        <f aca="false">IF(OR($D1628="",$J1628&lt;&gt;"Supplier"),"",IFERROR(INDEX(SupplierRates!$E$5:$E$500,MATCH($K1628&amp;"|"&amp;$L1628,SupplierRates!$A$5:$A$500,0)),0))</f>
        <v/>
      </c>
      <c r="R1628" s="26" t="n">
        <f aca="false">IF(OR($D1628="",$J1628&lt;&gt;"Supplier"),0,F1628*P1628+G1628*Q1628)</f>
        <v>0</v>
      </c>
      <c r="S1628" s="26" t="n">
        <f aca="false">IF(OR($D1628="",$J1628&lt;&gt;"Own"),0,IFERROR((F1628+G1628*Settings!$B$13)*INDEX(Workers!$V$5:$V$2004,MATCH($D1628,Workers!$A$5:$A$2004,0)),0))</f>
        <v>0</v>
      </c>
      <c r="T1628" s="26" t="str">
        <f aca="false">IF($D1628="","",O1628-R1628-S1628)</f>
        <v/>
      </c>
    </row>
    <row r="1629" customFormat="false" ht="15" hidden="false" customHeight="false" outlineLevel="0" collapsed="false">
      <c r="I1629" s="24" t="str">
        <f aca="false">IF($D1629="","",IFERROR(INDEX(Workers!$B$5:$B$2004,MATCH($D1629,Workers!$A$5:$A$2004,0)),"NOT FOUND"))</f>
        <v/>
      </c>
      <c r="J1629" s="24" t="str">
        <f aca="false">IF($D1629="","",IFERROR(INDEX(Workers!$C$5:$C$2004,MATCH($D1629,Workers!$A$5:$A$2004,0)),""))</f>
        <v/>
      </c>
      <c r="K1629" s="24" t="str">
        <f aca="false">IF($D1629="","",IFERROR(IF(INDEX(Workers!$D$5:$D$2004,MATCH($D1629,Workers!$A$5:$A$2004,0))=0,"",INDEX(Workers!$D$5:$D$2004,MATCH($D1629,Workers!$A$5:$A$2004,0))),""))</f>
        <v/>
      </c>
      <c r="L1629" s="24" t="str">
        <f aca="false">IF($D1629="","",IFERROR(INDEX(Workers!$E$5:$E$2004,MATCH($D1629,Workers!$A$5:$A$2004,0)),""))</f>
        <v/>
      </c>
      <c r="M1629" s="26" t="str">
        <f aca="false">IF($D1629="","",IFERROR(INDEX(ClientRates!$D$5:$D$500,MATCH($B1629&amp;"|"&amp;$L1629,ClientRates!$A$5:$A$500,0)),0))</f>
        <v/>
      </c>
      <c r="N1629" s="26" t="str">
        <f aca="false">IF($D1629="","",IFERROR(INDEX(ClientRates!$E$5:$E$500,MATCH($B1629&amp;"|"&amp;$L1629,ClientRates!$A$5:$A$500,0)),0))</f>
        <v/>
      </c>
      <c r="O1629" s="26" t="str">
        <f aca="false">IF($D1629="","",F1629*M1629+G1629*N1629)</f>
        <v/>
      </c>
      <c r="P1629" s="26" t="str">
        <f aca="false">IF(OR($D1629="",$J1629&lt;&gt;"Supplier"),"",IFERROR(INDEX(SupplierRates!$D$5:$D$500,MATCH($K1629&amp;"|"&amp;$L1629,SupplierRates!$A$5:$A$500,0)),0))</f>
        <v/>
      </c>
      <c r="Q1629" s="26" t="str">
        <f aca="false">IF(OR($D1629="",$J1629&lt;&gt;"Supplier"),"",IFERROR(INDEX(SupplierRates!$E$5:$E$500,MATCH($K1629&amp;"|"&amp;$L1629,SupplierRates!$A$5:$A$500,0)),0))</f>
        <v/>
      </c>
      <c r="R1629" s="26" t="n">
        <f aca="false">IF(OR($D1629="",$J1629&lt;&gt;"Supplier"),0,F1629*P1629+G1629*Q1629)</f>
        <v>0</v>
      </c>
      <c r="S1629" s="26" t="n">
        <f aca="false">IF(OR($D1629="",$J1629&lt;&gt;"Own"),0,IFERROR((F1629+G1629*Settings!$B$13)*INDEX(Workers!$V$5:$V$2004,MATCH($D1629,Workers!$A$5:$A$2004,0)),0))</f>
        <v>0</v>
      </c>
      <c r="T1629" s="26" t="str">
        <f aca="false">IF($D1629="","",O1629-R1629-S1629)</f>
        <v/>
      </c>
    </row>
    <row r="1630" customFormat="false" ht="15" hidden="false" customHeight="false" outlineLevel="0" collapsed="false">
      <c r="I1630" s="24" t="str">
        <f aca="false">IF($D1630="","",IFERROR(INDEX(Workers!$B$5:$B$2004,MATCH($D1630,Workers!$A$5:$A$2004,0)),"NOT FOUND"))</f>
        <v/>
      </c>
      <c r="J1630" s="24" t="str">
        <f aca="false">IF($D1630="","",IFERROR(INDEX(Workers!$C$5:$C$2004,MATCH($D1630,Workers!$A$5:$A$2004,0)),""))</f>
        <v/>
      </c>
      <c r="K1630" s="24" t="str">
        <f aca="false">IF($D1630="","",IFERROR(IF(INDEX(Workers!$D$5:$D$2004,MATCH($D1630,Workers!$A$5:$A$2004,0))=0,"",INDEX(Workers!$D$5:$D$2004,MATCH($D1630,Workers!$A$5:$A$2004,0))),""))</f>
        <v/>
      </c>
      <c r="L1630" s="24" t="str">
        <f aca="false">IF($D1630="","",IFERROR(INDEX(Workers!$E$5:$E$2004,MATCH($D1630,Workers!$A$5:$A$2004,0)),""))</f>
        <v/>
      </c>
      <c r="M1630" s="26" t="str">
        <f aca="false">IF($D1630="","",IFERROR(INDEX(ClientRates!$D$5:$D$500,MATCH($B1630&amp;"|"&amp;$L1630,ClientRates!$A$5:$A$500,0)),0))</f>
        <v/>
      </c>
      <c r="N1630" s="26" t="str">
        <f aca="false">IF($D1630="","",IFERROR(INDEX(ClientRates!$E$5:$E$500,MATCH($B1630&amp;"|"&amp;$L1630,ClientRates!$A$5:$A$500,0)),0))</f>
        <v/>
      </c>
      <c r="O1630" s="26" t="str">
        <f aca="false">IF($D1630="","",F1630*M1630+G1630*N1630)</f>
        <v/>
      </c>
      <c r="P1630" s="26" t="str">
        <f aca="false">IF(OR($D1630="",$J1630&lt;&gt;"Supplier"),"",IFERROR(INDEX(SupplierRates!$D$5:$D$500,MATCH($K1630&amp;"|"&amp;$L1630,SupplierRates!$A$5:$A$500,0)),0))</f>
        <v/>
      </c>
      <c r="Q1630" s="26" t="str">
        <f aca="false">IF(OR($D1630="",$J1630&lt;&gt;"Supplier"),"",IFERROR(INDEX(SupplierRates!$E$5:$E$500,MATCH($K1630&amp;"|"&amp;$L1630,SupplierRates!$A$5:$A$500,0)),0))</f>
        <v/>
      </c>
      <c r="R1630" s="26" t="n">
        <f aca="false">IF(OR($D1630="",$J1630&lt;&gt;"Supplier"),0,F1630*P1630+G1630*Q1630)</f>
        <v>0</v>
      </c>
      <c r="S1630" s="26" t="n">
        <f aca="false">IF(OR($D1630="",$J1630&lt;&gt;"Own"),0,IFERROR((F1630+G1630*Settings!$B$13)*INDEX(Workers!$V$5:$V$2004,MATCH($D1630,Workers!$A$5:$A$2004,0)),0))</f>
        <v>0</v>
      </c>
      <c r="T1630" s="26" t="str">
        <f aca="false">IF($D1630="","",O1630-R1630-S1630)</f>
        <v/>
      </c>
    </row>
    <row r="1631" customFormat="false" ht="15" hidden="false" customHeight="false" outlineLevel="0" collapsed="false">
      <c r="I1631" s="24" t="str">
        <f aca="false">IF($D1631="","",IFERROR(INDEX(Workers!$B$5:$B$2004,MATCH($D1631,Workers!$A$5:$A$2004,0)),"NOT FOUND"))</f>
        <v/>
      </c>
      <c r="J1631" s="24" t="str">
        <f aca="false">IF($D1631="","",IFERROR(INDEX(Workers!$C$5:$C$2004,MATCH($D1631,Workers!$A$5:$A$2004,0)),""))</f>
        <v/>
      </c>
      <c r="K1631" s="24" t="str">
        <f aca="false">IF($D1631="","",IFERROR(IF(INDEX(Workers!$D$5:$D$2004,MATCH($D1631,Workers!$A$5:$A$2004,0))=0,"",INDEX(Workers!$D$5:$D$2004,MATCH($D1631,Workers!$A$5:$A$2004,0))),""))</f>
        <v/>
      </c>
      <c r="L1631" s="24" t="str">
        <f aca="false">IF($D1631="","",IFERROR(INDEX(Workers!$E$5:$E$2004,MATCH($D1631,Workers!$A$5:$A$2004,0)),""))</f>
        <v/>
      </c>
      <c r="M1631" s="26" t="str">
        <f aca="false">IF($D1631="","",IFERROR(INDEX(ClientRates!$D$5:$D$500,MATCH($B1631&amp;"|"&amp;$L1631,ClientRates!$A$5:$A$500,0)),0))</f>
        <v/>
      </c>
      <c r="N1631" s="26" t="str">
        <f aca="false">IF($D1631="","",IFERROR(INDEX(ClientRates!$E$5:$E$500,MATCH($B1631&amp;"|"&amp;$L1631,ClientRates!$A$5:$A$500,0)),0))</f>
        <v/>
      </c>
      <c r="O1631" s="26" t="str">
        <f aca="false">IF($D1631="","",F1631*M1631+G1631*N1631)</f>
        <v/>
      </c>
      <c r="P1631" s="26" t="str">
        <f aca="false">IF(OR($D1631="",$J1631&lt;&gt;"Supplier"),"",IFERROR(INDEX(SupplierRates!$D$5:$D$500,MATCH($K1631&amp;"|"&amp;$L1631,SupplierRates!$A$5:$A$500,0)),0))</f>
        <v/>
      </c>
      <c r="Q1631" s="26" t="str">
        <f aca="false">IF(OR($D1631="",$J1631&lt;&gt;"Supplier"),"",IFERROR(INDEX(SupplierRates!$E$5:$E$500,MATCH($K1631&amp;"|"&amp;$L1631,SupplierRates!$A$5:$A$500,0)),0))</f>
        <v/>
      </c>
      <c r="R1631" s="26" t="n">
        <f aca="false">IF(OR($D1631="",$J1631&lt;&gt;"Supplier"),0,F1631*P1631+G1631*Q1631)</f>
        <v>0</v>
      </c>
      <c r="S1631" s="26" t="n">
        <f aca="false">IF(OR($D1631="",$J1631&lt;&gt;"Own"),0,IFERROR((F1631+G1631*Settings!$B$13)*INDEX(Workers!$V$5:$V$2004,MATCH($D1631,Workers!$A$5:$A$2004,0)),0))</f>
        <v>0</v>
      </c>
      <c r="T1631" s="26" t="str">
        <f aca="false">IF($D1631="","",O1631-R1631-S1631)</f>
        <v/>
      </c>
    </row>
    <row r="1632" customFormat="false" ht="15" hidden="false" customHeight="false" outlineLevel="0" collapsed="false">
      <c r="I1632" s="24" t="str">
        <f aca="false">IF($D1632="","",IFERROR(INDEX(Workers!$B$5:$B$2004,MATCH($D1632,Workers!$A$5:$A$2004,0)),"NOT FOUND"))</f>
        <v/>
      </c>
      <c r="J1632" s="24" t="str">
        <f aca="false">IF($D1632="","",IFERROR(INDEX(Workers!$C$5:$C$2004,MATCH($D1632,Workers!$A$5:$A$2004,0)),""))</f>
        <v/>
      </c>
      <c r="K1632" s="24" t="str">
        <f aca="false">IF($D1632="","",IFERROR(IF(INDEX(Workers!$D$5:$D$2004,MATCH($D1632,Workers!$A$5:$A$2004,0))=0,"",INDEX(Workers!$D$5:$D$2004,MATCH($D1632,Workers!$A$5:$A$2004,0))),""))</f>
        <v/>
      </c>
      <c r="L1632" s="24" t="str">
        <f aca="false">IF($D1632="","",IFERROR(INDEX(Workers!$E$5:$E$2004,MATCH($D1632,Workers!$A$5:$A$2004,0)),""))</f>
        <v/>
      </c>
      <c r="M1632" s="26" t="str">
        <f aca="false">IF($D1632="","",IFERROR(INDEX(ClientRates!$D$5:$D$500,MATCH($B1632&amp;"|"&amp;$L1632,ClientRates!$A$5:$A$500,0)),0))</f>
        <v/>
      </c>
      <c r="N1632" s="26" t="str">
        <f aca="false">IF($D1632="","",IFERROR(INDEX(ClientRates!$E$5:$E$500,MATCH($B1632&amp;"|"&amp;$L1632,ClientRates!$A$5:$A$500,0)),0))</f>
        <v/>
      </c>
      <c r="O1632" s="26" t="str">
        <f aca="false">IF($D1632="","",F1632*M1632+G1632*N1632)</f>
        <v/>
      </c>
      <c r="P1632" s="26" t="str">
        <f aca="false">IF(OR($D1632="",$J1632&lt;&gt;"Supplier"),"",IFERROR(INDEX(SupplierRates!$D$5:$D$500,MATCH($K1632&amp;"|"&amp;$L1632,SupplierRates!$A$5:$A$500,0)),0))</f>
        <v/>
      </c>
      <c r="Q1632" s="26" t="str">
        <f aca="false">IF(OR($D1632="",$J1632&lt;&gt;"Supplier"),"",IFERROR(INDEX(SupplierRates!$E$5:$E$500,MATCH($K1632&amp;"|"&amp;$L1632,SupplierRates!$A$5:$A$500,0)),0))</f>
        <v/>
      </c>
      <c r="R1632" s="26" t="n">
        <f aca="false">IF(OR($D1632="",$J1632&lt;&gt;"Supplier"),0,F1632*P1632+G1632*Q1632)</f>
        <v>0</v>
      </c>
      <c r="S1632" s="26" t="n">
        <f aca="false">IF(OR($D1632="",$J1632&lt;&gt;"Own"),0,IFERROR((F1632+G1632*Settings!$B$13)*INDEX(Workers!$V$5:$V$2004,MATCH($D1632,Workers!$A$5:$A$2004,0)),0))</f>
        <v>0</v>
      </c>
      <c r="T1632" s="26" t="str">
        <f aca="false">IF($D1632="","",O1632-R1632-S1632)</f>
        <v/>
      </c>
    </row>
    <row r="1633" customFormat="false" ht="15" hidden="false" customHeight="false" outlineLevel="0" collapsed="false">
      <c r="I1633" s="24" t="str">
        <f aca="false">IF($D1633="","",IFERROR(INDEX(Workers!$B$5:$B$2004,MATCH($D1633,Workers!$A$5:$A$2004,0)),"NOT FOUND"))</f>
        <v/>
      </c>
      <c r="J1633" s="24" t="str">
        <f aca="false">IF($D1633="","",IFERROR(INDEX(Workers!$C$5:$C$2004,MATCH($D1633,Workers!$A$5:$A$2004,0)),""))</f>
        <v/>
      </c>
      <c r="K1633" s="24" t="str">
        <f aca="false">IF($D1633="","",IFERROR(IF(INDEX(Workers!$D$5:$D$2004,MATCH($D1633,Workers!$A$5:$A$2004,0))=0,"",INDEX(Workers!$D$5:$D$2004,MATCH($D1633,Workers!$A$5:$A$2004,0))),""))</f>
        <v/>
      </c>
      <c r="L1633" s="24" t="str">
        <f aca="false">IF($D1633="","",IFERROR(INDEX(Workers!$E$5:$E$2004,MATCH($D1633,Workers!$A$5:$A$2004,0)),""))</f>
        <v/>
      </c>
      <c r="M1633" s="26" t="str">
        <f aca="false">IF($D1633="","",IFERROR(INDEX(ClientRates!$D$5:$D$500,MATCH($B1633&amp;"|"&amp;$L1633,ClientRates!$A$5:$A$500,0)),0))</f>
        <v/>
      </c>
      <c r="N1633" s="26" t="str">
        <f aca="false">IF($D1633="","",IFERROR(INDEX(ClientRates!$E$5:$E$500,MATCH($B1633&amp;"|"&amp;$L1633,ClientRates!$A$5:$A$500,0)),0))</f>
        <v/>
      </c>
      <c r="O1633" s="26" t="str">
        <f aca="false">IF($D1633="","",F1633*M1633+G1633*N1633)</f>
        <v/>
      </c>
      <c r="P1633" s="26" t="str">
        <f aca="false">IF(OR($D1633="",$J1633&lt;&gt;"Supplier"),"",IFERROR(INDEX(SupplierRates!$D$5:$D$500,MATCH($K1633&amp;"|"&amp;$L1633,SupplierRates!$A$5:$A$500,0)),0))</f>
        <v/>
      </c>
      <c r="Q1633" s="26" t="str">
        <f aca="false">IF(OR($D1633="",$J1633&lt;&gt;"Supplier"),"",IFERROR(INDEX(SupplierRates!$E$5:$E$500,MATCH($K1633&amp;"|"&amp;$L1633,SupplierRates!$A$5:$A$500,0)),0))</f>
        <v/>
      </c>
      <c r="R1633" s="26" t="n">
        <f aca="false">IF(OR($D1633="",$J1633&lt;&gt;"Supplier"),0,F1633*P1633+G1633*Q1633)</f>
        <v>0</v>
      </c>
      <c r="S1633" s="26" t="n">
        <f aca="false">IF(OR($D1633="",$J1633&lt;&gt;"Own"),0,IFERROR((F1633+G1633*Settings!$B$13)*INDEX(Workers!$V$5:$V$2004,MATCH($D1633,Workers!$A$5:$A$2004,0)),0))</f>
        <v>0</v>
      </c>
      <c r="T1633" s="26" t="str">
        <f aca="false">IF($D1633="","",O1633-R1633-S1633)</f>
        <v/>
      </c>
    </row>
    <row r="1634" customFormat="false" ht="15" hidden="false" customHeight="false" outlineLevel="0" collapsed="false">
      <c r="I1634" s="24" t="str">
        <f aca="false">IF($D1634="","",IFERROR(INDEX(Workers!$B$5:$B$2004,MATCH($D1634,Workers!$A$5:$A$2004,0)),"NOT FOUND"))</f>
        <v/>
      </c>
      <c r="J1634" s="24" t="str">
        <f aca="false">IF($D1634="","",IFERROR(INDEX(Workers!$C$5:$C$2004,MATCH($D1634,Workers!$A$5:$A$2004,0)),""))</f>
        <v/>
      </c>
      <c r="K1634" s="24" t="str">
        <f aca="false">IF($D1634="","",IFERROR(IF(INDEX(Workers!$D$5:$D$2004,MATCH($D1634,Workers!$A$5:$A$2004,0))=0,"",INDEX(Workers!$D$5:$D$2004,MATCH($D1634,Workers!$A$5:$A$2004,0))),""))</f>
        <v/>
      </c>
      <c r="L1634" s="24" t="str">
        <f aca="false">IF($D1634="","",IFERROR(INDEX(Workers!$E$5:$E$2004,MATCH($D1634,Workers!$A$5:$A$2004,0)),""))</f>
        <v/>
      </c>
      <c r="M1634" s="26" t="str">
        <f aca="false">IF($D1634="","",IFERROR(INDEX(ClientRates!$D$5:$D$500,MATCH($B1634&amp;"|"&amp;$L1634,ClientRates!$A$5:$A$500,0)),0))</f>
        <v/>
      </c>
      <c r="N1634" s="26" t="str">
        <f aca="false">IF($D1634="","",IFERROR(INDEX(ClientRates!$E$5:$E$500,MATCH($B1634&amp;"|"&amp;$L1634,ClientRates!$A$5:$A$500,0)),0))</f>
        <v/>
      </c>
      <c r="O1634" s="26" t="str">
        <f aca="false">IF($D1634="","",F1634*M1634+G1634*N1634)</f>
        <v/>
      </c>
      <c r="P1634" s="26" t="str">
        <f aca="false">IF(OR($D1634="",$J1634&lt;&gt;"Supplier"),"",IFERROR(INDEX(SupplierRates!$D$5:$D$500,MATCH($K1634&amp;"|"&amp;$L1634,SupplierRates!$A$5:$A$500,0)),0))</f>
        <v/>
      </c>
      <c r="Q1634" s="26" t="str">
        <f aca="false">IF(OR($D1634="",$J1634&lt;&gt;"Supplier"),"",IFERROR(INDEX(SupplierRates!$E$5:$E$500,MATCH($K1634&amp;"|"&amp;$L1634,SupplierRates!$A$5:$A$500,0)),0))</f>
        <v/>
      </c>
      <c r="R1634" s="26" t="n">
        <f aca="false">IF(OR($D1634="",$J1634&lt;&gt;"Supplier"),0,F1634*P1634+G1634*Q1634)</f>
        <v>0</v>
      </c>
      <c r="S1634" s="26" t="n">
        <f aca="false">IF(OR($D1634="",$J1634&lt;&gt;"Own"),0,IFERROR((F1634+G1634*Settings!$B$13)*INDEX(Workers!$V$5:$V$2004,MATCH($D1634,Workers!$A$5:$A$2004,0)),0))</f>
        <v>0</v>
      </c>
      <c r="T1634" s="26" t="str">
        <f aca="false">IF($D1634="","",O1634-R1634-S1634)</f>
        <v/>
      </c>
    </row>
    <row r="1635" customFormat="false" ht="15" hidden="false" customHeight="false" outlineLevel="0" collapsed="false">
      <c r="I1635" s="24" t="str">
        <f aca="false">IF($D1635="","",IFERROR(INDEX(Workers!$B$5:$B$2004,MATCH($D1635,Workers!$A$5:$A$2004,0)),"NOT FOUND"))</f>
        <v/>
      </c>
      <c r="J1635" s="24" t="str">
        <f aca="false">IF($D1635="","",IFERROR(INDEX(Workers!$C$5:$C$2004,MATCH($D1635,Workers!$A$5:$A$2004,0)),""))</f>
        <v/>
      </c>
      <c r="K1635" s="24" t="str">
        <f aca="false">IF($D1635="","",IFERROR(IF(INDEX(Workers!$D$5:$D$2004,MATCH($D1635,Workers!$A$5:$A$2004,0))=0,"",INDEX(Workers!$D$5:$D$2004,MATCH($D1635,Workers!$A$5:$A$2004,0))),""))</f>
        <v/>
      </c>
      <c r="L1635" s="24" t="str">
        <f aca="false">IF($D1635="","",IFERROR(INDEX(Workers!$E$5:$E$2004,MATCH($D1635,Workers!$A$5:$A$2004,0)),""))</f>
        <v/>
      </c>
      <c r="M1635" s="26" t="str">
        <f aca="false">IF($D1635="","",IFERROR(INDEX(ClientRates!$D$5:$D$500,MATCH($B1635&amp;"|"&amp;$L1635,ClientRates!$A$5:$A$500,0)),0))</f>
        <v/>
      </c>
      <c r="N1635" s="26" t="str">
        <f aca="false">IF($D1635="","",IFERROR(INDEX(ClientRates!$E$5:$E$500,MATCH($B1635&amp;"|"&amp;$L1635,ClientRates!$A$5:$A$500,0)),0))</f>
        <v/>
      </c>
      <c r="O1635" s="26" t="str">
        <f aca="false">IF($D1635="","",F1635*M1635+G1635*N1635)</f>
        <v/>
      </c>
      <c r="P1635" s="26" t="str">
        <f aca="false">IF(OR($D1635="",$J1635&lt;&gt;"Supplier"),"",IFERROR(INDEX(SupplierRates!$D$5:$D$500,MATCH($K1635&amp;"|"&amp;$L1635,SupplierRates!$A$5:$A$500,0)),0))</f>
        <v/>
      </c>
      <c r="Q1635" s="26" t="str">
        <f aca="false">IF(OR($D1635="",$J1635&lt;&gt;"Supplier"),"",IFERROR(INDEX(SupplierRates!$E$5:$E$500,MATCH($K1635&amp;"|"&amp;$L1635,SupplierRates!$A$5:$A$500,0)),0))</f>
        <v/>
      </c>
      <c r="R1635" s="26" t="n">
        <f aca="false">IF(OR($D1635="",$J1635&lt;&gt;"Supplier"),0,F1635*P1635+G1635*Q1635)</f>
        <v>0</v>
      </c>
      <c r="S1635" s="26" t="n">
        <f aca="false">IF(OR($D1635="",$J1635&lt;&gt;"Own"),0,IFERROR((F1635+G1635*Settings!$B$13)*INDEX(Workers!$V$5:$V$2004,MATCH($D1635,Workers!$A$5:$A$2004,0)),0))</f>
        <v>0</v>
      </c>
      <c r="T1635" s="26" t="str">
        <f aca="false">IF($D1635="","",O1635-R1635-S1635)</f>
        <v/>
      </c>
    </row>
    <row r="1636" customFormat="false" ht="15" hidden="false" customHeight="false" outlineLevel="0" collapsed="false">
      <c r="I1636" s="24" t="str">
        <f aca="false">IF($D1636="","",IFERROR(INDEX(Workers!$B$5:$B$2004,MATCH($D1636,Workers!$A$5:$A$2004,0)),"NOT FOUND"))</f>
        <v/>
      </c>
      <c r="J1636" s="24" t="str">
        <f aca="false">IF($D1636="","",IFERROR(INDEX(Workers!$C$5:$C$2004,MATCH($D1636,Workers!$A$5:$A$2004,0)),""))</f>
        <v/>
      </c>
      <c r="K1636" s="24" t="str">
        <f aca="false">IF($D1636="","",IFERROR(IF(INDEX(Workers!$D$5:$D$2004,MATCH($D1636,Workers!$A$5:$A$2004,0))=0,"",INDEX(Workers!$D$5:$D$2004,MATCH($D1636,Workers!$A$5:$A$2004,0))),""))</f>
        <v/>
      </c>
      <c r="L1636" s="24" t="str">
        <f aca="false">IF($D1636="","",IFERROR(INDEX(Workers!$E$5:$E$2004,MATCH($D1636,Workers!$A$5:$A$2004,0)),""))</f>
        <v/>
      </c>
      <c r="M1636" s="26" t="str">
        <f aca="false">IF($D1636="","",IFERROR(INDEX(ClientRates!$D$5:$D$500,MATCH($B1636&amp;"|"&amp;$L1636,ClientRates!$A$5:$A$500,0)),0))</f>
        <v/>
      </c>
      <c r="N1636" s="26" t="str">
        <f aca="false">IF($D1636="","",IFERROR(INDEX(ClientRates!$E$5:$E$500,MATCH($B1636&amp;"|"&amp;$L1636,ClientRates!$A$5:$A$500,0)),0))</f>
        <v/>
      </c>
      <c r="O1636" s="26" t="str">
        <f aca="false">IF($D1636="","",F1636*M1636+G1636*N1636)</f>
        <v/>
      </c>
      <c r="P1636" s="26" t="str">
        <f aca="false">IF(OR($D1636="",$J1636&lt;&gt;"Supplier"),"",IFERROR(INDEX(SupplierRates!$D$5:$D$500,MATCH($K1636&amp;"|"&amp;$L1636,SupplierRates!$A$5:$A$500,0)),0))</f>
        <v/>
      </c>
      <c r="Q1636" s="26" t="str">
        <f aca="false">IF(OR($D1636="",$J1636&lt;&gt;"Supplier"),"",IFERROR(INDEX(SupplierRates!$E$5:$E$500,MATCH($K1636&amp;"|"&amp;$L1636,SupplierRates!$A$5:$A$500,0)),0))</f>
        <v/>
      </c>
      <c r="R1636" s="26" t="n">
        <f aca="false">IF(OR($D1636="",$J1636&lt;&gt;"Supplier"),0,F1636*P1636+G1636*Q1636)</f>
        <v>0</v>
      </c>
      <c r="S1636" s="26" t="n">
        <f aca="false">IF(OR($D1636="",$J1636&lt;&gt;"Own"),0,IFERROR((F1636+G1636*Settings!$B$13)*INDEX(Workers!$V$5:$V$2004,MATCH($D1636,Workers!$A$5:$A$2004,0)),0))</f>
        <v>0</v>
      </c>
      <c r="T1636" s="26" t="str">
        <f aca="false">IF($D1636="","",O1636-R1636-S1636)</f>
        <v/>
      </c>
    </row>
    <row r="1637" customFormat="false" ht="15" hidden="false" customHeight="false" outlineLevel="0" collapsed="false">
      <c r="I1637" s="24" t="str">
        <f aca="false">IF($D1637="","",IFERROR(INDEX(Workers!$B$5:$B$2004,MATCH($D1637,Workers!$A$5:$A$2004,0)),"NOT FOUND"))</f>
        <v/>
      </c>
      <c r="J1637" s="24" t="str">
        <f aca="false">IF($D1637="","",IFERROR(INDEX(Workers!$C$5:$C$2004,MATCH($D1637,Workers!$A$5:$A$2004,0)),""))</f>
        <v/>
      </c>
      <c r="K1637" s="24" t="str">
        <f aca="false">IF($D1637="","",IFERROR(IF(INDEX(Workers!$D$5:$D$2004,MATCH($D1637,Workers!$A$5:$A$2004,0))=0,"",INDEX(Workers!$D$5:$D$2004,MATCH($D1637,Workers!$A$5:$A$2004,0))),""))</f>
        <v/>
      </c>
      <c r="L1637" s="24" t="str">
        <f aca="false">IF($D1637="","",IFERROR(INDEX(Workers!$E$5:$E$2004,MATCH($D1637,Workers!$A$5:$A$2004,0)),""))</f>
        <v/>
      </c>
      <c r="M1637" s="26" t="str">
        <f aca="false">IF($D1637="","",IFERROR(INDEX(ClientRates!$D$5:$D$500,MATCH($B1637&amp;"|"&amp;$L1637,ClientRates!$A$5:$A$500,0)),0))</f>
        <v/>
      </c>
      <c r="N1637" s="26" t="str">
        <f aca="false">IF($D1637="","",IFERROR(INDEX(ClientRates!$E$5:$E$500,MATCH($B1637&amp;"|"&amp;$L1637,ClientRates!$A$5:$A$500,0)),0))</f>
        <v/>
      </c>
      <c r="O1637" s="26" t="str">
        <f aca="false">IF($D1637="","",F1637*M1637+G1637*N1637)</f>
        <v/>
      </c>
      <c r="P1637" s="26" t="str">
        <f aca="false">IF(OR($D1637="",$J1637&lt;&gt;"Supplier"),"",IFERROR(INDEX(SupplierRates!$D$5:$D$500,MATCH($K1637&amp;"|"&amp;$L1637,SupplierRates!$A$5:$A$500,0)),0))</f>
        <v/>
      </c>
      <c r="Q1637" s="26" t="str">
        <f aca="false">IF(OR($D1637="",$J1637&lt;&gt;"Supplier"),"",IFERROR(INDEX(SupplierRates!$E$5:$E$500,MATCH($K1637&amp;"|"&amp;$L1637,SupplierRates!$A$5:$A$500,0)),0))</f>
        <v/>
      </c>
      <c r="R1637" s="26" t="n">
        <f aca="false">IF(OR($D1637="",$J1637&lt;&gt;"Supplier"),0,F1637*P1637+G1637*Q1637)</f>
        <v>0</v>
      </c>
      <c r="S1637" s="26" t="n">
        <f aca="false">IF(OR($D1637="",$J1637&lt;&gt;"Own"),0,IFERROR((F1637+G1637*Settings!$B$13)*INDEX(Workers!$V$5:$V$2004,MATCH($D1637,Workers!$A$5:$A$2004,0)),0))</f>
        <v>0</v>
      </c>
      <c r="T1637" s="26" t="str">
        <f aca="false">IF($D1637="","",O1637-R1637-S1637)</f>
        <v/>
      </c>
    </row>
    <row r="1638" customFormat="false" ht="15" hidden="false" customHeight="false" outlineLevel="0" collapsed="false">
      <c r="I1638" s="24" t="str">
        <f aca="false">IF($D1638="","",IFERROR(INDEX(Workers!$B$5:$B$2004,MATCH($D1638,Workers!$A$5:$A$2004,0)),"NOT FOUND"))</f>
        <v/>
      </c>
      <c r="J1638" s="24" t="str">
        <f aca="false">IF($D1638="","",IFERROR(INDEX(Workers!$C$5:$C$2004,MATCH($D1638,Workers!$A$5:$A$2004,0)),""))</f>
        <v/>
      </c>
      <c r="K1638" s="24" t="str">
        <f aca="false">IF($D1638="","",IFERROR(IF(INDEX(Workers!$D$5:$D$2004,MATCH($D1638,Workers!$A$5:$A$2004,0))=0,"",INDEX(Workers!$D$5:$D$2004,MATCH($D1638,Workers!$A$5:$A$2004,0))),""))</f>
        <v/>
      </c>
      <c r="L1638" s="24" t="str">
        <f aca="false">IF($D1638="","",IFERROR(INDEX(Workers!$E$5:$E$2004,MATCH($D1638,Workers!$A$5:$A$2004,0)),""))</f>
        <v/>
      </c>
      <c r="M1638" s="26" t="str">
        <f aca="false">IF($D1638="","",IFERROR(INDEX(ClientRates!$D$5:$D$500,MATCH($B1638&amp;"|"&amp;$L1638,ClientRates!$A$5:$A$500,0)),0))</f>
        <v/>
      </c>
      <c r="N1638" s="26" t="str">
        <f aca="false">IF($D1638="","",IFERROR(INDEX(ClientRates!$E$5:$E$500,MATCH($B1638&amp;"|"&amp;$L1638,ClientRates!$A$5:$A$500,0)),0))</f>
        <v/>
      </c>
      <c r="O1638" s="26" t="str">
        <f aca="false">IF($D1638="","",F1638*M1638+G1638*N1638)</f>
        <v/>
      </c>
      <c r="P1638" s="26" t="str">
        <f aca="false">IF(OR($D1638="",$J1638&lt;&gt;"Supplier"),"",IFERROR(INDEX(SupplierRates!$D$5:$D$500,MATCH($K1638&amp;"|"&amp;$L1638,SupplierRates!$A$5:$A$500,0)),0))</f>
        <v/>
      </c>
      <c r="Q1638" s="26" t="str">
        <f aca="false">IF(OR($D1638="",$J1638&lt;&gt;"Supplier"),"",IFERROR(INDEX(SupplierRates!$E$5:$E$500,MATCH($K1638&amp;"|"&amp;$L1638,SupplierRates!$A$5:$A$500,0)),0))</f>
        <v/>
      </c>
      <c r="R1638" s="26" t="n">
        <f aca="false">IF(OR($D1638="",$J1638&lt;&gt;"Supplier"),0,F1638*P1638+G1638*Q1638)</f>
        <v>0</v>
      </c>
      <c r="S1638" s="26" t="n">
        <f aca="false">IF(OR($D1638="",$J1638&lt;&gt;"Own"),0,IFERROR((F1638+G1638*Settings!$B$13)*INDEX(Workers!$V$5:$V$2004,MATCH($D1638,Workers!$A$5:$A$2004,0)),0))</f>
        <v>0</v>
      </c>
      <c r="T1638" s="26" t="str">
        <f aca="false">IF($D1638="","",O1638-R1638-S1638)</f>
        <v/>
      </c>
    </row>
    <row r="1639" customFormat="false" ht="15" hidden="false" customHeight="false" outlineLevel="0" collapsed="false">
      <c r="I1639" s="24" t="str">
        <f aca="false">IF($D1639="","",IFERROR(INDEX(Workers!$B$5:$B$2004,MATCH($D1639,Workers!$A$5:$A$2004,0)),"NOT FOUND"))</f>
        <v/>
      </c>
      <c r="J1639" s="24" t="str">
        <f aca="false">IF($D1639="","",IFERROR(INDEX(Workers!$C$5:$C$2004,MATCH($D1639,Workers!$A$5:$A$2004,0)),""))</f>
        <v/>
      </c>
      <c r="K1639" s="24" t="str">
        <f aca="false">IF($D1639="","",IFERROR(IF(INDEX(Workers!$D$5:$D$2004,MATCH($D1639,Workers!$A$5:$A$2004,0))=0,"",INDEX(Workers!$D$5:$D$2004,MATCH($D1639,Workers!$A$5:$A$2004,0))),""))</f>
        <v/>
      </c>
      <c r="L1639" s="24" t="str">
        <f aca="false">IF($D1639="","",IFERROR(INDEX(Workers!$E$5:$E$2004,MATCH($D1639,Workers!$A$5:$A$2004,0)),""))</f>
        <v/>
      </c>
      <c r="M1639" s="26" t="str">
        <f aca="false">IF($D1639="","",IFERROR(INDEX(ClientRates!$D$5:$D$500,MATCH($B1639&amp;"|"&amp;$L1639,ClientRates!$A$5:$A$500,0)),0))</f>
        <v/>
      </c>
      <c r="N1639" s="26" t="str">
        <f aca="false">IF($D1639="","",IFERROR(INDEX(ClientRates!$E$5:$E$500,MATCH($B1639&amp;"|"&amp;$L1639,ClientRates!$A$5:$A$500,0)),0))</f>
        <v/>
      </c>
      <c r="O1639" s="26" t="str">
        <f aca="false">IF($D1639="","",F1639*M1639+G1639*N1639)</f>
        <v/>
      </c>
      <c r="P1639" s="26" t="str">
        <f aca="false">IF(OR($D1639="",$J1639&lt;&gt;"Supplier"),"",IFERROR(INDEX(SupplierRates!$D$5:$D$500,MATCH($K1639&amp;"|"&amp;$L1639,SupplierRates!$A$5:$A$500,0)),0))</f>
        <v/>
      </c>
      <c r="Q1639" s="26" t="str">
        <f aca="false">IF(OR($D1639="",$J1639&lt;&gt;"Supplier"),"",IFERROR(INDEX(SupplierRates!$E$5:$E$500,MATCH($K1639&amp;"|"&amp;$L1639,SupplierRates!$A$5:$A$500,0)),0))</f>
        <v/>
      </c>
      <c r="R1639" s="26" t="n">
        <f aca="false">IF(OR($D1639="",$J1639&lt;&gt;"Supplier"),0,F1639*P1639+G1639*Q1639)</f>
        <v>0</v>
      </c>
      <c r="S1639" s="26" t="n">
        <f aca="false">IF(OR($D1639="",$J1639&lt;&gt;"Own"),0,IFERROR((F1639+G1639*Settings!$B$13)*INDEX(Workers!$V$5:$V$2004,MATCH($D1639,Workers!$A$5:$A$2004,0)),0))</f>
        <v>0</v>
      </c>
      <c r="T1639" s="26" t="str">
        <f aca="false">IF($D1639="","",O1639-R1639-S1639)</f>
        <v/>
      </c>
    </row>
    <row r="1640" customFormat="false" ht="15" hidden="false" customHeight="false" outlineLevel="0" collapsed="false">
      <c r="I1640" s="24" t="str">
        <f aca="false">IF($D1640="","",IFERROR(INDEX(Workers!$B$5:$B$2004,MATCH($D1640,Workers!$A$5:$A$2004,0)),"NOT FOUND"))</f>
        <v/>
      </c>
      <c r="J1640" s="24" t="str">
        <f aca="false">IF($D1640="","",IFERROR(INDEX(Workers!$C$5:$C$2004,MATCH($D1640,Workers!$A$5:$A$2004,0)),""))</f>
        <v/>
      </c>
      <c r="K1640" s="24" t="str">
        <f aca="false">IF($D1640="","",IFERROR(IF(INDEX(Workers!$D$5:$D$2004,MATCH($D1640,Workers!$A$5:$A$2004,0))=0,"",INDEX(Workers!$D$5:$D$2004,MATCH($D1640,Workers!$A$5:$A$2004,0))),""))</f>
        <v/>
      </c>
      <c r="L1640" s="24" t="str">
        <f aca="false">IF($D1640="","",IFERROR(INDEX(Workers!$E$5:$E$2004,MATCH($D1640,Workers!$A$5:$A$2004,0)),""))</f>
        <v/>
      </c>
      <c r="M1640" s="26" t="str">
        <f aca="false">IF($D1640="","",IFERROR(INDEX(ClientRates!$D$5:$D$500,MATCH($B1640&amp;"|"&amp;$L1640,ClientRates!$A$5:$A$500,0)),0))</f>
        <v/>
      </c>
      <c r="N1640" s="26" t="str">
        <f aca="false">IF($D1640="","",IFERROR(INDEX(ClientRates!$E$5:$E$500,MATCH($B1640&amp;"|"&amp;$L1640,ClientRates!$A$5:$A$500,0)),0))</f>
        <v/>
      </c>
      <c r="O1640" s="26" t="str">
        <f aca="false">IF($D1640="","",F1640*M1640+G1640*N1640)</f>
        <v/>
      </c>
      <c r="P1640" s="26" t="str">
        <f aca="false">IF(OR($D1640="",$J1640&lt;&gt;"Supplier"),"",IFERROR(INDEX(SupplierRates!$D$5:$D$500,MATCH($K1640&amp;"|"&amp;$L1640,SupplierRates!$A$5:$A$500,0)),0))</f>
        <v/>
      </c>
      <c r="Q1640" s="26" t="str">
        <f aca="false">IF(OR($D1640="",$J1640&lt;&gt;"Supplier"),"",IFERROR(INDEX(SupplierRates!$E$5:$E$500,MATCH($K1640&amp;"|"&amp;$L1640,SupplierRates!$A$5:$A$500,0)),0))</f>
        <v/>
      </c>
      <c r="R1640" s="26" t="n">
        <f aca="false">IF(OR($D1640="",$J1640&lt;&gt;"Supplier"),0,F1640*P1640+G1640*Q1640)</f>
        <v>0</v>
      </c>
      <c r="S1640" s="26" t="n">
        <f aca="false">IF(OR($D1640="",$J1640&lt;&gt;"Own"),0,IFERROR((F1640+G1640*Settings!$B$13)*INDEX(Workers!$V$5:$V$2004,MATCH($D1640,Workers!$A$5:$A$2004,0)),0))</f>
        <v>0</v>
      </c>
      <c r="T1640" s="26" t="str">
        <f aca="false">IF($D1640="","",O1640-R1640-S1640)</f>
        <v/>
      </c>
    </row>
    <row r="1641" customFormat="false" ht="15" hidden="false" customHeight="false" outlineLevel="0" collapsed="false">
      <c r="I1641" s="24" t="str">
        <f aca="false">IF($D1641="","",IFERROR(INDEX(Workers!$B$5:$B$2004,MATCH($D1641,Workers!$A$5:$A$2004,0)),"NOT FOUND"))</f>
        <v/>
      </c>
      <c r="J1641" s="24" t="str">
        <f aca="false">IF($D1641="","",IFERROR(INDEX(Workers!$C$5:$C$2004,MATCH($D1641,Workers!$A$5:$A$2004,0)),""))</f>
        <v/>
      </c>
      <c r="K1641" s="24" t="str">
        <f aca="false">IF($D1641="","",IFERROR(IF(INDEX(Workers!$D$5:$D$2004,MATCH($D1641,Workers!$A$5:$A$2004,0))=0,"",INDEX(Workers!$D$5:$D$2004,MATCH($D1641,Workers!$A$5:$A$2004,0))),""))</f>
        <v/>
      </c>
      <c r="L1641" s="24" t="str">
        <f aca="false">IF($D1641="","",IFERROR(INDEX(Workers!$E$5:$E$2004,MATCH($D1641,Workers!$A$5:$A$2004,0)),""))</f>
        <v/>
      </c>
      <c r="M1641" s="26" t="str">
        <f aca="false">IF($D1641="","",IFERROR(INDEX(ClientRates!$D$5:$D$500,MATCH($B1641&amp;"|"&amp;$L1641,ClientRates!$A$5:$A$500,0)),0))</f>
        <v/>
      </c>
      <c r="N1641" s="26" t="str">
        <f aca="false">IF($D1641="","",IFERROR(INDEX(ClientRates!$E$5:$E$500,MATCH($B1641&amp;"|"&amp;$L1641,ClientRates!$A$5:$A$500,0)),0))</f>
        <v/>
      </c>
      <c r="O1641" s="26" t="str">
        <f aca="false">IF($D1641="","",F1641*M1641+G1641*N1641)</f>
        <v/>
      </c>
      <c r="P1641" s="26" t="str">
        <f aca="false">IF(OR($D1641="",$J1641&lt;&gt;"Supplier"),"",IFERROR(INDEX(SupplierRates!$D$5:$D$500,MATCH($K1641&amp;"|"&amp;$L1641,SupplierRates!$A$5:$A$500,0)),0))</f>
        <v/>
      </c>
      <c r="Q1641" s="26" t="str">
        <f aca="false">IF(OR($D1641="",$J1641&lt;&gt;"Supplier"),"",IFERROR(INDEX(SupplierRates!$E$5:$E$500,MATCH($K1641&amp;"|"&amp;$L1641,SupplierRates!$A$5:$A$500,0)),0))</f>
        <v/>
      </c>
      <c r="R1641" s="26" t="n">
        <f aca="false">IF(OR($D1641="",$J1641&lt;&gt;"Supplier"),0,F1641*P1641+G1641*Q1641)</f>
        <v>0</v>
      </c>
      <c r="S1641" s="26" t="n">
        <f aca="false">IF(OR($D1641="",$J1641&lt;&gt;"Own"),0,IFERROR((F1641+G1641*Settings!$B$13)*INDEX(Workers!$V$5:$V$2004,MATCH($D1641,Workers!$A$5:$A$2004,0)),0))</f>
        <v>0</v>
      </c>
      <c r="T1641" s="26" t="str">
        <f aca="false">IF($D1641="","",O1641-R1641-S1641)</f>
        <v/>
      </c>
    </row>
    <row r="1642" customFormat="false" ht="15" hidden="false" customHeight="false" outlineLevel="0" collapsed="false">
      <c r="I1642" s="24" t="str">
        <f aca="false">IF($D1642="","",IFERROR(INDEX(Workers!$B$5:$B$2004,MATCH($D1642,Workers!$A$5:$A$2004,0)),"NOT FOUND"))</f>
        <v/>
      </c>
      <c r="J1642" s="24" t="str">
        <f aca="false">IF($D1642="","",IFERROR(INDEX(Workers!$C$5:$C$2004,MATCH($D1642,Workers!$A$5:$A$2004,0)),""))</f>
        <v/>
      </c>
      <c r="K1642" s="24" t="str">
        <f aca="false">IF($D1642="","",IFERROR(IF(INDEX(Workers!$D$5:$D$2004,MATCH($D1642,Workers!$A$5:$A$2004,0))=0,"",INDEX(Workers!$D$5:$D$2004,MATCH($D1642,Workers!$A$5:$A$2004,0))),""))</f>
        <v/>
      </c>
      <c r="L1642" s="24" t="str">
        <f aca="false">IF($D1642="","",IFERROR(INDEX(Workers!$E$5:$E$2004,MATCH($D1642,Workers!$A$5:$A$2004,0)),""))</f>
        <v/>
      </c>
      <c r="M1642" s="26" t="str">
        <f aca="false">IF($D1642="","",IFERROR(INDEX(ClientRates!$D$5:$D$500,MATCH($B1642&amp;"|"&amp;$L1642,ClientRates!$A$5:$A$500,0)),0))</f>
        <v/>
      </c>
      <c r="N1642" s="26" t="str">
        <f aca="false">IF($D1642="","",IFERROR(INDEX(ClientRates!$E$5:$E$500,MATCH($B1642&amp;"|"&amp;$L1642,ClientRates!$A$5:$A$500,0)),0))</f>
        <v/>
      </c>
      <c r="O1642" s="26" t="str">
        <f aca="false">IF($D1642="","",F1642*M1642+G1642*N1642)</f>
        <v/>
      </c>
      <c r="P1642" s="26" t="str">
        <f aca="false">IF(OR($D1642="",$J1642&lt;&gt;"Supplier"),"",IFERROR(INDEX(SupplierRates!$D$5:$D$500,MATCH($K1642&amp;"|"&amp;$L1642,SupplierRates!$A$5:$A$500,0)),0))</f>
        <v/>
      </c>
      <c r="Q1642" s="26" t="str">
        <f aca="false">IF(OR($D1642="",$J1642&lt;&gt;"Supplier"),"",IFERROR(INDEX(SupplierRates!$E$5:$E$500,MATCH($K1642&amp;"|"&amp;$L1642,SupplierRates!$A$5:$A$500,0)),0))</f>
        <v/>
      </c>
      <c r="R1642" s="26" t="n">
        <f aca="false">IF(OR($D1642="",$J1642&lt;&gt;"Supplier"),0,F1642*P1642+G1642*Q1642)</f>
        <v>0</v>
      </c>
      <c r="S1642" s="26" t="n">
        <f aca="false">IF(OR($D1642="",$J1642&lt;&gt;"Own"),0,IFERROR((F1642+G1642*Settings!$B$13)*INDEX(Workers!$V$5:$V$2004,MATCH($D1642,Workers!$A$5:$A$2004,0)),0))</f>
        <v>0</v>
      </c>
      <c r="T1642" s="26" t="str">
        <f aca="false">IF($D1642="","",O1642-R1642-S1642)</f>
        <v/>
      </c>
    </row>
    <row r="1643" customFormat="false" ht="15" hidden="false" customHeight="false" outlineLevel="0" collapsed="false">
      <c r="I1643" s="24" t="str">
        <f aca="false">IF($D1643="","",IFERROR(INDEX(Workers!$B$5:$B$2004,MATCH($D1643,Workers!$A$5:$A$2004,0)),"NOT FOUND"))</f>
        <v/>
      </c>
      <c r="J1643" s="24" t="str">
        <f aca="false">IF($D1643="","",IFERROR(INDEX(Workers!$C$5:$C$2004,MATCH($D1643,Workers!$A$5:$A$2004,0)),""))</f>
        <v/>
      </c>
      <c r="K1643" s="24" t="str">
        <f aca="false">IF($D1643="","",IFERROR(IF(INDEX(Workers!$D$5:$D$2004,MATCH($D1643,Workers!$A$5:$A$2004,0))=0,"",INDEX(Workers!$D$5:$D$2004,MATCH($D1643,Workers!$A$5:$A$2004,0))),""))</f>
        <v/>
      </c>
      <c r="L1643" s="24" t="str">
        <f aca="false">IF($D1643="","",IFERROR(INDEX(Workers!$E$5:$E$2004,MATCH($D1643,Workers!$A$5:$A$2004,0)),""))</f>
        <v/>
      </c>
      <c r="M1643" s="26" t="str">
        <f aca="false">IF($D1643="","",IFERROR(INDEX(ClientRates!$D$5:$D$500,MATCH($B1643&amp;"|"&amp;$L1643,ClientRates!$A$5:$A$500,0)),0))</f>
        <v/>
      </c>
      <c r="N1643" s="26" t="str">
        <f aca="false">IF($D1643="","",IFERROR(INDEX(ClientRates!$E$5:$E$500,MATCH($B1643&amp;"|"&amp;$L1643,ClientRates!$A$5:$A$500,0)),0))</f>
        <v/>
      </c>
      <c r="O1643" s="26" t="str">
        <f aca="false">IF($D1643="","",F1643*M1643+G1643*N1643)</f>
        <v/>
      </c>
      <c r="P1643" s="26" t="str">
        <f aca="false">IF(OR($D1643="",$J1643&lt;&gt;"Supplier"),"",IFERROR(INDEX(SupplierRates!$D$5:$D$500,MATCH($K1643&amp;"|"&amp;$L1643,SupplierRates!$A$5:$A$500,0)),0))</f>
        <v/>
      </c>
      <c r="Q1643" s="26" t="str">
        <f aca="false">IF(OR($D1643="",$J1643&lt;&gt;"Supplier"),"",IFERROR(INDEX(SupplierRates!$E$5:$E$500,MATCH($K1643&amp;"|"&amp;$L1643,SupplierRates!$A$5:$A$500,0)),0))</f>
        <v/>
      </c>
      <c r="R1643" s="26" t="n">
        <f aca="false">IF(OR($D1643="",$J1643&lt;&gt;"Supplier"),0,F1643*P1643+G1643*Q1643)</f>
        <v>0</v>
      </c>
      <c r="S1643" s="26" t="n">
        <f aca="false">IF(OR($D1643="",$J1643&lt;&gt;"Own"),0,IFERROR((F1643+G1643*Settings!$B$13)*INDEX(Workers!$V$5:$V$2004,MATCH($D1643,Workers!$A$5:$A$2004,0)),0))</f>
        <v>0</v>
      </c>
      <c r="T1643" s="26" t="str">
        <f aca="false">IF($D1643="","",O1643-R1643-S1643)</f>
        <v/>
      </c>
    </row>
    <row r="1644" customFormat="false" ht="15" hidden="false" customHeight="false" outlineLevel="0" collapsed="false">
      <c r="I1644" s="24" t="str">
        <f aca="false">IF($D1644="","",IFERROR(INDEX(Workers!$B$5:$B$2004,MATCH($D1644,Workers!$A$5:$A$2004,0)),"NOT FOUND"))</f>
        <v/>
      </c>
      <c r="J1644" s="24" t="str">
        <f aca="false">IF($D1644="","",IFERROR(INDEX(Workers!$C$5:$C$2004,MATCH($D1644,Workers!$A$5:$A$2004,0)),""))</f>
        <v/>
      </c>
      <c r="K1644" s="24" t="str">
        <f aca="false">IF($D1644="","",IFERROR(IF(INDEX(Workers!$D$5:$D$2004,MATCH($D1644,Workers!$A$5:$A$2004,0))=0,"",INDEX(Workers!$D$5:$D$2004,MATCH($D1644,Workers!$A$5:$A$2004,0))),""))</f>
        <v/>
      </c>
      <c r="L1644" s="24" t="str">
        <f aca="false">IF($D1644="","",IFERROR(INDEX(Workers!$E$5:$E$2004,MATCH($D1644,Workers!$A$5:$A$2004,0)),""))</f>
        <v/>
      </c>
      <c r="M1644" s="26" t="str">
        <f aca="false">IF($D1644="","",IFERROR(INDEX(ClientRates!$D$5:$D$500,MATCH($B1644&amp;"|"&amp;$L1644,ClientRates!$A$5:$A$500,0)),0))</f>
        <v/>
      </c>
      <c r="N1644" s="26" t="str">
        <f aca="false">IF($D1644="","",IFERROR(INDEX(ClientRates!$E$5:$E$500,MATCH($B1644&amp;"|"&amp;$L1644,ClientRates!$A$5:$A$500,0)),0))</f>
        <v/>
      </c>
      <c r="O1644" s="26" t="str">
        <f aca="false">IF($D1644="","",F1644*M1644+G1644*N1644)</f>
        <v/>
      </c>
      <c r="P1644" s="26" t="str">
        <f aca="false">IF(OR($D1644="",$J1644&lt;&gt;"Supplier"),"",IFERROR(INDEX(SupplierRates!$D$5:$D$500,MATCH($K1644&amp;"|"&amp;$L1644,SupplierRates!$A$5:$A$500,0)),0))</f>
        <v/>
      </c>
      <c r="Q1644" s="26" t="str">
        <f aca="false">IF(OR($D1644="",$J1644&lt;&gt;"Supplier"),"",IFERROR(INDEX(SupplierRates!$E$5:$E$500,MATCH($K1644&amp;"|"&amp;$L1644,SupplierRates!$A$5:$A$500,0)),0))</f>
        <v/>
      </c>
      <c r="R1644" s="26" t="n">
        <f aca="false">IF(OR($D1644="",$J1644&lt;&gt;"Supplier"),0,F1644*P1644+G1644*Q1644)</f>
        <v>0</v>
      </c>
      <c r="S1644" s="26" t="n">
        <f aca="false">IF(OR($D1644="",$J1644&lt;&gt;"Own"),0,IFERROR((F1644+G1644*Settings!$B$13)*INDEX(Workers!$V$5:$V$2004,MATCH($D1644,Workers!$A$5:$A$2004,0)),0))</f>
        <v>0</v>
      </c>
      <c r="T1644" s="26" t="str">
        <f aca="false">IF($D1644="","",O1644-R1644-S1644)</f>
        <v/>
      </c>
    </row>
    <row r="1645" customFormat="false" ht="15" hidden="false" customHeight="false" outlineLevel="0" collapsed="false">
      <c r="I1645" s="24" t="str">
        <f aca="false">IF($D1645="","",IFERROR(INDEX(Workers!$B$5:$B$2004,MATCH($D1645,Workers!$A$5:$A$2004,0)),"NOT FOUND"))</f>
        <v/>
      </c>
      <c r="J1645" s="24" t="str">
        <f aca="false">IF($D1645="","",IFERROR(INDEX(Workers!$C$5:$C$2004,MATCH($D1645,Workers!$A$5:$A$2004,0)),""))</f>
        <v/>
      </c>
      <c r="K1645" s="24" t="str">
        <f aca="false">IF($D1645="","",IFERROR(IF(INDEX(Workers!$D$5:$D$2004,MATCH($D1645,Workers!$A$5:$A$2004,0))=0,"",INDEX(Workers!$D$5:$D$2004,MATCH($D1645,Workers!$A$5:$A$2004,0))),""))</f>
        <v/>
      </c>
      <c r="L1645" s="24" t="str">
        <f aca="false">IF($D1645="","",IFERROR(INDEX(Workers!$E$5:$E$2004,MATCH($D1645,Workers!$A$5:$A$2004,0)),""))</f>
        <v/>
      </c>
      <c r="M1645" s="26" t="str">
        <f aca="false">IF($D1645="","",IFERROR(INDEX(ClientRates!$D$5:$D$500,MATCH($B1645&amp;"|"&amp;$L1645,ClientRates!$A$5:$A$500,0)),0))</f>
        <v/>
      </c>
      <c r="N1645" s="26" t="str">
        <f aca="false">IF($D1645="","",IFERROR(INDEX(ClientRates!$E$5:$E$500,MATCH($B1645&amp;"|"&amp;$L1645,ClientRates!$A$5:$A$500,0)),0))</f>
        <v/>
      </c>
      <c r="O1645" s="26" t="str">
        <f aca="false">IF($D1645="","",F1645*M1645+G1645*N1645)</f>
        <v/>
      </c>
      <c r="P1645" s="26" t="str">
        <f aca="false">IF(OR($D1645="",$J1645&lt;&gt;"Supplier"),"",IFERROR(INDEX(SupplierRates!$D$5:$D$500,MATCH($K1645&amp;"|"&amp;$L1645,SupplierRates!$A$5:$A$500,0)),0))</f>
        <v/>
      </c>
      <c r="Q1645" s="26" t="str">
        <f aca="false">IF(OR($D1645="",$J1645&lt;&gt;"Supplier"),"",IFERROR(INDEX(SupplierRates!$E$5:$E$500,MATCH($K1645&amp;"|"&amp;$L1645,SupplierRates!$A$5:$A$500,0)),0))</f>
        <v/>
      </c>
      <c r="R1645" s="26" t="n">
        <f aca="false">IF(OR($D1645="",$J1645&lt;&gt;"Supplier"),0,F1645*P1645+G1645*Q1645)</f>
        <v>0</v>
      </c>
      <c r="S1645" s="26" t="n">
        <f aca="false">IF(OR($D1645="",$J1645&lt;&gt;"Own"),0,IFERROR((F1645+G1645*Settings!$B$13)*INDEX(Workers!$V$5:$V$2004,MATCH($D1645,Workers!$A$5:$A$2004,0)),0))</f>
        <v>0</v>
      </c>
      <c r="T1645" s="26" t="str">
        <f aca="false">IF($D1645="","",O1645-R1645-S1645)</f>
        <v/>
      </c>
    </row>
    <row r="1646" customFormat="false" ht="15" hidden="false" customHeight="false" outlineLevel="0" collapsed="false">
      <c r="I1646" s="24" t="str">
        <f aca="false">IF($D1646="","",IFERROR(INDEX(Workers!$B$5:$B$2004,MATCH($D1646,Workers!$A$5:$A$2004,0)),"NOT FOUND"))</f>
        <v/>
      </c>
      <c r="J1646" s="24" t="str">
        <f aca="false">IF($D1646="","",IFERROR(INDEX(Workers!$C$5:$C$2004,MATCH($D1646,Workers!$A$5:$A$2004,0)),""))</f>
        <v/>
      </c>
      <c r="K1646" s="24" t="str">
        <f aca="false">IF($D1646="","",IFERROR(IF(INDEX(Workers!$D$5:$D$2004,MATCH($D1646,Workers!$A$5:$A$2004,0))=0,"",INDEX(Workers!$D$5:$D$2004,MATCH($D1646,Workers!$A$5:$A$2004,0))),""))</f>
        <v/>
      </c>
      <c r="L1646" s="24" t="str">
        <f aca="false">IF($D1646="","",IFERROR(INDEX(Workers!$E$5:$E$2004,MATCH($D1646,Workers!$A$5:$A$2004,0)),""))</f>
        <v/>
      </c>
      <c r="M1646" s="26" t="str">
        <f aca="false">IF($D1646="","",IFERROR(INDEX(ClientRates!$D$5:$D$500,MATCH($B1646&amp;"|"&amp;$L1646,ClientRates!$A$5:$A$500,0)),0))</f>
        <v/>
      </c>
      <c r="N1646" s="26" t="str">
        <f aca="false">IF($D1646="","",IFERROR(INDEX(ClientRates!$E$5:$E$500,MATCH($B1646&amp;"|"&amp;$L1646,ClientRates!$A$5:$A$500,0)),0))</f>
        <v/>
      </c>
      <c r="O1646" s="26" t="str">
        <f aca="false">IF($D1646="","",F1646*M1646+G1646*N1646)</f>
        <v/>
      </c>
      <c r="P1646" s="26" t="str">
        <f aca="false">IF(OR($D1646="",$J1646&lt;&gt;"Supplier"),"",IFERROR(INDEX(SupplierRates!$D$5:$D$500,MATCH($K1646&amp;"|"&amp;$L1646,SupplierRates!$A$5:$A$500,0)),0))</f>
        <v/>
      </c>
      <c r="Q1646" s="26" t="str">
        <f aca="false">IF(OR($D1646="",$J1646&lt;&gt;"Supplier"),"",IFERROR(INDEX(SupplierRates!$E$5:$E$500,MATCH($K1646&amp;"|"&amp;$L1646,SupplierRates!$A$5:$A$500,0)),0))</f>
        <v/>
      </c>
      <c r="R1646" s="26" t="n">
        <f aca="false">IF(OR($D1646="",$J1646&lt;&gt;"Supplier"),0,F1646*P1646+G1646*Q1646)</f>
        <v>0</v>
      </c>
      <c r="S1646" s="26" t="n">
        <f aca="false">IF(OR($D1646="",$J1646&lt;&gt;"Own"),0,IFERROR((F1646+G1646*Settings!$B$13)*INDEX(Workers!$V$5:$V$2004,MATCH($D1646,Workers!$A$5:$A$2004,0)),0))</f>
        <v>0</v>
      </c>
      <c r="T1646" s="26" t="str">
        <f aca="false">IF($D1646="","",O1646-R1646-S1646)</f>
        <v/>
      </c>
    </row>
    <row r="1647" customFormat="false" ht="15" hidden="false" customHeight="false" outlineLevel="0" collapsed="false">
      <c r="I1647" s="24" t="str">
        <f aca="false">IF($D1647="","",IFERROR(INDEX(Workers!$B$5:$B$2004,MATCH($D1647,Workers!$A$5:$A$2004,0)),"NOT FOUND"))</f>
        <v/>
      </c>
      <c r="J1647" s="24" t="str">
        <f aca="false">IF($D1647="","",IFERROR(INDEX(Workers!$C$5:$C$2004,MATCH($D1647,Workers!$A$5:$A$2004,0)),""))</f>
        <v/>
      </c>
      <c r="K1647" s="24" t="str">
        <f aca="false">IF($D1647="","",IFERROR(IF(INDEX(Workers!$D$5:$D$2004,MATCH($D1647,Workers!$A$5:$A$2004,0))=0,"",INDEX(Workers!$D$5:$D$2004,MATCH($D1647,Workers!$A$5:$A$2004,0))),""))</f>
        <v/>
      </c>
      <c r="L1647" s="24" t="str">
        <f aca="false">IF($D1647="","",IFERROR(INDEX(Workers!$E$5:$E$2004,MATCH($D1647,Workers!$A$5:$A$2004,0)),""))</f>
        <v/>
      </c>
      <c r="M1647" s="26" t="str">
        <f aca="false">IF($D1647="","",IFERROR(INDEX(ClientRates!$D$5:$D$500,MATCH($B1647&amp;"|"&amp;$L1647,ClientRates!$A$5:$A$500,0)),0))</f>
        <v/>
      </c>
      <c r="N1647" s="26" t="str">
        <f aca="false">IF($D1647="","",IFERROR(INDEX(ClientRates!$E$5:$E$500,MATCH($B1647&amp;"|"&amp;$L1647,ClientRates!$A$5:$A$500,0)),0))</f>
        <v/>
      </c>
      <c r="O1647" s="26" t="str">
        <f aca="false">IF($D1647="","",F1647*M1647+G1647*N1647)</f>
        <v/>
      </c>
      <c r="P1647" s="26" t="str">
        <f aca="false">IF(OR($D1647="",$J1647&lt;&gt;"Supplier"),"",IFERROR(INDEX(SupplierRates!$D$5:$D$500,MATCH($K1647&amp;"|"&amp;$L1647,SupplierRates!$A$5:$A$500,0)),0))</f>
        <v/>
      </c>
      <c r="Q1647" s="26" t="str">
        <f aca="false">IF(OR($D1647="",$J1647&lt;&gt;"Supplier"),"",IFERROR(INDEX(SupplierRates!$E$5:$E$500,MATCH($K1647&amp;"|"&amp;$L1647,SupplierRates!$A$5:$A$500,0)),0))</f>
        <v/>
      </c>
      <c r="R1647" s="26" t="n">
        <f aca="false">IF(OR($D1647="",$J1647&lt;&gt;"Supplier"),0,F1647*P1647+G1647*Q1647)</f>
        <v>0</v>
      </c>
      <c r="S1647" s="26" t="n">
        <f aca="false">IF(OR($D1647="",$J1647&lt;&gt;"Own"),0,IFERROR((F1647+G1647*Settings!$B$13)*INDEX(Workers!$V$5:$V$2004,MATCH($D1647,Workers!$A$5:$A$2004,0)),0))</f>
        <v>0</v>
      </c>
      <c r="T1647" s="26" t="str">
        <f aca="false">IF($D1647="","",O1647-R1647-S1647)</f>
        <v/>
      </c>
    </row>
    <row r="1648" customFormat="false" ht="15" hidden="false" customHeight="false" outlineLevel="0" collapsed="false">
      <c r="I1648" s="24" t="str">
        <f aca="false">IF($D1648="","",IFERROR(INDEX(Workers!$B$5:$B$2004,MATCH($D1648,Workers!$A$5:$A$2004,0)),"NOT FOUND"))</f>
        <v/>
      </c>
      <c r="J1648" s="24" t="str">
        <f aca="false">IF($D1648="","",IFERROR(INDEX(Workers!$C$5:$C$2004,MATCH($D1648,Workers!$A$5:$A$2004,0)),""))</f>
        <v/>
      </c>
      <c r="K1648" s="24" t="str">
        <f aca="false">IF($D1648="","",IFERROR(IF(INDEX(Workers!$D$5:$D$2004,MATCH($D1648,Workers!$A$5:$A$2004,0))=0,"",INDEX(Workers!$D$5:$D$2004,MATCH($D1648,Workers!$A$5:$A$2004,0))),""))</f>
        <v/>
      </c>
      <c r="L1648" s="24" t="str">
        <f aca="false">IF($D1648="","",IFERROR(INDEX(Workers!$E$5:$E$2004,MATCH($D1648,Workers!$A$5:$A$2004,0)),""))</f>
        <v/>
      </c>
      <c r="M1648" s="26" t="str">
        <f aca="false">IF($D1648="","",IFERROR(INDEX(ClientRates!$D$5:$D$500,MATCH($B1648&amp;"|"&amp;$L1648,ClientRates!$A$5:$A$500,0)),0))</f>
        <v/>
      </c>
      <c r="N1648" s="26" t="str">
        <f aca="false">IF($D1648="","",IFERROR(INDEX(ClientRates!$E$5:$E$500,MATCH($B1648&amp;"|"&amp;$L1648,ClientRates!$A$5:$A$500,0)),0))</f>
        <v/>
      </c>
      <c r="O1648" s="26" t="str">
        <f aca="false">IF($D1648="","",F1648*M1648+G1648*N1648)</f>
        <v/>
      </c>
      <c r="P1648" s="26" t="str">
        <f aca="false">IF(OR($D1648="",$J1648&lt;&gt;"Supplier"),"",IFERROR(INDEX(SupplierRates!$D$5:$D$500,MATCH($K1648&amp;"|"&amp;$L1648,SupplierRates!$A$5:$A$500,0)),0))</f>
        <v/>
      </c>
      <c r="Q1648" s="26" t="str">
        <f aca="false">IF(OR($D1648="",$J1648&lt;&gt;"Supplier"),"",IFERROR(INDEX(SupplierRates!$E$5:$E$500,MATCH($K1648&amp;"|"&amp;$L1648,SupplierRates!$A$5:$A$500,0)),0))</f>
        <v/>
      </c>
      <c r="R1648" s="26" t="n">
        <f aca="false">IF(OR($D1648="",$J1648&lt;&gt;"Supplier"),0,F1648*P1648+G1648*Q1648)</f>
        <v>0</v>
      </c>
      <c r="S1648" s="26" t="n">
        <f aca="false">IF(OR($D1648="",$J1648&lt;&gt;"Own"),0,IFERROR((F1648+G1648*Settings!$B$13)*INDEX(Workers!$V$5:$V$2004,MATCH($D1648,Workers!$A$5:$A$2004,0)),0))</f>
        <v>0</v>
      </c>
      <c r="T1648" s="26" t="str">
        <f aca="false">IF($D1648="","",O1648-R1648-S1648)</f>
        <v/>
      </c>
    </row>
    <row r="1649" customFormat="false" ht="15" hidden="false" customHeight="false" outlineLevel="0" collapsed="false">
      <c r="I1649" s="24" t="str">
        <f aca="false">IF($D1649="","",IFERROR(INDEX(Workers!$B$5:$B$2004,MATCH($D1649,Workers!$A$5:$A$2004,0)),"NOT FOUND"))</f>
        <v/>
      </c>
      <c r="J1649" s="24" t="str">
        <f aca="false">IF($D1649="","",IFERROR(INDEX(Workers!$C$5:$C$2004,MATCH($D1649,Workers!$A$5:$A$2004,0)),""))</f>
        <v/>
      </c>
      <c r="K1649" s="24" t="str">
        <f aca="false">IF($D1649="","",IFERROR(IF(INDEX(Workers!$D$5:$D$2004,MATCH($D1649,Workers!$A$5:$A$2004,0))=0,"",INDEX(Workers!$D$5:$D$2004,MATCH($D1649,Workers!$A$5:$A$2004,0))),""))</f>
        <v/>
      </c>
      <c r="L1649" s="24" t="str">
        <f aca="false">IF($D1649="","",IFERROR(INDEX(Workers!$E$5:$E$2004,MATCH($D1649,Workers!$A$5:$A$2004,0)),""))</f>
        <v/>
      </c>
      <c r="M1649" s="26" t="str">
        <f aca="false">IF($D1649="","",IFERROR(INDEX(ClientRates!$D$5:$D$500,MATCH($B1649&amp;"|"&amp;$L1649,ClientRates!$A$5:$A$500,0)),0))</f>
        <v/>
      </c>
      <c r="N1649" s="26" t="str">
        <f aca="false">IF($D1649="","",IFERROR(INDEX(ClientRates!$E$5:$E$500,MATCH($B1649&amp;"|"&amp;$L1649,ClientRates!$A$5:$A$500,0)),0))</f>
        <v/>
      </c>
      <c r="O1649" s="26" t="str">
        <f aca="false">IF($D1649="","",F1649*M1649+G1649*N1649)</f>
        <v/>
      </c>
      <c r="P1649" s="26" t="str">
        <f aca="false">IF(OR($D1649="",$J1649&lt;&gt;"Supplier"),"",IFERROR(INDEX(SupplierRates!$D$5:$D$500,MATCH($K1649&amp;"|"&amp;$L1649,SupplierRates!$A$5:$A$500,0)),0))</f>
        <v/>
      </c>
      <c r="Q1649" s="26" t="str">
        <f aca="false">IF(OR($D1649="",$J1649&lt;&gt;"Supplier"),"",IFERROR(INDEX(SupplierRates!$E$5:$E$500,MATCH($K1649&amp;"|"&amp;$L1649,SupplierRates!$A$5:$A$500,0)),0))</f>
        <v/>
      </c>
      <c r="R1649" s="26" t="n">
        <f aca="false">IF(OR($D1649="",$J1649&lt;&gt;"Supplier"),0,F1649*P1649+G1649*Q1649)</f>
        <v>0</v>
      </c>
      <c r="S1649" s="26" t="n">
        <f aca="false">IF(OR($D1649="",$J1649&lt;&gt;"Own"),0,IFERROR((F1649+G1649*Settings!$B$13)*INDEX(Workers!$V$5:$V$2004,MATCH($D1649,Workers!$A$5:$A$2004,0)),0))</f>
        <v>0</v>
      </c>
      <c r="T1649" s="26" t="str">
        <f aca="false">IF($D1649="","",O1649-R1649-S1649)</f>
        <v/>
      </c>
    </row>
    <row r="1650" customFormat="false" ht="15" hidden="false" customHeight="false" outlineLevel="0" collapsed="false">
      <c r="I1650" s="24" t="str">
        <f aca="false">IF($D1650="","",IFERROR(INDEX(Workers!$B$5:$B$2004,MATCH($D1650,Workers!$A$5:$A$2004,0)),"NOT FOUND"))</f>
        <v/>
      </c>
      <c r="J1650" s="24" t="str">
        <f aca="false">IF($D1650="","",IFERROR(INDEX(Workers!$C$5:$C$2004,MATCH($D1650,Workers!$A$5:$A$2004,0)),""))</f>
        <v/>
      </c>
      <c r="K1650" s="24" t="str">
        <f aca="false">IF($D1650="","",IFERROR(IF(INDEX(Workers!$D$5:$D$2004,MATCH($D1650,Workers!$A$5:$A$2004,0))=0,"",INDEX(Workers!$D$5:$D$2004,MATCH($D1650,Workers!$A$5:$A$2004,0))),""))</f>
        <v/>
      </c>
      <c r="L1650" s="24" t="str">
        <f aca="false">IF($D1650="","",IFERROR(INDEX(Workers!$E$5:$E$2004,MATCH($D1650,Workers!$A$5:$A$2004,0)),""))</f>
        <v/>
      </c>
      <c r="M1650" s="26" t="str">
        <f aca="false">IF($D1650="","",IFERROR(INDEX(ClientRates!$D$5:$D$500,MATCH($B1650&amp;"|"&amp;$L1650,ClientRates!$A$5:$A$500,0)),0))</f>
        <v/>
      </c>
      <c r="N1650" s="26" t="str">
        <f aca="false">IF($D1650="","",IFERROR(INDEX(ClientRates!$E$5:$E$500,MATCH($B1650&amp;"|"&amp;$L1650,ClientRates!$A$5:$A$500,0)),0))</f>
        <v/>
      </c>
      <c r="O1650" s="26" t="str">
        <f aca="false">IF($D1650="","",F1650*M1650+G1650*N1650)</f>
        <v/>
      </c>
      <c r="P1650" s="26" t="str">
        <f aca="false">IF(OR($D1650="",$J1650&lt;&gt;"Supplier"),"",IFERROR(INDEX(SupplierRates!$D$5:$D$500,MATCH($K1650&amp;"|"&amp;$L1650,SupplierRates!$A$5:$A$500,0)),0))</f>
        <v/>
      </c>
      <c r="Q1650" s="26" t="str">
        <f aca="false">IF(OR($D1650="",$J1650&lt;&gt;"Supplier"),"",IFERROR(INDEX(SupplierRates!$E$5:$E$500,MATCH($K1650&amp;"|"&amp;$L1650,SupplierRates!$A$5:$A$500,0)),0))</f>
        <v/>
      </c>
      <c r="R1650" s="26" t="n">
        <f aca="false">IF(OR($D1650="",$J1650&lt;&gt;"Supplier"),0,F1650*P1650+G1650*Q1650)</f>
        <v>0</v>
      </c>
      <c r="S1650" s="26" t="n">
        <f aca="false">IF(OR($D1650="",$J1650&lt;&gt;"Own"),0,IFERROR((F1650+G1650*Settings!$B$13)*INDEX(Workers!$V$5:$V$2004,MATCH($D1650,Workers!$A$5:$A$2004,0)),0))</f>
        <v>0</v>
      </c>
      <c r="T1650" s="26" t="str">
        <f aca="false">IF($D1650="","",O1650-R1650-S1650)</f>
        <v/>
      </c>
    </row>
    <row r="1651" customFormat="false" ht="15" hidden="false" customHeight="false" outlineLevel="0" collapsed="false">
      <c r="I1651" s="24" t="str">
        <f aca="false">IF($D1651="","",IFERROR(INDEX(Workers!$B$5:$B$2004,MATCH($D1651,Workers!$A$5:$A$2004,0)),"NOT FOUND"))</f>
        <v/>
      </c>
      <c r="J1651" s="24" t="str">
        <f aca="false">IF($D1651="","",IFERROR(INDEX(Workers!$C$5:$C$2004,MATCH($D1651,Workers!$A$5:$A$2004,0)),""))</f>
        <v/>
      </c>
      <c r="K1651" s="24" t="str">
        <f aca="false">IF($D1651="","",IFERROR(IF(INDEX(Workers!$D$5:$D$2004,MATCH($D1651,Workers!$A$5:$A$2004,0))=0,"",INDEX(Workers!$D$5:$D$2004,MATCH($D1651,Workers!$A$5:$A$2004,0))),""))</f>
        <v/>
      </c>
      <c r="L1651" s="24" t="str">
        <f aca="false">IF($D1651="","",IFERROR(INDEX(Workers!$E$5:$E$2004,MATCH($D1651,Workers!$A$5:$A$2004,0)),""))</f>
        <v/>
      </c>
      <c r="M1651" s="26" t="str">
        <f aca="false">IF($D1651="","",IFERROR(INDEX(ClientRates!$D$5:$D$500,MATCH($B1651&amp;"|"&amp;$L1651,ClientRates!$A$5:$A$500,0)),0))</f>
        <v/>
      </c>
      <c r="N1651" s="26" t="str">
        <f aca="false">IF($D1651="","",IFERROR(INDEX(ClientRates!$E$5:$E$500,MATCH($B1651&amp;"|"&amp;$L1651,ClientRates!$A$5:$A$500,0)),0))</f>
        <v/>
      </c>
      <c r="O1651" s="26" t="str">
        <f aca="false">IF($D1651="","",F1651*M1651+G1651*N1651)</f>
        <v/>
      </c>
      <c r="P1651" s="26" t="str">
        <f aca="false">IF(OR($D1651="",$J1651&lt;&gt;"Supplier"),"",IFERROR(INDEX(SupplierRates!$D$5:$D$500,MATCH($K1651&amp;"|"&amp;$L1651,SupplierRates!$A$5:$A$500,0)),0))</f>
        <v/>
      </c>
      <c r="Q1651" s="26" t="str">
        <f aca="false">IF(OR($D1651="",$J1651&lt;&gt;"Supplier"),"",IFERROR(INDEX(SupplierRates!$E$5:$E$500,MATCH($K1651&amp;"|"&amp;$L1651,SupplierRates!$A$5:$A$500,0)),0))</f>
        <v/>
      </c>
      <c r="R1651" s="26" t="n">
        <f aca="false">IF(OR($D1651="",$J1651&lt;&gt;"Supplier"),0,F1651*P1651+G1651*Q1651)</f>
        <v>0</v>
      </c>
      <c r="S1651" s="26" t="n">
        <f aca="false">IF(OR($D1651="",$J1651&lt;&gt;"Own"),0,IFERROR((F1651+G1651*Settings!$B$13)*INDEX(Workers!$V$5:$V$2004,MATCH($D1651,Workers!$A$5:$A$2004,0)),0))</f>
        <v>0</v>
      </c>
      <c r="T1651" s="26" t="str">
        <f aca="false">IF($D1651="","",O1651-R1651-S1651)</f>
        <v/>
      </c>
    </row>
    <row r="1652" customFormat="false" ht="15" hidden="false" customHeight="false" outlineLevel="0" collapsed="false">
      <c r="I1652" s="24" t="str">
        <f aca="false">IF($D1652="","",IFERROR(INDEX(Workers!$B$5:$B$2004,MATCH($D1652,Workers!$A$5:$A$2004,0)),"NOT FOUND"))</f>
        <v/>
      </c>
      <c r="J1652" s="24" t="str">
        <f aca="false">IF($D1652="","",IFERROR(INDEX(Workers!$C$5:$C$2004,MATCH($D1652,Workers!$A$5:$A$2004,0)),""))</f>
        <v/>
      </c>
      <c r="K1652" s="24" t="str">
        <f aca="false">IF($D1652="","",IFERROR(IF(INDEX(Workers!$D$5:$D$2004,MATCH($D1652,Workers!$A$5:$A$2004,0))=0,"",INDEX(Workers!$D$5:$D$2004,MATCH($D1652,Workers!$A$5:$A$2004,0))),""))</f>
        <v/>
      </c>
      <c r="L1652" s="24" t="str">
        <f aca="false">IF($D1652="","",IFERROR(INDEX(Workers!$E$5:$E$2004,MATCH($D1652,Workers!$A$5:$A$2004,0)),""))</f>
        <v/>
      </c>
      <c r="M1652" s="26" t="str">
        <f aca="false">IF($D1652="","",IFERROR(INDEX(ClientRates!$D$5:$D$500,MATCH($B1652&amp;"|"&amp;$L1652,ClientRates!$A$5:$A$500,0)),0))</f>
        <v/>
      </c>
      <c r="N1652" s="26" t="str">
        <f aca="false">IF($D1652="","",IFERROR(INDEX(ClientRates!$E$5:$E$500,MATCH($B1652&amp;"|"&amp;$L1652,ClientRates!$A$5:$A$500,0)),0))</f>
        <v/>
      </c>
      <c r="O1652" s="26" t="str">
        <f aca="false">IF($D1652="","",F1652*M1652+G1652*N1652)</f>
        <v/>
      </c>
      <c r="P1652" s="26" t="str">
        <f aca="false">IF(OR($D1652="",$J1652&lt;&gt;"Supplier"),"",IFERROR(INDEX(SupplierRates!$D$5:$D$500,MATCH($K1652&amp;"|"&amp;$L1652,SupplierRates!$A$5:$A$500,0)),0))</f>
        <v/>
      </c>
      <c r="Q1652" s="26" t="str">
        <f aca="false">IF(OR($D1652="",$J1652&lt;&gt;"Supplier"),"",IFERROR(INDEX(SupplierRates!$E$5:$E$500,MATCH($K1652&amp;"|"&amp;$L1652,SupplierRates!$A$5:$A$500,0)),0))</f>
        <v/>
      </c>
      <c r="R1652" s="26" t="n">
        <f aca="false">IF(OR($D1652="",$J1652&lt;&gt;"Supplier"),0,F1652*P1652+G1652*Q1652)</f>
        <v>0</v>
      </c>
      <c r="S1652" s="26" t="n">
        <f aca="false">IF(OR($D1652="",$J1652&lt;&gt;"Own"),0,IFERROR((F1652+G1652*Settings!$B$13)*INDEX(Workers!$V$5:$V$2004,MATCH($D1652,Workers!$A$5:$A$2004,0)),0))</f>
        <v>0</v>
      </c>
      <c r="T1652" s="26" t="str">
        <f aca="false">IF($D1652="","",O1652-R1652-S1652)</f>
        <v/>
      </c>
    </row>
    <row r="1653" customFormat="false" ht="15" hidden="false" customHeight="false" outlineLevel="0" collapsed="false">
      <c r="I1653" s="24" t="str">
        <f aca="false">IF($D1653="","",IFERROR(INDEX(Workers!$B$5:$B$2004,MATCH($D1653,Workers!$A$5:$A$2004,0)),"NOT FOUND"))</f>
        <v/>
      </c>
      <c r="J1653" s="24" t="str">
        <f aca="false">IF($D1653="","",IFERROR(INDEX(Workers!$C$5:$C$2004,MATCH($D1653,Workers!$A$5:$A$2004,0)),""))</f>
        <v/>
      </c>
      <c r="K1653" s="24" t="str">
        <f aca="false">IF($D1653="","",IFERROR(IF(INDEX(Workers!$D$5:$D$2004,MATCH($D1653,Workers!$A$5:$A$2004,0))=0,"",INDEX(Workers!$D$5:$D$2004,MATCH($D1653,Workers!$A$5:$A$2004,0))),""))</f>
        <v/>
      </c>
      <c r="L1653" s="24" t="str">
        <f aca="false">IF($D1653="","",IFERROR(INDEX(Workers!$E$5:$E$2004,MATCH($D1653,Workers!$A$5:$A$2004,0)),""))</f>
        <v/>
      </c>
      <c r="M1653" s="26" t="str">
        <f aca="false">IF($D1653="","",IFERROR(INDEX(ClientRates!$D$5:$D$500,MATCH($B1653&amp;"|"&amp;$L1653,ClientRates!$A$5:$A$500,0)),0))</f>
        <v/>
      </c>
      <c r="N1653" s="26" t="str">
        <f aca="false">IF($D1653="","",IFERROR(INDEX(ClientRates!$E$5:$E$500,MATCH($B1653&amp;"|"&amp;$L1653,ClientRates!$A$5:$A$500,0)),0))</f>
        <v/>
      </c>
      <c r="O1653" s="26" t="str">
        <f aca="false">IF($D1653="","",F1653*M1653+G1653*N1653)</f>
        <v/>
      </c>
      <c r="P1653" s="26" t="str">
        <f aca="false">IF(OR($D1653="",$J1653&lt;&gt;"Supplier"),"",IFERROR(INDEX(SupplierRates!$D$5:$D$500,MATCH($K1653&amp;"|"&amp;$L1653,SupplierRates!$A$5:$A$500,0)),0))</f>
        <v/>
      </c>
      <c r="Q1653" s="26" t="str">
        <f aca="false">IF(OR($D1653="",$J1653&lt;&gt;"Supplier"),"",IFERROR(INDEX(SupplierRates!$E$5:$E$500,MATCH($K1653&amp;"|"&amp;$L1653,SupplierRates!$A$5:$A$500,0)),0))</f>
        <v/>
      </c>
      <c r="R1653" s="26" t="n">
        <f aca="false">IF(OR($D1653="",$J1653&lt;&gt;"Supplier"),0,F1653*P1653+G1653*Q1653)</f>
        <v>0</v>
      </c>
      <c r="S1653" s="26" t="n">
        <f aca="false">IF(OR($D1653="",$J1653&lt;&gt;"Own"),0,IFERROR((F1653+G1653*Settings!$B$13)*INDEX(Workers!$V$5:$V$2004,MATCH($D1653,Workers!$A$5:$A$2004,0)),0))</f>
        <v>0</v>
      </c>
      <c r="T1653" s="26" t="str">
        <f aca="false">IF($D1653="","",O1653-R1653-S1653)</f>
        <v/>
      </c>
    </row>
    <row r="1654" customFormat="false" ht="15" hidden="false" customHeight="false" outlineLevel="0" collapsed="false">
      <c r="I1654" s="24" t="str">
        <f aca="false">IF($D1654="","",IFERROR(INDEX(Workers!$B$5:$B$2004,MATCH($D1654,Workers!$A$5:$A$2004,0)),"NOT FOUND"))</f>
        <v/>
      </c>
      <c r="J1654" s="24" t="str">
        <f aca="false">IF($D1654="","",IFERROR(INDEX(Workers!$C$5:$C$2004,MATCH($D1654,Workers!$A$5:$A$2004,0)),""))</f>
        <v/>
      </c>
      <c r="K1654" s="24" t="str">
        <f aca="false">IF($D1654="","",IFERROR(IF(INDEX(Workers!$D$5:$D$2004,MATCH($D1654,Workers!$A$5:$A$2004,0))=0,"",INDEX(Workers!$D$5:$D$2004,MATCH($D1654,Workers!$A$5:$A$2004,0))),""))</f>
        <v/>
      </c>
      <c r="L1654" s="24" t="str">
        <f aca="false">IF($D1654="","",IFERROR(INDEX(Workers!$E$5:$E$2004,MATCH($D1654,Workers!$A$5:$A$2004,0)),""))</f>
        <v/>
      </c>
      <c r="M1654" s="26" t="str">
        <f aca="false">IF($D1654="","",IFERROR(INDEX(ClientRates!$D$5:$D$500,MATCH($B1654&amp;"|"&amp;$L1654,ClientRates!$A$5:$A$500,0)),0))</f>
        <v/>
      </c>
      <c r="N1654" s="26" t="str">
        <f aca="false">IF($D1654="","",IFERROR(INDEX(ClientRates!$E$5:$E$500,MATCH($B1654&amp;"|"&amp;$L1654,ClientRates!$A$5:$A$500,0)),0))</f>
        <v/>
      </c>
      <c r="O1654" s="26" t="str">
        <f aca="false">IF($D1654="","",F1654*M1654+G1654*N1654)</f>
        <v/>
      </c>
      <c r="P1654" s="26" t="str">
        <f aca="false">IF(OR($D1654="",$J1654&lt;&gt;"Supplier"),"",IFERROR(INDEX(SupplierRates!$D$5:$D$500,MATCH($K1654&amp;"|"&amp;$L1654,SupplierRates!$A$5:$A$500,0)),0))</f>
        <v/>
      </c>
      <c r="Q1654" s="26" t="str">
        <f aca="false">IF(OR($D1654="",$J1654&lt;&gt;"Supplier"),"",IFERROR(INDEX(SupplierRates!$E$5:$E$500,MATCH($K1654&amp;"|"&amp;$L1654,SupplierRates!$A$5:$A$500,0)),0))</f>
        <v/>
      </c>
      <c r="R1654" s="26" t="n">
        <f aca="false">IF(OR($D1654="",$J1654&lt;&gt;"Supplier"),0,F1654*P1654+G1654*Q1654)</f>
        <v>0</v>
      </c>
      <c r="S1654" s="26" t="n">
        <f aca="false">IF(OR($D1654="",$J1654&lt;&gt;"Own"),0,IFERROR((F1654+G1654*Settings!$B$13)*INDEX(Workers!$V$5:$V$2004,MATCH($D1654,Workers!$A$5:$A$2004,0)),0))</f>
        <v>0</v>
      </c>
      <c r="T1654" s="26" t="str">
        <f aca="false">IF($D1654="","",O1654-R1654-S1654)</f>
        <v/>
      </c>
    </row>
    <row r="1655" customFormat="false" ht="15" hidden="false" customHeight="false" outlineLevel="0" collapsed="false">
      <c r="I1655" s="24" t="str">
        <f aca="false">IF($D1655="","",IFERROR(INDEX(Workers!$B$5:$B$2004,MATCH($D1655,Workers!$A$5:$A$2004,0)),"NOT FOUND"))</f>
        <v/>
      </c>
      <c r="J1655" s="24" t="str">
        <f aca="false">IF($D1655="","",IFERROR(INDEX(Workers!$C$5:$C$2004,MATCH($D1655,Workers!$A$5:$A$2004,0)),""))</f>
        <v/>
      </c>
      <c r="K1655" s="24" t="str">
        <f aca="false">IF($D1655="","",IFERROR(IF(INDEX(Workers!$D$5:$D$2004,MATCH($D1655,Workers!$A$5:$A$2004,0))=0,"",INDEX(Workers!$D$5:$D$2004,MATCH($D1655,Workers!$A$5:$A$2004,0))),""))</f>
        <v/>
      </c>
      <c r="L1655" s="24" t="str">
        <f aca="false">IF($D1655="","",IFERROR(INDEX(Workers!$E$5:$E$2004,MATCH($D1655,Workers!$A$5:$A$2004,0)),""))</f>
        <v/>
      </c>
      <c r="M1655" s="26" t="str">
        <f aca="false">IF($D1655="","",IFERROR(INDEX(ClientRates!$D$5:$D$500,MATCH($B1655&amp;"|"&amp;$L1655,ClientRates!$A$5:$A$500,0)),0))</f>
        <v/>
      </c>
      <c r="N1655" s="26" t="str">
        <f aca="false">IF($D1655="","",IFERROR(INDEX(ClientRates!$E$5:$E$500,MATCH($B1655&amp;"|"&amp;$L1655,ClientRates!$A$5:$A$500,0)),0))</f>
        <v/>
      </c>
      <c r="O1655" s="26" t="str">
        <f aca="false">IF($D1655="","",F1655*M1655+G1655*N1655)</f>
        <v/>
      </c>
      <c r="P1655" s="26" t="str">
        <f aca="false">IF(OR($D1655="",$J1655&lt;&gt;"Supplier"),"",IFERROR(INDEX(SupplierRates!$D$5:$D$500,MATCH($K1655&amp;"|"&amp;$L1655,SupplierRates!$A$5:$A$500,0)),0))</f>
        <v/>
      </c>
      <c r="Q1655" s="26" t="str">
        <f aca="false">IF(OR($D1655="",$J1655&lt;&gt;"Supplier"),"",IFERROR(INDEX(SupplierRates!$E$5:$E$500,MATCH($K1655&amp;"|"&amp;$L1655,SupplierRates!$A$5:$A$500,0)),0))</f>
        <v/>
      </c>
      <c r="R1655" s="26" t="n">
        <f aca="false">IF(OR($D1655="",$J1655&lt;&gt;"Supplier"),0,F1655*P1655+G1655*Q1655)</f>
        <v>0</v>
      </c>
      <c r="S1655" s="26" t="n">
        <f aca="false">IF(OR($D1655="",$J1655&lt;&gt;"Own"),0,IFERROR((F1655+G1655*Settings!$B$13)*INDEX(Workers!$V$5:$V$2004,MATCH($D1655,Workers!$A$5:$A$2004,0)),0))</f>
        <v>0</v>
      </c>
      <c r="T1655" s="26" t="str">
        <f aca="false">IF($D1655="","",O1655-R1655-S1655)</f>
        <v/>
      </c>
    </row>
    <row r="1656" customFormat="false" ht="15" hidden="false" customHeight="false" outlineLevel="0" collapsed="false">
      <c r="I1656" s="24" t="str">
        <f aca="false">IF($D1656="","",IFERROR(INDEX(Workers!$B$5:$B$2004,MATCH($D1656,Workers!$A$5:$A$2004,0)),"NOT FOUND"))</f>
        <v/>
      </c>
      <c r="J1656" s="24" t="str">
        <f aca="false">IF($D1656="","",IFERROR(INDEX(Workers!$C$5:$C$2004,MATCH($D1656,Workers!$A$5:$A$2004,0)),""))</f>
        <v/>
      </c>
      <c r="K1656" s="24" t="str">
        <f aca="false">IF($D1656="","",IFERROR(IF(INDEX(Workers!$D$5:$D$2004,MATCH($D1656,Workers!$A$5:$A$2004,0))=0,"",INDEX(Workers!$D$5:$D$2004,MATCH($D1656,Workers!$A$5:$A$2004,0))),""))</f>
        <v/>
      </c>
      <c r="L1656" s="24" t="str">
        <f aca="false">IF($D1656="","",IFERROR(INDEX(Workers!$E$5:$E$2004,MATCH($D1656,Workers!$A$5:$A$2004,0)),""))</f>
        <v/>
      </c>
      <c r="M1656" s="26" t="str">
        <f aca="false">IF($D1656="","",IFERROR(INDEX(ClientRates!$D$5:$D$500,MATCH($B1656&amp;"|"&amp;$L1656,ClientRates!$A$5:$A$500,0)),0))</f>
        <v/>
      </c>
      <c r="N1656" s="26" t="str">
        <f aca="false">IF($D1656="","",IFERROR(INDEX(ClientRates!$E$5:$E$500,MATCH($B1656&amp;"|"&amp;$L1656,ClientRates!$A$5:$A$500,0)),0))</f>
        <v/>
      </c>
      <c r="O1656" s="26" t="str">
        <f aca="false">IF($D1656="","",F1656*M1656+G1656*N1656)</f>
        <v/>
      </c>
      <c r="P1656" s="26" t="str">
        <f aca="false">IF(OR($D1656="",$J1656&lt;&gt;"Supplier"),"",IFERROR(INDEX(SupplierRates!$D$5:$D$500,MATCH($K1656&amp;"|"&amp;$L1656,SupplierRates!$A$5:$A$500,0)),0))</f>
        <v/>
      </c>
      <c r="Q1656" s="26" t="str">
        <f aca="false">IF(OR($D1656="",$J1656&lt;&gt;"Supplier"),"",IFERROR(INDEX(SupplierRates!$E$5:$E$500,MATCH($K1656&amp;"|"&amp;$L1656,SupplierRates!$A$5:$A$500,0)),0))</f>
        <v/>
      </c>
      <c r="R1656" s="26" t="n">
        <f aca="false">IF(OR($D1656="",$J1656&lt;&gt;"Supplier"),0,F1656*P1656+G1656*Q1656)</f>
        <v>0</v>
      </c>
      <c r="S1656" s="26" t="n">
        <f aca="false">IF(OR($D1656="",$J1656&lt;&gt;"Own"),0,IFERROR((F1656+G1656*Settings!$B$13)*INDEX(Workers!$V$5:$V$2004,MATCH($D1656,Workers!$A$5:$A$2004,0)),0))</f>
        <v>0</v>
      </c>
      <c r="T1656" s="26" t="str">
        <f aca="false">IF($D1656="","",O1656-R1656-S1656)</f>
        <v/>
      </c>
    </row>
    <row r="1657" customFormat="false" ht="15" hidden="false" customHeight="false" outlineLevel="0" collapsed="false">
      <c r="I1657" s="24" t="str">
        <f aca="false">IF($D1657="","",IFERROR(INDEX(Workers!$B$5:$B$2004,MATCH($D1657,Workers!$A$5:$A$2004,0)),"NOT FOUND"))</f>
        <v/>
      </c>
      <c r="J1657" s="24" t="str">
        <f aca="false">IF($D1657="","",IFERROR(INDEX(Workers!$C$5:$C$2004,MATCH($D1657,Workers!$A$5:$A$2004,0)),""))</f>
        <v/>
      </c>
      <c r="K1657" s="24" t="str">
        <f aca="false">IF($D1657="","",IFERROR(IF(INDEX(Workers!$D$5:$D$2004,MATCH($D1657,Workers!$A$5:$A$2004,0))=0,"",INDEX(Workers!$D$5:$D$2004,MATCH($D1657,Workers!$A$5:$A$2004,0))),""))</f>
        <v/>
      </c>
      <c r="L1657" s="24" t="str">
        <f aca="false">IF($D1657="","",IFERROR(INDEX(Workers!$E$5:$E$2004,MATCH($D1657,Workers!$A$5:$A$2004,0)),""))</f>
        <v/>
      </c>
      <c r="M1657" s="26" t="str">
        <f aca="false">IF($D1657="","",IFERROR(INDEX(ClientRates!$D$5:$D$500,MATCH($B1657&amp;"|"&amp;$L1657,ClientRates!$A$5:$A$500,0)),0))</f>
        <v/>
      </c>
      <c r="N1657" s="26" t="str">
        <f aca="false">IF($D1657="","",IFERROR(INDEX(ClientRates!$E$5:$E$500,MATCH($B1657&amp;"|"&amp;$L1657,ClientRates!$A$5:$A$500,0)),0))</f>
        <v/>
      </c>
      <c r="O1657" s="26" t="str">
        <f aca="false">IF($D1657="","",F1657*M1657+G1657*N1657)</f>
        <v/>
      </c>
      <c r="P1657" s="26" t="str">
        <f aca="false">IF(OR($D1657="",$J1657&lt;&gt;"Supplier"),"",IFERROR(INDEX(SupplierRates!$D$5:$D$500,MATCH($K1657&amp;"|"&amp;$L1657,SupplierRates!$A$5:$A$500,0)),0))</f>
        <v/>
      </c>
      <c r="Q1657" s="26" t="str">
        <f aca="false">IF(OR($D1657="",$J1657&lt;&gt;"Supplier"),"",IFERROR(INDEX(SupplierRates!$E$5:$E$500,MATCH($K1657&amp;"|"&amp;$L1657,SupplierRates!$A$5:$A$500,0)),0))</f>
        <v/>
      </c>
      <c r="R1657" s="26" t="n">
        <f aca="false">IF(OR($D1657="",$J1657&lt;&gt;"Supplier"),0,F1657*P1657+G1657*Q1657)</f>
        <v>0</v>
      </c>
      <c r="S1657" s="26" t="n">
        <f aca="false">IF(OR($D1657="",$J1657&lt;&gt;"Own"),0,IFERROR((F1657+G1657*Settings!$B$13)*INDEX(Workers!$V$5:$V$2004,MATCH($D1657,Workers!$A$5:$A$2004,0)),0))</f>
        <v>0</v>
      </c>
      <c r="T1657" s="26" t="str">
        <f aca="false">IF($D1657="","",O1657-R1657-S1657)</f>
        <v/>
      </c>
    </row>
    <row r="1658" customFormat="false" ht="15" hidden="false" customHeight="false" outlineLevel="0" collapsed="false">
      <c r="I1658" s="24" t="str">
        <f aca="false">IF($D1658="","",IFERROR(INDEX(Workers!$B$5:$B$2004,MATCH($D1658,Workers!$A$5:$A$2004,0)),"NOT FOUND"))</f>
        <v/>
      </c>
      <c r="J1658" s="24" t="str">
        <f aca="false">IF($D1658="","",IFERROR(INDEX(Workers!$C$5:$C$2004,MATCH($D1658,Workers!$A$5:$A$2004,0)),""))</f>
        <v/>
      </c>
      <c r="K1658" s="24" t="str">
        <f aca="false">IF($D1658="","",IFERROR(IF(INDEX(Workers!$D$5:$D$2004,MATCH($D1658,Workers!$A$5:$A$2004,0))=0,"",INDEX(Workers!$D$5:$D$2004,MATCH($D1658,Workers!$A$5:$A$2004,0))),""))</f>
        <v/>
      </c>
      <c r="L1658" s="24" t="str">
        <f aca="false">IF($D1658="","",IFERROR(INDEX(Workers!$E$5:$E$2004,MATCH($D1658,Workers!$A$5:$A$2004,0)),""))</f>
        <v/>
      </c>
      <c r="M1658" s="26" t="str">
        <f aca="false">IF($D1658="","",IFERROR(INDEX(ClientRates!$D$5:$D$500,MATCH($B1658&amp;"|"&amp;$L1658,ClientRates!$A$5:$A$500,0)),0))</f>
        <v/>
      </c>
      <c r="N1658" s="26" t="str">
        <f aca="false">IF($D1658="","",IFERROR(INDEX(ClientRates!$E$5:$E$500,MATCH($B1658&amp;"|"&amp;$L1658,ClientRates!$A$5:$A$500,0)),0))</f>
        <v/>
      </c>
      <c r="O1658" s="26" t="str">
        <f aca="false">IF($D1658="","",F1658*M1658+G1658*N1658)</f>
        <v/>
      </c>
      <c r="P1658" s="26" t="str">
        <f aca="false">IF(OR($D1658="",$J1658&lt;&gt;"Supplier"),"",IFERROR(INDEX(SupplierRates!$D$5:$D$500,MATCH($K1658&amp;"|"&amp;$L1658,SupplierRates!$A$5:$A$500,0)),0))</f>
        <v/>
      </c>
      <c r="Q1658" s="26" t="str">
        <f aca="false">IF(OR($D1658="",$J1658&lt;&gt;"Supplier"),"",IFERROR(INDEX(SupplierRates!$E$5:$E$500,MATCH($K1658&amp;"|"&amp;$L1658,SupplierRates!$A$5:$A$500,0)),0))</f>
        <v/>
      </c>
      <c r="R1658" s="26" t="n">
        <f aca="false">IF(OR($D1658="",$J1658&lt;&gt;"Supplier"),0,F1658*P1658+G1658*Q1658)</f>
        <v>0</v>
      </c>
      <c r="S1658" s="26" t="n">
        <f aca="false">IF(OR($D1658="",$J1658&lt;&gt;"Own"),0,IFERROR((F1658+G1658*Settings!$B$13)*INDEX(Workers!$V$5:$V$2004,MATCH($D1658,Workers!$A$5:$A$2004,0)),0))</f>
        <v>0</v>
      </c>
      <c r="T1658" s="26" t="str">
        <f aca="false">IF($D1658="","",O1658-R1658-S1658)</f>
        <v/>
      </c>
    </row>
    <row r="1659" customFormat="false" ht="15" hidden="false" customHeight="false" outlineLevel="0" collapsed="false">
      <c r="I1659" s="24" t="str">
        <f aca="false">IF($D1659="","",IFERROR(INDEX(Workers!$B$5:$B$2004,MATCH($D1659,Workers!$A$5:$A$2004,0)),"NOT FOUND"))</f>
        <v/>
      </c>
      <c r="J1659" s="24" t="str">
        <f aca="false">IF($D1659="","",IFERROR(INDEX(Workers!$C$5:$C$2004,MATCH($D1659,Workers!$A$5:$A$2004,0)),""))</f>
        <v/>
      </c>
      <c r="K1659" s="24" t="str">
        <f aca="false">IF($D1659="","",IFERROR(IF(INDEX(Workers!$D$5:$D$2004,MATCH($D1659,Workers!$A$5:$A$2004,0))=0,"",INDEX(Workers!$D$5:$D$2004,MATCH($D1659,Workers!$A$5:$A$2004,0))),""))</f>
        <v/>
      </c>
      <c r="L1659" s="24" t="str">
        <f aca="false">IF($D1659="","",IFERROR(INDEX(Workers!$E$5:$E$2004,MATCH($D1659,Workers!$A$5:$A$2004,0)),""))</f>
        <v/>
      </c>
      <c r="M1659" s="26" t="str">
        <f aca="false">IF($D1659="","",IFERROR(INDEX(ClientRates!$D$5:$D$500,MATCH($B1659&amp;"|"&amp;$L1659,ClientRates!$A$5:$A$500,0)),0))</f>
        <v/>
      </c>
      <c r="N1659" s="26" t="str">
        <f aca="false">IF($D1659="","",IFERROR(INDEX(ClientRates!$E$5:$E$500,MATCH($B1659&amp;"|"&amp;$L1659,ClientRates!$A$5:$A$500,0)),0))</f>
        <v/>
      </c>
      <c r="O1659" s="26" t="str">
        <f aca="false">IF($D1659="","",F1659*M1659+G1659*N1659)</f>
        <v/>
      </c>
      <c r="P1659" s="26" t="str">
        <f aca="false">IF(OR($D1659="",$J1659&lt;&gt;"Supplier"),"",IFERROR(INDEX(SupplierRates!$D$5:$D$500,MATCH($K1659&amp;"|"&amp;$L1659,SupplierRates!$A$5:$A$500,0)),0))</f>
        <v/>
      </c>
      <c r="Q1659" s="26" t="str">
        <f aca="false">IF(OR($D1659="",$J1659&lt;&gt;"Supplier"),"",IFERROR(INDEX(SupplierRates!$E$5:$E$500,MATCH($K1659&amp;"|"&amp;$L1659,SupplierRates!$A$5:$A$500,0)),0))</f>
        <v/>
      </c>
      <c r="R1659" s="26" t="n">
        <f aca="false">IF(OR($D1659="",$J1659&lt;&gt;"Supplier"),0,F1659*P1659+G1659*Q1659)</f>
        <v>0</v>
      </c>
      <c r="S1659" s="26" t="n">
        <f aca="false">IF(OR($D1659="",$J1659&lt;&gt;"Own"),0,IFERROR((F1659+G1659*Settings!$B$13)*INDEX(Workers!$V$5:$V$2004,MATCH($D1659,Workers!$A$5:$A$2004,0)),0))</f>
        <v>0</v>
      </c>
      <c r="T1659" s="26" t="str">
        <f aca="false">IF($D1659="","",O1659-R1659-S1659)</f>
        <v/>
      </c>
    </row>
    <row r="1660" customFormat="false" ht="15" hidden="false" customHeight="false" outlineLevel="0" collapsed="false">
      <c r="I1660" s="24" t="str">
        <f aca="false">IF($D1660="","",IFERROR(INDEX(Workers!$B$5:$B$2004,MATCH($D1660,Workers!$A$5:$A$2004,0)),"NOT FOUND"))</f>
        <v/>
      </c>
      <c r="J1660" s="24" t="str">
        <f aca="false">IF($D1660="","",IFERROR(INDEX(Workers!$C$5:$C$2004,MATCH($D1660,Workers!$A$5:$A$2004,0)),""))</f>
        <v/>
      </c>
      <c r="K1660" s="24" t="str">
        <f aca="false">IF($D1660="","",IFERROR(IF(INDEX(Workers!$D$5:$D$2004,MATCH($D1660,Workers!$A$5:$A$2004,0))=0,"",INDEX(Workers!$D$5:$D$2004,MATCH($D1660,Workers!$A$5:$A$2004,0))),""))</f>
        <v/>
      </c>
      <c r="L1660" s="24" t="str">
        <f aca="false">IF($D1660="","",IFERROR(INDEX(Workers!$E$5:$E$2004,MATCH($D1660,Workers!$A$5:$A$2004,0)),""))</f>
        <v/>
      </c>
      <c r="M1660" s="26" t="str">
        <f aca="false">IF($D1660="","",IFERROR(INDEX(ClientRates!$D$5:$D$500,MATCH($B1660&amp;"|"&amp;$L1660,ClientRates!$A$5:$A$500,0)),0))</f>
        <v/>
      </c>
      <c r="N1660" s="26" t="str">
        <f aca="false">IF($D1660="","",IFERROR(INDEX(ClientRates!$E$5:$E$500,MATCH($B1660&amp;"|"&amp;$L1660,ClientRates!$A$5:$A$500,0)),0))</f>
        <v/>
      </c>
      <c r="O1660" s="26" t="str">
        <f aca="false">IF($D1660="","",F1660*M1660+G1660*N1660)</f>
        <v/>
      </c>
      <c r="P1660" s="26" t="str">
        <f aca="false">IF(OR($D1660="",$J1660&lt;&gt;"Supplier"),"",IFERROR(INDEX(SupplierRates!$D$5:$D$500,MATCH($K1660&amp;"|"&amp;$L1660,SupplierRates!$A$5:$A$500,0)),0))</f>
        <v/>
      </c>
      <c r="Q1660" s="26" t="str">
        <f aca="false">IF(OR($D1660="",$J1660&lt;&gt;"Supplier"),"",IFERROR(INDEX(SupplierRates!$E$5:$E$500,MATCH($K1660&amp;"|"&amp;$L1660,SupplierRates!$A$5:$A$500,0)),0))</f>
        <v/>
      </c>
      <c r="R1660" s="26" t="n">
        <f aca="false">IF(OR($D1660="",$J1660&lt;&gt;"Supplier"),0,F1660*P1660+G1660*Q1660)</f>
        <v>0</v>
      </c>
      <c r="S1660" s="26" t="n">
        <f aca="false">IF(OR($D1660="",$J1660&lt;&gt;"Own"),0,IFERROR((F1660+G1660*Settings!$B$13)*INDEX(Workers!$V$5:$V$2004,MATCH($D1660,Workers!$A$5:$A$2004,0)),0))</f>
        <v>0</v>
      </c>
      <c r="T1660" s="26" t="str">
        <f aca="false">IF($D1660="","",O1660-R1660-S1660)</f>
        <v/>
      </c>
    </row>
    <row r="1661" customFormat="false" ht="15" hidden="false" customHeight="false" outlineLevel="0" collapsed="false">
      <c r="I1661" s="24" t="str">
        <f aca="false">IF($D1661="","",IFERROR(INDEX(Workers!$B$5:$B$2004,MATCH($D1661,Workers!$A$5:$A$2004,0)),"NOT FOUND"))</f>
        <v/>
      </c>
      <c r="J1661" s="24" t="str">
        <f aca="false">IF($D1661="","",IFERROR(INDEX(Workers!$C$5:$C$2004,MATCH($D1661,Workers!$A$5:$A$2004,0)),""))</f>
        <v/>
      </c>
      <c r="K1661" s="24" t="str">
        <f aca="false">IF($D1661="","",IFERROR(IF(INDEX(Workers!$D$5:$D$2004,MATCH($D1661,Workers!$A$5:$A$2004,0))=0,"",INDEX(Workers!$D$5:$D$2004,MATCH($D1661,Workers!$A$5:$A$2004,0))),""))</f>
        <v/>
      </c>
      <c r="L1661" s="24" t="str">
        <f aca="false">IF($D1661="","",IFERROR(INDEX(Workers!$E$5:$E$2004,MATCH($D1661,Workers!$A$5:$A$2004,0)),""))</f>
        <v/>
      </c>
      <c r="M1661" s="26" t="str">
        <f aca="false">IF($D1661="","",IFERROR(INDEX(ClientRates!$D$5:$D$500,MATCH($B1661&amp;"|"&amp;$L1661,ClientRates!$A$5:$A$500,0)),0))</f>
        <v/>
      </c>
      <c r="N1661" s="26" t="str">
        <f aca="false">IF($D1661="","",IFERROR(INDEX(ClientRates!$E$5:$E$500,MATCH($B1661&amp;"|"&amp;$L1661,ClientRates!$A$5:$A$500,0)),0))</f>
        <v/>
      </c>
      <c r="O1661" s="26" t="str">
        <f aca="false">IF($D1661="","",F1661*M1661+G1661*N1661)</f>
        <v/>
      </c>
      <c r="P1661" s="26" t="str">
        <f aca="false">IF(OR($D1661="",$J1661&lt;&gt;"Supplier"),"",IFERROR(INDEX(SupplierRates!$D$5:$D$500,MATCH($K1661&amp;"|"&amp;$L1661,SupplierRates!$A$5:$A$500,0)),0))</f>
        <v/>
      </c>
      <c r="Q1661" s="26" t="str">
        <f aca="false">IF(OR($D1661="",$J1661&lt;&gt;"Supplier"),"",IFERROR(INDEX(SupplierRates!$E$5:$E$500,MATCH($K1661&amp;"|"&amp;$L1661,SupplierRates!$A$5:$A$500,0)),0))</f>
        <v/>
      </c>
      <c r="R1661" s="26" t="n">
        <f aca="false">IF(OR($D1661="",$J1661&lt;&gt;"Supplier"),0,F1661*P1661+G1661*Q1661)</f>
        <v>0</v>
      </c>
      <c r="S1661" s="26" t="n">
        <f aca="false">IF(OR($D1661="",$J1661&lt;&gt;"Own"),0,IFERROR((F1661+G1661*Settings!$B$13)*INDEX(Workers!$V$5:$V$2004,MATCH($D1661,Workers!$A$5:$A$2004,0)),0))</f>
        <v>0</v>
      </c>
      <c r="T1661" s="26" t="str">
        <f aca="false">IF($D1661="","",O1661-R1661-S1661)</f>
        <v/>
      </c>
    </row>
    <row r="1662" customFormat="false" ht="15" hidden="false" customHeight="false" outlineLevel="0" collapsed="false">
      <c r="I1662" s="24" t="str">
        <f aca="false">IF($D1662="","",IFERROR(INDEX(Workers!$B$5:$B$2004,MATCH($D1662,Workers!$A$5:$A$2004,0)),"NOT FOUND"))</f>
        <v/>
      </c>
      <c r="J1662" s="24" t="str">
        <f aca="false">IF($D1662="","",IFERROR(INDEX(Workers!$C$5:$C$2004,MATCH($D1662,Workers!$A$5:$A$2004,0)),""))</f>
        <v/>
      </c>
      <c r="K1662" s="24" t="str">
        <f aca="false">IF($D1662="","",IFERROR(IF(INDEX(Workers!$D$5:$D$2004,MATCH($D1662,Workers!$A$5:$A$2004,0))=0,"",INDEX(Workers!$D$5:$D$2004,MATCH($D1662,Workers!$A$5:$A$2004,0))),""))</f>
        <v/>
      </c>
      <c r="L1662" s="24" t="str">
        <f aca="false">IF($D1662="","",IFERROR(INDEX(Workers!$E$5:$E$2004,MATCH($D1662,Workers!$A$5:$A$2004,0)),""))</f>
        <v/>
      </c>
      <c r="M1662" s="26" t="str">
        <f aca="false">IF($D1662="","",IFERROR(INDEX(ClientRates!$D$5:$D$500,MATCH($B1662&amp;"|"&amp;$L1662,ClientRates!$A$5:$A$500,0)),0))</f>
        <v/>
      </c>
      <c r="N1662" s="26" t="str">
        <f aca="false">IF($D1662="","",IFERROR(INDEX(ClientRates!$E$5:$E$500,MATCH($B1662&amp;"|"&amp;$L1662,ClientRates!$A$5:$A$500,0)),0))</f>
        <v/>
      </c>
      <c r="O1662" s="26" t="str">
        <f aca="false">IF($D1662="","",F1662*M1662+G1662*N1662)</f>
        <v/>
      </c>
      <c r="P1662" s="26" t="str">
        <f aca="false">IF(OR($D1662="",$J1662&lt;&gt;"Supplier"),"",IFERROR(INDEX(SupplierRates!$D$5:$D$500,MATCH($K1662&amp;"|"&amp;$L1662,SupplierRates!$A$5:$A$500,0)),0))</f>
        <v/>
      </c>
      <c r="Q1662" s="26" t="str">
        <f aca="false">IF(OR($D1662="",$J1662&lt;&gt;"Supplier"),"",IFERROR(INDEX(SupplierRates!$E$5:$E$500,MATCH($K1662&amp;"|"&amp;$L1662,SupplierRates!$A$5:$A$500,0)),0))</f>
        <v/>
      </c>
      <c r="R1662" s="26" t="n">
        <f aca="false">IF(OR($D1662="",$J1662&lt;&gt;"Supplier"),0,F1662*P1662+G1662*Q1662)</f>
        <v>0</v>
      </c>
      <c r="S1662" s="26" t="n">
        <f aca="false">IF(OR($D1662="",$J1662&lt;&gt;"Own"),0,IFERROR((F1662+G1662*Settings!$B$13)*INDEX(Workers!$V$5:$V$2004,MATCH($D1662,Workers!$A$5:$A$2004,0)),0))</f>
        <v>0</v>
      </c>
      <c r="T1662" s="26" t="str">
        <f aca="false">IF($D1662="","",O1662-R1662-S1662)</f>
        <v/>
      </c>
    </row>
    <row r="1663" customFormat="false" ht="15" hidden="false" customHeight="false" outlineLevel="0" collapsed="false">
      <c r="I1663" s="24" t="str">
        <f aca="false">IF($D1663="","",IFERROR(INDEX(Workers!$B$5:$B$2004,MATCH($D1663,Workers!$A$5:$A$2004,0)),"NOT FOUND"))</f>
        <v/>
      </c>
      <c r="J1663" s="24" t="str">
        <f aca="false">IF($D1663="","",IFERROR(INDEX(Workers!$C$5:$C$2004,MATCH($D1663,Workers!$A$5:$A$2004,0)),""))</f>
        <v/>
      </c>
      <c r="K1663" s="24" t="str">
        <f aca="false">IF($D1663="","",IFERROR(IF(INDEX(Workers!$D$5:$D$2004,MATCH($D1663,Workers!$A$5:$A$2004,0))=0,"",INDEX(Workers!$D$5:$D$2004,MATCH($D1663,Workers!$A$5:$A$2004,0))),""))</f>
        <v/>
      </c>
      <c r="L1663" s="24" t="str">
        <f aca="false">IF($D1663="","",IFERROR(INDEX(Workers!$E$5:$E$2004,MATCH($D1663,Workers!$A$5:$A$2004,0)),""))</f>
        <v/>
      </c>
      <c r="M1663" s="26" t="str">
        <f aca="false">IF($D1663="","",IFERROR(INDEX(ClientRates!$D$5:$D$500,MATCH($B1663&amp;"|"&amp;$L1663,ClientRates!$A$5:$A$500,0)),0))</f>
        <v/>
      </c>
      <c r="N1663" s="26" t="str">
        <f aca="false">IF($D1663="","",IFERROR(INDEX(ClientRates!$E$5:$E$500,MATCH($B1663&amp;"|"&amp;$L1663,ClientRates!$A$5:$A$500,0)),0))</f>
        <v/>
      </c>
      <c r="O1663" s="26" t="str">
        <f aca="false">IF($D1663="","",F1663*M1663+G1663*N1663)</f>
        <v/>
      </c>
      <c r="P1663" s="26" t="str">
        <f aca="false">IF(OR($D1663="",$J1663&lt;&gt;"Supplier"),"",IFERROR(INDEX(SupplierRates!$D$5:$D$500,MATCH($K1663&amp;"|"&amp;$L1663,SupplierRates!$A$5:$A$500,0)),0))</f>
        <v/>
      </c>
      <c r="Q1663" s="26" t="str">
        <f aca="false">IF(OR($D1663="",$J1663&lt;&gt;"Supplier"),"",IFERROR(INDEX(SupplierRates!$E$5:$E$500,MATCH($K1663&amp;"|"&amp;$L1663,SupplierRates!$A$5:$A$500,0)),0))</f>
        <v/>
      </c>
      <c r="R1663" s="26" t="n">
        <f aca="false">IF(OR($D1663="",$J1663&lt;&gt;"Supplier"),0,F1663*P1663+G1663*Q1663)</f>
        <v>0</v>
      </c>
      <c r="S1663" s="26" t="n">
        <f aca="false">IF(OR($D1663="",$J1663&lt;&gt;"Own"),0,IFERROR((F1663+G1663*Settings!$B$13)*INDEX(Workers!$V$5:$V$2004,MATCH($D1663,Workers!$A$5:$A$2004,0)),0))</f>
        <v>0</v>
      </c>
      <c r="T1663" s="26" t="str">
        <f aca="false">IF($D1663="","",O1663-R1663-S1663)</f>
        <v/>
      </c>
    </row>
    <row r="1664" customFormat="false" ht="15" hidden="false" customHeight="false" outlineLevel="0" collapsed="false">
      <c r="I1664" s="24" t="str">
        <f aca="false">IF($D1664="","",IFERROR(INDEX(Workers!$B$5:$B$2004,MATCH($D1664,Workers!$A$5:$A$2004,0)),"NOT FOUND"))</f>
        <v/>
      </c>
      <c r="J1664" s="24" t="str">
        <f aca="false">IF($D1664="","",IFERROR(INDEX(Workers!$C$5:$C$2004,MATCH($D1664,Workers!$A$5:$A$2004,0)),""))</f>
        <v/>
      </c>
      <c r="K1664" s="24" t="str">
        <f aca="false">IF($D1664="","",IFERROR(IF(INDEX(Workers!$D$5:$D$2004,MATCH($D1664,Workers!$A$5:$A$2004,0))=0,"",INDEX(Workers!$D$5:$D$2004,MATCH($D1664,Workers!$A$5:$A$2004,0))),""))</f>
        <v/>
      </c>
      <c r="L1664" s="24" t="str">
        <f aca="false">IF($D1664="","",IFERROR(INDEX(Workers!$E$5:$E$2004,MATCH($D1664,Workers!$A$5:$A$2004,0)),""))</f>
        <v/>
      </c>
      <c r="M1664" s="26" t="str">
        <f aca="false">IF($D1664="","",IFERROR(INDEX(ClientRates!$D$5:$D$500,MATCH($B1664&amp;"|"&amp;$L1664,ClientRates!$A$5:$A$500,0)),0))</f>
        <v/>
      </c>
      <c r="N1664" s="26" t="str">
        <f aca="false">IF($D1664="","",IFERROR(INDEX(ClientRates!$E$5:$E$500,MATCH($B1664&amp;"|"&amp;$L1664,ClientRates!$A$5:$A$500,0)),0))</f>
        <v/>
      </c>
      <c r="O1664" s="26" t="str">
        <f aca="false">IF($D1664="","",F1664*M1664+G1664*N1664)</f>
        <v/>
      </c>
      <c r="P1664" s="26" t="str">
        <f aca="false">IF(OR($D1664="",$J1664&lt;&gt;"Supplier"),"",IFERROR(INDEX(SupplierRates!$D$5:$D$500,MATCH($K1664&amp;"|"&amp;$L1664,SupplierRates!$A$5:$A$500,0)),0))</f>
        <v/>
      </c>
      <c r="Q1664" s="26" t="str">
        <f aca="false">IF(OR($D1664="",$J1664&lt;&gt;"Supplier"),"",IFERROR(INDEX(SupplierRates!$E$5:$E$500,MATCH($K1664&amp;"|"&amp;$L1664,SupplierRates!$A$5:$A$500,0)),0))</f>
        <v/>
      </c>
      <c r="R1664" s="26" t="n">
        <f aca="false">IF(OR($D1664="",$J1664&lt;&gt;"Supplier"),0,F1664*P1664+G1664*Q1664)</f>
        <v>0</v>
      </c>
      <c r="S1664" s="26" t="n">
        <f aca="false">IF(OR($D1664="",$J1664&lt;&gt;"Own"),0,IFERROR((F1664+G1664*Settings!$B$13)*INDEX(Workers!$V$5:$V$2004,MATCH($D1664,Workers!$A$5:$A$2004,0)),0))</f>
        <v>0</v>
      </c>
      <c r="T1664" s="26" t="str">
        <f aca="false">IF($D1664="","",O1664-R1664-S1664)</f>
        <v/>
      </c>
    </row>
    <row r="1665" customFormat="false" ht="15" hidden="false" customHeight="false" outlineLevel="0" collapsed="false">
      <c r="I1665" s="24" t="str">
        <f aca="false">IF($D1665="","",IFERROR(INDEX(Workers!$B$5:$B$2004,MATCH($D1665,Workers!$A$5:$A$2004,0)),"NOT FOUND"))</f>
        <v/>
      </c>
      <c r="J1665" s="24" t="str">
        <f aca="false">IF($D1665="","",IFERROR(INDEX(Workers!$C$5:$C$2004,MATCH($D1665,Workers!$A$5:$A$2004,0)),""))</f>
        <v/>
      </c>
      <c r="K1665" s="24" t="str">
        <f aca="false">IF($D1665="","",IFERROR(IF(INDEX(Workers!$D$5:$D$2004,MATCH($D1665,Workers!$A$5:$A$2004,0))=0,"",INDEX(Workers!$D$5:$D$2004,MATCH($D1665,Workers!$A$5:$A$2004,0))),""))</f>
        <v/>
      </c>
      <c r="L1665" s="24" t="str">
        <f aca="false">IF($D1665="","",IFERROR(INDEX(Workers!$E$5:$E$2004,MATCH($D1665,Workers!$A$5:$A$2004,0)),""))</f>
        <v/>
      </c>
      <c r="M1665" s="26" t="str">
        <f aca="false">IF($D1665="","",IFERROR(INDEX(ClientRates!$D$5:$D$500,MATCH($B1665&amp;"|"&amp;$L1665,ClientRates!$A$5:$A$500,0)),0))</f>
        <v/>
      </c>
      <c r="N1665" s="26" t="str">
        <f aca="false">IF($D1665="","",IFERROR(INDEX(ClientRates!$E$5:$E$500,MATCH($B1665&amp;"|"&amp;$L1665,ClientRates!$A$5:$A$500,0)),0))</f>
        <v/>
      </c>
      <c r="O1665" s="26" t="str">
        <f aca="false">IF($D1665="","",F1665*M1665+G1665*N1665)</f>
        <v/>
      </c>
      <c r="P1665" s="26" t="str">
        <f aca="false">IF(OR($D1665="",$J1665&lt;&gt;"Supplier"),"",IFERROR(INDEX(SupplierRates!$D$5:$D$500,MATCH($K1665&amp;"|"&amp;$L1665,SupplierRates!$A$5:$A$500,0)),0))</f>
        <v/>
      </c>
      <c r="Q1665" s="26" t="str">
        <f aca="false">IF(OR($D1665="",$J1665&lt;&gt;"Supplier"),"",IFERROR(INDEX(SupplierRates!$E$5:$E$500,MATCH($K1665&amp;"|"&amp;$L1665,SupplierRates!$A$5:$A$500,0)),0))</f>
        <v/>
      </c>
      <c r="R1665" s="26" t="n">
        <f aca="false">IF(OR($D1665="",$J1665&lt;&gt;"Supplier"),0,F1665*P1665+G1665*Q1665)</f>
        <v>0</v>
      </c>
      <c r="S1665" s="26" t="n">
        <f aca="false">IF(OR($D1665="",$J1665&lt;&gt;"Own"),0,IFERROR((F1665+G1665*Settings!$B$13)*INDEX(Workers!$V$5:$V$2004,MATCH($D1665,Workers!$A$5:$A$2004,0)),0))</f>
        <v>0</v>
      </c>
      <c r="T1665" s="26" t="str">
        <f aca="false">IF($D1665="","",O1665-R1665-S1665)</f>
        <v/>
      </c>
    </row>
    <row r="1666" customFormat="false" ht="15" hidden="false" customHeight="false" outlineLevel="0" collapsed="false">
      <c r="I1666" s="24" t="str">
        <f aca="false">IF($D1666="","",IFERROR(INDEX(Workers!$B$5:$B$2004,MATCH($D1666,Workers!$A$5:$A$2004,0)),"NOT FOUND"))</f>
        <v/>
      </c>
      <c r="J1666" s="24" t="str">
        <f aca="false">IF($D1666="","",IFERROR(INDEX(Workers!$C$5:$C$2004,MATCH($D1666,Workers!$A$5:$A$2004,0)),""))</f>
        <v/>
      </c>
      <c r="K1666" s="24" t="str">
        <f aca="false">IF($D1666="","",IFERROR(IF(INDEX(Workers!$D$5:$D$2004,MATCH($D1666,Workers!$A$5:$A$2004,0))=0,"",INDEX(Workers!$D$5:$D$2004,MATCH($D1666,Workers!$A$5:$A$2004,0))),""))</f>
        <v/>
      </c>
      <c r="L1666" s="24" t="str">
        <f aca="false">IF($D1666="","",IFERROR(INDEX(Workers!$E$5:$E$2004,MATCH($D1666,Workers!$A$5:$A$2004,0)),""))</f>
        <v/>
      </c>
      <c r="M1666" s="26" t="str">
        <f aca="false">IF($D1666="","",IFERROR(INDEX(ClientRates!$D$5:$D$500,MATCH($B1666&amp;"|"&amp;$L1666,ClientRates!$A$5:$A$500,0)),0))</f>
        <v/>
      </c>
      <c r="N1666" s="26" t="str">
        <f aca="false">IF($D1666="","",IFERROR(INDEX(ClientRates!$E$5:$E$500,MATCH($B1666&amp;"|"&amp;$L1666,ClientRates!$A$5:$A$500,0)),0))</f>
        <v/>
      </c>
      <c r="O1666" s="26" t="str">
        <f aca="false">IF($D1666="","",F1666*M1666+G1666*N1666)</f>
        <v/>
      </c>
      <c r="P1666" s="26" t="str">
        <f aca="false">IF(OR($D1666="",$J1666&lt;&gt;"Supplier"),"",IFERROR(INDEX(SupplierRates!$D$5:$D$500,MATCH($K1666&amp;"|"&amp;$L1666,SupplierRates!$A$5:$A$500,0)),0))</f>
        <v/>
      </c>
      <c r="Q1666" s="26" t="str">
        <f aca="false">IF(OR($D1666="",$J1666&lt;&gt;"Supplier"),"",IFERROR(INDEX(SupplierRates!$E$5:$E$500,MATCH($K1666&amp;"|"&amp;$L1666,SupplierRates!$A$5:$A$500,0)),0))</f>
        <v/>
      </c>
      <c r="R1666" s="26" t="n">
        <f aca="false">IF(OR($D1666="",$J1666&lt;&gt;"Supplier"),0,F1666*P1666+G1666*Q1666)</f>
        <v>0</v>
      </c>
      <c r="S1666" s="26" t="n">
        <f aca="false">IF(OR($D1666="",$J1666&lt;&gt;"Own"),0,IFERROR((F1666+G1666*Settings!$B$13)*INDEX(Workers!$V$5:$V$2004,MATCH($D1666,Workers!$A$5:$A$2004,0)),0))</f>
        <v>0</v>
      </c>
      <c r="T1666" s="26" t="str">
        <f aca="false">IF($D1666="","",O1666-R1666-S1666)</f>
        <v/>
      </c>
    </row>
    <row r="1667" customFormat="false" ht="15" hidden="false" customHeight="false" outlineLevel="0" collapsed="false">
      <c r="I1667" s="24" t="str">
        <f aca="false">IF($D1667="","",IFERROR(INDEX(Workers!$B$5:$B$2004,MATCH($D1667,Workers!$A$5:$A$2004,0)),"NOT FOUND"))</f>
        <v/>
      </c>
      <c r="J1667" s="24" t="str">
        <f aca="false">IF($D1667="","",IFERROR(INDEX(Workers!$C$5:$C$2004,MATCH($D1667,Workers!$A$5:$A$2004,0)),""))</f>
        <v/>
      </c>
      <c r="K1667" s="24" t="str">
        <f aca="false">IF($D1667="","",IFERROR(IF(INDEX(Workers!$D$5:$D$2004,MATCH($D1667,Workers!$A$5:$A$2004,0))=0,"",INDEX(Workers!$D$5:$D$2004,MATCH($D1667,Workers!$A$5:$A$2004,0))),""))</f>
        <v/>
      </c>
      <c r="L1667" s="24" t="str">
        <f aca="false">IF($D1667="","",IFERROR(INDEX(Workers!$E$5:$E$2004,MATCH($D1667,Workers!$A$5:$A$2004,0)),""))</f>
        <v/>
      </c>
      <c r="M1667" s="26" t="str">
        <f aca="false">IF($D1667="","",IFERROR(INDEX(ClientRates!$D$5:$D$500,MATCH($B1667&amp;"|"&amp;$L1667,ClientRates!$A$5:$A$500,0)),0))</f>
        <v/>
      </c>
      <c r="N1667" s="26" t="str">
        <f aca="false">IF($D1667="","",IFERROR(INDEX(ClientRates!$E$5:$E$500,MATCH($B1667&amp;"|"&amp;$L1667,ClientRates!$A$5:$A$500,0)),0))</f>
        <v/>
      </c>
      <c r="O1667" s="26" t="str">
        <f aca="false">IF($D1667="","",F1667*M1667+G1667*N1667)</f>
        <v/>
      </c>
      <c r="P1667" s="26" t="str">
        <f aca="false">IF(OR($D1667="",$J1667&lt;&gt;"Supplier"),"",IFERROR(INDEX(SupplierRates!$D$5:$D$500,MATCH($K1667&amp;"|"&amp;$L1667,SupplierRates!$A$5:$A$500,0)),0))</f>
        <v/>
      </c>
      <c r="Q1667" s="26" t="str">
        <f aca="false">IF(OR($D1667="",$J1667&lt;&gt;"Supplier"),"",IFERROR(INDEX(SupplierRates!$E$5:$E$500,MATCH($K1667&amp;"|"&amp;$L1667,SupplierRates!$A$5:$A$500,0)),0))</f>
        <v/>
      </c>
      <c r="R1667" s="26" t="n">
        <f aca="false">IF(OR($D1667="",$J1667&lt;&gt;"Supplier"),0,F1667*P1667+G1667*Q1667)</f>
        <v>0</v>
      </c>
      <c r="S1667" s="26" t="n">
        <f aca="false">IF(OR($D1667="",$J1667&lt;&gt;"Own"),0,IFERROR((F1667+G1667*Settings!$B$13)*INDEX(Workers!$V$5:$V$2004,MATCH($D1667,Workers!$A$5:$A$2004,0)),0))</f>
        <v>0</v>
      </c>
      <c r="T1667" s="26" t="str">
        <f aca="false">IF($D1667="","",O1667-R1667-S1667)</f>
        <v/>
      </c>
    </row>
    <row r="1668" customFormat="false" ht="15" hidden="false" customHeight="false" outlineLevel="0" collapsed="false">
      <c r="I1668" s="24" t="str">
        <f aca="false">IF($D1668="","",IFERROR(INDEX(Workers!$B$5:$B$2004,MATCH($D1668,Workers!$A$5:$A$2004,0)),"NOT FOUND"))</f>
        <v/>
      </c>
      <c r="J1668" s="24" t="str">
        <f aca="false">IF($D1668="","",IFERROR(INDEX(Workers!$C$5:$C$2004,MATCH($D1668,Workers!$A$5:$A$2004,0)),""))</f>
        <v/>
      </c>
      <c r="K1668" s="24" t="str">
        <f aca="false">IF($D1668="","",IFERROR(IF(INDEX(Workers!$D$5:$D$2004,MATCH($D1668,Workers!$A$5:$A$2004,0))=0,"",INDEX(Workers!$D$5:$D$2004,MATCH($D1668,Workers!$A$5:$A$2004,0))),""))</f>
        <v/>
      </c>
      <c r="L1668" s="24" t="str">
        <f aca="false">IF($D1668="","",IFERROR(INDEX(Workers!$E$5:$E$2004,MATCH($D1668,Workers!$A$5:$A$2004,0)),""))</f>
        <v/>
      </c>
      <c r="M1668" s="26" t="str">
        <f aca="false">IF($D1668="","",IFERROR(INDEX(ClientRates!$D$5:$D$500,MATCH($B1668&amp;"|"&amp;$L1668,ClientRates!$A$5:$A$500,0)),0))</f>
        <v/>
      </c>
      <c r="N1668" s="26" t="str">
        <f aca="false">IF($D1668="","",IFERROR(INDEX(ClientRates!$E$5:$E$500,MATCH($B1668&amp;"|"&amp;$L1668,ClientRates!$A$5:$A$500,0)),0))</f>
        <v/>
      </c>
      <c r="O1668" s="26" t="str">
        <f aca="false">IF($D1668="","",F1668*M1668+G1668*N1668)</f>
        <v/>
      </c>
      <c r="P1668" s="26" t="str">
        <f aca="false">IF(OR($D1668="",$J1668&lt;&gt;"Supplier"),"",IFERROR(INDEX(SupplierRates!$D$5:$D$500,MATCH($K1668&amp;"|"&amp;$L1668,SupplierRates!$A$5:$A$500,0)),0))</f>
        <v/>
      </c>
      <c r="Q1668" s="26" t="str">
        <f aca="false">IF(OR($D1668="",$J1668&lt;&gt;"Supplier"),"",IFERROR(INDEX(SupplierRates!$E$5:$E$500,MATCH($K1668&amp;"|"&amp;$L1668,SupplierRates!$A$5:$A$500,0)),0))</f>
        <v/>
      </c>
      <c r="R1668" s="26" t="n">
        <f aca="false">IF(OR($D1668="",$J1668&lt;&gt;"Supplier"),0,F1668*P1668+G1668*Q1668)</f>
        <v>0</v>
      </c>
      <c r="S1668" s="26" t="n">
        <f aca="false">IF(OR($D1668="",$J1668&lt;&gt;"Own"),0,IFERROR((F1668+G1668*Settings!$B$13)*INDEX(Workers!$V$5:$V$2004,MATCH($D1668,Workers!$A$5:$A$2004,0)),0))</f>
        <v>0</v>
      </c>
      <c r="T1668" s="26" t="str">
        <f aca="false">IF($D1668="","",O1668-R1668-S1668)</f>
        <v/>
      </c>
    </row>
    <row r="1669" customFormat="false" ht="15" hidden="false" customHeight="false" outlineLevel="0" collapsed="false">
      <c r="I1669" s="24" t="str">
        <f aca="false">IF($D1669="","",IFERROR(INDEX(Workers!$B$5:$B$2004,MATCH($D1669,Workers!$A$5:$A$2004,0)),"NOT FOUND"))</f>
        <v/>
      </c>
      <c r="J1669" s="24" t="str">
        <f aca="false">IF($D1669="","",IFERROR(INDEX(Workers!$C$5:$C$2004,MATCH($D1669,Workers!$A$5:$A$2004,0)),""))</f>
        <v/>
      </c>
      <c r="K1669" s="24" t="str">
        <f aca="false">IF($D1669="","",IFERROR(IF(INDEX(Workers!$D$5:$D$2004,MATCH($D1669,Workers!$A$5:$A$2004,0))=0,"",INDEX(Workers!$D$5:$D$2004,MATCH($D1669,Workers!$A$5:$A$2004,0))),""))</f>
        <v/>
      </c>
      <c r="L1669" s="24" t="str">
        <f aca="false">IF($D1669="","",IFERROR(INDEX(Workers!$E$5:$E$2004,MATCH($D1669,Workers!$A$5:$A$2004,0)),""))</f>
        <v/>
      </c>
      <c r="M1669" s="26" t="str">
        <f aca="false">IF($D1669="","",IFERROR(INDEX(ClientRates!$D$5:$D$500,MATCH($B1669&amp;"|"&amp;$L1669,ClientRates!$A$5:$A$500,0)),0))</f>
        <v/>
      </c>
      <c r="N1669" s="26" t="str">
        <f aca="false">IF($D1669="","",IFERROR(INDEX(ClientRates!$E$5:$E$500,MATCH($B1669&amp;"|"&amp;$L1669,ClientRates!$A$5:$A$500,0)),0))</f>
        <v/>
      </c>
      <c r="O1669" s="26" t="str">
        <f aca="false">IF($D1669="","",F1669*M1669+G1669*N1669)</f>
        <v/>
      </c>
      <c r="P1669" s="26" t="str">
        <f aca="false">IF(OR($D1669="",$J1669&lt;&gt;"Supplier"),"",IFERROR(INDEX(SupplierRates!$D$5:$D$500,MATCH($K1669&amp;"|"&amp;$L1669,SupplierRates!$A$5:$A$500,0)),0))</f>
        <v/>
      </c>
      <c r="Q1669" s="26" t="str">
        <f aca="false">IF(OR($D1669="",$J1669&lt;&gt;"Supplier"),"",IFERROR(INDEX(SupplierRates!$E$5:$E$500,MATCH($K1669&amp;"|"&amp;$L1669,SupplierRates!$A$5:$A$500,0)),0))</f>
        <v/>
      </c>
      <c r="R1669" s="26" t="n">
        <f aca="false">IF(OR($D1669="",$J1669&lt;&gt;"Supplier"),0,F1669*P1669+G1669*Q1669)</f>
        <v>0</v>
      </c>
      <c r="S1669" s="26" t="n">
        <f aca="false">IF(OR($D1669="",$J1669&lt;&gt;"Own"),0,IFERROR((F1669+G1669*Settings!$B$13)*INDEX(Workers!$V$5:$V$2004,MATCH($D1669,Workers!$A$5:$A$2004,0)),0))</f>
        <v>0</v>
      </c>
      <c r="T1669" s="26" t="str">
        <f aca="false">IF($D1669="","",O1669-R1669-S1669)</f>
        <v/>
      </c>
    </row>
    <row r="1670" customFormat="false" ht="15" hidden="false" customHeight="false" outlineLevel="0" collapsed="false">
      <c r="I1670" s="24" t="str">
        <f aca="false">IF($D1670="","",IFERROR(INDEX(Workers!$B$5:$B$2004,MATCH($D1670,Workers!$A$5:$A$2004,0)),"NOT FOUND"))</f>
        <v/>
      </c>
      <c r="J1670" s="24" t="str">
        <f aca="false">IF($D1670="","",IFERROR(INDEX(Workers!$C$5:$C$2004,MATCH($D1670,Workers!$A$5:$A$2004,0)),""))</f>
        <v/>
      </c>
      <c r="K1670" s="24" t="str">
        <f aca="false">IF($D1670="","",IFERROR(IF(INDEX(Workers!$D$5:$D$2004,MATCH($D1670,Workers!$A$5:$A$2004,0))=0,"",INDEX(Workers!$D$5:$D$2004,MATCH($D1670,Workers!$A$5:$A$2004,0))),""))</f>
        <v/>
      </c>
      <c r="L1670" s="24" t="str">
        <f aca="false">IF($D1670="","",IFERROR(INDEX(Workers!$E$5:$E$2004,MATCH($D1670,Workers!$A$5:$A$2004,0)),""))</f>
        <v/>
      </c>
      <c r="M1670" s="26" t="str">
        <f aca="false">IF($D1670="","",IFERROR(INDEX(ClientRates!$D$5:$D$500,MATCH($B1670&amp;"|"&amp;$L1670,ClientRates!$A$5:$A$500,0)),0))</f>
        <v/>
      </c>
      <c r="N1670" s="26" t="str">
        <f aca="false">IF($D1670="","",IFERROR(INDEX(ClientRates!$E$5:$E$500,MATCH($B1670&amp;"|"&amp;$L1670,ClientRates!$A$5:$A$500,0)),0))</f>
        <v/>
      </c>
      <c r="O1670" s="26" t="str">
        <f aca="false">IF($D1670="","",F1670*M1670+G1670*N1670)</f>
        <v/>
      </c>
      <c r="P1670" s="26" t="str">
        <f aca="false">IF(OR($D1670="",$J1670&lt;&gt;"Supplier"),"",IFERROR(INDEX(SupplierRates!$D$5:$D$500,MATCH($K1670&amp;"|"&amp;$L1670,SupplierRates!$A$5:$A$500,0)),0))</f>
        <v/>
      </c>
      <c r="Q1670" s="26" t="str">
        <f aca="false">IF(OR($D1670="",$J1670&lt;&gt;"Supplier"),"",IFERROR(INDEX(SupplierRates!$E$5:$E$500,MATCH($K1670&amp;"|"&amp;$L1670,SupplierRates!$A$5:$A$500,0)),0))</f>
        <v/>
      </c>
      <c r="R1670" s="26" t="n">
        <f aca="false">IF(OR($D1670="",$J1670&lt;&gt;"Supplier"),0,F1670*P1670+G1670*Q1670)</f>
        <v>0</v>
      </c>
      <c r="S1670" s="26" t="n">
        <f aca="false">IF(OR($D1670="",$J1670&lt;&gt;"Own"),0,IFERROR((F1670+G1670*Settings!$B$13)*INDEX(Workers!$V$5:$V$2004,MATCH($D1670,Workers!$A$5:$A$2004,0)),0))</f>
        <v>0</v>
      </c>
      <c r="T1670" s="26" t="str">
        <f aca="false">IF($D1670="","",O1670-R1670-S1670)</f>
        <v/>
      </c>
    </row>
    <row r="1671" customFormat="false" ht="15" hidden="false" customHeight="false" outlineLevel="0" collapsed="false">
      <c r="I1671" s="24" t="str">
        <f aca="false">IF($D1671="","",IFERROR(INDEX(Workers!$B$5:$B$2004,MATCH($D1671,Workers!$A$5:$A$2004,0)),"NOT FOUND"))</f>
        <v/>
      </c>
      <c r="J1671" s="24" t="str">
        <f aca="false">IF($D1671="","",IFERROR(INDEX(Workers!$C$5:$C$2004,MATCH($D1671,Workers!$A$5:$A$2004,0)),""))</f>
        <v/>
      </c>
      <c r="K1671" s="24" t="str">
        <f aca="false">IF($D1671="","",IFERROR(IF(INDEX(Workers!$D$5:$D$2004,MATCH($D1671,Workers!$A$5:$A$2004,0))=0,"",INDEX(Workers!$D$5:$D$2004,MATCH($D1671,Workers!$A$5:$A$2004,0))),""))</f>
        <v/>
      </c>
      <c r="L1671" s="24" t="str">
        <f aca="false">IF($D1671="","",IFERROR(INDEX(Workers!$E$5:$E$2004,MATCH($D1671,Workers!$A$5:$A$2004,0)),""))</f>
        <v/>
      </c>
      <c r="M1671" s="26" t="str">
        <f aca="false">IF($D1671="","",IFERROR(INDEX(ClientRates!$D$5:$D$500,MATCH($B1671&amp;"|"&amp;$L1671,ClientRates!$A$5:$A$500,0)),0))</f>
        <v/>
      </c>
      <c r="N1671" s="26" t="str">
        <f aca="false">IF($D1671="","",IFERROR(INDEX(ClientRates!$E$5:$E$500,MATCH($B1671&amp;"|"&amp;$L1671,ClientRates!$A$5:$A$500,0)),0))</f>
        <v/>
      </c>
      <c r="O1671" s="26" t="str">
        <f aca="false">IF($D1671="","",F1671*M1671+G1671*N1671)</f>
        <v/>
      </c>
      <c r="P1671" s="26" t="str">
        <f aca="false">IF(OR($D1671="",$J1671&lt;&gt;"Supplier"),"",IFERROR(INDEX(SupplierRates!$D$5:$D$500,MATCH($K1671&amp;"|"&amp;$L1671,SupplierRates!$A$5:$A$500,0)),0))</f>
        <v/>
      </c>
      <c r="Q1671" s="26" t="str">
        <f aca="false">IF(OR($D1671="",$J1671&lt;&gt;"Supplier"),"",IFERROR(INDEX(SupplierRates!$E$5:$E$500,MATCH($K1671&amp;"|"&amp;$L1671,SupplierRates!$A$5:$A$500,0)),0))</f>
        <v/>
      </c>
      <c r="R1671" s="26" t="n">
        <f aca="false">IF(OR($D1671="",$J1671&lt;&gt;"Supplier"),0,F1671*P1671+G1671*Q1671)</f>
        <v>0</v>
      </c>
      <c r="S1671" s="26" t="n">
        <f aca="false">IF(OR($D1671="",$J1671&lt;&gt;"Own"),0,IFERROR((F1671+G1671*Settings!$B$13)*INDEX(Workers!$V$5:$V$2004,MATCH($D1671,Workers!$A$5:$A$2004,0)),0))</f>
        <v>0</v>
      </c>
      <c r="T1671" s="26" t="str">
        <f aca="false">IF($D1671="","",O1671-R1671-S1671)</f>
        <v/>
      </c>
    </row>
    <row r="1672" customFormat="false" ht="15" hidden="false" customHeight="false" outlineLevel="0" collapsed="false">
      <c r="I1672" s="24" t="str">
        <f aca="false">IF($D1672="","",IFERROR(INDEX(Workers!$B$5:$B$2004,MATCH($D1672,Workers!$A$5:$A$2004,0)),"NOT FOUND"))</f>
        <v/>
      </c>
      <c r="J1672" s="24" t="str">
        <f aca="false">IF($D1672="","",IFERROR(INDEX(Workers!$C$5:$C$2004,MATCH($D1672,Workers!$A$5:$A$2004,0)),""))</f>
        <v/>
      </c>
      <c r="K1672" s="24" t="str">
        <f aca="false">IF($D1672="","",IFERROR(IF(INDEX(Workers!$D$5:$D$2004,MATCH($D1672,Workers!$A$5:$A$2004,0))=0,"",INDEX(Workers!$D$5:$D$2004,MATCH($D1672,Workers!$A$5:$A$2004,0))),""))</f>
        <v/>
      </c>
      <c r="L1672" s="24" t="str">
        <f aca="false">IF($D1672="","",IFERROR(INDEX(Workers!$E$5:$E$2004,MATCH($D1672,Workers!$A$5:$A$2004,0)),""))</f>
        <v/>
      </c>
      <c r="M1672" s="26" t="str">
        <f aca="false">IF($D1672="","",IFERROR(INDEX(ClientRates!$D$5:$D$500,MATCH($B1672&amp;"|"&amp;$L1672,ClientRates!$A$5:$A$500,0)),0))</f>
        <v/>
      </c>
      <c r="N1672" s="26" t="str">
        <f aca="false">IF($D1672="","",IFERROR(INDEX(ClientRates!$E$5:$E$500,MATCH($B1672&amp;"|"&amp;$L1672,ClientRates!$A$5:$A$500,0)),0))</f>
        <v/>
      </c>
      <c r="O1672" s="26" t="str">
        <f aca="false">IF($D1672="","",F1672*M1672+G1672*N1672)</f>
        <v/>
      </c>
      <c r="P1672" s="26" t="str">
        <f aca="false">IF(OR($D1672="",$J1672&lt;&gt;"Supplier"),"",IFERROR(INDEX(SupplierRates!$D$5:$D$500,MATCH($K1672&amp;"|"&amp;$L1672,SupplierRates!$A$5:$A$500,0)),0))</f>
        <v/>
      </c>
      <c r="Q1672" s="26" t="str">
        <f aca="false">IF(OR($D1672="",$J1672&lt;&gt;"Supplier"),"",IFERROR(INDEX(SupplierRates!$E$5:$E$500,MATCH($K1672&amp;"|"&amp;$L1672,SupplierRates!$A$5:$A$500,0)),0))</f>
        <v/>
      </c>
      <c r="R1672" s="26" t="n">
        <f aca="false">IF(OR($D1672="",$J1672&lt;&gt;"Supplier"),0,F1672*P1672+G1672*Q1672)</f>
        <v>0</v>
      </c>
      <c r="S1672" s="26" t="n">
        <f aca="false">IF(OR($D1672="",$J1672&lt;&gt;"Own"),0,IFERROR((F1672+G1672*Settings!$B$13)*INDEX(Workers!$V$5:$V$2004,MATCH($D1672,Workers!$A$5:$A$2004,0)),0))</f>
        <v>0</v>
      </c>
      <c r="T1672" s="26" t="str">
        <f aca="false">IF($D1672="","",O1672-R1672-S1672)</f>
        <v/>
      </c>
    </row>
    <row r="1673" customFormat="false" ht="15" hidden="false" customHeight="false" outlineLevel="0" collapsed="false">
      <c r="I1673" s="24" t="str">
        <f aca="false">IF($D1673="","",IFERROR(INDEX(Workers!$B$5:$B$2004,MATCH($D1673,Workers!$A$5:$A$2004,0)),"NOT FOUND"))</f>
        <v/>
      </c>
      <c r="J1673" s="24" t="str">
        <f aca="false">IF($D1673="","",IFERROR(INDEX(Workers!$C$5:$C$2004,MATCH($D1673,Workers!$A$5:$A$2004,0)),""))</f>
        <v/>
      </c>
      <c r="K1673" s="24" t="str">
        <f aca="false">IF($D1673="","",IFERROR(IF(INDEX(Workers!$D$5:$D$2004,MATCH($D1673,Workers!$A$5:$A$2004,0))=0,"",INDEX(Workers!$D$5:$D$2004,MATCH($D1673,Workers!$A$5:$A$2004,0))),""))</f>
        <v/>
      </c>
      <c r="L1673" s="24" t="str">
        <f aca="false">IF($D1673="","",IFERROR(INDEX(Workers!$E$5:$E$2004,MATCH($D1673,Workers!$A$5:$A$2004,0)),""))</f>
        <v/>
      </c>
      <c r="M1673" s="26" t="str">
        <f aca="false">IF($D1673="","",IFERROR(INDEX(ClientRates!$D$5:$D$500,MATCH($B1673&amp;"|"&amp;$L1673,ClientRates!$A$5:$A$500,0)),0))</f>
        <v/>
      </c>
      <c r="N1673" s="26" t="str">
        <f aca="false">IF($D1673="","",IFERROR(INDEX(ClientRates!$E$5:$E$500,MATCH($B1673&amp;"|"&amp;$L1673,ClientRates!$A$5:$A$500,0)),0))</f>
        <v/>
      </c>
      <c r="O1673" s="26" t="str">
        <f aca="false">IF($D1673="","",F1673*M1673+G1673*N1673)</f>
        <v/>
      </c>
      <c r="P1673" s="26" t="str">
        <f aca="false">IF(OR($D1673="",$J1673&lt;&gt;"Supplier"),"",IFERROR(INDEX(SupplierRates!$D$5:$D$500,MATCH($K1673&amp;"|"&amp;$L1673,SupplierRates!$A$5:$A$500,0)),0))</f>
        <v/>
      </c>
      <c r="Q1673" s="26" t="str">
        <f aca="false">IF(OR($D1673="",$J1673&lt;&gt;"Supplier"),"",IFERROR(INDEX(SupplierRates!$E$5:$E$500,MATCH($K1673&amp;"|"&amp;$L1673,SupplierRates!$A$5:$A$500,0)),0))</f>
        <v/>
      </c>
      <c r="R1673" s="26" t="n">
        <f aca="false">IF(OR($D1673="",$J1673&lt;&gt;"Supplier"),0,F1673*P1673+G1673*Q1673)</f>
        <v>0</v>
      </c>
      <c r="S1673" s="26" t="n">
        <f aca="false">IF(OR($D1673="",$J1673&lt;&gt;"Own"),0,IFERROR((F1673+G1673*Settings!$B$13)*INDEX(Workers!$V$5:$V$2004,MATCH($D1673,Workers!$A$5:$A$2004,0)),0))</f>
        <v>0</v>
      </c>
      <c r="T1673" s="26" t="str">
        <f aca="false">IF($D1673="","",O1673-R1673-S1673)</f>
        <v/>
      </c>
    </row>
    <row r="1674" customFormat="false" ht="15" hidden="false" customHeight="false" outlineLevel="0" collapsed="false">
      <c r="I1674" s="24" t="str">
        <f aca="false">IF($D1674="","",IFERROR(INDEX(Workers!$B$5:$B$2004,MATCH($D1674,Workers!$A$5:$A$2004,0)),"NOT FOUND"))</f>
        <v/>
      </c>
      <c r="J1674" s="24" t="str">
        <f aca="false">IF($D1674="","",IFERROR(INDEX(Workers!$C$5:$C$2004,MATCH($D1674,Workers!$A$5:$A$2004,0)),""))</f>
        <v/>
      </c>
      <c r="K1674" s="24" t="str">
        <f aca="false">IF($D1674="","",IFERROR(IF(INDEX(Workers!$D$5:$D$2004,MATCH($D1674,Workers!$A$5:$A$2004,0))=0,"",INDEX(Workers!$D$5:$D$2004,MATCH($D1674,Workers!$A$5:$A$2004,0))),""))</f>
        <v/>
      </c>
      <c r="L1674" s="24" t="str">
        <f aca="false">IF($D1674="","",IFERROR(INDEX(Workers!$E$5:$E$2004,MATCH($D1674,Workers!$A$5:$A$2004,0)),""))</f>
        <v/>
      </c>
      <c r="M1674" s="26" t="str">
        <f aca="false">IF($D1674="","",IFERROR(INDEX(ClientRates!$D$5:$D$500,MATCH($B1674&amp;"|"&amp;$L1674,ClientRates!$A$5:$A$500,0)),0))</f>
        <v/>
      </c>
      <c r="N1674" s="26" t="str">
        <f aca="false">IF($D1674="","",IFERROR(INDEX(ClientRates!$E$5:$E$500,MATCH($B1674&amp;"|"&amp;$L1674,ClientRates!$A$5:$A$500,0)),0))</f>
        <v/>
      </c>
      <c r="O1674" s="26" t="str">
        <f aca="false">IF($D1674="","",F1674*M1674+G1674*N1674)</f>
        <v/>
      </c>
      <c r="P1674" s="26" t="str">
        <f aca="false">IF(OR($D1674="",$J1674&lt;&gt;"Supplier"),"",IFERROR(INDEX(SupplierRates!$D$5:$D$500,MATCH($K1674&amp;"|"&amp;$L1674,SupplierRates!$A$5:$A$500,0)),0))</f>
        <v/>
      </c>
      <c r="Q1674" s="26" t="str">
        <f aca="false">IF(OR($D1674="",$J1674&lt;&gt;"Supplier"),"",IFERROR(INDEX(SupplierRates!$E$5:$E$500,MATCH($K1674&amp;"|"&amp;$L1674,SupplierRates!$A$5:$A$500,0)),0))</f>
        <v/>
      </c>
      <c r="R1674" s="26" t="n">
        <f aca="false">IF(OR($D1674="",$J1674&lt;&gt;"Supplier"),0,F1674*P1674+G1674*Q1674)</f>
        <v>0</v>
      </c>
      <c r="S1674" s="26" t="n">
        <f aca="false">IF(OR($D1674="",$J1674&lt;&gt;"Own"),0,IFERROR((F1674+G1674*Settings!$B$13)*INDEX(Workers!$V$5:$V$2004,MATCH($D1674,Workers!$A$5:$A$2004,0)),0))</f>
        <v>0</v>
      </c>
      <c r="T1674" s="26" t="str">
        <f aca="false">IF($D1674="","",O1674-R1674-S1674)</f>
        <v/>
      </c>
    </row>
    <row r="1675" customFormat="false" ht="15" hidden="false" customHeight="false" outlineLevel="0" collapsed="false">
      <c r="I1675" s="24" t="str">
        <f aca="false">IF($D1675="","",IFERROR(INDEX(Workers!$B$5:$B$2004,MATCH($D1675,Workers!$A$5:$A$2004,0)),"NOT FOUND"))</f>
        <v/>
      </c>
      <c r="J1675" s="24" t="str">
        <f aca="false">IF($D1675="","",IFERROR(INDEX(Workers!$C$5:$C$2004,MATCH($D1675,Workers!$A$5:$A$2004,0)),""))</f>
        <v/>
      </c>
      <c r="K1675" s="24" t="str">
        <f aca="false">IF($D1675="","",IFERROR(IF(INDEX(Workers!$D$5:$D$2004,MATCH($D1675,Workers!$A$5:$A$2004,0))=0,"",INDEX(Workers!$D$5:$D$2004,MATCH($D1675,Workers!$A$5:$A$2004,0))),""))</f>
        <v/>
      </c>
      <c r="L1675" s="24" t="str">
        <f aca="false">IF($D1675="","",IFERROR(INDEX(Workers!$E$5:$E$2004,MATCH($D1675,Workers!$A$5:$A$2004,0)),""))</f>
        <v/>
      </c>
      <c r="M1675" s="26" t="str">
        <f aca="false">IF($D1675="","",IFERROR(INDEX(ClientRates!$D$5:$D$500,MATCH($B1675&amp;"|"&amp;$L1675,ClientRates!$A$5:$A$500,0)),0))</f>
        <v/>
      </c>
      <c r="N1675" s="26" t="str">
        <f aca="false">IF($D1675="","",IFERROR(INDEX(ClientRates!$E$5:$E$500,MATCH($B1675&amp;"|"&amp;$L1675,ClientRates!$A$5:$A$500,0)),0))</f>
        <v/>
      </c>
      <c r="O1675" s="26" t="str">
        <f aca="false">IF($D1675="","",F1675*M1675+G1675*N1675)</f>
        <v/>
      </c>
      <c r="P1675" s="26" t="str">
        <f aca="false">IF(OR($D1675="",$J1675&lt;&gt;"Supplier"),"",IFERROR(INDEX(SupplierRates!$D$5:$D$500,MATCH($K1675&amp;"|"&amp;$L1675,SupplierRates!$A$5:$A$500,0)),0))</f>
        <v/>
      </c>
      <c r="Q1675" s="26" t="str">
        <f aca="false">IF(OR($D1675="",$J1675&lt;&gt;"Supplier"),"",IFERROR(INDEX(SupplierRates!$E$5:$E$500,MATCH($K1675&amp;"|"&amp;$L1675,SupplierRates!$A$5:$A$500,0)),0))</f>
        <v/>
      </c>
      <c r="R1675" s="26" t="n">
        <f aca="false">IF(OR($D1675="",$J1675&lt;&gt;"Supplier"),0,F1675*P1675+G1675*Q1675)</f>
        <v>0</v>
      </c>
      <c r="S1675" s="26" t="n">
        <f aca="false">IF(OR($D1675="",$J1675&lt;&gt;"Own"),0,IFERROR((F1675+G1675*Settings!$B$13)*INDEX(Workers!$V$5:$V$2004,MATCH($D1675,Workers!$A$5:$A$2004,0)),0))</f>
        <v>0</v>
      </c>
      <c r="T1675" s="26" t="str">
        <f aca="false">IF($D1675="","",O1675-R1675-S1675)</f>
        <v/>
      </c>
    </row>
    <row r="1676" customFormat="false" ht="15" hidden="false" customHeight="false" outlineLevel="0" collapsed="false">
      <c r="I1676" s="24" t="str">
        <f aca="false">IF($D1676="","",IFERROR(INDEX(Workers!$B$5:$B$2004,MATCH($D1676,Workers!$A$5:$A$2004,0)),"NOT FOUND"))</f>
        <v/>
      </c>
      <c r="J1676" s="24" t="str">
        <f aca="false">IF($D1676="","",IFERROR(INDEX(Workers!$C$5:$C$2004,MATCH($D1676,Workers!$A$5:$A$2004,0)),""))</f>
        <v/>
      </c>
      <c r="K1676" s="24" t="str">
        <f aca="false">IF($D1676="","",IFERROR(IF(INDEX(Workers!$D$5:$D$2004,MATCH($D1676,Workers!$A$5:$A$2004,0))=0,"",INDEX(Workers!$D$5:$D$2004,MATCH($D1676,Workers!$A$5:$A$2004,0))),""))</f>
        <v/>
      </c>
      <c r="L1676" s="24" t="str">
        <f aca="false">IF($D1676="","",IFERROR(INDEX(Workers!$E$5:$E$2004,MATCH($D1676,Workers!$A$5:$A$2004,0)),""))</f>
        <v/>
      </c>
      <c r="M1676" s="26" t="str">
        <f aca="false">IF($D1676="","",IFERROR(INDEX(ClientRates!$D$5:$D$500,MATCH($B1676&amp;"|"&amp;$L1676,ClientRates!$A$5:$A$500,0)),0))</f>
        <v/>
      </c>
      <c r="N1676" s="26" t="str">
        <f aca="false">IF($D1676="","",IFERROR(INDEX(ClientRates!$E$5:$E$500,MATCH($B1676&amp;"|"&amp;$L1676,ClientRates!$A$5:$A$500,0)),0))</f>
        <v/>
      </c>
      <c r="O1676" s="26" t="str">
        <f aca="false">IF($D1676="","",F1676*M1676+G1676*N1676)</f>
        <v/>
      </c>
      <c r="P1676" s="26" t="str">
        <f aca="false">IF(OR($D1676="",$J1676&lt;&gt;"Supplier"),"",IFERROR(INDEX(SupplierRates!$D$5:$D$500,MATCH($K1676&amp;"|"&amp;$L1676,SupplierRates!$A$5:$A$500,0)),0))</f>
        <v/>
      </c>
      <c r="Q1676" s="26" t="str">
        <f aca="false">IF(OR($D1676="",$J1676&lt;&gt;"Supplier"),"",IFERROR(INDEX(SupplierRates!$E$5:$E$500,MATCH($K1676&amp;"|"&amp;$L1676,SupplierRates!$A$5:$A$500,0)),0))</f>
        <v/>
      </c>
      <c r="R1676" s="26" t="n">
        <f aca="false">IF(OR($D1676="",$J1676&lt;&gt;"Supplier"),0,F1676*P1676+G1676*Q1676)</f>
        <v>0</v>
      </c>
      <c r="S1676" s="26" t="n">
        <f aca="false">IF(OR($D1676="",$J1676&lt;&gt;"Own"),0,IFERROR((F1676+G1676*Settings!$B$13)*INDEX(Workers!$V$5:$V$2004,MATCH($D1676,Workers!$A$5:$A$2004,0)),0))</f>
        <v>0</v>
      </c>
      <c r="T1676" s="26" t="str">
        <f aca="false">IF($D1676="","",O1676-R1676-S1676)</f>
        <v/>
      </c>
    </row>
    <row r="1677" customFormat="false" ht="15" hidden="false" customHeight="false" outlineLevel="0" collapsed="false">
      <c r="I1677" s="24" t="str">
        <f aca="false">IF($D1677="","",IFERROR(INDEX(Workers!$B$5:$B$2004,MATCH($D1677,Workers!$A$5:$A$2004,0)),"NOT FOUND"))</f>
        <v/>
      </c>
      <c r="J1677" s="24" t="str">
        <f aca="false">IF($D1677="","",IFERROR(INDEX(Workers!$C$5:$C$2004,MATCH($D1677,Workers!$A$5:$A$2004,0)),""))</f>
        <v/>
      </c>
      <c r="K1677" s="24" t="str">
        <f aca="false">IF($D1677="","",IFERROR(IF(INDEX(Workers!$D$5:$D$2004,MATCH($D1677,Workers!$A$5:$A$2004,0))=0,"",INDEX(Workers!$D$5:$D$2004,MATCH($D1677,Workers!$A$5:$A$2004,0))),""))</f>
        <v/>
      </c>
      <c r="L1677" s="24" t="str">
        <f aca="false">IF($D1677="","",IFERROR(INDEX(Workers!$E$5:$E$2004,MATCH($D1677,Workers!$A$5:$A$2004,0)),""))</f>
        <v/>
      </c>
      <c r="M1677" s="26" t="str">
        <f aca="false">IF($D1677="","",IFERROR(INDEX(ClientRates!$D$5:$D$500,MATCH($B1677&amp;"|"&amp;$L1677,ClientRates!$A$5:$A$500,0)),0))</f>
        <v/>
      </c>
      <c r="N1677" s="26" t="str">
        <f aca="false">IF($D1677="","",IFERROR(INDEX(ClientRates!$E$5:$E$500,MATCH($B1677&amp;"|"&amp;$L1677,ClientRates!$A$5:$A$500,0)),0))</f>
        <v/>
      </c>
      <c r="O1677" s="26" t="str">
        <f aca="false">IF($D1677="","",F1677*M1677+G1677*N1677)</f>
        <v/>
      </c>
      <c r="P1677" s="26" t="str">
        <f aca="false">IF(OR($D1677="",$J1677&lt;&gt;"Supplier"),"",IFERROR(INDEX(SupplierRates!$D$5:$D$500,MATCH($K1677&amp;"|"&amp;$L1677,SupplierRates!$A$5:$A$500,0)),0))</f>
        <v/>
      </c>
      <c r="Q1677" s="26" t="str">
        <f aca="false">IF(OR($D1677="",$J1677&lt;&gt;"Supplier"),"",IFERROR(INDEX(SupplierRates!$E$5:$E$500,MATCH($K1677&amp;"|"&amp;$L1677,SupplierRates!$A$5:$A$500,0)),0))</f>
        <v/>
      </c>
      <c r="R1677" s="26" t="n">
        <f aca="false">IF(OR($D1677="",$J1677&lt;&gt;"Supplier"),0,F1677*P1677+G1677*Q1677)</f>
        <v>0</v>
      </c>
      <c r="S1677" s="26" t="n">
        <f aca="false">IF(OR($D1677="",$J1677&lt;&gt;"Own"),0,IFERROR((F1677+G1677*Settings!$B$13)*INDEX(Workers!$V$5:$V$2004,MATCH($D1677,Workers!$A$5:$A$2004,0)),0))</f>
        <v>0</v>
      </c>
      <c r="T1677" s="26" t="str">
        <f aca="false">IF($D1677="","",O1677-R1677-S1677)</f>
        <v/>
      </c>
    </row>
    <row r="1678" customFormat="false" ht="15" hidden="false" customHeight="false" outlineLevel="0" collapsed="false">
      <c r="I1678" s="24" t="str">
        <f aca="false">IF($D1678="","",IFERROR(INDEX(Workers!$B$5:$B$2004,MATCH($D1678,Workers!$A$5:$A$2004,0)),"NOT FOUND"))</f>
        <v/>
      </c>
      <c r="J1678" s="24" t="str">
        <f aca="false">IF($D1678="","",IFERROR(INDEX(Workers!$C$5:$C$2004,MATCH($D1678,Workers!$A$5:$A$2004,0)),""))</f>
        <v/>
      </c>
      <c r="K1678" s="24" t="str">
        <f aca="false">IF($D1678="","",IFERROR(IF(INDEX(Workers!$D$5:$D$2004,MATCH($D1678,Workers!$A$5:$A$2004,0))=0,"",INDEX(Workers!$D$5:$D$2004,MATCH($D1678,Workers!$A$5:$A$2004,0))),""))</f>
        <v/>
      </c>
      <c r="L1678" s="24" t="str">
        <f aca="false">IF($D1678="","",IFERROR(INDEX(Workers!$E$5:$E$2004,MATCH($D1678,Workers!$A$5:$A$2004,0)),""))</f>
        <v/>
      </c>
      <c r="M1678" s="26" t="str">
        <f aca="false">IF($D1678="","",IFERROR(INDEX(ClientRates!$D$5:$D$500,MATCH($B1678&amp;"|"&amp;$L1678,ClientRates!$A$5:$A$500,0)),0))</f>
        <v/>
      </c>
      <c r="N1678" s="26" t="str">
        <f aca="false">IF($D1678="","",IFERROR(INDEX(ClientRates!$E$5:$E$500,MATCH($B1678&amp;"|"&amp;$L1678,ClientRates!$A$5:$A$500,0)),0))</f>
        <v/>
      </c>
      <c r="O1678" s="26" t="str">
        <f aca="false">IF($D1678="","",F1678*M1678+G1678*N1678)</f>
        <v/>
      </c>
      <c r="P1678" s="26" t="str">
        <f aca="false">IF(OR($D1678="",$J1678&lt;&gt;"Supplier"),"",IFERROR(INDEX(SupplierRates!$D$5:$D$500,MATCH($K1678&amp;"|"&amp;$L1678,SupplierRates!$A$5:$A$500,0)),0))</f>
        <v/>
      </c>
      <c r="Q1678" s="26" t="str">
        <f aca="false">IF(OR($D1678="",$J1678&lt;&gt;"Supplier"),"",IFERROR(INDEX(SupplierRates!$E$5:$E$500,MATCH($K1678&amp;"|"&amp;$L1678,SupplierRates!$A$5:$A$500,0)),0))</f>
        <v/>
      </c>
      <c r="R1678" s="26" t="n">
        <f aca="false">IF(OR($D1678="",$J1678&lt;&gt;"Supplier"),0,F1678*P1678+G1678*Q1678)</f>
        <v>0</v>
      </c>
      <c r="S1678" s="26" t="n">
        <f aca="false">IF(OR($D1678="",$J1678&lt;&gt;"Own"),0,IFERROR((F1678+G1678*Settings!$B$13)*INDEX(Workers!$V$5:$V$2004,MATCH($D1678,Workers!$A$5:$A$2004,0)),0))</f>
        <v>0</v>
      </c>
      <c r="T1678" s="26" t="str">
        <f aca="false">IF($D1678="","",O1678-R1678-S1678)</f>
        <v/>
      </c>
    </row>
    <row r="1679" customFormat="false" ht="15" hidden="false" customHeight="false" outlineLevel="0" collapsed="false">
      <c r="I1679" s="24" t="str">
        <f aca="false">IF($D1679="","",IFERROR(INDEX(Workers!$B$5:$B$2004,MATCH($D1679,Workers!$A$5:$A$2004,0)),"NOT FOUND"))</f>
        <v/>
      </c>
      <c r="J1679" s="24" t="str">
        <f aca="false">IF($D1679="","",IFERROR(INDEX(Workers!$C$5:$C$2004,MATCH($D1679,Workers!$A$5:$A$2004,0)),""))</f>
        <v/>
      </c>
      <c r="K1679" s="24" t="str">
        <f aca="false">IF($D1679="","",IFERROR(IF(INDEX(Workers!$D$5:$D$2004,MATCH($D1679,Workers!$A$5:$A$2004,0))=0,"",INDEX(Workers!$D$5:$D$2004,MATCH($D1679,Workers!$A$5:$A$2004,0))),""))</f>
        <v/>
      </c>
      <c r="L1679" s="24" t="str">
        <f aca="false">IF($D1679="","",IFERROR(INDEX(Workers!$E$5:$E$2004,MATCH($D1679,Workers!$A$5:$A$2004,0)),""))</f>
        <v/>
      </c>
      <c r="M1679" s="26" t="str">
        <f aca="false">IF($D1679="","",IFERROR(INDEX(ClientRates!$D$5:$D$500,MATCH($B1679&amp;"|"&amp;$L1679,ClientRates!$A$5:$A$500,0)),0))</f>
        <v/>
      </c>
      <c r="N1679" s="26" t="str">
        <f aca="false">IF($D1679="","",IFERROR(INDEX(ClientRates!$E$5:$E$500,MATCH($B1679&amp;"|"&amp;$L1679,ClientRates!$A$5:$A$500,0)),0))</f>
        <v/>
      </c>
      <c r="O1679" s="26" t="str">
        <f aca="false">IF($D1679="","",F1679*M1679+G1679*N1679)</f>
        <v/>
      </c>
      <c r="P1679" s="26" t="str">
        <f aca="false">IF(OR($D1679="",$J1679&lt;&gt;"Supplier"),"",IFERROR(INDEX(SupplierRates!$D$5:$D$500,MATCH($K1679&amp;"|"&amp;$L1679,SupplierRates!$A$5:$A$500,0)),0))</f>
        <v/>
      </c>
      <c r="Q1679" s="26" t="str">
        <f aca="false">IF(OR($D1679="",$J1679&lt;&gt;"Supplier"),"",IFERROR(INDEX(SupplierRates!$E$5:$E$500,MATCH($K1679&amp;"|"&amp;$L1679,SupplierRates!$A$5:$A$500,0)),0))</f>
        <v/>
      </c>
      <c r="R1679" s="26" t="n">
        <f aca="false">IF(OR($D1679="",$J1679&lt;&gt;"Supplier"),0,F1679*P1679+G1679*Q1679)</f>
        <v>0</v>
      </c>
      <c r="S1679" s="26" t="n">
        <f aca="false">IF(OR($D1679="",$J1679&lt;&gt;"Own"),0,IFERROR((F1679+G1679*Settings!$B$13)*INDEX(Workers!$V$5:$V$2004,MATCH($D1679,Workers!$A$5:$A$2004,0)),0))</f>
        <v>0</v>
      </c>
      <c r="T1679" s="26" t="str">
        <f aca="false">IF($D1679="","",O1679-R1679-S1679)</f>
        <v/>
      </c>
    </row>
    <row r="1680" customFormat="false" ht="15" hidden="false" customHeight="false" outlineLevel="0" collapsed="false">
      <c r="I1680" s="24" t="str">
        <f aca="false">IF($D1680="","",IFERROR(INDEX(Workers!$B$5:$B$2004,MATCH($D1680,Workers!$A$5:$A$2004,0)),"NOT FOUND"))</f>
        <v/>
      </c>
      <c r="J1680" s="24" t="str">
        <f aca="false">IF($D1680="","",IFERROR(INDEX(Workers!$C$5:$C$2004,MATCH($D1680,Workers!$A$5:$A$2004,0)),""))</f>
        <v/>
      </c>
      <c r="K1680" s="24" t="str">
        <f aca="false">IF($D1680="","",IFERROR(IF(INDEX(Workers!$D$5:$D$2004,MATCH($D1680,Workers!$A$5:$A$2004,0))=0,"",INDEX(Workers!$D$5:$D$2004,MATCH($D1680,Workers!$A$5:$A$2004,0))),""))</f>
        <v/>
      </c>
      <c r="L1680" s="24" t="str">
        <f aca="false">IF($D1680="","",IFERROR(INDEX(Workers!$E$5:$E$2004,MATCH($D1680,Workers!$A$5:$A$2004,0)),""))</f>
        <v/>
      </c>
      <c r="M1680" s="26" t="str">
        <f aca="false">IF($D1680="","",IFERROR(INDEX(ClientRates!$D$5:$D$500,MATCH($B1680&amp;"|"&amp;$L1680,ClientRates!$A$5:$A$500,0)),0))</f>
        <v/>
      </c>
      <c r="N1680" s="26" t="str">
        <f aca="false">IF($D1680="","",IFERROR(INDEX(ClientRates!$E$5:$E$500,MATCH($B1680&amp;"|"&amp;$L1680,ClientRates!$A$5:$A$500,0)),0))</f>
        <v/>
      </c>
      <c r="O1680" s="26" t="str">
        <f aca="false">IF($D1680="","",F1680*M1680+G1680*N1680)</f>
        <v/>
      </c>
      <c r="P1680" s="26" t="str">
        <f aca="false">IF(OR($D1680="",$J1680&lt;&gt;"Supplier"),"",IFERROR(INDEX(SupplierRates!$D$5:$D$500,MATCH($K1680&amp;"|"&amp;$L1680,SupplierRates!$A$5:$A$500,0)),0))</f>
        <v/>
      </c>
      <c r="Q1680" s="26" t="str">
        <f aca="false">IF(OR($D1680="",$J1680&lt;&gt;"Supplier"),"",IFERROR(INDEX(SupplierRates!$E$5:$E$500,MATCH($K1680&amp;"|"&amp;$L1680,SupplierRates!$A$5:$A$500,0)),0))</f>
        <v/>
      </c>
      <c r="R1680" s="26" t="n">
        <f aca="false">IF(OR($D1680="",$J1680&lt;&gt;"Supplier"),0,F1680*P1680+G1680*Q1680)</f>
        <v>0</v>
      </c>
      <c r="S1680" s="26" t="n">
        <f aca="false">IF(OR($D1680="",$J1680&lt;&gt;"Own"),0,IFERROR((F1680+G1680*Settings!$B$13)*INDEX(Workers!$V$5:$V$2004,MATCH($D1680,Workers!$A$5:$A$2004,0)),0))</f>
        <v>0</v>
      </c>
      <c r="T1680" s="26" t="str">
        <f aca="false">IF($D1680="","",O1680-R1680-S1680)</f>
        <v/>
      </c>
    </row>
    <row r="1681" customFormat="false" ht="15" hidden="false" customHeight="false" outlineLevel="0" collapsed="false">
      <c r="I1681" s="24" t="str">
        <f aca="false">IF($D1681="","",IFERROR(INDEX(Workers!$B$5:$B$2004,MATCH($D1681,Workers!$A$5:$A$2004,0)),"NOT FOUND"))</f>
        <v/>
      </c>
      <c r="J1681" s="24" t="str">
        <f aca="false">IF($D1681="","",IFERROR(INDEX(Workers!$C$5:$C$2004,MATCH($D1681,Workers!$A$5:$A$2004,0)),""))</f>
        <v/>
      </c>
      <c r="K1681" s="24" t="str">
        <f aca="false">IF($D1681="","",IFERROR(IF(INDEX(Workers!$D$5:$D$2004,MATCH($D1681,Workers!$A$5:$A$2004,0))=0,"",INDEX(Workers!$D$5:$D$2004,MATCH($D1681,Workers!$A$5:$A$2004,0))),""))</f>
        <v/>
      </c>
      <c r="L1681" s="24" t="str">
        <f aca="false">IF($D1681="","",IFERROR(INDEX(Workers!$E$5:$E$2004,MATCH($D1681,Workers!$A$5:$A$2004,0)),""))</f>
        <v/>
      </c>
      <c r="M1681" s="26" t="str">
        <f aca="false">IF($D1681="","",IFERROR(INDEX(ClientRates!$D$5:$D$500,MATCH($B1681&amp;"|"&amp;$L1681,ClientRates!$A$5:$A$500,0)),0))</f>
        <v/>
      </c>
      <c r="N1681" s="26" t="str">
        <f aca="false">IF($D1681="","",IFERROR(INDEX(ClientRates!$E$5:$E$500,MATCH($B1681&amp;"|"&amp;$L1681,ClientRates!$A$5:$A$500,0)),0))</f>
        <v/>
      </c>
      <c r="O1681" s="26" t="str">
        <f aca="false">IF($D1681="","",F1681*M1681+G1681*N1681)</f>
        <v/>
      </c>
      <c r="P1681" s="26" t="str">
        <f aca="false">IF(OR($D1681="",$J1681&lt;&gt;"Supplier"),"",IFERROR(INDEX(SupplierRates!$D$5:$D$500,MATCH($K1681&amp;"|"&amp;$L1681,SupplierRates!$A$5:$A$500,0)),0))</f>
        <v/>
      </c>
      <c r="Q1681" s="26" t="str">
        <f aca="false">IF(OR($D1681="",$J1681&lt;&gt;"Supplier"),"",IFERROR(INDEX(SupplierRates!$E$5:$E$500,MATCH($K1681&amp;"|"&amp;$L1681,SupplierRates!$A$5:$A$500,0)),0))</f>
        <v/>
      </c>
      <c r="R1681" s="26" t="n">
        <f aca="false">IF(OR($D1681="",$J1681&lt;&gt;"Supplier"),0,F1681*P1681+G1681*Q1681)</f>
        <v>0</v>
      </c>
      <c r="S1681" s="26" t="n">
        <f aca="false">IF(OR($D1681="",$J1681&lt;&gt;"Own"),0,IFERROR((F1681+G1681*Settings!$B$13)*INDEX(Workers!$V$5:$V$2004,MATCH($D1681,Workers!$A$5:$A$2004,0)),0))</f>
        <v>0</v>
      </c>
      <c r="T1681" s="26" t="str">
        <f aca="false">IF($D1681="","",O1681-R1681-S1681)</f>
        <v/>
      </c>
    </row>
    <row r="1682" customFormat="false" ht="15" hidden="false" customHeight="false" outlineLevel="0" collapsed="false">
      <c r="I1682" s="24" t="str">
        <f aca="false">IF($D1682="","",IFERROR(INDEX(Workers!$B$5:$B$2004,MATCH($D1682,Workers!$A$5:$A$2004,0)),"NOT FOUND"))</f>
        <v/>
      </c>
      <c r="J1682" s="24" t="str">
        <f aca="false">IF($D1682="","",IFERROR(INDEX(Workers!$C$5:$C$2004,MATCH($D1682,Workers!$A$5:$A$2004,0)),""))</f>
        <v/>
      </c>
      <c r="K1682" s="24" t="str">
        <f aca="false">IF($D1682="","",IFERROR(IF(INDEX(Workers!$D$5:$D$2004,MATCH($D1682,Workers!$A$5:$A$2004,0))=0,"",INDEX(Workers!$D$5:$D$2004,MATCH($D1682,Workers!$A$5:$A$2004,0))),""))</f>
        <v/>
      </c>
      <c r="L1682" s="24" t="str">
        <f aca="false">IF($D1682="","",IFERROR(INDEX(Workers!$E$5:$E$2004,MATCH($D1682,Workers!$A$5:$A$2004,0)),""))</f>
        <v/>
      </c>
      <c r="M1682" s="26" t="str">
        <f aca="false">IF($D1682="","",IFERROR(INDEX(ClientRates!$D$5:$D$500,MATCH($B1682&amp;"|"&amp;$L1682,ClientRates!$A$5:$A$500,0)),0))</f>
        <v/>
      </c>
      <c r="N1682" s="26" t="str">
        <f aca="false">IF($D1682="","",IFERROR(INDEX(ClientRates!$E$5:$E$500,MATCH($B1682&amp;"|"&amp;$L1682,ClientRates!$A$5:$A$500,0)),0))</f>
        <v/>
      </c>
      <c r="O1682" s="26" t="str">
        <f aca="false">IF($D1682="","",F1682*M1682+G1682*N1682)</f>
        <v/>
      </c>
      <c r="P1682" s="26" t="str">
        <f aca="false">IF(OR($D1682="",$J1682&lt;&gt;"Supplier"),"",IFERROR(INDEX(SupplierRates!$D$5:$D$500,MATCH($K1682&amp;"|"&amp;$L1682,SupplierRates!$A$5:$A$500,0)),0))</f>
        <v/>
      </c>
      <c r="Q1682" s="26" t="str">
        <f aca="false">IF(OR($D1682="",$J1682&lt;&gt;"Supplier"),"",IFERROR(INDEX(SupplierRates!$E$5:$E$500,MATCH($K1682&amp;"|"&amp;$L1682,SupplierRates!$A$5:$A$500,0)),0))</f>
        <v/>
      </c>
      <c r="R1682" s="26" t="n">
        <f aca="false">IF(OR($D1682="",$J1682&lt;&gt;"Supplier"),0,F1682*P1682+G1682*Q1682)</f>
        <v>0</v>
      </c>
      <c r="S1682" s="26" t="n">
        <f aca="false">IF(OR($D1682="",$J1682&lt;&gt;"Own"),0,IFERROR((F1682+G1682*Settings!$B$13)*INDEX(Workers!$V$5:$V$2004,MATCH($D1682,Workers!$A$5:$A$2004,0)),0))</f>
        <v>0</v>
      </c>
      <c r="T1682" s="26" t="str">
        <f aca="false">IF($D1682="","",O1682-R1682-S1682)</f>
        <v/>
      </c>
    </row>
    <row r="1683" customFormat="false" ht="15" hidden="false" customHeight="false" outlineLevel="0" collapsed="false">
      <c r="I1683" s="24" t="str">
        <f aca="false">IF($D1683="","",IFERROR(INDEX(Workers!$B$5:$B$2004,MATCH($D1683,Workers!$A$5:$A$2004,0)),"NOT FOUND"))</f>
        <v/>
      </c>
      <c r="J1683" s="24" t="str">
        <f aca="false">IF($D1683="","",IFERROR(INDEX(Workers!$C$5:$C$2004,MATCH($D1683,Workers!$A$5:$A$2004,0)),""))</f>
        <v/>
      </c>
      <c r="K1683" s="24" t="str">
        <f aca="false">IF($D1683="","",IFERROR(IF(INDEX(Workers!$D$5:$D$2004,MATCH($D1683,Workers!$A$5:$A$2004,0))=0,"",INDEX(Workers!$D$5:$D$2004,MATCH($D1683,Workers!$A$5:$A$2004,0))),""))</f>
        <v/>
      </c>
      <c r="L1683" s="24" t="str">
        <f aca="false">IF($D1683="","",IFERROR(INDEX(Workers!$E$5:$E$2004,MATCH($D1683,Workers!$A$5:$A$2004,0)),""))</f>
        <v/>
      </c>
      <c r="M1683" s="26" t="str">
        <f aca="false">IF($D1683="","",IFERROR(INDEX(ClientRates!$D$5:$D$500,MATCH($B1683&amp;"|"&amp;$L1683,ClientRates!$A$5:$A$500,0)),0))</f>
        <v/>
      </c>
      <c r="N1683" s="26" t="str">
        <f aca="false">IF($D1683="","",IFERROR(INDEX(ClientRates!$E$5:$E$500,MATCH($B1683&amp;"|"&amp;$L1683,ClientRates!$A$5:$A$500,0)),0))</f>
        <v/>
      </c>
      <c r="O1683" s="26" t="str">
        <f aca="false">IF($D1683="","",F1683*M1683+G1683*N1683)</f>
        <v/>
      </c>
      <c r="P1683" s="26" t="str">
        <f aca="false">IF(OR($D1683="",$J1683&lt;&gt;"Supplier"),"",IFERROR(INDEX(SupplierRates!$D$5:$D$500,MATCH($K1683&amp;"|"&amp;$L1683,SupplierRates!$A$5:$A$500,0)),0))</f>
        <v/>
      </c>
      <c r="Q1683" s="26" t="str">
        <f aca="false">IF(OR($D1683="",$J1683&lt;&gt;"Supplier"),"",IFERROR(INDEX(SupplierRates!$E$5:$E$500,MATCH($K1683&amp;"|"&amp;$L1683,SupplierRates!$A$5:$A$500,0)),0))</f>
        <v/>
      </c>
      <c r="R1683" s="26" t="n">
        <f aca="false">IF(OR($D1683="",$J1683&lt;&gt;"Supplier"),0,F1683*P1683+G1683*Q1683)</f>
        <v>0</v>
      </c>
      <c r="S1683" s="26" t="n">
        <f aca="false">IF(OR($D1683="",$J1683&lt;&gt;"Own"),0,IFERROR((F1683+G1683*Settings!$B$13)*INDEX(Workers!$V$5:$V$2004,MATCH($D1683,Workers!$A$5:$A$2004,0)),0))</f>
        <v>0</v>
      </c>
      <c r="T1683" s="26" t="str">
        <f aca="false">IF($D1683="","",O1683-R1683-S1683)</f>
        <v/>
      </c>
    </row>
    <row r="1684" customFormat="false" ht="15" hidden="false" customHeight="false" outlineLevel="0" collapsed="false">
      <c r="I1684" s="24" t="str">
        <f aca="false">IF($D1684="","",IFERROR(INDEX(Workers!$B$5:$B$2004,MATCH($D1684,Workers!$A$5:$A$2004,0)),"NOT FOUND"))</f>
        <v/>
      </c>
      <c r="J1684" s="24" t="str">
        <f aca="false">IF($D1684="","",IFERROR(INDEX(Workers!$C$5:$C$2004,MATCH($D1684,Workers!$A$5:$A$2004,0)),""))</f>
        <v/>
      </c>
      <c r="K1684" s="24" t="str">
        <f aca="false">IF($D1684="","",IFERROR(IF(INDEX(Workers!$D$5:$D$2004,MATCH($D1684,Workers!$A$5:$A$2004,0))=0,"",INDEX(Workers!$D$5:$D$2004,MATCH($D1684,Workers!$A$5:$A$2004,0))),""))</f>
        <v/>
      </c>
      <c r="L1684" s="24" t="str">
        <f aca="false">IF($D1684="","",IFERROR(INDEX(Workers!$E$5:$E$2004,MATCH($D1684,Workers!$A$5:$A$2004,0)),""))</f>
        <v/>
      </c>
      <c r="M1684" s="26" t="str">
        <f aca="false">IF($D1684="","",IFERROR(INDEX(ClientRates!$D$5:$D$500,MATCH($B1684&amp;"|"&amp;$L1684,ClientRates!$A$5:$A$500,0)),0))</f>
        <v/>
      </c>
      <c r="N1684" s="26" t="str">
        <f aca="false">IF($D1684="","",IFERROR(INDEX(ClientRates!$E$5:$E$500,MATCH($B1684&amp;"|"&amp;$L1684,ClientRates!$A$5:$A$500,0)),0))</f>
        <v/>
      </c>
      <c r="O1684" s="26" t="str">
        <f aca="false">IF($D1684="","",F1684*M1684+G1684*N1684)</f>
        <v/>
      </c>
      <c r="P1684" s="26" t="str">
        <f aca="false">IF(OR($D1684="",$J1684&lt;&gt;"Supplier"),"",IFERROR(INDEX(SupplierRates!$D$5:$D$500,MATCH($K1684&amp;"|"&amp;$L1684,SupplierRates!$A$5:$A$500,0)),0))</f>
        <v/>
      </c>
      <c r="Q1684" s="26" t="str">
        <f aca="false">IF(OR($D1684="",$J1684&lt;&gt;"Supplier"),"",IFERROR(INDEX(SupplierRates!$E$5:$E$500,MATCH($K1684&amp;"|"&amp;$L1684,SupplierRates!$A$5:$A$500,0)),0))</f>
        <v/>
      </c>
      <c r="R1684" s="26" t="n">
        <f aca="false">IF(OR($D1684="",$J1684&lt;&gt;"Supplier"),0,F1684*P1684+G1684*Q1684)</f>
        <v>0</v>
      </c>
      <c r="S1684" s="26" t="n">
        <f aca="false">IF(OR($D1684="",$J1684&lt;&gt;"Own"),0,IFERROR((F1684+G1684*Settings!$B$13)*INDEX(Workers!$V$5:$V$2004,MATCH($D1684,Workers!$A$5:$A$2004,0)),0))</f>
        <v>0</v>
      </c>
      <c r="T1684" s="26" t="str">
        <f aca="false">IF($D1684="","",O1684-R1684-S1684)</f>
        <v/>
      </c>
    </row>
    <row r="1685" customFormat="false" ht="15" hidden="false" customHeight="false" outlineLevel="0" collapsed="false">
      <c r="I1685" s="24" t="str">
        <f aca="false">IF($D1685="","",IFERROR(INDEX(Workers!$B$5:$B$2004,MATCH($D1685,Workers!$A$5:$A$2004,0)),"NOT FOUND"))</f>
        <v/>
      </c>
      <c r="J1685" s="24" t="str">
        <f aca="false">IF($D1685="","",IFERROR(INDEX(Workers!$C$5:$C$2004,MATCH($D1685,Workers!$A$5:$A$2004,0)),""))</f>
        <v/>
      </c>
      <c r="K1685" s="24" t="str">
        <f aca="false">IF($D1685="","",IFERROR(IF(INDEX(Workers!$D$5:$D$2004,MATCH($D1685,Workers!$A$5:$A$2004,0))=0,"",INDEX(Workers!$D$5:$D$2004,MATCH($D1685,Workers!$A$5:$A$2004,0))),""))</f>
        <v/>
      </c>
      <c r="L1685" s="24" t="str">
        <f aca="false">IF($D1685="","",IFERROR(INDEX(Workers!$E$5:$E$2004,MATCH($D1685,Workers!$A$5:$A$2004,0)),""))</f>
        <v/>
      </c>
      <c r="M1685" s="26" t="str">
        <f aca="false">IF($D1685="","",IFERROR(INDEX(ClientRates!$D$5:$D$500,MATCH($B1685&amp;"|"&amp;$L1685,ClientRates!$A$5:$A$500,0)),0))</f>
        <v/>
      </c>
      <c r="N1685" s="26" t="str">
        <f aca="false">IF($D1685="","",IFERROR(INDEX(ClientRates!$E$5:$E$500,MATCH($B1685&amp;"|"&amp;$L1685,ClientRates!$A$5:$A$500,0)),0))</f>
        <v/>
      </c>
      <c r="O1685" s="26" t="str">
        <f aca="false">IF($D1685="","",F1685*M1685+G1685*N1685)</f>
        <v/>
      </c>
      <c r="P1685" s="26" t="str">
        <f aca="false">IF(OR($D1685="",$J1685&lt;&gt;"Supplier"),"",IFERROR(INDEX(SupplierRates!$D$5:$D$500,MATCH($K1685&amp;"|"&amp;$L1685,SupplierRates!$A$5:$A$500,0)),0))</f>
        <v/>
      </c>
      <c r="Q1685" s="26" t="str">
        <f aca="false">IF(OR($D1685="",$J1685&lt;&gt;"Supplier"),"",IFERROR(INDEX(SupplierRates!$E$5:$E$500,MATCH($K1685&amp;"|"&amp;$L1685,SupplierRates!$A$5:$A$500,0)),0))</f>
        <v/>
      </c>
      <c r="R1685" s="26" t="n">
        <f aca="false">IF(OR($D1685="",$J1685&lt;&gt;"Supplier"),0,F1685*P1685+G1685*Q1685)</f>
        <v>0</v>
      </c>
      <c r="S1685" s="26" t="n">
        <f aca="false">IF(OR($D1685="",$J1685&lt;&gt;"Own"),0,IFERROR((F1685+G1685*Settings!$B$13)*INDEX(Workers!$V$5:$V$2004,MATCH($D1685,Workers!$A$5:$A$2004,0)),0))</f>
        <v>0</v>
      </c>
      <c r="T1685" s="26" t="str">
        <f aca="false">IF($D1685="","",O1685-R1685-S1685)</f>
        <v/>
      </c>
    </row>
    <row r="1686" customFormat="false" ht="15" hidden="false" customHeight="false" outlineLevel="0" collapsed="false">
      <c r="I1686" s="24" t="str">
        <f aca="false">IF($D1686="","",IFERROR(INDEX(Workers!$B$5:$B$2004,MATCH($D1686,Workers!$A$5:$A$2004,0)),"NOT FOUND"))</f>
        <v/>
      </c>
      <c r="J1686" s="24" t="str">
        <f aca="false">IF($D1686="","",IFERROR(INDEX(Workers!$C$5:$C$2004,MATCH($D1686,Workers!$A$5:$A$2004,0)),""))</f>
        <v/>
      </c>
      <c r="K1686" s="24" t="str">
        <f aca="false">IF($D1686="","",IFERROR(IF(INDEX(Workers!$D$5:$D$2004,MATCH($D1686,Workers!$A$5:$A$2004,0))=0,"",INDEX(Workers!$D$5:$D$2004,MATCH($D1686,Workers!$A$5:$A$2004,0))),""))</f>
        <v/>
      </c>
      <c r="L1686" s="24" t="str">
        <f aca="false">IF($D1686="","",IFERROR(INDEX(Workers!$E$5:$E$2004,MATCH($D1686,Workers!$A$5:$A$2004,0)),""))</f>
        <v/>
      </c>
      <c r="M1686" s="26" t="str">
        <f aca="false">IF($D1686="","",IFERROR(INDEX(ClientRates!$D$5:$D$500,MATCH($B1686&amp;"|"&amp;$L1686,ClientRates!$A$5:$A$500,0)),0))</f>
        <v/>
      </c>
      <c r="N1686" s="26" t="str">
        <f aca="false">IF($D1686="","",IFERROR(INDEX(ClientRates!$E$5:$E$500,MATCH($B1686&amp;"|"&amp;$L1686,ClientRates!$A$5:$A$500,0)),0))</f>
        <v/>
      </c>
      <c r="O1686" s="26" t="str">
        <f aca="false">IF($D1686="","",F1686*M1686+G1686*N1686)</f>
        <v/>
      </c>
      <c r="P1686" s="26" t="str">
        <f aca="false">IF(OR($D1686="",$J1686&lt;&gt;"Supplier"),"",IFERROR(INDEX(SupplierRates!$D$5:$D$500,MATCH($K1686&amp;"|"&amp;$L1686,SupplierRates!$A$5:$A$500,0)),0))</f>
        <v/>
      </c>
      <c r="Q1686" s="26" t="str">
        <f aca="false">IF(OR($D1686="",$J1686&lt;&gt;"Supplier"),"",IFERROR(INDEX(SupplierRates!$E$5:$E$500,MATCH($K1686&amp;"|"&amp;$L1686,SupplierRates!$A$5:$A$500,0)),0))</f>
        <v/>
      </c>
      <c r="R1686" s="26" t="n">
        <f aca="false">IF(OR($D1686="",$J1686&lt;&gt;"Supplier"),0,F1686*P1686+G1686*Q1686)</f>
        <v>0</v>
      </c>
      <c r="S1686" s="26" t="n">
        <f aca="false">IF(OR($D1686="",$J1686&lt;&gt;"Own"),0,IFERROR((F1686+G1686*Settings!$B$13)*INDEX(Workers!$V$5:$V$2004,MATCH($D1686,Workers!$A$5:$A$2004,0)),0))</f>
        <v>0</v>
      </c>
      <c r="T1686" s="26" t="str">
        <f aca="false">IF($D1686="","",O1686-R1686-S1686)</f>
        <v/>
      </c>
    </row>
    <row r="1687" customFormat="false" ht="15" hidden="false" customHeight="false" outlineLevel="0" collapsed="false">
      <c r="I1687" s="24" t="str">
        <f aca="false">IF($D1687="","",IFERROR(INDEX(Workers!$B$5:$B$2004,MATCH($D1687,Workers!$A$5:$A$2004,0)),"NOT FOUND"))</f>
        <v/>
      </c>
      <c r="J1687" s="24" t="str">
        <f aca="false">IF($D1687="","",IFERROR(INDEX(Workers!$C$5:$C$2004,MATCH($D1687,Workers!$A$5:$A$2004,0)),""))</f>
        <v/>
      </c>
      <c r="K1687" s="24" t="str">
        <f aca="false">IF($D1687="","",IFERROR(IF(INDEX(Workers!$D$5:$D$2004,MATCH($D1687,Workers!$A$5:$A$2004,0))=0,"",INDEX(Workers!$D$5:$D$2004,MATCH($D1687,Workers!$A$5:$A$2004,0))),""))</f>
        <v/>
      </c>
      <c r="L1687" s="24" t="str">
        <f aca="false">IF($D1687="","",IFERROR(INDEX(Workers!$E$5:$E$2004,MATCH($D1687,Workers!$A$5:$A$2004,0)),""))</f>
        <v/>
      </c>
      <c r="M1687" s="26" t="str">
        <f aca="false">IF($D1687="","",IFERROR(INDEX(ClientRates!$D$5:$D$500,MATCH($B1687&amp;"|"&amp;$L1687,ClientRates!$A$5:$A$500,0)),0))</f>
        <v/>
      </c>
      <c r="N1687" s="26" t="str">
        <f aca="false">IF($D1687="","",IFERROR(INDEX(ClientRates!$E$5:$E$500,MATCH($B1687&amp;"|"&amp;$L1687,ClientRates!$A$5:$A$500,0)),0))</f>
        <v/>
      </c>
      <c r="O1687" s="26" t="str">
        <f aca="false">IF($D1687="","",F1687*M1687+G1687*N1687)</f>
        <v/>
      </c>
      <c r="P1687" s="26" t="str">
        <f aca="false">IF(OR($D1687="",$J1687&lt;&gt;"Supplier"),"",IFERROR(INDEX(SupplierRates!$D$5:$D$500,MATCH($K1687&amp;"|"&amp;$L1687,SupplierRates!$A$5:$A$500,0)),0))</f>
        <v/>
      </c>
      <c r="Q1687" s="26" t="str">
        <f aca="false">IF(OR($D1687="",$J1687&lt;&gt;"Supplier"),"",IFERROR(INDEX(SupplierRates!$E$5:$E$500,MATCH($K1687&amp;"|"&amp;$L1687,SupplierRates!$A$5:$A$500,0)),0))</f>
        <v/>
      </c>
      <c r="R1687" s="26" t="n">
        <f aca="false">IF(OR($D1687="",$J1687&lt;&gt;"Supplier"),0,F1687*P1687+G1687*Q1687)</f>
        <v>0</v>
      </c>
      <c r="S1687" s="26" t="n">
        <f aca="false">IF(OR($D1687="",$J1687&lt;&gt;"Own"),0,IFERROR((F1687+G1687*Settings!$B$13)*INDEX(Workers!$V$5:$V$2004,MATCH($D1687,Workers!$A$5:$A$2004,0)),0))</f>
        <v>0</v>
      </c>
      <c r="T1687" s="26" t="str">
        <f aca="false">IF($D1687="","",O1687-R1687-S1687)</f>
        <v/>
      </c>
    </row>
    <row r="1688" customFormat="false" ht="15" hidden="false" customHeight="false" outlineLevel="0" collapsed="false">
      <c r="I1688" s="24" t="str">
        <f aca="false">IF($D1688="","",IFERROR(INDEX(Workers!$B$5:$B$2004,MATCH($D1688,Workers!$A$5:$A$2004,0)),"NOT FOUND"))</f>
        <v/>
      </c>
      <c r="J1688" s="24" t="str">
        <f aca="false">IF($D1688="","",IFERROR(INDEX(Workers!$C$5:$C$2004,MATCH($D1688,Workers!$A$5:$A$2004,0)),""))</f>
        <v/>
      </c>
      <c r="K1688" s="24" t="str">
        <f aca="false">IF($D1688="","",IFERROR(IF(INDEX(Workers!$D$5:$D$2004,MATCH($D1688,Workers!$A$5:$A$2004,0))=0,"",INDEX(Workers!$D$5:$D$2004,MATCH($D1688,Workers!$A$5:$A$2004,0))),""))</f>
        <v/>
      </c>
      <c r="L1688" s="24" t="str">
        <f aca="false">IF($D1688="","",IFERROR(INDEX(Workers!$E$5:$E$2004,MATCH($D1688,Workers!$A$5:$A$2004,0)),""))</f>
        <v/>
      </c>
      <c r="M1688" s="26" t="str">
        <f aca="false">IF($D1688="","",IFERROR(INDEX(ClientRates!$D$5:$D$500,MATCH($B1688&amp;"|"&amp;$L1688,ClientRates!$A$5:$A$500,0)),0))</f>
        <v/>
      </c>
      <c r="N1688" s="26" t="str">
        <f aca="false">IF($D1688="","",IFERROR(INDEX(ClientRates!$E$5:$E$500,MATCH($B1688&amp;"|"&amp;$L1688,ClientRates!$A$5:$A$500,0)),0))</f>
        <v/>
      </c>
      <c r="O1688" s="26" t="str">
        <f aca="false">IF($D1688="","",F1688*M1688+G1688*N1688)</f>
        <v/>
      </c>
      <c r="P1688" s="26" t="str">
        <f aca="false">IF(OR($D1688="",$J1688&lt;&gt;"Supplier"),"",IFERROR(INDEX(SupplierRates!$D$5:$D$500,MATCH($K1688&amp;"|"&amp;$L1688,SupplierRates!$A$5:$A$500,0)),0))</f>
        <v/>
      </c>
      <c r="Q1688" s="26" t="str">
        <f aca="false">IF(OR($D1688="",$J1688&lt;&gt;"Supplier"),"",IFERROR(INDEX(SupplierRates!$E$5:$E$500,MATCH($K1688&amp;"|"&amp;$L1688,SupplierRates!$A$5:$A$500,0)),0))</f>
        <v/>
      </c>
      <c r="R1688" s="26" t="n">
        <f aca="false">IF(OR($D1688="",$J1688&lt;&gt;"Supplier"),0,F1688*P1688+G1688*Q1688)</f>
        <v>0</v>
      </c>
      <c r="S1688" s="26" t="n">
        <f aca="false">IF(OR($D1688="",$J1688&lt;&gt;"Own"),0,IFERROR((F1688+G1688*Settings!$B$13)*INDEX(Workers!$V$5:$V$2004,MATCH($D1688,Workers!$A$5:$A$2004,0)),0))</f>
        <v>0</v>
      </c>
      <c r="T1688" s="26" t="str">
        <f aca="false">IF($D1688="","",O1688-R1688-S1688)</f>
        <v/>
      </c>
    </row>
    <row r="1689" customFormat="false" ht="15" hidden="false" customHeight="false" outlineLevel="0" collapsed="false">
      <c r="I1689" s="24" t="str">
        <f aca="false">IF($D1689="","",IFERROR(INDEX(Workers!$B$5:$B$2004,MATCH($D1689,Workers!$A$5:$A$2004,0)),"NOT FOUND"))</f>
        <v/>
      </c>
      <c r="J1689" s="24" t="str">
        <f aca="false">IF($D1689="","",IFERROR(INDEX(Workers!$C$5:$C$2004,MATCH($D1689,Workers!$A$5:$A$2004,0)),""))</f>
        <v/>
      </c>
      <c r="K1689" s="24" t="str">
        <f aca="false">IF($D1689="","",IFERROR(IF(INDEX(Workers!$D$5:$D$2004,MATCH($D1689,Workers!$A$5:$A$2004,0))=0,"",INDEX(Workers!$D$5:$D$2004,MATCH($D1689,Workers!$A$5:$A$2004,0))),""))</f>
        <v/>
      </c>
      <c r="L1689" s="24" t="str">
        <f aca="false">IF($D1689="","",IFERROR(INDEX(Workers!$E$5:$E$2004,MATCH($D1689,Workers!$A$5:$A$2004,0)),""))</f>
        <v/>
      </c>
      <c r="M1689" s="26" t="str">
        <f aca="false">IF($D1689="","",IFERROR(INDEX(ClientRates!$D$5:$D$500,MATCH($B1689&amp;"|"&amp;$L1689,ClientRates!$A$5:$A$500,0)),0))</f>
        <v/>
      </c>
      <c r="N1689" s="26" t="str">
        <f aca="false">IF($D1689="","",IFERROR(INDEX(ClientRates!$E$5:$E$500,MATCH($B1689&amp;"|"&amp;$L1689,ClientRates!$A$5:$A$500,0)),0))</f>
        <v/>
      </c>
      <c r="O1689" s="26" t="str">
        <f aca="false">IF($D1689="","",F1689*M1689+G1689*N1689)</f>
        <v/>
      </c>
      <c r="P1689" s="26" t="str">
        <f aca="false">IF(OR($D1689="",$J1689&lt;&gt;"Supplier"),"",IFERROR(INDEX(SupplierRates!$D$5:$D$500,MATCH($K1689&amp;"|"&amp;$L1689,SupplierRates!$A$5:$A$500,0)),0))</f>
        <v/>
      </c>
      <c r="Q1689" s="26" t="str">
        <f aca="false">IF(OR($D1689="",$J1689&lt;&gt;"Supplier"),"",IFERROR(INDEX(SupplierRates!$E$5:$E$500,MATCH($K1689&amp;"|"&amp;$L1689,SupplierRates!$A$5:$A$500,0)),0))</f>
        <v/>
      </c>
      <c r="R1689" s="26" t="n">
        <f aca="false">IF(OR($D1689="",$J1689&lt;&gt;"Supplier"),0,F1689*P1689+G1689*Q1689)</f>
        <v>0</v>
      </c>
      <c r="S1689" s="26" t="n">
        <f aca="false">IF(OR($D1689="",$J1689&lt;&gt;"Own"),0,IFERROR((F1689+G1689*Settings!$B$13)*INDEX(Workers!$V$5:$V$2004,MATCH($D1689,Workers!$A$5:$A$2004,0)),0))</f>
        <v>0</v>
      </c>
      <c r="T1689" s="26" t="str">
        <f aca="false">IF($D1689="","",O1689-R1689-S1689)</f>
        <v/>
      </c>
    </row>
    <row r="1690" customFormat="false" ht="15" hidden="false" customHeight="false" outlineLevel="0" collapsed="false">
      <c r="I1690" s="24" t="str">
        <f aca="false">IF($D1690="","",IFERROR(INDEX(Workers!$B$5:$B$2004,MATCH($D1690,Workers!$A$5:$A$2004,0)),"NOT FOUND"))</f>
        <v/>
      </c>
      <c r="J1690" s="24" t="str">
        <f aca="false">IF($D1690="","",IFERROR(INDEX(Workers!$C$5:$C$2004,MATCH($D1690,Workers!$A$5:$A$2004,0)),""))</f>
        <v/>
      </c>
      <c r="K1690" s="24" t="str">
        <f aca="false">IF($D1690="","",IFERROR(IF(INDEX(Workers!$D$5:$D$2004,MATCH($D1690,Workers!$A$5:$A$2004,0))=0,"",INDEX(Workers!$D$5:$D$2004,MATCH($D1690,Workers!$A$5:$A$2004,0))),""))</f>
        <v/>
      </c>
      <c r="L1690" s="24" t="str">
        <f aca="false">IF($D1690="","",IFERROR(INDEX(Workers!$E$5:$E$2004,MATCH($D1690,Workers!$A$5:$A$2004,0)),""))</f>
        <v/>
      </c>
      <c r="M1690" s="26" t="str">
        <f aca="false">IF($D1690="","",IFERROR(INDEX(ClientRates!$D$5:$D$500,MATCH($B1690&amp;"|"&amp;$L1690,ClientRates!$A$5:$A$500,0)),0))</f>
        <v/>
      </c>
      <c r="N1690" s="26" t="str">
        <f aca="false">IF($D1690="","",IFERROR(INDEX(ClientRates!$E$5:$E$500,MATCH($B1690&amp;"|"&amp;$L1690,ClientRates!$A$5:$A$500,0)),0))</f>
        <v/>
      </c>
      <c r="O1690" s="26" t="str">
        <f aca="false">IF($D1690="","",F1690*M1690+G1690*N1690)</f>
        <v/>
      </c>
      <c r="P1690" s="26" t="str">
        <f aca="false">IF(OR($D1690="",$J1690&lt;&gt;"Supplier"),"",IFERROR(INDEX(SupplierRates!$D$5:$D$500,MATCH($K1690&amp;"|"&amp;$L1690,SupplierRates!$A$5:$A$500,0)),0))</f>
        <v/>
      </c>
      <c r="Q1690" s="26" t="str">
        <f aca="false">IF(OR($D1690="",$J1690&lt;&gt;"Supplier"),"",IFERROR(INDEX(SupplierRates!$E$5:$E$500,MATCH($K1690&amp;"|"&amp;$L1690,SupplierRates!$A$5:$A$500,0)),0))</f>
        <v/>
      </c>
      <c r="R1690" s="26" t="n">
        <f aca="false">IF(OR($D1690="",$J1690&lt;&gt;"Supplier"),0,F1690*P1690+G1690*Q1690)</f>
        <v>0</v>
      </c>
      <c r="S1690" s="26" t="n">
        <f aca="false">IF(OR($D1690="",$J1690&lt;&gt;"Own"),0,IFERROR((F1690+G1690*Settings!$B$13)*INDEX(Workers!$V$5:$V$2004,MATCH($D1690,Workers!$A$5:$A$2004,0)),0))</f>
        <v>0</v>
      </c>
      <c r="T1690" s="26" t="str">
        <f aca="false">IF($D1690="","",O1690-R1690-S1690)</f>
        <v/>
      </c>
    </row>
    <row r="1691" customFormat="false" ht="15" hidden="false" customHeight="false" outlineLevel="0" collapsed="false">
      <c r="I1691" s="24" t="str">
        <f aca="false">IF($D1691="","",IFERROR(INDEX(Workers!$B$5:$B$2004,MATCH($D1691,Workers!$A$5:$A$2004,0)),"NOT FOUND"))</f>
        <v/>
      </c>
      <c r="J1691" s="24" t="str">
        <f aca="false">IF($D1691="","",IFERROR(INDEX(Workers!$C$5:$C$2004,MATCH($D1691,Workers!$A$5:$A$2004,0)),""))</f>
        <v/>
      </c>
      <c r="K1691" s="24" t="str">
        <f aca="false">IF($D1691="","",IFERROR(IF(INDEX(Workers!$D$5:$D$2004,MATCH($D1691,Workers!$A$5:$A$2004,0))=0,"",INDEX(Workers!$D$5:$D$2004,MATCH($D1691,Workers!$A$5:$A$2004,0))),""))</f>
        <v/>
      </c>
      <c r="L1691" s="24" t="str">
        <f aca="false">IF($D1691="","",IFERROR(INDEX(Workers!$E$5:$E$2004,MATCH($D1691,Workers!$A$5:$A$2004,0)),""))</f>
        <v/>
      </c>
      <c r="M1691" s="26" t="str">
        <f aca="false">IF($D1691="","",IFERROR(INDEX(ClientRates!$D$5:$D$500,MATCH($B1691&amp;"|"&amp;$L1691,ClientRates!$A$5:$A$500,0)),0))</f>
        <v/>
      </c>
      <c r="N1691" s="26" t="str">
        <f aca="false">IF($D1691="","",IFERROR(INDEX(ClientRates!$E$5:$E$500,MATCH($B1691&amp;"|"&amp;$L1691,ClientRates!$A$5:$A$500,0)),0))</f>
        <v/>
      </c>
      <c r="O1691" s="26" t="str">
        <f aca="false">IF($D1691="","",F1691*M1691+G1691*N1691)</f>
        <v/>
      </c>
      <c r="P1691" s="26" t="str">
        <f aca="false">IF(OR($D1691="",$J1691&lt;&gt;"Supplier"),"",IFERROR(INDEX(SupplierRates!$D$5:$D$500,MATCH($K1691&amp;"|"&amp;$L1691,SupplierRates!$A$5:$A$500,0)),0))</f>
        <v/>
      </c>
      <c r="Q1691" s="26" t="str">
        <f aca="false">IF(OR($D1691="",$J1691&lt;&gt;"Supplier"),"",IFERROR(INDEX(SupplierRates!$E$5:$E$500,MATCH($K1691&amp;"|"&amp;$L1691,SupplierRates!$A$5:$A$500,0)),0))</f>
        <v/>
      </c>
      <c r="R1691" s="26" t="n">
        <f aca="false">IF(OR($D1691="",$J1691&lt;&gt;"Supplier"),0,F1691*P1691+G1691*Q1691)</f>
        <v>0</v>
      </c>
      <c r="S1691" s="26" t="n">
        <f aca="false">IF(OR($D1691="",$J1691&lt;&gt;"Own"),0,IFERROR((F1691+G1691*Settings!$B$13)*INDEX(Workers!$V$5:$V$2004,MATCH($D1691,Workers!$A$5:$A$2004,0)),0))</f>
        <v>0</v>
      </c>
      <c r="T1691" s="26" t="str">
        <f aca="false">IF($D1691="","",O1691-R1691-S1691)</f>
        <v/>
      </c>
    </row>
    <row r="1692" customFormat="false" ht="15" hidden="false" customHeight="false" outlineLevel="0" collapsed="false">
      <c r="I1692" s="24" t="str">
        <f aca="false">IF($D1692="","",IFERROR(INDEX(Workers!$B$5:$B$2004,MATCH($D1692,Workers!$A$5:$A$2004,0)),"NOT FOUND"))</f>
        <v/>
      </c>
      <c r="J1692" s="24" t="str">
        <f aca="false">IF($D1692="","",IFERROR(INDEX(Workers!$C$5:$C$2004,MATCH($D1692,Workers!$A$5:$A$2004,0)),""))</f>
        <v/>
      </c>
      <c r="K1692" s="24" t="str">
        <f aca="false">IF($D1692="","",IFERROR(IF(INDEX(Workers!$D$5:$D$2004,MATCH($D1692,Workers!$A$5:$A$2004,0))=0,"",INDEX(Workers!$D$5:$D$2004,MATCH($D1692,Workers!$A$5:$A$2004,0))),""))</f>
        <v/>
      </c>
      <c r="L1692" s="24" t="str">
        <f aca="false">IF($D1692="","",IFERROR(INDEX(Workers!$E$5:$E$2004,MATCH($D1692,Workers!$A$5:$A$2004,0)),""))</f>
        <v/>
      </c>
      <c r="M1692" s="26" t="str">
        <f aca="false">IF($D1692="","",IFERROR(INDEX(ClientRates!$D$5:$D$500,MATCH($B1692&amp;"|"&amp;$L1692,ClientRates!$A$5:$A$500,0)),0))</f>
        <v/>
      </c>
      <c r="N1692" s="26" t="str">
        <f aca="false">IF($D1692="","",IFERROR(INDEX(ClientRates!$E$5:$E$500,MATCH($B1692&amp;"|"&amp;$L1692,ClientRates!$A$5:$A$500,0)),0))</f>
        <v/>
      </c>
      <c r="O1692" s="26" t="str">
        <f aca="false">IF($D1692="","",F1692*M1692+G1692*N1692)</f>
        <v/>
      </c>
      <c r="P1692" s="26" t="str">
        <f aca="false">IF(OR($D1692="",$J1692&lt;&gt;"Supplier"),"",IFERROR(INDEX(SupplierRates!$D$5:$D$500,MATCH($K1692&amp;"|"&amp;$L1692,SupplierRates!$A$5:$A$500,0)),0))</f>
        <v/>
      </c>
      <c r="Q1692" s="26" t="str">
        <f aca="false">IF(OR($D1692="",$J1692&lt;&gt;"Supplier"),"",IFERROR(INDEX(SupplierRates!$E$5:$E$500,MATCH($K1692&amp;"|"&amp;$L1692,SupplierRates!$A$5:$A$500,0)),0))</f>
        <v/>
      </c>
      <c r="R1692" s="26" t="n">
        <f aca="false">IF(OR($D1692="",$J1692&lt;&gt;"Supplier"),0,F1692*P1692+G1692*Q1692)</f>
        <v>0</v>
      </c>
      <c r="S1692" s="26" t="n">
        <f aca="false">IF(OR($D1692="",$J1692&lt;&gt;"Own"),0,IFERROR((F1692+G1692*Settings!$B$13)*INDEX(Workers!$V$5:$V$2004,MATCH($D1692,Workers!$A$5:$A$2004,0)),0))</f>
        <v>0</v>
      </c>
      <c r="T1692" s="26" t="str">
        <f aca="false">IF($D1692="","",O1692-R1692-S1692)</f>
        <v/>
      </c>
    </row>
    <row r="1693" customFormat="false" ht="15" hidden="false" customHeight="false" outlineLevel="0" collapsed="false">
      <c r="I1693" s="24" t="str">
        <f aca="false">IF($D1693="","",IFERROR(INDEX(Workers!$B$5:$B$2004,MATCH($D1693,Workers!$A$5:$A$2004,0)),"NOT FOUND"))</f>
        <v/>
      </c>
      <c r="J1693" s="24" t="str">
        <f aca="false">IF($D1693="","",IFERROR(INDEX(Workers!$C$5:$C$2004,MATCH($D1693,Workers!$A$5:$A$2004,0)),""))</f>
        <v/>
      </c>
      <c r="K1693" s="24" t="str">
        <f aca="false">IF($D1693="","",IFERROR(IF(INDEX(Workers!$D$5:$D$2004,MATCH($D1693,Workers!$A$5:$A$2004,0))=0,"",INDEX(Workers!$D$5:$D$2004,MATCH($D1693,Workers!$A$5:$A$2004,0))),""))</f>
        <v/>
      </c>
      <c r="L1693" s="24" t="str">
        <f aca="false">IF($D1693="","",IFERROR(INDEX(Workers!$E$5:$E$2004,MATCH($D1693,Workers!$A$5:$A$2004,0)),""))</f>
        <v/>
      </c>
      <c r="M1693" s="26" t="str">
        <f aca="false">IF($D1693="","",IFERROR(INDEX(ClientRates!$D$5:$D$500,MATCH($B1693&amp;"|"&amp;$L1693,ClientRates!$A$5:$A$500,0)),0))</f>
        <v/>
      </c>
      <c r="N1693" s="26" t="str">
        <f aca="false">IF($D1693="","",IFERROR(INDEX(ClientRates!$E$5:$E$500,MATCH($B1693&amp;"|"&amp;$L1693,ClientRates!$A$5:$A$500,0)),0))</f>
        <v/>
      </c>
      <c r="O1693" s="26" t="str">
        <f aca="false">IF($D1693="","",F1693*M1693+G1693*N1693)</f>
        <v/>
      </c>
      <c r="P1693" s="26" t="str">
        <f aca="false">IF(OR($D1693="",$J1693&lt;&gt;"Supplier"),"",IFERROR(INDEX(SupplierRates!$D$5:$D$500,MATCH($K1693&amp;"|"&amp;$L1693,SupplierRates!$A$5:$A$500,0)),0))</f>
        <v/>
      </c>
      <c r="Q1693" s="26" t="str">
        <f aca="false">IF(OR($D1693="",$J1693&lt;&gt;"Supplier"),"",IFERROR(INDEX(SupplierRates!$E$5:$E$500,MATCH($K1693&amp;"|"&amp;$L1693,SupplierRates!$A$5:$A$500,0)),0))</f>
        <v/>
      </c>
      <c r="R1693" s="26" t="n">
        <f aca="false">IF(OR($D1693="",$J1693&lt;&gt;"Supplier"),0,F1693*P1693+G1693*Q1693)</f>
        <v>0</v>
      </c>
      <c r="S1693" s="26" t="n">
        <f aca="false">IF(OR($D1693="",$J1693&lt;&gt;"Own"),0,IFERROR((F1693+G1693*Settings!$B$13)*INDEX(Workers!$V$5:$V$2004,MATCH($D1693,Workers!$A$5:$A$2004,0)),0))</f>
        <v>0</v>
      </c>
      <c r="T1693" s="26" t="str">
        <f aca="false">IF($D1693="","",O1693-R1693-S1693)</f>
        <v/>
      </c>
    </row>
    <row r="1694" customFormat="false" ht="15" hidden="false" customHeight="false" outlineLevel="0" collapsed="false">
      <c r="I1694" s="24" t="str">
        <f aca="false">IF($D1694="","",IFERROR(INDEX(Workers!$B$5:$B$2004,MATCH($D1694,Workers!$A$5:$A$2004,0)),"NOT FOUND"))</f>
        <v/>
      </c>
      <c r="J1694" s="24" t="str">
        <f aca="false">IF($D1694="","",IFERROR(INDEX(Workers!$C$5:$C$2004,MATCH($D1694,Workers!$A$5:$A$2004,0)),""))</f>
        <v/>
      </c>
      <c r="K1694" s="24" t="str">
        <f aca="false">IF($D1694="","",IFERROR(IF(INDEX(Workers!$D$5:$D$2004,MATCH($D1694,Workers!$A$5:$A$2004,0))=0,"",INDEX(Workers!$D$5:$D$2004,MATCH($D1694,Workers!$A$5:$A$2004,0))),""))</f>
        <v/>
      </c>
      <c r="L1694" s="24" t="str">
        <f aca="false">IF($D1694="","",IFERROR(INDEX(Workers!$E$5:$E$2004,MATCH($D1694,Workers!$A$5:$A$2004,0)),""))</f>
        <v/>
      </c>
      <c r="M1694" s="26" t="str">
        <f aca="false">IF($D1694="","",IFERROR(INDEX(ClientRates!$D$5:$D$500,MATCH($B1694&amp;"|"&amp;$L1694,ClientRates!$A$5:$A$500,0)),0))</f>
        <v/>
      </c>
      <c r="N1694" s="26" t="str">
        <f aca="false">IF($D1694="","",IFERROR(INDEX(ClientRates!$E$5:$E$500,MATCH($B1694&amp;"|"&amp;$L1694,ClientRates!$A$5:$A$500,0)),0))</f>
        <v/>
      </c>
      <c r="O1694" s="26" t="str">
        <f aca="false">IF($D1694="","",F1694*M1694+G1694*N1694)</f>
        <v/>
      </c>
      <c r="P1694" s="26" t="str">
        <f aca="false">IF(OR($D1694="",$J1694&lt;&gt;"Supplier"),"",IFERROR(INDEX(SupplierRates!$D$5:$D$500,MATCH($K1694&amp;"|"&amp;$L1694,SupplierRates!$A$5:$A$500,0)),0))</f>
        <v/>
      </c>
      <c r="Q1694" s="26" t="str">
        <f aca="false">IF(OR($D1694="",$J1694&lt;&gt;"Supplier"),"",IFERROR(INDEX(SupplierRates!$E$5:$E$500,MATCH($K1694&amp;"|"&amp;$L1694,SupplierRates!$A$5:$A$500,0)),0))</f>
        <v/>
      </c>
      <c r="R1694" s="26" t="n">
        <f aca="false">IF(OR($D1694="",$J1694&lt;&gt;"Supplier"),0,F1694*P1694+G1694*Q1694)</f>
        <v>0</v>
      </c>
      <c r="S1694" s="26" t="n">
        <f aca="false">IF(OR($D1694="",$J1694&lt;&gt;"Own"),0,IFERROR((F1694+G1694*Settings!$B$13)*INDEX(Workers!$V$5:$V$2004,MATCH($D1694,Workers!$A$5:$A$2004,0)),0))</f>
        <v>0</v>
      </c>
      <c r="T1694" s="26" t="str">
        <f aca="false">IF($D1694="","",O1694-R1694-S1694)</f>
        <v/>
      </c>
    </row>
    <row r="1695" customFormat="false" ht="15" hidden="false" customHeight="false" outlineLevel="0" collapsed="false">
      <c r="I1695" s="24" t="str">
        <f aca="false">IF($D1695="","",IFERROR(INDEX(Workers!$B$5:$B$2004,MATCH($D1695,Workers!$A$5:$A$2004,0)),"NOT FOUND"))</f>
        <v/>
      </c>
      <c r="J1695" s="24" t="str">
        <f aca="false">IF($D1695="","",IFERROR(INDEX(Workers!$C$5:$C$2004,MATCH($D1695,Workers!$A$5:$A$2004,0)),""))</f>
        <v/>
      </c>
      <c r="K1695" s="24" t="str">
        <f aca="false">IF($D1695="","",IFERROR(IF(INDEX(Workers!$D$5:$D$2004,MATCH($D1695,Workers!$A$5:$A$2004,0))=0,"",INDEX(Workers!$D$5:$D$2004,MATCH($D1695,Workers!$A$5:$A$2004,0))),""))</f>
        <v/>
      </c>
      <c r="L1695" s="24" t="str">
        <f aca="false">IF($D1695="","",IFERROR(INDEX(Workers!$E$5:$E$2004,MATCH($D1695,Workers!$A$5:$A$2004,0)),""))</f>
        <v/>
      </c>
      <c r="M1695" s="26" t="str">
        <f aca="false">IF($D1695="","",IFERROR(INDEX(ClientRates!$D$5:$D$500,MATCH($B1695&amp;"|"&amp;$L1695,ClientRates!$A$5:$A$500,0)),0))</f>
        <v/>
      </c>
      <c r="N1695" s="26" t="str">
        <f aca="false">IF($D1695="","",IFERROR(INDEX(ClientRates!$E$5:$E$500,MATCH($B1695&amp;"|"&amp;$L1695,ClientRates!$A$5:$A$500,0)),0))</f>
        <v/>
      </c>
      <c r="O1695" s="26" t="str">
        <f aca="false">IF($D1695="","",F1695*M1695+G1695*N1695)</f>
        <v/>
      </c>
      <c r="P1695" s="26" t="str">
        <f aca="false">IF(OR($D1695="",$J1695&lt;&gt;"Supplier"),"",IFERROR(INDEX(SupplierRates!$D$5:$D$500,MATCH($K1695&amp;"|"&amp;$L1695,SupplierRates!$A$5:$A$500,0)),0))</f>
        <v/>
      </c>
      <c r="Q1695" s="26" t="str">
        <f aca="false">IF(OR($D1695="",$J1695&lt;&gt;"Supplier"),"",IFERROR(INDEX(SupplierRates!$E$5:$E$500,MATCH($K1695&amp;"|"&amp;$L1695,SupplierRates!$A$5:$A$500,0)),0))</f>
        <v/>
      </c>
      <c r="R1695" s="26" t="n">
        <f aca="false">IF(OR($D1695="",$J1695&lt;&gt;"Supplier"),0,F1695*P1695+G1695*Q1695)</f>
        <v>0</v>
      </c>
      <c r="S1695" s="26" t="n">
        <f aca="false">IF(OR($D1695="",$J1695&lt;&gt;"Own"),0,IFERROR((F1695+G1695*Settings!$B$13)*INDEX(Workers!$V$5:$V$2004,MATCH($D1695,Workers!$A$5:$A$2004,0)),0))</f>
        <v>0</v>
      </c>
      <c r="T1695" s="26" t="str">
        <f aca="false">IF($D1695="","",O1695-R1695-S1695)</f>
        <v/>
      </c>
    </row>
    <row r="1696" customFormat="false" ht="15" hidden="false" customHeight="false" outlineLevel="0" collapsed="false">
      <c r="I1696" s="24" t="str">
        <f aca="false">IF($D1696="","",IFERROR(INDEX(Workers!$B$5:$B$2004,MATCH($D1696,Workers!$A$5:$A$2004,0)),"NOT FOUND"))</f>
        <v/>
      </c>
      <c r="J1696" s="24" t="str">
        <f aca="false">IF($D1696="","",IFERROR(INDEX(Workers!$C$5:$C$2004,MATCH($D1696,Workers!$A$5:$A$2004,0)),""))</f>
        <v/>
      </c>
      <c r="K1696" s="24" t="str">
        <f aca="false">IF($D1696="","",IFERROR(IF(INDEX(Workers!$D$5:$D$2004,MATCH($D1696,Workers!$A$5:$A$2004,0))=0,"",INDEX(Workers!$D$5:$D$2004,MATCH($D1696,Workers!$A$5:$A$2004,0))),""))</f>
        <v/>
      </c>
      <c r="L1696" s="24" t="str">
        <f aca="false">IF($D1696="","",IFERROR(INDEX(Workers!$E$5:$E$2004,MATCH($D1696,Workers!$A$5:$A$2004,0)),""))</f>
        <v/>
      </c>
      <c r="M1696" s="26" t="str">
        <f aca="false">IF($D1696="","",IFERROR(INDEX(ClientRates!$D$5:$D$500,MATCH($B1696&amp;"|"&amp;$L1696,ClientRates!$A$5:$A$500,0)),0))</f>
        <v/>
      </c>
      <c r="N1696" s="26" t="str">
        <f aca="false">IF($D1696="","",IFERROR(INDEX(ClientRates!$E$5:$E$500,MATCH($B1696&amp;"|"&amp;$L1696,ClientRates!$A$5:$A$500,0)),0))</f>
        <v/>
      </c>
      <c r="O1696" s="26" t="str">
        <f aca="false">IF($D1696="","",F1696*M1696+G1696*N1696)</f>
        <v/>
      </c>
      <c r="P1696" s="26" t="str">
        <f aca="false">IF(OR($D1696="",$J1696&lt;&gt;"Supplier"),"",IFERROR(INDEX(SupplierRates!$D$5:$D$500,MATCH($K1696&amp;"|"&amp;$L1696,SupplierRates!$A$5:$A$500,0)),0))</f>
        <v/>
      </c>
      <c r="Q1696" s="26" t="str">
        <f aca="false">IF(OR($D1696="",$J1696&lt;&gt;"Supplier"),"",IFERROR(INDEX(SupplierRates!$E$5:$E$500,MATCH($K1696&amp;"|"&amp;$L1696,SupplierRates!$A$5:$A$500,0)),0))</f>
        <v/>
      </c>
      <c r="R1696" s="26" t="n">
        <f aca="false">IF(OR($D1696="",$J1696&lt;&gt;"Supplier"),0,F1696*P1696+G1696*Q1696)</f>
        <v>0</v>
      </c>
      <c r="S1696" s="26" t="n">
        <f aca="false">IF(OR($D1696="",$J1696&lt;&gt;"Own"),0,IFERROR((F1696+G1696*Settings!$B$13)*INDEX(Workers!$V$5:$V$2004,MATCH($D1696,Workers!$A$5:$A$2004,0)),0))</f>
        <v>0</v>
      </c>
      <c r="T1696" s="26" t="str">
        <f aca="false">IF($D1696="","",O1696-R1696-S1696)</f>
        <v/>
      </c>
    </row>
    <row r="1697" customFormat="false" ht="15" hidden="false" customHeight="false" outlineLevel="0" collapsed="false">
      <c r="I1697" s="24" t="str">
        <f aca="false">IF($D1697="","",IFERROR(INDEX(Workers!$B$5:$B$2004,MATCH($D1697,Workers!$A$5:$A$2004,0)),"NOT FOUND"))</f>
        <v/>
      </c>
      <c r="J1697" s="24" t="str">
        <f aca="false">IF($D1697="","",IFERROR(INDEX(Workers!$C$5:$C$2004,MATCH($D1697,Workers!$A$5:$A$2004,0)),""))</f>
        <v/>
      </c>
      <c r="K1697" s="24" t="str">
        <f aca="false">IF($D1697="","",IFERROR(IF(INDEX(Workers!$D$5:$D$2004,MATCH($D1697,Workers!$A$5:$A$2004,0))=0,"",INDEX(Workers!$D$5:$D$2004,MATCH($D1697,Workers!$A$5:$A$2004,0))),""))</f>
        <v/>
      </c>
      <c r="L1697" s="24" t="str">
        <f aca="false">IF($D1697="","",IFERROR(INDEX(Workers!$E$5:$E$2004,MATCH($D1697,Workers!$A$5:$A$2004,0)),""))</f>
        <v/>
      </c>
      <c r="M1697" s="26" t="str">
        <f aca="false">IF($D1697="","",IFERROR(INDEX(ClientRates!$D$5:$D$500,MATCH($B1697&amp;"|"&amp;$L1697,ClientRates!$A$5:$A$500,0)),0))</f>
        <v/>
      </c>
      <c r="N1697" s="26" t="str">
        <f aca="false">IF($D1697="","",IFERROR(INDEX(ClientRates!$E$5:$E$500,MATCH($B1697&amp;"|"&amp;$L1697,ClientRates!$A$5:$A$500,0)),0))</f>
        <v/>
      </c>
      <c r="O1697" s="26" t="str">
        <f aca="false">IF($D1697="","",F1697*M1697+G1697*N1697)</f>
        <v/>
      </c>
      <c r="P1697" s="26" t="str">
        <f aca="false">IF(OR($D1697="",$J1697&lt;&gt;"Supplier"),"",IFERROR(INDEX(SupplierRates!$D$5:$D$500,MATCH($K1697&amp;"|"&amp;$L1697,SupplierRates!$A$5:$A$500,0)),0))</f>
        <v/>
      </c>
      <c r="Q1697" s="26" t="str">
        <f aca="false">IF(OR($D1697="",$J1697&lt;&gt;"Supplier"),"",IFERROR(INDEX(SupplierRates!$E$5:$E$500,MATCH($K1697&amp;"|"&amp;$L1697,SupplierRates!$A$5:$A$500,0)),0))</f>
        <v/>
      </c>
      <c r="R1697" s="26" t="n">
        <f aca="false">IF(OR($D1697="",$J1697&lt;&gt;"Supplier"),0,F1697*P1697+G1697*Q1697)</f>
        <v>0</v>
      </c>
      <c r="S1697" s="26" t="n">
        <f aca="false">IF(OR($D1697="",$J1697&lt;&gt;"Own"),0,IFERROR((F1697+G1697*Settings!$B$13)*INDEX(Workers!$V$5:$V$2004,MATCH($D1697,Workers!$A$5:$A$2004,0)),0))</f>
        <v>0</v>
      </c>
      <c r="T1697" s="26" t="str">
        <f aca="false">IF($D1697="","",O1697-R1697-S1697)</f>
        <v/>
      </c>
    </row>
    <row r="1698" customFormat="false" ht="15" hidden="false" customHeight="false" outlineLevel="0" collapsed="false">
      <c r="I1698" s="24" t="str">
        <f aca="false">IF($D1698="","",IFERROR(INDEX(Workers!$B$5:$B$2004,MATCH($D1698,Workers!$A$5:$A$2004,0)),"NOT FOUND"))</f>
        <v/>
      </c>
      <c r="J1698" s="24" t="str">
        <f aca="false">IF($D1698="","",IFERROR(INDEX(Workers!$C$5:$C$2004,MATCH($D1698,Workers!$A$5:$A$2004,0)),""))</f>
        <v/>
      </c>
      <c r="K1698" s="24" t="str">
        <f aca="false">IF($D1698="","",IFERROR(IF(INDEX(Workers!$D$5:$D$2004,MATCH($D1698,Workers!$A$5:$A$2004,0))=0,"",INDEX(Workers!$D$5:$D$2004,MATCH($D1698,Workers!$A$5:$A$2004,0))),""))</f>
        <v/>
      </c>
      <c r="L1698" s="24" t="str">
        <f aca="false">IF($D1698="","",IFERROR(INDEX(Workers!$E$5:$E$2004,MATCH($D1698,Workers!$A$5:$A$2004,0)),""))</f>
        <v/>
      </c>
      <c r="M1698" s="26" t="str">
        <f aca="false">IF($D1698="","",IFERROR(INDEX(ClientRates!$D$5:$D$500,MATCH($B1698&amp;"|"&amp;$L1698,ClientRates!$A$5:$A$500,0)),0))</f>
        <v/>
      </c>
      <c r="N1698" s="26" t="str">
        <f aca="false">IF($D1698="","",IFERROR(INDEX(ClientRates!$E$5:$E$500,MATCH($B1698&amp;"|"&amp;$L1698,ClientRates!$A$5:$A$500,0)),0))</f>
        <v/>
      </c>
      <c r="O1698" s="26" t="str">
        <f aca="false">IF($D1698="","",F1698*M1698+G1698*N1698)</f>
        <v/>
      </c>
      <c r="P1698" s="26" t="str">
        <f aca="false">IF(OR($D1698="",$J1698&lt;&gt;"Supplier"),"",IFERROR(INDEX(SupplierRates!$D$5:$D$500,MATCH($K1698&amp;"|"&amp;$L1698,SupplierRates!$A$5:$A$500,0)),0))</f>
        <v/>
      </c>
      <c r="Q1698" s="26" t="str">
        <f aca="false">IF(OR($D1698="",$J1698&lt;&gt;"Supplier"),"",IFERROR(INDEX(SupplierRates!$E$5:$E$500,MATCH($K1698&amp;"|"&amp;$L1698,SupplierRates!$A$5:$A$500,0)),0))</f>
        <v/>
      </c>
      <c r="R1698" s="26" t="n">
        <f aca="false">IF(OR($D1698="",$J1698&lt;&gt;"Supplier"),0,F1698*P1698+G1698*Q1698)</f>
        <v>0</v>
      </c>
      <c r="S1698" s="26" t="n">
        <f aca="false">IF(OR($D1698="",$J1698&lt;&gt;"Own"),0,IFERROR((F1698+G1698*Settings!$B$13)*INDEX(Workers!$V$5:$V$2004,MATCH($D1698,Workers!$A$5:$A$2004,0)),0))</f>
        <v>0</v>
      </c>
      <c r="T1698" s="26" t="str">
        <f aca="false">IF($D1698="","",O1698-R1698-S1698)</f>
        <v/>
      </c>
    </row>
    <row r="1699" customFormat="false" ht="15" hidden="false" customHeight="false" outlineLevel="0" collapsed="false">
      <c r="I1699" s="24" t="str">
        <f aca="false">IF($D1699="","",IFERROR(INDEX(Workers!$B$5:$B$2004,MATCH($D1699,Workers!$A$5:$A$2004,0)),"NOT FOUND"))</f>
        <v/>
      </c>
      <c r="J1699" s="24" t="str">
        <f aca="false">IF($D1699="","",IFERROR(INDEX(Workers!$C$5:$C$2004,MATCH($D1699,Workers!$A$5:$A$2004,0)),""))</f>
        <v/>
      </c>
      <c r="K1699" s="24" t="str">
        <f aca="false">IF($D1699="","",IFERROR(IF(INDEX(Workers!$D$5:$D$2004,MATCH($D1699,Workers!$A$5:$A$2004,0))=0,"",INDEX(Workers!$D$5:$D$2004,MATCH($D1699,Workers!$A$5:$A$2004,0))),""))</f>
        <v/>
      </c>
      <c r="L1699" s="24" t="str">
        <f aca="false">IF($D1699="","",IFERROR(INDEX(Workers!$E$5:$E$2004,MATCH($D1699,Workers!$A$5:$A$2004,0)),""))</f>
        <v/>
      </c>
      <c r="M1699" s="26" t="str">
        <f aca="false">IF($D1699="","",IFERROR(INDEX(ClientRates!$D$5:$D$500,MATCH($B1699&amp;"|"&amp;$L1699,ClientRates!$A$5:$A$500,0)),0))</f>
        <v/>
      </c>
      <c r="N1699" s="26" t="str">
        <f aca="false">IF($D1699="","",IFERROR(INDEX(ClientRates!$E$5:$E$500,MATCH($B1699&amp;"|"&amp;$L1699,ClientRates!$A$5:$A$500,0)),0))</f>
        <v/>
      </c>
      <c r="O1699" s="26" t="str">
        <f aca="false">IF($D1699="","",F1699*M1699+G1699*N1699)</f>
        <v/>
      </c>
      <c r="P1699" s="26" t="str">
        <f aca="false">IF(OR($D1699="",$J1699&lt;&gt;"Supplier"),"",IFERROR(INDEX(SupplierRates!$D$5:$D$500,MATCH($K1699&amp;"|"&amp;$L1699,SupplierRates!$A$5:$A$500,0)),0))</f>
        <v/>
      </c>
      <c r="Q1699" s="26" t="str">
        <f aca="false">IF(OR($D1699="",$J1699&lt;&gt;"Supplier"),"",IFERROR(INDEX(SupplierRates!$E$5:$E$500,MATCH($K1699&amp;"|"&amp;$L1699,SupplierRates!$A$5:$A$500,0)),0))</f>
        <v/>
      </c>
      <c r="R1699" s="26" t="n">
        <f aca="false">IF(OR($D1699="",$J1699&lt;&gt;"Supplier"),0,F1699*P1699+G1699*Q1699)</f>
        <v>0</v>
      </c>
      <c r="S1699" s="26" t="n">
        <f aca="false">IF(OR($D1699="",$J1699&lt;&gt;"Own"),0,IFERROR((F1699+G1699*Settings!$B$13)*INDEX(Workers!$V$5:$V$2004,MATCH($D1699,Workers!$A$5:$A$2004,0)),0))</f>
        <v>0</v>
      </c>
      <c r="T1699" s="26" t="str">
        <f aca="false">IF($D1699="","",O1699-R1699-S1699)</f>
        <v/>
      </c>
    </row>
    <row r="1700" customFormat="false" ht="15" hidden="false" customHeight="false" outlineLevel="0" collapsed="false">
      <c r="I1700" s="24" t="str">
        <f aca="false">IF($D1700="","",IFERROR(INDEX(Workers!$B$5:$B$2004,MATCH($D1700,Workers!$A$5:$A$2004,0)),"NOT FOUND"))</f>
        <v/>
      </c>
      <c r="J1700" s="24" t="str">
        <f aca="false">IF($D1700="","",IFERROR(INDEX(Workers!$C$5:$C$2004,MATCH($D1700,Workers!$A$5:$A$2004,0)),""))</f>
        <v/>
      </c>
      <c r="K1700" s="24" t="str">
        <f aca="false">IF($D1700="","",IFERROR(IF(INDEX(Workers!$D$5:$D$2004,MATCH($D1700,Workers!$A$5:$A$2004,0))=0,"",INDEX(Workers!$D$5:$D$2004,MATCH($D1700,Workers!$A$5:$A$2004,0))),""))</f>
        <v/>
      </c>
      <c r="L1700" s="24" t="str">
        <f aca="false">IF($D1700="","",IFERROR(INDEX(Workers!$E$5:$E$2004,MATCH($D1700,Workers!$A$5:$A$2004,0)),""))</f>
        <v/>
      </c>
      <c r="M1700" s="26" t="str">
        <f aca="false">IF($D1700="","",IFERROR(INDEX(ClientRates!$D$5:$D$500,MATCH($B1700&amp;"|"&amp;$L1700,ClientRates!$A$5:$A$500,0)),0))</f>
        <v/>
      </c>
      <c r="N1700" s="26" t="str">
        <f aca="false">IF($D1700="","",IFERROR(INDEX(ClientRates!$E$5:$E$500,MATCH($B1700&amp;"|"&amp;$L1700,ClientRates!$A$5:$A$500,0)),0))</f>
        <v/>
      </c>
      <c r="O1700" s="26" t="str">
        <f aca="false">IF($D1700="","",F1700*M1700+G1700*N1700)</f>
        <v/>
      </c>
      <c r="P1700" s="26" t="str">
        <f aca="false">IF(OR($D1700="",$J1700&lt;&gt;"Supplier"),"",IFERROR(INDEX(SupplierRates!$D$5:$D$500,MATCH($K1700&amp;"|"&amp;$L1700,SupplierRates!$A$5:$A$500,0)),0))</f>
        <v/>
      </c>
      <c r="Q1700" s="26" t="str">
        <f aca="false">IF(OR($D1700="",$J1700&lt;&gt;"Supplier"),"",IFERROR(INDEX(SupplierRates!$E$5:$E$500,MATCH($K1700&amp;"|"&amp;$L1700,SupplierRates!$A$5:$A$500,0)),0))</f>
        <v/>
      </c>
      <c r="R1700" s="26" t="n">
        <f aca="false">IF(OR($D1700="",$J1700&lt;&gt;"Supplier"),0,F1700*P1700+G1700*Q1700)</f>
        <v>0</v>
      </c>
      <c r="S1700" s="26" t="n">
        <f aca="false">IF(OR($D1700="",$J1700&lt;&gt;"Own"),0,IFERROR((F1700+G1700*Settings!$B$13)*INDEX(Workers!$V$5:$V$2004,MATCH($D1700,Workers!$A$5:$A$2004,0)),0))</f>
        <v>0</v>
      </c>
      <c r="T1700" s="26" t="str">
        <f aca="false">IF($D1700="","",O1700-R1700-S1700)</f>
        <v/>
      </c>
    </row>
    <row r="1701" customFormat="false" ht="15" hidden="false" customHeight="false" outlineLevel="0" collapsed="false">
      <c r="I1701" s="24" t="str">
        <f aca="false">IF($D1701="","",IFERROR(INDEX(Workers!$B$5:$B$2004,MATCH($D1701,Workers!$A$5:$A$2004,0)),"NOT FOUND"))</f>
        <v/>
      </c>
      <c r="J1701" s="24" t="str">
        <f aca="false">IF($D1701="","",IFERROR(INDEX(Workers!$C$5:$C$2004,MATCH($D1701,Workers!$A$5:$A$2004,0)),""))</f>
        <v/>
      </c>
      <c r="K1701" s="24" t="str">
        <f aca="false">IF($D1701="","",IFERROR(IF(INDEX(Workers!$D$5:$D$2004,MATCH($D1701,Workers!$A$5:$A$2004,0))=0,"",INDEX(Workers!$D$5:$D$2004,MATCH($D1701,Workers!$A$5:$A$2004,0))),""))</f>
        <v/>
      </c>
      <c r="L1701" s="24" t="str">
        <f aca="false">IF($D1701="","",IFERROR(INDEX(Workers!$E$5:$E$2004,MATCH($D1701,Workers!$A$5:$A$2004,0)),""))</f>
        <v/>
      </c>
      <c r="M1701" s="26" t="str">
        <f aca="false">IF($D1701="","",IFERROR(INDEX(ClientRates!$D$5:$D$500,MATCH($B1701&amp;"|"&amp;$L1701,ClientRates!$A$5:$A$500,0)),0))</f>
        <v/>
      </c>
      <c r="N1701" s="26" t="str">
        <f aca="false">IF($D1701="","",IFERROR(INDEX(ClientRates!$E$5:$E$500,MATCH($B1701&amp;"|"&amp;$L1701,ClientRates!$A$5:$A$500,0)),0))</f>
        <v/>
      </c>
      <c r="O1701" s="26" t="str">
        <f aca="false">IF($D1701="","",F1701*M1701+G1701*N1701)</f>
        <v/>
      </c>
      <c r="P1701" s="26" t="str">
        <f aca="false">IF(OR($D1701="",$J1701&lt;&gt;"Supplier"),"",IFERROR(INDEX(SupplierRates!$D$5:$D$500,MATCH($K1701&amp;"|"&amp;$L1701,SupplierRates!$A$5:$A$500,0)),0))</f>
        <v/>
      </c>
      <c r="Q1701" s="26" t="str">
        <f aca="false">IF(OR($D1701="",$J1701&lt;&gt;"Supplier"),"",IFERROR(INDEX(SupplierRates!$E$5:$E$500,MATCH($K1701&amp;"|"&amp;$L1701,SupplierRates!$A$5:$A$500,0)),0))</f>
        <v/>
      </c>
      <c r="R1701" s="26" t="n">
        <f aca="false">IF(OR($D1701="",$J1701&lt;&gt;"Supplier"),0,F1701*P1701+G1701*Q1701)</f>
        <v>0</v>
      </c>
      <c r="S1701" s="26" t="n">
        <f aca="false">IF(OR($D1701="",$J1701&lt;&gt;"Own"),0,IFERROR((F1701+G1701*Settings!$B$13)*INDEX(Workers!$V$5:$V$2004,MATCH($D1701,Workers!$A$5:$A$2004,0)),0))</f>
        <v>0</v>
      </c>
      <c r="T1701" s="26" t="str">
        <f aca="false">IF($D1701="","",O1701-R1701-S1701)</f>
        <v/>
      </c>
    </row>
    <row r="1702" customFormat="false" ht="15" hidden="false" customHeight="false" outlineLevel="0" collapsed="false">
      <c r="I1702" s="24" t="str">
        <f aca="false">IF($D1702="","",IFERROR(INDEX(Workers!$B$5:$B$2004,MATCH($D1702,Workers!$A$5:$A$2004,0)),"NOT FOUND"))</f>
        <v/>
      </c>
      <c r="J1702" s="24" t="str">
        <f aca="false">IF($D1702="","",IFERROR(INDEX(Workers!$C$5:$C$2004,MATCH($D1702,Workers!$A$5:$A$2004,0)),""))</f>
        <v/>
      </c>
      <c r="K1702" s="24" t="str">
        <f aca="false">IF($D1702="","",IFERROR(IF(INDEX(Workers!$D$5:$D$2004,MATCH($D1702,Workers!$A$5:$A$2004,0))=0,"",INDEX(Workers!$D$5:$D$2004,MATCH($D1702,Workers!$A$5:$A$2004,0))),""))</f>
        <v/>
      </c>
      <c r="L1702" s="24" t="str">
        <f aca="false">IF($D1702="","",IFERROR(INDEX(Workers!$E$5:$E$2004,MATCH($D1702,Workers!$A$5:$A$2004,0)),""))</f>
        <v/>
      </c>
      <c r="M1702" s="26" t="str">
        <f aca="false">IF($D1702="","",IFERROR(INDEX(ClientRates!$D$5:$D$500,MATCH($B1702&amp;"|"&amp;$L1702,ClientRates!$A$5:$A$500,0)),0))</f>
        <v/>
      </c>
      <c r="N1702" s="26" t="str">
        <f aca="false">IF($D1702="","",IFERROR(INDEX(ClientRates!$E$5:$E$500,MATCH($B1702&amp;"|"&amp;$L1702,ClientRates!$A$5:$A$500,0)),0))</f>
        <v/>
      </c>
      <c r="O1702" s="26" t="str">
        <f aca="false">IF($D1702="","",F1702*M1702+G1702*N1702)</f>
        <v/>
      </c>
      <c r="P1702" s="26" t="str">
        <f aca="false">IF(OR($D1702="",$J1702&lt;&gt;"Supplier"),"",IFERROR(INDEX(SupplierRates!$D$5:$D$500,MATCH($K1702&amp;"|"&amp;$L1702,SupplierRates!$A$5:$A$500,0)),0))</f>
        <v/>
      </c>
      <c r="Q1702" s="26" t="str">
        <f aca="false">IF(OR($D1702="",$J1702&lt;&gt;"Supplier"),"",IFERROR(INDEX(SupplierRates!$E$5:$E$500,MATCH($K1702&amp;"|"&amp;$L1702,SupplierRates!$A$5:$A$500,0)),0))</f>
        <v/>
      </c>
      <c r="R1702" s="26" t="n">
        <f aca="false">IF(OR($D1702="",$J1702&lt;&gt;"Supplier"),0,F1702*P1702+G1702*Q1702)</f>
        <v>0</v>
      </c>
      <c r="S1702" s="26" t="n">
        <f aca="false">IF(OR($D1702="",$J1702&lt;&gt;"Own"),0,IFERROR((F1702+G1702*Settings!$B$13)*INDEX(Workers!$V$5:$V$2004,MATCH($D1702,Workers!$A$5:$A$2004,0)),0))</f>
        <v>0</v>
      </c>
      <c r="T1702" s="26" t="str">
        <f aca="false">IF($D1702="","",O1702-R1702-S1702)</f>
        <v/>
      </c>
    </row>
    <row r="1703" customFormat="false" ht="15" hidden="false" customHeight="false" outlineLevel="0" collapsed="false">
      <c r="I1703" s="24" t="str">
        <f aca="false">IF($D1703="","",IFERROR(INDEX(Workers!$B$5:$B$2004,MATCH($D1703,Workers!$A$5:$A$2004,0)),"NOT FOUND"))</f>
        <v/>
      </c>
      <c r="J1703" s="24" t="str">
        <f aca="false">IF($D1703="","",IFERROR(INDEX(Workers!$C$5:$C$2004,MATCH($D1703,Workers!$A$5:$A$2004,0)),""))</f>
        <v/>
      </c>
      <c r="K1703" s="24" t="str">
        <f aca="false">IF($D1703="","",IFERROR(IF(INDEX(Workers!$D$5:$D$2004,MATCH($D1703,Workers!$A$5:$A$2004,0))=0,"",INDEX(Workers!$D$5:$D$2004,MATCH($D1703,Workers!$A$5:$A$2004,0))),""))</f>
        <v/>
      </c>
      <c r="L1703" s="24" t="str">
        <f aca="false">IF($D1703="","",IFERROR(INDEX(Workers!$E$5:$E$2004,MATCH($D1703,Workers!$A$5:$A$2004,0)),""))</f>
        <v/>
      </c>
      <c r="M1703" s="26" t="str">
        <f aca="false">IF($D1703="","",IFERROR(INDEX(ClientRates!$D$5:$D$500,MATCH($B1703&amp;"|"&amp;$L1703,ClientRates!$A$5:$A$500,0)),0))</f>
        <v/>
      </c>
      <c r="N1703" s="26" t="str">
        <f aca="false">IF($D1703="","",IFERROR(INDEX(ClientRates!$E$5:$E$500,MATCH($B1703&amp;"|"&amp;$L1703,ClientRates!$A$5:$A$500,0)),0))</f>
        <v/>
      </c>
      <c r="O1703" s="26" t="str">
        <f aca="false">IF($D1703="","",F1703*M1703+G1703*N1703)</f>
        <v/>
      </c>
      <c r="P1703" s="26" t="str">
        <f aca="false">IF(OR($D1703="",$J1703&lt;&gt;"Supplier"),"",IFERROR(INDEX(SupplierRates!$D$5:$D$500,MATCH($K1703&amp;"|"&amp;$L1703,SupplierRates!$A$5:$A$500,0)),0))</f>
        <v/>
      </c>
      <c r="Q1703" s="26" t="str">
        <f aca="false">IF(OR($D1703="",$J1703&lt;&gt;"Supplier"),"",IFERROR(INDEX(SupplierRates!$E$5:$E$500,MATCH($K1703&amp;"|"&amp;$L1703,SupplierRates!$A$5:$A$500,0)),0))</f>
        <v/>
      </c>
      <c r="R1703" s="26" t="n">
        <f aca="false">IF(OR($D1703="",$J1703&lt;&gt;"Supplier"),0,F1703*P1703+G1703*Q1703)</f>
        <v>0</v>
      </c>
      <c r="S1703" s="26" t="n">
        <f aca="false">IF(OR($D1703="",$J1703&lt;&gt;"Own"),0,IFERROR((F1703+G1703*Settings!$B$13)*INDEX(Workers!$V$5:$V$2004,MATCH($D1703,Workers!$A$5:$A$2004,0)),0))</f>
        <v>0</v>
      </c>
      <c r="T1703" s="26" t="str">
        <f aca="false">IF($D1703="","",O1703-R1703-S1703)</f>
        <v/>
      </c>
    </row>
    <row r="1704" customFormat="false" ht="15" hidden="false" customHeight="false" outlineLevel="0" collapsed="false">
      <c r="I1704" s="24" t="str">
        <f aca="false">IF($D1704="","",IFERROR(INDEX(Workers!$B$5:$B$2004,MATCH($D1704,Workers!$A$5:$A$2004,0)),"NOT FOUND"))</f>
        <v/>
      </c>
      <c r="J1704" s="24" t="str">
        <f aca="false">IF($D1704="","",IFERROR(INDEX(Workers!$C$5:$C$2004,MATCH($D1704,Workers!$A$5:$A$2004,0)),""))</f>
        <v/>
      </c>
      <c r="K1704" s="24" t="str">
        <f aca="false">IF($D1704="","",IFERROR(IF(INDEX(Workers!$D$5:$D$2004,MATCH($D1704,Workers!$A$5:$A$2004,0))=0,"",INDEX(Workers!$D$5:$D$2004,MATCH($D1704,Workers!$A$5:$A$2004,0))),""))</f>
        <v/>
      </c>
      <c r="L1704" s="24" t="str">
        <f aca="false">IF($D1704="","",IFERROR(INDEX(Workers!$E$5:$E$2004,MATCH($D1704,Workers!$A$5:$A$2004,0)),""))</f>
        <v/>
      </c>
      <c r="M1704" s="26" t="str">
        <f aca="false">IF($D1704="","",IFERROR(INDEX(ClientRates!$D$5:$D$500,MATCH($B1704&amp;"|"&amp;$L1704,ClientRates!$A$5:$A$500,0)),0))</f>
        <v/>
      </c>
      <c r="N1704" s="26" t="str">
        <f aca="false">IF($D1704="","",IFERROR(INDEX(ClientRates!$E$5:$E$500,MATCH($B1704&amp;"|"&amp;$L1704,ClientRates!$A$5:$A$500,0)),0))</f>
        <v/>
      </c>
      <c r="O1704" s="26" t="str">
        <f aca="false">IF($D1704="","",F1704*M1704+G1704*N1704)</f>
        <v/>
      </c>
      <c r="P1704" s="26" t="str">
        <f aca="false">IF(OR($D1704="",$J1704&lt;&gt;"Supplier"),"",IFERROR(INDEX(SupplierRates!$D$5:$D$500,MATCH($K1704&amp;"|"&amp;$L1704,SupplierRates!$A$5:$A$500,0)),0))</f>
        <v/>
      </c>
      <c r="Q1704" s="26" t="str">
        <f aca="false">IF(OR($D1704="",$J1704&lt;&gt;"Supplier"),"",IFERROR(INDEX(SupplierRates!$E$5:$E$500,MATCH($K1704&amp;"|"&amp;$L1704,SupplierRates!$A$5:$A$500,0)),0))</f>
        <v/>
      </c>
      <c r="R1704" s="26" t="n">
        <f aca="false">IF(OR($D1704="",$J1704&lt;&gt;"Supplier"),0,F1704*P1704+G1704*Q1704)</f>
        <v>0</v>
      </c>
      <c r="S1704" s="26" t="n">
        <f aca="false">IF(OR($D1704="",$J1704&lt;&gt;"Own"),0,IFERROR((F1704+G1704*Settings!$B$13)*INDEX(Workers!$V$5:$V$2004,MATCH($D1704,Workers!$A$5:$A$2004,0)),0))</f>
        <v>0</v>
      </c>
      <c r="T1704" s="26" t="str">
        <f aca="false">IF($D1704="","",O1704-R1704-S1704)</f>
        <v/>
      </c>
    </row>
    <row r="1705" customFormat="false" ht="15" hidden="false" customHeight="false" outlineLevel="0" collapsed="false">
      <c r="I1705" s="24" t="str">
        <f aca="false">IF($D1705="","",IFERROR(INDEX(Workers!$B$5:$B$2004,MATCH($D1705,Workers!$A$5:$A$2004,0)),"NOT FOUND"))</f>
        <v/>
      </c>
      <c r="J1705" s="24" t="str">
        <f aca="false">IF($D1705="","",IFERROR(INDEX(Workers!$C$5:$C$2004,MATCH($D1705,Workers!$A$5:$A$2004,0)),""))</f>
        <v/>
      </c>
      <c r="K1705" s="24" t="str">
        <f aca="false">IF($D1705="","",IFERROR(IF(INDEX(Workers!$D$5:$D$2004,MATCH($D1705,Workers!$A$5:$A$2004,0))=0,"",INDEX(Workers!$D$5:$D$2004,MATCH($D1705,Workers!$A$5:$A$2004,0))),""))</f>
        <v/>
      </c>
      <c r="L1705" s="24" t="str">
        <f aca="false">IF($D1705="","",IFERROR(INDEX(Workers!$E$5:$E$2004,MATCH($D1705,Workers!$A$5:$A$2004,0)),""))</f>
        <v/>
      </c>
      <c r="M1705" s="26" t="str">
        <f aca="false">IF($D1705="","",IFERROR(INDEX(ClientRates!$D$5:$D$500,MATCH($B1705&amp;"|"&amp;$L1705,ClientRates!$A$5:$A$500,0)),0))</f>
        <v/>
      </c>
      <c r="N1705" s="26" t="str">
        <f aca="false">IF($D1705="","",IFERROR(INDEX(ClientRates!$E$5:$E$500,MATCH($B1705&amp;"|"&amp;$L1705,ClientRates!$A$5:$A$500,0)),0))</f>
        <v/>
      </c>
      <c r="O1705" s="26" t="str">
        <f aca="false">IF($D1705="","",F1705*M1705+G1705*N1705)</f>
        <v/>
      </c>
      <c r="P1705" s="26" t="str">
        <f aca="false">IF(OR($D1705="",$J1705&lt;&gt;"Supplier"),"",IFERROR(INDEX(SupplierRates!$D$5:$D$500,MATCH($K1705&amp;"|"&amp;$L1705,SupplierRates!$A$5:$A$500,0)),0))</f>
        <v/>
      </c>
      <c r="Q1705" s="26" t="str">
        <f aca="false">IF(OR($D1705="",$J1705&lt;&gt;"Supplier"),"",IFERROR(INDEX(SupplierRates!$E$5:$E$500,MATCH($K1705&amp;"|"&amp;$L1705,SupplierRates!$A$5:$A$500,0)),0))</f>
        <v/>
      </c>
      <c r="R1705" s="26" t="n">
        <f aca="false">IF(OR($D1705="",$J1705&lt;&gt;"Supplier"),0,F1705*P1705+G1705*Q1705)</f>
        <v>0</v>
      </c>
      <c r="S1705" s="26" t="n">
        <f aca="false">IF(OR($D1705="",$J1705&lt;&gt;"Own"),0,IFERROR((F1705+G1705*Settings!$B$13)*INDEX(Workers!$V$5:$V$2004,MATCH($D1705,Workers!$A$5:$A$2004,0)),0))</f>
        <v>0</v>
      </c>
      <c r="T1705" s="26" t="str">
        <f aca="false">IF($D1705="","",O1705-R1705-S1705)</f>
        <v/>
      </c>
    </row>
    <row r="1706" customFormat="false" ht="15" hidden="false" customHeight="false" outlineLevel="0" collapsed="false">
      <c r="I1706" s="24" t="str">
        <f aca="false">IF($D1706="","",IFERROR(INDEX(Workers!$B$5:$B$2004,MATCH($D1706,Workers!$A$5:$A$2004,0)),"NOT FOUND"))</f>
        <v/>
      </c>
      <c r="J1706" s="24" t="str">
        <f aca="false">IF($D1706="","",IFERROR(INDEX(Workers!$C$5:$C$2004,MATCH($D1706,Workers!$A$5:$A$2004,0)),""))</f>
        <v/>
      </c>
      <c r="K1706" s="24" t="str">
        <f aca="false">IF($D1706="","",IFERROR(IF(INDEX(Workers!$D$5:$D$2004,MATCH($D1706,Workers!$A$5:$A$2004,0))=0,"",INDEX(Workers!$D$5:$D$2004,MATCH($D1706,Workers!$A$5:$A$2004,0))),""))</f>
        <v/>
      </c>
      <c r="L1706" s="24" t="str">
        <f aca="false">IF($D1706="","",IFERROR(INDEX(Workers!$E$5:$E$2004,MATCH($D1706,Workers!$A$5:$A$2004,0)),""))</f>
        <v/>
      </c>
      <c r="M1706" s="26" t="str">
        <f aca="false">IF($D1706="","",IFERROR(INDEX(ClientRates!$D$5:$D$500,MATCH($B1706&amp;"|"&amp;$L1706,ClientRates!$A$5:$A$500,0)),0))</f>
        <v/>
      </c>
      <c r="N1706" s="26" t="str">
        <f aca="false">IF($D1706="","",IFERROR(INDEX(ClientRates!$E$5:$E$500,MATCH($B1706&amp;"|"&amp;$L1706,ClientRates!$A$5:$A$500,0)),0))</f>
        <v/>
      </c>
      <c r="O1706" s="26" t="str">
        <f aca="false">IF($D1706="","",F1706*M1706+G1706*N1706)</f>
        <v/>
      </c>
      <c r="P1706" s="26" t="str">
        <f aca="false">IF(OR($D1706="",$J1706&lt;&gt;"Supplier"),"",IFERROR(INDEX(SupplierRates!$D$5:$D$500,MATCH($K1706&amp;"|"&amp;$L1706,SupplierRates!$A$5:$A$500,0)),0))</f>
        <v/>
      </c>
      <c r="Q1706" s="26" t="str">
        <f aca="false">IF(OR($D1706="",$J1706&lt;&gt;"Supplier"),"",IFERROR(INDEX(SupplierRates!$E$5:$E$500,MATCH($K1706&amp;"|"&amp;$L1706,SupplierRates!$A$5:$A$500,0)),0))</f>
        <v/>
      </c>
      <c r="R1706" s="26" t="n">
        <f aca="false">IF(OR($D1706="",$J1706&lt;&gt;"Supplier"),0,F1706*P1706+G1706*Q1706)</f>
        <v>0</v>
      </c>
      <c r="S1706" s="26" t="n">
        <f aca="false">IF(OR($D1706="",$J1706&lt;&gt;"Own"),0,IFERROR((F1706+G1706*Settings!$B$13)*INDEX(Workers!$V$5:$V$2004,MATCH($D1706,Workers!$A$5:$A$2004,0)),0))</f>
        <v>0</v>
      </c>
      <c r="T1706" s="26" t="str">
        <f aca="false">IF($D1706="","",O1706-R1706-S1706)</f>
        <v/>
      </c>
    </row>
    <row r="1707" customFormat="false" ht="15" hidden="false" customHeight="false" outlineLevel="0" collapsed="false">
      <c r="I1707" s="24" t="str">
        <f aca="false">IF($D1707="","",IFERROR(INDEX(Workers!$B$5:$B$2004,MATCH($D1707,Workers!$A$5:$A$2004,0)),"NOT FOUND"))</f>
        <v/>
      </c>
      <c r="J1707" s="24" t="str">
        <f aca="false">IF($D1707="","",IFERROR(INDEX(Workers!$C$5:$C$2004,MATCH($D1707,Workers!$A$5:$A$2004,0)),""))</f>
        <v/>
      </c>
      <c r="K1707" s="24" t="str">
        <f aca="false">IF($D1707="","",IFERROR(IF(INDEX(Workers!$D$5:$D$2004,MATCH($D1707,Workers!$A$5:$A$2004,0))=0,"",INDEX(Workers!$D$5:$D$2004,MATCH($D1707,Workers!$A$5:$A$2004,0))),""))</f>
        <v/>
      </c>
      <c r="L1707" s="24" t="str">
        <f aca="false">IF($D1707="","",IFERROR(INDEX(Workers!$E$5:$E$2004,MATCH($D1707,Workers!$A$5:$A$2004,0)),""))</f>
        <v/>
      </c>
      <c r="M1707" s="26" t="str">
        <f aca="false">IF($D1707="","",IFERROR(INDEX(ClientRates!$D$5:$D$500,MATCH($B1707&amp;"|"&amp;$L1707,ClientRates!$A$5:$A$500,0)),0))</f>
        <v/>
      </c>
      <c r="N1707" s="26" t="str">
        <f aca="false">IF($D1707="","",IFERROR(INDEX(ClientRates!$E$5:$E$500,MATCH($B1707&amp;"|"&amp;$L1707,ClientRates!$A$5:$A$500,0)),0))</f>
        <v/>
      </c>
      <c r="O1707" s="26" t="str">
        <f aca="false">IF($D1707="","",F1707*M1707+G1707*N1707)</f>
        <v/>
      </c>
      <c r="P1707" s="26" t="str">
        <f aca="false">IF(OR($D1707="",$J1707&lt;&gt;"Supplier"),"",IFERROR(INDEX(SupplierRates!$D$5:$D$500,MATCH($K1707&amp;"|"&amp;$L1707,SupplierRates!$A$5:$A$500,0)),0))</f>
        <v/>
      </c>
      <c r="Q1707" s="26" t="str">
        <f aca="false">IF(OR($D1707="",$J1707&lt;&gt;"Supplier"),"",IFERROR(INDEX(SupplierRates!$E$5:$E$500,MATCH($K1707&amp;"|"&amp;$L1707,SupplierRates!$A$5:$A$500,0)),0))</f>
        <v/>
      </c>
      <c r="R1707" s="26" t="n">
        <f aca="false">IF(OR($D1707="",$J1707&lt;&gt;"Supplier"),0,F1707*P1707+G1707*Q1707)</f>
        <v>0</v>
      </c>
      <c r="S1707" s="26" t="n">
        <f aca="false">IF(OR($D1707="",$J1707&lt;&gt;"Own"),0,IFERROR((F1707+G1707*Settings!$B$13)*INDEX(Workers!$V$5:$V$2004,MATCH($D1707,Workers!$A$5:$A$2004,0)),0))</f>
        <v>0</v>
      </c>
      <c r="T1707" s="26" t="str">
        <f aca="false">IF($D1707="","",O1707-R1707-S1707)</f>
        <v/>
      </c>
    </row>
    <row r="1708" customFormat="false" ht="15" hidden="false" customHeight="false" outlineLevel="0" collapsed="false">
      <c r="I1708" s="24" t="str">
        <f aca="false">IF($D1708="","",IFERROR(INDEX(Workers!$B$5:$B$2004,MATCH($D1708,Workers!$A$5:$A$2004,0)),"NOT FOUND"))</f>
        <v/>
      </c>
      <c r="J1708" s="24" t="str">
        <f aca="false">IF($D1708="","",IFERROR(INDEX(Workers!$C$5:$C$2004,MATCH($D1708,Workers!$A$5:$A$2004,0)),""))</f>
        <v/>
      </c>
      <c r="K1708" s="24" t="str">
        <f aca="false">IF($D1708="","",IFERROR(IF(INDEX(Workers!$D$5:$D$2004,MATCH($D1708,Workers!$A$5:$A$2004,0))=0,"",INDEX(Workers!$D$5:$D$2004,MATCH($D1708,Workers!$A$5:$A$2004,0))),""))</f>
        <v/>
      </c>
      <c r="L1708" s="24" t="str">
        <f aca="false">IF($D1708="","",IFERROR(INDEX(Workers!$E$5:$E$2004,MATCH($D1708,Workers!$A$5:$A$2004,0)),""))</f>
        <v/>
      </c>
      <c r="M1708" s="26" t="str">
        <f aca="false">IF($D1708="","",IFERROR(INDEX(ClientRates!$D$5:$D$500,MATCH($B1708&amp;"|"&amp;$L1708,ClientRates!$A$5:$A$500,0)),0))</f>
        <v/>
      </c>
      <c r="N1708" s="26" t="str">
        <f aca="false">IF($D1708="","",IFERROR(INDEX(ClientRates!$E$5:$E$500,MATCH($B1708&amp;"|"&amp;$L1708,ClientRates!$A$5:$A$500,0)),0))</f>
        <v/>
      </c>
      <c r="O1708" s="26" t="str">
        <f aca="false">IF($D1708="","",F1708*M1708+G1708*N1708)</f>
        <v/>
      </c>
      <c r="P1708" s="26" t="str">
        <f aca="false">IF(OR($D1708="",$J1708&lt;&gt;"Supplier"),"",IFERROR(INDEX(SupplierRates!$D$5:$D$500,MATCH($K1708&amp;"|"&amp;$L1708,SupplierRates!$A$5:$A$500,0)),0))</f>
        <v/>
      </c>
      <c r="Q1708" s="26" t="str">
        <f aca="false">IF(OR($D1708="",$J1708&lt;&gt;"Supplier"),"",IFERROR(INDEX(SupplierRates!$E$5:$E$500,MATCH($K1708&amp;"|"&amp;$L1708,SupplierRates!$A$5:$A$500,0)),0))</f>
        <v/>
      </c>
      <c r="R1708" s="26" t="n">
        <f aca="false">IF(OR($D1708="",$J1708&lt;&gt;"Supplier"),0,F1708*P1708+G1708*Q1708)</f>
        <v>0</v>
      </c>
      <c r="S1708" s="26" t="n">
        <f aca="false">IF(OR($D1708="",$J1708&lt;&gt;"Own"),0,IFERROR((F1708+G1708*Settings!$B$13)*INDEX(Workers!$V$5:$V$2004,MATCH($D1708,Workers!$A$5:$A$2004,0)),0))</f>
        <v>0</v>
      </c>
      <c r="T1708" s="26" t="str">
        <f aca="false">IF($D1708="","",O1708-R1708-S1708)</f>
        <v/>
      </c>
    </row>
    <row r="1709" customFormat="false" ht="15" hidden="false" customHeight="false" outlineLevel="0" collapsed="false">
      <c r="I1709" s="24" t="str">
        <f aca="false">IF($D1709="","",IFERROR(INDEX(Workers!$B$5:$B$2004,MATCH($D1709,Workers!$A$5:$A$2004,0)),"NOT FOUND"))</f>
        <v/>
      </c>
      <c r="J1709" s="24" t="str">
        <f aca="false">IF($D1709="","",IFERROR(INDEX(Workers!$C$5:$C$2004,MATCH($D1709,Workers!$A$5:$A$2004,0)),""))</f>
        <v/>
      </c>
      <c r="K1709" s="24" t="str">
        <f aca="false">IF($D1709="","",IFERROR(IF(INDEX(Workers!$D$5:$D$2004,MATCH($D1709,Workers!$A$5:$A$2004,0))=0,"",INDEX(Workers!$D$5:$D$2004,MATCH($D1709,Workers!$A$5:$A$2004,0))),""))</f>
        <v/>
      </c>
      <c r="L1709" s="24" t="str">
        <f aca="false">IF($D1709="","",IFERROR(INDEX(Workers!$E$5:$E$2004,MATCH($D1709,Workers!$A$5:$A$2004,0)),""))</f>
        <v/>
      </c>
      <c r="M1709" s="26" t="str">
        <f aca="false">IF($D1709="","",IFERROR(INDEX(ClientRates!$D$5:$D$500,MATCH($B1709&amp;"|"&amp;$L1709,ClientRates!$A$5:$A$500,0)),0))</f>
        <v/>
      </c>
      <c r="N1709" s="26" t="str">
        <f aca="false">IF($D1709="","",IFERROR(INDEX(ClientRates!$E$5:$E$500,MATCH($B1709&amp;"|"&amp;$L1709,ClientRates!$A$5:$A$500,0)),0))</f>
        <v/>
      </c>
      <c r="O1709" s="26" t="str">
        <f aca="false">IF($D1709="","",F1709*M1709+G1709*N1709)</f>
        <v/>
      </c>
      <c r="P1709" s="26" t="str">
        <f aca="false">IF(OR($D1709="",$J1709&lt;&gt;"Supplier"),"",IFERROR(INDEX(SupplierRates!$D$5:$D$500,MATCH($K1709&amp;"|"&amp;$L1709,SupplierRates!$A$5:$A$500,0)),0))</f>
        <v/>
      </c>
      <c r="Q1709" s="26" t="str">
        <f aca="false">IF(OR($D1709="",$J1709&lt;&gt;"Supplier"),"",IFERROR(INDEX(SupplierRates!$E$5:$E$500,MATCH($K1709&amp;"|"&amp;$L1709,SupplierRates!$A$5:$A$500,0)),0))</f>
        <v/>
      </c>
      <c r="R1709" s="26" t="n">
        <f aca="false">IF(OR($D1709="",$J1709&lt;&gt;"Supplier"),0,F1709*P1709+G1709*Q1709)</f>
        <v>0</v>
      </c>
      <c r="S1709" s="26" t="n">
        <f aca="false">IF(OR($D1709="",$J1709&lt;&gt;"Own"),0,IFERROR((F1709+G1709*Settings!$B$13)*INDEX(Workers!$V$5:$V$2004,MATCH($D1709,Workers!$A$5:$A$2004,0)),0))</f>
        <v>0</v>
      </c>
      <c r="T1709" s="26" t="str">
        <f aca="false">IF($D1709="","",O1709-R1709-S1709)</f>
        <v/>
      </c>
    </row>
    <row r="1710" customFormat="false" ht="15" hidden="false" customHeight="false" outlineLevel="0" collapsed="false">
      <c r="I1710" s="24" t="str">
        <f aca="false">IF($D1710="","",IFERROR(INDEX(Workers!$B$5:$B$2004,MATCH($D1710,Workers!$A$5:$A$2004,0)),"NOT FOUND"))</f>
        <v/>
      </c>
      <c r="J1710" s="24" t="str">
        <f aca="false">IF($D1710="","",IFERROR(INDEX(Workers!$C$5:$C$2004,MATCH($D1710,Workers!$A$5:$A$2004,0)),""))</f>
        <v/>
      </c>
      <c r="K1710" s="24" t="str">
        <f aca="false">IF($D1710="","",IFERROR(IF(INDEX(Workers!$D$5:$D$2004,MATCH($D1710,Workers!$A$5:$A$2004,0))=0,"",INDEX(Workers!$D$5:$D$2004,MATCH($D1710,Workers!$A$5:$A$2004,0))),""))</f>
        <v/>
      </c>
      <c r="L1710" s="24" t="str">
        <f aca="false">IF($D1710="","",IFERROR(INDEX(Workers!$E$5:$E$2004,MATCH($D1710,Workers!$A$5:$A$2004,0)),""))</f>
        <v/>
      </c>
      <c r="M1710" s="26" t="str">
        <f aca="false">IF($D1710="","",IFERROR(INDEX(ClientRates!$D$5:$D$500,MATCH($B1710&amp;"|"&amp;$L1710,ClientRates!$A$5:$A$500,0)),0))</f>
        <v/>
      </c>
      <c r="N1710" s="26" t="str">
        <f aca="false">IF($D1710="","",IFERROR(INDEX(ClientRates!$E$5:$E$500,MATCH($B1710&amp;"|"&amp;$L1710,ClientRates!$A$5:$A$500,0)),0))</f>
        <v/>
      </c>
      <c r="O1710" s="26" t="str">
        <f aca="false">IF($D1710="","",F1710*M1710+G1710*N1710)</f>
        <v/>
      </c>
      <c r="P1710" s="26" t="str">
        <f aca="false">IF(OR($D1710="",$J1710&lt;&gt;"Supplier"),"",IFERROR(INDEX(SupplierRates!$D$5:$D$500,MATCH($K1710&amp;"|"&amp;$L1710,SupplierRates!$A$5:$A$500,0)),0))</f>
        <v/>
      </c>
      <c r="Q1710" s="26" t="str">
        <f aca="false">IF(OR($D1710="",$J1710&lt;&gt;"Supplier"),"",IFERROR(INDEX(SupplierRates!$E$5:$E$500,MATCH($K1710&amp;"|"&amp;$L1710,SupplierRates!$A$5:$A$500,0)),0))</f>
        <v/>
      </c>
      <c r="R1710" s="26" t="n">
        <f aca="false">IF(OR($D1710="",$J1710&lt;&gt;"Supplier"),0,F1710*P1710+G1710*Q1710)</f>
        <v>0</v>
      </c>
      <c r="S1710" s="26" t="n">
        <f aca="false">IF(OR($D1710="",$J1710&lt;&gt;"Own"),0,IFERROR((F1710+G1710*Settings!$B$13)*INDEX(Workers!$V$5:$V$2004,MATCH($D1710,Workers!$A$5:$A$2004,0)),0))</f>
        <v>0</v>
      </c>
      <c r="T1710" s="26" t="str">
        <f aca="false">IF($D1710="","",O1710-R1710-S1710)</f>
        <v/>
      </c>
    </row>
    <row r="1711" customFormat="false" ht="15" hidden="false" customHeight="false" outlineLevel="0" collapsed="false">
      <c r="I1711" s="24" t="str">
        <f aca="false">IF($D1711="","",IFERROR(INDEX(Workers!$B$5:$B$2004,MATCH($D1711,Workers!$A$5:$A$2004,0)),"NOT FOUND"))</f>
        <v/>
      </c>
      <c r="J1711" s="24" t="str">
        <f aca="false">IF($D1711="","",IFERROR(INDEX(Workers!$C$5:$C$2004,MATCH($D1711,Workers!$A$5:$A$2004,0)),""))</f>
        <v/>
      </c>
      <c r="K1711" s="24" t="str">
        <f aca="false">IF($D1711="","",IFERROR(IF(INDEX(Workers!$D$5:$D$2004,MATCH($D1711,Workers!$A$5:$A$2004,0))=0,"",INDEX(Workers!$D$5:$D$2004,MATCH($D1711,Workers!$A$5:$A$2004,0))),""))</f>
        <v/>
      </c>
      <c r="L1711" s="24" t="str">
        <f aca="false">IF($D1711="","",IFERROR(INDEX(Workers!$E$5:$E$2004,MATCH($D1711,Workers!$A$5:$A$2004,0)),""))</f>
        <v/>
      </c>
      <c r="M1711" s="26" t="str">
        <f aca="false">IF($D1711="","",IFERROR(INDEX(ClientRates!$D$5:$D$500,MATCH($B1711&amp;"|"&amp;$L1711,ClientRates!$A$5:$A$500,0)),0))</f>
        <v/>
      </c>
      <c r="N1711" s="26" t="str">
        <f aca="false">IF($D1711="","",IFERROR(INDEX(ClientRates!$E$5:$E$500,MATCH($B1711&amp;"|"&amp;$L1711,ClientRates!$A$5:$A$500,0)),0))</f>
        <v/>
      </c>
      <c r="O1711" s="26" t="str">
        <f aca="false">IF($D1711="","",F1711*M1711+G1711*N1711)</f>
        <v/>
      </c>
      <c r="P1711" s="26" t="str">
        <f aca="false">IF(OR($D1711="",$J1711&lt;&gt;"Supplier"),"",IFERROR(INDEX(SupplierRates!$D$5:$D$500,MATCH($K1711&amp;"|"&amp;$L1711,SupplierRates!$A$5:$A$500,0)),0))</f>
        <v/>
      </c>
      <c r="Q1711" s="26" t="str">
        <f aca="false">IF(OR($D1711="",$J1711&lt;&gt;"Supplier"),"",IFERROR(INDEX(SupplierRates!$E$5:$E$500,MATCH($K1711&amp;"|"&amp;$L1711,SupplierRates!$A$5:$A$500,0)),0))</f>
        <v/>
      </c>
      <c r="R1711" s="26" t="n">
        <f aca="false">IF(OR($D1711="",$J1711&lt;&gt;"Supplier"),0,F1711*P1711+G1711*Q1711)</f>
        <v>0</v>
      </c>
      <c r="S1711" s="26" t="n">
        <f aca="false">IF(OR($D1711="",$J1711&lt;&gt;"Own"),0,IFERROR((F1711+G1711*Settings!$B$13)*INDEX(Workers!$V$5:$V$2004,MATCH($D1711,Workers!$A$5:$A$2004,0)),0))</f>
        <v>0</v>
      </c>
      <c r="T1711" s="26" t="str">
        <f aca="false">IF($D1711="","",O1711-R1711-S1711)</f>
        <v/>
      </c>
    </row>
    <row r="1712" customFormat="false" ht="15" hidden="false" customHeight="false" outlineLevel="0" collapsed="false">
      <c r="I1712" s="24" t="str">
        <f aca="false">IF($D1712="","",IFERROR(INDEX(Workers!$B$5:$B$2004,MATCH($D1712,Workers!$A$5:$A$2004,0)),"NOT FOUND"))</f>
        <v/>
      </c>
      <c r="J1712" s="24" t="str">
        <f aca="false">IF($D1712="","",IFERROR(INDEX(Workers!$C$5:$C$2004,MATCH($D1712,Workers!$A$5:$A$2004,0)),""))</f>
        <v/>
      </c>
      <c r="K1712" s="24" t="str">
        <f aca="false">IF($D1712="","",IFERROR(IF(INDEX(Workers!$D$5:$D$2004,MATCH($D1712,Workers!$A$5:$A$2004,0))=0,"",INDEX(Workers!$D$5:$D$2004,MATCH($D1712,Workers!$A$5:$A$2004,0))),""))</f>
        <v/>
      </c>
      <c r="L1712" s="24" t="str">
        <f aca="false">IF($D1712="","",IFERROR(INDEX(Workers!$E$5:$E$2004,MATCH($D1712,Workers!$A$5:$A$2004,0)),""))</f>
        <v/>
      </c>
      <c r="M1712" s="26" t="str">
        <f aca="false">IF($D1712="","",IFERROR(INDEX(ClientRates!$D$5:$D$500,MATCH($B1712&amp;"|"&amp;$L1712,ClientRates!$A$5:$A$500,0)),0))</f>
        <v/>
      </c>
      <c r="N1712" s="26" t="str">
        <f aca="false">IF($D1712="","",IFERROR(INDEX(ClientRates!$E$5:$E$500,MATCH($B1712&amp;"|"&amp;$L1712,ClientRates!$A$5:$A$500,0)),0))</f>
        <v/>
      </c>
      <c r="O1712" s="26" t="str">
        <f aca="false">IF($D1712="","",F1712*M1712+G1712*N1712)</f>
        <v/>
      </c>
      <c r="P1712" s="26" t="str">
        <f aca="false">IF(OR($D1712="",$J1712&lt;&gt;"Supplier"),"",IFERROR(INDEX(SupplierRates!$D$5:$D$500,MATCH($K1712&amp;"|"&amp;$L1712,SupplierRates!$A$5:$A$500,0)),0))</f>
        <v/>
      </c>
      <c r="Q1712" s="26" t="str">
        <f aca="false">IF(OR($D1712="",$J1712&lt;&gt;"Supplier"),"",IFERROR(INDEX(SupplierRates!$E$5:$E$500,MATCH($K1712&amp;"|"&amp;$L1712,SupplierRates!$A$5:$A$500,0)),0))</f>
        <v/>
      </c>
      <c r="R1712" s="26" t="n">
        <f aca="false">IF(OR($D1712="",$J1712&lt;&gt;"Supplier"),0,F1712*P1712+G1712*Q1712)</f>
        <v>0</v>
      </c>
      <c r="S1712" s="26" t="n">
        <f aca="false">IF(OR($D1712="",$J1712&lt;&gt;"Own"),0,IFERROR((F1712+G1712*Settings!$B$13)*INDEX(Workers!$V$5:$V$2004,MATCH($D1712,Workers!$A$5:$A$2004,0)),0))</f>
        <v>0</v>
      </c>
      <c r="T1712" s="26" t="str">
        <f aca="false">IF($D1712="","",O1712-R1712-S1712)</f>
        <v/>
      </c>
    </row>
    <row r="1713" customFormat="false" ht="15" hidden="false" customHeight="false" outlineLevel="0" collapsed="false">
      <c r="I1713" s="24" t="str">
        <f aca="false">IF($D1713="","",IFERROR(INDEX(Workers!$B$5:$B$2004,MATCH($D1713,Workers!$A$5:$A$2004,0)),"NOT FOUND"))</f>
        <v/>
      </c>
      <c r="J1713" s="24" t="str">
        <f aca="false">IF($D1713="","",IFERROR(INDEX(Workers!$C$5:$C$2004,MATCH($D1713,Workers!$A$5:$A$2004,0)),""))</f>
        <v/>
      </c>
      <c r="K1713" s="24" t="str">
        <f aca="false">IF($D1713="","",IFERROR(IF(INDEX(Workers!$D$5:$D$2004,MATCH($D1713,Workers!$A$5:$A$2004,0))=0,"",INDEX(Workers!$D$5:$D$2004,MATCH($D1713,Workers!$A$5:$A$2004,0))),""))</f>
        <v/>
      </c>
      <c r="L1713" s="24" t="str">
        <f aca="false">IF($D1713="","",IFERROR(INDEX(Workers!$E$5:$E$2004,MATCH($D1713,Workers!$A$5:$A$2004,0)),""))</f>
        <v/>
      </c>
      <c r="M1713" s="26" t="str">
        <f aca="false">IF($D1713="","",IFERROR(INDEX(ClientRates!$D$5:$D$500,MATCH($B1713&amp;"|"&amp;$L1713,ClientRates!$A$5:$A$500,0)),0))</f>
        <v/>
      </c>
      <c r="N1713" s="26" t="str">
        <f aca="false">IF($D1713="","",IFERROR(INDEX(ClientRates!$E$5:$E$500,MATCH($B1713&amp;"|"&amp;$L1713,ClientRates!$A$5:$A$500,0)),0))</f>
        <v/>
      </c>
      <c r="O1713" s="26" t="str">
        <f aca="false">IF($D1713="","",F1713*M1713+G1713*N1713)</f>
        <v/>
      </c>
      <c r="P1713" s="26" t="str">
        <f aca="false">IF(OR($D1713="",$J1713&lt;&gt;"Supplier"),"",IFERROR(INDEX(SupplierRates!$D$5:$D$500,MATCH($K1713&amp;"|"&amp;$L1713,SupplierRates!$A$5:$A$500,0)),0))</f>
        <v/>
      </c>
      <c r="Q1713" s="26" t="str">
        <f aca="false">IF(OR($D1713="",$J1713&lt;&gt;"Supplier"),"",IFERROR(INDEX(SupplierRates!$E$5:$E$500,MATCH($K1713&amp;"|"&amp;$L1713,SupplierRates!$A$5:$A$500,0)),0))</f>
        <v/>
      </c>
      <c r="R1713" s="26" t="n">
        <f aca="false">IF(OR($D1713="",$J1713&lt;&gt;"Supplier"),0,F1713*P1713+G1713*Q1713)</f>
        <v>0</v>
      </c>
      <c r="S1713" s="26" t="n">
        <f aca="false">IF(OR($D1713="",$J1713&lt;&gt;"Own"),0,IFERROR((F1713+G1713*Settings!$B$13)*INDEX(Workers!$V$5:$V$2004,MATCH($D1713,Workers!$A$5:$A$2004,0)),0))</f>
        <v>0</v>
      </c>
      <c r="T1713" s="26" t="str">
        <f aca="false">IF($D1713="","",O1713-R1713-S1713)</f>
        <v/>
      </c>
    </row>
    <row r="1714" customFormat="false" ht="15" hidden="false" customHeight="false" outlineLevel="0" collapsed="false">
      <c r="I1714" s="24" t="str">
        <f aca="false">IF($D1714="","",IFERROR(INDEX(Workers!$B$5:$B$2004,MATCH($D1714,Workers!$A$5:$A$2004,0)),"NOT FOUND"))</f>
        <v/>
      </c>
      <c r="J1714" s="24" t="str">
        <f aca="false">IF($D1714="","",IFERROR(INDEX(Workers!$C$5:$C$2004,MATCH($D1714,Workers!$A$5:$A$2004,0)),""))</f>
        <v/>
      </c>
      <c r="K1714" s="24" t="str">
        <f aca="false">IF($D1714="","",IFERROR(IF(INDEX(Workers!$D$5:$D$2004,MATCH($D1714,Workers!$A$5:$A$2004,0))=0,"",INDEX(Workers!$D$5:$D$2004,MATCH($D1714,Workers!$A$5:$A$2004,0))),""))</f>
        <v/>
      </c>
      <c r="L1714" s="24" t="str">
        <f aca="false">IF($D1714="","",IFERROR(INDEX(Workers!$E$5:$E$2004,MATCH($D1714,Workers!$A$5:$A$2004,0)),""))</f>
        <v/>
      </c>
      <c r="M1714" s="26" t="str">
        <f aca="false">IF($D1714="","",IFERROR(INDEX(ClientRates!$D$5:$D$500,MATCH($B1714&amp;"|"&amp;$L1714,ClientRates!$A$5:$A$500,0)),0))</f>
        <v/>
      </c>
      <c r="N1714" s="26" t="str">
        <f aca="false">IF($D1714="","",IFERROR(INDEX(ClientRates!$E$5:$E$500,MATCH($B1714&amp;"|"&amp;$L1714,ClientRates!$A$5:$A$500,0)),0))</f>
        <v/>
      </c>
      <c r="O1714" s="26" t="str">
        <f aca="false">IF($D1714="","",F1714*M1714+G1714*N1714)</f>
        <v/>
      </c>
      <c r="P1714" s="26" t="str">
        <f aca="false">IF(OR($D1714="",$J1714&lt;&gt;"Supplier"),"",IFERROR(INDEX(SupplierRates!$D$5:$D$500,MATCH($K1714&amp;"|"&amp;$L1714,SupplierRates!$A$5:$A$500,0)),0))</f>
        <v/>
      </c>
      <c r="Q1714" s="26" t="str">
        <f aca="false">IF(OR($D1714="",$J1714&lt;&gt;"Supplier"),"",IFERROR(INDEX(SupplierRates!$E$5:$E$500,MATCH($K1714&amp;"|"&amp;$L1714,SupplierRates!$A$5:$A$500,0)),0))</f>
        <v/>
      </c>
      <c r="R1714" s="26" t="n">
        <f aca="false">IF(OR($D1714="",$J1714&lt;&gt;"Supplier"),0,F1714*P1714+G1714*Q1714)</f>
        <v>0</v>
      </c>
      <c r="S1714" s="26" t="n">
        <f aca="false">IF(OR($D1714="",$J1714&lt;&gt;"Own"),0,IFERROR((F1714+G1714*Settings!$B$13)*INDEX(Workers!$V$5:$V$2004,MATCH($D1714,Workers!$A$5:$A$2004,0)),0))</f>
        <v>0</v>
      </c>
      <c r="T1714" s="26" t="str">
        <f aca="false">IF($D1714="","",O1714-R1714-S1714)</f>
        <v/>
      </c>
    </row>
    <row r="1715" customFormat="false" ht="15" hidden="false" customHeight="false" outlineLevel="0" collapsed="false">
      <c r="I1715" s="24" t="str">
        <f aca="false">IF($D1715="","",IFERROR(INDEX(Workers!$B$5:$B$2004,MATCH($D1715,Workers!$A$5:$A$2004,0)),"NOT FOUND"))</f>
        <v/>
      </c>
      <c r="J1715" s="24" t="str">
        <f aca="false">IF($D1715="","",IFERROR(INDEX(Workers!$C$5:$C$2004,MATCH($D1715,Workers!$A$5:$A$2004,0)),""))</f>
        <v/>
      </c>
      <c r="K1715" s="24" t="str">
        <f aca="false">IF($D1715="","",IFERROR(IF(INDEX(Workers!$D$5:$D$2004,MATCH($D1715,Workers!$A$5:$A$2004,0))=0,"",INDEX(Workers!$D$5:$D$2004,MATCH($D1715,Workers!$A$5:$A$2004,0))),""))</f>
        <v/>
      </c>
      <c r="L1715" s="24" t="str">
        <f aca="false">IF($D1715="","",IFERROR(INDEX(Workers!$E$5:$E$2004,MATCH($D1715,Workers!$A$5:$A$2004,0)),""))</f>
        <v/>
      </c>
      <c r="M1715" s="26" t="str">
        <f aca="false">IF($D1715="","",IFERROR(INDEX(ClientRates!$D$5:$D$500,MATCH($B1715&amp;"|"&amp;$L1715,ClientRates!$A$5:$A$500,0)),0))</f>
        <v/>
      </c>
      <c r="N1715" s="26" t="str">
        <f aca="false">IF($D1715="","",IFERROR(INDEX(ClientRates!$E$5:$E$500,MATCH($B1715&amp;"|"&amp;$L1715,ClientRates!$A$5:$A$500,0)),0))</f>
        <v/>
      </c>
      <c r="O1715" s="26" t="str">
        <f aca="false">IF($D1715="","",F1715*M1715+G1715*N1715)</f>
        <v/>
      </c>
      <c r="P1715" s="26" t="str">
        <f aca="false">IF(OR($D1715="",$J1715&lt;&gt;"Supplier"),"",IFERROR(INDEX(SupplierRates!$D$5:$D$500,MATCH($K1715&amp;"|"&amp;$L1715,SupplierRates!$A$5:$A$500,0)),0))</f>
        <v/>
      </c>
      <c r="Q1715" s="26" t="str">
        <f aca="false">IF(OR($D1715="",$J1715&lt;&gt;"Supplier"),"",IFERROR(INDEX(SupplierRates!$E$5:$E$500,MATCH($K1715&amp;"|"&amp;$L1715,SupplierRates!$A$5:$A$500,0)),0))</f>
        <v/>
      </c>
      <c r="R1715" s="26" t="n">
        <f aca="false">IF(OR($D1715="",$J1715&lt;&gt;"Supplier"),0,F1715*P1715+G1715*Q1715)</f>
        <v>0</v>
      </c>
      <c r="S1715" s="26" t="n">
        <f aca="false">IF(OR($D1715="",$J1715&lt;&gt;"Own"),0,IFERROR((F1715+G1715*Settings!$B$13)*INDEX(Workers!$V$5:$V$2004,MATCH($D1715,Workers!$A$5:$A$2004,0)),0))</f>
        <v>0</v>
      </c>
      <c r="T1715" s="26" t="str">
        <f aca="false">IF($D1715="","",O1715-R1715-S1715)</f>
        <v/>
      </c>
    </row>
    <row r="1716" customFormat="false" ht="15" hidden="false" customHeight="false" outlineLevel="0" collapsed="false">
      <c r="I1716" s="24" t="str">
        <f aca="false">IF($D1716="","",IFERROR(INDEX(Workers!$B$5:$B$2004,MATCH($D1716,Workers!$A$5:$A$2004,0)),"NOT FOUND"))</f>
        <v/>
      </c>
      <c r="J1716" s="24" t="str">
        <f aca="false">IF($D1716="","",IFERROR(INDEX(Workers!$C$5:$C$2004,MATCH($D1716,Workers!$A$5:$A$2004,0)),""))</f>
        <v/>
      </c>
      <c r="K1716" s="24" t="str">
        <f aca="false">IF($D1716="","",IFERROR(IF(INDEX(Workers!$D$5:$D$2004,MATCH($D1716,Workers!$A$5:$A$2004,0))=0,"",INDEX(Workers!$D$5:$D$2004,MATCH($D1716,Workers!$A$5:$A$2004,0))),""))</f>
        <v/>
      </c>
      <c r="L1716" s="24" t="str">
        <f aca="false">IF($D1716="","",IFERROR(INDEX(Workers!$E$5:$E$2004,MATCH($D1716,Workers!$A$5:$A$2004,0)),""))</f>
        <v/>
      </c>
      <c r="M1716" s="26" t="str">
        <f aca="false">IF($D1716="","",IFERROR(INDEX(ClientRates!$D$5:$D$500,MATCH($B1716&amp;"|"&amp;$L1716,ClientRates!$A$5:$A$500,0)),0))</f>
        <v/>
      </c>
      <c r="N1716" s="26" t="str">
        <f aca="false">IF($D1716="","",IFERROR(INDEX(ClientRates!$E$5:$E$500,MATCH($B1716&amp;"|"&amp;$L1716,ClientRates!$A$5:$A$500,0)),0))</f>
        <v/>
      </c>
      <c r="O1716" s="26" t="str">
        <f aca="false">IF($D1716="","",F1716*M1716+G1716*N1716)</f>
        <v/>
      </c>
      <c r="P1716" s="26" t="str">
        <f aca="false">IF(OR($D1716="",$J1716&lt;&gt;"Supplier"),"",IFERROR(INDEX(SupplierRates!$D$5:$D$500,MATCH($K1716&amp;"|"&amp;$L1716,SupplierRates!$A$5:$A$500,0)),0))</f>
        <v/>
      </c>
      <c r="Q1716" s="26" t="str">
        <f aca="false">IF(OR($D1716="",$J1716&lt;&gt;"Supplier"),"",IFERROR(INDEX(SupplierRates!$E$5:$E$500,MATCH($K1716&amp;"|"&amp;$L1716,SupplierRates!$A$5:$A$500,0)),0))</f>
        <v/>
      </c>
      <c r="R1716" s="26" t="n">
        <f aca="false">IF(OR($D1716="",$J1716&lt;&gt;"Supplier"),0,F1716*P1716+G1716*Q1716)</f>
        <v>0</v>
      </c>
      <c r="S1716" s="26" t="n">
        <f aca="false">IF(OR($D1716="",$J1716&lt;&gt;"Own"),0,IFERROR((F1716+G1716*Settings!$B$13)*INDEX(Workers!$V$5:$V$2004,MATCH($D1716,Workers!$A$5:$A$2004,0)),0))</f>
        <v>0</v>
      </c>
      <c r="T1716" s="26" t="str">
        <f aca="false">IF($D1716="","",O1716-R1716-S1716)</f>
        <v/>
      </c>
    </row>
    <row r="1717" customFormat="false" ht="15" hidden="false" customHeight="false" outlineLevel="0" collapsed="false">
      <c r="I1717" s="24" t="str">
        <f aca="false">IF($D1717="","",IFERROR(INDEX(Workers!$B$5:$B$2004,MATCH($D1717,Workers!$A$5:$A$2004,0)),"NOT FOUND"))</f>
        <v/>
      </c>
      <c r="J1717" s="24" t="str">
        <f aca="false">IF($D1717="","",IFERROR(INDEX(Workers!$C$5:$C$2004,MATCH($D1717,Workers!$A$5:$A$2004,0)),""))</f>
        <v/>
      </c>
      <c r="K1717" s="24" t="str">
        <f aca="false">IF($D1717="","",IFERROR(IF(INDEX(Workers!$D$5:$D$2004,MATCH($D1717,Workers!$A$5:$A$2004,0))=0,"",INDEX(Workers!$D$5:$D$2004,MATCH($D1717,Workers!$A$5:$A$2004,0))),""))</f>
        <v/>
      </c>
      <c r="L1717" s="24" t="str">
        <f aca="false">IF($D1717="","",IFERROR(INDEX(Workers!$E$5:$E$2004,MATCH($D1717,Workers!$A$5:$A$2004,0)),""))</f>
        <v/>
      </c>
      <c r="M1717" s="26" t="str">
        <f aca="false">IF($D1717="","",IFERROR(INDEX(ClientRates!$D$5:$D$500,MATCH($B1717&amp;"|"&amp;$L1717,ClientRates!$A$5:$A$500,0)),0))</f>
        <v/>
      </c>
      <c r="N1717" s="26" t="str">
        <f aca="false">IF($D1717="","",IFERROR(INDEX(ClientRates!$E$5:$E$500,MATCH($B1717&amp;"|"&amp;$L1717,ClientRates!$A$5:$A$500,0)),0))</f>
        <v/>
      </c>
      <c r="O1717" s="26" t="str">
        <f aca="false">IF($D1717="","",F1717*M1717+G1717*N1717)</f>
        <v/>
      </c>
      <c r="P1717" s="26" t="str">
        <f aca="false">IF(OR($D1717="",$J1717&lt;&gt;"Supplier"),"",IFERROR(INDEX(SupplierRates!$D$5:$D$500,MATCH($K1717&amp;"|"&amp;$L1717,SupplierRates!$A$5:$A$500,0)),0))</f>
        <v/>
      </c>
      <c r="Q1717" s="26" t="str">
        <f aca="false">IF(OR($D1717="",$J1717&lt;&gt;"Supplier"),"",IFERROR(INDEX(SupplierRates!$E$5:$E$500,MATCH($K1717&amp;"|"&amp;$L1717,SupplierRates!$A$5:$A$500,0)),0))</f>
        <v/>
      </c>
      <c r="R1717" s="26" t="n">
        <f aca="false">IF(OR($D1717="",$J1717&lt;&gt;"Supplier"),0,F1717*P1717+G1717*Q1717)</f>
        <v>0</v>
      </c>
      <c r="S1717" s="26" t="n">
        <f aca="false">IF(OR($D1717="",$J1717&lt;&gt;"Own"),0,IFERROR((F1717+G1717*Settings!$B$13)*INDEX(Workers!$V$5:$V$2004,MATCH($D1717,Workers!$A$5:$A$2004,0)),0))</f>
        <v>0</v>
      </c>
      <c r="T1717" s="26" t="str">
        <f aca="false">IF($D1717="","",O1717-R1717-S1717)</f>
        <v/>
      </c>
    </row>
    <row r="1718" customFormat="false" ht="15" hidden="false" customHeight="false" outlineLevel="0" collapsed="false">
      <c r="I1718" s="24" t="str">
        <f aca="false">IF($D1718="","",IFERROR(INDEX(Workers!$B$5:$B$2004,MATCH($D1718,Workers!$A$5:$A$2004,0)),"NOT FOUND"))</f>
        <v/>
      </c>
      <c r="J1718" s="24" t="str">
        <f aca="false">IF($D1718="","",IFERROR(INDEX(Workers!$C$5:$C$2004,MATCH($D1718,Workers!$A$5:$A$2004,0)),""))</f>
        <v/>
      </c>
      <c r="K1718" s="24" t="str">
        <f aca="false">IF($D1718="","",IFERROR(IF(INDEX(Workers!$D$5:$D$2004,MATCH($D1718,Workers!$A$5:$A$2004,0))=0,"",INDEX(Workers!$D$5:$D$2004,MATCH($D1718,Workers!$A$5:$A$2004,0))),""))</f>
        <v/>
      </c>
      <c r="L1718" s="24" t="str">
        <f aca="false">IF($D1718="","",IFERROR(INDEX(Workers!$E$5:$E$2004,MATCH($D1718,Workers!$A$5:$A$2004,0)),""))</f>
        <v/>
      </c>
      <c r="M1718" s="26" t="str">
        <f aca="false">IF($D1718="","",IFERROR(INDEX(ClientRates!$D$5:$D$500,MATCH($B1718&amp;"|"&amp;$L1718,ClientRates!$A$5:$A$500,0)),0))</f>
        <v/>
      </c>
      <c r="N1718" s="26" t="str">
        <f aca="false">IF($D1718="","",IFERROR(INDEX(ClientRates!$E$5:$E$500,MATCH($B1718&amp;"|"&amp;$L1718,ClientRates!$A$5:$A$500,0)),0))</f>
        <v/>
      </c>
      <c r="O1718" s="26" t="str">
        <f aca="false">IF($D1718="","",F1718*M1718+G1718*N1718)</f>
        <v/>
      </c>
      <c r="P1718" s="26" t="str">
        <f aca="false">IF(OR($D1718="",$J1718&lt;&gt;"Supplier"),"",IFERROR(INDEX(SupplierRates!$D$5:$D$500,MATCH($K1718&amp;"|"&amp;$L1718,SupplierRates!$A$5:$A$500,0)),0))</f>
        <v/>
      </c>
      <c r="Q1718" s="26" t="str">
        <f aca="false">IF(OR($D1718="",$J1718&lt;&gt;"Supplier"),"",IFERROR(INDEX(SupplierRates!$E$5:$E$500,MATCH($K1718&amp;"|"&amp;$L1718,SupplierRates!$A$5:$A$500,0)),0))</f>
        <v/>
      </c>
      <c r="R1718" s="26" t="n">
        <f aca="false">IF(OR($D1718="",$J1718&lt;&gt;"Supplier"),0,F1718*P1718+G1718*Q1718)</f>
        <v>0</v>
      </c>
      <c r="S1718" s="26" t="n">
        <f aca="false">IF(OR($D1718="",$J1718&lt;&gt;"Own"),0,IFERROR((F1718+G1718*Settings!$B$13)*INDEX(Workers!$V$5:$V$2004,MATCH($D1718,Workers!$A$5:$A$2004,0)),0))</f>
        <v>0</v>
      </c>
      <c r="T1718" s="26" t="str">
        <f aca="false">IF($D1718="","",O1718-R1718-S1718)</f>
        <v/>
      </c>
    </row>
    <row r="1719" customFormat="false" ht="15" hidden="false" customHeight="false" outlineLevel="0" collapsed="false">
      <c r="I1719" s="24" t="str">
        <f aca="false">IF($D1719="","",IFERROR(INDEX(Workers!$B$5:$B$2004,MATCH($D1719,Workers!$A$5:$A$2004,0)),"NOT FOUND"))</f>
        <v/>
      </c>
      <c r="J1719" s="24" t="str">
        <f aca="false">IF($D1719="","",IFERROR(INDEX(Workers!$C$5:$C$2004,MATCH($D1719,Workers!$A$5:$A$2004,0)),""))</f>
        <v/>
      </c>
      <c r="K1719" s="24" t="str">
        <f aca="false">IF($D1719="","",IFERROR(IF(INDEX(Workers!$D$5:$D$2004,MATCH($D1719,Workers!$A$5:$A$2004,0))=0,"",INDEX(Workers!$D$5:$D$2004,MATCH($D1719,Workers!$A$5:$A$2004,0))),""))</f>
        <v/>
      </c>
      <c r="L1719" s="24" t="str">
        <f aca="false">IF($D1719="","",IFERROR(INDEX(Workers!$E$5:$E$2004,MATCH($D1719,Workers!$A$5:$A$2004,0)),""))</f>
        <v/>
      </c>
      <c r="M1719" s="26" t="str">
        <f aca="false">IF($D1719="","",IFERROR(INDEX(ClientRates!$D$5:$D$500,MATCH($B1719&amp;"|"&amp;$L1719,ClientRates!$A$5:$A$500,0)),0))</f>
        <v/>
      </c>
      <c r="N1719" s="26" t="str">
        <f aca="false">IF($D1719="","",IFERROR(INDEX(ClientRates!$E$5:$E$500,MATCH($B1719&amp;"|"&amp;$L1719,ClientRates!$A$5:$A$500,0)),0))</f>
        <v/>
      </c>
      <c r="O1719" s="26" t="str">
        <f aca="false">IF($D1719="","",F1719*M1719+G1719*N1719)</f>
        <v/>
      </c>
      <c r="P1719" s="26" t="str">
        <f aca="false">IF(OR($D1719="",$J1719&lt;&gt;"Supplier"),"",IFERROR(INDEX(SupplierRates!$D$5:$D$500,MATCH($K1719&amp;"|"&amp;$L1719,SupplierRates!$A$5:$A$500,0)),0))</f>
        <v/>
      </c>
      <c r="Q1719" s="26" t="str">
        <f aca="false">IF(OR($D1719="",$J1719&lt;&gt;"Supplier"),"",IFERROR(INDEX(SupplierRates!$E$5:$E$500,MATCH($K1719&amp;"|"&amp;$L1719,SupplierRates!$A$5:$A$500,0)),0))</f>
        <v/>
      </c>
      <c r="R1719" s="26" t="n">
        <f aca="false">IF(OR($D1719="",$J1719&lt;&gt;"Supplier"),0,F1719*P1719+G1719*Q1719)</f>
        <v>0</v>
      </c>
      <c r="S1719" s="26" t="n">
        <f aca="false">IF(OR($D1719="",$J1719&lt;&gt;"Own"),0,IFERROR((F1719+G1719*Settings!$B$13)*INDEX(Workers!$V$5:$V$2004,MATCH($D1719,Workers!$A$5:$A$2004,0)),0))</f>
        <v>0</v>
      </c>
      <c r="T1719" s="26" t="str">
        <f aca="false">IF($D1719="","",O1719-R1719-S1719)</f>
        <v/>
      </c>
    </row>
    <row r="1720" customFormat="false" ht="15" hidden="false" customHeight="false" outlineLevel="0" collapsed="false">
      <c r="I1720" s="24" t="str">
        <f aca="false">IF($D1720="","",IFERROR(INDEX(Workers!$B$5:$B$2004,MATCH($D1720,Workers!$A$5:$A$2004,0)),"NOT FOUND"))</f>
        <v/>
      </c>
      <c r="J1720" s="24" t="str">
        <f aca="false">IF($D1720="","",IFERROR(INDEX(Workers!$C$5:$C$2004,MATCH($D1720,Workers!$A$5:$A$2004,0)),""))</f>
        <v/>
      </c>
      <c r="K1720" s="24" t="str">
        <f aca="false">IF($D1720="","",IFERROR(IF(INDEX(Workers!$D$5:$D$2004,MATCH($D1720,Workers!$A$5:$A$2004,0))=0,"",INDEX(Workers!$D$5:$D$2004,MATCH($D1720,Workers!$A$5:$A$2004,0))),""))</f>
        <v/>
      </c>
      <c r="L1720" s="24" t="str">
        <f aca="false">IF($D1720="","",IFERROR(INDEX(Workers!$E$5:$E$2004,MATCH($D1720,Workers!$A$5:$A$2004,0)),""))</f>
        <v/>
      </c>
      <c r="M1720" s="26" t="str">
        <f aca="false">IF($D1720="","",IFERROR(INDEX(ClientRates!$D$5:$D$500,MATCH($B1720&amp;"|"&amp;$L1720,ClientRates!$A$5:$A$500,0)),0))</f>
        <v/>
      </c>
      <c r="N1720" s="26" t="str">
        <f aca="false">IF($D1720="","",IFERROR(INDEX(ClientRates!$E$5:$E$500,MATCH($B1720&amp;"|"&amp;$L1720,ClientRates!$A$5:$A$500,0)),0))</f>
        <v/>
      </c>
      <c r="O1720" s="26" t="str">
        <f aca="false">IF($D1720="","",F1720*M1720+G1720*N1720)</f>
        <v/>
      </c>
      <c r="P1720" s="26" t="str">
        <f aca="false">IF(OR($D1720="",$J1720&lt;&gt;"Supplier"),"",IFERROR(INDEX(SupplierRates!$D$5:$D$500,MATCH($K1720&amp;"|"&amp;$L1720,SupplierRates!$A$5:$A$500,0)),0))</f>
        <v/>
      </c>
      <c r="Q1720" s="26" t="str">
        <f aca="false">IF(OR($D1720="",$J1720&lt;&gt;"Supplier"),"",IFERROR(INDEX(SupplierRates!$E$5:$E$500,MATCH($K1720&amp;"|"&amp;$L1720,SupplierRates!$A$5:$A$500,0)),0))</f>
        <v/>
      </c>
      <c r="R1720" s="26" t="n">
        <f aca="false">IF(OR($D1720="",$J1720&lt;&gt;"Supplier"),0,F1720*P1720+G1720*Q1720)</f>
        <v>0</v>
      </c>
      <c r="S1720" s="26" t="n">
        <f aca="false">IF(OR($D1720="",$J1720&lt;&gt;"Own"),0,IFERROR((F1720+G1720*Settings!$B$13)*INDEX(Workers!$V$5:$V$2004,MATCH($D1720,Workers!$A$5:$A$2004,0)),0))</f>
        <v>0</v>
      </c>
      <c r="T1720" s="26" t="str">
        <f aca="false">IF($D1720="","",O1720-R1720-S1720)</f>
        <v/>
      </c>
    </row>
    <row r="1721" customFormat="false" ht="15" hidden="false" customHeight="false" outlineLevel="0" collapsed="false">
      <c r="I1721" s="24" t="str">
        <f aca="false">IF($D1721="","",IFERROR(INDEX(Workers!$B$5:$B$2004,MATCH($D1721,Workers!$A$5:$A$2004,0)),"NOT FOUND"))</f>
        <v/>
      </c>
      <c r="J1721" s="24" t="str">
        <f aca="false">IF($D1721="","",IFERROR(INDEX(Workers!$C$5:$C$2004,MATCH($D1721,Workers!$A$5:$A$2004,0)),""))</f>
        <v/>
      </c>
      <c r="K1721" s="24" t="str">
        <f aca="false">IF($D1721="","",IFERROR(IF(INDEX(Workers!$D$5:$D$2004,MATCH($D1721,Workers!$A$5:$A$2004,0))=0,"",INDEX(Workers!$D$5:$D$2004,MATCH($D1721,Workers!$A$5:$A$2004,0))),""))</f>
        <v/>
      </c>
      <c r="L1721" s="24" t="str">
        <f aca="false">IF($D1721="","",IFERROR(INDEX(Workers!$E$5:$E$2004,MATCH($D1721,Workers!$A$5:$A$2004,0)),""))</f>
        <v/>
      </c>
      <c r="M1721" s="26" t="str">
        <f aca="false">IF($D1721="","",IFERROR(INDEX(ClientRates!$D$5:$D$500,MATCH($B1721&amp;"|"&amp;$L1721,ClientRates!$A$5:$A$500,0)),0))</f>
        <v/>
      </c>
      <c r="N1721" s="26" t="str">
        <f aca="false">IF($D1721="","",IFERROR(INDEX(ClientRates!$E$5:$E$500,MATCH($B1721&amp;"|"&amp;$L1721,ClientRates!$A$5:$A$500,0)),0))</f>
        <v/>
      </c>
      <c r="O1721" s="26" t="str">
        <f aca="false">IF($D1721="","",F1721*M1721+G1721*N1721)</f>
        <v/>
      </c>
      <c r="P1721" s="26" t="str">
        <f aca="false">IF(OR($D1721="",$J1721&lt;&gt;"Supplier"),"",IFERROR(INDEX(SupplierRates!$D$5:$D$500,MATCH($K1721&amp;"|"&amp;$L1721,SupplierRates!$A$5:$A$500,0)),0))</f>
        <v/>
      </c>
      <c r="Q1721" s="26" t="str">
        <f aca="false">IF(OR($D1721="",$J1721&lt;&gt;"Supplier"),"",IFERROR(INDEX(SupplierRates!$E$5:$E$500,MATCH($K1721&amp;"|"&amp;$L1721,SupplierRates!$A$5:$A$500,0)),0))</f>
        <v/>
      </c>
      <c r="R1721" s="26" t="n">
        <f aca="false">IF(OR($D1721="",$J1721&lt;&gt;"Supplier"),0,F1721*P1721+G1721*Q1721)</f>
        <v>0</v>
      </c>
      <c r="S1721" s="26" t="n">
        <f aca="false">IF(OR($D1721="",$J1721&lt;&gt;"Own"),0,IFERROR((F1721+G1721*Settings!$B$13)*INDEX(Workers!$V$5:$V$2004,MATCH($D1721,Workers!$A$5:$A$2004,0)),0))</f>
        <v>0</v>
      </c>
      <c r="T1721" s="26" t="str">
        <f aca="false">IF($D1721="","",O1721-R1721-S1721)</f>
        <v/>
      </c>
    </row>
    <row r="1722" customFormat="false" ht="15" hidden="false" customHeight="false" outlineLevel="0" collapsed="false">
      <c r="I1722" s="24" t="str">
        <f aca="false">IF($D1722="","",IFERROR(INDEX(Workers!$B$5:$B$2004,MATCH($D1722,Workers!$A$5:$A$2004,0)),"NOT FOUND"))</f>
        <v/>
      </c>
      <c r="J1722" s="24" t="str">
        <f aca="false">IF($D1722="","",IFERROR(INDEX(Workers!$C$5:$C$2004,MATCH($D1722,Workers!$A$5:$A$2004,0)),""))</f>
        <v/>
      </c>
      <c r="K1722" s="24" t="str">
        <f aca="false">IF($D1722="","",IFERROR(IF(INDEX(Workers!$D$5:$D$2004,MATCH($D1722,Workers!$A$5:$A$2004,0))=0,"",INDEX(Workers!$D$5:$D$2004,MATCH($D1722,Workers!$A$5:$A$2004,0))),""))</f>
        <v/>
      </c>
      <c r="L1722" s="24" t="str">
        <f aca="false">IF($D1722="","",IFERROR(INDEX(Workers!$E$5:$E$2004,MATCH($D1722,Workers!$A$5:$A$2004,0)),""))</f>
        <v/>
      </c>
      <c r="M1722" s="26" t="str">
        <f aca="false">IF($D1722="","",IFERROR(INDEX(ClientRates!$D$5:$D$500,MATCH($B1722&amp;"|"&amp;$L1722,ClientRates!$A$5:$A$500,0)),0))</f>
        <v/>
      </c>
      <c r="N1722" s="26" t="str">
        <f aca="false">IF($D1722="","",IFERROR(INDEX(ClientRates!$E$5:$E$500,MATCH($B1722&amp;"|"&amp;$L1722,ClientRates!$A$5:$A$500,0)),0))</f>
        <v/>
      </c>
      <c r="O1722" s="26" t="str">
        <f aca="false">IF($D1722="","",F1722*M1722+G1722*N1722)</f>
        <v/>
      </c>
      <c r="P1722" s="26" t="str">
        <f aca="false">IF(OR($D1722="",$J1722&lt;&gt;"Supplier"),"",IFERROR(INDEX(SupplierRates!$D$5:$D$500,MATCH($K1722&amp;"|"&amp;$L1722,SupplierRates!$A$5:$A$500,0)),0))</f>
        <v/>
      </c>
      <c r="Q1722" s="26" t="str">
        <f aca="false">IF(OR($D1722="",$J1722&lt;&gt;"Supplier"),"",IFERROR(INDEX(SupplierRates!$E$5:$E$500,MATCH($K1722&amp;"|"&amp;$L1722,SupplierRates!$A$5:$A$500,0)),0))</f>
        <v/>
      </c>
      <c r="R1722" s="26" t="n">
        <f aca="false">IF(OR($D1722="",$J1722&lt;&gt;"Supplier"),0,F1722*P1722+G1722*Q1722)</f>
        <v>0</v>
      </c>
      <c r="S1722" s="26" t="n">
        <f aca="false">IF(OR($D1722="",$J1722&lt;&gt;"Own"),0,IFERROR((F1722+G1722*Settings!$B$13)*INDEX(Workers!$V$5:$V$2004,MATCH($D1722,Workers!$A$5:$A$2004,0)),0))</f>
        <v>0</v>
      </c>
      <c r="T1722" s="26" t="str">
        <f aca="false">IF($D1722="","",O1722-R1722-S1722)</f>
        <v/>
      </c>
    </row>
    <row r="1723" customFormat="false" ht="15" hidden="false" customHeight="false" outlineLevel="0" collapsed="false">
      <c r="I1723" s="24" t="str">
        <f aca="false">IF($D1723="","",IFERROR(INDEX(Workers!$B$5:$B$2004,MATCH($D1723,Workers!$A$5:$A$2004,0)),"NOT FOUND"))</f>
        <v/>
      </c>
      <c r="J1723" s="24" t="str">
        <f aca="false">IF($D1723="","",IFERROR(INDEX(Workers!$C$5:$C$2004,MATCH($D1723,Workers!$A$5:$A$2004,0)),""))</f>
        <v/>
      </c>
      <c r="K1723" s="24" t="str">
        <f aca="false">IF($D1723="","",IFERROR(IF(INDEX(Workers!$D$5:$D$2004,MATCH($D1723,Workers!$A$5:$A$2004,0))=0,"",INDEX(Workers!$D$5:$D$2004,MATCH($D1723,Workers!$A$5:$A$2004,0))),""))</f>
        <v/>
      </c>
      <c r="L1723" s="24" t="str">
        <f aca="false">IF($D1723="","",IFERROR(INDEX(Workers!$E$5:$E$2004,MATCH($D1723,Workers!$A$5:$A$2004,0)),""))</f>
        <v/>
      </c>
      <c r="M1723" s="26" t="str">
        <f aca="false">IF($D1723="","",IFERROR(INDEX(ClientRates!$D$5:$D$500,MATCH($B1723&amp;"|"&amp;$L1723,ClientRates!$A$5:$A$500,0)),0))</f>
        <v/>
      </c>
      <c r="N1723" s="26" t="str">
        <f aca="false">IF($D1723="","",IFERROR(INDEX(ClientRates!$E$5:$E$500,MATCH($B1723&amp;"|"&amp;$L1723,ClientRates!$A$5:$A$500,0)),0))</f>
        <v/>
      </c>
      <c r="O1723" s="26" t="str">
        <f aca="false">IF($D1723="","",F1723*M1723+G1723*N1723)</f>
        <v/>
      </c>
      <c r="P1723" s="26" t="str">
        <f aca="false">IF(OR($D1723="",$J1723&lt;&gt;"Supplier"),"",IFERROR(INDEX(SupplierRates!$D$5:$D$500,MATCH($K1723&amp;"|"&amp;$L1723,SupplierRates!$A$5:$A$500,0)),0))</f>
        <v/>
      </c>
      <c r="Q1723" s="26" t="str">
        <f aca="false">IF(OR($D1723="",$J1723&lt;&gt;"Supplier"),"",IFERROR(INDEX(SupplierRates!$E$5:$E$500,MATCH($K1723&amp;"|"&amp;$L1723,SupplierRates!$A$5:$A$500,0)),0))</f>
        <v/>
      </c>
      <c r="R1723" s="26" t="n">
        <f aca="false">IF(OR($D1723="",$J1723&lt;&gt;"Supplier"),0,F1723*P1723+G1723*Q1723)</f>
        <v>0</v>
      </c>
      <c r="S1723" s="26" t="n">
        <f aca="false">IF(OR($D1723="",$J1723&lt;&gt;"Own"),0,IFERROR((F1723+G1723*Settings!$B$13)*INDEX(Workers!$V$5:$V$2004,MATCH($D1723,Workers!$A$5:$A$2004,0)),0))</f>
        <v>0</v>
      </c>
      <c r="T1723" s="26" t="str">
        <f aca="false">IF($D1723="","",O1723-R1723-S1723)</f>
        <v/>
      </c>
    </row>
    <row r="1724" customFormat="false" ht="15" hidden="false" customHeight="false" outlineLevel="0" collapsed="false">
      <c r="I1724" s="24" t="str">
        <f aca="false">IF($D1724="","",IFERROR(INDEX(Workers!$B$5:$B$2004,MATCH($D1724,Workers!$A$5:$A$2004,0)),"NOT FOUND"))</f>
        <v/>
      </c>
      <c r="J1724" s="24" t="str">
        <f aca="false">IF($D1724="","",IFERROR(INDEX(Workers!$C$5:$C$2004,MATCH($D1724,Workers!$A$5:$A$2004,0)),""))</f>
        <v/>
      </c>
      <c r="K1724" s="24" t="str">
        <f aca="false">IF($D1724="","",IFERROR(IF(INDEX(Workers!$D$5:$D$2004,MATCH($D1724,Workers!$A$5:$A$2004,0))=0,"",INDEX(Workers!$D$5:$D$2004,MATCH($D1724,Workers!$A$5:$A$2004,0))),""))</f>
        <v/>
      </c>
      <c r="L1724" s="24" t="str">
        <f aca="false">IF($D1724="","",IFERROR(INDEX(Workers!$E$5:$E$2004,MATCH($D1724,Workers!$A$5:$A$2004,0)),""))</f>
        <v/>
      </c>
      <c r="M1724" s="26" t="str">
        <f aca="false">IF($D1724="","",IFERROR(INDEX(ClientRates!$D$5:$D$500,MATCH($B1724&amp;"|"&amp;$L1724,ClientRates!$A$5:$A$500,0)),0))</f>
        <v/>
      </c>
      <c r="N1724" s="26" t="str">
        <f aca="false">IF($D1724="","",IFERROR(INDEX(ClientRates!$E$5:$E$500,MATCH($B1724&amp;"|"&amp;$L1724,ClientRates!$A$5:$A$500,0)),0))</f>
        <v/>
      </c>
      <c r="O1724" s="26" t="str">
        <f aca="false">IF($D1724="","",F1724*M1724+G1724*N1724)</f>
        <v/>
      </c>
      <c r="P1724" s="26" t="str">
        <f aca="false">IF(OR($D1724="",$J1724&lt;&gt;"Supplier"),"",IFERROR(INDEX(SupplierRates!$D$5:$D$500,MATCH($K1724&amp;"|"&amp;$L1724,SupplierRates!$A$5:$A$500,0)),0))</f>
        <v/>
      </c>
      <c r="Q1724" s="26" t="str">
        <f aca="false">IF(OR($D1724="",$J1724&lt;&gt;"Supplier"),"",IFERROR(INDEX(SupplierRates!$E$5:$E$500,MATCH($K1724&amp;"|"&amp;$L1724,SupplierRates!$A$5:$A$500,0)),0))</f>
        <v/>
      </c>
      <c r="R1724" s="26" t="n">
        <f aca="false">IF(OR($D1724="",$J1724&lt;&gt;"Supplier"),0,F1724*P1724+G1724*Q1724)</f>
        <v>0</v>
      </c>
      <c r="S1724" s="26" t="n">
        <f aca="false">IF(OR($D1724="",$J1724&lt;&gt;"Own"),0,IFERROR((F1724+G1724*Settings!$B$13)*INDEX(Workers!$V$5:$V$2004,MATCH($D1724,Workers!$A$5:$A$2004,0)),0))</f>
        <v>0</v>
      </c>
      <c r="T1724" s="26" t="str">
        <f aca="false">IF($D1724="","",O1724-R1724-S1724)</f>
        <v/>
      </c>
    </row>
    <row r="1725" customFormat="false" ht="15" hidden="false" customHeight="false" outlineLevel="0" collapsed="false">
      <c r="I1725" s="24" t="str">
        <f aca="false">IF($D1725="","",IFERROR(INDEX(Workers!$B$5:$B$2004,MATCH($D1725,Workers!$A$5:$A$2004,0)),"NOT FOUND"))</f>
        <v/>
      </c>
      <c r="J1725" s="24" t="str">
        <f aca="false">IF($D1725="","",IFERROR(INDEX(Workers!$C$5:$C$2004,MATCH($D1725,Workers!$A$5:$A$2004,0)),""))</f>
        <v/>
      </c>
      <c r="K1725" s="24" t="str">
        <f aca="false">IF($D1725="","",IFERROR(IF(INDEX(Workers!$D$5:$D$2004,MATCH($D1725,Workers!$A$5:$A$2004,0))=0,"",INDEX(Workers!$D$5:$D$2004,MATCH($D1725,Workers!$A$5:$A$2004,0))),""))</f>
        <v/>
      </c>
      <c r="L1725" s="24" t="str">
        <f aca="false">IF($D1725="","",IFERROR(INDEX(Workers!$E$5:$E$2004,MATCH($D1725,Workers!$A$5:$A$2004,0)),""))</f>
        <v/>
      </c>
      <c r="M1725" s="26" t="str">
        <f aca="false">IF($D1725="","",IFERROR(INDEX(ClientRates!$D$5:$D$500,MATCH($B1725&amp;"|"&amp;$L1725,ClientRates!$A$5:$A$500,0)),0))</f>
        <v/>
      </c>
      <c r="N1725" s="26" t="str">
        <f aca="false">IF($D1725="","",IFERROR(INDEX(ClientRates!$E$5:$E$500,MATCH($B1725&amp;"|"&amp;$L1725,ClientRates!$A$5:$A$500,0)),0))</f>
        <v/>
      </c>
      <c r="O1725" s="26" t="str">
        <f aca="false">IF($D1725="","",F1725*M1725+G1725*N1725)</f>
        <v/>
      </c>
      <c r="P1725" s="26" t="str">
        <f aca="false">IF(OR($D1725="",$J1725&lt;&gt;"Supplier"),"",IFERROR(INDEX(SupplierRates!$D$5:$D$500,MATCH($K1725&amp;"|"&amp;$L1725,SupplierRates!$A$5:$A$500,0)),0))</f>
        <v/>
      </c>
      <c r="Q1725" s="26" t="str">
        <f aca="false">IF(OR($D1725="",$J1725&lt;&gt;"Supplier"),"",IFERROR(INDEX(SupplierRates!$E$5:$E$500,MATCH($K1725&amp;"|"&amp;$L1725,SupplierRates!$A$5:$A$500,0)),0))</f>
        <v/>
      </c>
      <c r="R1725" s="26" t="n">
        <f aca="false">IF(OR($D1725="",$J1725&lt;&gt;"Supplier"),0,F1725*P1725+G1725*Q1725)</f>
        <v>0</v>
      </c>
      <c r="S1725" s="26" t="n">
        <f aca="false">IF(OR($D1725="",$J1725&lt;&gt;"Own"),0,IFERROR((F1725+G1725*Settings!$B$13)*INDEX(Workers!$V$5:$V$2004,MATCH($D1725,Workers!$A$5:$A$2004,0)),0))</f>
        <v>0</v>
      </c>
      <c r="T1725" s="26" t="str">
        <f aca="false">IF($D1725="","",O1725-R1725-S1725)</f>
        <v/>
      </c>
    </row>
    <row r="1726" customFormat="false" ht="15" hidden="false" customHeight="false" outlineLevel="0" collapsed="false">
      <c r="I1726" s="24" t="str">
        <f aca="false">IF($D1726="","",IFERROR(INDEX(Workers!$B$5:$B$2004,MATCH($D1726,Workers!$A$5:$A$2004,0)),"NOT FOUND"))</f>
        <v/>
      </c>
      <c r="J1726" s="24" t="str">
        <f aca="false">IF($D1726="","",IFERROR(INDEX(Workers!$C$5:$C$2004,MATCH($D1726,Workers!$A$5:$A$2004,0)),""))</f>
        <v/>
      </c>
      <c r="K1726" s="24" t="str">
        <f aca="false">IF($D1726="","",IFERROR(IF(INDEX(Workers!$D$5:$D$2004,MATCH($D1726,Workers!$A$5:$A$2004,0))=0,"",INDEX(Workers!$D$5:$D$2004,MATCH($D1726,Workers!$A$5:$A$2004,0))),""))</f>
        <v/>
      </c>
      <c r="L1726" s="24" t="str">
        <f aca="false">IF($D1726="","",IFERROR(INDEX(Workers!$E$5:$E$2004,MATCH($D1726,Workers!$A$5:$A$2004,0)),""))</f>
        <v/>
      </c>
      <c r="M1726" s="26" t="str">
        <f aca="false">IF($D1726="","",IFERROR(INDEX(ClientRates!$D$5:$D$500,MATCH($B1726&amp;"|"&amp;$L1726,ClientRates!$A$5:$A$500,0)),0))</f>
        <v/>
      </c>
      <c r="N1726" s="26" t="str">
        <f aca="false">IF($D1726="","",IFERROR(INDEX(ClientRates!$E$5:$E$500,MATCH($B1726&amp;"|"&amp;$L1726,ClientRates!$A$5:$A$500,0)),0))</f>
        <v/>
      </c>
      <c r="O1726" s="26" t="str">
        <f aca="false">IF($D1726="","",F1726*M1726+G1726*N1726)</f>
        <v/>
      </c>
      <c r="P1726" s="26" t="str">
        <f aca="false">IF(OR($D1726="",$J1726&lt;&gt;"Supplier"),"",IFERROR(INDEX(SupplierRates!$D$5:$D$500,MATCH($K1726&amp;"|"&amp;$L1726,SupplierRates!$A$5:$A$500,0)),0))</f>
        <v/>
      </c>
      <c r="Q1726" s="26" t="str">
        <f aca="false">IF(OR($D1726="",$J1726&lt;&gt;"Supplier"),"",IFERROR(INDEX(SupplierRates!$E$5:$E$500,MATCH($K1726&amp;"|"&amp;$L1726,SupplierRates!$A$5:$A$500,0)),0))</f>
        <v/>
      </c>
      <c r="R1726" s="26" t="n">
        <f aca="false">IF(OR($D1726="",$J1726&lt;&gt;"Supplier"),0,F1726*P1726+G1726*Q1726)</f>
        <v>0</v>
      </c>
      <c r="S1726" s="26" t="n">
        <f aca="false">IF(OR($D1726="",$J1726&lt;&gt;"Own"),0,IFERROR((F1726+G1726*Settings!$B$13)*INDEX(Workers!$V$5:$V$2004,MATCH($D1726,Workers!$A$5:$A$2004,0)),0))</f>
        <v>0</v>
      </c>
      <c r="T1726" s="26" t="str">
        <f aca="false">IF($D1726="","",O1726-R1726-S1726)</f>
        <v/>
      </c>
    </row>
    <row r="1727" customFormat="false" ht="15" hidden="false" customHeight="false" outlineLevel="0" collapsed="false">
      <c r="I1727" s="24" t="str">
        <f aca="false">IF($D1727="","",IFERROR(INDEX(Workers!$B$5:$B$2004,MATCH($D1727,Workers!$A$5:$A$2004,0)),"NOT FOUND"))</f>
        <v/>
      </c>
      <c r="J1727" s="24" t="str">
        <f aca="false">IF($D1727="","",IFERROR(INDEX(Workers!$C$5:$C$2004,MATCH($D1727,Workers!$A$5:$A$2004,0)),""))</f>
        <v/>
      </c>
      <c r="K1727" s="24" t="str">
        <f aca="false">IF($D1727="","",IFERROR(IF(INDEX(Workers!$D$5:$D$2004,MATCH($D1727,Workers!$A$5:$A$2004,0))=0,"",INDEX(Workers!$D$5:$D$2004,MATCH($D1727,Workers!$A$5:$A$2004,0))),""))</f>
        <v/>
      </c>
      <c r="L1727" s="24" t="str">
        <f aca="false">IF($D1727="","",IFERROR(INDEX(Workers!$E$5:$E$2004,MATCH($D1727,Workers!$A$5:$A$2004,0)),""))</f>
        <v/>
      </c>
      <c r="M1727" s="26" t="str">
        <f aca="false">IF($D1727="","",IFERROR(INDEX(ClientRates!$D$5:$D$500,MATCH($B1727&amp;"|"&amp;$L1727,ClientRates!$A$5:$A$500,0)),0))</f>
        <v/>
      </c>
      <c r="N1727" s="26" t="str">
        <f aca="false">IF($D1727="","",IFERROR(INDEX(ClientRates!$E$5:$E$500,MATCH($B1727&amp;"|"&amp;$L1727,ClientRates!$A$5:$A$500,0)),0))</f>
        <v/>
      </c>
      <c r="O1727" s="26" t="str">
        <f aca="false">IF($D1727="","",F1727*M1727+G1727*N1727)</f>
        <v/>
      </c>
      <c r="P1727" s="26" t="str">
        <f aca="false">IF(OR($D1727="",$J1727&lt;&gt;"Supplier"),"",IFERROR(INDEX(SupplierRates!$D$5:$D$500,MATCH($K1727&amp;"|"&amp;$L1727,SupplierRates!$A$5:$A$500,0)),0))</f>
        <v/>
      </c>
      <c r="Q1727" s="26" t="str">
        <f aca="false">IF(OR($D1727="",$J1727&lt;&gt;"Supplier"),"",IFERROR(INDEX(SupplierRates!$E$5:$E$500,MATCH($K1727&amp;"|"&amp;$L1727,SupplierRates!$A$5:$A$500,0)),0))</f>
        <v/>
      </c>
      <c r="R1727" s="26" t="n">
        <f aca="false">IF(OR($D1727="",$J1727&lt;&gt;"Supplier"),0,F1727*P1727+G1727*Q1727)</f>
        <v>0</v>
      </c>
      <c r="S1727" s="26" t="n">
        <f aca="false">IF(OR($D1727="",$J1727&lt;&gt;"Own"),0,IFERROR((F1727+G1727*Settings!$B$13)*INDEX(Workers!$V$5:$V$2004,MATCH($D1727,Workers!$A$5:$A$2004,0)),0))</f>
        <v>0</v>
      </c>
      <c r="T1727" s="26" t="str">
        <f aca="false">IF($D1727="","",O1727-R1727-S1727)</f>
        <v/>
      </c>
    </row>
    <row r="1728" customFormat="false" ht="15" hidden="false" customHeight="false" outlineLevel="0" collapsed="false">
      <c r="I1728" s="24" t="str">
        <f aca="false">IF($D1728="","",IFERROR(INDEX(Workers!$B$5:$B$2004,MATCH($D1728,Workers!$A$5:$A$2004,0)),"NOT FOUND"))</f>
        <v/>
      </c>
      <c r="J1728" s="24" t="str">
        <f aca="false">IF($D1728="","",IFERROR(INDEX(Workers!$C$5:$C$2004,MATCH($D1728,Workers!$A$5:$A$2004,0)),""))</f>
        <v/>
      </c>
      <c r="K1728" s="24" t="str">
        <f aca="false">IF($D1728="","",IFERROR(IF(INDEX(Workers!$D$5:$D$2004,MATCH($D1728,Workers!$A$5:$A$2004,0))=0,"",INDEX(Workers!$D$5:$D$2004,MATCH($D1728,Workers!$A$5:$A$2004,0))),""))</f>
        <v/>
      </c>
      <c r="L1728" s="24" t="str">
        <f aca="false">IF($D1728="","",IFERROR(INDEX(Workers!$E$5:$E$2004,MATCH($D1728,Workers!$A$5:$A$2004,0)),""))</f>
        <v/>
      </c>
      <c r="M1728" s="26" t="str">
        <f aca="false">IF($D1728="","",IFERROR(INDEX(ClientRates!$D$5:$D$500,MATCH($B1728&amp;"|"&amp;$L1728,ClientRates!$A$5:$A$500,0)),0))</f>
        <v/>
      </c>
      <c r="N1728" s="26" t="str">
        <f aca="false">IF($D1728="","",IFERROR(INDEX(ClientRates!$E$5:$E$500,MATCH($B1728&amp;"|"&amp;$L1728,ClientRates!$A$5:$A$500,0)),0))</f>
        <v/>
      </c>
      <c r="O1728" s="26" t="str">
        <f aca="false">IF($D1728="","",F1728*M1728+G1728*N1728)</f>
        <v/>
      </c>
      <c r="P1728" s="26" t="str">
        <f aca="false">IF(OR($D1728="",$J1728&lt;&gt;"Supplier"),"",IFERROR(INDEX(SupplierRates!$D$5:$D$500,MATCH($K1728&amp;"|"&amp;$L1728,SupplierRates!$A$5:$A$500,0)),0))</f>
        <v/>
      </c>
      <c r="Q1728" s="26" t="str">
        <f aca="false">IF(OR($D1728="",$J1728&lt;&gt;"Supplier"),"",IFERROR(INDEX(SupplierRates!$E$5:$E$500,MATCH($K1728&amp;"|"&amp;$L1728,SupplierRates!$A$5:$A$500,0)),0))</f>
        <v/>
      </c>
      <c r="R1728" s="26" t="n">
        <f aca="false">IF(OR($D1728="",$J1728&lt;&gt;"Supplier"),0,F1728*P1728+G1728*Q1728)</f>
        <v>0</v>
      </c>
      <c r="S1728" s="26" t="n">
        <f aca="false">IF(OR($D1728="",$J1728&lt;&gt;"Own"),0,IFERROR((F1728+G1728*Settings!$B$13)*INDEX(Workers!$V$5:$V$2004,MATCH($D1728,Workers!$A$5:$A$2004,0)),0))</f>
        <v>0</v>
      </c>
      <c r="T1728" s="26" t="str">
        <f aca="false">IF($D1728="","",O1728-R1728-S1728)</f>
        <v/>
      </c>
    </row>
    <row r="1729" customFormat="false" ht="15" hidden="false" customHeight="false" outlineLevel="0" collapsed="false">
      <c r="I1729" s="24" t="str">
        <f aca="false">IF($D1729="","",IFERROR(INDEX(Workers!$B$5:$B$2004,MATCH($D1729,Workers!$A$5:$A$2004,0)),"NOT FOUND"))</f>
        <v/>
      </c>
      <c r="J1729" s="24" t="str">
        <f aca="false">IF($D1729="","",IFERROR(INDEX(Workers!$C$5:$C$2004,MATCH($D1729,Workers!$A$5:$A$2004,0)),""))</f>
        <v/>
      </c>
      <c r="K1729" s="24" t="str">
        <f aca="false">IF($D1729="","",IFERROR(IF(INDEX(Workers!$D$5:$D$2004,MATCH($D1729,Workers!$A$5:$A$2004,0))=0,"",INDEX(Workers!$D$5:$D$2004,MATCH($D1729,Workers!$A$5:$A$2004,0))),""))</f>
        <v/>
      </c>
      <c r="L1729" s="24" t="str">
        <f aca="false">IF($D1729="","",IFERROR(INDEX(Workers!$E$5:$E$2004,MATCH($D1729,Workers!$A$5:$A$2004,0)),""))</f>
        <v/>
      </c>
      <c r="M1729" s="26" t="str">
        <f aca="false">IF($D1729="","",IFERROR(INDEX(ClientRates!$D$5:$D$500,MATCH($B1729&amp;"|"&amp;$L1729,ClientRates!$A$5:$A$500,0)),0))</f>
        <v/>
      </c>
      <c r="N1729" s="26" t="str">
        <f aca="false">IF($D1729="","",IFERROR(INDEX(ClientRates!$E$5:$E$500,MATCH($B1729&amp;"|"&amp;$L1729,ClientRates!$A$5:$A$500,0)),0))</f>
        <v/>
      </c>
      <c r="O1729" s="26" t="str">
        <f aca="false">IF($D1729="","",F1729*M1729+G1729*N1729)</f>
        <v/>
      </c>
      <c r="P1729" s="26" t="str">
        <f aca="false">IF(OR($D1729="",$J1729&lt;&gt;"Supplier"),"",IFERROR(INDEX(SupplierRates!$D$5:$D$500,MATCH($K1729&amp;"|"&amp;$L1729,SupplierRates!$A$5:$A$500,0)),0))</f>
        <v/>
      </c>
      <c r="Q1729" s="26" t="str">
        <f aca="false">IF(OR($D1729="",$J1729&lt;&gt;"Supplier"),"",IFERROR(INDEX(SupplierRates!$E$5:$E$500,MATCH($K1729&amp;"|"&amp;$L1729,SupplierRates!$A$5:$A$500,0)),0))</f>
        <v/>
      </c>
      <c r="R1729" s="26" t="n">
        <f aca="false">IF(OR($D1729="",$J1729&lt;&gt;"Supplier"),0,F1729*P1729+G1729*Q1729)</f>
        <v>0</v>
      </c>
      <c r="S1729" s="26" t="n">
        <f aca="false">IF(OR($D1729="",$J1729&lt;&gt;"Own"),0,IFERROR((F1729+G1729*Settings!$B$13)*INDEX(Workers!$V$5:$V$2004,MATCH($D1729,Workers!$A$5:$A$2004,0)),0))</f>
        <v>0</v>
      </c>
      <c r="T1729" s="26" t="str">
        <f aca="false">IF($D1729="","",O1729-R1729-S1729)</f>
        <v/>
      </c>
    </row>
    <row r="1730" customFormat="false" ht="15" hidden="false" customHeight="false" outlineLevel="0" collapsed="false">
      <c r="I1730" s="24" t="str">
        <f aca="false">IF($D1730="","",IFERROR(INDEX(Workers!$B$5:$B$2004,MATCH($D1730,Workers!$A$5:$A$2004,0)),"NOT FOUND"))</f>
        <v/>
      </c>
      <c r="J1730" s="24" t="str">
        <f aca="false">IF($D1730="","",IFERROR(INDEX(Workers!$C$5:$C$2004,MATCH($D1730,Workers!$A$5:$A$2004,0)),""))</f>
        <v/>
      </c>
      <c r="K1730" s="24" t="str">
        <f aca="false">IF($D1730="","",IFERROR(IF(INDEX(Workers!$D$5:$D$2004,MATCH($D1730,Workers!$A$5:$A$2004,0))=0,"",INDEX(Workers!$D$5:$D$2004,MATCH($D1730,Workers!$A$5:$A$2004,0))),""))</f>
        <v/>
      </c>
      <c r="L1730" s="24" t="str">
        <f aca="false">IF($D1730="","",IFERROR(INDEX(Workers!$E$5:$E$2004,MATCH($D1730,Workers!$A$5:$A$2004,0)),""))</f>
        <v/>
      </c>
      <c r="M1730" s="26" t="str">
        <f aca="false">IF($D1730="","",IFERROR(INDEX(ClientRates!$D$5:$D$500,MATCH($B1730&amp;"|"&amp;$L1730,ClientRates!$A$5:$A$500,0)),0))</f>
        <v/>
      </c>
      <c r="N1730" s="26" t="str">
        <f aca="false">IF($D1730="","",IFERROR(INDEX(ClientRates!$E$5:$E$500,MATCH($B1730&amp;"|"&amp;$L1730,ClientRates!$A$5:$A$500,0)),0))</f>
        <v/>
      </c>
      <c r="O1730" s="26" t="str">
        <f aca="false">IF($D1730="","",F1730*M1730+G1730*N1730)</f>
        <v/>
      </c>
      <c r="P1730" s="26" t="str">
        <f aca="false">IF(OR($D1730="",$J1730&lt;&gt;"Supplier"),"",IFERROR(INDEX(SupplierRates!$D$5:$D$500,MATCH($K1730&amp;"|"&amp;$L1730,SupplierRates!$A$5:$A$500,0)),0))</f>
        <v/>
      </c>
      <c r="Q1730" s="26" t="str">
        <f aca="false">IF(OR($D1730="",$J1730&lt;&gt;"Supplier"),"",IFERROR(INDEX(SupplierRates!$E$5:$E$500,MATCH($K1730&amp;"|"&amp;$L1730,SupplierRates!$A$5:$A$500,0)),0))</f>
        <v/>
      </c>
      <c r="R1730" s="26" t="n">
        <f aca="false">IF(OR($D1730="",$J1730&lt;&gt;"Supplier"),0,F1730*P1730+G1730*Q1730)</f>
        <v>0</v>
      </c>
      <c r="S1730" s="26" t="n">
        <f aca="false">IF(OR($D1730="",$J1730&lt;&gt;"Own"),0,IFERROR((F1730+G1730*Settings!$B$13)*INDEX(Workers!$V$5:$V$2004,MATCH($D1730,Workers!$A$5:$A$2004,0)),0))</f>
        <v>0</v>
      </c>
      <c r="T1730" s="26" t="str">
        <f aca="false">IF($D1730="","",O1730-R1730-S1730)</f>
        <v/>
      </c>
    </row>
    <row r="1731" customFormat="false" ht="15" hidden="false" customHeight="false" outlineLevel="0" collapsed="false">
      <c r="I1731" s="24" t="str">
        <f aca="false">IF($D1731="","",IFERROR(INDEX(Workers!$B$5:$B$2004,MATCH($D1731,Workers!$A$5:$A$2004,0)),"NOT FOUND"))</f>
        <v/>
      </c>
      <c r="J1731" s="24" t="str">
        <f aca="false">IF($D1731="","",IFERROR(INDEX(Workers!$C$5:$C$2004,MATCH($D1731,Workers!$A$5:$A$2004,0)),""))</f>
        <v/>
      </c>
      <c r="K1731" s="24" t="str">
        <f aca="false">IF($D1731="","",IFERROR(IF(INDEX(Workers!$D$5:$D$2004,MATCH($D1731,Workers!$A$5:$A$2004,0))=0,"",INDEX(Workers!$D$5:$D$2004,MATCH($D1731,Workers!$A$5:$A$2004,0))),""))</f>
        <v/>
      </c>
      <c r="L1731" s="24" t="str">
        <f aca="false">IF($D1731="","",IFERROR(INDEX(Workers!$E$5:$E$2004,MATCH($D1731,Workers!$A$5:$A$2004,0)),""))</f>
        <v/>
      </c>
      <c r="M1731" s="26" t="str">
        <f aca="false">IF($D1731="","",IFERROR(INDEX(ClientRates!$D$5:$D$500,MATCH($B1731&amp;"|"&amp;$L1731,ClientRates!$A$5:$A$500,0)),0))</f>
        <v/>
      </c>
      <c r="N1731" s="26" t="str">
        <f aca="false">IF($D1731="","",IFERROR(INDEX(ClientRates!$E$5:$E$500,MATCH($B1731&amp;"|"&amp;$L1731,ClientRates!$A$5:$A$500,0)),0))</f>
        <v/>
      </c>
      <c r="O1731" s="26" t="str">
        <f aca="false">IF($D1731="","",F1731*M1731+G1731*N1731)</f>
        <v/>
      </c>
      <c r="P1731" s="26" t="str">
        <f aca="false">IF(OR($D1731="",$J1731&lt;&gt;"Supplier"),"",IFERROR(INDEX(SupplierRates!$D$5:$D$500,MATCH($K1731&amp;"|"&amp;$L1731,SupplierRates!$A$5:$A$500,0)),0))</f>
        <v/>
      </c>
      <c r="Q1731" s="26" t="str">
        <f aca="false">IF(OR($D1731="",$J1731&lt;&gt;"Supplier"),"",IFERROR(INDEX(SupplierRates!$E$5:$E$500,MATCH($K1731&amp;"|"&amp;$L1731,SupplierRates!$A$5:$A$500,0)),0))</f>
        <v/>
      </c>
      <c r="R1731" s="26" t="n">
        <f aca="false">IF(OR($D1731="",$J1731&lt;&gt;"Supplier"),0,F1731*P1731+G1731*Q1731)</f>
        <v>0</v>
      </c>
      <c r="S1731" s="26" t="n">
        <f aca="false">IF(OR($D1731="",$J1731&lt;&gt;"Own"),0,IFERROR((F1731+G1731*Settings!$B$13)*INDEX(Workers!$V$5:$V$2004,MATCH($D1731,Workers!$A$5:$A$2004,0)),0))</f>
        <v>0</v>
      </c>
      <c r="T1731" s="26" t="str">
        <f aca="false">IF($D1731="","",O1731-R1731-S1731)</f>
        <v/>
      </c>
    </row>
    <row r="1732" customFormat="false" ht="15" hidden="false" customHeight="false" outlineLevel="0" collapsed="false">
      <c r="I1732" s="24" t="str">
        <f aca="false">IF($D1732="","",IFERROR(INDEX(Workers!$B$5:$B$2004,MATCH($D1732,Workers!$A$5:$A$2004,0)),"NOT FOUND"))</f>
        <v/>
      </c>
      <c r="J1732" s="24" t="str">
        <f aca="false">IF($D1732="","",IFERROR(INDEX(Workers!$C$5:$C$2004,MATCH($D1732,Workers!$A$5:$A$2004,0)),""))</f>
        <v/>
      </c>
      <c r="K1732" s="24" t="str">
        <f aca="false">IF($D1732="","",IFERROR(IF(INDEX(Workers!$D$5:$D$2004,MATCH($D1732,Workers!$A$5:$A$2004,0))=0,"",INDEX(Workers!$D$5:$D$2004,MATCH($D1732,Workers!$A$5:$A$2004,0))),""))</f>
        <v/>
      </c>
      <c r="L1732" s="24" t="str">
        <f aca="false">IF($D1732="","",IFERROR(INDEX(Workers!$E$5:$E$2004,MATCH($D1732,Workers!$A$5:$A$2004,0)),""))</f>
        <v/>
      </c>
      <c r="M1732" s="26" t="str">
        <f aca="false">IF($D1732="","",IFERROR(INDEX(ClientRates!$D$5:$D$500,MATCH($B1732&amp;"|"&amp;$L1732,ClientRates!$A$5:$A$500,0)),0))</f>
        <v/>
      </c>
      <c r="N1732" s="26" t="str">
        <f aca="false">IF($D1732="","",IFERROR(INDEX(ClientRates!$E$5:$E$500,MATCH($B1732&amp;"|"&amp;$L1732,ClientRates!$A$5:$A$500,0)),0))</f>
        <v/>
      </c>
      <c r="O1732" s="26" t="str">
        <f aca="false">IF($D1732="","",F1732*M1732+G1732*N1732)</f>
        <v/>
      </c>
      <c r="P1732" s="26" t="str">
        <f aca="false">IF(OR($D1732="",$J1732&lt;&gt;"Supplier"),"",IFERROR(INDEX(SupplierRates!$D$5:$D$500,MATCH($K1732&amp;"|"&amp;$L1732,SupplierRates!$A$5:$A$500,0)),0))</f>
        <v/>
      </c>
      <c r="Q1732" s="26" t="str">
        <f aca="false">IF(OR($D1732="",$J1732&lt;&gt;"Supplier"),"",IFERROR(INDEX(SupplierRates!$E$5:$E$500,MATCH($K1732&amp;"|"&amp;$L1732,SupplierRates!$A$5:$A$500,0)),0))</f>
        <v/>
      </c>
      <c r="R1732" s="26" t="n">
        <f aca="false">IF(OR($D1732="",$J1732&lt;&gt;"Supplier"),0,F1732*P1732+G1732*Q1732)</f>
        <v>0</v>
      </c>
      <c r="S1732" s="26" t="n">
        <f aca="false">IF(OR($D1732="",$J1732&lt;&gt;"Own"),0,IFERROR((F1732+G1732*Settings!$B$13)*INDEX(Workers!$V$5:$V$2004,MATCH($D1732,Workers!$A$5:$A$2004,0)),0))</f>
        <v>0</v>
      </c>
      <c r="T1732" s="26" t="str">
        <f aca="false">IF($D1732="","",O1732-R1732-S1732)</f>
        <v/>
      </c>
    </row>
    <row r="1733" customFormat="false" ht="15" hidden="false" customHeight="false" outlineLevel="0" collapsed="false">
      <c r="I1733" s="24" t="str">
        <f aca="false">IF($D1733="","",IFERROR(INDEX(Workers!$B$5:$B$2004,MATCH($D1733,Workers!$A$5:$A$2004,0)),"NOT FOUND"))</f>
        <v/>
      </c>
      <c r="J1733" s="24" t="str">
        <f aca="false">IF($D1733="","",IFERROR(INDEX(Workers!$C$5:$C$2004,MATCH($D1733,Workers!$A$5:$A$2004,0)),""))</f>
        <v/>
      </c>
      <c r="K1733" s="24" t="str">
        <f aca="false">IF($D1733="","",IFERROR(IF(INDEX(Workers!$D$5:$D$2004,MATCH($D1733,Workers!$A$5:$A$2004,0))=0,"",INDEX(Workers!$D$5:$D$2004,MATCH($D1733,Workers!$A$5:$A$2004,0))),""))</f>
        <v/>
      </c>
      <c r="L1733" s="24" t="str">
        <f aca="false">IF($D1733="","",IFERROR(INDEX(Workers!$E$5:$E$2004,MATCH($D1733,Workers!$A$5:$A$2004,0)),""))</f>
        <v/>
      </c>
      <c r="M1733" s="26" t="str">
        <f aca="false">IF($D1733="","",IFERROR(INDEX(ClientRates!$D$5:$D$500,MATCH($B1733&amp;"|"&amp;$L1733,ClientRates!$A$5:$A$500,0)),0))</f>
        <v/>
      </c>
      <c r="N1733" s="26" t="str">
        <f aca="false">IF($D1733="","",IFERROR(INDEX(ClientRates!$E$5:$E$500,MATCH($B1733&amp;"|"&amp;$L1733,ClientRates!$A$5:$A$500,0)),0))</f>
        <v/>
      </c>
      <c r="O1733" s="26" t="str">
        <f aca="false">IF($D1733="","",F1733*M1733+G1733*N1733)</f>
        <v/>
      </c>
      <c r="P1733" s="26" t="str">
        <f aca="false">IF(OR($D1733="",$J1733&lt;&gt;"Supplier"),"",IFERROR(INDEX(SupplierRates!$D$5:$D$500,MATCH($K1733&amp;"|"&amp;$L1733,SupplierRates!$A$5:$A$500,0)),0))</f>
        <v/>
      </c>
      <c r="Q1733" s="26" t="str">
        <f aca="false">IF(OR($D1733="",$J1733&lt;&gt;"Supplier"),"",IFERROR(INDEX(SupplierRates!$E$5:$E$500,MATCH($K1733&amp;"|"&amp;$L1733,SupplierRates!$A$5:$A$500,0)),0))</f>
        <v/>
      </c>
      <c r="R1733" s="26" t="n">
        <f aca="false">IF(OR($D1733="",$J1733&lt;&gt;"Supplier"),0,F1733*P1733+G1733*Q1733)</f>
        <v>0</v>
      </c>
      <c r="S1733" s="26" t="n">
        <f aca="false">IF(OR($D1733="",$J1733&lt;&gt;"Own"),0,IFERROR((F1733+G1733*Settings!$B$13)*INDEX(Workers!$V$5:$V$2004,MATCH($D1733,Workers!$A$5:$A$2004,0)),0))</f>
        <v>0</v>
      </c>
      <c r="T1733" s="26" t="str">
        <f aca="false">IF($D1733="","",O1733-R1733-S1733)</f>
        <v/>
      </c>
    </row>
    <row r="1734" customFormat="false" ht="15" hidden="false" customHeight="false" outlineLevel="0" collapsed="false">
      <c r="I1734" s="24" t="str">
        <f aca="false">IF($D1734="","",IFERROR(INDEX(Workers!$B$5:$B$2004,MATCH($D1734,Workers!$A$5:$A$2004,0)),"NOT FOUND"))</f>
        <v/>
      </c>
      <c r="J1734" s="24" t="str">
        <f aca="false">IF($D1734="","",IFERROR(INDEX(Workers!$C$5:$C$2004,MATCH($D1734,Workers!$A$5:$A$2004,0)),""))</f>
        <v/>
      </c>
      <c r="K1734" s="24" t="str">
        <f aca="false">IF($D1734="","",IFERROR(IF(INDEX(Workers!$D$5:$D$2004,MATCH($D1734,Workers!$A$5:$A$2004,0))=0,"",INDEX(Workers!$D$5:$D$2004,MATCH($D1734,Workers!$A$5:$A$2004,0))),""))</f>
        <v/>
      </c>
      <c r="L1734" s="24" t="str">
        <f aca="false">IF($D1734="","",IFERROR(INDEX(Workers!$E$5:$E$2004,MATCH($D1734,Workers!$A$5:$A$2004,0)),""))</f>
        <v/>
      </c>
      <c r="M1734" s="26" t="str">
        <f aca="false">IF($D1734="","",IFERROR(INDEX(ClientRates!$D$5:$D$500,MATCH($B1734&amp;"|"&amp;$L1734,ClientRates!$A$5:$A$500,0)),0))</f>
        <v/>
      </c>
      <c r="N1734" s="26" t="str">
        <f aca="false">IF($D1734="","",IFERROR(INDEX(ClientRates!$E$5:$E$500,MATCH($B1734&amp;"|"&amp;$L1734,ClientRates!$A$5:$A$500,0)),0))</f>
        <v/>
      </c>
      <c r="O1734" s="26" t="str">
        <f aca="false">IF($D1734="","",F1734*M1734+G1734*N1734)</f>
        <v/>
      </c>
      <c r="P1734" s="26" t="str">
        <f aca="false">IF(OR($D1734="",$J1734&lt;&gt;"Supplier"),"",IFERROR(INDEX(SupplierRates!$D$5:$D$500,MATCH($K1734&amp;"|"&amp;$L1734,SupplierRates!$A$5:$A$500,0)),0))</f>
        <v/>
      </c>
      <c r="Q1734" s="26" t="str">
        <f aca="false">IF(OR($D1734="",$J1734&lt;&gt;"Supplier"),"",IFERROR(INDEX(SupplierRates!$E$5:$E$500,MATCH($K1734&amp;"|"&amp;$L1734,SupplierRates!$A$5:$A$500,0)),0))</f>
        <v/>
      </c>
      <c r="R1734" s="26" t="n">
        <f aca="false">IF(OR($D1734="",$J1734&lt;&gt;"Supplier"),0,F1734*P1734+G1734*Q1734)</f>
        <v>0</v>
      </c>
      <c r="S1734" s="26" t="n">
        <f aca="false">IF(OR($D1734="",$J1734&lt;&gt;"Own"),0,IFERROR((F1734+G1734*Settings!$B$13)*INDEX(Workers!$V$5:$V$2004,MATCH($D1734,Workers!$A$5:$A$2004,0)),0))</f>
        <v>0</v>
      </c>
      <c r="T1734" s="26" t="str">
        <f aca="false">IF($D1734="","",O1734-R1734-S1734)</f>
        <v/>
      </c>
    </row>
    <row r="1735" customFormat="false" ht="15" hidden="false" customHeight="false" outlineLevel="0" collapsed="false">
      <c r="I1735" s="24" t="str">
        <f aca="false">IF($D1735="","",IFERROR(INDEX(Workers!$B$5:$B$2004,MATCH($D1735,Workers!$A$5:$A$2004,0)),"NOT FOUND"))</f>
        <v/>
      </c>
      <c r="J1735" s="24" t="str">
        <f aca="false">IF($D1735="","",IFERROR(INDEX(Workers!$C$5:$C$2004,MATCH($D1735,Workers!$A$5:$A$2004,0)),""))</f>
        <v/>
      </c>
      <c r="K1735" s="24" t="str">
        <f aca="false">IF($D1735="","",IFERROR(IF(INDEX(Workers!$D$5:$D$2004,MATCH($D1735,Workers!$A$5:$A$2004,0))=0,"",INDEX(Workers!$D$5:$D$2004,MATCH($D1735,Workers!$A$5:$A$2004,0))),""))</f>
        <v/>
      </c>
      <c r="L1735" s="24" t="str">
        <f aca="false">IF($D1735="","",IFERROR(INDEX(Workers!$E$5:$E$2004,MATCH($D1735,Workers!$A$5:$A$2004,0)),""))</f>
        <v/>
      </c>
      <c r="M1735" s="26" t="str">
        <f aca="false">IF($D1735="","",IFERROR(INDEX(ClientRates!$D$5:$D$500,MATCH($B1735&amp;"|"&amp;$L1735,ClientRates!$A$5:$A$500,0)),0))</f>
        <v/>
      </c>
      <c r="N1735" s="26" t="str">
        <f aca="false">IF($D1735="","",IFERROR(INDEX(ClientRates!$E$5:$E$500,MATCH($B1735&amp;"|"&amp;$L1735,ClientRates!$A$5:$A$500,0)),0))</f>
        <v/>
      </c>
      <c r="O1735" s="26" t="str">
        <f aca="false">IF($D1735="","",F1735*M1735+G1735*N1735)</f>
        <v/>
      </c>
      <c r="P1735" s="26" t="str">
        <f aca="false">IF(OR($D1735="",$J1735&lt;&gt;"Supplier"),"",IFERROR(INDEX(SupplierRates!$D$5:$D$500,MATCH($K1735&amp;"|"&amp;$L1735,SupplierRates!$A$5:$A$500,0)),0))</f>
        <v/>
      </c>
      <c r="Q1735" s="26" t="str">
        <f aca="false">IF(OR($D1735="",$J1735&lt;&gt;"Supplier"),"",IFERROR(INDEX(SupplierRates!$E$5:$E$500,MATCH($K1735&amp;"|"&amp;$L1735,SupplierRates!$A$5:$A$500,0)),0))</f>
        <v/>
      </c>
      <c r="R1735" s="26" t="n">
        <f aca="false">IF(OR($D1735="",$J1735&lt;&gt;"Supplier"),0,F1735*P1735+G1735*Q1735)</f>
        <v>0</v>
      </c>
      <c r="S1735" s="26" t="n">
        <f aca="false">IF(OR($D1735="",$J1735&lt;&gt;"Own"),0,IFERROR((F1735+G1735*Settings!$B$13)*INDEX(Workers!$V$5:$V$2004,MATCH($D1735,Workers!$A$5:$A$2004,0)),0))</f>
        <v>0</v>
      </c>
      <c r="T1735" s="26" t="str">
        <f aca="false">IF($D1735="","",O1735-R1735-S1735)</f>
        <v/>
      </c>
    </row>
    <row r="1736" customFormat="false" ht="15" hidden="false" customHeight="false" outlineLevel="0" collapsed="false">
      <c r="I1736" s="24" t="str">
        <f aca="false">IF($D1736="","",IFERROR(INDEX(Workers!$B$5:$B$2004,MATCH($D1736,Workers!$A$5:$A$2004,0)),"NOT FOUND"))</f>
        <v/>
      </c>
      <c r="J1736" s="24" t="str">
        <f aca="false">IF($D1736="","",IFERROR(INDEX(Workers!$C$5:$C$2004,MATCH($D1736,Workers!$A$5:$A$2004,0)),""))</f>
        <v/>
      </c>
      <c r="K1736" s="24" t="str">
        <f aca="false">IF($D1736="","",IFERROR(IF(INDEX(Workers!$D$5:$D$2004,MATCH($D1736,Workers!$A$5:$A$2004,0))=0,"",INDEX(Workers!$D$5:$D$2004,MATCH($D1736,Workers!$A$5:$A$2004,0))),""))</f>
        <v/>
      </c>
      <c r="L1736" s="24" t="str">
        <f aca="false">IF($D1736="","",IFERROR(INDEX(Workers!$E$5:$E$2004,MATCH($D1736,Workers!$A$5:$A$2004,0)),""))</f>
        <v/>
      </c>
      <c r="M1736" s="26" t="str">
        <f aca="false">IF($D1736="","",IFERROR(INDEX(ClientRates!$D$5:$D$500,MATCH($B1736&amp;"|"&amp;$L1736,ClientRates!$A$5:$A$500,0)),0))</f>
        <v/>
      </c>
      <c r="N1736" s="26" t="str">
        <f aca="false">IF($D1736="","",IFERROR(INDEX(ClientRates!$E$5:$E$500,MATCH($B1736&amp;"|"&amp;$L1736,ClientRates!$A$5:$A$500,0)),0))</f>
        <v/>
      </c>
      <c r="O1736" s="26" t="str">
        <f aca="false">IF($D1736="","",F1736*M1736+G1736*N1736)</f>
        <v/>
      </c>
      <c r="P1736" s="26" t="str">
        <f aca="false">IF(OR($D1736="",$J1736&lt;&gt;"Supplier"),"",IFERROR(INDEX(SupplierRates!$D$5:$D$500,MATCH($K1736&amp;"|"&amp;$L1736,SupplierRates!$A$5:$A$500,0)),0))</f>
        <v/>
      </c>
      <c r="Q1736" s="26" t="str">
        <f aca="false">IF(OR($D1736="",$J1736&lt;&gt;"Supplier"),"",IFERROR(INDEX(SupplierRates!$E$5:$E$500,MATCH($K1736&amp;"|"&amp;$L1736,SupplierRates!$A$5:$A$500,0)),0))</f>
        <v/>
      </c>
      <c r="R1736" s="26" t="n">
        <f aca="false">IF(OR($D1736="",$J1736&lt;&gt;"Supplier"),0,F1736*P1736+G1736*Q1736)</f>
        <v>0</v>
      </c>
      <c r="S1736" s="26" t="n">
        <f aca="false">IF(OR($D1736="",$J1736&lt;&gt;"Own"),0,IFERROR((F1736+G1736*Settings!$B$13)*INDEX(Workers!$V$5:$V$2004,MATCH($D1736,Workers!$A$5:$A$2004,0)),0))</f>
        <v>0</v>
      </c>
      <c r="T1736" s="26" t="str">
        <f aca="false">IF($D1736="","",O1736-R1736-S1736)</f>
        <v/>
      </c>
    </row>
    <row r="1737" customFormat="false" ht="15" hidden="false" customHeight="false" outlineLevel="0" collapsed="false">
      <c r="I1737" s="24" t="str">
        <f aca="false">IF($D1737="","",IFERROR(INDEX(Workers!$B$5:$B$2004,MATCH($D1737,Workers!$A$5:$A$2004,0)),"NOT FOUND"))</f>
        <v/>
      </c>
      <c r="J1737" s="24" t="str">
        <f aca="false">IF($D1737="","",IFERROR(INDEX(Workers!$C$5:$C$2004,MATCH($D1737,Workers!$A$5:$A$2004,0)),""))</f>
        <v/>
      </c>
      <c r="K1737" s="24" t="str">
        <f aca="false">IF($D1737="","",IFERROR(IF(INDEX(Workers!$D$5:$D$2004,MATCH($D1737,Workers!$A$5:$A$2004,0))=0,"",INDEX(Workers!$D$5:$D$2004,MATCH($D1737,Workers!$A$5:$A$2004,0))),""))</f>
        <v/>
      </c>
      <c r="L1737" s="24" t="str">
        <f aca="false">IF($D1737="","",IFERROR(INDEX(Workers!$E$5:$E$2004,MATCH($D1737,Workers!$A$5:$A$2004,0)),""))</f>
        <v/>
      </c>
      <c r="M1737" s="26" t="str">
        <f aca="false">IF($D1737="","",IFERROR(INDEX(ClientRates!$D$5:$D$500,MATCH($B1737&amp;"|"&amp;$L1737,ClientRates!$A$5:$A$500,0)),0))</f>
        <v/>
      </c>
      <c r="N1737" s="26" t="str">
        <f aca="false">IF($D1737="","",IFERROR(INDEX(ClientRates!$E$5:$E$500,MATCH($B1737&amp;"|"&amp;$L1737,ClientRates!$A$5:$A$500,0)),0))</f>
        <v/>
      </c>
      <c r="O1737" s="26" t="str">
        <f aca="false">IF($D1737="","",F1737*M1737+G1737*N1737)</f>
        <v/>
      </c>
      <c r="P1737" s="26" t="str">
        <f aca="false">IF(OR($D1737="",$J1737&lt;&gt;"Supplier"),"",IFERROR(INDEX(SupplierRates!$D$5:$D$500,MATCH($K1737&amp;"|"&amp;$L1737,SupplierRates!$A$5:$A$500,0)),0))</f>
        <v/>
      </c>
      <c r="Q1737" s="26" t="str">
        <f aca="false">IF(OR($D1737="",$J1737&lt;&gt;"Supplier"),"",IFERROR(INDEX(SupplierRates!$E$5:$E$500,MATCH($K1737&amp;"|"&amp;$L1737,SupplierRates!$A$5:$A$500,0)),0))</f>
        <v/>
      </c>
      <c r="R1737" s="26" t="n">
        <f aca="false">IF(OR($D1737="",$J1737&lt;&gt;"Supplier"),0,F1737*P1737+G1737*Q1737)</f>
        <v>0</v>
      </c>
      <c r="S1737" s="26" t="n">
        <f aca="false">IF(OR($D1737="",$J1737&lt;&gt;"Own"),0,IFERROR((F1737+G1737*Settings!$B$13)*INDEX(Workers!$V$5:$V$2004,MATCH($D1737,Workers!$A$5:$A$2004,0)),0))</f>
        <v>0</v>
      </c>
      <c r="T1737" s="26" t="str">
        <f aca="false">IF($D1737="","",O1737-R1737-S1737)</f>
        <v/>
      </c>
    </row>
    <row r="1738" customFormat="false" ht="15" hidden="false" customHeight="false" outlineLevel="0" collapsed="false">
      <c r="I1738" s="24" t="str">
        <f aca="false">IF($D1738="","",IFERROR(INDEX(Workers!$B$5:$B$2004,MATCH($D1738,Workers!$A$5:$A$2004,0)),"NOT FOUND"))</f>
        <v/>
      </c>
      <c r="J1738" s="24" t="str">
        <f aca="false">IF($D1738="","",IFERROR(INDEX(Workers!$C$5:$C$2004,MATCH($D1738,Workers!$A$5:$A$2004,0)),""))</f>
        <v/>
      </c>
      <c r="K1738" s="24" t="str">
        <f aca="false">IF($D1738="","",IFERROR(IF(INDEX(Workers!$D$5:$D$2004,MATCH($D1738,Workers!$A$5:$A$2004,0))=0,"",INDEX(Workers!$D$5:$D$2004,MATCH($D1738,Workers!$A$5:$A$2004,0))),""))</f>
        <v/>
      </c>
      <c r="L1738" s="24" t="str">
        <f aca="false">IF($D1738="","",IFERROR(INDEX(Workers!$E$5:$E$2004,MATCH($D1738,Workers!$A$5:$A$2004,0)),""))</f>
        <v/>
      </c>
      <c r="M1738" s="26" t="str">
        <f aca="false">IF($D1738="","",IFERROR(INDEX(ClientRates!$D$5:$D$500,MATCH($B1738&amp;"|"&amp;$L1738,ClientRates!$A$5:$A$500,0)),0))</f>
        <v/>
      </c>
      <c r="N1738" s="26" t="str">
        <f aca="false">IF($D1738="","",IFERROR(INDEX(ClientRates!$E$5:$E$500,MATCH($B1738&amp;"|"&amp;$L1738,ClientRates!$A$5:$A$500,0)),0))</f>
        <v/>
      </c>
      <c r="O1738" s="26" t="str">
        <f aca="false">IF($D1738="","",F1738*M1738+G1738*N1738)</f>
        <v/>
      </c>
      <c r="P1738" s="26" t="str">
        <f aca="false">IF(OR($D1738="",$J1738&lt;&gt;"Supplier"),"",IFERROR(INDEX(SupplierRates!$D$5:$D$500,MATCH($K1738&amp;"|"&amp;$L1738,SupplierRates!$A$5:$A$500,0)),0))</f>
        <v/>
      </c>
      <c r="Q1738" s="26" t="str">
        <f aca="false">IF(OR($D1738="",$J1738&lt;&gt;"Supplier"),"",IFERROR(INDEX(SupplierRates!$E$5:$E$500,MATCH($K1738&amp;"|"&amp;$L1738,SupplierRates!$A$5:$A$500,0)),0))</f>
        <v/>
      </c>
      <c r="R1738" s="26" t="n">
        <f aca="false">IF(OR($D1738="",$J1738&lt;&gt;"Supplier"),0,F1738*P1738+G1738*Q1738)</f>
        <v>0</v>
      </c>
      <c r="S1738" s="26" t="n">
        <f aca="false">IF(OR($D1738="",$J1738&lt;&gt;"Own"),0,IFERROR((F1738+G1738*Settings!$B$13)*INDEX(Workers!$V$5:$V$2004,MATCH($D1738,Workers!$A$5:$A$2004,0)),0))</f>
        <v>0</v>
      </c>
      <c r="T1738" s="26" t="str">
        <f aca="false">IF($D1738="","",O1738-R1738-S1738)</f>
        <v/>
      </c>
    </row>
    <row r="1739" customFormat="false" ht="15" hidden="false" customHeight="false" outlineLevel="0" collapsed="false">
      <c r="I1739" s="24" t="str">
        <f aca="false">IF($D1739="","",IFERROR(INDEX(Workers!$B$5:$B$2004,MATCH($D1739,Workers!$A$5:$A$2004,0)),"NOT FOUND"))</f>
        <v/>
      </c>
      <c r="J1739" s="24" t="str">
        <f aca="false">IF($D1739="","",IFERROR(INDEX(Workers!$C$5:$C$2004,MATCH($D1739,Workers!$A$5:$A$2004,0)),""))</f>
        <v/>
      </c>
      <c r="K1739" s="24" t="str">
        <f aca="false">IF($D1739="","",IFERROR(IF(INDEX(Workers!$D$5:$D$2004,MATCH($D1739,Workers!$A$5:$A$2004,0))=0,"",INDEX(Workers!$D$5:$D$2004,MATCH($D1739,Workers!$A$5:$A$2004,0))),""))</f>
        <v/>
      </c>
      <c r="L1739" s="24" t="str">
        <f aca="false">IF($D1739="","",IFERROR(INDEX(Workers!$E$5:$E$2004,MATCH($D1739,Workers!$A$5:$A$2004,0)),""))</f>
        <v/>
      </c>
      <c r="M1739" s="26" t="str">
        <f aca="false">IF($D1739="","",IFERROR(INDEX(ClientRates!$D$5:$D$500,MATCH($B1739&amp;"|"&amp;$L1739,ClientRates!$A$5:$A$500,0)),0))</f>
        <v/>
      </c>
      <c r="N1739" s="26" t="str">
        <f aca="false">IF($D1739="","",IFERROR(INDEX(ClientRates!$E$5:$E$500,MATCH($B1739&amp;"|"&amp;$L1739,ClientRates!$A$5:$A$500,0)),0))</f>
        <v/>
      </c>
      <c r="O1739" s="26" t="str">
        <f aca="false">IF($D1739="","",F1739*M1739+G1739*N1739)</f>
        <v/>
      </c>
      <c r="P1739" s="26" t="str">
        <f aca="false">IF(OR($D1739="",$J1739&lt;&gt;"Supplier"),"",IFERROR(INDEX(SupplierRates!$D$5:$D$500,MATCH($K1739&amp;"|"&amp;$L1739,SupplierRates!$A$5:$A$500,0)),0))</f>
        <v/>
      </c>
      <c r="Q1739" s="26" t="str">
        <f aca="false">IF(OR($D1739="",$J1739&lt;&gt;"Supplier"),"",IFERROR(INDEX(SupplierRates!$E$5:$E$500,MATCH($K1739&amp;"|"&amp;$L1739,SupplierRates!$A$5:$A$500,0)),0))</f>
        <v/>
      </c>
      <c r="R1739" s="26" t="n">
        <f aca="false">IF(OR($D1739="",$J1739&lt;&gt;"Supplier"),0,F1739*P1739+G1739*Q1739)</f>
        <v>0</v>
      </c>
      <c r="S1739" s="26" t="n">
        <f aca="false">IF(OR($D1739="",$J1739&lt;&gt;"Own"),0,IFERROR((F1739+G1739*Settings!$B$13)*INDEX(Workers!$V$5:$V$2004,MATCH($D1739,Workers!$A$5:$A$2004,0)),0))</f>
        <v>0</v>
      </c>
      <c r="T1739" s="26" t="str">
        <f aca="false">IF($D1739="","",O1739-R1739-S1739)</f>
        <v/>
      </c>
    </row>
    <row r="1740" customFormat="false" ht="15" hidden="false" customHeight="false" outlineLevel="0" collapsed="false">
      <c r="I1740" s="24" t="str">
        <f aca="false">IF($D1740="","",IFERROR(INDEX(Workers!$B$5:$B$2004,MATCH($D1740,Workers!$A$5:$A$2004,0)),"NOT FOUND"))</f>
        <v/>
      </c>
      <c r="J1740" s="24" t="str">
        <f aca="false">IF($D1740="","",IFERROR(INDEX(Workers!$C$5:$C$2004,MATCH($D1740,Workers!$A$5:$A$2004,0)),""))</f>
        <v/>
      </c>
      <c r="K1740" s="24" t="str">
        <f aca="false">IF($D1740="","",IFERROR(IF(INDEX(Workers!$D$5:$D$2004,MATCH($D1740,Workers!$A$5:$A$2004,0))=0,"",INDEX(Workers!$D$5:$D$2004,MATCH($D1740,Workers!$A$5:$A$2004,0))),""))</f>
        <v/>
      </c>
      <c r="L1740" s="24" t="str">
        <f aca="false">IF($D1740="","",IFERROR(INDEX(Workers!$E$5:$E$2004,MATCH($D1740,Workers!$A$5:$A$2004,0)),""))</f>
        <v/>
      </c>
      <c r="M1740" s="26" t="str">
        <f aca="false">IF($D1740="","",IFERROR(INDEX(ClientRates!$D$5:$D$500,MATCH($B1740&amp;"|"&amp;$L1740,ClientRates!$A$5:$A$500,0)),0))</f>
        <v/>
      </c>
      <c r="N1740" s="26" t="str">
        <f aca="false">IF($D1740="","",IFERROR(INDEX(ClientRates!$E$5:$E$500,MATCH($B1740&amp;"|"&amp;$L1740,ClientRates!$A$5:$A$500,0)),0))</f>
        <v/>
      </c>
      <c r="O1740" s="26" t="str">
        <f aca="false">IF($D1740="","",F1740*M1740+G1740*N1740)</f>
        <v/>
      </c>
      <c r="P1740" s="26" t="str">
        <f aca="false">IF(OR($D1740="",$J1740&lt;&gt;"Supplier"),"",IFERROR(INDEX(SupplierRates!$D$5:$D$500,MATCH($K1740&amp;"|"&amp;$L1740,SupplierRates!$A$5:$A$500,0)),0))</f>
        <v/>
      </c>
      <c r="Q1740" s="26" t="str">
        <f aca="false">IF(OR($D1740="",$J1740&lt;&gt;"Supplier"),"",IFERROR(INDEX(SupplierRates!$E$5:$E$500,MATCH($K1740&amp;"|"&amp;$L1740,SupplierRates!$A$5:$A$500,0)),0))</f>
        <v/>
      </c>
      <c r="R1740" s="26" t="n">
        <f aca="false">IF(OR($D1740="",$J1740&lt;&gt;"Supplier"),0,F1740*P1740+G1740*Q1740)</f>
        <v>0</v>
      </c>
      <c r="S1740" s="26" t="n">
        <f aca="false">IF(OR($D1740="",$J1740&lt;&gt;"Own"),0,IFERROR((F1740+G1740*Settings!$B$13)*INDEX(Workers!$V$5:$V$2004,MATCH($D1740,Workers!$A$5:$A$2004,0)),0))</f>
        <v>0</v>
      </c>
      <c r="T1740" s="26" t="str">
        <f aca="false">IF($D1740="","",O1740-R1740-S1740)</f>
        <v/>
      </c>
    </row>
    <row r="1741" customFormat="false" ht="15" hidden="false" customHeight="false" outlineLevel="0" collapsed="false">
      <c r="I1741" s="24" t="str">
        <f aca="false">IF($D1741="","",IFERROR(INDEX(Workers!$B$5:$B$2004,MATCH($D1741,Workers!$A$5:$A$2004,0)),"NOT FOUND"))</f>
        <v/>
      </c>
      <c r="J1741" s="24" t="str">
        <f aca="false">IF($D1741="","",IFERROR(INDEX(Workers!$C$5:$C$2004,MATCH($D1741,Workers!$A$5:$A$2004,0)),""))</f>
        <v/>
      </c>
      <c r="K1741" s="24" t="str">
        <f aca="false">IF($D1741="","",IFERROR(IF(INDEX(Workers!$D$5:$D$2004,MATCH($D1741,Workers!$A$5:$A$2004,0))=0,"",INDEX(Workers!$D$5:$D$2004,MATCH($D1741,Workers!$A$5:$A$2004,0))),""))</f>
        <v/>
      </c>
      <c r="L1741" s="24" t="str">
        <f aca="false">IF($D1741="","",IFERROR(INDEX(Workers!$E$5:$E$2004,MATCH($D1741,Workers!$A$5:$A$2004,0)),""))</f>
        <v/>
      </c>
      <c r="M1741" s="26" t="str">
        <f aca="false">IF($D1741="","",IFERROR(INDEX(ClientRates!$D$5:$D$500,MATCH($B1741&amp;"|"&amp;$L1741,ClientRates!$A$5:$A$500,0)),0))</f>
        <v/>
      </c>
      <c r="N1741" s="26" t="str">
        <f aca="false">IF($D1741="","",IFERROR(INDEX(ClientRates!$E$5:$E$500,MATCH($B1741&amp;"|"&amp;$L1741,ClientRates!$A$5:$A$500,0)),0))</f>
        <v/>
      </c>
      <c r="O1741" s="26" t="str">
        <f aca="false">IF($D1741="","",F1741*M1741+G1741*N1741)</f>
        <v/>
      </c>
      <c r="P1741" s="26" t="str">
        <f aca="false">IF(OR($D1741="",$J1741&lt;&gt;"Supplier"),"",IFERROR(INDEX(SupplierRates!$D$5:$D$500,MATCH($K1741&amp;"|"&amp;$L1741,SupplierRates!$A$5:$A$500,0)),0))</f>
        <v/>
      </c>
      <c r="Q1741" s="26" t="str">
        <f aca="false">IF(OR($D1741="",$J1741&lt;&gt;"Supplier"),"",IFERROR(INDEX(SupplierRates!$E$5:$E$500,MATCH($K1741&amp;"|"&amp;$L1741,SupplierRates!$A$5:$A$500,0)),0))</f>
        <v/>
      </c>
      <c r="R1741" s="26" t="n">
        <f aca="false">IF(OR($D1741="",$J1741&lt;&gt;"Supplier"),0,F1741*P1741+G1741*Q1741)</f>
        <v>0</v>
      </c>
      <c r="S1741" s="26" t="n">
        <f aca="false">IF(OR($D1741="",$J1741&lt;&gt;"Own"),0,IFERROR((F1741+G1741*Settings!$B$13)*INDEX(Workers!$V$5:$V$2004,MATCH($D1741,Workers!$A$5:$A$2004,0)),0))</f>
        <v>0</v>
      </c>
      <c r="T1741" s="26" t="str">
        <f aca="false">IF($D1741="","",O1741-R1741-S1741)</f>
        <v/>
      </c>
    </row>
    <row r="1742" customFormat="false" ht="15" hidden="false" customHeight="false" outlineLevel="0" collapsed="false">
      <c r="I1742" s="24" t="str">
        <f aca="false">IF($D1742="","",IFERROR(INDEX(Workers!$B$5:$B$2004,MATCH($D1742,Workers!$A$5:$A$2004,0)),"NOT FOUND"))</f>
        <v/>
      </c>
      <c r="J1742" s="24" t="str">
        <f aca="false">IF($D1742="","",IFERROR(INDEX(Workers!$C$5:$C$2004,MATCH($D1742,Workers!$A$5:$A$2004,0)),""))</f>
        <v/>
      </c>
      <c r="K1742" s="24" t="str">
        <f aca="false">IF($D1742="","",IFERROR(IF(INDEX(Workers!$D$5:$D$2004,MATCH($D1742,Workers!$A$5:$A$2004,0))=0,"",INDEX(Workers!$D$5:$D$2004,MATCH($D1742,Workers!$A$5:$A$2004,0))),""))</f>
        <v/>
      </c>
      <c r="L1742" s="24" t="str">
        <f aca="false">IF($D1742="","",IFERROR(INDEX(Workers!$E$5:$E$2004,MATCH($D1742,Workers!$A$5:$A$2004,0)),""))</f>
        <v/>
      </c>
      <c r="M1742" s="26" t="str">
        <f aca="false">IF($D1742="","",IFERROR(INDEX(ClientRates!$D$5:$D$500,MATCH($B1742&amp;"|"&amp;$L1742,ClientRates!$A$5:$A$500,0)),0))</f>
        <v/>
      </c>
      <c r="N1742" s="26" t="str">
        <f aca="false">IF($D1742="","",IFERROR(INDEX(ClientRates!$E$5:$E$500,MATCH($B1742&amp;"|"&amp;$L1742,ClientRates!$A$5:$A$500,0)),0))</f>
        <v/>
      </c>
      <c r="O1742" s="26" t="str">
        <f aca="false">IF($D1742="","",F1742*M1742+G1742*N1742)</f>
        <v/>
      </c>
      <c r="P1742" s="26" t="str">
        <f aca="false">IF(OR($D1742="",$J1742&lt;&gt;"Supplier"),"",IFERROR(INDEX(SupplierRates!$D$5:$D$500,MATCH($K1742&amp;"|"&amp;$L1742,SupplierRates!$A$5:$A$500,0)),0))</f>
        <v/>
      </c>
      <c r="Q1742" s="26" t="str">
        <f aca="false">IF(OR($D1742="",$J1742&lt;&gt;"Supplier"),"",IFERROR(INDEX(SupplierRates!$E$5:$E$500,MATCH($K1742&amp;"|"&amp;$L1742,SupplierRates!$A$5:$A$500,0)),0))</f>
        <v/>
      </c>
      <c r="R1742" s="26" t="n">
        <f aca="false">IF(OR($D1742="",$J1742&lt;&gt;"Supplier"),0,F1742*P1742+G1742*Q1742)</f>
        <v>0</v>
      </c>
      <c r="S1742" s="26" t="n">
        <f aca="false">IF(OR($D1742="",$J1742&lt;&gt;"Own"),0,IFERROR((F1742+G1742*Settings!$B$13)*INDEX(Workers!$V$5:$V$2004,MATCH($D1742,Workers!$A$5:$A$2004,0)),0))</f>
        <v>0</v>
      </c>
      <c r="T1742" s="26" t="str">
        <f aca="false">IF($D1742="","",O1742-R1742-S1742)</f>
        <v/>
      </c>
    </row>
    <row r="1743" customFormat="false" ht="15" hidden="false" customHeight="false" outlineLevel="0" collapsed="false">
      <c r="I1743" s="24" t="str">
        <f aca="false">IF($D1743="","",IFERROR(INDEX(Workers!$B$5:$B$2004,MATCH($D1743,Workers!$A$5:$A$2004,0)),"NOT FOUND"))</f>
        <v/>
      </c>
      <c r="J1743" s="24" t="str">
        <f aca="false">IF($D1743="","",IFERROR(INDEX(Workers!$C$5:$C$2004,MATCH($D1743,Workers!$A$5:$A$2004,0)),""))</f>
        <v/>
      </c>
      <c r="K1743" s="24" t="str">
        <f aca="false">IF($D1743="","",IFERROR(IF(INDEX(Workers!$D$5:$D$2004,MATCH($D1743,Workers!$A$5:$A$2004,0))=0,"",INDEX(Workers!$D$5:$D$2004,MATCH($D1743,Workers!$A$5:$A$2004,0))),""))</f>
        <v/>
      </c>
      <c r="L1743" s="24" t="str">
        <f aca="false">IF($D1743="","",IFERROR(INDEX(Workers!$E$5:$E$2004,MATCH($D1743,Workers!$A$5:$A$2004,0)),""))</f>
        <v/>
      </c>
      <c r="M1743" s="26" t="str">
        <f aca="false">IF($D1743="","",IFERROR(INDEX(ClientRates!$D$5:$D$500,MATCH($B1743&amp;"|"&amp;$L1743,ClientRates!$A$5:$A$500,0)),0))</f>
        <v/>
      </c>
      <c r="N1743" s="26" t="str">
        <f aca="false">IF($D1743="","",IFERROR(INDEX(ClientRates!$E$5:$E$500,MATCH($B1743&amp;"|"&amp;$L1743,ClientRates!$A$5:$A$500,0)),0))</f>
        <v/>
      </c>
      <c r="O1743" s="26" t="str">
        <f aca="false">IF($D1743="","",F1743*M1743+G1743*N1743)</f>
        <v/>
      </c>
      <c r="P1743" s="26" t="str">
        <f aca="false">IF(OR($D1743="",$J1743&lt;&gt;"Supplier"),"",IFERROR(INDEX(SupplierRates!$D$5:$D$500,MATCH($K1743&amp;"|"&amp;$L1743,SupplierRates!$A$5:$A$500,0)),0))</f>
        <v/>
      </c>
      <c r="Q1743" s="26" t="str">
        <f aca="false">IF(OR($D1743="",$J1743&lt;&gt;"Supplier"),"",IFERROR(INDEX(SupplierRates!$E$5:$E$500,MATCH($K1743&amp;"|"&amp;$L1743,SupplierRates!$A$5:$A$500,0)),0))</f>
        <v/>
      </c>
      <c r="R1743" s="26" t="n">
        <f aca="false">IF(OR($D1743="",$J1743&lt;&gt;"Supplier"),0,F1743*P1743+G1743*Q1743)</f>
        <v>0</v>
      </c>
      <c r="S1743" s="26" t="n">
        <f aca="false">IF(OR($D1743="",$J1743&lt;&gt;"Own"),0,IFERROR((F1743+G1743*Settings!$B$13)*INDEX(Workers!$V$5:$V$2004,MATCH($D1743,Workers!$A$5:$A$2004,0)),0))</f>
        <v>0</v>
      </c>
      <c r="T1743" s="26" t="str">
        <f aca="false">IF($D1743="","",O1743-R1743-S1743)</f>
        <v/>
      </c>
    </row>
    <row r="1744" customFormat="false" ht="15" hidden="false" customHeight="false" outlineLevel="0" collapsed="false">
      <c r="I1744" s="24" t="str">
        <f aca="false">IF($D1744="","",IFERROR(INDEX(Workers!$B$5:$B$2004,MATCH($D1744,Workers!$A$5:$A$2004,0)),"NOT FOUND"))</f>
        <v/>
      </c>
      <c r="J1744" s="24" t="str">
        <f aca="false">IF($D1744="","",IFERROR(INDEX(Workers!$C$5:$C$2004,MATCH($D1744,Workers!$A$5:$A$2004,0)),""))</f>
        <v/>
      </c>
      <c r="K1744" s="24" t="str">
        <f aca="false">IF($D1744="","",IFERROR(IF(INDEX(Workers!$D$5:$D$2004,MATCH($D1744,Workers!$A$5:$A$2004,0))=0,"",INDEX(Workers!$D$5:$D$2004,MATCH($D1744,Workers!$A$5:$A$2004,0))),""))</f>
        <v/>
      </c>
      <c r="L1744" s="24" t="str">
        <f aca="false">IF($D1744="","",IFERROR(INDEX(Workers!$E$5:$E$2004,MATCH($D1744,Workers!$A$5:$A$2004,0)),""))</f>
        <v/>
      </c>
      <c r="M1744" s="26" t="str">
        <f aca="false">IF($D1744="","",IFERROR(INDEX(ClientRates!$D$5:$D$500,MATCH($B1744&amp;"|"&amp;$L1744,ClientRates!$A$5:$A$500,0)),0))</f>
        <v/>
      </c>
      <c r="N1744" s="26" t="str">
        <f aca="false">IF($D1744="","",IFERROR(INDEX(ClientRates!$E$5:$E$500,MATCH($B1744&amp;"|"&amp;$L1744,ClientRates!$A$5:$A$500,0)),0))</f>
        <v/>
      </c>
      <c r="O1744" s="26" t="str">
        <f aca="false">IF($D1744="","",F1744*M1744+G1744*N1744)</f>
        <v/>
      </c>
      <c r="P1744" s="26" t="str">
        <f aca="false">IF(OR($D1744="",$J1744&lt;&gt;"Supplier"),"",IFERROR(INDEX(SupplierRates!$D$5:$D$500,MATCH($K1744&amp;"|"&amp;$L1744,SupplierRates!$A$5:$A$500,0)),0))</f>
        <v/>
      </c>
      <c r="Q1744" s="26" t="str">
        <f aca="false">IF(OR($D1744="",$J1744&lt;&gt;"Supplier"),"",IFERROR(INDEX(SupplierRates!$E$5:$E$500,MATCH($K1744&amp;"|"&amp;$L1744,SupplierRates!$A$5:$A$500,0)),0))</f>
        <v/>
      </c>
      <c r="R1744" s="26" t="n">
        <f aca="false">IF(OR($D1744="",$J1744&lt;&gt;"Supplier"),0,F1744*P1744+G1744*Q1744)</f>
        <v>0</v>
      </c>
      <c r="S1744" s="26" t="n">
        <f aca="false">IF(OR($D1744="",$J1744&lt;&gt;"Own"),0,IFERROR((F1744+G1744*Settings!$B$13)*INDEX(Workers!$V$5:$V$2004,MATCH($D1744,Workers!$A$5:$A$2004,0)),0))</f>
        <v>0</v>
      </c>
      <c r="T1744" s="26" t="str">
        <f aca="false">IF($D1744="","",O1744-R1744-S1744)</f>
        <v/>
      </c>
    </row>
    <row r="1745" customFormat="false" ht="15" hidden="false" customHeight="false" outlineLevel="0" collapsed="false">
      <c r="I1745" s="24" t="str">
        <f aca="false">IF($D1745="","",IFERROR(INDEX(Workers!$B$5:$B$2004,MATCH($D1745,Workers!$A$5:$A$2004,0)),"NOT FOUND"))</f>
        <v/>
      </c>
      <c r="J1745" s="24" t="str">
        <f aca="false">IF($D1745="","",IFERROR(INDEX(Workers!$C$5:$C$2004,MATCH($D1745,Workers!$A$5:$A$2004,0)),""))</f>
        <v/>
      </c>
      <c r="K1745" s="24" t="str">
        <f aca="false">IF($D1745="","",IFERROR(IF(INDEX(Workers!$D$5:$D$2004,MATCH($D1745,Workers!$A$5:$A$2004,0))=0,"",INDEX(Workers!$D$5:$D$2004,MATCH($D1745,Workers!$A$5:$A$2004,0))),""))</f>
        <v/>
      </c>
      <c r="L1745" s="24" t="str">
        <f aca="false">IF($D1745="","",IFERROR(INDEX(Workers!$E$5:$E$2004,MATCH($D1745,Workers!$A$5:$A$2004,0)),""))</f>
        <v/>
      </c>
      <c r="M1745" s="26" t="str">
        <f aca="false">IF($D1745="","",IFERROR(INDEX(ClientRates!$D$5:$D$500,MATCH($B1745&amp;"|"&amp;$L1745,ClientRates!$A$5:$A$500,0)),0))</f>
        <v/>
      </c>
      <c r="N1745" s="26" t="str">
        <f aca="false">IF($D1745="","",IFERROR(INDEX(ClientRates!$E$5:$E$500,MATCH($B1745&amp;"|"&amp;$L1745,ClientRates!$A$5:$A$500,0)),0))</f>
        <v/>
      </c>
      <c r="O1745" s="26" t="str">
        <f aca="false">IF($D1745="","",F1745*M1745+G1745*N1745)</f>
        <v/>
      </c>
      <c r="P1745" s="26" t="str">
        <f aca="false">IF(OR($D1745="",$J1745&lt;&gt;"Supplier"),"",IFERROR(INDEX(SupplierRates!$D$5:$D$500,MATCH($K1745&amp;"|"&amp;$L1745,SupplierRates!$A$5:$A$500,0)),0))</f>
        <v/>
      </c>
      <c r="Q1745" s="26" t="str">
        <f aca="false">IF(OR($D1745="",$J1745&lt;&gt;"Supplier"),"",IFERROR(INDEX(SupplierRates!$E$5:$E$500,MATCH($K1745&amp;"|"&amp;$L1745,SupplierRates!$A$5:$A$500,0)),0))</f>
        <v/>
      </c>
      <c r="R1745" s="26" t="n">
        <f aca="false">IF(OR($D1745="",$J1745&lt;&gt;"Supplier"),0,F1745*P1745+G1745*Q1745)</f>
        <v>0</v>
      </c>
      <c r="S1745" s="26" t="n">
        <f aca="false">IF(OR($D1745="",$J1745&lt;&gt;"Own"),0,IFERROR((F1745+G1745*Settings!$B$13)*INDEX(Workers!$V$5:$V$2004,MATCH($D1745,Workers!$A$5:$A$2004,0)),0))</f>
        <v>0</v>
      </c>
      <c r="T1745" s="26" t="str">
        <f aca="false">IF($D1745="","",O1745-R1745-S1745)</f>
        <v/>
      </c>
    </row>
    <row r="1746" customFormat="false" ht="15" hidden="false" customHeight="false" outlineLevel="0" collapsed="false">
      <c r="I1746" s="24" t="str">
        <f aca="false">IF($D1746="","",IFERROR(INDEX(Workers!$B$5:$B$2004,MATCH($D1746,Workers!$A$5:$A$2004,0)),"NOT FOUND"))</f>
        <v/>
      </c>
      <c r="J1746" s="24" t="str">
        <f aca="false">IF($D1746="","",IFERROR(INDEX(Workers!$C$5:$C$2004,MATCH($D1746,Workers!$A$5:$A$2004,0)),""))</f>
        <v/>
      </c>
      <c r="K1746" s="24" t="str">
        <f aca="false">IF($D1746="","",IFERROR(IF(INDEX(Workers!$D$5:$D$2004,MATCH($D1746,Workers!$A$5:$A$2004,0))=0,"",INDEX(Workers!$D$5:$D$2004,MATCH($D1746,Workers!$A$5:$A$2004,0))),""))</f>
        <v/>
      </c>
      <c r="L1746" s="24" t="str">
        <f aca="false">IF($D1746="","",IFERROR(INDEX(Workers!$E$5:$E$2004,MATCH($D1746,Workers!$A$5:$A$2004,0)),""))</f>
        <v/>
      </c>
      <c r="M1746" s="26" t="str">
        <f aca="false">IF($D1746="","",IFERROR(INDEX(ClientRates!$D$5:$D$500,MATCH($B1746&amp;"|"&amp;$L1746,ClientRates!$A$5:$A$500,0)),0))</f>
        <v/>
      </c>
      <c r="N1746" s="26" t="str">
        <f aca="false">IF($D1746="","",IFERROR(INDEX(ClientRates!$E$5:$E$500,MATCH($B1746&amp;"|"&amp;$L1746,ClientRates!$A$5:$A$500,0)),0))</f>
        <v/>
      </c>
      <c r="O1746" s="26" t="str">
        <f aca="false">IF($D1746="","",F1746*M1746+G1746*N1746)</f>
        <v/>
      </c>
      <c r="P1746" s="26" t="str">
        <f aca="false">IF(OR($D1746="",$J1746&lt;&gt;"Supplier"),"",IFERROR(INDEX(SupplierRates!$D$5:$D$500,MATCH($K1746&amp;"|"&amp;$L1746,SupplierRates!$A$5:$A$500,0)),0))</f>
        <v/>
      </c>
      <c r="Q1746" s="26" t="str">
        <f aca="false">IF(OR($D1746="",$J1746&lt;&gt;"Supplier"),"",IFERROR(INDEX(SupplierRates!$E$5:$E$500,MATCH($K1746&amp;"|"&amp;$L1746,SupplierRates!$A$5:$A$500,0)),0))</f>
        <v/>
      </c>
      <c r="R1746" s="26" t="n">
        <f aca="false">IF(OR($D1746="",$J1746&lt;&gt;"Supplier"),0,F1746*P1746+G1746*Q1746)</f>
        <v>0</v>
      </c>
      <c r="S1746" s="26" t="n">
        <f aca="false">IF(OR($D1746="",$J1746&lt;&gt;"Own"),0,IFERROR((F1746+G1746*Settings!$B$13)*INDEX(Workers!$V$5:$V$2004,MATCH($D1746,Workers!$A$5:$A$2004,0)),0))</f>
        <v>0</v>
      </c>
      <c r="T1746" s="26" t="str">
        <f aca="false">IF($D1746="","",O1746-R1746-S1746)</f>
        <v/>
      </c>
    </row>
    <row r="1747" customFormat="false" ht="15" hidden="false" customHeight="false" outlineLevel="0" collapsed="false">
      <c r="I1747" s="24" t="str">
        <f aca="false">IF($D1747="","",IFERROR(INDEX(Workers!$B$5:$B$2004,MATCH($D1747,Workers!$A$5:$A$2004,0)),"NOT FOUND"))</f>
        <v/>
      </c>
      <c r="J1747" s="24" t="str">
        <f aca="false">IF($D1747="","",IFERROR(INDEX(Workers!$C$5:$C$2004,MATCH($D1747,Workers!$A$5:$A$2004,0)),""))</f>
        <v/>
      </c>
      <c r="K1747" s="24" t="str">
        <f aca="false">IF($D1747="","",IFERROR(IF(INDEX(Workers!$D$5:$D$2004,MATCH($D1747,Workers!$A$5:$A$2004,0))=0,"",INDEX(Workers!$D$5:$D$2004,MATCH($D1747,Workers!$A$5:$A$2004,0))),""))</f>
        <v/>
      </c>
      <c r="L1747" s="24" t="str">
        <f aca="false">IF($D1747="","",IFERROR(INDEX(Workers!$E$5:$E$2004,MATCH($D1747,Workers!$A$5:$A$2004,0)),""))</f>
        <v/>
      </c>
      <c r="M1747" s="26" t="str">
        <f aca="false">IF($D1747="","",IFERROR(INDEX(ClientRates!$D$5:$D$500,MATCH($B1747&amp;"|"&amp;$L1747,ClientRates!$A$5:$A$500,0)),0))</f>
        <v/>
      </c>
      <c r="N1747" s="26" t="str">
        <f aca="false">IF($D1747="","",IFERROR(INDEX(ClientRates!$E$5:$E$500,MATCH($B1747&amp;"|"&amp;$L1747,ClientRates!$A$5:$A$500,0)),0))</f>
        <v/>
      </c>
      <c r="O1747" s="26" t="str">
        <f aca="false">IF($D1747="","",F1747*M1747+G1747*N1747)</f>
        <v/>
      </c>
      <c r="P1747" s="26" t="str">
        <f aca="false">IF(OR($D1747="",$J1747&lt;&gt;"Supplier"),"",IFERROR(INDEX(SupplierRates!$D$5:$D$500,MATCH($K1747&amp;"|"&amp;$L1747,SupplierRates!$A$5:$A$500,0)),0))</f>
        <v/>
      </c>
      <c r="Q1747" s="26" t="str">
        <f aca="false">IF(OR($D1747="",$J1747&lt;&gt;"Supplier"),"",IFERROR(INDEX(SupplierRates!$E$5:$E$500,MATCH($K1747&amp;"|"&amp;$L1747,SupplierRates!$A$5:$A$500,0)),0))</f>
        <v/>
      </c>
      <c r="R1747" s="26" t="n">
        <f aca="false">IF(OR($D1747="",$J1747&lt;&gt;"Supplier"),0,F1747*P1747+G1747*Q1747)</f>
        <v>0</v>
      </c>
      <c r="S1747" s="26" t="n">
        <f aca="false">IF(OR($D1747="",$J1747&lt;&gt;"Own"),0,IFERROR((F1747+G1747*Settings!$B$13)*INDEX(Workers!$V$5:$V$2004,MATCH($D1747,Workers!$A$5:$A$2004,0)),0))</f>
        <v>0</v>
      </c>
      <c r="T1747" s="26" t="str">
        <f aca="false">IF($D1747="","",O1747-R1747-S1747)</f>
        <v/>
      </c>
    </row>
    <row r="1748" customFormat="false" ht="15" hidden="false" customHeight="false" outlineLevel="0" collapsed="false">
      <c r="I1748" s="24" t="str">
        <f aca="false">IF($D1748="","",IFERROR(INDEX(Workers!$B$5:$B$2004,MATCH($D1748,Workers!$A$5:$A$2004,0)),"NOT FOUND"))</f>
        <v/>
      </c>
      <c r="J1748" s="24" t="str">
        <f aca="false">IF($D1748="","",IFERROR(INDEX(Workers!$C$5:$C$2004,MATCH($D1748,Workers!$A$5:$A$2004,0)),""))</f>
        <v/>
      </c>
      <c r="K1748" s="24" t="str">
        <f aca="false">IF($D1748="","",IFERROR(IF(INDEX(Workers!$D$5:$D$2004,MATCH($D1748,Workers!$A$5:$A$2004,0))=0,"",INDEX(Workers!$D$5:$D$2004,MATCH($D1748,Workers!$A$5:$A$2004,0))),""))</f>
        <v/>
      </c>
      <c r="L1748" s="24" t="str">
        <f aca="false">IF($D1748="","",IFERROR(INDEX(Workers!$E$5:$E$2004,MATCH($D1748,Workers!$A$5:$A$2004,0)),""))</f>
        <v/>
      </c>
      <c r="M1748" s="26" t="str">
        <f aca="false">IF($D1748="","",IFERROR(INDEX(ClientRates!$D$5:$D$500,MATCH($B1748&amp;"|"&amp;$L1748,ClientRates!$A$5:$A$500,0)),0))</f>
        <v/>
      </c>
      <c r="N1748" s="26" t="str">
        <f aca="false">IF($D1748="","",IFERROR(INDEX(ClientRates!$E$5:$E$500,MATCH($B1748&amp;"|"&amp;$L1748,ClientRates!$A$5:$A$500,0)),0))</f>
        <v/>
      </c>
      <c r="O1748" s="26" t="str">
        <f aca="false">IF($D1748="","",F1748*M1748+G1748*N1748)</f>
        <v/>
      </c>
      <c r="P1748" s="26" t="str">
        <f aca="false">IF(OR($D1748="",$J1748&lt;&gt;"Supplier"),"",IFERROR(INDEX(SupplierRates!$D$5:$D$500,MATCH($K1748&amp;"|"&amp;$L1748,SupplierRates!$A$5:$A$500,0)),0))</f>
        <v/>
      </c>
      <c r="Q1748" s="26" t="str">
        <f aca="false">IF(OR($D1748="",$J1748&lt;&gt;"Supplier"),"",IFERROR(INDEX(SupplierRates!$E$5:$E$500,MATCH($K1748&amp;"|"&amp;$L1748,SupplierRates!$A$5:$A$500,0)),0))</f>
        <v/>
      </c>
      <c r="R1748" s="26" t="n">
        <f aca="false">IF(OR($D1748="",$J1748&lt;&gt;"Supplier"),0,F1748*P1748+G1748*Q1748)</f>
        <v>0</v>
      </c>
      <c r="S1748" s="26" t="n">
        <f aca="false">IF(OR($D1748="",$J1748&lt;&gt;"Own"),0,IFERROR((F1748+G1748*Settings!$B$13)*INDEX(Workers!$V$5:$V$2004,MATCH($D1748,Workers!$A$5:$A$2004,0)),0))</f>
        <v>0</v>
      </c>
      <c r="T1748" s="26" t="str">
        <f aca="false">IF($D1748="","",O1748-R1748-S1748)</f>
        <v/>
      </c>
    </row>
    <row r="1749" customFormat="false" ht="15" hidden="false" customHeight="false" outlineLevel="0" collapsed="false">
      <c r="I1749" s="24" t="str">
        <f aca="false">IF($D1749="","",IFERROR(INDEX(Workers!$B$5:$B$2004,MATCH($D1749,Workers!$A$5:$A$2004,0)),"NOT FOUND"))</f>
        <v/>
      </c>
      <c r="J1749" s="24" t="str">
        <f aca="false">IF($D1749="","",IFERROR(INDEX(Workers!$C$5:$C$2004,MATCH($D1749,Workers!$A$5:$A$2004,0)),""))</f>
        <v/>
      </c>
      <c r="K1749" s="24" t="str">
        <f aca="false">IF($D1749="","",IFERROR(IF(INDEX(Workers!$D$5:$D$2004,MATCH($D1749,Workers!$A$5:$A$2004,0))=0,"",INDEX(Workers!$D$5:$D$2004,MATCH($D1749,Workers!$A$5:$A$2004,0))),""))</f>
        <v/>
      </c>
      <c r="L1749" s="24" t="str">
        <f aca="false">IF($D1749="","",IFERROR(INDEX(Workers!$E$5:$E$2004,MATCH($D1749,Workers!$A$5:$A$2004,0)),""))</f>
        <v/>
      </c>
      <c r="M1749" s="26" t="str">
        <f aca="false">IF($D1749="","",IFERROR(INDEX(ClientRates!$D$5:$D$500,MATCH($B1749&amp;"|"&amp;$L1749,ClientRates!$A$5:$A$500,0)),0))</f>
        <v/>
      </c>
      <c r="N1749" s="26" t="str">
        <f aca="false">IF($D1749="","",IFERROR(INDEX(ClientRates!$E$5:$E$500,MATCH($B1749&amp;"|"&amp;$L1749,ClientRates!$A$5:$A$500,0)),0))</f>
        <v/>
      </c>
      <c r="O1749" s="26" t="str">
        <f aca="false">IF($D1749="","",F1749*M1749+G1749*N1749)</f>
        <v/>
      </c>
      <c r="P1749" s="26" t="str">
        <f aca="false">IF(OR($D1749="",$J1749&lt;&gt;"Supplier"),"",IFERROR(INDEX(SupplierRates!$D$5:$D$500,MATCH($K1749&amp;"|"&amp;$L1749,SupplierRates!$A$5:$A$500,0)),0))</f>
        <v/>
      </c>
      <c r="Q1749" s="26" t="str">
        <f aca="false">IF(OR($D1749="",$J1749&lt;&gt;"Supplier"),"",IFERROR(INDEX(SupplierRates!$E$5:$E$500,MATCH($K1749&amp;"|"&amp;$L1749,SupplierRates!$A$5:$A$500,0)),0))</f>
        <v/>
      </c>
      <c r="R1749" s="26" t="n">
        <f aca="false">IF(OR($D1749="",$J1749&lt;&gt;"Supplier"),0,F1749*P1749+G1749*Q1749)</f>
        <v>0</v>
      </c>
      <c r="S1749" s="26" t="n">
        <f aca="false">IF(OR($D1749="",$J1749&lt;&gt;"Own"),0,IFERROR((F1749+G1749*Settings!$B$13)*INDEX(Workers!$V$5:$V$2004,MATCH($D1749,Workers!$A$5:$A$2004,0)),0))</f>
        <v>0</v>
      </c>
      <c r="T1749" s="26" t="str">
        <f aca="false">IF($D1749="","",O1749-R1749-S1749)</f>
        <v/>
      </c>
    </row>
    <row r="1750" customFormat="false" ht="15" hidden="false" customHeight="false" outlineLevel="0" collapsed="false">
      <c r="I1750" s="24" t="str">
        <f aca="false">IF($D1750="","",IFERROR(INDEX(Workers!$B$5:$B$2004,MATCH($D1750,Workers!$A$5:$A$2004,0)),"NOT FOUND"))</f>
        <v/>
      </c>
      <c r="J1750" s="24" t="str">
        <f aca="false">IF($D1750="","",IFERROR(INDEX(Workers!$C$5:$C$2004,MATCH($D1750,Workers!$A$5:$A$2004,0)),""))</f>
        <v/>
      </c>
      <c r="K1750" s="24" t="str">
        <f aca="false">IF($D1750="","",IFERROR(IF(INDEX(Workers!$D$5:$D$2004,MATCH($D1750,Workers!$A$5:$A$2004,0))=0,"",INDEX(Workers!$D$5:$D$2004,MATCH($D1750,Workers!$A$5:$A$2004,0))),""))</f>
        <v/>
      </c>
      <c r="L1750" s="24" t="str">
        <f aca="false">IF($D1750="","",IFERROR(INDEX(Workers!$E$5:$E$2004,MATCH($D1750,Workers!$A$5:$A$2004,0)),""))</f>
        <v/>
      </c>
      <c r="M1750" s="26" t="str">
        <f aca="false">IF($D1750="","",IFERROR(INDEX(ClientRates!$D$5:$D$500,MATCH($B1750&amp;"|"&amp;$L1750,ClientRates!$A$5:$A$500,0)),0))</f>
        <v/>
      </c>
      <c r="N1750" s="26" t="str">
        <f aca="false">IF($D1750="","",IFERROR(INDEX(ClientRates!$E$5:$E$500,MATCH($B1750&amp;"|"&amp;$L1750,ClientRates!$A$5:$A$500,0)),0))</f>
        <v/>
      </c>
      <c r="O1750" s="26" t="str">
        <f aca="false">IF($D1750="","",F1750*M1750+G1750*N1750)</f>
        <v/>
      </c>
      <c r="P1750" s="26" t="str">
        <f aca="false">IF(OR($D1750="",$J1750&lt;&gt;"Supplier"),"",IFERROR(INDEX(SupplierRates!$D$5:$D$500,MATCH($K1750&amp;"|"&amp;$L1750,SupplierRates!$A$5:$A$500,0)),0))</f>
        <v/>
      </c>
      <c r="Q1750" s="26" t="str">
        <f aca="false">IF(OR($D1750="",$J1750&lt;&gt;"Supplier"),"",IFERROR(INDEX(SupplierRates!$E$5:$E$500,MATCH($K1750&amp;"|"&amp;$L1750,SupplierRates!$A$5:$A$500,0)),0))</f>
        <v/>
      </c>
      <c r="R1750" s="26" t="n">
        <f aca="false">IF(OR($D1750="",$J1750&lt;&gt;"Supplier"),0,F1750*P1750+G1750*Q1750)</f>
        <v>0</v>
      </c>
      <c r="S1750" s="26" t="n">
        <f aca="false">IF(OR($D1750="",$J1750&lt;&gt;"Own"),0,IFERROR((F1750+G1750*Settings!$B$13)*INDEX(Workers!$V$5:$V$2004,MATCH($D1750,Workers!$A$5:$A$2004,0)),0))</f>
        <v>0</v>
      </c>
      <c r="T1750" s="26" t="str">
        <f aca="false">IF($D1750="","",O1750-R1750-S1750)</f>
        <v/>
      </c>
    </row>
    <row r="1751" customFormat="false" ht="15" hidden="false" customHeight="false" outlineLevel="0" collapsed="false">
      <c r="I1751" s="24" t="str">
        <f aca="false">IF($D1751="","",IFERROR(INDEX(Workers!$B$5:$B$2004,MATCH($D1751,Workers!$A$5:$A$2004,0)),"NOT FOUND"))</f>
        <v/>
      </c>
      <c r="J1751" s="24" t="str">
        <f aca="false">IF($D1751="","",IFERROR(INDEX(Workers!$C$5:$C$2004,MATCH($D1751,Workers!$A$5:$A$2004,0)),""))</f>
        <v/>
      </c>
      <c r="K1751" s="24" t="str">
        <f aca="false">IF($D1751="","",IFERROR(IF(INDEX(Workers!$D$5:$D$2004,MATCH($D1751,Workers!$A$5:$A$2004,0))=0,"",INDEX(Workers!$D$5:$D$2004,MATCH($D1751,Workers!$A$5:$A$2004,0))),""))</f>
        <v/>
      </c>
      <c r="L1751" s="24" t="str">
        <f aca="false">IF($D1751="","",IFERROR(INDEX(Workers!$E$5:$E$2004,MATCH($D1751,Workers!$A$5:$A$2004,0)),""))</f>
        <v/>
      </c>
      <c r="M1751" s="26" t="str">
        <f aca="false">IF($D1751="","",IFERROR(INDEX(ClientRates!$D$5:$D$500,MATCH($B1751&amp;"|"&amp;$L1751,ClientRates!$A$5:$A$500,0)),0))</f>
        <v/>
      </c>
      <c r="N1751" s="26" t="str">
        <f aca="false">IF($D1751="","",IFERROR(INDEX(ClientRates!$E$5:$E$500,MATCH($B1751&amp;"|"&amp;$L1751,ClientRates!$A$5:$A$500,0)),0))</f>
        <v/>
      </c>
      <c r="O1751" s="26" t="str">
        <f aca="false">IF($D1751="","",F1751*M1751+G1751*N1751)</f>
        <v/>
      </c>
      <c r="P1751" s="26" t="str">
        <f aca="false">IF(OR($D1751="",$J1751&lt;&gt;"Supplier"),"",IFERROR(INDEX(SupplierRates!$D$5:$D$500,MATCH($K1751&amp;"|"&amp;$L1751,SupplierRates!$A$5:$A$500,0)),0))</f>
        <v/>
      </c>
      <c r="Q1751" s="26" t="str">
        <f aca="false">IF(OR($D1751="",$J1751&lt;&gt;"Supplier"),"",IFERROR(INDEX(SupplierRates!$E$5:$E$500,MATCH($K1751&amp;"|"&amp;$L1751,SupplierRates!$A$5:$A$500,0)),0))</f>
        <v/>
      </c>
      <c r="R1751" s="26" t="n">
        <f aca="false">IF(OR($D1751="",$J1751&lt;&gt;"Supplier"),0,F1751*P1751+G1751*Q1751)</f>
        <v>0</v>
      </c>
      <c r="S1751" s="26" t="n">
        <f aca="false">IF(OR($D1751="",$J1751&lt;&gt;"Own"),0,IFERROR((F1751+G1751*Settings!$B$13)*INDEX(Workers!$V$5:$V$2004,MATCH($D1751,Workers!$A$5:$A$2004,0)),0))</f>
        <v>0</v>
      </c>
      <c r="T1751" s="26" t="str">
        <f aca="false">IF($D1751="","",O1751-R1751-S1751)</f>
        <v/>
      </c>
    </row>
    <row r="1752" customFormat="false" ht="15" hidden="false" customHeight="false" outlineLevel="0" collapsed="false">
      <c r="I1752" s="24" t="str">
        <f aca="false">IF($D1752="","",IFERROR(INDEX(Workers!$B$5:$B$2004,MATCH($D1752,Workers!$A$5:$A$2004,0)),"NOT FOUND"))</f>
        <v/>
      </c>
      <c r="J1752" s="24" t="str">
        <f aca="false">IF($D1752="","",IFERROR(INDEX(Workers!$C$5:$C$2004,MATCH($D1752,Workers!$A$5:$A$2004,0)),""))</f>
        <v/>
      </c>
      <c r="K1752" s="24" t="str">
        <f aca="false">IF($D1752="","",IFERROR(IF(INDEX(Workers!$D$5:$D$2004,MATCH($D1752,Workers!$A$5:$A$2004,0))=0,"",INDEX(Workers!$D$5:$D$2004,MATCH($D1752,Workers!$A$5:$A$2004,0))),""))</f>
        <v/>
      </c>
      <c r="L1752" s="24" t="str">
        <f aca="false">IF($D1752="","",IFERROR(INDEX(Workers!$E$5:$E$2004,MATCH($D1752,Workers!$A$5:$A$2004,0)),""))</f>
        <v/>
      </c>
      <c r="M1752" s="26" t="str">
        <f aca="false">IF($D1752="","",IFERROR(INDEX(ClientRates!$D$5:$D$500,MATCH($B1752&amp;"|"&amp;$L1752,ClientRates!$A$5:$A$500,0)),0))</f>
        <v/>
      </c>
      <c r="N1752" s="26" t="str">
        <f aca="false">IF($D1752="","",IFERROR(INDEX(ClientRates!$E$5:$E$500,MATCH($B1752&amp;"|"&amp;$L1752,ClientRates!$A$5:$A$500,0)),0))</f>
        <v/>
      </c>
      <c r="O1752" s="26" t="str">
        <f aca="false">IF($D1752="","",F1752*M1752+G1752*N1752)</f>
        <v/>
      </c>
      <c r="P1752" s="26" t="str">
        <f aca="false">IF(OR($D1752="",$J1752&lt;&gt;"Supplier"),"",IFERROR(INDEX(SupplierRates!$D$5:$D$500,MATCH($K1752&amp;"|"&amp;$L1752,SupplierRates!$A$5:$A$500,0)),0))</f>
        <v/>
      </c>
      <c r="Q1752" s="26" t="str">
        <f aca="false">IF(OR($D1752="",$J1752&lt;&gt;"Supplier"),"",IFERROR(INDEX(SupplierRates!$E$5:$E$500,MATCH($K1752&amp;"|"&amp;$L1752,SupplierRates!$A$5:$A$500,0)),0))</f>
        <v/>
      </c>
      <c r="R1752" s="26" t="n">
        <f aca="false">IF(OR($D1752="",$J1752&lt;&gt;"Supplier"),0,F1752*P1752+G1752*Q1752)</f>
        <v>0</v>
      </c>
      <c r="S1752" s="26" t="n">
        <f aca="false">IF(OR($D1752="",$J1752&lt;&gt;"Own"),0,IFERROR((F1752+G1752*Settings!$B$13)*INDEX(Workers!$V$5:$V$2004,MATCH($D1752,Workers!$A$5:$A$2004,0)),0))</f>
        <v>0</v>
      </c>
      <c r="T1752" s="26" t="str">
        <f aca="false">IF($D1752="","",O1752-R1752-S1752)</f>
        <v/>
      </c>
    </row>
    <row r="1753" customFormat="false" ht="15" hidden="false" customHeight="false" outlineLevel="0" collapsed="false">
      <c r="I1753" s="24" t="str">
        <f aca="false">IF($D1753="","",IFERROR(INDEX(Workers!$B$5:$B$2004,MATCH($D1753,Workers!$A$5:$A$2004,0)),"NOT FOUND"))</f>
        <v/>
      </c>
      <c r="J1753" s="24" t="str">
        <f aca="false">IF($D1753="","",IFERROR(INDEX(Workers!$C$5:$C$2004,MATCH($D1753,Workers!$A$5:$A$2004,0)),""))</f>
        <v/>
      </c>
      <c r="K1753" s="24" t="str">
        <f aca="false">IF($D1753="","",IFERROR(IF(INDEX(Workers!$D$5:$D$2004,MATCH($D1753,Workers!$A$5:$A$2004,0))=0,"",INDEX(Workers!$D$5:$D$2004,MATCH($D1753,Workers!$A$5:$A$2004,0))),""))</f>
        <v/>
      </c>
      <c r="L1753" s="24" t="str">
        <f aca="false">IF($D1753="","",IFERROR(INDEX(Workers!$E$5:$E$2004,MATCH($D1753,Workers!$A$5:$A$2004,0)),""))</f>
        <v/>
      </c>
      <c r="M1753" s="26" t="str">
        <f aca="false">IF($D1753="","",IFERROR(INDEX(ClientRates!$D$5:$D$500,MATCH($B1753&amp;"|"&amp;$L1753,ClientRates!$A$5:$A$500,0)),0))</f>
        <v/>
      </c>
      <c r="N1753" s="26" t="str">
        <f aca="false">IF($D1753="","",IFERROR(INDEX(ClientRates!$E$5:$E$500,MATCH($B1753&amp;"|"&amp;$L1753,ClientRates!$A$5:$A$500,0)),0))</f>
        <v/>
      </c>
      <c r="O1753" s="26" t="str">
        <f aca="false">IF($D1753="","",F1753*M1753+G1753*N1753)</f>
        <v/>
      </c>
      <c r="P1753" s="26" t="str">
        <f aca="false">IF(OR($D1753="",$J1753&lt;&gt;"Supplier"),"",IFERROR(INDEX(SupplierRates!$D$5:$D$500,MATCH($K1753&amp;"|"&amp;$L1753,SupplierRates!$A$5:$A$500,0)),0))</f>
        <v/>
      </c>
      <c r="Q1753" s="26" t="str">
        <f aca="false">IF(OR($D1753="",$J1753&lt;&gt;"Supplier"),"",IFERROR(INDEX(SupplierRates!$E$5:$E$500,MATCH($K1753&amp;"|"&amp;$L1753,SupplierRates!$A$5:$A$500,0)),0))</f>
        <v/>
      </c>
      <c r="R1753" s="26" t="n">
        <f aca="false">IF(OR($D1753="",$J1753&lt;&gt;"Supplier"),0,F1753*P1753+G1753*Q1753)</f>
        <v>0</v>
      </c>
      <c r="S1753" s="26" t="n">
        <f aca="false">IF(OR($D1753="",$J1753&lt;&gt;"Own"),0,IFERROR((F1753+G1753*Settings!$B$13)*INDEX(Workers!$V$5:$V$2004,MATCH($D1753,Workers!$A$5:$A$2004,0)),0))</f>
        <v>0</v>
      </c>
      <c r="T1753" s="26" t="str">
        <f aca="false">IF($D1753="","",O1753-R1753-S1753)</f>
        <v/>
      </c>
    </row>
    <row r="1754" customFormat="false" ht="15" hidden="false" customHeight="false" outlineLevel="0" collapsed="false">
      <c r="I1754" s="24" t="str">
        <f aca="false">IF($D1754="","",IFERROR(INDEX(Workers!$B$5:$B$2004,MATCH($D1754,Workers!$A$5:$A$2004,0)),"NOT FOUND"))</f>
        <v/>
      </c>
      <c r="J1754" s="24" t="str">
        <f aca="false">IF($D1754="","",IFERROR(INDEX(Workers!$C$5:$C$2004,MATCH($D1754,Workers!$A$5:$A$2004,0)),""))</f>
        <v/>
      </c>
      <c r="K1754" s="24" t="str">
        <f aca="false">IF($D1754="","",IFERROR(IF(INDEX(Workers!$D$5:$D$2004,MATCH($D1754,Workers!$A$5:$A$2004,0))=0,"",INDEX(Workers!$D$5:$D$2004,MATCH($D1754,Workers!$A$5:$A$2004,0))),""))</f>
        <v/>
      </c>
      <c r="L1754" s="24" t="str">
        <f aca="false">IF($D1754="","",IFERROR(INDEX(Workers!$E$5:$E$2004,MATCH($D1754,Workers!$A$5:$A$2004,0)),""))</f>
        <v/>
      </c>
      <c r="M1754" s="26" t="str">
        <f aca="false">IF($D1754="","",IFERROR(INDEX(ClientRates!$D$5:$D$500,MATCH($B1754&amp;"|"&amp;$L1754,ClientRates!$A$5:$A$500,0)),0))</f>
        <v/>
      </c>
      <c r="N1754" s="26" t="str">
        <f aca="false">IF($D1754="","",IFERROR(INDEX(ClientRates!$E$5:$E$500,MATCH($B1754&amp;"|"&amp;$L1754,ClientRates!$A$5:$A$500,0)),0))</f>
        <v/>
      </c>
      <c r="O1754" s="26" t="str">
        <f aca="false">IF($D1754="","",F1754*M1754+G1754*N1754)</f>
        <v/>
      </c>
      <c r="P1754" s="26" t="str">
        <f aca="false">IF(OR($D1754="",$J1754&lt;&gt;"Supplier"),"",IFERROR(INDEX(SupplierRates!$D$5:$D$500,MATCH($K1754&amp;"|"&amp;$L1754,SupplierRates!$A$5:$A$500,0)),0))</f>
        <v/>
      </c>
      <c r="Q1754" s="26" t="str">
        <f aca="false">IF(OR($D1754="",$J1754&lt;&gt;"Supplier"),"",IFERROR(INDEX(SupplierRates!$E$5:$E$500,MATCH($K1754&amp;"|"&amp;$L1754,SupplierRates!$A$5:$A$500,0)),0))</f>
        <v/>
      </c>
      <c r="R1754" s="26" t="n">
        <f aca="false">IF(OR($D1754="",$J1754&lt;&gt;"Supplier"),0,F1754*P1754+G1754*Q1754)</f>
        <v>0</v>
      </c>
      <c r="S1754" s="26" t="n">
        <f aca="false">IF(OR($D1754="",$J1754&lt;&gt;"Own"),0,IFERROR((F1754+G1754*Settings!$B$13)*INDEX(Workers!$V$5:$V$2004,MATCH($D1754,Workers!$A$5:$A$2004,0)),0))</f>
        <v>0</v>
      </c>
      <c r="T1754" s="26" t="str">
        <f aca="false">IF($D1754="","",O1754-R1754-S1754)</f>
        <v/>
      </c>
    </row>
    <row r="1755" customFormat="false" ht="15" hidden="false" customHeight="false" outlineLevel="0" collapsed="false">
      <c r="I1755" s="24" t="str">
        <f aca="false">IF($D1755="","",IFERROR(INDEX(Workers!$B$5:$B$2004,MATCH($D1755,Workers!$A$5:$A$2004,0)),"NOT FOUND"))</f>
        <v/>
      </c>
      <c r="J1755" s="24" t="str">
        <f aca="false">IF($D1755="","",IFERROR(INDEX(Workers!$C$5:$C$2004,MATCH($D1755,Workers!$A$5:$A$2004,0)),""))</f>
        <v/>
      </c>
      <c r="K1755" s="24" t="str">
        <f aca="false">IF($D1755="","",IFERROR(IF(INDEX(Workers!$D$5:$D$2004,MATCH($D1755,Workers!$A$5:$A$2004,0))=0,"",INDEX(Workers!$D$5:$D$2004,MATCH($D1755,Workers!$A$5:$A$2004,0))),""))</f>
        <v/>
      </c>
      <c r="L1755" s="24" t="str">
        <f aca="false">IF($D1755="","",IFERROR(INDEX(Workers!$E$5:$E$2004,MATCH($D1755,Workers!$A$5:$A$2004,0)),""))</f>
        <v/>
      </c>
      <c r="M1755" s="26" t="str">
        <f aca="false">IF($D1755="","",IFERROR(INDEX(ClientRates!$D$5:$D$500,MATCH($B1755&amp;"|"&amp;$L1755,ClientRates!$A$5:$A$500,0)),0))</f>
        <v/>
      </c>
      <c r="N1755" s="26" t="str">
        <f aca="false">IF($D1755="","",IFERROR(INDEX(ClientRates!$E$5:$E$500,MATCH($B1755&amp;"|"&amp;$L1755,ClientRates!$A$5:$A$500,0)),0))</f>
        <v/>
      </c>
      <c r="O1755" s="26" t="str">
        <f aca="false">IF($D1755="","",F1755*M1755+G1755*N1755)</f>
        <v/>
      </c>
      <c r="P1755" s="26" t="str">
        <f aca="false">IF(OR($D1755="",$J1755&lt;&gt;"Supplier"),"",IFERROR(INDEX(SupplierRates!$D$5:$D$500,MATCH($K1755&amp;"|"&amp;$L1755,SupplierRates!$A$5:$A$500,0)),0))</f>
        <v/>
      </c>
      <c r="Q1755" s="26" t="str">
        <f aca="false">IF(OR($D1755="",$J1755&lt;&gt;"Supplier"),"",IFERROR(INDEX(SupplierRates!$E$5:$E$500,MATCH($K1755&amp;"|"&amp;$L1755,SupplierRates!$A$5:$A$500,0)),0))</f>
        <v/>
      </c>
      <c r="R1755" s="26" t="n">
        <f aca="false">IF(OR($D1755="",$J1755&lt;&gt;"Supplier"),0,F1755*P1755+G1755*Q1755)</f>
        <v>0</v>
      </c>
      <c r="S1755" s="26" t="n">
        <f aca="false">IF(OR($D1755="",$J1755&lt;&gt;"Own"),0,IFERROR((F1755+G1755*Settings!$B$13)*INDEX(Workers!$V$5:$V$2004,MATCH($D1755,Workers!$A$5:$A$2004,0)),0))</f>
        <v>0</v>
      </c>
      <c r="T1755" s="26" t="str">
        <f aca="false">IF($D1755="","",O1755-R1755-S1755)</f>
        <v/>
      </c>
    </row>
    <row r="1756" customFormat="false" ht="15" hidden="false" customHeight="false" outlineLevel="0" collapsed="false">
      <c r="I1756" s="24" t="str">
        <f aca="false">IF($D1756="","",IFERROR(INDEX(Workers!$B$5:$B$2004,MATCH($D1756,Workers!$A$5:$A$2004,0)),"NOT FOUND"))</f>
        <v/>
      </c>
      <c r="J1756" s="24" t="str">
        <f aca="false">IF($D1756="","",IFERROR(INDEX(Workers!$C$5:$C$2004,MATCH($D1756,Workers!$A$5:$A$2004,0)),""))</f>
        <v/>
      </c>
      <c r="K1756" s="24" t="str">
        <f aca="false">IF($D1756="","",IFERROR(IF(INDEX(Workers!$D$5:$D$2004,MATCH($D1756,Workers!$A$5:$A$2004,0))=0,"",INDEX(Workers!$D$5:$D$2004,MATCH($D1756,Workers!$A$5:$A$2004,0))),""))</f>
        <v/>
      </c>
      <c r="L1756" s="24" t="str">
        <f aca="false">IF($D1756="","",IFERROR(INDEX(Workers!$E$5:$E$2004,MATCH($D1756,Workers!$A$5:$A$2004,0)),""))</f>
        <v/>
      </c>
      <c r="M1756" s="26" t="str">
        <f aca="false">IF($D1756="","",IFERROR(INDEX(ClientRates!$D$5:$D$500,MATCH($B1756&amp;"|"&amp;$L1756,ClientRates!$A$5:$A$500,0)),0))</f>
        <v/>
      </c>
      <c r="N1756" s="26" t="str">
        <f aca="false">IF($D1756="","",IFERROR(INDEX(ClientRates!$E$5:$E$500,MATCH($B1756&amp;"|"&amp;$L1756,ClientRates!$A$5:$A$500,0)),0))</f>
        <v/>
      </c>
      <c r="O1756" s="26" t="str">
        <f aca="false">IF($D1756="","",F1756*M1756+G1756*N1756)</f>
        <v/>
      </c>
      <c r="P1756" s="26" t="str">
        <f aca="false">IF(OR($D1756="",$J1756&lt;&gt;"Supplier"),"",IFERROR(INDEX(SupplierRates!$D$5:$D$500,MATCH($K1756&amp;"|"&amp;$L1756,SupplierRates!$A$5:$A$500,0)),0))</f>
        <v/>
      </c>
      <c r="Q1756" s="26" t="str">
        <f aca="false">IF(OR($D1756="",$J1756&lt;&gt;"Supplier"),"",IFERROR(INDEX(SupplierRates!$E$5:$E$500,MATCH($K1756&amp;"|"&amp;$L1756,SupplierRates!$A$5:$A$500,0)),0))</f>
        <v/>
      </c>
      <c r="R1756" s="26" t="n">
        <f aca="false">IF(OR($D1756="",$J1756&lt;&gt;"Supplier"),0,F1756*P1756+G1756*Q1756)</f>
        <v>0</v>
      </c>
      <c r="S1756" s="26" t="n">
        <f aca="false">IF(OR($D1756="",$J1756&lt;&gt;"Own"),0,IFERROR((F1756+G1756*Settings!$B$13)*INDEX(Workers!$V$5:$V$2004,MATCH($D1756,Workers!$A$5:$A$2004,0)),0))</f>
        <v>0</v>
      </c>
      <c r="T1756" s="26" t="str">
        <f aca="false">IF($D1756="","",O1756-R1756-S1756)</f>
        <v/>
      </c>
    </row>
    <row r="1757" customFormat="false" ht="15" hidden="false" customHeight="false" outlineLevel="0" collapsed="false">
      <c r="I1757" s="24" t="str">
        <f aca="false">IF($D1757="","",IFERROR(INDEX(Workers!$B$5:$B$2004,MATCH($D1757,Workers!$A$5:$A$2004,0)),"NOT FOUND"))</f>
        <v/>
      </c>
      <c r="J1757" s="24" t="str">
        <f aca="false">IF($D1757="","",IFERROR(INDEX(Workers!$C$5:$C$2004,MATCH($D1757,Workers!$A$5:$A$2004,0)),""))</f>
        <v/>
      </c>
      <c r="K1757" s="24" t="str">
        <f aca="false">IF($D1757="","",IFERROR(IF(INDEX(Workers!$D$5:$D$2004,MATCH($D1757,Workers!$A$5:$A$2004,0))=0,"",INDEX(Workers!$D$5:$D$2004,MATCH($D1757,Workers!$A$5:$A$2004,0))),""))</f>
        <v/>
      </c>
      <c r="L1757" s="24" t="str">
        <f aca="false">IF($D1757="","",IFERROR(INDEX(Workers!$E$5:$E$2004,MATCH($D1757,Workers!$A$5:$A$2004,0)),""))</f>
        <v/>
      </c>
      <c r="M1757" s="26" t="str">
        <f aca="false">IF($D1757="","",IFERROR(INDEX(ClientRates!$D$5:$D$500,MATCH($B1757&amp;"|"&amp;$L1757,ClientRates!$A$5:$A$500,0)),0))</f>
        <v/>
      </c>
      <c r="N1757" s="26" t="str">
        <f aca="false">IF($D1757="","",IFERROR(INDEX(ClientRates!$E$5:$E$500,MATCH($B1757&amp;"|"&amp;$L1757,ClientRates!$A$5:$A$500,0)),0))</f>
        <v/>
      </c>
      <c r="O1757" s="26" t="str">
        <f aca="false">IF($D1757="","",F1757*M1757+G1757*N1757)</f>
        <v/>
      </c>
      <c r="P1757" s="26" t="str">
        <f aca="false">IF(OR($D1757="",$J1757&lt;&gt;"Supplier"),"",IFERROR(INDEX(SupplierRates!$D$5:$D$500,MATCH($K1757&amp;"|"&amp;$L1757,SupplierRates!$A$5:$A$500,0)),0))</f>
        <v/>
      </c>
      <c r="Q1757" s="26" t="str">
        <f aca="false">IF(OR($D1757="",$J1757&lt;&gt;"Supplier"),"",IFERROR(INDEX(SupplierRates!$E$5:$E$500,MATCH($K1757&amp;"|"&amp;$L1757,SupplierRates!$A$5:$A$500,0)),0))</f>
        <v/>
      </c>
      <c r="R1757" s="26" t="n">
        <f aca="false">IF(OR($D1757="",$J1757&lt;&gt;"Supplier"),0,F1757*P1757+G1757*Q1757)</f>
        <v>0</v>
      </c>
      <c r="S1757" s="26" t="n">
        <f aca="false">IF(OR($D1757="",$J1757&lt;&gt;"Own"),0,IFERROR((F1757+G1757*Settings!$B$13)*INDEX(Workers!$V$5:$V$2004,MATCH($D1757,Workers!$A$5:$A$2004,0)),0))</f>
        <v>0</v>
      </c>
      <c r="T1757" s="26" t="str">
        <f aca="false">IF($D1757="","",O1757-R1757-S1757)</f>
        <v/>
      </c>
    </row>
    <row r="1758" customFormat="false" ht="15" hidden="false" customHeight="false" outlineLevel="0" collapsed="false">
      <c r="I1758" s="24" t="str">
        <f aca="false">IF($D1758="","",IFERROR(INDEX(Workers!$B$5:$B$2004,MATCH($D1758,Workers!$A$5:$A$2004,0)),"NOT FOUND"))</f>
        <v/>
      </c>
      <c r="J1758" s="24" t="str">
        <f aca="false">IF($D1758="","",IFERROR(INDEX(Workers!$C$5:$C$2004,MATCH($D1758,Workers!$A$5:$A$2004,0)),""))</f>
        <v/>
      </c>
      <c r="K1758" s="24" t="str">
        <f aca="false">IF($D1758="","",IFERROR(IF(INDEX(Workers!$D$5:$D$2004,MATCH($D1758,Workers!$A$5:$A$2004,0))=0,"",INDEX(Workers!$D$5:$D$2004,MATCH($D1758,Workers!$A$5:$A$2004,0))),""))</f>
        <v/>
      </c>
      <c r="L1758" s="24" t="str">
        <f aca="false">IF($D1758="","",IFERROR(INDEX(Workers!$E$5:$E$2004,MATCH($D1758,Workers!$A$5:$A$2004,0)),""))</f>
        <v/>
      </c>
      <c r="M1758" s="26" t="str">
        <f aca="false">IF($D1758="","",IFERROR(INDEX(ClientRates!$D$5:$D$500,MATCH($B1758&amp;"|"&amp;$L1758,ClientRates!$A$5:$A$500,0)),0))</f>
        <v/>
      </c>
      <c r="N1758" s="26" t="str">
        <f aca="false">IF($D1758="","",IFERROR(INDEX(ClientRates!$E$5:$E$500,MATCH($B1758&amp;"|"&amp;$L1758,ClientRates!$A$5:$A$500,0)),0))</f>
        <v/>
      </c>
      <c r="O1758" s="26" t="str">
        <f aca="false">IF($D1758="","",F1758*M1758+G1758*N1758)</f>
        <v/>
      </c>
      <c r="P1758" s="26" t="str">
        <f aca="false">IF(OR($D1758="",$J1758&lt;&gt;"Supplier"),"",IFERROR(INDEX(SupplierRates!$D$5:$D$500,MATCH($K1758&amp;"|"&amp;$L1758,SupplierRates!$A$5:$A$500,0)),0))</f>
        <v/>
      </c>
      <c r="Q1758" s="26" t="str">
        <f aca="false">IF(OR($D1758="",$J1758&lt;&gt;"Supplier"),"",IFERROR(INDEX(SupplierRates!$E$5:$E$500,MATCH($K1758&amp;"|"&amp;$L1758,SupplierRates!$A$5:$A$500,0)),0))</f>
        <v/>
      </c>
      <c r="R1758" s="26" t="n">
        <f aca="false">IF(OR($D1758="",$J1758&lt;&gt;"Supplier"),0,F1758*P1758+G1758*Q1758)</f>
        <v>0</v>
      </c>
      <c r="S1758" s="26" t="n">
        <f aca="false">IF(OR($D1758="",$J1758&lt;&gt;"Own"),0,IFERROR((F1758+G1758*Settings!$B$13)*INDEX(Workers!$V$5:$V$2004,MATCH($D1758,Workers!$A$5:$A$2004,0)),0))</f>
        <v>0</v>
      </c>
      <c r="T1758" s="26" t="str">
        <f aca="false">IF($D1758="","",O1758-R1758-S1758)</f>
        <v/>
      </c>
    </row>
    <row r="1759" customFormat="false" ht="15" hidden="false" customHeight="false" outlineLevel="0" collapsed="false">
      <c r="I1759" s="24" t="str">
        <f aca="false">IF($D1759="","",IFERROR(INDEX(Workers!$B$5:$B$2004,MATCH($D1759,Workers!$A$5:$A$2004,0)),"NOT FOUND"))</f>
        <v/>
      </c>
      <c r="J1759" s="24" t="str">
        <f aca="false">IF($D1759="","",IFERROR(INDEX(Workers!$C$5:$C$2004,MATCH($D1759,Workers!$A$5:$A$2004,0)),""))</f>
        <v/>
      </c>
      <c r="K1759" s="24" t="str">
        <f aca="false">IF($D1759="","",IFERROR(IF(INDEX(Workers!$D$5:$D$2004,MATCH($D1759,Workers!$A$5:$A$2004,0))=0,"",INDEX(Workers!$D$5:$D$2004,MATCH($D1759,Workers!$A$5:$A$2004,0))),""))</f>
        <v/>
      </c>
      <c r="L1759" s="24" t="str">
        <f aca="false">IF($D1759="","",IFERROR(INDEX(Workers!$E$5:$E$2004,MATCH($D1759,Workers!$A$5:$A$2004,0)),""))</f>
        <v/>
      </c>
      <c r="M1759" s="26" t="str">
        <f aca="false">IF($D1759="","",IFERROR(INDEX(ClientRates!$D$5:$D$500,MATCH($B1759&amp;"|"&amp;$L1759,ClientRates!$A$5:$A$500,0)),0))</f>
        <v/>
      </c>
      <c r="N1759" s="26" t="str">
        <f aca="false">IF($D1759="","",IFERROR(INDEX(ClientRates!$E$5:$E$500,MATCH($B1759&amp;"|"&amp;$L1759,ClientRates!$A$5:$A$500,0)),0))</f>
        <v/>
      </c>
      <c r="O1759" s="26" t="str">
        <f aca="false">IF($D1759="","",F1759*M1759+G1759*N1759)</f>
        <v/>
      </c>
      <c r="P1759" s="26" t="str">
        <f aca="false">IF(OR($D1759="",$J1759&lt;&gt;"Supplier"),"",IFERROR(INDEX(SupplierRates!$D$5:$D$500,MATCH($K1759&amp;"|"&amp;$L1759,SupplierRates!$A$5:$A$500,0)),0))</f>
        <v/>
      </c>
      <c r="Q1759" s="26" t="str">
        <f aca="false">IF(OR($D1759="",$J1759&lt;&gt;"Supplier"),"",IFERROR(INDEX(SupplierRates!$E$5:$E$500,MATCH($K1759&amp;"|"&amp;$L1759,SupplierRates!$A$5:$A$500,0)),0))</f>
        <v/>
      </c>
      <c r="R1759" s="26" t="n">
        <f aca="false">IF(OR($D1759="",$J1759&lt;&gt;"Supplier"),0,F1759*P1759+G1759*Q1759)</f>
        <v>0</v>
      </c>
      <c r="S1759" s="26" t="n">
        <f aca="false">IF(OR($D1759="",$J1759&lt;&gt;"Own"),0,IFERROR((F1759+G1759*Settings!$B$13)*INDEX(Workers!$V$5:$V$2004,MATCH($D1759,Workers!$A$5:$A$2004,0)),0))</f>
        <v>0</v>
      </c>
      <c r="T1759" s="26" t="str">
        <f aca="false">IF($D1759="","",O1759-R1759-S1759)</f>
        <v/>
      </c>
    </row>
    <row r="1760" customFormat="false" ht="15" hidden="false" customHeight="false" outlineLevel="0" collapsed="false">
      <c r="I1760" s="24" t="str">
        <f aca="false">IF($D1760="","",IFERROR(INDEX(Workers!$B$5:$B$2004,MATCH($D1760,Workers!$A$5:$A$2004,0)),"NOT FOUND"))</f>
        <v/>
      </c>
      <c r="J1760" s="24" t="str">
        <f aca="false">IF($D1760="","",IFERROR(INDEX(Workers!$C$5:$C$2004,MATCH($D1760,Workers!$A$5:$A$2004,0)),""))</f>
        <v/>
      </c>
      <c r="K1760" s="24" t="str">
        <f aca="false">IF($D1760="","",IFERROR(IF(INDEX(Workers!$D$5:$D$2004,MATCH($D1760,Workers!$A$5:$A$2004,0))=0,"",INDEX(Workers!$D$5:$D$2004,MATCH($D1760,Workers!$A$5:$A$2004,0))),""))</f>
        <v/>
      </c>
      <c r="L1760" s="24" t="str">
        <f aca="false">IF($D1760="","",IFERROR(INDEX(Workers!$E$5:$E$2004,MATCH($D1760,Workers!$A$5:$A$2004,0)),""))</f>
        <v/>
      </c>
      <c r="M1760" s="26" t="str">
        <f aca="false">IF($D1760="","",IFERROR(INDEX(ClientRates!$D$5:$D$500,MATCH($B1760&amp;"|"&amp;$L1760,ClientRates!$A$5:$A$500,0)),0))</f>
        <v/>
      </c>
      <c r="N1760" s="26" t="str">
        <f aca="false">IF($D1760="","",IFERROR(INDEX(ClientRates!$E$5:$E$500,MATCH($B1760&amp;"|"&amp;$L1760,ClientRates!$A$5:$A$500,0)),0))</f>
        <v/>
      </c>
      <c r="O1760" s="26" t="str">
        <f aca="false">IF($D1760="","",F1760*M1760+G1760*N1760)</f>
        <v/>
      </c>
      <c r="P1760" s="26" t="str">
        <f aca="false">IF(OR($D1760="",$J1760&lt;&gt;"Supplier"),"",IFERROR(INDEX(SupplierRates!$D$5:$D$500,MATCH($K1760&amp;"|"&amp;$L1760,SupplierRates!$A$5:$A$500,0)),0))</f>
        <v/>
      </c>
      <c r="Q1760" s="26" t="str">
        <f aca="false">IF(OR($D1760="",$J1760&lt;&gt;"Supplier"),"",IFERROR(INDEX(SupplierRates!$E$5:$E$500,MATCH($K1760&amp;"|"&amp;$L1760,SupplierRates!$A$5:$A$500,0)),0))</f>
        <v/>
      </c>
      <c r="R1760" s="26" t="n">
        <f aca="false">IF(OR($D1760="",$J1760&lt;&gt;"Supplier"),0,F1760*P1760+G1760*Q1760)</f>
        <v>0</v>
      </c>
      <c r="S1760" s="26" t="n">
        <f aca="false">IF(OR($D1760="",$J1760&lt;&gt;"Own"),0,IFERROR((F1760+G1760*Settings!$B$13)*INDEX(Workers!$V$5:$V$2004,MATCH($D1760,Workers!$A$5:$A$2004,0)),0))</f>
        <v>0</v>
      </c>
      <c r="T1760" s="26" t="str">
        <f aca="false">IF($D1760="","",O1760-R1760-S1760)</f>
        <v/>
      </c>
    </row>
    <row r="1761" customFormat="false" ht="15" hidden="false" customHeight="false" outlineLevel="0" collapsed="false">
      <c r="I1761" s="24" t="str">
        <f aca="false">IF($D1761="","",IFERROR(INDEX(Workers!$B$5:$B$2004,MATCH($D1761,Workers!$A$5:$A$2004,0)),"NOT FOUND"))</f>
        <v/>
      </c>
      <c r="J1761" s="24" t="str">
        <f aca="false">IF($D1761="","",IFERROR(INDEX(Workers!$C$5:$C$2004,MATCH($D1761,Workers!$A$5:$A$2004,0)),""))</f>
        <v/>
      </c>
      <c r="K1761" s="24" t="str">
        <f aca="false">IF($D1761="","",IFERROR(IF(INDEX(Workers!$D$5:$D$2004,MATCH($D1761,Workers!$A$5:$A$2004,0))=0,"",INDEX(Workers!$D$5:$D$2004,MATCH($D1761,Workers!$A$5:$A$2004,0))),""))</f>
        <v/>
      </c>
      <c r="L1761" s="24" t="str">
        <f aca="false">IF($D1761="","",IFERROR(INDEX(Workers!$E$5:$E$2004,MATCH($D1761,Workers!$A$5:$A$2004,0)),""))</f>
        <v/>
      </c>
      <c r="M1761" s="26" t="str">
        <f aca="false">IF($D1761="","",IFERROR(INDEX(ClientRates!$D$5:$D$500,MATCH($B1761&amp;"|"&amp;$L1761,ClientRates!$A$5:$A$500,0)),0))</f>
        <v/>
      </c>
      <c r="N1761" s="26" t="str">
        <f aca="false">IF($D1761="","",IFERROR(INDEX(ClientRates!$E$5:$E$500,MATCH($B1761&amp;"|"&amp;$L1761,ClientRates!$A$5:$A$500,0)),0))</f>
        <v/>
      </c>
      <c r="O1761" s="26" t="str">
        <f aca="false">IF($D1761="","",F1761*M1761+G1761*N1761)</f>
        <v/>
      </c>
      <c r="P1761" s="26" t="str">
        <f aca="false">IF(OR($D1761="",$J1761&lt;&gt;"Supplier"),"",IFERROR(INDEX(SupplierRates!$D$5:$D$500,MATCH($K1761&amp;"|"&amp;$L1761,SupplierRates!$A$5:$A$500,0)),0))</f>
        <v/>
      </c>
      <c r="Q1761" s="26" t="str">
        <f aca="false">IF(OR($D1761="",$J1761&lt;&gt;"Supplier"),"",IFERROR(INDEX(SupplierRates!$E$5:$E$500,MATCH($K1761&amp;"|"&amp;$L1761,SupplierRates!$A$5:$A$500,0)),0))</f>
        <v/>
      </c>
      <c r="R1761" s="26" t="n">
        <f aca="false">IF(OR($D1761="",$J1761&lt;&gt;"Supplier"),0,F1761*P1761+G1761*Q1761)</f>
        <v>0</v>
      </c>
      <c r="S1761" s="26" t="n">
        <f aca="false">IF(OR($D1761="",$J1761&lt;&gt;"Own"),0,IFERROR((F1761+G1761*Settings!$B$13)*INDEX(Workers!$V$5:$V$2004,MATCH($D1761,Workers!$A$5:$A$2004,0)),0))</f>
        <v>0</v>
      </c>
      <c r="T1761" s="26" t="str">
        <f aca="false">IF($D1761="","",O1761-R1761-S1761)</f>
        <v/>
      </c>
    </row>
    <row r="1762" customFormat="false" ht="15" hidden="false" customHeight="false" outlineLevel="0" collapsed="false">
      <c r="I1762" s="24" t="str">
        <f aca="false">IF($D1762="","",IFERROR(INDEX(Workers!$B$5:$B$2004,MATCH($D1762,Workers!$A$5:$A$2004,0)),"NOT FOUND"))</f>
        <v/>
      </c>
      <c r="J1762" s="24" t="str">
        <f aca="false">IF($D1762="","",IFERROR(INDEX(Workers!$C$5:$C$2004,MATCH($D1762,Workers!$A$5:$A$2004,0)),""))</f>
        <v/>
      </c>
      <c r="K1762" s="24" t="str">
        <f aca="false">IF($D1762="","",IFERROR(IF(INDEX(Workers!$D$5:$D$2004,MATCH($D1762,Workers!$A$5:$A$2004,0))=0,"",INDEX(Workers!$D$5:$D$2004,MATCH($D1762,Workers!$A$5:$A$2004,0))),""))</f>
        <v/>
      </c>
      <c r="L1762" s="24" t="str">
        <f aca="false">IF($D1762="","",IFERROR(INDEX(Workers!$E$5:$E$2004,MATCH($D1762,Workers!$A$5:$A$2004,0)),""))</f>
        <v/>
      </c>
      <c r="M1762" s="26" t="str">
        <f aca="false">IF($D1762="","",IFERROR(INDEX(ClientRates!$D$5:$D$500,MATCH($B1762&amp;"|"&amp;$L1762,ClientRates!$A$5:$A$500,0)),0))</f>
        <v/>
      </c>
      <c r="N1762" s="26" t="str">
        <f aca="false">IF($D1762="","",IFERROR(INDEX(ClientRates!$E$5:$E$500,MATCH($B1762&amp;"|"&amp;$L1762,ClientRates!$A$5:$A$500,0)),0))</f>
        <v/>
      </c>
      <c r="O1762" s="26" t="str">
        <f aca="false">IF($D1762="","",F1762*M1762+G1762*N1762)</f>
        <v/>
      </c>
      <c r="P1762" s="26" t="str">
        <f aca="false">IF(OR($D1762="",$J1762&lt;&gt;"Supplier"),"",IFERROR(INDEX(SupplierRates!$D$5:$D$500,MATCH($K1762&amp;"|"&amp;$L1762,SupplierRates!$A$5:$A$500,0)),0))</f>
        <v/>
      </c>
      <c r="Q1762" s="26" t="str">
        <f aca="false">IF(OR($D1762="",$J1762&lt;&gt;"Supplier"),"",IFERROR(INDEX(SupplierRates!$E$5:$E$500,MATCH($K1762&amp;"|"&amp;$L1762,SupplierRates!$A$5:$A$500,0)),0))</f>
        <v/>
      </c>
      <c r="R1762" s="26" t="n">
        <f aca="false">IF(OR($D1762="",$J1762&lt;&gt;"Supplier"),0,F1762*P1762+G1762*Q1762)</f>
        <v>0</v>
      </c>
      <c r="S1762" s="26" t="n">
        <f aca="false">IF(OR($D1762="",$J1762&lt;&gt;"Own"),0,IFERROR((F1762+G1762*Settings!$B$13)*INDEX(Workers!$V$5:$V$2004,MATCH($D1762,Workers!$A$5:$A$2004,0)),0))</f>
        <v>0</v>
      </c>
      <c r="T1762" s="26" t="str">
        <f aca="false">IF($D1762="","",O1762-R1762-S1762)</f>
        <v/>
      </c>
    </row>
    <row r="1763" customFormat="false" ht="15" hidden="false" customHeight="false" outlineLevel="0" collapsed="false">
      <c r="I1763" s="24" t="str">
        <f aca="false">IF($D1763="","",IFERROR(INDEX(Workers!$B$5:$B$2004,MATCH($D1763,Workers!$A$5:$A$2004,0)),"NOT FOUND"))</f>
        <v/>
      </c>
      <c r="J1763" s="24" t="str">
        <f aca="false">IF($D1763="","",IFERROR(INDEX(Workers!$C$5:$C$2004,MATCH($D1763,Workers!$A$5:$A$2004,0)),""))</f>
        <v/>
      </c>
      <c r="K1763" s="24" t="str">
        <f aca="false">IF($D1763="","",IFERROR(IF(INDEX(Workers!$D$5:$D$2004,MATCH($D1763,Workers!$A$5:$A$2004,0))=0,"",INDEX(Workers!$D$5:$D$2004,MATCH($D1763,Workers!$A$5:$A$2004,0))),""))</f>
        <v/>
      </c>
      <c r="L1763" s="24" t="str">
        <f aca="false">IF($D1763="","",IFERROR(INDEX(Workers!$E$5:$E$2004,MATCH($D1763,Workers!$A$5:$A$2004,0)),""))</f>
        <v/>
      </c>
      <c r="M1763" s="26" t="str">
        <f aca="false">IF($D1763="","",IFERROR(INDEX(ClientRates!$D$5:$D$500,MATCH($B1763&amp;"|"&amp;$L1763,ClientRates!$A$5:$A$500,0)),0))</f>
        <v/>
      </c>
      <c r="N1763" s="26" t="str">
        <f aca="false">IF($D1763="","",IFERROR(INDEX(ClientRates!$E$5:$E$500,MATCH($B1763&amp;"|"&amp;$L1763,ClientRates!$A$5:$A$500,0)),0))</f>
        <v/>
      </c>
      <c r="O1763" s="26" t="str">
        <f aca="false">IF($D1763="","",F1763*M1763+G1763*N1763)</f>
        <v/>
      </c>
      <c r="P1763" s="26" t="str">
        <f aca="false">IF(OR($D1763="",$J1763&lt;&gt;"Supplier"),"",IFERROR(INDEX(SupplierRates!$D$5:$D$500,MATCH($K1763&amp;"|"&amp;$L1763,SupplierRates!$A$5:$A$500,0)),0))</f>
        <v/>
      </c>
      <c r="Q1763" s="26" t="str">
        <f aca="false">IF(OR($D1763="",$J1763&lt;&gt;"Supplier"),"",IFERROR(INDEX(SupplierRates!$E$5:$E$500,MATCH($K1763&amp;"|"&amp;$L1763,SupplierRates!$A$5:$A$500,0)),0))</f>
        <v/>
      </c>
      <c r="R1763" s="26" t="n">
        <f aca="false">IF(OR($D1763="",$J1763&lt;&gt;"Supplier"),0,F1763*P1763+G1763*Q1763)</f>
        <v>0</v>
      </c>
      <c r="S1763" s="26" t="n">
        <f aca="false">IF(OR($D1763="",$J1763&lt;&gt;"Own"),0,IFERROR((F1763+G1763*Settings!$B$13)*INDEX(Workers!$V$5:$V$2004,MATCH($D1763,Workers!$A$5:$A$2004,0)),0))</f>
        <v>0</v>
      </c>
      <c r="T1763" s="26" t="str">
        <f aca="false">IF($D1763="","",O1763-R1763-S1763)</f>
        <v/>
      </c>
    </row>
    <row r="1764" customFormat="false" ht="15" hidden="false" customHeight="false" outlineLevel="0" collapsed="false">
      <c r="I1764" s="24" t="str">
        <f aca="false">IF($D1764="","",IFERROR(INDEX(Workers!$B$5:$B$2004,MATCH($D1764,Workers!$A$5:$A$2004,0)),"NOT FOUND"))</f>
        <v/>
      </c>
      <c r="J1764" s="24" t="str">
        <f aca="false">IF($D1764="","",IFERROR(INDEX(Workers!$C$5:$C$2004,MATCH($D1764,Workers!$A$5:$A$2004,0)),""))</f>
        <v/>
      </c>
      <c r="K1764" s="24" t="str">
        <f aca="false">IF($D1764="","",IFERROR(IF(INDEX(Workers!$D$5:$D$2004,MATCH($D1764,Workers!$A$5:$A$2004,0))=0,"",INDEX(Workers!$D$5:$D$2004,MATCH($D1764,Workers!$A$5:$A$2004,0))),""))</f>
        <v/>
      </c>
      <c r="L1764" s="24" t="str">
        <f aca="false">IF($D1764="","",IFERROR(INDEX(Workers!$E$5:$E$2004,MATCH($D1764,Workers!$A$5:$A$2004,0)),""))</f>
        <v/>
      </c>
      <c r="M1764" s="26" t="str">
        <f aca="false">IF($D1764="","",IFERROR(INDEX(ClientRates!$D$5:$D$500,MATCH($B1764&amp;"|"&amp;$L1764,ClientRates!$A$5:$A$500,0)),0))</f>
        <v/>
      </c>
      <c r="N1764" s="26" t="str">
        <f aca="false">IF($D1764="","",IFERROR(INDEX(ClientRates!$E$5:$E$500,MATCH($B1764&amp;"|"&amp;$L1764,ClientRates!$A$5:$A$500,0)),0))</f>
        <v/>
      </c>
      <c r="O1764" s="26" t="str">
        <f aca="false">IF($D1764="","",F1764*M1764+G1764*N1764)</f>
        <v/>
      </c>
      <c r="P1764" s="26" t="str">
        <f aca="false">IF(OR($D1764="",$J1764&lt;&gt;"Supplier"),"",IFERROR(INDEX(SupplierRates!$D$5:$D$500,MATCH($K1764&amp;"|"&amp;$L1764,SupplierRates!$A$5:$A$500,0)),0))</f>
        <v/>
      </c>
      <c r="Q1764" s="26" t="str">
        <f aca="false">IF(OR($D1764="",$J1764&lt;&gt;"Supplier"),"",IFERROR(INDEX(SupplierRates!$E$5:$E$500,MATCH($K1764&amp;"|"&amp;$L1764,SupplierRates!$A$5:$A$500,0)),0))</f>
        <v/>
      </c>
      <c r="R1764" s="26" t="n">
        <f aca="false">IF(OR($D1764="",$J1764&lt;&gt;"Supplier"),0,F1764*P1764+G1764*Q1764)</f>
        <v>0</v>
      </c>
      <c r="S1764" s="26" t="n">
        <f aca="false">IF(OR($D1764="",$J1764&lt;&gt;"Own"),0,IFERROR((F1764+G1764*Settings!$B$13)*INDEX(Workers!$V$5:$V$2004,MATCH($D1764,Workers!$A$5:$A$2004,0)),0))</f>
        <v>0</v>
      </c>
      <c r="T1764" s="26" t="str">
        <f aca="false">IF($D1764="","",O1764-R1764-S1764)</f>
        <v/>
      </c>
    </row>
    <row r="1765" customFormat="false" ht="15" hidden="false" customHeight="false" outlineLevel="0" collapsed="false">
      <c r="I1765" s="24" t="str">
        <f aca="false">IF($D1765="","",IFERROR(INDEX(Workers!$B$5:$B$2004,MATCH($D1765,Workers!$A$5:$A$2004,0)),"NOT FOUND"))</f>
        <v/>
      </c>
      <c r="J1765" s="24" t="str">
        <f aca="false">IF($D1765="","",IFERROR(INDEX(Workers!$C$5:$C$2004,MATCH($D1765,Workers!$A$5:$A$2004,0)),""))</f>
        <v/>
      </c>
      <c r="K1765" s="24" t="str">
        <f aca="false">IF($D1765="","",IFERROR(IF(INDEX(Workers!$D$5:$D$2004,MATCH($D1765,Workers!$A$5:$A$2004,0))=0,"",INDEX(Workers!$D$5:$D$2004,MATCH($D1765,Workers!$A$5:$A$2004,0))),""))</f>
        <v/>
      </c>
      <c r="L1765" s="24" t="str">
        <f aca="false">IF($D1765="","",IFERROR(INDEX(Workers!$E$5:$E$2004,MATCH($D1765,Workers!$A$5:$A$2004,0)),""))</f>
        <v/>
      </c>
      <c r="M1765" s="26" t="str">
        <f aca="false">IF($D1765="","",IFERROR(INDEX(ClientRates!$D$5:$D$500,MATCH($B1765&amp;"|"&amp;$L1765,ClientRates!$A$5:$A$500,0)),0))</f>
        <v/>
      </c>
      <c r="N1765" s="26" t="str">
        <f aca="false">IF($D1765="","",IFERROR(INDEX(ClientRates!$E$5:$E$500,MATCH($B1765&amp;"|"&amp;$L1765,ClientRates!$A$5:$A$500,0)),0))</f>
        <v/>
      </c>
      <c r="O1765" s="26" t="str">
        <f aca="false">IF($D1765="","",F1765*M1765+G1765*N1765)</f>
        <v/>
      </c>
      <c r="P1765" s="26" t="str">
        <f aca="false">IF(OR($D1765="",$J1765&lt;&gt;"Supplier"),"",IFERROR(INDEX(SupplierRates!$D$5:$D$500,MATCH($K1765&amp;"|"&amp;$L1765,SupplierRates!$A$5:$A$500,0)),0))</f>
        <v/>
      </c>
      <c r="Q1765" s="26" t="str">
        <f aca="false">IF(OR($D1765="",$J1765&lt;&gt;"Supplier"),"",IFERROR(INDEX(SupplierRates!$E$5:$E$500,MATCH($K1765&amp;"|"&amp;$L1765,SupplierRates!$A$5:$A$500,0)),0))</f>
        <v/>
      </c>
      <c r="R1765" s="26" t="n">
        <f aca="false">IF(OR($D1765="",$J1765&lt;&gt;"Supplier"),0,F1765*P1765+G1765*Q1765)</f>
        <v>0</v>
      </c>
      <c r="S1765" s="26" t="n">
        <f aca="false">IF(OR($D1765="",$J1765&lt;&gt;"Own"),0,IFERROR((F1765+G1765*Settings!$B$13)*INDEX(Workers!$V$5:$V$2004,MATCH($D1765,Workers!$A$5:$A$2004,0)),0))</f>
        <v>0</v>
      </c>
      <c r="T1765" s="26" t="str">
        <f aca="false">IF($D1765="","",O1765-R1765-S1765)</f>
        <v/>
      </c>
    </row>
    <row r="1766" customFormat="false" ht="15" hidden="false" customHeight="false" outlineLevel="0" collapsed="false">
      <c r="I1766" s="24" t="str">
        <f aca="false">IF($D1766="","",IFERROR(INDEX(Workers!$B$5:$B$2004,MATCH($D1766,Workers!$A$5:$A$2004,0)),"NOT FOUND"))</f>
        <v/>
      </c>
      <c r="J1766" s="24" t="str">
        <f aca="false">IF($D1766="","",IFERROR(INDEX(Workers!$C$5:$C$2004,MATCH($D1766,Workers!$A$5:$A$2004,0)),""))</f>
        <v/>
      </c>
      <c r="K1766" s="24" t="str">
        <f aca="false">IF($D1766="","",IFERROR(IF(INDEX(Workers!$D$5:$D$2004,MATCH($D1766,Workers!$A$5:$A$2004,0))=0,"",INDEX(Workers!$D$5:$D$2004,MATCH($D1766,Workers!$A$5:$A$2004,0))),""))</f>
        <v/>
      </c>
      <c r="L1766" s="24" t="str">
        <f aca="false">IF($D1766="","",IFERROR(INDEX(Workers!$E$5:$E$2004,MATCH($D1766,Workers!$A$5:$A$2004,0)),""))</f>
        <v/>
      </c>
      <c r="M1766" s="26" t="str">
        <f aca="false">IF($D1766="","",IFERROR(INDEX(ClientRates!$D$5:$D$500,MATCH($B1766&amp;"|"&amp;$L1766,ClientRates!$A$5:$A$500,0)),0))</f>
        <v/>
      </c>
      <c r="N1766" s="26" t="str">
        <f aca="false">IF($D1766="","",IFERROR(INDEX(ClientRates!$E$5:$E$500,MATCH($B1766&amp;"|"&amp;$L1766,ClientRates!$A$5:$A$500,0)),0))</f>
        <v/>
      </c>
      <c r="O1766" s="26" t="str">
        <f aca="false">IF($D1766="","",F1766*M1766+G1766*N1766)</f>
        <v/>
      </c>
      <c r="P1766" s="26" t="str">
        <f aca="false">IF(OR($D1766="",$J1766&lt;&gt;"Supplier"),"",IFERROR(INDEX(SupplierRates!$D$5:$D$500,MATCH($K1766&amp;"|"&amp;$L1766,SupplierRates!$A$5:$A$500,0)),0))</f>
        <v/>
      </c>
      <c r="Q1766" s="26" t="str">
        <f aca="false">IF(OR($D1766="",$J1766&lt;&gt;"Supplier"),"",IFERROR(INDEX(SupplierRates!$E$5:$E$500,MATCH($K1766&amp;"|"&amp;$L1766,SupplierRates!$A$5:$A$500,0)),0))</f>
        <v/>
      </c>
      <c r="R1766" s="26" t="n">
        <f aca="false">IF(OR($D1766="",$J1766&lt;&gt;"Supplier"),0,F1766*P1766+G1766*Q1766)</f>
        <v>0</v>
      </c>
      <c r="S1766" s="26" t="n">
        <f aca="false">IF(OR($D1766="",$J1766&lt;&gt;"Own"),0,IFERROR((F1766+G1766*Settings!$B$13)*INDEX(Workers!$V$5:$V$2004,MATCH($D1766,Workers!$A$5:$A$2004,0)),0))</f>
        <v>0</v>
      </c>
      <c r="T1766" s="26" t="str">
        <f aca="false">IF($D1766="","",O1766-R1766-S1766)</f>
        <v/>
      </c>
    </row>
    <row r="1767" customFormat="false" ht="15" hidden="false" customHeight="false" outlineLevel="0" collapsed="false">
      <c r="I1767" s="24" t="str">
        <f aca="false">IF($D1767="","",IFERROR(INDEX(Workers!$B$5:$B$2004,MATCH($D1767,Workers!$A$5:$A$2004,0)),"NOT FOUND"))</f>
        <v/>
      </c>
      <c r="J1767" s="24" t="str">
        <f aca="false">IF($D1767="","",IFERROR(INDEX(Workers!$C$5:$C$2004,MATCH($D1767,Workers!$A$5:$A$2004,0)),""))</f>
        <v/>
      </c>
      <c r="K1767" s="24" t="str">
        <f aca="false">IF($D1767="","",IFERROR(IF(INDEX(Workers!$D$5:$D$2004,MATCH($D1767,Workers!$A$5:$A$2004,0))=0,"",INDEX(Workers!$D$5:$D$2004,MATCH($D1767,Workers!$A$5:$A$2004,0))),""))</f>
        <v/>
      </c>
      <c r="L1767" s="24" t="str">
        <f aca="false">IF($D1767="","",IFERROR(INDEX(Workers!$E$5:$E$2004,MATCH($D1767,Workers!$A$5:$A$2004,0)),""))</f>
        <v/>
      </c>
      <c r="M1767" s="26" t="str">
        <f aca="false">IF($D1767="","",IFERROR(INDEX(ClientRates!$D$5:$D$500,MATCH($B1767&amp;"|"&amp;$L1767,ClientRates!$A$5:$A$500,0)),0))</f>
        <v/>
      </c>
      <c r="N1767" s="26" t="str">
        <f aca="false">IF($D1767="","",IFERROR(INDEX(ClientRates!$E$5:$E$500,MATCH($B1767&amp;"|"&amp;$L1767,ClientRates!$A$5:$A$500,0)),0))</f>
        <v/>
      </c>
      <c r="O1767" s="26" t="str">
        <f aca="false">IF($D1767="","",F1767*M1767+G1767*N1767)</f>
        <v/>
      </c>
      <c r="P1767" s="26" t="str">
        <f aca="false">IF(OR($D1767="",$J1767&lt;&gt;"Supplier"),"",IFERROR(INDEX(SupplierRates!$D$5:$D$500,MATCH($K1767&amp;"|"&amp;$L1767,SupplierRates!$A$5:$A$500,0)),0))</f>
        <v/>
      </c>
      <c r="Q1767" s="26" t="str">
        <f aca="false">IF(OR($D1767="",$J1767&lt;&gt;"Supplier"),"",IFERROR(INDEX(SupplierRates!$E$5:$E$500,MATCH($K1767&amp;"|"&amp;$L1767,SupplierRates!$A$5:$A$500,0)),0))</f>
        <v/>
      </c>
      <c r="R1767" s="26" t="n">
        <f aca="false">IF(OR($D1767="",$J1767&lt;&gt;"Supplier"),0,F1767*P1767+G1767*Q1767)</f>
        <v>0</v>
      </c>
      <c r="S1767" s="26" t="n">
        <f aca="false">IF(OR($D1767="",$J1767&lt;&gt;"Own"),0,IFERROR((F1767+G1767*Settings!$B$13)*INDEX(Workers!$V$5:$V$2004,MATCH($D1767,Workers!$A$5:$A$2004,0)),0))</f>
        <v>0</v>
      </c>
      <c r="T1767" s="26" t="str">
        <f aca="false">IF($D1767="","",O1767-R1767-S1767)</f>
        <v/>
      </c>
    </row>
    <row r="1768" customFormat="false" ht="15" hidden="false" customHeight="false" outlineLevel="0" collapsed="false">
      <c r="I1768" s="24" t="str">
        <f aca="false">IF($D1768="","",IFERROR(INDEX(Workers!$B$5:$B$2004,MATCH($D1768,Workers!$A$5:$A$2004,0)),"NOT FOUND"))</f>
        <v/>
      </c>
      <c r="J1768" s="24" t="str">
        <f aca="false">IF($D1768="","",IFERROR(INDEX(Workers!$C$5:$C$2004,MATCH($D1768,Workers!$A$5:$A$2004,0)),""))</f>
        <v/>
      </c>
      <c r="K1768" s="24" t="str">
        <f aca="false">IF($D1768="","",IFERROR(IF(INDEX(Workers!$D$5:$D$2004,MATCH($D1768,Workers!$A$5:$A$2004,0))=0,"",INDEX(Workers!$D$5:$D$2004,MATCH($D1768,Workers!$A$5:$A$2004,0))),""))</f>
        <v/>
      </c>
      <c r="L1768" s="24" t="str">
        <f aca="false">IF($D1768="","",IFERROR(INDEX(Workers!$E$5:$E$2004,MATCH($D1768,Workers!$A$5:$A$2004,0)),""))</f>
        <v/>
      </c>
      <c r="M1768" s="26" t="str">
        <f aca="false">IF($D1768="","",IFERROR(INDEX(ClientRates!$D$5:$D$500,MATCH($B1768&amp;"|"&amp;$L1768,ClientRates!$A$5:$A$500,0)),0))</f>
        <v/>
      </c>
      <c r="N1768" s="26" t="str">
        <f aca="false">IF($D1768="","",IFERROR(INDEX(ClientRates!$E$5:$E$500,MATCH($B1768&amp;"|"&amp;$L1768,ClientRates!$A$5:$A$500,0)),0))</f>
        <v/>
      </c>
      <c r="O1768" s="26" t="str">
        <f aca="false">IF($D1768="","",F1768*M1768+G1768*N1768)</f>
        <v/>
      </c>
      <c r="P1768" s="26" t="str">
        <f aca="false">IF(OR($D1768="",$J1768&lt;&gt;"Supplier"),"",IFERROR(INDEX(SupplierRates!$D$5:$D$500,MATCH($K1768&amp;"|"&amp;$L1768,SupplierRates!$A$5:$A$500,0)),0))</f>
        <v/>
      </c>
      <c r="Q1768" s="26" t="str">
        <f aca="false">IF(OR($D1768="",$J1768&lt;&gt;"Supplier"),"",IFERROR(INDEX(SupplierRates!$E$5:$E$500,MATCH($K1768&amp;"|"&amp;$L1768,SupplierRates!$A$5:$A$500,0)),0))</f>
        <v/>
      </c>
      <c r="R1768" s="26" t="n">
        <f aca="false">IF(OR($D1768="",$J1768&lt;&gt;"Supplier"),0,F1768*P1768+G1768*Q1768)</f>
        <v>0</v>
      </c>
      <c r="S1768" s="26" t="n">
        <f aca="false">IF(OR($D1768="",$J1768&lt;&gt;"Own"),0,IFERROR((F1768+G1768*Settings!$B$13)*INDEX(Workers!$V$5:$V$2004,MATCH($D1768,Workers!$A$5:$A$2004,0)),0))</f>
        <v>0</v>
      </c>
      <c r="T1768" s="26" t="str">
        <f aca="false">IF($D1768="","",O1768-R1768-S1768)</f>
        <v/>
      </c>
    </row>
    <row r="1769" customFormat="false" ht="15" hidden="false" customHeight="false" outlineLevel="0" collapsed="false">
      <c r="I1769" s="24" t="str">
        <f aca="false">IF($D1769="","",IFERROR(INDEX(Workers!$B$5:$B$2004,MATCH($D1769,Workers!$A$5:$A$2004,0)),"NOT FOUND"))</f>
        <v/>
      </c>
      <c r="J1769" s="24" t="str">
        <f aca="false">IF($D1769="","",IFERROR(INDEX(Workers!$C$5:$C$2004,MATCH($D1769,Workers!$A$5:$A$2004,0)),""))</f>
        <v/>
      </c>
      <c r="K1769" s="24" t="str">
        <f aca="false">IF($D1769="","",IFERROR(IF(INDEX(Workers!$D$5:$D$2004,MATCH($D1769,Workers!$A$5:$A$2004,0))=0,"",INDEX(Workers!$D$5:$D$2004,MATCH($D1769,Workers!$A$5:$A$2004,0))),""))</f>
        <v/>
      </c>
      <c r="L1769" s="24" t="str">
        <f aca="false">IF($D1769="","",IFERROR(INDEX(Workers!$E$5:$E$2004,MATCH($D1769,Workers!$A$5:$A$2004,0)),""))</f>
        <v/>
      </c>
      <c r="M1769" s="26" t="str">
        <f aca="false">IF($D1769="","",IFERROR(INDEX(ClientRates!$D$5:$D$500,MATCH($B1769&amp;"|"&amp;$L1769,ClientRates!$A$5:$A$500,0)),0))</f>
        <v/>
      </c>
      <c r="N1769" s="26" t="str">
        <f aca="false">IF($D1769="","",IFERROR(INDEX(ClientRates!$E$5:$E$500,MATCH($B1769&amp;"|"&amp;$L1769,ClientRates!$A$5:$A$500,0)),0))</f>
        <v/>
      </c>
      <c r="O1769" s="26" t="str">
        <f aca="false">IF($D1769="","",F1769*M1769+G1769*N1769)</f>
        <v/>
      </c>
      <c r="P1769" s="26" t="str">
        <f aca="false">IF(OR($D1769="",$J1769&lt;&gt;"Supplier"),"",IFERROR(INDEX(SupplierRates!$D$5:$D$500,MATCH($K1769&amp;"|"&amp;$L1769,SupplierRates!$A$5:$A$500,0)),0))</f>
        <v/>
      </c>
      <c r="Q1769" s="26" t="str">
        <f aca="false">IF(OR($D1769="",$J1769&lt;&gt;"Supplier"),"",IFERROR(INDEX(SupplierRates!$E$5:$E$500,MATCH($K1769&amp;"|"&amp;$L1769,SupplierRates!$A$5:$A$500,0)),0))</f>
        <v/>
      </c>
      <c r="R1769" s="26" t="n">
        <f aca="false">IF(OR($D1769="",$J1769&lt;&gt;"Supplier"),0,F1769*P1769+G1769*Q1769)</f>
        <v>0</v>
      </c>
      <c r="S1769" s="26" t="n">
        <f aca="false">IF(OR($D1769="",$J1769&lt;&gt;"Own"),0,IFERROR((F1769+G1769*Settings!$B$13)*INDEX(Workers!$V$5:$V$2004,MATCH($D1769,Workers!$A$5:$A$2004,0)),0))</f>
        <v>0</v>
      </c>
      <c r="T1769" s="26" t="str">
        <f aca="false">IF($D1769="","",O1769-R1769-S1769)</f>
        <v/>
      </c>
    </row>
    <row r="1770" customFormat="false" ht="15" hidden="false" customHeight="false" outlineLevel="0" collapsed="false">
      <c r="I1770" s="24" t="str">
        <f aca="false">IF($D1770="","",IFERROR(INDEX(Workers!$B$5:$B$2004,MATCH($D1770,Workers!$A$5:$A$2004,0)),"NOT FOUND"))</f>
        <v/>
      </c>
      <c r="J1770" s="24" t="str">
        <f aca="false">IF($D1770="","",IFERROR(INDEX(Workers!$C$5:$C$2004,MATCH($D1770,Workers!$A$5:$A$2004,0)),""))</f>
        <v/>
      </c>
      <c r="K1770" s="24" t="str">
        <f aca="false">IF($D1770="","",IFERROR(IF(INDEX(Workers!$D$5:$D$2004,MATCH($D1770,Workers!$A$5:$A$2004,0))=0,"",INDEX(Workers!$D$5:$D$2004,MATCH($D1770,Workers!$A$5:$A$2004,0))),""))</f>
        <v/>
      </c>
      <c r="L1770" s="24" t="str">
        <f aca="false">IF($D1770="","",IFERROR(INDEX(Workers!$E$5:$E$2004,MATCH($D1770,Workers!$A$5:$A$2004,0)),""))</f>
        <v/>
      </c>
      <c r="M1770" s="26" t="str">
        <f aca="false">IF($D1770="","",IFERROR(INDEX(ClientRates!$D$5:$D$500,MATCH($B1770&amp;"|"&amp;$L1770,ClientRates!$A$5:$A$500,0)),0))</f>
        <v/>
      </c>
      <c r="N1770" s="26" t="str">
        <f aca="false">IF($D1770="","",IFERROR(INDEX(ClientRates!$E$5:$E$500,MATCH($B1770&amp;"|"&amp;$L1770,ClientRates!$A$5:$A$500,0)),0))</f>
        <v/>
      </c>
      <c r="O1770" s="26" t="str">
        <f aca="false">IF($D1770="","",F1770*M1770+G1770*N1770)</f>
        <v/>
      </c>
      <c r="P1770" s="26" t="str">
        <f aca="false">IF(OR($D1770="",$J1770&lt;&gt;"Supplier"),"",IFERROR(INDEX(SupplierRates!$D$5:$D$500,MATCH($K1770&amp;"|"&amp;$L1770,SupplierRates!$A$5:$A$500,0)),0))</f>
        <v/>
      </c>
      <c r="Q1770" s="26" t="str">
        <f aca="false">IF(OR($D1770="",$J1770&lt;&gt;"Supplier"),"",IFERROR(INDEX(SupplierRates!$E$5:$E$500,MATCH($K1770&amp;"|"&amp;$L1770,SupplierRates!$A$5:$A$500,0)),0))</f>
        <v/>
      </c>
      <c r="R1770" s="26" t="n">
        <f aca="false">IF(OR($D1770="",$J1770&lt;&gt;"Supplier"),0,F1770*P1770+G1770*Q1770)</f>
        <v>0</v>
      </c>
      <c r="S1770" s="26" t="n">
        <f aca="false">IF(OR($D1770="",$J1770&lt;&gt;"Own"),0,IFERROR((F1770+G1770*Settings!$B$13)*INDEX(Workers!$V$5:$V$2004,MATCH($D1770,Workers!$A$5:$A$2004,0)),0))</f>
        <v>0</v>
      </c>
      <c r="T1770" s="26" t="str">
        <f aca="false">IF($D1770="","",O1770-R1770-S1770)</f>
        <v/>
      </c>
    </row>
    <row r="1771" customFormat="false" ht="15" hidden="false" customHeight="false" outlineLevel="0" collapsed="false">
      <c r="I1771" s="24" t="str">
        <f aca="false">IF($D1771="","",IFERROR(INDEX(Workers!$B$5:$B$2004,MATCH($D1771,Workers!$A$5:$A$2004,0)),"NOT FOUND"))</f>
        <v/>
      </c>
      <c r="J1771" s="24" t="str">
        <f aca="false">IF($D1771="","",IFERROR(INDEX(Workers!$C$5:$C$2004,MATCH($D1771,Workers!$A$5:$A$2004,0)),""))</f>
        <v/>
      </c>
      <c r="K1771" s="24" t="str">
        <f aca="false">IF($D1771="","",IFERROR(IF(INDEX(Workers!$D$5:$D$2004,MATCH($D1771,Workers!$A$5:$A$2004,0))=0,"",INDEX(Workers!$D$5:$D$2004,MATCH($D1771,Workers!$A$5:$A$2004,0))),""))</f>
        <v/>
      </c>
      <c r="L1771" s="24" t="str">
        <f aca="false">IF($D1771="","",IFERROR(INDEX(Workers!$E$5:$E$2004,MATCH($D1771,Workers!$A$5:$A$2004,0)),""))</f>
        <v/>
      </c>
      <c r="M1771" s="26" t="str">
        <f aca="false">IF($D1771="","",IFERROR(INDEX(ClientRates!$D$5:$D$500,MATCH($B1771&amp;"|"&amp;$L1771,ClientRates!$A$5:$A$500,0)),0))</f>
        <v/>
      </c>
      <c r="N1771" s="26" t="str">
        <f aca="false">IF($D1771="","",IFERROR(INDEX(ClientRates!$E$5:$E$500,MATCH($B1771&amp;"|"&amp;$L1771,ClientRates!$A$5:$A$500,0)),0))</f>
        <v/>
      </c>
      <c r="O1771" s="26" t="str">
        <f aca="false">IF($D1771="","",F1771*M1771+G1771*N1771)</f>
        <v/>
      </c>
      <c r="P1771" s="26" t="str">
        <f aca="false">IF(OR($D1771="",$J1771&lt;&gt;"Supplier"),"",IFERROR(INDEX(SupplierRates!$D$5:$D$500,MATCH($K1771&amp;"|"&amp;$L1771,SupplierRates!$A$5:$A$500,0)),0))</f>
        <v/>
      </c>
      <c r="Q1771" s="26" t="str">
        <f aca="false">IF(OR($D1771="",$J1771&lt;&gt;"Supplier"),"",IFERROR(INDEX(SupplierRates!$E$5:$E$500,MATCH($K1771&amp;"|"&amp;$L1771,SupplierRates!$A$5:$A$500,0)),0))</f>
        <v/>
      </c>
      <c r="R1771" s="26" t="n">
        <f aca="false">IF(OR($D1771="",$J1771&lt;&gt;"Supplier"),0,F1771*P1771+G1771*Q1771)</f>
        <v>0</v>
      </c>
      <c r="S1771" s="26" t="n">
        <f aca="false">IF(OR($D1771="",$J1771&lt;&gt;"Own"),0,IFERROR((F1771+G1771*Settings!$B$13)*INDEX(Workers!$V$5:$V$2004,MATCH($D1771,Workers!$A$5:$A$2004,0)),0))</f>
        <v>0</v>
      </c>
      <c r="T1771" s="26" t="str">
        <f aca="false">IF($D1771="","",O1771-R1771-S1771)</f>
        <v/>
      </c>
    </row>
    <row r="1772" customFormat="false" ht="15" hidden="false" customHeight="false" outlineLevel="0" collapsed="false">
      <c r="I1772" s="24" t="str">
        <f aca="false">IF($D1772="","",IFERROR(INDEX(Workers!$B$5:$B$2004,MATCH($D1772,Workers!$A$5:$A$2004,0)),"NOT FOUND"))</f>
        <v/>
      </c>
      <c r="J1772" s="24" t="str">
        <f aca="false">IF($D1772="","",IFERROR(INDEX(Workers!$C$5:$C$2004,MATCH($D1772,Workers!$A$5:$A$2004,0)),""))</f>
        <v/>
      </c>
      <c r="K1772" s="24" t="str">
        <f aca="false">IF($D1772="","",IFERROR(IF(INDEX(Workers!$D$5:$D$2004,MATCH($D1772,Workers!$A$5:$A$2004,0))=0,"",INDEX(Workers!$D$5:$D$2004,MATCH($D1772,Workers!$A$5:$A$2004,0))),""))</f>
        <v/>
      </c>
      <c r="L1772" s="24" t="str">
        <f aca="false">IF($D1772="","",IFERROR(INDEX(Workers!$E$5:$E$2004,MATCH($D1772,Workers!$A$5:$A$2004,0)),""))</f>
        <v/>
      </c>
      <c r="M1772" s="26" t="str">
        <f aca="false">IF($D1772="","",IFERROR(INDEX(ClientRates!$D$5:$D$500,MATCH($B1772&amp;"|"&amp;$L1772,ClientRates!$A$5:$A$500,0)),0))</f>
        <v/>
      </c>
      <c r="N1772" s="26" t="str">
        <f aca="false">IF($D1772="","",IFERROR(INDEX(ClientRates!$E$5:$E$500,MATCH($B1772&amp;"|"&amp;$L1772,ClientRates!$A$5:$A$500,0)),0))</f>
        <v/>
      </c>
      <c r="O1772" s="26" t="str">
        <f aca="false">IF($D1772="","",F1772*M1772+G1772*N1772)</f>
        <v/>
      </c>
      <c r="P1772" s="26" t="str">
        <f aca="false">IF(OR($D1772="",$J1772&lt;&gt;"Supplier"),"",IFERROR(INDEX(SupplierRates!$D$5:$D$500,MATCH($K1772&amp;"|"&amp;$L1772,SupplierRates!$A$5:$A$500,0)),0))</f>
        <v/>
      </c>
      <c r="Q1772" s="26" t="str">
        <f aca="false">IF(OR($D1772="",$J1772&lt;&gt;"Supplier"),"",IFERROR(INDEX(SupplierRates!$E$5:$E$500,MATCH($K1772&amp;"|"&amp;$L1772,SupplierRates!$A$5:$A$500,0)),0))</f>
        <v/>
      </c>
      <c r="R1772" s="26" t="n">
        <f aca="false">IF(OR($D1772="",$J1772&lt;&gt;"Supplier"),0,F1772*P1772+G1772*Q1772)</f>
        <v>0</v>
      </c>
      <c r="S1772" s="26" t="n">
        <f aca="false">IF(OR($D1772="",$J1772&lt;&gt;"Own"),0,IFERROR((F1772+G1772*Settings!$B$13)*INDEX(Workers!$V$5:$V$2004,MATCH($D1772,Workers!$A$5:$A$2004,0)),0))</f>
        <v>0</v>
      </c>
      <c r="T1772" s="26" t="str">
        <f aca="false">IF($D1772="","",O1772-R1772-S1772)</f>
        <v/>
      </c>
    </row>
    <row r="1773" customFormat="false" ht="15" hidden="false" customHeight="false" outlineLevel="0" collapsed="false">
      <c r="I1773" s="24" t="str">
        <f aca="false">IF($D1773="","",IFERROR(INDEX(Workers!$B$5:$B$2004,MATCH($D1773,Workers!$A$5:$A$2004,0)),"NOT FOUND"))</f>
        <v/>
      </c>
      <c r="J1773" s="24" t="str">
        <f aca="false">IF($D1773="","",IFERROR(INDEX(Workers!$C$5:$C$2004,MATCH($D1773,Workers!$A$5:$A$2004,0)),""))</f>
        <v/>
      </c>
      <c r="K1773" s="24" t="str">
        <f aca="false">IF($D1773="","",IFERROR(IF(INDEX(Workers!$D$5:$D$2004,MATCH($D1773,Workers!$A$5:$A$2004,0))=0,"",INDEX(Workers!$D$5:$D$2004,MATCH($D1773,Workers!$A$5:$A$2004,0))),""))</f>
        <v/>
      </c>
      <c r="L1773" s="24" t="str">
        <f aca="false">IF($D1773="","",IFERROR(INDEX(Workers!$E$5:$E$2004,MATCH($D1773,Workers!$A$5:$A$2004,0)),""))</f>
        <v/>
      </c>
      <c r="M1773" s="26" t="str">
        <f aca="false">IF($D1773="","",IFERROR(INDEX(ClientRates!$D$5:$D$500,MATCH($B1773&amp;"|"&amp;$L1773,ClientRates!$A$5:$A$500,0)),0))</f>
        <v/>
      </c>
      <c r="N1773" s="26" t="str">
        <f aca="false">IF($D1773="","",IFERROR(INDEX(ClientRates!$E$5:$E$500,MATCH($B1773&amp;"|"&amp;$L1773,ClientRates!$A$5:$A$500,0)),0))</f>
        <v/>
      </c>
      <c r="O1773" s="26" t="str">
        <f aca="false">IF($D1773="","",F1773*M1773+G1773*N1773)</f>
        <v/>
      </c>
      <c r="P1773" s="26" t="str">
        <f aca="false">IF(OR($D1773="",$J1773&lt;&gt;"Supplier"),"",IFERROR(INDEX(SupplierRates!$D$5:$D$500,MATCH($K1773&amp;"|"&amp;$L1773,SupplierRates!$A$5:$A$500,0)),0))</f>
        <v/>
      </c>
      <c r="Q1773" s="26" t="str">
        <f aca="false">IF(OR($D1773="",$J1773&lt;&gt;"Supplier"),"",IFERROR(INDEX(SupplierRates!$E$5:$E$500,MATCH($K1773&amp;"|"&amp;$L1773,SupplierRates!$A$5:$A$500,0)),0))</f>
        <v/>
      </c>
      <c r="R1773" s="26" t="n">
        <f aca="false">IF(OR($D1773="",$J1773&lt;&gt;"Supplier"),0,F1773*P1773+G1773*Q1773)</f>
        <v>0</v>
      </c>
      <c r="S1773" s="26" t="n">
        <f aca="false">IF(OR($D1773="",$J1773&lt;&gt;"Own"),0,IFERROR((F1773+G1773*Settings!$B$13)*INDEX(Workers!$V$5:$V$2004,MATCH($D1773,Workers!$A$5:$A$2004,0)),0))</f>
        <v>0</v>
      </c>
      <c r="T1773" s="26" t="str">
        <f aca="false">IF($D1773="","",O1773-R1773-S1773)</f>
        <v/>
      </c>
    </row>
    <row r="1774" customFormat="false" ht="15" hidden="false" customHeight="false" outlineLevel="0" collapsed="false">
      <c r="I1774" s="24" t="str">
        <f aca="false">IF($D1774="","",IFERROR(INDEX(Workers!$B$5:$B$2004,MATCH($D1774,Workers!$A$5:$A$2004,0)),"NOT FOUND"))</f>
        <v/>
      </c>
      <c r="J1774" s="24" t="str">
        <f aca="false">IF($D1774="","",IFERROR(INDEX(Workers!$C$5:$C$2004,MATCH($D1774,Workers!$A$5:$A$2004,0)),""))</f>
        <v/>
      </c>
      <c r="K1774" s="24" t="str">
        <f aca="false">IF($D1774="","",IFERROR(IF(INDEX(Workers!$D$5:$D$2004,MATCH($D1774,Workers!$A$5:$A$2004,0))=0,"",INDEX(Workers!$D$5:$D$2004,MATCH($D1774,Workers!$A$5:$A$2004,0))),""))</f>
        <v/>
      </c>
      <c r="L1774" s="24" t="str">
        <f aca="false">IF($D1774="","",IFERROR(INDEX(Workers!$E$5:$E$2004,MATCH($D1774,Workers!$A$5:$A$2004,0)),""))</f>
        <v/>
      </c>
      <c r="M1774" s="26" t="str">
        <f aca="false">IF($D1774="","",IFERROR(INDEX(ClientRates!$D$5:$D$500,MATCH($B1774&amp;"|"&amp;$L1774,ClientRates!$A$5:$A$500,0)),0))</f>
        <v/>
      </c>
      <c r="N1774" s="26" t="str">
        <f aca="false">IF($D1774="","",IFERROR(INDEX(ClientRates!$E$5:$E$500,MATCH($B1774&amp;"|"&amp;$L1774,ClientRates!$A$5:$A$500,0)),0))</f>
        <v/>
      </c>
      <c r="O1774" s="26" t="str">
        <f aca="false">IF($D1774="","",F1774*M1774+G1774*N1774)</f>
        <v/>
      </c>
      <c r="P1774" s="26" t="str">
        <f aca="false">IF(OR($D1774="",$J1774&lt;&gt;"Supplier"),"",IFERROR(INDEX(SupplierRates!$D$5:$D$500,MATCH($K1774&amp;"|"&amp;$L1774,SupplierRates!$A$5:$A$500,0)),0))</f>
        <v/>
      </c>
      <c r="Q1774" s="26" t="str">
        <f aca="false">IF(OR($D1774="",$J1774&lt;&gt;"Supplier"),"",IFERROR(INDEX(SupplierRates!$E$5:$E$500,MATCH($K1774&amp;"|"&amp;$L1774,SupplierRates!$A$5:$A$500,0)),0))</f>
        <v/>
      </c>
      <c r="R1774" s="26" t="n">
        <f aca="false">IF(OR($D1774="",$J1774&lt;&gt;"Supplier"),0,F1774*P1774+G1774*Q1774)</f>
        <v>0</v>
      </c>
      <c r="S1774" s="26" t="n">
        <f aca="false">IF(OR($D1774="",$J1774&lt;&gt;"Own"),0,IFERROR((F1774+G1774*Settings!$B$13)*INDEX(Workers!$V$5:$V$2004,MATCH($D1774,Workers!$A$5:$A$2004,0)),0))</f>
        <v>0</v>
      </c>
      <c r="T1774" s="26" t="str">
        <f aca="false">IF($D1774="","",O1774-R1774-S1774)</f>
        <v/>
      </c>
    </row>
    <row r="1775" customFormat="false" ht="15" hidden="false" customHeight="false" outlineLevel="0" collapsed="false">
      <c r="I1775" s="24" t="str">
        <f aca="false">IF($D1775="","",IFERROR(INDEX(Workers!$B$5:$B$2004,MATCH($D1775,Workers!$A$5:$A$2004,0)),"NOT FOUND"))</f>
        <v/>
      </c>
      <c r="J1775" s="24" t="str">
        <f aca="false">IF($D1775="","",IFERROR(INDEX(Workers!$C$5:$C$2004,MATCH($D1775,Workers!$A$5:$A$2004,0)),""))</f>
        <v/>
      </c>
      <c r="K1775" s="24" t="str">
        <f aca="false">IF($D1775="","",IFERROR(IF(INDEX(Workers!$D$5:$D$2004,MATCH($D1775,Workers!$A$5:$A$2004,0))=0,"",INDEX(Workers!$D$5:$D$2004,MATCH($D1775,Workers!$A$5:$A$2004,0))),""))</f>
        <v/>
      </c>
      <c r="L1775" s="24" t="str">
        <f aca="false">IF($D1775="","",IFERROR(INDEX(Workers!$E$5:$E$2004,MATCH($D1775,Workers!$A$5:$A$2004,0)),""))</f>
        <v/>
      </c>
      <c r="M1775" s="26" t="str">
        <f aca="false">IF($D1775="","",IFERROR(INDEX(ClientRates!$D$5:$D$500,MATCH($B1775&amp;"|"&amp;$L1775,ClientRates!$A$5:$A$500,0)),0))</f>
        <v/>
      </c>
      <c r="N1775" s="26" t="str">
        <f aca="false">IF($D1775="","",IFERROR(INDEX(ClientRates!$E$5:$E$500,MATCH($B1775&amp;"|"&amp;$L1775,ClientRates!$A$5:$A$500,0)),0))</f>
        <v/>
      </c>
      <c r="O1775" s="26" t="str">
        <f aca="false">IF($D1775="","",F1775*M1775+G1775*N1775)</f>
        <v/>
      </c>
      <c r="P1775" s="26" t="str">
        <f aca="false">IF(OR($D1775="",$J1775&lt;&gt;"Supplier"),"",IFERROR(INDEX(SupplierRates!$D$5:$D$500,MATCH($K1775&amp;"|"&amp;$L1775,SupplierRates!$A$5:$A$500,0)),0))</f>
        <v/>
      </c>
      <c r="Q1775" s="26" t="str">
        <f aca="false">IF(OR($D1775="",$J1775&lt;&gt;"Supplier"),"",IFERROR(INDEX(SupplierRates!$E$5:$E$500,MATCH($K1775&amp;"|"&amp;$L1775,SupplierRates!$A$5:$A$500,0)),0))</f>
        <v/>
      </c>
      <c r="R1775" s="26" t="n">
        <f aca="false">IF(OR($D1775="",$J1775&lt;&gt;"Supplier"),0,F1775*P1775+G1775*Q1775)</f>
        <v>0</v>
      </c>
      <c r="S1775" s="26" t="n">
        <f aca="false">IF(OR($D1775="",$J1775&lt;&gt;"Own"),0,IFERROR((F1775+G1775*Settings!$B$13)*INDEX(Workers!$V$5:$V$2004,MATCH($D1775,Workers!$A$5:$A$2004,0)),0))</f>
        <v>0</v>
      </c>
      <c r="T1775" s="26" t="str">
        <f aca="false">IF($D1775="","",O1775-R1775-S1775)</f>
        <v/>
      </c>
    </row>
    <row r="1776" customFormat="false" ht="15" hidden="false" customHeight="false" outlineLevel="0" collapsed="false">
      <c r="I1776" s="24" t="str">
        <f aca="false">IF($D1776="","",IFERROR(INDEX(Workers!$B$5:$B$2004,MATCH($D1776,Workers!$A$5:$A$2004,0)),"NOT FOUND"))</f>
        <v/>
      </c>
      <c r="J1776" s="24" t="str">
        <f aca="false">IF($D1776="","",IFERROR(INDEX(Workers!$C$5:$C$2004,MATCH($D1776,Workers!$A$5:$A$2004,0)),""))</f>
        <v/>
      </c>
      <c r="K1776" s="24" t="str">
        <f aca="false">IF($D1776="","",IFERROR(IF(INDEX(Workers!$D$5:$D$2004,MATCH($D1776,Workers!$A$5:$A$2004,0))=0,"",INDEX(Workers!$D$5:$D$2004,MATCH($D1776,Workers!$A$5:$A$2004,0))),""))</f>
        <v/>
      </c>
      <c r="L1776" s="24" t="str">
        <f aca="false">IF($D1776="","",IFERROR(INDEX(Workers!$E$5:$E$2004,MATCH($D1776,Workers!$A$5:$A$2004,0)),""))</f>
        <v/>
      </c>
      <c r="M1776" s="26" t="str">
        <f aca="false">IF($D1776="","",IFERROR(INDEX(ClientRates!$D$5:$D$500,MATCH($B1776&amp;"|"&amp;$L1776,ClientRates!$A$5:$A$500,0)),0))</f>
        <v/>
      </c>
      <c r="N1776" s="26" t="str">
        <f aca="false">IF($D1776="","",IFERROR(INDEX(ClientRates!$E$5:$E$500,MATCH($B1776&amp;"|"&amp;$L1776,ClientRates!$A$5:$A$500,0)),0))</f>
        <v/>
      </c>
      <c r="O1776" s="26" t="str">
        <f aca="false">IF($D1776="","",F1776*M1776+G1776*N1776)</f>
        <v/>
      </c>
      <c r="P1776" s="26" t="str">
        <f aca="false">IF(OR($D1776="",$J1776&lt;&gt;"Supplier"),"",IFERROR(INDEX(SupplierRates!$D$5:$D$500,MATCH($K1776&amp;"|"&amp;$L1776,SupplierRates!$A$5:$A$500,0)),0))</f>
        <v/>
      </c>
      <c r="Q1776" s="26" t="str">
        <f aca="false">IF(OR($D1776="",$J1776&lt;&gt;"Supplier"),"",IFERROR(INDEX(SupplierRates!$E$5:$E$500,MATCH($K1776&amp;"|"&amp;$L1776,SupplierRates!$A$5:$A$500,0)),0))</f>
        <v/>
      </c>
      <c r="R1776" s="26" t="n">
        <f aca="false">IF(OR($D1776="",$J1776&lt;&gt;"Supplier"),0,F1776*P1776+G1776*Q1776)</f>
        <v>0</v>
      </c>
      <c r="S1776" s="26" t="n">
        <f aca="false">IF(OR($D1776="",$J1776&lt;&gt;"Own"),0,IFERROR((F1776+G1776*Settings!$B$13)*INDEX(Workers!$V$5:$V$2004,MATCH($D1776,Workers!$A$5:$A$2004,0)),0))</f>
        <v>0</v>
      </c>
      <c r="T1776" s="26" t="str">
        <f aca="false">IF($D1776="","",O1776-R1776-S1776)</f>
        <v/>
      </c>
    </row>
    <row r="1777" customFormat="false" ht="15" hidden="false" customHeight="false" outlineLevel="0" collapsed="false">
      <c r="I1777" s="24" t="str">
        <f aca="false">IF($D1777="","",IFERROR(INDEX(Workers!$B$5:$B$2004,MATCH($D1777,Workers!$A$5:$A$2004,0)),"NOT FOUND"))</f>
        <v/>
      </c>
      <c r="J1777" s="24" t="str">
        <f aca="false">IF($D1777="","",IFERROR(INDEX(Workers!$C$5:$C$2004,MATCH($D1777,Workers!$A$5:$A$2004,0)),""))</f>
        <v/>
      </c>
      <c r="K1777" s="24" t="str">
        <f aca="false">IF($D1777="","",IFERROR(IF(INDEX(Workers!$D$5:$D$2004,MATCH($D1777,Workers!$A$5:$A$2004,0))=0,"",INDEX(Workers!$D$5:$D$2004,MATCH($D1777,Workers!$A$5:$A$2004,0))),""))</f>
        <v/>
      </c>
      <c r="L1777" s="24" t="str">
        <f aca="false">IF($D1777="","",IFERROR(INDEX(Workers!$E$5:$E$2004,MATCH($D1777,Workers!$A$5:$A$2004,0)),""))</f>
        <v/>
      </c>
      <c r="M1777" s="26" t="str">
        <f aca="false">IF($D1777="","",IFERROR(INDEX(ClientRates!$D$5:$D$500,MATCH($B1777&amp;"|"&amp;$L1777,ClientRates!$A$5:$A$500,0)),0))</f>
        <v/>
      </c>
      <c r="N1777" s="26" t="str">
        <f aca="false">IF($D1777="","",IFERROR(INDEX(ClientRates!$E$5:$E$500,MATCH($B1777&amp;"|"&amp;$L1777,ClientRates!$A$5:$A$500,0)),0))</f>
        <v/>
      </c>
      <c r="O1777" s="26" t="str">
        <f aca="false">IF($D1777="","",F1777*M1777+G1777*N1777)</f>
        <v/>
      </c>
      <c r="P1777" s="26" t="str">
        <f aca="false">IF(OR($D1777="",$J1777&lt;&gt;"Supplier"),"",IFERROR(INDEX(SupplierRates!$D$5:$D$500,MATCH($K1777&amp;"|"&amp;$L1777,SupplierRates!$A$5:$A$500,0)),0))</f>
        <v/>
      </c>
      <c r="Q1777" s="26" t="str">
        <f aca="false">IF(OR($D1777="",$J1777&lt;&gt;"Supplier"),"",IFERROR(INDEX(SupplierRates!$E$5:$E$500,MATCH($K1777&amp;"|"&amp;$L1777,SupplierRates!$A$5:$A$500,0)),0))</f>
        <v/>
      </c>
      <c r="R1777" s="26" t="n">
        <f aca="false">IF(OR($D1777="",$J1777&lt;&gt;"Supplier"),0,F1777*P1777+G1777*Q1777)</f>
        <v>0</v>
      </c>
      <c r="S1777" s="26" t="n">
        <f aca="false">IF(OR($D1777="",$J1777&lt;&gt;"Own"),0,IFERROR((F1777+G1777*Settings!$B$13)*INDEX(Workers!$V$5:$V$2004,MATCH($D1777,Workers!$A$5:$A$2004,0)),0))</f>
        <v>0</v>
      </c>
      <c r="T1777" s="26" t="str">
        <f aca="false">IF($D1777="","",O1777-R1777-S1777)</f>
        <v/>
      </c>
    </row>
    <row r="1778" customFormat="false" ht="15" hidden="false" customHeight="false" outlineLevel="0" collapsed="false">
      <c r="I1778" s="24" t="str">
        <f aca="false">IF($D1778="","",IFERROR(INDEX(Workers!$B$5:$B$2004,MATCH($D1778,Workers!$A$5:$A$2004,0)),"NOT FOUND"))</f>
        <v/>
      </c>
      <c r="J1778" s="24" t="str">
        <f aca="false">IF($D1778="","",IFERROR(INDEX(Workers!$C$5:$C$2004,MATCH($D1778,Workers!$A$5:$A$2004,0)),""))</f>
        <v/>
      </c>
      <c r="K1778" s="24" t="str">
        <f aca="false">IF($D1778="","",IFERROR(IF(INDEX(Workers!$D$5:$D$2004,MATCH($D1778,Workers!$A$5:$A$2004,0))=0,"",INDEX(Workers!$D$5:$D$2004,MATCH($D1778,Workers!$A$5:$A$2004,0))),""))</f>
        <v/>
      </c>
      <c r="L1778" s="24" t="str">
        <f aca="false">IF($D1778="","",IFERROR(INDEX(Workers!$E$5:$E$2004,MATCH($D1778,Workers!$A$5:$A$2004,0)),""))</f>
        <v/>
      </c>
      <c r="M1778" s="26" t="str">
        <f aca="false">IF($D1778="","",IFERROR(INDEX(ClientRates!$D$5:$D$500,MATCH($B1778&amp;"|"&amp;$L1778,ClientRates!$A$5:$A$500,0)),0))</f>
        <v/>
      </c>
      <c r="N1778" s="26" t="str">
        <f aca="false">IF($D1778="","",IFERROR(INDEX(ClientRates!$E$5:$E$500,MATCH($B1778&amp;"|"&amp;$L1778,ClientRates!$A$5:$A$500,0)),0))</f>
        <v/>
      </c>
      <c r="O1778" s="26" t="str">
        <f aca="false">IF($D1778="","",F1778*M1778+G1778*N1778)</f>
        <v/>
      </c>
      <c r="P1778" s="26" t="str">
        <f aca="false">IF(OR($D1778="",$J1778&lt;&gt;"Supplier"),"",IFERROR(INDEX(SupplierRates!$D$5:$D$500,MATCH($K1778&amp;"|"&amp;$L1778,SupplierRates!$A$5:$A$500,0)),0))</f>
        <v/>
      </c>
      <c r="Q1778" s="26" t="str">
        <f aca="false">IF(OR($D1778="",$J1778&lt;&gt;"Supplier"),"",IFERROR(INDEX(SupplierRates!$E$5:$E$500,MATCH($K1778&amp;"|"&amp;$L1778,SupplierRates!$A$5:$A$500,0)),0))</f>
        <v/>
      </c>
      <c r="R1778" s="26" t="n">
        <f aca="false">IF(OR($D1778="",$J1778&lt;&gt;"Supplier"),0,F1778*P1778+G1778*Q1778)</f>
        <v>0</v>
      </c>
      <c r="S1778" s="26" t="n">
        <f aca="false">IF(OR($D1778="",$J1778&lt;&gt;"Own"),0,IFERROR((F1778+G1778*Settings!$B$13)*INDEX(Workers!$V$5:$V$2004,MATCH($D1778,Workers!$A$5:$A$2004,0)),0))</f>
        <v>0</v>
      </c>
      <c r="T1778" s="26" t="str">
        <f aca="false">IF($D1778="","",O1778-R1778-S1778)</f>
        <v/>
      </c>
    </row>
    <row r="1779" customFormat="false" ht="15" hidden="false" customHeight="false" outlineLevel="0" collapsed="false">
      <c r="I1779" s="24" t="str">
        <f aca="false">IF($D1779="","",IFERROR(INDEX(Workers!$B$5:$B$2004,MATCH($D1779,Workers!$A$5:$A$2004,0)),"NOT FOUND"))</f>
        <v/>
      </c>
      <c r="J1779" s="24" t="str">
        <f aca="false">IF($D1779="","",IFERROR(INDEX(Workers!$C$5:$C$2004,MATCH($D1779,Workers!$A$5:$A$2004,0)),""))</f>
        <v/>
      </c>
      <c r="K1779" s="24" t="str">
        <f aca="false">IF($D1779="","",IFERROR(IF(INDEX(Workers!$D$5:$D$2004,MATCH($D1779,Workers!$A$5:$A$2004,0))=0,"",INDEX(Workers!$D$5:$D$2004,MATCH($D1779,Workers!$A$5:$A$2004,0))),""))</f>
        <v/>
      </c>
      <c r="L1779" s="24" t="str">
        <f aca="false">IF($D1779="","",IFERROR(INDEX(Workers!$E$5:$E$2004,MATCH($D1779,Workers!$A$5:$A$2004,0)),""))</f>
        <v/>
      </c>
      <c r="M1779" s="26" t="str">
        <f aca="false">IF($D1779="","",IFERROR(INDEX(ClientRates!$D$5:$D$500,MATCH($B1779&amp;"|"&amp;$L1779,ClientRates!$A$5:$A$500,0)),0))</f>
        <v/>
      </c>
      <c r="N1779" s="26" t="str">
        <f aca="false">IF($D1779="","",IFERROR(INDEX(ClientRates!$E$5:$E$500,MATCH($B1779&amp;"|"&amp;$L1779,ClientRates!$A$5:$A$500,0)),0))</f>
        <v/>
      </c>
      <c r="O1779" s="26" t="str">
        <f aca="false">IF($D1779="","",F1779*M1779+G1779*N1779)</f>
        <v/>
      </c>
      <c r="P1779" s="26" t="str">
        <f aca="false">IF(OR($D1779="",$J1779&lt;&gt;"Supplier"),"",IFERROR(INDEX(SupplierRates!$D$5:$D$500,MATCH($K1779&amp;"|"&amp;$L1779,SupplierRates!$A$5:$A$500,0)),0))</f>
        <v/>
      </c>
      <c r="Q1779" s="26" t="str">
        <f aca="false">IF(OR($D1779="",$J1779&lt;&gt;"Supplier"),"",IFERROR(INDEX(SupplierRates!$E$5:$E$500,MATCH($K1779&amp;"|"&amp;$L1779,SupplierRates!$A$5:$A$500,0)),0))</f>
        <v/>
      </c>
      <c r="R1779" s="26" t="n">
        <f aca="false">IF(OR($D1779="",$J1779&lt;&gt;"Supplier"),0,F1779*P1779+G1779*Q1779)</f>
        <v>0</v>
      </c>
      <c r="S1779" s="26" t="n">
        <f aca="false">IF(OR($D1779="",$J1779&lt;&gt;"Own"),0,IFERROR((F1779+G1779*Settings!$B$13)*INDEX(Workers!$V$5:$V$2004,MATCH($D1779,Workers!$A$5:$A$2004,0)),0))</f>
        <v>0</v>
      </c>
      <c r="T1779" s="26" t="str">
        <f aca="false">IF($D1779="","",O1779-R1779-S1779)</f>
        <v/>
      </c>
    </row>
    <row r="1780" customFormat="false" ht="15" hidden="false" customHeight="false" outlineLevel="0" collapsed="false">
      <c r="I1780" s="24" t="str">
        <f aca="false">IF($D1780="","",IFERROR(INDEX(Workers!$B$5:$B$2004,MATCH($D1780,Workers!$A$5:$A$2004,0)),"NOT FOUND"))</f>
        <v/>
      </c>
      <c r="J1780" s="24" t="str">
        <f aca="false">IF($D1780="","",IFERROR(INDEX(Workers!$C$5:$C$2004,MATCH($D1780,Workers!$A$5:$A$2004,0)),""))</f>
        <v/>
      </c>
      <c r="K1780" s="24" t="str">
        <f aca="false">IF($D1780="","",IFERROR(IF(INDEX(Workers!$D$5:$D$2004,MATCH($D1780,Workers!$A$5:$A$2004,0))=0,"",INDEX(Workers!$D$5:$D$2004,MATCH($D1780,Workers!$A$5:$A$2004,0))),""))</f>
        <v/>
      </c>
      <c r="L1780" s="24" t="str">
        <f aca="false">IF($D1780="","",IFERROR(INDEX(Workers!$E$5:$E$2004,MATCH($D1780,Workers!$A$5:$A$2004,0)),""))</f>
        <v/>
      </c>
      <c r="M1780" s="26" t="str">
        <f aca="false">IF($D1780="","",IFERROR(INDEX(ClientRates!$D$5:$D$500,MATCH($B1780&amp;"|"&amp;$L1780,ClientRates!$A$5:$A$500,0)),0))</f>
        <v/>
      </c>
      <c r="N1780" s="26" t="str">
        <f aca="false">IF($D1780="","",IFERROR(INDEX(ClientRates!$E$5:$E$500,MATCH($B1780&amp;"|"&amp;$L1780,ClientRates!$A$5:$A$500,0)),0))</f>
        <v/>
      </c>
      <c r="O1780" s="26" t="str">
        <f aca="false">IF($D1780="","",F1780*M1780+G1780*N1780)</f>
        <v/>
      </c>
      <c r="P1780" s="26" t="str">
        <f aca="false">IF(OR($D1780="",$J1780&lt;&gt;"Supplier"),"",IFERROR(INDEX(SupplierRates!$D$5:$D$500,MATCH($K1780&amp;"|"&amp;$L1780,SupplierRates!$A$5:$A$500,0)),0))</f>
        <v/>
      </c>
      <c r="Q1780" s="26" t="str">
        <f aca="false">IF(OR($D1780="",$J1780&lt;&gt;"Supplier"),"",IFERROR(INDEX(SupplierRates!$E$5:$E$500,MATCH($K1780&amp;"|"&amp;$L1780,SupplierRates!$A$5:$A$500,0)),0))</f>
        <v/>
      </c>
      <c r="R1780" s="26" t="n">
        <f aca="false">IF(OR($D1780="",$J1780&lt;&gt;"Supplier"),0,F1780*P1780+G1780*Q1780)</f>
        <v>0</v>
      </c>
      <c r="S1780" s="26" t="n">
        <f aca="false">IF(OR($D1780="",$J1780&lt;&gt;"Own"),0,IFERROR((F1780+G1780*Settings!$B$13)*INDEX(Workers!$V$5:$V$2004,MATCH($D1780,Workers!$A$5:$A$2004,0)),0))</f>
        <v>0</v>
      </c>
      <c r="T1780" s="26" t="str">
        <f aca="false">IF($D1780="","",O1780-R1780-S1780)</f>
        <v/>
      </c>
    </row>
    <row r="1781" customFormat="false" ht="15" hidden="false" customHeight="false" outlineLevel="0" collapsed="false">
      <c r="I1781" s="24" t="str">
        <f aca="false">IF($D1781="","",IFERROR(INDEX(Workers!$B$5:$B$2004,MATCH($D1781,Workers!$A$5:$A$2004,0)),"NOT FOUND"))</f>
        <v/>
      </c>
      <c r="J1781" s="24" t="str">
        <f aca="false">IF($D1781="","",IFERROR(INDEX(Workers!$C$5:$C$2004,MATCH($D1781,Workers!$A$5:$A$2004,0)),""))</f>
        <v/>
      </c>
      <c r="K1781" s="24" t="str">
        <f aca="false">IF($D1781="","",IFERROR(IF(INDEX(Workers!$D$5:$D$2004,MATCH($D1781,Workers!$A$5:$A$2004,0))=0,"",INDEX(Workers!$D$5:$D$2004,MATCH($D1781,Workers!$A$5:$A$2004,0))),""))</f>
        <v/>
      </c>
      <c r="L1781" s="24" t="str">
        <f aca="false">IF($D1781="","",IFERROR(INDEX(Workers!$E$5:$E$2004,MATCH($D1781,Workers!$A$5:$A$2004,0)),""))</f>
        <v/>
      </c>
      <c r="M1781" s="26" t="str">
        <f aca="false">IF($D1781="","",IFERROR(INDEX(ClientRates!$D$5:$D$500,MATCH($B1781&amp;"|"&amp;$L1781,ClientRates!$A$5:$A$500,0)),0))</f>
        <v/>
      </c>
      <c r="N1781" s="26" t="str">
        <f aca="false">IF($D1781="","",IFERROR(INDEX(ClientRates!$E$5:$E$500,MATCH($B1781&amp;"|"&amp;$L1781,ClientRates!$A$5:$A$500,0)),0))</f>
        <v/>
      </c>
      <c r="O1781" s="26" t="str">
        <f aca="false">IF($D1781="","",F1781*M1781+G1781*N1781)</f>
        <v/>
      </c>
      <c r="P1781" s="26" t="str">
        <f aca="false">IF(OR($D1781="",$J1781&lt;&gt;"Supplier"),"",IFERROR(INDEX(SupplierRates!$D$5:$D$500,MATCH($K1781&amp;"|"&amp;$L1781,SupplierRates!$A$5:$A$500,0)),0))</f>
        <v/>
      </c>
      <c r="Q1781" s="26" t="str">
        <f aca="false">IF(OR($D1781="",$J1781&lt;&gt;"Supplier"),"",IFERROR(INDEX(SupplierRates!$E$5:$E$500,MATCH($K1781&amp;"|"&amp;$L1781,SupplierRates!$A$5:$A$500,0)),0))</f>
        <v/>
      </c>
      <c r="R1781" s="26" t="n">
        <f aca="false">IF(OR($D1781="",$J1781&lt;&gt;"Supplier"),0,F1781*P1781+G1781*Q1781)</f>
        <v>0</v>
      </c>
      <c r="S1781" s="26" t="n">
        <f aca="false">IF(OR($D1781="",$J1781&lt;&gt;"Own"),0,IFERROR((F1781+G1781*Settings!$B$13)*INDEX(Workers!$V$5:$V$2004,MATCH($D1781,Workers!$A$5:$A$2004,0)),0))</f>
        <v>0</v>
      </c>
      <c r="T1781" s="26" t="str">
        <f aca="false">IF($D1781="","",O1781-R1781-S1781)</f>
        <v/>
      </c>
    </row>
    <row r="1782" customFormat="false" ht="15" hidden="false" customHeight="false" outlineLevel="0" collapsed="false">
      <c r="I1782" s="24" t="str">
        <f aca="false">IF($D1782="","",IFERROR(INDEX(Workers!$B$5:$B$2004,MATCH($D1782,Workers!$A$5:$A$2004,0)),"NOT FOUND"))</f>
        <v/>
      </c>
      <c r="J1782" s="24" t="str">
        <f aca="false">IF($D1782="","",IFERROR(INDEX(Workers!$C$5:$C$2004,MATCH($D1782,Workers!$A$5:$A$2004,0)),""))</f>
        <v/>
      </c>
      <c r="K1782" s="24" t="str">
        <f aca="false">IF($D1782="","",IFERROR(IF(INDEX(Workers!$D$5:$D$2004,MATCH($D1782,Workers!$A$5:$A$2004,0))=0,"",INDEX(Workers!$D$5:$D$2004,MATCH($D1782,Workers!$A$5:$A$2004,0))),""))</f>
        <v/>
      </c>
      <c r="L1782" s="24" t="str">
        <f aca="false">IF($D1782="","",IFERROR(INDEX(Workers!$E$5:$E$2004,MATCH($D1782,Workers!$A$5:$A$2004,0)),""))</f>
        <v/>
      </c>
      <c r="M1782" s="26" t="str">
        <f aca="false">IF($D1782="","",IFERROR(INDEX(ClientRates!$D$5:$D$500,MATCH($B1782&amp;"|"&amp;$L1782,ClientRates!$A$5:$A$500,0)),0))</f>
        <v/>
      </c>
      <c r="N1782" s="26" t="str">
        <f aca="false">IF($D1782="","",IFERROR(INDEX(ClientRates!$E$5:$E$500,MATCH($B1782&amp;"|"&amp;$L1782,ClientRates!$A$5:$A$500,0)),0))</f>
        <v/>
      </c>
      <c r="O1782" s="26" t="str">
        <f aca="false">IF($D1782="","",F1782*M1782+G1782*N1782)</f>
        <v/>
      </c>
      <c r="P1782" s="26" t="str">
        <f aca="false">IF(OR($D1782="",$J1782&lt;&gt;"Supplier"),"",IFERROR(INDEX(SupplierRates!$D$5:$D$500,MATCH($K1782&amp;"|"&amp;$L1782,SupplierRates!$A$5:$A$500,0)),0))</f>
        <v/>
      </c>
      <c r="Q1782" s="26" t="str">
        <f aca="false">IF(OR($D1782="",$J1782&lt;&gt;"Supplier"),"",IFERROR(INDEX(SupplierRates!$E$5:$E$500,MATCH($K1782&amp;"|"&amp;$L1782,SupplierRates!$A$5:$A$500,0)),0))</f>
        <v/>
      </c>
      <c r="R1782" s="26" t="n">
        <f aca="false">IF(OR($D1782="",$J1782&lt;&gt;"Supplier"),0,F1782*P1782+G1782*Q1782)</f>
        <v>0</v>
      </c>
      <c r="S1782" s="26" t="n">
        <f aca="false">IF(OR($D1782="",$J1782&lt;&gt;"Own"),0,IFERROR((F1782+G1782*Settings!$B$13)*INDEX(Workers!$V$5:$V$2004,MATCH($D1782,Workers!$A$5:$A$2004,0)),0))</f>
        <v>0</v>
      </c>
      <c r="T1782" s="26" t="str">
        <f aca="false">IF($D1782="","",O1782-R1782-S1782)</f>
        <v/>
      </c>
    </row>
    <row r="1783" customFormat="false" ht="15" hidden="false" customHeight="false" outlineLevel="0" collapsed="false">
      <c r="I1783" s="24" t="str">
        <f aca="false">IF($D1783="","",IFERROR(INDEX(Workers!$B$5:$B$2004,MATCH($D1783,Workers!$A$5:$A$2004,0)),"NOT FOUND"))</f>
        <v/>
      </c>
      <c r="J1783" s="24" t="str">
        <f aca="false">IF($D1783="","",IFERROR(INDEX(Workers!$C$5:$C$2004,MATCH($D1783,Workers!$A$5:$A$2004,0)),""))</f>
        <v/>
      </c>
      <c r="K1783" s="24" t="str">
        <f aca="false">IF($D1783="","",IFERROR(IF(INDEX(Workers!$D$5:$D$2004,MATCH($D1783,Workers!$A$5:$A$2004,0))=0,"",INDEX(Workers!$D$5:$D$2004,MATCH($D1783,Workers!$A$5:$A$2004,0))),""))</f>
        <v/>
      </c>
      <c r="L1783" s="24" t="str">
        <f aca="false">IF($D1783="","",IFERROR(INDEX(Workers!$E$5:$E$2004,MATCH($D1783,Workers!$A$5:$A$2004,0)),""))</f>
        <v/>
      </c>
      <c r="M1783" s="26" t="str">
        <f aca="false">IF($D1783="","",IFERROR(INDEX(ClientRates!$D$5:$D$500,MATCH($B1783&amp;"|"&amp;$L1783,ClientRates!$A$5:$A$500,0)),0))</f>
        <v/>
      </c>
      <c r="N1783" s="26" t="str">
        <f aca="false">IF($D1783="","",IFERROR(INDEX(ClientRates!$E$5:$E$500,MATCH($B1783&amp;"|"&amp;$L1783,ClientRates!$A$5:$A$500,0)),0))</f>
        <v/>
      </c>
      <c r="O1783" s="26" t="str">
        <f aca="false">IF($D1783="","",F1783*M1783+G1783*N1783)</f>
        <v/>
      </c>
      <c r="P1783" s="26" t="str">
        <f aca="false">IF(OR($D1783="",$J1783&lt;&gt;"Supplier"),"",IFERROR(INDEX(SupplierRates!$D$5:$D$500,MATCH($K1783&amp;"|"&amp;$L1783,SupplierRates!$A$5:$A$500,0)),0))</f>
        <v/>
      </c>
      <c r="Q1783" s="26" t="str">
        <f aca="false">IF(OR($D1783="",$J1783&lt;&gt;"Supplier"),"",IFERROR(INDEX(SupplierRates!$E$5:$E$500,MATCH($K1783&amp;"|"&amp;$L1783,SupplierRates!$A$5:$A$500,0)),0))</f>
        <v/>
      </c>
      <c r="R1783" s="26" t="n">
        <f aca="false">IF(OR($D1783="",$J1783&lt;&gt;"Supplier"),0,F1783*P1783+G1783*Q1783)</f>
        <v>0</v>
      </c>
      <c r="S1783" s="26" t="n">
        <f aca="false">IF(OR($D1783="",$J1783&lt;&gt;"Own"),0,IFERROR((F1783+G1783*Settings!$B$13)*INDEX(Workers!$V$5:$V$2004,MATCH($D1783,Workers!$A$5:$A$2004,0)),0))</f>
        <v>0</v>
      </c>
      <c r="T1783" s="26" t="str">
        <f aca="false">IF($D1783="","",O1783-R1783-S1783)</f>
        <v/>
      </c>
    </row>
    <row r="1784" customFormat="false" ht="15" hidden="false" customHeight="false" outlineLevel="0" collapsed="false">
      <c r="I1784" s="24" t="str">
        <f aca="false">IF($D1784="","",IFERROR(INDEX(Workers!$B$5:$B$2004,MATCH($D1784,Workers!$A$5:$A$2004,0)),"NOT FOUND"))</f>
        <v/>
      </c>
      <c r="J1784" s="24" t="str">
        <f aca="false">IF($D1784="","",IFERROR(INDEX(Workers!$C$5:$C$2004,MATCH($D1784,Workers!$A$5:$A$2004,0)),""))</f>
        <v/>
      </c>
      <c r="K1784" s="24" t="str">
        <f aca="false">IF($D1784="","",IFERROR(IF(INDEX(Workers!$D$5:$D$2004,MATCH($D1784,Workers!$A$5:$A$2004,0))=0,"",INDEX(Workers!$D$5:$D$2004,MATCH($D1784,Workers!$A$5:$A$2004,0))),""))</f>
        <v/>
      </c>
      <c r="L1784" s="24" t="str">
        <f aca="false">IF($D1784="","",IFERROR(INDEX(Workers!$E$5:$E$2004,MATCH($D1784,Workers!$A$5:$A$2004,0)),""))</f>
        <v/>
      </c>
      <c r="M1784" s="26" t="str">
        <f aca="false">IF($D1784="","",IFERROR(INDEX(ClientRates!$D$5:$D$500,MATCH($B1784&amp;"|"&amp;$L1784,ClientRates!$A$5:$A$500,0)),0))</f>
        <v/>
      </c>
      <c r="N1784" s="26" t="str">
        <f aca="false">IF($D1784="","",IFERROR(INDEX(ClientRates!$E$5:$E$500,MATCH($B1784&amp;"|"&amp;$L1784,ClientRates!$A$5:$A$500,0)),0))</f>
        <v/>
      </c>
      <c r="O1784" s="26" t="str">
        <f aca="false">IF($D1784="","",F1784*M1784+G1784*N1784)</f>
        <v/>
      </c>
      <c r="P1784" s="26" t="str">
        <f aca="false">IF(OR($D1784="",$J1784&lt;&gt;"Supplier"),"",IFERROR(INDEX(SupplierRates!$D$5:$D$500,MATCH($K1784&amp;"|"&amp;$L1784,SupplierRates!$A$5:$A$500,0)),0))</f>
        <v/>
      </c>
      <c r="Q1784" s="26" t="str">
        <f aca="false">IF(OR($D1784="",$J1784&lt;&gt;"Supplier"),"",IFERROR(INDEX(SupplierRates!$E$5:$E$500,MATCH($K1784&amp;"|"&amp;$L1784,SupplierRates!$A$5:$A$500,0)),0))</f>
        <v/>
      </c>
      <c r="R1784" s="26" t="n">
        <f aca="false">IF(OR($D1784="",$J1784&lt;&gt;"Supplier"),0,F1784*P1784+G1784*Q1784)</f>
        <v>0</v>
      </c>
      <c r="S1784" s="26" t="n">
        <f aca="false">IF(OR($D1784="",$J1784&lt;&gt;"Own"),0,IFERROR((F1784+G1784*Settings!$B$13)*INDEX(Workers!$V$5:$V$2004,MATCH($D1784,Workers!$A$5:$A$2004,0)),0))</f>
        <v>0</v>
      </c>
      <c r="T1784" s="26" t="str">
        <f aca="false">IF($D1784="","",O1784-R1784-S1784)</f>
        <v/>
      </c>
    </row>
    <row r="1785" customFormat="false" ht="15" hidden="false" customHeight="false" outlineLevel="0" collapsed="false">
      <c r="I1785" s="24" t="str">
        <f aca="false">IF($D1785="","",IFERROR(INDEX(Workers!$B$5:$B$2004,MATCH($D1785,Workers!$A$5:$A$2004,0)),"NOT FOUND"))</f>
        <v/>
      </c>
      <c r="J1785" s="24" t="str">
        <f aca="false">IF($D1785="","",IFERROR(INDEX(Workers!$C$5:$C$2004,MATCH($D1785,Workers!$A$5:$A$2004,0)),""))</f>
        <v/>
      </c>
      <c r="K1785" s="24" t="str">
        <f aca="false">IF($D1785="","",IFERROR(IF(INDEX(Workers!$D$5:$D$2004,MATCH($D1785,Workers!$A$5:$A$2004,0))=0,"",INDEX(Workers!$D$5:$D$2004,MATCH($D1785,Workers!$A$5:$A$2004,0))),""))</f>
        <v/>
      </c>
      <c r="L1785" s="24" t="str">
        <f aca="false">IF($D1785="","",IFERROR(INDEX(Workers!$E$5:$E$2004,MATCH($D1785,Workers!$A$5:$A$2004,0)),""))</f>
        <v/>
      </c>
      <c r="M1785" s="26" t="str">
        <f aca="false">IF($D1785="","",IFERROR(INDEX(ClientRates!$D$5:$D$500,MATCH($B1785&amp;"|"&amp;$L1785,ClientRates!$A$5:$A$500,0)),0))</f>
        <v/>
      </c>
      <c r="N1785" s="26" t="str">
        <f aca="false">IF($D1785="","",IFERROR(INDEX(ClientRates!$E$5:$E$500,MATCH($B1785&amp;"|"&amp;$L1785,ClientRates!$A$5:$A$500,0)),0))</f>
        <v/>
      </c>
      <c r="O1785" s="26" t="str">
        <f aca="false">IF($D1785="","",F1785*M1785+G1785*N1785)</f>
        <v/>
      </c>
      <c r="P1785" s="26" t="str">
        <f aca="false">IF(OR($D1785="",$J1785&lt;&gt;"Supplier"),"",IFERROR(INDEX(SupplierRates!$D$5:$D$500,MATCH($K1785&amp;"|"&amp;$L1785,SupplierRates!$A$5:$A$500,0)),0))</f>
        <v/>
      </c>
      <c r="Q1785" s="26" t="str">
        <f aca="false">IF(OR($D1785="",$J1785&lt;&gt;"Supplier"),"",IFERROR(INDEX(SupplierRates!$E$5:$E$500,MATCH($K1785&amp;"|"&amp;$L1785,SupplierRates!$A$5:$A$500,0)),0))</f>
        <v/>
      </c>
      <c r="R1785" s="26" t="n">
        <f aca="false">IF(OR($D1785="",$J1785&lt;&gt;"Supplier"),0,F1785*P1785+G1785*Q1785)</f>
        <v>0</v>
      </c>
      <c r="S1785" s="26" t="n">
        <f aca="false">IF(OR($D1785="",$J1785&lt;&gt;"Own"),0,IFERROR((F1785+G1785*Settings!$B$13)*INDEX(Workers!$V$5:$V$2004,MATCH($D1785,Workers!$A$5:$A$2004,0)),0))</f>
        <v>0</v>
      </c>
      <c r="T1785" s="26" t="str">
        <f aca="false">IF($D1785="","",O1785-R1785-S1785)</f>
        <v/>
      </c>
    </row>
    <row r="1786" customFormat="false" ht="15" hidden="false" customHeight="false" outlineLevel="0" collapsed="false">
      <c r="I1786" s="24" t="str">
        <f aca="false">IF($D1786="","",IFERROR(INDEX(Workers!$B$5:$B$2004,MATCH($D1786,Workers!$A$5:$A$2004,0)),"NOT FOUND"))</f>
        <v/>
      </c>
      <c r="J1786" s="24" t="str">
        <f aca="false">IF($D1786="","",IFERROR(INDEX(Workers!$C$5:$C$2004,MATCH($D1786,Workers!$A$5:$A$2004,0)),""))</f>
        <v/>
      </c>
      <c r="K1786" s="24" t="str">
        <f aca="false">IF($D1786="","",IFERROR(IF(INDEX(Workers!$D$5:$D$2004,MATCH($D1786,Workers!$A$5:$A$2004,0))=0,"",INDEX(Workers!$D$5:$D$2004,MATCH($D1786,Workers!$A$5:$A$2004,0))),""))</f>
        <v/>
      </c>
      <c r="L1786" s="24" t="str">
        <f aca="false">IF($D1786="","",IFERROR(INDEX(Workers!$E$5:$E$2004,MATCH($D1786,Workers!$A$5:$A$2004,0)),""))</f>
        <v/>
      </c>
      <c r="M1786" s="26" t="str">
        <f aca="false">IF($D1786="","",IFERROR(INDEX(ClientRates!$D$5:$D$500,MATCH($B1786&amp;"|"&amp;$L1786,ClientRates!$A$5:$A$500,0)),0))</f>
        <v/>
      </c>
      <c r="N1786" s="26" t="str">
        <f aca="false">IF($D1786="","",IFERROR(INDEX(ClientRates!$E$5:$E$500,MATCH($B1786&amp;"|"&amp;$L1786,ClientRates!$A$5:$A$500,0)),0))</f>
        <v/>
      </c>
      <c r="O1786" s="26" t="str">
        <f aca="false">IF($D1786="","",F1786*M1786+G1786*N1786)</f>
        <v/>
      </c>
      <c r="P1786" s="26" t="str">
        <f aca="false">IF(OR($D1786="",$J1786&lt;&gt;"Supplier"),"",IFERROR(INDEX(SupplierRates!$D$5:$D$500,MATCH($K1786&amp;"|"&amp;$L1786,SupplierRates!$A$5:$A$500,0)),0))</f>
        <v/>
      </c>
      <c r="Q1786" s="26" t="str">
        <f aca="false">IF(OR($D1786="",$J1786&lt;&gt;"Supplier"),"",IFERROR(INDEX(SupplierRates!$E$5:$E$500,MATCH($K1786&amp;"|"&amp;$L1786,SupplierRates!$A$5:$A$500,0)),0))</f>
        <v/>
      </c>
      <c r="R1786" s="26" t="n">
        <f aca="false">IF(OR($D1786="",$J1786&lt;&gt;"Supplier"),0,F1786*P1786+G1786*Q1786)</f>
        <v>0</v>
      </c>
      <c r="S1786" s="26" t="n">
        <f aca="false">IF(OR($D1786="",$J1786&lt;&gt;"Own"),0,IFERROR((F1786+G1786*Settings!$B$13)*INDEX(Workers!$V$5:$V$2004,MATCH($D1786,Workers!$A$5:$A$2004,0)),0))</f>
        <v>0</v>
      </c>
      <c r="T1786" s="26" t="str">
        <f aca="false">IF($D1786="","",O1786-R1786-S1786)</f>
        <v/>
      </c>
    </row>
    <row r="1787" customFormat="false" ht="15" hidden="false" customHeight="false" outlineLevel="0" collapsed="false">
      <c r="I1787" s="24" t="str">
        <f aca="false">IF($D1787="","",IFERROR(INDEX(Workers!$B$5:$B$2004,MATCH($D1787,Workers!$A$5:$A$2004,0)),"NOT FOUND"))</f>
        <v/>
      </c>
      <c r="J1787" s="24" t="str">
        <f aca="false">IF($D1787="","",IFERROR(INDEX(Workers!$C$5:$C$2004,MATCH($D1787,Workers!$A$5:$A$2004,0)),""))</f>
        <v/>
      </c>
      <c r="K1787" s="24" t="str">
        <f aca="false">IF($D1787="","",IFERROR(IF(INDEX(Workers!$D$5:$D$2004,MATCH($D1787,Workers!$A$5:$A$2004,0))=0,"",INDEX(Workers!$D$5:$D$2004,MATCH($D1787,Workers!$A$5:$A$2004,0))),""))</f>
        <v/>
      </c>
      <c r="L1787" s="24" t="str">
        <f aca="false">IF($D1787="","",IFERROR(INDEX(Workers!$E$5:$E$2004,MATCH($D1787,Workers!$A$5:$A$2004,0)),""))</f>
        <v/>
      </c>
      <c r="M1787" s="26" t="str">
        <f aca="false">IF($D1787="","",IFERROR(INDEX(ClientRates!$D$5:$D$500,MATCH($B1787&amp;"|"&amp;$L1787,ClientRates!$A$5:$A$500,0)),0))</f>
        <v/>
      </c>
      <c r="N1787" s="26" t="str">
        <f aca="false">IF($D1787="","",IFERROR(INDEX(ClientRates!$E$5:$E$500,MATCH($B1787&amp;"|"&amp;$L1787,ClientRates!$A$5:$A$500,0)),0))</f>
        <v/>
      </c>
      <c r="O1787" s="26" t="str">
        <f aca="false">IF($D1787="","",F1787*M1787+G1787*N1787)</f>
        <v/>
      </c>
      <c r="P1787" s="26" t="str">
        <f aca="false">IF(OR($D1787="",$J1787&lt;&gt;"Supplier"),"",IFERROR(INDEX(SupplierRates!$D$5:$D$500,MATCH($K1787&amp;"|"&amp;$L1787,SupplierRates!$A$5:$A$500,0)),0))</f>
        <v/>
      </c>
      <c r="Q1787" s="26" t="str">
        <f aca="false">IF(OR($D1787="",$J1787&lt;&gt;"Supplier"),"",IFERROR(INDEX(SupplierRates!$E$5:$E$500,MATCH($K1787&amp;"|"&amp;$L1787,SupplierRates!$A$5:$A$500,0)),0))</f>
        <v/>
      </c>
      <c r="R1787" s="26" t="n">
        <f aca="false">IF(OR($D1787="",$J1787&lt;&gt;"Supplier"),0,F1787*P1787+G1787*Q1787)</f>
        <v>0</v>
      </c>
      <c r="S1787" s="26" t="n">
        <f aca="false">IF(OR($D1787="",$J1787&lt;&gt;"Own"),0,IFERROR((F1787+G1787*Settings!$B$13)*INDEX(Workers!$V$5:$V$2004,MATCH($D1787,Workers!$A$5:$A$2004,0)),0))</f>
        <v>0</v>
      </c>
      <c r="T1787" s="26" t="str">
        <f aca="false">IF($D1787="","",O1787-R1787-S1787)</f>
        <v/>
      </c>
    </row>
    <row r="1788" customFormat="false" ht="15" hidden="false" customHeight="false" outlineLevel="0" collapsed="false">
      <c r="I1788" s="24" t="str">
        <f aca="false">IF($D1788="","",IFERROR(INDEX(Workers!$B$5:$B$2004,MATCH($D1788,Workers!$A$5:$A$2004,0)),"NOT FOUND"))</f>
        <v/>
      </c>
      <c r="J1788" s="24" t="str">
        <f aca="false">IF($D1788="","",IFERROR(INDEX(Workers!$C$5:$C$2004,MATCH($D1788,Workers!$A$5:$A$2004,0)),""))</f>
        <v/>
      </c>
      <c r="K1788" s="24" t="str">
        <f aca="false">IF($D1788="","",IFERROR(IF(INDEX(Workers!$D$5:$D$2004,MATCH($D1788,Workers!$A$5:$A$2004,0))=0,"",INDEX(Workers!$D$5:$D$2004,MATCH($D1788,Workers!$A$5:$A$2004,0))),""))</f>
        <v/>
      </c>
      <c r="L1788" s="24" t="str">
        <f aca="false">IF($D1788="","",IFERROR(INDEX(Workers!$E$5:$E$2004,MATCH($D1788,Workers!$A$5:$A$2004,0)),""))</f>
        <v/>
      </c>
      <c r="M1788" s="26" t="str">
        <f aca="false">IF($D1788="","",IFERROR(INDEX(ClientRates!$D$5:$D$500,MATCH($B1788&amp;"|"&amp;$L1788,ClientRates!$A$5:$A$500,0)),0))</f>
        <v/>
      </c>
      <c r="N1788" s="26" t="str">
        <f aca="false">IF($D1788="","",IFERROR(INDEX(ClientRates!$E$5:$E$500,MATCH($B1788&amp;"|"&amp;$L1788,ClientRates!$A$5:$A$500,0)),0))</f>
        <v/>
      </c>
      <c r="O1788" s="26" t="str">
        <f aca="false">IF($D1788="","",F1788*M1788+G1788*N1788)</f>
        <v/>
      </c>
      <c r="P1788" s="26" t="str">
        <f aca="false">IF(OR($D1788="",$J1788&lt;&gt;"Supplier"),"",IFERROR(INDEX(SupplierRates!$D$5:$D$500,MATCH($K1788&amp;"|"&amp;$L1788,SupplierRates!$A$5:$A$500,0)),0))</f>
        <v/>
      </c>
      <c r="Q1788" s="26" t="str">
        <f aca="false">IF(OR($D1788="",$J1788&lt;&gt;"Supplier"),"",IFERROR(INDEX(SupplierRates!$E$5:$E$500,MATCH($K1788&amp;"|"&amp;$L1788,SupplierRates!$A$5:$A$500,0)),0))</f>
        <v/>
      </c>
      <c r="R1788" s="26" t="n">
        <f aca="false">IF(OR($D1788="",$J1788&lt;&gt;"Supplier"),0,F1788*P1788+G1788*Q1788)</f>
        <v>0</v>
      </c>
      <c r="S1788" s="26" t="n">
        <f aca="false">IF(OR($D1788="",$J1788&lt;&gt;"Own"),0,IFERROR((F1788+G1788*Settings!$B$13)*INDEX(Workers!$V$5:$V$2004,MATCH($D1788,Workers!$A$5:$A$2004,0)),0))</f>
        <v>0</v>
      </c>
      <c r="T1788" s="26" t="str">
        <f aca="false">IF($D1788="","",O1788-R1788-S1788)</f>
        <v/>
      </c>
    </row>
    <row r="1789" customFormat="false" ht="15" hidden="false" customHeight="false" outlineLevel="0" collapsed="false">
      <c r="I1789" s="24" t="str">
        <f aca="false">IF($D1789="","",IFERROR(INDEX(Workers!$B$5:$B$2004,MATCH($D1789,Workers!$A$5:$A$2004,0)),"NOT FOUND"))</f>
        <v/>
      </c>
      <c r="J1789" s="24" t="str">
        <f aca="false">IF($D1789="","",IFERROR(INDEX(Workers!$C$5:$C$2004,MATCH($D1789,Workers!$A$5:$A$2004,0)),""))</f>
        <v/>
      </c>
      <c r="K1789" s="24" t="str">
        <f aca="false">IF($D1789="","",IFERROR(IF(INDEX(Workers!$D$5:$D$2004,MATCH($D1789,Workers!$A$5:$A$2004,0))=0,"",INDEX(Workers!$D$5:$D$2004,MATCH($D1789,Workers!$A$5:$A$2004,0))),""))</f>
        <v/>
      </c>
      <c r="L1789" s="24" t="str">
        <f aca="false">IF($D1789="","",IFERROR(INDEX(Workers!$E$5:$E$2004,MATCH($D1789,Workers!$A$5:$A$2004,0)),""))</f>
        <v/>
      </c>
      <c r="M1789" s="26" t="str">
        <f aca="false">IF($D1789="","",IFERROR(INDEX(ClientRates!$D$5:$D$500,MATCH($B1789&amp;"|"&amp;$L1789,ClientRates!$A$5:$A$500,0)),0))</f>
        <v/>
      </c>
      <c r="N1789" s="26" t="str">
        <f aca="false">IF($D1789="","",IFERROR(INDEX(ClientRates!$E$5:$E$500,MATCH($B1789&amp;"|"&amp;$L1789,ClientRates!$A$5:$A$500,0)),0))</f>
        <v/>
      </c>
      <c r="O1789" s="26" t="str">
        <f aca="false">IF($D1789="","",F1789*M1789+G1789*N1789)</f>
        <v/>
      </c>
      <c r="P1789" s="26" t="str">
        <f aca="false">IF(OR($D1789="",$J1789&lt;&gt;"Supplier"),"",IFERROR(INDEX(SupplierRates!$D$5:$D$500,MATCH($K1789&amp;"|"&amp;$L1789,SupplierRates!$A$5:$A$500,0)),0))</f>
        <v/>
      </c>
      <c r="Q1789" s="26" t="str">
        <f aca="false">IF(OR($D1789="",$J1789&lt;&gt;"Supplier"),"",IFERROR(INDEX(SupplierRates!$E$5:$E$500,MATCH($K1789&amp;"|"&amp;$L1789,SupplierRates!$A$5:$A$500,0)),0))</f>
        <v/>
      </c>
      <c r="R1789" s="26" t="n">
        <f aca="false">IF(OR($D1789="",$J1789&lt;&gt;"Supplier"),0,F1789*P1789+G1789*Q1789)</f>
        <v>0</v>
      </c>
      <c r="S1789" s="26" t="n">
        <f aca="false">IF(OR($D1789="",$J1789&lt;&gt;"Own"),0,IFERROR((F1789+G1789*Settings!$B$13)*INDEX(Workers!$V$5:$V$2004,MATCH($D1789,Workers!$A$5:$A$2004,0)),0))</f>
        <v>0</v>
      </c>
      <c r="T1789" s="26" t="str">
        <f aca="false">IF($D1789="","",O1789-R1789-S1789)</f>
        <v/>
      </c>
    </row>
    <row r="1790" customFormat="false" ht="15" hidden="false" customHeight="false" outlineLevel="0" collapsed="false">
      <c r="I1790" s="24" t="str">
        <f aca="false">IF($D1790="","",IFERROR(INDEX(Workers!$B$5:$B$2004,MATCH($D1790,Workers!$A$5:$A$2004,0)),"NOT FOUND"))</f>
        <v/>
      </c>
      <c r="J1790" s="24" t="str">
        <f aca="false">IF($D1790="","",IFERROR(INDEX(Workers!$C$5:$C$2004,MATCH($D1790,Workers!$A$5:$A$2004,0)),""))</f>
        <v/>
      </c>
      <c r="K1790" s="24" t="str">
        <f aca="false">IF($D1790="","",IFERROR(IF(INDEX(Workers!$D$5:$D$2004,MATCH($D1790,Workers!$A$5:$A$2004,0))=0,"",INDEX(Workers!$D$5:$D$2004,MATCH($D1790,Workers!$A$5:$A$2004,0))),""))</f>
        <v/>
      </c>
      <c r="L1790" s="24" t="str">
        <f aca="false">IF($D1790="","",IFERROR(INDEX(Workers!$E$5:$E$2004,MATCH($D1790,Workers!$A$5:$A$2004,0)),""))</f>
        <v/>
      </c>
      <c r="M1790" s="26" t="str">
        <f aca="false">IF($D1790="","",IFERROR(INDEX(ClientRates!$D$5:$D$500,MATCH($B1790&amp;"|"&amp;$L1790,ClientRates!$A$5:$A$500,0)),0))</f>
        <v/>
      </c>
      <c r="N1790" s="26" t="str">
        <f aca="false">IF($D1790="","",IFERROR(INDEX(ClientRates!$E$5:$E$500,MATCH($B1790&amp;"|"&amp;$L1790,ClientRates!$A$5:$A$500,0)),0))</f>
        <v/>
      </c>
      <c r="O1790" s="26" t="str">
        <f aca="false">IF($D1790="","",F1790*M1790+G1790*N1790)</f>
        <v/>
      </c>
      <c r="P1790" s="26" t="str">
        <f aca="false">IF(OR($D1790="",$J1790&lt;&gt;"Supplier"),"",IFERROR(INDEX(SupplierRates!$D$5:$D$500,MATCH($K1790&amp;"|"&amp;$L1790,SupplierRates!$A$5:$A$500,0)),0))</f>
        <v/>
      </c>
      <c r="Q1790" s="26" t="str">
        <f aca="false">IF(OR($D1790="",$J1790&lt;&gt;"Supplier"),"",IFERROR(INDEX(SupplierRates!$E$5:$E$500,MATCH($K1790&amp;"|"&amp;$L1790,SupplierRates!$A$5:$A$500,0)),0))</f>
        <v/>
      </c>
      <c r="R1790" s="26" t="n">
        <f aca="false">IF(OR($D1790="",$J1790&lt;&gt;"Supplier"),0,F1790*P1790+G1790*Q1790)</f>
        <v>0</v>
      </c>
      <c r="S1790" s="26" t="n">
        <f aca="false">IF(OR($D1790="",$J1790&lt;&gt;"Own"),0,IFERROR((F1790+G1790*Settings!$B$13)*INDEX(Workers!$V$5:$V$2004,MATCH($D1790,Workers!$A$5:$A$2004,0)),0))</f>
        <v>0</v>
      </c>
      <c r="T1790" s="26" t="str">
        <f aca="false">IF($D1790="","",O1790-R1790-S1790)</f>
        <v/>
      </c>
    </row>
    <row r="1791" customFormat="false" ht="15" hidden="false" customHeight="false" outlineLevel="0" collapsed="false">
      <c r="I1791" s="24" t="str">
        <f aca="false">IF($D1791="","",IFERROR(INDEX(Workers!$B$5:$B$2004,MATCH($D1791,Workers!$A$5:$A$2004,0)),"NOT FOUND"))</f>
        <v/>
      </c>
      <c r="J1791" s="24" t="str">
        <f aca="false">IF($D1791="","",IFERROR(INDEX(Workers!$C$5:$C$2004,MATCH($D1791,Workers!$A$5:$A$2004,0)),""))</f>
        <v/>
      </c>
      <c r="K1791" s="24" t="str">
        <f aca="false">IF($D1791="","",IFERROR(IF(INDEX(Workers!$D$5:$D$2004,MATCH($D1791,Workers!$A$5:$A$2004,0))=0,"",INDEX(Workers!$D$5:$D$2004,MATCH($D1791,Workers!$A$5:$A$2004,0))),""))</f>
        <v/>
      </c>
      <c r="L1791" s="24" t="str">
        <f aca="false">IF($D1791="","",IFERROR(INDEX(Workers!$E$5:$E$2004,MATCH($D1791,Workers!$A$5:$A$2004,0)),""))</f>
        <v/>
      </c>
      <c r="M1791" s="26" t="str">
        <f aca="false">IF($D1791="","",IFERROR(INDEX(ClientRates!$D$5:$D$500,MATCH($B1791&amp;"|"&amp;$L1791,ClientRates!$A$5:$A$500,0)),0))</f>
        <v/>
      </c>
      <c r="N1791" s="26" t="str">
        <f aca="false">IF($D1791="","",IFERROR(INDEX(ClientRates!$E$5:$E$500,MATCH($B1791&amp;"|"&amp;$L1791,ClientRates!$A$5:$A$500,0)),0))</f>
        <v/>
      </c>
      <c r="O1791" s="26" t="str">
        <f aca="false">IF($D1791="","",F1791*M1791+G1791*N1791)</f>
        <v/>
      </c>
      <c r="P1791" s="26" t="str">
        <f aca="false">IF(OR($D1791="",$J1791&lt;&gt;"Supplier"),"",IFERROR(INDEX(SupplierRates!$D$5:$D$500,MATCH($K1791&amp;"|"&amp;$L1791,SupplierRates!$A$5:$A$500,0)),0))</f>
        <v/>
      </c>
      <c r="Q1791" s="26" t="str">
        <f aca="false">IF(OR($D1791="",$J1791&lt;&gt;"Supplier"),"",IFERROR(INDEX(SupplierRates!$E$5:$E$500,MATCH($K1791&amp;"|"&amp;$L1791,SupplierRates!$A$5:$A$500,0)),0))</f>
        <v/>
      </c>
      <c r="R1791" s="26" t="n">
        <f aca="false">IF(OR($D1791="",$J1791&lt;&gt;"Supplier"),0,F1791*P1791+G1791*Q1791)</f>
        <v>0</v>
      </c>
      <c r="S1791" s="26" t="n">
        <f aca="false">IF(OR($D1791="",$J1791&lt;&gt;"Own"),0,IFERROR((F1791+G1791*Settings!$B$13)*INDEX(Workers!$V$5:$V$2004,MATCH($D1791,Workers!$A$5:$A$2004,0)),0))</f>
        <v>0</v>
      </c>
      <c r="T1791" s="26" t="str">
        <f aca="false">IF($D1791="","",O1791-R1791-S1791)</f>
        <v/>
      </c>
    </row>
    <row r="1792" customFormat="false" ht="15" hidden="false" customHeight="false" outlineLevel="0" collapsed="false">
      <c r="I1792" s="24" t="str">
        <f aca="false">IF($D1792="","",IFERROR(INDEX(Workers!$B$5:$B$2004,MATCH($D1792,Workers!$A$5:$A$2004,0)),"NOT FOUND"))</f>
        <v/>
      </c>
      <c r="J1792" s="24" t="str">
        <f aca="false">IF($D1792="","",IFERROR(INDEX(Workers!$C$5:$C$2004,MATCH($D1792,Workers!$A$5:$A$2004,0)),""))</f>
        <v/>
      </c>
      <c r="K1792" s="24" t="str">
        <f aca="false">IF($D1792="","",IFERROR(IF(INDEX(Workers!$D$5:$D$2004,MATCH($D1792,Workers!$A$5:$A$2004,0))=0,"",INDEX(Workers!$D$5:$D$2004,MATCH($D1792,Workers!$A$5:$A$2004,0))),""))</f>
        <v/>
      </c>
      <c r="L1792" s="24" t="str">
        <f aca="false">IF($D1792="","",IFERROR(INDEX(Workers!$E$5:$E$2004,MATCH($D1792,Workers!$A$5:$A$2004,0)),""))</f>
        <v/>
      </c>
      <c r="M1792" s="26" t="str">
        <f aca="false">IF($D1792="","",IFERROR(INDEX(ClientRates!$D$5:$D$500,MATCH($B1792&amp;"|"&amp;$L1792,ClientRates!$A$5:$A$500,0)),0))</f>
        <v/>
      </c>
      <c r="N1792" s="26" t="str">
        <f aca="false">IF($D1792="","",IFERROR(INDEX(ClientRates!$E$5:$E$500,MATCH($B1792&amp;"|"&amp;$L1792,ClientRates!$A$5:$A$500,0)),0))</f>
        <v/>
      </c>
      <c r="O1792" s="26" t="str">
        <f aca="false">IF($D1792="","",F1792*M1792+G1792*N1792)</f>
        <v/>
      </c>
      <c r="P1792" s="26" t="str">
        <f aca="false">IF(OR($D1792="",$J1792&lt;&gt;"Supplier"),"",IFERROR(INDEX(SupplierRates!$D$5:$D$500,MATCH($K1792&amp;"|"&amp;$L1792,SupplierRates!$A$5:$A$500,0)),0))</f>
        <v/>
      </c>
      <c r="Q1792" s="26" t="str">
        <f aca="false">IF(OR($D1792="",$J1792&lt;&gt;"Supplier"),"",IFERROR(INDEX(SupplierRates!$E$5:$E$500,MATCH($K1792&amp;"|"&amp;$L1792,SupplierRates!$A$5:$A$500,0)),0))</f>
        <v/>
      </c>
      <c r="R1792" s="26" t="n">
        <f aca="false">IF(OR($D1792="",$J1792&lt;&gt;"Supplier"),0,F1792*P1792+G1792*Q1792)</f>
        <v>0</v>
      </c>
      <c r="S1792" s="26" t="n">
        <f aca="false">IF(OR($D1792="",$J1792&lt;&gt;"Own"),0,IFERROR((F1792+G1792*Settings!$B$13)*INDEX(Workers!$V$5:$V$2004,MATCH($D1792,Workers!$A$5:$A$2004,0)),0))</f>
        <v>0</v>
      </c>
      <c r="T1792" s="26" t="str">
        <f aca="false">IF($D1792="","",O1792-R1792-S1792)</f>
        <v/>
      </c>
    </row>
    <row r="1793" customFormat="false" ht="15" hidden="false" customHeight="false" outlineLevel="0" collapsed="false">
      <c r="I1793" s="24" t="str">
        <f aca="false">IF($D1793="","",IFERROR(INDEX(Workers!$B$5:$B$2004,MATCH($D1793,Workers!$A$5:$A$2004,0)),"NOT FOUND"))</f>
        <v/>
      </c>
      <c r="J1793" s="24" t="str">
        <f aca="false">IF($D1793="","",IFERROR(INDEX(Workers!$C$5:$C$2004,MATCH($D1793,Workers!$A$5:$A$2004,0)),""))</f>
        <v/>
      </c>
      <c r="K1793" s="24" t="str">
        <f aca="false">IF($D1793="","",IFERROR(IF(INDEX(Workers!$D$5:$D$2004,MATCH($D1793,Workers!$A$5:$A$2004,0))=0,"",INDEX(Workers!$D$5:$D$2004,MATCH($D1793,Workers!$A$5:$A$2004,0))),""))</f>
        <v/>
      </c>
      <c r="L1793" s="24" t="str">
        <f aca="false">IF($D1793="","",IFERROR(INDEX(Workers!$E$5:$E$2004,MATCH($D1793,Workers!$A$5:$A$2004,0)),""))</f>
        <v/>
      </c>
      <c r="M1793" s="26" t="str">
        <f aca="false">IF($D1793="","",IFERROR(INDEX(ClientRates!$D$5:$D$500,MATCH($B1793&amp;"|"&amp;$L1793,ClientRates!$A$5:$A$500,0)),0))</f>
        <v/>
      </c>
      <c r="N1793" s="26" t="str">
        <f aca="false">IF($D1793="","",IFERROR(INDEX(ClientRates!$E$5:$E$500,MATCH($B1793&amp;"|"&amp;$L1793,ClientRates!$A$5:$A$500,0)),0))</f>
        <v/>
      </c>
      <c r="O1793" s="26" t="str">
        <f aca="false">IF($D1793="","",F1793*M1793+G1793*N1793)</f>
        <v/>
      </c>
      <c r="P1793" s="26" t="str">
        <f aca="false">IF(OR($D1793="",$J1793&lt;&gt;"Supplier"),"",IFERROR(INDEX(SupplierRates!$D$5:$D$500,MATCH($K1793&amp;"|"&amp;$L1793,SupplierRates!$A$5:$A$500,0)),0))</f>
        <v/>
      </c>
      <c r="Q1793" s="26" t="str">
        <f aca="false">IF(OR($D1793="",$J1793&lt;&gt;"Supplier"),"",IFERROR(INDEX(SupplierRates!$E$5:$E$500,MATCH($K1793&amp;"|"&amp;$L1793,SupplierRates!$A$5:$A$500,0)),0))</f>
        <v/>
      </c>
      <c r="R1793" s="26" t="n">
        <f aca="false">IF(OR($D1793="",$J1793&lt;&gt;"Supplier"),0,F1793*P1793+G1793*Q1793)</f>
        <v>0</v>
      </c>
      <c r="S1793" s="26" t="n">
        <f aca="false">IF(OR($D1793="",$J1793&lt;&gt;"Own"),0,IFERROR((F1793+G1793*Settings!$B$13)*INDEX(Workers!$V$5:$V$2004,MATCH($D1793,Workers!$A$5:$A$2004,0)),0))</f>
        <v>0</v>
      </c>
      <c r="T1793" s="26" t="str">
        <f aca="false">IF($D1793="","",O1793-R1793-S1793)</f>
        <v/>
      </c>
    </row>
    <row r="1794" customFormat="false" ht="15" hidden="false" customHeight="false" outlineLevel="0" collapsed="false">
      <c r="I1794" s="24" t="str">
        <f aca="false">IF($D1794="","",IFERROR(INDEX(Workers!$B$5:$B$2004,MATCH($D1794,Workers!$A$5:$A$2004,0)),"NOT FOUND"))</f>
        <v/>
      </c>
      <c r="J1794" s="24" t="str">
        <f aca="false">IF($D1794="","",IFERROR(INDEX(Workers!$C$5:$C$2004,MATCH($D1794,Workers!$A$5:$A$2004,0)),""))</f>
        <v/>
      </c>
      <c r="K1794" s="24" t="str">
        <f aca="false">IF($D1794="","",IFERROR(IF(INDEX(Workers!$D$5:$D$2004,MATCH($D1794,Workers!$A$5:$A$2004,0))=0,"",INDEX(Workers!$D$5:$D$2004,MATCH($D1794,Workers!$A$5:$A$2004,0))),""))</f>
        <v/>
      </c>
      <c r="L1794" s="24" t="str">
        <f aca="false">IF($D1794="","",IFERROR(INDEX(Workers!$E$5:$E$2004,MATCH($D1794,Workers!$A$5:$A$2004,0)),""))</f>
        <v/>
      </c>
      <c r="M1794" s="26" t="str">
        <f aca="false">IF($D1794="","",IFERROR(INDEX(ClientRates!$D$5:$D$500,MATCH($B1794&amp;"|"&amp;$L1794,ClientRates!$A$5:$A$500,0)),0))</f>
        <v/>
      </c>
      <c r="N1794" s="26" t="str">
        <f aca="false">IF($D1794="","",IFERROR(INDEX(ClientRates!$E$5:$E$500,MATCH($B1794&amp;"|"&amp;$L1794,ClientRates!$A$5:$A$500,0)),0))</f>
        <v/>
      </c>
      <c r="O1794" s="26" t="str">
        <f aca="false">IF($D1794="","",F1794*M1794+G1794*N1794)</f>
        <v/>
      </c>
      <c r="P1794" s="26" t="str">
        <f aca="false">IF(OR($D1794="",$J1794&lt;&gt;"Supplier"),"",IFERROR(INDEX(SupplierRates!$D$5:$D$500,MATCH($K1794&amp;"|"&amp;$L1794,SupplierRates!$A$5:$A$500,0)),0))</f>
        <v/>
      </c>
      <c r="Q1794" s="26" t="str">
        <f aca="false">IF(OR($D1794="",$J1794&lt;&gt;"Supplier"),"",IFERROR(INDEX(SupplierRates!$E$5:$E$500,MATCH($K1794&amp;"|"&amp;$L1794,SupplierRates!$A$5:$A$500,0)),0))</f>
        <v/>
      </c>
      <c r="R1794" s="26" t="n">
        <f aca="false">IF(OR($D1794="",$J1794&lt;&gt;"Supplier"),0,F1794*P1794+G1794*Q1794)</f>
        <v>0</v>
      </c>
      <c r="S1794" s="26" t="n">
        <f aca="false">IF(OR($D1794="",$J1794&lt;&gt;"Own"),0,IFERROR((F1794+G1794*Settings!$B$13)*INDEX(Workers!$V$5:$V$2004,MATCH($D1794,Workers!$A$5:$A$2004,0)),0))</f>
        <v>0</v>
      </c>
      <c r="T1794" s="26" t="str">
        <f aca="false">IF($D1794="","",O1794-R1794-S1794)</f>
        <v/>
      </c>
    </row>
    <row r="1795" customFormat="false" ht="15" hidden="false" customHeight="false" outlineLevel="0" collapsed="false">
      <c r="I1795" s="24" t="str">
        <f aca="false">IF($D1795="","",IFERROR(INDEX(Workers!$B$5:$B$2004,MATCH($D1795,Workers!$A$5:$A$2004,0)),"NOT FOUND"))</f>
        <v/>
      </c>
      <c r="J1795" s="24" t="str">
        <f aca="false">IF($D1795="","",IFERROR(INDEX(Workers!$C$5:$C$2004,MATCH($D1795,Workers!$A$5:$A$2004,0)),""))</f>
        <v/>
      </c>
      <c r="K1795" s="24" t="str">
        <f aca="false">IF($D1795="","",IFERROR(IF(INDEX(Workers!$D$5:$D$2004,MATCH($D1795,Workers!$A$5:$A$2004,0))=0,"",INDEX(Workers!$D$5:$D$2004,MATCH($D1795,Workers!$A$5:$A$2004,0))),""))</f>
        <v/>
      </c>
      <c r="L1795" s="24" t="str">
        <f aca="false">IF($D1795="","",IFERROR(INDEX(Workers!$E$5:$E$2004,MATCH($D1795,Workers!$A$5:$A$2004,0)),""))</f>
        <v/>
      </c>
      <c r="M1795" s="26" t="str">
        <f aca="false">IF($D1795="","",IFERROR(INDEX(ClientRates!$D$5:$D$500,MATCH($B1795&amp;"|"&amp;$L1795,ClientRates!$A$5:$A$500,0)),0))</f>
        <v/>
      </c>
      <c r="N1795" s="26" t="str">
        <f aca="false">IF($D1795="","",IFERROR(INDEX(ClientRates!$E$5:$E$500,MATCH($B1795&amp;"|"&amp;$L1795,ClientRates!$A$5:$A$500,0)),0))</f>
        <v/>
      </c>
      <c r="O1795" s="26" t="str">
        <f aca="false">IF($D1795="","",F1795*M1795+G1795*N1795)</f>
        <v/>
      </c>
      <c r="P1795" s="26" t="str">
        <f aca="false">IF(OR($D1795="",$J1795&lt;&gt;"Supplier"),"",IFERROR(INDEX(SupplierRates!$D$5:$D$500,MATCH($K1795&amp;"|"&amp;$L1795,SupplierRates!$A$5:$A$500,0)),0))</f>
        <v/>
      </c>
      <c r="Q1795" s="26" t="str">
        <f aca="false">IF(OR($D1795="",$J1795&lt;&gt;"Supplier"),"",IFERROR(INDEX(SupplierRates!$E$5:$E$500,MATCH($K1795&amp;"|"&amp;$L1795,SupplierRates!$A$5:$A$500,0)),0))</f>
        <v/>
      </c>
      <c r="R1795" s="26" t="n">
        <f aca="false">IF(OR($D1795="",$J1795&lt;&gt;"Supplier"),0,F1795*P1795+G1795*Q1795)</f>
        <v>0</v>
      </c>
      <c r="S1795" s="26" t="n">
        <f aca="false">IF(OR($D1795="",$J1795&lt;&gt;"Own"),0,IFERROR((F1795+G1795*Settings!$B$13)*INDEX(Workers!$V$5:$V$2004,MATCH($D1795,Workers!$A$5:$A$2004,0)),0))</f>
        <v>0</v>
      </c>
      <c r="T1795" s="26" t="str">
        <f aca="false">IF($D1795="","",O1795-R1795-S1795)</f>
        <v/>
      </c>
    </row>
    <row r="1796" customFormat="false" ht="15" hidden="false" customHeight="false" outlineLevel="0" collapsed="false">
      <c r="I1796" s="24" t="str">
        <f aca="false">IF($D1796="","",IFERROR(INDEX(Workers!$B$5:$B$2004,MATCH($D1796,Workers!$A$5:$A$2004,0)),"NOT FOUND"))</f>
        <v/>
      </c>
      <c r="J1796" s="24" t="str">
        <f aca="false">IF($D1796="","",IFERROR(INDEX(Workers!$C$5:$C$2004,MATCH($D1796,Workers!$A$5:$A$2004,0)),""))</f>
        <v/>
      </c>
      <c r="K1796" s="24" t="str">
        <f aca="false">IF($D1796="","",IFERROR(IF(INDEX(Workers!$D$5:$D$2004,MATCH($D1796,Workers!$A$5:$A$2004,0))=0,"",INDEX(Workers!$D$5:$D$2004,MATCH($D1796,Workers!$A$5:$A$2004,0))),""))</f>
        <v/>
      </c>
      <c r="L1796" s="24" t="str">
        <f aca="false">IF($D1796="","",IFERROR(INDEX(Workers!$E$5:$E$2004,MATCH($D1796,Workers!$A$5:$A$2004,0)),""))</f>
        <v/>
      </c>
      <c r="M1796" s="26" t="str">
        <f aca="false">IF($D1796="","",IFERROR(INDEX(ClientRates!$D$5:$D$500,MATCH($B1796&amp;"|"&amp;$L1796,ClientRates!$A$5:$A$500,0)),0))</f>
        <v/>
      </c>
      <c r="N1796" s="26" t="str">
        <f aca="false">IF($D1796="","",IFERROR(INDEX(ClientRates!$E$5:$E$500,MATCH($B1796&amp;"|"&amp;$L1796,ClientRates!$A$5:$A$500,0)),0))</f>
        <v/>
      </c>
      <c r="O1796" s="26" t="str">
        <f aca="false">IF($D1796="","",F1796*M1796+G1796*N1796)</f>
        <v/>
      </c>
      <c r="P1796" s="26" t="str">
        <f aca="false">IF(OR($D1796="",$J1796&lt;&gt;"Supplier"),"",IFERROR(INDEX(SupplierRates!$D$5:$D$500,MATCH($K1796&amp;"|"&amp;$L1796,SupplierRates!$A$5:$A$500,0)),0))</f>
        <v/>
      </c>
      <c r="Q1796" s="26" t="str">
        <f aca="false">IF(OR($D1796="",$J1796&lt;&gt;"Supplier"),"",IFERROR(INDEX(SupplierRates!$E$5:$E$500,MATCH($K1796&amp;"|"&amp;$L1796,SupplierRates!$A$5:$A$500,0)),0))</f>
        <v/>
      </c>
      <c r="R1796" s="26" t="n">
        <f aca="false">IF(OR($D1796="",$J1796&lt;&gt;"Supplier"),0,F1796*P1796+G1796*Q1796)</f>
        <v>0</v>
      </c>
      <c r="S1796" s="26" t="n">
        <f aca="false">IF(OR($D1796="",$J1796&lt;&gt;"Own"),0,IFERROR((F1796+G1796*Settings!$B$13)*INDEX(Workers!$V$5:$V$2004,MATCH($D1796,Workers!$A$5:$A$2004,0)),0))</f>
        <v>0</v>
      </c>
      <c r="T1796" s="26" t="str">
        <f aca="false">IF($D1796="","",O1796-R1796-S1796)</f>
        <v/>
      </c>
    </row>
    <row r="1797" customFormat="false" ht="15" hidden="false" customHeight="false" outlineLevel="0" collapsed="false">
      <c r="I1797" s="24" t="str">
        <f aca="false">IF($D1797="","",IFERROR(INDEX(Workers!$B$5:$B$2004,MATCH($D1797,Workers!$A$5:$A$2004,0)),"NOT FOUND"))</f>
        <v/>
      </c>
      <c r="J1797" s="24" t="str">
        <f aca="false">IF($D1797="","",IFERROR(INDEX(Workers!$C$5:$C$2004,MATCH($D1797,Workers!$A$5:$A$2004,0)),""))</f>
        <v/>
      </c>
      <c r="K1797" s="24" t="str">
        <f aca="false">IF($D1797="","",IFERROR(IF(INDEX(Workers!$D$5:$D$2004,MATCH($D1797,Workers!$A$5:$A$2004,0))=0,"",INDEX(Workers!$D$5:$D$2004,MATCH($D1797,Workers!$A$5:$A$2004,0))),""))</f>
        <v/>
      </c>
      <c r="L1797" s="24" t="str">
        <f aca="false">IF($D1797="","",IFERROR(INDEX(Workers!$E$5:$E$2004,MATCH($D1797,Workers!$A$5:$A$2004,0)),""))</f>
        <v/>
      </c>
      <c r="M1797" s="26" t="str">
        <f aca="false">IF($D1797="","",IFERROR(INDEX(ClientRates!$D$5:$D$500,MATCH($B1797&amp;"|"&amp;$L1797,ClientRates!$A$5:$A$500,0)),0))</f>
        <v/>
      </c>
      <c r="N1797" s="26" t="str">
        <f aca="false">IF($D1797="","",IFERROR(INDEX(ClientRates!$E$5:$E$500,MATCH($B1797&amp;"|"&amp;$L1797,ClientRates!$A$5:$A$500,0)),0))</f>
        <v/>
      </c>
      <c r="O1797" s="26" t="str">
        <f aca="false">IF($D1797="","",F1797*M1797+G1797*N1797)</f>
        <v/>
      </c>
      <c r="P1797" s="26" t="str">
        <f aca="false">IF(OR($D1797="",$J1797&lt;&gt;"Supplier"),"",IFERROR(INDEX(SupplierRates!$D$5:$D$500,MATCH($K1797&amp;"|"&amp;$L1797,SupplierRates!$A$5:$A$500,0)),0))</f>
        <v/>
      </c>
      <c r="Q1797" s="26" t="str">
        <f aca="false">IF(OR($D1797="",$J1797&lt;&gt;"Supplier"),"",IFERROR(INDEX(SupplierRates!$E$5:$E$500,MATCH($K1797&amp;"|"&amp;$L1797,SupplierRates!$A$5:$A$500,0)),0))</f>
        <v/>
      </c>
      <c r="R1797" s="26" t="n">
        <f aca="false">IF(OR($D1797="",$J1797&lt;&gt;"Supplier"),0,F1797*P1797+G1797*Q1797)</f>
        <v>0</v>
      </c>
      <c r="S1797" s="26" t="n">
        <f aca="false">IF(OR($D1797="",$J1797&lt;&gt;"Own"),0,IFERROR((F1797+G1797*Settings!$B$13)*INDEX(Workers!$V$5:$V$2004,MATCH($D1797,Workers!$A$5:$A$2004,0)),0))</f>
        <v>0</v>
      </c>
      <c r="T1797" s="26" t="str">
        <f aca="false">IF($D1797="","",O1797-R1797-S1797)</f>
        <v/>
      </c>
    </row>
    <row r="1798" customFormat="false" ht="15" hidden="false" customHeight="false" outlineLevel="0" collapsed="false">
      <c r="I1798" s="24" t="str">
        <f aca="false">IF($D1798="","",IFERROR(INDEX(Workers!$B$5:$B$2004,MATCH($D1798,Workers!$A$5:$A$2004,0)),"NOT FOUND"))</f>
        <v/>
      </c>
      <c r="J1798" s="24" t="str">
        <f aca="false">IF($D1798="","",IFERROR(INDEX(Workers!$C$5:$C$2004,MATCH($D1798,Workers!$A$5:$A$2004,0)),""))</f>
        <v/>
      </c>
      <c r="K1798" s="24" t="str">
        <f aca="false">IF($D1798="","",IFERROR(IF(INDEX(Workers!$D$5:$D$2004,MATCH($D1798,Workers!$A$5:$A$2004,0))=0,"",INDEX(Workers!$D$5:$D$2004,MATCH($D1798,Workers!$A$5:$A$2004,0))),""))</f>
        <v/>
      </c>
      <c r="L1798" s="24" t="str">
        <f aca="false">IF($D1798="","",IFERROR(INDEX(Workers!$E$5:$E$2004,MATCH($D1798,Workers!$A$5:$A$2004,0)),""))</f>
        <v/>
      </c>
      <c r="M1798" s="26" t="str">
        <f aca="false">IF($D1798="","",IFERROR(INDEX(ClientRates!$D$5:$D$500,MATCH($B1798&amp;"|"&amp;$L1798,ClientRates!$A$5:$A$500,0)),0))</f>
        <v/>
      </c>
      <c r="N1798" s="26" t="str">
        <f aca="false">IF($D1798="","",IFERROR(INDEX(ClientRates!$E$5:$E$500,MATCH($B1798&amp;"|"&amp;$L1798,ClientRates!$A$5:$A$500,0)),0))</f>
        <v/>
      </c>
      <c r="O1798" s="26" t="str">
        <f aca="false">IF($D1798="","",F1798*M1798+G1798*N1798)</f>
        <v/>
      </c>
      <c r="P1798" s="26" t="str">
        <f aca="false">IF(OR($D1798="",$J1798&lt;&gt;"Supplier"),"",IFERROR(INDEX(SupplierRates!$D$5:$D$500,MATCH($K1798&amp;"|"&amp;$L1798,SupplierRates!$A$5:$A$500,0)),0))</f>
        <v/>
      </c>
      <c r="Q1798" s="26" t="str">
        <f aca="false">IF(OR($D1798="",$J1798&lt;&gt;"Supplier"),"",IFERROR(INDEX(SupplierRates!$E$5:$E$500,MATCH($K1798&amp;"|"&amp;$L1798,SupplierRates!$A$5:$A$500,0)),0))</f>
        <v/>
      </c>
      <c r="R1798" s="26" t="n">
        <f aca="false">IF(OR($D1798="",$J1798&lt;&gt;"Supplier"),0,F1798*P1798+G1798*Q1798)</f>
        <v>0</v>
      </c>
      <c r="S1798" s="26" t="n">
        <f aca="false">IF(OR($D1798="",$J1798&lt;&gt;"Own"),0,IFERROR((F1798+G1798*Settings!$B$13)*INDEX(Workers!$V$5:$V$2004,MATCH($D1798,Workers!$A$5:$A$2004,0)),0))</f>
        <v>0</v>
      </c>
      <c r="T1798" s="26" t="str">
        <f aca="false">IF($D1798="","",O1798-R1798-S1798)</f>
        <v/>
      </c>
    </row>
    <row r="1799" customFormat="false" ht="15" hidden="false" customHeight="false" outlineLevel="0" collapsed="false">
      <c r="I1799" s="24" t="str">
        <f aca="false">IF($D1799="","",IFERROR(INDEX(Workers!$B$5:$B$2004,MATCH($D1799,Workers!$A$5:$A$2004,0)),"NOT FOUND"))</f>
        <v/>
      </c>
      <c r="J1799" s="24" t="str">
        <f aca="false">IF($D1799="","",IFERROR(INDEX(Workers!$C$5:$C$2004,MATCH($D1799,Workers!$A$5:$A$2004,0)),""))</f>
        <v/>
      </c>
      <c r="K1799" s="24" t="str">
        <f aca="false">IF($D1799="","",IFERROR(IF(INDEX(Workers!$D$5:$D$2004,MATCH($D1799,Workers!$A$5:$A$2004,0))=0,"",INDEX(Workers!$D$5:$D$2004,MATCH($D1799,Workers!$A$5:$A$2004,0))),""))</f>
        <v/>
      </c>
      <c r="L1799" s="24" t="str">
        <f aca="false">IF($D1799="","",IFERROR(INDEX(Workers!$E$5:$E$2004,MATCH($D1799,Workers!$A$5:$A$2004,0)),""))</f>
        <v/>
      </c>
      <c r="M1799" s="26" t="str">
        <f aca="false">IF($D1799="","",IFERROR(INDEX(ClientRates!$D$5:$D$500,MATCH($B1799&amp;"|"&amp;$L1799,ClientRates!$A$5:$A$500,0)),0))</f>
        <v/>
      </c>
      <c r="N1799" s="26" t="str">
        <f aca="false">IF($D1799="","",IFERROR(INDEX(ClientRates!$E$5:$E$500,MATCH($B1799&amp;"|"&amp;$L1799,ClientRates!$A$5:$A$500,0)),0))</f>
        <v/>
      </c>
      <c r="O1799" s="26" t="str">
        <f aca="false">IF($D1799="","",F1799*M1799+G1799*N1799)</f>
        <v/>
      </c>
      <c r="P1799" s="26" t="str">
        <f aca="false">IF(OR($D1799="",$J1799&lt;&gt;"Supplier"),"",IFERROR(INDEX(SupplierRates!$D$5:$D$500,MATCH($K1799&amp;"|"&amp;$L1799,SupplierRates!$A$5:$A$500,0)),0))</f>
        <v/>
      </c>
      <c r="Q1799" s="26" t="str">
        <f aca="false">IF(OR($D1799="",$J1799&lt;&gt;"Supplier"),"",IFERROR(INDEX(SupplierRates!$E$5:$E$500,MATCH($K1799&amp;"|"&amp;$L1799,SupplierRates!$A$5:$A$500,0)),0))</f>
        <v/>
      </c>
      <c r="R1799" s="26" t="n">
        <f aca="false">IF(OR($D1799="",$J1799&lt;&gt;"Supplier"),0,F1799*P1799+G1799*Q1799)</f>
        <v>0</v>
      </c>
      <c r="S1799" s="26" t="n">
        <f aca="false">IF(OR($D1799="",$J1799&lt;&gt;"Own"),0,IFERROR((F1799+G1799*Settings!$B$13)*INDEX(Workers!$V$5:$V$2004,MATCH($D1799,Workers!$A$5:$A$2004,0)),0))</f>
        <v>0</v>
      </c>
      <c r="T1799" s="26" t="str">
        <f aca="false">IF($D1799="","",O1799-R1799-S1799)</f>
        <v/>
      </c>
    </row>
    <row r="1800" customFormat="false" ht="15" hidden="false" customHeight="false" outlineLevel="0" collapsed="false">
      <c r="I1800" s="24" t="str">
        <f aca="false">IF($D1800="","",IFERROR(INDEX(Workers!$B$5:$B$2004,MATCH($D1800,Workers!$A$5:$A$2004,0)),"NOT FOUND"))</f>
        <v/>
      </c>
      <c r="J1800" s="24" t="str">
        <f aca="false">IF($D1800="","",IFERROR(INDEX(Workers!$C$5:$C$2004,MATCH($D1800,Workers!$A$5:$A$2004,0)),""))</f>
        <v/>
      </c>
      <c r="K1800" s="24" t="str">
        <f aca="false">IF($D1800="","",IFERROR(IF(INDEX(Workers!$D$5:$D$2004,MATCH($D1800,Workers!$A$5:$A$2004,0))=0,"",INDEX(Workers!$D$5:$D$2004,MATCH($D1800,Workers!$A$5:$A$2004,0))),""))</f>
        <v/>
      </c>
      <c r="L1800" s="24" t="str">
        <f aca="false">IF($D1800="","",IFERROR(INDEX(Workers!$E$5:$E$2004,MATCH($D1800,Workers!$A$5:$A$2004,0)),""))</f>
        <v/>
      </c>
      <c r="M1800" s="26" t="str">
        <f aca="false">IF($D1800="","",IFERROR(INDEX(ClientRates!$D$5:$D$500,MATCH($B1800&amp;"|"&amp;$L1800,ClientRates!$A$5:$A$500,0)),0))</f>
        <v/>
      </c>
      <c r="N1800" s="26" t="str">
        <f aca="false">IF($D1800="","",IFERROR(INDEX(ClientRates!$E$5:$E$500,MATCH($B1800&amp;"|"&amp;$L1800,ClientRates!$A$5:$A$500,0)),0))</f>
        <v/>
      </c>
      <c r="O1800" s="26" t="str">
        <f aca="false">IF($D1800="","",F1800*M1800+G1800*N1800)</f>
        <v/>
      </c>
      <c r="P1800" s="26" t="str">
        <f aca="false">IF(OR($D1800="",$J1800&lt;&gt;"Supplier"),"",IFERROR(INDEX(SupplierRates!$D$5:$D$500,MATCH($K1800&amp;"|"&amp;$L1800,SupplierRates!$A$5:$A$500,0)),0))</f>
        <v/>
      </c>
      <c r="Q1800" s="26" t="str">
        <f aca="false">IF(OR($D1800="",$J1800&lt;&gt;"Supplier"),"",IFERROR(INDEX(SupplierRates!$E$5:$E$500,MATCH($K1800&amp;"|"&amp;$L1800,SupplierRates!$A$5:$A$500,0)),0))</f>
        <v/>
      </c>
      <c r="R1800" s="26" t="n">
        <f aca="false">IF(OR($D1800="",$J1800&lt;&gt;"Supplier"),0,F1800*P1800+G1800*Q1800)</f>
        <v>0</v>
      </c>
      <c r="S1800" s="26" t="n">
        <f aca="false">IF(OR($D1800="",$J1800&lt;&gt;"Own"),0,IFERROR((F1800+G1800*Settings!$B$13)*INDEX(Workers!$V$5:$V$2004,MATCH($D1800,Workers!$A$5:$A$2004,0)),0))</f>
        <v>0</v>
      </c>
      <c r="T1800" s="26" t="str">
        <f aca="false">IF($D1800="","",O1800-R1800-S1800)</f>
        <v/>
      </c>
    </row>
    <row r="1801" customFormat="false" ht="15" hidden="false" customHeight="false" outlineLevel="0" collapsed="false">
      <c r="I1801" s="24" t="str">
        <f aca="false">IF($D1801="","",IFERROR(INDEX(Workers!$B$5:$B$2004,MATCH($D1801,Workers!$A$5:$A$2004,0)),"NOT FOUND"))</f>
        <v/>
      </c>
      <c r="J1801" s="24" t="str">
        <f aca="false">IF($D1801="","",IFERROR(INDEX(Workers!$C$5:$C$2004,MATCH($D1801,Workers!$A$5:$A$2004,0)),""))</f>
        <v/>
      </c>
      <c r="K1801" s="24" t="str">
        <f aca="false">IF($D1801="","",IFERROR(IF(INDEX(Workers!$D$5:$D$2004,MATCH($D1801,Workers!$A$5:$A$2004,0))=0,"",INDEX(Workers!$D$5:$D$2004,MATCH($D1801,Workers!$A$5:$A$2004,0))),""))</f>
        <v/>
      </c>
      <c r="L1801" s="24" t="str">
        <f aca="false">IF($D1801="","",IFERROR(INDEX(Workers!$E$5:$E$2004,MATCH($D1801,Workers!$A$5:$A$2004,0)),""))</f>
        <v/>
      </c>
      <c r="M1801" s="26" t="str">
        <f aca="false">IF($D1801="","",IFERROR(INDEX(ClientRates!$D$5:$D$500,MATCH($B1801&amp;"|"&amp;$L1801,ClientRates!$A$5:$A$500,0)),0))</f>
        <v/>
      </c>
      <c r="N1801" s="26" t="str">
        <f aca="false">IF($D1801="","",IFERROR(INDEX(ClientRates!$E$5:$E$500,MATCH($B1801&amp;"|"&amp;$L1801,ClientRates!$A$5:$A$500,0)),0))</f>
        <v/>
      </c>
      <c r="O1801" s="26" t="str">
        <f aca="false">IF($D1801="","",F1801*M1801+G1801*N1801)</f>
        <v/>
      </c>
      <c r="P1801" s="26" t="str">
        <f aca="false">IF(OR($D1801="",$J1801&lt;&gt;"Supplier"),"",IFERROR(INDEX(SupplierRates!$D$5:$D$500,MATCH($K1801&amp;"|"&amp;$L1801,SupplierRates!$A$5:$A$500,0)),0))</f>
        <v/>
      </c>
      <c r="Q1801" s="26" t="str">
        <f aca="false">IF(OR($D1801="",$J1801&lt;&gt;"Supplier"),"",IFERROR(INDEX(SupplierRates!$E$5:$E$500,MATCH($K1801&amp;"|"&amp;$L1801,SupplierRates!$A$5:$A$500,0)),0))</f>
        <v/>
      </c>
      <c r="R1801" s="26" t="n">
        <f aca="false">IF(OR($D1801="",$J1801&lt;&gt;"Supplier"),0,F1801*P1801+G1801*Q1801)</f>
        <v>0</v>
      </c>
      <c r="S1801" s="26" t="n">
        <f aca="false">IF(OR($D1801="",$J1801&lt;&gt;"Own"),0,IFERROR((F1801+G1801*Settings!$B$13)*INDEX(Workers!$V$5:$V$2004,MATCH($D1801,Workers!$A$5:$A$2004,0)),0))</f>
        <v>0</v>
      </c>
      <c r="T1801" s="26" t="str">
        <f aca="false">IF($D1801="","",O1801-R1801-S1801)</f>
        <v/>
      </c>
    </row>
    <row r="1802" customFormat="false" ht="15" hidden="false" customHeight="false" outlineLevel="0" collapsed="false">
      <c r="I1802" s="24" t="str">
        <f aca="false">IF($D1802="","",IFERROR(INDEX(Workers!$B$5:$B$2004,MATCH($D1802,Workers!$A$5:$A$2004,0)),"NOT FOUND"))</f>
        <v/>
      </c>
      <c r="J1802" s="24" t="str">
        <f aca="false">IF($D1802="","",IFERROR(INDEX(Workers!$C$5:$C$2004,MATCH($D1802,Workers!$A$5:$A$2004,0)),""))</f>
        <v/>
      </c>
      <c r="K1802" s="24" t="str">
        <f aca="false">IF($D1802="","",IFERROR(IF(INDEX(Workers!$D$5:$D$2004,MATCH($D1802,Workers!$A$5:$A$2004,0))=0,"",INDEX(Workers!$D$5:$D$2004,MATCH($D1802,Workers!$A$5:$A$2004,0))),""))</f>
        <v/>
      </c>
      <c r="L1802" s="24" t="str">
        <f aca="false">IF($D1802="","",IFERROR(INDEX(Workers!$E$5:$E$2004,MATCH($D1802,Workers!$A$5:$A$2004,0)),""))</f>
        <v/>
      </c>
      <c r="M1802" s="26" t="str">
        <f aca="false">IF($D1802="","",IFERROR(INDEX(ClientRates!$D$5:$D$500,MATCH($B1802&amp;"|"&amp;$L1802,ClientRates!$A$5:$A$500,0)),0))</f>
        <v/>
      </c>
      <c r="N1802" s="26" t="str">
        <f aca="false">IF($D1802="","",IFERROR(INDEX(ClientRates!$E$5:$E$500,MATCH($B1802&amp;"|"&amp;$L1802,ClientRates!$A$5:$A$500,0)),0))</f>
        <v/>
      </c>
      <c r="O1802" s="26" t="str">
        <f aca="false">IF($D1802="","",F1802*M1802+G1802*N1802)</f>
        <v/>
      </c>
      <c r="P1802" s="26" t="str">
        <f aca="false">IF(OR($D1802="",$J1802&lt;&gt;"Supplier"),"",IFERROR(INDEX(SupplierRates!$D$5:$D$500,MATCH($K1802&amp;"|"&amp;$L1802,SupplierRates!$A$5:$A$500,0)),0))</f>
        <v/>
      </c>
      <c r="Q1802" s="26" t="str">
        <f aca="false">IF(OR($D1802="",$J1802&lt;&gt;"Supplier"),"",IFERROR(INDEX(SupplierRates!$E$5:$E$500,MATCH($K1802&amp;"|"&amp;$L1802,SupplierRates!$A$5:$A$500,0)),0))</f>
        <v/>
      </c>
      <c r="R1802" s="26" t="n">
        <f aca="false">IF(OR($D1802="",$J1802&lt;&gt;"Supplier"),0,F1802*P1802+G1802*Q1802)</f>
        <v>0</v>
      </c>
      <c r="S1802" s="26" t="n">
        <f aca="false">IF(OR($D1802="",$J1802&lt;&gt;"Own"),0,IFERROR((F1802+G1802*Settings!$B$13)*INDEX(Workers!$V$5:$V$2004,MATCH($D1802,Workers!$A$5:$A$2004,0)),0))</f>
        <v>0</v>
      </c>
      <c r="T1802" s="26" t="str">
        <f aca="false">IF($D1802="","",O1802-R1802-S1802)</f>
        <v/>
      </c>
    </row>
    <row r="1803" customFormat="false" ht="15" hidden="false" customHeight="false" outlineLevel="0" collapsed="false">
      <c r="I1803" s="24" t="str">
        <f aca="false">IF($D1803="","",IFERROR(INDEX(Workers!$B$5:$B$2004,MATCH($D1803,Workers!$A$5:$A$2004,0)),"NOT FOUND"))</f>
        <v/>
      </c>
      <c r="J1803" s="24" t="str">
        <f aca="false">IF($D1803="","",IFERROR(INDEX(Workers!$C$5:$C$2004,MATCH($D1803,Workers!$A$5:$A$2004,0)),""))</f>
        <v/>
      </c>
      <c r="K1803" s="24" t="str">
        <f aca="false">IF($D1803="","",IFERROR(IF(INDEX(Workers!$D$5:$D$2004,MATCH($D1803,Workers!$A$5:$A$2004,0))=0,"",INDEX(Workers!$D$5:$D$2004,MATCH($D1803,Workers!$A$5:$A$2004,0))),""))</f>
        <v/>
      </c>
      <c r="L1803" s="24" t="str">
        <f aca="false">IF($D1803="","",IFERROR(INDEX(Workers!$E$5:$E$2004,MATCH($D1803,Workers!$A$5:$A$2004,0)),""))</f>
        <v/>
      </c>
      <c r="M1803" s="26" t="str">
        <f aca="false">IF($D1803="","",IFERROR(INDEX(ClientRates!$D$5:$D$500,MATCH($B1803&amp;"|"&amp;$L1803,ClientRates!$A$5:$A$500,0)),0))</f>
        <v/>
      </c>
      <c r="N1803" s="26" t="str">
        <f aca="false">IF($D1803="","",IFERROR(INDEX(ClientRates!$E$5:$E$500,MATCH($B1803&amp;"|"&amp;$L1803,ClientRates!$A$5:$A$500,0)),0))</f>
        <v/>
      </c>
      <c r="O1803" s="26" t="str">
        <f aca="false">IF($D1803="","",F1803*M1803+G1803*N1803)</f>
        <v/>
      </c>
      <c r="P1803" s="26" t="str">
        <f aca="false">IF(OR($D1803="",$J1803&lt;&gt;"Supplier"),"",IFERROR(INDEX(SupplierRates!$D$5:$D$500,MATCH($K1803&amp;"|"&amp;$L1803,SupplierRates!$A$5:$A$500,0)),0))</f>
        <v/>
      </c>
      <c r="Q1803" s="26" t="str">
        <f aca="false">IF(OR($D1803="",$J1803&lt;&gt;"Supplier"),"",IFERROR(INDEX(SupplierRates!$E$5:$E$500,MATCH($K1803&amp;"|"&amp;$L1803,SupplierRates!$A$5:$A$500,0)),0))</f>
        <v/>
      </c>
      <c r="R1803" s="26" t="n">
        <f aca="false">IF(OR($D1803="",$J1803&lt;&gt;"Supplier"),0,F1803*P1803+G1803*Q1803)</f>
        <v>0</v>
      </c>
      <c r="S1803" s="26" t="n">
        <f aca="false">IF(OR($D1803="",$J1803&lt;&gt;"Own"),0,IFERROR((F1803+G1803*Settings!$B$13)*INDEX(Workers!$V$5:$V$2004,MATCH($D1803,Workers!$A$5:$A$2004,0)),0))</f>
        <v>0</v>
      </c>
      <c r="T1803" s="26" t="str">
        <f aca="false">IF($D1803="","",O1803-R1803-S1803)</f>
        <v/>
      </c>
    </row>
    <row r="1804" customFormat="false" ht="15" hidden="false" customHeight="false" outlineLevel="0" collapsed="false">
      <c r="I1804" s="24" t="str">
        <f aca="false">IF($D1804="","",IFERROR(INDEX(Workers!$B$5:$B$2004,MATCH($D1804,Workers!$A$5:$A$2004,0)),"NOT FOUND"))</f>
        <v/>
      </c>
      <c r="J1804" s="24" t="str">
        <f aca="false">IF($D1804="","",IFERROR(INDEX(Workers!$C$5:$C$2004,MATCH($D1804,Workers!$A$5:$A$2004,0)),""))</f>
        <v/>
      </c>
      <c r="K1804" s="24" t="str">
        <f aca="false">IF($D1804="","",IFERROR(IF(INDEX(Workers!$D$5:$D$2004,MATCH($D1804,Workers!$A$5:$A$2004,0))=0,"",INDEX(Workers!$D$5:$D$2004,MATCH($D1804,Workers!$A$5:$A$2004,0))),""))</f>
        <v/>
      </c>
      <c r="L1804" s="24" t="str">
        <f aca="false">IF($D1804="","",IFERROR(INDEX(Workers!$E$5:$E$2004,MATCH($D1804,Workers!$A$5:$A$2004,0)),""))</f>
        <v/>
      </c>
      <c r="M1804" s="26" t="str">
        <f aca="false">IF($D1804="","",IFERROR(INDEX(ClientRates!$D$5:$D$500,MATCH($B1804&amp;"|"&amp;$L1804,ClientRates!$A$5:$A$500,0)),0))</f>
        <v/>
      </c>
      <c r="N1804" s="26" t="str">
        <f aca="false">IF($D1804="","",IFERROR(INDEX(ClientRates!$E$5:$E$500,MATCH($B1804&amp;"|"&amp;$L1804,ClientRates!$A$5:$A$500,0)),0))</f>
        <v/>
      </c>
      <c r="O1804" s="26" t="str">
        <f aca="false">IF($D1804="","",F1804*M1804+G1804*N1804)</f>
        <v/>
      </c>
      <c r="P1804" s="26" t="str">
        <f aca="false">IF(OR($D1804="",$J1804&lt;&gt;"Supplier"),"",IFERROR(INDEX(SupplierRates!$D$5:$D$500,MATCH($K1804&amp;"|"&amp;$L1804,SupplierRates!$A$5:$A$500,0)),0))</f>
        <v/>
      </c>
      <c r="Q1804" s="26" t="str">
        <f aca="false">IF(OR($D1804="",$J1804&lt;&gt;"Supplier"),"",IFERROR(INDEX(SupplierRates!$E$5:$E$500,MATCH($K1804&amp;"|"&amp;$L1804,SupplierRates!$A$5:$A$500,0)),0))</f>
        <v/>
      </c>
      <c r="R1804" s="26" t="n">
        <f aca="false">IF(OR($D1804="",$J1804&lt;&gt;"Supplier"),0,F1804*P1804+G1804*Q1804)</f>
        <v>0</v>
      </c>
      <c r="S1804" s="26" t="n">
        <f aca="false">IF(OR($D1804="",$J1804&lt;&gt;"Own"),0,IFERROR((F1804+G1804*Settings!$B$13)*INDEX(Workers!$V$5:$V$2004,MATCH($D1804,Workers!$A$5:$A$2004,0)),0))</f>
        <v>0</v>
      </c>
      <c r="T1804" s="26" t="str">
        <f aca="false">IF($D1804="","",O1804-R1804-S1804)</f>
        <v/>
      </c>
    </row>
    <row r="1805" customFormat="false" ht="15" hidden="false" customHeight="false" outlineLevel="0" collapsed="false">
      <c r="I1805" s="24" t="str">
        <f aca="false">IF($D1805="","",IFERROR(INDEX(Workers!$B$5:$B$2004,MATCH($D1805,Workers!$A$5:$A$2004,0)),"NOT FOUND"))</f>
        <v/>
      </c>
      <c r="J1805" s="24" t="str">
        <f aca="false">IF($D1805="","",IFERROR(INDEX(Workers!$C$5:$C$2004,MATCH($D1805,Workers!$A$5:$A$2004,0)),""))</f>
        <v/>
      </c>
      <c r="K1805" s="24" t="str">
        <f aca="false">IF($D1805="","",IFERROR(IF(INDEX(Workers!$D$5:$D$2004,MATCH($D1805,Workers!$A$5:$A$2004,0))=0,"",INDEX(Workers!$D$5:$D$2004,MATCH($D1805,Workers!$A$5:$A$2004,0))),""))</f>
        <v/>
      </c>
      <c r="L1805" s="24" t="str">
        <f aca="false">IF($D1805="","",IFERROR(INDEX(Workers!$E$5:$E$2004,MATCH($D1805,Workers!$A$5:$A$2004,0)),""))</f>
        <v/>
      </c>
      <c r="M1805" s="26" t="str">
        <f aca="false">IF($D1805="","",IFERROR(INDEX(ClientRates!$D$5:$D$500,MATCH($B1805&amp;"|"&amp;$L1805,ClientRates!$A$5:$A$500,0)),0))</f>
        <v/>
      </c>
      <c r="N1805" s="26" t="str">
        <f aca="false">IF($D1805="","",IFERROR(INDEX(ClientRates!$E$5:$E$500,MATCH($B1805&amp;"|"&amp;$L1805,ClientRates!$A$5:$A$500,0)),0))</f>
        <v/>
      </c>
      <c r="O1805" s="26" t="str">
        <f aca="false">IF($D1805="","",F1805*M1805+G1805*N1805)</f>
        <v/>
      </c>
      <c r="P1805" s="26" t="str">
        <f aca="false">IF(OR($D1805="",$J1805&lt;&gt;"Supplier"),"",IFERROR(INDEX(SupplierRates!$D$5:$D$500,MATCH($K1805&amp;"|"&amp;$L1805,SupplierRates!$A$5:$A$500,0)),0))</f>
        <v/>
      </c>
      <c r="Q1805" s="26" t="str">
        <f aca="false">IF(OR($D1805="",$J1805&lt;&gt;"Supplier"),"",IFERROR(INDEX(SupplierRates!$E$5:$E$500,MATCH($K1805&amp;"|"&amp;$L1805,SupplierRates!$A$5:$A$500,0)),0))</f>
        <v/>
      </c>
      <c r="R1805" s="26" t="n">
        <f aca="false">IF(OR($D1805="",$J1805&lt;&gt;"Supplier"),0,F1805*P1805+G1805*Q1805)</f>
        <v>0</v>
      </c>
      <c r="S1805" s="26" t="n">
        <f aca="false">IF(OR($D1805="",$J1805&lt;&gt;"Own"),0,IFERROR((F1805+G1805*Settings!$B$13)*INDEX(Workers!$V$5:$V$2004,MATCH($D1805,Workers!$A$5:$A$2004,0)),0))</f>
        <v>0</v>
      </c>
      <c r="T1805" s="26" t="str">
        <f aca="false">IF($D1805="","",O1805-R1805-S1805)</f>
        <v/>
      </c>
    </row>
    <row r="1806" customFormat="false" ht="15" hidden="false" customHeight="false" outlineLevel="0" collapsed="false">
      <c r="I1806" s="24" t="str">
        <f aca="false">IF($D1806="","",IFERROR(INDEX(Workers!$B$5:$B$2004,MATCH($D1806,Workers!$A$5:$A$2004,0)),"NOT FOUND"))</f>
        <v/>
      </c>
      <c r="J1806" s="24" t="str">
        <f aca="false">IF($D1806="","",IFERROR(INDEX(Workers!$C$5:$C$2004,MATCH($D1806,Workers!$A$5:$A$2004,0)),""))</f>
        <v/>
      </c>
      <c r="K1806" s="24" t="str">
        <f aca="false">IF($D1806="","",IFERROR(IF(INDEX(Workers!$D$5:$D$2004,MATCH($D1806,Workers!$A$5:$A$2004,0))=0,"",INDEX(Workers!$D$5:$D$2004,MATCH($D1806,Workers!$A$5:$A$2004,0))),""))</f>
        <v/>
      </c>
      <c r="L1806" s="24" t="str">
        <f aca="false">IF($D1806="","",IFERROR(INDEX(Workers!$E$5:$E$2004,MATCH($D1806,Workers!$A$5:$A$2004,0)),""))</f>
        <v/>
      </c>
      <c r="M1806" s="26" t="str">
        <f aca="false">IF($D1806="","",IFERROR(INDEX(ClientRates!$D$5:$D$500,MATCH($B1806&amp;"|"&amp;$L1806,ClientRates!$A$5:$A$500,0)),0))</f>
        <v/>
      </c>
      <c r="N1806" s="26" t="str">
        <f aca="false">IF($D1806="","",IFERROR(INDEX(ClientRates!$E$5:$E$500,MATCH($B1806&amp;"|"&amp;$L1806,ClientRates!$A$5:$A$500,0)),0))</f>
        <v/>
      </c>
      <c r="O1806" s="26" t="str">
        <f aca="false">IF($D1806="","",F1806*M1806+G1806*N1806)</f>
        <v/>
      </c>
      <c r="P1806" s="26" t="str">
        <f aca="false">IF(OR($D1806="",$J1806&lt;&gt;"Supplier"),"",IFERROR(INDEX(SupplierRates!$D$5:$D$500,MATCH($K1806&amp;"|"&amp;$L1806,SupplierRates!$A$5:$A$500,0)),0))</f>
        <v/>
      </c>
      <c r="Q1806" s="26" t="str">
        <f aca="false">IF(OR($D1806="",$J1806&lt;&gt;"Supplier"),"",IFERROR(INDEX(SupplierRates!$E$5:$E$500,MATCH($K1806&amp;"|"&amp;$L1806,SupplierRates!$A$5:$A$500,0)),0))</f>
        <v/>
      </c>
      <c r="R1806" s="26" t="n">
        <f aca="false">IF(OR($D1806="",$J1806&lt;&gt;"Supplier"),0,F1806*P1806+G1806*Q1806)</f>
        <v>0</v>
      </c>
      <c r="S1806" s="26" t="n">
        <f aca="false">IF(OR($D1806="",$J1806&lt;&gt;"Own"),0,IFERROR((F1806+G1806*Settings!$B$13)*INDEX(Workers!$V$5:$V$2004,MATCH($D1806,Workers!$A$5:$A$2004,0)),0))</f>
        <v>0</v>
      </c>
      <c r="T1806" s="26" t="str">
        <f aca="false">IF($D1806="","",O1806-R1806-S1806)</f>
        <v/>
      </c>
    </row>
    <row r="1807" customFormat="false" ht="15" hidden="false" customHeight="false" outlineLevel="0" collapsed="false">
      <c r="I1807" s="24" t="str">
        <f aca="false">IF($D1807="","",IFERROR(INDEX(Workers!$B$5:$B$2004,MATCH($D1807,Workers!$A$5:$A$2004,0)),"NOT FOUND"))</f>
        <v/>
      </c>
      <c r="J1807" s="24" t="str">
        <f aca="false">IF($D1807="","",IFERROR(INDEX(Workers!$C$5:$C$2004,MATCH($D1807,Workers!$A$5:$A$2004,0)),""))</f>
        <v/>
      </c>
      <c r="K1807" s="24" t="str">
        <f aca="false">IF($D1807="","",IFERROR(IF(INDEX(Workers!$D$5:$D$2004,MATCH($D1807,Workers!$A$5:$A$2004,0))=0,"",INDEX(Workers!$D$5:$D$2004,MATCH($D1807,Workers!$A$5:$A$2004,0))),""))</f>
        <v/>
      </c>
      <c r="L1807" s="24" t="str">
        <f aca="false">IF($D1807="","",IFERROR(INDEX(Workers!$E$5:$E$2004,MATCH($D1807,Workers!$A$5:$A$2004,0)),""))</f>
        <v/>
      </c>
      <c r="M1807" s="26" t="str">
        <f aca="false">IF($D1807="","",IFERROR(INDEX(ClientRates!$D$5:$D$500,MATCH($B1807&amp;"|"&amp;$L1807,ClientRates!$A$5:$A$500,0)),0))</f>
        <v/>
      </c>
      <c r="N1807" s="26" t="str">
        <f aca="false">IF($D1807="","",IFERROR(INDEX(ClientRates!$E$5:$E$500,MATCH($B1807&amp;"|"&amp;$L1807,ClientRates!$A$5:$A$500,0)),0))</f>
        <v/>
      </c>
      <c r="O1807" s="26" t="str">
        <f aca="false">IF($D1807="","",F1807*M1807+G1807*N1807)</f>
        <v/>
      </c>
      <c r="P1807" s="26" t="str">
        <f aca="false">IF(OR($D1807="",$J1807&lt;&gt;"Supplier"),"",IFERROR(INDEX(SupplierRates!$D$5:$D$500,MATCH($K1807&amp;"|"&amp;$L1807,SupplierRates!$A$5:$A$500,0)),0))</f>
        <v/>
      </c>
      <c r="Q1807" s="26" t="str">
        <f aca="false">IF(OR($D1807="",$J1807&lt;&gt;"Supplier"),"",IFERROR(INDEX(SupplierRates!$E$5:$E$500,MATCH($K1807&amp;"|"&amp;$L1807,SupplierRates!$A$5:$A$500,0)),0))</f>
        <v/>
      </c>
      <c r="R1807" s="26" t="n">
        <f aca="false">IF(OR($D1807="",$J1807&lt;&gt;"Supplier"),0,F1807*P1807+G1807*Q1807)</f>
        <v>0</v>
      </c>
      <c r="S1807" s="26" t="n">
        <f aca="false">IF(OR($D1807="",$J1807&lt;&gt;"Own"),0,IFERROR((F1807+G1807*Settings!$B$13)*INDEX(Workers!$V$5:$V$2004,MATCH($D1807,Workers!$A$5:$A$2004,0)),0))</f>
        <v>0</v>
      </c>
      <c r="T1807" s="26" t="str">
        <f aca="false">IF($D1807="","",O1807-R1807-S1807)</f>
        <v/>
      </c>
    </row>
    <row r="1808" customFormat="false" ht="15" hidden="false" customHeight="false" outlineLevel="0" collapsed="false">
      <c r="I1808" s="24" t="str">
        <f aca="false">IF($D1808="","",IFERROR(INDEX(Workers!$B$5:$B$2004,MATCH($D1808,Workers!$A$5:$A$2004,0)),"NOT FOUND"))</f>
        <v/>
      </c>
      <c r="J1808" s="24" t="str">
        <f aca="false">IF($D1808="","",IFERROR(INDEX(Workers!$C$5:$C$2004,MATCH($D1808,Workers!$A$5:$A$2004,0)),""))</f>
        <v/>
      </c>
      <c r="K1808" s="24" t="str">
        <f aca="false">IF($D1808="","",IFERROR(IF(INDEX(Workers!$D$5:$D$2004,MATCH($D1808,Workers!$A$5:$A$2004,0))=0,"",INDEX(Workers!$D$5:$D$2004,MATCH($D1808,Workers!$A$5:$A$2004,0))),""))</f>
        <v/>
      </c>
      <c r="L1808" s="24" t="str">
        <f aca="false">IF($D1808="","",IFERROR(INDEX(Workers!$E$5:$E$2004,MATCH($D1808,Workers!$A$5:$A$2004,0)),""))</f>
        <v/>
      </c>
      <c r="M1808" s="26" t="str">
        <f aca="false">IF($D1808="","",IFERROR(INDEX(ClientRates!$D$5:$D$500,MATCH($B1808&amp;"|"&amp;$L1808,ClientRates!$A$5:$A$500,0)),0))</f>
        <v/>
      </c>
      <c r="N1808" s="26" t="str">
        <f aca="false">IF($D1808="","",IFERROR(INDEX(ClientRates!$E$5:$E$500,MATCH($B1808&amp;"|"&amp;$L1808,ClientRates!$A$5:$A$500,0)),0))</f>
        <v/>
      </c>
      <c r="O1808" s="26" t="str">
        <f aca="false">IF($D1808="","",F1808*M1808+G1808*N1808)</f>
        <v/>
      </c>
      <c r="P1808" s="26" t="str">
        <f aca="false">IF(OR($D1808="",$J1808&lt;&gt;"Supplier"),"",IFERROR(INDEX(SupplierRates!$D$5:$D$500,MATCH($K1808&amp;"|"&amp;$L1808,SupplierRates!$A$5:$A$500,0)),0))</f>
        <v/>
      </c>
      <c r="Q1808" s="26" t="str">
        <f aca="false">IF(OR($D1808="",$J1808&lt;&gt;"Supplier"),"",IFERROR(INDEX(SupplierRates!$E$5:$E$500,MATCH($K1808&amp;"|"&amp;$L1808,SupplierRates!$A$5:$A$500,0)),0))</f>
        <v/>
      </c>
      <c r="R1808" s="26" t="n">
        <f aca="false">IF(OR($D1808="",$J1808&lt;&gt;"Supplier"),0,F1808*P1808+G1808*Q1808)</f>
        <v>0</v>
      </c>
      <c r="S1808" s="26" t="n">
        <f aca="false">IF(OR($D1808="",$J1808&lt;&gt;"Own"),0,IFERROR((F1808+G1808*Settings!$B$13)*INDEX(Workers!$V$5:$V$2004,MATCH($D1808,Workers!$A$5:$A$2004,0)),0))</f>
        <v>0</v>
      </c>
      <c r="T1808" s="26" t="str">
        <f aca="false">IF($D1808="","",O1808-R1808-S1808)</f>
        <v/>
      </c>
    </row>
    <row r="1809" customFormat="false" ht="15" hidden="false" customHeight="false" outlineLevel="0" collapsed="false">
      <c r="I1809" s="24" t="str">
        <f aca="false">IF($D1809="","",IFERROR(INDEX(Workers!$B$5:$B$2004,MATCH($D1809,Workers!$A$5:$A$2004,0)),"NOT FOUND"))</f>
        <v/>
      </c>
      <c r="J1809" s="24" t="str">
        <f aca="false">IF($D1809="","",IFERROR(INDEX(Workers!$C$5:$C$2004,MATCH($D1809,Workers!$A$5:$A$2004,0)),""))</f>
        <v/>
      </c>
      <c r="K1809" s="24" t="str">
        <f aca="false">IF($D1809="","",IFERROR(IF(INDEX(Workers!$D$5:$D$2004,MATCH($D1809,Workers!$A$5:$A$2004,0))=0,"",INDEX(Workers!$D$5:$D$2004,MATCH($D1809,Workers!$A$5:$A$2004,0))),""))</f>
        <v/>
      </c>
      <c r="L1809" s="24" t="str">
        <f aca="false">IF($D1809="","",IFERROR(INDEX(Workers!$E$5:$E$2004,MATCH($D1809,Workers!$A$5:$A$2004,0)),""))</f>
        <v/>
      </c>
      <c r="M1809" s="26" t="str">
        <f aca="false">IF($D1809="","",IFERROR(INDEX(ClientRates!$D$5:$D$500,MATCH($B1809&amp;"|"&amp;$L1809,ClientRates!$A$5:$A$500,0)),0))</f>
        <v/>
      </c>
      <c r="N1809" s="26" t="str">
        <f aca="false">IF($D1809="","",IFERROR(INDEX(ClientRates!$E$5:$E$500,MATCH($B1809&amp;"|"&amp;$L1809,ClientRates!$A$5:$A$500,0)),0))</f>
        <v/>
      </c>
      <c r="O1809" s="26" t="str">
        <f aca="false">IF($D1809="","",F1809*M1809+G1809*N1809)</f>
        <v/>
      </c>
      <c r="P1809" s="26" t="str">
        <f aca="false">IF(OR($D1809="",$J1809&lt;&gt;"Supplier"),"",IFERROR(INDEX(SupplierRates!$D$5:$D$500,MATCH($K1809&amp;"|"&amp;$L1809,SupplierRates!$A$5:$A$500,0)),0))</f>
        <v/>
      </c>
      <c r="Q1809" s="26" t="str">
        <f aca="false">IF(OR($D1809="",$J1809&lt;&gt;"Supplier"),"",IFERROR(INDEX(SupplierRates!$E$5:$E$500,MATCH($K1809&amp;"|"&amp;$L1809,SupplierRates!$A$5:$A$500,0)),0))</f>
        <v/>
      </c>
      <c r="R1809" s="26" t="n">
        <f aca="false">IF(OR($D1809="",$J1809&lt;&gt;"Supplier"),0,F1809*P1809+G1809*Q1809)</f>
        <v>0</v>
      </c>
      <c r="S1809" s="26" t="n">
        <f aca="false">IF(OR($D1809="",$J1809&lt;&gt;"Own"),0,IFERROR((F1809+G1809*Settings!$B$13)*INDEX(Workers!$V$5:$V$2004,MATCH($D1809,Workers!$A$5:$A$2004,0)),0))</f>
        <v>0</v>
      </c>
      <c r="T1809" s="26" t="str">
        <f aca="false">IF($D1809="","",O1809-R1809-S1809)</f>
        <v/>
      </c>
    </row>
    <row r="1810" customFormat="false" ht="15" hidden="false" customHeight="false" outlineLevel="0" collapsed="false">
      <c r="I1810" s="24" t="str">
        <f aca="false">IF($D1810="","",IFERROR(INDEX(Workers!$B$5:$B$2004,MATCH($D1810,Workers!$A$5:$A$2004,0)),"NOT FOUND"))</f>
        <v/>
      </c>
      <c r="J1810" s="24" t="str">
        <f aca="false">IF($D1810="","",IFERROR(INDEX(Workers!$C$5:$C$2004,MATCH($D1810,Workers!$A$5:$A$2004,0)),""))</f>
        <v/>
      </c>
      <c r="K1810" s="24" t="str">
        <f aca="false">IF($D1810="","",IFERROR(IF(INDEX(Workers!$D$5:$D$2004,MATCH($D1810,Workers!$A$5:$A$2004,0))=0,"",INDEX(Workers!$D$5:$D$2004,MATCH($D1810,Workers!$A$5:$A$2004,0))),""))</f>
        <v/>
      </c>
      <c r="L1810" s="24" t="str">
        <f aca="false">IF($D1810="","",IFERROR(INDEX(Workers!$E$5:$E$2004,MATCH($D1810,Workers!$A$5:$A$2004,0)),""))</f>
        <v/>
      </c>
      <c r="M1810" s="26" t="str">
        <f aca="false">IF($D1810="","",IFERROR(INDEX(ClientRates!$D$5:$D$500,MATCH($B1810&amp;"|"&amp;$L1810,ClientRates!$A$5:$A$500,0)),0))</f>
        <v/>
      </c>
      <c r="N1810" s="26" t="str">
        <f aca="false">IF($D1810="","",IFERROR(INDEX(ClientRates!$E$5:$E$500,MATCH($B1810&amp;"|"&amp;$L1810,ClientRates!$A$5:$A$500,0)),0))</f>
        <v/>
      </c>
      <c r="O1810" s="26" t="str">
        <f aca="false">IF($D1810="","",F1810*M1810+G1810*N1810)</f>
        <v/>
      </c>
      <c r="P1810" s="26" t="str">
        <f aca="false">IF(OR($D1810="",$J1810&lt;&gt;"Supplier"),"",IFERROR(INDEX(SupplierRates!$D$5:$D$500,MATCH($K1810&amp;"|"&amp;$L1810,SupplierRates!$A$5:$A$500,0)),0))</f>
        <v/>
      </c>
      <c r="Q1810" s="26" t="str">
        <f aca="false">IF(OR($D1810="",$J1810&lt;&gt;"Supplier"),"",IFERROR(INDEX(SupplierRates!$E$5:$E$500,MATCH($K1810&amp;"|"&amp;$L1810,SupplierRates!$A$5:$A$500,0)),0))</f>
        <v/>
      </c>
      <c r="R1810" s="26" t="n">
        <f aca="false">IF(OR($D1810="",$J1810&lt;&gt;"Supplier"),0,F1810*P1810+G1810*Q1810)</f>
        <v>0</v>
      </c>
      <c r="S1810" s="26" t="n">
        <f aca="false">IF(OR($D1810="",$J1810&lt;&gt;"Own"),0,IFERROR((F1810+G1810*Settings!$B$13)*INDEX(Workers!$V$5:$V$2004,MATCH($D1810,Workers!$A$5:$A$2004,0)),0))</f>
        <v>0</v>
      </c>
      <c r="T1810" s="26" t="str">
        <f aca="false">IF($D1810="","",O1810-R1810-S1810)</f>
        <v/>
      </c>
    </row>
    <row r="1811" customFormat="false" ht="15" hidden="false" customHeight="false" outlineLevel="0" collapsed="false">
      <c r="I1811" s="24" t="str">
        <f aca="false">IF($D1811="","",IFERROR(INDEX(Workers!$B$5:$B$2004,MATCH($D1811,Workers!$A$5:$A$2004,0)),"NOT FOUND"))</f>
        <v/>
      </c>
      <c r="J1811" s="24" t="str">
        <f aca="false">IF($D1811="","",IFERROR(INDEX(Workers!$C$5:$C$2004,MATCH($D1811,Workers!$A$5:$A$2004,0)),""))</f>
        <v/>
      </c>
      <c r="K1811" s="24" t="str">
        <f aca="false">IF($D1811="","",IFERROR(IF(INDEX(Workers!$D$5:$D$2004,MATCH($D1811,Workers!$A$5:$A$2004,0))=0,"",INDEX(Workers!$D$5:$D$2004,MATCH($D1811,Workers!$A$5:$A$2004,0))),""))</f>
        <v/>
      </c>
      <c r="L1811" s="24" t="str">
        <f aca="false">IF($D1811="","",IFERROR(INDEX(Workers!$E$5:$E$2004,MATCH($D1811,Workers!$A$5:$A$2004,0)),""))</f>
        <v/>
      </c>
      <c r="M1811" s="26" t="str">
        <f aca="false">IF($D1811="","",IFERROR(INDEX(ClientRates!$D$5:$D$500,MATCH($B1811&amp;"|"&amp;$L1811,ClientRates!$A$5:$A$500,0)),0))</f>
        <v/>
      </c>
      <c r="N1811" s="26" t="str">
        <f aca="false">IF($D1811="","",IFERROR(INDEX(ClientRates!$E$5:$E$500,MATCH($B1811&amp;"|"&amp;$L1811,ClientRates!$A$5:$A$500,0)),0))</f>
        <v/>
      </c>
      <c r="O1811" s="26" t="str">
        <f aca="false">IF($D1811="","",F1811*M1811+G1811*N1811)</f>
        <v/>
      </c>
      <c r="P1811" s="26" t="str">
        <f aca="false">IF(OR($D1811="",$J1811&lt;&gt;"Supplier"),"",IFERROR(INDEX(SupplierRates!$D$5:$D$500,MATCH($K1811&amp;"|"&amp;$L1811,SupplierRates!$A$5:$A$500,0)),0))</f>
        <v/>
      </c>
      <c r="Q1811" s="26" t="str">
        <f aca="false">IF(OR($D1811="",$J1811&lt;&gt;"Supplier"),"",IFERROR(INDEX(SupplierRates!$E$5:$E$500,MATCH($K1811&amp;"|"&amp;$L1811,SupplierRates!$A$5:$A$500,0)),0))</f>
        <v/>
      </c>
      <c r="R1811" s="26" t="n">
        <f aca="false">IF(OR($D1811="",$J1811&lt;&gt;"Supplier"),0,F1811*P1811+G1811*Q1811)</f>
        <v>0</v>
      </c>
      <c r="S1811" s="26" t="n">
        <f aca="false">IF(OR($D1811="",$J1811&lt;&gt;"Own"),0,IFERROR((F1811+G1811*Settings!$B$13)*INDEX(Workers!$V$5:$V$2004,MATCH($D1811,Workers!$A$5:$A$2004,0)),0))</f>
        <v>0</v>
      </c>
      <c r="T1811" s="26" t="str">
        <f aca="false">IF($D1811="","",O1811-R1811-S1811)</f>
        <v/>
      </c>
    </row>
    <row r="1812" customFormat="false" ht="15" hidden="false" customHeight="false" outlineLevel="0" collapsed="false">
      <c r="I1812" s="24" t="str">
        <f aca="false">IF($D1812="","",IFERROR(INDEX(Workers!$B$5:$B$2004,MATCH($D1812,Workers!$A$5:$A$2004,0)),"NOT FOUND"))</f>
        <v/>
      </c>
      <c r="J1812" s="24" t="str">
        <f aca="false">IF($D1812="","",IFERROR(INDEX(Workers!$C$5:$C$2004,MATCH($D1812,Workers!$A$5:$A$2004,0)),""))</f>
        <v/>
      </c>
      <c r="K1812" s="24" t="str">
        <f aca="false">IF($D1812="","",IFERROR(IF(INDEX(Workers!$D$5:$D$2004,MATCH($D1812,Workers!$A$5:$A$2004,0))=0,"",INDEX(Workers!$D$5:$D$2004,MATCH($D1812,Workers!$A$5:$A$2004,0))),""))</f>
        <v/>
      </c>
      <c r="L1812" s="24" t="str">
        <f aca="false">IF($D1812="","",IFERROR(INDEX(Workers!$E$5:$E$2004,MATCH($D1812,Workers!$A$5:$A$2004,0)),""))</f>
        <v/>
      </c>
      <c r="M1812" s="26" t="str">
        <f aca="false">IF($D1812="","",IFERROR(INDEX(ClientRates!$D$5:$D$500,MATCH($B1812&amp;"|"&amp;$L1812,ClientRates!$A$5:$A$500,0)),0))</f>
        <v/>
      </c>
      <c r="N1812" s="26" t="str">
        <f aca="false">IF($D1812="","",IFERROR(INDEX(ClientRates!$E$5:$E$500,MATCH($B1812&amp;"|"&amp;$L1812,ClientRates!$A$5:$A$500,0)),0))</f>
        <v/>
      </c>
      <c r="O1812" s="26" t="str">
        <f aca="false">IF($D1812="","",F1812*M1812+G1812*N1812)</f>
        <v/>
      </c>
      <c r="P1812" s="26" t="str">
        <f aca="false">IF(OR($D1812="",$J1812&lt;&gt;"Supplier"),"",IFERROR(INDEX(SupplierRates!$D$5:$D$500,MATCH($K1812&amp;"|"&amp;$L1812,SupplierRates!$A$5:$A$500,0)),0))</f>
        <v/>
      </c>
      <c r="Q1812" s="26" t="str">
        <f aca="false">IF(OR($D1812="",$J1812&lt;&gt;"Supplier"),"",IFERROR(INDEX(SupplierRates!$E$5:$E$500,MATCH($K1812&amp;"|"&amp;$L1812,SupplierRates!$A$5:$A$500,0)),0))</f>
        <v/>
      </c>
      <c r="R1812" s="26" t="n">
        <f aca="false">IF(OR($D1812="",$J1812&lt;&gt;"Supplier"),0,F1812*P1812+G1812*Q1812)</f>
        <v>0</v>
      </c>
      <c r="S1812" s="26" t="n">
        <f aca="false">IF(OR($D1812="",$J1812&lt;&gt;"Own"),0,IFERROR((F1812+G1812*Settings!$B$13)*INDEX(Workers!$V$5:$V$2004,MATCH($D1812,Workers!$A$5:$A$2004,0)),0))</f>
        <v>0</v>
      </c>
      <c r="T1812" s="26" t="str">
        <f aca="false">IF($D1812="","",O1812-R1812-S1812)</f>
        <v/>
      </c>
    </row>
    <row r="1813" customFormat="false" ht="15" hidden="false" customHeight="false" outlineLevel="0" collapsed="false">
      <c r="I1813" s="24" t="str">
        <f aca="false">IF($D1813="","",IFERROR(INDEX(Workers!$B$5:$B$2004,MATCH($D1813,Workers!$A$5:$A$2004,0)),"NOT FOUND"))</f>
        <v/>
      </c>
      <c r="J1813" s="24" t="str">
        <f aca="false">IF($D1813="","",IFERROR(INDEX(Workers!$C$5:$C$2004,MATCH($D1813,Workers!$A$5:$A$2004,0)),""))</f>
        <v/>
      </c>
      <c r="K1813" s="24" t="str">
        <f aca="false">IF($D1813="","",IFERROR(IF(INDEX(Workers!$D$5:$D$2004,MATCH($D1813,Workers!$A$5:$A$2004,0))=0,"",INDEX(Workers!$D$5:$D$2004,MATCH($D1813,Workers!$A$5:$A$2004,0))),""))</f>
        <v/>
      </c>
      <c r="L1813" s="24" t="str">
        <f aca="false">IF($D1813="","",IFERROR(INDEX(Workers!$E$5:$E$2004,MATCH($D1813,Workers!$A$5:$A$2004,0)),""))</f>
        <v/>
      </c>
      <c r="M1813" s="26" t="str">
        <f aca="false">IF($D1813="","",IFERROR(INDEX(ClientRates!$D$5:$D$500,MATCH($B1813&amp;"|"&amp;$L1813,ClientRates!$A$5:$A$500,0)),0))</f>
        <v/>
      </c>
      <c r="N1813" s="26" t="str">
        <f aca="false">IF($D1813="","",IFERROR(INDEX(ClientRates!$E$5:$E$500,MATCH($B1813&amp;"|"&amp;$L1813,ClientRates!$A$5:$A$500,0)),0))</f>
        <v/>
      </c>
      <c r="O1813" s="26" t="str">
        <f aca="false">IF($D1813="","",F1813*M1813+G1813*N1813)</f>
        <v/>
      </c>
      <c r="P1813" s="26" t="str">
        <f aca="false">IF(OR($D1813="",$J1813&lt;&gt;"Supplier"),"",IFERROR(INDEX(SupplierRates!$D$5:$D$500,MATCH($K1813&amp;"|"&amp;$L1813,SupplierRates!$A$5:$A$500,0)),0))</f>
        <v/>
      </c>
      <c r="Q1813" s="26" t="str">
        <f aca="false">IF(OR($D1813="",$J1813&lt;&gt;"Supplier"),"",IFERROR(INDEX(SupplierRates!$E$5:$E$500,MATCH($K1813&amp;"|"&amp;$L1813,SupplierRates!$A$5:$A$500,0)),0))</f>
        <v/>
      </c>
      <c r="R1813" s="26" t="n">
        <f aca="false">IF(OR($D1813="",$J1813&lt;&gt;"Supplier"),0,F1813*P1813+G1813*Q1813)</f>
        <v>0</v>
      </c>
      <c r="S1813" s="26" t="n">
        <f aca="false">IF(OR($D1813="",$J1813&lt;&gt;"Own"),0,IFERROR((F1813+G1813*Settings!$B$13)*INDEX(Workers!$V$5:$V$2004,MATCH($D1813,Workers!$A$5:$A$2004,0)),0))</f>
        <v>0</v>
      </c>
      <c r="T1813" s="26" t="str">
        <f aca="false">IF($D1813="","",O1813-R1813-S1813)</f>
        <v/>
      </c>
    </row>
    <row r="1814" customFormat="false" ht="15" hidden="false" customHeight="false" outlineLevel="0" collapsed="false">
      <c r="I1814" s="24" t="str">
        <f aca="false">IF($D1814="","",IFERROR(INDEX(Workers!$B$5:$B$2004,MATCH($D1814,Workers!$A$5:$A$2004,0)),"NOT FOUND"))</f>
        <v/>
      </c>
      <c r="J1814" s="24" t="str">
        <f aca="false">IF($D1814="","",IFERROR(INDEX(Workers!$C$5:$C$2004,MATCH($D1814,Workers!$A$5:$A$2004,0)),""))</f>
        <v/>
      </c>
      <c r="K1814" s="24" t="str">
        <f aca="false">IF($D1814="","",IFERROR(IF(INDEX(Workers!$D$5:$D$2004,MATCH($D1814,Workers!$A$5:$A$2004,0))=0,"",INDEX(Workers!$D$5:$D$2004,MATCH($D1814,Workers!$A$5:$A$2004,0))),""))</f>
        <v/>
      </c>
      <c r="L1814" s="24" t="str">
        <f aca="false">IF($D1814="","",IFERROR(INDEX(Workers!$E$5:$E$2004,MATCH($D1814,Workers!$A$5:$A$2004,0)),""))</f>
        <v/>
      </c>
      <c r="M1814" s="26" t="str">
        <f aca="false">IF($D1814="","",IFERROR(INDEX(ClientRates!$D$5:$D$500,MATCH($B1814&amp;"|"&amp;$L1814,ClientRates!$A$5:$A$500,0)),0))</f>
        <v/>
      </c>
      <c r="N1814" s="26" t="str">
        <f aca="false">IF($D1814="","",IFERROR(INDEX(ClientRates!$E$5:$E$500,MATCH($B1814&amp;"|"&amp;$L1814,ClientRates!$A$5:$A$500,0)),0))</f>
        <v/>
      </c>
      <c r="O1814" s="26" t="str">
        <f aca="false">IF($D1814="","",F1814*M1814+G1814*N1814)</f>
        <v/>
      </c>
      <c r="P1814" s="26" t="str">
        <f aca="false">IF(OR($D1814="",$J1814&lt;&gt;"Supplier"),"",IFERROR(INDEX(SupplierRates!$D$5:$D$500,MATCH($K1814&amp;"|"&amp;$L1814,SupplierRates!$A$5:$A$500,0)),0))</f>
        <v/>
      </c>
      <c r="Q1814" s="26" t="str">
        <f aca="false">IF(OR($D1814="",$J1814&lt;&gt;"Supplier"),"",IFERROR(INDEX(SupplierRates!$E$5:$E$500,MATCH($K1814&amp;"|"&amp;$L1814,SupplierRates!$A$5:$A$500,0)),0))</f>
        <v/>
      </c>
      <c r="R1814" s="26" t="n">
        <f aca="false">IF(OR($D1814="",$J1814&lt;&gt;"Supplier"),0,F1814*P1814+G1814*Q1814)</f>
        <v>0</v>
      </c>
      <c r="S1814" s="26" t="n">
        <f aca="false">IF(OR($D1814="",$J1814&lt;&gt;"Own"),0,IFERROR((F1814+G1814*Settings!$B$13)*INDEX(Workers!$V$5:$V$2004,MATCH($D1814,Workers!$A$5:$A$2004,0)),0))</f>
        <v>0</v>
      </c>
      <c r="T1814" s="26" t="str">
        <f aca="false">IF($D1814="","",O1814-R1814-S1814)</f>
        <v/>
      </c>
    </row>
    <row r="1815" customFormat="false" ht="15" hidden="false" customHeight="false" outlineLevel="0" collapsed="false">
      <c r="I1815" s="24" t="str">
        <f aca="false">IF($D1815="","",IFERROR(INDEX(Workers!$B$5:$B$2004,MATCH($D1815,Workers!$A$5:$A$2004,0)),"NOT FOUND"))</f>
        <v/>
      </c>
      <c r="J1815" s="24" t="str">
        <f aca="false">IF($D1815="","",IFERROR(INDEX(Workers!$C$5:$C$2004,MATCH($D1815,Workers!$A$5:$A$2004,0)),""))</f>
        <v/>
      </c>
      <c r="K1815" s="24" t="str">
        <f aca="false">IF($D1815="","",IFERROR(IF(INDEX(Workers!$D$5:$D$2004,MATCH($D1815,Workers!$A$5:$A$2004,0))=0,"",INDEX(Workers!$D$5:$D$2004,MATCH($D1815,Workers!$A$5:$A$2004,0))),""))</f>
        <v/>
      </c>
      <c r="L1815" s="24" t="str">
        <f aca="false">IF($D1815="","",IFERROR(INDEX(Workers!$E$5:$E$2004,MATCH($D1815,Workers!$A$5:$A$2004,0)),""))</f>
        <v/>
      </c>
      <c r="M1815" s="26" t="str">
        <f aca="false">IF($D1815="","",IFERROR(INDEX(ClientRates!$D$5:$D$500,MATCH($B1815&amp;"|"&amp;$L1815,ClientRates!$A$5:$A$500,0)),0))</f>
        <v/>
      </c>
      <c r="N1815" s="26" t="str">
        <f aca="false">IF($D1815="","",IFERROR(INDEX(ClientRates!$E$5:$E$500,MATCH($B1815&amp;"|"&amp;$L1815,ClientRates!$A$5:$A$500,0)),0))</f>
        <v/>
      </c>
      <c r="O1815" s="26" t="str">
        <f aca="false">IF($D1815="","",F1815*M1815+G1815*N1815)</f>
        <v/>
      </c>
      <c r="P1815" s="26" t="str">
        <f aca="false">IF(OR($D1815="",$J1815&lt;&gt;"Supplier"),"",IFERROR(INDEX(SupplierRates!$D$5:$D$500,MATCH($K1815&amp;"|"&amp;$L1815,SupplierRates!$A$5:$A$500,0)),0))</f>
        <v/>
      </c>
      <c r="Q1815" s="26" t="str">
        <f aca="false">IF(OR($D1815="",$J1815&lt;&gt;"Supplier"),"",IFERROR(INDEX(SupplierRates!$E$5:$E$500,MATCH($K1815&amp;"|"&amp;$L1815,SupplierRates!$A$5:$A$500,0)),0))</f>
        <v/>
      </c>
      <c r="R1815" s="26" t="n">
        <f aca="false">IF(OR($D1815="",$J1815&lt;&gt;"Supplier"),0,F1815*P1815+G1815*Q1815)</f>
        <v>0</v>
      </c>
      <c r="S1815" s="26" t="n">
        <f aca="false">IF(OR($D1815="",$J1815&lt;&gt;"Own"),0,IFERROR((F1815+G1815*Settings!$B$13)*INDEX(Workers!$V$5:$V$2004,MATCH($D1815,Workers!$A$5:$A$2004,0)),0))</f>
        <v>0</v>
      </c>
      <c r="T1815" s="26" t="str">
        <f aca="false">IF($D1815="","",O1815-R1815-S1815)</f>
        <v/>
      </c>
    </row>
    <row r="1816" customFormat="false" ht="15" hidden="false" customHeight="false" outlineLevel="0" collapsed="false">
      <c r="I1816" s="24" t="str">
        <f aca="false">IF($D1816="","",IFERROR(INDEX(Workers!$B$5:$B$2004,MATCH($D1816,Workers!$A$5:$A$2004,0)),"NOT FOUND"))</f>
        <v/>
      </c>
      <c r="J1816" s="24" t="str">
        <f aca="false">IF($D1816="","",IFERROR(INDEX(Workers!$C$5:$C$2004,MATCH($D1816,Workers!$A$5:$A$2004,0)),""))</f>
        <v/>
      </c>
      <c r="K1816" s="24" t="str">
        <f aca="false">IF($D1816="","",IFERROR(IF(INDEX(Workers!$D$5:$D$2004,MATCH($D1816,Workers!$A$5:$A$2004,0))=0,"",INDEX(Workers!$D$5:$D$2004,MATCH($D1816,Workers!$A$5:$A$2004,0))),""))</f>
        <v/>
      </c>
      <c r="L1816" s="24" t="str">
        <f aca="false">IF($D1816="","",IFERROR(INDEX(Workers!$E$5:$E$2004,MATCH($D1816,Workers!$A$5:$A$2004,0)),""))</f>
        <v/>
      </c>
      <c r="M1816" s="26" t="str">
        <f aca="false">IF($D1816="","",IFERROR(INDEX(ClientRates!$D$5:$D$500,MATCH($B1816&amp;"|"&amp;$L1816,ClientRates!$A$5:$A$500,0)),0))</f>
        <v/>
      </c>
      <c r="N1816" s="26" t="str">
        <f aca="false">IF($D1816="","",IFERROR(INDEX(ClientRates!$E$5:$E$500,MATCH($B1816&amp;"|"&amp;$L1816,ClientRates!$A$5:$A$500,0)),0))</f>
        <v/>
      </c>
      <c r="O1816" s="26" t="str">
        <f aca="false">IF($D1816="","",F1816*M1816+G1816*N1816)</f>
        <v/>
      </c>
      <c r="P1816" s="26" t="str">
        <f aca="false">IF(OR($D1816="",$J1816&lt;&gt;"Supplier"),"",IFERROR(INDEX(SupplierRates!$D$5:$D$500,MATCH($K1816&amp;"|"&amp;$L1816,SupplierRates!$A$5:$A$500,0)),0))</f>
        <v/>
      </c>
      <c r="Q1816" s="26" t="str">
        <f aca="false">IF(OR($D1816="",$J1816&lt;&gt;"Supplier"),"",IFERROR(INDEX(SupplierRates!$E$5:$E$500,MATCH($K1816&amp;"|"&amp;$L1816,SupplierRates!$A$5:$A$500,0)),0))</f>
        <v/>
      </c>
      <c r="R1816" s="26" t="n">
        <f aca="false">IF(OR($D1816="",$J1816&lt;&gt;"Supplier"),0,F1816*P1816+G1816*Q1816)</f>
        <v>0</v>
      </c>
      <c r="S1816" s="26" t="n">
        <f aca="false">IF(OR($D1816="",$J1816&lt;&gt;"Own"),0,IFERROR((F1816+G1816*Settings!$B$13)*INDEX(Workers!$V$5:$V$2004,MATCH($D1816,Workers!$A$5:$A$2004,0)),0))</f>
        <v>0</v>
      </c>
      <c r="T1816" s="26" t="str">
        <f aca="false">IF($D1816="","",O1816-R1816-S1816)</f>
        <v/>
      </c>
    </row>
    <row r="1817" customFormat="false" ht="15" hidden="false" customHeight="false" outlineLevel="0" collapsed="false">
      <c r="I1817" s="24" t="str">
        <f aca="false">IF($D1817="","",IFERROR(INDEX(Workers!$B$5:$B$2004,MATCH($D1817,Workers!$A$5:$A$2004,0)),"NOT FOUND"))</f>
        <v/>
      </c>
      <c r="J1817" s="24" t="str">
        <f aca="false">IF($D1817="","",IFERROR(INDEX(Workers!$C$5:$C$2004,MATCH($D1817,Workers!$A$5:$A$2004,0)),""))</f>
        <v/>
      </c>
      <c r="K1817" s="24" t="str">
        <f aca="false">IF($D1817="","",IFERROR(IF(INDEX(Workers!$D$5:$D$2004,MATCH($D1817,Workers!$A$5:$A$2004,0))=0,"",INDEX(Workers!$D$5:$D$2004,MATCH($D1817,Workers!$A$5:$A$2004,0))),""))</f>
        <v/>
      </c>
      <c r="L1817" s="24" t="str">
        <f aca="false">IF($D1817="","",IFERROR(INDEX(Workers!$E$5:$E$2004,MATCH($D1817,Workers!$A$5:$A$2004,0)),""))</f>
        <v/>
      </c>
      <c r="M1817" s="26" t="str">
        <f aca="false">IF($D1817="","",IFERROR(INDEX(ClientRates!$D$5:$D$500,MATCH($B1817&amp;"|"&amp;$L1817,ClientRates!$A$5:$A$500,0)),0))</f>
        <v/>
      </c>
      <c r="N1817" s="26" t="str">
        <f aca="false">IF($D1817="","",IFERROR(INDEX(ClientRates!$E$5:$E$500,MATCH($B1817&amp;"|"&amp;$L1817,ClientRates!$A$5:$A$500,0)),0))</f>
        <v/>
      </c>
      <c r="O1817" s="26" t="str">
        <f aca="false">IF($D1817="","",F1817*M1817+G1817*N1817)</f>
        <v/>
      </c>
      <c r="P1817" s="26" t="str">
        <f aca="false">IF(OR($D1817="",$J1817&lt;&gt;"Supplier"),"",IFERROR(INDEX(SupplierRates!$D$5:$D$500,MATCH($K1817&amp;"|"&amp;$L1817,SupplierRates!$A$5:$A$500,0)),0))</f>
        <v/>
      </c>
      <c r="Q1817" s="26" t="str">
        <f aca="false">IF(OR($D1817="",$J1817&lt;&gt;"Supplier"),"",IFERROR(INDEX(SupplierRates!$E$5:$E$500,MATCH($K1817&amp;"|"&amp;$L1817,SupplierRates!$A$5:$A$500,0)),0))</f>
        <v/>
      </c>
      <c r="R1817" s="26" t="n">
        <f aca="false">IF(OR($D1817="",$J1817&lt;&gt;"Supplier"),0,F1817*P1817+G1817*Q1817)</f>
        <v>0</v>
      </c>
      <c r="S1817" s="26" t="n">
        <f aca="false">IF(OR($D1817="",$J1817&lt;&gt;"Own"),0,IFERROR((F1817+G1817*Settings!$B$13)*INDEX(Workers!$V$5:$V$2004,MATCH($D1817,Workers!$A$5:$A$2004,0)),0))</f>
        <v>0</v>
      </c>
      <c r="T1817" s="26" t="str">
        <f aca="false">IF($D1817="","",O1817-R1817-S1817)</f>
        <v/>
      </c>
    </row>
    <row r="1818" customFormat="false" ht="15" hidden="false" customHeight="false" outlineLevel="0" collapsed="false">
      <c r="I1818" s="24" t="str">
        <f aca="false">IF($D1818="","",IFERROR(INDEX(Workers!$B$5:$B$2004,MATCH($D1818,Workers!$A$5:$A$2004,0)),"NOT FOUND"))</f>
        <v/>
      </c>
      <c r="J1818" s="24" t="str">
        <f aca="false">IF($D1818="","",IFERROR(INDEX(Workers!$C$5:$C$2004,MATCH($D1818,Workers!$A$5:$A$2004,0)),""))</f>
        <v/>
      </c>
      <c r="K1818" s="24" t="str">
        <f aca="false">IF($D1818="","",IFERROR(IF(INDEX(Workers!$D$5:$D$2004,MATCH($D1818,Workers!$A$5:$A$2004,0))=0,"",INDEX(Workers!$D$5:$D$2004,MATCH($D1818,Workers!$A$5:$A$2004,0))),""))</f>
        <v/>
      </c>
      <c r="L1818" s="24" t="str">
        <f aca="false">IF($D1818="","",IFERROR(INDEX(Workers!$E$5:$E$2004,MATCH($D1818,Workers!$A$5:$A$2004,0)),""))</f>
        <v/>
      </c>
      <c r="M1818" s="26" t="str">
        <f aca="false">IF($D1818="","",IFERROR(INDEX(ClientRates!$D$5:$D$500,MATCH($B1818&amp;"|"&amp;$L1818,ClientRates!$A$5:$A$500,0)),0))</f>
        <v/>
      </c>
      <c r="N1818" s="26" t="str">
        <f aca="false">IF($D1818="","",IFERROR(INDEX(ClientRates!$E$5:$E$500,MATCH($B1818&amp;"|"&amp;$L1818,ClientRates!$A$5:$A$500,0)),0))</f>
        <v/>
      </c>
      <c r="O1818" s="26" t="str">
        <f aca="false">IF($D1818="","",F1818*M1818+G1818*N1818)</f>
        <v/>
      </c>
      <c r="P1818" s="26" t="str">
        <f aca="false">IF(OR($D1818="",$J1818&lt;&gt;"Supplier"),"",IFERROR(INDEX(SupplierRates!$D$5:$D$500,MATCH($K1818&amp;"|"&amp;$L1818,SupplierRates!$A$5:$A$500,0)),0))</f>
        <v/>
      </c>
      <c r="Q1818" s="26" t="str">
        <f aca="false">IF(OR($D1818="",$J1818&lt;&gt;"Supplier"),"",IFERROR(INDEX(SupplierRates!$E$5:$E$500,MATCH($K1818&amp;"|"&amp;$L1818,SupplierRates!$A$5:$A$500,0)),0))</f>
        <v/>
      </c>
      <c r="R1818" s="26" t="n">
        <f aca="false">IF(OR($D1818="",$J1818&lt;&gt;"Supplier"),0,F1818*P1818+G1818*Q1818)</f>
        <v>0</v>
      </c>
      <c r="S1818" s="26" t="n">
        <f aca="false">IF(OR($D1818="",$J1818&lt;&gt;"Own"),0,IFERROR((F1818+G1818*Settings!$B$13)*INDEX(Workers!$V$5:$V$2004,MATCH($D1818,Workers!$A$5:$A$2004,0)),0))</f>
        <v>0</v>
      </c>
      <c r="T1818" s="26" t="str">
        <f aca="false">IF($D1818="","",O1818-R1818-S1818)</f>
        <v/>
      </c>
    </row>
    <row r="1819" customFormat="false" ht="15" hidden="false" customHeight="false" outlineLevel="0" collapsed="false">
      <c r="I1819" s="24" t="str">
        <f aca="false">IF($D1819="","",IFERROR(INDEX(Workers!$B$5:$B$2004,MATCH($D1819,Workers!$A$5:$A$2004,0)),"NOT FOUND"))</f>
        <v/>
      </c>
      <c r="J1819" s="24" t="str">
        <f aca="false">IF($D1819="","",IFERROR(INDEX(Workers!$C$5:$C$2004,MATCH($D1819,Workers!$A$5:$A$2004,0)),""))</f>
        <v/>
      </c>
      <c r="K1819" s="24" t="str">
        <f aca="false">IF($D1819="","",IFERROR(IF(INDEX(Workers!$D$5:$D$2004,MATCH($D1819,Workers!$A$5:$A$2004,0))=0,"",INDEX(Workers!$D$5:$D$2004,MATCH($D1819,Workers!$A$5:$A$2004,0))),""))</f>
        <v/>
      </c>
      <c r="L1819" s="24" t="str">
        <f aca="false">IF($D1819="","",IFERROR(INDEX(Workers!$E$5:$E$2004,MATCH($D1819,Workers!$A$5:$A$2004,0)),""))</f>
        <v/>
      </c>
      <c r="M1819" s="26" t="str">
        <f aca="false">IF($D1819="","",IFERROR(INDEX(ClientRates!$D$5:$D$500,MATCH($B1819&amp;"|"&amp;$L1819,ClientRates!$A$5:$A$500,0)),0))</f>
        <v/>
      </c>
      <c r="N1819" s="26" t="str">
        <f aca="false">IF($D1819="","",IFERROR(INDEX(ClientRates!$E$5:$E$500,MATCH($B1819&amp;"|"&amp;$L1819,ClientRates!$A$5:$A$500,0)),0))</f>
        <v/>
      </c>
      <c r="O1819" s="26" t="str">
        <f aca="false">IF($D1819="","",F1819*M1819+G1819*N1819)</f>
        <v/>
      </c>
      <c r="P1819" s="26" t="str">
        <f aca="false">IF(OR($D1819="",$J1819&lt;&gt;"Supplier"),"",IFERROR(INDEX(SupplierRates!$D$5:$D$500,MATCH($K1819&amp;"|"&amp;$L1819,SupplierRates!$A$5:$A$500,0)),0))</f>
        <v/>
      </c>
      <c r="Q1819" s="26" t="str">
        <f aca="false">IF(OR($D1819="",$J1819&lt;&gt;"Supplier"),"",IFERROR(INDEX(SupplierRates!$E$5:$E$500,MATCH($K1819&amp;"|"&amp;$L1819,SupplierRates!$A$5:$A$500,0)),0))</f>
        <v/>
      </c>
      <c r="R1819" s="26" t="n">
        <f aca="false">IF(OR($D1819="",$J1819&lt;&gt;"Supplier"),0,F1819*P1819+G1819*Q1819)</f>
        <v>0</v>
      </c>
      <c r="S1819" s="26" t="n">
        <f aca="false">IF(OR($D1819="",$J1819&lt;&gt;"Own"),0,IFERROR((F1819+G1819*Settings!$B$13)*INDEX(Workers!$V$5:$V$2004,MATCH($D1819,Workers!$A$5:$A$2004,0)),0))</f>
        <v>0</v>
      </c>
      <c r="T1819" s="26" t="str">
        <f aca="false">IF($D1819="","",O1819-R1819-S1819)</f>
        <v/>
      </c>
    </row>
    <row r="1820" customFormat="false" ht="15" hidden="false" customHeight="false" outlineLevel="0" collapsed="false">
      <c r="I1820" s="24" t="str">
        <f aca="false">IF($D1820="","",IFERROR(INDEX(Workers!$B$5:$B$2004,MATCH($D1820,Workers!$A$5:$A$2004,0)),"NOT FOUND"))</f>
        <v/>
      </c>
      <c r="J1820" s="24" t="str">
        <f aca="false">IF($D1820="","",IFERROR(INDEX(Workers!$C$5:$C$2004,MATCH($D1820,Workers!$A$5:$A$2004,0)),""))</f>
        <v/>
      </c>
      <c r="K1820" s="24" t="str">
        <f aca="false">IF($D1820="","",IFERROR(IF(INDEX(Workers!$D$5:$D$2004,MATCH($D1820,Workers!$A$5:$A$2004,0))=0,"",INDEX(Workers!$D$5:$D$2004,MATCH($D1820,Workers!$A$5:$A$2004,0))),""))</f>
        <v/>
      </c>
      <c r="L1820" s="24" t="str">
        <f aca="false">IF($D1820="","",IFERROR(INDEX(Workers!$E$5:$E$2004,MATCH($D1820,Workers!$A$5:$A$2004,0)),""))</f>
        <v/>
      </c>
      <c r="M1820" s="26" t="str">
        <f aca="false">IF($D1820="","",IFERROR(INDEX(ClientRates!$D$5:$D$500,MATCH($B1820&amp;"|"&amp;$L1820,ClientRates!$A$5:$A$500,0)),0))</f>
        <v/>
      </c>
      <c r="N1820" s="26" t="str">
        <f aca="false">IF($D1820="","",IFERROR(INDEX(ClientRates!$E$5:$E$500,MATCH($B1820&amp;"|"&amp;$L1820,ClientRates!$A$5:$A$500,0)),0))</f>
        <v/>
      </c>
      <c r="O1820" s="26" t="str">
        <f aca="false">IF($D1820="","",F1820*M1820+G1820*N1820)</f>
        <v/>
      </c>
      <c r="P1820" s="26" t="str">
        <f aca="false">IF(OR($D1820="",$J1820&lt;&gt;"Supplier"),"",IFERROR(INDEX(SupplierRates!$D$5:$D$500,MATCH($K1820&amp;"|"&amp;$L1820,SupplierRates!$A$5:$A$500,0)),0))</f>
        <v/>
      </c>
      <c r="Q1820" s="26" t="str">
        <f aca="false">IF(OR($D1820="",$J1820&lt;&gt;"Supplier"),"",IFERROR(INDEX(SupplierRates!$E$5:$E$500,MATCH($K1820&amp;"|"&amp;$L1820,SupplierRates!$A$5:$A$500,0)),0))</f>
        <v/>
      </c>
      <c r="R1820" s="26" t="n">
        <f aca="false">IF(OR($D1820="",$J1820&lt;&gt;"Supplier"),0,F1820*P1820+G1820*Q1820)</f>
        <v>0</v>
      </c>
      <c r="S1820" s="26" t="n">
        <f aca="false">IF(OR($D1820="",$J1820&lt;&gt;"Own"),0,IFERROR((F1820+G1820*Settings!$B$13)*INDEX(Workers!$V$5:$V$2004,MATCH($D1820,Workers!$A$5:$A$2004,0)),0))</f>
        <v>0</v>
      </c>
      <c r="T1820" s="26" t="str">
        <f aca="false">IF($D1820="","",O1820-R1820-S1820)</f>
        <v/>
      </c>
    </row>
    <row r="1821" customFormat="false" ht="15" hidden="false" customHeight="false" outlineLevel="0" collapsed="false">
      <c r="I1821" s="24" t="str">
        <f aca="false">IF($D1821="","",IFERROR(INDEX(Workers!$B$5:$B$2004,MATCH($D1821,Workers!$A$5:$A$2004,0)),"NOT FOUND"))</f>
        <v/>
      </c>
      <c r="J1821" s="24" t="str">
        <f aca="false">IF($D1821="","",IFERROR(INDEX(Workers!$C$5:$C$2004,MATCH($D1821,Workers!$A$5:$A$2004,0)),""))</f>
        <v/>
      </c>
      <c r="K1821" s="24" t="str">
        <f aca="false">IF($D1821="","",IFERROR(IF(INDEX(Workers!$D$5:$D$2004,MATCH($D1821,Workers!$A$5:$A$2004,0))=0,"",INDEX(Workers!$D$5:$D$2004,MATCH($D1821,Workers!$A$5:$A$2004,0))),""))</f>
        <v/>
      </c>
      <c r="L1821" s="24" t="str">
        <f aca="false">IF($D1821="","",IFERROR(INDEX(Workers!$E$5:$E$2004,MATCH($D1821,Workers!$A$5:$A$2004,0)),""))</f>
        <v/>
      </c>
      <c r="M1821" s="26" t="str">
        <f aca="false">IF($D1821="","",IFERROR(INDEX(ClientRates!$D$5:$D$500,MATCH($B1821&amp;"|"&amp;$L1821,ClientRates!$A$5:$A$500,0)),0))</f>
        <v/>
      </c>
      <c r="N1821" s="26" t="str">
        <f aca="false">IF($D1821="","",IFERROR(INDEX(ClientRates!$E$5:$E$500,MATCH($B1821&amp;"|"&amp;$L1821,ClientRates!$A$5:$A$500,0)),0))</f>
        <v/>
      </c>
      <c r="O1821" s="26" t="str">
        <f aca="false">IF($D1821="","",F1821*M1821+G1821*N1821)</f>
        <v/>
      </c>
      <c r="P1821" s="26" t="str">
        <f aca="false">IF(OR($D1821="",$J1821&lt;&gt;"Supplier"),"",IFERROR(INDEX(SupplierRates!$D$5:$D$500,MATCH($K1821&amp;"|"&amp;$L1821,SupplierRates!$A$5:$A$500,0)),0))</f>
        <v/>
      </c>
      <c r="Q1821" s="26" t="str">
        <f aca="false">IF(OR($D1821="",$J1821&lt;&gt;"Supplier"),"",IFERROR(INDEX(SupplierRates!$E$5:$E$500,MATCH($K1821&amp;"|"&amp;$L1821,SupplierRates!$A$5:$A$500,0)),0))</f>
        <v/>
      </c>
      <c r="R1821" s="26" t="n">
        <f aca="false">IF(OR($D1821="",$J1821&lt;&gt;"Supplier"),0,F1821*P1821+G1821*Q1821)</f>
        <v>0</v>
      </c>
      <c r="S1821" s="26" t="n">
        <f aca="false">IF(OR($D1821="",$J1821&lt;&gt;"Own"),0,IFERROR((F1821+G1821*Settings!$B$13)*INDEX(Workers!$V$5:$V$2004,MATCH($D1821,Workers!$A$5:$A$2004,0)),0))</f>
        <v>0</v>
      </c>
      <c r="T1821" s="26" t="str">
        <f aca="false">IF($D1821="","",O1821-R1821-S1821)</f>
        <v/>
      </c>
    </row>
    <row r="1822" customFormat="false" ht="15" hidden="false" customHeight="false" outlineLevel="0" collapsed="false">
      <c r="I1822" s="24" t="str">
        <f aca="false">IF($D1822="","",IFERROR(INDEX(Workers!$B$5:$B$2004,MATCH($D1822,Workers!$A$5:$A$2004,0)),"NOT FOUND"))</f>
        <v/>
      </c>
      <c r="J1822" s="24" t="str">
        <f aca="false">IF($D1822="","",IFERROR(INDEX(Workers!$C$5:$C$2004,MATCH($D1822,Workers!$A$5:$A$2004,0)),""))</f>
        <v/>
      </c>
      <c r="K1822" s="24" t="str">
        <f aca="false">IF($D1822="","",IFERROR(IF(INDEX(Workers!$D$5:$D$2004,MATCH($D1822,Workers!$A$5:$A$2004,0))=0,"",INDEX(Workers!$D$5:$D$2004,MATCH($D1822,Workers!$A$5:$A$2004,0))),""))</f>
        <v/>
      </c>
      <c r="L1822" s="24" t="str">
        <f aca="false">IF($D1822="","",IFERROR(INDEX(Workers!$E$5:$E$2004,MATCH($D1822,Workers!$A$5:$A$2004,0)),""))</f>
        <v/>
      </c>
      <c r="M1822" s="26" t="str">
        <f aca="false">IF($D1822="","",IFERROR(INDEX(ClientRates!$D$5:$D$500,MATCH($B1822&amp;"|"&amp;$L1822,ClientRates!$A$5:$A$500,0)),0))</f>
        <v/>
      </c>
      <c r="N1822" s="26" t="str">
        <f aca="false">IF($D1822="","",IFERROR(INDEX(ClientRates!$E$5:$E$500,MATCH($B1822&amp;"|"&amp;$L1822,ClientRates!$A$5:$A$500,0)),0))</f>
        <v/>
      </c>
      <c r="O1822" s="26" t="str">
        <f aca="false">IF($D1822="","",F1822*M1822+G1822*N1822)</f>
        <v/>
      </c>
      <c r="P1822" s="26" t="str">
        <f aca="false">IF(OR($D1822="",$J1822&lt;&gt;"Supplier"),"",IFERROR(INDEX(SupplierRates!$D$5:$D$500,MATCH($K1822&amp;"|"&amp;$L1822,SupplierRates!$A$5:$A$500,0)),0))</f>
        <v/>
      </c>
      <c r="Q1822" s="26" t="str">
        <f aca="false">IF(OR($D1822="",$J1822&lt;&gt;"Supplier"),"",IFERROR(INDEX(SupplierRates!$E$5:$E$500,MATCH($K1822&amp;"|"&amp;$L1822,SupplierRates!$A$5:$A$500,0)),0))</f>
        <v/>
      </c>
      <c r="R1822" s="26" t="n">
        <f aca="false">IF(OR($D1822="",$J1822&lt;&gt;"Supplier"),0,F1822*P1822+G1822*Q1822)</f>
        <v>0</v>
      </c>
      <c r="S1822" s="26" t="n">
        <f aca="false">IF(OR($D1822="",$J1822&lt;&gt;"Own"),0,IFERROR((F1822+G1822*Settings!$B$13)*INDEX(Workers!$V$5:$V$2004,MATCH($D1822,Workers!$A$5:$A$2004,0)),0))</f>
        <v>0</v>
      </c>
      <c r="T1822" s="26" t="str">
        <f aca="false">IF($D1822="","",O1822-R1822-S1822)</f>
        <v/>
      </c>
    </row>
    <row r="1823" customFormat="false" ht="15" hidden="false" customHeight="false" outlineLevel="0" collapsed="false">
      <c r="I1823" s="24" t="str">
        <f aca="false">IF($D1823="","",IFERROR(INDEX(Workers!$B$5:$B$2004,MATCH($D1823,Workers!$A$5:$A$2004,0)),"NOT FOUND"))</f>
        <v/>
      </c>
      <c r="J1823" s="24" t="str">
        <f aca="false">IF($D1823="","",IFERROR(INDEX(Workers!$C$5:$C$2004,MATCH($D1823,Workers!$A$5:$A$2004,0)),""))</f>
        <v/>
      </c>
      <c r="K1823" s="24" t="str">
        <f aca="false">IF($D1823="","",IFERROR(IF(INDEX(Workers!$D$5:$D$2004,MATCH($D1823,Workers!$A$5:$A$2004,0))=0,"",INDEX(Workers!$D$5:$D$2004,MATCH($D1823,Workers!$A$5:$A$2004,0))),""))</f>
        <v/>
      </c>
      <c r="L1823" s="24" t="str">
        <f aca="false">IF($D1823="","",IFERROR(INDEX(Workers!$E$5:$E$2004,MATCH($D1823,Workers!$A$5:$A$2004,0)),""))</f>
        <v/>
      </c>
      <c r="M1823" s="26" t="str">
        <f aca="false">IF($D1823="","",IFERROR(INDEX(ClientRates!$D$5:$D$500,MATCH($B1823&amp;"|"&amp;$L1823,ClientRates!$A$5:$A$500,0)),0))</f>
        <v/>
      </c>
      <c r="N1823" s="26" t="str">
        <f aca="false">IF($D1823="","",IFERROR(INDEX(ClientRates!$E$5:$E$500,MATCH($B1823&amp;"|"&amp;$L1823,ClientRates!$A$5:$A$500,0)),0))</f>
        <v/>
      </c>
      <c r="O1823" s="26" t="str">
        <f aca="false">IF($D1823="","",F1823*M1823+G1823*N1823)</f>
        <v/>
      </c>
      <c r="P1823" s="26" t="str">
        <f aca="false">IF(OR($D1823="",$J1823&lt;&gt;"Supplier"),"",IFERROR(INDEX(SupplierRates!$D$5:$D$500,MATCH($K1823&amp;"|"&amp;$L1823,SupplierRates!$A$5:$A$500,0)),0))</f>
        <v/>
      </c>
      <c r="Q1823" s="26" t="str">
        <f aca="false">IF(OR($D1823="",$J1823&lt;&gt;"Supplier"),"",IFERROR(INDEX(SupplierRates!$E$5:$E$500,MATCH($K1823&amp;"|"&amp;$L1823,SupplierRates!$A$5:$A$500,0)),0))</f>
        <v/>
      </c>
      <c r="R1823" s="26" t="n">
        <f aca="false">IF(OR($D1823="",$J1823&lt;&gt;"Supplier"),0,F1823*P1823+G1823*Q1823)</f>
        <v>0</v>
      </c>
      <c r="S1823" s="26" t="n">
        <f aca="false">IF(OR($D1823="",$J1823&lt;&gt;"Own"),0,IFERROR((F1823+G1823*Settings!$B$13)*INDEX(Workers!$V$5:$V$2004,MATCH($D1823,Workers!$A$5:$A$2004,0)),0))</f>
        <v>0</v>
      </c>
      <c r="T1823" s="26" t="str">
        <f aca="false">IF($D1823="","",O1823-R1823-S1823)</f>
        <v/>
      </c>
    </row>
    <row r="1824" customFormat="false" ht="15" hidden="false" customHeight="false" outlineLevel="0" collapsed="false">
      <c r="I1824" s="24" t="str">
        <f aca="false">IF($D1824="","",IFERROR(INDEX(Workers!$B$5:$B$2004,MATCH($D1824,Workers!$A$5:$A$2004,0)),"NOT FOUND"))</f>
        <v/>
      </c>
      <c r="J1824" s="24" t="str">
        <f aca="false">IF($D1824="","",IFERROR(INDEX(Workers!$C$5:$C$2004,MATCH($D1824,Workers!$A$5:$A$2004,0)),""))</f>
        <v/>
      </c>
      <c r="K1824" s="24" t="str">
        <f aca="false">IF($D1824="","",IFERROR(IF(INDEX(Workers!$D$5:$D$2004,MATCH($D1824,Workers!$A$5:$A$2004,0))=0,"",INDEX(Workers!$D$5:$D$2004,MATCH($D1824,Workers!$A$5:$A$2004,0))),""))</f>
        <v/>
      </c>
      <c r="L1824" s="24" t="str">
        <f aca="false">IF($D1824="","",IFERROR(INDEX(Workers!$E$5:$E$2004,MATCH($D1824,Workers!$A$5:$A$2004,0)),""))</f>
        <v/>
      </c>
      <c r="M1824" s="26" t="str">
        <f aca="false">IF($D1824="","",IFERROR(INDEX(ClientRates!$D$5:$D$500,MATCH($B1824&amp;"|"&amp;$L1824,ClientRates!$A$5:$A$500,0)),0))</f>
        <v/>
      </c>
      <c r="N1824" s="26" t="str">
        <f aca="false">IF($D1824="","",IFERROR(INDEX(ClientRates!$E$5:$E$500,MATCH($B1824&amp;"|"&amp;$L1824,ClientRates!$A$5:$A$500,0)),0))</f>
        <v/>
      </c>
      <c r="O1824" s="26" t="str">
        <f aca="false">IF($D1824="","",F1824*M1824+G1824*N1824)</f>
        <v/>
      </c>
      <c r="P1824" s="26" t="str">
        <f aca="false">IF(OR($D1824="",$J1824&lt;&gt;"Supplier"),"",IFERROR(INDEX(SupplierRates!$D$5:$D$500,MATCH($K1824&amp;"|"&amp;$L1824,SupplierRates!$A$5:$A$500,0)),0))</f>
        <v/>
      </c>
      <c r="Q1824" s="26" t="str">
        <f aca="false">IF(OR($D1824="",$J1824&lt;&gt;"Supplier"),"",IFERROR(INDEX(SupplierRates!$E$5:$E$500,MATCH($K1824&amp;"|"&amp;$L1824,SupplierRates!$A$5:$A$500,0)),0))</f>
        <v/>
      </c>
      <c r="R1824" s="26" t="n">
        <f aca="false">IF(OR($D1824="",$J1824&lt;&gt;"Supplier"),0,F1824*P1824+G1824*Q1824)</f>
        <v>0</v>
      </c>
      <c r="S1824" s="26" t="n">
        <f aca="false">IF(OR($D1824="",$J1824&lt;&gt;"Own"),0,IFERROR((F1824+G1824*Settings!$B$13)*INDEX(Workers!$V$5:$V$2004,MATCH($D1824,Workers!$A$5:$A$2004,0)),0))</f>
        <v>0</v>
      </c>
      <c r="T1824" s="26" t="str">
        <f aca="false">IF($D1824="","",O1824-R1824-S1824)</f>
        <v/>
      </c>
    </row>
    <row r="1825" customFormat="false" ht="15" hidden="false" customHeight="false" outlineLevel="0" collapsed="false">
      <c r="I1825" s="24" t="str">
        <f aca="false">IF($D1825="","",IFERROR(INDEX(Workers!$B$5:$B$2004,MATCH($D1825,Workers!$A$5:$A$2004,0)),"NOT FOUND"))</f>
        <v/>
      </c>
      <c r="J1825" s="24" t="str">
        <f aca="false">IF($D1825="","",IFERROR(INDEX(Workers!$C$5:$C$2004,MATCH($D1825,Workers!$A$5:$A$2004,0)),""))</f>
        <v/>
      </c>
      <c r="K1825" s="24" t="str">
        <f aca="false">IF($D1825="","",IFERROR(IF(INDEX(Workers!$D$5:$D$2004,MATCH($D1825,Workers!$A$5:$A$2004,0))=0,"",INDEX(Workers!$D$5:$D$2004,MATCH($D1825,Workers!$A$5:$A$2004,0))),""))</f>
        <v/>
      </c>
      <c r="L1825" s="24" t="str">
        <f aca="false">IF($D1825="","",IFERROR(INDEX(Workers!$E$5:$E$2004,MATCH($D1825,Workers!$A$5:$A$2004,0)),""))</f>
        <v/>
      </c>
      <c r="M1825" s="26" t="str">
        <f aca="false">IF($D1825="","",IFERROR(INDEX(ClientRates!$D$5:$D$500,MATCH($B1825&amp;"|"&amp;$L1825,ClientRates!$A$5:$A$500,0)),0))</f>
        <v/>
      </c>
      <c r="N1825" s="26" t="str">
        <f aca="false">IF($D1825="","",IFERROR(INDEX(ClientRates!$E$5:$E$500,MATCH($B1825&amp;"|"&amp;$L1825,ClientRates!$A$5:$A$500,0)),0))</f>
        <v/>
      </c>
      <c r="O1825" s="26" t="str">
        <f aca="false">IF($D1825="","",F1825*M1825+G1825*N1825)</f>
        <v/>
      </c>
      <c r="P1825" s="26" t="str">
        <f aca="false">IF(OR($D1825="",$J1825&lt;&gt;"Supplier"),"",IFERROR(INDEX(SupplierRates!$D$5:$D$500,MATCH($K1825&amp;"|"&amp;$L1825,SupplierRates!$A$5:$A$500,0)),0))</f>
        <v/>
      </c>
      <c r="Q1825" s="26" t="str">
        <f aca="false">IF(OR($D1825="",$J1825&lt;&gt;"Supplier"),"",IFERROR(INDEX(SupplierRates!$E$5:$E$500,MATCH($K1825&amp;"|"&amp;$L1825,SupplierRates!$A$5:$A$500,0)),0))</f>
        <v/>
      </c>
      <c r="R1825" s="26" t="n">
        <f aca="false">IF(OR($D1825="",$J1825&lt;&gt;"Supplier"),0,F1825*P1825+G1825*Q1825)</f>
        <v>0</v>
      </c>
      <c r="S1825" s="26" t="n">
        <f aca="false">IF(OR($D1825="",$J1825&lt;&gt;"Own"),0,IFERROR((F1825+G1825*Settings!$B$13)*INDEX(Workers!$V$5:$V$2004,MATCH($D1825,Workers!$A$5:$A$2004,0)),0))</f>
        <v>0</v>
      </c>
      <c r="T1825" s="26" t="str">
        <f aca="false">IF($D1825="","",O1825-R1825-S1825)</f>
        <v/>
      </c>
    </row>
    <row r="1826" customFormat="false" ht="15" hidden="false" customHeight="false" outlineLevel="0" collapsed="false">
      <c r="I1826" s="24" t="str">
        <f aca="false">IF($D1826="","",IFERROR(INDEX(Workers!$B$5:$B$2004,MATCH($D1826,Workers!$A$5:$A$2004,0)),"NOT FOUND"))</f>
        <v/>
      </c>
      <c r="J1826" s="24" t="str">
        <f aca="false">IF($D1826="","",IFERROR(INDEX(Workers!$C$5:$C$2004,MATCH($D1826,Workers!$A$5:$A$2004,0)),""))</f>
        <v/>
      </c>
      <c r="K1826" s="24" t="str">
        <f aca="false">IF($D1826="","",IFERROR(IF(INDEX(Workers!$D$5:$D$2004,MATCH($D1826,Workers!$A$5:$A$2004,0))=0,"",INDEX(Workers!$D$5:$D$2004,MATCH($D1826,Workers!$A$5:$A$2004,0))),""))</f>
        <v/>
      </c>
      <c r="L1826" s="24" t="str">
        <f aca="false">IF($D1826="","",IFERROR(INDEX(Workers!$E$5:$E$2004,MATCH($D1826,Workers!$A$5:$A$2004,0)),""))</f>
        <v/>
      </c>
      <c r="M1826" s="26" t="str">
        <f aca="false">IF($D1826="","",IFERROR(INDEX(ClientRates!$D$5:$D$500,MATCH($B1826&amp;"|"&amp;$L1826,ClientRates!$A$5:$A$500,0)),0))</f>
        <v/>
      </c>
      <c r="N1826" s="26" t="str">
        <f aca="false">IF($D1826="","",IFERROR(INDEX(ClientRates!$E$5:$E$500,MATCH($B1826&amp;"|"&amp;$L1826,ClientRates!$A$5:$A$500,0)),0))</f>
        <v/>
      </c>
      <c r="O1826" s="26" t="str">
        <f aca="false">IF($D1826="","",F1826*M1826+G1826*N1826)</f>
        <v/>
      </c>
      <c r="P1826" s="26" t="str">
        <f aca="false">IF(OR($D1826="",$J1826&lt;&gt;"Supplier"),"",IFERROR(INDEX(SupplierRates!$D$5:$D$500,MATCH($K1826&amp;"|"&amp;$L1826,SupplierRates!$A$5:$A$500,0)),0))</f>
        <v/>
      </c>
      <c r="Q1826" s="26" t="str">
        <f aca="false">IF(OR($D1826="",$J1826&lt;&gt;"Supplier"),"",IFERROR(INDEX(SupplierRates!$E$5:$E$500,MATCH($K1826&amp;"|"&amp;$L1826,SupplierRates!$A$5:$A$500,0)),0))</f>
        <v/>
      </c>
      <c r="R1826" s="26" t="n">
        <f aca="false">IF(OR($D1826="",$J1826&lt;&gt;"Supplier"),0,F1826*P1826+G1826*Q1826)</f>
        <v>0</v>
      </c>
      <c r="S1826" s="26" t="n">
        <f aca="false">IF(OR($D1826="",$J1826&lt;&gt;"Own"),0,IFERROR((F1826+G1826*Settings!$B$13)*INDEX(Workers!$V$5:$V$2004,MATCH($D1826,Workers!$A$5:$A$2004,0)),0))</f>
        <v>0</v>
      </c>
      <c r="T1826" s="26" t="str">
        <f aca="false">IF($D1826="","",O1826-R1826-S1826)</f>
        <v/>
      </c>
    </row>
    <row r="1827" customFormat="false" ht="15" hidden="false" customHeight="false" outlineLevel="0" collapsed="false">
      <c r="I1827" s="24" t="str">
        <f aca="false">IF($D1827="","",IFERROR(INDEX(Workers!$B$5:$B$2004,MATCH($D1827,Workers!$A$5:$A$2004,0)),"NOT FOUND"))</f>
        <v/>
      </c>
      <c r="J1827" s="24" t="str">
        <f aca="false">IF($D1827="","",IFERROR(INDEX(Workers!$C$5:$C$2004,MATCH($D1827,Workers!$A$5:$A$2004,0)),""))</f>
        <v/>
      </c>
      <c r="K1827" s="24" t="str">
        <f aca="false">IF($D1827="","",IFERROR(IF(INDEX(Workers!$D$5:$D$2004,MATCH($D1827,Workers!$A$5:$A$2004,0))=0,"",INDEX(Workers!$D$5:$D$2004,MATCH($D1827,Workers!$A$5:$A$2004,0))),""))</f>
        <v/>
      </c>
      <c r="L1827" s="24" t="str">
        <f aca="false">IF($D1827="","",IFERROR(INDEX(Workers!$E$5:$E$2004,MATCH($D1827,Workers!$A$5:$A$2004,0)),""))</f>
        <v/>
      </c>
      <c r="M1827" s="26" t="str">
        <f aca="false">IF($D1827="","",IFERROR(INDEX(ClientRates!$D$5:$D$500,MATCH($B1827&amp;"|"&amp;$L1827,ClientRates!$A$5:$A$500,0)),0))</f>
        <v/>
      </c>
      <c r="N1827" s="26" t="str">
        <f aca="false">IF($D1827="","",IFERROR(INDEX(ClientRates!$E$5:$E$500,MATCH($B1827&amp;"|"&amp;$L1827,ClientRates!$A$5:$A$500,0)),0))</f>
        <v/>
      </c>
      <c r="O1827" s="26" t="str">
        <f aca="false">IF($D1827="","",F1827*M1827+G1827*N1827)</f>
        <v/>
      </c>
      <c r="P1827" s="26" t="str">
        <f aca="false">IF(OR($D1827="",$J1827&lt;&gt;"Supplier"),"",IFERROR(INDEX(SupplierRates!$D$5:$D$500,MATCH($K1827&amp;"|"&amp;$L1827,SupplierRates!$A$5:$A$500,0)),0))</f>
        <v/>
      </c>
      <c r="Q1827" s="26" t="str">
        <f aca="false">IF(OR($D1827="",$J1827&lt;&gt;"Supplier"),"",IFERROR(INDEX(SupplierRates!$E$5:$E$500,MATCH($K1827&amp;"|"&amp;$L1827,SupplierRates!$A$5:$A$500,0)),0))</f>
        <v/>
      </c>
      <c r="R1827" s="26" t="n">
        <f aca="false">IF(OR($D1827="",$J1827&lt;&gt;"Supplier"),0,F1827*P1827+G1827*Q1827)</f>
        <v>0</v>
      </c>
      <c r="S1827" s="26" t="n">
        <f aca="false">IF(OR($D1827="",$J1827&lt;&gt;"Own"),0,IFERROR((F1827+G1827*Settings!$B$13)*INDEX(Workers!$V$5:$V$2004,MATCH($D1827,Workers!$A$5:$A$2004,0)),0))</f>
        <v>0</v>
      </c>
      <c r="T1827" s="26" t="str">
        <f aca="false">IF($D1827="","",O1827-R1827-S1827)</f>
        <v/>
      </c>
    </row>
    <row r="1828" customFormat="false" ht="15" hidden="false" customHeight="false" outlineLevel="0" collapsed="false">
      <c r="I1828" s="24" t="str">
        <f aca="false">IF($D1828="","",IFERROR(INDEX(Workers!$B$5:$B$2004,MATCH($D1828,Workers!$A$5:$A$2004,0)),"NOT FOUND"))</f>
        <v/>
      </c>
      <c r="J1828" s="24" t="str">
        <f aca="false">IF($D1828="","",IFERROR(INDEX(Workers!$C$5:$C$2004,MATCH($D1828,Workers!$A$5:$A$2004,0)),""))</f>
        <v/>
      </c>
      <c r="K1828" s="24" t="str">
        <f aca="false">IF($D1828="","",IFERROR(IF(INDEX(Workers!$D$5:$D$2004,MATCH($D1828,Workers!$A$5:$A$2004,0))=0,"",INDEX(Workers!$D$5:$D$2004,MATCH($D1828,Workers!$A$5:$A$2004,0))),""))</f>
        <v/>
      </c>
      <c r="L1828" s="24" t="str">
        <f aca="false">IF($D1828="","",IFERROR(INDEX(Workers!$E$5:$E$2004,MATCH($D1828,Workers!$A$5:$A$2004,0)),""))</f>
        <v/>
      </c>
      <c r="M1828" s="26" t="str">
        <f aca="false">IF($D1828="","",IFERROR(INDEX(ClientRates!$D$5:$D$500,MATCH($B1828&amp;"|"&amp;$L1828,ClientRates!$A$5:$A$500,0)),0))</f>
        <v/>
      </c>
      <c r="N1828" s="26" t="str">
        <f aca="false">IF($D1828="","",IFERROR(INDEX(ClientRates!$E$5:$E$500,MATCH($B1828&amp;"|"&amp;$L1828,ClientRates!$A$5:$A$500,0)),0))</f>
        <v/>
      </c>
      <c r="O1828" s="26" t="str">
        <f aca="false">IF($D1828="","",F1828*M1828+G1828*N1828)</f>
        <v/>
      </c>
      <c r="P1828" s="26" t="str">
        <f aca="false">IF(OR($D1828="",$J1828&lt;&gt;"Supplier"),"",IFERROR(INDEX(SupplierRates!$D$5:$D$500,MATCH($K1828&amp;"|"&amp;$L1828,SupplierRates!$A$5:$A$500,0)),0))</f>
        <v/>
      </c>
      <c r="Q1828" s="26" t="str">
        <f aca="false">IF(OR($D1828="",$J1828&lt;&gt;"Supplier"),"",IFERROR(INDEX(SupplierRates!$E$5:$E$500,MATCH($K1828&amp;"|"&amp;$L1828,SupplierRates!$A$5:$A$500,0)),0))</f>
        <v/>
      </c>
      <c r="R1828" s="26" t="n">
        <f aca="false">IF(OR($D1828="",$J1828&lt;&gt;"Supplier"),0,F1828*P1828+G1828*Q1828)</f>
        <v>0</v>
      </c>
      <c r="S1828" s="26" t="n">
        <f aca="false">IF(OR($D1828="",$J1828&lt;&gt;"Own"),0,IFERROR((F1828+G1828*Settings!$B$13)*INDEX(Workers!$V$5:$V$2004,MATCH($D1828,Workers!$A$5:$A$2004,0)),0))</f>
        <v>0</v>
      </c>
      <c r="T1828" s="26" t="str">
        <f aca="false">IF($D1828="","",O1828-R1828-S1828)</f>
        <v/>
      </c>
    </row>
    <row r="1829" customFormat="false" ht="15" hidden="false" customHeight="false" outlineLevel="0" collapsed="false">
      <c r="I1829" s="24" t="str">
        <f aca="false">IF($D1829="","",IFERROR(INDEX(Workers!$B$5:$B$2004,MATCH($D1829,Workers!$A$5:$A$2004,0)),"NOT FOUND"))</f>
        <v/>
      </c>
      <c r="J1829" s="24" t="str">
        <f aca="false">IF($D1829="","",IFERROR(INDEX(Workers!$C$5:$C$2004,MATCH($D1829,Workers!$A$5:$A$2004,0)),""))</f>
        <v/>
      </c>
      <c r="K1829" s="24" t="str">
        <f aca="false">IF($D1829="","",IFERROR(IF(INDEX(Workers!$D$5:$D$2004,MATCH($D1829,Workers!$A$5:$A$2004,0))=0,"",INDEX(Workers!$D$5:$D$2004,MATCH($D1829,Workers!$A$5:$A$2004,0))),""))</f>
        <v/>
      </c>
      <c r="L1829" s="24" t="str">
        <f aca="false">IF($D1829="","",IFERROR(INDEX(Workers!$E$5:$E$2004,MATCH($D1829,Workers!$A$5:$A$2004,0)),""))</f>
        <v/>
      </c>
      <c r="M1829" s="26" t="str">
        <f aca="false">IF($D1829="","",IFERROR(INDEX(ClientRates!$D$5:$D$500,MATCH($B1829&amp;"|"&amp;$L1829,ClientRates!$A$5:$A$500,0)),0))</f>
        <v/>
      </c>
      <c r="N1829" s="26" t="str">
        <f aca="false">IF($D1829="","",IFERROR(INDEX(ClientRates!$E$5:$E$500,MATCH($B1829&amp;"|"&amp;$L1829,ClientRates!$A$5:$A$500,0)),0))</f>
        <v/>
      </c>
      <c r="O1829" s="26" t="str">
        <f aca="false">IF($D1829="","",F1829*M1829+G1829*N1829)</f>
        <v/>
      </c>
      <c r="P1829" s="26" t="str">
        <f aca="false">IF(OR($D1829="",$J1829&lt;&gt;"Supplier"),"",IFERROR(INDEX(SupplierRates!$D$5:$D$500,MATCH($K1829&amp;"|"&amp;$L1829,SupplierRates!$A$5:$A$500,0)),0))</f>
        <v/>
      </c>
      <c r="Q1829" s="26" t="str">
        <f aca="false">IF(OR($D1829="",$J1829&lt;&gt;"Supplier"),"",IFERROR(INDEX(SupplierRates!$E$5:$E$500,MATCH($K1829&amp;"|"&amp;$L1829,SupplierRates!$A$5:$A$500,0)),0))</f>
        <v/>
      </c>
      <c r="R1829" s="26" t="n">
        <f aca="false">IF(OR($D1829="",$J1829&lt;&gt;"Supplier"),0,F1829*P1829+G1829*Q1829)</f>
        <v>0</v>
      </c>
      <c r="S1829" s="26" t="n">
        <f aca="false">IF(OR($D1829="",$J1829&lt;&gt;"Own"),0,IFERROR((F1829+G1829*Settings!$B$13)*INDEX(Workers!$V$5:$V$2004,MATCH($D1829,Workers!$A$5:$A$2004,0)),0))</f>
        <v>0</v>
      </c>
      <c r="T1829" s="26" t="str">
        <f aca="false">IF($D1829="","",O1829-R1829-S1829)</f>
        <v/>
      </c>
    </row>
    <row r="1830" customFormat="false" ht="15" hidden="false" customHeight="false" outlineLevel="0" collapsed="false">
      <c r="I1830" s="24" t="str">
        <f aca="false">IF($D1830="","",IFERROR(INDEX(Workers!$B$5:$B$2004,MATCH($D1830,Workers!$A$5:$A$2004,0)),"NOT FOUND"))</f>
        <v/>
      </c>
      <c r="J1830" s="24" t="str">
        <f aca="false">IF($D1830="","",IFERROR(INDEX(Workers!$C$5:$C$2004,MATCH($D1830,Workers!$A$5:$A$2004,0)),""))</f>
        <v/>
      </c>
      <c r="K1830" s="24" t="str">
        <f aca="false">IF($D1830="","",IFERROR(IF(INDEX(Workers!$D$5:$D$2004,MATCH($D1830,Workers!$A$5:$A$2004,0))=0,"",INDEX(Workers!$D$5:$D$2004,MATCH($D1830,Workers!$A$5:$A$2004,0))),""))</f>
        <v/>
      </c>
      <c r="L1830" s="24" t="str">
        <f aca="false">IF($D1830="","",IFERROR(INDEX(Workers!$E$5:$E$2004,MATCH($D1830,Workers!$A$5:$A$2004,0)),""))</f>
        <v/>
      </c>
      <c r="M1830" s="26" t="str">
        <f aca="false">IF($D1830="","",IFERROR(INDEX(ClientRates!$D$5:$D$500,MATCH($B1830&amp;"|"&amp;$L1830,ClientRates!$A$5:$A$500,0)),0))</f>
        <v/>
      </c>
      <c r="N1830" s="26" t="str">
        <f aca="false">IF($D1830="","",IFERROR(INDEX(ClientRates!$E$5:$E$500,MATCH($B1830&amp;"|"&amp;$L1830,ClientRates!$A$5:$A$500,0)),0))</f>
        <v/>
      </c>
      <c r="O1830" s="26" t="str">
        <f aca="false">IF($D1830="","",F1830*M1830+G1830*N1830)</f>
        <v/>
      </c>
      <c r="P1830" s="26" t="str">
        <f aca="false">IF(OR($D1830="",$J1830&lt;&gt;"Supplier"),"",IFERROR(INDEX(SupplierRates!$D$5:$D$500,MATCH($K1830&amp;"|"&amp;$L1830,SupplierRates!$A$5:$A$500,0)),0))</f>
        <v/>
      </c>
      <c r="Q1830" s="26" t="str">
        <f aca="false">IF(OR($D1830="",$J1830&lt;&gt;"Supplier"),"",IFERROR(INDEX(SupplierRates!$E$5:$E$500,MATCH($K1830&amp;"|"&amp;$L1830,SupplierRates!$A$5:$A$500,0)),0))</f>
        <v/>
      </c>
      <c r="R1830" s="26" t="n">
        <f aca="false">IF(OR($D1830="",$J1830&lt;&gt;"Supplier"),0,F1830*P1830+G1830*Q1830)</f>
        <v>0</v>
      </c>
      <c r="S1830" s="26" t="n">
        <f aca="false">IF(OR($D1830="",$J1830&lt;&gt;"Own"),0,IFERROR((F1830+G1830*Settings!$B$13)*INDEX(Workers!$V$5:$V$2004,MATCH($D1830,Workers!$A$5:$A$2004,0)),0))</f>
        <v>0</v>
      </c>
      <c r="T1830" s="26" t="str">
        <f aca="false">IF($D1830="","",O1830-R1830-S1830)</f>
        <v/>
      </c>
    </row>
    <row r="1831" customFormat="false" ht="15" hidden="false" customHeight="false" outlineLevel="0" collapsed="false">
      <c r="I1831" s="24" t="str">
        <f aca="false">IF($D1831="","",IFERROR(INDEX(Workers!$B$5:$B$2004,MATCH($D1831,Workers!$A$5:$A$2004,0)),"NOT FOUND"))</f>
        <v/>
      </c>
      <c r="J1831" s="24" t="str">
        <f aca="false">IF($D1831="","",IFERROR(INDEX(Workers!$C$5:$C$2004,MATCH($D1831,Workers!$A$5:$A$2004,0)),""))</f>
        <v/>
      </c>
      <c r="K1831" s="24" t="str">
        <f aca="false">IF($D1831="","",IFERROR(IF(INDEX(Workers!$D$5:$D$2004,MATCH($D1831,Workers!$A$5:$A$2004,0))=0,"",INDEX(Workers!$D$5:$D$2004,MATCH($D1831,Workers!$A$5:$A$2004,0))),""))</f>
        <v/>
      </c>
      <c r="L1831" s="24" t="str">
        <f aca="false">IF($D1831="","",IFERROR(INDEX(Workers!$E$5:$E$2004,MATCH($D1831,Workers!$A$5:$A$2004,0)),""))</f>
        <v/>
      </c>
      <c r="M1831" s="26" t="str">
        <f aca="false">IF($D1831="","",IFERROR(INDEX(ClientRates!$D$5:$D$500,MATCH($B1831&amp;"|"&amp;$L1831,ClientRates!$A$5:$A$500,0)),0))</f>
        <v/>
      </c>
      <c r="N1831" s="26" t="str">
        <f aca="false">IF($D1831="","",IFERROR(INDEX(ClientRates!$E$5:$E$500,MATCH($B1831&amp;"|"&amp;$L1831,ClientRates!$A$5:$A$500,0)),0))</f>
        <v/>
      </c>
      <c r="O1831" s="26" t="str">
        <f aca="false">IF($D1831="","",F1831*M1831+G1831*N1831)</f>
        <v/>
      </c>
      <c r="P1831" s="26" t="str">
        <f aca="false">IF(OR($D1831="",$J1831&lt;&gt;"Supplier"),"",IFERROR(INDEX(SupplierRates!$D$5:$D$500,MATCH($K1831&amp;"|"&amp;$L1831,SupplierRates!$A$5:$A$500,0)),0))</f>
        <v/>
      </c>
      <c r="Q1831" s="26" t="str">
        <f aca="false">IF(OR($D1831="",$J1831&lt;&gt;"Supplier"),"",IFERROR(INDEX(SupplierRates!$E$5:$E$500,MATCH($K1831&amp;"|"&amp;$L1831,SupplierRates!$A$5:$A$500,0)),0))</f>
        <v/>
      </c>
      <c r="R1831" s="26" t="n">
        <f aca="false">IF(OR($D1831="",$J1831&lt;&gt;"Supplier"),0,F1831*P1831+G1831*Q1831)</f>
        <v>0</v>
      </c>
      <c r="S1831" s="26" t="n">
        <f aca="false">IF(OR($D1831="",$J1831&lt;&gt;"Own"),0,IFERROR((F1831+G1831*Settings!$B$13)*INDEX(Workers!$V$5:$V$2004,MATCH($D1831,Workers!$A$5:$A$2004,0)),0))</f>
        <v>0</v>
      </c>
      <c r="T1831" s="26" t="str">
        <f aca="false">IF($D1831="","",O1831-R1831-S1831)</f>
        <v/>
      </c>
    </row>
    <row r="1832" customFormat="false" ht="15" hidden="false" customHeight="false" outlineLevel="0" collapsed="false">
      <c r="I1832" s="24" t="str">
        <f aca="false">IF($D1832="","",IFERROR(INDEX(Workers!$B$5:$B$2004,MATCH($D1832,Workers!$A$5:$A$2004,0)),"NOT FOUND"))</f>
        <v/>
      </c>
      <c r="J1832" s="24" t="str">
        <f aca="false">IF($D1832="","",IFERROR(INDEX(Workers!$C$5:$C$2004,MATCH($D1832,Workers!$A$5:$A$2004,0)),""))</f>
        <v/>
      </c>
      <c r="K1832" s="24" t="str">
        <f aca="false">IF($D1832="","",IFERROR(IF(INDEX(Workers!$D$5:$D$2004,MATCH($D1832,Workers!$A$5:$A$2004,0))=0,"",INDEX(Workers!$D$5:$D$2004,MATCH($D1832,Workers!$A$5:$A$2004,0))),""))</f>
        <v/>
      </c>
      <c r="L1832" s="24" t="str">
        <f aca="false">IF($D1832="","",IFERROR(INDEX(Workers!$E$5:$E$2004,MATCH($D1832,Workers!$A$5:$A$2004,0)),""))</f>
        <v/>
      </c>
      <c r="M1832" s="26" t="str">
        <f aca="false">IF($D1832="","",IFERROR(INDEX(ClientRates!$D$5:$D$500,MATCH($B1832&amp;"|"&amp;$L1832,ClientRates!$A$5:$A$500,0)),0))</f>
        <v/>
      </c>
      <c r="N1832" s="26" t="str">
        <f aca="false">IF($D1832="","",IFERROR(INDEX(ClientRates!$E$5:$E$500,MATCH($B1832&amp;"|"&amp;$L1832,ClientRates!$A$5:$A$500,0)),0))</f>
        <v/>
      </c>
      <c r="O1832" s="26" t="str">
        <f aca="false">IF($D1832="","",F1832*M1832+G1832*N1832)</f>
        <v/>
      </c>
      <c r="P1832" s="26" t="str">
        <f aca="false">IF(OR($D1832="",$J1832&lt;&gt;"Supplier"),"",IFERROR(INDEX(SupplierRates!$D$5:$D$500,MATCH($K1832&amp;"|"&amp;$L1832,SupplierRates!$A$5:$A$500,0)),0))</f>
        <v/>
      </c>
      <c r="Q1832" s="26" t="str">
        <f aca="false">IF(OR($D1832="",$J1832&lt;&gt;"Supplier"),"",IFERROR(INDEX(SupplierRates!$E$5:$E$500,MATCH($K1832&amp;"|"&amp;$L1832,SupplierRates!$A$5:$A$500,0)),0))</f>
        <v/>
      </c>
      <c r="R1832" s="26" t="n">
        <f aca="false">IF(OR($D1832="",$J1832&lt;&gt;"Supplier"),0,F1832*P1832+G1832*Q1832)</f>
        <v>0</v>
      </c>
      <c r="S1832" s="26" t="n">
        <f aca="false">IF(OR($D1832="",$J1832&lt;&gt;"Own"),0,IFERROR((F1832+G1832*Settings!$B$13)*INDEX(Workers!$V$5:$V$2004,MATCH($D1832,Workers!$A$5:$A$2004,0)),0))</f>
        <v>0</v>
      </c>
      <c r="T1832" s="26" t="str">
        <f aca="false">IF($D1832="","",O1832-R1832-S1832)</f>
        <v/>
      </c>
    </row>
    <row r="1833" customFormat="false" ht="15" hidden="false" customHeight="false" outlineLevel="0" collapsed="false">
      <c r="I1833" s="24" t="str">
        <f aca="false">IF($D1833="","",IFERROR(INDEX(Workers!$B$5:$B$2004,MATCH($D1833,Workers!$A$5:$A$2004,0)),"NOT FOUND"))</f>
        <v/>
      </c>
      <c r="J1833" s="24" t="str">
        <f aca="false">IF($D1833="","",IFERROR(INDEX(Workers!$C$5:$C$2004,MATCH($D1833,Workers!$A$5:$A$2004,0)),""))</f>
        <v/>
      </c>
      <c r="K1833" s="24" t="str">
        <f aca="false">IF($D1833="","",IFERROR(IF(INDEX(Workers!$D$5:$D$2004,MATCH($D1833,Workers!$A$5:$A$2004,0))=0,"",INDEX(Workers!$D$5:$D$2004,MATCH($D1833,Workers!$A$5:$A$2004,0))),""))</f>
        <v/>
      </c>
      <c r="L1833" s="24" t="str">
        <f aca="false">IF($D1833="","",IFERROR(INDEX(Workers!$E$5:$E$2004,MATCH($D1833,Workers!$A$5:$A$2004,0)),""))</f>
        <v/>
      </c>
      <c r="M1833" s="26" t="str">
        <f aca="false">IF($D1833="","",IFERROR(INDEX(ClientRates!$D$5:$D$500,MATCH($B1833&amp;"|"&amp;$L1833,ClientRates!$A$5:$A$500,0)),0))</f>
        <v/>
      </c>
      <c r="N1833" s="26" t="str">
        <f aca="false">IF($D1833="","",IFERROR(INDEX(ClientRates!$E$5:$E$500,MATCH($B1833&amp;"|"&amp;$L1833,ClientRates!$A$5:$A$500,0)),0))</f>
        <v/>
      </c>
      <c r="O1833" s="26" t="str">
        <f aca="false">IF($D1833="","",F1833*M1833+G1833*N1833)</f>
        <v/>
      </c>
      <c r="P1833" s="26" t="str">
        <f aca="false">IF(OR($D1833="",$J1833&lt;&gt;"Supplier"),"",IFERROR(INDEX(SupplierRates!$D$5:$D$500,MATCH($K1833&amp;"|"&amp;$L1833,SupplierRates!$A$5:$A$500,0)),0))</f>
        <v/>
      </c>
      <c r="Q1833" s="26" t="str">
        <f aca="false">IF(OR($D1833="",$J1833&lt;&gt;"Supplier"),"",IFERROR(INDEX(SupplierRates!$E$5:$E$500,MATCH($K1833&amp;"|"&amp;$L1833,SupplierRates!$A$5:$A$500,0)),0))</f>
        <v/>
      </c>
      <c r="R1833" s="26" t="n">
        <f aca="false">IF(OR($D1833="",$J1833&lt;&gt;"Supplier"),0,F1833*P1833+G1833*Q1833)</f>
        <v>0</v>
      </c>
      <c r="S1833" s="26" t="n">
        <f aca="false">IF(OR($D1833="",$J1833&lt;&gt;"Own"),0,IFERROR((F1833+G1833*Settings!$B$13)*INDEX(Workers!$V$5:$V$2004,MATCH($D1833,Workers!$A$5:$A$2004,0)),0))</f>
        <v>0</v>
      </c>
      <c r="T1833" s="26" t="str">
        <f aca="false">IF($D1833="","",O1833-R1833-S1833)</f>
        <v/>
      </c>
    </row>
    <row r="1834" customFormat="false" ht="15" hidden="false" customHeight="false" outlineLevel="0" collapsed="false">
      <c r="I1834" s="24" t="str">
        <f aca="false">IF($D1834="","",IFERROR(INDEX(Workers!$B$5:$B$2004,MATCH($D1834,Workers!$A$5:$A$2004,0)),"NOT FOUND"))</f>
        <v/>
      </c>
      <c r="J1834" s="24" t="str">
        <f aca="false">IF($D1834="","",IFERROR(INDEX(Workers!$C$5:$C$2004,MATCH($D1834,Workers!$A$5:$A$2004,0)),""))</f>
        <v/>
      </c>
      <c r="K1834" s="24" t="str">
        <f aca="false">IF($D1834="","",IFERROR(IF(INDEX(Workers!$D$5:$D$2004,MATCH($D1834,Workers!$A$5:$A$2004,0))=0,"",INDEX(Workers!$D$5:$D$2004,MATCH($D1834,Workers!$A$5:$A$2004,0))),""))</f>
        <v/>
      </c>
      <c r="L1834" s="24" t="str">
        <f aca="false">IF($D1834="","",IFERROR(INDEX(Workers!$E$5:$E$2004,MATCH($D1834,Workers!$A$5:$A$2004,0)),""))</f>
        <v/>
      </c>
      <c r="M1834" s="26" t="str">
        <f aca="false">IF($D1834="","",IFERROR(INDEX(ClientRates!$D$5:$D$500,MATCH($B1834&amp;"|"&amp;$L1834,ClientRates!$A$5:$A$500,0)),0))</f>
        <v/>
      </c>
      <c r="N1834" s="26" t="str">
        <f aca="false">IF($D1834="","",IFERROR(INDEX(ClientRates!$E$5:$E$500,MATCH($B1834&amp;"|"&amp;$L1834,ClientRates!$A$5:$A$500,0)),0))</f>
        <v/>
      </c>
      <c r="O1834" s="26" t="str">
        <f aca="false">IF($D1834="","",F1834*M1834+G1834*N1834)</f>
        <v/>
      </c>
      <c r="P1834" s="26" t="str">
        <f aca="false">IF(OR($D1834="",$J1834&lt;&gt;"Supplier"),"",IFERROR(INDEX(SupplierRates!$D$5:$D$500,MATCH($K1834&amp;"|"&amp;$L1834,SupplierRates!$A$5:$A$500,0)),0))</f>
        <v/>
      </c>
      <c r="Q1834" s="26" t="str">
        <f aca="false">IF(OR($D1834="",$J1834&lt;&gt;"Supplier"),"",IFERROR(INDEX(SupplierRates!$E$5:$E$500,MATCH($K1834&amp;"|"&amp;$L1834,SupplierRates!$A$5:$A$500,0)),0))</f>
        <v/>
      </c>
      <c r="R1834" s="26" t="n">
        <f aca="false">IF(OR($D1834="",$J1834&lt;&gt;"Supplier"),0,F1834*P1834+G1834*Q1834)</f>
        <v>0</v>
      </c>
      <c r="S1834" s="26" t="n">
        <f aca="false">IF(OR($D1834="",$J1834&lt;&gt;"Own"),0,IFERROR((F1834+G1834*Settings!$B$13)*INDEX(Workers!$V$5:$V$2004,MATCH($D1834,Workers!$A$5:$A$2004,0)),0))</f>
        <v>0</v>
      </c>
      <c r="T1834" s="26" t="str">
        <f aca="false">IF($D1834="","",O1834-R1834-S1834)</f>
        <v/>
      </c>
    </row>
    <row r="1835" customFormat="false" ht="15" hidden="false" customHeight="false" outlineLevel="0" collapsed="false">
      <c r="I1835" s="24" t="str">
        <f aca="false">IF($D1835="","",IFERROR(INDEX(Workers!$B$5:$B$2004,MATCH($D1835,Workers!$A$5:$A$2004,0)),"NOT FOUND"))</f>
        <v/>
      </c>
      <c r="J1835" s="24" t="str">
        <f aca="false">IF($D1835="","",IFERROR(INDEX(Workers!$C$5:$C$2004,MATCH($D1835,Workers!$A$5:$A$2004,0)),""))</f>
        <v/>
      </c>
      <c r="K1835" s="24" t="str">
        <f aca="false">IF($D1835="","",IFERROR(IF(INDEX(Workers!$D$5:$D$2004,MATCH($D1835,Workers!$A$5:$A$2004,0))=0,"",INDEX(Workers!$D$5:$D$2004,MATCH($D1835,Workers!$A$5:$A$2004,0))),""))</f>
        <v/>
      </c>
      <c r="L1835" s="24" t="str">
        <f aca="false">IF($D1835="","",IFERROR(INDEX(Workers!$E$5:$E$2004,MATCH($D1835,Workers!$A$5:$A$2004,0)),""))</f>
        <v/>
      </c>
      <c r="M1835" s="26" t="str">
        <f aca="false">IF($D1835="","",IFERROR(INDEX(ClientRates!$D$5:$D$500,MATCH($B1835&amp;"|"&amp;$L1835,ClientRates!$A$5:$A$500,0)),0))</f>
        <v/>
      </c>
      <c r="N1835" s="26" t="str">
        <f aca="false">IF($D1835="","",IFERROR(INDEX(ClientRates!$E$5:$E$500,MATCH($B1835&amp;"|"&amp;$L1835,ClientRates!$A$5:$A$500,0)),0))</f>
        <v/>
      </c>
      <c r="O1835" s="26" t="str">
        <f aca="false">IF($D1835="","",F1835*M1835+G1835*N1835)</f>
        <v/>
      </c>
      <c r="P1835" s="26" t="str">
        <f aca="false">IF(OR($D1835="",$J1835&lt;&gt;"Supplier"),"",IFERROR(INDEX(SupplierRates!$D$5:$D$500,MATCH($K1835&amp;"|"&amp;$L1835,SupplierRates!$A$5:$A$500,0)),0))</f>
        <v/>
      </c>
      <c r="Q1835" s="26" t="str">
        <f aca="false">IF(OR($D1835="",$J1835&lt;&gt;"Supplier"),"",IFERROR(INDEX(SupplierRates!$E$5:$E$500,MATCH($K1835&amp;"|"&amp;$L1835,SupplierRates!$A$5:$A$500,0)),0))</f>
        <v/>
      </c>
      <c r="R1835" s="26" t="n">
        <f aca="false">IF(OR($D1835="",$J1835&lt;&gt;"Supplier"),0,F1835*P1835+G1835*Q1835)</f>
        <v>0</v>
      </c>
      <c r="S1835" s="26" t="n">
        <f aca="false">IF(OR($D1835="",$J1835&lt;&gt;"Own"),0,IFERROR((F1835+G1835*Settings!$B$13)*INDEX(Workers!$V$5:$V$2004,MATCH($D1835,Workers!$A$5:$A$2004,0)),0))</f>
        <v>0</v>
      </c>
      <c r="T1835" s="26" t="str">
        <f aca="false">IF($D1835="","",O1835-R1835-S1835)</f>
        <v/>
      </c>
    </row>
    <row r="1836" customFormat="false" ht="15" hidden="false" customHeight="false" outlineLevel="0" collapsed="false">
      <c r="I1836" s="24" t="str">
        <f aca="false">IF($D1836="","",IFERROR(INDEX(Workers!$B$5:$B$2004,MATCH($D1836,Workers!$A$5:$A$2004,0)),"NOT FOUND"))</f>
        <v/>
      </c>
      <c r="J1836" s="24" t="str">
        <f aca="false">IF($D1836="","",IFERROR(INDEX(Workers!$C$5:$C$2004,MATCH($D1836,Workers!$A$5:$A$2004,0)),""))</f>
        <v/>
      </c>
      <c r="K1836" s="24" t="str">
        <f aca="false">IF($D1836="","",IFERROR(IF(INDEX(Workers!$D$5:$D$2004,MATCH($D1836,Workers!$A$5:$A$2004,0))=0,"",INDEX(Workers!$D$5:$D$2004,MATCH($D1836,Workers!$A$5:$A$2004,0))),""))</f>
        <v/>
      </c>
      <c r="L1836" s="24" t="str">
        <f aca="false">IF($D1836="","",IFERROR(INDEX(Workers!$E$5:$E$2004,MATCH($D1836,Workers!$A$5:$A$2004,0)),""))</f>
        <v/>
      </c>
      <c r="M1836" s="26" t="str">
        <f aca="false">IF($D1836="","",IFERROR(INDEX(ClientRates!$D$5:$D$500,MATCH($B1836&amp;"|"&amp;$L1836,ClientRates!$A$5:$A$500,0)),0))</f>
        <v/>
      </c>
      <c r="N1836" s="26" t="str">
        <f aca="false">IF($D1836="","",IFERROR(INDEX(ClientRates!$E$5:$E$500,MATCH($B1836&amp;"|"&amp;$L1836,ClientRates!$A$5:$A$500,0)),0))</f>
        <v/>
      </c>
      <c r="O1836" s="26" t="str">
        <f aca="false">IF($D1836="","",F1836*M1836+G1836*N1836)</f>
        <v/>
      </c>
      <c r="P1836" s="26" t="str">
        <f aca="false">IF(OR($D1836="",$J1836&lt;&gt;"Supplier"),"",IFERROR(INDEX(SupplierRates!$D$5:$D$500,MATCH($K1836&amp;"|"&amp;$L1836,SupplierRates!$A$5:$A$500,0)),0))</f>
        <v/>
      </c>
      <c r="Q1836" s="26" t="str">
        <f aca="false">IF(OR($D1836="",$J1836&lt;&gt;"Supplier"),"",IFERROR(INDEX(SupplierRates!$E$5:$E$500,MATCH($K1836&amp;"|"&amp;$L1836,SupplierRates!$A$5:$A$500,0)),0))</f>
        <v/>
      </c>
      <c r="R1836" s="26" t="n">
        <f aca="false">IF(OR($D1836="",$J1836&lt;&gt;"Supplier"),0,F1836*P1836+G1836*Q1836)</f>
        <v>0</v>
      </c>
      <c r="S1836" s="26" t="n">
        <f aca="false">IF(OR($D1836="",$J1836&lt;&gt;"Own"),0,IFERROR((F1836+G1836*Settings!$B$13)*INDEX(Workers!$V$5:$V$2004,MATCH($D1836,Workers!$A$5:$A$2004,0)),0))</f>
        <v>0</v>
      </c>
      <c r="T1836" s="26" t="str">
        <f aca="false">IF($D1836="","",O1836-R1836-S1836)</f>
        <v/>
      </c>
    </row>
    <row r="1837" customFormat="false" ht="15" hidden="false" customHeight="false" outlineLevel="0" collapsed="false">
      <c r="I1837" s="24" t="str">
        <f aca="false">IF($D1837="","",IFERROR(INDEX(Workers!$B$5:$B$2004,MATCH($D1837,Workers!$A$5:$A$2004,0)),"NOT FOUND"))</f>
        <v/>
      </c>
      <c r="J1837" s="24" t="str">
        <f aca="false">IF($D1837="","",IFERROR(INDEX(Workers!$C$5:$C$2004,MATCH($D1837,Workers!$A$5:$A$2004,0)),""))</f>
        <v/>
      </c>
      <c r="K1837" s="24" t="str">
        <f aca="false">IF($D1837="","",IFERROR(IF(INDEX(Workers!$D$5:$D$2004,MATCH($D1837,Workers!$A$5:$A$2004,0))=0,"",INDEX(Workers!$D$5:$D$2004,MATCH($D1837,Workers!$A$5:$A$2004,0))),""))</f>
        <v/>
      </c>
      <c r="L1837" s="24" t="str">
        <f aca="false">IF($D1837="","",IFERROR(INDEX(Workers!$E$5:$E$2004,MATCH($D1837,Workers!$A$5:$A$2004,0)),""))</f>
        <v/>
      </c>
      <c r="M1837" s="26" t="str">
        <f aca="false">IF($D1837="","",IFERROR(INDEX(ClientRates!$D$5:$D$500,MATCH($B1837&amp;"|"&amp;$L1837,ClientRates!$A$5:$A$500,0)),0))</f>
        <v/>
      </c>
      <c r="N1837" s="26" t="str">
        <f aca="false">IF($D1837="","",IFERROR(INDEX(ClientRates!$E$5:$E$500,MATCH($B1837&amp;"|"&amp;$L1837,ClientRates!$A$5:$A$500,0)),0))</f>
        <v/>
      </c>
      <c r="O1837" s="26" t="str">
        <f aca="false">IF($D1837="","",F1837*M1837+G1837*N1837)</f>
        <v/>
      </c>
      <c r="P1837" s="26" t="str">
        <f aca="false">IF(OR($D1837="",$J1837&lt;&gt;"Supplier"),"",IFERROR(INDEX(SupplierRates!$D$5:$D$500,MATCH($K1837&amp;"|"&amp;$L1837,SupplierRates!$A$5:$A$500,0)),0))</f>
        <v/>
      </c>
      <c r="Q1837" s="26" t="str">
        <f aca="false">IF(OR($D1837="",$J1837&lt;&gt;"Supplier"),"",IFERROR(INDEX(SupplierRates!$E$5:$E$500,MATCH($K1837&amp;"|"&amp;$L1837,SupplierRates!$A$5:$A$500,0)),0))</f>
        <v/>
      </c>
      <c r="R1837" s="26" t="n">
        <f aca="false">IF(OR($D1837="",$J1837&lt;&gt;"Supplier"),0,F1837*P1837+G1837*Q1837)</f>
        <v>0</v>
      </c>
      <c r="S1837" s="26" t="n">
        <f aca="false">IF(OR($D1837="",$J1837&lt;&gt;"Own"),0,IFERROR((F1837+G1837*Settings!$B$13)*INDEX(Workers!$V$5:$V$2004,MATCH($D1837,Workers!$A$5:$A$2004,0)),0))</f>
        <v>0</v>
      </c>
      <c r="T1837" s="26" t="str">
        <f aca="false">IF($D1837="","",O1837-R1837-S1837)</f>
        <v/>
      </c>
    </row>
    <row r="1838" customFormat="false" ht="15" hidden="false" customHeight="false" outlineLevel="0" collapsed="false">
      <c r="I1838" s="24" t="str">
        <f aca="false">IF($D1838="","",IFERROR(INDEX(Workers!$B$5:$B$2004,MATCH($D1838,Workers!$A$5:$A$2004,0)),"NOT FOUND"))</f>
        <v/>
      </c>
      <c r="J1838" s="24" t="str">
        <f aca="false">IF($D1838="","",IFERROR(INDEX(Workers!$C$5:$C$2004,MATCH($D1838,Workers!$A$5:$A$2004,0)),""))</f>
        <v/>
      </c>
      <c r="K1838" s="24" t="str">
        <f aca="false">IF($D1838="","",IFERROR(IF(INDEX(Workers!$D$5:$D$2004,MATCH($D1838,Workers!$A$5:$A$2004,0))=0,"",INDEX(Workers!$D$5:$D$2004,MATCH($D1838,Workers!$A$5:$A$2004,0))),""))</f>
        <v/>
      </c>
      <c r="L1838" s="24" t="str">
        <f aca="false">IF($D1838="","",IFERROR(INDEX(Workers!$E$5:$E$2004,MATCH($D1838,Workers!$A$5:$A$2004,0)),""))</f>
        <v/>
      </c>
      <c r="M1838" s="26" t="str">
        <f aca="false">IF($D1838="","",IFERROR(INDEX(ClientRates!$D$5:$D$500,MATCH($B1838&amp;"|"&amp;$L1838,ClientRates!$A$5:$A$500,0)),0))</f>
        <v/>
      </c>
      <c r="N1838" s="26" t="str">
        <f aca="false">IF($D1838="","",IFERROR(INDEX(ClientRates!$E$5:$E$500,MATCH($B1838&amp;"|"&amp;$L1838,ClientRates!$A$5:$A$500,0)),0))</f>
        <v/>
      </c>
      <c r="O1838" s="26" t="str">
        <f aca="false">IF($D1838="","",F1838*M1838+G1838*N1838)</f>
        <v/>
      </c>
      <c r="P1838" s="26" t="str">
        <f aca="false">IF(OR($D1838="",$J1838&lt;&gt;"Supplier"),"",IFERROR(INDEX(SupplierRates!$D$5:$D$500,MATCH($K1838&amp;"|"&amp;$L1838,SupplierRates!$A$5:$A$500,0)),0))</f>
        <v/>
      </c>
      <c r="Q1838" s="26" t="str">
        <f aca="false">IF(OR($D1838="",$J1838&lt;&gt;"Supplier"),"",IFERROR(INDEX(SupplierRates!$E$5:$E$500,MATCH($K1838&amp;"|"&amp;$L1838,SupplierRates!$A$5:$A$500,0)),0))</f>
        <v/>
      </c>
      <c r="R1838" s="26" t="n">
        <f aca="false">IF(OR($D1838="",$J1838&lt;&gt;"Supplier"),0,F1838*P1838+G1838*Q1838)</f>
        <v>0</v>
      </c>
      <c r="S1838" s="26" t="n">
        <f aca="false">IF(OR($D1838="",$J1838&lt;&gt;"Own"),0,IFERROR((F1838+G1838*Settings!$B$13)*INDEX(Workers!$V$5:$V$2004,MATCH($D1838,Workers!$A$5:$A$2004,0)),0))</f>
        <v>0</v>
      </c>
      <c r="T1838" s="26" t="str">
        <f aca="false">IF($D1838="","",O1838-R1838-S1838)</f>
        <v/>
      </c>
    </row>
    <row r="1839" customFormat="false" ht="15" hidden="false" customHeight="false" outlineLevel="0" collapsed="false">
      <c r="I1839" s="24" t="str">
        <f aca="false">IF($D1839="","",IFERROR(INDEX(Workers!$B$5:$B$2004,MATCH($D1839,Workers!$A$5:$A$2004,0)),"NOT FOUND"))</f>
        <v/>
      </c>
      <c r="J1839" s="24" t="str">
        <f aca="false">IF($D1839="","",IFERROR(INDEX(Workers!$C$5:$C$2004,MATCH($D1839,Workers!$A$5:$A$2004,0)),""))</f>
        <v/>
      </c>
      <c r="K1839" s="24" t="str">
        <f aca="false">IF($D1839="","",IFERROR(IF(INDEX(Workers!$D$5:$D$2004,MATCH($D1839,Workers!$A$5:$A$2004,0))=0,"",INDEX(Workers!$D$5:$D$2004,MATCH($D1839,Workers!$A$5:$A$2004,0))),""))</f>
        <v/>
      </c>
      <c r="L1839" s="24" t="str">
        <f aca="false">IF($D1839="","",IFERROR(INDEX(Workers!$E$5:$E$2004,MATCH($D1839,Workers!$A$5:$A$2004,0)),""))</f>
        <v/>
      </c>
      <c r="M1839" s="26" t="str">
        <f aca="false">IF($D1839="","",IFERROR(INDEX(ClientRates!$D$5:$D$500,MATCH($B1839&amp;"|"&amp;$L1839,ClientRates!$A$5:$A$500,0)),0))</f>
        <v/>
      </c>
      <c r="N1839" s="26" t="str">
        <f aca="false">IF($D1839="","",IFERROR(INDEX(ClientRates!$E$5:$E$500,MATCH($B1839&amp;"|"&amp;$L1839,ClientRates!$A$5:$A$500,0)),0))</f>
        <v/>
      </c>
      <c r="O1839" s="26" t="str">
        <f aca="false">IF($D1839="","",F1839*M1839+G1839*N1839)</f>
        <v/>
      </c>
      <c r="P1839" s="26" t="str">
        <f aca="false">IF(OR($D1839="",$J1839&lt;&gt;"Supplier"),"",IFERROR(INDEX(SupplierRates!$D$5:$D$500,MATCH($K1839&amp;"|"&amp;$L1839,SupplierRates!$A$5:$A$500,0)),0))</f>
        <v/>
      </c>
      <c r="Q1839" s="26" t="str">
        <f aca="false">IF(OR($D1839="",$J1839&lt;&gt;"Supplier"),"",IFERROR(INDEX(SupplierRates!$E$5:$E$500,MATCH($K1839&amp;"|"&amp;$L1839,SupplierRates!$A$5:$A$500,0)),0))</f>
        <v/>
      </c>
      <c r="R1839" s="26" t="n">
        <f aca="false">IF(OR($D1839="",$J1839&lt;&gt;"Supplier"),0,F1839*P1839+G1839*Q1839)</f>
        <v>0</v>
      </c>
      <c r="S1839" s="26" t="n">
        <f aca="false">IF(OR($D1839="",$J1839&lt;&gt;"Own"),0,IFERROR((F1839+G1839*Settings!$B$13)*INDEX(Workers!$V$5:$V$2004,MATCH($D1839,Workers!$A$5:$A$2004,0)),0))</f>
        <v>0</v>
      </c>
      <c r="T1839" s="26" t="str">
        <f aca="false">IF($D1839="","",O1839-R1839-S1839)</f>
        <v/>
      </c>
    </row>
    <row r="1840" customFormat="false" ht="15" hidden="false" customHeight="false" outlineLevel="0" collapsed="false">
      <c r="I1840" s="24" t="str">
        <f aca="false">IF($D1840="","",IFERROR(INDEX(Workers!$B$5:$B$2004,MATCH($D1840,Workers!$A$5:$A$2004,0)),"NOT FOUND"))</f>
        <v/>
      </c>
      <c r="J1840" s="24" t="str">
        <f aca="false">IF($D1840="","",IFERROR(INDEX(Workers!$C$5:$C$2004,MATCH($D1840,Workers!$A$5:$A$2004,0)),""))</f>
        <v/>
      </c>
      <c r="K1840" s="24" t="str">
        <f aca="false">IF($D1840="","",IFERROR(IF(INDEX(Workers!$D$5:$D$2004,MATCH($D1840,Workers!$A$5:$A$2004,0))=0,"",INDEX(Workers!$D$5:$D$2004,MATCH($D1840,Workers!$A$5:$A$2004,0))),""))</f>
        <v/>
      </c>
      <c r="L1840" s="24" t="str">
        <f aca="false">IF($D1840="","",IFERROR(INDEX(Workers!$E$5:$E$2004,MATCH($D1840,Workers!$A$5:$A$2004,0)),""))</f>
        <v/>
      </c>
      <c r="M1840" s="26" t="str">
        <f aca="false">IF($D1840="","",IFERROR(INDEX(ClientRates!$D$5:$D$500,MATCH($B1840&amp;"|"&amp;$L1840,ClientRates!$A$5:$A$500,0)),0))</f>
        <v/>
      </c>
      <c r="N1840" s="26" t="str">
        <f aca="false">IF($D1840="","",IFERROR(INDEX(ClientRates!$E$5:$E$500,MATCH($B1840&amp;"|"&amp;$L1840,ClientRates!$A$5:$A$500,0)),0))</f>
        <v/>
      </c>
      <c r="O1840" s="26" t="str">
        <f aca="false">IF($D1840="","",F1840*M1840+G1840*N1840)</f>
        <v/>
      </c>
      <c r="P1840" s="26" t="str">
        <f aca="false">IF(OR($D1840="",$J1840&lt;&gt;"Supplier"),"",IFERROR(INDEX(SupplierRates!$D$5:$D$500,MATCH($K1840&amp;"|"&amp;$L1840,SupplierRates!$A$5:$A$500,0)),0))</f>
        <v/>
      </c>
      <c r="Q1840" s="26" t="str">
        <f aca="false">IF(OR($D1840="",$J1840&lt;&gt;"Supplier"),"",IFERROR(INDEX(SupplierRates!$E$5:$E$500,MATCH($K1840&amp;"|"&amp;$L1840,SupplierRates!$A$5:$A$500,0)),0))</f>
        <v/>
      </c>
      <c r="R1840" s="26" t="n">
        <f aca="false">IF(OR($D1840="",$J1840&lt;&gt;"Supplier"),0,F1840*P1840+G1840*Q1840)</f>
        <v>0</v>
      </c>
      <c r="S1840" s="26" t="n">
        <f aca="false">IF(OR($D1840="",$J1840&lt;&gt;"Own"),0,IFERROR((F1840+G1840*Settings!$B$13)*INDEX(Workers!$V$5:$V$2004,MATCH($D1840,Workers!$A$5:$A$2004,0)),0))</f>
        <v>0</v>
      </c>
      <c r="T1840" s="26" t="str">
        <f aca="false">IF($D1840="","",O1840-R1840-S1840)</f>
        <v/>
      </c>
    </row>
    <row r="1841" customFormat="false" ht="15" hidden="false" customHeight="false" outlineLevel="0" collapsed="false">
      <c r="I1841" s="24" t="str">
        <f aca="false">IF($D1841="","",IFERROR(INDEX(Workers!$B$5:$B$2004,MATCH($D1841,Workers!$A$5:$A$2004,0)),"NOT FOUND"))</f>
        <v/>
      </c>
      <c r="J1841" s="24" t="str">
        <f aca="false">IF($D1841="","",IFERROR(INDEX(Workers!$C$5:$C$2004,MATCH($D1841,Workers!$A$5:$A$2004,0)),""))</f>
        <v/>
      </c>
      <c r="K1841" s="24" t="str">
        <f aca="false">IF($D1841="","",IFERROR(IF(INDEX(Workers!$D$5:$D$2004,MATCH($D1841,Workers!$A$5:$A$2004,0))=0,"",INDEX(Workers!$D$5:$D$2004,MATCH($D1841,Workers!$A$5:$A$2004,0))),""))</f>
        <v/>
      </c>
      <c r="L1841" s="24" t="str">
        <f aca="false">IF($D1841="","",IFERROR(INDEX(Workers!$E$5:$E$2004,MATCH($D1841,Workers!$A$5:$A$2004,0)),""))</f>
        <v/>
      </c>
      <c r="M1841" s="26" t="str">
        <f aca="false">IF($D1841="","",IFERROR(INDEX(ClientRates!$D$5:$D$500,MATCH($B1841&amp;"|"&amp;$L1841,ClientRates!$A$5:$A$500,0)),0))</f>
        <v/>
      </c>
      <c r="N1841" s="26" t="str">
        <f aca="false">IF($D1841="","",IFERROR(INDEX(ClientRates!$E$5:$E$500,MATCH($B1841&amp;"|"&amp;$L1841,ClientRates!$A$5:$A$500,0)),0))</f>
        <v/>
      </c>
      <c r="O1841" s="26" t="str">
        <f aca="false">IF($D1841="","",F1841*M1841+G1841*N1841)</f>
        <v/>
      </c>
      <c r="P1841" s="26" t="str">
        <f aca="false">IF(OR($D1841="",$J1841&lt;&gt;"Supplier"),"",IFERROR(INDEX(SupplierRates!$D$5:$D$500,MATCH($K1841&amp;"|"&amp;$L1841,SupplierRates!$A$5:$A$500,0)),0))</f>
        <v/>
      </c>
      <c r="Q1841" s="26" t="str">
        <f aca="false">IF(OR($D1841="",$J1841&lt;&gt;"Supplier"),"",IFERROR(INDEX(SupplierRates!$E$5:$E$500,MATCH($K1841&amp;"|"&amp;$L1841,SupplierRates!$A$5:$A$500,0)),0))</f>
        <v/>
      </c>
      <c r="R1841" s="26" t="n">
        <f aca="false">IF(OR($D1841="",$J1841&lt;&gt;"Supplier"),0,F1841*P1841+G1841*Q1841)</f>
        <v>0</v>
      </c>
      <c r="S1841" s="26" t="n">
        <f aca="false">IF(OR($D1841="",$J1841&lt;&gt;"Own"),0,IFERROR((F1841+G1841*Settings!$B$13)*INDEX(Workers!$V$5:$V$2004,MATCH($D1841,Workers!$A$5:$A$2004,0)),0))</f>
        <v>0</v>
      </c>
      <c r="T1841" s="26" t="str">
        <f aca="false">IF($D1841="","",O1841-R1841-S1841)</f>
        <v/>
      </c>
    </row>
    <row r="1842" customFormat="false" ht="15" hidden="false" customHeight="false" outlineLevel="0" collapsed="false">
      <c r="I1842" s="24" t="str">
        <f aca="false">IF($D1842="","",IFERROR(INDEX(Workers!$B$5:$B$2004,MATCH($D1842,Workers!$A$5:$A$2004,0)),"NOT FOUND"))</f>
        <v/>
      </c>
      <c r="J1842" s="24" t="str">
        <f aca="false">IF($D1842="","",IFERROR(INDEX(Workers!$C$5:$C$2004,MATCH($D1842,Workers!$A$5:$A$2004,0)),""))</f>
        <v/>
      </c>
      <c r="K1842" s="24" t="str">
        <f aca="false">IF($D1842="","",IFERROR(IF(INDEX(Workers!$D$5:$D$2004,MATCH($D1842,Workers!$A$5:$A$2004,0))=0,"",INDEX(Workers!$D$5:$D$2004,MATCH($D1842,Workers!$A$5:$A$2004,0))),""))</f>
        <v/>
      </c>
      <c r="L1842" s="24" t="str">
        <f aca="false">IF($D1842="","",IFERROR(INDEX(Workers!$E$5:$E$2004,MATCH($D1842,Workers!$A$5:$A$2004,0)),""))</f>
        <v/>
      </c>
      <c r="M1842" s="26" t="str">
        <f aca="false">IF($D1842="","",IFERROR(INDEX(ClientRates!$D$5:$D$500,MATCH($B1842&amp;"|"&amp;$L1842,ClientRates!$A$5:$A$500,0)),0))</f>
        <v/>
      </c>
      <c r="N1842" s="26" t="str">
        <f aca="false">IF($D1842="","",IFERROR(INDEX(ClientRates!$E$5:$E$500,MATCH($B1842&amp;"|"&amp;$L1842,ClientRates!$A$5:$A$500,0)),0))</f>
        <v/>
      </c>
      <c r="O1842" s="26" t="str">
        <f aca="false">IF($D1842="","",F1842*M1842+G1842*N1842)</f>
        <v/>
      </c>
      <c r="P1842" s="26" t="str">
        <f aca="false">IF(OR($D1842="",$J1842&lt;&gt;"Supplier"),"",IFERROR(INDEX(SupplierRates!$D$5:$D$500,MATCH($K1842&amp;"|"&amp;$L1842,SupplierRates!$A$5:$A$500,0)),0))</f>
        <v/>
      </c>
      <c r="Q1842" s="26" t="str">
        <f aca="false">IF(OR($D1842="",$J1842&lt;&gt;"Supplier"),"",IFERROR(INDEX(SupplierRates!$E$5:$E$500,MATCH($K1842&amp;"|"&amp;$L1842,SupplierRates!$A$5:$A$500,0)),0))</f>
        <v/>
      </c>
      <c r="R1842" s="26" t="n">
        <f aca="false">IF(OR($D1842="",$J1842&lt;&gt;"Supplier"),0,F1842*P1842+G1842*Q1842)</f>
        <v>0</v>
      </c>
      <c r="S1842" s="26" t="n">
        <f aca="false">IF(OR($D1842="",$J1842&lt;&gt;"Own"),0,IFERROR((F1842+G1842*Settings!$B$13)*INDEX(Workers!$V$5:$V$2004,MATCH($D1842,Workers!$A$5:$A$2004,0)),0))</f>
        <v>0</v>
      </c>
      <c r="T1842" s="26" t="str">
        <f aca="false">IF($D1842="","",O1842-R1842-S1842)</f>
        <v/>
      </c>
    </row>
    <row r="1843" customFormat="false" ht="15" hidden="false" customHeight="false" outlineLevel="0" collapsed="false">
      <c r="I1843" s="24" t="str">
        <f aca="false">IF($D1843="","",IFERROR(INDEX(Workers!$B$5:$B$2004,MATCH($D1843,Workers!$A$5:$A$2004,0)),"NOT FOUND"))</f>
        <v/>
      </c>
      <c r="J1843" s="24" t="str">
        <f aca="false">IF($D1843="","",IFERROR(INDEX(Workers!$C$5:$C$2004,MATCH($D1843,Workers!$A$5:$A$2004,0)),""))</f>
        <v/>
      </c>
      <c r="K1843" s="24" t="str">
        <f aca="false">IF($D1843="","",IFERROR(IF(INDEX(Workers!$D$5:$D$2004,MATCH($D1843,Workers!$A$5:$A$2004,0))=0,"",INDEX(Workers!$D$5:$D$2004,MATCH($D1843,Workers!$A$5:$A$2004,0))),""))</f>
        <v/>
      </c>
      <c r="L1843" s="24" t="str">
        <f aca="false">IF($D1843="","",IFERROR(INDEX(Workers!$E$5:$E$2004,MATCH($D1843,Workers!$A$5:$A$2004,0)),""))</f>
        <v/>
      </c>
      <c r="M1843" s="26" t="str">
        <f aca="false">IF($D1843="","",IFERROR(INDEX(ClientRates!$D$5:$D$500,MATCH($B1843&amp;"|"&amp;$L1843,ClientRates!$A$5:$A$500,0)),0))</f>
        <v/>
      </c>
      <c r="N1843" s="26" t="str">
        <f aca="false">IF($D1843="","",IFERROR(INDEX(ClientRates!$E$5:$E$500,MATCH($B1843&amp;"|"&amp;$L1843,ClientRates!$A$5:$A$500,0)),0))</f>
        <v/>
      </c>
      <c r="O1843" s="26" t="str">
        <f aca="false">IF($D1843="","",F1843*M1843+G1843*N1843)</f>
        <v/>
      </c>
      <c r="P1843" s="26" t="str">
        <f aca="false">IF(OR($D1843="",$J1843&lt;&gt;"Supplier"),"",IFERROR(INDEX(SupplierRates!$D$5:$D$500,MATCH($K1843&amp;"|"&amp;$L1843,SupplierRates!$A$5:$A$500,0)),0))</f>
        <v/>
      </c>
      <c r="Q1843" s="26" t="str">
        <f aca="false">IF(OR($D1843="",$J1843&lt;&gt;"Supplier"),"",IFERROR(INDEX(SupplierRates!$E$5:$E$500,MATCH($K1843&amp;"|"&amp;$L1843,SupplierRates!$A$5:$A$500,0)),0))</f>
        <v/>
      </c>
      <c r="R1843" s="26" t="n">
        <f aca="false">IF(OR($D1843="",$J1843&lt;&gt;"Supplier"),0,F1843*P1843+G1843*Q1843)</f>
        <v>0</v>
      </c>
      <c r="S1843" s="26" t="n">
        <f aca="false">IF(OR($D1843="",$J1843&lt;&gt;"Own"),0,IFERROR((F1843+G1843*Settings!$B$13)*INDEX(Workers!$V$5:$V$2004,MATCH($D1843,Workers!$A$5:$A$2004,0)),0))</f>
        <v>0</v>
      </c>
      <c r="T1843" s="26" t="str">
        <f aca="false">IF($D1843="","",O1843-R1843-S1843)</f>
        <v/>
      </c>
    </row>
    <row r="1844" customFormat="false" ht="15" hidden="false" customHeight="false" outlineLevel="0" collapsed="false">
      <c r="I1844" s="24" t="str">
        <f aca="false">IF($D1844="","",IFERROR(INDEX(Workers!$B$5:$B$2004,MATCH($D1844,Workers!$A$5:$A$2004,0)),"NOT FOUND"))</f>
        <v/>
      </c>
      <c r="J1844" s="24" t="str">
        <f aca="false">IF($D1844="","",IFERROR(INDEX(Workers!$C$5:$C$2004,MATCH($D1844,Workers!$A$5:$A$2004,0)),""))</f>
        <v/>
      </c>
      <c r="K1844" s="24" t="str">
        <f aca="false">IF($D1844="","",IFERROR(IF(INDEX(Workers!$D$5:$D$2004,MATCH($D1844,Workers!$A$5:$A$2004,0))=0,"",INDEX(Workers!$D$5:$D$2004,MATCH($D1844,Workers!$A$5:$A$2004,0))),""))</f>
        <v/>
      </c>
      <c r="L1844" s="24" t="str">
        <f aca="false">IF($D1844="","",IFERROR(INDEX(Workers!$E$5:$E$2004,MATCH($D1844,Workers!$A$5:$A$2004,0)),""))</f>
        <v/>
      </c>
      <c r="M1844" s="26" t="str">
        <f aca="false">IF($D1844="","",IFERROR(INDEX(ClientRates!$D$5:$D$500,MATCH($B1844&amp;"|"&amp;$L1844,ClientRates!$A$5:$A$500,0)),0))</f>
        <v/>
      </c>
      <c r="N1844" s="26" t="str">
        <f aca="false">IF($D1844="","",IFERROR(INDEX(ClientRates!$E$5:$E$500,MATCH($B1844&amp;"|"&amp;$L1844,ClientRates!$A$5:$A$500,0)),0))</f>
        <v/>
      </c>
      <c r="O1844" s="26" t="str">
        <f aca="false">IF($D1844="","",F1844*M1844+G1844*N1844)</f>
        <v/>
      </c>
      <c r="P1844" s="26" t="str">
        <f aca="false">IF(OR($D1844="",$J1844&lt;&gt;"Supplier"),"",IFERROR(INDEX(SupplierRates!$D$5:$D$500,MATCH($K1844&amp;"|"&amp;$L1844,SupplierRates!$A$5:$A$500,0)),0))</f>
        <v/>
      </c>
      <c r="Q1844" s="26" t="str">
        <f aca="false">IF(OR($D1844="",$J1844&lt;&gt;"Supplier"),"",IFERROR(INDEX(SupplierRates!$E$5:$E$500,MATCH($K1844&amp;"|"&amp;$L1844,SupplierRates!$A$5:$A$500,0)),0))</f>
        <v/>
      </c>
      <c r="R1844" s="26" t="n">
        <f aca="false">IF(OR($D1844="",$J1844&lt;&gt;"Supplier"),0,F1844*P1844+G1844*Q1844)</f>
        <v>0</v>
      </c>
      <c r="S1844" s="26" t="n">
        <f aca="false">IF(OR($D1844="",$J1844&lt;&gt;"Own"),0,IFERROR((F1844+G1844*Settings!$B$13)*INDEX(Workers!$V$5:$V$2004,MATCH($D1844,Workers!$A$5:$A$2004,0)),0))</f>
        <v>0</v>
      </c>
      <c r="T1844" s="26" t="str">
        <f aca="false">IF($D1844="","",O1844-R1844-S1844)</f>
        <v/>
      </c>
    </row>
    <row r="1845" customFormat="false" ht="15" hidden="false" customHeight="false" outlineLevel="0" collapsed="false">
      <c r="I1845" s="24" t="str">
        <f aca="false">IF($D1845="","",IFERROR(INDEX(Workers!$B$5:$B$2004,MATCH($D1845,Workers!$A$5:$A$2004,0)),"NOT FOUND"))</f>
        <v/>
      </c>
      <c r="J1845" s="24" t="str">
        <f aca="false">IF($D1845="","",IFERROR(INDEX(Workers!$C$5:$C$2004,MATCH($D1845,Workers!$A$5:$A$2004,0)),""))</f>
        <v/>
      </c>
      <c r="K1845" s="24" t="str">
        <f aca="false">IF($D1845="","",IFERROR(IF(INDEX(Workers!$D$5:$D$2004,MATCH($D1845,Workers!$A$5:$A$2004,0))=0,"",INDEX(Workers!$D$5:$D$2004,MATCH($D1845,Workers!$A$5:$A$2004,0))),""))</f>
        <v/>
      </c>
      <c r="L1845" s="24" t="str">
        <f aca="false">IF($D1845="","",IFERROR(INDEX(Workers!$E$5:$E$2004,MATCH($D1845,Workers!$A$5:$A$2004,0)),""))</f>
        <v/>
      </c>
      <c r="M1845" s="26" t="str">
        <f aca="false">IF($D1845="","",IFERROR(INDEX(ClientRates!$D$5:$D$500,MATCH($B1845&amp;"|"&amp;$L1845,ClientRates!$A$5:$A$500,0)),0))</f>
        <v/>
      </c>
      <c r="N1845" s="26" t="str">
        <f aca="false">IF($D1845="","",IFERROR(INDEX(ClientRates!$E$5:$E$500,MATCH($B1845&amp;"|"&amp;$L1845,ClientRates!$A$5:$A$500,0)),0))</f>
        <v/>
      </c>
      <c r="O1845" s="26" t="str">
        <f aca="false">IF($D1845="","",F1845*M1845+G1845*N1845)</f>
        <v/>
      </c>
      <c r="P1845" s="26" t="str">
        <f aca="false">IF(OR($D1845="",$J1845&lt;&gt;"Supplier"),"",IFERROR(INDEX(SupplierRates!$D$5:$D$500,MATCH($K1845&amp;"|"&amp;$L1845,SupplierRates!$A$5:$A$500,0)),0))</f>
        <v/>
      </c>
      <c r="Q1845" s="26" t="str">
        <f aca="false">IF(OR($D1845="",$J1845&lt;&gt;"Supplier"),"",IFERROR(INDEX(SupplierRates!$E$5:$E$500,MATCH($K1845&amp;"|"&amp;$L1845,SupplierRates!$A$5:$A$500,0)),0))</f>
        <v/>
      </c>
      <c r="R1845" s="26" t="n">
        <f aca="false">IF(OR($D1845="",$J1845&lt;&gt;"Supplier"),0,F1845*P1845+G1845*Q1845)</f>
        <v>0</v>
      </c>
      <c r="S1845" s="26" t="n">
        <f aca="false">IF(OR($D1845="",$J1845&lt;&gt;"Own"),0,IFERROR((F1845+G1845*Settings!$B$13)*INDEX(Workers!$V$5:$V$2004,MATCH($D1845,Workers!$A$5:$A$2004,0)),0))</f>
        <v>0</v>
      </c>
      <c r="T1845" s="26" t="str">
        <f aca="false">IF($D1845="","",O1845-R1845-S1845)</f>
        <v/>
      </c>
    </row>
    <row r="1846" customFormat="false" ht="15" hidden="false" customHeight="false" outlineLevel="0" collapsed="false">
      <c r="I1846" s="24" t="str">
        <f aca="false">IF($D1846="","",IFERROR(INDEX(Workers!$B$5:$B$2004,MATCH($D1846,Workers!$A$5:$A$2004,0)),"NOT FOUND"))</f>
        <v/>
      </c>
      <c r="J1846" s="24" t="str">
        <f aca="false">IF($D1846="","",IFERROR(INDEX(Workers!$C$5:$C$2004,MATCH($D1846,Workers!$A$5:$A$2004,0)),""))</f>
        <v/>
      </c>
      <c r="K1846" s="24" t="str">
        <f aca="false">IF($D1846="","",IFERROR(IF(INDEX(Workers!$D$5:$D$2004,MATCH($D1846,Workers!$A$5:$A$2004,0))=0,"",INDEX(Workers!$D$5:$D$2004,MATCH($D1846,Workers!$A$5:$A$2004,0))),""))</f>
        <v/>
      </c>
      <c r="L1846" s="24" t="str">
        <f aca="false">IF($D1846="","",IFERROR(INDEX(Workers!$E$5:$E$2004,MATCH($D1846,Workers!$A$5:$A$2004,0)),""))</f>
        <v/>
      </c>
      <c r="M1846" s="26" t="str">
        <f aca="false">IF($D1846="","",IFERROR(INDEX(ClientRates!$D$5:$D$500,MATCH($B1846&amp;"|"&amp;$L1846,ClientRates!$A$5:$A$500,0)),0))</f>
        <v/>
      </c>
      <c r="N1846" s="26" t="str">
        <f aca="false">IF($D1846="","",IFERROR(INDEX(ClientRates!$E$5:$E$500,MATCH($B1846&amp;"|"&amp;$L1846,ClientRates!$A$5:$A$500,0)),0))</f>
        <v/>
      </c>
      <c r="O1846" s="26" t="str">
        <f aca="false">IF($D1846="","",F1846*M1846+G1846*N1846)</f>
        <v/>
      </c>
      <c r="P1846" s="26" t="str">
        <f aca="false">IF(OR($D1846="",$J1846&lt;&gt;"Supplier"),"",IFERROR(INDEX(SupplierRates!$D$5:$D$500,MATCH($K1846&amp;"|"&amp;$L1846,SupplierRates!$A$5:$A$500,0)),0))</f>
        <v/>
      </c>
      <c r="Q1846" s="26" t="str">
        <f aca="false">IF(OR($D1846="",$J1846&lt;&gt;"Supplier"),"",IFERROR(INDEX(SupplierRates!$E$5:$E$500,MATCH($K1846&amp;"|"&amp;$L1846,SupplierRates!$A$5:$A$500,0)),0))</f>
        <v/>
      </c>
      <c r="R1846" s="26" t="n">
        <f aca="false">IF(OR($D1846="",$J1846&lt;&gt;"Supplier"),0,F1846*P1846+G1846*Q1846)</f>
        <v>0</v>
      </c>
      <c r="S1846" s="26" t="n">
        <f aca="false">IF(OR($D1846="",$J1846&lt;&gt;"Own"),0,IFERROR((F1846+G1846*Settings!$B$13)*INDEX(Workers!$V$5:$V$2004,MATCH($D1846,Workers!$A$5:$A$2004,0)),0))</f>
        <v>0</v>
      </c>
      <c r="T1846" s="26" t="str">
        <f aca="false">IF($D1846="","",O1846-R1846-S1846)</f>
        <v/>
      </c>
    </row>
    <row r="1847" customFormat="false" ht="15" hidden="false" customHeight="false" outlineLevel="0" collapsed="false">
      <c r="I1847" s="24" t="str">
        <f aca="false">IF($D1847="","",IFERROR(INDEX(Workers!$B$5:$B$2004,MATCH($D1847,Workers!$A$5:$A$2004,0)),"NOT FOUND"))</f>
        <v/>
      </c>
      <c r="J1847" s="24" t="str">
        <f aca="false">IF($D1847="","",IFERROR(INDEX(Workers!$C$5:$C$2004,MATCH($D1847,Workers!$A$5:$A$2004,0)),""))</f>
        <v/>
      </c>
      <c r="K1847" s="24" t="str">
        <f aca="false">IF($D1847="","",IFERROR(IF(INDEX(Workers!$D$5:$D$2004,MATCH($D1847,Workers!$A$5:$A$2004,0))=0,"",INDEX(Workers!$D$5:$D$2004,MATCH($D1847,Workers!$A$5:$A$2004,0))),""))</f>
        <v/>
      </c>
      <c r="L1847" s="24" t="str">
        <f aca="false">IF($D1847="","",IFERROR(INDEX(Workers!$E$5:$E$2004,MATCH($D1847,Workers!$A$5:$A$2004,0)),""))</f>
        <v/>
      </c>
      <c r="M1847" s="26" t="str">
        <f aca="false">IF($D1847="","",IFERROR(INDEX(ClientRates!$D$5:$D$500,MATCH($B1847&amp;"|"&amp;$L1847,ClientRates!$A$5:$A$500,0)),0))</f>
        <v/>
      </c>
      <c r="N1847" s="26" t="str">
        <f aca="false">IF($D1847="","",IFERROR(INDEX(ClientRates!$E$5:$E$500,MATCH($B1847&amp;"|"&amp;$L1847,ClientRates!$A$5:$A$500,0)),0))</f>
        <v/>
      </c>
      <c r="O1847" s="26" t="str">
        <f aca="false">IF($D1847="","",F1847*M1847+G1847*N1847)</f>
        <v/>
      </c>
      <c r="P1847" s="26" t="str">
        <f aca="false">IF(OR($D1847="",$J1847&lt;&gt;"Supplier"),"",IFERROR(INDEX(SupplierRates!$D$5:$D$500,MATCH($K1847&amp;"|"&amp;$L1847,SupplierRates!$A$5:$A$500,0)),0))</f>
        <v/>
      </c>
      <c r="Q1847" s="26" t="str">
        <f aca="false">IF(OR($D1847="",$J1847&lt;&gt;"Supplier"),"",IFERROR(INDEX(SupplierRates!$E$5:$E$500,MATCH($K1847&amp;"|"&amp;$L1847,SupplierRates!$A$5:$A$500,0)),0))</f>
        <v/>
      </c>
      <c r="R1847" s="26" t="n">
        <f aca="false">IF(OR($D1847="",$J1847&lt;&gt;"Supplier"),0,F1847*P1847+G1847*Q1847)</f>
        <v>0</v>
      </c>
      <c r="S1847" s="26" t="n">
        <f aca="false">IF(OR($D1847="",$J1847&lt;&gt;"Own"),0,IFERROR((F1847+G1847*Settings!$B$13)*INDEX(Workers!$V$5:$V$2004,MATCH($D1847,Workers!$A$5:$A$2004,0)),0))</f>
        <v>0</v>
      </c>
      <c r="T1847" s="26" t="str">
        <f aca="false">IF($D1847="","",O1847-R1847-S1847)</f>
        <v/>
      </c>
    </row>
    <row r="1848" customFormat="false" ht="15" hidden="false" customHeight="false" outlineLevel="0" collapsed="false">
      <c r="I1848" s="24" t="str">
        <f aca="false">IF($D1848="","",IFERROR(INDEX(Workers!$B$5:$B$2004,MATCH($D1848,Workers!$A$5:$A$2004,0)),"NOT FOUND"))</f>
        <v/>
      </c>
      <c r="J1848" s="24" t="str">
        <f aca="false">IF($D1848="","",IFERROR(INDEX(Workers!$C$5:$C$2004,MATCH($D1848,Workers!$A$5:$A$2004,0)),""))</f>
        <v/>
      </c>
      <c r="K1848" s="24" t="str">
        <f aca="false">IF($D1848="","",IFERROR(IF(INDEX(Workers!$D$5:$D$2004,MATCH($D1848,Workers!$A$5:$A$2004,0))=0,"",INDEX(Workers!$D$5:$D$2004,MATCH($D1848,Workers!$A$5:$A$2004,0))),""))</f>
        <v/>
      </c>
      <c r="L1848" s="24" t="str">
        <f aca="false">IF($D1848="","",IFERROR(INDEX(Workers!$E$5:$E$2004,MATCH($D1848,Workers!$A$5:$A$2004,0)),""))</f>
        <v/>
      </c>
      <c r="M1848" s="26" t="str">
        <f aca="false">IF($D1848="","",IFERROR(INDEX(ClientRates!$D$5:$D$500,MATCH($B1848&amp;"|"&amp;$L1848,ClientRates!$A$5:$A$500,0)),0))</f>
        <v/>
      </c>
      <c r="N1848" s="26" t="str">
        <f aca="false">IF($D1848="","",IFERROR(INDEX(ClientRates!$E$5:$E$500,MATCH($B1848&amp;"|"&amp;$L1848,ClientRates!$A$5:$A$500,0)),0))</f>
        <v/>
      </c>
      <c r="O1848" s="26" t="str">
        <f aca="false">IF($D1848="","",F1848*M1848+G1848*N1848)</f>
        <v/>
      </c>
      <c r="P1848" s="26" t="str">
        <f aca="false">IF(OR($D1848="",$J1848&lt;&gt;"Supplier"),"",IFERROR(INDEX(SupplierRates!$D$5:$D$500,MATCH($K1848&amp;"|"&amp;$L1848,SupplierRates!$A$5:$A$500,0)),0))</f>
        <v/>
      </c>
      <c r="Q1848" s="26" t="str">
        <f aca="false">IF(OR($D1848="",$J1848&lt;&gt;"Supplier"),"",IFERROR(INDEX(SupplierRates!$E$5:$E$500,MATCH($K1848&amp;"|"&amp;$L1848,SupplierRates!$A$5:$A$500,0)),0))</f>
        <v/>
      </c>
      <c r="R1848" s="26" t="n">
        <f aca="false">IF(OR($D1848="",$J1848&lt;&gt;"Supplier"),0,F1848*P1848+G1848*Q1848)</f>
        <v>0</v>
      </c>
      <c r="S1848" s="26" t="n">
        <f aca="false">IF(OR($D1848="",$J1848&lt;&gt;"Own"),0,IFERROR((F1848+G1848*Settings!$B$13)*INDEX(Workers!$V$5:$V$2004,MATCH($D1848,Workers!$A$5:$A$2004,0)),0))</f>
        <v>0</v>
      </c>
      <c r="T1848" s="26" t="str">
        <f aca="false">IF($D1848="","",O1848-R1848-S1848)</f>
        <v/>
      </c>
    </row>
    <row r="1849" customFormat="false" ht="15" hidden="false" customHeight="false" outlineLevel="0" collapsed="false">
      <c r="I1849" s="24" t="str">
        <f aca="false">IF($D1849="","",IFERROR(INDEX(Workers!$B$5:$B$2004,MATCH($D1849,Workers!$A$5:$A$2004,0)),"NOT FOUND"))</f>
        <v/>
      </c>
      <c r="J1849" s="24" t="str">
        <f aca="false">IF($D1849="","",IFERROR(INDEX(Workers!$C$5:$C$2004,MATCH($D1849,Workers!$A$5:$A$2004,0)),""))</f>
        <v/>
      </c>
      <c r="K1849" s="24" t="str">
        <f aca="false">IF($D1849="","",IFERROR(IF(INDEX(Workers!$D$5:$D$2004,MATCH($D1849,Workers!$A$5:$A$2004,0))=0,"",INDEX(Workers!$D$5:$D$2004,MATCH($D1849,Workers!$A$5:$A$2004,0))),""))</f>
        <v/>
      </c>
      <c r="L1849" s="24" t="str">
        <f aca="false">IF($D1849="","",IFERROR(INDEX(Workers!$E$5:$E$2004,MATCH($D1849,Workers!$A$5:$A$2004,0)),""))</f>
        <v/>
      </c>
      <c r="M1849" s="26" t="str">
        <f aca="false">IF($D1849="","",IFERROR(INDEX(ClientRates!$D$5:$D$500,MATCH($B1849&amp;"|"&amp;$L1849,ClientRates!$A$5:$A$500,0)),0))</f>
        <v/>
      </c>
      <c r="N1849" s="26" t="str">
        <f aca="false">IF($D1849="","",IFERROR(INDEX(ClientRates!$E$5:$E$500,MATCH($B1849&amp;"|"&amp;$L1849,ClientRates!$A$5:$A$500,0)),0))</f>
        <v/>
      </c>
      <c r="O1849" s="26" t="str">
        <f aca="false">IF($D1849="","",F1849*M1849+G1849*N1849)</f>
        <v/>
      </c>
      <c r="P1849" s="26" t="str">
        <f aca="false">IF(OR($D1849="",$J1849&lt;&gt;"Supplier"),"",IFERROR(INDEX(SupplierRates!$D$5:$D$500,MATCH($K1849&amp;"|"&amp;$L1849,SupplierRates!$A$5:$A$500,0)),0))</f>
        <v/>
      </c>
      <c r="Q1849" s="26" t="str">
        <f aca="false">IF(OR($D1849="",$J1849&lt;&gt;"Supplier"),"",IFERROR(INDEX(SupplierRates!$E$5:$E$500,MATCH($K1849&amp;"|"&amp;$L1849,SupplierRates!$A$5:$A$500,0)),0))</f>
        <v/>
      </c>
      <c r="R1849" s="26" t="n">
        <f aca="false">IF(OR($D1849="",$J1849&lt;&gt;"Supplier"),0,F1849*P1849+G1849*Q1849)</f>
        <v>0</v>
      </c>
      <c r="S1849" s="26" t="n">
        <f aca="false">IF(OR($D1849="",$J1849&lt;&gt;"Own"),0,IFERROR((F1849+G1849*Settings!$B$13)*INDEX(Workers!$V$5:$V$2004,MATCH($D1849,Workers!$A$5:$A$2004,0)),0))</f>
        <v>0</v>
      </c>
      <c r="T1849" s="26" t="str">
        <f aca="false">IF($D1849="","",O1849-R1849-S1849)</f>
        <v/>
      </c>
    </row>
    <row r="1850" customFormat="false" ht="15" hidden="false" customHeight="false" outlineLevel="0" collapsed="false">
      <c r="I1850" s="24" t="str">
        <f aca="false">IF($D1850="","",IFERROR(INDEX(Workers!$B$5:$B$2004,MATCH($D1850,Workers!$A$5:$A$2004,0)),"NOT FOUND"))</f>
        <v/>
      </c>
      <c r="J1850" s="24" t="str">
        <f aca="false">IF($D1850="","",IFERROR(INDEX(Workers!$C$5:$C$2004,MATCH($D1850,Workers!$A$5:$A$2004,0)),""))</f>
        <v/>
      </c>
      <c r="K1850" s="24" t="str">
        <f aca="false">IF($D1850="","",IFERROR(IF(INDEX(Workers!$D$5:$D$2004,MATCH($D1850,Workers!$A$5:$A$2004,0))=0,"",INDEX(Workers!$D$5:$D$2004,MATCH($D1850,Workers!$A$5:$A$2004,0))),""))</f>
        <v/>
      </c>
      <c r="L1850" s="24" t="str">
        <f aca="false">IF($D1850="","",IFERROR(INDEX(Workers!$E$5:$E$2004,MATCH($D1850,Workers!$A$5:$A$2004,0)),""))</f>
        <v/>
      </c>
      <c r="M1850" s="26" t="str">
        <f aca="false">IF($D1850="","",IFERROR(INDEX(ClientRates!$D$5:$D$500,MATCH($B1850&amp;"|"&amp;$L1850,ClientRates!$A$5:$A$500,0)),0))</f>
        <v/>
      </c>
      <c r="N1850" s="26" t="str">
        <f aca="false">IF($D1850="","",IFERROR(INDEX(ClientRates!$E$5:$E$500,MATCH($B1850&amp;"|"&amp;$L1850,ClientRates!$A$5:$A$500,0)),0))</f>
        <v/>
      </c>
      <c r="O1850" s="26" t="str">
        <f aca="false">IF($D1850="","",F1850*M1850+G1850*N1850)</f>
        <v/>
      </c>
      <c r="P1850" s="26" t="str">
        <f aca="false">IF(OR($D1850="",$J1850&lt;&gt;"Supplier"),"",IFERROR(INDEX(SupplierRates!$D$5:$D$500,MATCH($K1850&amp;"|"&amp;$L1850,SupplierRates!$A$5:$A$500,0)),0))</f>
        <v/>
      </c>
      <c r="Q1850" s="26" t="str">
        <f aca="false">IF(OR($D1850="",$J1850&lt;&gt;"Supplier"),"",IFERROR(INDEX(SupplierRates!$E$5:$E$500,MATCH($K1850&amp;"|"&amp;$L1850,SupplierRates!$A$5:$A$500,0)),0))</f>
        <v/>
      </c>
      <c r="R1850" s="26" t="n">
        <f aca="false">IF(OR($D1850="",$J1850&lt;&gt;"Supplier"),0,F1850*P1850+G1850*Q1850)</f>
        <v>0</v>
      </c>
      <c r="S1850" s="26" t="n">
        <f aca="false">IF(OR($D1850="",$J1850&lt;&gt;"Own"),0,IFERROR((F1850+G1850*Settings!$B$13)*INDEX(Workers!$V$5:$V$2004,MATCH($D1850,Workers!$A$5:$A$2004,0)),0))</f>
        <v>0</v>
      </c>
      <c r="T1850" s="26" t="str">
        <f aca="false">IF($D1850="","",O1850-R1850-S1850)</f>
        <v/>
      </c>
    </row>
    <row r="1851" customFormat="false" ht="15" hidden="false" customHeight="false" outlineLevel="0" collapsed="false">
      <c r="I1851" s="24" t="str">
        <f aca="false">IF($D1851="","",IFERROR(INDEX(Workers!$B$5:$B$2004,MATCH($D1851,Workers!$A$5:$A$2004,0)),"NOT FOUND"))</f>
        <v/>
      </c>
      <c r="J1851" s="24" t="str">
        <f aca="false">IF($D1851="","",IFERROR(INDEX(Workers!$C$5:$C$2004,MATCH($D1851,Workers!$A$5:$A$2004,0)),""))</f>
        <v/>
      </c>
      <c r="K1851" s="24" t="str">
        <f aca="false">IF($D1851="","",IFERROR(IF(INDEX(Workers!$D$5:$D$2004,MATCH($D1851,Workers!$A$5:$A$2004,0))=0,"",INDEX(Workers!$D$5:$D$2004,MATCH($D1851,Workers!$A$5:$A$2004,0))),""))</f>
        <v/>
      </c>
      <c r="L1851" s="24" t="str">
        <f aca="false">IF($D1851="","",IFERROR(INDEX(Workers!$E$5:$E$2004,MATCH($D1851,Workers!$A$5:$A$2004,0)),""))</f>
        <v/>
      </c>
      <c r="M1851" s="26" t="str">
        <f aca="false">IF($D1851="","",IFERROR(INDEX(ClientRates!$D$5:$D$500,MATCH($B1851&amp;"|"&amp;$L1851,ClientRates!$A$5:$A$500,0)),0))</f>
        <v/>
      </c>
      <c r="N1851" s="26" t="str">
        <f aca="false">IF($D1851="","",IFERROR(INDEX(ClientRates!$E$5:$E$500,MATCH($B1851&amp;"|"&amp;$L1851,ClientRates!$A$5:$A$500,0)),0))</f>
        <v/>
      </c>
      <c r="O1851" s="26" t="str">
        <f aca="false">IF($D1851="","",F1851*M1851+G1851*N1851)</f>
        <v/>
      </c>
      <c r="P1851" s="26" t="str">
        <f aca="false">IF(OR($D1851="",$J1851&lt;&gt;"Supplier"),"",IFERROR(INDEX(SupplierRates!$D$5:$D$500,MATCH($K1851&amp;"|"&amp;$L1851,SupplierRates!$A$5:$A$500,0)),0))</f>
        <v/>
      </c>
      <c r="Q1851" s="26" t="str">
        <f aca="false">IF(OR($D1851="",$J1851&lt;&gt;"Supplier"),"",IFERROR(INDEX(SupplierRates!$E$5:$E$500,MATCH($K1851&amp;"|"&amp;$L1851,SupplierRates!$A$5:$A$500,0)),0))</f>
        <v/>
      </c>
      <c r="R1851" s="26" t="n">
        <f aca="false">IF(OR($D1851="",$J1851&lt;&gt;"Supplier"),0,F1851*P1851+G1851*Q1851)</f>
        <v>0</v>
      </c>
      <c r="S1851" s="26" t="n">
        <f aca="false">IF(OR($D1851="",$J1851&lt;&gt;"Own"),0,IFERROR((F1851+G1851*Settings!$B$13)*INDEX(Workers!$V$5:$V$2004,MATCH($D1851,Workers!$A$5:$A$2004,0)),0))</f>
        <v>0</v>
      </c>
      <c r="T1851" s="26" t="str">
        <f aca="false">IF($D1851="","",O1851-R1851-S1851)</f>
        <v/>
      </c>
    </row>
    <row r="1852" customFormat="false" ht="15" hidden="false" customHeight="false" outlineLevel="0" collapsed="false">
      <c r="I1852" s="24" t="str">
        <f aca="false">IF($D1852="","",IFERROR(INDEX(Workers!$B$5:$B$2004,MATCH($D1852,Workers!$A$5:$A$2004,0)),"NOT FOUND"))</f>
        <v/>
      </c>
      <c r="J1852" s="24" t="str">
        <f aca="false">IF($D1852="","",IFERROR(INDEX(Workers!$C$5:$C$2004,MATCH($D1852,Workers!$A$5:$A$2004,0)),""))</f>
        <v/>
      </c>
      <c r="K1852" s="24" t="str">
        <f aca="false">IF($D1852="","",IFERROR(IF(INDEX(Workers!$D$5:$D$2004,MATCH($D1852,Workers!$A$5:$A$2004,0))=0,"",INDEX(Workers!$D$5:$D$2004,MATCH($D1852,Workers!$A$5:$A$2004,0))),""))</f>
        <v/>
      </c>
      <c r="L1852" s="24" t="str">
        <f aca="false">IF($D1852="","",IFERROR(INDEX(Workers!$E$5:$E$2004,MATCH($D1852,Workers!$A$5:$A$2004,0)),""))</f>
        <v/>
      </c>
      <c r="M1852" s="26" t="str">
        <f aca="false">IF($D1852="","",IFERROR(INDEX(ClientRates!$D$5:$D$500,MATCH($B1852&amp;"|"&amp;$L1852,ClientRates!$A$5:$A$500,0)),0))</f>
        <v/>
      </c>
      <c r="N1852" s="26" t="str">
        <f aca="false">IF($D1852="","",IFERROR(INDEX(ClientRates!$E$5:$E$500,MATCH($B1852&amp;"|"&amp;$L1852,ClientRates!$A$5:$A$500,0)),0))</f>
        <v/>
      </c>
      <c r="O1852" s="26" t="str">
        <f aca="false">IF($D1852="","",F1852*M1852+G1852*N1852)</f>
        <v/>
      </c>
      <c r="P1852" s="26" t="str">
        <f aca="false">IF(OR($D1852="",$J1852&lt;&gt;"Supplier"),"",IFERROR(INDEX(SupplierRates!$D$5:$D$500,MATCH($K1852&amp;"|"&amp;$L1852,SupplierRates!$A$5:$A$500,0)),0))</f>
        <v/>
      </c>
      <c r="Q1852" s="26" t="str">
        <f aca="false">IF(OR($D1852="",$J1852&lt;&gt;"Supplier"),"",IFERROR(INDEX(SupplierRates!$E$5:$E$500,MATCH($K1852&amp;"|"&amp;$L1852,SupplierRates!$A$5:$A$500,0)),0))</f>
        <v/>
      </c>
      <c r="R1852" s="26" t="n">
        <f aca="false">IF(OR($D1852="",$J1852&lt;&gt;"Supplier"),0,F1852*P1852+G1852*Q1852)</f>
        <v>0</v>
      </c>
      <c r="S1852" s="26" t="n">
        <f aca="false">IF(OR($D1852="",$J1852&lt;&gt;"Own"),0,IFERROR((F1852+G1852*Settings!$B$13)*INDEX(Workers!$V$5:$V$2004,MATCH($D1852,Workers!$A$5:$A$2004,0)),0))</f>
        <v>0</v>
      </c>
      <c r="T1852" s="26" t="str">
        <f aca="false">IF($D1852="","",O1852-R1852-S1852)</f>
        <v/>
      </c>
    </row>
    <row r="1853" customFormat="false" ht="15" hidden="false" customHeight="false" outlineLevel="0" collapsed="false">
      <c r="I1853" s="24" t="str">
        <f aca="false">IF($D1853="","",IFERROR(INDEX(Workers!$B$5:$B$2004,MATCH($D1853,Workers!$A$5:$A$2004,0)),"NOT FOUND"))</f>
        <v/>
      </c>
      <c r="J1853" s="24" t="str">
        <f aca="false">IF($D1853="","",IFERROR(INDEX(Workers!$C$5:$C$2004,MATCH($D1853,Workers!$A$5:$A$2004,0)),""))</f>
        <v/>
      </c>
      <c r="K1853" s="24" t="str">
        <f aca="false">IF($D1853="","",IFERROR(IF(INDEX(Workers!$D$5:$D$2004,MATCH($D1853,Workers!$A$5:$A$2004,0))=0,"",INDEX(Workers!$D$5:$D$2004,MATCH($D1853,Workers!$A$5:$A$2004,0))),""))</f>
        <v/>
      </c>
      <c r="L1853" s="24" t="str">
        <f aca="false">IF($D1853="","",IFERROR(INDEX(Workers!$E$5:$E$2004,MATCH($D1853,Workers!$A$5:$A$2004,0)),""))</f>
        <v/>
      </c>
      <c r="M1853" s="26" t="str">
        <f aca="false">IF($D1853="","",IFERROR(INDEX(ClientRates!$D$5:$D$500,MATCH($B1853&amp;"|"&amp;$L1853,ClientRates!$A$5:$A$500,0)),0))</f>
        <v/>
      </c>
      <c r="N1853" s="26" t="str">
        <f aca="false">IF($D1853="","",IFERROR(INDEX(ClientRates!$E$5:$E$500,MATCH($B1853&amp;"|"&amp;$L1853,ClientRates!$A$5:$A$500,0)),0))</f>
        <v/>
      </c>
      <c r="O1853" s="26" t="str">
        <f aca="false">IF($D1853="","",F1853*M1853+G1853*N1853)</f>
        <v/>
      </c>
      <c r="P1853" s="26" t="str">
        <f aca="false">IF(OR($D1853="",$J1853&lt;&gt;"Supplier"),"",IFERROR(INDEX(SupplierRates!$D$5:$D$500,MATCH($K1853&amp;"|"&amp;$L1853,SupplierRates!$A$5:$A$500,0)),0))</f>
        <v/>
      </c>
      <c r="Q1853" s="26" t="str">
        <f aca="false">IF(OR($D1853="",$J1853&lt;&gt;"Supplier"),"",IFERROR(INDEX(SupplierRates!$E$5:$E$500,MATCH($K1853&amp;"|"&amp;$L1853,SupplierRates!$A$5:$A$500,0)),0))</f>
        <v/>
      </c>
      <c r="R1853" s="26" t="n">
        <f aca="false">IF(OR($D1853="",$J1853&lt;&gt;"Supplier"),0,F1853*P1853+G1853*Q1853)</f>
        <v>0</v>
      </c>
      <c r="S1853" s="26" t="n">
        <f aca="false">IF(OR($D1853="",$J1853&lt;&gt;"Own"),0,IFERROR((F1853+G1853*Settings!$B$13)*INDEX(Workers!$V$5:$V$2004,MATCH($D1853,Workers!$A$5:$A$2004,0)),0))</f>
        <v>0</v>
      </c>
      <c r="T1853" s="26" t="str">
        <f aca="false">IF($D1853="","",O1853-R1853-S1853)</f>
        <v/>
      </c>
    </row>
    <row r="1854" customFormat="false" ht="15" hidden="false" customHeight="false" outlineLevel="0" collapsed="false">
      <c r="I1854" s="24" t="str">
        <f aca="false">IF($D1854="","",IFERROR(INDEX(Workers!$B$5:$B$2004,MATCH($D1854,Workers!$A$5:$A$2004,0)),"NOT FOUND"))</f>
        <v/>
      </c>
      <c r="J1854" s="24" t="str">
        <f aca="false">IF($D1854="","",IFERROR(INDEX(Workers!$C$5:$C$2004,MATCH($D1854,Workers!$A$5:$A$2004,0)),""))</f>
        <v/>
      </c>
      <c r="K1854" s="24" t="str">
        <f aca="false">IF($D1854="","",IFERROR(IF(INDEX(Workers!$D$5:$D$2004,MATCH($D1854,Workers!$A$5:$A$2004,0))=0,"",INDEX(Workers!$D$5:$D$2004,MATCH($D1854,Workers!$A$5:$A$2004,0))),""))</f>
        <v/>
      </c>
      <c r="L1854" s="24" t="str">
        <f aca="false">IF($D1854="","",IFERROR(INDEX(Workers!$E$5:$E$2004,MATCH($D1854,Workers!$A$5:$A$2004,0)),""))</f>
        <v/>
      </c>
      <c r="M1854" s="26" t="str">
        <f aca="false">IF($D1854="","",IFERROR(INDEX(ClientRates!$D$5:$D$500,MATCH($B1854&amp;"|"&amp;$L1854,ClientRates!$A$5:$A$500,0)),0))</f>
        <v/>
      </c>
      <c r="N1854" s="26" t="str">
        <f aca="false">IF($D1854="","",IFERROR(INDEX(ClientRates!$E$5:$E$500,MATCH($B1854&amp;"|"&amp;$L1854,ClientRates!$A$5:$A$500,0)),0))</f>
        <v/>
      </c>
      <c r="O1854" s="26" t="str">
        <f aca="false">IF($D1854="","",F1854*M1854+G1854*N1854)</f>
        <v/>
      </c>
      <c r="P1854" s="26" t="str">
        <f aca="false">IF(OR($D1854="",$J1854&lt;&gt;"Supplier"),"",IFERROR(INDEX(SupplierRates!$D$5:$D$500,MATCH($K1854&amp;"|"&amp;$L1854,SupplierRates!$A$5:$A$500,0)),0))</f>
        <v/>
      </c>
      <c r="Q1854" s="26" t="str">
        <f aca="false">IF(OR($D1854="",$J1854&lt;&gt;"Supplier"),"",IFERROR(INDEX(SupplierRates!$E$5:$E$500,MATCH($K1854&amp;"|"&amp;$L1854,SupplierRates!$A$5:$A$500,0)),0))</f>
        <v/>
      </c>
      <c r="R1854" s="26" t="n">
        <f aca="false">IF(OR($D1854="",$J1854&lt;&gt;"Supplier"),0,F1854*P1854+G1854*Q1854)</f>
        <v>0</v>
      </c>
      <c r="S1854" s="26" t="n">
        <f aca="false">IF(OR($D1854="",$J1854&lt;&gt;"Own"),0,IFERROR((F1854+G1854*Settings!$B$13)*INDEX(Workers!$V$5:$V$2004,MATCH($D1854,Workers!$A$5:$A$2004,0)),0))</f>
        <v>0</v>
      </c>
      <c r="T1854" s="26" t="str">
        <f aca="false">IF($D1854="","",O1854-R1854-S1854)</f>
        <v/>
      </c>
    </row>
    <row r="1855" customFormat="false" ht="15" hidden="false" customHeight="false" outlineLevel="0" collapsed="false">
      <c r="I1855" s="24" t="str">
        <f aca="false">IF($D1855="","",IFERROR(INDEX(Workers!$B$5:$B$2004,MATCH($D1855,Workers!$A$5:$A$2004,0)),"NOT FOUND"))</f>
        <v/>
      </c>
      <c r="J1855" s="24" t="str">
        <f aca="false">IF($D1855="","",IFERROR(INDEX(Workers!$C$5:$C$2004,MATCH($D1855,Workers!$A$5:$A$2004,0)),""))</f>
        <v/>
      </c>
      <c r="K1855" s="24" t="str">
        <f aca="false">IF($D1855="","",IFERROR(IF(INDEX(Workers!$D$5:$D$2004,MATCH($D1855,Workers!$A$5:$A$2004,0))=0,"",INDEX(Workers!$D$5:$D$2004,MATCH($D1855,Workers!$A$5:$A$2004,0))),""))</f>
        <v/>
      </c>
      <c r="L1855" s="24" t="str">
        <f aca="false">IF($D1855="","",IFERROR(INDEX(Workers!$E$5:$E$2004,MATCH($D1855,Workers!$A$5:$A$2004,0)),""))</f>
        <v/>
      </c>
      <c r="M1855" s="26" t="str">
        <f aca="false">IF($D1855="","",IFERROR(INDEX(ClientRates!$D$5:$D$500,MATCH($B1855&amp;"|"&amp;$L1855,ClientRates!$A$5:$A$500,0)),0))</f>
        <v/>
      </c>
      <c r="N1855" s="26" t="str">
        <f aca="false">IF($D1855="","",IFERROR(INDEX(ClientRates!$E$5:$E$500,MATCH($B1855&amp;"|"&amp;$L1855,ClientRates!$A$5:$A$500,0)),0))</f>
        <v/>
      </c>
      <c r="O1855" s="26" t="str">
        <f aca="false">IF($D1855="","",F1855*M1855+G1855*N1855)</f>
        <v/>
      </c>
      <c r="P1855" s="26" t="str">
        <f aca="false">IF(OR($D1855="",$J1855&lt;&gt;"Supplier"),"",IFERROR(INDEX(SupplierRates!$D$5:$D$500,MATCH($K1855&amp;"|"&amp;$L1855,SupplierRates!$A$5:$A$500,0)),0))</f>
        <v/>
      </c>
      <c r="Q1855" s="26" t="str">
        <f aca="false">IF(OR($D1855="",$J1855&lt;&gt;"Supplier"),"",IFERROR(INDEX(SupplierRates!$E$5:$E$500,MATCH($K1855&amp;"|"&amp;$L1855,SupplierRates!$A$5:$A$500,0)),0))</f>
        <v/>
      </c>
      <c r="R1855" s="26" t="n">
        <f aca="false">IF(OR($D1855="",$J1855&lt;&gt;"Supplier"),0,F1855*P1855+G1855*Q1855)</f>
        <v>0</v>
      </c>
      <c r="S1855" s="26" t="n">
        <f aca="false">IF(OR($D1855="",$J1855&lt;&gt;"Own"),0,IFERROR((F1855+G1855*Settings!$B$13)*INDEX(Workers!$V$5:$V$2004,MATCH($D1855,Workers!$A$5:$A$2004,0)),0))</f>
        <v>0</v>
      </c>
      <c r="T1855" s="26" t="str">
        <f aca="false">IF($D1855="","",O1855-R1855-S1855)</f>
        <v/>
      </c>
    </row>
    <row r="1856" customFormat="false" ht="15" hidden="false" customHeight="false" outlineLevel="0" collapsed="false">
      <c r="I1856" s="24" t="str">
        <f aca="false">IF($D1856="","",IFERROR(INDEX(Workers!$B$5:$B$2004,MATCH($D1856,Workers!$A$5:$A$2004,0)),"NOT FOUND"))</f>
        <v/>
      </c>
      <c r="J1856" s="24" t="str">
        <f aca="false">IF($D1856="","",IFERROR(INDEX(Workers!$C$5:$C$2004,MATCH($D1856,Workers!$A$5:$A$2004,0)),""))</f>
        <v/>
      </c>
      <c r="K1856" s="24" t="str">
        <f aca="false">IF($D1856="","",IFERROR(IF(INDEX(Workers!$D$5:$D$2004,MATCH($D1856,Workers!$A$5:$A$2004,0))=0,"",INDEX(Workers!$D$5:$D$2004,MATCH($D1856,Workers!$A$5:$A$2004,0))),""))</f>
        <v/>
      </c>
      <c r="L1856" s="24" t="str">
        <f aca="false">IF($D1856="","",IFERROR(INDEX(Workers!$E$5:$E$2004,MATCH($D1856,Workers!$A$5:$A$2004,0)),""))</f>
        <v/>
      </c>
      <c r="M1856" s="26" t="str">
        <f aca="false">IF($D1856="","",IFERROR(INDEX(ClientRates!$D$5:$D$500,MATCH($B1856&amp;"|"&amp;$L1856,ClientRates!$A$5:$A$500,0)),0))</f>
        <v/>
      </c>
      <c r="N1856" s="26" t="str">
        <f aca="false">IF($D1856="","",IFERROR(INDEX(ClientRates!$E$5:$E$500,MATCH($B1856&amp;"|"&amp;$L1856,ClientRates!$A$5:$A$500,0)),0))</f>
        <v/>
      </c>
      <c r="O1856" s="26" t="str">
        <f aca="false">IF($D1856="","",F1856*M1856+G1856*N1856)</f>
        <v/>
      </c>
      <c r="P1856" s="26" t="str">
        <f aca="false">IF(OR($D1856="",$J1856&lt;&gt;"Supplier"),"",IFERROR(INDEX(SupplierRates!$D$5:$D$500,MATCH($K1856&amp;"|"&amp;$L1856,SupplierRates!$A$5:$A$500,0)),0))</f>
        <v/>
      </c>
      <c r="Q1856" s="26" t="str">
        <f aca="false">IF(OR($D1856="",$J1856&lt;&gt;"Supplier"),"",IFERROR(INDEX(SupplierRates!$E$5:$E$500,MATCH($K1856&amp;"|"&amp;$L1856,SupplierRates!$A$5:$A$500,0)),0))</f>
        <v/>
      </c>
      <c r="R1856" s="26" t="n">
        <f aca="false">IF(OR($D1856="",$J1856&lt;&gt;"Supplier"),0,F1856*P1856+G1856*Q1856)</f>
        <v>0</v>
      </c>
      <c r="S1856" s="26" t="n">
        <f aca="false">IF(OR($D1856="",$J1856&lt;&gt;"Own"),0,IFERROR((F1856+G1856*Settings!$B$13)*INDEX(Workers!$V$5:$V$2004,MATCH($D1856,Workers!$A$5:$A$2004,0)),0))</f>
        <v>0</v>
      </c>
      <c r="T1856" s="26" t="str">
        <f aca="false">IF($D1856="","",O1856-R1856-S1856)</f>
        <v/>
      </c>
    </row>
    <row r="1857" customFormat="false" ht="15" hidden="false" customHeight="false" outlineLevel="0" collapsed="false">
      <c r="I1857" s="24" t="str">
        <f aca="false">IF($D1857="","",IFERROR(INDEX(Workers!$B$5:$B$2004,MATCH($D1857,Workers!$A$5:$A$2004,0)),"NOT FOUND"))</f>
        <v/>
      </c>
      <c r="J1857" s="24" t="str">
        <f aca="false">IF($D1857="","",IFERROR(INDEX(Workers!$C$5:$C$2004,MATCH($D1857,Workers!$A$5:$A$2004,0)),""))</f>
        <v/>
      </c>
      <c r="K1857" s="24" t="str">
        <f aca="false">IF($D1857="","",IFERROR(IF(INDEX(Workers!$D$5:$D$2004,MATCH($D1857,Workers!$A$5:$A$2004,0))=0,"",INDEX(Workers!$D$5:$D$2004,MATCH($D1857,Workers!$A$5:$A$2004,0))),""))</f>
        <v/>
      </c>
      <c r="L1857" s="24" t="str">
        <f aca="false">IF($D1857="","",IFERROR(INDEX(Workers!$E$5:$E$2004,MATCH($D1857,Workers!$A$5:$A$2004,0)),""))</f>
        <v/>
      </c>
      <c r="M1857" s="26" t="str">
        <f aca="false">IF($D1857="","",IFERROR(INDEX(ClientRates!$D$5:$D$500,MATCH($B1857&amp;"|"&amp;$L1857,ClientRates!$A$5:$A$500,0)),0))</f>
        <v/>
      </c>
      <c r="N1857" s="26" t="str">
        <f aca="false">IF($D1857="","",IFERROR(INDEX(ClientRates!$E$5:$E$500,MATCH($B1857&amp;"|"&amp;$L1857,ClientRates!$A$5:$A$500,0)),0))</f>
        <v/>
      </c>
      <c r="O1857" s="26" t="str">
        <f aca="false">IF($D1857="","",F1857*M1857+G1857*N1857)</f>
        <v/>
      </c>
      <c r="P1857" s="26" t="str">
        <f aca="false">IF(OR($D1857="",$J1857&lt;&gt;"Supplier"),"",IFERROR(INDEX(SupplierRates!$D$5:$D$500,MATCH($K1857&amp;"|"&amp;$L1857,SupplierRates!$A$5:$A$500,0)),0))</f>
        <v/>
      </c>
      <c r="Q1857" s="26" t="str">
        <f aca="false">IF(OR($D1857="",$J1857&lt;&gt;"Supplier"),"",IFERROR(INDEX(SupplierRates!$E$5:$E$500,MATCH($K1857&amp;"|"&amp;$L1857,SupplierRates!$A$5:$A$500,0)),0))</f>
        <v/>
      </c>
      <c r="R1857" s="26" t="n">
        <f aca="false">IF(OR($D1857="",$J1857&lt;&gt;"Supplier"),0,F1857*P1857+G1857*Q1857)</f>
        <v>0</v>
      </c>
      <c r="S1857" s="26" t="n">
        <f aca="false">IF(OR($D1857="",$J1857&lt;&gt;"Own"),0,IFERROR((F1857+G1857*Settings!$B$13)*INDEX(Workers!$V$5:$V$2004,MATCH($D1857,Workers!$A$5:$A$2004,0)),0))</f>
        <v>0</v>
      </c>
      <c r="T1857" s="26" t="str">
        <f aca="false">IF($D1857="","",O1857-R1857-S1857)</f>
        <v/>
      </c>
    </row>
    <row r="1858" customFormat="false" ht="15" hidden="false" customHeight="false" outlineLevel="0" collapsed="false">
      <c r="I1858" s="24" t="str">
        <f aca="false">IF($D1858="","",IFERROR(INDEX(Workers!$B$5:$B$2004,MATCH($D1858,Workers!$A$5:$A$2004,0)),"NOT FOUND"))</f>
        <v/>
      </c>
      <c r="J1858" s="24" t="str">
        <f aca="false">IF($D1858="","",IFERROR(INDEX(Workers!$C$5:$C$2004,MATCH($D1858,Workers!$A$5:$A$2004,0)),""))</f>
        <v/>
      </c>
      <c r="K1858" s="24" t="str">
        <f aca="false">IF($D1858="","",IFERROR(IF(INDEX(Workers!$D$5:$D$2004,MATCH($D1858,Workers!$A$5:$A$2004,0))=0,"",INDEX(Workers!$D$5:$D$2004,MATCH($D1858,Workers!$A$5:$A$2004,0))),""))</f>
        <v/>
      </c>
      <c r="L1858" s="24" t="str">
        <f aca="false">IF($D1858="","",IFERROR(INDEX(Workers!$E$5:$E$2004,MATCH($D1858,Workers!$A$5:$A$2004,0)),""))</f>
        <v/>
      </c>
      <c r="M1858" s="26" t="str">
        <f aca="false">IF($D1858="","",IFERROR(INDEX(ClientRates!$D$5:$D$500,MATCH($B1858&amp;"|"&amp;$L1858,ClientRates!$A$5:$A$500,0)),0))</f>
        <v/>
      </c>
      <c r="N1858" s="26" t="str">
        <f aca="false">IF($D1858="","",IFERROR(INDEX(ClientRates!$E$5:$E$500,MATCH($B1858&amp;"|"&amp;$L1858,ClientRates!$A$5:$A$500,0)),0))</f>
        <v/>
      </c>
      <c r="O1858" s="26" t="str">
        <f aca="false">IF($D1858="","",F1858*M1858+G1858*N1858)</f>
        <v/>
      </c>
      <c r="P1858" s="26" t="str">
        <f aca="false">IF(OR($D1858="",$J1858&lt;&gt;"Supplier"),"",IFERROR(INDEX(SupplierRates!$D$5:$D$500,MATCH($K1858&amp;"|"&amp;$L1858,SupplierRates!$A$5:$A$500,0)),0))</f>
        <v/>
      </c>
      <c r="Q1858" s="26" t="str">
        <f aca="false">IF(OR($D1858="",$J1858&lt;&gt;"Supplier"),"",IFERROR(INDEX(SupplierRates!$E$5:$E$500,MATCH($K1858&amp;"|"&amp;$L1858,SupplierRates!$A$5:$A$500,0)),0))</f>
        <v/>
      </c>
      <c r="R1858" s="26" t="n">
        <f aca="false">IF(OR($D1858="",$J1858&lt;&gt;"Supplier"),0,F1858*P1858+G1858*Q1858)</f>
        <v>0</v>
      </c>
      <c r="S1858" s="26" t="n">
        <f aca="false">IF(OR($D1858="",$J1858&lt;&gt;"Own"),0,IFERROR((F1858+G1858*Settings!$B$13)*INDEX(Workers!$V$5:$V$2004,MATCH($D1858,Workers!$A$5:$A$2004,0)),0))</f>
        <v>0</v>
      </c>
      <c r="T1858" s="26" t="str">
        <f aca="false">IF($D1858="","",O1858-R1858-S1858)</f>
        <v/>
      </c>
    </row>
    <row r="1859" customFormat="false" ht="15" hidden="false" customHeight="false" outlineLevel="0" collapsed="false">
      <c r="I1859" s="24" t="str">
        <f aca="false">IF($D1859="","",IFERROR(INDEX(Workers!$B$5:$B$2004,MATCH($D1859,Workers!$A$5:$A$2004,0)),"NOT FOUND"))</f>
        <v/>
      </c>
      <c r="J1859" s="24" t="str">
        <f aca="false">IF($D1859="","",IFERROR(INDEX(Workers!$C$5:$C$2004,MATCH($D1859,Workers!$A$5:$A$2004,0)),""))</f>
        <v/>
      </c>
      <c r="K1859" s="24" t="str">
        <f aca="false">IF($D1859="","",IFERROR(IF(INDEX(Workers!$D$5:$D$2004,MATCH($D1859,Workers!$A$5:$A$2004,0))=0,"",INDEX(Workers!$D$5:$D$2004,MATCH($D1859,Workers!$A$5:$A$2004,0))),""))</f>
        <v/>
      </c>
      <c r="L1859" s="24" t="str">
        <f aca="false">IF($D1859="","",IFERROR(INDEX(Workers!$E$5:$E$2004,MATCH($D1859,Workers!$A$5:$A$2004,0)),""))</f>
        <v/>
      </c>
      <c r="M1859" s="26" t="str">
        <f aca="false">IF($D1859="","",IFERROR(INDEX(ClientRates!$D$5:$D$500,MATCH($B1859&amp;"|"&amp;$L1859,ClientRates!$A$5:$A$500,0)),0))</f>
        <v/>
      </c>
      <c r="N1859" s="26" t="str">
        <f aca="false">IF($D1859="","",IFERROR(INDEX(ClientRates!$E$5:$E$500,MATCH($B1859&amp;"|"&amp;$L1859,ClientRates!$A$5:$A$500,0)),0))</f>
        <v/>
      </c>
      <c r="O1859" s="26" t="str">
        <f aca="false">IF($D1859="","",F1859*M1859+G1859*N1859)</f>
        <v/>
      </c>
      <c r="P1859" s="26" t="str">
        <f aca="false">IF(OR($D1859="",$J1859&lt;&gt;"Supplier"),"",IFERROR(INDEX(SupplierRates!$D$5:$D$500,MATCH($K1859&amp;"|"&amp;$L1859,SupplierRates!$A$5:$A$500,0)),0))</f>
        <v/>
      </c>
      <c r="Q1859" s="26" t="str">
        <f aca="false">IF(OR($D1859="",$J1859&lt;&gt;"Supplier"),"",IFERROR(INDEX(SupplierRates!$E$5:$E$500,MATCH($K1859&amp;"|"&amp;$L1859,SupplierRates!$A$5:$A$500,0)),0))</f>
        <v/>
      </c>
      <c r="R1859" s="26" t="n">
        <f aca="false">IF(OR($D1859="",$J1859&lt;&gt;"Supplier"),0,F1859*P1859+G1859*Q1859)</f>
        <v>0</v>
      </c>
      <c r="S1859" s="26" t="n">
        <f aca="false">IF(OR($D1859="",$J1859&lt;&gt;"Own"),0,IFERROR((F1859+G1859*Settings!$B$13)*INDEX(Workers!$V$5:$V$2004,MATCH($D1859,Workers!$A$5:$A$2004,0)),0))</f>
        <v>0</v>
      </c>
      <c r="T1859" s="26" t="str">
        <f aca="false">IF($D1859="","",O1859-R1859-S1859)</f>
        <v/>
      </c>
    </row>
    <row r="1860" customFormat="false" ht="15" hidden="false" customHeight="false" outlineLevel="0" collapsed="false">
      <c r="I1860" s="24" t="str">
        <f aca="false">IF($D1860="","",IFERROR(INDEX(Workers!$B$5:$B$2004,MATCH($D1860,Workers!$A$5:$A$2004,0)),"NOT FOUND"))</f>
        <v/>
      </c>
      <c r="J1860" s="24" t="str">
        <f aca="false">IF($D1860="","",IFERROR(INDEX(Workers!$C$5:$C$2004,MATCH($D1860,Workers!$A$5:$A$2004,0)),""))</f>
        <v/>
      </c>
      <c r="K1860" s="24" t="str">
        <f aca="false">IF($D1860="","",IFERROR(IF(INDEX(Workers!$D$5:$D$2004,MATCH($D1860,Workers!$A$5:$A$2004,0))=0,"",INDEX(Workers!$D$5:$D$2004,MATCH($D1860,Workers!$A$5:$A$2004,0))),""))</f>
        <v/>
      </c>
      <c r="L1860" s="24" t="str">
        <f aca="false">IF($D1860="","",IFERROR(INDEX(Workers!$E$5:$E$2004,MATCH($D1860,Workers!$A$5:$A$2004,0)),""))</f>
        <v/>
      </c>
      <c r="M1860" s="26" t="str">
        <f aca="false">IF($D1860="","",IFERROR(INDEX(ClientRates!$D$5:$D$500,MATCH($B1860&amp;"|"&amp;$L1860,ClientRates!$A$5:$A$500,0)),0))</f>
        <v/>
      </c>
      <c r="N1860" s="26" t="str">
        <f aca="false">IF($D1860="","",IFERROR(INDEX(ClientRates!$E$5:$E$500,MATCH($B1860&amp;"|"&amp;$L1860,ClientRates!$A$5:$A$500,0)),0))</f>
        <v/>
      </c>
      <c r="O1860" s="26" t="str">
        <f aca="false">IF($D1860="","",F1860*M1860+G1860*N1860)</f>
        <v/>
      </c>
      <c r="P1860" s="26" t="str">
        <f aca="false">IF(OR($D1860="",$J1860&lt;&gt;"Supplier"),"",IFERROR(INDEX(SupplierRates!$D$5:$D$500,MATCH($K1860&amp;"|"&amp;$L1860,SupplierRates!$A$5:$A$500,0)),0))</f>
        <v/>
      </c>
      <c r="Q1860" s="26" t="str">
        <f aca="false">IF(OR($D1860="",$J1860&lt;&gt;"Supplier"),"",IFERROR(INDEX(SupplierRates!$E$5:$E$500,MATCH($K1860&amp;"|"&amp;$L1860,SupplierRates!$A$5:$A$500,0)),0))</f>
        <v/>
      </c>
      <c r="R1860" s="26" t="n">
        <f aca="false">IF(OR($D1860="",$J1860&lt;&gt;"Supplier"),0,F1860*P1860+G1860*Q1860)</f>
        <v>0</v>
      </c>
      <c r="S1860" s="26" t="n">
        <f aca="false">IF(OR($D1860="",$J1860&lt;&gt;"Own"),0,IFERROR((F1860+G1860*Settings!$B$13)*INDEX(Workers!$V$5:$V$2004,MATCH($D1860,Workers!$A$5:$A$2004,0)),0))</f>
        <v>0</v>
      </c>
      <c r="T1860" s="26" t="str">
        <f aca="false">IF($D1860="","",O1860-R1860-S1860)</f>
        <v/>
      </c>
    </row>
    <row r="1861" customFormat="false" ht="15" hidden="false" customHeight="false" outlineLevel="0" collapsed="false">
      <c r="I1861" s="24" t="str">
        <f aca="false">IF($D1861="","",IFERROR(INDEX(Workers!$B$5:$B$2004,MATCH($D1861,Workers!$A$5:$A$2004,0)),"NOT FOUND"))</f>
        <v/>
      </c>
      <c r="J1861" s="24" t="str">
        <f aca="false">IF($D1861="","",IFERROR(INDEX(Workers!$C$5:$C$2004,MATCH($D1861,Workers!$A$5:$A$2004,0)),""))</f>
        <v/>
      </c>
      <c r="K1861" s="24" t="str">
        <f aca="false">IF($D1861="","",IFERROR(IF(INDEX(Workers!$D$5:$D$2004,MATCH($D1861,Workers!$A$5:$A$2004,0))=0,"",INDEX(Workers!$D$5:$D$2004,MATCH($D1861,Workers!$A$5:$A$2004,0))),""))</f>
        <v/>
      </c>
      <c r="L1861" s="24" t="str">
        <f aca="false">IF($D1861="","",IFERROR(INDEX(Workers!$E$5:$E$2004,MATCH($D1861,Workers!$A$5:$A$2004,0)),""))</f>
        <v/>
      </c>
      <c r="M1861" s="26" t="str">
        <f aca="false">IF($D1861="","",IFERROR(INDEX(ClientRates!$D$5:$D$500,MATCH($B1861&amp;"|"&amp;$L1861,ClientRates!$A$5:$A$500,0)),0))</f>
        <v/>
      </c>
      <c r="N1861" s="26" t="str">
        <f aca="false">IF($D1861="","",IFERROR(INDEX(ClientRates!$E$5:$E$500,MATCH($B1861&amp;"|"&amp;$L1861,ClientRates!$A$5:$A$500,0)),0))</f>
        <v/>
      </c>
      <c r="O1861" s="26" t="str">
        <f aca="false">IF($D1861="","",F1861*M1861+G1861*N1861)</f>
        <v/>
      </c>
      <c r="P1861" s="26" t="str">
        <f aca="false">IF(OR($D1861="",$J1861&lt;&gt;"Supplier"),"",IFERROR(INDEX(SupplierRates!$D$5:$D$500,MATCH($K1861&amp;"|"&amp;$L1861,SupplierRates!$A$5:$A$500,0)),0))</f>
        <v/>
      </c>
      <c r="Q1861" s="26" t="str">
        <f aca="false">IF(OR($D1861="",$J1861&lt;&gt;"Supplier"),"",IFERROR(INDEX(SupplierRates!$E$5:$E$500,MATCH($K1861&amp;"|"&amp;$L1861,SupplierRates!$A$5:$A$500,0)),0))</f>
        <v/>
      </c>
      <c r="R1861" s="26" t="n">
        <f aca="false">IF(OR($D1861="",$J1861&lt;&gt;"Supplier"),0,F1861*P1861+G1861*Q1861)</f>
        <v>0</v>
      </c>
      <c r="S1861" s="26" t="n">
        <f aca="false">IF(OR($D1861="",$J1861&lt;&gt;"Own"),0,IFERROR((F1861+G1861*Settings!$B$13)*INDEX(Workers!$V$5:$V$2004,MATCH($D1861,Workers!$A$5:$A$2004,0)),0))</f>
        <v>0</v>
      </c>
      <c r="T1861" s="26" t="str">
        <f aca="false">IF($D1861="","",O1861-R1861-S1861)</f>
        <v/>
      </c>
    </row>
    <row r="1862" customFormat="false" ht="15" hidden="false" customHeight="false" outlineLevel="0" collapsed="false">
      <c r="I1862" s="24" t="str">
        <f aca="false">IF($D1862="","",IFERROR(INDEX(Workers!$B$5:$B$2004,MATCH($D1862,Workers!$A$5:$A$2004,0)),"NOT FOUND"))</f>
        <v/>
      </c>
      <c r="J1862" s="24" t="str">
        <f aca="false">IF($D1862="","",IFERROR(INDEX(Workers!$C$5:$C$2004,MATCH($D1862,Workers!$A$5:$A$2004,0)),""))</f>
        <v/>
      </c>
      <c r="K1862" s="24" t="str">
        <f aca="false">IF($D1862="","",IFERROR(IF(INDEX(Workers!$D$5:$D$2004,MATCH($D1862,Workers!$A$5:$A$2004,0))=0,"",INDEX(Workers!$D$5:$D$2004,MATCH($D1862,Workers!$A$5:$A$2004,0))),""))</f>
        <v/>
      </c>
      <c r="L1862" s="24" t="str">
        <f aca="false">IF($D1862="","",IFERROR(INDEX(Workers!$E$5:$E$2004,MATCH($D1862,Workers!$A$5:$A$2004,0)),""))</f>
        <v/>
      </c>
      <c r="M1862" s="26" t="str">
        <f aca="false">IF($D1862="","",IFERROR(INDEX(ClientRates!$D$5:$D$500,MATCH($B1862&amp;"|"&amp;$L1862,ClientRates!$A$5:$A$500,0)),0))</f>
        <v/>
      </c>
      <c r="N1862" s="26" t="str">
        <f aca="false">IF($D1862="","",IFERROR(INDEX(ClientRates!$E$5:$E$500,MATCH($B1862&amp;"|"&amp;$L1862,ClientRates!$A$5:$A$500,0)),0))</f>
        <v/>
      </c>
      <c r="O1862" s="26" t="str">
        <f aca="false">IF($D1862="","",F1862*M1862+G1862*N1862)</f>
        <v/>
      </c>
      <c r="P1862" s="26" t="str">
        <f aca="false">IF(OR($D1862="",$J1862&lt;&gt;"Supplier"),"",IFERROR(INDEX(SupplierRates!$D$5:$D$500,MATCH($K1862&amp;"|"&amp;$L1862,SupplierRates!$A$5:$A$500,0)),0))</f>
        <v/>
      </c>
      <c r="Q1862" s="26" t="str">
        <f aca="false">IF(OR($D1862="",$J1862&lt;&gt;"Supplier"),"",IFERROR(INDEX(SupplierRates!$E$5:$E$500,MATCH($K1862&amp;"|"&amp;$L1862,SupplierRates!$A$5:$A$500,0)),0))</f>
        <v/>
      </c>
      <c r="R1862" s="26" t="n">
        <f aca="false">IF(OR($D1862="",$J1862&lt;&gt;"Supplier"),0,F1862*P1862+G1862*Q1862)</f>
        <v>0</v>
      </c>
      <c r="S1862" s="26" t="n">
        <f aca="false">IF(OR($D1862="",$J1862&lt;&gt;"Own"),0,IFERROR((F1862+G1862*Settings!$B$13)*INDEX(Workers!$V$5:$V$2004,MATCH($D1862,Workers!$A$5:$A$2004,0)),0))</f>
        <v>0</v>
      </c>
      <c r="T1862" s="26" t="str">
        <f aca="false">IF($D1862="","",O1862-R1862-S1862)</f>
        <v/>
      </c>
    </row>
    <row r="1863" customFormat="false" ht="15" hidden="false" customHeight="false" outlineLevel="0" collapsed="false">
      <c r="I1863" s="24" t="str">
        <f aca="false">IF($D1863="","",IFERROR(INDEX(Workers!$B$5:$B$2004,MATCH($D1863,Workers!$A$5:$A$2004,0)),"NOT FOUND"))</f>
        <v/>
      </c>
      <c r="J1863" s="24" t="str">
        <f aca="false">IF($D1863="","",IFERROR(INDEX(Workers!$C$5:$C$2004,MATCH($D1863,Workers!$A$5:$A$2004,0)),""))</f>
        <v/>
      </c>
      <c r="K1863" s="24" t="str">
        <f aca="false">IF($D1863="","",IFERROR(IF(INDEX(Workers!$D$5:$D$2004,MATCH($D1863,Workers!$A$5:$A$2004,0))=0,"",INDEX(Workers!$D$5:$D$2004,MATCH($D1863,Workers!$A$5:$A$2004,0))),""))</f>
        <v/>
      </c>
      <c r="L1863" s="24" t="str">
        <f aca="false">IF($D1863="","",IFERROR(INDEX(Workers!$E$5:$E$2004,MATCH($D1863,Workers!$A$5:$A$2004,0)),""))</f>
        <v/>
      </c>
      <c r="M1863" s="26" t="str">
        <f aca="false">IF($D1863="","",IFERROR(INDEX(ClientRates!$D$5:$D$500,MATCH($B1863&amp;"|"&amp;$L1863,ClientRates!$A$5:$A$500,0)),0))</f>
        <v/>
      </c>
      <c r="N1863" s="26" t="str">
        <f aca="false">IF($D1863="","",IFERROR(INDEX(ClientRates!$E$5:$E$500,MATCH($B1863&amp;"|"&amp;$L1863,ClientRates!$A$5:$A$500,0)),0))</f>
        <v/>
      </c>
      <c r="O1863" s="26" t="str">
        <f aca="false">IF($D1863="","",F1863*M1863+G1863*N1863)</f>
        <v/>
      </c>
      <c r="P1863" s="26" t="str">
        <f aca="false">IF(OR($D1863="",$J1863&lt;&gt;"Supplier"),"",IFERROR(INDEX(SupplierRates!$D$5:$D$500,MATCH($K1863&amp;"|"&amp;$L1863,SupplierRates!$A$5:$A$500,0)),0))</f>
        <v/>
      </c>
      <c r="Q1863" s="26" t="str">
        <f aca="false">IF(OR($D1863="",$J1863&lt;&gt;"Supplier"),"",IFERROR(INDEX(SupplierRates!$E$5:$E$500,MATCH($K1863&amp;"|"&amp;$L1863,SupplierRates!$A$5:$A$500,0)),0))</f>
        <v/>
      </c>
      <c r="R1863" s="26" t="n">
        <f aca="false">IF(OR($D1863="",$J1863&lt;&gt;"Supplier"),0,F1863*P1863+G1863*Q1863)</f>
        <v>0</v>
      </c>
      <c r="S1863" s="26" t="n">
        <f aca="false">IF(OR($D1863="",$J1863&lt;&gt;"Own"),0,IFERROR((F1863+G1863*Settings!$B$13)*INDEX(Workers!$V$5:$V$2004,MATCH($D1863,Workers!$A$5:$A$2004,0)),0))</f>
        <v>0</v>
      </c>
      <c r="T1863" s="26" t="str">
        <f aca="false">IF($D1863="","",O1863-R1863-S1863)</f>
        <v/>
      </c>
    </row>
    <row r="1864" customFormat="false" ht="15" hidden="false" customHeight="false" outlineLevel="0" collapsed="false">
      <c r="I1864" s="24" t="str">
        <f aca="false">IF($D1864="","",IFERROR(INDEX(Workers!$B$5:$B$2004,MATCH($D1864,Workers!$A$5:$A$2004,0)),"NOT FOUND"))</f>
        <v/>
      </c>
      <c r="J1864" s="24" t="str">
        <f aca="false">IF($D1864="","",IFERROR(INDEX(Workers!$C$5:$C$2004,MATCH($D1864,Workers!$A$5:$A$2004,0)),""))</f>
        <v/>
      </c>
      <c r="K1864" s="24" t="str">
        <f aca="false">IF($D1864="","",IFERROR(IF(INDEX(Workers!$D$5:$D$2004,MATCH($D1864,Workers!$A$5:$A$2004,0))=0,"",INDEX(Workers!$D$5:$D$2004,MATCH($D1864,Workers!$A$5:$A$2004,0))),""))</f>
        <v/>
      </c>
      <c r="L1864" s="24" t="str">
        <f aca="false">IF($D1864="","",IFERROR(INDEX(Workers!$E$5:$E$2004,MATCH($D1864,Workers!$A$5:$A$2004,0)),""))</f>
        <v/>
      </c>
      <c r="M1864" s="26" t="str">
        <f aca="false">IF($D1864="","",IFERROR(INDEX(ClientRates!$D$5:$D$500,MATCH($B1864&amp;"|"&amp;$L1864,ClientRates!$A$5:$A$500,0)),0))</f>
        <v/>
      </c>
      <c r="N1864" s="26" t="str">
        <f aca="false">IF($D1864="","",IFERROR(INDEX(ClientRates!$E$5:$E$500,MATCH($B1864&amp;"|"&amp;$L1864,ClientRates!$A$5:$A$500,0)),0))</f>
        <v/>
      </c>
      <c r="O1864" s="26" t="str">
        <f aca="false">IF($D1864="","",F1864*M1864+G1864*N1864)</f>
        <v/>
      </c>
      <c r="P1864" s="26" t="str">
        <f aca="false">IF(OR($D1864="",$J1864&lt;&gt;"Supplier"),"",IFERROR(INDEX(SupplierRates!$D$5:$D$500,MATCH($K1864&amp;"|"&amp;$L1864,SupplierRates!$A$5:$A$500,0)),0))</f>
        <v/>
      </c>
      <c r="Q1864" s="26" t="str">
        <f aca="false">IF(OR($D1864="",$J1864&lt;&gt;"Supplier"),"",IFERROR(INDEX(SupplierRates!$E$5:$E$500,MATCH($K1864&amp;"|"&amp;$L1864,SupplierRates!$A$5:$A$500,0)),0))</f>
        <v/>
      </c>
      <c r="R1864" s="26" t="n">
        <f aca="false">IF(OR($D1864="",$J1864&lt;&gt;"Supplier"),0,F1864*P1864+G1864*Q1864)</f>
        <v>0</v>
      </c>
      <c r="S1864" s="26" t="n">
        <f aca="false">IF(OR($D1864="",$J1864&lt;&gt;"Own"),0,IFERROR((F1864+G1864*Settings!$B$13)*INDEX(Workers!$V$5:$V$2004,MATCH($D1864,Workers!$A$5:$A$2004,0)),0))</f>
        <v>0</v>
      </c>
      <c r="T1864" s="26" t="str">
        <f aca="false">IF($D1864="","",O1864-R1864-S1864)</f>
        <v/>
      </c>
    </row>
    <row r="1865" customFormat="false" ht="15" hidden="false" customHeight="false" outlineLevel="0" collapsed="false">
      <c r="I1865" s="24" t="str">
        <f aca="false">IF($D1865="","",IFERROR(INDEX(Workers!$B$5:$B$2004,MATCH($D1865,Workers!$A$5:$A$2004,0)),"NOT FOUND"))</f>
        <v/>
      </c>
      <c r="J1865" s="24" t="str">
        <f aca="false">IF($D1865="","",IFERROR(INDEX(Workers!$C$5:$C$2004,MATCH($D1865,Workers!$A$5:$A$2004,0)),""))</f>
        <v/>
      </c>
      <c r="K1865" s="24" t="str">
        <f aca="false">IF($D1865="","",IFERROR(IF(INDEX(Workers!$D$5:$D$2004,MATCH($D1865,Workers!$A$5:$A$2004,0))=0,"",INDEX(Workers!$D$5:$D$2004,MATCH($D1865,Workers!$A$5:$A$2004,0))),""))</f>
        <v/>
      </c>
      <c r="L1865" s="24" t="str">
        <f aca="false">IF($D1865="","",IFERROR(INDEX(Workers!$E$5:$E$2004,MATCH($D1865,Workers!$A$5:$A$2004,0)),""))</f>
        <v/>
      </c>
      <c r="M1865" s="26" t="str">
        <f aca="false">IF($D1865="","",IFERROR(INDEX(ClientRates!$D$5:$D$500,MATCH($B1865&amp;"|"&amp;$L1865,ClientRates!$A$5:$A$500,0)),0))</f>
        <v/>
      </c>
      <c r="N1865" s="26" t="str">
        <f aca="false">IF($D1865="","",IFERROR(INDEX(ClientRates!$E$5:$E$500,MATCH($B1865&amp;"|"&amp;$L1865,ClientRates!$A$5:$A$500,0)),0))</f>
        <v/>
      </c>
      <c r="O1865" s="26" t="str">
        <f aca="false">IF($D1865="","",F1865*M1865+G1865*N1865)</f>
        <v/>
      </c>
      <c r="P1865" s="26" t="str">
        <f aca="false">IF(OR($D1865="",$J1865&lt;&gt;"Supplier"),"",IFERROR(INDEX(SupplierRates!$D$5:$D$500,MATCH($K1865&amp;"|"&amp;$L1865,SupplierRates!$A$5:$A$500,0)),0))</f>
        <v/>
      </c>
      <c r="Q1865" s="26" t="str">
        <f aca="false">IF(OR($D1865="",$J1865&lt;&gt;"Supplier"),"",IFERROR(INDEX(SupplierRates!$E$5:$E$500,MATCH($K1865&amp;"|"&amp;$L1865,SupplierRates!$A$5:$A$500,0)),0))</f>
        <v/>
      </c>
      <c r="R1865" s="26" t="n">
        <f aca="false">IF(OR($D1865="",$J1865&lt;&gt;"Supplier"),0,F1865*P1865+G1865*Q1865)</f>
        <v>0</v>
      </c>
      <c r="S1865" s="26" t="n">
        <f aca="false">IF(OR($D1865="",$J1865&lt;&gt;"Own"),0,IFERROR((F1865+G1865*Settings!$B$13)*INDEX(Workers!$V$5:$V$2004,MATCH($D1865,Workers!$A$5:$A$2004,0)),0))</f>
        <v>0</v>
      </c>
      <c r="T1865" s="26" t="str">
        <f aca="false">IF($D1865="","",O1865-R1865-S1865)</f>
        <v/>
      </c>
    </row>
    <row r="1866" customFormat="false" ht="15" hidden="false" customHeight="false" outlineLevel="0" collapsed="false">
      <c r="I1866" s="24" t="str">
        <f aca="false">IF($D1866="","",IFERROR(INDEX(Workers!$B$5:$B$2004,MATCH($D1866,Workers!$A$5:$A$2004,0)),"NOT FOUND"))</f>
        <v/>
      </c>
      <c r="J1866" s="24" t="str">
        <f aca="false">IF($D1866="","",IFERROR(INDEX(Workers!$C$5:$C$2004,MATCH($D1866,Workers!$A$5:$A$2004,0)),""))</f>
        <v/>
      </c>
      <c r="K1866" s="24" t="str">
        <f aca="false">IF($D1866="","",IFERROR(IF(INDEX(Workers!$D$5:$D$2004,MATCH($D1866,Workers!$A$5:$A$2004,0))=0,"",INDEX(Workers!$D$5:$D$2004,MATCH($D1866,Workers!$A$5:$A$2004,0))),""))</f>
        <v/>
      </c>
      <c r="L1866" s="24" t="str">
        <f aca="false">IF($D1866="","",IFERROR(INDEX(Workers!$E$5:$E$2004,MATCH($D1866,Workers!$A$5:$A$2004,0)),""))</f>
        <v/>
      </c>
      <c r="M1866" s="26" t="str">
        <f aca="false">IF($D1866="","",IFERROR(INDEX(ClientRates!$D$5:$D$500,MATCH($B1866&amp;"|"&amp;$L1866,ClientRates!$A$5:$A$500,0)),0))</f>
        <v/>
      </c>
      <c r="N1866" s="26" t="str">
        <f aca="false">IF($D1866="","",IFERROR(INDEX(ClientRates!$E$5:$E$500,MATCH($B1866&amp;"|"&amp;$L1866,ClientRates!$A$5:$A$500,0)),0))</f>
        <v/>
      </c>
      <c r="O1866" s="26" t="str">
        <f aca="false">IF($D1866="","",F1866*M1866+G1866*N1866)</f>
        <v/>
      </c>
      <c r="P1866" s="26" t="str">
        <f aca="false">IF(OR($D1866="",$J1866&lt;&gt;"Supplier"),"",IFERROR(INDEX(SupplierRates!$D$5:$D$500,MATCH($K1866&amp;"|"&amp;$L1866,SupplierRates!$A$5:$A$500,0)),0))</f>
        <v/>
      </c>
      <c r="Q1866" s="26" t="str">
        <f aca="false">IF(OR($D1866="",$J1866&lt;&gt;"Supplier"),"",IFERROR(INDEX(SupplierRates!$E$5:$E$500,MATCH($K1866&amp;"|"&amp;$L1866,SupplierRates!$A$5:$A$500,0)),0))</f>
        <v/>
      </c>
      <c r="R1866" s="26" t="n">
        <f aca="false">IF(OR($D1866="",$J1866&lt;&gt;"Supplier"),0,F1866*P1866+G1866*Q1866)</f>
        <v>0</v>
      </c>
      <c r="S1866" s="26" t="n">
        <f aca="false">IF(OR($D1866="",$J1866&lt;&gt;"Own"),0,IFERROR((F1866+G1866*Settings!$B$13)*INDEX(Workers!$V$5:$V$2004,MATCH($D1866,Workers!$A$5:$A$2004,0)),0))</f>
        <v>0</v>
      </c>
      <c r="T1866" s="26" t="str">
        <f aca="false">IF($D1866="","",O1866-R1866-S1866)</f>
        <v/>
      </c>
    </row>
    <row r="1867" customFormat="false" ht="15" hidden="false" customHeight="false" outlineLevel="0" collapsed="false">
      <c r="I1867" s="24" t="str">
        <f aca="false">IF($D1867="","",IFERROR(INDEX(Workers!$B$5:$B$2004,MATCH($D1867,Workers!$A$5:$A$2004,0)),"NOT FOUND"))</f>
        <v/>
      </c>
      <c r="J1867" s="24" t="str">
        <f aca="false">IF($D1867="","",IFERROR(INDEX(Workers!$C$5:$C$2004,MATCH($D1867,Workers!$A$5:$A$2004,0)),""))</f>
        <v/>
      </c>
      <c r="K1867" s="24" t="str">
        <f aca="false">IF($D1867="","",IFERROR(IF(INDEX(Workers!$D$5:$D$2004,MATCH($D1867,Workers!$A$5:$A$2004,0))=0,"",INDEX(Workers!$D$5:$D$2004,MATCH($D1867,Workers!$A$5:$A$2004,0))),""))</f>
        <v/>
      </c>
      <c r="L1867" s="24" t="str">
        <f aca="false">IF($D1867="","",IFERROR(INDEX(Workers!$E$5:$E$2004,MATCH($D1867,Workers!$A$5:$A$2004,0)),""))</f>
        <v/>
      </c>
      <c r="M1867" s="26" t="str">
        <f aca="false">IF($D1867="","",IFERROR(INDEX(ClientRates!$D$5:$D$500,MATCH($B1867&amp;"|"&amp;$L1867,ClientRates!$A$5:$A$500,0)),0))</f>
        <v/>
      </c>
      <c r="N1867" s="26" t="str">
        <f aca="false">IF($D1867="","",IFERROR(INDEX(ClientRates!$E$5:$E$500,MATCH($B1867&amp;"|"&amp;$L1867,ClientRates!$A$5:$A$500,0)),0))</f>
        <v/>
      </c>
      <c r="O1867" s="26" t="str">
        <f aca="false">IF($D1867="","",F1867*M1867+G1867*N1867)</f>
        <v/>
      </c>
      <c r="P1867" s="26" t="str">
        <f aca="false">IF(OR($D1867="",$J1867&lt;&gt;"Supplier"),"",IFERROR(INDEX(SupplierRates!$D$5:$D$500,MATCH($K1867&amp;"|"&amp;$L1867,SupplierRates!$A$5:$A$500,0)),0))</f>
        <v/>
      </c>
      <c r="Q1867" s="26" t="str">
        <f aca="false">IF(OR($D1867="",$J1867&lt;&gt;"Supplier"),"",IFERROR(INDEX(SupplierRates!$E$5:$E$500,MATCH($K1867&amp;"|"&amp;$L1867,SupplierRates!$A$5:$A$500,0)),0))</f>
        <v/>
      </c>
      <c r="R1867" s="26" t="n">
        <f aca="false">IF(OR($D1867="",$J1867&lt;&gt;"Supplier"),0,F1867*P1867+G1867*Q1867)</f>
        <v>0</v>
      </c>
      <c r="S1867" s="26" t="n">
        <f aca="false">IF(OR($D1867="",$J1867&lt;&gt;"Own"),0,IFERROR((F1867+G1867*Settings!$B$13)*INDEX(Workers!$V$5:$V$2004,MATCH($D1867,Workers!$A$5:$A$2004,0)),0))</f>
        <v>0</v>
      </c>
      <c r="T1867" s="26" t="str">
        <f aca="false">IF($D1867="","",O1867-R1867-S1867)</f>
        <v/>
      </c>
    </row>
    <row r="1868" customFormat="false" ht="15" hidden="false" customHeight="false" outlineLevel="0" collapsed="false">
      <c r="I1868" s="24" t="str">
        <f aca="false">IF($D1868="","",IFERROR(INDEX(Workers!$B$5:$B$2004,MATCH($D1868,Workers!$A$5:$A$2004,0)),"NOT FOUND"))</f>
        <v/>
      </c>
      <c r="J1868" s="24" t="str">
        <f aca="false">IF($D1868="","",IFERROR(INDEX(Workers!$C$5:$C$2004,MATCH($D1868,Workers!$A$5:$A$2004,0)),""))</f>
        <v/>
      </c>
      <c r="K1868" s="24" t="str">
        <f aca="false">IF($D1868="","",IFERROR(IF(INDEX(Workers!$D$5:$D$2004,MATCH($D1868,Workers!$A$5:$A$2004,0))=0,"",INDEX(Workers!$D$5:$D$2004,MATCH($D1868,Workers!$A$5:$A$2004,0))),""))</f>
        <v/>
      </c>
      <c r="L1868" s="24" t="str">
        <f aca="false">IF($D1868="","",IFERROR(INDEX(Workers!$E$5:$E$2004,MATCH($D1868,Workers!$A$5:$A$2004,0)),""))</f>
        <v/>
      </c>
      <c r="M1868" s="26" t="str">
        <f aca="false">IF($D1868="","",IFERROR(INDEX(ClientRates!$D$5:$D$500,MATCH($B1868&amp;"|"&amp;$L1868,ClientRates!$A$5:$A$500,0)),0))</f>
        <v/>
      </c>
      <c r="N1868" s="26" t="str">
        <f aca="false">IF($D1868="","",IFERROR(INDEX(ClientRates!$E$5:$E$500,MATCH($B1868&amp;"|"&amp;$L1868,ClientRates!$A$5:$A$500,0)),0))</f>
        <v/>
      </c>
      <c r="O1868" s="26" t="str">
        <f aca="false">IF($D1868="","",F1868*M1868+G1868*N1868)</f>
        <v/>
      </c>
      <c r="P1868" s="26" t="str">
        <f aca="false">IF(OR($D1868="",$J1868&lt;&gt;"Supplier"),"",IFERROR(INDEX(SupplierRates!$D$5:$D$500,MATCH($K1868&amp;"|"&amp;$L1868,SupplierRates!$A$5:$A$500,0)),0))</f>
        <v/>
      </c>
      <c r="Q1868" s="26" t="str">
        <f aca="false">IF(OR($D1868="",$J1868&lt;&gt;"Supplier"),"",IFERROR(INDEX(SupplierRates!$E$5:$E$500,MATCH($K1868&amp;"|"&amp;$L1868,SupplierRates!$A$5:$A$500,0)),0))</f>
        <v/>
      </c>
      <c r="R1868" s="26" t="n">
        <f aca="false">IF(OR($D1868="",$J1868&lt;&gt;"Supplier"),0,F1868*P1868+G1868*Q1868)</f>
        <v>0</v>
      </c>
      <c r="S1868" s="26" t="n">
        <f aca="false">IF(OR($D1868="",$J1868&lt;&gt;"Own"),0,IFERROR((F1868+G1868*Settings!$B$13)*INDEX(Workers!$V$5:$V$2004,MATCH($D1868,Workers!$A$5:$A$2004,0)),0))</f>
        <v>0</v>
      </c>
      <c r="T1868" s="26" t="str">
        <f aca="false">IF($D1868="","",O1868-R1868-S1868)</f>
        <v/>
      </c>
    </row>
    <row r="1869" customFormat="false" ht="15" hidden="false" customHeight="false" outlineLevel="0" collapsed="false">
      <c r="I1869" s="24" t="str">
        <f aca="false">IF($D1869="","",IFERROR(INDEX(Workers!$B$5:$B$2004,MATCH($D1869,Workers!$A$5:$A$2004,0)),"NOT FOUND"))</f>
        <v/>
      </c>
      <c r="J1869" s="24" t="str">
        <f aca="false">IF($D1869="","",IFERROR(INDEX(Workers!$C$5:$C$2004,MATCH($D1869,Workers!$A$5:$A$2004,0)),""))</f>
        <v/>
      </c>
      <c r="K1869" s="24" t="str">
        <f aca="false">IF($D1869="","",IFERROR(IF(INDEX(Workers!$D$5:$D$2004,MATCH($D1869,Workers!$A$5:$A$2004,0))=0,"",INDEX(Workers!$D$5:$D$2004,MATCH($D1869,Workers!$A$5:$A$2004,0))),""))</f>
        <v/>
      </c>
      <c r="L1869" s="24" t="str">
        <f aca="false">IF($D1869="","",IFERROR(INDEX(Workers!$E$5:$E$2004,MATCH($D1869,Workers!$A$5:$A$2004,0)),""))</f>
        <v/>
      </c>
      <c r="M1869" s="26" t="str">
        <f aca="false">IF($D1869="","",IFERROR(INDEX(ClientRates!$D$5:$D$500,MATCH($B1869&amp;"|"&amp;$L1869,ClientRates!$A$5:$A$500,0)),0))</f>
        <v/>
      </c>
      <c r="N1869" s="26" t="str">
        <f aca="false">IF($D1869="","",IFERROR(INDEX(ClientRates!$E$5:$E$500,MATCH($B1869&amp;"|"&amp;$L1869,ClientRates!$A$5:$A$500,0)),0))</f>
        <v/>
      </c>
      <c r="O1869" s="26" t="str">
        <f aca="false">IF($D1869="","",F1869*M1869+G1869*N1869)</f>
        <v/>
      </c>
      <c r="P1869" s="26" t="str">
        <f aca="false">IF(OR($D1869="",$J1869&lt;&gt;"Supplier"),"",IFERROR(INDEX(SupplierRates!$D$5:$D$500,MATCH($K1869&amp;"|"&amp;$L1869,SupplierRates!$A$5:$A$500,0)),0))</f>
        <v/>
      </c>
      <c r="Q1869" s="26" t="str">
        <f aca="false">IF(OR($D1869="",$J1869&lt;&gt;"Supplier"),"",IFERROR(INDEX(SupplierRates!$E$5:$E$500,MATCH($K1869&amp;"|"&amp;$L1869,SupplierRates!$A$5:$A$500,0)),0))</f>
        <v/>
      </c>
      <c r="R1869" s="26" t="n">
        <f aca="false">IF(OR($D1869="",$J1869&lt;&gt;"Supplier"),0,F1869*P1869+G1869*Q1869)</f>
        <v>0</v>
      </c>
      <c r="S1869" s="26" t="n">
        <f aca="false">IF(OR($D1869="",$J1869&lt;&gt;"Own"),0,IFERROR((F1869+G1869*Settings!$B$13)*INDEX(Workers!$V$5:$V$2004,MATCH($D1869,Workers!$A$5:$A$2004,0)),0))</f>
        <v>0</v>
      </c>
      <c r="T1869" s="26" t="str">
        <f aca="false">IF($D1869="","",O1869-R1869-S1869)</f>
        <v/>
      </c>
    </row>
    <row r="1870" customFormat="false" ht="15" hidden="false" customHeight="false" outlineLevel="0" collapsed="false">
      <c r="I1870" s="24" t="str">
        <f aca="false">IF($D1870="","",IFERROR(INDEX(Workers!$B$5:$B$2004,MATCH($D1870,Workers!$A$5:$A$2004,0)),"NOT FOUND"))</f>
        <v/>
      </c>
      <c r="J1870" s="24" t="str">
        <f aca="false">IF($D1870="","",IFERROR(INDEX(Workers!$C$5:$C$2004,MATCH($D1870,Workers!$A$5:$A$2004,0)),""))</f>
        <v/>
      </c>
      <c r="K1870" s="24" t="str">
        <f aca="false">IF($D1870="","",IFERROR(IF(INDEX(Workers!$D$5:$D$2004,MATCH($D1870,Workers!$A$5:$A$2004,0))=0,"",INDEX(Workers!$D$5:$D$2004,MATCH($D1870,Workers!$A$5:$A$2004,0))),""))</f>
        <v/>
      </c>
      <c r="L1870" s="24" t="str">
        <f aca="false">IF($D1870="","",IFERROR(INDEX(Workers!$E$5:$E$2004,MATCH($D1870,Workers!$A$5:$A$2004,0)),""))</f>
        <v/>
      </c>
      <c r="M1870" s="26" t="str">
        <f aca="false">IF($D1870="","",IFERROR(INDEX(ClientRates!$D$5:$D$500,MATCH($B1870&amp;"|"&amp;$L1870,ClientRates!$A$5:$A$500,0)),0))</f>
        <v/>
      </c>
      <c r="N1870" s="26" t="str">
        <f aca="false">IF($D1870="","",IFERROR(INDEX(ClientRates!$E$5:$E$500,MATCH($B1870&amp;"|"&amp;$L1870,ClientRates!$A$5:$A$500,0)),0))</f>
        <v/>
      </c>
      <c r="O1870" s="26" t="str">
        <f aca="false">IF($D1870="","",F1870*M1870+G1870*N1870)</f>
        <v/>
      </c>
      <c r="P1870" s="26" t="str">
        <f aca="false">IF(OR($D1870="",$J1870&lt;&gt;"Supplier"),"",IFERROR(INDEX(SupplierRates!$D$5:$D$500,MATCH($K1870&amp;"|"&amp;$L1870,SupplierRates!$A$5:$A$500,0)),0))</f>
        <v/>
      </c>
      <c r="Q1870" s="26" t="str">
        <f aca="false">IF(OR($D1870="",$J1870&lt;&gt;"Supplier"),"",IFERROR(INDEX(SupplierRates!$E$5:$E$500,MATCH($K1870&amp;"|"&amp;$L1870,SupplierRates!$A$5:$A$500,0)),0))</f>
        <v/>
      </c>
      <c r="R1870" s="26" t="n">
        <f aca="false">IF(OR($D1870="",$J1870&lt;&gt;"Supplier"),0,F1870*P1870+G1870*Q1870)</f>
        <v>0</v>
      </c>
      <c r="S1870" s="26" t="n">
        <f aca="false">IF(OR($D1870="",$J1870&lt;&gt;"Own"),0,IFERROR((F1870+G1870*Settings!$B$13)*INDEX(Workers!$V$5:$V$2004,MATCH($D1870,Workers!$A$5:$A$2004,0)),0))</f>
        <v>0</v>
      </c>
      <c r="T1870" s="26" t="str">
        <f aca="false">IF($D1870="","",O1870-R1870-S1870)</f>
        <v/>
      </c>
    </row>
    <row r="1871" customFormat="false" ht="15" hidden="false" customHeight="false" outlineLevel="0" collapsed="false">
      <c r="I1871" s="24" t="str">
        <f aca="false">IF($D1871="","",IFERROR(INDEX(Workers!$B$5:$B$2004,MATCH($D1871,Workers!$A$5:$A$2004,0)),"NOT FOUND"))</f>
        <v/>
      </c>
      <c r="J1871" s="24" t="str">
        <f aca="false">IF($D1871="","",IFERROR(INDEX(Workers!$C$5:$C$2004,MATCH($D1871,Workers!$A$5:$A$2004,0)),""))</f>
        <v/>
      </c>
      <c r="K1871" s="24" t="str">
        <f aca="false">IF($D1871="","",IFERROR(IF(INDEX(Workers!$D$5:$D$2004,MATCH($D1871,Workers!$A$5:$A$2004,0))=0,"",INDEX(Workers!$D$5:$D$2004,MATCH($D1871,Workers!$A$5:$A$2004,0))),""))</f>
        <v/>
      </c>
      <c r="L1871" s="24" t="str">
        <f aca="false">IF($D1871="","",IFERROR(INDEX(Workers!$E$5:$E$2004,MATCH($D1871,Workers!$A$5:$A$2004,0)),""))</f>
        <v/>
      </c>
      <c r="M1871" s="26" t="str">
        <f aca="false">IF($D1871="","",IFERROR(INDEX(ClientRates!$D$5:$D$500,MATCH($B1871&amp;"|"&amp;$L1871,ClientRates!$A$5:$A$500,0)),0))</f>
        <v/>
      </c>
      <c r="N1871" s="26" t="str">
        <f aca="false">IF($D1871="","",IFERROR(INDEX(ClientRates!$E$5:$E$500,MATCH($B1871&amp;"|"&amp;$L1871,ClientRates!$A$5:$A$500,0)),0))</f>
        <v/>
      </c>
      <c r="O1871" s="26" t="str">
        <f aca="false">IF($D1871="","",F1871*M1871+G1871*N1871)</f>
        <v/>
      </c>
      <c r="P1871" s="26" t="str">
        <f aca="false">IF(OR($D1871="",$J1871&lt;&gt;"Supplier"),"",IFERROR(INDEX(SupplierRates!$D$5:$D$500,MATCH($K1871&amp;"|"&amp;$L1871,SupplierRates!$A$5:$A$500,0)),0))</f>
        <v/>
      </c>
      <c r="Q1871" s="26" t="str">
        <f aca="false">IF(OR($D1871="",$J1871&lt;&gt;"Supplier"),"",IFERROR(INDEX(SupplierRates!$E$5:$E$500,MATCH($K1871&amp;"|"&amp;$L1871,SupplierRates!$A$5:$A$500,0)),0))</f>
        <v/>
      </c>
      <c r="R1871" s="26" t="n">
        <f aca="false">IF(OR($D1871="",$J1871&lt;&gt;"Supplier"),0,F1871*P1871+G1871*Q1871)</f>
        <v>0</v>
      </c>
      <c r="S1871" s="26" t="n">
        <f aca="false">IF(OR($D1871="",$J1871&lt;&gt;"Own"),0,IFERROR((F1871+G1871*Settings!$B$13)*INDEX(Workers!$V$5:$V$2004,MATCH($D1871,Workers!$A$5:$A$2004,0)),0))</f>
        <v>0</v>
      </c>
      <c r="T1871" s="26" t="str">
        <f aca="false">IF($D1871="","",O1871-R1871-S1871)</f>
        <v/>
      </c>
    </row>
    <row r="1872" customFormat="false" ht="15" hidden="false" customHeight="false" outlineLevel="0" collapsed="false">
      <c r="I1872" s="24" t="str">
        <f aca="false">IF($D1872="","",IFERROR(INDEX(Workers!$B$5:$B$2004,MATCH($D1872,Workers!$A$5:$A$2004,0)),"NOT FOUND"))</f>
        <v/>
      </c>
      <c r="J1872" s="24" t="str">
        <f aca="false">IF($D1872="","",IFERROR(INDEX(Workers!$C$5:$C$2004,MATCH($D1872,Workers!$A$5:$A$2004,0)),""))</f>
        <v/>
      </c>
      <c r="K1872" s="24" t="str">
        <f aca="false">IF($D1872="","",IFERROR(IF(INDEX(Workers!$D$5:$D$2004,MATCH($D1872,Workers!$A$5:$A$2004,0))=0,"",INDEX(Workers!$D$5:$D$2004,MATCH($D1872,Workers!$A$5:$A$2004,0))),""))</f>
        <v/>
      </c>
      <c r="L1872" s="24" t="str">
        <f aca="false">IF($D1872="","",IFERROR(INDEX(Workers!$E$5:$E$2004,MATCH($D1872,Workers!$A$5:$A$2004,0)),""))</f>
        <v/>
      </c>
      <c r="M1872" s="26" t="str">
        <f aca="false">IF($D1872="","",IFERROR(INDEX(ClientRates!$D$5:$D$500,MATCH($B1872&amp;"|"&amp;$L1872,ClientRates!$A$5:$A$500,0)),0))</f>
        <v/>
      </c>
      <c r="N1872" s="26" t="str">
        <f aca="false">IF($D1872="","",IFERROR(INDEX(ClientRates!$E$5:$E$500,MATCH($B1872&amp;"|"&amp;$L1872,ClientRates!$A$5:$A$500,0)),0))</f>
        <v/>
      </c>
      <c r="O1872" s="26" t="str">
        <f aca="false">IF($D1872="","",F1872*M1872+G1872*N1872)</f>
        <v/>
      </c>
      <c r="P1872" s="26" t="str">
        <f aca="false">IF(OR($D1872="",$J1872&lt;&gt;"Supplier"),"",IFERROR(INDEX(SupplierRates!$D$5:$D$500,MATCH($K1872&amp;"|"&amp;$L1872,SupplierRates!$A$5:$A$500,0)),0))</f>
        <v/>
      </c>
      <c r="Q1872" s="26" t="str">
        <f aca="false">IF(OR($D1872="",$J1872&lt;&gt;"Supplier"),"",IFERROR(INDEX(SupplierRates!$E$5:$E$500,MATCH($K1872&amp;"|"&amp;$L1872,SupplierRates!$A$5:$A$500,0)),0))</f>
        <v/>
      </c>
      <c r="R1872" s="26" t="n">
        <f aca="false">IF(OR($D1872="",$J1872&lt;&gt;"Supplier"),0,F1872*P1872+G1872*Q1872)</f>
        <v>0</v>
      </c>
      <c r="S1872" s="26" t="n">
        <f aca="false">IF(OR($D1872="",$J1872&lt;&gt;"Own"),0,IFERROR((F1872+G1872*Settings!$B$13)*INDEX(Workers!$V$5:$V$2004,MATCH($D1872,Workers!$A$5:$A$2004,0)),0))</f>
        <v>0</v>
      </c>
      <c r="T1872" s="26" t="str">
        <f aca="false">IF($D1872="","",O1872-R1872-S1872)</f>
        <v/>
      </c>
    </row>
    <row r="1873" customFormat="false" ht="15" hidden="false" customHeight="false" outlineLevel="0" collapsed="false">
      <c r="I1873" s="24" t="str">
        <f aca="false">IF($D1873="","",IFERROR(INDEX(Workers!$B$5:$B$2004,MATCH($D1873,Workers!$A$5:$A$2004,0)),"NOT FOUND"))</f>
        <v/>
      </c>
      <c r="J1873" s="24" t="str">
        <f aca="false">IF($D1873="","",IFERROR(INDEX(Workers!$C$5:$C$2004,MATCH($D1873,Workers!$A$5:$A$2004,0)),""))</f>
        <v/>
      </c>
      <c r="K1873" s="24" t="str">
        <f aca="false">IF($D1873="","",IFERROR(IF(INDEX(Workers!$D$5:$D$2004,MATCH($D1873,Workers!$A$5:$A$2004,0))=0,"",INDEX(Workers!$D$5:$D$2004,MATCH($D1873,Workers!$A$5:$A$2004,0))),""))</f>
        <v/>
      </c>
      <c r="L1873" s="24" t="str">
        <f aca="false">IF($D1873="","",IFERROR(INDEX(Workers!$E$5:$E$2004,MATCH($D1873,Workers!$A$5:$A$2004,0)),""))</f>
        <v/>
      </c>
      <c r="M1873" s="26" t="str">
        <f aca="false">IF($D1873="","",IFERROR(INDEX(ClientRates!$D$5:$D$500,MATCH($B1873&amp;"|"&amp;$L1873,ClientRates!$A$5:$A$500,0)),0))</f>
        <v/>
      </c>
      <c r="N1873" s="26" t="str">
        <f aca="false">IF($D1873="","",IFERROR(INDEX(ClientRates!$E$5:$E$500,MATCH($B1873&amp;"|"&amp;$L1873,ClientRates!$A$5:$A$500,0)),0))</f>
        <v/>
      </c>
      <c r="O1873" s="26" t="str">
        <f aca="false">IF($D1873="","",F1873*M1873+G1873*N1873)</f>
        <v/>
      </c>
      <c r="P1873" s="26" t="str">
        <f aca="false">IF(OR($D1873="",$J1873&lt;&gt;"Supplier"),"",IFERROR(INDEX(SupplierRates!$D$5:$D$500,MATCH($K1873&amp;"|"&amp;$L1873,SupplierRates!$A$5:$A$500,0)),0))</f>
        <v/>
      </c>
      <c r="Q1873" s="26" t="str">
        <f aca="false">IF(OR($D1873="",$J1873&lt;&gt;"Supplier"),"",IFERROR(INDEX(SupplierRates!$E$5:$E$500,MATCH($K1873&amp;"|"&amp;$L1873,SupplierRates!$A$5:$A$500,0)),0))</f>
        <v/>
      </c>
      <c r="R1873" s="26" t="n">
        <f aca="false">IF(OR($D1873="",$J1873&lt;&gt;"Supplier"),0,F1873*P1873+G1873*Q1873)</f>
        <v>0</v>
      </c>
      <c r="S1873" s="26" t="n">
        <f aca="false">IF(OR($D1873="",$J1873&lt;&gt;"Own"),0,IFERROR((F1873+G1873*Settings!$B$13)*INDEX(Workers!$V$5:$V$2004,MATCH($D1873,Workers!$A$5:$A$2004,0)),0))</f>
        <v>0</v>
      </c>
      <c r="T1873" s="26" t="str">
        <f aca="false">IF($D1873="","",O1873-R1873-S1873)</f>
        <v/>
      </c>
    </row>
    <row r="1874" customFormat="false" ht="15" hidden="false" customHeight="false" outlineLevel="0" collapsed="false">
      <c r="I1874" s="24" t="str">
        <f aca="false">IF($D1874="","",IFERROR(INDEX(Workers!$B$5:$B$2004,MATCH($D1874,Workers!$A$5:$A$2004,0)),"NOT FOUND"))</f>
        <v/>
      </c>
      <c r="J1874" s="24" t="str">
        <f aca="false">IF($D1874="","",IFERROR(INDEX(Workers!$C$5:$C$2004,MATCH($D1874,Workers!$A$5:$A$2004,0)),""))</f>
        <v/>
      </c>
      <c r="K1874" s="24" t="str">
        <f aca="false">IF($D1874="","",IFERROR(IF(INDEX(Workers!$D$5:$D$2004,MATCH($D1874,Workers!$A$5:$A$2004,0))=0,"",INDEX(Workers!$D$5:$D$2004,MATCH($D1874,Workers!$A$5:$A$2004,0))),""))</f>
        <v/>
      </c>
      <c r="L1874" s="24" t="str">
        <f aca="false">IF($D1874="","",IFERROR(INDEX(Workers!$E$5:$E$2004,MATCH($D1874,Workers!$A$5:$A$2004,0)),""))</f>
        <v/>
      </c>
      <c r="M1874" s="26" t="str">
        <f aca="false">IF($D1874="","",IFERROR(INDEX(ClientRates!$D$5:$D$500,MATCH($B1874&amp;"|"&amp;$L1874,ClientRates!$A$5:$A$500,0)),0))</f>
        <v/>
      </c>
      <c r="N1874" s="26" t="str">
        <f aca="false">IF($D1874="","",IFERROR(INDEX(ClientRates!$E$5:$E$500,MATCH($B1874&amp;"|"&amp;$L1874,ClientRates!$A$5:$A$500,0)),0))</f>
        <v/>
      </c>
      <c r="O1874" s="26" t="str">
        <f aca="false">IF($D1874="","",F1874*M1874+G1874*N1874)</f>
        <v/>
      </c>
      <c r="P1874" s="26" t="str">
        <f aca="false">IF(OR($D1874="",$J1874&lt;&gt;"Supplier"),"",IFERROR(INDEX(SupplierRates!$D$5:$D$500,MATCH($K1874&amp;"|"&amp;$L1874,SupplierRates!$A$5:$A$500,0)),0))</f>
        <v/>
      </c>
      <c r="Q1874" s="26" t="str">
        <f aca="false">IF(OR($D1874="",$J1874&lt;&gt;"Supplier"),"",IFERROR(INDEX(SupplierRates!$E$5:$E$500,MATCH($K1874&amp;"|"&amp;$L1874,SupplierRates!$A$5:$A$500,0)),0))</f>
        <v/>
      </c>
      <c r="R1874" s="26" t="n">
        <f aca="false">IF(OR($D1874="",$J1874&lt;&gt;"Supplier"),0,F1874*P1874+G1874*Q1874)</f>
        <v>0</v>
      </c>
      <c r="S1874" s="26" t="n">
        <f aca="false">IF(OR($D1874="",$J1874&lt;&gt;"Own"),0,IFERROR((F1874+G1874*Settings!$B$13)*INDEX(Workers!$V$5:$V$2004,MATCH($D1874,Workers!$A$5:$A$2004,0)),0))</f>
        <v>0</v>
      </c>
      <c r="T1874" s="26" t="str">
        <f aca="false">IF($D1874="","",O1874-R1874-S1874)</f>
        <v/>
      </c>
    </row>
    <row r="1875" customFormat="false" ht="15" hidden="false" customHeight="false" outlineLevel="0" collapsed="false">
      <c r="I1875" s="24" t="str">
        <f aca="false">IF($D1875="","",IFERROR(INDEX(Workers!$B$5:$B$2004,MATCH($D1875,Workers!$A$5:$A$2004,0)),"NOT FOUND"))</f>
        <v/>
      </c>
      <c r="J1875" s="24" t="str">
        <f aca="false">IF($D1875="","",IFERROR(INDEX(Workers!$C$5:$C$2004,MATCH($D1875,Workers!$A$5:$A$2004,0)),""))</f>
        <v/>
      </c>
      <c r="K1875" s="24" t="str">
        <f aca="false">IF($D1875="","",IFERROR(IF(INDEX(Workers!$D$5:$D$2004,MATCH($D1875,Workers!$A$5:$A$2004,0))=0,"",INDEX(Workers!$D$5:$D$2004,MATCH($D1875,Workers!$A$5:$A$2004,0))),""))</f>
        <v/>
      </c>
      <c r="L1875" s="24" t="str">
        <f aca="false">IF($D1875="","",IFERROR(INDEX(Workers!$E$5:$E$2004,MATCH($D1875,Workers!$A$5:$A$2004,0)),""))</f>
        <v/>
      </c>
      <c r="M1875" s="26" t="str">
        <f aca="false">IF($D1875="","",IFERROR(INDEX(ClientRates!$D$5:$D$500,MATCH($B1875&amp;"|"&amp;$L1875,ClientRates!$A$5:$A$500,0)),0))</f>
        <v/>
      </c>
      <c r="N1875" s="26" t="str">
        <f aca="false">IF($D1875="","",IFERROR(INDEX(ClientRates!$E$5:$E$500,MATCH($B1875&amp;"|"&amp;$L1875,ClientRates!$A$5:$A$500,0)),0))</f>
        <v/>
      </c>
      <c r="O1875" s="26" t="str">
        <f aca="false">IF($D1875="","",F1875*M1875+G1875*N1875)</f>
        <v/>
      </c>
      <c r="P1875" s="26" t="str">
        <f aca="false">IF(OR($D1875="",$J1875&lt;&gt;"Supplier"),"",IFERROR(INDEX(SupplierRates!$D$5:$D$500,MATCH($K1875&amp;"|"&amp;$L1875,SupplierRates!$A$5:$A$500,0)),0))</f>
        <v/>
      </c>
      <c r="Q1875" s="26" t="str">
        <f aca="false">IF(OR($D1875="",$J1875&lt;&gt;"Supplier"),"",IFERROR(INDEX(SupplierRates!$E$5:$E$500,MATCH($K1875&amp;"|"&amp;$L1875,SupplierRates!$A$5:$A$500,0)),0))</f>
        <v/>
      </c>
      <c r="R1875" s="26" t="n">
        <f aca="false">IF(OR($D1875="",$J1875&lt;&gt;"Supplier"),0,F1875*P1875+G1875*Q1875)</f>
        <v>0</v>
      </c>
      <c r="S1875" s="26" t="n">
        <f aca="false">IF(OR($D1875="",$J1875&lt;&gt;"Own"),0,IFERROR((F1875+G1875*Settings!$B$13)*INDEX(Workers!$V$5:$V$2004,MATCH($D1875,Workers!$A$5:$A$2004,0)),0))</f>
        <v>0</v>
      </c>
      <c r="T1875" s="26" t="str">
        <f aca="false">IF($D1875="","",O1875-R1875-S1875)</f>
        <v/>
      </c>
    </row>
    <row r="1876" customFormat="false" ht="15" hidden="false" customHeight="false" outlineLevel="0" collapsed="false">
      <c r="I1876" s="24" t="str">
        <f aca="false">IF($D1876="","",IFERROR(INDEX(Workers!$B$5:$B$2004,MATCH($D1876,Workers!$A$5:$A$2004,0)),"NOT FOUND"))</f>
        <v/>
      </c>
      <c r="J1876" s="24" t="str">
        <f aca="false">IF($D1876="","",IFERROR(INDEX(Workers!$C$5:$C$2004,MATCH($D1876,Workers!$A$5:$A$2004,0)),""))</f>
        <v/>
      </c>
      <c r="K1876" s="24" t="str">
        <f aca="false">IF($D1876="","",IFERROR(IF(INDEX(Workers!$D$5:$D$2004,MATCH($D1876,Workers!$A$5:$A$2004,0))=0,"",INDEX(Workers!$D$5:$D$2004,MATCH($D1876,Workers!$A$5:$A$2004,0))),""))</f>
        <v/>
      </c>
      <c r="L1876" s="24" t="str">
        <f aca="false">IF($D1876="","",IFERROR(INDEX(Workers!$E$5:$E$2004,MATCH($D1876,Workers!$A$5:$A$2004,0)),""))</f>
        <v/>
      </c>
      <c r="M1876" s="26" t="str">
        <f aca="false">IF($D1876="","",IFERROR(INDEX(ClientRates!$D$5:$D$500,MATCH($B1876&amp;"|"&amp;$L1876,ClientRates!$A$5:$A$500,0)),0))</f>
        <v/>
      </c>
      <c r="N1876" s="26" t="str">
        <f aca="false">IF($D1876="","",IFERROR(INDEX(ClientRates!$E$5:$E$500,MATCH($B1876&amp;"|"&amp;$L1876,ClientRates!$A$5:$A$500,0)),0))</f>
        <v/>
      </c>
      <c r="O1876" s="26" t="str">
        <f aca="false">IF($D1876="","",F1876*M1876+G1876*N1876)</f>
        <v/>
      </c>
      <c r="P1876" s="26" t="str">
        <f aca="false">IF(OR($D1876="",$J1876&lt;&gt;"Supplier"),"",IFERROR(INDEX(SupplierRates!$D$5:$D$500,MATCH($K1876&amp;"|"&amp;$L1876,SupplierRates!$A$5:$A$500,0)),0))</f>
        <v/>
      </c>
      <c r="Q1876" s="26" t="str">
        <f aca="false">IF(OR($D1876="",$J1876&lt;&gt;"Supplier"),"",IFERROR(INDEX(SupplierRates!$E$5:$E$500,MATCH($K1876&amp;"|"&amp;$L1876,SupplierRates!$A$5:$A$500,0)),0))</f>
        <v/>
      </c>
      <c r="R1876" s="26" t="n">
        <f aca="false">IF(OR($D1876="",$J1876&lt;&gt;"Supplier"),0,F1876*P1876+G1876*Q1876)</f>
        <v>0</v>
      </c>
      <c r="S1876" s="26" t="n">
        <f aca="false">IF(OR($D1876="",$J1876&lt;&gt;"Own"),0,IFERROR((F1876+G1876*Settings!$B$13)*INDEX(Workers!$V$5:$V$2004,MATCH($D1876,Workers!$A$5:$A$2004,0)),0))</f>
        <v>0</v>
      </c>
      <c r="T1876" s="26" t="str">
        <f aca="false">IF($D1876="","",O1876-R1876-S1876)</f>
        <v/>
      </c>
    </row>
    <row r="1877" customFormat="false" ht="15" hidden="false" customHeight="false" outlineLevel="0" collapsed="false">
      <c r="I1877" s="24" t="str">
        <f aca="false">IF($D1877="","",IFERROR(INDEX(Workers!$B$5:$B$2004,MATCH($D1877,Workers!$A$5:$A$2004,0)),"NOT FOUND"))</f>
        <v/>
      </c>
      <c r="J1877" s="24" t="str">
        <f aca="false">IF($D1877="","",IFERROR(INDEX(Workers!$C$5:$C$2004,MATCH($D1877,Workers!$A$5:$A$2004,0)),""))</f>
        <v/>
      </c>
      <c r="K1877" s="24" t="str">
        <f aca="false">IF($D1877="","",IFERROR(IF(INDEX(Workers!$D$5:$D$2004,MATCH($D1877,Workers!$A$5:$A$2004,0))=0,"",INDEX(Workers!$D$5:$D$2004,MATCH($D1877,Workers!$A$5:$A$2004,0))),""))</f>
        <v/>
      </c>
      <c r="L1877" s="24" t="str">
        <f aca="false">IF($D1877="","",IFERROR(INDEX(Workers!$E$5:$E$2004,MATCH($D1877,Workers!$A$5:$A$2004,0)),""))</f>
        <v/>
      </c>
      <c r="M1877" s="26" t="str">
        <f aca="false">IF($D1877="","",IFERROR(INDEX(ClientRates!$D$5:$D$500,MATCH($B1877&amp;"|"&amp;$L1877,ClientRates!$A$5:$A$500,0)),0))</f>
        <v/>
      </c>
      <c r="N1877" s="26" t="str">
        <f aca="false">IF($D1877="","",IFERROR(INDEX(ClientRates!$E$5:$E$500,MATCH($B1877&amp;"|"&amp;$L1877,ClientRates!$A$5:$A$500,0)),0))</f>
        <v/>
      </c>
      <c r="O1877" s="26" t="str">
        <f aca="false">IF($D1877="","",F1877*M1877+G1877*N1877)</f>
        <v/>
      </c>
      <c r="P1877" s="26" t="str">
        <f aca="false">IF(OR($D1877="",$J1877&lt;&gt;"Supplier"),"",IFERROR(INDEX(SupplierRates!$D$5:$D$500,MATCH($K1877&amp;"|"&amp;$L1877,SupplierRates!$A$5:$A$500,0)),0))</f>
        <v/>
      </c>
      <c r="Q1877" s="26" t="str">
        <f aca="false">IF(OR($D1877="",$J1877&lt;&gt;"Supplier"),"",IFERROR(INDEX(SupplierRates!$E$5:$E$500,MATCH($K1877&amp;"|"&amp;$L1877,SupplierRates!$A$5:$A$500,0)),0))</f>
        <v/>
      </c>
      <c r="R1877" s="26" t="n">
        <f aca="false">IF(OR($D1877="",$J1877&lt;&gt;"Supplier"),0,F1877*P1877+G1877*Q1877)</f>
        <v>0</v>
      </c>
      <c r="S1877" s="26" t="n">
        <f aca="false">IF(OR($D1877="",$J1877&lt;&gt;"Own"),0,IFERROR((F1877+G1877*Settings!$B$13)*INDEX(Workers!$V$5:$V$2004,MATCH($D1877,Workers!$A$5:$A$2004,0)),0))</f>
        <v>0</v>
      </c>
      <c r="T1877" s="26" t="str">
        <f aca="false">IF($D1877="","",O1877-R1877-S1877)</f>
        <v/>
      </c>
    </row>
    <row r="1878" customFormat="false" ht="15" hidden="false" customHeight="false" outlineLevel="0" collapsed="false">
      <c r="I1878" s="24" t="str">
        <f aca="false">IF($D1878="","",IFERROR(INDEX(Workers!$B$5:$B$2004,MATCH($D1878,Workers!$A$5:$A$2004,0)),"NOT FOUND"))</f>
        <v/>
      </c>
      <c r="J1878" s="24" t="str">
        <f aca="false">IF($D1878="","",IFERROR(INDEX(Workers!$C$5:$C$2004,MATCH($D1878,Workers!$A$5:$A$2004,0)),""))</f>
        <v/>
      </c>
      <c r="K1878" s="24" t="str">
        <f aca="false">IF($D1878="","",IFERROR(IF(INDEX(Workers!$D$5:$D$2004,MATCH($D1878,Workers!$A$5:$A$2004,0))=0,"",INDEX(Workers!$D$5:$D$2004,MATCH($D1878,Workers!$A$5:$A$2004,0))),""))</f>
        <v/>
      </c>
      <c r="L1878" s="24" t="str">
        <f aca="false">IF($D1878="","",IFERROR(INDEX(Workers!$E$5:$E$2004,MATCH($D1878,Workers!$A$5:$A$2004,0)),""))</f>
        <v/>
      </c>
      <c r="M1878" s="26" t="str">
        <f aca="false">IF($D1878="","",IFERROR(INDEX(ClientRates!$D$5:$D$500,MATCH($B1878&amp;"|"&amp;$L1878,ClientRates!$A$5:$A$500,0)),0))</f>
        <v/>
      </c>
      <c r="N1878" s="26" t="str">
        <f aca="false">IF($D1878="","",IFERROR(INDEX(ClientRates!$E$5:$E$500,MATCH($B1878&amp;"|"&amp;$L1878,ClientRates!$A$5:$A$500,0)),0))</f>
        <v/>
      </c>
      <c r="O1878" s="26" t="str">
        <f aca="false">IF($D1878="","",F1878*M1878+G1878*N1878)</f>
        <v/>
      </c>
      <c r="P1878" s="26" t="str">
        <f aca="false">IF(OR($D1878="",$J1878&lt;&gt;"Supplier"),"",IFERROR(INDEX(SupplierRates!$D$5:$D$500,MATCH($K1878&amp;"|"&amp;$L1878,SupplierRates!$A$5:$A$500,0)),0))</f>
        <v/>
      </c>
      <c r="Q1878" s="26" t="str">
        <f aca="false">IF(OR($D1878="",$J1878&lt;&gt;"Supplier"),"",IFERROR(INDEX(SupplierRates!$E$5:$E$500,MATCH($K1878&amp;"|"&amp;$L1878,SupplierRates!$A$5:$A$500,0)),0))</f>
        <v/>
      </c>
      <c r="R1878" s="26" t="n">
        <f aca="false">IF(OR($D1878="",$J1878&lt;&gt;"Supplier"),0,F1878*P1878+G1878*Q1878)</f>
        <v>0</v>
      </c>
      <c r="S1878" s="26" t="n">
        <f aca="false">IF(OR($D1878="",$J1878&lt;&gt;"Own"),0,IFERROR((F1878+G1878*Settings!$B$13)*INDEX(Workers!$V$5:$V$2004,MATCH($D1878,Workers!$A$5:$A$2004,0)),0))</f>
        <v>0</v>
      </c>
      <c r="T1878" s="26" t="str">
        <f aca="false">IF($D1878="","",O1878-R1878-S1878)</f>
        <v/>
      </c>
    </row>
    <row r="1879" customFormat="false" ht="15" hidden="false" customHeight="false" outlineLevel="0" collapsed="false">
      <c r="I1879" s="24" t="str">
        <f aca="false">IF($D1879="","",IFERROR(INDEX(Workers!$B$5:$B$2004,MATCH($D1879,Workers!$A$5:$A$2004,0)),"NOT FOUND"))</f>
        <v/>
      </c>
      <c r="J1879" s="24" t="str">
        <f aca="false">IF($D1879="","",IFERROR(INDEX(Workers!$C$5:$C$2004,MATCH($D1879,Workers!$A$5:$A$2004,0)),""))</f>
        <v/>
      </c>
      <c r="K1879" s="24" t="str">
        <f aca="false">IF($D1879="","",IFERROR(IF(INDEX(Workers!$D$5:$D$2004,MATCH($D1879,Workers!$A$5:$A$2004,0))=0,"",INDEX(Workers!$D$5:$D$2004,MATCH($D1879,Workers!$A$5:$A$2004,0))),""))</f>
        <v/>
      </c>
      <c r="L1879" s="24" t="str">
        <f aca="false">IF($D1879="","",IFERROR(INDEX(Workers!$E$5:$E$2004,MATCH($D1879,Workers!$A$5:$A$2004,0)),""))</f>
        <v/>
      </c>
      <c r="M1879" s="26" t="str">
        <f aca="false">IF($D1879="","",IFERROR(INDEX(ClientRates!$D$5:$D$500,MATCH($B1879&amp;"|"&amp;$L1879,ClientRates!$A$5:$A$500,0)),0))</f>
        <v/>
      </c>
      <c r="N1879" s="26" t="str">
        <f aca="false">IF($D1879="","",IFERROR(INDEX(ClientRates!$E$5:$E$500,MATCH($B1879&amp;"|"&amp;$L1879,ClientRates!$A$5:$A$500,0)),0))</f>
        <v/>
      </c>
      <c r="O1879" s="26" t="str">
        <f aca="false">IF($D1879="","",F1879*M1879+G1879*N1879)</f>
        <v/>
      </c>
      <c r="P1879" s="26" t="str">
        <f aca="false">IF(OR($D1879="",$J1879&lt;&gt;"Supplier"),"",IFERROR(INDEX(SupplierRates!$D$5:$D$500,MATCH($K1879&amp;"|"&amp;$L1879,SupplierRates!$A$5:$A$500,0)),0))</f>
        <v/>
      </c>
      <c r="Q1879" s="26" t="str">
        <f aca="false">IF(OR($D1879="",$J1879&lt;&gt;"Supplier"),"",IFERROR(INDEX(SupplierRates!$E$5:$E$500,MATCH($K1879&amp;"|"&amp;$L1879,SupplierRates!$A$5:$A$500,0)),0))</f>
        <v/>
      </c>
      <c r="R1879" s="26" t="n">
        <f aca="false">IF(OR($D1879="",$J1879&lt;&gt;"Supplier"),0,F1879*P1879+G1879*Q1879)</f>
        <v>0</v>
      </c>
      <c r="S1879" s="26" t="n">
        <f aca="false">IF(OR($D1879="",$J1879&lt;&gt;"Own"),0,IFERROR((F1879+G1879*Settings!$B$13)*INDEX(Workers!$V$5:$V$2004,MATCH($D1879,Workers!$A$5:$A$2004,0)),0))</f>
        <v>0</v>
      </c>
      <c r="T1879" s="26" t="str">
        <f aca="false">IF($D1879="","",O1879-R1879-S1879)</f>
        <v/>
      </c>
    </row>
    <row r="1880" customFormat="false" ht="15" hidden="false" customHeight="false" outlineLevel="0" collapsed="false">
      <c r="I1880" s="24" t="str">
        <f aca="false">IF($D1880="","",IFERROR(INDEX(Workers!$B$5:$B$2004,MATCH($D1880,Workers!$A$5:$A$2004,0)),"NOT FOUND"))</f>
        <v/>
      </c>
      <c r="J1880" s="24" t="str">
        <f aca="false">IF($D1880="","",IFERROR(INDEX(Workers!$C$5:$C$2004,MATCH($D1880,Workers!$A$5:$A$2004,0)),""))</f>
        <v/>
      </c>
      <c r="K1880" s="24" t="str">
        <f aca="false">IF($D1880="","",IFERROR(IF(INDEX(Workers!$D$5:$D$2004,MATCH($D1880,Workers!$A$5:$A$2004,0))=0,"",INDEX(Workers!$D$5:$D$2004,MATCH($D1880,Workers!$A$5:$A$2004,0))),""))</f>
        <v/>
      </c>
      <c r="L1880" s="24" t="str">
        <f aca="false">IF($D1880="","",IFERROR(INDEX(Workers!$E$5:$E$2004,MATCH($D1880,Workers!$A$5:$A$2004,0)),""))</f>
        <v/>
      </c>
      <c r="M1880" s="26" t="str">
        <f aca="false">IF($D1880="","",IFERROR(INDEX(ClientRates!$D$5:$D$500,MATCH($B1880&amp;"|"&amp;$L1880,ClientRates!$A$5:$A$500,0)),0))</f>
        <v/>
      </c>
      <c r="N1880" s="26" t="str">
        <f aca="false">IF($D1880="","",IFERROR(INDEX(ClientRates!$E$5:$E$500,MATCH($B1880&amp;"|"&amp;$L1880,ClientRates!$A$5:$A$500,0)),0))</f>
        <v/>
      </c>
      <c r="O1880" s="26" t="str">
        <f aca="false">IF($D1880="","",F1880*M1880+G1880*N1880)</f>
        <v/>
      </c>
      <c r="P1880" s="26" t="str">
        <f aca="false">IF(OR($D1880="",$J1880&lt;&gt;"Supplier"),"",IFERROR(INDEX(SupplierRates!$D$5:$D$500,MATCH($K1880&amp;"|"&amp;$L1880,SupplierRates!$A$5:$A$500,0)),0))</f>
        <v/>
      </c>
      <c r="Q1880" s="26" t="str">
        <f aca="false">IF(OR($D1880="",$J1880&lt;&gt;"Supplier"),"",IFERROR(INDEX(SupplierRates!$E$5:$E$500,MATCH($K1880&amp;"|"&amp;$L1880,SupplierRates!$A$5:$A$500,0)),0))</f>
        <v/>
      </c>
      <c r="R1880" s="26" t="n">
        <f aca="false">IF(OR($D1880="",$J1880&lt;&gt;"Supplier"),0,F1880*P1880+G1880*Q1880)</f>
        <v>0</v>
      </c>
      <c r="S1880" s="26" t="n">
        <f aca="false">IF(OR($D1880="",$J1880&lt;&gt;"Own"),0,IFERROR((F1880+G1880*Settings!$B$13)*INDEX(Workers!$V$5:$V$2004,MATCH($D1880,Workers!$A$5:$A$2004,0)),0))</f>
        <v>0</v>
      </c>
      <c r="T1880" s="26" t="str">
        <f aca="false">IF($D1880="","",O1880-R1880-S1880)</f>
        <v/>
      </c>
    </row>
    <row r="1881" customFormat="false" ht="15" hidden="false" customHeight="false" outlineLevel="0" collapsed="false">
      <c r="I1881" s="24" t="str">
        <f aca="false">IF($D1881="","",IFERROR(INDEX(Workers!$B$5:$B$2004,MATCH($D1881,Workers!$A$5:$A$2004,0)),"NOT FOUND"))</f>
        <v/>
      </c>
      <c r="J1881" s="24" t="str">
        <f aca="false">IF($D1881="","",IFERROR(INDEX(Workers!$C$5:$C$2004,MATCH($D1881,Workers!$A$5:$A$2004,0)),""))</f>
        <v/>
      </c>
      <c r="K1881" s="24" t="str">
        <f aca="false">IF($D1881="","",IFERROR(IF(INDEX(Workers!$D$5:$D$2004,MATCH($D1881,Workers!$A$5:$A$2004,0))=0,"",INDEX(Workers!$D$5:$D$2004,MATCH($D1881,Workers!$A$5:$A$2004,0))),""))</f>
        <v/>
      </c>
      <c r="L1881" s="24" t="str">
        <f aca="false">IF($D1881="","",IFERROR(INDEX(Workers!$E$5:$E$2004,MATCH($D1881,Workers!$A$5:$A$2004,0)),""))</f>
        <v/>
      </c>
      <c r="M1881" s="26" t="str">
        <f aca="false">IF($D1881="","",IFERROR(INDEX(ClientRates!$D$5:$D$500,MATCH($B1881&amp;"|"&amp;$L1881,ClientRates!$A$5:$A$500,0)),0))</f>
        <v/>
      </c>
      <c r="N1881" s="26" t="str">
        <f aca="false">IF($D1881="","",IFERROR(INDEX(ClientRates!$E$5:$E$500,MATCH($B1881&amp;"|"&amp;$L1881,ClientRates!$A$5:$A$500,0)),0))</f>
        <v/>
      </c>
      <c r="O1881" s="26" t="str">
        <f aca="false">IF($D1881="","",F1881*M1881+G1881*N1881)</f>
        <v/>
      </c>
      <c r="P1881" s="26" t="str">
        <f aca="false">IF(OR($D1881="",$J1881&lt;&gt;"Supplier"),"",IFERROR(INDEX(SupplierRates!$D$5:$D$500,MATCH($K1881&amp;"|"&amp;$L1881,SupplierRates!$A$5:$A$500,0)),0))</f>
        <v/>
      </c>
      <c r="Q1881" s="26" t="str">
        <f aca="false">IF(OR($D1881="",$J1881&lt;&gt;"Supplier"),"",IFERROR(INDEX(SupplierRates!$E$5:$E$500,MATCH($K1881&amp;"|"&amp;$L1881,SupplierRates!$A$5:$A$500,0)),0))</f>
        <v/>
      </c>
      <c r="R1881" s="26" t="n">
        <f aca="false">IF(OR($D1881="",$J1881&lt;&gt;"Supplier"),0,F1881*P1881+G1881*Q1881)</f>
        <v>0</v>
      </c>
      <c r="S1881" s="26" t="n">
        <f aca="false">IF(OR($D1881="",$J1881&lt;&gt;"Own"),0,IFERROR((F1881+G1881*Settings!$B$13)*INDEX(Workers!$V$5:$V$2004,MATCH($D1881,Workers!$A$5:$A$2004,0)),0))</f>
        <v>0</v>
      </c>
      <c r="T1881" s="26" t="str">
        <f aca="false">IF($D1881="","",O1881-R1881-S1881)</f>
        <v/>
      </c>
    </row>
    <row r="1882" customFormat="false" ht="15" hidden="false" customHeight="false" outlineLevel="0" collapsed="false">
      <c r="I1882" s="24" t="str">
        <f aca="false">IF($D1882="","",IFERROR(INDEX(Workers!$B$5:$B$2004,MATCH($D1882,Workers!$A$5:$A$2004,0)),"NOT FOUND"))</f>
        <v/>
      </c>
      <c r="J1882" s="24" t="str">
        <f aca="false">IF($D1882="","",IFERROR(INDEX(Workers!$C$5:$C$2004,MATCH($D1882,Workers!$A$5:$A$2004,0)),""))</f>
        <v/>
      </c>
      <c r="K1882" s="24" t="str">
        <f aca="false">IF($D1882="","",IFERROR(IF(INDEX(Workers!$D$5:$D$2004,MATCH($D1882,Workers!$A$5:$A$2004,0))=0,"",INDEX(Workers!$D$5:$D$2004,MATCH($D1882,Workers!$A$5:$A$2004,0))),""))</f>
        <v/>
      </c>
      <c r="L1882" s="24" t="str">
        <f aca="false">IF($D1882="","",IFERROR(INDEX(Workers!$E$5:$E$2004,MATCH($D1882,Workers!$A$5:$A$2004,0)),""))</f>
        <v/>
      </c>
      <c r="M1882" s="26" t="str">
        <f aca="false">IF($D1882="","",IFERROR(INDEX(ClientRates!$D$5:$D$500,MATCH($B1882&amp;"|"&amp;$L1882,ClientRates!$A$5:$A$500,0)),0))</f>
        <v/>
      </c>
      <c r="N1882" s="26" t="str">
        <f aca="false">IF($D1882="","",IFERROR(INDEX(ClientRates!$E$5:$E$500,MATCH($B1882&amp;"|"&amp;$L1882,ClientRates!$A$5:$A$500,0)),0))</f>
        <v/>
      </c>
      <c r="O1882" s="26" t="str">
        <f aca="false">IF($D1882="","",F1882*M1882+G1882*N1882)</f>
        <v/>
      </c>
      <c r="P1882" s="26" t="str">
        <f aca="false">IF(OR($D1882="",$J1882&lt;&gt;"Supplier"),"",IFERROR(INDEX(SupplierRates!$D$5:$D$500,MATCH($K1882&amp;"|"&amp;$L1882,SupplierRates!$A$5:$A$500,0)),0))</f>
        <v/>
      </c>
      <c r="Q1882" s="26" t="str">
        <f aca="false">IF(OR($D1882="",$J1882&lt;&gt;"Supplier"),"",IFERROR(INDEX(SupplierRates!$E$5:$E$500,MATCH($K1882&amp;"|"&amp;$L1882,SupplierRates!$A$5:$A$500,0)),0))</f>
        <v/>
      </c>
      <c r="R1882" s="26" t="n">
        <f aca="false">IF(OR($D1882="",$J1882&lt;&gt;"Supplier"),0,F1882*P1882+G1882*Q1882)</f>
        <v>0</v>
      </c>
      <c r="S1882" s="26" t="n">
        <f aca="false">IF(OR($D1882="",$J1882&lt;&gt;"Own"),0,IFERROR((F1882+G1882*Settings!$B$13)*INDEX(Workers!$V$5:$V$2004,MATCH($D1882,Workers!$A$5:$A$2004,0)),0))</f>
        <v>0</v>
      </c>
      <c r="T1882" s="26" t="str">
        <f aca="false">IF($D1882="","",O1882-R1882-S1882)</f>
        <v/>
      </c>
    </row>
    <row r="1883" customFormat="false" ht="15" hidden="false" customHeight="false" outlineLevel="0" collapsed="false">
      <c r="I1883" s="24" t="str">
        <f aca="false">IF($D1883="","",IFERROR(INDEX(Workers!$B$5:$B$2004,MATCH($D1883,Workers!$A$5:$A$2004,0)),"NOT FOUND"))</f>
        <v/>
      </c>
      <c r="J1883" s="24" t="str">
        <f aca="false">IF($D1883="","",IFERROR(INDEX(Workers!$C$5:$C$2004,MATCH($D1883,Workers!$A$5:$A$2004,0)),""))</f>
        <v/>
      </c>
      <c r="K1883" s="24" t="str">
        <f aca="false">IF($D1883="","",IFERROR(IF(INDEX(Workers!$D$5:$D$2004,MATCH($D1883,Workers!$A$5:$A$2004,0))=0,"",INDEX(Workers!$D$5:$D$2004,MATCH($D1883,Workers!$A$5:$A$2004,0))),""))</f>
        <v/>
      </c>
      <c r="L1883" s="24" t="str">
        <f aca="false">IF($D1883="","",IFERROR(INDEX(Workers!$E$5:$E$2004,MATCH($D1883,Workers!$A$5:$A$2004,0)),""))</f>
        <v/>
      </c>
      <c r="M1883" s="26" t="str">
        <f aca="false">IF($D1883="","",IFERROR(INDEX(ClientRates!$D$5:$D$500,MATCH($B1883&amp;"|"&amp;$L1883,ClientRates!$A$5:$A$500,0)),0))</f>
        <v/>
      </c>
      <c r="N1883" s="26" t="str">
        <f aca="false">IF($D1883="","",IFERROR(INDEX(ClientRates!$E$5:$E$500,MATCH($B1883&amp;"|"&amp;$L1883,ClientRates!$A$5:$A$500,0)),0))</f>
        <v/>
      </c>
      <c r="O1883" s="26" t="str">
        <f aca="false">IF($D1883="","",F1883*M1883+G1883*N1883)</f>
        <v/>
      </c>
      <c r="P1883" s="26" t="str">
        <f aca="false">IF(OR($D1883="",$J1883&lt;&gt;"Supplier"),"",IFERROR(INDEX(SupplierRates!$D$5:$D$500,MATCH($K1883&amp;"|"&amp;$L1883,SupplierRates!$A$5:$A$500,0)),0))</f>
        <v/>
      </c>
      <c r="Q1883" s="26" t="str">
        <f aca="false">IF(OR($D1883="",$J1883&lt;&gt;"Supplier"),"",IFERROR(INDEX(SupplierRates!$E$5:$E$500,MATCH($K1883&amp;"|"&amp;$L1883,SupplierRates!$A$5:$A$500,0)),0))</f>
        <v/>
      </c>
      <c r="R1883" s="26" t="n">
        <f aca="false">IF(OR($D1883="",$J1883&lt;&gt;"Supplier"),0,F1883*P1883+G1883*Q1883)</f>
        <v>0</v>
      </c>
      <c r="S1883" s="26" t="n">
        <f aca="false">IF(OR($D1883="",$J1883&lt;&gt;"Own"),0,IFERROR((F1883+G1883*Settings!$B$13)*INDEX(Workers!$V$5:$V$2004,MATCH($D1883,Workers!$A$5:$A$2004,0)),0))</f>
        <v>0</v>
      </c>
      <c r="T1883" s="26" t="str">
        <f aca="false">IF($D1883="","",O1883-R1883-S1883)</f>
        <v/>
      </c>
    </row>
    <row r="1884" customFormat="false" ht="15" hidden="false" customHeight="false" outlineLevel="0" collapsed="false">
      <c r="I1884" s="24" t="str">
        <f aca="false">IF($D1884="","",IFERROR(INDEX(Workers!$B$5:$B$2004,MATCH($D1884,Workers!$A$5:$A$2004,0)),"NOT FOUND"))</f>
        <v/>
      </c>
      <c r="J1884" s="24" t="str">
        <f aca="false">IF($D1884="","",IFERROR(INDEX(Workers!$C$5:$C$2004,MATCH($D1884,Workers!$A$5:$A$2004,0)),""))</f>
        <v/>
      </c>
      <c r="K1884" s="24" t="str">
        <f aca="false">IF($D1884="","",IFERROR(IF(INDEX(Workers!$D$5:$D$2004,MATCH($D1884,Workers!$A$5:$A$2004,0))=0,"",INDEX(Workers!$D$5:$D$2004,MATCH($D1884,Workers!$A$5:$A$2004,0))),""))</f>
        <v/>
      </c>
      <c r="L1884" s="24" t="str">
        <f aca="false">IF($D1884="","",IFERROR(INDEX(Workers!$E$5:$E$2004,MATCH($D1884,Workers!$A$5:$A$2004,0)),""))</f>
        <v/>
      </c>
      <c r="M1884" s="26" t="str">
        <f aca="false">IF($D1884="","",IFERROR(INDEX(ClientRates!$D$5:$D$500,MATCH($B1884&amp;"|"&amp;$L1884,ClientRates!$A$5:$A$500,0)),0))</f>
        <v/>
      </c>
      <c r="N1884" s="26" t="str">
        <f aca="false">IF($D1884="","",IFERROR(INDEX(ClientRates!$E$5:$E$500,MATCH($B1884&amp;"|"&amp;$L1884,ClientRates!$A$5:$A$500,0)),0))</f>
        <v/>
      </c>
      <c r="O1884" s="26" t="str">
        <f aca="false">IF($D1884="","",F1884*M1884+G1884*N1884)</f>
        <v/>
      </c>
      <c r="P1884" s="26" t="str">
        <f aca="false">IF(OR($D1884="",$J1884&lt;&gt;"Supplier"),"",IFERROR(INDEX(SupplierRates!$D$5:$D$500,MATCH($K1884&amp;"|"&amp;$L1884,SupplierRates!$A$5:$A$500,0)),0))</f>
        <v/>
      </c>
      <c r="Q1884" s="26" t="str">
        <f aca="false">IF(OR($D1884="",$J1884&lt;&gt;"Supplier"),"",IFERROR(INDEX(SupplierRates!$E$5:$E$500,MATCH($K1884&amp;"|"&amp;$L1884,SupplierRates!$A$5:$A$500,0)),0))</f>
        <v/>
      </c>
      <c r="R1884" s="26" t="n">
        <f aca="false">IF(OR($D1884="",$J1884&lt;&gt;"Supplier"),0,F1884*P1884+G1884*Q1884)</f>
        <v>0</v>
      </c>
      <c r="S1884" s="26" t="n">
        <f aca="false">IF(OR($D1884="",$J1884&lt;&gt;"Own"),0,IFERROR((F1884+G1884*Settings!$B$13)*INDEX(Workers!$V$5:$V$2004,MATCH($D1884,Workers!$A$5:$A$2004,0)),0))</f>
        <v>0</v>
      </c>
      <c r="T1884" s="26" t="str">
        <f aca="false">IF($D1884="","",O1884-R1884-S1884)</f>
        <v/>
      </c>
    </row>
    <row r="1885" customFormat="false" ht="15" hidden="false" customHeight="false" outlineLevel="0" collapsed="false">
      <c r="I1885" s="24" t="str">
        <f aca="false">IF($D1885="","",IFERROR(INDEX(Workers!$B$5:$B$2004,MATCH($D1885,Workers!$A$5:$A$2004,0)),"NOT FOUND"))</f>
        <v/>
      </c>
      <c r="J1885" s="24" t="str">
        <f aca="false">IF($D1885="","",IFERROR(INDEX(Workers!$C$5:$C$2004,MATCH($D1885,Workers!$A$5:$A$2004,0)),""))</f>
        <v/>
      </c>
      <c r="K1885" s="24" t="str">
        <f aca="false">IF($D1885="","",IFERROR(IF(INDEX(Workers!$D$5:$D$2004,MATCH($D1885,Workers!$A$5:$A$2004,0))=0,"",INDEX(Workers!$D$5:$D$2004,MATCH($D1885,Workers!$A$5:$A$2004,0))),""))</f>
        <v/>
      </c>
      <c r="L1885" s="24" t="str">
        <f aca="false">IF($D1885="","",IFERROR(INDEX(Workers!$E$5:$E$2004,MATCH($D1885,Workers!$A$5:$A$2004,0)),""))</f>
        <v/>
      </c>
      <c r="M1885" s="26" t="str">
        <f aca="false">IF($D1885="","",IFERROR(INDEX(ClientRates!$D$5:$D$500,MATCH($B1885&amp;"|"&amp;$L1885,ClientRates!$A$5:$A$500,0)),0))</f>
        <v/>
      </c>
      <c r="N1885" s="26" t="str">
        <f aca="false">IF($D1885="","",IFERROR(INDEX(ClientRates!$E$5:$E$500,MATCH($B1885&amp;"|"&amp;$L1885,ClientRates!$A$5:$A$500,0)),0))</f>
        <v/>
      </c>
      <c r="O1885" s="26" t="str">
        <f aca="false">IF($D1885="","",F1885*M1885+G1885*N1885)</f>
        <v/>
      </c>
      <c r="P1885" s="26" t="str">
        <f aca="false">IF(OR($D1885="",$J1885&lt;&gt;"Supplier"),"",IFERROR(INDEX(SupplierRates!$D$5:$D$500,MATCH($K1885&amp;"|"&amp;$L1885,SupplierRates!$A$5:$A$500,0)),0))</f>
        <v/>
      </c>
      <c r="Q1885" s="26" t="str">
        <f aca="false">IF(OR($D1885="",$J1885&lt;&gt;"Supplier"),"",IFERROR(INDEX(SupplierRates!$E$5:$E$500,MATCH($K1885&amp;"|"&amp;$L1885,SupplierRates!$A$5:$A$500,0)),0))</f>
        <v/>
      </c>
      <c r="R1885" s="26" t="n">
        <f aca="false">IF(OR($D1885="",$J1885&lt;&gt;"Supplier"),0,F1885*P1885+G1885*Q1885)</f>
        <v>0</v>
      </c>
      <c r="S1885" s="26" t="n">
        <f aca="false">IF(OR($D1885="",$J1885&lt;&gt;"Own"),0,IFERROR((F1885+G1885*Settings!$B$13)*INDEX(Workers!$V$5:$V$2004,MATCH($D1885,Workers!$A$5:$A$2004,0)),0))</f>
        <v>0</v>
      </c>
      <c r="T1885" s="26" t="str">
        <f aca="false">IF($D1885="","",O1885-R1885-S1885)</f>
        <v/>
      </c>
    </row>
    <row r="1886" customFormat="false" ht="15" hidden="false" customHeight="false" outlineLevel="0" collapsed="false">
      <c r="I1886" s="24" t="str">
        <f aca="false">IF($D1886="","",IFERROR(INDEX(Workers!$B$5:$B$2004,MATCH($D1886,Workers!$A$5:$A$2004,0)),"NOT FOUND"))</f>
        <v/>
      </c>
      <c r="J1886" s="24" t="str">
        <f aca="false">IF($D1886="","",IFERROR(INDEX(Workers!$C$5:$C$2004,MATCH($D1886,Workers!$A$5:$A$2004,0)),""))</f>
        <v/>
      </c>
      <c r="K1886" s="24" t="str">
        <f aca="false">IF($D1886="","",IFERROR(IF(INDEX(Workers!$D$5:$D$2004,MATCH($D1886,Workers!$A$5:$A$2004,0))=0,"",INDEX(Workers!$D$5:$D$2004,MATCH($D1886,Workers!$A$5:$A$2004,0))),""))</f>
        <v/>
      </c>
      <c r="L1886" s="24" t="str">
        <f aca="false">IF($D1886="","",IFERROR(INDEX(Workers!$E$5:$E$2004,MATCH($D1886,Workers!$A$5:$A$2004,0)),""))</f>
        <v/>
      </c>
      <c r="M1886" s="26" t="str">
        <f aca="false">IF($D1886="","",IFERROR(INDEX(ClientRates!$D$5:$D$500,MATCH($B1886&amp;"|"&amp;$L1886,ClientRates!$A$5:$A$500,0)),0))</f>
        <v/>
      </c>
      <c r="N1886" s="26" t="str">
        <f aca="false">IF($D1886="","",IFERROR(INDEX(ClientRates!$E$5:$E$500,MATCH($B1886&amp;"|"&amp;$L1886,ClientRates!$A$5:$A$500,0)),0))</f>
        <v/>
      </c>
      <c r="O1886" s="26" t="str">
        <f aca="false">IF($D1886="","",F1886*M1886+G1886*N1886)</f>
        <v/>
      </c>
      <c r="P1886" s="26" t="str">
        <f aca="false">IF(OR($D1886="",$J1886&lt;&gt;"Supplier"),"",IFERROR(INDEX(SupplierRates!$D$5:$D$500,MATCH($K1886&amp;"|"&amp;$L1886,SupplierRates!$A$5:$A$500,0)),0))</f>
        <v/>
      </c>
      <c r="Q1886" s="26" t="str">
        <f aca="false">IF(OR($D1886="",$J1886&lt;&gt;"Supplier"),"",IFERROR(INDEX(SupplierRates!$E$5:$E$500,MATCH($K1886&amp;"|"&amp;$L1886,SupplierRates!$A$5:$A$500,0)),0))</f>
        <v/>
      </c>
      <c r="R1886" s="26" t="n">
        <f aca="false">IF(OR($D1886="",$J1886&lt;&gt;"Supplier"),0,F1886*P1886+G1886*Q1886)</f>
        <v>0</v>
      </c>
      <c r="S1886" s="26" t="n">
        <f aca="false">IF(OR($D1886="",$J1886&lt;&gt;"Own"),0,IFERROR((F1886+G1886*Settings!$B$13)*INDEX(Workers!$V$5:$V$2004,MATCH($D1886,Workers!$A$5:$A$2004,0)),0))</f>
        <v>0</v>
      </c>
      <c r="T1886" s="26" t="str">
        <f aca="false">IF($D1886="","",O1886-R1886-S1886)</f>
        <v/>
      </c>
    </row>
    <row r="1887" customFormat="false" ht="15" hidden="false" customHeight="false" outlineLevel="0" collapsed="false">
      <c r="I1887" s="24" t="str">
        <f aca="false">IF($D1887="","",IFERROR(INDEX(Workers!$B$5:$B$2004,MATCH($D1887,Workers!$A$5:$A$2004,0)),"NOT FOUND"))</f>
        <v/>
      </c>
      <c r="J1887" s="24" t="str">
        <f aca="false">IF($D1887="","",IFERROR(INDEX(Workers!$C$5:$C$2004,MATCH($D1887,Workers!$A$5:$A$2004,0)),""))</f>
        <v/>
      </c>
      <c r="K1887" s="24" t="str">
        <f aca="false">IF($D1887="","",IFERROR(IF(INDEX(Workers!$D$5:$D$2004,MATCH($D1887,Workers!$A$5:$A$2004,0))=0,"",INDEX(Workers!$D$5:$D$2004,MATCH($D1887,Workers!$A$5:$A$2004,0))),""))</f>
        <v/>
      </c>
      <c r="L1887" s="24" t="str">
        <f aca="false">IF($D1887="","",IFERROR(INDEX(Workers!$E$5:$E$2004,MATCH($D1887,Workers!$A$5:$A$2004,0)),""))</f>
        <v/>
      </c>
      <c r="M1887" s="26" t="str">
        <f aca="false">IF($D1887="","",IFERROR(INDEX(ClientRates!$D$5:$D$500,MATCH($B1887&amp;"|"&amp;$L1887,ClientRates!$A$5:$A$500,0)),0))</f>
        <v/>
      </c>
      <c r="N1887" s="26" t="str">
        <f aca="false">IF($D1887="","",IFERROR(INDEX(ClientRates!$E$5:$E$500,MATCH($B1887&amp;"|"&amp;$L1887,ClientRates!$A$5:$A$500,0)),0))</f>
        <v/>
      </c>
      <c r="O1887" s="26" t="str">
        <f aca="false">IF($D1887="","",F1887*M1887+G1887*N1887)</f>
        <v/>
      </c>
      <c r="P1887" s="26" t="str">
        <f aca="false">IF(OR($D1887="",$J1887&lt;&gt;"Supplier"),"",IFERROR(INDEX(SupplierRates!$D$5:$D$500,MATCH($K1887&amp;"|"&amp;$L1887,SupplierRates!$A$5:$A$500,0)),0))</f>
        <v/>
      </c>
      <c r="Q1887" s="26" t="str">
        <f aca="false">IF(OR($D1887="",$J1887&lt;&gt;"Supplier"),"",IFERROR(INDEX(SupplierRates!$E$5:$E$500,MATCH($K1887&amp;"|"&amp;$L1887,SupplierRates!$A$5:$A$500,0)),0))</f>
        <v/>
      </c>
      <c r="R1887" s="26" t="n">
        <f aca="false">IF(OR($D1887="",$J1887&lt;&gt;"Supplier"),0,F1887*P1887+G1887*Q1887)</f>
        <v>0</v>
      </c>
      <c r="S1887" s="26" t="n">
        <f aca="false">IF(OR($D1887="",$J1887&lt;&gt;"Own"),0,IFERROR((F1887+G1887*Settings!$B$13)*INDEX(Workers!$V$5:$V$2004,MATCH($D1887,Workers!$A$5:$A$2004,0)),0))</f>
        <v>0</v>
      </c>
      <c r="T1887" s="26" t="str">
        <f aca="false">IF($D1887="","",O1887-R1887-S1887)</f>
        <v/>
      </c>
    </row>
    <row r="1888" customFormat="false" ht="15" hidden="false" customHeight="false" outlineLevel="0" collapsed="false">
      <c r="I1888" s="24" t="str">
        <f aca="false">IF($D1888="","",IFERROR(INDEX(Workers!$B$5:$B$2004,MATCH($D1888,Workers!$A$5:$A$2004,0)),"NOT FOUND"))</f>
        <v/>
      </c>
      <c r="J1888" s="24" t="str">
        <f aca="false">IF($D1888="","",IFERROR(INDEX(Workers!$C$5:$C$2004,MATCH($D1888,Workers!$A$5:$A$2004,0)),""))</f>
        <v/>
      </c>
      <c r="K1888" s="24" t="str">
        <f aca="false">IF($D1888="","",IFERROR(IF(INDEX(Workers!$D$5:$D$2004,MATCH($D1888,Workers!$A$5:$A$2004,0))=0,"",INDEX(Workers!$D$5:$D$2004,MATCH($D1888,Workers!$A$5:$A$2004,0))),""))</f>
        <v/>
      </c>
      <c r="L1888" s="24" t="str">
        <f aca="false">IF($D1888="","",IFERROR(INDEX(Workers!$E$5:$E$2004,MATCH($D1888,Workers!$A$5:$A$2004,0)),""))</f>
        <v/>
      </c>
      <c r="M1888" s="26" t="str">
        <f aca="false">IF($D1888="","",IFERROR(INDEX(ClientRates!$D$5:$D$500,MATCH($B1888&amp;"|"&amp;$L1888,ClientRates!$A$5:$A$500,0)),0))</f>
        <v/>
      </c>
      <c r="N1888" s="26" t="str">
        <f aca="false">IF($D1888="","",IFERROR(INDEX(ClientRates!$E$5:$E$500,MATCH($B1888&amp;"|"&amp;$L1888,ClientRates!$A$5:$A$500,0)),0))</f>
        <v/>
      </c>
      <c r="O1888" s="26" t="str">
        <f aca="false">IF($D1888="","",F1888*M1888+G1888*N1888)</f>
        <v/>
      </c>
      <c r="P1888" s="26" t="str">
        <f aca="false">IF(OR($D1888="",$J1888&lt;&gt;"Supplier"),"",IFERROR(INDEX(SupplierRates!$D$5:$D$500,MATCH($K1888&amp;"|"&amp;$L1888,SupplierRates!$A$5:$A$500,0)),0))</f>
        <v/>
      </c>
      <c r="Q1888" s="26" t="str">
        <f aca="false">IF(OR($D1888="",$J1888&lt;&gt;"Supplier"),"",IFERROR(INDEX(SupplierRates!$E$5:$E$500,MATCH($K1888&amp;"|"&amp;$L1888,SupplierRates!$A$5:$A$500,0)),0))</f>
        <v/>
      </c>
      <c r="R1888" s="26" t="n">
        <f aca="false">IF(OR($D1888="",$J1888&lt;&gt;"Supplier"),0,F1888*P1888+G1888*Q1888)</f>
        <v>0</v>
      </c>
      <c r="S1888" s="26" t="n">
        <f aca="false">IF(OR($D1888="",$J1888&lt;&gt;"Own"),0,IFERROR((F1888+G1888*Settings!$B$13)*INDEX(Workers!$V$5:$V$2004,MATCH($D1888,Workers!$A$5:$A$2004,0)),0))</f>
        <v>0</v>
      </c>
      <c r="T1888" s="26" t="str">
        <f aca="false">IF($D1888="","",O1888-R1888-S1888)</f>
        <v/>
      </c>
    </row>
    <row r="1889" customFormat="false" ht="15" hidden="false" customHeight="false" outlineLevel="0" collapsed="false">
      <c r="I1889" s="24" t="str">
        <f aca="false">IF($D1889="","",IFERROR(INDEX(Workers!$B$5:$B$2004,MATCH($D1889,Workers!$A$5:$A$2004,0)),"NOT FOUND"))</f>
        <v/>
      </c>
      <c r="J1889" s="24" t="str">
        <f aca="false">IF($D1889="","",IFERROR(INDEX(Workers!$C$5:$C$2004,MATCH($D1889,Workers!$A$5:$A$2004,0)),""))</f>
        <v/>
      </c>
      <c r="K1889" s="24" t="str">
        <f aca="false">IF($D1889="","",IFERROR(IF(INDEX(Workers!$D$5:$D$2004,MATCH($D1889,Workers!$A$5:$A$2004,0))=0,"",INDEX(Workers!$D$5:$D$2004,MATCH($D1889,Workers!$A$5:$A$2004,0))),""))</f>
        <v/>
      </c>
      <c r="L1889" s="24" t="str">
        <f aca="false">IF($D1889="","",IFERROR(INDEX(Workers!$E$5:$E$2004,MATCH($D1889,Workers!$A$5:$A$2004,0)),""))</f>
        <v/>
      </c>
      <c r="M1889" s="26" t="str">
        <f aca="false">IF($D1889="","",IFERROR(INDEX(ClientRates!$D$5:$D$500,MATCH($B1889&amp;"|"&amp;$L1889,ClientRates!$A$5:$A$500,0)),0))</f>
        <v/>
      </c>
      <c r="N1889" s="26" t="str">
        <f aca="false">IF($D1889="","",IFERROR(INDEX(ClientRates!$E$5:$E$500,MATCH($B1889&amp;"|"&amp;$L1889,ClientRates!$A$5:$A$500,0)),0))</f>
        <v/>
      </c>
      <c r="O1889" s="26" t="str">
        <f aca="false">IF($D1889="","",F1889*M1889+G1889*N1889)</f>
        <v/>
      </c>
      <c r="P1889" s="26" t="str">
        <f aca="false">IF(OR($D1889="",$J1889&lt;&gt;"Supplier"),"",IFERROR(INDEX(SupplierRates!$D$5:$D$500,MATCH($K1889&amp;"|"&amp;$L1889,SupplierRates!$A$5:$A$500,0)),0))</f>
        <v/>
      </c>
      <c r="Q1889" s="26" t="str">
        <f aca="false">IF(OR($D1889="",$J1889&lt;&gt;"Supplier"),"",IFERROR(INDEX(SupplierRates!$E$5:$E$500,MATCH($K1889&amp;"|"&amp;$L1889,SupplierRates!$A$5:$A$500,0)),0))</f>
        <v/>
      </c>
      <c r="R1889" s="26" t="n">
        <f aca="false">IF(OR($D1889="",$J1889&lt;&gt;"Supplier"),0,F1889*P1889+G1889*Q1889)</f>
        <v>0</v>
      </c>
      <c r="S1889" s="26" t="n">
        <f aca="false">IF(OR($D1889="",$J1889&lt;&gt;"Own"),0,IFERROR((F1889+G1889*Settings!$B$13)*INDEX(Workers!$V$5:$V$2004,MATCH($D1889,Workers!$A$5:$A$2004,0)),0))</f>
        <v>0</v>
      </c>
      <c r="T1889" s="26" t="str">
        <f aca="false">IF($D1889="","",O1889-R1889-S1889)</f>
        <v/>
      </c>
    </row>
    <row r="1890" customFormat="false" ht="15" hidden="false" customHeight="false" outlineLevel="0" collapsed="false">
      <c r="I1890" s="24" t="str">
        <f aca="false">IF($D1890="","",IFERROR(INDEX(Workers!$B$5:$B$2004,MATCH($D1890,Workers!$A$5:$A$2004,0)),"NOT FOUND"))</f>
        <v/>
      </c>
      <c r="J1890" s="24" t="str">
        <f aca="false">IF($D1890="","",IFERROR(INDEX(Workers!$C$5:$C$2004,MATCH($D1890,Workers!$A$5:$A$2004,0)),""))</f>
        <v/>
      </c>
      <c r="K1890" s="24" t="str">
        <f aca="false">IF($D1890="","",IFERROR(IF(INDEX(Workers!$D$5:$D$2004,MATCH($D1890,Workers!$A$5:$A$2004,0))=0,"",INDEX(Workers!$D$5:$D$2004,MATCH($D1890,Workers!$A$5:$A$2004,0))),""))</f>
        <v/>
      </c>
      <c r="L1890" s="24" t="str">
        <f aca="false">IF($D1890="","",IFERROR(INDEX(Workers!$E$5:$E$2004,MATCH($D1890,Workers!$A$5:$A$2004,0)),""))</f>
        <v/>
      </c>
      <c r="M1890" s="26" t="str">
        <f aca="false">IF($D1890="","",IFERROR(INDEX(ClientRates!$D$5:$D$500,MATCH($B1890&amp;"|"&amp;$L1890,ClientRates!$A$5:$A$500,0)),0))</f>
        <v/>
      </c>
      <c r="N1890" s="26" t="str">
        <f aca="false">IF($D1890="","",IFERROR(INDEX(ClientRates!$E$5:$E$500,MATCH($B1890&amp;"|"&amp;$L1890,ClientRates!$A$5:$A$500,0)),0))</f>
        <v/>
      </c>
      <c r="O1890" s="26" t="str">
        <f aca="false">IF($D1890="","",F1890*M1890+G1890*N1890)</f>
        <v/>
      </c>
      <c r="P1890" s="26" t="str">
        <f aca="false">IF(OR($D1890="",$J1890&lt;&gt;"Supplier"),"",IFERROR(INDEX(SupplierRates!$D$5:$D$500,MATCH($K1890&amp;"|"&amp;$L1890,SupplierRates!$A$5:$A$500,0)),0))</f>
        <v/>
      </c>
      <c r="Q1890" s="26" t="str">
        <f aca="false">IF(OR($D1890="",$J1890&lt;&gt;"Supplier"),"",IFERROR(INDEX(SupplierRates!$E$5:$E$500,MATCH($K1890&amp;"|"&amp;$L1890,SupplierRates!$A$5:$A$500,0)),0))</f>
        <v/>
      </c>
      <c r="R1890" s="26" t="n">
        <f aca="false">IF(OR($D1890="",$J1890&lt;&gt;"Supplier"),0,F1890*P1890+G1890*Q1890)</f>
        <v>0</v>
      </c>
      <c r="S1890" s="26" t="n">
        <f aca="false">IF(OR($D1890="",$J1890&lt;&gt;"Own"),0,IFERROR((F1890+G1890*Settings!$B$13)*INDEX(Workers!$V$5:$V$2004,MATCH($D1890,Workers!$A$5:$A$2004,0)),0))</f>
        <v>0</v>
      </c>
      <c r="T1890" s="26" t="str">
        <f aca="false">IF($D1890="","",O1890-R1890-S1890)</f>
        <v/>
      </c>
    </row>
    <row r="1891" customFormat="false" ht="15" hidden="false" customHeight="false" outlineLevel="0" collapsed="false">
      <c r="I1891" s="24" t="str">
        <f aca="false">IF($D1891="","",IFERROR(INDEX(Workers!$B$5:$B$2004,MATCH($D1891,Workers!$A$5:$A$2004,0)),"NOT FOUND"))</f>
        <v/>
      </c>
      <c r="J1891" s="24" t="str">
        <f aca="false">IF($D1891="","",IFERROR(INDEX(Workers!$C$5:$C$2004,MATCH($D1891,Workers!$A$5:$A$2004,0)),""))</f>
        <v/>
      </c>
      <c r="K1891" s="24" t="str">
        <f aca="false">IF($D1891="","",IFERROR(IF(INDEX(Workers!$D$5:$D$2004,MATCH($D1891,Workers!$A$5:$A$2004,0))=0,"",INDEX(Workers!$D$5:$D$2004,MATCH($D1891,Workers!$A$5:$A$2004,0))),""))</f>
        <v/>
      </c>
      <c r="L1891" s="24" t="str">
        <f aca="false">IF($D1891="","",IFERROR(INDEX(Workers!$E$5:$E$2004,MATCH($D1891,Workers!$A$5:$A$2004,0)),""))</f>
        <v/>
      </c>
      <c r="M1891" s="26" t="str">
        <f aca="false">IF($D1891="","",IFERROR(INDEX(ClientRates!$D$5:$D$500,MATCH($B1891&amp;"|"&amp;$L1891,ClientRates!$A$5:$A$500,0)),0))</f>
        <v/>
      </c>
      <c r="N1891" s="26" t="str">
        <f aca="false">IF($D1891="","",IFERROR(INDEX(ClientRates!$E$5:$E$500,MATCH($B1891&amp;"|"&amp;$L1891,ClientRates!$A$5:$A$500,0)),0))</f>
        <v/>
      </c>
      <c r="O1891" s="26" t="str">
        <f aca="false">IF($D1891="","",F1891*M1891+G1891*N1891)</f>
        <v/>
      </c>
      <c r="P1891" s="26" t="str">
        <f aca="false">IF(OR($D1891="",$J1891&lt;&gt;"Supplier"),"",IFERROR(INDEX(SupplierRates!$D$5:$D$500,MATCH($K1891&amp;"|"&amp;$L1891,SupplierRates!$A$5:$A$500,0)),0))</f>
        <v/>
      </c>
      <c r="Q1891" s="26" t="str">
        <f aca="false">IF(OR($D1891="",$J1891&lt;&gt;"Supplier"),"",IFERROR(INDEX(SupplierRates!$E$5:$E$500,MATCH($K1891&amp;"|"&amp;$L1891,SupplierRates!$A$5:$A$500,0)),0))</f>
        <v/>
      </c>
      <c r="R1891" s="26" t="n">
        <f aca="false">IF(OR($D1891="",$J1891&lt;&gt;"Supplier"),0,F1891*P1891+G1891*Q1891)</f>
        <v>0</v>
      </c>
      <c r="S1891" s="26" t="n">
        <f aca="false">IF(OR($D1891="",$J1891&lt;&gt;"Own"),0,IFERROR((F1891+G1891*Settings!$B$13)*INDEX(Workers!$V$5:$V$2004,MATCH($D1891,Workers!$A$5:$A$2004,0)),0))</f>
        <v>0</v>
      </c>
      <c r="T1891" s="26" t="str">
        <f aca="false">IF($D1891="","",O1891-R1891-S1891)</f>
        <v/>
      </c>
    </row>
    <row r="1892" customFormat="false" ht="15" hidden="false" customHeight="false" outlineLevel="0" collapsed="false">
      <c r="I1892" s="24" t="str">
        <f aca="false">IF($D1892="","",IFERROR(INDEX(Workers!$B$5:$B$2004,MATCH($D1892,Workers!$A$5:$A$2004,0)),"NOT FOUND"))</f>
        <v/>
      </c>
      <c r="J1892" s="24" t="str">
        <f aca="false">IF($D1892="","",IFERROR(INDEX(Workers!$C$5:$C$2004,MATCH($D1892,Workers!$A$5:$A$2004,0)),""))</f>
        <v/>
      </c>
      <c r="K1892" s="24" t="str">
        <f aca="false">IF($D1892="","",IFERROR(IF(INDEX(Workers!$D$5:$D$2004,MATCH($D1892,Workers!$A$5:$A$2004,0))=0,"",INDEX(Workers!$D$5:$D$2004,MATCH($D1892,Workers!$A$5:$A$2004,0))),""))</f>
        <v/>
      </c>
      <c r="L1892" s="24" t="str">
        <f aca="false">IF($D1892="","",IFERROR(INDEX(Workers!$E$5:$E$2004,MATCH($D1892,Workers!$A$5:$A$2004,0)),""))</f>
        <v/>
      </c>
      <c r="M1892" s="26" t="str">
        <f aca="false">IF($D1892="","",IFERROR(INDEX(ClientRates!$D$5:$D$500,MATCH($B1892&amp;"|"&amp;$L1892,ClientRates!$A$5:$A$500,0)),0))</f>
        <v/>
      </c>
      <c r="N1892" s="26" t="str">
        <f aca="false">IF($D1892="","",IFERROR(INDEX(ClientRates!$E$5:$E$500,MATCH($B1892&amp;"|"&amp;$L1892,ClientRates!$A$5:$A$500,0)),0))</f>
        <v/>
      </c>
      <c r="O1892" s="26" t="str">
        <f aca="false">IF($D1892="","",F1892*M1892+G1892*N1892)</f>
        <v/>
      </c>
      <c r="P1892" s="26" t="str">
        <f aca="false">IF(OR($D1892="",$J1892&lt;&gt;"Supplier"),"",IFERROR(INDEX(SupplierRates!$D$5:$D$500,MATCH($K1892&amp;"|"&amp;$L1892,SupplierRates!$A$5:$A$500,0)),0))</f>
        <v/>
      </c>
      <c r="Q1892" s="26" t="str">
        <f aca="false">IF(OR($D1892="",$J1892&lt;&gt;"Supplier"),"",IFERROR(INDEX(SupplierRates!$E$5:$E$500,MATCH($K1892&amp;"|"&amp;$L1892,SupplierRates!$A$5:$A$500,0)),0))</f>
        <v/>
      </c>
      <c r="R1892" s="26" t="n">
        <f aca="false">IF(OR($D1892="",$J1892&lt;&gt;"Supplier"),0,F1892*P1892+G1892*Q1892)</f>
        <v>0</v>
      </c>
      <c r="S1892" s="26" t="n">
        <f aca="false">IF(OR($D1892="",$J1892&lt;&gt;"Own"),0,IFERROR((F1892+G1892*Settings!$B$13)*INDEX(Workers!$V$5:$V$2004,MATCH($D1892,Workers!$A$5:$A$2004,0)),0))</f>
        <v>0</v>
      </c>
      <c r="T1892" s="26" t="str">
        <f aca="false">IF($D1892="","",O1892-R1892-S1892)</f>
        <v/>
      </c>
    </row>
    <row r="1893" customFormat="false" ht="15" hidden="false" customHeight="false" outlineLevel="0" collapsed="false">
      <c r="I1893" s="24" t="str">
        <f aca="false">IF($D1893="","",IFERROR(INDEX(Workers!$B$5:$B$2004,MATCH($D1893,Workers!$A$5:$A$2004,0)),"NOT FOUND"))</f>
        <v/>
      </c>
      <c r="J1893" s="24" t="str">
        <f aca="false">IF($D1893="","",IFERROR(INDEX(Workers!$C$5:$C$2004,MATCH($D1893,Workers!$A$5:$A$2004,0)),""))</f>
        <v/>
      </c>
      <c r="K1893" s="24" t="str">
        <f aca="false">IF($D1893="","",IFERROR(IF(INDEX(Workers!$D$5:$D$2004,MATCH($D1893,Workers!$A$5:$A$2004,0))=0,"",INDEX(Workers!$D$5:$D$2004,MATCH($D1893,Workers!$A$5:$A$2004,0))),""))</f>
        <v/>
      </c>
      <c r="L1893" s="24" t="str">
        <f aca="false">IF($D1893="","",IFERROR(INDEX(Workers!$E$5:$E$2004,MATCH($D1893,Workers!$A$5:$A$2004,0)),""))</f>
        <v/>
      </c>
      <c r="M1893" s="26" t="str">
        <f aca="false">IF($D1893="","",IFERROR(INDEX(ClientRates!$D$5:$D$500,MATCH($B1893&amp;"|"&amp;$L1893,ClientRates!$A$5:$A$500,0)),0))</f>
        <v/>
      </c>
      <c r="N1893" s="26" t="str">
        <f aca="false">IF($D1893="","",IFERROR(INDEX(ClientRates!$E$5:$E$500,MATCH($B1893&amp;"|"&amp;$L1893,ClientRates!$A$5:$A$500,0)),0))</f>
        <v/>
      </c>
      <c r="O1893" s="26" t="str">
        <f aca="false">IF($D1893="","",F1893*M1893+G1893*N1893)</f>
        <v/>
      </c>
      <c r="P1893" s="26" t="str">
        <f aca="false">IF(OR($D1893="",$J1893&lt;&gt;"Supplier"),"",IFERROR(INDEX(SupplierRates!$D$5:$D$500,MATCH($K1893&amp;"|"&amp;$L1893,SupplierRates!$A$5:$A$500,0)),0))</f>
        <v/>
      </c>
      <c r="Q1893" s="26" t="str">
        <f aca="false">IF(OR($D1893="",$J1893&lt;&gt;"Supplier"),"",IFERROR(INDEX(SupplierRates!$E$5:$E$500,MATCH($K1893&amp;"|"&amp;$L1893,SupplierRates!$A$5:$A$500,0)),0))</f>
        <v/>
      </c>
      <c r="R1893" s="26" t="n">
        <f aca="false">IF(OR($D1893="",$J1893&lt;&gt;"Supplier"),0,F1893*P1893+G1893*Q1893)</f>
        <v>0</v>
      </c>
      <c r="S1893" s="26" t="n">
        <f aca="false">IF(OR($D1893="",$J1893&lt;&gt;"Own"),0,IFERROR((F1893+G1893*Settings!$B$13)*INDEX(Workers!$V$5:$V$2004,MATCH($D1893,Workers!$A$5:$A$2004,0)),0))</f>
        <v>0</v>
      </c>
      <c r="T1893" s="26" t="str">
        <f aca="false">IF($D1893="","",O1893-R1893-S1893)</f>
        <v/>
      </c>
    </row>
    <row r="1894" customFormat="false" ht="15" hidden="false" customHeight="false" outlineLevel="0" collapsed="false">
      <c r="I1894" s="24" t="str">
        <f aca="false">IF($D1894="","",IFERROR(INDEX(Workers!$B$5:$B$2004,MATCH($D1894,Workers!$A$5:$A$2004,0)),"NOT FOUND"))</f>
        <v/>
      </c>
      <c r="J1894" s="24" t="str">
        <f aca="false">IF($D1894="","",IFERROR(INDEX(Workers!$C$5:$C$2004,MATCH($D1894,Workers!$A$5:$A$2004,0)),""))</f>
        <v/>
      </c>
      <c r="K1894" s="24" t="str">
        <f aca="false">IF($D1894="","",IFERROR(IF(INDEX(Workers!$D$5:$D$2004,MATCH($D1894,Workers!$A$5:$A$2004,0))=0,"",INDEX(Workers!$D$5:$D$2004,MATCH($D1894,Workers!$A$5:$A$2004,0))),""))</f>
        <v/>
      </c>
      <c r="L1894" s="24" t="str">
        <f aca="false">IF($D1894="","",IFERROR(INDEX(Workers!$E$5:$E$2004,MATCH($D1894,Workers!$A$5:$A$2004,0)),""))</f>
        <v/>
      </c>
      <c r="M1894" s="26" t="str">
        <f aca="false">IF($D1894="","",IFERROR(INDEX(ClientRates!$D$5:$D$500,MATCH($B1894&amp;"|"&amp;$L1894,ClientRates!$A$5:$A$500,0)),0))</f>
        <v/>
      </c>
      <c r="N1894" s="26" t="str">
        <f aca="false">IF($D1894="","",IFERROR(INDEX(ClientRates!$E$5:$E$500,MATCH($B1894&amp;"|"&amp;$L1894,ClientRates!$A$5:$A$500,0)),0))</f>
        <v/>
      </c>
      <c r="O1894" s="26" t="str">
        <f aca="false">IF($D1894="","",F1894*M1894+G1894*N1894)</f>
        <v/>
      </c>
      <c r="P1894" s="26" t="str">
        <f aca="false">IF(OR($D1894="",$J1894&lt;&gt;"Supplier"),"",IFERROR(INDEX(SupplierRates!$D$5:$D$500,MATCH($K1894&amp;"|"&amp;$L1894,SupplierRates!$A$5:$A$500,0)),0))</f>
        <v/>
      </c>
      <c r="Q1894" s="26" t="str">
        <f aca="false">IF(OR($D1894="",$J1894&lt;&gt;"Supplier"),"",IFERROR(INDEX(SupplierRates!$E$5:$E$500,MATCH($K1894&amp;"|"&amp;$L1894,SupplierRates!$A$5:$A$500,0)),0))</f>
        <v/>
      </c>
      <c r="R1894" s="26" t="n">
        <f aca="false">IF(OR($D1894="",$J1894&lt;&gt;"Supplier"),0,F1894*P1894+G1894*Q1894)</f>
        <v>0</v>
      </c>
      <c r="S1894" s="26" t="n">
        <f aca="false">IF(OR($D1894="",$J1894&lt;&gt;"Own"),0,IFERROR((F1894+G1894*Settings!$B$13)*INDEX(Workers!$V$5:$V$2004,MATCH($D1894,Workers!$A$5:$A$2004,0)),0))</f>
        <v>0</v>
      </c>
      <c r="T1894" s="26" t="str">
        <f aca="false">IF($D1894="","",O1894-R1894-S1894)</f>
        <v/>
      </c>
    </row>
    <row r="1895" customFormat="false" ht="15" hidden="false" customHeight="false" outlineLevel="0" collapsed="false">
      <c r="I1895" s="24" t="str">
        <f aca="false">IF($D1895="","",IFERROR(INDEX(Workers!$B$5:$B$2004,MATCH($D1895,Workers!$A$5:$A$2004,0)),"NOT FOUND"))</f>
        <v/>
      </c>
      <c r="J1895" s="24" t="str">
        <f aca="false">IF($D1895="","",IFERROR(INDEX(Workers!$C$5:$C$2004,MATCH($D1895,Workers!$A$5:$A$2004,0)),""))</f>
        <v/>
      </c>
      <c r="K1895" s="24" t="str">
        <f aca="false">IF($D1895="","",IFERROR(IF(INDEX(Workers!$D$5:$D$2004,MATCH($D1895,Workers!$A$5:$A$2004,0))=0,"",INDEX(Workers!$D$5:$D$2004,MATCH($D1895,Workers!$A$5:$A$2004,0))),""))</f>
        <v/>
      </c>
      <c r="L1895" s="24" t="str">
        <f aca="false">IF($D1895="","",IFERROR(INDEX(Workers!$E$5:$E$2004,MATCH($D1895,Workers!$A$5:$A$2004,0)),""))</f>
        <v/>
      </c>
      <c r="M1895" s="26" t="str">
        <f aca="false">IF($D1895="","",IFERROR(INDEX(ClientRates!$D$5:$D$500,MATCH($B1895&amp;"|"&amp;$L1895,ClientRates!$A$5:$A$500,0)),0))</f>
        <v/>
      </c>
      <c r="N1895" s="26" t="str">
        <f aca="false">IF($D1895="","",IFERROR(INDEX(ClientRates!$E$5:$E$500,MATCH($B1895&amp;"|"&amp;$L1895,ClientRates!$A$5:$A$500,0)),0))</f>
        <v/>
      </c>
      <c r="O1895" s="26" t="str">
        <f aca="false">IF($D1895="","",F1895*M1895+G1895*N1895)</f>
        <v/>
      </c>
      <c r="P1895" s="26" t="str">
        <f aca="false">IF(OR($D1895="",$J1895&lt;&gt;"Supplier"),"",IFERROR(INDEX(SupplierRates!$D$5:$D$500,MATCH($K1895&amp;"|"&amp;$L1895,SupplierRates!$A$5:$A$500,0)),0))</f>
        <v/>
      </c>
      <c r="Q1895" s="26" t="str">
        <f aca="false">IF(OR($D1895="",$J1895&lt;&gt;"Supplier"),"",IFERROR(INDEX(SupplierRates!$E$5:$E$500,MATCH($K1895&amp;"|"&amp;$L1895,SupplierRates!$A$5:$A$500,0)),0))</f>
        <v/>
      </c>
      <c r="R1895" s="26" t="n">
        <f aca="false">IF(OR($D1895="",$J1895&lt;&gt;"Supplier"),0,F1895*P1895+G1895*Q1895)</f>
        <v>0</v>
      </c>
      <c r="S1895" s="26" t="n">
        <f aca="false">IF(OR($D1895="",$J1895&lt;&gt;"Own"),0,IFERROR((F1895+G1895*Settings!$B$13)*INDEX(Workers!$V$5:$V$2004,MATCH($D1895,Workers!$A$5:$A$2004,0)),0))</f>
        <v>0</v>
      </c>
      <c r="T1895" s="26" t="str">
        <f aca="false">IF($D1895="","",O1895-R1895-S1895)</f>
        <v/>
      </c>
    </row>
    <row r="1896" customFormat="false" ht="15" hidden="false" customHeight="false" outlineLevel="0" collapsed="false">
      <c r="I1896" s="24" t="str">
        <f aca="false">IF($D1896="","",IFERROR(INDEX(Workers!$B$5:$B$2004,MATCH($D1896,Workers!$A$5:$A$2004,0)),"NOT FOUND"))</f>
        <v/>
      </c>
      <c r="J1896" s="24" t="str">
        <f aca="false">IF($D1896="","",IFERROR(INDEX(Workers!$C$5:$C$2004,MATCH($D1896,Workers!$A$5:$A$2004,0)),""))</f>
        <v/>
      </c>
      <c r="K1896" s="24" t="str">
        <f aca="false">IF($D1896="","",IFERROR(IF(INDEX(Workers!$D$5:$D$2004,MATCH($D1896,Workers!$A$5:$A$2004,0))=0,"",INDEX(Workers!$D$5:$D$2004,MATCH($D1896,Workers!$A$5:$A$2004,0))),""))</f>
        <v/>
      </c>
      <c r="L1896" s="24" t="str">
        <f aca="false">IF($D1896="","",IFERROR(INDEX(Workers!$E$5:$E$2004,MATCH($D1896,Workers!$A$5:$A$2004,0)),""))</f>
        <v/>
      </c>
      <c r="M1896" s="26" t="str">
        <f aca="false">IF($D1896="","",IFERROR(INDEX(ClientRates!$D$5:$D$500,MATCH($B1896&amp;"|"&amp;$L1896,ClientRates!$A$5:$A$500,0)),0))</f>
        <v/>
      </c>
      <c r="N1896" s="26" t="str">
        <f aca="false">IF($D1896="","",IFERROR(INDEX(ClientRates!$E$5:$E$500,MATCH($B1896&amp;"|"&amp;$L1896,ClientRates!$A$5:$A$500,0)),0))</f>
        <v/>
      </c>
      <c r="O1896" s="26" t="str">
        <f aca="false">IF($D1896="","",F1896*M1896+G1896*N1896)</f>
        <v/>
      </c>
      <c r="P1896" s="26" t="str">
        <f aca="false">IF(OR($D1896="",$J1896&lt;&gt;"Supplier"),"",IFERROR(INDEX(SupplierRates!$D$5:$D$500,MATCH($K1896&amp;"|"&amp;$L1896,SupplierRates!$A$5:$A$500,0)),0))</f>
        <v/>
      </c>
      <c r="Q1896" s="26" t="str">
        <f aca="false">IF(OR($D1896="",$J1896&lt;&gt;"Supplier"),"",IFERROR(INDEX(SupplierRates!$E$5:$E$500,MATCH($K1896&amp;"|"&amp;$L1896,SupplierRates!$A$5:$A$500,0)),0))</f>
        <v/>
      </c>
      <c r="R1896" s="26" t="n">
        <f aca="false">IF(OR($D1896="",$J1896&lt;&gt;"Supplier"),0,F1896*P1896+G1896*Q1896)</f>
        <v>0</v>
      </c>
      <c r="S1896" s="26" t="n">
        <f aca="false">IF(OR($D1896="",$J1896&lt;&gt;"Own"),0,IFERROR((F1896+G1896*Settings!$B$13)*INDEX(Workers!$V$5:$V$2004,MATCH($D1896,Workers!$A$5:$A$2004,0)),0))</f>
        <v>0</v>
      </c>
      <c r="T1896" s="26" t="str">
        <f aca="false">IF($D1896="","",O1896-R1896-S1896)</f>
        <v/>
      </c>
    </row>
    <row r="1897" customFormat="false" ht="15" hidden="false" customHeight="false" outlineLevel="0" collapsed="false">
      <c r="I1897" s="24" t="str">
        <f aca="false">IF($D1897="","",IFERROR(INDEX(Workers!$B$5:$B$2004,MATCH($D1897,Workers!$A$5:$A$2004,0)),"NOT FOUND"))</f>
        <v/>
      </c>
      <c r="J1897" s="24" t="str">
        <f aca="false">IF($D1897="","",IFERROR(INDEX(Workers!$C$5:$C$2004,MATCH($D1897,Workers!$A$5:$A$2004,0)),""))</f>
        <v/>
      </c>
      <c r="K1897" s="24" t="str">
        <f aca="false">IF($D1897="","",IFERROR(IF(INDEX(Workers!$D$5:$D$2004,MATCH($D1897,Workers!$A$5:$A$2004,0))=0,"",INDEX(Workers!$D$5:$D$2004,MATCH($D1897,Workers!$A$5:$A$2004,0))),""))</f>
        <v/>
      </c>
      <c r="L1897" s="24" t="str">
        <f aca="false">IF($D1897="","",IFERROR(INDEX(Workers!$E$5:$E$2004,MATCH($D1897,Workers!$A$5:$A$2004,0)),""))</f>
        <v/>
      </c>
      <c r="M1897" s="26" t="str">
        <f aca="false">IF($D1897="","",IFERROR(INDEX(ClientRates!$D$5:$D$500,MATCH($B1897&amp;"|"&amp;$L1897,ClientRates!$A$5:$A$500,0)),0))</f>
        <v/>
      </c>
      <c r="N1897" s="26" t="str">
        <f aca="false">IF($D1897="","",IFERROR(INDEX(ClientRates!$E$5:$E$500,MATCH($B1897&amp;"|"&amp;$L1897,ClientRates!$A$5:$A$500,0)),0))</f>
        <v/>
      </c>
      <c r="O1897" s="26" t="str">
        <f aca="false">IF($D1897="","",F1897*M1897+G1897*N1897)</f>
        <v/>
      </c>
      <c r="P1897" s="26" t="str">
        <f aca="false">IF(OR($D1897="",$J1897&lt;&gt;"Supplier"),"",IFERROR(INDEX(SupplierRates!$D$5:$D$500,MATCH($K1897&amp;"|"&amp;$L1897,SupplierRates!$A$5:$A$500,0)),0))</f>
        <v/>
      </c>
      <c r="Q1897" s="26" t="str">
        <f aca="false">IF(OR($D1897="",$J1897&lt;&gt;"Supplier"),"",IFERROR(INDEX(SupplierRates!$E$5:$E$500,MATCH($K1897&amp;"|"&amp;$L1897,SupplierRates!$A$5:$A$500,0)),0))</f>
        <v/>
      </c>
      <c r="R1897" s="26" t="n">
        <f aca="false">IF(OR($D1897="",$J1897&lt;&gt;"Supplier"),0,F1897*P1897+G1897*Q1897)</f>
        <v>0</v>
      </c>
      <c r="S1897" s="26" t="n">
        <f aca="false">IF(OR($D1897="",$J1897&lt;&gt;"Own"),0,IFERROR((F1897+G1897*Settings!$B$13)*INDEX(Workers!$V$5:$V$2004,MATCH($D1897,Workers!$A$5:$A$2004,0)),0))</f>
        <v>0</v>
      </c>
      <c r="T1897" s="26" t="str">
        <f aca="false">IF($D1897="","",O1897-R1897-S1897)</f>
        <v/>
      </c>
    </row>
    <row r="1898" customFormat="false" ht="15" hidden="false" customHeight="false" outlineLevel="0" collapsed="false">
      <c r="I1898" s="24" t="str">
        <f aca="false">IF($D1898="","",IFERROR(INDEX(Workers!$B$5:$B$2004,MATCH($D1898,Workers!$A$5:$A$2004,0)),"NOT FOUND"))</f>
        <v/>
      </c>
      <c r="J1898" s="24" t="str">
        <f aca="false">IF($D1898="","",IFERROR(INDEX(Workers!$C$5:$C$2004,MATCH($D1898,Workers!$A$5:$A$2004,0)),""))</f>
        <v/>
      </c>
      <c r="K1898" s="24" t="str">
        <f aca="false">IF($D1898="","",IFERROR(IF(INDEX(Workers!$D$5:$D$2004,MATCH($D1898,Workers!$A$5:$A$2004,0))=0,"",INDEX(Workers!$D$5:$D$2004,MATCH($D1898,Workers!$A$5:$A$2004,0))),""))</f>
        <v/>
      </c>
      <c r="L1898" s="24" t="str">
        <f aca="false">IF($D1898="","",IFERROR(INDEX(Workers!$E$5:$E$2004,MATCH($D1898,Workers!$A$5:$A$2004,0)),""))</f>
        <v/>
      </c>
      <c r="M1898" s="26" t="str">
        <f aca="false">IF($D1898="","",IFERROR(INDEX(ClientRates!$D$5:$D$500,MATCH($B1898&amp;"|"&amp;$L1898,ClientRates!$A$5:$A$500,0)),0))</f>
        <v/>
      </c>
      <c r="N1898" s="26" t="str">
        <f aca="false">IF($D1898="","",IFERROR(INDEX(ClientRates!$E$5:$E$500,MATCH($B1898&amp;"|"&amp;$L1898,ClientRates!$A$5:$A$500,0)),0))</f>
        <v/>
      </c>
      <c r="O1898" s="26" t="str">
        <f aca="false">IF($D1898="","",F1898*M1898+G1898*N1898)</f>
        <v/>
      </c>
      <c r="P1898" s="26" t="str">
        <f aca="false">IF(OR($D1898="",$J1898&lt;&gt;"Supplier"),"",IFERROR(INDEX(SupplierRates!$D$5:$D$500,MATCH($K1898&amp;"|"&amp;$L1898,SupplierRates!$A$5:$A$500,0)),0))</f>
        <v/>
      </c>
      <c r="Q1898" s="26" t="str">
        <f aca="false">IF(OR($D1898="",$J1898&lt;&gt;"Supplier"),"",IFERROR(INDEX(SupplierRates!$E$5:$E$500,MATCH($K1898&amp;"|"&amp;$L1898,SupplierRates!$A$5:$A$500,0)),0))</f>
        <v/>
      </c>
      <c r="R1898" s="26" t="n">
        <f aca="false">IF(OR($D1898="",$J1898&lt;&gt;"Supplier"),0,F1898*P1898+G1898*Q1898)</f>
        <v>0</v>
      </c>
      <c r="S1898" s="26" t="n">
        <f aca="false">IF(OR($D1898="",$J1898&lt;&gt;"Own"),0,IFERROR((F1898+G1898*Settings!$B$13)*INDEX(Workers!$V$5:$V$2004,MATCH($D1898,Workers!$A$5:$A$2004,0)),0))</f>
        <v>0</v>
      </c>
      <c r="T1898" s="26" t="str">
        <f aca="false">IF($D1898="","",O1898-R1898-S1898)</f>
        <v/>
      </c>
    </row>
    <row r="1899" customFormat="false" ht="15" hidden="false" customHeight="false" outlineLevel="0" collapsed="false">
      <c r="I1899" s="24" t="str">
        <f aca="false">IF($D1899="","",IFERROR(INDEX(Workers!$B$5:$B$2004,MATCH($D1899,Workers!$A$5:$A$2004,0)),"NOT FOUND"))</f>
        <v/>
      </c>
      <c r="J1899" s="24" t="str">
        <f aca="false">IF($D1899="","",IFERROR(INDEX(Workers!$C$5:$C$2004,MATCH($D1899,Workers!$A$5:$A$2004,0)),""))</f>
        <v/>
      </c>
      <c r="K1899" s="24" t="str">
        <f aca="false">IF($D1899="","",IFERROR(IF(INDEX(Workers!$D$5:$D$2004,MATCH($D1899,Workers!$A$5:$A$2004,0))=0,"",INDEX(Workers!$D$5:$D$2004,MATCH($D1899,Workers!$A$5:$A$2004,0))),""))</f>
        <v/>
      </c>
      <c r="L1899" s="24" t="str">
        <f aca="false">IF($D1899="","",IFERROR(INDEX(Workers!$E$5:$E$2004,MATCH($D1899,Workers!$A$5:$A$2004,0)),""))</f>
        <v/>
      </c>
      <c r="M1899" s="26" t="str">
        <f aca="false">IF($D1899="","",IFERROR(INDEX(ClientRates!$D$5:$D$500,MATCH($B1899&amp;"|"&amp;$L1899,ClientRates!$A$5:$A$500,0)),0))</f>
        <v/>
      </c>
      <c r="N1899" s="26" t="str">
        <f aca="false">IF($D1899="","",IFERROR(INDEX(ClientRates!$E$5:$E$500,MATCH($B1899&amp;"|"&amp;$L1899,ClientRates!$A$5:$A$500,0)),0))</f>
        <v/>
      </c>
      <c r="O1899" s="26" t="str">
        <f aca="false">IF($D1899="","",F1899*M1899+G1899*N1899)</f>
        <v/>
      </c>
      <c r="P1899" s="26" t="str">
        <f aca="false">IF(OR($D1899="",$J1899&lt;&gt;"Supplier"),"",IFERROR(INDEX(SupplierRates!$D$5:$D$500,MATCH($K1899&amp;"|"&amp;$L1899,SupplierRates!$A$5:$A$500,0)),0))</f>
        <v/>
      </c>
      <c r="Q1899" s="26" t="str">
        <f aca="false">IF(OR($D1899="",$J1899&lt;&gt;"Supplier"),"",IFERROR(INDEX(SupplierRates!$E$5:$E$500,MATCH($K1899&amp;"|"&amp;$L1899,SupplierRates!$A$5:$A$500,0)),0))</f>
        <v/>
      </c>
      <c r="R1899" s="26" t="n">
        <f aca="false">IF(OR($D1899="",$J1899&lt;&gt;"Supplier"),0,F1899*P1899+G1899*Q1899)</f>
        <v>0</v>
      </c>
      <c r="S1899" s="26" t="n">
        <f aca="false">IF(OR($D1899="",$J1899&lt;&gt;"Own"),0,IFERROR((F1899+G1899*Settings!$B$13)*INDEX(Workers!$V$5:$V$2004,MATCH($D1899,Workers!$A$5:$A$2004,0)),0))</f>
        <v>0</v>
      </c>
      <c r="T1899" s="26" t="str">
        <f aca="false">IF($D1899="","",O1899-R1899-S1899)</f>
        <v/>
      </c>
    </row>
    <row r="1900" customFormat="false" ht="15" hidden="false" customHeight="false" outlineLevel="0" collapsed="false">
      <c r="I1900" s="24" t="str">
        <f aca="false">IF($D1900="","",IFERROR(INDEX(Workers!$B$5:$B$2004,MATCH($D1900,Workers!$A$5:$A$2004,0)),"NOT FOUND"))</f>
        <v/>
      </c>
      <c r="J1900" s="24" t="str">
        <f aca="false">IF($D1900="","",IFERROR(INDEX(Workers!$C$5:$C$2004,MATCH($D1900,Workers!$A$5:$A$2004,0)),""))</f>
        <v/>
      </c>
      <c r="K1900" s="24" t="str">
        <f aca="false">IF($D1900="","",IFERROR(IF(INDEX(Workers!$D$5:$D$2004,MATCH($D1900,Workers!$A$5:$A$2004,0))=0,"",INDEX(Workers!$D$5:$D$2004,MATCH($D1900,Workers!$A$5:$A$2004,0))),""))</f>
        <v/>
      </c>
      <c r="L1900" s="24" t="str">
        <f aca="false">IF($D1900="","",IFERROR(INDEX(Workers!$E$5:$E$2004,MATCH($D1900,Workers!$A$5:$A$2004,0)),""))</f>
        <v/>
      </c>
      <c r="M1900" s="26" t="str">
        <f aca="false">IF($D1900="","",IFERROR(INDEX(ClientRates!$D$5:$D$500,MATCH($B1900&amp;"|"&amp;$L1900,ClientRates!$A$5:$A$500,0)),0))</f>
        <v/>
      </c>
      <c r="N1900" s="26" t="str">
        <f aca="false">IF($D1900="","",IFERROR(INDEX(ClientRates!$E$5:$E$500,MATCH($B1900&amp;"|"&amp;$L1900,ClientRates!$A$5:$A$500,0)),0))</f>
        <v/>
      </c>
      <c r="O1900" s="26" t="str">
        <f aca="false">IF($D1900="","",F1900*M1900+G1900*N1900)</f>
        <v/>
      </c>
      <c r="P1900" s="26" t="str">
        <f aca="false">IF(OR($D1900="",$J1900&lt;&gt;"Supplier"),"",IFERROR(INDEX(SupplierRates!$D$5:$D$500,MATCH($K1900&amp;"|"&amp;$L1900,SupplierRates!$A$5:$A$500,0)),0))</f>
        <v/>
      </c>
      <c r="Q1900" s="26" t="str">
        <f aca="false">IF(OR($D1900="",$J1900&lt;&gt;"Supplier"),"",IFERROR(INDEX(SupplierRates!$E$5:$E$500,MATCH($K1900&amp;"|"&amp;$L1900,SupplierRates!$A$5:$A$500,0)),0))</f>
        <v/>
      </c>
      <c r="R1900" s="26" t="n">
        <f aca="false">IF(OR($D1900="",$J1900&lt;&gt;"Supplier"),0,F1900*P1900+G1900*Q1900)</f>
        <v>0</v>
      </c>
      <c r="S1900" s="26" t="n">
        <f aca="false">IF(OR($D1900="",$J1900&lt;&gt;"Own"),0,IFERROR((F1900+G1900*Settings!$B$13)*INDEX(Workers!$V$5:$V$2004,MATCH($D1900,Workers!$A$5:$A$2004,0)),0))</f>
        <v>0</v>
      </c>
      <c r="T1900" s="26" t="str">
        <f aca="false">IF($D1900="","",O1900-R1900-S1900)</f>
        <v/>
      </c>
    </row>
    <row r="1901" customFormat="false" ht="15" hidden="false" customHeight="false" outlineLevel="0" collapsed="false">
      <c r="I1901" s="24" t="str">
        <f aca="false">IF($D1901="","",IFERROR(INDEX(Workers!$B$5:$B$2004,MATCH($D1901,Workers!$A$5:$A$2004,0)),"NOT FOUND"))</f>
        <v/>
      </c>
      <c r="J1901" s="24" t="str">
        <f aca="false">IF($D1901="","",IFERROR(INDEX(Workers!$C$5:$C$2004,MATCH($D1901,Workers!$A$5:$A$2004,0)),""))</f>
        <v/>
      </c>
      <c r="K1901" s="24" t="str">
        <f aca="false">IF($D1901="","",IFERROR(IF(INDEX(Workers!$D$5:$D$2004,MATCH($D1901,Workers!$A$5:$A$2004,0))=0,"",INDEX(Workers!$D$5:$D$2004,MATCH($D1901,Workers!$A$5:$A$2004,0))),""))</f>
        <v/>
      </c>
      <c r="L1901" s="24" t="str">
        <f aca="false">IF($D1901="","",IFERROR(INDEX(Workers!$E$5:$E$2004,MATCH($D1901,Workers!$A$5:$A$2004,0)),""))</f>
        <v/>
      </c>
      <c r="M1901" s="26" t="str">
        <f aca="false">IF($D1901="","",IFERROR(INDEX(ClientRates!$D$5:$D$500,MATCH($B1901&amp;"|"&amp;$L1901,ClientRates!$A$5:$A$500,0)),0))</f>
        <v/>
      </c>
      <c r="N1901" s="26" t="str">
        <f aca="false">IF($D1901="","",IFERROR(INDEX(ClientRates!$E$5:$E$500,MATCH($B1901&amp;"|"&amp;$L1901,ClientRates!$A$5:$A$500,0)),0))</f>
        <v/>
      </c>
      <c r="O1901" s="26" t="str">
        <f aca="false">IF($D1901="","",F1901*M1901+G1901*N1901)</f>
        <v/>
      </c>
      <c r="P1901" s="26" t="str">
        <f aca="false">IF(OR($D1901="",$J1901&lt;&gt;"Supplier"),"",IFERROR(INDEX(SupplierRates!$D$5:$D$500,MATCH($K1901&amp;"|"&amp;$L1901,SupplierRates!$A$5:$A$500,0)),0))</f>
        <v/>
      </c>
      <c r="Q1901" s="26" t="str">
        <f aca="false">IF(OR($D1901="",$J1901&lt;&gt;"Supplier"),"",IFERROR(INDEX(SupplierRates!$E$5:$E$500,MATCH($K1901&amp;"|"&amp;$L1901,SupplierRates!$A$5:$A$500,0)),0))</f>
        <v/>
      </c>
      <c r="R1901" s="26" t="n">
        <f aca="false">IF(OR($D1901="",$J1901&lt;&gt;"Supplier"),0,F1901*P1901+G1901*Q1901)</f>
        <v>0</v>
      </c>
      <c r="S1901" s="26" t="n">
        <f aca="false">IF(OR($D1901="",$J1901&lt;&gt;"Own"),0,IFERROR((F1901+G1901*Settings!$B$13)*INDEX(Workers!$V$5:$V$2004,MATCH($D1901,Workers!$A$5:$A$2004,0)),0))</f>
        <v>0</v>
      </c>
      <c r="T1901" s="26" t="str">
        <f aca="false">IF($D1901="","",O1901-R1901-S1901)</f>
        <v/>
      </c>
    </row>
    <row r="1902" customFormat="false" ht="15" hidden="false" customHeight="false" outlineLevel="0" collapsed="false">
      <c r="I1902" s="24" t="str">
        <f aca="false">IF($D1902="","",IFERROR(INDEX(Workers!$B$5:$B$2004,MATCH($D1902,Workers!$A$5:$A$2004,0)),"NOT FOUND"))</f>
        <v/>
      </c>
      <c r="J1902" s="24" t="str">
        <f aca="false">IF($D1902="","",IFERROR(INDEX(Workers!$C$5:$C$2004,MATCH($D1902,Workers!$A$5:$A$2004,0)),""))</f>
        <v/>
      </c>
      <c r="K1902" s="24" t="str">
        <f aca="false">IF($D1902="","",IFERROR(IF(INDEX(Workers!$D$5:$D$2004,MATCH($D1902,Workers!$A$5:$A$2004,0))=0,"",INDEX(Workers!$D$5:$D$2004,MATCH($D1902,Workers!$A$5:$A$2004,0))),""))</f>
        <v/>
      </c>
      <c r="L1902" s="24" t="str">
        <f aca="false">IF($D1902="","",IFERROR(INDEX(Workers!$E$5:$E$2004,MATCH($D1902,Workers!$A$5:$A$2004,0)),""))</f>
        <v/>
      </c>
      <c r="M1902" s="26" t="str">
        <f aca="false">IF($D1902="","",IFERROR(INDEX(ClientRates!$D$5:$D$500,MATCH($B1902&amp;"|"&amp;$L1902,ClientRates!$A$5:$A$500,0)),0))</f>
        <v/>
      </c>
      <c r="N1902" s="26" t="str">
        <f aca="false">IF($D1902="","",IFERROR(INDEX(ClientRates!$E$5:$E$500,MATCH($B1902&amp;"|"&amp;$L1902,ClientRates!$A$5:$A$500,0)),0))</f>
        <v/>
      </c>
      <c r="O1902" s="26" t="str">
        <f aca="false">IF($D1902="","",F1902*M1902+G1902*N1902)</f>
        <v/>
      </c>
      <c r="P1902" s="26" t="str">
        <f aca="false">IF(OR($D1902="",$J1902&lt;&gt;"Supplier"),"",IFERROR(INDEX(SupplierRates!$D$5:$D$500,MATCH($K1902&amp;"|"&amp;$L1902,SupplierRates!$A$5:$A$500,0)),0))</f>
        <v/>
      </c>
      <c r="Q1902" s="26" t="str">
        <f aca="false">IF(OR($D1902="",$J1902&lt;&gt;"Supplier"),"",IFERROR(INDEX(SupplierRates!$E$5:$E$500,MATCH($K1902&amp;"|"&amp;$L1902,SupplierRates!$A$5:$A$500,0)),0))</f>
        <v/>
      </c>
      <c r="R1902" s="26" t="n">
        <f aca="false">IF(OR($D1902="",$J1902&lt;&gt;"Supplier"),0,F1902*P1902+G1902*Q1902)</f>
        <v>0</v>
      </c>
      <c r="S1902" s="26" t="n">
        <f aca="false">IF(OR($D1902="",$J1902&lt;&gt;"Own"),0,IFERROR((F1902+G1902*Settings!$B$13)*INDEX(Workers!$V$5:$V$2004,MATCH($D1902,Workers!$A$5:$A$2004,0)),0))</f>
        <v>0</v>
      </c>
      <c r="T1902" s="26" t="str">
        <f aca="false">IF($D1902="","",O1902-R1902-S1902)</f>
        <v/>
      </c>
    </row>
    <row r="1903" customFormat="false" ht="15" hidden="false" customHeight="false" outlineLevel="0" collapsed="false">
      <c r="I1903" s="24" t="str">
        <f aca="false">IF($D1903="","",IFERROR(INDEX(Workers!$B$5:$B$2004,MATCH($D1903,Workers!$A$5:$A$2004,0)),"NOT FOUND"))</f>
        <v/>
      </c>
      <c r="J1903" s="24" t="str">
        <f aca="false">IF($D1903="","",IFERROR(INDEX(Workers!$C$5:$C$2004,MATCH($D1903,Workers!$A$5:$A$2004,0)),""))</f>
        <v/>
      </c>
      <c r="K1903" s="24" t="str">
        <f aca="false">IF($D1903="","",IFERROR(IF(INDEX(Workers!$D$5:$D$2004,MATCH($D1903,Workers!$A$5:$A$2004,0))=0,"",INDEX(Workers!$D$5:$D$2004,MATCH($D1903,Workers!$A$5:$A$2004,0))),""))</f>
        <v/>
      </c>
      <c r="L1903" s="24" t="str">
        <f aca="false">IF($D1903="","",IFERROR(INDEX(Workers!$E$5:$E$2004,MATCH($D1903,Workers!$A$5:$A$2004,0)),""))</f>
        <v/>
      </c>
      <c r="M1903" s="26" t="str">
        <f aca="false">IF($D1903="","",IFERROR(INDEX(ClientRates!$D$5:$D$500,MATCH($B1903&amp;"|"&amp;$L1903,ClientRates!$A$5:$A$500,0)),0))</f>
        <v/>
      </c>
      <c r="N1903" s="26" t="str">
        <f aca="false">IF($D1903="","",IFERROR(INDEX(ClientRates!$E$5:$E$500,MATCH($B1903&amp;"|"&amp;$L1903,ClientRates!$A$5:$A$500,0)),0))</f>
        <v/>
      </c>
      <c r="O1903" s="26" t="str">
        <f aca="false">IF($D1903="","",F1903*M1903+G1903*N1903)</f>
        <v/>
      </c>
      <c r="P1903" s="26" t="str">
        <f aca="false">IF(OR($D1903="",$J1903&lt;&gt;"Supplier"),"",IFERROR(INDEX(SupplierRates!$D$5:$D$500,MATCH($K1903&amp;"|"&amp;$L1903,SupplierRates!$A$5:$A$500,0)),0))</f>
        <v/>
      </c>
      <c r="Q1903" s="26" t="str">
        <f aca="false">IF(OR($D1903="",$J1903&lt;&gt;"Supplier"),"",IFERROR(INDEX(SupplierRates!$E$5:$E$500,MATCH($K1903&amp;"|"&amp;$L1903,SupplierRates!$A$5:$A$500,0)),0))</f>
        <v/>
      </c>
      <c r="R1903" s="26" t="n">
        <f aca="false">IF(OR($D1903="",$J1903&lt;&gt;"Supplier"),0,F1903*P1903+G1903*Q1903)</f>
        <v>0</v>
      </c>
      <c r="S1903" s="26" t="n">
        <f aca="false">IF(OR($D1903="",$J1903&lt;&gt;"Own"),0,IFERROR((F1903+G1903*Settings!$B$13)*INDEX(Workers!$V$5:$V$2004,MATCH($D1903,Workers!$A$5:$A$2004,0)),0))</f>
        <v>0</v>
      </c>
      <c r="T1903" s="26" t="str">
        <f aca="false">IF($D1903="","",O1903-R1903-S1903)</f>
        <v/>
      </c>
    </row>
    <row r="1904" customFormat="false" ht="15" hidden="false" customHeight="false" outlineLevel="0" collapsed="false">
      <c r="I1904" s="24" t="str">
        <f aca="false">IF($D1904="","",IFERROR(INDEX(Workers!$B$5:$B$2004,MATCH($D1904,Workers!$A$5:$A$2004,0)),"NOT FOUND"))</f>
        <v/>
      </c>
      <c r="J1904" s="24" t="str">
        <f aca="false">IF($D1904="","",IFERROR(INDEX(Workers!$C$5:$C$2004,MATCH($D1904,Workers!$A$5:$A$2004,0)),""))</f>
        <v/>
      </c>
      <c r="K1904" s="24" t="str">
        <f aca="false">IF($D1904="","",IFERROR(IF(INDEX(Workers!$D$5:$D$2004,MATCH($D1904,Workers!$A$5:$A$2004,0))=0,"",INDEX(Workers!$D$5:$D$2004,MATCH($D1904,Workers!$A$5:$A$2004,0))),""))</f>
        <v/>
      </c>
      <c r="L1904" s="24" t="str">
        <f aca="false">IF($D1904="","",IFERROR(INDEX(Workers!$E$5:$E$2004,MATCH($D1904,Workers!$A$5:$A$2004,0)),""))</f>
        <v/>
      </c>
      <c r="M1904" s="26" t="str">
        <f aca="false">IF($D1904="","",IFERROR(INDEX(ClientRates!$D$5:$D$500,MATCH($B1904&amp;"|"&amp;$L1904,ClientRates!$A$5:$A$500,0)),0))</f>
        <v/>
      </c>
      <c r="N1904" s="26" t="str">
        <f aca="false">IF($D1904="","",IFERROR(INDEX(ClientRates!$E$5:$E$500,MATCH($B1904&amp;"|"&amp;$L1904,ClientRates!$A$5:$A$500,0)),0))</f>
        <v/>
      </c>
      <c r="O1904" s="26" t="str">
        <f aca="false">IF($D1904="","",F1904*M1904+G1904*N1904)</f>
        <v/>
      </c>
      <c r="P1904" s="26" t="str">
        <f aca="false">IF(OR($D1904="",$J1904&lt;&gt;"Supplier"),"",IFERROR(INDEX(SupplierRates!$D$5:$D$500,MATCH($K1904&amp;"|"&amp;$L1904,SupplierRates!$A$5:$A$500,0)),0))</f>
        <v/>
      </c>
      <c r="Q1904" s="26" t="str">
        <f aca="false">IF(OR($D1904="",$J1904&lt;&gt;"Supplier"),"",IFERROR(INDEX(SupplierRates!$E$5:$E$500,MATCH($K1904&amp;"|"&amp;$L1904,SupplierRates!$A$5:$A$500,0)),0))</f>
        <v/>
      </c>
      <c r="R1904" s="26" t="n">
        <f aca="false">IF(OR($D1904="",$J1904&lt;&gt;"Supplier"),0,F1904*P1904+G1904*Q1904)</f>
        <v>0</v>
      </c>
      <c r="S1904" s="26" t="n">
        <f aca="false">IF(OR($D1904="",$J1904&lt;&gt;"Own"),0,IFERROR((F1904+G1904*Settings!$B$13)*INDEX(Workers!$V$5:$V$2004,MATCH($D1904,Workers!$A$5:$A$2004,0)),0))</f>
        <v>0</v>
      </c>
      <c r="T1904" s="26" t="str">
        <f aca="false">IF($D1904="","",O1904-R1904-S1904)</f>
        <v/>
      </c>
    </row>
    <row r="1905" customFormat="false" ht="15" hidden="false" customHeight="false" outlineLevel="0" collapsed="false">
      <c r="I1905" s="24" t="str">
        <f aca="false">IF($D1905="","",IFERROR(INDEX(Workers!$B$5:$B$2004,MATCH($D1905,Workers!$A$5:$A$2004,0)),"NOT FOUND"))</f>
        <v/>
      </c>
      <c r="J1905" s="24" t="str">
        <f aca="false">IF($D1905="","",IFERROR(INDEX(Workers!$C$5:$C$2004,MATCH($D1905,Workers!$A$5:$A$2004,0)),""))</f>
        <v/>
      </c>
      <c r="K1905" s="24" t="str">
        <f aca="false">IF($D1905="","",IFERROR(IF(INDEX(Workers!$D$5:$D$2004,MATCH($D1905,Workers!$A$5:$A$2004,0))=0,"",INDEX(Workers!$D$5:$D$2004,MATCH($D1905,Workers!$A$5:$A$2004,0))),""))</f>
        <v/>
      </c>
      <c r="L1905" s="24" t="str">
        <f aca="false">IF($D1905="","",IFERROR(INDEX(Workers!$E$5:$E$2004,MATCH($D1905,Workers!$A$5:$A$2004,0)),""))</f>
        <v/>
      </c>
      <c r="M1905" s="26" t="str">
        <f aca="false">IF($D1905="","",IFERROR(INDEX(ClientRates!$D$5:$D$500,MATCH($B1905&amp;"|"&amp;$L1905,ClientRates!$A$5:$A$500,0)),0))</f>
        <v/>
      </c>
      <c r="N1905" s="26" t="str">
        <f aca="false">IF($D1905="","",IFERROR(INDEX(ClientRates!$E$5:$E$500,MATCH($B1905&amp;"|"&amp;$L1905,ClientRates!$A$5:$A$500,0)),0))</f>
        <v/>
      </c>
      <c r="O1905" s="26" t="str">
        <f aca="false">IF($D1905="","",F1905*M1905+G1905*N1905)</f>
        <v/>
      </c>
      <c r="P1905" s="26" t="str">
        <f aca="false">IF(OR($D1905="",$J1905&lt;&gt;"Supplier"),"",IFERROR(INDEX(SupplierRates!$D$5:$D$500,MATCH($K1905&amp;"|"&amp;$L1905,SupplierRates!$A$5:$A$500,0)),0))</f>
        <v/>
      </c>
      <c r="Q1905" s="26" t="str">
        <f aca="false">IF(OR($D1905="",$J1905&lt;&gt;"Supplier"),"",IFERROR(INDEX(SupplierRates!$E$5:$E$500,MATCH($K1905&amp;"|"&amp;$L1905,SupplierRates!$A$5:$A$500,0)),0))</f>
        <v/>
      </c>
      <c r="R1905" s="26" t="n">
        <f aca="false">IF(OR($D1905="",$J1905&lt;&gt;"Supplier"),0,F1905*P1905+G1905*Q1905)</f>
        <v>0</v>
      </c>
      <c r="S1905" s="26" t="n">
        <f aca="false">IF(OR($D1905="",$J1905&lt;&gt;"Own"),0,IFERROR((F1905+G1905*Settings!$B$13)*INDEX(Workers!$V$5:$V$2004,MATCH($D1905,Workers!$A$5:$A$2004,0)),0))</f>
        <v>0</v>
      </c>
      <c r="T1905" s="26" t="str">
        <f aca="false">IF($D1905="","",O1905-R1905-S1905)</f>
        <v/>
      </c>
    </row>
    <row r="1906" customFormat="false" ht="15" hidden="false" customHeight="false" outlineLevel="0" collapsed="false">
      <c r="I1906" s="24" t="str">
        <f aca="false">IF($D1906="","",IFERROR(INDEX(Workers!$B$5:$B$2004,MATCH($D1906,Workers!$A$5:$A$2004,0)),"NOT FOUND"))</f>
        <v/>
      </c>
      <c r="J1906" s="24" t="str">
        <f aca="false">IF($D1906="","",IFERROR(INDEX(Workers!$C$5:$C$2004,MATCH($D1906,Workers!$A$5:$A$2004,0)),""))</f>
        <v/>
      </c>
      <c r="K1906" s="24" t="str">
        <f aca="false">IF($D1906="","",IFERROR(IF(INDEX(Workers!$D$5:$D$2004,MATCH($D1906,Workers!$A$5:$A$2004,0))=0,"",INDEX(Workers!$D$5:$D$2004,MATCH($D1906,Workers!$A$5:$A$2004,0))),""))</f>
        <v/>
      </c>
      <c r="L1906" s="24" t="str">
        <f aca="false">IF($D1906="","",IFERROR(INDEX(Workers!$E$5:$E$2004,MATCH($D1906,Workers!$A$5:$A$2004,0)),""))</f>
        <v/>
      </c>
      <c r="M1906" s="26" t="str">
        <f aca="false">IF($D1906="","",IFERROR(INDEX(ClientRates!$D$5:$D$500,MATCH($B1906&amp;"|"&amp;$L1906,ClientRates!$A$5:$A$500,0)),0))</f>
        <v/>
      </c>
      <c r="N1906" s="26" t="str">
        <f aca="false">IF($D1906="","",IFERROR(INDEX(ClientRates!$E$5:$E$500,MATCH($B1906&amp;"|"&amp;$L1906,ClientRates!$A$5:$A$500,0)),0))</f>
        <v/>
      </c>
      <c r="O1906" s="26" t="str">
        <f aca="false">IF($D1906="","",F1906*M1906+G1906*N1906)</f>
        <v/>
      </c>
      <c r="P1906" s="26" t="str">
        <f aca="false">IF(OR($D1906="",$J1906&lt;&gt;"Supplier"),"",IFERROR(INDEX(SupplierRates!$D$5:$D$500,MATCH($K1906&amp;"|"&amp;$L1906,SupplierRates!$A$5:$A$500,0)),0))</f>
        <v/>
      </c>
      <c r="Q1906" s="26" t="str">
        <f aca="false">IF(OR($D1906="",$J1906&lt;&gt;"Supplier"),"",IFERROR(INDEX(SupplierRates!$E$5:$E$500,MATCH($K1906&amp;"|"&amp;$L1906,SupplierRates!$A$5:$A$500,0)),0))</f>
        <v/>
      </c>
      <c r="R1906" s="26" t="n">
        <f aca="false">IF(OR($D1906="",$J1906&lt;&gt;"Supplier"),0,F1906*P1906+G1906*Q1906)</f>
        <v>0</v>
      </c>
      <c r="S1906" s="26" t="n">
        <f aca="false">IF(OR($D1906="",$J1906&lt;&gt;"Own"),0,IFERROR((F1906+G1906*Settings!$B$13)*INDEX(Workers!$V$5:$V$2004,MATCH($D1906,Workers!$A$5:$A$2004,0)),0))</f>
        <v>0</v>
      </c>
      <c r="T1906" s="26" t="str">
        <f aca="false">IF($D1906="","",O1906-R1906-S1906)</f>
        <v/>
      </c>
    </row>
    <row r="1907" customFormat="false" ht="15" hidden="false" customHeight="false" outlineLevel="0" collapsed="false">
      <c r="I1907" s="24" t="str">
        <f aca="false">IF($D1907="","",IFERROR(INDEX(Workers!$B$5:$B$2004,MATCH($D1907,Workers!$A$5:$A$2004,0)),"NOT FOUND"))</f>
        <v/>
      </c>
      <c r="J1907" s="24" t="str">
        <f aca="false">IF($D1907="","",IFERROR(INDEX(Workers!$C$5:$C$2004,MATCH($D1907,Workers!$A$5:$A$2004,0)),""))</f>
        <v/>
      </c>
      <c r="K1907" s="24" t="str">
        <f aca="false">IF($D1907="","",IFERROR(IF(INDEX(Workers!$D$5:$D$2004,MATCH($D1907,Workers!$A$5:$A$2004,0))=0,"",INDEX(Workers!$D$5:$D$2004,MATCH($D1907,Workers!$A$5:$A$2004,0))),""))</f>
        <v/>
      </c>
      <c r="L1907" s="24" t="str">
        <f aca="false">IF($D1907="","",IFERROR(INDEX(Workers!$E$5:$E$2004,MATCH($D1907,Workers!$A$5:$A$2004,0)),""))</f>
        <v/>
      </c>
      <c r="M1907" s="26" t="str">
        <f aca="false">IF($D1907="","",IFERROR(INDEX(ClientRates!$D$5:$D$500,MATCH($B1907&amp;"|"&amp;$L1907,ClientRates!$A$5:$A$500,0)),0))</f>
        <v/>
      </c>
      <c r="N1907" s="26" t="str">
        <f aca="false">IF($D1907="","",IFERROR(INDEX(ClientRates!$E$5:$E$500,MATCH($B1907&amp;"|"&amp;$L1907,ClientRates!$A$5:$A$500,0)),0))</f>
        <v/>
      </c>
      <c r="O1907" s="26" t="str">
        <f aca="false">IF($D1907="","",F1907*M1907+G1907*N1907)</f>
        <v/>
      </c>
      <c r="P1907" s="26" t="str">
        <f aca="false">IF(OR($D1907="",$J1907&lt;&gt;"Supplier"),"",IFERROR(INDEX(SupplierRates!$D$5:$D$500,MATCH($K1907&amp;"|"&amp;$L1907,SupplierRates!$A$5:$A$500,0)),0))</f>
        <v/>
      </c>
      <c r="Q1907" s="26" t="str">
        <f aca="false">IF(OR($D1907="",$J1907&lt;&gt;"Supplier"),"",IFERROR(INDEX(SupplierRates!$E$5:$E$500,MATCH($K1907&amp;"|"&amp;$L1907,SupplierRates!$A$5:$A$500,0)),0))</f>
        <v/>
      </c>
      <c r="R1907" s="26" t="n">
        <f aca="false">IF(OR($D1907="",$J1907&lt;&gt;"Supplier"),0,F1907*P1907+G1907*Q1907)</f>
        <v>0</v>
      </c>
      <c r="S1907" s="26" t="n">
        <f aca="false">IF(OR($D1907="",$J1907&lt;&gt;"Own"),0,IFERROR((F1907+G1907*Settings!$B$13)*INDEX(Workers!$V$5:$V$2004,MATCH($D1907,Workers!$A$5:$A$2004,0)),0))</f>
        <v>0</v>
      </c>
      <c r="T1907" s="26" t="str">
        <f aca="false">IF($D1907="","",O1907-R1907-S1907)</f>
        <v/>
      </c>
    </row>
    <row r="1908" customFormat="false" ht="15" hidden="false" customHeight="false" outlineLevel="0" collapsed="false">
      <c r="I1908" s="24" t="str">
        <f aca="false">IF($D1908="","",IFERROR(INDEX(Workers!$B$5:$B$2004,MATCH($D1908,Workers!$A$5:$A$2004,0)),"NOT FOUND"))</f>
        <v/>
      </c>
      <c r="J1908" s="24" t="str">
        <f aca="false">IF($D1908="","",IFERROR(INDEX(Workers!$C$5:$C$2004,MATCH($D1908,Workers!$A$5:$A$2004,0)),""))</f>
        <v/>
      </c>
      <c r="K1908" s="24" t="str">
        <f aca="false">IF($D1908="","",IFERROR(IF(INDEX(Workers!$D$5:$D$2004,MATCH($D1908,Workers!$A$5:$A$2004,0))=0,"",INDEX(Workers!$D$5:$D$2004,MATCH($D1908,Workers!$A$5:$A$2004,0))),""))</f>
        <v/>
      </c>
      <c r="L1908" s="24" t="str">
        <f aca="false">IF($D1908="","",IFERROR(INDEX(Workers!$E$5:$E$2004,MATCH($D1908,Workers!$A$5:$A$2004,0)),""))</f>
        <v/>
      </c>
      <c r="M1908" s="26" t="str">
        <f aca="false">IF($D1908="","",IFERROR(INDEX(ClientRates!$D$5:$D$500,MATCH($B1908&amp;"|"&amp;$L1908,ClientRates!$A$5:$A$500,0)),0))</f>
        <v/>
      </c>
      <c r="N1908" s="26" t="str">
        <f aca="false">IF($D1908="","",IFERROR(INDEX(ClientRates!$E$5:$E$500,MATCH($B1908&amp;"|"&amp;$L1908,ClientRates!$A$5:$A$500,0)),0))</f>
        <v/>
      </c>
      <c r="O1908" s="26" t="str">
        <f aca="false">IF($D1908="","",F1908*M1908+G1908*N1908)</f>
        <v/>
      </c>
      <c r="P1908" s="26" t="str">
        <f aca="false">IF(OR($D1908="",$J1908&lt;&gt;"Supplier"),"",IFERROR(INDEX(SupplierRates!$D$5:$D$500,MATCH($K1908&amp;"|"&amp;$L1908,SupplierRates!$A$5:$A$500,0)),0))</f>
        <v/>
      </c>
      <c r="Q1908" s="26" t="str">
        <f aca="false">IF(OR($D1908="",$J1908&lt;&gt;"Supplier"),"",IFERROR(INDEX(SupplierRates!$E$5:$E$500,MATCH($K1908&amp;"|"&amp;$L1908,SupplierRates!$A$5:$A$500,0)),0))</f>
        <v/>
      </c>
      <c r="R1908" s="26" t="n">
        <f aca="false">IF(OR($D1908="",$J1908&lt;&gt;"Supplier"),0,F1908*P1908+G1908*Q1908)</f>
        <v>0</v>
      </c>
      <c r="S1908" s="26" t="n">
        <f aca="false">IF(OR($D1908="",$J1908&lt;&gt;"Own"),0,IFERROR((F1908+G1908*Settings!$B$13)*INDEX(Workers!$V$5:$V$2004,MATCH($D1908,Workers!$A$5:$A$2004,0)),0))</f>
        <v>0</v>
      </c>
      <c r="T1908" s="26" t="str">
        <f aca="false">IF($D1908="","",O1908-R1908-S1908)</f>
        <v/>
      </c>
    </row>
    <row r="1909" customFormat="false" ht="15" hidden="false" customHeight="false" outlineLevel="0" collapsed="false">
      <c r="I1909" s="24" t="str">
        <f aca="false">IF($D1909="","",IFERROR(INDEX(Workers!$B$5:$B$2004,MATCH($D1909,Workers!$A$5:$A$2004,0)),"NOT FOUND"))</f>
        <v/>
      </c>
      <c r="J1909" s="24" t="str">
        <f aca="false">IF($D1909="","",IFERROR(INDEX(Workers!$C$5:$C$2004,MATCH($D1909,Workers!$A$5:$A$2004,0)),""))</f>
        <v/>
      </c>
      <c r="K1909" s="24" t="str">
        <f aca="false">IF($D1909="","",IFERROR(IF(INDEX(Workers!$D$5:$D$2004,MATCH($D1909,Workers!$A$5:$A$2004,0))=0,"",INDEX(Workers!$D$5:$D$2004,MATCH($D1909,Workers!$A$5:$A$2004,0))),""))</f>
        <v/>
      </c>
      <c r="L1909" s="24" t="str">
        <f aca="false">IF($D1909="","",IFERROR(INDEX(Workers!$E$5:$E$2004,MATCH($D1909,Workers!$A$5:$A$2004,0)),""))</f>
        <v/>
      </c>
      <c r="M1909" s="26" t="str">
        <f aca="false">IF($D1909="","",IFERROR(INDEX(ClientRates!$D$5:$D$500,MATCH($B1909&amp;"|"&amp;$L1909,ClientRates!$A$5:$A$500,0)),0))</f>
        <v/>
      </c>
      <c r="N1909" s="26" t="str">
        <f aca="false">IF($D1909="","",IFERROR(INDEX(ClientRates!$E$5:$E$500,MATCH($B1909&amp;"|"&amp;$L1909,ClientRates!$A$5:$A$500,0)),0))</f>
        <v/>
      </c>
      <c r="O1909" s="26" t="str">
        <f aca="false">IF($D1909="","",F1909*M1909+G1909*N1909)</f>
        <v/>
      </c>
      <c r="P1909" s="26" t="str">
        <f aca="false">IF(OR($D1909="",$J1909&lt;&gt;"Supplier"),"",IFERROR(INDEX(SupplierRates!$D$5:$D$500,MATCH($K1909&amp;"|"&amp;$L1909,SupplierRates!$A$5:$A$500,0)),0))</f>
        <v/>
      </c>
      <c r="Q1909" s="26" t="str">
        <f aca="false">IF(OR($D1909="",$J1909&lt;&gt;"Supplier"),"",IFERROR(INDEX(SupplierRates!$E$5:$E$500,MATCH($K1909&amp;"|"&amp;$L1909,SupplierRates!$A$5:$A$500,0)),0))</f>
        <v/>
      </c>
      <c r="R1909" s="26" t="n">
        <f aca="false">IF(OR($D1909="",$J1909&lt;&gt;"Supplier"),0,F1909*P1909+G1909*Q1909)</f>
        <v>0</v>
      </c>
      <c r="S1909" s="26" t="n">
        <f aca="false">IF(OR($D1909="",$J1909&lt;&gt;"Own"),0,IFERROR((F1909+G1909*Settings!$B$13)*INDEX(Workers!$V$5:$V$2004,MATCH($D1909,Workers!$A$5:$A$2004,0)),0))</f>
        <v>0</v>
      </c>
      <c r="T1909" s="26" t="str">
        <f aca="false">IF($D1909="","",O1909-R1909-S1909)</f>
        <v/>
      </c>
    </row>
    <row r="1910" customFormat="false" ht="15" hidden="false" customHeight="false" outlineLevel="0" collapsed="false">
      <c r="I1910" s="24" t="str">
        <f aca="false">IF($D1910="","",IFERROR(INDEX(Workers!$B$5:$B$2004,MATCH($D1910,Workers!$A$5:$A$2004,0)),"NOT FOUND"))</f>
        <v/>
      </c>
      <c r="J1910" s="24" t="str">
        <f aca="false">IF($D1910="","",IFERROR(INDEX(Workers!$C$5:$C$2004,MATCH($D1910,Workers!$A$5:$A$2004,0)),""))</f>
        <v/>
      </c>
      <c r="K1910" s="24" t="str">
        <f aca="false">IF($D1910="","",IFERROR(IF(INDEX(Workers!$D$5:$D$2004,MATCH($D1910,Workers!$A$5:$A$2004,0))=0,"",INDEX(Workers!$D$5:$D$2004,MATCH($D1910,Workers!$A$5:$A$2004,0))),""))</f>
        <v/>
      </c>
      <c r="L1910" s="24" t="str">
        <f aca="false">IF($D1910="","",IFERROR(INDEX(Workers!$E$5:$E$2004,MATCH($D1910,Workers!$A$5:$A$2004,0)),""))</f>
        <v/>
      </c>
      <c r="M1910" s="26" t="str">
        <f aca="false">IF($D1910="","",IFERROR(INDEX(ClientRates!$D$5:$D$500,MATCH($B1910&amp;"|"&amp;$L1910,ClientRates!$A$5:$A$500,0)),0))</f>
        <v/>
      </c>
      <c r="N1910" s="26" t="str">
        <f aca="false">IF($D1910="","",IFERROR(INDEX(ClientRates!$E$5:$E$500,MATCH($B1910&amp;"|"&amp;$L1910,ClientRates!$A$5:$A$500,0)),0))</f>
        <v/>
      </c>
      <c r="O1910" s="26" t="str">
        <f aca="false">IF($D1910="","",F1910*M1910+G1910*N1910)</f>
        <v/>
      </c>
      <c r="P1910" s="26" t="str">
        <f aca="false">IF(OR($D1910="",$J1910&lt;&gt;"Supplier"),"",IFERROR(INDEX(SupplierRates!$D$5:$D$500,MATCH($K1910&amp;"|"&amp;$L1910,SupplierRates!$A$5:$A$500,0)),0))</f>
        <v/>
      </c>
      <c r="Q1910" s="26" t="str">
        <f aca="false">IF(OR($D1910="",$J1910&lt;&gt;"Supplier"),"",IFERROR(INDEX(SupplierRates!$E$5:$E$500,MATCH($K1910&amp;"|"&amp;$L1910,SupplierRates!$A$5:$A$500,0)),0))</f>
        <v/>
      </c>
      <c r="R1910" s="26" t="n">
        <f aca="false">IF(OR($D1910="",$J1910&lt;&gt;"Supplier"),0,F1910*P1910+G1910*Q1910)</f>
        <v>0</v>
      </c>
      <c r="S1910" s="26" t="n">
        <f aca="false">IF(OR($D1910="",$J1910&lt;&gt;"Own"),0,IFERROR((F1910+G1910*Settings!$B$13)*INDEX(Workers!$V$5:$V$2004,MATCH($D1910,Workers!$A$5:$A$2004,0)),0))</f>
        <v>0</v>
      </c>
      <c r="T1910" s="26" t="str">
        <f aca="false">IF($D1910="","",O1910-R1910-S1910)</f>
        <v/>
      </c>
    </row>
    <row r="1911" customFormat="false" ht="15" hidden="false" customHeight="false" outlineLevel="0" collapsed="false">
      <c r="I1911" s="24" t="str">
        <f aca="false">IF($D1911="","",IFERROR(INDEX(Workers!$B$5:$B$2004,MATCH($D1911,Workers!$A$5:$A$2004,0)),"NOT FOUND"))</f>
        <v/>
      </c>
      <c r="J1911" s="24" t="str">
        <f aca="false">IF($D1911="","",IFERROR(INDEX(Workers!$C$5:$C$2004,MATCH($D1911,Workers!$A$5:$A$2004,0)),""))</f>
        <v/>
      </c>
      <c r="K1911" s="24" t="str">
        <f aca="false">IF($D1911="","",IFERROR(IF(INDEX(Workers!$D$5:$D$2004,MATCH($D1911,Workers!$A$5:$A$2004,0))=0,"",INDEX(Workers!$D$5:$D$2004,MATCH($D1911,Workers!$A$5:$A$2004,0))),""))</f>
        <v/>
      </c>
      <c r="L1911" s="24" t="str">
        <f aca="false">IF($D1911="","",IFERROR(INDEX(Workers!$E$5:$E$2004,MATCH($D1911,Workers!$A$5:$A$2004,0)),""))</f>
        <v/>
      </c>
      <c r="M1911" s="26" t="str">
        <f aca="false">IF($D1911="","",IFERROR(INDEX(ClientRates!$D$5:$D$500,MATCH($B1911&amp;"|"&amp;$L1911,ClientRates!$A$5:$A$500,0)),0))</f>
        <v/>
      </c>
      <c r="N1911" s="26" t="str">
        <f aca="false">IF($D1911="","",IFERROR(INDEX(ClientRates!$E$5:$E$500,MATCH($B1911&amp;"|"&amp;$L1911,ClientRates!$A$5:$A$500,0)),0))</f>
        <v/>
      </c>
      <c r="O1911" s="26" t="str">
        <f aca="false">IF($D1911="","",F1911*M1911+G1911*N1911)</f>
        <v/>
      </c>
      <c r="P1911" s="26" t="str">
        <f aca="false">IF(OR($D1911="",$J1911&lt;&gt;"Supplier"),"",IFERROR(INDEX(SupplierRates!$D$5:$D$500,MATCH($K1911&amp;"|"&amp;$L1911,SupplierRates!$A$5:$A$500,0)),0))</f>
        <v/>
      </c>
      <c r="Q1911" s="26" t="str">
        <f aca="false">IF(OR($D1911="",$J1911&lt;&gt;"Supplier"),"",IFERROR(INDEX(SupplierRates!$E$5:$E$500,MATCH($K1911&amp;"|"&amp;$L1911,SupplierRates!$A$5:$A$500,0)),0))</f>
        <v/>
      </c>
      <c r="R1911" s="26" t="n">
        <f aca="false">IF(OR($D1911="",$J1911&lt;&gt;"Supplier"),0,F1911*P1911+G1911*Q1911)</f>
        <v>0</v>
      </c>
      <c r="S1911" s="26" t="n">
        <f aca="false">IF(OR($D1911="",$J1911&lt;&gt;"Own"),0,IFERROR((F1911+G1911*Settings!$B$13)*INDEX(Workers!$V$5:$V$2004,MATCH($D1911,Workers!$A$5:$A$2004,0)),0))</f>
        <v>0</v>
      </c>
      <c r="T1911" s="26" t="str">
        <f aca="false">IF($D1911="","",O1911-R1911-S1911)</f>
        <v/>
      </c>
    </row>
    <row r="1912" customFormat="false" ht="15" hidden="false" customHeight="false" outlineLevel="0" collapsed="false">
      <c r="I1912" s="24" t="str">
        <f aca="false">IF($D1912="","",IFERROR(INDEX(Workers!$B$5:$B$2004,MATCH($D1912,Workers!$A$5:$A$2004,0)),"NOT FOUND"))</f>
        <v/>
      </c>
      <c r="J1912" s="24" t="str">
        <f aca="false">IF($D1912="","",IFERROR(INDEX(Workers!$C$5:$C$2004,MATCH($D1912,Workers!$A$5:$A$2004,0)),""))</f>
        <v/>
      </c>
      <c r="K1912" s="24" t="str">
        <f aca="false">IF($D1912="","",IFERROR(IF(INDEX(Workers!$D$5:$D$2004,MATCH($D1912,Workers!$A$5:$A$2004,0))=0,"",INDEX(Workers!$D$5:$D$2004,MATCH($D1912,Workers!$A$5:$A$2004,0))),""))</f>
        <v/>
      </c>
      <c r="L1912" s="24" t="str">
        <f aca="false">IF($D1912="","",IFERROR(INDEX(Workers!$E$5:$E$2004,MATCH($D1912,Workers!$A$5:$A$2004,0)),""))</f>
        <v/>
      </c>
      <c r="M1912" s="26" t="str">
        <f aca="false">IF($D1912="","",IFERROR(INDEX(ClientRates!$D$5:$D$500,MATCH($B1912&amp;"|"&amp;$L1912,ClientRates!$A$5:$A$500,0)),0))</f>
        <v/>
      </c>
      <c r="N1912" s="26" t="str">
        <f aca="false">IF($D1912="","",IFERROR(INDEX(ClientRates!$E$5:$E$500,MATCH($B1912&amp;"|"&amp;$L1912,ClientRates!$A$5:$A$500,0)),0))</f>
        <v/>
      </c>
      <c r="O1912" s="26" t="str">
        <f aca="false">IF($D1912="","",F1912*M1912+G1912*N1912)</f>
        <v/>
      </c>
      <c r="P1912" s="26" t="str">
        <f aca="false">IF(OR($D1912="",$J1912&lt;&gt;"Supplier"),"",IFERROR(INDEX(SupplierRates!$D$5:$D$500,MATCH($K1912&amp;"|"&amp;$L1912,SupplierRates!$A$5:$A$500,0)),0))</f>
        <v/>
      </c>
      <c r="Q1912" s="26" t="str">
        <f aca="false">IF(OR($D1912="",$J1912&lt;&gt;"Supplier"),"",IFERROR(INDEX(SupplierRates!$E$5:$E$500,MATCH($K1912&amp;"|"&amp;$L1912,SupplierRates!$A$5:$A$500,0)),0))</f>
        <v/>
      </c>
      <c r="R1912" s="26" t="n">
        <f aca="false">IF(OR($D1912="",$J1912&lt;&gt;"Supplier"),0,F1912*P1912+G1912*Q1912)</f>
        <v>0</v>
      </c>
      <c r="S1912" s="26" t="n">
        <f aca="false">IF(OR($D1912="",$J1912&lt;&gt;"Own"),0,IFERROR((F1912+G1912*Settings!$B$13)*INDEX(Workers!$V$5:$V$2004,MATCH($D1912,Workers!$A$5:$A$2004,0)),0))</f>
        <v>0</v>
      </c>
      <c r="T1912" s="26" t="str">
        <f aca="false">IF($D1912="","",O1912-R1912-S1912)</f>
        <v/>
      </c>
    </row>
    <row r="1913" customFormat="false" ht="15" hidden="false" customHeight="false" outlineLevel="0" collapsed="false">
      <c r="I1913" s="24" t="str">
        <f aca="false">IF($D1913="","",IFERROR(INDEX(Workers!$B$5:$B$2004,MATCH($D1913,Workers!$A$5:$A$2004,0)),"NOT FOUND"))</f>
        <v/>
      </c>
      <c r="J1913" s="24" t="str">
        <f aca="false">IF($D1913="","",IFERROR(INDEX(Workers!$C$5:$C$2004,MATCH($D1913,Workers!$A$5:$A$2004,0)),""))</f>
        <v/>
      </c>
      <c r="K1913" s="24" t="str">
        <f aca="false">IF($D1913="","",IFERROR(IF(INDEX(Workers!$D$5:$D$2004,MATCH($D1913,Workers!$A$5:$A$2004,0))=0,"",INDEX(Workers!$D$5:$D$2004,MATCH($D1913,Workers!$A$5:$A$2004,0))),""))</f>
        <v/>
      </c>
      <c r="L1913" s="24" t="str">
        <f aca="false">IF($D1913="","",IFERROR(INDEX(Workers!$E$5:$E$2004,MATCH($D1913,Workers!$A$5:$A$2004,0)),""))</f>
        <v/>
      </c>
      <c r="M1913" s="26" t="str">
        <f aca="false">IF($D1913="","",IFERROR(INDEX(ClientRates!$D$5:$D$500,MATCH($B1913&amp;"|"&amp;$L1913,ClientRates!$A$5:$A$500,0)),0))</f>
        <v/>
      </c>
      <c r="N1913" s="26" t="str">
        <f aca="false">IF($D1913="","",IFERROR(INDEX(ClientRates!$E$5:$E$500,MATCH($B1913&amp;"|"&amp;$L1913,ClientRates!$A$5:$A$500,0)),0))</f>
        <v/>
      </c>
      <c r="O1913" s="26" t="str">
        <f aca="false">IF($D1913="","",F1913*M1913+G1913*N1913)</f>
        <v/>
      </c>
      <c r="P1913" s="26" t="str">
        <f aca="false">IF(OR($D1913="",$J1913&lt;&gt;"Supplier"),"",IFERROR(INDEX(SupplierRates!$D$5:$D$500,MATCH($K1913&amp;"|"&amp;$L1913,SupplierRates!$A$5:$A$500,0)),0))</f>
        <v/>
      </c>
      <c r="Q1913" s="26" t="str">
        <f aca="false">IF(OR($D1913="",$J1913&lt;&gt;"Supplier"),"",IFERROR(INDEX(SupplierRates!$E$5:$E$500,MATCH($K1913&amp;"|"&amp;$L1913,SupplierRates!$A$5:$A$500,0)),0))</f>
        <v/>
      </c>
      <c r="R1913" s="26" t="n">
        <f aca="false">IF(OR($D1913="",$J1913&lt;&gt;"Supplier"),0,F1913*P1913+G1913*Q1913)</f>
        <v>0</v>
      </c>
      <c r="S1913" s="26" t="n">
        <f aca="false">IF(OR($D1913="",$J1913&lt;&gt;"Own"),0,IFERROR((F1913+G1913*Settings!$B$13)*INDEX(Workers!$V$5:$V$2004,MATCH($D1913,Workers!$A$5:$A$2004,0)),0))</f>
        <v>0</v>
      </c>
      <c r="T1913" s="26" t="str">
        <f aca="false">IF($D1913="","",O1913-R1913-S1913)</f>
        <v/>
      </c>
    </row>
    <row r="1914" customFormat="false" ht="15" hidden="false" customHeight="false" outlineLevel="0" collapsed="false">
      <c r="I1914" s="24" t="str">
        <f aca="false">IF($D1914="","",IFERROR(INDEX(Workers!$B$5:$B$2004,MATCH($D1914,Workers!$A$5:$A$2004,0)),"NOT FOUND"))</f>
        <v/>
      </c>
      <c r="J1914" s="24" t="str">
        <f aca="false">IF($D1914="","",IFERROR(INDEX(Workers!$C$5:$C$2004,MATCH($D1914,Workers!$A$5:$A$2004,0)),""))</f>
        <v/>
      </c>
      <c r="K1914" s="24" t="str">
        <f aca="false">IF($D1914="","",IFERROR(IF(INDEX(Workers!$D$5:$D$2004,MATCH($D1914,Workers!$A$5:$A$2004,0))=0,"",INDEX(Workers!$D$5:$D$2004,MATCH($D1914,Workers!$A$5:$A$2004,0))),""))</f>
        <v/>
      </c>
      <c r="L1914" s="24" t="str">
        <f aca="false">IF($D1914="","",IFERROR(INDEX(Workers!$E$5:$E$2004,MATCH($D1914,Workers!$A$5:$A$2004,0)),""))</f>
        <v/>
      </c>
      <c r="M1914" s="26" t="str">
        <f aca="false">IF($D1914="","",IFERROR(INDEX(ClientRates!$D$5:$D$500,MATCH($B1914&amp;"|"&amp;$L1914,ClientRates!$A$5:$A$500,0)),0))</f>
        <v/>
      </c>
      <c r="N1914" s="26" t="str">
        <f aca="false">IF($D1914="","",IFERROR(INDEX(ClientRates!$E$5:$E$500,MATCH($B1914&amp;"|"&amp;$L1914,ClientRates!$A$5:$A$500,0)),0))</f>
        <v/>
      </c>
      <c r="O1914" s="26" t="str">
        <f aca="false">IF($D1914="","",F1914*M1914+G1914*N1914)</f>
        <v/>
      </c>
      <c r="P1914" s="26" t="str">
        <f aca="false">IF(OR($D1914="",$J1914&lt;&gt;"Supplier"),"",IFERROR(INDEX(SupplierRates!$D$5:$D$500,MATCH($K1914&amp;"|"&amp;$L1914,SupplierRates!$A$5:$A$500,0)),0))</f>
        <v/>
      </c>
      <c r="Q1914" s="26" t="str">
        <f aca="false">IF(OR($D1914="",$J1914&lt;&gt;"Supplier"),"",IFERROR(INDEX(SupplierRates!$E$5:$E$500,MATCH($K1914&amp;"|"&amp;$L1914,SupplierRates!$A$5:$A$500,0)),0))</f>
        <v/>
      </c>
      <c r="R1914" s="26" t="n">
        <f aca="false">IF(OR($D1914="",$J1914&lt;&gt;"Supplier"),0,F1914*P1914+G1914*Q1914)</f>
        <v>0</v>
      </c>
      <c r="S1914" s="26" t="n">
        <f aca="false">IF(OR($D1914="",$J1914&lt;&gt;"Own"),0,IFERROR((F1914+G1914*Settings!$B$13)*INDEX(Workers!$V$5:$V$2004,MATCH($D1914,Workers!$A$5:$A$2004,0)),0))</f>
        <v>0</v>
      </c>
      <c r="T1914" s="26" t="str">
        <f aca="false">IF($D1914="","",O1914-R1914-S1914)</f>
        <v/>
      </c>
    </row>
    <row r="1915" customFormat="false" ht="15" hidden="false" customHeight="false" outlineLevel="0" collapsed="false">
      <c r="I1915" s="24" t="str">
        <f aca="false">IF($D1915="","",IFERROR(INDEX(Workers!$B$5:$B$2004,MATCH($D1915,Workers!$A$5:$A$2004,0)),"NOT FOUND"))</f>
        <v/>
      </c>
      <c r="J1915" s="24" t="str">
        <f aca="false">IF($D1915="","",IFERROR(INDEX(Workers!$C$5:$C$2004,MATCH($D1915,Workers!$A$5:$A$2004,0)),""))</f>
        <v/>
      </c>
      <c r="K1915" s="24" t="str">
        <f aca="false">IF($D1915="","",IFERROR(IF(INDEX(Workers!$D$5:$D$2004,MATCH($D1915,Workers!$A$5:$A$2004,0))=0,"",INDEX(Workers!$D$5:$D$2004,MATCH($D1915,Workers!$A$5:$A$2004,0))),""))</f>
        <v/>
      </c>
      <c r="L1915" s="24" t="str">
        <f aca="false">IF($D1915="","",IFERROR(INDEX(Workers!$E$5:$E$2004,MATCH($D1915,Workers!$A$5:$A$2004,0)),""))</f>
        <v/>
      </c>
      <c r="M1915" s="26" t="str">
        <f aca="false">IF($D1915="","",IFERROR(INDEX(ClientRates!$D$5:$D$500,MATCH($B1915&amp;"|"&amp;$L1915,ClientRates!$A$5:$A$500,0)),0))</f>
        <v/>
      </c>
      <c r="N1915" s="26" t="str">
        <f aca="false">IF($D1915="","",IFERROR(INDEX(ClientRates!$E$5:$E$500,MATCH($B1915&amp;"|"&amp;$L1915,ClientRates!$A$5:$A$500,0)),0))</f>
        <v/>
      </c>
      <c r="O1915" s="26" t="str">
        <f aca="false">IF($D1915="","",F1915*M1915+G1915*N1915)</f>
        <v/>
      </c>
      <c r="P1915" s="26" t="str">
        <f aca="false">IF(OR($D1915="",$J1915&lt;&gt;"Supplier"),"",IFERROR(INDEX(SupplierRates!$D$5:$D$500,MATCH($K1915&amp;"|"&amp;$L1915,SupplierRates!$A$5:$A$500,0)),0))</f>
        <v/>
      </c>
      <c r="Q1915" s="26" t="str">
        <f aca="false">IF(OR($D1915="",$J1915&lt;&gt;"Supplier"),"",IFERROR(INDEX(SupplierRates!$E$5:$E$500,MATCH($K1915&amp;"|"&amp;$L1915,SupplierRates!$A$5:$A$500,0)),0))</f>
        <v/>
      </c>
      <c r="R1915" s="26" t="n">
        <f aca="false">IF(OR($D1915="",$J1915&lt;&gt;"Supplier"),0,F1915*P1915+G1915*Q1915)</f>
        <v>0</v>
      </c>
      <c r="S1915" s="26" t="n">
        <f aca="false">IF(OR($D1915="",$J1915&lt;&gt;"Own"),0,IFERROR((F1915+G1915*Settings!$B$13)*INDEX(Workers!$V$5:$V$2004,MATCH($D1915,Workers!$A$5:$A$2004,0)),0))</f>
        <v>0</v>
      </c>
      <c r="T1915" s="26" t="str">
        <f aca="false">IF($D1915="","",O1915-R1915-S1915)</f>
        <v/>
      </c>
    </row>
    <row r="1916" customFormat="false" ht="15" hidden="false" customHeight="false" outlineLevel="0" collapsed="false">
      <c r="I1916" s="24" t="str">
        <f aca="false">IF($D1916="","",IFERROR(INDEX(Workers!$B$5:$B$2004,MATCH($D1916,Workers!$A$5:$A$2004,0)),"NOT FOUND"))</f>
        <v/>
      </c>
      <c r="J1916" s="24" t="str">
        <f aca="false">IF($D1916="","",IFERROR(INDEX(Workers!$C$5:$C$2004,MATCH($D1916,Workers!$A$5:$A$2004,0)),""))</f>
        <v/>
      </c>
      <c r="K1916" s="24" t="str">
        <f aca="false">IF($D1916="","",IFERROR(IF(INDEX(Workers!$D$5:$D$2004,MATCH($D1916,Workers!$A$5:$A$2004,0))=0,"",INDEX(Workers!$D$5:$D$2004,MATCH($D1916,Workers!$A$5:$A$2004,0))),""))</f>
        <v/>
      </c>
      <c r="L1916" s="24" t="str">
        <f aca="false">IF($D1916="","",IFERROR(INDEX(Workers!$E$5:$E$2004,MATCH($D1916,Workers!$A$5:$A$2004,0)),""))</f>
        <v/>
      </c>
      <c r="M1916" s="26" t="str">
        <f aca="false">IF($D1916="","",IFERROR(INDEX(ClientRates!$D$5:$D$500,MATCH($B1916&amp;"|"&amp;$L1916,ClientRates!$A$5:$A$500,0)),0))</f>
        <v/>
      </c>
      <c r="N1916" s="26" t="str">
        <f aca="false">IF($D1916="","",IFERROR(INDEX(ClientRates!$E$5:$E$500,MATCH($B1916&amp;"|"&amp;$L1916,ClientRates!$A$5:$A$500,0)),0))</f>
        <v/>
      </c>
      <c r="O1916" s="26" t="str">
        <f aca="false">IF($D1916="","",F1916*M1916+G1916*N1916)</f>
        <v/>
      </c>
      <c r="P1916" s="26" t="str">
        <f aca="false">IF(OR($D1916="",$J1916&lt;&gt;"Supplier"),"",IFERROR(INDEX(SupplierRates!$D$5:$D$500,MATCH($K1916&amp;"|"&amp;$L1916,SupplierRates!$A$5:$A$500,0)),0))</f>
        <v/>
      </c>
      <c r="Q1916" s="26" t="str">
        <f aca="false">IF(OR($D1916="",$J1916&lt;&gt;"Supplier"),"",IFERROR(INDEX(SupplierRates!$E$5:$E$500,MATCH($K1916&amp;"|"&amp;$L1916,SupplierRates!$A$5:$A$500,0)),0))</f>
        <v/>
      </c>
      <c r="R1916" s="26" t="n">
        <f aca="false">IF(OR($D1916="",$J1916&lt;&gt;"Supplier"),0,F1916*P1916+G1916*Q1916)</f>
        <v>0</v>
      </c>
      <c r="S1916" s="26" t="n">
        <f aca="false">IF(OR($D1916="",$J1916&lt;&gt;"Own"),0,IFERROR((F1916+G1916*Settings!$B$13)*INDEX(Workers!$V$5:$V$2004,MATCH($D1916,Workers!$A$5:$A$2004,0)),0))</f>
        <v>0</v>
      </c>
      <c r="T1916" s="26" t="str">
        <f aca="false">IF($D1916="","",O1916-R1916-S1916)</f>
        <v/>
      </c>
    </row>
    <row r="1917" customFormat="false" ht="15" hidden="false" customHeight="false" outlineLevel="0" collapsed="false">
      <c r="I1917" s="24" t="str">
        <f aca="false">IF($D1917="","",IFERROR(INDEX(Workers!$B$5:$B$2004,MATCH($D1917,Workers!$A$5:$A$2004,0)),"NOT FOUND"))</f>
        <v/>
      </c>
      <c r="J1917" s="24" t="str">
        <f aca="false">IF($D1917="","",IFERROR(INDEX(Workers!$C$5:$C$2004,MATCH($D1917,Workers!$A$5:$A$2004,0)),""))</f>
        <v/>
      </c>
      <c r="K1917" s="24" t="str">
        <f aca="false">IF($D1917="","",IFERROR(IF(INDEX(Workers!$D$5:$D$2004,MATCH($D1917,Workers!$A$5:$A$2004,0))=0,"",INDEX(Workers!$D$5:$D$2004,MATCH($D1917,Workers!$A$5:$A$2004,0))),""))</f>
        <v/>
      </c>
      <c r="L1917" s="24" t="str">
        <f aca="false">IF($D1917="","",IFERROR(INDEX(Workers!$E$5:$E$2004,MATCH($D1917,Workers!$A$5:$A$2004,0)),""))</f>
        <v/>
      </c>
      <c r="M1917" s="26" t="str">
        <f aca="false">IF($D1917="","",IFERROR(INDEX(ClientRates!$D$5:$D$500,MATCH($B1917&amp;"|"&amp;$L1917,ClientRates!$A$5:$A$500,0)),0))</f>
        <v/>
      </c>
      <c r="N1917" s="26" t="str">
        <f aca="false">IF($D1917="","",IFERROR(INDEX(ClientRates!$E$5:$E$500,MATCH($B1917&amp;"|"&amp;$L1917,ClientRates!$A$5:$A$500,0)),0))</f>
        <v/>
      </c>
      <c r="O1917" s="26" t="str">
        <f aca="false">IF($D1917="","",F1917*M1917+G1917*N1917)</f>
        <v/>
      </c>
      <c r="P1917" s="26" t="str">
        <f aca="false">IF(OR($D1917="",$J1917&lt;&gt;"Supplier"),"",IFERROR(INDEX(SupplierRates!$D$5:$D$500,MATCH($K1917&amp;"|"&amp;$L1917,SupplierRates!$A$5:$A$500,0)),0))</f>
        <v/>
      </c>
      <c r="Q1917" s="26" t="str">
        <f aca="false">IF(OR($D1917="",$J1917&lt;&gt;"Supplier"),"",IFERROR(INDEX(SupplierRates!$E$5:$E$500,MATCH($K1917&amp;"|"&amp;$L1917,SupplierRates!$A$5:$A$500,0)),0))</f>
        <v/>
      </c>
      <c r="R1917" s="26" t="n">
        <f aca="false">IF(OR($D1917="",$J1917&lt;&gt;"Supplier"),0,F1917*P1917+G1917*Q1917)</f>
        <v>0</v>
      </c>
      <c r="S1917" s="26" t="n">
        <f aca="false">IF(OR($D1917="",$J1917&lt;&gt;"Own"),0,IFERROR((F1917+G1917*Settings!$B$13)*INDEX(Workers!$V$5:$V$2004,MATCH($D1917,Workers!$A$5:$A$2004,0)),0))</f>
        <v>0</v>
      </c>
      <c r="T1917" s="26" t="str">
        <f aca="false">IF($D1917="","",O1917-R1917-S1917)</f>
        <v/>
      </c>
    </row>
    <row r="1918" customFormat="false" ht="15" hidden="false" customHeight="false" outlineLevel="0" collapsed="false">
      <c r="I1918" s="24" t="str">
        <f aca="false">IF($D1918="","",IFERROR(INDEX(Workers!$B$5:$B$2004,MATCH($D1918,Workers!$A$5:$A$2004,0)),"NOT FOUND"))</f>
        <v/>
      </c>
      <c r="J1918" s="24" t="str">
        <f aca="false">IF($D1918="","",IFERROR(INDEX(Workers!$C$5:$C$2004,MATCH($D1918,Workers!$A$5:$A$2004,0)),""))</f>
        <v/>
      </c>
      <c r="K1918" s="24" t="str">
        <f aca="false">IF($D1918="","",IFERROR(IF(INDEX(Workers!$D$5:$D$2004,MATCH($D1918,Workers!$A$5:$A$2004,0))=0,"",INDEX(Workers!$D$5:$D$2004,MATCH($D1918,Workers!$A$5:$A$2004,0))),""))</f>
        <v/>
      </c>
      <c r="L1918" s="24" t="str">
        <f aca="false">IF($D1918="","",IFERROR(INDEX(Workers!$E$5:$E$2004,MATCH($D1918,Workers!$A$5:$A$2004,0)),""))</f>
        <v/>
      </c>
      <c r="M1918" s="26" t="str">
        <f aca="false">IF($D1918="","",IFERROR(INDEX(ClientRates!$D$5:$D$500,MATCH($B1918&amp;"|"&amp;$L1918,ClientRates!$A$5:$A$500,0)),0))</f>
        <v/>
      </c>
      <c r="N1918" s="26" t="str">
        <f aca="false">IF($D1918="","",IFERROR(INDEX(ClientRates!$E$5:$E$500,MATCH($B1918&amp;"|"&amp;$L1918,ClientRates!$A$5:$A$500,0)),0))</f>
        <v/>
      </c>
      <c r="O1918" s="26" t="str">
        <f aca="false">IF($D1918="","",F1918*M1918+G1918*N1918)</f>
        <v/>
      </c>
      <c r="P1918" s="26" t="str">
        <f aca="false">IF(OR($D1918="",$J1918&lt;&gt;"Supplier"),"",IFERROR(INDEX(SupplierRates!$D$5:$D$500,MATCH($K1918&amp;"|"&amp;$L1918,SupplierRates!$A$5:$A$500,0)),0))</f>
        <v/>
      </c>
      <c r="Q1918" s="26" t="str">
        <f aca="false">IF(OR($D1918="",$J1918&lt;&gt;"Supplier"),"",IFERROR(INDEX(SupplierRates!$E$5:$E$500,MATCH($K1918&amp;"|"&amp;$L1918,SupplierRates!$A$5:$A$500,0)),0))</f>
        <v/>
      </c>
      <c r="R1918" s="26" t="n">
        <f aca="false">IF(OR($D1918="",$J1918&lt;&gt;"Supplier"),0,F1918*P1918+G1918*Q1918)</f>
        <v>0</v>
      </c>
      <c r="S1918" s="26" t="n">
        <f aca="false">IF(OR($D1918="",$J1918&lt;&gt;"Own"),0,IFERROR((F1918+G1918*Settings!$B$13)*INDEX(Workers!$V$5:$V$2004,MATCH($D1918,Workers!$A$5:$A$2004,0)),0))</f>
        <v>0</v>
      </c>
      <c r="T1918" s="26" t="str">
        <f aca="false">IF($D1918="","",O1918-R1918-S1918)</f>
        <v/>
      </c>
    </row>
    <row r="1919" customFormat="false" ht="15" hidden="false" customHeight="false" outlineLevel="0" collapsed="false">
      <c r="I1919" s="24" t="str">
        <f aca="false">IF($D1919="","",IFERROR(INDEX(Workers!$B$5:$B$2004,MATCH($D1919,Workers!$A$5:$A$2004,0)),"NOT FOUND"))</f>
        <v/>
      </c>
      <c r="J1919" s="24" t="str">
        <f aca="false">IF($D1919="","",IFERROR(INDEX(Workers!$C$5:$C$2004,MATCH($D1919,Workers!$A$5:$A$2004,0)),""))</f>
        <v/>
      </c>
      <c r="K1919" s="24" t="str">
        <f aca="false">IF($D1919="","",IFERROR(IF(INDEX(Workers!$D$5:$D$2004,MATCH($D1919,Workers!$A$5:$A$2004,0))=0,"",INDEX(Workers!$D$5:$D$2004,MATCH($D1919,Workers!$A$5:$A$2004,0))),""))</f>
        <v/>
      </c>
      <c r="L1919" s="24" t="str">
        <f aca="false">IF($D1919="","",IFERROR(INDEX(Workers!$E$5:$E$2004,MATCH($D1919,Workers!$A$5:$A$2004,0)),""))</f>
        <v/>
      </c>
      <c r="M1919" s="26" t="str">
        <f aca="false">IF($D1919="","",IFERROR(INDEX(ClientRates!$D$5:$D$500,MATCH($B1919&amp;"|"&amp;$L1919,ClientRates!$A$5:$A$500,0)),0))</f>
        <v/>
      </c>
      <c r="N1919" s="26" t="str">
        <f aca="false">IF($D1919="","",IFERROR(INDEX(ClientRates!$E$5:$E$500,MATCH($B1919&amp;"|"&amp;$L1919,ClientRates!$A$5:$A$500,0)),0))</f>
        <v/>
      </c>
      <c r="O1919" s="26" t="str">
        <f aca="false">IF($D1919="","",F1919*M1919+G1919*N1919)</f>
        <v/>
      </c>
      <c r="P1919" s="26" t="str">
        <f aca="false">IF(OR($D1919="",$J1919&lt;&gt;"Supplier"),"",IFERROR(INDEX(SupplierRates!$D$5:$D$500,MATCH($K1919&amp;"|"&amp;$L1919,SupplierRates!$A$5:$A$500,0)),0))</f>
        <v/>
      </c>
      <c r="Q1919" s="26" t="str">
        <f aca="false">IF(OR($D1919="",$J1919&lt;&gt;"Supplier"),"",IFERROR(INDEX(SupplierRates!$E$5:$E$500,MATCH($K1919&amp;"|"&amp;$L1919,SupplierRates!$A$5:$A$500,0)),0))</f>
        <v/>
      </c>
      <c r="R1919" s="26" t="n">
        <f aca="false">IF(OR($D1919="",$J1919&lt;&gt;"Supplier"),0,F1919*P1919+G1919*Q1919)</f>
        <v>0</v>
      </c>
      <c r="S1919" s="26" t="n">
        <f aca="false">IF(OR($D1919="",$J1919&lt;&gt;"Own"),0,IFERROR((F1919+G1919*Settings!$B$13)*INDEX(Workers!$V$5:$V$2004,MATCH($D1919,Workers!$A$5:$A$2004,0)),0))</f>
        <v>0</v>
      </c>
      <c r="T1919" s="26" t="str">
        <f aca="false">IF($D1919="","",O1919-R1919-S1919)</f>
        <v/>
      </c>
    </row>
    <row r="1920" customFormat="false" ht="15" hidden="false" customHeight="false" outlineLevel="0" collapsed="false">
      <c r="I1920" s="24" t="str">
        <f aca="false">IF($D1920="","",IFERROR(INDEX(Workers!$B$5:$B$2004,MATCH($D1920,Workers!$A$5:$A$2004,0)),"NOT FOUND"))</f>
        <v/>
      </c>
      <c r="J1920" s="24" t="str">
        <f aca="false">IF($D1920="","",IFERROR(INDEX(Workers!$C$5:$C$2004,MATCH($D1920,Workers!$A$5:$A$2004,0)),""))</f>
        <v/>
      </c>
      <c r="K1920" s="24" t="str">
        <f aca="false">IF($D1920="","",IFERROR(IF(INDEX(Workers!$D$5:$D$2004,MATCH($D1920,Workers!$A$5:$A$2004,0))=0,"",INDEX(Workers!$D$5:$D$2004,MATCH($D1920,Workers!$A$5:$A$2004,0))),""))</f>
        <v/>
      </c>
      <c r="L1920" s="24" t="str">
        <f aca="false">IF($D1920="","",IFERROR(INDEX(Workers!$E$5:$E$2004,MATCH($D1920,Workers!$A$5:$A$2004,0)),""))</f>
        <v/>
      </c>
      <c r="M1920" s="26" t="str">
        <f aca="false">IF($D1920="","",IFERROR(INDEX(ClientRates!$D$5:$D$500,MATCH($B1920&amp;"|"&amp;$L1920,ClientRates!$A$5:$A$500,0)),0))</f>
        <v/>
      </c>
      <c r="N1920" s="26" t="str">
        <f aca="false">IF($D1920="","",IFERROR(INDEX(ClientRates!$E$5:$E$500,MATCH($B1920&amp;"|"&amp;$L1920,ClientRates!$A$5:$A$500,0)),0))</f>
        <v/>
      </c>
      <c r="O1920" s="26" t="str">
        <f aca="false">IF($D1920="","",F1920*M1920+G1920*N1920)</f>
        <v/>
      </c>
      <c r="P1920" s="26" t="str">
        <f aca="false">IF(OR($D1920="",$J1920&lt;&gt;"Supplier"),"",IFERROR(INDEX(SupplierRates!$D$5:$D$500,MATCH($K1920&amp;"|"&amp;$L1920,SupplierRates!$A$5:$A$500,0)),0))</f>
        <v/>
      </c>
      <c r="Q1920" s="26" t="str">
        <f aca="false">IF(OR($D1920="",$J1920&lt;&gt;"Supplier"),"",IFERROR(INDEX(SupplierRates!$E$5:$E$500,MATCH($K1920&amp;"|"&amp;$L1920,SupplierRates!$A$5:$A$500,0)),0))</f>
        <v/>
      </c>
      <c r="R1920" s="26" t="n">
        <f aca="false">IF(OR($D1920="",$J1920&lt;&gt;"Supplier"),0,F1920*P1920+G1920*Q1920)</f>
        <v>0</v>
      </c>
      <c r="S1920" s="26" t="n">
        <f aca="false">IF(OR($D1920="",$J1920&lt;&gt;"Own"),0,IFERROR((F1920+G1920*Settings!$B$13)*INDEX(Workers!$V$5:$V$2004,MATCH($D1920,Workers!$A$5:$A$2004,0)),0))</f>
        <v>0</v>
      </c>
      <c r="T1920" s="26" t="str">
        <f aca="false">IF($D1920="","",O1920-R1920-S1920)</f>
        <v/>
      </c>
    </row>
    <row r="1921" customFormat="false" ht="15" hidden="false" customHeight="false" outlineLevel="0" collapsed="false">
      <c r="I1921" s="24" t="str">
        <f aca="false">IF($D1921="","",IFERROR(INDEX(Workers!$B$5:$B$2004,MATCH($D1921,Workers!$A$5:$A$2004,0)),"NOT FOUND"))</f>
        <v/>
      </c>
      <c r="J1921" s="24" t="str">
        <f aca="false">IF($D1921="","",IFERROR(INDEX(Workers!$C$5:$C$2004,MATCH($D1921,Workers!$A$5:$A$2004,0)),""))</f>
        <v/>
      </c>
      <c r="K1921" s="24" t="str">
        <f aca="false">IF($D1921="","",IFERROR(IF(INDEX(Workers!$D$5:$D$2004,MATCH($D1921,Workers!$A$5:$A$2004,0))=0,"",INDEX(Workers!$D$5:$D$2004,MATCH($D1921,Workers!$A$5:$A$2004,0))),""))</f>
        <v/>
      </c>
      <c r="L1921" s="24" t="str">
        <f aca="false">IF($D1921="","",IFERROR(INDEX(Workers!$E$5:$E$2004,MATCH($D1921,Workers!$A$5:$A$2004,0)),""))</f>
        <v/>
      </c>
      <c r="M1921" s="26" t="str">
        <f aca="false">IF($D1921="","",IFERROR(INDEX(ClientRates!$D$5:$D$500,MATCH($B1921&amp;"|"&amp;$L1921,ClientRates!$A$5:$A$500,0)),0))</f>
        <v/>
      </c>
      <c r="N1921" s="26" t="str">
        <f aca="false">IF($D1921="","",IFERROR(INDEX(ClientRates!$E$5:$E$500,MATCH($B1921&amp;"|"&amp;$L1921,ClientRates!$A$5:$A$500,0)),0))</f>
        <v/>
      </c>
      <c r="O1921" s="26" t="str">
        <f aca="false">IF($D1921="","",F1921*M1921+G1921*N1921)</f>
        <v/>
      </c>
      <c r="P1921" s="26" t="str">
        <f aca="false">IF(OR($D1921="",$J1921&lt;&gt;"Supplier"),"",IFERROR(INDEX(SupplierRates!$D$5:$D$500,MATCH($K1921&amp;"|"&amp;$L1921,SupplierRates!$A$5:$A$500,0)),0))</f>
        <v/>
      </c>
      <c r="Q1921" s="26" t="str">
        <f aca="false">IF(OR($D1921="",$J1921&lt;&gt;"Supplier"),"",IFERROR(INDEX(SupplierRates!$E$5:$E$500,MATCH($K1921&amp;"|"&amp;$L1921,SupplierRates!$A$5:$A$500,0)),0))</f>
        <v/>
      </c>
      <c r="R1921" s="26" t="n">
        <f aca="false">IF(OR($D1921="",$J1921&lt;&gt;"Supplier"),0,F1921*P1921+G1921*Q1921)</f>
        <v>0</v>
      </c>
      <c r="S1921" s="26" t="n">
        <f aca="false">IF(OR($D1921="",$J1921&lt;&gt;"Own"),0,IFERROR((F1921+G1921*Settings!$B$13)*INDEX(Workers!$V$5:$V$2004,MATCH($D1921,Workers!$A$5:$A$2004,0)),0))</f>
        <v>0</v>
      </c>
      <c r="T1921" s="26" t="str">
        <f aca="false">IF($D1921="","",O1921-R1921-S1921)</f>
        <v/>
      </c>
    </row>
    <row r="1922" customFormat="false" ht="15" hidden="false" customHeight="false" outlineLevel="0" collapsed="false">
      <c r="I1922" s="24" t="str">
        <f aca="false">IF($D1922="","",IFERROR(INDEX(Workers!$B$5:$B$2004,MATCH($D1922,Workers!$A$5:$A$2004,0)),"NOT FOUND"))</f>
        <v/>
      </c>
      <c r="J1922" s="24" t="str">
        <f aca="false">IF($D1922="","",IFERROR(INDEX(Workers!$C$5:$C$2004,MATCH($D1922,Workers!$A$5:$A$2004,0)),""))</f>
        <v/>
      </c>
      <c r="K1922" s="24" t="str">
        <f aca="false">IF($D1922="","",IFERROR(IF(INDEX(Workers!$D$5:$D$2004,MATCH($D1922,Workers!$A$5:$A$2004,0))=0,"",INDEX(Workers!$D$5:$D$2004,MATCH($D1922,Workers!$A$5:$A$2004,0))),""))</f>
        <v/>
      </c>
      <c r="L1922" s="24" t="str">
        <f aca="false">IF($D1922="","",IFERROR(INDEX(Workers!$E$5:$E$2004,MATCH($D1922,Workers!$A$5:$A$2004,0)),""))</f>
        <v/>
      </c>
      <c r="M1922" s="26" t="str">
        <f aca="false">IF($D1922="","",IFERROR(INDEX(ClientRates!$D$5:$D$500,MATCH($B1922&amp;"|"&amp;$L1922,ClientRates!$A$5:$A$500,0)),0))</f>
        <v/>
      </c>
      <c r="N1922" s="26" t="str">
        <f aca="false">IF($D1922="","",IFERROR(INDEX(ClientRates!$E$5:$E$500,MATCH($B1922&amp;"|"&amp;$L1922,ClientRates!$A$5:$A$500,0)),0))</f>
        <v/>
      </c>
      <c r="O1922" s="26" t="str">
        <f aca="false">IF($D1922="","",F1922*M1922+G1922*N1922)</f>
        <v/>
      </c>
      <c r="P1922" s="26" t="str">
        <f aca="false">IF(OR($D1922="",$J1922&lt;&gt;"Supplier"),"",IFERROR(INDEX(SupplierRates!$D$5:$D$500,MATCH($K1922&amp;"|"&amp;$L1922,SupplierRates!$A$5:$A$500,0)),0))</f>
        <v/>
      </c>
      <c r="Q1922" s="26" t="str">
        <f aca="false">IF(OR($D1922="",$J1922&lt;&gt;"Supplier"),"",IFERROR(INDEX(SupplierRates!$E$5:$E$500,MATCH($K1922&amp;"|"&amp;$L1922,SupplierRates!$A$5:$A$500,0)),0))</f>
        <v/>
      </c>
      <c r="R1922" s="26" t="n">
        <f aca="false">IF(OR($D1922="",$J1922&lt;&gt;"Supplier"),0,F1922*P1922+G1922*Q1922)</f>
        <v>0</v>
      </c>
      <c r="S1922" s="26" t="n">
        <f aca="false">IF(OR($D1922="",$J1922&lt;&gt;"Own"),0,IFERROR((F1922+G1922*Settings!$B$13)*INDEX(Workers!$V$5:$V$2004,MATCH($D1922,Workers!$A$5:$A$2004,0)),0))</f>
        <v>0</v>
      </c>
      <c r="T1922" s="26" t="str">
        <f aca="false">IF($D1922="","",O1922-R1922-S1922)</f>
        <v/>
      </c>
    </row>
    <row r="1923" customFormat="false" ht="15" hidden="false" customHeight="false" outlineLevel="0" collapsed="false">
      <c r="I1923" s="24" t="str">
        <f aca="false">IF($D1923="","",IFERROR(INDEX(Workers!$B$5:$B$2004,MATCH($D1923,Workers!$A$5:$A$2004,0)),"NOT FOUND"))</f>
        <v/>
      </c>
      <c r="J1923" s="24" t="str">
        <f aca="false">IF($D1923="","",IFERROR(INDEX(Workers!$C$5:$C$2004,MATCH($D1923,Workers!$A$5:$A$2004,0)),""))</f>
        <v/>
      </c>
      <c r="K1923" s="24" t="str">
        <f aca="false">IF($D1923="","",IFERROR(IF(INDEX(Workers!$D$5:$D$2004,MATCH($D1923,Workers!$A$5:$A$2004,0))=0,"",INDEX(Workers!$D$5:$D$2004,MATCH($D1923,Workers!$A$5:$A$2004,0))),""))</f>
        <v/>
      </c>
      <c r="L1923" s="24" t="str">
        <f aca="false">IF($D1923="","",IFERROR(INDEX(Workers!$E$5:$E$2004,MATCH($D1923,Workers!$A$5:$A$2004,0)),""))</f>
        <v/>
      </c>
      <c r="M1923" s="26" t="str">
        <f aca="false">IF($D1923="","",IFERROR(INDEX(ClientRates!$D$5:$D$500,MATCH($B1923&amp;"|"&amp;$L1923,ClientRates!$A$5:$A$500,0)),0))</f>
        <v/>
      </c>
      <c r="N1923" s="26" t="str">
        <f aca="false">IF($D1923="","",IFERROR(INDEX(ClientRates!$E$5:$E$500,MATCH($B1923&amp;"|"&amp;$L1923,ClientRates!$A$5:$A$500,0)),0))</f>
        <v/>
      </c>
      <c r="O1923" s="26" t="str">
        <f aca="false">IF($D1923="","",F1923*M1923+G1923*N1923)</f>
        <v/>
      </c>
      <c r="P1923" s="26" t="str">
        <f aca="false">IF(OR($D1923="",$J1923&lt;&gt;"Supplier"),"",IFERROR(INDEX(SupplierRates!$D$5:$D$500,MATCH($K1923&amp;"|"&amp;$L1923,SupplierRates!$A$5:$A$500,0)),0))</f>
        <v/>
      </c>
      <c r="Q1923" s="26" t="str">
        <f aca="false">IF(OR($D1923="",$J1923&lt;&gt;"Supplier"),"",IFERROR(INDEX(SupplierRates!$E$5:$E$500,MATCH($K1923&amp;"|"&amp;$L1923,SupplierRates!$A$5:$A$500,0)),0))</f>
        <v/>
      </c>
      <c r="R1923" s="26" t="n">
        <f aca="false">IF(OR($D1923="",$J1923&lt;&gt;"Supplier"),0,F1923*P1923+G1923*Q1923)</f>
        <v>0</v>
      </c>
      <c r="S1923" s="26" t="n">
        <f aca="false">IF(OR($D1923="",$J1923&lt;&gt;"Own"),0,IFERROR((F1923+G1923*Settings!$B$13)*INDEX(Workers!$V$5:$V$2004,MATCH($D1923,Workers!$A$5:$A$2004,0)),0))</f>
        <v>0</v>
      </c>
      <c r="T1923" s="26" t="str">
        <f aca="false">IF($D1923="","",O1923-R1923-S1923)</f>
        <v/>
      </c>
    </row>
    <row r="1924" customFormat="false" ht="15" hidden="false" customHeight="false" outlineLevel="0" collapsed="false">
      <c r="I1924" s="24" t="str">
        <f aca="false">IF($D1924="","",IFERROR(INDEX(Workers!$B$5:$B$2004,MATCH($D1924,Workers!$A$5:$A$2004,0)),"NOT FOUND"))</f>
        <v/>
      </c>
      <c r="J1924" s="24" t="str">
        <f aca="false">IF($D1924="","",IFERROR(INDEX(Workers!$C$5:$C$2004,MATCH($D1924,Workers!$A$5:$A$2004,0)),""))</f>
        <v/>
      </c>
      <c r="K1924" s="24" t="str">
        <f aca="false">IF($D1924="","",IFERROR(IF(INDEX(Workers!$D$5:$D$2004,MATCH($D1924,Workers!$A$5:$A$2004,0))=0,"",INDEX(Workers!$D$5:$D$2004,MATCH($D1924,Workers!$A$5:$A$2004,0))),""))</f>
        <v/>
      </c>
      <c r="L1924" s="24" t="str">
        <f aca="false">IF($D1924="","",IFERROR(INDEX(Workers!$E$5:$E$2004,MATCH($D1924,Workers!$A$5:$A$2004,0)),""))</f>
        <v/>
      </c>
      <c r="M1924" s="26" t="str">
        <f aca="false">IF($D1924="","",IFERROR(INDEX(ClientRates!$D$5:$D$500,MATCH($B1924&amp;"|"&amp;$L1924,ClientRates!$A$5:$A$500,0)),0))</f>
        <v/>
      </c>
      <c r="N1924" s="26" t="str">
        <f aca="false">IF($D1924="","",IFERROR(INDEX(ClientRates!$E$5:$E$500,MATCH($B1924&amp;"|"&amp;$L1924,ClientRates!$A$5:$A$500,0)),0))</f>
        <v/>
      </c>
      <c r="O1924" s="26" t="str">
        <f aca="false">IF($D1924="","",F1924*M1924+G1924*N1924)</f>
        <v/>
      </c>
      <c r="P1924" s="26" t="str">
        <f aca="false">IF(OR($D1924="",$J1924&lt;&gt;"Supplier"),"",IFERROR(INDEX(SupplierRates!$D$5:$D$500,MATCH($K1924&amp;"|"&amp;$L1924,SupplierRates!$A$5:$A$500,0)),0))</f>
        <v/>
      </c>
      <c r="Q1924" s="26" t="str">
        <f aca="false">IF(OR($D1924="",$J1924&lt;&gt;"Supplier"),"",IFERROR(INDEX(SupplierRates!$E$5:$E$500,MATCH($K1924&amp;"|"&amp;$L1924,SupplierRates!$A$5:$A$500,0)),0))</f>
        <v/>
      </c>
      <c r="R1924" s="26" t="n">
        <f aca="false">IF(OR($D1924="",$J1924&lt;&gt;"Supplier"),0,F1924*P1924+G1924*Q1924)</f>
        <v>0</v>
      </c>
      <c r="S1924" s="26" t="n">
        <f aca="false">IF(OR($D1924="",$J1924&lt;&gt;"Own"),0,IFERROR((F1924+G1924*Settings!$B$13)*INDEX(Workers!$V$5:$V$2004,MATCH($D1924,Workers!$A$5:$A$2004,0)),0))</f>
        <v>0</v>
      </c>
      <c r="T1924" s="26" t="str">
        <f aca="false">IF($D1924="","",O1924-R1924-S1924)</f>
        <v/>
      </c>
    </row>
    <row r="1925" customFormat="false" ht="15" hidden="false" customHeight="false" outlineLevel="0" collapsed="false">
      <c r="I1925" s="24" t="str">
        <f aca="false">IF($D1925="","",IFERROR(INDEX(Workers!$B$5:$B$2004,MATCH($D1925,Workers!$A$5:$A$2004,0)),"NOT FOUND"))</f>
        <v/>
      </c>
      <c r="J1925" s="24" t="str">
        <f aca="false">IF($D1925="","",IFERROR(INDEX(Workers!$C$5:$C$2004,MATCH($D1925,Workers!$A$5:$A$2004,0)),""))</f>
        <v/>
      </c>
      <c r="K1925" s="24" t="str">
        <f aca="false">IF($D1925="","",IFERROR(IF(INDEX(Workers!$D$5:$D$2004,MATCH($D1925,Workers!$A$5:$A$2004,0))=0,"",INDEX(Workers!$D$5:$D$2004,MATCH($D1925,Workers!$A$5:$A$2004,0))),""))</f>
        <v/>
      </c>
      <c r="L1925" s="24" t="str">
        <f aca="false">IF($D1925="","",IFERROR(INDEX(Workers!$E$5:$E$2004,MATCH($D1925,Workers!$A$5:$A$2004,0)),""))</f>
        <v/>
      </c>
      <c r="M1925" s="26" t="str">
        <f aca="false">IF($D1925="","",IFERROR(INDEX(ClientRates!$D$5:$D$500,MATCH($B1925&amp;"|"&amp;$L1925,ClientRates!$A$5:$A$500,0)),0))</f>
        <v/>
      </c>
      <c r="N1925" s="26" t="str">
        <f aca="false">IF($D1925="","",IFERROR(INDEX(ClientRates!$E$5:$E$500,MATCH($B1925&amp;"|"&amp;$L1925,ClientRates!$A$5:$A$500,0)),0))</f>
        <v/>
      </c>
      <c r="O1925" s="26" t="str">
        <f aca="false">IF($D1925="","",F1925*M1925+G1925*N1925)</f>
        <v/>
      </c>
      <c r="P1925" s="26" t="str">
        <f aca="false">IF(OR($D1925="",$J1925&lt;&gt;"Supplier"),"",IFERROR(INDEX(SupplierRates!$D$5:$D$500,MATCH($K1925&amp;"|"&amp;$L1925,SupplierRates!$A$5:$A$500,0)),0))</f>
        <v/>
      </c>
      <c r="Q1925" s="26" t="str">
        <f aca="false">IF(OR($D1925="",$J1925&lt;&gt;"Supplier"),"",IFERROR(INDEX(SupplierRates!$E$5:$E$500,MATCH($K1925&amp;"|"&amp;$L1925,SupplierRates!$A$5:$A$500,0)),0))</f>
        <v/>
      </c>
      <c r="R1925" s="26" t="n">
        <f aca="false">IF(OR($D1925="",$J1925&lt;&gt;"Supplier"),0,F1925*P1925+G1925*Q1925)</f>
        <v>0</v>
      </c>
      <c r="S1925" s="26" t="n">
        <f aca="false">IF(OR($D1925="",$J1925&lt;&gt;"Own"),0,IFERROR((F1925+G1925*Settings!$B$13)*INDEX(Workers!$V$5:$V$2004,MATCH($D1925,Workers!$A$5:$A$2004,0)),0))</f>
        <v>0</v>
      </c>
      <c r="T1925" s="26" t="str">
        <f aca="false">IF($D1925="","",O1925-R1925-S1925)</f>
        <v/>
      </c>
    </row>
    <row r="1926" customFormat="false" ht="15" hidden="false" customHeight="false" outlineLevel="0" collapsed="false">
      <c r="I1926" s="24" t="str">
        <f aca="false">IF($D1926="","",IFERROR(INDEX(Workers!$B$5:$B$2004,MATCH($D1926,Workers!$A$5:$A$2004,0)),"NOT FOUND"))</f>
        <v/>
      </c>
      <c r="J1926" s="24" t="str">
        <f aca="false">IF($D1926="","",IFERROR(INDEX(Workers!$C$5:$C$2004,MATCH($D1926,Workers!$A$5:$A$2004,0)),""))</f>
        <v/>
      </c>
      <c r="K1926" s="24" t="str">
        <f aca="false">IF($D1926="","",IFERROR(IF(INDEX(Workers!$D$5:$D$2004,MATCH($D1926,Workers!$A$5:$A$2004,0))=0,"",INDEX(Workers!$D$5:$D$2004,MATCH($D1926,Workers!$A$5:$A$2004,0))),""))</f>
        <v/>
      </c>
      <c r="L1926" s="24" t="str">
        <f aca="false">IF($D1926="","",IFERROR(INDEX(Workers!$E$5:$E$2004,MATCH($D1926,Workers!$A$5:$A$2004,0)),""))</f>
        <v/>
      </c>
      <c r="M1926" s="26" t="str">
        <f aca="false">IF($D1926="","",IFERROR(INDEX(ClientRates!$D$5:$D$500,MATCH($B1926&amp;"|"&amp;$L1926,ClientRates!$A$5:$A$500,0)),0))</f>
        <v/>
      </c>
      <c r="N1926" s="26" t="str">
        <f aca="false">IF($D1926="","",IFERROR(INDEX(ClientRates!$E$5:$E$500,MATCH($B1926&amp;"|"&amp;$L1926,ClientRates!$A$5:$A$500,0)),0))</f>
        <v/>
      </c>
      <c r="O1926" s="26" t="str">
        <f aca="false">IF($D1926="","",F1926*M1926+G1926*N1926)</f>
        <v/>
      </c>
      <c r="P1926" s="26" t="str">
        <f aca="false">IF(OR($D1926="",$J1926&lt;&gt;"Supplier"),"",IFERROR(INDEX(SupplierRates!$D$5:$D$500,MATCH($K1926&amp;"|"&amp;$L1926,SupplierRates!$A$5:$A$500,0)),0))</f>
        <v/>
      </c>
      <c r="Q1926" s="26" t="str">
        <f aca="false">IF(OR($D1926="",$J1926&lt;&gt;"Supplier"),"",IFERROR(INDEX(SupplierRates!$E$5:$E$500,MATCH($K1926&amp;"|"&amp;$L1926,SupplierRates!$A$5:$A$500,0)),0))</f>
        <v/>
      </c>
      <c r="R1926" s="26" t="n">
        <f aca="false">IF(OR($D1926="",$J1926&lt;&gt;"Supplier"),0,F1926*P1926+G1926*Q1926)</f>
        <v>0</v>
      </c>
      <c r="S1926" s="26" t="n">
        <f aca="false">IF(OR($D1926="",$J1926&lt;&gt;"Own"),0,IFERROR((F1926+G1926*Settings!$B$13)*INDEX(Workers!$V$5:$V$2004,MATCH($D1926,Workers!$A$5:$A$2004,0)),0))</f>
        <v>0</v>
      </c>
      <c r="T1926" s="26" t="str">
        <f aca="false">IF($D1926="","",O1926-R1926-S1926)</f>
        <v/>
      </c>
    </row>
    <row r="1927" customFormat="false" ht="15" hidden="false" customHeight="false" outlineLevel="0" collapsed="false">
      <c r="I1927" s="24" t="str">
        <f aca="false">IF($D1927="","",IFERROR(INDEX(Workers!$B$5:$B$2004,MATCH($D1927,Workers!$A$5:$A$2004,0)),"NOT FOUND"))</f>
        <v/>
      </c>
      <c r="J1927" s="24" t="str">
        <f aca="false">IF($D1927="","",IFERROR(INDEX(Workers!$C$5:$C$2004,MATCH($D1927,Workers!$A$5:$A$2004,0)),""))</f>
        <v/>
      </c>
      <c r="K1927" s="24" t="str">
        <f aca="false">IF($D1927="","",IFERROR(IF(INDEX(Workers!$D$5:$D$2004,MATCH($D1927,Workers!$A$5:$A$2004,0))=0,"",INDEX(Workers!$D$5:$D$2004,MATCH($D1927,Workers!$A$5:$A$2004,0))),""))</f>
        <v/>
      </c>
      <c r="L1927" s="24" t="str">
        <f aca="false">IF($D1927="","",IFERROR(INDEX(Workers!$E$5:$E$2004,MATCH($D1927,Workers!$A$5:$A$2004,0)),""))</f>
        <v/>
      </c>
      <c r="M1927" s="26" t="str">
        <f aca="false">IF($D1927="","",IFERROR(INDEX(ClientRates!$D$5:$D$500,MATCH($B1927&amp;"|"&amp;$L1927,ClientRates!$A$5:$A$500,0)),0))</f>
        <v/>
      </c>
      <c r="N1927" s="26" t="str">
        <f aca="false">IF($D1927="","",IFERROR(INDEX(ClientRates!$E$5:$E$500,MATCH($B1927&amp;"|"&amp;$L1927,ClientRates!$A$5:$A$500,0)),0))</f>
        <v/>
      </c>
      <c r="O1927" s="26" t="str">
        <f aca="false">IF($D1927="","",F1927*M1927+G1927*N1927)</f>
        <v/>
      </c>
      <c r="P1927" s="26" t="str">
        <f aca="false">IF(OR($D1927="",$J1927&lt;&gt;"Supplier"),"",IFERROR(INDEX(SupplierRates!$D$5:$D$500,MATCH($K1927&amp;"|"&amp;$L1927,SupplierRates!$A$5:$A$500,0)),0))</f>
        <v/>
      </c>
      <c r="Q1927" s="26" t="str">
        <f aca="false">IF(OR($D1927="",$J1927&lt;&gt;"Supplier"),"",IFERROR(INDEX(SupplierRates!$E$5:$E$500,MATCH($K1927&amp;"|"&amp;$L1927,SupplierRates!$A$5:$A$500,0)),0))</f>
        <v/>
      </c>
      <c r="R1927" s="26" t="n">
        <f aca="false">IF(OR($D1927="",$J1927&lt;&gt;"Supplier"),0,F1927*P1927+G1927*Q1927)</f>
        <v>0</v>
      </c>
      <c r="S1927" s="26" t="n">
        <f aca="false">IF(OR($D1927="",$J1927&lt;&gt;"Own"),0,IFERROR((F1927+G1927*Settings!$B$13)*INDEX(Workers!$V$5:$V$2004,MATCH($D1927,Workers!$A$5:$A$2004,0)),0))</f>
        <v>0</v>
      </c>
      <c r="T1927" s="26" t="str">
        <f aca="false">IF($D1927="","",O1927-R1927-S1927)</f>
        <v/>
      </c>
    </row>
    <row r="1928" customFormat="false" ht="15" hidden="false" customHeight="false" outlineLevel="0" collapsed="false">
      <c r="I1928" s="24" t="str">
        <f aca="false">IF($D1928="","",IFERROR(INDEX(Workers!$B$5:$B$2004,MATCH($D1928,Workers!$A$5:$A$2004,0)),"NOT FOUND"))</f>
        <v/>
      </c>
      <c r="J1928" s="24" t="str">
        <f aca="false">IF($D1928="","",IFERROR(INDEX(Workers!$C$5:$C$2004,MATCH($D1928,Workers!$A$5:$A$2004,0)),""))</f>
        <v/>
      </c>
      <c r="K1928" s="24" t="str">
        <f aca="false">IF($D1928="","",IFERROR(IF(INDEX(Workers!$D$5:$D$2004,MATCH($D1928,Workers!$A$5:$A$2004,0))=0,"",INDEX(Workers!$D$5:$D$2004,MATCH($D1928,Workers!$A$5:$A$2004,0))),""))</f>
        <v/>
      </c>
      <c r="L1928" s="24" t="str">
        <f aca="false">IF($D1928="","",IFERROR(INDEX(Workers!$E$5:$E$2004,MATCH($D1928,Workers!$A$5:$A$2004,0)),""))</f>
        <v/>
      </c>
      <c r="M1928" s="26" t="str">
        <f aca="false">IF($D1928="","",IFERROR(INDEX(ClientRates!$D$5:$D$500,MATCH($B1928&amp;"|"&amp;$L1928,ClientRates!$A$5:$A$500,0)),0))</f>
        <v/>
      </c>
      <c r="N1928" s="26" t="str">
        <f aca="false">IF($D1928="","",IFERROR(INDEX(ClientRates!$E$5:$E$500,MATCH($B1928&amp;"|"&amp;$L1928,ClientRates!$A$5:$A$500,0)),0))</f>
        <v/>
      </c>
      <c r="O1928" s="26" t="str">
        <f aca="false">IF($D1928="","",F1928*M1928+G1928*N1928)</f>
        <v/>
      </c>
      <c r="P1928" s="26" t="str">
        <f aca="false">IF(OR($D1928="",$J1928&lt;&gt;"Supplier"),"",IFERROR(INDEX(SupplierRates!$D$5:$D$500,MATCH($K1928&amp;"|"&amp;$L1928,SupplierRates!$A$5:$A$500,0)),0))</f>
        <v/>
      </c>
      <c r="Q1928" s="26" t="str">
        <f aca="false">IF(OR($D1928="",$J1928&lt;&gt;"Supplier"),"",IFERROR(INDEX(SupplierRates!$E$5:$E$500,MATCH($K1928&amp;"|"&amp;$L1928,SupplierRates!$A$5:$A$500,0)),0))</f>
        <v/>
      </c>
      <c r="R1928" s="26" t="n">
        <f aca="false">IF(OR($D1928="",$J1928&lt;&gt;"Supplier"),0,F1928*P1928+G1928*Q1928)</f>
        <v>0</v>
      </c>
      <c r="S1928" s="26" t="n">
        <f aca="false">IF(OR($D1928="",$J1928&lt;&gt;"Own"),0,IFERROR((F1928+G1928*Settings!$B$13)*INDEX(Workers!$V$5:$V$2004,MATCH($D1928,Workers!$A$5:$A$2004,0)),0))</f>
        <v>0</v>
      </c>
      <c r="T1928" s="26" t="str">
        <f aca="false">IF($D1928="","",O1928-R1928-S1928)</f>
        <v/>
      </c>
    </row>
    <row r="1929" customFormat="false" ht="15" hidden="false" customHeight="false" outlineLevel="0" collapsed="false">
      <c r="I1929" s="24" t="str">
        <f aca="false">IF($D1929="","",IFERROR(INDEX(Workers!$B$5:$B$2004,MATCH($D1929,Workers!$A$5:$A$2004,0)),"NOT FOUND"))</f>
        <v/>
      </c>
      <c r="J1929" s="24" t="str">
        <f aca="false">IF($D1929="","",IFERROR(INDEX(Workers!$C$5:$C$2004,MATCH($D1929,Workers!$A$5:$A$2004,0)),""))</f>
        <v/>
      </c>
      <c r="K1929" s="24" t="str">
        <f aca="false">IF($D1929="","",IFERROR(IF(INDEX(Workers!$D$5:$D$2004,MATCH($D1929,Workers!$A$5:$A$2004,0))=0,"",INDEX(Workers!$D$5:$D$2004,MATCH($D1929,Workers!$A$5:$A$2004,0))),""))</f>
        <v/>
      </c>
      <c r="L1929" s="24" t="str">
        <f aca="false">IF($D1929="","",IFERROR(INDEX(Workers!$E$5:$E$2004,MATCH($D1929,Workers!$A$5:$A$2004,0)),""))</f>
        <v/>
      </c>
      <c r="M1929" s="26" t="str">
        <f aca="false">IF($D1929="","",IFERROR(INDEX(ClientRates!$D$5:$D$500,MATCH($B1929&amp;"|"&amp;$L1929,ClientRates!$A$5:$A$500,0)),0))</f>
        <v/>
      </c>
      <c r="N1929" s="26" t="str">
        <f aca="false">IF($D1929="","",IFERROR(INDEX(ClientRates!$E$5:$E$500,MATCH($B1929&amp;"|"&amp;$L1929,ClientRates!$A$5:$A$500,0)),0))</f>
        <v/>
      </c>
      <c r="O1929" s="26" t="str">
        <f aca="false">IF($D1929="","",F1929*M1929+G1929*N1929)</f>
        <v/>
      </c>
      <c r="P1929" s="26" t="str">
        <f aca="false">IF(OR($D1929="",$J1929&lt;&gt;"Supplier"),"",IFERROR(INDEX(SupplierRates!$D$5:$D$500,MATCH($K1929&amp;"|"&amp;$L1929,SupplierRates!$A$5:$A$500,0)),0))</f>
        <v/>
      </c>
      <c r="Q1929" s="26" t="str">
        <f aca="false">IF(OR($D1929="",$J1929&lt;&gt;"Supplier"),"",IFERROR(INDEX(SupplierRates!$E$5:$E$500,MATCH($K1929&amp;"|"&amp;$L1929,SupplierRates!$A$5:$A$500,0)),0))</f>
        <v/>
      </c>
      <c r="R1929" s="26" t="n">
        <f aca="false">IF(OR($D1929="",$J1929&lt;&gt;"Supplier"),0,F1929*P1929+G1929*Q1929)</f>
        <v>0</v>
      </c>
      <c r="S1929" s="26" t="n">
        <f aca="false">IF(OR($D1929="",$J1929&lt;&gt;"Own"),0,IFERROR((F1929+G1929*Settings!$B$13)*INDEX(Workers!$V$5:$V$2004,MATCH($D1929,Workers!$A$5:$A$2004,0)),0))</f>
        <v>0</v>
      </c>
      <c r="T1929" s="26" t="str">
        <f aca="false">IF($D1929="","",O1929-R1929-S1929)</f>
        <v/>
      </c>
    </row>
    <row r="1930" customFormat="false" ht="15" hidden="false" customHeight="false" outlineLevel="0" collapsed="false">
      <c r="I1930" s="24" t="str">
        <f aca="false">IF($D1930="","",IFERROR(INDEX(Workers!$B$5:$B$2004,MATCH($D1930,Workers!$A$5:$A$2004,0)),"NOT FOUND"))</f>
        <v/>
      </c>
      <c r="J1930" s="24" t="str">
        <f aca="false">IF($D1930="","",IFERROR(INDEX(Workers!$C$5:$C$2004,MATCH($D1930,Workers!$A$5:$A$2004,0)),""))</f>
        <v/>
      </c>
      <c r="K1930" s="24" t="str">
        <f aca="false">IF($D1930="","",IFERROR(IF(INDEX(Workers!$D$5:$D$2004,MATCH($D1930,Workers!$A$5:$A$2004,0))=0,"",INDEX(Workers!$D$5:$D$2004,MATCH($D1930,Workers!$A$5:$A$2004,0))),""))</f>
        <v/>
      </c>
      <c r="L1930" s="24" t="str">
        <f aca="false">IF($D1930="","",IFERROR(INDEX(Workers!$E$5:$E$2004,MATCH($D1930,Workers!$A$5:$A$2004,0)),""))</f>
        <v/>
      </c>
      <c r="M1930" s="26" t="str">
        <f aca="false">IF($D1930="","",IFERROR(INDEX(ClientRates!$D$5:$D$500,MATCH($B1930&amp;"|"&amp;$L1930,ClientRates!$A$5:$A$500,0)),0))</f>
        <v/>
      </c>
      <c r="N1930" s="26" t="str">
        <f aca="false">IF($D1930="","",IFERROR(INDEX(ClientRates!$E$5:$E$500,MATCH($B1930&amp;"|"&amp;$L1930,ClientRates!$A$5:$A$500,0)),0))</f>
        <v/>
      </c>
      <c r="O1930" s="26" t="str">
        <f aca="false">IF($D1930="","",F1930*M1930+G1930*N1930)</f>
        <v/>
      </c>
      <c r="P1930" s="26" t="str">
        <f aca="false">IF(OR($D1930="",$J1930&lt;&gt;"Supplier"),"",IFERROR(INDEX(SupplierRates!$D$5:$D$500,MATCH($K1930&amp;"|"&amp;$L1930,SupplierRates!$A$5:$A$500,0)),0))</f>
        <v/>
      </c>
      <c r="Q1930" s="26" t="str">
        <f aca="false">IF(OR($D1930="",$J1930&lt;&gt;"Supplier"),"",IFERROR(INDEX(SupplierRates!$E$5:$E$500,MATCH($K1930&amp;"|"&amp;$L1930,SupplierRates!$A$5:$A$500,0)),0))</f>
        <v/>
      </c>
      <c r="R1930" s="26" t="n">
        <f aca="false">IF(OR($D1930="",$J1930&lt;&gt;"Supplier"),0,F1930*P1930+G1930*Q1930)</f>
        <v>0</v>
      </c>
      <c r="S1930" s="26" t="n">
        <f aca="false">IF(OR($D1930="",$J1930&lt;&gt;"Own"),0,IFERROR((F1930+G1930*Settings!$B$13)*INDEX(Workers!$V$5:$V$2004,MATCH($D1930,Workers!$A$5:$A$2004,0)),0))</f>
        <v>0</v>
      </c>
      <c r="T1930" s="26" t="str">
        <f aca="false">IF($D1930="","",O1930-R1930-S1930)</f>
        <v/>
      </c>
    </row>
    <row r="1931" customFormat="false" ht="15" hidden="false" customHeight="false" outlineLevel="0" collapsed="false">
      <c r="I1931" s="24" t="str">
        <f aca="false">IF($D1931="","",IFERROR(INDEX(Workers!$B$5:$B$2004,MATCH($D1931,Workers!$A$5:$A$2004,0)),"NOT FOUND"))</f>
        <v/>
      </c>
      <c r="J1931" s="24" t="str">
        <f aca="false">IF($D1931="","",IFERROR(INDEX(Workers!$C$5:$C$2004,MATCH($D1931,Workers!$A$5:$A$2004,0)),""))</f>
        <v/>
      </c>
      <c r="K1931" s="24" t="str">
        <f aca="false">IF($D1931="","",IFERROR(IF(INDEX(Workers!$D$5:$D$2004,MATCH($D1931,Workers!$A$5:$A$2004,0))=0,"",INDEX(Workers!$D$5:$D$2004,MATCH($D1931,Workers!$A$5:$A$2004,0))),""))</f>
        <v/>
      </c>
      <c r="L1931" s="24" t="str">
        <f aca="false">IF($D1931="","",IFERROR(INDEX(Workers!$E$5:$E$2004,MATCH($D1931,Workers!$A$5:$A$2004,0)),""))</f>
        <v/>
      </c>
      <c r="M1931" s="26" t="str">
        <f aca="false">IF($D1931="","",IFERROR(INDEX(ClientRates!$D$5:$D$500,MATCH($B1931&amp;"|"&amp;$L1931,ClientRates!$A$5:$A$500,0)),0))</f>
        <v/>
      </c>
      <c r="N1931" s="26" t="str">
        <f aca="false">IF($D1931="","",IFERROR(INDEX(ClientRates!$E$5:$E$500,MATCH($B1931&amp;"|"&amp;$L1931,ClientRates!$A$5:$A$500,0)),0))</f>
        <v/>
      </c>
      <c r="O1931" s="26" t="str">
        <f aca="false">IF($D1931="","",F1931*M1931+G1931*N1931)</f>
        <v/>
      </c>
      <c r="P1931" s="26" t="str">
        <f aca="false">IF(OR($D1931="",$J1931&lt;&gt;"Supplier"),"",IFERROR(INDEX(SupplierRates!$D$5:$D$500,MATCH($K1931&amp;"|"&amp;$L1931,SupplierRates!$A$5:$A$500,0)),0))</f>
        <v/>
      </c>
      <c r="Q1931" s="26" t="str">
        <f aca="false">IF(OR($D1931="",$J1931&lt;&gt;"Supplier"),"",IFERROR(INDEX(SupplierRates!$E$5:$E$500,MATCH($K1931&amp;"|"&amp;$L1931,SupplierRates!$A$5:$A$500,0)),0))</f>
        <v/>
      </c>
      <c r="R1931" s="26" t="n">
        <f aca="false">IF(OR($D1931="",$J1931&lt;&gt;"Supplier"),0,F1931*P1931+G1931*Q1931)</f>
        <v>0</v>
      </c>
      <c r="S1931" s="26" t="n">
        <f aca="false">IF(OR($D1931="",$J1931&lt;&gt;"Own"),0,IFERROR((F1931+G1931*Settings!$B$13)*INDEX(Workers!$V$5:$V$2004,MATCH($D1931,Workers!$A$5:$A$2004,0)),0))</f>
        <v>0</v>
      </c>
      <c r="T1931" s="26" t="str">
        <f aca="false">IF($D1931="","",O1931-R1931-S1931)</f>
        <v/>
      </c>
    </row>
    <row r="1932" customFormat="false" ht="15" hidden="false" customHeight="false" outlineLevel="0" collapsed="false">
      <c r="I1932" s="24" t="str">
        <f aca="false">IF($D1932="","",IFERROR(INDEX(Workers!$B$5:$B$2004,MATCH($D1932,Workers!$A$5:$A$2004,0)),"NOT FOUND"))</f>
        <v/>
      </c>
      <c r="J1932" s="24" t="str">
        <f aca="false">IF($D1932="","",IFERROR(INDEX(Workers!$C$5:$C$2004,MATCH($D1932,Workers!$A$5:$A$2004,0)),""))</f>
        <v/>
      </c>
      <c r="K1932" s="24" t="str">
        <f aca="false">IF($D1932="","",IFERROR(IF(INDEX(Workers!$D$5:$D$2004,MATCH($D1932,Workers!$A$5:$A$2004,0))=0,"",INDEX(Workers!$D$5:$D$2004,MATCH($D1932,Workers!$A$5:$A$2004,0))),""))</f>
        <v/>
      </c>
      <c r="L1932" s="24" t="str">
        <f aca="false">IF($D1932="","",IFERROR(INDEX(Workers!$E$5:$E$2004,MATCH($D1932,Workers!$A$5:$A$2004,0)),""))</f>
        <v/>
      </c>
      <c r="M1932" s="26" t="str">
        <f aca="false">IF($D1932="","",IFERROR(INDEX(ClientRates!$D$5:$D$500,MATCH($B1932&amp;"|"&amp;$L1932,ClientRates!$A$5:$A$500,0)),0))</f>
        <v/>
      </c>
      <c r="N1932" s="26" t="str">
        <f aca="false">IF($D1932="","",IFERROR(INDEX(ClientRates!$E$5:$E$500,MATCH($B1932&amp;"|"&amp;$L1932,ClientRates!$A$5:$A$500,0)),0))</f>
        <v/>
      </c>
      <c r="O1932" s="26" t="str">
        <f aca="false">IF($D1932="","",F1932*M1932+G1932*N1932)</f>
        <v/>
      </c>
      <c r="P1932" s="26" t="str">
        <f aca="false">IF(OR($D1932="",$J1932&lt;&gt;"Supplier"),"",IFERROR(INDEX(SupplierRates!$D$5:$D$500,MATCH($K1932&amp;"|"&amp;$L1932,SupplierRates!$A$5:$A$500,0)),0))</f>
        <v/>
      </c>
      <c r="Q1932" s="26" t="str">
        <f aca="false">IF(OR($D1932="",$J1932&lt;&gt;"Supplier"),"",IFERROR(INDEX(SupplierRates!$E$5:$E$500,MATCH($K1932&amp;"|"&amp;$L1932,SupplierRates!$A$5:$A$500,0)),0))</f>
        <v/>
      </c>
      <c r="R1932" s="26" t="n">
        <f aca="false">IF(OR($D1932="",$J1932&lt;&gt;"Supplier"),0,F1932*P1932+G1932*Q1932)</f>
        <v>0</v>
      </c>
      <c r="S1932" s="26" t="n">
        <f aca="false">IF(OR($D1932="",$J1932&lt;&gt;"Own"),0,IFERROR((F1932+G1932*Settings!$B$13)*INDEX(Workers!$V$5:$V$2004,MATCH($D1932,Workers!$A$5:$A$2004,0)),0))</f>
        <v>0</v>
      </c>
      <c r="T1932" s="26" t="str">
        <f aca="false">IF($D1932="","",O1932-R1932-S1932)</f>
        <v/>
      </c>
    </row>
    <row r="1933" customFormat="false" ht="15" hidden="false" customHeight="false" outlineLevel="0" collapsed="false">
      <c r="I1933" s="24" t="str">
        <f aca="false">IF($D1933="","",IFERROR(INDEX(Workers!$B$5:$B$2004,MATCH($D1933,Workers!$A$5:$A$2004,0)),"NOT FOUND"))</f>
        <v/>
      </c>
      <c r="J1933" s="24" t="str">
        <f aca="false">IF($D1933="","",IFERROR(INDEX(Workers!$C$5:$C$2004,MATCH($D1933,Workers!$A$5:$A$2004,0)),""))</f>
        <v/>
      </c>
      <c r="K1933" s="24" t="str">
        <f aca="false">IF($D1933="","",IFERROR(IF(INDEX(Workers!$D$5:$D$2004,MATCH($D1933,Workers!$A$5:$A$2004,0))=0,"",INDEX(Workers!$D$5:$D$2004,MATCH($D1933,Workers!$A$5:$A$2004,0))),""))</f>
        <v/>
      </c>
      <c r="L1933" s="24" t="str">
        <f aca="false">IF($D1933="","",IFERROR(INDEX(Workers!$E$5:$E$2004,MATCH($D1933,Workers!$A$5:$A$2004,0)),""))</f>
        <v/>
      </c>
      <c r="M1933" s="26" t="str">
        <f aca="false">IF($D1933="","",IFERROR(INDEX(ClientRates!$D$5:$D$500,MATCH($B1933&amp;"|"&amp;$L1933,ClientRates!$A$5:$A$500,0)),0))</f>
        <v/>
      </c>
      <c r="N1933" s="26" t="str">
        <f aca="false">IF($D1933="","",IFERROR(INDEX(ClientRates!$E$5:$E$500,MATCH($B1933&amp;"|"&amp;$L1933,ClientRates!$A$5:$A$500,0)),0))</f>
        <v/>
      </c>
      <c r="O1933" s="26" t="str">
        <f aca="false">IF($D1933="","",F1933*M1933+G1933*N1933)</f>
        <v/>
      </c>
      <c r="P1933" s="26" t="str">
        <f aca="false">IF(OR($D1933="",$J1933&lt;&gt;"Supplier"),"",IFERROR(INDEX(SupplierRates!$D$5:$D$500,MATCH($K1933&amp;"|"&amp;$L1933,SupplierRates!$A$5:$A$500,0)),0))</f>
        <v/>
      </c>
      <c r="Q1933" s="26" t="str">
        <f aca="false">IF(OR($D1933="",$J1933&lt;&gt;"Supplier"),"",IFERROR(INDEX(SupplierRates!$E$5:$E$500,MATCH($K1933&amp;"|"&amp;$L1933,SupplierRates!$A$5:$A$500,0)),0))</f>
        <v/>
      </c>
      <c r="R1933" s="26" t="n">
        <f aca="false">IF(OR($D1933="",$J1933&lt;&gt;"Supplier"),0,F1933*P1933+G1933*Q1933)</f>
        <v>0</v>
      </c>
      <c r="S1933" s="26" t="n">
        <f aca="false">IF(OR($D1933="",$J1933&lt;&gt;"Own"),0,IFERROR((F1933+G1933*Settings!$B$13)*INDEX(Workers!$V$5:$V$2004,MATCH($D1933,Workers!$A$5:$A$2004,0)),0))</f>
        <v>0</v>
      </c>
      <c r="T1933" s="26" t="str">
        <f aca="false">IF($D1933="","",O1933-R1933-S1933)</f>
        <v/>
      </c>
    </row>
    <row r="1934" customFormat="false" ht="15" hidden="false" customHeight="false" outlineLevel="0" collapsed="false">
      <c r="I1934" s="24" t="str">
        <f aca="false">IF($D1934="","",IFERROR(INDEX(Workers!$B$5:$B$2004,MATCH($D1934,Workers!$A$5:$A$2004,0)),"NOT FOUND"))</f>
        <v/>
      </c>
      <c r="J1934" s="24" t="str">
        <f aca="false">IF($D1934="","",IFERROR(INDEX(Workers!$C$5:$C$2004,MATCH($D1934,Workers!$A$5:$A$2004,0)),""))</f>
        <v/>
      </c>
      <c r="K1934" s="24" t="str">
        <f aca="false">IF($D1934="","",IFERROR(IF(INDEX(Workers!$D$5:$D$2004,MATCH($D1934,Workers!$A$5:$A$2004,0))=0,"",INDEX(Workers!$D$5:$D$2004,MATCH($D1934,Workers!$A$5:$A$2004,0))),""))</f>
        <v/>
      </c>
      <c r="L1934" s="24" t="str">
        <f aca="false">IF($D1934="","",IFERROR(INDEX(Workers!$E$5:$E$2004,MATCH($D1934,Workers!$A$5:$A$2004,0)),""))</f>
        <v/>
      </c>
      <c r="M1934" s="26" t="str">
        <f aca="false">IF($D1934="","",IFERROR(INDEX(ClientRates!$D$5:$D$500,MATCH($B1934&amp;"|"&amp;$L1934,ClientRates!$A$5:$A$500,0)),0))</f>
        <v/>
      </c>
      <c r="N1934" s="26" t="str">
        <f aca="false">IF($D1934="","",IFERROR(INDEX(ClientRates!$E$5:$E$500,MATCH($B1934&amp;"|"&amp;$L1934,ClientRates!$A$5:$A$500,0)),0))</f>
        <v/>
      </c>
      <c r="O1934" s="26" t="str">
        <f aca="false">IF($D1934="","",F1934*M1934+G1934*N1934)</f>
        <v/>
      </c>
      <c r="P1934" s="26" t="str">
        <f aca="false">IF(OR($D1934="",$J1934&lt;&gt;"Supplier"),"",IFERROR(INDEX(SupplierRates!$D$5:$D$500,MATCH($K1934&amp;"|"&amp;$L1934,SupplierRates!$A$5:$A$500,0)),0))</f>
        <v/>
      </c>
      <c r="Q1934" s="26" t="str">
        <f aca="false">IF(OR($D1934="",$J1934&lt;&gt;"Supplier"),"",IFERROR(INDEX(SupplierRates!$E$5:$E$500,MATCH($K1934&amp;"|"&amp;$L1934,SupplierRates!$A$5:$A$500,0)),0))</f>
        <v/>
      </c>
      <c r="R1934" s="26" t="n">
        <f aca="false">IF(OR($D1934="",$J1934&lt;&gt;"Supplier"),0,F1934*P1934+G1934*Q1934)</f>
        <v>0</v>
      </c>
      <c r="S1934" s="26" t="n">
        <f aca="false">IF(OR($D1934="",$J1934&lt;&gt;"Own"),0,IFERROR((F1934+G1934*Settings!$B$13)*INDEX(Workers!$V$5:$V$2004,MATCH($D1934,Workers!$A$5:$A$2004,0)),0))</f>
        <v>0</v>
      </c>
      <c r="T1934" s="26" t="str">
        <f aca="false">IF($D1934="","",O1934-R1934-S1934)</f>
        <v/>
      </c>
    </row>
    <row r="1935" customFormat="false" ht="15" hidden="false" customHeight="false" outlineLevel="0" collapsed="false">
      <c r="I1935" s="24" t="str">
        <f aca="false">IF($D1935="","",IFERROR(INDEX(Workers!$B$5:$B$2004,MATCH($D1935,Workers!$A$5:$A$2004,0)),"NOT FOUND"))</f>
        <v/>
      </c>
      <c r="J1935" s="24" t="str">
        <f aca="false">IF($D1935="","",IFERROR(INDEX(Workers!$C$5:$C$2004,MATCH($D1935,Workers!$A$5:$A$2004,0)),""))</f>
        <v/>
      </c>
      <c r="K1935" s="24" t="str">
        <f aca="false">IF($D1935="","",IFERROR(IF(INDEX(Workers!$D$5:$D$2004,MATCH($D1935,Workers!$A$5:$A$2004,0))=0,"",INDEX(Workers!$D$5:$D$2004,MATCH($D1935,Workers!$A$5:$A$2004,0))),""))</f>
        <v/>
      </c>
      <c r="L1935" s="24" t="str">
        <f aca="false">IF($D1935="","",IFERROR(INDEX(Workers!$E$5:$E$2004,MATCH($D1935,Workers!$A$5:$A$2004,0)),""))</f>
        <v/>
      </c>
      <c r="M1935" s="26" t="str">
        <f aca="false">IF($D1935="","",IFERROR(INDEX(ClientRates!$D$5:$D$500,MATCH($B1935&amp;"|"&amp;$L1935,ClientRates!$A$5:$A$500,0)),0))</f>
        <v/>
      </c>
      <c r="N1935" s="26" t="str">
        <f aca="false">IF($D1935="","",IFERROR(INDEX(ClientRates!$E$5:$E$500,MATCH($B1935&amp;"|"&amp;$L1935,ClientRates!$A$5:$A$500,0)),0))</f>
        <v/>
      </c>
      <c r="O1935" s="26" t="str">
        <f aca="false">IF($D1935="","",F1935*M1935+G1935*N1935)</f>
        <v/>
      </c>
      <c r="P1935" s="26" t="str">
        <f aca="false">IF(OR($D1935="",$J1935&lt;&gt;"Supplier"),"",IFERROR(INDEX(SupplierRates!$D$5:$D$500,MATCH($K1935&amp;"|"&amp;$L1935,SupplierRates!$A$5:$A$500,0)),0))</f>
        <v/>
      </c>
      <c r="Q1935" s="26" t="str">
        <f aca="false">IF(OR($D1935="",$J1935&lt;&gt;"Supplier"),"",IFERROR(INDEX(SupplierRates!$E$5:$E$500,MATCH($K1935&amp;"|"&amp;$L1935,SupplierRates!$A$5:$A$500,0)),0))</f>
        <v/>
      </c>
      <c r="R1935" s="26" t="n">
        <f aca="false">IF(OR($D1935="",$J1935&lt;&gt;"Supplier"),0,F1935*P1935+G1935*Q1935)</f>
        <v>0</v>
      </c>
      <c r="S1935" s="26" t="n">
        <f aca="false">IF(OR($D1935="",$J1935&lt;&gt;"Own"),0,IFERROR((F1935+G1935*Settings!$B$13)*INDEX(Workers!$V$5:$V$2004,MATCH($D1935,Workers!$A$5:$A$2004,0)),0))</f>
        <v>0</v>
      </c>
      <c r="T1935" s="26" t="str">
        <f aca="false">IF($D1935="","",O1935-R1935-S1935)</f>
        <v/>
      </c>
    </row>
    <row r="1936" customFormat="false" ht="15" hidden="false" customHeight="false" outlineLevel="0" collapsed="false">
      <c r="I1936" s="24" t="str">
        <f aca="false">IF($D1936="","",IFERROR(INDEX(Workers!$B$5:$B$2004,MATCH($D1936,Workers!$A$5:$A$2004,0)),"NOT FOUND"))</f>
        <v/>
      </c>
      <c r="J1936" s="24" t="str">
        <f aca="false">IF($D1936="","",IFERROR(INDEX(Workers!$C$5:$C$2004,MATCH($D1936,Workers!$A$5:$A$2004,0)),""))</f>
        <v/>
      </c>
      <c r="K1936" s="24" t="str">
        <f aca="false">IF($D1936="","",IFERROR(IF(INDEX(Workers!$D$5:$D$2004,MATCH($D1936,Workers!$A$5:$A$2004,0))=0,"",INDEX(Workers!$D$5:$D$2004,MATCH($D1936,Workers!$A$5:$A$2004,0))),""))</f>
        <v/>
      </c>
      <c r="L1936" s="24" t="str">
        <f aca="false">IF($D1936="","",IFERROR(INDEX(Workers!$E$5:$E$2004,MATCH($D1936,Workers!$A$5:$A$2004,0)),""))</f>
        <v/>
      </c>
      <c r="M1936" s="26" t="str">
        <f aca="false">IF($D1936="","",IFERROR(INDEX(ClientRates!$D$5:$D$500,MATCH($B1936&amp;"|"&amp;$L1936,ClientRates!$A$5:$A$500,0)),0))</f>
        <v/>
      </c>
      <c r="N1936" s="26" t="str">
        <f aca="false">IF($D1936="","",IFERROR(INDEX(ClientRates!$E$5:$E$500,MATCH($B1936&amp;"|"&amp;$L1936,ClientRates!$A$5:$A$500,0)),0))</f>
        <v/>
      </c>
      <c r="O1936" s="26" t="str">
        <f aca="false">IF($D1936="","",F1936*M1936+G1936*N1936)</f>
        <v/>
      </c>
      <c r="P1936" s="26" t="str">
        <f aca="false">IF(OR($D1936="",$J1936&lt;&gt;"Supplier"),"",IFERROR(INDEX(SupplierRates!$D$5:$D$500,MATCH($K1936&amp;"|"&amp;$L1936,SupplierRates!$A$5:$A$500,0)),0))</f>
        <v/>
      </c>
      <c r="Q1936" s="26" t="str">
        <f aca="false">IF(OR($D1936="",$J1936&lt;&gt;"Supplier"),"",IFERROR(INDEX(SupplierRates!$E$5:$E$500,MATCH($K1936&amp;"|"&amp;$L1936,SupplierRates!$A$5:$A$500,0)),0))</f>
        <v/>
      </c>
      <c r="R1936" s="26" t="n">
        <f aca="false">IF(OR($D1936="",$J1936&lt;&gt;"Supplier"),0,F1936*P1936+G1936*Q1936)</f>
        <v>0</v>
      </c>
      <c r="S1936" s="26" t="n">
        <f aca="false">IF(OR($D1936="",$J1936&lt;&gt;"Own"),0,IFERROR((F1936+G1936*Settings!$B$13)*INDEX(Workers!$V$5:$V$2004,MATCH($D1936,Workers!$A$5:$A$2004,0)),0))</f>
        <v>0</v>
      </c>
      <c r="T1936" s="26" t="str">
        <f aca="false">IF($D1936="","",O1936-R1936-S1936)</f>
        <v/>
      </c>
    </row>
    <row r="1937" customFormat="false" ht="15" hidden="false" customHeight="false" outlineLevel="0" collapsed="false">
      <c r="I1937" s="24" t="str">
        <f aca="false">IF($D1937="","",IFERROR(INDEX(Workers!$B$5:$B$2004,MATCH($D1937,Workers!$A$5:$A$2004,0)),"NOT FOUND"))</f>
        <v/>
      </c>
      <c r="J1937" s="24" t="str">
        <f aca="false">IF($D1937="","",IFERROR(INDEX(Workers!$C$5:$C$2004,MATCH($D1937,Workers!$A$5:$A$2004,0)),""))</f>
        <v/>
      </c>
      <c r="K1937" s="24" t="str">
        <f aca="false">IF($D1937="","",IFERROR(IF(INDEX(Workers!$D$5:$D$2004,MATCH($D1937,Workers!$A$5:$A$2004,0))=0,"",INDEX(Workers!$D$5:$D$2004,MATCH($D1937,Workers!$A$5:$A$2004,0))),""))</f>
        <v/>
      </c>
      <c r="L1937" s="24" t="str">
        <f aca="false">IF($D1937="","",IFERROR(INDEX(Workers!$E$5:$E$2004,MATCH($D1937,Workers!$A$5:$A$2004,0)),""))</f>
        <v/>
      </c>
      <c r="M1937" s="26" t="str">
        <f aca="false">IF($D1937="","",IFERROR(INDEX(ClientRates!$D$5:$D$500,MATCH($B1937&amp;"|"&amp;$L1937,ClientRates!$A$5:$A$500,0)),0))</f>
        <v/>
      </c>
      <c r="N1937" s="26" t="str">
        <f aca="false">IF($D1937="","",IFERROR(INDEX(ClientRates!$E$5:$E$500,MATCH($B1937&amp;"|"&amp;$L1937,ClientRates!$A$5:$A$500,0)),0))</f>
        <v/>
      </c>
      <c r="O1937" s="26" t="str">
        <f aca="false">IF($D1937="","",F1937*M1937+G1937*N1937)</f>
        <v/>
      </c>
      <c r="P1937" s="26" t="str">
        <f aca="false">IF(OR($D1937="",$J1937&lt;&gt;"Supplier"),"",IFERROR(INDEX(SupplierRates!$D$5:$D$500,MATCH($K1937&amp;"|"&amp;$L1937,SupplierRates!$A$5:$A$500,0)),0))</f>
        <v/>
      </c>
      <c r="Q1937" s="26" t="str">
        <f aca="false">IF(OR($D1937="",$J1937&lt;&gt;"Supplier"),"",IFERROR(INDEX(SupplierRates!$E$5:$E$500,MATCH($K1937&amp;"|"&amp;$L1937,SupplierRates!$A$5:$A$500,0)),0))</f>
        <v/>
      </c>
      <c r="R1937" s="26" t="n">
        <f aca="false">IF(OR($D1937="",$J1937&lt;&gt;"Supplier"),0,F1937*P1937+G1937*Q1937)</f>
        <v>0</v>
      </c>
      <c r="S1937" s="26" t="n">
        <f aca="false">IF(OR($D1937="",$J1937&lt;&gt;"Own"),0,IFERROR((F1937+G1937*Settings!$B$13)*INDEX(Workers!$V$5:$V$2004,MATCH($D1937,Workers!$A$5:$A$2004,0)),0))</f>
        <v>0</v>
      </c>
      <c r="T1937" s="26" t="str">
        <f aca="false">IF($D1937="","",O1937-R1937-S1937)</f>
        <v/>
      </c>
    </row>
    <row r="1938" customFormat="false" ht="15" hidden="false" customHeight="false" outlineLevel="0" collapsed="false">
      <c r="I1938" s="24" t="str">
        <f aca="false">IF($D1938="","",IFERROR(INDEX(Workers!$B$5:$B$2004,MATCH($D1938,Workers!$A$5:$A$2004,0)),"NOT FOUND"))</f>
        <v/>
      </c>
      <c r="J1938" s="24" t="str">
        <f aca="false">IF($D1938="","",IFERROR(INDEX(Workers!$C$5:$C$2004,MATCH($D1938,Workers!$A$5:$A$2004,0)),""))</f>
        <v/>
      </c>
      <c r="K1938" s="24" t="str">
        <f aca="false">IF($D1938="","",IFERROR(IF(INDEX(Workers!$D$5:$D$2004,MATCH($D1938,Workers!$A$5:$A$2004,0))=0,"",INDEX(Workers!$D$5:$D$2004,MATCH($D1938,Workers!$A$5:$A$2004,0))),""))</f>
        <v/>
      </c>
      <c r="L1938" s="24" t="str">
        <f aca="false">IF($D1938="","",IFERROR(INDEX(Workers!$E$5:$E$2004,MATCH($D1938,Workers!$A$5:$A$2004,0)),""))</f>
        <v/>
      </c>
      <c r="M1938" s="26" t="str">
        <f aca="false">IF($D1938="","",IFERROR(INDEX(ClientRates!$D$5:$D$500,MATCH($B1938&amp;"|"&amp;$L1938,ClientRates!$A$5:$A$500,0)),0))</f>
        <v/>
      </c>
      <c r="N1938" s="26" t="str">
        <f aca="false">IF($D1938="","",IFERROR(INDEX(ClientRates!$E$5:$E$500,MATCH($B1938&amp;"|"&amp;$L1938,ClientRates!$A$5:$A$500,0)),0))</f>
        <v/>
      </c>
      <c r="O1938" s="26" t="str">
        <f aca="false">IF($D1938="","",F1938*M1938+G1938*N1938)</f>
        <v/>
      </c>
      <c r="P1938" s="26" t="str">
        <f aca="false">IF(OR($D1938="",$J1938&lt;&gt;"Supplier"),"",IFERROR(INDEX(SupplierRates!$D$5:$D$500,MATCH($K1938&amp;"|"&amp;$L1938,SupplierRates!$A$5:$A$500,0)),0))</f>
        <v/>
      </c>
      <c r="Q1938" s="26" t="str">
        <f aca="false">IF(OR($D1938="",$J1938&lt;&gt;"Supplier"),"",IFERROR(INDEX(SupplierRates!$E$5:$E$500,MATCH($K1938&amp;"|"&amp;$L1938,SupplierRates!$A$5:$A$500,0)),0))</f>
        <v/>
      </c>
      <c r="R1938" s="26" t="n">
        <f aca="false">IF(OR($D1938="",$J1938&lt;&gt;"Supplier"),0,F1938*P1938+G1938*Q1938)</f>
        <v>0</v>
      </c>
      <c r="S1938" s="26" t="n">
        <f aca="false">IF(OR($D1938="",$J1938&lt;&gt;"Own"),0,IFERROR((F1938+G1938*Settings!$B$13)*INDEX(Workers!$V$5:$V$2004,MATCH($D1938,Workers!$A$5:$A$2004,0)),0))</f>
        <v>0</v>
      </c>
      <c r="T1938" s="26" t="str">
        <f aca="false">IF($D1938="","",O1938-R1938-S1938)</f>
        <v/>
      </c>
    </row>
    <row r="1939" customFormat="false" ht="15" hidden="false" customHeight="false" outlineLevel="0" collapsed="false">
      <c r="I1939" s="24" t="str">
        <f aca="false">IF($D1939="","",IFERROR(INDEX(Workers!$B$5:$B$2004,MATCH($D1939,Workers!$A$5:$A$2004,0)),"NOT FOUND"))</f>
        <v/>
      </c>
      <c r="J1939" s="24" t="str">
        <f aca="false">IF($D1939="","",IFERROR(INDEX(Workers!$C$5:$C$2004,MATCH($D1939,Workers!$A$5:$A$2004,0)),""))</f>
        <v/>
      </c>
      <c r="K1939" s="24" t="str">
        <f aca="false">IF($D1939="","",IFERROR(IF(INDEX(Workers!$D$5:$D$2004,MATCH($D1939,Workers!$A$5:$A$2004,0))=0,"",INDEX(Workers!$D$5:$D$2004,MATCH($D1939,Workers!$A$5:$A$2004,0))),""))</f>
        <v/>
      </c>
      <c r="L1939" s="24" t="str">
        <f aca="false">IF($D1939="","",IFERROR(INDEX(Workers!$E$5:$E$2004,MATCH($D1939,Workers!$A$5:$A$2004,0)),""))</f>
        <v/>
      </c>
      <c r="M1939" s="26" t="str">
        <f aca="false">IF($D1939="","",IFERROR(INDEX(ClientRates!$D$5:$D$500,MATCH($B1939&amp;"|"&amp;$L1939,ClientRates!$A$5:$A$500,0)),0))</f>
        <v/>
      </c>
      <c r="N1939" s="26" t="str">
        <f aca="false">IF($D1939="","",IFERROR(INDEX(ClientRates!$E$5:$E$500,MATCH($B1939&amp;"|"&amp;$L1939,ClientRates!$A$5:$A$500,0)),0))</f>
        <v/>
      </c>
      <c r="O1939" s="26" t="str">
        <f aca="false">IF($D1939="","",F1939*M1939+G1939*N1939)</f>
        <v/>
      </c>
      <c r="P1939" s="26" t="str">
        <f aca="false">IF(OR($D1939="",$J1939&lt;&gt;"Supplier"),"",IFERROR(INDEX(SupplierRates!$D$5:$D$500,MATCH($K1939&amp;"|"&amp;$L1939,SupplierRates!$A$5:$A$500,0)),0))</f>
        <v/>
      </c>
      <c r="Q1939" s="26" t="str">
        <f aca="false">IF(OR($D1939="",$J1939&lt;&gt;"Supplier"),"",IFERROR(INDEX(SupplierRates!$E$5:$E$500,MATCH($K1939&amp;"|"&amp;$L1939,SupplierRates!$A$5:$A$500,0)),0))</f>
        <v/>
      </c>
      <c r="R1939" s="26" t="n">
        <f aca="false">IF(OR($D1939="",$J1939&lt;&gt;"Supplier"),0,F1939*P1939+G1939*Q1939)</f>
        <v>0</v>
      </c>
      <c r="S1939" s="26" t="n">
        <f aca="false">IF(OR($D1939="",$J1939&lt;&gt;"Own"),0,IFERROR((F1939+G1939*Settings!$B$13)*INDEX(Workers!$V$5:$V$2004,MATCH($D1939,Workers!$A$5:$A$2004,0)),0))</f>
        <v>0</v>
      </c>
      <c r="T1939" s="26" t="str">
        <f aca="false">IF($D1939="","",O1939-R1939-S1939)</f>
        <v/>
      </c>
    </row>
    <row r="1940" customFormat="false" ht="15" hidden="false" customHeight="false" outlineLevel="0" collapsed="false">
      <c r="I1940" s="24" t="str">
        <f aca="false">IF($D1940="","",IFERROR(INDEX(Workers!$B$5:$B$2004,MATCH($D1940,Workers!$A$5:$A$2004,0)),"NOT FOUND"))</f>
        <v/>
      </c>
      <c r="J1940" s="24" t="str">
        <f aca="false">IF($D1940="","",IFERROR(INDEX(Workers!$C$5:$C$2004,MATCH($D1940,Workers!$A$5:$A$2004,0)),""))</f>
        <v/>
      </c>
      <c r="K1940" s="24" t="str">
        <f aca="false">IF($D1940="","",IFERROR(IF(INDEX(Workers!$D$5:$D$2004,MATCH($D1940,Workers!$A$5:$A$2004,0))=0,"",INDEX(Workers!$D$5:$D$2004,MATCH($D1940,Workers!$A$5:$A$2004,0))),""))</f>
        <v/>
      </c>
      <c r="L1940" s="24" t="str">
        <f aca="false">IF($D1940="","",IFERROR(INDEX(Workers!$E$5:$E$2004,MATCH($D1940,Workers!$A$5:$A$2004,0)),""))</f>
        <v/>
      </c>
      <c r="M1940" s="26" t="str">
        <f aca="false">IF($D1940="","",IFERROR(INDEX(ClientRates!$D$5:$D$500,MATCH($B1940&amp;"|"&amp;$L1940,ClientRates!$A$5:$A$500,0)),0))</f>
        <v/>
      </c>
      <c r="N1940" s="26" t="str">
        <f aca="false">IF($D1940="","",IFERROR(INDEX(ClientRates!$E$5:$E$500,MATCH($B1940&amp;"|"&amp;$L1940,ClientRates!$A$5:$A$500,0)),0))</f>
        <v/>
      </c>
      <c r="O1940" s="26" t="str">
        <f aca="false">IF($D1940="","",F1940*M1940+G1940*N1940)</f>
        <v/>
      </c>
      <c r="P1940" s="26" t="str">
        <f aca="false">IF(OR($D1940="",$J1940&lt;&gt;"Supplier"),"",IFERROR(INDEX(SupplierRates!$D$5:$D$500,MATCH($K1940&amp;"|"&amp;$L1940,SupplierRates!$A$5:$A$500,0)),0))</f>
        <v/>
      </c>
      <c r="Q1940" s="26" t="str">
        <f aca="false">IF(OR($D1940="",$J1940&lt;&gt;"Supplier"),"",IFERROR(INDEX(SupplierRates!$E$5:$E$500,MATCH($K1940&amp;"|"&amp;$L1940,SupplierRates!$A$5:$A$500,0)),0))</f>
        <v/>
      </c>
      <c r="R1940" s="26" t="n">
        <f aca="false">IF(OR($D1940="",$J1940&lt;&gt;"Supplier"),0,F1940*P1940+G1940*Q1940)</f>
        <v>0</v>
      </c>
      <c r="S1940" s="26" t="n">
        <f aca="false">IF(OR($D1940="",$J1940&lt;&gt;"Own"),0,IFERROR((F1940+G1940*Settings!$B$13)*INDEX(Workers!$V$5:$V$2004,MATCH($D1940,Workers!$A$5:$A$2004,0)),0))</f>
        <v>0</v>
      </c>
      <c r="T1940" s="26" t="str">
        <f aca="false">IF($D1940="","",O1940-R1940-S1940)</f>
        <v/>
      </c>
    </row>
    <row r="1941" customFormat="false" ht="15" hidden="false" customHeight="false" outlineLevel="0" collapsed="false">
      <c r="I1941" s="24" t="str">
        <f aca="false">IF($D1941="","",IFERROR(INDEX(Workers!$B$5:$B$2004,MATCH($D1941,Workers!$A$5:$A$2004,0)),"NOT FOUND"))</f>
        <v/>
      </c>
      <c r="J1941" s="24" t="str">
        <f aca="false">IF($D1941="","",IFERROR(INDEX(Workers!$C$5:$C$2004,MATCH($D1941,Workers!$A$5:$A$2004,0)),""))</f>
        <v/>
      </c>
      <c r="K1941" s="24" t="str">
        <f aca="false">IF($D1941="","",IFERROR(IF(INDEX(Workers!$D$5:$D$2004,MATCH($D1941,Workers!$A$5:$A$2004,0))=0,"",INDEX(Workers!$D$5:$D$2004,MATCH($D1941,Workers!$A$5:$A$2004,0))),""))</f>
        <v/>
      </c>
      <c r="L1941" s="24" t="str">
        <f aca="false">IF($D1941="","",IFERROR(INDEX(Workers!$E$5:$E$2004,MATCH($D1941,Workers!$A$5:$A$2004,0)),""))</f>
        <v/>
      </c>
      <c r="M1941" s="26" t="str">
        <f aca="false">IF($D1941="","",IFERROR(INDEX(ClientRates!$D$5:$D$500,MATCH($B1941&amp;"|"&amp;$L1941,ClientRates!$A$5:$A$500,0)),0))</f>
        <v/>
      </c>
      <c r="N1941" s="26" t="str">
        <f aca="false">IF($D1941="","",IFERROR(INDEX(ClientRates!$E$5:$E$500,MATCH($B1941&amp;"|"&amp;$L1941,ClientRates!$A$5:$A$500,0)),0))</f>
        <v/>
      </c>
      <c r="O1941" s="26" t="str">
        <f aca="false">IF($D1941="","",F1941*M1941+G1941*N1941)</f>
        <v/>
      </c>
      <c r="P1941" s="26" t="str">
        <f aca="false">IF(OR($D1941="",$J1941&lt;&gt;"Supplier"),"",IFERROR(INDEX(SupplierRates!$D$5:$D$500,MATCH($K1941&amp;"|"&amp;$L1941,SupplierRates!$A$5:$A$500,0)),0))</f>
        <v/>
      </c>
      <c r="Q1941" s="26" t="str">
        <f aca="false">IF(OR($D1941="",$J1941&lt;&gt;"Supplier"),"",IFERROR(INDEX(SupplierRates!$E$5:$E$500,MATCH($K1941&amp;"|"&amp;$L1941,SupplierRates!$A$5:$A$500,0)),0))</f>
        <v/>
      </c>
      <c r="R1941" s="26" t="n">
        <f aca="false">IF(OR($D1941="",$J1941&lt;&gt;"Supplier"),0,F1941*P1941+G1941*Q1941)</f>
        <v>0</v>
      </c>
      <c r="S1941" s="26" t="n">
        <f aca="false">IF(OR($D1941="",$J1941&lt;&gt;"Own"),0,IFERROR((F1941+G1941*Settings!$B$13)*INDEX(Workers!$V$5:$V$2004,MATCH($D1941,Workers!$A$5:$A$2004,0)),0))</f>
        <v>0</v>
      </c>
      <c r="T1941" s="26" t="str">
        <f aca="false">IF($D1941="","",O1941-R1941-S1941)</f>
        <v/>
      </c>
    </row>
    <row r="1942" customFormat="false" ht="15" hidden="false" customHeight="false" outlineLevel="0" collapsed="false">
      <c r="I1942" s="24" t="str">
        <f aca="false">IF($D1942="","",IFERROR(INDEX(Workers!$B$5:$B$2004,MATCH($D1942,Workers!$A$5:$A$2004,0)),"NOT FOUND"))</f>
        <v/>
      </c>
      <c r="J1942" s="24" t="str">
        <f aca="false">IF($D1942="","",IFERROR(INDEX(Workers!$C$5:$C$2004,MATCH($D1942,Workers!$A$5:$A$2004,0)),""))</f>
        <v/>
      </c>
      <c r="K1942" s="24" t="str">
        <f aca="false">IF($D1942="","",IFERROR(IF(INDEX(Workers!$D$5:$D$2004,MATCH($D1942,Workers!$A$5:$A$2004,0))=0,"",INDEX(Workers!$D$5:$D$2004,MATCH($D1942,Workers!$A$5:$A$2004,0))),""))</f>
        <v/>
      </c>
      <c r="L1942" s="24" t="str">
        <f aca="false">IF($D1942="","",IFERROR(INDEX(Workers!$E$5:$E$2004,MATCH($D1942,Workers!$A$5:$A$2004,0)),""))</f>
        <v/>
      </c>
      <c r="M1942" s="26" t="str">
        <f aca="false">IF($D1942="","",IFERROR(INDEX(ClientRates!$D$5:$D$500,MATCH($B1942&amp;"|"&amp;$L1942,ClientRates!$A$5:$A$500,0)),0))</f>
        <v/>
      </c>
      <c r="N1942" s="26" t="str">
        <f aca="false">IF($D1942="","",IFERROR(INDEX(ClientRates!$E$5:$E$500,MATCH($B1942&amp;"|"&amp;$L1942,ClientRates!$A$5:$A$500,0)),0))</f>
        <v/>
      </c>
      <c r="O1942" s="26" t="str">
        <f aca="false">IF($D1942="","",F1942*M1942+G1942*N1942)</f>
        <v/>
      </c>
      <c r="P1942" s="26" t="str">
        <f aca="false">IF(OR($D1942="",$J1942&lt;&gt;"Supplier"),"",IFERROR(INDEX(SupplierRates!$D$5:$D$500,MATCH($K1942&amp;"|"&amp;$L1942,SupplierRates!$A$5:$A$500,0)),0))</f>
        <v/>
      </c>
      <c r="Q1942" s="26" t="str">
        <f aca="false">IF(OR($D1942="",$J1942&lt;&gt;"Supplier"),"",IFERROR(INDEX(SupplierRates!$E$5:$E$500,MATCH($K1942&amp;"|"&amp;$L1942,SupplierRates!$A$5:$A$500,0)),0))</f>
        <v/>
      </c>
      <c r="R1942" s="26" t="n">
        <f aca="false">IF(OR($D1942="",$J1942&lt;&gt;"Supplier"),0,F1942*P1942+G1942*Q1942)</f>
        <v>0</v>
      </c>
      <c r="S1942" s="26" t="n">
        <f aca="false">IF(OR($D1942="",$J1942&lt;&gt;"Own"),0,IFERROR((F1942+G1942*Settings!$B$13)*INDEX(Workers!$V$5:$V$2004,MATCH($D1942,Workers!$A$5:$A$2004,0)),0))</f>
        <v>0</v>
      </c>
      <c r="T1942" s="26" t="str">
        <f aca="false">IF($D1942="","",O1942-R1942-S1942)</f>
        <v/>
      </c>
    </row>
    <row r="1943" customFormat="false" ht="15" hidden="false" customHeight="false" outlineLevel="0" collapsed="false">
      <c r="I1943" s="24" t="str">
        <f aca="false">IF($D1943="","",IFERROR(INDEX(Workers!$B$5:$B$2004,MATCH($D1943,Workers!$A$5:$A$2004,0)),"NOT FOUND"))</f>
        <v/>
      </c>
      <c r="J1943" s="24" t="str">
        <f aca="false">IF($D1943="","",IFERROR(INDEX(Workers!$C$5:$C$2004,MATCH($D1943,Workers!$A$5:$A$2004,0)),""))</f>
        <v/>
      </c>
      <c r="K1943" s="24" t="str">
        <f aca="false">IF($D1943="","",IFERROR(IF(INDEX(Workers!$D$5:$D$2004,MATCH($D1943,Workers!$A$5:$A$2004,0))=0,"",INDEX(Workers!$D$5:$D$2004,MATCH($D1943,Workers!$A$5:$A$2004,0))),""))</f>
        <v/>
      </c>
      <c r="L1943" s="24" t="str">
        <f aca="false">IF($D1943="","",IFERROR(INDEX(Workers!$E$5:$E$2004,MATCH($D1943,Workers!$A$5:$A$2004,0)),""))</f>
        <v/>
      </c>
      <c r="M1943" s="26" t="str">
        <f aca="false">IF($D1943="","",IFERROR(INDEX(ClientRates!$D$5:$D$500,MATCH($B1943&amp;"|"&amp;$L1943,ClientRates!$A$5:$A$500,0)),0))</f>
        <v/>
      </c>
      <c r="N1943" s="26" t="str">
        <f aca="false">IF($D1943="","",IFERROR(INDEX(ClientRates!$E$5:$E$500,MATCH($B1943&amp;"|"&amp;$L1943,ClientRates!$A$5:$A$500,0)),0))</f>
        <v/>
      </c>
      <c r="O1943" s="26" t="str">
        <f aca="false">IF($D1943="","",F1943*M1943+G1943*N1943)</f>
        <v/>
      </c>
      <c r="P1943" s="26" t="str">
        <f aca="false">IF(OR($D1943="",$J1943&lt;&gt;"Supplier"),"",IFERROR(INDEX(SupplierRates!$D$5:$D$500,MATCH($K1943&amp;"|"&amp;$L1943,SupplierRates!$A$5:$A$500,0)),0))</f>
        <v/>
      </c>
      <c r="Q1943" s="26" t="str">
        <f aca="false">IF(OR($D1943="",$J1943&lt;&gt;"Supplier"),"",IFERROR(INDEX(SupplierRates!$E$5:$E$500,MATCH($K1943&amp;"|"&amp;$L1943,SupplierRates!$A$5:$A$500,0)),0))</f>
        <v/>
      </c>
      <c r="R1943" s="26" t="n">
        <f aca="false">IF(OR($D1943="",$J1943&lt;&gt;"Supplier"),0,F1943*P1943+G1943*Q1943)</f>
        <v>0</v>
      </c>
      <c r="S1943" s="26" t="n">
        <f aca="false">IF(OR($D1943="",$J1943&lt;&gt;"Own"),0,IFERROR((F1943+G1943*Settings!$B$13)*INDEX(Workers!$V$5:$V$2004,MATCH($D1943,Workers!$A$5:$A$2004,0)),0))</f>
        <v>0</v>
      </c>
      <c r="T1943" s="26" t="str">
        <f aca="false">IF($D1943="","",O1943-R1943-S1943)</f>
        <v/>
      </c>
    </row>
    <row r="1944" customFormat="false" ht="15" hidden="false" customHeight="false" outlineLevel="0" collapsed="false">
      <c r="I1944" s="24" t="str">
        <f aca="false">IF($D1944="","",IFERROR(INDEX(Workers!$B$5:$B$2004,MATCH($D1944,Workers!$A$5:$A$2004,0)),"NOT FOUND"))</f>
        <v/>
      </c>
      <c r="J1944" s="24" t="str">
        <f aca="false">IF($D1944="","",IFERROR(INDEX(Workers!$C$5:$C$2004,MATCH($D1944,Workers!$A$5:$A$2004,0)),""))</f>
        <v/>
      </c>
      <c r="K1944" s="24" t="str">
        <f aca="false">IF($D1944="","",IFERROR(IF(INDEX(Workers!$D$5:$D$2004,MATCH($D1944,Workers!$A$5:$A$2004,0))=0,"",INDEX(Workers!$D$5:$D$2004,MATCH($D1944,Workers!$A$5:$A$2004,0))),""))</f>
        <v/>
      </c>
      <c r="L1944" s="24" t="str">
        <f aca="false">IF($D1944="","",IFERROR(INDEX(Workers!$E$5:$E$2004,MATCH($D1944,Workers!$A$5:$A$2004,0)),""))</f>
        <v/>
      </c>
      <c r="M1944" s="26" t="str">
        <f aca="false">IF($D1944="","",IFERROR(INDEX(ClientRates!$D$5:$D$500,MATCH($B1944&amp;"|"&amp;$L1944,ClientRates!$A$5:$A$500,0)),0))</f>
        <v/>
      </c>
      <c r="N1944" s="26" t="str">
        <f aca="false">IF($D1944="","",IFERROR(INDEX(ClientRates!$E$5:$E$500,MATCH($B1944&amp;"|"&amp;$L1944,ClientRates!$A$5:$A$500,0)),0))</f>
        <v/>
      </c>
      <c r="O1944" s="26" t="str">
        <f aca="false">IF($D1944="","",F1944*M1944+G1944*N1944)</f>
        <v/>
      </c>
      <c r="P1944" s="26" t="str">
        <f aca="false">IF(OR($D1944="",$J1944&lt;&gt;"Supplier"),"",IFERROR(INDEX(SupplierRates!$D$5:$D$500,MATCH($K1944&amp;"|"&amp;$L1944,SupplierRates!$A$5:$A$500,0)),0))</f>
        <v/>
      </c>
      <c r="Q1944" s="26" t="str">
        <f aca="false">IF(OR($D1944="",$J1944&lt;&gt;"Supplier"),"",IFERROR(INDEX(SupplierRates!$E$5:$E$500,MATCH($K1944&amp;"|"&amp;$L1944,SupplierRates!$A$5:$A$500,0)),0))</f>
        <v/>
      </c>
      <c r="R1944" s="26" t="n">
        <f aca="false">IF(OR($D1944="",$J1944&lt;&gt;"Supplier"),0,F1944*P1944+G1944*Q1944)</f>
        <v>0</v>
      </c>
      <c r="S1944" s="26" t="n">
        <f aca="false">IF(OR($D1944="",$J1944&lt;&gt;"Own"),0,IFERROR((F1944+G1944*Settings!$B$13)*INDEX(Workers!$V$5:$V$2004,MATCH($D1944,Workers!$A$5:$A$2004,0)),0))</f>
        <v>0</v>
      </c>
      <c r="T1944" s="26" t="str">
        <f aca="false">IF($D1944="","",O1944-R1944-S1944)</f>
        <v/>
      </c>
    </row>
    <row r="1945" customFormat="false" ht="15" hidden="false" customHeight="false" outlineLevel="0" collapsed="false">
      <c r="I1945" s="24" t="str">
        <f aca="false">IF($D1945="","",IFERROR(INDEX(Workers!$B$5:$B$2004,MATCH($D1945,Workers!$A$5:$A$2004,0)),"NOT FOUND"))</f>
        <v/>
      </c>
      <c r="J1945" s="24" t="str">
        <f aca="false">IF($D1945="","",IFERROR(INDEX(Workers!$C$5:$C$2004,MATCH($D1945,Workers!$A$5:$A$2004,0)),""))</f>
        <v/>
      </c>
      <c r="K1945" s="24" t="str">
        <f aca="false">IF($D1945="","",IFERROR(IF(INDEX(Workers!$D$5:$D$2004,MATCH($D1945,Workers!$A$5:$A$2004,0))=0,"",INDEX(Workers!$D$5:$D$2004,MATCH($D1945,Workers!$A$5:$A$2004,0))),""))</f>
        <v/>
      </c>
      <c r="L1945" s="24" t="str">
        <f aca="false">IF($D1945="","",IFERROR(INDEX(Workers!$E$5:$E$2004,MATCH($D1945,Workers!$A$5:$A$2004,0)),""))</f>
        <v/>
      </c>
      <c r="M1945" s="26" t="str">
        <f aca="false">IF($D1945="","",IFERROR(INDEX(ClientRates!$D$5:$D$500,MATCH($B1945&amp;"|"&amp;$L1945,ClientRates!$A$5:$A$500,0)),0))</f>
        <v/>
      </c>
      <c r="N1945" s="26" t="str">
        <f aca="false">IF($D1945="","",IFERROR(INDEX(ClientRates!$E$5:$E$500,MATCH($B1945&amp;"|"&amp;$L1945,ClientRates!$A$5:$A$500,0)),0))</f>
        <v/>
      </c>
      <c r="O1945" s="26" t="str">
        <f aca="false">IF($D1945="","",F1945*M1945+G1945*N1945)</f>
        <v/>
      </c>
      <c r="P1945" s="26" t="str">
        <f aca="false">IF(OR($D1945="",$J1945&lt;&gt;"Supplier"),"",IFERROR(INDEX(SupplierRates!$D$5:$D$500,MATCH($K1945&amp;"|"&amp;$L1945,SupplierRates!$A$5:$A$500,0)),0))</f>
        <v/>
      </c>
      <c r="Q1945" s="26" t="str">
        <f aca="false">IF(OR($D1945="",$J1945&lt;&gt;"Supplier"),"",IFERROR(INDEX(SupplierRates!$E$5:$E$500,MATCH($K1945&amp;"|"&amp;$L1945,SupplierRates!$A$5:$A$500,0)),0))</f>
        <v/>
      </c>
      <c r="R1945" s="26" t="n">
        <f aca="false">IF(OR($D1945="",$J1945&lt;&gt;"Supplier"),0,F1945*P1945+G1945*Q1945)</f>
        <v>0</v>
      </c>
      <c r="S1945" s="26" t="n">
        <f aca="false">IF(OR($D1945="",$J1945&lt;&gt;"Own"),0,IFERROR((F1945+G1945*Settings!$B$13)*INDEX(Workers!$V$5:$V$2004,MATCH($D1945,Workers!$A$5:$A$2004,0)),0))</f>
        <v>0</v>
      </c>
      <c r="T1945" s="26" t="str">
        <f aca="false">IF($D1945="","",O1945-R1945-S1945)</f>
        <v/>
      </c>
    </row>
    <row r="1946" customFormat="false" ht="15" hidden="false" customHeight="false" outlineLevel="0" collapsed="false">
      <c r="I1946" s="24" t="str">
        <f aca="false">IF($D1946="","",IFERROR(INDEX(Workers!$B$5:$B$2004,MATCH($D1946,Workers!$A$5:$A$2004,0)),"NOT FOUND"))</f>
        <v/>
      </c>
      <c r="J1946" s="24" t="str">
        <f aca="false">IF($D1946="","",IFERROR(INDEX(Workers!$C$5:$C$2004,MATCH($D1946,Workers!$A$5:$A$2004,0)),""))</f>
        <v/>
      </c>
      <c r="K1946" s="24" t="str">
        <f aca="false">IF($D1946="","",IFERROR(IF(INDEX(Workers!$D$5:$D$2004,MATCH($D1946,Workers!$A$5:$A$2004,0))=0,"",INDEX(Workers!$D$5:$D$2004,MATCH($D1946,Workers!$A$5:$A$2004,0))),""))</f>
        <v/>
      </c>
      <c r="L1946" s="24" t="str">
        <f aca="false">IF($D1946="","",IFERROR(INDEX(Workers!$E$5:$E$2004,MATCH($D1946,Workers!$A$5:$A$2004,0)),""))</f>
        <v/>
      </c>
      <c r="M1946" s="26" t="str">
        <f aca="false">IF($D1946="","",IFERROR(INDEX(ClientRates!$D$5:$D$500,MATCH($B1946&amp;"|"&amp;$L1946,ClientRates!$A$5:$A$500,0)),0))</f>
        <v/>
      </c>
      <c r="N1946" s="26" t="str">
        <f aca="false">IF($D1946="","",IFERROR(INDEX(ClientRates!$E$5:$E$500,MATCH($B1946&amp;"|"&amp;$L1946,ClientRates!$A$5:$A$500,0)),0))</f>
        <v/>
      </c>
      <c r="O1946" s="26" t="str">
        <f aca="false">IF($D1946="","",F1946*M1946+G1946*N1946)</f>
        <v/>
      </c>
      <c r="P1946" s="26" t="str">
        <f aca="false">IF(OR($D1946="",$J1946&lt;&gt;"Supplier"),"",IFERROR(INDEX(SupplierRates!$D$5:$D$500,MATCH($K1946&amp;"|"&amp;$L1946,SupplierRates!$A$5:$A$500,0)),0))</f>
        <v/>
      </c>
      <c r="Q1946" s="26" t="str">
        <f aca="false">IF(OR($D1946="",$J1946&lt;&gt;"Supplier"),"",IFERROR(INDEX(SupplierRates!$E$5:$E$500,MATCH($K1946&amp;"|"&amp;$L1946,SupplierRates!$A$5:$A$500,0)),0))</f>
        <v/>
      </c>
      <c r="R1946" s="26" t="n">
        <f aca="false">IF(OR($D1946="",$J1946&lt;&gt;"Supplier"),0,F1946*P1946+G1946*Q1946)</f>
        <v>0</v>
      </c>
      <c r="S1946" s="26" t="n">
        <f aca="false">IF(OR($D1946="",$J1946&lt;&gt;"Own"),0,IFERROR((F1946+G1946*Settings!$B$13)*INDEX(Workers!$V$5:$V$2004,MATCH($D1946,Workers!$A$5:$A$2004,0)),0))</f>
        <v>0</v>
      </c>
      <c r="T1946" s="26" t="str">
        <f aca="false">IF($D1946="","",O1946-R1946-S1946)</f>
        <v/>
      </c>
    </row>
    <row r="1947" customFormat="false" ht="15" hidden="false" customHeight="false" outlineLevel="0" collapsed="false">
      <c r="I1947" s="24" t="str">
        <f aca="false">IF($D1947="","",IFERROR(INDEX(Workers!$B$5:$B$2004,MATCH($D1947,Workers!$A$5:$A$2004,0)),"NOT FOUND"))</f>
        <v/>
      </c>
      <c r="J1947" s="24" t="str">
        <f aca="false">IF($D1947="","",IFERROR(INDEX(Workers!$C$5:$C$2004,MATCH($D1947,Workers!$A$5:$A$2004,0)),""))</f>
        <v/>
      </c>
      <c r="K1947" s="24" t="str">
        <f aca="false">IF($D1947="","",IFERROR(IF(INDEX(Workers!$D$5:$D$2004,MATCH($D1947,Workers!$A$5:$A$2004,0))=0,"",INDEX(Workers!$D$5:$D$2004,MATCH($D1947,Workers!$A$5:$A$2004,0))),""))</f>
        <v/>
      </c>
      <c r="L1947" s="24" t="str">
        <f aca="false">IF($D1947="","",IFERROR(INDEX(Workers!$E$5:$E$2004,MATCH($D1947,Workers!$A$5:$A$2004,0)),""))</f>
        <v/>
      </c>
      <c r="M1947" s="26" t="str">
        <f aca="false">IF($D1947="","",IFERROR(INDEX(ClientRates!$D$5:$D$500,MATCH($B1947&amp;"|"&amp;$L1947,ClientRates!$A$5:$A$500,0)),0))</f>
        <v/>
      </c>
      <c r="N1947" s="26" t="str">
        <f aca="false">IF($D1947="","",IFERROR(INDEX(ClientRates!$E$5:$E$500,MATCH($B1947&amp;"|"&amp;$L1947,ClientRates!$A$5:$A$500,0)),0))</f>
        <v/>
      </c>
      <c r="O1947" s="26" t="str">
        <f aca="false">IF($D1947="","",F1947*M1947+G1947*N1947)</f>
        <v/>
      </c>
      <c r="P1947" s="26" t="str">
        <f aca="false">IF(OR($D1947="",$J1947&lt;&gt;"Supplier"),"",IFERROR(INDEX(SupplierRates!$D$5:$D$500,MATCH($K1947&amp;"|"&amp;$L1947,SupplierRates!$A$5:$A$500,0)),0))</f>
        <v/>
      </c>
      <c r="Q1947" s="26" t="str">
        <f aca="false">IF(OR($D1947="",$J1947&lt;&gt;"Supplier"),"",IFERROR(INDEX(SupplierRates!$E$5:$E$500,MATCH($K1947&amp;"|"&amp;$L1947,SupplierRates!$A$5:$A$500,0)),0))</f>
        <v/>
      </c>
      <c r="R1947" s="26" t="n">
        <f aca="false">IF(OR($D1947="",$J1947&lt;&gt;"Supplier"),0,F1947*P1947+G1947*Q1947)</f>
        <v>0</v>
      </c>
      <c r="S1947" s="26" t="n">
        <f aca="false">IF(OR($D1947="",$J1947&lt;&gt;"Own"),0,IFERROR((F1947+G1947*Settings!$B$13)*INDEX(Workers!$V$5:$V$2004,MATCH($D1947,Workers!$A$5:$A$2004,0)),0))</f>
        <v>0</v>
      </c>
      <c r="T1947" s="26" t="str">
        <f aca="false">IF($D1947="","",O1947-R1947-S1947)</f>
        <v/>
      </c>
    </row>
    <row r="1948" customFormat="false" ht="15" hidden="false" customHeight="false" outlineLevel="0" collapsed="false">
      <c r="I1948" s="24" t="str">
        <f aca="false">IF($D1948="","",IFERROR(INDEX(Workers!$B$5:$B$2004,MATCH($D1948,Workers!$A$5:$A$2004,0)),"NOT FOUND"))</f>
        <v/>
      </c>
      <c r="J1948" s="24" t="str">
        <f aca="false">IF($D1948="","",IFERROR(INDEX(Workers!$C$5:$C$2004,MATCH($D1948,Workers!$A$5:$A$2004,0)),""))</f>
        <v/>
      </c>
      <c r="K1948" s="24" t="str">
        <f aca="false">IF($D1948="","",IFERROR(IF(INDEX(Workers!$D$5:$D$2004,MATCH($D1948,Workers!$A$5:$A$2004,0))=0,"",INDEX(Workers!$D$5:$D$2004,MATCH($D1948,Workers!$A$5:$A$2004,0))),""))</f>
        <v/>
      </c>
      <c r="L1948" s="24" t="str">
        <f aca="false">IF($D1948="","",IFERROR(INDEX(Workers!$E$5:$E$2004,MATCH($D1948,Workers!$A$5:$A$2004,0)),""))</f>
        <v/>
      </c>
      <c r="M1948" s="26" t="str">
        <f aca="false">IF($D1948="","",IFERROR(INDEX(ClientRates!$D$5:$D$500,MATCH($B1948&amp;"|"&amp;$L1948,ClientRates!$A$5:$A$500,0)),0))</f>
        <v/>
      </c>
      <c r="N1948" s="26" t="str">
        <f aca="false">IF($D1948="","",IFERROR(INDEX(ClientRates!$E$5:$E$500,MATCH($B1948&amp;"|"&amp;$L1948,ClientRates!$A$5:$A$500,0)),0))</f>
        <v/>
      </c>
      <c r="O1948" s="26" t="str">
        <f aca="false">IF($D1948="","",F1948*M1948+G1948*N1948)</f>
        <v/>
      </c>
      <c r="P1948" s="26" t="str">
        <f aca="false">IF(OR($D1948="",$J1948&lt;&gt;"Supplier"),"",IFERROR(INDEX(SupplierRates!$D$5:$D$500,MATCH($K1948&amp;"|"&amp;$L1948,SupplierRates!$A$5:$A$500,0)),0))</f>
        <v/>
      </c>
      <c r="Q1948" s="26" t="str">
        <f aca="false">IF(OR($D1948="",$J1948&lt;&gt;"Supplier"),"",IFERROR(INDEX(SupplierRates!$E$5:$E$500,MATCH($K1948&amp;"|"&amp;$L1948,SupplierRates!$A$5:$A$500,0)),0))</f>
        <v/>
      </c>
      <c r="R1948" s="26" t="n">
        <f aca="false">IF(OR($D1948="",$J1948&lt;&gt;"Supplier"),0,F1948*P1948+G1948*Q1948)</f>
        <v>0</v>
      </c>
      <c r="S1948" s="26" t="n">
        <f aca="false">IF(OR($D1948="",$J1948&lt;&gt;"Own"),0,IFERROR((F1948+G1948*Settings!$B$13)*INDEX(Workers!$V$5:$V$2004,MATCH($D1948,Workers!$A$5:$A$2004,0)),0))</f>
        <v>0</v>
      </c>
      <c r="T1948" s="26" t="str">
        <f aca="false">IF($D1948="","",O1948-R1948-S1948)</f>
        <v/>
      </c>
    </row>
    <row r="1949" customFormat="false" ht="15" hidden="false" customHeight="false" outlineLevel="0" collapsed="false">
      <c r="I1949" s="24" t="str">
        <f aca="false">IF($D1949="","",IFERROR(INDEX(Workers!$B$5:$B$2004,MATCH($D1949,Workers!$A$5:$A$2004,0)),"NOT FOUND"))</f>
        <v/>
      </c>
      <c r="J1949" s="24" t="str">
        <f aca="false">IF($D1949="","",IFERROR(INDEX(Workers!$C$5:$C$2004,MATCH($D1949,Workers!$A$5:$A$2004,0)),""))</f>
        <v/>
      </c>
      <c r="K1949" s="24" t="str">
        <f aca="false">IF($D1949="","",IFERROR(IF(INDEX(Workers!$D$5:$D$2004,MATCH($D1949,Workers!$A$5:$A$2004,0))=0,"",INDEX(Workers!$D$5:$D$2004,MATCH($D1949,Workers!$A$5:$A$2004,0))),""))</f>
        <v/>
      </c>
      <c r="L1949" s="24" t="str">
        <f aca="false">IF($D1949="","",IFERROR(INDEX(Workers!$E$5:$E$2004,MATCH($D1949,Workers!$A$5:$A$2004,0)),""))</f>
        <v/>
      </c>
      <c r="M1949" s="26" t="str">
        <f aca="false">IF($D1949="","",IFERROR(INDEX(ClientRates!$D$5:$D$500,MATCH($B1949&amp;"|"&amp;$L1949,ClientRates!$A$5:$A$500,0)),0))</f>
        <v/>
      </c>
      <c r="N1949" s="26" t="str">
        <f aca="false">IF($D1949="","",IFERROR(INDEX(ClientRates!$E$5:$E$500,MATCH($B1949&amp;"|"&amp;$L1949,ClientRates!$A$5:$A$500,0)),0))</f>
        <v/>
      </c>
      <c r="O1949" s="26" t="str">
        <f aca="false">IF($D1949="","",F1949*M1949+G1949*N1949)</f>
        <v/>
      </c>
      <c r="P1949" s="26" t="str">
        <f aca="false">IF(OR($D1949="",$J1949&lt;&gt;"Supplier"),"",IFERROR(INDEX(SupplierRates!$D$5:$D$500,MATCH($K1949&amp;"|"&amp;$L1949,SupplierRates!$A$5:$A$500,0)),0))</f>
        <v/>
      </c>
      <c r="Q1949" s="26" t="str">
        <f aca="false">IF(OR($D1949="",$J1949&lt;&gt;"Supplier"),"",IFERROR(INDEX(SupplierRates!$E$5:$E$500,MATCH($K1949&amp;"|"&amp;$L1949,SupplierRates!$A$5:$A$500,0)),0))</f>
        <v/>
      </c>
      <c r="R1949" s="26" t="n">
        <f aca="false">IF(OR($D1949="",$J1949&lt;&gt;"Supplier"),0,F1949*P1949+G1949*Q1949)</f>
        <v>0</v>
      </c>
      <c r="S1949" s="26" t="n">
        <f aca="false">IF(OR($D1949="",$J1949&lt;&gt;"Own"),0,IFERROR((F1949+G1949*Settings!$B$13)*INDEX(Workers!$V$5:$V$2004,MATCH($D1949,Workers!$A$5:$A$2004,0)),0))</f>
        <v>0</v>
      </c>
      <c r="T1949" s="26" t="str">
        <f aca="false">IF($D1949="","",O1949-R1949-S1949)</f>
        <v/>
      </c>
    </row>
    <row r="1950" customFormat="false" ht="15" hidden="false" customHeight="false" outlineLevel="0" collapsed="false">
      <c r="I1950" s="24" t="str">
        <f aca="false">IF($D1950="","",IFERROR(INDEX(Workers!$B$5:$B$2004,MATCH($D1950,Workers!$A$5:$A$2004,0)),"NOT FOUND"))</f>
        <v/>
      </c>
      <c r="J1950" s="24" t="str">
        <f aca="false">IF($D1950="","",IFERROR(INDEX(Workers!$C$5:$C$2004,MATCH($D1950,Workers!$A$5:$A$2004,0)),""))</f>
        <v/>
      </c>
      <c r="K1950" s="24" t="str">
        <f aca="false">IF($D1950="","",IFERROR(IF(INDEX(Workers!$D$5:$D$2004,MATCH($D1950,Workers!$A$5:$A$2004,0))=0,"",INDEX(Workers!$D$5:$D$2004,MATCH($D1950,Workers!$A$5:$A$2004,0))),""))</f>
        <v/>
      </c>
      <c r="L1950" s="24" t="str">
        <f aca="false">IF($D1950="","",IFERROR(INDEX(Workers!$E$5:$E$2004,MATCH($D1950,Workers!$A$5:$A$2004,0)),""))</f>
        <v/>
      </c>
      <c r="M1950" s="26" t="str">
        <f aca="false">IF($D1950="","",IFERROR(INDEX(ClientRates!$D$5:$D$500,MATCH($B1950&amp;"|"&amp;$L1950,ClientRates!$A$5:$A$500,0)),0))</f>
        <v/>
      </c>
      <c r="N1950" s="26" t="str">
        <f aca="false">IF($D1950="","",IFERROR(INDEX(ClientRates!$E$5:$E$500,MATCH($B1950&amp;"|"&amp;$L1950,ClientRates!$A$5:$A$500,0)),0))</f>
        <v/>
      </c>
      <c r="O1950" s="26" t="str">
        <f aca="false">IF($D1950="","",F1950*M1950+G1950*N1950)</f>
        <v/>
      </c>
      <c r="P1950" s="26" t="str">
        <f aca="false">IF(OR($D1950="",$J1950&lt;&gt;"Supplier"),"",IFERROR(INDEX(SupplierRates!$D$5:$D$500,MATCH($K1950&amp;"|"&amp;$L1950,SupplierRates!$A$5:$A$500,0)),0))</f>
        <v/>
      </c>
      <c r="Q1950" s="26" t="str">
        <f aca="false">IF(OR($D1950="",$J1950&lt;&gt;"Supplier"),"",IFERROR(INDEX(SupplierRates!$E$5:$E$500,MATCH($K1950&amp;"|"&amp;$L1950,SupplierRates!$A$5:$A$500,0)),0))</f>
        <v/>
      </c>
      <c r="R1950" s="26" t="n">
        <f aca="false">IF(OR($D1950="",$J1950&lt;&gt;"Supplier"),0,F1950*P1950+G1950*Q1950)</f>
        <v>0</v>
      </c>
      <c r="S1950" s="26" t="n">
        <f aca="false">IF(OR($D1950="",$J1950&lt;&gt;"Own"),0,IFERROR((F1950+G1950*Settings!$B$13)*INDEX(Workers!$V$5:$V$2004,MATCH($D1950,Workers!$A$5:$A$2004,0)),0))</f>
        <v>0</v>
      </c>
      <c r="T1950" s="26" t="str">
        <f aca="false">IF($D1950="","",O1950-R1950-S1950)</f>
        <v/>
      </c>
    </row>
    <row r="1951" customFormat="false" ht="15" hidden="false" customHeight="false" outlineLevel="0" collapsed="false">
      <c r="I1951" s="24" t="str">
        <f aca="false">IF($D1951="","",IFERROR(INDEX(Workers!$B$5:$B$2004,MATCH($D1951,Workers!$A$5:$A$2004,0)),"NOT FOUND"))</f>
        <v/>
      </c>
      <c r="J1951" s="24" t="str">
        <f aca="false">IF($D1951="","",IFERROR(INDEX(Workers!$C$5:$C$2004,MATCH($D1951,Workers!$A$5:$A$2004,0)),""))</f>
        <v/>
      </c>
      <c r="K1951" s="24" t="str">
        <f aca="false">IF($D1951="","",IFERROR(IF(INDEX(Workers!$D$5:$D$2004,MATCH($D1951,Workers!$A$5:$A$2004,0))=0,"",INDEX(Workers!$D$5:$D$2004,MATCH($D1951,Workers!$A$5:$A$2004,0))),""))</f>
        <v/>
      </c>
      <c r="L1951" s="24" t="str">
        <f aca="false">IF($D1951="","",IFERROR(INDEX(Workers!$E$5:$E$2004,MATCH($D1951,Workers!$A$5:$A$2004,0)),""))</f>
        <v/>
      </c>
      <c r="M1951" s="26" t="str">
        <f aca="false">IF($D1951="","",IFERROR(INDEX(ClientRates!$D$5:$D$500,MATCH($B1951&amp;"|"&amp;$L1951,ClientRates!$A$5:$A$500,0)),0))</f>
        <v/>
      </c>
      <c r="N1951" s="26" t="str">
        <f aca="false">IF($D1951="","",IFERROR(INDEX(ClientRates!$E$5:$E$500,MATCH($B1951&amp;"|"&amp;$L1951,ClientRates!$A$5:$A$500,0)),0))</f>
        <v/>
      </c>
      <c r="O1951" s="26" t="str">
        <f aca="false">IF($D1951="","",F1951*M1951+G1951*N1951)</f>
        <v/>
      </c>
      <c r="P1951" s="26" t="str">
        <f aca="false">IF(OR($D1951="",$J1951&lt;&gt;"Supplier"),"",IFERROR(INDEX(SupplierRates!$D$5:$D$500,MATCH($K1951&amp;"|"&amp;$L1951,SupplierRates!$A$5:$A$500,0)),0))</f>
        <v/>
      </c>
      <c r="Q1951" s="26" t="str">
        <f aca="false">IF(OR($D1951="",$J1951&lt;&gt;"Supplier"),"",IFERROR(INDEX(SupplierRates!$E$5:$E$500,MATCH($K1951&amp;"|"&amp;$L1951,SupplierRates!$A$5:$A$500,0)),0))</f>
        <v/>
      </c>
      <c r="R1951" s="26" t="n">
        <f aca="false">IF(OR($D1951="",$J1951&lt;&gt;"Supplier"),0,F1951*P1951+G1951*Q1951)</f>
        <v>0</v>
      </c>
      <c r="S1951" s="26" t="n">
        <f aca="false">IF(OR($D1951="",$J1951&lt;&gt;"Own"),0,IFERROR((F1951+G1951*Settings!$B$13)*INDEX(Workers!$V$5:$V$2004,MATCH($D1951,Workers!$A$5:$A$2004,0)),0))</f>
        <v>0</v>
      </c>
      <c r="T1951" s="26" t="str">
        <f aca="false">IF($D1951="","",O1951-R1951-S1951)</f>
        <v/>
      </c>
    </row>
    <row r="1952" customFormat="false" ht="15" hidden="false" customHeight="false" outlineLevel="0" collapsed="false">
      <c r="I1952" s="24" t="str">
        <f aca="false">IF($D1952="","",IFERROR(INDEX(Workers!$B$5:$B$2004,MATCH($D1952,Workers!$A$5:$A$2004,0)),"NOT FOUND"))</f>
        <v/>
      </c>
      <c r="J1952" s="24" t="str">
        <f aca="false">IF($D1952="","",IFERROR(INDEX(Workers!$C$5:$C$2004,MATCH($D1952,Workers!$A$5:$A$2004,0)),""))</f>
        <v/>
      </c>
      <c r="K1952" s="24" t="str">
        <f aca="false">IF($D1952="","",IFERROR(IF(INDEX(Workers!$D$5:$D$2004,MATCH($D1952,Workers!$A$5:$A$2004,0))=0,"",INDEX(Workers!$D$5:$D$2004,MATCH($D1952,Workers!$A$5:$A$2004,0))),""))</f>
        <v/>
      </c>
      <c r="L1952" s="24" t="str">
        <f aca="false">IF($D1952="","",IFERROR(INDEX(Workers!$E$5:$E$2004,MATCH($D1952,Workers!$A$5:$A$2004,0)),""))</f>
        <v/>
      </c>
      <c r="M1952" s="26" t="str">
        <f aca="false">IF($D1952="","",IFERROR(INDEX(ClientRates!$D$5:$D$500,MATCH($B1952&amp;"|"&amp;$L1952,ClientRates!$A$5:$A$500,0)),0))</f>
        <v/>
      </c>
      <c r="N1952" s="26" t="str">
        <f aca="false">IF($D1952="","",IFERROR(INDEX(ClientRates!$E$5:$E$500,MATCH($B1952&amp;"|"&amp;$L1952,ClientRates!$A$5:$A$500,0)),0))</f>
        <v/>
      </c>
      <c r="O1952" s="26" t="str">
        <f aca="false">IF($D1952="","",F1952*M1952+G1952*N1952)</f>
        <v/>
      </c>
      <c r="P1952" s="26" t="str">
        <f aca="false">IF(OR($D1952="",$J1952&lt;&gt;"Supplier"),"",IFERROR(INDEX(SupplierRates!$D$5:$D$500,MATCH($K1952&amp;"|"&amp;$L1952,SupplierRates!$A$5:$A$500,0)),0))</f>
        <v/>
      </c>
      <c r="Q1952" s="26" t="str">
        <f aca="false">IF(OR($D1952="",$J1952&lt;&gt;"Supplier"),"",IFERROR(INDEX(SupplierRates!$E$5:$E$500,MATCH($K1952&amp;"|"&amp;$L1952,SupplierRates!$A$5:$A$500,0)),0))</f>
        <v/>
      </c>
      <c r="R1952" s="26" t="n">
        <f aca="false">IF(OR($D1952="",$J1952&lt;&gt;"Supplier"),0,F1952*P1952+G1952*Q1952)</f>
        <v>0</v>
      </c>
      <c r="S1952" s="26" t="n">
        <f aca="false">IF(OR($D1952="",$J1952&lt;&gt;"Own"),0,IFERROR((F1952+G1952*Settings!$B$13)*INDEX(Workers!$V$5:$V$2004,MATCH($D1952,Workers!$A$5:$A$2004,0)),0))</f>
        <v>0</v>
      </c>
      <c r="T1952" s="26" t="str">
        <f aca="false">IF($D1952="","",O1952-R1952-S1952)</f>
        <v/>
      </c>
    </row>
    <row r="1953" customFormat="false" ht="15" hidden="false" customHeight="false" outlineLevel="0" collapsed="false">
      <c r="I1953" s="24" t="str">
        <f aca="false">IF($D1953="","",IFERROR(INDEX(Workers!$B$5:$B$2004,MATCH($D1953,Workers!$A$5:$A$2004,0)),"NOT FOUND"))</f>
        <v/>
      </c>
      <c r="J1953" s="24" t="str">
        <f aca="false">IF($D1953="","",IFERROR(INDEX(Workers!$C$5:$C$2004,MATCH($D1953,Workers!$A$5:$A$2004,0)),""))</f>
        <v/>
      </c>
      <c r="K1953" s="24" t="str">
        <f aca="false">IF($D1953="","",IFERROR(IF(INDEX(Workers!$D$5:$D$2004,MATCH($D1953,Workers!$A$5:$A$2004,0))=0,"",INDEX(Workers!$D$5:$D$2004,MATCH($D1953,Workers!$A$5:$A$2004,0))),""))</f>
        <v/>
      </c>
      <c r="L1953" s="24" t="str">
        <f aca="false">IF($D1953="","",IFERROR(INDEX(Workers!$E$5:$E$2004,MATCH($D1953,Workers!$A$5:$A$2004,0)),""))</f>
        <v/>
      </c>
      <c r="M1953" s="26" t="str">
        <f aca="false">IF($D1953="","",IFERROR(INDEX(ClientRates!$D$5:$D$500,MATCH($B1953&amp;"|"&amp;$L1953,ClientRates!$A$5:$A$500,0)),0))</f>
        <v/>
      </c>
      <c r="N1953" s="26" t="str">
        <f aca="false">IF($D1953="","",IFERROR(INDEX(ClientRates!$E$5:$E$500,MATCH($B1953&amp;"|"&amp;$L1953,ClientRates!$A$5:$A$500,0)),0))</f>
        <v/>
      </c>
      <c r="O1953" s="26" t="str">
        <f aca="false">IF($D1953="","",F1953*M1953+G1953*N1953)</f>
        <v/>
      </c>
      <c r="P1953" s="26" t="str">
        <f aca="false">IF(OR($D1953="",$J1953&lt;&gt;"Supplier"),"",IFERROR(INDEX(SupplierRates!$D$5:$D$500,MATCH($K1953&amp;"|"&amp;$L1953,SupplierRates!$A$5:$A$500,0)),0))</f>
        <v/>
      </c>
      <c r="Q1953" s="26" t="str">
        <f aca="false">IF(OR($D1953="",$J1953&lt;&gt;"Supplier"),"",IFERROR(INDEX(SupplierRates!$E$5:$E$500,MATCH($K1953&amp;"|"&amp;$L1953,SupplierRates!$A$5:$A$500,0)),0))</f>
        <v/>
      </c>
      <c r="R1953" s="26" t="n">
        <f aca="false">IF(OR($D1953="",$J1953&lt;&gt;"Supplier"),0,F1953*P1953+G1953*Q1953)</f>
        <v>0</v>
      </c>
      <c r="S1953" s="26" t="n">
        <f aca="false">IF(OR($D1953="",$J1953&lt;&gt;"Own"),0,IFERROR((F1953+G1953*Settings!$B$13)*INDEX(Workers!$V$5:$V$2004,MATCH($D1953,Workers!$A$5:$A$2004,0)),0))</f>
        <v>0</v>
      </c>
      <c r="T1953" s="26" t="str">
        <f aca="false">IF($D1953="","",O1953-R1953-S1953)</f>
        <v/>
      </c>
    </row>
    <row r="1954" customFormat="false" ht="15" hidden="false" customHeight="false" outlineLevel="0" collapsed="false">
      <c r="I1954" s="24" t="str">
        <f aca="false">IF($D1954="","",IFERROR(INDEX(Workers!$B$5:$B$2004,MATCH($D1954,Workers!$A$5:$A$2004,0)),"NOT FOUND"))</f>
        <v/>
      </c>
      <c r="J1954" s="24" t="str">
        <f aca="false">IF($D1954="","",IFERROR(INDEX(Workers!$C$5:$C$2004,MATCH($D1954,Workers!$A$5:$A$2004,0)),""))</f>
        <v/>
      </c>
      <c r="K1954" s="24" t="str">
        <f aca="false">IF($D1954="","",IFERROR(IF(INDEX(Workers!$D$5:$D$2004,MATCH($D1954,Workers!$A$5:$A$2004,0))=0,"",INDEX(Workers!$D$5:$D$2004,MATCH($D1954,Workers!$A$5:$A$2004,0))),""))</f>
        <v/>
      </c>
      <c r="L1954" s="24" t="str">
        <f aca="false">IF($D1954="","",IFERROR(INDEX(Workers!$E$5:$E$2004,MATCH($D1954,Workers!$A$5:$A$2004,0)),""))</f>
        <v/>
      </c>
      <c r="M1954" s="26" t="str">
        <f aca="false">IF($D1954="","",IFERROR(INDEX(ClientRates!$D$5:$D$500,MATCH($B1954&amp;"|"&amp;$L1954,ClientRates!$A$5:$A$500,0)),0))</f>
        <v/>
      </c>
      <c r="N1954" s="26" t="str">
        <f aca="false">IF($D1954="","",IFERROR(INDEX(ClientRates!$E$5:$E$500,MATCH($B1954&amp;"|"&amp;$L1954,ClientRates!$A$5:$A$500,0)),0))</f>
        <v/>
      </c>
      <c r="O1954" s="26" t="str">
        <f aca="false">IF($D1954="","",F1954*M1954+G1954*N1954)</f>
        <v/>
      </c>
      <c r="P1954" s="26" t="str">
        <f aca="false">IF(OR($D1954="",$J1954&lt;&gt;"Supplier"),"",IFERROR(INDEX(SupplierRates!$D$5:$D$500,MATCH($K1954&amp;"|"&amp;$L1954,SupplierRates!$A$5:$A$500,0)),0))</f>
        <v/>
      </c>
      <c r="Q1954" s="26" t="str">
        <f aca="false">IF(OR($D1954="",$J1954&lt;&gt;"Supplier"),"",IFERROR(INDEX(SupplierRates!$E$5:$E$500,MATCH($K1954&amp;"|"&amp;$L1954,SupplierRates!$A$5:$A$500,0)),0))</f>
        <v/>
      </c>
      <c r="R1954" s="26" t="n">
        <f aca="false">IF(OR($D1954="",$J1954&lt;&gt;"Supplier"),0,F1954*P1954+G1954*Q1954)</f>
        <v>0</v>
      </c>
      <c r="S1954" s="26" t="n">
        <f aca="false">IF(OR($D1954="",$J1954&lt;&gt;"Own"),0,IFERROR((F1954+G1954*Settings!$B$13)*INDEX(Workers!$V$5:$V$2004,MATCH($D1954,Workers!$A$5:$A$2004,0)),0))</f>
        <v>0</v>
      </c>
      <c r="T1954" s="26" t="str">
        <f aca="false">IF($D1954="","",O1954-R1954-S1954)</f>
        <v/>
      </c>
    </row>
    <row r="1955" customFormat="false" ht="15" hidden="false" customHeight="false" outlineLevel="0" collapsed="false">
      <c r="I1955" s="24" t="str">
        <f aca="false">IF($D1955="","",IFERROR(INDEX(Workers!$B$5:$B$2004,MATCH($D1955,Workers!$A$5:$A$2004,0)),"NOT FOUND"))</f>
        <v/>
      </c>
      <c r="J1955" s="24" t="str">
        <f aca="false">IF($D1955="","",IFERROR(INDEX(Workers!$C$5:$C$2004,MATCH($D1955,Workers!$A$5:$A$2004,0)),""))</f>
        <v/>
      </c>
      <c r="K1955" s="24" t="str">
        <f aca="false">IF($D1955="","",IFERROR(IF(INDEX(Workers!$D$5:$D$2004,MATCH($D1955,Workers!$A$5:$A$2004,0))=0,"",INDEX(Workers!$D$5:$D$2004,MATCH($D1955,Workers!$A$5:$A$2004,0))),""))</f>
        <v/>
      </c>
      <c r="L1955" s="24" t="str">
        <f aca="false">IF($D1955="","",IFERROR(INDEX(Workers!$E$5:$E$2004,MATCH($D1955,Workers!$A$5:$A$2004,0)),""))</f>
        <v/>
      </c>
      <c r="M1955" s="26" t="str">
        <f aca="false">IF($D1955="","",IFERROR(INDEX(ClientRates!$D$5:$D$500,MATCH($B1955&amp;"|"&amp;$L1955,ClientRates!$A$5:$A$500,0)),0))</f>
        <v/>
      </c>
      <c r="N1955" s="26" t="str">
        <f aca="false">IF($D1955="","",IFERROR(INDEX(ClientRates!$E$5:$E$500,MATCH($B1955&amp;"|"&amp;$L1955,ClientRates!$A$5:$A$500,0)),0))</f>
        <v/>
      </c>
      <c r="O1955" s="26" t="str">
        <f aca="false">IF($D1955="","",F1955*M1955+G1955*N1955)</f>
        <v/>
      </c>
      <c r="P1955" s="26" t="str">
        <f aca="false">IF(OR($D1955="",$J1955&lt;&gt;"Supplier"),"",IFERROR(INDEX(SupplierRates!$D$5:$D$500,MATCH($K1955&amp;"|"&amp;$L1955,SupplierRates!$A$5:$A$500,0)),0))</f>
        <v/>
      </c>
      <c r="Q1955" s="26" t="str">
        <f aca="false">IF(OR($D1955="",$J1955&lt;&gt;"Supplier"),"",IFERROR(INDEX(SupplierRates!$E$5:$E$500,MATCH($K1955&amp;"|"&amp;$L1955,SupplierRates!$A$5:$A$500,0)),0))</f>
        <v/>
      </c>
      <c r="R1955" s="26" t="n">
        <f aca="false">IF(OR($D1955="",$J1955&lt;&gt;"Supplier"),0,F1955*P1955+G1955*Q1955)</f>
        <v>0</v>
      </c>
      <c r="S1955" s="26" t="n">
        <f aca="false">IF(OR($D1955="",$J1955&lt;&gt;"Own"),0,IFERROR((F1955+G1955*Settings!$B$13)*INDEX(Workers!$V$5:$V$2004,MATCH($D1955,Workers!$A$5:$A$2004,0)),0))</f>
        <v>0</v>
      </c>
      <c r="T1955" s="26" t="str">
        <f aca="false">IF($D1955="","",O1955-R1955-S1955)</f>
        <v/>
      </c>
    </row>
    <row r="1956" customFormat="false" ht="15" hidden="false" customHeight="false" outlineLevel="0" collapsed="false">
      <c r="I1956" s="24" t="str">
        <f aca="false">IF($D1956="","",IFERROR(INDEX(Workers!$B$5:$B$2004,MATCH($D1956,Workers!$A$5:$A$2004,0)),"NOT FOUND"))</f>
        <v/>
      </c>
      <c r="J1956" s="24" t="str">
        <f aca="false">IF($D1956="","",IFERROR(INDEX(Workers!$C$5:$C$2004,MATCH($D1956,Workers!$A$5:$A$2004,0)),""))</f>
        <v/>
      </c>
      <c r="K1956" s="24" t="str">
        <f aca="false">IF($D1956="","",IFERROR(IF(INDEX(Workers!$D$5:$D$2004,MATCH($D1956,Workers!$A$5:$A$2004,0))=0,"",INDEX(Workers!$D$5:$D$2004,MATCH($D1956,Workers!$A$5:$A$2004,0))),""))</f>
        <v/>
      </c>
      <c r="L1956" s="24" t="str">
        <f aca="false">IF($D1956="","",IFERROR(INDEX(Workers!$E$5:$E$2004,MATCH($D1956,Workers!$A$5:$A$2004,0)),""))</f>
        <v/>
      </c>
      <c r="M1956" s="26" t="str">
        <f aca="false">IF($D1956="","",IFERROR(INDEX(ClientRates!$D$5:$D$500,MATCH($B1956&amp;"|"&amp;$L1956,ClientRates!$A$5:$A$500,0)),0))</f>
        <v/>
      </c>
      <c r="N1956" s="26" t="str">
        <f aca="false">IF($D1956="","",IFERROR(INDEX(ClientRates!$E$5:$E$500,MATCH($B1956&amp;"|"&amp;$L1956,ClientRates!$A$5:$A$500,0)),0))</f>
        <v/>
      </c>
      <c r="O1956" s="26" t="str">
        <f aca="false">IF($D1956="","",F1956*M1956+G1956*N1956)</f>
        <v/>
      </c>
      <c r="P1956" s="26" t="str">
        <f aca="false">IF(OR($D1956="",$J1956&lt;&gt;"Supplier"),"",IFERROR(INDEX(SupplierRates!$D$5:$D$500,MATCH($K1956&amp;"|"&amp;$L1956,SupplierRates!$A$5:$A$500,0)),0))</f>
        <v/>
      </c>
      <c r="Q1956" s="26" t="str">
        <f aca="false">IF(OR($D1956="",$J1956&lt;&gt;"Supplier"),"",IFERROR(INDEX(SupplierRates!$E$5:$E$500,MATCH($K1956&amp;"|"&amp;$L1956,SupplierRates!$A$5:$A$500,0)),0))</f>
        <v/>
      </c>
      <c r="R1956" s="26" t="n">
        <f aca="false">IF(OR($D1956="",$J1956&lt;&gt;"Supplier"),0,F1956*P1956+G1956*Q1956)</f>
        <v>0</v>
      </c>
      <c r="S1956" s="26" t="n">
        <f aca="false">IF(OR($D1956="",$J1956&lt;&gt;"Own"),0,IFERROR((F1956+G1956*Settings!$B$13)*INDEX(Workers!$V$5:$V$2004,MATCH($D1956,Workers!$A$5:$A$2004,0)),0))</f>
        <v>0</v>
      </c>
      <c r="T1956" s="26" t="str">
        <f aca="false">IF($D1956="","",O1956-R1956-S1956)</f>
        <v/>
      </c>
    </row>
    <row r="1957" customFormat="false" ht="15" hidden="false" customHeight="false" outlineLevel="0" collapsed="false">
      <c r="I1957" s="24" t="str">
        <f aca="false">IF($D1957="","",IFERROR(INDEX(Workers!$B$5:$B$2004,MATCH($D1957,Workers!$A$5:$A$2004,0)),"NOT FOUND"))</f>
        <v/>
      </c>
      <c r="J1957" s="24" t="str">
        <f aca="false">IF($D1957="","",IFERROR(INDEX(Workers!$C$5:$C$2004,MATCH($D1957,Workers!$A$5:$A$2004,0)),""))</f>
        <v/>
      </c>
      <c r="K1957" s="24" t="str">
        <f aca="false">IF($D1957="","",IFERROR(IF(INDEX(Workers!$D$5:$D$2004,MATCH($D1957,Workers!$A$5:$A$2004,0))=0,"",INDEX(Workers!$D$5:$D$2004,MATCH($D1957,Workers!$A$5:$A$2004,0))),""))</f>
        <v/>
      </c>
      <c r="L1957" s="24" t="str">
        <f aca="false">IF($D1957="","",IFERROR(INDEX(Workers!$E$5:$E$2004,MATCH($D1957,Workers!$A$5:$A$2004,0)),""))</f>
        <v/>
      </c>
      <c r="M1957" s="26" t="str">
        <f aca="false">IF($D1957="","",IFERROR(INDEX(ClientRates!$D$5:$D$500,MATCH($B1957&amp;"|"&amp;$L1957,ClientRates!$A$5:$A$500,0)),0))</f>
        <v/>
      </c>
      <c r="N1957" s="26" t="str">
        <f aca="false">IF($D1957="","",IFERROR(INDEX(ClientRates!$E$5:$E$500,MATCH($B1957&amp;"|"&amp;$L1957,ClientRates!$A$5:$A$500,0)),0))</f>
        <v/>
      </c>
      <c r="O1957" s="26" t="str">
        <f aca="false">IF($D1957="","",F1957*M1957+G1957*N1957)</f>
        <v/>
      </c>
      <c r="P1957" s="26" t="str">
        <f aca="false">IF(OR($D1957="",$J1957&lt;&gt;"Supplier"),"",IFERROR(INDEX(SupplierRates!$D$5:$D$500,MATCH($K1957&amp;"|"&amp;$L1957,SupplierRates!$A$5:$A$500,0)),0))</f>
        <v/>
      </c>
      <c r="Q1957" s="26" t="str">
        <f aca="false">IF(OR($D1957="",$J1957&lt;&gt;"Supplier"),"",IFERROR(INDEX(SupplierRates!$E$5:$E$500,MATCH($K1957&amp;"|"&amp;$L1957,SupplierRates!$A$5:$A$500,0)),0))</f>
        <v/>
      </c>
      <c r="R1957" s="26" t="n">
        <f aca="false">IF(OR($D1957="",$J1957&lt;&gt;"Supplier"),0,F1957*P1957+G1957*Q1957)</f>
        <v>0</v>
      </c>
      <c r="S1957" s="26" t="n">
        <f aca="false">IF(OR($D1957="",$J1957&lt;&gt;"Own"),0,IFERROR((F1957+G1957*Settings!$B$13)*INDEX(Workers!$V$5:$V$2004,MATCH($D1957,Workers!$A$5:$A$2004,0)),0))</f>
        <v>0</v>
      </c>
      <c r="T1957" s="26" t="str">
        <f aca="false">IF($D1957="","",O1957-R1957-S1957)</f>
        <v/>
      </c>
    </row>
    <row r="1958" customFormat="false" ht="15" hidden="false" customHeight="false" outlineLevel="0" collapsed="false">
      <c r="I1958" s="24" t="str">
        <f aca="false">IF($D1958="","",IFERROR(INDEX(Workers!$B$5:$B$2004,MATCH($D1958,Workers!$A$5:$A$2004,0)),"NOT FOUND"))</f>
        <v/>
      </c>
      <c r="J1958" s="24" t="str">
        <f aca="false">IF($D1958="","",IFERROR(INDEX(Workers!$C$5:$C$2004,MATCH($D1958,Workers!$A$5:$A$2004,0)),""))</f>
        <v/>
      </c>
      <c r="K1958" s="24" t="str">
        <f aca="false">IF($D1958="","",IFERROR(IF(INDEX(Workers!$D$5:$D$2004,MATCH($D1958,Workers!$A$5:$A$2004,0))=0,"",INDEX(Workers!$D$5:$D$2004,MATCH($D1958,Workers!$A$5:$A$2004,0))),""))</f>
        <v/>
      </c>
      <c r="L1958" s="24" t="str">
        <f aca="false">IF($D1958="","",IFERROR(INDEX(Workers!$E$5:$E$2004,MATCH($D1958,Workers!$A$5:$A$2004,0)),""))</f>
        <v/>
      </c>
      <c r="M1958" s="26" t="str">
        <f aca="false">IF($D1958="","",IFERROR(INDEX(ClientRates!$D$5:$D$500,MATCH($B1958&amp;"|"&amp;$L1958,ClientRates!$A$5:$A$500,0)),0))</f>
        <v/>
      </c>
      <c r="N1958" s="26" t="str">
        <f aca="false">IF($D1958="","",IFERROR(INDEX(ClientRates!$E$5:$E$500,MATCH($B1958&amp;"|"&amp;$L1958,ClientRates!$A$5:$A$500,0)),0))</f>
        <v/>
      </c>
      <c r="O1958" s="26" t="str">
        <f aca="false">IF($D1958="","",F1958*M1958+G1958*N1958)</f>
        <v/>
      </c>
      <c r="P1958" s="26" t="str">
        <f aca="false">IF(OR($D1958="",$J1958&lt;&gt;"Supplier"),"",IFERROR(INDEX(SupplierRates!$D$5:$D$500,MATCH($K1958&amp;"|"&amp;$L1958,SupplierRates!$A$5:$A$500,0)),0))</f>
        <v/>
      </c>
      <c r="Q1958" s="26" t="str">
        <f aca="false">IF(OR($D1958="",$J1958&lt;&gt;"Supplier"),"",IFERROR(INDEX(SupplierRates!$E$5:$E$500,MATCH($K1958&amp;"|"&amp;$L1958,SupplierRates!$A$5:$A$500,0)),0))</f>
        <v/>
      </c>
      <c r="R1958" s="26" t="n">
        <f aca="false">IF(OR($D1958="",$J1958&lt;&gt;"Supplier"),0,F1958*P1958+G1958*Q1958)</f>
        <v>0</v>
      </c>
      <c r="S1958" s="26" t="n">
        <f aca="false">IF(OR($D1958="",$J1958&lt;&gt;"Own"),0,IFERROR((F1958+G1958*Settings!$B$13)*INDEX(Workers!$V$5:$V$2004,MATCH($D1958,Workers!$A$5:$A$2004,0)),0))</f>
        <v>0</v>
      </c>
      <c r="T1958" s="26" t="str">
        <f aca="false">IF($D1958="","",O1958-R1958-S1958)</f>
        <v/>
      </c>
    </row>
    <row r="1959" customFormat="false" ht="15" hidden="false" customHeight="false" outlineLevel="0" collapsed="false">
      <c r="I1959" s="24" t="str">
        <f aca="false">IF($D1959="","",IFERROR(INDEX(Workers!$B$5:$B$2004,MATCH($D1959,Workers!$A$5:$A$2004,0)),"NOT FOUND"))</f>
        <v/>
      </c>
      <c r="J1959" s="24" t="str">
        <f aca="false">IF($D1959="","",IFERROR(INDEX(Workers!$C$5:$C$2004,MATCH($D1959,Workers!$A$5:$A$2004,0)),""))</f>
        <v/>
      </c>
      <c r="K1959" s="24" t="str">
        <f aca="false">IF($D1959="","",IFERROR(IF(INDEX(Workers!$D$5:$D$2004,MATCH($D1959,Workers!$A$5:$A$2004,0))=0,"",INDEX(Workers!$D$5:$D$2004,MATCH($D1959,Workers!$A$5:$A$2004,0))),""))</f>
        <v/>
      </c>
      <c r="L1959" s="24" t="str">
        <f aca="false">IF($D1959="","",IFERROR(INDEX(Workers!$E$5:$E$2004,MATCH($D1959,Workers!$A$5:$A$2004,0)),""))</f>
        <v/>
      </c>
      <c r="M1959" s="26" t="str">
        <f aca="false">IF($D1959="","",IFERROR(INDEX(ClientRates!$D$5:$D$500,MATCH($B1959&amp;"|"&amp;$L1959,ClientRates!$A$5:$A$500,0)),0))</f>
        <v/>
      </c>
      <c r="N1959" s="26" t="str">
        <f aca="false">IF($D1959="","",IFERROR(INDEX(ClientRates!$E$5:$E$500,MATCH($B1959&amp;"|"&amp;$L1959,ClientRates!$A$5:$A$500,0)),0))</f>
        <v/>
      </c>
      <c r="O1959" s="26" t="str">
        <f aca="false">IF($D1959="","",F1959*M1959+G1959*N1959)</f>
        <v/>
      </c>
      <c r="P1959" s="26" t="str">
        <f aca="false">IF(OR($D1959="",$J1959&lt;&gt;"Supplier"),"",IFERROR(INDEX(SupplierRates!$D$5:$D$500,MATCH($K1959&amp;"|"&amp;$L1959,SupplierRates!$A$5:$A$500,0)),0))</f>
        <v/>
      </c>
      <c r="Q1959" s="26" t="str">
        <f aca="false">IF(OR($D1959="",$J1959&lt;&gt;"Supplier"),"",IFERROR(INDEX(SupplierRates!$E$5:$E$500,MATCH($K1959&amp;"|"&amp;$L1959,SupplierRates!$A$5:$A$500,0)),0))</f>
        <v/>
      </c>
      <c r="R1959" s="26" t="n">
        <f aca="false">IF(OR($D1959="",$J1959&lt;&gt;"Supplier"),0,F1959*P1959+G1959*Q1959)</f>
        <v>0</v>
      </c>
      <c r="S1959" s="26" t="n">
        <f aca="false">IF(OR($D1959="",$J1959&lt;&gt;"Own"),0,IFERROR((F1959+G1959*Settings!$B$13)*INDEX(Workers!$V$5:$V$2004,MATCH($D1959,Workers!$A$5:$A$2004,0)),0))</f>
        <v>0</v>
      </c>
      <c r="T1959" s="26" t="str">
        <f aca="false">IF($D1959="","",O1959-R1959-S1959)</f>
        <v/>
      </c>
    </row>
    <row r="1960" customFormat="false" ht="15" hidden="false" customHeight="false" outlineLevel="0" collapsed="false">
      <c r="I1960" s="24" t="str">
        <f aca="false">IF($D1960="","",IFERROR(INDEX(Workers!$B$5:$B$2004,MATCH($D1960,Workers!$A$5:$A$2004,0)),"NOT FOUND"))</f>
        <v/>
      </c>
      <c r="J1960" s="24" t="str">
        <f aca="false">IF($D1960="","",IFERROR(INDEX(Workers!$C$5:$C$2004,MATCH($D1960,Workers!$A$5:$A$2004,0)),""))</f>
        <v/>
      </c>
      <c r="K1960" s="24" t="str">
        <f aca="false">IF($D1960="","",IFERROR(IF(INDEX(Workers!$D$5:$D$2004,MATCH($D1960,Workers!$A$5:$A$2004,0))=0,"",INDEX(Workers!$D$5:$D$2004,MATCH($D1960,Workers!$A$5:$A$2004,0))),""))</f>
        <v/>
      </c>
      <c r="L1960" s="24" t="str">
        <f aca="false">IF($D1960="","",IFERROR(INDEX(Workers!$E$5:$E$2004,MATCH($D1960,Workers!$A$5:$A$2004,0)),""))</f>
        <v/>
      </c>
      <c r="M1960" s="26" t="str">
        <f aca="false">IF($D1960="","",IFERROR(INDEX(ClientRates!$D$5:$D$500,MATCH($B1960&amp;"|"&amp;$L1960,ClientRates!$A$5:$A$500,0)),0))</f>
        <v/>
      </c>
      <c r="N1960" s="26" t="str">
        <f aca="false">IF($D1960="","",IFERROR(INDEX(ClientRates!$E$5:$E$500,MATCH($B1960&amp;"|"&amp;$L1960,ClientRates!$A$5:$A$500,0)),0))</f>
        <v/>
      </c>
      <c r="O1960" s="26" t="str">
        <f aca="false">IF($D1960="","",F1960*M1960+G1960*N1960)</f>
        <v/>
      </c>
      <c r="P1960" s="26" t="str">
        <f aca="false">IF(OR($D1960="",$J1960&lt;&gt;"Supplier"),"",IFERROR(INDEX(SupplierRates!$D$5:$D$500,MATCH($K1960&amp;"|"&amp;$L1960,SupplierRates!$A$5:$A$500,0)),0))</f>
        <v/>
      </c>
      <c r="Q1960" s="26" t="str">
        <f aca="false">IF(OR($D1960="",$J1960&lt;&gt;"Supplier"),"",IFERROR(INDEX(SupplierRates!$E$5:$E$500,MATCH($K1960&amp;"|"&amp;$L1960,SupplierRates!$A$5:$A$500,0)),0))</f>
        <v/>
      </c>
      <c r="R1960" s="26" t="n">
        <f aca="false">IF(OR($D1960="",$J1960&lt;&gt;"Supplier"),0,F1960*P1960+G1960*Q1960)</f>
        <v>0</v>
      </c>
      <c r="S1960" s="26" t="n">
        <f aca="false">IF(OR($D1960="",$J1960&lt;&gt;"Own"),0,IFERROR((F1960+G1960*Settings!$B$13)*INDEX(Workers!$V$5:$V$2004,MATCH($D1960,Workers!$A$5:$A$2004,0)),0))</f>
        <v>0</v>
      </c>
      <c r="T1960" s="26" t="str">
        <f aca="false">IF($D1960="","",O1960-R1960-S1960)</f>
        <v/>
      </c>
    </row>
    <row r="1961" customFormat="false" ht="15" hidden="false" customHeight="false" outlineLevel="0" collapsed="false">
      <c r="I1961" s="24" t="str">
        <f aca="false">IF($D1961="","",IFERROR(INDEX(Workers!$B$5:$B$2004,MATCH($D1961,Workers!$A$5:$A$2004,0)),"NOT FOUND"))</f>
        <v/>
      </c>
      <c r="J1961" s="24" t="str">
        <f aca="false">IF($D1961="","",IFERROR(INDEX(Workers!$C$5:$C$2004,MATCH($D1961,Workers!$A$5:$A$2004,0)),""))</f>
        <v/>
      </c>
      <c r="K1961" s="24" t="str">
        <f aca="false">IF($D1961="","",IFERROR(IF(INDEX(Workers!$D$5:$D$2004,MATCH($D1961,Workers!$A$5:$A$2004,0))=0,"",INDEX(Workers!$D$5:$D$2004,MATCH($D1961,Workers!$A$5:$A$2004,0))),""))</f>
        <v/>
      </c>
      <c r="L1961" s="24" t="str">
        <f aca="false">IF($D1961="","",IFERROR(INDEX(Workers!$E$5:$E$2004,MATCH($D1961,Workers!$A$5:$A$2004,0)),""))</f>
        <v/>
      </c>
      <c r="M1961" s="26" t="str">
        <f aca="false">IF($D1961="","",IFERROR(INDEX(ClientRates!$D$5:$D$500,MATCH($B1961&amp;"|"&amp;$L1961,ClientRates!$A$5:$A$500,0)),0))</f>
        <v/>
      </c>
      <c r="N1961" s="26" t="str">
        <f aca="false">IF($D1961="","",IFERROR(INDEX(ClientRates!$E$5:$E$500,MATCH($B1961&amp;"|"&amp;$L1961,ClientRates!$A$5:$A$500,0)),0))</f>
        <v/>
      </c>
      <c r="O1961" s="26" t="str">
        <f aca="false">IF($D1961="","",F1961*M1961+G1961*N1961)</f>
        <v/>
      </c>
      <c r="P1961" s="26" t="str">
        <f aca="false">IF(OR($D1961="",$J1961&lt;&gt;"Supplier"),"",IFERROR(INDEX(SupplierRates!$D$5:$D$500,MATCH($K1961&amp;"|"&amp;$L1961,SupplierRates!$A$5:$A$500,0)),0))</f>
        <v/>
      </c>
      <c r="Q1961" s="26" t="str">
        <f aca="false">IF(OR($D1961="",$J1961&lt;&gt;"Supplier"),"",IFERROR(INDEX(SupplierRates!$E$5:$E$500,MATCH($K1961&amp;"|"&amp;$L1961,SupplierRates!$A$5:$A$500,0)),0))</f>
        <v/>
      </c>
      <c r="R1961" s="26" t="n">
        <f aca="false">IF(OR($D1961="",$J1961&lt;&gt;"Supplier"),0,F1961*P1961+G1961*Q1961)</f>
        <v>0</v>
      </c>
      <c r="S1961" s="26" t="n">
        <f aca="false">IF(OR($D1961="",$J1961&lt;&gt;"Own"),0,IFERROR((F1961+G1961*Settings!$B$13)*INDEX(Workers!$V$5:$V$2004,MATCH($D1961,Workers!$A$5:$A$2004,0)),0))</f>
        <v>0</v>
      </c>
      <c r="T1961" s="26" t="str">
        <f aca="false">IF($D1961="","",O1961-R1961-S1961)</f>
        <v/>
      </c>
    </row>
    <row r="1962" customFormat="false" ht="15" hidden="false" customHeight="false" outlineLevel="0" collapsed="false">
      <c r="I1962" s="24" t="str">
        <f aca="false">IF($D1962="","",IFERROR(INDEX(Workers!$B$5:$B$2004,MATCH($D1962,Workers!$A$5:$A$2004,0)),"NOT FOUND"))</f>
        <v/>
      </c>
      <c r="J1962" s="24" t="str">
        <f aca="false">IF($D1962="","",IFERROR(INDEX(Workers!$C$5:$C$2004,MATCH($D1962,Workers!$A$5:$A$2004,0)),""))</f>
        <v/>
      </c>
      <c r="K1962" s="24" t="str">
        <f aca="false">IF($D1962="","",IFERROR(IF(INDEX(Workers!$D$5:$D$2004,MATCH($D1962,Workers!$A$5:$A$2004,0))=0,"",INDEX(Workers!$D$5:$D$2004,MATCH($D1962,Workers!$A$5:$A$2004,0))),""))</f>
        <v/>
      </c>
      <c r="L1962" s="24" t="str">
        <f aca="false">IF($D1962="","",IFERROR(INDEX(Workers!$E$5:$E$2004,MATCH($D1962,Workers!$A$5:$A$2004,0)),""))</f>
        <v/>
      </c>
      <c r="M1962" s="26" t="str">
        <f aca="false">IF($D1962="","",IFERROR(INDEX(ClientRates!$D$5:$D$500,MATCH($B1962&amp;"|"&amp;$L1962,ClientRates!$A$5:$A$500,0)),0))</f>
        <v/>
      </c>
      <c r="N1962" s="26" t="str">
        <f aca="false">IF($D1962="","",IFERROR(INDEX(ClientRates!$E$5:$E$500,MATCH($B1962&amp;"|"&amp;$L1962,ClientRates!$A$5:$A$500,0)),0))</f>
        <v/>
      </c>
      <c r="O1962" s="26" t="str">
        <f aca="false">IF($D1962="","",F1962*M1962+G1962*N1962)</f>
        <v/>
      </c>
      <c r="P1962" s="26" t="str">
        <f aca="false">IF(OR($D1962="",$J1962&lt;&gt;"Supplier"),"",IFERROR(INDEX(SupplierRates!$D$5:$D$500,MATCH($K1962&amp;"|"&amp;$L1962,SupplierRates!$A$5:$A$500,0)),0))</f>
        <v/>
      </c>
      <c r="Q1962" s="26" t="str">
        <f aca="false">IF(OR($D1962="",$J1962&lt;&gt;"Supplier"),"",IFERROR(INDEX(SupplierRates!$E$5:$E$500,MATCH($K1962&amp;"|"&amp;$L1962,SupplierRates!$A$5:$A$500,0)),0))</f>
        <v/>
      </c>
      <c r="R1962" s="26" t="n">
        <f aca="false">IF(OR($D1962="",$J1962&lt;&gt;"Supplier"),0,F1962*P1962+G1962*Q1962)</f>
        <v>0</v>
      </c>
      <c r="S1962" s="26" t="n">
        <f aca="false">IF(OR($D1962="",$J1962&lt;&gt;"Own"),0,IFERROR((F1962+G1962*Settings!$B$13)*INDEX(Workers!$V$5:$V$2004,MATCH($D1962,Workers!$A$5:$A$2004,0)),0))</f>
        <v>0</v>
      </c>
      <c r="T1962" s="26" t="str">
        <f aca="false">IF($D1962="","",O1962-R1962-S1962)</f>
        <v/>
      </c>
    </row>
    <row r="1963" customFormat="false" ht="15" hidden="false" customHeight="false" outlineLevel="0" collapsed="false">
      <c r="I1963" s="24" t="str">
        <f aca="false">IF($D1963="","",IFERROR(INDEX(Workers!$B$5:$B$2004,MATCH($D1963,Workers!$A$5:$A$2004,0)),"NOT FOUND"))</f>
        <v/>
      </c>
      <c r="J1963" s="24" t="str">
        <f aca="false">IF($D1963="","",IFERROR(INDEX(Workers!$C$5:$C$2004,MATCH($D1963,Workers!$A$5:$A$2004,0)),""))</f>
        <v/>
      </c>
      <c r="K1963" s="24" t="str">
        <f aca="false">IF($D1963="","",IFERROR(IF(INDEX(Workers!$D$5:$D$2004,MATCH($D1963,Workers!$A$5:$A$2004,0))=0,"",INDEX(Workers!$D$5:$D$2004,MATCH($D1963,Workers!$A$5:$A$2004,0))),""))</f>
        <v/>
      </c>
      <c r="L1963" s="24" t="str">
        <f aca="false">IF($D1963="","",IFERROR(INDEX(Workers!$E$5:$E$2004,MATCH($D1963,Workers!$A$5:$A$2004,0)),""))</f>
        <v/>
      </c>
      <c r="M1963" s="26" t="str">
        <f aca="false">IF($D1963="","",IFERROR(INDEX(ClientRates!$D$5:$D$500,MATCH($B1963&amp;"|"&amp;$L1963,ClientRates!$A$5:$A$500,0)),0))</f>
        <v/>
      </c>
      <c r="N1963" s="26" t="str">
        <f aca="false">IF($D1963="","",IFERROR(INDEX(ClientRates!$E$5:$E$500,MATCH($B1963&amp;"|"&amp;$L1963,ClientRates!$A$5:$A$500,0)),0))</f>
        <v/>
      </c>
      <c r="O1963" s="26" t="str">
        <f aca="false">IF($D1963="","",F1963*M1963+G1963*N1963)</f>
        <v/>
      </c>
      <c r="P1963" s="26" t="str">
        <f aca="false">IF(OR($D1963="",$J1963&lt;&gt;"Supplier"),"",IFERROR(INDEX(SupplierRates!$D$5:$D$500,MATCH($K1963&amp;"|"&amp;$L1963,SupplierRates!$A$5:$A$500,0)),0))</f>
        <v/>
      </c>
      <c r="Q1963" s="26" t="str">
        <f aca="false">IF(OR($D1963="",$J1963&lt;&gt;"Supplier"),"",IFERROR(INDEX(SupplierRates!$E$5:$E$500,MATCH($K1963&amp;"|"&amp;$L1963,SupplierRates!$A$5:$A$500,0)),0))</f>
        <v/>
      </c>
      <c r="R1963" s="26" t="n">
        <f aca="false">IF(OR($D1963="",$J1963&lt;&gt;"Supplier"),0,F1963*P1963+G1963*Q1963)</f>
        <v>0</v>
      </c>
      <c r="S1963" s="26" t="n">
        <f aca="false">IF(OR($D1963="",$J1963&lt;&gt;"Own"),0,IFERROR((F1963+G1963*Settings!$B$13)*INDEX(Workers!$V$5:$V$2004,MATCH($D1963,Workers!$A$5:$A$2004,0)),0))</f>
        <v>0</v>
      </c>
      <c r="T1963" s="26" t="str">
        <f aca="false">IF($D1963="","",O1963-R1963-S1963)</f>
        <v/>
      </c>
    </row>
    <row r="1964" customFormat="false" ht="15" hidden="false" customHeight="false" outlineLevel="0" collapsed="false">
      <c r="I1964" s="24" t="str">
        <f aca="false">IF($D1964="","",IFERROR(INDEX(Workers!$B$5:$B$2004,MATCH($D1964,Workers!$A$5:$A$2004,0)),"NOT FOUND"))</f>
        <v/>
      </c>
      <c r="J1964" s="24" t="str">
        <f aca="false">IF($D1964="","",IFERROR(INDEX(Workers!$C$5:$C$2004,MATCH($D1964,Workers!$A$5:$A$2004,0)),""))</f>
        <v/>
      </c>
      <c r="K1964" s="24" t="str">
        <f aca="false">IF($D1964="","",IFERROR(IF(INDEX(Workers!$D$5:$D$2004,MATCH($D1964,Workers!$A$5:$A$2004,0))=0,"",INDEX(Workers!$D$5:$D$2004,MATCH($D1964,Workers!$A$5:$A$2004,0))),""))</f>
        <v/>
      </c>
      <c r="L1964" s="24" t="str">
        <f aca="false">IF($D1964="","",IFERROR(INDEX(Workers!$E$5:$E$2004,MATCH($D1964,Workers!$A$5:$A$2004,0)),""))</f>
        <v/>
      </c>
      <c r="M1964" s="26" t="str">
        <f aca="false">IF($D1964="","",IFERROR(INDEX(ClientRates!$D$5:$D$500,MATCH($B1964&amp;"|"&amp;$L1964,ClientRates!$A$5:$A$500,0)),0))</f>
        <v/>
      </c>
      <c r="N1964" s="26" t="str">
        <f aca="false">IF($D1964="","",IFERROR(INDEX(ClientRates!$E$5:$E$500,MATCH($B1964&amp;"|"&amp;$L1964,ClientRates!$A$5:$A$500,0)),0))</f>
        <v/>
      </c>
      <c r="O1964" s="26" t="str">
        <f aca="false">IF($D1964="","",F1964*M1964+G1964*N1964)</f>
        <v/>
      </c>
      <c r="P1964" s="26" t="str">
        <f aca="false">IF(OR($D1964="",$J1964&lt;&gt;"Supplier"),"",IFERROR(INDEX(SupplierRates!$D$5:$D$500,MATCH($K1964&amp;"|"&amp;$L1964,SupplierRates!$A$5:$A$500,0)),0))</f>
        <v/>
      </c>
      <c r="Q1964" s="26" t="str">
        <f aca="false">IF(OR($D1964="",$J1964&lt;&gt;"Supplier"),"",IFERROR(INDEX(SupplierRates!$E$5:$E$500,MATCH($K1964&amp;"|"&amp;$L1964,SupplierRates!$A$5:$A$500,0)),0))</f>
        <v/>
      </c>
      <c r="R1964" s="26" t="n">
        <f aca="false">IF(OR($D1964="",$J1964&lt;&gt;"Supplier"),0,F1964*P1964+G1964*Q1964)</f>
        <v>0</v>
      </c>
      <c r="S1964" s="26" t="n">
        <f aca="false">IF(OR($D1964="",$J1964&lt;&gt;"Own"),0,IFERROR((F1964+G1964*Settings!$B$13)*INDEX(Workers!$V$5:$V$2004,MATCH($D1964,Workers!$A$5:$A$2004,0)),0))</f>
        <v>0</v>
      </c>
      <c r="T1964" s="26" t="str">
        <f aca="false">IF($D1964="","",O1964-R1964-S1964)</f>
        <v/>
      </c>
    </row>
    <row r="1965" customFormat="false" ht="15" hidden="false" customHeight="false" outlineLevel="0" collapsed="false">
      <c r="I1965" s="24" t="str">
        <f aca="false">IF($D1965="","",IFERROR(INDEX(Workers!$B$5:$B$2004,MATCH($D1965,Workers!$A$5:$A$2004,0)),"NOT FOUND"))</f>
        <v/>
      </c>
      <c r="J1965" s="24" t="str">
        <f aca="false">IF($D1965="","",IFERROR(INDEX(Workers!$C$5:$C$2004,MATCH($D1965,Workers!$A$5:$A$2004,0)),""))</f>
        <v/>
      </c>
      <c r="K1965" s="24" t="str">
        <f aca="false">IF($D1965="","",IFERROR(IF(INDEX(Workers!$D$5:$D$2004,MATCH($D1965,Workers!$A$5:$A$2004,0))=0,"",INDEX(Workers!$D$5:$D$2004,MATCH($D1965,Workers!$A$5:$A$2004,0))),""))</f>
        <v/>
      </c>
      <c r="L1965" s="24" t="str">
        <f aca="false">IF($D1965="","",IFERROR(INDEX(Workers!$E$5:$E$2004,MATCH($D1965,Workers!$A$5:$A$2004,0)),""))</f>
        <v/>
      </c>
      <c r="M1965" s="26" t="str">
        <f aca="false">IF($D1965="","",IFERROR(INDEX(ClientRates!$D$5:$D$500,MATCH($B1965&amp;"|"&amp;$L1965,ClientRates!$A$5:$A$500,0)),0))</f>
        <v/>
      </c>
      <c r="N1965" s="26" t="str">
        <f aca="false">IF($D1965="","",IFERROR(INDEX(ClientRates!$E$5:$E$500,MATCH($B1965&amp;"|"&amp;$L1965,ClientRates!$A$5:$A$500,0)),0))</f>
        <v/>
      </c>
      <c r="O1965" s="26" t="str">
        <f aca="false">IF($D1965="","",F1965*M1965+G1965*N1965)</f>
        <v/>
      </c>
      <c r="P1965" s="26" t="str">
        <f aca="false">IF(OR($D1965="",$J1965&lt;&gt;"Supplier"),"",IFERROR(INDEX(SupplierRates!$D$5:$D$500,MATCH($K1965&amp;"|"&amp;$L1965,SupplierRates!$A$5:$A$500,0)),0))</f>
        <v/>
      </c>
      <c r="Q1965" s="26" t="str">
        <f aca="false">IF(OR($D1965="",$J1965&lt;&gt;"Supplier"),"",IFERROR(INDEX(SupplierRates!$E$5:$E$500,MATCH($K1965&amp;"|"&amp;$L1965,SupplierRates!$A$5:$A$500,0)),0))</f>
        <v/>
      </c>
      <c r="R1965" s="26" t="n">
        <f aca="false">IF(OR($D1965="",$J1965&lt;&gt;"Supplier"),0,F1965*P1965+G1965*Q1965)</f>
        <v>0</v>
      </c>
      <c r="S1965" s="26" t="n">
        <f aca="false">IF(OR($D1965="",$J1965&lt;&gt;"Own"),0,IFERROR((F1965+G1965*Settings!$B$13)*INDEX(Workers!$V$5:$V$2004,MATCH($D1965,Workers!$A$5:$A$2004,0)),0))</f>
        <v>0</v>
      </c>
      <c r="T1965" s="26" t="str">
        <f aca="false">IF($D1965="","",O1965-R1965-S1965)</f>
        <v/>
      </c>
    </row>
    <row r="1966" customFormat="false" ht="15" hidden="false" customHeight="false" outlineLevel="0" collapsed="false">
      <c r="I1966" s="24" t="str">
        <f aca="false">IF($D1966="","",IFERROR(INDEX(Workers!$B$5:$B$2004,MATCH($D1966,Workers!$A$5:$A$2004,0)),"NOT FOUND"))</f>
        <v/>
      </c>
      <c r="J1966" s="24" t="str">
        <f aca="false">IF($D1966="","",IFERROR(INDEX(Workers!$C$5:$C$2004,MATCH($D1966,Workers!$A$5:$A$2004,0)),""))</f>
        <v/>
      </c>
      <c r="K1966" s="24" t="str">
        <f aca="false">IF($D1966="","",IFERROR(IF(INDEX(Workers!$D$5:$D$2004,MATCH($D1966,Workers!$A$5:$A$2004,0))=0,"",INDEX(Workers!$D$5:$D$2004,MATCH($D1966,Workers!$A$5:$A$2004,0))),""))</f>
        <v/>
      </c>
      <c r="L1966" s="24" t="str">
        <f aca="false">IF($D1966="","",IFERROR(INDEX(Workers!$E$5:$E$2004,MATCH($D1966,Workers!$A$5:$A$2004,0)),""))</f>
        <v/>
      </c>
      <c r="M1966" s="26" t="str">
        <f aca="false">IF($D1966="","",IFERROR(INDEX(ClientRates!$D$5:$D$500,MATCH($B1966&amp;"|"&amp;$L1966,ClientRates!$A$5:$A$500,0)),0))</f>
        <v/>
      </c>
      <c r="N1966" s="26" t="str">
        <f aca="false">IF($D1966="","",IFERROR(INDEX(ClientRates!$E$5:$E$500,MATCH($B1966&amp;"|"&amp;$L1966,ClientRates!$A$5:$A$500,0)),0))</f>
        <v/>
      </c>
      <c r="O1966" s="26" t="str">
        <f aca="false">IF($D1966="","",F1966*M1966+G1966*N1966)</f>
        <v/>
      </c>
      <c r="P1966" s="26" t="str">
        <f aca="false">IF(OR($D1966="",$J1966&lt;&gt;"Supplier"),"",IFERROR(INDEX(SupplierRates!$D$5:$D$500,MATCH($K1966&amp;"|"&amp;$L1966,SupplierRates!$A$5:$A$500,0)),0))</f>
        <v/>
      </c>
      <c r="Q1966" s="26" t="str">
        <f aca="false">IF(OR($D1966="",$J1966&lt;&gt;"Supplier"),"",IFERROR(INDEX(SupplierRates!$E$5:$E$500,MATCH($K1966&amp;"|"&amp;$L1966,SupplierRates!$A$5:$A$500,0)),0))</f>
        <v/>
      </c>
      <c r="R1966" s="26" t="n">
        <f aca="false">IF(OR($D1966="",$J1966&lt;&gt;"Supplier"),0,F1966*P1966+G1966*Q1966)</f>
        <v>0</v>
      </c>
      <c r="S1966" s="26" t="n">
        <f aca="false">IF(OR($D1966="",$J1966&lt;&gt;"Own"),0,IFERROR((F1966+G1966*Settings!$B$13)*INDEX(Workers!$V$5:$V$2004,MATCH($D1966,Workers!$A$5:$A$2004,0)),0))</f>
        <v>0</v>
      </c>
      <c r="T1966" s="26" t="str">
        <f aca="false">IF($D1966="","",O1966-R1966-S1966)</f>
        <v/>
      </c>
    </row>
    <row r="1967" customFormat="false" ht="15" hidden="false" customHeight="false" outlineLevel="0" collapsed="false">
      <c r="I1967" s="24" t="str">
        <f aca="false">IF($D1967="","",IFERROR(INDEX(Workers!$B$5:$B$2004,MATCH($D1967,Workers!$A$5:$A$2004,0)),"NOT FOUND"))</f>
        <v/>
      </c>
      <c r="J1967" s="24" t="str">
        <f aca="false">IF($D1967="","",IFERROR(INDEX(Workers!$C$5:$C$2004,MATCH($D1967,Workers!$A$5:$A$2004,0)),""))</f>
        <v/>
      </c>
      <c r="K1967" s="24" t="str">
        <f aca="false">IF($D1967="","",IFERROR(IF(INDEX(Workers!$D$5:$D$2004,MATCH($D1967,Workers!$A$5:$A$2004,0))=0,"",INDEX(Workers!$D$5:$D$2004,MATCH($D1967,Workers!$A$5:$A$2004,0))),""))</f>
        <v/>
      </c>
      <c r="L1967" s="24" t="str">
        <f aca="false">IF($D1967="","",IFERROR(INDEX(Workers!$E$5:$E$2004,MATCH($D1967,Workers!$A$5:$A$2004,0)),""))</f>
        <v/>
      </c>
      <c r="M1967" s="26" t="str">
        <f aca="false">IF($D1967="","",IFERROR(INDEX(ClientRates!$D$5:$D$500,MATCH($B1967&amp;"|"&amp;$L1967,ClientRates!$A$5:$A$500,0)),0))</f>
        <v/>
      </c>
      <c r="N1967" s="26" t="str">
        <f aca="false">IF($D1967="","",IFERROR(INDEX(ClientRates!$E$5:$E$500,MATCH($B1967&amp;"|"&amp;$L1967,ClientRates!$A$5:$A$500,0)),0))</f>
        <v/>
      </c>
      <c r="O1967" s="26" t="str">
        <f aca="false">IF($D1967="","",F1967*M1967+G1967*N1967)</f>
        <v/>
      </c>
      <c r="P1967" s="26" t="str">
        <f aca="false">IF(OR($D1967="",$J1967&lt;&gt;"Supplier"),"",IFERROR(INDEX(SupplierRates!$D$5:$D$500,MATCH($K1967&amp;"|"&amp;$L1967,SupplierRates!$A$5:$A$500,0)),0))</f>
        <v/>
      </c>
      <c r="Q1967" s="26" t="str">
        <f aca="false">IF(OR($D1967="",$J1967&lt;&gt;"Supplier"),"",IFERROR(INDEX(SupplierRates!$E$5:$E$500,MATCH($K1967&amp;"|"&amp;$L1967,SupplierRates!$A$5:$A$500,0)),0))</f>
        <v/>
      </c>
      <c r="R1967" s="26" t="n">
        <f aca="false">IF(OR($D1967="",$J1967&lt;&gt;"Supplier"),0,F1967*P1967+G1967*Q1967)</f>
        <v>0</v>
      </c>
      <c r="S1967" s="26" t="n">
        <f aca="false">IF(OR($D1967="",$J1967&lt;&gt;"Own"),0,IFERROR((F1967+G1967*Settings!$B$13)*INDEX(Workers!$V$5:$V$2004,MATCH($D1967,Workers!$A$5:$A$2004,0)),0))</f>
        <v>0</v>
      </c>
      <c r="T1967" s="26" t="str">
        <f aca="false">IF($D1967="","",O1967-R1967-S1967)</f>
        <v/>
      </c>
    </row>
    <row r="1968" customFormat="false" ht="15" hidden="false" customHeight="false" outlineLevel="0" collapsed="false">
      <c r="I1968" s="24" t="str">
        <f aca="false">IF($D1968="","",IFERROR(INDEX(Workers!$B$5:$B$2004,MATCH($D1968,Workers!$A$5:$A$2004,0)),"NOT FOUND"))</f>
        <v/>
      </c>
      <c r="J1968" s="24" t="str">
        <f aca="false">IF($D1968="","",IFERROR(INDEX(Workers!$C$5:$C$2004,MATCH($D1968,Workers!$A$5:$A$2004,0)),""))</f>
        <v/>
      </c>
      <c r="K1968" s="24" t="str">
        <f aca="false">IF($D1968="","",IFERROR(IF(INDEX(Workers!$D$5:$D$2004,MATCH($D1968,Workers!$A$5:$A$2004,0))=0,"",INDEX(Workers!$D$5:$D$2004,MATCH($D1968,Workers!$A$5:$A$2004,0))),""))</f>
        <v/>
      </c>
      <c r="L1968" s="24" t="str">
        <f aca="false">IF($D1968="","",IFERROR(INDEX(Workers!$E$5:$E$2004,MATCH($D1968,Workers!$A$5:$A$2004,0)),""))</f>
        <v/>
      </c>
      <c r="M1968" s="26" t="str">
        <f aca="false">IF($D1968="","",IFERROR(INDEX(ClientRates!$D$5:$D$500,MATCH($B1968&amp;"|"&amp;$L1968,ClientRates!$A$5:$A$500,0)),0))</f>
        <v/>
      </c>
      <c r="N1968" s="26" t="str">
        <f aca="false">IF($D1968="","",IFERROR(INDEX(ClientRates!$E$5:$E$500,MATCH($B1968&amp;"|"&amp;$L1968,ClientRates!$A$5:$A$500,0)),0))</f>
        <v/>
      </c>
      <c r="O1968" s="26" t="str">
        <f aca="false">IF($D1968="","",F1968*M1968+G1968*N1968)</f>
        <v/>
      </c>
      <c r="P1968" s="26" t="str">
        <f aca="false">IF(OR($D1968="",$J1968&lt;&gt;"Supplier"),"",IFERROR(INDEX(SupplierRates!$D$5:$D$500,MATCH($K1968&amp;"|"&amp;$L1968,SupplierRates!$A$5:$A$500,0)),0))</f>
        <v/>
      </c>
      <c r="Q1968" s="26" t="str">
        <f aca="false">IF(OR($D1968="",$J1968&lt;&gt;"Supplier"),"",IFERROR(INDEX(SupplierRates!$E$5:$E$500,MATCH($K1968&amp;"|"&amp;$L1968,SupplierRates!$A$5:$A$500,0)),0))</f>
        <v/>
      </c>
      <c r="R1968" s="26" t="n">
        <f aca="false">IF(OR($D1968="",$J1968&lt;&gt;"Supplier"),0,F1968*P1968+G1968*Q1968)</f>
        <v>0</v>
      </c>
      <c r="S1968" s="26" t="n">
        <f aca="false">IF(OR($D1968="",$J1968&lt;&gt;"Own"),0,IFERROR((F1968+G1968*Settings!$B$13)*INDEX(Workers!$V$5:$V$2004,MATCH($D1968,Workers!$A$5:$A$2004,0)),0))</f>
        <v>0</v>
      </c>
      <c r="T1968" s="26" t="str">
        <f aca="false">IF($D1968="","",O1968-R1968-S1968)</f>
        <v/>
      </c>
    </row>
    <row r="1969" customFormat="false" ht="15" hidden="false" customHeight="false" outlineLevel="0" collapsed="false">
      <c r="I1969" s="24" t="str">
        <f aca="false">IF($D1969="","",IFERROR(INDEX(Workers!$B$5:$B$2004,MATCH($D1969,Workers!$A$5:$A$2004,0)),"NOT FOUND"))</f>
        <v/>
      </c>
      <c r="J1969" s="24" t="str">
        <f aca="false">IF($D1969="","",IFERROR(INDEX(Workers!$C$5:$C$2004,MATCH($D1969,Workers!$A$5:$A$2004,0)),""))</f>
        <v/>
      </c>
      <c r="K1969" s="24" t="str">
        <f aca="false">IF($D1969="","",IFERROR(IF(INDEX(Workers!$D$5:$D$2004,MATCH($D1969,Workers!$A$5:$A$2004,0))=0,"",INDEX(Workers!$D$5:$D$2004,MATCH($D1969,Workers!$A$5:$A$2004,0))),""))</f>
        <v/>
      </c>
      <c r="L1969" s="24" t="str">
        <f aca="false">IF($D1969="","",IFERROR(INDEX(Workers!$E$5:$E$2004,MATCH($D1969,Workers!$A$5:$A$2004,0)),""))</f>
        <v/>
      </c>
      <c r="M1969" s="26" t="str">
        <f aca="false">IF($D1969="","",IFERROR(INDEX(ClientRates!$D$5:$D$500,MATCH($B1969&amp;"|"&amp;$L1969,ClientRates!$A$5:$A$500,0)),0))</f>
        <v/>
      </c>
      <c r="N1969" s="26" t="str">
        <f aca="false">IF($D1969="","",IFERROR(INDEX(ClientRates!$E$5:$E$500,MATCH($B1969&amp;"|"&amp;$L1969,ClientRates!$A$5:$A$500,0)),0))</f>
        <v/>
      </c>
      <c r="O1969" s="26" t="str">
        <f aca="false">IF($D1969="","",F1969*M1969+G1969*N1969)</f>
        <v/>
      </c>
      <c r="P1969" s="26" t="str">
        <f aca="false">IF(OR($D1969="",$J1969&lt;&gt;"Supplier"),"",IFERROR(INDEX(SupplierRates!$D$5:$D$500,MATCH($K1969&amp;"|"&amp;$L1969,SupplierRates!$A$5:$A$500,0)),0))</f>
        <v/>
      </c>
      <c r="Q1969" s="26" t="str">
        <f aca="false">IF(OR($D1969="",$J1969&lt;&gt;"Supplier"),"",IFERROR(INDEX(SupplierRates!$E$5:$E$500,MATCH($K1969&amp;"|"&amp;$L1969,SupplierRates!$A$5:$A$500,0)),0))</f>
        <v/>
      </c>
      <c r="R1969" s="26" t="n">
        <f aca="false">IF(OR($D1969="",$J1969&lt;&gt;"Supplier"),0,F1969*P1969+G1969*Q1969)</f>
        <v>0</v>
      </c>
      <c r="S1969" s="26" t="n">
        <f aca="false">IF(OR($D1969="",$J1969&lt;&gt;"Own"),0,IFERROR((F1969+G1969*Settings!$B$13)*INDEX(Workers!$V$5:$V$2004,MATCH($D1969,Workers!$A$5:$A$2004,0)),0))</f>
        <v>0</v>
      </c>
      <c r="T1969" s="26" t="str">
        <f aca="false">IF($D1969="","",O1969-R1969-S1969)</f>
        <v/>
      </c>
    </row>
    <row r="1970" customFormat="false" ht="15" hidden="false" customHeight="false" outlineLevel="0" collapsed="false">
      <c r="I1970" s="24" t="str">
        <f aca="false">IF($D1970="","",IFERROR(INDEX(Workers!$B$5:$B$2004,MATCH($D1970,Workers!$A$5:$A$2004,0)),"NOT FOUND"))</f>
        <v/>
      </c>
      <c r="J1970" s="24" t="str">
        <f aca="false">IF($D1970="","",IFERROR(INDEX(Workers!$C$5:$C$2004,MATCH($D1970,Workers!$A$5:$A$2004,0)),""))</f>
        <v/>
      </c>
      <c r="K1970" s="24" t="str">
        <f aca="false">IF($D1970="","",IFERROR(IF(INDEX(Workers!$D$5:$D$2004,MATCH($D1970,Workers!$A$5:$A$2004,0))=0,"",INDEX(Workers!$D$5:$D$2004,MATCH($D1970,Workers!$A$5:$A$2004,0))),""))</f>
        <v/>
      </c>
      <c r="L1970" s="24" t="str">
        <f aca="false">IF($D1970="","",IFERROR(INDEX(Workers!$E$5:$E$2004,MATCH($D1970,Workers!$A$5:$A$2004,0)),""))</f>
        <v/>
      </c>
      <c r="M1970" s="26" t="str">
        <f aca="false">IF($D1970="","",IFERROR(INDEX(ClientRates!$D$5:$D$500,MATCH($B1970&amp;"|"&amp;$L1970,ClientRates!$A$5:$A$500,0)),0))</f>
        <v/>
      </c>
      <c r="N1970" s="26" t="str">
        <f aca="false">IF($D1970="","",IFERROR(INDEX(ClientRates!$E$5:$E$500,MATCH($B1970&amp;"|"&amp;$L1970,ClientRates!$A$5:$A$500,0)),0))</f>
        <v/>
      </c>
      <c r="O1970" s="26" t="str">
        <f aca="false">IF($D1970="","",F1970*M1970+G1970*N1970)</f>
        <v/>
      </c>
      <c r="P1970" s="26" t="str">
        <f aca="false">IF(OR($D1970="",$J1970&lt;&gt;"Supplier"),"",IFERROR(INDEX(SupplierRates!$D$5:$D$500,MATCH($K1970&amp;"|"&amp;$L1970,SupplierRates!$A$5:$A$500,0)),0))</f>
        <v/>
      </c>
      <c r="Q1970" s="26" t="str">
        <f aca="false">IF(OR($D1970="",$J1970&lt;&gt;"Supplier"),"",IFERROR(INDEX(SupplierRates!$E$5:$E$500,MATCH($K1970&amp;"|"&amp;$L1970,SupplierRates!$A$5:$A$500,0)),0))</f>
        <v/>
      </c>
      <c r="R1970" s="26" t="n">
        <f aca="false">IF(OR($D1970="",$J1970&lt;&gt;"Supplier"),0,F1970*P1970+G1970*Q1970)</f>
        <v>0</v>
      </c>
      <c r="S1970" s="26" t="n">
        <f aca="false">IF(OR($D1970="",$J1970&lt;&gt;"Own"),0,IFERROR((F1970+G1970*Settings!$B$13)*INDEX(Workers!$V$5:$V$2004,MATCH($D1970,Workers!$A$5:$A$2004,0)),0))</f>
        <v>0</v>
      </c>
      <c r="T1970" s="26" t="str">
        <f aca="false">IF($D1970="","",O1970-R1970-S1970)</f>
        <v/>
      </c>
    </row>
    <row r="1971" customFormat="false" ht="15" hidden="false" customHeight="false" outlineLevel="0" collapsed="false">
      <c r="I1971" s="24" t="str">
        <f aca="false">IF($D1971="","",IFERROR(INDEX(Workers!$B$5:$B$2004,MATCH($D1971,Workers!$A$5:$A$2004,0)),"NOT FOUND"))</f>
        <v/>
      </c>
      <c r="J1971" s="24" t="str">
        <f aca="false">IF($D1971="","",IFERROR(INDEX(Workers!$C$5:$C$2004,MATCH($D1971,Workers!$A$5:$A$2004,0)),""))</f>
        <v/>
      </c>
      <c r="K1971" s="24" t="str">
        <f aca="false">IF($D1971="","",IFERROR(IF(INDEX(Workers!$D$5:$D$2004,MATCH($D1971,Workers!$A$5:$A$2004,0))=0,"",INDEX(Workers!$D$5:$D$2004,MATCH($D1971,Workers!$A$5:$A$2004,0))),""))</f>
        <v/>
      </c>
      <c r="L1971" s="24" t="str">
        <f aca="false">IF($D1971="","",IFERROR(INDEX(Workers!$E$5:$E$2004,MATCH($D1971,Workers!$A$5:$A$2004,0)),""))</f>
        <v/>
      </c>
      <c r="M1971" s="26" t="str">
        <f aca="false">IF($D1971="","",IFERROR(INDEX(ClientRates!$D$5:$D$500,MATCH($B1971&amp;"|"&amp;$L1971,ClientRates!$A$5:$A$500,0)),0))</f>
        <v/>
      </c>
      <c r="N1971" s="26" t="str">
        <f aca="false">IF($D1971="","",IFERROR(INDEX(ClientRates!$E$5:$E$500,MATCH($B1971&amp;"|"&amp;$L1971,ClientRates!$A$5:$A$500,0)),0))</f>
        <v/>
      </c>
      <c r="O1971" s="26" t="str">
        <f aca="false">IF($D1971="","",F1971*M1971+G1971*N1971)</f>
        <v/>
      </c>
      <c r="P1971" s="26" t="str">
        <f aca="false">IF(OR($D1971="",$J1971&lt;&gt;"Supplier"),"",IFERROR(INDEX(SupplierRates!$D$5:$D$500,MATCH($K1971&amp;"|"&amp;$L1971,SupplierRates!$A$5:$A$500,0)),0))</f>
        <v/>
      </c>
      <c r="Q1971" s="26" t="str">
        <f aca="false">IF(OR($D1971="",$J1971&lt;&gt;"Supplier"),"",IFERROR(INDEX(SupplierRates!$E$5:$E$500,MATCH($K1971&amp;"|"&amp;$L1971,SupplierRates!$A$5:$A$500,0)),0))</f>
        <v/>
      </c>
      <c r="R1971" s="26" t="n">
        <f aca="false">IF(OR($D1971="",$J1971&lt;&gt;"Supplier"),0,F1971*P1971+G1971*Q1971)</f>
        <v>0</v>
      </c>
      <c r="S1971" s="26" t="n">
        <f aca="false">IF(OR($D1971="",$J1971&lt;&gt;"Own"),0,IFERROR((F1971+G1971*Settings!$B$13)*INDEX(Workers!$V$5:$V$2004,MATCH($D1971,Workers!$A$5:$A$2004,0)),0))</f>
        <v>0</v>
      </c>
      <c r="T1971" s="26" t="str">
        <f aca="false">IF($D1971="","",O1971-R1971-S1971)</f>
        <v/>
      </c>
    </row>
    <row r="1972" customFormat="false" ht="15" hidden="false" customHeight="false" outlineLevel="0" collapsed="false">
      <c r="I1972" s="24" t="str">
        <f aca="false">IF($D1972="","",IFERROR(INDEX(Workers!$B$5:$B$2004,MATCH($D1972,Workers!$A$5:$A$2004,0)),"NOT FOUND"))</f>
        <v/>
      </c>
      <c r="J1972" s="24" t="str">
        <f aca="false">IF($D1972="","",IFERROR(INDEX(Workers!$C$5:$C$2004,MATCH($D1972,Workers!$A$5:$A$2004,0)),""))</f>
        <v/>
      </c>
      <c r="K1972" s="24" t="str">
        <f aca="false">IF($D1972="","",IFERROR(IF(INDEX(Workers!$D$5:$D$2004,MATCH($D1972,Workers!$A$5:$A$2004,0))=0,"",INDEX(Workers!$D$5:$D$2004,MATCH($D1972,Workers!$A$5:$A$2004,0))),""))</f>
        <v/>
      </c>
      <c r="L1972" s="24" t="str">
        <f aca="false">IF($D1972="","",IFERROR(INDEX(Workers!$E$5:$E$2004,MATCH($D1972,Workers!$A$5:$A$2004,0)),""))</f>
        <v/>
      </c>
      <c r="M1972" s="26" t="str">
        <f aca="false">IF($D1972="","",IFERROR(INDEX(ClientRates!$D$5:$D$500,MATCH($B1972&amp;"|"&amp;$L1972,ClientRates!$A$5:$A$500,0)),0))</f>
        <v/>
      </c>
      <c r="N1972" s="26" t="str">
        <f aca="false">IF($D1972="","",IFERROR(INDEX(ClientRates!$E$5:$E$500,MATCH($B1972&amp;"|"&amp;$L1972,ClientRates!$A$5:$A$500,0)),0))</f>
        <v/>
      </c>
      <c r="O1972" s="26" t="str">
        <f aca="false">IF($D1972="","",F1972*M1972+G1972*N1972)</f>
        <v/>
      </c>
      <c r="P1972" s="26" t="str">
        <f aca="false">IF(OR($D1972="",$J1972&lt;&gt;"Supplier"),"",IFERROR(INDEX(SupplierRates!$D$5:$D$500,MATCH($K1972&amp;"|"&amp;$L1972,SupplierRates!$A$5:$A$500,0)),0))</f>
        <v/>
      </c>
      <c r="Q1972" s="26" t="str">
        <f aca="false">IF(OR($D1972="",$J1972&lt;&gt;"Supplier"),"",IFERROR(INDEX(SupplierRates!$E$5:$E$500,MATCH($K1972&amp;"|"&amp;$L1972,SupplierRates!$A$5:$A$500,0)),0))</f>
        <v/>
      </c>
      <c r="R1972" s="26" t="n">
        <f aca="false">IF(OR($D1972="",$J1972&lt;&gt;"Supplier"),0,F1972*P1972+G1972*Q1972)</f>
        <v>0</v>
      </c>
      <c r="S1972" s="26" t="n">
        <f aca="false">IF(OR($D1972="",$J1972&lt;&gt;"Own"),0,IFERROR((F1972+G1972*Settings!$B$13)*INDEX(Workers!$V$5:$V$2004,MATCH($D1972,Workers!$A$5:$A$2004,0)),0))</f>
        <v>0</v>
      </c>
      <c r="T1972" s="26" t="str">
        <f aca="false">IF($D1972="","",O1972-R1972-S1972)</f>
        <v/>
      </c>
    </row>
    <row r="1973" customFormat="false" ht="15" hidden="false" customHeight="false" outlineLevel="0" collapsed="false">
      <c r="I1973" s="24" t="str">
        <f aca="false">IF($D1973="","",IFERROR(INDEX(Workers!$B$5:$B$2004,MATCH($D1973,Workers!$A$5:$A$2004,0)),"NOT FOUND"))</f>
        <v/>
      </c>
      <c r="J1973" s="24" t="str">
        <f aca="false">IF($D1973="","",IFERROR(INDEX(Workers!$C$5:$C$2004,MATCH($D1973,Workers!$A$5:$A$2004,0)),""))</f>
        <v/>
      </c>
      <c r="K1973" s="24" t="str">
        <f aca="false">IF($D1973="","",IFERROR(IF(INDEX(Workers!$D$5:$D$2004,MATCH($D1973,Workers!$A$5:$A$2004,0))=0,"",INDEX(Workers!$D$5:$D$2004,MATCH($D1973,Workers!$A$5:$A$2004,0))),""))</f>
        <v/>
      </c>
      <c r="L1973" s="24" t="str">
        <f aca="false">IF($D1973="","",IFERROR(INDEX(Workers!$E$5:$E$2004,MATCH($D1973,Workers!$A$5:$A$2004,0)),""))</f>
        <v/>
      </c>
      <c r="M1973" s="26" t="str">
        <f aca="false">IF($D1973="","",IFERROR(INDEX(ClientRates!$D$5:$D$500,MATCH($B1973&amp;"|"&amp;$L1973,ClientRates!$A$5:$A$500,0)),0))</f>
        <v/>
      </c>
      <c r="N1973" s="26" t="str">
        <f aca="false">IF($D1973="","",IFERROR(INDEX(ClientRates!$E$5:$E$500,MATCH($B1973&amp;"|"&amp;$L1973,ClientRates!$A$5:$A$500,0)),0))</f>
        <v/>
      </c>
      <c r="O1973" s="26" t="str">
        <f aca="false">IF($D1973="","",F1973*M1973+G1973*N1973)</f>
        <v/>
      </c>
      <c r="P1973" s="26" t="str">
        <f aca="false">IF(OR($D1973="",$J1973&lt;&gt;"Supplier"),"",IFERROR(INDEX(SupplierRates!$D$5:$D$500,MATCH($K1973&amp;"|"&amp;$L1973,SupplierRates!$A$5:$A$500,0)),0))</f>
        <v/>
      </c>
      <c r="Q1973" s="26" t="str">
        <f aca="false">IF(OR($D1973="",$J1973&lt;&gt;"Supplier"),"",IFERROR(INDEX(SupplierRates!$E$5:$E$500,MATCH($K1973&amp;"|"&amp;$L1973,SupplierRates!$A$5:$A$500,0)),0))</f>
        <v/>
      </c>
      <c r="R1973" s="26" t="n">
        <f aca="false">IF(OR($D1973="",$J1973&lt;&gt;"Supplier"),0,F1973*P1973+G1973*Q1973)</f>
        <v>0</v>
      </c>
      <c r="S1973" s="26" t="n">
        <f aca="false">IF(OR($D1973="",$J1973&lt;&gt;"Own"),0,IFERROR((F1973+G1973*Settings!$B$13)*INDEX(Workers!$V$5:$V$2004,MATCH($D1973,Workers!$A$5:$A$2004,0)),0))</f>
        <v>0</v>
      </c>
      <c r="T1973" s="26" t="str">
        <f aca="false">IF($D1973="","",O1973-R1973-S1973)</f>
        <v/>
      </c>
    </row>
    <row r="1974" customFormat="false" ht="15" hidden="false" customHeight="false" outlineLevel="0" collapsed="false">
      <c r="I1974" s="24" t="str">
        <f aca="false">IF($D1974="","",IFERROR(INDEX(Workers!$B$5:$B$2004,MATCH($D1974,Workers!$A$5:$A$2004,0)),"NOT FOUND"))</f>
        <v/>
      </c>
      <c r="J1974" s="24" t="str">
        <f aca="false">IF($D1974="","",IFERROR(INDEX(Workers!$C$5:$C$2004,MATCH($D1974,Workers!$A$5:$A$2004,0)),""))</f>
        <v/>
      </c>
      <c r="K1974" s="24" t="str">
        <f aca="false">IF($D1974="","",IFERROR(IF(INDEX(Workers!$D$5:$D$2004,MATCH($D1974,Workers!$A$5:$A$2004,0))=0,"",INDEX(Workers!$D$5:$D$2004,MATCH($D1974,Workers!$A$5:$A$2004,0))),""))</f>
        <v/>
      </c>
      <c r="L1974" s="24" t="str">
        <f aca="false">IF($D1974="","",IFERROR(INDEX(Workers!$E$5:$E$2004,MATCH($D1974,Workers!$A$5:$A$2004,0)),""))</f>
        <v/>
      </c>
      <c r="M1974" s="26" t="str">
        <f aca="false">IF($D1974="","",IFERROR(INDEX(ClientRates!$D$5:$D$500,MATCH($B1974&amp;"|"&amp;$L1974,ClientRates!$A$5:$A$500,0)),0))</f>
        <v/>
      </c>
      <c r="N1974" s="26" t="str">
        <f aca="false">IF($D1974="","",IFERROR(INDEX(ClientRates!$E$5:$E$500,MATCH($B1974&amp;"|"&amp;$L1974,ClientRates!$A$5:$A$500,0)),0))</f>
        <v/>
      </c>
      <c r="O1974" s="26" t="str">
        <f aca="false">IF($D1974="","",F1974*M1974+G1974*N1974)</f>
        <v/>
      </c>
      <c r="P1974" s="26" t="str">
        <f aca="false">IF(OR($D1974="",$J1974&lt;&gt;"Supplier"),"",IFERROR(INDEX(SupplierRates!$D$5:$D$500,MATCH($K1974&amp;"|"&amp;$L1974,SupplierRates!$A$5:$A$500,0)),0))</f>
        <v/>
      </c>
      <c r="Q1974" s="26" t="str">
        <f aca="false">IF(OR($D1974="",$J1974&lt;&gt;"Supplier"),"",IFERROR(INDEX(SupplierRates!$E$5:$E$500,MATCH($K1974&amp;"|"&amp;$L1974,SupplierRates!$A$5:$A$500,0)),0))</f>
        <v/>
      </c>
      <c r="R1974" s="26" t="n">
        <f aca="false">IF(OR($D1974="",$J1974&lt;&gt;"Supplier"),0,F1974*P1974+G1974*Q1974)</f>
        <v>0</v>
      </c>
      <c r="S1974" s="26" t="n">
        <f aca="false">IF(OR($D1974="",$J1974&lt;&gt;"Own"),0,IFERROR((F1974+G1974*Settings!$B$13)*INDEX(Workers!$V$5:$V$2004,MATCH($D1974,Workers!$A$5:$A$2004,0)),0))</f>
        <v>0</v>
      </c>
      <c r="T1974" s="26" t="str">
        <f aca="false">IF($D1974="","",O1974-R1974-S1974)</f>
        <v/>
      </c>
    </row>
    <row r="1975" customFormat="false" ht="15" hidden="false" customHeight="false" outlineLevel="0" collapsed="false">
      <c r="I1975" s="24" t="str">
        <f aca="false">IF($D1975="","",IFERROR(INDEX(Workers!$B$5:$B$2004,MATCH($D1975,Workers!$A$5:$A$2004,0)),"NOT FOUND"))</f>
        <v/>
      </c>
      <c r="J1975" s="24" t="str">
        <f aca="false">IF($D1975="","",IFERROR(INDEX(Workers!$C$5:$C$2004,MATCH($D1975,Workers!$A$5:$A$2004,0)),""))</f>
        <v/>
      </c>
      <c r="K1975" s="24" t="str">
        <f aca="false">IF($D1975="","",IFERROR(IF(INDEX(Workers!$D$5:$D$2004,MATCH($D1975,Workers!$A$5:$A$2004,0))=0,"",INDEX(Workers!$D$5:$D$2004,MATCH($D1975,Workers!$A$5:$A$2004,0))),""))</f>
        <v/>
      </c>
      <c r="L1975" s="24" t="str">
        <f aca="false">IF($D1975="","",IFERROR(INDEX(Workers!$E$5:$E$2004,MATCH($D1975,Workers!$A$5:$A$2004,0)),""))</f>
        <v/>
      </c>
      <c r="M1975" s="26" t="str">
        <f aca="false">IF($D1975="","",IFERROR(INDEX(ClientRates!$D$5:$D$500,MATCH($B1975&amp;"|"&amp;$L1975,ClientRates!$A$5:$A$500,0)),0))</f>
        <v/>
      </c>
      <c r="N1975" s="26" t="str">
        <f aca="false">IF($D1975="","",IFERROR(INDEX(ClientRates!$E$5:$E$500,MATCH($B1975&amp;"|"&amp;$L1975,ClientRates!$A$5:$A$500,0)),0))</f>
        <v/>
      </c>
      <c r="O1975" s="26" t="str">
        <f aca="false">IF($D1975="","",F1975*M1975+G1975*N1975)</f>
        <v/>
      </c>
      <c r="P1975" s="26" t="str">
        <f aca="false">IF(OR($D1975="",$J1975&lt;&gt;"Supplier"),"",IFERROR(INDEX(SupplierRates!$D$5:$D$500,MATCH($K1975&amp;"|"&amp;$L1975,SupplierRates!$A$5:$A$500,0)),0))</f>
        <v/>
      </c>
      <c r="Q1975" s="26" t="str">
        <f aca="false">IF(OR($D1975="",$J1975&lt;&gt;"Supplier"),"",IFERROR(INDEX(SupplierRates!$E$5:$E$500,MATCH($K1975&amp;"|"&amp;$L1975,SupplierRates!$A$5:$A$500,0)),0))</f>
        <v/>
      </c>
      <c r="R1975" s="26" t="n">
        <f aca="false">IF(OR($D1975="",$J1975&lt;&gt;"Supplier"),0,F1975*P1975+G1975*Q1975)</f>
        <v>0</v>
      </c>
      <c r="S1975" s="26" t="n">
        <f aca="false">IF(OR($D1975="",$J1975&lt;&gt;"Own"),0,IFERROR((F1975+G1975*Settings!$B$13)*INDEX(Workers!$V$5:$V$2004,MATCH($D1975,Workers!$A$5:$A$2004,0)),0))</f>
        <v>0</v>
      </c>
      <c r="T1975" s="26" t="str">
        <f aca="false">IF($D1975="","",O1975-R1975-S1975)</f>
        <v/>
      </c>
    </row>
    <row r="1976" customFormat="false" ht="15" hidden="false" customHeight="false" outlineLevel="0" collapsed="false">
      <c r="I1976" s="24" t="str">
        <f aca="false">IF($D1976="","",IFERROR(INDEX(Workers!$B$5:$B$2004,MATCH($D1976,Workers!$A$5:$A$2004,0)),"NOT FOUND"))</f>
        <v/>
      </c>
      <c r="J1976" s="24" t="str">
        <f aca="false">IF($D1976="","",IFERROR(INDEX(Workers!$C$5:$C$2004,MATCH($D1976,Workers!$A$5:$A$2004,0)),""))</f>
        <v/>
      </c>
      <c r="K1976" s="24" t="str">
        <f aca="false">IF($D1976="","",IFERROR(IF(INDEX(Workers!$D$5:$D$2004,MATCH($D1976,Workers!$A$5:$A$2004,0))=0,"",INDEX(Workers!$D$5:$D$2004,MATCH($D1976,Workers!$A$5:$A$2004,0))),""))</f>
        <v/>
      </c>
      <c r="L1976" s="24" t="str">
        <f aca="false">IF($D1976="","",IFERROR(INDEX(Workers!$E$5:$E$2004,MATCH($D1976,Workers!$A$5:$A$2004,0)),""))</f>
        <v/>
      </c>
      <c r="M1976" s="26" t="str">
        <f aca="false">IF($D1976="","",IFERROR(INDEX(ClientRates!$D$5:$D$500,MATCH($B1976&amp;"|"&amp;$L1976,ClientRates!$A$5:$A$500,0)),0))</f>
        <v/>
      </c>
      <c r="N1976" s="26" t="str">
        <f aca="false">IF($D1976="","",IFERROR(INDEX(ClientRates!$E$5:$E$500,MATCH($B1976&amp;"|"&amp;$L1976,ClientRates!$A$5:$A$500,0)),0))</f>
        <v/>
      </c>
      <c r="O1976" s="26" t="str">
        <f aca="false">IF($D1976="","",F1976*M1976+G1976*N1976)</f>
        <v/>
      </c>
      <c r="P1976" s="26" t="str">
        <f aca="false">IF(OR($D1976="",$J1976&lt;&gt;"Supplier"),"",IFERROR(INDEX(SupplierRates!$D$5:$D$500,MATCH($K1976&amp;"|"&amp;$L1976,SupplierRates!$A$5:$A$500,0)),0))</f>
        <v/>
      </c>
      <c r="Q1976" s="26" t="str">
        <f aca="false">IF(OR($D1976="",$J1976&lt;&gt;"Supplier"),"",IFERROR(INDEX(SupplierRates!$E$5:$E$500,MATCH($K1976&amp;"|"&amp;$L1976,SupplierRates!$A$5:$A$500,0)),0))</f>
        <v/>
      </c>
      <c r="R1976" s="26" t="n">
        <f aca="false">IF(OR($D1976="",$J1976&lt;&gt;"Supplier"),0,F1976*P1976+G1976*Q1976)</f>
        <v>0</v>
      </c>
      <c r="S1976" s="26" t="n">
        <f aca="false">IF(OR($D1976="",$J1976&lt;&gt;"Own"),0,IFERROR((F1976+G1976*Settings!$B$13)*INDEX(Workers!$V$5:$V$2004,MATCH($D1976,Workers!$A$5:$A$2004,0)),0))</f>
        <v>0</v>
      </c>
      <c r="T1976" s="26" t="str">
        <f aca="false">IF($D1976="","",O1976-R1976-S1976)</f>
        <v/>
      </c>
    </row>
    <row r="1977" customFormat="false" ht="15" hidden="false" customHeight="false" outlineLevel="0" collapsed="false">
      <c r="I1977" s="24" t="str">
        <f aca="false">IF($D1977="","",IFERROR(INDEX(Workers!$B$5:$B$2004,MATCH($D1977,Workers!$A$5:$A$2004,0)),"NOT FOUND"))</f>
        <v/>
      </c>
      <c r="J1977" s="24" t="str">
        <f aca="false">IF($D1977="","",IFERROR(INDEX(Workers!$C$5:$C$2004,MATCH($D1977,Workers!$A$5:$A$2004,0)),""))</f>
        <v/>
      </c>
      <c r="K1977" s="24" t="str">
        <f aca="false">IF($D1977="","",IFERROR(IF(INDEX(Workers!$D$5:$D$2004,MATCH($D1977,Workers!$A$5:$A$2004,0))=0,"",INDEX(Workers!$D$5:$D$2004,MATCH($D1977,Workers!$A$5:$A$2004,0))),""))</f>
        <v/>
      </c>
      <c r="L1977" s="24" t="str">
        <f aca="false">IF($D1977="","",IFERROR(INDEX(Workers!$E$5:$E$2004,MATCH($D1977,Workers!$A$5:$A$2004,0)),""))</f>
        <v/>
      </c>
      <c r="M1977" s="26" t="str">
        <f aca="false">IF($D1977="","",IFERROR(INDEX(ClientRates!$D$5:$D$500,MATCH($B1977&amp;"|"&amp;$L1977,ClientRates!$A$5:$A$500,0)),0))</f>
        <v/>
      </c>
      <c r="N1977" s="26" t="str">
        <f aca="false">IF($D1977="","",IFERROR(INDEX(ClientRates!$E$5:$E$500,MATCH($B1977&amp;"|"&amp;$L1977,ClientRates!$A$5:$A$500,0)),0))</f>
        <v/>
      </c>
      <c r="O1977" s="26" t="str">
        <f aca="false">IF($D1977="","",F1977*M1977+G1977*N1977)</f>
        <v/>
      </c>
      <c r="P1977" s="26" t="str">
        <f aca="false">IF(OR($D1977="",$J1977&lt;&gt;"Supplier"),"",IFERROR(INDEX(SupplierRates!$D$5:$D$500,MATCH($K1977&amp;"|"&amp;$L1977,SupplierRates!$A$5:$A$500,0)),0))</f>
        <v/>
      </c>
      <c r="Q1977" s="26" t="str">
        <f aca="false">IF(OR($D1977="",$J1977&lt;&gt;"Supplier"),"",IFERROR(INDEX(SupplierRates!$E$5:$E$500,MATCH($K1977&amp;"|"&amp;$L1977,SupplierRates!$A$5:$A$500,0)),0))</f>
        <v/>
      </c>
      <c r="R1977" s="26" t="n">
        <f aca="false">IF(OR($D1977="",$J1977&lt;&gt;"Supplier"),0,F1977*P1977+G1977*Q1977)</f>
        <v>0</v>
      </c>
      <c r="S1977" s="26" t="n">
        <f aca="false">IF(OR($D1977="",$J1977&lt;&gt;"Own"),0,IFERROR((F1977+G1977*Settings!$B$13)*INDEX(Workers!$V$5:$V$2004,MATCH($D1977,Workers!$A$5:$A$2004,0)),0))</f>
        <v>0</v>
      </c>
      <c r="T1977" s="26" t="str">
        <f aca="false">IF($D1977="","",O1977-R1977-S1977)</f>
        <v/>
      </c>
    </row>
    <row r="1978" customFormat="false" ht="15" hidden="false" customHeight="false" outlineLevel="0" collapsed="false">
      <c r="I1978" s="24" t="str">
        <f aca="false">IF($D1978="","",IFERROR(INDEX(Workers!$B$5:$B$2004,MATCH($D1978,Workers!$A$5:$A$2004,0)),"NOT FOUND"))</f>
        <v/>
      </c>
      <c r="J1978" s="24" t="str">
        <f aca="false">IF($D1978="","",IFERROR(INDEX(Workers!$C$5:$C$2004,MATCH($D1978,Workers!$A$5:$A$2004,0)),""))</f>
        <v/>
      </c>
      <c r="K1978" s="24" t="str">
        <f aca="false">IF($D1978="","",IFERROR(IF(INDEX(Workers!$D$5:$D$2004,MATCH($D1978,Workers!$A$5:$A$2004,0))=0,"",INDEX(Workers!$D$5:$D$2004,MATCH($D1978,Workers!$A$5:$A$2004,0))),""))</f>
        <v/>
      </c>
      <c r="L1978" s="24" t="str">
        <f aca="false">IF($D1978="","",IFERROR(INDEX(Workers!$E$5:$E$2004,MATCH($D1978,Workers!$A$5:$A$2004,0)),""))</f>
        <v/>
      </c>
      <c r="M1978" s="26" t="str">
        <f aca="false">IF($D1978="","",IFERROR(INDEX(ClientRates!$D$5:$D$500,MATCH($B1978&amp;"|"&amp;$L1978,ClientRates!$A$5:$A$500,0)),0))</f>
        <v/>
      </c>
      <c r="N1978" s="26" t="str">
        <f aca="false">IF($D1978="","",IFERROR(INDEX(ClientRates!$E$5:$E$500,MATCH($B1978&amp;"|"&amp;$L1978,ClientRates!$A$5:$A$500,0)),0))</f>
        <v/>
      </c>
      <c r="O1978" s="26" t="str">
        <f aca="false">IF($D1978="","",F1978*M1978+G1978*N1978)</f>
        <v/>
      </c>
      <c r="P1978" s="26" t="str">
        <f aca="false">IF(OR($D1978="",$J1978&lt;&gt;"Supplier"),"",IFERROR(INDEX(SupplierRates!$D$5:$D$500,MATCH($K1978&amp;"|"&amp;$L1978,SupplierRates!$A$5:$A$500,0)),0))</f>
        <v/>
      </c>
      <c r="Q1978" s="26" t="str">
        <f aca="false">IF(OR($D1978="",$J1978&lt;&gt;"Supplier"),"",IFERROR(INDEX(SupplierRates!$E$5:$E$500,MATCH($K1978&amp;"|"&amp;$L1978,SupplierRates!$A$5:$A$500,0)),0))</f>
        <v/>
      </c>
      <c r="R1978" s="26" t="n">
        <f aca="false">IF(OR($D1978="",$J1978&lt;&gt;"Supplier"),0,F1978*P1978+G1978*Q1978)</f>
        <v>0</v>
      </c>
      <c r="S1978" s="26" t="n">
        <f aca="false">IF(OR($D1978="",$J1978&lt;&gt;"Own"),0,IFERROR((F1978+G1978*Settings!$B$13)*INDEX(Workers!$V$5:$V$2004,MATCH($D1978,Workers!$A$5:$A$2004,0)),0))</f>
        <v>0</v>
      </c>
      <c r="T1978" s="26" t="str">
        <f aca="false">IF($D1978="","",O1978-R1978-S1978)</f>
        <v/>
      </c>
    </row>
    <row r="1979" customFormat="false" ht="15" hidden="false" customHeight="false" outlineLevel="0" collapsed="false">
      <c r="I1979" s="24" t="str">
        <f aca="false">IF($D1979="","",IFERROR(INDEX(Workers!$B$5:$B$2004,MATCH($D1979,Workers!$A$5:$A$2004,0)),"NOT FOUND"))</f>
        <v/>
      </c>
      <c r="J1979" s="24" t="str">
        <f aca="false">IF($D1979="","",IFERROR(INDEX(Workers!$C$5:$C$2004,MATCH($D1979,Workers!$A$5:$A$2004,0)),""))</f>
        <v/>
      </c>
      <c r="K1979" s="24" t="str">
        <f aca="false">IF($D1979="","",IFERROR(IF(INDEX(Workers!$D$5:$D$2004,MATCH($D1979,Workers!$A$5:$A$2004,0))=0,"",INDEX(Workers!$D$5:$D$2004,MATCH($D1979,Workers!$A$5:$A$2004,0))),""))</f>
        <v/>
      </c>
      <c r="L1979" s="24" t="str">
        <f aca="false">IF($D1979="","",IFERROR(INDEX(Workers!$E$5:$E$2004,MATCH($D1979,Workers!$A$5:$A$2004,0)),""))</f>
        <v/>
      </c>
      <c r="M1979" s="26" t="str">
        <f aca="false">IF($D1979="","",IFERROR(INDEX(ClientRates!$D$5:$D$500,MATCH($B1979&amp;"|"&amp;$L1979,ClientRates!$A$5:$A$500,0)),0))</f>
        <v/>
      </c>
      <c r="N1979" s="26" t="str">
        <f aca="false">IF($D1979="","",IFERROR(INDEX(ClientRates!$E$5:$E$500,MATCH($B1979&amp;"|"&amp;$L1979,ClientRates!$A$5:$A$500,0)),0))</f>
        <v/>
      </c>
      <c r="O1979" s="26" t="str">
        <f aca="false">IF($D1979="","",F1979*M1979+G1979*N1979)</f>
        <v/>
      </c>
      <c r="P1979" s="26" t="str">
        <f aca="false">IF(OR($D1979="",$J1979&lt;&gt;"Supplier"),"",IFERROR(INDEX(SupplierRates!$D$5:$D$500,MATCH($K1979&amp;"|"&amp;$L1979,SupplierRates!$A$5:$A$500,0)),0))</f>
        <v/>
      </c>
      <c r="Q1979" s="26" t="str">
        <f aca="false">IF(OR($D1979="",$J1979&lt;&gt;"Supplier"),"",IFERROR(INDEX(SupplierRates!$E$5:$E$500,MATCH($K1979&amp;"|"&amp;$L1979,SupplierRates!$A$5:$A$500,0)),0))</f>
        <v/>
      </c>
      <c r="R1979" s="26" t="n">
        <f aca="false">IF(OR($D1979="",$J1979&lt;&gt;"Supplier"),0,F1979*P1979+G1979*Q1979)</f>
        <v>0</v>
      </c>
      <c r="S1979" s="26" t="n">
        <f aca="false">IF(OR($D1979="",$J1979&lt;&gt;"Own"),0,IFERROR((F1979+G1979*Settings!$B$13)*INDEX(Workers!$V$5:$V$2004,MATCH($D1979,Workers!$A$5:$A$2004,0)),0))</f>
        <v>0</v>
      </c>
      <c r="T1979" s="26" t="str">
        <f aca="false">IF($D1979="","",O1979-R1979-S1979)</f>
        <v/>
      </c>
    </row>
    <row r="1980" customFormat="false" ht="15" hidden="false" customHeight="false" outlineLevel="0" collapsed="false">
      <c r="I1980" s="24" t="str">
        <f aca="false">IF($D1980="","",IFERROR(INDEX(Workers!$B$5:$B$2004,MATCH($D1980,Workers!$A$5:$A$2004,0)),"NOT FOUND"))</f>
        <v/>
      </c>
      <c r="J1980" s="24" t="str">
        <f aca="false">IF($D1980="","",IFERROR(INDEX(Workers!$C$5:$C$2004,MATCH($D1980,Workers!$A$5:$A$2004,0)),""))</f>
        <v/>
      </c>
      <c r="K1980" s="24" t="str">
        <f aca="false">IF($D1980="","",IFERROR(IF(INDEX(Workers!$D$5:$D$2004,MATCH($D1980,Workers!$A$5:$A$2004,0))=0,"",INDEX(Workers!$D$5:$D$2004,MATCH($D1980,Workers!$A$5:$A$2004,0))),""))</f>
        <v/>
      </c>
      <c r="L1980" s="24" t="str">
        <f aca="false">IF($D1980="","",IFERROR(INDEX(Workers!$E$5:$E$2004,MATCH($D1980,Workers!$A$5:$A$2004,0)),""))</f>
        <v/>
      </c>
      <c r="M1980" s="26" t="str">
        <f aca="false">IF($D1980="","",IFERROR(INDEX(ClientRates!$D$5:$D$500,MATCH($B1980&amp;"|"&amp;$L1980,ClientRates!$A$5:$A$500,0)),0))</f>
        <v/>
      </c>
      <c r="N1980" s="26" t="str">
        <f aca="false">IF($D1980="","",IFERROR(INDEX(ClientRates!$E$5:$E$500,MATCH($B1980&amp;"|"&amp;$L1980,ClientRates!$A$5:$A$500,0)),0))</f>
        <v/>
      </c>
      <c r="O1980" s="26" t="str">
        <f aca="false">IF($D1980="","",F1980*M1980+G1980*N1980)</f>
        <v/>
      </c>
      <c r="P1980" s="26" t="str">
        <f aca="false">IF(OR($D1980="",$J1980&lt;&gt;"Supplier"),"",IFERROR(INDEX(SupplierRates!$D$5:$D$500,MATCH($K1980&amp;"|"&amp;$L1980,SupplierRates!$A$5:$A$500,0)),0))</f>
        <v/>
      </c>
      <c r="Q1980" s="26" t="str">
        <f aca="false">IF(OR($D1980="",$J1980&lt;&gt;"Supplier"),"",IFERROR(INDEX(SupplierRates!$E$5:$E$500,MATCH($K1980&amp;"|"&amp;$L1980,SupplierRates!$A$5:$A$500,0)),0))</f>
        <v/>
      </c>
      <c r="R1980" s="26" t="n">
        <f aca="false">IF(OR($D1980="",$J1980&lt;&gt;"Supplier"),0,F1980*P1980+G1980*Q1980)</f>
        <v>0</v>
      </c>
      <c r="S1980" s="26" t="n">
        <f aca="false">IF(OR($D1980="",$J1980&lt;&gt;"Own"),0,IFERROR((F1980+G1980*Settings!$B$13)*INDEX(Workers!$V$5:$V$2004,MATCH($D1980,Workers!$A$5:$A$2004,0)),0))</f>
        <v>0</v>
      </c>
      <c r="T1980" s="26" t="str">
        <f aca="false">IF($D1980="","",O1980-R1980-S1980)</f>
        <v/>
      </c>
    </row>
    <row r="1981" customFormat="false" ht="15" hidden="false" customHeight="false" outlineLevel="0" collapsed="false">
      <c r="I1981" s="24" t="str">
        <f aca="false">IF($D1981="","",IFERROR(INDEX(Workers!$B$5:$B$2004,MATCH($D1981,Workers!$A$5:$A$2004,0)),"NOT FOUND"))</f>
        <v/>
      </c>
      <c r="J1981" s="24" t="str">
        <f aca="false">IF($D1981="","",IFERROR(INDEX(Workers!$C$5:$C$2004,MATCH($D1981,Workers!$A$5:$A$2004,0)),""))</f>
        <v/>
      </c>
      <c r="K1981" s="24" t="str">
        <f aca="false">IF($D1981="","",IFERROR(IF(INDEX(Workers!$D$5:$D$2004,MATCH($D1981,Workers!$A$5:$A$2004,0))=0,"",INDEX(Workers!$D$5:$D$2004,MATCH($D1981,Workers!$A$5:$A$2004,0))),""))</f>
        <v/>
      </c>
      <c r="L1981" s="24" t="str">
        <f aca="false">IF($D1981="","",IFERROR(INDEX(Workers!$E$5:$E$2004,MATCH($D1981,Workers!$A$5:$A$2004,0)),""))</f>
        <v/>
      </c>
      <c r="M1981" s="26" t="str">
        <f aca="false">IF($D1981="","",IFERROR(INDEX(ClientRates!$D$5:$D$500,MATCH($B1981&amp;"|"&amp;$L1981,ClientRates!$A$5:$A$500,0)),0))</f>
        <v/>
      </c>
      <c r="N1981" s="26" t="str">
        <f aca="false">IF($D1981="","",IFERROR(INDEX(ClientRates!$E$5:$E$500,MATCH($B1981&amp;"|"&amp;$L1981,ClientRates!$A$5:$A$500,0)),0))</f>
        <v/>
      </c>
      <c r="O1981" s="26" t="str">
        <f aca="false">IF($D1981="","",F1981*M1981+G1981*N1981)</f>
        <v/>
      </c>
      <c r="P1981" s="26" t="str">
        <f aca="false">IF(OR($D1981="",$J1981&lt;&gt;"Supplier"),"",IFERROR(INDEX(SupplierRates!$D$5:$D$500,MATCH($K1981&amp;"|"&amp;$L1981,SupplierRates!$A$5:$A$500,0)),0))</f>
        <v/>
      </c>
      <c r="Q1981" s="26" t="str">
        <f aca="false">IF(OR($D1981="",$J1981&lt;&gt;"Supplier"),"",IFERROR(INDEX(SupplierRates!$E$5:$E$500,MATCH($K1981&amp;"|"&amp;$L1981,SupplierRates!$A$5:$A$500,0)),0))</f>
        <v/>
      </c>
      <c r="R1981" s="26" t="n">
        <f aca="false">IF(OR($D1981="",$J1981&lt;&gt;"Supplier"),0,F1981*P1981+G1981*Q1981)</f>
        <v>0</v>
      </c>
      <c r="S1981" s="26" t="n">
        <f aca="false">IF(OR($D1981="",$J1981&lt;&gt;"Own"),0,IFERROR((F1981+G1981*Settings!$B$13)*INDEX(Workers!$V$5:$V$2004,MATCH($D1981,Workers!$A$5:$A$2004,0)),0))</f>
        <v>0</v>
      </c>
      <c r="T1981" s="26" t="str">
        <f aca="false">IF($D1981="","",O1981-R1981-S1981)</f>
        <v/>
      </c>
    </row>
    <row r="1982" customFormat="false" ht="15" hidden="false" customHeight="false" outlineLevel="0" collapsed="false">
      <c r="I1982" s="24" t="str">
        <f aca="false">IF($D1982="","",IFERROR(INDEX(Workers!$B$5:$B$2004,MATCH($D1982,Workers!$A$5:$A$2004,0)),"NOT FOUND"))</f>
        <v/>
      </c>
      <c r="J1982" s="24" t="str">
        <f aca="false">IF($D1982="","",IFERROR(INDEX(Workers!$C$5:$C$2004,MATCH($D1982,Workers!$A$5:$A$2004,0)),""))</f>
        <v/>
      </c>
      <c r="K1982" s="24" t="str">
        <f aca="false">IF($D1982="","",IFERROR(IF(INDEX(Workers!$D$5:$D$2004,MATCH($D1982,Workers!$A$5:$A$2004,0))=0,"",INDEX(Workers!$D$5:$D$2004,MATCH($D1982,Workers!$A$5:$A$2004,0))),""))</f>
        <v/>
      </c>
      <c r="L1982" s="24" t="str">
        <f aca="false">IF($D1982="","",IFERROR(INDEX(Workers!$E$5:$E$2004,MATCH($D1982,Workers!$A$5:$A$2004,0)),""))</f>
        <v/>
      </c>
      <c r="M1982" s="26" t="str">
        <f aca="false">IF($D1982="","",IFERROR(INDEX(ClientRates!$D$5:$D$500,MATCH($B1982&amp;"|"&amp;$L1982,ClientRates!$A$5:$A$500,0)),0))</f>
        <v/>
      </c>
      <c r="N1982" s="26" t="str">
        <f aca="false">IF($D1982="","",IFERROR(INDEX(ClientRates!$E$5:$E$500,MATCH($B1982&amp;"|"&amp;$L1982,ClientRates!$A$5:$A$500,0)),0))</f>
        <v/>
      </c>
      <c r="O1982" s="26" t="str">
        <f aca="false">IF($D1982="","",F1982*M1982+G1982*N1982)</f>
        <v/>
      </c>
      <c r="P1982" s="26" t="str">
        <f aca="false">IF(OR($D1982="",$J1982&lt;&gt;"Supplier"),"",IFERROR(INDEX(SupplierRates!$D$5:$D$500,MATCH($K1982&amp;"|"&amp;$L1982,SupplierRates!$A$5:$A$500,0)),0))</f>
        <v/>
      </c>
      <c r="Q1982" s="26" t="str">
        <f aca="false">IF(OR($D1982="",$J1982&lt;&gt;"Supplier"),"",IFERROR(INDEX(SupplierRates!$E$5:$E$500,MATCH($K1982&amp;"|"&amp;$L1982,SupplierRates!$A$5:$A$500,0)),0))</f>
        <v/>
      </c>
      <c r="R1982" s="26" t="n">
        <f aca="false">IF(OR($D1982="",$J1982&lt;&gt;"Supplier"),0,F1982*P1982+G1982*Q1982)</f>
        <v>0</v>
      </c>
      <c r="S1982" s="26" t="n">
        <f aca="false">IF(OR($D1982="",$J1982&lt;&gt;"Own"),0,IFERROR((F1982+G1982*Settings!$B$13)*INDEX(Workers!$V$5:$V$2004,MATCH($D1982,Workers!$A$5:$A$2004,0)),0))</f>
        <v>0</v>
      </c>
      <c r="T1982" s="26" t="str">
        <f aca="false">IF($D1982="","",O1982-R1982-S1982)</f>
        <v/>
      </c>
    </row>
    <row r="1983" customFormat="false" ht="15" hidden="false" customHeight="false" outlineLevel="0" collapsed="false">
      <c r="I1983" s="24" t="str">
        <f aca="false">IF($D1983="","",IFERROR(INDEX(Workers!$B$5:$B$2004,MATCH($D1983,Workers!$A$5:$A$2004,0)),"NOT FOUND"))</f>
        <v/>
      </c>
      <c r="J1983" s="24" t="str">
        <f aca="false">IF($D1983="","",IFERROR(INDEX(Workers!$C$5:$C$2004,MATCH($D1983,Workers!$A$5:$A$2004,0)),""))</f>
        <v/>
      </c>
      <c r="K1983" s="24" t="str">
        <f aca="false">IF($D1983="","",IFERROR(IF(INDEX(Workers!$D$5:$D$2004,MATCH($D1983,Workers!$A$5:$A$2004,0))=0,"",INDEX(Workers!$D$5:$D$2004,MATCH($D1983,Workers!$A$5:$A$2004,0))),""))</f>
        <v/>
      </c>
      <c r="L1983" s="24" t="str">
        <f aca="false">IF($D1983="","",IFERROR(INDEX(Workers!$E$5:$E$2004,MATCH($D1983,Workers!$A$5:$A$2004,0)),""))</f>
        <v/>
      </c>
      <c r="M1983" s="26" t="str">
        <f aca="false">IF($D1983="","",IFERROR(INDEX(ClientRates!$D$5:$D$500,MATCH($B1983&amp;"|"&amp;$L1983,ClientRates!$A$5:$A$500,0)),0))</f>
        <v/>
      </c>
      <c r="N1983" s="26" t="str">
        <f aca="false">IF($D1983="","",IFERROR(INDEX(ClientRates!$E$5:$E$500,MATCH($B1983&amp;"|"&amp;$L1983,ClientRates!$A$5:$A$500,0)),0))</f>
        <v/>
      </c>
      <c r="O1983" s="26" t="str">
        <f aca="false">IF($D1983="","",F1983*M1983+G1983*N1983)</f>
        <v/>
      </c>
      <c r="P1983" s="26" t="str">
        <f aca="false">IF(OR($D1983="",$J1983&lt;&gt;"Supplier"),"",IFERROR(INDEX(SupplierRates!$D$5:$D$500,MATCH($K1983&amp;"|"&amp;$L1983,SupplierRates!$A$5:$A$500,0)),0))</f>
        <v/>
      </c>
      <c r="Q1983" s="26" t="str">
        <f aca="false">IF(OR($D1983="",$J1983&lt;&gt;"Supplier"),"",IFERROR(INDEX(SupplierRates!$E$5:$E$500,MATCH($K1983&amp;"|"&amp;$L1983,SupplierRates!$A$5:$A$500,0)),0))</f>
        <v/>
      </c>
      <c r="R1983" s="26" t="n">
        <f aca="false">IF(OR($D1983="",$J1983&lt;&gt;"Supplier"),0,F1983*P1983+G1983*Q1983)</f>
        <v>0</v>
      </c>
      <c r="S1983" s="26" t="n">
        <f aca="false">IF(OR($D1983="",$J1983&lt;&gt;"Own"),0,IFERROR((F1983+G1983*Settings!$B$13)*INDEX(Workers!$V$5:$V$2004,MATCH($D1983,Workers!$A$5:$A$2004,0)),0))</f>
        <v>0</v>
      </c>
      <c r="T1983" s="26" t="str">
        <f aca="false">IF($D1983="","",O1983-R1983-S1983)</f>
        <v/>
      </c>
    </row>
    <row r="1984" customFormat="false" ht="15" hidden="false" customHeight="false" outlineLevel="0" collapsed="false">
      <c r="I1984" s="24" t="str">
        <f aca="false">IF($D1984="","",IFERROR(INDEX(Workers!$B$5:$B$2004,MATCH($D1984,Workers!$A$5:$A$2004,0)),"NOT FOUND"))</f>
        <v/>
      </c>
      <c r="J1984" s="24" t="str">
        <f aca="false">IF($D1984="","",IFERROR(INDEX(Workers!$C$5:$C$2004,MATCH($D1984,Workers!$A$5:$A$2004,0)),""))</f>
        <v/>
      </c>
      <c r="K1984" s="24" t="str">
        <f aca="false">IF($D1984="","",IFERROR(IF(INDEX(Workers!$D$5:$D$2004,MATCH($D1984,Workers!$A$5:$A$2004,0))=0,"",INDEX(Workers!$D$5:$D$2004,MATCH($D1984,Workers!$A$5:$A$2004,0))),""))</f>
        <v/>
      </c>
      <c r="L1984" s="24" t="str">
        <f aca="false">IF($D1984="","",IFERROR(INDEX(Workers!$E$5:$E$2004,MATCH($D1984,Workers!$A$5:$A$2004,0)),""))</f>
        <v/>
      </c>
      <c r="M1984" s="26" t="str">
        <f aca="false">IF($D1984="","",IFERROR(INDEX(ClientRates!$D$5:$D$500,MATCH($B1984&amp;"|"&amp;$L1984,ClientRates!$A$5:$A$500,0)),0))</f>
        <v/>
      </c>
      <c r="N1984" s="26" t="str">
        <f aca="false">IF($D1984="","",IFERROR(INDEX(ClientRates!$E$5:$E$500,MATCH($B1984&amp;"|"&amp;$L1984,ClientRates!$A$5:$A$500,0)),0))</f>
        <v/>
      </c>
      <c r="O1984" s="26" t="str">
        <f aca="false">IF($D1984="","",F1984*M1984+G1984*N1984)</f>
        <v/>
      </c>
      <c r="P1984" s="26" t="str">
        <f aca="false">IF(OR($D1984="",$J1984&lt;&gt;"Supplier"),"",IFERROR(INDEX(SupplierRates!$D$5:$D$500,MATCH($K1984&amp;"|"&amp;$L1984,SupplierRates!$A$5:$A$500,0)),0))</f>
        <v/>
      </c>
      <c r="Q1984" s="26" t="str">
        <f aca="false">IF(OR($D1984="",$J1984&lt;&gt;"Supplier"),"",IFERROR(INDEX(SupplierRates!$E$5:$E$500,MATCH($K1984&amp;"|"&amp;$L1984,SupplierRates!$A$5:$A$500,0)),0))</f>
        <v/>
      </c>
      <c r="R1984" s="26" t="n">
        <f aca="false">IF(OR($D1984="",$J1984&lt;&gt;"Supplier"),0,F1984*P1984+G1984*Q1984)</f>
        <v>0</v>
      </c>
      <c r="S1984" s="26" t="n">
        <f aca="false">IF(OR($D1984="",$J1984&lt;&gt;"Own"),0,IFERROR((F1984+G1984*Settings!$B$13)*INDEX(Workers!$V$5:$V$2004,MATCH($D1984,Workers!$A$5:$A$2004,0)),0))</f>
        <v>0</v>
      </c>
      <c r="T1984" s="26" t="str">
        <f aca="false">IF($D1984="","",O1984-R1984-S1984)</f>
        <v/>
      </c>
    </row>
    <row r="1985" customFormat="false" ht="15" hidden="false" customHeight="false" outlineLevel="0" collapsed="false">
      <c r="I1985" s="24" t="str">
        <f aca="false">IF($D1985="","",IFERROR(INDEX(Workers!$B$5:$B$2004,MATCH($D1985,Workers!$A$5:$A$2004,0)),"NOT FOUND"))</f>
        <v/>
      </c>
      <c r="J1985" s="24" t="str">
        <f aca="false">IF($D1985="","",IFERROR(INDEX(Workers!$C$5:$C$2004,MATCH($D1985,Workers!$A$5:$A$2004,0)),""))</f>
        <v/>
      </c>
      <c r="K1985" s="24" t="str">
        <f aca="false">IF($D1985="","",IFERROR(IF(INDEX(Workers!$D$5:$D$2004,MATCH($D1985,Workers!$A$5:$A$2004,0))=0,"",INDEX(Workers!$D$5:$D$2004,MATCH($D1985,Workers!$A$5:$A$2004,0))),""))</f>
        <v/>
      </c>
      <c r="L1985" s="24" t="str">
        <f aca="false">IF($D1985="","",IFERROR(INDEX(Workers!$E$5:$E$2004,MATCH($D1985,Workers!$A$5:$A$2004,0)),""))</f>
        <v/>
      </c>
      <c r="M1985" s="26" t="str">
        <f aca="false">IF($D1985="","",IFERROR(INDEX(ClientRates!$D$5:$D$500,MATCH($B1985&amp;"|"&amp;$L1985,ClientRates!$A$5:$A$500,0)),0))</f>
        <v/>
      </c>
      <c r="N1985" s="26" t="str">
        <f aca="false">IF($D1985="","",IFERROR(INDEX(ClientRates!$E$5:$E$500,MATCH($B1985&amp;"|"&amp;$L1985,ClientRates!$A$5:$A$500,0)),0))</f>
        <v/>
      </c>
      <c r="O1985" s="26" t="str">
        <f aca="false">IF($D1985="","",F1985*M1985+G1985*N1985)</f>
        <v/>
      </c>
      <c r="P1985" s="26" t="str">
        <f aca="false">IF(OR($D1985="",$J1985&lt;&gt;"Supplier"),"",IFERROR(INDEX(SupplierRates!$D$5:$D$500,MATCH($K1985&amp;"|"&amp;$L1985,SupplierRates!$A$5:$A$500,0)),0))</f>
        <v/>
      </c>
      <c r="Q1985" s="26" t="str">
        <f aca="false">IF(OR($D1985="",$J1985&lt;&gt;"Supplier"),"",IFERROR(INDEX(SupplierRates!$E$5:$E$500,MATCH($K1985&amp;"|"&amp;$L1985,SupplierRates!$A$5:$A$500,0)),0))</f>
        <v/>
      </c>
      <c r="R1985" s="26" t="n">
        <f aca="false">IF(OR($D1985="",$J1985&lt;&gt;"Supplier"),0,F1985*P1985+G1985*Q1985)</f>
        <v>0</v>
      </c>
      <c r="S1985" s="26" t="n">
        <f aca="false">IF(OR($D1985="",$J1985&lt;&gt;"Own"),0,IFERROR((F1985+G1985*Settings!$B$13)*INDEX(Workers!$V$5:$V$2004,MATCH($D1985,Workers!$A$5:$A$2004,0)),0))</f>
        <v>0</v>
      </c>
      <c r="T1985" s="26" t="str">
        <f aca="false">IF($D1985="","",O1985-R1985-S1985)</f>
        <v/>
      </c>
    </row>
    <row r="1986" customFormat="false" ht="15" hidden="false" customHeight="false" outlineLevel="0" collapsed="false">
      <c r="I1986" s="24" t="str">
        <f aca="false">IF($D1986="","",IFERROR(INDEX(Workers!$B$5:$B$2004,MATCH($D1986,Workers!$A$5:$A$2004,0)),"NOT FOUND"))</f>
        <v/>
      </c>
      <c r="J1986" s="24" t="str">
        <f aca="false">IF($D1986="","",IFERROR(INDEX(Workers!$C$5:$C$2004,MATCH($D1986,Workers!$A$5:$A$2004,0)),""))</f>
        <v/>
      </c>
      <c r="K1986" s="24" t="str">
        <f aca="false">IF($D1986="","",IFERROR(IF(INDEX(Workers!$D$5:$D$2004,MATCH($D1986,Workers!$A$5:$A$2004,0))=0,"",INDEX(Workers!$D$5:$D$2004,MATCH($D1986,Workers!$A$5:$A$2004,0))),""))</f>
        <v/>
      </c>
      <c r="L1986" s="24" t="str">
        <f aca="false">IF($D1986="","",IFERROR(INDEX(Workers!$E$5:$E$2004,MATCH($D1986,Workers!$A$5:$A$2004,0)),""))</f>
        <v/>
      </c>
      <c r="M1986" s="26" t="str">
        <f aca="false">IF($D1986="","",IFERROR(INDEX(ClientRates!$D$5:$D$500,MATCH($B1986&amp;"|"&amp;$L1986,ClientRates!$A$5:$A$500,0)),0))</f>
        <v/>
      </c>
      <c r="N1986" s="26" t="str">
        <f aca="false">IF($D1986="","",IFERROR(INDEX(ClientRates!$E$5:$E$500,MATCH($B1986&amp;"|"&amp;$L1986,ClientRates!$A$5:$A$500,0)),0))</f>
        <v/>
      </c>
      <c r="O1986" s="26" t="str">
        <f aca="false">IF($D1986="","",F1986*M1986+G1986*N1986)</f>
        <v/>
      </c>
      <c r="P1986" s="26" t="str">
        <f aca="false">IF(OR($D1986="",$J1986&lt;&gt;"Supplier"),"",IFERROR(INDEX(SupplierRates!$D$5:$D$500,MATCH($K1986&amp;"|"&amp;$L1986,SupplierRates!$A$5:$A$500,0)),0))</f>
        <v/>
      </c>
      <c r="Q1986" s="26" t="str">
        <f aca="false">IF(OR($D1986="",$J1986&lt;&gt;"Supplier"),"",IFERROR(INDEX(SupplierRates!$E$5:$E$500,MATCH($K1986&amp;"|"&amp;$L1986,SupplierRates!$A$5:$A$500,0)),0))</f>
        <v/>
      </c>
      <c r="R1986" s="26" t="n">
        <f aca="false">IF(OR($D1986="",$J1986&lt;&gt;"Supplier"),0,F1986*P1986+G1986*Q1986)</f>
        <v>0</v>
      </c>
      <c r="S1986" s="26" t="n">
        <f aca="false">IF(OR($D1986="",$J1986&lt;&gt;"Own"),0,IFERROR((F1986+G1986*Settings!$B$13)*INDEX(Workers!$V$5:$V$2004,MATCH($D1986,Workers!$A$5:$A$2004,0)),0))</f>
        <v>0</v>
      </c>
      <c r="T1986" s="26" t="str">
        <f aca="false">IF($D1986="","",O1986-R1986-S1986)</f>
        <v/>
      </c>
    </row>
    <row r="1987" customFormat="false" ht="15" hidden="false" customHeight="false" outlineLevel="0" collapsed="false">
      <c r="I1987" s="24" t="str">
        <f aca="false">IF($D1987="","",IFERROR(INDEX(Workers!$B$5:$B$2004,MATCH($D1987,Workers!$A$5:$A$2004,0)),"NOT FOUND"))</f>
        <v/>
      </c>
      <c r="J1987" s="24" t="str">
        <f aca="false">IF($D1987="","",IFERROR(INDEX(Workers!$C$5:$C$2004,MATCH($D1987,Workers!$A$5:$A$2004,0)),""))</f>
        <v/>
      </c>
      <c r="K1987" s="24" t="str">
        <f aca="false">IF($D1987="","",IFERROR(IF(INDEX(Workers!$D$5:$D$2004,MATCH($D1987,Workers!$A$5:$A$2004,0))=0,"",INDEX(Workers!$D$5:$D$2004,MATCH($D1987,Workers!$A$5:$A$2004,0))),""))</f>
        <v/>
      </c>
      <c r="L1987" s="24" t="str">
        <f aca="false">IF($D1987="","",IFERROR(INDEX(Workers!$E$5:$E$2004,MATCH($D1987,Workers!$A$5:$A$2004,0)),""))</f>
        <v/>
      </c>
      <c r="M1987" s="26" t="str">
        <f aca="false">IF($D1987="","",IFERROR(INDEX(ClientRates!$D$5:$D$500,MATCH($B1987&amp;"|"&amp;$L1987,ClientRates!$A$5:$A$500,0)),0))</f>
        <v/>
      </c>
      <c r="N1987" s="26" t="str">
        <f aca="false">IF($D1987="","",IFERROR(INDEX(ClientRates!$E$5:$E$500,MATCH($B1987&amp;"|"&amp;$L1987,ClientRates!$A$5:$A$500,0)),0))</f>
        <v/>
      </c>
      <c r="O1987" s="26" t="str">
        <f aca="false">IF($D1987="","",F1987*M1987+G1987*N1987)</f>
        <v/>
      </c>
      <c r="P1987" s="26" t="str">
        <f aca="false">IF(OR($D1987="",$J1987&lt;&gt;"Supplier"),"",IFERROR(INDEX(SupplierRates!$D$5:$D$500,MATCH($K1987&amp;"|"&amp;$L1987,SupplierRates!$A$5:$A$500,0)),0))</f>
        <v/>
      </c>
      <c r="Q1987" s="26" t="str">
        <f aca="false">IF(OR($D1987="",$J1987&lt;&gt;"Supplier"),"",IFERROR(INDEX(SupplierRates!$E$5:$E$500,MATCH($K1987&amp;"|"&amp;$L1987,SupplierRates!$A$5:$A$500,0)),0))</f>
        <v/>
      </c>
      <c r="R1987" s="26" t="n">
        <f aca="false">IF(OR($D1987="",$J1987&lt;&gt;"Supplier"),0,F1987*P1987+G1987*Q1987)</f>
        <v>0</v>
      </c>
      <c r="S1987" s="26" t="n">
        <f aca="false">IF(OR($D1987="",$J1987&lt;&gt;"Own"),0,IFERROR((F1987+G1987*Settings!$B$13)*INDEX(Workers!$V$5:$V$2004,MATCH($D1987,Workers!$A$5:$A$2004,0)),0))</f>
        <v>0</v>
      </c>
      <c r="T1987" s="26" t="str">
        <f aca="false">IF($D1987="","",O1987-R1987-S1987)</f>
        <v/>
      </c>
    </row>
    <row r="1988" customFormat="false" ht="15" hidden="false" customHeight="false" outlineLevel="0" collapsed="false">
      <c r="I1988" s="24" t="str">
        <f aca="false">IF($D1988="","",IFERROR(INDEX(Workers!$B$5:$B$2004,MATCH($D1988,Workers!$A$5:$A$2004,0)),"NOT FOUND"))</f>
        <v/>
      </c>
      <c r="J1988" s="24" t="str">
        <f aca="false">IF($D1988="","",IFERROR(INDEX(Workers!$C$5:$C$2004,MATCH($D1988,Workers!$A$5:$A$2004,0)),""))</f>
        <v/>
      </c>
      <c r="K1988" s="24" t="str">
        <f aca="false">IF($D1988="","",IFERROR(IF(INDEX(Workers!$D$5:$D$2004,MATCH($D1988,Workers!$A$5:$A$2004,0))=0,"",INDEX(Workers!$D$5:$D$2004,MATCH($D1988,Workers!$A$5:$A$2004,0))),""))</f>
        <v/>
      </c>
      <c r="L1988" s="24" t="str">
        <f aca="false">IF($D1988="","",IFERROR(INDEX(Workers!$E$5:$E$2004,MATCH($D1988,Workers!$A$5:$A$2004,0)),""))</f>
        <v/>
      </c>
      <c r="M1988" s="26" t="str">
        <f aca="false">IF($D1988="","",IFERROR(INDEX(ClientRates!$D$5:$D$500,MATCH($B1988&amp;"|"&amp;$L1988,ClientRates!$A$5:$A$500,0)),0))</f>
        <v/>
      </c>
      <c r="N1988" s="26" t="str">
        <f aca="false">IF($D1988="","",IFERROR(INDEX(ClientRates!$E$5:$E$500,MATCH($B1988&amp;"|"&amp;$L1988,ClientRates!$A$5:$A$500,0)),0))</f>
        <v/>
      </c>
      <c r="O1988" s="26" t="str">
        <f aca="false">IF($D1988="","",F1988*M1988+G1988*N1988)</f>
        <v/>
      </c>
      <c r="P1988" s="26" t="str">
        <f aca="false">IF(OR($D1988="",$J1988&lt;&gt;"Supplier"),"",IFERROR(INDEX(SupplierRates!$D$5:$D$500,MATCH($K1988&amp;"|"&amp;$L1988,SupplierRates!$A$5:$A$500,0)),0))</f>
        <v/>
      </c>
      <c r="Q1988" s="26" t="str">
        <f aca="false">IF(OR($D1988="",$J1988&lt;&gt;"Supplier"),"",IFERROR(INDEX(SupplierRates!$E$5:$E$500,MATCH($K1988&amp;"|"&amp;$L1988,SupplierRates!$A$5:$A$500,0)),0))</f>
        <v/>
      </c>
      <c r="R1988" s="26" t="n">
        <f aca="false">IF(OR($D1988="",$J1988&lt;&gt;"Supplier"),0,F1988*P1988+G1988*Q1988)</f>
        <v>0</v>
      </c>
      <c r="S1988" s="26" t="n">
        <f aca="false">IF(OR($D1988="",$J1988&lt;&gt;"Own"),0,IFERROR((F1988+G1988*Settings!$B$13)*INDEX(Workers!$V$5:$V$2004,MATCH($D1988,Workers!$A$5:$A$2004,0)),0))</f>
        <v>0</v>
      </c>
      <c r="T1988" s="26" t="str">
        <f aca="false">IF($D1988="","",O1988-R1988-S1988)</f>
        <v/>
      </c>
    </row>
    <row r="1989" customFormat="false" ht="15" hidden="false" customHeight="false" outlineLevel="0" collapsed="false">
      <c r="I1989" s="24" t="str">
        <f aca="false">IF($D1989="","",IFERROR(INDEX(Workers!$B$5:$B$2004,MATCH($D1989,Workers!$A$5:$A$2004,0)),"NOT FOUND"))</f>
        <v/>
      </c>
      <c r="J1989" s="24" t="str">
        <f aca="false">IF($D1989="","",IFERROR(INDEX(Workers!$C$5:$C$2004,MATCH($D1989,Workers!$A$5:$A$2004,0)),""))</f>
        <v/>
      </c>
      <c r="K1989" s="24" t="str">
        <f aca="false">IF($D1989="","",IFERROR(IF(INDEX(Workers!$D$5:$D$2004,MATCH($D1989,Workers!$A$5:$A$2004,0))=0,"",INDEX(Workers!$D$5:$D$2004,MATCH($D1989,Workers!$A$5:$A$2004,0))),""))</f>
        <v/>
      </c>
      <c r="L1989" s="24" t="str">
        <f aca="false">IF($D1989="","",IFERROR(INDEX(Workers!$E$5:$E$2004,MATCH($D1989,Workers!$A$5:$A$2004,0)),""))</f>
        <v/>
      </c>
      <c r="M1989" s="26" t="str">
        <f aca="false">IF($D1989="","",IFERROR(INDEX(ClientRates!$D$5:$D$500,MATCH($B1989&amp;"|"&amp;$L1989,ClientRates!$A$5:$A$500,0)),0))</f>
        <v/>
      </c>
      <c r="N1989" s="26" t="str">
        <f aca="false">IF($D1989="","",IFERROR(INDEX(ClientRates!$E$5:$E$500,MATCH($B1989&amp;"|"&amp;$L1989,ClientRates!$A$5:$A$500,0)),0))</f>
        <v/>
      </c>
      <c r="O1989" s="26" t="str">
        <f aca="false">IF($D1989="","",F1989*M1989+G1989*N1989)</f>
        <v/>
      </c>
      <c r="P1989" s="26" t="str">
        <f aca="false">IF(OR($D1989="",$J1989&lt;&gt;"Supplier"),"",IFERROR(INDEX(SupplierRates!$D$5:$D$500,MATCH($K1989&amp;"|"&amp;$L1989,SupplierRates!$A$5:$A$500,0)),0))</f>
        <v/>
      </c>
      <c r="Q1989" s="26" t="str">
        <f aca="false">IF(OR($D1989="",$J1989&lt;&gt;"Supplier"),"",IFERROR(INDEX(SupplierRates!$E$5:$E$500,MATCH($K1989&amp;"|"&amp;$L1989,SupplierRates!$A$5:$A$500,0)),0))</f>
        <v/>
      </c>
      <c r="R1989" s="26" t="n">
        <f aca="false">IF(OR($D1989="",$J1989&lt;&gt;"Supplier"),0,F1989*P1989+G1989*Q1989)</f>
        <v>0</v>
      </c>
      <c r="S1989" s="26" t="n">
        <f aca="false">IF(OR($D1989="",$J1989&lt;&gt;"Own"),0,IFERROR((F1989+G1989*Settings!$B$13)*INDEX(Workers!$V$5:$V$2004,MATCH($D1989,Workers!$A$5:$A$2004,0)),0))</f>
        <v>0</v>
      </c>
      <c r="T1989" s="26" t="str">
        <f aca="false">IF($D1989="","",O1989-R1989-S1989)</f>
        <v/>
      </c>
    </row>
    <row r="1990" customFormat="false" ht="15" hidden="false" customHeight="false" outlineLevel="0" collapsed="false">
      <c r="I1990" s="24" t="str">
        <f aca="false">IF($D1990="","",IFERROR(INDEX(Workers!$B$5:$B$2004,MATCH($D1990,Workers!$A$5:$A$2004,0)),"NOT FOUND"))</f>
        <v/>
      </c>
      <c r="J1990" s="24" t="str">
        <f aca="false">IF($D1990="","",IFERROR(INDEX(Workers!$C$5:$C$2004,MATCH($D1990,Workers!$A$5:$A$2004,0)),""))</f>
        <v/>
      </c>
      <c r="K1990" s="24" t="str">
        <f aca="false">IF($D1990="","",IFERROR(IF(INDEX(Workers!$D$5:$D$2004,MATCH($D1990,Workers!$A$5:$A$2004,0))=0,"",INDEX(Workers!$D$5:$D$2004,MATCH($D1990,Workers!$A$5:$A$2004,0))),""))</f>
        <v/>
      </c>
      <c r="L1990" s="24" t="str">
        <f aca="false">IF($D1990="","",IFERROR(INDEX(Workers!$E$5:$E$2004,MATCH($D1990,Workers!$A$5:$A$2004,0)),""))</f>
        <v/>
      </c>
      <c r="M1990" s="26" t="str">
        <f aca="false">IF($D1990="","",IFERROR(INDEX(ClientRates!$D$5:$D$500,MATCH($B1990&amp;"|"&amp;$L1990,ClientRates!$A$5:$A$500,0)),0))</f>
        <v/>
      </c>
      <c r="N1990" s="26" t="str">
        <f aca="false">IF($D1990="","",IFERROR(INDEX(ClientRates!$E$5:$E$500,MATCH($B1990&amp;"|"&amp;$L1990,ClientRates!$A$5:$A$500,0)),0))</f>
        <v/>
      </c>
      <c r="O1990" s="26" t="str">
        <f aca="false">IF($D1990="","",F1990*M1990+G1990*N1990)</f>
        <v/>
      </c>
      <c r="P1990" s="26" t="str">
        <f aca="false">IF(OR($D1990="",$J1990&lt;&gt;"Supplier"),"",IFERROR(INDEX(SupplierRates!$D$5:$D$500,MATCH($K1990&amp;"|"&amp;$L1990,SupplierRates!$A$5:$A$500,0)),0))</f>
        <v/>
      </c>
      <c r="Q1990" s="26" t="str">
        <f aca="false">IF(OR($D1990="",$J1990&lt;&gt;"Supplier"),"",IFERROR(INDEX(SupplierRates!$E$5:$E$500,MATCH($K1990&amp;"|"&amp;$L1990,SupplierRates!$A$5:$A$500,0)),0))</f>
        <v/>
      </c>
      <c r="R1990" s="26" t="n">
        <f aca="false">IF(OR($D1990="",$J1990&lt;&gt;"Supplier"),0,F1990*P1990+G1990*Q1990)</f>
        <v>0</v>
      </c>
      <c r="S1990" s="26" t="n">
        <f aca="false">IF(OR($D1990="",$J1990&lt;&gt;"Own"),0,IFERROR((F1990+G1990*Settings!$B$13)*INDEX(Workers!$V$5:$V$2004,MATCH($D1990,Workers!$A$5:$A$2004,0)),0))</f>
        <v>0</v>
      </c>
      <c r="T1990" s="26" t="str">
        <f aca="false">IF($D1990="","",O1990-R1990-S1990)</f>
        <v/>
      </c>
    </row>
    <row r="1991" customFormat="false" ht="15" hidden="false" customHeight="false" outlineLevel="0" collapsed="false">
      <c r="I1991" s="24" t="str">
        <f aca="false">IF($D1991="","",IFERROR(INDEX(Workers!$B$5:$B$2004,MATCH($D1991,Workers!$A$5:$A$2004,0)),"NOT FOUND"))</f>
        <v/>
      </c>
      <c r="J1991" s="24" t="str">
        <f aca="false">IF($D1991="","",IFERROR(INDEX(Workers!$C$5:$C$2004,MATCH($D1991,Workers!$A$5:$A$2004,0)),""))</f>
        <v/>
      </c>
      <c r="K1991" s="24" t="str">
        <f aca="false">IF($D1991="","",IFERROR(IF(INDEX(Workers!$D$5:$D$2004,MATCH($D1991,Workers!$A$5:$A$2004,0))=0,"",INDEX(Workers!$D$5:$D$2004,MATCH($D1991,Workers!$A$5:$A$2004,0))),""))</f>
        <v/>
      </c>
      <c r="L1991" s="24" t="str">
        <f aca="false">IF($D1991="","",IFERROR(INDEX(Workers!$E$5:$E$2004,MATCH($D1991,Workers!$A$5:$A$2004,0)),""))</f>
        <v/>
      </c>
      <c r="M1991" s="26" t="str">
        <f aca="false">IF($D1991="","",IFERROR(INDEX(ClientRates!$D$5:$D$500,MATCH($B1991&amp;"|"&amp;$L1991,ClientRates!$A$5:$A$500,0)),0))</f>
        <v/>
      </c>
      <c r="N1991" s="26" t="str">
        <f aca="false">IF($D1991="","",IFERROR(INDEX(ClientRates!$E$5:$E$500,MATCH($B1991&amp;"|"&amp;$L1991,ClientRates!$A$5:$A$500,0)),0))</f>
        <v/>
      </c>
      <c r="O1991" s="26" t="str">
        <f aca="false">IF($D1991="","",F1991*M1991+G1991*N1991)</f>
        <v/>
      </c>
      <c r="P1991" s="26" t="str">
        <f aca="false">IF(OR($D1991="",$J1991&lt;&gt;"Supplier"),"",IFERROR(INDEX(SupplierRates!$D$5:$D$500,MATCH($K1991&amp;"|"&amp;$L1991,SupplierRates!$A$5:$A$500,0)),0))</f>
        <v/>
      </c>
      <c r="Q1991" s="26" t="str">
        <f aca="false">IF(OR($D1991="",$J1991&lt;&gt;"Supplier"),"",IFERROR(INDEX(SupplierRates!$E$5:$E$500,MATCH($K1991&amp;"|"&amp;$L1991,SupplierRates!$A$5:$A$500,0)),0))</f>
        <v/>
      </c>
      <c r="R1991" s="26" t="n">
        <f aca="false">IF(OR($D1991="",$J1991&lt;&gt;"Supplier"),0,F1991*P1991+G1991*Q1991)</f>
        <v>0</v>
      </c>
      <c r="S1991" s="26" t="n">
        <f aca="false">IF(OR($D1991="",$J1991&lt;&gt;"Own"),0,IFERROR((F1991+G1991*Settings!$B$13)*INDEX(Workers!$V$5:$V$2004,MATCH($D1991,Workers!$A$5:$A$2004,0)),0))</f>
        <v>0</v>
      </c>
      <c r="T1991" s="26" t="str">
        <f aca="false">IF($D1991="","",O1991-R1991-S1991)</f>
        <v/>
      </c>
    </row>
    <row r="1992" customFormat="false" ht="15" hidden="false" customHeight="false" outlineLevel="0" collapsed="false">
      <c r="I1992" s="24" t="str">
        <f aca="false">IF($D1992="","",IFERROR(INDEX(Workers!$B$5:$B$2004,MATCH($D1992,Workers!$A$5:$A$2004,0)),"NOT FOUND"))</f>
        <v/>
      </c>
      <c r="J1992" s="24" t="str">
        <f aca="false">IF($D1992="","",IFERROR(INDEX(Workers!$C$5:$C$2004,MATCH($D1992,Workers!$A$5:$A$2004,0)),""))</f>
        <v/>
      </c>
      <c r="K1992" s="24" t="str">
        <f aca="false">IF($D1992="","",IFERROR(IF(INDEX(Workers!$D$5:$D$2004,MATCH($D1992,Workers!$A$5:$A$2004,0))=0,"",INDEX(Workers!$D$5:$D$2004,MATCH($D1992,Workers!$A$5:$A$2004,0))),""))</f>
        <v/>
      </c>
      <c r="L1992" s="24" t="str">
        <f aca="false">IF($D1992="","",IFERROR(INDEX(Workers!$E$5:$E$2004,MATCH($D1992,Workers!$A$5:$A$2004,0)),""))</f>
        <v/>
      </c>
      <c r="M1992" s="26" t="str">
        <f aca="false">IF($D1992="","",IFERROR(INDEX(ClientRates!$D$5:$D$500,MATCH($B1992&amp;"|"&amp;$L1992,ClientRates!$A$5:$A$500,0)),0))</f>
        <v/>
      </c>
      <c r="N1992" s="26" t="str">
        <f aca="false">IF($D1992="","",IFERROR(INDEX(ClientRates!$E$5:$E$500,MATCH($B1992&amp;"|"&amp;$L1992,ClientRates!$A$5:$A$500,0)),0))</f>
        <v/>
      </c>
      <c r="O1992" s="26" t="str">
        <f aca="false">IF($D1992="","",F1992*M1992+G1992*N1992)</f>
        <v/>
      </c>
      <c r="P1992" s="26" t="str">
        <f aca="false">IF(OR($D1992="",$J1992&lt;&gt;"Supplier"),"",IFERROR(INDEX(SupplierRates!$D$5:$D$500,MATCH($K1992&amp;"|"&amp;$L1992,SupplierRates!$A$5:$A$500,0)),0))</f>
        <v/>
      </c>
      <c r="Q1992" s="26" t="str">
        <f aca="false">IF(OR($D1992="",$J1992&lt;&gt;"Supplier"),"",IFERROR(INDEX(SupplierRates!$E$5:$E$500,MATCH($K1992&amp;"|"&amp;$L1992,SupplierRates!$A$5:$A$500,0)),0))</f>
        <v/>
      </c>
      <c r="R1992" s="26" t="n">
        <f aca="false">IF(OR($D1992="",$J1992&lt;&gt;"Supplier"),0,F1992*P1992+G1992*Q1992)</f>
        <v>0</v>
      </c>
      <c r="S1992" s="26" t="n">
        <f aca="false">IF(OR($D1992="",$J1992&lt;&gt;"Own"),0,IFERROR((F1992+G1992*Settings!$B$13)*INDEX(Workers!$V$5:$V$2004,MATCH($D1992,Workers!$A$5:$A$2004,0)),0))</f>
        <v>0</v>
      </c>
      <c r="T1992" s="26" t="str">
        <f aca="false">IF($D1992="","",O1992-R1992-S1992)</f>
        <v/>
      </c>
    </row>
    <row r="1993" customFormat="false" ht="15" hidden="false" customHeight="false" outlineLevel="0" collapsed="false">
      <c r="I1993" s="24" t="str">
        <f aca="false">IF($D1993="","",IFERROR(INDEX(Workers!$B$5:$B$2004,MATCH($D1993,Workers!$A$5:$A$2004,0)),"NOT FOUND"))</f>
        <v/>
      </c>
      <c r="J1993" s="24" t="str">
        <f aca="false">IF($D1993="","",IFERROR(INDEX(Workers!$C$5:$C$2004,MATCH($D1993,Workers!$A$5:$A$2004,0)),""))</f>
        <v/>
      </c>
      <c r="K1993" s="24" t="str">
        <f aca="false">IF($D1993="","",IFERROR(IF(INDEX(Workers!$D$5:$D$2004,MATCH($D1993,Workers!$A$5:$A$2004,0))=0,"",INDEX(Workers!$D$5:$D$2004,MATCH($D1993,Workers!$A$5:$A$2004,0))),""))</f>
        <v/>
      </c>
      <c r="L1993" s="24" t="str">
        <f aca="false">IF($D1993="","",IFERROR(INDEX(Workers!$E$5:$E$2004,MATCH($D1993,Workers!$A$5:$A$2004,0)),""))</f>
        <v/>
      </c>
      <c r="M1993" s="26" t="str">
        <f aca="false">IF($D1993="","",IFERROR(INDEX(ClientRates!$D$5:$D$500,MATCH($B1993&amp;"|"&amp;$L1993,ClientRates!$A$5:$A$500,0)),0))</f>
        <v/>
      </c>
      <c r="N1993" s="26" t="str">
        <f aca="false">IF($D1993="","",IFERROR(INDEX(ClientRates!$E$5:$E$500,MATCH($B1993&amp;"|"&amp;$L1993,ClientRates!$A$5:$A$500,0)),0))</f>
        <v/>
      </c>
      <c r="O1993" s="26" t="str">
        <f aca="false">IF($D1993="","",F1993*M1993+G1993*N1993)</f>
        <v/>
      </c>
      <c r="P1993" s="26" t="str">
        <f aca="false">IF(OR($D1993="",$J1993&lt;&gt;"Supplier"),"",IFERROR(INDEX(SupplierRates!$D$5:$D$500,MATCH($K1993&amp;"|"&amp;$L1993,SupplierRates!$A$5:$A$500,0)),0))</f>
        <v/>
      </c>
      <c r="Q1993" s="26" t="str">
        <f aca="false">IF(OR($D1993="",$J1993&lt;&gt;"Supplier"),"",IFERROR(INDEX(SupplierRates!$E$5:$E$500,MATCH($K1993&amp;"|"&amp;$L1993,SupplierRates!$A$5:$A$500,0)),0))</f>
        <v/>
      </c>
      <c r="R1993" s="26" t="n">
        <f aca="false">IF(OR($D1993="",$J1993&lt;&gt;"Supplier"),0,F1993*P1993+G1993*Q1993)</f>
        <v>0</v>
      </c>
      <c r="S1993" s="26" t="n">
        <f aca="false">IF(OR($D1993="",$J1993&lt;&gt;"Own"),0,IFERROR((F1993+G1993*Settings!$B$13)*INDEX(Workers!$V$5:$V$2004,MATCH($D1993,Workers!$A$5:$A$2004,0)),0))</f>
        <v>0</v>
      </c>
      <c r="T1993" s="26" t="str">
        <f aca="false">IF($D1993="","",O1993-R1993-S1993)</f>
        <v/>
      </c>
    </row>
    <row r="1994" customFormat="false" ht="15" hidden="false" customHeight="false" outlineLevel="0" collapsed="false">
      <c r="I1994" s="24" t="str">
        <f aca="false">IF($D1994="","",IFERROR(INDEX(Workers!$B$5:$B$2004,MATCH($D1994,Workers!$A$5:$A$2004,0)),"NOT FOUND"))</f>
        <v/>
      </c>
      <c r="J1994" s="24" t="str">
        <f aca="false">IF($D1994="","",IFERROR(INDEX(Workers!$C$5:$C$2004,MATCH($D1994,Workers!$A$5:$A$2004,0)),""))</f>
        <v/>
      </c>
      <c r="K1994" s="24" t="str">
        <f aca="false">IF($D1994="","",IFERROR(IF(INDEX(Workers!$D$5:$D$2004,MATCH($D1994,Workers!$A$5:$A$2004,0))=0,"",INDEX(Workers!$D$5:$D$2004,MATCH($D1994,Workers!$A$5:$A$2004,0))),""))</f>
        <v/>
      </c>
      <c r="L1994" s="24" t="str">
        <f aca="false">IF($D1994="","",IFERROR(INDEX(Workers!$E$5:$E$2004,MATCH($D1994,Workers!$A$5:$A$2004,0)),""))</f>
        <v/>
      </c>
      <c r="M1994" s="26" t="str">
        <f aca="false">IF($D1994="","",IFERROR(INDEX(ClientRates!$D$5:$D$500,MATCH($B1994&amp;"|"&amp;$L1994,ClientRates!$A$5:$A$500,0)),0))</f>
        <v/>
      </c>
      <c r="N1994" s="26" t="str">
        <f aca="false">IF($D1994="","",IFERROR(INDEX(ClientRates!$E$5:$E$500,MATCH($B1994&amp;"|"&amp;$L1994,ClientRates!$A$5:$A$500,0)),0))</f>
        <v/>
      </c>
      <c r="O1994" s="26" t="str">
        <f aca="false">IF($D1994="","",F1994*M1994+G1994*N1994)</f>
        <v/>
      </c>
      <c r="P1994" s="26" t="str">
        <f aca="false">IF(OR($D1994="",$J1994&lt;&gt;"Supplier"),"",IFERROR(INDEX(SupplierRates!$D$5:$D$500,MATCH($K1994&amp;"|"&amp;$L1994,SupplierRates!$A$5:$A$500,0)),0))</f>
        <v/>
      </c>
      <c r="Q1994" s="26" t="str">
        <f aca="false">IF(OR($D1994="",$J1994&lt;&gt;"Supplier"),"",IFERROR(INDEX(SupplierRates!$E$5:$E$500,MATCH($K1994&amp;"|"&amp;$L1994,SupplierRates!$A$5:$A$500,0)),0))</f>
        <v/>
      </c>
      <c r="R1994" s="26" t="n">
        <f aca="false">IF(OR($D1994="",$J1994&lt;&gt;"Supplier"),0,F1994*P1994+G1994*Q1994)</f>
        <v>0</v>
      </c>
      <c r="S1994" s="26" t="n">
        <f aca="false">IF(OR($D1994="",$J1994&lt;&gt;"Own"),0,IFERROR((F1994+G1994*Settings!$B$13)*INDEX(Workers!$V$5:$V$2004,MATCH($D1994,Workers!$A$5:$A$2004,0)),0))</f>
        <v>0</v>
      </c>
      <c r="T1994" s="26" t="str">
        <f aca="false">IF($D1994="","",O1994-R1994-S1994)</f>
        <v/>
      </c>
    </row>
    <row r="1995" customFormat="false" ht="15" hidden="false" customHeight="false" outlineLevel="0" collapsed="false">
      <c r="I1995" s="24" t="str">
        <f aca="false">IF($D1995="","",IFERROR(INDEX(Workers!$B$5:$B$2004,MATCH($D1995,Workers!$A$5:$A$2004,0)),"NOT FOUND"))</f>
        <v/>
      </c>
      <c r="J1995" s="24" t="str">
        <f aca="false">IF($D1995="","",IFERROR(INDEX(Workers!$C$5:$C$2004,MATCH($D1995,Workers!$A$5:$A$2004,0)),""))</f>
        <v/>
      </c>
      <c r="K1995" s="24" t="str">
        <f aca="false">IF($D1995="","",IFERROR(IF(INDEX(Workers!$D$5:$D$2004,MATCH($D1995,Workers!$A$5:$A$2004,0))=0,"",INDEX(Workers!$D$5:$D$2004,MATCH($D1995,Workers!$A$5:$A$2004,0))),""))</f>
        <v/>
      </c>
      <c r="L1995" s="24" t="str">
        <f aca="false">IF($D1995="","",IFERROR(INDEX(Workers!$E$5:$E$2004,MATCH($D1995,Workers!$A$5:$A$2004,0)),""))</f>
        <v/>
      </c>
      <c r="M1995" s="26" t="str">
        <f aca="false">IF($D1995="","",IFERROR(INDEX(ClientRates!$D$5:$D$500,MATCH($B1995&amp;"|"&amp;$L1995,ClientRates!$A$5:$A$500,0)),0))</f>
        <v/>
      </c>
      <c r="N1995" s="26" t="str">
        <f aca="false">IF($D1995="","",IFERROR(INDEX(ClientRates!$E$5:$E$500,MATCH($B1995&amp;"|"&amp;$L1995,ClientRates!$A$5:$A$500,0)),0))</f>
        <v/>
      </c>
      <c r="O1995" s="26" t="str">
        <f aca="false">IF($D1995="","",F1995*M1995+G1995*N1995)</f>
        <v/>
      </c>
      <c r="P1995" s="26" t="str">
        <f aca="false">IF(OR($D1995="",$J1995&lt;&gt;"Supplier"),"",IFERROR(INDEX(SupplierRates!$D$5:$D$500,MATCH($K1995&amp;"|"&amp;$L1995,SupplierRates!$A$5:$A$500,0)),0))</f>
        <v/>
      </c>
      <c r="Q1995" s="26" t="str">
        <f aca="false">IF(OR($D1995="",$J1995&lt;&gt;"Supplier"),"",IFERROR(INDEX(SupplierRates!$E$5:$E$500,MATCH($K1995&amp;"|"&amp;$L1995,SupplierRates!$A$5:$A$500,0)),0))</f>
        <v/>
      </c>
      <c r="R1995" s="26" t="n">
        <f aca="false">IF(OR($D1995="",$J1995&lt;&gt;"Supplier"),0,F1995*P1995+G1995*Q1995)</f>
        <v>0</v>
      </c>
      <c r="S1995" s="26" t="n">
        <f aca="false">IF(OR($D1995="",$J1995&lt;&gt;"Own"),0,IFERROR((F1995+G1995*Settings!$B$13)*INDEX(Workers!$V$5:$V$2004,MATCH($D1995,Workers!$A$5:$A$2004,0)),0))</f>
        <v>0</v>
      </c>
      <c r="T1995" s="26" t="str">
        <f aca="false">IF($D1995="","",O1995-R1995-S1995)</f>
        <v/>
      </c>
    </row>
    <row r="1996" customFormat="false" ht="15" hidden="false" customHeight="false" outlineLevel="0" collapsed="false">
      <c r="I1996" s="24" t="str">
        <f aca="false">IF($D1996="","",IFERROR(INDEX(Workers!$B$5:$B$2004,MATCH($D1996,Workers!$A$5:$A$2004,0)),"NOT FOUND"))</f>
        <v/>
      </c>
      <c r="J1996" s="24" t="str">
        <f aca="false">IF($D1996="","",IFERROR(INDEX(Workers!$C$5:$C$2004,MATCH($D1996,Workers!$A$5:$A$2004,0)),""))</f>
        <v/>
      </c>
      <c r="K1996" s="24" t="str">
        <f aca="false">IF($D1996="","",IFERROR(IF(INDEX(Workers!$D$5:$D$2004,MATCH($D1996,Workers!$A$5:$A$2004,0))=0,"",INDEX(Workers!$D$5:$D$2004,MATCH($D1996,Workers!$A$5:$A$2004,0))),""))</f>
        <v/>
      </c>
      <c r="L1996" s="24" t="str">
        <f aca="false">IF($D1996="","",IFERROR(INDEX(Workers!$E$5:$E$2004,MATCH($D1996,Workers!$A$5:$A$2004,0)),""))</f>
        <v/>
      </c>
      <c r="M1996" s="26" t="str">
        <f aca="false">IF($D1996="","",IFERROR(INDEX(ClientRates!$D$5:$D$500,MATCH($B1996&amp;"|"&amp;$L1996,ClientRates!$A$5:$A$500,0)),0))</f>
        <v/>
      </c>
      <c r="N1996" s="26" t="str">
        <f aca="false">IF($D1996="","",IFERROR(INDEX(ClientRates!$E$5:$E$500,MATCH($B1996&amp;"|"&amp;$L1996,ClientRates!$A$5:$A$500,0)),0))</f>
        <v/>
      </c>
      <c r="O1996" s="26" t="str">
        <f aca="false">IF($D1996="","",F1996*M1996+G1996*N1996)</f>
        <v/>
      </c>
      <c r="P1996" s="26" t="str">
        <f aca="false">IF(OR($D1996="",$J1996&lt;&gt;"Supplier"),"",IFERROR(INDEX(SupplierRates!$D$5:$D$500,MATCH($K1996&amp;"|"&amp;$L1996,SupplierRates!$A$5:$A$500,0)),0))</f>
        <v/>
      </c>
      <c r="Q1996" s="26" t="str">
        <f aca="false">IF(OR($D1996="",$J1996&lt;&gt;"Supplier"),"",IFERROR(INDEX(SupplierRates!$E$5:$E$500,MATCH($K1996&amp;"|"&amp;$L1996,SupplierRates!$A$5:$A$500,0)),0))</f>
        <v/>
      </c>
      <c r="R1996" s="26" t="n">
        <f aca="false">IF(OR($D1996="",$J1996&lt;&gt;"Supplier"),0,F1996*P1996+G1996*Q1996)</f>
        <v>0</v>
      </c>
      <c r="S1996" s="26" t="n">
        <f aca="false">IF(OR($D1996="",$J1996&lt;&gt;"Own"),0,IFERROR((F1996+G1996*Settings!$B$13)*INDEX(Workers!$V$5:$V$2004,MATCH($D1996,Workers!$A$5:$A$2004,0)),0))</f>
        <v>0</v>
      </c>
      <c r="T1996" s="26" t="str">
        <f aca="false">IF($D1996="","",O1996-R1996-S1996)</f>
        <v/>
      </c>
    </row>
    <row r="1997" customFormat="false" ht="15" hidden="false" customHeight="false" outlineLevel="0" collapsed="false">
      <c r="I1997" s="24" t="str">
        <f aca="false">IF($D1997="","",IFERROR(INDEX(Workers!$B$5:$B$2004,MATCH($D1997,Workers!$A$5:$A$2004,0)),"NOT FOUND"))</f>
        <v/>
      </c>
      <c r="J1997" s="24" t="str">
        <f aca="false">IF($D1997="","",IFERROR(INDEX(Workers!$C$5:$C$2004,MATCH($D1997,Workers!$A$5:$A$2004,0)),""))</f>
        <v/>
      </c>
      <c r="K1997" s="24" t="str">
        <f aca="false">IF($D1997="","",IFERROR(IF(INDEX(Workers!$D$5:$D$2004,MATCH($D1997,Workers!$A$5:$A$2004,0))=0,"",INDEX(Workers!$D$5:$D$2004,MATCH($D1997,Workers!$A$5:$A$2004,0))),""))</f>
        <v/>
      </c>
      <c r="L1997" s="24" t="str">
        <f aca="false">IF($D1997="","",IFERROR(INDEX(Workers!$E$5:$E$2004,MATCH($D1997,Workers!$A$5:$A$2004,0)),""))</f>
        <v/>
      </c>
      <c r="M1997" s="26" t="str">
        <f aca="false">IF($D1997="","",IFERROR(INDEX(ClientRates!$D$5:$D$500,MATCH($B1997&amp;"|"&amp;$L1997,ClientRates!$A$5:$A$500,0)),0))</f>
        <v/>
      </c>
      <c r="N1997" s="26" t="str">
        <f aca="false">IF($D1997="","",IFERROR(INDEX(ClientRates!$E$5:$E$500,MATCH($B1997&amp;"|"&amp;$L1997,ClientRates!$A$5:$A$500,0)),0))</f>
        <v/>
      </c>
      <c r="O1997" s="26" t="str">
        <f aca="false">IF($D1997="","",F1997*M1997+G1997*N1997)</f>
        <v/>
      </c>
      <c r="P1997" s="26" t="str">
        <f aca="false">IF(OR($D1997="",$J1997&lt;&gt;"Supplier"),"",IFERROR(INDEX(SupplierRates!$D$5:$D$500,MATCH($K1997&amp;"|"&amp;$L1997,SupplierRates!$A$5:$A$500,0)),0))</f>
        <v/>
      </c>
      <c r="Q1997" s="26" t="str">
        <f aca="false">IF(OR($D1997="",$J1997&lt;&gt;"Supplier"),"",IFERROR(INDEX(SupplierRates!$E$5:$E$500,MATCH($K1997&amp;"|"&amp;$L1997,SupplierRates!$A$5:$A$500,0)),0))</f>
        <v/>
      </c>
      <c r="R1997" s="26" t="n">
        <f aca="false">IF(OR($D1997="",$J1997&lt;&gt;"Supplier"),0,F1997*P1997+G1997*Q1997)</f>
        <v>0</v>
      </c>
      <c r="S1997" s="26" t="n">
        <f aca="false">IF(OR($D1997="",$J1997&lt;&gt;"Own"),0,IFERROR((F1997+G1997*Settings!$B$13)*INDEX(Workers!$V$5:$V$2004,MATCH($D1997,Workers!$A$5:$A$2004,0)),0))</f>
        <v>0</v>
      </c>
      <c r="T1997" s="26" t="str">
        <f aca="false">IF($D1997="","",O1997-R1997-S1997)</f>
        <v/>
      </c>
    </row>
    <row r="1998" customFormat="false" ht="15" hidden="false" customHeight="false" outlineLevel="0" collapsed="false">
      <c r="I1998" s="24" t="str">
        <f aca="false">IF($D1998="","",IFERROR(INDEX(Workers!$B$5:$B$2004,MATCH($D1998,Workers!$A$5:$A$2004,0)),"NOT FOUND"))</f>
        <v/>
      </c>
      <c r="J1998" s="24" t="str">
        <f aca="false">IF($D1998="","",IFERROR(INDEX(Workers!$C$5:$C$2004,MATCH($D1998,Workers!$A$5:$A$2004,0)),""))</f>
        <v/>
      </c>
      <c r="K1998" s="24" t="str">
        <f aca="false">IF($D1998="","",IFERROR(IF(INDEX(Workers!$D$5:$D$2004,MATCH($D1998,Workers!$A$5:$A$2004,0))=0,"",INDEX(Workers!$D$5:$D$2004,MATCH($D1998,Workers!$A$5:$A$2004,0))),""))</f>
        <v/>
      </c>
      <c r="L1998" s="24" t="str">
        <f aca="false">IF($D1998="","",IFERROR(INDEX(Workers!$E$5:$E$2004,MATCH($D1998,Workers!$A$5:$A$2004,0)),""))</f>
        <v/>
      </c>
      <c r="M1998" s="26" t="str">
        <f aca="false">IF($D1998="","",IFERROR(INDEX(ClientRates!$D$5:$D$500,MATCH($B1998&amp;"|"&amp;$L1998,ClientRates!$A$5:$A$500,0)),0))</f>
        <v/>
      </c>
      <c r="N1998" s="26" t="str">
        <f aca="false">IF($D1998="","",IFERROR(INDEX(ClientRates!$E$5:$E$500,MATCH($B1998&amp;"|"&amp;$L1998,ClientRates!$A$5:$A$500,0)),0))</f>
        <v/>
      </c>
      <c r="O1998" s="26" t="str">
        <f aca="false">IF($D1998="","",F1998*M1998+G1998*N1998)</f>
        <v/>
      </c>
      <c r="P1998" s="26" t="str">
        <f aca="false">IF(OR($D1998="",$J1998&lt;&gt;"Supplier"),"",IFERROR(INDEX(SupplierRates!$D$5:$D$500,MATCH($K1998&amp;"|"&amp;$L1998,SupplierRates!$A$5:$A$500,0)),0))</f>
        <v/>
      </c>
      <c r="Q1998" s="26" t="str">
        <f aca="false">IF(OR($D1998="",$J1998&lt;&gt;"Supplier"),"",IFERROR(INDEX(SupplierRates!$E$5:$E$500,MATCH($K1998&amp;"|"&amp;$L1998,SupplierRates!$A$5:$A$500,0)),0))</f>
        <v/>
      </c>
      <c r="R1998" s="26" t="n">
        <f aca="false">IF(OR($D1998="",$J1998&lt;&gt;"Supplier"),0,F1998*P1998+G1998*Q1998)</f>
        <v>0</v>
      </c>
      <c r="S1998" s="26" t="n">
        <f aca="false">IF(OR($D1998="",$J1998&lt;&gt;"Own"),0,IFERROR((F1998+G1998*Settings!$B$13)*INDEX(Workers!$V$5:$V$2004,MATCH($D1998,Workers!$A$5:$A$2004,0)),0))</f>
        <v>0</v>
      </c>
      <c r="T1998" s="26" t="str">
        <f aca="false">IF($D1998="","",O1998-R1998-S1998)</f>
        <v/>
      </c>
    </row>
    <row r="1999" customFormat="false" ht="15" hidden="false" customHeight="false" outlineLevel="0" collapsed="false">
      <c r="I1999" s="24" t="str">
        <f aca="false">IF($D1999="","",IFERROR(INDEX(Workers!$B$5:$B$2004,MATCH($D1999,Workers!$A$5:$A$2004,0)),"NOT FOUND"))</f>
        <v/>
      </c>
      <c r="J1999" s="24" t="str">
        <f aca="false">IF($D1999="","",IFERROR(INDEX(Workers!$C$5:$C$2004,MATCH($D1999,Workers!$A$5:$A$2004,0)),""))</f>
        <v/>
      </c>
      <c r="K1999" s="24" t="str">
        <f aca="false">IF($D1999="","",IFERROR(IF(INDEX(Workers!$D$5:$D$2004,MATCH($D1999,Workers!$A$5:$A$2004,0))=0,"",INDEX(Workers!$D$5:$D$2004,MATCH($D1999,Workers!$A$5:$A$2004,0))),""))</f>
        <v/>
      </c>
      <c r="L1999" s="24" t="str">
        <f aca="false">IF($D1999="","",IFERROR(INDEX(Workers!$E$5:$E$2004,MATCH($D1999,Workers!$A$5:$A$2004,0)),""))</f>
        <v/>
      </c>
      <c r="M1999" s="26" t="str">
        <f aca="false">IF($D1999="","",IFERROR(INDEX(ClientRates!$D$5:$D$500,MATCH($B1999&amp;"|"&amp;$L1999,ClientRates!$A$5:$A$500,0)),0))</f>
        <v/>
      </c>
      <c r="N1999" s="26" t="str">
        <f aca="false">IF($D1999="","",IFERROR(INDEX(ClientRates!$E$5:$E$500,MATCH($B1999&amp;"|"&amp;$L1999,ClientRates!$A$5:$A$500,0)),0))</f>
        <v/>
      </c>
      <c r="O1999" s="26" t="str">
        <f aca="false">IF($D1999="","",F1999*M1999+G1999*N1999)</f>
        <v/>
      </c>
      <c r="P1999" s="26" t="str">
        <f aca="false">IF(OR($D1999="",$J1999&lt;&gt;"Supplier"),"",IFERROR(INDEX(SupplierRates!$D$5:$D$500,MATCH($K1999&amp;"|"&amp;$L1999,SupplierRates!$A$5:$A$500,0)),0))</f>
        <v/>
      </c>
      <c r="Q1999" s="26" t="str">
        <f aca="false">IF(OR($D1999="",$J1999&lt;&gt;"Supplier"),"",IFERROR(INDEX(SupplierRates!$E$5:$E$500,MATCH($K1999&amp;"|"&amp;$L1999,SupplierRates!$A$5:$A$500,0)),0))</f>
        <v/>
      </c>
      <c r="R1999" s="26" t="n">
        <f aca="false">IF(OR($D1999="",$J1999&lt;&gt;"Supplier"),0,F1999*P1999+G1999*Q1999)</f>
        <v>0</v>
      </c>
      <c r="S1999" s="26" t="n">
        <f aca="false">IF(OR($D1999="",$J1999&lt;&gt;"Own"),0,IFERROR((F1999+G1999*Settings!$B$13)*INDEX(Workers!$V$5:$V$2004,MATCH($D1999,Workers!$A$5:$A$2004,0)),0))</f>
        <v>0</v>
      </c>
      <c r="T1999" s="26" t="str">
        <f aca="false">IF($D1999="","",O1999-R1999-S1999)</f>
        <v/>
      </c>
    </row>
    <row r="2000" customFormat="false" ht="15" hidden="false" customHeight="false" outlineLevel="0" collapsed="false">
      <c r="I2000" s="24" t="str">
        <f aca="false">IF($D2000="","",IFERROR(INDEX(Workers!$B$5:$B$2004,MATCH($D2000,Workers!$A$5:$A$2004,0)),"NOT FOUND"))</f>
        <v/>
      </c>
      <c r="J2000" s="24" t="str">
        <f aca="false">IF($D2000="","",IFERROR(INDEX(Workers!$C$5:$C$2004,MATCH($D2000,Workers!$A$5:$A$2004,0)),""))</f>
        <v/>
      </c>
      <c r="K2000" s="24" t="str">
        <f aca="false">IF($D2000="","",IFERROR(IF(INDEX(Workers!$D$5:$D$2004,MATCH($D2000,Workers!$A$5:$A$2004,0))=0,"",INDEX(Workers!$D$5:$D$2004,MATCH($D2000,Workers!$A$5:$A$2004,0))),""))</f>
        <v/>
      </c>
      <c r="L2000" s="24" t="str">
        <f aca="false">IF($D2000="","",IFERROR(INDEX(Workers!$E$5:$E$2004,MATCH($D2000,Workers!$A$5:$A$2004,0)),""))</f>
        <v/>
      </c>
      <c r="M2000" s="26" t="str">
        <f aca="false">IF($D2000="","",IFERROR(INDEX(ClientRates!$D$5:$D$500,MATCH($B2000&amp;"|"&amp;$L2000,ClientRates!$A$5:$A$500,0)),0))</f>
        <v/>
      </c>
      <c r="N2000" s="26" t="str">
        <f aca="false">IF($D2000="","",IFERROR(INDEX(ClientRates!$E$5:$E$500,MATCH($B2000&amp;"|"&amp;$L2000,ClientRates!$A$5:$A$500,0)),0))</f>
        <v/>
      </c>
      <c r="O2000" s="26" t="str">
        <f aca="false">IF($D2000="","",F2000*M2000+G2000*N2000)</f>
        <v/>
      </c>
      <c r="P2000" s="26" t="str">
        <f aca="false">IF(OR($D2000="",$J2000&lt;&gt;"Supplier"),"",IFERROR(INDEX(SupplierRates!$D$5:$D$500,MATCH($K2000&amp;"|"&amp;$L2000,SupplierRates!$A$5:$A$500,0)),0))</f>
        <v/>
      </c>
      <c r="Q2000" s="26" t="str">
        <f aca="false">IF(OR($D2000="",$J2000&lt;&gt;"Supplier"),"",IFERROR(INDEX(SupplierRates!$E$5:$E$500,MATCH($K2000&amp;"|"&amp;$L2000,SupplierRates!$A$5:$A$500,0)),0))</f>
        <v/>
      </c>
      <c r="R2000" s="26" t="n">
        <f aca="false">IF(OR($D2000="",$J2000&lt;&gt;"Supplier"),0,F2000*P2000+G2000*Q2000)</f>
        <v>0</v>
      </c>
      <c r="S2000" s="26" t="n">
        <f aca="false">IF(OR($D2000="",$J2000&lt;&gt;"Own"),0,IFERROR((F2000+G2000*Settings!$B$13)*INDEX(Workers!$V$5:$V$2004,MATCH($D2000,Workers!$A$5:$A$2004,0)),0))</f>
        <v>0</v>
      </c>
      <c r="T2000" s="26" t="str">
        <f aca="false">IF($D2000="","",O2000-R2000-S2000)</f>
        <v/>
      </c>
    </row>
    <row r="2001" customFormat="false" ht="15" hidden="false" customHeight="false" outlineLevel="0" collapsed="false">
      <c r="I2001" s="24" t="str">
        <f aca="false">IF($D2001="","",IFERROR(INDEX(Workers!$B$5:$B$2004,MATCH($D2001,Workers!$A$5:$A$2004,0)),"NOT FOUND"))</f>
        <v/>
      </c>
      <c r="J2001" s="24" t="str">
        <f aca="false">IF($D2001="","",IFERROR(INDEX(Workers!$C$5:$C$2004,MATCH($D2001,Workers!$A$5:$A$2004,0)),""))</f>
        <v/>
      </c>
      <c r="K2001" s="24" t="str">
        <f aca="false">IF($D2001="","",IFERROR(IF(INDEX(Workers!$D$5:$D$2004,MATCH($D2001,Workers!$A$5:$A$2004,0))=0,"",INDEX(Workers!$D$5:$D$2004,MATCH($D2001,Workers!$A$5:$A$2004,0))),""))</f>
        <v/>
      </c>
      <c r="L2001" s="24" t="str">
        <f aca="false">IF($D2001="","",IFERROR(INDEX(Workers!$E$5:$E$2004,MATCH($D2001,Workers!$A$5:$A$2004,0)),""))</f>
        <v/>
      </c>
      <c r="M2001" s="26" t="str">
        <f aca="false">IF($D2001="","",IFERROR(INDEX(ClientRates!$D$5:$D$500,MATCH($B2001&amp;"|"&amp;$L2001,ClientRates!$A$5:$A$500,0)),0))</f>
        <v/>
      </c>
      <c r="N2001" s="26" t="str">
        <f aca="false">IF($D2001="","",IFERROR(INDEX(ClientRates!$E$5:$E$500,MATCH($B2001&amp;"|"&amp;$L2001,ClientRates!$A$5:$A$500,0)),0))</f>
        <v/>
      </c>
      <c r="O2001" s="26" t="str">
        <f aca="false">IF($D2001="","",F2001*M2001+G2001*N2001)</f>
        <v/>
      </c>
      <c r="P2001" s="26" t="str">
        <f aca="false">IF(OR($D2001="",$J2001&lt;&gt;"Supplier"),"",IFERROR(INDEX(SupplierRates!$D$5:$D$500,MATCH($K2001&amp;"|"&amp;$L2001,SupplierRates!$A$5:$A$500,0)),0))</f>
        <v/>
      </c>
      <c r="Q2001" s="26" t="str">
        <f aca="false">IF(OR($D2001="",$J2001&lt;&gt;"Supplier"),"",IFERROR(INDEX(SupplierRates!$E$5:$E$500,MATCH($K2001&amp;"|"&amp;$L2001,SupplierRates!$A$5:$A$500,0)),0))</f>
        <v/>
      </c>
      <c r="R2001" s="26" t="n">
        <f aca="false">IF(OR($D2001="",$J2001&lt;&gt;"Supplier"),0,F2001*P2001+G2001*Q2001)</f>
        <v>0</v>
      </c>
      <c r="S2001" s="26" t="n">
        <f aca="false">IF(OR($D2001="",$J2001&lt;&gt;"Own"),0,IFERROR((F2001+G2001*Settings!$B$13)*INDEX(Workers!$V$5:$V$2004,MATCH($D2001,Workers!$A$5:$A$2004,0)),0))</f>
        <v>0</v>
      </c>
      <c r="T2001" s="26" t="str">
        <f aca="false">IF($D2001="","",O2001-R2001-S2001)</f>
        <v/>
      </c>
    </row>
    <row r="2002" customFormat="false" ht="15" hidden="false" customHeight="false" outlineLevel="0" collapsed="false">
      <c r="I2002" s="24" t="str">
        <f aca="false">IF($D2002="","",IFERROR(INDEX(Workers!$B$5:$B$2004,MATCH($D2002,Workers!$A$5:$A$2004,0)),"NOT FOUND"))</f>
        <v/>
      </c>
      <c r="J2002" s="24" t="str">
        <f aca="false">IF($D2002="","",IFERROR(INDEX(Workers!$C$5:$C$2004,MATCH($D2002,Workers!$A$5:$A$2004,0)),""))</f>
        <v/>
      </c>
      <c r="K2002" s="24" t="str">
        <f aca="false">IF($D2002="","",IFERROR(IF(INDEX(Workers!$D$5:$D$2004,MATCH($D2002,Workers!$A$5:$A$2004,0))=0,"",INDEX(Workers!$D$5:$D$2004,MATCH($D2002,Workers!$A$5:$A$2004,0))),""))</f>
        <v/>
      </c>
      <c r="L2002" s="24" t="str">
        <f aca="false">IF($D2002="","",IFERROR(INDEX(Workers!$E$5:$E$2004,MATCH($D2002,Workers!$A$5:$A$2004,0)),""))</f>
        <v/>
      </c>
      <c r="M2002" s="26" t="str">
        <f aca="false">IF($D2002="","",IFERROR(INDEX(ClientRates!$D$5:$D$500,MATCH($B2002&amp;"|"&amp;$L2002,ClientRates!$A$5:$A$500,0)),0))</f>
        <v/>
      </c>
      <c r="N2002" s="26" t="str">
        <f aca="false">IF($D2002="","",IFERROR(INDEX(ClientRates!$E$5:$E$500,MATCH($B2002&amp;"|"&amp;$L2002,ClientRates!$A$5:$A$500,0)),0))</f>
        <v/>
      </c>
      <c r="O2002" s="26" t="str">
        <f aca="false">IF($D2002="","",F2002*M2002+G2002*N2002)</f>
        <v/>
      </c>
      <c r="P2002" s="26" t="str">
        <f aca="false">IF(OR($D2002="",$J2002&lt;&gt;"Supplier"),"",IFERROR(INDEX(SupplierRates!$D$5:$D$500,MATCH($K2002&amp;"|"&amp;$L2002,SupplierRates!$A$5:$A$500,0)),0))</f>
        <v/>
      </c>
      <c r="Q2002" s="26" t="str">
        <f aca="false">IF(OR($D2002="",$J2002&lt;&gt;"Supplier"),"",IFERROR(INDEX(SupplierRates!$E$5:$E$500,MATCH($K2002&amp;"|"&amp;$L2002,SupplierRates!$A$5:$A$500,0)),0))</f>
        <v/>
      </c>
      <c r="R2002" s="26" t="n">
        <f aca="false">IF(OR($D2002="",$J2002&lt;&gt;"Supplier"),0,F2002*P2002+G2002*Q2002)</f>
        <v>0</v>
      </c>
      <c r="S2002" s="26" t="n">
        <f aca="false">IF(OR($D2002="",$J2002&lt;&gt;"Own"),0,IFERROR((F2002+G2002*Settings!$B$13)*INDEX(Workers!$V$5:$V$2004,MATCH($D2002,Workers!$A$5:$A$2004,0)),0))</f>
        <v>0</v>
      </c>
      <c r="T2002" s="26" t="str">
        <f aca="false">IF($D2002="","",O2002-R2002-S2002)</f>
        <v/>
      </c>
    </row>
    <row r="2003" customFormat="false" ht="15" hidden="false" customHeight="false" outlineLevel="0" collapsed="false">
      <c r="I2003" s="24" t="str">
        <f aca="false">IF($D2003="","",IFERROR(INDEX(Workers!$B$5:$B$2004,MATCH($D2003,Workers!$A$5:$A$2004,0)),"NOT FOUND"))</f>
        <v/>
      </c>
      <c r="J2003" s="24" t="str">
        <f aca="false">IF($D2003="","",IFERROR(INDEX(Workers!$C$5:$C$2004,MATCH($D2003,Workers!$A$5:$A$2004,0)),""))</f>
        <v/>
      </c>
      <c r="K2003" s="24" t="str">
        <f aca="false">IF($D2003="","",IFERROR(IF(INDEX(Workers!$D$5:$D$2004,MATCH($D2003,Workers!$A$5:$A$2004,0))=0,"",INDEX(Workers!$D$5:$D$2004,MATCH($D2003,Workers!$A$5:$A$2004,0))),""))</f>
        <v/>
      </c>
      <c r="L2003" s="24" t="str">
        <f aca="false">IF($D2003="","",IFERROR(INDEX(Workers!$E$5:$E$2004,MATCH($D2003,Workers!$A$5:$A$2004,0)),""))</f>
        <v/>
      </c>
      <c r="M2003" s="26" t="str">
        <f aca="false">IF($D2003="","",IFERROR(INDEX(ClientRates!$D$5:$D$500,MATCH($B2003&amp;"|"&amp;$L2003,ClientRates!$A$5:$A$500,0)),0))</f>
        <v/>
      </c>
      <c r="N2003" s="26" t="str">
        <f aca="false">IF($D2003="","",IFERROR(INDEX(ClientRates!$E$5:$E$500,MATCH($B2003&amp;"|"&amp;$L2003,ClientRates!$A$5:$A$500,0)),0))</f>
        <v/>
      </c>
      <c r="O2003" s="26" t="str">
        <f aca="false">IF($D2003="","",F2003*M2003+G2003*N2003)</f>
        <v/>
      </c>
      <c r="P2003" s="26" t="str">
        <f aca="false">IF(OR($D2003="",$J2003&lt;&gt;"Supplier"),"",IFERROR(INDEX(SupplierRates!$D$5:$D$500,MATCH($K2003&amp;"|"&amp;$L2003,SupplierRates!$A$5:$A$500,0)),0))</f>
        <v/>
      </c>
      <c r="Q2003" s="26" t="str">
        <f aca="false">IF(OR($D2003="",$J2003&lt;&gt;"Supplier"),"",IFERROR(INDEX(SupplierRates!$E$5:$E$500,MATCH($K2003&amp;"|"&amp;$L2003,SupplierRates!$A$5:$A$500,0)),0))</f>
        <v/>
      </c>
      <c r="R2003" s="26" t="n">
        <f aca="false">IF(OR($D2003="",$J2003&lt;&gt;"Supplier"),0,F2003*P2003+G2003*Q2003)</f>
        <v>0</v>
      </c>
      <c r="S2003" s="26" t="n">
        <f aca="false">IF(OR($D2003="",$J2003&lt;&gt;"Own"),0,IFERROR((F2003+G2003*Settings!$B$13)*INDEX(Workers!$V$5:$V$2004,MATCH($D2003,Workers!$A$5:$A$2004,0)),0))</f>
        <v>0</v>
      </c>
      <c r="T2003" s="26" t="str">
        <f aca="false">IF($D2003="","",O2003-R2003-S2003)</f>
        <v/>
      </c>
    </row>
    <row r="2004" customFormat="false" ht="15" hidden="false" customHeight="false" outlineLevel="0" collapsed="false">
      <c r="I2004" s="24" t="str">
        <f aca="false">IF($D2004="","",IFERROR(INDEX(Workers!$B$5:$B$2004,MATCH($D2004,Workers!$A$5:$A$2004,0)),"NOT FOUND"))</f>
        <v/>
      </c>
      <c r="J2004" s="24" t="str">
        <f aca="false">IF($D2004="","",IFERROR(INDEX(Workers!$C$5:$C$2004,MATCH($D2004,Workers!$A$5:$A$2004,0)),""))</f>
        <v/>
      </c>
      <c r="K2004" s="24" t="str">
        <f aca="false">IF($D2004="","",IFERROR(IF(INDEX(Workers!$D$5:$D$2004,MATCH($D2004,Workers!$A$5:$A$2004,0))=0,"",INDEX(Workers!$D$5:$D$2004,MATCH($D2004,Workers!$A$5:$A$2004,0))),""))</f>
        <v/>
      </c>
      <c r="L2004" s="24" t="str">
        <f aca="false">IF($D2004="","",IFERROR(INDEX(Workers!$E$5:$E$2004,MATCH($D2004,Workers!$A$5:$A$2004,0)),""))</f>
        <v/>
      </c>
      <c r="M2004" s="26" t="str">
        <f aca="false">IF($D2004="","",IFERROR(INDEX(ClientRates!$D$5:$D$500,MATCH($B2004&amp;"|"&amp;$L2004,ClientRates!$A$5:$A$500,0)),0))</f>
        <v/>
      </c>
      <c r="N2004" s="26" t="str">
        <f aca="false">IF($D2004="","",IFERROR(INDEX(ClientRates!$E$5:$E$500,MATCH($B2004&amp;"|"&amp;$L2004,ClientRates!$A$5:$A$500,0)),0))</f>
        <v/>
      </c>
      <c r="O2004" s="26" t="str">
        <f aca="false">IF($D2004="","",F2004*M2004+G2004*N2004)</f>
        <v/>
      </c>
      <c r="P2004" s="26" t="str">
        <f aca="false">IF(OR($D2004="",$J2004&lt;&gt;"Supplier"),"",IFERROR(INDEX(SupplierRates!$D$5:$D$500,MATCH($K2004&amp;"|"&amp;$L2004,SupplierRates!$A$5:$A$500,0)),0))</f>
        <v/>
      </c>
      <c r="Q2004" s="26" t="str">
        <f aca="false">IF(OR($D2004="",$J2004&lt;&gt;"Supplier"),"",IFERROR(INDEX(SupplierRates!$E$5:$E$500,MATCH($K2004&amp;"|"&amp;$L2004,SupplierRates!$A$5:$A$500,0)),0))</f>
        <v/>
      </c>
      <c r="R2004" s="26" t="n">
        <f aca="false">IF(OR($D2004="",$J2004&lt;&gt;"Supplier"),0,F2004*P2004+G2004*Q2004)</f>
        <v>0</v>
      </c>
      <c r="S2004" s="26" t="n">
        <f aca="false">IF(OR($D2004="",$J2004&lt;&gt;"Own"),0,IFERROR((F2004+G2004*Settings!$B$13)*INDEX(Workers!$V$5:$V$2004,MATCH($D2004,Workers!$A$5:$A$2004,0)),0))</f>
        <v>0</v>
      </c>
      <c r="T2004" s="26" t="str">
        <f aca="false">IF($D2004="","",O2004-R2004-S2004)</f>
        <v/>
      </c>
    </row>
    <row r="2005" customFormat="false" ht="15" hidden="false" customHeight="false" outlineLevel="0" collapsed="false">
      <c r="I2005" s="24" t="str">
        <f aca="false">IF($D2005="","",IFERROR(INDEX(Workers!$B$5:$B$2004,MATCH($D2005,Workers!$A$5:$A$2004,0)),"NOT FOUND"))</f>
        <v/>
      </c>
      <c r="J2005" s="24" t="str">
        <f aca="false">IF($D2005="","",IFERROR(INDEX(Workers!$C$5:$C$2004,MATCH($D2005,Workers!$A$5:$A$2004,0)),""))</f>
        <v/>
      </c>
      <c r="K2005" s="24" t="str">
        <f aca="false">IF($D2005="","",IFERROR(IF(INDEX(Workers!$D$5:$D$2004,MATCH($D2005,Workers!$A$5:$A$2004,0))=0,"",INDEX(Workers!$D$5:$D$2004,MATCH($D2005,Workers!$A$5:$A$2004,0))),""))</f>
        <v/>
      </c>
      <c r="L2005" s="24" t="str">
        <f aca="false">IF($D2005="","",IFERROR(INDEX(Workers!$E$5:$E$2004,MATCH($D2005,Workers!$A$5:$A$2004,0)),""))</f>
        <v/>
      </c>
      <c r="M2005" s="26" t="str">
        <f aca="false">IF($D2005="","",IFERROR(INDEX(ClientRates!$D$5:$D$500,MATCH($B2005&amp;"|"&amp;$L2005,ClientRates!$A$5:$A$500,0)),0))</f>
        <v/>
      </c>
      <c r="N2005" s="26" t="str">
        <f aca="false">IF($D2005="","",IFERROR(INDEX(ClientRates!$E$5:$E$500,MATCH($B2005&amp;"|"&amp;$L2005,ClientRates!$A$5:$A$500,0)),0))</f>
        <v/>
      </c>
      <c r="O2005" s="26" t="str">
        <f aca="false">IF($D2005="","",F2005*M2005+G2005*N2005)</f>
        <v/>
      </c>
      <c r="P2005" s="26" t="str">
        <f aca="false">IF(OR($D2005="",$J2005&lt;&gt;"Supplier"),"",IFERROR(INDEX(SupplierRates!$D$5:$D$500,MATCH($K2005&amp;"|"&amp;$L2005,SupplierRates!$A$5:$A$500,0)),0))</f>
        <v/>
      </c>
      <c r="Q2005" s="26" t="str">
        <f aca="false">IF(OR($D2005="",$J2005&lt;&gt;"Supplier"),"",IFERROR(INDEX(SupplierRates!$E$5:$E$500,MATCH($K2005&amp;"|"&amp;$L2005,SupplierRates!$A$5:$A$500,0)),0))</f>
        <v/>
      </c>
      <c r="R2005" s="26" t="n">
        <f aca="false">IF(OR($D2005="",$J2005&lt;&gt;"Supplier"),0,F2005*P2005+G2005*Q2005)</f>
        <v>0</v>
      </c>
      <c r="S2005" s="26" t="n">
        <f aca="false">IF(OR($D2005="",$J2005&lt;&gt;"Own"),0,IFERROR((F2005+G2005*Settings!$B$13)*INDEX(Workers!$V$5:$V$2004,MATCH($D2005,Workers!$A$5:$A$2004,0)),0))</f>
        <v>0</v>
      </c>
      <c r="T2005" s="26" t="str">
        <f aca="false">IF($D2005="","",O2005-R2005-S2005)</f>
        <v/>
      </c>
    </row>
    <row r="2006" customFormat="false" ht="15" hidden="false" customHeight="false" outlineLevel="0" collapsed="false">
      <c r="I2006" s="24" t="str">
        <f aca="false">IF($D2006="","",IFERROR(INDEX(Workers!$B$5:$B$2004,MATCH($D2006,Workers!$A$5:$A$2004,0)),"NOT FOUND"))</f>
        <v/>
      </c>
      <c r="J2006" s="24" t="str">
        <f aca="false">IF($D2006="","",IFERROR(INDEX(Workers!$C$5:$C$2004,MATCH($D2006,Workers!$A$5:$A$2004,0)),""))</f>
        <v/>
      </c>
      <c r="K2006" s="24" t="str">
        <f aca="false">IF($D2006="","",IFERROR(IF(INDEX(Workers!$D$5:$D$2004,MATCH($D2006,Workers!$A$5:$A$2004,0))=0,"",INDEX(Workers!$D$5:$D$2004,MATCH($D2006,Workers!$A$5:$A$2004,0))),""))</f>
        <v/>
      </c>
      <c r="L2006" s="24" t="str">
        <f aca="false">IF($D2006="","",IFERROR(INDEX(Workers!$E$5:$E$2004,MATCH($D2006,Workers!$A$5:$A$2004,0)),""))</f>
        <v/>
      </c>
      <c r="M2006" s="26" t="str">
        <f aca="false">IF($D2006="","",IFERROR(INDEX(ClientRates!$D$5:$D$500,MATCH($B2006&amp;"|"&amp;$L2006,ClientRates!$A$5:$A$500,0)),0))</f>
        <v/>
      </c>
      <c r="N2006" s="26" t="str">
        <f aca="false">IF($D2006="","",IFERROR(INDEX(ClientRates!$E$5:$E$500,MATCH($B2006&amp;"|"&amp;$L2006,ClientRates!$A$5:$A$500,0)),0))</f>
        <v/>
      </c>
      <c r="O2006" s="26" t="str">
        <f aca="false">IF($D2006="","",F2006*M2006+G2006*N2006)</f>
        <v/>
      </c>
      <c r="P2006" s="26" t="str">
        <f aca="false">IF(OR($D2006="",$J2006&lt;&gt;"Supplier"),"",IFERROR(INDEX(SupplierRates!$D$5:$D$500,MATCH($K2006&amp;"|"&amp;$L2006,SupplierRates!$A$5:$A$500,0)),0))</f>
        <v/>
      </c>
      <c r="Q2006" s="26" t="str">
        <f aca="false">IF(OR($D2006="",$J2006&lt;&gt;"Supplier"),"",IFERROR(INDEX(SupplierRates!$E$5:$E$500,MATCH($K2006&amp;"|"&amp;$L2006,SupplierRates!$A$5:$A$500,0)),0))</f>
        <v/>
      </c>
      <c r="R2006" s="26" t="n">
        <f aca="false">IF(OR($D2006="",$J2006&lt;&gt;"Supplier"),0,F2006*P2006+G2006*Q2006)</f>
        <v>0</v>
      </c>
      <c r="S2006" s="26" t="n">
        <f aca="false">IF(OR($D2006="",$J2006&lt;&gt;"Own"),0,IFERROR((F2006+G2006*Settings!$B$13)*INDEX(Workers!$V$5:$V$2004,MATCH($D2006,Workers!$A$5:$A$2004,0)),0))</f>
        <v>0</v>
      </c>
      <c r="T2006" s="26" t="str">
        <f aca="false">IF($D2006="","",O2006-R2006-S2006)</f>
        <v/>
      </c>
    </row>
    <row r="2007" customFormat="false" ht="15" hidden="false" customHeight="false" outlineLevel="0" collapsed="false">
      <c r="I2007" s="24" t="str">
        <f aca="false">IF($D2007="","",IFERROR(INDEX(Workers!$B$5:$B$2004,MATCH($D2007,Workers!$A$5:$A$2004,0)),"NOT FOUND"))</f>
        <v/>
      </c>
      <c r="J2007" s="24" t="str">
        <f aca="false">IF($D2007="","",IFERROR(INDEX(Workers!$C$5:$C$2004,MATCH($D2007,Workers!$A$5:$A$2004,0)),""))</f>
        <v/>
      </c>
      <c r="K2007" s="24" t="str">
        <f aca="false">IF($D2007="","",IFERROR(IF(INDEX(Workers!$D$5:$D$2004,MATCH($D2007,Workers!$A$5:$A$2004,0))=0,"",INDEX(Workers!$D$5:$D$2004,MATCH($D2007,Workers!$A$5:$A$2004,0))),""))</f>
        <v/>
      </c>
      <c r="L2007" s="24" t="str">
        <f aca="false">IF($D2007="","",IFERROR(INDEX(Workers!$E$5:$E$2004,MATCH($D2007,Workers!$A$5:$A$2004,0)),""))</f>
        <v/>
      </c>
      <c r="M2007" s="26" t="str">
        <f aca="false">IF($D2007="","",IFERROR(INDEX(ClientRates!$D$5:$D$500,MATCH($B2007&amp;"|"&amp;$L2007,ClientRates!$A$5:$A$500,0)),0))</f>
        <v/>
      </c>
      <c r="N2007" s="26" t="str">
        <f aca="false">IF($D2007="","",IFERROR(INDEX(ClientRates!$E$5:$E$500,MATCH($B2007&amp;"|"&amp;$L2007,ClientRates!$A$5:$A$500,0)),0))</f>
        <v/>
      </c>
      <c r="O2007" s="26" t="str">
        <f aca="false">IF($D2007="","",F2007*M2007+G2007*N2007)</f>
        <v/>
      </c>
      <c r="P2007" s="26" t="str">
        <f aca="false">IF(OR($D2007="",$J2007&lt;&gt;"Supplier"),"",IFERROR(INDEX(SupplierRates!$D$5:$D$500,MATCH($K2007&amp;"|"&amp;$L2007,SupplierRates!$A$5:$A$500,0)),0))</f>
        <v/>
      </c>
      <c r="Q2007" s="26" t="str">
        <f aca="false">IF(OR($D2007="",$J2007&lt;&gt;"Supplier"),"",IFERROR(INDEX(SupplierRates!$E$5:$E$500,MATCH($K2007&amp;"|"&amp;$L2007,SupplierRates!$A$5:$A$500,0)),0))</f>
        <v/>
      </c>
      <c r="R2007" s="26" t="n">
        <f aca="false">IF(OR($D2007="",$J2007&lt;&gt;"Supplier"),0,F2007*P2007+G2007*Q2007)</f>
        <v>0</v>
      </c>
      <c r="S2007" s="26" t="n">
        <f aca="false">IF(OR($D2007="",$J2007&lt;&gt;"Own"),0,IFERROR((F2007+G2007*Settings!$B$13)*INDEX(Workers!$V$5:$V$2004,MATCH($D2007,Workers!$A$5:$A$2004,0)),0))</f>
        <v>0</v>
      </c>
      <c r="T2007" s="26" t="str">
        <f aca="false">IF($D2007="","",O2007-R2007-S2007)</f>
        <v/>
      </c>
    </row>
    <row r="2008" customFormat="false" ht="15" hidden="false" customHeight="false" outlineLevel="0" collapsed="false">
      <c r="I2008" s="24" t="str">
        <f aca="false">IF($D2008="","",IFERROR(INDEX(Workers!$B$5:$B$2004,MATCH($D2008,Workers!$A$5:$A$2004,0)),"NOT FOUND"))</f>
        <v/>
      </c>
      <c r="J2008" s="24" t="str">
        <f aca="false">IF($D2008="","",IFERROR(INDEX(Workers!$C$5:$C$2004,MATCH($D2008,Workers!$A$5:$A$2004,0)),""))</f>
        <v/>
      </c>
      <c r="K2008" s="24" t="str">
        <f aca="false">IF($D2008="","",IFERROR(IF(INDEX(Workers!$D$5:$D$2004,MATCH($D2008,Workers!$A$5:$A$2004,0))=0,"",INDEX(Workers!$D$5:$D$2004,MATCH($D2008,Workers!$A$5:$A$2004,0))),""))</f>
        <v/>
      </c>
      <c r="L2008" s="24" t="str">
        <f aca="false">IF($D2008="","",IFERROR(INDEX(Workers!$E$5:$E$2004,MATCH($D2008,Workers!$A$5:$A$2004,0)),""))</f>
        <v/>
      </c>
      <c r="M2008" s="26" t="str">
        <f aca="false">IF($D2008="","",IFERROR(INDEX(ClientRates!$D$5:$D$500,MATCH($B2008&amp;"|"&amp;$L2008,ClientRates!$A$5:$A$500,0)),0))</f>
        <v/>
      </c>
      <c r="N2008" s="26" t="str">
        <f aca="false">IF($D2008="","",IFERROR(INDEX(ClientRates!$E$5:$E$500,MATCH($B2008&amp;"|"&amp;$L2008,ClientRates!$A$5:$A$500,0)),0))</f>
        <v/>
      </c>
      <c r="O2008" s="26" t="str">
        <f aca="false">IF($D2008="","",F2008*M2008+G2008*N2008)</f>
        <v/>
      </c>
      <c r="P2008" s="26" t="str">
        <f aca="false">IF(OR($D2008="",$J2008&lt;&gt;"Supplier"),"",IFERROR(INDEX(SupplierRates!$D$5:$D$500,MATCH($K2008&amp;"|"&amp;$L2008,SupplierRates!$A$5:$A$500,0)),0))</f>
        <v/>
      </c>
      <c r="Q2008" s="26" t="str">
        <f aca="false">IF(OR($D2008="",$J2008&lt;&gt;"Supplier"),"",IFERROR(INDEX(SupplierRates!$E$5:$E$500,MATCH($K2008&amp;"|"&amp;$L2008,SupplierRates!$A$5:$A$500,0)),0))</f>
        <v/>
      </c>
      <c r="R2008" s="26" t="n">
        <f aca="false">IF(OR($D2008="",$J2008&lt;&gt;"Supplier"),0,F2008*P2008+G2008*Q2008)</f>
        <v>0</v>
      </c>
      <c r="S2008" s="26" t="n">
        <f aca="false">IF(OR($D2008="",$J2008&lt;&gt;"Own"),0,IFERROR((F2008+G2008*Settings!$B$13)*INDEX(Workers!$V$5:$V$2004,MATCH($D2008,Workers!$A$5:$A$2004,0)),0))</f>
        <v>0</v>
      </c>
      <c r="T2008" s="26" t="str">
        <f aca="false">IF($D2008="","",O2008-R2008-S2008)</f>
        <v/>
      </c>
    </row>
    <row r="2009" customFormat="false" ht="15" hidden="false" customHeight="false" outlineLevel="0" collapsed="false">
      <c r="I2009" s="24" t="str">
        <f aca="false">IF($D2009="","",IFERROR(INDEX(Workers!$B$5:$B$2004,MATCH($D2009,Workers!$A$5:$A$2004,0)),"NOT FOUND"))</f>
        <v/>
      </c>
      <c r="J2009" s="24" t="str">
        <f aca="false">IF($D2009="","",IFERROR(INDEX(Workers!$C$5:$C$2004,MATCH($D2009,Workers!$A$5:$A$2004,0)),""))</f>
        <v/>
      </c>
      <c r="K2009" s="24" t="str">
        <f aca="false">IF($D2009="","",IFERROR(IF(INDEX(Workers!$D$5:$D$2004,MATCH($D2009,Workers!$A$5:$A$2004,0))=0,"",INDEX(Workers!$D$5:$D$2004,MATCH($D2009,Workers!$A$5:$A$2004,0))),""))</f>
        <v/>
      </c>
      <c r="L2009" s="24" t="str">
        <f aca="false">IF($D2009="","",IFERROR(INDEX(Workers!$E$5:$E$2004,MATCH($D2009,Workers!$A$5:$A$2004,0)),""))</f>
        <v/>
      </c>
      <c r="M2009" s="26" t="str">
        <f aca="false">IF($D2009="","",IFERROR(INDEX(ClientRates!$D$5:$D$500,MATCH($B2009&amp;"|"&amp;$L2009,ClientRates!$A$5:$A$500,0)),0))</f>
        <v/>
      </c>
      <c r="N2009" s="26" t="str">
        <f aca="false">IF($D2009="","",IFERROR(INDEX(ClientRates!$E$5:$E$500,MATCH($B2009&amp;"|"&amp;$L2009,ClientRates!$A$5:$A$500,0)),0))</f>
        <v/>
      </c>
      <c r="O2009" s="26" t="str">
        <f aca="false">IF($D2009="","",F2009*M2009+G2009*N2009)</f>
        <v/>
      </c>
      <c r="P2009" s="26" t="str">
        <f aca="false">IF(OR($D2009="",$J2009&lt;&gt;"Supplier"),"",IFERROR(INDEX(SupplierRates!$D$5:$D$500,MATCH($K2009&amp;"|"&amp;$L2009,SupplierRates!$A$5:$A$500,0)),0))</f>
        <v/>
      </c>
      <c r="Q2009" s="26" t="str">
        <f aca="false">IF(OR($D2009="",$J2009&lt;&gt;"Supplier"),"",IFERROR(INDEX(SupplierRates!$E$5:$E$500,MATCH($K2009&amp;"|"&amp;$L2009,SupplierRates!$A$5:$A$500,0)),0))</f>
        <v/>
      </c>
      <c r="R2009" s="26" t="n">
        <f aca="false">IF(OR($D2009="",$J2009&lt;&gt;"Supplier"),0,F2009*P2009+G2009*Q2009)</f>
        <v>0</v>
      </c>
      <c r="S2009" s="26" t="n">
        <f aca="false">IF(OR($D2009="",$J2009&lt;&gt;"Own"),0,IFERROR((F2009+G2009*Settings!$B$13)*INDEX(Workers!$V$5:$V$2004,MATCH($D2009,Workers!$A$5:$A$2004,0)),0))</f>
        <v>0</v>
      </c>
      <c r="T2009" s="26" t="str">
        <f aca="false">IF($D2009="","",O2009-R2009-S2009)</f>
        <v/>
      </c>
    </row>
    <row r="2010" customFormat="false" ht="15" hidden="false" customHeight="false" outlineLevel="0" collapsed="false">
      <c r="I2010" s="24" t="str">
        <f aca="false">IF($D2010="","",IFERROR(INDEX(Workers!$B$5:$B$2004,MATCH($D2010,Workers!$A$5:$A$2004,0)),"NOT FOUND"))</f>
        <v/>
      </c>
      <c r="J2010" s="24" t="str">
        <f aca="false">IF($D2010="","",IFERROR(INDEX(Workers!$C$5:$C$2004,MATCH($D2010,Workers!$A$5:$A$2004,0)),""))</f>
        <v/>
      </c>
      <c r="K2010" s="24" t="str">
        <f aca="false">IF($D2010="","",IFERROR(IF(INDEX(Workers!$D$5:$D$2004,MATCH($D2010,Workers!$A$5:$A$2004,0))=0,"",INDEX(Workers!$D$5:$D$2004,MATCH($D2010,Workers!$A$5:$A$2004,0))),""))</f>
        <v/>
      </c>
      <c r="L2010" s="24" t="str">
        <f aca="false">IF($D2010="","",IFERROR(INDEX(Workers!$E$5:$E$2004,MATCH($D2010,Workers!$A$5:$A$2004,0)),""))</f>
        <v/>
      </c>
      <c r="M2010" s="26" t="str">
        <f aca="false">IF($D2010="","",IFERROR(INDEX(ClientRates!$D$5:$D$500,MATCH($B2010&amp;"|"&amp;$L2010,ClientRates!$A$5:$A$500,0)),0))</f>
        <v/>
      </c>
      <c r="N2010" s="26" t="str">
        <f aca="false">IF($D2010="","",IFERROR(INDEX(ClientRates!$E$5:$E$500,MATCH($B2010&amp;"|"&amp;$L2010,ClientRates!$A$5:$A$500,0)),0))</f>
        <v/>
      </c>
      <c r="O2010" s="26" t="str">
        <f aca="false">IF($D2010="","",F2010*M2010+G2010*N2010)</f>
        <v/>
      </c>
      <c r="P2010" s="26" t="str">
        <f aca="false">IF(OR($D2010="",$J2010&lt;&gt;"Supplier"),"",IFERROR(INDEX(SupplierRates!$D$5:$D$500,MATCH($K2010&amp;"|"&amp;$L2010,SupplierRates!$A$5:$A$500,0)),0))</f>
        <v/>
      </c>
      <c r="Q2010" s="26" t="str">
        <f aca="false">IF(OR($D2010="",$J2010&lt;&gt;"Supplier"),"",IFERROR(INDEX(SupplierRates!$E$5:$E$500,MATCH($K2010&amp;"|"&amp;$L2010,SupplierRates!$A$5:$A$500,0)),0))</f>
        <v/>
      </c>
      <c r="R2010" s="26" t="n">
        <f aca="false">IF(OR($D2010="",$J2010&lt;&gt;"Supplier"),0,F2010*P2010+G2010*Q2010)</f>
        <v>0</v>
      </c>
      <c r="S2010" s="26" t="n">
        <f aca="false">IF(OR($D2010="",$J2010&lt;&gt;"Own"),0,IFERROR((F2010+G2010*Settings!$B$13)*INDEX(Workers!$V$5:$V$2004,MATCH($D2010,Workers!$A$5:$A$2004,0)),0))</f>
        <v>0</v>
      </c>
      <c r="T2010" s="26" t="str">
        <f aca="false">IF($D2010="","",O2010-R2010-S2010)</f>
        <v/>
      </c>
    </row>
    <row r="2011" customFormat="false" ht="15" hidden="false" customHeight="false" outlineLevel="0" collapsed="false">
      <c r="I2011" s="24" t="str">
        <f aca="false">IF($D2011="","",IFERROR(INDEX(Workers!$B$5:$B$2004,MATCH($D2011,Workers!$A$5:$A$2004,0)),"NOT FOUND"))</f>
        <v/>
      </c>
      <c r="J2011" s="24" t="str">
        <f aca="false">IF($D2011="","",IFERROR(INDEX(Workers!$C$5:$C$2004,MATCH($D2011,Workers!$A$5:$A$2004,0)),""))</f>
        <v/>
      </c>
      <c r="K2011" s="24" t="str">
        <f aca="false">IF($D2011="","",IFERROR(IF(INDEX(Workers!$D$5:$D$2004,MATCH($D2011,Workers!$A$5:$A$2004,0))=0,"",INDEX(Workers!$D$5:$D$2004,MATCH($D2011,Workers!$A$5:$A$2004,0))),""))</f>
        <v/>
      </c>
      <c r="L2011" s="24" t="str">
        <f aca="false">IF($D2011="","",IFERROR(INDEX(Workers!$E$5:$E$2004,MATCH($D2011,Workers!$A$5:$A$2004,0)),""))</f>
        <v/>
      </c>
      <c r="M2011" s="26" t="str">
        <f aca="false">IF($D2011="","",IFERROR(INDEX(ClientRates!$D$5:$D$500,MATCH($B2011&amp;"|"&amp;$L2011,ClientRates!$A$5:$A$500,0)),0))</f>
        <v/>
      </c>
      <c r="N2011" s="26" t="str">
        <f aca="false">IF($D2011="","",IFERROR(INDEX(ClientRates!$E$5:$E$500,MATCH($B2011&amp;"|"&amp;$L2011,ClientRates!$A$5:$A$500,0)),0))</f>
        <v/>
      </c>
      <c r="O2011" s="26" t="str">
        <f aca="false">IF($D2011="","",F2011*M2011+G2011*N2011)</f>
        <v/>
      </c>
      <c r="P2011" s="26" t="str">
        <f aca="false">IF(OR($D2011="",$J2011&lt;&gt;"Supplier"),"",IFERROR(INDEX(SupplierRates!$D$5:$D$500,MATCH($K2011&amp;"|"&amp;$L2011,SupplierRates!$A$5:$A$500,0)),0))</f>
        <v/>
      </c>
      <c r="Q2011" s="26" t="str">
        <f aca="false">IF(OR($D2011="",$J2011&lt;&gt;"Supplier"),"",IFERROR(INDEX(SupplierRates!$E$5:$E$500,MATCH($K2011&amp;"|"&amp;$L2011,SupplierRates!$A$5:$A$500,0)),0))</f>
        <v/>
      </c>
      <c r="R2011" s="26" t="n">
        <f aca="false">IF(OR($D2011="",$J2011&lt;&gt;"Supplier"),0,F2011*P2011+G2011*Q2011)</f>
        <v>0</v>
      </c>
      <c r="S2011" s="26" t="n">
        <f aca="false">IF(OR($D2011="",$J2011&lt;&gt;"Own"),0,IFERROR((F2011+G2011*Settings!$B$13)*INDEX(Workers!$V$5:$V$2004,MATCH($D2011,Workers!$A$5:$A$2004,0)),0))</f>
        <v>0</v>
      </c>
      <c r="T2011" s="26" t="str">
        <f aca="false">IF($D2011="","",O2011-R2011-S2011)</f>
        <v/>
      </c>
    </row>
    <row r="2012" customFormat="false" ht="15" hidden="false" customHeight="false" outlineLevel="0" collapsed="false">
      <c r="I2012" s="24" t="str">
        <f aca="false">IF($D2012="","",IFERROR(INDEX(Workers!$B$5:$B$2004,MATCH($D2012,Workers!$A$5:$A$2004,0)),"NOT FOUND"))</f>
        <v/>
      </c>
      <c r="J2012" s="24" t="str">
        <f aca="false">IF($D2012="","",IFERROR(INDEX(Workers!$C$5:$C$2004,MATCH($D2012,Workers!$A$5:$A$2004,0)),""))</f>
        <v/>
      </c>
      <c r="K2012" s="24" t="str">
        <f aca="false">IF($D2012="","",IFERROR(IF(INDEX(Workers!$D$5:$D$2004,MATCH($D2012,Workers!$A$5:$A$2004,0))=0,"",INDEX(Workers!$D$5:$D$2004,MATCH($D2012,Workers!$A$5:$A$2004,0))),""))</f>
        <v/>
      </c>
      <c r="L2012" s="24" t="str">
        <f aca="false">IF($D2012="","",IFERROR(INDEX(Workers!$E$5:$E$2004,MATCH($D2012,Workers!$A$5:$A$2004,0)),""))</f>
        <v/>
      </c>
      <c r="M2012" s="26" t="str">
        <f aca="false">IF($D2012="","",IFERROR(INDEX(ClientRates!$D$5:$D$500,MATCH($B2012&amp;"|"&amp;$L2012,ClientRates!$A$5:$A$500,0)),0))</f>
        <v/>
      </c>
      <c r="N2012" s="26" t="str">
        <f aca="false">IF($D2012="","",IFERROR(INDEX(ClientRates!$E$5:$E$500,MATCH($B2012&amp;"|"&amp;$L2012,ClientRates!$A$5:$A$500,0)),0))</f>
        <v/>
      </c>
      <c r="O2012" s="26" t="str">
        <f aca="false">IF($D2012="","",F2012*M2012+G2012*N2012)</f>
        <v/>
      </c>
      <c r="P2012" s="26" t="str">
        <f aca="false">IF(OR($D2012="",$J2012&lt;&gt;"Supplier"),"",IFERROR(INDEX(SupplierRates!$D$5:$D$500,MATCH($K2012&amp;"|"&amp;$L2012,SupplierRates!$A$5:$A$500,0)),0))</f>
        <v/>
      </c>
      <c r="Q2012" s="26" t="str">
        <f aca="false">IF(OR($D2012="",$J2012&lt;&gt;"Supplier"),"",IFERROR(INDEX(SupplierRates!$E$5:$E$500,MATCH($K2012&amp;"|"&amp;$L2012,SupplierRates!$A$5:$A$500,0)),0))</f>
        <v/>
      </c>
      <c r="R2012" s="26" t="n">
        <f aca="false">IF(OR($D2012="",$J2012&lt;&gt;"Supplier"),0,F2012*P2012+G2012*Q2012)</f>
        <v>0</v>
      </c>
      <c r="S2012" s="26" t="n">
        <f aca="false">IF(OR($D2012="",$J2012&lt;&gt;"Own"),0,IFERROR((F2012+G2012*Settings!$B$13)*INDEX(Workers!$V$5:$V$2004,MATCH($D2012,Workers!$A$5:$A$2004,0)),0))</f>
        <v>0</v>
      </c>
      <c r="T2012" s="26" t="str">
        <f aca="false">IF($D2012="","",O2012-R2012-S2012)</f>
        <v/>
      </c>
    </row>
    <row r="2013" customFormat="false" ht="15" hidden="false" customHeight="false" outlineLevel="0" collapsed="false">
      <c r="I2013" s="24" t="str">
        <f aca="false">IF($D2013="","",IFERROR(INDEX(Workers!$B$5:$B$2004,MATCH($D2013,Workers!$A$5:$A$2004,0)),"NOT FOUND"))</f>
        <v/>
      </c>
      <c r="J2013" s="24" t="str">
        <f aca="false">IF($D2013="","",IFERROR(INDEX(Workers!$C$5:$C$2004,MATCH($D2013,Workers!$A$5:$A$2004,0)),""))</f>
        <v/>
      </c>
      <c r="K2013" s="24" t="str">
        <f aca="false">IF($D2013="","",IFERROR(IF(INDEX(Workers!$D$5:$D$2004,MATCH($D2013,Workers!$A$5:$A$2004,0))=0,"",INDEX(Workers!$D$5:$D$2004,MATCH($D2013,Workers!$A$5:$A$2004,0))),""))</f>
        <v/>
      </c>
      <c r="L2013" s="24" t="str">
        <f aca="false">IF($D2013="","",IFERROR(INDEX(Workers!$E$5:$E$2004,MATCH($D2013,Workers!$A$5:$A$2004,0)),""))</f>
        <v/>
      </c>
      <c r="M2013" s="26" t="str">
        <f aca="false">IF($D2013="","",IFERROR(INDEX(ClientRates!$D$5:$D$500,MATCH($B2013&amp;"|"&amp;$L2013,ClientRates!$A$5:$A$500,0)),0))</f>
        <v/>
      </c>
      <c r="N2013" s="26" t="str">
        <f aca="false">IF($D2013="","",IFERROR(INDEX(ClientRates!$E$5:$E$500,MATCH($B2013&amp;"|"&amp;$L2013,ClientRates!$A$5:$A$500,0)),0))</f>
        <v/>
      </c>
      <c r="O2013" s="26" t="str">
        <f aca="false">IF($D2013="","",F2013*M2013+G2013*N2013)</f>
        <v/>
      </c>
      <c r="P2013" s="26" t="str">
        <f aca="false">IF(OR($D2013="",$J2013&lt;&gt;"Supplier"),"",IFERROR(INDEX(SupplierRates!$D$5:$D$500,MATCH($K2013&amp;"|"&amp;$L2013,SupplierRates!$A$5:$A$500,0)),0))</f>
        <v/>
      </c>
      <c r="Q2013" s="26" t="str">
        <f aca="false">IF(OR($D2013="",$J2013&lt;&gt;"Supplier"),"",IFERROR(INDEX(SupplierRates!$E$5:$E$500,MATCH($K2013&amp;"|"&amp;$L2013,SupplierRates!$A$5:$A$500,0)),0))</f>
        <v/>
      </c>
      <c r="R2013" s="26" t="n">
        <f aca="false">IF(OR($D2013="",$J2013&lt;&gt;"Supplier"),0,F2013*P2013+G2013*Q2013)</f>
        <v>0</v>
      </c>
      <c r="S2013" s="26" t="n">
        <f aca="false">IF(OR($D2013="",$J2013&lt;&gt;"Own"),0,IFERROR((F2013+G2013*Settings!$B$13)*INDEX(Workers!$V$5:$V$2004,MATCH($D2013,Workers!$A$5:$A$2004,0)),0))</f>
        <v>0</v>
      </c>
      <c r="T2013" s="26" t="str">
        <f aca="false">IF($D2013="","",O2013-R2013-S2013)</f>
        <v/>
      </c>
    </row>
    <row r="2014" customFormat="false" ht="15" hidden="false" customHeight="false" outlineLevel="0" collapsed="false">
      <c r="I2014" s="24" t="str">
        <f aca="false">IF($D2014="","",IFERROR(INDEX(Workers!$B$5:$B$2004,MATCH($D2014,Workers!$A$5:$A$2004,0)),"NOT FOUND"))</f>
        <v/>
      </c>
      <c r="J2014" s="24" t="str">
        <f aca="false">IF($D2014="","",IFERROR(INDEX(Workers!$C$5:$C$2004,MATCH($D2014,Workers!$A$5:$A$2004,0)),""))</f>
        <v/>
      </c>
      <c r="K2014" s="24" t="str">
        <f aca="false">IF($D2014="","",IFERROR(IF(INDEX(Workers!$D$5:$D$2004,MATCH($D2014,Workers!$A$5:$A$2004,0))=0,"",INDEX(Workers!$D$5:$D$2004,MATCH($D2014,Workers!$A$5:$A$2004,0))),""))</f>
        <v/>
      </c>
      <c r="L2014" s="24" t="str">
        <f aca="false">IF($D2014="","",IFERROR(INDEX(Workers!$E$5:$E$2004,MATCH($D2014,Workers!$A$5:$A$2004,0)),""))</f>
        <v/>
      </c>
      <c r="M2014" s="26" t="str">
        <f aca="false">IF($D2014="","",IFERROR(INDEX(ClientRates!$D$5:$D$500,MATCH($B2014&amp;"|"&amp;$L2014,ClientRates!$A$5:$A$500,0)),0))</f>
        <v/>
      </c>
      <c r="N2014" s="26" t="str">
        <f aca="false">IF($D2014="","",IFERROR(INDEX(ClientRates!$E$5:$E$500,MATCH($B2014&amp;"|"&amp;$L2014,ClientRates!$A$5:$A$500,0)),0))</f>
        <v/>
      </c>
      <c r="O2014" s="26" t="str">
        <f aca="false">IF($D2014="","",F2014*M2014+G2014*N2014)</f>
        <v/>
      </c>
      <c r="P2014" s="26" t="str">
        <f aca="false">IF(OR($D2014="",$J2014&lt;&gt;"Supplier"),"",IFERROR(INDEX(SupplierRates!$D$5:$D$500,MATCH($K2014&amp;"|"&amp;$L2014,SupplierRates!$A$5:$A$500,0)),0))</f>
        <v/>
      </c>
      <c r="Q2014" s="26" t="str">
        <f aca="false">IF(OR($D2014="",$J2014&lt;&gt;"Supplier"),"",IFERROR(INDEX(SupplierRates!$E$5:$E$500,MATCH($K2014&amp;"|"&amp;$L2014,SupplierRates!$A$5:$A$500,0)),0))</f>
        <v/>
      </c>
      <c r="R2014" s="26" t="n">
        <f aca="false">IF(OR($D2014="",$J2014&lt;&gt;"Supplier"),0,F2014*P2014+G2014*Q2014)</f>
        <v>0</v>
      </c>
      <c r="S2014" s="26" t="n">
        <f aca="false">IF(OR($D2014="",$J2014&lt;&gt;"Own"),0,IFERROR((F2014+G2014*Settings!$B$13)*INDEX(Workers!$V$5:$V$2004,MATCH($D2014,Workers!$A$5:$A$2004,0)),0))</f>
        <v>0</v>
      </c>
      <c r="T2014" s="26" t="str">
        <f aca="false">IF($D2014="","",O2014-R2014-S2014)</f>
        <v/>
      </c>
    </row>
    <row r="2015" customFormat="false" ht="15" hidden="false" customHeight="false" outlineLevel="0" collapsed="false">
      <c r="I2015" s="24" t="str">
        <f aca="false">IF($D2015="","",IFERROR(INDEX(Workers!$B$5:$B$2004,MATCH($D2015,Workers!$A$5:$A$2004,0)),"NOT FOUND"))</f>
        <v/>
      </c>
      <c r="J2015" s="24" t="str">
        <f aca="false">IF($D2015="","",IFERROR(INDEX(Workers!$C$5:$C$2004,MATCH($D2015,Workers!$A$5:$A$2004,0)),""))</f>
        <v/>
      </c>
      <c r="K2015" s="24" t="str">
        <f aca="false">IF($D2015="","",IFERROR(IF(INDEX(Workers!$D$5:$D$2004,MATCH($D2015,Workers!$A$5:$A$2004,0))=0,"",INDEX(Workers!$D$5:$D$2004,MATCH($D2015,Workers!$A$5:$A$2004,0))),""))</f>
        <v/>
      </c>
      <c r="L2015" s="24" t="str">
        <f aca="false">IF($D2015="","",IFERROR(INDEX(Workers!$E$5:$E$2004,MATCH($D2015,Workers!$A$5:$A$2004,0)),""))</f>
        <v/>
      </c>
      <c r="M2015" s="26" t="str">
        <f aca="false">IF($D2015="","",IFERROR(INDEX(ClientRates!$D$5:$D$500,MATCH($B2015&amp;"|"&amp;$L2015,ClientRates!$A$5:$A$500,0)),0))</f>
        <v/>
      </c>
      <c r="N2015" s="26" t="str">
        <f aca="false">IF($D2015="","",IFERROR(INDEX(ClientRates!$E$5:$E$500,MATCH($B2015&amp;"|"&amp;$L2015,ClientRates!$A$5:$A$500,0)),0))</f>
        <v/>
      </c>
      <c r="O2015" s="26" t="str">
        <f aca="false">IF($D2015="","",F2015*M2015+G2015*N2015)</f>
        <v/>
      </c>
      <c r="P2015" s="26" t="str">
        <f aca="false">IF(OR($D2015="",$J2015&lt;&gt;"Supplier"),"",IFERROR(INDEX(SupplierRates!$D$5:$D$500,MATCH($K2015&amp;"|"&amp;$L2015,SupplierRates!$A$5:$A$500,0)),0))</f>
        <v/>
      </c>
      <c r="Q2015" s="26" t="str">
        <f aca="false">IF(OR($D2015="",$J2015&lt;&gt;"Supplier"),"",IFERROR(INDEX(SupplierRates!$E$5:$E$500,MATCH($K2015&amp;"|"&amp;$L2015,SupplierRates!$A$5:$A$500,0)),0))</f>
        <v/>
      </c>
      <c r="R2015" s="26" t="n">
        <f aca="false">IF(OR($D2015="",$J2015&lt;&gt;"Supplier"),0,F2015*P2015+G2015*Q2015)</f>
        <v>0</v>
      </c>
      <c r="S2015" s="26" t="n">
        <f aca="false">IF(OR($D2015="",$J2015&lt;&gt;"Own"),0,IFERROR((F2015+G2015*Settings!$B$13)*INDEX(Workers!$V$5:$V$2004,MATCH($D2015,Workers!$A$5:$A$2004,0)),0))</f>
        <v>0</v>
      </c>
      <c r="T2015" s="26" t="str">
        <f aca="false">IF($D2015="","",O2015-R2015-S2015)</f>
        <v/>
      </c>
    </row>
    <row r="2016" customFormat="false" ht="15" hidden="false" customHeight="false" outlineLevel="0" collapsed="false">
      <c r="I2016" s="24" t="str">
        <f aca="false">IF($D2016="","",IFERROR(INDEX(Workers!$B$5:$B$2004,MATCH($D2016,Workers!$A$5:$A$2004,0)),"NOT FOUND"))</f>
        <v/>
      </c>
      <c r="J2016" s="24" t="str">
        <f aca="false">IF($D2016="","",IFERROR(INDEX(Workers!$C$5:$C$2004,MATCH($D2016,Workers!$A$5:$A$2004,0)),""))</f>
        <v/>
      </c>
      <c r="K2016" s="24" t="str">
        <f aca="false">IF($D2016="","",IFERROR(IF(INDEX(Workers!$D$5:$D$2004,MATCH($D2016,Workers!$A$5:$A$2004,0))=0,"",INDEX(Workers!$D$5:$D$2004,MATCH($D2016,Workers!$A$5:$A$2004,0))),""))</f>
        <v/>
      </c>
      <c r="L2016" s="24" t="str">
        <f aca="false">IF($D2016="","",IFERROR(INDEX(Workers!$E$5:$E$2004,MATCH($D2016,Workers!$A$5:$A$2004,0)),""))</f>
        <v/>
      </c>
      <c r="M2016" s="26" t="str">
        <f aca="false">IF($D2016="","",IFERROR(INDEX(ClientRates!$D$5:$D$500,MATCH($B2016&amp;"|"&amp;$L2016,ClientRates!$A$5:$A$500,0)),0))</f>
        <v/>
      </c>
      <c r="N2016" s="26" t="str">
        <f aca="false">IF($D2016="","",IFERROR(INDEX(ClientRates!$E$5:$E$500,MATCH($B2016&amp;"|"&amp;$L2016,ClientRates!$A$5:$A$500,0)),0))</f>
        <v/>
      </c>
      <c r="O2016" s="26" t="str">
        <f aca="false">IF($D2016="","",F2016*M2016+G2016*N2016)</f>
        <v/>
      </c>
      <c r="P2016" s="26" t="str">
        <f aca="false">IF(OR($D2016="",$J2016&lt;&gt;"Supplier"),"",IFERROR(INDEX(SupplierRates!$D$5:$D$500,MATCH($K2016&amp;"|"&amp;$L2016,SupplierRates!$A$5:$A$500,0)),0))</f>
        <v/>
      </c>
      <c r="Q2016" s="26" t="str">
        <f aca="false">IF(OR($D2016="",$J2016&lt;&gt;"Supplier"),"",IFERROR(INDEX(SupplierRates!$E$5:$E$500,MATCH($K2016&amp;"|"&amp;$L2016,SupplierRates!$A$5:$A$500,0)),0))</f>
        <v/>
      </c>
      <c r="R2016" s="26" t="n">
        <f aca="false">IF(OR($D2016="",$J2016&lt;&gt;"Supplier"),0,F2016*P2016+G2016*Q2016)</f>
        <v>0</v>
      </c>
      <c r="S2016" s="26" t="n">
        <f aca="false">IF(OR($D2016="",$J2016&lt;&gt;"Own"),0,IFERROR((F2016+G2016*Settings!$B$13)*INDEX(Workers!$V$5:$V$2004,MATCH($D2016,Workers!$A$5:$A$2004,0)),0))</f>
        <v>0</v>
      </c>
      <c r="T2016" s="26" t="str">
        <f aca="false">IF($D2016="","",O2016-R2016-S2016)</f>
        <v/>
      </c>
    </row>
    <row r="2017" customFormat="false" ht="15" hidden="false" customHeight="false" outlineLevel="0" collapsed="false">
      <c r="I2017" s="24" t="str">
        <f aca="false">IF($D2017="","",IFERROR(INDEX(Workers!$B$5:$B$2004,MATCH($D2017,Workers!$A$5:$A$2004,0)),"NOT FOUND"))</f>
        <v/>
      </c>
      <c r="J2017" s="24" t="str">
        <f aca="false">IF($D2017="","",IFERROR(INDEX(Workers!$C$5:$C$2004,MATCH($D2017,Workers!$A$5:$A$2004,0)),""))</f>
        <v/>
      </c>
      <c r="K2017" s="24" t="str">
        <f aca="false">IF($D2017="","",IFERROR(IF(INDEX(Workers!$D$5:$D$2004,MATCH($D2017,Workers!$A$5:$A$2004,0))=0,"",INDEX(Workers!$D$5:$D$2004,MATCH($D2017,Workers!$A$5:$A$2004,0))),""))</f>
        <v/>
      </c>
      <c r="L2017" s="24" t="str">
        <f aca="false">IF($D2017="","",IFERROR(INDEX(Workers!$E$5:$E$2004,MATCH($D2017,Workers!$A$5:$A$2004,0)),""))</f>
        <v/>
      </c>
      <c r="M2017" s="26" t="str">
        <f aca="false">IF($D2017="","",IFERROR(INDEX(ClientRates!$D$5:$D$500,MATCH($B2017&amp;"|"&amp;$L2017,ClientRates!$A$5:$A$500,0)),0))</f>
        <v/>
      </c>
      <c r="N2017" s="26" t="str">
        <f aca="false">IF($D2017="","",IFERROR(INDEX(ClientRates!$E$5:$E$500,MATCH($B2017&amp;"|"&amp;$L2017,ClientRates!$A$5:$A$500,0)),0))</f>
        <v/>
      </c>
      <c r="O2017" s="26" t="str">
        <f aca="false">IF($D2017="","",F2017*M2017+G2017*N2017)</f>
        <v/>
      </c>
      <c r="P2017" s="26" t="str">
        <f aca="false">IF(OR($D2017="",$J2017&lt;&gt;"Supplier"),"",IFERROR(INDEX(SupplierRates!$D$5:$D$500,MATCH($K2017&amp;"|"&amp;$L2017,SupplierRates!$A$5:$A$500,0)),0))</f>
        <v/>
      </c>
      <c r="Q2017" s="26" t="str">
        <f aca="false">IF(OR($D2017="",$J2017&lt;&gt;"Supplier"),"",IFERROR(INDEX(SupplierRates!$E$5:$E$500,MATCH($K2017&amp;"|"&amp;$L2017,SupplierRates!$A$5:$A$500,0)),0))</f>
        <v/>
      </c>
      <c r="R2017" s="26" t="n">
        <f aca="false">IF(OR($D2017="",$J2017&lt;&gt;"Supplier"),0,F2017*P2017+G2017*Q2017)</f>
        <v>0</v>
      </c>
      <c r="S2017" s="26" t="n">
        <f aca="false">IF(OR($D2017="",$J2017&lt;&gt;"Own"),0,IFERROR((F2017+G2017*Settings!$B$13)*INDEX(Workers!$V$5:$V$2004,MATCH($D2017,Workers!$A$5:$A$2004,0)),0))</f>
        <v>0</v>
      </c>
      <c r="T2017" s="26" t="str">
        <f aca="false">IF($D2017="","",O2017-R2017-S2017)</f>
        <v/>
      </c>
    </row>
    <row r="2018" customFormat="false" ht="15" hidden="false" customHeight="false" outlineLevel="0" collapsed="false">
      <c r="I2018" s="24" t="str">
        <f aca="false">IF($D2018="","",IFERROR(INDEX(Workers!$B$5:$B$2004,MATCH($D2018,Workers!$A$5:$A$2004,0)),"NOT FOUND"))</f>
        <v/>
      </c>
      <c r="J2018" s="24" t="str">
        <f aca="false">IF($D2018="","",IFERROR(INDEX(Workers!$C$5:$C$2004,MATCH($D2018,Workers!$A$5:$A$2004,0)),""))</f>
        <v/>
      </c>
      <c r="K2018" s="24" t="str">
        <f aca="false">IF($D2018="","",IFERROR(IF(INDEX(Workers!$D$5:$D$2004,MATCH($D2018,Workers!$A$5:$A$2004,0))=0,"",INDEX(Workers!$D$5:$D$2004,MATCH($D2018,Workers!$A$5:$A$2004,0))),""))</f>
        <v/>
      </c>
      <c r="L2018" s="24" t="str">
        <f aca="false">IF($D2018="","",IFERROR(INDEX(Workers!$E$5:$E$2004,MATCH($D2018,Workers!$A$5:$A$2004,0)),""))</f>
        <v/>
      </c>
      <c r="M2018" s="26" t="str">
        <f aca="false">IF($D2018="","",IFERROR(INDEX(ClientRates!$D$5:$D$500,MATCH($B2018&amp;"|"&amp;$L2018,ClientRates!$A$5:$A$500,0)),0))</f>
        <v/>
      </c>
      <c r="N2018" s="26" t="str">
        <f aca="false">IF($D2018="","",IFERROR(INDEX(ClientRates!$E$5:$E$500,MATCH($B2018&amp;"|"&amp;$L2018,ClientRates!$A$5:$A$500,0)),0))</f>
        <v/>
      </c>
      <c r="O2018" s="26" t="str">
        <f aca="false">IF($D2018="","",F2018*M2018+G2018*N2018)</f>
        <v/>
      </c>
      <c r="P2018" s="26" t="str">
        <f aca="false">IF(OR($D2018="",$J2018&lt;&gt;"Supplier"),"",IFERROR(INDEX(SupplierRates!$D$5:$D$500,MATCH($K2018&amp;"|"&amp;$L2018,SupplierRates!$A$5:$A$500,0)),0))</f>
        <v/>
      </c>
      <c r="Q2018" s="26" t="str">
        <f aca="false">IF(OR($D2018="",$J2018&lt;&gt;"Supplier"),"",IFERROR(INDEX(SupplierRates!$E$5:$E$500,MATCH($K2018&amp;"|"&amp;$L2018,SupplierRates!$A$5:$A$500,0)),0))</f>
        <v/>
      </c>
      <c r="R2018" s="26" t="n">
        <f aca="false">IF(OR($D2018="",$J2018&lt;&gt;"Supplier"),0,F2018*P2018+G2018*Q2018)</f>
        <v>0</v>
      </c>
      <c r="S2018" s="26" t="n">
        <f aca="false">IF(OR($D2018="",$J2018&lt;&gt;"Own"),0,IFERROR((F2018+G2018*Settings!$B$13)*INDEX(Workers!$V$5:$V$2004,MATCH($D2018,Workers!$A$5:$A$2004,0)),0))</f>
        <v>0</v>
      </c>
      <c r="T2018" s="26" t="str">
        <f aca="false">IF($D2018="","",O2018-R2018-S2018)</f>
        <v/>
      </c>
    </row>
    <row r="2019" customFormat="false" ht="15" hidden="false" customHeight="false" outlineLevel="0" collapsed="false">
      <c r="I2019" s="24" t="str">
        <f aca="false">IF($D2019="","",IFERROR(INDEX(Workers!$B$5:$B$2004,MATCH($D2019,Workers!$A$5:$A$2004,0)),"NOT FOUND"))</f>
        <v/>
      </c>
      <c r="J2019" s="24" t="str">
        <f aca="false">IF($D2019="","",IFERROR(INDEX(Workers!$C$5:$C$2004,MATCH($D2019,Workers!$A$5:$A$2004,0)),""))</f>
        <v/>
      </c>
      <c r="K2019" s="24" t="str">
        <f aca="false">IF($D2019="","",IFERROR(IF(INDEX(Workers!$D$5:$D$2004,MATCH($D2019,Workers!$A$5:$A$2004,0))=0,"",INDEX(Workers!$D$5:$D$2004,MATCH($D2019,Workers!$A$5:$A$2004,0))),""))</f>
        <v/>
      </c>
      <c r="L2019" s="24" t="str">
        <f aca="false">IF($D2019="","",IFERROR(INDEX(Workers!$E$5:$E$2004,MATCH($D2019,Workers!$A$5:$A$2004,0)),""))</f>
        <v/>
      </c>
      <c r="M2019" s="26" t="str">
        <f aca="false">IF($D2019="","",IFERROR(INDEX(ClientRates!$D$5:$D$500,MATCH($B2019&amp;"|"&amp;$L2019,ClientRates!$A$5:$A$500,0)),0))</f>
        <v/>
      </c>
      <c r="N2019" s="26" t="str">
        <f aca="false">IF($D2019="","",IFERROR(INDEX(ClientRates!$E$5:$E$500,MATCH($B2019&amp;"|"&amp;$L2019,ClientRates!$A$5:$A$500,0)),0))</f>
        <v/>
      </c>
      <c r="O2019" s="26" t="str">
        <f aca="false">IF($D2019="","",F2019*M2019+G2019*N2019)</f>
        <v/>
      </c>
      <c r="P2019" s="26" t="str">
        <f aca="false">IF(OR($D2019="",$J2019&lt;&gt;"Supplier"),"",IFERROR(INDEX(SupplierRates!$D$5:$D$500,MATCH($K2019&amp;"|"&amp;$L2019,SupplierRates!$A$5:$A$500,0)),0))</f>
        <v/>
      </c>
      <c r="Q2019" s="26" t="str">
        <f aca="false">IF(OR($D2019="",$J2019&lt;&gt;"Supplier"),"",IFERROR(INDEX(SupplierRates!$E$5:$E$500,MATCH($K2019&amp;"|"&amp;$L2019,SupplierRates!$A$5:$A$500,0)),0))</f>
        <v/>
      </c>
      <c r="R2019" s="26" t="n">
        <f aca="false">IF(OR($D2019="",$J2019&lt;&gt;"Supplier"),0,F2019*P2019+G2019*Q2019)</f>
        <v>0</v>
      </c>
      <c r="S2019" s="26" t="n">
        <f aca="false">IF(OR($D2019="",$J2019&lt;&gt;"Own"),0,IFERROR((F2019+G2019*Settings!$B$13)*INDEX(Workers!$V$5:$V$2004,MATCH($D2019,Workers!$A$5:$A$2004,0)),0))</f>
        <v>0</v>
      </c>
      <c r="T2019" s="26" t="str">
        <f aca="false">IF($D2019="","",O2019-R2019-S2019)</f>
        <v/>
      </c>
    </row>
    <row r="2020" customFormat="false" ht="15" hidden="false" customHeight="false" outlineLevel="0" collapsed="false">
      <c r="I2020" s="24" t="str">
        <f aca="false">IF($D2020="","",IFERROR(INDEX(Workers!$B$5:$B$2004,MATCH($D2020,Workers!$A$5:$A$2004,0)),"NOT FOUND"))</f>
        <v/>
      </c>
      <c r="J2020" s="24" t="str">
        <f aca="false">IF($D2020="","",IFERROR(INDEX(Workers!$C$5:$C$2004,MATCH($D2020,Workers!$A$5:$A$2004,0)),""))</f>
        <v/>
      </c>
      <c r="K2020" s="24" t="str">
        <f aca="false">IF($D2020="","",IFERROR(IF(INDEX(Workers!$D$5:$D$2004,MATCH($D2020,Workers!$A$5:$A$2004,0))=0,"",INDEX(Workers!$D$5:$D$2004,MATCH($D2020,Workers!$A$5:$A$2004,0))),""))</f>
        <v/>
      </c>
      <c r="L2020" s="24" t="str">
        <f aca="false">IF($D2020="","",IFERROR(INDEX(Workers!$E$5:$E$2004,MATCH($D2020,Workers!$A$5:$A$2004,0)),""))</f>
        <v/>
      </c>
      <c r="M2020" s="26" t="str">
        <f aca="false">IF($D2020="","",IFERROR(INDEX(ClientRates!$D$5:$D$500,MATCH($B2020&amp;"|"&amp;$L2020,ClientRates!$A$5:$A$500,0)),0))</f>
        <v/>
      </c>
      <c r="N2020" s="26" t="str">
        <f aca="false">IF($D2020="","",IFERROR(INDEX(ClientRates!$E$5:$E$500,MATCH($B2020&amp;"|"&amp;$L2020,ClientRates!$A$5:$A$500,0)),0))</f>
        <v/>
      </c>
      <c r="O2020" s="26" t="str">
        <f aca="false">IF($D2020="","",F2020*M2020+G2020*N2020)</f>
        <v/>
      </c>
      <c r="P2020" s="26" t="str">
        <f aca="false">IF(OR($D2020="",$J2020&lt;&gt;"Supplier"),"",IFERROR(INDEX(SupplierRates!$D$5:$D$500,MATCH($K2020&amp;"|"&amp;$L2020,SupplierRates!$A$5:$A$500,0)),0))</f>
        <v/>
      </c>
      <c r="Q2020" s="26" t="str">
        <f aca="false">IF(OR($D2020="",$J2020&lt;&gt;"Supplier"),"",IFERROR(INDEX(SupplierRates!$E$5:$E$500,MATCH($K2020&amp;"|"&amp;$L2020,SupplierRates!$A$5:$A$500,0)),0))</f>
        <v/>
      </c>
      <c r="R2020" s="26" t="n">
        <f aca="false">IF(OR($D2020="",$J2020&lt;&gt;"Supplier"),0,F2020*P2020+G2020*Q2020)</f>
        <v>0</v>
      </c>
      <c r="S2020" s="26" t="n">
        <f aca="false">IF(OR($D2020="",$J2020&lt;&gt;"Own"),0,IFERROR((F2020+G2020*Settings!$B$13)*INDEX(Workers!$V$5:$V$2004,MATCH($D2020,Workers!$A$5:$A$2004,0)),0))</f>
        <v>0</v>
      </c>
      <c r="T2020" s="26" t="str">
        <f aca="false">IF($D2020="","",O2020-R2020-S2020)</f>
        <v/>
      </c>
    </row>
    <row r="2021" customFormat="false" ht="15" hidden="false" customHeight="false" outlineLevel="0" collapsed="false">
      <c r="I2021" s="24" t="str">
        <f aca="false">IF($D2021="","",IFERROR(INDEX(Workers!$B$5:$B$2004,MATCH($D2021,Workers!$A$5:$A$2004,0)),"NOT FOUND"))</f>
        <v/>
      </c>
      <c r="J2021" s="24" t="str">
        <f aca="false">IF($D2021="","",IFERROR(INDEX(Workers!$C$5:$C$2004,MATCH($D2021,Workers!$A$5:$A$2004,0)),""))</f>
        <v/>
      </c>
      <c r="K2021" s="24" t="str">
        <f aca="false">IF($D2021="","",IFERROR(IF(INDEX(Workers!$D$5:$D$2004,MATCH($D2021,Workers!$A$5:$A$2004,0))=0,"",INDEX(Workers!$D$5:$D$2004,MATCH($D2021,Workers!$A$5:$A$2004,0))),""))</f>
        <v/>
      </c>
      <c r="L2021" s="24" t="str">
        <f aca="false">IF($D2021="","",IFERROR(INDEX(Workers!$E$5:$E$2004,MATCH($D2021,Workers!$A$5:$A$2004,0)),""))</f>
        <v/>
      </c>
      <c r="M2021" s="26" t="str">
        <f aca="false">IF($D2021="","",IFERROR(INDEX(ClientRates!$D$5:$D$500,MATCH($B2021&amp;"|"&amp;$L2021,ClientRates!$A$5:$A$500,0)),0))</f>
        <v/>
      </c>
      <c r="N2021" s="26" t="str">
        <f aca="false">IF($D2021="","",IFERROR(INDEX(ClientRates!$E$5:$E$500,MATCH($B2021&amp;"|"&amp;$L2021,ClientRates!$A$5:$A$500,0)),0))</f>
        <v/>
      </c>
      <c r="O2021" s="26" t="str">
        <f aca="false">IF($D2021="","",F2021*M2021+G2021*N2021)</f>
        <v/>
      </c>
      <c r="P2021" s="26" t="str">
        <f aca="false">IF(OR($D2021="",$J2021&lt;&gt;"Supplier"),"",IFERROR(INDEX(SupplierRates!$D$5:$D$500,MATCH($K2021&amp;"|"&amp;$L2021,SupplierRates!$A$5:$A$500,0)),0))</f>
        <v/>
      </c>
      <c r="Q2021" s="26" t="str">
        <f aca="false">IF(OR($D2021="",$J2021&lt;&gt;"Supplier"),"",IFERROR(INDEX(SupplierRates!$E$5:$E$500,MATCH($K2021&amp;"|"&amp;$L2021,SupplierRates!$A$5:$A$500,0)),0))</f>
        <v/>
      </c>
      <c r="R2021" s="26" t="n">
        <f aca="false">IF(OR($D2021="",$J2021&lt;&gt;"Supplier"),0,F2021*P2021+G2021*Q2021)</f>
        <v>0</v>
      </c>
      <c r="S2021" s="26" t="n">
        <f aca="false">IF(OR($D2021="",$J2021&lt;&gt;"Own"),0,IFERROR((F2021+G2021*Settings!$B$13)*INDEX(Workers!$V$5:$V$2004,MATCH($D2021,Workers!$A$5:$A$2004,0)),0))</f>
        <v>0</v>
      </c>
      <c r="T2021" s="26" t="str">
        <f aca="false">IF($D2021="","",O2021-R2021-S2021)</f>
        <v/>
      </c>
    </row>
    <row r="2022" customFormat="false" ht="15" hidden="false" customHeight="false" outlineLevel="0" collapsed="false">
      <c r="I2022" s="24" t="str">
        <f aca="false">IF($D2022="","",IFERROR(INDEX(Workers!$B$5:$B$2004,MATCH($D2022,Workers!$A$5:$A$2004,0)),"NOT FOUND"))</f>
        <v/>
      </c>
      <c r="J2022" s="24" t="str">
        <f aca="false">IF($D2022="","",IFERROR(INDEX(Workers!$C$5:$C$2004,MATCH($D2022,Workers!$A$5:$A$2004,0)),""))</f>
        <v/>
      </c>
      <c r="K2022" s="24" t="str">
        <f aca="false">IF($D2022="","",IFERROR(IF(INDEX(Workers!$D$5:$D$2004,MATCH($D2022,Workers!$A$5:$A$2004,0))=0,"",INDEX(Workers!$D$5:$D$2004,MATCH($D2022,Workers!$A$5:$A$2004,0))),""))</f>
        <v/>
      </c>
      <c r="L2022" s="24" t="str">
        <f aca="false">IF($D2022="","",IFERROR(INDEX(Workers!$E$5:$E$2004,MATCH($D2022,Workers!$A$5:$A$2004,0)),""))</f>
        <v/>
      </c>
      <c r="M2022" s="26" t="str">
        <f aca="false">IF($D2022="","",IFERROR(INDEX(ClientRates!$D$5:$D$500,MATCH($B2022&amp;"|"&amp;$L2022,ClientRates!$A$5:$A$500,0)),0))</f>
        <v/>
      </c>
      <c r="N2022" s="26" t="str">
        <f aca="false">IF($D2022="","",IFERROR(INDEX(ClientRates!$E$5:$E$500,MATCH($B2022&amp;"|"&amp;$L2022,ClientRates!$A$5:$A$500,0)),0))</f>
        <v/>
      </c>
      <c r="O2022" s="26" t="str">
        <f aca="false">IF($D2022="","",F2022*M2022+G2022*N2022)</f>
        <v/>
      </c>
      <c r="P2022" s="26" t="str">
        <f aca="false">IF(OR($D2022="",$J2022&lt;&gt;"Supplier"),"",IFERROR(INDEX(SupplierRates!$D$5:$D$500,MATCH($K2022&amp;"|"&amp;$L2022,SupplierRates!$A$5:$A$500,0)),0))</f>
        <v/>
      </c>
      <c r="Q2022" s="26" t="str">
        <f aca="false">IF(OR($D2022="",$J2022&lt;&gt;"Supplier"),"",IFERROR(INDEX(SupplierRates!$E$5:$E$500,MATCH($K2022&amp;"|"&amp;$L2022,SupplierRates!$A$5:$A$500,0)),0))</f>
        <v/>
      </c>
      <c r="R2022" s="26" t="n">
        <f aca="false">IF(OR($D2022="",$J2022&lt;&gt;"Supplier"),0,F2022*P2022+G2022*Q2022)</f>
        <v>0</v>
      </c>
      <c r="S2022" s="26" t="n">
        <f aca="false">IF(OR($D2022="",$J2022&lt;&gt;"Own"),0,IFERROR((F2022+G2022*Settings!$B$13)*INDEX(Workers!$V$5:$V$2004,MATCH($D2022,Workers!$A$5:$A$2004,0)),0))</f>
        <v>0</v>
      </c>
      <c r="T2022" s="26" t="str">
        <f aca="false">IF($D2022="","",O2022-R2022-S2022)</f>
        <v/>
      </c>
    </row>
    <row r="2023" customFormat="false" ht="15" hidden="false" customHeight="false" outlineLevel="0" collapsed="false">
      <c r="I2023" s="24" t="str">
        <f aca="false">IF($D2023="","",IFERROR(INDEX(Workers!$B$5:$B$2004,MATCH($D2023,Workers!$A$5:$A$2004,0)),"NOT FOUND"))</f>
        <v/>
      </c>
      <c r="J2023" s="24" t="str">
        <f aca="false">IF($D2023="","",IFERROR(INDEX(Workers!$C$5:$C$2004,MATCH($D2023,Workers!$A$5:$A$2004,0)),""))</f>
        <v/>
      </c>
      <c r="K2023" s="24" t="str">
        <f aca="false">IF($D2023="","",IFERROR(IF(INDEX(Workers!$D$5:$D$2004,MATCH($D2023,Workers!$A$5:$A$2004,0))=0,"",INDEX(Workers!$D$5:$D$2004,MATCH($D2023,Workers!$A$5:$A$2004,0))),""))</f>
        <v/>
      </c>
      <c r="L2023" s="24" t="str">
        <f aca="false">IF($D2023="","",IFERROR(INDEX(Workers!$E$5:$E$2004,MATCH($D2023,Workers!$A$5:$A$2004,0)),""))</f>
        <v/>
      </c>
      <c r="M2023" s="26" t="str">
        <f aca="false">IF($D2023="","",IFERROR(INDEX(ClientRates!$D$5:$D$500,MATCH($B2023&amp;"|"&amp;$L2023,ClientRates!$A$5:$A$500,0)),0))</f>
        <v/>
      </c>
      <c r="N2023" s="26" t="str">
        <f aca="false">IF($D2023="","",IFERROR(INDEX(ClientRates!$E$5:$E$500,MATCH($B2023&amp;"|"&amp;$L2023,ClientRates!$A$5:$A$500,0)),0))</f>
        <v/>
      </c>
      <c r="O2023" s="26" t="str">
        <f aca="false">IF($D2023="","",F2023*M2023+G2023*N2023)</f>
        <v/>
      </c>
      <c r="P2023" s="26" t="str">
        <f aca="false">IF(OR($D2023="",$J2023&lt;&gt;"Supplier"),"",IFERROR(INDEX(SupplierRates!$D$5:$D$500,MATCH($K2023&amp;"|"&amp;$L2023,SupplierRates!$A$5:$A$500,0)),0))</f>
        <v/>
      </c>
      <c r="Q2023" s="26" t="str">
        <f aca="false">IF(OR($D2023="",$J2023&lt;&gt;"Supplier"),"",IFERROR(INDEX(SupplierRates!$E$5:$E$500,MATCH($K2023&amp;"|"&amp;$L2023,SupplierRates!$A$5:$A$500,0)),0))</f>
        <v/>
      </c>
      <c r="R2023" s="26" t="n">
        <f aca="false">IF(OR($D2023="",$J2023&lt;&gt;"Supplier"),0,F2023*P2023+G2023*Q2023)</f>
        <v>0</v>
      </c>
      <c r="S2023" s="26" t="n">
        <f aca="false">IF(OR($D2023="",$J2023&lt;&gt;"Own"),0,IFERROR((F2023+G2023*Settings!$B$13)*INDEX(Workers!$V$5:$V$2004,MATCH($D2023,Workers!$A$5:$A$2004,0)),0))</f>
        <v>0</v>
      </c>
      <c r="T2023" s="26" t="str">
        <f aca="false">IF($D2023="","",O2023-R2023-S2023)</f>
        <v/>
      </c>
    </row>
    <row r="2024" customFormat="false" ht="15" hidden="false" customHeight="false" outlineLevel="0" collapsed="false">
      <c r="I2024" s="24" t="str">
        <f aca="false">IF($D2024="","",IFERROR(INDEX(Workers!$B$5:$B$2004,MATCH($D2024,Workers!$A$5:$A$2004,0)),"NOT FOUND"))</f>
        <v/>
      </c>
      <c r="J2024" s="24" t="str">
        <f aca="false">IF($D2024="","",IFERROR(INDEX(Workers!$C$5:$C$2004,MATCH($D2024,Workers!$A$5:$A$2004,0)),""))</f>
        <v/>
      </c>
      <c r="K2024" s="24" t="str">
        <f aca="false">IF($D2024="","",IFERROR(IF(INDEX(Workers!$D$5:$D$2004,MATCH($D2024,Workers!$A$5:$A$2004,0))=0,"",INDEX(Workers!$D$5:$D$2004,MATCH($D2024,Workers!$A$5:$A$2004,0))),""))</f>
        <v/>
      </c>
      <c r="L2024" s="24" t="str">
        <f aca="false">IF($D2024="","",IFERROR(INDEX(Workers!$E$5:$E$2004,MATCH($D2024,Workers!$A$5:$A$2004,0)),""))</f>
        <v/>
      </c>
      <c r="M2024" s="26" t="str">
        <f aca="false">IF($D2024="","",IFERROR(INDEX(ClientRates!$D$5:$D$500,MATCH($B2024&amp;"|"&amp;$L2024,ClientRates!$A$5:$A$500,0)),0))</f>
        <v/>
      </c>
      <c r="N2024" s="26" t="str">
        <f aca="false">IF($D2024="","",IFERROR(INDEX(ClientRates!$E$5:$E$500,MATCH($B2024&amp;"|"&amp;$L2024,ClientRates!$A$5:$A$500,0)),0))</f>
        <v/>
      </c>
      <c r="O2024" s="26" t="str">
        <f aca="false">IF($D2024="","",F2024*M2024+G2024*N2024)</f>
        <v/>
      </c>
      <c r="P2024" s="26" t="str">
        <f aca="false">IF(OR($D2024="",$J2024&lt;&gt;"Supplier"),"",IFERROR(INDEX(SupplierRates!$D$5:$D$500,MATCH($K2024&amp;"|"&amp;$L2024,SupplierRates!$A$5:$A$500,0)),0))</f>
        <v/>
      </c>
      <c r="Q2024" s="26" t="str">
        <f aca="false">IF(OR($D2024="",$J2024&lt;&gt;"Supplier"),"",IFERROR(INDEX(SupplierRates!$E$5:$E$500,MATCH($K2024&amp;"|"&amp;$L2024,SupplierRates!$A$5:$A$500,0)),0))</f>
        <v/>
      </c>
      <c r="R2024" s="26" t="n">
        <f aca="false">IF(OR($D2024="",$J2024&lt;&gt;"Supplier"),0,F2024*P2024+G2024*Q2024)</f>
        <v>0</v>
      </c>
      <c r="S2024" s="26" t="n">
        <f aca="false">IF(OR($D2024="",$J2024&lt;&gt;"Own"),0,IFERROR((F2024+G2024*Settings!$B$13)*INDEX(Workers!$V$5:$V$2004,MATCH($D2024,Workers!$A$5:$A$2004,0)),0))</f>
        <v>0</v>
      </c>
      <c r="T2024" s="26" t="str">
        <f aca="false">IF($D2024="","",O2024-R2024-S2024)</f>
        <v/>
      </c>
    </row>
    <row r="2025" customFormat="false" ht="15" hidden="false" customHeight="false" outlineLevel="0" collapsed="false">
      <c r="I2025" s="24" t="str">
        <f aca="false">IF($D2025="","",IFERROR(INDEX(Workers!$B$5:$B$2004,MATCH($D2025,Workers!$A$5:$A$2004,0)),"NOT FOUND"))</f>
        <v/>
      </c>
      <c r="J2025" s="24" t="str">
        <f aca="false">IF($D2025="","",IFERROR(INDEX(Workers!$C$5:$C$2004,MATCH($D2025,Workers!$A$5:$A$2004,0)),""))</f>
        <v/>
      </c>
      <c r="K2025" s="24" t="str">
        <f aca="false">IF($D2025="","",IFERROR(IF(INDEX(Workers!$D$5:$D$2004,MATCH($D2025,Workers!$A$5:$A$2004,0))=0,"",INDEX(Workers!$D$5:$D$2004,MATCH($D2025,Workers!$A$5:$A$2004,0))),""))</f>
        <v/>
      </c>
      <c r="L2025" s="24" t="str">
        <f aca="false">IF($D2025="","",IFERROR(INDEX(Workers!$E$5:$E$2004,MATCH($D2025,Workers!$A$5:$A$2004,0)),""))</f>
        <v/>
      </c>
      <c r="M2025" s="26" t="str">
        <f aca="false">IF($D2025="","",IFERROR(INDEX(ClientRates!$D$5:$D$500,MATCH($B2025&amp;"|"&amp;$L2025,ClientRates!$A$5:$A$500,0)),0))</f>
        <v/>
      </c>
      <c r="N2025" s="26" t="str">
        <f aca="false">IF($D2025="","",IFERROR(INDEX(ClientRates!$E$5:$E$500,MATCH($B2025&amp;"|"&amp;$L2025,ClientRates!$A$5:$A$500,0)),0))</f>
        <v/>
      </c>
      <c r="O2025" s="26" t="str">
        <f aca="false">IF($D2025="","",F2025*M2025+G2025*N2025)</f>
        <v/>
      </c>
      <c r="P2025" s="26" t="str">
        <f aca="false">IF(OR($D2025="",$J2025&lt;&gt;"Supplier"),"",IFERROR(INDEX(SupplierRates!$D$5:$D$500,MATCH($K2025&amp;"|"&amp;$L2025,SupplierRates!$A$5:$A$500,0)),0))</f>
        <v/>
      </c>
      <c r="Q2025" s="26" t="str">
        <f aca="false">IF(OR($D2025="",$J2025&lt;&gt;"Supplier"),"",IFERROR(INDEX(SupplierRates!$E$5:$E$500,MATCH($K2025&amp;"|"&amp;$L2025,SupplierRates!$A$5:$A$500,0)),0))</f>
        <v/>
      </c>
      <c r="R2025" s="26" t="n">
        <f aca="false">IF(OR($D2025="",$J2025&lt;&gt;"Supplier"),0,F2025*P2025+G2025*Q2025)</f>
        <v>0</v>
      </c>
      <c r="S2025" s="26" t="n">
        <f aca="false">IF(OR($D2025="",$J2025&lt;&gt;"Own"),0,IFERROR((F2025+G2025*Settings!$B$13)*INDEX(Workers!$V$5:$V$2004,MATCH($D2025,Workers!$A$5:$A$2004,0)),0))</f>
        <v>0</v>
      </c>
      <c r="T2025" s="26" t="str">
        <f aca="false">IF($D2025="","",O2025-R2025-S2025)</f>
        <v/>
      </c>
    </row>
    <row r="2026" customFormat="false" ht="15" hidden="false" customHeight="false" outlineLevel="0" collapsed="false">
      <c r="I2026" s="24" t="str">
        <f aca="false">IF($D2026="","",IFERROR(INDEX(Workers!$B$5:$B$2004,MATCH($D2026,Workers!$A$5:$A$2004,0)),"NOT FOUND"))</f>
        <v/>
      </c>
      <c r="J2026" s="24" t="str">
        <f aca="false">IF($D2026="","",IFERROR(INDEX(Workers!$C$5:$C$2004,MATCH($D2026,Workers!$A$5:$A$2004,0)),""))</f>
        <v/>
      </c>
      <c r="K2026" s="24" t="str">
        <f aca="false">IF($D2026="","",IFERROR(IF(INDEX(Workers!$D$5:$D$2004,MATCH($D2026,Workers!$A$5:$A$2004,0))=0,"",INDEX(Workers!$D$5:$D$2004,MATCH($D2026,Workers!$A$5:$A$2004,0))),""))</f>
        <v/>
      </c>
      <c r="L2026" s="24" t="str">
        <f aca="false">IF($D2026="","",IFERROR(INDEX(Workers!$E$5:$E$2004,MATCH($D2026,Workers!$A$5:$A$2004,0)),""))</f>
        <v/>
      </c>
      <c r="M2026" s="26" t="str">
        <f aca="false">IF($D2026="","",IFERROR(INDEX(ClientRates!$D$5:$D$500,MATCH($B2026&amp;"|"&amp;$L2026,ClientRates!$A$5:$A$500,0)),0))</f>
        <v/>
      </c>
      <c r="N2026" s="26" t="str">
        <f aca="false">IF($D2026="","",IFERROR(INDEX(ClientRates!$E$5:$E$500,MATCH($B2026&amp;"|"&amp;$L2026,ClientRates!$A$5:$A$500,0)),0))</f>
        <v/>
      </c>
      <c r="O2026" s="26" t="str">
        <f aca="false">IF($D2026="","",F2026*M2026+G2026*N2026)</f>
        <v/>
      </c>
      <c r="P2026" s="26" t="str">
        <f aca="false">IF(OR($D2026="",$J2026&lt;&gt;"Supplier"),"",IFERROR(INDEX(SupplierRates!$D$5:$D$500,MATCH($K2026&amp;"|"&amp;$L2026,SupplierRates!$A$5:$A$500,0)),0))</f>
        <v/>
      </c>
      <c r="Q2026" s="26" t="str">
        <f aca="false">IF(OR($D2026="",$J2026&lt;&gt;"Supplier"),"",IFERROR(INDEX(SupplierRates!$E$5:$E$500,MATCH($K2026&amp;"|"&amp;$L2026,SupplierRates!$A$5:$A$500,0)),0))</f>
        <v/>
      </c>
      <c r="R2026" s="26" t="n">
        <f aca="false">IF(OR($D2026="",$J2026&lt;&gt;"Supplier"),0,F2026*P2026+G2026*Q2026)</f>
        <v>0</v>
      </c>
      <c r="S2026" s="26" t="n">
        <f aca="false">IF(OR($D2026="",$J2026&lt;&gt;"Own"),0,IFERROR((F2026+G2026*Settings!$B$13)*INDEX(Workers!$V$5:$V$2004,MATCH($D2026,Workers!$A$5:$A$2004,0)),0))</f>
        <v>0</v>
      </c>
      <c r="T2026" s="26" t="str">
        <f aca="false">IF($D2026="","",O2026-R2026-S2026)</f>
        <v/>
      </c>
    </row>
    <row r="2027" customFormat="false" ht="15" hidden="false" customHeight="false" outlineLevel="0" collapsed="false">
      <c r="I2027" s="24" t="str">
        <f aca="false">IF($D2027="","",IFERROR(INDEX(Workers!$B$5:$B$2004,MATCH($D2027,Workers!$A$5:$A$2004,0)),"NOT FOUND"))</f>
        <v/>
      </c>
      <c r="J2027" s="24" t="str">
        <f aca="false">IF($D2027="","",IFERROR(INDEX(Workers!$C$5:$C$2004,MATCH($D2027,Workers!$A$5:$A$2004,0)),""))</f>
        <v/>
      </c>
      <c r="K2027" s="24" t="str">
        <f aca="false">IF($D2027="","",IFERROR(IF(INDEX(Workers!$D$5:$D$2004,MATCH($D2027,Workers!$A$5:$A$2004,0))=0,"",INDEX(Workers!$D$5:$D$2004,MATCH($D2027,Workers!$A$5:$A$2004,0))),""))</f>
        <v/>
      </c>
      <c r="L2027" s="24" t="str">
        <f aca="false">IF($D2027="","",IFERROR(INDEX(Workers!$E$5:$E$2004,MATCH($D2027,Workers!$A$5:$A$2004,0)),""))</f>
        <v/>
      </c>
      <c r="M2027" s="26" t="str">
        <f aca="false">IF($D2027="","",IFERROR(INDEX(ClientRates!$D$5:$D$500,MATCH($B2027&amp;"|"&amp;$L2027,ClientRates!$A$5:$A$500,0)),0))</f>
        <v/>
      </c>
      <c r="N2027" s="26" t="str">
        <f aca="false">IF($D2027="","",IFERROR(INDEX(ClientRates!$E$5:$E$500,MATCH($B2027&amp;"|"&amp;$L2027,ClientRates!$A$5:$A$500,0)),0))</f>
        <v/>
      </c>
      <c r="O2027" s="26" t="str">
        <f aca="false">IF($D2027="","",F2027*M2027+G2027*N2027)</f>
        <v/>
      </c>
      <c r="P2027" s="26" t="str">
        <f aca="false">IF(OR($D2027="",$J2027&lt;&gt;"Supplier"),"",IFERROR(INDEX(SupplierRates!$D$5:$D$500,MATCH($K2027&amp;"|"&amp;$L2027,SupplierRates!$A$5:$A$500,0)),0))</f>
        <v/>
      </c>
      <c r="Q2027" s="26" t="str">
        <f aca="false">IF(OR($D2027="",$J2027&lt;&gt;"Supplier"),"",IFERROR(INDEX(SupplierRates!$E$5:$E$500,MATCH($K2027&amp;"|"&amp;$L2027,SupplierRates!$A$5:$A$500,0)),0))</f>
        <v/>
      </c>
      <c r="R2027" s="26" t="n">
        <f aca="false">IF(OR($D2027="",$J2027&lt;&gt;"Supplier"),0,F2027*P2027+G2027*Q2027)</f>
        <v>0</v>
      </c>
      <c r="S2027" s="26" t="n">
        <f aca="false">IF(OR($D2027="",$J2027&lt;&gt;"Own"),0,IFERROR((F2027+G2027*Settings!$B$13)*INDEX(Workers!$V$5:$V$2004,MATCH($D2027,Workers!$A$5:$A$2004,0)),0))</f>
        <v>0</v>
      </c>
      <c r="T2027" s="26" t="str">
        <f aca="false">IF($D2027="","",O2027-R2027-S2027)</f>
        <v/>
      </c>
    </row>
    <row r="2028" customFormat="false" ht="15" hidden="false" customHeight="false" outlineLevel="0" collapsed="false">
      <c r="I2028" s="24" t="str">
        <f aca="false">IF($D2028="","",IFERROR(INDEX(Workers!$B$5:$B$2004,MATCH($D2028,Workers!$A$5:$A$2004,0)),"NOT FOUND"))</f>
        <v/>
      </c>
      <c r="J2028" s="24" t="str">
        <f aca="false">IF($D2028="","",IFERROR(INDEX(Workers!$C$5:$C$2004,MATCH($D2028,Workers!$A$5:$A$2004,0)),""))</f>
        <v/>
      </c>
      <c r="K2028" s="24" t="str">
        <f aca="false">IF($D2028="","",IFERROR(IF(INDEX(Workers!$D$5:$D$2004,MATCH($D2028,Workers!$A$5:$A$2004,0))=0,"",INDEX(Workers!$D$5:$D$2004,MATCH($D2028,Workers!$A$5:$A$2004,0))),""))</f>
        <v/>
      </c>
      <c r="L2028" s="24" t="str">
        <f aca="false">IF($D2028="","",IFERROR(INDEX(Workers!$E$5:$E$2004,MATCH($D2028,Workers!$A$5:$A$2004,0)),""))</f>
        <v/>
      </c>
      <c r="M2028" s="26" t="str">
        <f aca="false">IF($D2028="","",IFERROR(INDEX(ClientRates!$D$5:$D$500,MATCH($B2028&amp;"|"&amp;$L2028,ClientRates!$A$5:$A$500,0)),0))</f>
        <v/>
      </c>
      <c r="N2028" s="26" t="str">
        <f aca="false">IF($D2028="","",IFERROR(INDEX(ClientRates!$E$5:$E$500,MATCH($B2028&amp;"|"&amp;$L2028,ClientRates!$A$5:$A$500,0)),0))</f>
        <v/>
      </c>
      <c r="O2028" s="26" t="str">
        <f aca="false">IF($D2028="","",F2028*M2028+G2028*N2028)</f>
        <v/>
      </c>
      <c r="P2028" s="26" t="str">
        <f aca="false">IF(OR($D2028="",$J2028&lt;&gt;"Supplier"),"",IFERROR(INDEX(SupplierRates!$D$5:$D$500,MATCH($K2028&amp;"|"&amp;$L2028,SupplierRates!$A$5:$A$500,0)),0))</f>
        <v/>
      </c>
      <c r="Q2028" s="26" t="str">
        <f aca="false">IF(OR($D2028="",$J2028&lt;&gt;"Supplier"),"",IFERROR(INDEX(SupplierRates!$E$5:$E$500,MATCH($K2028&amp;"|"&amp;$L2028,SupplierRates!$A$5:$A$500,0)),0))</f>
        <v/>
      </c>
      <c r="R2028" s="26" t="n">
        <f aca="false">IF(OR($D2028="",$J2028&lt;&gt;"Supplier"),0,F2028*P2028+G2028*Q2028)</f>
        <v>0</v>
      </c>
      <c r="S2028" s="26" t="n">
        <f aca="false">IF(OR($D2028="",$J2028&lt;&gt;"Own"),0,IFERROR((F2028+G2028*Settings!$B$13)*INDEX(Workers!$V$5:$V$2004,MATCH($D2028,Workers!$A$5:$A$2004,0)),0))</f>
        <v>0</v>
      </c>
      <c r="T2028" s="26" t="str">
        <f aca="false">IF($D2028="","",O2028-R2028-S2028)</f>
        <v/>
      </c>
    </row>
    <row r="2029" customFormat="false" ht="15" hidden="false" customHeight="false" outlineLevel="0" collapsed="false">
      <c r="I2029" s="24" t="str">
        <f aca="false">IF($D2029="","",IFERROR(INDEX(Workers!$B$5:$B$2004,MATCH($D2029,Workers!$A$5:$A$2004,0)),"NOT FOUND"))</f>
        <v/>
      </c>
      <c r="J2029" s="24" t="str">
        <f aca="false">IF($D2029="","",IFERROR(INDEX(Workers!$C$5:$C$2004,MATCH($D2029,Workers!$A$5:$A$2004,0)),""))</f>
        <v/>
      </c>
      <c r="K2029" s="24" t="str">
        <f aca="false">IF($D2029="","",IFERROR(IF(INDEX(Workers!$D$5:$D$2004,MATCH($D2029,Workers!$A$5:$A$2004,0))=0,"",INDEX(Workers!$D$5:$D$2004,MATCH($D2029,Workers!$A$5:$A$2004,0))),""))</f>
        <v/>
      </c>
      <c r="L2029" s="24" t="str">
        <f aca="false">IF($D2029="","",IFERROR(INDEX(Workers!$E$5:$E$2004,MATCH($D2029,Workers!$A$5:$A$2004,0)),""))</f>
        <v/>
      </c>
      <c r="M2029" s="26" t="str">
        <f aca="false">IF($D2029="","",IFERROR(INDEX(ClientRates!$D$5:$D$500,MATCH($B2029&amp;"|"&amp;$L2029,ClientRates!$A$5:$A$500,0)),0))</f>
        <v/>
      </c>
      <c r="N2029" s="26" t="str">
        <f aca="false">IF($D2029="","",IFERROR(INDEX(ClientRates!$E$5:$E$500,MATCH($B2029&amp;"|"&amp;$L2029,ClientRates!$A$5:$A$500,0)),0))</f>
        <v/>
      </c>
      <c r="O2029" s="26" t="str">
        <f aca="false">IF($D2029="","",F2029*M2029+G2029*N2029)</f>
        <v/>
      </c>
      <c r="P2029" s="26" t="str">
        <f aca="false">IF(OR($D2029="",$J2029&lt;&gt;"Supplier"),"",IFERROR(INDEX(SupplierRates!$D$5:$D$500,MATCH($K2029&amp;"|"&amp;$L2029,SupplierRates!$A$5:$A$500,0)),0))</f>
        <v/>
      </c>
      <c r="Q2029" s="26" t="str">
        <f aca="false">IF(OR($D2029="",$J2029&lt;&gt;"Supplier"),"",IFERROR(INDEX(SupplierRates!$E$5:$E$500,MATCH($K2029&amp;"|"&amp;$L2029,SupplierRates!$A$5:$A$500,0)),0))</f>
        <v/>
      </c>
      <c r="R2029" s="26" t="n">
        <f aca="false">IF(OR($D2029="",$J2029&lt;&gt;"Supplier"),0,F2029*P2029+G2029*Q2029)</f>
        <v>0</v>
      </c>
      <c r="S2029" s="26" t="n">
        <f aca="false">IF(OR($D2029="",$J2029&lt;&gt;"Own"),0,IFERROR((F2029+G2029*Settings!$B$13)*INDEX(Workers!$V$5:$V$2004,MATCH($D2029,Workers!$A$5:$A$2004,0)),0))</f>
        <v>0</v>
      </c>
      <c r="T2029" s="26" t="str">
        <f aca="false">IF($D2029="","",O2029-R2029-S2029)</f>
        <v/>
      </c>
    </row>
    <row r="2030" customFormat="false" ht="15" hidden="false" customHeight="false" outlineLevel="0" collapsed="false">
      <c r="I2030" s="24" t="str">
        <f aca="false">IF($D2030="","",IFERROR(INDEX(Workers!$B$5:$B$2004,MATCH($D2030,Workers!$A$5:$A$2004,0)),"NOT FOUND"))</f>
        <v/>
      </c>
      <c r="J2030" s="24" t="str">
        <f aca="false">IF($D2030="","",IFERROR(INDEX(Workers!$C$5:$C$2004,MATCH($D2030,Workers!$A$5:$A$2004,0)),""))</f>
        <v/>
      </c>
      <c r="K2030" s="24" t="str">
        <f aca="false">IF($D2030="","",IFERROR(IF(INDEX(Workers!$D$5:$D$2004,MATCH($D2030,Workers!$A$5:$A$2004,0))=0,"",INDEX(Workers!$D$5:$D$2004,MATCH($D2030,Workers!$A$5:$A$2004,0))),""))</f>
        <v/>
      </c>
      <c r="L2030" s="24" t="str">
        <f aca="false">IF($D2030="","",IFERROR(INDEX(Workers!$E$5:$E$2004,MATCH($D2030,Workers!$A$5:$A$2004,0)),""))</f>
        <v/>
      </c>
      <c r="M2030" s="26" t="str">
        <f aca="false">IF($D2030="","",IFERROR(INDEX(ClientRates!$D$5:$D$500,MATCH($B2030&amp;"|"&amp;$L2030,ClientRates!$A$5:$A$500,0)),0))</f>
        <v/>
      </c>
      <c r="N2030" s="26" t="str">
        <f aca="false">IF($D2030="","",IFERROR(INDEX(ClientRates!$E$5:$E$500,MATCH($B2030&amp;"|"&amp;$L2030,ClientRates!$A$5:$A$500,0)),0))</f>
        <v/>
      </c>
      <c r="O2030" s="26" t="str">
        <f aca="false">IF($D2030="","",F2030*M2030+G2030*N2030)</f>
        <v/>
      </c>
      <c r="P2030" s="26" t="str">
        <f aca="false">IF(OR($D2030="",$J2030&lt;&gt;"Supplier"),"",IFERROR(INDEX(SupplierRates!$D$5:$D$500,MATCH($K2030&amp;"|"&amp;$L2030,SupplierRates!$A$5:$A$500,0)),0))</f>
        <v/>
      </c>
      <c r="Q2030" s="26" t="str">
        <f aca="false">IF(OR($D2030="",$J2030&lt;&gt;"Supplier"),"",IFERROR(INDEX(SupplierRates!$E$5:$E$500,MATCH($K2030&amp;"|"&amp;$L2030,SupplierRates!$A$5:$A$500,0)),0))</f>
        <v/>
      </c>
      <c r="R2030" s="26" t="n">
        <f aca="false">IF(OR($D2030="",$J2030&lt;&gt;"Supplier"),0,F2030*P2030+G2030*Q2030)</f>
        <v>0</v>
      </c>
      <c r="S2030" s="26" t="n">
        <f aca="false">IF(OR($D2030="",$J2030&lt;&gt;"Own"),0,IFERROR((F2030+G2030*Settings!$B$13)*INDEX(Workers!$V$5:$V$2004,MATCH($D2030,Workers!$A$5:$A$2004,0)),0))</f>
        <v>0</v>
      </c>
      <c r="T2030" s="26" t="str">
        <f aca="false">IF($D2030="","",O2030-R2030-S2030)</f>
        <v/>
      </c>
    </row>
    <row r="2031" customFormat="false" ht="15" hidden="false" customHeight="false" outlineLevel="0" collapsed="false">
      <c r="I2031" s="24" t="str">
        <f aca="false">IF($D2031="","",IFERROR(INDEX(Workers!$B$5:$B$2004,MATCH($D2031,Workers!$A$5:$A$2004,0)),"NOT FOUND"))</f>
        <v/>
      </c>
      <c r="J2031" s="24" t="str">
        <f aca="false">IF($D2031="","",IFERROR(INDEX(Workers!$C$5:$C$2004,MATCH($D2031,Workers!$A$5:$A$2004,0)),""))</f>
        <v/>
      </c>
      <c r="K2031" s="24" t="str">
        <f aca="false">IF($D2031="","",IFERROR(IF(INDEX(Workers!$D$5:$D$2004,MATCH($D2031,Workers!$A$5:$A$2004,0))=0,"",INDEX(Workers!$D$5:$D$2004,MATCH($D2031,Workers!$A$5:$A$2004,0))),""))</f>
        <v/>
      </c>
      <c r="L2031" s="24" t="str">
        <f aca="false">IF($D2031="","",IFERROR(INDEX(Workers!$E$5:$E$2004,MATCH($D2031,Workers!$A$5:$A$2004,0)),""))</f>
        <v/>
      </c>
      <c r="M2031" s="26" t="str">
        <f aca="false">IF($D2031="","",IFERROR(INDEX(ClientRates!$D$5:$D$500,MATCH($B2031&amp;"|"&amp;$L2031,ClientRates!$A$5:$A$500,0)),0))</f>
        <v/>
      </c>
      <c r="N2031" s="26" t="str">
        <f aca="false">IF($D2031="","",IFERROR(INDEX(ClientRates!$E$5:$E$500,MATCH($B2031&amp;"|"&amp;$L2031,ClientRates!$A$5:$A$500,0)),0))</f>
        <v/>
      </c>
      <c r="O2031" s="26" t="str">
        <f aca="false">IF($D2031="","",F2031*M2031+G2031*N2031)</f>
        <v/>
      </c>
      <c r="P2031" s="26" t="str">
        <f aca="false">IF(OR($D2031="",$J2031&lt;&gt;"Supplier"),"",IFERROR(INDEX(SupplierRates!$D$5:$D$500,MATCH($K2031&amp;"|"&amp;$L2031,SupplierRates!$A$5:$A$500,0)),0))</f>
        <v/>
      </c>
      <c r="Q2031" s="26" t="str">
        <f aca="false">IF(OR($D2031="",$J2031&lt;&gt;"Supplier"),"",IFERROR(INDEX(SupplierRates!$E$5:$E$500,MATCH($K2031&amp;"|"&amp;$L2031,SupplierRates!$A$5:$A$500,0)),0))</f>
        <v/>
      </c>
      <c r="R2031" s="26" t="n">
        <f aca="false">IF(OR($D2031="",$J2031&lt;&gt;"Supplier"),0,F2031*P2031+G2031*Q2031)</f>
        <v>0</v>
      </c>
      <c r="S2031" s="26" t="n">
        <f aca="false">IF(OR($D2031="",$J2031&lt;&gt;"Own"),0,IFERROR((F2031+G2031*Settings!$B$13)*INDEX(Workers!$V$5:$V$2004,MATCH($D2031,Workers!$A$5:$A$2004,0)),0))</f>
        <v>0</v>
      </c>
      <c r="T2031" s="26" t="str">
        <f aca="false">IF($D2031="","",O2031-R2031-S2031)</f>
        <v/>
      </c>
    </row>
    <row r="2032" customFormat="false" ht="15" hidden="false" customHeight="false" outlineLevel="0" collapsed="false">
      <c r="I2032" s="24" t="str">
        <f aca="false">IF($D2032="","",IFERROR(INDEX(Workers!$B$5:$B$2004,MATCH($D2032,Workers!$A$5:$A$2004,0)),"NOT FOUND"))</f>
        <v/>
      </c>
      <c r="J2032" s="24" t="str">
        <f aca="false">IF($D2032="","",IFERROR(INDEX(Workers!$C$5:$C$2004,MATCH($D2032,Workers!$A$5:$A$2004,0)),""))</f>
        <v/>
      </c>
      <c r="K2032" s="24" t="str">
        <f aca="false">IF($D2032="","",IFERROR(IF(INDEX(Workers!$D$5:$D$2004,MATCH($D2032,Workers!$A$5:$A$2004,0))=0,"",INDEX(Workers!$D$5:$D$2004,MATCH($D2032,Workers!$A$5:$A$2004,0))),""))</f>
        <v/>
      </c>
      <c r="L2032" s="24" t="str">
        <f aca="false">IF($D2032="","",IFERROR(INDEX(Workers!$E$5:$E$2004,MATCH($D2032,Workers!$A$5:$A$2004,0)),""))</f>
        <v/>
      </c>
      <c r="M2032" s="26" t="str">
        <f aca="false">IF($D2032="","",IFERROR(INDEX(ClientRates!$D$5:$D$500,MATCH($B2032&amp;"|"&amp;$L2032,ClientRates!$A$5:$A$500,0)),0))</f>
        <v/>
      </c>
      <c r="N2032" s="26" t="str">
        <f aca="false">IF($D2032="","",IFERROR(INDEX(ClientRates!$E$5:$E$500,MATCH($B2032&amp;"|"&amp;$L2032,ClientRates!$A$5:$A$500,0)),0))</f>
        <v/>
      </c>
      <c r="O2032" s="26" t="str">
        <f aca="false">IF($D2032="","",F2032*M2032+G2032*N2032)</f>
        <v/>
      </c>
      <c r="P2032" s="26" t="str">
        <f aca="false">IF(OR($D2032="",$J2032&lt;&gt;"Supplier"),"",IFERROR(INDEX(SupplierRates!$D$5:$D$500,MATCH($K2032&amp;"|"&amp;$L2032,SupplierRates!$A$5:$A$500,0)),0))</f>
        <v/>
      </c>
      <c r="Q2032" s="26" t="str">
        <f aca="false">IF(OR($D2032="",$J2032&lt;&gt;"Supplier"),"",IFERROR(INDEX(SupplierRates!$E$5:$E$500,MATCH($K2032&amp;"|"&amp;$L2032,SupplierRates!$A$5:$A$500,0)),0))</f>
        <v/>
      </c>
      <c r="R2032" s="26" t="n">
        <f aca="false">IF(OR($D2032="",$J2032&lt;&gt;"Supplier"),0,F2032*P2032+G2032*Q2032)</f>
        <v>0</v>
      </c>
      <c r="S2032" s="26" t="n">
        <f aca="false">IF(OR($D2032="",$J2032&lt;&gt;"Own"),0,IFERROR((F2032+G2032*Settings!$B$13)*INDEX(Workers!$V$5:$V$2004,MATCH($D2032,Workers!$A$5:$A$2004,0)),0))</f>
        <v>0</v>
      </c>
      <c r="T2032" s="26" t="str">
        <f aca="false">IF($D2032="","",O2032-R2032-S2032)</f>
        <v/>
      </c>
    </row>
    <row r="2033" customFormat="false" ht="15" hidden="false" customHeight="false" outlineLevel="0" collapsed="false">
      <c r="I2033" s="24" t="str">
        <f aca="false">IF($D2033="","",IFERROR(INDEX(Workers!$B$5:$B$2004,MATCH($D2033,Workers!$A$5:$A$2004,0)),"NOT FOUND"))</f>
        <v/>
      </c>
      <c r="J2033" s="24" t="str">
        <f aca="false">IF($D2033="","",IFERROR(INDEX(Workers!$C$5:$C$2004,MATCH($D2033,Workers!$A$5:$A$2004,0)),""))</f>
        <v/>
      </c>
      <c r="K2033" s="24" t="str">
        <f aca="false">IF($D2033="","",IFERROR(IF(INDEX(Workers!$D$5:$D$2004,MATCH($D2033,Workers!$A$5:$A$2004,0))=0,"",INDEX(Workers!$D$5:$D$2004,MATCH($D2033,Workers!$A$5:$A$2004,0))),""))</f>
        <v/>
      </c>
      <c r="L2033" s="24" t="str">
        <f aca="false">IF($D2033="","",IFERROR(INDEX(Workers!$E$5:$E$2004,MATCH($D2033,Workers!$A$5:$A$2004,0)),""))</f>
        <v/>
      </c>
      <c r="M2033" s="26" t="str">
        <f aca="false">IF($D2033="","",IFERROR(INDEX(ClientRates!$D$5:$D$500,MATCH($B2033&amp;"|"&amp;$L2033,ClientRates!$A$5:$A$500,0)),0))</f>
        <v/>
      </c>
      <c r="N2033" s="26" t="str">
        <f aca="false">IF($D2033="","",IFERROR(INDEX(ClientRates!$E$5:$E$500,MATCH($B2033&amp;"|"&amp;$L2033,ClientRates!$A$5:$A$500,0)),0))</f>
        <v/>
      </c>
      <c r="O2033" s="26" t="str">
        <f aca="false">IF($D2033="","",F2033*M2033+G2033*N2033)</f>
        <v/>
      </c>
      <c r="P2033" s="26" t="str">
        <f aca="false">IF(OR($D2033="",$J2033&lt;&gt;"Supplier"),"",IFERROR(INDEX(SupplierRates!$D$5:$D$500,MATCH($K2033&amp;"|"&amp;$L2033,SupplierRates!$A$5:$A$500,0)),0))</f>
        <v/>
      </c>
      <c r="Q2033" s="26" t="str">
        <f aca="false">IF(OR($D2033="",$J2033&lt;&gt;"Supplier"),"",IFERROR(INDEX(SupplierRates!$E$5:$E$500,MATCH($K2033&amp;"|"&amp;$L2033,SupplierRates!$A$5:$A$500,0)),0))</f>
        <v/>
      </c>
      <c r="R2033" s="26" t="n">
        <f aca="false">IF(OR($D2033="",$J2033&lt;&gt;"Supplier"),0,F2033*P2033+G2033*Q2033)</f>
        <v>0</v>
      </c>
      <c r="S2033" s="26" t="n">
        <f aca="false">IF(OR($D2033="",$J2033&lt;&gt;"Own"),0,IFERROR((F2033+G2033*Settings!$B$13)*INDEX(Workers!$V$5:$V$2004,MATCH($D2033,Workers!$A$5:$A$2004,0)),0))</f>
        <v>0</v>
      </c>
      <c r="T2033" s="26" t="str">
        <f aca="false">IF($D2033="","",O2033-R2033-S2033)</f>
        <v/>
      </c>
    </row>
    <row r="2034" customFormat="false" ht="15" hidden="false" customHeight="false" outlineLevel="0" collapsed="false">
      <c r="I2034" s="24" t="str">
        <f aca="false">IF($D2034="","",IFERROR(INDEX(Workers!$B$5:$B$2004,MATCH($D2034,Workers!$A$5:$A$2004,0)),"NOT FOUND"))</f>
        <v/>
      </c>
      <c r="J2034" s="24" t="str">
        <f aca="false">IF($D2034="","",IFERROR(INDEX(Workers!$C$5:$C$2004,MATCH($D2034,Workers!$A$5:$A$2004,0)),""))</f>
        <v/>
      </c>
      <c r="K2034" s="24" t="str">
        <f aca="false">IF($D2034="","",IFERROR(IF(INDEX(Workers!$D$5:$D$2004,MATCH($D2034,Workers!$A$5:$A$2004,0))=0,"",INDEX(Workers!$D$5:$D$2004,MATCH($D2034,Workers!$A$5:$A$2004,0))),""))</f>
        <v/>
      </c>
      <c r="L2034" s="24" t="str">
        <f aca="false">IF($D2034="","",IFERROR(INDEX(Workers!$E$5:$E$2004,MATCH($D2034,Workers!$A$5:$A$2004,0)),""))</f>
        <v/>
      </c>
      <c r="M2034" s="26" t="str">
        <f aca="false">IF($D2034="","",IFERROR(INDEX(ClientRates!$D$5:$D$500,MATCH($B2034&amp;"|"&amp;$L2034,ClientRates!$A$5:$A$500,0)),0))</f>
        <v/>
      </c>
      <c r="N2034" s="26" t="str">
        <f aca="false">IF($D2034="","",IFERROR(INDEX(ClientRates!$E$5:$E$500,MATCH($B2034&amp;"|"&amp;$L2034,ClientRates!$A$5:$A$500,0)),0))</f>
        <v/>
      </c>
      <c r="O2034" s="26" t="str">
        <f aca="false">IF($D2034="","",F2034*M2034+G2034*N2034)</f>
        <v/>
      </c>
      <c r="P2034" s="26" t="str">
        <f aca="false">IF(OR($D2034="",$J2034&lt;&gt;"Supplier"),"",IFERROR(INDEX(SupplierRates!$D$5:$D$500,MATCH($K2034&amp;"|"&amp;$L2034,SupplierRates!$A$5:$A$500,0)),0))</f>
        <v/>
      </c>
      <c r="Q2034" s="26" t="str">
        <f aca="false">IF(OR($D2034="",$J2034&lt;&gt;"Supplier"),"",IFERROR(INDEX(SupplierRates!$E$5:$E$500,MATCH($K2034&amp;"|"&amp;$L2034,SupplierRates!$A$5:$A$500,0)),0))</f>
        <v/>
      </c>
      <c r="R2034" s="26" t="n">
        <f aca="false">IF(OR($D2034="",$J2034&lt;&gt;"Supplier"),0,F2034*P2034+G2034*Q2034)</f>
        <v>0</v>
      </c>
      <c r="S2034" s="26" t="n">
        <f aca="false">IF(OR($D2034="",$J2034&lt;&gt;"Own"),0,IFERROR((F2034+G2034*Settings!$B$13)*INDEX(Workers!$V$5:$V$2004,MATCH($D2034,Workers!$A$5:$A$2004,0)),0))</f>
        <v>0</v>
      </c>
      <c r="T2034" s="26" t="str">
        <f aca="false">IF($D2034="","",O2034-R2034-S2034)</f>
        <v/>
      </c>
    </row>
    <row r="2035" customFormat="false" ht="15" hidden="false" customHeight="false" outlineLevel="0" collapsed="false">
      <c r="I2035" s="24" t="str">
        <f aca="false">IF($D2035="","",IFERROR(INDEX(Workers!$B$5:$B$2004,MATCH($D2035,Workers!$A$5:$A$2004,0)),"NOT FOUND"))</f>
        <v/>
      </c>
      <c r="J2035" s="24" t="str">
        <f aca="false">IF($D2035="","",IFERROR(INDEX(Workers!$C$5:$C$2004,MATCH($D2035,Workers!$A$5:$A$2004,0)),""))</f>
        <v/>
      </c>
      <c r="K2035" s="24" t="str">
        <f aca="false">IF($D2035="","",IFERROR(IF(INDEX(Workers!$D$5:$D$2004,MATCH($D2035,Workers!$A$5:$A$2004,0))=0,"",INDEX(Workers!$D$5:$D$2004,MATCH($D2035,Workers!$A$5:$A$2004,0))),""))</f>
        <v/>
      </c>
      <c r="L2035" s="24" t="str">
        <f aca="false">IF($D2035="","",IFERROR(INDEX(Workers!$E$5:$E$2004,MATCH($D2035,Workers!$A$5:$A$2004,0)),""))</f>
        <v/>
      </c>
      <c r="M2035" s="26" t="str">
        <f aca="false">IF($D2035="","",IFERROR(INDEX(ClientRates!$D$5:$D$500,MATCH($B2035&amp;"|"&amp;$L2035,ClientRates!$A$5:$A$500,0)),0))</f>
        <v/>
      </c>
      <c r="N2035" s="26" t="str">
        <f aca="false">IF($D2035="","",IFERROR(INDEX(ClientRates!$E$5:$E$500,MATCH($B2035&amp;"|"&amp;$L2035,ClientRates!$A$5:$A$500,0)),0))</f>
        <v/>
      </c>
      <c r="O2035" s="26" t="str">
        <f aca="false">IF($D2035="","",F2035*M2035+G2035*N2035)</f>
        <v/>
      </c>
      <c r="P2035" s="26" t="str">
        <f aca="false">IF(OR($D2035="",$J2035&lt;&gt;"Supplier"),"",IFERROR(INDEX(SupplierRates!$D$5:$D$500,MATCH($K2035&amp;"|"&amp;$L2035,SupplierRates!$A$5:$A$500,0)),0))</f>
        <v/>
      </c>
      <c r="Q2035" s="26" t="str">
        <f aca="false">IF(OR($D2035="",$J2035&lt;&gt;"Supplier"),"",IFERROR(INDEX(SupplierRates!$E$5:$E$500,MATCH($K2035&amp;"|"&amp;$L2035,SupplierRates!$A$5:$A$500,0)),0))</f>
        <v/>
      </c>
      <c r="R2035" s="26" t="n">
        <f aca="false">IF(OR($D2035="",$J2035&lt;&gt;"Supplier"),0,F2035*P2035+G2035*Q2035)</f>
        <v>0</v>
      </c>
      <c r="S2035" s="26" t="n">
        <f aca="false">IF(OR($D2035="",$J2035&lt;&gt;"Own"),0,IFERROR((F2035+G2035*Settings!$B$13)*INDEX(Workers!$V$5:$V$2004,MATCH($D2035,Workers!$A$5:$A$2004,0)),0))</f>
        <v>0</v>
      </c>
      <c r="T2035" s="26" t="str">
        <f aca="false">IF($D2035="","",O2035-R2035-S2035)</f>
        <v/>
      </c>
    </row>
    <row r="2036" customFormat="false" ht="15" hidden="false" customHeight="false" outlineLevel="0" collapsed="false">
      <c r="I2036" s="24" t="str">
        <f aca="false">IF($D2036="","",IFERROR(INDEX(Workers!$B$5:$B$2004,MATCH($D2036,Workers!$A$5:$A$2004,0)),"NOT FOUND"))</f>
        <v/>
      </c>
      <c r="J2036" s="24" t="str">
        <f aca="false">IF($D2036="","",IFERROR(INDEX(Workers!$C$5:$C$2004,MATCH($D2036,Workers!$A$5:$A$2004,0)),""))</f>
        <v/>
      </c>
      <c r="K2036" s="24" t="str">
        <f aca="false">IF($D2036="","",IFERROR(IF(INDEX(Workers!$D$5:$D$2004,MATCH($D2036,Workers!$A$5:$A$2004,0))=0,"",INDEX(Workers!$D$5:$D$2004,MATCH($D2036,Workers!$A$5:$A$2004,0))),""))</f>
        <v/>
      </c>
      <c r="L2036" s="24" t="str">
        <f aca="false">IF($D2036="","",IFERROR(INDEX(Workers!$E$5:$E$2004,MATCH($D2036,Workers!$A$5:$A$2004,0)),""))</f>
        <v/>
      </c>
      <c r="M2036" s="26" t="str">
        <f aca="false">IF($D2036="","",IFERROR(INDEX(ClientRates!$D$5:$D$500,MATCH($B2036&amp;"|"&amp;$L2036,ClientRates!$A$5:$A$500,0)),0))</f>
        <v/>
      </c>
      <c r="N2036" s="26" t="str">
        <f aca="false">IF($D2036="","",IFERROR(INDEX(ClientRates!$E$5:$E$500,MATCH($B2036&amp;"|"&amp;$L2036,ClientRates!$A$5:$A$500,0)),0))</f>
        <v/>
      </c>
      <c r="O2036" s="26" t="str">
        <f aca="false">IF($D2036="","",F2036*M2036+G2036*N2036)</f>
        <v/>
      </c>
      <c r="P2036" s="26" t="str">
        <f aca="false">IF(OR($D2036="",$J2036&lt;&gt;"Supplier"),"",IFERROR(INDEX(SupplierRates!$D$5:$D$500,MATCH($K2036&amp;"|"&amp;$L2036,SupplierRates!$A$5:$A$500,0)),0))</f>
        <v/>
      </c>
      <c r="Q2036" s="26" t="str">
        <f aca="false">IF(OR($D2036="",$J2036&lt;&gt;"Supplier"),"",IFERROR(INDEX(SupplierRates!$E$5:$E$500,MATCH($K2036&amp;"|"&amp;$L2036,SupplierRates!$A$5:$A$500,0)),0))</f>
        <v/>
      </c>
      <c r="R2036" s="26" t="n">
        <f aca="false">IF(OR($D2036="",$J2036&lt;&gt;"Supplier"),0,F2036*P2036+G2036*Q2036)</f>
        <v>0</v>
      </c>
      <c r="S2036" s="26" t="n">
        <f aca="false">IF(OR($D2036="",$J2036&lt;&gt;"Own"),0,IFERROR((F2036+G2036*Settings!$B$13)*INDEX(Workers!$V$5:$V$2004,MATCH($D2036,Workers!$A$5:$A$2004,0)),0))</f>
        <v>0</v>
      </c>
      <c r="T2036" s="26" t="str">
        <f aca="false">IF($D2036="","",O2036-R2036-S2036)</f>
        <v/>
      </c>
    </row>
    <row r="2037" customFormat="false" ht="15" hidden="false" customHeight="false" outlineLevel="0" collapsed="false">
      <c r="I2037" s="24" t="str">
        <f aca="false">IF($D2037="","",IFERROR(INDEX(Workers!$B$5:$B$2004,MATCH($D2037,Workers!$A$5:$A$2004,0)),"NOT FOUND"))</f>
        <v/>
      </c>
      <c r="J2037" s="24" t="str">
        <f aca="false">IF($D2037="","",IFERROR(INDEX(Workers!$C$5:$C$2004,MATCH($D2037,Workers!$A$5:$A$2004,0)),""))</f>
        <v/>
      </c>
      <c r="K2037" s="24" t="str">
        <f aca="false">IF($D2037="","",IFERROR(IF(INDEX(Workers!$D$5:$D$2004,MATCH($D2037,Workers!$A$5:$A$2004,0))=0,"",INDEX(Workers!$D$5:$D$2004,MATCH($D2037,Workers!$A$5:$A$2004,0))),""))</f>
        <v/>
      </c>
      <c r="L2037" s="24" t="str">
        <f aca="false">IF($D2037="","",IFERROR(INDEX(Workers!$E$5:$E$2004,MATCH($D2037,Workers!$A$5:$A$2004,0)),""))</f>
        <v/>
      </c>
      <c r="M2037" s="26" t="str">
        <f aca="false">IF($D2037="","",IFERROR(INDEX(ClientRates!$D$5:$D$500,MATCH($B2037&amp;"|"&amp;$L2037,ClientRates!$A$5:$A$500,0)),0))</f>
        <v/>
      </c>
      <c r="N2037" s="26" t="str">
        <f aca="false">IF($D2037="","",IFERROR(INDEX(ClientRates!$E$5:$E$500,MATCH($B2037&amp;"|"&amp;$L2037,ClientRates!$A$5:$A$500,0)),0))</f>
        <v/>
      </c>
      <c r="O2037" s="26" t="str">
        <f aca="false">IF($D2037="","",F2037*M2037+G2037*N2037)</f>
        <v/>
      </c>
      <c r="P2037" s="26" t="str">
        <f aca="false">IF(OR($D2037="",$J2037&lt;&gt;"Supplier"),"",IFERROR(INDEX(SupplierRates!$D$5:$D$500,MATCH($K2037&amp;"|"&amp;$L2037,SupplierRates!$A$5:$A$500,0)),0))</f>
        <v/>
      </c>
      <c r="Q2037" s="26" t="str">
        <f aca="false">IF(OR($D2037="",$J2037&lt;&gt;"Supplier"),"",IFERROR(INDEX(SupplierRates!$E$5:$E$500,MATCH($K2037&amp;"|"&amp;$L2037,SupplierRates!$A$5:$A$500,0)),0))</f>
        <v/>
      </c>
      <c r="R2037" s="26" t="n">
        <f aca="false">IF(OR($D2037="",$J2037&lt;&gt;"Supplier"),0,F2037*P2037+G2037*Q2037)</f>
        <v>0</v>
      </c>
      <c r="S2037" s="26" t="n">
        <f aca="false">IF(OR($D2037="",$J2037&lt;&gt;"Own"),0,IFERROR((F2037+G2037*Settings!$B$13)*INDEX(Workers!$V$5:$V$2004,MATCH($D2037,Workers!$A$5:$A$2004,0)),0))</f>
        <v>0</v>
      </c>
      <c r="T2037" s="26" t="str">
        <f aca="false">IF($D2037="","",O2037-R2037-S2037)</f>
        <v/>
      </c>
    </row>
    <row r="2038" customFormat="false" ht="15" hidden="false" customHeight="false" outlineLevel="0" collapsed="false">
      <c r="I2038" s="24" t="str">
        <f aca="false">IF($D2038="","",IFERROR(INDEX(Workers!$B$5:$B$2004,MATCH($D2038,Workers!$A$5:$A$2004,0)),"NOT FOUND"))</f>
        <v/>
      </c>
      <c r="J2038" s="24" t="str">
        <f aca="false">IF($D2038="","",IFERROR(INDEX(Workers!$C$5:$C$2004,MATCH($D2038,Workers!$A$5:$A$2004,0)),""))</f>
        <v/>
      </c>
      <c r="K2038" s="24" t="str">
        <f aca="false">IF($D2038="","",IFERROR(IF(INDEX(Workers!$D$5:$D$2004,MATCH($D2038,Workers!$A$5:$A$2004,0))=0,"",INDEX(Workers!$D$5:$D$2004,MATCH($D2038,Workers!$A$5:$A$2004,0))),""))</f>
        <v/>
      </c>
      <c r="L2038" s="24" t="str">
        <f aca="false">IF($D2038="","",IFERROR(INDEX(Workers!$E$5:$E$2004,MATCH($D2038,Workers!$A$5:$A$2004,0)),""))</f>
        <v/>
      </c>
      <c r="M2038" s="26" t="str">
        <f aca="false">IF($D2038="","",IFERROR(INDEX(ClientRates!$D$5:$D$500,MATCH($B2038&amp;"|"&amp;$L2038,ClientRates!$A$5:$A$500,0)),0))</f>
        <v/>
      </c>
      <c r="N2038" s="26" t="str">
        <f aca="false">IF($D2038="","",IFERROR(INDEX(ClientRates!$E$5:$E$500,MATCH($B2038&amp;"|"&amp;$L2038,ClientRates!$A$5:$A$500,0)),0))</f>
        <v/>
      </c>
      <c r="O2038" s="26" t="str">
        <f aca="false">IF($D2038="","",F2038*M2038+G2038*N2038)</f>
        <v/>
      </c>
      <c r="P2038" s="26" t="str">
        <f aca="false">IF(OR($D2038="",$J2038&lt;&gt;"Supplier"),"",IFERROR(INDEX(SupplierRates!$D$5:$D$500,MATCH($K2038&amp;"|"&amp;$L2038,SupplierRates!$A$5:$A$500,0)),0))</f>
        <v/>
      </c>
      <c r="Q2038" s="26" t="str">
        <f aca="false">IF(OR($D2038="",$J2038&lt;&gt;"Supplier"),"",IFERROR(INDEX(SupplierRates!$E$5:$E$500,MATCH($K2038&amp;"|"&amp;$L2038,SupplierRates!$A$5:$A$500,0)),0))</f>
        <v/>
      </c>
      <c r="R2038" s="26" t="n">
        <f aca="false">IF(OR($D2038="",$J2038&lt;&gt;"Supplier"),0,F2038*P2038+G2038*Q2038)</f>
        <v>0</v>
      </c>
      <c r="S2038" s="26" t="n">
        <f aca="false">IF(OR($D2038="",$J2038&lt;&gt;"Own"),0,IFERROR((F2038+G2038*Settings!$B$13)*INDEX(Workers!$V$5:$V$2004,MATCH($D2038,Workers!$A$5:$A$2004,0)),0))</f>
        <v>0</v>
      </c>
      <c r="T2038" s="26" t="str">
        <f aca="false">IF($D2038="","",O2038-R2038-S2038)</f>
        <v/>
      </c>
    </row>
    <row r="2039" customFormat="false" ht="15" hidden="false" customHeight="false" outlineLevel="0" collapsed="false">
      <c r="I2039" s="24" t="str">
        <f aca="false">IF($D2039="","",IFERROR(INDEX(Workers!$B$5:$B$2004,MATCH($D2039,Workers!$A$5:$A$2004,0)),"NOT FOUND"))</f>
        <v/>
      </c>
      <c r="J2039" s="24" t="str">
        <f aca="false">IF($D2039="","",IFERROR(INDEX(Workers!$C$5:$C$2004,MATCH($D2039,Workers!$A$5:$A$2004,0)),""))</f>
        <v/>
      </c>
      <c r="K2039" s="24" t="str">
        <f aca="false">IF($D2039="","",IFERROR(IF(INDEX(Workers!$D$5:$D$2004,MATCH($D2039,Workers!$A$5:$A$2004,0))=0,"",INDEX(Workers!$D$5:$D$2004,MATCH($D2039,Workers!$A$5:$A$2004,0))),""))</f>
        <v/>
      </c>
      <c r="L2039" s="24" t="str">
        <f aca="false">IF($D2039="","",IFERROR(INDEX(Workers!$E$5:$E$2004,MATCH($D2039,Workers!$A$5:$A$2004,0)),""))</f>
        <v/>
      </c>
      <c r="M2039" s="26" t="str">
        <f aca="false">IF($D2039="","",IFERROR(INDEX(ClientRates!$D$5:$D$500,MATCH($B2039&amp;"|"&amp;$L2039,ClientRates!$A$5:$A$500,0)),0))</f>
        <v/>
      </c>
      <c r="N2039" s="26" t="str">
        <f aca="false">IF($D2039="","",IFERROR(INDEX(ClientRates!$E$5:$E$500,MATCH($B2039&amp;"|"&amp;$L2039,ClientRates!$A$5:$A$500,0)),0))</f>
        <v/>
      </c>
      <c r="O2039" s="26" t="str">
        <f aca="false">IF($D2039="","",F2039*M2039+G2039*N2039)</f>
        <v/>
      </c>
      <c r="P2039" s="26" t="str">
        <f aca="false">IF(OR($D2039="",$J2039&lt;&gt;"Supplier"),"",IFERROR(INDEX(SupplierRates!$D$5:$D$500,MATCH($K2039&amp;"|"&amp;$L2039,SupplierRates!$A$5:$A$500,0)),0))</f>
        <v/>
      </c>
      <c r="Q2039" s="26" t="str">
        <f aca="false">IF(OR($D2039="",$J2039&lt;&gt;"Supplier"),"",IFERROR(INDEX(SupplierRates!$E$5:$E$500,MATCH($K2039&amp;"|"&amp;$L2039,SupplierRates!$A$5:$A$500,0)),0))</f>
        <v/>
      </c>
      <c r="R2039" s="26" t="n">
        <f aca="false">IF(OR($D2039="",$J2039&lt;&gt;"Supplier"),0,F2039*P2039+G2039*Q2039)</f>
        <v>0</v>
      </c>
      <c r="S2039" s="26" t="n">
        <f aca="false">IF(OR($D2039="",$J2039&lt;&gt;"Own"),0,IFERROR((F2039+G2039*Settings!$B$13)*INDEX(Workers!$V$5:$V$2004,MATCH($D2039,Workers!$A$5:$A$2004,0)),0))</f>
        <v>0</v>
      </c>
      <c r="T2039" s="26" t="str">
        <f aca="false">IF($D2039="","",O2039-R2039-S2039)</f>
        <v/>
      </c>
    </row>
    <row r="2040" customFormat="false" ht="15" hidden="false" customHeight="false" outlineLevel="0" collapsed="false">
      <c r="I2040" s="24" t="str">
        <f aca="false">IF($D2040="","",IFERROR(INDEX(Workers!$B$5:$B$2004,MATCH($D2040,Workers!$A$5:$A$2004,0)),"NOT FOUND"))</f>
        <v/>
      </c>
      <c r="J2040" s="24" t="str">
        <f aca="false">IF($D2040="","",IFERROR(INDEX(Workers!$C$5:$C$2004,MATCH($D2040,Workers!$A$5:$A$2004,0)),""))</f>
        <v/>
      </c>
      <c r="K2040" s="24" t="str">
        <f aca="false">IF($D2040="","",IFERROR(IF(INDEX(Workers!$D$5:$D$2004,MATCH($D2040,Workers!$A$5:$A$2004,0))=0,"",INDEX(Workers!$D$5:$D$2004,MATCH($D2040,Workers!$A$5:$A$2004,0))),""))</f>
        <v/>
      </c>
      <c r="L2040" s="24" t="str">
        <f aca="false">IF($D2040="","",IFERROR(INDEX(Workers!$E$5:$E$2004,MATCH($D2040,Workers!$A$5:$A$2004,0)),""))</f>
        <v/>
      </c>
      <c r="M2040" s="26" t="str">
        <f aca="false">IF($D2040="","",IFERROR(INDEX(ClientRates!$D$5:$D$500,MATCH($B2040&amp;"|"&amp;$L2040,ClientRates!$A$5:$A$500,0)),0))</f>
        <v/>
      </c>
      <c r="N2040" s="26" t="str">
        <f aca="false">IF($D2040="","",IFERROR(INDEX(ClientRates!$E$5:$E$500,MATCH($B2040&amp;"|"&amp;$L2040,ClientRates!$A$5:$A$500,0)),0))</f>
        <v/>
      </c>
      <c r="O2040" s="26" t="str">
        <f aca="false">IF($D2040="","",F2040*M2040+G2040*N2040)</f>
        <v/>
      </c>
      <c r="P2040" s="26" t="str">
        <f aca="false">IF(OR($D2040="",$J2040&lt;&gt;"Supplier"),"",IFERROR(INDEX(SupplierRates!$D$5:$D$500,MATCH($K2040&amp;"|"&amp;$L2040,SupplierRates!$A$5:$A$500,0)),0))</f>
        <v/>
      </c>
      <c r="Q2040" s="26" t="str">
        <f aca="false">IF(OR($D2040="",$J2040&lt;&gt;"Supplier"),"",IFERROR(INDEX(SupplierRates!$E$5:$E$500,MATCH($K2040&amp;"|"&amp;$L2040,SupplierRates!$A$5:$A$500,0)),0))</f>
        <v/>
      </c>
      <c r="R2040" s="26" t="n">
        <f aca="false">IF(OR($D2040="",$J2040&lt;&gt;"Supplier"),0,F2040*P2040+G2040*Q2040)</f>
        <v>0</v>
      </c>
      <c r="S2040" s="26" t="n">
        <f aca="false">IF(OR($D2040="",$J2040&lt;&gt;"Own"),0,IFERROR((F2040+G2040*Settings!$B$13)*INDEX(Workers!$V$5:$V$2004,MATCH($D2040,Workers!$A$5:$A$2004,0)),0))</f>
        <v>0</v>
      </c>
      <c r="T2040" s="26" t="str">
        <f aca="false">IF($D2040="","",O2040-R2040-S2040)</f>
        <v/>
      </c>
    </row>
    <row r="2041" customFormat="false" ht="15" hidden="false" customHeight="false" outlineLevel="0" collapsed="false">
      <c r="I2041" s="24" t="str">
        <f aca="false">IF($D2041="","",IFERROR(INDEX(Workers!$B$5:$B$2004,MATCH($D2041,Workers!$A$5:$A$2004,0)),"NOT FOUND"))</f>
        <v/>
      </c>
      <c r="J2041" s="24" t="str">
        <f aca="false">IF($D2041="","",IFERROR(INDEX(Workers!$C$5:$C$2004,MATCH($D2041,Workers!$A$5:$A$2004,0)),""))</f>
        <v/>
      </c>
      <c r="K2041" s="24" t="str">
        <f aca="false">IF($D2041="","",IFERROR(IF(INDEX(Workers!$D$5:$D$2004,MATCH($D2041,Workers!$A$5:$A$2004,0))=0,"",INDEX(Workers!$D$5:$D$2004,MATCH($D2041,Workers!$A$5:$A$2004,0))),""))</f>
        <v/>
      </c>
      <c r="L2041" s="24" t="str">
        <f aca="false">IF($D2041="","",IFERROR(INDEX(Workers!$E$5:$E$2004,MATCH($D2041,Workers!$A$5:$A$2004,0)),""))</f>
        <v/>
      </c>
      <c r="M2041" s="26" t="str">
        <f aca="false">IF($D2041="","",IFERROR(INDEX(ClientRates!$D$5:$D$500,MATCH($B2041&amp;"|"&amp;$L2041,ClientRates!$A$5:$A$500,0)),0))</f>
        <v/>
      </c>
      <c r="N2041" s="26" t="str">
        <f aca="false">IF($D2041="","",IFERROR(INDEX(ClientRates!$E$5:$E$500,MATCH($B2041&amp;"|"&amp;$L2041,ClientRates!$A$5:$A$500,0)),0))</f>
        <v/>
      </c>
      <c r="O2041" s="26" t="str">
        <f aca="false">IF($D2041="","",F2041*M2041+G2041*N2041)</f>
        <v/>
      </c>
      <c r="P2041" s="26" t="str">
        <f aca="false">IF(OR($D2041="",$J2041&lt;&gt;"Supplier"),"",IFERROR(INDEX(SupplierRates!$D$5:$D$500,MATCH($K2041&amp;"|"&amp;$L2041,SupplierRates!$A$5:$A$500,0)),0))</f>
        <v/>
      </c>
      <c r="Q2041" s="26" t="str">
        <f aca="false">IF(OR($D2041="",$J2041&lt;&gt;"Supplier"),"",IFERROR(INDEX(SupplierRates!$E$5:$E$500,MATCH($K2041&amp;"|"&amp;$L2041,SupplierRates!$A$5:$A$500,0)),0))</f>
        <v/>
      </c>
      <c r="R2041" s="26" t="n">
        <f aca="false">IF(OR($D2041="",$J2041&lt;&gt;"Supplier"),0,F2041*P2041+G2041*Q2041)</f>
        <v>0</v>
      </c>
      <c r="S2041" s="26" t="n">
        <f aca="false">IF(OR($D2041="",$J2041&lt;&gt;"Own"),0,IFERROR((F2041+G2041*Settings!$B$13)*INDEX(Workers!$V$5:$V$2004,MATCH($D2041,Workers!$A$5:$A$2004,0)),0))</f>
        <v>0</v>
      </c>
      <c r="T2041" s="26" t="str">
        <f aca="false">IF($D2041="","",O2041-R2041-S2041)</f>
        <v/>
      </c>
    </row>
    <row r="2042" customFormat="false" ht="15" hidden="false" customHeight="false" outlineLevel="0" collapsed="false">
      <c r="I2042" s="24" t="str">
        <f aca="false">IF($D2042="","",IFERROR(INDEX(Workers!$B$5:$B$2004,MATCH($D2042,Workers!$A$5:$A$2004,0)),"NOT FOUND"))</f>
        <v/>
      </c>
      <c r="J2042" s="24" t="str">
        <f aca="false">IF($D2042="","",IFERROR(INDEX(Workers!$C$5:$C$2004,MATCH($D2042,Workers!$A$5:$A$2004,0)),""))</f>
        <v/>
      </c>
      <c r="K2042" s="24" t="str">
        <f aca="false">IF($D2042="","",IFERROR(IF(INDEX(Workers!$D$5:$D$2004,MATCH($D2042,Workers!$A$5:$A$2004,0))=0,"",INDEX(Workers!$D$5:$D$2004,MATCH($D2042,Workers!$A$5:$A$2004,0))),""))</f>
        <v/>
      </c>
      <c r="L2042" s="24" t="str">
        <f aca="false">IF($D2042="","",IFERROR(INDEX(Workers!$E$5:$E$2004,MATCH($D2042,Workers!$A$5:$A$2004,0)),""))</f>
        <v/>
      </c>
      <c r="M2042" s="26" t="str">
        <f aca="false">IF($D2042="","",IFERROR(INDEX(ClientRates!$D$5:$D$500,MATCH($B2042&amp;"|"&amp;$L2042,ClientRates!$A$5:$A$500,0)),0))</f>
        <v/>
      </c>
      <c r="N2042" s="26" t="str">
        <f aca="false">IF($D2042="","",IFERROR(INDEX(ClientRates!$E$5:$E$500,MATCH($B2042&amp;"|"&amp;$L2042,ClientRates!$A$5:$A$500,0)),0))</f>
        <v/>
      </c>
      <c r="O2042" s="26" t="str">
        <f aca="false">IF($D2042="","",F2042*M2042+G2042*N2042)</f>
        <v/>
      </c>
      <c r="P2042" s="26" t="str">
        <f aca="false">IF(OR($D2042="",$J2042&lt;&gt;"Supplier"),"",IFERROR(INDEX(SupplierRates!$D$5:$D$500,MATCH($K2042&amp;"|"&amp;$L2042,SupplierRates!$A$5:$A$500,0)),0))</f>
        <v/>
      </c>
      <c r="Q2042" s="26" t="str">
        <f aca="false">IF(OR($D2042="",$J2042&lt;&gt;"Supplier"),"",IFERROR(INDEX(SupplierRates!$E$5:$E$500,MATCH($K2042&amp;"|"&amp;$L2042,SupplierRates!$A$5:$A$500,0)),0))</f>
        <v/>
      </c>
      <c r="R2042" s="26" t="n">
        <f aca="false">IF(OR($D2042="",$J2042&lt;&gt;"Supplier"),0,F2042*P2042+G2042*Q2042)</f>
        <v>0</v>
      </c>
      <c r="S2042" s="26" t="n">
        <f aca="false">IF(OR($D2042="",$J2042&lt;&gt;"Own"),0,IFERROR((F2042+G2042*Settings!$B$13)*INDEX(Workers!$V$5:$V$2004,MATCH($D2042,Workers!$A$5:$A$2004,0)),0))</f>
        <v>0</v>
      </c>
      <c r="T2042" s="26" t="str">
        <f aca="false">IF($D2042="","",O2042-R2042-S2042)</f>
        <v/>
      </c>
    </row>
    <row r="2043" customFormat="false" ht="15" hidden="false" customHeight="false" outlineLevel="0" collapsed="false">
      <c r="I2043" s="24" t="str">
        <f aca="false">IF($D2043="","",IFERROR(INDEX(Workers!$B$5:$B$2004,MATCH($D2043,Workers!$A$5:$A$2004,0)),"NOT FOUND"))</f>
        <v/>
      </c>
      <c r="J2043" s="24" t="str">
        <f aca="false">IF($D2043="","",IFERROR(INDEX(Workers!$C$5:$C$2004,MATCH($D2043,Workers!$A$5:$A$2004,0)),""))</f>
        <v/>
      </c>
      <c r="K2043" s="24" t="str">
        <f aca="false">IF($D2043="","",IFERROR(IF(INDEX(Workers!$D$5:$D$2004,MATCH($D2043,Workers!$A$5:$A$2004,0))=0,"",INDEX(Workers!$D$5:$D$2004,MATCH($D2043,Workers!$A$5:$A$2004,0))),""))</f>
        <v/>
      </c>
      <c r="L2043" s="24" t="str">
        <f aca="false">IF($D2043="","",IFERROR(INDEX(Workers!$E$5:$E$2004,MATCH($D2043,Workers!$A$5:$A$2004,0)),""))</f>
        <v/>
      </c>
      <c r="M2043" s="26" t="str">
        <f aca="false">IF($D2043="","",IFERROR(INDEX(ClientRates!$D$5:$D$500,MATCH($B2043&amp;"|"&amp;$L2043,ClientRates!$A$5:$A$500,0)),0))</f>
        <v/>
      </c>
      <c r="N2043" s="26" t="str">
        <f aca="false">IF($D2043="","",IFERROR(INDEX(ClientRates!$E$5:$E$500,MATCH($B2043&amp;"|"&amp;$L2043,ClientRates!$A$5:$A$500,0)),0))</f>
        <v/>
      </c>
      <c r="O2043" s="26" t="str">
        <f aca="false">IF($D2043="","",F2043*M2043+G2043*N2043)</f>
        <v/>
      </c>
      <c r="P2043" s="26" t="str">
        <f aca="false">IF(OR($D2043="",$J2043&lt;&gt;"Supplier"),"",IFERROR(INDEX(SupplierRates!$D$5:$D$500,MATCH($K2043&amp;"|"&amp;$L2043,SupplierRates!$A$5:$A$500,0)),0))</f>
        <v/>
      </c>
      <c r="Q2043" s="26" t="str">
        <f aca="false">IF(OR($D2043="",$J2043&lt;&gt;"Supplier"),"",IFERROR(INDEX(SupplierRates!$E$5:$E$500,MATCH($K2043&amp;"|"&amp;$L2043,SupplierRates!$A$5:$A$500,0)),0))</f>
        <v/>
      </c>
      <c r="R2043" s="26" t="n">
        <f aca="false">IF(OR($D2043="",$J2043&lt;&gt;"Supplier"),0,F2043*P2043+G2043*Q2043)</f>
        <v>0</v>
      </c>
      <c r="S2043" s="26" t="n">
        <f aca="false">IF(OR($D2043="",$J2043&lt;&gt;"Own"),0,IFERROR((F2043+G2043*Settings!$B$13)*INDEX(Workers!$V$5:$V$2004,MATCH($D2043,Workers!$A$5:$A$2004,0)),0))</f>
        <v>0</v>
      </c>
      <c r="T2043" s="26" t="str">
        <f aca="false">IF($D2043="","",O2043-R2043-S2043)</f>
        <v/>
      </c>
    </row>
    <row r="2044" customFormat="false" ht="15" hidden="false" customHeight="false" outlineLevel="0" collapsed="false">
      <c r="I2044" s="24" t="str">
        <f aca="false">IF($D2044="","",IFERROR(INDEX(Workers!$B$5:$B$2004,MATCH($D2044,Workers!$A$5:$A$2004,0)),"NOT FOUND"))</f>
        <v/>
      </c>
      <c r="J2044" s="24" t="str">
        <f aca="false">IF($D2044="","",IFERROR(INDEX(Workers!$C$5:$C$2004,MATCH($D2044,Workers!$A$5:$A$2004,0)),""))</f>
        <v/>
      </c>
      <c r="K2044" s="24" t="str">
        <f aca="false">IF($D2044="","",IFERROR(IF(INDEX(Workers!$D$5:$D$2004,MATCH($D2044,Workers!$A$5:$A$2004,0))=0,"",INDEX(Workers!$D$5:$D$2004,MATCH($D2044,Workers!$A$5:$A$2004,0))),""))</f>
        <v/>
      </c>
      <c r="L2044" s="24" t="str">
        <f aca="false">IF($D2044="","",IFERROR(INDEX(Workers!$E$5:$E$2004,MATCH($D2044,Workers!$A$5:$A$2004,0)),""))</f>
        <v/>
      </c>
      <c r="M2044" s="26" t="str">
        <f aca="false">IF($D2044="","",IFERROR(INDEX(ClientRates!$D$5:$D$500,MATCH($B2044&amp;"|"&amp;$L2044,ClientRates!$A$5:$A$500,0)),0))</f>
        <v/>
      </c>
      <c r="N2044" s="26" t="str">
        <f aca="false">IF($D2044="","",IFERROR(INDEX(ClientRates!$E$5:$E$500,MATCH($B2044&amp;"|"&amp;$L2044,ClientRates!$A$5:$A$500,0)),0))</f>
        <v/>
      </c>
      <c r="O2044" s="26" t="str">
        <f aca="false">IF($D2044="","",F2044*M2044+G2044*N2044)</f>
        <v/>
      </c>
      <c r="P2044" s="26" t="str">
        <f aca="false">IF(OR($D2044="",$J2044&lt;&gt;"Supplier"),"",IFERROR(INDEX(SupplierRates!$D$5:$D$500,MATCH($K2044&amp;"|"&amp;$L2044,SupplierRates!$A$5:$A$500,0)),0))</f>
        <v/>
      </c>
      <c r="Q2044" s="26" t="str">
        <f aca="false">IF(OR($D2044="",$J2044&lt;&gt;"Supplier"),"",IFERROR(INDEX(SupplierRates!$E$5:$E$500,MATCH($K2044&amp;"|"&amp;$L2044,SupplierRates!$A$5:$A$500,0)),0))</f>
        <v/>
      </c>
      <c r="R2044" s="26" t="n">
        <f aca="false">IF(OR($D2044="",$J2044&lt;&gt;"Supplier"),0,F2044*P2044+G2044*Q2044)</f>
        <v>0</v>
      </c>
      <c r="S2044" s="26" t="n">
        <f aca="false">IF(OR($D2044="",$J2044&lt;&gt;"Own"),0,IFERROR((F2044+G2044*Settings!$B$13)*INDEX(Workers!$V$5:$V$2004,MATCH($D2044,Workers!$A$5:$A$2004,0)),0))</f>
        <v>0</v>
      </c>
      <c r="T2044" s="26" t="str">
        <f aca="false">IF($D2044="","",O2044-R2044-S2044)</f>
        <v/>
      </c>
    </row>
    <row r="2045" customFormat="false" ht="15" hidden="false" customHeight="false" outlineLevel="0" collapsed="false">
      <c r="I2045" s="24" t="str">
        <f aca="false">IF($D2045="","",IFERROR(INDEX(Workers!$B$5:$B$2004,MATCH($D2045,Workers!$A$5:$A$2004,0)),"NOT FOUND"))</f>
        <v/>
      </c>
      <c r="J2045" s="24" t="str">
        <f aca="false">IF($D2045="","",IFERROR(INDEX(Workers!$C$5:$C$2004,MATCH($D2045,Workers!$A$5:$A$2004,0)),""))</f>
        <v/>
      </c>
      <c r="K2045" s="24" t="str">
        <f aca="false">IF($D2045="","",IFERROR(IF(INDEX(Workers!$D$5:$D$2004,MATCH($D2045,Workers!$A$5:$A$2004,0))=0,"",INDEX(Workers!$D$5:$D$2004,MATCH($D2045,Workers!$A$5:$A$2004,0))),""))</f>
        <v/>
      </c>
      <c r="L2045" s="24" t="str">
        <f aca="false">IF($D2045="","",IFERROR(INDEX(Workers!$E$5:$E$2004,MATCH($D2045,Workers!$A$5:$A$2004,0)),""))</f>
        <v/>
      </c>
      <c r="M2045" s="26" t="str">
        <f aca="false">IF($D2045="","",IFERROR(INDEX(ClientRates!$D$5:$D$500,MATCH($B2045&amp;"|"&amp;$L2045,ClientRates!$A$5:$A$500,0)),0))</f>
        <v/>
      </c>
      <c r="N2045" s="26" t="str">
        <f aca="false">IF($D2045="","",IFERROR(INDEX(ClientRates!$E$5:$E$500,MATCH($B2045&amp;"|"&amp;$L2045,ClientRates!$A$5:$A$500,0)),0))</f>
        <v/>
      </c>
      <c r="O2045" s="26" t="str">
        <f aca="false">IF($D2045="","",F2045*M2045+G2045*N2045)</f>
        <v/>
      </c>
      <c r="P2045" s="26" t="str">
        <f aca="false">IF(OR($D2045="",$J2045&lt;&gt;"Supplier"),"",IFERROR(INDEX(SupplierRates!$D$5:$D$500,MATCH($K2045&amp;"|"&amp;$L2045,SupplierRates!$A$5:$A$500,0)),0))</f>
        <v/>
      </c>
      <c r="Q2045" s="26" t="str">
        <f aca="false">IF(OR($D2045="",$J2045&lt;&gt;"Supplier"),"",IFERROR(INDEX(SupplierRates!$E$5:$E$500,MATCH($K2045&amp;"|"&amp;$L2045,SupplierRates!$A$5:$A$500,0)),0))</f>
        <v/>
      </c>
      <c r="R2045" s="26" t="n">
        <f aca="false">IF(OR($D2045="",$J2045&lt;&gt;"Supplier"),0,F2045*P2045+G2045*Q2045)</f>
        <v>0</v>
      </c>
      <c r="S2045" s="26" t="n">
        <f aca="false">IF(OR($D2045="",$J2045&lt;&gt;"Own"),0,IFERROR((F2045+G2045*Settings!$B$13)*INDEX(Workers!$V$5:$V$2004,MATCH($D2045,Workers!$A$5:$A$2004,0)),0))</f>
        <v>0</v>
      </c>
      <c r="T2045" s="26" t="str">
        <f aca="false">IF($D2045="","",O2045-R2045-S2045)</f>
        <v/>
      </c>
    </row>
    <row r="2046" customFormat="false" ht="15" hidden="false" customHeight="false" outlineLevel="0" collapsed="false">
      <c r="I2046" s="24" t="str">
        <f aca="false">IF($D2046="","",IFERROR(INDEX(Workers!$B$5:$B$2004,MATCH($D2046,Workers!$A$5:$A$2004,0)),"NOT FOUND"))</f>
        <v/>
      </c>
      <c r="J2046" s="24" t="str">
        <f aca="false">IF($D2046="","",IFERROR(INDEX(Workers!$C$5:$C$2004,MATCH($D2046,Workers!$A$5:$A$2004,0)),""))</f>
        <v/>
      </c>
      <c r="K2046" s="24" t="str">
        <f aca="false">IF($D2046="","",IFERROR(IF(INDEX(Workers!$D$5:$D$2004,MATCH($D2046,Workers!$A$5:$A$2004,0))=0,"",INDEX(Workers!$D$5:$D$2004,MATCH($D2046,Workers!$A$5:$A$2004,0))),""))</f>
        <v/>
      </c>
      <c r="L2046" s="24" t="str">
        <f aca="false">IF($D2046="","",IFERROR(INDEX(Workers!$E$5:$E$2004,MATCH($D2046,Workers!$A$5:$A$2004,0)),""))</f>
        <v/>
      </c>
      <c r="M2046" s="26" t="str">
        <f aca="false">IF($D2046="","",IFERROR(INDEX(ClientRates!$D$5:$D$500,MATCH($B2046&amp;"|"&amp;$L2046,ClientRates!$A$5:$A$500,0)),0))</f>
        <v/>
      </c>
      <c r="N2046" s="26" t="str">
        <f aca="false">IF($D2046="","",IFERROR(INDEX(ClientRates!$E$5:$E$500,MATCH($B2046&amp;"|"&amp;$L2046,ClientRates!$A$5:$A$500,0)),0))</f>
        <v/>
      </c>
      <c r="O2046" s="26" t="str">
        <f aca="false">IF($D2046="","",F2046*M2046+G2046*N2046)</f>
        <v/>
      </c>
      <c r="P2046" s="26" t="str">
        <f aca="false">IF(OR($D2046="",$J2046&lt;&gt;"Supplier"),"",IFERROR(INDEX(SupplierRates!$D$5:$D$500,MATCH($K2046&amp;"|"&amp;$L2046,SupplierRates!$A$5:$A$500,0)),0))</f>
        <v/>
      </c>
      <c r="Q2046" s="26" t="str">
        <f aca="false">IF(OR($D2046="",$J2046&lt;&gt;"Supplier"),"",IFERROR(INDEX(SupplierRates!$E$5:$E$500,MATCH($K2046&amp;"|"&amp;$L2046,SupplierRates!$A$5:$A$500,0)),0))</f>
        <v/>
      </c>
      <c r="R2046" s="26" t="n">
        <f aca="false">IF(OR($D2046="",$J2046&lt;&gt;"Supplier"),0,F2046*P2046+G2046*Q2046)</f>
        <v>0</v>
      </c>
      <c r="S2046" s="26" t="n">
        <f aca="false">IF(OR($D2046="",$J2046&lt;&gt;"Own"),0,IFERROR((F2046+G2046*Settings!$B$13)*INDEX(Workers!$V$5:$V$2004,MATCH($D2046,Workers!$A$5:$A$2004,0)),0))</f>
        <v>0</v>
      </c>
      <c r="T2046" s="26" t="str">
        <f aca="false">IF($D2046="","",O2046-R2046-S2046)</f>
        <v/>
      </c>
    </row>
    <row r="2047" customFormat="false" ht="15" hidden="false" customHeight="false" outlineLevel="0" collapsed="false">
      <c r="I2047" s="24" t="str">
        <f aca="false">IF($D2047="","",IFERROR(INDEX(Workers!$B$5:$B$2004,MATCH($D2047,Workers!$A$5:$A$2004,0)),"NOT FOUND"))</f>
        <v/>
      </c>
      <c r="J2047" s="24" t="str">
        <f aca="false">IF($D2047="","",IFERROR(INDEX(Workers!$C$5:$C$2004,MATCH($D2047,Workers!$A$5:$A$2004,0)),""))</f>
        <v/>
      </c>
      <c r="K2047" s="24" t="str">
        <f aca="false">IF($D2047="","",IFERROR(IF(INDEX(Workers!$D$5:$D$2004,MATCH($D2047,Workers!$A$5:$A$2004,0))=0,"",INDEX(Workers!$D$5:$D$2004,MATCH($D2047,Workers!$A$5:$A$2004,0))),""))</f>
        <v/>
      </c>
      <c r="L2047" s="24" t="str">
        <f aca="false">IF($D2047="","",IFERROR(INDEX(Workers!$E$5:$E$2004,MATCH($D2047,Workers!$A$5:$A$2004,0)),""))</f>
        <v/>
      </c>
      <c r="M2047" s="26" t="str">
        <f aca="false">IF($D2047="","",IFERROR(INDEX(ClientRates!$D$5:$D$500,MATCH($B2047&amp;"|"&amp;$L2047,ClientRates!$A$5:$A$500,0)),0))</f>
        <v/>
      </c>
      <c r="N2047" s="26" t="str">
        <f aca="false">IF($D2047="","",IFERROR(INDEX(ClientRates!$E$5:$E$500,MATCH($B2047&amp;"|"&amp;$L2047,ClientRates!$A$5:$A$500,0)),0))</f>
        <v/>
      </c>
      <c r="O2047" s="26" t="str">
        <f aca="false">IF($D2047="","",F2047*M2047+G2047*N2047)</f>
        <v/>
      </c>
      <c r="P2047" s="26" t="str">
        <f aca="false">IF(OR($D2047="",$J2047&lt;&gt;"Supplier"),"",IFERROR(INDEX(SupplierRates!$D$5:$D$500,MATCH($K2047&amp;"|"&amp;$L2047,SupplierRates!$A$5:$A$500,0)),0))</f>
        <v/>
      </c>
      <c r="Q2047" s="26" t="str">
        <f aca="false">IF(OR($D2047="",$J2047&lt;&gt;"Supplier"),"",IFERROR(INDEX(SupplierRates!$E$5:$E$500,MATCH($K2047&amp;"|"&amp;$L2047,SupplierRates!$A$5:$A$500,0)),0))</f>
        <v/>
      </c>
      <c r="R2047" s="26" t="n">
        <f aca="false">IF(OR($D2047="",$J2047&lt;&gt;"Supplier"),0,F2047*P2047+G2047*Q2047)</f>
        <v>0</v>
      </c>
      <c r="S2047" s="26" t="n">
        <f aca="false">IF(OR($D2047="",$J2047&lt;&gt;"Own"),0,IFERROR((F2047+G2047*Settings!$B$13)*INDEX(Workers!$V$5:$V$2004,MATCH($D2047,Workers!$A$5:$A$2004,0)),0))</f>
        <v>0</v>
      </c>
      <c r="T2047" s="26" t="str">
        <f aca="false">IF($D2047="","",O2047-R2047-S2047)</f>
        <v/>
      </c>
    </row>
    <row r="2048" customFormat="false" ht="15" hidden="false" customHeight="false" outlineLevel="0" collapsed="false">
      <c r="I2048" s="24" t="str">
        <f aca="false">IF($D2048="","",IFERROR(INDEX(Workers!$B$5:$B$2004,MATCH($D2048,Workers!$A$5:$A$2004,0)),"NOT FOUND"))</f>
        <v/>
      </c>
      <c r="J2048" s="24" t="str">
        <f aca="false">IF($D2048="","",IFERROR(INDEX(Workers!$C$5:$C$2004,MATCH($D2048,Workers!$A$5:$A$2004,0)),""))</f>
        <v/>
      </c>
      <c r="K2048" s="24" t="str">
        <f aca="false">IF($D2048="","",IFERROR(IF(INDEX(Workers!$D$5:$D$2004,MATCH($D2048,Workers!$A$5:$A$2004,0))=0,"",INDEX(Workers!$D$5:$D$2004,MATCH($D2048,Workers!$A$5:$A$2004,0))),""))</f>
        <v/>
      </c>
      <c r="L2048" s="24" t="str">
        <f aca="false">IF($D2048="","",IFERROR(INDEX(Workers!$E$5:$E$2004,MATCH($D2048,Workers!$A$5:$A$2004,0)),""))</f>
        <v/>
      </c>
      <c r="M2048" s="26" t="str">
        <f aca="false">IF($D2048="","",IFERROR(INDEX(ClientRates!$D$5:$D$500,MATCH($B2048&amp;"|"&amp;$L2048,ClientRates!$A$5:$A$500,0)),0))</f>
        <v/>
      </c>
      <c r="N2048" s="26" t="str">
        <f aca="false">IF($D2048="","",IFERROR(INDEX(ClientRates!$E$5:$E$500,MATCH($B2048&amp;"|"&amp;$L2048,ClientRates!$A$5:$A$500,0)),0))</f>
        <v/>
      </c>
      <c r="O2048" s="26" t="str">
        <f aca="false">IF($D2048="","",F2048*M2048+G2048*N2048)</f>
        <v/>
      </c>
      <c r="P2048" s="26" t="str">
        <f aca="false">IF(OR($D2048="",$J2048&lt;&gt;"Supplier"),"",IFERROR(INDEX(SupplierRates!$D$5:$D$500,MATCH($K2048&amp;"|"&amp;$L2048,SupplierRates!$A$5:$A$500,0)),0))</f>
        <v/>
      </c>
      <c r="Q2048" s="26" t="str">
        <f aca="false">IF(OR($D2048="",$J2048&lt;&gt;"Supplier"),"",IFERROR(INDEX(SupplierRates!$E$5:$E$500,MATCH($K2048&amp;"|"&amp;$L2048,SupplierRates!$A$5:$A$500,0)),0))</f>
        <v/>
      </c>
      <c r="R2048" s="26" t="n">
        <f aca="false">IF(OR($D2048="",$J2048&lt;&gt;"Supplier"),0,F2048*P2048+G2048*Q2048)</f>
        <v>0</v>
      </c>
      <c r="S2048" s="26" t="n">
        <f aca="false">IF(OR($D2048="",$J2048&lt;&gt;"Own"),0,IFERROR((F2048+G2048*Settings!$B$13)*INDEX(Workers!$V$5:$V$2004,MATCH($D2048,Workers!$A$5:$A$2004,0)),0))</f>
        <v>0</v>
      </c>
      <c r="T2048" s="26" t="str">
        <f aca="false">IF($D2048="","",O2048-R2048-S2048)</f>
        <v/>
      </c>
    </row>
    <row r="2049" customFormat="false" ht="15" hidden="false" customHeight="false" outlineLevel="0" collapsed="false">
      <c r="I2049" s="24" t="str">
        <f aca="false">IF($D2049="","",IFERROR(INDEX(Workers!$B$5:$B$2004,MATCH($D2049,Workers!$A$5:$A$2004,0)),"NOT FOUND"))</f>
        <v/>
      </c>
      <c r="J2049" s="24" t="str">
        <f aca="false">IF($D2049="","",IFERROR(INDEX(Workers!$C$5:$C$2004,MATCH($D2049,Workers!$A$5:$A$2004,0)),""))</f>
        <v/>
      </c>
      <c r="K2049" s="24" t="str">
        <f aca="false">IF($D2049="","",IFERROR(IF(INDEX(Workers!$D$5:$D$2004,MATCH($D2049,Workers!$A$5:$A$2004,0))=0,"",INDEX(Workers!$D$5:$D$2004,MATCH($D2049,Workers!$A$5:$A$2004,0))),""))</f>
        <v/>
      </c>
      <c r="L2049" s="24" t="str">
        <f aca="false">IF($D2049="","",IFERROR(INDEX(Workers!$E$5:$E$2004,MATCH($D2049,Workers!$A$5:$A$2004,0)),""))</f>
        <v/>
      </c>
      <c r="M2049" s="26" t="str">
        <f aca="false">IF($D2049="","",IFERROR(INDEX(ClientRates!$D$5:$D$500,MATCH($B2049&amp;"|"&amp;$L2049,ClientRates!$A$5:$A$500,0)),0))</f>
        <v/>
      </c>
      <c r="N2049" s="26" t="str">
        <f aca="false">IF($D2049="","",IFERROR(INDEX(ClientRates!$E$5:$E$500,MATCH($B2049&amp;"|"&amp;$L2049,ClientRates!$A$5:$A$500,0)),0))</f>
        <v/>
      </c>
      <c r="O2049" s="26" t="str">
        <f aca="false">IF($D2049="","",F2049*M2049+G2049*N2049)</f>
        <v/>
      </c>
      <c r="P2049" s="26" t="str">
        <f aca="false">IF(OR($D2049="",$J2049&lt;&gt;"Supplier"),"",IFERROR(INDEX(SupplierRates!$D$5:$D$500,MATCH($K2049&amp;"|"&amp;$L2049,SupplierRates!$A$5:$A$500,0)),0))</f>
        <v/>
      </c>
      <c r="Q2049" s="26" t="str">
        <f aca="false">IF(OR($D2049="",$J2049&lt;&gt;"Supplier"),"",IFERROR(INDEX(SupplierRates!$E$5:$E$500,MATCH($K2049&amp;"|"&amp;$L2049,SupplierRates!$A$5:$A$500,0)),0))</f>
        <v/>
      </c>
      <c r="R2049" s="26" t="n">
        <f aca="false">IF(OR($D2049="",$J2049&lt;&gt;"Supplier"),0,F2049*P2049+G2049*Q2049)</f>
        <v>0</v>
      </c>
      <c r="S2049" s="26" t="n">
        <f aca="false">IF(OR($D2049="",$J2049&lt;&gt;"Own"),0,IFERROR((F2049+G2049*Settings!$B$13)*INDEX(Workers!$V$5:$V$2004,MATCH($D2049,Workers!$A$5:$A$2004,0)),0))</f>
        <v>0</v>
      </c>
      <c r="T2049" s="26" t="str">
        <f aca="false">IF($D2049="","",O2049-R2049-S2049)</f>
        <v/>
      </c>
    </row>
    <row r="2050" customFormat="false" ht="15" hidden="false" customHeight="false" outlineLevel="0" collapsed="false">
      <c r="I2050" s="24" t="str">
        <f aca="false">IF($D2050="","",IFERROR(INDEX(Workers!$B$5:$B$2004,MATCH($D2050,Workers!$A$5:$A$2004,0)),"NOT FOUND"))</f>
        <v/>
      </c>
      <c r="J2050" s="24" t="str">
        <f aca="false">IF($D2050="","",IFERROR(INDEX(Workers!$C$5:$C$2004,MATCH($D2050,Workers!$A$5:$A$2004,0)),""))</f>
        <v/>
      </c>
      <c r="K2050" s="24" t="str">
        <f aca="false">IF($D2050="","",IFERROR(IF(INDEX(Workers!$D$5:$D$2004,MATCH($D2050,Workers!$A$5:$A$2004,0))=0,"",INDEX(Workers!$D$5:$D$2004,MATCH($D2050,Workers!$A$5:$A$2004,0))),""))</f>
        <v/>
      </c>
      <c r="L2050" s="24" t="str">
        <f aca="false">IF($D2050="","",IFERROR(INDEX(Workers!$E$5:$E$2004,MATCH($D2050,Workers!$A$5:$A$2004,0)),""))</f>
        <v/>
      </c>
      <c r="M2050" s="26" t="str">
        <f aca="false">IF($D2050="","",IFERROR(INDEX(ClientRates!$D$5:$D$500,MATCH($B2050&amp;"|"&amp;$L2050,ClientRates!$A$5:$A$500,0)),0))</f>
        <v/>
      </c>
      <c r="N2050" s="26" t="str">
        <f aca="false">IF($D2050="","",IFERROR(INDEX(ClientRates!$E$5:$E$500,MATCH($B2050&amp;"|"&amp;$L2050,ClientRates!$A$5:$A$500,0)),0))</f>
        <v/>
      </c>
      <c r="O2050" s="26" t="str">
        <f aca="false">IF($D2050="","",F2050*M2050+G2050*N2050)</f>
        <v/>
      </c>
      <c r="P2050" s="26" t="str">
        <f aca="false">IF(OR($D2050="",$J2050&lt;&gt;"Supplier"),"",IFERROR(INDEX(SupplierRates!$D$5:$D$500,MATCH($K2050&amp;"|"&amp;$L2050,SupplierRates!$A$5:$A$500,0)),0))</f>
        <v/>
      </c>
      <c r="Q2050" s="26" t="str">
        <f aca="false">IF(OR($D2050="",$J2050&lt;&gt;"Supplier"),"",IFERROR(INDEX(SupplierRates!$E$5:$E$500,MATCH($K2050&amp;"|"&amp;$L2050,SupplierRates!$A$5:$A$500,0)),0))</f>
        <v/>
      </c>
      <c r="R2050" s="26" t="n">
        <f aca="false">IF(OR($D2050="",$J2050&lt;&gt;"Supplier"),0,F2050*P2050+G2050*Q2050)</f>
        <v>0</v>
      </c>
      <c r="S2050" s="26" t="n">
        <f aca="false">IF(OR($D2050="",$J2050&lt;&gt;"Own"),0,IFERROR((F2050+G2050*Settings!$B$13)*INDEX(Workers!$V$5:$V$2004,MATCH($D2050,Workers!$A$5:$A$2004,0)),0))</f>
        <v>0</v>
      </c>
      <c r="T2050" s="26" t="str">
        <f aca="false">IF($D2050="","",O2050-R2050-S2050)</f>
        <v/>
      </c>
    </row>
    <row r="2051" customFormat="false" ht="15" hidden="false" customHeight="false" outlineLevel="0" collapsed="false">
      <c r="I2051" s="24" t="str">
        <f aca="false">IF($D2051="","",IFERROR(INDEX(Workers!$B$5:$B$2004,MATCH($D2051,Workers!$A$5:$A$2004,0)),"NOT FOUND"))</f>
        <v/>
      </c>
      <c r="J2051" s="24" t="str">
        <f aca="false">IF($D2051="","",IFERROR(INDEX(Workers!$C$5:$C$2004,MATCH($D2051,Workers!$A$5:$A$2004,0)),""))</f>
        <v/>
      </c>
      <c r="K2051" s="24" t="str">
        <f aca="false">IF($D2051="","",IFERROR(IF(INDEX(Workers!$D$5:$D$2004,MATCH($D2051,Workers!$A$5:$A$2004,0))=0,"",INDEX(Workers!$D$5:$D$2004,MATCH($D2051,Workers!$A$5:$A$2004,0))),""))</f>
        <v/>
      </c>
      <c r="L2051" s="24" t="str">
        <f aca="false">IF($D2051="","",IFERROR(INDEX(Workers!$E$5:$E$2004,MATCH($D2051,Workers!$A$5:$A$2004,0)),""))</f>
        <v/>
      </c>
      <c r="M2051" s="26" t="str">
        <f aca="false">IF($D2051="","",IFERROR(INDEX(ClientRates!$D$5:$D$500,MATCH($B2051&amp;"|"&amp;$L2051,ClientRates!$A$5:$A$500,0)),0))</f>
        <v/>
      </c>
      <c r="N2051" s="26" t="str">
        <f aca="false">IF($D2051="","",IFERROR(INDEX(ClientRates!$E$5:$E$500,MATCH($B2051&amp;"|"&amp;$L2051,ClientRates!$A$5:$A$500,0)),0))</f>
        <v/>
      </c>
      <c r="O2051" s="26" t="str">
        <f aca="false">IF($D2051="","",F2051*M2051+G2051*N2051)</f>
        <v/>
      </c>
      <c r="P2051" s="26" t="str">
        <f aca="false">IF(OR($D2051="",$J2051&lt;&gt;"Supplier"),"",IFERROR(INDEX(SupplierRates!$D$5:$D$500,MATCH($K2051&amp;"|"&amp;$L2051,SupplierRates!$A$5:$A$500,0)),0))</f>
        <v/>
      </c>
      <c r="Q2051" s="26" t="str">
        <f aca="false">IF(OR($D2051="",$J2051&lt;&gt;"Supplier"),"",IFERROR(INDEX(SupplierRates!$E$5:$E$500,MATCH($K2051&amp;"|"&amp;$L2051,SupplierRates!$A$5:$A$500,0)),0))</f>
        <v/>
      </c>
      <c r="R2051" s="26" t="n">
        <f aca="false">IF(OR($D2051="",$J2051&lt;&gt;"Supplier"),0,F2051*P2051+G2051*Q2051)</f>
        <v>0</v>
      </c>
      <c r="S2051" s="26" t="n">
        <f aca="false">IF(OR($D2051="",$J2051&lt;&gt;"Own"),0,IFERROR((F2051+G2051*Settings!$B$13)*INDEX(Workers!$V$5:$V$2004,MATCH($D2051,Workers!$A$5:$A$2004,0)),0))</f>
        <v>0</v>
      </c>
      <c r="T2051" s="26" t="str">
        <f aca="false">IF($D2051="","",O2051-R2051-S2051)</f>
        <v/>
      </c>
    </row>
    <row r="2052" customFormat="false" ht="15" hidden="false" customHeight="false" outlineLevel="0" collapsed="false">
      <c r="I2052" s="24" t="str">
        <f aca="false">IF($D2052="","",IFERROR(INDEX(Workers!$B$5:$B$2004,MATCH($D2052,Workers!$A$5:$A$2004,0)),"NOT FOUND"))</f>
        <v/>
      </c>
      <c r="J2052" s="24" t="str">
        <f aca="false">IF($D2052="","",IFERROR(INDEX(Workers!$C$5:$C$2004,MATCH($D2052,Workers!$A$5:$A$2004,0)),""))</f>
        <v/>
      </c>
      <c r="K2052" s="24" t="str">
        <f aca="false">IF($D2052="","",IFERROR(IF(INDEX(Workers!$D$5:$D$2004,MATCH($D2052,Workers!$A$5:$A$2004,0))=0,"",INDEX(Workers!$D$5:$D$2004,MATCH($D2052,Workers!$A$5:$A$2004,0))),""))</f>
        <v/>
      </c>
      <c r="L2052" s="24" t="str">
        <f aca="false">IF($D2052="","",IFERROR(INDEX(Workers!$E$5:$E$2004,MATCH($D2052,Workers!$A$5:$A$2004,0)),""))</f>
        <v/>
      </c>
      <c r="M2052" s="26" t="str">
        <f aca="false">IF($D2052="","",IFERROR(INDEX(ClientRates!$D$5:$D$500,MATCH($B2052&amp;"|"&amp;$L2052,ClientRates!$A$5:$A$500,0)),0))</f>
        <v/>
      </c>
      <c r="N2052" s="26" t="str">
        <f aca="false">IF($D2052="","",IFERROR(INDEX(ClientRates!$E$5:$E$500,MATCH($B2052&amp;"|"&amp;$L2052,ClientRates!$A$5:$A$500,0)),0))</f>
        <v/>
      </c>
      <c r="O2052" s="26" t="str">
        <f aca="false">IF($D2052="","",F2052*M2052+G2052*N2052)</f>
        <v/>
      </c>
      <c r="P2052" s="26" t="str">
        <f aca="false">IF(OR($D2052="",$J2052&lt;&gt;"Supplier"),"",IFERROR(INDEX(SupplierRates!$D$5:$D$500,MATCH($K2052&amp;"|"&amp;$L2052,SupplierRates!$A$5:$A$500,0)),0))</f>
        <v/>
      </c>
      <c r="Q2052" s="26" t="str">
        <f aca="false">IF(OR($D2052="",$J2052&lt;&gt;"Supplier"),"",IFERROR(INDEX(SupplierRates!$E$5:$E$500,MATCH($K2052&amp;"|"&amp;$L2052,SupplierRates!$A$5:$A$500,0)),0))</f>
        <v/>
      </c>
      <c r="R2052" s="26" t="n">
        <f aca="false">IF(OR($D2052="",$J2052&lt;&gt;"Supplier"),0,F2052*P2052+G2052*Q2052)</f>
        <v>0</v>
      </c>
      <c r="S2052" s="26" t="n">
        <f aca="false">IF(OR($D2052="",$J2052&lt;&gt;"Own"),0,IFERROR((F2052+G2052*Settings!$B$13)*INDEX(Workers!$V$5:$V$2004,MATCH($D2052,Workers!$A$5:$A$2004,0)),0))</f>
        <v>0</v>
      </c>
      <c r="T2052" s="26" t="str">
        <f aca="false">IF($D2052="","",O2052-R2052-S2052)</f>
        <v/>
      </c>
    </row>
    <row r="2053" customFormat="false" ht="15" hidden="false" customHeight="false" outlineLevel="0" collapsed="false">
      <c r="I2053" s="24" t="str">
        <f aca="false">IF($D2053="","",IFERROR(INDEX(Workers!$B$5:$B$2004,MATCH($D2053,Workers!$A$5:$A$2004,0)),"NOT FOUND"))</f>
        <v/>
      </c>
      <c r="J2053" s="24" t="str">
        <f aca="false">IF($D2053="","",IFERROR(INDEX(Workers!$C$5:$C$2004,MATCH($D2053,Workers!$A$5:$A$2004,0)),""))</f>
        <v/>
      </c>
      <c r="K2053" s="24" t="str">
        <f aca="false">IF($D2053="","",IFERROR(IF(INDEX(Workers!$D$5:$D$2004,MATCH($D2053,Workers!$A$5:$A$2004,0))=0,"",INDEX(Workers!$D$5:$D$2004,MATCH($D2053,Workers!$A$5:$A$2004,0))),""))</f>
        <v/>
      </c>
      <c r="L2053" s="24" t="str">
        <f aca="false">IF($D2053="","",IFERROR(INDEX(Workers!$E$5:$E$2004,MATCH($D2053,Workers!$A$5:$A$2004,0)),""))</f>
        <v/>
      </c>
      <c r="M2053" s="26" t="str">
        <f aca="false">IF($D2053="","",IFERROR(INDEX(ClientRates!$D$5:$D$500,MATCH($B2053&amp;"|"&amp;$L2053,ClientRates!$A$5:$A$500,0)),0))</f>
        <v/>
      </c>
      <c r="N2053" s="26" t="str">
        <f aca="false">IF($D2053="","",IFERROR(INDEX(ClientRates!$E$5:$E$500,MATCH($B2053&amp;"|"&amp;$L2053,ClientRates!$A$5:$A$500,0)),0))</f>
        <v/>
      </c>
      <c r="O2053" s="26" t="str">
        <f aca="false">IF($D2053="","",F2053*M2053+G2053*N2053)</f>
        <v/>
      </c>
      <c r="P2053" s="26" t="str">
        <f aca="false">IF(OR($D2053="",$J2053&lt;&gt;"Supplier"),"",IFERROR(INDEX(SupplierRates!$D$5:$D$500,MATCH($K2053&amp;"|"&amp;$L2053,SupplierRates!$A$5:$A$500,0)),0))</f>
        <v/>
      </c>
      <c r="Q2053" s="26" t="str">
        <f aca="false">IF(OR($D2053="",$J2053&lt;&gt;"Supplier"),"",IFERROR(INDEX(SupplierRates!$E$5:$E$500,MATCH($K2053&amp;"|"&amp;$L2053,SupplierRates!$A$5:$A$500,0)),0))</f>
        <v/>
      </c>
      <c r="R2053" s="26" t="n">
        <f aca="false">IF(OR($D2053="",$J2053&lt;&gt;"Supplier"),0,F2053*P2053+G2053*Q2053)</f>
        <v>0</v>
      </c>
      <c r="S2053" s="26" t="n">
        <f aca="false">IF(OR($D2053="",$J2053&lt;&gt;"Own"),0,IFERROR((F2053+G2053*Settings!$B$13)*INDEX(Workers!$V$5:$V$2004,MATCH($D2053,Workers!$A$5:$A$2004,0)),0))</f>
        <v>0</v>
      </c>
      <c r="T2053" s="26" t="str">
        <f aca="false">IF($D2053="","",O2053-R2053-S2053)</f>
        <v/>
      </c>
    </row>
    <row r="2054" customFormat="false" ht="15" hidden="false" customHeight="false" outlineLevel="0" collapsed="false">
      <c r="I2054" s="24" t="str">
        <f aca="false">IF($D2054="","",IFERROR(INDEX(Workers!$B$5:$B$2004,MATCH($D2054,Workers!$A$5:$A$2004,0)),"NOT FOUND"))</f>
        <v/>
      </c>
      <c r="J2054" s="24" t="str">
        <f aca="false">IF($D2054="","",IFERROR(INDEX(Workers!$C$5:$C$2004,MATCH($D2054,Workers!$A$5:$A$2004,0)),""))</f>
        <v/>
      </c>
      <c r="K2054" s="24" t="str">
        <f aca="false">IF($D2054="","",IFERROR(IF(INDEX(Workers!$D$5:$D$2004,MATCH($D2054,Workers!$A$5:$A$2004,0))=0,"",INDEX(Workers!$D$5:$D$2004,MATCH($D2054,Workers!$A$5:$A$2004,0))),""))</f>
        <v/>
      </c>
      <c r="L2054" s="24" t="str">
        <f aca="false">IF($D2054="","",IFERROR(INDEX(Workers!$E$5:$E$2004,MATCH($D2054,Workers!$A$5:$A$2004,0)),""))</f>
        <v/>
      </c>
      <c r="M2054" s="26" t="str">
        <f aca="false">IF($D2054="","",IFERROR(INDEX(ClientRates!$D$5:$D$500,MATCH($B2054&amp;"|"&amp;$L2054,ClientRates!$A$5:$A$500,0)),0))</f>
        <v/>
      </c>
      <c r="N2054" s="26" t="str">
        <f aca="false">IF($D2054="","",IFERROR(INDEX(ClientRates!$E$5:$E$500,MATCH($B2054&amp;"|"&amp;$L2054,ClientRates!$A$5:$A$500,0)),0))</f>
        <v/>
      </c>
      <c r="O2054" s="26" t="str">
        <f aca="false">IF($D2054="","",F2054*M2054+G2054*N2054)</f>
        <v/>
      </c>
      <c r="P2054" s="26" t="str">
        <f aca="false">IF(OR($D2054="",$J2054&lt;&gt;"Supplier"),"",IFERROR(INDEX(SupplierRates!$D$5:$D$500,MATCH($K2054&amp;"|"&amp;$L2054,SupplierRates!$A$5:$A$500,0)),0))</f>
        <v/>
      </c>
      <c r="Q2054" s="26" t="str">
        <f aca="false">IF(OR($D2054="",$J2054&lt;&gt;"Supplier"),"",IFERROR(INDEX(SupplierRates!$E$5:$E$500,MATCH($K2054&amp;"|"&amp;$L2054,SupplierRates!$A$5:$A$500,0)),0))</f>
        <v/>
      </c>
      <c r="R2054" s="26" t="n">
        <f aca="false">IF(OR($D2054="",$J2054&lt;&gt;"Supplier"),0,F2054*P2054+G2054*Q2054)</f>
        <v>0</v>
      </c>
      <c r="S2054" s="26" t="n">
        <f aca="false">IF(OR($D2054="",$J2054&lt;&gt;"Own"),0,IFERROR((F2054+G2054*Settings!$B$13)*INDEX(Workers!$V$5:$V$2004,MATCH($D2054,Workers!$A$5:$A$2004,0)),0))</f>
        <v>0</v>
      </c>
      <c r="T2054" s="26" t="str">
        <f aca="false">IF($D2054="","",O2054-R2054-S2054)</f>
        <v/>
      </c>
    </row>
    <row r="2055" customFormat="false" ht="15" hidden="false" customHeight="false" outlineLevel="0" collapsed="false">
      <c r="I2055" s="24" t="str">
        <f aca="false">IF($D2055="","",IFERROR(INDEX(Workers!$B$5:$B$2004,MATCH($D2055,Workers!$A$5:$A$2004,0)),"NOT FOUND"))</f>
        <v/>
      </c>
      <c r="J2055" s="24" t="str">
        <f aca="false">IF($D2055="","",IFERROR(INDEX(Workers!$C$5:$C$2004,MATCH($D2055,Workers!$A$5:$A$2004,0)),""))</f>
        <v/>
      </c>
      <c r="K2055" s="24" t="str">
        <f aca="false">IF($D2055="","",IFERROR(IF(INDEX(Workers!$D$5:$D$2004,MATCH($D2055,Workers!$A$5:$A$2004,0))=0,"",INDEX(Workers!$D$5:$D$2004,MATCH($D2055,Workers!$A$5:$A$2004,0))),""))</f>
        <v/>
      </c>
      <c r="L2055" s="24" t="str">
        <f aca="false">IF($D2055="","",IFERROR(INDEX(Workers!$E$5:$E$2004,MATCH($D2055,Workers!$A$5:$A$2004,0)),""))</f>
        <v/>
      </c>
      <c r="M2055" s="26" t="str">
        <f aca="false">IF($D2055="","",IFERROR(INDEX(ClientRates!$D$5:$D$500,MATCH($B2055&amp;"|"&amp;$L2055,ClientRates!$A$5:$A$500,0)),0))</f>
        <v/>
      </c>
      <c r="N2055" s="26" t="str">
        <f aca="false">IF($D2055="","",IFERROR(INDEX(ClientRates!$E$5:$E$500,MATCH($B2055&amp;"|"&amp;$L2055,ClientRates!$A$5:$A$500,0)),0))</f>
        <v/>
      </c>
      <c r="O2055" s="26" t="str">
        <f aca="false">IF($D2055="","",F2055*M2055+G2055*N2055)</f>
        <v/>
      </c>
      <c r="P2055" s="26" t="str">
        <f aca="false">IF(OR($D2055="",$J2055&lt;&gt;"Supplier"),"",IFERROR(INDEX(SupplierRates!$D$5:$D$500,MATCH($K2055&amp;"|"&amp;$L2055,SupplierRates!$A$5:$A$500,0)),0))</f>
        <v/>
      </c>
      <c r="Q2055" s="26" t="str">
        <f aca="false">IF(OR($D2055="",$J2055&lt;&gt;"Supplier"),"",IFERROR(INDEX(SupplierRates!$E$5:$E$500,MATCH($K2055&amp;"|"&amp;$L2055,SupplierRates!$A$5:$A$500,0)),0))</f>
        <v/>
      </c>
      <c r="R2055" s="26" t="n">
        <f aca="false">IF(OR($D2055="",$J2055&lt;&gt;"Supplier"),0,F2055*P2055+G2055*Q2055)</f>
        <v>0</v>
      </c>
      <c r="S2055" s="26" t="n">
        <f aca="false">IF(OR($D2055="",$J2055&lt;&gt;"Own"),0,IFERROR((F2055+G2055*Settings!$B$13)*INDEX(Workers!$V$5:$V$2004,MATCH($D2055,Workers!$A$5:$A$2004,0)),0))</f>
        <v>0</v>
      </c>
      <c r="T2055" s="26" t="str">
        <f aca="false">IF($D2055="","",O2055-R2055-S2055)</f>
        <v/>
      </c>
    </row>
    <row r="2056" customFormat="false" ht="15" hidden="false" customHeight="false" outlineLevel="0" collapsed="false">
      <c r="I2056" s="24" t="str">
        <f aca="false">IF($D2056="","",IFERROR(INDEX(Workers!$B$5:$B$2004,MATCH($D2056,Workers!$A$5:$A$2004,0)),"NOT FOUND"))</f>
        <v/>
      </c>
      <c r="J2056" s="24" t="str">
        <f aca="false">IF($D2056="","",IFERROR(INDEX(Workers!$C$5:$C$2004,MATCH($D2056,Workers!$A$5:$A$2004,0)),""))</f>
        <v/>
      </c>
      <c r="K2056" s="24" t="str">
        <f aca="false">IF($D2056="","",IFERROR(IF(INDEX(Workers!$D$5:$D$2004,MATCH($D2056,Workers!$A$5:$A$2004,0))=0,"",INDEX(Workers!$D$5:$D$2004,MATCH($D2056,Workers!$A$5:$A$2004,0))),""))</f>
        <v/>
      </c>
      <c r="L2056" s="24" t="str">
        <f aca="false">IF($D2056="","",IFERROR(INDEX(Workers!$E$5:$E$2004,MATCH($D2056,Workers!$A$5:$A$2004,0)),""))</f>
        <v/>
      </c>
      <c r="M2056" s="26" t="str">
        <f aca="false">IF($D2056="","",IFERROR(INDEX(ClientRates!$D$5:$D$500,MATCH($B2056&amp;"|"&amp;$L2056,ClientRates!$A$5:$A$500,0)),0))</f>
        <v/>
      </c>
      <c r="N2056" s="26" t="str">
        <f aca="false">IF($D2056="","",IFERROR(INDEX(ClientRates!$E$5:$E$500,MATCH($B2056&amp;"|"&amp;$L2056,ClientRates!$A$5:$A$500,0)),0))</f>
        <v/>
      </c>
      <c r="O2056" s="26" t="str">
        <f aca="false">IF($D2056="","",F2056*M2056+G2056*N2056)</f>
        <v/>
      </c>
      <c r="P2056" s="26" t="str">
        <f aca="false">IF(OR($D2056="",$J2056&lt;&gt;"Supplier"),"",IFERROR(INDEX(SupplierRates!$D$5:$D$500,MATCH($K2056&amp;"|"&amp;$L2056,SupplierRates!$A$5:$A$500,0)),0))</f>
        <v/>
      </c>
      <c r="Q2056" s="26" t="str">
        <f aca="false">IF(OR($D2056="",$J2056&lt;&gt;"Supplier"),"",IFERROR(INDEX(SupplierRates!$E$5:$E$500,MATCH($K2056&amp;"|"&amp;$L2056,SupplierRates!$A$5:$A$500,0)),0))</f>
        <v/>
      </c>
      <c r="R2056" s="26" t="n">
        <f aca="false">IF(OR($D2056="",$J2056&lt;&gt;"Supplier"),0,F2056*P2056+G2056*Q2056)</f>
        <v>0</v>
      </c>
      <c r="S2056" s="26" t="n">
        <f aca="false">IF(OR($D2056="",$J2056&lt;&gt;"Own"),0,IFERROR((F2056+G2056*Settings!$B$13)*INDEX(Workers!$V$5:$V$2004,MATCH($D2056,Workers!$A$5:$A$2004,0)),0))</f>
        <v>0</v>
      </c>
      <c r="T2056" s="26" t="str">
        <f aca="false">IF($D2056="","",O2056-R2056-S2056)</f>
        <v/>
      </c>
    </row>
    <row r="2057" customFormat="false" ht="15" hidden="false" customHeight="false" outlineLevel="0" collapsed="false">
      <c r="I2057" s="24" t="str">
        <f aca="false">IF($D2057="","",IFERROR(INDEX(Workers!$B$5:$B$2004,MATCH($D2057,Workers!$A$5:$A$2004,0)),"NOT FOUND"))</f>
        <v/>
      </c>
      <c r="J2057" s="24" t="str">
        <f aca="false">IF($D2057="","",IFERROR(INDEX(Workers!$C$5:$C$2004,MATCH($D2057,Workers!$A$5:$A$2004,0)),""))</f>
        <v/>
      </c>
      <c r="K2057" s="24" t="str">
        <f aca="false">IF($D2057="","",IFERROR(IF(INDEX(Workers!$D$5:$D$2004,MATCH($D2057,Workers!$A$5:$A$2004,0))=0,"",INDEX(Workers!$D$5:$D$2004,MATCH($D2057,Workers!$A$5:$A$2004,0))),""))</f>
        <v/>
      </c>
      <c r="L2057" s="24" t="str">
        <f aca="false">IF($D2057="","",IFERROR(INDEX(Workers!$E$5:$E$2004,MATCH($D2057,Workers!$A$5:$A$2004,0)),""))</f>
        <v/>
      </c>
      <c r="M2057" s="26" t="str">
        <f aca="false">IF($D2057="","",IFERROR(INDEX(ClientRates!$D$5:$D$500,MATCH($B2057&amp;"|"&amp;$L2057,ClientRates!$A$5:$A$500,0)),0))</f>
        <v/>
      </c>
      <c r="N2057" s="26" t="str">
        <f aca="false">IF($D2057="","",IFERROR(INDEX(ClientRates!$E$5:$E$500,MATCH($B2057&amp;"|"&amp;$L2057,ClientRates!$A$5:$A$500,0)),0))</f>
        <v/>
      </c>
      <c r="O2057" s="26" t="str">
        <f aca="false">IF($D2057="","",F2057*M2057+G2057*N2057)</f>
        <v/>
      </c>
      <c r="P2057" s="26" t="str">
        <f aca="false">IF(OR($D2057="",$J2057&lt;&gt;"Supplier"),"",IFERROR(INDEX(SupplierRates!$D$5:$D$500,MATCH($K2057&amp;"|"&amp;$L2057,SupplierRates!$A$5:$A$500,0)),0))</f>
        <v/>
      </c>
      <c r="Q2057" s="26" t="str">
        <f aca="false">IF(OR($D2057="",$J2057&lt;&gt;"Supplier"),"",IFERROR(INDEX(SupplierRates!$E$5:$E$500,MATCH($K2057&amp;"|"&amp;$L2057,SupplierRates!$A$5:$A$500,0)),0))</f>
        <v/>
      </c>
      <c r="R2057" s="26" t="n">
        <f aca="false">IF(OR($D2057="",$J2057&lt;&gt;"Supplier"),0,F2057*P2057+G2057*Q2057)</f>
        <v>0</v>
      </c>
      <c r="S2057" s="26" t="n">
        <f aca="false">IF(OR($D2057="",$J2057&lt;&gt;"Own"),0,IFERROR((F2057+G2057*Settings!$B$13)*INDEX(Workers!$V$5:$V$2004,MATCH($D2057,Workers!$A$5:$A$2004,0)),0))</f>
        <v>0</v>
      </c>
      <c r="T2057" s="26" t="str">
        <f aca="false">IF($D2057="","",O2057-R2057-S2057)</f>
        <v/>
      </c>
    </row>
    <row r="2058" customFormat="false" ht="15" hidden="false" customHeight="false" outlineLevel="0" collapsed="false">
      <c r="I2058" s="24" t="str">
        <f aca="false">IF($D2058="","",IFERROR(INDEX(Workers!$B$5:$B$2004,MATCH($D2058,Workers!$A$5:$A$2004,0)),"NOT FOUND"))</f>
        <v/>
      </c>
      <c r="J2058" s="24" t="str">
        <f aca="false">IF($D2058="","",IFERROR(INDEX(Workers!$C$5:$C$2004,MATCH($D2058,Workers!$A$5:$A$2004,0)),""))</f>
        <v/>
      </c>
      <c r="K2058" s="24" t="str">
        <f aca="false">IF($D2058="","",IFERROR(IF(INDEX(Workers!$D$5:$D$2004,MATCH($D2058,Workers!$A$5:$A$2004,0))=0,"",INDEX(Workers!$D$5:$D$2004,MATCH($D2058,Workers!$A$5:$A$2004,0))),""))</f>
        <v/>
      </c>
      <c r="L2058" s="24" t="str">
        <f aca="false">IF($D2058="","",IFERROR(INDEX(Workers!$E$5:$E$2004,MATCH($D2058,Workers!$A$5:$A$2004,0)),""))</f>
        <v/>
      </c>
      <c r="M2058" s="26" t="str">
        <f aca="false">IF($D2058="","",IFERROR(INDEX(ClientRates!$D$5:$D$500,MATCH($B2058&amp;"|"&amp;$L2058,ClientRates!$A$5:$A$500,0)),0))</f>
        <v/>
      </c>
      <c r="N2058" s="26" t="str">
        <f aca="false">IF($D2058="","",IFERROR(INDEX(ClientRates!$E$5:$E$500,MATCH($B2058&amp;"|"&amp;$L2058,ClientRates!$A$5:$A$500,0)),0))</f>
        <v/>
      </c>
      <c r="O2058" s="26" t="str">
        <f aca="false">IF($D2058="","",F2058*M2058+G2058*N2058)</f>
        <v/>
      </c>
      <c r="P2058" s="26" t="str">
        <f aca="false">IF(OR($D2058="",$J2058&lt;&gt;"Supplier"),"",IFERROR(INDEX(SupplierRates!$D$5:$D$500,MATCH($K2058&amp;"|"&amp;$L2058,SupplierRates!$A$5:$A$500,0)),0))</f>
        <v/>
      </c>
      <c r="Q2058" s="26" t="str">
        <f aca="false">IF(OR($D2058="",$J2058&lt;&gt;"Supplier"),"",IFERROR(INDEX(SupplierRates!$E$5:$E$500,MATCH($K2058&amp;"|"&amp;$L2058,SupplierRates!$A$5:$A$500,0)),0))</f>
        <v/>
      </c>
      <c r="R2058" s="26" t="n">
        <f aca="false">IF(OR($D2058="",$J2058&lt;&gt;"Supplier"),0,F2058*P2058+G2058*Q2058)</f>
        <v>0</v>
      </c>
      <c r="S2058" s="26" t="n">
        <f aca="false">IF(OR($D2058="",$J2058&lt;&gt;"Own"),0,IFERROR((F2058+G2058*Settings!$B$13)*INDEX(Workers!$V$5:$V$2004,MATCH($D2058,Workers!$A$5:$A$2004,0)),0))</f>
        <v>0</v>
      </c>
      <c r="T2058" s="26" t="str">
        <f aca="false">IF($D2058="","",O2058-R2058-S2058)</f>
        <v/>
      </c>
    </row>
    <row r="2059" customFormat="false" ht="15" hidden="false" customHeight="false" outlineLevel="0" collapsed="false">
      <c r="I2059" s="24" t="str">
        <f aca="false">IF($D2059="","",IFERROR(INDEX(Workers!$B$5:$B$2004,MATCH($D2059,Workers!$A$5:$A$2004,0)),"NOT FOUND"))</f>
        <v/>
      </c>
      <c r="J2059" s="24" t="str">
        <f aca="false">IF($D2059="","",IFERROR(INDEX(Workers!$C$5:$C$2004,MATCH($D2059,Workers!$A$5:$A$2004,0)),""))</f>
        <v/>
      </c>
      <c r="K2059" s="24" t="str">
        <f aca="false">IF($D2059="","",IFERROR(IF(INDEX(Workers!$D$5:$D$2004,MATCH($D2059,Workers!$A$5:$A$2004,0))=0,"",INDEX(Workers!$D$5:$D$2004,MATCH($D2059,Workers!$A$5:$A$2004,0))),""))</f>
        <v/>
      </c>
      <c r="L2059" s="24" t="str">
        <f aca="false">IF($D2059="","",IFERROR(INDEX(Workers!$E$5:$E$2004,MATCH($D2059,Workers!$A$5:$A$2004,0)),""))</f>
        <v/>
      </c>
      <c r="M2059" s="26" t="str">
        <f aca="false">IF($D2059="","",IFERROR(INDEX(ClientRates!$D$5:$D$500,MATCH($B2059&amp;"|"&amp;$L2059,ClientRates!$A$5:$A$500,0)),0))</f>
        <v/>
      </c>
      <c r="N2059" s="26" t="str">
        <f aca="false">IF($D2059="","",IFERROR(INDEX(ClientRates!$E$5:$E$500,MATCH($B2059&amp;"|"&amp;$L2059,ClientRates!$A$5:$A$500,0)),0))</f>
        <v/>
      </c>
      <c r="O2059" s="26" t="str">
        <f aca="false">IF($D2059="","",F2059*M2059+G2059*N2059)</f>
        <v/>
      </c>
      <c r="P2059" s="26" t="str">
        <f aca="false">IF(OR($D2059="",$J2059&lt;&gt;"Supplier"),"",IFERROR(INDEX(SupplierRates!$D$5:$D$500,MATCH($K2059&amp;"|"&amp;$L2059,SupplierRates!$A$5:$A$500,0)),0))</f>
        <v/>
      </c>
      <c r="Q2059" s="26" t="str">
        <f aca="false">IF(OR($D2059="",$J2059&lt;&gt;"Supplier"),"",IFERROR(INDEX(SupplierRates!$E$5:$E$500,MATCH($K2059&amp;"|"&amp;$L2059,SupplierRates!$A$5:$A$500,0)),0))</f>
        <v/>
      </c>
      <c r="R2059" s="26" t="n">
        <f aca="false">IF(OR($D2059="",$J2059&lt;&gt;"Supplier"),0,F2059*P2059+G2059*Q2059)</f>
        <v>0</v>
      </c>
      <c r="S2059" s="26" t="n">
        <f aca="false">IF(OR($D2059="",$J2059&lt;&gt;"Own"),0,IFERROR((F2059+G2059*Settings!$B$13)*INDEX(Workers!$V$5:$V$2004,MATCH($D2059,Workers!$A$5:$A$2004,0)),0))</f>
        <v>0</v>
      </c>
      <c r="T2059" s="26" t="str">
        <f aca="false">IF($D2059="","",O2059-R2059-S2059)</f>
        <v/>
      </c>
    </row>
    <row r="2060" customFormat="false" ht="15" hidden="false" customHeight="false" outlineLevel="0" collapsed="false">
      <c r="I2060" s="24" t="str">
        <f aca="false">IF($D2060="","",IFERROR(INDEX(Workers!$B$5:$B$2004,MATCH($D2060,Workers!$A$5:$A$2004,0)),"NOT FOUND"))</f>
        <v/>
      </c>
      <c r="J2060" s="24" t="str">
        <f aca="false">IF($D2060="","",IFERROR(INDEX(Workers!$C$5:$C$2004,MATCH($D2060,Workers!$A$5:$A$2004,0)),""))</f>
        <v/>
      </c>
      <c r="K2060" s="24" t="str">
        <f aca="false">IF($D2060="","",IFERROR(IF(INDEX(Workers!$D$5:$D$2004,MATCH($D2060,Workers!$A$5:$A$2004,0))=0,"",INDEX(Workers!$D$5:$D$2004,MATCH($D2060,Workers!$A$5:$A$2004,0))),""))</f>
        <v/>
      </c>
      <c r="L2060" s="24" t="str">
        <f aca="false">IF($D2060="","",IFERROR(INDEX(Workers!$E$5:$E$2004,MATCH($D2060,Workers!$A$5:$A$2004,0)),""))</f>
        <v/>
      </c>
      <c r="M2060" s="26" t="str">
        <f aca="false">IF($D2060="","",IFERROR(INDEX(ClientRates!$D$5:$D$500,MATCH($B2060&amp;"|"&amp;$L2060,ClientRates!$A$5:$A$500,0)),0))</f>
        <v/>
      </c>
      <c r="N2060" s="26" t="str">
        <f aca="false">IF($D2060="","",IFERROR(INDEX(ClientRates!$E$5:$E$500,MATCH($B2060&amp;"|"&amp;$L2060,ClientRates!$A$5:$A$500,0)),0))</f>
        <v/>
      </c>
      <c r="O2060" s="26" t="str">
        <f aca="false">IF($D2060="","",F2060*M2060+G2060*N2060)</f>
        <v/>
      </c>
      <c r="P2060" s="26" t="str">
        <f aca="false">IF(OR($D2060="",$J2060&lt;&gt;"Supplier"),"",IFERROR(INDEX(SupplierRates!$D$5:$D$500,MATCH($K2060&amp;"|"&amp;$L2060,SupplierRates!$A$5:$A$500,0)),0))</f>
        <v/>
      </c>
      <c r="Q2060" s="26" t="str">
        <f aca="false">IF(OR($D2060="",$J2060&lt;&gt;"Supplier"),"",IFERROR(INDEX(SupplierRates!$E$5:$E$500,MATCH($K2060&amp;"|"&amp;$L2060,SupplierRates!$A$5:$A$500,0)),0))</f>
        <v/>
      </c>
      <c r="R2060" s="26" t="n">
        <f aca="false">IF(OR($D2060="",$J2060&lt;&gt;"Supplier"),0,F2060*P2060+G2060*Q2060)</f>
        <v>0</v>
      </c>
      <c r="S2060" s="26" t="n">
        <f aca="false">IF(OR($D2060="",$J2060&lt;&gt;"Own"),0,IFERROR((F2060+G2060*Settings!$B$13)*INDEX(Workers!$V$5:$V$2004,MATCH($D2060,Workers!$A$5:$A$2004,0)),0))</f>
        <v>0</v>
      </c>
      <c r="T2060" s="26" t="str">
        <f aca="false">IF($D2060="","",O2060-R2060-S2060)</f>
        <v/>
      </c>
    </row>
    <row r="2061" customFormat="false" ht="15" hidden="false" customHeight="false" outlineLevel="0" collapsed="false">
      <c r="I2061" s="24" t="str">
        <f aca="false">IF($D2061="","",IFERROR(INDEX(Workers!$B$5:$B$2004,MATCH($D2061,Workers!$A$5:$A$2004,0)),"NOT FOUND"))</f>
        <v/>
      </c>
      <c r="J2061" s="24" t="str">
        <f aca="false">IF($D2061="","",IFERROR(INDEX(Workers!$C$5:$C$2004,MATCH($D2061,Workers!$A$5:$A$2004,0)),""))</f>
        <v/>
      </c>
      <c r="K2061" s="24" t="str">
        <f aca="false">IF($D2061="","",IFERROR(IF(INDEX(Workers!$D$5:$D$2004,MATCH($D2061,Workers!$A$5:$A$2004,0))=0,"",INDEX(Workers!$D$5:$D$2004,MATCH($D2061,Workers!$A$5:$A$2004,0))),""))</f>
        <v/>
      </c>
      <c r="L2061" s="24" t="str">
        <f aca="false">IF($D2061="","",IFERROR(INDEX(Workers!$E$5:$E$2004,MATCH($D2061,Workers!$A$5:$A$2004,0)),""))</f>
        <v/>
      </c>
      <c r="M2061" s="26" t="str">
        <f aca="false">IF($D2061="","",IFERROR(INDEX(ClientRates!$D$5:$D$500,MATCH($B2061&amp;"|"&amp;$L2061,ClientRates!$A$5:$A$500,0)),0))</f>
        <v/>
      </c>
      <c r="N2061" s="26" t="str">
        <f aca="false">IF($D2061="","",IFERROR(INDEX(ClientRates!$E$5:$E$500,MATCH($B2061&amp;"|"&amp;$L2061,ClientRates!$A$5:$A$500,0)),0))</f>
        <v/>
      </c>
      <c r="O2061" s="26" t="str">
        <f aca="false">IF($D2061="","",F2061*M2061+G2061*N2061)</f>
        <v/>
      </c>
      <c r="P2061" s="26" t="str">
        <f aca="false">IF(OR($D2061="",$J2061&lt;&gt;"Supplier"),"",IFERROR(INDEX(SupplierRates!$D$5:$D$500,MATCH($K2061&amp;"|"&amp;$L2061,SupplierRates!$A$5:$A$500,0)),0))</f>
        <v/>
      </c>
      <c r="Q2061" s="26" t="str">
        <f aca="false">IF(OR($D2061="",$J2061&lt;&gt;"Supplier"),"",IFERROR(INDEX(SupplierRates!$E$5:$E$500,MATCH($K2061&amp;"|"&amp;$L2061,SupplierRates!$A$5:$A$500,0)),0))</f>
        <v/>
      </c>
      <c r="R2061" s="26" t="n">
        <f aca="false">IF(OR($D2061="",$J2061&lt;&gt;"Supplier"),0,F2061*P2061+G2061*Q2061)</f>
        <v>0</v>
      </c>
      <c r="S2061" s="26" t="n">
        <f aca="false">IF(OR($D2061="",$J2061&lt;&gt;"Own"),0,IFERROR((F2061+G2061*Settings!$B$13)*INDEX(Workers!$V$5:$V$2004,MATCH($D2061,Workers!$A$5:$A$2004,0)),0))</f>
        <v>0</v>
      </c>
      <c r="T2061" s="26" t="str">
        <f aca="false">IF($D2061="","",O2061-R2061-S2061)</f>
        <v/>
      </c>
    </row>
    <row r="2062" customFormat="false" ht="15" hidden="false" customHeight="false" outlineLevel="0" collapsed="false">
      <c r="I2062" s="24" t="str">
        <f aca="false">IF($D2062="","",IFERROR(INDEX(Workers!$B$5:$B$2004,MATCH($D2062,Workers!$A$5:$A$2004,0)),"NOT FOUND"))</f>
        <v/>
      </c>
      <c r="J2062" s="24" t="str">
        <f aca="false">IF($D2062="","",IFERROR(INDEX(Workers!$C$5:$C$2004,MATCH($D2062,Workers!$A$5:$A$2004,0)),""))</f>
        <v/>
      </c>
      <c r="K2062" s="24" t="str">
        <f aca="false">IF($D2062="","",IFERROR(IF(INDEX(Workers!$D$5:$D$2004,MATCH($D2062,Workers!$A$5:$A$2004,0))=0,"",INDEX(Workers!$D$5:$D$2004,MATCH($D2062,Workers!$A$5:$A$2004,0))),""))</f>
        <v/>
      </c>
      <c r="L2062" s="24" t="str">
        <f aca="false">IF($D2062="","",IFERROR(INDEX(Workers!$E$5:$E$2004,MATCH($D2062,Workers!$A$5:$A$2004,0)),""))</f>
        <v/>
      </c>
      <c r="M2062" s="26" t="str">
        <f aca="false">IF($D2062="","",IFERROR(INDEX(ClientRates!$D$5:$D$500,MATCH($B2062&amp;"|"&amp;$L2062,ClientRates!$A$5:$A$500,0)),0))</f>
        <v/>
      </c>
      <c r="N2062" s="26" t="str">
        <f aca="false">IF($D2062="","",IFERROR(INDEX(ClientRates!$E$5:$E$500,MATCH($B2062&amp;"|"&amp;$L2062,ClientRates!$A$5:$A$500,0)),0))</f>
        <v/>
      </c>
      <c r="O2062" s="26" t="str">
        <f aca="false">IF($D2062="","",F2062*M2062+G2062*N2062)</f>
        <v/>
      </c>
      <c r="P2062" s="26" t="str">
        <f aca="false">IF(OR($D2062="",$J2062&lt;&gt;"Supplier"),"",IFERROR(INDEX(SupplierRates!$D$5:$D$500,MATCH($K2062&amp;"|"&amp;$L2062,SupplierRates!$A$5:$A$500,0)),0))</f>
        <v/>
      </c>
      <c r="Q2062" s="26" t="str">
        <f aca="false">IF(OR($D2062="",$J2062&lt;&gt;"Supplier"),"",IFERROR(INDEX(SupplierRates!$E$5:$E$500,MATCH($K2062&amp;"|"&amp;$L2062,SupplierRates!$A$5:$A$500,0)),0))</f>
        <v/>
      </c>
      <c r="R2062" s="26" t="n">
        <f aca="false">IF(OR($D2062="",$J2062&lt;&gt;"Supplier"),0,F2062*P2062+G2062*Q2062)</f>
        <v>0</v>
      </c>
      <c r="S2062" s="26" t="n">
        <f aca="false">IF(OR($D2062="",$J2062&lt;&gt;"Own"),0,IFERROR((F2062+G2062*Settings!$B$13)*INDEX(Workers!$V$5:$V$2004,MATCH($D2062,Workers!$A$5:$A$2004,0)),0))</f>
        <v>0</v>
      </c>
      <c r="T2062" s="26" t="str">
        <f aca="false">IF($D2062="","",O2062-R2062-S2062)</f>
        <v/>
      </c>
    </row>
    <row r="2063" customFormat="false" ht="15" hidden="false" customHeight="false" outlineLevel="0" collapsed="false">
      <c r="I2063" s="24" t="str">
        <f aca="false">IF($D2063="","",IFERROR(INDEX(Workers!$B$5:$B$2004,MATCH($D2063,Workers!$A$5:$A$2004,0)),"NOT FOUND"))</f>
        <v/>
      </c>
      <c r="J2063" s="24" t="str">
        <f aca="false">IF($D2063="","",IFERROR(INDEX(Workers!$C$5:$C$2004,MATCH($D2063,Workers!$A$5:$A$2004,0)),""))</f>
        <v/>
      </c>
      <c r="K2063" s="24" t="str">
        <f aca="false">IF($D2063="","",IFERROR(IF(INDEX(Workers!$D$5:$D$2004,MATCH($D2063,Workers!$A$5:$A$2004,0))=0,"",INDEX(Workers!$D$5:$D$2004,MATCH($D2063,Workers!$A$5:$A$2004,0))),""))</f>
        <v/>
      </c>
      <c r="L2063" s="24" t="str">
        <f aca="false">IF($D2063="","",IFERROR(INDEX(Workers!$E$5:$E$2004,MATCH($D2063,Workers!$A$5:$A$2004,0)),""))</f>
        <v/>
      </c>
      <c r="M2063" s="26" t="str">
        <f aca="false">IF($D2063="","",IFERROR(INDEX(ClientRates!$D$5:$D$500,MATCH($B2063&amp;"|"&amp;$L2063,ClientRates!$A$5:$A$500,0)),0))</f>
        <v/>
      </c>
      <c r="N2063" s="26" t="str">
        <f aca="false">IF($D2063="","",IFERROR(INDEX(ClientRates!$E$5:$E$500,MATCH($B2063&amp;"|"&amp;$L2063,ClientRates!$A$5:$A$500,0)),0))</f>
        <v/>
      </c>
      <c r="O2063" s="26" t="str">
        <f aca="false">IF($D2063="","",F2063*M2063+G2063*N2063)</f>
        <v/>
      </c>
      <c r="P2063" s="26" t="str">
        <f aca="false">IF(OR($D2063="",$J2063&lt;&gt;"Supplier"),"",IFERROR(INDEX(SupplierRates!$D$5:$D$500,MATCH($K2063&amp;"|"&amp;$L2063,SupplierRates!$A$5:$A$500,0)),0))</f>
        <v/>
      </c>
      <c r="Q2063" s="26" t="str">
        <f aca="false">IF(OR($D2063="",$J2063&lt;&gt;"Supplier"),"",IFERROR(INDEX(SupplierRates!$E$5:$E$500,MATCH($K2063&amp;"|"&amp;$L2063,SupplierRates!$A$5:$A$500,0)),0))</f>
        <v/>
      </c>
      <c r="R2063" s="26" t="n">
        <f aca="false">IF(OR($D2063="",$J2063&lt;&gt;"Supplier"),0,F2063*P2063+G2063*Q2063)</f>
        <v>0</v>
      </c>
      <c r="S2063" s="26" t="n">
        <f aca="false">IF(OR($D2063="",$J2063&lt;&gt;"Own"),0,IFERROR((F2063+G2063*Settings!$B$13)*INDEX(Workers!$V$5:$V$2004,MATCH($D2063,Workers!$A$5:$A$2004,0)),0))</f>
        <v>0</v>
      </c>
      <c r="T2063" s="26" t="str">
        <f aca="false">IF($D2063="","",O2063-R2063-S2063)</f>
        <v/>
      </c>
    </row>
    <row r="2064" customFormat="false" ht="15" hidden="false" customHeight="false" outlineLevel="0" collapsed="false">
      <c r="I2064" s="24" t="str">
        <f aca="false">IF($D2064="","",IFERROR(INDEX(Workers!$B$5:$B$2004,MATCH($D2064,Workers!$A$5:$A$2004,0)),"NOT FOUND"))</f>
        <v/>
      </c>
      <c r="J2064" s="24" t="str">
        <f aca="false">IF($D2064="","",IFERROR(INDEX(Workers!$C$5:$C$2004,MATCH($D2064,Workers!$A$5:$A$2004,0)),""))</f>
        <v/>
      </c>
      <c r="K2064" s="24" t="str">
        <f aca="false">IF($D2064="","",IFERROR(IF(INDEX(Workers!$D$5:$D$2004,MATCH($D2064,Workers!$A$5:$A$2004,0))=0,"",INDEX(Workers!$D$5:$D$2004,MATCH($D2064,Workers!$A$5:$A$2004,0))),""))</f>
        <v/>
      </c>
      <c r="L2064" s="24" t="str">
        <f aca="false">IF($D2064="","",IFERROR(INDEX(Workers!$E$5:$E$2004,MATCH($D2064,Workers!$A$5:$A$2004,0)),""))</f>
        <v/>
      </c>
      <c r="M2064" s="26" t="str">
        <f aca="false">IF($D2064="","",IFERROR(INDEX(ClientRates!$D$5:$D$500,MATCH($B2064&amp;"|"&amp;$L2064,ClientRates!$A$5:$A$500,0)),0))</f>
        <v/>
      </c>
      <c r="N2064" s="26" t="str">
        <f aca="false">IF($D2064="","",IFERROR(INDEX(ClientRates!$E$5:$E$500,MATCH($B2064&amp;"|"&amp;$L2064,ClientRates!$A$5:$A$500,0)),0))</f>
        <v/>
      </c>
      <c r="O2064" s="26" t="str">
        <f aca="false">IF($D2064="","",F2064*M2064+G2064*N2064)</f>
        <v/>
      </c>
      <c r="P2064" s="26" t="str">
        <f aca="false">IF(OR($D2064="",$J2064&lt;&gt;"Supplier"),"",IFERROR(INDEX(SupplierRates!$D$5:$D$500,MATCH($K2064&amp;"|"&amp;$L2064,SupplierRates!$A$5:$A$500,0)),0))</f>
        <v/>
      </c>
      <c r="Q2064" s="26" t="str">
        <f aca="false">IF(OR($D2064="",$J2064&lt;&gt;"Supplier"),"",IFERROR(INDEX(SupplierRates!$E$5:$E$500,MATCH($K2064&amp;"|"&amp;$L2064,SupplierRates!$A$5:$A$500,0)),0))</f>
        <v/>
      </c>
      <c r="R2064" s="26" t="n">
        <f aca="false">IF(OR($D2064="",$J2064&lt;&gt;"Supplier"),0,F2064*P2064+G2064*Q2064)</f>
        <v>0</v>
      </c>
      <c r="S2064" s="26" t="n">
        <f aca="false">IF(OR($D2064="",$J2064&lt;&gt;"Own"),0,IFERROR((F2064+G2064*Settings!$B$13)*INDEX(Workers!$V$5:$V$2004,MATCH($D2064,Workers!$A$5:$A$2004,0)),0))</f>
        <v>0</v>
      </c>
      <c r="T2064" s="26" t="str">
        <f aca="false">IF($D2064="","",O2064-R2064-S2064)</f>
        <v/>
      </c>
    </row>
    <row r="2065" customFormat="false" ht="15" hidden="false" customHeight="false" outlineLevel="0" collapsed="false">
      <c r="I2065" s="24" t="str">
        <f aca="false">IF($D2065="","",IFERROR(INDEX(Workers!$B$5:$B$2004,MATCH($D2065,Workers!$A$5:$A$2004,0)),"NOT FOUND"))</f>
        <v/>
      </c>
      <c r="J2065" s="24" t="str">
        <f aca="false">IF($D2065="","",IFERROR(INDEX(Workers!$C$5:$C$2004,MATCH($D2065,Workers!$A$5:$A$2004,0)),""))</f>
        <v/>
      </c>
      <c r="K2065" s="24" t="str">
        <f aca="false">IF($D2065="","",IFERROR(IF(INDEX(Workers!$D$5:$D$2004,MATCH($D2065,Workers!$A$5:$A$2004,0))=0,"",INDEX(Workers!$D$5:$D$2004,MATCH($D2065,Workers!$A$5:$A$2004,0))),""))</f>
        <v/>
      </c>
      <c r="L2065" s="24" t="str">
        <f aca="false">IF($D2065="","",IFERROR(INDEX(Workers!$E$5:$E$2004,MATCH($D2065,Workers!$A$5:$A$2004,0)),""))</f>
        <v/>
      </c>
      <c r="M2065" s="26" t="str">
        <f aca="false">IF($D2065="","",IFERROR(INDEX(ClientRates!$D$5:$D$500,MATCH($B2065&amp;"|"&amp;$L2065,ClientRates!$A$5:$A$500,0)),0))</f>
        <v/>
      </c>
      <c r="N2065" s="26" t="str">
        <f aca="false">IF($D2065="","",IFERROR(INDEX(ClientRates!$E$5:$E$500,MATCH($B2065&amp;"|"&amp;$L2065,ClientRates!$A$5:$A$500,0)),0))</f>
        <v/>
      </c>
      <c r="O2065" s="26" t="str">
        <f aca="false">IF($D2065="","",F2065*M2065+G2065*N2065)</f>
        <v/>
      </c>
      <c r="P2065" s="26" t="str">
        <f aca="false">IF(OR($D2065="",$J2065&lt;&gt;"Supplier"),"",IFERROR(INDEX(SupplierRates!$D$5:$D$500,MATCH($K2065&amp;"|"&amp;$L2065,SupplierRates!$A$5:$A$500,0)),0))</f>
        <v/>
      </c>
      <c r="Q2065" s="26" t="str">
        <f aca="false">IF(OR($D2065="",$J2065&lt;&gt;"Supplier"),"",IFERROR(INDEX(SupplierRates!$E$5:$E$500,MATCH($K2065&amp;"|"&amp;$L2065,SupplierRates!$A$5:$A$500,0)),0))</f>
        <v/>
      </c>
      <c r="R2065" s="26" t="n">
        <f aca="false">IF(OR($D2065="",$J2065&lt;&gt;"Supplier"),0,F2065*P2065+G2065*Q2065)</f>
        <v>0</v>
      </c>
      <c r="S2065" s="26" t="n">
        <f aca="false">IF(OR($D2065="",$J2065&lt;&gt;"Own"),0,IFERROR((F2065+G2065*Settings!$B$13)*INDEX(Workers!$V$5:$V$2004,MATCH($D2065,Workers!$A$5:$A$2004,0)),0))</f>
        <v>0</v>
      </c>
      <c r="T2065" s="26" t="str">
        <f aca="false">IF($D2065="","",O2065-R2065-S2065)</f>
        <v/>
      </c>
    </row>
    <row r="2066" customFormat="false" ht="15" hidden="false" customHeight="false" outlineLevel="0" collapsed="false">
      <c r="I2066" s="24" t="str">
        <f aca="false">IF($D2066="","",IFERROR(INDEX(Workers!$B$5:$B$2004,MATCH($D2066,Workers!$A$5:$A$2004,0)),"NOT FOUND"))</f>
        <v/>
      </c>
      <c r="J2066" s="24" t="str">
        <f aca="false">IF($D2066="","",IFERROR(INDEX(Workers!$C$5:$C$2004,MATCH($D2066,Workers!$A$5:$A$2004,0)),""))</f>
        <v/>
      </c>
      <c r="K2066" s="24" t="str">
        <f aca="false">IF($D2066="","",IFERROR(IF(INDEX(Workers!$D$5:$D$2004,MATCH($D2066,Workers!$A$5:$A$2004,0))=0,"",INDEX(Workers!$D$5:$D$2004,MATCH($D2066,Workers!$A$5:$A$2004,0))),""))</f>
        <v/>
      </c>
      <c r="L2066" s="24" t="str">
        <f aca="false">IF($D2066="","",IFERROR(INDEX(Workers!$E$5:$E$2004,MATCH($D2066,Workers!$A$5:$A$2004,0)),""))</f>
        <v/>
      </c>
      <c r="M2066" s="26" t="str">
        <f aca="false">IF($D2066="","",IFERROR(INDEX(ClientRates!$D$5:$D$500,MATCH($B2066&amp;"|"&amp;$L2066,ClientRates!$A$5:$A$500,0)),0))</f>
        <v/>
      </c>
      <c r="N2066" s="26" t="str">
        <f aca="false">IF($D2066="","",IFERROR(INDEX(ClientRates!$E$5:$E$500,MATCH($B2066&amp;"|"&amp;$L2066,ClientRates!$A$5:$A$500,0)),0))</f>
        <v/>
      </c>
      <c r="O2066" s="26" t="str">
        <f aca="false">IF($D2066="","",F2066*M2066+G2066*N2066)</f>
        <v/>
      </c>
      <c r="P2066" s="26" t="str">
        <f aca="false">IF(OR($D2066="",$J2066&lt;&gt;"Supplier"),"",IFERROR(INDEX(SupplierRates!$D$5:$D$500,MATCH($K2066&amp;"|"&amp;$L2066,SupplierRates!$A$5:$A$500,0)),0))</f>
        <v/>
      </c>
      <c r="Q2066" s="26" t="str">
        <f aca="false">IF(OR($D2066="",$J2066&lt;&gt;"Supplier"),"",IFERROR(INDEX(SupplierRates!$E$5:$E$500,MATCH($K2066&amp;"|"&amp;$L2066,SupplierRates!$A$5:$A$500,0)),0))</f>
        <v/>
      </c>
      <c r="R2066" s="26" t="n">
        <f aca="false">IF(OR($D2066="",$J2066&lt;&gt;"Supplier"),0,F2066*P2066+G2066*Q2066)</f>
        <v>0</v>
      </c>
      <c r="S2066" s="26" t="n">
        <f aca="false">IF(OR($D2066="",$J2066&lt;&gt;"Own"),0,IFERROR((F2066+G2066*Settings!$B$13)*INDEX(Workers!$V$5:$V$2004,MATCH($D2066,Workers!$A$5:$A$2004,0)),0))</f>
        <v>0</v>
      </c>
      <c r="T2066" s="26" t="str">
        <f aca="false">IF($D2066="","",O2066-R2066-S2066)</f>
        <v/>
      </c>
    </row>
    <row r="2067" customFormat="false" ht="15" hidden="false" customHeight="false" outlineLevel="0" collapsed="false">
      <c r="I2067" s="24" t="str">
        <f aca="false">IF($D2067="","",IFERROR(INDEX(Workers!$B$5:$B$2004,MATCH($D2067,Workers!$A$5:$A$2004,0)),"NOT FOUND"))</f>
        <v/>
      </c>
      <c r="J2067" s="24" t="str">
        <f aca="false">IF($D2067="","",IFERROR(INDEX(Workers!$C$5:$C$2004,MATCH($D2067,Workers!$A$5:$A$2004,0)),""))</f>
        <v/>
      </c>
      <c r="K2067" s="24" t="str">
        <f aca="false">IF($D2067="","",IFERROR(IF(INDEX(Workers!$D$5:$D$2004,MATCH($D2067,Workers!$A$5:$A$2004,0))=0,"",INDEX(Workers!$D$5:$D$2004,MATCH($D2067,Workers!$A$5:$A$2004,0))),""))</f>
        <v/>
      </c>
      <c r="L2067" s="24" t="str">
        <f aca="false">IF($D2067="","",IFERROR(INDEX(Workers!$E$5:$E$2004,MATCH($D2067,Workers!$A$5:$A$2004,0)),""))</f>
        <v/>
      </c>
      <c r="M2067" s="26" t="str">
        <f aca="false">IF($D2067="","",IFERROR(INDEX(ClientRates!$D$5:$D$500,MATCH($B2067&amp;"|"&amp;$L2067,ClientRates!$A$5:$A$500,0)),0))</f>
        <v/>
      </c>
      <c r="N2067" s="26" t="str">
        <f aca="false">IF($D2067="","",IFERROR(INDEX(ClientRates!$E$5:$E$500,MATCH($B2067&amp;"|"&amp;$L2067,ClientRates!$A$5:$A$500,0)),0))</f>
        <v/>
      </c>
      <c r="O2067" s="26" t="str">
        <f aca="false">IF($D2067="","",F2067*M2067+G2067*N2067)</f>
        <v/>
      </c>
      <c r="P2067" s="26" t="str">
        <f aca="false">IF(OR($D2067="",$J2067&lt;&gt;"Supplier"),"",IFERROR(INDEX(SupplierRates!$D$5:$D$500,MATCH($K2067&amp;"|"&amp;$L2067,SupplierRates!$A$5:$A$500,0)),0))</f>
        <v/>
      </c>
      <c r="Q2067" s="26" t="str">
        <f aca="false">IF(OR($D2067="",$J2067&lt;&gt;"Supplier"),"",IFERROR(INDEX(SupplierRates!$E$5:$E$500,MATCH($K2067&amp;"|"&amp;$L2067,SupplierRates!$A$5:$A$500,0)),0))</f>
        <v/>
      </c>
      <c r="R2067" s="26" t="n">
        <f aca="false">IF(OR($D2067="",$J2067&lt;&gt;"Supplier"),0,F2067*P2067+G2067*Q2067)</f>
        <v>0</v>
      </c>
      <c r="S2067" s="26" t="n">
        <f aca="false">IF(OR($D2067="",$J2067&lt;&gt;"Own"),0,IFERROR((F2067+G2067*Settings!$B$13)*INDEX(Workers!$V$5:$V$2004,MATCH($D2067,Workers!$A$5:$A$2004,0)),0))</f>
        <v>0</v>
      </c>
      <c r="T2067" s="26" t="str">
        <f aca="false">IF($D2067="","",O2067-R2067-S2067)</f>
        <v/>
      </c>
    </row>
    <row r="2068" customFormat="false" ht="15" hidden="false" customHeight="false" outlineLevel="0" collapsed="false">
      <c r="I2068" s="24" t="str">
        <f aca="false">IF($D2068="","",IFERROR(INDEX(Workers!$B$5:$B$2004,MATCH($D2068,Workers!$A$5:$A$2004,0)),"NOT FOUND"))</f>
        <v/>
      </c>
      <c r="J2068" s="24" t="str">
        <f aca="false">IF($D2068="","",IFERROR(INDEX(Workers!$C$5:$C$2004,MATCH($D2068,Workers!$A$5:$A$2004,0)),""))</f>
        <v/>
      </c>
      <c r="K2068" s="24" t="str">
        <f aca="false">IF($D2068="","",IFERROR(IF(INDEX(Workers!$D$5:$D$2004,MATCH($D2068,Workers!$A$5:$A$2004,0))=0,"",INDEX(Workers!$D$5:$D$2004,MATCH($D2068,Workers!$A$5:$A$2004,0))),""))</f>
        <v/>
      </c>
      <c r="L2068" s="24" t="str">
        <f aca="false">IF($D2068="","",IFERROR(INDEX(Workers!$E$5:$E$2004,MATCH($D2068,Workers!$A$5:$A$2004,0)),""))</f>
        <v/>
      </c>
      <c r="M2068" s="26" t="str">
        <f aca="false">IF($D2068="","",IFERROR(INDEX(ClientRates!$D$5:$D$500,MATCH($B2068&amp;"|"&amp;$L2068,ClientRates!$A$5:$A$500,0)),0))</f>
        <v/>
      </c>
      <c r="N2068" s="26" t="str">
        <f aca="false">IF($D2068="","",IFERROR(INDEX(ClientRates!$E$5:$E$500,MATCH($B2068&amp;"|"&amp;$L2068,ClientRates!$A$5:$A$500,0)),0))</f>
        <v/>
      </c>
      <c r="O2068" s="26" t="str">
        <f aca="false">IF($D2068="","",F2068*M2068+G2068*N2068)</f>
        <v/>
      </c>
      <c r="P2068" s="26" t="str">
        <f aca="false">IF(OR($D2068="",$J2068&lt;&gt;"Supplier"),"",IFERROR(INDEX(SupplierRates!$D$5:$D$500,MATCH($K2068&amp;"|"&amp;$L2068,SupplierRates!$A$5:$A$500,0)),0))</f>
        <v/>
      </c>
      <c r="Q2068" s="26" t="str">
        <f aca="false">IF(OR($D2068="",$J2068&lt;&gt;"Supplier"),"",IFERROR(INDEX(SupplierRates!$E$5:$E$500,MATCH($K2068&amp;"|"&amp;$L2068,SupplierRates!$A$5:$A$500,0)),0))</f>
        <v/>
      </c>
      <c r="R2068" s="26" t="n">
        <f aca="false">IF(OR($D2068="",$J2068&lt;&gt;"Supplier"),0,F2068*P2068+G2068*Q2068)</f>
        <v>0</v>
      </c>
      <c r="S2068" s="26" t="n">
        <f aca="false">IF(OR($D2068="",$J2068&lt;&gt;"Own"),0,IFERROR((F2068+G2068*Settings!$B$13)*INDEX(Workers!$V$5:$V$2004,MATCH($D2068,Workers!$A$5:$A$2004,0)),0))</f>
        <v>0</v>
      </c>
      <c r="T2068" s="26" t="str">
        <f aca="false">IF($D2068="","",O2068-R2068-S2068)</f>
        <v/>
      </c>
    </row>
    <row r="2069" customFormat="false" ht="15" hidden="false" customHeight="false" outlineLevel="0" collapsed="false">
      <c r="I2069" s="24" t="str">
        <f aca="false">IF($D2069="","",IFERROR(INDEX(Workers!$B$5:$B$2004,MATCH($D2069,Workers!$A$5:$A$2004,0)),"NOT FOUND"))</f>
        <v/>
      </c>
      <c r="J2069" s="24" t="str">
        <f aca="false">IF($D2069="","",IFERROR(INDEX(Workers!$C$5:$C$2004,MATCH($D2069,Workers!$A$5:$A$2004,0)),""))</f>
        <v/>
      </c>
      <c r="K2069" s="24" t="str">
        <f aca="false">IF($D2069="","",IFERROR(IF(INDEX(Workers!$D$5:$D$2004,MATCH($D2069,Workers!$A$5:$A$2004,0))=0,"",INDEX(Workers!$D$5:$D$2004,MATCH($D2069,Workers!$A$5:$A$2004,0))),""))</f>
        <v/>
      </c>
      <c r="L2069" s="24" t="str">
        <f aca="false">IF($D2069="","",IFERROR(INDEX(Workers!$E$5:$E$2004,MATCH($D2069,Workers!$A$5:$A$2004,0)),""))</f>
        <v/>
      </c>
      <c r="M2069" s="26" t="str">
        <f aca="false">IF($D2069="","",IFERROR(INDEX(ClientRates!$D$5:$D$500,MATCH($B2069&amp;"|"&amp;$L2069,ClientRates!$A$5:$A$500,0)),0))</f>
        <v/>
      </c>
      <c r="N2069" s="26" t="str">
        <f aca="false">IF($D2069="","",IFERROR(INDEX(ClientRates!$E$5:$E$500,MATCH($B2069&amp;"|"&amp;$L2069,ClientRates!$A$5:$A$500,0)),0))</f>
        <v/>
      </c>
      <c r="O2069" s="26" t="str">
        <f aca="false">IF($D2069="","",F2069*M2069+G2069*N2069)</f>
        <v/>
      </c>
      <c r="P2069" s="26" t="str">
        <f aca="false">IF(OR($D2069="",$J2069&lt;&gt;"Supplier"),"",IFERROR(INDEX(SupplierRates!$D$5:$D$500,MATCH($K2069&amp;"|"&amp;$L2069,SupplierRates!$A$5:$A$500,0)),0))</f>
        <v/>
      </c>
      <c r="Q2069" s="26" t="str">
        <f aca="false">IF(OR($D2069="",$J2069&lt;&gt;"Supplier"),"",IFERROR(INDEX(SupplierRates!$E$5:$E$500,MATCH($K2069&amp;"|"&amp;$L2069,SupplierRates!$A$5:$A$500,0)),0))</f>
        <v/>
      </c>
      <c r="R2069" s="26" t="n">
        <f aca="false">IF(OR($D2069="",$J2069&lt;&gt;"Supplier"),0,F2069*P2069+G2069*Q2069)</f>
        <v>0</v>
      </c>
      <c r="S2069" s="26" t="n">
        <f aca="false">IF(OR($D2069="",$J2069&lt;&gt;"Own"),0,IFERROR((F2069+G2069*Settings!$B$13)*INDEX(Workers!$V$5:$V$2004,MATCH($D2069,Workers!$A$5:$A$2004,0)),0))</f>
        <v>0</v>
      </c>
      <c r="T2069" s="26" t="str">
        <f aca="false">IF($D2069="","",O2069-R2069-S2069)</f>
        <v/>
      </c>
    </row>
    <row r="2070" customFormat="false" ht="15" hidden="false" customHeight="false" outlineLevel="0" collapsed="false">
      <c r="I2070" s="24" t="str">
        <f aca="false">IF($D2070="","",IFERROR(INDEX(Workers!$B$5:$B$2004,MATCH($D2070,Workers!$A$5:$A$2004,0)),"NOT FOUND"))</f>
        <v/>
      </c>
      <c r="J2070" s="24" t="str">
        <f aca="false">IF($D2070="","",IFERROR(INDEX(Workers!$C$5:$C$2004,MATCH($D2070,Workers!$A$5:$A$2004,0)),""))</f>
        <v/>
      </c>
      <c r="K2070" s="24" t="str">
        <f aca="false">IF($D2070="","",IFERROR(IF(INDEX(Workers!$D$5:$D$2004,MATCH($D2070,Workers!$A$5:$A$2004,0))=0,"",INDEX(Workers!$D$5:$D$2004,MATCH($D2070,Workers!$A$5:$A$2004,0))),""))</f>
        <v/>
      </c>
      <c r="L2070" s="24" t="str">
        <f aca="false">IF($D2070="","",IFERROR(INDEX(Workers!$E$5:$E$2004,MATCH($D2070,Workers!$A$5:$A$2004,0)),""))</f>
        <v/>
      </c>
      <c r="M2070" s="26" t="str">
        <f aca="false">IF($D2070="","",IFERROR(INDEX(ClientRates!$D$5:$D$500,MATCH($B2070&amp;"|"&amp;$L2070,ClientRates!$A$5:$A$500,0)),0))</f>
        <v/>
      </c>
      <c r="N2070" s="26" t="str">
        <f aca="false">IF($D2070="","",IFERROR(INDEX(ClientRates!$E$5:$E$500,MATCH($B2070&amp;"|"&amp;$L2070,ClientRates!$A$5:$A$500,0)),0))</f>
        <v/>
      </c>
      <c r="O2070" s="26" t="str">
        <f aca="false">IF($D2070="","",F2070*M2070+G2070*N2070)</f>
        <v/>
      </c>
      <c r="P2070" s="26" t="str">
        <f aca="false">IF(OR($D2070="",$J2070&lt;&gt;"Supplier"),"",IFERROR(INDEX(SupplierRates!$D$5:$D$500,MATCH($K2070&amp;"|"&amp;$L2070,SupplierRates!$A$5:$A$500,0)),0))</f>
        <v/>
      </c>
      <c r="Q2070" s="26" t="str">
        <f aca="false">IF(OR($D2070="",$J2070&lt;&gt;"Supplier"),"",IFERROR(INDEX(SupplierRates!$E$5:$E$500,MATCH($K2070&amp;"|"&amp;$L2070,SupplierRates!$A$5:$A$500,0)),0))</f>
        <v/>
      </c>
      <c r="R2070" s="26" t="n">
        <f aca="false">IF(OR($D2070="",$J2070&lt;&gt;"Supplier"),0,F2070*P2070+G2070*Q2070)</f>
        <v>0</v>
      </c>
      <c r="S2070" s="26" t="n">
        <f aca="false">IF(OR($D2070="",$J2070&lt;&gt;"Own"),0,IFERROR((F2070+G2070*Settings!$B$13)*INDEX(Workers!$V$5:$V$2004,MATCH($D2070,Workers!$A$5:$A$2004,0)),0))</f>
        <v>0</v>
      </c>
      <c r="T2070" s="26" t="str">
        <f aca="false">IF($D2070="","",O2070-R2070-S2070)</f>
        <v/>
      </c>
    </row>
    <row r="2071" customFormat="false" ht="15" hidden="false" customHeight="false" outlineLevel="0" collapsed="false">
      <c r="I2071" s="24" t="str">
        <f aca="false">IF($D2071="","",IFERROR(INDEX(Workers!$B$5:$B$2004,MATCH($D2071,Workers!$A$5:$A$2004,0)),"NOT FOUND"))</f>
        <v/>
      </c>
      <c r="J2071" s="24" t="str">
        <f aca="false">IF($D2071="","",IFERROR(INDEX(Workers!$C$5:$C$2004,MATCH($D2071,Workers!$A$5:$A$2004,0)),""))</f>
        <v/>
      </c>
      <c r="K2071" s="24" t="str">
        <f aca="false">IF($D2071="","",IFERROR(IF(INDEX(Workers!$D$5:$D$2004,MATCH($D2071,Workers!$A$5:$A$2004,0))=0,"",INDEX(Workers!$D$5:$D$2004,MATCH($D2071,Workers!$A$5:$A$2004,0))),""))</f>
        <v/>
      </c>
      <c r="L2071" s="24" t="str">
        <f aca="false">IF($D2071="","",IFERROR(INDEX(Workers!$E$5:$E$2004,MATCH($D2071,Workers!$A$5:$A$2004,0)),""))</f>
        <v/>
      </c>
      <c r="M2071" s="26" t="str">
        <f aca="false">IF($D2071="","",IFERROR(INDEX(ClientRates!$D$5:$D$500,MATCH($B2071&amp;"|"&amp;$L2071,ClientRates!$A$5:$A$500,0)),0))</f>
        <v/>
      </c>
      <c r="N2071" s="26" t="str">
        <f aca="false">IF($D2071="","",IFERROR(INDEX(ClientRates!$E$5:$E$500,MATCH($B2071&amp;"|"&amp;$L2071,ClientRates!$A$5:$A$500,0)),0))</f>
        <v/>
      </c>
      <c r="O2071" s="26" t="str">
        <f aca="false">IF($D2071="","",F2071*M2071+G2071*N2071)</f>
        <v/>
      </c>
      <c r="P2071" s="26" t="str">
        <f aca="false">IF(OR($D2071="",$J2071&lt;&gt;"Supplier"),"",IFERROR(INDEX(SupplierRates!$D$5:$D$500,MATCH($K2071&amp;"|"&amp;$L2071,SupplierRates!$A$5:$A$500,0)),0))</f>
        <v/>
      </c>
      <c r="Q2071" s="26" t="str">
        <f aca="false">IF(OR($D2071="",$J2071&lt;&gt;"Supplier"),"",IFERROR(INDEX(SupplierRates!$E$5:$E$500,MATCH($K2071&amp;"|"&amp;$L2071,SupplierRates!$A$5:$A$500,0)),0))</f>
        <v/>
      </c>
      <c r="R2071" s="26" t="n">
        <f aca="false">IF(OR($D2071="",$J2071&lt;&gt;"Supplier"),0,F2071*P2071+G2071*Q2071)</f>
        <v>0</v>
      </c>
      <c r="S2071" s="26" t="n">
        <f aca="false">IF(OR($D2071="",$J2071&lt;&gt;"Own"),0,IFERROR((F2071+G2071*Settings!$B$13)*INDEX(Workers!$V$5:$V$2004,MATCH($D2071,Workers!$A$5:$A$2004,0)),0))</f>
        <v>0</v>
      </c>
      <c r="T2071" s="26" t="str">
        <f aca="false">IF($D2071="","",O2071-R2071-S2071)</f>
        <v/>
      </c>
    </row>
    <row r="2072" customFormat="false" ht="15" hidden="false" customHeight="false" outlineLevel="0" collapsed="false">
      <c r="I2072" s="24" t="str">
        <f aca="false">IF($D2072="","",IFERROR(INDEX(Workers!$B$5:$B$2004,MATCH($D2072,Workers!$A$5:$A$2004,0)),"NOT FOUND"))</f>
        <v/>
      </c>
      <c r="J2072" s="24" t="str">
        <f aca="false">IF($D2072="","",IFERROR(INDEX(Workers!$C$5:$C$2004,MATCH($D2072,Workers!$A$5:$A$2004,0)),""))</f>
        <v/>
      </c>
      <c r="K2072" s="24" t="str">
        <f aca="false">IF($D2072="","",IFERROR(IF(INDEX(Workers!$D$5:$D$2004,MATCH($D2072,Workers!$A$5:$A$2004,0))=0,"",INDEX(Workers!$D$5:$D$2004,MATCH($D2072,Workers!$A$5:$A$2004,0))),""))</f>
        <v/>
      </c>
      <c r="L2072" s="24" t="str">
        <f aca="false">IF($D2072="","",IFERROR(INDEX(Workers!$E$5:$E$2004,MATCH($D2072,Workers!$A$5:$A$2004,0)),""))</f>
        <v/>
      </c>
      <c r="M2072" s="26" t="str">
        <f aca="false">IF($D2072="","",IFERROR(INDEX(ClientRates!$D$5:$D$500,MATCH($B2072&amp;"|"&amp;$L2072,ClientRates!$A$5:$A$500,0)),0))</f>
        <v/>
      </c>
      <c r="N2072" s="26" t="str">
        <f aca="false">IF($D2072="","",IFERROR(INDEX(ClientRates!$E$5:$E$500,MATCH($B2072&amp;"|"&amp;$L2072,ClientRates!$A$5:$A$500,0)),0))</f>
        <v/>
      </c>
      <c r="O2072" s="26" t="str">
        <f aca="false">IF($D2072="","",F2072*M2072+G2072*N2072)</f>
        <v/>
      </c>
      <c r="P2072" s="26" t="str">
        <f aca="false">IF(OR($D2072="",$J2072&lt;&gt;"Supplier"),"",IFERROR(INDEX(SupplierRates!$D$5:$D$500,MATCH($K2072&amp;"|"&amp;$L2072,SupplierRates!$A$5:$A$500,0)),0))</f>
        <v/>
      </c>
      <c r="Q2072" s="26" t="str">
        <f aca="false">IF(OR($D2072="",$J2072&lt;&gt;"Supplier"),"",IFERROR(INDEX(SupplierRates!$E$5:$E$500,MATCH($K2072&amp;"|"&amp;$L2072,SupplierRates!$A$5:$A$500,0)),0))</f>
        <v/>
      </c>
      <c r="R2072" s="26" t="n">
        <f aca="false">IF(OR($D2072="",$J2072&lt;&gt;"Supplier"),0,F2072*P2072+G2072*Q2072)</f>
        <v>0</v>
      </c>
      <c r="S2072" s="26" t="n">
        <f aca="false">IF(OR($D2072="",$J2072&lt;&gt;"Own"),0,IFERROR((F2072+G2072*Settings!$B$13)*INDEX(Workers!$V$5:$V$2004,MATCH($D2072,Workers!$A$5:$A$2004,0)),0))</f>
        <v>0</v>
      </c>
      <c r="T2072" s="26" t="str">
        <f aca="false">IF($D2072="","",O2072-R2072-S2072)</f>
        <v/>
      </c>
    </row>
    <row r="2073" customFormat="false" ht="15" hidden="false" customHeight="false" outlineLevel="0" collapsed="false">
      <c r="I2073" s="24" t="str">
        <f aca="false">IF($D2073="","",IFERROR(INDEX(Workers!$B$5:$B$2004,MATCH($D2073,Workers!$A$5:$A$2004,0)),"NOT FOUND"))</f>
        <v/>
      </c>
      <c r="J2073" s="24" t="str">
        <f aca="false">IF($D2073="","",IFERROR(INDEX(Workers!$C$5:$C$2004,MATCH($D2073,Workers!$A$5:$A$2004,0)),""))</f>
        <v/>
      </c>
      <c r="K2073" s="24" t="str">
        <f aca="false">IF($D2073="","",IFERROR(IF(INDEX(Workers!$D$5:$D$2004,MATCH($D2073,Workers!$A$5:$A$2004,0))=0,"",INDEX(Workers!$D$5:$D$2004,MATCH($D2073,Workers!$A$5:$A$2004,0))),""))</f>
        <v/>
      </c>
      <c r="L2073" s="24" t="str">
        <f aca="false">IF($D2073="","",IFERROR(INDEX(Workers!$E$5:$E$2004,MATCH($D2073,Workers!$A$5:$A$2004,0)),""))</f>
        <v/>
      </c>
      <c r="M2073" s="26" t="str">
        <f aca="false">IF($D2073="","",IFERROR(INDEX(ClientRates!$D$5:$D$500,MATCH($B2073&amp;"|"&amp;$L2073,ClientRates!$A$5:$A$500,0)),0))</f>
        <v/>
      </c>
      <c r="N2073" s="26" t="str">
        <f aca="false">IF($D2073="","",IFERROR(INDEX(ClientRates!$E$5:$E$500,MATCH($B2073&amp;"|"&amp;$L2073,ClientRates!$A$5:$A$500,0)),0))</f>
        <v/>
      </c>
      <c r="O2073" s="26" t="str">
        <f aca="false">IF($D2073="","",F2073*M2073+G2073*N2073)</f>
        <v/>
      </c>
      <c r="P2073" s="26" t="str">
        <f aca="false">IF(OR($D2073="",$J2073&lt;&gt;"Supplier"),"",IFERROR(INDEX(SupplierRates!$D$5:$D$500,MATCH($K2073&amp;"|"&amp;$L2073,SupplierRates!$A$5:$A$500,0)),0))</f>
        <v/>
      </c>
      <c r="Q2073" s="26" t="str">
        <f aca="false">IF(OR($D2073="",$J2073&lt;&gt;"Supplier"),"",IFERROR(INDEX(SupplierRates!$E$5:$E$500,MATCH($K2073&amp;"|"&amp;$L2073,SupplierRates!$A$5:$A$500,0)),0))</f>
        <v/>
      </c>
      <c r="R2073" s="26" t="n">
        <f aca="false">IF(OR($D2073="",$J2073&lt;&gt;"Supplier"),0,F2073*P2073+G2073*Q2073)</f>
        <v>0</v>
      </c>
      <c r="S2073" s="26" t="n">
        <f aca="false">IF(OR($D2073="",$J2073&lt;&gt;"Own"),0,IFERROR((F2073+G2073*Settings!$B$13)*INDEX(Workers!$V$5:$V$2004,MATCH($D2073,Workers!$A$5:$A$2004,0)),0))</f>
        <v>0</v>
      </c>
      <c r="T2073" s="26" t="str">
        <f aca="false">IF($D2073="","",O2073-R2073-S2073)</f>
        <v/>
      </c>
    </row>
    <row r="2074" customFormat="false" ht="15" hidden="false" customHeight="false" outlineLevel="0" collapsed="false">
      <c r="I2074" s="24" t="str">
        <f aca="false">IF($D2074="","",IFERROR(INDEX(Workers!$B$5:$B$2004,MATCH($D2074,Workers!$A$5:$A$2004,0)),"NOT FOUND"))</f>
        <v/>
      </c>
      <c r="J2074" s="24" t="str">
        <f aca="false">IF($D2074="","",IFERROR(INDEX(Workers!$C$5:$C$2004,MATCH($D2074,Workers!$A$5:$A$2004,0)),""))</f>
        <v/>
      </c>
      <c r="K2074" s="24" t="str">
        <f aca="false">IF($D2074="","",IFERROR(IF(INDEX(Workers!$D$5:$D$2004,MATCH($D2074,Workers!$A$5:$A$2004,0))=0,"",INDEX(Workers!$D$5:$D$2004,MATCH($D2074,Workers!$A$5:$A$2004,0))),""))</f>
        <v/>
      </c>
      <c r="L2074" s="24" t="str">
        <f aca="false">IF($D2074="","",IFERROR(INDEX(Workers!$E$5:$E$2004,MATCH($D2074,Workers!$A$5:$A$2004,0)),""))</f>
        <v/>
      </c>
      <c r="M2074" s="26" t="str">
        <f aca="false">IF($D2074="","",IFERROR(INDEX(ClientRates!$D$5:$D$500,MATCH($B2074&amp;"|"&amp;$L2074,ClientRates!$A$5:$A$500,0)),0))</f>
        <v/>
      </c>
      <c r="N2074" s="26" t="str">
        <f aca="false">IF($D2074="","",IFERROR(INDEX(ClientRates!$E$5:$E$500,MATCH($B2074&amp;"|"&amp;$L2074,ClientRates!$A$5:$A$500,0)),0))</f>
        <v/>
      </c>
      <c r="O2074" s="26" t="str">
        <f aca="false">IF($D2074="","",F2074*M2074+G2074*N2074)</f>
        <v/>
      </c>
      <c r="P2074" s="26" t="str">
        <f aca="false">IF(OR($D2074="",$J2074&lt;&gt;"Supplier"),"",IFERROR(INDEX(SupplierRates!$D$5:$D$500,MATCH($K2074&amp;"|"&amp;$L2074,SupplierRates!$A$5:$A$500,0)),0))</f>
        <v/>
      </c>
      <c r="Q2074" s="26" t="str">
        <f aca="false">IF(OR($D2074="",$J2074&lt;&gt;"Supplier"),"",IFERROR(INDEX(SupplierRates!$E$5:$E$500,MATCH($K2074&amp;"|"&amp;$L2074,SupplierRates!$A$5:$A$500,0)),0))</f>
        <v/>
      </c>
      <c r="R2074" s="26" t="n">
        <f aca="false">IF(OR($D2074="",$J2074&lt;&gt;"Supplier"),0,F2074*P2074+G2074*Q2074)</f>
        <v>0</v>
      </c>
      <c r="S2074" s="26" t="n">
        <f aca="false">IF(OR($D2074="",$J2074&lt;&gt;"Own"),0,IFERROR((F2074+G2074*Settings!$B$13)*INDEX(Workers!$V$5:$V$2004,MATCH($D2074,Workers!$A$5:$A$2004,0)),0))</f>
        <v>0</v>
      </c>
      <c r="T2074" s="26" t="str">
        <f aca="false">IF($D2074="","",O2074-R2074-S2074)</f>
        <v/>
      </c>
    </row>
    <row r="2075" customFormat="false" ht="15" hidden="false" customHeight="false" outlineLevel="0" collapsed="false">
      <c r="I2075" s="24" t="str">
        <f aca="false">IF($D2075="","",IFERROR(INDEX(Workers!$B$5:$B$2004,MATCH($D2075,Workers!$A$5:$A$2004,0)),"NOT FOUND"))</f>
        <v/>
      </c>
      <c r="J2075" s="24" t="str">
        <f aca="false">IF($D2075="","",IFERROR(INDEX(Workers!$C$5:$C$2004,MATCH($D2075,Workers!$A$5:$A$2004,0)),""))</f>
        <v/>
      </c>
      <c r="K2075" s="24" t="str">
        <f aca="false">IF($D2075="","",IFERROR(IF(INDEX(Workers!$D$5:$D$2004,MATCH($D2075,Workers!$A$5:$A$2004,0))=0,"",INDEX(Workers!$D$5:$D$2004,MATCH($D2075,Workers!$A$5:$A$2004,0))),""))</f>
        <v/>
      </c>
      <c r="L2075" s="24" t="str">
        <f aca="false">IF($D2075="","",IFERROR(INDEX(Workers!$E$5:$E$2004,MATCH($D2075,Workers!$A$5:$A$2004,0)),""))</f>
        <v/>
      </c>
      <c r="M2075" s="26" t="str">
        <f aca="false">IF($D2075="","",IFERROR(INDEX(ClientRates!$D$5:$D$500,MATCH($B2075&amp;"|"&amp;$L2075,ClientRates!$A$5:$A$500,0)),0))</f>
        <v/>
      </c>
      <c r="N2075" s="26" t="str">
        <f aca="false">IF($D2075="","",IFERROR(INDEX(ClientRates!$E$5:$E$500,MATCH($B2075&amp;"|"&amp;$L2075,ClientRates!$A$5:$A$500,0)),0))</f>
        <v/>
      </c>
      <c r="O2075" s="26" t="str">
        <f aca="false">IF($D2075="","",F2075*M2075+G2075*N2075)</f>
        <v/>
      </c>
      <c r="P2075" s="26" t="str">
        <f aca="false">IF(OR($D2075="",$J2075&lt;&gt;"Supplier"),"",IFERROR(INDEX(SupplierRates!$D$5:$D$500,MATCH($K2075&amp;"|"&amp;$L2075,SupplierRates!$A$5:$A$500,0)),0))</f>
        <v/>
      </c>
      <c r="Q2075" s="26" t="str">
        <f aca="false">IF(OR($D2075="",$J2075&lt;&gt;"Supplier"),"",IFERROR(INDEX(SupplierRates!$E$5:$E$500,MATCH($K2075&amp;"|"&amp;$L2075,SupplierRates!$A$5:$A$500,0)),0))</f>
        <v/>
      </c>
      <c r="R2075" s="26" t="n">
        <f aca="false">IF(OR($D2075="",$J2075&lt;&gt;"Supplier"),0,F2075*P2075+G2075*Q2075)</f>
        <v>0</v>
      </c>
      <c r="S2075" s="26" t="n">
        <f aca="false">IF(OR($D2075="",$J2075&lt;&gt;"Own"),0,IFERROR((F2075+G2075*Settings!$B$13)*INDEX(Workers!$V$5:$V$2004,MATCH($D2075,Workers!$A$5:$A$2004,0)),0))</f>
        <v>0</v>
      </c>
      <c r="T2075" s="26" t="str">
        <f aca="false">IF($D2075="","",O2075-R2075-S2075)</f>
        <v/>
      </c>
    </row>
    <row r="2076" customFormat="false" ht="15" hidden="false" customHeight="false" outlineLevel="0" collapsed="false">
      <c r="I2076" s="24" t="str">
        <f aca="false">IF($D2076="","",IFERROR(INDEX(Workers!$B$5:$B$2004,MATCH($D2076,Workers!$A$5:$A$2004,0)),"NOT FOUND"))</f>
        <v/>
      </c>
      <c r="J2076" s="24" t="str">
        <f aca="false">IF($D2076="","",IFERROR(INDEX(Workers!$C$5:$C$2004,MATCH($D2076,Workers!$A$5:$A$2004,0)),""))</f>
        <v/>
      </c>
      <c r="K2076" s="24" t="str">
        <f aca="false">IF($D2076="","",IFERROR(IF(INDEX(Workers!$D$5:$D$2004,MATCH($D2076,Workers!$A$5:$A$2004,0))=0,"",INDEX(Workers!$D$5:$D$2004,MATCH($D2076,Workers!$A$5:$A$2004,0))),""))</f>
        <v/>
      </c>
      <c r="L2076" s="24" t="str">
        <f aca="false">IF($D2076="","",IFERROR(INDEX(Workers!$E$5:$E$2004,MATCH($D2076,Workers!$A$5:$A$2004,0)),""))</f>
        <v/>
      </c>
      <c r="M2076" s="26" t="str">
        <f aca="false">IF($D2076="","",IFERROR(INDEX(ClientRates!$D$5:$D$500,MATCH($B2076&amp;"|"&amp;$L2076,ClientRates!$A$5:$A$500,0)),0))</f>
        <v/>
      </c>
      <c r="N2076" s="26" t="str">
        <f aca="false">IF($D2076="","",IFERROR(INDEX(ClientRates!$E$5:$E$500,MATCH($B2076&amp;"|"&amp;$L2076,ClientRates!$A$5:$A$500,0)),0))</f>
        <v/>
      </c>
      <c r="O2076" s="26" t="str">
        <f aca="false">IF($D2076="","",F2076*M2076+G2076*N2076)</f>
        <v/>
      </c>
      <c r="P2076" s="26" t="str">
        <f aca="false">IF(OR($D2076="",$J2076&lt;&gt;"Supplier"),"",IFERROR(INDEX(SupplierRates!$D$5:$D$500,MATCH($K2076&amp;"|"&amp;$L2076,SupplierRates!$A$5:$A$500,0)),0))</f>
        <v/>
      </c>
      <c r="Q2076" s="26" t="str">
        <f aca="false">IF(OR($D2076="",$J2076&lt;&gt;"Supplier"),"",IFERROR(INDEX(SupplierRates!$E$5:$E$500,MATCH($K2076&amp;"|"&amp;$L2076,SupplierRates!$A$5:$A$500,0)),0))</f>
        <v/>
      </c>
      <c r="R2076" s="26" t="n">
        <f aca="false">IF(OR($D2076="",$J2076&lt;&gt;"Supplier"),0,F2076*P2076+G2076*Q2076)</f>
        <v>0</v>
      </c>
      <c r="S2076" s="26" t="n">
        <f aca="false">IF(OR($D2076="",$J2076&lt;&gt;"Own"),0,IFERROR((F2076+G2076*Settings!$B$13)*INDEX(Workers!$V$5:$V$2004,MATCH($D2076,Workers!$A$5:$A$2004,0)),0))</f>
        <v>0</v>
      </c>
      <c r="T2076" s="26" t="str">
        <f aca="false">IF($D2076="","",O2076-R2076-S2076)</f>
        <v/>
      </c>
    </row>
    <row r="2077" customFormat="false" ht="15" hidden="false" customHeight="false" outlineLevel="0" collapsed="false">
      <c r="I2077" s="24" t="str">
        <f aca="false">IF($D2077="","",IFERROR(INDEX(Workers!$B$5:$B$2004,MATCH($D2077,Workers!$A$5:$A$2004,0)),"NOT FOUND"))</f>
        <v/>
      </c>
      <c r="J2077" s="24" t="str">
        <f aca="false">IF($D2077="","",IFERROR(INDEX(Workers!$C$5:$C$2004,MATCH($D2077,Workers!$A$5:$A$2004,0)),""))</f>
        <v/>
      </c>
      <c r="K2077" s="24" t="str">
        <f aca="false">IF($D2077="","",IFERROR(IF(INDEX(Workers!$D$5:$D$2004,MATCH($D2077,Workers!$A$5:$A$2004,0))=0,"",INDEX(Workers!$D$5:$D$2004,MATCH($D2077,Workers!$A$5:$A$2004,0))),""))</f>
        <v/>
      </c>
      <c r="L2077" s="24" t="str">
        <f aca="false">IF($D2077="","",IFERROR(INDEX(Workers!$E$5:$E$2004,MATCH($D2077,Workers!$A$5:$A$2004,0)),""))</f>
        <v/>
      </c>
      <c r="M2077" s="26" t="str">
        <f aca="false">IF($D2077="","",IFERROR(INDEX(ClientRates!$D$5:$D$500,MATCH($B2077&amp;"|"&amp;$L2077,ClientRates!$A$5:$A$500,0)),0))</f>
        <v/>
      </c>
      <c r="N2077" s="26" t="str">
        <f aca="false">IF($D2077="","",IFERROR(INDEX(ClientRates!$E$5:$E$500,MATCH($B2077&amp;"|"&amp;$L2077,ClientRates!$A$5:$A$500,0)),0))</f>
        <v/>
      </c>
      <c r="O2077" s="26" t="str">
        <f aca="false">IF($D2077="","",F2077*M2077+G2077*N2077)</f>
        <v/>
      </c>
      <c r="P2077" s="26" t="str">
        <f aca="false">IF(OR($D2077="",$J2077&lt;&gt;"Supplier"),"",IFERROR(INDEX(SupplierRates!$D$5:$D$500,MATCH($K2077&amp;"|"&amp;$L2077,SupplierRates!$A$5:$A$500,0)),0))</f>
        <v/>
      </c>
      <c r="Q2077" s="26" t="str">
        <f aca="false">IF(OR($D2077="",$J2077&lt;&gt;"Supplier"),"",IFERROR(INDEX(SupplierRates!$E$5:$E$500,MATCH($K2077&amp;"|"&amp;$L2077,SupplierRates!$A$5:$A$500,0)),0))</f>
        <v/>
      </c>
      <c r="R2077" s="26" t="n">
        <f aca="false">IF(OR($D2077="",$J2077&lt;&gt;"Supplier"),0,F2077*P2077+G2077*Q2077)</f>
        <v>0</v>
      </c>
      <c r="S2077" s="26" t="n">
        <f aca="false">IF(OR($D2077="",$J2077&lt;&gt;"Own"),0,IFERROR((F2077+G2077*Settings!$B$13)*INDEX(Workers!$V$5:$V$2004,MATCH($D2077,Workers!$A$5:$A$2004,0)),0))</f>
        <v>0</v>
      </c>
      <c r="T2077" s="26" t="str">
        <f aca="false">IF($D2077="","",O2077-R2077-S2077)</f>
        <v/>
      </c>
    </row>
    <row r="2078" customFormat="false" ht="15" hidden="false" customHeight="false" outlineLevel="0" collapsed="false">
      <c r="I2078" s="24" t="str">
        <f aca="false">IF($D2078="","",IFERROR(INDEX(Workers!$B$5:$B$2004,MATCH($D2078,Workers!$A$5:$A$2004,0)),"NOT FOUND"))</f>
        <v/>
      </c>
      <c r="J2078" s="24" t="str">
        <f aca="false">IF($D2078="","",IFERROR(INDEX(Workers!$C$5:$C$2004,MATCH($D2078,Workers!$A$5:$A$2004,0)),""))</f>
        <v/>
      </c>
      <c r="K2078" s="24" t="str">
        <f aca="false">IF($D2078="","",IFERROR(IF(INDEX(Workers!$D$5:$D$2004,MATCH($D2078,Workers!$A$5:$A$2004,0))=0,"",INDEX(Workers!$D$5:$D$2004,MATCH($D2078,Workers!$A$5:$A$2004,0))),""))</f>
        <v/>
      </c>
      <c r="L2078" s="24" t="str">
        <f aca="false">IF($D2078="","",IFERROR(INDEX(Workers!$E$5:$E$2004,MATCH($D2078,Workers!$A$5:$A$2004,0)),""))</f>
        <v/>
      </c>
      <c r="M2078" s="26" t="str">
        <f aca="false">IF($D2078="","",IFERROR(INDEX(ClientRates!$D$5:$D$500,MATCH($B2078&amp;"|"&amp;$L2078,ClientRates!$A$5:$A$500,0)),0))</f>
        <v/>
      </c>
      <c r="N2078" s="26" t="str">
        <f aca="false">IF($D2078="","",IFERROR(INDEX(ClientRates!$E$5:$E$500,MATCH($B2078&amp;"|"&amp;$L2078,ClientRates!$A$5:$A$500,0)),0))</f>
        <v/>
      </c>
      <c r="O2078" s="26" t="str">
        <f aca="false">IF($D2078="","",F2078*M2078+G2078*N2078)</f>
        <v/>
      </c>
      <c r="P2078" s="26" t="str">
        <f aca="false">IF(OR($D2078="",$J2078&lt;&gt;"Supplier"),"",IFERROR(INDEX(SupplierRates!$D$5:$D$500,MATCH($K2078&amp;"|"&amp;$L2078,SupplierRates!$A$5:$A$500,0)),0))</f>
        <v/>
      </c>
      <c r="Q2078" s="26" t="str">
        <f aca="false">IF(OR($D2078="",$J2078&lt;&gt;"Supplier"),"",IFERROR(INDEX(SupplierRates!$E$5:$E$500,MATCH($K2078&amp;"|"&amp;$L2078,SupplierRates!$A$5:$A$500,0)),0))</f>
        <v/>
      </c>
      <c r="R2078" s="26" t="n">
        <f aca="false">IF(OR($D2078="",$J2078&lt;&gt;"Supplier"),0,F2078*P2078+G2078*Q2078)</f>
        <v>0</v>
      </c>
      <c r="S2078" s="26" t="n">
        <f aca="false">IF(OR($D2078="",$J2078&lt;&gt;"Own"),0,IFERROR((F2078+G2078*Settings!$B$13)*INDEX(Workers!$V$5:$V$2004,MATCH($D2078,Workers!$A$5:$A$2004,0)),0))</f>
        <v>0</v>
      </c>
      <c r="T2078" s="26" t="str">
        <f aca="false">IF($D2078="","",O2078-R2078-S2078)</f>
        <v/>
      </c>
    </row>
    <row r="2079" customFormat="false" ht="15" hidden="false" customHeight="false" outlineLevel="0" collapsed="false">
      <c r="I2079" s="24" t="str">
        <f aca="false">IF($D2079="","",IFERROR(INDEX(Workers!$B$5:$B$2004,MATCH($D2079,Workers!$A$5:$A$2004,0)),"NOT FOUND"))</f>
        <v/>
      </c>
      <c r="J2079" s="24" t="str">
        <f aca="false">IF($D2079="","",IFERROR(INDEX(Workers!$C$5:$C$2004,MATCH($D2079,Workers!$A$5:$A$2004,0)),""))</f>
        <v/>
      </c>
      <c r="K2079" s="24" t="str">
        <f aca="false">IF($D2079="","",IFERROR(IF(INDEX(Workers!$D$5:$D$2004,MATCH($D2079,Workers!$A$5:$A$2004,0))=0,"",INDEX(Workers!$D$5:$D$2004,MATCH($D2079,Workers!$A$5:$A$2004,0))),""))</f>
        <v/>
      </c>
      <c r="L2079" s="24" t="str">
        <f aca="false">IF($D2079="","",IFERROR(INDEX(Workers!$E$5:$E$2004,MATCH($D2079,Workers!$A$5:$A$2004,0)),""))</f>
        <v/>
      </c>
      <c r="M2079" s="26" t="str">
        <f aca="false">IF($D2079="","",IFERROR(INDEX(ClientRates!$D$5:$D$500,MATCH($B2079&amp;"|"&amp;$L2079,ClientRates!$A$5:$A$500,0)),0))</f>
        <v/>
      </c>
      <c r="N2079" s="26" t="str">
        <f aca="false">IF($D2079="","",IFERROR(INDEX(ClientRates!$E$5:$E$500,MATCH($B2079&amp;"|"&amp;$L2079,ClientRates!$A$5:$A$500,0)),0))</f>
        <v/>
      </c>
      <c r="O2079" s="26" t="str">
        <f aca="false">IF($D2079="","",F2079*M2079+G2079*N2079)</f>
        <v/>
      </c>
      <c r="P2079" s="26" t="str">
        <f aca="false">IF(OR($D2079="",$J2079&lt;&gt;"Supplier"),"",IFERROR(INDEX(SupplierRates!$D$5:$D$500,MATCH($K2079&amp;"|"&amp;$L2079,SupplierRates!$A$5:$A$500,0)),0))</f>
        <v/>
      </c>
      <c r="Q2079" s="26" t="str">
        <f aca="false">IF(OR($D2079="",$J2079&lt;&gt;"Supplier"),"",IFERROR(INDEX(SupplierRates!$E$5:$E$500,MATCH($K2079&amp;"|"&amp;$L2079,SupplierRates!$A$5:$A$500,0)),0))</f>
        <v/>
      </c>
      <c r="R2079" s="26" t="n">
        <f aca="false">IF(OR($D2079="",$J2079&lt;&gt;"Supplier"),0,F2079*P2079+G2079*Q2079)</f>
        <v>0</v>
      </c>
      <c r="S2079" s="26" t="n">
        <f aca="false">IF(OR($D2079="",$J2079&lt;&gt;"Own"),0,IFERROR((F2079+G2079*Settings!$B$13)*INDEX(Workers!$V$5:$V$2004,MATCH($D2079,Workers!$A$5:$A$2004,0)),0))</f>
        <v>0</v>
      </c>
      <c r="T2079" s="26" t="str">
        <f aca="false">IF($D2079="","",O2079-R2079-S2079)</f>
        <v/>
      </c>
    </row>
    <row r="2080" customFormat="false" ht="15" hidden="false" customHeight="false" outlineLevel="0" collapsed="false">
      <c r="I2080" s="24" t="str">
        <f aca="false">IF($D2080="","",IFERROR(INDEX(Workers!$B$5:$B$2004,MATCH($D2080,Workers!$A$5:$A$2004,0)),"NOT FOUND"))</f>
        <v/>
      </c>
      <c r="J2080" s="24" t="str">
        <f aca="false">IF($D2080="","",IFERROR(INDEX(Workers!$C$5:$C$2004,MATCH($D2080,Workers!$A$5:$A$2004,0)),""))</f>
        <v/>
      </c>
      <c r="K2080" s="24" t="str">
        <f aca="false">IF($D2080="","",IFERROR(IF(INDEX(Workers!$D$5:$D$2004,MATCH($D2080,Workers!$A$5:$A$2004,0))=0,"",INDEX(Workers!$D$5:$D$2004,MATCH($D2080,Workers!$A$5:$A$2004,0))),""))</f>
        <v/>
      </c>
      <c r="L2080" s="24" t="str">
        <f aca="false">IF($D2080="","",IFERROR(INDEX(Workers!$E$5:$E$2004,MATCH($D2080,Workers!$A$5:$A$2004,0)),""))</f>
        <v/>
      </c>
      <c r="M2080" s="26" t="str">
        <f aca="false">IF($D2080="","",IFERROR(INDEX(ClientRates!$D$5:$D$500,MATCH($B2080&amp;"|"&amp;$L2080,ClientRates!$A$5:$A$500,0)),0))</f>
        <v/>
      </c>
      <c r="N2080" s="26" t="str">
        <f aca="false">IF($D2080="","",IFERROR(INDEX(ClientRates!$E$5:$E$500,MATCH($B2080&amp;"|"&amp;$L2080,ClientRates!$A$5:$A$500,0)),0))</f>
        <v/>
      </c>
      <c r="O2080" s="26" t="str">
        <f aca="false">IF($D2080="","",F2080*M2080+G2080*N2080)</f>
        <v/>
      </c>
      <c r="P2080" s="26" t="str">
        <f aca="false">IF(OR($D2080="",$J2080&lt;&gt;"Supplier"),"",IFERROR(INDEX(SupplierRates!$D$5:$D$500,MATCH($K2080&amp;"|"&amp;$L2080,SupplierRates!$A$5:$A$500,0)),0))</f>
        <v/>
      </c>
      <c r="Q2080" s="26" t="str">
        <f aca="false">IF(OR($D2080="",$J2080&lt;&gt;"Supplier"),"",IFERROR(INDEX(SupplierRates!$E$5:$E$500,MATCH($K2080&amp;"|"&amp;$L2080,SupplierRates!$A$5:$A$500,0)),0))</f>
        <v/>
      </c>
      <c r="R2080" s="26" t="n">
        <f aca="false">IF(OR($D2080="",$J2080&lt;&gt;"Supplier"),0,F2080*P2080+G2080*Q2080)</f>
        <v>0</v>
      </c>
      <c r="S2080" s="26" t="n">
        <f aca="false">IF(OR($D2080="",$J2080&lt;&gt;"Own"),0,IFERROR((F2080+G2080*Settings!$B$13)*INDEX(Workers!$V$5:$V$2004,MATCH($D2080,Workers!$A$5:$A$2004,0)),0))</f>
        <v>0</v>
      </c>
      <c r="T2080" s="26" t="str">
        <f aca="false">IF($D2080="","",O2080-R2080-S2080)</f>
        <v/>
      </c>
    </row>
    <row r="2081" customFormat="false" ht="15" hidden="false" customHeight="false" outlineLevel="0" collapsed="false">
      <c r="I2081" s="24" t="str">
        <f aca="false">IF($D2081="","",IFERROR(INDEX(Workers!$B$5:$B$2004,MATCH($D2081,Workers!$A$5:$A$2004,0)),"NOT FOUND"))</f>
        <v/>
      </c>
      <c r="J2081" s="24" t="str">
        <f aca="false">IF($D2081="","",IFERROR(INDEX(Workers!$C$5:$C$2004,MATCH($D2081,Workers!$A$5:$A$2004,0)),""))</f>
        <v/>
      </c>
      <c r="K2081" s="24" t="str">
        <f aca="false">IF($D2081="","",IFERROR(IF(INDEX(Workers!$D$5:$D$2004,MATCH($D2081,Workers!$A$5:$A$2004,0))=0,"",INDEX(Workers!$D$5:$D$2004,MATCH($D2081,Workers!$A$5:$A$2004,0))),""))</f>
        <v/>
      </c>
      <c r="L2081" s="24" t="str">
        <f aca="false">IF($D2081="","",IFERROR(INDEX(Workers!$E$5:$E$2004,MATCH($D2081,Workers!$A$5:$A$2004,0)),""))</f>
        <v/>
      </c>
      <c r="M2081" s="26" t="str">
        <f aca="false">IF($D2081="","",IFERROR(INDEX(ClientRates!$D$5:$D$500,MATCH($B2081&amp;"|"&amp;$L2081,ClientRates!$A$5:$A$500,0)),0))</f>
        <v/>
      </c>
      <c r="N2081" s="26" t="str">
        <f aca="false">IF($D2081="","",IFERROR(INDEX(ClientRates!$E$5:$E$500,MATCH($B2081&amp;"|"&amp;$L2081,ClientRates!$A$5:$A$500,0)),0))</f>
        <v/>
      </c>
      <c r="O2081" s="26" t="str">
        <f aca="false">IF($D2081="","",F2081*M2081+G2081*N2081)</f>
        <v/>
      </c>
      <c r="P2081" s="26" t="str">
        <f aca="false">IF(OR($D2081="",$J2081&lt;&gt;"Supplier"),"",IFERROR(INDEX(SupplierRates!$D$5:$D$500,MATCH($K2081&amp;"|"&amp;$L2081,SupplierRates!$A$5:$A$500,0)),0))</f>
        <v/>
      </c>
      <c r="Q2081" s="26" t="str">
        <f aca="false">IF(OR($D2081="",$J2081&lt;&gt;"Supplier"),"",IFERROR(INDEX(SupplierRates!$E$5:$E$500,MATCH($K2081&amp;"|"&amp;$L2081,SupplierRates!$A$5:$A$500,0)),0))</f>
        <v/>
      </c>
      <c r="R2081" s="26" t="n">
        <f aca="false">IF(OR($D2081="",$J2081&lt;&gt;"Supplier"),0,F2081*P2081+G2081*Q2081)</f>
        <v>0</v>
      </c>
      <c r="S2081" s="26" t="n">
        <f aca="false">IF(OR($D2081="",$J2081&lt;&gt;"Own"),0,IFERROR((F2081+G2081*Settings!$B$13)*INDEX(Workers!$V$5:$V$2004,MATCH($D2081,Workers!$A$5:$A$2004,0)),0))</f>
        <v>0</v>
      </c>
      <c r="T2081" s="26" t="str">
        <f aca="false">IF($D2081="","",O2081-R2081-S2081)</f>
        <v/>
      </c>
    </row>
    <row r="2082" customFormat="false" ht="15" hidden="false" customHeight="false" outlineLevel="0" collapsed="false">
      <c r="I2082" s="24" t="str">
        <f aca="false">IF($D2082="","",IFERROR(INDEX(Workers!$B$5:$B$2004,MATCH($D2082,Workers!$A$5:$A$2004,0)),"NOT FOUND"))</f>
        <v/>
      </c>
      <c r="J2082" s="24" t="str">
        <f aca="false">IF($D2082="","",IFERROR(INDEX(Workers!$C$5:$C$2004,MATCH($D2082,Workers!$A$5:$A$2004,0)),""))</f>
        <v/>
      </c>
      <c r="K2082" s="24" t="str">
        <f aca="false">IF($D2082="","",IFERROR(IF(INDEX(Workers!$D$5:$D$2004,MATCH($D2082,Workers!$A$5:$A$2004,0))=0,"",INDEX(Workers!$D$5:$D$2004,MATCH($D2082,Workers!$A$5:$A$2004,0))),""))</f>
        <v/>
      </c>
      <c r="L2082" s="24" t="str">
        <f aca="false">IF($D2082="","",IFERROR(INDEX(Workers!$E$5:$E$2004,MATCH($D2082,Workers!$A$5:$A$2004,0)),""))</f>
        <v/>
      </c>
      <c r="M2082" s="26" t="str">
        <f aca="false">IF($D2082="","",IFERROR(INDEX(ClientRates!$D$5:$D$500,MATCH($B2082&amp;"|"&amp;$L2082,ClientRates!$A$5:$A$500,0)),0))</f>
        <v/>
      </c>
      <c r="N2082" s="26" t="str">
        <f aca="false">IF($D2082="","",IFERROR(INDEX(ClientRates!$E$5:$E$500,MATCH($B2082&amp;"|"&amp;$L2082,ClientRates!$A$5:$A$500,0)),0))</f>
        <v/>
      </c>
      <c r="O2082" s="26" t="str">
        <f aca="false">IF($D2082="","",F2082*M2082+G2082*N2082)</f>
        <v/>
      </c>
      <c r="P2082" s="26" t="str">
        <f aca="false">IF(OR($D2082="",$J2082&lt;&gt;"Supplier"),"",IFERROR(INDEX(SupplierRates!$D$5:$D$500,MATCH($K2082&amp;"|"&amp;$L2082,SupplierRates!$A$5:$A$500,0)),0))</f>
        <v/>
      </c>
      <c r="Q2082" s="26" t="str">
        <f aca="false">IF(OR($D2082="",$J2082&lt;&gt;"Supplier"),"",IFERROR(INDEX(SupplierRates!$E$5:$E$500,MATCH($K2082&amp;"|"&amp;$L2082,SupplierRates!$A$5:$A$500,0)),0))</f>
        <v/>
      </c>
      <c r="R2082" s="26" t="n">
        <f aca="false">IF(OR($D2082="",$J2082&lt;&gt;"Supplier"),0,F2082*P2082+G2082*Q2082)</f>
        <v>0</v>
      </c>
      <c r="S2082" s="26" t="n">
        <f aca="false">IF(OR($D2082="",$J2082&lt;&gt;"Own"),0,IFERROR((F2082+G2082*Settings!$B$13)*INDEX(Workers!$V$5:$V$2004,MATCH($D2082,Workers!$A$5:$A$2004,0)),0))</f>
        <v>0</v>
      </c>
      <c r="T2082" s="26" t="str">
        <f aca="false">IF($D2082="","",O2082-R2082-S2082)</f>
        <v/>
      </c>
    </row>
    <row r="2083" customFormat="false" ht="15" hidden="false" customHeight="false" outlineLevel="0" collapsed="false">
      <c r="I2083" s="24" t="str">
        <f aca="false">IF($D2083="","",IFERROR(INDEX(Workers!$B$5:$B$2004,MATCH($D2083,Workers!$A$5:$A$2004,0)),"NOT FOUND"))</f>
        <v/>
      </c>
      <c r="J2083" s="24" t="str">
        <f aca="false">IF($D2083="","",IFERROR(INDEX(Workers!$C$5:$C$2004,MATCH($D2083,Workers!$A$5:$A$2004,0)),""))</f>
        <v/>
      </c>
      <c r="K2083" s="24" t="str">
        <f aca="false">IF($D2083="","",IFERROR(IF(INDEX(Workers!$D$5:$D$2004,MATCH($D2083,Workers!$A$5:$A$2004,0))=0,"",INDEX(Workers!$D$5:$D$2004,MATCH($D2083,Workers!$A$5:$A$2004,0))),""))</f>
        <v/>
      </c>
      <c r="L2083" s="24" t="str">
        <f aca="false">IF($D2083="","",IFERROR(INDEX(Workers!$E$5:$E$2004,MATCH($D2083,Workers!$A$5:$A$2004,0)),""))</f>
        <v/>
      </c>
      <c r="M2083" s="26" t="str">
        <f aca="false">IF($D2083="","",IFERROR(INDEX(ClientRates!$D$5:$D$500,MATCH($B2083&amp;"|"&amp;$L2083,ClientRates!$A$5:$A$500,0)),0))</f>
        <v/>
      </c>
      <c r="N2083" s="26" t="str">
        <f aca="false">IF($D2083="","",IFERROR(INDEX(ClientRates!$E$5:$E$500,MATCH($B2083&amp;"|"&amp;$L2083,ClientRates!$A$5:$A$500,0)),0))</f>
        <v/>
      </c>
      <c r="O2083" s="26" t="str">
        <f aca="false">IF($D2083="","",F2083*M2083+G2083*N2083)</f>
        <v/>
      </c>
      <c r="P2083" s="26" t="str">
        <f aca="false">IF(OR($D2083="",$J2083&lt;&gt;"Supplier"),"",IFERROR(INDEX(SupplierRates!$D$5:$D$500,MATCH($K2083&amp;"|"&amp;$L2083,SupplierRates!$A$5:$A$500,0)),0))</f>
        <v/>
      </c>
      <c r="Q2083" s="26" t="str">
        <f aca="false">IF(OR($D2083="",$J2083&lt;&gt;"Supplier"),"",IFERROR(INDEX(SupplierRates!$E$5:$E$500,MATCH($K2083&amp;"|"&amp;$L2083,SupplierRates!$A$5:$A$500,0)),0))</f>
        <v/>
      </c>
      <c r="R2083" s="26" t="n">
        <f aca="false">IF(OR($D2083="",$J2083&lt;&gt;"Supplier"),0,F2083*P2083+G2083*Q2083)</f>
        <v>0</v>
      </c>
      <c r="S2083" s="26" t="n">
        <f aca="false">IF(OR($D2083="",$J2083&lt;&gt;"Own"),0,IFERROR((F2083+G2083*Settings!$B$13)*INDEX(Workers!$V$5:$V$2004,MATCH($D2083,Workers!$A$5:$A$2004,0)),0))</f>
        <v>0</v>
      </c>
      <c r="T2083" s="26" t="str">
        <f aca="false">IF($D2083="","",O2083-R2083-S2083)</f>
        <v/>
      </c>
    </row>
    <row r="2084" customFormat="false" ht="15" hidden="false" customHeight="false" outlineLevel="0" collapsed="false">
      <c r="I2084" s="24" t="str">
        <f aca="false">IF($D2084="","",IFERROR(INDEX(Workers!$B$5:$B$2004,MATCH($D2084,Workers!$A$5:$A$2004,0)),"NOT FOUND"))</f>
        <v/>
      </c>
      <c r="J2084" s="24" t="str">
        <f aca="false">IF($D2084="","",IFERROR(INDEX(Workers!$C$5:$C$2004,MATCH($D2084,Workers!$A$5:$A$2004,0)),""))</f>
        <v/>
      </c>
      <c r="K2084" s="24" t="str">
        <f aca="false">IF($D2084="","",IFERROR(IF(INDEX(Workers!$D$5:$D$2004,MATCH($D2084,Workers!$A$5:$A$2004,0))=0,"",INDEX(Workers!$D$5:$D$2004,MATCH($D2084,Workers!$A$5:$A$2004,0))),""))</f>
        <v/>
      </c>
      <c r="L2084" s="24" t="str">
        <f aca="false">IF($D2084="","",IFERROR(INDEX(Workers!$E$5:$E$2004,MATCH($D2084,Workers!$A$5:$A$2004,0)),""))</f>
        <v/>
      </c>
      <c r="M2084" s="26" t="str">
        <f aca="false">IF($D2084="","",IFERROR(INDEX(ClientRates!$D$5:$D$500,MATCH($B2084&amp;"|"&amp;$L2084,ClientRates!$A$5:$A$500,0)),0))</f>
        <v/>
      </c>
      <c r="N2084" s="26" t="str">
        <f aca="false">IF($D2084="","",IFERROR(INDEX(ClientRates!$E$5:$E$500,MATCH($B2084&amp;"|"&amp;$L2084,ClientRates!$A$5:$A$500,0)),0))</f>
        <v/>
      </c>
      <c r="O2084" s="26" t="str">
        <f aca="false">IF($D2084="","",F2084*M2084+G2084*N2084)</f>
        <v/>
      </c>
      <c r="P2084" s="26" t="str">
        <f aca="false">IF(OR($D2084="",$J2084&lt;&gt;"Supplier"),"",IFERROR(INDEX(SupplierRates!$D$5:$D$500,MATCH($K2084&amp;"|"&amp;$L2084,SupplierRates!$A$5:$A$500,0)),0))</f>
        <v/>
      </c>
      <c r="Q2084" s="26" t="str">
        <f aca="false">IF(OR($D2084="",$J2084&lt;&gt;"Supplier"),"",IFERROR(INDEX(SupplierRates!$E$5:$E$500,MATCH($K2084&amp;"|"&amp;$L2084,SupplierRates!$A$5:$A$500,0)),0))</f>
        <v/>
      </c>
      <c r="R2084" s="26" t="n">
        <f aca="false">IF(OR($D2084="",$J2084&lt;&gt;"Supplier"),0,F2084*P2084+G2084*Q2084)</f>
        <v>0</v>
      </c>
      <c r="S2084" s="26" t="n">
        <f aca="false">IF(OR($D2084="",$J2084&lt;&gt;"Own"),0,IFERROR((F2084+G2084*Settings!$B$13)*INDEX(Workers!$V$5:$V$2004,MATCH($D2084,Workers!$A$5:$A$2004,0)),0))</f>
        <v>0</v>
      </c>
      <c r="T2084" s="26" t="str">
        <f aca="false">IF($D2084="","",O2084-R2084-S2084)</f>
        <v/>
      </c>
    </row>
    <row r="2085" customFormat="false" ht="15" hidden="false" customHeight="false" outlineLevel="0" collapsed="false">
      <c r="I2085" s="24" t="str">
        <f aca="false">IF($D2085="","",IFERROR(INDEX(Workers!$B$5:$B$2004,MATCH($D2085,Workers!$A$5:$A$2004,0)),"NOT FOUND"))</f>
        <v/>
      </c>
      <c r="J2085" s="24" t="str">
        <f aca="false">IF($D2085="","",IFERROR(INDEX(Workers!$C$5:$C$2004,MATCH($D2085,Workers!$A$5:$A$2004,0)),""))</f>
        <v/>
      </c>
      <c r="K2085" s="24" t="str">
        <f aca="false">IF($D2085="","",IFERROR(IF(INDEX(Workers!$D$5:$D$2004,MATCH($D2085,Workers!$A$5:$A$2004,0))=0,"",INDEX(Workers!$D$5:$D$2004,MATCH($D2085,Workers!$A$5:$A$2004,0))),""))</f>
        <v/>
      </c>
      <c r="L2085" s="24" t="str">
        <f aca="false">IF($D2085="","",IFERROR(INDEX(Workers!$E$5:$E$2004,MATCH($D2085,Workers!$A$5:$A$2004,0)),""))</f>
        <v/>
      </c>
      <c r="M2085" s="26" t="str">
        <f aca="false">IF($D2085="","",IFERROR(INDEX(ClientRates!$D$5:$D$500,MATCH($B2085&amp;"|"&amp;$L2085,ClientRates!$A$5:$A$500,0)),0))</f>
        <v/>
      </c>
      <c r="N2085" s="26" t="str">
        <f aca="false">IF($D2085="","",IFERROR(INDEX(ClientRates!$E$5:$E$500,MATCH($B2085&amp;"|"&amp;$L2085,ClientRates!$A$5:$A$500,0)),0))</f>
        <v/>
      </c>
      <c r="O2085" s="26" t="str">
        <f aca="false">IF($D2085="","",F2085*M2085+G2085*N2085)</f>
        <v/>
      </c>
      <c r="P2085" s="26" t="str">
        <f aca="false">IF(OR($D2085="",$J2085&lt;&gt;"Supplier"),"",IFERROR(INDEX(SupplierRates!$D$5:$D$500,MATCH($K2085&amp;"|"&amp;$L2085,SupplierRates!$A$5:$A$500,0)),0))</f>
        <v/>
      </c>
      <c r="Q2085" s="26" t="str">
        <f aca="false">IF(OR($D2085="",$J2085&lt;&gt;"Supplier"),"",IFERROR(INDEX(SupplierRates!$E$5:$E$500,MATCH($K2085&amp;"|"&amp;$L2085,SupplierRates!$A$5:$A$500,0)),0))</f>
        <v/>
      </c>
      <c r="R2085" s="26" t="n">
        <f aca="false">IF(OR($D2085="",$J2085&lt;&gt;"Supplier"),0,F2085*P2085+G2085*Q2085)</f>
        <v>0</v>
      </c>
      <c r="S2085" s="26" t="n">
        <f aca="false">IF(OR($D2085="",$J2085&lt;&gt;"Own"),0,IFERROR((F2085+G2085*Settings!$B$13)*INDEX(Workers!$V$5:$V$2004,MATCH($D2085,Workers!$A$5:$A$2004,0)),0))</f>
        <v>0</v>
      </c>
      <c r="T2085" s="26" t="str">
        <f aca="false">IF($D2085="","",O2085-R2085-S2085)</f>
        <v/>
      </c>
    </row>
    <row r="2086" customFormat="false" ht="15" hidden="false" customHeight="false" outlineLevel="0" collapsed="false">
      <c r="I2086" s="24" t="str">
        <f aca="false">IF($D2086="","",IFERROR(INDEX(Workers!$B$5:$B$2004,MATCH($D2086,Workers!$A$5:$A$2004,0)),"NOT FOUND"))</f>
        <v/>
      </c>
      <c r="J2086" s="24" t="str">
        <f aca="false">IF($D2086="","",IFERROR(INDEX(Workers!$C$5:$C$2004,MATCH($D2086,Workers!$A$5:$A$2004,0)),""))</f>
        <v/>
      </c>
      <c r="K2086" s="24" t="str">
        <f aca="false">IF($D2086="","",IFERROR(IF(INDEX(Workers!$D$5:$D$2004,MATCH($D2086,Workers!$A$5:$A$2004,0))=0,"",INDEX(Workers!$D$5:$D$2004,MATCH($D2086,Workers!$A$5:$A$2004,0))),""))</f>
        <v/>
      </c>
      <c r="L2086" s="24" t="str">
        <f aca="false">IF($D2086="","",IFERROR(INDEX(Workers!$E$5:$E$2004,MATCH($D2086,Workers!$A$5:$A$2004,0)),""))</f>
        <v/>
      </c>
      <c r="M2086" s="26" t="str">
        <f aca="false">IF($D2086="","",IFERROR(INDEX(ClientRates!$D$5:$D$500,MATCH($B2086&amp;"|"&amp;$L2086,ClientRates!$A$5:$A$500,0)),0))</f>
        <v/>
      </c>
      <c r="N2086" s="26" t="str">
        <f aca="false">IF($D2086="","",IFERROR(INDEX(ClientRates!$E$5:$E$500,MATCH($B2086&amp;"|"&amp;$L2086,ClientRates!$A$5:$A$500,0)),0))</f>
        <v/>
      </c>
      <c r="O2086" s="26" t="str">
        <f aca="false">IF($D2086="","",F2086*M2086+G2086*N2086)</f>
        <v/>
      </c>
      <c r="P2086" s="26" t="str">
        <f aca="false">IF(OR($D2086="",$J2086&lt;&gt;"Supplier"),"",IFERROR(INDEX(SupplierRates!$D$5:$D$500,MATCH($K2086&amp;"|"&amp;$L2086,SupplierRates!$A$5:$A$500,0)),0))</f>
        <v/>
      </c>
      <c r="Q2086" s="26" t="str">
        <f aca="false">IF(OR($D2086="",$J2086&lt;&gt;"Supplier"),"",IFERROR(INDEX(SupplierRates!$E$5:$E$500,MATCH($K2086&amp;"|"&amp;$L2086,SupplierRates!$A$5:$A$500,0)),0))</f>
        <v/>
      </c>
      <c r="R2086" s="26" t="n">
        <f aca="false">IF(OR($D2086="",$J2086&lt;&gt;"Supplier"),0,F2086*P2086+G2086*Q2086)</f>
        <v>0</v>
      </c>
      <c r="S2086" s="26" t="n">
        <f aca="false">IF(OR($D2086="",$J2086&lt;&gt;"Own"),0,IFERROR((F2086+G2086*Settings!$B$13)*INDEX(Workers!$V$5:$V$2004,MATCH($D2086,Workers!$A$5:$A$2004,0)),0))</f>
        <v>0</v>
      </c>
      <c r="T2086" s="26" t="str">
        <f aca="false">IF($D2086="","",O2086-R2086-S2086)</f>
        <v/>
      </c>
    </row>
    <row r="2087" customFormat="false" ht="15" hidden="false" customHeight="false" outlineLevel="0" collapsed="false">
      <c r="I2087" s="24" t="str">
        <f aca="false">IF($D2087="","",IFERROR(INDEX(Workers!$B$5:$B$2004,MATCH($D2087,Workers!$A$5:$A$2004,0)),"NOT FOUND"))</f>
        <v/>
      </c>
      <c r="J2087" s="24" t="str">
        <f aca="false">IF($D2087="","",IFERROR(INDEX(Workers!$C$5:$C$2004,MATCH($D2087,Workers!$A$5:$A$2004,0)),""))</f>
        <v/>
      </c>
      <c r="K2087" s="24" t="str">
        <f aca="false">IF($D2087="","",IFERROR(IF(INDEX(Workers!$D$5:$D$2004,MATCH($D2087,Workers!$A$5:$A$2004,0))=0,"",INDEX(Workers!$D$5:$D$2004,MATCH($D2087,Workers!$A$5:$A$2004,0))),""))</f>
        <v/>
      </c>
      <c r="L2087" s="24" t="str">
        <f aca="false">IF($D2087="","",IFERROR(INDEX(Workers!$E$5:$E$2004,MATCH($D2087,Workers!$A$5:$A$2004,0)),""))</f>
        <v/>
      </c>
      <c r="M2087" s="26" t="str">
        <f aca="false">IF($D2087="","",IFERROR(INDEX(ClientRates!$D$5:$D$500,MATCH($B2087&amp;"|"&amp;$L2087,ClientRates!$A$5:$A$500,0)),0))</f>
        <v/>
      </c>
      <c r="N2087" s="26" t="str">
        <f aca="false">IF($D2087="","",IFERROR(INDEX(ClientRates!$E$5:$E$500,MATCH($B2087&amp;"|"&amp;$L2087,ClientRates!$A$5:$A$500,0)),0))</f>
        <v/>
      </c>
      <c r="O2087" s="26" t="str">
        <f aca="false">IF($D2087="","",F2087*M2087+G2087*N2087)</f>
        <v/>
      </c>
      <c r="P2087" s="26" t="str">
        <f aca="false">IF(OR($D2087="",$J2087&lt;&gt;"Supplier"),"",IFERROR(INDEX(SupplierRates!$D$5:$D$500,MATCH($K2087&amp;"|"&amp;$L2087,SupplierRates!$A$5:$A$500,0)),0))</f>
        <v/>
      </c>
      <c r="Q2087" s="26" t="str">
        <f aca="false">IF(OR($D2087="",$J2087&lt;&gt;"Supplier"),"",IFERROR(INDEX(SupplierRates!$E$5:$E$500,MATCH($K2087&amp;"|"&amp;$L2087,SupplierRates!$A$5:$A$500,0)),0))</f>
        <v/>
      </c>
      <c r="R2087" s="26" t="n">
        <f aca="false">IF(OR($D2087="",$J2087&lt;&gt;"Supplier"),0,F2087*P2087+G2087*Q2087)</f>
        <v>0</v>
      </c>
      <c r="S2087" s="26" t="n">
        <f aca="false">IF(OR($D2087="",$J2087&lt;&gt;"Own"),0,IFERROR((F2087+G2087*Settings!$B$13)*INDEX(Workers!$V$5:$V$2004,MATCH($D2087,Workers!$A$5:$A$2004,0)),0))</f>
        <v>0</v>
      </c>
      <c r="T2087" s="26" t="str">
        <f aca="false">IF($D2087="","",O2087-R2087-S2087)</f>
        <v/>
      </c>
    </row>
    <row r="2088" customFormat="false" ht="15" hidden="false" customHeight="false" outlineLevel="0" collapsed="false">
      <c r="I2088" s="24" t="str">
        <f aca="false">IF($D2088="","",IFERROR(INDEX(Workers!$B$5:$B$2004,MATCH($D2088,Workers!$A$5:$A$2004,0)),"NOT FOUND"))</f>
        <v/>
      </c>
      <c r="J2088" s="24" t="str">
        <f aca="false">IF($D2088="","",IFERROR(INDEX(Workers!$C$5:$C$2004,MATCH($D2088,Workers!$A$5:$A$2004,0)),""))</f>
        <v/>
      </c>
      <c r="K2088" s="24" t="str">
        <f aca="false">IF($D2088="","",IFERROR(IF(INDEX(Workers!$D$5:$D$2004,MATCH($D2088,Workers!$A$5:$A$2004,0))=0,"",INDEX(Workers!$D$5:$D$2004,MATCH($D2088,Workers!$A$5:$A$2004,0))),""))</f>
        <v/>
      </c>
      <c r="L2088" s="24" t="str">
        <f aca="false">IF($D2088="","",IFERROR(INDEX(Workers!$E$5:$E$2004,MATCH($D2088,Workers!$A$5:$A$2004,0)),""))</f>
        <v/>
      </c>
      <c r="M2088" s="26" t="str">
        <f aca="false">IF($D2088="","",IFERROR(INDEX(ClientRates!$D$5:$D$500,MATCH($B2088&amp;"|"&amp;$L2088,ClientRates!$A$5:$A$500,0)),0))</f>
        <v/>
      </c>
      <c r="N2088" s="26" t="str">
        <f aca="false">IF($D2088="","",IFERROR(INDEX(ClientRates!$E$5:$E$500,MATCH($B2088&amp;"|"&amp;$L2088,ClientRates!$A$5:$A$500,0)),0))</f>
        <v/>
      </c>
      <c r="O2088" s="26" t="str">
        <f aca="false">IF($D2088="","",F2088*M2088+G2088*N2088)</f>
        <v/>
      </c>
      <c r="P2088" s="26" t="str">
        <f aca="false">IF(OR($D2088="",$J2088&lt;&gt;"Supplier"),"",IFERROR(INDEX(SupplierRates!$D$5:$D$500,MATCH($K2088&amp;"|"&amp;$L2088,SupplierRates!$A$5:$A$500,0)),0))</f>
        <v/>
      </c>
      <c r="Q2088" s="26" t="str">
        <f aca="false">IF(OR($D2088="",$J2088&lt;&gt;"Supplier"),"",IFERROR(INDEX(SupplierRates!$E$5:$E$500,MATCH($K2088&amp;"|"&amp;$L2088,SupplierRates!$A$5:$A$500,0)),0))</f>
        <v/>
      </c>
      <c r="R2088" s="26" t="n">
        <f aca="false">IF(OR($D2088="",$J2088&lt;&gt;"Supplier"),0,F2088*P2088+G2088*Q2088)</f>
        <v>0</v>
      </c>
      <c r="S2088" s="26" t="n">
        <f aca="false">IF(OR($D2088="",$J2088&lt;&gt;"Own"),0,IFERROR((F2088+G2088*Settings!$B$13)*INDEX(Workers!$V$5:$V$2004,MATCH($D2088,Workers!$A$5:$A$2004,0)),0))</f>
        <v>0</v>
      </c>
      <c r="T2088" s="26" t="str">
        <f aca="false">IF($D2088="","",O2088-R2088-S2088)</f>
        <v/>
      </c>
    </row>
    <row r="2089" customFormat="false" ht="15" hidden="false" customHeight="false" outlineLevel="0" collapsed="false">
      <c r="I2089" s="24" t="str">
        <f aca="false">IF($D2089="","",IFERROR(INDEX(Workers!$B$5:$B$2004,MATCH($D2089,Workers!$A$5:$A$2004,0)),"NOT FOUND"))</f>
        <v/>
      </c>
      <c r="J2089" s="24" t="str">
        <f aca="false">IF($D2089="","",IFERROR(INDEX(Workers!$C$5:$C$2004,MATCH($D2089,Workers!$A$5:$A$2004,0)),""))</f>
        <v/>
      </c>
      <c r="K2089" s="24" t="str">
        <f aca="false">IF($D2089="","",IFERROR(IF(INDEX(Workers!$D$5:$D$2004,MATCH($D2089,Workers!$A$5:$A$2004,0))=0,"",INDEX(Workers!$D$5:$D$2004,MATCH($D2089,Workers!$A$5:$A$2004,0))),""))</f>
        <v/>
      </c>
      <c r="L2089" s="24" t="str">
        <f aca="false">IF($D2089="","",IFERROR(INDEX(Workers!$E$5:$E$2004,MATCH($D2089,Workers!$A$5:$A$2004,0)),""))</f>
        <v/>
      </c>
      <c r="M2089" s="26" t="str">
        <f aca="false">IF($D2089="","",IFERROR(INDEX(ClientRates!$D$5:$D$500,MATCH($B2089&amp;"|"&amp;$L2089,ClientRates!$A$5:$A$500,0)),0))</f>
        <v/>
      </c>
      <c r="N2089" s="26" t="str">
        <f aca="false">IF($D2089="","",IFERROR(INDEX(ClientRates!$E$5:$E$500,MATCH($B2089&amp;"|"&amp;$L2089,ClientRates!$A$5:$A$500,0)),0))</f>
        <v/>
      </c>
      <c r="O2089" s="26" t="str">
        <f aca="false">IF($D2089="","",F2089*M2089+G2089*N2089)</f>
        <v/>
      </c>
      <c r="P2089" s="26" t="str">
        <f aca="false">IF(OR($D2089="",$J2089&lt;&gt;"Supplier"),"",IFERROR(INDEX(SupplierRates!$D$5:$D$500,MATCH($K2089&amp;"|"&amp;$L2089,SupplierRates!$A$5:$A$500,0)),0))</f>
        <v/>
      </c>
      <c r="Q2089" s="26" t="str">
        <f aca="false">IF(OR($D2089="",$J2089&lt;&gt;"Supplier"),"",IFERROR(INDEX(SupplierRates!$E$5:$E$500,MATCH($K2089&amp;"|"&amp;$L2089,SupplierRates!$A$5:$A$500,0)),0))</f>
        <v/>
      </c>
      <c r="R2089" s="26" t="n">
        <f aca="false">IF(OR($D2089="",$J2089&lt;&gt;"Supplier"),0,F2089*P2089+G2089*Q2089)</f>
        <v>0</v>
      </c>
      <c r="S2089" s="26" t="n">
        <f aca="false">IF(OR($D2089="",$J2089&lt;&gt;"Own"),0,IFERROR((F2089+G2089*Settings!$B$13)*INDEX(Workers!$V$5:$V$2004,MATCH($D2089,Workers!$A$5:$A$2004,0)),0))</f>
        <v>0</v>
      </c>
      <c r="T2089" s="26" t="str">
        <f aca="false">IF($D2089="","",O2089-R2089-S2089)</f>
        <v/>
      </c>
    </row>
    <row r="2090" customFormat="false" ht="15" hidden="false" customHeight="false" outlineLevel="0" collapsed="false">
      <c r="I2090" s="24" t="str">
        <f aca="false">IF($D2090="","",IFERROR(INDEX(Workers!$B$5:$B$2004,MATCH($D2090,Workers!$A$5:$A$2004,0)),"NOT FOUND"))</f>
        <v/>
      </c>
      <c r="J2090" s="24" t="str">
        <f aca="false">IF($D2090="","",IFERROR(INDEX(Workers!$C$5:$C$2004,MATCH($D2090,Workers!$A$5:$A$2004,0)),""))</f>
        <v/>
      </c>
      <c r="K2090" s="24" t="str">
        <f aca="false">IF($D2090="","",IFERROR(IF(INDEX(Workers!$D$5:$D$2004,MATCH($D2090,Workers!$A$5:$A$2004,0))=0,"",INDEX(Workers!$D$5:$D$2004,MATCH($D2090,Workers!$A$5:$A$2004,0))),""))</f>
        <v/>
      </c>
      <c r="L2090" s="24" t="str">
        <f aca="false">IF($D2090="","",IFERROR(INDEX(Workers!$E$5:$E$2004,MATCH($D2090,Workers!$A$5:$A$2004,0)),""))</f>
        <v/>
      </c>
      <c r="M2090" s="26" t="str">
        <f aca="false">IF($D2090="","",IFERROR(INDEX(ClientRates!$D$5:$D$500,MATCH($B2090&amp;"|"&amp;$L2090,ClientRates!$A$5:$A$500,0)),0))</f>
        <v/>
      </c>
      <c r="N2090" s="26" t="str">
        <f aca="false">IF($D2090="","",IFERROR(INDEX(ClientRates!$E$5:$E$500,MATCH($B2090&amp;"|"&amp;$L2090,ClientRates!$A$5:$A$500,0)),0))</f>
        <v/>
      </c>
      <c r="O2090" s="26" t="str">
        <f aca="false">IF($D2090="","",F2090*M2090+G2090*N2090)</f>
        <v/>
      </c>
      <c r="P2090" s="26" t="str">
        <f aca="false">IF(OR($D2090="",$J2090&lt;&gt;"Supplier"),"",IFERROR(INDEX(SupplierRates!$D$5:$D$500,MATCH($K2090&amp;"|"&amp;$L2090,SupplierRates!$A$5:$A$500,0)),0))</f>
        <v/>
      </c>
      <c r="Q2090" s="26" t="str">
        <f aca="false">IF(OR($D2090="",$J2090&lt;&gt;"Supplier"),"",IFERROR(INDEX(SupplierRates!$E$5:$E$500,MATCH($K2090&amp;"|"&amp;$L2090,SupplierRates!$A$5:$A$500,0)),0))</f>
        <v/>
      </c>
      <c r="R2090" s="26" t="n">
        <f aca="false">IF(OR($D2090="",$J2090&lt;&gt;"Supplier"),0,F2090*P2090+G2090*Q2090)</f>
        <v>0</v>
      </c>
      <c r="S2090" s="26" t="n">
        <f aca="false">IF(OR($D2090="",$J2090&lt;&gt;"Own"),0,IFERROR((F2090+G2090*Settings!$B$13)*INDEX(Workers!$V$5:$V$2004,MATCH($D2090,Workers!$A$5:$A$2004,0)),0))</f>
        <v>0</v>
      </c>
      <c r="T2090" s="26" t="str">
        <f aca="false">IF($D2090="","",O2090-R2090-S2090)</f>
        <v/>
      </c>
    </row>
    <row r="2091" customFormat="false" ht="15" hidden="false" customHeight="false" outlineLevel="0" collapsed="false">
      <c r="I2091" s="24" t="str">
        <f aca="false">IF($D2091="","",IFERROR(INDEX(Workers!$B$5:$B$2004,MATCH($D2091,Workers!$A$5:$A$2004,0)),"NOT FOUND"))</f>
        <v/>
      </c>
      <c r="J2091" s="24" t="str">
        <f aca="false">IF($D2091="","",IFERROR(INDEX(Workers!$C$5:$C$2004,MATCH($D2091,Workers!$A$5:$A$2004,0)),""))</f>
        <v/>
      </c>
      <c r="K2091" s="24" t="str">
        <f aca="false">IF($D2091="","",IFERROR(IF(INDEX(Workers!$D$5:$D$2004,MATCH($D2091,Workers!$A$5:$A$2004,0))=0,"",INDEX(Workers!$D$5:$D$2004,MATCH($D2091,Workers!$A$5:$A$2004,0))),""))</f>
        <v/>
      </c>
      <c r="L2091" s="24" t="str">
        <f aca="false">IF($D2091="","",IFERROR(INDEX(Workers!$E$5:$E$2004,MATCH($D2091,Workers!$A$5:$A$2004,0)),""))</f>
        <v/>
      </c>
      <c r="M2091" s="26" t="str">
        <f aca="false">IF($D2091="","",IFERROR(INDEX(ClientRates!$D$5:$D$500,MATCH($B2091&amp;"|"&amp;$L2091,ClientRates!$A$5:$A$500,0)),0))</f>
        <v/>
      </c>
      <c r="N2091" s="26" t="str">
        <f aca="false">IF($D2091="","",IFERROR(INDEX(ClientRates!$E$5:$E$500,MATCH($B2091&amp;"|"&amp;$L2091,ClientRates!$A$5:$A$500,0)),0))</f>
        <v/>
      </c>
      <c r="O2091" s="26" t="str">
        <f aca="false">IF($D2091="","",F2091*M2091+G2091*N2091)</f>
        <v/>
      </c>
      <c r="P2091" s="26" t="str">
        <f aca="false">IF(OR($D2091="",$J2091&lt;&gt;"Supplier"),"",IFERROR(INDEX(SupplierRates!$D$5:$D$500,MATCH($K2091&amp;"|"&amp;$L2091,SupplierRates!$A$5:$A$500,0)),0))</f>
        <v/>
      </c>
      <c r="Q2091" s="26" t="str">
        <f aca="false">IF(OR($D2091="",$J2091&lt;&gt;"Supplier"),"",IFERROR(INDEX(SupplierRates!$E$5:$E$500,MATCH($K2091&amp;"|"&amp;$L2091,SupplierRates!$A$5:$A$500,0)),0))</f>
        <v/>
      </c>
      <c r="R2091" s="26" t="n">
        <f aca="false">IF(OR($D2091="",$J2091&lt;&gt;"Supplier"),0,F2091*P2091+G2091*Q2091)</f>
        <v>0</v>
      </c>
      <c r="S2091" s="26" t="n">
        <f aca="false">IF(OR($D2091="",$J2091&lt;&gt;"Own"),0,IFERROR((F2091+G2091*Settings!$B$13)*INDEX(Workers!$V$5:$V$2004,MATCH($D2091,Workers!$A$5:$A$2004,0)),0))</f>
        <v>0</v>
      </c>
      <c r="T2091" s="26" t="str">
        <f aca="false">IF($D2091="","",O2091-R2091-S2091)</f>
        <v/>
      </c>
    </row>
    <row r="2092" customFormat="false" ht="15" hidden="false" customHeight="false" outlineLevel="0" collapsed="false">
      <c r="I2092" s="24" t="str">
        <f aca="false">IF($D2092="","",IFERROR(INDEX(Workers!$B$5:$B$2004,MATCH($D2092,Workers!$A$5:$A$2004,0)),"NOT FOUND"))</f>
        <v/>
      </c>
      <c r="J2092" s="24" t="str">
        <f aca="false">IF($D2092="","",IFERROR(INDEX(Workers!$C$5:$C$2004,MATCH($D2092,Workers!$A$5:$A$2004,0)),""))</f>
        <v/>
      </c>
      <c r="K2092" s="24" t="str">
        <f aca="false">IF($D2092="","",IFERROR(IF(INDEX(Workers!$D$5:$D$2004,MATCH($D2092,Workers!$A$5:$A$2004,0))=0,"",INDEX(Workers!$D$5:$D$2004,MATCH($D2092,Workers!$A$5:$A$2004,0))),""))</f>
        <v/>
      </c>
      <c r="L2092" s="24" t="str">
        <f aca="false">IF($D2092="","",IFERROR(INDEX(Workers!$E$5:$E$2004,MATCH($D2092,Workers!$A$5:$A$2004,0)),""))</f>
        <v/>
      </c>
      <c r="M2092" s="26" t="str">
        <f aca="false">IF($D2092="","",IFERROR(INDEX(ClientRates!$D$5:$D$500,MATCH($B2092&amp;"|"&amp;$L2092,ClientRates!$A$5:$A$500,0)),0))</f>
        <v/>
      </c>
      <c r="N2092" s="26" t="str">
        <f aca="false">IF($D2092="","",IFERROR(INDEX(ClientRates!$E$5:$E$500,MATCH($B2092&amp;"|"&amp;$L2092,ClientRates!$A$5:$A$500,0)),0))</f>
        <v/>
      </c>
      <c r="O2092" s="26" t="str">
        <f aca="false">IF($D2092="","",F2092*M2092+G2092*N2092)</f>
        <v/>
      </c>
      <c r="P2092" s="26" t="str">
        <f aca="false">IF(OR($D2092="",$J2092&lt;&gt;"Supplier"),"",IFERROR(INDEX(SupplierRates!$D$5:$D$500,MATCH($K2092&amp;"|"&amp;$L2092,SupplierRates!$A$5:$A$500,0)),0))</f>
        <v/>
      </c>
      <c r="Q2092" s="26" t="str">
        <f aca="false">IF(OR($D2092="",$J2092&lt;&gt;"Supplier"),"",IFERROR(INDEX(SupplierRates!$E$5:$E$500,MATCH($K2092&amp;"|"&amp;$L2092,SupplierRates!$A$5:$A$500,0)),0))</f>
        <v/>
      </c>
      <c r="R2092" s="26" t="n">
        <f aca="false">IF(OR($D2092="",$J2092&lt;&gt;"Supplier"),0,F2092*P2092+G2092*Q2092)</f>
        <v>0</v>
      </c>
      <c r="S2092" s="26" t="n">
        <f aca="false">IF(OR($D2092="",$J2092&lt;&gt;"Own"),0,IFERROR((F2092+G2092*Settings!$B$13)*INDEX(Workers!$V$5:$V$2004,MATCH($D2092,Workers!$A$5:$A$2004,0)),0))</f>
        <v>0</v>
      </c>
      <c r="T2092" s="26" t="str">
        <f aca="false">IF($D2092="","",O2092-R2092-S2092)</f>
        <v/>
      </c>
    </row>
    <row r="2093" customFormat="false" ht="15" hidden="false" customHeight="false" outlineLevel="0" collapsed="false">
      <c r="I2093" s="24" t="str">
        <f aca="false">IF($D2093="","",IFERROR(INDEX(Workers!$B$5:$B$2004,MATCH($D2093,Workers!$A$5:$A$2004,0)),"NOT FOUND"))</f>
        <v/>
      </c>
      <c r="J2093" s="24" t="str">
        <f aca="false">IF($D2093="","",IFERROR(INDEX(Workers!$C$5:$C$2004,MATCH($D2093,Workers!$A$5:$A$2004,0)),""))</f>
        <v/>
      </c>
      <c r="K2093" s="24" t="str">
        <f aca="false">IF($D2093="","",IFERROR(IF(INDEX(Workers!$D$5:$D$2004,MATCH($D2093,Workers!$A$5:$A$2004,0))=0,"",INDEX(Workers!$D$5:$D$2004,MATCH($D2093,Workers!$A$5:$A$2004,0))),""))</f>
        <v/>
      </c>
      <c r="L2093" s="24" t="str">
        <f aca="false">IF($D2093="","",IFERROR(INDEX(Workers!$E$5:$E$2004,MATCH($D2093,Workers!$A$5:$A$2004,0)),""))</f>
        <v/>
      </c>
      <c r="M2093" s="26" t="str">
        <f aca="false">IF($D2093="","",IFERROR(INDEX(ClientRates!$D$5:$D$500,MATCH($B2093&amp;"|"&amp;$L2093,ClientRates!$A$5:$A$500,0)),0))</f>
        <v/>
      </c>
      <c r="N2093" s="26" t="str">
        <f aca="false">IF($D2093="","",IFERROR(INDEX(ClientRates!$E$5:$E$500,MATCH($B2093&amp;"|"&amp;$L2093,ClientRates!$A$5:$A$500,0)),0))</f>
        <v/>
      </c>
      <c r="O2093" s="26" t="str">
        <f aca="false">IF($D2093="","",F2093*M2093+G2093*N2093)</f>
        <v/>
      </c>
      <c r="P2093" s="26" t="str">
        <f aca="false">IF(OR($D2093="",$J2093&lt;&gt;"Supplier"),"",IFERROR(INDEX(SupplierRates!$D$5:$D$500,MATCH($K2093&amp;"|"&amp;$L2093,SupplierRates!$A$5:$A$500,0)),0))</f>
        <v/>
      </c>
      <c r="Q2093" s="26" t="str">
        <f aca="false">IF(OR($D2093="",$J2093&lt;&gt;"Supplier"),"",IFERROR(INDEX(SupplierRates!$E$5:$E$500,MATCH($K2093&amp;"|"&amp;$L2093,SupplierRates!$A$5:$A$500,0)),0))</f>
        <v/>
      </c>
      <c r="R2093" s="26" t="n">
        <f aca="false">IF(OR($D2093="",$J2093&lt;&gt;"Supplier"),0,F2093*P2093+G2093*Q2093)</f>
        <v>0</v>
      </c>
      <c r="S2093" s="26" t="n">
        <f aca="false">IF(OR($D2093="",$J2093&lt;&gt;"Own"),0,IFERROR((F2093+G2093*Settings!$B$13)*INDEX(Workers!$V$5:$V$2004,MATCH($D2093,Workers!$A$5:$A$2004,0)),0))</f>
        <v>0</v>
      </c>
      <c r="T2093" s="26" t="str">
        <f aca="false">IF($D2093="","",O2093-R2093-S2093)</f>
        <v/>
      </c>
    </row>
    <row r="2094" customFormat="false" ht="15" hidden="false" customHeight="false" outlineLevel="0" collapsed="false">
      <c r="I2094" s="24" t="str">
        <f aca="false">IF($D2094="","",IFERROR(INDEX(Workers!$B$5:$B$2004,MATCH($D2094,Workers!$A$5:$A$2004,0)),"NOT FOUND"))</f>
        <v/>
      </c>
      <c r="J2094" s="24" t="str">
        <f aca="false">IF($D2094="","",IFERROR(INDEX(Workers!$C$5:$C$2004,MATCH($D2094,Workers!$A$5:$A$2004,0)),""))</f>
        <v/>
      </c>
      <c r="K2094" s="24" t="str">
        <f aca="false">IF($D2094="","",IFERROR(IF(INDEX(Workers!$D$5:$D$2004,MATCH($D2094,Workers!$A$5:$A$2004,0))=0,"",INDEX(Workers!$D$5:$D$2004,MATCH($D2094,Workers!$A$5:$A$2004,0))),""))</f>
        <v/>
      </c>
      <c r="L2094" s="24" t="str">
        <f aca="false">IF($D2094="","",IFERROR(INDEX(Workers!$E$5:$E$2004,MATCH($D2094,Workers!$A$5:$A$2004,0)),""))</f>
        <v/>
      </c>
      <c r="M2094" s="26" t="str">
        <f aca="false">IF($D2094="","",IFERROR(INDEX(ClientRates!$D$5:$D$500,MATCH($B2094&amp;"|"&amp;$L2094,ClientRates!$A$5:$A$500,0)),0))</f>
        <v/>
      </c>
      <c r="N2094" s="26" t="str">
        <f aca="false">IF($D2094="","",IFERROR(INDEX(ClientRates!$E$5:$E$500,MATCH($B2094&amp;"|"&amp;$L2094,ClientRates!$A$5:$A$500,0)),0))</f>
        <v/>
      </c>
      <c r="O2094" s="26" t="str">
        <f aca="false">IF($D2094="","",F2094*M2094+G2094*N2094)</f>
        <v/>
      </c>
      <c r="P2094" s="26" t="str">
        <f aca="false">IF(OR($D2094="",$J2094&lt;&gt;"Supplier"),"",IFERROR(INDEX(SupplierRates!$D$5:$D$500,MATCH($K2094&amp;"|"&amp;$L2094,SupplierRates!$A$5:$A$500,0)),0))</f>
        <v/>
      </c>
      <c r="Q2094" s="26" t="str">
        <f aca="false">IF(OR($D2094="",$J2094&lt;&gt;"Supplier"),"",IFERROR(INDEX(SupplierRates!$E$5:$E$500,MATCH($K2094&amp;"|"&amp;$L2094,SupplierRates!$A$5:$A$500,0)),0))</f>
        <v/>
      </c>
      <c r="R2094" s="26" t="n">
        <f aca="false">IF(OR($D2094="",$J2094&lt;&gt;"Supplier"),0,F2094*P2094+G2094*Q2094)</f>
        <v>0</v>
      </c>
      <c r="S2094" s="26" t="n">
        <f aca="false">IF(OR($D2094="",$J2094&lt;&gt;"Own"),0,IFERROR((F2094+G2094*Settings!$B$13)*INDEX(Workers!$V$5:$V$2004,MATCH($D2094,Workers!$A$5:$A$2004,0)),0))</f>
        <v>0</v>
      </c>
      <c r="T2094" s="26" t="str">
        <f aca="false">IF($D2094="","",O2094-R2094-S2094)</f>
        <v/>
      </c>
    </row>
    <row r="2095" customFormat="false" ht="15" hidden="false" customHeight="false" outlineLevel="0" collapsed="false">
      <c r="I2095" s="24" t="str">
        <f aca="false">IF($D2095="","",IFERROR(INDEX(Workers!$B$5:$B$2004,MATCH($D2095,Workers!$A$5:$A$2004,0)),"NOT FOUND"))</f>
        <v/>
      </c>
      <c r="J2095" s="24" t="str">
        <f aca="false">IF($D2095="","",IFERROR(INDEX(Workers!$C$5:$C$2004,MATCH($D2095,Workers!$A$5:$A$2004,0)),""))</f>
        <v/>
      </c>
      <c r="K2095" s="24" t="str">
        <f aca="false">IF($D2095="","",IFERROR(IF(INDEX(Workers!$D$5:$D$2004,MATCH($D2095,Workers!$A$5:$A$2004,0))=0,"",INDEX(Workers!$D$5:$D$2004,MATCH($D2095,Workers!$A$5:$A$2004,0))),""))</f>
        <v/>
      </c>
      <c r="L2095" s="24" t="str">
        <f aca="false">IF($D2095="","",IFERROR(INDEX(Workers!$E$5:$E$2004,MATCH($D2095,Workers!$A$5:$A$2004,0)),""))</f>
        <v/>
      </c>
      <c r="M2095" s="26" t="str">
        <f aca="false">IF($D2095="","",IFERROR(INDEX(ClientRates!$D$5:$D$500,MATCH($B2095&amp;"|"&amp;$L2095,ClientRates!$A$5:$A$500,0)),0))</f>
        <v/>
      </c>
      <c r="N2095" s="26" t="str">
        <f aca="false">IF($D2095="","",IFERROR(INDEX(ClientRates!$E$5:$E$500,MATCH($B2095&amp;"|"&amp;$L2095,ClientRates!$A$5:$A$500,0)),0))</f>
        <v/>
      </c>
      <c r="O2095" s="26" t="str">
        <f aca="false">IF($D2095="","",F2095*M2095+G2095*N2095)</f>
        <v/>
      </c>
      <c r="P2095" s="26" t="str">
        <f aca="false">IF(OR($D2095="",$J2095&lt;&gt;"Supplier"),"",IFERROR(INDEX(SupplierRates!$D$5:$D$500,MATCH($K2095&amp;"|"&amp;$L2095,SupplierRates!$A$5:$A$500,0)),0))</f>
        <v/>
      </c>
      <c r="Q2095" s="26" t="str">
        <f aca="false">IF(OR($D2095="",$J2095&lt;&gt;"Supplier"),"",IFERROR(INDEX(SupplierRates!$E$5:$E$500,MATCH($K2095&amp;"|"&amp;$L2095,SupplierRates!$A$5:$A$500,0)),0))</f>
        <v/>
      </c>
      <c r="R2095" s="26" t="n">
        <f aca="false">IF(OR($D2095="",$J2095&lt;&gt;"Supplier"),0,F2095*P2095+G2095*Q2095)</f>
        <v>0</v>
      </c>
      <c r="S2095" s="26" t="n">
        <f aca="false">IF(OR($D2095="",$J2095&lt;&gt;"Own"),0,IFERROR((F2095+G2095*Settings!$B$13)*INDEX(Workers!$V$5:$V$2004,MATCH($D2095,Workers!$A$5:$A$2004,0)),0))</f>
        <v>0</v>
      </c>
      <c r="T2095" s="26" t="str">
        <f aca="false">IF($D2095="","",O2095-R2095-S2095)</f>
        <v/>
      </c>
    </row>
    <row r="2096" customFormat="false" ht="15" hidden="false" customHeight="false" outlineLevel="0" collapsed="false">
      <c r="I2096" s="24" t="str">
        <f aca="false">IF($D2096="","",IFERROR(INDEX(Workers!$B$5:$B$2004,MATCH($D2096,Workers!$A$5:$A$2004,0)),"NOT FOUND"))</f>
        <v/>
      </c>
      <c r="J2096" s="24" t="str">
        <f aca="false">IF($D2096="","",IFERROR(INDEX(Workers!$C$5:$C$2004,MATCH($D2096,Workers!$A$5:$A$2004,0)),""))</f>
        <v/>
      </c>
      <c r="K2096" s="24" t="str">
        <f aca="false">IF($D2096="","",IFERROR(IF(INDEX(Workers!$D$5:$D$2004,MATCH($D2096,Workers!$A$5:$A$2004,0))=0,"",INDEX(Workers!$D$5:$D$2004,MATCH($D2096,Workers!$A$5:$A$2004,0))),""))</f>
        <v/>
      </c>
      <c r="L2096" s="24" t="str">
        <f aca="false">IF($D2096="","",IFERROR(INDEX(Workers!$E$5:$E$2004,MATCH($D2096,Workers!$A$5:$A$2004,0)),""))</f>
        <v/>
      </c>
      <c r="M2096" s="26" t="str">
        <f aca="false">IF($D2096="","",IFERROR(INDEX(ClientRates!$D$5:$D$500,MATCH($B2096&amp;"|"&amp;$L2096,ClientRates!$A$5:$A$500,0)),0))</f>
        <v/>
      </c>
      <c r="N2096" s="26" t="str">
        <f aca="false">IF($D2096="","",IFERROR(INDEX(ClientRates!$E$5:$E$500,MATCH($B2096&amp;"|"&amp;$L2096,ClientRates!$A$5:$A$500,0)),0))</f>
        <v/>
      </c>
      <c r="O2096" s="26" t="str">
        <f aca="false">IF($D2096="","",F2096*M2096+G2096*N2096)</f>
        <v/>
      </c>
      <c r="P2096" s="26" t="str">
        <f aca="false">IF(OR($D2096="",$J2096&lt;&gt;"Supplier"),"",IFERROR(INDEX(SupplierRates!$D$5:$D$500,MATCH($K2096&amp;"|"&amp;$L2096,SupplierRates!$A$5:$A$500,0)),0))</f>
        <v/>
      </c>
      <c r="Q2096" s="26" t="str">
        <f aca="false">IF(OR($D2096="",$J2096&lt;&gt;"Supplier"),"",IFERROR(INDEX(SupplierRates!$E$5:$E$500,MATCH($K2096&amp;"|"&amp;$L2096,SupplierRates!$A$5:$A$500,0)),0))</f>
        <v/>
      </c>
      <c r="R2096" s="26" t="n">
        <f aca="false">IF(OR($D2096="",$J2096&lt;&gt;"Supplier"),0,F2096*P2096+G2096*Q2096)</f>
        <v>0</v>
      </c>
      <c r="S2096" s="26" t="n">
        <f aca="false">IF(OR($D2096="",$J2096&lt;&gt;"Own"),0,IFERROR((F2096+G2096*Settings!$B$13)*INDEX(Workers!$V$5:$V$2004,MATCH($D2096,Workers!$A$5:$A$2004,0)),0))</f>
        <v>0</v>
      </c>
      <c r="T2096" s="26" t="str">
        <f aca="false">IF($D2096="","",O2096-R2096-S2096)</f>
        <v/>
      </c>
    </row>
    <row r="2097" customFormat="false" ht="15" hidden="false" customHeight="false" outlineLevel="0" collapsed="false">
      <c r="I2097" s="24" t="str">
        <f aca="false">IF($D2097="","",IFERROR(INDEX(Workers!$B$5:$B$2004,MATCH($D2097,Workers!$A$5:$A$2004,0)),"NOT FOUND"))</f>
        <v/>
      </c>
      <c r="J2097" s="24" t="str">
        <f aca="false">IF($D2097="","",IFERROR(INDEX(Workers!$C$5:$C$2004,MATCH($D2097,Workers!$A$5:$A$2004,0)),""))</f>
        <v/>
      </c>
      <c r="K2097" s="24" t="str">
        <f aca="false">IF($D2097="","",IFERROR(IF(INDEX(Workers!$D$5:$D$2004,MATCH($D2097,Workers!$A$5:$A$2004,0))=0,"",INDEX(Workers!$D$5:$D$2004,MATCH($D2097,Workers!$A$5:$A$2004,0))),""))</f>
        <v/>
      </c>
      <c r="L2097" s="24" t="str">
        <f aca="false">IF($D2097="","",IFERROR(INDEX(Workers!$E$5:$E$2004,MATCH($D2097,Workers!$A$5:$A$2004,0)),""))</f>
        <v/>
      </c>
      <c r="M2097" s="26" t="str">
        <f aca="false">IF($D2097="","",IFERROR(INDEX(ClientRates!$D$5:$D$500,MATCH($B2097&amp;"|"&amp;$L2097,ClientRates!$A$5:$A$500,0)),0))</f>
        <v/>
      </c>
      <c r="N2097" s="26" t="str">
        <f aca="false">IF($D2097="","",IFERROR(INDEX(ClientRates!$E$5:$E$500,MATCH($B2097&amp;"|"&amp;$L2097,ClientRates!$A$5:$A$500,0)),0))</f>
        <v/>
      </c>
      <c r="O2097" s="26" t="str">
        <f aca="false">IF($D2097="","",F2097*M2097+G2097*N2097)</f>
        <v/>
      </c>
      <c r="P2097" s="26" t="str">
        <f aca="false">IF(OR($D2097="",$J2097&lt;&gt;"Supplier"),"",IFERROR(INDEX(SupplierRates!$D$5:$D$500,MATCH($K2097&amp;"|"&amp;$L2097,SupplierRates!$A$5:$A$500,0)),0))</f>
        <v/>
      </c>
      <c r="Q2097" s="26" t="str">
        <f aca="false">IF(OR($D2097="",$J2097&lt;&gt;"Supplier"),"",IFERROR(INDEX(SupplierRates!$E$5:$E$500,MATCH($K2097&amp;"|"&amp;$L2097,SupplierRates!$A$5:$A$500,0)),0))</f>
        <v/>
      </c>
      <c r="R2097" s="26" t="n">
        <f aca="false">IF(OR($D2097="",$J2097&lt;&gt;"Supplier"),0,F2097*P2097+G2097*Q2097)</f>
        <v>0</v>
      </c>
      <c r="S2097" s="26" t="n">
        <f aca="false">IF(OR($D2097="",$J2097&lt;&gt;"Own"),0,IFERROR((F2097+G2097*Settings!$B$13)*INDEX(Workers!$V$5:$V$2004,MATCH($D2097,Workers!$A$5:$A$2004,0)),0))</f>
        <v>0</v>
      </c>
      <c r="T2097" s="26" t="str">
        <f aca="false">IF($D2097="","",O2097-R2097-S2097)</f>
        <v/>
      </c>
    </row>
    <row r="2098" customFormat="false" ht="15" hidden="false" customHeight="false" outlineLevel="0" collapsed="false">
      <c r="I2098" s="24" t="str">
        <f aca="false">IF($D2098="","",IFERROR(INDEX(Workers!$B$5:$B$2004,MATCH($D2098,Workers!$A$5:$A$2004,0)),"NOT FOUND"))</f>
        <v/>
      </c>
      <c r="J2098" s="24" t="str">
        <f aca="false">IF($D2098="","",IFERROR(INDEX(Workers!$C$5:$C$2004,MATCH($D2098,Workers!$A$5:$A$2004,0)),""))</f>
        <v/>
      </c>
      <c r="K2098" s="24" t="str">
        <f aca="false">IF($D2098="","",IFERROR(IF(INDEX(Workers!$D$5:$D$2004,MATCH($D2098,Workers!$A$5:$A$2004,0))=0,"",INDEX(Workers!$D$5:$D$2004,MATCH($D2098,Workers!$A$5:$A$2004,0))),""))</f>
        <v/>
      </c>
      <c r="L2098" s="24" t="str">
        <f aca="false">IF($D2098="","",IFERROR(INDEX(Workers!$E$5:$E$2004,MATCH($D2098,Workers!$A$5:$A$2004,0)),""))</f>
        <v/>
      </c>
      <c r="M2098" s="26" t="str">
        <f aca="false">IF($D2098="","",IFERROR(INDEX(ClientRates!$D$5:$D$500,MATCH($B2098&amp;"|"&amp;$L2098,ClientRates!$A$5:$A$500,0)),0))</f>
        <v/>
      </c>
      <c r="N2098" s="26" t="str">
        <f aca="false">IF($D2098="","",IFERROR(INDEX(ClientRates!$E$5:$E$500,MATCH($B2098&amp;"|"&amp;$L2098,ClientRates!$A$5:$A$500,0)),0))</f>
        <v/>
      </c>
      <c r="O2098" s="26" t="str">
        <f aca="false">IF($D2098="","",F2098*M2098+G2098*N2098)</f>
        <v/>
      </c>
      <c r="P2098" s="26" t="str">
        <f aca="false">IF(OR($D2098="",$J2098&lt;&gt;"Supplier"),"",IFERROR(INDEX(SupplierRates!$D$5:$D$500,MATCH($K2098&amp;"|"&amp;$L2098,SupplierRates!$A$5:$A$500,0)),0))</f>
        <v/>
      </c>
      <c r="Q2098" s="26" t="str">
        <f aca="false">IF(OR($D2098="",$J2098&lt;&gt;"Supplier"),"",IFERROR(INDEX(SupplierRates!$E$5:$E$500,MATCH($K2098&amp;"|"&amp;$L2098,SupplierRates!$A$5:$A$500,0)),0))</f>
        <v/>
      </c>
      <c r="R2098" s="26" t="n">
        <f aca="false">IF(OR($D2098="",$J2098&lt;&gt;"Supplier"),0,F2098*P2098+G2098*Q2098)</f>
        <v>0</v>
      </c>
      <c r="S2098" s="26" t="n">
        <f aca="false">IF(OR($D2098="",$J2098&lt;&gt;"Own"),0,IFERROR((F2098+G2098*Settings!$B$13)*INDEX(Workers!$V$5:$V$2004,MATCH($D2098,Workers!$A$5:$A$2004,0)),0))</f>
        <v>0</v>
      </c>
      <c r="T2098" s="26" t="str">
        <f aca="false">IF($D2098="","",O2098-R2098-S2098)</f>
        <v/>
      </c>
    </row>
    <row r="2099" customFormat="false" ht="15" hidden="false" customHeight="false" outlineLevel="0" collapsed="false">
      <c r="I2099" s="24" t="str">
        <f aca="false">IF($D2099="","",IFERROR(INDEX(Workers!$B$5:$B$2004,MATCH($D2099,Workers!$A$5:$A$2004,0)),"NOT FOUND"))</f>
        <v/>
      </c>
      <c r="J2099" s="24" t="str">
        <f aca="false">IF($D2099="","",IFERROR(INDEX(Workers!$C$5:$C$2004,MATCH($D2099,Workers!$A$5:$A$2004,0)),""))</f>
        <v/>
      </c>
      <c r="K2099" s="24" t="str">
        <f aca="false">IF($D2099="","",IFERROR(IF(INDEX(Workers!$D$5:$D$2004,MATCH($D2099,Workers!$A$5:$A$2004,0))=0,"",INDEX(Workers!$D$5:$D$2004,MATCH($D2099,Workers!$A$5:$A$2004,0))),""))</f>
        <v/>
      </c>
      <c r="L2099" s="24" t="str">
        <f aca="false">IF($D2099="","",IFERROR(INDEX(Workers!$E$5:$E$2004,MATCH($D2099,Workers!$A$5:$A$2004,0)),""))</f>
        <v/>
      </c>
      <c r="M2099" s="26" t="str">
        <f aca="false">IF($D2099="","",IFERROR(INDEX(ClientRates!$D$5:$D$500,MATCH($B2099&amp;"|"&amp;$L2099,ClientRates!$A$5:$A$500,0)),0))</f>
        <v/>
      </c>
      <c r="N2099" s="26" t="str">
        <f aca="false">IF($D2099="","",IFERROR(INDEX(ClientRates!$E$5:$E$500,MATCH($B2099&amp;"|"&amp;$L2099,ClientRates!$A$5:$A$500,0)),0))</f>
        <v/>
      </c>
      <c r="O2099" s="26" t="str">
        <f aca="false">IF($D2099="","",F2099*M2099+G2099*N2099)</f>
        <v/>
      </c>
      <c r="P2099" s="26" t="str">
        <f aca="false">IF(OR($D2099="",$J2099&lt;&gt;"Supplier"),"",IFERROR(INDEX(SupplierRates!$D$5:$D$500,MATCH($K2099&amp;"|"&amp;$L2099,SupplierRates!$A$5:$A$500,0)),0))</f>
        <v/>
      </c>
      <c r="Q2099" s="26" t="str">
        <f aca="false">IF(OR($D2099="",$J2099&lt;&gt;"Supplier"),"",IFERROR(INDEX(SupplierRates!$E$5:$E$500,MATCH($K2099&amp;"|"&amp;$L2099,SupplierRates!$A$5:$A$500,0)),0))</f>
        <v/>
      </c>
      <c r="R2099" s="26" t="n">
        <f aca="false">IF(OR($D2099="",$J2099&lt;&gt;"Supplier"),0,F2099*P2099+G2099*Q2099)</f>
        <v>0</v>
      </c>
      <c r="S2099" s="26" t="n">
        <f aca="false">IF(OR($D2099="",$J2099&lt;&gt;"Own"),0,IFERROR((F2099+G2099*Settings!$B$13)*INDEX(Workers!$V$5:$V$2004,MATCH($D2099,Workers!$A$5:$A$2004,0)),0))</f>
        <v>0</v>
      </c>
      <c r="T2099" s="26" t="str">
        <f aca="false">IF($D2099="","",O2099-R2099-S2099)</f>
        <v/>
      </c>
    </row>
    <row r="2100" customFormat="false" ht="15" hidden="false" customHeight="false" outlineLevel="0" collapsed="false">
      <c r="I2100" s="24" t="str">
        <f aca="false">IF($D2100="","",IFERROR(INDEX(Workers!$B$5:$B$2004,MATCH($D2100,Workers!$A$5:$A$2004,0)),"NOT FOUND"))</f>
        <v/>
      </c>
      <c r="J2100" s="24" t="str">
        <f aca="false">IF($D2100="","",IFERROR(INDEX(Workers!$C$5:$C$2004,MATCH($D2100,Workers!$A$5:$A$2004,0)),""))</f>
        <v/>
      </c>
      <c r="K2100" s="24" t="str">
        <f aca="false">IF($D2100="","",IFERROR(IF(INDEX(Workers!$D$5:$D$2004,MATCH($D2100,Workers!$A$5:$A$2004,0))=0,"",INDEX(Workers!$D$5:$D$2004,MATCH($D2100,Workers!$A$5:$A$2004,0))),""))</f>
        <v/>
      </c>
      <c r="L2100" s="24" t="str">
        <f aca="false">IF($D2100="","",IFERROR(INDEX(Workers!$E$5:$E$2004,MATCH($D2100,Workers!$A$5:$A$2004,0)),""))</f>
        <v/>
      </c>
      <c r="M2100" s="26" t="str">
        <f aca="false">IF($D2100="","",IFERROR(INDEX(ClientRates!$D$5:$D$500,MATCH($B2100&amp;"|"&amp;$L2100,ClientRates!$A$5:$A$500,0)),0))</f>
        <v/>
      </c>
      <c r="N2100" s="26" t="str">
        <f aca="false">IF($D2100="","",IFERROR(INDEX(ClientRates!$E$5:$E$500,MATCH($B2100&amp;"|"&amp;$L2100,ClientRates!$A$5:$A$500,0)),0))</f>
        <v/>
      </c>
      <c r="O2100" s="26" t="str">
        <f aca="false">IF($D2100="","",F2100*M2100+G2100*N2100)</f>
        <v/>
      </c>
      <c r="P2100" s="26" t="str">
        <f aca="false">IF(OR($D2100="",$J2100&lt;&gt;"Supplier"),"",IFERROR(INDEX(SupplierRates!$D$5:$D$500,MATCH($K2100&amp;"|"&amp;$L2100,SupplierRates!$A$5:$A$500,0)),0))</f>
        <v/>
      </c>
      <c r="Q2100" s="26" t="str">
        <f aca="false">IF(OR($D2100="",$J2100&lt;&gt;"Supplier"),"",IFERROR(INDEX(SupplierRates!$E$5:$E$500,MATCH($K2100&amp;"|"&amp;$L2100,SupplierRates!$A$5:$A$500,0)),0))</f>
        <v/>
      </c>
      <c r="R2100" s="26" t="n">
        <f aca="false">IF(OR($D2100="",$J2100&lt;&gt;"Supplier"),0,F2100*P2100+G2100*Q2100)</f>
        <v>0</v>
      </c>
      <c r="S2100" s="26" t="n">
        <f aca="false">IF(OR($D2100="",$J2100&lt;&gt;"Own"),0,IFERROR((F2100+G2100*Settings!$B$13)*INDEX(Workers!$V$5:$V$2004,MATCH($D2100,Workers!$A$5:$A$2004,0)),0))</f>
        <v>0</v>
      </c>
      <c r="T2100" s="26" t="str">
        <f aca="false">IF($D2100="","",O2100-R2100-S2100)</f>
        <v/>
      </c>
    </row>
    <row r="2101" customFormat="false" ht="15" hidden="false" customHeight="false" outlineLevel="0" collapsed="false">
      <c r="I2101" s="24" t="str">
        <f aca="false">IF($D2101="","",IFERROR(INDEX(Workers!$B$5:$B$2004,MATCH($D2101,Workers!$A$5:$A$2004,0)),"NOT FOUND"))</f>
        <v/>
      </c>
      <c r="J2101" s="24" t="str">
        <f aca="false">IF($D2101="","",IFERROR(INDEX(Workers!$C$5:$C$2004,MATCH($D2101,Workers!$A$5:$A$2004,0)),""))</f>
        <v/>
      </c>
      <c r="K2101" s="24" t="str">
        <f aca="false">IF($D2101="","",IFERROR(IF(INDEX(Workers!$D$5:$D$2004,MATCH($D2101,Workers!$A$5:$A$2004,0))=0,"",INDEX(Workers!$D$5:$D$2004,MATCH($D2101,Workers!$A$5:$A$2004,0))),""))</f>
        <v/>
      </c>
      <c r="L2101" s="24" t="str">
        <f aca="false">IF($D2101="","",IFERROR(INDEX(Workers!$E$5:$E$2004,MATCH($D2101,Workers!$A$5:$A$2004,0)),""))</f>
        <v/>
      </c>
      <c r="M2101" s="26" t="str">
        <f aca="false">IF($D2101="","",IFERROR(INDEX(ClientRates!$D$5:$D$500,MATCH($B2101&amp;"|"&amp;$L2101,ClientRates!$A$5:$A$500,0)),0))</f>
        <v/>
      </c>
      <c r="N2101" s="26" t="str">
        <f aca="false">IF($D2101="","",IFERROR(INDEX(ClientRates!$E$5:$E$500,MATCH($B2101&amp;"|"&amp;$L2101,ClientRates!$A$5:$A$500,0)),0))</f>
        <v/>
      </c>
      <c r="O2101" s="26" t="str">
        <f aca="false">IF($D2101="","",F2101*M2101+G2101*N2101)</f>
        <v/>
      </c>
      <c r="P2101" s="26" t="str">
        <f aca="false">IF(OR($D2101="",$J2101&lt;&gt;"Supplier"),"",IFERROR(INDEX(SupplierRates!$D$5:$D$500,MATCH($K2101&amp;"|"&amp;$L2101,SupplierRates!$A$5:$A$500,0)),0))</f>
        <v/>
      </c>
      <c r="Q2101" s="26" t="str">
        <f aca="false">IF(OR($D2101="",$J2101&lt;&gt;"Supplier"),"",IFERROR(INDEX(SupplierRates!$E$5:$E$500,MATCH($K2101&amp;"|"&amp;$L2101,SupplierRates!$A$5:$A$500,0)),0))</f>
        <v/>
      </c>
      <c r="R2101" s="26" t="n">
        <f aca="false">IF(OR($D2101="",$J2101&lt;&gt;"Supplier"),0,F2101*P2101+G2101*Q2101)</f>
        <v>0</v>
      </c>
      <c r="S2101" s="26" t="n">
        <f aca="false">IF(OR($D2101="",$J2101&lt;&gt;"Own"),0,IFERROR((F2101+G2101*Settings!$B$13)*INDEX(Workers!$V$5:$V$2004,MATCH($D2101,Workers!$A$5:$A$2004,0)),0))</f>
        <v>0</v>
      </c>
      <c r="T2101" s="26" t="str">
        <f aca="false">IF($D2101="","",O2101-R2101-S2101)</f>
        <v/>
      </c>
    </row>
    <row r="2102" customFormat="false" ht="15" hidden="false" customHeight="false" outlineLevel="0" collapsed="false">
      <c r="I2102" s="24" t="str">
        <f aca="false">IF($D2102="","",IFERROR(INDEX(Workers!$B$5:$B$2004,MATCH($D2102,Workers!$A$5:$A$2004,0)),"NOT FOUND"))</f>
        <v/>
      </c>
      <c r="J2102" s="24" t="str">
        <f aca="false">IF($D2102="","",IFERROR(INDEX(Workers!$C$5:$C$2004,MATCH($D2102,Workers!$A$5:$A$2004,0)),""))</f>
        <v/>
      </c>
      <c r="K2102" s="24" t="str">
        <f aca="false">IF($D2102="","",IFERROR(IF(INDEX(Workers!$D$5:$D$2004,MATCH($D2102,Workers!$A$5:$A$2004,0))=0,"",INDEX(Workers!$D$5:$D$2004,MATCH($D2102,Workers!$A$5:$A$2004,0))),""))</f>
        <v/>
      </c>
      <c r="L2102" s="24" t="str">
        <f aca="false">IF($D2102="","",IFERROR(INDEX(Workers!$E$5:$E$2004,MATCH($D2102,Workers!$A$5:$A$2004,0)),""))</f>
        <v/>
      </c>
      <c r="M2102" s="26" t="str">
        <f aca="false">IF($D2102="","",IFERROR(INDEX(ClientRates!$D$5:$D$500,MATCH($B2102&amp;"|"&amp;$L2102,ClientRates!$A$5:$A$500,0)),0))</f>
        <v/>
      </c>
      <c r="N2102" s="26" t="str">
        <f aca="false">IF($D2102="","",IFERROR(INDEX(ClientRates!$E$5:$E$500,MATCH($B2102&amp;"|"&amp;$L2102,ClientRates!$A$5:$A$500,0)),0))</f>
        <v/>
      </c>
      <c r="O2102" s="26" t="str">
        <f aca="false">IF($D2102="","",F2102*M2102+G2102*N2102)</f>
        <v/>
      </c>
      <c r="P2102" s="26" t="str">
        <f aca="false">IF(OR($D2102="",$J2102&lt;&gt;"Supplier"),"",IFERROR(INDEX(SupplierRates!$D$5:$D$500,MATCH($K2102&amp;"|"&amp;$L2102,SupplierRates!$A$5:$A$500,0)),0))</f>
        <v/>
      </c>
      <c r="Q2102" s="26" t="str">
        <f aca="false">IF(OR($D2102="",$J2102&lt;&gt;"Supplier"),"",IFERROR(INDEX(SupplierRates!$E$5:$E$500,MATCH($K2102&amp;"|"&amp;$L2102,SupplierRates!$A$5:$A$500,0)),0))</f>
        <v/>
      </c>
      <c r="R2102" s="26" t="n">
        <f aca="false">IF(OR($D2102="",$J2102&lt;&gt;"Supplier"),0,F2102*P2102+G2102*Q2102)</f>
        <v>0</v>
      </c>
      <c r="S2102" s="26" t="n">
        <f aca="false">IF(OR($D2102="",$J2102&lt;&gt;"Own"),0,IFERROR((F2102+G2102*Settings!$B$13)*INDEX(Workers!$V$5:$V$2004,MATCH($D2102,Workers!$A$5:$A$2004,0)),0))</f>
        <v>0</v>
      </c>
      <c r="T2102" s="26" t="str">
        <f aca="false">IF($D2102="","",O2102-R2102-S2102)</f>
        <v/>
      </c>
    </row>
    <row r="2103" customFormat="false" ht="15" hidden="false" customHeight="false" outlineLevel="0" collapsed="false">
      <c r="I2103" s="24" t="str">
        <f aca="false">IF($D2103="","",IFERROR(INDEX(Workers!$B$5:$B$2004,MATCH($D2103,Workers!$A$5:$A$2004,0)),"NOT FOUND"))</f>
        <v/>
      </c>
      <c r="J2103" s="24" t="str">
        <f aca="false">IF($D2103="","",IFERROR(INDEX(Workers!$C$5:$C$2004,MATCH($D2103,Workers!$A$5:$A$2004,0)),""))</f>
        <v/>
      </c>
      <c r="K2103" s="24" t="str">
        <f aca="false">IF($D2103="","",IFERROR(IF(INDEX(Workers!$D$5:$D$2004,MATCH($D2103,Workers!$A$5:$A$2004,0))=0,"",INDEX(Workers!$D$5:$D$2004,MATCH($D2103,Workers!$A$5:$A$2004,0))),""))</f>
        <v/>
      </c>
      <c r="L2103" s="24" t="str">
        <f aca="false">IF($D2103="","",IFERROR(INDEX(Workers!$E$5:$E$2004,MATCH($D2103,Workers!$A$5:$A$2004,0)),""))</f>
        <v/>
      </c>
      <c r="M2103" s="26" t="str">
        <f aca="false">IF($D2103="","",IFERROR(INDEX(ClientRates!$D$5:$D$500,MATCH($B2103&amp;"|"&amp;$L2103,ClientRates!$A$5:$A$500,0)),0))</f>
        <v/>
      </c>
      <c r="N2103" s="26" t="str">
        <f aca="false">IF($D2103="","",IFERROR(INDEX(ClientRates!$E$5:$E$500,MATCH($B2103&amp;"|"&amp;$L2103,ClientRates!$A$5:$A$500,0)),0))</f>
        <v/>
      </c>
      <c r="O2103" s="26" t="str">
        <f aca="false">IF($D2103="","",F2103*M2103+G2103*N2103)</f>
        <v/>
      </c>
      <c r="P2103" s="26" t="str">
        <f aca="false">IF(OR($D2103="",$J2103&lt;&gt;"Supplier"),"",IFERROR(INDEX(SupplierRates!$D$5:$D$500,MATCH($K2103&amp;"|"&amp;$L2103,SupplierRates!$A$5:$A$500,0)),0))</f>
        <v/>
      </c>
      <c r="Q2103" s="26" t="str">
        <f aca="false">IF(OR($D2103="",$J2103&lt;&gt;"Supplier"),"",IFERROR(INDEX(SupplierRates!$E$5:$E$500,MATCH($K2103&amp;"|"&amp;$L2103,SupplierRates!$A$5:$A$500,0)),0))</f>
        <v/>
      </c>
      <c r="R2103" s="26" t="n">
        <f aca="false">IF(OR($D2103="",$J2103&lt;&gt;"Supplier"),0,F2103*P2103+G2103*Q2103)</f>
        <v>0</v>
      </c>
      <c r="S2103" s="26" t="n">
        <f aca="false">IF(OR($D2103="",$J2103&lt;&gt;"Own"),0,IFERROR((F2103+G2103*Settings!$B$13)*INDEX(Workers!$V$5:$V$2004,MATCH($D2103,Workers!$A$5:$A$2004,0)),0))</f>
        <v>0</v>
      </c>
      <c r="T2103" s="26" t="str">
        <f aca="false">IF($D2103="","",O2103-R2103-S2103)</f>
        <v/>
      </c>
    </row>
    <row r="2104" customFormat="false" ht="15" hidden="false" customHeight="false" outlineLevel="0" collapsed="false">
      <c r="I2104" s="24" t="str">
        <f aca="false">IF($D2104="","",IFERROR(INDEX(Workers!$B$5:$B$2004,MATCH($D2104,Workers!$A$5:$A$2004,0)),"NOT FOUND"))</f>
        <v/>
      </c>
      <c r="J2104" s="24" t="str">
        <f aca="false">IF($D2104="","",IFERROR(INDEX(Workers!$C$5:$C$2004,MATCH($D2104,Workers!$A$5:$A$2004,0)),""))</f>
        <v/>
      </c>
      <c r="K2104" s="24" t="str">
        <f aca="false">IF($D2104="","",IFERROR(IF(INDEX(Workers!$D$5:$D$2004,MATCH($D2104,Workers!$A$5:$A$2004,0))=0,"",INDEX(Workers!$D$5:$D$2004,MATCH($D2104,Workers!$A$5:$A$2004,0))),""))</f>
        <v/>
      </c>
      <c r="L2104" s="24" t="str">
        <f aca="false">IF($D2104="","",IFERROR(INDEX(Workers!$E$5:$E$2004,MATCH($D2104,Workers!$A$5:$A$2004,0)),""))</f>
        <v/>
      </c>
      <c r="M2104" s="26" t="str">
        <f aca="false">IF($D2104="","",IFERROR(INDEX(ClientRates!$D$5:$D$500,MATCH($B2104&amp;"|"&amp;$L2104,ClientRates!$A$5:$A$500,0)),0))</f>
        <v/>
      </c>
      <c r="N2104" s="26" t="str">
        <f aca="false">IF($D2104="","",IFERROR(INDEX(ClientRates!$E$5:$E$500,MATCH($B2104&amp;"|"&amp;$L2104,ClientRates!$A$5:$A$500,0)),0))</f>
        <v/>
      </c>
      <c r="O2104" s="26" t="str">
        <f aca="false">IF($D2104="","",F2104*M2104+G2104*N2104)</f>
        <v/>
      </c>
      <c r="P2104" s="26" t="str">
        <f aca="false">IF(OR($D2104="",$J2104&lt;&gt;"Supplier"),"",IFERROR(INDEX(SupplierRates!$D$5:$D$500,MATCH($K2104&amp;"|"&amp;$L2104,SupplierRates!$A$5:$A$500,0)),0))</f>
        <v/>
      </c>
      <c r="Q2104" s="26" t="str">
        <f aca="false">IF(OR($D2104="",$J2104&lt;&gt;"Supplier"),"",IFERROR(INDEX(SupplierRates!$E$5:$E$500,MATCH($K2104&amp;"|"&amp;$L2104,SupplierRates!$A$5:$A$500,0)),0))</f>
        <v/>
      </c>
      <c r="R2104" s="26" t="n">
        <f aca="false">IF(OR($D2104="",$J2104&lt;&gt;"Supplier"),0,F2104*P2104+G2104*Q2104)</f>
        <v>0</v>
      </c>
      <c r="S2104" s="26" t="n">
        <f aca="false">IF(OR($D2104="",$J2104&lt;&gt;"Own"),0,IFERROR((F2104+G2104*Settings!$B$13)*INDEX(Workers!$V$5:$V$2004,MATCH($D2104,Workers!$A$5:$A$2004,0)),0))</f>
        <v>0</v>
      </c>
      <c r="T2104" s="26" t="str">
        <f aca="false">IF($D2104="","",O2104-R2104-S2104)</f>
        <v/>
      </c>
    </row>
    <row r="2105" customFormat="false" ht="15" hidden="false" customHeight="false" outlineLevel="0" collapsed="false">
      <c r="I2105" s="24" t="str">
        <f aca="false">IF($D2105="","",IFERROR(INDEX(Workers!$B$5:$B$2004,MATCH($D2105,Workers!$A$5:$A$2004,0)),"NOT FOUND"))</f>
        <v/>
      </c>
      <c r="J2105" s="24" t="str">
        <f aca="false">IF($D2105="","",IFERROR(INDEX(Workers!$C$5:$C$2004,MATCH($D2105,Workers!$A$5:$A$2004,0)),""))</f>
        <v/>
      </c>
      <c r="K2105" s="24" t="str">
        <f aca="false">IF($D2105="","",IFERROR(IF(INDEX(Workers!$D$5:$D$2004,MATCH($D2105,Workers!$A$5:$A$2004,0))=0,"",INDEX(Workers!$D$5:$D$2004,MATCH($D2105,Workers!$A$5:$A$2004,0))),""))</f>
        <v/>
      </c>
      <c r="L2105" s="24" t="str">
        <f aca="false">IF($D2105="","",IFERROR(INDEX(Workers!$E$5:$E$2004,MATCH($D2105,Workers!$A$5:$A$2004,0)),""))</f>
        <v/>
      </c>
      <c r="M2105" s="26" t="str">
        <f aca="false">IF($D2105="","",IFERROR(INDEX(ClientRates!$D$5:$D$500,MATCH($B2105&amp;"|"&amp;$L2105,ClientRates!$A$5:$A$500,0)),0))</f>
        <v/>
      </c>
      <c r="N2105" s="26" t="str">
        <f aca="false">IF($D2105="","",IFERROR(INDEX(ClientRates!$E$5:$E$500,MATCH($B2105&amp;"|"&amp;$L2105,ClientRates!$A$5:$A$500,0)),0))</f>
        <v/>
      </c>
      <c r="O2105" s="26" t="str">
        <f aca="false">IF($D2105="","",F2105*M2105+G2105*N2105)</f>
        <v/>
      </c>
      <c r="P2105" s="26" t="str">
        <f aca="false">IF(OR($D2105="",$J2105&lt;&gt;"Supplier"),"",IFERROR(INDEX(SupplierRates!$D$5:$D$500,MATCH($K2105&amp;"|"&amp;$L2105,SupplierRates!$A$5:$A$500,0)),0))</f>
        <v/>
      </c>
      <c r="Q2105" s="26" t="str">
        <f aca="false">IF(OR($D2105="",$J2105&lt;&gt;"Supplier"),"",IFERROR(INDEX(SupplierRates!$E$5:$E$500,MATCH($K2105&amp;"|"&amp;$L2105,SupplierRates!$A$5:$A$500,0)),0))</f>
        <v/>
      </c>
      <c r="R2105" s="26" t="n">
        <f aca="false">IF(OR($D2105="",$J2105&lt;&gt;"Supplier"),0,F2105*P2105+G2105*Q2105)</f>
        <v>0</v>
      </c>
      <c r="S2105" s="26" t="n">
        <f aca="false">IF(OR($D2105="",$J2105&lt;&gt;"Own"),0,IFERROR((F2105+G2105*Settings!$B$13)*INDEX(Workers!$V$5:$V$2004,MATCH($D2105,Workers!$A$5:$A$2004,0)),0))</f>
        <v>0</v>
      </c>
      <c r="T2105" s="26" t="str">
        <f aca="false">IF($D2105="","",O2105-R2105-S2105)</f>
        <v/>
      </c>
    </row>
    <row r="2106" customFormat="false" ht="15" hidden="false" customHeight="false" outlineLevel="0" collapsed="false">
      <c r="I2106" s="24" t="str">
        <f aca="false">IF($D2106="","",IFERROR(INDEX(Workers!$B$5:$B$2004,MATCH($D2106,Workers!$A$5:$A$2004,0)),"NOT FOUND"))</f>
        <v/>
      </c>
      <c r="J2106" s="24" t="str">
        <f aca="false">IF($D2106="","",IFERROR(INDEX(Workers!$C$5:$C$2004,MATCH($D2106,Workers!$A$5:$A$2004,0)),""))</f>
        <v/>
      </c>
      <c r="K2106" s="24" t="str">
        <f aca="false">IF($D2106="","",IFERROR(IF(INDEX(Workers!$D$5:$D$2004,MATCH($D2106,Workers!$A$5:$A$2004,0))=0,"",INDEX(Workers!$D$5:$D$2004,MATCH($D2106,Workers!$A$5:$A$2004,0))),""))</f>
        <v/>
      </c>
      <c r="L2106" s="24" t="str">
        <f aca="false">IF($D2106="","",IFERROR(INDEX(Workers!$E$5:$E$2004,MATCH($D2106,Workers!$A$5:$A$2004,0)),""))</f>
        <v/>
      </c>
      <c r="M2106" s="26" t="str">
        <f aca="false">IF($D2106="","",IFERROR(INDEX(ClientRates!$D$5:$D$500,MATCH($B2106&amp;"|"&amp;$L2106,ClientRates!$A$5:$A$500,0)),0))</f>
        <v/>
      </c>
      <c r="N2106" s="26" t="str">
        <f aca="false">IF($D2106="","",IFERROR(INDEX(ClientRates!$E$5:$E$500,MATCH($B2106&amp;"|"&amp;$L2106,ClientRates!$A$5:$A$500,0)),0))</f>
        <v/>
      </c>
      <c r="O2106" s="26" t="str">
        <f aca="false">IF($D2106="","",F2106*M2106+G2106*N2106)</f>
        <v/>
      </c>
      <c r="P2106" s="26" t="str">
        <f aca="false">IF(OR($D2106="",$J2106&lt;&gt;"Supplier"),"",IFERROR(INDEX(SupplierRates!$D$5:$D$500,MATCH($K2106&amp;"|"&amp;$L2106,SupplierRates!$A$5:$A$500,0)),0))</f>
        <v/>
      </c>
      <c r="Q2106" s="26" t="str">
        <f aca="false">IF(OR($D2106="",$J2106&lt;&gt;"Supplier"),"",IFERROR(INDEX(SupplierRates!$E$5:$E$500,MATCH($K2106&amp;"|"&amp;$L2106,SupplierRates!$A$5:$A$500,0)),0))</f>
        <v/>
      </c>
      <c r="R2106" s="26" t="n">
        <f aca="false">IF(OR($D2106="",$J2106&lt;&gt;"Supplier"),0,F2106*P2106+G2106*Q2106)</f>
        <v>0</v>
      </c>
      <c r="S2106" s="26" t="n">
        <f aca="false">IF(OR($D2106="",$J2106&lt;&gt;"Own"),0,IFERROR((F2106+G2106*Settings!$B$13)*INDEX(Workers!$V$5:$V$2004,MATCH($D2106,Workers!$A$5:$A$2004,0)),0))</f>
        <v>0</v>
      </c>
      <c r="T2106" s="26" t="str">
        <f aca="false">IF($D2106="","",O2106-R2106-S2106)</f>
        <v/>
      </c>
    </row>
    <row r="2107" customFormat="false" ht="15" hidden="false" customHeight="false" outlineLevel="0" collapsed="false">
      <c r="I2107" s="24" t="str">
        <f aca="false">IF($D2107="","",IFERROR(INDEX(Workers!$B$5:$B$2004,MATCH($D2107,Workers!$A$5:$A$2004,0)),"NOT FOUND"))</f>
        <v/>
      </c>
      <c r="J2107" s="24" t="str">
        <f aca="false">IF($D2107="","",IFERROR(INDEX(Workers!$C$5:$C$2004,MATCH($D2107,Workers!$A$5:$A$2004,0)),""))</f>
        <v/>
      </c>
      <c r="K2107" s="24" t="str">
        <f aca="false">IF($D2107="","",IFERROR(IF(INDEX(Workers!$D$5:$D$2004,MATCH($D2107,Workers!$A$5:$A$2004,0))=0,"",INDEX(Workers!$D$5:$D$2004,MATCH($D2107,Workers!$A$5:$A$2004,0))),""))</f>
        <v/>
      </c>
      <c r="L2107" s="24" t="str">
        <f aca="false">IF($D2107="","",IFERROR(INDEX(Workers!$E$5:$E$2004,MATCH($D2107,Workers!$A$5:$A$2004,0)),""))</f>
        <v/>
      </c>
      <c r="M2107" s="26" t="str">
        <f aca="false">IF($D2107="","",IFERROR(INDEX(ClientRates!$D$5:$D$500,MATCH($B2107&amp;"|"&amp;$L2107,ClientRates!$A$5:$A$500,0)),0))</f>
        <v/>
      </c>
      <c r="N2107" s="26" t="str">
        <f aca="false">IF($D2107="","",IFERROR(INDEX(ClientRates!$E$5:$E$500,MATCH($B2107&amp;"|"&amp;$L2107,ClientRates!$A$5:$A$500,0)),0))</f>
        <v/>
      </c>
      <c r="O2107" s="26" t="str">
        <f aca="false">IF($D2107="","",F2107*M2107+G2107*N2107)</f>
        <v/>
      </c>
      <c r="P2107" s="26" t="str">
        <f aca="false">IF(OR($D2107="",$J2107&lt;&gt;"Supplier"),"",IFERROR(INDEX(SupplierRates!$D$5:$D$500,MATCH($K2107&amp;"|"&amp;$L2107,SupplierRates!$A$5:$A$500,0)),0))</f>
        <v/>
      </c>
      <c r="Q2107" s="26" t="str">
        <f aca="false">IF(OR($D2107="",$J2107&lt;&gt;"Supplier"),"",IFERROR(INDEX(SupplierRates!$E$5:$E$500,MATCH($K2107&amp;"|"&amp;$L2107,SupplierRates!$A$5:$A$500,0)),0))</f>
        <v/>
      </c>
      <c r="R2107" s="26" t="n">
        <f aca="false">IF(OR($D2107="",$J2107&lt;&gt;"Supplier"),0,F2107*P2107+G2107*Q2107)</f>
        <v>0</v>
      </c>
      <c r="S2107" s="26" t="n">
        <f aca="false">IF(OR($D2107="",$J2107&lt;&gt;"Own"),0,IFERROR((F2107+G2107*Settings!$B$13)*INDEX(Workers!$V$5:$V$2004,MATCH($D2107,Workers!$A$5:$A$2004,0)),0))</f>
        <v>0</v>
      </c>
      <c r="T2107" s="26" t="str">
        <f aca="false">IF($D2107="","",O2107-R2107-S2107)</f>
        <v/>
      </c>
    </row>
    <row r="2108" customFormat="false" ht="15" hidden="false" customHeight="false" outlineLevel="0" collapsed="false">
      <c r="I2108" s="24" t="str">
        <f aca="false">IF($D2108="","",IFERROR(INDEX(Workers!$B$5:$B$2004,MATCH($D2108,Workers!$A$5:$A$2004,0)),"NOT FOUND"))</f>
        <v/>
      </c>
      <c r="J2108" s="24" t="str">
        <f aca="false">IF($D2108="","",IFERROR(INDEX(Workers!$C$5:$C$2004,MATCH($D2108,Workers!$A$5:$A$2004,0)),""))</f>
        <v/>
      </c>
      <c r="K2108" s="24" t="str">
        <f aca="false">IF($D2108="","",IFERROR(IF(INDEX(Workers!$D$5:$D$2004,MATCH($D2108,Workers!$A$5:$A$2004,0))=0,"",INDEX(Workers!$D$5:$D$2004,MATCH($D2108,Workers!$A$5:$A$2004,0))),""))</f>
        <v/>
      </c>
      <c r="L2108" s="24" t="str">
        <f aca="false">IF($D2108="","",IFERROR(INDEX(Workers!$E$5:$E$2004,MATCH($D2108,Workers!$A$5:$A$2004,0)),""))</f>
        <v/>
      </c>
      <c r="M2108" s="26" t="str">
        <f aca="false">IF($D2108="","",IFERROR(INDEX(ClientRates!$D$5:$D$500,MATCH($B2108&amp;"|"&amp;$L2108,ClientRates!$A$5:$A$500,0)),0))</f>
        <v/>
      </c>
      <c r="N2108" s="26" t="str">
        <f aca="false">IF($D2108="","",IFERROR(INDEX(ClientRates!$E$5:$E$500,MATCH($B2108&amp;"|"&amp;$L2108,ClientRates!$A$5:$A$500,0)),0))</f>
        <v/>
      </c>
      <c r="O2108" s="26" t="str">
        <f aca="false">IF($D2108="","",F2108*M2108+G2108*N2108)</f>
        <v/>
      </c>
      <c r="P2108" s="26" t="str">
        <f aca="false">IF(OR($D2108="",$J2108&lt;&gt;"Supplier"),"",IFERROR(INDEX(SupplierRates!$D$5:$D$500,MATCH($K2108&amp;"|"&amp;$L2108,SupplierRates!$A$5:$A$500,0)),0))</f>
        <v/>
      </c>
      <c r="Q2108" s="26" t="str">
        <f aca="false">IF(OR($D2108="",$J2108&lt;&gt;"Supplier"),"",IFERROR(INDEX(SupplierRates!$E$5:$E$500,MATCH($K2108&amp;"|"&amp;$L2108,SupplierRates!$A$5:$A$500,0)),0))</f>
        <v/>
      </c>
      <c r="R2108" s="26" t="n">
        <f aca="false">IF(OR($D2108="",$J2108&lt;&gt;"Supplier"),0,F2108*P2108+G2108*Q2108)</f>
        <v>0</v>
      </c>
      <c r="S2108" s="26" t="n">
        <f aca="false">IF(OR($D2108="",$J2108&lt;&gt;"Own"),0,IFERROR((F2108+G2108*Settings!$B$13)*INDEX(Workers!$V$5:$V$2004,MATCH($D2108,Workers!$A$5:$A$2004,0)),0))</f>
        <v>0</v>
      </c>
      <c r="T2108" s="26" t="str">
        <f aca="false">IF($D2108="","",O2108-R2108-S2108)</f>
        <v/>
      </c>
    </row>
    <row r="2109" customFormat="false" ht="15" hidden="false" customHeight="false" outlineLevel="0" collapsed="false">
      <c r="I2109" s="24" t="str">
        <f aca="false">IF($D2109="","",IFERROR(INDEX(Workers!$B$5:$B$2004,MATCH($D2109,Workers!$A$5:$A$2004,0)),"NOT FOUND"))</f>
        <v/>
      </c>
      <c r="J2109" s="24" t="str">
        <f aca="false">IF($D2109="","",IFERROR(INDEX(Workers!$C$5:$C$2004,MATCH($D2109,Workers!$A$5:$A$2004,0)),""))</f>
        <v/>
      </c>
      <c r="K2109" s="24" t="str">
        <f aca="false">IF($D2109="","",IFERROR(IF(INDEX(Workers!$D$5:$D$2004,MATCH($D2109,Workers!$A$5:$A$2004,0))=0,"",INDEX(Workers!$D$5:$D$2004,MATCH($D2109,Workers!$A$5:$A$2004,0))),""))</f>
        <v/>
      </c>
      <c r="L2109" s="24" t="str">
        <f aca="false">IF($D2109="","",IFERROR(INDEX(Workers!$E$5:$E$2004,MATCH($D2109,Workers!$A$5:$A$2004,0)),""))</f>
        <v/>
      </c>
      <c r="M2109" s="26" t="str">
        <f aca="false">IF($D2109="","",IFERROR(INDEX(ClientRates!$D$5:$D$500,MATCH($B2109&amp;"|"&amp;$L2109,ClientRates!$A$5:$A$500,0)),0))</f>
        <v/>
      </c>
      <c r="N2109" s="26" t="str">
        <f aca="false">IF($D2109="","",IFERROR(INDEX(ClientRates!$E$5:$E$500,MATCH($B2109&amp;"|"&amp;$L2109,ClientRates!$A$5:$A$500,0)),0))</f>
        <v/>
      </c>
      <c r="O2109" s="26" t="str">
        <f aca="false">IF($D2109="","",F2109*M2109+G2109*N2109)</f>
        <v/>
      </c>
      <c r="P2109" s="26" t="str">
        <f aca="false">IF(OR($D2109="",$J2109&lt;&gt;"Supplier"),"",IFERROR(INDEX(SupplierRates!$D$5:$D$500,MATCH($K2109&amp;"|"&amp;$L2109,SupplierRates!$A$5:$A$500,0)),0))</f>
        <v/>
      </c>
      <c r="Q2109" s="26" t="str">
        <f aca="false">IF(OR($D2109="",$J2109&lt;&gt;"Supplier"),"",IFERROR(INDEX(SupplierRates!$E$5:$E$500,MATCH($K2109&amp;"|"&amp;$L2109,SupplierRates!$A$5:$A$500,0)),0))</f>
        <v/>
      </c>
      <c r="R2109" s="26" t="n">
        <f aca="false">IF(OR($D2109="",$J2109&lt;&gt;"Supplier"),0,F2109*P2109+G2109*Q2109)</f>
        <v>0</v>
      </c>
      <c r="S2109" s="26" t="n">
        <f aca="false">IF(OR($D2109="",$J2109&lt;&gt;"Own"),0,IFERROR((F2109+G2109*Settings!$B$13)*INDEX(Workers!$V$5:$V$2004,MATCH($D2109,Workers!$A$5:$A$2004,0)),0))</f>
        <v>0</v>
      </c>
      <c r="T2109" s="26" t="str">
        <f aca="false">IF($D2109="","",O2109-R2109-S2109)</f>
        <v/>
      </c>
    </row>
    <row r="2110" customFormat="false" ht="15" hidden="false" customHeight="false" outlineLevel="0" collapsed="false">
      <c r="I2110" s="24" t="str">
        <f aca="false">IF($D2110="","",IFERROR(INDEX(Workers!$B$5:$B$2004,MATCH($D2110,Workers!$A$5:$A$2004,0)),"NOT FOUND"))</f>
        <v/>
      </c>
      <c r="J2110" s="24" t="str">
        <f aca="false">IF($D2110="","",IFERROR(INDEX(Workers!$C$5:$C$2004,MATCH($D2110,Workers!$A$5:$A$2004,0)),""))</f>
        <v/>
      </c>
      <c r="K2110" s="24" t="str">
        <f aca="false">IF($D2110="","",IFERROR(IF(INDEX(Workers!$D$5:$D$2004,MATCH($D2110,Workers!$A$5:$A$2004,0))=0,"",INDEX(Workers!$D$5:$D$2004,MATCH($D2110,Workers!$A$5:$A$2004,0))),""))</f>
        <v/>
      </c>
      <c r="L2110" s="24" t="str">
        <f aca="false">IF($D2110="","",IFERROR(INDEX(Workers!$E$5:$E$2004,MATCH($D2110,Workers!$A$5:$A$2004,0)),""))</f>
        <v/>
      </c>
      <c r="M2110" s="26" t="str">
        <f aca="false">IF($D2110="","",IFERROR(INDEX(ClientRates!$D$5:$D$500,MATCH($B2110&amp;"|"&amp;$L2110,ClientRates!$A$5:$A$500,0)),0))</f>
        <v/>
      </c>
      <c r="N2110" s="26" t="str">
        <f aca="false">IF($D2110="","",IFERROR(INDEX(ClientRates!$E$5:$E$500,MATCH($B2110&amp;"|"&amp;$L2110,ClientRates!$A$5:$A$500,0)),0))</f>
        <v/>
      </c>
      <c r="O2110" s="26" t="str">
        <f aca="false">IF($D2110="","",F2110*M2110+G2110*N2110)</f>
        <v/>
      </c>
      <c r="P2110" s="26" t="str">
        <f aca="false">IF(OR($D2110="",$J2110&lt;&gt;"Supplier"),"",IFERROR(INDEX(SupplierRates!$D$5:$D$500,MATCH($K2110&amp;"|"&amp;$L2110,SupplierRates!$A$5:$A$500,0)),0))</f>
        <v/>
      </c>
      <c r="Q2110" s="26" t="str">
        <f aca="false">IF(OR($D2110="",$J2110&lt;&gt;"Supplier"),"",IFERROR(INDEX(SupplierRates!$E$5:$E$500,MATCH($K2110&amp;"|"&amp;$L2110,SupplierRates!$A$5:$A$500,0)),0))</f>
        <v/>
      </c>
      <c r="R2110" s="26" t="n">
        <f aca="false">IF(OR($D2110="",$J2110&lt;&gt;"Supplier"),0,F2110*P2110+G2110*Q2110)</f>
        <v>0</v>
      </c>
      <c r="S2110" s="26" t="n">
        <f aca="false">IF(OR($D2110="",$J2110&lt;&gt;"Own"),0,IFERROR((F2110+G2110*Settings!$B$13)*INDEX(Workers!$V$5:$V$2004,MATCH($D2110,Workers!$A$5:$A$2004,0)),0))</f>
        <v>0</v>
      </c>
      <c r="T2110" s="26" t="str">
        <f aca="false">IF($D2110="","",O2110-R2110-S2110)</f>
        <v/>
      </c>
    </row>
    <row r="2111" customFormat="false" ht="15" hidden="false" customHeight="false" outlineLevel="0" collapsed="false">
      <c r="I2111" s="24" t="str">
        <f aca="false">IF($D2111="","",IFERROR(INDEX(Workers!$B$5:$B$2004,MATCH($D2111,Workers!$A$5:$A$2004,0)),"NOT FOUND"))</f>
        <v/>
      </c>
      <c r="J2111" s="24" t="str">
        <f aca="false">IF($D2111="","",IFERROR(INDEX(Workers!$C$5:$C$2004,MATCH($D2111,Workers!$A$5:$A$2004,0)),""))</f>
        <v/>
      </c>
      <c r="K2111" s="24" t="str">
        <f aca="false">IF($D2111="","",IFERROR(IF(INDEX(Workers!$D$5:$D$2004,MATCH($D2111,Workers!$A$5:$A$2004,0))=0,"",INDEX(Workers!$D$5:$D$2004,MATCH($D2111,Workers!$A$5:$A$2004,0))),""))</f>
        <v/>
      </c>
      <c r="L2111" s="24" t="str">
        <f aca="false">IF($D2111="","",IFERROR(INDEX(Workers!$E$5:$E$2004,MATCH($D2111,Workers!$A$5:$A$2004,0)),""))</f>
        <v/>
      </c>
      <c r="M2111" s="26" t="str">
        <f aca="false">IF($D2111="","",IFERROR(INDEX(ClientRates!$D$5:$D$500,MATCH($B2111&amp;"|"&amp;$L2111,ClientRates!$A$5:$A$500,0)),0))</f>
        <v/>
      </c>
      <c r="N2111" s="26" t="str">
        <f aca="false">IF($D2111="","",IFERROR(INDEX(ClientRates!$E$5:$E$500,MATCH($B2111&amp;"|"&amp;$L2111,ClientRates!$A$5:$A$500,0)),0))</f>
        <v/>
      </c>
      <c r="O2111" s="26" t="str">
        <f aca="false">IF($D2111="","",F2111*M2111+G2111*N2111)</f>
        <v/>
      </c>
      <c r="P2111" s="26" t="str">
        <f aca="false">IF(OR($D2111="",$J2111&lt;&gt;"Supplier"),"",IFERROR(INDEX(SupplierRates!$D$5:$D$500,MATCH($K2111&amp;"|"&amp;$L2111,SupplierRates!$A$5:$A$500,0)),0))</f>
        <v/>
      </c>
      <c r="Q2111" s="26" t="str">
        <f aca="false">IF(OR($D2111="",$J2111&lt;&gt;"Supplier"),"",IFERROR(INDEX(SupplierRates!$E$5:$E$500,MATCH($K2111&amp;"|"&amp;$L2111,SupplierRates!$A$5:$A$500,0)),0))</f>
        <v/>
      </c>
      <c r="R2111" s="26" t="n">
        <f aca="false">IF(OR($D2111="",$J2111&lt;&gt;"Supplier"),0,F2111*P2111+G2111*Q2111)</f>
        <v>0</v>
      </c>
      <c r="S2111" s="26" t="n">
        <f aca="false">IF(OR($D2111="",$J2111&lt;&gt;"Own"),0,IFERROR((F2111+G2111*Settings!$B$13)*INDEX(Workers!$V$5:$V$2004,MATCH($D2111,Workers!$A$5:$A$2004,0)),0))</f>
        <v>0</v>
      </c>
      <c r="T2111" s="26" t="str">
        <f aca="false">IF($D2111="","",O2111-R2111-S2111)</f>
        <v/>
      </c>
    </row>
    <row r="2112" customFormat="false" ht="15" hidden="false" customHeight="false" outlineLevel="0" collapsed="false">
      <c r="I2112" s="24" t="str">
        <f aca="false">IF($D2112="","",IFERROR(INDEX(Workers!$B$5:$B$2004,MATCH($D2112,Workers!$A$5:$A$2004,0)),"NOT FOUND"))</f>
        <v/>
      </c>
      <c r="J2112" s="24" t="str">
        <f aca="false">IF($D2112="","",IFERROR(INDEX(Workers!$C$5:$C$2004,MATCH($D2112,Workers!$A$5:$A$2004,0)),""))</f>
        <v/>
      </c>
      <c r="K2112" s="24" t="str">
        <f aca="false">IF($D2112="","",IFERROR(IF(INDEX(Workers!$D$5:$D$2004,MATCH($D2112,Workers!$A$5:$A$2004,0))=0,"",INDEX(Workers!$D$5:$D$2004,MATCH($D2112,Workers!$A$5:$A$2004,0))),""))</f>
        <v/>
      </c>
      <c r="L2112" s="24" t="str">
        <f aca="false">IF($D2112="","",IFERROR(INDEX(Workers!$E$5:$E$2004,MATCH($D2112,Workers!$A$5:$A$2004,0)),""))</f>
        <v/>
      </c>
      <c r="M2112" s="26" t="str">
        <f aca="false">IF($D2112="","",IFERROR(INDEX(ClientRates!$D$5:$D$500,MATCH($B2112&amp;"|"&amp;$L2112,ClientRates!$A$5:$A$500,0)),0))</f>
        <v/>
      </c>
      <c r="N2112" s="26" t="str">
        <f aca="false">IF($D2112="","",IFERROR(INDEX(ClientRates!$E$5:$E$500,MATCH($B2112&amp;"|"&amp;$L2112,ClientRates!$A$5:$A$500,0)),0))</f>
        <v/>
      </c>
      <c r="O2112" s="26" t="str">
        <f aca="false">IF($D2112="","",F2112*M2112+G2112*N2112)</f>
        <v/>
      </c>
      <c r="P2112" s="26" t="str">
        <f aca="false">IF(OR($D2112="",$J2112&lt;&gt;"Supplier"),"",IFERROR(INDEX(SupplierRates!$D$5:$D$500,MATCH($K2112&amp;"|"&amp;$L2112,SupplierRates!$A$5:$A$500,0)),0))</f>
        <v/>
      </c>
      <c r="Q2112" s="26" t="str">
        <f aca="false">IF(OR($D2112="",$J2112&lt;&gt;"Supplier"),"",IFERROR(INDEX(SupplierRates!$E$5:$E$500,MATCH($K2112&amp;"|"&amp;$L2112,SupplierRates!$A$5:$A$500,0)),0))</f>
        <v/>
      </c>
      <c r="R2112" s="26" t="n">
        <f aca="false">IF(OR($D2112="",$J2112&lt;&gt;"Supplier"),0,F2112*P2112+G2112*Q2112)</f>
        <v>0</v>
      </c>
      <c r="S2112" s="26" t="n">
        <f aca="false">IF(OR($D2112="",$J2112&lt;&gt;"Own"),0,IFERROR((F2112+G2112*Settings!$B$13)*INDEX(Workers!$V$5:$V$2004,MATCH($D2112,Workers!$A$5:$A$2004,0)),0))</f>
        <v>0</v>
      </c>
      <c r="T2112" s="26" t="str">
        <f aca="false">IF($D2112="","",O2112-R2112-S2112)</f>
        <v/>
      </c>
    </row>
    <row r="2113" customFormat="false" ht="15" hidden="false" customHeight="false" outlineLevel="0" collapsed="false">
      <c r="I2113" s="24" t="str">
        <f aca="false">IF($D2113="","",IFERROR(INDEX(Workers!$B$5:$B$2004,MATCH($D2113,Workers!$A$5:$A$2004,0)),"NOT FOUND"))</f>
        <v/>
      </c>
      <c r="J2113" s="24" t="str">
        <f aca="false">IF($D2113="","",IFERROR(INDEX(Workers!$C$5:$C$2004,MATCH($D2113,Workers!$A$5:$A$2004,0)),""))</f>
        <v/>
      </c>
      <c r="K2113" s="24" t="str">
        <f aca="false">IF($D2113="","",IFERROR(IF(INDEX(Workers!$D$5:$D$2004,MATCH($D2113,Workers!$A$5:$A$2004,0))=0,"",INDEX(Workers!$D$5:$D$2004,MATCH($D2113,Workers!$A$5:$A$2004,0))),""))</f>
        <v/>
      </c>
      <c r="L2113" s="24" t="str">
        <f aca="false">IF($D2113="","",IFERROR(INDEX(Workers!$E$5:$E$2004,MATCH($D2113,Workers!$A$5:$A$2004,0)),""))</f>
        <v/>
      </c>
      <c r="M2113" s="26" t="str">
        <f aca="false">IF($D2113="","",IFERROR(INDEX(ClientRates!$D$5:$D$500,MATCH($B2113&amp;"|"&amp;$L2113,ClientRates!$A$5:$A$500,0)),0))</f>
        <v/>
      </c>
      <c r="N2113" s="26" t="str">
        <f aca="false">IF($D2113="","",IFERROR(INDEX(ClientRates!$E$5:$E$500,MATCH($B2113&amp;"|"&amp;$L2113,ClientRates!$A$5:$A$500,0)),0))</f>
        <v/>
      </c>
      <c r="O2113" s="26" t="str">
        <f aca="false">IF($D2113="","",F2113*M2113+G2113*N2113)</f>
        <v/>
      </c>
      <c r="P2113" s="26" t="str">
        <f aca="false">IF(OR($D2113="",$J2113&lt;&gt;"Supplier"),"",IFERROR(INDEX(SupplierRates!$D$5:$D$500,MATCH($K2113&amp;"|"&amp;$L2113,SupplierRates!$A$5:$A$500,0)),0))</f>
        <v/>
      </c>
      <c r="Q2113" s="26" t="str">
        <f aca="false">IF(OR($D2113="",$J2113&lt;&gt;"Supplier"),"",IFERROR(INDEX(SupplierRates!$E$5:$E$500,MATCH($K2113&amp;"|"&amp;$L2113,SupplierRates!$A$5:$A$500,0)),0))</f>
        <v/>
      </c>
      <c r="R2113" s="26" t="n">
        <f aca="false">IF(OR($D2113="",$J2113&lt;&gt;"Supplier"),0,F2113*P2113+G2113*Q2113)</f>
        <v>0</v>
      </c>
      <c r="S2113" s="26" t="n">
        <f aca="false">IF(OR($D2113="",$J2113&lt;&gt;"Own"),0,IFERROR((F2113+G2113*Settings!$B$13)*INDEX(Workers!$V$5:$V$2004,MATCH($D2113,Workers!$A$5:$A$2004,0)),0))</f>
        <v>0</v>
      </c>
      <c r="T2113" s="26" t="str">
        <f aca="false">IF($D2113="","",O2113-R2113-S2113)</f>
        <v/>
      </c>
    </row>
    <row r="2114" customFormat="false" ht="15" hidden="false" customHeight="false" outlineLevel="0" collapsed="false">
      <c r="I2114" s="24" t="str">
        <f aca="false">IF($D2114="","",IFERROR(INDEX(Workers!$B$5:$B$2004,MATCH($D2114,Workers!$A$5:$A$2004,0)),"NOT FOUND"))</f>
        <v/>
      </c>
      <c r="J2114" s="24" t="str">
        <f aca="false">IF($D2114="","",IFERROR(INDEX(Workers!$C$5:$C$2004,MATCH($D2114,Workers!$A$5:$A$2004,0)),""))</f>
        <v/>
      </c>
      <c r="K2114" s="24" t="str">
        <f aca="false">IF($D2114="","",IFERROR(IF(INDEX(Workers!$D$5:$D$2004,MATCH($D2114,Workers!$A$5:$A$2004,0))=0,"",INDEX(Workers!$D$5:$D$2004,MATCH($D2114,Workers!$A$5:$A$2004,0))),""))</f>
        <v/>
      </c>
      <c r="L2114" s="24" t="str">
        <f aca="false">IF($D2114="","",IFERROR(INDEX(Workers!$E$5:$E$2004,MATCH($D2114,Workers!$A$5:$A$2004,0)),""))</f>
        <v/>
      </c>
      <c r="M2114" s="26" t="str">
        <f aca="false">IF($D2114="","",IFERROR(INDEX(ClientRates!$D$5:$D$500,MATCH($B2114&amp;"|"&amp;$L2114,ClientRates!$A$5:$A$500,0)),0))</f>
        <v/>
      </c>
      <c r="N2114" s="26" t="str">
        <f aca="false">IF($D2114="","",IFERROR(INDEX(ClientRates!$E$5:$E$500,MATCH($B2114&amp;"|"&amp;$L2114,ClientRates!$A$5:$A$500,0)),0))</f>
        <v/>
      </c>
      <c r="O2114" s="26" t="str">
        <f aca="false">IF($D2114="","",F2114*M2114+G2114*N2114)</f>
        <v/>
      </c>
      <c r="P2114" s="26" t="str">
        <f aca="false">IF(OR($D2114="",$J2114&lt;&gt;"Supplier"),"",IFERROR(INDEX(SupplierRates!$D$5:$D$500,MATCH($K2114&amp;"|"&amp;$L2114,SupplierRates!$A$5:$A$500,0)),0))</f>
        <v/>
      </c>
      <c r="Q2114" s="26" t="str">
        <f aca="false">IF(OR($D2114="",$J2114&lt;&gt;"Supplier"),"",IFERROR(INDEX(SupplierRates!$E$5:$E$500,MATCH($K2114&amp;"|"&amp;$L2114,SupplierRates!$A$5:$A$500,0)),0))</f>
        <v/>
      </c>
      <c r="R2114" s="26" t="n">
        <f aca="false">IF(OR($D2114="",$J2114&lt;&gt;"Supplier"),0,F2114*P2114+G2114*Q2114)</f>
        <v>0</v>
      </c>
      <c r="S2114" s="26" t="n">
        <f aca="false">IF(OR($D2114="",$J2114&lt;&gt;"Own"),0,IFERROR((F2114+G2114*Settings!$B$13)*INDEX(Workers!$V$5:$V$2004,MATCH($D2114,Workers!$A$5:$A$2004,0)),0))</f>
        <v>0</v>
      </c>
      <c r="T2114" s="26" t="str">
        <f aca="false">IF($D2114="","",O2114-R2114-S2114)</f>
        <v/>
      </c>
    </row>
    <row r="2115" customFormat="false" ht="15" hidden="false" customHeight="false" outlineLevel="0" collapsed="false">
      <c r="I2115" s="24" t="str">
        <f aca="false">IF($D2115="","",IFERROR(INDEX(Workers!$B$5:$B$2004,MATCH($D2115,Workers!$A$5:$A$2004,0)),"NOT FOUND"))</f>
        <v/>
      </c>
      <c r="J2115" s="24" t="str">
        <f aca="false">IF($D2115="","",IFERROR(INDEX(Workers!$C$5:$C$2004,MATCH($D2115,Workers!$A$5:$A$2004,0)),""))</f>
        <v/>
      </c>
      <c r="K2115" s="24" t="str">
        <f aca="false">IF($D2115="","",IFERROR(IF(INDEX(Workers!$D$5:$D$2004,MATCH($D2115,Workers!$A$5:$A$2004,0))=0,"",INDEX(Workers!$D$5:$D$2004,MATCH($D2115,Workers!$A$5:$A$2004,0))),""))</f>
        <v/>
      </c>
      <c r="L2115" s="24" t="str">
        <f aca="false">IF($D2115="","",IFERROR(INDEX(Workers!$E$5:$E$2004,MATCH($D2115,Workers!$A$5:$A$2004,0)),""))</f>
        <v/>
      </c>
      <c r="M2115" s="26" t="str">
        <f aca="false">IF($D2115="","",IFERROR(INDEX(ClientRates!$D$5:$D$500,MATCH($B2115&amp;"|"&amp;$L2115,ClientRates!$A$5:$A$500,0)),0))</f>
        <v/>
      </c>
      <c r="N2115" s="26" t="str">
        <f aca="false">IF($D2115="","",IFERROR(INDEX(ClientRates!$E$5:$E$500,MATCH($B2115&amp;"|"&amp;$L2115,ClientRates!$A$5:$A$500,0)),0))</f>
        <v/>
      </c>
      <c r="O2115" s="26" t="str">
        <f aca="false">IF($D2115="","",F2115*M2115+G2115*N2115)</f>
        <v/>
      </c>
      <c r="P2115" s="26" t="str">
        <f aca="false">IF(OR($D2115="",$J2115&lt;&gt;"Supplier"),"",IFERROR(INDEX(SupplierRates!$D$5:$D$500,MATCH($K2115&amp;"|"&amp;$L2115,SupplierRates!$A$5:$A$500,0)),0))</f>
        <v/>
      </c>
      <c r="Q2115" s="26" t="str">
        <f aca="false">IF(OR($D2115="",$J2115&lt;&gt;"Supplier"),"",IFERROR(INDEX(SupplierRates!$E$5:$E$500,MATCH($K2115&amp;"|"&amp;$L2115,SupplierRates!$A$5:$A$500,0)),0))</f>
        <v/>
      </c>
      <c r="R2115" s="26" t="n">
        <f aca="false">IF(OR($D2115="",$J2115&lt;&gt;"Supplier"),0,F2115*P2115+G2115*Q2115)</f>
        <v>0</v>
      </c>
      <c r="S2115" s="26" t="n">
        <f aca="false">IF(OR($D2115="",$J2115&lt;&gt;"Own"),0,IFERROR((F2115+G2115*Settings!$B$13)*INDEX(Workers!$V$5:$V$2004,MATCH($D2115,Workers!$A$5:$A$2004,0)),0))</f>
        <v>0</v>
      </c>
      <c r="T2115" s="26" t="str">
        <f aca="false">IF($D2115="","",O2115-R2115-S2115)</f>
        <v/>
      </c>
    </row>
    <row r="2116" customFormat="false" ht="15" hidden="false" customHeight="false" outlineLevel="0" collapsed="false">
      <c r="I2116" s="24" t="str">
        <f aca="false">IF($D2116="","",IFERROR(INDEX(Workers!$B$5:$B$2004,MATCH($D2116,Workers!$A$5:$A$2004,0)),"NOT FOUND"))</f>
        <v/>
      </c>
      <c r="J2116" s="24" t="str">
        <f aca="false">IF($D2116="","",IFERROR(INDEX(Workers!$C$5:$C$2004,MATCH($D2116,Workers!$A$5:$A$2004,0)),""))</f>
        <v/>
      </c>
      <c r="K2116" s="24" t="str">
        <f aca="false">IF($D2116="","",IFERROR(IF(INDEX(Workers!$D$5:$D$2004,MATCH($D2116,Workers!$A$5:$A$2004,0))=0,"",INDEX(Workers!$D$5:$D$2004,MATCH($D2116,Workers!$A$5:$A$2004,0))),""))</f>
        <v/>
      </c>
      <c r="L2116" s="24" t="str">
        <f aca="false">IF($D2116="","",IFERROR(INDEX(Workers!$E$5:$E$2004,MATCH($D2116,Workers!$A$5:$A$2004,0)),""))</f>
        <v/>
      </c>
      <c r="M2116" s="26" t="str">
        <f aca="false">IF($D2116="","",IFERROR(INDEX(ClientRates!$D$5:$D$500,MATCH($B2116&amp;"|"&amp;$L2116,ClientRates!$A$5:$A$500,0)),0))</f>
        <v/>
      </c>
      <c r="N2116" s="26" t="str">
        <f aca="false">IF($D2116="","",IFERROR(INDEX(ClientRates!$E$5:$E$500,MATCH($B2116&amp;"|"&amp;$L2116,ClientRates!$A$5:$A$500,0)),0))</f>
        <v/>
      </c>
      <c r="O2116" s="26" t="str">
        <f aca="false">IF($D2116="","",F2116*M2116+G2116*N2116)</f>
        <v/>
      </c>
      <c r="P2116" s="26" t="str">
        <f aca="false">IF(OR($D2116="",$J2116&lt;&gt;"Supplier"),"",IFERROR(INDEX(SupplierRates!$D$5:$D$500,MATCH($K2116&amp;"|"&amp;$L2116,SupplierRates!$A$5:$A$500,0)),0))</f>
        <v/>
      </c>
      <c r="Q2116" s="26" t="str">
        <f aca="false">IF(OR($D2116="",$J2116&lt;&gt;"Supplier"),"",IFERROR(INDEX(SupplierRates!$E$5:$E$500,MATCH($K2116&amp;"|"&amp;$L2116,SupplierRates!$A$5:$A$500,0)),0))</f>
        <v/>
      </c>
      <c r="R2116" s="26" t="n">
        <f aca="false">IF(OR($D2116="",$J2116&lt;&gt;"Supplier"),0,F2116*P2116+G2116*Q2116)</f>
        <v>0</v>
      </c>
      <c r="S2116" s="26" t="n">
        <f aca="false">IF(OR($D2116="",$J2116&lt;&gt;"Own"),0,IFERROR((F2116+G2116*Settings!$B$13)*INDEX(Workers!$V$5:$V$2004,MATCH($D2116,Workers!$A$5:$A$2004,0)),0))</f>
        <v>0</v>
      </c>
      <c r="T2116" s="26" t="str">
        <f aca="false">IF($D2116="","",O2116-R2116-S2116)</f>
        <v/>
      </c>
    </row>
    <row r="2117" customFormat="false" ht="15" hidden="false" customHeight="false" outlineLevel="0" collapsed="false">
      <c r="I2117" s="24" t="str">
        <f aca="false">IF($D2117="","",IFERROR(INDEX(Workers!$B$5:$B$2004,MATCH($D2117,Workers!$A$5:$A$2004,0)),"NOT FOUND"))</f>
        <v/>
      </c>
      <c r="J2117" s="24" t="str">
        <f aca="false">IF($D2117="","",IFERROR(INDEX(Workers!$C$5:$C$2004,MATCH($D2117,Workers!$A$5:$A$2004,0)),""))</f>
        <v/>
      </c>
      <c r="K2117" s="24" t="str">
        <f aca="false">IF($D2117="","",IFERROR(IF(INDEX(Workers!$D$5:$D$2004,MATCH($D2117,Workers!$A$5:$A$2004,0))=0,"",INDEX(Workers!$D$5:$D$2004,MATCH($D2117,Workers!$A$5:$A$2004,0))),""))</f>
        <v/>
      </c>
      <c r="L2117" s="24" t="str">
        <f aca="false">IF($D2117="","",IFERROR(INDEX(Workers!$E$5:$E$2004,MATCH($D2117,Workers!$A$5:$A$2004,0)),""))</f>
        <v/>
      </c>
      <c r="M2117" s="26" t="str">
        <f aca="false">IF($D2117="","",IFERROR(INDEX(ClientRates!$D$5:$D$500,MATCH($B2117&amp;"|"&amp;$L2117,ClientRates!$A$5:$A$500,0)),0))</f>
        <v/>
      </c>
      <c r="N2117" s="26" t="str">
        <f aca="false">IF($D2117="","",IFERROR(INDEX(ClientRates!$E$5:$E$500,MATCH($B2117&amp;"|"&amp;$L2117,ClientRates!$A$5:$A$500,0)),0))</f>
        <v/>
      </c>
      <c r="O2117" s="26" t="str">
        <f aca="false">IF($D2117="","",F2117*M2117+G2117*N2117)</f>
        <v/>
      </c>
      <c r="P2117" s="26" t="str">
        <f aca="false">IF(OR($D2117="",$J2117&lt;&gt;"Supplier"),"",IFERROR(INDEX(SupplierRates!$D$5:$D$500,MATCH($K2117&amp;"|"&amp;$L2117,SupplierRates!$A$5:$A$500,0)),0))</f>
        <v/>
      </c>
      <c r="Q2117" s="26" t="str">
        <f aca="false">IF(OR($D2117="",$J2117&lt;&gt;"Supplier"),"",IFERROR(INDEX(SupplierRates!$E$5:$E$500,MATCH($K2117&amp;"|"&amp;$L2117,SupplierRates!$A$5:$A$500,0)),0))</f>
        <v/>
      </c>
      <c r="R2117" s="26" t="n">
        <f aca="false">IF(OR($D2117="",$J2117&lt;&gt;"Supplier"),0,F2117*P2117+G2117*Q2117)</f>
        <v>0</v>
      </c>
      <c r="S2117" s="26" t="n">
        <f aca="false">IF(OR($D2117="",$J2117&lt;&gt;"Own"),0,IFERROR((F2117+G2117*Settings!$B$13)*INDEX(Workers!$V$5:$V$2004,MATCH($D2117,Workers!$A$5:$A$2004,0)),0))</f>
        <v>0</v>
      </c>
      <c r="T2117" s="26" t="str">
        <f aca="false">IF($D2117="","",O2117-R2117-S2117)</f>
        <v/>
      </c>
    </row>
    <row r="2118" customFormat="false" ht="15" hidden="false" customHeight="false" outlineLevel="0" collapsed="false">
      <c r="I2118" s="24" t="str">
        <f aca="false">IF($D2118="","",IFERROR(INDEX(Workers!$B$5:$B$2004,MATCH($D2118,Workers!$A$5:$A$2004,0)),"NOT FOUND"))</f>
        <v/>
      </c>
      <c r="J2118" s="24" t="str">
        <f aca="false">IF($D2118="","",IFERROR(INDEX(Workers!$C$5:$C$2004,MATCH($D2118,Workers!$A$5:$A$2004,0)),""))</f>
        <v/>
      </c>
      <c r="K2118" s="24" t="str">
        <f aca="false">IF($D2118="","",IFERROR(IF(INDEX(Workers!$D$5:$D$2004,MATCH($D2118,Workers!$A$5:$A$2004,0))=0,"",INDEX(Workers!$D$5:$D$2004,MATCH($D2118,Workers!$A$5:$A$2004,0))),""))</f>
        <v/>
      </c>
      <c r="L2118" s="24" t="str">
        <f aca="false">IF($D2118="","",IFERROR(INDEX(Workers!$E$5:$E$2004,MATCH($D2118,Workers!$A$5:$A$2004,0)),""))</f>
        <v/>
      </c>
      <c r="M2118" s="26" t="str">
        <f aca="false">IF($D2118="","",IFERROR(INDEX(ClientRates!$D$5:$D$500,MATCH($B2118&amp;"|"&amp;$L2118,ClientRates!$A$5:$A$500,0)),0))</f>
        <v/>
      </c>
      <c r="N2118" s="26" t="str">
        <f aca="false">IF($D2118="","",IFERROR(INDEX(ClientRates!$E$5:$E$500,MATCH($B2118&amp;"|"&amp;$L2118,ClientRates!$A$5:$A$500,0)),0))</f>
        <v/>
      </c>
      <c r="O2118" s="26" t="str">
        <f aca="false">IF($D2118="","",F2118*M2118+G2118*N2118)</f>
        <v/>
      </c>
      <c r="P2118" s="26" t="str">
        <f aca="false">IF(OR($D2118="",$J2118&lt;&gt;"Supplier"),"",IFERROR(INDEX(SupplierRates!$D$5:$D$500,MATCH($K2118&amp;"|"&amp;$L2118,SupplierRates!$A$5:$A$500,0)),0))</f>
        <v/>
      </c>
      <c r="Q2118" s="26" t="str">
        <f aca="false">IF(OR($D2118="",$J2118&lt;&gt;"Supplier"),"",IFERROR(INDEX(SupplierRates!$E$5:$E$500,MATCH($K2118&amp;"|"&amp;$L2118,SupplierRates!$A$5:$A$500,0)),0))</f>
        <v/>
      </c>
      <c r="R2118" s="26" t="n">
        <f aca="false">IF(OR($D2118="",$J2118&lt;&gt;"Supplier"),0,F2118*P2118+G2118*Q2118)</f>
        <v>0</v>
      </c>
      <c r="S2118" s="26" t="n">
        <f aca="false">IF(OR($D2118="",$J2118&lt;&gt;"Own"),0,IFERROR((F2118+G2118*Settings!$B$13)*INDEX(Workers!$V$5:$V$2004,MATCH($D2118,Workers!$A$5:$A$2004,0)),0))</f>
        <v>0</v>
      </c>
      <c r="T2118" s="26" t="str">
        <f aca="false">IF($D2118="","",O2118-R2118-S2118)</f>
        <v/>
      </c>
    </row>
    <row r="2119" customFormat="false" ht="15" hidden="false" customHeight="false" outlineLevel="0" collapsed="false">
      <c r="I2119" s="24" t="str">
        <f aca="false">IF($D2119="","",IFERROR(INDEX(Workers!$B$5:$B$2004,MATCH($D2119,Workers!$A$5:$A$2004,0)),"NOT FOUND"))</f>
        <v/>
      </c>
      <c r="J2119" s="24" t="str">
        <f aca="false">IF($D2119="","",IFERROR(INDEX(Workers!$C$5:$C$2004,MATCH($D2119,Workers!$A$5:$A$2004,0)),""))</f>
        <v/>
      </c>
      <c r="K2119" s="24" t="str">
        <f aca="false">IF($D2119="","",IFERROR(IF(INDEX(Workers!$D$5:$D$2004,MATCH($D2119,Workers!$A$5:$A$2004,0))=0,"",INDEX(Workers!$D$5:$D$2004,MATCH($D2119,Workers!$A$5:$A$2004,0))),""))</f>
        <v/>
      </c>
      <c r="L2119" s="24" t="str">
        <f aca="false">IF($D2119="","",IFERROR(INDEX(Workers!$E$5:$E$2004,MATCH($D2119,Workers!$A$5:$A$2004,0)),""))</f>
        <v/>
      </c>
      <c r="M2119" s="26" t="str">
        <f aca="false">IF($D2119="","",IFERROR(INDEX(ClientRates!$D$5:$D$500,MATCH($B2119&amp;"|"&amp;$L2119,ClientRates!$A$5:$A$500,0)),0))</f>
        <v/>
      </c>
      <c r="N2119" s="26" t="str">
        <f aca="false">IF($D2119="","",IFERROR(INDEX(ClientRates!$E$5:$E$500,MATCH($B2119&amp;"|"&amp;$L2119,ClientRates!$A$5:$A$500,0)),0))</f>
        <v/>
      </c>
      <c r="O2119" s="26" t="str">
        <f aca="false">IF($D2119="","",F2119*M2119+G2119*N2119)</f>
        <v/>
      </c>
      <c r="P2119" s="26" t="str">
        <f aca="false">IF(OR($D2119="",$J2119&lt;&gt;"Supplier"),"",IFERROR(INDEX(SupplierRates!$D$5:$D$500,MATCH($K2119&amp;"|"&amp;$L2119,SupplierRates!$A$5:$A$500,0)),0))</f>
        <v/>
      </c>
      <c r="Q2119" s="26" t="str">
        <f aca="false">IF(OR($D2119="",$J2119&lt;&gt;"Supplier"),"",IFERROR(INDEX(SupplierRates!$E$5:$E$500,MATCH($K2119&amp;"|"&amp;$L2119,SupplierRates!$A$5:$A$500,0)),0))</f>
        <v/>
      </c>
      <c r="R2119" s="26" t="n">
        <f aca="false">IF(OR($D2119="",$J2119&lt;&gt;"Supplier"),0,F2119*P2119+G2119*Q2119)</f>
        <v>0</v>
      </c>
      <c r="S2119" s="26" t="n">
        <f aca="false">IF(OR($D2119="",$J2119&lt;&gt;"Own"),0,IFERROR((F2119+G2119*Settings!$B$13)*INDEX(Workers!$V$5:$V$2004,MATCH($D2119,Workers!$A$5:$A$2004,0)),0))</f>
        <v>0</v>
      </c>
      <c r="T2119" s="26" t="str">
        <f aca="false">IF($D2119="","",O2119-R2119-S2119)</f>
        <v/>
      </c>
    </row>
    <row r="2120" customFormat="false" ht="15" hidden="false" customHeight="false" outlineLevel="0" collapsed="false">
      <c r="I2120" s="24" t="str">
        <f aca="false">IF($D2120="","",IFERROR(INDEX(Workers!$B$5:$B$2004,MATCH($D2120,Workers!$A$5:$A$2004,0)),"NOT FOUND"))</f>
        <v/>
      </c>
      <c r="J2120" s="24" t="str">
        <f aca="false">IF($D2120="","",IFERROR(INDEX(Workers!$C$5:$C$2004,MATCH($D2120,Workers!$A$5:$A$2004,0)),""))</f>
        <v/>
      </c>
      <c r="K2120" s="24" t="str">
        <f aca="false">IF($D2120="","",IFERROR(IF(INDEX(Workers!$D$5:$D$2004,MATCH($D2120,Workers!$A$5:$A$2004,0))=0,"",INDEX(Workers!$D$5:$D$2004,MATCH($D2120,Workers!$A$5:$A$2004,0))),""))</f>
        <v/>
      </c>
      <c r="L2120" s="24" t="str">
        <f aca="false">IF($D2120="","",IFERROR(INDEX(Workers!$E$5:$E$2004,MATCH($D2120,Workers!$A$5:$A$2004,0)),""))</f>
        <v/>
      </c>
      <c r="M2120" s="26" t="str">
        <f aca="false">IF($D2120="","",IFERROR(INDEX(ClientRates!$D$5:$D$500,MATCH($B2120&amp;"|"&amp;$L2120,ClientRates!$A$5:$A$500,0)),0))</f>
        <v/>
      </c>
      <c r="N2120" s="26" t="str">
        <f aca="false">IF($D2120="","",IFERROR(INDEX(ClientRates!$E$5:$E$500,MATCH($B2120&amp;"|"&amp;$L2120,ClientRates!$A$5:$A$500,0)),0))</f>
        <v/>
      </c>
      <c r="O2120" s="26" t="str">
        <f aca="false">IF($D2120="","",F2120*M2120+G2120*N2120)</f>
        <v/>
      </c>
      <c r="P2120" s="26" t="str">
        <f aca="false">IF(OR($D2120="",$J2120&lt;&gt;"Supplier"),"",IFERROR(INDEX(SupplierRates!$D$5:$D$500,MATCH($K2120&amp;"|"&amp;$L2120,SupplierRates!$A$5:$A$500,0)),0))</f>
        <v/>
      </c>
      <c r="Q2120" s="26" t="str">
        <f aca="false">IF(OR($D2120="",$J2120&lt;&gt;"Supplier"),"",IFERROR(INDEX(SupplierRates!$E$5:$E$500,MATCH($K2120&amp;"|"&amp;$L2120,SupplierRates!$A$5:$A$500,0)),0))</f>
        <v/>
      </c>
      <c r="R2120" s="26" t="n">
        <f aca="false">IF(OR($D2120="",$J2120&lt;&gt;"Supplier"),0,F2120*P2120+G2120*Q2120)</f>
        <v>0</v>
      </c>
      <c r="S2120" s="26" t="n">
        <f aca="false">IF(OR($D2120="",$J2120&lt;&gt;"Own"),0,IFERROR((F2120+G2120*Settings!$B$13)*INDEX(Workers!$V$5:$V$2004,MATCH($D2120,Workers!$A$5:$A$2004,0)),0))</f>
        <v>0</v>
      </c>
      <c r="T2120" s="26" t="str">
        <f aca="false">IF($D2120="","",O2120-R2120-S2120)</f>
        <v/>
      </c>
    </row>
    <row r="2121" customFormat="false" ht="15" hidden="false" customHeight="false" outlineLevel="0" collapsed="false">
      <c r="I2121" s="24" t="str">
        <f aca="false">IF($D2121="","",IFERROR(INDEX(Workers!$B$5:$B$2004,MATCH($D2121,Workers!$A$5:$A$2004,0)),"NOT FOUND"))</f>
        <v/>
      </c>
      <c r="J2121" s="24" t="str">
        <f aca="false">IF($D2121="","",IFERROR(INDEX(Workers!$C$5:$C$2004,MATCH($D2121,Workers!$A$5:$A$2004,0)),""))</f>
        <v/>
      </c>
      <c r="K2121" s="24" t="str">
        <f aca="false">IF($D2121="","",IFERROR(IF(INDEX(Workers!$D$5:$D$2004,MATCH($D2121,Workers!$A$5:$A$2004,0))=0,"",INDEX(Workers!$D$5:$D$2004,MATCH($D2121,Workers!$A$5:$A$2004,0))),""))</f>
        <v/>
      </c>
      <c r="L2121" s="24" t="str">
        <f aca="false">IF($D2121="","",IFERROR(INDEX(Workers!$E$5:$E$2004,MATCH($D2121,Workers!$A$5:$A$2004,0)),""))</f>
        <v/>
      </c>
      <c r="M2121" s="26" t="str">
        <f aca="false">IF($D2121="","",IFERROR(INDEX(ClientRates!$D$5:$D$500,MATCH($B2121&amp;"|"&amp;$L2121,ClientRates!$A$5:$A$500,0)),0))</f>
        <v/>
      </c>
      <c r="N2121" s="26" t="str">
        <f aca="false">IF($D2121="","",IFERROR(INDEX(ClientRates!$E$5:$E$500,MATCH($B2121&amp;"|"&amp;$L2121,ClientRates!$A$5:$A$500,0)),0))</f>
        <v/>
      </c>
      <c r="O2121" s="26" t="str">
        <f aca="false">IF($D2121="","",F2121*M2121+G2121*N2121)</f>
        <v/>
      </c>
      <c r="P2121" s="26" t="str">
        <f aca="false">IF(OR($D2121="",$J2121&lt;&gt;"Supplier"),"",IFERROR(INDEX(SupplierRates!$D$5:$D$500,MATCH($K2121&amp;"|"&amp;$L2121,SupplierRates!$A$5:$A$500,0)),0))</f>
        <v/>
      </c>
      <c r="Q2121" s="26" t="str">
        <f aca="false">IF(OR($D2121="",$J2121&lt;&gt;"Supplier"),"",IFERROR(INDEX(SupplierRates!$E$5:$E$500,MATCH($K2121&amp;"|"&amp;$L2121,SupplierRates!$A$5:$A$500,0)),0))</f>
        <v/>
      </c>
      <c r="R2121" s="26" t="n">
        <f aca="false">IF(OR($D2121="",$J2121&lt;&gt;"Supplier"),0,F2121*P2121+G2121*Q2121)</f>
        <v>0</v>
      </c>
      <c r="S2121" s="26" t="n">
        <f aca="false">IF(OR($D2121="",$J2121&lt;&gt;"Own"),0,IFERROR((F2121+G2121*Settings!$B$13)*INDEX(Workers!$V$5:$V$2004,MATCH($D2121,Workers!$A$5:$A$2004,0)),0))</f>
        <v>0</v>
      </c>
      <c r="T2121" s="26" t="str">
        <f aca="false">IF($D2121="","",O2121-R2121-S2121)</f>
        <v/>
      </c>
    </row>
    <row r="2122" customFormat="false" ht="15" hidden="false" customHeight="false" outlineLevel="0" collapsed="false">
      <c r="I2122" s="24" t="str">
        <f aca="false">IF($D2122="","",IFERROR(INDEX(Workers!$B$5:$B$2004,MATCH($D2122,Workers!$A$5:$A$2004,0)),"NOT FOUND"))</f>
        <v/>
      </c>
      <c r="J2122" s="24" t="str">
        <f aca="false">IF($D2122="","",IFERROR(INDEX(Workers!$C$5:$C$2004,MATCH($D2122,Workers!$A$5:$A$2004,0)),""))</f>
        <v/>
      </c>
      <c r="K2122" s="24" t="str">
        <f aca="false">IF($D2122="","",IFERROR(IF(INDEX(Workers!$D$5:$D$2004,MATCH($D2122,Workers!$A$5:$A$2004,0))=0,"",INDEX(Workers!$D$5:$D$2004,MATCH($D2122,Workers!$A$5:$A$2004,0))),""))</f>
        <v/>
      </c>
      <c r="L2122" s="24" t="str">
        <f aca="false">IF($D2122="","",IFERROR(INDEX(Workers!$E$5:$E$2004,MATCH($D2122,Workers!$A$5:$A$2004,0)),""))</f>
        <v/>
      </c>
      <c r="M2122" s="26" t="str">
        <f aca="false">IF($D2122="","",IFERROR(INDEX(ClientRates!$D$5:$D$500,MATCH($B2122&amp;"|"&amp;$L2122,ClientRates!$A$5:$A$500,0)),0))</f>
        <v/>
      </c>
      <c r="N2122" s="26" t="str">
        <f aca="false">IF($D2122="","",IFERROR(INDEX(ClientRates!$E$5:$E$500,MATCH($B2122&amp;"|"&amp;$L2122,ClientRates!$A$5:$A$500,0)),0))</f>
        <v/>
      </c>
      <c r="O2122" s="26" t="str">
        <f aca="false">IF($D2122="","",F2122*M2122+G2122*N2122)</f>
        <v/>
      </c>
      <c r="P2122" s="26" t="str">
        <f aca="false">IF(OR($D2122="",$J2122&lt;&gt;"Supplier"),"",IFERROR(INDEX(SupplierRates!$D$5:$D$500,MATCH($K2122&amp;"|"&amp;$L2122,SupplierRates!$A$5:$A$500,0)),0))</f>
        <v/>
      </c>
      <c r="Q2122" s="26" t="str">
        <f aca="false">IF(OR($D2122="",$J2122&lt;&gt;"Supplier"),"",IFERROR(INDEX(SupplierRates!$E$5:$E$500,MATCH($K2122&amp;"|"&amp;$L2122,SupplierRates!$A$5:$A$500,0)),0))</f>
        <v/>
      </c>
      <c r="R2122" s="26" t="n">
        <f aca="false">IF(OR($D2122="",$J2122&lt;&gt;"Supplier"),0,F2122*P2122+G2122*Q2122)</f>
        <v>0</v>
      </c>
      <c r="S2122" s="26" t="n">
        <f aca="false">IF(OR($D2122="",$J2122&lt;&gt;"Own"),0,IFERROR((F2122+G2122*Settings!$B$13)*INDEX(Workers!$V$5:$V$2004,MATCH($D2122,Workers!$A$5:$A$2004,0)),0))</f>
        <v>0</v>
      </c>
      <c r="T2122" s="26" t="str">
        <f aca="false">IF($D2122="","",O2122-R2122-S2122)</f>
        <v/>
      </c>
    </row>
    <row r="2123" customFormat="false" ht="15" hidden="false" customHeight="false" outlineLevel="0" collapsed="false">
      <c r="I2123" s="24" t="str">
        <f aca="false">IF($D2123="","",IFERROR(INDEX(Workers!$B$5:$B$2004,MATCH($D2123,Workers!$A$5:$A$2004,0)),"NOT FOUND"))</f>
        <v/>
      </c>
      <c r="J2123" s="24" t="str">
        <f aca="false">IF($D2123="","",IFERROR(INDEX(Workers!$C$5:$C$2004,MATCH($D2123,Workers!$A$5:$A$2004,0)),""))</f>
        <v/>
      </c>
      <c r="K2123" s="24" t="str">
        <f aca="false">IF($D2123="","",IFERROR(IF(INDEX(Workers!$D$5:$D$2004,MATCH($D2123,Workers!$A$5:$A$2004,0))=0,"",INDEX(Workers!$D$5:$D$2004,MATCH($D2123,Workers!$A$5:$A$2004,0))),""))</f>
        <v/>
      </c>
      <c r="L2123" s="24" t="str">
        <f aca="false">IF($D2123="","",IFERROR(INDEX(Workers!$E$5:$E$2004,MATCH($D2123,Workers!$A$5:$A$2004,0)),""))</f>
        <v/>
      </c>
      <c r="M2123" s="26" t="str">
        <f aca="false">IF($D2123="","",IFERROR(INDEX(ClientRates!$D$5:$D$500,MATCH($B2123&amp;"|"&amp;$L2123,ClientRates!$A$5:$A$500,0)),0))</f>
        <v/>
      </c>
      <c r="N2123" s="26" t="str">
        <f aca="false">IF($D2123="","",IFERROR(INDEX(ClientRates!$E$5:$E$500,MATCH($B2123&amp;"|"&amp;$L2123,ClientRates!$A$5:$A$500,0)),0))</f>
        <v/>
      </c>
      <c r="O2123" s="26" t="str">
        <f aca="false">IF($D2123="","",F2123*M2123+G2123*N2123)</f>
        <v/>
      </c>
      <c r="P2123" s="26" t="str">
        <f aca="false">IF(OR($D2123="",$J2123&lt;&gt;"Supplier"),"",IFERROR(INDEX(SupplierRates!$D$5:$D$500,MATCH($K2123&amp;"|"&amp;$L2123,SupplierRates!$A$5:$A$500,0)),0))</f>
        <v/>
      </c>
      <c r="Q2123" s="26" t="str">
        <f aca="false">IF(OR($D2123="",$J2123&lt;&gt;"Supplier"),"",IFERROR(INDEX(SupplierRates!$E$5:$E$500,MATCH($K2123&amp;"|"&amp;$L2123,SupplierRates!$A$5:$A$500,0)),0))</f>
        <v/>
      </c>
      <c r="R2123" s="26" t="n">
        <f aca="false">IF(OR($D2123="",$J2123&lt;&gt;"Supplier"),0,F2123*P2123+G2123*Q2123)</f>
        <v>0</v>
      </c>
      <c r="S2123" s="26" t="n">
        <f aca="false">IF(OR($D2123="",$J2123&lt;&gt;"Own"),0,IFERROR((F2123+G2123*Settings!$B$13)*INDEX(Workers!$V$5:$V$2004,MATCH($D2123,Workers!$A$5:$A$2004,0)),0))</f>
        <v>0</v>
      </c>
      <c r="T2123" s="26" t="str">
        <f aca="false">IF($D2123="","",O2123-R2123-S2123)</f>
        <v/>
      </c>
    </row>
    <row r="2124" customFormat="false" ht="15" hidden="false" customHeight="false" outlineLevel="0" collapsed="false">
      <c r="I2124" s="24" t="str">
        <f aca="false">IF($D2124="","",IFERROR(INDEX(Workers!$B$5:$B$2004,MATCH($D2124,Workers!$A$5:$A$2004,0)),"NOT FOUND"))</f>
        <v/>
      </c>
      <c r="J2124" s="24" t="str">
        <f aca="false">IF($D2124="","",IFERROR(INDEX(Workers!$C$5:$C$2004,MATCH($D2124,Workers!$A$5:$A$2004,0)),""))</f>
        <v/>
      </c>
      <c r="K2124" s="24" t="str">
        <f aca="false">IF($D2124="","",IFERROR(IF(INDEX(Workers!$D$5:$D$2004,MATCH($D2124,Workers!$A$5:$A$2004,0))=0,"",INDEX(Workers!$D$5:$D$2004,MATCH($D2124,Workers!$A$5:$A$2004,0))),""))</f>
        <v/>
      </c>
      <c r="L2124" s="24" t="str">
        <f aca="false">IF($D2124="","",IFERROR(INDEX(Workers!$E$5:$E$2004,MATCH($D2124,Workers!$A$5:$A$2004,0)),""))</f>
        <v/>
      </c>
      <c r="M2124" s="26" t="str">
        <f aca="false">IF($D2124="","",IFERROR(INDEX(ClientRates!$D$5:$D$500,MATCH($B2124&amp;"|"&amp;$L2124,ClientRates!$A$5:$A$500,0)),0))</f>
        <v/>
      </c>
      <c r="N2124" s="26" t="str">
        <f aca="false">IF($D2124="","",IFERROR(INDEX(ClientRates!$E$5:$E$500,MATCH($B2124&amp;"|"&amp;$L2124,ClientRates!$A$5:$A$500,0)),0))</f>
        <v/>
      </c>
      <c r="O2124" s="26" t="str">
        <f aca="false">IF($D2124="","",F2124*M2124+G2124*N2124)</f>
        <v/>
      </c>
      <c r="P2124" s="26" t="str">
        <f aca="false">IF(OR($D2124="",$J2124&lt;&gt;"Supplier"),"",IFERROR(INDEX(SupplierRates!$D$5:$D$500,MATCH($K2124&amp;"|"&amp;$L2124,SupplierRates!$A$5:$A$500,0)),0))</f>
        <v/>
      </c>
      <c r="Q2124" s="26" t="str">
        <f aca="false">IF(OR($D2124="",$J2124&lt;&gt;"Supplier"),"",IFERROR(INDEX(SupplierRates!$E$5:$E$500,MATCH($K2124&amp;"|"&amp;$L2124,SupplierRates!$A$5:$A$500,0)),0))</f>
        <v/>
      </c>
      <c r="R2124" s="26" t="n">
        <f aca="false">IF(OR($D2124="",$J2124&lt;&gt;"Supplier"),0,F2124*P2124+G2124*Q2124)</f>
        <v>0</v>
      </c>
      <c r="S2124" s="26" t="n">
        <f aca="false">IF(OR($D2124="",$J2124&lt;&gt;"Own"),0,IFERROR((F2124+G2124*Settings!$B$13)*INDEX(Workers!$V$5:$V$2004,MATCH($D2124,Workers!$A$5:$A$2004,0)),0))</f>
        <v>0</v>
      </c>
      <c r="T2124" s="26" t="str">
        <f aca="false">IF($D2124="","",O2124-R2124-S2124)</f>
        <v/>
      </c>
    </row>
    <row r="2125" customFormat="false" ht="15" hidden="false" customHeight="false" outlineLevel="0" collapsed="false">
      <c r="I2125" s="24" t="str">
        <f aca="false">IF($D2125="","",IFERROR(INDEX(Workers!$B$5:$B$2004,MATCH($D2125,Workers!$A$5:$A$2004,0)),"NOT FOUND"))</f>
        <v/>
      </c>
      <c r="J2125" s="24" t="str">
        <f aca="false">IF($D2125="","",IFERROR(INDEX(Workers!$C$5:$C$2004,MATCH($D2125,Workers!$A$5:$A$2004,0)),""))</f>
        <v/>
      </c>
      <c r="K2125" s="24" t="str">
        <f aca="false">IF($D2125="","",IFERROR(IF(INDEX(Workers!$D$5:$D$2004,MATCH($D2125,Workers!$A$5:$A$2004,0))=0,"",INDEX(Workers!$D$5:$D$2004,MATCH($D2125,Workers!$A$5:$A$2004,0))),""))</f>
        <v/>
      </c>
      <c r="L2125" s="24" t="str">
        <f aca="false">IF($D2125="","",IFERROR(INDEX(Workers!$E$5:$E$2004,MATCH($D2125,Workers!$A$5:$A$2004,0)),""))</f>
        <v/>
      </c>
      <c r="M2125" s="26" t="str">
        <f aca="false">IF($D2125="","",IFERROR(INDEX(ClientRates!$D$5:$D$500,MATCH($B2125&amp;"|"&amp;$L2125,ClientRates!$A$5:$A$500,0)),0))</f>
        <v/>
      </c>
      <c r="N2125" s="26" t="str">
        <f aca="false">IF($D2125="","",IFERROR(INDEX(ClientRates!$E$5:$E$500,MATCH($B2125&amp;"|"&amp;$L2125,ClientRates!$A$5:$A$500,0)),0))</f>
        <v/>
      </c>
      <c r="O2125" s="26" t="str">
        <f aca="false">IF($D2125="","",F2125*M2125+G2125*N2125)</f>
        <v/>
      </c>
      <c r="P2125" s="26" t="str">
        <f aca="false">IF(OR($D2125="",$J2125&lt;&gt;"Supplier"),"",IFERROR(INDEX(SupplierRates!$D$5:$D$500,MATCH($K2125&amp;"|"&amp;$L2125,SupplierRates!$A$5:$A$500,0)),0))</f>
        <v/>
      </c>
      <c r="Q2125" s="26" t="str">
        <f aca="false">IF(OR($D2125="",$J2125&lt;&gt;"Supplier"),"",IFERROR(INDEX(SupplierRates!$E$5:$E$500,MATCH($K2125&amp;"|"&amp;$L2125,SupplierRates!$A$5:$A$500,0)),0))</f>
        <v/>
      </c>
      <c r="R2125" s="26" t="n">
        <f aca="false">IF(OR($D2125="",$J2125&lt;&gt;"Supplier"),0,F2125*P2125+G2125*Q2125)</f>
        <v>0</v>
      </c>
      <c r="S2125" s="26" t="n">
        <f aca="false">IF(OR($D2125="",$J2125&lt;&gt;"Own"),0,IFERROR((F2125+G2125*Settings!$B$13)*INDEX(Workers!$V$5:$V$2004,MATCH($D2125,Workers!$A$5:$A$2004,0)),0))</f>
        <v>0</v>
      </c>
      <c r="T2125" s="26" t="str">
        <f aca="false">IF($D2125="","",O2125-R2125-S2125)</f>
        <v/>
      </c>
    </row>
    <row r="2126" customFormat="false" ht="15" hidden="false" customHeight="false" outlineLevel="0" collapsed="false">
      <c r="I2126" s="24" t="str">
        <f aca="false">IF($D2126="","",IFERROR(INDEX(Workers!$B$5:$B$2004,MATCH($D2126,Workers!$A$5:$A$2004,0)),"NOT FOUND"))</f>
        <v/>
      </c>
      <c r="J2126" s="24" t="str">
        <f aca="false">IF($D2126="","",IFERROR(INDEX(Workers!$C$5:$C$2004,MATCH($D2126,Workers!$A$5:$A$2004,0)),""))</f>
        <v/>
      </c>
      <c r="K2126" s="24" t="str">
        <f aca="false">IF($D2126="","",IFERROR(IF(INDEX(Workers!$D$5:$D$2004,MATCH($D2126,Workers!$A$5:$A$2004,0))=0,"",INDEX(Workers!$D$5:$D$2004,MATCH($D2126,Workers!$A$5:$A$2004,0))),""))</f>
        <v/>
      </c>
      <c r="L2126" s="24" t="str">
        <f aca="false">IF($D2126="","",IFERROR(INDEX(Workers!$E$5:$E$2004,MATCH($D2126,Workers!$A$5:$A$2004,0)),""))</f>
        <v/>
      </c>
      <c r="M2126" s="26" t="str">
        <f aca="false">IF($D2126="","",IFERROR(INDEX(ClientRates!$D$5:$D$500,MATCH($B2126&amp;"|"&amp;$L2126,ClientRates!$A$5:$A$500,0)),0))</f>
        <v/>
      </c>
      <c r="N2126" s="26" t="str">
        <f aca="false">IF($D2126="","",IFERROR(INDEX(ClientRates!$E$5:$E$500,MATCH($B2126&amp;"|"&amp;$L2126,ClientRates!$A$5:$A$500,0)),0))</f>
        <v/>
      </c>
      <c r="O2126" s="26" t="str">
        <f aca="false">IF($D2126="","",F2126*M2126+G2126*N2126)</f>
        <v/>
      </c>
      <c r="P2126" s="26" t="str">
        <f aca="false">IF(OR($D2126="",$J2126&lt;&gt;"Supplier"),"",IFERROR(INDEX(SupplierRates!$D$5:$D$500,MATCH($K2126&amp;"|"&amp;$L2126,SupplierRates!$A$5:$A$500,0)),0))</f>
        <v/>
      </c>
      <c r="Q2126" s="26" t="str">
        <f aca="false">IF(OR($D2126="",$J2126&lt;&gt;"Supplier"),"",IFERROR(INDEX(SupplierRates!$E$5:$E$500,MATCH($K2126&amp;"|"&amp;$L2126,SupplierRates!$A$5:$A$500,0)),0))</f>
        <v/>
      </c>
      <c r="R2126" s="26" t="n">
        <f aca="false">IF(OR($D2126="",$J2126&lt;&gt;"Supplier"),0,F2126*P2126+G2126*Q2126)</f>
        <v>0</v>
      </c>
      <c r="S2126" s="26" t="n">
        <f aca="false">IF(OR($D2126="",$J2126&lt;&gt;"Own"),0,IFERROR((F2126+G2126*Settings!$B$13)*INDEX(Workers!$V$5:$V$2004,MATCH($D2126,Workers!$A$5:$A$2004,0)),0))</f>
        <v>0</v>
      </c>
      <c r="T2126" s="26" t="str">
        <f aca="false">IF($D2126="","",O2126-R2126-S2126)</f>
        <v/>
      </c>
    </row>
    <row r="2127" customFormat="false" ht="15" hidden="false" customHeight="false" outlineLevel="0" collapsed="false">
      <c r="I2127" s="24" t="str">
        <f aca="false">IF($D2127="","",IFERROR(INDEX(Workers!$B$5:$B$2004,MATCH($D2127,Workers!$A$5:$A$2004,0)),"NOT FOUND"))</f>
        <v/>
      </c>
      <c r="J2127" s="24" t="str">
        <f aca="false">IF($D2127="","",IFERROR(INDEX(Workers!$C$5:$C$2004,MATCH($D2127,Workers!$A$5:$A$2004,0)),""))</f>
        <v/>
      </c>
      <c r="K2127" s="24" t="str">
        <f aca="false">IF($D2127="","",IFERROR(IF(INDEX(Workers!$D$5:$D$2004,MATCH($D2127,Workers!$A$5:$A$2004,0))=0,"",INDEX(Workers!$D$5:$D$2004,MATCH($D2127,Workers!$A$5:$A$2004,0))),""))</f>
        <v/>
      </c>
      <c r="L2127" s="24" t="str">
        <f aca="false">IF($D2127="","",IFERROR(INDEX(Workers!$E$5:$E$2004,MATCH($D2127,Workers!$A$5:$A$2004,0)),""))</f>
        <v/>
      </c>
      <c r="M2127" s="26" t="str">
        <f aca="false">IF($D2127="","",IFERROR(INDEX(ClientRates!$D$5:$D$500,MATCH($B2127&amp;"|"&amp;$L2127,ClientRates!$A$5:$A$500,0)),0))</f>
        <v/>
      </c>
      <c r="N2127" s="26" t="str">
        <f aca="false">IF($D2127="","",IFERROR(INDEX(ClientRates!$E$5:$E$500,MATCH($B2127&amp;"|"&amp;$L2127,ClientRates!$A$5:$A$500,0)),0))</f>
        <v/>
      </c>
      <c r="O2127" s="26" t="str">
        <f aca="false">IF($D2127="","",F2127*M2127+G2127*N2127)</f>
        <v/>
      </c>
      <c r="P2127" s="26" t="str">
        <f aca="false">IF(OR($D2127="",$J2127&lt;&gt;"Supplier"),"",IFERROR(INDEX(SupplierRates!$D$5:$D$500,MATCH($K2127&amp;"|"&amp;$L2127,SupplierRates!$A$5:$A$500,0)),0))</f>
        <v/>
      </c>
      <c r="Q2127" s="26" t="str">
        <f aca="false">IF(OR($D2127="",$J2127&lt;&gt;"Supplier"),"",IFERROR(INDEX(SupplierRates!$E$5:$E$500,MATCH($K2127&amp;"|"&amp;$L2127,SupplierRates!$A$5:$A$500,0)),0))</f>
        <v/>
      </c>
      <c r="R2127" s="26" t="n">
        <f aca="false">IF(OR($D2127="",$J2127&lt;&gt;"Supplier"),0,F2127*P2127+G2127*Q2127)</f>
        <v>0</v>
      </c>
      <c r="S2127" s="26" t="n">
        <f aca="false">IF(OR($D2127="",$J2127&lt;&gt;"Own"),0,IFERROR((F2127+G2127*Settings!$B$13)*INDEX(Workers!$V$5:$V$2004,MATCH($D2127,Workers!$A$5:$A$2004,0)),0))</f>
        <v>0</v>
      </c>
      <c r="T2127" s="26" t="str">
        <f aca="false">IF($D2127="","",O2127-R2127-S2127)</f>
        <v/>
      </c>
    </row>
    <row r="2128" customFormat="false" ht="15" hidden="false" customHeight="false" outlineLevel="0" collapsed="false">
      <c r="I2128" s="24" t="str">
        <f aca="false">IF($D2128="","",IFERROR(INDEX(Workers!$B$5:$B$2004,MATCH($D2128,Workers!$A$5:$A$2004,0)),"NOT FOUND"))</f>
        <v/>
      </c>
      <c r="J2128" s="24" t="str">
        <f aca="false">IF($D2128="","",IFERROR(INDEX(Workers!$C$5:$C$2004,MATCH($D2128,Workers!$A$5:$A$2004,0)),""))</f>
        <v/>
      </c>
      <c r="K2128" s="24" t="str">
        <f aca="false">IF($D2128="","",IFERROR(IF(INDEX(Workers!$D$5:$D$2004,MATCH($D2128,Workers!$A$5:$A$2004,0))=0,"",INDEX(Workers!$D$5:$D$2004,MATCH($D2128,Workers!$A$5:$A$2004,0))),""))</f>
        <v/>
      </c>
      <c r="L2128" s="24" t="str">
        <f aca="false">IF($D2128="","",IFERROR(INDEX(Workers!$E$5:$E$2004,MATCH($D2128,Workers!$A$5:$A$2004,0)),""))</f>
        <v/>
      </c>
      <c r="M2128" s="26" t="str">
        <f aca="false">IF($D2128="","",IFERROR(INDEX(ClientRates!$D$5:$D$500,MATCH($B2128&amp;"|"&amp;$L2128,ClientRates!$A$5:$A$500,0)),0))</f>
        <v/>
      </c>
      <c r="N2128" s="26" t="str">
        <f aca="false">IF($D2128="","",IFERROR(INDEX(ClientRates!$E$5:$E$500,MATCH($B2128&amp;"|"&amp;$L2128,ClientRates!$A$5:$A$500,0)),0))</f>
        <v/>
      </c>
      <c r="O2128" s="26" t="str">
        <f aca="false">IF($D2128="","",F2128*M2128+G2128*N2128)</f>
        <v/>
      </c>
      <c r="P2128" s="26" t="str">
        <f aca="false">IF(OR($D2128="",$J2128&lt;&gt;"Supplier"),"",IFERROR(INDEX(SupplierRates!$D$5:$D$500,MATCH($K2128&amp;"|"&amp;$L2128,SupplierRates!$A$5:$A$500,0)),0))</f>
        <v/>
      </c>
      <c r="Q2128" s="26" t="str">
        <f aca="false">IF(OR($D2128="",$J2128&lt;&gt;"Supplier"),"",IFERROR(INDEX(SupplierRates!$E$5:$E$500,MATCH($K2128&amp;"|"&amp;$L2128,SupplierRates!$A$5:$A$500,0)),0))</f>
        <v/>
      </c>
      <c r="R2128" s="26" t="n">
        <f aca="false">IF(OR($D2128="",$J2128&lt;&gt;"Supplier"),0,F2128*P2128+G2128*Q2128)</f>
        <v>0</v>
      </c>
      <c r="S2128" s="26" t="n">
        <f aca="false">IF(OR($D2128="",$J2128&lt;&gt;"Own"),0,IFERROR((F2128+G2128*Settings!$B$13)*INDEX(Workers!$V$5:$V$2004,MATCH($D2128,Workers!$A$5:$A$2004,0)),0))</f>
        <v>0</v>
      </c>
      <c r="T2128" s="26" t="str">
        <f aca="false">IF($D2128="","",O2128-R2128-S2128)</f>
        <v/>
      </c>
    </row>
    <row r="2129" customFormat="false" ht="15" hidden="false" customHeight="false" outlineLevel="0" collapsed="false">
      <c r="I2129" s="24" t="str">
        <f aca="false">IF($D2129="","",IFERROR(INDEX(Workers!$B$5:$B$2004,MATCH($D2129,Workers!$A$5:$A$2004,0)),"NOT FOUND"))</f>
        <v/>
      </c>
      <c r="J2129" s="24" t="str">
        <f aca="false">IF($D2129="","",IFERROR(INDEX(Workers!$C$5:$C$2004,MATCH($D2129,Workers!$A$5:$A$2004,0)),""))</f>
        <v/>
      </c>
      <c r="K2129" s="24" t="str">
        <f aca="false">IF($D2129="","",IFERROR(IF(INDEX(Workers!$D$5:$D$2004,MATCH($D2129,Workers!$A$5:$A$2004,0))=0,"",INDEX(Workers!$D$5:$D$2004,MATCH($D2129,Workers!$A$5:$A$2004,0))),""))</f>
        <v/>
      </c>
      <c r="L2129" s="24" t="str">
        <f aca="false">IF($D2129="","",IFERROR(INDEX(Workers!$E$5:$E$2004,MATCH($D2129,Workers!$A$5:$A$2004,0)),""))</f>
        <v/>
      </c>
      <c r="M2129" s="26" t="str">
        <f aca="false">IF($D2129="","",IFERROR(INDEX(ClientRates!$D$5:$D$500,MATCH($B2129&amp;"|"&amp;$L2129,ClientRates!$A$5:$A$500,0)),0))</f>
        <v/>
      </c>
      <c r="N2129" s="26" t="str">
        <f aca="false">IF($D2129="","",IFERROR(INDEX(ClientRates!$E$5:$E$500,MATCH($B2129&amp;"|"&amp;$L2129,ClientRates!$A$5:$A$500,0)),0))</f>
        <v/>
      </c>
      <c r="O2129" s="26" t="str">
        <f aca="false">IF($D2129="","",F2129*M2129+G2129*N2129)</f>
        <v/>
      </c>
      <c r="P2129" s="26" t="str">
        <f aca="false">IF(OR($D2129="",$J2129&lt;&gt;"Supplier"),"",IFERROR(INDEX(SupplierRates!$D$5:$D$500,MATCH($K2129&amp;"|"&amp;$L2129,SupplierRates!$A$5:$A$500,0)),0))</f>
        <v/>
      </c>
      <c r="Q2129" s="26" t="str">
        <f aca="false">IF(OR($D2129="",$J2129&lt;&gt;"Supplier"),"",IFERROR(INDEX(SupplierRates!$E$5:$E$500,MATCH($K2129&amp;"|"&amp;$L2129,SupplierRates!$A$5:$A$500,0)),0))</f>
        <v/>
      </c>
      <c r="R2129" s="26" t="n">
        <f aca="false">IF(OR($D2129="",$J2129&lt;&gt;"Supplier"),0,F2129*P2129+G2129*Q2129)</f>
        <v>0</v>
      </c>
      <c r="S2129" s="26" t="n">
        <f aca="false">IF(OR($D2129="",$J2129&lt;&gt;"Own"),0,IFERROR((F2129+G2129*Settings!$B$13)*INDEX(Workers!$V$5:$V$2004,MATCH($D2129,Workers!$A$5:$A$2004,0)),0))</f>
        <v>0</v>
      </c>
      <c r="T2129" s="26" t="str">
        <f aca="false">IF($D2129="","",O2129-R2129-S2129)</f>
        <v/>
      </c>
    </row>
    <row r="2130" customFormat="false" ht="15" hidden="false" customHeight="false" outlineLevel="0" collapsed="false">
      <c r="I2130" s="24" t="str">
        <f aca="false">IF($D2130="","",IFERROR(INDEX(Workers!$B$5:$B$2004,MATCH($D2130,Workers!$A$5:$A$2004,0)),"NOT FOUND"))</f>
        <v/>
      </c>
      <c r="J2130" s="24" t="str">
        <f aca="false">IF($D2130="","",IFERROR(INDEX(Workers!$C$5:$C$2004,MATCH($D2130,Workers!$A$5:$A$2004,0)),""))</f>
        <v/>
      </c>
      <c r="K2130" s="24" t="str">
        <f aca="false">IF($D2130="","",IFERROR(IF(INDEX(Workers!$D$5:$D$2004,MATCH($D2130,Workers!$A$5:$A$2004,0))=0,"",INDEX(Workers!$D$5:$D$2004,MATCH($D2130,Workers!$A$5:$A$2004,0))),""))</f>
        <v/>
      </c>
      <c r="L2130" s="24" t="str">
        <f aca="false">IF($D2130="","",IFERROR(INDEX(Workers!$E$5:$E$2004,MATCH($D2130,Workers!$A$5:$A$2004,0)),""))</f>
        <v/>
      </c>
      <c r="M2130" s="26" t="str">
        <f aca="false">IF($D2130="","",IFERROR(INDEX(ClientRates!$D$5:$D$500,MATCH($B2130&amp;"|"&amp;$L2130,ClientRates!$A$5:$A$500,0)),0))</f>
        <v/>
      </c>
      <c r="N2130" s="26" t="str">
        <f aca="false">IF($D2130="","",IFERROR(INDEX(ClientRates!$E$5:$E$500,MATCH($B2130&amp;"|"&amp;$L2130,ClientRates!$A$5:$A$500,0)),0))</f>
        <v/>
      </c>
      <c r="O2130" s="26" t="str">
        <f aca="false">IF($D2130="","",F2130*M2130+G2130*N2130)</f>
        <v/>
      </c>
      <c r="P2130" s="26" t="str">
        <f aca="false">IF(OR($D2130="",$J2130&lt;&gt;"Supplier"),"",IFERROR(INDEX(SupplierRates!$D$5:$D$500,MATCH($K2130&amp;"|"&amp;$L2130,SupplierRates!$A$5:$A$500,0)),0))</f>
        <v/>
      </c>
      <c r="Q2130" s="26" t="str">
        <f aca="false">IF(OR($D2130="",$J2130&lt;&gt;"Supplier"),"",IFERROR(INDEX(SupplierRates!$E$5:$E$500,MATCH($K2130&amp;"|"&amp;$L2130,SupplierRates!$A$5:$A$500,0)),0))</f>
        <v/>
      </c>
      <c r="R2130" s="26" t="n">
        <f aca="false">IF(OR($D2130="",$J2130&lt;&gt;"Supplier"),0,F2130*P2130+G2130*Q2130)</f>
        <v>0</v>
      </c>
      <c r="S2130" s="26" t="n">
        <f aca="false">IF(OR($D2130="",$J2130&lt;&gt;"Own"),0,IFERROR((F2130+G2130*Settings!$B$13)*INDEX(Workers!$V$5:$V$2004,MATCH($D2130,Workers!$A$5:$A$2004,0)),0))</f>
        <v>0</v>
      </c>
      <c r="T2130" s="26" t="str">
        <f aca="false">IF($D2130="","",O2130-R2130-S2130)</f>
        <v/>
      </c>
    </row>
    <row r="2131" customFormat="false" ht="15" hidden="false" customHeight="false" outlineLevel="0" collapsed="false">
      <c r="I2131" s="24" t="str">
        <f aca="false">IF($D2131="","",IFERROR(INDEX(Workers!$B$5:$B$2004,MATCH($D2131,Workers!$A$5:$A$2004,0)),"NOT FOUND"))</f>
        <v/>
      </c>
      <c r="J2131" s="24" t="str">
        <f aca="false">IF($D2131="","",IFERROR(INDEX(Workers!$C$5:$C$2004,MATCH($D2131,Workers!$A$5:$A$2004,0)),""))</f>
        <v/>
      </c>
      <c r="K2131" s="24" t="str">
        <f aca="false">IF($D2131="","",IFERROR(IF(INDEX(Workers!$D$5:$D$2004,MATCH($D2131,Workers!$A$5:$A$2004,0))=0,"",INDEX(Workers!$D$5:$D$2004,MATCH($D2131,Workers!$A$5:$A$2004,0))),""))</f>
        <v/>
      </c>
      <c r="L2131" s="24" t="str">
        <f aca="false">IF($D2131="","",IFERROR(INDEX(Workers!$E$5:$E$2004,MATCH($D2131,Workers!$A$5:$A$2004,0)),""))</f>
        <v/>
      </c>
      <c r="M2131" s="26" t="str">
        <f aca="false">IF($D2131="","",IFERROR(INDEX(ClientRates!$D$5:$D$500,MATCH($B2131&amp;"|"&amp;$L2131,ClientRates!$A$5:$A$500,0)),0))</f>
        <v/>
      </c>
      <c r="N2131" s="26" t="str">
        <f aca="false">IF($D2131="","",IFERROR(INDEX(ClientRates!$E$5:$E$500,MATCH($B2131&amp;"|"&amp;$L2131,ClientRates!$A$5:$A$500,0)),0))</f>
        <v/>
      </c>
      <c r="O2131" s="26" t="str">
        <f aca="false">IF($D2131="","",F2131*M2131+G2131*N2131)</f>
        <v/>
      </c>
      <c r="P2131" s="26" t="str">
        <f aca="false">IF(OR($D2131="",$J2131&lt;&gt;"Supplier"),"",IFERROR(INDEX(SupplierRates!$D$5:$D$500,MATCH($K2131&amp;"|"&amp;$L2131,SupplierRates!$A$5:$A$500,0)),0))</f>
        <v/>
      </c>
      <c r="Q2131" s="26" t="str">
        <f aca="false">IF(OR($D2131="",$J2131&lt;&gt;"Supplier"),"",IFERROR(INDEX(SupplierRates!$E$5:$E$500,MATCH($K2131&amp;"|"&amp;$L2131,SupplierRates!$A$5:$A$500,0)),0))</f>
        <v/>
      </c>
      <c r="R2131" s="26" t="n">
        <f aca="false">IF(OR($D2131="",$J2131&lt;&gt;"Supplier"),0,F2131*P2131+G2131*Q2131)</f>
        <v>0</v>
      </c>
      <c r="S2131" s="26" t="n">
        <f aca="false">IF(OR($D2131="",$J2131&lt;&gt;"Own"),0,IFERROR((F2131+G2131*Settings!$B$13)*INDEX(Workers!$V$5:$V$2004,MATCH($D2131,Workers!$A$5:$A$2004,0)),0))</f>
        <v>0</v>
      </c>
      <c r="T2131" s="26" t="str">
        <f aca="false">IF($D2131="","",O2131-R2131-S2131)</f>
        <v/>
      </c>
    </row>
    <row r="2132" customFormat="false" ht="15" hidden="false" customHeight="false" outlineLevel="0" collapsed="false">
      <c r="I2132" s="24" t="str">
        <f aca="false">IF($D2132="","",IFERROR(INDEX(Workers!$B$5:$B$2004,MATCH($D2132,Workers!$A$5:$A$2004,0)),"NOT FOUND"))</f>
        <v/>
      </c>
      <c r="J2132" s="24" t="str">
        <f aca="false">IF($D2132="","",IFERROR(INDEX(Workers!$C$5:$C$2004,MATCH($D2132,Workers!$A$5:$A$2004,0)),""))</f>
        <v/>
      </c>
      <c r="K2132" s="24" t="str">
        <f aca="false">IF($D2132="","",IFERROR(IF(INDEX(Workers!$D$5:$D$2004,MATCH($D2132,Workers!$A$5:$A$2004,0))=0,"",INDEX(Workers!$D$5:$D$2004,MATCH($D2132,Workers!$A$5:$A$2004,0))),""))</f>
        <v/>
      </c>
      <c r="L2132" s="24" t="str">
        <f aca="false">IF($D2132="","",IFERROR(INDEX(Workers!$E$5:$E$2004,MATCH($D2132,Workers!$A$5:$A$2004,0)),""))</f>
        <v/>
      </c>
      <c r="M2132" s="26" t="str">
        <f aca="false">IF($D2132="","",IFERROR(INDEX(ClientRates!$D$5:$D$500,MATCH($B2132&amp;"|"&amp;$L2132,ClientRates!$A$5:$A$500,0)),0))</f>
        <v/>
      </c>
      <c r="N2132" s="26" t="str">
        <f aca="false">IF($D2132="","",IFERROR(INDEX(ClientRates!$E$5:$E$500,MATCH($B2132&amp;"|"&amp;$L2132,ClientRates!$A$5:$A$500,0)),0))</f>
        <v/>
      </c>
      <c r="O2132" s="26" t="str">
        <f aca="false">IF($D2132="","",F2132*M2132+G2132*N2132)</f>
        <v/>
      </c>
      <c r="P2132" s="26" t="str">
        <f aca="false">IF(OR($D2132="",$J2132&lt;&gt;"Supplier"),"",IFERROR(INDEX(SupplierRates!$D$5:$D$500,MATCH($K2132&amp;"|"&amp;$L2132,SupplierRates!$A$5:$A$500,0)),0))</f>
        <v/>
      </c>
      <c r="Q2132" s="26" t="str">
        <f aca="false">IF(OR($D2132="",$J2132&lt;&gt;"Supplier"),"",IFERROR(INDEX(SupplierRates!$E$5:$E$500,MATCH($K2132&amp;"|"&amp;$L2132,SupplierRates!$A$5:$A$500,0)),0))</f>
        <v/>
      </c>
      <c r="R2132" s="26" t="n">
        <f aca="false">IF(OR($D2132="",$J2132&lt;&gt;"Supplier"),0,F2132*P2132+G2132*Q2132)</f>
        <v>0</v>
      </c>
      <c r="S2132" s="26" t="n">
        <f aca="false">IF(OR($D2132="",$J2132&lt;&gt;"Own"),0,IFERROR((F2132+G2132*Settings!$B$13)*INDEX(Workers!$V$5:$V$2004,MATCH($D2132,Workers!$A$5:$A$2004,0)),0))</f>
        <v>0</v>
      </c>
      <c r="T2132" s="26" t="str">
        <f aca="false">IF($D2132="","",O2132-R2132-S2132)</f>
        <v/>
      </c>
    </row>
    <row r="2133" customFormat="false" ht="15" hidden="false" customHeight="false" outlineLevel="0" collapsed="false">
      <c r="I2133" s="24" t="str">
        <f aca="false">IF($D2133="","",IFERROR(INDEX(Workers!$B$5:$B$2004,MATCH($D2133,Workers!$A$5:$A$2004,0)),"NOT FOUND"))</f>
        <v/>
      </c>
      <c r="J2133" s="24" t="str">
        <f aca="false">IF($D2133="","",IFERROR(INDEX(Workers!$C$5:$C$2004,MATCH($D2133,Workers!$A$5:$A$2004,0)),""))</f>
        <v/>
      </c>
      <c r="K2133" s="24" t="str">
        <f aca="false">IF($D2133="","",IFERROR(IF(INDEX(Workers!$D$5:$D$2004,MATCH($D2133,Workers!$A$5:$A$2004,0))=0,"",INDEX(Workers!$D$5:$D$2004,MATCH($D2133,Workers!$A$5:$A$2004,0))),""))</f>
        <v/>
      </c>
      <c r="L2133" s="24" t="str">
        <f aca="false">IF($D2133="","",IFERROR(INDEX(Workers!$E$5:$E$2004,MATCH($D2133,Workers!$A$5:$A$2004,0)),""))</f>
        <v/>
      </c>
      <c r="M2133" s="26" t="str">
        <f aca="false">IF($D2133="","",IFERROR(INDEX(ClientRates!$D$5:$D$500,MATCH($B2133&amp;"|"&amp;$L2133,ClientRates!$A$5:$A$500,0)),0))</f>
        <v/>
      </c>
      <c r="N2133" s="26" t="str">
        <f aca="false">IF($D2133="","",IFERROR(INDEX(ClientRates!$E$5:$E$500,MATCH($B2133&amp;"|"&amp;$L2133,ClientRates!$A$5:$A$500,0)),0))</f>
        <v/>
      </c>
      <c r="O2133" s="26" t="str">
        <f aca="false">IF($D2133="","",F2133*M2133+G2133*N2133)</f>
        <v/>
      </c>
      <c r="P2133" s="26" t="str">
        <f aca="false">IF(OR($D2133="",$J2133&lt;&gt;"Supplier"),"",IFERROR(INDEX(SupplierRates!$D$5:$D$500,MATCH($K2133&amp;"|"&amp;$L2133,SupplierRates!$A$5:$A$500,0)),0))</f>
        <v/>
      </c>
      <c r="Q2133" s="26" t="str">
        <f aca="false">IF(OR($D2133="",$J2133&lt;&gt;"Supplier"),"",IFERROR(INDEX(SupplierRates!$E$5:$E$500,MATCH($K2133&amp;"|"&amp;$L2133,SupplierRates!$A$5:$A$500,0)),0))</f>
        <v/>
      </c>
      <c r="R2133" s="26" t="n">
        <f aca="false">IF(OR($D2133="",$J2133&lt;&gt;"Supplier"),0,F2133*P2133+G2133*Q2133)</f>
        <v>0</v>
      </c>
      <c r="S2133" s="26" t="n">
        <f aca="false">IF(OR($D2133="",$J2133&lt;&gt;"Own"),0,IFERROR((F2133+G2133*Settings!$B$13)*INDEX(Workers!$V$5:$V$2004,MATCH($D2133,Workers!$A$5:$A$2004,0)),0))</f>
        <v>0</v>
      </c>
      <c r="T2133" s="26" t="str">
        <f aca="false">IF($D2133="","",O2133-R2133-S2133)</f>
        <v/>
      </c>
    </row>
    <row r="2134" customFormat="false" ht="15" hidden="false" customHeight="false" outlineLevel="0" collapsed="false">
      <c r="I2134" s="24" t="str">
        <f aca="false">IF($D2134="","",IFERROR(INDEX(Workers!$B$5:$B$2004,MATCH($D2134,Workers!$A$5:$A$2004,0)),"NOT FOUND"))</f>
        <v/>
      </c>
      <c r="J2134" s="24" t="str">
        <f aca="false">IF($D2134="","",IFERROR(INDEX(Workers!$C$5:$C$2004,MATCH($D2134,Workers!$A$5:$A$2004,0)),""))</f>
        <v/>
      </c>
      <c r="K2134" s="24" t="str">
        <f aca="false">IF($D2134="","",IFERROR(IF(INDEX(Workers!$D$5:$D$2004,MATCH($D2134,Workers!$A$5:$A$2004,0))=0,"",INDEX(Workers!$D$5:$D$2004,MATCH($D2134,Workers!$A$5:$A$2004,0))),""))</f>
        <v/>
      </c>
      <c r="L2134" s="24" t="str">
        <f aca="false">IF($D2134="","",IFERROR(INDEX(Workers!$E$5:$E$2004,MATCH($D2134,Workers!$A$5:$A$2004,0)),""))</f>
        <v/>
      </c>
      <c r="M2134" s="26" t="str">
        <f aca="false">IF($D2134="","",IFERROR(INDEX(ClientRates!$D$5:$D$500,MATCH($B2134&amp;"|"&amp;$L2134,ClientRates!$A$5:$A$500,0)),0))</f>
        <v/>
      </c>
      <c r="N2134" s="26" t="str">
        <f aca="false">IF($D2134="","",IFERROR(INDEX(ClientRates!$E$5:$E$500,MATCH($B2134&amp;"|"&amp;$L2134,ClientRates!$A$5:$A$500,0)),0))</f>
        <v/>
      </c>
      <c r="O2134" s="26" t="str">
        <f aca="false">IF($D2134="","",F2134*M2134+G2134*N2134)</f>
        <v/>
      </c>
      <c r="P2134" s="26" t="str">
        <f aca="false">IF(OR($D2134="",$J2134&lt;&gt;"Supplier"),"",IFERROR(INDEX(SupplierRates!$D$5:$D$500,MATCH($K2134&amp;"|"&amp;$L2134,SupplierRates!$A$5:$A$500,0)),0))</f>
        <v/>
      </c>
      <c r="Q2134" s="26" t="str">
        <f aca="false">IF(OR($D2134="",$J2134&lt;&gt;"Supplier"),"",IFERROR(INDEX(SupplierRates!$E$5:$E$500,MATCH($K2134&amp;"|"&amp;$L2134,SupplierRates!$A$5:$A$500,0)),0))</f>
        <v/>
      </c>
      <c r="R2134" s="26" t="n">
        <f aca="false">IF(OR($D2134="",$J2134&lt;&gt;"Supplier"),0,F2134*P2134+G2134*Q2134)</f>
        <v>0</v>
      </c>
      <c r="S2134" s="26" t="n">
        <f aca="false">IF(OR($D2134="",$J2134&lt;&gt;"Own"),0,IFERROR((F2134+G2134*Settings!$B$13)*INDEX(Workers!$V$5:$V$2004,MATCH($D2134,Workers!$A$5:$A$2004,0)),0))</f>
        <v>0</v>
      </c>
      <c r="T2134" s="26" t="str">
        <f aca="false">IF($D2134="","",O2134-R2134-S2134)</f>
        <v/>
      </c>
    </row>
    <row r="2135" customFormat="false" ht="15" hidden="false" customHeight="false" outlineLevel="0" collapsed="false">
      <c r="I2135" s="24" t="str">
        <f aca="false">IF($D2135="","",IFERROR(INDEX(Workers!$B$5:$B$2004,MATCH($D2135,Workers!$A$5:$A$2004,0)),"NOT FOUND"))</f>
        <v/>
      </c>
      <c r="J2135" s="24" t="str">
        <f aca="false">IF($D2135="","",IFERROR(INDEX(Workers!$C$5:$C$2004,MATCH($D2135,Workers!$A$5:$A$2004,0)),""))</f>
        <v/>
      </c>
      <c r="K2135" s="24" t="str">
        <f aca="false">IF($D2135="","",IFERROR(IF(INDEX(Workers!$D$5:$D$2004,MATCH($D2135,Workers!$A$5:$A$2004,0))=0,"",INDEX(Workers!$D$5:$D$2004,MATCH($D2135,Workers!$A$5:$A$2004,0))),""))</f>
        <v/>
      </c>
      <c r="L2135" s="24" t="str">
        <f aca="false">IF($D2135="","",IFERROR(INDEX(Workers!$E$5:$E$2004,MATCH($D2135,Workers!$A$5:$A$2004,0)),""))</f>
        <v/>
      </c>
      <c r="M2135" s="26" t="str">
        <f aca="false">IF($D2135="","",IFERROR(INDEX(ClientRates!$D$5:$D$500,MATCH($B2135&amp;"|"&amp;$L2135,ClientRates!$A$5:$A$500,0)),0))</f>
        <v/>
      </c>
      <c r="N2135" s="26" t="str">
        <f aca="false">IF($D2135="","",IFERROR(INDEX(ClientRates!$E$5:$E$500,MATCH($B2135&amp;"|"&amp;$L2135,ClientRates!$A$5:$A$500,0)),0))</f>
        <v/>
      </c>
      <c r="O2135" s="26" t="str">
        <f aca="false">IF($D2135="","",F2135*M2135+G2135*N2135)</f>
        <v/>
      </c>
      <c r="P2135" s="26" t="str">
        <f aca="false">IF(OR($D2135="",$J2135&lt;&gt;"Supplier"),"",IFERROR(INDEX(SupplierRates!$D$5:$D$500,MATCH($K2135&amp;"|"&amp;$L2135,SupplierRates!$A$5:$A$500,0)),0))</f>
        <v/>
      </c>
      <c r="Q2135" s="26" t="str">
        <f aca="false">IF(OR($D2135="",$J2135&lt;&gt;"Supplier"),"",IFERROR(INDEX(SupplierRates!$E$5:$E$500,MATCH($K2135&amp;"|"&amp;$L2135,SupplierRates!$A$5:$A$500,0)),0))</f>
        <v/>
      </c>
      <c r="R2135" s="26" t="n">
        <f aca="false">IF(OR($D2135="",$J2135&lt;&gt;"Supplier"),0,F2135*P2135+G2135*Q2135)</f>
        <v>0</v>
      </c>
      <c r="S2135" s="26" t="n">
        <f aca="false">IF(OR($D2135="",$J2135&lt;&gt;"Own"),0,IFERROR((F2135+G2135*Settings!$B$13)*INDEX(Workers!$V$5:$V$2004,MATCH($D2135,Workers!$A$5:$A$2004,0)),0))</f>
        <v>0</v>
      </c>
      <c r="T2135" s="26" t="str">
        <f aca="false">IF($D2135="","",O2135-R2135-S2135)</f>
        <v/>
      </c>
    </row>
    <row r="2136" customFormat="false" ht="15" hidden="false" customHeight="false" outlineLevel="0" collapsed="false">
      <c r="I2136" s="24" t="str">
        <f aca="false">IF($D2136="","",IFERROR(INDEX(Workers!$B$5:$B$2004,MATCH($D2136,Workers!$A$5:$A$2004,0)),"NOT FOUND"))</f>
        <v/>
      </c>
      <c r="J2136" s="24" t="str">
        <f aca="false">IF($D2136="","",IFERROR(INDEX(Workers!$C$5:$C$2004,MATCH($D2136,Workers!$A$5:$A$2004,0)),""))</f>
        <v/>
      </c>
      <c r="K2136" s="24" t="str">
        <f aca="false">IF($D2136="","",IFERROR(IF(INDEX(Workers!$D$5:$D$2004,MATCH($D2136,Workers!$A$5:$A$2004,0))=0,"",INDEX(Workers!$D$5:$D$2004,MATCH($D2136,Workers!$A$5:$A$2004,0))),""))</f>
        <v/>
      </c>
      <c r="L2136" s="24" t="str">
        <f aca="false">IF($D2136="","",IFERROR(INDEX(Workers!$E$5:$E$2004,MATCH($D2136,Workers!$A$5:$A$2004,0)),""))</f>
        <v/>
      </c>
      <c r="M2136" s="26" t="str">
        <f aca="false">IF($D2136="","",IFERROR(INDEX(ClientRates!$D$5:$D$500,MATCH($B2136&amp;"|"&amp;$L2136,ClientRates!$A$5:$A$500,0)),0))</f>
        <v/>
      </c>
      <c r="N2136" s="26" t="str">
        <f aca="false">IF($D2136="","",IFERROR(INDEX(ClientRates!$E$5:$E$500,MATCH($B2136&amp;"|"&amp;$L2136,ClientRates!$A$5:$A$500,0)),0))</f>
        <v/>
      </c>
      <c r="O2136" s="26" t="str">
        <f aca="false">IF($D2136="","",F2136*M2136+G2136*N2136)</f>
        <v/>
      </c>
      <c r="P2136" s="26" t="str">
        <f aca="false">IF(OR($D2136="",$J2136&lt;&gt;"Supplier"),"",IFERROR(INDEX(SupplierRates!$D$5:$D$500,MATCH($K2136&amp;"|"&amp;$L2136,SupplierRates!$A$5:$A$500,0)),0))</f>
        <v/>
      </c>
      <c r="Q2136" s="26" t="str">
        <f aca="false">IF(OR($D2136="",$J2136&lt;&gt;"Supplier"),"",IFERROR(INDEX(SupplierRates!$E$5:$E$500,MATCH($K2136&amp;"|"&amp;$L2136,SupplierRates!$A$5:$A$500,0)),0))</f>
        <v/>
      </c>
      <c r="R2136" s="26" t="n">
        <f aca="false">IF(OR($D2136="",$J2136&lt;&gt;"Supplier"),0,F2136*P2136+G2136*Q2136)</f>
        <v>0</v>
      </c>
      <c r="S2136" s="26" t="n">
        <f aca="false">IF(OR($D2136="",$J2136&lt;&gt;"Own"),0,IFERROR((F2136+G2136*Settings!$B$13)*INDEX(Workers!$V$5:$V$2004,MATCH($D2136,Workers!$A$5:$A$2004,0)),0))</f>
        <v>0</v>
      </c>
      <c r="T2136" s="26" t="str">
        <f aca="false">IF($D2136="","",O2136-R2136-S2136)</f>
        <v/>
      </c>
    </row>
    <row r="2137" customFormat="false" ht="15" hidden="false" customHeight="false" outlineLevel="0" collapsed="false">
      <c r="I2137" s="24" t="str">
        <f aca="false">IF($D2137="","",IFERROR(INDEX(Workers!$B$5:$B$2004,MATCH($D2137,Workers!$A$5:$A$2004,0)),"NOT FOUND"))</f>
        <v/>
      </c>
      <c r="J2137" s="24" t="str">
        <f aca="false">IF($D2137="","",IFERROR(INDEX(Workers!$C$5:$C$2004,MATCH($D2137,Workers!$A$5:$A$2004,0)),""))</f>
        <v/>
      </c>
      <c r="K2137" s="24" t="str">
        <f aca="false">IF($D2137="","",IFERROR(IF(INDEX(Workers!$D$5:$D$2004,MATCH($D2137,Workers!$A$5:$A$2004,0))=0,"",INDEX(Workers!$D$5:$D$2004,MATCH($D2137,Workers!$A$5:$A$2004,0))),""))</f>
        <v/>
      </c>
      <c r="L2137" s="24" t="str">
        <f aca="false">IF($D2137="","",IFERROR(INDEX(Workers!$E$5:$E$2004,MATCH($D2137,Workers!$A$5:$A$2004,0)),""))</f>
        <v/>
      </c>
      <c r="M2137" s="26" t="str">
        <f aca="false">IF($D2137="","",IFERROR(INDEX(ClientRates!$D$5:$D$500,MATCH($B2137&amp;"|"&amp;$L2137,ClientRates!$A$5:$A$500,0)),0))</f>
        <v/>
      </c>
      <c r="N2137" s="26" t="str">
        <f aca="false">IF($D2137="","",IFERROR(INDEX(ClientRates!$E$5:$E$500,MATCH($B2137&amp;"|"&amp;$L2137,ClientRates!$A$5:$A$500,0)),0))</f>
        <v/>
      </c>
      <c r="O2137" s="26" t="str">
        <f aca="false">IF($D2137="","",F2137*M2137+G2137*N2137)</f>
        <v/>
      </c>
      <c r="P2137" s="26" t="str">
        <f aca="false">IF(OR($D2137="",$J2137&lt;&gt;"Supplier"),"",IFERROR(INDEX(SupplierRates!$D$5:$D$500,MATCH($K2137&amp;"|"&amp;$L2137,SupplierRates!$A$5:$A$500,0)),0))</f>
        <v/>
      </c>
      <c r="Q2137" s="26" t="str">
        <f aca="false">IF(OR($D2137="",$J2137&lt;&gt;"Supplier"),"",IFERROR(INDEX(SupplierRates!$E$5:$E$500,MATCH($K2137&amp;"|"&amp;$L2137,SupplierRates!$A$5:$A$500,0)),0))</f>
        <v/>
      </c>
      <c r="R2137" s="26" t="n">
        <f aca="false">IF(OR($D2137="",$J2137&lt;&gt;"Supplier"),0,F2137*P2137+G2137*Q2137)</f>
        <v>0</v>
      </c>
      <c r="S2137" s="26" t="n">
        <f aca="false">IF(OR($D2137="",$J2137&lt;&gt;"Own"),0,IFERROR((F2137+G2137*Settings!$B$13)*INDEX(Workers!$V$5:$V$2004,MATCH($D2137,Workers!$A$5:$A$2004,0)),0))</f>
        <v>0</v>
      </c>
      <c r="T2137" s="26" t="str">
        <f aca="false">IF($D2137="","",O2137-R2137-S2137)</f>
        <v/>
      </c>
    </row>
    <row r="2138" customFormat="false" ht="15" hidden="false" customHeight="false" outlineLevel="0" collapsed="false">
      <c r="I2138" s="24" t="str">
        <f aca="false">IF($D2138="","",IFERROR(INDEX(Workers!$B$5:$B$2004,MATCH($D2138,Workers!$A$5:$A$2004,0)),"NOT FOUND"))</f>
        <v/>
      </c>
      <c r="J2138" s="24" t="str">
        <f aca="false">IF($D2138="","",IFERROR(INDEX(Workers!$C$5:$C$2004,MATCH($D2138,Workers!$A$5:$A$2004,0)),""))</f>
        <v/>
      </c>
      <c r="K2138" s="24" t="str">
        <f aca="false">IF($D2138="","",IFERROR(IF(INDEX(Workers!$D$5:$D$2004,MATCH($D2138,Workers!$A$5:$A$2004,0))=0,"",INDEX(Workers!$D$5:$D$2004,MATCH($D2138,Workers!$A$5:$A$2004,0))),""))</f>
        <v/>
      </c>
      <c r="L2138" s="24" t="str">
        <f aca="false">IF($D2138="","",IFERROR(INDEX(Workers!$E$5:$E$2004,MATCH($D2138,Workers!$A$5:$A$2004,0)),""))</f>
        <v/>
      </c>
      <c r="M2138" s="26" t="str">
        <f aca="false">IF($D2138="","",IFERROR(INDEX(ClientRates!$D$5:$D$500,MATCH($B2138&amp;"|"&amp;$L2138,ClientRates!$A$5:$A$500,0)),0))</f>
        <v/>
      </c>
      <c r="N2138" s="26" t="str">
        <f aca="false">IF($D2138="","",IFERROR(INDEX(ClientRates!$E$5:$E$500,MATCH($B2138&amp;"|"&amp;$L2138,ClientRates!$A$5:$A$500,0)),0))</f>
        <v/>
      </c>
      <c r="O2138" s="26" t="str">
        <f aca="false">IF($D2138="","",F2138*M2138+G2138*N2138)</f>
        <v/>
      </c>
      <c r="P2138" s="26" t="str">
        <f aca="false">IF(OR($D2138="",$J2138&lt;&gt;"Supplier"),"",IFERROR(INDEX(SupplierRates!$D$5:$D$500,MATCH($K2138&amp;"|"&amp;$L2138,SupplierRates!$A$5:$A$500,0)),0))</f>
        <v/>
      </c>
      <c r="Q2138" s="26" t="str">
        <f aca="false">IF(OR($D2138="",$J2138&lt;&gt;"Supplier"),"",IFERROR(INDEX(SupplierRates!$E$5:$E$500,MATCH($K2138&amp;"|"&amp;$L2138,SupplierRates!$A$5:$A$500,0)),0))</f>
        <v/>
      </c>
      <c r="R2138" s="26" t="n">
        <f aca="false">IF(OR($D2138="",$J2138&lt;&gt;"Supplier"),0,F2138*P2138+G2138*Q2138)</f>
        <v>0</v>
      </c>
      <c r="S2138" s="26" t="n">
        <f aca="false">IF(OR($D2138="",$J2138&lt;&gt;"Own"),0,IFERROR((F2138+G2138*Settings!$B$13)*INDEX(Workers!$V$5:$V$2004,MATCH($D2138,Workers!$A$5:$A$2004,0)),0))</f>
        <v>0</v>
      </c>
      <c r="T2138" s="26" t="str">
        <f aca="false">IF($D2138="","",O2138-R2138-S2138)</f>
        <v/>
      </c>
    </row>
    <row r="2139" customFormat="false" ht="15" hidden="false" customHeight="false" outlineLevel="0" collapsed="false">
      <c r="I2139" s="24" t="str">
        <f aca="false">IF($D2139="","",IFERROR(INDEX(Workers!$B$5:$B$2004,MATCH($D2139,Workers!$A$5:$A$2004,0)),"NOT FOUND"))</f>
        <v/>
      </c>
      <c r="J2139" s="24" t="str">
        <f aca="false">IF($D2139="","",IFERROR(INDEX(Workers!$C$5:$C$2004,MATCH($D2139,Workers!$A$5:$A$2004,0)),""))</f>
        <v/>
      </c>
      <c r="K2139" s="24" t="str">
        <f aca="false">IF($D2139="","",IFERROR(IF(INDEX(Workers!$D$5:$D$2004,MATCH($D2139,Workers!$A$5:$A$2004,0))=0,"",INDEX(Workers!$D$5:$D$2004,MATCH($D2139,Workers!$A$5:$A$2004,0))),""))</f>
        <v/>
      </c>
      <c r="L2139" s="24" t="str">
        <f aca="false">IF($D2139="","",IFERROR(INDEX(Workers!$E$5:$E$2004,MATCH($D2139,Workers!$A$5:$A$2004,0)),""))</f>
        <v/>
      </c>
      <c r="M2139" s="26" t="str">
        <f aca="false">IF($D2139="","",IFERROR(INDEX(ClientRates!$D$5:$D$500,MATCH($B2139&amp;"|"&amp;$L2139,ClientRates!$A$5:$A$500,0)),0))</f>
        <v/>
      </c>
      <c r="N2139" s="26" t="str">
        <f aca="false">IF($D2139="","",IFERROR(INDEX(ClientRates!$E$5:$E$500,MATCH($B2139&amp;"|"&amp;$L2139,ClientRates!$A$5:$A$500,0)),0))</f>
        <v/>
      </c>
      <c r="O2139" s="26" t="str">
        <f aca="false">IF($D2139="","",F2139*M2139+G2139*N2139)</f>
        <v/>
      </c>
      <c r="P2139" s="26" t="str">
        <f aca="false">IF(OR($D2139="",$J2139&lt;&gt;"Supplier"),"",IFERROR(INDEX(SupplierRates!$D$5:$D$500,MATCH($K2139&amp;"|"&amp;$L2139,SupplierRates!$A$5:$A$500,0)),0))</f>
        <v/>
      </c>
      <c r="Q2139" s="26" t="str">
        <f aca="false">IF(OR($D2139="",$J2139&lt;&gt;"Supplier"),"",IFERROR(INDEX(SupplierRates!$E$5:$E$500,MATCH($K2139&amp;"|"&amp;$L2139,SupplierRates!$A$5:$A$500,0)),0))</f>
        <v/>
      </c>
      <c r="R2139" s="26" t="n">
        <f aca="false">IF(OR($D2139="",$J2139&lt;&gt;"Supplier"),0,F2139*P2139+G2139*Q2139)</f>
        <v>0</v>
      </c>
      <c r="S2139" s="26" t="n">
        <f aca="false">IF(OR($D2139="",$J2139&lt;&gt;"Own"),0,IFERROR((F2139+G2139*Settings!$B$13)*INDEX(Workers!$V$5:$V$2004,MATCH($D2139,Workers!$A$5:$A$2004,0)),0))</f>
        <v>0</v>
      </c>
      <c r="T2139" s="26" t="str">
        <f aca="false">IF($D2139="","",O2139-R2139-S2139)</f>
        <v/>
      </c>
    </row>
    <row r="2140" customFormat="false" ht="15" hidden="false" customHeight="false" outlineLevel="0" collapsed="false">
      <c r="I2140" s="24" t="str">
        <f aca="false">IF($D2140="","",IFERROR(INDEX(Workers!$B$5:$B$2004,MATCH($D2140,Workers!$A$5:$A$2004,0)),"NOT FOUND"))</f>
        <v/>
      </c>
      <c r="J2140" s="24" t="str">
        <f aca="false">IF($D2140="","",IFERROR(INDEX(Workers!$C$5:$C$2004,MATCH($D2140,Workers!$A$5:$A$2004,0)),""))</f>
        <v/>
      </c>
      <c r="K2140" s="24" t="str">
        <f aca="false">IF($D2140="","",IFERROR(IF(INDEX(Workers!$D$5:$D$2004,MATCH($D2140,Workers!$A$5:$A$2004,0))=0,"",INDEX(Workers!$D$5:$D$2004,MATCH($D2140,Workers!$A$5:$A$2004,0))),""))</f>
        <v/>
      </c>
      <c r="L2140" s="24" t="str">
        <f aca="false">IF($D2140="","",IFERROR(INDEX(Workers!$E$5:$E$2004,MATCH($D2140,Workers!$A$5:$A$2004,0)),""))</f>
        <v/>
      </c>
      <c r="M2140" s="26" t="str">
        <f aca="false">IF($D2140="","",IFERROR(INDEX(ClientRates!$D$5:$D$500,MATCH($B2140&amp;"|"&amp;$L2140,ClientRates!$A$5:$A$500,0)),0))</f>
        <v/>
      </c>
      <c r="N2140" s="26" t="str">
        <f aca="false">IF($D2140="","",IFERROR(INDEX(ClientRates!$E$5:$E$500,MATCH($B2140&amp;"|"&amp;$L2140,ClientRates!$A$5:$A$500,0)),0))</f>
        <v/>
      </c>
      <c r="O2140" s="26" t="str">
        <f aca="false">IF($D2140="","",F2140*M2140+G2140*N2140)</f>
        <v/>
      </c>
      <c r="P2140" s="26" t="str">
        <f aca="false">IF(OR($D2140="",$J2140&lt;&gt;"Supplier"),"",IFERROR(INDEX(SupplierRates!$D$5:$D$500,MATCH($K2140&amp;"|"&amp;$L2140,SupplierRates!$A$5:$A$500,0)),0))</f>
        <v/>
      </c>
      <c r="Q2140" s="26" t="str">
        <f aca="false">IF(OR($D2140="",$J2140&lt;&gt;"Supplier"),"",IFERROR(INDEX(SupplierRates!$E$5:$E$500,MATCH($K2140&amp;"|"&amp;$L2140,SupplierRates!$A$5:$A$500,0)),0))</f>
        <v/>
      </c>
      <c r="R2140" s="26" t="n">
        <f aca="false">IF(OR($D2140="",$J2140&lt;&gt;"Supplier"),0,F2140*P2140+G2140*Q2140)</f>
        <v>0</v>
      </c>
      <c r="S2140" s="26" t="n">
        <f aca="false">IF(OR($D2140="",$J2140&lt;&gt;"Own"),0,IFERROR((F2140+G2140*Settings!$B$13)*INDEX(Workers!$V$5:$V$2004,MATCH($D2140,Workers!$A$5:$A$2004,0)),0))</f>
        <v>0</v>
      </c>
      <c r="T2140" s="26" t="str">
        <f aca="false">IF($D2140="","",O2140-R2140-S2140)</f>
        <v/>
      </c>
    </row>
    <row r="2141" customFormat="false" ht="15" hidden="false" customHeight="false" outlineLevel="0" collapsed="false">
      <c r="I2141" s="24" t="str">
        <f aca="false">IF($D2141="","",IFERROR(INDEX(Workers!$B$5:$B$2004,MATCH($D2141,Workers!$A$5:$A$2004,0)),"NOT FOUND"))</f>
        <v/>
      </c>
      <c r="J2141" s="24" t="str">
        <f aca="false">IF($D2141="","",IFERROR(INDEX(Workers!$C$5:$C$2004,MATCH($D2141,Workers!$A$5:$A$2004,0)),""))</f>
        <v/>
      </c>
      <c r="K2141" s="24" t="str">
        <f aca="false">IF($D2141="","",IFERROR(IF(INDEX(Workers!$D$5:$D$2004,MATCH($D2141,Workers!$A$5:$A$2004,0))=0,"",INDEX(Workers!$D$5:$D$2004,MATCH($D2141,Workers!$A$5:$A$2004,0))),""))</f>
        <v/>
      </c>
      <c r="L2141" s="24" t="str">
        <f aca="false">IF($D2141="","",IFERROR(INDEX(Workers!$E$5:$E$2004,MATCH($D2141,Workers!$A$5:$A$2004,0)),""))</f>
        <v/>
      </c>
      <c r="M2141" s="26" t="str">
        <f aca="false">IF($D2141="","",IFERROR(INDEX(ClientRates!$D$5:$D$500,MATCH($B2141&amp;"|"&amp;$L2141,ClientRates!$A$5:$A$500,0)),0))</f>
        <v/>
      </c>
      <c r="N2141" s="26" t="str">
        <f aca="false">IF($D2141="","",IFERROR(INDEX(ClientRates!$E$5:$E$500,MATCH($B2141&amp;"|"&amp;$L2141,ClientRates!$A$5:$A$500,0)),0))</f>
        <v/>
      </c>
      <c r="O2141" s="26" t="str">
        <f aca="false">IF($D2141="","",F2141*M2141+G2141*N2141)</f>
        <v/>
      </c>
      <c r="P2141" s="26" t="str">
        <f aca="false">IF(OR($D2141="",$J2141&lt;&gt;"Supplier"),"",IFERROR(INDEX(SupplierRates!$D$5:$D$500,MATCH($K2141&amp;"|"&amp;$L2141,SupplierRates!$A$5:$A$500,0)),0))</f>
        <v/>
      </c>
      <c r="Q2141" s="26" t="str">
        <f aca="false">IF(OR($D2141="",$J2141&lt;&gt;"Supplier"),"",IFERROR(INDEX(SupplierRates!$E$5:$E$500,MATCH($K2141&amp;"|"&amp;$L2141,SupplierRates!$A$5:$A$500,0)),0))</f>
        <v/>
      </c>
      <c r="R2141" s="26" t="n">
        <f aca="false">IF(OR($D2141="",$J2141&lt;&gt;"Supplier"),0,F2141*P2141+G2141*Q2141)</f>
        <v>0</v>
      </c>
      <c r="S2141" s="26" t="n">
        <f aca="false">IF(OR($D2141="",$J2141&lt;&gt;"Own"),0,IFERROR((F2141+G2141*Settings!$B$13)*INDEX(Workers!$V$5:$V$2004,MATCH($D2141,Workers!$A$5:$A$2004,0)),0))</f>
        <v>0</v>
      </c>
      <c r="T2141" s="26" t="str">
        <f aca="false">IF($D2141="","",O2141-R2141-S2141)</f>
        <v/>
      </c>
    </row>
    <row r="2142" customFormat="false" ht="15" hidden="false" customHeight="false" outlineLevel="0" collapsed="false">
      <c r="I2142" s="24" t="str">
        <f aca="false">IF($D2142="","",IFERROR(INDEX(Workers!$B$5:$B$2004,MATCH($D2142,Workers!$A$5:$A$2004,0)),"NOT FOUND"))</f>
        <v/>
      </c>
      <c r="J2142" s="24" t="str">
        <f aca="false">IF($D2142="","",IFERROR(INDEX(Workers!$C$5:$C$2004,MATCH($D2142,Workers!$A$5:$A$2004,0)),""))</f>
        <v/>
      </c>
      <c r="K2142" s="24" t="str">
        <f aca="false">IF($D2142="","",IFERROR(IF(INDEX(Workers!$D$5:$D$2004,MATCH($D2142,Workers!$A$5:$A$2004,0))=0,"",INDEX(Workers!$D$5:$D$2004,MATCH($D2142,Workers!$A$5:$A$2004,0))),""))</f>
        <v/>
      </c>
      <c r="L2142" s="24" t="str">
        <f aca="false">IF($D2142="","",IFERROR(INDEX(Workers!$E$5:$E$2004,MATCH($D2142,Workers!$A$5:$A$2004,0)),""))</f>
        <v/>
      </c>
      <c r="M2142" s="26" t="str">
        <f aca="false">IF($D2142="","",IFERROR(INDEX(ClientRates!$D$5:$D$500,MATCH($B2142&amp;"|"&amp;$L2142,ClientRates!$A$5:$A$500,0)),0))</f>
        <v/>
      </c>
      <c r="N2142" s="26" t="str">
        <f aca="false">IF($D2142="","",IFERROR(INDEX(ClientRates!$E$5:$E$500,MATCH($B2142&amp;"|"&amp;$L2142,ClientRates!$A$5:$A$500,0)),0))</f>
        <v/>
      </c>
      <c r="O2142" s="26" t="str">
        <f aca="false">IF($D2142="","",F2142*M2142+G2142*N2142)</f>
        <v/>
      </c>
      <c r="P2142" s="26" t="str">
        <f aca="false">IF(OR($D2142="",$J2142&lt;&gt;"Supplier"),"",IFERROR(INDEX(SupplierRates!$D$5:$D$500,MATCH($K2142&amp;"|"&amp;$L2142,SupplierRates!$A$5:$A$500,0)),0))</f>
        <v/>
      </c>
      <c r="Q2142" s="26" t="str">
        <f aca="false">IF(OR($D2142="",$J2142&lt;&gt;"Supplier"),"",IFERROR(INDEX(SupplierRates!$E$5:$E$500,MATCH($K2142&amp;"|"&amp;$L2142,SupplierRates!$A$5:$A$500,0)),0))</f>
        <v/>
      </c>
      <c r="R2142" s="26" t="n">
        <f aca="false">IF(OR($D2142="",$J2142&lt;&gt;"Supplier"),0,F2142*P2142+G2142*Q2142)</f>
        <v>0</v>
      </c>
      <c r="S2142" s="26" t="n">
        <f aca="false">IF(OR($D2142="",$J2142&lt;&gt;"Own"),0,IFERROR((F2142+G2142*Settings!$B$13)*INDEX(Workers!$V$5:$V$2004,MATCH($D2142,Workers!$A$5:$A$2004,0)),0))</f>
        <v>0</v>
      </c>
      <c r="T2142" s="26" t="str">
        <f aca="false">IF($D2142="","",O2142-R2142-S2142)</f>
        <v/>
      </c>
    </row>
    <row r="2143" customFormat="false" ht="15" hidden="false" customHeight="false" outlineLevel="0" collapsed="false">
      <c r="I2143" s="24" t="str">
        <f aca="false">IF($D2143="","",IFERROR(INDEX(Workers!$B$5:$B$2004,MATCH($D2143,Workers!$A$5:$A$2004,0)),"NOT FOUND"))</f>
        <v/>
      </c>
      <c r="J2143" s="24" t="str">
        <f aca="false">IF($D2143="","",IFERROR(INDEX(Workers!$C$5:$C$2004,MATCH($D2143,Workers!$A$5:$A$2004,0)),""))</f>
        <v/>
      </c>
      <c r="K2143" s="24" t="str">
        <f aca="false">IF($D2143="","",IFERROR(IF(INDEX(Workers!$D$5:$D$2004,MATCH($D2143,Workers!$A$5:$A$2004,0))=0,"",INDEX(Workers!$D$5:$D$2004,MATCH($D2143,Workers!$A$5:$A$2004,0))),""))</f>
        <v/>
      </c>
      <c r="L2143" s="24" t="str">
        <f aca="false">IF($D2143="","",IFERROR(INDEX(Workers!$E$5:$E$2004,MATCH($D2143,Workers!$A$5:$A$2004,0)),""))</f>
        <v/>
      </c>
      <c r="M2143" s="26" t="str">
        <f aca="false">IF($D2143="","",IFERROR(INDEX(ClientRates!$D$5:$D$500,MATCH($B2143&amp;"|"&amp;$L2143,ClientRates!$A$5:$A$500,0)),0))</f>
        <v/>
      </c>
      <c r="N2143" s="26" t="str">
        <f aca="false">IF($D2143="","",IFERROR(INDEX(ClientRates!$E$5:$E$500,MATCH($B2143&amp;"|"&amp;$L2143,ClientRates!$A$5:$A$500,0)),0))</f>
        <v/>
      </c>
      <c r="O2143" s="26" t="str">
        <f aca="false">IF($D2143="","",F2143*M2143+G2143*N2143)</f>
        <v/>
      </c>
      <c r="P2143" s="26" t="str">
        <f aca="false">IF(OR($D2143="",$J2143&lt;&gt;"Supplier"),"",IFERROR(INDEX(SupplierRates!$D$5:$D$500,MATCH($K2143&amp;"|"&amp;$L2143,SupplierRates!$A$5:$A$500,0)),0))</f>
        <v/>
      </c>
      <c r="Q2143" s="26" t="str">
        <f aca="false">IF(OR($D2143="",$J2143&lt;&gt;"Supplier"),"",IFERROR(INDEX(SupplierRates!$E$5:$E$500,MATCH($K2143&amp;"|"&amp;$L2143,SupplierRates!$A$5:$A$500,0)),0))</f>
        <v/>
      </c>
      <c r="R2143" s="26" t="n">
        <f aca="false">IF(OR($D2143="",$J2143&lt;&gt;"Supplier"),0,F2143*P2143+G2143*Q2143)</f>
        <v>0</v>
      </c>
      <c r="S2143" s="26" t="n">
        <f aca="false">IF(OR($D2143="",$J2143&lt;&gt;"Own"),0,IFERROR((F2143+G2143*Settings!$B$13)*INDEX(Workers!$V$5:$V$2004,MATCH($D2143,Workers!$A$5:$A$2004,0)),0))</f>
        <v>0</v>
      </c>
      <c r="T2143" s="26" t="str">
        <f aca="false">IF($D2143="","",O2143-R2143-S2143)</f>
        <v/>
      </c>
    </row>
    <row r="2144" customFormat="false" ht="15" hidden="false" customHeight="false" outlineLevel="0" collapsed="false">
      <c r="I2144" s="24" t="str">
        <f aca="false">IF($D2144="","",IFERROR(INDEX(Workers!$B$5:$B$2004,MATCH($D2144,Workers!$A$5:$A$2004,0)),"NOT FOUND"))</f>
        <v/>
      </c>
      <c r="J2144" s="24" t="str">
        <f aca="false">IF($D2144="","",IFERROR(INDEX(Workers!$C$5:$C$2004,MATCH($D2144,Workers!$A$5:$A$2004,0)),""))</f>
        <v/>
      </c>
      <c r="K2144" s="24" t="str">
        <f aca="false">IF($D2144="","",IFERROR(IF(INDEX(Workers!$D$5:$D$2004,MATCH($D2144,Workers!$A$5:$A$2004,0))=0,"",INDEX(Workers!$D$5:$D$2004,MATCH($D2144,Workers!$A$5:$A$2004,0))),""))</f>
        <v/>
      </c>
      <c r="L2144" s="24" t="str">
        <f aca="false">IF($D2144="","",IFERROR(INDEX(Workers!$E$5:$E$2004,MATCH($D2144,Workers!$A$5:$A$2004,0)),""))</f>
        <v/>
      </c>
      <c r="M2144" s="26" t="str">
        <f aca="false">IF($D2144="","",IFERROR(INDEX(ClientRates!$D$5:$D$500,MATCH($B2144&amp;"|"&amp;$L2144,ClientRates!$A$5:$A$500,0)),0))</f>
        <v/>
      </c>
      <c r="N2144" s="26" t="str">
        <f aca="false">IF($D2144="","",IFERROR(INDEX(ClientRates!$E$5:$E$500,MATCH($B2144&amp;"|"&amp;$L2144,ClientRates!$A$5:$A$500,0)),0))</f>
        <v/>
      </c>
      <c r="O2144" s="26" t="str">
        <f aca="false">IF($D2144="","",F2144*M2144+G2144*N2144)</f>
        <v/>
      </c>
      <c r="P2144" s="26" t="str">
        <f aca="false">IF(OR($D2144="",$J2144&lt;&gt;"Supplier"),"",IFERROR(INDEX(SupplierRates!$D$5:$D$500,MATCH($K2144&amp;"|"&amp;$L2144,SupplierRates!$A$5:$A$500,0)),0))</f>
        <v/>
      </c>
      <c r="Q2144" s="26" t="str">
        <f aca="false">IF(OR($D2144="",$J2144&lt;&gt;"Supplier"),"",IFERROR(INDEX(SupplierRates!$E$5:$E$500,MATCH($K2144&amp;"|"&amp;$L2144,SupplierRates!$A$5:$A$500,0)),0))</f>
        <v/>
      </c>
      <c r="R2144" s="26" t="n">
        <f aca="false">IF(OR($D2144="",$J2144&lt;&gt;"Supplier"),0,F2144*P2144+G2144*Q2144)</f>
        <v>0</v>
      </c>
      <c r="S2144" s="26" t="n">
        <f aca="false">IF(OR($D2144="",$J2144&lt;&gt;"Own"),0,IFERROR((F2144+G2144*Settings!$B$13)*INDEX(Workers!$V$5:$V$2004,MATCH($D2144,Workers!$A$5:$A$2004,0)),0))</f>
        <v>0</v>
      </c>
      <c r="T2144" s="26" t="str">
        <f aca="false">IF($D2144="","",O2144-R2144-S2144)</f>
        <v/>
      </c>
    </row>
    <row r="2145" customFormat="false" ht="15" hidden="false" customHeight="false" outlineLevel="0" collapsed="false">
      <c r="I2145" s="24" t="str">
        <f aca="false">IF($D2145="","",IFERROR(INDEX(Workers!$B$5:$B$2004,MATCH($D2145,Workers!$A$5:$A$2004,0)),"NOT FOUND"))</f>
        <v/>
      </c>
      <c r="J2145" s="24" t="str">
        <f aca="false">IF($D2145="","",IFERROR(INDEX(Workers!$C$5:$C$2004,MATCH($D2145,Workers!$A$5:$A$2004,0)),""))</f>
        <v/>
      </c>
      <c r="K2145" s="24" t="str">
        <f aca="false">IF($D2145="","",IFERROR(IF(INDEX(Workers!$D$5:$D$2004,MATCH($D2145,Workers!$A$5:$A$2004,0))=0,"",INDEX(Workers!$D$5:$D$2004,MATCH($D2145,Workers!$A$5:$A$2004,0))),""))</f>
        <v/>
      </c>
      <c r="L2145" s="24" t="str">
        <f aca="false">IF($D2145="","",IFERROR(INDEX(Workers!$E$5:$E$2004,MATCH($D2145,Workers!$A$5:$A$2004,0)),""))</f>
        <v/>
      </c>
      <c r="M2145" s="26" t="str">
        <f aca="false">IF($D2145="","",IFERROR(INDEX(ClientRates!$D$5:$D$500,MATCH($B2145&amp;"|"&amp;$L2145,ClientRates!$A$5:$A$500,0)),0))</f>
        <v/>
      </c>
      <c r="N2145" s="26" t="str">
        <f aca="false">IF($D2145="","",IFERROR(INDEX(ClientRates!$E$5:$E$500,MATCH($B2145&amp;"|"&amp;$L2145,ClientRates!$A$5:$A$500,0)),0))</f>
        <v/>
      </c>
      <c r="O2145" s="26" t="str">
        <f aca="false">IF($D2145="","",F2145*M2145+G2145*N2145)</f>
        <v/>
      </c>
      <c r="P2145" s="26" t="str">
        <f aca="false">IF(OR($D2145="",$J2145&lt;&gt;"Supplier"),"",IFERROR(INDEX(SupplierRates!$D$5:$D$500,MATCH($K2145&amp;"|"&amp;$L2145,SupplierRates!$A$5:$A$500,0)),0))</f>
        <v/>
      </c>
      <c r="Q2145" s="26" t="str">
        <f aca="false">IF(OR($D2145="",$J2145&lt;&gt;"Supplier"),"",IFERROR(INDEX(SupplierRates!$E$5:$E$500,MATCH($K2145&amp;"|"&amp;$L2145,SupplierRates!$A$5:$A$500,0)),0))</f>
        <v/>
      </c>
      <c r="R2145" s="26" t="n">
        <f aca="false">IF(OR($D2145="",$J2145&lt;&gt;"Supplier"),0,F2145*P2145+G2145*Q2145)</f>
        <v>0</v>
      </c>
      <c r="S2145" s="26" t="n">
        <f aca="false">IF(OR($D2145="",$J2145&lt;&gt;"Own"),0,IFERROR((F2145+G2145*Settings!$B$13)*INDEX(Workers!$V$5:$V$2004,MATCH($D2145,Workers!$A$5:$A$2004,0)),0))</f>
        <v>0</v>
      </c>
      <c r="T2145" s="26" t="str">
        <f aca="false">IF($D2145="","",O2145-R2145-S2145)</f>
        <v/>
      </c>
    </row>
    <row r="2146" customFormat="false" ht="15" hidden="false" customHeight="false" outlineLevel="0" collapsed="false">
      <c r="I2146" s="24" t="str">
        <f aca="false">IF($D2146="","",IFERROR(INDEX(Workers!$B$5:$B$2004,MATCH($D2146,Workers!$A$5:$A$2004,0)),"NOT FOUND"))</f>
        <v/>
      </c>
      <c r="J2146" s="24" t="str">
        <f aca="false">IF($D2146="","",IFERROR(INDEX(Workers!$C$5:$C$2004,MATCH($D2146,Workers!$A$5:$A$2004,0)),""))</f>
        <v/>
      </c>
      <c r="K2146" s="24" t="str">
        <f aca="false">IF($D2146="","",IFERROR(IF(INDEX(Workers!$D$5:$D$2004,MATCH($D2146,Workers!$A$5:$A$2004,0))=0,"",INDEX(Workers!$D$5:$D$2004,MATCH($D2146,Workers!$A$5:$A$2004,0))),""))</f>
        <v/>
      </c>
      <c r="L2146" s="24" t="str">
        <f aca="false">IF($D2146="","",IFERROR(INDEX(Workers!$E$5:$E$2004,MATCH($D2146,Workers!$A$5:$A$2004,0)),""))</f>
        <v/>
      </c>
      <c r="M2146" s="26" t="str">
        <f aca="false">IF($D2146="","",IFERROR(INDEX(ClientRates!$D$5:$D$500,MATCH($B2146&amp;"|"&amp;$L2146,ClientRates!$A$5:$A$500,0)),0))</f>
        <v/>
      </c>
      <c r="N2146" s="26" t="str">
        <f aca="false">IF($D2146="","",IFERROR(INDEX(ClientRates!$E$5:$E$500,MATCH($B2146&amp;"|"&amp;$L2146,ClientRates!$A$5:$A$500,0)),0))</f>
        <v/>
      </c>
      <c r="O2146" s="26" t="str">
        <f aca="false">IF($D2146="","",F2146*M2146+G2146*N2146)</f>
        <v/>
      </c>
      <c r="P2146" s="26" t="str">
        <f aca="false">IF(OR($D2146="",$J2146&lt;&gt;"Supplier"),"",IFERROR(INDEX(SupplierRates!$D$5:$D$500,MATCH($K2146&amp;"|"&amp;$L2146,SupplierRates!$A$5:$A$500,0)),0))</f>
        <v/>
      </c>
      <c r="Q2146" s="26" t="str">
        <f aca="false">IF(OR($D2146="",$J2146&lt;&gt;"Supplier"),"",IFERROR(INDEX(SupplierRates!$E$5:$E$500,MATCH($K2146&amp;"|"&amp;$L2146,SupplierRates!$A$5:$A$500,0)),0))</f>
        <v/>
      </c>
      <c r="R2146" s="26" t="n">
        <f aca="false">IF(OR($D2146="",$J2146&lt;&gt;"Supplier"),0,F2146*P2146+G2146*Q2146)</f>
        <v>0</v>
      </c>
      <c r="S2146" s="26" t="n">
        <f aca="false">IF(OR($D2146="",$J2146&lt;&gt;"Own"),0,IFERROR((F2146+G2146*Settings!$B$13)*INDEX(Workers!$V$5:$V$2004,MATCH($D2146,Workers!$A$5:$A$2004,0)),0))</f>
        <v>0</v>
      </c>
      <c r="T2146" s="26" t="str">
        <f aca="false">IF($D2146="","",O2146-R2146-S2146)</f>
        <v/>
      </c>
    </row>
    <row r="2147" customFormat="false" ht="15" hidden="false" customHeight="false" outlineLevel="0" collapsed="false">
      <c r="I2147" s="24" t="str">
        <f aca="false">IF($D2147="","",IFERROR(INDEX(Workers!$B$5:$B$2004,MATCH($D2147,Workers!$A$5:$A$2004,0)),"NOT FOUND"))</f>
        <v/>
      </c>
      <c r="J2147" s="24" t="str">
        <f aca="false">IF($D2147="","",IFERROR(INDEX(Workers!$C$5:$C$2004,MATCH($D2147,Workers!$A$5:$A$2004,0)),""))</f>
        <v/>
      </c>
      <c r="K2147" s="24" t="str">
        <f aca="false">IF($D2147="","",IFERROR(IF(INDEX(Workers!$D$5:$D$2004,MATCH($D2147,Workers!$A$5:$A$2004,0))=0,"",INDEX(Workers!$D$5:$D$2004,MATCH($D2147,Workers!$A$5:$A$2004,0))),""))</f>
        <v/>
      </c>
      <c r="L2147" s="24" t="str">
        <f aca="false">IF($D2147="","",IFERROR(INDEX(Workers!$E$5:$E$2004,MATCH($D2147,Workers!$A$5:$A$2004,0)),""))</f>
        <v/>
      </c>
      <c r="M2147" s="26" t="str">
        <f aca="false">IF($D2147="","",IFERROR(INDEX(ClientRates!$D$5:$D$500,MATCH($B2147&amp;"|"&amp;$L2147,ClientRates!$A$5:$A$500,0)),0))</f>
        <v/>
      </c>
      <c r="N2147" s="26" t="str">
        <f aca="false">IF($D2147="","",IFERROR(INDEX(ClientRates!$E$5:$E$500,MATCH($B2147&amp;"|"&amp;$L2147,ClientRates!$A$5:$A$500,0)),0))</f>
        <v/>
      </c>
      <c r="O2147" s="26" t="str">
        <f aca="false">IF($D2147="","",F2147*M2147+G2147*N2147)</f>
        <v/>
      </c>
      <c r="P2147" s="26" t="str">
        <f aca="false">IF(OR($D2147="",$J2147&lt;&gt;"Supplier"),"",IFERROR(INDEX(SupplierRates!$D$5:$D$500,MATCH($K2147&amp;"|"&amp;$L2147,SupplierRates!$A$5:$A$500,0)),0))</f>
        <v/>
      </c>
      <c r="Q2147" s="26" t="str">
        <f aca="false">IF(OR($D2147="",$J2147&lt;&gt;"Supplier"),"",IFERROR(INDEX(SupplierRates!$E$5:$E$500,MATCH($K2147&amp;"|"&amp;$L2147,SupplierRates!$A$5:$A$500,0)),0))</f>
        <v/>
      </c>
      <c r="R2147" s="26" t="n">
        <f aca="false">IF(OR($D2147="",$J2147&lt;&gt;"Supplier"),0,F2147*P2147+G2147*Q2147)</f>
        <v>0</v>
      </c>
      <c r="S2147" s="26" t="n">
        <f aca="false">IF(OR($D2147="",$J2147&lt;&gt;"Own"),0,IFERROR((F2147+G2147*Settings!$B$13)*INDEX(Workers!$V$5:$V$2004,MATCH($D2147,Workers!$A$5:$A$2004,0)),0))</f>
        <v>0</v>
      </c>
      <c r="T2147" s="26" t="str">
        <f aca="false">IF($D2147="","",O2147-R2147-S2147)</f>
        <v/>
      </c>
    </row>
    <row r="2148" customFormat="false" ht="15" hidden="false" customHeight="false" outlineLevel="0" collapsed="false">
      <c r="I2148" s="24" t="str">
        <f aca="false">IF($D2148="","",IFERROR(INDEX(Workers!$B$5:$B$2004,MATCH($D2148,Workers!$A$5:$A$2004,0)),"NOT FOUND"))</f>
        <v/>
      </c>
      <c r="J2148" s="24" t="str">
        <f aca="false">IF($D2148="","",IFERROR(INDEX(Workers!$C$5:$C$2004,MATCH($D2148,Workers!$A$5:$A$2004,0)),""))</f>
        <v/>
      </c>
      <c r="K2148" s="24" t="str">
        <f aca="false">IF($D2148="","",IFERROR(IF(INDEX(Workers!$D$5:$D$2004,MATCH($D2148,Workers!$A$5:$A$2004,0))=0,"",INDEX(Workers!$D$5:$D$2004,MATCH($D2148,Workers!$A$5:$A$2004,0))),""))</f>
        <v/>
      </c>
      <c r="L2148" s="24" t="str">
        <f aca="false">IF($D2148="","",IFERROR(INDEX(Workers!$E$5:$E$2004,MATCH($D2148,Workers!$A$5:$A$2004,0)),""))</f>
        <v/>
      </c>
      <c r="M2148" s="26" t="str">
        <f aca="false">IF($D2148="","",IFERROR(INDEX(ClientRates!$D$5:$D$500,MATCH($B2148&amp;"|"&amp;$L2148,ClientRates!$A$5:$A$500,0)),0))</f>
        <v/>
      </c>
      <c r="N2148" s="26" t="str">
        <f aca="false">IF($D2148="","",IFERROR(INDEX(ClientRates!$E$5:$E$500,MATCH($B2148&amp;"|"&amp;$L2148,ClientRates!$A$5:$A$500,0)),0))</f>
        <v/>
      </c>
      <c r="O2148" s="26" t="str">
        <f aca="false">IF($D2148="","",F2148*M2148+G2148*N2148)</f>
        <v/>
      </c>
      <c r="P2148" s="26" t="str">
        <f aca="false">IF(OR($D2148="",$J2148&lt;&gt;"Supplier"),"",IFERROR(INDEX(SupplierRates!$D$5:$D$500,MATCH($K2148&amp;"|"&amp;$L2148,SupplierRates!$A$5:$A$500,0)),0))</f>
        <v/>
      </c>
      <c r="Q2148" s="26" t="str">
        <f aca="false">IF(OR($D2148="",$J2148&lt;&gt;"Supplier"),"",IFERROR(INDEX(SupplierRates!$E$5:$E$500,MATCH($K2148&amp;"|"&amp;$L2148,SupplierRates!$A$5:$A$500,0)),0))</f>
        <v/>
      </c>
      <c r="R2148" s="26" t="n">
        <f aca="false">IF(OR($D2148="",$J2148&lt;&gt;"Supplier"),0,F2148*P2148+G2148*Q2148)</f>
        <v>0</v>
      </c>
      <c r="S2148" s="26" t="n">
        <f aca="false">IF(OR($D2148="",$J2148&lt;&gt;"Own"),0,IFERROR((F2148+G2148*Settings!$B$13)*INDEX(Workers!$V$5:$V$2004,MATCH($D2148,Workers!$A$5:$A$2004,0)),0))</f>
        <v>0</v>
      </c>
      <c r="T2148" s="26" t="str">
        <f aca="false">IF($D2148="","",O2148-R2148-S2148)</f>
        <v/>
      </c>
    </row>
    <row r="2149" customFormat="false" ht="15" hidden="false" customHeight="false" outlineLevel="0" collapsed="false">
      <c r="I2149" s="24" t="str">
        <f aca="false">IF($D2149="","",IFERROR(INDEX(Workers!$B$5:$B$2004,MATCH($D2149,Workers!$A$5:$A$2004,0)),"NOT FOUND"))</f>
        <v/>
      </c>
      <c r="J2149" s="24" t="str">
        <f aca="false">IF($D2149="","",IFERROR(INDEX(Workers!$C$5:$C$2004,MATCH($D2149,Workers!$A$5:$A$2004,0)),""))</f>
        <v/>
      </c>
      <c r="K2149" s="24" t="str">
        <f aca="false">IF($D2149="","",IFERROR(IF(INDEX(Workers!$D$5:$D$2004,MATCH($D2149,Workers!$A$5:$A$2004,0))=0,"",INDEX(Workers!$D$5:$D$2004,MATCH($D2149,Workers!$A$5:$A$2004,0))),""))</f>
        <v/>
      </c>
      <c r="L2149" s="24" t="str">
        <f aca="false">IF($D2149="","",IFERROR(INDEX(Workers!$E$5:$E$2004,MATCH($D2149,Workers!$A$5:$A$2004,0)),""))</f>
        <v/>
      </c>
      <c r="M2149" s="26" t="str">
        <f aca="false">IF($D2149="","",IFERROR(INDEX(ClientRates!$D$5:$D$500,MATCH($B2149&amp;"|"&amp;$L2149,ClientRates!$A$5:$A$500,0)),0))</f>
        <v/>
      </c>
      <c r="N2149" s="26" t="str">
        <f aca="false">IF($D2149="","",IFERROR(INDEX(ClientRates!$E$5:$E$500,MATCH($B2149&amp;"|"&amp;$L2149,ClientRates!$A$5:$A$500,0)),0))</f>
        <v/>
      </c>
      <c r="O2149" s="26" t="str">
        <f aca="false">IF($D2149="","",F2149*M2149+G2149*N2149)</f>
        <v/>
      </c>
      <c r="P2149" s="26" t="str">
        <f aca="false">IF(OR($D2149="",$J2149&lt;&gt;"Supplier"),"",IFERROR(INDEX(SupplierRates!$D$5:$D$500,MATCH($K2149&amp;"|"&amp;$L2149,SupplierRates!$A$5:$A$500,0)),0))</f>
        <v/>
      </c>
      <c r="Q2149" s="26" t="str">
        <f aca="false">IF(OR($D2149="",$J2149&lt;&gt;"Supplier"),"",IFERROR(INDEX(SupplierRates!$E$5:$E$500,MATCH($K2149&amp;"|"&amp;$L2149,SupplierRates!$A$5:$A$500,0)),0))</f>
        <v/>
      </c>
      <c r="R2149" s="26" t="n">
        <f aca="false">IF(OR($D2149="",$J2149&lt;&gt;"Supplier"),0,F2149*P2149+G2149*Q2149)</f>
        <v>0</v>
      </c>
      <c r="S2149" s="26" t="n">
        <f aca="false">IF(OR($D2149="",$J2149&lt;&gt;"Own"),0,IFERROR((F2149+G2149*Settings!$B$13)*INDEX(Workers!$V$5:$V$2004,MATCH($D2149,Workers!$A$5:$A$2004,0)),0))</f>
        <v>0</v>
      </c>
      <c r="T2149" s="26" t="str">
        <f aca="false">IF($D2149="","",O2149-R2149-S2149)</f>
        <v/>
      </c>
    </row>
    <row r="2150" customFormat="false" ht="15" hidden="false" customHeight="false" outlineLevel="0" collapsed="false">
      <c r="I2150" s="24" t="str">
        <f aca="false">IF($D2150="","",IFERROR(INDEX(Workers!$B$5:$B$2004,MATCH($D2150,Workers!$A$5:$A$2004,0)),"NOT FOUND"))</f>
        <v/>
      </c>
      <c r="J2150" s="24" t="str">
        <f aca="false">IF($D2150="","",IFERROR(INDEX(Workers!$C$5:$C$2004,MATCH($D2150,Workers!$A$5:$A$2004,0)),""))</f>
        <v/>
      </c>
      <c r="K2150" s="24" t="str">
        <f aca="false">IF($D2150="","",IFERROR(IF(INDEX(Workers!$D$5:$D$2004,MATCH($D2150,Workers!$A$5:$A$2004,0))=0,"",INDEX(Workers!$D$5:$D$2004,MATCH($D2150,Workers!$A$5:$A$2004,0))),""))</f>
        <v/>
      </c>
      <c r="L2150" s="24" t="str">
        <f aca="false">IF($D2150="","",IFERROR(INDEX(Workers!$E$5:$E$2004,MATCH($D2150,Workers!$A$5:$A$2004,0)),""))</f>
        <v/>
      </c>
      <c r="M2150" s="26" t="str">
        <f aca="false">IF($D2150="","",IFERROR(INDEX(ClientRates!$D$5:$D$500,MATCH($B2150&amp;"|"&amp;$L2150,ClientRates!$A$5:$A$500,0)),0))</f>
        <v/>
      </c>
      <c r="N2150" s="26" t="str">
        <f aca="false">IF($D2150="","",IFERROR(INDEX(ClientRates!$E$5:$E$500,MATCH($B2150&amp;"|"&amp;$L2150,ClientRates!$A$5:$A$500,0)),0))</f>
        <v/>
      </c>
      <c r="O2150" s="26" t="str">
        <f aca="false">IF($D2150="","",F2150*M2150+G2150*N2150)</f>
        <v/>
      </c>
      <c r="P2150" s="26" t="str">
        <f aca="false">IF(OR($D2150="",$J2150&lt;&gt;"Supplier"),"",IFERROR(INDEX(SupplierRates!$D$5:$D$500,MATCH($K2150&amp;"|"&amp;$L2150,SupplierRates!$A$5:$A$500,0)),0))</f>
        <v/>
      </c>
      <c r="Q2150" s="26" t="str">
        <f aca="false">IF(OR($D2150="",$J2150&lt;&gt;"Supplier"),"",IFERROR(INDEX(SupplierRates!$E$5:$E$500,MATCH($K2150&amp;"|"&amp;$L2150,SupplierRates!$A$5:$A$500,0)),0))</f>
        <v/>
      </c>
      <c r="R2150" s="26" t="n">
        <f aca="false">IF(OR($D2150="",$J2150&lt;&gt;"Supplier"),0,F2150*P2150+G2150*Q2150)</f>
        <v>0</v>
      </c>
      <c r="S2150" s="26" t="n">
        <f aca="false">IF(OR($D2150="",$J2150&lt;&gt;"Own"),0,IFERROR((F2150+G2150*Settings!$B$13)*INDEX(Workers!$V$5:$V$2004,MATCH($D2150,Workers!$A$5:$A$2004,0)),0))</f>
        <v>0</v>
      </c>
      <c r="T2150" s="26" t="str">
        <f aca="false">IF($D2150="","",O2150-R2150-S2150)</f>
        <v/>
      </c>
    </row>
    <row r="2151" customFormat="false" ht="15" hidden="false" customHeight="false" outlineLevel="0" collapsed="false">
      <c r="I2151" s="24" t="str">
        <f aca="false">IF($D2151="","",IFERROR(INDEX(Workers!$B$5:$B$2004,MATCH($D2151,Workers!$A$5:$A$2004,0)),"NOT FOUND"))</f>
        <v/>
      </c>
      <c r="J2151" s="24" t="str">
        <f aca="false">IF($D2151="","",IFERROR(INDEX(Workers!$C$5:$C$2004,MATCH($D2151,Workers!$A$5:$A$2004,0)),""))</f>
        <v/>
      </c>
      <c r="K2151" s="24" t="str">
        <f aca="false">IF($D2151="","",IFERROR(IF(INDEX(Workers!$D$5:$D$2004,MATCH($D2151,Workers!$A$5:$A$2004,0))=0,"",INDEX(Workers!$D$5:$D$2004,MATCH($D2151,Workers!$A$5:$A$2004,0))),""))</f>
        <v/>
      </c>
      <c r="L2151" s="24" t="str">
        <f aca="false">IF($D2151="","",IFERROR(INDEX(Workers!$E$5:$E$2004,MATCH($D2151,Workers!$A$5:$A$2004,0)),""))</f>
        <v/>
      </c>
      <c r="M2151" s="26" t="str">
        <f aca="false">IF($D2151="","",IFERROR(INDEX(ClientRates!$D$5:$D$500,MATCH($B2151&amp;"|"&amp;$L2151,ClientRates!$A$5:$A$500,0)),0))</f>
        <v/>
      </c>
      <c r="N2151" s="26" t="str">
        <f aca="false">IF($D2151="","",IFERROR(INDEX(ClientRates!$E$5:$E$500,MATCH($B2151&amp;"|"&amp;$L2151,ClientRates!$A$5:$A$500,0)),0))</f>
        <v/>
      </c>
      <c r="O2151" s="26" t="str">
        <f aca="false">IF($D2151="","",F2151*M2151+G2151*N2151)</f>
        <v/>
      </c>
      <c r="P2151" s="26" t="str">
        <f aca="false">IF(OR($D2151="",$J2151&lt;&gt;"Supplier"),"",IFERROR(INDEX(SupplierRates!$D$5:$D$500,MATCH($K2151&amp;"|"&amp;$L2151,SupplierRates!$A$5:$A$500,0)),0))</f>
        <v/>
      </c>
      <c r="Q2151" s="26" t="str">
        <f aca="false">IF(OR($D2151="",$J2151&lt;&gt;"Supplier"),"",IFERROR(INDEX(SupplierRates!$E$5:$E$500,MATCH($K2151&amp;"|"&amp;$L2151,SupplierRates!$A$5:$A$500,0)),0))</f>
        <v/>
      </c>
      <c r="R2151" s="26" t="n">
        <f aca="false">IF(OR($D2151="",$J2151&lt;&gt;"Supplier"),0,F2151*P2151+G2151*Q2151)</f>
        <v>0</v>
      </c>
      <c r="S2151" s="26" t="n">
        <f aca="false">IF(OR($D2151="",$J2151&lt;&gt;"Own"),0,IFERROR((F2151+G2151*Settings!$B$13)*INDEX(Workers!$V$5:$V$2004,MATCH($D2151,Workers!$A$5:$A$2004,0)),0))</f>
        <v>0</v>
      </c>
      <c r="T2151" s="26" t="str">
        <f aca="false">IF($D2151="","",O2151-R2151-S2151)</f>
        <v/>
      </c>
    </row>
    <row r="2152" customFormat="false" ht="15" hidden="false" customHeight="false" outlineLevel="0" collapsed="false">
      <c r="I2152" s="24" t="str">
        <f aca="false">IF($D2152="","",IFERROR(INDEX(Workers!$B$5:$B$2004,MATCH($D2152,Workers!$A$5:$A$2004,0)),"NOT FOUND"))</f>
        <v/>
      </c>
      <c r="J2152" s="24" t="str">
        <f aca="false">IF($D2152="","",IFERROR(INDEX(Workers!$C$5:$C$2004,MATCH($D2152,Workers!$A$5:$A$2004,0)),""))</f>
        <v/>
      </c>
      <c r="K2152" s="24" t="str">
        <f aca="false">IF($D2152="","",IFERROR(IF(INDEX(Workers!$D$5:$D$2004,MATCH($D2152,Workers!$A$5:$A$2004,0))=0,"",INDEX(Workers!$D$5:$D$2004,MATCH($D2152,Workers!$A$5:$A$2004,0))),""))</f>
        <v/>
      </c>
      <c r="L2152" s="24" t="str">
        <f aca="false">IF($D2152="","",IFERROR(INDEX(Workers!$E$5:$E$2004,MATCH($D2152,Workers!$A$5:$A$2004,0)),""))</f>
        <v/>
      </c>
      <c r="M2152" s="26" t="str">
        <f aca="false">IF($D2152="","",IFERROR(INDEX(ClientRates!$D$5:$D$500,MATCH($B2152&amp;"|"&amp;$L2152,ClientRates!$A$5:$A$500,0)),0))</f>
        <v/>
      </c>
      <c r="N2152" s="26" t="str">
        <f aca="false">IF($D2152="","",IFERROR(INDEX(ClientRates!$E$5:$E$500,MATCH($B2152&amp;"|"&amp;$L2152,ClientRates!$A$5:$A$500,0)),0))</f>
        <v/>
      </c>
      <c r="O2152" s="26" t="str">
        <f aca="false">IF($D2152="","",F2152*M2152+G2152*N2152)</f>
        <v/>
      </c>
      <c r="P2152" s="26" t="str">
        <f aca="false">IF(OR($D2152="",$J2152&lt;&gt;"Supplier"),"",IFERROR(INDEX(SupplierRates!$D$5:$D$500,MATCH($K2152&amp;"|"&amp;$L2152,SupplierRates!$A$5:$A$500,0)),0))</f>
        <v/>
      </c>
      <c r="Q2152" s="26" t="str">
        <f aca="false">IF(OR($D2152="",$J2152&lt;&gt;"Supplier"),"",IFERROR(INDEX(SupplierRates!$E$5:$E$500,MATCH($K2152&amp;"|"&amp;$L2152,SupplierRates!$A$5:$A$500,0)),0))</f>
        <v/>
      </c>
      <c r="R2152" s="26" t="n">
        <f aca="false">IF(OR($D2152="",$J2152&lt;&gt;"Supplier"),0,F2152*P2152+G2152*Q2152)</f>
        <v>0</v>
      </c>
      <c r="S2152" s="26" t="n">
        <f aca="false">IF(OR($D2152="",$J2152&lt;&gt;"Own"),0,IFERROR((F2152+G2152*Settings!$B$13)*INDEX(Workers!$V$5:$V$2004,MATCH($D2152,Workers!$A$5:$A$2004,0)),0))</f>
        <v>0</v>
      </c>
      <c r="T2152" s="26" t="str">
        <f aca="false">IF($D2152="","",O2152-R2152-S2152)</f>
        <v/>
      </c>
    </row>
    <row r="2153" customFormat="false" ht="15" hidden="false" customHeight="false" outlineLevel="0" collapsed="false">
      <c r="I2153" s="24" t="str">
        <f aca="false">IF($D2153="","",IFERROR(INDEX(Workers!$B$5:$B$2004,MATCH($D2153,Workers!$A$5:$A$2004,0)),"NOT FOUND"))</f>
        <v/>
      </c>
      <c r="J2153" s="24" t="str">
        <f aca="false">IF($D2153="","",IFERROR(INDEX(Workers!$C$5:$C$2004,MATCH($D2153,Workers!$A$5:$A$2004,0)),""))</f>
        <v/>
      </c>
      <c r="K2153" s="24" t="str">
        <f aca="false">IF($D2153="","",IFERROR(IF(INDEX(Workers!$D$5:$D$2004,MATCH($D2153,Workers!$A$5:$A$2004,0))=0,"",INDEX(Workers!$D$5:$D$2004,MATCH($D2153,Workers!$A$5:$A$2004,0))),""))</f>
        <v/>
      </c>
      <c r="L2153" s="24" t="str">
        <f aca="false">IF($D2153="","",IFERROR(INDEX(Workers!$E$5:$E$2004,MATCH($D2153,Workers!$A$5:$A$2004,0)),""))</f>
        <v/>
      </c>
      <c r="M2153" s="26" t="str">
        <f aca="false">IF($D2153="","",IFERROR(INDEX(ClientRates!$D$5:$D$500,MATCH($B2153&amp;"|"&amp;$L2153,ClientRates!$A$5:$A$500,0)),0))</f>
        <v/>
      </c>
      <c r="N2153" s="26" t="str">
        <f aca="false">IF($D2153="","",IFERROR(INDEX(ClientRates!$E$5:$E$500,MATCH($B2153&amp;"|"&amp;$L2153,ClientRates!$A$5:$A$500,0)),0))</f>
        <v/>
      </c>
      <c r="O2153" s="26" t="str">
        <f aca="false">IF($D2153="","",F2153*M2153+G2153*N2153)</f>
        <v/>
      </c>
      <c r="P2153" s="26" t="str">
        <f aca="false">IF(OR($D2153="",$J2153&lt;&gt;"Supplier"),"",IFERROR(INDEX(SupplierRates!$D$5:$D$500,MATCH($K2153&amp;"|"&amp;$L2153,SupplierRates!$A$5:$A$500,0)),0))</f>
        <v/>
      </c>
      <c r="Q2153" s="26" t="str">
        <f aca="false">IF(OR($D2153="",$J2153&lt;&gt;"Supplier"),"",IFERROR(INDEX(SupplierRates!$E$5:$E$500,MATCH($K2153&amp;"|"&amp;$L2153,SupplierRates!$A$5:$A$500,0)),0))</f>
        <v/>
      </c>
      <c r="R2153" s="26" t="n">
        <f aca="false">IF(OR($D2153="",$J2153&lt;&gt;"Supplier"),0,F2153*P2153+G2153*Q2153)</f>
        <v>0</v>
      </c>
      <c r="S2153" s="26" t="n">
        <f aca="false">IF(OR($D2153="",$J2153&lt;&gt;"Own"),0,IFERROR((F2153+G2153*Settings!$B$13)*INDEX(Workers!$V$5:$V$2004,MATCH($D2153,Workers!$A$5:$A$2004,0)),0))</f>
        <v>0</v>
      </c>
      <c r="T2153" s="26" t="str">
        <f aca="false">IF($D2153="","",O2153-R2153-S2153)</f>
        <v/>
      </c>
    </row>
    <row r="2154" customFormat="false" ht="15" hidden="false" customHeight="false" outlineLevel="0" collapsed="false">
      <c r="I2154" s="24" t="str">
        <f aca="false">IF($D2154="","",IFERROR(INDEX(Workers!$B$5:$B$2004,MATCH($D2154,Workers!$A$5:$A$2004,0)),"NOT FOUND"))</f>
        <v/>
      </c>
      <c r="J2154" s="24" t="str">
        <f aca="false">IF($D2154="","",IFERROR(INDEX(Workers!$C$5:$C$2004,MATCH($D2154,Workers!$A$5:$A$2004,0)),""))</f>
        <v/>
      </c>
      <c r="K2154" s="24" t="str">
        <f aca="false">IF($D2154="","",IFERROR(IF(INDEX(Workers!$D$5:$D$2004,MATCH($D2154,Workers!$A$5:$A$2004,0))=0,"",INDEX(Workers!$D$5:$D$2004,MATCH($D2154,Workers!$A$5:$A$2004,0))),""))</f>
        <v/>
      </c>
      <c r="L2154" s="24" t="str">
        <f aca="false">IF($D2154="","",IFERROR(INDEX(Workers!$E$5:$E$2004,MATCH($D2154,Workers!$A$5:$A$2004,0)),""))</f>
        <v/>
      </c>
      <c r="M2154" s="26" t="str">
        <f aca="false">IF($D2154="","",IFERROR(INDEX(ClientRates!$D$5:$D$500,MATCH($B2154&amp;"|"&amp;$L2154,ClientRates!$A$5:$A$500,0)),0))</f>
        <v/>
      </c>
      <c r="N2154" s="26" t="str">
        <f aca="false">IF($D2154="","",IFERROR(INDEX(ClientRates!$E$5:$E$500,MATCH($B2154&amp;"|"&amp;$L2154,ClientRates!$A$5:$A$500,0)),0))</f>
        <v/>
      </c>
      <c r="O2154" s="26" t="str">
        <f aca="false">IF($D2154="","",F2154*M2154+G2154*N2154)</f>
        <v/>
      </c>
      <c r="P2154" s="26" t="str">
        <f aca="false">IF(OR($D2154="",$J2154&lt;&gt;"Supplier"),"",IFERROR(INDEX(SupplierRates!$D$5:$D$500,MATCH($K2154&amp;"|"&amp;$L2154,SupplierRates!$A$5:$A$500,0)),0))</f>
        <v/>
      </c>
      <c r="Q2154" s="26" t="str">
        <f aca="false">IF(OR($D2154="",$J2154&lt;&gt;"Supplier"),"",IFERROR(INDEX(SupplierRates!$E$5:$E$500,MATCH($K2154&amp;"|"&amp;$L2154,SupplierRates!$A$5:$A$500,0)),0))</f>
        <v/>
      </c>
      <c r="R2154" s="26" t="n">
        <f aca="false">IF(OR($D2154="",$J2154&lt;&gt;"Supplier"),0,F2154*P2154+G2154*Q2154)</f>
        <v>0</v>
      </c>
      <c r="S2154" s="26" t="n">
        <f aca="false">IF(OR($D2154="",$J2154&lt;&gt;"Own"),0,IFERROR((F2154+G2154*Settings!$B$13)*INDEX(Workers!$V$5:$V$2004,MATCH($D2154,Workers!$A$5:$A$2004,0)),0))</f>
        <v>0</v>
      </c>
      <c r="T2154" s="26" t="str">
        <f aca="false">IF($D2154="","",O2154-R2154-S2154)</f>
        <v/>
      </c>
    </row>
    <row r="2155" customFormat="false" ht="15" hidden="false" customHeight="false" outlineLevel="0" collapsed="false">
      <c r="I2155" s="24" t="str">
        <f aca="false">IF($D2155="","",IFERROR(INDEX(Workers!$B$5:$B$2004,MATCH($D2155,Workers!$A$5:$A$2004,0)),"NOT FOUND"))</f>
        <v/>
      </c>
      <c r="J2155" s="24" t="str">
        <f aca="false">IF($D2155="","",IFERROR(INDEX(Workers!$C$5:$C$2004,MATCH($D2155,Workers!$A$5:$A$2004,0)),""))</f>
        <v/>
      </c>
      <c r="K2155" s="24" t="str">
        <f aca="false">IF($D2155="","",IFERROR(IF(INDEX(Workers!$D$5:$D$2004,MATCH($D2155,Workers!$A$5:$A$2004,0))=0,"",INDEX(Workers!$D$5:$D$2004,MATCH($D2155,Workers!$A$5:$A$2004,0))),""))</f>
        <v/>
      </c>
      <c r="L2155" s="24" t="str">
        <f aca="false">IF($D2155="","",IFERROR(INDEX(Workers!$E$5:$E$2004,MATCH($D2155,Workers!$A$5:$A$2004,0)),""))</f>
        <v/>
      </c>
      <c r="M2155" s="26" t="str">
        <f aca="false">IF($D2155="","",IFERROR(INDEX(ClientRates!$D$5:$D$500,MATCH($B2155&amp;"|"&amp;$L2155,ClientRates!$A$5:$A$500,0)),0))</f>
        <v/>
      </c>
      <c r="N2155" s="26" t="str">
        <f aca="false">IF($D2155="","",IFERROR(INDEX(ClientRates!$E$5:$E$500,MATCH($B2155&amp;"|"&amp;$L2155,ClientRates!$A$5:$A$500,0)),0))</f>
        <v/>
      </c>
      <c r="O2155" s="26" t="str">
        <f aca="false">IF($D2155="","",F2155*M2155+G2155*N2155)</f>
        <v/>
      </c>
      <c r="P2155" s="26" t="str">
        <f aca="false">IF(OR($D2155="",$J2155&lt;&gt;"Supplier"),"",IFERROR(INDEX(SupplierRates!$D$5:$D$500,MATCH($K2155&amp;"|"&amp;$L2155,SupplierRates!$A$5:$A$500,0)),0))</f>
        <v/>
      </c>
      <c r="Q2155" s="26" t="str">
        <f aca="false">IF(OR($D2155="",$J2155&lt;&gt;"Supplier"),"",IFERROR(INDEX(SupplierRates!$E$5:$E$500,MATCH($K2155&amp;"|"&amp;$L2155,SupplierRates!$A$5:$A$500,0)),0))</f>
        <v/>
      </c>
      <c r="R2155" s="26" t="n">
        <f aca="false">IF(OR($D2155="",$J2155&lt;&gt;"Supplier"),0,F2155*P2155+G2155*Q2155)</f>
        <v>0</v>
      </c>
      <c r="S2155" s="26" t="n">
        <f aca="false">IF(OR($D2155="",$J2155&lt;&gt;"Own"),0,IFERROR((F2155+G2155*Settings!$B$13)*INDEX(Workers!$V$5:$V$2004,MATCH($D2155,Workers!$A$5:$A$2004,0)),0))</f>
        <v>0</v>
      </c>
      <c r="T2155" s="26" t="str">
        <f aca="false">IF($D2155="","",O2155-R2155-S2155)</f>
        <v/>
      </c>
    </row>
    <row r="2156" customFormat="false" ht="15" hidden="false" customHeight="false" outlineLevel="0" collapsed="false">
      <c r="I2156" s="24" t="str">
        <f aca="false">IF($D2156="","",IFERROR(INDEX(Workers!$B$5:$B$2004,MATCH($D2156,Workers!$A$5:$A$2004,0)),"NOT FOUND"))</f>
        <v/>
      </c>
      <c r="J2156" s="24" t="str">
        <f aca="false">IF($D2156="","",IFERROR(INDEX(Workers!$C$5:$C$2004,MATCH($D2156,Workers!$A$5:$A$2004,0)),""))</f>
        <v/>
      </c>
      <c r="K2156" s="24" t="str">
        <f aca="false">IF($D2156="","",IFERROR(IF(INDEX(Workers!$D$5:$D$2004,MATCH($D2156,Workers!$A$5:$A$2004,0))=0,"",INDEX(Workers!$D$5:$D$2004,MATCH($D2156,Workers!$A$5:$A$2004,0))),""))</f>
        <v/>
      </c>
      <c r="L2156" s="24" t="str">
        <f aca="false">IF($D2156="","",IFERROR(INDEX(Workers!$E$5:$E$2004,MATCH($D2156,Workers!$A$5:$A$2004,0)),""))</f>
        <v/>
      </c>
      <c r="M2156" s="26" t="str">
        <f aca="false">IF($D2156="","",IFERROR(INDEX(ClientRates!$D$5:$D$500,MATCH($B2156&amp;"|"&amp;$L2156,ClientRates!$A$5:$A$500,0)),0))</f>
        <v/>
      </c>
      <c r="N2156" s="26" t="str">
        <f aca="false">IF($D2156="","",IFERROR(INDEX(ClientRates!$E$5:$E$500,MATCH($B2156&amp;"|"&amp;$L2156,ClientRates!$A$5:$A$500,0)),0))</f>
        <v/>
      </c>
      <c r="O2156" s="26" t="str">
        <f aca="false">IF($D2156="","",F2156*M2156+G2156*N2156)</f>
        <v/>
      </c>
      <c r="P2156" s="26" t="str">
        <f aca="false">IF(OR($D2156="",$J2156&lt;&gt;"Supplier"),"",IFERROR(INDEX(SupplierRates!$D$5:$D$500,MATCH($K2156&amp;"|"&amp;$L2156,SupplierRates!$A$5:$A$500,0)),0))</f>
        <v/>
      </c>
      <c r="Q2156" s="26" t="str">
        <f aca="false">IF(OR($D2156="",$J2156&lt;&gt;"Supplier"),"",IFERROR(INDEX(SupplierRates!$E$5:$E$500,MATCH($K2156&amp;"|"&amp;$L2156,SupplierRates!$A$5:$A$500,0)),0))</f>
        <v/>
      </c>
      <c r="R2156" s="26" t="n">
        <f aca="false">IF(OR($D2156="",$J2156&lt;&gt;"Supplier"),0,F2156*P2156+G2156*Q2156)</f>
        <v>0</v>
      </c>
      <c r="S2156" s="26" t="n">
        <f aca="false">IF(OR($D2156="",$J2156&lt;&gt;"Own"),0,IFERROR((F2156+G2156*Settings!$B$13)*INDEX(Workers!$V$5:$V$2004,MATCH($D2156,Workers!$A$5:$A$2004,0)),0))</f>
        <v>0</v>
      </c>
      <c r="T2156" s="26" t="str">
        <f aca="false">IF($D2156="","",O2156-R2156-S2156)</f>
        <v/>
      </c>
    </row>
    <row r="2157" customFormat="false" ht="15" hidden="false" customHeight="false" outlineLevel="0" collapsed="false">
      <c r="I2157" s="24" t="str">
        <f aca="false">IF($D2157="","",IFERROR(INDEX(Workers!$B$5:$B$2004,MATCH($D2157,Workers!$A$5:$A$2004,0)),"NOT FOUND"))</f>
        <v/>
      </c>
      <c r="J2157" s="24" t="str">
        <f aca="false">IF($D2157="","",IFERROR(INDEX(Workers!$C$5:$C$2004,MATCH($D2157,Workers!$A$5:$A$2004,0)),""))</f>
        <v/>
      </c>
      <c r="K2157" s="24" t="str">
        <f aca="false">IF($D2157="","",IFERROR(IF(INDEX(Workers!$D$5:$D$2004,MATCH($D2157,Workers!$A$5:$A$2004,0))=0,"",INDEX(Workers!$D$5:$D$2004,MATCH($D2157,Workers!$A$5:$A$2004,0))),""))</f>
        <v/>
      </c>
      <c r="L2157" s="24" t="str">
        <f aca="false">IF($D2157="","",IFERROR(INDEX(Workers!$E$5:$E$2004,MATCH($D2157,Workers!$A$5:$A$2004,0)),""))</f>
        <v/>
      </c>
      <c r="M2157" s="26" t="str">
        <f aca="false">IF($D2157="","",IFERROR(INDEX(ClientRates!$D$5:$D$500,MATCH($B2157&amp;"|"&amp;$L2157,ClientRates!$A$5:$A$500,0)),0))</f>
        <v/>
      </c>
      <c r="N2157" s="26" t="str">
        <f aca="false">IF($D2157="","",IFERROR(INDEX(ClientRates!$E$5:$E$500,MATCH($B2157&amp;"|"&amp;$L2157,ClientRates!$A$5:$A$500,0)),0))</f>
        <v/>
      </c>
      <c r="O2157" s="26" t="str">
        <f aca="false">IF($D2157="","",F2157*M2157+G2157*N2157)</f>
        <v/>
      </c>
      <c r="P2157" s="26" t="str">
        <f aca="false">IF(OR($D2157="",$J2157&lt;&gt;"Supplier"),"",IFERROR(INDEX(SupplierRates!$D$5:$D$500,MATCH($K2157&amp;"|"&amp;$L2157,SupplierRates!$A$5:$A$500,0)),0))</f>
        <v/>
      </c>
      <c r="Q2157" s="26" t="str">
        <f aca="false">IF(OR($D2157="",$J2157&lt;&gt;"Supplier"),"",IFERROR(INDEX(SupplierRates!$E$5:$E$500,MATCH($K2157&amp;"|"&amp;$L2157,SupplierRates!$A$5:$A$500,0)),0))</f>
        <v/>
      </c>
      <c r="R2157" s="26" t="n">
        <f aca="false">IF(OR($D2157="",$J2157&lt;&gt;"Supplier"),0,F2157*P2157+G2157*Q2157)</f>
        <v>0</v>
      </c>
      <c r="S2157" s="26" t="n">
        <f aca="false">IF(OR($D2157="",$J2157&lt;&gt;"Own"),0,IFERROR((F2157+G2157*Settings!$B$13)*INDEX(Workers!$V$5:$V$2004,MATCH($D2157,Workers!$A$5:$A$2004,0)),0))</f>
        <v>0</v>
      </c>
      <c r="T2157" s="26" t="str">
        <f aca="false">IF($D2157="","",O2157-R2157-S2157)</f>
        <v/>
      </c>
    </row>
    <row r="2158" customFormat="false" ht="15" hidden="false" customHeight="false" outlineLevel="0" collapsed="false">
      <c r="I2158" s="24" t="str">
        <f aca="false">IF($D2158="","",IFERROR(INDEX(Workers!$B$5:$B$2004,MATCH($D2158,Workers!$A$5:$A$2004,0)),"NOT FOUND"))</f>
        <v/>
      </c>
      <c r="J2158" s="24" t="str">
        <f aca="false">IF($D2158="","",IFERROR(INDEX(Workers!$C$5:$C$2004,MATCH($D2158,Workers!$A$5:$A$2004,0)),""))</f>
        <v/>
      </c>
      <c r="K2158" s="24" t="str">
        <f aca="false">IF($D2158="","",IFERROR(IF(INDEX(Workers!$D$5:$D$2004,MATCH($D2158,Workers!$A$5:$A$2004,0))=0,"",INDEX(Workers!$D$5:$D$2004,MATCH($D2158,Workers!$A$5:$A$2004,0))),""))</f>
        <v/>
      </c>
      <c r="L2158" s="24" t="str">
        <f aca="false">IF($D2158="","",IFERROR(INDEX(Workers!$E$5:$E$2004,MATCH($D2158,Workers!$A$5:$A$2004,0)),""))</f>
        <v/>
      </c>
      <c r="M2158" s="26" t="str">
        <f aca="false">IF($D2158="","",IFERROR(INDEX(ClientRates!$D$5:$D$500,MATCH($B2158&amp;"|"&amp;$L2158,ClientRates!$A$5:$A$500,0)),0))</f>
        <v/>
      </c>
      <c r="N2158" s="26" t="str">
        <f aca="false">IF($D2158="","",IFERROR(INDEX(ClientRates!$E$5:$E$500,MATCH($B2158&amp;"|"&amp;$L2158,ClientRates!$A$5:$A$500,0)),0))</f>
        <v/>
      </c>
      <c r="O2158" s="26" t="str">
        <f aca="false">IF($D2158="","",F2158*M2158+G2158*N2158)</f>
        <v/>
      </c>
      <c r="P2158" s="26" t="str">
        <f aca="false">IF(OR($D2158="",$J2158&lt;&gt;"Supplier"),"",IFERROR(INDEX(SupplierRates!$D$5:$D$500,MATCH($K2158&amp;"|"&amp;$L2158,SupplierRates!$A$5:$A$500,0)),0))</f>
        <v/>
      </c>
      <c r="Q2158" s="26" t="str">
        <f aca="false">IF(OR($D2158="",$J2158&lt;&gt;"Supplier"),"",IFERROR(INDEX(SupplierRates!$E$5:$E$500,MATCH($K2158&amp;"|"&amp;$L2158,SupplierRates!$A$5:$A$500,0)),0))</f>
        <v/>
      </c>
      <c r="R2158" s="26" t="n">
        <f aca="false">IF(OR($D2158="",$J2158&lt;&gt;"Supplier"),0,F2158*P2158+G2158*Q2158)</f>
        <v>0</v>
      </c>
      <c r="S2158" s="26" t="n">
        <f aca="false">IF(OR($D2158="",$J2158&lt;&gt;"Own"),0,IFERROR((F2158+G2158*Settings!$B$13)*INDEX(Workers!$V$5:$V$2004,MATCH($D2158,Workers!$A$5:$A$2004,0)),0))</f>
        <v>0</v>
      </c>
      <c r="T2158" s="26" t="str">
        <f aca="false">IF($D2158="","",O2158-R2158-S2158)</f>
        <v/>
      </c>
    </row>
    <row r="2159" customFormat="false" ht="15" hidden="false" customHeight="false" outlineLevel="0" collapsed="false">
      <c r="I2159" s="24" t="str">
        <f aca="false">IF($D2159="","",IFERROR(INDEX(Workers!$B$5:$B$2004,MATCH($D2159,Workers!$A$5:$A$2004,0)),"NOT FOUND"))</f>
        <v/>
      </c>
      <c r="J2159" s="24" t="str">
        <f aca="false">IF($D2159="","",IFERROR(INDEX(Workers!$C$5:$C$2004,MATCH($D2159,Workers!$A$5:$A$2004,0)),""))</f>
        <v/>
      </c>
      <c r="K2159" s="24" t="str">
        <f aca="false">IF($D2159="","",IFERROR(IF(INDEX(Workers!$D$5:$D$2004,MATCH($D2159,Workers!$A$5:$A$2004,0))=0,"",INDEX(Workers!$D$5:$D$2004,MATCH($D2159,Workers!$A$5:$A$2004,0))),""))</f>
        <v/>
      </c>
      <c r="L2159" s="24" t="str">
        <f aca="false">IF($D2159="","",IFERROR(INDEX(Workers!$E$5:$E$2004,MATCH($D2159,Workers!$A$5:$A$2004,0)),""))</f>
        <v/>
      </c>
      <c r="M2159" s="26" t="str">
        <f aca="false">IF($D2159="","",IFERROR(INDEX(ClientRates!$D$5:$D$500,MATCH($B2159&amp;"|"&amp;$L2159,ClientRates!$A$5:$A$500,0)),0))</f>
        <v/>
      </c>
      <c r="N2159" s="26" t="str">
        <f aca="false">IF($D2159="","",IFERROR(INDEX(ClientRates!$E$5:$E$500,MATCH($B2159&amp;"|"&amp;$L2159,ClientRates!$A$5:$A$500,0)),0))</f>
        <v/>
      </c>
      <c r="O2159" s="26" t="str">
        <f aca="false">IF($D2159="","",F2159*M2159+G2159*N2159)</f>
        <v/>
      </c>
      <c r="P2159" s="26" t="str">
        <f aca="false">IF(OR($D2159="",$J2159&lt;&gt;"Supplier"),"",IFERROR(INDEX(SupplierRates!$D$5:$D$500,MATCH($K2159&amp;"|"&amp;$L2159,SupplierRates!$A$5:$A$500,0)),0))</f>
        <v/>
      </c>
      <c r="Q2159" s="26" t="str">
        <f aca="false">IF(OR($D2159="",$J2159&lt;&gt;"Supplier"),"",IFERROR(INDEX(SupplierRates!$E$5:$E$500,MATCH($K2159&amp;"|"&amp;$L2159,SupplierRates!$A$5:$A$500,0)),0))</f>
        <v/>
      </c>
      <c r="R2159" s="26" t="n">
        <f aca="false">IF(OR($D2159="",$J2159&lt;&gt;"Supplier"),0,F2159*P2159+G2159*Q2159)</f>
        <v>0</v>
      </c>
      <c r="S2159" s="26" t="n">
        <f aca="false">IF(OR($D2159="",$J2159&lt;&gt;"Own"),0,IFERROR((F2159+G2159*Settings!$B$13)*INDEX(Workers!$V$5:$V$2004,MATCH($D2159,Workers!$A$5:$A$2004,0)),0))</f>
        <v>0</v>
      </c>
      <c r="T2159" s="26" t="str">
        <f aca="false">IF($D2159="","",O2159-R2159-S2159)</f>
        <v/>
      </c>
    </row>
    <row r="2160" customFormat="false" ht="15" hidden="false" customHeight="false" outlineLevel="0" collapsed="false">
      <c r="I2160" s="24" t="str">
        <f aca="false">IF($D2160="","",IFERROR(INDEX(Workers!$B$5:$B$2004,MATCH($D2160,Workers!$A$5:$A$2004,0)),"NOT FOUND"))</f>
        <v/>
      </c>
      <c r="J2160" s="24" t="str">
        <f aca="false">IF($D2160="","",IFERROR(INDEX(Workers!$C$5:$C$2004,MATCH($D2160,Workers!$A$5:$A$2004,0)),""))</f>
        <v/>
      </c>
      <c r="K2160" s="24" t="str">
        <f aca="false">IF($D2160="","",IFERROR(IF(INDEX(Workers!$D$5:$D$2004,MATCH($D2160,Workers!$A$5:$A$2004,0))=0,"",INDEX(Workers!$D$5:$D$2004,MATCH($D2160,Workers!$A$5:$A$2004,0))),""))</f>
        <v/>
      </c>
      <c r="L2160" s="24" t="str">
        <f aca="false">IF($D2160="","",IFERROR(INDEX(Workers!$E$5:$E$2004,MATCH($D2160,Workers!$A$5:$A$2004,0)),""))</f>
        <v/>
      </c>
      <c r="M2160" s="26" t="str">
        <f aca="false">IF($D2160="","",IFERROR(INDEX(ClientRates!$D$5:$D$500,MATCH($B2160&amp;"|"&amp;$L2160,ClientRates!$A$5:$A$500,0)),0))</f>
        <v/>
      </c>
      <c r="N2160" s="26" t="str">
        <f aca="false">IF($D2160="","",IFERROR(INDEX(ClientRates!$E$5:$E$500,MATCH($B2160&amp;"|"&amp;$L2160,ClientRates!$A$5:$A$500,0)),0))</f>
        <v/>
      </c>
      <c r="O2160" s="26" t="str">
        <f aca="false">IF($D2160="","",F2160*M2160+G2160*N2160)</f>
        <v/>
      </c>
      <c r="P2160" s="26" t="str">
        <f aca="false">IF(OR($D2160="",$J2160&lt;&gt;"Supplier"),"",IFERROR(INDEX(SupplierRates!$D$5:$D$500,MATCH($K2160&amp;"|"&amp;$L2160,SupplierRates!$A$5:$A$500,0)),0))</f>
        <v/>
      </c>
      <c r="Q2160" s="26" t="str">
        <f aca="false">IF(OR($D2160="",$J2160&lt;&gt;"Supplier"),"",IFERROR(INDEX(SupplierRates!$E$5:$E$500,MATCH($K2160&amp;"|"&amp;$L2160,SupplierRates!$A$5:$A$500,0)),0))</f>
        <v/>
      </c>
      <c r="R2160" s="26" t="n">
        <f aca="false">IF(OR($D2160="",$J2160&lt;&gt;"Supplier"),0,F2160*P2160+G2160*Q2160)</f>
        <v>0</v>
      </c>
      <c r="S2160" s="26" t="n">
        <f aca="false">IF(OR($D2160="",$J2160&lt;&gt;"Own"),0,IFERROR((F2160+G2160*Settings!$B$13)*INDEX(Workers!$V$5:$V$2004,MATCH($D2160,Workers!$A$5:$A$2004,0)),0))</f>
        <v>0</v>
      </c>
      <c r="T2160" s="26" t="str">
        <f aca="false">IF($D2160="","",O2160-R2160-S2160)</f>
        <v/>
      </c>
    </row>
    <row r="2161" customFormat="false" ht="15" hidden="false" customHeight="false" outlineLevel="0" collapsed="false">
      <c r="I2161" s="24" t="str">
        <f aca="false">IF($D2161="","",IFERROR(INDEX(Workers!$B$5:$B$2004,MATCH($D2161,Workers!$A$5:$A$2004,0)),"NOT FOUND"))</f>
        <v/>
      </c>
      <c r="J2161" s="24" t="str">
        <f aca="false">IF($D2161="","",IFERROR(INDEX(Workers!$C$5:$C$2004,MATCH($D2161,Workers!$A$5:$A$2004,0)),""))</f>
        <v/>
      </c>
      <c r="K2161" s="24" t="str">
        <f aca="false">IF($D2161="","",IFERROR(IF(INDEX(Workers!$D$5:$D$2004,MATCH($D2161,Workers!$A$5:$A$2004,0))=0,"",INDEX(Workers!$D$5:$D$2004,MATCH($D2161,Workers!$A$5:$A$2004,0))),""))</f>
        <v/>
      </c>
      <c r="L2161" s="24" t="str">
        <f aca="false">IF($D2161="","",IFERROR(INDEX(Workers!$E$5:$E$2004,MATCH($D2161,Workers!$A$5:$A$2004,0)),""))</f>
        <v/>
      </c>
      <c r="M2161" s="26" t="str">
        <f aca="false">IF($D2161="","",IFERROR(INDEX(ClientRates!$D$5:$D$500,MATCH($B2161&amp;"|"&amp;$L2161,ClientRates!$A$5:$A$500,0)),0))</f>
        <v/>
      </c>
      <c r="N2161" s="26" t="str">
        <f aca="false">IF($D2161="","",IFERROR(INDEX(ClientRates!$E$5:$E$500,MATCH($B2161&amp;"|"&amp;$L2161,ClientRates!$A$5:$A$500,0)),0))</f>
        <v/>
      </c>
      <c r="O2161" s="26" t="str">
        <f aca="false">IF($D2161="","",F2161*M2161+G2161*N2161)</f>
        <v/>
      </c>
      <c r="P2161" s="26" t="str">
        <f aca="false">IF(OR($D2161="",$J2161&lt;&gt;"Supplier"),"",IFERROR(INDEX(SupplierRates!$D$5:$D$500,MATCH($K2161&amp;"|"&amp;$L2161,SupplierRates!$A$5:$A$500,0)),0))</f>
        <v/>
      </c>
      <c r="Q2161" s="26" t="str">
        <f aca="false">IF(OR($D2161="",$J2161&lt;&gt;"Supplier"),"",IFERROR(INDEX(SupplierRates!$E$5:$E$500,MATCH($K2161&amp;"|"&amp;$L2161,SupplierRates!$A$5:$A$500,0)),0))</f>
        <v/>
      </c>
      <c r="R2161" s="26" t="n">
        <f aca="false">IF(OR($D2161="",$J2161&lt;&gt;"Supplier"),0,F2161*P2161+G2161*Q2161)</f>
        <v>0</v>
      </c>
      <c r="S2161" s="26" t="n">
        <f aca="false">IF(OR($D2161="",$J2161&lt;&gt;"Own"),0,IFERROR((F2161+G2161*Settings!$B$13)*INDEX(Workers!$V$5:$V$2004,MATCH($D2161,Workers!$A$5:$A$2004,0)),0))</f>
        <v>0</v>
      </c>
      <c r="T2161" s="26" t="str">
        <f aca="false">IF($D2161="","",O2161-R2161-S2161)</f>
        <v/>
      </c>
    </row>
    <row r="2162" customFormat="false" ht="15" hidden="false" customHeight="false" outlineLevel="0" collapsed="false">
      <c r="I2162" s="24" t="str">
        <f aca="false">IF($D2162="","",IFERROR(INDEX(Workers!$B$5:$B$2004,MATCH($D2162,Workers!$A$5:$A$2004,0)),"NOT FOUND"))</f>
        <v/>
      </c>
      <c r="J2162" s="24" t="str">
        <f aca="false">IF($D2162="","",IFERROR(INDEX(Workers!$C$5:$C$2004,MATCH($D2162,Workers!$A$5:$A$2004,0)),""))</f>
        <v/>
      </c>
      <c r="K2162" s="24" t="str">
        <f aca="false">IF($D2162="","",IFERROR(IF(INDEX(Workers!$D$5:$D$2004,MATCH($D2162,Workers!$A$5:$A$2004,0))=0,"",INDEX(Workers!$D$5:$D$2004,MATCH($D2162,Workers!$A$5:$A$2004,0))),""))</f>
        <v/>
      </c>
      <c r="L2162" s="24" t="str">
        <f aca="false">IF($D2162="","",IFERROR(INDEX(Workers!$E$5:$E$2004,MATCH($D2162,Workers!$A$5:$A$2004,0)),""))</f>
        <v/>
      </c>
      <c r="M2162" s="26" t="str">
        <f aca="false">IF($D2162="","",IFERROR(INDEX(ClientRates!$D$5:$D$500,MATCH($B2162&amp;"|"&amp;$L2162,ClientRates!$A$5:$A$500,0)),0))</f>
        <v/>
      </c>
      <c r="N2162" s="26" t="str">
        <f aca="false">IF($D2162="","",IFERROR(INDEX(ClientRates!$E$5:$E$500,MATCH($B2162&amp;"|"&amp;$L2162,ClientRates!$A$5:$A$500,0)),0))</f>
        <v/>
      </c>
      <c r="O2162" s="26" t="str">
        <f aca="false">IF($D2162="","",F2162*M2162+G2162*N2162)</f>
        <v/>
      </c>
      <c r="P2162" s="26" t="str">
        <f aca="false">IF(OR($D2162="",$J2162&lt;&gt;"Supplier"),"",IFERROR(INDEX(SupplierRates!$D$5:$D$500,MATCH($K2162&amp;"|"&amp;$L2162,SupplierRates!$A$5:$A$500,0)),0))</f>
        <v/>
      </c>
      <c r="Q2162" s="26" t="str">
        <f aca="false">IF(OR($D2162="",$J2162&lt;&gt;"Supplier"),"",IFERROR(INDEX(SupplierRates!$E$5:$E$500,MATCH($K2162&amp;"|"&amp;$L2162,SupplierRates!$A$5:$A$500,0)),0))</f>
        <v/>
      </c>
      <c r="R2162" s="26" t="n">
        <f aca="false">IF(OR($D2162="",$J2162&lt;&gt;"Supplier"),0,F2162*P2162+G2162*Q2162)</f>
        <v>0</v>
      </c>
      <c r="S2162" s="26" t="n">
        <f aca="false">IF(OR($D2162="",$J2162&lt;&gt;"Own"),0,IFERROR((F2162+G2162*Settings!$B$13)*INDEX(Workers!$V$5:$V$2004,MATCH($D2162,Workers!$A$5:$A$2004,0)),0))</f>
        <v>0</v>
      </c>
      <c r="T2162" s="26" t="str">
        <f aca="false">IF($D2162="","",O2162-R2162-S2162)</f>
        <v/>
      </c>
    </row>
    <row r="2163" customFormat="false" ht="15" hidden="false" customHeight="false" outlineLevel="0" collapsed="false">
      <c r="I2163" s="24" t="str">
        <f aca="false">IF($D2163="","",IFERROR(INDEX(Workers!$B$5:$B$2004,MATCH($D2163,Workers!$A$5:$A$2004,0)),"NOT FOUND"))</f>
        <v/>
      </c>
      <c r="J2163" s="24" t="str">
        <f aca="false">IF($D2163="","",IFERROR(INDEX(Workers!$C$5:$C$2004,MATCH($D2163,Workers!$A$5:$A$2004,0)),""))</f>
        <v/>
      </c>
      <c r="K2163" s="24" t="str">
        <f aca="false">IF($D2163="","",IFERROR(IF(INDEX(Workers!$D$5:$D$2004,MATCH($D2163,Workers!$A$5:$A$2004,0))=0,"",INDEX(Workers!$D$5:$D$2004,MATCH($D2163,Workers!$A$5:$A$2004,0))),""))</f>
        <v/>
      </c>
      <c r="L2163" s="24" t="str">
        <f aca="false">IF($D2163="","",IFERROR(INDEX(Workers!$E$5:$E$2004,MATCH($D2163,Workers!$A$5:$A$2004,0)),""))</f>
        <v/>
      </c>
      <c r="M2163" s="26" t="str">
        <f aca="false">IF($D2163="","",IFERROR(INDEX(ClientRates!$D$5:$D$500,MATCH($B2163&amp;"|"&amp;$L2163,ClientRates!$A$5:$A$500,0)),0))</f>
        <v/>
      </c>
      <c r="N2163" s="26" t="str">
        <f aca="false">IF($D2163="","",IFERROR(INDEX(ClientRates!$E$5:$E$500,MATCH($B2163&amp;"|"&amp;$L2163,ClientRates!$A$5:$A$500,0)),0))</f>
        <v/>
      </c>
      <c r="O2163" s="26" t="str">
        <f aca="false">IF($D2163="","",F2163*M2163+G2163*N2163)</f>
        <v/>
      </c>
      <c r="P2163" s="26" t="str">
        <f aca="false">IF(OR($D2163="",$J2163&lt;&gt;"Supplier"),"",IFERROR(INDEX(SupplierRates!$D$5:$D$500,MATCH($K2163&amp;"|"&amp;$L2163,SupplierRates!$A$5:$A$500,0)),0))</f>
        <v/>
      </c>
      <c r="Q2163" s="26" t="str">
        <f aca="false">IF(OR($D2163="",$J2163&lt;&gt;"Supplier"),"",IFERROR(INDEX(SupplierRates!$E$5:$E$500,MATCH($K2163&amp;"|"&amp;$L2163,SupplierRates!$A$5:$A$500,0)),0))</f>
        <v/>
      </c>
      <c r="R2163" s="26" t="n">
        <f aca="false">IF(OR($D2163="",$J2163&lt;&gt;"Supplier"),0,F2163*P2163+G2163*Q2163)</f>
        <v>0</v>
      </c>
      <c r="S2163" s="26" t="n">
        <f aca="false">IF(OR($D2163="",$J2163&lt;&gt;"Own"),0,IFERROR((F2163+G2163*Settings!$B$13)*INDEX(Workers!$V$5:$V$2004,MATCH($D2163,Workers!$A$5:$A$2004,0)),0))</f>
        <v>0</v>
      </c>
      <c r="T2163" s="26" t="str">
        <f aca="false">IF($D2163="","",O2163-R2163-S2163)</f>
        <v/>
      </c>
    </row>
    <row r="2164" customFormat="false" ht="15" hidden="false" customHeight="false" outlineLevel="0" collapsed="false">
      <c r="I2164" s="24" t="str">
        <f aca="false">IF($D2164="","",IFERROR(INDEX(Workers!$B$5:$B$2004,MATCH($D2164,Workers!$A$5:$A$2004,0)),"NOT FOUND"))</f>
        <v/>
      </c>
      <c r="J2164" s="24" t="str">
        <f aca="false">IF($D2164="","",IFERROR(INDEX(Workers!$C$5:$C$2004,MATCH($D2164,Workers!$A$5:$A$2004,0)),""))</f>
        <v/>
      </c>
      <c r="K2164" s="24" t="str">
        <f aca="false">IF($D2164="","",IFERROR(IF(INDEX(Workers!$D$5:$D$2004,MATCH($D2164,Workers!$A$5:$A$2004,0))=0,"",INDEX(Workers!$D$5:$D$2004,MATCH($D2164,Workers!$A$5:$A$2004,0))),""))</f>
        <v/>
      </c>
      <c r="L2164" s="24" t="str">
        <f aca="false">IF($D2164="","",IFERROR(INDEX(Workers!$E$5:$E$2004,MATCH($D2164,Workers!$A$5:$A$2004,0)),""))</f>
        <v/>
      </c>
      <c r="M2164" s="26" t="str">
        <f aca="false">IF($D2164="","",IFERROR(INDEX(ClientRates!$D$5:$D$500,MATCH($B2164&amp;"|"&amp;$L2164,ClientRates!$A$5:$A$500,0)),0))</f>
        <v/>
      </c>
      <c r="N2164" s="26" t="str">
        <f aca="false">IF($D2164="","",IFERROR(INDEX(ClientRates!$E$5:$E$500,MATCH($B2164&amp;"|"&amp;$L2164,ClientRates!$A$5:$A$500,0)),0))</f>
        <v/>
      </c>
      <c r="O2164" s="26" t="str">
        <f aca="false">IF($D2164="","",F2164*M2164+G2164*N2164)</f>
        <v/>
      </c>
      <c r="P2164" s="26" t="str">
        <f aca="false">IF(OR($D2164="",$J2164&lt;&gt;"Supplier"),"",IFERROR(INDEX(SupplierRates!$D$5:$D$500,MATCH($K2164&amp;"|"&amp;$L2164,SupplierRates!$A$5:$A$500,0)),0))</f>
        <v/>
      </c>
      <c r="Q2164" s="26" t="str">
        <f aca="false">IF(OR($D2164="",$J2164&lt;&gt;"Supplier"),"",IFERROR(INDEX(SupplierRates!$E$5:$E$500,MATCH($K2164&amp;"|"&amp;$L2164,SupplierRates!$A$5:$A$500,0)),0))</f>
        <v/>
      </c>
      <c r="R2164" s="26" t="n">
        <f aca="false">IF(OR($D2164="",$J2164&lt;&gt;"Supplier"),0,F2164*P2164+G2164*Q2164)</f>
        <v>0</v>
      </c>
      <c r="S2164" s="26" t="n">
        <f aca="false">IF(OR($D2164="",$J2164&lt;&gt;"Own"),0,IFERROR((F2164+G2164*Settings!$B$13)*INDEX(Workers!$V$5:$V$2004,MATCH($D2164,Workers!$A$5:$A$2004,0)),0))</f>
        <v>0</v>
      </c>
      <c r="T2164" s="26" t="str">
        <f aca="false">IF($D2164="","",O2164-R2164-S2164)</f>
        <v/>
      </c>
    </row>
    <row r="2165" customFormat="false" ht="15" hidden="false" customHeight="false" outlineLevel="0" collapsed="false">
      <c r="I2165" s="24" t="str">
        <f aca="false">IF($D2165="","",IFERROR(INDEX(Workers!$B$5:$B$2004,MATCH($D2165,Workers!$A$5:$A$2004,0)),"NOT FOUND"))</f>
        <v/>
      </c>
      <c r="J2165" s="24" t="str">
        <f aca="false">IF($D2165="","",IFERROR(INDEX(Workers!$C$5:$C$2004,MATCH($D2165,Workers!$A$5:$A$2004,0)),""))</f>
        <v/>
      </c>
      <c r="K2165" s="24" t="str">
        <f aca="false">IF($D2165="","",IFERROR(IF(INDEX(Workers!$D$5:$D$2004,MATCH($D2165,Workers!$A$5:$A$2004,0))=0,"",INDEX(Workers!$D$5:$D$2004,MATCH($D2165,Workers!$A$5:$A$2004,0))),""))</f>
        <v/>
      </c>
      <c r="L2165" s="24" t="str">
        <f aca="false">IF($D2165="","",IFERROR(INDEX(Workers!$E$5:$E$2004,MATCH($D2165,Workers!$A$5:$A$2004,0)),""))</f>
        <v/>
      </c>
      <c r="M2165" s="26" t="str">
        <f aca="false">IF($D2165="","",IFERROR(INDEX(ClientRates!$D$5:$D$500,MATCH($B2165&amp;"|"&amp;$L2165,ClientRates!$A$5:$A$500,0)),0))</f>
        <v/>
      </c>
      <c r="N2165" s="26" t="str">
        <f aca="false">IF($D2165="","",IFERROR(INDEX(ClientRates!$E$5:$E$500,MATCH($B2165&amp;"|"&amp;$L2165,ClientRates!$A$5:$A$500,0)),0))</f>
        <v/>
      </c>
      <c r="O2165" s="26" t="str">
        <f aca="false">IF($D2165="","",F2165*M2165+G2165*N2165)</f>
        <v/>
      </c>
      <c r="P2165" s="26" t="str">
        <f aca="false">IF(OR($D2165="",$J2165&lt;&gt;"Supplier"),"",IFERROR(INDEX(SupplierRates!$D$5:$D$500,MATCH($K2165&amp;"|"&amp;$L2165,SupplierRates!$A$5:$A$500,0)),0))</f>
        <v/>
      </c>
      <c r="Q2165" s="26" t="str">
        <f aca="false">IF(OR($D2165="",$J2165&lt;&gt;"Supplier"),"",IFERROR(INDEX(SupplierRates!$E$5:$E$500,MATCH($K2165&amp;"|"&amp;$L2165,SupplierRates!$A$5:$A$500,0)),0))</f>
        <v/>
      </c>
      <c r="R2165" s="26" t="n">
        <f aca="false">IF(OR($D2165="",$J2165&lt;&gt;"Supplier"),0,F2165*P2165+G2165*Q2165)</f>
        <v>0</v>
      </c>
      <c r="S2165" s="26" t="n">
        <f aca="false">IF(OR($D2165="",$J2165&lt;&gt;"Own"),0,IFERROR((F2165+G2165*Settings!$B$13)*INDEX(Workers!$V$5:$V$2004,MATCH($D2165,Workers!$A$5:$A$2004,0)),0))</f>
        <v>0</v>
      </c>
      <c r="T2165" s="26" t="str">
        <f aca="false">IF($D2165="","",O2165-R2165-S2165)</f>
        <v/>
      </c>
    </row>
    <row r="2166" customFormat="false" ht="15" hidden="false" customHeight="false" outlineLevel="0" collapsed="false">
      <c r="I2166" s="24" t="str">
        <f aca="false">IF($D2166="","",IFERROR(INDEX(Workers!$B$5:$B$2004,MATCH($D2166,Workers!$A$5:$A$2004,0)),"NOT FOUND"))</f>
        <v/>
      </c>
      <c r="J2166" s="24" t="str">
        <f aca="false">IF($D2166="","",IFERROR(INDEX(Workers!$C$5:$C$2004,MATCH($D2166,Workers!$A$5:$A$2004,0)),""))</f>
        <v/>
      </c>
      <c r="K2166" s="24" t="str">
        <f aca="false">IF($D2166="","",IFERROR(IF(INDEX(Workers!$D$5:$D$2004,MATCH($D2166,Workers!$A$5:$A$2004,0))=0,"",INDEX(Workers!$D$5:$D$2004,MATCH($D2166,Workers!$A$5:$A$2004,0))),""))</f>
        <v/>
      </c>
      <c r="L2166" s="24" t="str">
        <f aca="false">IF($D2166="","",IFERROR(INDEX(Workers!$E$5:$E$2004,MATCH($D2166,Workers!$A$5:$A$2004,0)),""))</f>
        <v/>
      </c>
      <c r="M2166" s="26" t="str">
        <f aca="false">IF($D2166="","",IFERROR(INDEX(ClientRates!$D$5:$D$500,MATCH($B2166&amp;"|"&amp;$L2166,ClientRates!$A$5:$A$500,0)),0))</f>
        <v/>
      </c>
      <c r="N2166" s="26" t="str">
        <f aca="false">IF($D2166="","",IFERROR(INDEX(ClientRates!$E$5:$E$500,MATCH($B2166&amp;"|"&amp;$L2166,ClientRates!$A$5:$A$500,0)),0))</f>
        <v/>
      </c>
      <c r="O2166" s="26" t="str">
        <f aca="false">IF($D2166="","",F2166*M2166+G2166*N2166)</f>
        <v/>
      </c>
      <c r="P2166" s="26" t="str">
        <f aca="false">IF(OR($D2166="",$J2166&lt;&gt;"Supplier"),"",IFERROR(INDEX(SupplierRates!$D$5:$D$500,MATCH($K2166&amp;"|"&amp;$L2166,SupplierRates!$A$5:$A$500,0)),0))</f>
        <v/>
      </c>
      <c r="Q2166" s="26" t="str">
        <f aca="false">IF(OR($D2166="",$J2166&lt;&gt;"Supplier"),"",IFERROR(INDEX(SupplierRates!$E$5:$E$500,MATCH($K2166&amp;"|"&amp;$L2166,SupplierRates!$A$5:$A$500,0)),0))</f>
        <v/>
      </c>
      <c r="R2166" s="26" t="n">
        <f aca="false">IF(OR($D2166="",$J2166&lt;&gt;"Supplier"),0,F2166*P2166+G2166*Q2166)</f>
        <v>0</v>
      </c>
      <c r="S2166" s="26" t="n">
        <f aca="false">IF(OR($D2166="",$J2166&lt;&gt;"Own"),0,IFERROR((F2166+G2166*Settings!$B$13)*INDEX(Workers!$V$5:$V$2004,MATCH($D2166,Workers!$A$5:$A$2004,0)),0))</f>
        <v>0</v>
      </c>
      <c r="T2166" s="26" t="str">
        <f aca="false">IF($D2166="","",O2166-R2166-S2166)</f>
        <v/>
      </c>
    </row>
    <row r="2167" customFormat="false" ht="15" hidden="false" customHeight="false" outlineLevel="0" collapsed="false">
      <c r="I2167" s="24" t="str">
        <f aca="false">IF($D2167="","",IFERROR(INDEX(Workers!$B$5:$B$2004,MATCH($D2167,Workers!$A$5:$A$2004,0)),"NOT FOUND"))</f>
        <v/>
      </c>
      <c r="J2167" s="24" t="str">
        <f aca="false">IF($D2167="","",IFERROR(INDEX(Workers!$C$5:$C$2004,MATCH($D2167,Workers!$A$5:$A$2004,0)),""))</f>
        <v/>
      </c>
      <c r="K2167" s="24" t="str">
        <f aca="false">IF($D2167="","",IFERROR(IF(INDEX(Workers!$D$5:$D$2004,MATCH($D2167,Workers!$A$5:$A$2004,0))=0,"",INDEX(Workers!$D$5:$D$2004,MATCH($D2167,Workers!$A$5:$A$2004,0))),""))</f>
        <v/>
      </c>
      <c r="L2167" s="24" t="str">
        <f aca="false">IF($D2167="","",IFERROR(INDEX(Workers!$E$5:$E$2004,MATCH($D2167,Workers!$A$5:$A$2004,0)),""))</f>
        <v/>
      </c>
      <c r="M2167" s="26" t="str">
        <f aca="false">IF($D2167="","",IFERROR(INDEX(ClientRates!$D$5:$D$500,MATCH($B2167&amp;"|"&amp;$L2167,ClientRates!$A$5:$A$500,0)),0))</f>
        <v/>
      </c>
      <c r="N2167" s="26" t="str">
        <f aca="false">IF($D2167="","",IFERROR(INDEX(ClientRates!$E$5:$E$500,MATCH($B2167&amp;"|"&amp;$L2167,ClientRates!$A$5:$A$500,0)),0))</f>
        <v/>
      </c>
      <c r="O2167" s="26" t="str">
        <f aca="false">IF($D2167="","",F2167*M2167+G2167*N2167)</f>
        <v/>
      </c>
      <c r="P2167" s="26" t="str">
        <f aca="false">IF(OR($D2167="",$J2167&lt;&gt;"Supplier"),"",IFERROR(INDEX(SupplierRates!$D$5:$D$500,MATCH($K2167&amp;"|"&amp;$L2167,SupplierRates!$A$5:$A$500,0)),0))</f>
        <v/>
      </c>
      <c r="Q2167" s="26" t="str">
        <f aca="false">IF(OR($D2167="",$J2167&lt;&gt;"Supplier"),"",IFERROR(INDEX(SupplierRates!$E$5:$E$500,MATCH($K2167&amp;"|"&amp;$L2167,SupplierRates!$A$5:$A$500,0)),0))</f>
        <v/>
      </c>
      <c r="R2167" s="26" t="n">
        <f aca="false">IF(OR($D2167="",$J2167&lt;&gt;"Supplier"),0,F2167*P2167+G2167*Q2167)</f>
        <v>0</v>
      </c>
      <c r="S2167" s="26" t="n">
        <f aca="false">IF(OR($D2167="",$J2167&lt;&gt;"Own"),0,IFERROR((F2167+G2167*Settings!$B$13)*INDEX(Workers!$V$5:$V$2004,MATCH($D2167,Workers!$A$5:$A$2004,0)),0))</f>
        <v>0</v>
      </c>
      <c r="T2167" s="26" t="str">
        <f aca="false">IF($D2167="","",O2167-R2167-S2167)</f>
        <v/>
      </c>
    </row>
    <row r="2168" customFormat="false" ht="15" hidden="false" customHeight="false" outlineLevel="0" collapsed="false">
      <c r="I2168" s="24" t="str">
        <f aca="false">IF($D2168="","",IFERROR(INDEX(Workers!$B$5:$B$2004,MATCH($D2168,Workers!$A$5:$A$2004,0)),"NOT FOUND"))</f>
        <v/>
      </c>
      <c r="J2168" s="24" t="str">
        <f aca="false">IF($D2168="","",IFERROR(INDEX(Workers!$C$5:$C$2004,MATCH($D2168,Workers!$A$5:$A$2004,0)),""))</f>
        <v/>
      </c>
      <c r="K2168" s="24" t="str">
        <f aca="false">IF($D2168="","",IFERROR(IF(INDEX(Workers!$D$5:$D$2004,MATCH($D2168,Workers!$A$5:$A$2004,0))=0,"",INDEX(Workers!$D$5:$D$2004,MATCH($D2168,Workers!$A$5:$A$2004,0))),""))</f>
        <v/>
      </c>
      <c r="L2168" s="24" t="str">
        <f aca="false">IF($D2168="","",IFERROR(INDEX(Workers!$E$5:$E$2004,MATCH($D2168,Workers!$A$5:$A$2004,0)),""))</f>
        <v/>
      </c>
      <c r="M2168" s="26" t="str">
        <f aca="false">IF($D2168="","",IFERROR(INDEX(ClientRates!$D$5:$D$500,MATCH($B2168&amp;"|"&amp;$L2168,ClientRates!$A$5:$A$500,0)),0))</f>
        <v/>
      </c>
      <c r="N2168" s="26" t="str">
        <f aca="false">IF($D2168="","",IFERROR(INDEX(ClientRates!$E$5:$E$500,MATCH($B2168&amp;"|"&amp;$L2168,ClientRates!$A$5:$A$500,0)),0))</f>
        <v/>
      </c>
      <c r="O2168" s="26" t="str">
        <f aca="false">IF($D2168="","",F2168*M2168+G2168*N2168)</f>
        <v/>
      </c>
      <c r="P2168" s="26" t="str">
        <f aca="false">IF(OR($D2168="",$J2168&lt;&gt;"Supplier"),"",IFERROR(INDEX(SupplierRates!$D$5:$D$500,MATCH($K2168&amp;"|"&amp;$L2168,SupplierRates!$A$5:$A$500,0)),0))</f>
        <v/>
      </c>
      <c r="Q2168" s="26" t="str">
        <f aca="false">IF(OR($D2168="",$J2168&lt;&gt;"Supplier"),"",IFERROR(INDEX(SupplierRates!$E$5:$E$500,MATCH($K2168&amp;"|"&amp;$L2168,SupplierRates!$A$5:$A$500,0)),0))</f>
        <v/>
      </c>
      <c r="R2168" s="26" t="n">
        <f aca="false">IF(OR($D2168="",$J2168&lt;&gt;"Supplier"),0,F2168*P2168+G2168*Q2168)</f>
        <v>0</v>
      </c>
      <c r="S2168" s="26" t="n">
        <f aca="false">IF(OR($D2168="",$J2168&lt;&gt;"Own"),0,IFERROR((F2168+G2168*Settings!$B$13)*INDEX(Workers!$V$5:$V$2004,MATCH($D2168,Workers!$A$5:$A$2004,0)),0))</f>
        <v>0</v>
      </c>
      <c r="T2168" s="26" t="str">
        <f aca="false">IF($D2168="","",O2168-R2168-S2168)</f>
        <v/>
      </c>
    </row>
    <row r="2169" customFormat="false" ht="15" hidden="false" customHeight="false" outlineLevel="0" collapsed="false">
      <c r="I2169" s="24" t="str">
        <f aca="false">IF($D2169="","",IFERROR(INDEX(Workers!$B$5:$B$2004,MATCH($D2169,Workers!$A$5:$A$2004,0)),"NOT FOUND"))</f>
        <v/>
      </c>
      <c r="J2169" s="24" t="str">
        <f aca="false">IF($D2169="","",IFERROR(INDEX(Workers!$C$5:$C$2004,MATCH($D2169,Workers!$A$5:$A$2004,0)),""))</f>
        <v/>
      </c>
      <c r="K2169" s="24" t="str">
        <f aca="false">IF($D2169="","",IFERROR(IF(INDEX(Workers!$D$5:$D$2004,MATCH($D2169,Workers!$A$5:$A$2004,0))=0,"",INDEX(Workers!$D$5:$D$2004,MATCH($D2169,Workers!$A$5:$A$2004,0))),""))</f>
        <v/>
      </c>
      <c r="L2169" s="24" t="str">
        <f aca="false">IF($D2169="","",IFERROR(INDEX(Workers!$E$5:$E$2004,MATCH($D2169,Workers!$A$5:$A$2004,0)),""))</f>
        <v/>
      </c>
      <c r="M2169" s="26" t="str">
        <f aca="false">IF($D2169="","",IFERROR(INDEX(ClientRates!$D$5:$D$500,MATCH($B2169&amp;"|"&amp;$L2169,ClientRates!$A$5:$A$500,0)),0))</f>
        <v/>
      </c>
      <c r="N2169" s="26" t="str">
        <f aca="false">IF($D2169="","",IFERROR(INDEX(ClientRates!$E$5:$E$500,MATCH($B2169&amp;"|"&amp;$L2169,ClientRates!$A$5:$A$500,0)),0))</f>
        <v/>
      </c>
      <c r="O2169" s="26" t="str">
        <f aca="false">IF($D2169="","",F2169*M2169+G2169*N2169)</f>
        <v/>
      </c>
      <c r="P2169" s="26" t="str">
        <f aca="false">IF(OR($D2169="",$J2169&lt;&gt;"Supplier"),"",IFERROR(INDEX(SupplierRates!$D$5:$D$500,MATCH($K2169&amp;"|"&amp;$L2169,SupplierRates!$A$5:$A$500,0)),0))</f>
        <v/>
      </c>
      <c r="Q2169" s="26" t="str">
        <f aca="false">IF(OR($D2169="",$J2169&lt;&gt;"Supplier"),"",IFERROR(INDEX(SupplierRates!$E$5:$E$500,MATCH($K2169&amp;"|"&amp;$L2169,SupplierRates!$A$5:$A$500,0)),0))</f>
        <v/>
      </c>
      <c r="R2169" s="26" t="n">
        <f aca="false">IF(OR($D2169="",$J2169&lt;&gt;"Supplier"),0,F2169*P2169+G2169*Q2169)</f>
        <v>0</v>
      </c>
      <c r="S2169" s="26" t="n">
        <f aca="false">IF(OR($D2169="",$J2169&lt;&gt;"Own"),0,IFERROR((F2169+G2169*Settings!$B$13)*INDEX(Workers!$V$5:$V$2004,MATCH($D2169,Workers!$A$5:$A$2004,0)),0))</f>
        <v>0</v>
      </c>
      <c r="T2169" s="26" t="str">
        <f aca="false">IF($D2169="","",O2169-R2169-S2169)</f>
        <v/>
      </c>
    </row>
    <row r="2170" customFormat="false" ht="15" hidden="false" customHeight="false" outlineLevel="0" collapsed="false">
      <c r="I2170" s="24" t="str">
        <f aca="false">IF($D2170="","",IFERROR(INDEX(Workers!$B$5:$B$2004,MATCH($D2170,Workers!$A$5:$A$2004,0)),"NOT FOUND"))</f>
        <v/>
      </c>
      <c r="J2170" s="24" t="str">
        <f aca="false">IF($D2170="","",IFERROR(INDEX(Workers!$C$5:$C$2004,MATCH($D2170,Workers!$A$5:$A$2004,0)),""))</f>
        <v/>
      </c>
      <c r="K2170" s="24" t="str">
        <f aca="false">IF($D2170="","",IFERROR(IF(INDEX(Workers!$D$5:$D$2004,MATCH($D2170,Workers!$A$5:$A$2004,0))=0,"",INDEX(Workers!$D$5:$D$2004,MATCH($D2170,Workers!$A$5:$A$2004,0))),""))</f>
        <v/>
      </c>
      <c r="L2170" s="24" t="str">
        <f aca="false">IF($D2170="","",IFERROR(INDEX(Workers!$E$5:$E$2004,MATCH($D2170,Workers!$A$5:$A$2004,0)),""))</f>
        <v/>
      </c>
      <c r="M2170" s="26" t="str">
        <f aca="false">IF($D2170="","",IFERROR(INDEX(ClientRates!$D$5:$D$500,MATCH($B2170&amp;"|"&amp;$L2170,ClientRates!$A$5:$A$500,0)),0))</f>
        <v/>
      </c>
      <c r="N2170" s="26" t="str">
        <f aca="false">IF($D2170="","",IFERROR(INDEX(ClientRates!$E$5:$E$500,MATCH($B2170&amp;"|"&amp;$L2170,ClientRates!$A$5:$A$500,0)),0))</f>
        <v/>
      </c>
      <c r="O2170" s="26" t="str">
        <f aca="false">IF($D2170="","",F2170*M2170+G2170*N2170)</f>
        <v/>
      </c>
      <c r="P2170" s="26" t="str">
        <f aca="false">IF(OR($D2170="",$J2170&lt;&gt;"Supplier"),"",IFERROR(INDEX(SupplierRates!$D$5:$D$500,MATCH($K2170&amp;"|"&amp;$L2170,SupplierRates!$A$5:$A$500,0)),0))</f>
        <v/>
      </c>
      <c r="Q2170" s="26" t="str">
        <f aca="false">IF(OR($D2170="",$J2170&lt;&gt;"Supplier"),"",IFERROR(INDEX(SupplierRates!$E$5:$E$500,MATCH($K2170&amp;"|"&amp;$L2170,SupplierRates!$A$5:$A$500,0)),0))</f>
        <v/>
      </c>
      <c r="R2170" s="26" t="n">
        <f aca="false">IF(OR($D2170="",$J2170&lt;&gt;"Supplier"),0,F2170*P2170+G2170*Q2170)</f>
        <v>0</v>
      </c>
      <c r="S2170" s="26" t="n">
        <f aca="false">IF(OR($D2170="",$J2170&lt;&gt;"Own"),0,IFERROR((F2170+G2170*Settings!$B$13)*INDEX(Workers!$V$5:$V$2004,MATCH($D2170,Workers!$A$5:$A$2004,0)),0))</f>
        <v>0</v>
      </c>
      <c r="T2170" s="26" t="str">
        <f aca="false">IF($D2170="","",O2170-R2170-S2170)</f>
        <v/>
      </c>
    </row>
    <row r="2171" customFormat="false" ht="15" hidden="false" customHeight="false" outlineLevel="0" collapsed="false">
      <c r="I2171" s="24" t="str">
        <f aca="false">IF($D2171="","",IFERROR(INDEX(Workers!$B$5:$B$2004,MATCH($D2171,Workers!$A$5:$A$2004,0)),"NOT FOUND"))</f>
        <v/>
      </c>
      <c r="J2171" s="24" t="str">
        <f aca="false">IF($D2171="","",IFERROR(INDEX(Workers!$C$5:$C$2004,MATCH($D2171,Workers!$A$5:$A$2004,0)),""))</f>
        <v/>
      </c>
      <c r="K2171" s="24" t="str">
        <f aca="false">IF($D2171="","",IFERROR(IF(INDEX(Workers!$D$5:$D$2004,MATCH($D2171,Workers!$A$5:$A$2004,0))=0,"",INDEX(Workers!$D$5:$D$2004,MATCH($D2171,Workers!$A$5:$A$2004,0))),""))</f>
        <v/>
      </c>
      <c r="L2171" s="24" t="str">
        <f aca="false">IF($D2171="","",IFERROR(INDEX(Workers!$E$5:$E$2004,MATCH($D2171,Workers!$A$5:$A$2004,0)),""))</f>
        <v/>
      </c>
      <c r="M2171" s="26" t="str">
        <f aca="false">IF($D2171="","",IFERROR(INDEX(ClientRates!$D$5:$D$500,MATCH($B2171&amp;"|"&amp;$L2171,ClientRates!$A$5:$A$500,0)),0))</f>
        <v/>
      </c>
      <c r="N2171" s="26" t="str">
        <f aca="false">IF($D2171="","",IFERROR(INDEX(ClientRates!$E$5:$E$500,MATCH($B2171&amp;"|"&amp;$L2171,ClientRates!$A$5:$A$500,0)),0))</f>
        <v/>
      </c>
      <c r="O2171" s="26" t="str">
        <f aca="false">IF($D2171="","",F2171*M2171+G2171*N2171)</f>
        <v/>
      </c>
      <c r="P2171" s="26" t="str">
        <f aca="false">IF(OR($D2171="",$J2171&lt;&gt;"Supplier"),"",IFERROR(INDEX(SupplierRates!$D$5:$D$500,MATCH($K2171&amp;"|"&amp;$L2171,SupplierRates!$A$5:$A$500,0)),0))</f>
        <v/>
      </c>
      <c r="Q2171" s="26" t="str">
        <f aca="false">IF(OR($D2171="",$J2171&lt;&gt;"Supplier"),"",IFERROR(INDEX(SupplierRates!$E$5:$E$500,MATCH($K2171&amp;"|"&amp;$L2171,SupplierRates!$A$5:$A$500,0)),0))</f>
        <v/>
      </c>
      <c r="R2171" s="26" t="n">
        <f aca="false">IF(OR($D2171="",$J2171&lt;&gt;"Supplier"),0,F2171*P2171+G2171*Q2171)</f>
        <v>0</v>
      </c>
      <c r="S2171" s="26" t="n">
        <f aca="false">IF(OR($D2171="",$J2171&lt;&gt;"Own"),0,IFERROR((F2171+G2171*Settings!$B$13)*INDEX(Workers!$V$5:$V$2004,MATCH($D2171,Workers!$A$5:$A$2004,0)),0))</f>
        <v>0</v>
      </c>
      <c r="T2171" s="26" t="str">
        <f aca="false">IF($D2171="","",O2171-R2171-S2171)</f>
        <v/>
      </c>
    </row>
    <row r="2172" customFormat="false" ht="15" hidden="false" customHeight="false" outlineLevel="0" collapsed="false">
      <c r="I2172" s="24" t="str">
        <f aca="false">IF($D2172="","",IFERROR(INDEX(Workers!$B$5:$B$2004,MATCH($D2172,Workers!$A$5:$A$2004,0)),"NOT FOUND"))</f>
        <v/>
      </c>
      <c r="J2172" s="24" t="str">
        <f aca="false">IF($D2172="","",IFERROR(INDEX(Workers!$C$5:$C$2004,MATCH($D2172,Workers!$A$5:$A$2004,0)),""))</f>
        <v/>
      </c>
      <c r="K2172" s="24" t="str">
        <f aca="false">IF($D2172="","",IFERROR(IF(INDEX(Workers!$D$5:$D$2004,MATCH($D2172,Workers!$A$5:$A$2004,0))=0,"",INDEX(Workers!$D$5:$D$2004,MATCH($D2172,Workers!$A$5:$A$2004,0))),""))</f>
        <v/>
      </c>
      <c r="L2172" s="24" t="str">
        <f aca="false">IF($D2172="","",IFERROR(INDEX(Workers!$E$5:$E$2004,MATCH($D2172,Workers!$A$5:$A$2004,0)),""))</f>
        <v/>
      </c>
      <c r="M2172" s="26" t="str">
        <f aca="false">IF($D2172="","",IFERROR(INDEX(ClientRates!$D$5:$D$500,MATCH($B2172&amp;"|"&amp;$L2172,ClientRates!$A$5:$A$500,0)),0))</f>
        <v/>
      </c>
      <c r="N2172" s="26" t="str">
        <f aca="false">IF($D2172="","",IFERROR(INDEX(ClientRates!$E$5:$E$500,MATCH($B2172&amp;"|"&amp;$L2172,ClientRates!$A$5:$A$500,0)),0))</f>
        <v/>
      </c>
      <c r="O2172" s="26" t="str">
        <f aca="false">IF($D2172="","",F2172*M2172+G2172*N2172)</f>
        <v/>
      </c>
      <c r="P2172" s="26" t="str">
        <f aca="false">IF(OR($D2172="",$J2172&lt;&gt;"Supplier"),"",IFERROR(INDEX(SupplierRates!$D$5:$D$500,MATCH($K2172&amp;"|"&amp;$L2172,SupplierRates!$A$5:$A$500,0)),0))</f>
        <v/>
      </c>
      <c r="Q2172" s="26" t="str">
        <f aca="false">IF(OR($D2172="",$J2172&lt;&gt;"Supplier"),"",IFERROR(INDEX(SupplierRates!$E$5:$E$500,MATCH($K2172&amp;"|"&amp;$L2172,SupplierRates!$A$5:$A$500,0)),0))</f>
        <v/>
      </c>
      <c r="R2172" s="26" t="n">
        <f aca="false">IF(OR($D2172="",$J2172&lt;&gt;"Supplier"),0,F2172*P2172+G2172*Q2172)</f>
        <v>0</v>
      </c>
      <c r="S2172" s="26" t="n">
        <f aca="false">IF(OR($D2172="",$J2172&lt;&gt;"Own"),0,IFERROR((F2172+G2172*Settings!$B$13)*INDEX(Workers!$V$5:$V$2004,MATCH($D2172,Workers!$A$5:$A$2004,0)),0))</f>
        <v>0</v>
      </c>
      <c r="T2172" s="26" t="str">
        <f aca="false">IF($D2172="","",O2172-R2172-S2172)</f>
        <v/>
      </c>
    </row>
    <row r="2173" customFormat="false" ht="15" hidden="false" customHeight="false" outlineLevel="0" collapsed="false">
      <c r="I2173" s="24" t="str">
        <f aca="false">IF($D2173="","",IFERROR(INDEX(Workers!$B$5:$B$2004,MATCH($D2173,Workers!$A$5:$A$2004,0)),"NOT FOUND"))</f>
        <v/>
      </c>
      <c r="J2173" s="24" t="str">
        <f aca="false">IF($D2173="","",IFERROR(INDEX(Workers!$C$5:$C$2004,MATCH($D2173,Workers!$A$5:$A$2004,0)),""))</f>
        <v/>
      </c>
      <c r="K2173" s="24" t="str">
        <f aca="false">IF($D2173="","",IFERROR(IF(INDEX(Workers!$D$5:$D$2004,MATCH($D2173,Workers!$A$5:$A$2004,0))=0,"",INDEX(Workers!$D$5:$D$2004,MATCH($D2173,Workers!$A$5:$A$2004,0))),""))</f>
        <v/>
      </c>
      <c r="L2173" s="24" t="str">
        <f aca="false">IF($D2173="","",IFERROR(INDEX(Workers!$E$5:$E$2004,MATCH($D2173,Workers!$A$5:$A$2004,0)),""))</f>
        <v/>
      </c>
      <c r="M2173" s="26" t="str">
        <f aca="false">IF($D2173="","",IFERROR(INDEX(ClientRates!$D$5:$D$500,MATCH($B2173&amp;"|"&amp;$L2173,ClientRates!$A$5:$A$500,0)),0))</f>
        <v/>
      </c>
      <c r="N2173" s="26" t="str">
        <f aca="false">IF($D2173="","",IFERROR(INDEX(ClientRates!$E$5:$E$500,MATCH($B2173&amp;"|"&amp;$L2173,ClientRates!$A$5:$A$500,0)),0))</f>
        <v/>
      </c>
      <c r="O2173" s="26" t="str">
        <f aca="false">IF($D2173="","",F2173*M2173+G2173*N2173)</f>
        <v/>
      </c>
      <c r="P2173" s="26" t="str">
        <f aca="false">IF(OR($D2173="",$J2173&lt;&gt;"Supplier"),"",IFERROR(INDEX(SupplierRates!$D$5:$D$500,MATCH($K2173&amp;"|"&amp;$L2173,SupplierRates!$A$5:$A$500,0)),0))</f>
        <v/>
      </c>
      <c r="Q2173" s="26" t="str">
        <f aca="false">IF(OR($D2173="",$J2173&lt;&gt;"Supplier"),"",IFERROR(INDEX(SupplierRates!$E$5:$E$500,MATCH($K2173&amp;"|"&amp;$L2173,SupplierRates!$A$5:$A$500,0)),0))</f>
        <v/>
      </c>
      <c r="R2173" s="26" t="n">
        <f aca="false">IF(OR($D2173="",$J2173&lt;&gt;"Supplier"),0,F2173*P2173+G2173*Q2173)</f>
        <v>0</v>
      </c>
      <c r="S2173" s="26" t="n">
        <f aca="false">IF(OR($D2173="",$J2173&lt;&gt;"Own"),0,IFERROR((F2173+G2173*Settings!$B$13)*INDEX(Workers!$V$5:$V$2004,MATCH($D2173,Workers!$A$5:$A$2004,0)),0))</f>
        <v>0</v>
      </c>
      <c r="T2173" s="26" t="str">
        <f aca="false">IF($D2173="","",O2173-R2173-S2173)</f>
        <v/>
      </c>
    </row>
    <row r="2174" customFormat="false" ht="15" hidden="false" customHeight="false" outlineLevel="0" collapsed="false">
      <c r="I2174" s="24" t="str">
        <f aca="false">IF($D2174="","",IFERROR(INDEX(Workers!$B$5:$B$2004,MATCH($D2174,Workers!$A$5:$A$2004,0)),"NOT FOUND"))</f>
        <v/>
      </c>
      <c r="J2174" s="24" t="str">
        <f aca="false">IF($D2174="","",IFERROR(INDEX(Workers!$C$5:$C$2004,MATCH($D2174,Workers!$A$5:$A$2004,0)),""))</f>
        <v/>
      </c>
      <c r="K2174" s="24" t="str">
        <f aca="false">IF($D2174="","",IFERROR(IF(INDEX(Workers!$D$5:$D$2004,MATCH($D2174,Workers!$A$5:$A$2004,0))=0,"",INDEX(Workers!$D$5:$D$2004,MATCH($D2174,Workers!$A$5:$A$2004,0))),""))</f>
        <v/>
      </c>
      <c r="L2174" s="24" t="str">
        <f aca="false">IF($D2174="","",IFERROR(INDEX(Workers!$E$5:$E$2004,MATCH($D2174,Workers!$A$5:$A$2004,0)),""))</f>
        <v/>
      </c>
      <c r="M2174" s="26" t="str">
        <f aca="false">IF($D2174="","",IFERROR(INDEX(ClientRates!$D$5:$D$500,MATCH($B2174&amp;"|"&amp;$L2174,ClientRates!$A$5:$A$500,0)),0))</f>
        <v/>
      </c>
      <c r="N2174" s="26" t="str">
        <f aca="false">IF($D2174="","",IFERROR(INDEX(ClientRates!$E$5:$E$500,MATCH($B2174&amp;"|"&amp;$L2174,ClientRates!$A$5:$A$500,0)),0))</f>
        <v/>
      </c>
      <c r="O2174" s="26" t="str">
        <f aca="false">IF($D2174="","",F2174*M2174+G2174*N2174)</f>
        <v/>
      </c>
      <c r="P2174" s="26" t="str">
        <f aca="false">IF(OR($D2174="",$J2174&lt;&gt;"Supplier"),"",IFERROR(INDEX(SupplierRates!$D$5:$D$500,MATCH($K2174&amp;"|"&amp;$L2174,SupplierRates!$A$5:$A$500,0)),0))</f>
        <v/>
      </c>
      <c r="Q2174" s="26" t="str">
        <f aca="false">IF(OR($D2174="",$J2174&lt;&gt;"Supplier"),"",IFERROR(INDEX(SupplierRates!$E$5:$E$500,MATCH($K2174&amp;"|"&amp;$L2174,SupplierRates!$A$5:$A$500,0)),0))</f>
        <v/>
      </c>
      <c r="R2174" s="26" t="n">
        <f aca="false">IF(OR($D2174="",$J2174&lt;&gt;"Supplier"),0,F2174*P2174+G2174*Q2174)</f>
        <v>0</v>
      </c>
      <c r="S2174" s="26" t="n">
        <f aca="false">IF(OR($D2174="",$J2174&lt;&gt;"Own"),0,IFERROR((F2174+G2174*Settings!$B$13)*INDEX(Workers!$V$5:$V$2004,MATCH($D2174,Workers!$A$5:$A$2004,0)),0))</f>
        <v>0</v>
      </c>
      <c r="T2174" s="26" t="str">
        <f aca="false">IF($D2174="","",O2174-R2174-S2174)</f>
        <v/>
      </c>
    </row>
    <row r="2175" customFormat="false" ht="15" hidden="false" customHeight="false" outlineLevel="0" collapsed="false">
      <c r="I2175" s="24" t="str">
        <f aca="false">IF($D2175="","",IFERROR(INDEX(Workers!$B$5:$B$2004,MATCH($D2175,Workers!$A$5:$A$2004,0)),"NOT FOUND"))</f>
        <v/>
      </c>
      <c r="J2175" s="24" t="str">
        <f aca="false">IF($D2175="","",IFERROR(INDEX(Workers!$C$5:$C$2004,MATCH($D2175,Workers!$A$5:$A$2004,0)),""))</f>
        <v/>
      </c>
      <c r="K2175" s="24" t="str">
        <f aca="false">IF($D2175="","",IFERROR(IF(INDEX(Workers!$D$5:$D$2004,MATCH($D2175,Workers!$A$5:$A$2004,0))=0,"",INDEX(Workers!$D$5:$D$2004,MATCH($D2175,Workers!$A$5:$A$2004,0))),""))</f>
        <v/>
      </c>
      <c r="L2175" s="24" t="str">
        <f aca="false">IF($D2175="","",IFERROR(INDEX(Workers!$E$5:$E$2004,MATCH($D2175,Workers!$A$5:$A$2004,0)),""))</f>
        <v/>
      </c>
      <c r="M2175" s="26" t="str">
        <f aca="false">IF($D2175="","",IFERROR(INDEX(ClientRates!$D$5:$D$500,MATCH($B2175&amp;"|"&amp;$L2175,ClientRates!$A$5:$A$500,0)),0))</f>
        <v/>
      </c>
      <c r="N2175" s="26" t="str">
        <f aca="false">IF($D2175="","",IFERROR(INDEX(ClientRates!$E$5:$E$500,MATCH($B2175&amp;"|"&amp;$L2175,ClientRates!$A$5:$A$500,0)),0))</f>
        <v/>
      </c>
      <c r="O2175" s="26" t="str">
        <f aca="false">IF($D2175="","",F2175*M2175+G2175*N2175)</f>
        <v/>
      </c>
      <c r="P2175" s="26" t="str">
        <f aca="false">IF(OR($D2175="",$J2175&lt;&gt;"Supplier"),"",IFERROR(INDEX(SupplierRates!$D$5:$D$500,MATCH($K2175&amp;"|"&amp;$L2175,SupplierRates!$A$5:$A$500,0)),0))</f>
        <v/>
      </c>
      <c r="Q2175" s="26" t="str">
        <f aca="false">IF(OR($D2175="",$J2175&lt;&gt;"Supplier"),"",IFERROR(INDEX(SupplierRates!$E$5:$E$500,MATCH($K2175&amp;"|"&amp;$L2175,SupplierRates!$A$5:$A$500,0)),0))</f>
        <v/>
      </c>
      <c r="R2175" s="26" t="n">
        <f aca="false">IF(OR($D2175="",$J2175&lt;&gt;"Supplier"),0,F2175*P2175+G2175*Q2175)</f>
        <v>0</v>
      </c>
      <c r="S2175" s="26" t="n">
        <f aca="false">IF(OR($D2175="",$J2175&lt;&gt;"Own"),0,IFERROR((F2175+G2175*Settings!$B$13)*INDEX(Workers!$V$5:$V$2004,MATCH($D2175,Workers!$A$5:$A$2004,0)),0))</f>
        <v>0</v>
      </c>
      <c r="T2175" s="26" t="str">
        <f aca="false">IF($D2175="","",O2175-R2175-S2175)</f>
        <v/>
      </c>
    </row>
    <row r="2176" customFormat="false" ht="15" hidden="false" customHeight="false" outlineLevel="0" collapsed="false">
      <c r="I2176" s="24" t="str">
        <f aca="false">IF($D2176="","",IFERROR(INDEX(Workers!$B$5:$B$2004,MATCH($D2176,Workers!$A$5:$A$2004,0)),"NOT FOUND"))</f>
        <v/>
      </c>
      <c r="J2176" s="24" t="str">
        <f aca="false">IF($D2176="","",IFERROR(INDEX(Workers!$C$5:$C$2004,MATCH($D2176,Workers!$A$5:$A$2004,0)),""))</f>
        <v/>
      </c>
      <c r="K2176" s="24" t="str">
        <f aca="false">IF($D2176="","",IFERROR(IF(INDEX(Workers!$D$5:$D$2004,MATCH($D2176,Workers!$A$5:$A$2004,0))=0,"",INDEX(Workers!$D$5:$D$2004,MATCH($D2176,Workers!$A$5:$A$2004,0))),""))</f>
        <v/>
      </c>
      <c r="L2176" s="24" t="str">
        <f aca="false">IF($D2176="","",IFERROR(INDEX(Workers!$E$5:$E$2004,MATCH($D2176,Workers!$A$5:$A$2004,0)),""))</f>
        <v/>
      </c>
      <c r="M2176" s="26" t="str">
        <f aca="false">IF($D2176="","",IFERROR(INDEX(ClientRates!$D$5:$D$500,MATCH($B2176&amp;"|"&amp;$L2176,ClientRates!$A$5:$A$500,0)),0))</f>
        <v/>
      </c>
      <c r="N2176" s="26" t="str">
        <f aca="false">IF($D2176="","",IFERROR(INDEX(ClientRates!$E$5:$E$500,MATCH($B2176&amp;"|"&amp;$L2176,ClientRates!$A$5:$A$500,0)),0))</f>
        <v/>
      </c>
      <c r="O2176" s="26" t="str">
        <f aca="false">IF($D2176="","",F2176*M2176+G2176*N2176)</f>
        <v/>
      </c>
      <c r="P2176" s="26" t="str">
        <f aca="false">IF(OR($D2176="",$J2176&lt;&gt;"Supplier"),"",IFERROR(INDEX(SupplierRates!$D$5:$D$500,MATCH($K2176&amp;"|"&amp;$L2176,SupplierRates!$A$5:$A$500,0)),0))</f>
        <v/>
      </c>
      <c r="Q2176" s="26" t="str">
        <f aca="false">IF(OR($D2176="",$J2176&lt;&gt;"Supplier"),"",IFERROR(INDEX(SupplierRates!$E$5:$E$500,MATCH($K2176&amp;"|"&amp;$L2176,SupplierRates!$A$5:$A$500,0)),0))</f>
        <v/>
      </c>
      <c r="R2176" s="26" t="n">
        <f aca="false">IF(OR($D2176="",$J2176&lt;&gt;"Supplier"),0,F2176*P2176+G2176*Q2176)</f>
        <v>0</v>
      </c>
      <c r="S2176" s="26" t="n">
        <f aca="false">IF(OR($D2176="",$J2176&lt;&gt;"Own"),0,IFERROR((F2176+G2176*Settings!$B$13)*INDEX(Workers!$V$5:$V$2004,MATCH($D2176,Workers!$A$5:$A$2004,0)),0))</f>
        <v>0</v>
      </c>
      <c r="T2176" s="26" t="str">
        <f aca="false">IF($D2176="","",O2176-R2176-S2176)</f>
        <v/>
      </c>
    </row>
    <row r="2177" customFormat="false" ht="15" hidden="false" customHeight="false" outlineLevel="0" collapsed="false">
      <c r="I2177" s="24" t="str">
        <f aca="false">IF($D2177="","",IFERROR(INDEX(Workers!$B$5:$B$2004,MATCH($D2177,Workers!$A$5:$A$2004,0)),"NOT FOUND"))</f>
        <v/>
      </c>
      <c r="J2177" s="24" t="str">
        <f aca="false">IF($D2177="","",IFERROR(INDEX(Workers!$C$5:$C$2004,MATCH($D2177,Workers!$A$5:$A$2004,0)),""))</f>
        <v/>
      </c>
      <c r="K2177" s="24" t="str">
        <f aca="false">IF($D2177="","",IFERROR(IF(INDEX(Workers!$D$5:$D$2004,MATCH($D2177,Workers!$A$5:$A$2004,0))=0,"",INDEX(Workers!$D$5:$D$2004,MATCH($D2177,Workers!$A$5:$A$2004,0))),""))</f>
        <v/>
      </c>
      <c r="L2177" s="24" t="str">
        <f aca="false">IF($D2177="","",IFERROR(INDEX(Workers!$E$5:$E$2004,MATCH($D2177,Workers!$A$5:$A$2004,0)),""))</f>
        <v/>
      </c>
      <c r="M2177" s="26" t="str">
        <f aca="false">IF($D2177="","",IFERROR(INDEX(ClientRates!$D$5:$D$500,MATCH($B2177&amp;"|"&amp;$L2177,ClientRates!$A$5:$A$500,0)),0))</f>
        <v/>
      </c>
      <c r="N2177" s="26" t="str">
        <f aca="false">IF($D2177="","",IFERROR(INDEX(ClientRates!$E$5:$E$500,MATCH($B2177&amp;"|"&amp;$L2177,ClientRates!$A$5:$A$500,0)),0))</f>
        <v/>
      </c>
      <c r="O2177" s="26" t="str">
        <f aca="false">IF($D2177="","",F2177*M2177+G2177*N2177)</f>
        <v/>
      </c>
      <c r="P2177" s="26" t="str">
        <f aca="false">IF(OR($D2177="",$J2177&lt;&gt;"Supplier"),"",IFERROR(INDEX(SupplierRates!$D$5:$D$500,MATCH($K2177&amp;"|"&amp;$L2177,SupplierRates!$A$5:$A$500,0)),0))</f>
        <v/>
      </c>
      <c r="Q2177" s="26" t="str">
        <f aca="false">IF(OR($D2177="",$J2177&lt;&gt;"Supplier"),"",IFERROR(INDEX(SupplierRates!$E$5:$E$500,MATCH($K2177&amp;"|"&amp;$L2177,SupplierRates!$A$5:$A$500,0)),0))</f>
        <v/>
      </c>
      <c r="R2177" s="26" t="n">
        <f aca="false">IF(OR($D2177="",$J2177&lt;&gt;"Supplier"),0,F2177*P2177+G2177*Q2177)</f>
        <v>0</v>
      </c>
      <c r="S2177" s="26" t="n">
        <f aca="false">IF(OR($D2177="",$J2177&lt;&gt;"Own"),0,IFERROR((F2177+G2177*Settings!$B$13)*INDEX(Workers!$V$5:$V$2004,MATCH($D2177,Workers!$A$5:$A$2004,0)),0))</f>
        <v>0</v>
      </c>
      <c r="T2177" s="26" t="str">
        <f aca="false">IF($D2177="","",O2177-R2177-S2177)</f>
        <v/>
      </c>
    </row>
    <row r="2178" customFormat="false" ht="15" hidden="false" customHeight="false" outlineLevel="0" collapsed="false">
      <c r="I2178" s="24" t="str">
        <f aca="false">IF($D2178="","",IFERROR(INDEX(Workers!$B$5:$B$2004,MATCH($D2178,Workers!$A$5:$A$2004,0)),"NOT FOUND"))</f>
        <v/>
      </c>
      <c r="J2178" s="24" t="str">
        <f aca="false">IF($D2178="","",IFERROR(INDEX(Workers!$C$5:$C$2004,MATCH($D2178,Workers!$A$5:$A$2004,0)),""))</f>
        <v/>
      </c>
      <c r="K2178" s="24" t="str">
        <f aca="false">IF($D2178="","",IFERROR(IF(INDEX(Workers!$D$5:$D$2004,MATCH($D2178,Workers!$A$5:$A$2004,0))=0,"",INDEX(Workers!$D$5:$D$2004,MATCH($D2178,Workers!$A$5:$A$2004,0))),""))</f>
        <v/>
      </c>
      <c r="L2178" s="24" t="str">
        <f aca="false">IF($D2178="","",IFERROR(INDEX(Workers!$E$5:$E$2004,MATCH($D2178,Workers!$A$5:$A$2004,0)),""))</f>
        <v/>
      </c>
      <c r="M2178" s="26" t="str">
        <f aca="false">IF($D2178="","",IFERROR(INDEX(ClientRates!$D$5:$D$500,MATCH($B2178&amp;"|"&amp;$L2178,ClientRates!$A$5:$A$500,0)),0))</f>
        <v/>
      </c>
      <c r="N2178" s="26" t="str">
        <f aca="false">IF($D2178="","",IFERROR(INDEX(ClientRates!$E$5:$E$500,MATCH($B2178&amp;"|"&amp;$L2178,ClientRates!$A$5:$A$500,0)),0))</f>
        <v/>
      </c>
      <c r="O2178" s="26" t="str">
        <f aca="false">IF($D2178="","",F2178*M2178+G2178*N2178)</f>
        <v/>
      </c>
      <c r="P2178" s="26" t="str">
        <f aca="false">IF(OR($D2178="",$J2178&lt;&gt;"Supplier"),"",IFERROR(INDEX(SupplierRates!$D$5:$D$500,MATCH($K2178&amp;"|"&amp;$L2178,SupplierRates!$A$5:$A$500,0)),0))</f>
        <v/>
      </c>
      <c r="Q2178" s="26" t="str">
        <f aca="false">IF(OR($D2178="",$J2178&lt;&gt;"Supplier"),"",IFERROR(INDEX(SupplierRates!$E$5:$E$500,MATCH($K2178&amp;"|"&amp;$L2178,SupplierRates!$A$5:$A$500,0)),0))</f>
        <v/>
      </c>
      <c r="R2178" s="26" t="n">
        <f aca="false">IF(OR($D2178="",$J2178&lt;&gt;"Supplier"),0,F2178*P2178+G2178*Q2178)</f>
        <v>0</v>
      </c>
      <c r="S2178" s="26" t="n">
        <f aca="false">IF(OR($D2178="",$J2178&lt;&gt;"Own"),0,IFERROR((F2178+G2178*Settings!$B$13)*INDEX(Workers!$V$5:$V$2004,MATCH($D2178,Workers!$A$5:$A$2004,0)),0))</f>
        <v>0</v>
      </c>
      <c r="T2178" s="26" t="str">
        <f aca="false">IF($D2178="","",O2178-R2178-S2178)</f>
        <v/>
      </c>
    </row>
    <row r="2179" customFormat="false" ht="15" hidden="false" customHeight="false" outlineLevel="0" collapsed="false">
      <c r="I2179" s="24" t="str">
        <f aca="false">IF($D2179="","",IFERROR(INDEX(Workers!$B$5:$B$2004,MATCH($D2179,Workers!$A$5:$A$2004,0)),"NOT FOUND"))</f>
        <v/>
      </c>
      <c r="J2179" s="24" t="str">
        <f aca="false">IF($D2179="","",IFERROR(INDEX(Workers!$C$5:$C$2004,MATCH($D2179,Workers!$A$5:$A$2004,0)),""))</f>
        <v/>
      </c>
      <c r="K2179" s="24" t="str">
        <f aca="false">IF($D2179="","",IFERROR(IF(INDEX(Workers!$D$5:$D$2004,MATCH($D2179,Workers!$A$5:$A$2004,0))=0,"",INDEX(Workers!$D$5:$D$2004,MATCH($D2179,Workers!$A$5:$A$2004,0))),""))</f>
        <v/>
      </c>
      <c r="L2179" s="24" t="str">
        <f aca="false">IF($D2179="","",IFERROR(INDEX(Workers!$E$5:$E$2004,MATCH($D2179,Workers!$A$5:$A$2004,0)),""))</f>
        <v/>
      </c>
      <c r="M2179" s="26" t="str">
        <f aca="false">IF($D2179="","",IFERROR(INDEX(ClientRates!$D$5:$D$500,MATCH($B2179&amp;"|"&amp;$L2179,ClientRates!$A$5:$A$500,0)),0))</f>
        <v/>
      </c>
      <c r="N2179" s="26" t="str">
        <f aca="false">IF($D2179="","",IFERROR(INDEX(ClientRates!$E$5:$E$500,MATCH($B2179&amp;"|"&amp;$L2179,ClientRates!$A$5:$A$500,0)),0))</f>
        <v/>
      </c>
      <c r="O2179" s="26" t="str">
        <f aca="false">IF($D2179="","",F2179*M2179+G2179*N2179)</f>
        <v/>
      </c>
      <c r="P2179" s="26" t="str">
        <f aca="false">IF(OR($D2179="",$J2179&lt;&gt;"Supplier"),"",IFERROR(INDEX(SupplierRates!$D$5:$D$500,MATCH($K2179&amp;"|"&amp;$L2179,SupplierRates!$A$5:$A$500,0)),0))</f>
        <v/>
      </c>
      <c r="Q2179" s="26" t="str">
        <f aca="false">IF(OR($D2179="",$J2179&lt;&gt;"Supplier"),"",IFERROR(INDEX(SupplierRates!$E$5:$E$500,MATCH($K2179&amp;"|"&amp;$L2179,SupplierRates!$A$5:$A$500,0)),0))</f>
        <v/>
      </c>
      <c r="R2179" s="26" t="n">
        <f aca="false">IF(OR($D2179="",$J2179&lt;&gt;"Supplier"),0,F2179*P2179+G2179*Q2179)</f>
        <v>0</v>
      </c>
      <c r="S2179" s="26" t="n">
        <f aca="false">IF(OR($D2179="",$J2179&lt;&gt;"Own"),0,IFERROR((F2179+G2179*Settings!$B$13)*INDEX(Workers!$V$5:$V$2004,MATCH($D2179,Workers!$A$5:$A$2004,0)),0))</f>
        <v>0</v>
      </c>
      <c r="T2179" s="26" t="str">
        <f aca="false">IF($D2179="","",O2179-R2179-S2179)</f>
        <v/>
      </c>
    </row>
    <row r="2180" customFormat="false" ht="15" hidden="false" customHeight="false" outlineLevel="0" collapsed="false">
      <c r="I2180" s="24" t="str">
        <f aca="false">IF($D2180="","",IFERROR(INDEX(Workers!$B$5:$B$2004,MATCH($D2180,Workers!$A$5:$A$2004,0)),"NOT FOUND"))</f>
        <v/>
      </c>
      <c r="J2180" s="24" t="str">
        <f aca="false">IF($D2180="","",IFERROR(INDEX(Workers!$C$5:$C$2004,MATCH($D2180,Workers!$A$5:$A$2004,0)),""))</f>
        <v/>
      </c>
      <c r="K2180" s="24" t="str">
        <f aca="false">IF($D2180="","",IFERROR(IF(INDEX(Workers!$D$5:$D$2004,MATCH($D2180,Workers!$A$5:$A$2004,0))=0,"",INDEX(Workers!$D$5:$D$2004,MATCH($D2180,Workers!$A$5:$A$2004,0))),""))</f>
        <v/>
      </c>
      <c r="L2180" s="24" t="str">
        <f aca="false">IF($D2180="","",IFERROR(INDEX(Workers!$E$5:$E$2004,MATCH($D2180,Workers!$A$5:$A$2004,0)),""))</f>
        <v/>
      </c>
      <c r="M2180" s="26" t="str">
        <f aca="false">IF($D2180="","",IFERROR(INDEX(ClientRates!$D$5:$D$500,MATCH($B2180&amp;"|"&amp;$L2180,ClientRates!$A$5:$A$500,0)),0))</f>
        <v/>
      </c>
      <c r="N2180" s="26" t="str">
        <f aca="false">IF($D2180="","",IFERROR(INDEX(ClientRates!$E$5:$E$500,MATCH($B2180&amp;"|"&amp;$L2180,ClientRates!$A$5:$A$500,0)),0))</f>
        <v/>
      </c>
      <c r="O2180" s="26" t="str">
        <f aca="false">IF($D2180="","",F2180*M2180+G2180*N2180)</f>
        <v/>
      </c>
      <c r="P2180" s="26" t="str">
        <f aca="false">IF(OR($D2180="",$J2180&lt;&gt;"Supplier"),"",IFERROR(INDEX(SupplierRates!$D$5:$D$500,MATCH($K2180&amp;"|"&amp;$L2180,SupplierRates!$A$5:$A$500,0)),0))</f>
        <v/>
      </c>
      <c r="Q2180" s="26" t="str">
        <f aca="false">IF(OR($D2180="",$J2180&lt;&gt;"Supplier"),"",IFERROR(INDEX(SupplierRates!$E$5:$E$500,MATCH($K2180&amp;"|"&amp;$L2180,SupplierRates!$A$5:$A$500,0)),0))</f>
        <v/>
      </c>
      <c r="R2180" s="26" t="n">
        <f aca="false">IF(OR($D2180="",$J2180&lt;&gt;"Supplier"),0,F2180*P2180+G2180*Q2180)</f>
        <v>0</v>
      </c>
      <c r="S2180" s="26" t="n">
        <f aca="false">IF(OR($D2180="",$J2180&lt;&gt;"Own"),0,IFERROR((F2180+G2180*Settings!$B$13)*INDEX(Workers!$V$5:$V$2004,MATCH($D2180,Workers!$A$5:$A$2004,0)),0))</f>
        <v>0</v>
      </c>
      <c r="T2180" s="26" t="str">
        <f aca="false">IF($D2180="","",O2180-R2180-S2180)</f>
        <v/>
      </c>
    </row>
    <row r="2181" customFormat="false" ht="15" hidden="false" customHeight="false" outlineLevel="0" collapsed="false">
      <c r="I2181" s="24" t="str">
        <f aca="false">IF($D2181="","",IFERROR(INDEX(Workers!$B$5:$B$2004,MATCH($D2181,Workers!$A$5:$A$2004,0)),"NOT FOUND"))</f>
        <v/>
      </c>
      <c r="J2181" s="24" t="str">
        <f aca="false">IF($D2181="","",IFERROR(INDEX(Workers!$C$5:$C$2004,MATCH($D2181,Workers!$A$5:$A$2004,0)),""))</f>
        <v/>
      </c>
      <c r="K2181" s="24" t="str">
        <f aca="false">IF($D2181="","",IFERROR(IF(INDEX(Workers!$D$5:$D$2004,MATCH($D2181,Workers!$A$5:$A$2004,0))=0,"",INDEX(Workers!$D$5:$D$2004,MATCH($D2181,Workers!$A$5:$A$2004,0))),""))</f>
        <v/>
      </c>
      <c r="L2181" s="24" t="str">
        <f aca="false">IF($D2181="","",IFERROR(INDEX(Workers!$E$5:$E$2004,MATCH($D2181,Workers!$A$5:$A$2004,0)),""))</f>
        <v/>
      </c>
      <c r="M2181" s="26" t="str">
        <f aca="false">IF($D2181="","",IFERROR(INDEX(ClientRates!$D$5:$D$500,MATCH($B2181&amp;"|"&amp;$L2181,ClientRates!$A$5:$A$500,0)),0))</f>
        <v/>
      </c>
      <c r="N2181" s="26" t="str">
        <f aca="false">IF($D2181="","",IFERROR(INDEX(ClientRates!$E$5:$E$500,MATCH($B2181&amp;"|"&amp;$L2181,ClientRates!$A$5:$A$500,0)),0))</f>
        <v/>
      </c>
      <c r="O2181" s="26" t="str">
        <f aca="false">IF($D2181="","",F2181*M2181+G2181*N2181)</f>
        <v/>
      </c>
      <c r="P2181" s="26" t="str">
        <f aca="false">IF(OR($D2181="",$J2181&lt;&gt;"Supplier"),"",IFERROR(INDEX(SupplierRates!$D$5:$D$500,MATCH($K2181&amp;"|"&amp;$L2181,SupplierRates!$A$5:$A$500,0)),0))</f>
        <v/>
      </c>
      <c r="Q2181" s="26" t="str">
        <f aca="false">IF(OR($D2181="",$J2181&lt;&gt;"Supplier"),"",IFERROR(INDEX(SupplierRates!$E$5:$E$500,MATCH($K2181&amp;"|"&amp;$L2181,SupplierRates!$A$5:$A$500,0)),0))</f>
        <v/>
      </c>
      <c r="R2181" s="26" t="n">
        <f aca="false">IF(OR($D2181="",$J2181&lt;&gt;"Supplier"),0,F2181*P2181+G2181*Q2181)</f>
        <v>0</v>
      </c>
      <c r="S2181" s="26" t="n">
        <f aca="false">IF(OR($D2181="",$J2181&lt;&gt;"Own"),0,IFERROR((F2181+G2181*Settings!$B$13)*INDEX(Workers!$V$5:$V$2004,MATCH($D2181,Workers!$A$5:$A$2004,0)),0))</f>
        <v>0</v>
      </c>
      <c r="T2181" s="26" t="str">
        <f aca="false">IF($D2181="","",O2181-R2181-S2181)</f>
        <v/>
      </c>
    </row>
    <row r="2182" customFormat="false" ht="15" hidden="false" customHeight="false" outlineLevel="0" collapsed="false">
      <c r="I2182" s="24" t="str">
        <f aca="false">IF($D2182="","",IFERROR(INDEX(Workers!$B$5:$B$2004,MATCH($D2182,Workers!$A$5:$A$2004,0)),"NOT FOUND"))</f>
        <v/>
      </c>
      <c r="J2182" s="24" t="str">
        <f aca="false">IF($D2182="","",IFERROR(INDEX(Workers!$C$5:$C$2004,MATCH($D2182,Workers!$A$5:$A$2004,0)),""))</f>
        <v/>
      </c>
      <c r="K2182" s="24" t="str">
        <f aca="false">IF($D2182="","",IFERROR(IF(INDEX(Workers!$D$5:$D$2004,MATCH($D2182,Workers!$A$5:$A$2004,0))=0,"",INDEX(Workers!$D$5:$D$2004,MATCH($D2182,Workers!$A$5:$A$2004,0))),""))</f>
        <v/>
      </c>
      <c r="L2182" s="24" t="str">
        <f aca="false">IF($D2182="","",IFERROR(INDEX(Workers!$E$5:$E$2004,MATCH($D2182,Workers!$A$5:$A$2004,0)),""))</f>
        <v/>
      </c>
      <c r="M2182" s="26" t="str">
        <f aca="false">IF($D2182="","",IFERROR(INDEX(ClientRates!$D$5:$D$500,MATCH($B2182&amp;"|"&amp;$L2182,ClientRates!$A$5:$A$500,0)),0))</f>
        <v/>
      </c>
      <c r="N2182" s="26" t="str">
        <f aca="false">IF($D2182="","",IFERROR(INDEX(ClientRates!$E$5:$E$500,MATCH($B2182&amp;"|"&amp;$L2182,ClientRates!$A$5:$A$500,0)),0))</f>
        <v/>
      </c>
      <c r="O2182" s="26" t="str">
        <f aca="false">IF($D2182="","",F2182*M2182+G2182*N2182)</f>
        <v/>
      </c>
      <c r="P2182" s="26" t="str">
        <f aca="false">IF(OR($D2182="",$J2182&lt;&gt;"Supplier"),"",IFERROR(INDEX(SupplierRates!$D$5:$D$500,MATCH($K2182&amp;"|"&amp;$L2182,SupplierRates!$A$5:$A$500,0)),0))</f>
        <v/>
      </c>
      <c r="Q2182" s="26" t="str">
        <f aca="false">IF(OR($D2182="",$J2182&lt;&gt;"Supplier"),"",IFERROR(INDEX(SupplierRates!$E$5:$E$500,MATCH($K2182&amp;"|"&amp;$L2182,SupplierRates!$A$5:$A$500,0)),0))</f>
        <v/>
      </c>
      <c r="R2182" s="26" t="n">
        <f aca="false">IF(OR($D2182="",$J2182&lt;&gt;"Supplier"),0,F2182*P2182+G2182*Q2182)</f>
        <v>0</v>
      </c>
      <c r="S2182" s="26" t="n">
        <f aca="false">IF(OR($D2182="",$J2182&lt;&gt;"Own"),0,IFERROR((F2182+G2182*Settings!$B$13)*INDEX(Workers!$V$5:$V$2004,MATCH($D2182,Workers!$A$5:$A$2004,0)),0))</f>
        <v>0</v>
      </c>
      <c r="T2182" s="26" t="str">
        <f aca="false">IF($D2182="","",O2182-R2182-S2182)</f>
        <v/>
      </c>
    </row>
    <row r="2183" customFormat="false" ht="15" hidden="false" customHeight="false" outlineLevel="0" collapsed="false">
      <c r="I2183" s="24" t="str">
        <f aca="false">IF($D2183="","",IFERROR(INDEX(Workers!$B$5:$B$2004,MATCH($D2183,Workers!$A$5:$A$2004,0)),"NOT FOUND"))</f>
        <v/>
      </c>
      <c r="J2183" s="24" t="str">
        <f aca="false">IF($D2183="","",IFERROR(INDEX(Workers!$C$5:$C$2004,MATCH($D2183,Workers!$A$5:$A$2004,0)),""))</f>
        <v/>
      </c>
      <c r="K2183" s="24" t="str">
        <f aca="false">IF($D2183="","",IFERROR(IF(INDEX(Workers!$D$5:$D$2004,MATCH($D2183,Workers!$A$5:$A$2004,0))=0,"",INDEX(Workers!$D$5:$D$2004,MATCH($D2183,Workers!$A$5:$A$2004,0))),""))</f>
        <v/>
      </c>
      <c r="L2183" s="24" t="str">
        <f aca="false">IF($D2183="","",IFERROR(INDEX(Workers!$E$5:$E$2004,MATCH($D2183,Workers!$A$5:$A$2004,0)),""))</f>
        <v/>
      </c>
      <c r="M2183" s="26" t="str">
        <f aca="false">IF($D2183="","",IFERROR(INDEX(ClientRates!$D$5:$D$500,MATCH($B2183&amp;"|"&amp;$L2183,ClientRates!$A$5:$A$500,0)),0))</f>
        <v/>
      </c>
      <c r="N2183" s="26" t="str">
        <f aca="false">IF($D2183="","",IFERROR(INDEX(ClientRates!$E$5:$E$500,MATCH($B2183&amp;"|"&amp;$L2183,ClientRates!$A$5:$A$500,0)),0))</f>
        <v/>
      </c>
      <c r="O2183" s="26" t="str">
        <f aca="false">IF($D2183="","",F2183*M2183+G2183*N2183)</f>
        <v/>
      </c>
      <c r="P2183" s="26" t="str">
        <f aca="false">IF(OR($D2183="",$J2183&lt;&gt;"Supplier"),"",IFERROR(INDEX(SupplierRates!$D$5:$D$500,MATCH($K2183&amp;"|"&amp;$L2183,SupplierRates!$A$5:$A$500,0)),0))</f>
        <v/>
      </c>
      <c r="Q2183" s="26" t="str">
        <f aca="false">IF(OR($D2183="",$J2183&lt;&gt;"Supplier"),"",IFERROR(INDEX(SupplierRates!$E$5:$E$500,MATCH($K2183&amp;"|"&amp;$L2183,SupplierRates!$A$5:$A$500,0)),0))</f>
        <v/>
      </c>
      <c r="R2183" s="26" t="n">
        <f aca="false">IF(OR($D2183="",$J2183&lt;&gt;"Supplier"),0,F2183*P2183+G2183*Q2183)</f>
        <v>0</v>
      </c>
      <c r="S2183" s="26" t="n">
        <f aca="false">IF(OR($D2183="",$J2183&lt;&gt;"Own"),0,IFERROR((F2183+G2183*Settings!$B$13)*INDEX(Workers!$V$5:$V$2004,MATCH($D2183,Workers!$A$5:$A$2004,0)),0))</f>
        <v>0</v>
      </c>
      <c r="T2183" s="26" t="str">
        <f aca="false">IF($D2183="","",O2183-R2183-S2183)</f>
        <v/>
      </c>
    </row>
    <row r="2184" customFormat="false" ht="15" hidden="false" customHeight="false" outlineLevel="0" collapsed="false">
      <c r="I2184" s="24" t="str">
        <f aca="false">IF($D2184="","",IFERROR(INDEX(Workers!$B$5:$B$2004,MATCH($D2184,Workers!$A$5:$A$2004,0)),"NOT FOUND"))</f>
        <v/>
      </c>
      <c r="J2184" s="24" t="str">
        <f aca="false">IF($D2184="","",IFERROR(INDEX(Workers!$C$5:$C$2004,MATCH($D2184,Workers!$A$5:$A$2004,0)),""))</f>
        <v/>
      </c>
      <c r="K2184" s="24" t="str">
        <f aca="false">IF($D2184="","",IFERROR(IF(INDEX(Workers!$D$5:$D$2004,MATCH($D2184,Workers!$A$5:$A$2004,0))=0,"",INDEX(Workers!$D$5:$D$2004,MATCH($D2184,Workers!$A$5:$A$2004,0))),""))</f>
        <v/>
      </c>
      <c r="L2184" s="24" t="str">
        <f aca="false">IF($D2184="","",IFERROR(INDEX(Workers!$E$5:$E$2004,MATCH($D2184,Workers!$A$5:$A$2004,0)),""))</f>
        <v/>
      </c>
      <c r="M2184" s="26" t="str">
        <f aca="false">IF($D2184="","",IFERROR(INDEX(ClientRates!$D$5:$D$500,MATCH($B2184&amp;"|"&amp;$L2184,ClientRates!$A$5:$A$500,0)),0))</f>
        <v/>
      </c>
      <c r="N2184" s="26" t="str">
        <f aca="false">IF($D2184="","",IFERROR(INDEX(ClientRates!$E$5:$E$500,MATCH($B2184&amp;"|"&amp;$L2184,ClientRates!$A$5:$A$500,0)),0))</f>
        <v/>
      </c>
      <c r="O2184" s="26" t="str">
        <f aca="false">IF($D2184="","",F2184*M2184+G2184*N2184)</f>
        <v/>
      </c>
      <c r="P2184" s="26" t="str">
        <f aca="false">IF(OR($D2184="",$J2184&lt;&gt;"Supplier"),"",IFERROR(INDEX(SupplierRates!$D$5:$D$500,MATCH($K2184&amp;"|"&amp;$L2184,SupplierRates!$A$5:$A$500,0)),0))</f>
        <v/>
      </c>
      <c r="Q2184" s="26" t="str">
        <f aca="false">IF(OR($D2184="",$J2184&lt;&gt;"Supplier"),"",IFERROR(INDEX(SupplierRates!$E$5:$E$500,MATCH($K2184&amp;"|"&amp;$L2184,SupplierRates!$A$5:$A$500,0)),0))</f>
        <v/>
      </c>
      <c r="R2184" s="26" t="n">
        <f aca="false">IF(OR($D2184="",$J2184&lt;&gt;"Supplier"),0,F2184*P2184+G2184*Q2184)</f>
        <v>0</v>
      </c>
      <c r="S2184" s="26" t="n">
        <f aca="false">IF(OR($D2184="",$J2184&lt;&gt;"Own"),0,IFERROR((F2184+G2184*Settings!$B$13)*INDEX(Workers!$V$5:$V$2004,MATCH($D2184,Workers!$A$5:$A$2004,0)),0))</f>
        <v>0</v>
      </c>
      <c r="T2184" s="26" t="str">
        <f aca="false">IF($D2184="","",O2184-R2184-S2184)</f>
        <v/>
      </c>
    </row>
    <row r="2185" customFormat="false" ht="15" hidden="false" customHeight="false" outlineLevel="0" collapsed="false">
      <c r="I2185" s="24" t="str">
        <f aca="false">IF($D2185="","",IFERROR(INDEX(Workers!$B$5:$B$2004,MATCH($D2185,Workers!$A$5:$A$2004,0)),"NOT FOUND"))</f>
        <v/>
      </c>
      <c r="J2185" s="24" t="str">
        <f aca="false">IF($D2185="","",IFERROR(INDEX(Workers!$C$5:$C$2004,MATCH($D2185,Workers!$A$5:$A$2004,0)),""))</f>
        <v/>
      </c>
      <c r="K2185" s="24" t="str">
        <f aca="false">IF($D2185="","",IFERROR(IF(INDEX(Workers!$D$5:$D$2004,MATCH($D2185,Workers!$A$5:$A$2004,0))=0,"",INDEX(Workers!$D$5:$D$2004,MATCH($D2185,Workers!$A$5:$A$2004,0))),""))</f>
        <v/>
      </c>
      <c r="L2185" s="24" t="str">
        <f aca="false">IF($D2185="","",IFERROR(INDEX(Workers!$E$5:$E$2004,MATCH($D2185,Workers!$A$5:$A$2004,0)),""))</f>
        <v/>
      </c>
      <c r="M2185" s="26" t="str">
        <f aca="false">IF($D2185="","",IFERROR(INDEX(ClientRates!$D$5:$D$500,MATCH($B2185&amp;"|"&amp;$L2185,ClientRates!$A$5:$A$500,0)),0))</f>
        <v/>
      </c>
      <c r="N2185" s="26" t="str">
        <f aca="false">IF($D2185="","",IFERROR(INDEX(ClientRates!$E$5:$E$500,MATCH($B2185&amp;"|"&amp;$L2185,ClientRates!$A$5:$A$500,0)),0))</f>
        <v/>
      </c>
      <c r="O2185" s="26" t="str">
        <f aca="false">IF($D2185="","",F2185*M2185+G2185*N2185)</f>
        <v/>
      </c>
      <c r="P2185" s="26" t="str">
        <f aca="false">IF(OR($D2185="",$J2185&lt;&gt;"Supplier"),"",IFERROR(INDEX(SupplierRates!$D$5:$D$500,MATCH($K2185&amp;"|"&amp;$L2185,SupplierRates!$A$5:$A$500,0)),0))</f>
        <v/>
      </c>
      <c r="Q2185" s="26" t="str">
        <f aca="false">IF(OR($D2185="",$J2185&lt;&gt;"Supplier"),"",IFERROR(INDEX(SupplierRates!$E$5:$E$500,MATCH($K2185&amp;"|"&amp;$L2185,SupplierRates!$A$5:$A$500,0)),0))</f>
        <v/>
      </c>
      <c r="R2185" s="26" t="n">
        <f aca="false">IF(OR($D2185="",$J2185&lt;&gt;"Supplier"),0,F2185*P2185+G2185*Q2185)</f>
        <v>0</v>
      </c>
      <c r="S2185" s="26" t="n">
        <f aca="false">IF(OR($D2185="",$J2185&lt;&gt;"Own"),0,IFERROR((F2185+G2185*Settings!$B$13)*INDEX(Workers!$V$5:$V$2004,MATCH($D2185,Workers!$A$5:$A$2004,0)),0))</f>
        <v>0</v>
      </c>
      <c r="T2185" s="26" t="str">
        <f aca="false">IF($D2185="","",O2185-R2185-S2185)</f>
        <v/>
      </c>
    </row>
    <row r="2186" customFormat="false" ht="15" hidden="false" customHeight="false" outlineLevel="0" collapsed="false">
      <c r="I2186" s="24" t="str">
        <f aca="false">IF($D2186="","",IFERROR(INDEX(Workers!$B$5:$B$2004,MATCH($D2186,Workers!$A$5:$A$2004,0)),"NOT FOUND"))</f>
        <v/>
      </c>
      <c r="J2186" s="24" t="str">
        <f aca="false">IF($D2186="","",IFERROR(INDEX(Workers!$C$5:$C$2004,MATCH($D2186,Workers!$A$5:$A$2004,0)),""))</f>
        <v/>
      </c>
      <c r="K2186" s="24" t="str">
        <f aca="false">IF($D2186="","",IFERROR(IF(INDEX(Workers!$D$5:$D$2004,MATCH($D2186,Workers!$A$5:$A$2004,0))=0,"",INDEX(Workers!$D$5:$D$2004,MATCH($D2186,Workers!$A$5:$A$2004,0))),""))</f>
        <v/>
      </c>
      <c r="L2186" s="24" t="str">
        <f aca="false">IF($D2186="","",IFERROR(INDEX(Workers!$E$5:$E$2004,MATCH($D2186,Workers!$A$5:$A$2004,0)),""))</f>
        <v/>
      </c>
      <c r="M2186" s="26" t="str">
        <f aca="false">IF($D2186="","",IFERROR(INDEX(ClientRates!$D$5:$D$500,MATCH($B2186&amp;"|"&amp;$L2186,ClientRates!$A$5:$A$500,0)),0))</f>
        <v/>
      </c>
      <c r="N2186" s="26" t="str">
        <f aca="false">IF($D2186="","",IFERROR(INDEX(ClientRates!$E$5:$E$500,MATCH($B2186&amp;"|"&amp;$L2186,ClientRates!$A$5:$A$500,0)),0))</f>
        <v/>
      </c>
      <c r="O2186" s="26" t="str">
        <f aca="false">IF($D2186="","",F2186*M2186+G2186*N2186)</f>
        <v/>
      </c>
      <c r="P2186" s="26" t="str">
        <f aca="false">IF(OR($D2186="",$J2186&lt;&gt;"Supplier"),"",IFERROR(INDEX(SupplierRates!$D$5:$D$500,MATCH($K2186&amp;"|"&amp;$L2186,SupplierRates!$A$5:$A$500,0)),0))</f>
        <v/>
      </c>
      <c r="Q2186" s="26" t="str">
        <f aca="false">IF(OR($D2186="",$J2186&lt;&gt;"Supplier"),"",IFERROR(INDEX(SupplierRates!$E$5:$E$500,MATCH($K2186&amp;"|"&amp;$L2186,SupplierRates!$A$5:$A$500,0)),0))</f>
        <v/>
      </c>
      <c r="R2186" s="26" t="n">
        <f aca="false">IF(OR($D2186="",$J2186&lt;&gt;"Supplier"),0,F2186*P2186+G2186*Q2186)</f>
        <v>0</v>
      </c>
      <c r="S2186" s="26" t="n">
        <f aca="false">IF(OR($D2186="",$J2186&lt;&gt;"Own"),0,IFERROR((F2186+G2186*Settings!$B$13)*INDEX(Workers!$V$5:$V$2004,MATCH($D2186,Workers!$A$5:$A$2004,0)),0))</f>
        <v>0</v>
      </c>
      <c r="T2186" s="26" t="str">
        <f aca="false">IF($D2186="","",O2186-R2186-S2186)</f>
        <v/>
      </c>
    </row>
    <row r="2187" customFormat="false" ht="15" hidden="false" customHeight="false" outlineLevel="0" collapsed="false">
      <c r="I2187" s="24" t="str">
        <f aca="false">IF($D2187="","",IFERROR(INDEX(Workers!$B$5:$B$2004,MATCH($D2187,Workers!$A$5:$A$2004,0)),"NOT FOUND"))</f>
        <v/>
      </c>
      <c r="J2187" s="24" t="str">
        <f aca="false">IF($D2187="","",IFERROR(INDEX(Workers!$C$5:$C$2004,MATCH($D2187,Workers!$A$5:$A$2004,0)),""))</f>
        <v/>
      </c>
      <c r="K2187" s="24" t="str">
        <f aca="false">IF($D2187="","",IFERROR(IF(INDEX(Workers!$D$5:$D$2004,MATCH($D2187,Workers!$A$5:$A$2004,0))=0,"",INDEX(Workers!$D$5:$D$2004,MATCH($D2187,Workers!$A$5:$A$2004,0))),""))</f>
        <v/>
      </c>
      <c r="L2187" s="24" t="str">
        <f aca="false">IF($D2187="","",IFERROR(INDEX(Workers!$E$5:$E$2004,MATCH($D2187,Workers!$A$5:$A$2004,0)),""))</f>
        <v/>
      </c>
      <c r="M2187" s="26" t="str">
        <f aca="false">IF($D2187="","",IFERROR(INDEX(ClientRates!$D$5:$D$500,MATCH($B2187&amp;"|"&amp;$L2187,ClientRates!$A$5:$A$500,0)),0))</f>
        <v/>
      </c>
      <c r="N2187" s="26" t="str">
        <f aca="false">IF($D2187="","",IFERROR(INDEX(ClientRates!$E$5:$E$500,MATCH($B2187&amp;"|"&amp;$L2187,ClientRates!$A$5:$A$500,0)),0))</f>
        <v/>
      </c>
      <c r="O2187" s="26" t="str">
        <f aca="false">IF($D2187="","",F2187*M2187+G2187*N2187)</f>
        <v/>
      </c>
      <c r="P2187" s="26" t="str">
        <f aca="false">IF(OR($D2187="",$J2187&lt;&gt;"Supplier"),"",IFERROR(INDEX(SupplierRates!$D$5:$D$500,MATCH($K2187&amp;"|"&amp;$L2187,SupplierRates!$A$5:$A$500,0)),0))</f>
        <v/>
      </c>
      <c r="Q2187" s="26" t="str">
        <f aca="false">IF(OR($D2187="",$J2187&lt;&gt;"Supplier"),"",IFERROR(INDEX(SupplierRates!$E$5:$E$500,MATCH($K2187&amp;"|"&amp;$L2187,SupplierRates!$A$5:$A$500,0)),0))</f>
        <v/>
      </c>
      <c r="R2187" s="26" t="n">
        <f aca="false">IF(OR($D2187="",$J2187&lt;&gt;"Supplier"),0,F2187*P2187+G2187*Q2187)</f>
        <v>0</v>
      </c>
      <c r="S2187" s="26" t="n">
        <f aca="false">IF(OR($D2187="",$J2187&lt;&gt;"Own"),0,IFERROR((F2187+G2187*Settings!$B$13)*INDEX(Workers!$V$5:$V$2004,MATCH($D2187,Workers!$A$5:$A$2004,0)),0))</f>
        <v>0</v>
      </c>
      <c r="T2187" s="26" t="str">
        <f aca="false">IF($D2187="","",O2187-R2187-S2187)</f>
        <v/>
      </c>
    </row>
    <row r="2188" customFormat="false" ht="15" hidden="false" customHeight="false" outlineLevel="0" collapsed="false">
      <c r="I2188" s="24" t="str">
        <f aca="false">IF($D2188="","",IFERROR(INDEX(Workers!$B$5:$B$2004,MATCH($D2188,Workers!$A$5:$A$2004,0)),"NOT FOUND"))</f>
        <v/>
      </c>
      <c r="J2188" s="24" t="str">
        <f aca="false">IF($D2188="","",IFERROR(INDEX(Workers!$C$5:$C$2004,MATCH($D2188,Workers!$A$5:$A$2004,0)),""))</f>
        <v/>
      </c>
      <c r="K2188" s="24" t="str">
        <f aca="false">IF($D2188="","",IFERROR(IF(INDEX(Workers!$D$5:$D$2004,MATCH($D2188,Workers!$A$5:$A$2004,0))=0,"",INDEX(Workers!$D$5:$D$2004,MATCH($D2188,Workers!$A$5:$A$2004,0))),""))</f>
        <v/>
      </c>
      <c r="L2188" s="24" t="str">
        <f aca="false">IF($D2188="","",IFERROR(INDEX(Workers!$E$5:$E$2004,MATCH($D2188,Workers!$A$5:$A$2004,0)),""))</f>
        <v/>
      </c>
      <c r="M2188" s="26" t="str">
        <f aca="false">IF($D2188="","",IFERROR(INDEX(ClientRates!$D$5:$D$500,MATCH($B2188&amp;"|"&amp;$L2188,ClientRates!$A$5:$A$500,0)),0))</f>
        <v/>
      </c>
      <c r="N2188" s="26" t="str">
        <f aca="false">IF($D2188="","",IFERROR(INDEX(ClientRates!$E$5:$E$500,MATCH($B2188&amp;"|"&amp;$L2188,ClientRates!$A$5:$A$500,0)),0))</f>
        <v/>
      </c>
      <c r="O2188" s="26" t="str">
        <f aca="false">IF($D2188="","",F2188*M2188+G2188*N2188)</f>
        <v/>
      </c>
      <c r="P2188" s="26" t="str">
        <f aca="false">IF(OR($D2188="",$J2188&lt;&gt;"Supplier"),"",IFERROR(INDEX(SupplierRates!$D$5:$D$500,MATCH($K2188&amp;"|"&amp;$L2188,SupplierRates!$A$5:$A$500,0)),0))</f>
        <v/>
      </c>
      <c r="Q2188" s="26" t="str">
        <f aca="false">IF(OR($D2188="",$J2188&lt;&gt;"Supplier"),"",IFERROR(INDEX(SupplierRates!$E$5:$E$500,MATCH($K2188&amp;"|"&amp;$L2188,SupplierRates!$A$5:$A$500,0)),0))</f>
        <v/>
      </c>
      <c r="R2188" s="26" t="n">
        <f aca="false">IF(OR($D2188="",$J2188&lt;&gt;"Supplier"),0,F2188*P2188+G2188*Q2188)</f>
        <v>0</v>
      </c>
      <c r="S2188" s="26" t="n">
        <f aca="false">IF(OR($D2188="",$J2188&lt;&gt;"Own"),0,IFERROR((F2188+G2188*Settings!$B$13)*INDEX(Workers!$V$5:$V$2004,MATCH($D2188,Workers!$A$5:$A$2004,0)),0))</f>
        <v>0</v>
      </c>
      <c r="T2188" s="26" t="str">
        <f aca="false">IF($D2188="","",O2188-R2188-S2188)</f>
        <v/>
      </c>
    </row>
    <row r="2189" customFormat="false" ht="15" hidden="false" customHeight="false" outlineLevel="0" collapsed="false">
      <c r="I2189" s="24" t="str">
        <f aca="false">IF($D2189="","",IFERROR(INDEX(Workers!$B$5:$B$2004,MATCH($D2189,Workers!$A$5:$A$2004,0)),"NOT FOUND"))</f>
        <v/>
      </c>
      <c r="J2189" s="24" t="str">
        <f aca="false">IF($D2189="","",IFERROR(INDEX(Workers!$C$5:$C$2004,MATCH($D2189,Workers!$A$5:$A$2004,0)),""))</f>
        <v/>
      </c>
      <c r="K2189" s="24" t="str">
        <f aca="false">IF($D2189="","",IFERROR(IF(INDEX(Workers!$D$5:$D$2004,MATCH($D2189,Workers!$A$5:$A$2004,0))=0,"",INDEX(Workers!$D$5:$D$2004,MATCH($D2189,Workers!$A$5:$A$2004,0))),""))</f>
        <v/>
      </c>
      <c r="L2189" s="24" t="str">
        <f aca="false">IF($D2189="","",IFERROR(INDEX(Workers!$E$5:$E$2004,MATCH($D2189,Workers!$A$5:$A$2004,0)),""))</f>
        <v/>
      </c>
      <c r="M2189" s="26" t="str">
        <f aca="false">IF($D2189="","",IFERROR(INDEX(ClientRates!$D$5:$D$500,MATCH($B2189&amp;"|"&amp;$L2189,ClientRates!$A$5:$A$500,0)),0))</f>
        <v/>
      </c>
      <c r="N2189" s="26" t="str">
        <f aca="false">IF($D2189="","",IFERROR(INDEX(ClientRates!$E$5:$E$500,MATCH($B2189&amp;"|"&amp;$L2189,ClientRates!$A$5:$A$500,0)),0))</f>
        <v/>
      </c>
      <c r="O2189" s="26" t="str">
        <f aca="false">IF($D2189="","",F2189*M2189+G2189*N2189)</f>
        <v/>
      </c>
      <c r="P2189" s="26" t="str">
        <f aca="false">IF(OR($D2189="",$J2189&lt;&gt;"Supplier"),"",IFERROR(INDEX(SupplierRates!$D$5:$D$500,MATCH($K2189&amp;"|"&amp;$L2189,SupplierRates!$A$5:$A$500,0)),0))</f>
        <v/>
      </c>
      <c r="Q2189" s="26" t="str">
        <f aca="false">IF(OR($D2189="",$J2189&lt;&gt;"Supplier"),"",IFERROR(INDEX(SupplierRates!$E$5:$E$500,MATCH($K2189&amp;"|"&amp;$L2189,SupplierRates!$A$5:$A$500,0)),0))</f>
        <v/>
      </c>
      <c r="R2189" s="26" t="n">
        <f aca="false">IF(OR($D2189="",$J2189&lt;&gt;"Supplier"),0,F2189*P2189+G2189*Q2189)</f>
        <v>0</v>
      </c>
      <c r="S2189" s="26" t="n">
        <f aca="false">IF(OR($D2189="",$J2189&lt;&gt;"Own"),0,IFERROR((F2189+G2189*Settings!$B$13)*INDEX(Workers!$V$5:$V$2004,MATCH($D2189,Workers!$A$5:$A$2004,0)),0))</f>
        <v>0</v>
      </c>
      <c r="T2189" s="26" t="str">
        <f aca="false">IF($D2189="","",O2189-R2189-S2189)</f>
        <v/>
      </c>
    </row>
    <row r="2190" customFormat="false" ht="15" hidden="false" customHeight="false" outlineLevel="0" collapsed="false">
      <c r="I2190" s="24" t="str">
        <f aca="false">IF($D2190="","",IFERROR(INDEX(Workers!$B$5:$B$2004,MATCH($D2190,Workers!$A$5:$A$2004,0)),"NOT FOUND"))</f>
        <v/>
      </c>
      <c r="J2190" s="24" t="str">
        <f aca="false">IF($D2190="","",IFERROR(INDEX(Workers!$C$5:$C$2004,MATCH($D2190,Workers!$A$5:$A$2004,0)),""))</f>
        <v/>
      </c>
      <c r="K2190" s="24" t="str">
        <f aca="false">IF($D2190="","",IFERROR(IF(INDEX(Workers!$D$5:$D$2004,MATCH($D2190,Workers!$A$5:$A$2004,0))=0,"",INDEX(Workers!$D$5:$D$2004,MATCH($D2190,Workers!$A$5:$A$2004,0))),""))</f>
        <v/>
      </c>
      <c r="L2190" s="24" t="str">
        <f aca="false">IF($D2190="","",IFERROR(INDEX(Workers!$E$5:$E$2004,MATCH($D2190,Workers!$A$5:$A$2004,0)),""))</f>
        <v/>
      </c>
      <c r="M2190" s="26" t="str">
        <f aca="false">IF($D2190="","",IFERROR(INDEX(ClientRates!$D$5:$D$500,MATCH($B2190&amp;"|"&amp;$L2190,ClientRates!$A$5:$A$500,0)),0))</f>
        <v/>
      </c>
      <c r="N2190" s="26" t="str">
        <f aca="false">IF($D2190="","",IFERROR(INDEX(ClientRates!$E$5:$E$500,MATCH($B2190&amp;"|"&amp;$L2190,ClientRates!$A$5:$A$500,0)),0))</f>
        <v/>
      </c>
      <c r="O2190" s="26" t="str">
        <f aca="false">IF($D2190="","",F2190*M2190+G2190*N2190)</f>
        <v/>
      </c>
      <c r="P2190" s="26" t="str">
        <f aca="false">IF(OR($D2190="",$J2190&lt;&gt;"Supplier"),"",IFERROR(INDEX(SupplierRates!$D$5:$D$500,MATCH($K2190&amp;"|"&amp;$L2190,SupplierRates!$A$5:$A$500,0)),0))</f>
        <v/>
      </c>
      <c r="Q2190" s="26" t="str">
        <f aca="false">IF(OR($D2190="",$J2190&lt;&gt;"Supplier"),"",IFERROR(INDEX(SupplierRates!$E$5:$E$500,MATCH($K2190&amp;"|"&amp;$L2190,SupplierRates!$A$5:$A$500,0)),0))</f>
        <v/>
      </c>
      <c r="R2190" s="26" t="n">
        <f aca="false">IF(OR($D2190="",$J2190&lt;&gt;"Supplier"),0,F2190*P2190+G2190*Q2190)</f>
        <v>0</v>
      </c>
      <c r="S2190" s="26" t="n">
        <f aca="false">IF(OR($D2190="",$J2190&lt;&gt;"Own"),0,IFERROR((F2190+G2190*Settings!$B$13)*INDEX(Workers!$V$5:$V$2004,MATCH($D2190,Workers!$A$5:$A$2004,0)),0))</f>
        <v>0</v>
      </c>
      <c r="T2190" s="26" t="str">
        <f aca="false">IF($D2190="","",O2190-R2190-S2190)</f>
        <v/>
      </c>
    </row>
    <row r="2191" customFormat="false" ht="15" hidden="false" customHeight="false" outlineLevel="0" collapsed="false">
      <c r="I2191" s="24" t="str">
        <f aca="false">IF($D2191="","",IFERROR(INDEX(Workers!$B$5:$B$2004,MATCH($D2191,Workers!$A$5:$A$2004,0)),"NOT FOUND"))</f>
        <v/>
      </c>
      <c r="J2191" s="24" t="str">
        <f aca="false">IF($D2191="","",IFERROR(INDEX(Workers!$C$5:$C$2004,MATCH($D2191,Workers!$A$5:$A$2004,0)),""))</f>
        <v/>
      </c>
      <c r="K2191" s="24" t="str">
        <f aca="false">IF($D2191="","",IFERROR(IF(INDEX(Workers!$D$5:$D$2004,MATCH($D2191,Workers!$A$5:$A$2004,0))=0,"",INDEX(Workers!$D$5:$D$2004,MATCH($D2191,Workers!$A$5:$A$2004,0))),""))</f>
        <v/>
      </c>
      <c r="L2191" s="24" t="str">
        <f aca="false">IF($D2191="","",IFERROR(INDEX(Workers!$E$5:$E$2004,MATCH($D2191,Workers!$A$5:$A$2004,0)),""))</f>
        <v/>
      </c>
      <c r="M2191" s="26" t="str">
        <f aca="false">IF($D2191="","",IFERROR(INDEX(ClientRates!$D$5:$D$500,MATCH($B2191&amp;"|"&amp;$L2191,ClientRates!$A$5:$A$500,0)),0))</f>
        <v/>
      </c>
      <c r="N2191" s="26" t="str">
        <f aca="false">IF($D2191="","",IFERROR(INDEX(ClientRates!$E$5:$E$500,MATCH($B2191&amp;"|"&amp;$L2191,ClientRates!$A$5:$A$500,0)),0))</f>
        <v/>
      </c>
      <c r="O2191" s="26" t="str">
        <f aca="false">IF($D2191="","",F2191*M2191+G2191*N2191)</f>
        <v/>
      </c>
      <c r="P2191" s="26" t="str">
        <f aca="false">IF(OR($D2191="",$J2191&lt;&gt;"Supplier"),"",IFERROR(INDEX(SupplierRates!$D$5:$D$500,MATCH($K2191&amp;"|"&amp;$L2191,SupplierRates!$A$5:$A$500,0)),0))</f>
        <v/>
      </c>
      <c r="Q2191" s="26" t="str">
        <f aca="false">IF(OR($D2191="",$J2191&lt;&gt;"Supplier"),"",IFERROR(INDEX(SupplierRates!$E$5:$E$500,MATCH($K2191&amp;"|"&amp;$L2191,SupplierRates!$A$5:$A$500,0)),0))</f>
        <v/>
      </c>
      <c r="R2191" s="26" t="n">
        <f aca="false">IF(OR($D2191="",$J2191&lt;&gt;"Supplier"),0,F2191*P2191+G2191*Q2191)</f>
        <v>0</v>
      </c>
      <c r="S2191" s="26" t="n">
        <f aca="false">IF(OR($D2191="",$J2191&lt;&gt;"Own"),0,IFERROR((F2191+G2191*Settings!$B$13)*INDEX(Workers!$V$5:$V$2004,MATCH($D2191,Workers!$A$5:$A$2004,0)),0))</f>
        <v>0</v>
      </c>
      <c r="T2191" s="26" t="str">
        <f aca="false">IF($D2191="","",O2191-R2191-S2191)</f>
        <v/>
      </c>
    </row>
    <row r="2192" customFormat="false" ht="15" hidden="false" customHeight="false" outlineLevel="0" collapsed="false">
      <c r="I2192" s="24" t="str">
        <f aca="false">IF($D2192="","",IFERROR(INDEX(Workers!$B$5:$B$2004,MATCH($D2192,Workers!$A$5:$A$2004,0)),"NOT FOUND"))</f>
        <v/>
      </c>
      <c r="J2192" s="24" t="str">
        <f aca="false">IF($D2192="","",IFERROR(INDEX(Workers!$C$5:$C$2004,MATCH($D2192,Workers!$A$5:$A$2004,0)),""))</f>
        <v/>
      </c>
      <c r="K2192" s="24" t="str">
        <f aca="false">IF($D2192="","",IFERROR(IF(INDEX(Workers!$D$5:$D$2004,MATCH($D2192,Workers!$A$5:$A$2004,0))=0,"",INDEX(Workers!$D$5:$D$2004,MATCH($D2192,Workers!$A$5:$A$2004,0))),""))</f>
        <v/>
      </c>
      <c r="L2192" s="24" t="str">
        <f aca="false">IF($D2192="","",IFERROR(INDEX(Workers!$E$5:$E$2004,MATCH($D2192,Workers!$A$5:$A$2004,0)),""))</f>
        <v/>
      </c>
      <c r="M2192" s="26" t="str">
        <f aca="false">IF($D2192="","",IFERROR(INDEX(ClientRates!$D$5:$D$500,MATCH($B2192&amp;"|"&amp;$L2192,ClientRates!$A$5:$A$500,0)),0))</f>
        <v/>
      </c>
      <c r="N2192" s="26" t="str">
        <f aca="false">IF($D2192="","",IFERROR(INDEX(ClientRates!$E$5:$E$500,MATCH($B2192&amp;"|"&amp;$L2192,ClientRates!$A$5:$A$500,0)),0))</f>
        <v/>
      </c>
      <c r="O2192" s="26" t="str">
        <f aca="false">IF($D2192="","",F2192*M2192+G2192*N2192)</f>
        <v/>
      </c>
      <c r="P2192" s="26" t="str">
        <f aca="false">IF(OR($D2192="",$J2192&lt;&gt;"Supplier"),"",IFERROR(INDEX(SupplierRates!$D$5:$D$500,MATCH($K2192&amp;"|"&amp;$L2192,SupplierRates!$A$5:$A$500,0)),0))</f>
        <v/>
      </c>
      <c r="Q2192" s="26" t="str">
        <f aca="false">IF(OR($D2192="",$J2192&lt;&gt;"Supplier"),"",IFERROR(INDEX(SupplierRates!$E$5:$E$500,MATCH($K2192&amp;"|"&amp;$L2192,SupplierRates!$A$5:$A$500,0)),0))</f>
        <v/>
      </c>
      <c r="R2192" s="26" t="n">
        <f aca="false">IF(OR($D2192="",$J2192&lt;&gt;"Supplier"),0,F2192*P2192+G2192*Q2192)</f>
        <v>0</v>
      </c>
      <c r="S2192" s="26" t="n">
        <f aca="false">IF(OR($D2192="",$J2192&lt;&gt;"Own"),0,IFERROR((F2192+G2192*Settings!$B$13)*INDEX(Workers!$V$5:$V$2004,MATCH($D2192,Workers!$A$5:$A$2004,0)),0))</f>
        <v>0</v>
      </c>
      <c r="T2192" s="26" t="str">
        <f aca="false">IF($D2192="","",O2192-R2192-S2192)</f>
        <v/>
      </c>
    </row>
    <row r="2193" customFormat="false" ht="15" hidden="false" customHeight="false" outlineLevel="0" collapsed="false">
      <c r="I2193" s="24" t="str">
        <f aca="false">IF($D2193="","",IFERROR(INDEX(Workers!$B$5:$B$2004,MATCH($D2193,Workers!$A$5:$A$2004,0)),"NOT FOUND"))</f>
        <v/>
      </c>
      <c r="J2193" s="24" t="str">
        <f aca="false">IF($D2193="","",IFERROR(INDEX(Workers!$C$5:$C$2004,MATCH($D2193,Workers!$A$5:$A$2004,0)),""))</f>
        <v/>
      </c>
      <c r="K2193" s="24" t="str">
        <f aca="false">IF($D2193="","",IFERROR(IF(INDEX(Workers!$D$5:$D$2004,MATCH($D2193,Workers!$A$5:$A$2004,0))=0,"",INDEX(Workers!$D$5:$D$2004,MATCH($D2193,Workers!$A$5:$A$2004,0))),""))</f>
        <v/>
      </c>
      <c r="L2193" s="24" t="str">
        <f aca="false">IF($D2193="","",IFERROR(INDEX(Workers!$E$5:$E$2004,MATCH($D2193,Workers!$A$5:$A$2004,0)),""))</f>
        <v/>
      </c>
      <c r="M2193" s="26" t="str">
        <f aca="false">IF($D2193="","",IFERROR(INDEX(ClientRates!$D$5:$D$500,MATCH($B2193&amp;"|"&amp;$L2193,ClientRates!$A$5:$A$500,0)),0))</f>
        <v/>
      </c>
      <c r="N2193" s="26" t="str">
        <f aca="false">IF($D2193="","",IFERROR(INDEX(ClientRates!$E$5:$E$500,MATCH($B2193&amp;"|"&amp;$L2193,ClientRates!$A$5:$A$500,0)),0))</f>
        <v/>
      </c>
      <c r="O2193" s="26" t="str">
        <f aca="false">IF($D2193="","",F2193*M2193+G2193*N2193)</f>
        <v/>
      </c>
      <c r="P2193" s="26" t="str">
        <f aca="false">IF(OR($D2193="",$J2193&lt;&gt;"Supplier"),"",IFERROR(INDEX(SupplierRates!$D$5:$D$500,MATCH($K2193&amp;"|"&amp;$L2193,SupplierRates!$A$5:$A$500,0)),0))</f>
        <v/>
      </c>
      <c r="Q2193" s="26" t="str">
        <f aca="false">IF(OR($D2193="",$J2193&lt;&gt;"Supplier"),"",IFERROR(INDEX(SupplierRates!$E$5:$E$500,MATCH($K2193&amp;"|"&amp;$L2193,SupplierRates!$A$5:$A$500,0)),0))</f>
        <v/>
      </c>
      <c r="R2193" s="26" t="n">
        <f aca="false">IF(OR($D2193="",$J2193&lt;&gt;"Supplier"),0,F2193*P2193+G2193*Q2193)</f>
        <v>0</v>
      </c>
      <c r="S2193" s="26" t="n">
        <f aca="false">IF(OR($D2193="",$J2193&lt;&gt;"Own"),0,IFERROR((F2193+G2193*Settings!$B$13)*INDEX(Workers!$V$5:$V$2004,MATCH($D2193,Workers!$A$5:$A$2004,0)),0))</f>
        <v>0</v>
      </c>
      <c r="T2193" s="26" t="str">
        <f aca="false">IF($D2193="","",O2193-R2193-S2193)</f>
        <v/>
      </c>
    </row>
    <row r="2194" customFormat="false" ht="15" hidden="false" customHeight="false" outlineLevel="0" collapsed="false">
      <c r="I2194" s="24" t="str">
        <f aca="false">IF($D2194="","",IFERROR(INDEX(Workers!$B$5:$B$2004,MATCH($D2194,Workers!$A$5:$A$2004,0)),"NOT FOUND"))</f>
        <v/>
      </c>
      <c r="J2194" s="24" t="str">
        <f aca="false">IF($D2194="","",IFERROR(INDEX(Workers!$C$5:$C$2004,MATCH($D2194,Workers!$A$5:$A$2004,0)),""))</f>
        <v/>
      </c>
      <c r="K2194" s="24" t="str">
        <f aca="false">IF($D2194="","",IFERROR(IF(INDEX(Workers!$D$5:$D$2004,MATCH($D2194,Workers!$A$5:$A$2004,0))=0,"",INDEX(Workers!$D$5:$D$2004,MATCH($D2194,Workers!$A$5:$A$2004,0))),""))</f>
        <v/>
      </c>
      <c r="L2194" s="24" t="str">
        <f aca="false">IF($D2194="","",IFERROR(INDEX(Workers!$E$5:$E$2004,MATCH($D2194,Workers!$A$5:$A$2004,0)),""))</f>
        <v/>
      </c>
      <c r="M2194" s="26" t="str">
        <f aca="false">IF($D2194="","",IFERROR(INDEX(ClientRates!$D$5:$D$500,MATCH($B2194&amp;"|"&amp;$L2194,ClientRates!$A$5:$A$500,0)),0))</f>
        <v/>
      </c>
      <c r="N2194" s="26" t="str">
        <f aca="false">IF($D2194="","",IFERROR(INDEX(ClientRates!$E$5:$E$500,MATCH($B2194&amp;"|"&amp;$L2194,ClientRates!$A$5:$A$500,0)),0))</f>
        <v/>
      </c>
      <c r="O2194" s="26" t="str">
        <f aca="false">IF($D2194="","",F2194*M2194+G2194*N2194)</f>
        <v/>
      </c>
      <c r="P2194" s="26" t="str">
        <f aca="false">IF(OR($D2194="",$J2194&lt;&gt;"Supplier"),"",IFERROR(INDEX(SupplierRates!$D$5:$D$500,MATCH($K2194&amp;"|"&amp;$L2194,SupplierRates!$A$5:$A$500,0)),0))</f>
        <v/>
      </c>
      <c r="Q2194" s="26" t="str">
        <f aca="false">IF(OR($D2194="",$J2194&lt;&gt;"Supplier"),"",IFERROR(INDEX(SupplierRates!$E$5:$E$500,MATCH($K2194&amp;"|"&amp;$L2194,SupplierRates!$A$5:$A$500,0)),0))</f>
        <v/>
      </c>
      <c r="R2194" s="26" t="n">
        <f aca="false">IF(OR($D2194="",$J2194&lt;&gt;"Supplier"),0,F2194*P2194+G2194*Q2194)</f>
        <v>0</v>
      </c>
      <c r="S2194" s="26" t="n">
        <f aca="false">IF(OR($D2194="",$J2194&lt;&gt;"Own"),0,IFERROR((F2194+G2194*Settings!$B$13)*INDEX(Workers!$V$5:$V$2004,MATCH($D2194,Workers!$A$5:$A$2004,0)),0))</f>
        <v>0</v>
      </c>
      <c r="T2194" s="26" t="str">
        <f aca="false">IF($D2194="","",O2194-R2194-S2194)</f>
        <v/>
      </c>
    </row>
    <row r="2195" customFormat="false" ht="15" hidden="false" customHeight="false" outlineLevel="0" collapsed="false">
      <c r="I2195" s="24" t="str">
        <f aca="false">IF($D2195="","",IFERROR(INDEX(Workers!$B$5:$B$2004,MATCH($D2195,Workers!$A$5:$A$2004,0)),"NOT FOUND"))</f>
        <v/>
      </c>
      <c r="J2195" s="24" t="str">
        <f aca="false">IF($D2195="","",IFERROR(INDEX(Workers!$C$5:$C$2004,MATCH($D2195,Workers!$A$5:$A$2004,0)),""))</f>
        <v/>
      </c>
      <c r="K2195" s="24" t="str">
        <f aca="false">IF($D2195="","",IFERROR(IF(INDEX(Workers!$D$5:$D$2004,MATCH($D2195,Workers!$A$5:$A$2004,0))=0,"",INDEX(Workers!$D$5:$D$2004,MATCH($D2195,Workers!$A$5:$A$2004,0))),""))</f>
        <v/>
      </c>
      <c r="L2195" s="24" t="str">
        <f aca="false">IF($D2195="","",IFERROR(INDEX(Workers!$E$5:$E$2004,MATCH($D2195,Workers!$A$5:$A$2004,0)),""))</f>
        <v/>
      </c>
      <c r="M2195" s="26" t="str">
        <f aca="false">IF($D2195="","",IFERROR(INDEX(ClientRates!$D$5:$D$500,MATCH($B2195&amp;"|"&amp;$L2195,ClientRates!$A$5:$A$500,0)),0))</f>
        <v/>
      </c>
      <c r="N2195" s="26" t="str">
        <f aca="false">IF($D2195="","",IFERROR(INDEX(ClientRates!$E$5:$E$500,MATCH($B2195&amp;"|"&amp;$L2195,ClientRates!$A$5:$A$500,0)),0))</f>
        <v/>
      </c>
      <c r="O2195" s="26" t="str">
        <f aca="false">IF($D2195="","",F2195*M2195+G2195*N2195)</f>
        <v/>
      </c>
      <c r="P2195" s="26" t="str">
        <f aca="false">IF(OR($D2195="",$J2195&lt;&gt;"Supplier"),"",IFERROR(INDEX(SupplierRates!$D$5:$D$500,MATCH($K2195&amp;"|"&amp;$L2195,SupplierRates!$A$5:$A$500,0)),0))</f>
        <v/>
      </c>
      <c r="Q2195" s="26" t="str">
        <f aca="false">IF(OR($D2195="",$J2195&lt;&gt;"Supplier"),"",IFERROR(INDEX(SupplierRates!$E$5:$E$500,MATCH($K2195&amp;"|"&amp;$L2195,SupplierRates!$A$5:$A$500,0)),0))</f>
        <v/>
      </c>
      <c r="R2195" s="26" t="n">
        <f aca="false">IF(OR($D2195="",$J2195&lt;&gt;"Supplier"),0,F2195*P2195+G2195*Q2195)</f>
        <v>0</v>
      </c>
      <c r="S2195" s="26" t="n">
        <f aca="false">IF(OR($D2195="",$J2195&lt;&gt;"Own"),0,IFERROR((F2195+G2195*Settings!$B$13)*INDEX(Workers!$V$5:$V$2004,MATCH($D2195,Workers!$A$5:$A$2004,0)),0))</f>
        <v>0</v>
      </c>
      <c r="T2195" s="26" t="str">
        <f aca="false">IF($D2195="","",O2195-R2195-S2195)</f>
        <v/>
      </c>
    </row>
    <row r="2196" customFormat="false" ht="15" hidden="false" customHeight="false" outlineLevel="0" collapsed="false">
      <c r="I2196" s="24" t="str">
        <f aca="false">IF($D2196="","",IFERROR(INDEX(Workers!$B$5:$B$2004,MATCH($D2196,Workers!$A$5:$A$2004,0)),"NOT FOUND"))</f>
        <v/>
      </c>
      <c r="J2196" s="24" t="str">
        <f aca="false">IF($D2196="","",IFERROR(INDEX(Workers!$C$5:$C$2004,MATCH($D2196,Workers!$A$5:$A$2004,0)),""))</f>
        <v/>
      </c>
      <c r="K2196" s="24" t="str">
        <f aca="false">IF($D2196="","",IFERROR(IF(INDEX(Workers!$D$5:$D$2004,MATCH($D2196,Workers!$A$5:$A$2004,0))=0,"",INDEX(Workers!$D$5:$D$2004,MATCH($D2196,Workers!$A$5:$A$2004,0))),""))</f>
        <v/>
      </c>
      <c r="L2196" s="24" t="str">
        <f aca="false">IF($D2196="","",IFERROR(INDEX(Workers!$E$5:$E$2004,MATCH($D2196,Workers!$A$5:$A$2004,0)),""))</f>
        <v/>
      </c>
      <c r="M2196" s="26" t="str">
        <f aca="false">IF($D2196="","",IFERROR(INDEX(ClientRates!$D$5:$D$500,MATCH($B2196&amp;"|"&amp;$L2196,ClientRates!$A$5:$A$500,0)),0))</f>
        <v/>
      </c>
      <c r="N2196" s="26" t="str">
        <f aca="false">IF($D2196="","",IFERROR(INDEX(ClientRates!$E$5:$E$500,MATCH($B2196&amp;"|"&amp;$L2196,ClientRates!$A$5:$A$500,0)),0))</f>
        <v/>
      </c>
      <c r="O2196" s="26" t="str">
        <f aca="false">IF($D2196="","",F2196*M2196+G2196*N2196)</f>
        <v/>
      </c>
      <c r="P2196" s="26" t="str">
        <f aca="false">IF(OR($D2196="",$J2196&lt;&gt;"Supplier"),"",IFERROR(INDEX(SupplierRates!$D$5:$D$500,MATCH($K2196&amp;"|"&amp;$L2196,SupplierRates!$A$5:$A$500,0)),0))</f>
        <v/>
      </c>
      <c r="Q2196" s="26" t="str">
        <f aca="false">IF(OR($D2196="",$J2196&lt;&gt;"Supplier"),"",IFERROR(INDEX(SupplierRates!$E$5:$E$500,MATCH($K2196&amp;"|"&amp;$L2196,SupplierRates!$A$5:$A$500,0)),0))</f>
        <v/>
      </c>
      <c r="R2196" s="26" t="n">
        <f aca="false">IF(OR($D2196="",$J2196&lt;&gt;"Supplier"),0,F2196*P2196+G2196*Q2196)</f>
        <v>0</v>
      </c>
      <c r="S2196" s="26" t="n">
        <f aca="false">IF(OR($D2196="",$J2196&lt;&gt;"Own"),0,IFERROR((F2196+G2196*Settings!$B$13)*INDEX(Workers!$V$5:$V$2004,MATCH($D2196,Workers!$A$5:$A$2004,0)),0))</f>
        <v>0</v>
      </c>
      <c r="T2196" s="26" t="str">
        <f aca="false">IF($D2196="","",O2196-R2196-S2196)</f>
        <v/>
      </c>
    </row>
    <row r="2197" customFormat="false" ht="15" hidden="false" customHeight="false" outlineLevel="0" collapsed="false">
      <c r="I2197" s="24" t="str">
        <f aca="false">IF($D2197="","",IFERROR(INDEX(Workers!$B$5:$B$2004,MATCH($D2197,Workers!$A$5:$A$2004,0)),"NOT FOUND"))</f>
        <v/>
      </c>
      <c r="J2197" s="24" t="str">
        <f aca="false">IF($D2197="","",IFERROR(INDEX(Workers!$C$5:$C$2004,MATCH($D2197,Workers!$A$5:$A$2004,0)),""))</f>
        <v/>
      </c>
      <c r="K2197" s="24" t="str">
        <f aca="false">IF($D2197="","",IFERROR(IF(INDEX(Workers!$D$5:$D$2004,MATCH($D2197,Workers!$A$5:$A$2004,0))=0,"",INDEX(Workers!$D$5:$D$2004,MATCH($D2197,Workers!$A$5:$A$2004,0))),""))</f>
        <v/>
      </c>
      <c r="L2197" s="24" t="str">
        <f aca="false">IF($D2197="","",IFERROR(INDEX(Workers!$E$5:$E$2004,MATCH($D2197,Workers!$A$5:$A$2004,0)),""))</f>
        <v/>
      </c>
      <c r="M2197" s="26" t="str">
        <f aca="false">IF($D2197="","",IFERROR(INDEX(ClientRates!$D$5:$D$500,MATCH($B2197&amp;"|"&amp;$L2197,ClientRates!$A$5:$A$500,0)),0))</f>
        <v/>
      </c>
      <c r="N2197" s="26" t="str">
        <f aca="false">IF($D2197="","",IFERROR(INDEX(ClientRates!$E$5:$E$500,MATCH($B2197&amp;"|"&amp;$L2197,ClientRates!$A$5:$A$500,0)),0))</f>
        <v/>
      </c>
      <c r="O2197" s="26" t="str">
        <f aca="false">IF($D2197="","",F2197*M2197+G2197*N2197)</f>
        <v/>
      </c>
      <c r="P2197" s="26" t="str">
        <f aca="false">IF(OR($D2197="",$J2197&lt;&gt;"Supplier"),"",IFERROR(INDEX(SupplierRates!$D$5:$D$500,MATCH($K2197&amp;"|"&amp;$L2197,SupplierRates!$A$5:$A$500,0)),0))</f>
        <v/>
      </c>
      <c r="Q2197" s="26" t="str">
        <f aca="false">IF(OR($D2197="",$J2197&lt;&gt;"Supplier"),"",IFERROR(INDEX(SupplierRates!$E$5:$E$500,MATCH($K2197&amp;"|"&amp;$L2197,SupplierRates!$A$5:$A$500,0)),0))</f>
        <v/>
      </c>
      <c r="R2197" s="26" t="n">
        <f aca="false">IF(OR($D2197="",$J2197&lt;&gt;"Supplier"),0,F2197*P2197+G2197*Q2197)</f>
        <v>0</v>
      </c>
      <c r="S2197" s="26" t="n">
        <f aca="false">IF(OR($D2197="",$J2197&lt;&gt;"Own"),0,IFERROR((F2197+G2197*Settings!$B$13)*INDEX(Workers!$V$5:$V$2004,MATCH($D2197,Workers!$A$5:$A$2004,0)),0))</f>
        <v>0</v>
      </c>
      <c r="T2197" s="26" t="str">
        <f aca="false">IF($D2197="","",O2197-R2197-S2197)</f>
        <v/>
      </c>
    </row>
    <row r="2198" customFormat="false" ht="15" hidden="false" customHeight="false" outlineLevel="0" collapsed="false">
      <c r="I2198" s="24" t="str">
        <f aca="false">IF($D2198="","",IFERROR(INDEX(Workers!$B$5:$B$2004,MATCH($D2198,Workers!$A$5:$A$2004,0)),"NOT FOUND"))</f>
        <v/>
      </c>
      <c r="J2198" s="24" t="str">
        <f aca="false">IF($D2198="","",IFERROR(INDEX(Workers!$C$5:$C$2004,MATCH($D2198,Workers!$A$5:$A$2004,0)),""))</f>
        <v/>
      </c>
      <c r="K2198" s="24" t="str">
        <f aca="false">IF($D2198="","",IFERROR(IF(INDEX(Workers!$D$5:$D$2004,MATCH($D2198,Workers!$A$5:$A$2004,0))=0,"",INDEX(Workers!$D$5:$D$2004,MATCH($D2198,Workers!$A$5:$A$2004,0))),""))</f>
        <v/>
      </c>
      <c r="L2198" s="24" t="str">
        <f aca="false">IF($D2198="","",IFERROR(INDEX(Workers!$E$5:$E$2004,MATCH($D2198,Workers!$A$5:$A$2004,0)),""))</f>
        <v/>
      </c>
      <c r="M2198" s="26" t="str">
        <f aca="false">IF($D2198="","",IFERROR(INDEX(ClientRates!$D$5:$D$500,MATCH($B2198&amp;"|"&amp;$L2198,ClientRates!$A$5:$A$500,0)),0))</f>
        <v/>
      </c>
      <c r="N2198" s="26" t="str">
        <f aca="false">IF($D2198="","",IFERROR(INDEX(ClientRates!$E$5:$E$500,MATCH($B2198&amp;"|"&amp;$L2198,ClientRates!$A$5:$A$500,0)),0))</f>
        <v/>
      </c>
      <c r="O2198" s="26" t="str">
        <f aca="false">IF($D2198="","",F2198*M2198+G2198*N2198)</f>
        <v/>
      </c>
      <c r="P2198" s="26" t="str">
        <f aca="false">IF(OR($D2198="",$J2198&lt;&gt;"Supplier"),"",IFERROR(INDEX(SupplierRates!$D$5:$D$500,MATCH($K2198&amp;"|"&amp;$L2198,SupplierRates!$A$5:$A$500,0)),0))</f>
        <v/>
      </c>
      <c r="Q2198" s="26" t="str">
        <f aca="false">IF(OR($D2198="",$J2198&lt;&gt;"Supplier"),"",IFERROR(INDEX(SupplierRates!$E$5:$E$500,MATCH($K2198&amp;"|"&amp;$L2198,SupplierRates!$A$5:$A$500,0)),0))</f>
        <v/>
      </c>
      <c r="R2198" s="26" t="n">
        <f aca="false">IF(OR($D2198="",$J2198&lt;&gt;"Supplier"),0,F2198*P2198+G2198*Q2198)</f>
        <v>0</v>
      </c>
      <c r="S2198" s="26" t="n">
        <f aca="false">IF(OR($D2198="",$J2198&lt;&gt;"Own"),0,IFERROR((F2198+G2198*Settings!$B$13)*INDEX(Workers!$V$5:$V$2004,MATCH($D2198,Workers!$A$5:$A$2004,0)),0))</f>
        <v>0</v>
      </c>
      <c r="T2198" s="26" t="str">
        <f aca="false">IF($D2198="","",O2198-R2198-S2198)</f>
        <v/>
      </c>
    </row>
    <row r="2199" customFormat="false" ht="15" hidden="false" customHeight="false" outlineLevel="0" collapsed="false">
      <c r="I2199" s="24" t="str">
        <f aca="false">IF($D2199="","",IFERROR(INDEX(Workers!$B$5:$B$2004,MATCH($D2199,Workers!$A$5:$A$2004,0)),"NOT FOUND"))</f>
        <v/>
      </c>
      <c r="J2199" s="24" t="str">
        <f aca="false">IF($D2199="","",IFERROR(INDEX(Workers!$C$5:$C$2004,MATCH($D2199,Workers!$A$5:$A$2004,0)),""))</f>
        <v/>
      </c>
      <c r="K2199" s="24" t="str">
        <f aca="false">IF($D2199="","",IFERROR(IF(INDEX(Workers!$D$5:$D$2004,MATCH($D2199,Workers!$A$5:$A$2004,0))=0,"",INDEX(Workers!$D$5:$D$2004,MATCH($D2199,Workers!$A$5:$A$2004,0))),""))</f>
        <v/>
      </c>
      <c r="L2199" s="24" t="str">
        <f aca="false">IF($D2199="","",IFERROR(INDEX(Workers!$E$5:$E$2004,MATCH($D2199,Workers!$A$5:$A$2004,0)),""))</f>
        <v/>
      </c>
      <c r="M2199" s="26" t="str">
        <f aca="false">IF($D2199="","",IFERROR(INDEX(ClientRates!$D$5:$D$500,MATCH($B2199&amp;"|"&amp;$L2199,ClientRates!$A$5:$A$500,0)),0))</f>
        <v/>
      </c>
      <c r="N2199" s="26" t="str">
        <f aca="false">IF($D2199="","",IFERROR(INDEX(ClientRates!$E$5:$E$500,MATCH($B2199&amp;"|"&amp;$L2199,ClientRates!$A$5:$A$500,0)),0))</f>
        <v/>
      </c>
      <c r="O2199" s="26" t="str">
        <f aca="false">IF($D2199="","",F2199*M2199+G2199*N2199)</f>
        <v/>
      </c>
      <c r="P2199" s="26" t="str">
        <f aca="false">IF(OR($D2199="",$J2199&lt;&gt;"Supplier"),"",IFERROR(INDEX(SupplierRates!$D$5:$D$500,MATCH($K2199&amp;"|"&amp;$L2199,SupplierRates!$A$5:$A$500,0)),0))</f>
        <v/>
      </c>
      <c r="Q2199" s="26" t="str">
        <f aca="false">IF(OR($D2199="",$J2199&lt;&gt;"Supplier"),"",IFERROR(INDEX(SupplierRates!$E$5:$E$500,MATCH($K2199&amp;"|"&amp;$L2199,SupplierRates!$A$5:$A$500,0)),0))</f>
        <v/>
      </c>
      <c r="R2199" s="26" t="n">
        <f aca="false">IF(OR($D2199="",$J2199&lt;&gt;"Supplier"),0,F2199*P2199+G2199*Q2199)</f>
        <v>0</v>
      </c>
      <c r="S2199" s="26" t="n">
        <f aca="false">IF(OR($D2199="",$J2199&lt;&gt;"Own"),0,IFERROR((F2199+G2199*Settings!$B$13)*INDEX(Workers!$V$5:$V$2004,MATCH($D2199,Workers!$A$5:$A$2004,0)),0))</f>
        <v>0</v>
      </c>
      <c r="T2199" s="26" t="str">
        <f aca="false">IF($D2199="","",O2199-R2199-S2199)</f>
        <v/>
      </c>
    </row>
    <row r="2200" customFormat="false" ht="15" hidden="false" customHeight="false" outlineLevel="0" collapsed="false">
      <c r="I2200" s="24" t="str">
        <f aca="false">IF($D2200="","",IFERROR(INDEX(Workers!$B$5:$B$2004,MATCH($D2200,Workers!$A$5:$A$2004,0)),"NOT FOUND"))</f>
        <v/>
      </c>
      <c r="J2200" s="24" t="str">
        <f aca="false">IF($D2200="","",IFERROR(INDEX(Workers!$C$5:$C$2004,MATCH($D2200,Workers!$A$5:$A$2004,0)),""))</f>
        <v/>
      </c>
      <c r="K2200" s="24" t="str">
        <f aca="false">IF($D2200="","",IFERROR(IF(INDEX(Workers!$D$5:$D$2004,MATCH($D2200,Workers!$A$5:$A$2004,0))=0,"",INDEX(Workers!$D$5:$D$2004,MATCH($D2200,Workers!$A$5:$A$2004,0))),""))</f>
        <v/>
      </c>
      <c r="L2200" s="24" t="str">
        <f aca="false">IF($D2200="","",IFERROR(INDEX(Workers!$E$5:$E$2004,MATCH($D2200,Workers!$A$5:$A$2004,0)),""))</f>
        <v/>
      </c>
      <c r="M2200" s="26" t="str">
        <f aca="false">IF($D2200="","",IFERROR(INDEX(ClientRates!$D$5:$D$500,MATCH($B2200&amp;"|"&amp;$L2200,ClientRates!$A$5:$A$500,0)),0))</f>
        <v/>
      </c>
      <c r="N2200" s="26" t="str">
        <f aca="false">IF($D2200="","",IFERROR(INDEX(ClientRates!$E$5:$E$500,MATCH($B2200&amp;"|"&amp;$L2200,ClientRates!$A$5:$A$500,0)),0))</f>
        <v/>
      </c>
      <c r="O2200" s="26" t="str">
        <f aca="false">IF($D2200="","",F2200*M2200+G2200*N2200)</f>
        <v/>
      </c>
      <c r="P2200" s="26" t="str">
        <f aca="false">IF(OR($D2200="",$J2200&lt;&gt;"Supplier"),"",IFERROR(INDEX(SupplierRates!$D$5:$D$500,MATCH($K2200&amp;"|"&amp;$L2200,SupplierRates!$A$5:$A$500,0)),0))</f>
        <v/>
      </c>
      <c r="Q2200" s="26" t="str">
        <f aca="false">IF(OR($D2200="",$J2200&lt;&gt;"Supplier"),"",IFERROR(INDEX(SupplierRates!$E$5:$E$500,MATCH($K2200&amp;"|"&amp;$L2200,SupplierRates!$A$5:$A$500,0)),0))</f>
        <v/>
      </c>
      <c r="R2200" s="26" t="n">
        <f aca="false">IF(OR($D2200="",$J2200&lt;&gt;"Supplier"),0,F2200*P2200+G2200*Q2200)</f>
        <v>0</v>
      </c>
      <c r="S2200" s="26" t="n">
        <f aca="false">IF(OR($D2200="",$J2200&lt;&gt;"Own"),0,IFERROR((F2200+G2200*Settings!$B$13)*INDEX(Workers!$V$5:$V$2004,MATCH($D2200,Workers!$A$5:$A$2004,0)),0))</f>
        <v>0</v>
      </c>
      <c r="T2200" s="26" t="str">
        <f aca="false">IF($D2200="","",O2200-R2200-S2200)</f>
        <v/>
      </c>
    </row>
    <row r="2201" customFormat="false" ht="15" hidden="false" customHeight="false" outlineLevel="0" collapsed="false">
      <c r="I2201" s="24" t="str">
        <f aca="false">IF($D2201="","",IFERROR(INDEX(Workers!$B$5:$B$2004,MATCH($D2201,Workers!$A$5:$A$2004,0)),"NOT FOUND"))</f>
        <v/>
      </c>
      <c r="J2201" s="24" t="str">
        <f aca="false">IF($D2201="","",IFERROR(INDEX(Workers!$C$5:$C$2004,MATCH($D2201,Workers!$A$5:$A$2004,0)),""))</f>
        <v/>
      </c>
      <c r="K2201" s="24" t="str">
        <f aca="false">IF($D2201="","",IFERROR(IF(INDEX(Workers!$D$5:$D$2004,MATCH($D2201,Workers!$A$5:$A$2004,0))=0,"",INDEX(Workers!$D$5:$D$2004,MATCH($D2201,Workers!$A$5:$A$2004,0))),""))</f>
        <v/>
      </c>
      <c r="L2201" s="24" t="str">
        <f aca="false">IF($D2201="","",IFERROR(INDEX(Workers!$E$5:$E$2004,MATCH($D2201,Workers!$A$5:$A$2004,0)),""))</f>
        <v/>
      </c>
      <c r="M2201" s="26" t="str">
        <f aca="false">IF($D2201="","",IFERROR(INDEX(ClientRates!$D$5:$D$500,MATCH($B2201&amp;"|"&amp;$L2201,ClientRates!$A$5:$A$500,0)),0))</f>
        <v/>
      </c>
      <c r="N2201" s="26" t="str">
        <f aca="false">IF($D2201="","",IFERROR(INDEX(ClientRates!$E$5:$E$500,MATCH($B2201&amp;"|"&amp;$L2201,ClientRates!$A$5:$A$500,0)),0))</f>
        <v/>
      </c>
      <c r="O2201" s="26" t="str">
        <f aca="false">IF($D2201="","",F2201*M2201+G2201*N2201)</f>
        <v/>
      </c>
      <c r="P2201" s="26" t="str">
        <f aca="false">IF(OR($D2201="",$J2201&lt;&gt;"Supplier"),"",IFERROR(INDEX(SupplierRates!$D$5:$D$500,MATCH($K2201&amp;"|"&amp;$L2201,SupplierRates!$A$5:$A$500,0)),0))</f>
        <v/>
      </c>
      <c r="Q2201" s="26" t="str">
        <f aca="false">IF(OR($D2201="",$J2201&lt;&gt;"Supplier"),"",IFERROR(INDEX(SupplierRates!$E$5:$E$500,MATCH($K2201&amp;"|"&amp;$L2201,SupplierRates!$A$5:$A$500,0)),0))</f>
        <v/>
      </c>
      <c r="R2201" s="26" t="n">
        <f aca="false">IF(OR($D2201="",$J2201&lt;&gt;"Supplier"),0,F2201*P2201+G2201*Q2201)</f>
        <v>0</v>
      </c>
      <c r="S2201" s="26" t="n">
        <f aca="false">IF(OR($D2201="",$J2201&lt;&gt;"Own"),0,IFERROR((F2201+G2201*Settings!$B$13)*INDEX(Workers!$V$5:$V$2004,MATCH($D2201,Workers!$A$5:$A$2004,0)),0))</f>
        <v>0</v>
      </c>
      <c r="T2201" s="26" t="str">
        <f aca="false">IF($D2201="","",O2201-R2201-S2201)</f>
        <v/>
      </c>
    </row>
    <row r="2202" customFormat="false" ht="15" hidden="false" customHeight="false" outlineLevel="0" collapsed="false">
      <c r="I2202" s="24" t="str">
        <f aca="false">IF($D2202="","",IFERROR(INDEX(Workers!$B$5:$B$2004,MATCH($D2202,Workers!$A$5:$A$2004,0)),"NOT FOUND"))</f>
        <v/>
      </c>
      <c r="J2202" s="24" t="str">
        <f aca="false">IF($D2202="","",IFERROR(INDEX(Workers!$C$5:$C$2004,MATCH($D2202,Workers!$A$5:$A$2004,0)),""))</f>
        <v/>
      </c>
      <c r="K2202" s="24" t="str">
        <f aca="false">IF($D2202="","",IFERROR(IF(INDEX(Workers!$D$5:$D$2004,MATCH($D2202,Workers!$A$5:$A$2004,0))=0,"",INDEX(Workers!$D$5:$D$2004,MATCH($D2202,Workers!$A$5:$A$2004,0))),""))</f>
        <v/>
      </c>
      <c r="L2202" s="24" t="str">
        <f aca="false">IF($D2202="","",IFERROR(INDEX(Workers!$E$5:$E$2004,MATCH($D2202,Workers!$A$5:$A$2004,0)),""))</f>
        <v/>
      </c>
      <c r="M2202" s="26" t="str">
        <f aca="false">IF($D2202="","",IFERROR(INDEX(ClientRates!$D$5:$D$500,MATCH($B2202&amp;"|"&amp;$L2202,ClientRates!$A$5:$A$500,0)),0))</f>
        <v/>
      </c>
      <c r="N2202" s="26" t="str">
        <f aca="false">IF($D2202="","",IFERROR(INDEX(ClientRates!$E$5:$E$500,MATCH($B2202&amp;"|"&amp;$L2202,ClientRates!$A$5:$A$500,0)),0))</f>
        <v/>
      </c>
      <c r="O2202" s="26" t="str">
        <f aca="false">IF($D2202="","",F2202*M2202+G2202*N2202)</f>
        <v/>
      </c>
      <c r="P2202" s="26" t="str">
        <f aca="false">IF(OR($D2202="",$J2202&lt;&gt;"Supplier"),"",IFERROR(INDEX(SupplierRates!$D$5:$D$500,MATCH($K2202&amp;"|"&amp;$L2202,SupplierRates!$A$5:$A$500,0)),0))</f>
        <v/>
      </c>
      <c r="Q2202" s="26" t="str">
        <f aca="false">IF(OR($D2202="",$J2202&lt;&gt;"Supplier"),"",IFERROR(INDEX(SupplierRates!$E$5:$E$500,MATCH($K2202&amp;"|"&amp;$L2202,SupplierRates!$A$5:$A$500,0)),0))</f>
        <v/>
      </c>
      <c r="R2202" s="26" t="n">
        <f aca="false">IF(OR($D2202="",$J2202&lt;&gt;"Supplier"),0,F2202*P2202+G2202*Q2202)</f>
        <v>0</v>
      </c>
      <c r="S2202" s="26" t="n">
        <f aca="false">IF(OR($D2202="",$J2202&lt;&gt;"Own"),0,IFERROR((F2202+G2202*Settings!$B$13)*INDEX(Workers!$V$5:$V$2004,MATCH($D2202,Workers!$A$5:$A$2004,0)),0))</f>
        <v>0</v>
      </c>
      <c r="T2202" s="26" t="str">
        <f aca="false">IF($D2202="","",O2202-R2202-S2202)</f>
        <v/>
      </c>
    </row>
    <row r="2203" customFormat="false" ht="15" hidden="false" customHeight="false" outlineLevel="0" collapsed="false">
      <c r="I2203" s="24" t="str">
        <f aca="false">IF($D2203="","",IFERROR(INDEX(Workers!$B$5:$B$2004,MATCH($D2203,Workers!$A$5:$A$2004,0)),"NOT FOUND"))</f>
        <v/>
      </c>
      <c r="J2203" s="24" t="str">
        <f aca="false">IF($D2203="","",IFERROR(INDEX(Workers!$C$5:$C$2004,MATCH($D2203,Workers!$A$5:$A$2004,0)),""))</f>
        <v/>
      </c>
      <c r="K2203" s="24" t="str">
        <f aca="false">IF($D2203="","",IFERROR(IF(INDEX(Workers!$D$5:$D$2004,MATCH($D2203,Workers!$A$5:$A$2004,0))=0,"",INDEX(Workers!$D$5:$D$2004,MATCH($D2203,Workers!$A$5:$A$2004,0))),""))</f>
        <v/>
      </c>
      <c r="L2203" s="24" t="str">
        <f aca="false">IF($D2203="","",IFERROR(INDEX(Workers!$E$5:$E$2004,MATCH($D2203,Workers!$A$5:$A$2004,0)),""))</f>
        <v/>
      </c>
      <c r="M2203" s="26" t="str">
        <f aca="false">IF($D2203="","",IFERROR(INDEX(ClientRates!$D$5:$D$500,MATCH($B2203&amp;"|"&amp;$L2203,ClientRates!$A$5:$A$500,0)),0))</f>
        <v/>
      </c>
      <c r="N2203" s="26" t="str">
        <f aca="false">IF($D2203="","",IFERROR(INDEX(ClientRates!$E$5:$E$500,MATCH($B2203&amp;"|"&amp;$L2203,ClientRates!$A$5:$A$500,0)),0))</f>
        <v/>
      </c>
      <c r="O2203" s="26" t="str">
        <f aca="false">IF($D2203="","",F2203*M2203+G2203*N2203)</f>
        <v/>
      </c>
      <c r="P2203" s="26" t="str">
        <f aca="false">IF(OR($D2203="",$J2203&lt;&gt;"Supplier"),"",IFERROR(INDEX(SupplierRates!$D$5:$D$500,MATCH($K2203&amp;"|"&amp;$L2203,SupplierRates!$A$5:$A$500,0)),0))</f>
        <v/>
      </c>
      <c r="Q2203" s="26" t="str">
        <f aca="false">IF(OR($D2203="",$J2203&lt;&gt;"Supplier"),"",IFERROR(INDEX(SupplierRates!$E$5:$E$500,MATCH($K2203&amp;"|"&amp;$L2203,SupplierRates!$A$5:$A$500,0)),0))</f>
        <v/>
      </c>
      <c r="R2203" s="26" t="n">
        <f aca="false">IF(OR($D2203="",$J2203&lt;&gt;"Supplier"),0,F2203*P2203+G2203*Q2203)</f>
        <v>0</v>
      </c>
      <c r="S2203" s="26" t="n">
        <f aca="false">IF(OR($D2203="",$J2203&lt;&gt;"Own"),0,IFERROR((F2203+G2203*Settings!$B$13)*INDEX(Workers!$V$5:$V$2004,MATCH($D2203,Workers!$A$5:$A$2004,0)),0))</f>
        <v>0</v>
      </c>
      <c r="T2203" s="26" t="str">
        <f aca="false">IF($D2203="","",O2203-R2203-S2203)</f>
        <v/>
      </c>
    </row>
    <row r="2204" customFormat="false" ht="15" hidden="false" customHeight="false" outlineLevel="0" collapsed="false">
      <c r="I2204" s="24" t="str">
        <f aca="false">IF($D2204="","",IFERROR(INDEX(Workers!$B$5:$B$2004,MATCH($D2204,Workers!$A$5:$A$2004,0)),"NOT FOUND"))</f>
        <v/>
      </c>
      <c r="J2204" s="24" t="str">
        <f aca="false">IF($D2204="","",IFERROR(INDEX(Workers!$C$5:$C$2004,MATCH($D2204,Workers!$A$5:$A$2004,0)),""))</f>
        <v/>
      </c>
      <c r="K2204" s="24" t="str">
        <f aca="false">IF($D2204="","",IFERROR(IF(INDEX(Workers!$D$5:$D$2004,MATCH($D2204,Workers!$A$5:$A$2004,0))=0,"",INDEX(Workers!$D$5:$D$2004,MATCH($D2204,Workers!$A$5:$A$2004,0))),""))</f>
        <v/>
      </c>
      <c r="L2204" s="24" t="str">
        <f aca="false">IF($D2204="","",IFERROR(INDEX(Workers!$E$5:$E$2004,MATCH($D2204,Workers!$A$5:$A$2004,0)),""))</f>
        <v/>
      </c>
      <c r="M2204" s="26" t="str">
        <f aca="false">IF($D2204="","",IFERROR(INDEX(ClientRates!$D$5:$D$500,MATCH($B2204&amp;"|"&amp;$L2204,ClientRates!$A$5:$A$500,0)),0))</f>
        <v/>
      </c>
      <c r="N2204" s="26" t="str">
        <f aca="false">IF($D2204="","",IFERROR(INDEX(ClientRates!$E$5:$E$500,MATCH($B2204&amp;"|"&amp;$L2204,ClientRates!$A$5:$A$500,0)),0))</f>
        <v/>
      </c>
      <c r="O2204" s="26" t="str">
        <f aca="false">IF($D2204="","",F2204*M2204+G2204*N2204)</f>
        <v/>
      </c>
      <c r="P2204" s="26" t="str">
        <f aca="false">IF(OR($D2204="",$J2204&lt;&gt;"Supplier"),"",IFERROR(INDEX(SupplierRates!$D$5:$D$500,MATCH($K2204&amp;"|"&amp;$L2204,SupplierRates!$A$5:$A$500,0)),0))</f>
        <v/>
      </c>
      <c r="Q2204" s="26" t="str">
        <f aca="false">IF(OR($D2204="",$J2204&lt;&gt;"Supplier"),"",IFERROR(INDEX(SupplierRates!$E$5:$E$500,MATCH($K2204&amp;"|"&amp;$L2204,SupplierRates!$A$5:$A$500,0)),0))</f>
        <v/>
      </c>
      <c r="R2204" s="26" t="n">
        <f aca="false">IF(OR($D2204="",$J2204&lt;&gt;"Supplier"),0,F2204*P2204+G2204*Q2204)</f>
        <v>0</v>
      </c>
      <c r="S2204" s="26" t="n">
        <f aca="false">IF(OR($D2204="",$J2204&lt;&gt;"Own"),0,IFERROR((F2204+G2204*Settings!$B$13)*INDEX(Workers!$V$5:$V$2004,MATCH($D2204,Workers!$A$5:$A$2004,0)),0))</f>
        <v>0</v>
      </c>
      <c r="T2204" s="26" t="str">
        <f aca="false">IF($D2204="","",O2204-R2204-S2204)</f>
        <v/>
      </c>
    </row>
    <row r="2205" customFormat="false" ht="15" hidden="false" customHeight="false" outlineLevel="0" collapsed="false">
      <c r="I2205" s="24" t="str">
        <f aca="false">IF($D2205="","",IFERROR(INDEX(Workers!$B$5:$B$2004,MATCH($D2205,Workers!$A$5:$A$2004,0)),"NOT FOUND"))</f>
        <v/>
      </c>
      <c r="J2205" s="24" t="str">
        <f aca="false">IF($D2205="","",IFERROR(INDEX(Workers!$C$5:$C$2004,MATCH($D2205,Workers!$A$5:$A$2004,0)),""))</f>
        <v/>
      </c>
      <c r="K2205" s="24" t="str">
        <f aca="false">IF($D2205="","",IFERROR(IF(INDEX(Workers!$D$5:$D$2004,MATCH($D2205,Workers!$A$5:$A$2004,0))=0,"",INDEX(Workers!$D$5:$D$2004,MATCH($D2205,Workers!$A$5:$A$2004,0))),""))</f>
        <v/>
      </c>
      <c r="L2205" s="24" t="str">
        <f aca="false">IF($D2205="","",IFERROR(INDEX(Workers!$E$5:$E$2004,MATCH($D2205,Workers!$A$5:$A$2004,0)),""))</f>
        <v/>
      </c>
      <c r="M2205" s="26" t="str">
        <f aca="false">IF($D2205="","",IFERROR(INDEX(ClientRates!$D$5:$D$500,MATCH($B2205&amp;"|"&amp;$L2205,ClientRates!$A$5:$A$500,0)),0))</f>
        <v/>
      </c>
      <c r="N2205" s="26" t="str">
        <f aca="false">IF($D2205="","",IFERROR(INDEX(ClientRates!$E$5:$E$500,MATCH($B2205&amp;"|"&amp;$L2205,ClientRates!$A$5:$A$500,0)),0))</f>
        <v/>
      </c>
      <c r="O2205" s="26" t="str">
        <f aca="false">IF($D2205="","",F2205*M2205+G2205*N2205)</f>
        <v/>
      </c>
      <c r="P2205" s="26" t="str">
        <f aca="false">IF(OR($D2205="",$J2205&lt;&gt;"Supplier"),"",IFERROR(INDEX(SupplierRates!$D$5:$D$500,MATCH($K2205&amp;"|"&amp;$L2205,SupplierRates!$A$5:$A$500,0)),0))</f>
        <v/>
      </c>
      <c r="Q2205" s="26" t="str">
        <f aca="false">IF(OR($D2205="",$J2205&lt;&gt;"Supplier"),"",IFERROR(INDEX(SupplierRates!$E$5:$E$500,MATCH($K2205&amp;"|"&amp;$L2205,SupplierRates!$A$5:$A$500,0)),0))</f>
        <v/>
      </c>
      <c r="R2205" s="26" t="n">
        <f aca="false">IF(OR($D2205="",$J2205&lt;&gt;"Supplier"),0,F2205*P2205+G2205*Q2205)</f>
        <v>0</v>
      </c>
      <c r="S2205" s="26" t="n">
        <f aca="false">IF(OR($D2205="",$J2205&lt;&gt;"Own"),0,IFERROR((F2205+G2205*Settings!$B$13)*INDEX(Workers!$V$5:$V$2004,MATCH($D2205,Workers!$A$5:$A$2004,0)),0))</f>
        <v>0</v>
      </c>
      <c r="T2205" s="26" t="str">
        <f aca="false">IF($D2205="","",O2205-R2205-S2205)</f>
        <v/>
      </c>
    </row>
    <row r="2206" customFormat="false" ht="15" hidden="false" customHeight="false" outlineLevel="0" collapsed="false">
      <c r="I2206" s="24" t="str">
        <f aca="false">IF($D2206="","",IFERROR(INDEX(Workers!$B$5:$B$2004,MATCH($D2206,Workers!$A$5:$A$2004,0)),"NOT FOUND"))</f>
        <v/>
      </c>
      <c r="J2206" s="24" t="str">
        <f aca="false">IF($D2206="","",IFERROR(INDEX(Workers!$C$5:$C$2004,MATCH($D2206,Workers!$A$5:$A$2004,0)),""))</f>
        <v/>
      </c>
      <c r="K2206" s="24" t="str">
        <f aca="false">IF($D2206="","",IFERROR(IF(INDEX(Workers!$D$5:$D$2004,MATCH($D2206,Workers!$A$5:$A$2004,0))=0,"",INDEX(Workers!$D$5:$D$2004,MATCH($D2206,Workers!$A$5:$A$2004,0))),""))</f>
        <v/>
      </c>
      <c r="L2206" s="24" t="str">
        <f aca="false">IF($D2206="","",IFERROR(INDEX(Workers!$E$5:$E$2004,MATCH($D2206,Workers!$A$5:$A$2004,0)),""))</f>
        <v/>
      </c>
      <c r="M2206" s="26" t="str">
        <f aca="false">IF($D2206="","",IFERROR(INDEX(ClientRates!$D$5:$D$500,MATCH($B2206&amp;"|"&amp;$L2206,ClientRates!$A$5:$A$500,0)),0))</f>
        <v/>
      </c>
      <c r="N2206" s="26" t="str">
        <f aca="false">IF($D2206="","",IFERROR(INDEX(ClientRates!$E$5:$E$500,MATCH($B2206&amp;"|"&amp;$L2206,ClientRates!$A$5:$A$500,0)),0))</f>
        <v/>
      </c>
      <c r="O2206" s="26" t="str">
        <f aca="false">IF($D2206="","",F2206*M2206+G2206*N2206)</f>
        <v/>
      </c>
      <c r="P2206" s="26" t="str">
        <f aca="false">IF(OR($D2206="",$J2206&lt;&gt;"Supplier"),"",IFERROR(INDEX(SupplierRates!$D$5:$D$500,MATCH($K2206&amp;"|"&amp;$L2206,SupplierRates!$A$5:$A$500,0)),0))</f>
        <v/>
      </c>
      <c r="Q2206" s="26" t="str">
        <f aca="false">IF(OR($D2206="",$J2206&lt;&gt;"Supplier"),"",IFERROR(INDEX(SupplierRates!$E$5:$E$500,MATCH($K2206&amp;"|"&amp;$L2206,SupplierRates!$A$5:$A$500,0)),0))</f>
        <v/>
      </c>
      <c r="R2206" s="26" t="n">
        <f aca="false">IF(OR($D2206="",$J2206&lt;&gt;"Supplier"),0,F2206*P2206+G2206*Q2206)</f>
        <v>0</v>
      </c>
      <c r="S2206" s="26" t="n">
        <f aca="false">IF(OR($D2206="",$J2206&lt;&gt;"Own"),0,IFERROR((F2206+G2206*Settings!$B$13)*INDEX(Workers!$V$5:$V$2004,MATCH($D2206,Workers!$A$5:$A$2004,0)),0))</f>
        <v>0</v>
      </c>
      <c r="T2206" s="26" t="str">
        <f aca="false">IF($D2206="","",O2206-R2206-S2206)</f>
        <v/>
      </c>
    </row>
    <row r="2207" customFormat="false" ht="15" hidden="false" customHeight="false" outlineLevel="0" collapsed="false">
      <c r="I2207" s="24" t="str">
        <f aca="false">IF($D2207="","",IFERROR(INDEX(Workers!$B$5:$B$2004,MATCH($D2207,Workers!$A$5:$A$2004,0)),"NOT FOUND"))</f>
        <v/>
      </c>
      <c r="J2207" s="24" t="str">
        <f aca="false">IF($D2207="","",IFERROR(INDEX(Workers!$C$5:$C$2004,MATCH($D2207,Workers!$A$5:$A$2004,0)),""))</f>
        <v/>
      </c>
      <c r="K2207" s="24" t="str">
        <f aca="false">IF($D2207="","",IFERROR(IF(INDEX(Workers!$D$5:$D$2004,MATCH($D2207,Workers!$A$5:$A$2004,0))=0,"",INDEX(Workers!$D$5:$D$2004,MATCH($D2207,Workers!$A$5:$A$2004,0))),""))</f>
        <v/>
      </c>
      <c r="L2207" s="24" t="str">
        <f aca="false">IF($D2207="","",IFERROR(INDEX(Workers!$E$5:$E$2004,MATCH($D2207,Workers!$A$5:$A$2004,0)),""))</f>
        <v/>
      </c>
      <c r="M2207" s="26" t="str">
        <f aca="false">IF($D2207="","",IFERROR(INDEX(ClientRates!$D$5:$D$500,MATCH($B2207&amp;"|"&amp;$L2207,ClientRates!$A$5:$A$500,0)),0))</f>
        <v/>
      </c>
      <c r="N2207" s="26" t="str">
        <f aca="false">IF($D2207="","",IFERROR(INDEX(ClientRates!$E$5:$E$500,MATCH($B2207&amp;"|"&amp;$L2207,ClientRates!$A$5:$A$500,0)),0))</f>
        <v/>
      </c>
      <c r="O2207" s="26" t="str">
        <f aca="false">IF($D2207="","",F2207*M2207+G2207*N2207)</f>
        <v/>
      </c>
      <c r="P2207" s="26" t="str">
        <f aca="false">IF(OR($D2207="",$J2207&lt;&gt;"Supplier"),"",IFERROR(INDEX(SupplierRates!$D$5:$D$500,MATCH($K2207&amp;"|"&amp;$L2207,SupplierRates!$A$5:$A$500,0)),0))</f>
        <v/>
      </c>
      <c r="Q2207" s="26" t="str">
        <f aca="false">IF(OR($D2207="",$J2207&lt;&gt;"Supplier"),"",IFERROR(INDEX(SupplierRates!$E$5:$E$500,MATCH($K2207&amp;"|"&amp;$L2207,SupplierRates!$A$5:$A$500,0)),0))</f>
        <v/>
      </c>
      <c r="R2207" s="26" t="n">
        <f aca="false">IF(OR($D2207="",$J2207&lt;&gt;"Supplier"),0,F2207*P2207+G2207*Q2207)</f>
        <v>0</v>
      </c>
      <c r="S2207" s="26" t="n">
        <f aca="false">IF(OR($D2207="",$J2207&lt;&gt;"Own"),0,IFERROR((F2207+G2207*Settings!$B$13)*INDEX(Workers!$V$5:$V$2004,MATCH($D2207,Workers!$A$5:$A$2004,0)),0))</f>
        <v>0</v>
      </c>
      <c r="T2207" s="26" t="str">
        <f aca="false">IF($D2207="","",O2207-R2207-S2207)</f>
        <v/>
      </c>
    </row>
    <row r="2208" customFormat="false" ht="15" hidden="false" customHeight="false" outlineLevel="0" collapsed="false">
      <c r="I2208" s="24" t="str">
        <f aca="false">IF($D2208="","",IFERROR(INDEX(Workers!$B$5:$B$2004,MATCH($D2208,Workers!$A$5:$A$2004,0)),"NOT FOUND"))</f>
        <v/>
      </c>
      <c r="J2208" s="24" t="str">
        <f aca="false">IF($D2208="","",IFERROR(INDEX(Workers!$C$5:$C$2004,MATCH($D2208,Workers!$A$5:$A$2004,0)),""))</f>
        <v/>
      </c>
      <c r="K2208" s="24" t="str">
        <f aca="false">IF($D2208="","",IFERROR(IF(INDEX(Workers!$D$5:$D$2004,MATCH($D2208,Workers!$A$5:$A$2004,0))=0,"",INDEX(Workers!$D$5:$D$2004,MATCH($D2208,Workers!$A$5:$A$2004,0))),""))</f>
        <v/>
      </c>
      <c r="L2208" s="24" t="str">
        <f aca="false">IF($D2208="","",IFERROR(INDEX(Workers!$E$5:$E$2004,MATCH($D2208,Workers!$A$5:$A$2004,0)),""))</f>
        <v/>
      </c>
      <c r="M2208" s="26" t="str">
        <f aca="false">IF($D2208="","",IFERROR(INDEX(ClientRates!$D$5:$D$500,MATCH($B2208&amp;"|"&amp;$L2208,ClientRates!$A$5:$A$500,0)),0))</f>
        <v/>
      </c>
      <c r="N2208" s="26" t="str">
        <f aca="false">IF($D2208="","",IFERROR(INDEX(ClientRates!$E$5:$E$500,MATCH($B2208&amp;"|"&amp;$L2208,ClientRates!$A$5:$A$500,0)),0))</f>
        <v/>
      </c>
      <c r="O2208" s="26" t="str">
        <f aca="false">IF($D2208="","",F2208*M2208+G2208*N2208)</f>
        <v/>
      </c>
      <c r="P2208" s="26" t="str">
        <f aca="false">IF(OR($D2208="",$J2208&lt;&gt;"Supplier"),"",IFERROR(INDEX(SupplierRates!$D$5:$D$500,MATCH($K2208&amp;"|"&amp;$L2208,SupplierRates!$A$5:$A$500,0)),0))</f>
        <v/>
      </c>
      <c r="Q2208" s="26" t="str">
        <f aca="false">IF(OR($D2208="",$J2208&lt;&gt;"Supplier"),"",IFERROR(INDEX(SupplierRates!$E$5:$E$500,MATCH($K2208&amp;"|"&amp;$L2208,SupplierRates!$A$5:$A$500,0)),0))</f>
        <v/>
      </c>
      <c r="R2208" s="26" t="n">
        <f aca="false">IF(OR($D2208="",$J2208&lt;&gt;"Supplier"),0,F2208*P2208+G2208*Q2208)</f>
        <v>0</v>
      </c>
      <c r="S2208" s="26" t="n">
        <f aca="false">IF(OR($D2208="",$J2208&lt;&gt;"Own"),0,IFERROR((F2208+G2208*Settings!$B$13)*INDEX(Workers!$V$5:$V$2004,MATCH($D2208,Workers!$A$5:$A$2004,0)),0))</f>
        <v>0</v>
      </c>
      <c r="T2208" s="26" t="str">
        <f aca="false">IF($D2208="","",O2208-R2208-S2208)</f>
        <v/>
      </c>
    </row>
    <row r="2209" customFormat="false" ht="15" hidden="false" customHeight="false" outlineLevel="0" collapsed="false">
      <c r="I2209" s="24" t="str">
        <f aca="false">IF($D2209="","",IFERROR(INDEX(Workers!$B$5:$B$2004,MATCH($D2209,Workers!$A$5:$A$2004,0)),"NOT FOUND"))</f>
        <v/>
      </c>
      <c r="J2209" s="24" t="str">
        <f aca="false">IF($D2209="","",IFERROR(INDEX(Workers!$C$5:$C$2004,MATCH($D2209,Workers!$A$5:$A$2004,0)),""))</f>
        <v/>
      </c>
      <c r="K2209" s="24" t="str">
        <f aca="false">IF($D2209="","",IFERROR(IF(INDEX(Workers!$D$5:$D$2004,MATCH($D2209,Workers!$A$5:$A$2004,0))=0,"",INDEX(Workers!$D$5:$D$2004,MATCH($D2209,Workers!$A$5:$A$2004,0))),""))</f>
        <v/>
      </c>
      <c r="L2209" s="24" t="str">
        <f aca="false">IF($D2209="","",IFERROR(INDEX(Workers!$E$5:$E$2004,MATCH($D2209,Workers!$A$5:$A$2004,0)),""))</f>
        <v/>
      </c>
      <c r="M2209" s="26" t="str">
        <f aca="false">IF($D2209="","",IFERROR(INDEX(ClientRates!$D$5:$D$500,MATCH($B2209&amp;"|"&amp;$L2209,ClientRates!$A$5:$A$500,0)),0))</f>
        <v/>
      </c>
      <c r="N2209" s="26" t="str">
        <f aca="false">IF($D2209="","",IFERROR(INDEX(ClientRates!$E$5:$E$500,MATCH($B2209&amp;"|"&amp;$L2209,ClientRates!$A$5:$A$500,0)),0))</f>
        <v/>
      </c>
      <c r="O2209" s="26" t="str">
        <f aca="false">IF($D2209="","",F2209*M2209+G2209*N2209)</f>
        <v/>
      </c>
      <c r="P2209" s="26" t="str">
        <f aca="false">IF(OR($D2209="",$J2209&lt;&gt;"Supplier"),"",IFERROR(INDEX(SupplierRates!$D$5:$D$500,MATCH($K2209&amp;"|"&amp;$L2209,SupplierRates!$A$5:$A$500,0)),0))</f>
        <v/>
      </c>
      <c r="Q2209" s="26" t="str">
        <f aca="false">IF(OR($D2209="",$J2209&lt;&gt;"Supplier"),"",IFERROR(INDEX(SupplierRates!$E$5:$E$500,MATCH($K2209&amp;"|"&amp;$L2209,SupplierRates!$A$5:$A$500,0)),0))</f>
        <v/>
      </c>
      <c r="R2209" s="26" t="n">
        <f aca="false">IF(OR($D2209="",$J2209&lt;&gt;"Supplier"),0,F2209*P2209+G2209*Q2209)</f>
        <v>0</v>
      </c>
      <c r="S2209" s="26" t="n">
        <f aca="false">IF(OR($D2209="",$J2209&lt;&gt;"Own"),0,IFERROR((F2209+G2209*Settings!$B$13)*INDEX(Workers!$V$5:$V$2004,MATCH($D2209,Workers!$A$5:$A$2004,0)),0))</f>
        <v>0</v>
      </c>
      <c r="T2209" s="26" t="str">
        <f aca="false">IF($D2209="","",O2209-R2209-S2209)</f>
        <v/>
      </c>
    </row>
    <row r="2210" customFormat="false" ht="15" hidden="false" customHeight="false" outlineLevel="0" collapsed="false">
      <c r="I2210" s="24" t="str">
        <f aca="false">IF($D2210="","",IFERROR(INDEX(Workers!$B$5:$B$2004,MATCH($D2210,Workers!$A$5:$A$2004,0)),"NOT FOUND"))</f>
        <v/>
      </c>
      <c r="J2210" s="24" t="str">
        <f aca="false">IF($D2210="","",IFERROR(INDEX(Workers!$C$5:$C$2004,MATCH($D2210,Workers!$A$5:$A$2004,0)),""))</f>
        <v/>
      </c>
      <c r="K2210" s="24" t="str">
        <f aca="false">IF($D2210="","",IFERROR(IF(INDEX(Workers!$D$5:$D$2004,MATCH($D2210,Workers!$A$5:$A$2004,0))=0,"",INDEX(Workers!$D$5:$D$2004,MATCH($D2210,Workers!$A$5:$A$2004,0))),""))</f>
        <v/>
      </c>
      <c r="L2210" s="24" t="str">
        <f aca="false">IF($D2210="","",IFERROR(INDEX(Workers!$E$5:$E$2004,MATCH($D2210,Workers!$A$5:$A$2004,0)),""))</f>
        <v/>
      </c>
      <c r="M2210" s="26" t="str">
        <f aca="false">IF($D2210="","",IFERROR(INDEX(ClientRates!$D$5:$D$500,MATCH($B2210&amp;"|"&amp;$L2210,ClientRates!$A$5:$A$500,0)),0))</f>
        <v/>
      </c>
      <c r="N2210" s="26" t="str">
        <f aca="false">IF($D2210="","",IFERROR(INDEX(ClientRates!$E$5:$E$500,MATCH($B2210&amp;"|"&amp;$L2210,ClientRates!$A$5:$A$500,0)),0))</f>
        <v/>
      </c>
      <c r="O2210" s="26" t="str">
        <f aca="false">IF($D2210="","",F2210*M2210+G2210*N2210)</f>
        <v/>
      </c>
      <c r="P2210" s="26" t="str">
        <f aca="false">IF(OR($D2210="",$J2210&lt;&gt;"Supplier"),"",IFERROR(INDEX(SupplierRates!$D$5:$D$500,MATCH($K2210&amp;"|"&amp;$L2210,SupplierRates!$A$5:$A$500,0)),0))</f>
        <v/>
      </c>
      <c r="Q2210" s="26" t="str">
        <f aca="false">IF(OR($D2210="",$J2210&lt;&gt;"Supplier"),"",IFERROR(INDEX(SupplierRates!$E$5:$E$500,MATCH($K2210&amp;"|"&amp;$L2210,SupplierRates!$A$5:$A$500,0)),0))</f>
        <v/>
      </c>
      <c r="R2210" s="26" t="n">
        <f aca="false">IF(OR($D2210="",$J2210&lt;&gt;"Supplier"),0,F2210*P2210+G2210*Q2210)</f>
        <v>0</v>
      </c>
      <c r="S2210" s="26" t="n">
        <f aca="false">IF(OR($D2210="",$J2210&lt;&gt;"Own"),0,IFERROR((F2210+G2210*Settings!$B$13)*INDEX(Workers!$V$5:$V$2004,MATCH($D2210,Workers!$A$5:$A$2004,0)),0))</f>
        <v>0</v>
      </c>
      <c r="T2210" s="26" t="str">
        <f aca="false">IF($D2210="","",O2210-R2210-S2210)</f>
        <v/>
      </c>
    </row>
    <row r="2211" customFormat="false" ht="15" hidden="false" customHeight="false" outlineLevel="0" collapsed="false">
      <c r="I2211" s="24" t="str">
        <f aca="false">IF($D2211="","",IFERROR(INDEX(Workers!$B$5:$B$2004,MATCH($D2211,Workers!$A$5:$A$2004,0)),"NOT FOUND"))</f>
        <v/>
      </c>
      <c r="J2211" s="24" t="str">
        <f aca="false">IF($D2211="","",IFERROR(INDEX(Workers!$C$5:$C$2004,MATCH($D2211,Workers!$A$5:$A$2004,0)),""))</f>
        <v/>
      </c>
      <c r="K2211" s="24" t="str">
        <f aca="false">IF($D2211="","",IFERROR(IF(INDEX(Workers!$D$5:$D$2004,MATCH($D2211,Workers!$A$5:$A$2004,0))=0,"",INDEX(Workers!$D$5:$D$2004,MATCH($D2211,Workers!$A$5:$A$2004,0))),""))</f>
        <v/>
      </c>
      <c r="L2211" s="24" t="str">
        <f aca="false">IF($D2211="","",IFERROR(INDEX(Workers!$E$5:$E$2004,MATCH($D2211,Workers!$A$5:$A$2004,0)),""))</f>
        <v/>
      </c>
      <c r="M2211" s="26" t="str">
        <f aca="false">IF($D2211="","",IFERROR(INDEX(ClientRates!$D$5:$D$500,MATCH($B2211&amp;"|"&amp;$L2211,ClientRates!$A$5:$A$500,0)),0))</f>
        <v/>
      </c>
      <c r="N2211" s="26" t="str">
        <f aca="false">IF($D2211="","",IFERROR(INDEX(ClientRates!$E$5:$E$500,MATCH($B2211&amp;"|"&amp;$L2211,ClientRates!$A$5:$A$500,0)),0))</f>
        <v/>
      </c>
      <c r="O2211" s="26" t="str">
        <f aca="false">IF($D2211="","",F2211*M2211+G2211*N2211)</f>
        <v/>
      </c>
      <c r="P2211" s="26" t="str">
        <f aca="false">IF(OR($D2211="",$J2211&lt;&gt;"Supplier"),"",IFERROR(INDEX(SupplierRates!$D$5:$D$500,MATCH($K2211&amp;"|"&amp;$L2211,SupplierRates!$A$5:$A$500,0)),0))</f>
        <v/>
      </c>
      <c r="Q2211" s="26" t="str">
        <f aca="false">IF(OR($D2211="",$J2211&lt;&gt;"Supplier"),"",IFERROR(INDEX(SupplierRates!$E$5:$E$500,MATCH($K2211&amp;"|"&amp;$L2211,SupplierRates!$A$5:$A$500,0)),0))</f>
        <v/>
      </c>
      <c r="R2211" s="26" t="n">
        <f aca="false">IF(OR($D2211="",$J2211&lt;&gt;"Supplier"),0,F2211*P2211+G2211*Q2211)</f>
        <v>0</v>
      </c>
      <c r="S2211" s="26" t="n">
        <f aca="false">IF(OR($D2211="",$J2211&lt;&gt;"Own"),0,IFERROR((F2211+G2211*Settings!$B$13)*INDEX(Workers!$V$5:$V$2004,MATCH($D2211,Workers!$A$5:$A$2004,0)),0))</f>
        <v>0</v>
      </c>
      <c r="T2211" s="26" t="str">
        <f aca="false">IF($D2211="","",O2211-R2211-S2211)</f>
        <v/>
      </c>
    </row>
    <row r="2212" customFormat="false" ht="15" hidden="false" customHeight="false" outlineLevel="0" collapsed="false">
      <c r="I2212" s="24" t="str">
        <f aca="false">IF($D2212="","",IFERROR(INDEX(Workers!$B$5:$B$2004,MATCH($D2212,Workers!$A$5:$A$2004,0)),"NOT FOUND"))</f>
        <v/>
      </c>
      <c r="J2212" s="24" t="str">
        <f aca="false">IF($D2212="","",IFERROR(INDEX(Workers!$C$5:$C$2004,MATCH($D2212,Workers!$A$5:$A$2004,0)),""))</f>
        <v/>
      </c>
      <c r="K2212" s="24" t="str">
        <f aca="false">IF($D2212="","",IFERROR(IF(INDEX(Workers!$D$5:$D$2004,MATCH($D2212,Workers!$A$5:$A$2004,0))=0,"",INDEX(Workers!$D$5:$D$2004,MATCH($D2212,Workers!$A$5:$A$2004,0))),""))</f>
        <v/>
      </c>
      <c r="L2212" s="24" t="str">
        <f aca="false">IF($D2212="","",IFERROR(INDEX(Workers!$E$5:$E$2004,MATCH($D2212,Workers!$A$5:$A$2004,0)),""))</f>
        <v/>
      </c>
      <c r="M2212" s="26" t="str">
        <f aca="false">IF($D2212="","",IFERROR(INDEX(ClientRates!$D$5:$D$500,MATCH($B2212&amp;"|"&amp;$L2212,ClientRates!$A$5:$A$500,0)),0))</f>
        <v/>
      </c>
      <c r="N2212" s="26" t="str">
        <f aca="false">IF($D2212="","",IFERROR(INDEX(ClientRates!$E$5:$E$500,MATCH($B2212&amp;"|"&amp;$L2212,ClientRates!$A$5:$A$500,0)),0))</f>
        <v/>
      </c>
      <c r="O2212" s="26" t="str">
        <f aca="false">IF($D2212="","",F2212*M2212+G2212*N2212)</f>
        <v/>
      </c>
      <c r="P2212" s="26" t="str">
        <f aca="false">IF(OR($D2212="",$J2212&lt;&gt;"Supplier"),"",IFERROR(INDEX(SupplierRates!$D$5:$D$500,MATCH($K2212&amp;"|"&amp;$L2212,SupplierRates!$A$5:$A$500,0)),0))</f>
        <v/>
      </c>
      <c r="Q2212" s="26" t="str">
        <f aca="false">IF(OR($D2212="",$J2212&lt;&gt;"Supplier"),"",IFERROR(INDEX(SupplierRates!$E$5:$E$500,MATCH($K2212&amp;"|"&amp;$L2212,SupplierRates!$A$5:$A$500,0)),0))</f>
        <v/>
      </c>
      <c r="R2212" s="26" t="n">
        <f aca="false">IF(OR($D2212="",$J2212&lt;&gt;"Supplier"),0,F2212*P2212+G2212*Q2212)</f>
        <v>0</v>
      </c>
      <c r="S2212" s="26" t="n">
        <f aca="false">IF(OR($D2212="",$J2212&lt;&gt;"Own"),0,IFERROR((F2212+G2212*Settings!$B$13)*INDEX(Workers!$V$5:$V$2004,MATCH($D2212,Workers!$A$5:$A$2004,0)),0))</f>
        <v>0</v>
      </c>
      <c r="T2212" s="26" t="str">
        <f aca="false">IF($D2212="","",O2212-R2212-S2212)</f>
        <v/>
      </c>
    </row>
    <row r="2213" customFormat="false" ht="15" hidden="false" customHeight="false" outlineLevel="0" collapsed="false">
      <c r="I2213" s="24" t="str">
        <f aca="false">IF($D2213="","",IFERROR(INDEX(Workers!$B$5:$B$2004,MATCH($D2213,Workers!$A$5:$A$2004,0)),"NOT FOUND"))</f>
        <v/>
      </c>
      <c r="J2213" s="24" t="str">
        <f aca="false">IF($D2213="","",IFERROR(INDEX(Workers!$C$5:$C$2004,MATCH($D2213,Workers!$A$5:$A$2004,0)),""))</f>
        <v/>
      </c>
      <c r="K2213" s="24" t="str">
        <f aca="false">IF($D2213="","",IFERROR(IF(INDEX(Workers!$D$5:$D$2004,MATCH($D2213,Workers!$A$5:$A$2004,0))=0,"",INDEX(Workers!$D$5:$D$2004,MATCH($D2213,Workers!$A$5:$A$2004,0))),""))</f>
        <v/>
      </c>
      <c r="L2213" s="24" t="str">
        <f aca="false">IF($D2213="","",IFERROR(INDEX(Workers!$E$5:$E$2004,MATCH($D2213,Workers!$A$5:$A$2004,0)),""))</f>
        <v/>
      </c>
      <c r="M2213" s="26" t="str">
        <f aca="false">IF($D2213="","",IFERROR(INDEX(ClientRates!$D$5:$D$500,MATCH($B2213&amp;"|"&amp;$L2213,ClientRates!$A$5:$A$500,0)),0))</f>
        <v/>
      </c>
      <c r="N2213" s="26" t="str">
        <f aca="false">IF($D2213="","",IFERROR(INDEX(ClientRates!$E$5:$E$500,MATCH($B2213&amp;"|"&amp;$L2213,ClientRates!$A$5:$A$500,0)),0))</f>
        <v/>
      </c>
      <c r="O2213" s="26" t="str">
        <f aca="false">IF($D2213="","",F2213*M2213+G2213*N2213)</f>
        <v/>
      </c>
      <c r="P2213" s="26" t="str">
        <f aca="false">IF(OR($D2213="",$J2213&lt;&gt;"Supplier"),"",IFERROR(INDEX(SupplierRates!$D$5:$D$500,MATCH($K2213&amp;"|"&amp;$L2213,SupplierRates!$A$5:$A$500,0)),0))</f>
        <v/>
      </c>
      <c r="Q2213" s="26" t="str">
        <f aca="false">IF(OR($D2213="",$J2213&lt;&gt;"Supplier"),"",IFERROR(INDEX(SupplierRates!$E$5:$E$500,MATCH($K2213&amp;"|"&amp;$L2213,SupplierRates!$A$5:$A$500,0)),0))</f>
        <v/>
      </c>
      <c r="R2213" s="26" t="n">
        <f aca="false">IF(OR($D2213="",$J2213&lt;&gt;"Supplier"),0,F2213*P2213+G2213*Q2213)</f>
        <v>0</v>
      </c>
      <c r="S2213" s="26" t="n">
        <f aca="false">IF(OR($D2213="",$J2213&lt;&gt;"Own"),0,IFERROR((F2213+G2213*Settings!$B$13)*INDEX(Workers!$V$5:$V$2004,MATCH($D2213,Workers!$A$5:$A$2004,0)),0))</f>
        <v>0</v>
      </c>
      <c r="T2213" s="26" t="str">
        <f aca="false">IF($D2213="","",O2213-R2213-S2213)</f>
        <v/>
      </c>
    </row>
    <row r="2214" customFormat="false" ht="15" hidden="false" customHeight="false" outlineLevel="0" collapsed="false">
      <c r="I2214" s="24" t="str">
        <f aca="false">IF($D2214="","",IFERROR(INDEX(Workers!$B$5:$B$2004,MATCH($D2214,Workers!$A$5:$A$2004,0)),"NOT FOUND"))</f>
        <v/>
      </c>
      <c r="J2214" s="24" t="str">
        <f aca="false">IF($D2214="","",IFERROR(INDEX(Workers!$C$5:$C$2004,MATCH($D2214,Workers!$A$5:$A$2004,0)),""))</f>
        <v/>
      </c>
      <c r="K2214" s="24" t="str">
        <f aca="false">IF($D2214="","",IFERROR(IF(INDEX(Workers!$D$5:$D$2004,MATCH($D2214,Workers!$A$5:$A$2004,0))=0,"",INDEX(Workers!$D$5:$D$2004,MATCH($D2214,Workers!$A$5:$A$2004,0))),""))</f>
        <v/>
      </c>
      <c r="L2214" s="24" t="str">
        <f aca="false">IF($D2214="","",IFERROR(INDEX(Workers!$E$5:$E$2004,MATCH($D2214,Workers!$A$5:$A$2004,0)),""))</f>
        <v/>
      </c>
      <c r="M2214" s="26" t="str">
        <f aca="false">IF($D2214="","",IFERROR(INDEX(ClientRates!$D$5:$D$500,MATCH($B2214&amp;"|"&amp;$L2214,ClientRates!$A$5:$A$500,0)),0))</f>
        <v/>
      </c>
      <c r="N2214" s="26" t="str">
        <f aca="false">IF($D2214="","",IFERROR(INDEX(ClientRates!$E$5:$E$500,MATCH($B2214&amp;"|"&amp;$L2214,ClientRates!$A$5:$A$500,0)),0))</f>
        <v/>
      </c>
      <c r="O2214" s="26" t="str">
        <f aca="false">IF($D2214="","",F2214*M2214+G2214*N2214)</f>
        <v/>
      </c>
      <c r="P2214" s="26" t="str">
        <f aca="false">IF(OR($D2214="",$J2214&lt;&gt;"Supplier"),"",IFERROR(INDEX(SupplierRates!$D$5:$D$500,MATCH($K2214&amp;"|"&amp;$L2214,SupplierRates!$A$5:$A$500,0)),0))</f>
        <v/>
      </c>
      <c r="Q2214" s="26" t="str">
        <f aca="false">IF(OR($D2214="",$J2214&lt;&gt;"Supplier"),"",IFERROR(INDEX(SupplierRates!$E$5:$E$500,MATCH($K2214&amp;"|"&amp;$L2214,SupplierRates!$A$5:$A$500,0)),0))</f>
        <v/>
      </c>
      <c r="R2214" s="26" t="n">
        <f aca="false">IF(OR($D2214="",$J2214&lt;&gt;"Supplier"),0,F2214*P2214+G2214*Q2214)</f>
        <v>0</v>
      </c>
      <c r="S2214" s="26" t="n">
        <f aca="false">IF(OR($D2214="",$J2214&lt;&gt;"Own"),0,IFERROR((F2214+G2214*Settings!$B$13)*INDEX(Workers!$V$5:$V$2004,MATCH($D2214,Workers!$A$5:$A$2004,0)),0))</f>
        <v>0</v>
      </c>
      <c r="T2214" s="26" t="str">
        <f aca="false">IF($D2214="","",O2214-R2214-S2214)</f>
        <v/>
      </c>
    </row>
    <row r="2215" customFormat="false" ht="15" hidden="false" customHeight="false" outlineLevel="0" collapsed="false">
      <c r="I2215" s="24" t="str">
        <f aca="false">IF($D2215="","",IFERROR(INDEX(Workers!$B$5:$B$2004,MATCH($D2215,Workers!$A$5:$A$2004,0)),"NOT FOUND"))</f>
        <v/>
      </c>
      <c r="J2215" s="24" t="str">
        <f aca="false">IF($D2215="","",IFERROR(INDEX(Workers!$C$5:$C$2004,MATCH($D2215,Workers!$A$5:$A$2004,0)),""))</f>
        <v/>
      </c>
      <c r="K2215" s="24" t="str">
        <f aca="false">IF($D2215="","",IFERROR(IF(INDEX(Workers!$D$5:$D$2004,MATCH($D2215,Workers!$A$5:$A$2004,0))=0,"",INDEX(Workers!$D$5:$D$2004,MATCH($D2215,Workers!$A$5:$A$2004,0))),""))</f>
        <v/>
      </c>
      <c r="L2215" s="24" t="str">
        <f aca="false">IF($D2215="","",IFERROR(INDEX(Workers!$E$5:$E$2004,MATCH($D2215,Workers!$A$5:$A$2004,0)),""))</f>
        <v/>
      </c>
      <c r="M2215" s="26" t="str">
        <f aca="false">IF($D2215="","",IFERROR(INDEX(ClientRates!$D$5:$D$500,MATCH($B2215&amp;"|"&amp;$L2215,ClientRates!$A$5:$A$500,0)),0))</f>
        <v/>
      </c>
      <c r="N2215" s="26" t="str">
        <f aca="false">IF($D2215="","",IFERROR(INDEX(ClientRates!$E$5:$E$500,MATCH($B2215&amp;"|"&amp;$L2215,ClientRates!$A$5:$A$500,0)),0))</f>
        <v/>
      </c>
      <c r="O2215" s="26" t="str">
        <f aca="false">IF($D2215="","",F2215*M2215+G2215*N2215)</f>
        <v/>
      </c>
      <c r="P2215" s="26" t="str">
        <f aca="false">IF(OR($D2215="",$J2215&lt;&gt;"Supplier"),"",IFERROR(INDEX(SupplierRates!$D$5:$D$500,MATCH($K2215&amp;"|"&amp;$L2215,SupplierRates!$A$5:$A$500,0)),0))</f>
        <v/>
      </c>
      <c r="Q2215" s="26" t="str">
        <f aca="false">IF(OR($D2215="",$J2215&lt;&gt;"Supplier"),"",IFERROR(INDEX(SupplierRates!$E$5:$E$500,MATCH($K2215&amp;"|"&amp;$L2215,SupplierRates!$A$5:$A$500,0)),0))</f>
        <v/>
      </c>
      <c r="R2215" s="26" t="n">
        <f aca="false">IF(OR($D2215="",$J2215&lt;&gt;"Supplier"),0,F2215*P2215+G2215*Q2215)</f>
        <v>0</v>
      </c>
      <c r="S2215" s="26" t="n">
        <f aca="false">IF(OR($D2215="",$J2215&lt;&gt;"Own"),0,IFERROR((F2215+G2215*Settings!$B$13)*INDEX(Workers!$V$5:$V$2004,MATCH($D2215,Workers!$A$5:$A$2004,0)),0))</f>
        <v>0</v>
      </c>
      <c r="T2215" s="26" t="str">
        <f aca="false">IF($D2215="","",O2215-R2215-S2215)</f>
        <v/>
      </c>
    </row>
    <row r="2216" customFormat="false" ht="15" hidden="false" customHeight="false" outlineLevel="0" collapsed="false">
      <c r="I2216" s="24" t="str">
        <f aca="false">IF($D2216="","",IFERROR(INDEX(Workers!$B$5:$B$2004,MATCH($D2216,Workers!$A$5:$A$2004,0)),"NOT FOUND"))</f>
        <v/>
      </c>
      <c r="J2216" s="24" t="str">
        <f aca="false">IF($D2216="","",IFERROR(INDEX(Workers!$C$5:$C$2004,MATCH($D2216,Workers!$A$5:$A$2004,0)),""))</f>
        <v/>
      </c>
      <c r="K2216" s="24" t="str">
        <f aca="false">IF($D2216="","",IFERROR(IF(INDEX(Workers!$D$5:$D$2004,MATCH($D2216,Workers!$A$5:$A$2004,0))=0,"",INDEX(Workers!$D$5:$D$2004,MATCH($D2216,Workers!$A$5:$A$2004,0))),""))</f>
        <v/>
      </c>
      <c r="L2216" s="24" t="str">
        <f aca="false">IF($D2216="","",IFERROR(INDEX(Workers!$E$5:$E$2004,MATCH($D2216,Workers!$A$5:$A$2004,0)),""))</f>
        <v/>
      </c>
      <c r="M2216" s="26" t="str">
        <f aca="false">IF($D2216="","",IFERROR(INDEX(ClientRates!$D$5:$D$500,MATCH($B2216&amp;"|"&amp;$L2216,ClientRates!$A$5:$A$500,0)),0))</f>
        <v/>
      </c>
      <c r="N2216" s="26" t="str">
        <f aca="false">IF($D2216="","",IFERROR(INDEX(ClientRates!$E$5:$E$500,MATCH($B2216&amp;"|"&amp;$L2216,ClientRates!$A$5:$A$500,0)),0))</f>
        <v/>
      </c>
      <c r="O2216" s="26" t="str">
        <f aca="false">IF($D2216="","",F2216*M2216+G2216*N2216)</f>
        <v/>
      </c>
      <c r="P2216" s="26" t="str">
        <f aca="false">IF(OR($D2216="",$J2216&lt;&gt;"Supplier"),"",IFERROR(INDEX(SupplierRates!$D$5:$D$500,MATCH($K2216&amp;"|"&amp;$L2216,SupplierRates!$A$5:$A$500,0)),0))</f>
        <v/>
      </c>
      <c r="Q2216" s="26" t="str">
        <f aca="false">IF(OR($D2216="",$J2216&lt;&gt;"Supplier"),"",IFERROR(INDEX(SupplierRates!$E$5:$E$500,MATCH($K2216&amp;"|"&amp;$L2216,SupplierRates!$A$5:$A$500,0)),0))</f>
        <v/>
      </c>
      <c r="R2216" s="26" t="n">
        <f aca="false">IF(OR($D2216="",$J2216&lt;&gt;"Supplier"),0,F2216*P2216+G2216*Q2216)</f>
        <v>0</v>
      </c>
      <c r="S2216" s="26" t="n">
        <f aca="false">IF(OR($D2216="",$J2216&lt;&gt;"Own"),0,IFERROR((F2216+G2216*Settings!$B$13)*INDEX(Workers!$V$5:$V$2004,MATCH($D2216,Workers!$A$5:$A$2004,0)),0))</f>
        <v>0</v>
      </c>
      <c r="T2216" s="26" t="str">
        <f aca="false">IF($D2216="","",O2216-R2216-S2216)</f>
        <v/>
      </c>
    </row>
    <row r="2217" customFormat="false" ht="15" hidden="false" customHeight="false" outlineLevel="0" collapsed="false">
      <c r="I2217" s="24" t="str">
        <f aca="false">IF($D2217="","",IFERROR(INDEX(Workers!$B$5:$B$2004,MATCH($D2217,Workers!$A$5:$A$2004,0)),"NOT FOUND"))</f>
        <v/>
      </c>
      <c r="J2217" s="24" t="str">
        <f aca="false">IF($D2217="","",IFERROR(INDEX(Workers!$C$5:$C$2004,MATCH($D2217,Workers!$A$5:$A$2004,0)),""))</f>
        <v/>
      </c>
      <c r="K2217" s="24" t="str">
        <f aca="false">IF($D2217="","",IFERROR(IF(INDEX(Workers!$D$5:$D$2004,MATCH($D2217,Workers!$A$5:$A$2004,0))=0,"",INDEX(Workers!$D$5:$D$2004,MATCH($D2217,Workers!$A$5:$A$2004,0))),""))</f>
        <v/>
      </c>
      <c r="L2217" s="24" t="str">
        <f aca="false">IF($D2217="","",IFERROR(INDEX(Workers!$E$5:$E$2004,MATCH($D2217,Workers!$A$5:$A$2004,0)),""))</f>
        <v/>
      </c>
      <c r="M2217" s="26" t="str">
        <f aca="false">IF($D2217="","",IFERROR(INDEX(ClientRates!$D$5:$D$500,MATCH($B2217&amp;"|"&amp;$L2217,ClientRates!$A$5:$A$500,0)),0))</f>
        <v/>
      </c>
      <c r="N2217" s="26" t="str">
        <f aca="false">IF($D2217="","",IFERROR(INDEX(ClientRates!$E$5:$E$500,MATCH($B2217&amp;"|"&amp;$L2217,ClientRates!$A$5:$A$500,0)),0))</f>
        <v/>
      </c>
      <c r="O2217" s="26" t="str">
        <f aca="false">IF($D2217="","",F2217*M2217+G2217*N2217)</f>
        <v/>
      </c>
      <c r="P2217" s="26" t="str">
        <f aca="false">IF(OR($D2217="",$J2217&lt;&gt;"Supplier"),"",IFERROR(INDEX(SupplierRates!$D$5:$D$500,MATCH($K2217&amp;"|"&amp;$L2217,SupplierRates!$A$5:$A$500,0)),0))</f>
        <v/>
      </c>
      <c r="Q2217" s="26" t="str">
        <f aca="false">IF(OR($D2217="",$J2217&lt;&gt;"Supplier"),"",IFERROR(INDEX(SupplierRates!$E$5:$E$500,MATCH($K2217&amp;"|"&amp;$L2217,SupplierRates!$A$5:$A$500,0)),0))</f>
        <v/>
      </c>
      <c r="R2217" s="26" t="n">
        <f aca="false">IF(OR($D2217="",$J2217&lt;&gt;"Supplier"),0,F2217*P2217+G2217*Q2217)</f>
        <v>0</v>
      </c>
      <c r="S2217" s="26" t="n">
        <f aca="false">IF(OR($D2217="",$J2217&lt;&gt;"Own"),0,IFERROR((F2217+G2217*Settings!$B$13)*INDEX(Workers!$V$5:$V$2004,MATCH($D2217,Workers!$A$5:$A$2004,0)),0))</f>
        <v>0</v>
      </c>
      <c r="T2217" s="26" t="str">
        <f aca="false">IF($D2217="","",O2217-R2217-S2217)</f>
        <v/>
      </c>
    </row>
    <row r="2218" customFormat="false" ht="15" hidden="false" customHeight="false" outlineLevel="0" collapsed="false">
      <c r="I2218" s="24" t="str">
        <f aca="false">IF($D2218="","",IFERROR(INDEX(Workers!$B$5:$B$2004,MATCH($D2218,Workers!$A$5:$A$2004,0)),"NOT FOUND"))</f>
        <v/>
      </c>
      <c r="J2218" s="24" t="str">
        <f aca="false">IF($D2218="","",IFERROR(INDEX(Workers!$C$5:$C$2004,MATCH($D2218,Workers!$A$5:$A$2004,0)),""))</f>
        <v/>
      </c>
      <c r="K2218" s="24" t="str">
        <f aca="false">IF($D2218="","",IFERROR(IF(INDEX(Workers!$D$5:$D$2004,MATCH($D2218,Workers!$A$5:$A$2004,0))=0,"",INDEX(Workers!$D$5:$D$2004,MATCH($D2218,Workers!$A$5:$A$2004,0))),""))</f>
        <v/>
      </c>
      <c r="L2218" s="24" t="str">
        <f aca="false">IF($D2218="","",IFERROR(INDEX(Workers!$E$5:$E$2004,MATCH($D2218,Workers!$A$5:$A$2004,0)),""))</f>
        <v/>
      </c>
      <c r="M2218" s="26" t="str">
        <f aca="false">IF($D2218="","",IFERROR(INDEX(ClientRates!$D$5:$D$500,MATCH($B2218&amp;"|"&amp;$L2218,ClientRates!$A$5:$A$500,0)),0))</f>
        <v/>
      </c>
      <c r="N2218" s="26" t="str">
        <f aca="false">IF($D2218="","",IFERROR(INDEX(ClientRates!$E$5:$E$500,MATCH($B2218&amp;"|"&amp;$L2218,ClientRates!$A$5:$A$500,0)),0))</f>
        <v/>
      </c>
      <c r="O2218" s="26" t="str">
        <f aca="false">IF($D2218="","",F2218*M2218+G2218*N2218)</f>
        <v/>
      </c>
      <c r="P2218" s="26" t="str">
        <f aca="false">IF(OR($D2218="",$J2218&lt;&gt;"Supplier"),"",IFERROR(INDEX(SupplierRates!$D$5:$D$500,MATCH($K2218&amp;"|"&amp;$L2218,SupplierRates!$A$5:$A$500,0)),0))</f>
        <v/>
      </c>
      <c r="Q2218" s="26" t="str">
        <f aca="false">IF(OR($D2218="",$J2218&lt;&gt;"Supplier"),"",IFERROR(INDEX(SupplierRates!$E$5:$E$500,MATCH($K2218&amp;"|"&amp;$L2218,SupplierRates!$A$5:$A$500,0)),0))</f>
        <v/>
      </c>
      <c r="R2218" s="26" t="n">
        <f aca="false">IF(OR($D2218="",$J2218&lt;&gt;"Supplier"),0,F2218*P2218+G2218*Q2218)</f>
        <v>0</v>
      </c>
      <c r="S2218" s="26" t="n">
        <f aca="false">IF(OR($D2218="",$J2218&lt;&gt;"Own"),0,IFERROR((F2218+G2218*Settings!$B$13)*INDEX(Workers!$V$5:$V$2004,MATCH($D2218,Workers!$A$5:$A$2004,0)),0))</f>
        <v>0</v>
      </c>
      <c r="T2218" s="26" t="str">
        <f aca="false">IF($D2218="","",O2218-R2218-S2218)</f>
        <v/>
      </c>
    </row>
    <row r="2219" customFormat="false" ht="15" hidden="false" customHeight="false" outlineLevel="0" collapsed="false">
      <c r="I2219" s="24" t="str">
        <f aca="false">IF($D2219="","",IFERROR(INDEX(Workers!$B$5:$B$2004,MATCH($D2219,Workers!$A$5:$A$2004,0)),"NOT FOUND"))</f>
        <v/>
      </c>
      <c r="J2219" s="24" t="str">
        <f aca="false">IF($D2219="","",IFERROR(INDEX(Workers!$C$5:$C$2004,MATCH($D2219,Workers!$A$5:$A$2004,0)),""))</f>
        <v/>
      </c>
      <c r="K2219" s="24" t="str">
        <f aca="false">IF($D2219="","",IFERROR(IF(INDEX(Workers!$D$5:$D$2004,MATCH($D2219,Workers!$A$5:$A$2004,0))=0,"",INDEX(Workers!$D$5:$D$2004,MATCH($D2219,Workers!$A$5:$A$2004,0))),""))</f>
        <v/>
      </c>
      <c r="L2219" s="24" t="str">
        <f aca="false">IF($D2219="","",IFERROR(INDEX(Workers!$E$5:$E$2004,MATCH($D2219,Workers!$A$5:$A$2004,0)),""))</f>
        <v/>
      </c>
      <c r="M2219" s="26" t="str">
        <f aca="false">IF($D2219="","",IFERROR(INDEX(ClientRates!$D$5:$D$500,MATCH($B2219&amp;"|"&amp;$L2219,ClientRates!$A$5:$A$500,0)),0))</f>
        <v/>
      </c>
      <c r="N2219" s="26" t="str">
        <f aca="false">IF($D2219="","",IFERROR(INDEX(ClientRates!$E$5:$E$500,MATCH($B2219&amp;"|"&amp;$L2219,ClientRates!$A$5:$A$500,0)),0))</f>
        <v/>
      </c>
      <c r="O2219" s="26" t="str">
        <f aca="false">IF($D2219="","",F2219*M2219+G2219*N2219)</f>
        <v/>
      </c>
      <c r="P2219" s="26" t="str">
        <f aca="false">IF(OR($D2219="",$J2219&lt;&gt;"Supplier"),"",IFERROR(INDEX(SupplierRates!$D$5:$D$500,MATCH($K2219&amp;"|"&amp;$L2219,SupplierRates!$A$5:$A$500,0)),0))</f>
        <v/>
      </c>
      <c r="Q2219" s="26" t="str">
        <f aca="false">IF(OR($D2219="",$J2219&lt;&gt;"Supplier"),"",IFERROR(INDEX(SupplierRates!$E$5:$E$500,MATCH($K2219&amp;"|"&amp;$L2219,SupplierRates!$A$5:$A$500,0)),0))</f>
        <v/>
      </c>
      <c r="R2219" s="26" t="n">
        <f aca="false">IF(OR($D2219="",$J2219&lt;&gt;"Supplier"),0,F2219*P2219+G2219*Q2219)</f>
        <v>0</v>
      </c>
      <c r="S2219" s="26" t="n">
        <f aca="false">IF(OR($D2219="",$J2219&lt;&gt;"Own"),0,IFERROR((F2219+G2219*Settings!$B$13)*INDEX(Workers!$V$5:$V$2004,MATCH($D2219,Workers!$A$5:$A$2004,0)),0))</f>
        <v>0</v>
      </c>
      <c r="T2219" s="26" t="str">
        <f aca="false">IF($D2219="","",O2219-R2219-S2219)</f>
        <v/>
      </c>
    </row>
    <row r="2220" customFormat="false" ht="15" hidden="false" customHeight="false" outlineLevel="0" collapsed="false">
      <c r="I2220" s="24" t="str">
        <f aca="false">IF($D2220="","",IFERROR(INDEX(Workers!$B$5:$B$2004,MATCH($D2220,Workers!$A$5:$A$2004,0)),"NOT FOUND"))</f>
        <v/>
      </c>
      <c r="J2220" s="24" t="str">
        <f aca="false">IF($D2220="","",IFERROR(INDEX(Workers!$C$5:$C$2004,MATCH($D2220,Workers!$A$5:$A$2004,0)),""))</f>
        <v/>
      </c>
      <c r="K2220" s="24" t="str">
        <f aca="false">IF($D2220="","",IFERROR(IF(INDEX(Workers!$D$5:$D$2004,MATCH($D2220,Workers!$A$5:$A$2004,0))=0,"",INDEX(Workers!$D$5:$D$2004,MATCH($D2220,Workers!$A$5:$A$2004,0))),""))</f>
        <v/>
      </c>
      <c r="L2220" s="24" t="str">
        <f aca="false">IF($D2220="","",IFERROR(INDEX(Workers!$E$5:$E$2004,MATCH($D2220,Workers!$A$5:$A$2004,0)),""))</f>
        <v/>
      </c>
      <c r="M2220" s="26" t="str">
        <f aca="false">IF($D2220="","",IFERROR(INDEX(ClientRates!$D$5:$D$500,MATCH($B2220&amp;"|"&amp;$L2220,ClientRates!$A$5:$A$500,0)),0))</f>
        <v/>
      </c>
      <c r="N2220" s="26" t="str">
        <f aca="false">IF($D2220="","",IFERROR(INDEX(ClientRates!$E$5:$E$500,MATCH($B2220&amp;"|"&amp;$L2220,ClientRates!$A$5:$A$500,0)),0))</f>
        <v/>
      </c>
      <c r="O2220" s="26" t="str">
        <f aca="false">IF($D2220="","",F2220*M2220+G2220*N2220)</f>
        <v/>
      </c>
      <c r="P2220" s="26" t="str">
        <f aca="false">IF(OR($D2220="",$J2220&lt;&gt;"Supplier"),"",IFERROR(INDEX(SupplierRates!$D$5:$D$500,MATCH($K2220&amp;"|"&amp;$L2220,SupplierRates!$A$5:$A$500,0)),0))</f>
        <v/>
      </c>
      <c r="Q2220" s="26" t="str">
        <f aca="false">IF(OR($D2220="",$J2220&lt;&gt;"Supplier"),"",IFERROR(INDEX(SupplierRates!$E$5:$E$500,MATCH($K2220&amp;"|"&amp;$L2220,SupplierRates!$A$5:$A$500,0)),0))</f>
        <v/>
      </c>
      <c r="R2220" s="26" t="n">
        <f aca="false">IF(OR($D2220="",$J2220&lt;&gt;"Supplier"),0,F2220*P2220+G2220*Q2220)</f>
        <v>0</v>
      </c>
      <c r="S2220" s="26" t="n">
        <f aca="false">IF(OR($D2220="",$J2220&lt;&gt;"Own"),0,IFERROR((F2220+G2220*Settings!$B$13)*INDEX(Workers!$V$5:$V$2004,MATCH($D2220,Workers!$A$5:$A$2004,0)),0))</f>
        <v>0</v>
      </c>
      <c r="T2220" s="26" t="str">
        <f aca="false">IF($D2220="","",O2220-R2220-S2220)</f>
        <v/>
      </c>
    </row>
    <row r="2221" customFormat="false" ht="15" hidden="false" customHeight="false" outlineLevel="0" collapsed="false">
      <c r="I2221" s="24" t="str">
        <f aca="false">IF($D2221="","",IFERROR(INDEX(Workers!$B$5:$B$2004,MATCH($D2221,Workers!$A$5:$A$2004,0)),"NOT FOUND"))</f>
        <v/>
      </c>
      <c r="J2221" s="24" t="str">
        <f aca="false">IF($D2221="","",IFERROR(INDEX(Workers!$C$5:$C$2004,MATCH($D2221,Workers!$A$5:$A$2004,0)),""))</f>
        <v/>
      </c>
      <c r="K2221" s="24" t="str">
        <f aca="false">IF($D2221="","",IFERROR(IF(INDEX(Workers!$D$5:$D$2004,MATCH($D2221,Workers!$A$5:$A$2004,0))=0,"",INDEX(Workers!$D$5:$D$2004,MATCH($D2221,Workers!$A$5:$A$2004,0))),""))</f>
        <v/>
      </c>
      <c r="L2221" s="24" t="str">
        <f aca="false">IF($D2221="","",IFERROR(INDEX(Workers!$E$5:$E$2004,MATCH($D2221,Workers!$A$5:$A$2004,0)),""))</f>
        <v/>
      </c>
      <c r="M2221" s="26" t="str">
        <f aca="false">IF($D2221="","",IFERROR(INDEX(ClientRates!$D$5:$D$500,MATCH($B2221&amp;"|"&amp;$L2221,ClientRates!$A$5:$A$500,0)),0))</f>
        <v/>
      </c>
      <c r="N2221" s="26" t="str">
        <f aca="false">IF($D2221="","",IFERROR(INDEX(ClientRates!$E$5:$E$500,MATCH($B2221&amp;"|"&amp;$L2221,ClientRates!$A$5:$A$500,0)),0))</f>
        <v/>
      </c>
      <c r="O2221" s="26" t="str">
        <f aca="false">IF($D2221="","",F2221*M2221+G2221*N2221)</f>
        <v/>
      </c>
      <c r="P2221" s="26" t="str">
        <f aca="false">IF(OR($D2221="",$J2221&lt;&gt;"Supplier"),"",IFERROR(INDEX(SupplierRates!$D$5:$D$500,MATCH($K2221&amp;"|"&amp;$L2221,SupplierRates!$A$5:$A$500,0)),0))</f>
        <v/>
      </c>
      <c r="Q2221" s="26" t="str">
        <f aca="false">IF(OR($D2221="",$J2221&lt;&gt;"Supplier"),"",IFERROR(INDEX(SupplierRates!$E$5:$E$500,MATCH($K2221&amp;"|"&amp;$L2221,SupplierRates!$A$5:$A$500,0)),0))</f>
        <v/>
      </c>
      <c r="R2221" s="26" t="n">
        <f aca="false">IF(OR($D2221="",$J2221&lt;&gt;"Supplier"),0,F2221*P2221+G2221*Q2221)</f>
        <v>0</v>
      </c>
      <c r="S2221" s="26" t="n">
        <f aca="false">IF(OR($D2221="",$J2221&lt;&gt;"Own"),0,IFERROR((F2221+G2221*Settings!$B$13)*INDEX(Workers!$V$5:$V$2004,MATCH($D2221,Workers!$A$5:$A$2004,0)),0))</f>
        <v>0</v>
      </c>
      <c r="T2221" s="26" t="str">
        <f aca="false">IF($D2221="","",O2221-R2221-S2221)</f>
        <v/>
      </c>
    </row>
    <row r="2222" customFormat="false" ht="15" hidden="false" customHeight="false" outlineLevel="0" collapsed="false">
      <c r="I2222" s="24" t="str">
        <f aca="false">IF($D2222="","",IFERROR(INDEX(Workers!$B$5:$B$2004,MATCH($D2222,Workers!$A$5:$A$2004,0)),"NOT FOUND"))</f>
        <v/>
      </c>
      <c r="J2222" s="24" t="str">
        <f aca="false">IF($D2222="","",IFERROR(INDEX(Workers!$C$5:$C$2004,MATCH($D2222,Workers!$A$5:$A$2004,0)),""))</f>
        <v/>
      </c>
      <c r="K2222" s="24" t="str">
        <f aca="false">IF($D2222="","",IFERROR(IF(INDEX(Workers!$D$5:$D$2004,MATCH($D2222,Workers!$A$5:$A$2004,0))=0,"",INDEX(Workers!$D$5:$D$2004,MATCH($D2222,Workers!$A$5:$A$2004,0))),""))</f>
        <v/>
      </c>
      <c r="L2222" s="24" t="str">
        <f aca="false">IF($D2222="","",IFERROR(INDEX(Workers!$E$5:$E$2004,MATCH($D2222,Workers!$A$5:$A$2004,0)),""))</f>
        <v/>
      </c>
      <c r="M2222" s="26" t="str">
        <f aca="false">IF($D2222="","",IFERROR(INDEX(ClientRates!$D$5:$D$500,MATCH($B2222&amp;"|"&amp;$L2222,ClientRates!$A$5:$A$500,0)),0))</f>
        <v/>
      </c>
      <c r="N2222" s="26" t="str">
        <f aca="false">IF($D2222="","",IFERROR(INDEX(ClientRates!$E$5:$E$500,MATCH($B2222&amp;"|"&amp;$L2222,ClientRates!$A$5:$A$500,0)),0))</f>
        <v/>
      </c>
      <c r="O2222" s="26" t="str">
        <f aca="false">IF($D2222="","",F2222*M2222+G2222*N2222)</f>
        <v/>
      </c>
      <c r="P2222" s="26" t="str">
        <f aca="false">IF(OR($D2222="",$J2222&lt;&gt;"Supplier"),"",IFERROR(INDEX(SupplierRates!$D$5:$D$500,MATCH($K2222&amp;"|"&amp;$L2222,SupplierRates!$A$5:$A$500,0)),0))</f>
        <v/>
      </c>
      <c r="Q2222" s="26" t="str">
        <f aca="false">IF(OR($D2222="",$J2222&lt;&gt;"Supplier"),"",IFERROR(INDEX(SupplierRates!$E$5:$E$500,MATCH($K2222&amp;"|"&amp;$L2222,SupplierRates!$A$5:$A$500,0)),0))</f>
        <v/>
      </c>
      <c r="R2222" s="26" t="n">
        <f aca="false">IF(OR($D2222="",$J2222&lt;&gt;"Supplier"),0,F2222*P2222+G2222*Q2222)</f>
        <v>0</v>
      </c>
      <c r="S2222" s="26" t="n">
        <f aca="false">IF(OR($D2222="",$J2222&lt;&gt;"Own"),0,IFERROR((F2222+G2222*Settings!$B$13)*INDEX(Workers!$V$5:$V$2004,MATCH($D2222,Workers!$A$5:$A$2004,0)),0))</f>
        <v>0</v>
      </c>
      <c r="T2222" s="26" t="str">
        <f aca="false">IF($D2222="","",O2222-R2222-S2222)</f>
        <v/>
      </c>
    </row>
    <row r="2223" customFormat="false" ht="15" hidden="false" customHeight="false" outlineLevel="0" collapsed="false">
      <c r="I2223" s="24" t="str">
        <f aca="false">IF($D2223="","",IFERROR(INDEX(Workers!$B$5:$B$2004,MATCH($D2223,Workers!$A$5:$A$2004,0)),"NOT FOUND"))</f>
        <v/>
      </c>
      <c r="J2223" s="24" t="str">
        <f aca="false">IF($D2223="","",IFERROR(INDEX(Workers!$C$5:$C$2004,MATCH($D2223,Workers!$A$5:$A$2004,0)),""))</f>
        <v/>
      </c>
      <c r="K2223" s="24" t="str">
        <f aca="false">IF($D2223="","",IFERROR(IF(INDEX(Workers!$D$5:$D$2004,MATCH($D2223,Workers!$A$5:$A$2004,0))=0,"",INDEX(Workers!$D$5:$D$2004,MATCH($D2223,Workers!$A$5:$A$2004,0))),""))</f>
        <v/>
      </c>
      <c r="L2223" s="24" t="str">
        <f aca="false">IF($D2223="","",IFERROR(INDEX(Workers!$E$5:$E$2004,MATCH($D2223,Workers!$A$5:$A$2004,0)),""))</f>
        <v/>
      </c>
      <c r="M2223" s="26" t="str">
        <f aca="false">IF($D2223="","",IFERROR(INDEX(ClientRates!$D$5:$D$500,MATCH($B2223&amp;"|"&amp;$L2223,ClientRates!$A$5:$A$500,0)),0))</f>
        <v/>
      </c>
      <c r="N2223" s="26" t="str">
        <f aca="false">IF($D2223="","",IFERROR(INDEX(ClientRates!$E$5:$E$500,MATCH($B2223&amp;"|"&amp;$L2223,ClientRates!$A$5:$A$500,0)),0))</f>
        <v/>
      </c>
      <c r="O2223" s="26" t="str">
        <f aca="false">IF($D2223="","",F2223*M2223+G2223*N2223)</f>
        <v/>
      </c>
      <c r="P2223" s="26" t="str">
        <f aca="false">IF(OR($D2223="",$J2223&lt;&gt;"Supplier"),"",IFERROR(INDEX(SupplierRates!$D$5:$D$500,MATCH($K2223&amp;"|"&amp;$L2223,SupplierRates!$A$5:$A$500,0)),0))</f>
        <v/>
      </c>
      <c r="Q2223" s="26" t="str">
        <f aca="false">IF(OR($D2223="",$J2223&lt;&gt;"Supplier"),"",IFERROR(INDEX(SupplierRates!$E$5:$E$500,MATCH($K2223&amp;"|"&amp;$L2223,SupplierRates!$A$5:$A$500,0)),0))</f>
        <v/>
      </c>
      <c r="R2223" s="26" t="n">
        <f aca="false">IF(OR($D2223="",$J2223&lt;&gt;"Supplier"),0,F2223*P2223+G2223*Q2223)</f>
        <v>0</v>
      </c>
      <c r="S2223" s="26" t="n">
        <f aca="false">IF(OR($D2223="",$J2223&lt;&gt;"Own"),0,IFERROR((F2223+G2223*Settings!$B$13)*INDEX(Workers!$V$5:$V$2004,MATCH($D2223,Workers!$A$5:$A$2004,0)),0))</f>
        <v>0</v>
      </c>
      <c r="T2223" s="26" t="str">
        <f aca="false">IF($D2223="","",O2223-R2223-S2223)</f>
        <v/>
      </c>
    </row>
    <row r="2224" customFormat="false" ht="15" hidden="false" customHeight="false" outlineLevel="0" collapsed="false">
      <c r="I2224" s="24" t="str">
        <f aca="false">IF($D2224="","",IFERROR(INDEX(Workers!$B$5:$B$2004,MATCH($D2224,Workers!$A$5:$A$2004,0)),"NOT FOUND"))</f>
        <v/>
      </c>
      <c r="J2224" s="24" t="str">
        <f aca="false">IF($D2224="","",IFERROR(INDEX(Workers!$C$5:$C$2004,MATCH($D2224,Workers!$A$5:$A$2004,0)),""))</f>
        <v/>
      </c>
      <c r="K2224" s="24" t="str">
        <f aca="false">IF($D2224="","",IFERROR(IF(INDEX(Workers!$D$5:$D$2004,MATCH($D2224,Workers!$A$5:$A$2004,0))=0,"",INDEX(Workers!$D$5:$D$2004,MATCH($D2224,Workers!$A$5:$A$2004,0))),""))</f>
        <v/>
      </c>
      <c r="L2224" s="24" t="str">
        <f aca="false">IF($D2224="","",IFERROR(INDEX(Workers!$E$5:$E$2004,MATCH($D2224,Workers!$A$5:$A$2004,0)),""))</f>
        <v/>
      </c>
      <c r="M2224" s="26" t="str">
        <f aca="false">IF($D2224="","",IFERROR(INDEX(ClientRates!$D$5:$D$500,MATCH($B2224&amp;"|"&amp;$L2224,ClientRates!$A$5:$A$500,0)),0))</f>
        <v/>
      </c>
      <c r="N2224" s="26" t="str">
        <f aca="false">IF($D2224="","",IFERROR(INDEX(ClientRates!$E$5:$E$500,MATCH($B2224&amp;"|"&amp;$L2224,ClientRates!$A$5:$A$500,0)),0))</f>
        <v/>
      </c>
      <c r="O2224" s="26" t="str">
        <f aca="false">IF($D2224="","",F2224*M2224+G2224*N2224)</f>
        <v/>
      </c>
      <c r="P2224" s="26" t="str">
        <f aca="false">IF(OR($D2224="",$J2224&lt;&gt;"Supplier"),"",IFERROR(INDEX(SupplierRates!$D$5:$D$500,MATCH($K2224&amp;"|"&amp;$L2224,SupplierRates!$A$5:$A$500,0)),0))</f>
        <v/>
      </c>
      <c r="Q2224" s="26" t="str">
        <f aca="false">IF(OR($D2224="",$J2224&lt;&gt;"Supplier"),"",IFERROR(INDEX(SupplierRates!$E$5:$E$500,MATCH($K2224&amp;"|"&amp;$L2224,SupplierRates!$A$5:$A$500,0)),0))</f>
        <v/>
      </c>
      <c r="R2224" s="26" t="n">
        <f aca="false">IF(OR($D2224="",$J2224&lt;&gt;"Supplier"),0,F2224*P2224+G2224*Q2224)</f>
        <v>0</v>
      </c>
      <c r="S2224" s="26" t="n">
        <f aca="false">IF(OR($D2224="",$J2224&lt;&gt;"Own"),0,IFERROR((F2224+G2224*Settings!$B$13)*INDEX(Workers!$V$5:$V$2004,MATCH($D2224,Workers!$A$5:$A$2004,0)),0))</f>
        <v>0</v>
      </c>
      <c r="T2224" s="26" t="str">
        <f aca="false">IF($D2224="","",O2224-R2224-S2224)</f>
        <v/>
      </c>
    </row>
    <row r="2225" customFormat="false" ht="15" hidden="false" customHeight="false" outlineLevel="0" collapsed="false">
      <c r="I2225" s="24" t="str">
        <f aca="false">IF($D2225="","",IFERROR(INDEX(Workers!$B$5:$B$2004,MATCH($D2225,Workers!$A$5:$A$2004,0)),"NOT FOUND"))</f>
        <v/>
      </c>
      <c r="J2225" s="24" t="str">
        <f aca="false">IF($D2225="","",IFERROR(INDEX(Workers!$C$5:$C$2004,MATCH($D2225,Workers!$A$5:$A$2004,0)),""))</f>
        <v/>
      </c>
      <c r="K2225" s="24" t="str">
        <f aca="false">IF($D2225="","",IFERROR(IF(INDEX(Workers!$D$5:$D$2004,MATCH($D2225,Workers!$A$5:$A$2004,0))=0,"",INDEX(Workers!$D$5:$D$2004,MATCH($D2225,Workers!$A$5:$A$2004,0))),""))</f>
        <v/>
      </c>
      <c r="L2225" s="24" t="str">
        <f aca="false">IF($D2225="","",IFERROR(INDEX(Workers!$E$5:$E$2004,MATCH($D2225,Workers!$A$5:$A$2004,0)),""))</f>
        <v/>
      </c>
      <c r="M2225" s="26" t="str">
        <f aca="false">IF($D2225="","",IFERROR(INDEX(ClientRates!$D$5:$D$500,MATCH($B2225&amp;"|"&amp;$L2225,ClientRates!$A$5:$A$500,0)),0))</f>
        <v/>
      </c>
      <c r="N2225" s="26" t="str">
        <f aca="false">IF($D2225="","",IFERROR(INDEX(ClientRates!$E$5:$E$500,MATCH($B2225&amp;"|"&amp;$L2225,ClientRates!$A$5:$A$500,0)),0))</f>
        <v/>
      </c>
      <c r="O2225" s="26" t="str">
        <f aca="false">IF($D2225="","",F2225*M2225+G2225*N2225)</f>
        <v/>
      </c>
      <c r="P2225" s="26" t="str">
        <f aca="false">IF(OR($D2225="",$J2225&lt;&gt;"Supplier"),"",IFERROR(INDEX(SupplierRates!$D$5:$D$500,MATCH($K2225&amp;"|"&amp;$L2225,SupplierRates!$A$5:$A$500,0)),0))</f>
        <v/>
      </c>
      <c r="Q2225" s="26" t="str">
        <f aca="false">IF(OR($D2225="",$J2225&lt;&gt;"Supplier"),"",IFERROR(INDEX(SupplierRates!$E$5:$E$500,MATCH($K2225&amp;"|"&amp;$L2225,SupplierRates!$A$5:$A$500,0)),0))</f>
        <v/>
      </c>
      <c r="R2225" s="26" t="n">
        <f aca="false">IF(OR($D2225="",$J2225&lt;&gt;"Supplier"),0,F2225*P2225+G2225*Q2225)</f>
        <v>0</v>
      </c>
      <c r="S2225" s="26" t="n">
        <f aca="false">IF(OR($D2225="",$J2225&lt;&gt;"Own"),0,IFERROR((F2225+G2225*Settings!$B$13)*INDEX(Workers!$V$5:$V$2004,MATCH($D2225,Workers!$A$5:$A$2004,0)),0))</f>
        <v>0</v>
      </c>
      <c r="T2225" s="26" t="str">
        <f aca="false">IF($D2225="","",O2225-R2225-S2225)</f>
        <v/>
      </c>
    </row>
    <row r="2226" customFormat="false" ht="15" hidden="false" customHeight="false" outlineLevel="0" collapsed="false">
      <c r="I2226" s="24" t="str">
        <f aca="false">IF($D2226="","",IFERROR(INDEX(Workers!$B$5:$B$2004,MATCH($D2226,Workers!$A$5:$A$2004,0)),"NOT FOUND"))</f>
        <v/>
      </c>
      <c r="J2226" s="24" t="str">
        <f aca="false">IF($D2226="","",IFERROR(INDEX(Workers!$C$5:$C$2004,MATCH($D2226,Workers!$A$5:$A$2004,0)),""))</f>
        <v/>
      </c>
      <c r="K2226" s="24" t="str">
        <f aca="false">IF($D2226="","",IFERROR(IF(INDEX(Workers!$D$5:$D$2004,MATCH($D2226,Workers!$A$5:$A$2004,0))=0,"",INDEX(Workers!$D$5:$D$2004,MATCH($D2226,Workers!$A$5:$A$2004,0))),""))</f>
        <v/>
      </c>
      <c r="L2226" s="24" t="str">
        <f aca="false">IF($D2226="","",IFERROR(INDEX(Workers!$E$5:$E$2004,MATCH($D2226,Workers!$A$5:$A$2004,0)),""))</f>
        <v/>
      </c>
      <c r="M2226" s="26" t="str">
        <f aca="false">IF($D2226="","",IFERROR(INDEX(ClientRates!$D$5:$D$500,MATCH($B2226&amp;"|"&amp;$L2226,ClientRates!$A$5:$A$500,0)),0))</f>
        <v/>
      </c>
      <c r="N2226" s="26" t="str">
        <f aca="false">IF($D2226="","",IFERROR(INDEX(ClientRates!$E$5:$E$500,MATCH($B2226&amp;"|"&amp;$L2226,ClientRates!$A$5:$A$500,0)),0))</f>
        <v/>
      </c>
      <c r="O2226" s="26" t="str">
        <f aca="false">IF($D2226="","",F2226*M2226+G2226*N2226)</f>
        <v/>
      </c>
      <c r="P2226" s="26" t="str">
        <f aca="false">IF(OR($D2226="",$J2226&lt;&gt;"Supplier"),"",IFERROR(INDEX(SupplierRates!$D$5:$D$500,MATCH($K2226&amp;"|"&amp;$L2226,SupplierRates!$A$5:$A$500,0)),0))</f>
        <v/>
      </c>
      <c r="Q2226" s="26" t="str">
        <f aca="false">IF(OR($D2226="",$J2226&lt;&gt;"Supplier"),"",IFERROR(INDEX(SupplierRates!$E$5:$E$500,MATCH($K2226&amp;"|"&amp;$L2226,SupplierRates!$A$5:$A$500,0)),0))</f>
        <v/>
      </c>
      <c r="R2226" s="26" t="n">
        <f aca="false">IF(OR($D2226="",$J2226&lt;&gt;"Supplier"),0,F2226*P2226+G2226*Q2226)</f>
        <v>0</v>
      </c>
      <c r="S2226" s="26" t="n">
        <f aca="false">IF(OR($D2226="",$J2226&lt;&gt;"Own"),0,IFERROR((F2226+G2226*Settings!$B$13)*INDEX(Workers!$V$5:$V$2004,MATCH($D2226,Workers!$A$5:$A$2004,0)),0))</f>
        <v>0</v>
      </c>
      <c r="T2226" s="26" t="str">
        <f aca="false">IF($D2226="","",O2226-R2226-S2226)</f>
        <v/>
      </c>
    </row>
    <row r="2227" customFormat="false" ht="15" hidden="false" customHeight="false" outlineLevel="0" collapsed="false">
      <c r="I2227" s="24" t="str">
        <f aca="false">IF($D2227="","",IFERROR(INDEX(Workers!$B$5:$B$2004,MATCH($D2227,Workers!$A$5:$A$2004,0)),"NOT FOUND"))</f>
        <v/>
      </c>
      <c r="J2227" s="24" t="str">
        <f aca="false">IF($D2227="","",IFERROR(INDEX(Workers!$C$5:$C$2004,MATCH($D2227,Workers!$A$5:$A$2004,0)),""))</f>
        <v/>
      </c>
      <c r="K2227" s="24" t="str">
        <f aca="false">IF($D2227="","",IFERROR(IF(INDEX(Workers!$D$5:$D$2004,MATCH($D2227,Workers!$A$5:$A$2004,0))=0,"",INDEX(Workers!$D$5:$D$2004,MATCH($D2227,Workers!$A$5:$A$2004,0))),""))</f>
        <v/>
      </c>
      <c r="L2227" s="24" t="str">
        <f aca="false">IF($D2227="","",IFERROR(INDEX(Workers!$E$5:$E$2004,MATCH($D2227,Workers!$A$5:$A$2004,0)),""))</f>
        <v/>
      </c>
      <c r="M2227" s="26" t="str">
        <f aca="false">IF($D2227="","",IFERROR(INDEX(ClientRates!$D$5:$D$500,MATCH($B2227&amp;"|"&amp;$L2227,ClientRates!$A$5:$A$500,0)),0))</f>
        <v/>
      </c>
      <c r="N2227" s="26" t="str">
        <f aca="false">IF($D2227="","",IFERROR(INDEX(ClientRates!$E$5:$E$500,MATCH($B2227&amp;"|"&amp;$L2227,ClientRates!$A$5:$A$500,0)),0))</f>
        <v/>
      </c>
      <c r="O2227" s="26" t="str">
        <f aca="false">IF($D2227="","",F2227*M2227+G2227*N2227)</f>
        <v/>
      </c>
      <c r="P2227" s="26" t="str">
        <f aca="false">IF(OR($D2227="",$J2227&lt;&gt;"Supplier"),"",IFERROR(INDEX(SupplierRates!$D$5:$D$500,MATCH($K2227&amp;"|"&amp;$L2227,SupplierRates!$A$5:$A$500,0)),0))</f>
        <v/>
      </c>
      <c r="Q2227" s="26" t="str">
        <f aca="false">IF(OR($D2227="",$J2227&lt;&gt;"Supplier"),"",IFERROR(INDEX(SupplierRates!$E$5:$E$500,MATCH($K2227&amp;"|"&amp;$L2227,SupplierRates!$A$5:$A$500,0)),0))</f>
        <v/>
      </c>
      <c r="R2227" s="26" t="n">
        <f aca="false">IF(OR($D2227="",$J2227&lt;&gt;"Supplier"),0,F2227*P2227+G2227*Q2227)</f>
        <v>0</v>
      </c>
      <c r="S2227" s="26" t="n">
        <f aca="false">IF(OR($D2227="",$J2227&lt;&gt;"Own"),0,IFERROR((F2227+G2227*Settings!$B$13)*INDEX(Workers!$V$5:$V$2004,MATCH($D2227,Workers!$A$5:$A$2004,0)),0))</f>
        <v>0</v>
      </c>
      <c r="T2227" s="26" t="str">
        <f aca="false">IF($D2227="","",O2227-R2227-S2227)</f>
        <v/>
      </c>
    </row>
    <row r="2228" customFormat="false" ht="15" hidden="false" customHeight="false" outlineLevel="0" collapsed="false">
      <c r="I2228" s="24" t="str">
        <f aca="false">IF($D2228="","",IFERROR(INDEX(Workers!$B$5:$B$2004,MATCH($D2228,Workers!$A$5:$A$2004,0)),"NOT FOUND"))</f>
        <v/>
      </c>
      <c r="J2228" s="24" t="str">
        <f aca="false">IF($D2228="","",IFERROR(INDEX(Workers!$C$5:$C$2004,MATCH($D2228,Workers!$A$5:$A$2004,0)),""))</f>
        <v/>
      </c>
      <c r="K2228" s="24" t="str">
        <f aca="false">IF($D2228="","",IFERROR(IF(INDEX(Workers!$D$5:$D$2004,MATCH($D2228,Workers!$A$5:$A$2004,0))=0,"",INDEX(Workers!$D$5:$D$2004,MATCH($D2228,Workers!$A$5:$A$2004,0))),""))</f>
        <v/>
      </c>
      <c r="L2228" s="24" t="str">
        <f aca="false">IF($D2228="","",IFERROR(INDEX(Workers!$E$5:$E$2004,MATCH($D2228,Workers!$A$5:$A$2004,0)),""))</f>
        <v/>
      </c>
      <c r="M2228" s="26" t="str">
        <f aca="false">IF($D2228="","",IFERROR(INDEX(ClientRates!$D$5:$D$500,MATCH($B2228&amp;"|"&amp;$L2228,ClientRates!$A$5:$A$500,0)),0))</f>
        <v/>
      </c>
      <c r="N2228" s="26" t="str">
        <f aca="false">IF($D2228="","",IFERROR(INDEX(ClientRates!$E$5:$E$500,MATCH($B2228&amp;"|"&amp;$L2228,ClientRates!$A$5:$A$500,0)),0))</f>
        <v/>
      </c>
      <c r="O2228" s="26" t="str">
        <f aca="false">IF($D2228="","",F2228*M2228+G2228*N2228)</f>
        <v/>
      </c>
      <c r="P2228" s="26" t="str">
        <f aca="false">IF(OR($D2228="",$J2228&lt;&gt;"Supplier"),"",IFERROR(INDEX(SupplierRates!$D$5:$D$500,MATCH($K2228&amp;"|"&amp;$L2228,SupplierRates!$A$5:$A$500,0)),0))</f>
        <v/>
      </c>
      <c r="Q2228" s="26" t="str">
        <f aca="false">IF(OR($D2228="",$J2228&lt;&gt;"Supplier"),"",IFERROR(INDEX(SupplierRates!$E$5:$E$500,MATCH($K2228&amp;"|"&amp;$L2228,SupplierRates!$A$5:$A$500,0)),0))</f>
        <v/>
      </c>
      <c r="R2228" s="26" t="n">
        <f aca="false">IF(OR($D2228="",$J2228&lt;&gt;"Supplier"),0,F2228*P2228+G2228*Q2228)</f>
        <v>0</v>
      </c>
      <c r="S2228" s="26" t="n">
        <f aca="false">IF(OR($D2228="",$J2228&lt;&gt;"Own"),0,IFERROR((F2228+G2228*Settings!$B$13)*INDEX(Workers!$V$5:$V$2004,MATCH($D2228,Workers!$A$5:$A$2004,0)),0))</f>
        <v>0</v>
      </c>
      <c r="T2228" s="26" t="str">
        <f aca="false">IF($D2228="","",O2228-R2228-S2228)</f>
        <v/>
      </c>
    </row>
    <row r="2229" customFormat="false" ht="15" hidden="false" customHeight="false" outlineLevel="0" collapsed="false">
      <c r="I2229" s="24" t="str">
        <f aca="false">IF($D2229="","",IFERROR(INDEX(Workers!$B$5:$B$2004,MATCH($D2229,Workers!$A$5:$A$2004,0)),"NOT FOUND"))</f>
        <v/>
      </c>
      <c r="J2229" s="24" t="str">
        <f aca="false">IF($D2229="","",IFERROR(INDEX(Workers!$C$5:$C$2004,MATCH($D2229,Workers!$A$5:$A$2004,0)),""))</f>
        <v/>
      </c>
      <c r="K2229" s="24" t="str">
        <f aca="false">IF($D2229="","",IFERROR(IF(INDEX(Workers!$D$5:$D$2004,MATCH($D2229,Workers!$A$5:$A$2004,0))=0,"",INDEX(Workers!$D$5:$D$2004,MATCH($D2229,Workers!$A$5:$A$2004,0))),""))</f>
        <v/>
      </c>
      <c r="L2229" s="24" t="str">
        <f aca="false">IF($D2229="","",IFERROR(INDEX(Workers!$E$5:$E$2004,MATCH($D2229,Workers!$A$5:$A$2004,0)),""))</f>
        <v/>
      </c>
      <c r="M2229" s="26" t="str">
        <f aca="false">IF($D2229="","",IFERROR(INDEX(ClientRates!$D$5:$D$500,MATCH($B2229&amp;"|"&amp;$L2229,ClientRates!$A$5:$A$500,0)),0))</f>
        <v/>
      </c>
      <c r="N2229" s="26" t="str">
        <f aca="false">IF($D2229="","",IFERROR(INDEX(ClientRates!$E$5:$E$500,MATCH($B2229&amp;"|"&amp;$L2229,ClientRates!$A$5:$A$500,0)),0))</f>
        <v/>
      </c>
      <c r="O2229" s="26" t="str">
        <f aca="false">IF($D2229="","",F2229*M2229+G2229*N2229)</f>
        <v/>
      </c>
      <c r="P2229" s="26" t="str">
        <f aca="false">IF(OR($D2229="",$J2229&lt;&gt;"Supplier"),"",IFERROR(INDEX(SupplierRates!$D$5:$D$500,MATCH($K2229&amp;"|"&amp;$L2229,SupplierRates!$A$5:$A$500,0)),0))</f>
        <v/>
      </c>
      <c r="Q2229" s="26" t="str">
        <f aca="false">IF(OR($D2229="",$J2229&lt;&gt;"Supplier"),"",IFERROR(INDEX(SupplierRates!$E$5:$E$500,MATCH($K2229&amp;"|"&amp;$L2229,SupplierRates!$A$5:$A$500,0)),0))</f>
        <v/>
      </c>
      <c r="R2229" s="26" t="n">
        <f aca="false">IF(OR($D2229="",$J2229&lt;&gt;"Supplier"),0,F2229*P2229+G2229*Q2229)</f>
        <v>0</v>
      </c>
      <c r="S2229" s="26" t="n">
        <f aca="false">IF(OR($D2229="",$J2229&lt;&gt;"Own"),0,IFERROR((F2229+G2229*Settings!$B$13)*INDEX(Workers!$V$5:$V$2004,MATCH($D2229,Workers!$A$5:$A$2004,0)),0))</f>
        <v>0</v>
      </c>
      <c r="T2229" s="26" t="str">
        <f aca="false">IF($D2229="","",O2229-R2229-S2229)</f>
        <v/>
      </c>
    </row>
    <row r="2230" customFormat="false" ht="15" hidden="false" customHeight="false" outlineLevel="0" collapsed="false">
      <c r="I2230" s="24" t="str">
        <f aca="false">IF($D2230="","",IFERROR(INDEX(Workers!$B$5:$B$2004,MATCH($D2230,Workers!$A$5:$A$2004,0)),"NOT FOUND"))</f>
        <v/>
      </c>
      <c r="J2230" s="24" t="str">
        <f aca="false">IF($D2230="","",IFERROR(INDEX(Workers!$C$5:$C$2004,MATCH($D2230,Workers!$A$5:$A$2004,0)),""))</f>
        <v/>
      </c>
      <c r="K2230" s="24" t="str">
        <f aca="false">IF($D2230="","",IFERROR(IF(INDEX(Workers!$D$5:$D$2004,MATCH($D2230,Workers!$A$5:$A$2004,0))=0,"",INDEX(Workers!$D$5:$D$2004,MATCH($D2230,Workers!$A$5:$A$2004,0))),""))</f>
        <v/>
      </c>
      <c r="L2230" s="24" t="str">
        <f aca="false">IF($D2230="","",IFERROR(INDEX(Workers!$E$5:$E$2004,MATCH($D2230,Workers!$A$5:$A$2004,0)),""))</f>
        <v/>
      </c>
      <c r="M2230" s="26" t="str">
        <f aca="false">IF($D2230="","",IFERROR(INDEX(ClientRates!$D$5:$D$500,MATCH($B2230&amp;"|"&amp;$L2230,ClientRates!$A$5:$A$500,0)),0))</f>
        <v/>
      </c>
      <c r="N2230" s="26" t="str">
        <f aca="false">IF($D2230="","",IFERROR(INDEX(ClientRates!$E$5:$E$500,MATCH($B2230&amp;"|"&amp;$L2230,ClientRates!$A$5:$A$500,0)),0))</f>
        <v/>
      </c>
      <c r="O2230" s="26" t="str">
        <f aca="false">IF($D2230="","",F2230*M2230+G2230*N2230)</f>
        <v/>
      </c>
      <c r="P2230" s="26" t="str">
        <f aca="false">IF(OR($D2230="",$J2230&lt;&gt;"Supplier"),"",IFERROR(INDEX(SupplierRates!$D$5:$D$500,MATCH($K2230&amp;"|"&amp;$L2230,SupplierRates!$A$5:$A$500,0)),0))</f>
        <v/>
      </c>
      <c r="Q2230" s="26" t="str">
        <f aca="false">IF(OR($D2230="",$J2230&lt;&gt;"Supplier"),"",IFERROR(INDEX(SupplierRates!$E$5:$E$500,MATCH($K2230&amp;"|"&amp;$L2230,SupplierRates!$A$5:$A$500,0)),0))</f>
        <v/>
      </c>
      <c r="R2230" s="26" t="n">
        <f aca="false">IF(OR($D2230="",$J2230&lt;&gt;"Supplier"),0,F2230*P2230+G2230*Q2230)</f>
        <v>0</v>
      </c>
      <c r="S2230" s="26" t="n">
        <f aca="false">IF(OR($D2230="",$J2230&lt;&gt;"Own"),0,IFERROR((F2230+G2230*Settings!$B$13)*INDEX(Workers!$V$5:$V$2004,MATCH($D2230,Workers!$A$5:$A$2004,0)),0))</f>
        <v>0</v>
      </c>
      <c r="T2230" s="26" t="str">
        <f aca="false">IF($D2230="","",O2230-R2230-S2230)</f>
        <v/>
      </c>
    </row>
    <row r="2231" customFormat="false" ht="15" hidden="false" customHeight="false" outlineLevel="0" collapsed="false">
      <c r="I2231" s="24" t="str">
        <f aca="false">IF($D2231="","",IFERROR(INDEX(Workers!$B$5:$B$2004,MATCH($D2231,Workers!$A$5:$A$2004,0)),"NOT FOUND"))</f>
        <v/>
      </c>
      <c r="J2231" s="24" t="str">
        <f aca="false">IF($D2231="","",IFERROR(INDEX(Workers!$C$5:$C$2004,MATCH($D2231,Workers!$A$5:$A$2004,0)),""))</f>
        <v/>
      </c>
      <c r="K2231" s="24" t="str">
        <f aca="false">IF($D2231="","",IFERROR(IF(INDEX(Workers!$D$5:$D$2004,MATCH($D2231,Workers!$A$5:$A$2004,0))=0,"",INDEX(Workers!$D$5:$D$2004,MATCH($D2231,Workers!$A$5:$A$2004,0))),""))</f>
        <v/>
      </c>
      <c r="L2231" s="24" t="str">
        <f aca="false">IF($D2231="","",IFERROR(INDEX(Workers!$E$5:$E$2004,MATCH($D2231,Workers!$A$5:$A$2004,0)),""))</f>
        <v/>
      </c>
      <c r="M2231" s="26" t="str">
        <f aca="false">IF($D2231="","",IFERROR(INDEX(ClientRates!$D$5:$D$500,MATCH($B2231&amp;"|"&amp;$L2231,ClientRates!$A$5:$A$500,0)),0))</f>
        <v/>
      </c>
      <c r="N2231" s="26" t="str">
        <f aca="false">IF($D2231="","",IFERROR(INDEX(ClientRates!$E$5:$E$500,MATCH($B2231&amp;"|"&amp;$L2231,ClientRates!$A$5:$A$500,0)),0))</f>
        <v/>
      </c>
      <c r="O2231" s="26" t="str">
        <f aca="false">IF($D2231="","",F2231*M2231+G2231*N2231)</f>
        <v/>
      </c>
      <c r="P2231" s="26" t="str">
        <f aca="false">IF(OR($D2231="",$J2231&lt;&gt;"Supplier"),"",IFERROR(INDEX(SupplierRates!$D$5:$D$500,MATCH($K2231&amp;"|"&amp;$L2231,SupplierRates!$A$5:$A$500,0)),0))</f>
        <v/>
      </c>
      <c r="Q2231" s="26" t="str">
        <f aca="false">IF(OR($D2231="",$J2231&lt;&gt;"Supplier"),"",IFERROR(INDEX(SupplierRates!$E$5:$E$500,MATCH($K2231&amp;"|"&amp;$L2231,SupplierRates!$A$5:$A$500,0)),0))</f>
        <v/>
      </c>
      <c r="R2231" s="26" t="n">
        <f aca="false">IF(OR($D2231="",$J2231&lt;&gt;"Supplier"),0,F2231*P2231+G2231*Q2231)</f>
        <v>0</v>
      </c>
      <c r="S2231" s="26" t="n">
        <f aca="false">IF(OR($D2231="",$J2231&lt;&gt;"Own"),0,IFERROR((F2231+G2231*Settings!$B$13)*INDEX(Workers!$V$5:$V$2004,MATCH($D2231,Workers!$A$5:$A$2004,0)),0))</f>
        <v>0</v>
      </c>
      <c r="T2231" s="26" t="str">
        <f aca="false">IF($D2231="","",O2231-R2231-S2231)</f>
        <v/>
      </c>
    </row>
    <row r="2232" customFormat="false" ht="15" hidden="false" customHeight="false" outlineLevel="0" collapsed="false">
      <c r="I2232" s="24" t="str">
        <f aca="false">IF($D2232="","",IFERROR(INDEX(Workers!$B$5:$B$2004,MATCH($D2232,Workers!$A$5:$A$2004,0)),"NOT FOUND"))</f>
        <v/>
      </c>
      <c r="J2232" s="24" t="str">
        <f aca="false">IF($D2232="","",IFERROR(INDEX(Workers!$C$5:$C$2004,MATCH($D2232,Workers!$A$5:$A$2004,0)),""))</f>
        <v/>
      </c>
      <c r="K2232" s="24" t="str">
        <f aca="false">IF($D2232="","",IFERROR(IF(INDEX(Workers!$D$5:$D$2004,MATCH($D2232,Workers!$A$5:$A$2004,0))=0,"",INDEX(Workers!$D$5:$D$2004,MATCH($D2232,Workers!$A$5:$A$2004,0))),""))</f>
        <v/>
      </c>
      <c r="L2232" s="24" t="str">
        <f aca="false">IF($D2232="","",IFERROR(INDEX(Workers!$E$5:$E$2004,MATCH($D2232,Workers!$A$5:$A$2004,0)),""))</f>
        <v/>
      </c>
      <c r="M2232" s="26" t="str">
        <f aca="false">IF($D2232="","",IFERROR(INDEX(ClientRates!$D$5:$D$500,MATCH($B2232&amp;"|"&amp;$L2232,ClientRates!$A$5:$A$500,0)),0))</f>
        <v/>
      </c>
      <c r="N2232" s="26" t="str">
        <f aca="false">IF($D2232="","",IFERROR(INDEX(ClientRates!$E$5:$E$500,MATCH($B2232&amp;"|"&amp;$L2232,ClientRates!$A$5:$A$500,0)),0))</f>
        <v/>
      </c>
      <c r="O2232" s="26" t="str">
        <f aca="false">IF($D2232="","",F2232*M2232+G2232*N2232)</f>
        <v/>
      </c>
      <c r="P2232" s="26" t="str">
        <f aca="false">IF(OR($D2232="",$J2232&lt;&gt;"Supplier"),"",IFERROR(INDEX(SupplierRates!$D$5:$D$500,MATCH($K2232&amp;"|"&amp;$L2232,SupplierRates!$A$5:$A$500,0)),0))</f>
        <v/>
      </c>
      <c r="Q2232" s="26" t="str">
        <f aca="false">IF(OR($D2232="",$J2232&lt;&gt;"Supplier"),"",IFERROR(INDEX(SupplierRates!$E$5:$E$500,MATCH($K2232&amp;"|"&amp;$L2232,SupplierRates!$A$5:$A$500,0)),0))</f>
        <v/>
      </c>
      <c r="R2232" s="26" t="n">
        <f aca="false">IF(OR($D2232="",$J2232&lt;&gt;"Supplier"),0,F2232*P2232+G2232*Q2232)</f>
        <v>0</v>
      </c>
      <c r="S2232" s="26" t="n">
        <f aca="false">IF(OR($D2232="",$J2232&lt;&gt;"Own"),0,IFERROR((F2232+G2232*Settings!$B$13)*INDEX(Workers!$V$5:$V$2004,MATCH($D2232,Workers!$A$5:$A$2004,0)),0))</f>
        <v>0</v>
      </c>
      <c r="T2232" s="26" t="str">
        <f aca="false">IF($D2232="","",O2232-R2232-S2232)</f>
        <v/>
      </c>
    </row>
    <row r="2233" customFormat="false" ht="15" hidden="false" customHeight="false" outlineLevel="0" collapsed="false">
      <c r="I2233" s="24" t="str">
        <f aca="false">IF($D2233="","",IFERROR(INDEX(Workers!$B$5:$B$2004,MATCH($D2233,Workers!$A$5:$A$2004,0)),"NOT FOUND"))</f>
        <v/>
      </c>
      <c r="J2233" s="24" t="str">
        <f aca="false">IF($D2233="","",IFERROR(INDEX(Workers!$C$5:$C$2004,MATCH($D2233,Workers!$A$5:$A$2004,0)),""))</f>
        <v/>
      </c>
      <c r="K2233" s="24" t="str">
        <f aca="false">IF($D2233="","",IFERROR(IF(INDEX(Workers!$D$5:$D$2004,MATCH($D2233,Workers!$A$5:$A$2004,0))=0,"",INDEX(Workers!$D$5:$D$2004,MATCH($D2233,Workers!$A$5:$A$2004,0))),""))</f>
        <v/>
      </c>
      <c r="L2233" s="24" t="str">
        <f aca="false">IF($D2233="","",IFERROR(INDEX(Workers!$E$5:$E$2004,MATCH($D2233,Workers!$A$5:$A$2004,0)),""))</f>
        <v/>
      </c>
      <c r="M2233" s="26" t="str">
        <f aca="false">IF($D2233="","",IFERROR(INDEX(ClientRates!$D$5:$D$500,MATCH($B2233&amp;"|"&amp;$L2233,ClientRates!$A$5:$A$500,0)),0))</f>
        <v/>
      </c>
      <c r="N2233" s="26" t="str">
        <f aca="false">IF($D2233="","",IFERROR(INDEX(ClientRates!$E$5:$E$500,MATCH($B2233&amp;"|"&amp;$L2233,ClientRates!$A$5:$A$500,0)),0))</f>
        <v/>
      </c>
      <c r="O2233" s="26" t="str">
        <f aca="false">IF($D2233="","",F2233*M2233+G2233*N2233)</f>
        <v/>
      </c>
      <c r="P2233" s="26" t="str">
        <f aca="false">IF(OR($D2233="",$J2233&lt;&gt;"Supplier"),"",IFERROR(INDEX(SupplierRates!$D$5:$D$500,MATCH($K2233&amp;"|"&amp;$L2233,SupplierRates!$A$5:$A$500,0)),0))</f>
        <v/>
      </c>
      <c r="Q2233" s="26" t="str">
        <f aca="false">IF(OR($D2233="",$J2233&lt;&gt;"Supplier"),"",IFERROR(INDEX(SupplierRates!$E$5:$E$500,MATCH($K2233&amp;"|"&amp;$L2233,SupplierRates!$A$5:$A$500,0)),0))</f>
        <v/>
      </c>
      <c r="R2233" s="26" t="n">
        <f aca="false">IF(OR($D2233="",$J2233&lt;&gt;"Supplier"),0,F2233*P2233+G2233*Q2233)</f>
        <v>0</v>
      </c>
      <c r="S2233" s="26" t="n">
        <f aca="false">IF(OR($D2233="",$J2233&lt;&gt;"Own"),0,IFERROR((F2233+G2233*Settings!$B$13)*INDEX(Workers!$V$5:$V$2004,MATCH($D2233,Workers!$A$5:$A$2004,0)),0))</f>
        <v>0</v>
      </c>
      <c r="T2233" s="26" t="str">
        <f aca="false">IF($D2233="","",O2233-R2233-S2233)</f>
        <v/>
      </c>
    </row>
    <row r="2234" customFormat="false" ht="15" hidden="false" customHeight="false" outlineLevel="0" collapsed="false">
      <c r="I2234" s="24" t="str">
        <f aca="false">IF($D2234="","",IFERROR(INDEX(Workers!$B$5:$B$2004,MATCH($D2234,Workers!$A$5:$A$2004,0)),"NOT FOUND"))</f>
        <v/>
      </c>
      <c r="J2234" s="24" t="str">
        <f aca="false">IF($D2234="","",IFERROR(INDEX(Workers!$C$5:$C$2004,MATCH($D2234,Workers!$A$5:$A$2004,0)),""))</f>
        <v/>
      </c>
      <c r="K2234" s="24" t="str">
        <f aca="false">IF($D2234="","",IFERROR(IF(INDEX(Workers!$D$5:$D$2004,MATCH($D2234,Workers!$A$5:$A$2004,0))=0,"",INDEX(Workers!$D$5:$D$2004,MATCH($D2234,Workers!$A$5:$A$2004,0))),""))</f>
        <v/>
      </c>
      <c r="L2234" s="24" t="str">
        <f aca="false">IF($D2234="","",IFERROR(INDEX(Workers!$E$5:$E$2004,MATCH($D2234,Workers!$A$5:$A$2004,0)),""))</f>
        <v/>
      </c>
      <c r="M2234" s="26" t="str">
        <f aca="false">IF($D2234="","",IFERROR(INDEX(ClientRates!$D$5:$D$500,MATCH($B2234&amp;"|"&amp;$L2234,ClientRates!$A$5:$A$500,0)),0))</f>
        <v/>
      </c>
      <c r="N2234" s="26" t="str">
        <f aca="false">IF($D2234="","",IFERROR(INDEX(ClientRates!$E$5:$E$500,MATCH($B2234&amp;"|"&amp;$L2234,ClientRates!$A$5:$A$500,0)),0))</f>
        <v/>
      </c>
      <c r="O2234" s="26" t="str">
        <f aca="false">IF($D2234="","",F2234*M2234+G2234*N2234)</f>
        <v/>
      </c>
      <c r="P2234" s="26" t="str">
        <f aca="false">IF(OR($D2234="",$J2234&lt;&gt;"Supplier"),"",IFERROR(INDEX(SupplierRates!$D$5:$D$500,MATCH($K2234&amp;"|"&amp;$L2234,SupplierRates!$A$5:$A$500,0)),0))</f>
        <v/>
      </c>
      <c r="Q2234" s="26" t="str">
        <f aca="false">IF(OR($D2234="",$J2234&lt;&gt;"Supplier"),"",IFERROR(INDEX(SupplierRates!$E$5:$E$500,MATCH($K2234&amp;"|"&amp;$L2234,SupplierRates!$A$5:$A$500,0)),0))</f>
        <v/>
      </c>
      <c r="R2234" s="26" t="n">
        <f aca="false">IF(OR($D2234="",$J2234&lt;&gt;"Supplier"),0,F2234*P2234+G2234*Q2234)</f>
        <v>0</v>
      </c>
      <c r="S2234" s="26" t="n">
        <f aca="false">IF(OR($D2234="",$J2234&lt;&gt;"Own"),0,IFERROR((F2234+G2234*Settings!$B$13)*INDEX(Workers!$V$5:$V$2004,MATCH($D2234,Workers!$A$5:$A$2004,0)),0))</f>
        <v>0</v>
      </c>
      <c r="T2234" s="26" t="str">
        <f aca="false">IF($D2234="","",O2234-R2234-S2234)</f>
        <v/>
      </c>
    </row>
    <row r="2235" customFormat="false" ht="15" hidden="false" customHeight="false" outlineLevel="0" collapsed="false">
      <c r="I2235" s="24" t="str">
        <f aca="false">IF($D2235="","",IFERROR(INDEX(Workers!$B$5:$B$2004,MATCH($D2235,Workers!$A$5:$A$2004,0)),"NOT FOUND"))</f>
        <v/>
      </c>
      <c r="J2235" s="24" t="str">
        <f aca="false">IF($D2235="","",IFERROR(INDEX(Workers!$C$5:$C$2004,MATCH($D2235,Workers!$A$5:$A$2004,0)),""))</f>
        <v/>
      </c>
      <c r="K2235" s="24" t="str">
        <f aca="false">IF($D2235="","",IFERROR(IF(INDEX(Workers!$D$5:$D$2004,MATCH($D2235,Workers!$A$5:$A$2004,0))=0,"",INDEX(Workers!$D$5:$D$2004,MATCH($D2235,Workers!$A$5:$A$2004,0))),""))</f>
        <v/>
      </c>
      <c r="L2235" s="24" t="str">
        <f aca="false">IF($D2235="","",IFERROR(INDEX(Workers!$E$5:$E$2004,MATCH($D2235,Workers!$A$5:$A$2004,0)),""))</f>
        <v/>
      </c>
      <c r="M2235" s="26" t="str">
        <f aca="false">IF($D2235="","",IFERROR(INDEX(ClientRates!$D$5:$D$500,MATCH($B2235&amp;"|"&amp;$L2235,ClientRates!$A$5:$A$500,0)),0))</f>
        <v/>
      </c>
      <c r="N2235" s="26" t="str">
        <f aca="false">IF($D2235="","",IFERROR(INDEX(ClientRates!$E$5:$E$500,MATCH($B2235&amp;"|"&amp;$L2235,ClientRates!$A$5:$A$500,0)),0))</f>
        <v/>
      </c>
      <c r="O2235" s="26" t="str">
        <f aca="false">IF($D2235="","",F2235*M2235+G2235*N2235)</f>
        <v/>
      </c>
      <c r="P2235" s="26" t="str">
        <f aca="false">IF(OR($D2235="",$J2235&lt;&gt;"Supplier"),"",IFERROR(INDEX(SupplierRates!$D$5:$D$500,MATCH($K2235&amp;"|"&amp;$L2235,SupplierRates!$A$5:$A$500,0)),0))</f>
        <v/>
      </c>
      <c r="Q2235" s="26" t="str">
        <f aca="false">IF(OR($D2235="",$J2235&lt;&gt;"Supplier"),"",IFERROR(INDEX(SupplierRates!$E$5:$E$500,MATCH($K2235&amp;"|"&amp;$L2235,SupplierRates!$A$5:$A$500,0)),0))</f>
        <v/>
      </c>
      <c r="R2235" s="26" t="n">
        <f aca="false">IF(OR($D2235="",$J2235&lt;&gt;"Supplier"),0,F2235*P2235+G2235*Q2235)</f>
        <v>0</v>
      </c>
      <c r="S2235" s="26" t="n">
        <f aca="false">IF(OR($D2235="",$J2235&lt;&gt;"Own"),0,IFERROR((F2235+G2235*Settings!$B$13)*INDEX(Workers!$V$5:$V$2004,MATCH($D2235,Workers!$A$5:$A$2004,0)),0))</f>
        <v>0</v>
      </c>
      <c r="T2235" s="26" t="str">
        <f aca="false">IF($D2235="","",O2235-R2235-S2235)</f>
        <v/>
      </c>
    </row>
    <row r="2236" customFormat="false" ht="15" hidden="false" customHeight="false" outlineLevel="0" collapsed="false">
      <c r="I2236" s="24" t="str">
        <f aca="false">IF($D2236="","",IFERROR(INDEX(Workers!$B$5:$B$2004,MATCH($D2236,Workers!$A$5:$A$2004,0)),"NOT FOUND"))</f>
        <v/>
      </c>
      <c r="J2236" s="24" t="str">
        <f aca="false">IF($D2236="","",IFERROR(INDEX(Workers!$C$5:$C$2004,MATCH($D2236,Workers!$A$5:$A$2004,0)),""))</f>
        <v/>
      </c>
      <c r="K2236" s="24" t="str">
        <f aca="false">IF($D2236="","",IFERROR(IF(INDEX(Workers!$D$5:$D$2004,MATCH($D2236,Workers!$A$5:$A$2004,0))=0,"",INDEX(Workers!$D$5:$D$2004,MATCH($D2236,Workers!$A$5:$A$2004,0))),""))</f>
        <v/>
      </c>
      <c r="L2236" s="24" t="str">
        <f aca="false">IF($D2236="","",IFERROR(INDEX(Workers!$E$5:$E$2004,MATCH($D2236,Workers!$A$5:$A$2004,0)),""))</f>
        <v/>
      </c>
      <c r="M2236" s="26" t="str">
        <f aca="false">IF($D2236="","",IFERROR(INDEX(ClientRates!$D$5:$D$500,MATCH($B2236&amp;"|"&amp;$L2236,ClientRates!$A$5:$A$500,0)),0))</f>
        <v/>
      </c>
      <c r="N2236" s="26" t="str">
        <f aca="false">IF($D2236="","",IFERROR(INDEX(ClientRates!$E$5:$E$500,MATCH($B2236&amp;"|"&amp;$L2236,ClientRates!$A$5:$A$500,0)),0))</f>
        <v/>
      </c>
      <c r="O2236" s="26" t="str">
        <f aca="false">IF($D2236="","",F2236*M2236+G2236*N2236)</f>
        <v/>
      </c>
      <c r="P2236" s="26" t="str">
        <f aca="false">IF(OR($D2236="",$J2236&lt;&gt;"Supplier"),"",IFERROR(INDEX(SupplierRates!$D$5:$D$500,MATCH($K2236&amp;"|"&amp;$L2236,SupplierRates!$A$5:$A$500,0)),0))</f>
        <v/>
      </c>
      <c r="Q2236" s="26" t="str">
        <f aca="false">IF(OR($D2236="",$J2236&lt;&gt;"Supplier"),"",IFERROR(INDEX(SupplierRates!$E$5:$E$500,MATCH($K2236&amp;"|"&amp;$L2236,SupplierRates!$A$5:$A$500,0)),0))</f>
        <v/>
      </c>
      <c r="R2236" s="26" t="n">
        <f aca="false">IF(OR($D2236="",$J2236&lt;&gt;"Supplier"),0,F2236*P2236+G2236*Q2236)</f>
        <v>0</v>
      </c>
      <c r="S2236" s="26" t="n">
        <f aca="false">IF(OR($D2236="",$J2236&lt;&gt;"Own"),0,IFERROR((F2236+G2236*Settings!$B$13)*INDEX(Workers!$V$5:$V$2004,MATCH($D2236,Workers!$A$5:$A$2004,0)),0))</f>
        <v>0</v>
      </c>
      <c r="T2236" s="26" t="str">
        <f aca="false">IF($D2236="","",O2236-R2236-S2236)</f>
        <v/>
      </c>
    </row>
    <row r="2237" customFormat="false" ht="15" hidden="false" customHeight="false" outlineLevel="0" collapsed="false">
      <c r="I2237" s="24" t="str">
        <f aca="false">IF($D2237="","",IFERROR(INDEX(Workers!$B$5:$B$2004,MATCH($D2237,Workers!$A$5:$A$2004,0)),"NOT FOUND"))</f>
        <v/>
      </c>
      <c r="J2237" s="24" t="str">
        <f aca="false">IF($D2237="","",IFERROR(INDEX(Workers!$C$5:$C$2004,MATCH($D2237,Workers!$A$5:$A$2004,0)),""))</f>
        <v/>
      </c>
      <c r="K2237" s="24" t="str">
        <f aca="false">IF($D2237="","",IFERROR(IF(INDEX(Workers!$D$5:$D$2004,MATCH($D2237,Workers!$A$5:$A$2004,0))=0,"",INDEX(Workers!$D$5:$D$2004,MATCH($D2237,Workers!$A$5:$A$2004,0))),""))</f>
        <v/>
      </c>
      <c r="L2237" s="24" t="str">
        <f aca="false">IF($D2237="","",IFERROR(INDEX(Workers!$E$5:$E$2004,MATCH($D2237,Workers!$A$5:$A$2004,0)),""))</f>
        <v/>
      </c>
      <c r="M2237" s="26" t="str">
        <f aca="false">IF($D2237="","",IFERROR(INDEX(ClientRates!$D$5:$D$500,MATCH($B2237&amp;"|"&amp;$L2237,ClientRates!$A$5:$A$500,0)),0))</f>
        <v/>
      </c>
      <c r="N2237" s="26" t="str">
        <f aca="false">IF($D2237="","",IFERROR(INDEX(ClientRates!$E$5:$E$500,MATCH($B2237&amp;"|"&amp;$L2237,ClientRates!$A$5:$A$500,0)),0))</f>
        <v/>
      </c>
      <c r="O2237" s="26" t="str">
        <f aca="false">IF($D2237="","",F2237*M2237+G2237*N2237)</f>
        <v/>
      </c>
      <c r="P2237" s="26" t="str">
        <f aca="false">IF(OR($D2237="",$J2237&lt;&gt;"Supplier"),"",IFERROR(INDEX(SupplierRates!$D$5:$D$500,MATCH($K2237&amp;"|"&amp;$L2237,SupplierRates!$A$5:$A$500,0)),0))</f>
        <v/>
      </c>
      <c r="Q2237" s="26" t="str">
        <f aca="false">IF(OR($D2237="",$J2237&lt;&gt;"Supplier"),"",IFERROR(INDEX(SupplierRates!$E$5:$E$500,MATCH($K2237&amp;"|"&amp;$L2237,SupplierRates!$A$5:$A$500,0)),0))</f>
        <v/>
      </c>
      <c r="R2237" s="26" t="n">
        <f aca="false">IF(OR($D2237="",$J2237&lt;&gt;"Supplier"),0,F2237*P2237+G2237*Q2237)</f>
        <v>0</v>
      </c>
      <c r="S2237" s="26" t="n">
        <f aca="false">IF(OR($D2237="",$J2237&lt;&gt;"Own"),0,IFERROR((F2237+G2237*Settings!$B$13)*INDEX(Workers!$V$5:$V$2004,MATCH($D2237,Workers!$A$5:$A$2004,0)),0))</f>
        <v>0</v>
      </c>
      <c r="T2237" s="26" t="str">
        <f aca="false">IF($D2237="","",O2237-R2237-S2237)</f>
        <v/>
      </c>
    </row>
    <row r="2238" customFormat="false" ht="15" hidden="false" customHeight="false" outlineLevel="0" collapsed="false">
      <c r="I2238" s="24" t="str">
        <f aca="false">IF($D2238="","",IFERROR(INDEX(Workers!$B$5:$B$2004,MATCH($D2238,Workers!$A$5:$A$2004,0)),"NOT FOUND"))</f>
        <v/>
      </c>
      <c r="J2238" s="24" t="str">
        <f aca="false">IF($D2238="","",IFERROR(INDEX(Workers!$C$5:$C$2004,MATCH($D2238,Workers!$A$5:$A$2004,0)),""))</f>
        <v/>
      </c>
      <c r="K2238" s="24" t="str">
        <f aca="false">IF($D2238="","",IFERROR(IF(INDEX(Workers!$D$5:$D$2004,MATCH($D2238,Workers!$A$5:$A$2004,0))=0,"",INDEX(Workers!$D$5:$D$2004,MATCH($D2238,Workers!$A$5:$A$2004,0))),""))</f>
        <v/>
      </c>
      <c r="L2238" s="24" t="str">
        <f aca="false">IF($D2238="","",IFERROR(INDEX(Workers!$E$5:$E$2004,MATCH($D2238,Workers!$A$5:$A$2004,0)),""))</f>
        <v/>
      </c>
      <c r="M2238" s="26" t="str">
        <f aca="false">IF($D2238="","",IFERROR(INDEX(ClientRates!$D$5:$D$500,MATCH($B2238&amp;"|"&amp;$L2238,ClientRates!$A$5:$A$500,0)),0))</f>
        <v/>
      </c>
      <c r="N2238" s="26" t="str">
        <f aca="false">IF($D2238="","",IFERROR(INDEX(ClientRates!$E$5:$E$500,MATCH($B2238&amp;"|"&amp;$L2238,ClientRates!$A$5:$A$500,0)),0))</f>
        <v/>
      </c>
      <c r="O2238" s="26" t="str">
        <f aca="false">IF($D2238="","",F2238*M2238+G2238*N2238)</f>
        <v/>
      </c>
      <c r="P2238" s="26" t="str">
        <f aca="false">IF(OR($D2238="",$J2238&lt;&gt;"Supplier"),"",IFERROR(INDEX(SupplierRates!$D$5:$D$500,MATCH($K2238&amp;"|"&amp;$L2238,SupplierRates!$A$5:$A$500,0)),0))</f>
        <v/>
      </c>
      <c r="Q2238" s="26" t="str">
        <f aca="false">IF(OR($D2238="",$J2238&lt;&gt;"Supplier"),"",IFERROR(INDEX(SupplierRates!$E$5:$E$500,MATCH($K2238&amp;"|"&amp;$L2238,SupplierRates!$A$5:$A$500,0)),0))</f>
        <v/>
      </c>
      <c r="R2238" s="26" t="n">
        <f aca="false">IF(OR($D2238="",$J2238&lt;&gt;"Supplier"),0,F2238*P2238+G2238*Q2238)</f>
        <v>0</v>
      </c>
      <c r="S2238" s="26" t="n">
        <f aca="false">IF(OR($D2238="",$J2238&lt;&gt;"Own"),0,IFERROR((F2238+G2238*Settings!$B$13)*INDEX(Workers!$V$5:$V$2004,MATCH($D2238,Workers!$A$5:$A$2004,0)),0))</f>
        <v>0</v>
      </c>
      <c r="T2238" s="26" t="str">
        <f aca="false">IF($D2238="","",O2238-R2238-S2238)</f>
        <v/>
      </c>
    </row>
    <row r="2239" customFormat="false" ht="15" hidden="false" customHeight="false" outlineLevel="0" collapsed="false">
      <c r="I2239" s="24" t="str">
        <f aca="false">IF($D2239="","",IFERROR(INDEX(Workers!$B$5:$B$2004,MATCH($D2239,Workers!$A$5:$A$2004,0)),"NOT FOUND"))</f>
        <v/>
      </c>
      <c r="J2239" s="24" t="str">
        <f aca="false">IF($D2239="","",IFERROR(INDEX(Workers!$C$5:$C$2004,MATCH($D2239,Workers!$A$5:$A$2004,0)),""))</f>
        <v/>
      </c>
      <c r="K2239" s="24" t="str">
        <f aca="false">IF($D2239="","",IFERROR(IF(INDEX(Workers!$D$5:$D$2004,MATCH($D2239,Workers!$A$5:$A$2004,0))=0,"",INDEX(Workers!$D$5:$D$2004,MATCH($D2239,Workers!$A$5:$A$2004,0))),""))</f>
        <v/>
      </c>
      <c r="L2239" s="24" t="str">
        <f aca="false">IF($D2239="","",IFERROR(INDEX(Workers!$E$5:$E$2004,MATCH($D2239,Workers!$A$5:$A$2004,0)),""))</f>
        <v/>
      </c>
      <c r="M2239" s="26" t="str">
        <f aca="false">IF($D2239="","",IFERROR(INDEX(ClientRates!$D$5:$D$500,MATCH($B2239&amp;"|"&amp;$L2239,ClientRates!$A$5:$A$500,0)),0))</f>
        <v/>
      </c>
      <c r="N2239" s="26" t="str">
        <f aca="false">IF($D2239="","",IFERROR(INDEX(ClientRates!$E$5:$E$500,MATCH($B2239&amp;"|"&amp;$L2239,ClientRates!$A$5:$A$500,0)),0))</f>
        <v/>
      </c>
      <c r="O2239" s="26" t="str">
        <f aca="false">IF($D2239="","",F2239*M2239+G2239*N2239)</f>
        <v/>
      </c>
      <c r="P2239" s="26" t="str">
        <f aca="false">IF(OR($D2239="",$J2239&lt;&gt;"Supplier"),"",IFERROR(INDEX(SupplierRates!$D$5:$D$500,MATCH($K2239&amp;"|"&amp;$L2239,SupplierRates!$A$5:$A$500,0)),0))</f>
        <v/>
      </c>
      <c r="Q2239" s="26" t="str">
        <f aca="false">IF(OR($D2239="",$J2239&lt;&gt;"Supplier"),"",IFERROR(INDEX(SupplierRates!$E$5:$E$500,MATCH($K2239&amp;"|"&amp;$L2239,SupplierRates!$A$5:$A$500,0)),0))</f>
        <v/>
      </c>
      <c r="R2239" s="26" t="n">
        <f aca="false">IF(OR($D2239="",$J2239&lt;&gt;"Supplier"),0,F2239*P2239+G2239*Q2239)</f>
        <v>0</v>
      </c>
      <c r="S2239" s="26" t="n">
        <f aca="false">IF(OR($D2239="",$J2239&lt;&gt;"Own"),0,IFERROR((F2239+G2239*Settings!$B$13)*INDEX(Workers!$V$5:$V$2004,MATCH($D2239,Workers!$A$5:$A$2004,0)),0))</f>
        <v>0</v>
      </c>
      <c r="T2239" s="26" t="str">
        <f aca="false">IF($D2239="","",O2239-R2239-S2239)</f>
        <v/>
      </c>
    </row>
    <row r="2240" customFormat="false" ht="15" hidden="false" customHeight="false" outlineLevel="0" collapsed="false">
      <c r="I2240" s="24" t="str">
        <f aca="false">IF($D2240="","",IFERROR(INDEX(Workers!$B$5:$B$2004,MATCH($D2240,Workers!$A$5:$A$2004,0)),"NOT FOUND"))</f>
        <v/>
      </c>
      <c r="J2240" s="24" t="str">
        <f aca="false">IF($D2240="","",IFERROR(INDEX(Workers!$C$5:$C$2004,MATCH($D2240,Workers!$A$5:$A$2004,0)),""))</f>
        <v/>
      </c>
      <c r="K2240" s="24" t="str">
        <f aca="false">IF($D2240="","",IFERROR(IF(INDEX(Workers!$D$5:$D$2004,MATCH($D2240,Workers!$A$5:$A$2004,0))=0,"",INDEX(Workers!$D$5:$D$2004,MATCH($D2240,Workers!$A$5:$A$2004,0))),""))</f>
        <v/>
      </c>
      <c r="L2240" s="24" t="str">
        <f aca="false">IF($D2240="","",IFERROR(INDEX(Workers!$E$5:$E$2004,MATCH($D2240,Workers!$A$5:$A$2004,0)),""))</f>
        <v/>
      </c>
      <c r="M2240" s="26" t="str">
        <f aca="false">IF($D2240="","",IFERROR(INDEX(ClientRates!$D$5:$D$500,MATCH($B2240&amp;"|"&amp;$L2240,ClientRates!$A$5:$A$500,0)),0))</f>
        <v/>
      </c>
      <c r="N2240" s="26" t="str">
        <f aca="false">IF($D2240="","",IFERROR(INDEX(ClientRates!$E$5:$E$500,MATCH($B2240&amp;"|"&amp;$L2240,ClientRates!$A$5:$A$500,0)),0))</f>
        <v/>
      </c>
      <c r="O2240" s="26" t="str">
        <f aca="false">IF($D2240="","",F2240*M2240+G2240*N2240)</f>
        <v/>
      </c>
      <c r="P2240" s="26" t="str">
        <f aca="false">IF(OR($D2240="",$J2240&lt;&gt;"Supplier"),"",IFERROR(INDEX(SupplierRates!$D$5:$D$500,MATCH($K2240&amp;"|"&amp;$L2240,SupplierRates!$A$5:$A$500,0)),0))</f>
        <v/>
      </c>
      <c r="Q2240" s="26" t="str">
        <f aca="false">IF(OR($D2240="",$J2240&lt;&gt;"Supplier"),"",IFERROR(INDEX(SupplierRates!$E$5:$E$500,MATCH($K2240&amp;"|"&amp;$L2240,SupplierRates!$A$5:$A$500,0)),0))</f>
        <v/>
      </c>
      <c r="R2240" s="26" t="n">
        <f aca="false">IF(OR($D2240="",$J2240&lt;&gt;"Supplier"),0,F2240*P2240+G2240*Q2240)</f>
        <v>0</v>
      </c>
      <c r="S2240" s="26" t="n">
        <f aca="false">IF(OR($D2240="",$J2240&lt;&gt;"Own"),0,IFERROR((F2240+G2240*Settings!$B$13)*INDEX(Workers!$V$5:$V$2004,MATCH($D2240,Workers!$A$5:$A$2004,0)),0))</f>
        <v>0</v>
      </c>
      <c r="T2240" s="26" t="str">
        <f aca="false">IF($D2240="","",O2240-R2240-S2240)</f>
        <v/>
      </c>
    </row>
    <row r="2241" customFormat="false" ht="15" hidden="false" customHeight="false" outlineLevel="0" collapsed="false">
      <c r="I2241" s="24" t="str">
        <f aca="false">IF($D2241="","",IFERROR(INDEX(Workers!$B$5:$B$2004,MATCH($D2241,Workers!$A$5:$A$2004,0)),"NOT FOUND"))</f>
        <v/>
      </c>
      <c r="J2241" s="24" t="str">
        <f aca="false">IF($D2241="","",IFERROR(INDEX(Workers!$C$5:$C$2004,MATCH($D2241,Workers!$A$5:$A$2004,0)),""))</f>
        <v/>
      </c>
      <c r="K2241" s="24" t="str">
        <f aca="false">IF($D2241="","",IFERROR(IF(INDEX(Workers!$D$5:$D$2004,MATCH($D2241,Workers!$A$5:$A$2004,0))=0,"",INDEX(Workers!$D$5:$D$2004,MATCH($D2241,Workers!$A$5:$A$2004,0))),""))</f>
        <v/>
      </c>
      <c r="L2241" s="24" t="str">
        <f aca="false">IF($D2241="","",IFERROR(INDEX(Workers!$E$5:$E$2004,MATCH($D2241,Workers!$A$5:$A$2004,0)),""))</f>
        <v/>
      </c>
      <c r="M2241" s="26" t="str">
        <f aca="false">IF($D2241="","",IFERROR(INDEX(ClientRates!$D$5:$D$500,MATCH($B2241&amp;"|"&amp;$L2241,ClientRates!$A$5:$A$500,0)),0))</f>
        <v/>
      </c>
      <c r="N2241" s="26" t="str">
        <f aca="false">IF($D2241="","",IFERROR(INDEX(ClientRates!$E$5:$E$500,MATCH($B2241&amp;"|"&amp;$L2241,ClientRates!$A$5:$A$500,0)),0))</f>
        <v/>
      </c>
      <c r="O2241" s="26" t="str">
        <f aca="false">IF($D2241="","",F2241*M2241+G2241*N2241)</f>
        <v/>
      </c>
      <c r="P2241" s="26" t="str">
        <f aca="false">IF(OR($D2241="",$J2241&lt;&gt;"Supplier"),"",IFERROR(INDEX(SupplierRates!$D$5:$D$500,MATCH($K2241&amp;"|"&amp;$L2241,SupplierRates!$A$5:$A$500,0)),0))</f>
        <v/>
      </c>
      <c r="Q2241" s="26" t="str">
        <f aca="false">IF(OR($D2241="",$J2241&lt;&gt;"Supplier"),"",IFERROR(INDEX(SupplierRates!$E$5:$E$500,MATCH($K2241&amp;"|"&amp;$L2241,SupplierRates!$A$5:$A$500,0)),0))</f>
        <v/>
      </c>
      <c r="R2241" s="26" t="n">
        <f aca="false">IF(OR($D2241="",$J2241&lt;&gt;"Supplier"),0,F2241*P2241+G2241*Q2241)</f>
        <v>0</v>
      </c>
      <c r="S2241" s="26" t="n">
        <f aca="false">IF(OR($D2241="",$J2241&lt;&gt;"Own"),0,IFERROR((F2241+G2241*Settings!$B$13)*INDEX(Workers!$V$5:$V$2004,MATCH($D2241,Workers!$A$5:$A$2004,0)),0))</f>
        <v>0</v>
      </c>
      <c r="T2241" s="26" t="str">
        <f aca="false">IF($D2241="","",O2241-R2241-S2241)</f>
        <v/>
      </c>
    </row>
    <row r="2242" customFormat="false" ht="15" hidden="false" customHeight="false" outlineLevel="0" collapsed="false">
      <c r="I2242" s="24" t="str">
        <f aca="false">IF($D2242="","",IFERROR(INDEX(Workers!$B$5:$B$2004,MATCH($D2242,Workers!$A$5:$A$2004,0)),"NOT FOUND"))</f>
        <v/>
      </c>
      <c r="J2242" s="24" t="str">
        <f aca="false">IF($D2242="","",IFERROR(INDEX(Workers!$C$5:$C$2004,MATCH($D2242,Workers!$A$5:$A$2004,0)),""))</f>
        <v/>
      </c>
      <c r="K2242" s="24" t="str">
        <f aca="false">IF($D2242="","",IFERROR(IF(INDEX(Workers!$D$5:$D$2004,MATCH($D2242,Workers!$A$5:$A$2004,0))=0,"",INDEX(Workers!$D$5:$D$2004,MATCH($D2242,Workers!$A$5:$A$2004,0))),""))</f>
        <v/>
      </c>
      <c r="L2242" s="24" t="str">
        <f aca="false">IF($D2242="","",IFERROR(INDEX(Workers!$E$5:$E$2004,MATCH($D2242,Workers!$A$5:$A$2004,0)),""))</f>
        <v/>
      </c>
      <c r="M2242" s="26" t="str">
        <f aca="false">IF($D2242="","",IFERROR(INDEX(ClientRates!$D$5:$D$500,MATCH($B2242&amp;"|"&amp;$L2242,ClientRates!$A$5:$A$500,0)),0))</f>
        <v/>
      </c>
      <c r="N2242" s="26" t="str">
        <f aca="false">IF($D2242="","",IFERROR(INDEX(ClientRates!$E$5:$E$500,MATCH($B2242&amp;"|"&amp;$L2242,ClientRates!$A$5:$A$500,0)),0))</f>
        <v/>
      </c>
      <c r="O2242" s="26" t="str">
        <f aca="false">IF($D2242="","",F2242*M2242+G2242*N2242)</f>
        <v/>
      </c>
      <c r="P2242" s="26" t="str">
        <f aca="false">IF(OR($D2242="",$J2242&lt;&gt;"Supplier"),"",IFERROR(INDEX(SupplierRates!$D$5:$D$500,MATCH($K2242&amp;"|"&amp;$L2242,SupplierRates!$A$5:$A$500,0)),0))</f>
        <v/>
      </c>
      <c r="Q2242" s="26" t="str">
        <f aca="false">IF(OR($D2242="",$J2242&lt;&gt;"Supplier"),"",IFERROR(INDEX(SupplierRates!$E$5:$E$500,MATCH($K2242&amp;"|"&amp;$L2242,SupplierRates!$A$5:$A$500,0)),0))</f>
        <v/>
      </c>
      <c r="R2242" s="26" t="n">
        <f aca="false">IF(OR($D2242="",$J2242&lt;&gt;"Supplier"),0,F2242*P2242+G2242*Q2242)</f>
        <v>0</v>
      </c>
      <c r="S2242" s="26" t="n">
        <f aca="false">IF(OR($D2242="",$J2242&lt;&gt;"Own"),0,IFERROR((F2242+G2242*Settings!$B$13)*INDEX(Workers!$V$5:$V$2004,MATCH($D2242,Workers!$A$5:$A$2004,0)),0))</f>
        <v>0</v>
      </c>
      <c r="T2242" s="26" t="str">
        <f aca="false">IF($D2242="","",O2242-R2242-S2242)</f>
        <v/>
      </c>
    </row>
    <row r="2243" customFormat="false" ht="15" hidden="false" customHeight="false" outlineLevel="0" collapsed="false">
      <c r="I2243" s="24" t="str">
        <f aca="false">IF($D2243="","",IFERROR(INDEX(Workers!$B$5:$B$2004,MATCH($D2243,Workers!$A$5:$A$2004,0)),"NOT FOUND"))</f>
        <v/>
      </c>
      <c r="J2243" s="24" t="str">
        <f aca="false">IF($D2243="","",IFERROR(INDEX(Workers!$C$5:$C$2004,MATCH($D2243,Workers!$A$5:$A$2004,0)),""))</f>
        <v/>
      </c>
      <c r="K2243" s="24" t="str">
        <f aca="false">IF($D2243="","",IFERROR(IF(INDEX(Workers!$D$5:$D$2004,MATCH($D2243,Workers!$A$5:$A$2004,0))=0,"",INDEX(Workers!$D$5:$D$2004,MATCH($D2243,Workers!$A$5:$A$2004,0))),""))</f>
        <v/>
      </c>
      <c r="L2243" s="24" t="str">
        <f aca="false">IF($D2243="","",IFERROR(INDEX(Workers!$E$5:$E$2004,MATCH($D2243,Workers!$A$5:$A$2004,0)),""))</f>
        <v/>
      </c>
      <c r="M2243" s="26" t="str">
        <f aca="false">IF($D2243="","",IFERROR(INDEX(ClientRates!$D$5:$D$500,MATCH($B2243&amp;"|"&amp;$L2243,ClientRates!$A$5:$A$500,0)),0))</f>
        <v/>
      </c>
      <c r="N2243" s="26" t="str">
        <f aca="false">IF($D2243="","",IFERROR(INDEX(ClientRates!$E$5:$E$500,MATCH($B2243&amp;"|"&amp;$L2243,ClientRates!$A$5:$A$500,0)),0))</f>
        <v/>
      </c>
      <c r="O2243" s="26" t="str">
        <f aca="false">IF($D2243="","",F2243*M2243+G2243*N2243)</f>
        <v/>
      </c>
      <c r="P2243" s="26" t="str">
        <f aca="false">IF(OR($D2243="",$J2243&lt;&gt;"Supplier"),"",IFERROR(INDEX(SupplierRates!$D$5:$D$500,MATCH($K2243&amp;"|"&amp;$L2243,SupplierRates!$A$5:$A$500,0)),0))</f>
        <v/>
      </c>
      <c r="Q2243" s="26" t="str">
        <f aca="false">IF(OR($D2243="",$J2243&lt;&gt;"Supplier"),"",IFERROR(INDEX(SupplierRates!$E$5:$E$500,MATCH($K2243&amp;"|"&amp;$L2243,SupplierRates!$A$5:$A$500,0)),0))</f>
        <v/>
      </c>
      <c r="R2243" s="26" t="n">
        <f aca="false">IF(OR($D2243="",$J2243&lt;&gt;"Supplier"),0,F2243*P2243+G2243*Q2243)</f>
        <v>0</v>
      </c>
      <c r="S2243" s="26" t="n">
        <f aca="false">IF(OR($D2243="",$J2243&lt;&gt;"Own"),0,IFERROR((F2243+G2243*Settings!$B$13)*INDEX(Workers!$V$5:$V$2004,MATCH($D2243,Workers!$A$5:$A$2004,0)),0))</f>
        <v>0</v>
      </c>
      <c r="T2243" s="26" t="str">
        <f aca="false">IF($D2243="","",O2243-R2243-S2243)</f>
        <v/>
      </c>
    </row>
    <row r="2244" customFormat="false" ht="15" hidden="false" customHeight="false" outlineLevel="0" collapsed="false">
      <c r="I2244" s="24" t="str">
        <f aca="false">IF($D2244="","",IFERROR(INDEX(Workers!$B$5:$B$2004,MATCH($D2244,Workers!$A$5:$A$2004,0)),"NOT FOUND"))</f>
        <v/>
      </c>
      <c r="J2244" s="24" t="str">
        <f aca="false">IF($D2244="","",IFERROR(INDEX(Workers!$C$5:$C$2004,MATCH($D2244,Workers!$A$5:$A$2004,0)),""))</f>
        <v/>
      </c>
      <c r="K2244" s="24" t="str">
        <f aca="false">IF($D2244="","",IFERROR(IF(INDEX(Workers!$D$5:$D$2004,MATCH($D2244,Workers!$A$5:$A$2004,0))=0,"",INDEX(Workers!$D$5:$D$2004,MATCH($D2244,Workers!$A$5:$A$2004,0))),""))</f>
        <v/>
      </c>
      <c r="L2244" s="24" t="str">
        <f aca="false">IF($D2244="","",IFERROR(INDEX(Workers!$E$5:$E$2004,MATCH($D2244,Workers!$A$5:$A$2004,0)),""))</f>
        <v/>
      </c>
      <c r="M2244" s="26" t="str">
        <f aca="false">IF($D2244="","",IFERROR(INDEX(ClientRates!$D$5:$D$500,MATCH($B2244&amp;"|"&amp;$L2244,ClientRates!$A$5:$A$500,0)),0))</f>
        <v/>
      </c>
      <c r="N2244" s="26" t="str">
        <f aca="false">IF($D2244="","",IFERROR(INDEX(ClientRates!$E$5:$E$500,MATCH($B2244&amp;"|"&amp;$L2244,ClientRates!$A$5:$A$500,0)),0))</f>
        <v/>
      </c>
      <c r="O2244" s="26" t="str">
        <f aca="false">IF($D2244="","",F2244*M2244+G2244*N2244)</f>
        <v/>
      </c>
      <c r="P2244" s="26" t="str">
        <f aca="false">IF(OR($D2244="",$J2244&lt;&gt;"Supplier"),"",IFERROR(INDEX(SupplierRates!$D$5:$D$500,MATCH($K2244&amp;"|"&amp;$L2244,SupplierRates!$A$5:$A$500,0)),0))</f>
        <v/>
      </c>
      <c r="Q2244" s="26" t="str">
        <f aca="false">IF(OR($D2244="",$J2244&lt;&gt;"Supplier"),"",IFERROR(INDEX(SupplierRates!$E$5:$E$500,MATCH($K2244&amp;"|"&amp;$L2244,SupplierRates!$A$5:$A$500,0)),0))</f>
        <v/>
      </c>
      <c r="R2244" s="26" t="n">
        <f aca="false">IF(OR($D2244="",$J2244&lt;&gt;"Supplier"),0,F2244*P2244+G2244*Q2244)</f>
        <v>0</v>
      </c>
      <c r="S2244" s="26" t="n">
        <f aca="false">IF(OR($D2244="",$J2244&lt;&gt;"Own"),0,IFERROR((F2244+G2244*Settings!$B$13)*INDEX(Workers!$V$5:$V$2004,MATCH($D2244,Workers!$A$5:$A$2004,0)),0))</f>
        <v>0</v>
      </c>
      <c r="T2244" s="26" t="str">
        <f aca="false">IF($D2244="","",O2244-R2244-S2244)</f>
        <v/>
      </c>
    </row>
    <row r="2245" customFormat="false" ht="15" hidden="false" customHeight="false" outlineLevel="0" collapsed="false">
      <c r="I2245" s="24" t="str">
        <f aca="false">IF($D2245="","",IFERROR(INDEX(Workers!$B$5:$B$2004,MATCH($D2245,Workers!$A$5:$A$2004,0)),"NOT FOUND"))</f>
        <v/>
      </c>
      <c r="J2245" s="24" t="str">
        <f aca="false">IF($D2245="","",IFERROR(INDEX(Workers!$C$5:$C$2004,MATCH($D2245,Workers!$A$5:$A$2004,0)),""))</f>
        <v/>
      </c>
      <c r="K2245" s="24" t="str">
        <f aca="false">IF($D2245="","",IFERROR(IF(INDEX(Workers!$D$5:$D$2004,MATCH($D2245,Workers!$A$5:$A$2004,0))=0,"",INDEX(Workers!$D$5:$D$2004,MATCH($D2245,Workers!$A$5:$A$2004,0))),""))</f>
        <v/>
      </c>
      <c r="L2245" s="24" t="str">
        <f aca="false">IF($D2245="","",IFERROR(INDEX(Workers!$E$5:$E$2004,MATCH($D2245,Workers!$A$5:$A$2004,0)),""))</f>
        <v/>
      </c>
      <c r="M2245" s="26" t="str">
        <f aca="false">IF($D2245="","",IFERROR(INDEX(ClientRates!$D$5:$D$500,MATCH($B2245&amp;"|"&amp;$L2245,ClientRates!$A$5:$A$500,0)),0))</f>
        <v/>
      </c>
      <c r="N2245" s="26" t="str">
        <f aca="false">IF($D2245="","",IFERROR(INDEX(ClientRates!$E$5:$E$500,MATCH($B2245&amp;"|"&amp;$L2245,ClientRates!$A$5:$A$500,0)),0))</f>
        <v/>
      </c>
      <c r="O2245" s="26" t="str">
        <f aca="false">IF($D2245="","",F2245*M2245+G2245*N2245)</f>
        <v/>
      </c>
      <c r="P2245" s="26" t="str">
        <f aca="false">IF(OR($D2245="",$J2245&lt;&gt;"Supplier"),"",IFERROR(INDEX(SupplierRates!$D$5:$D$500,MATCH($K2245&amp;"|"&amp;$L2245,SupplierRates!$A$5:$A$500,0)),0))</f>
        <v/>
      </c>
      <c r="Q2245" s="26" t="str">
        <f aca="false">IF(OR($D2245="",$J2245&lt;&gt;"Supplier"),"",IFERROR(INDEX(SupplierRates!$E$5:$E$500,MATCH($K2245&amp;"|"&amp;$L2245,SupplierRates!$A$5:$A$500,0)),0))</f>
        <v/>
      </c>
      <c r="R2245" s="26" t="n">
        <f aca="false">IF(OR($D2245="",$J2245&lt;&gt;"Supplier"),0,F2245*P2245+G2245*Q2245)</f>
        <v>0</v>
      </c>
      <c r="S2245" s="26" t="n">
        <f aca="false">IF(OR($D2245="",$J2245&lt;&gt;"Own"),0,IFERROR((F2245+G2245*Settings!$B$13)*INDEX(Workers!$V$5:$V$2004,MATCH($D2245,Workers!$A$5:$A$2004,0)),0))</f>
        <v>0</v>
      </c>
      <c r="T2245" s="26" t="str">
        <f aca="false">IF($D2245="","",O2245-R2245-S2245)</f>
        <v/>
      </c>
    </row>
    <row r="2246" customFormat="false" ht="15" hidden="false" customHeight="false" outlineLevel="0" collapsed="false">
      <c r="I2246" s="24" t="str">
        <f aca="false">IF($D2246="","",IFERROR(INDEX(Workers!$B$5:$B$2004,MATCH($D2246,Workers!$A$5:$A$2004,0)),"NOT FOUND"))</f>
        <v/>
      </c>
      <c r="J2246" s="24" t="str">
        <f aca="false">IF($D2246="","",IFERROR(INDEX(Workers!$C$5:$C$2004,MATCH($D2246,Workers!$A$5:$A$2004,0)),""))</f>
        <v/>
      </c>
      <c r="K2246" s="24" t="str">
        <f aca="false">IF($D2246="","",IFERROR(IF(INDEX(Workers!$D$5:$D$2004,MATCH($D2246,Workers!$A$5:$A$2004,0))=0,"",INDEX(Workers!$D$5:$D$2004,MATCH($D2246,Workers!$A$5:$A$2004,0))),""))</f>
        <v/>
      </c>
      <c r="L2246" s="24" t="str">
        <f aca="false">IF($D2246="","",IFERROR(INDEX(Workers!$E$5:$E$2004,MATCH($D2246,Workers!$A$5:$A$2004,0)),""))</f>
        <v/>
      </c>
      <c r="M2246" s="26" t="str">
        <f aca="false">IF($D2246="","",IFERROR(INDEX(ClientRates!$D$5:$D$500,MATCH($B2246&amp;"|"&amp;$L2246,ClientRates!$A$5:$A$500,0)),0))</f>
        <v/>
      </c>
      <c r="N2246" s="26" t="str">
        <f aca="false">IF($D2246="","",IFERROR(INDEX(ClientRates!$E$5:$E$500,MATCH($B2246&amp;"|"&amp;$L2246,ClientRates!$A$5:$A$500,0)),0))</f>
        <v/>
      </c>
      <c r="O2246" s="26" t="str">
        <f aca="false">IF($D2246="","",F2246*M2246+G2246*N2246)</f>
        <v/>
      </c>
      <c r="P2246" s="26" t="str">
        <f aca="false">IF(OR($D2246="",$J2246&lt;&gt;"Supplier"),"",IFERROR(INDEX(SupplierRates!$D$5:$D$500,MATCH($K2246&amp;"|"&amp;$L2246,SupplierRates!$A$5:$A$500,0)),0))</f>
        <v/>
      </c>
      <c r="Q2246" s="26" t="str">
        <f aca="false">IF(OR($D2246="",$J2246&lt;&gt;"Supplier"),"",IFERROR(INDEX(SupplierRates!$E$5:$E$500,MATCH($K2246&amp;"|"&amp;$L2246,SupplierRates!$A$5:$A$500,0)),0))</f>
        <v/>
      </c>
      <c r="R2246" s="26" t="n">
        <f aca="false">IF(OR($D2246="",$J2246&lt;&gt;"Supplier"),0,F2246*P2246+G2246*Q2246)</f>
        <v>0</v>
      </c>
      <c r="S2246" s="26" t="n">
        <f aca="false">IF(OR($D2246="",$J2246&lt;&gt;"Own"),0,IFERROR((F2246+G2246*Settings!$B$13)*INDEX(Workers!$V$5:$V$2004,MATCH($D2246,Workers!$A$5:$A$2004,0)),0))</f>
        <v>0</v>
      </c>
      <c r="T2246" s="26" t="str">
        <f aca="false">IF($D2246="","",O2246-R2246-S2246)</f>
        <v/>
      </c>
    </row>
    <row r="2247" customFormat="false" ht="15" hidden="false" customHeight="false" outlineLevel="0" collapsed="false">
      <c r="I2247" s="24" t="str">
        <f aca="false">IF($D2247="","",IFERROR(INDEX(Workers!$B$5:$B$2004,MATCH($D2247,Workers!$A$5:$A$2004,0)),"NOT FOUND"))</f>
        <v/>
      </c>
      <c r="J2247" s="24" t="str">
        <f aca="false">IF($D2247="","",IFERROR(INDEX(Workers!$C$5:$C$2004,MATCH($D2247,Workers!$A$5:$A$2004,0)),""))</f>
        <v/>
      </c>
      <c r="K2247" s="24" t="str">
        <f aca="false">IF($D2247="","",IFERROR(IF(INDEX(Workers!$D$5:$D$2004,MATCH($D2247,Workers!$A$5:$A$2004,0))=0,"",INDEX(Workers!$D$5:$D$2004,MATCH($D2247,Workers!$A$5:$A$2004,0))),""))</f>
        <v/>
      </c>
      <c r="L2247" s="24" t="str">
        <f aca="false">IF($D2247="","",IFERROR(INDEX(Workers!$E$5:$E$2004,MATCH($D2247,Workers!$A$5:$A$2004,0)),""))</f>
        <v/>
      </c>
      <c r="M2247" s="26" t="str">
        <f aca="false">IF($D2247="","",IFERROR(INDEX(ClientRates!$D$5:$D$500,MATCH($B2247&amp;"|"&amp;$L2247,ClientRates!$A$5:$A$500,0)),0))</f>
        <v/>
      </c>
      <c r="N2247" s="26" t="str">
        <f aca="false">IF($D2247="","",IFERROR(INDEX(ClientRates!$E$5:$E$500,MATCH($B2247&amp;"|"&amp;$L2247,ClientRates!$A$5:$A$500,0)),0))</f>
        <v/>
      </c>
      <c r="O2247" s="26" t="str">
        <f aca="false">IF($D2247="","",F2247*M2247+G2247*N2247)</f>
        <v/>
      </c>
      <c r="P2247" s="26" t="str">
        <f aca="false">IF(OR($D2247="",$J2247&lt;&gt;"Supplier"),"",IFERROR(INDEX(SupplierRates!$D$5:$D$500,MATCH($K2247&amp;"|"&amp;$L2247,SupplierRates!$A$5:$A$500,0)),0))</f>
        <v/>
      </c>
      <c r="Q2247" s="26" t="str">
        <f aca="false">IF(OR($D2247="",$J2247&lt;&gt;"Supplier"),"",IFERROR(INDEX(SupplierRates!$E$5:$E$500,MATCH($K2247&amp;"|"&amp;$L2247,SupplierRates!$A$5:$A$500,0)),0))</f>
        <v/>
      </c>
      <c r="R2247" s="26" t="n">
        <f aca="false">IF(OR($D2247="",$J2247&lt;&gt;"Supplier"),0,F2247*P2247+G2247*Q2247)</f>
        <v>0</v>
      </c>
      <c r="S2247" s="26" t="n">
        <f aca="false">IF(OR($D2247="",$J2247&lt;&gt;"Own"),0,IFERROR((F2247+G2247*Settings!$B$13)*INDEX(Workers!$V$5:$V$2004,MATCH($D2247,Workers!$A$5:$A$2004,0)),0))</f>
        <v>0</v>
      </c>
      <c r="T2247" s="26" t="str">
        <f aca="false">IF($D2247="","",O2247-R2247-S2247)</f>
        <v/>
      </c>
    </row>
    <row r="2248" customFormat="false" ht="15" hidden="false" customHeight="false" outlineLevel="0" collapsed="false">
      <c r="I2248" s="24" t="str">
        <f aca="false">IF($D2248="","",IFERROR(INDEX(Workers!$B$5:$B$2004,MATCH($D2248,Workers!$A$5:$A$2004,0)),"NOT FOUND"))</f>
        <v/>
      </c>
      <c r="J2248" s="24" t="str">
        <f aca="false">IF($D2248="","",IFERROR(INDEX(Workers!$C$5:$C$2004,MATCH($D2248,Workers!$A$5:$A$2004,0)),""))</f>
        <v/>
      </c>
      <c r="K2248" s="24" t="str">
        <f aca="false">IF($D2248="","",IFERROR(IF(INDEX(Workers!$D$5:$D$2004,MATCH($D2248,Workers!$A$5:$A$2004,0))=0,"",INDEX(Workers!$D$5:$D$2004,MATCH($D2248,Workers!$A$5:$A$2004,0))),""))</f>
        <v/>
      </c>
      <c r="L2248" s="24" t="str">
        <f aca="false">IF($D2248="","",IFERROR(INDEX(Workers!$E$5:$E$2004,MATCH($D2248,Workers!$A$5:$A$2004,0)),""))</f>
        <v/>
      </c>
      <c r="M2248" s="26" t="str">
        <f aca="false">IF($D2248="","",IFERROR(INDEX(ClientRates!$D$5:$D$500,MATCH($B2248&amp;"|"&amp;$L2248,ClientRates!$A$5:$A$500,0)),0))</f>
        <v/>
      </c>
      <c r="N2248" s="26" t="str">
        <f aca="false">IF($D2248="","",IFERROR(INDEX(ClientRates!$E$5:$E$500,MATCH($B2248&amp;"|"&amp;$L2248,ClientRates!$A$5:$A$500,0)),0))</f>
        <v/>
      </c>
      <c r="O2248" s="26" t="str">
        <f aca="false">IF($D2248="","",F2248*M2248+G2248*N2248)</f>
        <v/>
      </c>
      <c r="P2248" s="26" t="str">
        <f aca="false">IF(OR($D2248="",$J2248&lt;&gt;"Supplier"),"",IFERROR(INDEX(SupplierRates!$D$5:$D$500,MATCH($K2248&amp;"|"&amp;$L2248,SupplierRates!$A$5:$A$500,0)),0))</f>
        <v/>
      </c>
      <c r="Q2248" s="26" t="str">
        <f aca="false">IF(OR($D2248="",$J2248&lt;&gt;"Supplier"),"",IFERROR(INDEX(SupplierRates!$E$5:$E$500,MATCH($K2248&amp;"|"&amp;$L2248,SupplierRates!$A$5:$A$500,0)),0))</f>
        <v/>
      </c>
      <c r="R2248" s="26" t="n">
        <f aca="false">IF(OR($D2248="",$J2248&lt;&gt;"Supplier"),0,F2248*P2248+G2248*Q2248)</f>
        <v>0</v>
      </c>
      <c r="S2248" s="26" t="n">
        <f aca="false">IF(OR($D2248="",$J2248&lt;&gt;"Own"),0,IFERROR((F2248+G2248*Settings!$B$13)*INDEX(Workers!$V$5:$V$2004,MATCH($D2248,Workers!$A$5:$A$2004,0)),0))</f>
        <v>0</v>
      </c>
      <c r="T2248" s="26" t="str">
        <f aca="false">IF($D2248="","",O2248-R2248-S2248)</f>
        <v/>
      </c>
    </row>
    <row r="2249" customFormat="false" ht="15" hidden="false" customHeight="false" outlineLevel="0" collapsed="false">
      <c r="I2249" s="24" t="str">
        <f aca="false">IF($D2249="","",IFERROR(INDEX(Workers!$B$5:$B$2004,MATCH($D2249,Workers!$A$5:$A$2004,0)),"NOT FOUND"))</f>
        <v/>
      </c>
      <c r="J2249" s="24" t="str">
        <f aca="false">IF($D2249="","",IFERROR(INDEX(Workers!$C$5:$C$2004,MATCH($D2249,Workers!$A$5:$A$2004,0)),""))</f>
        <v/>
      </c>
      <c r="K2249" s="24" t="str">
        <f aca="false">IF($D2249="","",IFERROR(IF(INDEX(Workers!$D$5:$D$2004,MATCH($D2249,Workers!$A$5:$A$2004,0))=0,"",INDEX(Workers!$D$5:$D$2004,MATCH($D2249,Workers!$A$5:$A$2004,0))),""))</f>
        <v/>
      </c>
      <c r="L2249" s="24" t="str">
        <f aca="false">IF($D2249="","",IFERROR(INDEX(Workers!$E$5:$E$2004,MATCH($D2249,Workers!$A$5:$A$2004,0)),""))</f>
        <v/>
      </c>
      <c r="M2249" s="26" t="str">
        <f aca="false">IF($D2249="","",IFERROR(INDEX(ClientRates!$D$5:$D$500,MATCH($B2249&amp;"|"&amp;$L2249,ClientRates!$A$5:$A$500,0)),0))</f>
        <v/>
      </c>
      <c r="N2249" s="26" t="str">
        <f aca="false">IF($D2249="","",IFERROR(INDEX(ClientRates!$E$5:$E$500,MATCH($B2249&amp;"|"&amp;$L2249,ClientRates!$A$5:$A$500,0)),0))</f>
        <v/>
      </c>
      <c r="O2249" s="26" t="str">
        <f aca="false">IF($D2249="","",F2249*M2249+G2249*N2249)</f>
        <v/>
      </c>
      <c r="P2249" s="26" t="str">
        <f aca="false">IF(OR($D2249="",$J2249&lt;&gt;"Supplier"),"",IFERROR(INDEX(SupplierRates!$D$5:$D$500,MATCH($K2249&amp;"|"&amp;$L2249,SupplierRates!$A$5:$A$500,0)),0))</f>
        <v/>
      </c>
      <c r="Q2249" s="26" t="str">
        <f aca="false">IF(OR($D2249="",$J2249&lt;&gt;"Supplier"),"",IFERROR(INDEX(SupplierRates!$E$5:$E$500,MATCH($K2249&amp;"|"&amp;$L2249,SupplierRates!$A$5:$A$500,0)),0))</f>
        <v/>
      </c>
      <c r="R2249" s="26" t="n">
        <f aca="false">IF(OR($D2249="",$J2249&lt;&gt;"Supplier"),0,F2249*P2249+G2249*Q2249)</f>
        <v>0</v>
      </c>
      <c r="S2249" s="26" t="n">
        <f aca="false">IF(OR($D2249="",$J2249&lt;&gt;"Own"),0,IFERROR((F2249+G2249*Settings!$B$13)*INDEX(Workers!$V$5:$V$2004,MATCH($D2249,Workers!$A$5:$A$2004,0)),0))</f>
        <v>0</v>
      </c>
      <c r="T2249" s="26" t="str">
        <f aca="false">IF($D2249="","",O2249-R2249-S2249)</f>
        <v/>
      </c>
    </row>
    <row r="2250" customFormat="false" ht="15" hidden="false" customHeight="false" outlineLevel="0" collapsed="false">
      <c r="I2250" s="24" t="str">
        <f aca="false">IF($D2250="","",IFERROR(INDEX(Workers!$B$5:$B$2004,MATCH($D2250,Workers!$A$5:$A$2004,0)),"NOT FOUND"))</f>
        <v/>
      </c>
      <c r="J2250" s="24" t="str">
        <f aca="false">IF($D2250="","",IFERROR(INDEX(Workers!$C$5:$C$2004,MATCH($D2250,Workers!$A$5:$A$2004,0)),""))</f>
        <v/>
      </c>
      <c r="K2250" s="24" t="str">
        <f aca="false">IF($D2250="","",IFERROR(IF(INDEX(Workers!$D$5:$D$2004,MATCH($D2250,Workers!$A$5:$A$2004,0))=0,"",INDEX(Workers!$D$5:$D$2004,MATCH($D2250,Workers!$A$5:$A$2004,0))),""))</f>
        <v/>
      </c>
      <c r="L2250" s="24" t="str">
        <f aca="false">IF($D2250="","",IFERROR(INDEX(Workers!$E$5:$E$2004,MATCH($D2250,Workers!$A$5:$A$2004,0)),""))</f>
        <v/>
      </c>
      <c r="M2250" s="26" t="str">
        <f aca="false">IF($D2250="","",IFERROR(INDEX(ClientRates!$D$5:$D$500,MATCH($B2250&amp;"|"&amp;$L2250,ClientRates!$A$5:$A$500,0)),0))</f>
        <v/>
      </c>
      <c r="N2250" s="26" t="str">
        <f aca="false">IF($D2250="","",IFERROR(INDEX(ClientRates!$E$5:$E$500,MATCH($B2250&amp;"|"&amp;$L2250,ClientRates!$A$5:$A$500,0)),0))</f>
        <v/>
      </c>
      <c r="O2250" s="26" t="str">
        <f aca="false">IF($D2250="","",F2250*M2250+G2250*N2250)</f>
        <v/>
      </c>
      <c r="P2250" s="26" t="str">
        <f aca="false">IF(OR($D2250="",$J2250&lt;&gt;"Supplier"),"",IFERROR(INDEX(SupplierRates!$D$5:$D$500,MATCH($K2250&amp;"|"&amp;$L2250,SupplierRates!$A$5:$A$500,0)),0))</f>
        <v/>
      </c>
      <c r="Q2250" s="26" t="str">
        <f aca="false">IF(OR($D2250="",$J2250&lt;&gt;"Supplier"),"",IFERROR(INDEX(SupplierRates!$E$5:$E$500,MATCH($K2250&amp;"|"&amp;$L2250,SupplierRates!$A$5:$A$500,0)),0))</f>
        <v/>
      </c>
      <c r="R2250" s="26" t="n">
        <f aca="false">IF(OR($D2250="",$J2250&lt;&gt;"Supplier"),0,F2250*P2250+G2250*Q2250)</f>
        <v>0</v>
      </c>
      <c r="S2250" s="26" t="n">
        <f aca="false">IF(OR($D2250="",$J2250&lt;&gt;"Own"),0,IFERROR((F2250+G2250*Settings!$B$13)*INDEX(Workers!$V$5:$V$2004,MATCH($D2250,Workers!$A$5:$A$2004,0)),0))</f>
        <v>0</v>
      </c>
      <c r="T2250" s="26" t="str">
        <f aca="false">IF($D2250="","",O2250-R2250-S2250)</f>
        <v/>
      </c>
    </row>
    <row r="2251" customFormat="false" ht="15" hidden="false" customHeight="false" outlineLevel="0" collapsed="false">
      <c r="I2251" s="24" t="str">
        <f aca="false">IF($D2251="","",IFERROR(INDEX(Workers!$B$5:$B$2004,MATCH($D2251,Workers!$A$5:$A$2004,0)),"NOT FOUND"))</f>
        <v/>
      </c>
      <c r="J2251" s="24" t="str">
        <f aca="false">IF($D2251="","",IFERROR(INDEX(Workers!$C$5:$C$2004,MATCH($D2251,Workers!$A$5:$A$2004,0)),""))</f>
        <v/>
      </c>
      <c r="K2251" s="24" t="str">
        <f aca="false">IF($D2251="","",IFERROR(IF(INDEX(Workers!$D$5:$D$2004,MATCH($D2251,Workers!$A$5:$A$2004,0))=0,"",INDEX(Workers!$D$5:$D$2004,MATCH($D2251,Workers!$A$5:$A$2004,0))),""))</f>
        <v/>
      </c>
      <c r="L2251" s="24" t="str">
        <f aca="false">IF($D2251="","",IFERROR(INDEX(Workers!$E$5:$E$2004,MATCH($D2251,Workers!$A$5:$A$2004,0)),""))</f>
        <v/>
      </c>
      <c r="M2251" s="26" t="str">
        <f aca="false">IF($D2251="","",IFERROR(INDEX(ClientRates!$D$5:$D$500,MATCH($B2251&amp;"|"&amp;$L2251,ClientRates!$A$5:$A$500,0)),0))</f>
        <v/>
      </c>
      <c r="N2251" s="26" t="str">
        <f aca="false">IF($D2251="","",IFERROR(INDEX(ClientRates!$E$5:$E$500,MATCH($B2251&amp;"|"&amp;$L2251,ClientRates!$A$5:$A$500,0)),0))</f>
        <v/>
      </c>
      <c r="O2251" s="26" t="str">
        <f aca="false">IF($D2251="","",F2251*M2251+G2251*N2251)</f>
        <v/>
      </c>
      <c r="P2251" s="26" t="str">
        <f aca="false">IF(OR($D2251="",$J2251&lt;&gt;"Supplier"),"",IFERROR(INDEX(SupplierRates!$D$5:$D$500,MATCH($K2251&amp;"|"&amp;$L2251,SupplierRates!$A$5:$A$500,0)),0))</f>
        <v/>
      </c>
      <c r="Q2251" s="26" t="str">
        <f aca="false">IF(OR($D2251="",$J2251&lt;&gt;"Supplier"),"",IFERROR(INDEX(SupplierRates!$E$5:$E$500,MATCH($K2251&amp;"|"&amp;$L2251,SupplierRates!$A$5:$A$500,0)),0))</f>
        <v/>
      </c>
      <c r="R2251" s="26" t="n">
        <f aca="false">IF(OR($D2251="",$J2251&lt;&gt;"Supplier"),0,F2251*P2251+G2251*Q2251)</f>
        <v>0</v>
      </c>
      <c r="S2251" s="26" t="n">
        <f aca="false">IF(OR($D2251="",$J2251&lt;&gt;"Own"),0,IFERROR((F2251+G2251*Settings!$B$13)*INDEX(Workers!$V$5:$V$2004,MATCH($D2251,Workers!$A$5:$A$2004,0)),0))</f>
        <v>0</v>
      </c>
      <c r="T2251" s="26" t="str">
        <f aca="false">IF($D2251="","",O2251-R2251-S2251)</f>
        <v/>
      </c>
    </row>
    <row r="2252" customFormat="false" ht="15" hidden="false" customHeight="false" outlineLevel="0" collapsed="false">
      <c r="I2252" s="24" t="str">
        <f aca="false">IF($D2252="","",IFERROR(INDEX(Workers!$B$5:$B$2004,MATCH($D2252,Workers!$A$5:$A$2004,0)),"NOT FOUND"))</f>
        <v/>
      </c>
      <c r="J2252" s="24" t="str">
        <f aca="false">IF($D2252="","",IFERROR(INDEX(Workers!$C$5:$C$2004,MATCH($D2252,Workers!$A$5:$A$2004,0)),""))</f>
        <v/>
      </c>
      <c r="K2252" s="24" t="str">
        <f aca="false">IF($D2252="","",IFERROR(IF(INDEX(Workers!$D$5:$D$2004,MATCH($D2252,Workers!$A$5:$A$2004,0))=0,"",INDEX(Workers!$D$5:$D$2004,MATCH($D2252,Workers!$A$5:$A$2004,0))),""))</f>
        <v/>
      </c>
      <c r="L2252" s="24" t="str">
        <f aca="false">IF($D2252="","",IFERROR(INDEX(Workers!$E$5:$E$2004,MATCH($D2252,Workers!$A$5:$A$2004,0)),""))</f>
        <v/>
      </c>
      <c r="M2252" s="26" t="str">
        <f aca="false">IF($D2252="","",IFERROR(INDEX(ClientRates!$D$5:$D$500,MATCH($B2252&amp;"|"&amp;$L2252,ClientRates!$A$5:$A$500,0)),0))</f>
        <v/>
      </c>
      <c r="N2252" s="26" t="str">
        <f aca="false">IF($D2252="","",IFERROR(INDEX(ClientRates!$E$5:$E$500,MATCH($B2252&amp;"|"&amp;$L2252,ClientRates!$A$5:$A$500,0)),0))</f>
        <v/>
      </c>
      <c r="O2252" s="26" t="str">
        <f aca="false">IF($D2252="","",F2252*M2252+G2252*N2252)</f>
        <v/>
      </c>
      <c r="P2252" s="26" t="str">
        <f aca="false">IF(OR($D2252="",$J2252&lt;&gt;"Supplier"),"",IFERROR(INDEX(SupplierRates!$D$5:$D$500,MATCH($K2252&amp;"|"&amp;$L2252,SupplierRates!$A$5:$A$500,0)),0))</f>
        <v/>
      </c>
      <c r="Q2252" s="26" t="str">
        <f aca="false">IF(OR($D2252="",$J2252&lt;&gt;"Supplier"),"",IFERROR(INDEX(SupplierRates!$E$5:$E$500,MATCH($K2252&amp;"|"&amp;$L2252,SupplierRates!$A$5:$A$500,0)),0))</f>
        <v/>
      </c>
      <c r="R2252" s="26" t="n">
        <f aca="false">IF(OR($D2252="",$J2252&lt;&gt;"Supplier"),0,F2252*P2252+G2252*Q2252)</f>
        <v>0</v>
      </c>
      <c r="S2252" s="26" t="n">
        <f aca="false">IF(OR($D2252="",$J2252&lt;&gt;"Own"),0,IFERROR((F2252+G2252*Settings!$B$13)*INDEX(Workers!$V$5:$V$2004,MATCH($D2252,Workers!$A$5:$A$2004,0)),0))</f>
        <v>0</v>
      </c>
      <c r="T2252" s="26" t="str">
        <f aca="false">IF($D2252="","",O2252-R2252-S2252)</f>
        <v/>
      </c>
    </row>
    <row r="2253" customFormat="false" ht="15" hidden="false" customHeight="false" outlineLevel="0" collapsed="false">
      <c r="I2253" s="24" t="str">
        <f aca="false">IF($D2253="","",IFERROR(INDEX(Workers!$B$5:$B$2004,MATCH($D2253,Workers!$A$5:$A$2004,0)),"NOT FOUND"))</f>
        <v/>
      </c>
      <c r="J2253" s="24" t="str">
        <f aca="false">IF($D2253="","",IFERROR(INDEX(Workers!$C$5:$C$2004,MATCH($D2253,Workers!$A$5:$A$2004,0)),""))</f>
        <v/>
      </c>
      <c r="K2253" s="24" t="str">
        <f aca="false">IF($D2253="","",IFERROR(IF(INDEX(Workers!$D$5:$D$2004,MATCH($D2253,Workers!$A$5:$A$2004,0))=0,"",INDEX(Workers!$D$5:$D$2004,MATCH($D2253,Workers!$A$5:$A$2004,0))),""))</f>
        <v/>
      </c>
      <c r="L2253" s="24" t="str">
        <f aca="false">IF($D2253="","",IFERROR(INDEX(Workers!$E$5:$E$2004,MATCH($D2253,Workers!$A$5:$A$2004,0)),""))</f>
        <v/>
      </c>
      <c r="M2253" s="26" t="str">
        <f aca="false">IF($D2253="","",IFERROR(INDEX(ClientRates!$D$5:$D$500,MATCH($B2253&amp;"|"&amp;$L2253,ClientRates!$A$5:$A$500,0)),0))</f>
        <v/>
      </c>
      <c r="N2253" s="26" t="str">
        <f aca="false">IF($D2253="","",IFERROR(INDEX(ClientRates!$E$5:$E$500,MATCH($B2253&amp;"|"&amp;$L2253,ClientRates!$A$5:$A$500,0)),0))</f>
        <v/>
      </c>
      <c r="O2253" s="26" t="str">
        <f aca="false">IF($D2253="","",F2253*M2253+G2253*N2253)</f>
        <v/>
      </c>
      <c r="P2253" s="26" t="str">
        <f aca="false">IF(OR($D2253="",$J2253&lt;&gt;"Supplier"),"",IFERROR(INDEX(SupplierRates!$D$5:$D$500,MATCH($K2253&amp;"|"&amp;$L2253,SupplierRates!$A$5:$A$500,0)),0))</f>
        <v/>
      </c>
      <c r="Q2253" s="26" t="str">
        <f aca="false">IF(OR($D2253="",$J2253&lt;&gt;"Supplier"),"",IFERROR(INDEX(SupplierRates!$E$5:$E$500,MATCH($K2253&amp;"|"&amp;$L2253,SupplierRates!$A$5:$A$500,0)),0))</f>
        <v/>
      </c>
      <c r="R2253" s="26" t="n">
        <f aca="false">IF(OR($D2253="",$J2253&lt;&gt;"Supplier"),0,F2253*P2253+G2253*Q2253)</f>
        <v>0</v>
      </c>
      <c r="S2253" s="26" t="n">
        <f aca="false">IF(OR($D2253="",$J2253&lt;&gt;"Own"),0,IFERROR((F2253+G2253*Settings!$B$13)*INDEX(Workers!$V$5:$V$2004,MATCH($D2253,Workers!$A$5:$A$2004,0)),0))</f>
        <v>0</v>
      </c>
      <c r="T2253" s="26" t="str">
        <f aca="false">IF($D2253="","",O2253-R2253-S2253)</f>
        <v/>
      </c>
    </row>
    <row r="2254" customFormat="false" ht="15" hidden="false" customHeight="false" outlineLevel="0" collapsed="false">
      <c r="I2254" s="24" t="str">
        <f aca="false">IF($D2254="","",IFERROR(INDEX(Workers!$B$5:$B$2004,MATCH($D2254,Workers!$A$5:$A$2004,0)),"NOT FOUND"))</f>
        <v/>
      </c>
      <c r="J2254" s="24" t="str">
        <f aca="false">IF($D2254="","",IFERROR(INDEX(Workers!$C$5:$C$2004,MATCH($D2254,Workers!$A$5:$A$2004,0)),""))</f>
        <v/>
      </c>
      <c r="K2254" s="24" t="str">
        <f aca="false">IF($D2254="","",IFERROR(IF(INDEX(Workers!$D$5:$D$2004,MATCH($D2254,Workers!$A$5:$A$2004,0))=0,"",INDEX(Workers!$D$5:$D$2004,MATCH($D2254,Workers!$A$5:$A$2004,0))),""))</f>
        <v/>
      </c>
      <c r="L2254" s="24" t="str">
        <f aca="false">IF($D2254="","",IFERROR(INDEX(Workers!$E$5:$E$2004,MATCH($D2254,Workers!$A$5:$A$2004,0)),""))</f>
        <v/>
      </c>
      <c r="M2254" s="26" t="str">
        <f aca="false">IF($D2254="","",IFERROR(INDEX(ClientRates!$D$5:$D$500,MATCH($B2254&amp;"|"&amp;$L2254,ClientRates!$A$5:$A$500,0)),0))</f>
        <v/>
      </c>
      <c r="N2254" s="26" t="str">
        <f aca="false">IF($D2254="","",IFERROR(INDEX(ClientRates!$E$5:$E$500,MATCH($B2254&amp;"|"&amp;$L2254,ClientRates!$A$5:$A$500,0)),0))</f>
        <v/>
      </c>
      <c r="O2254" s="26" t="str">
        <f aca="false">IF($D2254="","",F2254*M2254+G2254*N2254)</f>
        <v/>
      </c>
      <c r="P2254" s="26" t="str">
        <f aca="false">IF(OR($D2254="",$J2254&lt;&gt;"Supplier"),"",IFERROR(INDEX(SupplierRates!$D$5:$D$500,MATCH($K2254&amp;"|"&amp;$L2254,SupplierRates!$A$5:$A$500,0)),0))</f>
        <v/>
      </c>
      <c r="Q2254" s="26" t="str">
        <f aca="false">IF(OR($D2254="",$J2254&lt;&gt;"Supplier"),"",IFERROR(INDEX(SupplierRates!$E$5:$E$500,MATCH($K2254&amp;"|"&amp;$L2254,SupplierRates!$A$5:$A$500,0)),0))</f>
        <v/>
      </c>
      <c r="R2254" s="26" t="n">
        <f aca="false">IF(OR($D2254="",$J2254&lt;&gt;"Supplier"),0,F2254*P2254+G2254*Q2254)</f>
        <v>0</v>
      </c>
      <c r="S2254" s="26" t="n">
        <f aca="false">IF(OR($D2254="",$J2254&lt;&gt;"Own"),0,IFERROR((F2254+G2254*Settings!$B$13)*INDEX(Workers!$V$5:$V$2004,MATCH($D2254,Workers!$A$5:$A$2004,0)),0))</f>
        <v>0</v>
      </c>
      <c r="T2254" s="26" t="str">
        <f aca="false">IF($D2254="","",O2254-R2254-S2254)</f>
        <v/>
      </c>
    </row>
    <row r="2255" customFormat="false" ht="15" hidden="false" customHeight="false" outlineLevel="0" collapsed="false">
      <c r="I2255" s="24" t="str">
        <f aca="false">IF($D2255="","",IFERROR(INDEX(Workers!$B$5:$B$2004,MATCH($D2255,Workers!$A$5:$A$2004,0)),"NOT FOUND"))</f>
        <v/>
      </c>
      <c r="J2255" s="24" t="str">
        <f aca="false">IF($D2255="","",IFERROR(INDEX(Workers!$C$5:$C$2004,MATCH($D2255,Workers!$A$5:$A$2004,0)),""))</f>
        <v/>
      </c>
      <c r="K2255" s="24" t="str">
        <f aca="false">IF($D2255="","",IFERROR(IF(INDEX(Workers!$D$5:$D$2004,MATCH($D2255,Workers!$A$5:$A$2004,0))=0,"",INDEX(Workers!$D$5:$D$2004,MATCH($D2255,Workers!$A$5:$A$2004,0))),""))</f>
        <v/>
      </c>
      <c r="L2255" s="24" t="str">
        <f aca="false">IF($D2255="","",IFERROR(INDEX(Workers!$E$5:$E$2004,MATCH($D2255,Workers!$A$5:$A$2004,0)),""))</f>
        <v/>
      </c>
      <c r="M2255" s="26" t="str">
        <f aca="false">IF($D2255="","",IFERROR(INDEX(ClientRates!$D$5:$D$500,MATCH($B2255&amp;"|"&amp;$L2255,ClientRates!$A$5:$A$500,0)),0))</f>
        <v/>
      </c>
      <c r="N2255" s="26" t="str">
        <f aca="false">IF($D2255="","",IFERROR(INDEX(ClientRates!$E$5:$E$500,MATCH($B2255&amp;"|"&amp;$L2255,ClientRates!$A$5:$A$500,0)),0))</f>
        <v/>
      </c>
      <c r="O2255" s="26" t="str">
        <f aca="false">IF($D2255="","",F2255*M2255+G2255*N2255)</f>
        <v/>
      </c>
      <c r="P2255" s="26" t="str">
        <f aca="false">IF(OR($D2255="",$J2255&lt;&gt;"Supplier"),"",IFERROR(INDEX(SupplierRates!$D$5:$D$500,MATCH($K2255&amp;"|"&amp;$L2255,SupplierRates!$A$5:$A$500,0)),0))</f>
        <v/>
      </c>
      <c r="Q2255" s="26" t="str">
        <f aca="false">IF(OR($D2255="",$J2255&lt;&gt;"Supplier"),"",IFERROR(INDEX(SupplierRates!$E$5:$E$500,MATCH($K2255&amp;"|"&amp;$L2255,SupplierRates!$A$5:$A$500,0)),0))</f>
        <v/>
      </c>
      <c r="R2255" s="26" t="n">
        <f aca="false">IF(OR($D2255="",$J2255&lt;&gt;"Supplier"),0,F2255*P2255+G2255*Q2255)</f>
        <v>0</v>
      </c>
      <c r="S2255" s="26" t="n">
        <f aca="false">IF(OR($D2255="",$J2255&lt;&gt;"Own"),0,IFERROR((F2255+G2255*Settings!$B$13)*INDEX(Workers!$V$5:$V$2004,MATCH($D2255,Workers!$A$5:$A$2004,0)),0))</f>
        <v>0</v>
      </c>
      <c r="T2255" s="26" t="str">
        <f aca="false">IF($D2255="","",O2255-R2255-S2255)</f>
        <v/>
      </c>
    </row>
    <row r="2256" customFormat="false" ht="15" hidden="false" customHeight="false" outlineLevel="0" collapsed="false">
      <c r="I2256" s="24" t="str">
        <f aca="false">IF($D2256="","",IFERROR(INDEX(Workers!$B$5:$B$2004,MATCH($D2256,Workers!$A$5:$A$2004,0)),"NOT FOUND"))</f>
        <v/>
      </c>
      <c r="J2256" s="24" t="str">
        <f aca="false">IF($D2256="","",IFERROR(INDEX(Workers!$C$5:$C$2004,MATCH($D2256,Workers!$A$5:$A$2004,0)),""))</f>
        <v/>
      </c>
      <c r="K2256" s="24" t="str">
        <f aca="false">IF($D2256="","",IFERROR(IF(INDEX(Workers!$D$5:$D$2004,MATCH($D2256,Workers!$A$5:$A$2004,0))=0,"",INDEX(Workers!$D$5:$D$2004,MATCH($D2256,Workers!$A$5:$A$2004,0))),""))</f>
        <v/>
      </c>
      <c r="L2256" s="24" t="str">
        <f aca="false">IF($D2256="","",IFERROR(INDEX(Workers!$E$5:$E$2004,MATCH($D2256,Workers!$A$5:$A$2004,0)),""))</f>
        <v/>
      </c>
      <c r="M2256" s="26" t="str">
        <f aca="false">IF($D2256="","",IFERROR(INDEX(ClientRates!$D$5:$D$500,MATCH($B2256&amp;"|"&amp;$L2256,ClientRates!$A$5:$A$500,0)),0))</f>
        <v/>
      </c>
      <c r="N2256" s="26" t="str">
        <f aca="false">IF($D2256="","",IFERROR(INDEX(ClientRates!$E$5:$E$500,MATCH($B2256&amp;"|"&amp;$L2256,ClientRates!$A$5:$A$500,0)),0))</f>
        <v/>
      </c>
      <c r="O2256" s="26" t="str">
        <f aca="false">IF($D2256="","",F2256*M2256+G2256*N2256)</f>
        <v/>
      </c>
      <c r="P2256" s="26" t="str">
        <f aca="false">IF(OR($D2256="",$J2256&lt;&gt;"Supplier"),"",IFERROR(INDEX(SupplierRates!$D$5:$D$500,MATCH($K2256&amp;"|"&amp;$L2256,SupplierRates!$A$5:$A$500,0)),0))</f>
        <v/>
      </c>
      <c r="Q2256" s="26" t="str">
        <f aca="false">IF(OR($D2256="",$J2256&lt;&gt;"Supplier"),"",IFERROR(INDEX(SupplierRates!$E$5:$E$500,MATCH($K2256&amp;"|"&amp;$L2256,SupplierRates!$A$5:$A$500,0)),0))</f>
        <v/>
      </c>
      <c r="R2256" s="26" t="n">
        <f aca="false">IF(OR($D2256="",$J2256&lt;&gt;"Supplier"),0,F2256*P2256+G2256*Q2256)</f>
        <v>0</v>
      </c>
      <c r="S2256" s="26" t="n">
        <f aca="false">IF(OR($D2256="",$J2256&lt;&gt;"Own"),0,IFERROR((F2256+G2256*Settings!$B$13)*INDEX(Workers!$V$5:$V$2004,MATCH($D2256,Workers!$A$5:$A$2004,0)),0))</f>
        <v>0</v>
      </c>
      <c r="T2256" s="26" t="str">
        <f aca="false">IF($D2256="","",O2256-R2256-S2256)</f>
        <v/>
      </c>
    </row>
    <row r="2257" customFormat="false" ht="15" hidden="false" customHeight="false" outlineLevel="0" collapsed="false">
      <c r="I2257" s="24" t="str">
        <f aca="false">IF($D2257="","",IFERROR(INDEX(Workers!$B$5:$B$2004,MATCH($D2257,Workers!$A$5:$A$2004,0)),"NOT FOUND"))</f>
        <v/>
      </c>
      <c r="J2257" s="24" t="str">
        <f aca="false">IF($D2257="","",IFERROR(INDEX(Workers!$C$5:$C$2004,MATCH($D2257,Workers!$A$5:$A$2004,0)),""))</f>
        <v/>
      </c>
      <c r="K2257" s="24" t="str">
        <f aca="false">IF($D2257="","",IFERROR(IF(INDEX(Workers!$D$5:$D$2004,MATCH($D2257,Workers!$A$5:$A$2004,0))=0,"",INDEX(Workers!$D$5:$D$2004,MATCH($D2257,Workers!$A$5:$A$2004,0))),""))</f>
        <v/>
      </c>
      <c r="L2257" s="24" t="str">
        <f aca="false">IF($D2257="","",IFERROR(INDEX(Workers!$E$5:$E$2004,MATCH($D2257,Workers!$A$5:$A$2004,0)),""))</f>
        <v/>
      </c>
      <c r="M2257" s="26" t="str">
        <f aca="false">IF($D2257="","",IFERROR(INDEX(ClientRates!$D$5:$D$500,MATCH($B2257&amp;"|"&amp;$L2257,ClientRates!$A$5:$A$500,0)),0))</f>
        <v/>
      </c>
      <c r="N2257" s="26" t="str">
        <f aca="false">IF($D2257="","",IFERROR(INDEX(ClientRates!$E$5:$E$500,MATCH($B2257&amp;"|"&amp;$L2257,ClientRates!$A$5:$A$500,0)),0))</f>
        <v/>
      </c>
      <c r="O2257" s="26" t="str">
        <f aca="false">IF($D2257="","",F2257*M2257+G2257*N2257)</f>
        <v/>
      </c>
      <c r="P2257" s="26" t="str">
        <f aca="false">IF(OR($D2257="",$J2257&lt;&gt;"Supplier"),"",IFERROR(INDEX(SupplierRates!$D$5:$D$500,MATCH($K2257&amp;"|"&amp;$L2257,SupplierRates!$A$5:$A$500,0)),0))</f>
        <v/>
      </c>
      <c r="Q2257" s="26" t="str">
        <f aca="false">IF(OR($D2257="",$J2257&lt;&gt;"Supplier"),"",IFERROR(INDEX(SupplierRates!$E$5:$E$500,MATCH($K2257&amp;"|"&amp;$L2257,SupplierRates!$A$5:$A$500,0)),0))</f>
        <v/>
      </c>
      <c r="R2257" s="26" t="n">
        <f aca="false">IF(OR($D2257="",$J2257&lt;&gt;"Supplier"),0,F2257*P2257+G2257*Q2257)</f>
        <v>0</v>
      </c>
      <c r="S2257" s="26" t="n">
        <f aca="false">IF(OR($D2257="",$J2257&lt;&gt;"Own"),0,IFERROR((F2257+G2257*Settings!$B$13)*INDEX(Workers!$V$5:$V$2004,MATCH($D2257,Workers!$A$5:$A$2004,0)),0))</f>
        <v>0</v>
      </c>
      <c r="T2257" s="26" t="str">
        <f aca="false">IF($D2257="","",O2257-R2257-S2257)</f>
        <v/>
      </c>
    </row>
    <row r="2258" customFormat="false" ht="15" hidden="false" customHeight="false" outlineLevel="0" collapsed="false">
      <c r="I2258" s="24" t="str">
        <f aca="false">IF($D2258="","",IFERROR(INDEX(Workers!$B$5:$B$2004,MATCH($D2258,Workers!$A$5:$A$2004,0)),"NOT FOUND"))</f>
        <v/>
      </c>
      <c r="J2258" s="24" t="str">
        <f aca="false">IF($D2258="","",IFERROR(INDEX(Workers!$C$5:$C$2004,MATCH($D2258,Workers!$A$5:$A$2004,0)),""))</f>
        <v/>
      </c>
      <c r="K2258" s="24" t="str">
        <f aca="false">IF($D2258="","",IFERROR(IF(INDEX(Workers!$D$5:$D$2004,MATCH($D2258,Workers!$A$5:$A$2004,0))=0,"",INDEX(Workers!$D$5:$D$2004,MATCH($D2258,Workers!$A$5:$A$2004,0))),""))</f>
        <v/>
      </c>
      <c r="L2258" s="24" t="str">
        <f aca="false">IF($D2258="","",IFERROR(INDEX(Workers!$E$5:$E$2004,MATCH($D2258,Workers!$A$5:$A$2004,0)),""))</f>
        <v/>
      </c>
      <c r="M2258" s="26" t="str">
        <f aca="false">IF($D2258="","",IFERROR(INDEX(ClientRates!$D$5:$D$500,MATCH($B2258&amp;"|"&amp;$L2258,ClientRates!$A$5:$A$500,0)),0))</f>
        <v/>
      </c>
      <c r="N2258" s="26" t="str">
        <f aca="false">IF($D2258="","",IFERROR(INDEX(ClientRates!$E$5:$E$500,MATCH($B2258&amp;"|"&amp;$L2258,ClientRates!$A$5:$A$500,0)),0))</f>
        <v/>
      </c>
      <c r="O2258" s="26" t="str">
        <f aca="false">IF($D2258="","",F2258*M2258+G2258*N2258)</f>
        <v/>
      </c>
      <c r="P2258" s="26" t="str">
        <f aca="false">IF(OR($D2258="",$J2258&lt;&gt;"Supplier"),"",IFERROR(INDEX(SupplierRates!$D$5:$D$500,MATCH($K2258&amp;"|"&amp;$L2258,SupplierRates!$A$5:$A$500,0)),0))</f>
        <v/>
      </c>
      <c r="Q2258" s="26" t="str">
        <f aca="false">IF(OR($D2258="",$J2258&lt;&gt;"Supplier"),"",IFERROR(INDEX(SupplierRates!$E$5:$E$500,MATCH($K2258&amp;"|"&amp;$L2258,SupplierRates!$A$5:$A$500,0)),0))</f>
        <v/>
      </c>
      <c r="R2258" s="26" t="n">
        <f aca="false">IF(OR($D2258="",$J2258&lt;&gt;"Supplier"),0,F2258*P2258+G2258*Q2258)</f>
        <v>0</v>
      </c>
      <c r="S2258" s="26" t="n">
        <f aca="false">IF(OR($D2258="",$J2258&lt;&gt;"Own"),0,IFERROR((F2258+G2258*Settings!$B$13)*INDEX(Workers!$V$5:$V$2004,MATCH($D2258,Workers!$A$5:$A$2004,0)),0))</f>
        <v>0</v>
      </c>
      <c r="T2258" s="26" t="str">
        <f aca="false">IF($D2258="","",O2258-R2258-S2258)</f>
        <v/>
      </c>
    </row>
    <row r="2259" customFormat="false" ht="15" hidden="false" customHeight="false" outlineLevel="0" collapsed="false">
      <c r="I2259" s="24" t="str">
        <f aca="false">IF($D2259="","",IFERROR(INDEX(Workers!$B$5:$B$2004,MATCH($D2259,Workers!$A$5:$A$2004,0)),"NOT FOUND"))</f>
        <v/>
      </c>
      <c r="J2259" s="24" t="str">
        <f aca="false">IF($D2259="","",IFERROR(INDEX(Workers!$C$5:$C$2004,MATCH($D2259,Workers!$A$5:$A$2004,0)),""))</f>
        <v/>
      </c>
      <c r="K2259" s="24" t="str">
        <f aca="false">IF($D2259="","",IFERROR(IF(INDEX(Workers!$D$5:$D$2004,MATCH($D2259,Workers!$A$5:$A$2004,0))=0,"",INDEX(Workers!$D$5:$D$2004,MATCH($D2259,Workers!$A$5:$A$2004,0))),""))</f>
        <v/>
      </c>
      <c r="L2259" s="24" t="str">
        <f aca="false">IF($D2259="","",IFERROR(INDEX(Workers!$E$5:$E$2004,MATCH($D2259,Workers!$A$5:$A$2004,0)),""))</f>
        <v/>
      </c>
      <c r="M2259" s="26" t="str">
        <f aca="false">IF($D2259="","",IFERROR(INDEX(ClientRates!$D$5:$D$500,MATCH($B2259&amp;"|"&amp;$L2259,ClientRates!$A$5:$A$500,0)),0))</f>
        <v/>
      </c>
      <c r="N2259" s="26" t="str">
        <f aca="false">IF($D2259="","",IFERROR(INDEX(ClientRates!$E$5:$E$500,MATCH($B2259&amp;"|"&amp;$L2259,ClientRates!$A$5:$A$500,0)),0))</f>
        <v/>
      </c>
      <c r="O2259" s="26" t="str">
        <f aca="false">IF($D2259="","",F2259*M2259+G2259*N2259)</f>
        <v/>
      </c>
      <c r="P2259" s="26" t="str">
        <f aca="false">IF(OR($D2259="",$J2259&lt;&gt;"Supplier"),"",IFERROR(INDEX(SupplierRates!$D$5:$D$500,MATCH($K2259&amp;"|"&amp;$L2259,SupplierRates!$A$5:$A$500,0)),0))</f>
        <v/>
      </c>
      <c r="Q2259" s="26" t="str">
        <f aca="false">IF(OR($D2259="",$J2259&lt;&gt;"Supplier"),"",IFERROR(INDEX(SupplierRates!$E$5:$E$500,MATCH($K2259&amp;"|"&amp;$L2259,SupplierRates!$A$5:$A$500,0)),0))</f>
        <v/>
      </c>
      <c r="R2259" s="26" t="n">
        <f aca="false">IF(OR($D2259="",$J2259&lt;&gt;"Supplier"),0,F2259*P2259+G2259*Q2259)</f>
        <v>0</v>
      </c>
      <c r="S2259" s="26" t="n">
        <f aca="false">IF(OR($D2259="",$J2259&lt;&gt;"Own"),0,IFERROR((F2259+G2259*Settings!$B$13)*INDEX(Workers!$V$5:$V$2004,MATCH($D2259,Workers!$A$5:$A$2004,0)),0))</f>
        <v>0</v>
      </c>
      <c r="T2259" s="26" t="str">
        <f aca="false">IF($D2259="","",O2259-R2259-S2259)</f>
        <v/>
      </c>
    </row>
    <row r="2260" customFormat="false" ht="15" hidden="false" customHeight="false" outlineLevel="0" collapsed="false">
      <c r="I2260" s="24" t="str">
        <f aca="false">IF($D2260="","",IFERROR(INDEX(Workers!$B$5:$B$2004,MATCH($D2260,Workers!$A$5:$A$2004,0)),"NOT FOUND"))</f>
        <v/>
      </c>
      <c r="J2260" s="24" t="str">
        <f aca="false">IF($D2260="","",IFERROR(INDEX(Workers!$C$5:$C$2004,MATCH($D2260,Workers!$A$5:$A$2004,0)),""))</f>
        <v/>
      </c>
      <c r="K2260" s="24" t="str">
        <f aca="false">IF($D2260="","",IFERROR(IF(INDEX(Workers!$D$5:$D$2004,MATCH($D2260,Workers!$A$5:$A$2004,0))=0,"",INDEX(Workers!$D$5:$D$2004,MATCH($D2260,Workers!$A$5:$A$2004,0))),""))</f>
        <v/>
      </c>
      <c r="L2260" s="24" t="str">
        <f aca="false">IF($D2260="","",IFERROR(INDEX(Workers!$E$5:$E$2004,MATCH($D2260,Workers!$A$5:$A$2004,0)),""))</f>
        <v/>
      </c>
      <c r="M2260" s="26" t="str">
        <f aca="false">IF($D2260="","",IFERROR(INDEX(ClientRates!$D$5:$D$500,MATCH($B2260&amp;"|"&amp;$L2260,ClientRates!$A$5:$A$500,0)),0))</f>
        <v/>
      </c>
      <c r="N2260" s="26" t="str">
        <f aca="false">IF($D2260="","",IFERROR(INDEX(ClientRates!$E$5:$E$500,MATCH($B2260&amp;"|"&amp;$L2260,ClientRates!$A$5:$A$500,0)),0))</f>
        <v/>
      </c>
      <c r="O2260" s="26" t="str">
        <f aca="false">IF($D2260="","",F2260*M2260+G2260*N2260)</f>
        <v/>
      </c>
      <c r="P2260" s="26" t="str">
        <f aca="false">IF(OR($D2260="",$J2260&lt;&gt;"Supplier"),"",IFERROR(INDEX(SupplierRates!$D$5:$D$500,MATCH($K2260&amp;"|"&amp;$L2260,SupplierRates!$A$5:$A$500,0)),0))</f>
        <v/>
      </c>
      <c r="Q2260" s="26" t="str">
        <f aca="false">IF(OR($D2260="",$J2260&lt;&gt;"Supplier"),"",IFERROR(INDEX(SupplierRates!$E$5:$E$500,MATCH($K2260&amp;"|"&amp;$L2260,SupplierRates!$A$5:$A$500,0)),0))</f>
        <v/>
      </c>
      <c r="R2260" s="26" t="n">
        <f aca="false">IF(OR($D2260="",$J2260&lt;&gt;"Supplier"),0,F2260*P2260+G2260*Q2260)</f>
        <v>0</v>
      </c>
      <c r="S2260" s="26" t="n">
        <f aca="false">IF(OR($D2260="",$J2260&lt;&gt;"Own"),0,IFERROR((F2260+G2260*Settings!$B$13)*INDEX(Workers!$V$5:$V$2004,MATCH($D2260,Workers!$A$5:$A$2004,0)),0))</f>
        <v>0</v>
      </c>
      <c r="T2260" s="26" t="str">
        <f aca="false">IF($D2260="","",O2260-R2260-S2260)</f>
        <v/>
      </c>
    </row>
    <row r="2261" customFormat="false" ht="15" hidden="false" customHeight="false" outlineLevel="0" collapsed="false">
      <c r="I2261" s="24" t="str">
        <f aca="false">IF($D2261="","",IFERROR(INDEX(Workers!$B$5:$B$2004,MATCH($D2261,Workers!$A$5:$A$2004,0)),"NOT FOUND"))</f>
        <v/>
      </c>
      <c r="J2261" s="24" t="str">
        <f aca="false">IF($D2261="","",IFERROR(INDEX(Workers!$C$5:$C$2004,MATCH($D2261,Workers!$A$5:$A$2004,0)),""))</f>
        <v/>
      </c>
      <c r="K2261" s="24" t="str">
        <f aca="false">IF($D2261="","",IFERROR(IF(INDEX(Workers!$D$5:$D$2004,MATCH($D2261,Workers!$A$5:$A$2004,0))=0,"",INDEX(Workers!$D$5:$D$2004,MATCH($D2261,Workers!$A$5:$A$2004,0))),""))</f>
        <v/>
      </c>
      <c r="L2261" s="24" t="str">
        <f aca="false">IF($D2261="","",IFERROR(INDEX(Workers!$E$5:$E$2004,MATCH($D2261,Workers!$A$5:$A$2004,0)),""))</f>
        <v/>
      </c>
      <c r="M2261" s="26" t="str">
        <f aca="false">IF($D2261="","",IFERROR(INDEX(ClientRates!$D$5:$D$500,MATCH($B2261&amp;"|"&amp;$L2261,ClientRates!$A$5:$A$500,0)),0))</f>
        <v/>
      </c>
      <c r="N2261" s="26" t="str">
        <f aca="false">IF($D2261="","",IFERROR(INDEX(ClientRates!$E$5:$E$500,MATCH($B2261&amp;"|"&amp;$L2261,ClientRates!$A$5:$A$500,0)),0))</f>
        <v/>
      </c>
      <c r="O2261" s="26" t="str">
        <f aca="false">IF($D2261="","",F2261*M2261+G2261*N2261)</f>
        <v/>
      </c>
      <c r="P2261" s="26" t="str">
        <f aca="false">IF(OR($D2261="",$J2261&lt;&gt;"Supplier"),"",IFERROR(INDEX(SupplierRates!$D$5:$D$500,MATCH($K2261&amp;"|"&amp;$L2261,SupplierRates!$A$5:$A$500,0)),0))</f>
        <v/>
      </c>
      <c r="Q2261" s="26" t="str">
        <f aca="false">IF(OR($D2261="",$J2261&lt;&gt;"Supplier"),"",IFERROR(INDEX(SupplierRates!$E$5:$E$500,MATCH($K2261&amp;"|"&amp;$L2261,SupplierRates!$A$5:$A$500,0)),0))</f>
        <v/>
      </c>
      <c r="R2261" s="26" t="n">
        <f aca="false">IF(OR($D2261="",$J2261&lt;&gt;"Supplier"),0,F2261*P2261+G2261*Q2261)</f>
        <v>0</v>
      </c>
      <c r="S2261" s="26" t="n">
        <f aca="false">IF(OR($D2261="",$J2261&lt;&gt;"Own"),0,IFERROR((F2261+G2261*Settings!$B$13)*INDEX(Workers!$V$5:$V$2004,MATCH($D2261,Workers!$A$5:$A$2004,0)),0))</f>
        <v>0</v>
      </c>
      <c r="T2261" s="26" t="str">
        <f aca="false">IF($D2261="","",O2261-R2261-S2261)</f>
        <v/>
      </c>
    </row>
    <row r="2262" customFormat="false" ht="15" hidden="false" customHeight="false" outlineLevel="0" collapsed="false">
      <c r="I2262" s="24" t="str">
        <f aca="false">IF($D2262="","",IFERROR(INDEX(Workers!$B$5:$B$2004,MATCH($D2262,Workers!$A$5:$A$2004,0)),"NOT FOUND"))</f>
        <v/>
      </c>
      <c r="J2262" s="24" t="str">
        <f aca="false">IF($D2262="","",IFERROR(INDEX(Workers!$C$5:$C$2004,MATCH($D2262,Workers!$A$5:$A$2004,0)),""))</f>
        <v/>
      </c>
      <c r="K2262" s="24" t="str">
        <f aca="false">IF($D2262="","",IFERROR(IF(INDEX(Workers!$D$5:$D$2004,MATCH($D2262,Workers!$A$5:$A$2004,0))=0,"",INDEX(Workers!$D$5:$D$2004,MATCH($D2262,Workers!$A$5:$A$2004,0))),""))</f>
        <v/>
      </c>
      <c r="L2262" s="24" t="str">
        <f aca="false">IF($D2262="","",IFERROR(INDEX(Workers!$E$5:$E$2004,MATCH($D2262,Workers!$A$5:$A$2004,0)),""))</f>
        <v/>
      </c>
      <c r="M2262" s="26" t="str">
        <f aca="false">IF($D2262="","",IFERROR(INDEX(ClientRates!$D$5:$D$500,MATCH($B2262&amp;"|"&amp;$L2262,ClientRates!$A$5:$A$500,0)),0))</f>
        <v/>
      </c>
      <c r="N2262" s="26" t="str">
        <f aca="false">IF($D2262="","",IFERROR(INDEX(ClientRates!$E$5:$E$500,MATCH($B2262&amp;"|"&amp;$L2262,ClientRates!$A$5:$A$500,0)),0))</f>
        <v/>
      </c>
      <c r="O2262" s="26" t="str">
        <f aca="false">IF($D2262="","",F2262*M2262+G2262*N2262)</f>
        <v/>
      </c>
      <c r="P2262" s="26" t="str">
        <f aca="false">IF(OR($D2262="",$J2262&lt;&gt;"Supplier"),"",IFERROR(INDEX(SupplierRates!$D$5:$D$500,MATCH($K2262&amp;"|"&amp;$L2262,SupplierRates!$A$5:$A$500,0)),0))</f>
        <v/>
      </c>
      <c r="Q2262" s="26" t="str">
        <f aca="false">IF(OR($D2262="",$J2262&lt;&gt;"Supplier"),"",IFERROR(INDEX(SupplierRates!$E$5:$E$500,MATCH($K2262&amp;"|"&amp;$L2262,SupplierRates!$A$5:$A$500,0)),0))</f>
        <v/>
      </c>
      <c r="R2262" s="26" t="n">
        <f aca="false">IF(OR($D2262="",$J2262&lt;&gt;"Supplier"),0,F2262*P2262+G2262*Q2262)</f>
        <v>0</v>
      </c>
      <c r="S2262" s="26" t="n">
        <f aca="false">IF(OR($D2262="",$J2262&lt;&gt;"Own"),0,IFERROR((F2262+G2262*Settings!$B$13)*INDEX(Workers!$V$5:$V$2004,MATCH($D2262,Workers!$A$5:$A$2004,0)),0))</f>
        <v>0</v>
      </c>
      <c r="T2262" s="26" t="str">
        <f aca="false">IF($D2262="","",O2262-R2262-S2262)</f>
        <v/>
      </c>
    </row>
    <row r="2263" customFormat="false" ht="15" hidden="false" customHeight="false" outlineLevel="0" collapsed="false">
      <c r="I2263" s="24" t="str">
        <f aca="false">IF($D2263="","",IFERROR(INDEX(Workers!$B$5:$B$2004,MATCH($D2263,Workers!$A$5:$A$2004,0)),"NOT FOUND"))</f>
        <v/>
      </c>
      <c r="J2263" s="24" t="str">
        <f aca="false">IF($D2263="","",IFERROR(INDEX(Workers!$C$5:$C$2004,MATCH($D2263,Workers!$A$5:$A$2004,0)),""))</f>
        <v/>
      </c>
      <c r="K2263" s="24" t="str">
        <f aca="false">IF($D2263="","",IFERROR(IF(INDEX(Workers!$D$5:$D$2004,MATCH($D2263,Workers!$A$5:$A$2004,0))=0,"",INDEX(Workers!$D$5:$D$2004,MATCH($D2263,Workers!$A$5:$A$2004,0))),""))</f>
        <v/>
      </c>
      <c r="L2263" s="24" t="str">
        <f aca="false">IF($D2263="","",IFERROR(INDEX(Workers!$E$5:$E$2004,MATCH($D2263,Workers!$A$5:$A$2004,0)),""))</f>
        <v/>
      </c>
      <c r="M2263" s="26" t="str">
        <f aca="false">IF($D2263="","",IFERROR(INDEX(ClientRates!$D$5:$D$500,MATCH($B2263&amp;"|"&amp;$L2263,ClientRates!$A$5:$A$500,0)),0))</f>
        <v/>
      </c>
      <c r="N2263" s="26" t="str">
        <f aca="false">IF($D2263="","",IFERROR(INDEX(ClientRates!$E$5:$E$500,MATCH($B2263&amp;"|"&amp;$L2263,ClientRates!$A$5:$A$500,0)),0))</f>
        <v/>
      </c>
      <c r="O2263" s="26" t="str">
        <f aca="false">IF($D2263="","",F2263*M2263+G2263*N2263)</f>
        <v/>
      </c>
      <c r="P2263" s="26" t="str">
        <f aca="false">IF(OR($D2263="",$J2263&lt;&gt;"Supplier"),"",IFERROR(INDEX(SupplierRates!$D$5:$D$500,MATCH($K2263&amp;"|"&amp;$L2263,SupplierRates!$A$5:$A$500,0)),0))</f>
        <v/>
      </c>
      <c r="Q2263" s="26" t="str">
        <f aca="false">IF(OR($D2263="",$J2263&lt;&gt;"Supplier"),"",IFERROR(INDEX(SupplierRates!$E$5:$E$500,MATCH($K2263&amp;"|"&amp;$L2263,SupplierRates!$A$5:$A$500,0)),0))</f>
        <v/>
      </c>
      <c r="R2263" s="26" t="n">
        <f aca="false">IF(OR($D2263="",$J2263&lt;&gt;"Supplier"),0,F2263*P2263+G2263*Q2263)</f>
        <v>0</v>
      </c>
      <c r="S2263" s="26" t="n">
        <f aca="false">IF(OR($D2263="",$J2263&lt;&gt;"Own"),0,IFERROR((F2263+G2263*Settings!$B$13)*INDEX(Workers!$V$5:$V$2004,MATCH($D2263,Workers!$A$5:$A$2004,0)),0))</f>
        <v>0</v>
      </c>
      <c r="T2263" s="26" t="str">
        <f aca="false">IF($D2263="","",O2263-R2263-S2263)</f>
        <v/>
      </c>
    </row>
    <row r="2264" customFormat="false" ht="15" hidden="false" customHeight="false" outlineLevel="0" collapsed="false">
      <c r="I2264" s="24" t="str">
        <f aca="false">IF($D2264="","",IFERROR(INDEX(Workers!$B$5:$B$2004,MATCH($D2264,Workers!$A$5:$A$2004,0)),"NOT FOUND"))</f>
        <v/>
      </c>
      <c r="J2264" s="24" t="str">
        <f aca="false">IF($D2264="","",IFERROR(INDEX(Workers!$C$5:$C$2004,MATCH($D2264,Workers!$A$5:$A$2004,0)),""))</f>
        <v/>
      </c>
      <c r="K2264" s="24" t="str">
        <f aca="false">IF($D2264="","",IFERROR(IF(INDEX(Workers!$D$5:$D$2004,MATCH($D2264,Workers!$A$5:$A$2004,0))=0,"",INDEX(Workers!$D$5:$D$2004,MATCH($D2264,Workers!$A$5:$A$2004,0))),""))</f>
        <v/>
      </c>
      <c r="L2264" s="24" t="str">
        <f aca="false">IF($D2264="","",IFERROR(INDEX(Workers!$E$5:$E$2004,MATCH($D2264,Workers!$A$5:$A$2004,0)),""))</f>
        <v/>
      </c>
      <c r="M2264" s="26" t="str">
        <f aca="false">IF($D2264="","",IFERROR(INDEX(ClientRates!$D$5:$D$500,MATCH($B2264&amp;"|"&amp;$L2264,ClientRates!$A$5:$A$500,0)),0))</f>
        <v/>
      </c>
      <c r="N2264" s="26" t="str">
        <f aca="false">IF($D2264="","",IFERROR(INDEX(ClientRates!$E$5:$E$500,MATCH($B2264&amp;"|"&amp;$L2264,ClientRates!$A$5:$A$500,0)),0))</f>
        <v/>
      </c>
      <c r="O2264" s="26" t="str">
        <f aca="false">IF($D2264="","",F2264*M2264+G2264*N2264)</f>
        <v/>
      </c>
      <c r="P2264" s="26" t="str">
        <f aca="false">IF(OR($D2264="",$J2264&lt;&gt;"Supplier"),"",IFERROR(INDEX(SupplierRates!$D$5:$D$500,MATCH($K2264&amp;"|"&amp;$L2264,SupplierRates!$A$5:$A$500,0)),0))</f>
        <v/>
      </c>
      <c r="Q2264" s="26" t="str">
        <f aca="false">IF(OR($D2264="",$J2264&lt;&gt;"Supplier"),"",IFERROR(INDEX(SupplierRates!$E$5:$E$500,MATCH($K2264&amp;"|"&amp;$L2264,SupplierRates!$A$5:$A$500,0)),0))</f>
        <v/>
      </c>
      <c r="R2264" s="26" t="n">
        <f aca="false">IF(OR($D2264="",$J2264&lt;&gt;"Supplier"),0,F2264*P2264+G2264*Q2264)</f>
        <v>0</v>
      </c>
      <c r="S2264" s="26" t="n">
        <f aca="false">IF(OR($D2264="",$J2264&lt;&gt;"Own"),0,IFERROR((F2264+G2264*Settings!$B$13)*INDEX(Workers!$V$5:$V$2004,MATCH($D2264,Workers!$A$5:$A$2004,0)),0))</f>
        <v>0</v>
      </c>
      <c r="T2264" s="26" t="str">
        <f aca="false">IF($D2264="","",O2264-R2264-S2264)</f>
        <v/>
      </c>
    </row>
    <row r="2265" customFormat="false" ht="15" hidden="false" customHeight="false" outlineLevel="0" collapsed="false">
      <c r="I2265" s="24" t="str">
        <f aca="false">IF($D2265="","",IFERROR(INDEX(Workers!$B$5:$B$2004,MATCH($D2265,Workers!$A$5:$A$2004,0)),"NOT FOUND"))</f>
        <v/>
      </c>
      <c r="J2265" s="24" t="str">
        <f aca="false">IF($D2265="","",IFERROR(INDEX(Workers!$C$5:$C$2004,MATCH($D2265,Workers!$A$5:$A$2004,0)),""))</f>
        <v/>
      </c>
      <c r="K2265" s="24" t="str">
        <f aca="false">IF($D2265="","",IFERROR(IF(INDEX(Workers!$D$5:$D$2004,MATCH($D2265,Workers!$A$5:$A$2004,0))=0,"",INDEX(Workers!$D$5:$D$2004,MATCH($D2265,Workers!$A$5:$A$2004,0))),""))</f>
        <v/>
      </c>
      <c r="L2265" s="24" t="str">
        <f aca="false">IF($D2265="","",IFERROR(INDEX(Workers!$E$5:$E$2004,MATCH($D2265,Workers!$A$5:$A$2004,0)),""))</f>
        <v/>
      </c>
      <c r="M2265" s="26" t="str">
        <f aca="false">IF($D2265="","",IFERROR(INDEX(ClientRates!$D$5:$D$500,MATCH($B2265&amp;"|"&amp;$L2265,ClientRates!$A$5:$A$500,0)),0))</f>
        <v/>
      </c>
      <c r="N2265" s="26" t="str">
        <f aca="false">IF($D2265="","",IFERROR(INDEX(ClientRates!$E$5:$E$500,MATCH($B2265&amp;"|"&amp;$L2265,ClientRates!$A$5:$A$500,0)),0))</f>
        <v/>
      </c>
      <c r="O2265" s="26" t="str">
        <f aca="false">IF($D2265="","",F2265*M2265+G2265*N2265)</f>
        <v/>
      </c>
      <c r="P2265" s="26" t="str">
        <f aca="false">IF(OR($D2265="",$J2265&lt;&gt;"Supplier"),"",IFERROR(INDEX(SupplierRates!$D$5:$D$500,MATCH($K2265&amp;"|"&amp;$L2265,SupplierRates!$A$5:$A$500,0)),0))</f>
        <v/>
      </c>
      <c r="Q2265" s="26" t="str">
        <f aca="false">IF(OR($D2265="",$J2265&lt;&gt;"Supplier"),"",IFERROR(INDEX(SupplierRates!$E$5:$E$500,MATCH($K2265&amp;"|"&amp;$L2265,SupplierRates!$A$5:$A$500,0)),0))</f>
        <v/>
      </c>
      <c r="R2265" s="26" t="n">
        <f aca="false">IF(OR($D2265="",$J2265&lt;&gt;"Supplier"),0,F2265*P2265+G2265*Q2265)</f>
        <v>0</v>
      </c>
      <c r="S2265" s="26" t="n">
        <f aca="false">IF(OR($D2265="",$J2265&lt;&gt;"Own"),0,IFERROR((F2265+G2265*Settings!$B$13)*INDEX(Workers!$V$5:$V$2004,MATCH($D2265,Workers!$A$5:$A$2004,0)),0))</f>
        <v>0</v>
      </c>
      <c r="T2265" s="26" t="str">
        <f aca="false">IF($D2265="","",O2265-R2265-S2265)</f>
        <v/>
      </c>
    </row>
    <row r="2266" customFormat="false" ht="15" hidden="false" customHeight="false" outlineLevel="0" collapsed="false">
      <c r="I2266" s="24" t="str">
        <f aca="false">IF($D2266="","",IFERROR(INDEX(Workers!$B$5:$B$2004,MATCH($D2266,Workers!$A$5:$A$2004,0)),"NOT FOUND"))</f>
        <v/>
      </c>
      <c r="J2266" s="24" t="str">
        <f aca="false">IF($D2266="","",IFERROR(INDEX(Workers!$C$5:$C$2004,MATCH($D2266,Workers!$A$5:$A$2004,0)),""))</f>
        <v/>
      </c>
      <c r="K2266" s="24" t="str">
        <f aca="false">IF($D2266="","",IFERROR(IF(INDEX(Workers!$D$5:$D$2004,MATCH($D2266,Workers!$A$5:$A$2004,0))=0,"",INDEX(Workers!$D$5:$D$2004,MATCH($D2266,Workers!$A$5:$A$2004,0))),""))</f>
        <v/>
      </c>
      <c r="L2266" s="24" t="str">
        <f aca="false">IF($D2266="","",IFERROR(INDEX(Workers!$E$5:$E$2004,MATCH($D2266,Workers!$A$5:$A$2004,0)),""))</f>
        <v/>
      </c>
      <c r="M2266" s="26" t="str">
        <f aca="false">IF($D2266="","",IFERROR(INDEX(ClientRates!$D$5:$D$500,MATCH($B2266&amp;"|"&amp;$L2266,ClientRates!$A$5:$A$500,0)),0))</f>
        <v/>
      </c>
      <c r="N2266" s="26" t="str">
        <f aca="false">IF($D2266="","",IFERROR(INDEX(ClientRates!$E$5:$E$500,MATCH($B2266&amp;"|"&amp;$L2266,ClientRates!$A$5:$A$500,0)),0))</f>
        <v/>
      </c>
      <c r="O2266" s="26" t="str">
        <f aca="false">IF($D2266="","",F2266*M2266+G2266*N2266)</f>
        <v/>
      </c>
      <c r="P2266" s="26" t="str">
        <f aca="false">IF(OR($D2266="",$J2266&lt;&gt;"Supplier"),"",IFERROR(INDEX(SupplierRates!$D$5:$D$500,MATCH($K2266&amp;"|"&amp;$L2266,SupplierRates!$A$5:$A$500,0)),0))</f>
        <v/>
      </c>
      <c r="Q2266" s="26" t="str">
        <f aca="false">IF(OR($D2266="",$J2266&lt;&gt;"Supplier"),"",IFERROR(INDEX(SupplierRates!$E$5:$E$500,MATCH($K2266&amp;"|"&amp;$L2266,SupplierRates!$A$5:$A$500,0)),0))</f>
        <v/>
      </c>
      <c r="R2266" s="26" t="n">
        <f aca="false">IF(OR($D2266="",$J2266&lt;&gt;"Supplier"),0,F2266*P2266+G2266*Q2266)</f>
        <v>0</v>
      </c>
      <c r="S2266" s="26" t="n">
        <f aca="false">IF(OR($D2266="",$J2266&lt;&gt;"Own"),0,IFERROR((F2266+G2266*Settings!$B$13)*INDEX(Workers!$V$5:$V$2004,MATCH($D2266,Workers!$A$5:$A$2004,0)),0))</f>
        <v>0</v>
      </c>
      <c r="T2266" s="26" t="str">
        <f aca="false">IF($D2266="","",O2266-R2266-S2266)</f>
        <v/>
      </c>
    </row>
    <row r="2267" customFormat="false" ht="15" hidden="false" customHeight="false" outlineLevel="0" collapsed="false">
      <c r="I2267" s="24" t="str">
        <f aca="false">IF($D2267="","",IFERROR(INDEX(Workers!$B$5:$B$2004,MATCH($D2267,Workers!$A$5:$A$2004,0)),"NOT FOUND"))</f>
        <v/>
      </c>
      <c r="J2267" s="24" t="str">
        <f aca="false">IF($D2267="","",IFERROR(INDEX(Workers!$C$5:$C$2004,MATCH($D2267,Workers!$A$5:$A$2004,0)),""))</f>
        <v/>
      </c>
      <c r="K2267" s="24" t="str">
        <f aca="false">IF($D2267="","",IFERROR(IF(INDEX(Workers!$D$5:$D$2004,MATCH($D2267,Workers!$A$5:$A$2004,0))=0,"",INDEX(Workers!$D$5:$D$2004,MATCH($D2267,Workers!$A$5:$A$2004,0))),""))</f>
        <v/>
      </c>
      <c r="L2267" s="24" t="str">
        <f aca="false">IF($D2267="","",IFERROR(INDEX(Workers!$E$5:$E$2004,MATCH($D2267,Workers!$A$5:$A$2004,0)),""))</f>
        <v/>
      </c>
      <c r="M2267" s="26" t="str">
        <f aca="false">IF($D2267="","",IFERROR(INDEX(ClientRates!$D$5:$D$500,MATCH($B2267&amp;"|"&amp;$L2267,ClientRates!$A$5:$A$500,0)),0))</f>
        <v/>
      </c>
      <c r="N2267" s="26" t="str">
        <f aca="false">IF($D2267="","",IFERROR(INDEX(ClientRates!$E$5:$E$500,MATCH($B2267&amp;"|"&amp;$L2267,ClientRates!$A$5:$A$500,0)),0))</f>
        <v/>
      </c>
      <c r="O2267" s="26" t="str">
        <f aca="false">IF($D2267="","",F2267*M2267+G2267*N2267)</f>
        <v/>
      </c>
      <c r="P2267" s="26" t="str">
        <f aca="false">IF(OR($D2267="",$J2267&lt;&gt;"Supplier"),"",IFERROR(INDEX(SupplierRates!$D$5:$D$500,MATCH($K2267&amp;"|"&amp;$L2267,SupplierRates!$A$5:$A$500,0)),0))</f>
        <v/>
      </c>
      <c r="Q2267" s="26" t="str">
        <f aca="false">IF(OR($D2267="",$J2267&lt;&gt;"Supplier"),"",IFERROR(INDEX(SupplierRates!$E$5:$E$500,MATCH($K2267&amp;"|"&amp;$L2267,SupplierRates!$A$5:$A$500,0)),0))</f>
        <v/>
      </c>
      <c r="R2267" s="26" t="n">
        <f aca="false">IF(OR($D2267="",$J2267&lt;&gt;"Supplier"),0,F2267*P2267+G2267*Q2267)</f>
        <v>0</v>
      </c>
      <c r="S2267" s="26" t="n">
        <f aca="false">IF(OR($D2267="",$J2267&lt;&gt;"Own"),0,IFERROR((F2267+G2267*Settings!$B$13)*INDEX(Workers!$V$5:$V$2004,MATCH($D2267,Workers!$A$5:$A$2004,0)),0))</f>
        <v>0</v>
      </c>
      <c r="T2267" s="26" t="str">
        <f aca="false">IF($D2267="","",O2267-R2267-S2267)</f>
        <v/>
      </c>
    </row>
    <row r="2268" customFormat="false" ht="15" hidden="false" customHeight="false" outlineLevel="0" collapsed="false">
      <c r="I2268" s="24" t="str">
        <f aca="false">IF($D2268="","",IFERROR(INDEX(Workers!$B$5:$B$2004,MATCH($D2268,Workers!$A$5:$A$2004,0)),"NOT FOUND"))</f>
        <v/>
      </c>
      <c r="J2268" s="24" t="str">
        <f aca="false">IF($D2268="","",IFERROR(INDEX(Workers!$C$5:$C$2004,MATCH($D2268,Workers!$A$5:$A$2004,0)),""))</f>
        <v/>
      </c>
      <c r="K2268" s="24" t="str">
        <f aca="false">IF($D2268="","",IFERROR(IF(INDEX(Workers!$D$5:$D$2004,MATCH($D2268,Workers!$A$5:$A$2004,0))=0,"",INDEX(Workers!$D$5:$D$2004,MATCH($D2268,Workers!$A$5:$A$2004,0))),""))</f>
        <v/>
      </c>
      <c r="L2268" s="24" t="str">
        <f aca="false">IF($D2268="","",IFERROR(INDEX(Workers!$E$5:$E$2004,MATCH($D2268,Workers!$A$5:$A$2004,0)),""))</f>
        <v/>
      </c>
      <c r="M2268" s="26" t="str">
        <f aca="false">IF($D2268="","",IFERROR(INDEX(ClientRates!$D$5:$D$500,MATCH($B2268&amp;"|"&amp;$L2268,ClientRates!$A$5:$A$500,0)),0))</f>
        <v/>
      </c>
      <c r="N2268" s="26" t="str">
        <f aca="false">IF($D2268="","",IFERROR(INDEX(ClientRates!$E$5:$E$500,MATCH($B2268&amp;"|"&amp;$L2268,ClientRates!$A$5:$A$500,0)),0))</f>
        <v/>
      </c>
      <c r="O2268" s="26" t="str">
        <f aca="false">IF($D2268="","",F2268*M2268+G2268*N2268)</f>
        <v/>
      </c>
      <c r="P2268" s="26" t="str">
        <f aca="false">IF(OR($D2268="",$J2268&lt;&gt;"Supplier"),"",IFERROR(INDEX(SupplierRates!$D$5:$D$500,MATCH($K2268&amp;"|"&amp;$L2268,SupplierRates!$A$5:$A$500,0)),0))</f>
        <v/>
      </c>
      <c r="Q2268" s="26" t="str">
        <f aca="false">IF(OR($D2268="",$J2268&lt;&gt;"Supplier"),"",IFERROR(INDEX(SupplierRates!$E$5:$E$500,MATCH($K2268&amp;"|"&amp;$L2268,SupplierRates!$A$5:$A$500,0)),0))</f>
        <v/>
      </c>
      <c r="R2268" s="26" t="n">
        <f aca="false">IF(OR($D2268="",$J2268&lt;&gt;"Supplier"),0,F2268*P2268+G2268*Q2268)</f>
        <v>0</v>
      </c>
      <c r="S2268" s="26" t="n">
        <f aca="false">IF(OR($D2268="",$J2268&lt;&gt;"Own"),0,IFERROR((F2268+G2268*Settings!$B$13)*INDEX(Workers!$V$5:$V$2004,MATCH($D2268,Workers!$A$5:$A$2004,0)),0))</f>
        <v>0</v>
      </c>
      <c r="T2268" s="26" t="str">
        <f aca="false">IF($D2268="","",O2268-R2268-S2268)</f>
        <v/>
      </c>
    </row>
    <row r="2269" customFormat="false" ht="15" hidden="false" customHeight="false" outlineLevel="0" collapsed="false">
      <c r="I2269" s="24" t="str">
        <f aca="false">IF($D2269="","",IFERROR(INDEX(Workers!$B$5:$B$2004,MATCH($D2269,Workers!$A$5:$A$2004,0)),"NOT FOUND"))</f>
        <v/>
      </c>
      <c r="J2269" s="24" t="str">
        <f aca="false">IF($D2269="","",IFERROR(INDEX(Workers!$C$5:$C$2004,MATCH($D2269,Workers!$A$5:$A$2004,0)),""))</f>
        <v/>
      </c>
      <c r="K2269" s="24" t="str">
        <f aca="false">IF($D2269="","",IFERROR(IF(INDEX(Workers!$D$5:$D$2004,MATCH($D2269,Workers!$A$5:$A$2004,0))=0,"",INDEX(Workers!$D$5:$D$2004,MATCH($D2269,Workers!$A$5:$A$2004,0))),""))</f>
        <v/>
      </c>
      <c r="L2269" s="24" t="str">
        <f aca="false">IF($D2269="","",IFERROR(INDEX(Workers!$E$5:$E$2004,MATCH($D2269,Workers!$A$5:$A$2004,0)),""))</f>
        <v/>
      </c>
      <c r="M2269" s="26" t="str">
        <f aca="false">IF($D2269="","",IFERROR(INDEX(ClientRates!$D$5:$D$500,MATCH($B2269&amp;"|"&amp;$L2269,ClientRates!$A$5:$A$500,0)),0))</f>
        <v/>
      </c>
      <c r="N2269" s="26" t="str">
        <f aca="false">IF($D2269="","",IFERROR(INDEX(ClientRates!$E$5:$E$500,MATCH($B2269&amp;"|"&amp;$L2269,ClientRates!$A$5:$A$500,0)),0))</f>
        <v/>
      </c>
      <c r="O2269" s="26" t="str">
        <f aca="false">IF($D2269="","",F2269*M2269+G2269*N2269)</f>
        <v/>
      </c>
      <c r="P2269" s="26" t="str">
        <f aca="false">IF(OR($D2269="",$J2269&lt;&gt;"Supplier"),"",IFERROR(INDEX(SupplierRates!$D$5:$D$500,MATCH($K2269&amp;"|"&amp;$L2269,SupplierRates!$A$5:$A$500,0)),0))</f>
        <v/>
      </c>
      <c r="Q2269" s="26" t="str">
        <f aca="false">IF(OR($D2269="",$J2269&lt;&gt;"Supplier"),"",IFERROR(INDEX(SupplierRates!$E$5:$E$500,MATCH($K2269&amp;"|"&amp;$L2269,SupplierRates!$A$5:$A$500,0)),0))</f>
        <v/>
      </c>
      <c r="R2269" s="26" t="n">
        <f aca="false">IF(OR($D2269="",$J2269&lt;&gt;"Supplier"),0,F2269*P2269+G2269*Q2269)</f>
        <v>0</v>
      </c>
      <c r="S2269" s="26" t="n">
        <f aca="false">IF(OR($D2269="",$J2269&lt;&gt;"Own"),0,IFERROR((F2269+G2269*Settings!$B$13)*INDEX(Workers!$V$5:$V$2004,MATCH($D2269,Workers!$A$5:$A$2004,0)),0))</f>
        <v>0</v>
      </c>
      <c r="T2269" s="26" t="str">
        <f aca="false">IF($D2269="","",O2269-R2269-S2269)</f>
        <v/>
      </c>
    </row>
    <row r="2270" customFormat="false" ht="15" hidden="false" customHeight="false" outlineLevel="0" collapsed="false">
      <c r="I2270" s="24" t="str">
        <f aca="false">IF($D2270="","",IFERROR(INDEX(Workers!$B$5:$B$2004,MATCH($D2270,Workers!$A$5:$A$2004,0)),"NOT FOUND"))</f>
        <v/>
      </c>
      <c r="J2270" s="24" t="str">
        <f aca="false">IF($D2270="","",IFERROR(INDEX(Workers!$C$5:$C$2004,MATCH($D2270,Workers!$A$5:$A$2004,0)),""))</f>
        <v/>
      </c>
      <c r="K2270" s="24" t="str">
        <f aca="false">IF($D2270="","",IFERROR(IF(INDEX(Workers!$D$5:$D$2004,MATCH($D2270,Workers!$A$5:$A$2004,0))=0,"",INDEX(Workers!$D$5:$D$2004,MATCH($D2270,Workers!$A$5:$A$2004,0))),""))</f>
        <v/>
      </c>
      <c r="L2270" s="24" t="str">
        <f aca="false">IF($D2270="","",IFERROR(INDEX(Workers!$E$5:$E$2004,MATCH($D2270,Workers!$A$5:$A$2004,0)),""))</f>
        <v/>
      </c>
      <c r="M2270" s="26" t="str">
        <f aca="false">IF($D2270="","",IFERROR(INDEX(ClientRates!$D$5:$D$500,MATCH($B2270&amp;"|"&amp;$L2270,ClientRates!$A$5:$A$500,0)),0))</f>
        <v/>
      </c>
      <c r="N2270" s="26" t="str">
        <f aca="false">IF($D2270="","",IFERROR(INDEX(ClientRates!$E$5:$E$500,MATCH($B2270&amp;"|"&amp;$L2270,ClientRates!$A$5:$A$500,0)),0))</f>
        <v/>
      </c>
      <c r="O2270" s="26" t="str">
        <f aca="false">IF($D2270="","",F2270*M2270+G2270*N2270)</f>
        <v/>
      </c>
      <c r="P2270" s="26" t="str">
        <f aca="false">IF(OR($D2270="",$J2270&lt;&gt;"Supplier"),"",IFERROR(INDEX(SupplierRates!$D$5:$D$500,MATCH($K2270&amp;"|"&amp;$L2270,SupplierRates!$A$5:$A$500,0)),0))</f>
        <v/>
      </c>
      <c r="Q2270" s="26" t="str">
        <f aca="false">IF(OR($D2270="",$J2270&lt;&gt;"Supplier"),"",IFERROR(INDEX(SupplierRates!$E$5:$E$500,MATCH($K2270&amp;"|"&amp;$L2270,SupplierRates!$A$5:$A$500,0)),0))</f>
        <v/>
      </c>
      <c r="R2270" s="26" t="n">
        <f aca="false">IF(OR($D2270="",$J2270&lt;&gt;"Supplier"),0,F2270*P2270+G2270*Q2270)</f>
        <v>0</v>
      </c>
      <c r="S2270" s="26" t="n">
        <f aca="false">IF(OR($D2270="",$J2270&lt;&gt;"Own"),0,IFERROR((F2270+G2270*Settings!$B$13)*INDEX(Workers!$V$5:$V$2004,MATCH($D2270,Workers!$A$5:$A$2004,0)),0))</f>
        <v>0</v>
      </c>
      <c r="T2270" s="26" t="str">
        <f aca="false">IF($D2270="","",O2270-R2270-S2270)</f>
        <v/>
      </c>
    </row>
    <row r="2271" customFormat="false" ht="15" hidden="false" customHeight="false" outlineLevel="0" collapsed="false">
      <c r="I2271" s="24" t="str">
        <f aca="false">IF($D2271="","",IFERROR(INDEX(Workers!$B$5:$B$2004,MATCH($D2271,Workers!$A$5:$A$2004,0)),"NOT FOUND"))</f>
        <v/>
      </c>
      <c r="J2271" s="24" t="str">
        <f aca="false">IF($D2271="","",IFERROR(INDEX(Workers!$C$5:$C$2004,MATCH($D2271,Workers!$A$5:$A$2004,0)),""))</f>
        <v/>
      </c>
      <c r="K2271" s="24" t="str">
        <f aca="false">IF($D2271="","",IFERROR(IF(INDEX(Workers!$D$5:$D$2004,MATCH($D2271,Workers!$A$5:$A$2004,0))=0,"",INDEX(Workers!$D$5:$D$2004,MATCH($D2271,Workers!$A$5:$A$2004,0))),""))</f>
        <v/>
      </c>
      <c r="L2271" s="24" t="str">
        <f aca="false">IF($D2271="","",IFERROR(INDEX(Workers!$E$5:$E$2004,MATCH($D2271,Workers!$A$5:$A$2004,0)),""))</f>
        <v/>
      </c>
      <c r="M2271" s="26" t="str">
        <f aca="false">IF($D2271="","",IFERROR(INDEX(ClientRates!$D$5:$D$500,MATCH($B2271&amp;"|"&amp;$L2271,ClientRates!$A$5:$A$500,0)),0))</f>
        <v/>
      </c>
      <c r="N2271" s="26" t="str">
        <f aca="false">IF($D2271="","",IFERROR(INDEX(ClientRates!$E$5:$E$500,MATCH($B2271&amp;"|"&amp;$L2271,ClientRates!$A$5:$A$500,0)),0))</f>
        <v/>
      </c>
      <c r="O2271" s="26" t="str">
        <f aca="false">IF($D2271="","",F2271*M2271+G2271*N2271)</f>
        <v/>
      </c>
      <c r="P2271" s="26" t="str">
        <f aca="false">IF(OR($D2271="",$J2271&lt;&gt;"Supplier"),"",IFERROR(INDEX(SupplierRates!$D$5:$D$500,MATCH($K2271&amp;"|"&amp;$L2271,SupplierRates!$A$5:$A$500,0)),0))</f>
        <v/>
      </c>
      <c r="Q2271" s="26" t="str">
        <f aca="false">IF(OR($D2271="",$J2271&lt;&gt;"Supplier"),"",IFERROR(INDEX(SupplierRates!$E$5:$E$500,MATCH($K2271&amp;"|"&amp;$L2271,SupplierRates!$A$5:$A$500,0)),0))</f>
        <v/>
      </c>
      <c r="R2271" s="26" t="n">
        <f aca="false">IF(OR($D2271="",$J2271&lt;&gt;"Supplier"),0,F2271*P2271+G2271*Q2271)</f>
        <v>0</v>
      </c>
      <c r="S2271" s="26" t="n">
        <f aca="false">IF(OR($D2271="",$J2271&lt;&gt;"Own"),0,IFERROR((F2271+G2271*Settings!$B$13)*INDEX(Workers!$V$5:$V$2004,MATCH($D2271,Workers!$A$5:$A$2004,0)),0))</f>
        <v>0</v>
      </c>
      <c r="T2271" s="26" t="str">
        <f aca="false">IF($D2271="","",O2271-R2271-S2271)</f>
        <v/>
      </c>
    </row>
    <row r="2272" customFormat="false" ht="15" hidden="false" customHeight="false" outlineLevel="0" collapsed="false">
      <c r="I2272" s="24" t="str">
        <f aca="false">IF($D2272="","",IFERROR(INDEX(Workers!$B$5:$B$2004,MATCH($D2272,Workers!$A$5:$A$2004,0)),"NOT FOUND"))</f>
        <v/>
      </c>
      <c r="J2272" s="24" t="str">
        <f aca="false">IF($D2272="","",IFERROR(INDEX(Workers!$C$5:$C$2004,MATCH($D2272,Workers!$A$5:$A$2004,0)),""))</f>
        <v/>
      </c>
      <c r="K2272" s="24" t="str">
        <f aca="false">IF($D2272="","",IFERROR(IF(INDEX(Workers!$D$5:$D$2004,MATCH($D2272,Workers!$A$5:$A$2004,0))=0,"",INDEX(Workers!$D$5:$D$2004,MATCH($D2272,Workers!$A$5:$A$2004,0))),""))</f>
        <v/>
      </c>
      <c r="L2272" s="24" t="str">
        <f aca="false">IF($D2272="","",IFERROR(INDEX(Workers!$E$5:$E$2004,MATCH($D2272,Workers!$A$5:$A$2004,0)),""))</f>
        <v/>
      </c>
      <c r="M2272" s="26" t="str">
        <f aca="false">IF($D2272="","",IFERROR(INDEX(ClientRates!$D$5:$D$500,MATCH($B2272&amp;"|"&amp;$L2272,ClientRates!$A$5:$A$500,0)),0))</f>
        <v/>
      </c>
      <c r="N2272" s="26" t="str">
        <f aca="false">IF($D2272="","",IFERROR(INDEX(ClientRates!$E$5:$E$500,MATCH($B2272&amp;"|"&amp;$L2272,ClientRates!$A$5:$A$500,0)),0))</f>
        <v/>
      </c>
      <c r="O2272" s="26" t="str">
        <f aca="false">IF($D2272="","",F2272*M2272+G2272*N2272)</f>
        <v/>
      </c>
      <c r="P2272" s="26" t="str">
        <f aca="false">IF(OR($D2272="",$J2272&lt;&gt;"Supplier"),"",IFERROR(INDEX(SupplierRates!$D$5:$D$500,MATCH($K2272&amp;"|"&amp;$L2272,SupplierRates!$A$5:$A$500,0)),0))</f>
        <v/>
      </c>
      <c r="Q2272" s="26" t="str">
        <f aca="false">IF(OR($D2272="",$J2272&lt;&gt;"Supplier"),"",IFERROR(INDEX(SupplierRates!$E$5:$E$500,MATCH($K2272&amp;"|"&amp;$L2272,SupplierRates!$A$5:$A$500,0)),0))</f>
        <v/>
      </c>
      <c r="R2272" s="26" t="n">
        <f aca="false">IF(OR($D2272="",$J2272&lt;&gt;"Supplier"),0,F2272*P2272+G2272*Q2272)</f>
        <v>0</v>
      </c>
      <c r="S2272" s="26" t="n">
        <f aca="false">IF(OR($D2272="",$J2272&lt;&gt;"Own"),0,IFERROR((F2272+G2272*Settings!$B$13)*INDEX(Workers!$V$5:$V$2004,MATCH($D2272,Workers!$A$5:$A$2004,0)),0))</f>
        <v>0</v>
      </c>
      <c r="T2272" s="26" t="str">
        <f aca="false">IF($D2272="","",O2272-R2272-S2272)</f>
        <v/>
      </c>
    </row>
    <row r="2273" customFormat="false" ht="15" hidden="false" customHeight="false" outlineLevel="0" collapsed="false">
      <c r="I2273" s="24" t="str">
        <f aca="false">IF($D2273="","",IFERROR(INDEX(Workers!$B$5:$B$2004,MATCH($D2273,Workers!$A$5:$A$2004,0)),"NOT FOUND"))</f>
        <v/>
      </c>
      <c r="J2273" s="24" t="str">
        <f aca="false">IF($D2273="","",IFERROR(INDEX(Workers!$C$5:$C$2004,MATCH($D2273,Workers!$A$5:$A$2004,0)),""))</f>
        <v/>
      </c>
      <c r="K2273" s="24" t="str">
        <f aca="false">IF($D2273="","",IFERROR(IF(INDEX(Workers!$D$5:$D$2004,MATCH($D2273,Workers!$A$5:$A$2004,0))=0,"",INDEX(Workers!$D$5:$D$2004,MATCH($D2273,Workers!$A$5:$A$2004,0))),""))</f>
        <v/>
      </c>
      <c r="L2273" s="24" t="str">
        <f aca="false">IF($D2273="","",IFERROR(INDEX(Workers!$E$5:$E$2004,MATCH($D2273,Workers!$A$5:$A$2004,0)),""))</f>
        <v/>
      </c>
      <c r="M2273" s="26" t="str">
        <f aca="false">IF($D2273="","",IFERROR(INDEX(ClientRates!$D$5:$D$500,MATCH($B2273&amp;"|"&amp;$L2273,ClientRates!$A$5:$A$500,0)),0))</f>
        <v/>
      </c>
      <c r="N2273" s="26" t="str">
        <f aca="false">IF($D2273="","",IFERROR(INDEX(ClientRates!$E$5:$E$500,MATCH($B2273&amp;"|"&amp;$L2273,ClientRates!$A$5:$A$500,0)),0))</f>
        <v/>
      </c>
      <c r="O2273" s="26" t="str">
        <f aca="false">IF($D2273="","",F2273*M2273+G2273*N2273)</f>
        <v/>
      </c>
      <c r="P2273" s="26" t="str">
        <f aca="false">IF(OR($D2273="",$J2273&lt;&gt;"Supplier"),"",IFERROR(INDEX(SupplierRates!$D$5:$D$500,MATCH($K2273&amp;"|"&amp;$L2273,SupplierRates!$A$5:$A$500,0)),0))</f>
        <v/>
      </c>
      <c r="Q2273" s="26" t="str">
        <f aca="false">IF(OR($D2273="",$J2273&lt;&gt;"Supplier"),"",IFERROR(INDEX(SupplierRates!$E$5:$E$500,MATCH($K2273&amp;"|"&amp;$L2273,SupplierRates!$A$5:$A$500,0)),0))</f>
        <v/>
      </c>
      <c r="R2273" s="26" t="n">
        <f aca="false">IF(OR($D2273="",$J2273&lt;&gt;"Supplier"),0,F2273*P2273+G2273*Q2273)</f>
        <v>0</v>
      </c>
      <c r="S2273" s="26" t="n">
        <f aca="false">IF(OR($D2273="",$J2273&lt;&gt;"Own"),0,IFERROR((F2273+G2273*Settings!$B$13)*INDEX(Workers!$V$5:$V$2004,MATCH($D2273,Workers!$A$5:$A$2004,0)),0))</f>
        <v>0</v>
      </c>
      <c r="T2273" s="26" t="str">
        <f aca="false">IF($D2273="","",O2273-R2273-S2273)</f>
        <v/>
      </c>
    </row>
    <row r="2274" customFormat="false" ht="15" hidden="false" customHeight="false" outlineLevel="0" collapsed="false">
      <c r="I2274" s="24" t="str">
        <f aca="false">IF($D2274="","",IFERROR(INDEX(Workers!$B$5:$B$2004,MATCH($D2274,Workers!$A$5:$A$2004,0)),"NOT FOUND"))</f>
        <v/>
      </c>
      <c r="J2274" s="24" t="str">
        <f aca="false">IF($D2274="","",IFERROR(INDEX(Workers!$C$5:$C$2004,MATCH($D2274,Workers!$A$5:$A$2004,0)),""))</f>
        <v/>
      </c>
      <c r="K2274" s="24" t="str">
        <f aca="false">IF($D2274="","",IFERROR(IF(INDEX(Workers!$D$5:$D$2004,MATCH($D2274,Workers!$A$5:$A$2004,0))=0,"",INDEX(Workers!$D$5:$D$2004,MATCH($D2274,Workers!$A$5:$A$2004,0))),""))</f>
        <v/>
      </c>
      <c r="L2274" s="24" t="str">
        <f aca="false">IF($D2274="","",IFERROR(INDEX(Workers!$E$5:$E$2004,MATCH($D2274,Workers!$A$5:$A$2004,0)),""))</f>
        <v/>
      </c>
      <c r="M2274" s="26" t="str">
        <f aca="false">IF($D2274="","",IFERROR(INDEX(ClientRates!$D$5:$D$500,MATCH($B2274&amp;"|"&amp;$L2274,ClientRates!$A$5:$A$500,0)),0))</f>
        <v/>
      </c>
      <c r="N2274" s="26" t="str">
        <f aca="false">IF($D2274="","",IFERROR(INDEX(ClientRates!$E$5:$E$500,MATCH($B2274&amp;"|"&amp;$L2274,ClientRates!$A$5:$A$500,0)),0))</f>
        <v/>
      </c>
      <c r="O2274" s="26" t="str">
        <f aca="false">IF($D2274="","",F2274*M2274+G2274*N2274)</f>
        <v/>
      </c>
      <c r="P2274" s="26" t="str">
        <f aca="false">IF(OR($D2274="",$J2274&lt;&gt;"Supplier"),"",IFERROR(INDEX(SupplierRates!$D$5:$D$500,MATCH($K2274&amp;"|"&amp;$L2274,SupplierRates!$A$5:$A$500,0)),0))</f>
        <v/>
      </c>
      <c r="Q2274" s="26" t="str">
        <f aca="false">IF(OR($D2274="",$J2274&lt;&gt;"Supplier"),"",IFERROR(INDEX(SupplierRates!$E$5:$E$500,MATCH($K2274&amp;"|"&amp;$L2274,SupplierRates!$A$5:$A$500,0)),0))</f>
        <v/>
      </c>
      <c r="R2274" s="26" t="n">
        <f aca="false">IF(OR($D2274="",$J2274&lt;&gt;"Supplier"),0,F2274*P2274+G2274*Q2274)</f>
        <v>0</v>
      </c>
      <c r="S2274" s="26" t="n">
        <f aca="false">IF(OR($D2274="",$J2274&lt;&gt;"Own"),0,IFERROR((F2274+G2274*Settings!$B$13)*INDEX(Workers!$V$5:$V$2004,MATCH($D2274,Workers!$A$5:$A$2004,0)),0))</f>
        <v>0</v>
      </c>
      <c r="T2274" s="26" t="str">
        <f aca="false">IF($D2274="","",O2274-R2274-S2274)</f>
        <v/>
      </c>
    </row>
    <row r="2275" customFormat="false" ht="15" hidden="false" customHeight="false" outlineLevel="0" collapsed="false">
      <c r="I2275" s="24" t="str">
        <f aca="false">IF($D2275="","",IFERROR(INDEX(Workers!$B$5:$B$2004,MATCH($D2275,Workers!$A$5:$A$2004,0)),"NOT FOUND"))</f>
        <v/>
      </c>
      <c r="J2275" s="24" t="str">
        <f aca="false">IF($D2275="","",IFERROR(INDEX(Workers!$C$5:$C$2004,MATCH($D2275,Workers!$A$5:$A$2004,0)),""))</f>
        <v/>
      </c>
      <c r="K2275" s="24" t="str">
        <f aca="false">IF($D2275="","",IFERROR(IF(INDEX(Workers!$D$5:$D$2004,MATCH($D2275,Workers!$A$5:$A$2004,0))=0,"",INDEX(Workers!$D$5:$D$2004,MATCH($D2275,Workers!$A$5:$A$2004,0))),""))</f>
        <v/>
      </c>
      <c r="L2275" s="24" t="str">
        <f aca="false">IF($D2275="","",IFERROR(INDEX(Workers!$E$5:$E$2004,MATCH($D2275,Workers!$A$5:$A$2004,0)),""))</f>
        <v/>
      </c>
      <c r="M2275" s="26" t="str">
        <f aca="false">IF($D2275="","",IFERROR(INDEX(ClientRates!$D$5:$D$500,MATCH($B2275&amp;"|"&amp;$L2275,ClientRates!$A$5:$A$500,0)),0))</f>
        <v/>
      </c>
      <c r="N2275" s="26" t="str">
        <f aca="false">IF($D2275="","",IFERROR(INDEX(ClientRates!$E$5:$E$500,MATCH($B2275&amp;"|"&amp;$L2275,ClientRates!$A$5:$A$500,0)),0))</f>
        <v/>
      </c>
      <c r="O2275" s="26" t="str">
        <f aca="false">IF($D2275="","",F2275*M2275+G2275*N2275)</f>
        <v/>
      </c>
      <c r="P2275" s="26" t="str">
        <f aca="false">IF(OR($D2275="",$J2275&lt;&gt;"Supplier"),"",IFERROR(INDEX(SupplierRates!$D$5:$D$500,MATCH($K2275&amp;"|"&amp;$L2275,SupplierRates!$A$5:$A$500,0)),0))</f>
        <v/>
      </c>
      <c r="Q2275" s="26" t="str">
        <f aca="false">IF(OR($D2275="",$J2275&lt;&gt;"Supplier"),"",IFERROR(INDEX(SupplierRates!$E$5:$E$500,MATCH($K2275&amp;"|"&amp;$L2275,SupplierRates!$A$5:$A$500,0)),0))</f>
        <v/>
      </c>
      <c r="R2275" s="26" t="n">
        <f aca="false">IF(OR($D2275="",$J2275&lt;&gt;"Supplier"),0,F2275*P2275+G2275*Q2275)</f>
        <v>0</v>
      </c>
      <c r="S2275" s="26" t="n">
        <f aca="false">IF(OR($D2275="",$J2275&lt;&gt;"Own"),0,IFERROR((F2275+G2275*Settings!$B$13)*INDEX(Workers!$V$5:$V$2004,MATCH($D2275,Workers!$A$5:$A$2004,0)),0))</f>
        <v>0</v>
      </c>
      <c r="T2275" s="26" t="str">
        <f aca="false">IF($D2275="","",O2275-R2275-S2275)</f>
        <v/>
      </c>
    </row>
    <row r="2276" customFormat="false" ht="15" hidden="false" customHeight="false" outlineLevel="0" collapsed="false">
      <c r="I2276" s="24" t="str">
        <f aca="false">IF($D2276="","",IFERROR(INDEX(Workers!$B$5:$B$2004,MATCH($D2276,Workers!$A$5:$A$2004,0)),"NOT FOUND"))</f>
        <v/>
      </c>
      <c r="J2276" s="24" t="str">
        <f aca="false">IF($D2276="","",IFERROR(INDEX(Workers!$C$5:$C$2004,MATCH($D2276,Workers!$A$5:$A$2004,0)),""))</f>
        <v/>
      </c>
      <c r="K2276" s="24" t="str">
        <f aca="false">IF($D2276="","",IFERROR(IF(INDEX(Workers!$D$5:$D$2004,MATCH($D2276,Workers!$A$5:$A$2004,0))=0,"",INDEX(Workers!$D$5:$D$2004,MATCH($D2276,Workers!$A$5:$A$2004,0))),""))</f>
        <v/>
      </c>
      <c r="L2276" s="24" t="str">
        <f aca="false">IF($D2276="","",IFERROR(INDEX(Workers!$E$5:$E$2004,MATCH($D2276,Workers!$A$5:$A$2004,0)),""))</f>
        <v/>
      </c>
      <c r="M2276" s="26" t="str">
        <f aca="false">IF($D2276="","",IFERROR(INDEX(ClientRates!$D$5:$D$500,MATCH($B2276&amp;"|"&amp;$L2276,ClientRates!$A$5:$A$500,0)),0))</f>
        <v/>
      </c>
      <c r="N2276" s="26" t="str">
        <f aca="false">IF($D2276="","",IFERROR(INDEX(ClientRates!$E$5:$E$500,MATCH($B2276&amp;"|"&amp;$L2276,ClientRates!$A$5:$A$500,0)),0))</f>
        <v/>
      </c>
      <c r="O2276" s="26" t="str">
        <f aca="false">IF($D2276="","",F2276*M2276+G2276*N2276)</f>
        <v/>
      </c>
      <c r="P2276" s="26" t="str">
        <f aca="false">IF(OR($D2276="",$J2276&lt;&gt;"Supplier"),"",IFERROR(INDEX(SupplierRates!$D$5:$D$500,MATCH($K2276&amp;"|"&amp;$L2276,SupplierRates!$A$5:$A$500,0)),0))</f>
        <v/>
      </c>
      <c r="Q2276" s="26" t="str">
        <f aca="false">IF(OR($D2276="",$J2276&lt;&gt;"Supplier"),"",IFERROR(INDEX(SupplierRates!$E$5:$E$500,MATCH($K2276&amp;"|"&amp;$L2276,SupplierRates!$A$5:$A$500,0)),0))</f>
        <v/>
      </c>
      <c r="R2276" s="26" t="n">
        <f aca="false">IF(OR($D2276="",$J2276&lt;&gt;"Supplier"),0,F2276*P2276+G2276*Q2276)</f>
        <v>0</v>
      </c>
      <c r="S2276" s="26" t="n">
        <f aca="false">IF(OR($D2276="",$J2276&lt;&gt;"Own"),0,IFERROR((F2276+G2276*Settings!$B$13)*INDEX(Workers!$V$5:$V$2004,MATCH($D2276,Workers!$A$5:$A$2004,0)),0))</f>
        <v>0</v>
      </c>
      <c r="T2276" s="26" t="str">
        <f aca="false">IF($D2276="","",O2276-R2276-S2276)</f>
        <v/>
      </c>
    </row>
    <row r="2277" customFormat="false" ht="15" hidden="false" customHeight="false" outlineLevel="0" collapsed="false">
      <c r="I2277" s="24" t="str">
        <f aca="false">IF($D2277="","",IFERROR(INDEX(Workers!$B$5:$B$2004,MATCH($D2277,Workers!$A$5:$A$2004,0)),"NOT FOUND"))</f>
        <v/>
      </c>
      <c r="J2277" s="24" t="str">
        <f aca="false">IF($D2277="","",IFERROR(INDEX(Workers!$C$5:$C$2004,MATCH($D2277,Workers!$A$5:$A$2004,0)),""))</f>
        <v/>
      </c>
      <c r="K2277" s="24" t="str">
        <f aca="false">IF($D2277="","",IFERROR(IF(INDEX(Workers!$D$5:$D$2004,MATCH($D2277,Workers!$A$5:$A$2004,0))=0,"",INDEX(Workers!$D$5:$D$2004,MATCH($D2277,Workers!$A$5:$A$2004,0))),""))</f>
        <v/>
      </c>
      <c r="L2277" s="24" t="str">
        <f aca="false">IF($D2277="","",IFERROR(INDEX(Workers!$E$5:$E$2004,MATCH($D2277,Workers!$A$5:$A$2004,0)),""))</f>
        <v/>
      </c>
      <c r="M2277" s="26" t="str">
        <f aca="false">IF($D2277="","",IFERROR(INDEX(ClientRates!$D$5:$D$500,MATCH($B2277&amp;"|"&amp;$L2277,ClientRates!$A$5:$A$500,0)),0))</f>
        <v/>
      </c>
      <c r="N2277" s="26" t="str">
        <f aca="false">IF($D2277="","",IFERROR(INDEX(ClientRates!$E$5:$E$500,MATCH($B2277&amp;"|"&amp;$L2277,ClientRates!$A$5:$A$500,0)),0))</f>
        <v/>
      </c>
      <c r="O2277" s="26" t="str">
        <f aca="false">IF($D2277="","",F2277*M2277+G2277*N2277)</f>
        <v/>
      </c>
      <c r="P2277" s="26" t="str">
        <f aca="false">IF(OR($D2277="",$J2277&lt;&gt;"Supplier"),"",IFERROR(INDEX(SupplierRates!$D$5:$D$500,MATCH($K2277&amp;"|"&amp;$L2277,SupplierRates!$A$5:$A$500,0)),0))</f>
        <v/>
      </c>
      <c r="Q2277" s="26" t="str">
        <f aca="false">IF(OR($D2277="",$J2277&lt;&gt;"Supplier"),"",IFERROR(INDEX(SupplierRates!$E$5:$E$500,MATCH($K2277&amp;"|"&amp;$L2277,SupplierRates!$A$5:$A$500,0)),0))</f>
        <v/>
      </c>
      <c r="R2277" s="26" t="n">
        <f aca="false">IF(OR($D2277="",$J2277&lt;&gt;"Supplier"),0,F2277*P2277+G2277*Q2277)</f>
        <v>0</v>
      </c>
      <c r="S2277" s="26" t="n">
        <f aca="false">IF(OR($D2277="",$J2277&lt;&gt;"Own"),0,IFERROR((F2277+G2277*Settings!$B$13)*INDEX(Workers!$V$5:$V$2004,MATCH($D2277,Workers!$A$5:$A$2004,0)),0))</f>
        <v>0</v>
      </c>
      <c r="T2277" s="26" t="str">
        <f aca="false">IF($D2277="","",O2277-R2277-S2277)</f>
        <v/>
      </c>
    </row>
    <row r="2278" customFormat="false" ht="15" hidden="false" customHeight="false" outlineLevel="0" collapsed="false">
      <c r="I2278" s="24" t="str">
        <f aca="false">IF($D2278="","",IFERROR(INDEX(Workers!$B$5:$B$2004,MATCH($D2278,Workers!$A$5:$A$2004,0)),"NOT FOUND"))</f>
        <v/>
      </c>
      <c r="J2278" s="24" t="str">
        <f aca="false">IF($D2278="","",IFERROR(INDEX(Workers!$C$5:$C$2004,MATCH($D2278,Workers!$A$5:$A$2004,0)),""))</f>
        <v/>
      </c>
      <c r="K2278" s="24" t="str">
        <f aca="false">IF($D2278="","",IFERROR(IF(INDEX(Workers!$D$5:$D$2004,MATCH($D2278,Workers!$A$5:$A$2004,0))=0,"",INDEX(Workers!$D$5:$D$2004,MATCH($D2278,Workers!$A$5:$A$2004,0))),""))</f>
        <v/>
      </c>
      <c r="L2278" s="24" t="str">
        <f aca="false">IF($D2278="","",IFERROR(INDEX(Workers!$E$5:$E$2004,MATCH($D2278,Workers!$A$5:$A$2004,0)),""))</f>
        <v/>
      </c>
      <c r="M2278" s="26" t="str">
        <f aca="false">IF($D2278="","",IFERROR(INDEX(ClientRates!$D$5:$D$500,MATCH($B2278&amp;"|"&amp;$L2278,ClientRates!$A$5:$A$500,0)),0))</f>
        <v/>
      </c>
      <c r="N2278" s="26" t="str">
        <f aca="false">IF($D2278="","",IFERROR(INDEX(ClientRates!$E$5:$E$500,MATCH($B2278&amp;"|"&amp;$L2278,ClientRates!$A$5:$A$500,0)),0))</f>
        <v/>
      </c>
      <c r="O2278" s="26" t="str">
        <f aca="false">IF($D2278="","",F2278*M2278+G2278*N2278)</f>
        <v/>
      </c>
      <c r="P2278" s="26" t="str">
        <f aca="false">IF(OR($D2278="",$J2278&lt;&gt;"Supplier"),"",IFERROR(INDEX(SupplierRates!$D$5:$D$500,MATCH($K2278&amp;"|"&amp;$L2278,SupplierRates!$A$5:$A$500,0)),0))</f>
        <v/>
      </c>
      <c r="Q2278" s="26" t="str">
        <f aca="false">IF(OR($D2278="",$J2278&lt;&gt;"Supplier"),"",IFERROR(INDEX(SupplierRates!$E$5:$E$500,MATCH($K2278&amp;"|"&amp;$L2278,SupplierRates!$A$5:$A$500,0)),0))</f>
        <v/>
      </c>
      <c r="R2278" s="26" t="n">
        <f aca="false">IF(OR($D2278="",$J2278&lt;&gt;"Supplier"),0,F2278*P2278+G2278*Q2278)</f>
        <v>0</v>
      </c>
      <c r="S2278" s="26" t="n">
        <f aca="false">IF(OR($D2278="",$J2278&lt;&gt;"Own"),0,IFERROR((F2278+G2278*Settings!$B$13)*INDEX(Workers!$V$5:$V$2004,MATCH($D2278,Workers!$A$5:$A$2004,0)),0))</f>
        <v>0</v>
      </c>
      <c r="T2278" s="26" t="str">
        <f aca="false">IF($D2278="","",O2278-R2278-S2278)</f>
        <v/>
      </c>
    </row>
    <row r="2279" customFormat="false" ht="15" hidden="false" customHeight="false" outlineLevel="0" collapsed="false">
      <c r="I2279" s="24" t="str">
        <f aca="false">IF($D2279="","",IFERROR(INDEX(Workers!$B$5:$B$2004,MATCH($D2279,Workers!$A$5:$A$2004,0)),"NOT FOUND"))</f>
        <v/>
      </c>
      <c r="J2279" s="24" t="str">
        <f aca="false">IF($D2279="","",IFERROR(INDEX(Workers!$C$5:$C$2004,MATCH($D2279,Workers!$A$5:$A$2004,0)),""))</f>
        <v/>
      </c>
      <c r="K2279" s="24" t="str">
        <f aca="false">IF($D2279="","",IFERROR(IF(INDEX(Workers!$D$5:$D$2004,MATCH($D2279,Workers!$A$5:$A$2004,0))=0,"",INDEX(Workers!$D$5:$D$2004,MATCH($D2279,Workers!$A$5:$A$2004,0))),""))</f>
        <v/>
      </c>
      <c r="L2279" s="24" t="str">
        <f aca="false">IF($D2279="","",IFERROR(INDEX(Workers!$E$5:$E$2004,MATCH($D2279,Workers!$A$5:$A$2004,0)),""))</f>
        <v/>
      </c>
      <c r="M2279" s="26" t="str">
        <f aca="false">IF($D2279="","",IFERROR(INDEX(ClientRates!$D$5:$D$500,MATCH($B2279&amp;"|"&amp;$L2279,ClientRates!$A$5:$A$500,0)),0))</f>
        <v/>
      </c>
      <c r="N2279" s="26" t="str">
        <f aca="false">IF($D2279="","",IFERROR(INDEX(ClientRates!$E$5:$E$500,MATCH($B2279&amp;"|"&amp;$L2279,ClientRates!$A$5:$A$500,0)),0))</f>
        <v/>
      </c>
      <c r="O2279" s="26" t="str">
        <f aca="false">IF($D2279="","",F2279*M2279+G2279*N2279)</f>
        <v/>
      </c>
      <c r="P2279" s="26" t="str">
        <f aca="false">IF(OR($D2279="",$J2279&lt;&gt;"Supplier"),"",IFERROR(INDEX(SupplierRates!$D$5:$D$500,MATCH($K2279&amp;"|"&amp;$L2279,SupplierRates!$A$5:$A$500,0)),0))</f>
        <v/>
      </c>
      <c r="Q2279" s="26" t="str">
        <f aca="false">IF(OR($D2279="",$J2279&lt;&gt;"Supplier"),"",IFERROR(INDEX(SupplierRates!$E$5:$E$500,MATCH($K2279&amp;"|"&amp;$L2279,SupplierRates!$A$5:$A$500,0)),0))</f>
        <v/>
      </c>
      <c r="R2279" s="26" t="n">
        <f aca="false">IF(OR($D2279="",$J2279&lt;&gt;"Supplier"),0,F2279*P2279+G2279*Q2279)</f>
        <v>0</v>
      </c>
      <c r="S2279" s="26" t="n">
        <f aca="false">IF(OR($D2279="",$J2279&lt;&gt;"Own"),0,IFERROR((F2279+G2279*Settings!$B$13)*INDEX(Workers!$V$5:$V$2004,MATCH($D2279,Workers!$A$5:$A$2004,0)),0))</f>
        <v>0</v>
      </c>
      <c r="T2279" s="26" t="str">
        <f aca="false">IF($D2279="","",O2279-R2279-S2279)</f>
        <v/>
      </c>
    </row>
    <row r="2280" customFormat="false" ht="15" hidden="false" customHeight="false" outlineLevel="0" collapsed="false">
      <c r="I2280" s="24" t="str">
        <f aca="false">IF($D2280="","",IFERROR(INDEX(Workers!$B$5:$B$2004,MATCH($D2280,Workers!$A$5:$A$2004,0)),"NOT FOUND"))</f>
        <v/>
      </c>
      <c r="J2280" s="24" t="str">
        <f aca="false">IF($D2280="","",IFERROR(INDEX(Workers!$C$5:$C$2004,MATCH($D2280,Workers!$A$5:$A$2004,0)),""))</f>
        <v/>
      </c>
      <c r="K2280" s="24" t="str">
        <f aca="false">IF($D2280="","",IFERROR(IF(INDEX(Workers!$D$5:$D$2004,MATCH($D2280,Workers!$A$5:$A$2004,0))=0,"",INDEX(Workers!$D$5:$D$2004,MATCH($D2280,Workers!$A$5:$A$2004,0))),""))</f>
        <v/>
      </c>
      <c r="L2280" s="24" t="str">
        <f aca="false">IF($D2280="","",IFERROR(INDEX(Workers!$E$5:$E$2004,MATCH($D2280,Workers!$A$5:$A$2004,0)),""))</f>
        <v/>
      </c>
      <c r="M2280" s="26" t="str">
        <f aca="false">IF($D2280="","",IFERROR(INDEX(ClientRates!$D$5:$D$500,MATCH($B2280&amp;"|"&amp;$L2280,ClientRates!$A$5:$A$500,0)),0))</f>
        <v/>
      </c>
      <c r="N2280" s="26" t="str">
        <f aca="false">IF($D2280="","",IFERROR(INDEX(ClientRates!$E$5:$E$500,MATCH($B2280&amp;"|"&amp;$L2280,ClientRates!$A$5:$A$500,0)),0))</f>
        <v/>
      </c>
      <c r="O2280" s="26" t="str">
        <f aca="false">IF($D2280="","",F2280*M2280+G2280*N2280)</f>
        <v/>
      </c>
      <c r="P2280" s="26" t="str">
        <f aca="false">IF(OR($D2280="",$J2280&lt;&gt;"Supplier"),"",IFERROR(INDEX(SupplierRates!$D$5:$D$500,MATCH($K2280&amp;"|"&amp;$L2280,SupplierRates!$A$5:$A$500,0)),0))</f>
        <v/>
      </c>
      <c r="Q2280" s="26" t="str">
        <f aca="false">IF(OR($D2280="",$J2280&lt;&gt;"Supplier"),"",IFERROR(INDEX(SupplierRates!$E$5:$E$500,MATCH($K2280&amp;"|"&amp;$L2280,SupplierRates!$A$5:$A$500,0)),0))</f>
        <v/>
      </c>
      <c r="R2280" s="26" t="n">
        <f aca="false">IF(OR($D2280="",$J2280&lt;&gt;"Supplier"),0,F2280*P2280+G2280*Q2280)</f>
        <v>0</v>
      </c>
      <c r="S2280" s="26" t="n">
        <f aca="false">IF(OR($D2280="",$J2280&lt;&gt;"Own"),0,IFERROR((F2280+G2280*Settings!$B$13)*INDEX(Workers!$V$5:$V$2004,MATCH($D2280,Workers!$A$5:$A$2004,0)),0))</f>
        <v>0</v>
      </c>
      <c r="T2280" s="26" t="str">
        <f aca="false">IF($D2280="","",O2280-R2280-S2280)</f>
        <v/>
      </c>
    </row>
    <row r="2281" customFormat="false" ht="15" hidden="false" customHeight="false" outlineLevel="0" collapsed="false">
      <c r="I2281" s="24" t="str">
        <f aca="false">IF($D2281="","",IFERROR(INDEX(Workers!$B$5:$B$2004,MATCH($D2281,Workers!$A$5:$A$2004,0)),"NOT FOUND"))</f>
        <v/>
      </c>
      <c r="J2281" s="24" t="str">
        <f aca="false">IF($D2281="","",IFERROR(INDEX(Workers!$C$5:$C$2004,MATCH($D2281,Workers!$A$5:$A$2004,0)),""))</f>
        <v/>
      </c>
      <c r="K2281" s="24" t="str">
        <f aca="false">IF($D2281="","",IFERROR(IF(INDEX(Workers!$D$5:$D$2004,MATCH($D2281,Workers!$A$5:$A$2004,0))=0,"",INDEX(Workers!$D$5:$D$2004,MATCH($D2281,Workers!$A$5:$A$2004,0))),""))</f>
        <v/>
      </c>
      <c r="L2281" s="24" t="str">
        <f aca="false">IF($D2281="","",IFERROR(INDEX(Workers!$E$5:$E$2004,MATCH($D2281,Workers!$A$5:$A$2004,0)),""))</f>
        <v/>
      </c>
      <c r="M2281" s="26" t="str">
        <f aca="false">IF($D2281="","",IFERROR(INDEX(ClientRates!$D$5:$D$500,MATCH($B2281&amp;"|"&amp;$L2281,ClientRates!$A$5:$A$500,0)),0))</f>
        <v/>
      </c>
      <c r="N2281" s="26" t="str">
        <f aca="false">IF($D2281="","",IFERROR(INDEX(ClientRates!$E$5:$E$500,MATCH($B2281&amp;"|"&amp;$L2281,ClientRates!$A$5:$A$500,0)),0))</f>
        <v/>
      </c>
      <c r="O2281" s="26" t="str">
        <f aca="false">IF($D2281="","",F2281*M2281+G2281*N2281)</f>
        <v/>
      </c>
      <c r="P2281" s="26" t="str">
        <f aca="false">IF(OR($D2281="",$J2281&lt;&gt;"Supplier"),"",IFERROR(INDEX(SupplierRates!$D$5:$D$500,MATCH($K2281&amp;"|"&amp;$L2281,SupplierRates!$A$5:$A$500,0)),0))</f>
        <v/>
      </c>
      <c r="Q2281" s="26" t="str">
        <f aca="false">IF(OR($D2281="",$J2281&lt;&gt;"Supplier"),"",IFERROR(INDEX(SupplierRates!$E$5:$E$500,MATCH($K2281&amp;"|"&amp;$L2281,SupplierRates!$A$5:$A$500,0)),0))</f>
        <v/>
      </c>
      <c r="R2281" s="26" t="n">
        <f aca="false">IF(OR($D2281="",$J2281&lt;&gt;"Supplier"),0,F2281*P2281+G2281*Q2281)</f>
        <v>0</v>
      </c>
      <c r="S2281" s="26" t="n">
        <f aca="false">IF(OR($D2281="",$J2281&lt;&gt;"Own"),0,IFERROR((F2281+G2281*Settings!$B$13)*INDEX(Workers!$V$5:$V$2004,MATCH($D2281,Workers!$A$5:$A$2004,0)),0))</f>
        <v>0</v>
      </c>
      <c r="T2281" s="26" t="str">
        <f aca="false">IF($D2281="","",O2281-R2281-S2281)</f>
        <v/>
      </c>
    </row>
    <row r="2282" customFormat="false" ht="15" hidden="false" customHeight="false" outlineLevel="0" collapsed="false">
      <c r="I2282" s="24" t="str">
        <f aca="false">IF($D2282="","",IFERROR(INDEX(Workers!$B$5:$B$2004,MATCH($D2282,Workers!$A$5:$A$2004,0)),"NOT FOUND"))</f>
        <v/>
      </c>
      <c r="J2282" s="24" t="str">
        <f aca="false">IF($D2282="","",IFERROR(INDEX(Workers!$C$5:$C$2004,MATCH($D2282,Workers!$A$5:$A$2004,0)),""))</f>
        <v/>
      </c>
      <c r="K2282" s="24" t="str">
        <f aca="false">IF($D2282="","",IFERROR(IF(INDEX(Workers!$D$5:$D$2004,MATCH($D2282,Workers!$A$5:$A$2004,0))=0,"",INDEX(Workers!$D$5:$D$2004,MATCH($D2282,Workers!$A$5:$A$2004,0))),""))</f>
        <v/>
      </c>
      <c r="L2282" s="24" t="str">
        <f aca="false">IF($D2282="","",IFERROR(INDEX(Workers!$E$5:$E$2004,MATCH($D2282,Workers!$A$5:$A$2004,0)),""))</f>
        <v/>
      </c>
      <c r="M2282" s="26" t="str">
        <f aca="false">IF($D2282="","",IFERROR(INDEX(ClientRates!$D$5:$D$500,MATCH($B2282&amp;"|"&amp;$L2282,ClientRates!$A$5:$A$500,0)),0))</f>
        <v/>
      </c>
      <c r="N2282" s="26" t="str">
        <f aca="false">IF($D2282="","",IFERROR(INDEX(ClientRates!$E$5:$E$500,MATCH($B2282&amp;"|"&amp;$L2282,ClientRates!$A$5:$A$500,0)),0))</f>
        <v/>
      </c>
      <c r="O2282" s="26" t="str">
        <f aca="false">IF($D2282="","",F2282*M2282+G2282*N2282)</f>
        <v/>
      </c>
      <c r="P2282" s="26" t="str">
        <f aca="false">IF(OR($D2282="",$J2282&lt;&gt;"Supplier"),"",IFERROR(INDEX(SupplierRates!$D$5:$D$500,MATCH($K2282&amp;"|"&amp;$L2282,SupplierRates!$A$5:$A$500,0)),0))</f>
        <v/>
      </c>
      <c r="Q2282" s="26" t="str">
        <f aca="false">IF(OR($D2282="",$J2282&lt;&gt;"Supplier"),"",IFERROR(INDEX(SupplierRates!$E$5:$E$500,MATCH($K2282&amp;"|"&amp;$L2282,SupplierRates!$A$5:$A$500,0)),0))</f>
        <v/>
      </c>
      <c r="R2282" s="26" t="n">
        <f aca="false">IF(OR($D2282="",$J2282&lt;&gt;"Supplier"),0,F2282*P2282+G2282*Q2282)</f>
        <v>0</v>
      </c>
      <c r="S2282" s="26" t="n">
        <f aca="false">IF(OR($D2282="",$J2282&lt;&gt;"Own"),0,IFERROR((F2282+G2282*Settings!$B$13)*INDEX(Workers!$V$5:$V$2004,MATCH($D2282,Workers!$A$5:$A$2004,0)),0))</f>
        <v>0</v>
      </c>
      <c r="T2282" s="26" t="str">
        <f aca="false">IF($D2282="","",O2282-R2282-S2282)</f>
        <v/>
      </c>
    </row>
    <row r="2283" customFormat="false" ht="15" hidden="false" customHeight="false" outlineLevel="0" collapsed="false">
      <c r="I2283" s="24" t="str">
        <f aca="false">IF($D2283="","",IFERROR(INDEX(Workers!$B$5:$B$2004,MATCH($D2283,Workers!$A$5:$A$2004,0)),"NOT FOUND"))</f>
        <v/>
      </c>
      <c r="J2283" s="24" t="str">
        <f aca="false">IF($D2283="","",IFERROR(INDEX(Workers!$C$5:$C$2004,MATCH($D2283,Workers!$A$5:$A$2004,0)),""))</f>
        <v/>
      </c>
      <c r="K2283" s="24" t="str">
        <f aca="false">IF($D2283="","",IFERROR(IF(INDEX(Workers!$D$5:$D$2004,MATCH($D2283,Workers!$A$5:$A$2004,0))=0,"",INDEX(Workers!$D$5:$D$2004,MATCH($D2283,Workers!$A$5:$A$2004,0))),""))</f>
        <v/>
      </c>
      <c r="L2283" s="24" t="str">
        <f aca="false">IF($D2283="","",IFERROR(INDEX(Workers!$E$5:$E$2004,MATCH($D2283,Workers!$A$5:$A$2004,0)),""))</f>
        <v/>
      </c>
      <c r="M2283" s="26" t="str">
        <f aca="false">IF($D2283="","",IFERROR(INDEX(ClientRates!$D$5:$D$500,MATCH($B2283&amp;"|"&amp;$L2283,ClientRates!$A$5:$A$500,0)),0))</f>
        <v/>
      </c>
      <c r="N2283" s="26" t="str">
        <f aca="false">IF($D2283="","",IFERROR(INDEX(ClientRates!$E$5:$E$500,MATCH($B2283&amp;"|"&amp;$L2283,ClientRates!$A$5:$A$500,0)),0))</f>
        <v/>
      </c>
      <c r="O2283" s="26" t="str">
        <f aca="false">IF($D2283="","",F2283*M2283+G2283*N2283)</f>
        <v/>
      </c>
      <c r="P2283" s="26" t="str">
        <f aca="false">IF(OR($D2283="",$J2283&lt;&gt;"Supplier"),"",IFERROR(INDEX(SupplierRates!$D$5:$D$500,MATCH($K2283&amp;"|"&amp;$L2283,SupplierRates!$A$5:$A$500,0)),0))</f>
        <v/>
      </c>
      <c r="Q2283" s="26" t="str">
        <f aca="false">IF(OR($D2283="",$J2283&lt;&gt;"Supplier"),"",IFERROR(INDEX(SupplierRates!$E$5:$E$500,MATCH($K2283&amp;"|"&amp;$L2283,SupplierRates!$A$5:$A$500,0)),0))</f>
        <v/>
      </c>
      <c r="R2283" s="26" t="n">
        <f aca="false">IF(OR($D2283="",$J2283&lt;&gt;"Supplier"),0,F2283*P2283+G2283*Q2283)</f>
        <v>0</v>
      </c>
      <c r="S2283" s="26" t="n">
        <f aca="false">IF(OR($D2283="",$J2283&lt;&gt;"Own"),0,IFERROR((F2283+G2283*Settings!$B$13)*INDEX(Workers!$V$5:$V$2004,MATCH($D2283,Workers!$A$5:$A$2004,0)),0))</f>
        <v>0</v>
      </c>
      <c r="T2283" s="26" t="str">
        <f aca="false">IF($D2283="","",O2283-R2283-S2283)</f>
        <v/>
      </c>
    </row>
    <row r="2284" customFormat="false" ht="15" hidden="false" customHeight="false" outlineLevel="0" collapsed="false">
      <c r="I2284" s="24" t="str">
        <f aca="false">IF($D2284="","",IFERROR(INDEX(Workers!$B$5:$B$2004,MATCH($D2284,Workers!$A$5:$A$2004,0)),"NOT FOUND"))</f>
        <v/>
      </c>
      <c r="J2284" s="24" t="str">
        <f aca="false">IF($D2284="","",IFERROR(INDEX(Workers!$C$5:$C$2004,MATCH($D2284,Workers!$A$5:$A$2004,0)),""))</f>
        <v/>
      </c>
      <c r="K2284" s="24" t="str">
        <f aca="false">IF($D2284="","",IFERROR(IF(INDEX(Workers!$D$5:$D$2004,MATCH($D2284,Workers!$A$5:$A$2004,0))=0,"",INDEX(Workers!$D$5:$D$2004,MATCH($D2284,Workers!$A$5:$A$2004,0))),""))</f>
        <v/>
      </c>
      <c r="L2284" s="24" t="str">
        <f aca="false">IF($D2284="","",IFERROR(INDEX(Workers!$E$5:$E$2004,MATCH($D2284,Workers!$A$5:$A$2004,0)),""))</f>
        <v/>
      </c>
      <c r="M2284" s="26" t="str">
        <f aca="false">IF($D2284="","",IFERROR(INDEX(ClientRates!$D$5:$D$500,MATCH($B2284&amp;"|"&amp;$L2284,ClientRates!$A$5:$A$500,0)),0))</f>
        <v/>
      </c>
      <c r="N2284" s="26" t="str">
        <f aca="false">IF($D2284="","",IFERROR(INDEX(ClientRates!$E$5:$E$500,MATCH($B2284&amp;"|"&amp;$L2284,ClientRates!$A$5:$A$500,0)),0))</f>
        <v/>
      </c>
      <c r="O2284" s="26" t="str">
        <f aca="false">IF($D2284="","",F2284*M2284+G2284*N2284)</f>
        <v/>
      </c>
      <c r="P2284" s="26" t="str">
        <f aca="false">IF(OR($D2284="",$J2284&lt;&gt;"Supplier"),"",IFERROR(INDEX(SupplierRates!$D$5:$D$500,MATCH($K2284&amp;"|"&amp;$L2284,SupplierRates!$A$5:$A$500,0)),0))</f>
        <v/>
      </c>
      <c r="Q2284" s="26" t="str">
        <f aca="false">IF(OR($D2284="",$J2284&lt;&gt;"Supplier"),"",IFERROR(INDEX(SupplierRates!$E$5:$E$500,MATCH($K2284&amp;"|"&amp;$L2284,SupplierRates!$A$5:$A$500,0)),0))</f>
        <v/>
      </c>
      <c r="R2284" s="26" t="n">
        <f aca="false">IF(OR($D2284="",$J2284&lt;&gt;"Supplier"),0,F2284*P2284+G2284*Q2284)</f>
        <v>0</v>
      </c>
      <c r="S2284" s="26" t="n">
        <f aca="false">IF(OR($D2284="",$J2284&lt;&gt;"Own"),0,IFERROR((F2284+G2284*Settings!$B$13)*INDEX(Workers!$V$5:$V$2004,MATCH($D2284,Workers!$A$5:$A$2004,0)),0))</f>
        <v>0</v>
      </c>
      <c r="T2284" s="26" t="str">
        <f aca="false">IF($D2284="","",O2284-R2284-S2284)</f>
        <v/>
      </c>
    </row>
    <row r="2285" customFormat="false" ht="15" hidden="false" customHeight="false" outlineLevel="0" collapsed="false">
      <c r="I2285" s="24" t="str">
        <f aca="false">IF($D2285="","",IFERROR(INDEX(Workers!$B$5:$B$2004,MATCH($D2285,Workers!$A$5:$A$2004,0)),"NOT FOUND"))</f>
        <v/>
      </c>
      <c r="J2285" s="24" t="str">
        <f aca="false">IF($D2285="","",IFERROR(INDEX(Workers!$C$5:$C$2004,MATCH($D2285,Workers!$A$5:$A$2004,0)),""))</f>
        <v/>
      </c>
      <c r="K2285" s="24" t="str">
        <f aca="false">IF($D2285="","",IFERROR(IF(INDEX(Workers!$D$5:$D$2004,MATCH($D2285,Workers!$A$5:$A$2004,0))=0,"",INDEX(Workers!$D$5:$D$2004,MATCH($D2285,Workers!$A$5:$A$2004,0))),""))</f>
        <v/>
      </c>
      <c r="L2285" s="24" t="str">
        <f aca="false">IF($D2285="","",IFERROR(INDEX(Workers!$E$5:$E$2004,MATCH($D2285,Workers!$A$5:$A$2004,0)),""))</f>
        <v/>
      </c>
      <c r="M2285" s="26" t="str">
        <f aca="false">IF($D2285="","",IFERROR(INDEX(ClientRates!$D$5:$D$500,MATCH($B2285&amp;"|"&amp;$L2285,ClientRates!$A$5:$A$500,0)),0))</f>
        <v/>
      </c>
      <c r="N2285" s="26" t="str">
        <f aca="false">IF($D2285="","",IFERROR(INDEX(ClientRates!$E$5:$E$500,MATCH($B2285&amp;"|"&amp;$L2285,ClientRates!$A$5:$A$500,0)),0))</f>
        <v/>
      </c>
      <c r="O2285" s="26" t="str">
        <f aca="false">IF($D2285="","",F2285*M2285+G2285*N2285)</f>
        <v/>
      </c>
      <c r="P2285" s="26" t="str">
        <f aca="false">IF(OR($D2285="",$J2285&lt;&gt;"Supplier"),"",IFERROR(INDEX(SupplierRates!$D$5:$D$500,MATCH($K2285&amp;"|"&amp;$L2285,SupplierRates!$A$5:$A$500,0)),0))</f>
        <v/>
      </c>
      <c r="Q2285" s="26" t="str">
        <f aca="false">IF(OR($D2285="",$J2285&lt;&gt;"Supplier"),"",IFERROR(INDEX(SupplierRates!$E$5:$E$500,MATCH($K2285&amp;"|"&amp;$L2285,SupplierRates!$A$5:$A$500,0)),0))</f>
        <v/>
      </c>
      <c r="R2285" s="26" t="n">
        <f aca="false">IF(OR($D2285="",$J2285&lt;&gt;"Supplier"),0,F2285*P2285+G2285*Q2285)</f>
        <v>0</v>
      </c>
      <c r="S2285" s="26" t="n">
        <f aca="false">IF(OR($D2285="",$J2285&lt;&gt;"Own"),0,IFERROR((F2285+G2285*Settings!$B$13)*INDEX(Workers!$V$5:$V$2004,MATCH($D2285,Workers!$A$5:$A$2004,0)),0))</f>
        <v>0</v>
      </c>
      <c r="T2285" s="26" t="str">
        <f aca="false">IF($D2285="","",O2285-R2285-S2285)</f>
        <v/>
      </c>
    </row>
    <row r="2286" customFormat="false" ht="15" hidden="false" customHeight="false" outlineLevel="0" collapsed="false">
      <c r="I2286" s="24" t="str">
        <f aca="false">IF($D2286="","",IFERROR(INDEX(Workers!$B$5:$B$2004,MATCH($D2286,Workers!$A$5:$A$2004,0)),"NOT FOUND"))</f>
        <v/>
      </c>
      <c r="J2286" s="24" t="str">
        <f aca="false">IF($D2286="","",IFERROR(INDEX(Workers!$C$5:$C$2004,MATCH($D2286,Workers!$A$5:$A$2004,0)),""))</f>
        <v/>
      </c>
      <c r="K2286" s="24" t="str">
        <f aca="false">IF($D2286="","",IFERROR(IF(INDEX(Workers!$D$5:$D$2004,MATCH($D2286,Workers!$A$5:$A$2004,0))=0,"",INDEX(Workers!$D$5:$D$2004,MATCH($D2286,Workers!$A$5:$A$2004,0))),""))</f>
        <v/>
      </c>
      <c r="L2286" s="24" t="str">
        <f aca="false">IF($D2286="","",IFERROR(INDEX(Workers!$E$5:$E$2004,MATCH($D2286,Workers!$A$5:$A$2004,0)),""))</f>
        <v/>
      </c>
      <c r="M2286" s="26" t="str">
        <f aca="false">IF($D2286="","",IFERROR(INDEX(ClientRates!$D$5:$D$500,MATCH($B2286&amp;"|"&amp;$L2286,ClientRates!$A$5:$A$500,0)),0))</f>
        <v/>
      </c>
      <c r="N2286" s="26" t="str">
        <f aca="false">IF($D2286="","",IFERROR(INDEX(ClientRates!$E$5:$E$500,MATCH($B2286&amp;"|"&amp;$L2286,ClientRates!$A$5:$A$500,0)),0))</f>
        <v/>
      </c>
      <c r="O2286" s="26" t="str">
        <f aca="false">IF($D2286="","",F2286*M2286+G2286*N2286)</f>
        <v/>
      </c>
      <c r="P2286" s="26" t="str">
        <f aca="false">IF(OR($D2286="",$J2286&lt;&gt;"Supplier"),"",IFERROR(INDEX(SupplierRates!$D$5:$D$500,MATCH($K2286&amp;"|"&amp;$L2286,SupplierRates!$A$5:$A$500,0)),0))</f>
        <v/>
      </c>
      <c r="Q2286" s="26" t="str">
        <f aca="false">IF(OR($D2286="",$J2286&lt;&gt;"Supplier"),"",IFERROR(INDEX(SupplierRates!$E$5:$E$500,MATCH($K2286&amp;"|"&amp;$L2286,SupplierRates!$A$5:$A$500,0)),0))</f>
        <v/>
      </c>
      <c r="R2286" s="26" t="n">
        <f aca="false">IF(OR($D2286="",$J2286&lt;&gt;"Supplier"),0,F2286*P2286+G2286*Q2286)</f>
        <v>0</v>
      </c>
      <c r="S2286" s="26" t="n">
        <f aca="false">IF(OR($D2286="",$J2286&lt;&gt;"Own"),0,IFERROR((F2286+G2286*Settings!$B$13)*INDEX(Workers!$V$5:$V$2004,MATCH($D2286,Workers!$A$5:$A$2004,0)),0))</f>
        <v>0</v>
      </c>
      <c r="T2286" s="26" t="str">
        <f aca="false">IF($D2286="","",O2286-R2286-S2286)</f>
        <v/>
      </c>
    </row>
    <row r="2287" customFormat="false" ht="15" hidden="false" customHeight="false" outlineLevel="0" collapsed="false">
      <c r="I2287" s="24" t="str">
        <f aca="false">IF($D2287="","",IFERROR(INDEX(Workers!$B$5:$B$2004,MATCH($D2287,Workers!$A$5:$A$2004,0)),"NOT FOUND"))</f>
        <v/>
      </c>
      <c r="J2287" s="24" t="str">
        <f aca="false">IF($D2287="","",IFERROR(INDEX(Workers!$C$5:$C$2004,MATCH($D2287,Workers!$A$5:$A$2004,0)),""))</f>
        <v/>
      </c>
      <c r="K2287" s="24" t="str">
        <f aca="false">IF($D2287="","",IFERROR(IF(INDEX(Workers!$D$5:$D$2004,MATCH($D2287,Workers!$A$5:$A$2004,0))=0,"",INDEX(Workers!$D$5:$D$2004,MATCH($D2287,Workers!$A$5:$A$2004,0))),""))</f>
        <v/>
      </c>
      <c r="L2287" s="24" t="str">
        <f aca="false">IF($D2287="","",IFERROR(INDEX(Workers!$E$5:$E$2004,MATCH($D2287,Workers!$A$5:$A$2004,0)),""))</f>
        <v/>
      </c>
      <c r="M2287" s="26" t="str">
        <f aca="false">IF($D2287="","",IFERROR(INDEX(ClientRates!$D$5:$D$500,MATCH($B2287&amp;"|"&amp;$L2287,ClientRates!$A$5:$A$500,0)),0))</f>
        <v/>
      </c>
      <c r="N2287" s="26" t="str">
        <f aca="false">IF($D2287="","",IFERROR(INDEX(ClientRates!$E$5:$E$500,MATCH($B2287&amp;"|"&amp;$L2287,ClientRates!$A$5:$A$500,0)),0))</f>
        <v/>
      </c>
      <c r="O2287" s="26" t="str">
        <f aca="false">IF($D2287="","",F2287*M2287+G2287*N2287)</f>
        <v/>
      </c>
      <c r="P2287" s="26" t="str">
        <f aca="false">IF(OR($D2287="",$J2287&lt;&gt;"Supplier"),"",IFERROR(INDEX(SupplierRates!$D$5:$D$500,MATCH($K2287&amp;"|"&amp;$L2287,SupplierRates!$A$5:$A$500,0)),0))</f>
        <v/>
      </c>
      <c r="Q2287" s="26" t="str">
        <f aca="false">IF(OR($D2287="",$J2287&lt;&gt;"Supplier"),"",IFERROR(INDEX(SupplierRates!$E$5:$E$500,MATCH($K2287&amp;"|"&amp;$L2287,SupplierRates!$A$5:$A$500,0)),0))</f>
        <v/>
      </c>
      <c r="R2287" s="26" t="n">
        <f aca="false">IF(OR($D2287="",$J2287&lt;&gt;"Supplier"),0,F2287*P2287+G2287*Q2287)</f>
        <v>0</v>
      </c>
      <c r="S2287" s="26" t="n">
        <f aca="false">IF(OR($D2287="",$J2287&lt;&gt;"Own"),0,IFERROR((F2287+G2287*Settings!$B$13)*INDEX(Workers!$V$5:$V$2004,MATCH($D2287,Workers!$A$5:$A$2004,0)),0))</f>
        <v>0</v>
      </c>
      <c r="T2287" s="26" t="str">
        <f aca="false">IF($D2287="","",O2287-R2287-S2287)</f>
        <v/>
      </c>
    </row>
    <row r="2288" customFormat="false" ht="15" hidden="false" customHeight="false" outlineLevel="0" collapsed="false">
      <c r="I2288" s="24" t="str">
        <f aca="false">IF($D2288="","",IFERROR(INDEX(Workers!$B$5:$B$2004,MATCH($D2288,Workers!$A$5:$A$2004,0)),"NOT FOUND"))</f>
        <v/>
      </c>
      <c r="J2288" s="24" t="str">
        <f aca="false">IF($D2288="","",IFERROR(INDEX(Workers!$C$5:$C$2004,MATCH($D2288,Workers!$A$5:$A$2004,0)),""))</f>
        <v/>
      </c>
      <c r="K2288" s="24" t="str">
        <f aca="false">IF($D2288="","",IFERROR(IF(INDEX(Workers!$D$5:$D$2004,MATCH($D2288,Workers!$A$5:$A$2004,0))=0,"",INDEX(Workers!$D$5:$D$2004,MATCH($D2288,Workers!$A$5:$A$2004,0))),""))</f>
        <v/>
      </c>
      <c r="L2288" s="24" t="str">
        <f aca="false">IF($D2288="","",IFERROR(INDEX(Workers!$E$5:$E$2004,MATCH($D2288,Workers!$A$5:$A$2004,0)),""))</f>
        <v/>
      </c>
      <c r="M2288" s="26" t="str">
        <f aca="false">IF($D2288="","",IFERROR(INDEX(ClientRates!$D$5:$D$500,MATCH($B2288&amp;"|"&amp;$L2288,ClientRates!$A$5:$A$500,0)),0))</f>
        <v/>
      </c>
      <c r="N2288" s="26" t="str">
        <f aca="false">IF($D2288="","",IFERROR(INDEX(ClientRates!$E$5:$E$500,MATCH($B2288&amp;"|"&amp;$L2288,ClientRates!$A$5:$A$500,0)),0))</f>
        <v/>
      </c>
      <c r="O2288" s="26" t="str">
        <f aca="false">IF($D2288="","",F2288*M2288+G2288*N2288)</f>
        <v/>
      </c>
      <c r="P2288" s="26" t="str">
        <f aca="false">IF(OR($D2288="",$J2288&lt;&gt;"Supplier"),"",IFERROR(INDEX(SupplierRates!$D$5:$D$500,MATCH($K2288&amp;"|"&amp;$L2288,SupplierRates!$A$5:$A$500,0)),0))</f>
        <v/>
      </c>
      <c r="Q2288" s="26" t="str">
        <f aca="false">IF(OR($D2288="",$J2288&lt;&gt;"Supplier"),"",IFERROR(INDEX(SupplierRates!$E$5:$E$500,MATCH($K2288&amp;"|"&amp;$L2288,SupplierRates!$A$5:$A$500,0)),0))</f>
        <v/>
      </c>
      <c r="R2288" s="26" t="n">
        <f aca="false">IF(OR($D2288="",$J2288&lt;&gt;"Supplier"),0,F2288*P2288+G2288*Q2288)</f>
        <v>0</v>
      </c>
      <c r="S2288" s="26" t="n">
        <f aca="false">IF(OR($D2288="",$J2288&lt;&gt;"Own"),0,IFERROR((F2288+G2288*Settings!$B$13)*INDEX(Workers!$V$5:$V$2004,MATCH($D2288,Workers!$A$5:$A$2004,0)),0))</f>
        <v>0</v>
      </c>
      <c r="T2288" s="26" t="str">
        <f aca="false">IF($D2288="","",O2288-R2288-S2288)</f>
        <v/>
      </c>
    </row>
    <row r="2289" customFormat="false" ht="15" hidden="false" customHeight="false" outlineLevel="0" collapsed="false">
      <c r="I2289" s="24" t="str">
        <f aca="false">IF($D2289="","",IFERROR(INDEX(Workers!$B$5:$B$2004,MATCH($D2289,Workers!$A$5:$A$2004,0)),"NOT FOUND"))</f>
        <v/>
      </c>
      <c r="J2289" s="24" t="str">
        <f aca="false">IF($D2289="","",IFERROR(INDEX(Workers!$C$5:$C$2004,MATCH($D2289,Workers!$A$5:$A$2004,0)),""))</f>
        <v/>
      </c>
      <c r="K2289" s="24" t="str">
        <f aca="false">IF($D2289="","",IFERROR(IF(INDEX(Workers!$D$5:$D$2004,MATCH($D2289,Workers!$A$5:$A$2004,0))=0,"",INDEX(Workers!$D$5:$D$2004,MATCH($D2289,Workers!$A$5:$A$2004,0))),""))</f>
        <v/>
      </c>
      <c r="L2289" s="24" t="str">
        <f aca="false">IF($D2289="","",IFERROR(INDEX(Workers!$E$5:$E$2004,MATCH($D2289,Workers!$A$5:$A$2004,0)),""))</f>
        <v/>
      </c>
      <c r="M2289" s="26" t="str">
        <f aca="false">IF($D2289="","",IFERROR(INDEX(ClientRates!$D$5:$D$500,MATCH($B2289&amp;"|"&amp;$L2289,ClientRates!$A$5:$A$500,0)),0))</f>
        <v/>
      </c>
      <c r="N2289" s="26" t="str">
        <f aca="false">IF($D2289="","",IFERROR(INDEX(ClientRates!$E$5:$E$500,MATCH($B2289&amp;"|"&amp;$L2289,ClientRates!$A$5:$A$500,0)),0))</f>
        <v/>
      </c>
      <c r="O2289" s="26" t="str">
        <f aca="false">IF($D2289="","",F2289*M2289+G2289*N2289)</f>
        <v/>
      </c>
      <c r="P2289" s="26" t="str">
        <f aca="false">IF(OR($D2289="",$J2289&lt;&gt;"Supplier"),"",IFERROR(INDEX(SupplierRates!$D$5:$D$500,MATCH($K2289&amp;"|"&amp;$L2289,SupplierRates!$A$5:$A$500,0)),0))</f>
        <v/>
      </c>
      <c r="Q2289" s="26" t="str">
        <f aca="false">IF(OR($D2289="",$J2289&lt;&gt;"Supplier"),"",IFERROR(INDEX(SupplierRates!$E$5:$E$500,MATCH($K2289&amp;"|"&amp;$L2289,SupplierRates!$A$5:$A$500,0)),0))</f>
        <v/>
      </c>
      <c r="R2289" s="26" t="n">
        <f aca="false">IF(OR($D2289="",$J2289&lt;&gt;"Supplier"),0,F2289*P2289+G2289*Q2289)</f>
        <v>0</v>
      </c>
      <c r="S2289" s="26" t="n">
        <f aca="false">IF(OR($D2289="",$J2289&lt;&gt;"Own"),0,IFERROR((F2289+G2289*Settings!$B$13)*INDEX(Workers!$V$5:$V$2004,MATCH($D2289,Workers!$A$5:$A$2004,0)),0))</f>
        <v>0</v>
      </c>
      <c r="T2289" s="26" t="str">
        <f aca="false">IF($D2289="","",O2289-R2289-S2289)</f>
        <v/>
      </c>
    </row>
    <row r="2290" customFormat="false" ht="15" hidden="false" customHeight="false" outlineLevel="0" collapsed="false">
      <c r="I2290" s="24" t="str">
        <f aca="false">IF($D2290="","",IFERROR(INDEX(Workers!$B$5:$B$2004,MATCH($D2290,Workers!$A$5:$A$2004,0)),"NOT FOUND"))</f>
        <v/>
      </c>
      <c r="J2290" s="24" t="str">
        <f aca="false">IF($D2290="","",IFERROR(INDEX(Workers!$C$5:$C$2004,MATCH($D2290,Workers!$A$5:$A$2004,0)),""))</f>
        <v/>
      </c>
      <c r="K2290" s="24" t="str">
        <f aca="false">IF($D2290="","",IFERROR(IF(INDEX(Workers!$D$5:$D$2004,MATCH($D2290,Workers!$A$5:$A$2004,0))=0,"",INDEX(Workers!$D$5:$D$2004,MATCH($D2290,Workers!$A$5:$A$2004,0))),""))</f>
        <v/>
      </c>
      <c r="L2290" s="24" t="str">
        <f aca="false">IF($D2290="","",IFERROR(INDEX(Workers!$E$5:$E$2004,MATCH($D2290,Workers!$A$5:$A$2004,0)),""))</f>
        <v/>
      </c>
      <c r="M2290" s="26" t="str">
        <f aca="false">IF($D2290="","",IFERROR(INDEX(ClientRates!$D$5:$D$500,MATCH($B2290&amp;"|"&amp;$L2290,ClientRates!$A$5:$A$500,0)),0))</f>
        <v/>
      </c>
      <c r="N2290" s="26" t="str">
        <f aca="false">IF($D2290="","",IFERROR(INDEX(ClientRates!$E$5:$E$500,MATCH($B2290&amp;"|"&amp;$L2290,ClientRates!$A$5:$A$500,0)),0))</f>
        <v/>
      </c>
      <c r="O2290" s="26" t="str">
        <f aca="false">IF($D2290="","",F2290*M2290+G2290*N2290)</f>
        <v/>
      </c>
      <c r="P2290" s="26" t="str">
        <f aca="false">IF(OR($D2290="",$J2290&lt;&gt;"Supplier"),"",IFERROR(INDEX(SupplierRates!$D$5:$D$500,MATCH($K2290&amp;"|"&amp;$L2290,SupplierRates!$A$5:$A$500,0)),0))</f>
        <v/>
      </c>
      <c r="Q2290" s="26" t="str">
        <f aca="false">IF(OR($D2290="",$J2290&lt;&gt;"Supplier"),"",IFERROR(INDEX(SupplierRates!$E$5:$E$500,MATCH($K2290&amp;"|"&amp;$L2290,SupplierRates!$A$5:$A$500,0)),0))</f>
        <v/>
      </c>
      <c r="R2290" s="26" t="n">
        <f aca="false">IF(OR($D2290="",$J2290&lt;&gt;"Supplier"),0,F2290*P2290+G2290*Q2290)</f>
        <v>0</v>
      </c>
      <c r="S2290" s="26" t="n">
        <f aca="false">IF(OR($D2290="",$J2290&lt;&gt;"Own"),0,IFERROR((F2290+G2290*Settings!$B$13)*INDEX(Workers!$V$5:$V$2004,MATCH($D2290,Workers!$A$5:$A$2004,0)),0))</f>
        <v>0</v>
      </c>
      <c r="T2290" s="26" t="str">
        <f aca="false">IF($D2290="","",O2290-R2290-S2290)</f>
        <v/>
      </c>
    </row>
    <row r="2291" customFormat="false" ht="15" hidden="false" customHeight="false" outlineLevel="0" collapsed="false">
      <c r="I2291" s="24" t="str">
        <f aca="false">IF($D2291="","",IFERROR(INDEX(Workers!$B$5:$B$2004,MATCH($D2291,Workers!$A$5:$A$2004,0)),"NOT FOUND"))</f>
        <v/>
      </c>
      <c r="J2291" s="24" t="str">
        <f aca="false">IF($D2291="","",IFERROR(INDEX(Workers!$C$5:$C$2004,MATCH($D2291,Workers!$A$5:$A$2004,0)),""))</f>
        <v/>
      </c>
      <c r="K2291" s="24" t="str">
        <f aca="false">IF($D2291="","",IFERROR(IF(INDEX(Workers!$D$5:$D$2004,MATCH($D2291,Workers!$A$5:$A$2004,0))=0,"",INDEX(Workers!$D$5:$D$2004,MATCH($D2291,Workers!$A$5:$A$2004,0))),""))</f>
        <v/>
      </c>
      <c r="L2291" s="24" t="str">
        <f aca="false">IF($D2291="","",IFERROR(INDEX(Workers!$E$5:$E$2004,MATCH($D2291,Workers!$A$5:$A$2004,0)),""))</f>
        <v/>
      </c>
      <c r="M2291" s="26" t="str">
        <f aca="false">IF($D2291="","",IFERROR(INDEX(ClientRates!$D$5:$D$500,MATCH($B2291&amp;"|"&amp;$L2291,ClientRates!$A$5:$A$500,0)),0))</f>
        <v/>
      </c>
      <c r="N2291" s="26" t="str">
        <f aca="false">IF($D2291="","",IFERROR(INDEX(ClientRates!$E$5:$E$500,MATCH($B2291&amp;"|"&amp;$L2291,ClientRates!$A$5:$A$500,0)),0))</f>
        <v/>
      </c>
      <c r="O2291" s="26" t="str">
        <f aca="false">IF($D2291="","",F2291*M2291+G2291*N2291)</f>
        <v/>
      </c>
      <c r="P2291" s="26" t="str">
        <f aca="false">IF(OR($D2291="",$J2291&lt;&gt;"Supplier"),"",IFERROR(INDEX(SupplierRates!$D$5:$D$500,MATCH($K2291&amp;"|"&amp;$L2291,SupplierRates!$A$5:$A$500,0)),0))</f>
        <v/>
      </c>
      <c r="Q2291" s="26" t="str">
        <f aca="false">IF(OR($D2291="",$J2291&lt;&gt;"Supplier"),"",IFERROR(INDEX(SupplierRates!$E$5:$E$500,MATCH($K2291&amp;"|"&amp;$L2291,SupplierRates!$A$5:$A$500,0)),0))</f>
        <v/>
      </c>
      <c r="R2291" s="26" t="n">
        <f aca="false">IF(OR($D2291="",$J2291&lt;&gt;"Supplier"),0,F2291*P2291+G2291*Q2291)</f>
        <v>0</v>
      </c>
      <c r="S2291" s="26" t="n">
        <f aca="false">IF(OR($D2291="",$J2291&lt;&gt;"Own"),0,IFERROR((F2291+G2291*Settings!$B$13)*INDEX(Workers!$V$5:$V$2004,MATCH($D2291,Workers!$A$5:$A$2004,0)),0))</f>
        <v>0</v>
      </c>
      <c r="T2291" s="26" t="str">
        <f aca="false">IF($D2291="","",O2291-R2291-S2291)</f>
        <v/>
      </c>
    </row>
    <row r="2292" customFormat="false" ht="15" hidden="false" customHeight="false" outlineLevel="0" collapsed="false">
      <c r="I2292" s="24" t="str">
        <f aca="false">IF($D2292="","",IFERROR(INDEX(Workers!$B$5:$B$2004,MATCH($D2292,Workers!$A$5:$A$2004,0)),"NOT FOUND"))</f>
        <v/>
      </c>
      <c r="J2292" s="24" t="str">
        <f aca="false">IF($D2292="","",IFERROR(INDEX(Workers!$C$5:$C$2004,MATCH($D2292,Workers!$A$5:$A$2004,0)),""))</f>
        <v/>
      </c>
      <c r="K2292" s="24" t="str">
        <f aca="false">IF($D2292="","",IFERROR(IF(INDEX(Workers!$D$5:$D$2004,MATCH($D2292,Workers!$A$5:$A$2004,0))=0,"",INDEX(Workers!$D$5:$D$2004,MATCH($D2292,Workers!$A$5:$A$2004,0))),""))</f>
        <v/>
      </c>
      <c r="L2292" s="24" t="str">
        <f aca="false">IF($D2292="","",IFERROR(INDEX(Workers!$E$5:$E$2004,MATCH($D2292,Workers!$A$5:$A$2004,0)),""))</f>
        <v/>
      </c>
      <c r="M2292" s="26" t="str">
        <f aca="false">IF($D2292="","",IFERROR(INDEX(ClientRates!$D$5:$D$500,MATCH($B2292&amp;"|"&amp;$L2292,ClientRates!$A$5:$A$500,0)),0))</f>
        <v/>
      </c>
      <c r="N2292" s="26" t="str">
        <f aca="false">IF($D2292="","",IFERROR(INDEX(ClientRates!$E$5:$E$500,MATCH($B2292&amp;"|"&amp;$L2292,ClientRates!$A$5:$A$500,0)),0))</f>
        <v/>
      </c>
      <c r="O2292" s="26" t="str">
        <f aca="false">IF($D2292="","",F2292*M2292+G2292*N2292)</f>
        <v/>
      </c>
      <c r="P2292" s="26" t="str">
        <f aca="false">IF(OR($D2292="",$J2292&lt;&gt;"Supplier"),"",IFERROR(INDEX(SupplierRates!$D$5:$D$500,MATCH($K2292&amp;"|"&amp;$L2292,SupplierRates!$A$5:$A$500,0)),0))</f>
        <v/>
      </c>
      <c r="Q2292" s="26" t="str">
        <f aca="false">IF(OR($D2292="",$J2292&lt;&gt;"Supplier"),"",IFERROR(INDEX(SupplierRates!$E$5:$E$500,MATCH($K2292&amp;"|"&amp;$L2292,SupplierRates!$A$5:$A$500,0)),0))</f>
        <v/>
      </c>
      <c r="R2292" s="26" t="n">
        <f aca="false">IF(OR($D2292="",$J2292&lt;&gt;"Supplier"),0,F2292*P2292+G2292*Q2292)</f>
        <v>0</v>
      </c>
      <c r="S2292" s="26" t="n">
        <f aca="false">IF(OR($D2292="",$J2292&lt;&gt;"Own"),0,IFERROR((F2292+G2292*Settings!$B$13)*INDEX(Workers!$V$5:$V$2004,MATCH($D2292,Workers!$A$5:$A$2004,0)),0))</f>
        <v>0</v>
      </c>
      <c r="T2292" s="26" t="str">
        <f aca="false">IF($D2292="","",O2292-R2292-S2292)</f>
        <v/>
      </c>
    </row>
    <row r="2293" customFormat="false" ht="15" hidden="false" customHeight="false" outlineLevel="0" collapsed="false">
      <c r="I2293" s="24" t="str">
        <f aca="false">IF($D2293="","",IFERROR(INDEX(Workers!$B$5:$B$2004,MATCH($D2293,Workers!$A$5:$A$2004,0)),"NOT FOUND"))</f>
        <v/>
      </c>
      <c r="J2293" s="24" t="str">
        <f aca="false">IF($D2293="","",IFERROR(INDEX(Workers!$C$5:$C$2004,MATCH($D2293,Workers!$A$5:$A$2004,0)),""))</f>
        <v/>
      </c>
      <c r="K2293" s="24" t="str">
        <f aca="false">IF($D2293="","",IFERROR(IF(INDEX(Workers!$D$5:$D$2004,MATCH($D2293,Workers!$A$5:$A$2004,0))=0,"",INDEX(Workers!$D$5:$D$2004,MATCH($D2293,Workers!$A$5:$A$2004,0))),""))</f>
        <v/>
      </c>
      <c r="L2293" s="24" t="str">
        <f aca="false">IF($D2293="","",IFERROR(INDEX(Workers!$E$5:$E$2004,MATCH($D2293,Workers!$A$5:$A$2004,0)),""))</f>
        <v/>
      </c>
      <c r="M2293" s="26" t="str">
        <f aca="false">IF($D2293="","",IFERROR(INDEX(ClientRates!$D$5:$D$500,MATCH($B2293&amp;"|"&amp;$L2293,ClientRates!$A$5:$A$500,0)),0))</f>
        <v/>
      </c>
      <c r="N2293" s="26" t="str">
        <f aca="false">IF($D2293="","",IFERROR(INDEX(ClientRates!$E$5:$E$500,MATCH($B2293&amp;"|"&amp;$L2293,ClientRates!$A$5:$A$500,0)),0))</f>
        <v/>
      </c>
      <c r="O2293" s="26" t="str">
        <f aca="false">IF($D2293="","",F2293*M2293+G2293*N2293)</f>
        <v/>
      </c>
      <c r="P2293" s="26" t="str">
        <f aca="false">IF(OR($D2293="",$J2293&lt;&gt;"Supplier"),"",IFERROR(INDEX(SupplierRates!$D$5:$D$500,MATCH($K2293&amp;"|"&amp;$L2293,SupplierRates!$A$5:$A$500,0)),0))</f>
        <v/>
      </c>
      <c r="Q2293" s="26" t="str">
        <f aca="false">IF(OR($D2293="",$J2293&lt;&gt;"Supplier"),"",IFERROR(INDEX(SupplierRates!$E$5:$E$500,MATCH($K2293&amp;"|"&amp;$L2293,SupplierRates!$A$5:$A$500,0)),0))</f>
        <v/>
      </c>
      <c r="R2293" s="26" t="n">
        <f aca="false">IF(OR($D2293="",$J2293&lt;&gt;"Supplier"),0,F2293*P2293+G2293*Q2293)</f>
        <v>0</v>
      </c>
      <c r="S2293" s="26" t="n">
        <f aca="false">IF(OR($D2293="",$J2293&lt;&gt;"Own"),0,IFERROR((F2293+G2293*Settings!$B$13)*INDEX(Workers!$V$5:$V$2004,MATCH($D2293,Workers!$A$5:$A$2004,0)),0))</f>
        <v>0</v>
      </c>
      <c r="T2293" s="26" t="str">
        <f aca="false">IF($D2293="","",O2293-R2293-S2293)</f>
        <v/>
      </c>
    </row>
    <row r="2294" customFormat="false" ht="15" hidden="false" customHeight="false" outlineLevel="0" collapsed="false">
      <c r="I2294" s="24" t="str">
        <f aca="false">IF($D2294="","",IFERROR(INDEX(Workers!$B$5:$B$2004,MATCH($D2294,Workers!$A$5:$A$2004,0)),"NOT FOUND"))</f>
        <v/>
      </c>
      <c r="J2294" s="24" t="str">
        <f aca="false">IF($D2294="","",IFERROR(INDEX(Workers!$C$5:$C$2004,MATCH($D2294,Workers!$A$5:$A$2004,0)),""))</f>
        <v/>
      </c>
      <c r="K2294" s="24" t="str">
        <f aca="false">IF($D2294="","",IFERROR(IF(INDEX(Workers!$D$5:$D$2004,MATCH($D2294,Workers!$A$5:$A$2004,0))=0,"",INDEX(Workers!$D$5:$D$2004,MATCH($D2294,Workers!$A$5:$A$2004,0))),""))</f>
        <v/>
      </c>
      <c r="L2294" s="24" t="str">
        <f aca="false">IF($D2294="","",IFERROR(INDEX(Workers!$E$5:$E$2004,MATCH($D2294,Workers!$A$5:$A$2004,0)),""))</f>
        <v/>
      </c>
      <c r="M2294" s="26" t="str">
        <f aca="false">IF($D2294="","",IFERROR(INDEX(ClientRates!$D$5:$D$500,MATCH($B2294&amp;"|"&amp;$L2294,ClientRates!$A$5:$A$500,0)),0))</f>
        <v/>
      </c>
      <c r="N2294" s="26" t="str">
        <f aca="false">IF($D2294="","",IFERROR(INDEX(ClientRates!$E$5:$E$500,MATCH($B2294&amp;"|"&amp;$L2294,ClientRates!$A$5:$A$500,0)),0))</f>
        <v/>
      </c>
      <c r="O2294" s="26" t="str">
        <f aca="false">IF($D2294="","",F2294*M2294+G2294*N2294)</f>
        <v/>
      </c>
      <c r="P2294" s="26" t="str">
        <f aca="false">IF(OR($D2294="",$J2294&lt;&gt;"Supplier"),"",IFERROR(INDEX(SupplierRates!$D$5:$D$500,MATCH($K2294&amp;"|"&amp;$L2294,SupplierRates!$A$5:$A$500,0)),0))</f>
        <v/>
      </c>
      <c r="Q2294" s="26" t="str">
        <f aca="false">IF(OR($D2294="",$J2294&lt;&gt;"Supplier"),"",IFERROR(INDEX(SupplierRates!$E$5:$E$500,MATCH($K2294&amp;"|"&amp;$L2294,SupplierRates!$A$5:$A$500,0)),0))</f>
        <v/>
      </c>
      <c r="R2294" s="26" t="n">
        <f aca="false">IF(OR($D2294="",$J2294&lt;&gt;"Supplier"),0,F2294*P2294+G2294*Q2294)</f>
        <v>0</v>
      </c>
      <c r="S2294" s="26" t="n">
        <f aca="false">IF(OR($D2294="",$J2294&lt;&gt;"Own"),0,IFERROR((F2294+G2294*Settings!$B$13)*INDEX(Workers!$V$5:$V$2004,MATCH($D2294,Workers!$A$5:$A$2004,0)),0))</f>
        <v>0</v>
      </c>
      <c r="T2294" s="26" t="str">
        <f aca="false">IF($D2294="","",O2294-R2294-S2294)</f>
        <v/>
      </c>
    </row>
    <row r="2295" customFormat="false" ht="15" hidden="false" customHeight="false" outlineLevel="0" collapsed="false">
      <c r="I2295" s="24" t="str">
        <f aca="false">IF($D2295="","",IFERROR(INDEX(Workers!$B$5:$B$2004,MATCH($D2295,Workers!$A$5:$A$2004,0)),"NOT FOUND"))</f>
        <v/>
      </c>
      <c r="J2295" s="24" t="str">
        <f aca="false">IF($D2295="","",IFERROR(INDEX(Workers!$C$5:$C$2004,MATCH($D2295,Workers!$A$5:$A$2004,0)),""))</f>
        <v/>
      </c>
      <c r="K2295" s="24" t="str">
        <f aca="false">IF($D2295="","",IFERROR(IF(INDEX(Workers!$D$5:$D$2004,MATCH($D2295,Workers!$A$5:$A$2004,0))=0,"",INDEX(Workers!$D$5:$D$2004,MATCH($D2295,Workers!$A$5:$A$2004,0))),""))</f>
        <v/>
      </c>
      <c r="L2295" s="24" t="str">
        <f aca="false">IF($D2295="","",IFERROR(INDEX(Workers!$E$5:$E$2004,MATCH($D2295,Workers!$A$5:$A$2004,0)),""))</f>
        <v/>
      </c>
      <c r="M2295" s="26" t="str">
        <f aca="false">IF($D2295="","",IFERROR(INDEX(ClientRates!$D$5:$D$500,MATCH($B2295&amp;"|"&amp;$L2295,ClientRates!$A$5:$A$500,0)),0))</f>
        <v/>
      </c>
      <c r="N2295" s="26" t="str">
        <f aca="false">IF($D2295="","",IFERROR(INDEX(ClientRates!$E$5:$E$500,MATCH($B2295&amp;"|"&amp;$L2295,ClientRates!$A$5:$A$500,0)),0))</f>
        <v/>
      </c>
      <c r="O2295" s="26" t="str">
        <f aca="false">IF($D2295="","",F2295*M2295+G2295*N2295)</f>
        <v/>
      </c>
      <c r="P2295" s="26" t="str">
        <f aca="false">IF(OR($D2295="",$J2295&lt;&gt;"Supplier"),"",IFERROR(INDEX(SupplierRates!$D$5:$D$500,MATCH($K2295&amp;"|"&amp;$L2295,SupplierRates!$A$5:$A$500,0)),0))</f>
        <v/>
      </c>
      <c r="Q2295" s="26" t="str">
        <f aca="false">IF(OR($D2295="",$J2295&lt;&gt;"Supplier"),"",IFERROR(INDEX(SupplierRates!$E$5:$E$500,MATCH($K2295&amp;"|"&amp;$L2295,SupplierRates!$A$5:$A$500,0)),0))</f>
        <v/>
      </c>
      <c r="R2295" s="26" t="n">
        <f aca="false">IF(OR($D2295="",$J2295&lt;&gt;"Supplier"),0,F2295*P2295+G2295*Q2295)</f>
        <v>0</v>
      </c>
      <c r="S2295" s="26" t="n">
        <f aca="false">IF(OR($D2295="",$J2295&lt;&gt;"Own"),0,IFERROR((F2295+G2295*Settings!$B$13)*INDEX(Workers!$V$5:$V$2004,MATCH($D2295,Workers!$A$5:$A$2004,0)),0))</f>
        <v>0</v>
      </c>
      <c r="T2295" s="26" t="str">
        <f aca="false">IF($D2295="","",O2295-R2295-S2295)</f>
        <v/>
      </c>
    </row>
    <row r="2296" customFormat="false" ht="15" hidden="false" customHeight="false" outlineLevel="0" collapsed="false">
      <c r="I2296" s="24" t="str">
        <f aca="false">IF($D2296="","",IFERROR(INDEX(Workers!$B$5:$B$2004,MATCH($D2296,Workers!$A$5:$A$2004,0)),"NOT FOUND"))</f>
        <v/>
      </c>
      <c r="J2296" s="24" t="str">
        <f aca="false">IF($D2296="","",IFERROR(INDEX(Workers!$C$5:$C$2004,MATCH($D2296,Workers!$A$5:$A$2004,0)),""))</f>
        <v/>
      </c>
      <c r="K2296" s="24" t="str">
        <f aca="false">IF($D2296="","",IFERROR(IF(INDEX(Workers!$D$5:$D$2004,MATCH($D2296,Workers!$A$5:$A$2004,0))=0,"",INDEX(Workers!$D$5:$D$2004,MATCH($D2296,Workers!$A$5:$A$2004,0))),""))</f>
        <v/>
      </c>
      <c r="L2296" s="24" t="str">
        <f aca="false">IF($D2296="","",IFERROR(INDEX(Workers!$E$5:$E$2004,MATCH($D2296,Workers!$A$5:$A$2004,0)),""))</f>
        <v/>
      </c>
      <c r="M2296" s="26" t="str">
        <f aca="false">IF($D2296="","",IFERROR(INDEX(ClientRates!$D$5:$D$500,MATCH($B2296&amp;"|"&amp;$L2296,ClientRates!$A$5:$A$500,0)),0))</f>
        <v/>
      </c>
      <c r="N2296" s="26" t="str">
        <f aca="false">IF($D2296="","",IFERROR(INDEX(ClientRates!$E$5:$E$500,MATCH($B2296&amp;"|"&amp;$L2296,ClientRates!$A$5:$A$500,0)),0))</f>
        <v/>
      </c>
      <c r="O2296" s="26" t="str">
        <f aca="false">IF($D2296="","",F2296*M2296+G2296*N2296)</f>
        <v/>
      </c>
      <c r="P2296" s="26" t="str">
        <f aca="false">IF(OR($D2296="",$J2296&lt;&gt;"Supplier"),"",IFERROR(INDEX(SupplierRates!$D$5:$D$500,MATCH($K2296&amp;"|"&amp;$L2296,SupplierRates!$A$5:$A$500,0)),0))</f>
        <v/>
      </c>
      <c r="Q2296" s="26" t="str">
        <f aca="false">IF(OR($D2296="",$J2296&lt;&gt;"Supplier"),"",IFERROR(INDEX(SupplierRates!$E$5:$E$500,MATCH($K2296&amp;"|"&amp;$L2296,SupplierRates!$A$5:$A$500,0)),0))</f>
        <v/>
      </c>
      <c r="R2296" s="26" t="n">
        <f aca="false">IF(OR($D2296="",$J2296&lt;&gt;"Supplier"),0,F2296*P2296+G2296*Q2296)</f>
        <v>0</v>
      </c>
      <c r="S2296" s="26" t="n">
        <f aca="false">IF(OR($D2296="",$J2296&lt;&gt;"Own"),0,IFERROR((F2296+G2296*Settings!$B$13)*INDEX(Workers!$V$5:$V$2004,MATCH($D2296,Workers!$A$5:$A$2004,0)),0))</f>
        <v>0</v>
      </c>
      <c r="T2296" s="26" t="str">
        <f aca="false">IF($D2296="","",O2296-R2296-S2296)</f>
        <v/>
      </c>
    </row>
    <row r="2297" customFormat="false" ht="15" hidden="false" customHeight="false" outlineLevel="0" collapsed="false">
      <c r="I2297" s="24" t="str">
        <f aca="false">IF($D2297="","",IFERROR(INDEX(Workers!$B$5:$B$2004,MATCH($D2297,Workers!$A$5:$A$2004,0)),"NOT FOUND"))</f>
        <v/>
      </c>
      <c r="J2297" s="24" t="str">
        <f aca="false">IF($D2297="","",IFERROR(INDEX(Workers!$C$5:$C$2004,MATCH($D2297,Workers!$A$5:$A$2004,0)),""))</f>
        <v/>
      </c>
      <c r="K2297" s="24" t="str">
        <f aca="false">IF($D2297="","",IFERROR(IF(INDEX(Workers!$D$5:$D$2004,MATCH($D2297,Workers!$A$5:$A$2004,0))=0,"",INDEX(Workers!$D$5:$D$2004,MATCH($D2297,Workers!$A$5:$A$2004,0))),""))</f>
        <v/>
      </c>
      <c r="L2297" s="24" t="str">
        <f aca="false">IF($D2297="","",IFERROR(INDEX(Workers!$E$5:$E$2004,MATCH($D2297,Workers!$A$5:$A$2004,0)),""))</f>
        <v/>
      </c>
      <c r="M2297" s="26" t="str">
        <f aca="false">IF($D2297="","",IFERROR(INDEX(ClientRates!$D$5:$D$500,MATCH($B2297&amp;"|"&amp;$L2297,ClientRates!$A$5:$A$500,0)),0))</f>
        <v/>
      </c>
      <c r="N2297" s="26" t="str">
        <f aca="false">IF($D2297="","",IFERROR(INDEX(ClientRates!$E$5:$E$500,MATCH($B2297&amp;"|"&amp;$L2297,ClientRates!$A$5:$A$500,0)),0))</f>
        <v/>
      </c>
      <c r="O2297" s="26" t="str">
        <f aca="false">IF($D2297="","",F2297*M2297+G2297*N2297)</f>
        <v/>
      </c>
      <c r="P2297" s="26" t="str">
        <f aca="false">IF(OR($D2297="",$J2297&lt;&gt;"Supplier"),"",IFERROR(INDEX(SupplierRates!$D$5:$D$500,MATCH($K2297&amp;"|"&amp;$L2297,SupplierRates!$A$5:$A$500,0)),0))</f>
        <v/>
      </c>
      <c r="Q2297" s="26" t="str">
        <f aca="false">IF(OR($D2297="",$J2297&lt;&gt;"Supplier"),"",IFERROR(INDEX(SupplierRates!$E$5:$E$500,MATCH($K2297&amp;"|"&amp;$L2297,SupplierRates!$A$5:$A$500,0)),0))</f>
        <v/>
      </c>
      <c r="R2297" s="26" t="n">
        <f aca="false">IF(OR($D2297="",$J2297&lt;&gt;"Supplier"),0,F2297*P2297+G2297*Q2297)</f>
        <v>0</v>
      </c>
      <c r="S2297" s="26" t="n">
        <f aca="false">IF(OR($D2297="",$J2297&lt;&gt;"Own"),0,IFERROR((F2297+G2297*Settings!$B$13)*INDEX(Workers!$V$5:$V$2004,MATCH($D2297,Workers!$A$5:$A$2004,0)),0))</f>
        <v>0</v>
      </c>
      <c r="T2297" s="26" t="str">
        <f aca="false">IF($D2297="","",O2297-R2297-S2297)</f>
        <v/>
      </c>
    </row>
    <row r="2298" customFormat="false" ht="15" hidden="false" customHeight="false" outlineLevel="0" collapsed="false">
      <c r="I2298" s="24" t="str">
        <f aca="false">IF($D2298="","",IFERROR(INDEX(Workers!$B$5:$B$2004,MATCH($D2298,Workers!$A$5:$A$2004,0)),"NOT FOUND"))</f>
        <v/>
      </c>
      <c r="J2298" s="24" t="str">
        <f aca="false">IF($D2298="","",IFERROR(INDEX(Workers!$C$5:$C$2004,MATCH($D2298,Workers!$A$5:$A$2004,0)),""))</f>
        <v/>
      </c>
      <c r="K2298" s="24" t="str">
        <f aca="false">IF($D2298="","",IFERROR(IF(INDEX(Workers!$D$5:$D$2004,MATCH($D2298,Workers!$A$5:$A$2004,0))=0,"",INDEX(Workers!$D$5:$D$2004,MATCH($D2298,Workers!$A$5:$A$2004,0))),""))</f>
        <v/>
      </c>
      <c r="L2298" s="24" t="str">
        <f aca="false">IF($D2298="","",IFERROR(INDEX(Workers!$E$5:$E$2004,MATCH($D2298,Workers!$A$5:$A$2004,0)),""))</f>
        <v/>
      </c>
      <c r="M2298" s="26" t="str">
        <f aca="false">IF($D2298="","",IFERROR(INDEX(ClientRates!$D$5:$D$500,MATCH($B2298&amp;"|"&amp;$L2298,ClientRates!$A$5:$A$500,0)),0))</f>
        <v/>
      </c>
      <c r="N2298" s="26" t="str">
        <f aca="false">IF($D2298="","",IFERROR(INDEX(ClientRates!$E$5:$E$500,MATCH($B2298&amp;"|"&amp;$L2298,ClientRates!$A$5:$A$500,0)),0))</f>
        <v/>
      </c>
      <c r="O2298" s="26" t="str">
        <f aca="false">IF($D2298="","",F2298*M2298+G2298*N2298)</f>
        <v/>
      </c>
      <c r="P2298" s="26" t="str">
        <f aca="false">IF(OR($D2298="",$J2298&lt;&gt;"Supplier"),"",IFERROR(INDEX(SupplierRates!$D$5:$D$500,MATCH($K2298&amp;"|"&amp;$L2298,SupplierRates!$A$5:$A$500,0)),0))</f>
        <v/>
      </c>
      <c r="Q2298" s="26" t="str">
        <f aca="false">IF(OR($D2298="",$J2298&lt;&gt;"Supplier"),"",IFERROR(INDEX(SupplierRates!$E$5:$E$500,MATCH($K2298&amp;"|"&amp;$L2298,SupplierRates!$A$5:$A$500,0)),0))</f>
        <v/>
      </c>
      <c r="R2298" s="26" t="n">
        <f aca="false">IF(OR($D2298="",$J2298&lt;&gt;"Supplier"),0,F2298*P2298+G2298*Q2298)</f>
        <v>0</v>
      </c>
      <c r="S2298" s="26" t="n">
        <f aca="false">IF(OR($D2298="",$J2298&lt;&gt;"Own"),0,IFERROR((F2298+G2298*Settings!$B$13)*INDEX(Workers!$V$5:$V$2004,MATCH($D2298,Workers!$A$5:$A$2004,0)),0))</f>
        <v>0</v>
      </c>
      <c r="T2298" s="26" t="str">
        <f aca="false">IF($D2298="","",O2298-R2298-S2298)</f>
        <v/>
      </c>
    </row>
    <row r="2299" customFormat="false" ht="15" hidden="false" customHeight="false" outlineLevel="0" collapsed="false">
      <c r="I2299" s="24" t="str">
        <f aca="false">IF($D2299="","",IFERROR(INDEX(Workers!$B$5:$B$2004,MATCH($D2299,Workers!$A$5:$A$2004,0)),"NOT FOUND"))</f>
        <v/>
      </c>
      <c r="J2299" s="24" t="str">
        <f aca="false">IF($D2299="","",IFERROR(INDEX(Workers!$C$5:$C$2004,MATCH($D2299,Workers!$A$5:$A$2004,0)),""))</f>
        <v/>
      </c>
      <c r="K2299" s="24" t="str">
        <f aca="false">IF($D2299="","",IFERROR(IF(INDEX(Workers!$D$5:$D$2004,MATCH($D2299,Workers!$A$5:$A$2004,0))=0,"",INDEX(Workers!$D$5:$D$2004,MATCH($D2299,Workers!$A$5:$A$2004,0))),""))</f>
        <v/>
      </c>
      <c r="L2299" s="24" t="str">
        <f aca="false">IF($D2299="","",IFERROR(INDEX(Workers!$E$5:$E$2004,MATCH($D2299,Workers!$A$5:$A$2004,0)),""))</f>
        <v/>
      </c>
      <c r="M2299" s="26" t="str">
        <f aca="false">IF($D2299="","",IFERROR(INDEX(ClientRates!$D$5:$D$500,MATCH($B2299&amp;"|"&amp;$L2299,ClientRates!$A$5:$A$500,0)),0))</f>
        <v/>
      </c>
      <c r="N2299" s="26" t="str">
        <f aca="false">IF($D2299="","",IFERROR(INDEX(ClientRates!$E$5:$E$500,MATCH($B2299&amp;"|"&amp;$L2299,ClientRates!$A$5:$A$500,0)),0))</f>
        <v/>
      </c>
      <c r="O2299" s="26" t="str">
        <f aca="false">IF($D2299="","",F2299*M2299+G2299*N2299)</f>
        <v/>
      </c>
      <c r="P2299" s="26" t="str">
        <f aca="false">IF(OR($D2299="",$J2299&lt;&gt;"Supplier"),"",IFERROR(INDEX(SupplierRates!$D$5:$D$500,MATCH($K2299&amp;"|"&amp;$L2299,SupplierRates!$A$5:$A$500,0)),0))</f>
        <v/>
      </c>
      <c r="Q2299" s="26" t="str">
        <f aca="false">IF(OR($D2299="",$J2299&lt;&gt;"Supplier"),"",IFERROR(INDEX(SupplierRates!$E$5:$E$500,MATCH($K2299&amp;"|"&amp;$L2299,SupplierRates!$A$5:$A$500,0)),0))</f>
        <v/>
      </c>
      <c r="R2299" s="26" t="n">
        <f aca="false">IF(OR($D2299="",$J2299&lt;&gt;"Supplier"),0,F2299*P2299+G2299*Q2299)</f>
        <v>0</v>
      </c>
      <c r="S2299" s="26" t="n">
        <f aca="false">IF(OR($D2299="",$J2299&lt;&gt;"Own"),0,IFERROR((F2299+G2299*Settings!$B$13)*INDEX(Workers!$V$5:$V$2004,MATCH($D2299,Workers!$A$5:$A$2004,0)),0))</f>
        <v>0</v>
      </c>
      <c r="T2299" s="26" t="str">
        <f aca="false">IF($D2299="","",O2299-R2299-S2299)</f>
        <v/>
      </c>
    </row>
    <row r="2300" customFormat="false" ht="15" hidden="false" customHeight="false" outlineLevel="0" collapsed="false">
      <c r="I2300" s="24" t="str">
        <f aca="false">IF($D2300="","",IFERROR(INDEX(Workers!$B$5:$B$2004,MATCH($D2300,Workers!$A$5:$A$2004,0)),"NOT FOUND"))</f>
        <v/>
      </c>
      <c r="J2300" s="24" t="str">
        <f aca="false">IF($D2300="","",IFERROR(INDEX(Workers!$C$5:$C$2004,MATCH($D2300,Workers!$A$5:$A$2004,0)),""))</f>
        <v/>
      </c>
      <c r="K2300" s="24" t="str">
        <f aca="false">IF($D2300="","",IFERROR(IF(INDEX(Workers!$D$5:$D$2004,MATCH($D2300,Workers!$A$5:$A$2004,0))=0,"",INDEX(Workers!$D$5:$D$2004,MATCH($D2300,Workers!$A$5:$A$2004,0))),""))</f>
        <v/>
      </c>
      <c r="L2300" s="24" t="str">
        <f aca="false">IF($D2300="","",IFERROR(INDEX(Workers!$E$5:$E$2004,MATCH($D2300,Workers!$A$5:$A$2004,0)),""))</f>
        <v/>
      </c>
      <c r="M2300" s="26" t="str">
        <f aca="false">IF($D2300="","",IFERROR(INDEX(ClientRates!$D$5:$D$500,MATCH($B2300&amp;"|"&amp;$L2300,ClientRates!$A$5:$A$500,0)),0))</f>
        <v/>
      </c>
      <c r="N2300" s="26" t="str">
        <f aca="false">IF($D2300="","",IFERROR(INDEX(ClientRates!$E$5:$E$500,MATCH($B2300&amp;"|"&amp;$L2300,ClientRates!$A$5:$A$500,0)),0))</f>
        <v/>
      </c>
      <c r="O2300" s="26" t="str">
        <f aca="false">IF($D2300="","",F2300*M2300+G2300*N2300)</f>
        <v/>
      </c>
      <c r="P2300" s="26" t="str">
        <f aca="false">IF(OR($D2300="",$J2300&lt;&gt;"Supplier"),"",IFERROR(INDEX(SupplierRates!$D$5:$D$500,MATCH($K2300&amp;"|"&amp;$L2300,SupplierRates!$A$5:$A$500,0)),0))</f>
        <v/>
      </c>
      <c r="Q2300" s="26" t="str">
        <f aca="false">IF(OR($D2300="",$J2300&lt;&gt;"Supplier"),"",IFERROR(INDEX(SupplierRates!$E$5:$E$500,MATCH($K2300&amp;"|"&amp;$L2300,SupplierRates!$A$5:$A$500,0)),0))</f>
        <v/>
      </c>
      <c r="R2300" s="26" t="n">
        <f aca="false">IF(OR($D2300="",$J2300&lt;&gt;"Supplier"),0,F2300*P2300+G2300*Q2300)</f>
        <v>0</v>
      </c>
      <c r="S2300" s="26" t="n">
        <f aca="false">IF(OR($D2300="",$J2300&lt;&gt;"Own"),0,IFERROR((F2300+G2300*Settings!$B$13)*INDEX(Workers!$V$5:$V$2004,MATCH($D2300,Workers!$A$5:$A$2004,0)),0))</f>
        <v>0</v>
      </c>
      <c r="T2300" s="26" t="str">
        <f aca="false">IF($D2300="","",O2300-R2300-S2300)</f>
        <v/>
      </c>
    </row>
    <row r="2301" customFormat="false" ht="15" hidden="false" customHeight="false" outlineLevel="0" collapsed="false">
      <c r="I2301" s="24" t="str">
        <f aca="false">IF($D2301="","",IFERROR(INDEX(Workers!$B$5:$B$2004,MATCH($D2301,Workers!$A$5:$A$2004,0)),"NOT FOUND"))</f>
        <v/>
      </c>
      <c r="J2301" s="24" t="str">
        <f aca="false">IF($D2301="","",IFERROR(INDEX(Workers!$C$5:$C$2004,MATCH($D2301,Workers!$A$5:$A$2004,0)),""))</f>
        <v/>
      </c>
      <c r="K2301" s="24" t="str">
        <f aca="false">IF($D2301="","",IFERROR(IF(INDEX(Workers!$D$5:$D$2004,MATCH($D2301,Workers!$A$5:$A$2004,0))=0,"",INDEX(Workers!$D$5:$D$2004,MATCH($D2301,Workers!$A$5:$A$2004,0))),""))</f>
        <v/>
      </c>
      <c r="L2301" s="24" t="str">
        <f aca="false">IF($D2301="","",IFERROR(INDEX(Workers!$E$5:$E$2004,MATCH($D2301,Workers!$A$5:$A$2004,0)),""))</f>
        <v/>
      </c>
      <c r="M2301" s="26" t="str">
        <f aca="false">IF($D2301="","",IFERROR(INDEX(ClientRates!$D$5:$D$500,MATCH($B2301&amp;"|"&amp;$L2301,ClientRates!$A$5:$A$500,0)),0))</f>
        <v/>
      </c>
      <c r="N2301" s="26" t="str">
        <f aca="false">IF($D2301="","",IFERROR(INDEX(ClientRates!$E$5:$E$500,MATCH($B2301&amp;"|"&amp;$L2301,ClientRates!$A$5:$A$500,0)),0))</f>
        <v/>
      </c>
      <c r="O2301" s="26" t="str">
        <f aca="false">IF($D2301="","",F2301*M2301+G2301*N2301)</f>
        <v/>
      </c>
      <c r="P2301" s="26" t="str">
        <f aca="false">IF(OR($D2301="",$J2301&lt;&gt;"Supplier"),"",IFERROR(INDEX(SupplierRates!$D$5:$D$500,MATCH($K2301&amp;"|"&amp;$L2301,SupplierRates!$A$5:$A$500,0)),0))</f>
        <v/>
      </c>
      <c r="Q2301" s="26" t="str">
        <f aca="false">IF(OR($D2301="",$J2301&lt;&gt;"Supplier"),"",IFERROR(INDEX(SupplierRates!$E$5:$E$500,MATCH($K2301&amp;"|"&amp;$L2301,SupplierRates!$A$5:$A$500,0)),0))</f>
        <v/>
      </c>
      <c r="R2301" s="26" t="n">
        <f aca="false">IF(OR($D2301="",$J2301&lt;&gt;"Supplier"),0,F2301*P2301+G2301*Q2301)</f>
        <v>0</v>
      </c>
      <c r="S2301" s="26" t="n">
        <f aca="false">IF(OR($D2301="",$J2301&lt;&gt;"Own"),0,IFERROR((F2301+G2301*Settings!$B$13)*INDEX(Workers!$V$5:$V$2004,MATCH($D2301,Workers!$A$5:$A$2004,0)),0))</f>
        <v>0</v>
      </c>
      <c r="T2301" s="26" t="str">
        <f aca="false">IF($D2301="","",O2301-R2301-S2301)</f>
        <v/>
      </c>
    </row>
    <row r="2302" customFormat="false" ht="15" hidden="false" customHeight="false" outlineLevel="0" collapsed="false">
      <c r="I2302" s="24" t="str">
        <f aca="false">IF($D2302="","",IFERROR(INDEX(Workers!$B$5:$B$2004,MATCH($D2302,Workers!$A$5:$A$2004,0)),"NOT FOUND"))</f>
        <v/>
      </c>
      <c r="J2302" s="24" t="str">
        <f aca="false">IF($D2302="","",IFERROR(INDEX(Workers!$C$5:$C$2004,MATCH($D2302,Workers!$A$5:$A$2004,0)),""))</f>
        <v/>
      </c>
      <c r="K2302" s="24" t="str">
        <f aca="false">IF($D2302="","",IFERROR(IF(INDEX(Workers!$D$5:$D$2004,MATCH($D2302,Workers!$A$5:$A$2004,0))=0,"",INDEX(Workers!$D$5:$D$2004,MATCH($D2302,Workers!$A$5:$A$2004,0))),""))</f>
        <v/>
      </c>
      <c r="L2302" s="24" t="str">
        <f aca="false">IF($D2302="","",IFERROR(INDEX(Workers!$E$5:$E$2004,MATCH($D2302,Workers!$A$5:$A$2004,0)),""))</f>
        <v/>
      </c>
      <c r="M2302" s="26" t="str">
        <f aca="false">IF($D2302="","",IFERROR(INDEX(ClientRates!$D$5:$D$500,MATCH($B2302&amp;"|"&amp;$L2302,ClientRates!$A$5:$A$500,0)),0))</f>
        <v/>
      </c>
      <c r="N2302" s="26" t="str">
        <f aca="false">IF($D2302="","",IFERROR(INDEX(ClientRates!$E$5:$E$500,MATCH($B2302&amp;"|"&amp;$L2302,ClientRates!$A$5:$A$500,0)),0))</f>
        <v/>
      </c>
      <c r="O2302" s="26" t="str">
        <f aca="false">IF($D2302="","",F2302*M2302+G2302*N2302)</f>
        <v/>
      </c>
      <c r="P2302" s="26" t="str">
        <f aca="false">IF(OR($D2302="",$J2302&lt;&gt;"Supplier"),"",IFERROR(INDEX(SupplierRates!$D$5:$D$500,MATCH($K2302&amp;"|"&amp;$L2302,SupplierRates!$A$5:$A$500,0)),0))</f>
        <v/>
      </c>
      <c r="Q2302" s="26" t="str">
        <f aca="false">IF(OR($D2302="",$J2302&lt;&gt;"Supplier"),"",IFERROR(INDEX(SupplierRates!$E$5:$E$500,MATCH($K2302&amp;"|"&amp;$L2302,SupplierRates!$A$5:$A$500,0)),0))</f>
        <v/>
      </c>
      <c r="R2302" s="26" t="n">
        <f aca="false">IF(OR($D2302="",$J2302&lt;&gt;"Supplier"),0,F2302*P2302+G2302*Q2302)</f>
        <v>0</v>
      </c>
      <c r="S2302" s="26" t="n">
        <f aca="false">IF(OR($D2302="",$J2302&lt;&gt;"Own"),0,IFERROR((F2302+G2302*Settings!$B$13)*INDEX(Workers!$V$5:$V$2004,MATCH($D2302,Workers!$A$5:$A$2004,0)),0))</f>
        <v>0</v>
      </c>
      <c r="T2302" s="26" t="str">
        <f aca="false">IF($D2302="","",O2302-R2302-S2302)</f>
        <v/>
      </c>
    </row>
    <row r="2303" customFormat="false" ht="15" hidden="false" customHeight="false" outlineLevel="0" collapsed="false">
      <c r="I2303" s="24" t="str">
        <f aca="false">IF($D2303="","",IFERROR(INDEX(Workers!$B$5:$B$2004,MATCH($D2303,Workers!$A$5:$A$2004,0)),"NOT FOUND"))</f>
        <v/>
      </c>
      <c r="J2303" s="24" t="str">
        <f aca="false">IF($D2303="","",IFERROR(INDEX(Workers!$C$5:$C$2004,MATCH($D2303,Workers!$A$5:$A$2004,0)),""))</f>
        <v/>
      </c>
      <c r="K2303" s="24" t="str">
        <f aca="false">IF($D2303="","",IFERROR(IF(INDEX(Workers!$D$5:$D$2004,MATCH($D2303,Workers!$A$5:$A$2004,0))=0,"",INDEX(Workers!$D$5:$D$2004,MATCH($D2303,Workers!$A$5:$A$2004,0))),""))</f>
        <v/>
      </c>
      <c r="L2303" s="24" t="str">
        <f aca="false">IF($D2303="","",IFERROR(INDEX(Workers!$E$5:$E$2004,MATCH($D2303,Workers!$A$5:$A$2004,0)),""))</f>
        <v/>
      </c>
      <c r="M2303" s="26" t="str">
        <f aca="false">IF($D2303="","",IFERROR(INDEX(ClientRates!$D$5:$D$500,MATCH($B2303&amp;"|"&amp;$L2303,ClientRates!$A$5:$A$500,0)),0))</f>
        <v/>
      </c>
      <c r="N2303" s="26" t="str">
        <f aca="false">IF($D2303="","",IFERROR(INDEX(ClientRates!$E$5:$E$500,MATCH($B2303&amp;"|"&amp;$L2303,ClientRates!$A$5:$A$500,0)),0))</f>
        <v/>
      </c>
      <c r="O2303" s="26" t="str">
        <f aca="false">IF($D2303="","",F2303*M2303+G2303*N2303)</f>
        <v/>
      </c>
      <c r="P2303" s="26" t="str">
        <f aca="false">IF(OR($D2303="",$J2303&lt;&gt;"Supplier"),"",IFERROR(INDEX(SupplierRates!$D$5:$D$500,MATCH($K2303&amp;"|"&amp;$L2303,SupplierRates!$A$5:$A$500,0)),0))</f>
        <v/>
      </c>
      <c r="Q2303" s="26" t="str">
        <f aca="false">IF(OR($D2303="",$J2303&lt;&gt;"Supplier"),"",IFERROR(INDEX(SupplierRates!$E$5:$E$500,MATCH($K2303&amp;"|"&amp;$L2303,SupplierRates!$A$5:$A$500,0)),0))</f>
        <v/>
      </c>
      <c r="R2303" s="26" t="n">
        <f aca="false">IF(OR($D2303="",$J2303&lt;&gt;"Supplier"),0,F2303*P2303+G2303*Q2303)</f>
        <v>0</v>
      </c>
      <c r="S2303" s="26" t="n">
        <f aca="false">IF(OR($D2303="",$J2303&lt;&gt;"Own"),0,IFERROR((F2303+G2303*Settings!$B$13)*INDEX(Workers!$V$5:$V$2004,MATCH($D2303,Workers!$A$5:$A$2004,0)),0))</f>
        <v>0</v>
      </c>
      <c r="T2303" s="26" t="str">
        <f aca="false">IF($D2303="","",O2303-R2303-S2303)</f>
        <v/>
      </c>
    </row>
    <row r="2304" customFormat="false" ht="15" hidden="false" customHeight="false" outlineLevel="0" collapsed="false">
      <c r="I2304" s="24" t="str">
        <f aca="false">IF($D2304="","",IFERROR(INDEX(Workers!$B$5:$B$2004,MATCH($D2304,Workers!$A$5:$A$2004,0)),"NOT FOUND"))</f>
        <v/>
      </c>
      <c r="J2304" s="24" t="str">
        <f aca="false">IF($D2304="","",IFERROR(INDEX(Workers!$C$5:$C$2004,MATCH($D2304,Workers!$A$5:$A$2004,0)),""))</f>
        <v/>
      </c>
      <c r="K2304" s="24" t="str">
        <f aca="false">IF($D2304="","",IFERROR(IF(INDEX(Workers!$D$5:$D$2004,MATCH($D2304,Workers!$A$5:$A$2004,0))=0,"",INDEX(Workers!$D$5:$D$2004,MATCH($D2304,Workers!$A$5:$A$2004,0))),""))</f>
        <v/>
      </c>
      <c r="L2304" s="24" t="str">
        <f aca="false">IF($D2304="","",IFERROR(INDEX(Workers!$E$5:$E$2004,MATCH($D2304,Workers!$A$5:$A$2004,0)),""))</f>
        <v/>
      </c>
      <c r="M2304" s="26" t="str">
        <f aca="false">IF($D2304="","",IFERROR(INDEX(ClientRates!$D$5:$D$500,MATCH($B2304&amp;"|"&amp;$L2304,ClientRates!$A$5:$A$500,0)),0))</f>
        <v/>
      </c>
      <c r="N2304" s="26" t="str">
        <f aca="false">IF($D2304="","",IFERROR(INDEX(ClientRates!$E$5:$E$500,MATCH($B2304&amp;"|"&amp;$L2304,ClientRates!$A$5:$A$500,0)),0))</f>
        <v/>
      </c>
      <c r="O2304" s="26" t="str">
        <f aca="false">IF($D2304="","",F2304*M2304+G2304*N2304)</f>
        <v/>
      </c>
      <c r="P2304" s="26" t="str">
        <f aca="false">IF(OR($D2304="",$J2304&lt;&gt;"Supplier"),"",IFERROR(INDEX(SupplierRates!$D$5:$D$500,MATCH($K2304&amp;"|"&amp;$L2304,SupplierRates!$A$5:$A$500,0)),0))</f>
        <v/>
      </c>
      <c r="Q2304" s="26" t="str">
        <f aca="false">IF(OR($D2304="",$J2304&lt;&gt;"Supplier"),"",IFERROR(INDEX(SupplierRates!$E$5:$E$500,MATCH($K2304&amp;"|"&amp;$L2304,SupplierRates!$A$5:$A$500,0)),0))</f>
        <v/>
      </c>
      <c r="R2304" s="26" t="n">
        <f aca="false">IF(OR($D2304="",$J2304&lt;&gt;"Supplier"),0,F2304*P2304+G2304*Q2304)</f>
        <v>0</v>
      </c>
      <c r="S2304" s="26" t="n">
        <f aca="false">IF(OR($D2304="",$J2304&lt;&gt;"Own"),0,IFERROR((F2304+G2304*Settings!$B$13)*INDEX(Workers!$V$5:$V$2004,MATCH($D2304,Workers!$A$5:$A$2004,0)),0))</f>
        <v>0</v>
      </c>
      <c r="T2304" s="26" t="str">
        <f aca="false">IF($D2304="","",O2304-R2304-S2304)</f>
        <v/>
      </c>
    </row>
    <row r="2305" customFormat="false" ht="15" hidden="false" customHeight="false" outlineLevel="0" collapsed="false">
      <c r="I2305" s="24" t="str">
        <f aca="false">IF($D2305="","",IFERROR(INDEX(Workers!$B$5:$B$2004,MATCH($D2305,Workers!$A$5:$A$2004,0)),"NOT FOUND"))</f>
        <v/>
      </c>
      <c r="J2305" s="24" t="str">
        <f aca="false">IF($D2305="","",IFERROR(INDEX(Workers!$C$5:$C$2004,MATCH($D2305,Workers!$A$5:$A$2004,0)),""))</f>
        <v/>
      </c>
      <c r="K2305" s="24" t="str">
        <f aca="false">IF($D2305="","",IFERROR(IF(INDEX(Workers!$D$5:$D$2004,MATCH($D2305,Workers!$A$5:$A$2004,0))=0,"",INDEX(Workers!$D$5:$D$2004,MATCH($D2305,Workers!$A$5:$A$2004,0))),""))</f>
        <v/>
      </c>
      <c r="L2305" s="24" t="str">
        <f aca="false">IF($D2305="","",IFERROR(INDEX(Workers!$E$5:$E$2004,MATCH($D2305,Workers!$A$5:$A$2004,0)),""))</f>
        <v/>
      </c>
      <c r="M2305" s="26" t="str">
        <f aca="false">IF($D2305="","",IFERROR(INDEX(ClientRates!$D$5:$D$500,MATCH($B2305&amp;"|"&amp;$L2305,ClientRates!$A$5:$A$500,0)),0))</f>
        <v/>
      </c>
      <c r="N2305" s="26" t="str">
        <f aca="false">IF($D2305="","",IFERROR(INDEX(ClientRates!$E$5:$E$500,MATCH($B2305&amp;"|"&amp;$L2305,ClientRates!$A$5:$A$500,0)),0))</f>
        <v/>
      </c>
      <c r="O2305" s="26" t="str">
        <f aca="false">IF($D2305="","",F2305*M2305+G2305*N2305)</f>
        <v/>
      </c>
      <c r="P2305" s="26" t="str">
        <f aca="false">IF(OR($D2305="",$J2305&lt;&gt;"Supplier"),"",IFERROR(INDEX(SupplierRates!$D$5:$D$500,MATCH($K2305&amp;"|"&amp;$L2305,SupplierRates!$A$5:$A$500,0)),0))</f>
        <v/>
      </c>
      <c r="Q2305" s="26" t="str">
        <f aca="false">IF(OR($D2305="",$J2305&lt;&gt;"Supplier"),"",IFERROR(INDEX(SupplierRates!$E$5:$E$500,MATCH($K2305&amp;"|"&amp;$L2305,SupplierRates!$A$5:$A$500,0)),0))</f>
        <v/>
      </c>
      <c r="R2305" s="26" t="n">
        <f aca="false">IF(OR($D2305="",$J2305&lt;&gt;"Supplier"),0,F2305*P2305+G2305*Q2305)</f>
        <v>0</v>
      </c>
      <c r="S2305" s="26" t="n">
        <f aca="false">IF(OR($D2305="",$J2305&lt;&gt;"Own"),0,IFERROR((F2305+G2305*Settings!$B$13)*INDEX(Workers!$V$5:$V$2004,MATCH($D2305,Workers!$A$5:$A$2004,0)),0))</f>
        <v>0</v>
      </c>
      <c r="T2305" s="26" t="str">
        <f aca="false">IF($D2305="","",O2305-R2305-S2305)</f>
        <v/>
      </c>
    </row>
    <row r="2306" customFormat="false" ht="15" hidden="false" customHeight="false" outlineLevel="0" collapsed="false">
      <c r="I2306" s="24" t="str">
        <f aca="false">IF($D2306="","",IFERROR(INDEX(Workers!$B$5:$B$2004,MATCH($D2306,Workers!$A$5:$A$2004,0)),"NOT FOUND"))</f>
        <v/>
      </c>
      <c r="J2306" s="24" t="str">
        <f aca="false">IF($D2306="","",IFERROR(INDEX(Workers!$C$5:$C$2004,MATCH($D2306,Workers!$A$5:$A$2004,0)),""))</f>
        <v/>
      </c>
      <c r="K2306" s="24" t="str">
        <f aca="false">IF($D2306="","",IFERROR(IF(INDEX(Workers!$D$5:$D$2004,MATCH($D2306,Workers!$A$5:$A$2004,0))=0,"",INDEX(Workers!$D$5:$D$2004,MATCH($D2306,Workers!$A$5:$A$2004,0))),""))</f>
        <v/>
      </c>
      <c r="L2306" s="24" t="str">
        <f aca="false">IF($D2306="","",IFERROR(INDEX(Workers!$E$5:$E$2004,MATCH($D2306,Workers!$A$5:$A$2004,0)),""))</f>
        <v/>
      </c>
      <c r="M2306" s="26" t="str">
        <f aca="false">IF($D2306="","",IFERROR(INDEX(ClientRates!$D$5:$D$500,MATCH($B2306&amp;"|"&amp;$L2306,ClientRates!$A$5:$A$500,0)),0))</f>
        <v/>
      </c>
      <c r="N2306" s="26" t="str">
        <f aca="false">IF($D2306="","",IFERROR(INDEX(ClientRates!$E$5:$E$500,MATCH($B2306&amp;"|"&amp;$L2306,ClientRates!$A$5:$A$500,0)),0))</f>
        <v/>
      </c>
      <c r="O2306" s="26" t="str">
        <f aca="false">IF($D2306="","",F2306*M2306+G2306*N2306)</f>
        <v/>
      </c>
      <c r="P2306" s="26" t="str">
        <f aca="false">IF(OR($D2306="",$J2306&lt;&gt;"Supplier"),"",IFERROR(INDEX(SupplierRates!$D$5:$D$500,MATCH($K2306&amp;"|"&amp;$L2306,SupplierRates!$A$5:$A$500,0)),0))</f>
        <v/>
      </c>
      <c r="Q2306" s="26" t="str">
        <f aca="false">IF(OR($D2306="",$J2306&lt;&gt;"Supplier"),"",IFERROR(INDEX(SupplierRates!$E$5:$E$500,MATCH($K2306&amp;"|"&amp;$L2306,SupplierRates!$A$5:$A$500,0)),0))</f>
        <v/>
      </c>
      <c r="R2306" s="26" t="n">
        <f aca="false">IF(OR($D2306="",$J2306&lt;&gt;"Supplier"),0,F2306*P2306+G2306*Q2306)</f>
        <v>0</v>
      </c>
      <c r="S2306" s="26" t="n">
        <f aca="false">IF(OR($D2306="",$J2306&lt;&gt;"Own"),0,IFERROR((F2306+G2306*Settings!$B$13)*INDEX(Workers!$V$5:$V$2004,MATCH($D2306,Workers!$A$5:$A$2004,0)),0))</f>
        <v>0</v>
      </c>
      <c r="T2306" s="26" t="str">
        <f aca="false">IF($D2306="","",O2306-R2306-S2306)</f>
        <v/>
      </c>
    </row>
    <row r="2307" customFormat="false" ht="15" hidden="false" customHeight="false" outlineLevel="0" collapsed="false">
      <c r="I2307" s="24" t="str">
        <f aca="false">IF($D2307="","",IFERROR(INDEX(Workers!$B$5:$B$2004,MATCH($D2307,Workers!$A$5:$A$2004,0)),"NOT FOUND"))</f>
        <v/>
      </c>
      <c r="J2307" s="24" t="str">
        <f aca="false">IF($D2307="","",IFERROR(INDEX(Workers!$C$5:$C$2004,MATCH($D2307,Workers!$A$5:$A$2004,0)),""))</f>
        <v/>
      </c>
      <c r="K2307" s="24" t="str">
        <f aca="false">IF($D2307="","",IFERROR(IF(INDEX(Workers!$D$5:$D$2004,MATCH($D2307,Workers!$A$5:$A$2004,0))=0,"",INDEX(Workers!$D$5:$D$2004,MATCH($D2307,Workers!$A$5:$A$2004,0))),""))</f>
        <v/>
      </c>
      <c r="L2307" s="24" t="str">
        <f aca="false">IF($D2307="","",IFERROR(INDEX(Workers!$E$5:$E$2004,MATCH($D2307,Workers!$A$5:$A$2004,0)),""))</f>
        <v/>
      </c>
      <c r="M2307" s="26" t="str">
        <f aca="false">IF($D2307="","",IFERROR(INDEX(ClientRates!$D$5:$D$500,MATCH($B2307&amp;"|"&amp;$L2307,ClientRates!$A$5:$A$500,0)),0))</f>
        <v/>
      </c>
      <c r="N2307" s="26" t="str">
        <f aca="false">IF($D2307="","",IFERROR(INDEX(ClientRates!$E$5:$E$500,MATCH($B2307&amp;"|"&amp;$L2307,ClientRates!$A$5:$A$500,0)),0))</f>
        <v/>
      </c>
      <c r="O2307" s="26" t="str">
        <f aca="false">IF($D2307="","",F2307*M2307+G2307*N2307)</f>
        <v/>
      </c>
      <c r="P2307" s="26" t="str">
        <f aca="false">IF(OR($D2307="",$J2307&lt;&gt;"Supplier"),"",IFERROR(INDEX(SupplierRates!$D$5:$D$500,MATCH($K2307&amp;"|"&amp;$L2307,SupplierRates!$A$5:$A$500,0)),0))</f>
        <v/>
      </c>
      <c r="Q2307" s="26" t="str">
        <f aca="false">IF(OR($D2307="",$J2307&lt;&gt;"Supplier"),"",IFERROR(INDEX(SupplierRates!$E$5:$E$500,MATCH($K2307&amp;"|"&amp;$L2307,SupplierRates!$A$5:$A$500,0)),0))</f>
        <v/>
      </c>
      <c r="R2307" s="26" t="n">
        <f aca="false">IF(OR($D2307="",$J2307&lt;&gt;"Supplier"),0,F2307*P2307+G2307*Q2307)</f>
        <v>0</v>
      </c>
      <c r="S2307" s="26" t="n">
        <f aca="false">IF(OR($D2307="",$J2307&lt;&gt;"Own"),0,IFERROR((F2307+G2307*Settings!$B$13)*INDEX(Workers!$V$5:$V$2004,MATCH($D2307,Workers!$A$5:$A$2004,0)),0))</f>
        <v>0</v>
      </c>
      <c r="T2307" s="26" t="str">
        <f aca="false">IF($D2307="","",O2307-R2307-S2307)</f>
        <v/>
      </c>
    </row>
    <row r="2308" customFormat="false" ht="15" hidden="false" customHeight="false" outlineLevel="0" collapsed="false">
      <c r="I2308" s="24" t="str">
        <f aca="false">IF($D2308="","",IFERROR(INDEX(Workers!$B$5:$B$2004,MATCH($D2308,Workers!$A$5:$A$2004,0)),"NOT FOUND"))</f>
        <v/>
      </c>
      <c r="J2308" s="24" t="str">
        <f aca="false">IF($D2308="","",IFERROR(INDEX(Workers!$C$5:$C$2004,MATCH($D2308,Workers!$A$5:$A$2004,0)),""))</f>
        <v/>
      </c>
      <c r="K2308" s="24" t="str">
        <f aca="false">IF($D2308="","",IFERROR(IF(INDEX(Workers!$D$5:$D$2004,MATCH($D2308,Workers!$A$5:$A$2004,0))=0,"",INDEX(Workers!$D$5:$D$2004,MATCH($D2308,Workers!$A$5:$A$2004,0))),""))</f>
        <v/>
      </c>
      <c r="L2308" s="24" t="str">
        <f aca="false">IF($D2308="","",IFERROR(INDEX(Workers!$E$5:$E$2004,MATCH($D2308,Workers!$A$5:$A$2004,0)),""))</f>
        <v/>
      </c>
      <c r="M2308" s="26" t="str">
        <f aca="false">IF($D2308="","",IFERROR(INDEX(ClientRates!$D$5:$D$500,MATCH($B2308&amp;"|"&amp;$L2308,ClientRates!$A$5:$A$500,0)),0))</f>
        <v/>
      </c>
      <c r="N2308" s="26" t="str">
        <f aca="false">IF($D2308="","",IFERROR(INDEX(ClientRates!$E$5:$E$500,MATCH($B2308&amp;"|"&amp;$L2308,ClientRates!$A$5:$A$500,0)),0))</f>
        <v/>
      </c>
      <c r="O2308" s="26" t="str">
        <f aca="false">IF($D2308="","",F2308*M2308+G2308*N2308)</f>
        <v/>
      </c>
      <c r="P2308" s="26" t="str">
        <f aca="false">IF(OR($D2308="",$J2308&lt;&gt;"Supplier"),"",IFERROR(INDEX(SupplierRates!$D$5:$D$500,MATCH($K2308&amp;"|"&amp;$L2308,SupplierRates!$A$5:$A$500,0)),0))</f>
        <v/>
      </c>
      <c r="Q2308" s="26" t="str">
        <f aca="false">IF(OR($D2308="",$J2308&lt;&gt;"Supplier"),"",IFERROR(INDEX(SupplierRates!$E$5:$E$500,MATCH($K2308&amp;"|"&amp;$L2308,SupplierRates!$A$5:$A$500,0)),0))</f>
        <v/>
      </c>
      <c r="R2308" s="26" t="n">
        <f aca="false">IF(OR($D2308="",$J2308&lt;&gt;"Supplier"),0,F2308*P2308+G2308*Q2308)</f>
        <v>0</v>
      </c>
      <c r="S2308" s="26" t="n">
        <f aca="false">IF(OR($D2308="",$J2308&lt;&gt;"Own"),0,IFERROR((F2308+G2308*Settings!$B$13)*INDEX(Workers!$V$5:$V$2004,MATCH($D2308,Workers!$A$5:$A$2004,0)),0))</f>
        <v>0</v>
      </c>
      <c r="T2308" s="26" t="str">
        <f aca="false">IF($D2308="","",O2308-R2308-S2308)</f>
        <v/>
      </c>
    </row>
    <row r="2309" customFormat="false" ht="15" hidden="false" customHeight="false" outlineLevel="0" collapsed="false">
      <c r="I2309" s="24" t="str">
        <f aca="false">IF($D2309="","",IFERROR(INDEX(Workers!$B$5:$B$2004,MATCH($D2309,Workers!$A$5:$A$2004,0)),"NOT FOUND"))</f>
        <v/>
      </c>
      <c r="J2309" s="24" t="str">
        <f aca="false">IF($D2309="","",IFERROR(INDEX(Workers!$C$5:$C$2004,MATCH($D2309,Workers!$A$5:$A$2004,0)),""))</f>
        <v/>
      </c>
      <c r="K2309" s="24" t="str">
        <f aca="false">IF($D2309="","",IFERROR(IF(INDEX(Workers!$D$5:$D$2004,MATCH($D2309,Workers!$A$5:$A$2004,0))=0,"",INDEX(Workers!$D$5:$D$2004,MATCH($D2309,Workers!$A$5:$A$2004,0))),""))</f>
        <v/>
      </c>
      <c r="L2309" s="24" t="str">
        <f aca="false">IF($D2309="","",IFERROR(INDEX(Workers!$E$5:$E$2004,MATCH($D2309,Workers!$A$5:$A$2004,0)),""))</f>
        <v/>
      </c>
      <c r="M2309" s="26" t="str">
        <f aca="false">IF($D2309="","",IFERROR(INDEX(ClientRates!$D$5:$D$500,MATCH($B2309&amp;"|"&amp;$L2309,ClientRates!$A$5:$A$500,0)),0))</f>
        <v/>
      </c>
      <c r="N2309" s="26" t="str">
        <f aca="false">IF($D2309="","",IFERROR(INDEX(ClientRates!$E$5:$E$500,MATCH($B2309&amp;"|"&amp;$L2309,ClientRates!$A$5:$A$500,0)),0))</f>
        <v/>
      </c>
      <c r="O2309" s="26" t="str">
        <f aca="false">IF($D2309="","",F2309*M2309+G2309*N2309)</f>
        <v/>
      </c>
      <c r="P2309" s="26" t="str">
        <f aca="false">IF(OR($D2309="",$J2309&lt;&gt;"Supplier"),"",IFERROR(INDEX(SupplierRates!$D$5:$D$500,MATCH($K2309&amp;"|"&amp;$L2309,SupplierRates!$A$5:$A$500,0)),0))</f>
        <v/>
      </c>
      <c r="Q2309" s="26" t="str">
        <f aca="false">IF(OR($D2309="",$J2309&lt;&gt;"Supplier"),"",IFERROR(INDEX(SupplierRates!$E$5:$E$500,MATCH($K2309&amp;"|"&amp;$L2309,SupplierRates!$A$5:$A$500,0)),0))</f>
        <v/>
      </c>
      <c r="R2309" s="26" t="n">
        <f aca="false">IF(OR($D2309="",$J2309&lt;&gt;"Supplier"),0,F2309*P2309+G2309*Q2309)</f>
        <v>0</v>
      </c>
      <c r="S2309" s="26" t="n">
        <f aca="false">IF(OR($D2309="",$J2309&lt;&gt;"Own"),0,IFERROR((F2309+G2309*Settings!$B$13)*INDEX(Workers!$V$5:$V$2004,MATCH($D2309,Workers!$A$5:$A$2004,0)),0))</f>
        <v>0</v>
      </c>
      <c r="T2309" s="26" t="str">
        <f aca="false">IF($D2309="","",O2309-R2309-S2309)</f>
        <v/>
      </c>
    </row>
    <row r="2310" customFormat="false" ht="15" hidden="false" customHeight="false" outlineLevel="0" collapsed="false">
      <c r="I2310" s="24" t="str">
        <f aca="false">IF($D2310="","",IFERROR(INDEX(Workers!$B$5:$B$2004,MATCH($D2310,Workers!$A$5:$A$2004,0)),"NOT FOUND"))</f>
        <v/>
      </c>
      <c r="J2310" s="24" t="str">
        <f aca="false">IF($D2310="","",IFERROR(INDEX(Workers!$C$5:$C$2004,MATCH($D2310,Workers!$A$5:$A$2004,0)),""))</f>
        <v/>
      </c>
      <c r="K2310" s="24" t="str">
        <f aca="false">IF($D2310="","",IFERROR(IF(INDEX(Workers!$D$5:$D$2004,MATCH($D2310,Workers!$A$5:$A$2004,0))=0,"",INDEX(Workers!$D$5:$D$2004,MATCH($D2310,Workers!$A$5:$A$2004,0))),""))</f>
        <v/>
      </c>
      <c r="L2310" s="24" t="str">
        <f aca="false">IF($D2310="","",IFERROR(INDEX(Workers!$E$5:$E$2004,MATCH($D2310,Workers!$A$5:$A$2004,0)),""))</f>
        <v/>
      </c>
      <c r="M2310" s="26" t="str">
        <f aca="false">IF($D2310="","",IFERROR(INDEX(ClientRates!$D$5:$D$500,MATCH($B2310&amp;"|"&amp;$L2310,ClientRates!$A$5:$A$500,0)),0))</f>
        <v/>
      </c>
      <c r="N2310" s="26" t="str">
        <f aca="false">IF($D2310="","",IFERROR(INDEX(ClientRates!$E$5:$E$500,MATCH($B2310&amp;"|"&amp;$L2310,ClientRates!$A$5:$A$500,0)),0))</f>
        <v/>
      </c>
      <c r="O2310" s="26" t="str">
        <f aca="false">IF($D2310="","",F2310*M2310+G2310*N2310)</f>
        <v/>
      </c>
      <c r="P2310" s="26" t="str">
        <f aca="false">IF(OR($D2310="",$J2310&lt;&gt;"Supplier"),"",IFERROR(INDEX(SupplierRates!$D$5:$D$500,MATCH($K2310&amp;"|"&amp;$L2310,SupplierRates!$A$5:$A$500,0)),0))</f>
        <v/>
      </c>
      <c r="Q2310" s="26" t="str">
        <f aca="false">IF(OR($D2310="",$J2310&lt;&gt;"Supplier"),"",IFERROR(INDEX(SupplierRates!$E$5:$E$500,MATCH($K2310&amp;"|"&amp;$L2310,SupplierRates!$A$5:$A$500,0)),0))</f>
        <v/>
      </c>
      <c r="R2310" s="26" t="n">
        <f aca="false">IF(OR($D2310="",$J2310&lt;&gt;"Supplier"),0,F2310*P2310+G2310*Q2310)</f>
        <v>0</v>
      </c>
      <c r="S2310" s="26" t="n">
        <f aca="false">IF(OR($D2310="",$J2310&lt;&gt;"Own"),0,IFERROR((F2310+G2310*Settings!$B$13)*INDEX(Workers!$V$5:$V$2004,MATCH($D2310,Workers!$A$5:$A$2004,0)),0))</f>
        <v>0</v>
      </c>
      <c r="T2310" s="26" t="str">
        <f aca="false">IF($D2310="","",O2310-R2310-S2310)</f>
        <v/>
      </c>
    </row>
    <row r="2311" customFormat="false" ht="15" hidden="false" customHeight="false" outlineLevel="0" collapsed="false">
      <c r="I2311" s="24" t="str">
        <f aca="false">IF($D2311="","",IFERROR(INDEX(Workers!$B$5:$B$2004,MATCH($D2311,Workers!$A$5:$A$2004,0)),"NOT FOUND"))</f>
        <v/>
      </c>
      <c r="J2311" s="24" t="str">
        <f aca="false">IF($D2311="","",IFERROR(INDEX(Workers!$C$5:$C$2004,MATCH($D2311,Workers!$A$5:$A$2004,0)),""))</f>
        <v/>
      </c>
      <c r="K2311" s="24" t="str">
        <f aca="false">IF($D2311="","",IFERROR(IF(INDEX(Workers!$D$5:$D$2004,MATCH($D2311,Workers!$A$5:$A$2004,0))=0,"",INDEX(Workers!$D$5:$D$2004,MATCH($D2311,Workers!$A$5:$A$2004,0))),""))</f>
        <v/>
      </c>
      <c r="L2311" s="24" t="str">
        <f aca="false">IF($D2311="","",IFERROR(INDEX(Workers!$E$5:$E$2004,MATCH($D2311,Workers!$A$5:$A$2004,0)),""))</f>
        <v/>
      </c>
      <c r="M2311" s="26" t="str">
        <f aca="false">IF($D2311="","",IFERROR(INDEX(ClientRates!$D$5:$D$500,MATCH($B2311&amp;"|"&amp;$L2311,ClientRates!$A$5:$A$500,0)),0))</f>
        <v/>
      </c>
      <c r="N2311" s="26" t="str">
        <f aca="false">IF($D2311="","",IFERROR(INDEX(ClientRates!$E$5:$E$500,MATCH($B2311&amp;"|"&amp;$L2311,ClientRates!$A$5:$A$500,0)),0))</f>
        <v/>
      </c>
      <c r="O2311" s="26" t="str">
        <f aca="false">IF($D2311="","",F2311*M2311+G2311*N2311)</f>
        <v/>
      </c>
      <c r="P2311" s="26" t="str">
        <f aca="false">IF(OR($D2311="",$J2311&lt;&gt;"Supplier"),"",IFERROR(INDEX(SupplierRates!$D$5:$D$500,MATCH($K2311&amp;"|"&amp;$L2311,SupplierRates!$A$5:$A$500,0)),0))</f>
        <v/>
      </c>
      <c r="Q2311" s="26" t="str">
        <f aca="false">IF(OR($D2311="",$J2311&lt;&gt;"Supplier"),"",IFERROR(INDEX(SupplierRates!$E$5:$E$500,MATCH($K2311&amp;"|"&amp;$L2311,SupplierRates!$A$5:$A$500,0)),0))</f>
        <v/>
      </c>
      <c r="R2311" s="26" t="n">
        <f aca="false">IF(OR($D2311="",$J2311&lt;&gt;"Supplier"),0,F2311*P2311+G2311*Q2311)</f>
        <v>0</v>
      </c>
      <c r="S2311" s="26" t="n">
        <f aca="false">IF(OR($D2311="",$J2311&lt;&gt;"Own"),0,IFERROR((F2311+G2311*Settings!$B$13)*INDEX(Workers!$V$5:$V$2004,MATCH($D2311,Workers!$A$5:$A$2004,0)),0))</f>
        <v>0</v>
      </c>
      <c r="T2311" s="26" t="str">
        <f aca="false">IF($D2311="","",O2311-R2311-S2311)</f>
        <v/>
      </c>
    </row>
    <row r="2312" customFormat="false" ht="15" hidden="false" customHeight="false" outlineLevel="0" collapsed="false">
      <c r="I2312" s="24" t="str">
        <f aca="false">IF($D2312="","",IFERROR(INDEX(Workers!$B$5:$B$2004,MATCH($D2312,Workers!$A$5:$A$2004,0)),"NOT FOUND"))</f>
        <v/>
      </c>
      <c r="J2312" s="24" t="str">
        <f aca="false">IF($D2312="","",IFERROR(INDEX(Workers!$C$5:$C$2004,MATCH($D2312,Workers!$A$5:$A$2004,0)),""))</f>
        <v/>
      </c>
      <c r="K2312" s="24" t="str">
        <f aca="false">IF($D2312="","",IFERROR(IF(INDEX(Workers!$D$5:$D$2004,MATCH($D2312,Workers!$A$5:$A$2004,0))=0,"",INDEX(Workers!$D$5:$D$2004,MATCH($D2312,Workers!$A$5:$A$2004,0))),""))</f>
        <v/>
      </c>
      <c r="L2312" s="24" t="str">
        <f aca="false">IF($D2312="","",IFERROR(INDEX(Workers!$E$5:$E$2004,MATCH($D2312,Workers!$A$5:$A$2004,0)),""))</f>
        <v/>
      </c>
      <c r="M2312" s="26" t="str">
        <f aca="false">IF($D2312="","",IFERROR(INDEX(ClientRates!$D$5:$D$500,MATCH($B2312&amp;"|"&amp;$L2312,ClientRates!$A$5:$A$500,0)),0))</f>
        <v/>
      </c>
      <c r="N2312" s="26" t="str">
        <f aca="false">IF($D2312="","",IFERROR(INDEX(ClientRates!$E$5:$E$500,MATCH($B2312&amp;"|"&amp;$L2312,ClientRates!$A$5:$A$500,0)),0))</f>
        <v/>
      </c>
      <c r="O2312" s="26" t="str">
        <f aca="false">IF($D2312="","",F2312*M2312+G2312*N2312)</f>
        <v/>
      </c>
      <c r="P2312" s="26" t="str">
        <f aca="false">IF(OR($D2312="",$J2312&lt;&gt;"Supplier"),"",IFERROR(INDEX(SupplierRates!$D$5:$D$500,MATCH($K2312&amp;"|"&amp;$L2312,SupplierRates!$A$5:$A$500,0)),0))</f>
        <v/>
      </c>
      <c r="Q2312" s="26" t="str">
        <f aca="false">IF(OR($D2312="",$J2312&lt;&gt;"Supplier"),"",IFERROR(INDEX(SupplierRates!$E$5:$E$500,MATCH($K2312&amp;"|"&amp;$L2312,SupplierRates!$A$5:$A$500,0)),0))</f>
        <v/>
      </c>
      <c r="R2312" s="26" t="n">
        <f aca="false">IF(OR($D2312="",$J2312&lt;&gt;"Supplier"),0,F2312*P2312+G2312*Q2312)</f>
        <v>0</v>
      </c>
      <c r="S2312" s="26" t="n">
        <f aca="false">IF(OR($D2312="",$J2312&lt;&gt;"Own"),0,IFERROR((F2312+G2312*Settings!$B$13)*INDEX(Workers!$V$5:$V$2004,MATCH($D2312,Workers!$A$5:$A$2004,0)),0))</f>
        <v>0</v>
      </c>
      <c r="T2312" s="26" t="str">
        <f aca="false">IF($D2312="","",O2312-R2312-S2312)</f>
        <v/>
      </c>
    </row>
    <row r="2313" customFormat="false" ht="15" hidden="false" customHeight="false" outlineLevel="0" collapsed="false">
      <c r="I2313" s="24" t="str">
        <f aca="false">IF($D2313="","",IFERROR(INDEX(Workers!$B$5:$B$2004,MATCH($D2313,Workers!$A$5:$A$2004,0)),"NOT FOUND"))</f>
        <v/>
      </c>
      <c r="J2313" s="24" t="str">
        <f aca="false">IF($D2313="","",IFERROR(INDEX(Workers!$C$5:$C$2004,MATCH($D2313,Workers!$A$5:$A$2004,0)),""))</f>
        <v/>
      </c>
      <c r="K2313" s="24" t="str">
        <f aca="false">IF($D2313="","",IFERROR(IF(INDEX(Workers!$D$5:$D$2004,MATCH($D2313,Workers!$A$5:$A$2004,0))=0,"",INDEX(Workers!$D$5:$D$2004,MATCH($D2313,Workers!$A$5:$A$2004,0))),""))</f>
        <v/>
      </c>
      <c r="L2313" s="24" t="str">
        <f aca="false">IF($D2313="","",IFERROR(INDEX(Workers!$E$5:$E$2004,MATCH($D2313,Workers!$A$5:$A$2004,0)),""))</f>
        <v/>
      </c>
      <c r="M2313" s="26" t="str">
        <f aca="false">IF($D2313="","",IFERROR(INDEX(ClientRates!$D$5:$D$500,MATCH($B2313&amp;"|"&amp;$L2313,ClientRates!$A$5:$A$500,0)),0))</f>
        <v/>
      </c>
      <c r="N2313" s="26" t="str">
        <f aca="false">IF($D2313="","",IFERROR(INDEX(ClientRates!$E$5:$E$500,MATCH($B2313&amp;"|"&amp;$L2313,ClientRates!$A$5:$A$500,0)),0))</f>
        <v/>
      </c>
      <c r="O2313" s="26" t="str">
        <f aca="false">IF($D2313="","",F2313*M2313+G2313*N2313)</f>
        <v/>
      </c>
      <c r="P2313" s="26" t="str">
        <f aca="false">IF(OR($D2313="",$J2313&lt;&gt;"Supplier"),"",IFERROR(INDEX(SupplierRates!$D$5:$D$500,MATCH($K2313&amp;"|"&amp;$L2313,SupplierRates!$A$5:$A$500,0)),0))</f>
        <v/>
      </c>
      <c r="Q2313" s="26" t="str">
        <f aca="false">IF(OR($D2313="",$J2313&lt;&gt;"Supplier"),"",IFERROR(INDEX(SupplierRates!$E$5:$E$500,MATCH($K2313&amp;"|"&amp;$L2313,SupplierRates!$A$5:$A$500,0)),0))</f>
        <v/>
      </c>
      <c r="R2313" s="26" t="n">
        <f aca="false">IF(OR($D2313="",$J2313&lt;&gt;"Supplier"),0,F2313*P2313+G2313*Q2313)</f>
        <v>0</v>
      </c>
      <c r="S2313" s="26" t="n">
        <f aca="false">IF(OR($D2313="",$J2313&lt;&gt;"Own"),0,IFERROR((F2313+G2313*Settings!$B$13)*INDEX(Workers!$V$5:$V$2004,MATCH($D2313,Workers!$A$5:$A$2004,0)),0))</f>
        <v>0</v>
      </c>
      <c r="T2313" s="26" t="str">
        <f aca="false">IF($D2313="","",O2313-R2313-S2313)</f>
        <v/>
      </c>
    </row>
    <row r="2314" customFormat="false" ht="15" hidden="false" customHeight="false" outlineLevel="0" collapsed="false">
      <c r="I2314" s="24" t="str">
        <f aca="false">IF($D2314="","",IFERROR(INDEX(Workers!$B$5:$B$2004,MATCH($D2314,Workers!$A$5:$A$2004,0)),"NOT FOUND"))</f>
        <v/>
      </c>
      <c r="J2314" s="24" t="str">
        <f aca="false">IF($D2314="","",IFERROR(INDEX(Workers!$C$5:$C$2004,MATCH($D2314,Workers!$A$5:$A$2004,0)),""))</f>
        <v/>
      </c>
      <c r="K2314" s="24" t="str">
        <f aca="false">IF($D2314="","",IFERROR(IF(INDEX(Workers!$D$5:$D$2004,MATCH($D2314,Workers!$A$5:$A$2004,0))=0,"",INDEX(Workers!$D$5:$D$2004,MATCH($D2314,Workers!$A$5:$A$2004,0))),""))</f>
        <v/>
      </c>
      <c r="L2314" s="24" t="str">
        <f aca="false">IF($D2314="","",IFERROR(INDEX(Workers!$E$5:$E$2004,MATCH($D2314,Workers!$A$5:$A$2004,0)),""))</f>
        <v/>
      </c>
      <c r="M2314" s="26" t="str">
        <f aca="false">IF($D2314="","",IFERROR(INDEX(ClientRates!$D$5:$D$500,MATCH($B2314&amp;"|"&amp;$L2314,ClientRates!$A$5:$A$500,0)),0))</f>
        <v/>
      </c>
      <c r="N2314" s="26" t="str">
        <f aca="false">IF($D2314="","",IFERROR(INDEX(ClientRates!$E$5:$E$500,MATCH($B2314&amp;"|"&amp;$L2314,ClientRates!$A$5:$A$500,0)),0))</f>
        <v/>
      </c>
      <c r="O2314" s="26" t="str">
        <f aca="false">IF($D2314="","",F2314*M2314+G2314*N2314)</f>
        <v/>
      </c>
      <c r="P2314" s="26" t="str">
        <f aca="false">IF(OR($D2314="",$J2314&lt;&gt;"Supplier"),"",IFERROR(INDEX(SupplierRates!$D$5:$D$500,MATCH($K2314&amp;"|"&amp;$L2314,SupplierRates!$A$5:$A$500,0)),0))</f>
        <v/>
      </c>
      <c r="Q2314" s="26" t="str">
        <f aca="false">IF(OR($D2314="",$J2314&lt;&gt;"Supplier"),"",IFERROR(INDEX(SupplierRates!$E$5:$E$500,MATCH($K2314&amp;"|"&amp;$L2314,SupplierRates!$A$5:$A$500,0)),0))</f>
        <v/>
      </c>
      <c r="R2314" s="26" t="n">
        <f aca="false">IF(OR($D2314="",$J2314&lt;&gt;"Supplier"),0,F2314*P2314+G2314*Q2314)</f>
        <v>0</v>
      </c>
      <c r="S2314" s="26" t="n">
        <f aca="false">IF(OR($D2314="",$J2314&lt;&gt;"Own"),0,IFERROR((F2314+G2314*Settings!$B$13)*INDEX(Workers!$V$5:$V$2004,MATCH($D2314,Workers!$A$5:$A$2004,0)),0))</f>
        <v>0</v>
      </c>
      <c r="T2314" s="26" t="str">
        <f aca="false">IF($D2314="","",O2314-R2314-S2314)</f>
        <v/>
      </c>
    </row>
    <row r="2315" customFormat="false" ht="15" hidden="false" customHeight="false" outlineLevel="0" collapsed="false">
      <c r="I2315" s="24" t="str">
        <f aca="false">IF($D2315="","",IFERROR(INDEX(Workers!$B$5:$B$2004,MATCH($D2315,Workers!$A$5:$A$2004,0)),"NOT FOUND"))</f>
        <v/>
      </c>
      <c r="J2315" s="24" t="str">
        <f aca="false">IF($D2315="","",IFERROR(INDEX(Workers!$C$5:$C$2004,MATCH($D2315,Workers!$A$5:$A$2004,0)),""))</f>
        <v/>
      </c>
      <c r="K2315" s="24" t="str">
        <f aca="false">IF($D2315="","",IFERROR(IF(INDEX(Workers!$D$5:$D$2004,MATCH($D2315,Workers!$A$5:$A$2004,0))=0,"",INDEX(Workers!$D$5:$D$2004,MATCH($D2315,Workers!$A$5:$A$2004,0))),""))</f>
        <v/>
      </c>
      <c r="L2315" s="24" t="str">
        <f aca="false">IF($D2315="","",IFERROR(INDEX(Workers!$E$5:$E$2004,MATCH($D2315,Workers!$A$5:$A$2004,0)),""))</f>
        <v/>
      </c>
      <c r="M2315" s="26" t="str">
        <f aca="false">IF($D2315="","",IFERROR(INDEX(ClientRates!$D$5:$D$500,MATCH($B2315&amp;"|"&amp;$L2315,ClientRates!$A$5:$A$500,0)),0))</f>
        <v/>
      </c>
      <c r="N2315" s="26" t="str">
        <f aca="false">IF($D2315="","",IFERROR(INDEX(ClientRates!$E$5:$E$500,MATCH($B2315&amp;"|"&amp;$L2315,ClientRates!$A$5:$A$500,0)),0))</f>
        <v/>
      </c>
      <c r="O2315" s="26" t="str">
        <f aca="false">IF($D2315="","",F2315*M2315+G2315*N2315)</f>
        <v/>
      </c>
      <c r="P2315" s="26" t="str">
        <f aca="false">IF(OR($D2315="",$J2315&lt;&gt;"Supplier"),"",IFERROR(INDEX(SupplierRates!$D$5:$D$500,MATCH($K2315&amp;"|"&amp;$L2315,SupplierRates!$A$5:$A$500,0)),0))</f>
        <v/>
      </c>
      <c r="Q2315" s="26" t="str">
        <f aca="false">IF(OR($D2315="",$J2315&lt;&gt;"Supplier"),"",IFERROR(INDEX(SupplierRates!$E$5:$E$500,MATCH($K2315&amp;"|"&amp;$L2315,SupplierRates!$A$5:$A$500,0)),0))</f>
        <v/>
      </c>
      <c r="R2315" s="26" t="n">
        <f aca="false">IF(OR($D2315="",$J2315&lt;&gt;"Supplier"),0,F2315*P2315+G2315*Q2315)</f>
        <v>0</v>
      </c>
      <c r="S2315" s="26" t="n">
        <f aca="false">IF(OR($D2315="",$J2315&lt;&gt;"Own"),0,IFERROR((F2315+G2315*Settings!$B$13)*INDEX(Workers!$V$5:$V$2004,MATCH($D2315,Workers!$A$5:$A$2004,0)),0))</f>
        <v>0</v>
      </c>
      <c r="T2315" s="26" t="str">
        <f aca="false">IF($D2315="","",O2315-R2315-S2315)</f>
        <v/>
      </c>
    </row>
    <row r="2316" customFormat="false" ht="15" hidden="false" customHeight="false" outlineLevel="0" collapsed="false">
      <c r="I2316" s="24" t="str">
        <f aca="false">IF($D2316="","",IFERROR(INDEX(Workers!$B$5:$B$2004,MATCH($D2316,Workers!$A$5:$A$2004,0)),"NOT FOUND"))</f>
        <v/>
      </c>
      <c r="J2316" s="24" t="str">
        <f aca="false">IF($D2316="","",IFERROR(INDEX(Workers!$C$5:$C$2004,MATCH($D2316,Workers!$A$5:$A$2004,0)),""))</f>
        <v/>
      </c>
      <c r="K2316" s="24" t="str">
        <f aca="false">IF($D2316="","",IFERROR(IF(INDEX(Workers!$D$5:$D$2004,MATCH($D2316,Workers!$A$5:$A$2004,0))=0,"",INDEX(Workers!$D$5:$D$2004,MATCH($D2316,Workers!$A$5:$A$2004,0))),""))</f>
        <v/>
      </c>
      <c r="L2316" s="24" t="str">
        <f aca="false">IF($D2316="","",IFERROR(INDEX(Workers!$E$5:$E$2004,MATCH($D2316,Workers!$A$5:$A$2004,0)),""))</f>
        <v/>
      </c>
      <c r="M2316" s="26" t="str">
        <f aca="false">IF($D2316="","",IFERROR(INDEX(ClientRates!$D$5:$D$500,MATCH($B2316&amp;"|"&amp;$L2316,ClientRates!$A$5:$A$500,0)),0))</f>
        <v/>
      </c>
      <c r="N2316" s="26" t="str">
        <f aca="false">IF($D2316="","",IFERROR(INDEX(ClientRates!$E$5:$E$500,MATCH($B2316&amp;"|"&amp;$L2316,ClientRates!$A$5:$A$500,0)),0))</f>
        <v/>
      </c>
      <c r="O2316" s="26" t="str">
        <f aca="false">IF($D2316="","",F2316*M2316+G2316*N2316)</f>
        <v/>
      </c>
      <c r="P2316" s="26" t="str">
        <f aca="false">IF(OR($D2316="",$J2316&lt;&gt;"Supplier"),"",IFERROR(INDEX(SupplierRates!$D$5:$D$500,MATCH($K2316&amp;"|"&amp;$L2316,SupplierRates!$A$5:$A$500,0)),0))</f>
        <v/>
      </c>
      <c r="Q2316" s="26" t="str">
        <f aca="false">IF(OR($D2316="",$J2316&lt;&gt;"Supplier"),"",IFERROR(INDEX(SupplierRates!$E$5:$E$500,MATCH($K2316&amp;"|"&amp;$L2316,SupplierRates!$A$5:$A$500,0)),0))</f>
        <v/>
      </c>
      <c r="R2316" s="26" t="n">
        <f aca="false">IF(OR($D2316="",$J2316&lt;&gt;"Supplier"),0,F2316*P2316+G2316*Q2316)</f>
        <v>0</v>
      </c>
      <c r="S2316" s="26" t="n">
        <f aca="false">IF(OR($D2316="",$J2316&lt;&gt;"Own"),0,IFERROR((F2316+G2316*Settings!$B$13)*INDEX(Workers!$V$5:$V$2004,MATCH($D2316,Workers!$A$5:$A$2004,0)),0))</f>
        <v>0</v>
      </c>
      <c r="T2316" s="26" t="str">
        <f aca="false">IF($D2316="","",O2316-R2316-S2316)</f>
        <v/>
      </c>
    </row>
    <row r="2317" customFormat="false" ht="15" hidden="false" customHeight="false" outlineLevel="0" collapsed="false">
      <c r="I2317" s="24" t="str">
        <f aca="false">IF($D2317="","",IFERROR(INDEX(Workers!$B$5:$B$2004,MATCH($D2317,Workers!$A$5:$A$2004,0)),"NOT FOUND"))</f>
        <v/>
      </c>
      <c r="J2317" s="24" t="str">
        <f aca="false">IF($D2317="","",IFERROR(INDEX(Workers!$C$5:$C$2004,MATCH($D2317,Workers!$A$5:$A$2004,0)),""))</f>
        <v/>
      </c>
      <c r="K2317" s="24" t="str">
        <f aca="false">IF($D2317="","",IFERROR(IF(INDEX(Workers!$D$5:$D$2004,MATCH($D2317,Workers!$A$5:$A$2004,0))=0,"",INDEX(Workers!$D$5:$D$2004,MATCH($D2317,Workers!$A$5:$A$2004,0))),""))</f>
        <v/>
      </c>
      <c r="L2317" s="24" t="str">
        <f aca="false">IF($D2317="","",IFERROR(INDEX(Workers!$E$5:$E$2004,MATCH($D2317,Workers!$A$5:$A$2004,0)),""))</f>
        <v/>
      </c>
      <c r="M2317" s="26" t="str">
        <f aca="false">IF($D2317="","",IFERROR(INDEX(ClientRates!$D$5:$D$500,MATCH($B2317&amp;"|"&amp;$L2317,ClientRates!$A$5:$A$500,0)),0))</f>
        <v/>
      </c>
      <c r="N2317" s="26" t="str">
        <f aca="false">IF($D2317="","",IFERROR(INDEX(ClientRates!$E$5:$E$500,MATCH($B2317&amp;"|"&amp;$L2317,ClientRates!$A$5:$A$500,0)),0))</f>
        <v/>
      </c>
      <c r="O2317" s="26" t="str">
        <f aca="false">IF($D2317="","",F2317*M2317+G2317*N2317)</f>
        <v/>
      </c>
      <c r="P2317" s="26" t="str">
        <f aca="false">IF(OR($D2317="",$J2317&lt;&gt;"Supplier"),"",IFERROR(INDEX(SupplierRates!$D$5:$D$500,MATCH($K2317&amp;"|"&amp;$L2317,SupplierRates!$A$5:$A$500,0)),0))</f>
        <v/>
      </c>
      <c r="Q2317" s="26" t="str">
        <f aca="false">IF(OR($D2317="",$J2317&lt;&gt;"Supplier"),"",IFERROR(INDEX(SupplierRates!$E$5:$E$500,MATCH($K2317&amp;"|"&amp;$L2317,SupplierRates!$A$5:$A$500,0)),0))</f>
        <v/>
      </c>
      <c r="R2317" s="26" t="n">
        <f aca="false">IF(OR($D2317="",$J2317&lt;&gt;"Supplier"),0,F2317*P2317+G2317*Q2317)</f>
        <v>0</v>
      </c>
      <c r="S2317" s="26" t="n">
        <f aca="false">IF(OR($D2317="",$J2317&lt;&gt;"Own"),0,IFERROR((F2317+G2317*Settings!$B$13)*INDEX(Workers!$V$5:$V$2004,MATCH($D2317,Workers!$A$5:$A$2004,0)),0))</f>
        <v>0</v>
      </c>
      <c r="T2317" s="26" t="str">
        <f aca="false">IF($D2317="","",O2317-R2317-S2317)</f>
        <v/>
      </c>
    </row>
    <row r="2318" customFormat="false" ht="15" hidden="false" customHeight="false" outlineLevel="0" collapsed="false">
      <c r="I2318" s="24" t="str">
        <f aca="false">IF($D2318="","",IFERROR(INDEX(Workers!$B$5:$B$2004,MATCH($D2318,Workers!$A$5:$A$2004,0)),"NOT FOUND"))</f>
        <v/>
      </c>
      <c r="J2318" s="24" t="str">
        <f aca="false">IF($D2318="","",IFERROR(INDEX(Workers!$C$5:$C$2004,MATCH($D2318,Workers!$A$5:$A$2004,0)),""))</f>
        <v/>
      </c>
      <c r="K2318" s="24" t="str">
        <f aca="false">IF($D2318="","",IFERROR(IF(INDEX(Workers!$D$5:$D$2004,MATCH($D2318,Workers!$A$5:$A$2004,0))=0,"",INDEX(Workers!$D$5:$D$2004,MATCH($D2318,Workers!$A$5:$A$2004,0))),""))</f>
        <v/>
      </c>
      <c r="L2318" s="24" t="str">
        <f aca="false">IF($D2318="","",IFERROR(INDEX(Workers!$E$5:$E$2004,MATCH($D2318,Workers!$A$5:$A$2004,0)),""))</f>
        <v/>
      </c>
      <c r="M2318" s="26" t="str">
        <f aca="false">IF($D2318="","",IFERROR(INDEX(ClientRates!$D$5:$D$500,MATCH($B2318&amp;"|"&amp;$L2318,ClientRates!$A$5:$A$500,0)),0))</f>
        <v/>
      </c>
      <c r="N2318" s="26" t="str">
        <f aca="false">IF($D2318="","",IFERROR(INDEX(ClientRates!$E$5:$E$500,MATCH($B2318&amp;"|"&amp;$L2318,ClientRates!$A$5:$A$500,0)),0))</f>
        <v/>
      </c>
      <c r="O2318" s="26" t="str">
        <f aca="false">IF($D2318="","",F2318*M2318+G2318*N2318)</f>
        <v/>
      </c>
      <c r="P2318" s="26" t="str">
        <f aca="false">IF(OR($D2318="",$J2318&lt;&gt;"Supplier"),"",IFERROR(INDEX(SupplierRates!$D$5:$D$500,MATCH($K2318&amp;"|"&amp;$L2318,SupplierRates!$A$5:$A$500,0)),0))</f>
        <v/>
      </c>
      <c r="Q2318" s="26" t="str">
        <f aca="false">IF(OR($D2318="",$J2318&lt;&gt;"Supplier"),"",IFERROR(INDEX(SupplierRates!$E$5:$E$500,MATCH($K2318&amp;"|"&amp;$L2318,SupplierRates!$A$5:$A$500,0)),0))</f>
        <v/>
      </c>
      <c r="R2318" s="26" t="n">
        <f aca="false">IF(OR($D2318="",$J2318&lt;&gt;"Supplier"),0,F2318*P2318+G2318*Q2318)</f>
        <v>0</v>
      </c>
      <c r="S2318" s="26" t="n">
        <f aca="false">IF(OR($D2318="",$J2318&lt;&gt;"Own"),0,IFERROR((F2318+G2318*Settings!$B$13)*INDEX(Workers!$V$5:$V$2004,MATCH($D2318,Workers!$A$5:$A$2004,0)),0))</f>
        <v>0</v>
      </c>
      <c r="T2318" s="26" t="str">
        <f aca="false">IF($D2318="","",O2318-R2318-S2318)</f>
        <v/>
      </c>
    </row>
    <row r="2319" customFormat="false" ht="15" hidden="false" customHeight="false" outlineLevel="0" collapsed="false">
      <c r="I2319" s="24" t="str">
        <f aca="false">IF($D2319="","",IFERROR(INDEX(Workers!$B$5:$B$2004,MATCH($D2319,Workers!$A$5:$A$2004,0)),"NOT FOUND"))</f>
        <v/>
      </c>
      <c r="J2319" s="24" t="str">
        <f aca="false">IF($D2319="","",IFERROR(INDEX(Workers!$C$5:$C$2004,MATCH($D2319,Workers!$A$5:$A$2004,0)),""))</f>
        <v/>
      </c>
      <c r="K2319" s="24" t="str">
        <f aca="false">IF($D2319="","",IFERROR(IF(INDEX(Workers!$D$5:$D$2004,MATCH($D2319,Workers!$A$5:$A$2004,0))=0,"",INDEX(Workers!$D$5:$D$2004,MATCH($D2319,Workers!$A$5:$A$2004,0))),""))</f>
        <v/>
      </c>
      <c r="L2319" s="24" t="str">
        <f aca="false">IF($D2319="","",IFERROR(INDEX(Workers!$E$5:$E$2004,MATCH($D2319,Workers!$A$5:$A$2004,0)),""))</f>
        <v/>
      </c>
      <c r="M2319" s="26" t="str">
        <f aca="false">IF($D2319="","",IFERROR(INDEX(ClientRates!$D$5:$D$500,MATCH($B2319&amp;"|"&amp;$L2319,ClientRates!$A$5:$A$500,0)),0))</f>
        <v/>
      </c>
      <c r="N2319" s="26" t="str">
        <f aca="false">IF($D2319="","",IFERROR(INDEX(ClientRates!$E$5:$E$500,MATCH($B2319&amp;"|"&amp;$L2319,ClientRates!$A$5:$A$500,0)),0))</f>
        <v/>
      </c>
      <c r="O2319" s="26" t="str">
        <f aca="false">IF($D2319="","",F2319*M2319+G2319*N2319)</f>
        <v/>
      </c>
      <c r="P2319" s="26" t="str">
        <f aca="false">IF(OR($D2319="",$J2319&lt;&gt;"Supplier"),"",IFERROR(INDEX(SupplierRates!$D$5:$D$500,MATCH($K2319&amp;"|"&amp;$L2319,SupplierRates!$A$5:$A$500,0)),0))</f>
        <v/>
      </c>
      <c r="Q2319" s="26" t="str">
        <f aca="false">IF(OR($D2319="",$J2319&lt;&gt;"Supplier"),"",IFERROR(INDEX(SupplierRates!$E$5:$E$500,MATCH($K2319&amp;"|"&amp;$L2319,SupplierRates!$A$5:$A$500,0)),0))</f>
        <v/>
      </c>
      <c r="R2319" s="26" t="n">
        <f aca="false">IF(OR($D2319="",$J2319&lt;&gt;"Supplier"),0,F2319*P2319+G2319*Q2319)</f>
        <v>0</v>
      </c>
      <c r="S2319" s="26" t="n">
        <f aca="false">IF(OR($D2319="",$J2319&lt;&gt;"Own"),0,IFERROR((F2319+G2319*Settings!$B$13)*INDEX(Workers!$V$5:$V$2004,MATCH($D2319,Workers!$A$5:$A$2004,0)),0))</f>
        <v>0</v>
      </c>
      <c r="T2319" s="26" t="str">
        <f aca="false">IF($D2319="","",O2319-R2319-S2319)</f>
        <v/>
      </c>
    </row>
    <row r="2320" customFormat="false" ht="15" hidden="false" customHeight="false" outlineLevel="0" collapsed="false">
      <c r="I2320" s="24" t="str">
        <f aca="false">IF($D2320="","",IFERROR(INDEX(Workers!$B$5:$B$2004,MATCH($D2320,Workers!$A$5:$A$2004,0)),"NOT FOUND"))</f>
        <v/>
      </c>
      <c r="J2320" s="24" t="str">
        <f aca="false">IF($D2320="","",IFERROR(INDEX(Workers!$C$5:$C$2004,MATCH($D2320,Workers!$A$5:$A$2004,0)),""))</f>
        <v/>
      </c>
      <c r="K2320" s="24" t="str">
        <f aca="false">IF($D2320="","",IFERROR(IF(INDEX(Workers!$D$5:$D$2004,MATCH($D2320,Workers!$A$5:$A$2004,0))=0,"",INDEX(Workers!$D$5:$D$2004,MATCH($D2320,Workers!$A$5:$A$2004,0))),""))</f>
        <v/>
      </c>
      <c r="L2320" s="24" t="str">
        <f aca="false">IF($D2320="","",IFERROR(INDEX(Workers!$E$5:$E$2004,MATCH($D2320,Workers!$A$5:$A$2004,0)),""))</f>
        <v/>
      </c>
      <c r="M2320" s="26" t="str">
        <f aca="false">IF($D2320="","",IFERROR(INDEX(ClientRates!$D$5:$D$500,MATCH($B2320&amp;"|"&amp;$L2320,ClientRates!$A$5:$A$500,0)),0))</f>
        <v/>
      </c>
      <c r="N2320" s="26" t="str">
        <f aca="false">IF($D2320="","",IFERROR(INDEX(ClientRates!$E$5:$E$500,MATCH($B2320&amp;"|"&amp;$L2320,ClientRates!$A$5:$A$500,0)),0))</f>
        <v/>
      </c>
      <c r="O2320" s="26" t="str">
        <f aca="false">IF($D2320="","",F2320*M2320+G2320*N2320)</f>
        <v/>
      </c>
      <c r="P2320" s="26" t="str">
        <f aca="false">IF(OR($D2320="",$J2320&lt;&gt;"Supplier"),"",IFERROR(INDEX(SupplierRates!$D$5:$D$500,MATCH($K2320&amp;"|"&amp;$L2320,SupplierRates!$A$5:$A$500,0)),0))</f>
        <v/>
      </c>
      <c r="Q2320" s="26" t="str">
        <f aca="false">IF(OR($D2320="",$J2320&lt;&gt;"Supplier"),"",IFERROR(INDEX(SupplierRates!$E$5:$E$500,MATCH($K2320&amp;"|"&amp;$L2320,SupplierRates!$A$5:$A$500,0)),0))</f>
        <v/>
      </c>
      <c r="R2320" s="26" t="n">
        <f aca="false">IF(OR($D2320="",$J2320&lt;&gt;"Supplier"),0,F2320*P2320+G2320*Q2320)</f>
        <v>0</v>
      </c>
      <c r="S2320" s="26" t="n">
        <f aca="false">IF(OR($D2320="",$J2320&lt;&gt;"Own"),0,IFERROR((F2320+G2320*Settings!$B$13)*INDEX(Workers!$V$5:$V$2004,MATCH($D2320,Workers!$A$5:$A$2004,0)),0))</f>
        <v>0</v>
      </c>
      <c r="T2320" s="26" t="str">
        <f aca="false">IF($D2320="","",O2320-R2320-S2320)</f>
        <v/>
      </c>
    </row>
    <row r="2321" customFormat="false" ht="15" hidden="false" customHeight="false" outlineLevel="0" collapsed="false">
      <c r="I2321" s="24" t="str">
        <f aca="false">IF($D2321="","",IFERROR(INDEX(Workers!$B$5:$B$2004,MATCH($D2321,Workers!$A$5:$A$2004,0)),"NOT FOUND"))</f>
        <v/>
      </c>
      <c r="J2321" s="24" t="str">
        <f aca="false">IF($D2321="","",IFERROR(INDEX(Workers!$C$5:$C$2004,MATCH($D2321,Workers!$A$5:$A$2004,0)),""))</f>
        <v/>
      </c>
      <c r="K2321" s="24" t="str">
        <f aca="false">IF($D2321="","",IFERROR(IF(INDEX(Workers!$D$5:$D$2004,MATCH($D2321,Workers!$A$5:$A$2004,0))=0,"",INDEX(Workers!$D$5:$D$2004,MATCH($D2321,Workers!$A$5:$A$2004,0))),""))</f>
        <v/>
      </c>
      <c r="L2321" s="24" t="str">
        <f aca="false">IF($D2321="","",IFERROR(INDEX(Workers!$E$5:$E$2004,MATCH($D2321,Workers!$A$5:$A$2004,0)),""))</f>
        <v/>
      </c>
      <c r="M2321" s="26" t="str">
        <f aca="false">IF($D2321="","",IFERROR(INDEX(ClientRates!$D$5:$D$500,MATCH($B2321&amp;"|"&amp;$L2321,ClientRates!$A$5:$A$500,0)),0))</f>
        <v/>
      </c>
      <c r="N2321" s="26" t="str">
        <f aca="false">IF($D2321="","",IFERROR(INDEX(ClientRates!$E$5:$E$500,MATCH($B2321&amp;"|"&amp;$L2321,ClientRates!$A$5:$A$500,0)),0))</f>
        <v/>
      </c>
      <c r="O2321" s="26" t="str">
        <f aca="false">IF($D2321="","",F2321*M2321+G2321*N2321)</f>
        <v/>
      </c>
      <c r="P2321" s="26" t="str">
        <f aca="false">IF(OR($D2321="",$J2321&lt;&gt;"Supplier"),"",IFERROR(INDEX(SupplierRates!$D$5:$D$500,MATCH($K2321&amp;"|"&amp;$L2321,SupplierRates!$A$5:$A$500,0)),0))</f>
        <v/>
      </c>
      <c r="Q2321" s="26" t="str">
        <f aca="false">IF(OR($D2321="",$J2321&lt;&gt;"Supplier"),"",IFERROR(INDEX(SupplierRates!$E$5:$E$500,MATCH($K2321&amp;"|"&amp;$L2321,SupplierRates!$A$5:$A$500,0)),0))</f>
        <v/>
      </c>
      <c r="R2321" s="26" t="n">
        <f aca="false">IF(OR($D2321="",$J2321&lt;&gt;"Supplier"),0,F2321*P2321+G2321*Q2321)</f>
        <v>0</v>
      </c>
      <c r="S2321" s="26" t="n">
        <f aca="false">IF(OR($D2321="",$J2321&lt;&gt;"Own"),0,IFERROR((F2321+G2321*Settings!$B$13)*INDEX(Workers!$V$5:$V$2004,MATCH($D2321,Workers!$A$5:$A$2004,0)),0))</f>
        <v>0</v>
      </c>
      <c r="T2321" s="26" t="str">
        <f aca="false">IF($D2321="","",O2321-R2321-S2321)</f>
        <v/>
      </c>
    </row>
    <row r="2322" customFormat="false" ht="15" hidden="false" customHeight="false" outlineLevel="0" collapsed="false">
      <c r="I2322" s="24" t="str">
        <f aca="false">IF($D2322="","",IFERROR(INDEX(Workers!$B$5:$B$2004,MATCH($D2322,Workers!$A$5:$A$2004,0)),"NOT FOUND"))</f>
        <v/>
      </c>
      <c r="J2322" s="24" t="str">
        <f aca="false">IF($D2322="","",IFERROR(INDEX(Workers!$C$5:$C$2004,MATCH($D2322,Workers!$A$5:$A$2004,0)),""))</f>
        <v/>
      </c>
      <c r="K2322" s="24" t="str">
        <f aca="false">IF($D2322="","",IFERROR(IF(INDEX(Workers!$D$5:$D$2004,MATCH($D2322,Workers!$A$5:$A$2004,0))=0,"",INDEX(Workers!$D$5:$D$2004,MATCH($D2322,Workers!$A$5:$A$2004,0))),""))</f>
        <v/>
      </c>
      <c r="L2322" s="24" t="str">
        <f aca="false">IF($D2322="","",IFERROR(INDEX(Workers!$E$5:$E$2004,MATCH($D2322,Workers!$A$5:$A$2004,0)),""))</f>
        <v/>
      </c>
      <c r="M2322" s="26" t="str">
        <f aca="false">IF($D2322="","",IFERROR(INDEX(ClientRates!$D$5:$D$500,MATCH($B2322&amp;"|"&amp;$L2322,ClientRates!$A$5:$A$500,0)),0))</f>
        <v/>
      </c>
      <c r="N2322" s="26" t="str">
        <f aca="false">IF($D2322="","",IFERROR(INDEX(ClientRates!$E$5:$E$500,MATCH($B2322&amp;"|"&amp;$L2322,ClientRates!$A$5:$A$500,0)),0))</f>
        <v/>
      </c>
      <c r="O2322" s="26" t="str">
        <f aca="false">IF($D2322="","",F2322*M2322+G2322*N2322)</f>
        <v/>
      </c>
      <c r="P2322" s="26" t="str">
        <f aca="false">IF(OR($D2322="",$J2322&lt;&gt;"Supplier"),"",IFERROR(INDEX(SupplierRates!$D$5:$D$500,MATCH($K2322&amp;"|"&amp;$L2322,SupplierRates!$A$5:$A$500,0)),0))</f>
        <v/>
      </c>
      <c r="Q2322" s="26" t="str">
        <f aca="false">IF(OR($D2322="",$J2322&lt;&gt;"Supplier"),"",IFERROR(INDEX(SupplierRates!$E$5:$E$500,MATCH($K2322&amp;"|"&amp;$L2322,SupplierRates!$A$5:$A$500,0)),0))</f>
        <v/>
      </c>
      <c r="R2322" s="26" t="n">
        <f aca="false">IF(OR($D2322="",$J2322&lt;&gt;"Supplier"),0,F2322*P2322+G2322*Q2322)</f>
        <v>0</v>
      </c>
      <c r="S2322" s="26" t="n">
        <f aca="false">IF(OR($D2322="",$J2322&lt;&gt;"Own"),0,IFERROR((F2322+G2322*Settings!$B$13)*INDEX(Workers!$V$5:$V$2004,MATCH($D2322,Workers!$A$5:$A$2004,0)),0))</f>
        <v>0</v>
      </c>
      <c r="T2322" s="26" t="str">
        <f aca="false">IF($D2322="","",O2322-R2322-S2322)</f>
        <v/>
      </c>
    </row>
    <row r="2323" customFormat="false" ht="15" hidden="false" customHeight="false" outlineLevel="0" collapsed="false">
      <c r="I2323" s="24" t="str">
        <f aca="false">IF($D2323="","",IFERROR(INDEX(Workers!$B$5:$B$2004,MATCH($D2323,Workers!$A$5:$A$2004,0)),"NOT FOUND"))</f>
        <v/>
      </c>
      <c r="J2323" s="24" t="str">
        <f aca="false">IF($D2323="","",IFERROR(INDEX(Workers!$C$5:$C$2004,MATCH($D2323,Workers!$A$5:$A$2004,0)),""))</f>
        <v/>
      </c>
      <c r="K2323" s="24" t="str">
        <f aca="false">IF($D2323="","",IFERROR(IF(INDEX(Workers!$D$5:$D$2004,MATCH($D2323,Workers!$A$5:$A$2004,0))=0,"",INDEX(Workers!$D$5:$D$2004,MATCH($D2323,Workers!$A$5:$A$2004,0))),""))</f>
        <v/>
      </c>
      <c r="L2323" s="24" t="str">
        <f aca="false">IF($D2323="","",IFERROR(INDEX(Workers!$E$5:$E$2004,MATCH($D2323,Workers!$A$5:$A$2004,0)),""))</f>
        <v/>
      </c>
      <c r="M2323" s="26" t="str">
        <f aca="false">IF($D2323="","",IFERROR(INDEX(ClientRates!$D$5:$D$500,MATCH($B2323&amp;"|"&amp;$L2323,ClientRates!$A$5:$A$500,0)),0))</f>
        <v/>
      </c>
      <c r="N2323" s="26" t="str">
        <f aca="false">IF($D2323="","",IFERROR(INDEX(ClientRates!$E$5:$E$500,MATCH($B2323&amp;"|"&amp;$L2323,ClientRates!$A$5:$A$500,0)),0))</f>
        <v/>
      </c>
      <c r="O2323" s="26" t="str">
        <f aca="false">IF($D2323="","",F2323*M2323+G2323*N2323)</f>
        <v/>
      </c>
      <c r="P2323" s="26" t="str">
        <f aca="false">IF(OR($D2323="",$J2323&lt;&gt;"Supplier"),"",IFERROR(INDEX(SupplierRates!$D$5:$D$500,MATCH($K2323&amp;"|"&amp;$L2323,SupplierRates!$A$5:$A$500,0)),0))</f>
        <v/>
      </c>
      <c r="Q2323" s="26" t="str">
        <f aca="false">IF(OR($D2323="",$J2323&lt;&gt;"Supplier"),"",IFERROR(INDEX(SupplierRates!$E$5:$E$500,MATCH($K2323&amp;"|"&amp;$L2323,SupplierRates!$A$5:$A$500,0)),0))</f>
        <v/>
      </c>
      <c r="R2323" s="26" t="n">
        <f aca="false">IF(OR($D2323="",$J2323&lt;&gt;"Supplier"),0,F2323*P2323+G2323*Q2323)</f>
        <v>0</v>
      </c>
      <c r="S2323" s="26" t="n">
        <f aca="false">IF(OR($D2323="",$J2323&lt;&gt;"Own"),0,IFERROR((F2323+G2323*Settings!$B$13)*INDEX(Workers!$V$5:$V$2004,MATCH($D2323,Workers!$A$5:$A$2004,0)),0))</f>
        <v>0</v>
      </c>
      <c r="T2323" s="26" t="str">
        <f aca="false">IF($D2323="","",O2323-R2323-S2323)</f>
        <v/>
      </c>
    </row>
    <row r="2324" customFormat="false" ht="15" hidden="false" customHeight="false" outlineLevel="0" collapsed="false">
      <c r="I2324" s="24" t="str">
        <f aca="false">IF($D2324="","",IFERROR(INDEX(Workers!$B$5:$B$2004,MATCH($D2324,Workers!$A$5:$A$2004,0)),"NOT FOUND"))</f>
        <v/>
      </c>
      <c r="J2324" s="24" t="str">
        <f aca="false">IF($D2324="","",IFERROR(INDEX(Workers!$C$5:$C$2004,MATCH($D2324,Workers!$A$5:$A$2004,0)),""))</f>
        <v/>
      </c>
      <c r="K2324" s="24" t="str">
        <f aca="false">IF($D2324="","",IFERROR(IF(INDEX(Workers!$D$5:$D$2004,MATCH($D2324,Workers!$A$5:$A$2004,0))=0,"",INDEX(Workers!$D$5:$D$2004,MATCH($D2324,Workers!$A$5:$A$2004,0))),""))</f>
        <v/>
      </c>
      <c r="L2324" s="24" t="str">
        <f aca="false">IF($D2324="","",IFERROR(INDEX(Workers!$E$5:$E$2004,MATCH($D2324,Workers!$A$5:$A$2004,0)),""))</f>
        <v/>
      </c>
      <c r="M2324" s="26" t="str">
        <f aca="false">IF($D2324="","",IFERROR(INDEX(ClientRates!$D$5:$D$500,MATCH($B2324&amp;"|"&amp;$L2324,ClientRates!$A$5:$A$500,0)),0))</f>
        <v/>
      </c>
      <c r="N2324" s="26" t="str">
        <f aca="false">IF($D2324="","",IFERROR(INDEX(ClientRates!$E$5:$E$500,MATCH($B2324&amp;"|"&amp;$L2324,ClientRates!$A$5:$A$500,0)),0))</f>
        <v/>
      </c>
      <c r="O2324" s="26" t="str">
        <f aca="false">IF($D2324="","",F2324*M2324+G2324*N2324)</f>
        <v/>
      </c>
      <c r="P2324" s="26" t="str">
        <f aca="false">IF(OR($D2324="",$J2324&lt;&gt;"Supplier"),"",IFERROR(INDEX(SupplierRates!$D$5:$D$500,MATCH($K2324&amp;"|"&amp;$L2324,SupplierRates!$A$5:$A$500,0)),0))</f>
        <v/>
      </c>
      <c r="Q2324" s="26" t="str">
        <f aca="false">IF(OR($D2324="",$J2324&lt;&gt;"Supplier"),"",IFERROR(INDEX(SupplierRates!$E$5:$E$500,MATCH($K2324&amp;"|"&amp;$L2324,SupplierRates!$A$5:$A$500,0)),0))</f>
        <v/>
      </c>
      <c r="R2324" s="26" t="n">
        <f aca="false">IF(OR($D2324="",$J2324&lt;&gt;"Supplier"),0,F2324*P2324+G2324*Q2324)</f>
        <v>0</v>
      </c>
      <c r="S2324" s="26" t="n">
        <f aca="false">IF(OR($D2324="",$J2324&lt;&gt;"Own"),0,IFERROR((F2324+G2324*Settings!$B$13)*INDEX(Workers!$V$5:$V$2004,MATCH($D2324,Workers!$A$5:$A$2004,0)),0))</f>
        <v>0</v>
      </c>
      <c r="T2324" s="26" t="str">
        <f aca="false">IF($D2324="","",O2324-R2324-S2324)</f>
        <v/>
      </c>
    </row>
    <row r="2325" customFormat="false" ht="15" hidden="false" customHeight="false" outlineLevel="0" collapsed="false">
      <c r="I2325" s="24" t="str">
        <f aca="false">IF($D2325="","",IFERROR(INDEX(Workers!$B$5:$B$2004,MATCH($D2325,Workers!$A$5:$A$2004,0)),"NOT FOUND"))</f>
        <v/>
      </c>
      <c r="J2325" s="24" t="str">
        <f aca="false">IF($D2325="","",IFERROR(INDEX(Workers!$C$5:$C$2004,MATCH($D2325,Workers!$A$5:$A$2004,0)),""))</f>
        <v/>
      </c>
      <c r="K2325" s="24" t="str">
        <f aca="false">IF($D2325="","",IFERROR(IF(INDEX(Workers!$D$5:$D$2004,MATCH($D2325,Workers!$A$5:$A$2004,0))=0,"",INDEX(Workers!$D$5:$D$2004,MATCH($D2325,Workers!$A$5:$A$2004,0))),""))</f>
        <v/>
      </c>
      <c r="L2325" s="24" t="str">
        <f aca="false">IF($D2325="","",IFERROR(INDEX(Workers!$E$5:$E$2004,MATCH($D2325,Workers!$A$5:$A$2004,0)),""))</f>
        <v/>
      </c>
      <c r="M2325" s="26" t="str">
        <f aca="false">IF($D2325="","",IFERROR(INDEX(ClientRates!$D$5:$D$500,MATCH($B2325&amp;"|"&amp;$L2325,ClientRates!$A$5:$A$500,0)),0))</f>
        <v/>
      </c>
      <c r="N2325" s="26" t="str">
        <f aca="false">IF($D2325="","",IFERROR(INDEX(ClientRates!$E$5:$E$500,MATCH($B2325&amp;"|"&amp;$L2325,ClientRates!$A$5:$A$500,0)),0))</f>
        <v/>
      </c>
      <c r="O2325" s="26" t="str">
        <f aca="false">IF($D2325="","",F2325*M2325+G2325*N2325)</f>
        <v/>
      </c>
      <c r="P2325" s="26" t="str">
        <f aca="false">IF(OR($D2325="",$J2325&lt;&gt;"Supplier"),"",IFERROR(INDEX(SupplierRates!$D$5:$D$500,MATCH($K2325&amp;"|"&amp;$L2325,SupplierRates!$A$5:$A$500,0)),0))</f>
        <v/>
      </c>
      <c r="Q2325" s="26" t="str">
        <f aca="false">IF(OR($D2325="",$J2325&lt;&gt;"Supplier"),"",IFERROR(INDEX(SupplierRates!$E$5:$E$500,MATCH($K2325&amp;"|"&amp;$L2325,SupplierRates!$A$5:$A$500,0)),0))</f>
        <v/>
      </c>
      <c r="R2325" s="26" t="n">
        <f aca="false">IF(OR($D2325="",$J2325&lt;&gt;"Supplier"),0,F2325*P2325+G2325*Q2325)</f>
        <v>0</v>
      </c>
      <c r="S2325" s="26" t="n">
        <f aca="false">IF(OR($D2325="",$J2325&lt;&gt;"Own"),0,IFERROR((F2325+G2325*Settings!$B$13)*INDEX(Workers!$V$5:$V$2004,MATCH($D2325,Workers!$A$5:$A$2004,0)),0))</f>
        <v>0</v>
      </c>
      <c r="T2325" s="26" t="str">
        <f aca="false">IF($D2325="","",O2325-R2325-S2325)</f>
        <v/>
      </c>
    </row>
    <row r="2326" customFormat="false" ht="15" hidden="false" customHeight="false" outlineLevel="0" collapsed="false">
      <c r="I2326" s="24" t="str">
        <f aca="false">IF($D2326="","",IFERROR(INDEX(Workers!$B$5:$B$2004,MATCH($D2326,Workers!$A$5:$A$2004,0)),"NOT FOUND"))</f>
        <v/>
      </c>
      <c r="J2326" s="24" t="str">
        <f aca="false">IF($D2326="","",IFERROR(INDEX(Workers!$C$5:$C$2004,MATCH($D2326,Workers!$A$5:$A$2004,0)),""))</f>
        <v/>
      </c>
      <c r="K2326" s="24" t="str">
        <f aca="false">IF($D2326="","",IFERROR(IF(INDEX(Workers!$D$5:$D$2004,MATCH($D2326,Workers!$A$5:$A$2004,0))=0,"",INDEX(Workers!$D$5:$D$2004,MATCH($D2326,Workers!$A$5:$A$2004,0))),""))</f>
        <v/>
      </c>
      <c r="L2326" s="24" t="str">
        <f aca="false">IF($D2326="","",IFERROR(INDEX(Workers!$E$5:$E$2004,MATCH($D2326,Workers!$A$5:$A$2004,0)),""))</f>
        <v/>
      </c>
      <c r="M2326" s="26" t="str">
        <f aca="false">IF($D2326="","",IFERROR(INDEX(ClientRates!$D$5:$D$500,MATCH($B2326&amp;"|"&amp;$L2326,ClientRates!$A$5:$A$500,0)),0))</f>
        <v/>
      </c>
      <c r="N2326" s="26" t="str">
        <f aca="false">IF($D2326="","",IFERROR(INDEX(ClientRates!$E$5:$E$500,MATCH($B2326&amp;"|"&amp;$L2326,ClientRates!$A$5:$A$500,0)),0))</f>
        <v/>
      </c>
      <c r="O2326" s="26" t="str">
        <f aca="false">IF($D2326="","",F2326*M2326+G2326*N2326)</f>
        <v/>
      </c>
      <c r="P2326" s="26" t="str">
        <f aca="false">IF(OR($D2326="",$J2326&lt;&gt;"Supplier"),"",IFERROR(INDEX(SupplierRates!$D$5:$D$500,MATCH($K2326&amp;"|"&amp;$L2326,SupplierRates!$A$5:$A$500,0)),0))</f>
        <v/>
      </c>
      <c r="Q2326" s="26" t="str">
        <f aca="false">IF(OR($D2326="",$J2326&lt;&gt;"Supplier"),"",IFERROR(INDEX(SupplierRates!$E$5:$E$500,MATCH($K2326&amp;"|"&amp;$L2326,SupplierRates!$A$5:$A$500,0)),0))</f>
        <v/>
      </c>
      <c r="R2326" s="26" t="n">
        <f aca="false">IF(OR($D2326="",$J2326&lt;&gt;"Supplier"),0,F2326*P2326+G2326*Q2326)</f>
        <v>0</v>
      </c>
      <c r="S2326" s="26" t="n">
        <f aca="false">IF(OR($D2326="",$J2326&lt;&gt;"Own"),0,IFERROR((F2326+G2326*Settings!$B$13)*INDEX(Workers!$V$5:$V$2004,MATCH($D2326,Workers!$A$5:$A$2004,0)),0))</f>
        <v>0</v>
      </c>
      <c r="T2326" s="26" t="str">
        <f aca="false">IF($D2326="","",O2326-R2326-S2326)</f>
        <v/>
      </c>
    </row>
    <row r="2327" customFormat="false" ht="15" hidden="false" customHeight="false" outlineLevel="0" collapsed="false">
      <c r="I2327" s="24" t="str">
        <f aca="false">IF($D2327="","",IFERROR(INDEX(Workers!$B$5:$B$2004,MATCH($D2327,Workers!$A$5:$A$2004,0)),"NOT FOUND"))</f>
        <v/>
      </c>
      <c r="J2327" s="24" t="str">
        <f aca="false">IF($D2327="","",IFERROR(INDEX(Workers!$C$5:$C$2004,MATCH($D2327,Workers!$A$5:$A$2004,0)),""))</f>
        <v/>
      </c>
      <c r="K2327" s="24" t="str">
        <f aca="false">IF($D2327="","",IFERROR(IF(INDEX(Workers!$D$5:$D$2004,MATCH($D2327,Workers!$A$5:$A$2004,0))=0,"",INDEX(Workers!$D$5:$D$2004,MATCH($D2327,Workers!$A$5:$A$2004,0))),""))</f>
        <v/>
      </c>
      <c r="L2327" s="24" t="str">
        <f aca="false">IF($D2327="","",IFERROR(INDEX(Workers!$E$5:$E$2004,MATCH($D2327,Workers!$A$5:$A$2004,0)),""))</f>
        <v/>
      </c>
      <c r="M2327" s="26" t="str">
        <f aca="false">IF($D2327="","",IFERROR(INDEX(ClientRates!$D$5:$D$500,MATCH($B2327&amp;"|"&amp;$L2327,ClientRates!$A$5:$A$500,0)),0))</f>
        <v/>
      </c>
      <c r="N2327" s="26" t="str">
        <f aca="false">IF($D2327="","",IFERROR(INDEX(ClientRates!$E$5:$E$500,MATCH($B2327&amp;"|"&amp;$L2327,ClientRates!$A$5:$A$500,0)),0))</f>
        <v/>
      </c>
      <c r="O2327" s="26" t="str">
        <f aca="false">IF($D2327="","",F2327*M2327+G2327*N2327)</f>
        <v/>
      </c>
      <c r="P2327" s="26" t="str">
        <f aca="false">IF(OR($D2327="",$J2327&lt;&gt;"Supplier"),"",IFERROR(INDEX(SupplierRates!$D$5:$D$500,MATCH($K2327&amp;"|"&amp;$L2327,SupplierRates!$A$5:$A$500,0)),0))</f>
        <v/>
      </c>
      <c r="Q2327" s="26" t="str">
        <f aca="false">IF(OR($D2327="",$J2327&lt;&gt;"Supplier"),"",IFERROR(INDEX(SupplierRates!$E$5:$E$500,MATCH($K2327&amp;"|"&amp;$L2327,SupplierRates!$A$5:$A$500,0)),0))</f>
        <v/>
      </c>
      <c r="R2327" s="26" t="n">
        <f aca="false">IF(OR($D2327="",$J2327&lt;&gt;"Supplier"),0,F2327*P2327+G2327*Q2327)</f>
        <v>0</v>
      </c>
      <c r="S2327" s="26" t="n">
        <f aca="false">IF(OR($D2327="",$J2327&lt;&gt;"Own"),0,IFERROR((F2327+G2327*Settings!$B$13)*INDEX(Workers!$V$5:$V$2004,MATCH($D2327,Workers!$A$5:$A$2004,0)),0))</f>
        <v>0</v>
      </c>
      <c r="T2327" s="26" t="str">
        <f aca="false">IF($D2327="","",O2327-R2327-S2327)</f>
        <v/>
      </c>
    </row>
    <row r="2328" customFormat="false" ht="15" hidden="false" customHeight="false" outlineLevel="0" collapsed="false">
      <c r="I2328" s="24" t="str">
        <f aca="false">IF($D2328="","",IFERROR(INDEX(Workers!$B$5:$B$2004,MATCH($D2328,Workers!$A$5:$A$2004,0)),"NOT FOUND"))</f>
        <v/>
      </c>
      <c r="J2328" s="24" t="str">
        <f aca="false">IF($D2328="","",IFERROR(INDEX(Workers!$C$5:$C$2004,MATCH($D2328,Workers!$A$5:$A$2004,0)),""))</f>
        <v/>
      </c>
      <c r="K2328" s="24" t="str">
        <f aca="false">IF($D2328="","",IFERROR(IF(INDEX(Workers!$D$5:$D$2004,MATCH($D2328,Workers!$A$5:$A$2004,0))=0,"",INDEX(Workers!$D$5:$D$2004,MATCH($D2328,Workers!$A$5:$A$2004,0))),""))</f>
        <v/>
      </c>
      <c r="L2328" s="24" t="str">
        <f aca="false">IF($D2328="","",IFERROR(INDEX(Workers!$E$5:$E$2004,MATCH($D2328,Workers!$A$5:$A$2004,0)),""))</f>
        <v/>
      </c>
      <c r="M2328" s="26" t="str">
        <f aca="false">IF($D2328="","",IFERROR(INDEX(ClientRates!$D$5:$D$500,MATCH($B2328&amp;"|"&amp;$L2328,ClientRates!$A$5:$A$500,0)),0))</f>
        <v/>
      </c>
      <c r="N2328" s="26" t="str">
        <f aca="false">IF($D2328="","",IFERROR(INDEX(ClientRates!$E$5:$E$500,MATCH($B2328&amp;"|"&amp;$L2328,ClientRates!$A$5:$A$500,0)),0))</f>
        <v/>
      </c>
      <c r="O2328" s="26" t="str">
        <f aca="false">IF($D2328="","",F2328*M2328+G2328*N2328)</f>
        <v/>
      </c>
      <c r="P2328" s="26" t="str">
        <f aca="false">IF(OR($D2328="",$J2328&lt;&gt;"Supplier"),"",IFERROR(INDEX(SupplierRates!$D$5:$D$500,MATCH($K2328&amp;"|"&amp;$L2328,SupplierRates!$A$5:$A$500,0)),0))</f>
        <v/>
      </c>
      <c r="Q2328" s="26" t="str">
        <f aca="false">IF(OR($D2328="",$J2328&lt;&gt;"Supplier"),"",IFERROR(INDEX(SupplierRates!$E$5:$E$500,MATCH($K2328&amp;"|"&amp;$L2328,SupplierRates!$A$5:$A$500,0)),0))</f>
        <v/>
      </c>
      <c r="R2328" s="26" t="n">
        <f aca="false">IF(OR($D2328="",$J2328&lt;&gt;"Supplier"),0,F2328*P2328+G2328*Q2328)</f>
        <v>0</v>
      </c>
      <c r="S2328" s="26" t="n">
        <f aca="false">IF(OR($D2328="",$J2328&lt;&gt;"Own"),0,IFERROR((F2328+G2328*Settings!$B$13)*INDEX(Workers!$V$5:$V$2004,MATCH($D2328,Workers!$A$5:$A$2004,0)),0))</f>
        <v>0</v>
      </c>
      <c r="T2328" s="26" t="str">
        <f aca="false">IF($D2328="","",O2328-R2328-S2328)</f>
        <v/>
      </c>
    </row>
    <row r="2329" customFormat="false" ht="15" hidden="false" customHeight="false" outlineLevel="0" collapsed="false">
      <c r="I2329" s="24" t="str">
        <f aca="false">IF($D2329="","",IFERROR(INDEX(Workers!$B$5:$B$2004,MATCH($D2329,Workers!$A$5:$A$2004,0)),"NOT FOUND"))</f>
        <v/>
      </c>
      <c r="J2329" s="24" t="str">
        <f aca="false">IF($D2329="","",IFERROR(INDEX(Workers!$C$5:$C$2004,MATCH($D2329,Workers!$A$5:$A$2004,0)),""))</f>
        <v/>
      </c>
      <c r="K2329" s="24" t="str">
        <f aca="false">IF($D2329="","",IFERROR(IF(INDEX(Workers!$D$5:$D$2004,MATCH($D2329,Workers!$A$5:$A$2004,0))=0,"",INDEX(Workers!$D$5:$D$2004,MATCH($D2329,Workers!$A$5:$A$2004,0))),""))</f>
        <v/>
      </c>
      <c r="L2329" s="24" t="str">
        <f aca="false">IF($D2329="","",IFERROR(INDEX(Workers!$E$5:$E$2004,MATCH($D2329,Workers!$A$5:$A$2004,0)),""))</f>
        <v/>
      </c>
      <c r="M2329" s="26" t="str">
        <f aca="false">IF($D2329="","",IFERROR(INDEX(ClientRates!$D$5:$D$500,MATCH($B2329&amp;"|"&amp;$L2329,ClientRates!$A$5:$A$500,0)),0))</f>
        <v/>
      </c>
      <c r="N2329" s="26" t="str">
        <f aca="false">IF($D2329="","",IFERROR(INDEX(ClientRates!$E$5:$E$500,MATCH($B2329&amp;"|"&amp;$L2329,ClientRates!$A$5:$A$500,0)),0))</f>
        <v/>
      </c>
      <c r="O2329" s="26" t="str">
        <f aca="false">IF($D2329="","",F2329*M2329+G2329*N2329)</f>
        <v/>
      </c>
      <c r="P2329" s="26" t="str">
        <f aca="false">IF(OR($D2329="",$J2329&lt;&gt;"Supplier"),"",IFERROR(INDEX(SupplierRates!$D$5:$D$500,MATCH($K2329&amp;"|"&amp;$L2329,SupplierRates!$A$5:$A$500,0)),0))</f>
        <v/>
      </c>
      <c r="Q2329" s="26" t="str">
        <f aca="false">IF(OR($D2329="",$J2329&lt;&gt;"Supplier"),"",IFERROR(INDEX(SupplierRates!$E$5:$E$500,MATCH($K2329&amp;"|"&amp;$L2329,SupplierRates!$A$5:$A$500,0)),0))</f>
        <v/>
      </c>
      <c r="R2329" s="26" t="n">
        <f aca="false">IF(OR($D2329="",$J2329&lt;&gt;"Supplier"),0,F2329*P2329+G2329*Q2329)</f>
        <v>0</v>
      </c>
      <c r="S2329" s="26" t="n">
        <f aca="false">IF(OR($D2329="",$J2329&lt;&gt;"Own"),0,IFERROR((F2329+G2329*Settings!$B$13)*INDEX(Workers!$V$5:$V$2004,MATCH($D2329,Workers!$A$5:$A$2004,0)),0))</f>
        <v>0</v>
      </c>
      <c r="T2329" s="26" t="str">
        <f aca="false">IF($D2329="","",O2329-R2329-S2329)</f>
        <v/>
      </c>
    </row>
    <row r="2330" customFormat="false" ht="15" hidden="false" customHeight="false" outlineLevel="0" collapsed="false">
      <c r="I2330" s="24" t="str">
        <f aca="false">IF($D2330="","",IFERROR(INDEX(Workers!$B$5:$B$2004,MATCH($D2330,Workers!$A$5:$A$2004,0)),"NOT FOUND"))</f>
        <v/>
      </c>
      <c r="J2330" s="24" t="str">
        <f aca="false">IF($D2330="","",IFERROR(INDEX(Workers!$C$5:$C$2004,MATCH($D2330,Workers!$A$5:$A$2004,0)),""))</f>
        <v/>
      </c>
      <c r="K2330" s="24" t="str">
        <f aca="false">IF($D2330="","",IFERROR(IF(INDEX(Workers!$D$5:$D$2004,MATCH($D2330,Workers!$A$5:$A$2004,0))=0,"",INDEX(Workers!$D$5:$D$2004,MATCH($D2330,Workers!$A$5:$A$2004,0))),""))</f>
        <v/>
      </c>
      <c r="L2330" s="24" t="str">
        <f aca="false">IF($D2330="","",IFERROR(INDEX(Workers!$E$5:$E$2004,MATCH($D2330,Workers!$A$5:$A$2004,0)),""))</f>
        <v/>
      </c>
      <c r="M2330" s="26" t="str">
        <f aca="false">IF($D2330="","",IFERROR(INDEX(ClientRates!$D$5:$D$500,MATCH($B2330&amp;"|"&amp;$L2330,ClientRates!$A$5:$A$500,0)),0))</f>
        <v/>
      </c>
      <c r="N2330" s="26" t="str">
        <f aca="false">IF($D2330="","",IFERROR(INDEX(ClientRates!$E$5:$E$500,MATCH($B2330&amp;"|"&amp;$L2330,ClientRates!$A$5:$A$500,0)),0))</f>
        <v/>
      </c>
      <c r="O2330" s="26" t="str">
        <f aca="false">IF($D2330="","",F2330*M2330+G2330*N2330)</f>
        <v/>
      </c>
      <c r="P2330" s="26" t="str">
        <f aca="false">IF(OR($D2330="",$J2330&lt;&gt;"Supplier"),"",IFERROR(INDEX(SupplierRates!$D$5:$D$500,MATCH($K2330&amp;"|"&amp;$L2330,SupplierRates!$A$5:$A$500,0)),0))</f>
        <v/>
      </c>
      <c r="Q2330" s="26" t="str">
        <f aca="false">IF(OR($D2330="",$J2330&lt;&gt;"Supplier"),"",IFERROR(INDEX(SupplierRates!$E$5:$E$500,MATCH($K2330&amp;"|"&amp;$L2330,SupplierRates!$A$5:$A$500,0)),0))</f>
        <v/>
      </c>
      <c r="R2330" s="26" t="n">
        <f aca="false">IF(OR($D2330="",$J2330&lt;&gt;"Supplier"),0,F2330*P2330+G2330*Q2330)</f>
        <v>0</v>
      </c>
      <c r="S2330" s="26" t="n">
        <f aca="false">IF(OR($D2330="",$J2330&lt;&gt;"Own"),0,IFERROR((F2330+G2330*Settings!$B$13)*INDEX(Workers!$V$5:$V$2004,MATCH($D2330,Workers!$A$5:$A$2004,0)),0))</f>
        <v>0</v>
      </c>
      <c r="T2330" s="26" t="str">
        <f aca="false">IF($D2330="","",O2330-R2330-S2330)</f>
        <v/>
      </c>
    </row>
    <row r="2331" customFormat="false" ht="15" hidden="false" customHeight="false" outlineLevel="0" collapsed="false">
      <c r="I2331" s="24" t="str">
        <f aca="false">IF($D2331="","",IFERROR(INDEX(Workers!$B$5:$B$2004,MATCH($D2331,Workers!$A$5:$A$2004,0)),"NOT FOUND"))</f>
        <v/>
      </c>
      <c r="J2331" s="24" t="str">
        <f aca="false">IF($D2331="","",IFERROR(INDEX(Workers!$C$5:$C$2004,MATCH($D2331,Workers!$A$5:$A$2004,0)),""))</f>
        <v/>
      </c>
      <c r="K2331" s="24" t="str">
        <f aca="false">IF($D2331="","",IFERROR(IF(INDEX(Workers!$D$5:$D$2004,MATCH($D2331,Workers!$A$5:$A$2004,0))=0,"",INDEX(Workers!$D$5:$D$2004,MATCH($D2331,Workers!$A$5:$A$2004,0))),""))</f>
        <v/>
      </c>
      <c r="L2331" s="24" t="str">
        <f aca="false">IF($D2331="","",IFERROR(INDEX(Workers!$E$5:$E$2004,MATCH($D2331,Workers!$A$5:$A$2004,0)),""))</f>
        <v/>
      </c>
      <c r="M2331" s="26" t="str">
        <f aca="false">IF($D2331="","",IFERROR(INDEX(ClientRates!$D$5:$D$500,MATCH($B2331&amp;"|"&amp;$L2331,ClientRates!$A$5:$A$500,0)),0))</f>
        <v/>
      </c>
      <c r="N2331" s="26" t="str">
        <f aca="false">IF($D2331="","",IFERROR(INDEX(ClientRates!$E$5:$E$500,MATCH($B2331&amp;"|"&amp;$L2331,ClientRates!$A$5:$A$500,0)),0))</f>
        <v/>
      </c>
      <c r="O2331" s="26" t="str">
        <f aca="false">IF($D2331="","",F2331*M2331+G2331*N2331)</f>
        <v/>
      </c>
      <c r="P2331" s="26" t="str">
        <f aca="false">IF(OR($D2331="",$J2331&lt;&gt;"Supplier"),"",IFERROR(INDEX(SupplierRates!$D$5:$D$500,MATCH($K2331&amp;"|"&amp;$L2331,SupplierRates!$A$5:$A$500,0)),0))</f>
        <v/>
      </c>
      <c r="Q2331" s="26" t="str">
        <f aca="false">IF(OR($D2331="",$J2331&lt;&gt;"Supplier"),"",IFERROR(INDEX(SupplierRates!$E$5:$E$500,MATCH($K2331&amp;"|"&amp;$L2331,SupplierRates!$A$5:$A$500,0)),0))</f>
        <v/>
      </c>
      <c r="R2331" s="26" t="n">
        <f aca="false">IF(OR($D2331="",$J2331&lt;&gt;"Supplier"),0,F2331*P2331+G2331*Q2331)</f>
        <v>0</v>
      </c>
      <c r="S2331" s="26" t="n">
        <f aca="false">IF(OR($D2331="",$J2331&lt;&gt;"Own"),0,IFERROR((F2331+G2331*Settings!$B$13)*INDEX(Workers!$V$5:$V$2004,MATCH($D2331,Workers!$A$5:$A$2004,0)),0))</f>
        <v>0</v>
      </c>
      <c r="T2331" s="26" t="str">
        <f aca="false">IF($D2331="","",O2331-R2331-S2331)</f>
        <v/>
      </c>
    </row>
    <row r="2332" customFormat="false" ht="15" hidden="false" customHeight="false" outlineLevel="0" collapsed="false">
      <c r="I2332" s="24" t="str">
        <f aca="false">IF($D2332="","",IFERROR(INDEX(Workers!$B$5:$B$2004,MATCH($D2332,Workers!$A$5:$A$2004,0)),"NOT FOUND"))</f>
        <v/>
      </c>
      <c r="J2332" s="24" t="str">
        <f aca="false">IF($D2332="","",IFERROR(INDEX(Workers!$C$5:$C$2004,MATCH($D2332,Workers!$A$5:$A$2004,0)),""))</f>
        <v/>
      </c>
      <c r="K2332" s="24" t="str">
        <f aca="false">IF($D2332="","",IFERROR(IF(INDEX(Workers!$D$5:$D$2004,MATCH($D2332,Workers!$A$5:$A$2004,0))=0,"",INDEX(Workers!$D$5:$D$2004,MATCH($D2332,Workers!$A$5:$A$2004,0))),""))</f>
        <v/>
      </c>
      <c r="L2332" s="24" t="str">
        <f aca="false">IF($D2332="","",IFERROR(INDEX(Workers!$E$5:$E$2004,MATCH($D2332,Workers!$A$5:$A$2004,0)),""))</f>
        <v/>
      </c>
      <c r="M2332" s="26" t="str">
        <f aca="false">IF($D2332="","",IFERROR(INDEX(ClientRates!$D$5:$D$500,MATCH($B2332&amp;"|"&amp;$L2332,ClientRates!$A$5:$A$500,0)),0))</f>
        <v/>
      </c>
      <c r="N2332" s="26" t="str">
        <f aca="false">IF($D2332="","",IFERROR(INDEX(ClientRates!$E$5:$E$500,MATCH($B2332&amp;"|"&amp;$L2332,ClientRates!$A$5:$A$500,0)),0))</f>
        <v/>
      </c>
      <c r="O2332" s="26" t="str">
        <f aca="false">IF($D2332="","",F2332*M2332+G2332*N2332)</f>
        <v/>
      </c>
      <c r="P2332" s="26" t="str">
        <f aca="false">IF(OR($D2332="",$J2332&lt;&gt;"Supplier"),"",IFERROR(INDEX(SupplierRates!$D$5:$D$500,MATCH($K2332&amp;"|"&amp;$L2332,SupplierRates!$A$5:$A$500,0)),0))</f>
        <v/>
      </c>
      <c r="Q2332" s="26" t="str">
        <f aca="false">IF(OR($D2332="",$J2332&lt;&gt;"Supplier"),"",IFERROR(INDEX(SupplierRates!$E$5:$E$500,MATCH($K2332&amp;"|"&amp;$L2332,SupplierRates!$A$5:$A$500,0)),0))</f>
        <v/>
      </c>
      <c r="R2332" s="26" t="n">
        <f aca="false">IF(OR($D2332="",$J2332&lt;&gt;"Supplier"),0,F2332*P2332+G2332*Q2332)</f>
        <v>0</v>
      </c>
      <c r="S2332" s="26" t="n">
        <f aca="false">IF(OR($D2332="",$J2332&lt;&gt;"Own"),0,IFERROR((F2332+G2332*Settings!$B$13)*INDEX(Workers!$V$5:$V$2004,MATCH($D2332,Workers!$A$5:$A$2004,0)),0))</f>
        <v>0</v>
      </c>
      <c r="T2332" s="26" t="str">
        <f aca="false">IF($D2332="","",O2332-R2332-S2332)</f>
        <v/>
      </c>
    </row>
    <row r="2333" customFormat="false" ht="15" hidden="false" customHeight="false" outlineLevel="0" collapsed="false">
      <c r="I2333" s="24" t="str">
        <f aca="false">IF($D2333="","",IFERROR(INDEX(Workers!$B$5:$B$2004,MATCH($D2333,Workers!$A$5:$A$2004,0)),"NOT FOUND"))</f>
        <v/>
      </c>
      <c r="J2333" s="24" t="str">
        <f aca="false">IF($D2333="","",IFERROR(INDEX(Workers!$C$5:$C$2004,MATCH($D2333,Workers!$A$5:$A$2004,0)),""))</f>
        <v/>
      </c>
      <c r="K2333" s="24" t="str">
        <f aca="false">IF($D2333="","",IFERROR(IF(INDEX(Workers!$D$5:$D$2004,MATCH($D2333,Workers!$A$5:$A$2004,0))=0,"",INDEX(Workers!$D$5:$D$2004,MATCH($D2333,Workers!$A$5:$A$2004,0))),""))</f>
        <v/>
      </c>
      <c r="L2333" s="24" t="str">
        <f aca="false">IF($D2333="","",IFERROR(INDEX(Workers!$E$5:$E$2004,MATCH($D2333,Workers!$A$5:$A$2004,0)),""))</f>
        <v/>
      </c>
      <c r="M2333" s="26" t="str">
        <f aca="false">IF($D2333="","",IFERROR(INDEX(ClientRates!$D$5:$D$500,MATCH($B2333&amp;"|"&amp;$L2333,ClientRates!$A$5:$A$500,0)),0))</f>
        <v/>
      </c>
      <c r="N2333" s="26" t="str">
        <f aca="false">IF($D2333="","",IFERROR(INDEX(ClientRates!$E$5:$E$500,MATCH($B2333&amp;"|"&amp;$L2333,ClientRates!$A$5:$A$500,0)),0))</f>
        <v/>
      </c>
      <c r="O2333" s="26" t="str">
        <f aca="false">IF($D2333="","",F2333*M2333+G2333*N2333)</f>
        <v/>
      </c>
      <c r="P2333" s="26" t="str">
        <f aca="false">IF(OR($D2333="",$J2333&lt;&gt;"Supplier"),"",IFERROR(INDEX(SupplierRates!$D$5:$D$500,MATCH($K2333&amp;"|"&amp;$L2333,SupplierRates!$A$5:$A$500,0)),0))</f>
        <v/>
      </c>
      <c r="Q2333" s="26" t="str">
        <f aca="false">IF(OR($D2333="",$J2333&lt;&gt;"Supplier"),"",IFERROR(INDEX(SupplierRates!$E$5:$E$500,MATCH($K2333&amp;"|"&amp;$L2333,SupplierRates!$A$5:$A$500,0)),0))</f>
        <v/>
      </c>
      <c r="R2333" s="26" t="n">
        <f aca="false">IF(OR($D2333="",$J2333&lt;&gt;"Supplier"),0,F2333*P2333+G2333*Q2333)</f>
        <v>0</v>
      </c>
      <c r="S2333" s="26" t="n">
        <f aca="false">IF(OR($D2333="",$J2333&lt;&gt;"Own"),0,IFERROR((F2333+G2333*Settings!$B$13)*INDEX(Workers!$V$5:$V$2004,MATCH($D2333,Workers!$A$5:$A$2004,0)),0))</f>
        <v>0</v>
      </c>
      <c r="T2333" s="26" t="str">
        <f aca="false">IF($D2333="","",O2333-R2333-S2333)</f>
        <v/>
      </c>
    </row>
    <row r="2334" customFormat="false" ht="15" hidden="false" customHeight="false" outlineLevel="0" collapsed="false">
      <c r="I2334" s="24" t="str">
        <f aca="false">IF($D2334="","",IFERROR(INDEX(Workers!$B$5:$B$2004,MATCH($D2334,Workers!$A$5:$A$2004,0)),"NOT FOUND"))</f>
        <v/>
      </c>
      <c r="J2334" s="24" t="str">
        <f aca="false">IF($D2334="","",IFERROR(INDEX(Workers!$C$5:$C$2004,MATCH($D2334,Workers!$A$5:$A$2004,0)),""))</f>
        <v/>
      </c>
      <c r="K2334" s="24" t="str">
        <f aca="false">IF($D2334="","",IFERROR(IF(INDEX(Workers!$D$5:$D$2004,MATCH($D2334,Workers!$A$5:$A$2004,0))=0,"",INDEX(Workers!$D$5:$D$2004,MATCH($D2334,Workers!$A$5:$A$2004,0))),""))</f>
        <v/>
      </c>
      <c r="L2334" s="24" t="str">
        <f aca="false">IF($D2334="","",IFERROR(INDEX(Workers!$E$5:$E$2004,MATCH($D2334,Workers!$A$5:$A$2004,0)),""))</f>
        <v/>
      </c>
      <c r="M2334" s="26" t="str">
        <f aca="false">IF($D2334="","",IFERROR(INDEX(ClientRates!$D$5:$D$500,MATCH($B2334&amp;"|"&amp;$L2334,ClientRates!$A$5:$A$500,0)),0))</f>
        <v/>
      </c>
      <c r="N2334" s="26" t="str">
        <f aca="false">IF($D2334="","",IFERROR(INDEX(ClientRates!$E$5:$E$500,MATCH($B2334&amp;"|"&amp;$L2334,ClientRates!$A$5:$A$500,0)),0))</f>
        <v/>
      </c>
      <c r="O2334" s="26" t="str">
        <f aca="false">IF($D2334="","",F2334*M2334+G2334*N2334)</f>
        <v/>
      </c>
      <c r="P2334" s="26" t="str">
        <f aca="false">IF(OR($D2334="",$J2334&lt;&gt;"Supplier"),"",IFERROR(INDEX(SupplierRates!$D$5:$D$500,MATCH($K2334&amp;"|"&amp;$L2334,SupplierRates!$A$5:$A$500,0)),0))</f>
        <v/>
      </c>
      <c r="Q2334" s="26" t="str">
        <f aca="false">IF(OR($D2334="",$J2334&lt;&gt;"Supplier"),"",IFERROR(INDEX(SupplierRates!$E$5:$E$500,MATCH($K2334&amp;"|"&amp;$L2334,SupplierRates!$A$5:$A$500,0)),0))</f>
        <v/>
      </c>
      <c r="R2334" s="26" t="n">
        <f aca="false">IF(OR($D2334="",$J2334&lt;&gt;"Supplier"),0,F2334*P2334+G2334*Q2334)</f>
        <v>0</v>
      </c>
      <c r="S2334" s="26" t="n">
        <f aca="false">IF(OR($D2334="",$J2334&lt;&gt;"Own"),0,IFERROR((F2334+G2334*Settings!$B$13)*INDEX(Workers!$V$5:$V$2004,MATCH($D2334,Workers!$A$5:$A$2004,0)),0))</f>
        <v>0</v>
      </c>
      <c r="T2334" s="26" t="str">
        <f aca="false">IF($D2334="","",O2334-R2334-S2334)</f>
        <v/>
      </c>
    </row>
    <row r="2335" customFormat="false" ht="15" hidden="false" customHeight="false" outlineLevel="0" collapsed="false">
      <c r="I2335" s="24" t="str">
        <f aca="false">IF($D2335="","",IFERROR(INDEX(Workers!$B$5:$B$2004,MATCH($D2335,Workers!$A$5:$A$2004,0)),"NOT FOUND"))</f>
        <v/>
      </c>
      <c r="J2335" s="24" t="str">
        <f aca="false">IF($D2335="","",IFERROR(INDEX(Workers!$C$5:$C$2004,MATCH($D2335,Workers!$A$5:$A$2004,0)),""))</f>
        <v/>
      </c>
      <c r="K2335" s="24" t="str">
        <f aca="false">IF($D2335="","",IFERROR(IF(INDEX(Workers!$D$5:$D$2004,MATCH($D2335,Workers!$A$5:$A$2004,0))=0,"",INDEX(Workers!$D$5:$D$2004,MATCH($D2335,Workers!$A$5:$A$2004,0))),""))</f>
        <v/>
      </c>
      <c r="L2335" s="24" t="str">
        <f aca="false">IF($D2335="","",IFERROR(INDEX(Workers!$E$5:$E$2004,MATCH($D2335,Workers!$A$5:$A$2004,0)),""))</f>
        <v/>
      </c>
      <c r="M2335" s="26" t="str">
        <f aca="false">IF($D2335="","",IFERROR(INDEX(ClientRates!$D$5:$D$500,MATCH($B2335&amp;"|"&amp;$L2335,ClientRates!$A$5:$A$500,0)),0))</f>
        <v/>
      </c>
      <c r="N2335" s="26" t="str">
        <f aca="false">IF($D2335="","",IFERROR(INDEX(ClientRates!$E$5:$E$500,MATCH($B2335&amp;"|"&amp;$L2335,ClientRates!$A$5:$A$500,0)),0))</f>
        <v/>
      </c>
      <c r="O2335" s="26" t="str">
        <f aca="false">IF($D2335="","",F2335*M2335+G2335*N2335)</f>
        <v/>
      </c>
      <c r="P2335" s="26" t="str">
        <f aca="false">IF(OR($D2335="",$J2335&lt;&gt;"Supplier"),"",IFERROR(INDEX(SupplierRates!$D$5:$D$500,MATCH($K2335&amp;"|"&amp;$L2335,SupplierRates!$A$5:$A$500,0)),0))</f>
        <v/>
      </c>
      <c r="Q2335" s="26" t="str">
        <f aca="false">IF(OR($D2335="",$J2335&lt;&gt;"Supplier"),"",IFERROR(INDEX(SupplierRates!$E$5:$E$500,MATCH($K2335&amp;"|"&amp;$L2335,SupplierRates!$A$5:$A$500,0)),0))</f>
        <v/>
      </c>
      <c r="R2335" s="26" t="n">
        <f aca="false">IF(OR($D2335="",$J2335&lt;&gt;"Supplier"),0,F2335*P2335+G2335*Q2335)</f>
        <v>0</v>
      </c>
      <c r="S2335" s="26" t="n">
        <f aca="false">IF(OR($D2335="",$J2335&lt;&gt;"Own"),0,IFERROR((F2335+G2335*Settings!$B$13)*INDEX(Workers!$V$5:$V$2004,MATCH($D2335,Workers!$A$5:$A$2004,0)),0))</f>
        <v>0</v>
      </c>
      <c r="T2335" s="26" t="str">
        <f aca="false">IF($D2335="","",O2335-R2335-S2335)</f>
        <v/>
      </c>
    </row>
    <row r="2336" customFormat="false" ht="15" hidden="false" customHeight="false" outlineLevel="0" collapsed="false">
      <c r="I2336" s="24" t="str">
        <f aca="false">IF($D2336="","",IFERROR(INDEX(Workers!$B$5:$B$2004,MATCH($D2336,Workers!$A$5:$A$2004,0)),"NOT FOUND"))</f>
        <v/>
      </c>
      <c r="J2336" s="24" t="str">
        <f aca="false">IF($D2336="","",IFERROR(INDEX(Workers!$C$5:$C$2004,MATCH($D2336,Workers!$A$5:$A$2004,0)),""))</f>
        <v/>
      </c>
      <c r="K2336" s="24" t="str">
        <f aca="false">IF($D2336="","",IFERROR(IF(INDEX(Workers!$D$5:$D$2004,MATCH($D2336,Workers!$A$5:$A$2004,0))=0,"",INDEX(Workers!$D$5:$D$2004,MATCH($D2336,Workers!$A$5:$A$2004,0))),""))</f>
        <v/>
      </c>
      <c r="L2336" s="24" t="str">
        <f aca="false">IF($D2336="","",IFERROR(INDEX(Workers!$E$5:$E$2004,MATCH($D2336,Workers!$A$5:$A$2004,0)),""))</f>
        <v/>
      </c>
      <c r="M2336" s="26" t="str">
        <f aca="false">IF($D2336="","",IFERROR(INDEX(ClientRates!$D$5:$D$500,MATCH($B2336&amp;"|"&amp;$L2336,ClientRates!$A$5:$A$500,0)),0))</f>
        <v/>
      </c>
      <c r="N2336" s="26" t="str">
        <f aca="false">IF($D2336="","",IFERROR(INDEX(ClientRates!$E$5:$E$500,MATCH($B2336&amp;"|"&amp;$L2336,ClientRates!$A$5:$A$500,0)),0))</f>
        <v/>
      </c>
      <c r="O2336" s="26" t="str">
        <f aca="false">IF($D2336="","",F2336*M2336+G2336*N2336)</f>
        <v/>
      </c>
      <c r="P2336" s="26" t="str">
        <f aca="false">IF(OR($D2336="",$J2336&lt;&gt;"Supplier"),"",IFERROR(INDEX(SupplierRates!$D$5:$D$500,MATCH($K2336&amp;"|"&amp;$L2336,SupplierRates!$A$5:$A$500,0)),0))</f>
        <v/>
      </c>
      <c r="Q2336" s="26" t="str">
        <f aca="false">IF(OR($D2336="",$J2336&lt;&gt;"Supplier"),"",IFERROR(INDEX(SupplierRates!$E$5:$E$500,MATCH($K2336&amp;"|"&amp;$L2336,SupplierRates!$A$5:$A$500,0)),0))</f>
        <v/>
      </c>
      <c r="R2336" s="26" t="n">
        <f aca="false">IF(OR($D2336="",$J2336&lt;&gt;"Supplier"),0,F2336*P2336+G2336*Q2336)</f>
        <v>0</v>
      </c>
      <c r="S2336" s="26" t="n">
        <f aca="false">IF(OR($D2336="",$J2336&lt;&gt;"Own"),0,IFERROR((F2336+G2336*Settings!$B$13)*INDEX(Workers!$V$5:$V$2004,MATCH($D2336,Workers!$A$5:$A$2004,0)),0))</f>
        <v>0</v>
      </c>
      <c r="T2336" s="26" t="str">
        <f aca="false">IF($D2336="","",O2336-R2336-S2336)</f>
        <v/>
      </c>
    </row>
    <row r="2337" customFormat="false" ht="15" hidden="false" customHeight="false" outlineLevel="0" collapsed="false">
      <c r="I2337" s="24" t="str">
        <f aca="false">IF($D2337="","",IFERROR(INDEX(Workers!$B$5:$B$2004,MATCH($D2337,Workers!$A$5:$A$2004,0)),"NOT FOUND"))</f>
        <v/>
      </c>
      <c r="J2337" s="24" t="str">
        <f aca="false">IF($D2337="","",IFERROR(INDEX(Workers!$C$5:$C$2004,MATCH($D2337,Workers!$A$5:$A$2004,0)),""))</f>
        <v/>
      </c>
      <c r="K2337" s="24" t="str">
        <f aca="false">IF($D2337="","",IFERROR(IF(INDEX(Workers!$D$5:$D$2004,MATCH($D2337,Workers!$A$5:$A$2004,0))=0,"",INDEX(Workers!$D$5:$D$2004,MATCH($D2337,Workers!$A$5:$A$2004,0))),""))</f>
        <v/>
      </c>
      <c r="L2337" s="24" t="str">
        <f aca="false">IF($D2337="","",IFERROR(INDEX(Workers!$E$5:$E$2004,MATCH($D2337,Workers!$A$5:$A$2004,0)),""))</f>
        <v/>
      </c>
      <c r="M2337" s="26" t="str">
        <f aca="false">IF($D2337="","",IFERROR(INDEX(ClientRates!$D$5:$D$500,MATCH($B2337&amp;"|"&amp;$L2337,ClientRates!$A$5:$A$500,0)),0))</f>
        <v/>
      </c>
      <c r="N2337" s="26" t="str">
        <f aca="false">IF($D2337="","",IFERROR(INDEX(ClientRates!$E$5:$E$500,MATCH($B2337&amp;"|"&amp;$L2337,ClientRates!$A$5:$A$500,0)),0))</f>
        <v/>
      </c>
      <c r="O2337" s="26" t="str">
        <f aca="false">IF($D2337="","",F2337*M2337+G2337*N2337)</f>
        <v/>
      </c>
      <c r="P2337" s="26" t="str">
        <f aca="false">IF(OR($D2337="",$J2337&lt;&gt;"Supplier"),"",IFERROR(INDEX(SupplierRates!$D$5:$D$500,MATCH($K2337&amp;"|"&amp;$L2337,SupplierRates!$A$5:$A$500,0)),0))</f>
        <v/>
      </c>
      <c r="Q2337" s="26" t="str">
        <f aca="false">IF(OR($D2337="",$J2337&lt;&gt;"Supplier"),"",IFERROR(INDEX(SupplierRates!$E$5:$E$500,MATCH($K2337&amp;"|"&amp;$L2337,SupplierRates!$A$5:$A$500,0)),0))</f>
        <v/>
      </c>
      <c r="R2337" s="26" t="n">
        <f aca="false">IF(OR($D2337="",$J2337&lt;&gt;"Supplier"),0,F2337*P2337+G2337*Q2337)</f>
        <v>0</v>
      </c>
      <c r="S2337" s="26" t="n">
        <f aca="false">IF(OR($D2337="",$J2337&lt;&gt;"Own"),0,IFERROR((F2337+G2337*Settings!$B$13)*INDEX(Workers!$V$5:$V$2004,MATCH($D2337,Workers!$A$5:$A$2004,0)),0))</f>
        <v>0</v>
      </c>
      <c r="T2337" s="26" t="str">
        <f aca="false">IF($D2337="","",O2337-R2337-S2337)</f>
        <v/>
      </c>
    </row>
    <row r="2338" customFormat="false" ht="15" hidden="false" customHeight="false" outlineLevel="0" collapsed="false">
      <c r="I2338" s="24" t="str">
        <f aca="false">IF($D2338="","",IFERROR(INDEX(Workers!$B$5:$B$2004,MATCH($D2338,Workers!$A$5:$A$2004,0)),"NOT FOUND"))</f>
        <v/>
      </c>
      <c r="J2338" s="24" t="str">
        <f aca="false">IF($D2338="","",IFERROR(INDEX(Workers!$C$5:$C$2004,MATCH($D2338,Workers!$A$5:$A$2004,0)),""))</f>
        <v/>
      </c>
      <c r="K2338" s="24" t="str">
        <f aca="false">IF($D2338="","",IFERROR(IF(INDEX(Workers!$D$5:$D$2004,MATCH($D2338,Workers!$A$5:$A$2004,0))=0,"",INDEX(Workers!$D$5:$D$2004,MATCH($D2338,Workers!$A$5:$A$2004,0))),""))</f>
        <v/>
      </c>
      <c r="L2338" s="24" t="str">
        <f aca="false">IF($D2338="","",IFERROR(INDEX(Workers!$E$5:$E$2004,MATCH($D2338,Workers!$A$5:$A$2004,0)),""))</f>
        <v/>
      </c>
      <c r="M2338" s="26" t="str">
        <f aca="false">IF($D2338="","",IFERROR(INDEX(ClientRates!$D$5:$D$500,MATCH($B2338&amp;"|"&amp;$L2338,ClientRates!$A$5:$A$500,0)),0))</f>
        <v/>
      </c>
      <c r="N2338" s="26" t="str">
        <f aca="false">IF($D2338="","",IFERROR(INDEX(ClientRates!$E$5:$E$500,MATCH($B2338&amp;"|"&amp;$L2338,ClientRates!$A$5:$A$500,0)),0))</f>
        <v/>
      </c>
      <c r="O2338" s="26" t="str">
        <f aca="false">IF($D2338="","",F2338*M2338+G2338*N2338)</f>
        <v/>
      </c>
      <c r="P2338" s="26" t="str">
        <f aca="false">IF(OR($D2338="",$J2338&lt;&gt;"Supplier"),"",IFERROR(INDEX(SupplierRates!$D$5:$D$500,MATCH($K2338&amp;"|"&amp;$L2338,SupplierRates!$A$5:$A$500,0)),0))</f>
        <v/>
      </c>
      <c r="Q2338" s="26" t="str">
        <f aca="false">IF(OR($D2338="",$J2338&lt;&gt;"Supplier"),"",IFERROR(INDEX(SupplierRates!$E$5:$E$500,MATCH($K2338&amp;"|"&amp;$L2338,SupplierRates!$A$5:$A$500,0)),0))</f>
        <v/>
      </c>
      <c r="R2338" s="26" t="n">
        <f aca="false">IF(OR($D2338="",$J2338&lt;&gt;"Supplier"),0,F2338*P2338+G2338*Q2338)</f>
        <v>0</v>
      </c>
      <c r="S2338" s="26" t="n">
        <f aca="false">IF(OR($D2338="",$J2338&lt;&gt;"Own"),0,IFERROR((F2338+G2338*Settings!$B$13)*INDEX(Workers!$V$5:$V$2004,MATCH($D2338,Workers!$A$5:$A$2004,0)),0))</f>
        <v>0</v>
      </c>
      <c r="T2338" s="26" t="str">
        <f aca="false">IF($D2338="","",O2338-R2338-S2338)</f>
        <v/>
      </c>
    </row>
    <row r="2339" customFormat="false" ht="15" hidden="false" customHeight="false" outlineLevel="0" collapsed="false">
      <c r="I2339" s="24" t="str">
        <f aca="false">IF($D2339="","",IFERROR(INDEX(Workers!$B$5:$B$2004,MATCH($D2339,Workers!$A$5:$A$2004,0)),"NOT FOUND"))</f>
        <v/>
      </c>
      <c r="J2339" s="24" t="str">
        <f aca="false">IF($D2339="","",IFERROR(INDEX(Workers!$C$5:$C$2004,MATCH($D2339,Workers!$A$5:$A$2004,0)),""))</f>
        <v/>
      </c>
      <c r="K2339" s="24" t="str">
        <f aca="false">IF($D2339="","",IFERROR(IF(INDEX(Workers!$D$5:$D$2004,MATCH($D2339,Workers!$A$5:$A$2004,0))=0,"",INDEX(Workers!$D$5:$D$2004,MATCH($D2339,Workers!$A$5:$A$2004,0))),""))</f>
        <v/>
      </c>
      <c r="L2339" s="24" t="str">
        <f aca="false">IF($D2339="","",IFERROR(INDEX(Workers!$E$5:$E$2004,MATCH($D2339,Workers!$A$5:$A$2004,0)),""))</f>
        <v/>
      </c>
      <c r="M2339" s="26" t="str">
        <f aca="false">IF($D2339="","",IFERROR(INDEX(ClientRates!$D$5:$D$500,MATCH($B2339&amp;"|"&amp;$L2339,ClientRates!$A$5:$A$500,0)),0))</f>
        <v/>
      </c>
      <c r="N2339" s="26" t="str">
        <f aca="false">IF($D2339="","",IFERROR(INDEX(ClientRates!$E$5:$E$500,MATCH($B2339&amp;"|"&amp;$L2339,ClientRates!$A$5:$A$500,0)),0))</f>
        <v/>
      </c>
      <c r="O2339" s="26" t="str">
        <f aca="false">IF($D2339="","",F2339*M2339+G2339*N2339)</f>
        <v/>
      </c>
      <c r="P2339" s="26" t="str">
        <f aca="false">IF(OR($D2339="",$J2339&lt;&gt;"Supplier"),"",IFERROR(INDEX(SupplierRates!$D$5:$D$500,MATCH($K2339&amp;"|"&amp;$L2339,SupplierRates!$A$5:$A$500,0)),0))</f>
        <v/>
      </c>
      <c r="Q2339" s="26" t="str">
        <f aca="false">IF(OR($D2339="",$J2339&lt;&gt;"Supplier"),"",IFERROR(INDEX(SupplierRates!$E$5:$E$500,MATCH($K2339&amp;"|"&amp;$L2339,SupplierRates!$A$5:$A$500,0)),0))</f>
        <v/>
      </c>
      <c r="R2339" s="26" t="n">
        <f aca="false">IF(OR($D2339="",$J2339&lt;&gt;"Supplier"),0,F2339*P2339+G2339*Q2339)</f>
        <v>0</v>
      </c>
      <c r="S2339" s="26" t="n">
        <f aca="false">IF(OR($D2339="",$J2339&lt;&gt;"Own"),0,IFERROR((F2339+G2339*Settings!$B$13)*INDEX(Workers!$V$5:$V$2004,MATCH($D2339,Workers!$A$5:$A$2004,0)),0))</f>
        <v>0</v>
      </c>
      <c r="T2339" s="26" t="str">
        <f aca="false">IF($D2339="","",O2339-R2339-S2339)</f>
        <v/>
      </c>
    </row>
    <row r="2340" customFormat="false" ht="15" hidden="false" customHeight="false" outlineLevel="0" collapsed="false">
      <c r="I2340" s="24" t="str">
        <f aca="false">IF($D2340="","",IFERROR(INDEX(Workers!$B$5:$B$2004,MATCH($D2340,Workers!$A$5:$A$2004,0)),"NOT FOUND"))</f>
        <v/>
      </c>
      <c r="J2340" s="24" t="str">
        <f aca="false">IF($D2340="","",IFERROR(INDEX(Workers!$C$5:$C$2004,MATCH($D2340,Workers!$A$5:$A$2004,0)),""))</f>
        <v/>
      </c>
      <c r="K2340" s="24" t="str">
        <f aca="false">IF($D2340="","",IFERROR(IF(INDEX(Workers!$D$5:$D$2004,MATCH($D2340,Workers!$A$5:$A$2004,0))=0,"",INDEX(Workers!$D$5:$D$2004,MATCH($D2340,Workers!$A$5:$A$2004,0))),""))</f>
        <v/>
      </c>
      <c r="L2340" s="24" t="str">
        <f aca="false">IF($D2340="","",IFERROR(INDEX(Workers!$E$5:$E$2004,MATCH($D2340,Workers!$A$5:$A$2004,0)),""))</f>
        <v/>
      </c>
      <c r="M2340" s="26" t="str">
        <f aca="false">IF($D2340="","",IFERROR(INDEX(ClientRates!$D$5:$D$500,MATCH($B2340&amp;"|"&amp;$L2340,ClientRates!$A$5:$A$500,0)),0))</f>
        <v/>
      </c>
      <c r="N2340" s="26" t="str">
        <f aca="false">IF($D2340="","",IFERROR(INDEX(ClientRates!$E$5:$E$500,MATCH($B2340&amp;"|"&amp;$L2340,ClientRates!$A$5:$A$500,0)),0))</f>
        <v/>
      </c>
      <c r="O2340" s="26" t="str">
        <f aca="false">IF($D2340="","",F2340*M2340+G2340*N2340)</f>
        <v/>
      </c>
      <c r="P2340" s="26" t="str">
        <f aca="false">IF(OR($D2340="",$J2340&lt;&gt;"Supplier"),"",IFERROR(INDEX(SupplierRates!$D$5:$D$500,MATCH($K2340&amp;"|"&amp;$L2340,SupplierRates!$A$5:$A$500,0)),0))</f>
        <v/>
      </c>
      <c r="Q2340" s="26" t="str">
        <f aca="false">IF(OR($D2340="",$J2340&lt;&gt;"Supplier"),"",IFERROR(INDEX(SupplierRates!$E$5:$E$500,MATCH($K2340&amp;"|"&amp;$L2340,SupplierRates!$A$5:$A$500,0)),0))</f>
        <v/>
      </c>
      <c r="R2340" s="26" t="n">
        <f aca="false">IF(OR($D2340="",$J2340&lt;&gt;"Supplier"),0,F2340*P2340+G2340*Q2340)</f>
        <v>0</v>
      </c>
      <c r="S2340" s="26" t="n">
        <f aca="false">IF(OR($D2340="",$J2340&lt;&gt;"Own"),0,IFERROR((F2340+G2340*Settings!$B$13)*INDEX(Workers!$V$5:$V$2004,MATCH($D2340,Workers!$A$5:$A$2004,0)),0))</f>
        <v>0</v>
      </c>
      <c r="T2340" s="26" t="str">
        <f aca="false">IF($D2340="","",O2340-R2340-S2340)</f>
        <v/>
      </c>
    </row>
    <row r="2341" customFormat="false" ht="15" hidden="false" customHeight="false" outlineLevel="0" collapsed="false">
      <c r="I2341" s="24" t="str">
        <f aca="false">IF($D2341="","",IFERROR(INDEX(Workers!$B$5:$B$2004,MATCH($D2341,Workers!$A$5:$A$2004,0)),"NOT FOUND"))</f>
        <v/>
      </c>
      <c r="J2341" s="24" t="str">
        <f aca="false">IF($D2341="","",IFERROR(INDEX(Workers!$C$5:$C$2004,MATCH($D2341,Workers!$A$5:$A$2004,0)),""))</f>
        <v/>
      </c>
      <c r="K2341" s="24" t="str">
        <f aca="false">IF($D2341="","",IFERROR(IF(INDEX(Workers!$D$5:$D$2004,MATCH($D2341,Workers!$A$5:$A$2004,0))=0,"",INDEX(Workers!$D$5:$D$2004,MATCH($D2341,Workers!$A$5:$A$2004,0))),""))</f>
        <v/>
      </c>
      <c r="L2341" s="24" t="str">
        <f aca="false">IF($D2341="","",IFERROR(INDEX(Workers!$E$5:$E$2004,MATCH($D2341,Workers!$A$5:$A$2004,0)),""))</f>
        <v/>
      </c>
      <c r="M2341" s="26" t="str">
        <f aca="false">IF($D2341="","",IFERROR(INDEX(ClientRates!$D$5:$D$500,MATCH($B2341&amp;"|"&amp;$L2341,ClientRates!$A$5:$A$500,0)),0))</f>
        <v/>
      </c>
      <c r="N2341" s="26" t="str">
        <f aca="false">IF($D2341="","",IFERROR(INDEX(ClientRates!$E$5:$E$500,MATCH($B2341&amp;"|"&amp;$L2341,ClientRates!$A$5:$A$500,0)),0))</f>
        <v/>
      </c>
      <c r="O2341" s="26" t="str">
        <f aca="false">IF($D2341="","",F2341*M2341+G2341*N2341)</f>
        <v/>
      </c>
      <c r="P2341" s="26" t="str">
        <f aca="false">IF(OR($D2341="",$J2341&lt;&gt;"Supplier"),"",IFERROR(INDEX(SupplierRates!$D$5:$D$500,MATCH($K2341&amp;"|"&amp;$L2341,SupplierRates!$A$5:$A$500,0)),0))</f>
        <v/>
      </c>
      <c r="Q2341" s="26" t="str">
        <f aca="false">IF(OR($D2341="",$J2341&lt;&gt;"Supplier"),"",IFERROR(INDEX(SupplierRates!$E$5:$E$500,MATCH($K2341&amp;"|"&amp;$L2341,SupplierRates!$A$5:$A$500,0)),0))</f>
        <v/>
      </c>
      <c r="R2341" s="26" t="n">
        <f aca="false">IF(OR($D2341="",$J2341&lt;&gt;"Supplier"),0,F2341*P2341+G2341*Q2341)</f>
        <v>0</v>
      </c>
      <c r="S2341" s="26" t="n">
        <f aca="false">IF(OR($D2341="",$J2341&lt;&gt;"Own"),0,IFERROR((F2341+G2341*Settings!$B$13)*INDEX(Workers!$V$5:$V$2004,MATCH($D2341,Workers!$A$5:$A$2004,0)),0))</f>
        <v>0</v>
      </c>
      <c r="T2341" s="26" t="str">
        <f aca="false">IF($D2341="","",O2341-R2341-S2341)</f>
        <v/>
      </c>
    </row>
    <row r="2342" customFormat="false" ht="15" hidden="false" customHeight="false" outlineLevel="0" collapsed="false">
      <c r="I2342" s="24" t="str">
        <f aca="false">IF($D2342="","",IFERROR(INDEX(Workers!$B$5:$B$2004,MATCH($D2342,Workers!$A$5:$A$2004,0)),"NOT FOUND"))</f>
        <v/>
      </c>
      <c r="J2342" s="24" t="str">
        <f aca="false">IF($D2342="","",IFERROR(INDEX(Workers!$C$5:$C$2004,MATCH($D2342,Workers!$A$5:$A$2004,0)),""))</f>
        <v/>
      </c>
      <c r="K2342" s="24" t="str">
        <f aca="false">IF($D2342="","",IFERROR(IF(INDEX(Workers!$D$5:$D$2004,MATCH($D2342,Workers!$A$5:$A$2004,0))=0,"",INDEX(Workers!$D$5:$D$2004,MATCH($D2342,Workers!$A$5:$A$2004,0))),""))</f>
        <v/>
      </c>
      <c r="L2342" s="24" t="str">
        <f aca="false">IF($D2342="","",IFERROR(INDEX(Workers!$E$5:$E$2004,MATCH($D2342,Workers!$A$5:$A$2004,0)),""))</f>
        <v/>
      </c>
      <c r="M2342" s="26" t="str">
        <f aca="false">IF($D2342="","",IFERROR(INDEX(ClientRates!$D$5:$D$500,MATCH($B2342&amp;"|"&amp;$L2342,ClientRates!$A$5:$A$500,0)),0))</f>
        <v/>
      </c>
      <c r="N2342" s="26" t="str">
        <f aca="false">IF($D2342="","",IFERROR(INDEX(ClientRates!$E$5:$E$500,MATCH($B2342&amp;"|"&amp;$L2342,ClientRates!$A$5:$A$500,0)),0))</f>
        <v/>
      </c>
      <c r="O2342" s="26" t="str">
        <f aca="false">IF($D2342="","",F2342*M2342+G2342*N2342)</f>
        <v/>
      </c>
      <c r="P2342" s="26" t="str">
        <f aca="false">IF(OR($D2342="",$J2342&lt;&gt;"Supplier"),"",IFERROR(INDEX(SupplierRates!$D$5:$D$500,MATCH($K2342&amp;"|"&amp;$L2342,SupplierRates!$A$5:$A$500,0)),0))</f>
        <v/>
      </c>
      <c r="Q2342" s="26" t="str">
        <f aca="false">IF(OR($D2342="",$J2342&lt;&gt;"Supplier"),"",IFERROR(INDEX(SupplierRates!$E$5:$E$500,MATCH($K2342&amp;"|"&amp;$L2342,SupplierRates!$A$5:$A$500,0)),0))</f>
        <v/>
      </c>
      <c r="R2342" s="26" t="n">
        <f aca="false">IF(OR($D2342="",$J2342&lt;&gt;"Supplier"),0,F2342*P2342+G2342*Q2342)</f>
        <v>0</v>
      </c>
      <c r="S2342" s="26" t="n">
        <f aca="false">IF(OR($D2342="",$J2342&lt;&gt;"Own"),0,IFERROR((F2342+G2342*Settings!$B$13)*INDEX(Workers!$V$5:$V$2004,MATCH($D2342,Workers!$A$5:$A$2004,0)),0))</f>
        <v>0</v>
      </c>
      <c r="T2342" s="26" t="str">
        <f aca="false">IF($D2342="","",O2342-R2342-S2342)</f>
        <v/>
      </c>
    </row>
    <row r="2343" customFormat="false" ht="15" hidden="false" customHeight="false" outlineLevel="0" collapsed="false">
      <c r="I2343" s="24" t="str">
        <f aca="false">IF($D2343="","",IFERROR(INDEX(Workers!$B$5:$B$2004,MATCH($D2343,Workers!$A$5:$A$2004,0)),"NOT FOUND"))</f>
        <v/>
      </c>
      <c r="J2343" s="24" t="str">
        <f aca="false">IF($D2343="","",IFERROR(INDEX(Workers!$C$5:$C$2004,MATCH($D2343,Workers!$A$5:$A$2004,0)),""))</f>
        <v/>
      </c>
      <c r="K2343" s="24" t="str">
        <f aca="false">IF($D2343="","",IFERROR(IF(INDEX(Workers!$D$5:$D$2004,MATCH($D2343,Workers!$A$5:$A$2004,0))=0,"",INDEX(Workers!$D$5:$D$2004,MATCH($D2343,Workers!$A$5:$A$2004,0))),""))</f>
        <v/>
      </c>
      <c r="L2343" s="24" t="str">
        <f aca="false">IF($D2343="","",IFERROR(INDEX(Workers!$E$5:$E$2004,MATCH($D2343,Workers!$A$5:$A$2004,0)),""))</f>
        <v/>
      </c>
      <c r="M2343" s="26" t="str">
        <f aca="false">IF($D2343="","",IFERROR(INDEX(ClientRates!$D$5:$D$500,MATCH($B2343&amp;"|"&amp;$L2343,ClientRates!$A$5:$A$500,0)),0))</f>
        <v/>
      </c>
      <c r="N2343" s="26" t="str">
        <f aca="false">IF($D2343="","",IFERROR(INDEX(ClientRates!$E$5:$E$500,MATCH($B2343&amp;"|"&amp;$L2343,ClientRates!$A$5:$A$500,0)),0))</f>
        <v/>
      </c>
      <c r="O2343" s="26" t="str">
        <f aca="false">IF($D2343="","",F2343*M2343+G2343*N2343)</f>
        <v/>
      </c>
      <c r="P2343" s="26" t="str">
        <f aca="false">IF(OR($D2343="",$J2343&lt;&gt;"Supplier"),"",IFERROR(INDEX(SupplierRates!$D$5:$D$500,MATCH($K2343&amp;"|"&amp;$L2343,SupplierRates!$A$5:$A$500,0)),0))</f>
        <v/>
      </c>
      <c r="Q2343" s="26" t="str">
        <f aca="false">IF(OR($D2343="",$J2343&lt;&gt;"Supplier"),"",IFERROR(INDEX(SupplierRates!$E$5:$E$500,MATCH($K2343&amp;"|"&amp;$L2343,SupplierRates!$A$5:$A$500,0)),0))</f>
        <v/>
      </c>
      <c r="R2343" s="26" t="n">
        <f aca="false">IF(OR($D2343="",$J2343&lt;&gt;"Supplier"),0,F2343*P2343+G2343*Q2343)</f>
        <v>0</v>
      </c>
      <c r="S2343" s="26" t="n">
        <f aca="false">IF(OR($D2343="",$J2343&lt;&gt;"Own"),0,IFERROR((F2343+G2343*Settings!$B$13)*INDEX(Workers!$V$5:$V$2004,MATCH($D2343,Workers!$A$5:$A$2004,0)),0))</f>
        <v>0</v>
      </c>
      <c r="T2343" s="26" t="str">
        <f aca="false">IF($D2343="","",O2343-R2343-S2343)</f>
        <v/>
      </c>
    </row>
    <row r="2344" customFormat="false" ht="15" hidden="false" customHeight="false" outlineLevel="0" collapsed="false">
      <c r="I2344" s="24" t="str">
        <f aca="false">IF($D2344="","",IFERROR(INDEX(Workers!$B$5:$B$2004,MATCH($D2344,Workers!$A$5:$A$2004,0)),"NOT FOUND"))</f>
        <v/>
      </c>
      <c r="J2344" s="24" t="str">
        <f aca="false">IF($D2344="","",IFERROR(INDEX(Workers!$C$5:$C$2004,MATCH($D2344,Workers!$A$5:$A$2004,0)),""))</f>
        <v/>
      </c>
      <c r="K2344" s="24" t="str">
        <f aca="false">IF($D2344="","",IFERROR(IF(INDEX(Workers!$D$5:$D$2004,MATCH($D2344,Workers!$A$5:$A$2004,0))=0,"",INDEX(Workers!$D$5:$D$2004,MATCH($D2344,Workers!$A$5:$A$2004,0))),""))</f>
        <v/>
      </c>
      <c r="L2344" s="24" t="str">
        <f aca="false">IF($D2344="","",IFERROR(INDEX(Workers!$E$5:$E$2004,MATCH($D2344,Workers!$A$5:$A$2004,0)),""))</f>
        <v/>
      </c>
      <c r="M2344" s="26" t="str">
        <f aca="false">IF($D2344="","",IFERROR(INDEX(ClientRates!$D$5:$D$500,MATCH($B2344&amp;"|"&amp;$L2344,ClientRates!$A$5:$A$500,0)),0))</f>
        <v/>
      </c>
      <c r="N2344" s="26" t="str">
        <f aca="false">IF($D2344="","",IFERROR(INDEX(ClientRates!$E$5:$E$500,MATCH($B2344&amp;"|"&amp;$L2344,ClientRates!$A$5:$A$500,0)),0))</f>
        <v/>
      </c>
      <c r="O2344" s="26" t="str">
        <f aca="false">IF($D2344="","",F2344*M2344+G2344*N2344)</f>
        <v/>
      </c>
      <c r="P2344" s="26" t="str">
        <f aca="false">IF(OR($D2344="",$J2344&lt;&gt;"Supplier"),"",IFERROR(INDEX(SupplierRates!$D$5:$D$500,MATCH($K2344&amp;"|"&amp;$L2344,SupplierRates!$A$5:$A$500,0)),0))</f>
        <v/>
      </c>
      <c r="Q2344" s="26" t="str">
        <f aca="false">IF(OR($D2344="",$J2344&lt;&gt;"Supplier"),"",IFERROR(INDEX(SupplierRates!$E$5:$E$500,MATCH($K2344&amp;"|"&amp;$L2344,SupplierRates!$A$5:$A$500,0)),0))</f>
        <v/>
      </c>
      <c r="R2344" s="26" t="n">
        <f aca="false">IF(OR($D2344="",$J2344&lt;&gt;"Supplier"),0,F2344*P2344+G2344*Q2344)</f>
        <v>0</v>
      </c>
      <c r="S2344" s="26" t="n">
        <f aca="false">IF(OR($D2344="",$J2344&lt;&gt;"Own"),0,IFERROR((F2344+G2344*Settings!$B$13)*INDEX(Workers!$V$5:$V$2004,MATCH($D2344,Workers!$A$5:$A$2004,0)),0))</f>
        <v>0</v>
      </c>
      <c r="T2344" s="26" t="str">
        <f aca="false">IF($D2344="","",O2344-R2344-S2344)</f>
        <v/>
      </c>
    </row>
    <row r="2345" customFormat="false" ht="15" hidden="false" customHeight="false" outlineLevel="0" collapsed="false">
      <c r="I2345" s="24" t="str">
        <f aca="false">IF($D2345="","",IFERROR(INDEX(Workers!$B$5:$B$2004,MATCH($D2345,Workers!$A$5:$A$2004,0)),"NOT FOUND"))</f>
        <v/>
      </c>
      <c r="J2345" s="24" t="str">
        <f aca="false">IF($D2345="","",IFERROR(INDEX(Workers!$C$5:$C$2004,MATCH($D2345,Workers!$A$5:$A$2004,0)),""))</f>
        <v/>
      </c>
      <c r="K2345" s="24" t="str">
        <f aca="false">IF($D2345="","",IFERROR(IF(INDEX(Workers!$D$5:$D$2004,MATCH($D2345,Workers!$A$5:$A$2004,0))=0,"",INDEX(Workers!$D$5:$D$2004,MATCH($D2345,Workers!$A$5:$A$2004,0))),""))</f>
        <v/>
      </c>
      <c r="L2345" s="24" t="str">
        <f aca="false">IF($D2345="","",IFERROR(INDEX(Workers!$E$5:$E$2004,MATCH($D2345,Workers!$A$5:$A$2004,0)),""))</f>
        <v/>
      </c>
      <c r="M2345" s="26" t="str">
        <f aca="false">IF($D2345="","",IFERROR(INDEX(ClientRates!$D$5:$D$500,MATCH($B2345&amp;"|"&amp;$L2345,ClientRates!$A$5:$A$500,0)),0))</f>
        <v/>
      </c>
      <c r="N2345" s="26" t="str">
        <f aca="false">IF($D2345="","",IFERROR(INDEX(ClientRates!$E$5:$E$500,MATCH($B2345&amp;"|"&amp;$L2345,ClientRates!$A$5:$A$500,0)),0))</f>
        <v/>
      </c>
      <c r="O2345" s="26" t="str">
        <f aca="false">IF($D2345="","",F2345*M2345+G2345*N2345)</f>
        <v/>
      </c>
      <c r="P2345" s="26" t="str">
        <f aca="false">IF(OR($D2345="",$J2345&lt;&gt;"Supplier"),"",IFERROR(INDEX(SupplierRates!$D$5:$D$500,MATCH($K2345&amp;"|"&amp;$L2345,SupplierRates!$A$5:$A$500,0)),0))</f>
        <v/>
      </c>
      <c r="Q2345" s="26" t="str">
        <f aca="false">IF(OR($D2345="",$J2345&lt;&gt;"Supplier"),"",IFERROR(INDEX(SupplierRates!$E$5:$E$500,MATCH($K2345&amp;"|"&amp;$L2345,SupplierRates!$A$5:$A$500,0)),0))</f>
        <v/>
      </c>
      <c r="R2345" s="26" t="n">
        <f aca="false">IF(OR($D2345="",$J2345&lt;&gt;"Supplier"),0,F2345*P2345+G2345*Q2345)</f>
        <v>0</v>
      </c>
      <c r="S2345" s="26" t="n">
        <f aca="false">IF(OR($D2345="",$J2345&lt;&gt;"Own"),0,IFERROR((F2345+G2345*Settings!$B$13)*INDEX(Workers!$V$5:$V$2004,MATCH($D2345,Workers!$A$5:$A$2004,0)),0))</f>
        <v>0</v>
      </c>
      <c r="T2345" s="26" t="str">
        <f aca="false">IF($D2345="","",O2345-R2345-S2345)</f>
        <v/>
      </c>
    </row>
    <row r="2346" customFormat="false" ht="15" hidden="false" customHeight="false" outlineLevel="0" collapsed="false">
      <c r="I2346" s="24" t="str">
        <f aca="false">IF($D2346="","",IFERROR(INDEX(Workers!$B$5:$B$2004,MATCH($D2346,Workers!$A$5:$A$2004,0)),"NOT FOUND"))</f>
        <v/>
      </c>
      <c r="J2346" s="24" t="str">
        <f aca="false">IF($D2346="","",IFERROR(INDEX(Workers!$C$5:$C$2004,MATCH($D2346,Workers!$A$5:$A$2004,0)),""))</f>
        <v/>
      </c>
      <c r="K2346" s="24" t="str">
        <f aca="false">IF($D2346="","",IFERROR(IF(INDEX(Workers!$D$5:$D$2004,MATCH($D2346,Workers!$A$5:$A$2004,0))=0,"",INDEX(Workers!$D$5:$D$2004,MATCH($D2346,Workers!$A$5:$A$2004,0))),""))</f>
        <v/>
      </c>
      <c r="L2346" s="24" t="str">
        <f aca="false">IF($D2346="","",IFERROR(INDEX(Workers!$E$5:$E$2004,MATCH($D2346,Workers!$A$5:$A$2004,0)),""))</f>
        <v/>
      </c>
      <c r="M2346" s="26" t="str">
        <f aca="false">IF($D2346="","",IFERROR(INDEX(ClientRates!$D$5:$D$500,MATCH($B2346&amp;"|"&amp;$L2346,ClientRates!$A$5:$A$500,0)),0))</f>
        <v/>
      </c>
      <c r="N2346" s="26" t="str">
        <f aca="false">IF($D2346="","",IFERROR(INDEX(ClientRates!$E$5:$E$500,MATCH($B2346&amp;"|"&amp;$L2346,ClientRates!$A$5:$A$500,0)),0))</f>
        <v/>
      </c>
      <c r="O2346" s="26" t="str">
        <f aca="false">IF($D2346="","",F2346*M2346+G2346*N2346)</f>
        <v/>
      </c>
      <c r="P2346" s="26" t="str">
        <f aca="false">IF(OR($D2346="",$J2346&lt;&gt;"Supplier"),"",IFERROR(INDEX(SupplierRates!$D$5:$D$500,MATCH($K2346&amp;"|"&amp;$L2346,SupplierRates!$A$5:$A$500,0)),0))</f>
        <v/>
      </c>
      <c r="Q2346" s="26" t="str">
        <f aca="false">IF(OR($D2346="",$J2346&lt;&gt;"Supplier"),"",IFERROR(INDEX(SupplierRates!$E$5:$E$500,MATCH($K2346&amp;"|"&amp;$L2346,SupplierRates!$A$5:$A$500,0)),0))</f>
        <v/>
      </c>
      <c r="R2346" s="26" t="n">
        <f aca="false">IF(OR($D2346="",$J2346&lt;&gt;"Supplier"),0,F2346*P2346+G2346*Q2346)</f>
        <v>0</v>
      </c>
      <c r="S2346" s="26" t="n">
        <f aca="false">IF(OR($D2346="",$J2346&lt;&gt;"Own"),0,IFERROR((F2346+G2346*Settings!$B$13)*INDEX(Workers!$V$5:$V$2004,MATCH($D2346,Workers!$A$5:$A$2004,0)),0))</f>
        <v>0</v>
      </c>
      <c r="T2346" s="26" t="str">
        <f aca="false">IF($D2346="","",O2346-R2346-S2346)</f>
        <v/>
      </c>
    </row>
    <row r="2347" customFormat="false" ht="15" hidden="false" customHeight="false" outlineLevel="0" collapsed="false">
      <c r="I2347" s="24" t="str">
        <f aca="false">IF($D2347="","",IFERROR(INDEX(Workers!$B$5:$B$2004,MATCH($D2347,Workers!$A$5:$A$2004,0)),"NOT FOUND"))</f>
        <v/>
      </c>
      <c r="J2347" s="24" t="str">
        <f aca="false">IF($D2347="","",IFERROR(INDEX(Workers!$C$5:$C$2004,MATCH($D2347,Workers!$A$5:$A$2004,0)),""))</f>
        <v/>
      </c>
      <c r="K2347" s="24" t="str">
        <f aca="false">IF($D2347="","",IFERROR(IF(INDEX(Workers!$D$5:$D$2004,MATCH($D2347,Workers!$A$5:$A$2004,0))=0,"",INDEX(Workers!$D$5:$D$2004,MATCH($D2347,Workers!$A$5:$A$2004,0))),""))</f>
        <v/>
      </c>
      <c r="L2347" s="24" t="str">
        <f aca="false">IF($D2347="","",IFERROR(INDEX(Workers!$E$5:$E$2004,MATCH($D2347,Workers!$A$5:$A$2004,0)),""))</f>
        <v/>
      </c>
      <c r="M2347" s="26" t="str">
        <f aca="false">IF($D2347="","",IFERROR(INDEX(ClientRates!$D$5:$D$500,MATCH($B2347&amp;"|"&amp;$L2347,ClientRates!$A$5:$A$500,0)),0))</f>
        <v/>
      </c>
      <c r="N2347" s="26" t="str">
        <f aca="false">IF($D2347="","",IFERROR(INDEX(ClientRates!$E$5:$E$500,MATCH($B2347&amp;"|"&amp;$L2347,ClientRates!$A$5:$A$500,0)),0))</f>
        <v/>
      </c>
      <c r="O2347" s="26" t="str">
        <f aca="false">IF($D2347="","",F2347*M2347+G2347*N2347)</f>
        <v/>
      </c>
      <c r="P2347" s="26" t="str">
        <f aca="false">IF(OR($D2347="",$J2347&lt;&gt;"Supplier"),"",IFERROR(INDEX(SupplierRates!$D$5:$D$500,MATCH($K2347&amp;"|"&amp;$L2347,SupplierRates!$A$5:$A$500,0)),0))</f>
        <v/>
      </c>
      <c r="Q2347" s="26" t="str">
        <f aca="false">IF(OR($D2347="",$J2347&lt;&gt;"Supplier"),"",IFERROR(INDEX(SupplierRates!$E$5:$E$500,MATCH($K2347&amp;"|"&amp;$L2347,SupplierRates!$A$5:$A$500,0)),0))</f>
        <v/>
      </c>
      <c r="R2347" s="26" t="n">
        <f aca="false">IF(OR($D2347="",$J2347&lt;&gt;"Supplier"),0,F2347*P2347+G2347*Q2347)</f>
        <v>0</v>
      </c>
      <c r="S2347" s="26" t="n">
        <f aca="false">IF(OR($D2347="",$J2347&lt;&gt;"Own"),0,IFERROR((F2347+G2347*Settings!$B$13)*INDEX(Workers!$V$5:$V$2004,MATCH($D2347,Workers!$A$5:$A$2004,0)),0))</f>
        <v>0</v>
      </c>
      <c r="T2347" s="26" t="str">
        <f aca="false">IF($D2347="","",O2347-R2347-S2347)</f>
        <v/>
      </c>
    </row>
    <row r="2348" customFormat="false" ht="15" hidden="false" customHeight="false" outlineLevel="0" collapsed="false">
      <c r="I2348" s="24" t="str">
        <f aca="false">IF($D2348="","",IFERROR(INDEX(Workers!$B$5:$B$2004,MATCH($D2348,Workers!$A$5:$A$2004,0)),"NOT FOUND"))</f>
        <v/>
      </c>
      <c r="J2348" s="24" t="str">
        <f aca="false">IF($D2348="","",IFERROR(INDEX(Workers!$C$5:$C$2004,MATCH($D2348,Workers!$A$5:$A$2004,0)),""))</f>
        <v/>
      </c>
      <c r="K2348" s="24" t="str">
        <f aca="false">IF($D2348="","",IFERROR(IF(INDEX(Workers!$D$5:$D$2004,MATCH($D2348,Workers!$A$5:$A$2004,0))=0,"",INDEX(Workers!$D$5:$D$2004,MATCH($D2348,Workers!$A$5:$A$2004,0))),""))</f>
        <v/>
      </c>
      <c r="L2348" s="24" t="str">
        <f aca="false">IF($D2348="","",IFERROR(INDEX(Workers!$E$5:$E$2004,MATCH($D2348,Workers!$A$5:$A$2004,0)),""))</f>
        <v/>
      </c>
      <c r="M2348" s="26" t="str">
        <f aca="false">IF($D2348="","",IFERROR(INDEX(ClientRates!$D$5:$D$500,MATCH($B2348&amp;"|"&amp;$L2348,ClientRates!$A$5:$A$500,0)),0))</f>
        <v/>
      </c>
      <c r="N2348" s="26" t="str">
        <f aca="false">IF($D2348="","",IFERROR(INDEX(ClientRates!$E$5:$E$500,MATCH($B2348&amp;"|"&amp;$L2348,ClientRates!$A$5:$A$500,0)),0))</f>
        <v/>
      </c>
      <c r="O2348" s="26" t="str">
        <f aca="false">IF($D2348="","",F2348*M2348+G2348*N2348)</f>
        <v/>
      </c>
      <c r="P2348" s="26" t="str">
        <f aca="false">IF(OR($D2348="",$J2348&lt;&gt;"Supplier"),"",IFERROR(INDEX(SupplierRates!$D$5:$D$500,MATCH($K2348&amp;"|"&amp;$L2348,SupplierRates!$A$5:$A$500,0)),0))</f>
        <v/>
      </c>
      <c r="Q2348" s="26" t="str">
        <f aca="false">IF(OR($D2348="",$J2348&lt;&gt;"Supplier"),"",IFERROR(INDEX(SupplierRates!$E$5:$E$500,MATCH($K2348&amp;"|"&amp;$L2348,SupplierRates!$A$5:$A$500,0)),0))</f>
        <v/>
      </c>
      <c r="R2348" s="26" t="n">
        <f aca="false">IF(OR($D2348="",$J2348&lt;&gt;"Supplier"),0,F2348*P2348+G2348*Q2348)</f>
        <v>0</v>
      </c>
      <c r="S2348" s="26" t="n">
        <f aca="false">IF(OR($D2348="",$J2348&lt;&gt;"Own"),0,IFERROR((F2348+G2348*Settings!$B$13)*INDEX(Workers!$V$5:$V$2004,MATCH($D2348,Workers!$A$5:$A$2004,0)),0))</f>
        <v>0</v>
      </c>
      <c r="T2348" s="26" t="str">
        <f aca="false">IF($D2348="","",O2348-R2348-S2348)</f>
        <v/>
      </c>
    </row>
    <row r="2349" customFormat="false" ht="15" hidden="false" customHeight="false" outlineLevel="0" collapsed="false">
      <c r="I2349" s="24" t="str">
        <f aca="false">IF($D2349="","",IFERROR(INDEX(Workers!$B$5:$B$2004,MATCH($D2349,Workers!$A$5:$A$2004,0)),"NOT FOUND"))</f>
        <v/>
      </c>
      <c r="J2349" s="24" t="str">
        <f aca="false">IF($D2349="","",IFERROR(INDEX(Workers!$C$5:$C$2004,MATCH($D2349,Workers!$A$5:$A$2004,0)),""))</f>
        <v/>
      </c>
      <c r="K2349" s="24" t="str">
        <f aca="false">IF($D2349="","",IFERROR(IF(INDEX(Workers!$D$5:$D$2004,MATCH($D2349,Workers!$A$5:$A$2004,0))=0,"",INDEX(Workers!$D$5:$D$2004,MATCH($D2349,Workers!$A$5:$A$2004,0))),""))</f>
        <v/>
      </c>
      <c r="L2349" s="24" t="str">
        <f aca="false">IF($D2349="","",IFERROR(INDEX(Workers!$E$5:$E$2004,MATCH($D2349,Workers!$A$5:$A$2004,0)),""))</f>
        <v/>
      </c>
      <c r="M2349" s="26" t="str">
        <f aca="false">IF($D2349="","",IFERROR(INDEX(ClientRates!$D$5:$D$500,MATCH($B2349&amp;"|"&amp;$L2349,ClientRates!$A$5:$A$500,0)),0))</f>
        <v/>
      </c>
      <c r="N2349" s="26" t="str">
        <f aca="false">IF($D2349="","",IFERROR(INDEX(ClientRates!$E$5:$E$500,MATCH($B2349&amp;"|"&amp;$L2349,ClientRates!$A$5:$A$500,0)),0))</f>
        <v/>
      </c>
      <c r="O2349" s="26" t="str">
        <f aca="false">IF($D2349="","",F2349*M2349+G2349*N2349)</f>
        <v/>
      </c>
      <c r="P2349" s="26" t="str">
        <f aca="false">IF(OR($D2349="",$J2349&lt;&gt;"Supplier"),"",IFERROR(INDEX(SupplierRates!$D$5:$D$500,MATCH($K2349&amp;"|"&amp;$L2349,SupplierRates!$A$5:$A$500,0)),0))</f>
        <v/>
      </c>
      <c r="Q2349" s="26" t="str">
        <f aca="false">IF(OR($D2349="",$J2349&lt;&gt;"Supplier"),"",IFERROR(INDEX(SupplierRates!$E$5:$E$500,MATCH($K2349&amp;"|"&amp;$L2349,SupplierRates!$A$5:$A$500,0)),0))</f>
        <v/>
      </c>
      <c r="R2349" s="26" t="n">
        <f aca="false">IF(OR($D2349="",$J2349&lt;&gt;"Supplier"),0,F2349*P2349+G2349*Q2349)</f>
        <v>0</v>
      </c>
      <c r="S2349" s="26" t="n">
        <f aca="false">IF(OR($D2349="",$J2349&lt;&gt;"Own"),0,IFERROR((F2349+G2349*Settings!$B$13)*INDEX(Workers!$V$5:$V$2004,MATCH($D2349,Workers!$A$5:$A$2004,0)),0))</f>
        <v>0</v>
      </c>
      <c r="T2349" s="26" t="str">
        <f aca="false">IF($D2349="","",O2349-R2349-S2349)</f>
        <v/>
      </c>
    </row>
    <row r="2350" customFormat="false" ht="15" hidden="false" customHeight="false" outlineLevel="0" collapsed="false">
      <c r="I2350" s="24" t="str">
        <f aca="false">IF($D2350="","",IFERROR(INDEX(Workers!$B$5:$B$2004,MATCH($D2350,Workers!$A$5:$A$2004,0)),"NOT FOUND"))</f>
        <v/>
      </c>
      <c r="J2350" s="24" t="str">
        <f aca="false">IF($D2350="","",IFERROR(INDEX(Workers!$C$5:$C$2004,MATCH($D2350,Workers!$A$5:$A$2004,0)),""))</f>
        <v/>
      </c>
      <c r="K2350" s="24" t="str">
        <f aca="false">IF($D2350="","",IFERROR(IF(INDEX(Workers!$D$5:$D$2004,MATCH($D2350,Workers!$A$5:$A$2004,0))=0,"",INDEX(Workers!$D$5:$D$2004,MATCH($D2350,Workers!$A$5:$A$2004,0))),""))</f>
        <v/>
      </c>
      <c r="L2350" s="24" t="str">
        <f aca="false">IF($D2350="","",IFERROR(INDEX(Workers!$E$5:$E$2004,MATCH($D2350,Workers!$A$5:$A$2004,0)),""))</f>
        <v/>
      </c>
      <c r="M2350" s="26" t="str">
        <f aca="false">IF($D2350="","",IFERROR(INDEX(ClientRates!$D$5:$D$500,MATCH($B2350&amp;"|"&amp;$L2350,ClientRates!$A$5:$A$500,0)),0))</f>
        <v/>
      </c>
      <c r="N2350" s="26" t="str">
        <f aca="false">IF($D2350="","",IFERROR(INDEX(ClientRates!$E$5:$E$500,MATCH($B2350&amp;"|"&amp;$L2350,ClientRates!$A$5:$A$500,0)),0))</f>
        <v/>
      </c>
      <c r="O2350" s="26" t="str">
        <f aca="false">IF($D2350="","",F2350*M2350+G2350*N2350)</f>
        <v/>
      </c>
      <c r="P2350" s="26" t="str">
        <f aca="false">IF(OR($D2350="",$J2350&lt;&gt;"Supplier"),"",IFERROR(INDEX(SupplierRates!$D$5:$D$500,MATCH($K2350&amp;"|"&amp;$L2350,SupplierRates!$A$5:$A$500,0)),0))</f>
        <v/>
      </c>
      <c r="Q2350" s="26" t="str">
        <f aca="false">IF(OR($D2350="",$J2350&lt;&gt;"Supplier"),"",IFERROR(INDEX(SupplierRates!$E$5:$E$500,MATCH($K2350&amp;"|"&amp;$L2350,SupplierRates!$A$5:$A$500,0)),0))</f>
        <v/>
      </c>
      <c r="R2350" s="26" t="n">
        <f aca="false">IF(OR($D2350="",$J2350&lt;&gt;"Supplier"),0,F2350*P2350+G2350*Q2350)</f>
        <v>0</v>
      </c>
      <c r="S2350" s="26" t="n">
        <f aca="false">IF(OR($D2350="",$J2350&lt;&gt;"Own"),0,IFERROR((F2350+G2350*Settings!$B$13)*INDEX(Workers!$V$5:$V$2004,MATCH($D2350,Workers!$A$5:$A$2004,0)),0))</f>
        <v>0</v>
      </c>
      <c r="T2350" s="26" t="str">
        <f aca="false">IF($D2350="","",O2350-R2350-S2350)</f>
        <v/>
      </c>
    </row>
    <row r="2351" customFormat="false" ht="15" hidden="false" customHeight="false" outlineLevel="0" collapsed="false">
      <c r="I2351" s="24" t="str">
        <f aca="false">IF($D2351="","",IFERROR(INDEX(Workers!$B$5:$B$2004,MATCH($D2351,Workers!$A$5:$A$2004,0)),"NOT FOUND"))</f>
        <v/>
      </c>
      <c r="J2351" s="24" t="str">
        <f aca="false">IF($D2351="","",IFERROR(INDEX(Workers!$C$5:$C$2004,MATCH($D2351,Workers!$A$5:$A$2004,0)),""))</f>
        <v/>
      </c>
      <c r="K2351" s="24" t="str">
        <f aca="false">IF($D2351="","",IFERROR(IF(INDEX(Workers!$D$5:$D$2004,MATCH($D2351,Workers!$A$5:$A$2004,0))=0,"",INDEX(Workers!$D$5:$D$2004,MATCH($D2351,Workers!$A$5:$A$2004,0))),""))</f>
        <v/>
      </c>
      <c r="L2351" s="24" t="str">
        <f aca="false">IF($D2351="","",IFERROR(INDEX(Workers!$E$5:$E$2004,MATCH($D2351,Workers!$A$5:$A$2004,0)),""))</f>
        <v/>
      </c>
      <c r="M2351" s="26" t="str">
        <f aca="false">IF($D2351="","",IFERROR(INDEX(ClientRates!$D$5:$D$500,MATCH($B2351&amp;"|"&amp;$L2351,ClientRates!$A$5:$A$500,0)),0))</f>
        <v/>
      </c>
      <c r="N2351" s="26" t="str">
        <f aca="false">IF($D2351="","",IFERROR(INDEX(ClientRates!$E$5:$E$500,MATCH($B2351&amp;"|"&amp;$L2351,ClientRates!$A$5:$A$500,0)),0))</f>
        <v/>
      </c>
      <c r="O2351" s="26" t="str">
        <f aca="false">IF($D2351="","",F2351*M2351+G2351*N2351)</f>
        <v/>
      </c>
      <c r="P2351" s="26" t="str">
        <f aca="false">IF(OR($D2351="",$J2351&lt;&gt;"Supplier"),"",IFERROR(INDEX(SupplierRates!$D$5:$D$500,MATCH($K2351&amp;"|"&amp;$L2351,SupplierRates!$A$5:$A$500,0)),0))</f>
        <v/>
      </c>
      <c r="Q2351" s="26" t="str">
        <f aca="false">IF(OR($D2351="",$J2351&lt;&gt;"Supplier"),"",IFERROR(INDEX(SupplierRates!$E$5:$E$500,MATCH($K2351&amp;"|"&amp;$L2351,SupplierRates!$A$5:$A$500,0)),0))</f>
        <v/>
      </c>
      <c r="R2351" s="26" t="n">
        <f aca="false">IF(OR($D2351="",$J2351&lt;&gt;"Supplier"),0,F2351*P2351+G2351*Q2351)</f>
        <v>0</v>
      </c>
      <c r="S2351" s="26" t="n">
        <f aca="false">IF(OR($D2351="",$J2351&lt;&gt;"Own"),0,IFERROR((F2351+G2351*Settings!$B$13)*INDEX(Workers!$V$5:$V$2004,MATCH($D2351,Workers!$A$5:$A$2004,0)),0))</f>
        <v>0</v>
      </c>
      <c r="T2351" s="26" t="str">
        <f aca="false">IF($D2351="","",O2351-R2351-S2351)</f>
        <v/>
      </c>
    </row>
    <row r="2352" customFormat="false" ht="15" hidden="false" customHeight="false" outlineLevel="0" collapsed="false">
      <c r="I2352" s="24" t="str">
        <f aca="false">IF($D2352="","",IFERROR(INDEX(Workers!$B$5:$B$2004,MATCH($D2352,Workers!$A$5:$A$2004,0)),"NOT FOUND"))</f>
        <v/>
      </c>
      <c r="J2352" s="24" t="str">
        <f aca="false">IF($D2352="","",IFERROR(INDEX(Workers!$C$5:$C$2004,MATCH($D2352,Workers!$A$5:$A$2004,0)),""))</f>
        <v/>
      </c>
      <c r="K2352" s="24" t="str">
        <f aca="false">IF($D2352="","",IFERROR(IF(INDEX(Workers!$D$5:$D$2004,MATCH($D2352,Workers!$A$5:$A$2004,0))=0,"",INDEX(Workers!$D$5:$D$2004,MATCH($D2352,Workers!$A$5:$A$2004,0))),""))</f>
        <v/>
      </c>
      <c r="L2352" s="24" t="str">
        <f aca="false">IF($D2352="","",IFERROR(INDEX(Workers!$E$5:$E$2004,MATCH($D2352,Workers!$A$5:$A$2004,0)),""))</f>
        <v/>
      </c>
      <c r="M2352" s="26" t="str">
        <f aca="false">IF($D2352="","",IFERROR(INDEX(ClientRates!$D$5:$D$500,MATCH($B2352&amp;"|"&amp;$L2352,ClientRates!$A$5:$A$500,0)),0))</f>
        <v/>
      </c>
      <c r="N2352" s="26" t="str">
        <f aca="false">IF($D2352="","",IFERROR(INDEX(ClientRates!$E$5:$E$500,MATCH($B2352&amp;"|"&amp;$L2352,ClientRates!$A$5:$A$500,0)),0))</f>
        <v/>
      </c>
      <c r="O2352" s="26" t="str">
        <f aca="false">IF($D2352="","",F2352*M2352+G2352*N2352)</f>
        <v/>
      </c>
      <c r="P2352" s="26" t="str">
        <f aca="false">IF(OR($D2352="",$J2352&lt;&gt;"Supplier"),"",IFERROR(INDEX(SupplierRates!$D$5:$D$500,MATCH($K2352&amp;"|"&amp;$L2352,SupplierRates!$A$5:$A$500,0)),0))</f>
        <v/>
      </c>
      <c r="Q2352" s="26" t="str">
        <f aca="false">IF(OR($D2352="",$J2352&lt;&gt;"Supplier"),"",IFERROR(INDEX(SupplierRates!$E$5:$E$500,MATCH($K2352&amp;"|"&amp;$L2352,SupplierRates!$A$5:$A$500,0)),0))</f>
        <v/>
      </c>
      <c r="R2352" s="26" t="n">
        <f aca="false">IF(OR($D2352="",$J2352&lt;&gt;"Supplier"),0,F2352*P2352+G2352*Q2352)</f>
        <v>0</v>
      </c>
      <c r="S2352" s="26" t="n">
        <f aca="false">IF(OR($D2352="",$J2352&lt;&gt;"Own"),0,IFERROR((F2352+G2352*Settings!$B$13)*INDEX(Workers!$V$5:$V$2004,MATCH($D2352,Workers!$A$5:$A$2004,0)),0))</f>
        <v>0</v>
      </c>
      <c r="T2352" s="26" t="str">
        <f aca="false">IF($D2352="","",O2352-R2352-S2352)</f>
        <v/>
      </c>
    </row>
    <row r="2353" customFormat="false" ht="15" hidden="false" customHeight="false" outlineLevel="0" collapsed="false">
      <c r="I2353" s="24" t="str">
        <f aca="false">IF($D2353="","",IFERROR(INDEX(Workers!$B$5:$B$2004,MATCH($D2353,Workers!$A$5:$A$2004,0)),"NOT FOUND"))</f>
        <v/>
      </c>
      <c r="J2353" s="24" t="str">
        <f aca="false">IF($D2353="","",IFERROR(INDEX(Workers!$C$5:$C$2004,MATCH($D2353,Workers!$A$5:$A$2004,0)),""))</f>
        <v/>
      </c>
      <c r="K2353" s="24" t="str">
        <f aca="false">IF($D2353="","",IFERROR(IF(INDEX(Workers!$D$5:$D$2004,MATCH($D2353,Workers!$A$5:$A$2004,0))=0,"",INDEX(Workers!$D$5:$D$2004,MATCH($D2353,Workers!$A$5:$A$2004,0))),""))</f>
        <v/>
      </c>
      <c r="L2353" s="24" t="str">
        <f aca="false">IF($D2353="","",IFERROR(INDEX(Workers!$E$5:$E$2004,MATCH($D2353,Workers!$A$5:$A$2004,0)),""))</f>
        <v/>
      </c>
      <c r="M2353" s="26" t="str">
        <f aca="false">IF($D2353="","",IFERROR(INDEX(ClientRates!$D$5:$D$500,MATCH($B2353&amp;"|"&amp;$L2353,ClientRates!$A$5:$A$500,0)),0))</f>
        <v/>
      </c>
      <c r="N2353" s="26" t="str">
        <f aca="false">IF($D2353="","",IFERROR(INDEX(ClientRates!$E$5:$E$500,MATCH($B2353&amp;"|"&amp;$L2353,ClientRates!$A$5:$A$500,0)),0))</f>
        <v/>
      </c>
      <c r="O2353" s="26" t="str">
        <f aca="false">IF($D2353="","",F2353*M2353+G2353*N2353)</f>
        <v/>
      </c>
      <c r="P2353" s="26" t="str">
        <f aca="false">IF(OR($D2353="",$J2353&lt;&gt;"Supplier"),"",IFERROR(INDEX(SupplierRates!$D$5:$D$500,MATCH($K2353&amp;"|"&amp;$L2353,SupplierRates!$A$5:$A$500,0)),0))</f>
        <v/>
      </c>
      <c r="Q2353" s="26" t="str">
        <f aca="false">IF(OR($D2353="",$J2353&lt;&gt;"Supplier"),"",IFERROR(INDEX(SupplierRates!$E$5:$E$500,MATCH($K2353&amp;"|"&amp;$L2353,SupplierRates!$A$5:$A$500,0)),0))</f>
        <v/>
      </c>
      <c r="R2353" s="26" t="n">
        <f aca="false">IF(OR($D2353="",$J2353&lt;&gt;"Supplier"),0,F2353*P2353+G2353*Q2353)</f>
        <v>0</v>
      </c>
      <c r="S2353" s="26" t="n">
        <f aca="false">IF(OR($D2353="",$J2353&lt;&gt;"Own"),0,IFERROR((F2353+G2353*Settings!$B$13)*INDEX(Workers!$V$5:$V$2004,MATCH($D2353,Workers!$A$5:$A$2004,0)),0))</f>
        <v>0</v>
      </c>
      <c r="T2353" s="26" t="str">
        <f aca="false">IF($D2353="","",O2353-R2353-S2353)</f>
        <v/>
      </c>
    </row>
    <row r="2354" customFormat="false" ht="15" hidden="false" customHeight="false" outlineLevel="0" collapsed="false">
      <c r="I2354" s="24" t="str">
        <f aca="false">IF($D2354="","",IFERROR(INDEX(Workers!$B$5:$B$2004,MATCH($D2354,Workers!$A$5:$A$2004,0)),"NOT FOUND"))</f>
        <v/>
      </c>
      <c r="J2354" s="24" t="str">
        <f aca="false">IF($D2354="","",IFERROR(INDEX(Workers!$C$5:$C$2004,MATCH($D2354,Workers!$A$5:$A$2004,0)),""))</f>
        <v/>
      </c>
      <c r="K2354" s="24" t="str">
        <f aca="false">IF($D2354="","",IFERROR(IF(INDEX(Workers!$D$5:$D$2004,MATCH($D2354,Workers!$A$5:$A$2004,0))=0,"",INDEX(Workers!$D$5:$D$2004,MATCH($D2354,Workers!$A$5:$A$2004,0))),""))</f>
        <v/>
      </c>
      <c r="L2354" s="24" t="str">
        <f aca="false">IF($D2354="","",IFERROR(INDEX(Workers!$E$5:$E$2004,MATCH($D2354,Workers!$A$5:$A$2004,0)),""))</f>
        <v/>
      </c>
      <c r="M2354" s="26" t="str">
        <f aca="false">IF($D2354="","",IFERROR(INDEX(ClientRates!$D$5:$D$500,MATCH($B2354&amp;"|"&amp;$L2354,ClientRates!$A$5:$A$500,0)),0))</f>
        <v/>
      </c>
      <c r="N2354" s="26" t="str">
        <f aca="false">IF($D2354="","",IFERROR(INDEX(ClientRates!$E$5:$E$500,MATCH($B2354&amp;"|"&amp;$L2354,ClientRates!$A$5:$A$500,0)),0))</f>
        <v/>
      </c>
      <c r="O2354" s="26" t="str">
        <f aca="false">IF($D2354="","",F2354*M2354+G2354*N2354)</f>
        <v/>
      </c>
      <c r="P2354" s="26" t="str">
        <f aca="false">IF(OR($D2354="",$J2354&lt;&gt;"Supplier"),"",IFERROR(INDEX(SupplierRates!$D$5:$D$500,MATCH($K2354&amp;"|"&amp;$L2354,SupplierRates!$A$5:$A$500,0)),0))</f>
        <v/>
      </c>
      <c r="Q2354" s="26" t="str">
        <f aca="false">IF(OR($D2354="",$J2354&lt;&gt;"Supplier"),"",IFERROR(INDEX(SupplierRates!$E$5:$E$500,MATCH($K2354&amp;"|"&amp;$L2354,SupplierRates!$A$5:$A$500,0)),0))</f>
        <v/>
      </c>
      <c r="R2354" s="26" t="n">
        <f aca="false">IF(OR($D2354="",$J2354&lt;&gt;"Supplier"),0,F2354*P2354+G2354*Q2354)</f>
        <v>0</v>
      </c>
      <c r="S2354" s="26" t="n">
        <f aca="false">IF(OR($D2354="",$J2354&lt;&gt;"Own"),0,IFERROR((F2354+G2354*Settings!$B$13)*INDEX(Workers!$V$5:$V$2004,MATCH($D2354,Workers!$A$5:$A$2004,0)),0))</f>
        <v>0</v>
      </c>
      <c r="T2354" s="26" t="str">
        <f aca="false">IF($D2354="","",O2354-R2354-S2354)</f>
        <v/>
      </c>
    </row>
    <row r="2355" customFormat="false" ht="15" hidden="false" customHeight="false" outlineLevel="0" collapsed="false">
      <c r="I2355" s="24" t="str">
        <f aca="false">IF($D2355="","",IFERROR(INDEX(Workers!$B$5:$B$2004,MATCH($D2355,Workers!$A$5:$A$2004,0)),"NOT FOUND"))</f>
        <v/>
      </c>
      <c r="J2355" s="24" t="str">
        <f aca="false">IF($D2355="","",IFERROR(INDEX(Workers!$C$5:$C$2004,MATCH($D2355,Workers!$A$5:$A$2004,0)),""))</f>
        <v/>
      </c>
      <c r="K2355" s="24" t="str">
        <f aca="false">IF($D2355="","",IFERROR(IF(INDEX(Workers!$D$5:$D$2004,MATCH($D2355,Workers!$A$5:$A$2004,0))=0,"",INDEX(Workers!$D$5:$D$2004,MATCH($D2355,Workers!$A$5:$A$2004,0))),""))</f>
        <v/>
      </c>
      <c r="L2355" s="24" t="str">
        <f aca="false">IF($D2355="","",IFERROR(INDEX(Workers!$E$5:$E$2004,MATCH($D2355,Workers!$A$5:$A$2004,0)),""))</f>
        <v/>
      </c>
      <c r="M2355" s="26" t="str">
        <f aca="false">IF($D2355="","",IFERROR(INDEX(ClientRates!$D$5:$D$500,MATCH($B2355&amp;"|"&amp;$L2355,ClientRates!$A$5:$A$500,0)),0))</f>
        <v/>
      </c>
      <c r="N2355" s="26" t="str">
        <f aca="false">IF($D2355="","",IFERROR(INDEX(ClientRates!$E$5:$E$500,MATCH($B2355&amp;"|"&amp;$L2355,ClientRates!$A$5:$A$500,0)),0))</f>
        <v/>
      </c>
      <c r="O2355" s="26" t="str">
        <f aca="false">IF($D2355="","",F2355*M2355+G2355*N2355)</f>
        <v/>
      </c>
      <c r="P2355" s="26" t="str">
        <f aca="false">IF(OR($D2355="",$J2355&lt;&gt;"Supplier"),"",IFERROR(INDEX(SupplierRates!$D$5:$D$500,MATCH($K2355&amp;"|"&amp;$L2355,SupplierRates!$A$5:$A$500,0)),0))</f>
        <v/>
      </c>
      <c r="Q2355" s="26" t="str">
        <f aca="false">IF(OR($D2355="",$J2355&lt;&gt;"Supplier"),"",IFERROR(INDEX(SupplierRates!$E$5:$E$500,MATCH($K2355&amp;"|"&amp;$L2355,SupplierRates!$A$5:$A$500,0)),0))</f>
        <v/>
      </c>
      <c r="R2355" s="26" t="n">
        <f aca="false">IF(OR($D2355="",$J2355&lt;&gt;"Supplier"),0,F2355*P2355+G2355*Q2355)</f>
        <v>0</v>
      </c>
      <c r="S2355" s="26" t="n">
        <f aca="false">IF(OR($D2355="",$J2355&lt;&gt;"Own"),0,IFERROR((F2355+G2355*Settings!$B$13)*INDEX(Workers!$V$5:$V$2004,MATCH($D2355,Workers!$A$5:$A$2004,0)),0))</f>
        <v>0</v>
      </c>
      <c r="T2355" s="26" t="str">
        <f aca="false">IF($D2355="","",O2355-R2355-S2355)</f>
        <v/>
      </c>
    </row>
    <row r="2356" customFormat="false" ht="15" hidden="false" customHeight="false" outlineLevel="0" collapsed="false">
      <c r="I2356" s="24" t="str">
        <f aca="false">IF($D2356="","",IFERROR(INDEX(Workers!$B$5:$B$2004,MATCH($D2356,Workers!$A$5:$A$2004,0)),"NOT FOUND"))</f>
        <v/>
      </c>
      <c r="J2356" s="24" t="str">
        <f aca="false">IF($D2356="","",IFERROR(INDEX(Workers!$C$5:$C$2004,MATCH($D2356,Workers!$A$5:$A$2004,0)),""))</f>
        <v/>
      </c>
      <c r="K2356" s="24" t="str">
        <f aca="false">IF($D2356="","",IFERROR(IF(INDEX(Workers!$D$5:$D$2004,MATCH($D2356,Workers!$A$5:$A$2004,0))=0,"",INDEX(Workers!$D$5:$D$2004,MATCH($D2356,Workers!$A$5:$A$2004,0))),""))</f>
        <v/>
      </c>
      <c r="L2356" s="24" t="str">
        <f aca="false">IF($D2356="","",IFERROR(INDEX(Workers!$E$5:$E$2004,MATCH($D2356,Workers!$A$5:$A$2004,0)),""))</f>
        <v/>
      </c>
      <c r="M2356" s="26" t="str">
        <f aca="false">IF($D2356="","",IFERROR(INDEX(ClientRates!$D$5:$D$500,MATCH($B2356&amp;"|"&amp;$L2356,ClientRates!$A$5:$A$500,0)),0))</f>
        <v/>
      </c>
      <c r="N2356" s="26" t="str">
        <f aca="false">IF($D2356="","",IFERROR(INDEX(ClientRates!$E$5:$E$500,MATCH($B2356&amp;"|"&amp;$L2356,ClientRates!$A$5:$A$500,0)),0))</f>
        <v/>
      </c>
      <c r="O2356" s="26" t="str">
        <f aca="false">IF($D2356="","",F2356*M2356+G2356*N2356)</f>
        <v/>
      </c>
      <c r="P2356" s="26" t="str">
        <f aca="false">IF(OR($D2356="",$J2356&lt;&gt;"Supplier"),"",IFERROR(INDEX(SupplierRates!$D$5:$D$500,MATCH($K2356&amp;"|"&amp;$L2356,SupplierRates!$A$5:$A$500,0)),0))</f>
        <v/>
      </c>
      <c r="Q2356" s="26" t="str">
        <f aca="false">IF(OR($D2356="",$J2356&lt;&gt;"Supplier"),"",IFERROR(INDEX(SupplierRates!$E$5:$E$500,MATCH($K2356&amp;"|"&amp;$L2356,SupplierRates!$A$5:$A$500,0)),0))</f>
        <v/>
      </c>
      <c r="R2356" s="26" t="n">
        <f aca="false">IF(OR($D2356="",$J2356&lt;&gt;"Supplier"),0,F2356*P2356+G2356*Q2356)</f>
        <v>0</v>
      </c>
      <c r="S2356" s="26" t="n">
        <f aca="false">IF(OR($D2356="",$J2356&lt;&gt;"Own"),0,IFERROR((F2356+G2356*Settings!$B$13)*INDEX(Workers!$V$5:$V$2004,MATCH($D2356,Workers!$A$5:$A$2004,0)),0))</f>
        <v>0</v>
      </c>
      <c r="T2356" s="26" t="str">
        <f aca="false">IF($D2356="","",O2356-R2356-S2356)</f>
        <v/>
      </c>
    </row>
    <row r="2357" customFormat="false" ht="15" hidden="false" customHeight="false" outlineLevel="0" collapsed="false">
      <c r="I2357" s="24" t="str">
        <f aca="false">IF($D2357="","",IFERROR(INDEX(Workers!$B$5:$B$2004,MATCH($D2357,Workers!$A$5:$A$2004,0)),"NOT FOUND"))</f>
        <v/>
      </c>
      <c r="J2357" s="24" t="str">
        <f aca="false">IF($D2357="","",IFERROR(INDEX(Workers!$C$5:$C$2004,MATCH($D2357,Workers!$A$5:$A$2004,0)),""))</f>
        <v/>
      </c>
      <c r="K2357" s="24" t="str">
        <f aca="false">IF($D2357="","",IFERROR(IF(INDEX(Workers!$D$5:$D$2004,MATCH($D2357,Workers!$A$5:$A$2004,0))=0,"",INDEX(Workers!$D$5:$D$2004,MATCH($D2357,Workers!$A$5:$A$2004,0))),""))</f>
        <v/>
      </c>
      <c r="L2357" s="24" t="str">
        <f aca="false">IF($D2357="","",IFERROR(INDEX(Workers!$E$5:$E$2004,MATCH($D2357,Workers!$A$5:$A$2004,0)),""))</f>
        <v/>
      </c>
      <c r="M2357" s="26" t="str">
        <f aca="false">IF($D2357="","",IFERROR(INDEX(ClientRates!$D$5:$D$500,MATCH($B2357&amp;"|"&amp;$L2357,ClientRates!$A$5:$A$500,0)),0))</f>
        <v/>
      </c>
      <c r="N2357" s="26" t="str">
        <f aca="false">IF($D2357="","",IFERROR(INDEX(ClientRates!$E$5:$E$500,MATCH($B2357&amp;"|"&amp;$L2357,ClientRates!$A$5:$A$500,0)),0))</f>
        <v/>
      </c>
      <c r="O2357" s="26" t="str">
        <f aca="false">IF($D2357="","",F2357*M2357+G2357*N2357)</f>
        <v/>
      </c>
      <c r="P2357" s="26" t="str">
        <f aca="false">IF(OR($D2357="",$J2357&lt;&gt;"Supplier"),"",IFERROR(INDEX(SupplierRates!$D$5:$D$500,MATCH($K2357&amp;"|"&amp;$L2357,SupplierRates!$A$5:$A$500,0)),0))</f>
        <v/>
      </c>
      <c r="Q2357" s="26" t="str">
        <f aca="false">IF(OR($D2357="",$J2357&lt;&gt;"Supplier"),"",IFERROR(INDEX(SupplierRates!$E$5:$E$500,MATCH($K2357&amp;"|"&amp;$L2357,SupplierRates!$A$5:$A$500,0)),0))</f>
        <v/>
      </c>
      <c r="R2357" s="26" t="n">
        <f aca="false">IF(OR($D2357="",$J2357&lt;&gt;"Supplier"),0,F2357*P2357+G2357*Q2357)</f>
        <v>0</v>
      </c>
      <c r="S2357" s="26" t="n">
        <f aca="false">IF(OR($D2357="",$J2357&lt;&gt;"Own"),0,IFERROR((F2357+G2357*Settings!$B$13)*INDEX(Workers!$V$5:$V$2004,MATCH($D2357,Workers!$A$5:$A$2004,0)),0))</f>
        <v>0</v>
      </c>
      <c r="T2357" s="26" t="str">
        <f aca="false">IF($D2357="","",O2357-R2357-S2357)</f>
        <v/>
      </c>
    </row>
    <row r="2358" customFormat="false" ht="15" hidden="false" customHeight="false" outlineLevel="0" collapsed="false">
      <c r="I2358" s="24" t="str">
        <f aca="false">IF($D2358="","",IFERROR(INDEX(Workers!$B$5:$B$2004,MATCH($D2358,Workers!$A$5:$A$2004,0)),"NOT FOUND"))</f>
        <v/>
      </c>
      <c r="J2358" s="24" t="str">
        <f aca="false">IF($D2358="","",IFERROR(INDEX(Workers!$C$5:$C$2004,MATCH($D2358,Workers!$A$5:$A$2004,0)),""))</f>
        <v/>
      </c>
      <c r="K2358" s="24" t="str">
        <f aca="false">IF($D2358="","",IFERROR(IF(INDEX(Workers!$D$5:$D$2004,MATCH($D2358,Workers!$A$5:$A$2004,0))=0,"",INDEX(Workers!$D$5:$D$2004,MATCH($D2358,Workers!$A$5:$A$2004,0))),""))</f>
        <v/>
      </c>
      <c r="L2358" s="24" t="str">
        <f aca="false">IF($D2358="","",IFERROR(INDEX(Workers!$E$5:$E$2004,MATCH($D2358,Workers!$A$5:$A$2004,0)),""))</f>
        <v/>
      </c>
      <c r="M2358" s="26" t="str">
        <f aca="false">IF($D2358="","",IFERROR(INDEX(ClientRates!$D$5:$D$500,MATCH($B2358&amp;"|"&amp;$L2358,ClientRates!$A$5:$A$500,0)),0))</f>
        <v/>
      </c>
      <c r="N2358" s="26" t="str">
        <f aca="false">IF($D2358="","",IFERROR(INDEX(ClientRates!$E$5:$E$500,MATCH($B2358&amp;"|"&amp;$L2358,ClientRates!$A$5:$A$500,0)),0))</f>
        <v/>
      </c>
      <c r="O2358" s="26" t="str">
        <f aca="false">IF($D2358="","",F2358*M2358+G2358*N2358)</f>
        <v/>
      </c>
      <c r="P2358" s="26" t="str">
        <f aca="false">IF(OR($D2358="",$J2358&lt;&gt;"Supplier"),"",IFERROR(INDEX(SupplierRates!$D$5:$D$500,MATCH($K2358&amp;"|"&amp;$L2358,SupplierRates!$A$5:$A$500,0)),0))</f>
        <v/>
      </c>
      <c r="Q2358" s="26" t="str">
        <f aca="false">IF(OR($D2358="",$J2358&lt;&gt;"Supplier"),"",IFERROR(INDEX(SupplierRates!$E$5:$E$500,MATCH($K2358&amp;"|"&amp;$L2358,SupplierRates!$A$5:$A$500,0)),0))</f>
        <v/>
      </c>
      <c r="R2358" s="26" t="n">
        <f aca="false">IF(OR($D2358="",$J2358&lt;&gt;"Supplier"),0,F2358*P2358+G2358*Q2358)</f>
        <v>0</v>
      </c>
      <c r="S2358" s="26" t="n">
        <f aca="false">IF(OR($D2358="",$J2358&lt;&gt;"Own"),0,IFERROR((F2358+G2358*Settings!$B$13)*INDEX(Workers!$V$5:$V$2004,MATCH($D2358,Workers!$A$5:$A$2004,0)),0))</f>
        <v>0</v>
      </c>
      <c r="T2358" s="26" t="str">
        <f aca="false">IF($D2358="","",O2358-R2358-S2358)</f>
        <v/>
      </c>
    </row>
    <row r="2359" customFormat="false" ht="15" hidden="false" customHeight="false" outlineLevel="0" collapsed="false">
      <c r="I2359" s="24" t="str">
        <f aca="false">IF($D2359="","",IFERROR(INDEX(Workers!$B$5:$B$2004,MATCH($D2359,Workers!$A$5:$A$2004,0)),"NOT FOUND"))</f>
        <v/>
      </c>
      <c r="J2359" s="24" t="str">
        <f aca="false">IF($D2359="","",IFERROR(INDEX(Workers!$C$5:$C$2004,MATCH($D2359,Workers!$A$5:$A$2004,0)),""))</f>
        <v/>
      </c>
      <c r="K2359" s="24" t="str">
        <f aca="false">IF($D2359="","",IFERROR(IF(INDEX(Workers!$D$5:$D$2004,MATCH($D2359,Workers!$A$5:$A$2004,0))=0,"",INDEX(Workers!$D$5:$D$2004,MATCH($D2359,Workers!$A$5:$A$2004,0))),""))</f>
        <v/>
      </c>
      <c r="L2359" s="24" t="str">
        <f aca="false">IF($D2359="","",IFERROR(INDEX(Workers!$E$5:$E$2004,MATCH($D2359,Workers!$A$5:$A$2004,0)),""))</f>
        <v/>
      </c>
      <c r="M2359" s="26" t="str">
        <f aca="false">IF($D2359="","",IFERROR(INDEX(ClientRates!$D$5:$D$500,MATCH($B2359&amp;"|"&amp;$L2359,ClientRates!$A$5:$A$500,0)),0))</f>
        <v/>
      </c>
      <c r="N2359" s="26" t="str">
        <f aca="false">IF($D2359="","",IFERROR(INDEX(ClientRates!$E$5:$E$500,MATCH($B2359&amp;"|"&amp;$L2359,ClientRates!$A$5:$A$500,0)),0))</f>
        <v/>
      </c>
      <c r="O2359" s="26" t="str">
        <f aca="false">IF($D2359="","",F2359*M2359+G2359*N2359)</f>
        <v/>
      </c>
      <c r="P2359" s="26" t="str">
        <f aca="false">IF(OR($D2359="",$J2359&lt;&gt;"Supplier"),"",IFERROR(INDEX(SupplierRates!$D$5:$D$500,MATCH($K2359&amp;"|"&amp;$L2359,SupplierRates!$A$5:$A$500,0)),0))</f>
        <v/>
      </c>
      <c r="Q2359" s="26" t="str">
        <f aca="false">IF(OR($D2359="",$J2359&lt;&gt;"Supplier"),"",IFERROR(INDEX(SupplierRates!$E$5:$E$500,MATCH($K2359&amp;"|"&amp;$L2359,SupplierRates!$A$5:$A$500,0)),0))</f>
        <v/>
      </c>
      <c r="R2359" s="26" t="n">
        <f aca="false">IF(OR($D2359="",$J2359&lt;&gt;"Supplier"),0,F2359*P2359+G2359*Q2359)</f>
        <v>0</v>
      </c>
      <c r="S2359" s="26" t="n">
        <f aca="false">IF(OR($D2359="",$J2359&lt;&gt;"Own"),0,IFERROR((F2359+G2359*Settings!$B$13)*INDEX(Workers!$V$5:$V$2004,MATCH($D2359,Workers!$A$5:$A$2004,0)),0))</f>
        <v>0</v>
      </c>
      <c r="T2359" s="26" t="str">
        <f aca="false">IF($D2359="","",O2359-R2359-S2359)</f>
        <v/>
      </c>
    </row>
    <row r="2360" customFormat="false" ht="15" hidden="false" customHeight="false" outlineLevel="0" collapsed="false">
      <c r="I2360" s="24" t="str">
        <f aca="false">IF($D2360="","",IFERROR(INDEX(Workers!$B$5:$B$2004,MATCH($D2360,Workers!$A$5:$A$2004,0)),"NOT FOUND"))</f>
        <v/>
      </c>
      <c r="J2360" s="24" t="str">
        <f aca="false">IF($D2360="","",IFERROR(INDEX(Workers!$C$5:$C$2004,MATCH($D2360,Workers!$A$5:$A$2004,0)),""))</f>
        <v/>
      </c>
      <c r="K2360" s="24" t="str">
        <f aca="false">IF($D2360="","",IFERROR(IF(INDEX(Workers!$D$5:$D$2004,MATCH($D2360,Workers!$A$5:$A$2004,0))=0,"",INDEX(Workers!$D$5:$D$2004,MATCH($D2360,Workers!$A$5:$A$2004,0))),""))</f>
        <v/>
      </c>
      <c r="L2360" s="24" t="str">
        <f aca="false">IF($D2360="","",IFERROR(INDEX(Workers!$E$5:$E$2004,MATCH($D2360,Workers!$A$5:$A$2004,0)),""))</f>
        <v/>
      </c>
      <c r="M2360" s="26" t="str">
        <f aca="false">IF($D2360="","",IFERROR(INDEX(ClientRates!$D$5:$D$500,MATCH($B2360&amp;"|"&amp;$L2360,ClientRates!$A$5:$A$500,0)),0))</f>
        <v/>
      </c>
      <c r="N2360" s="26" t="str">
        <f aca="false">IF($D2360="","",IFERROR(INDEX(ClientRates!$E$5:$E$500,MATCH($B2360&amp;"|"&amp;$L2360,ClientRates!$A$5:$A$500,0)),0))</f>
        <v/>
      </c>
      <c r="O2360" s="26" t="str">
        <f aca="false">IF($D2360="","",F2360*M2360+G2360*N2360)</f>
        <v/>
      </c>
      <c r="P2360" s="26" t="str">
        <f aca="false">IF(OR($D2360="",$J2360&lt;&gt;"Supplier"),"",IFERROR(INDEX(SupplierRates!$D$5:$D$500,MATCH($K2360&amp;"|"&amp;$L2360,SupplierRates!$A$5:$A$500,0)),0))</f>
        <v/>
      </c>
      <c r="Q2360" s="26" t="str">
        <f aca="false">IF(OR($D2360="",$J2360&lt;&gt;"Supplier"),"",IFERROR(INDEX(SupplierRates!$E$5:$E$500,MATCH($K2360&amp;"|"&amp;$L2360,SupplierRates!$A$5:$A$500,0)),0))</f>
        <v/>
      </c>
      <c r="R2360" s="26" t="n">
        <f aca="false">IF(OR($D2360="",$J2360&lt;&gt;"Supplier"),0,F2360*P2360+G2360*Q2360)</f>
        <v>0</v>
      </c>
      <c r="S2360" s="26" t="n">
        <f aca="false">IF(OR($D2360="",$J2360&lt;&gt;"Own"),0,IFERROR((F2360+G2360*Settings!$B$13)*INDEX(Workers!$V$5:$V$2004,MATCH($D2360,Workers!$A$5:$A$2004,0)),0))</f>
        <v>0</v>
      </c>
      <c r="T2360" s="26" t="str">
        <f aca="false">IF($D2360="","",O2360-R2360-S2360)</f>
        <v/>
      </c>
    </row>
    <row r="2361" customFormat="false" ht="15" hidden="false" customHeight="false" outlineLevel="0" collapsed="false">
      <c r="I2361" s="24" t="str">
        <f aca="false">IF($D2361="","",IFERROR(INDEX(Workers!$B$5:$B$2004,MATCH($D2361,Workers!$A$5:$A$2004,0)),"NOT FOUND"))</f>
        <v/>
      </c>
      <c r="J2361" s="24" t="str">
        <f aca="false">IF($D2361="","",IFERROR(INDEX(Workers!$C$5:$C$2004,MATCH($D2361,Workers!$A$5:$A$2004,0)),""))</f>
        <v/>
      </c>
      <c r="K2361" s="24" t="str">
        <f aca="false">IF($D2361="","",IFERROR(IF(INDEX(Workers!$D$5:$D$2004,MATCH($D2361,Workers!$A$5:$A$2004,0))=0,"",INDEX(Workers!$D$5:$D$2004,MATCH($D2361,Workers!$A$5:$A$2004,0))),""))</f>
        <v/>
      </c>
      <c r="L2361" s="24" t="str">
        <f aca="false">IF($D2361="","",IFERROR(INDEX(Workers!$E$5:$E$2004,MATCH($D2361,Workers!$A$5:$A$2004,0)),""))</f>
        <v/>
      </c>
      <c r="M2361" s="26" t="str">
        <f aca="false">IF($D2361="","",IFERROR(INDEX(ClientRates!$D$5:$D$500,MATCH($B2361&amp;"|"&amp;$L2361,ClientRates!$A$5:$A$500,0)),0))</f>
        <v/>
      </c>
      <c r="N2361" s="26" t="str">
        <f aca="false">IF($D2361="","",IFERROR(INDEX(ClientRates!$E$5:$E$500,MATCH($B2361&amp;"|"&amp;$L2361,ClientRates!$A$5:$A$500,0)),0))</f>
        <v/>
      </c>
      <c r="O2361" s="26" t="str">
        <f aca="false">IF($D2361="","",F2361*M2361+G2361*N2361)</f>
        <v/>
      </c>
      <c r="P2361" s="26" t="str">
        <f aca="false">IF(OR($D2361="",$J2361&lt;&gt;"Supplier"),"",IFERROR(INDEX(SupplierRates!$D$5:$D$500,MATCH($K2361&amp;"|"&amp;$L2361,SupplierRates!$A$5:$A$500,0)),0))</f>
        <v/>
      </c>
      <c r="Q2361" s="26" t="str">
        <f aca="false">IF(OR($D2361="",$J2361&lt;&gt;"Supplier"),"",IFERROR(INDEX(SupplierRates!$E$5:$E$500,MATCH($K2361&amp;"|"&amp;$L2361,SupplierRates!$A$5:$A$500,0)),0))</f>
        <v/>
      </c>
      <c r="R2361" s="26" t="n">
        <f aca="false">IF(OR($D2361="",$J2361&lt;&gt;"Supplier"),0,F2361*P2361+G2361*Q2361)</f>
        <v>0</v>
      </c>
      <c r="S2361" s="26" t="n">
        <f aca="false">IF(OR($D2361="",$J2361&lt;&gt;"Own"),0,IFERROR((F2361+G2361*Settings!$B$13)*INDEX(Workers!$V$5:$V$2004,MATCH($D2361,Workers!$A$5:$A$2004,0)),0))</f>
        <v>0</v>
      </c>
      <c r="T2361" s="26" t="str">
        <f aca="false">IF($D2361="","",O2361-R2361-S2361)</f>
        <v/>
      </c>
    </row>
    <row r="2362" customFormat="false" ht="15" hidden="false" customHeight="false" outlineLevel="0" collapsed="false">
      <c r="I2362" s="24" t="str">
        <f aca="false">IF($D2362="","",IFERROR(INDEX(Workers!$B$5:$B$2004,MATCH($D2362,Workers!$A$5:$A$2004,0)),"NOT FOUND"))</f>
        <v/>
      </c>
      <c r="J2362" s="24" t="str">
        <f aca="false">IF($D2362="","",IFERROR(INDEX(Workers!$C$5:$C$2004,MATCH($D2362,Workers!$A$5:$A$2004,0)),""))</f>
        <v/>
      </c>
      <c r="K2362" s="24" t="str">
        <f aca="false">IF($D2362="","",IFERROR(IF(INDEX(Workers!$D$5:$D$2004,MATCH($D2362,Workers!$A$5:$A$2004,0))=0,"",INDEX(Workers!$D$5:$D$2004,MATCH($D2362,Workers!$A$5:$A$2004,0))),""))</f>
        <v/>
      </c>
      <c r="L2362" s="24" t="str">
        <f aca="false">IF($D2362="","",IFERROR(INDEX(Workers!$E$5:$E$2004,MATCH($D2362,Workers!$A$5:$A$2004,0)),""))</f>
        <v/>
      </c>
      <c r="M2362" s="26" t="str">
        <f aca="false">IF($D2362="","",IFERROR(INDEX(ClientRates!$D$5:$D$500,MATCH($B2362&amp;"|"&amp;$L2362,ClientRates!$A$5:$A$500,0)),0))</f>
        <v/>
      </c>
      <c r="N2362" s="26" t="str">
        <f aca="false">IF($D2362="","",IFERROR(INDEX(ClientRates!$E$5:$E$500,MATCH($B2362&amp;"|"&amp;$L2362,ClientRates!$A$5:$A$500,0)),0))</f>
        <v/>
      </c>
      <c r="O2362" s="26" t="str">
        <f aca="false">IF($D2362="","",F2362*M2362+G2362*N2362)</f>
        <v/>
      </c>
      <c r="P2362" s="26" t="str">
        <f aca="false">IF(OR($D2362="",$J2362&lt;&gt;"Supplier"),"",IFERROR(INDEX(SupplierRates!$D$5:$D$500,MATCH($K2362&amp;"|"&amp;$L2362,SupplierRates!$A$5:$A$500,0)),0))</f>
        <v/>
      </c>
      <c r="Q2362" s="26" t="str">
        <f aca="false">IF(OR($D2362="",$J2362&lt;&gt;"Supplier"),"",IFERROR(INDEX(SupplierRates!$E$5:$E$500,MATCH($K2362&amp;"|"&amp;$L2362,SupplierRates!$A$5:$A$500,0)),0))</f>
        <v/>
      </c>
      <c r="R2362" s="26" t="n">
        <f aca="false">IF(OR($D2362="",$J2362&lt;&gt;"Supplier"),0,F2362*P2362+G2362*Q2362)</f>
        <v>0</v>
      </c>
      <c r="S2362" s="26" t="n">
        <f aca="false">IF(OR($D2362="",$J2362&lt;&gt;"Own"),0,IFERROR((F2362+G2362*Settings!$B$13)*INDEX(Workers!$V$5:$V$2004,MATCH($D2362,Workers!$A$5:$A$2004,0)),0))</f>
        <v>0</v>
      </c>
      <c r="T2362" s="26" t="str">
        <f aca="false">IF($D2362="","",O2362-R2362-S2362)</f>
        <v/>
      </c>
    </row>
    <row r="2363" customFormat="false" ht="15" hidden="false" customHeight="false" outlineLevel="0" collapsed="false">
      <c r="I2363" s="24" t="str">
        <f aca="false">IF($D2363="","",IFERROR(INDEX(Workers!$B$5:$B$2004,MATCH($D2363,Workers!$A$5:$A$2004,0)),"NOT FOUND"))</f>
        <v/>
      </c>
      <c r="J2363" s="24" t="str">
        <f aca="false">IF($D2363="","",IFERROR(INDEX(Workers!$C$5:$C$2004,MATCH($D2363,Workers!$A$5:$A$2004,0)),""))</f>
        <v/>
      </c>
      <c r="K2363" s="24" t="str">
        <f aca="false">IF($D2363="","",IFERROR(IF(INDEX(Workers!$D$5:$D$2004,MATCH($D2363,Workers!$A$5:$A$2004,0))=0,"",INDEX(Workers!$D$5:$D$2004,MATCH($D2363,Workers!$A$5:$A$2004,0))),""))</f>
        <v/>
      </c>
      <c r="L2363" s="24" t="str">
        <f aca="false">IF($D2363="","",IFERROR(INDEX(Workers!$E$5:$E$2004,MATCH($D2363,Workers!$A$5:$A$2004,0)),""))</f>
        <v/>
      </c>
      <c r="M2363" s="26" t="str">
        <f aca="false">IF($D2363="","",IFERROR(INDEX(ClientRates!$D$5:$D$500,MATCH($B2363&amp;"|"&amp;$L2363,ClientRates!$A$5:$A$500,0)),0))</f>
        <v/>
      </c>
      <c r="N2363" s="26" t="str">
        <f aca="false">IF($D2363="","",IFERROR(INDEX(ClientRates!$E$5:$E$500,MATCH($B2363&amp;"|"&amp;$L2363,ClientRates!$A$5:$A$500,0)),0))</f>
        <v/>
      </c>
      <c r="O2363" s="26" t="str">
        <f aca="false">IF($D2363="","",F2363*M2363+G2363*N2363)</f>
        <v/>
      </c>
      <c r="P2363" s="26" t="str">
        <f aca="false">IF(OR($D2363="",$J2363&lt;&gt;"Supplier"),"",IFERROR(INDEX(SupplierRates!$D$5:$D$500,MATCH($K2363&amp;"|"&amp;$L2363,SupplierRates!$A$5:$A$500,0)),0))</f>
        <v/>
      </c>
      <c r="Q2363" s="26" t="str">
        <f aca="false">IF(OR($D2363="",$J2363&lt;&gt;"Supplier"),"",IFERROR(INDEX(SupplierRates!$E$5:$E$500,MATCH($K2363&amp;"|"&amp;$L2363,SupplierRates!$A$5:$A$500,0)),0))</f>
        <v/>
      </c>
      <c r="R2363" s="26" t="n">
        <f aca="false">IF(OR($D2363="",$J2363&lt;&gt;"Supplier"),0,F2363*P2363+G2363*Q2363)</f>
        <v>0</v>
      </c>
      <c r="S2363" s="26" t="n">
        <f aca="false">IF(OR($D2363="",$J2363&lt;&gt;"Own"),0,IFERROR((F2363+G2363*Settings!$B$13)*INDEX(Workers!$V$5:$V$2004,MATCH($D2363,Workers!$A$5:$A$2004,0)),0))</f>
        <v>0</v>
      </c>
      <c r="T2363" s="26" t="str">
        <f aca="false">IF($D2363="","",O2363-R2363-S2363)</f>
        <v/>
      </c>
    </row>
    <row r="2364" customFormat="false" ht="15" hidden="false" customHeight="false" outlineLevel="0" collapsed="false">
      <c r="I2364" s="24" t="str">
        <f aca="false">IF($D2364="","",IFERROR(INDEX(Workers!$B$5:$B$2004,MATCH($D2364,Workers!$A$5:$A$2004,0)),"NOT FOUND"))</f>
        <v/>
      </c>
      <c r="J2364" s="24" t="str">
        <f aca="false">IF($D2364="","",IFERROR(INDEX(Workers!$C$5:$C$2004,MATCH($D2364,Workers!$A$5:$A$2004,0)),""))</f>
        <v/>
      </c>
      <c r="K2364" s="24" t="str">
        <f aca="false">IF($D2364="","",IFERROR(IF(INDEX(Workers!$D$5:$D$2004,MATCH($D2364,Workers!$A$5:$A$2004,0))=0,"",INDEX(Workers!$D$5:$D$2004,MATCH($D2364,Workers!$A$5:$A$2004,0))),""))</f>
        <v/>
      </c>
      <c r="L2364" s="24" t="str">
        <f aca="false">IF($D2364="","",IFERROR(INDEX(Workers!$E$5:$E$2004,MATCH($D2364,Workers!$A$5:$A$2004,0)),""))</f>
        <v/>
      </c>
      <c r="M2364" s="26" t="str">
        <f aca="false">IF($D2364="","",IFERROR(INDEX(ClientRates!$D$5:$D$500,MATCH($B2364&amp;"|"&amp;$L2364,ClientRates!$A$5:$A$500,0)),0))</f>
        <v/>
      </c>
      <c r="N2364" s="26" t="str">
        <f aca="false">IF($D2364="","",IFERROR(INDEX(ClientRates!$E$5:$E$500,MATCH($B2364&amp;"|"&amp;$L2364,ClientRates!$A$5:$A$500,0)),0))</f>
        <v/>
      </c>
      <c r="O2364" s="26" t="str">
        <f aca="false">IF($D2364="","",F2364*M2364+G2364*N2364)</f>
        <v/>
      </c>
      <c r="P2364" s="26" t="str">
        <f aca="false">IF(OR($D2364="",$J2364&lt;&gt;"Supplier"),"",IFERROR(INDEX(SupplierRates!$D$5:$D$500,MATCH($K2364&amp;"|"&amp;$L2364,SupplierRates!$A$5:$A$500,0)),0))</f>
        <v/>
      </c>
      <c r="Q2364" s="26" t="str">
        <f aca="false">IF(OR($D2364="",$J2364&lt;&gt;"Supplier"),"",IFERROR(INDEX(SupplierRates!$E$5:$E$500,MATCH($K2364&amp;"|"&amp;$L2364,SupplierRates!$A$5:$A$500,0)),0))</f>
        <v/>
      </c>
      <c r="R2364" s="26" t="n">
        <f aca="false">IF(OR($D2364="",$J2364&lt;&gt;"Supplier"),0,F2364*P2364+G2364*Q2364)</f>
        <v>0</v>
      </c>
      <c r="S2364" s="26" t="n">
        <f aca="false">IF(OR($D2364="",$J2364&lt;&gt;"Own"),0,IFERROR((F2364+G2364*Settings!$B$13)*INDEX(Workers!$V$5:$V$2004,MATCH($D2364,Workers!$A$5:$A$2004,0)),0))</f>
        <v>0</v>
      </c>
      <c r="T2364" s="26" t="str">
        <f aca="false">IF($D2364="","",O2364-R2364-S2364)</f>
        <v/>
      </c>
    </row>
    <row r="2365" customFormat="false" ht="15" hidden="false" customHeight="false" outlineLevel="0" collapsed="false">
      <c r="I2365" s="24" t="str">
        <f aca="false">IF($D2365="","",IFERROR(INDEX(Workers!$B$5:$B$2004,MATCH($D2365,Workers!$A$5:$A$2004,0)),"NOT FOUND"))</f>
        <v/>
      </c>
      <c r="J2365" s="24" t="str">
        <f aca="false">IF($D2365="","",IFERROR(INDEX(Workers!$C$5:$C$2004,MATCH($D2365,Workers!$A$5:$A$2004,0)),""))</f>
        <v/>
      </c>
      <c r="K2365" s="24" t="str">
        <f aca="false">IF($D2365="","",IFERROR(IF(INDEX(Workers!$D$5:$D$2004,MATCH($D2365,Workers!$A$5:$A$2004,0))=0,"",INDEX(Workers!$D$5:$D$2004,MATCH($D2365,Workers!$A$5:$A$2004,0))),""))</f>
        <v/>
      </c>
      <c r="L2365" s="24" t="str">
        <f aca="false">IF($D2365="","",IFERROR(INDEX(Workers!$E$5:$E$2004,MATCH($D2365,Workers!$A$5:$A$2004,0)),""))</f>
        <v/>
      </c>
      <c r="M2365" s="26" t="str">
        <f aca="false">IF($D2365="","",IFERROR(INDEX(ClientRates!$D$5:$D$500,MATCH($B2365&amp;"|"&amp;$L2365,ClientRates!$A$5:$A$500,0)),0))</f>
        <v/>
      </c>
      <c r="N2365" s="26" t="str">
        <f aca="false">IF($D2365="","",IFERROR(INDEX(ClientRates!$E$5:$E$500,MATCH($B2365&amp;"|"&amp;$L2365,ClientRates!$A$5:$A$500,0)),0))</f>
        <v/>
      </c>
      <c r="O2365" s="26" t="str">
        <f aca="false">IF($D2365="","",F2365*M2365+G2365*N2365)</f>
        <v/>
      </c>
      <c r="P2365" s="26" t="str">
        <f aca="false">IF(OR($D2365="",$J2365&lt;&gt;"Supplier"),"",IFERROR(INDEX(SupplierRates!$D$5:$D$500,MATCH($K2365&amp;"|"&amp;$L2365,SupplierRates!$A$5:$A$500,0)),0))</f>
        <v/>
      </c>
      <c r="Q2365" s="26" t="str">
        <f aca="false">IF(OR($D2365="",$J2365&lt;&gt;"Supplier"),"",IFERROR(INDEX(SupplierRates!$E$5:$E$500,MATCH($K2365&amp;"|"&amp;$L2365,SupplierRates!$A$5:$A$500,0)),0))</f>
        <v/>
      </c>
      <c r="R2365" s="26" t="n">
        <f aca="false">IF(OR($D2365="",$J2365&lt;&gt;"Supplier"),0,F2365*P2365+G2365*Q2365)</f>
        <v>0</v>
      </c>
      <c r="S2365" s="26" t="n">
        <f aca="false">IF(OR($D2365="",$J2365&lt;&gt;"Own"),0,IFERROR((F2365+G2365*Settings!$B$13)*INDEX(Workers!$V$5:$V$2004,MATCH($D2365,Workers!$A$5:$A$2004,0)),0))</f>
        <v>0</v>
      </c>
      <c r="T2365" s="26" t="str">
        <f aca="false">IF($D2365="","",O2365-R2365-S2365)</f>
        <v/>
      </c>
    </row>
    <row r="2366" customFormat="false" ht="15" hidden="false" customHeight="false" outlineLevel="0" collapsed="false">
      <c r="I2366" s="24" t="str">
        <f aca="false">IF($D2366="","",IFERROR(INDEX(Workers!$B$5:$B$2004,MATCH($D2366,Workers!$A$5:$A$2004,0)),"NOT FOUND"))</f>
        <v/>
      </c>
      <c r="J2366" s="24" t="str">
        <f aca="false">IF($D2366="","",IFERROR(INDEX(Workers!$C$5:$C$2004,MATCH($D2366,Workers!$A$5:$A$2004,0)),""))</f>
        <v/>
      </c>
      <c r="K2366" s="24" t="str">
        <f aca="false">IF($D2366="","",IFERROR(IF(INDEX(Workers!$D$5:$D$2004,MATCH($D2366,Workers!$A$5:$A$2004,0))=0,"",INDEX(Workers!$D$5:$D$2004,MATCH($D2366,Workers!$A$5:$A$2004,0))),""))</f>
        <v/>
      </c>
      <c r="L2366" s="24" t="str">
        <f aca="false">IF($D2366="","",IFERROR(INDEX(Workers!$E$5:$E$2004,MATCH($D2366,Workers!$A$5:$A$2004,0)),""))</f>
        <v/>
      </c>
      <c r="M2366" s="26" t="str">
        <f aca="false">IF($D2366="","",IFERROR(INDEX(ClientRates!$D$5:$D$500,MATCH($B2366&amp;"|"&amp;$L2366,ClientRates!$A$5:$A$500,0)),0))</f>
        <v/>
      </c>
      <c r="N2366" s="26" t="str">
        <f aca="false">IF($D2366="","",IFERROR(INDEX(ClientRates!$E$5:$E$500,MATCH($B2366&amp;"|"&amp;$L2366,ClientRates!$A$5:$A$500,0)),0))</f>
        <v/>
      </c>
      <c r="O2366" s="26" t="str">
        <f aca="false">IF($D2366="","",F2366*M2366+G2366*N2366)</f>
        <v/>
      </c>
      <c r="P2366" s="26" t="str">
        <f aca="false">IF(OR($D2366="",$J2366&lt;&gt;"Supplier"),"",IFERROR(INDEX(SupplierRates!$D$5:$D$500,MATCH($K2366&amp;"|"&amp;$L2366,SupplierRates!$A$5:$A$500,0)),0))</f>
        <v/>
      </c>
      <c r="Q2366" s="26" t="str">
        <f aca="false">IF(OR($D2366="",$J2366&lt;&gt;"Supplier"),"",IFERROR(INDEX(SupplierRates!$E$5:$E$500,MATCH($K2366&amp;"|"&amp;$L2366,SupplierRates!$A$5:$A$500,0)),0))</f>
        <v/>
      </c>
      <c r="R2366" s="26" t="n">
        <f aca="false">IF(OR($D2366="",$J2366&lt;&gt;"Supplier"),0,F2366*P2366+G2366*Q2366)</f>
        <v>0</v>
      </c>
      <c r="S2366" s="26" t="n">
        <f aca="false">IF(OR($D2366="",$J2366&lt;&gt;"Own"),0,IFERROR((F2366+G2366*Settings!$B$13)*INDEX(Workers!$V$5:$V$2004,MATCH($D2366,Workers!$A$5:$A$2004,0)),0))</f>
        <v>0</v>
      </c>
      <c r="T2366" s="26" t="str">
        <f aca="false">IF($D2366="","",O2366-R2366-S2366)</f>
        <v/>
      </c>
    </row>
    <row r="2367" customFormat="false" ht="15" hidden="false" customHeight="false" outlineLevel="0" collapsed="false">
      <c r="I2367" s="24" t="str">
        <f aca="false">IF($D2367="","",IFERROR(INDEX(Workers!$B$5:$B$2004,MATCH($D2367,Workers!$A$5:$A$2004,0)),"NOT FOUND"))</f>
        <v/>
      </c>
      <c r="J2367" s="24" t="str">
        <f aca="false">IF($D2367="","",IFERROR(INDEX(Workers!$C$5:$C$2004,MATCH($D2367,Workers!$A$5:$A$2004,0)),""))</f>
        <v/>
      </c>
      <c r="K2367" s="24" t="str">
        <f aca="false">IF($D2367="","",IFERROR(IF(INDEX(Workers!$D$5:$D$2004,MATCH($D2367,Workers!$A$5:$A$2004,0))=0,"",INDEX(Workers!$D$5:$D$2004,MATCH($D2367,Workers!$A$5:$A$2004,0))),""))</f>
        <v/>
      </c>
      <c r="L2367" s="24" t="str">
        <f aca="false">IF($D2367="","",IFERROR(INDEX(Workers!$E$5:$E$2004,MATCH($D2367,Workers!$A$5:$A$2004,0)),""))</f>
        <v/>
      </c>
      <c r="M2367" s="26" t="str">
        <f aca="false">IF($D2367="","",IFERROR(INDEX(ClientRates!$D$5:$D$500,MATCH($B2367&amp;"|"&amp;$L2367,ClientRates!$A$5:$A$500,0)),0))</f>
        <v/>
      </c>
      <c r="N2367" s="26" t="str">
        <f aca="false">IF($D2367="","",IFERROR(INDEX(ClientRates!$E$5:$E$500,MATCH($B2367&amp;"|"&amp;$L2367,ClientRates!$A$5:$A$500,0)),0))</f>
        <v/>
      </c>
      <c r="O2367" s="26" t="str">
        <f aca="false">IF($D2367="","",F2367*M2367+G2367*N2367)</f>
        <v/>
      </c>
      <c r="P2367" s="26" t="str">
        <f aca="false">IF(OR($D2367="",$J2367&lt;&gt;"Supplier"),"",IFERROR(INDEX(SupplierRates!$D$5:$D$500,MATCH($K2367&amp;"|"&amp;$L2367,SupplierRates!$A$5:$A$500,0)),0))</f>
        <v/>
      </c>
      <c r="Q2367" s="26" t="str">
        <f aca="false">IF(OR($D2367="",$J2367&lt;&gt;"Supplier"),"",IFERROR(INDEX(SupplierRates!$E$5:$E$500,MATCH($K2367&amp;"|"&amp;$L2367,SupplierRates!$A$5:$A$500,0)),0))</f>
        <v/>
      </c>
      <c r="R2367" s="26" t="n">
        <f aca="false">IF(OR($D2367="",$J2367&lt;&gt;"Supplier"),0,F2367*P2367+G2367*Q2367)</f>
        <v>0</v>
      </c>
      <c r="S2367" s="26" t="n">
        <f aca="false">IF(OR($D2367="",$J2367&lt;&gt;"Own"),0,IFERROR((F2367+G2367*Settings!$B$13)*INDEX(Workers!$V$5:$V$2004,MATCH($D2367,Workers!$A$5:$A$2004,0)),0))</f>
        <v>0</v>
      </c>
      <c r="T2367" s="26" t="str">
        <f aca="false">IF($D2367="","",O2367-R2367-S2367)</f>
        <v/>
      </c>
    </row>
    <row r="2368" customFormat="false" ht="15" hidden="false" customHeight="false" outlineLevel="0" collapsed="false">
      <c r="I2368" s="24" t="str">
        <f aca="false">IF($D2368="","",IFERROR(INDEX(Workers!$B$5:$B$2004,MATCH($D2368,Workers!$A$5:$A$2004,0)),"NOT FOUND"))</f>
        <v/>
      </c>
      <c r="J2368" s="24" t="str">
        <f aca="false">IF($D2368="","",IFERROR(INDEX(Workers!$C$5:$C$2004,MATCH($D2368,Workers!$A$5:$A$2004,0)),""))</f>
        <v/>
      </c>
      <c r="K2368" s="24" t="str">
        <f aca="false">IF($D2368="","",IFERROR(IF(INDEX(Workers!$D$5:$D$2004,MATCH($D2368,Workers!$A$5:$A$2004,0))=0,"",INDEX(Workers!$D$5:$D$2004,MATCH($D2368,Workers!$A$5:$A$2004,0))),""))</f>
        <v/>
      </c>
      <c r="L2368" s="24" t="str">
        <f aca="false">IF($D2368="","",IFERROR(INDEX(Workers!$E$5:$E$2004,MATCH($D2368,Workers!$A$5:$A$2004,0)),""))</f>
        <v/>
      </c>
      <c r="M2368" s="26" t="str">
        <f aca="false">IF($D2368="","",IFERROR(INDEX(ClientRates!$D$5:$D$500,MATCH($B2368&amp;"|"&amp;$L2368,ClientRates!$A$5:$A$500,0)),0))</f>
        <v/>
      </c>
      <c r="N2368" s="26" t="str">
        <f aca="false">IF($D2368="","",IFERROR(INDEX(ClientRates!$E$5:$E$500,MATCH($B2368&amp;"|"&amp;$L2368,ClientRates!$A$5:$A$500,0)),0))</f>
        <v/>
      </c>
      <c r="O2368" s="26" t="str">
        <f aca="false">IF($D2368="","",F2368*M2368+G2368*N2368)</f>
        <v/>
      </c>
      <c r="P2368" s="26" t="str">
        <f aca="false">IF(OR($D2368="",$J2368&lt;&gt;"Supplier"),"",IFERROR(INDEX(SupplierRates!$D$5:$D$500,MATCH($K2368&amp;"|"&amp;$L2368,SupplierRates!$A$5:$A$500,0)),0))</f>
        <v/>
      </c>
      <c r="Q2368" s="26" t="str">
        <f aca="false">IF(OR($D2368="",$J2368&lt;&gt;"Supplier"),"",IFERROR(INDEX(SupplierRates!$E$5:$E$500,MATCH($K2368&amp;"|"&amp;$L2368,SupplierRates!$A$5:$A$500,0)),0))</f>
        <v/>
      </c>
      <c r="R2368" s="26" t="n">
        <f aca="false">IF(OR($D2368="",$J2368&lt;&gt;"Supplier"),0,F2368*P2368+G2368*Q2368)</f>
        <v>0</v>
      </c>
      <c r="S2368" s="26" t="n">
        <f aca="false">IF(OR($D2368="",$J2368&lt;&gt;"Own"),0,IFERROR((F2368+G2368*Settings!$B$13)*INDEX(Workers!$V$5:$V$2004,MATCH($D2368,Workers!$A$5:$A$2004,0)),0))</f>
        <v>0</v>
      </c>
      <c r="T2368" s="26" t="str">
        <f aca="false">IF($D2368="","",O2368-R2368-S2368)</f>
        <v/>
      </c>
    </row>
    <row r="2369" customFormat="false" ht="15" hidden="false" customHeight="false" outlineLevel="0" collapsed="false">
      <c r="I2369" s="24" t="str">
        <f aca="false">IF($D2369="","",IFERROR(INDEX(Workers!$B$5:$B$2004,MATCH($D2369,Workers!$A$5:$A$2004,0)),"NOT FOUND"))</f>
        <v/>
      </c>
      <c r="J2369" s="24" t="str">
        <f aca="false">IF($D2369="","",IFERROR(INDEX(Workers!$C$5:$C$2004,MATCH($D2369,Workers!$A$5:$A$2004,0)),""))</f>
        <v/>
      </c>
      <c r="K2369" s="24" t="str">
        <f aca="false">IF($D2369="","",IFERROR(IF(INDEX(Workers!$D$5:$D$2004,MATCH($D2369,Workers!$A$5:$A$2004,0))=0,"",INDEX(Workers!$D$5:$D$2004,MATCH($D2369,Workers!$A$5:$A$2004,0))),""))</f>
        <v/>
      </c>
      <c r="L2369" s="24" t="str">
        <f aca="false">IF($D2369="","",IFERROR(INDEX(Workers!$E$5:$E$2004,MATCH($D2369,Workers!$A$5:$A$2004,0)),""))</f>
        <v/>
      </c>
      <c r="M2369" s="26" t="str">
        <f aca="false">IF($D2369="","",IFERROR(INDEX(ClientRates!$D$5:$D$500,MATCH($B2369&amp;"|"&amp;$L2369,ClientRates!$A$5:$A$500,0)),0))</f>
        <v/>
      </c>
      <c r="N2369" s="26" t="str">
        <f aca="false">IF($D2369="","",IFERROR(INDEX(ClientRates!$E$5:$E$500,MATCH($B2369&amp;"|"&amp;$L2369,ClientRates!$A$5:$A$500,0)),0))</f>
        <v/>
      </c>
      <c r="O2369" s="26" t="str">
        <f aca="false">IF($D2369="","",F2369*M2369+G2369*N2369)</f>
        <v/>
      </c>
      <c r="P2369" s="26" t="str">
        <f aca="false">IF(OR($D2369="",$J2369&lt;&gt;"Supplier"),"",IFERROR(INDEX(SupplierRates!$D$5:$D$500,MATCH($K2369&amp;"|"&amp;$L2369,SupplierRates!$A$5:$A$500,0)),0))</f>
        <v/>
      </c>
      <c r="Q2369" s="26" t="str">
        <f aca="false">IF(OR($D2369="",$J2369&lt;&gt;"Supplier"),"",IFERROR(INDEX(SupplierRates!$E$5:$E$500,MATCH($K2369&amp;"|"&amp;$L2369,SupplierRates!$A$5:$A$500,0)),0))</f>
        <v/>
      </c>
      <c r="R2369" s="26" t="n">
        <f aca="false">IF(OR($D2369="",$J2369&lt;&gt;"Supplier"),0,F2369*P2369+G2369*Q2369)</f>
        <v>0</v>
      </c>
      <c r="S2369" s="26" t="n">
        <f aca="false">IF(OR($D2369="",$J2369&lt;&gt;"Own"),0,IFERROR((F2369+G2369*Settings!$B$13)*INDEX(Workers!$V$5:$V$2004,MATCH($D2369,Workers!$A$5:$A$2004,0)),0))</f>
        <v>0</v>
      </c>
      <c r="T2369" s="26" t="str">
        <f aca="false">IF($D2369="","",O2369-R2369-S2369)</f>
        <v/>
      </c>
    </row>
    <row r="2370" customFormat="false" ht="15" hidden="false" customHeight="false" outlineLevel="0" collapsed="false">
      <c r="I2370" s="24" t="str">
        <f aca="false">IF($D2370="","",IFERROR(INDEX(Workers!$B$5:$B$2004,MATCH($D2370,Workers!$A$5:$A$2004,0)),"NOT FOUND"))</f>
        <v/>
      </c>
      <c r="J2370" s="24" t="str">
        <f aca="false">IF($D2370="","",IFERROR(INDEX(Workers!$C$5:$C$2004,MATCH($D2370,Workers!$A$5:$A$2004,0)),""))</f>
        <v/>
      </c>
      <c r="K2370" s="24" t="str">
        <f aca="false">IF($D2370="","",IFERROR(IF(INDEX(Workers!$D$5:$D$2004,MATCH($D2370,Workers!$A$5:$A$2004,0))=0,"",INDEX(Workers!$D$5:$D$2004,MATCH($D2370,Workers!$A$5:$A$2004,0))),""))</f>
        <v/>
      </c>
      <c r="L2370" s="24" t="str">
        <f aca="false">IF($D2370="","",IFERROR(INDEX(Workers!$E$5:$E$2004,MATCH($D2370,Workers!$A$5:$A$2004,0)),""))</f>
        <v/>
      </c>
      <c r="M2370" s="26" t="str">
        <f aca="false">IF($D2370="","",IFERROR(INDEX(ClientRates!$D$5:$D$500,MATCH($B2370&amp;"|"&amp;$L2370,ClientRates!$A$5:$A$500,0)),0))</f>
        <v/>
      </c>
      <c r="N2370" s="26" t="str">
        <f aca="false">IF($D2370="","",IFERROR(INDEX(ClientRates!$E$5:$E$500,MATCH($B2370&amp;"|"&amp;$L2370,ClientRates!$A$5:$A$500,0)),0))</f>
        <v/>
      </c>
      <c r="O2370" s="26" t="str">
        <f aca="false">IF($D2370="","",F2370*M2370+G2370*N2370)</f>
        <v/>
      </c>
      <c r="P2370" s="26" t="str">
        <f aca="false">IF(OR($D2370="",$J2370&lt;&gt;"Supplier"),"",IFERROR(INDEX(SupplierRates!$D$5:$D$500,MATCH($K2370&amp;"|"&amp;$L2370,SupplierRates!$A$5:$A$500,0)),0))</f>
        <v/>
      </c>
      <c r="Q2370" s="26" t="str">
        <f aca="false">IF(OR($D2370="",$J2370&lt;&gt;"Supplier"),"",IFERROR(INDEX(SupplierRates!$E$5:$E$500,MATCH($K2370&amp;"|"&amp;$L2370,SupplierRates!$A$5:$A$500,0)),0))</f>
        <v/>
      </c>
      <c r="R2370" s="26" t="n">
        <f aca="false">IF(OR($D2370="",$J2370&lt;&gt;"Supplier"),0,F2370*P2370+G2370*Q2370)</f>
        <v>0</v>
      </c>
      <c r="S2370" s="26" t="n">
        <f aca="false">IF(OR($D2370="",$J2370&lt;&gt;"Own"),0,IFERROR((F2370+G2370*Settings!$B$13)*INDEX(Workers!$V$5:$V$2004,MATCH($D2370,Workers!$A$5:$A$2004,0)),0))</f>
        <v>0</v>
      </c>
      <c r="T2370" s="26" t="str">
        <f aca="false">IF($D2370="","",O2370-R2370-S2370)</f>
        <v/>
      </c>
    </row>
    <row r="2371" customFormat="false" ht="15" hidden="false" customHeight="false" outlineLevel="0" collapsed="false">
      <c r="I2371" s="24" t="str">
        <f aca="false">IF($D2371="","",IFERROR(INDEX(Workers!$B$5:$B$2004,MATCH($D2371,Workers!$A$5:$A$2004,0)),"NOT FOUND"))</f>
        <v/>
      </c>
      <c r="J2371" s="24" t="str">
        <f aca="false">IF($D2371="","",IFERROR(INDEX(Workers!$C$5:$C$2004,MATCH($D2371,Workers!$A$5:$A$2004,0)),""))</f>
        <v/>
      </c>
      <c r="K2371" s="24" t="str">
        <f aca="false">IF($D2371="","",IFERROR(IF(INDEX(Workers!$D$5:$D$2004,MATCH($D2371,Workers!$A$5:$A$2004,0))=0,"",INDEX(Workers!$D$5:$D$2004,MATCH($D2371,Workers!$A$5:$A$2004,0))),""))</f>
        <v/>
      </c>
      <c r="L2371" s="24" t="str">
        <f aca="false">IF($D2371="","",IFERROR(INDEX(Workers!$E$5:$E$2004,MATCH($D2371,Workers!$A$5:$A$2004,0)),""))</f>
        <v/>
      </c>
      <c r="M2371" s="26" t="str">
        <f aca="false">IF($D2371="","",IFERROR(INDEX(ClientRates!$D$5:$D$500,MATCH($B2371&amp;"|"&amp;$L2371,ClientRates!$A$5:$A$500,0)),0))</f>
        <v/>
      </c>
      <c r="N2371" s="26" t="str">
        <f aca="false">IF($D2371="","",IFERROR(INDEX(ClientRates!$E$5:$E$500,MATCH($B2371&amp;"|"&amp;$L2371,ClientRates!$A$5:$A$500,0)),0))</f>
        <v/>
      </c>
      <c r="O2371" s="26" t="str">
        <f aca="false">IF($D2371="","",F2371*M2371+G2371*N2371)</f>
        <v/>
      </c>
      <c r="P2371" s="26" t="str">
        <f aca="false">IF(OR($D2371="",$J2371&lt;&gt;"Supplier"),"",IFERROR(INDEX(SupplierRates!$D$5:$D$500,MATCH($K2371&amp;"|"&amp;$L2371,SupplierRates!$A$5:$A$500,0)),0))</f>
        <v/>
      </c>
      <c r="Q2371" s="26" t="str">
        <f aca="false">IF(OR($D2371="",$J2371&lt;&gt;"Supplier"),"",IFERROR(INDEX(SupplierRates!$E$5:$E$500,MATCH($K2371&amp;"|"&amp;$L2371,SupplierRates!$A$5:$A$500,0)),0))</f>
        <v/>
      </c>
      <c r="R2371" s="26" t="n">
        <f aca="false">IF(OR($D2371="",$J2371&lt;&gt;"Supplier"),0,F2371*P2371+G2371*Q2371)</f>
        <v>0</v>
      </c>
      <c r="S2371" s="26" t="n">
        <f aca="false">IF(OR($D2371="",$J2371&lt;&gt;"Own"),0,IFERROR((F2371+G2371*Settings!$B$13)*INDEX(Workers!$V$5:$V$2004,MATCH($D2371,Workers!$A$5:$A$2004,0)),0))</f>
        <v>0</v>
      </c>
      <c r="T2371" s="26" t="str">
        <f aca="false">IF($D2371="","",O2371-R2371-S2371)</f>
        <v/>
      </c>
    </row>
    <row r="2372" customFormat="false" ht="15" hidden="false" customHeight="false" outlineLevel="0" collapsed="false">
      <c r="I2372" s="24" t="str">
        <f aca="false">IF($D2372="","",IFERROR(INDEX(Workers!$B$5:$B$2004,MATCH($D2372,Workers!$A$5:$A$2004,0)),"NOT FOUND"))</f>
        <v/>
      </c>
      <c r="J2372" s="24" t="str">
        <f aca="false">IF($D2372="","",IFERROR(INDEX(Workers!$C$5:$C$2004,MATCH($D2372,Workers!$A$5:$A$2004,0)),""))</f>
        <v/>
      </c>
      <c r="K2372" s="24" t="str">
        <f aca="false">IF($D2372="","",IFERROR(IF(INDEX(Workers!$D$5:$D$2004,MATCH($D2372,Workers!$A$5:$A$2004,0))=0,"",INDEX(Workers!$D$5:$D$2004,MATCH($D2372,Workers!$A$5:$A$2004,0))),""))</f>
        <v/>
      </c>
      <c r="L2372" s="24" t="str">
        <f aca="false">IF($D2372="","",IFERROR(INDEX(Workers!$E$5:$E$2004,MATCH($D2372,Workers!$A$5:$A$2004,0)),""))</f>
        <v/>
      </c>
      <c r="M2372" s="26" t="str">
        <f aca="false">IF($D2372="","",IFERROR(INDEX(ClientRates!$D$5:$D$500,MATCH($B2372&amp;"|"&amp;$L2372,ClientRates!$A$5:$A$500,0)),0))</f>
        <v/>
      </c>
      <c r="N2372" s="26" t="str">
        <f aca="false">IF($D2372="","",IFERROR(INDEX(ClientRates!$E$5:$E$500,MATCH($B2372&amp;"|"&amp;$L2372,ClientRates!$A$5:$A$500,0)),0))</f>
        <v/>
      </c>
      <c r="O2372" s="26" t="str">
        <f aca="false">IF($D2372="","",F2372*M2372+G2372*N2372)</f>
        <v/>
      </c>
      <c r="P2372" s="26" t="str">
        <f aca="false">IF(OR($D2372="",$J2372&lt;&gt;"Supplier"),"",IFERROR(INDEX(SupplierRates!$D$5:$D$500,MATCH($K2372&amp;"|"&amp;$L2372,SupplierRates!$A$5:$A$500,0)),0))</f>
        <v/>
      </c>
      <c r="Q2372" s="26" t="str">
        <f aca="false">IF(OR($D2372="",$J2372&lt;&gt;"Supplier"),"",IFERROR(INDEX(SupplierRates!$E$5:$E$500,MATCH($K2372&amp;"|"&amp;$L2372,SupplierRates!$A$5:$A$500,0)),0))</f>
        <v/>
      </c>
      <c r="R2372" s="26" t="n">
        <f aca="false">IF(OR($D2372="",$J2372&lt;&gt;"Supplier"),0,F2372*P2372+G2372*Q2372)</f>
        <v>0</v>
      </c>
      <c r="S2372" s="26" t="n">
        <f aca="false">IF(OR($D2372="",$J2372&lt;&gt;"Own"),0,IFERROR((F2372+G2372*Settings!$B$13)*INDEX(Workers!$V$5:$V$2004,MATCH($D2372,Workers!$A$5:$A$2004,0)),0))</f>
        <v>0</v>
      </c>
      <c r="T2372" s="26" t="str">
        <f aca="false">IF($D2372="","",O2372-R2372-S2372)</f>
        <v/>
      </c>
    </row>
    <row r="2373" customFormat="false" ht="15" hidden="false" customHeight="false" outlineLevel="0" collapsed="false">
      <c r="I2373" s="24" t="str">
        <f aca="false">IF($D2373="","",IFERROR(INDEX(Workers!$B$5:$B$2004,MATCH($D2373,Workers!$A$5:$A$2004,0)),"NOT FOUND"))</f>
        <v/>
      </c>
      <c r="J2373" s="24" t="str">
        <f aca="false">IF($D2373="","",IFERROR(INDEX(Workers!$C$5:$C$2004,MATCH($D2373,Workers!$A$5:$A$2004,0)),""))</f>
        <v/>
      </c>
      <c r="K2373" s="24" t="str">
        <f aca="false">IF($D2373="","",IFERROR(IF(INDEX(Workers!$D$5:$D$2004,MATCH($D2373,Workers!$A$5:$A$2004,0))=0,"",INDEX(Workers!$D$5:$D$2004,MATCH($D2373,Workers!$A$5:$A$2004,0))),""))</f>
        <v/>
      </c>
      <c r="L2373" s="24" t="str">
        <f aca="false">IF($D2373="","",IFERROR(INDEX(Workers!$E$5:$E$2004,MATCH($D2373,Workers!$A$5:$A$2004,0)),""))</f>
        <v/>
      </c>
      <c r="M2373" s="26" t="str">
        <f aca="false">IF($D2373="","",IFERROR(INDEX(ClientRates!$D$5:$D$500,MATCH($B2373&amp;"|"&amp;$L2373,ClientRates!$A$5:$A$500,0)),0))</f>
        <v/>
      </c>
      <c r="N2373" s="26" t="str">
        <f aca="false">IF($D2373="","",IFERROR(INDEX(ClientRates!$E$5:$E$500,MATCH($B2373&amp;"|"&amp;$L2373,ClientRates!$A$5:$A$500,0)),0))</f>
        <v/>
      </c>
      <c r="O2373" s="26" t="str">
        <f aca="false">IF($D2373="","",F2373*M2373+G2373*N2373)</f>
        <v/>
      </c>
      <c r="P2373" s="26" t="str">
        <f aca="false">IF(OR($D2373="",$J2373&lt;&gt;"Supplier"),"",IFERROR(INDEX(SupplierRates!$D$5:$D$500,MATCH($K2373&amp;"|"&amp;$L2373,SupplierRates!$A$5:$A$500,0)),0))</f>
        <v/>
      </c>
      <c r="Q2373" s="26" t="str">
        <f aca="false">IF(OR($D2373="",$J2373&lt;&gt;"Supplier"),"",IFERROR(INDEX(SupplierRates!$E$5:$E$500,MATCH($K2373&amp;"|"&amp;$L2373,SupplierRates!$A$5:$A$500,0)),0))</f>
        <v/>
      </c>
      <c r="R2373" s="26" t="n">
        <f aca="false">IF(OR($D2373="",$J2373&lt;&gt;"Supplier"),0,F2373*P2373+G2373*Q2373)</f>
        <v>0</v>
      </c>
      <c r="S2373" s="26" t="n">
        <f aca="false">IF(OR($D2373="",$J2373&lt;&gt;"Own"),0,IFERROR((F2373+G2373*Settings!$B$13)*INDEX(Workers!$V$5:$V$2004,MATCH($D2373,Workers!$A$5:$A$2004,0)),0))</f>
        <v>0</v>
      </c>
      <c r="T2373" s="26" t="str">
        <f aca="false">IF($D2373="","",O2373-R2373-S2373)</f>
        <v/>
      </c>
    </row>
    <row r="2374" customFormat="false" ht="15" hidden="false" customHeight="false" outlineLevel="0" collapsed="false">
      <c r="I2374" s="24" t="str">
        <f aca="false">IF($D2374="","",IFERROR(INDEX(Workers!$B$5:$B$2004,MATCH($D2374,Workers!$A$5:$A$2004,0)),"NOT FOUND"))</f>
        <v/>
      </c>
      <c r="J2374" s="24" t="str">
        <f aca="false">IF($D2374="","",IFERROR(INDEX(Workers!$C$5:$C$2004,MATCH($D2374,Workers!$A$5:$A$2004,0)),""))</f>
        <v/>
      </c>
      <c r="K2374" s="24" t="str">
        <f aca="false">IF($D2374="","",IFERROR(IF(INDEX(Workers!$D$5:$D$2004,MATCH($D2374,Workers!$A$5:$A$2004,0))=0,"",INDEX(Workers!$D$5:$D$2004,MATCH($D2374,Workers!$A$5:$A$2004,0))),""))</f>
        <v/>
      </c>
      <c r="L2374" s="24" t="str">
        <f aca="false">IF($D2374="","",IFERROR(INDEX(Workers!$E$5:$E$2004,MATCH($D2374,Workers!$A$5:$A$2004,0)),""))</f>
        <v/>
      </c>
      <c r="M2374" s="26" t="str">
        <f aca="false">IF($D2374="","",IFERROR(INDEX(ClientRates!$D$5:$D$500,MATCH($B2374&amp;"|"&amp;$L2374,ClientRates!$A$5:$A$500,0)),0))</f>
        <v/>
      </c>
      <c r="N2374" s="26" t="str">
        <f aca="false">IF($D2374="","",IFERROR(INDEX(ClientRates!$E$5:$E$500,MATCH($B2374&amp;"|"&amp;$L2374,ClientRates!$A$5:$A$500,0)),0))</f>
        <v/>
      </c>
      <c r="O2374" s="26" t="str">
        <f aca="false">IF($D2374="","",F2374*M2374+G2374*N2374)</f>
        <v/>
      </c>
      <c r="P2374" s="26" t="str">
        <f aca="false">IF(OR($D2374="",$J2374&lt;&gt;"Supplier"),"",IFERROR(INDEX(SupplierRates!$D$5:$D$500,MATCH($K2374&amp;"|"&amp;$L2374,SupplierRates!$A$5:$A$500,0)),0))</f>
        <v/>
      </c>
      <c r="Q2374" s="26" t="str">
        <f aca="false">IF(OR($D2374="",$J2374&lt;&gt;"Supplier"),"",IFERROR(INDEX(SupplierRates!$E$5:$E$500,MATCH($K2374&amp;"|"&amp;$L2374,SupplierRates!$A$5:$A$500,0)),0))</f>
        <v/>
      </c>
      <c r="R2374" s="26" t="n">
        <f aca="false">IF(OR($D2374="",$J2374&lt;&gt;"Supplier"),0,F2374*P2374+G2374*Q2374)</f>
        <v>0</v>
      </c>
      <c r="S2374" s="26" t="n">
        <f aca="false">IF(OR($D2374="",$J2374&lt;&gt;"Own"),0,IFERROR((F2374+G2374*Settings!$B$13)*INDEX(Workers!$V$5:$V$2004,MATCH($D2374,Workers!$A$5:$A$2004,0)),0))</f>
        <v>0</v>
      </c>
      <c r="T2374" s="26" t="str">
        <f aca="false">IF($D2374="","",O2374-R2374-S2374)</f>
        <v/>
      </c>
    </row>
    <row r="2375" customFormat="false" ht="15" hidden="false" customHeight="false" outlineLevel="0" collapsed="false">
      <c r="I2375" s="24" t="str">
        <f aca="false">IF($D2375="","",IFERROR(INDEX(Workers!$B$5:$B$2004,MATCH($D2375,Workers!$A$5:$A$2004,0)),"NOT FOUND"))</f>
        <v/>
      </c>
      <c r="J2375" s="24" t="str">
        <f aca="false">IF($D2375="","",IFERROR(INDEX(Workers!$C$5:$C$2004,MATCH($D2375,Workers!$A$5:$A$2004,0)),""))</f>
        <v/>
      </c>
      <c r="K2375" s="24" t="str">
        <f aca="false">IF($D2375="","",IFERROR(IF(INDEX(Workers!$D$5:$D$2004,MATCH($D2375,Workers!$A$5:$A$2004,0))=0,"",INDEX(Workers!$D$5:$D$2004,MATCH($D2375,Workers!$A$5:$A$2004,0))),""))</f>
        <v/>
      </c>
      <c r="L2375" s="24" t="str">
        <f aca="false">IF($D2375="","",IFERROR(INDEX(Workers!$E$5:$E$2004,MATCH($D2375,Workers!$A$5:$A$2004,0)),""))</f>
        <v/>
      </c>
      <c r="M2375" s="26" t="str">
        <f aca="false">IF($D2375="","",IFERROR(INDEX(ClientRates!$D$5:$D$500,MATCH($B2375&amp;"|"&amp;$L2375,ClientRates!$A$5:$A$500,0)),0))</f>
        <v/>
      </c>
      <c r="N2375" s="26" t="str">
        <f aca="false">IF($D2375="","",IFERROR(INDEX(ClientRates!$E$5:$E$500,MATCH($B2375&amp;"|"&amp;$L2375,ClientRates!$A$5:$A$500,0)),0))</f>
        <v/>
      </c>
      <c r="O2375" s="26" t="str">
        <f aca="false">IF($D2375="","",F2375*M2375+G2375*N2375)</f>
        <v/>
      </c>
      <c r="P2375" s="26" t="str">
        <f aca="false">IF(OR($D2375="",$J2375&lt;&gt;"Supplier"),"",IFERROR(INDEX(SupplierRates!$D$5:$D$500,MATCH($K2375&amp;"|"&amp;$L2375,SupplierRates!$A$5:$A$500,0)),0))</f>
        <v/>
      </c>
      <c r="Q2375" s="26" t="str">
        <f aca="false">IF(OR($D2375="",$J2375&lt;&gt;"Supplier"),"",IFERROR(INDEX(SupplierRates!$E$5:$E$500,MATCH($K2375&amp;"|"&amp;$L2375,SupplierRates!$A$5:$A$500,0)),0))</f>
        <v/>
      </c>
      <c r="R2375" s="26" t="n">
        <f aca="false">IF(OR($D2375="",$J2375&lt;&gt;"Supplier"),0,F2375*P2375+G2375*Q2375)</f>
        <v>0</v>
      </c>
      <c r="S2375" s="26" t="n">
        <f aca="false">IF(OR($D2375="",$J2375&lt;&gt;"Own"),0,IFERROR((F2375+G2375*Settings!$B$13)*INDEX(Workers!$V$5:$V$2004,MATCH($D2375,Workers!$A$5:$A$2004,0)),0))</f>
        <v>0</v>
      </c>
      <c r="T2375" s="26" t="str">
        <f aca="false">IF($D2375="","",O2375-R2375-S2375)</f>
        <v/>
      </c>
    </row>
    <row r="2376" customFormat="false" ht="15" hidden="false" customHeight="false" outlineLevel="0" collapsed="false">
      <c r="I2376" s="24" t="str">
        <f aca="false">IF($D2376="","",IFERROR(INDEX(Workers!$B$5:$B$2004,MATCH($D2376,Workers!$A$5:$A$2004,0)),"NOT FOUND"))</f>
        <v/>
      </c>
      <c r="J2376" s="24" t="str">
        <f aca="false">IF($D2376="","",IFERROR(INDEX(Workers!$C$5:$C$2004,MATCH($D2376,Workers!$A$5:$A$2004,0)),""))</f>
        <v/>
      </c>
      <c r="K2376" s="24" t="str">
        <f aca="false">IF($D2376="","",IFERROR(IF(INDEX(Workers!$D$5:$D$2004,MATCH($D2376,Workers!$A$5:$A$2004,0))=0,"",INDEX(Workers!$D$5:$D$2004,MATCH($D2376,Workers!$A$5:$A$2004,0))),""))</f>
        <v/>
      </c>
      <c r="L2376" s="24" t="str">
        <f aca="false">IF($D2376="","",IFERROR(INDEX(Workers!$E$5:$E$2004,MATCH($D2376,Workers!$A$5:$A$2004,0)),""))</f>
        <v/>
      </c>
      <c r="M2376" s="26" t="str">
        <f aca="false">IF($D2376="","",IFERROR(INDEX(ClientRates!$D$5:$D$500,MATCH($B2376&amp;"|"&amp;$L2376,ClientRates!$A$5:$A$500,0)),0))</f>
        <v/>
      </c>
      <c r="N2376" s="26" t="str">
        <f aca="false">IF($D2376="","",IFERROR(INDEX(ClientRates!$E$5:$E$500,MATCH($B2376&amp;"|"&amp;$L2376,ClientRates!$A$5:$A$500,0)),0))</f>
        <v/>
      </c>
      <c r="O2376" s="26" t="str">
        <f aca="false">IF($D2376="","",F2376*M2376+G2376*N2376)</f>
        <v/>
      </c>
      <c r="P2376" s="26" t="str">
        <f aca="false">IF(OR($D2376="",$J2376&lt;&gt;"Supplier"),"",IFERROR(INDEX(SupplierRates!$D$5:$D$500,MATCH($K2376&amp;"|"&amp;$L2376,SupplierRates!$A$5:$A$500,0)),0))</f>
        <v/>
      </c>
      <c r="Q2376" s="26" t="str">
        <f aca="false">IF(OR($D2376="",$J2376&lt;&gt;"Supplier"),"",IFERROR(INDEX(SupplierRates!$E$5:$E$500,MATCH($K2376&amp;"|"&amp;$L2376,SupplierRates!$A$5:$A$500,0)),0))</f>
        <v/>
      </c>
      <c r="R2376" s="26" t="n">
        <f aca="false">IF(OR($D2376="",$J2376&lt;&gt;"Supplier"),0,F2376*P2376+G2376*Q2376)</f>
        <v>0</v>
      </c>
      <c r="S2376" s="26" t="n">
        <f aca="false">IF(OR($D2376="",$J2376&lt;&gt;"Own"),0,IFERROR((F2376+G2376*Settings!$B$13)*INDEX(Workers!$V$5:$V$2004,MATCH($D2376,Workers!$A$5:$A$2004,0)),0))</f>
        <v>0</v>
      </c>
      <c r="T2376" s="26" t="str">
        <f aca="false">IF($D2376="","",O2376-R2376-S2376)</f>
        <v/>
      </c>
    </row>
    <row r="2377" customFormat="false" ht="15" hidden="false" customHeight="false" outlineLevel="0" collapsed="false">
      <c r="I2377" s="24" t="str">
        <f aca="false">IF($D2377="","",IFERROR(INDEX(Workers!$B$5:$B$2004,MATCH($D2377,Workers!$A$5:$A$2004,0)),"NOT FOUND"))</f>
        <v/>
      </c>
      <c r="J2377" s="24" t="str">
        <f aca="false">IF($D2377="","",IFERROR(INDEX(Workers!$C$5:$C$2004,MATCH($D2377,Workers!$A$5:$A$2004,0)),""))</f>
        <v/>
      </c>
      <c r="K2377" s="24" t="str">
        <f aca="false">IF($D2377="","",IFERROR(IF(INDEX(Workers!$D$5:$D$2004,MATCH($D2377,Workers!$A$5:$A$2004,0))=0,"",INDEX(Workers!$D$5:$D$2004,MATCH($D2377,Workers!$A$5:$A$2004,0))),""))</f>
        <v/>
      </c>
      <c r="L2377" s="24" t="str">
        <f aca="false">IF($D2377="","",IFERROR(INDEX(Workers!$E$5:$E$2004,MATCH($D2377,Workers!$A$5:$A$2004,0)),""))</f>
        <v/>
      </c>
      <c r="M2377" s="26" t="str">
        <f aca="false">IF($D2377="","",IFERROR(INDEX(ClientRates!$D$5:$D$500,MATCH($B2377&amp;"|"&amp;$L2377,ClientRates!$A$5:$A$500,0)),0))</f>
        <v/>
      </c>
      <c r="N2377" s="26" t="str">
        <f aca="false">IF($D2377="","",IFERROR(INDEX(ClientRates!$E$5:$E$500,MATCH($B2377&amp;"|"&amp;$L2377,ClientRates!$A$5:$A$500,0)),0))</f>
        <v/>
      </c>
      <c r="O2377" s="26" t="str">
        <f aca="false">IF($D2377="","",F2377*M2377+G2377*N2377)</f>
        <v/>
      </c>
      <c r="P2377" s="26" t="str">
        <f aca="false">IF(OR($D2377="",$J2377&lt;&gt;"Supplier"),"",IFERROR(INDEX(SupplierRates!$D$5:$D$500,MATCH($K2377&amp;"|"&amp;$L2377,SupplierRates!$A$5:$A$500,0)),0))</f>
        <v/>
      </c>
      <c r="Q2377" s="26" t="str">
        <f aca="false">IF(OR($D2377="",$J2377&lt;&gt;"Supplier"),"",IFERROR(INDEX(SupplierRates!$E$5:$E$500,MATCH($K2377&amp;"|"&amp;$L2377,SupplierRates!$A$5:$A$500,0)),0))</f>
        <v/>
      </c>
      <c r="R2377" s="26" t="n">
        <f aca="false">IF(OR($D2377="",$J2377&lt;&gt;"Supplier"),0,F2377*P2377+G2377*Q2377)</f>
        <v>0</v>
      </c>
      <c r="S2377" s="26" t="n">
        <f aca="false">IF(OR($D2377="",$J2377&lt;&gt;"Own"),0,IFERROR((F2377+G2377*Settings!$B$13)*INDEX(Workers!$V$5:$V$2004,MATCH($D2377,Workers!$A$5:$A$2004,0)),0))</f>
        <v>0</v>
      </c>
      <c r="T2377" s="26" t="str">
        <f aca="false">IF($D2377="","",O2377-R2377-S2377)</f>
        <v/>
      </c>
    </row>
    <row r="2378" customFormat="false" ht="15" hidden="false" customHeight="false" outlineLevel="0" collapsed="false">
      <c r="I2378" s="24" t="str">
        <f aca="false">IF($D2378="","",IFERROR(INDEX(Workers!$B$5:$B$2004,MATCH($D2378,Workers!$A$5:$A$2004,0)),"NOT FOUND"))</f>
        <v/>
      </c>
      <c r="J2378" s="24" t="str">
        <f aca="false">IF($D2378="","",IFERROR(INDEX(Workers!$C$5:$C$2004,MATCH($D2378,Workers!$A$5:$A$2004,0)),""))</f>
        <v/>
      </c>
      <c r="K2378" s="24" t="str">
        <f aca="false">IF($D2378="","",IFERROR(IF(INDEX(Workers!$D$5:$D$2004,MATCH($D2378,Workers!$A$5:$A$2004,0))=0,"",INDEX(Workers!$D$5:$D$2004,MATCH($D2378,Workers!$A$5:$A$2004,0))),""))</f>
        <v/>
      </c>
      <c r="L2378" s="24" t="str">
        <f aca="false">IF($D2378="","",IFERROR(INDEX(Workers!$E$5:$E$2004,MATCH($D2378,Workers!$A$5:$A$2004,0)),""))</f>
        <v/>
      </c>
      <c r="M2378" s="26" t="str">
        <f aca="false">IF($D2378="","",IFERROR(INDEX(ClientRates!$D$5:$D$500,MATCH($B2378&amp;"|"&amp;$L2378,ClientRates!$A$5:$A$500,0)),0))</f>
        <v/>
      </c>
      <c r="N2378" s="26" t="str">
        <f aca="false">IF($D2378="","",IFERROR(INDEX(ClientRates!$E$5:$E$500,MATCH($B2378&amp;"|"&amp;$L2378,ClientRates!$A$5:$A$500,0)),0))</f>
        <v/>
      </c>
      <c r="O2378" s="26" t="str">
        <f aca="false">IF($D2378="","",F2378*M2378+G2378*N2378)</f>
        <v/>
      </c>
      <c r="P2378" s="26" t="str">
        <f aca="false">IF(OR($D2378="",$J2378&lt;&gt;"Supplier"),"",IFERROR(INDEX(SupplierRates!$D$5:$D$500,MATCH($K2378&amp;"|"&amp;$L2378,SupplierRates!$A$5:$A$500,0)),0))</f>
        <v/>
      </c>
      <c r="Q2378" s="26" t="str">
        <f aca="false">IF(OR($D2378="",$J2378&lt;&gt;"Supplier"),"",IFERROR(INDEX(SupplierRates!$E$5:$E$500,MATCH($K2378&amp;"|"&amp;$L2378,SupplierRates!$A$5:$A$500,0)),0))</f>
        <v/>
      </c>
      <c r="R2378" s="26" t="n">
        <f aca="false">IF(OR($D2378="",$J2378&lt;&gt;"Supplier"),0,F2378*P2378+G2378*Q2378)</f>
        <v>0</v>
      </c>
      <c r="S2378" s="26" t="n">
        <f aca="false">IF(OR($D2378="",$J2378&lt;&gt;"Own"),0,IFERROR((F2378+G2378*Settings!$B$13)*INDEX(Workers!$V$5:$V$2004,MATCH($D2378,Workers!$A$5:$A$2004,0)),0))</f>
        <v>0</v>
      </c>
      <c r="T2378" s="26" t="str">
        <f aca="false">IF($D2378="","",O2378-R2378-S2378)</f>
        <v/>
      </c>
    </row>
    <row r="2379" customFormat="false" ht="15" hidden="false" customHeight="false" outlineLevel="0" collapsed="false">
      <c r="I2379" s="24" t="str">
        <f aca="false">IF($D2379="","",IFERROR(INDEX(Workers!$B$5:$B$2004,MATCH($D2379,Workers!$A$5:$A$2004,0)),"NOT FOUND"))</f>
        <v/>
      </c>
      <c r="J2379" s="24" t="str">
        <f aca="false">IF($D2379="","",IFERROR(INDEX(Workers!$C$5:$C$2004,MATCH($D2379,Workers!$A$5:$A$2004,0)),""))</f>
        <v/>
      </c>
      <c r="K2379" s="24" t="str">
        <f aca="false">IF($D2379="","",IFERROR(IF(INDEX(Workers!$D$5:$D$2004,MATCH($D2379,Workers!$A$5:$A$2004,0))=0,"",INDEX(Workers!$D$5:$D$2004,MATCH($D2379,Workers!$A$5:$A$2004,0))),""))</f>
        <v/>
      </c>
      <c r="L2379" s="24" t="str">
        <f aca="false">IF($D2379="","",IFERROR(INDEX(Workers!$E$5:$E$2004,MATCH($D2379,Workers!$A$5:$A$2004,0)),""))</f>
        <v/>
      </c>
      <c r="M2379" s="26" t="str">
        <f aca="false">IF($D2379="","",IFERROR(INDEX(ClientRates!$D$5:$D$500,MATCH($B2379&amp;"|"&amp;$L2379,ClientRates!$A$5:$A$500,0)),0))</f>
        <v/>
      </c>
      <c r="N2379" s="26" t="str">
        <f aca="false">IF($D2379="","",IFERROR(INDEX(ClientRates!$E$5:$E$500,MATCH($B2379&amp;"|"&amp;$L2379,ClientRates!$A$5:$A$500,0)),0))</f>
        <v/>
      </c>
      <c r="O2379" s="26" t="str">
        <f aca="false">IF($D2379="","",F2379*M2379+G2379*N2379)</f>
        <v/>
      </c>
      <c r="P2379" s="26" t="str">
        <f aca="false">IF(OR($D2379="",$J2379&lt;&gt;"Supplier"),"",IFERROR(INDEX(SupplierRates!$D$5:$D$500,MATCH($K2379&amp;"|"&amp;$L2379,SupplierRates!$A$5:$A$500,0)),0))</f>
        <v/>
      </c>
      <c r="Q2379" s="26" t="str">
        <f aca="false">IF(OR($D2379="",$J2379&lt;&gt;"Supplier"),"",IFERROR(INDEX(SupplierRates!$E$5:$E$500,MATCH($K2379&amp;"|"&amp;$L2379,SupplierRates!$A$5:$A$500,0)),0))</f>
        <v/>
      </c>
      <c r="R2379" s="26" t="n">
        <f aca="false">IF(OR($D2379="",$J2379&lt;&gt;"Supplier"),0,F2379*P2379+G2379*Q2379)</f>
        <v>0</v>
      </c>
      <c r="S2379" s="26" t="n">
        <f aca="false">IF(OR($D2379="",$J2379&lt;&gt;"Own"),0,IFERROR((F2379+G2379*Settings!$B$13)*INDEX(Workers!$V$5:$V$2004,MATCH($D2379,Workers!$A$5:$A$2004,0)),0))</f>
        <v>0</v>
      </c>
      <c r="T2379" s="26" t="str">
        <f aca="false">IF($D2379="","",O2379-R2379-S2379)</f>
        <v/>
      </c>
    </row>
    <row r="2380" customFormat="false" ht="15" hidden="false" customHeight="false" outlineLevel="0" collapsed="false">
      <c r="I2380" s="24" t="str">
        <f aca="false">IF($D2380="","",IFERROR(INDEX(Workers!$B$5:$B$2004,MATCH($D2380,Workers!$A$5:$A$2004,0)),"NOT FOUND"))</f>
        <v/>
      </c>
      <c r="J2380" s="24" t="str">
        <f aca="false">IF($D2380="","",IFERROR(INDEX(Workers!$C$5:$C$2004,MATCH($D2380,Workers!$A$5:$A$2004,0)),""))</f>
        <v/>
      </c>
      <c r="K2380" s="24" t="str">
        <f aca="false">IF($D2380="","",IFERROR(IF(INDEX(Workers!$D$5:$D$2004,MATCH($D2380,Workers!$A$5:$A$2004,0))=0,"",INDEX(Workers!$D$5:$D$2004,MATCH($D2380,Workers!$A$5:$A$2004,0))),""))</f>
        <v/>
      </c>
      <c r="L2380" s="24" t="str">
        <f aca="false">IF($D2380="","",IFERROR(INDEX(Workers!$E$5:$E$2004,MATCH($D2380,Workers!$A$5:$A$2004,0)),""))</f>
        <v/>
      </c>
      <c r="M2380" s="26" t="str">
        <f aca="false">IF($D2380="","",IFERROR(INDEX(ClientRates!$D$5:$D$500,MATCH($B2380&amp;"|"&amp;$L2380,ClientRates!$A$5:$A$500,0)),0))</f>
        <v/>
      </c>
      <c r="N2380" s="26" t="str">
        <f aca="false">IF($D2380="","",IFERROR(INDEX(ClientRates!$E$5:$E$500,MATCH($B2380&amp;"|"&amp;$L2380,ClientRates!$A$5:$A$500,0)),0))</f>
        <v/>
      </c>
      <c r="O2380" s="26" t="str">
        <f aca="false">IF($D2380="","",F2380*M2380+G2380*N2380)</f>
        <v/>
      </c>
      <c r="P2380" s="26" t="str">
        <f aca="false">IF(OR($D2380="",$J2380&lt;&gt;"Supplier"),"",IFERROR(INDEX(SupplierRates!$D$5:$D$500,MATCH($K2380&amp;"|"&amp;$L2380,SupplierRates!$A$5:$A$500,0)),0))</f>
        <v/>
      </c>
      <c r="Q2380" s="26" t="str">
        <f aca="false">IF(OR($D2380="",$J2380&lt;&gt;"Supplier"),"",IFERROR(INDEX(SupplierRates!$E$5:$E$500,MATCH($K2380&amp;"|"&amp;$L2380,SupplierRates!$A$5:$A$500,0)),0))</f>
        <v/>
      </c>
      <c r="R2380" s="26" t="n">
        <f aca="false">IF(OR($D2380="",$J2380&lt;&gt;"Supplier"),0,F2380*P2380+G2380*Q2380)</f>
        <v>0</v>
      </c>
      <c r="S2380" s="26" t="n">
        <f aca="false">IF(OR($D2380="",$J2380&lt;&gt;"Own"),0,IFERROR((F2380+G2380*Settings!$B$13)*INDEX(Workers!$V$5:$V$2004,MATCH($D2380,Workers!$A$5:$A$2004,0)),0))</f>
        <v>0</v>
      </c>
      <c r="T2380" s="26" t="str">
        <f aca="false">IF($D2380="","",O2380-R2380-S2380)</f>
        <v/>
      </c>
    </row>
    <row r="2381" customFormat="false" ht="15" hidden="false" customHeight="false" outlineLevel="0" collapsed="false">
      <c r="I2381" s="24" t="str">
        <f aca="false">IF($D2381="","",IFERROR(INDEX(Workers!$B$5:$B$2004,MATCH($D2381,Workers!$A$5:$A$2004,0)),"NOT FOUND"))</f>
        <v/>
      </c>
      <c r="J2381" s="24" t="str">
        <f aca="false">IF($D2381="","",IFERROR(INDEX(Workers!$C$5:$C$2004,MATCH($D2381,Workers!$A$5:$A$2004,0)),""))</f>
        <v/>
      </c>
      <c r="K2381" s="24" t="str">
        <f aca="false">IF($D2381="","",IFERROR(IF(INDEX(Workers!$D$5:$D$2004,MATCH($D2381,Workers!$A$5:$A$2004,0))=0,"",INDEX(Workers!$D$5:$D$2004,MATCH($D2381,Workers!$A$5:$A$2004,0))),""))</f>
        <v/>
      </c>
      <c r="L2381" s="24" t="str">
        <f aca="false">IF($D2381="","",IFERROR(INDEX(Workers!$E$5:$E$2004,MATCH($D2381,Workers!$A$5:$A$2004,0)),""))</f>
        <v/>
      </c>
      <c r="M2381" s="26" t="str">
        <f aca="false">IF($D2381="","",IFERROR(INDEX(ClientRates!$D$5:$D$500,MATCH($B2381&amp;"|"&amp;$L2381,ClientRates!$A$5:$A$500,0)),0))</f>
        <v/>
      </c>
      <c r="N2381" s="26" t="str">
        <f aca="false">IF($D2381="","",IFERROR(INDEX(ClientRates!$E$5:$E$500,MATCH($B2381&amp;"|"&amp;$L2381,ClientRates!$A$5:$A$500,0)),0))</f>
        <v/>
      </c>
      <c r="O2381" s="26" t="str">
        <f aca="false">IF($D2381="","",F2381*M2381+G2381*N2381)</f>
        <v/>
      </c>
      <c r="P2381" s="26" t="str">
        <f aca="false">IF(OR($D2381="",$J2381&lt;&gt;"Supplier"),"",IFERROR(INDEX(SupplierRates!$D$5:$D$500,MATCH($K2381&amp;"|"&amp;$L2381,SupplierRates!$A$5:$A$500,0)),0))</f>
        <v/>
      </c>
      <c r="Q2381" s="26" t="str">
        <f aca="false">IF(OR($D2381="",$J2381&lt;&gt;"Supplier"),"",IFERROR(INDEX(SupplierRates!$E$5:$E$500,MATCH($K2381&amp;"|"&amp;$L2381,SupplierRates!$A$5:$A$500,0)),0))</f>
        <v/>
      </c>
      <c r="R2381" s="26" t="n">
        <f aca="false">IF(OR($D2381="",$J2381&lt;&gt;"Supplier"),0,F2381*P2381+G2381*Q2381)</f>
        <v>0</v>
      </c>
      <c r="S2381" s="26" t="n">
        <f aca="false">IF(OR($D2381="",$J2381&lt;&gt;"Own"),0,IFERROR((F2381+G2381*Settings!$B$13)*INDEX(Workers!$V$5:$V$2004,MATCH($D2381,Workers!$A$5:$A$2004,0)),0))</f>
        <v>0</v>
      </c>
      <c r="T2381" s="26" t="str">
        <f aca="false">IF($D2381="","",O2381-R2381-S2381)</f>
        <v/>
      </c>
    </row>
    <row r="2382" customFormat="false" ht="15" hidden="false" customHeight="false" outlineLevel="0" collapsed="false">
      <c r="I2382" s="24" t="str">
        <f aca="false">IF($D2382="","",IFERROR(INDEX(Workers!$B$5:$B$2004,MATCH($D2382,Workers!$A$5:$A$2004,0)),"NOT FOUND"))</f>
        <v/>
      </c>
      <c r="J2382" s="24" t="str">
        <f aca="false">IF($D2382="","",IFERROR(INDEX(Workers!$C$5:$C$2004,MATCH($D2382,Workers!$A$5:$A$2004,0)),""))</f>
        <v/>
      </c>
      <c r="K2382" s="24" t="str">
        <f aca="false">IF($D2382="","",IFERROR(IF(INDEX(Workers!$D$5:$D$2004,MATCH($D2382,Workers!$A$5:$A$2004,0))=0,"",INDEX(Workers!$D$5:$D$2004,MATCH($D2382,Workers!$A$5:$A$2004,0))),""))</f>
        <v/>
      </c>
      <c r="L2382" s="24" t="str">
        <f aca="false">IF($D2382="","",IFERROR(INDEX(Workers!$E$5:$E$2004,MATCH($D2382,Workers!$A$5:$A$2004,0)),""))</f>
        <v/>
      </c>
      <c r="M2382" s="26" t="str">
        <f aca="false">IF($D2382="","",IFERROR(INDEX(ClientRates!$D$5:$D$500,MATCH($B2382&amp;"|"&amp;$L2382,ClientRates!$A$5:$A$500,0)),0))</f>
        <v/>
      </c>
      <c r="N2382" s="26" t="str">
        <f aca="false">IF($D2382="","",IFERROR(INDEX(ClientRates!$E$5:$E$500,MATCH($B2382&amp;"|"&amp;$L2382,ClientRates!$A$5:$A$500,0)),0))</f>
        <v/>
      </c>
      <c r="O2382" s="26" t="str">
        <f aca="false">IF($D2382="","",F2382*M2382+G2382*N2382)</f>
        <v/>
      </c>
      <c r="P2382" s="26" t="str">
        <f aca="false">IF(OR($D2382="",$J2382&lt;&gt;"Supplier"),"",IFERROR(INDEX(SupplierRates!$D$5:$D$500,MATCH($K2382&amp;"|"&amp;$L2382,SupplierRates!$A$5:$A$500,0)),0))</f>
        <v/>
      </c>
      <c r="Q2382" s="26" t="str">
        <f aca="false">IF(OR($D2382="",$J2382&lt;&gt;"Supplier"),"",IFERROR(INDEX(SupplierRates!$E$5:$E$500,MATCH($K2382&amp;"|"&amp;$L2382,SupplierRates!$A$5:$A$500,0)),0))</f>
        <v/>
      </c>
      <c r="R2382" s="26" t="n">
        <f aca="false">IF(OR($D2382="",$J2382&lt;&gt;"Supplier"),0,F2382*P2382+G2382*Q2382)</f>
        <v>0</v>
      </c>
      <c r="S2382" s="26" t="n">
        <f aca="false">IF(OR($D2382="",$J2382&lt;&gt;"Own"),0,IFERROR((F2382+G2382*Settings!$B$13)*INDEX(Workers!$V$5:$V$2004,MATCH($D2382,Workers!$A$5:$A$2004,0)),0))</f>
        <v>0</v>
      </c>
      <c r="T2382" s="26" t="str">
        <f aca="false">IF($D2382="","",O2382-R2382-S2382)</f>
        <v/>
      </c>
    </row>
    <row r="2383" customFormat="false" ht="15" hidden="false" customHeight="false" outlineLevel="0" collapsed="false">
      <c r="I2383" s="24" t="str">
        <f aca="false">IF($D2383="","",IFERROR(INDEX(Workers!$B$5:$B$2004,MATCH($D2383,Workers!$A$5:$A$2004,0)),"NOT FOUND"))</f>
        <v/>
      </c>
      <c r="J2383" s="24" t="str">
        <f aca="false">IF($D2383="","",IFERROR(INDEX(Workers!$C$5:$C$2004,MATCH($D2383,Workers!$A$5:$A$2004,0)),""))</f>
        <v/>
      </c>
      <c r="K2383" s="24" t="str">
        <f aca="false">IF($D2383="","",IFERROR(IF(INDEX(Workers!$D$5:$D$2004,MATCH($D2383,Workers!$A$5:$A$2004,0))=0,"",INDEX(Workers!$D$5:$D$2004,MATCH($D2383,Workers!$A$5:$A$2004,0))),""))</f>
        <v/>
      </c>
      <c r="L2383" s="24" t="str">
        <f aca="false">IF($D2383="","",IFERROR(INDEX(Workers!$E$5:$E$2004,MATCH($D2383,Workers!$A$5:$A$2004,0)),""))</f>
        <v/>
      </c>
      <c r="M2383" s="26" t="str">
        <f aca="false">IF($D2383="","",IFERROR(INDEX(ClientRates!$D$5:$D$500,MATCH($B2383&amp;"|"&amp;$L2383,ClientRates!$A$5:$A$500,0)),0))</f>
        <v/>
      </c>
      <c r="N2383" s="26" t="str">
        <f aca="false">IF($D2383="","",IFERROR(INDEX(ClientRates!$E$5:$E$500,MATCH($B2383&amp;"|"&amp;$L2383,ClientRates!$A$5:$A$500,0)),0))</f>
        <v/>
      </c>
      <c r="O2383" s="26" t="str">
        <f aca="false">IF($D2383="","",F2383*M2383+G2383*N2383)</f>
        <v/>
      </c>
      <c r="P2383" s="26" t="str">
        <f aca="false">IF(OR($D2383="",$J2383&lt;&gt;"Supplier"),"",IFERROR(INDEX(SupplierRates!$D$5:$D$500,MATCH($K2383&amp;"|"&amp;$L2383,SupplierRates!$A$5:$A$500,0)),0))</f>
        <v/>
      </c>
      <c r="Q2383" s="26" t="str">
        <f aca="false">IF(OR($D2383="",$J2383&lt;&gt;"Supplier"),"",IFERROR(INDEX(SupplierRates!$E$5:$E$500,MATCH($K2383&amp;"|"&amp;$L2383,SupplierRates!$A$5:$A$500,0)),0))</f>
        <v/>
      </c>
      <c r="R2383" s="26" t="n">
        <f aca="false">IF(OR($D2383="",$J2383&lt;&gt;"Supplier"),0,F2383*P2383+G2383*Q2383)</f>
        <v>0</v>
      </c>
      <c r="S2383" s="26" t="n">
        <f aca="false">IF(OR($D2383="",$J2383&lt;&gt;"Own"),0,IFERROR((F2383+G2383*Settings!$B$13)*INDEX(Workers!$V$5:$V$2004,MATCH($D2383,Workers!$A$5:$A$2004,0)),0))</f>
        <v>0</v>
      </c>
      <c r="T2383" s="26" t="str">
        <f aca="false">IF($D2383="","",O2383-R2383-S2383)</f>
        <v/>
      </c>
    </row>
    <row r="2384" customFormat="false" ht="15" hidden="false" customHeight="false" outlineLevel="0" collapsed="false">
      <c r="I2384" s="24" t="str">
        <f aca="false">IF($D2384="","",IFERROR(INDEX(Workers!$B$5:$B$2004,MATCH($D2384,Workers!$A$5:$A$2004,0)),"NOT FOUND"))</f>
        <v/>
      </c>
      <c r="J2384" s="24" t="str">
        <f aca="false">IF($D2384="","",IFERROR(INDEX(Workers!$C$5:$C$2004,MATCH($D2384,Workers!$A$5:$A$2004,0)),""))</f>
        <v/>
      </c>
      <c r="K2384" s="24" t="str">
        <f aca="false">IF($D2384="","",IFERROR(IF(INDEX(Workers!$D$5:$D$2004,MATCH($D2384,Workers!$A$5:$A$2004,0))=0,"",INDEX(Workers!$D$5:$D$2004,MATCH($D2384,Workers!$A$5:$A$2004,0))),""))</f>
        <v/>
      </c>
      <c r="L2384" s="24" t="str">
        <f aca="false">IF($D2384="","",IFERROR(INDEX(Workers!$E$5:$E$2004,MATCH($D2384,Workers!$A$5:$A$2004,0)),""))</f>
        <v/>
      </c>
      <c r="M2384" s="26" t="str">
        <f aca="false">IF($D2384="","",IFERROR(INDEX(ClientRates!$D$5:$D$500,MATCH($B2384&amp;"|"&amp;$L2384,ClientRates!$A$5:$A$500,0)),0))</f>
        <v/>
      </c>
      <c r="N2384" s="26" t="str">
        <f aca="false">IF($D2384="","",IFERROR(INDEX(ClientRates!$E$5:$E$500,MATCH($B2384&amp;"|"&amp;$L2384,ClientRates!$A$5:$A$500,0)),0))</f>
        <v/>
      </c>
      <c r="O2384" s="26" t="str">
        <f aca="false">IF($D2384="","",F2384*M2384+G2384*N2384)</f>
        <v/>
      </c>
      <c r="P2384" s="26" t="str">
        <f aca="false">IF(OR($D2384="",$J2384&lt;&gt;"Supplier"),"",IFERROR(INDEX(SupplierRates!$D$5:$D$500,MATCH($K2384&amp;"|"&amp;$L2384,SupplierRates!$A$5:$A$500,0)),0))</f>
        <v/>
      </c>
      <c r="Q2384" s="26" t="str">
        <f aca="false">IF(OR($D2384="",$J2384&lt;&gt;"Supplier"),"",IFERROR(INDEX(SupplierRates!$E$5:$E$500,MATCH($K2384&amp;"|"&amp;$L2384,SupplierRates!$A$5:$A$500,0)),0))</f>
        <v/>
      </c>
      <c r="R2384" s="26" t="n">
        <f aca="false">IF(OR($D2384="",$J2384&lt;&gt;"Supplier"),0,F2384*P2384+G2384*Q2384)</f>
        <v>0</v>
      </c>
      <c r="S2384" s="26" t="n">
        <f aca="false">IF(OR($D2384="",$J2384&lt;&gt;"Own"),0,IFERROR((F2384+G2384*Settings!$B$13)*INDEX(Workers!$V$5:$V$2004,MATCH($D2384,Workers!$A$5:$A$2004,0)),0))</f>
        <v>0</v>
      </c>
      <c r="T2384" s="26" t="str">
        <f aca="false">IF($D2384="","",O2384-R2384-S2384)</f>
        <v/>
      </c>
    </row>
    <row r="2385" customFormat="false" ht="15" hidden="false" customHeight="false" outlineLevel="0" collapsed="false">
      <c r="I2385" s="24" t="str">
        <f aca="false">IF($D2385="","",IFERROR(INDEX(Workers!$B$5:$B$2004,MATCH($D2385,Workers!$A$5:$A$2004,0)),"NOT FOUND"))</f>
        <v/>
      </c>
      <c r="J2385" s="24" t="str">
        <f aca="false">IF($D2385="","",IFERROR(INDEX(Workers!$C$5:$C$2004,MATCH($D2385,Workers!$A$5:$A$2004,0)),""))</f>
        <v/>
      </c>
      <c r="K2385" s="24" t="str">
        <f aca="false">IF($D2385="","",IFERROR(IF(INDEX(Workers!$D$5:$D$2004,MATCH($D2385,Workers!$A$5:$A$2004,0))=0,"",INDEX(Workers!$D$5:$D$2004,MATCH($D2385,Workers!$A$5:$A$2004,0))),""))</f>
        <v/>
      </c>
      <c r="L2385" s="24" t="str">
        <f aca="false">IF($D2385="","",IFERROR(INDEX(Workers!$E$5:$E$2004,MATCH($D2385,Workers!$A$5:$A$2004,0)),""))</f>
        <v/>
      </c>
      <c r="M2385" s="26" t="str">
        <f aca="false">IF($D2385="","",IFERROR(INDEX(ClientRates!$D$5:$D$500,MATCH($B2385&amp;"|"&amp;$L2385,ClientRates!$A$5:$A$500,0)),0))</f>
        <v/>
      </c>
      <c r="N2385" s="26" t="str">
        <f aca="false">IF($D2385="","",IFERROR(INDEX(ClientRates!$E$5:$E$500,MATCH($B2385&amp;"|"&amp;$L2385,ClientRates!$A$5:$A$500,0)),0))</f>
        <v/>
      </c>
      <c r="O2385" s="26" t="str">
        <f aca="false">IF($D2385="","",F2385*M2385+G2385*N2385)</f>
        <v/>
      </c>
      <c r="P2385" s="26" t="str">
        <f aca="false">IF(OR($D2385="",$J2385&lt;&gt;"Supplier"),"",IFERROR(INDEX(SupplierRates!$D$5:$D$500,MATCH($K2385&amp;"|"&amp;$L2385,SupplierRates!$A$5:$A$500,0)),0))</f>
        <v/>
      </c>
      <c r="Q2385" s="26" t="str">
        <f aca="false">IF(OR($D2385="",$J2385&lt;&gt;"Supplier"),"",IFERROR(INDEX(SupplierRates!$E$5:$E$500,MATCH($K2385&amp;"|"&amp;$L2385,SupplierRates!$A$5:$A$500,0)),0))</f>
        <v/>
      </c>
      <c r="R2385" s="26" t="n">
        <f aca="false">IF(OR($D2385="",$J2385&lt;&gt;"Supplier"),0,F2385*P2385+G2385*Q2385)</f>
        <v>0</v>
      </c>
      <c r="S2385" s="26" t="n">
        <f aca="false">IF(OR($D2385="",$J2385&lt;&gt;"Own"),0,IFERROR((F2385+G2385*Settings!$B$13)*INDEX(Workers!$V$5:$V$2004,MATCH($D2385,Workers!$A$5:$A$2004,0)),0))</f>
        <v>0</v>
      </c>
      <c r="T2385" s="26" t="str">
        <f aca="false">IF($D2385="","",O2385-R2385-S2385)</f>
        <v/>
      </c>
    </row>
    <row r="2386" customFormat="false" ht="15" hidden="false" customHeight="false" outlineLevel="0" collapsed="false">
      <c r="I2386" s="24" t="str">
        <f aca="false">IF($D2386="","",IFERROR(INDEX(Workers!$B$5:$B$2004,MATCH($D2386,Workers!$A$5:$A$2004,0)),"NOT FOUND"))</f>
        <v/>
      </c>
      <c r="J2386" s="24" t="str">
        <f aca="false">IF($D2386="","",IFERROR(INDEX(Workers!$C$5:$C$2004,MATCH($D2386,Workers!$A$5:$A$2004,0)),""))</f>
        <v/>
      </c>
      <c r="K2386" s="24" t="str">
        <f aca="false">IF($D2386="","",IFERROR(IF(INDEX(Workers!$D$5:$D$2004,MATCH($D2386,Workers!$A$5:$A$2004,0))=0,"",INDEX(Workers!$D$5:$D$2004,MATCH($D2386,Workers!$A$5:$A$2004,0))),""))</f>
        <v/>
      </c>
      <c r="L2386" s="24" t="str">
        <f aca="false">IF($D2386="","",IFERROR(INDEX(Workers!$E$5:$E$2004,MATCH($D2386,Workers!$A$5:$A$2004,0)),""))</f>
        <v/>
      </c>
      <c r="M2386" s="26" t="str">
        <f aca="false">IF($D2386="","",IFERROR(INDEX(ClientRates!$D$5:$D$500,MATCH($B2386&amp;"|"&amp;$L2386,ClientRates!$A$5:$A$500,0)),0))</f>
        <v/>
      </c>
      <c r="N2386" s="26" t="str">
        <f aca="false">IF($D2386="","",IFERROR(INDEX(ClientRates!$E$5:$E$500,MATCH($B2386&amp;"|"&amp;$L2386,ClientRates!$A$5:$A$500,0)),0))</f>
        <v/>
      </c>
      <c r="O2386" s="26" t="str">
        <f aca="false">IF($D2386="","",F2386*M2386+G2386*N2386)</f>
        <v/>
      </c>
      <c r="P2386" s="26" t="str">
        <f aca="false">IF(OR($D2386="",$J2386&lt;&gt;"Supplier"),"",IFERROR(INDEX(SupplierRates!$D$5:$D$500,MATCH($K2386&amp;"|"&amp;$L2386,SupplierRates!$A$5:$A$500,0)),0))</f>
        <v/>
      </c>
      <c r="Q2386" s="26" t="str">
        <f aca="false">IF(OR($D2386="",$J2386&lt;&gt;"Supplier"),"",IFERROR(INDEX(SupplierRates!$E$5:$E$500,MATCH($K2386&amp;"|"&amp;$L2386,SupplierRates!$A$5:$A$500,0)),0))</f>
        <v/>
      </c>
      <c r="R2386" s="26" t="n">
        <f aca="false">IF(OR($D2386="",$J2386&lt;&gt;"Supplier"),0,F2386*P2386+G2386*Q2386)</f>
        <v>0</v>
      </c>
      <c r="S2386" s="26" t="n">
        <f aca="false">IF(OR($D2386="",$J2386&lt;&gt;"Own"),0,IFERROR((F2386+G2386*Settings!$B$13)*INDEX(Workers!$V$5:$V$2004,MATCH($D2386,Workers!$A$5:$A$2004,0)),0))</f>
        <v>0</v>
      </c>
      <c r="T2386" s="26" t="str">
        <f aca="false">IF($D2386="","",O2386-R2386-S2386)</f>
        <v/>
      </c>
    </row>
    <row r="2387" customFormat="false" ht="15" hidden="false" customHeight="false" outlineLevel="0" collapsed="false">
      <c r="I2387" s="24" t="str">
        <f aca="false">IF($D2387="","",IFERROR(INDEX(Workers!$B$5:$B$2004,MATCH($D2387,Workers!$A$5:$A$2004,0)),"NOT FOUND"))</f>
        <v/>
      </c>
      <c r="J2387" s="24" t="str">
        <f aca="false">IF($D2387="","",IFERROR(INDEX(Workers!$C$5:$C$2004,MATCH($D2387,Workers!$A$5:$A$2004,0)),""))</f>
        <v/>
      </c>
      <c r="K2387" s="24" t="str">
        <f aca="false">IF($D2387="","",IFERROR(IF(INDEX(Workers!$D$5:$D$2004,MATCH($D2387,Workers!$A$5:$A$2004,0))=0,"",INDEX(Workers!$D$5:$D$2004,MATCH($D2387,Workers!$A$5:$A$2004,0))),""))</f>
        <v/>
      </c>
      <c r="L2387" s="24" t="str">
        <f aca="false">IF($D2387="","",IFERROR(INDEX(Workers!$E$5:$E$2004,MATCH($D2387,Workers!$A$5:$A$2004,0)),""))</f>
        <v/>
      </c>
      <c r="M2387" s="26" t="str">
        <f aca="false">IF($D2387="","",IFERROR(INDEX(ClientRates!$D$5:$D$500,MATCH($B2387&amp;"|"&amp;$L2387,ClientRates!$A$5:$A$500,0)),0))</f>
        <v/>
      </c>
      <c r="N2387" s="26" t="str">
        <f aca="false">IF($D2387="","",IFERROR(INDEX(ClientRates!$E$5:$E$500,MATCH($B2387&amp;"|"&amp;$L2387,ClientRates!$A$5:$A$500,0)),0))</f>
        <v/>
      </c>
      <c r="O2387" s="26" t="str">
        <f aca="false">IF($D2387="","",F2387*M2387+G2387*N2387)</f>
        <v/>
      </c>
      <c r="P2387" s="26" t="str">
        <f aca="false">IF(OR($D2387="",$J2387&lt;&gt;"Supplier"),"",IFERROR(INDEX(SupplierRates!$D$5:$D$500,MATCH($K2387&amp;"|"&amp;$L2387,SupplierRates!$A$5:$A$500,0)),0))</f>
        <v/>
      </c>
      <c r="Q2387" s="26" t="str">
        <f aca="false">IF(OR($D2387="",$J2387&lt;&gt;"Supplier"),"",IFERROR(INDEX(SupplierRates!$E$5:$E$500,MATCH($K2387&amp;"|"&amp;$L2387,SupplierRates!$A$5:$A$500,0)),0))</f>
        <v/>
      </c>
      <c r="R2387" s="26" t="n">
        <f aca="false">IF(OR($D2387="",$J2387&lt;&gt;"Supplier"),0,F2387*P2387+G2387*Q2387)</f>
        <v>0</v>
      </c>
      <c r="S2387" s="26" t="n">
        <f aca="false">IF(OR($D2387="",$J2387&lt;&gt;"Own"),0,IFERROR((F2387+G2387*Settings!$B$13)*INDEX(Workers!$V$5:$V$2004,MATCH($D2387,Workers!$A$5:$A$2004,0)),0))</f>
        <v>0</v>
      </c>
      <c r="T2387" s="26" t="str">
        <f aca="false">IF($D2387="","",O2387-R2387-S2387)</f>
        <v/>
      </c>
    </row>
    <row r="2388" customFormat="false" ht="15" hidden="false" customHeight="false" outlineLevel="0" collapsed="false">
      <c r="I2388" s="24" t="str">
        <f aca="false">IF($D2388="","",IFERROR(INDEX(Workers!$B$5:$B$2004,MATCH($D2388,Workers!$A$5:$A$2004,0)),"NOT FOUND"))</f>
        <v/>
      </c>
      <c r="J2388" s="24" t="str">
        <f aca="false">IF($D2388="","",IFERROR(INDEX(Workers!$C$5:$C$2004,MATCH($D2388,Workers!$A$5:$A$2004,0)),""))</f>
        <v/>
      </c>
      <c r="K2388" s="24" t="str">
        <f aca="false">IF($D2388="","",IFERROR(IF(INDEX(Workers!$D$5:$D$2004,MATCH($D2388,Workers!$A$5:$A$2004,0))=0,"",INDEX(Workers!$D$5:$D$2004,MATCH($D2388,Workers!$A$5:$A$2004,0))),""))</f>
        <v/>
      </c>
      <c r="L2388" s="24" t="str">
        <f aca="false">IF($D2388="","",IFERROR(INDEX(Workers!$E$5:$E$2004,MATCH($D2388,Workers!$A$5:$A$2004,0)),""))</f>
        <v/>
      </c>
      <c r="M2388" s="26" t="str">
        <f aca="false">IF($D2388="","",IFERROR(INDEX(ClientRates!$D$5:$D$500,MATCH($B2388&amp;"|"&amp;$L2388,ClientRates!$A$5:$A$500,0)),0))</f>
        <v/>
      </c>
      <c r="N2388" s="26" t="str">
        <f aca="false">IF($D2388="","",IFERROR(INDEX(ClientRates!$E$5:$E$500,MATCH($B2388&amp;"|"&amp;$L2388,ClientRates!$A$5:$A$500,0)),0))</f>
        <v/>
      </c>
      <c r="O2388" s="26" t="str">
        <f aca="false">IF($D2388="","",F2388*M2388+G2388*N2388)</f>
        <v/>
      </c>
      <c r="P2388" s="26" t="str">
        <f aca="false">IF(OR($D2388="",$J2388&lt;&gt;"Supplier"),"",IFERROR(INDEX(SupplierRates!$D$5:$D$500,MATCH($K2388&amp;"|"&amp;$L2388,SupplierRates!$A$5:$A$500,0)),0))</f>
        <v/>
      </c>
      <c r="Q2388" s="26" t="str">
        <f aca="false">IF(OR($D2388="",$J2388&lt;&gt;"Supplier"),"",IFERROR(INDEX(SupplierRates!$E$5:$E$500,MATCH($K2388&amp;"|"&amp;$L2388,SupplierRates!$A$5:$A$500,0)),0))</f>
        <v/>
      </c>
      <c r="R2388" s="26" t="n">
        <f aca="false">IF(OR($D2388="",$J2388&lt;&gt;"Supplier"),0,F2388*P2388+G2388*Q2388)</f>
        <v>0</v>
      </c>
      <c r="S2388" s="26" t="n">
        <f aca="false">IF(OR($D2388="",$J2388&lt;&gt;"Own"),0,IFERROR((F2388+G2388*Settings!$B$13)*INDEX(Workers!$V$5:$V$2004,MATCH($D2388,Workers!$A$5:$A$2004,0)),0))</f>
        <v>0</v>
      </c>
      <c r="T2388" s="26" t="str">
        <f aca="false">IF($D2388="","",O2388-R2388-S2388)</f>
        <v/>
      </c>
    </row>
    <row r="2389" customFormat="false" ht="15" hidden="false" customHeight="false" outlineLevel="0" collapsed="false">
      <c r="I2389" s="24" t="str">
        <f aca="false">IF($D2389="","",IFERROR(INDEX(Workers!$B$5:$B$2004,MATCH($D2389,Workers!$A$5:$A$2004,0)),"NOT FOUND"))</f>
        <v/>
      </c>
      <c r="J2389" s="24" t="str">
        <f aca="false">IF($D2389="","",IFERROR(INDEX(Workers!$C$5:$C$2004,MATCH($D2389,Workers!$A$5:$A$2004,0)),""))</f>
        <v/>
      </c>
      <c r="K2389" s="24" t="str">
        <f aca="false">IF($D2389="","",IFERROR(IF(INDEX(Workers!$D$5:$D$2004,MATCH($D2389,Workers!$A$5:$A$2004,0))=0,"",INDEX(Workers!$D$5:$D$2004,MATCH($D2389,Workers!$A$5:$A$2004,0))),""))</f>
        <v/>
      </c>
      <c r="L2389" s="24" t="str">
        <f aca="false">IF($D2389="","",IFERROR(INDEX(Workers!$E$5:$E$2004,MATCH($D2389,Workers!$A$5:$A$2004,0)),""))</f>
        <v/>
      </c>
      <c r="M2389" s="26" t="str">
        <f aca="false">IF($D2389="","",IFERROR(INDEX(ClientRates!$D$5:$D$500,MATCH($B2389&amp;"|"&amp;$L2389,ClientRates!$A$5:$A$500,0)),0))</f>
        <v/>
      </c>
      <c r="N2389" s="26" t="str">
        <f aca="false">IF($D2389="","",IFERROR(INDEX(ClientRates!$E$5:$E$500,MATCH($B2389&amp;"|"&amp;$L2389,ClientRates!$A$5:$A$500,0)),0))</f>
        <v/>
      </c>
      <c r="O2389" s="26" t="str">
        <f aca="false">IF($D2389="","",F2389*M2389+G2389*N2389)</f>
        <v/>
      </c>
      <c r="P2389" s="26" t="str">
        <f aca="false">IF(OR($D2389="",$J2389&lt;&gt;"Supplier"),"",IFERROR(INDEX(SupplierRates!$D$5:$D$500,MATCH($K2389&amp;"|"&amp;$L2389,SupplierRates!$A$5:$A$500,0)),0))</f>
        <v/>
      </c>
      <c r="Q2389" s="26" t="str">
        <f aca="false">IF(OR($D2389="",$J2389&lt;&gt;"Supplier"),"",IFERROR(INDEX(SupplierRates!$E$5:$E$500,MATCH($K2389&amp;"|"&amp;$L2389,SupplierRates!$A$5:$A$500,0)),0))</f>
        <v/>
      </c>
      <c r="R2389" s="26" t="n">
        <f aca="false">IF(OR($D2389="",$J2389&lt;&gt;"Supplier"),0,F2389*P2389+G2389*Q2389)</f>
        <v>0</v>
      </c>
      <c r="S2389" s="26" t="n">
        <f aca="false">IF(OR($D2389="",$J2389&lt;&gt;"Own"),0,IFERROR((F2389+G2389*Settings!$B$13)*INDEX(Workers!$V$5:$V$2004,MATCH($D2389,Workers!$A$5:$A$2004,0)),0))</f>
        <v>0</v>
      </c>
      <c r="T2389" s="26" t="str">
        <f aca="false">IF($D2389="","",O2389-R2389-S2389)</f>
        <v/>
      </c>
    </row>
    <row r="2390" customFormat="false" ht="15" hidden="false" customHeight="false" outlineLevel="0" collapsed="false">
      <c r="I2390" s="24" t="str">
        <f aca="false">IF($D2390="","",IFERROR(INDEX(Workers!$B$5:$B$2004,MATCH($D2390,Workers!$A$5:$A$2004,0)),"NOT FOUND"))</f>
        <v/>
      </c>
      <c r="J2390" s="24" t="str">
        <f aca="false">IF($D2390="","",IFERROR(INDEX(Workers!$C$5:$C$2004,MATCH($D2390,Workers!$A$5:$A$2004,0)),""))</f>
        <v/>
      </c>
      <c r="K2390" s="24" t="str">
        <f aca="false">IF($D2390="","",IFERROR(IF(INDEX(Workers!$D$5:$D$2004,MATCH($D2390,Workers!$A$5:$A$2004,0))=0,"",INDEX(Workers!$D$5:$D$2004,MATCH($D2390,Workers!$A$5:$A$2004,0))),""))</f>
        <v/>
      </c>
      <c r="L2390" s="24" t="str">
        <f aca="false">IF($D2390="","",IFERROR(INDEX(Workers!$E$5:$E$2004,MATCH($D2390,Workers!$A$5:$A$2004,0)),""))</f>
        <v/>
      </c>
      <c r="M2390" s="26" t="str">
        <f aca="false">IF($D2390="","",IFERROR(INDEX(ClientRates!$D$5:$D$500,MATCH($B2390&amp;"|"&amp;$L2390,ClientRates!$A$5:$A$500,0)),0))</f>
        <v/>
      </c>
      <c r="N2390" s="26" t="str">
        <f aca="false">IF($D2390="","",IFERROR(INDEX(ClientRates!$E$5:$E$500,MATCH($B2390&amp;"|"&amp;$L2390,ClientRates!$A$5:$A$500,0)),0))</f>
        <v/>
      </c>
      <c r="O2390" s="26" t="str">
        <f aca="false">IF($D2390="","",F2390*M2390+G2390*N2390)</f>
        <v/>
      </c>
      <c r="P2390" s="26" t="str">
        <f aca="false">IF(OR($D2390="",$J2390&lt;&gt;"Supplier"),"",IFERROR(INDEX(SupplierRates!$D$5:$D$500,MATCH($K2390&amp;"|"&amp;$L2390,SupplierRates!$A$5:$A$500,0)),0))</f>
        <v/>
      </c>
      <c r="Q2390" s="26" t="str">
        <f aca="false">IF(OR($D2390="",$J2390&lt;&gt;"Supplier"),"",IFERROR(INDEX(SupplierRates!$E$5:$E$500,MATCH($K2390&amp;"|"&amp;$L2390,SupplierRates!$A$5:$A$500,0)),0))</f>
        <v/>
      </c>
      <c r="R2390" s="26" t="n">
        <f aca="false">IF(OR($D2390="",$J2390&lt;&gt;"Supplier"),0,F2390*P2390+G2390*Q2390)</f>
        <v>0</v>
      </c>
      <c r="S2390" s="26" t="n">
        <f aca="false">IF(OR($D2390="",$J2390&lt;&gt;"Own"),0,IFERROR((F2390+G2390*Settings!$B$13)*INDEX(Workers!$V$5:$V$2004,MATCH($D2390,Workers!$A$5:$A$2004,0)),0))</f>
        <v>0</v>
      </c>
      <c r="T2390" s="26" t="str">
        <f aca="false">IF($D2390="","",O2390-R2390-S2390)</f>
        <v/>
      </c>
    </row>
    <row r="2391" customFormat="false" ht="15" hidden="false" customHeight="false" outlineLevel="0" collapsed="false">
      <c r="I2391" s="24" t="str">
        <f aca="false">IF($D2391="","",IFERROR(INDEX(Workers!$B$5:$B$2004,MATCH($D2391,Workers!$A$5:$A$2004,0)),"NOT FOUND"))</f>
        <v/>
      </c>
      <c r="J2391" s="24" t="str">
        <f aca="false">IF($D2391="","",IFERROR(INDEX(Workers!$C$5:$C$2004,MATCH($D2391,Workers!$A$5:$A$2004,0)),""))</f>
        <v/>
      </c>
      <c r="K2391" s="24" t="str">
        <f aca="false">IF($D2391="","",IFERROR(IF(INDEX(Workers!$D$5:$D$2004,MATCH($D2391,Workers!$A$5:$A$2004,0))=0,"",INDEX(Workers!$D$5:$D$2004,MATCH($D2391,Workers!$A$5:$A$2004,0))),""))</f>
        <v/>
      </c>
      <c r="L2391" s="24" t="str">
        <f aca="false">IF($D2391="","",IFERROR(INDEX(Workers!$E$5:$E$2004,MATCH($D2391,Workers!$A$5:$A$2004,0)),""))</f>
        <v/>
      </c>
      <c r="M2391" s="26" t="str">
        <f aca="false">IF($D2391="","",IFERROR(INDEX(ClientRates!$D$5:$D$500,MATCH($B2391&amp;"|"&amp;$L2391,ClientRates!$A$5:$A$500,0)),0))</f>
        <v/>
      </c>
      <c r="N2391" s="26" t="str">
        <f aca="false">IF($D2391="","",IFERROR(INDEX(ClientRates!$E$5:$E$500,MATCH($B2391&amp;"|"&amp;$L2391,ClientRates!$A$5:$A$500,0)),0))</f>
        <v/>
      </c>
      <c r="O2391" s="26" t="str">
        <f aca="false">IF($D2391="","",F2391*M2391+G2391*N2391)</f>
        <v/>
      </c>
      <c r="P2391" s="26" t="str">
        <f aca="false">IF(OR($D2391="",$J2391&lt;&gt;"Supplier"),"",IFERROR(INDEX(SupplierRates!$D$5:$D$500,MATCH($K2391&amp;"|"&amp;$L2391,SupplierRates!$A$5:$A$500,0)),0))</f>
        <v/>
      </c>
      <c r="Q2391" s="26" t="str">
        <f aca="false">IF(OR($D2391="",$J2391&lt;&gt;"Supplier"),"",IFERROR(INDEX(SupplierRates!$E$5:$E$500,MATCH($K2391&amp;"|"&amp;$L2391,SupplierRates!$A$5:$A$500,0)),0))</f>
        <v/>
      </c>
      <c r="R2391" s="26" t="n">
        <f aca="false">IF(OR($D2391="",$J2391&lt;&gt;"Supplier"),0,F2391*P2391+G2391*Q2391)</f>
        <v>0</v>
      </c>
      <c r="S2391" s="26" t="n">
        <f aca="false">IF(OR($D2391="",$J2391&lt;&gt;"Own"),0,IFERROR((F2391+G2391*Settings!$B$13)*INDEX(Workers!$V$5:$V$2004,MATCH($D2391,Workers!$A$5:$A$2004,0)),0))</f>
        <v>0</v>
      </c>
      <c r="T2391" s="26" t="str">
        <f aca="false">IF($D2391="","",O2391-R2391-S2391)</f>
        <v/>
      </c>
    </row>
    <row r="2392" customFormat="false" ht="15" hidden="false" customHeight="false" outlineLevel="0" collapsed="false">
      <c r="I2392" s="24" t="str">
        <f aca="false">IF($D2392="","",IFERROR(INDEX(Workers!$B$5:$B$2004,MATCH($D2392,Workers!$A$5:$A$2004,0)),"NOT FOUND"))</f>
        <v/>
      </c>
      <c r="J2392" s="24" t="str">
        <f aca="false">IF($D2392="","",IFERROR(INDEX(Workers!$C$5:$C$2004,MATCH($D2392,Workers!$A$5:$A$2004,0)),""))</f>
        <v/>
      </c>
      <c r="K2392" s="24" t="str">
        <f aca="false">IF($D2392="","",IFERROR(IF(INDEX(Workers!$D$5:$D$2004,MATCH($D2392,Workers!$A$5:$A$2004,0))=0,"",INDEX(Workers!$D$5:$D$2004,MATCH($D2392,Workers!$A$5:$A$2004,0))),""))</f>
        <v/>
      </c>
      <c r="L2392" s="24" t="str">
        <f aca="false">IF($D2392="","",IFERROR(INDEX(Workers!$E$5:$E$2004,MATCH($D2392,Workers!$A$5:$A$2004,0)),""))</f>
        <v/>
      </c>
      <c r="M2392" s="26" t="str">
        <f aca="false">IF($D2392="","",IFERROR(INDEX(ClientRates!$D$5:$D$500,MATCH($B2392&amp;"|"&amp;$L2392,ClientRates!$A$5:$A$500,0)),0))</f>
        <v/>
      </c>
      <c r="N2392" s="26" t="str">
        <f aca="false">IF($D2392="","",IFERROR(INDEX(ClientRates!$E$5:$E$500,MATCH($B2392&amp;"|"&amp;$L2392,ClientRates!$A$5:$A$500,0)),0))</f>
        <v/>
      </c>
      <c r="O2392" s="26" t="str">
        <f aca="false">IF($D2392="","",F2392*M2392+G2392*N2392)</f>
        <v/>
      </c>
      <c r="P2392" s="26" t="str">
        <f aca="false">IF(OR($D2392="",$J2392&lt;&gt;"Supplier"),"",IFERROR(INDEX(SupplierRates!$D$5:$D$500,MATCH($K2392&amp;"|"&amp;$L2392,SupplierRates!$A$5:$A$500,0)),0))</f>
        <v/>
      </c>
      <c r="Q2392" s="26" t="str">
        <f aca="false">IF(OR($D2392="",$J2392&lt;&gt;"Supplier"),"",IFERROR(INDEX(SupplierRates!$E$5:$E$500,MATCH($K2392&amp;"|"&amp;$L2392,SupplierRates!$A$5:$A$500,0)),0))</f>
        <v/>
      </c>
      <c r="R2392" s="26" t="n">
        <f aca="false">IF(OR($D2392="",$J2392&lt;&gt;"Supplier"),0,F2392*P2392+G2392*Q2392)</f>
        <v>0</v>
      </c>
      <c r="S2392" s="26" t="n">
        <f aca="false">IF(OR($D2392="",$J2392&lt;&gt;"Own"),0,IFERROR((F2392+G2392*Settings!$B$13)*INDEX(Workers!$V$5:$V$2004,MATCH($D2392,Workers!$A$5:$A$2004,0)),0))</f>
        <v>0</v>
      </c>
      <c r="T2392" s="26" t="str">
        <f aca="false">IF($D2392="","",O2392-R2392-S2392)</f>
        <v/>
      </c>
    </row>
    <row r="2393" customFormat="false" ht="15" hidden="false" customHeight="false" outlineLevel="0" collapsed="false">
      <c r="I2393" s="24" t="str">
        <f aca="false">IF($D2393="","",IFERROR(INDEX(Workers!$B$5:$B$2004,MATCH($D2393,Workers!$A$5:$A$2004,0)),"NOT FOUND"))</f>
        <v/>
      </c>
      <c r="J2393" s="24" t="str">
        <f aca="false">IF($D2393="","",IFERROR(INDEX(Workers!$C$5:$C$2004,MATCH($D2393,Workers!$A$5:$A$2004,0)),""))</f>
        <v/>
      </c>
      <c r="K2393" s="24" t="str">
        <f aca="false">IF($D2393="","",IFERROR(IF(INDEX(Workers!$D$5:$D$2004,MATCH($D2393,Workers!$A$5:$A$2004,0))=0,"",INDEX(Workers!$D$5:$D$2004,MATCH($D2393,Workers!$A$5:$A$2004,0))),""))</f>
        <v/>
      </c>
      <c r="L2393" s="24" t="str">
        <f aca="false">IF($D2393="","",IFERROR(INDEX(Workers!$E$5:$E$2004,MATCH($D2393,Workers!$A$5:$A$2004,0)),""))</f>
        <v/>
      </c>
      <c r="M2393" s="26" t="str">
        <f aca="false">IF($D2393="","",IFERROR(INDEX(ClientRates!$D$5:$D$500,MATCH($B2393&amp;"|"&amp;$L2393,ClientRates!$A$5:$A$500,0)),0))</f>
        <v/>
      </c>
      <c r="N2393" s="26" t="str">
        <f aca="false">IF($D2393="","",IFERROR(INDEX(ClientRates!$E$5:$E$500,MATCH($B2393&amp;"|"&amp;$L2393,ClientRates!$A$5:$A$500,0)),0))</f>
        <v/>
      </c>
      <c r="O2393" s="26" t="str">
        <f aca="false">IF($D2393="","",F2393*M2393+G2393*N2393)</f>
        <v/>
      </c>
      <c r="P2393" s="26" t="str">
        <f aca="false">IF(OR($D2393="",$J2393&lt;&gt;"Supplier"),"",IFERROR(INDEX(SupplierRates!$D$5:$D$500,MATCH($K2393&amp;"|"&amp;$L2393,SupplierRates!$A$5:$A$500,0)),0))</f>
        <v/>
      </c>
      <c r="Q2393" s="26" t="str">
        <f aca="false">IF(OR($D2393="",$J2393&lt;&gt;"Supplier"),"",IFERROR(INDEX(SupplierRates!$E$5:$E$500,MATCH($K2393&amp;"|"&amp;$L2393,SupplierRates!$A$5:$A$500,0)),0))</f>
        <v/>
      </c>
      <c r="R2393" s="26" t="n">
        <f aca="false">IF(OR($D2393="",$J2393&lt;&gt;"Supplier"),0,F2393*P2393+G2393*Q2393)</f>
        <v>0</v>
      </c>
      <c r="S2393" s="26" t="n">
        <f aca="false">IF(OR($D2393="",$J2393&lt;&gt;"Own"),0,IFERROR((F2393+G2393*Settings!$B$13)*INDEX(Workers!$V$5:$V$2004,MATCH($D2393,Workers!$A$5:$A$2004,0)),0))</f>
        <v>0</v>
      </c>
      <c r="T2393" s="26" t="str">
        <f aca="false">IF($D2393="","",O2393-R2393-S2393)</f>
        <v/>
      </c>
    </row>
    <row r="2394" customFormat="false" ht="15" hidden="false" customHeight="false" outlineLevel="0" collapsed="false">
      <c r="I2394" s="24" t="str">
        <f aca="false">IF($D2394="","",IFERROR(INDEX(Workers!$B$5:$B$2004,MATCH($D2394,Workers!$A$5:$A$2004,0)),"NOT FOUND"))</f>
        <v/>
      </c>
      <c r="J2394" s="24" t="str">
        <f aca="false">IF($D2394="","",IFERROR(INDEX(Workers!$C$5:$C$2004,MATCH($D2394,Workers!$A$5:$A$2004,0)),""))</f>
        <v/>
      </c>
      <c r="K2394" s="24" t="str">
        <f aca="false">IF($D2394="","",IFERROR(IF(INDEX(Workers!$D$5:$D$2004,MATCH($D2394,Workers!$A$5:$A$2004,0))=0,"",INDEX(Workers!$D$5:$D$2004,MATCH($D2394,Workers!$A$5:$A$2004,0))),""))</f>
        <v/>
      </c>
      <c r="L2394" s="24" t="str">
        <f aca="false">IF($D2394="","",IFERROR(INDEX(Workers!$E$5:$E$2004,MATCH($D2394,Workers!$A$5:$A$2004,0)),""))</f>
        <v/>
      </c>
      <c r="M2394" s="26" t="str">
        <f aca="false">IF($D2394="","",IFERROR(INDEX(ClientRates!$D$5:$D$500,MATCH($B2394&amp;"|"&amp;$L2394,ClientRates!$A$5:$A$500,0)),0))</f>
        <v/>
      </c>
      <c r="N2394" s="26" t="str">
        <f aca="false">IF($D2394="","",IFERROR(INDEX(ClientRates!$E$5:$E$500,MATCH($B2394&amp;"|"&amp;$L2394,ClientRates!$A$5:$A$500,0)),0))</f>
        <v/>
      </c>
      <c r="O2394" s="26" t="str">
        <f aca="false">IF($D2394="","",F2394*M2394+G2394*N2394)</f>
        <v/>
      </c>
      <c r="P2394" s="26" t="str">
        <f aca="false">IF(OR($D2394="",$J2394&lt;&gt;"Supplier"),"",IFERROR(INDEX(SupplierRates!$D$5:$D$500,MATCH($K2394&amp;"|"&amp;$L2394,SupplierRates!$A$5:$A$500,0)),0))</f>
        <v/>
      </c>
      <c r="Q2394" s="26" t="str">
        <f aca="false">IF(OR($D2394="",$J2394&lt;&gt;"Supplier"),"",IFERROR(INDEX(SupplierRates!$E$5:$E$500,MATCH($K2394&amp;"|"&amp;$L2394,SupplierRates!$A$5:$A$500,0)),0))</f>
        <v/>
      </c>
      <c r="R2394" s="26" t="n">
        <f aca="false">IF(OR($D2394="",$J2394&lt;&gt;"Supplier"),0,F2394*P2394+G2394*Q2394)</f>
        <v>0</v>
      </c>
      <c r="S2394" s="26" t="n">
        <f aca="false">IF(OR($D2394="",$J2394&lt;&gt;"Own"),0,IFERROR((F2394+G2394*Settings!$B$13)*INDEX(Workers!$V$5:$V$2004,MATCH($D2394,Workers!$A$5:$A$2004,0)),0))</f>
        <v>0</v>
      </c>
      <c r="T2394" s="26" t="str">
        <f aca="false">IF($D2394="","",O2394-R2394-S2394)</f>
        <v/>
      </c>
    </row>
    <row r="2395" customFormat="false" ht="15" hidden="false" customHeight="false" outlineLevel="0" collapsed="false">
      <c r="I2395" s="24" t="str">
        <f aca="false">IF($D2395="","",IFERROR(INDEX(Workers!$B$5:$B$2004,MATCH($D2395,Workers!$A$5:$A$2004,0)),"NOT FOUND"))</f>
        <v/>
      </c>
      <c r="J2395" s="24" t="str">
        <f aca="false">IF($D2395="","",IFERROR(INDEX(Workers!$C$5:$C$2004,MATCH($D2395,Workers!$A$5:$A$2004,0)),""))</f>
        <v/>
      </c>
      <c r="K2395" s="24" t="str">
        <f aca="false">IF($D2395="","",IFERROR(IF(INDEX(Workers!$D$5:$D$2004,MATCH($D2395,Workers!$A$5:$A$2004,0))=0,"",INDEX(Workers!$D$5:$D$2004,MATCH($D2395,Workers!$A$5:$A$2004,0))),""))</f>
        <v/>
      </c>
      <c r="L2395" s="24" t="str">
        <f aca="false">IF($D2395="","",IFERROR(INDEX(Workers!$E$5:$E$2004,MATCH($D2395,Workers!$A$5:$A$2004,0)),""))</f>
        <v/>
      </c>
      <c r="M2395" s="26" t="str">
        <f aca="false">IF($D2395="","",IFERROR(INDEX(ClientRates!$D$5:$D$500,MATCH($B2395&amp;"|"&amp;$L2395,ClientRates!$A$5:$A$500,0)),0))</f>
        <v/>
      </c>
      <c r="N2395" s="26" t="str">
        <f aca="false">IF($D2395="","",IFERROR(INDEX(ClientRates!$E$5:$E$500,MATCH($B2395&amp;"|"&amp;$L2395,ClientRates!$A$5:$A$500,0)),0))</f>
        <v/>
      </c>
      <c r="O2395" s="26" t="str">
        <f aca="false">IF($D2395="","",F2395*M2395+G2395*N2395)</f>
        <v/>
      </c>
      <c r="P2395" s="26" t="str">
        <f aca="false">IF(OR($D2395="",$J2395&lt;&gt;"Supplier"),"",IFERROR(INDEX(SupplierRates!$D$5:$D$500,MATCH($K2395&amp;"|"&amp;$L2395,SupplierRates!$A$5:$A$500,0)),0))</f>
        <v/>
      </c>
      <c r="Q2395" s="26" t="str">
        <f aca="false">IF(OR($D2395="",$J2395&lt;&gt;"Supplier"),"",IFERROR(INDEX(SupplierRates!$E$5:$E$500,MATCH($K2395&amp;"|"&amp;$L2395,SupplierRates!$A$5:$A$500,0)),0))</f>
        <v/>
      </c>
      <c r="R2395" s="26" t="n">
        <f aca="false">IF(OR($D2395="",$J2395&lt;&gt;"Supplier"),0,F2395*P2395+G2395*Q2395)</f>
        <v>0</v>
      </c>
      <c r="S2395" s="26" t="n">
        <f aca="false">IF(OR($D2395="",$J2395&lt;&gt;"Own"),0,IFERROR((F2395+G2395*Settings!$B$13)*INDEX(Workers!$V$5:$V$2004,MATCH($D2395,Workers!$A$5:$A$2004,0)),0))</f>
        <v>0</v>
      </c>
      <c r="T2395" s="26" t="str">
        <f aca="false">IF($D2395="","",O2395-R2395-S2395)</f>
        <v/>
      </c>
    </row>
    <row r="2396" customFormat="false" ht="15" hidden="false" customHeight="false" outlineLevel="0" collapsed="false">
      <c r="I2396" s="24" t="str">
        <f aca="false">IF($D2396="","",IFERROR(INDEX(Workers!$B$5:$B$2004,MATCH($D2396,Workers!$A$5:$A$2004,0)),"NOT FOUND"))</f>
        <v/>
      </c>
      <c r="J2396" s="24" t="str">
        <f aca="false">IF($D2396="","",IFERROR(INDEX(Workers!$C$5:$C$2004,MATCH($D2396,Workers!$A$5:$A$2004,0)),""))</f>
        <v/>
      </c>
      <c r="K2396" s="24" t="str">
        <f aca="false">IF($D2396="","",IFERROR(IF(INDEX(Workers!$D$5:$D$2004,MATCH($D2396,Workers!$A$5:$A$2004,0))=0,"",INDEX(Workers!$D$5:$D$2004,MATCH($D2396,Workers!$A$5:$A$2004,0))),""))</f>
        <v/>
      </c>
      <c r="L2396" s="24" t="str">
        <f aca="false">IF($D2396="","",IFERROR(INDEX(Workers!$E$5:$E$2004,MATCH($D2396,Workers!$A$5:$A$2004,0)),""))</f>
        <v/>
      </c>
      <c r="M2396" s="26" t="str">
        <f aca="false">IF($D2396="","",IFERROR(INDEX(ClientRates!$D$5:$D$500,MATCH($B2396&amp;"|"&amp;$L2396,ClientRates!$A$5:$A$500,0)),0))</f>
        <v/>
      </c>
      <c r="N2396" s="26" t="str">
        <f aca="false">IF($D2396="","",IFERROR(INDEX(ClientRates!$E$5:$E$500,MATCH($B2396&amp;"|"&amp;$L2396,ClientRates!$A$5:$A$500,0)),0))</f>
        <v/>
      </c>
      <c r="O2396" s="26" t="str">
        <f aca="false">IF($D2396="","",F2396*M2396+G2396*N2396)</f>
        <v/>
      </c>
      <c r="P2396" s="26" t="str">
        <f aca="false">IF(OR($D2396="",$J2396&lt;&gt;"Supplier"),"",IFERROR(INDEX(SupplierRates!$D$5:$D$500,MATCH($K2396&amp;"|"&amp;$L2396,SupplierRates!$A$5:$A$500,0)),0))</f>
        <v/>
      </c>
      <c r="Q2396" s="26" t="str">
        <f aca="false">IF(OR($D2396="",$J2396&lt;&gt;"Supplier"),"",IFERROR(INDEX(SupplierRates!$E$5:$E$500,MATCH($K2396&amp;"|"&amp;$L2396,SupplierRates!$A$5:$A$500,0)),0))</f>
        <v/>
      </c>
      <c r="R2396" s="26" t="n">
        <f aca="false">IF(OR($D2396="",$J2396&lt;&gt;"Supplier"),0,F2396*P2396+G2396*Q2396)</f>
        <v>0</v>
      </c>
      <c r="S2396" s="26" t="n">
        <f aca="false">IF(OR($D2396="",$J2396&lt;&gt;"Own"),0,IFERROR((F2396+G2396*Settings!$B$13)*INDEX(Workers!$V$5:$V$2004,MATCH($D2396,Workers!$A$5:$A$2004,0)),0))</f>
        <v>0</v>
      </c>
      <c r="T2396" s="26" t="str">
        <f aca="false">IF($D2396="","",O2396-R2396-S2396)</f>
        <v/>
      </c>
    </row>
    <row r="2397" customFormat="false" ht="15" hidden="false" customHeight="false" outlineLevel="0" collapsed="false">
      <c r="I2397" s="24" t="str">
        <f aca="false">IF($D2397="","",IFERROR(INDEX(Workers!$B$5:$B$2004,MATCH($D2397,Workers!$A$5:$A$2004,0)),"NOT FOUND"))</f>
        <v/>
      </c>
      <c r="J2397" s="24" t="str">
        <f aca="false">IF($D2397="","",IFERROR(INDEX(Workers!$C$5:$C$2004,MATCH($D2397,Workers!$A$5:$A$2004,0)),""))</f>
        <v/>
      </c>
      <c r="K2397" s="24" t="str">
        <f aca="false">IF($D2397="","",IFERROR(IF(INDEX(Workers!$D$5:$D$2004,MATCH($D2397,Workers!$A$5:$A$2004,0))=0,"",INDEX(Workers!$D$5:$D$2004,MATCH($D2397,Workers!$A$5:$A$2004,0))),""))</f>
        <v/>
      </c>
      <c r="L2397" s="24" t="str">
        <f aca="false">IF($D2397="","",IFERROR(INDEX(Workers!$E$5:$E$2004,MATCH($D2397,Workers!$A$5:$A$2004,0)),""))</f>
        <v/>
      </c>
      <c r="M2397" s="26" t="str">
        <f aca="false">IF($D2397="","",IFERROR(INDEX(ClientRates!$D$5:$D$500,MATCH($B2397&amp;"|"&amp;$L2397,ClientRates!$A$5:$A$500,0)),0))</f>
        <v/>
      </c>
      <c r="N2397" s="26" t="str">
        <f aca="false">IF($D2397="","",IFERROR(INDEX(ClientRates!$E$5:$E$500,MATCH($B2397&amp;"|"&amp;$L2397,ClientRates!$A$5:$A$500,0)),0))</f>
        <v/>
      </c>
      <c r="O2397" s="26" t="str">
        <f aca="false">IF($D2397="","",F2397*M2397+G2397*N2397)</f>
        <v/>
      </c>
      <c r="P2397" s="26" t="str">
        <f aca="false">IF(OR($D2397="",$J2397&lt;&gt;"Supplier"),"",IFERROR(INDEX(SupplierRates!$D$5:$D$500,MATCH($K2397&amp;"|"&amp;$L2397,SupplierRates!$A$5:$A$500,0)),0))</f>
        <v/>
      </c>
      <c r="Q2397" s="26" t="str">
        <f aca="false">IF(OR($D2397="",$J2397&lt;&gt;"Supplier"),"",IFERROR(INDEX(SupplierRates!$E$5:$E$500,MATCH($K2397&amp;"|"&amp;$L2397,SupplierRates!$A$5:$A$500,0)),0))</f>
        <v/>
      </c>
      <c r="R2397" s="26" t="n">
        <f aca="false">IF(OR($D2397="",$J2397&lt;&gt;"Supplier"),0,F2397*P2397+G2397*Q2397)</f>
        <v>0</v>
      </c>
      <c r="S2397" s="26" t="n">
        <f aca="false">IF(OR($D2397="",$J2397&lt;&gt;"Own"),0,IFERROR((F2397+G2397*Settings!$B$13)*INDEX(Workers!$V$5:$V$2004,MATCH($D2397,Workers!$A$5:$A$2004,0)),0))</f>
        <v>0</v>
      </c>
      <c r="T2397" s="26" t="str">
        <f aca="false">IF($D2397="","",O2397-R2397-S2397)</f>
        <v/>
      </c>
    </row>
    <row r="2398" customFormat="false" ht="15" hidden="false" customHeight="false" outlineLevel="0" collapsed="false">
      <c r="I2398" s="24" t="str">
        <f aca="false">IF($D2398="","",IFERROR(INDEX(Workers!$B$5:$B$2004,MATCH($D2398,Workers!$A$5:$A$2004,0)),"NOT FOUND"))</f>
        <v/>
      </c>
      <c r="J2398" s="24" t="str">
        <f aca="false">IF($D2398="","",IFERROR(INDEX(Workers!$C$5:$C$2004,MATCH($D2398,Workers!$A$5:$A$2004,0)),""))</f>
        <v/>
      </c>
      <c r="K2398" s="24" t="str">
        <f aca="false">IF($D2398="","",IFERROR(IF(INDEX(Workers!$D$5:$D$2004,MATCH($D2398,Workers!$A$5:$A$2004,0))=0,"",INDEX(Workers!$D$5:$D$2004,MATCH($D2398,Workers!$A$5:$A$2004,0))),""))</f>
        <v/>
      </c>
      <c r="L2398" s="24" t="str">
        <f aca="false">IF($D2398="","",IFERROR(INDEX(Workers!$E$5:$E$2004,MATCH($D2398,Workers!$A$5:$A$2004,0)),""))</f>
        <v/>
      </c>
      <c r="M2398" s="26" t="str">
        <f aca="false">IF($D2398="","",IFERROR(INDEX(ClientRates!$D$5:$D$500,MATCH($B2398&amp;"|"&amp;$L2398,ClientRates!$A$5:$A$500,0)),0))</f>
        <v/>
      </c>
      <c r="N2398" s="26" t="str">
        <f aca="false">IF($D2398="","",IFERROR(INDEX(ClientRates!$E$5:$E$500,MATCH($B2398&amp;"|"&amp;$L2398,ClientRates!$A$5:$A$500,0)),0))</f>
        <v/>
      </c>
      <c r="O2398" s="26" t="str">
        <f aca="false">IF($D2398="","",F2398*M2398+G2398*N2398)</f>
        <v/>
      </c>
      <c r="P2398" s="26" t="str">
        <f aca="false">IF(OR($D2398="",$J2398&lt;&gt;"Supplier"),"",IFERROR(INDEX(SupplierRates!$D$5:$D$500,MATCH($K2398&amp;"|"&amp;$L2398,SupplierRates!$A$5:$A$500,0)),0))</f>
        <v/>
      </c>
      <c r="Q2398" s="26" t="str">
        <f aca="false">IF(OR($D2398="",$J2398&lt;&gt;"Supplier"),"",IFERROR(INDEX(SupplierRates!$E$5:$E$500,MATCH($K2398&amp;"|"&amp;$L2398,SupplierRates!$A$5:$A$500,0)),0))</f>
        <v/>
      </c>
      <c r="R2398" s="26" t="n">
        <f aca="false">IF(OR($D2398="",$J2398&lt;&gt;"Supplier"),0,F2398*P2398+G2398*Q2398)</f>
        <v>0</v>
      </c>
      <c r="S2398" s="26" t="n">
        <f aca="false">IF(OR($D2398="",$J2398&lt;&gt;"Own"),0,IFERROR((F2398+G2398*Settings!$B$13)*INDEX(Workers!$V$5:$V$2004,MATCH($D2398,Workers!$A$5:$A$2004,0)),0))</f>
        <v>0</v>
      </c>
      <c r="T2398" s="26" t="str">
        <f aca="false">IF($D2398="","",O2398-R2398-S2398)</f>
        <v/>
      </c>
    </row>
    <row r="2399" customFormat="false" ht="15" hidden="false" customHeight="false" outlineLevel="0" collapsed="false">
      <c r="I2399" s="24" t="str">
        <f aca="false">IF($D2399="","",IFERROR(INDEX(Workers!$B$5:$B$2004,MATCH($D2399,Workers!$A$5:$A$2004,0)),"NOT FOUND"))</f>
        <v/>
      </c>
      <c r="J2399" s="24" t="str">
        <f aca="false">IF($D2399="","",IFERROR(INDEX(Workers!$C$5:$C$2004,MATCH($D2399,Workers!$A$5:$A$2004,0)),""))</f>
        <v/>
      </c>
      <c r="K2399" s="24" t="str">
        <f aca="false">IF($D2399="","",IFERROR(IF(INDEX(Workers!$D$5:$D$2004,MATCH($D2399,Workers!$A$5:$A$2004,0))=0,"",INDEX(Workers!$D$5:$D$2004,MATCH($D2399,Workers!$A$5:$A$2004,0))),""))</f>
        <v/>
      </c>
      <c r="L2399" s="24" t="str">
        <f aca="false">IF($D2399="","",IFERROR(INDEX(Workers!$E$5:$E$2004,MATCH($D2399,Workers!$A$5:$A$2004,0)),""))</f>
        <v/>
      </c>
      <c r="M2399" s="26" t="str">
        <f aca="false">IF($D2399="","",IFERROR(INDEX(ClientRates!$D$5:$D$500,MATCH($B2399&amp;"|"&amp;$L2399,ClientRates!$A$5:$A$500,0)),0))</f>
        <v/>
      </c>
      <c r="N2399" s="26" t="str">
        <f aca="false">IF($D2399="","",IFERROR(INDEX(ClientRates!$E$5:$E$500,MATCH($B2399&amp;"|"&amp;$L2399,ClientRates!$A$5:$A$500,0)),0))</f>
        <v/>
      </c>
      <c r="O2399" s="26" t="str">
        <f aca="false">IF($D2399="","",F2399*M2399+G2399*N2399)</f>
        <v/>
      </c>
      <c r="P2399" s="26" t="str">
        <f aca="false">IF(OR($D2399="",$J2399&lt;&gt;"Supplier"),"",IFERROR(INDEX(SupplierRates!$D$5:$D$500,MATCH($K2399&amp;"|"&amp;$L2399,SupplierRates!$A$5:$A$500,0)),0))</f>
        <v/>
      </c>
      <c r="Q2399" s="26" t="str">
        <f aca="false">IF(OR($D2399="",$J2399&lt;&gt;"Supplier"),"",IFERROR(INDEX(SupplierRates!$E$5:$E$500,MATCH($K2399&amp;"|"&amp;$L2399,SupplierRates!$A$5:$A$500,0)),0))</f>
        <v/>
      </c>
      <c r="R2399" s="26" t="n">
        <f aca="false">IF(OR($D2399="",$J2399&lt;&gt;"Supplier"),0,F2399*P2399+G2399*Q2399)</f>
        <v>0</v>
      </c>
      <c r="S2399" s="26" t="n">
        <f aca="false">IF(OR($D2399="",$J2399&lt;&gt;"Own"),0,IFERROR((F2399+G2399*Settings!$B$13)*INDEX(Workers!$V$5:$V$2004,MATCH($D2399,Workers!$A$5:$A$2004,0)),0))</f>
        <v>0</v>
      </c>
      <c r="T2399" s="26" t="str">
        <f aca="false">IF($D2399="","",O2399-R2399-S2399)</f>
        <v/>
      </c>
    </row>
    <row r="2400" customFormat="false" ht="15" hidden="false" customHeight="false" outlineLevel="0" collapsed="false">
      <c r="I2400" s="24" t="str">
        <f aca="false">IF($D2400="","",IFERROR(INDEX(Workers!$B$5:$B$2004,MATCH($D2400,Workers!$A$5:$A$2004,0)),"NOT FOUND"))</f>
        <v/>
      </c>
      <c r="J2400" s="24" t="str">
        <f aca="false">IF($D2400="","",IFERROR(INDEX(Workers!$C$5:$C$2004,MATCH($D2400,Workers!$A$5:$A$2004,0)),""))</f>
        <v/>
      </c>
      <c r="K2400" s="24" t="str">
        <f aca="false">IF($D2400="","",IFERROR(IF(INDEX(Workers!$D$5:$D$2004,MATCH($D2400,Workers!$A$5:$A$2004,0))=0,"",INDEX(Workers!$D$5:$D$2004,MATCH($D2400,Workers!$A$5:$A$2004,0))),""))</f>
        <v/>
      </c>
      <c r="L2400" s="24" t="str">
        <f aca="false">IF($D2400="","",IFERROR(INDEX(Workers!$E$5:$E$2004,MATCH($D2400,Workers!$A$5:$A$2004,0)),""))</f>
        <v/>
      </c>
      <c r="M2400" s="26" t="str">
        <f aca="false">IF($D2400="","",IFERROR(INDEX(ClientRates!$D$5:$D$500,MATCH($B2400&amp;"|"&amp;$L2400,ClientRates!$A$5:$A$500,0)),0))</f>
        <v/>
      </c>
      <c r="N2400" s="26" t="str">
        <f aca="false">IF($D2400="","",IFERROR(INDEX(ClientRates!$E$5:$E$500,MATCH($B2400&amp;"|"&amp;$L2400,ClientRates!$A$5:$A$500,0)),0))</f>
        <v/>
      </c>
      <c r="O2400" s="26" t="str">
        <f aca="false">IF($D2400="","",F2400*M2400+G2400*N2400)</f>
        <v/>
      </c>
      <c r="P2400" s="26" t="str">
        <f aca="false">IF(OR($D2400="",$J2400&lt;&gt;"Supplier"),"",IFERROR(INDEX(SupplierRates!$D$5:$D$500,MATCH($K2400&amp;"|"&amp;$L2400,SupplierRates!$A$5:$A$500,0)),0))</f>
        <v/>
      </c>
      <c r="Q2400" s="26" t="str">
        <f aca="false">IF(OR($D2400="",$J2400&lt;&gt;"Supplier"),"",IFERROR(INDEX(SupplierRates!$E$5:$E$500,MATCH($K2400&amp;"|"&amp;$L2400,SupplierRates!$A$5:$A$500,0)),0))</f>
        <v/>
      </c>
      <c r="R2400" s="26" t="n">
        <f aca="false">IF(OR($D2400="",$J2400&lt;&gt;"Supplier"),0,F2400*P2400+G2400*Q2400)</f>
        <v>0</v>
      </c>
      <c r="S2400" s="26" t="n">
        <f aca="false">IF(OR($D2400="",$J2400&lt;&gt;"Own"),0,IFERROR((F2400+G2400*Settings!$B$13)*INDEX(Workers!$V$5:$V$2004,MATCH($D2400,Workers!$A$5:$A$2004,0)),0))</f>
        <v>0</v>
      </c>
      <c r="T2400" s="26" t="str">
        <f aca="false">IF($D2400="","",O2400-R2400-S2400)</f>
        <v/>
      </c>
    </row>
    <row r="2401" customFormat="false" ht="15" hidden="false" customHeight="false" outlineLevel="0" collapsed="false">
      <c r="I2401" s="24" t="str">
        <f aca="false">IF($D2401="","",IFERROR(INDEX(Workers!$B$5:$B$2004,MATCH($D2401,Workers!$A$5:$A$2004,0)),"NOT FOUND"))</f>
        <v/>
      </c>
      <c r="J2401" s="24" t="str">
        <f aca="false">IF($D2401="","",IFERROR(INDEX(Workers!$C$5:$C$2004,MATCH($D2401,Workers!$A$5:$A$2004,0)),""))</f>
        <v/>
      </c>
      <c r="K2401" s="24" t="str">
        <f aca="false">IF($D2401="","",IFERROR(IF(INDEX(Workers!$D$5:$D$2004,MATCH($D2401,Workers!$A$5:$A$2004,0))=0,"",INDEX(Workers!$D$5:$D$2004,MATCH($D2401,Workers!$A$5:$A$2004,0))),""))</f>
        <v/>
      </c>
      <c r="L2401" s="24" t="str">
        <f aca="false">IF($D2401="","",IFERROR(INDEX(Workers!$E$5:$E$2004,MATCH($D2401,Workers!$A$5:$A$2004,0)),""))</f>
        <v/>
      </c>
      <c r="M2401" s="26" t="str">
        <f aca="false">IF($D2401="","",IFERROR(INDEX(ClientRates!$D$5:$D$500,MATCH($B2401&amp;"|"&amp;$L2401,ClientRates!$A$5:$A$500,0)),0))</f>
        <v/>
      </c>
      <c r="N2401" s="26" t="str">
        <f aca="false">IF($D2401="","",IFERROR(INDEX(ClientRates!$E$5:$E$500,MATCH($B2401&amp;"|"&amp;$L2401,ClientRates!$A$5:$A$500,0)),0))</f>
        <v/>
      </c>
      <c r="O2401" s="26" t="str">
        <f aca="false">IF($D2401="","",F2401*M2401+G2401*N2401)</f>
        <v/>
      </c>
      <c r="P2401" s="26" t="str">
        <f aca="false">IF(OR($D2401="",$J2401&lt;&gt;"Supplier"),"",IFERROR(INDEX(SupplierRates!$D$5:$D$500,MATCH($K2401&amp;"|"&amp;$L2401,SupplierRates!$A$5:$A$500,0)),0))</f>
        <v/>
      </c>
      <c r="Q2401" s="26" t="str">
        <f aca="false">IF(OR($D2401="",$J2401&lt;&gt;"Supplier"),"",IFERROR(INDEX(SupplierRates!$E$5:$E$500,MATCH($K2401&amp;"|"&amp;$L2401,SupplierRates!$A$5:$A$500,0)),0))</f>
        <v/>
      </c>
      <c r="R2401" s="26" t="n">
        <f aca="false">IF(OR($D2401="",$J2401&lt;&gt;"Supplier"),0,F2401*P2401+G2401*Q2401)</f>
        <v>0</v>
      </c>
      <c r="S2401" s="26" t="n">
        <f aca="false">IF(OR($D2401="",$J2401&lt;&gt;"Own"),0,IFERROR((F2401+G2401*Settings!$B$13)*INDEX(Workers!$V$5:$V$2004,MATCH($D2401,Workers!$A$5:$A$2004,0)),0))</f>
        <v>0</v>
      </c>
      <c r="T2401" s="26" t="str">
        <f aca="false">IF($D2401="","",O2401-R2401-S2401)</f>
        <v/>
      </c>
    </row>
    <row r="2402" customFormat="false" ht="15" hidden="false" customHeight="false" outlineLevel="0" collapsed="false">
      <c r="I2402" s="24" t="str">
        <f aca="false">IF($D2402="","",IFERROR(INDEX(Workers!$B$5:$B$2004,MATCH($D2402,Workers!$A$5:$A$2004,0)),"NOT FOUND"))</f>
        <v/>
      </c>
      <c r="J2402" s="24" t="str">
        <f aca="false">IF($D2402="","",IFERROR(INDEX(Workers!$C$5:$C$2004,MATCH($D2402,Workers!$A$5:$A$2004,0)),""))</f>
        <v/>
      </c>
      <c r="K2402" s="24" t="str">
        <f aca="false">IF($D2402="","",IFERROR(IF(INDEX(Workers!$D$5:$D$2004,MATCH($D2402,Workers!$A$5:$A$2004,0))=0,"",INDEX(Workers!$D$5:$D$2004,MATCH($D2402,Workers!$A$5:$A$2004,0))),""))</f>
        <v/>
      </c>
      <c r="L2402" s="24" t="str">
        <f aca="false">IF($D2402="","",IFERROR(INDEX(Workers!$E$5:$E$2004,MATCH($D2402,Workers!$A$5:$A$2004,0)),""))</f>
        <v/>
      </c>
      <c r="M2402" s="26" t="str">
        <f aca="false">IF($D2402="","",IFERROR(INDEX(ClientRates!$D$5:$D$500,MATCH($B2402&amp;"|"&amp;$L2402,ClientRates!$A$5:$A$500,0)),0))</f>
        <v/>
      </c>
      <c r="N2402" s="26" t="str">
        <f aca="false">IF($D2402="","",IFERROR(INDEX(ClientRates!$E$5:$E$500,MATCH($B2402&amp;"|"&amp;$L2402,ClientRates!$A$5:$A$500,0)),0))</f>
        <v/>
      </c>
      <c r="O2402" s="26" t="str">
        <f aca="false">IF($D2402="","",F2402*M2402+G2402*N2402)</f>
        <v/>
      </c>
      <c r="P2402" s="26" t="str">
        <f aca="false">IF(OR($D2402="",$J2402&lt;&gt;"Supplier"),"",IFERROR(INDEX(SupplierRates!$D$5:$D$500,MATCH($K2402&amp;"|"&amp;$L2402,SupplierRates!$A$5:$A$500,0)),0))</f>
        <v/>
      </c>
      <c r="Q2402" s="26" t="str">
        <f aca="false">IF(OR($D2402="",$J2402&lt;&gt;"Supplier"),"",IFERROR(INDEX(SupplierRates!$E$5:$E$500,MATCH($K2402&amp;"|"&amp;$L2402,SupplierRates!$A$5:$A$500,0)),0))</f>
        <v/>
      </c>
      <c r="R2402" s="26" t="n">
        <f aca="false">IF(OR($D2402="",$J2402&lt;&gt;"Supplier"),0,F2402*P2402+G2402*Q2402)</f>
        <v>0</v>
      </c>
      <c r="S2402" s="26" t="n">
        <f aca="false">IF(OR($D2402="",$J2402&lt;&gt;"Own"),0,IFERROR((F2402+G2402*Settings!$B$13)*INDEX(Workers!$V$5:$V$2004,MATCH($D2402,Workers!$A$5:$A$2004,0)),0))</f>
        <v>0</v>
      </c>
      <c r="T2402" s="26" t="str">
        <f aca="false">IF($D2402="","",O2402-R2402-S2402)</f>
        <v/>
      </c>
    </row>
    <row r="2403" customFormat="false" ht="15" hidden="false" customHeight="false" outlineLevel="0" collapsed="false">
      <c r="I2403" s="24" t="str">
        <f aca="false">IF($D2403="","",IFERROR(INDEX(Workers!$B$5:$B$2004,MATCH($D2403,Workers!$A$5:$A$2004,0)),"NOT FOUND"))</f>
        <v/>
      </c>
      <c r="J2403" s="24" t="str">
        <f aca="false">IF($D2403="","",IFERROR(INDEX(Workers!$C$5:$C$2004,MATCH($D2403,Workers!$A$5:$A$2004,0)),""))</f>
        <v/>
      </c>
      <c r="K2403" s="24" t="str">
        <f aca="false">IF($D2403="","",IFERROR(IF(INDEX(Workers!$D$5:$D$2004,MATCH($D2403,Workers!$A$5:$A$2004,0))=0,"",INDEX(Workers!$D$5:$D$2004,MATCH($D2403,Workers!$A$5:$A$2004,0))),""))</f>
        <v/>
      </c>
      <c r="L2403" s="24" t="str">
        <f aca="false">IF($D2403="","",IFERROR(INDEX(Workers!$E$5:$E$2004,MATCH($D2403,Workers!$A$5:$A$2004,0)),""))</f>
        <v/>
      </c>
      <c r="M2403" s="26" t="str">
        <f aca="false">IF($D2403="","",IFERROR(INDEX(ClientRates!$D$5:$D$500,MATCH($B2403&amp;"|"&amp;$L2403,ClientRates!$A$5:$A$500,0)),0))</f>
        <v/>
      </c>
      <c r="N2403" s="26" t="str">
        <f aca="false">IF($D2403="","",IFERROR(INDEX(ClientRates!$E$5:$E$500,MATCH($B2403&amp;"|"&amp;$L2403,ClientRates!$A$5:$A$500,0)),0))</f>
        <v/>
      </c>
      <c r="O2403" s="26" t="str">
        <f aca="false">IF($D2403="","",F2403*M2403+G2403*N2403)</f>
        <v/>
      </c>
      <c r="P2403" s="26" t="str">
        <f aca="false">IF(OR($D2403="",$J2403&lt;&gt;"Supplier"),"",IFERROR(INDEX(SupplierRates!$D$5:$D$500,MATCH($K2403&amp;"|"&amp;$L2403,SupplierRates!$A$5:$A$500,0)),0))</f>
        <v/>
      </c>
      <c r="Q2403" s="26" t="str">
        <f aca="false">IF(OR($D2403="",$J2403&lt;&gt;"Supplier"),"",IFERROR(INDEX(SupplierRates!$E$5:$E$500,MATCH($K2403&amp;"|"&amp;$L2403,SupplierRates!$A$5:$A$500,0)),0))</f>
        <v/>
      </c>
      <c r="R2403" s="26" t="n">
        <f aca="false">IF(OR($D2403="",$J2403&lt;&gt;"Supplier"),0,F2403*P2403+G2403*Q2403)</f>
        <v>0</v>
      </c>
      <c r="S2403" s="26" t="n">
        <f aca="false">IF(OR($D2403="",$J2403&lt;&gt;"Own"),0,IFERROR((F2403+G2403*Settings!$B$13)*INDEX(Workers!$V$5:$V$2004,MATCH($D2403,Workers!$A$5:$A$2004,0)),0))</f>
        <v>0</v>
      </c>
      <c r="T2403" s="26" t="str">
        <f aca="false">IF($D2403="","",O2403-R2403-S2403)</f>
        <v/>
      </c>
    </row>
    <row r="2404" customFormat="false" ht="15" hidden="false" customHeight="false" outlineLevel="0" collapsed="false">
      <c r="I2404" s="24" t="str">
        <f aca="false">IF($D2404="","",IFERROR(INDEX(Workers!$B$5:$B$2004,MATCH($D2404,Workers!$A$5:$A$2004,0)),"NOT FOUND"))</f>
        <v/>
      </c>
      <c r="J2404" s="24" t="str">
        <f aca="false">IF($D2404="","",IFERROR(INDEX(Workers!$C$5:$C$2004,MATCH($D2404,Workers!$A$5:$A$2004,0)),""))</f>
        <v/>
      </c>
      <c r="K2404" s="24" t="str">
        <f aca="false">IF($D2404="","",IFERROR(IF(INDEX(Workers!$D$5:$D$2004,MATCH($D2404,Workers!$A$5:$A$2004,0))=0,"",INDEX(Workers!$D$5:$D$2004,MATCH($D2404,Workers!$A$5:$A$2004,0))),""))</f>
        <v/>
      </c>
      <c r="L2404" s="24" t="str">
        <f aca="false">IF($D2404="","",IFERROR(INDEX(Workers!$E$5:$E$2004,MATCH($D2404,Workers!$A$5:$A$2004,0)),""))</f>
        <v/>
      </c>
      <c r="M2404" s="26" t="str">
        <f aca="false">IF($D2404="","",IFERROR(INDEX(ClientRates!$D$5:$D$500,MATCH($B2404&amp;"|"&amp;$L2404,ClientRates!$A$5:$A$500,0)),0))</f>
        <v/>
      </c>
      <c r="N2404" s="26" t="str">
        <f aca="false">IF($D2404="","",IFERROR(INDEX(ClientRates!$E$5:$E$500,MATCH($B2404&amp;"|"&amp;$L2404,ClientRates!$A$5:$A$500,0)),0))</f>
        <v/>
      </c>
      <c r="O2404" s="26" t="str">
        <f aca="false">IF($D2404="","",F2404*M2404+G2404*N2404)</f>
        <v/>
      </c>
      <c r="P2404" s="26" t="str">
        <f aca="false">IF(OR($D2404="",$J2404&lt;&gt;"Supplier"),"",IFERROR(INDEX(SupplierRates!$D$5:$D$500,MATCH($K2404&amp;"|"&amp;$L2404,SupplierRates!$A$5:$A$500,0)),0))</f>
        <v/>
      </c>
      <c r="Q2404" s="26" t="str">
        <f aca="false">IF(OR($D2404="",$J2404&lt;&gt;"Supplier"),"",IFERROR(INDEX(SupplierRates!$E$5:$E$500,MATCH($K2404&amp;"|"&amp;$L2404,SupplierRates!$A$5:$A$500,0)),0))</f>
        <v/>
      </c>
      <c r="R2404" s="26" t="n">
        <f aca="false">IF(OR($D2404="",$J2404&lt;&gt;"Supplier"),0,F2404*P2404+G2404*Q2404)</f>
        <v>0</v>
      </c>
      <c r="S2404" s="26" t="n">
        <f aca="false">IF(OR($D2404="",$J2404&lt;&gt;"Own"),0,IFERROR((F2404+G2404*Settings!$B$13)*INDEX(Workers!$V$5:$V$2004,MATCH($D2404,Workers!$A$5:$A$2004,0)),0))</f>
        <v>0</v>
      </c>
      <c r="T2404" s="26" t="str">
        <f aca="false">IF($D2404="","",O2404-R2404-S2404)</f>
        <v/>
      </c>
    </row>
    <row r="2405" customFormat="false" ht="15" hidden="false" customHeight="false" outlineLevel="0" collapsed="false">
      <c r="I2405" s="24" t="str">
        <f aca="false">IF($D2405="","",IFERROR(INDEX(Workers!$B$5:$B$2004,MATCH($D2405,Workers!$A$5:$A$2004,0)),"NOT FOUND"))</f>
        <v/>
      </c>
      <c r="J2405" s="24" t="str">
        <f aca="false">IF($D2405="","",IFERROR(INDEX(Workers!$C$5:$C$2004,MATCH($D2405,Workers!$A$5:$A$2004,0)),""))</f>
        <v/>
      </c>
      <c r="K2405" s="24" t="str">
        <f aca="false">IF($D2405="","",IFERROR(IF(INDEX(Workers!$D$5:$D$2004,MATCH($D2405,Workers!$A$5:$A$2004,0))=0,"",INDEX(Workers!$D$5:$D$2004,MATCH($D2405,Workers!$A$5:$A$2004,0))),""))</f>
        <v/>
      </c>
      <c r="L2405" s="24" t="str">
        <f aca="false">IF($D2405="","",IFERROR(INDEX(Workers!$E$5:$E$2004,MATCH($D2405,Workers!$A$5:$A$2004,0)),""))</f>
        <v/>
      </c>
      <c r="M2405" s="26" t="str">
        <f aca="false">IF($D2405="","",IFERROR(INDEX(ClientRates!$D$5:$D$500,MATCH($B2405&amp;"|"&amp;$L2405,ClientRates!$A$5:$A$500,0)),0))</f>
        <v/>
      </c>
      <c r="N2405" s="26" t="str">
        <f aca="false">IF($D2405="","",IFERROR(INDEX(ClientRates!$E$5:$E$500,MATCH($B2405&amp;"|"&amp;$L2405,ClientRates!$A$5:$A$500,0)),0))</f>
        <v/>
      </c>
      <c r="O2405" s="26" t="str">
        <f aca="false">IF($D2405="","",F2405*M2405+G2405*N2405)</f>
        <v/>
      </c>
      <c r="P2405" s="26" t="str">
        <f aca="false">IF(OR($D2405="",$J2405&lt;&gt;"Supplier"),"",IFERROR(INDEX(SupplierRates!$D$5:$D$500,MATCH($K2405&amp;"|"&amp;$L2405,SupplierRates!$A$5:$A$500,0)),0))</f>
        <v/>
      </c>
      <c r="Q2405" s="26" t="str">
        <f aca="false">IF(OR($D2405="",$J2405&lt;&gt;"Supplier"),"",IFERROR(INDEX(SupplierRates!$E$5:$E$500,MATCH($K2405&amp;"|"&amp;$L2405,SupplierRates!$A$5:$A$500,0)),0))</f>
        <v/>
      </c>
      <c r="R2405" s="26" t="n">
        <f aca="false">IF(OR($D2405="",$J2405&lt;&gt;"Supplier"),0,F2405*P2405+G2405*Q2405)</f>
        <v>0</v>
      </c>
      <c r="S2405" s="26" t="n">
        <f aca="false">IF(OR($D2405="",$J2405&lt;&gt;"Own"),0,IFERROR((F2405+G2405*Settings!$B$13)*INDEX(Workers!$V$5:$V$2004,MATCH($D2405,Workers!$A$5:$A$2004,0)),0))</f>
        <v>0</v>
      </c>
      <c r="T2405" s="26" t="str">
        <f aca="false">IF($D2405="","",O2405-R2405-S2405)</f>
        <v/>
      </c>
    </row>
    <row r="2406" customFormat="false" ht="15" hidden="false" customHeight="false" outlineLevel="0" collapsed="false">
      <c r="I2406" s="24" t="str">
        <f aca="false">IF($D2406="","",IFERROR(INDEX(Workers!$B$5:$B$2004,MATCH($D2406,Workers!$A$5:$A$2004,0)),"NOT FOUND"))</f>
        <v/>
      </c>
      <c r="J2406" s="24" t="str">
        <f aca="false">IF($D2406="","",IFERROR(INDEX(Workers!$C$5:$C$2004,MATCH($D2406,Workers!$A$5:$A$2004,0)),""))</f>
        <v/>
      </c>
      <c r="K2406" s="24" t="str">
        <f aca="false">IF($D2406="","",IFERROR(IF(INDEX(Workers!$D$5:$D$2004,MATCH($D2406,Workers!$A$5:$A$2004,0))=0,"",INDEX(Workers!$D$5:$D$2004,MATCH($D2406,Workers!$A$5:$A$2004,0))),""))</f>
        <v/>
      </c>
      <c r="L2406" s="24" t="str">
        <f aca="false">IF($D2406="","",IFERROR(INDEX(Workers!$E$5:$E$2004,MATCH($D2406,Workers!$A$5:$A$2004,0)),""))</f>
        <v/>
      </c>
      <c r="M2406" s="26" t="str">
        <f aca="false">IF($D2406="","",IFERROR(INDEX(ClientRates!$D$5:$D$500,MATCH($B2406&amp;"|"&amp;$L2406,ClientRates!$A$5:$A$500,0)),0))</f>
        <v/>
      </c>
      <c r="N2406" s="26" t="str">
        <f aca="false">IF($D2406="","",IFERROR(INDEX(ClientRates!$E$5:$E$500,MATCH($B2406&amp;"|"&amp;$L2406,ClientRates!$A$5:$A$500,0)),0))</f>
        <v/>
      </c>
      <c r="O2406" s="26" t="str">
        <f aca="false">IF($D2406="","",F2406*M2406+G2406*N2406)</f>
        <v/>
      </c>
      <c r="P2406" s="26" t="str">
        <f aca="false">IF(OR($D2406="",$J2406&lt;&gt;"Supplier"),"",IFERROR(INDEX(SupplierRates!$D$5:$D$500,MATCH($K2406&amp;"|"&amp;$L2406,SupplierRates!$A$5:$A$500,0)),0))</f>
        <v/>
      </c>
      <c r="Q2406" s="26" t="str">
        <f aca="false">IF(OR($D2406="",$J2406&lt;&gt;"Supplier"),"",IFERROR(INDEX(SupplierRates!$E$5:$E$500,MATCH($K2406&amp;"|"&amp;$L2406,SupplierRates!$A$5:$A$500,0)),0))</f>
        <v/>
      </c>
      <c r="R2406" s="26" t="n">
        <f aca="false">IF(OR($D2406="",$J2406&lt;&gt;"Supplier"),0,F2406*P2406+G2406*Q2406)</f>
        <v>0</v>
      </c>
      <c r="S2406" s="26" t="n">
        <f aca="false">IF(OR($D2406="",$J2406&lt;&gt;"Own"),0,IFERROR((F2406+G2406*Settings!$B$13)*INDEX(Workers!$V$5:$V$2004,MATCH($D2406,Workers!$A$5:$A$2004,0)),0))</f>
        <v>0</v>
      </c>
      <c r="T2406" s="26" t="str">
        <f aca="false">IF($D2406="","",O2406-R2406-S2406)</f>
        <v/>
      </c>
    </row>
    <row r="2407" customFormat="false" ht="15" hidden="false" customHeight="false" outlineLevel="0" collapsed="false">
      <c r="I2407" s="24" t="str">
        <f aca="false">IF($D2407="","",IFERROR(INDEX(Workers!$B$5:$B$2004,MATCH($D2407,Workers!$A$5:$A$2004,0)),"NOT FOUND"))</f>
        <v/>
      </c>
      <c r="J2407" s="24" t="str">
        <f aca="false">IF($D2407="","",IFERROR(INDEX(Workers!$C$5:$C$2004,MATCH($D2407,Workers!$A$5:$A$2004,0)),""))</f>
        <v/>
      </c>
      <c r="K2407" s="24" t="str">
        <f aca="false">IF($D2407="","",IFERROR(IF(INDEX(Workers!$D$5:$D$2004,MATCH($D2407,Workers!$A$5:$A$2004,0))=0,"",INDEX(Workers!$D$5:$D$2004,MATCH($D2407,Workers!$A$5:$A$2004,0))),""))</f>
        <v/>
      </c>
      <c r="L2407" s="24" t="str">
        <f aca="false">IF($D2407="","",IFERROR(INDEX(Workers!$E$5:$E$2004,MATCH($D2407,Workers!$A$5:$A$2004,0)),""))</f>
        <v/>
      </c>
      <c r="M2407" s="26" t="str">
        <f aca="false">IF($D2407="","",IFERROR(INDEX(ClientRates!$D$5:$D$500,MATCH($B2407&amp;"|"&amp;$L2407,ClientRates!$A$5:$A$500,0)),0))</f>
        <v/>
      </c>
      <c r="N2407" s="26" t="str">
        <f aca="false">IF($D2407="","",IFERROR(INDEX(ClientRates!$E$5:$E$500,MATCH($B2407&amp;"|"&amp;$L2407,ClientRates!$A$5:$A$500,0)),0))</f>
        <v/>
      </c>
      <c r="O2407" s="26" t="str">
        <f aca="false">IF($D2407="","",F2407*M2407+G2407*N2407)</f>
        <v/>
      </c>
      <c r="P2407" s="26" t="str">
        <f aca="false">IF(OR($D2407="",$J2407&lt;&gt;"Supplier"),"",IFERROR(INDEX(SupplierRates!$D$5:$D$500,MATCH($K2407&amp;"|"&amp;$L2407,SupplierRates!$A$5:$A$500,0)),0))</f>
        <v/>
      </c>
      <c r="Q2407" s="26" t="str">
        <f aca="false">IF(OR($D2407="",$J2407&lt;&gt;"Supplier"),"",IFERROR(INDEX(SupplierRates!$E$5:$E$500,MATCH($K2407&amp;"|"&amp;$L2407,SupplierRates!$A$5:$A$500,0)),0))</f>
        <v/>
      </c>
      <c r="R2407" s="26" t="n">
        <f aca="false">IF(OR($D2407="",$J2407&lt;&gt;"Supplier"),0,F2407*P2407+G2407*Q2407)</f>
        <v>0</v>
      </c>
      <c r="S2407" s="26" t="n">
        <f aca="false">IF(OR($D2407="",$J2407&lt;&gt;"Own"),0,IFERROR((F2407+G2407*Settings!$B$13)*INDEX(Workers!$V$5:$V$2004,MATCH($D2407,Workers!$A$5:$A$2004,0)),0))</f>
        <v>0</v>
      </c>
      <c r="T2407" s="26" t="str">
        <f aca="false">IF($D2407="","",O2407-R2407-S2407)</f>
        <v/>
      </c>
    </row>
    <row r="2408" customFormat="false" ht="15" hidden="false" customHeight="false" outlineLevel="0" collapsed="false">
      <c r="I2408" s="24" t="str">
        <f aca="false">IF($D2408="","",IFERROR(INDEX(Workers!$B$5:$B$2004,MATCH($D2408,Workers!$A$5:$A$2004,0)),"NOT FOUND"))</f>
        <v/>
      </c>
      <c r="J2408" s="24" t="str">
        <f aca="false">IF($D2408="","",IFERROR(INDEX(Workers!$C$5:$C$2004,MATCH($D2408,Workers!$A$5:$A$2004,0)),""))</f>
        <v/>
      </c>
      <c r="K2408" s="24" t="str">
        <f aca="false">IF($D2408="","",IFERROR(IF(INDEX(Workers!$D$5:$D$2004,MATCH($D2408,Workers!$A$5:$A$2004,0))=0,"",INDEX(Workers!$D$5:$D$2004,MATCH($D2408,Workers!$A$5:$A$2004,0))),""))</f>
        <v/>
      </c>
      <c r="L2408" s="24" t="str">
        <f aca="false">IF($D2408="","",IFERROR(INDEX(Workers!$E$5:$E$2004,MATCH($D2408,Workers!$A$5:$A$2004,0)),""))</f>
        <v/>
      </c>
      <c r="M2408" s="26" t="str">
        <f aca="false">IF($D2408="","",IFERROR(INDEX(ClientRates!$D$5:$D$500,MATCH($B2408&amp;"|"&amp;$L2408,ClientRates!$A$5:$A$500,0)),0))</f>
        <v/>
      </c>
      <c r="N2408" s="26" t="str">
        <f aca="false">IF($D2408="","",IFERROR(INDEX(ClientRates!$E$5:$E$500,MATCH($B2408&amp;"|"&amp;$L2408,ClientRates!$A$5:$A$500,0)),0))</f>
        <v/>
      </c>
      <c r="O2408" s="26" t="str">
        <f aca="false">IF($D2408="","",F2408*M2408+G2408*N2408)</f>
        <v/>
      </c>
      <c r="P2408" s="26" t="str">
        <f aca="false">IF(OR($D2408="",$J2408&lt;&gt;"Supplier"),"",IFERROR(INDEX(SupplierRates!$D$5:$D$500,MATCH($K2408&amp;"|"&amp;$L2408,SupplierRates!$A$5:$A$500,0)),0))</f>
        <v/>
      </c>
      <c r="Q2408" s="26" t="str">
        <f aca="false">IF(OR($D2408="",$J2408&lt;&gt;"Supplier"),"",IFERROR(INDEX(SupplierRates!$E$5:$E$500,MATCH($K2408&amp;"|"&amp;$L2408,SupplierRates!$A$5:$A$500,0)),0))</f>
        <v/>
      </c>
      <c r="R2408" s="26" t="n">
        <f aca="false">IF(OR($D2408="",$J2408&lt;&gt;"Supplier"),0,F2408*P2408+G2408*Q2408)</f>
        <v>0</v>
      </c>
      <c r="S2408" s="26" t="n">
        <f aca="false">IF(OR($D2408="",$J2408&lt;&gt;"Own"),0,IFERROR((F2408+G2408*Settings!$B$13)*INDEX(Workers!$V$5:$V$2004,MATCH($D2408,Workers!$A$5:$A$2004,0)),0))</f>
        <v>0</v>
      </c>
      <c r="T2408" s="26" t="str">
        <f aca="false">IF($D2408="","",O2408-R2408-S2408)</f>
        <v/>
      </c>
    </row>
    <row r="2409" customFormat="false" ht="15" hidden="false" customHeight="false" outlineLevel="0" collapsed="false">
      <c r="I2409" s="24" t="str">
        <f aca="false">IF($D2409="","",IFERROR(INDEX(Workers!$B$5:$B$2004,MATCH($D2409,Workers!$A$5:$A$2004,0)),"NOT FOUND"))</f>
        <v/>
      </c>
      <c r="J2409" s="24" t="str">
        <f aca="false">IF($D2409="","",IFERROR(INDEX(Workers!$C$5:$C$2004,MATCH($D2409,Workers!$A$5:$A$2004,0)),""))</f>
        <v/>
      </c>
      <c r="K2409" s="24" t="str">
        <f aca="false">IF($D2409="","",IFERROR(IF(INDEX(Workers!$D$5:$D$2004,MATCH($D2409,Workers!$A$5:$A$2004,0))=0,"",INDEX(Workers!$D$5:$D$2004,MATCH($D2409,Workers!$A$5:$A$2004,0))),""))</f>
        <v/>
      </c>
      <c r="L2409" s="24" t="str">
        <f aca="false">IF($D2409="","",IFERROR(INDEX(Workers!$E$5:$E$2004,MATCH($D2409,Workers!$A$5:$A$2004,0)),""))</f>
        <v/>
      </c>
      <c r="M2409" s="26" t="str">
        <f aca="false">IF($D2409="","",IFERROR(INDEX(ClientRates!$D$5:$D$500,MATCH($B2409&amp;"|"&amp;$L2409,ClientRates!$A$5:$A$500,0)),0))</f>
        <v/>
      </c>
      <c r="N2409" s="26" t="str">
        <f aca="false">IF($D2409="","",IFERROR(INDEX(ClientRates!$E$5:$E$500,MATCH($B2409&amp;"|"&amp;$L2409,ClientRates!$A$5:$A$500,0)),0))</f>
        <v/>
      </c>
      <c r="O2409" s="26" t="str">
        <f aca="false">IF($D2409="","",F2409*M2409+G2409*N2409)</f>
        <v/>
      </c>
      <c r="P2409" s="26" t="str">
        <f aca="false">IF(OR($D2409="",$J2409&lt;&gt;"Supplier"),"",IFERROR(INDEX(SupplierRates!$D$5:$D$500,MATCH($K2409&amp;"|"&amp;$L2409,SupplierRates!$A$5:$A$500,0)),0))</f>
        <v/>
      </c>
      <c r="Q2409" s="26" t="str">
        <f aca="false">IF(OR($D2409="",$J2409&lt;&gt;"Supplier"),"",IFERROR(INDEX(SupplierRates!$E$5:$E$500,MATCH($K2409&amp;"|"&amp;$L2409,SupplierRates!$A$5:$A$500,0)),0))</f>
        <v/>
      </c>
      <c r="R2409" s="26" t="n">
        <f aca="false">IF(OR($D2409="",$J2409&lt;&gt;"Supplier"),0,F2409*P2409+G2409*Q2409)</f>
        <v>0</v>
      </c>
      <c r="S2409" s="26" t="n">
        <f aca="false">IF(OR($D2409="",$J2409&lt;&gt;"Own"),0,IFERROR((F2409+G2409*Settings!$B$13)*INDEX(Workers!$V$5:$V$2004,MATCH($D2409,Workers!$A$5:$A$2004,0)),0))</f>
        <v>0</v>
      </c>
      <c r="T2409" s="26" t="str">
        <f aca="false">IF($D2409="","",O2409-R2409-S2409)</f>
        <v/>
      </c>
    </row>
    <row r="2410" customFormat="false" ht="15" hidden="false" customHeight="false" outlineLevel="0" collapsed="false">
      <c r="I2410" s="24" t="str">
        <f aca="false">IF($D2410="","",IFERROR(INDEX(Workers!$B$5:$B$2004,MATCH($D2410,Workers!$A$5:$A$2004,0)),"NOT FOUND"))</f>
        <v/>
      </c>
      <c r="J2410" s="24" t="str">
        <f aca="false">IF($D2410="","",IFERROR(INDEX(Workers!$C$5:$C$2004,MATCH($D2410,Workers!$A$5:$A$2004,0)),""))</f>
        <v/>
      </c>
      <c r="K2410" s="24" t="str">
        <f aca="false">IF($D2410="","",IFERROR(IF(INDEX(Workers!$D$5:$D$2004,MATCH($D2410,Workers!$A$5:$A$2004,0))=0,"",INDEX(Workers!$D$5:$D$2004,MATCH($D2410,Workers!$A$5:$A$2004,0))),""))</f>
        <v/>
      </c>
      <c r="L2410" s="24" t="str">
        <f aca="false">IF($D2410="","",IFERROR(INDEX(Workers!$E$5:$E$2004,MATCH($D2410,Workers!$A$5:$A$2004,0)),""))</f>
        <v/>
      </c>
      <c r="M2410" s="26" t="str">
        <f aca="false">IF($D2410="","",IFERROR(INDEX(ClientRates!$D$5:$D$500,MATCH($B2410&amp;"|"&amp;$L2410,ClientRates!$A$5:$A$500,0)),0))</f>
        <v/>
      </c>
      <c r="N2410" s="26" t="str">
        <f aca="false">IF($D2410="","",IFERROR(INDEX(ClientRates!$E$5:$E$500,MATCH($B2410&amp;"|"&amp;$L2410,ClientRates!$A$5:$A$500,0)),0))</f>
        <v/>
      </c>
      <c r="O2410" s="26" t="str">
        <f aca="false">IF($D2410="","",F2410*M2410+G2410*N2410)</f>
        <v/>
      </c>
      <c r="P2410" s="26" t="str">
        <f aca="false">IF(OR($D2410="",$J2410&lt;&gt;"Supplier"),"",IFERROR(INDEX(SupplierRates!$D$5:$D$500,MATCH($K2410&amp;"|"&amp;$L2410,SupplierRates!$A$5:$A$500,0)),0))</f>
        <v/>
      </c>
      <c r="Q2410" s="26" t="str">
        <f aca="false">IF(OR($D2410="",$J2410&lt;&gt;"Supplier"),"",IFERROR(INDEX(SupplierRates!$E$5:$E$500,MATCH($K2410&amp;"|"&amp;$L2410,SupplierRates!$A$5:$A$500,0)),0))</f>
        <v/>
      </c>
      <c r="R2410" s="26" t="n">
        <f aca="false">IF(OR($D2410="",$J2410&lt;&gt;"Supplier"),0,F2410*P2410+G2410*Q2410)</f>
        <v>0</v>
      </c>
      <c r="S2410" s="26" t="n">
        <f aca="false">IF(OR($D2410="",$J2410&lt;&gt;"Own"),0,IFERROR((F2410+G2410*Settings!$B$13)*INDEX(Workers!$V$5:$V$2004,MATCH($D2410,Workers!$A$5:$A$2004,0)),0))</f>
        <v>0</v>
      </c>
      <c r="T2410" s="26" t="str">
        <f aca="false">IF($D2410="","",O2410-R2410-S2410)</f>
        <v/>
      </c>
    </row>
    <row r="2411" customFormat="false" ht="15" hidden="false" customHeight="false" outlineLevel="0" collapsed="false">
      <c r="I2411" s="24" t="str">
        <f aca="false">IF($D2411="","",IFERROR(INDEX(Workers!$B$5:$B$2004,MATCH($D2411,Workers!$A$5:$A$2004,0)),"NOT FOUND"))</f>
        <v/>
      </c>
      <c r="J2411" s="24" t="str">
        <f aca="false">IF($D2411="","",IFERROR(INDEX(Workers!$C$5:$C$2004,MATCH($D2411,Workers!$A$5:$A$2004,0)),""))</f>
        <v/>
      </c>
      <c r="K2411" s="24" t="str">
        <f aca="false">IF($D2411="","",IFERROR(IF(INDEX(Workers!$D$5:$D$2004,MATCH($D2411,Workers!$A$5:$A$2004,0))=0,"",INDEX(Workers!$D$5:$D$2004,MATCH($D2411,Workers!$A$5:$A$2004,0))),""))</f>
        <v/>
      </c>
      <c r="L2411" s="24" t="str">
        <f aca="false">IF($D2411="","",IFERROR(INDEX(Workers!$E$5:$E$2004,MATCH($D2411,Workers!$A$5:$A$2004,0)),""))</f>
        <v/>
      </c>
      <c r="M2411" s="26" t="str">
        <f aca="false">IF($D2411="","",IFERROR(INDEX(ClientRates!$D$5:$D$500,MATCH($B2411&amp;"|"&amp;$L2411,ClientRates!$A$5:$A$500,0)),0))</f>
        <v/>
      </c>
      <c r="N2411" s="26" t="str">
        <f aca="false">IF($D2411="","",IFERROR(INDEX(ClientRates!$E$5:$E$500,MATCH($B2411&amp;"|"&amp;$L2411,ClientRates!$A$5:$A$500,0)),0))</f>
        <v/>
      </c>
      <c r="O2411" s="26" t="str">
        <f aca="false">IF($D2411="","",F2411*M2411+G2411*N2411)</f>
        <v/>
      </c>
      <c r="P2411" s="26" t="str">
        <f aca="false">IF(OR($D2411="",$J2411&lt;&gt;"Supplier"),"",IFERROR(INDEX(SupplierRates!$D$5:$D$500,MATCH($K2411&amp;"|"&amp;$L2411,SupplierRates!$A$5:$A$500,0)),0))</f>
        <v/>
      </c>
      <c r="Q2411" s="26" t="str">
        <f aca="false">IF(OR($D2411="",$J2411&lt;&gt;"Supplier"),"",IFERROR(INDEX(SupplierRates!$E$5:$E$500,MATCH($K2411&amp;"|"&amp;$L2411,SupplierRates!$A$5:$A$500,0)),0))</f>
        <v/>
      </c>
      <c r="R2411" s="26" t="n">
        <f aca="false">IF(OR($D2411="",$J2411&lt;&gt;"Supplier"),0,F2411*P2411+G2411*Q2411)</f>
        <v>0</v>
      </c>
      <c r="S2411" s="26" t="n">
        <f aca="false">IF(OR($D2411="",$J2411&lt;&gt;"Own"),0,IFERROR((F2411+G2411*Settings!$B$13)*INDEX(Workers!$V$5:$V$2004,MATCH($D2411,Workers!$A$5:$A$2004,0)),0))</f>
        <v>0</v>
      </c>
      <c r="T2411" s="26" t="str">
        <f aca="false">IF($D2411="","",O2411-R2411-S2411)</f>
        <v/>
      </c>
    </row>
    <row r="2412" customFormat="false" ht="15" hidden="false" customHeight="false" outlineLevel="0" collapsed="false">
      <c r="I2412" s="24" t="str">
        <f aca="false">IF($D2412="","",IFERROR(INDEX(Workers!$B$5:$B$2004,MATCH($D2412,Workers!$A$5:$A$2004,0)),"NOT FOUND"))</f>
        <v/>
      </c>
      <c r="J2412" s="24" t="str">
        <f aca="false">IF($D2412="","",IFERROR(INDEX(Workers!$C$5:$C$2004,MATCH($D2412,Workers!$A$5:$A$2004,0)),""))</f>
        <v/>
      </c>
      <c r="K2412" s="24" t="str">
        <f aca="false">IF($D2412="","",IFERROR(IF(INDEX(Workers!$D$5:$D$2004,MATCH($D2412,Workers!$A$5:$A$2004,0))=0,"",INDEX(Workers!$D$5:$D$2004,MATCH($D2412,Workers!$A$5:$A$2004,0))),""))</f>
        <v/>
      </c>
      <c r="L2412" s="24" t="str">
        <f aca="false">IF($D2412="","",IFERROR(INDEX(Workers!$E$5:$E$2004,MATCH($D2412,Workers!$A$5:$A$2004,0)),""))</f>
        <v/>
      </c>
      <c r="M2412" s="26" t="str">
        <f aca="false">IF($D2412="","",IFERROR(INDEX(ClientRates!$D$5:$D$500,MATCH($B2412&amp;"|"&amp;$L2412,ClientRates!$A$5:$A$500,0)),0))</f>
        <v/>
      </c>
      <c r="N2412" s="26" t="str">
        <f aca="false">IF($D2412="","",IFERROR(INDEX(ClientRates!$E$5:$E$500,MATCH($B2412&amp;"|"&amp;$L2412,ClientRates!$A$5:$A$500,0)),0))</f>
        <v/>
      </c>
      <c r="O2412" s="26" t="str">
        <f aca="false">IF($D2412="","",F2412*M2412+G2412*N2412)</f>
        <v/>
      </c>
      <c r="P2412" s="26" t="str">
        <f aca="false">IF(OR($D2412="",$J2412&lt;&gt;"Supplier"),"",IFERROR(INDEX(SupplierRates!$D$5:$D$500,MATCH($K2412&amp;"|"&amp;$L2412,SupplierRates!$A$5:$A$500,0)),0))</f>
        <v/>
      </c>
      <c r="Q2412" s="26" t="str">
        <f aca="false">IF(OR($D2412="",$J2412&lt;&gt;"Supplier"),"",IFERROR(INDEX(SupplierRates!$E$5:$E$500,MATCH($K2412&amp;"|"&amp;$L2412,SupplierRates!$A$5:$A$500,0)),0))</f>
        <v/>
      </c>
      <c r="R2412" s="26" t="n">
        <f aca="false">IF(OR($D2412="",$J2412&lt;&gt;"Supplier"),0,F2412*P2412+G2412*Q2412)</f>
        <v>0</v>
      </c>
      <c r="S2412" s="26" t="n">
        <f aca="false">IF(OR($D2412="",$J2412&lt;&gt;"Own"),0,IFERROR((F2412+G2412*Settings!$B$13)*INDEX(Workers!$V$5:$V$2004,MATCH($D2412,Workers!$A$5:$A$2004,0)),0))</f>
        <v>0</v>
      </c>
      <c r="T2412" s="26" t="str">
        <f aca="false">IF($D2412="","",O2412-R2412-S2412)</f>
        <v/>
      </c>
    </row>
    <row r="2413" customFormat="false" ht="15" hidden="false" customHeight="false" outlineLevel="0" collapsed="false">
      <c r="I2413" s="24" t="str">
        <f aca="false">IF($D2413="","",IFERROR(INDEX(Workers!$B$5:$B$2004,MATCH($D2413,Workers!$A$5:$A$2004,0)),"NOT FOUND"))</f>
        <v/>
      </c>
      <c r="J2413" s="24" t="str">
        <f aca="false">IF($D2413="","",IFERROR(INDEX(Workers!$C$5:$C$2004,MATCH($D2413,Workers!$A$5:$A$2004,0)),""))</f>
        <v/>
      </c>
      <c r="K2413" s="24" t="str">
        <f aca="false">IF($D2413="","",IFERROR(IF(INDEX(Workers!$D$5:$D$2004,MATCH($D2413,Workers!$A$5:$A$2004,0))=0,"",INDEX(Workers!$D$5:$D$2004,MATCH($D2413,Workers!$A$5:$A$2004,0))),""))</f>
        <v/>
      </c>
      <c r="L2413" s="24" t="str">
        <f aca="false">IF($D2413="","",IFERROR(INDEX(Workers!$E$5:$E$2004,MATCH($D2413,Workers!$A$5:$A$2004,0)),""))</f>
        <v/>
      </c>
      <c r="M2413" s="26" t="str">
        <f aca="false">IF($D2413="","",IFERROR(INDEX(ClientRates!$D$5:$D$500,MATCH($B2413&amp;"|"&amp;$L2413,ClientRates!$A$5:$A$500,0)),0))</f>
        <v/>
      </c>
      <c r="N2413" s="26" t="str">
        <f aca="false">IF($D2413="","",IFERROR(INDEX(ClientRates!$E$5:$E$500,MATCH($B2413&amp;"|"&amp;$L2413,ClientRates!$A$5:$A$500,0)),0))</f>
        <v/>
      </c>
      <c r="O2413" s="26" t="str">
        <f aca="false">IF($D2413="","",F2413*M2413+G2413*N2413)</f>
        <v/>
      </c>
      <c r="P2413" s="26" t="str">
        <f aca="false">IF(OR($D2413="",$J2413&lt;&gt;"Supplier"),"",IFERROR(INDEX(SupplierRates!$D$5:$D$500,MATCH($K2413&amp;"|"&amp;$L2413,SupplierRates!$A$5:$A$500,0)),0))</f>
        <v/>
      </c>
      <c r="Q2413" s="26" t="str">
        <f aca="false">IF(OR($D2413="",$J2413&lt;&gt;"Supplier"),"",IFERROR(INDEX(SupplierRates!$E$5:$E$500,MATCH($K2413&amp;"|"&amp;$L2413,SupplierRates!$A$5:$A$500,0)),0))</f>
        <v/>
      </c>
      <c r="R2413" s="26" t="n">
        <f aca="false">IF(OR($D2413="",$J2413&lt;&gt;"Supplier"),0,F2413*P2413+G2413*Q2413)</f>
        <v>0</v>
      </c>
      <c r="S2413" s="26" t="n">
        <f aca="false">IF(OR($D2413="",$J2413&lt;&gt;"Own"),0,IFERROR((F2413+G2413*Settings!$B$13)*INDEX(Workers!$V$5:$V$2004,MATCH($D2413,Workers!$A$5:$A$2004,0)),0))</f>
        <v>0</v>
      </c>
      <c r="T2413" s="26" t="str">
        <f aca="false">IF($D2413="","",O2413-R2413-S2413)</f>
        <v/>
      </c>
    </row>
    <row r="2414" customFormat="false" ht="15" hidden="false" customHeight="false" outlineLevel="0" collapsed="false">
      <c r="I2414" s="24" t="str">
        <f aca="false">IF($D2414="","",IFERROR(INDEX(Workers!$B$5:$B$2004,MATCH($D2414,Workers!$A$5:$A$2004,0)),"NOT FOUND"))</f>
        <v/>
      </c>
      <c r="J2414" s="24" t="str">
        <f aca="false">IF($D2414="","",IFERROR(INDEX(Workers!$C$5:$C$2004,MATCH($D2414,Workers!$A$5:$A$2004,0)),""))</f>
        <v/>
      </c>
      <c r="K2414" s="24" t="str">
        <f aca="false">IF($D2414="","",IFERROR(IF(INDEX(Workers!$D$5:$D$2004,MATCH($D2414,Workers!$A$5:$A$2004,0))=0,"",INDEX(Workers!$D$5:$D$2004,MATCH($D2414,Workers!$A$5:$A$2004,0))),""))</f>
        <v/>
      </c>
      <c r="L2414" s="24" t="str">
        <f aca="false">IF($D2414="","",IFERROR(INDEX(Workers!$E$5:$E$2004,MATCH($D2414,Workers!$A$5:$A$2004,0)),""))</f>
        <v/>
      </c>
      <c r="M2414" s="26" t="str">
        <f aca="false">IF($D2414="","",IFERROR(INDEX(ClientRates!$D$5:$D$500,MATCH($B2414&amp;"|"&amp;$L2414,ClientRates!$A$5:$A$500,0)),0))</f>
        <v/>
      </c>
      <c r="N2414" s="26" t="str">
        <f aca="false">IF($D2414="","",IFERROR(INDEX(ClientRates!$E$5:$E$500,MATCH($B2414&amp;"|"&amp;$L2414,ClientRates!$A$5:$A$500,0)),0))</f>
        <v/>
      </c>
      <c r="O2414" s="26" t="str">
        <f aca="false">IF($D2414="","",F2414*M2414+G2414*N2414)</f>
        <v/>
      </c>
      <c r="P2414" s="26" t="str">
        <f aca="false">IF(OR($D2414="",$J2414&lt;&gt;"Supplier"),"",IFERROR(INDEX(SupplierRates!$D$5:$D$500,MATCH($K2414&amp;"|"&amp;$L2414,SupplierRates!$A$5:$A$500,0)),0))</f>
        <v/>
      </c>
      <c r="Q2414" s="26" t="str">
        <f aca="false">IF(OR($D2414="",$J2414&lt;&gt;"Supplier"),"",IFERROR(INDEX(SupplierRates!$E$5:$E$500,MATCH($K2414&amp;"|"&amp;$L2414,SupplierRates!$A$5:$A$500,0)),0))</f>
        <v/>
      </c>
      <c r="R2414" s="26" t="n">
        <f aca="false">IF(OR($D2414="",$J2414&lt;&gt;"Supplier"),0,F2414*P2414+G2414*Q2414)</f>
        <v>0</v>
      </c>
      <c r="S2414" s="26" t="n">
        <f aca="false">IF(OR($D2414="",$J2414&lt;&gt;"Own"),0,IFERROR((F2414+G2414*Settings!$B$13)*INDEX(Workers!$V$5:$V$2004,MATCH($D2414,Workers!$A$5:$A$2004,0)),0))</f>
        <v>0</v>
      </c>
      <c r="T2414" s="26" t="str">
        <f aca="false">IF($D2414="","",O2414-R2414-S2414)</f>
        <v/>
      </c>
    </row>
    <row r="2415" customFormat="false" ht="15" hidden="false" customHeight="false" outlineLevel="0" collapsed="false">
      <c r="I2415" s="24" t="str">
        <f aca="false">IF($D2415="","",IFERROR(INDEX(Workers!$B$5:$B$2004,MATCH($D2415,Workers!$A$5:$A$2004,0)),"NOT FOUND"))</f>
        <v/>
      </c>
      <c r="J2415" s="24" t="str">
        <f aca="false">IF($D2415="","",IFERROR(INDEX(Workers!$C$5:$C$2004,MATCH($D2415,Workers!$A$5:$A$2004,0)),""))</f>
        <v/>
      </c>
      <c r="K2415" s="24" t="str">
        <f aca="false">IF($D2415="","",IFERROR(IF(INDEX(Workers!$D$5:$D$2004,MATCH($D2415,Workers!$A$5:$A$2004,0))=0,"",INDEX(Workers!$D$5:$D$2004,MATCH($D2415,Workers!$A$5:$A$2004,0))),""))</f>
        <v/>
      </c>
      <c r="L2415" s="24" t="str">
        <f aca="false">IF($D2415="","",IFERROR(INDEX(Workers!$E$5:$E$2004,MATCH($D2415,Workers!$A$5:$A$2004,0)),""))</f>
        <v/>
      </c>
      <c r="M2415" s="26" t="str">
        <f aca="false">IF($D2415="","",IFERROR(INDEX(ClientRates!$D$5:$D$500,MATCH($B2415&amp;"|"&amp;$L2415,ClientRates!$A$5:$A$500,0)),0))</f>
        <v/>
      </c>
      <c r="N2415" s="26" t="str">
        <f aca="false">IF($D2415="","",IFERROR(INDEX(ClientRates!$E$5:$E$500,MATCH($B2415&amp;"|"&amp;$L2415,ClientRates!$A$5:$A$500,0)),0))</f>
        <v/>
      </c>
      <c r="O2415" s="26" t="str">
        <f aca="false">IF($D2415="","",F2415*M2415+G2415*N2415)</f>
        <v/>
      </c>
      <c r="P2415" s="26" t="str">
        <f aca="false">IF(OR($D2415="",$J2415&lt;&gt;"Supplier"),"",IFERROR(INDEX(SupplierRates!$D$5:$D$500,MATCH($K2415&amp;"|"&amp;$L2415,SupplierRates!$A$5:$A$500,0)),0))</f>
        <v/>
      </c>
      <c r="Q2415" s="26" t="str">
        <f aca="false">IF(OR($D2415="",$J2415&lt;&gt;"Supplier"),"",IFERROR(INDEX(SupplierRates!$E$5:$E$500,MATCH($K2415&amp;"|"&amp;$L2415,SupplierRates!$A$5:$A$500,0)),0))</f>
        <v/>
      </c>
      <c r="R2415" s="26" t="n">
        <f aca="false">IF(OR($D2415="",$J2415&lt;&gt;"Supplier"),0,F2415*P2415+G2415*Q2415)</f>
        <v>0</v>
      </c>
      <c r="S2415" s="26" t="n">
        <f aca="false">IF(OR($D2415="",$J2415&lt;&gt;"Own"),0,IFERROR((F2415+G2415*Settings!$B$13)*INDEX(Workers!$V$5:$V$2004,MATCH($D2415,Workers!$A$5:$A$2004,0)),0))</f>
        <v>0</v>
      </c>
      <c r="T2415" s="26" t="str">
        <f aca="false">IF($D2415="","",O2415-R2415-S2415)</f>
        <v/>
      </c>
    </row>
    <row r="2416" customFormat="false" ht="15" hidden="false" customHeight="false" outlineLevel="0" collapsed="false">
      <c r="I2416" s="24" t="str">
        <f aca="false">IF($D2416="","",IFERROR(INDEX(Workers!$B$5:$B$2004,MATCH($D2416,Workers!$A$5:$A$2004,0)),"NOT FOUND"))</f>
        <v/>
      </c>
      <c r="J2416" s="24" t="str">
        <f aca="false">IF($D2416="","",IFERROR(INDEX(Workers!$C$5:$C$2004,MATCH($D2416,Workers!$A$5:$A$2004,0)),""))</f>
        <v/>
      </c>
      <c r="K2416" s="24" t="str">
        <f aca="false">IF($D2416="","",IFERROR(IF(INDEX(Workers!$D$5:$D$2004,MATCH($D2416,Workers!$A$5:$A$2004,0))=0,"",INDEX(Workers!$D$5:$D$2004,MATCH($D2416,Workers!$A$5:$A$2004,0))),""))</f>
        <v/>
      </c>
      <c r="L2416" s="24" t="str">
        <f aca="false">IF($D2416="","",IFERROR(INDEX(Workers!$E$5:$E$2004,MATCH($D2416,Workers!$A$5:$A$2004,0)),""))</f>
        <v/>
      </c>
      <c r="M2416" s="26" t="str">
        <f aca="false">IF($D2416="","",IFERROR(INDEX(ClientRates!$D$5:$D$500,MATCH($B2416&amp;"|"&amp;$L2416,ClientRates!$A$5:$A$500,0)),0))</f>
        <v/>
      </c>
      <c r="N2416" s="26" t="str">
        <f aca="false">IF($D2416="","",IFERROR(INDEX(ClientRates!$E$5:$E$500,MATCH($B2416&amp;"|"&amp;$L2416,ClientRates!$A$5:$A$500,0)),0))</f>
        <v/>
      </c>
      <c r="O2416" s="26" t="str">
        <f aca="false">IF($D2416="","",F2416*M2416+G2416*N2416)</f>
        <v/>
      </c>
      <c r="P2416" s="26" t="str">
        <f aca="false">IF(OR($D2416="",$J2416&lt;&gt;"Supplier"),"",IFERROR(INDEX(SupplierRates!$D$5:$D$500,MATCH($K2416&amp;"|"&amp;$L2416,SupplierRates!$A$5:$A$500,0)),0))</f>
        <v/>
      </c>
      <c r="Q2416" s="26" t="str">
        <f aca="false">IF(OR($D2416="",$J2416&lt;&gt;"Supplier"),"",IFERROR(INDEX(SupplierRates!$E$5:$E$500,MATCH($K2416&amp;"|"&amp;$L2416,SupplierRates!$A$5:$A$500,0)),0))</f>
        <v/>
      </c>
      <c r="R2416" s="26" t="n">
        <f aca="false">IF(OR($D2416="",$J2416&lt;&gt;"Supplier"),0,F2416*P2416+G2416*Q2416)</f>
        <v>0</v>
      </c>
      <c r="S2416" s="26" t="n">
        <f aca="false">IF(OR($D2416="",$J2416&lt;&gt;"Own"),0,IFERROR((F2416+G2416*Settings!$B$13)*INDEX(Workers!$V$5:$V$2004,MATCH($D2416,Workers!$A$5:$A$2004,0)),0))</f>
        <v>0</v>
      </c>
      <c r="T2416" s="26" t="str">
        <f aca="false">IF($D2416="","",O2416-R2416-S2416)</f>
        <v/>
      </c>
    </row>
    <row r="2417" customFormat="false" ht="15" hidden="false" customHeight="false" outlineLevel="0" collapsed="false">
      <c r="I2417" s="24" t="str">
        <f aca="false">IF($D2417="","",IFERROR(INDEX(Workers!$B$5:$B$2004,MATCH($D2417,Workers!$A$5:$A$2004,0)),"NOT FOUND"))</f>
        <v/>
      </c>
      <c r="J2417" s="24" t="str">
        <f aca="false">IF($D2417="","",IFERROR(INDEX(Workers!$C$5:$C$2004,MATCH($D2417,Workers!$A$5:$A$2004,0)),""))</f>
        <v/>
      </c>
      <c r="K2417" s="24" t="str">
        <f aca="false">IF($D2417="","",IFERROR(IF(INDEX(Workers!$D$5:$D$2004,MATCH($D2417,Workers!$A$5:$A$2004,0))=0,"",INDEX(Workers!$D$5:$D$2004,MATCH($D2417,Workers!$A$5:$A$2004,0))),""))</f>
        <v/>
      </c>
      <c r="L2417" s="24" t="str">
        <f aca="false">IF($D2417="","",IFERROR(INDEX(Workers!$E$5:$E$2004,MATCH($D2417,Workers!$A$5:$A$2004,0)),""))</f>
        <v/>
      </c>
      <c r="M2417" s="26" t="str">
        <f aca="false">IF($D2417="","",IFERROR(INDEX(ClientRates!$D$5:$D$500,MATCH($B2417&amp;"|"&amp;$L2417,ClientRates!$A$5:$A$500,0)),0))</f>
        <v/>
      </c>
      <c r="N2417" s="26" t="str">
        <f aca="false">IF($D2417="","",IFERROR(INDEX(ClientRates!$E$5:$E$500,MATCH($B2417&amp;"|"&amp;$L2417,ClientRates!$A$5:$A$500,0)),0))</f>
        <v/>
      </c>
      <c r="O2417" s="26" t="str">
        <f aca="false">IF($D2417="","",F2417*M2417+G2417*N2417)</f>
        <v/>
      </c>
      <c r="P2417" s="26" t="str">
        <f aca="false">IF(OR($D2417="",$J2417&lt;&gt;"Supplier"),"",IFERROR(INDEX(SupplierRates!$D$5:$D$500,MATCH($K2417&amp;"|"&amp;$L2417,SupplierRates!$A$5:$A$500,0)),0))</f>
        <v/>
      </c>
      <c r="Q2417" s="26" t="str">
        <f aca="false">IF(OR($D2417="",$J2417&lt;&gt;"Supplier"),"",IFERROR(INDEX(SupplierRates!$E$5:$E$500,MATCH($K2417&amp;"|"&amp;$L2417,SupplierRates!$A$5:$A$500,0)),0))</f>
        <v/>
      </c>
      <c r="R2417" s="26" t="n">
        <f aca="false">IF(OR($D2417="",$J2417&lt;&gt;"Supplier"),0,F2417*P2417+G2417*Q2417)</f>
        <v>0</v>
      </c>
      <c r="S2417" s="26" t="n">
        <f aca="false">IF(OR($D2417="",$J2417&lt;&gt;"Own"),0,IFERROR((F2417+G2417*Settings!$B$13)*INDEX(Workers!$V$5:$V$2004,MATCH($D2417,Workers!$A$5:$A$2004,0)),0))</f>
        <v>0</v>
      </c>
      <c r="T2417" s="26" t="str">
        <f aca="false">IF($D2417="","",O2417-R2417-S2417)</f>
        <v/>
      </c>
    </row>
    <row r="2418" customFormat="false" ht="15" hidden="false" customHeight="false" outlineLevel="0" collapsed="false">
      <c r="I2418" s="24" t="str">
        <f aca="false">IF($D2418="","",IFERROR(INDEX(Workers!$B$5:$B$2004,MATCH($D2418,Workers!$A$5:$A$2004,0)),"NOT FOUND"))</f>
        <v/>
      </c>
      <c r="J2418" s="24" t="str">
        <f aca="false">IF($D2418="","",IFERROR(INDEX(Workers!$C$5:$C$2004,MATCH($D2418,Workers!$A$5:$A$2004,0)),""))</f>
        <v/>
      </c>
      <c r="K2418" s="24" t="str">
        <f aca="false">IF($D2418="","",IFERROR(IF(INDEX(Workers!$D$5:$D$2004,MATCH($D2418,Workers!$A$5:$A$2004,0))=0,"",INDEX(Workers!$D$5:$D$2004,MATCH($D2418,Workers!$A$5:$A$2004,0))),""))</f>
        <v/>
      </c>
      <c r="L2418" s="24" t="str">
        <f aca="false">IF($D2418="","",IFERROR(INDEX(Workers!$E$5:$E$2004,MATCH($D2418,Workers!$A$5:$A$2004,0)),""))</f>
        <v/>
      </c>
      <c r="M2418" s="26" t="str">
        <f aca="false">IF($D2418="","",IFERROR(INDEX(ClientRates!$D$5:$D$500,MATCH($B2418&amp;"|"&amp;$L2418,ClientRates!$A$5:$A$500,0)),0))</f>
        <v/>
      </c>
      <c r="N2418" s="26" t="str">
        <f aca="false">IF($D2418="","",IFERROR(INDEX(ClientRates!$E$5:$E$500,MATCH($B2418&amp;"|"&amp;$L2418,ClientRates!$A$5:$A$500,0)),0))</f>
        <v/>
      </c>
      <c r="O2418" s="26" t="str">
        <f aca="false">IF($D2418="","",F2418*M2418+G2418*N2418)</f>
        <v/>
      </c>
      <c r="P2418" s="26" t="str">
        <f aca="false">IF(OR($D2418="",$J2418&lt;&gt;"Supplier"),"",IFERROR(INDEX(SupplierRates!$D$5:$D$500,MATCH($K2418&amp;"|"&amp;$L2418,SupplierRates!$A$5:$A$500,0)),0))</f>
        <v/>
      </c>
      <c r="Q2418" s="26" t="str">
        <f aca="false">IF(OR($D2418="",$J2418&lt;&gt;"Supplier"),"",IFERROR(INDEX(SupplierRates!$E$5:$E$500,MATCH($K2418&amp;"|"&amp;$L2418,SupplierRates!$A$5:$A$500,0)),0))</f>
        <v/>
      </c>
      <c r="R2418" s="26" t="n">
        <f aca="false">IF(OR($D2418="",$J2418&lt;&gt;"Supplier"),0,F2418*P2418+G2418*Q2418)</f>
        <v>0</v>
      </c>
      <c r="S2418" s="26" t="n">
        <f aca="false">IF(OR($D2418="",$J2418&lt;&gt;"Own"),0,IFERROR((F2418+G2418*Settings!$B$13)*INDEX(Workers!$V$5:$V$2004,MATCH($D2418,Workers!$A$5:$A$2004,0)),0))</f>
        <v>0</v>
      </c>
      <c r="T2418" s="26" t="str">
        <f aca="false">IF($D2418="","",O2418-R2418-S2418)</f>
        <v/>
      </c>
    </row>
    <row r="2419" customFormat="false" ht="15" hidden="false" customHeight="false" outlineLevel="0" collapsed="false">
      <c r="I2419" s="24" t="str">
        <f aca="false">IF($D2419="","",IFERROR(INDEX(Workers!$B$5:$B$2004,MATCH($D2419,Workers!$A$5:$A$2004,0)),"NOT FOUND"))</f>
        <v/>
      </c>
      <c r="J2419" s="24" t="str">
        <f aca="false">IF($D2419="","",IFERROR(INDEX(Workers!$C$5:$C$2004,MATCH($D2419,Workers!$A$5:$A$2004,0)),""))</f>
        <v/>
      </c>
      <c r="K2419" s="24" t="str">
        <f aca="false">IF($D2419="","",IFERROR(IF(INDEX(Workers!$D$5:$D$2004,MATCH($D2419,Workers!$A$5:$A$2004,0))=0,"",INDEX(Workers!$D$5:$D$2004,MATCH($D2419,Workers!$A$5:$A$2004,0))),""))</f>
        <v/>
      </c>
      <c r="L2419" s="24" t="str">
        <f aca="false">IF($D2419="","",IFERROR(INDEX(Workers!$E$5:$E$2004,MATCH($D2419,Workers!$A$5:$A$2004,0)),""))</f>
        <v/>
      </c>
      <c r="M2419" s="26" t="str">
        <f aca="false">IF($D2419="","",IFERROR(INDEX(ClientRates!$D$5:$D$500,MATCH($B2419&amp;"|"&amp;$L2419,ClientRates!$A$5:$A$500,0)),0))</f>
        <v/>
      </c>
      <c r="N2419" s="26" t="str">
        <f aca="false">IF($D2419="","",IFERROR(INDEX(ClientRates!$E$5:$E$500,MATCH($B2419&amp;"|"&amp;$L2419,ClientRates!$A$5:$A$500,0)),0))</f>
        <v/>
      </c>
      <c r="O2419" s="26" t="str">
        <f aca="false">IF($D2419="","",F2419*M2419+G2419*N2419)</f>
        <v/>
      </c>
      <c r="P2419" s="26" t="str">
        <f aca="false">IF(OR($D2419="",$J2419&lt;&gt;"Supplier"),"",IFERROR(INDEX(SupplierRates!$D$5:$D$500,MATCH($K2419&amp;"|"&amp;$L2419,SupplierRates!$A$5:$A$500,0)),0))</f>
        <v/>
      </c>
      <c r="Q2419" s="26" t="str">
        <f aca="false">IF(OR($D2419="",$J2419&lt;&gt;"Supplier"),"",IFERROR(INDEX(SupplierRates!$E$5:$E$500,MATCH($K2419&amp;"|"&amp;$L2419,SupplierRates!$A$5:$A$500,0)),0))</f>
        <v/>
      </c>
      <c r="R2419" s="26" t="n">
        <f aca="false">IF(OR($D2419="",$J2419&lt;&gt;"Supplier"),0,F2419*P2419+G2419*Q2419)</f>
        <v>0</v>
      </c>
      <c r="S2419" s="26" t="n">
        <f aca="false">IF(OR($D2419="",$J2419&lt;&gt;"Own"),0,IFERROR((F2419+G2419*Settings!$B$13)*INDEX(Workers!$V$5:$V$2004,MATCH($D2419,Workers!$A$5:$A$2004,0)),0))</f>
        <v>0</v>
      </c>
      <c r="T2419" s="26" t="str">
        <f aca="false">IF($D2419="","",O2419-R2419-S2419)</f>
        <v/>
      </c>
    </row>
    <row r="2420" customFormat="false" ht="15" hidden="false" customHeight="false" outlineLevel="0" collapsed="false">
      <c r="I2420" s="24" t="str">
        <f aca="false">IF($D2420="","",IFERROR(INDEX(Workers!$B$5:$B$2004,MATCH($D2420,Workers!$A$5:$A$2004,0)),"NOT FOUND"))</f>
        <v/>
      </c>
      <c r="J2420" s="24" t="str">
        <f aca="false">IF($D2420="","",IFERROR(INDEX(Workers!$C$5:$C$2004,MATCH($D2420,Workers!$A$5:$A$2004,0)),""))</f>
        <v/>
      </c>
      <c r="K2420" s="24" t="str">
        <f aca="false">IF($D2420="","",IFERROR(IF(INDEX(Workers!$D$5:$D$2004,MATCH($D2420,Workers!$A$5:$A$2004,0))=0,"",INDEX(Workers!$D$5:$D$2004,MATCH($D2420,Workers!$A$5:$A$2004,0))),""))</f>
        <v/>
      </c>
      <c r="L2420" s="24" t="str">
        <f aca="false">IF($D2420="","",IFERROR(INDEX(Workers!$E$5:$E$2004,MATCH($D2420,Workers!$A$5:$A$2004,0)),""))</f>
        <v/>
      </c>
      <c r="M2420" s="26" t="str">
        <f aca="false">IF($D2420="","",IFERROR(INDEX(ClientRates!$D$5:$D$500,MATCH($B2420&amp;"|"&amp;$L2420,ClientRates!$A$5:$A$500,0)),0))</f>
        <v/>
      </c>
      <c r="N2420" s="26" t="str">
        <f aca="false">IF($D2420="","",IFERROR(INDEX(ClientRates!$E$5:$E$500,MATCH($B2420&amp;"|"&amp;$L2420,ClientRates!$A$5:$A$500,0)),0))</f>
        <v/>
      </c>
      <c r="O2420" s="26" t="str">
        <f aca="false">IF($D2420="","",F2420*M2420+G2420*N2420)</f>
        <v/>
      </c>
      <c r="P2420" s="26" t="str">
        <f aca="false">IF(OR($D2420="",$J2420&lt;&gt;"Supplier"),"",IFERROR(INDEX(SupplierRates!$D$5:$D$500,MATCH($K2420&amp;"|"&amp;$L2420,SupplierRates!$A$5:$A$500,0)),0))</f>
        <v/>
      </c>
      <c r="Q2420" s="26" t="str">
        <f aca="false">IF(OR($D2420="",$J2420&lt;&gt;"Supplier"),"",IFERROR(INDEX(SupplierRates!$E$5:$E$500,MATCH($K2420&amp;"|"&amp;$L2420,SupplierRates!$A$5:$A$500,0)),0))</f>
        <v/>
      </c>
      <c r="R2420" s="26" t="n">
        <f aca="false">IF(OR($D2420="",$J2420&lt;&gt;"Supplier"),0,F2420*P2420+G2420*Q2420)</f>
        <v>0</v>
      </c>
      <c r="S2420" s="26" t="n">
        <f aca="false">IF(OR($D2420="",$J2420&lt;&gt;"Own"),0,IFERROR((F2420+G2420*Settings!$B$13)*INDEX(Workers!$V$5:$V$2004,MATCH($D2420,Workers!$A$5:$A$2004,0)),0))</f>
        <v>0</v>
      </c>
      <c r="T2420" s="26" t="str">
        <f aca="false">IF($D2420="","",O2420-R2420-S2420)</f>
        <v/>
      </c>
    </row>
    <row r="2421" customFormat="false" ht="15" hidden="false" customHeight="false" outlineLevel="0" collapsed="false">
      <c r="I2421" s="24" t="str">
        <f aca="false">IF($D2421="","",IFERROR(INDEX(Workers!$B$5:$B$2004,MATCH($D2421,Workers!$A$5:$A$2004,0)),"NOT FOUND"))</f>
        <v/>
      </c>
      <c r="J2421" s="24" t="str">
        <f aca="false">IF($D2421="","",IFERROR(INDEX(Workers!$C$5:$C$2004,MATCH($D2421,Workers!$A$5:$A$2004,0)),""))</f>
        <v/>
      </c>
      <c r="K2421" s="24" t="str">
        <f aca="false">IF($D2421="","",IFERROR(IF(INDEX(Workers!$D$5:$D$2004,MATCH($D2421,Workers!$A$5:$A$2004,0))=0,"",INDEX(Workers!$D$5:$D$2004,MATCH($D2421,Workers!$A$5:$A$2004,0))),""))</f>
        <v/>
      </c>
      <c r="L2421" s="24" t="str">
        <f aca="false">IF($D2421="","",IFERROR(INDEX(Workers!$E$5:$E$2004,MATCH($D2421,Workers!$A$5:$A$2004,0)),""))</f>
        <v/>
      </c>
      <c r="M2421" s="26" t="str">
        <f aca="false">IF($D2421="","",IFERROR(INDEX(ClientRates!$D$5:$D$500,MATCH($B2421&amp;"|"&amp;$L2421,ClientRates!$A$5:$A$500,0)),0))</f>
        <v/>
      </c>
      <c r="N2421" s="26" t="str">
        <f aca="false">IF($D2421="","",IFERROR(INDEX(ClientRates!$E$5:$E$500,MATCH($B2421&amp;"|"&amp;$L2421,ClientRates!$A$5:$A$500,0)),0))</f>
        <v/>
      </c>
      <c r="O2421" s="26" t="str">
        <f aca="false">IF($D2421="","",F2421*M2421+G2421*N2421)</f>
        <v/>
      </c>
      <c r="P2421" s="26" t="str">
        <f aca="false">IF(OR($D2421="",$J2421&lt;&gt;"Supplier"),"",IFERROR(INDEX(SupplierRates!$D$5:$D$500,MATCH($K2421&amp;"|"&amp;$L2421,SupplierRates!$A$5:$A$500,0)),0))</f>
        <v/>
      </c>
      <c r="Q2421" s="26" t="str">
        <f aca="false">IF(OR($D2421="",$J2421&lt;&gt;"Supplier"),"",IFERROR(INDEX(SupplierRates!$E$5:$E$500,MATCH($K2421&amp;"|"&amp;$L2421,SupplierRates!$A$5:$A$500,0)),0))</f>
        <v/>
      </c>
      <c r="R2421" s="26" t="n">
        <f aca="false">IF(OR($D2421="",$J2421&lt;&gt;"Supplier"),0,F2421*P2421+G2421*Q2421)</f>
        <v>0</v>
      </c>
      <c r="S2421" s="26" t="n">
        <f aca="false">IF(OR($D2421="",$J2421&lt;&gt;"Own"),0,IFERROR((F2421+G2421*Settings!$B$13)*INDEX(Workers!$V$5:$V$2004,MATCH($D2421,Workers!$A$5:$A$2004,0)),0))</f>
        <v>0</v>
      </c>
      <c r="T2421" s="26" t="str">
        <f aca="false">IF($D2421="","",O2421-R2421-S2421)</f>
        <v/>
      </c>
    </row>
    <row r="2422" customFormat="false" ht="15" hidden="false" customHeight="false" outlineLevel="0" collapsed="false">
      <c r="I2422" s="24" t="str">
        <f aca="false">IF($D2422="","",IFERROR(INDEX(Workers!$B$5:$B$2004,MATCH($D2422,Workers!$A$5:$A$2004,0)),"NOT FOUND"))</f>
        <v/>
      </c>
      <c r="J2422" s="24" t="str">
        <f aca="false">IF($D2422="","",IFERROR(INDEX(Workers!$C$5:$C$2004,MATCH($D2422,Workers!$A$5:$A$2004,0)),""))</f>
        <v/>
      </c>
      <c r="K2422" s="24" t="str">
        <f aca="false">IF($D2422="","",IFERROR(IF(INDEX(Workers!$D$5:$D$2004,MATCH($D2422,Workers!$A$5:$A$2004,0))=0,"",INDEX(Workers!$D$5:$D$2004,MATCH($D2422,Workers!$A$5:$A$2004,0))),""))</f>
        <v/>
      </c>
      <c r="L2422" s="24" t="str">
        <f aca="false">IF($D2422="","",IFERROR(INDEX(Workers!$E$5:$E$2004,MATCH($D2422,Workers!$A$5:$A$2004,0)),""))</f>
        <v/>
      </c>
      <c r="M2422" s="26" t="str">
        <f aca="false">IF($D2422="","",IFERROR(INDEX(ClientRates!$D$5:$D$500,MATCH($B2422&amp;"|"&amp;$L2422,ClientRates!$A$5:$A$500,0)),0))</f>
        <v/>
      </c>
      <c r="N2422" s="26" t="str">
        <f aca="false">IF($D2422="","",IFERROR(INDEX(ClientRates!$E$5:$E$500,MATCH($B2422&amp;"|"&amp;$L2422,ClientRates!$A$5:$A$500,0)),0))</f>
        <v/>
      </c>
      <c r="O2422" s="26" t="str">
        <f aca="false">IF($D2422="","",F2422*M2422+G2422*N2422)</f>
        <v/>
      </c>
      <c r="P2422" s="26" t="str">
        <f aca="false">IF(OR($D2422="",$J2422&lt;&gt;"Supplier"),"",IFERROR(INDEX(SupplierRates!$D$5:$D$500,MATCH($K2422&amp;"|"&amp;$L2422,SupplierRates!$A$5:$A$500,0)),0))</f>
        <v/>
      </c>
      <c r="Q2422" s="26" t="str">
        <f aca="false">IF(OR($D2422="",$J2422&lt;&gt;"Supplier"),"",IFERROR(INDEX(SupplierRates!$E$5:$E$500,MATCH($K2422&amp;"|"&amp;$L2422,SupplierRates!$A$5:$A$500,0)),0))</f>
        <v/>
      </c>
      <c r="R2422" s="26" t="n">
        <f aca="false">IF(OR($D2422="",$J2422&lt;&gt;"Supplier"),0,F2422*P2422+G2422*Q2422)</f>
        <v>0</v>
      </c>
      <c r="S2422" s="26" t="n">
        <f aca="false">IF(OR($D2422="",$J2422&lt;&gt;"Own"),0,IFERROR((F2422+G2422*Settings!$B$13)*INDEX(Workers!$V$5:$V$2004,MATCH($D2422,Workers!$A$5:$A$2004,0)),0))</f>
        <v>0</v>
      </c>
      <c r="T2422" s="26" t="str">
        <f aca="false">IF($D2422="","",O2422-R2422-S2422)</f>
        <v/>
      </c>
    </row>
    <row r="2423" customFormat="false" ht="15" hidden="false" customHeight="false" outlineLevel="0" collapsed="false">
      <c r="I2423" s="24" t="str">
        <f aca="false">IF($D2423="","",IFERROR(INDEX(Workers!$B$5:$B$2004,MATCH($D2423,Workers!$A$5:$A$2004,0)),"NOT FOUND"))</f>
        <v/>
      </c>
      <c r="J2423" s="24" t="str">
        <f aca="false">IF($D2423="","",IFERROR(INDEX(Workers!$C$5:$C$2004,MATCH($D2423,Workers!$A$5:$A$2004,0)),""))</f>
        <v/>
      </c>
      <c r="K2423" s="24" t="str">
        <f aca="false">IF($D2423="","",IFERROR(IF(INDEX(Workers!$D$5:$D$2004,MATCH($D2423,Workers!$A$5:$A$2004,0))=0,"",INDEX(Workers!$D$5:$D$2004,MATCH($D2423,Workers!$A$5:$A$2004,0))),""))</f>
        <v/>
      </c>
      <c r="L2423" s="24" t="str">
        <f aca="false">IF($D2423="","",IFERROR(INDEX(Workers!$E$5:$E$2004,MATCH($D2423,Workers!$A$5:$A$2004,0)),""))</f>
        <v/>
      </c>
      <c r="M2423" s="26" t="str">
        <f aca="false">IF($D2423="","",IFERROR(INDEX(ClientRates!$D$5:$D$500,MATCH($B2423&amp;"|"&amp;$L2423,ClientRates!$A$5:$A$500,0)),0))</f>
        <v/>
      </c>
      <c r="N2423" s="26" t="str">
        <f aca="false">IF($D2423="","",IFERROR(INDEX(ClientRates!$E$5:$E$500,MATCH($B2423&amp;"|"&amp;$L2423,ClientRates!$A$5:$A$500,0)),0))</f>
        <v/>
      </c>
      <c r="O2423" s="26" t="str">
        <f aca="false">IF($D2423="","",F2423*M2423+G2423*N2423)</f>
        <v/>
      </c>
      <c r="P2423" s="26" t="str">
        <f aca="false">IF(OR($D2423="",$J2423&lt;&gt;"Supplier"),"",IFERROR(INDEX(SupplierRates!$D$5:$D$500,MATCH($K2423&amp;"|"&amp;$L2423,SupplierRates!$A$5:$A$500,0)),0))</f>
        <v/>
      </c>
      <c r="Q2423" s="26" t="str">
        <f aca="false">IF(OR($D2423="",$J2423&lt;&gt;"Supplier"),"",IFERROR(INDEX(SupplierRates!$E$5:$E$500,MATCH($K2423&amp;"|"&amp;$L2423,SupplierRates!$A$5:$A$500,0)),0))</f>
        <v/>
      </c>
      <c r="R2423" s="26" t="n">
        <f aca="false">IF(OR($D2423="",$J2423&lt;&gt;"Supplier"),0,F2423*P2423+G2423*Q2423)</f>
        <v>0</v>
      </c>
      <c r="S2423" s="26" t="n">
        <f aca="false">IF(OR($D2423="",$J2423&lt;&gt;"Own"),0,IFERROR((F2423+G2423*Settings!$B$13)*INDEX(Workers!$V$5:$V$2004,MATCH($D2423,Workers!$A$5:$A$2004,0)),0))</f>
        <v>0</v>
      </c>
      <c r="T2423" s="26" t="str">
        <f aca="false">IF($D2423="","",O2423-R2423-S2423)</f>
        <v/>
      </c>
    </row>
    <row r="2424" customFormat="false" ht="15" hidden="false" customHeight="false" outlineLevel="0" collapsed="false">
      <c r="I2424" s="24" t="str">
        <f aca="false">IF($D2424="","",IFERROR(INDEX(Workers!$B$5:$B$2004,MATCH($D2424,Workers!$A$5:$A$2004,0)),"NOT FOUND"))</f>
        <v/>
      </c>
      <c r="J2424" s="24" t="str">
        <f aca="false">IF($D2424="","",IFERROR(INDEX(Workers!$C$5:$C$2004,MATCH($D2424,Workers!$A$5:$A$2004,0)),""))</f>
        <v/>
      </c>
      <c r="K2424" s="24" t="str">
        <f aca="false">IF($D2424="","",IFERROR(IF(INDEX(Workers!$D$5:$D$2004,MATCH($D2424,Workers!$A$5:$A$2004,0))=0,"",INDEX(Workers!$D$5:$D$2004,MATCH($D2424,Workers!$A$5:$A$2004,0))),""))</f>
        <v/>
      </c>
      <c r="L2424" s="24" t="str">
        <f aca="false">IF($D2424="","",IFERROR(INDEX(Workers!$E$5:$E$2004,MATCH($D2424,Workers!$A$5:$A$2004,0)),""))</f>
        <v/>
      </c>
      <c r="M2424" s="26" t="str">
        <f aca="false">IF($D2424="","",IFERROR(INDEX(ClientRates!$D$5:$D$500,MATCH($B2424&amp;"|"&amp;$L2424,ClientRates!$A$5:$A$500,0)),0))</f>
        <v/>
      </c>
      <c r="N2424" s="26" t="str">
        <f aca="false">IF($D2424="","",IFERROR(INDEX(ClientRates!$E$5:$E$500,MATCH($B2424&amp;"|"&amp;$L2424,ClientRates!$A$5:$A$500,0)),0))</f>
        <v/>
      </c>
      <c r="O2424" s="26" t="str">
        <f aca="false">IF($D2424="","",F2424*M2424+G2424*N2424)</f>
        <v/>
      </c>
      <c r="P2424" s="26" t="str">
        <f aca="false">IF(OR($D2424="",$J2424&lt;&gt;"Supplier"),"",IFERROR(INDEX(SupplierRates!$D$5:$D$500,MATCH($K2424&amp;"|"&amp;$L2424,SupplierRates!$A$5:$A$500,0)),0))</f>
        <v/>
      </c>
      <c r="Q2424" s="26" t="str">
        <f aca="false">IF(OR($D2424="",$J2424&lt;&gt;"Supplier"),"",IFERROR(INDEX(SupplierRates!$E$5:$E$500,MATCH($K2424&amp;"|"&amp;$L2424,SupplierRates!$A$5:$A$500,0)),0))</f>
        <v/>
      </c>
      <c r="R2424" s="26" t="n">
        <f aca="false">IF(OR($D2424="",$J2424&lt;&gt;"Supplier"),0,F2424*P2424+G2424*Q2424)</f>
        <v>0</v>
      </c>
      <c r="S2424" s="26" t="n">
        <f aca="false">IF(OR($D2424="",$J2424&lt;&gt;"Own"),0,IFERROR((F2424+G2424*Settings!$B$13)*INDEX(Workers!$V$5:$V$2004,MATCH($D2424,Workers!$A$5:$A$2004,0)),0))</f>
        <v>0</v>
      </c>
      <c r="T2424" s="26" t="str">
        <f aca="false">IF($D2424="","",O2424-R2424-S2424)</f>
        <v/>
      </c>
    </row>
    <row r="2425" customFormat="false" ht="15" hidden="false" customHeight="false" outlineLevel="0" collapsed="false">
      <c r="I2425" s="24" t="str">
        <f aca="false">IF($D2425="","",IFERROR(INDEX(Workers!$B$5:$B$2004,MATCH($D2425,Workers!$A$5:$A$2004,0)),"NOT FOUND"))</f>
        <v/>
      </c>
      <c r="J2425" s="24" t="str">
        <f aca="false">IF($D2425="","",IFERROR(INDEX(Workers!$C$5:$C$2004,MATCH($D2425,Workers!$A$5:$A$2004,0)),""))</f>
        <v/>
      </c>
      <c r="K2425" s="24" t="str">
        <f aca="false">IF($D2425="","",IFERROR(IF(INDEX(Workers!$D$5:$D$2004,MATCH($D2425,Workers!$A$5:$A$2004,0))=0,"",INDEX(Workers!$D$5:$D$2004,MATCH($D2425,Workers!$A$5:$A$2004,0))),""))</f>
        <v/>
      </c>
      <c r="L2425" s="24" t="str">
        <f aca="false">IF($D2425="","",IFERROR(INDEX(Workers!$E$5:$E$2004,MATCH($D2425,Workers!$A$5:$A$2004,0)),""))</f>
        <v/>
      </c>
      <c r="M2425" s="26" t="str">
        <f aca="false">IF($D2425="","",IFERROR(INDEX(ClientRates!$D$5:$D$500,MATCH($B2425&amp;"|"&amp;$L2425,ClientRates!$A$5:$A$500,0)),0))</f>
        <v/>
      </c>
      <c r="N2425" s="26" t="str">
        <f aca="false">IF($D2425="","",IFERROR(INDEX(ClientRates!$E$5:$E$500,MATCH($B2425&amp;"|"&amp;$L2425,ClientRates!$A$5:$A$500,0)),0))</f>
        <v/>
      </c>
      <c r="O2425" s="26" t="str">
        <f aca="false">IF($D2425="","",F2425*M2425+G2425*N2425)</f>
        <v/>
      </c>
      <c r="P2425" s="26" t="str">
        <f aca="false">IF(OR($D2425="",$J2425&lt;&gt;"Supplier"),"",IFERROR(INDEX(SupplierRates!$D$5:$D$500,MATCH($K2425&amp;"|"&amp;$L2425,SupplierRates!$A$5:$A$500,0)),0))</f>
        <v/>
      </c>
      <c r="Q2425" s="26" t="str">
        <f aca="false">IF(OR($D2425="",$J2425&lt;&gt;"Supplier"),"",IFERROR(INDEX(SupplierRates!$E$5:$E$500,MATCH($K2425&amp;"|"&amp;$L2425,SupplierRates!$A$5:$A$500,0)),0))</f>
        <v/>
      </c>
      <c r="R2425" s="26" t="n">
        <f aca="false">IF(OR($D2425="",$J2425&lt;&gt;"Supplier"),0,F2425*P2425+G2425*Q2425)</f>
        <v>0</v>
      </c>
      <c r="S2425" s="26" t="n">
        <f aca="false">IF(OR($D2425="",$J2425&lt;&gt;"Own"),0,IFERROR((F2425+G2425*Settings!$B$13)*INDEX(Workers!$V$5:$V$2004,MATCH($D2425,Workers!$A$5:$A$2004,0)),0))</f>
        <v>0</v>
      </c>
      <c r="T2425" s="26" t="str">
        <f aca="false">IF($D2425="","",O2425-R2425-S2425)</f>
        <v/>
      </c>
    </row>
    <row r="2426" customFormat="false" ht="15" hidden="false" customHeight="false" outlineLevel="0" collapsed="false">
      <c r="I2426" s="24" t="str">
        <f aca="false">IF($D2426="","",IFERROR(INDEX(Workers!$B$5:$B$2004,MATCH($D2426,Workers!$A$5:$A$2004,0)),"NOT FOUND"))</f>
        <v/>
      </c>
      <c r="J2426" s="24" t="str">
        <f aca="false">IF($D2426="","",IFERROR(INDEX(Workers!$C$5:$C$2004,MATCH($D2426,Workers!$A$5:$A$2004,0)),""))</f>
        <v/>
      </c>
      <c r="K2426" s="24" t="str">
        <f aca="false">IF($D2426="","",IFERROR(IF(INDEX(Workers!$D$5:$D$2004,MATCH($D2426,Workers!$A$5:$A$2004,0))=0,"",INDEX(Workers!$D$5:$D$2004,MATCH($D2426,Workers!$A$5:$A$2004,0))),""))</f>
        <v/>
      </c>
      <c r="L2426" s="24" t="str">
        <f aca="false">IF($D2426="","",IFERROR(INDEX(Workers!$E$5:$E$2004,MATCH($D2426,Workers!$A$5:$A$2004,0)),""))</f>
        <v/>
      </c>
      <c r="M2426" s="26" t="str">
        <f aca="false">IF($D2426="","",IFERROR(INDEX(ClientRates!$D$5:$D$500,MATCH($B2426&amp;"|"&amp;$L2426,ClientRates!$A$5:$A$500,0)),0))</f>
        <v/>
      </c>
      <c r="N2426" s="26" t="str">
        <f aca="false">IF($D2426="","",IFERROR(INDEX(ClientRates!$E$5:$E$500,MATCH($B2426&amp;"|"&amp;$L2426,ClientRates!$A$5:$A$500,0)),0))</f>
        <v/>
      </c>
      <c r="O2426" s="26" t="str">
        <f aca="false">IF($D2426="","",F2426*M2426+G2426*N2426)</f>
        <v/>
      </c>
      <c r="P2426" s="26" t="str">
        <f aca="false">IF(OR($D2426="",$J2426&lt;&gt;"Supplier"),"",IFERROR(INDEX(SupplierRates!$D$5:$D$500,MATCH($K2426&amp;"|"&amp;$L2426,SupplierRates!$A$5:$A$500,0)),0))</f>
        <v/>
      </c>
      <c r="Q2426" s="26" t="str">
        <f aca="false">IF(OR($D2426="",$J2426&lt;&gt;"Supplier"),"",IFERROR(INDEX(SupplierRates!$E$5:$E$500,MATCH($K2426&amp;"|"&amp;$L2426,SupplierRates!$A$5:$A$500,0)),0))</f>
        <v/>
      </c>
      <c r="R2426" s="26" t="n">
        <f aca="false">IF(OR($D2426="",$J2426&lt;&gt;"Supplier"),0,F2426*P2426+G2426*Q2426)</f>
        <v>0</v>
      </c>
      <c r="S2426" s="26" t="n">
        <f aca="false">IF(OR($D2426="",$J2426&lt;&gt;"Own"),0,IFERROR((F2426+G2426*Settings!$B$13)*INDEX(Workers!$V$5:$V$2004,MATCH($D2426,Workers!$A$5:$A$2004,0)),0))</f>
        <v>0</v>
      </c>
      <c r="T2426" s="26" t="str">
        <f aca="false">IF($D2426="","",O2426-R2426-S2426)</f>
        <v/>
      </c>
    </row>
    <row r="2427" customFormat="false" ht="15" hidden="false" customHeight="false" outlineLevel="0" collapsed="false">
      <c r="I2427" s="24" t="str">
        <f aca="false">IF($D2427="","",IFERROR(INDEX(Workers!$B$5:$B$2004,MATCH($D2427,Workers!$A$5:$A$2004,0)),"NOT FOUND"))</f>
        <v/>
      </c>
      <c r="J2427" s="24" t="str">
        <f aca="false">IF($D2427="","",IFERROR(INDEX(Workers!$C$5:$C$2004,MATCH($D2427,Workers!$A$5:$A$2004,0)),""))</f>
        <v/>
      </c>
      <c r="K2427" s="24" t="str">
        <f aca="false">IF($D2427="","",IFERROR(IF(INDEX(Workers!$D$5:$D$2004,MATCH($D2427,Workers!$A$5:$A$2004,0))=0,"",INDEX(Workers!$D$5:$D$2004,MATCH($D2427,Workers!$A$5:$A$2004,0))),""))</f>
        <v/>
      </c>
      <c r="L2427" s="24" t="str">
        <f aca="false">IF($D2427="","",IFERROR(INDEX(Workers!$E$5:$E$2004,MATCH($D2427,Workers!$A$5:$A$2004,0)),""))</f>
        <v/>
      </c>
      <c r="M2427" s="26" t="str">
        <f aca="false">IF($D2427="","",IFERROR(INDEX(ClientRates!$D$5:$D$500,MATCH($B2427&amp;"|"&amp;$L2427,ClientRates!$A$5:$A$500,0)),0))</f>
        <v/>
      </c>
      <c r="N2427" s="26" t="str">
        <f aca="false">IF($D2427="","",IFERROR(INDEX(ClientRates!$E$5:$E$500,MATCH($B2427&amp;"|"&amp;$L2427,ClientRates!$A$5:$A$500,0)),0))</f>
        <v/>
      </c>
      <c r="O2427" s="26" t="str">
        <f aca="false">IF($D2427="","",F2427*M2427+G2427*N2427)</f>
        <v/>
      </c>
      <c r="P2427" s="26" t="str">
        <f aca="false">IF(OR($D2427="",$J2427&lt;&gt;"Supplier"),"",IFERROR(INDEX(SupplierRates!$D$5:$D$500,MATCH($K2427&amp;"|"&amp;$L2427,SupplierRates!$A$5:$A$500,0)),0))</f>
        <v/>
      </c>
      <c r="Q2427" s="26" t="str">
        <f aca="false">IF(OR($D2427="",$J2427&lt;&gt;"Supplier"),"",IFERROR(INDEX(SupplierRates!$E$5:$E$500,MATCH($K2427&amp;"|"&amp;$L2427,SupplierRates!$A$5:$A$500,0)),0))</f>
        <v/>
      </c>
      <c r="R2427" s="26" t="n">
        <f aca="false">IF(OR($D2427="",$J2427&lt;&gt;"Supplier"),0,F2427*P2427+G2427*Q2427)</f>
        <v>0</v>
      </c>
      <c r="S2427" s="26" t="n">
        <f aca="false">IF(OR($D2427="",$J2427&lt;&gt;"Own"),0,IFERROR((F2427+G2427*Settings!$B$13)*INDEX(Workers!$V$5:$V$2004,MATCH($D2427,Workers!$A$5:$A$2004,0)),0))</f>
        <v>0</v>
      </c>
      <c r="T2427" s="26" t="str">
        <f aca="false">IF($D2427="","",O2427-R2427-S2427)</f>
        <v/>
      </c>
    </row>
    <row r="2428" customFormat="false" ht="15" hidden="false" customHeight="false" outlineLevel="0" collapsed="false">
      <c r="I2428" s="24" t="str">
        <f aca="false">IF($D2428="","",IFERROR(INDEX(Workers!$B$5:$B$2004,MATCH($D2428,Workers!$A$5:$A$2004,0)),"NOT FOUND"))</f>
        <v/>
      </c>
      <c r="J2428" s="24" t="str">
        <f aca="false">IF($D2428="","",IFERROR(INDEX(Workers!$C$5:$C$2004,MATCH($D2428,Workers!$A$5:$A$2004,0)),""))</f>
        <v/>
      </c>
      <c r="K2428" s="24" t="str">
        <f aca="false">IF($D2428="","",IFERROR(IF(INDEX(Workers!$D$5:$D$2004,MATCH($D2428,Workers!$A$5:$A$2004,0))=0,"",INDEX(Workers!$D$5:$D$2004,MATCH($D2428,Workers!$A$5:$A$2004,0))),""))</f>
        <v/>
      </c>
      <c r="L2428" s="24" t="str">
        <f aca="false">IF($D2428="","",IFERROR(INDEX(Workers!$E$5:$E$2004,MATCH($D2428,Workers!$A$5:$A$2004,0)),""))</f>
        <v/>
      </c>
      <c r="M2428" s="26" t="str">
        <f aca="false">IF($D2428="","",IFERROR(INDEX(ClientRates!$D$5:$D$500,MATCH($B2428&amp;"|"&amp;$L2428,ClientRates!$A$5:$A$500,0)),0))</f>
        <v/>
      </c>
      <c r="N2428" s="26" t="str">
        <f aca="false">IF($D2428="","",IFERROR(INDEX(ClientRates!$E$5:$E$500,MATCH($B2428&amp;"|"&amp;$L2428,ClientRates!$A$5:$A$500,0)),0))</f>
        <v/>
      </c>
      <c r="O2428" s="26" t="str">
        <f aca="false">IF($D2428="","",F2428*M2428+G2428*N2428)</f>
        <v/>
      </c>
      <c r="P2428" s="26" t="str">
        <f aca="false">IF(OR($D2428="",$J2428&lt;&gt;"Supplier"),"",IFERROR(INDEX(SupplierRates!$D$5:$D$500,MATCH($K2428&amp;"|"&amp;$L2428,SupplierRates!$A$5:$A$500,0)),0))</f>
        <v/>
      </c>
      <c r="Q2428" s="26" t="str">
        <f aca="false">IF(OR($D2428="",$J2428&lt;&gt;"Supplier"),"",IFERROR(INDEX(SupplierRates!$E$5:$E$500,MATCH($K2428&amp;"|"&amp;$L2428,SupplierRates!$A$5:$A$500,0)),0))</f>
        <v/>
      </c>
      <c r="R2428" s="26" t="n">
        <f aca="false">IF(OR($D2428="",$J2428&lt;&gt;"Supplier"),0,F2428*P2428+G2428*Q2428)</f>
        <v>0</v>
      </c>
      <c r="S2428" s="26" t="n">
        <f aca="false">IF(OR($D2428="",$J2428&lt;&gt;"Own"),0,IFERROR((F2428+G2428*Settings!$B$13)*INDEX(Workers!$V$5:$V$2004,MATCH($D2428,Workers!$A$5:$A$2004,0)),0))</f>
        <v>0</v>
      </c>
      <c r="T2428" s="26" t="str">
        <f aca="false">IF($D2428="","",O2428-R2428-S2428)</f>
        <v/>
      </c>
    </row>
    <row r="2429" customFormat="false" ht="15" hidden="false" customHeight="false" outlineLevel="0" collapsed="false">
      <c r="I2429" s="24" t="str">
        <f aca="false">IF($D2429="","",IFERROR(INDEX(Workers!$B$5:$B$2004,MATCH($D2429,Workers!$A$5:$A$2004,0)),"NOT FOUND"))</f>
        <v/>
      </c>
      <c r="J2429" s="24" t="str">
        <f aca="false">IF($D2429="","",IFERROR(INDEX(Workers!$C$5:$C$2004,MATCH($D2429,Workers!$A$5:$A$2004,0)),""))</f>
        <v/>
      </c>
      <c r="K2429" s="24" t="str">
        <f aca="false">IF($D2429="","",IFERROR(IF(INDEX(Workers!$D$5:$D$2004,MATCH($D2429,Workers!$A$5:$A$2004,0))=0,"",INDEX(Workers!$D$5:$D$2004,MATCH($D2429,Workers!$A$5:$A$2004,0))),""))</f>
        <v/>
      </c>
      <c r="L2429" s="24" t="str">
        <f aca="false">IF($D2429="","",IFERROR(INDEX(Workers!$E$5:$E$2004,MATCH($D2429,Workers!$A$5:$A$2004,0)),""))</f>
        <v/>
      </c>
      <c r="M2429" s="26" t="str">
        <f aca="false">IF($D2429="","",IFERROR(INDEX(ClientRates!$D$5:$D$500,MATCH($B2429&amp;"|"&amp;$L2429,ClientRates!$A$5:$A$500,0)),0))</f>
        <v/>
      </c>
      <c r="N2429" s="26" t="str">
        <f aca="false">IF($D2429="","",IFERROR(INDEX(ClientRates!$E$5:$E$500,MATCH($B2429&amp;"|"&amp;$L2429,ClientRates!$A$5:$A$500,0)),0))</f>
        <v/>
      </c>
      <c r="O2429" s="26" t="str">
        <f aca="false">IF($D2429="","",F2429*M2429+G2429*N2429)</f>
        <v/>
      </c>
      <c r="P2429" s="26" t="str">
        <f aca="false">IF(OR($D2429="",$J2429&lt;&gt;"Supplier"),"",IFERROR(INDEX(SupplierRates!$D$5:$D$500,MATCH($K2429&amp;"|"&amp;$L2429,SupplierRates!$A$5:$A$500,0)),0))</f>
        <v/>
      </c>
      <c r="Q2429" s="26" t="str">
        <f aca="false">IF(OR($D2429="",$J2429&lt;&gt;"Supplier"),"",IFERROR(INDEX(SupplierRates!$E$5:$E$500,MATCH($K2429&amp;"|"&amp;$L2429,SupplierRates!$A$5:$A$500,0)),0))</f>
        <v/>
      </c>
      <c r="R2429" s="26" t="n">
        <f aca="false">IF(OR($D2429="",$J2429&lt;&gt;"Supplier"),0,F2429*P2429+G2429*Q2429)</f>
        <v>0</v>
      </c>
      <c r="S2429" s="26" t="n">
        <f aca="false">IF(OR($D2429="",$J2429&lt;&gt;"Own"),0,IFERROR((F2429+G2429*Settings!$B$13)*INDEX(Workers!$V$5:$V$2004,MATCH($D2429,Workers!$A$5:$A$2004,0)),0))</f>
        <v>0</v>
      </c>
      <c r="T2429" s="26" t="str">
        <f aca="false">IF($D2429="","",O2429-R2429-S2429)</f>
        <v/>
      </c>
    </row>
    <row r="2430" customFormat="false" ht="15" hidden="false" customHeight="false" outlineLevel="0" collapsed="false">
      <c r="I2430" s="24" t="str">
        <f aca="false">IF($D2430="","",IFERROR(INDEX(Workers!$B$5:$B$2004,MATCH($D2430,Workers!$A$5:$A$2004,0)),"NOT FOUND"))</f>
        <v/>
      </c>
      <c r="J2430" s="24" t="str">
        <f aca="false">IF($D2430="","",IFERROR(INDEX(Workers!$C$5:$C$2004,MATCH($D2430,Workers!$A$5:$A$2004,0)),""))</f>
        <v/>
      </c>
      <c r="K2430" s="24" t="str">
        <f aca="false">IF($D2430="","",IFERROR(IF(INDEX(Workers!$D$5:$D$2004,MATCH($D2430,Workers!$A$5:$A$2004,0))=0,"",INDEX(Workers!$D$5:$D$2004,MATCH($D2430,Workers!$A$5:$A$2004,0))),""))</f>
        <v/>
      </c>
      <c r="L2430" s="24" t="str">
        <f aca="false">IF($D2430="","",IFERROR(INDEX(Workers!$E$5:$E$2004,MATCH($D2430,Workers!$A$5:$A$2004,0)),""))</f>
        <v/>
      </c>
      <c r="M2430" s="26" t="str">
        <f aca="false">IF($D2430="","",IFERROR(INDEX(ClientRates!$D$5:$D$500,MATCH($B2430&amp;"|"&amp;$L2430,ClientRates!$A$5:$A$500,0)),0))</f>
        <v/>
      </c>
      <c r="N2430" s="26" t="str">
        <f aca="false">IF($D2430="","",IFERROR(INDEX(ClientRates!$E$5:$E$500,MATCH($B2430&amp;"|"&amp;$L2430,ClientRates!$A$5:$A$500,0)),0))</f>
        <v/>
      </c>
      <c r="O2430" s="26" t="str">
        <f aca="false">IF($D2430="","",F2430*M2430+G2430*N2430)</f>
        <v/>
      </c>
      <c r="P2430" s="26" t="str">
        <f aca="false">IF(OR($D2430="",$J2430&lt;&gt;"Supplier"),"",IFERROR(INDEX(SupplierRates!$D$5:$D$500,MATCH($K2430&amp;"|"&amp;$L2430,SupplierRates!$A$5:$A$500,0)),0))</f>
        <v/>
      </c>
      <c r="Q2430" s="26" t="str">
        <f aca="false">IF(OR($D2430="",$J2430&lt;&gt;"Supplier"),"",IFERROR(INDEX(SupplierRates!$E$5:$E$500,MATCH($K2430&amp;"|"&amp;$L2430,SupplierRates!$A$5:$A$500,0)),0))</f>
        <v/>
      </c>
      <c r="R2430" s="26" t="n">
        <f aca="false">IF(OR($D2430="",$J2430&lt;&gt;"Supplier"),0,F2430*P2430+G2430*Q2430)</f>
        <v>0</v>
      </c>
      <c r="S2430" s="26" t="n">
        <f aca="false">IF(OR($D2430="",$J2430&lt;&gt;"Own"),0,IFERROR((F2430+G2430*Settings!$B$13)*INDEX(Workers!$V$5:$V$2004,MATCH($D2430,Workers!$A$5:$A$2004,0)),0))</f>
        <v>0</v>
      </c>
      <c r="T2430" s="26" t="str">
        <f aca="false">IF($D2430="","",O2430-R2430-S2430)</f>
        <v/>
      </c>
    </row>
    <row r="2431" customFormat="false" ht="15" hidden="false" customHeight="false" outlineLevel="0" collapsed="false">
      <c r="I2431" s="24" t="str">
        <f aca="false">IF($D2431="","",IFERROR(INDEX(Workers!$B$5:$B$2004,MATCH($D2431,Workers!$A$5:$A$2004,0)),"NOT FOUND"))</f>
        <v/>
      </c>
      <c r="J2431" s="24" t="str">
        <f aca="false">IF($D2431="","",IFERROR(INDEX(Workers!$C$5:$C$2004,MATCH($D2431,Workers!$A$5:$A$2004,0)),""))</f>
        <v/>
      </c>
      <c r="K2431" s="24" t="str">
        <f aca="false">IF($D2431="","",IFERROR(IF(INDEX(Workers!$D$5:$D$2004,MATCH($D2431,Workers!$A$5:$A$2004,0))=0,"",INDEX(Workers!$D$5:$D$2004,MATCH($D2431,Workers!$A$5:$A$2004,0))),""))</f>
        <v/>
      </c>
      <c r="L2431" s="24" t="str">
        <f aca="false">IF($D2431="","",IFERROR(INDEX(Workers!$E$5:$E$2004,MATCH($D2431,Workers!$A$5:$A$2004,0)),""))</f>
        <v/>
      </c>
      <c r="M2431" s="26" t="str">
        <f aca="false">IF($D2431="","",IFERROR(INDEX(ClientRates!$D$5:$D$500,MATCH($B2431&amp;"|"&amp;$L2431,ClientRates!$A$5:$A$500,0)),0))</f>
        <v/>
      </c>
      <c r="N2431" s="26" t="str">
        <f aca="false">IF($D2431="","",IFERROR(INDEX(ClientRates!$E$5:$E$500,MATCH($B2431&amp;"|"&amp;$L2431,ClientRates!$A$5:$A$500,0)),0))</f>
        <v/>
      </c>
      <c r="O2431" s="26" t="str">
        <f aca="false">IF($D2431="","",F2431*M2431+G2431*N2431)</f>
        <v/>
      </c>
      <c r="P2431" s="26" t="str">
        <f aca="false">IF(OR($D2431="",$J2431&lt;&gt;"Supplier"),"",IFERROR(INDEX(SupplierRates!$D$5:$D$500,MATCH($K2431&amp;"|"&amp;$L2431,SupplierRates!$A$5:$A$500,0)),0))</f>
        <v/>
      </c>
      <c r="Q2431" s="26" t="str">
        <f aca="false">IF(OR($D2431="",$J2431&lt;&gt;"Supplier"),"",IFERROR(INDEX(SupplierRates!$E$5:$E$500,MATCH($K2431&amp;"|"&amp;$L2431,SupplierRates!$A$5:$A$500,0)),0))</f>
        <v/>
      </c>
      <c r="R2431" s="26" t="n">
        <f aca="false">IF(OR($D2431="",$J2431&lt;&gt;"Supplier"),0,F2431*P2431+G2431*Q2431)</f>
        <v>0</v>
      </c>
      <c r="S2431" s="26" t="n">
        <f aca="false">IF(OR($D2431="",$J2431&lt;&gt;"Own"),0,IFERROR((F2431+G2431*Settings!$B$13)*INDEX(Workers!$V$5:$V$2004,MATCH($D2431,Workers!$A$5:$A$2004,0)),0))</f>
        <v>0</v>
      </c>
      <c r="T2431" s="26" t="str">
        <f aca="false">IF($D2431="","",O2431-R2431-S2431)</f>
        <v/>
      </c>
    </row>
    <row r="2432" customFormat="false" ht="15" hidden="false" customHeight="false" outlineLevel="0" collapsed="false">
      <c r="I2432" s="24" t="str">
        <f aca="false">IF($D2432="","",IFERROR(INDEX(Workers!$B$5:$B$2004,MATCH($D2432,Workers!$A$5:$A$2004,0)),"NOT FOUND"))</f>
        <v/>
      </c>
      <c r="J2432" s="24" t="str">
        <f aca="false">IF($D2432="","",IFERROR(INDEX(Workers!$C$5:$C$2004,MATCH($D2432,Workers!$A$5:$A$2004,0)),""))</f>
        <v/>
      </c>
      <c r="K2432" s="24" t="str">
        <f aca="false">IF($D2432="","",IFERROR(IF(INDEX(Workers!$D$5:$D$2004,MATCH($D2432,Workers!$A$5:$A$2004,0))=0,"",INDEX(Workers!$D$5:$D$2004,MATCH($D2432,Workers!$A$5:$A$2004,0))),""))</f>
        <v/>
      </c>
      <c r="L2432" s="24" t="str">
        <f aca="false">IF($D2432="","",IFERROR(INDEX(Workers!$E$5:$E$2004,MATCH($D2432,Workers!$A$5:$A$2004,0)),""))</f>
        <v/>
      </c>
      <c r="M2432" s="26" t="str">
        <f aca="false">IF($D2432="","",IFERROR(INDEX(ClientRates!$D$5:$D$500,MATCH($B2432&amp;"|"&amp;$L2432,ClientRates!$A$5:$A$500,0)),0))</f>
        <v/>
      </c>
      <c r="N2432" s="26" t="str">
        <f aca="false">IF($D2432="","",IFERROR(INDEX(ClientRates!$E$5:$E$500,MATCH($B2432&amp;"|"&amp;$L2432,ClientRates!$A$5:$A$500,0)),0))</f>
        <v/>
      </c>
      <c r="O2432" s="26" t="str">
        <f aca="false">IF($D2432="","",F2432*M2432+G2432*N2432)</f>
        <v/>
      </c>
      <c r="P2432" s="26" t="str">
        <f aca="false">IF(OR($D2432="",$J2432&lt;&gt;"Supplier"),"",IFERROR(INDEX(SupplierRates!$D$5:$D$500,MATCH($K2432&amp;"|"&amp;$L2432,SupplierRates!$A$5:$A$500,0)),0))</f>
        <v/>
      </c>
      <c r="Q2432" s="26" t="str">
        <f aca="false">IF(OR($D2432="",$J2432&lt;&gt;"Supplier"),"",IFERROR(INDEX(SupplierRates!$E$5:$E$500,MATCH($K2432&amp;"|"&amp;$L2432,SupplierRates!$A$5:$A$500,0)),0))</f>
        <v/>
      </c>
      <c r="R2432" s="26" t="n">
        <f aca="false">IF(OR($D2432="",$J2432&lt;&gt;"Supplier"),0,F2432*P2432+G2432*Q2432)</f>
        <v>0</v>
      </c>
      <c r="S2432" s="26" t="n">
        <f aca="false">IF(OR($D2432="",$J2432&lt;&gt;"Own"),0,IFERROR((F2432+G2432*Settings!$B$13)*INDEX(Workers!$V$5:$V$2004,MATCH($D2432,Workers!$A$5:$A$2004,0)),0))</f>
        <v>0</v>
      </c>
      <c r="T2432" s="26" t="str">
        <f aca="false">IF($D2432="","",O2432-R2432-S2432)</f>
        <v/>
      </c>
    </row>
    <row r="2433" customFormat="false" ht="15" hidden="false" customHeight="false" outlineLevel="0" collapsed="false">
      <c r="I2433" s="24" t="str">
        <f aca="false">IF($D2433="","",IFERROR(INDEX(Workers!$B$5:$B$2004,MATCH($D2433,Workers!$A$5:$A$2004,0)),"NOT FOUND"))</f>
        <v/>
      </c>
      <c r="J2433" s="24" t="str">
        <f aca="false">IF($D2433="","",IFERROR(INDEX(Workers!$C$5:$C$2004,MATCH($D2433,Workers!$A$5:$A$2004,0)),""))</f>
        <v/>
      </c>
      <c r="K2433" s="24" t="str">
        <f aca="false">IF($D2433="","",IFERROR(IF(INDEX(Workers!$D$5:$D$2004,MATCH($D2433,Workers!$A$5:$A$2004,0))=0,"",INDEX(Workers!$D$5:$D$2004,MATCH($D2433,Workers!$A$5:$A$2004,0))),""))</f>
        <v/>
      </c>
      <c r="L2433" s="24" t="str">
        <f aca="false">IF($D2433="","",IFERROR(INDEX(Workers!$E$5:$E$2004,MATCH($D2433,Workers!$A$5:$A$2004,0)),""))</f>
        <v/>
      </c>
      <c r="M2433" s="26" t="str">
        <f aca="false">IF($D2433="","",IFERROR(INDEX(ClientRates!$D$5:$D$500,MATCH($B2433&amp;"|"&amp;$L2433,ClientRates!$A$5:$A$500,0)),0))</f>
        <v/>
      </c>
      <c r="N2433" s="26" t="str">
        <f aca="false">IF($D2433="","",IFERROR(INDEX(ClientRates!$E$5:$E$500,MATCH($B2433&amp;"|"&amp;$L2433,ClientRates!$A$5:$A$500,0)),0))</f>
        <v/>
      </c>
      <c r="O2433" s="26" t="str">
        <f aca="false">IF($D2433="","",F2433*M2433+G2433*N2433)</f>
        <v/>
      </c>
      <c r="P2433" s="26" t="str">
        <f aca="false">IF(OR($D2433="",$J2433&lt;&gt;"Supplier"),"",IFERROR(INDEX(SupplierRates!$D$5:$D$500,MATCH($K2433&amp;"|"&amp;$L2433,SupplierRates!$A$5:$A$500,0)),0))</f>
        <v/>
      </c>
      <c r="Q2433" s="26" t="str">
        <f aca="false">IF(OR($D2433="",$J2433&lt;&gt;"Supplier"),"",IFERROR(INDEX(SupplierRates!$E$5:$E$500,MATCH($K2433&amp;"|"&amp;$L2433,SupplierRates!$A$5:$A$500,0)),0))</f>
        <v/>
      </c>
      <c r="R2433" s="26" t="n">
        <f aca="false">IF(OR($D2433="",$J2433&lt;&gt;"Supplier"),0,F2433*P2433+G2433*Q2433)</f>
        <v>0</v>
      </c>
      <c r="S2433" s="26" t="n">
        <f aca="false">IF(OR($D2433="",$J2433&lt;&gt;"Own"),0,IFERROR((F2433+G2433*Settings!$B$13)*INDEX(Workers!$V$5:$V$2004,MATCH($D2433,Workers!$A$5:$A$2004,0)),0))</f>
        <v>0</v>
      </c>
      <c r="T2433" s="26" t="str">
        <f aca="false">IF($D2433="","",O2433-R2433-S2433)</f>
        <v/>
      </c>
    </row>
    <row r="2434" customFormat="false" ht="15" hidden="false" customHeight="false" outlineLevel="0" collapsed="false">
      <c r="I2434" s="24" t="str">
        <f aca="false">IF($D2434="","",IFERROR(INDEX(Workers!$B$5:$B$2004,MATCH($D2434,Workers!$A$5:$A$2004,0)),"NOT FOUND"))</f>
        <v/>
      </c>
      <c r="J2434" s="24" t="str">
        <f aca="false">IF($D2434="","",IFERROR(INDEX(Workers!$C$5:$C$2004,MATCH($D2434,Workers!$A$5:$A$2004,0)),""))</f>
        <v/>
      </c>
      <c r="K2434" s="24" t="str">
        <f aca="false">IF($D2434="","",IFERROR(IF(INDEX(Workers!$D$5:$D$2004,MATCH($D2434,Workers!$A$5:$A$2004,0))=0,"",INDEX(Workers!$D$5:$D$2004,MATCH($D2434,Workers!$A$5:$A$2004,0))),""))</f>
        <v/>
      </c>
      <c r="L2434" s="24" t="str">
        <f aca="false">IF($D2434="","",IFERROR(INDEX(Workers!$E$5:$E$2004,MATCH($D2434,Workers!$A$5:$A$2004,0)),""))</f>
        <v/>
      </c>
      <c r="M2434" s="26" t="str">
        <f aca="false">IF($D2434="","",IFERROR(INDEX(ClientRates!$D$5:$D$500,MATCH($B2434&amp;"|"&amp;$L2434,ClientRates!$A$5:$A$500,0)),0))</f>
        <v/>
      </c>
      <c r="N2434" s="26" t="str">
        <f aca="false">IF($D2434="","",IFERROR(INDEX(ClientRates!$E$5:$E$500,MATCH($B2434&amp;"|"&amp;$L2434,ClientRates!$A$5:$A$500,0)),0))</f>
        <v/>
      </c>
      <c r="O2434" s="26" t="str">
        <f aca="false">IF($D2434="","",F2434*M2434+G2434*N2434)</f>
        <v/>
      </c>
      <c r="P2434" s="26" t="str">
        <f aca="false">IF(OR($D2434="",$J2434&lt;&gt;"Supplier"),"",IFERROR(INDEX(SupplierRates!$D$5:$D$500,MATCH($K2434&amp;"|"&amp;$L2434,SupplierRates!$A$5:$A$500,0)),0))</f>
        <v/>
      </c>
      <c r="Q2434" s="26" t="str">
        <f aca="false">IF(OR($D2434="",$J2434&lt;&gt;"Supplier"),"",IFERROR(INDEX(SupplierRates!$E$5:$E$500,MATCH($K2434&amp;"|"&amp;$L2434,SupplierRates!$A$5:$A$500,0)),0))</f>
        <v/>
      </c>
      <c r="R2434" s="26" t="n">
        <f aca="false">IF(OR($D2434="",$J2434&lt;&gt;"Supplier"),0,F2434*P2434+G2434*Q2434)</f>
        <v>0</v>
      </c>
      <c r="S2434" s="26" t="n">
        <f aca="false">IF(OR($D2434="",$J2434&lt;&gt;"Own"),0,IFERROR((F2434+G2434*Settings!$B$13)*INDEX(Workers!$V$5:$V$2004,MATCH($D2434,Workers!$A$5:$A$2004,0)),0))</f>
        <v>0</v>
      </c>
      <c r="T2434" s="26" t="str">
        <f aca="false">IF($D2434="","",O2434-R2434-S2434)</f>
        <v/>
      </c>
    </row>
    <row r="2435" customFormat="false" ht="15" hidden="false" customHeight="false" outlineLevel="0" collapsed="false">
      <c r="I2435" s="24" t="str">
        <f aca="false">IF($D2435="","",IFERROR(INDEX(Workers!$B$5:$B$2004,MATCH($D2435,Workers!$A$5:$A$2004,0)),"NOT FOUND"))</f>
        <v/>
      </c>
      <c r="J2435" s="24" t="str">
        <f aca="false">IF($D2435="","",IFERROR(INDEX(Workers!$C$5:$C$2004,MATCH($D2435,Workers!$A$5:$A$2004,0)),""))</f>
        <v/>
      </c>
      <c r="K2435" s="24" t="str">
        <f aca="false">IF($D2435="","",IFERROR(IF(INDEX(Workers!$D$5:$D$2004,MATCH($D2435,Workers!$A$5:$A$2004,0))=0,"",INDEX(Workers!$D$5:$D$2004,MATCH($D2435,Workers!$A$5:$A$2004,0))),""))</f>
        <v/>
      </c>
      <c r="L2435" s="24" t="str">
        <f aca="false">IF($D2435="","",IFERROR(INDEX(Workers!$E$5:$E$2004,MATCH($D2435,Workers!$A$5:$A$2004,0)),""))</f>
        <v/>
      </c>
      <c r="M2435" s="26" t="str">
        <f aca="false">IF($D2435="","",IFERROR(INDEX(ClientRates!$D$5:$D$500,MATCH($B2435&amp;"|"&amp;$L2435,ClientRates!$A$5:$A$500,0)),0))</f>
        <v/>
      </c>
      <c r="N2435" s="26" t="str">
        <f aca="false">IF($D2435="","",IFERROR(INDEX(ClientRates!$E$5:$E$500,MATCH($B2435&amp;"|"&amp;$L2435,ClientRates!$A$5:$A$500,0)),0))</f>
        <v/>
      </c>
      <c r="O2435" s="26" t="str">
        <f aca="false">IF($D2435="","",F2435*M2435+G2435*N2435)</f>
        <v/>
      </c>
      <c r="P2435" s="26" t="str">
        <f aca="false">IF(OR($D2435="",$J2435&lt;&gt;"Supplier"),"",IFERROR(INDEX(SupplierRates!$D$5:$D$500,MATCH($K2435&amp;"|"&amp;$L2435,SupplierRates!$A$5:$A$500,0)),0))</f>
        <v/>
      </c>
      <c r="Q2435" s="26" t="str">
        <f aca="false">IF(OR($D2435="",$J2435&lt;&gt;"Supplier"),"",IFERROR(INDEX(SupplierRates!$E$5:$E$500,MATCH($K2435&amp;"|"&amp;$L2435,SupplierRates!$A$5:$A$500,0)),0))</f>
        <v/>
      </c>
      <c r="R2435" s="26" t="n">
        <f aca="false">IF(OR($D2435="",$J2435&lt;&gt;"Supplier"),0,F2435*P2435+G2435*Q2435)</f>
        <v>0</v>
      </c>
      <c r="S2435" s="26" t="n">
        <f aca="false">IF(OR($D2435="",$J2435&lt;&gt;"Own"),0,IFERROR((F2435+G2435*Settings!$B$13)*INDEX(Workers!$V$5:$V$2004,MATCH($D2435,Workers!$A$5:$A$2004,0)),0))</f>
        <v>0</v>
      </c>
      <c r="T2435" s="26" t="str">
        <f aca="false">IF($D2435="","",O2435-R2435-S2435)</f>
        <v/>
      </c>
    </row>
    <row r="2436" customFormat="false" ht="15" hidden="false" customHeight="false" outlineLevel="0" collapsed="false">
      <c r="I2436" s="24" t="str">
        <f aca="false">IF($D2436="","",IFERROR(INDEX(Workers!$B$5:$B$2004,MATCH($D2436,Workers!$A$5:$A$2004,0)),"NOT FOUND"))</f>
        <v/>
      </c>
      <c r="J2436" s="24" t="str">
        <f aca="false">IF($D2436="","",IFERROR(INDEX(Workers!$C$5:$C$2004,MATCH($D2436,Workers!$A$5:$A$2004,0)),""))</f>
        <v/>
      </c>
      <c r="K2436" s="24" t="str">
        <f aca="false">IF($D2436="","",IFERROR(IF(INDEX(Workers!$D$5:$D$2004,MATCH($D2436,Workers!$A$5:$A$2004,0))=0,"",INDEX(Workers!$D$5:$D$2004,MATCH($D2436,Workers!$A$5:$A$2004,0))),""))</f>
        <v/>
      </c>
      <c r="L2436" s="24" t="str">
        <f aca="false">IF($D2436="","",IFERROR(INDEX(Workers!$E$5:$E$2004,MATCH($D2436,Workers!$A$5:$A$2004,0)),""))</f>
        <v/>
      </c>
      <c r="M2436" s="26" t="str">
        <f aca="false">IF($D2436="","",IFERROR(INDEX(ClientRates!$D$5:$D$500,MATCH($B2436&amp;"|"&amp;$L2436,ClientRates!$A$5:$A$500,0)),0))</f>
        <v/>
      </c>
      <c r="N2436" s="26" t="str">
        <f aca="false">IF($D2436="","",IFERROR(INDEX(ClientRates!$E$5:$E$500,MATCH($B2436&amp;"|"&amp;$L2436,ClientRates!$A$5:$A$500,0)),0))</f>
        <v/>
      </c>
      <c r="O2436" s="26" t="str">
        <f aca="false">IF($D2436="","",F2436*M2436+G2436*N2436)</f>
        <v/>
      </c>
      <c r="P2436" s="26" t="str">
        <f aca="false">IF(OR($D2436="",$J2436&lt;&gt;"Supplier"),"",IFERROR(INDEX(SupplierRates!$D$5:$D$500,MATCH($K2436&amp;"|"&amp;$L2436,SupplierRates!$A$5:$A$500,0)),0))</f>
        <v/>
      </c>
      <c r="Q2436" s="26" t="str">
        <f aca="false">IF(OR($D2436="",$J2436&lt;&gt;"Supplier"),"",IFERROR(INDEX(SupplierRates!$E$5:$E$500,MATCH($K2436&amp;"|"&amp;$L2436,SupplierRates!$A$5:$A$500,0)),0))</f>
        <v/>
      </c>
      <c r="R2436" s="26" t="n">
        <f aca="false">IF(OR($D2436="",$J2436&lt;&gt;"Supplier"),0,F2436*P2436+G2436*Q2436)</f>
        <v>0</v>
      </c>
      <c r="S2436" s="26" t="n">
        <f aca="false">IF(OR($D2436="",$J2436&lt;&gt;"Own"),0,IFERROR((F2436+G2436*Settings!$B$13)*INDEX(Workers!$V$5:$V$2004,MATCH($D2436,Workers!$A$5:$A$2004,0)),0))</f>
        <v>0</v>
      </c>
      <c r="T2436" s="26" t="str">
        <f aca="false">IF($D2436="","",O2436-R2436-S2436)</f>
        <v/>
      </c>
    </row>
    <row r="2437" customFormat="false" ht="15" hidden="false" customHeight="false" outlineLevel="0" collapsed="false">
      <c r="I2437" s="24" t="str">
        <f aca="false">IF($D2437="","",IFERROR(INDEX(Workers!$B$5:$B$2004,MATCH($D2437,Workers!$A$5:$A$2004,0)),"NOT FOUND"))</f>
        <v/>
      </c>
      <c r="J2437" s="24" t="str">
        <f aca="false">IF($D2437="","",IFERROR(INDEX(Workers!$C$5:$C$2004,MATCH($D2437,Workers!$A$5:$A$2004,0)),""))</f>
        <v/>
      </c>
      <c r="K2437" s="24" t="str">
        <f aca="false">IF($D2437="","",IFERROR(IF(INDEX(Workers!$D$5:$D$2004,MATCH($D2437,Workers!$A$5:$A$2004,0))=0,"",INDEX(Workers!$D$5:$D$2004,MATCH($D2437,Workers!$A$5:$A$2004,0))),""))</f>
        <v/>
      </c>
      <c r="L2437" s="24" t="str">
        <f aca="false">IF($D2437="","",IFERROR(INDEX(Workers!$E$5:$E$2004,MATCH($D2437,Workers!$A$5:$A$2004,0)),""))</f>
        <v/>
      </c>
      <c r="M2437" s="26" t="str">
        <f aca="false">IF($D2437="","",IFERROR(INDEX(ClientRates!$D$5:$D$500,MATCH($B2437&amp;"|"&amp;$L2437,ClientRates!$A$5:$A$500,0)),0))</f>
        <v/>
      </c>
      <c r="N2437" s="26" t="str">
        <f aca="false">IF($D2437="","",IFERROR(INDEX(ClientRates!$E$5:$E$500,MATCH($B2437&amp;"|"&amp;$L2437,ClientRates!$A$5:$A$500,0)),0))</f>
        <v/>
      </c>
      <c r="O2437" s="26" t="str">
        <f aca="false">IF($D2437="","",F2437*M2437+G2437*N2437)</f>
        <v/>
      </c>
      <c r="P2437" s="26" t="str">
        <f aca="false">IF(OR($D2437="",$J2437&lt;&gt;"Supplier"),"",IFERROR(INDEX(SupplierRates!$D$5:$D$500,MATCH($K2437&amp;"|"&amp;$L2437,SupplierRates!$A$5:$A$500,0)),0))</f>
        <v/>
      </c>
      <c r="Q2437" s="26" t="str">
        <f aca="false">IF(OR($D2437="",$J2437&lt;&gt;"Supplier"),"",IFERROR(INDEX(SupplierRates!$E$5:$E$500,MATCH($K2437&amp;"|"&amp;$L2437,SupplierRates!$A$5:$A$500,0)),0))</f>
        <v/>
      </c>
      <c r="R2437" s="26" t="n">
        <f aca="false">IF(OR($D2437="",$J2437&lt;&gt;"Supplier"),0,F2437*P2437+G2437*Q2437)</f>
        <v>0</v>
      </c>
      <c r="S2437" s="26" t="n">
        <f aca="false">IF(OR($D2437="",$J2437&lt;&gt;"Own"),0,IFERROR((F2437+G2437*Settings!$B$13)*INDEX(Workers!$V$5:$V$2004,MATCH($D2437,Workers!$A$5:$A$2004,0)),0))</f>
        <v>0</v>
      </c>
      <c r="T2437" s="26" t="str">
        <f aca="false">IF($D2437="","",O2437-R2437-S2437)</f>
        <v/>
      </c>
    </row>
    <row r="2438" customFormat="false" ht="15" hidden="false" customHeight="false" outlineLevel="0" collapsed="false">
      <c r="I2438" s="24" t="str">
        <f aca="false">IF($D2438="","",IFERROR(INDEX(Workers!$B$5:$B$2004,MATCH($D2438,Workers!$A$5:$A$2004,0)),"NOT FOUND"))</f>
        <v/>
      </c>
      <c r="J2438" s="24" t="str">
        <f aca="false">IF($D2438="","",IFERROR(INDEX(Workers!$C$5:$C$2004,MATCH($D2438,Workers!$A$5:$A$2004,0)),""))</f>
        <v/>
      </c>
      <c r="K2438" s="24" t="str">
        <f aca="false">IF($D2438="","",IFERROR(IF(INDEX(Workers!$D$5:$D$2004,MATCH($D2438,Workers!$A$5:$A$2004,0))=0,"",INDEX(Workers!$D$5:$D$2004,MATCH($D2438,Workers!$A$5:$A$2004,0))),""))</f>
        <v/>
      </c>
      <c r="L2438" s="24" t="str">
        <f aca="false">IF($D2438="","",IFERROR(INDEX(Workers!$E$5:$E$2004,MATCH($D2438,Workers!$A$5:$A$2004,0)),""))</f>
        <v/>
      </c>
      <c r="M2438" s="26" t="str">
        <f aca="false">IF($D2438="","",IFERROR(INDEX(ClientRates!$D$5:$D$500,MATCH($B2438&amp;"|"&amp;$L2438,ClientRates!$A$5:$A$500,0)),0))</f>
        <v/>
      </c>
      <c r="N2438" s="26" t="str">
        <f aca="false">IF($D2438="","",IFERROR(INDEX(ClientRates!$E$5:$E$500,MATCH($B2438&amp;"|"&amp;$L2438,ClientRates!$A$5:$A$500,0)),0))</f>
        <v/>
      </c>
      <c r="O2438" s="26" t="str">
        <f aca="false">IF($D2438="","",F2438*M2438+G2438*N2438)</f>
        <v/>
      </c>
      <c r="P2438" s="26" t="str">
        <f aca="false">IF(OR($D2438="",$J2438&lt;&gt;"Supplier"),"",IFERROR(INDEX(SupplierRates!$D$5:$D$500,MATCH($K2438&amp;"|"&amp;$L2438,SupplierRates!$A$5:$A$500,0)),0))</f>
        <v/>
      </c>
      <c r="Q2438" s="26" t="str">
        <f aca="false">IF(OR($D2438="",$J2438&lt;&gt;"Supplier"),"",IFERROR(INDEX(SupplierRates!$E$5:$E$500,MATCH($K2438&amp;"|"&amp;$L2438,SupplierRates!$A$5:$A$500,0)),0))</f>
        <v/>
      </c>
      <c r="R2438" s="26" t="n">
        <f aca="false">IF(OR($D2438="",$J2438&lt;&gt;"Supplier"),0,F2438*P2438+G2438*Q2438)</f>
        <v>0</v>
      </c>
      <c r="S2438" s="26" t="n">
        <f aca="false">IF(OR($D2438="",$J2438&lt;&gt;"Own"),0,IFERROR((F2438+G2438*Settings!$B$13)*INDEX(Workers!$V$5:$V$2004,MATCH($D2438,Workers!$A$5:$A$2004,0)),0))</f>
        <v>0</v>
      </c>
      <c r="T2438" s="26" t="str">
        <f aca="false">IF($D2438="","",O2438-R2438-S2438)</f>
        <v/>
      </c>
    </row>
    <row r="2439" customFormat="false" ht="15" hidden="false" customHeight="false" outlineLevel="0" collapsed="false">
      <c r="I2439" s="24" t="str">
        <f aca="false">IF($D2439="","",IFERROR(INDEX(Workers!$B$5:$B$2004,MATCH($D2439,Workers!$A$5:$A$2004,0)),"NOT FOUND"))</f>
        <v/>
      </c>
      <c r="J2439" s="24" t="str">
        <f aca="false">IF($D2439="","",IFERROR(INDEX(Workers!$C$5:$C$2004,MATCH($D2439,Workers!$A$5:$A$2004,0)),""))</f>
        <v/>
      </c>
      <c r="K2439" s="24" t="str">
        <f aca="false">IF($D2439="","",IFERROR(IF(INDEX(Workers!$D$5:$D$2004,MATCH($D2439,Workers!$A$5:$A$2004,0))=0,"",INDEX(Workers!$D$5:$D$2004,MATCH($D2439,Workers!$A$5:$A$2004,0))),""))</f>
        <v/>
      </c>
      <c r="L2439" s="24" t="str">
        <f aca="false">IF($D2439="","",IFERROR(INDEX(Workers!$E$5:$E$2004,MATCH($D2439,Workers!$A$5:$A$2004,0)),""))</f>
        <v/>
      </c>
      <c r="M2439" s="26" t="str">
        <f aca="false">IF($D2439="","",IFERROR(INDEX(ClientRates!$D$5:$D$500,MATCH($B2439&amp;"|"&amp;$L2439,ClientRates!$A$5:$A$500,0)),0))</f>
        <v/>
      </c>
      <c r="N2439" s="26" t="str">
        <f aca="false">IF($D2439="","",IFERROR(INDEX(ClientRates!$E$5:$E$500,MATCH($B2439&amp;"|"&amp;$L2439,ClientRates!$A$5:$A$500,0)),0))</f>
        <v/>
      </c>
      <c r="O2439" s="26" t="str">
        <f aca="false">IF($D2439="","",F2439*M2439+G2439*N2439)</f>
        <v/>
      </c>
      <c r="P2439" s="26" t="str">
        <f aca="false">IF(OR($D2439="",$J2439&lt;&gt;"Supplier"),"",IFERROR(INDEX(SupplierRates!$D$5:$D$500,MATCH($K2439&amp;"|"&amp;$L2439,SupplierRates!$A$5:$A$500,0)),0))</f>
        <v/>
      </c>
      <c r="Q2439" s="26" t="str">
        <f aca="false">IF(OR($D2439="",$J2439&lt;&gt;"Supplier"),"",IFERROR(INDEX(SupplierRates!$E$5:$E$500,MATCH($K2439&amp;"|"&amp;$L2439,SupplierRates!$A$5:$A$500,0)),0))</f>
        <v/>
      </c>
      <c r="R2439" s="26" t="n">
        <f aca="false">IF(OR($D2439="",$J2439&lt;&gt;"Supplier"),0,F2439*P2439+G2439*Q2439)</f>
        <v>0</v>
      </c>
      <c r="S2439" s="26" t="n">
        <f aca="false">IF(OR($D2439="",$J2439&lt;&gt;"Own"),0,IFERROR((F2439+G2439*Settings!$B$13)*INDEX(Workers!$V$5:$V$2004,MATCH($D2439,Workers!$A$5:$A$2004,0)),0))</f>
        <v>0</v>
      </c>
      <c r="T2439" s="26" t="str">
        <f aca="false">IF($D2439="","",O2439-R2439-S2439)</f>
        <v/>
      </c>
    </row>
    <row r="2440" customFormat="false" ht="15" hidden="false" customHeight="false" outlineLevel="0" collapsed="false">
      <c r="I2440" s="24" t="str">
        <f aca="false">IF($D2440="","",IFERROR(INDEX(Workers!$B$5:$B$2004,MATCH($D2440,Workers!$A$5:$A$2004,0)),"NOT FOUND"))</f>
        <v/>
      </c>
      <c r="J2440" s="24" t="str">
        <f aca="false">IF($D2440="","",IFERROR(INDEX(Workers!$C$5:$C$2004,MATCH($D2440,Workers!$A$5:$A$2004,0)),""))</f>
        <v/>
      </c>
      <c r="K2440" s="24" t="str">
        <f aca="false">IF($D2440="","",IFERROR(IF(INDEX(Workers!$D$5:$D$2004,MATCH($D2440,Workers!$A$5:$A$2004,0))=0,"",INDEX(Workers!$D$5:$D$2004,MATCH($D2440,Workers!$A$5:$A$2004,0))),""))</f>
        <v/>
      </c>
      <c r="L2440" s="24" t="str">
        <f aca="false">IF($D2440="","",IFERROR(INDEX(Workers!$E$5:$E$2004,MATCH($D2440,Workers!$A$5:$A$2004,0)),""))</f>
        <v/>
      </c>
      <c r="M2440" s="26" t="str">
        <f aca="false">IF($D2440="","",IFERROR(INDEX(ClientRates!$D$5:$D$500,MATCH($B2440&amp;"|"&amp;$L2440,ClientRates!$A$5:$A$500,0)),0))</f>
        <v/>
      </c>
      <c r="N2440" s="26" t="str">
        <f aca="false">IF($D2440="","",IFERROR(INDEX(ClientRates!$E$5:$E$500,MATCH($B2440&amp;"|"&amp;$L2440,ClientRates!$A$5:$A$500,0)),0))</f>
        <v/>
      </c>
      <c r="O2440" s="26" t="str">
        <f aca="false">IF($D2440="","",F2440*M2440+G2440*N2440)</f>
        <v/>
      </c>
      <c r="P2440" s="26" t="str">
        <f aca="false">IF(OR($D2440="",$J2440&lt;&gt;"Supplier"),"",IFERROR(INDEX(SupplierRates!$D$5:$D$500,MATCH($K2440&amp;"|"&amp;$L2440,SupplierRates!$A$5:$A$500,0)),0))</f>
        <v/>
      </c>
      <c r="Q2440" s="26" t="str">
        <f aca="false">IF(OR($D2440="",$J2440&lt;&gt;"Supplier"),"",IFERROR(INDEX(SupplierRates!$E$5:$E$500,MATCH($K2440&amp;"|"&amp;$L2440,SupplierRates!$A$5:$A$500,0)),0))</f>
        <v/>
      </c>
      <c r="R2440" s="26" t="n">
        <f aca="false">IF(OR($D2440="",$J2440&lt;&gt;"Supplier"),0,F2440*P2440+G2440*Q2440)</f>
        <v>0</v>
      </c>
      <c r="S2440" s="26" t="n">
        <f aca="false">IF(OR($D2440="",$J2440&lt;&gt;"Own"),0,IFERROR((F2440+G2440*Settings!$B$13)*INDEX(Workers!$V$5:$V$2004,MATCH($D2440,Workers!$A$5:$A$2004,0)),0))</f>
        <v>0</v>
      </c>
      <c r="T2440" s="26" t="str">
        <f aca="false">IF($D2440="","",O2440-R2440-S2440)</f>
        <v/>
      </c>
    </row>
    <row r="2441" customFormat="false" ht="15" hidden="false" customHeight="false" outlineLevel="0" collapsed="false">
      <c r="I2441" s="24" t="str">
        <f aca="false">IF($D2441="","",IFERROR(INDEX(Workers!$B$5:$B$2004,MATCH($D2441,Workers!$A$5:$A$2004,0)),"NOT FOUND"))</f>
        <v/>
      </c>
      <c r="J2441" s="24" t="str">
        <f aca="false">IF($D2441="","",IFERROR(INDEX(Workers!$C$5:$C$2004,MATCH($D2441,Workers!$A$5:$A$2004,0)),""))</f>
        <v/>
      </c>
      <c r="K2441" s="24" t="str">
        <f aca="false">IF($D2441="","",IFERROR(IF(INDEX(Workers!$D$5:$D$2004,MATCH($D2441,Workers!$A$5:$A$2004,0))=0,"",INDEX(Workers!$D$5:$D$2004,MATCH($D2441,Workers!$A$5:$A$2004,0))),""))</f>
        <v/>
      </c>
      <c r="L2441" s="24" t="str">
        <f aca="false">IF($D2441="","",IFERROR(INDEX(Workers!$E$5:$E$2004,MATCH($D2441,Workers!$A$5:$A$2004,0)),""))</f>
        <v/>
      </c>
      <c r="M2441" s="26" t="str">
        <f aca="false">IF($D2441="","",IFERROR(INDEX(ClientRates!$D$5:$D$500,MATCH($B2441&amp;"|"&amp;$L2441,ClientRates!$A$5:$A$500,0)),0))</f>
        <v/>
      </c>
      <c r="N2441" s="26" t="str">
        <f aca="false">IF($D2441="","",IFERROR(INDEX(ClientRates!$E$5:$E$500,MATCH($B2441&amp;"|"&amp;$L2441,ClientRates!$A$5:$A$500,0)),0))</f>
        <v/>
      </c>
      <c r="O2441" s="26" t="str">
        <f aca="false">IF($D2441="","",F2441*M2441+G2441*N2441)</f>
        <v/>
      </c>
      <c r="P2441" s="26" t="str">
        <f aca="false">IF(OR($D2441="",$J2441&lt;&gt;"Supplier"),"",IFERROR(INDEX(SupplierRates!$D$5:$D$500,MATCH($K2441&amp;"|"&amp;$L2441,SupplierRates!$A$5:$A$500,0)),0))</f>
        <v/>
      </c>
      <c r="Q2441" s="26" t="str">
        <f aca="false">IF(OR($D2441="",$J2441&lt;&gt;"Supplier"),"",IFERROR(INDEX(SupplierRates!$E$5:$E$500,MATCH($K2441&amp;"|"&amp;$L2441,SupplierRates!$A$5:$A$500,0)),0))</f>
        <v/>
      </c>
      <c r="R2441" s="26" t="n">
        <f aca="false">IF(OR($D2441="",$J2441&lt;&gt;"Supplier"),0,F2441*P2441+G2441*Q2441)</f>
        <v>0</v>
      </c>
      <c r="S2441" s="26" t="n">
        <f aca="false">IF(OR($D2441="",$J2441&lt;&gt;"Own"),0,IFERROR((F2441+G2441*Settings!$B$13)*INDEX(Workers!$V$5:$V$2004,MATCH($D2441,Workers!$A$5:$A$2004,0)),0))</f>
        <v>0</v>
      </c>
      <c r="T2441" s="26" t="str">
        <f aca="false">IF($D2441="","",O2441-R2441-S2441)</f>
        <v/>
      </c>
    </row>
    <row r="2442" customFormat="false" ht="15" hidden="false" customHeight="false" outlineLevel="0" collapsed="false">
      <c r="I2442" s="24" t="str">
        <f aca="false">IF($D2442="","",IFERROR(INDEX(Workers!$B$5:$B$2004,MATCH($D2442,Workers!$A$5:$A$2004,0)),"NOT FOUND"))</f>
        <v/>
      </c>
      <c r="J2442" s="24" t="str">
        <f aca="false">IF($D2442="","",IFERROR(INDEX(Workers!$C$5:$C$2004,MATCH($D2442,Workers!$A$5:$A$2004,0)),""))</f>
        <v/>
      </c>
      <c r="K2442" s="24" t="str">
        <f aca="false">IF($D2442="","",IFERROR(IF(INDEX(Workers!$D$5:$D$2004,MATCH($D2442,Workers!$A$5:$A$2004,0))=0,"",INDEX(Workers!$D$5:$D$2004,MATCH($D2442,Workers!$A$5:$A$2004,0))),""))</f>
        <v/>
      </c>
      <c r="L2442" s="24" t="str">
        <f aca="false">IF($D2442="","",IFERROR(INDEX(Workers!$E$5:$E$2004,MATCH($D2442,Workers!$A$5:$A$2004,0)),""))</f>
        <v/>
      </c>
      <c r="M2442" s="26" t="str">
        <f aca="false">IF($D2442="","",IFERROR(INDEX(ClientRates!$D$5:$D$500,MATCH($B2442&amp;"|"&amp;$L2442,ClientRates!$A$5:$A$500,0)),0))</f>
        <v/>
      </c>
      <c r="N2442" s="26" t="str">
        <f aca="false">IF($D2442="","",IFERROR(INDEX(ClientRates!$E$5:$E$500,MATCH($B2442&amp;"|"&amp;$L2442,ClientRates!$A$5:$A$500,0)),0))</f>
        <v/>
      </c>
      <c r="O2442" s="26" t="str">
        <f aca="false">IF($D2442="","",F2442*M2442+G2442*N2442)</f>
        <v/>
      </c>
      <c r="P2442" s="26" t="str">
        <f aca="false">IF(OR($D2442="",$J2442&lt;&gt;"Supplier"),"",IFERROR(INDEX(SupplierRates!$D$5:$D$500,MATCH($K2442&amp;"|"&amp;$L2442,SupplierRates!$A$5:$A$500,0)),0))</f>
        <v/>
      </c>
      <c r="Q2442" s="26" t="str">
        <f aca="false">IF(OR($D2442="",$J2442&lt;&gt;"Supplier"),"",IFERROR(INDEX(SupplierRates!$E$5:$E$500,MATCH($K2442&amp;"|"&amp;$L2442,SupplierRates!$A$5:$A$500,0)),0))</f>
        <v/>
      </c>
      <c r="R2442" s="26" t="n">
        <f aca="false">IF(OR($D2442="",$J2442&lt;&gt;"Supplier"),0,F2442*P2442+G2442*Q2442)</f>
        <v>0</v>
      </c>
      <c r="S2442" s="26" t="n">
        <f aca="false">IF(OR($D2442="",$J2442&lt;&gt;"Own"),0,IFERROR((F2442+G2442*Settings!$B$13)*INDEX(Workers!$V$5:$V$2004,MATCH($D2442,Workers!$A$5:$A$2004,0)),0))</f>
        <v>0</v>
      </c>
      <c r="T2442" s="26" t="str">
        <f aca="false">IF($D2442="","",O2442-R2442-S2442)</f>
        <v/>
      </c>
    </row>
    <row r="2443" customFormat="false" ht="15" hidden="false" customHeight="false" outlineLevel="0" collapsed="false">
      <c r="I2443" s="24" t="str">
        <f aca="false">IF($D2443="","",IFERROR(INDEX(Workers!$B$5:$B$2004,MATCH($D2443,Workers!$A$5:$A$2004,0)),"NOT FOUND"))</f>
        <v/>
      </c>
      <c r="J2443" s="24" t="str">
        <f aca="false">IF($D2443="","",IFERROR(INDEX(Workers!$C$5:$C$2004,MATCH($D2443,Workers!$A$5:$A$2004,0)),""))</f>
        <v/>
      </c>
      <c r="K2443" s="24" t="str">
        <f aca="false">IF($D2443="","",IFERROR(IF(INDEX(Workers!$D$5:$D$2004,MATCH($D2443,Workers!$A$5:$A$2004,0))=0,"",INDEX(Workers!$D$5:$D$2004,MATCH($D2443,Workers!$A$5:$A$2004,0))),""))</f>
        <v/>
      </c>
      <c r="L2443" s="24" t="str">
        <f aca="false">IF($D2443="","",IFERROR(INDEX(Workers!$E$5:$E$2004,MATCH($D2443,Workers!$A$5:$A$2004,0)),""))</f>
        <v/>
      </c>
      <c r="M2443" s="26" t="str">
        <f aca="false">IF($D2443="","",IFERROR(INDEX(ClientRates!$D$5:$D$500,MATCH($B2443&amp;"|"&amp;$L2443,ClientRates!$A$5:$A$500,0)),0))</f>
        <v/>
      </c>
      <c r="N2443" s="26" t="str">
        <f aca="false">IF($D2443="","",IFERROR(INDEX(ClientRates!$E$5:$E$500,MATCH($B2443&amp;"|"&amp;$L2443,ClientRates!$A$5:$A$500,0)),0))</f>
        <v/>
      </c>
      <c r="O2443" s="26" t="str">
        <f aca="false">IF($D2443="","",F2443*M2443+G2443*N2443)</f>
        <v/>
      </c>
      <c r="P2443" s="26" t="str">
        <f aca="false">IF(OR($D2443="",$J2443&lt;&gt;"Supplier"),"",IFERROR(INDEX(SupplierRates!$D$5:$D$500,MATCH($K2443&amp;"|"&amp;$L2443,SupplierRates!$A$5:$A$500,0)),0))</f>
        <v/>
      </c>
      <c r="Q2443" s="26" t="str">
        <f aca="false">IF(OR($D2443="",$J2443&lt;&gt;"Supplier"),"",IFERROR(INDEX(SupplierRates!$E$5:$E$500,MATCH($K2443&amp;"|"&amp;$L2443,SupplierRates!$A$5:$A$500,0)),0))</f>
        <v/>
      </c>
      <c r="R2443" s="26" t="n">
        <f aca="false">IF(OR($D2443="",$J2443&lt;&gt;"Supplier"),0,F2443*P2443+G2443*Q2443)</f>
        <v>0</v>
      </c>
      <c r="S2443" s="26" t="n">
        <f aca="false">IF(OR($D2443="",$J2443&lt;&gt;"Own"),0,IFERROR((F2443+G2443*Settings!$B$13)*INDEX(Workers!$V$5:$V$2004,MATCH($D2443,Workers!$A$5:$A$2004,0)),0))</f>
        <v>0</v>
      </c>
      <c r="T2443" s="26" t="str">
        <f aca="false">IF($D2443="","",O2443-R2443-S2443)</f>
        <v/>
      </c>
    </row>
    <row r="2444" customFormat="false" ht="15" hidden="false" customHeight="false" outlineLevel="0" collapsed="false">
      <c r="I2444" s="24" t="str">
        <f aca="false">IF($D2444="","",IFERROR(INDEX(Workers!$B$5:$B$2004,MATCH($D2444,Workers!$A$5:$A$2004,0)),"NOT FOUND"))</f>
        <v/>
      </c>
      <c r="J2444" s="24" t="str">
        <f aca="false">IF($D2444="","",IFERROR(INDEX(Workers!$C$5:$C$2004,MATCH($D2444,Workers!$A$5:$A$2004,0)),""))</f>
        <v/>
      </c>
      <c r="K2444" s="24" t="str">
        <f aca="false">IF($D2444="","",IFERROR(IF(INDEX(Workers!$D$5:$D$2004,MATCH($D2444,Workers!$A$5:$A$2004,0))=0,"",INDEX(Workers!$D$5:$D$2004,MATCH($D2444,Workers!$A$5:$A$2004,0))),""))</f>
        <v/>
      </c>
      <c r="L2444" s="24" t="str">
        <f aca="false">IF($D2444="","",IFERROR(INDEX(Workers!$E$5:$E$2004,MATCH($D2444,Workers!$A$5:$A$2004,0)),""))</f>
        <v/>
      </c>
      <c r="M2444" s="26" t="str">
        <f aca="false">IF($D2444="","",IFERROR(INDEX(ClientRates!$D$5:$D$500,MATCH($B2444&amp;"|"&amp;$L2444,ClientRates!$A$5:$A$500,0)),0))</f>
        <v/>
      </c>
      <c r="N2444" s="26" t="str">
        <f aca="false">IF($D2444="","",IFERROR(INDEX(ClientRates!$E$5:$E$500,MATCH($B2444&amp;"|"&amp;$L2444,ClientRates!$A$5:$A$500,0)),0))</f>
        <v/>
      </c>
      <c r="O2444" s="26" t="str">
        <f aca="false">IF($D2444="","",F2444*M2444+G2444*N2444)</f>
        <v/>
      </c>
      <c r="P2444" s="26" t="str">
        <f aca="false">IF(OR($D2444="",$J2444&lt;&gt;"Supplier"),"",IFERROR(INDEX(SupplierRates!$D$5:$D$500,MATCH($K2444&amp;"|"&amp;$L2444,SupplierRates!$A$5:$A$500,0)),0))</f>
        <v/>
      </c>
      <c r="Q2444" s="26" t="str">
        <f aca="false">IF(OR($D2444="",$J2444&lt;&gt;"Supplier"),"",IFERROR(INDEX(SupplierRates!$E$5:$E$500,MATCH($K2444&amp;"|"&amp;$L2444,SupplierRates!$A$5:$A$500,0)),0))</f>
        <v/>
      </c>
      <c r="R2444" s="26" t="n">
        <f aca="false">IF(OR($D2444="",$J2444&lt;&gt;"Supplier"),0,F2444*P2444+G2444*Q2444)</f>
        <v>0</v>
      </c>
      <c r="S2444" s="26" t="n">
        <f aca="false">IF(OR($D2444="",$J2444&lt;&gt;"Own"),0,IFERROR((F2444+G2444*Settings!$B$13)*INDEX(Workers!$V$5:$V$2004,MATCH($D2444,Workers!$A$5:$A$2004,0)),0))</f>
        <v>0</v>
      </c>
      <c r="T2444" s="26" t="str">
        <f aca="false">IF($D2444="","",O2444-R2444-S2444)</f>
        <v/>
      </c>
    </row>
    <row r="2445" customFormat="false" ht="15" hidden="false" customHeight="false" outlineLevel="0" collapsed="false">
      <c r="I2445" s="24" t="str">
        <f aca="false">IF($D2445="","",IFERROR(INDEX(Workers!$B$5:$B$2004,MATCH($D2445,Workers!$A$5:$A$2004,0)),"NOT FOUND"))</f>
        <v/>
      </c>
      <c r="J2445" s="24" t="str">
        <f aca="false">IF($D2445="","",IFERROR(INDEX(Workers!$C$5:$C$2004,MATCH($D2445,Workers!$A$5:$A$2004,0)),""))</f>
        <v/>
      </c>
      <c r="K2445" s="24" t="str">
        <f aca="false">IF($D2445="","",IFERROR(IF(INDEX(Workers!$D$5:$D$2004,MATCH($D2445,Workers!$A$5:$A$2004,0))=0,"",INDEX(Workers!$D$5:$D$2004,MATCH($D2445,Workers!$A$5:$A$2004,0))),""))</f>
        <v/>
      </c>
      <c r="L2445" s="24" t="str">
        <f aca="false">IF($D2445="","",IFERROR(INDEX(Workers!$E$5:$E$2004,MATCH($D2445,Workers!$A$5:$A$2004,0)),""))</f>
        <v/>
      </c>
      <c r="M2445" s="26" t="str">
        <f aca="false">IF($D2445="","",IFERROR(INDEX(ClientRates!$D$5:$D$500,MATCH($B2445&amp;"|"&amp;$L2445,ClientRates!$A$5:$A$500,0)),0))</f>
        <v/>
      </c>
      <c r="N2445" s="26" t="str">
        <f aca="false">IF($D2445="","",IFERROR(INDEX(ClientRates!$E$5:$E$500,MATCH($B2445&amp;"|"&amp;$L2445,ClientRates!$A$5:$A$500,0)),0))</f>
        <v/>
      </c>
      <c r="O2445" s="26" t="str">
        <f aca="false">IF($D2445="","",F2445*M2445+G2445*N2445)</f>
        <v/>
      </c>
      <c r="P2445" s="26" t="str">
        <f aca="false">IF(OR($D2445="",$J2445&lt;&gt;"Supplier"),"",IFERROR(INDEX(SupplierRates!$D$5:$D$500,MATCH($K2445&amp;"|"&amp;$L2445,SupplierRates!$A$5:$A$500,0)),0))</f>
        <v/>
      </c>
      <c r="Q2445" s="26" t="str">
        <f aca="false">IF(OR($D2445="",$J2445&lt;&gt;"Supplier"),"",IFERROR(INDEX(SupplierRates!$E$5:$E$500,MATCH($K2445&amp;"|"&amp;$L2445,SupplierRates!$A$5:$A$500,0)),0))</f>
        <v/>
      </c>
      <c r="R2445" s="26" t="n">
        <f aca="false">IF(OR($D2445="",$J2445&lt;&gt;"Supplier"),0,F2445*P2445+G2445*Q2445)</f>
        <v>0</v>
      </c>
      <c r="S2445" s="26" t="n">
        <f aca="false">IF(OR($D2445="",$J2445&lt;&gt;"Own"),0,IFERROR((F2445+G2445*Settings!$B$13)*INDEX(Workers!$V$5:$V$2004,MATCH($D2445,Workers!$A$5:$A$2004,0)),0))</f>
        <v>0</v>
      </c>
      <c r="T2445" s="26" t="str">
        <f aca="false">IF($D2445="","",O2445-R2445-S2445)</f>
        <v/>
      </c>
    </row>
    <row r="2446" customFormat="false" ht="15" hidden="false" customHeight="false" outlineLevel="0" collapsed="false">
      <c r="I2446" s="24" t="str">
        <f aca="false">IF($D2446="","",IFERROR(INDEX(Workers!$B$5:$B$2004,MATCH($D2446,Workers!$A$5:$A$2004,0)),"NOT FOUND"))</f>
        <v/>
      </c>
      <c r="J2446" s="24" t="str">
        <f aca="false">IF($D2446="","",IFERROR(INDEX(Workers!$C$5:$C$2004,MATCH($D2446,Workers!$A$5:$A$2004,0)),""))</f>
        <v/>
      </c>
      <c r="K2446" s="24" t="str">
        <f aca="false">IF($D2446="","",IFERROR(IF(INDEX(Workers!$D$5:$D$2004,MATCH($D2446,Workers!$A$5:$A$2004,0))=0,"",INDEX(Workers!$D$5:$D$2004,MATCH($D2446,Workers!$A$5:$A$2004,0))),""))</f>
        <v/>
      </c>
      <c r="L2446" s="24" t="str">
        <f aca="false">IF($D2446="","",IFERROR(INDEX(Workers!$E$5:$E$2004,MATCH($D2446,Workers!$A$5:$A$2004,0)),""))</f>
        <v/>
      </c>
      <c r="M2446" s="26" t="str">
        <f aca="false">IF($D2446="","",IFERROR(INDEX(ClientRates!$D$5:$D$500,MATCH($B2446&amp;"|"&amp;$L2446,ClientRates!$A$5:$A$500,0)),0))</f>
        <v/>
      </c>
      <c r="N2446" s="26" t="str">
        <f aca="false">IF($D2446="","",IFERROR(INDEX(ClientRates!$E$5:$E$500,MATCH($B2446&amp;"|"&amp;$L2446,ClientRates!$A$5:$A$500,0)),0))</f>
        <v/>
      </c>
      <c r="O2446" s="26" t="str">
        <f aca="false">IF($D2446="","",F2446*M2446+G2446*N2446)</f>
        <v/>
      </c>
      <c r="P2446" s="26" t="str">
        <f aca="false">IF(OR($D2446="",$J2446&lt;&gt;"Supplier"),"",IFERROR(INDEX(SupplierRates!$D$5:$D$500,MATCH($K2446&amp;"|"&amp;$L2446,SupplierRates!$A$5:$A$500,0)),0))</f>
        <v/>
      </c>
      <c r="Q2446" s="26" t="str">
        <f aca="false">IF(OR($D2446="",$J2446&lt;&gt;"Supplier"),"",IFERROR(INDEX(SupplierRates!$E$5:$E$500,MATCH($K2446&amp;"|"&amp;$L2446,SupplierRates!$A$5:$A$500,0)),0))</f>
        <v/>
      </c>
      <c r="R2446" s="26" t="n">
        <f aca="false">IF(OR($D2446="",$J2446&lt;&gt;"Supplier"),0,F2446*P2446+G2446*Q2446)</f>
        <v>0</v>
      </c>
      <c r="S2446" s="26" t="n">
        <f aca="false">IF(OR($D2446="",$J2446&lt;&gt;"Own"),0,IFERROR((F2446+G2446*Settings!$B$13)*INDEX(Workers!$V$5:$V$2004,MATCH($D2446,Workers!$A$5:$A$2004,0)),0))</f>
        <v>0</v>
      </c>
      <c r="T2446" s="26" t="str">
        <f aca="false">IF($D2446="","",O2446-R2446-S2446)</f>
        <v/>
      </c>
    </row>
    <row r="2447" customFormat="false" ht="15" hidden="false" customHeight="false" outlineLevel="0" collapsed="false">
      <c r="I2447" s="24" t="str">
        <f aca="false">IF($D2447="","",IFERROR(INDEX(Workers!$B$5:$B$2004,MATCH($D2447,Workers!$A$5:$A$2004,0)),"NOT FOUND"))</f>
        <v/>
      </c>
      <c r="J2447" s="24" t="str">
        <f aca="false">IF($D2447="","",IFERROR(INDEX(Workers!$C$5:$C$2004,MATCH($D2447,Workers!$A$5:$A$2004,0)),""))</f>
        <v/>
      </c>
      <c r="K2447" s="24" t="str">
        <f aca="false">IF($D2447="","",IFERROR(IF(INDEX(Workers!$D$5:$D$2004,MATCH($D2447,Workers!$A$5:$A$2004,0))=0,"",INDEX(Workers!$D$5:$D$2004,MATCH($D2447,Workers!$A$5:$A$2004,0))),""))</f>
        <v/>
      </c>
      <c r="L2447" s="24" t="str">
        <f aca="false">IF($D2447="","",IFERROR(INDEX(Workers!$E$5:$E$2004,MATCH($D2447,Workers!$A$5:$A$2004,0)),""))</f>
        <v/>
      </c>
      <c r="M2447" s="26" t="str">
        <f aca="false">IF($D2447="","",IFERROR(INDEX(ClientRates!$D$5:$D$500,MATCH($B2447&amp;"|"&amp;$L2447,ClientRates!$A$5:$A$500,0)),0))</f>
        <v/>
      </c>
      <c r="N2447" s="26" t="str">
        <f aca="false">IF($D2447="","",IFERROR(INDEX(ClientRates!$E$5:$E$500,MATCH($B2447&amp;"|"&amp;$L2447,ClientRates!$A$5:$A$500,0)),0))</f>
        <v/>
      </c>
      <c r="O2447" s="26" t="str">
        <f aca="false">IF($D2447="","",F2447*M2447+G2447*N2447)</f>
        <v/>
      </c>
      <c r="P2447" s="26" t="str">
        <f aca="false">IF(OR($D2447="",$J2447&lt;&gt;"Supplier"),"",IFERROR(INDEX(SupplierRates!$D$5:$D$500,MATCH($K2447&amp;"|"&amp;$L2447,SupplierRates!$A$5:$A$500,0)),0))</f>
        <v/>
      </c>
      <c r="Q2447" s="26" t="str">
        <f aca="false">IF(OR($D2447="",$J2447&lt;&gt;"Supplier"),"",IFERROR(INDEX(SupplierRates!$E$5:$E$500,MATCH($K2447&amp;"|"&amp;$L2447,SupplierRates!$A$5:$A$500,0)),0))</f>
        <v/>
      </c>
      <c r="R2447" s="26" t="n">
        <f aca="false">IF(OR($D2447="",$J2447&lt;&gt;"Supplier"),0,F2447*P2447+G2447*Q2447)</f>
        <v>0</v>
      </c>
      <c r="S2447" s="26" t="n">
        <f aca="false">IF(OR($D2447="",$J2447&lt;&gt;"Own"),0,IFERROR((F2447+G2447*Settings!$B$13)*INDEX(Workers!$V$5:$V$2004,MATCH($D2447,Workers!$A$5:$A$2004,0)),0))</f>
        <v>0</v>
      </c>
      <c r="T2447" s="26" t="str">
        <f aca="false">IF($D2447="","",O2447-R2447-S2447)</f>
        <v/>
      </c>
    </row>
    <row r="2448" customFormat="false" ht="15" hidden="false" customHeight="false" outlineLevel="0" collapsed="false">
      <c r="I2448" s="24" t="str">
        <f aca="false">IF($D2448="","",IFERROR(INDEX(Workers!$B$5:$B$2004,MATCH($D2448,Workers!$A$5:$A$2004,0)),"NOT FOUND"))</f>
        <v/>
      </c>
      <c r="J2448" s="24" t="str">
        <f aca="false">IF($D2448="","",IFERROR(INDEX(Workers!$C$5:$C$2004,MATCH($D2448,Workers!$A$5:$A$2004,0)),""))</f>
        <v/>
      </c>
      <c r="K2448" s="24" t="str">
        <f aca="false">IF($D2448="","",IFERROR(IF(INDEX(Workers!$D$5:$D$2004,MATCH($D2448,Workers!$A$5:$A$2004,0))=0,"",INDEX(Workers!$D$5:$D$2004,MATCH($D2448,Workers!$A$5:$A$2004,0))),""))</f>
        <v/>
      </c>
      <c r="L2448" s="24" t="str">
        <f aca="false">IF($D2448="","",IFERROR(INDEX(Workers!$E$5:$E$2004,MATCH($D2448,Workers!$A$5:$A$2004,0)),""))</f>
        <v/>
      </c>
      <c r="M2448" s="26" t="str">
        <f aca="false">IF($D2448="","",IFERROR(INDEX(ClientRates!$D$5:$D$500,MATCH($B2448&amp;"|"&amp;$L2448,ClientRates!$A$5:$A$500,0)),0))</f>
        <v/>
      </c>
      <c r="N2448" s="26" t="str">
        <f aca="false">IF($D2448="","",IFERROR(INDEX(ClientRates!$E$5:$E$500,MATCH($B2448&amp;"|"&amp;$L2448,ClientRates!$A$5:$A$500,0)),0))</f>
        <v/>
      </c>
      <c r="O2448" s="26" t="str">
        <f aca="false">IF($D2448="","",F2448*M2448+G2448*N2448)</f>
        <v/>
      </c>
      <c r="P2448" s="26" t="str">
        <f aca="false">IF(OR($D2448="",$J2448&lt;&gt;"Supplier"),"",IFERROR(INDEX(SupplierRates!$D$5:$D$500,MATCH($K2448&amp;"|"&amp;$L2448,SupplierRates!$A$5:$A$500,0)),0))</f>
        <v/>
      </c>
      <c r="Q2448" s="26" t="str">
        <f aca="false">IF(OR($D2448="",$J2448&lt;&gt;"Supplier"),"",IFERROR(INDEX(SupplierRates!$E$5:$E$500,MATCH($K2448&amp;"|"&amp;$L2448,SupplierRates!$A$5:$A$500,0)),0))</f>
        <v/>
      </c>
      <c r="R2448" s="26" t="n">
        <f aca="false">IF(OR($D2448="",$J2448&lt;&gt;"Supplier"),0,F2448*P2448+G2448*Q2448)</f>
        <v>0</v>
      </c>
      <c r="S2448" s="26" t="n">
        <f aca="false">IF(OR($D2448="",$J2448&lt;&gt;"Own"),0,IFERROR((F2448+G2448*Settings!$B$13)*INDEX(Workers!$V$5:$V$2004,MATCH($D2448,Workers!$A$5:$A$2004,0)),0))</f>
        <v>0</v>
      </c>
      <c r="T2448" s="26" t="str">
        <f aca="false">IF($D2448="","",O2448-R2448-S2448)</f>
        <v/>
      </c>
    </row>
    <row r="2449" customFormat="false" ht="15" hidden="false" customHeight="false" outlineLevel="0" collapsed="false">
      <c r="I2449" s="24" t="str">
        <f aca="false">IF($D2449="","",IFERROR(INDEX(Workers!$B$5:$B$2004,MATCH($D2449,Workers!$A$5:$A$2004,0)),"NOT FOUND"))</f>
        <v/>
      </c>
      <c r="J2449" s="24" t="str">
        <f aca="false">IF($D2449="","",IFERROR(INDEX(Workers!$C$5:$C$2004,MATCH($D2449,Workers!$A$5:$A$2004,0)),""))</f>
        <v/>
      </c>
      <c r="K2449" s="24" t="str">
        <f aca="false">IF($D2449="","",IFERROR(IF(INDEX(Workers!$D$5:$D$2004,MATCH($D2449,Workers!$A$5:$A$2004,0))=0,"",INDEX(Workers!$D$5:$D$2004,MATCH($D2449,Workers!$A$5:$A$2004,0))),""))</f>
        <v/>
      </c>
      <c r="L2449" s="24" t="str">
        <f aca="false">IF($D2449="","",IFERROR(INDEX(Workers!$E$5:$E$2004,MATCH($D2449,Workers!$A$5:$A$2004,0)),""))</f>
        <v/>
      </c>
      <c r="M2449" s="26" t="str">
        <f aca="false">IF($D2449="","",IFERROR(INDEX(ClientRates!$D$5:$D$500,MATCH($B2449&amp;"|"&amp;$L2449,ClientRates!$A$5:$A$500,0)),0))</f>
        <v/>
      </c>
      <c r="N2449" s="26" t="str">
        <f aca="false">IF($D2449="","",IFERROR(INDEX(ClientRates!$E$5:$E$500,MATCH($B2449&amp;"|"&amp;$L2449,ClientRates!$A$5:$A$500,0)),0))</f>
        <v/>
      </c>
      <c r="O2449" s="26" t="str">
        <f aca="false">IF($D2449="","",F2449*M2449+G2449*N2449)</f>
        <v/>
      </c>
      <c r="P2449" s="26" t="str">
        <f aca="false">IF(OR($D2449="",$J2449&lt;&gt;"Supplier"),"",IFERROR(INDEX(SupplierRates!$D$5:$D$500,MATCH($K2449&amp;"|"&amp;$L2449,SupplierRates!$A$5:$A$500,0)),0))</f>
        <v/>
      </c>
      <c r="Q2449" s="26" t="str">
        <f aca="false">IF(OR($D2449="",$J2449&lt;&gt;"Supplier"),"",IFERROR(INDEX(SupplierRates!$E$5:$E$500,MATCH($K2449&amp;"|"&amp;$L2449,SupplierRates!$A$5:$A$500,0)),0))</f>
        <v/>
      </c>
      <c r="R2449" s="26" t="n">
        <f aca="false">IF(OR($D2449="",$J2449&lt;&gt;"Supplier"),0,F2449*P2449+G2449*Q2449)</f>
        <v>0</v>
      </c>
      <c r="S2449" s="26" t="n">
        <f aca="false">IF(OR($D2449="",$J2449&lt;&gt;"Own"),0,IFERROR((F2449+G2449*Settings!$B$13)*INDEX(Workers!$V$5:$V$2004,MATCH($D2449,Workers!$A$5:$A$2004,0)),0))</f>
        <v>0</v>
      </c>
      <c r="T2449" s="26" t="str">
        <f aca="false">IF($D2449="","",O2449-R2449-S2449)</f>
        <v/>
      </c>
    </row>
    <row r="2450" customFormat="false" ht="15" hidden="false" customHeight="false" outlineLevel="0" collapsed="false">
      <c r="I2450" s="24" t="str">
        <f aca="false">IF($D2450="","",IFERROR(INDEX(Workers!$B$5:$B$2004,MATCH($D2450,Workers!$A$5:$A$2004,0)),"NOT FOUND"))</f>
        <v/>
      </c>
      <c r="J2450" s="24" t="str">
        <f aca="false">IF($D2450="","",IFERROR(INDEX(Workers!$C$5:$C$2004,MATCH($D2450,Workers!$A$5:$A$2004,0)),""))</f>
        <v/>
      </c>
      <c r="K2450" s="24" t="str">
        <f aca="false">IF($D2450="","",IFERROR(IF(INDEX(Workers!$D$5:$D$2004,MATCH($D2450,Workers!$A$5:$A$2004,0))=0,"",INDEX(Workers!$D$5:$D$2004,MATCH($D2450,Workers!$A$5:$A$2004,0))),""))</f>
        <v/>
      </c>
      <c r="L2450" s="24" t="str">
        <f aca="false">IF($D2450="","",IFERROR(INDEX(Workers!$E$5:$E$2004,MATCH($D2450,Workers!$A$5:$A$2004,0)),""))</f>
        <v/>
      </c>
      <c r="M2450" s="26" t="str">
        <f aca="false">IF($D2450="","",IFERROR(INDEX(ClientRates!$D$5:$D$500,MATCH($B2450&amp;"|"&amp;$L2450,ClientRates!$A$5:$A$500,0)),0))</f>
        <v/>
      </c>
      <c r="N2450" s="26" t="str">
        <f aca="false">IF($D2450="","",IFERROR(INDEX(ClientRates!$E$5:$E$500,MATCH($B2450&amp;"|"&amp;$L2450,ClientRates!$A$5:$A$500,0)),0))</f>
        <v/>
      </c>
      <c r="O2450" s="26" t="str">
        <f aca="false">IF($D2450="","",F2450*M2450+G2450*N2450)</f>
        <v/>
      </c>
      <c r="P2450" s="26" t="str">
        <f aca="false">IF(OR($D2450="",$J2450&lt;&gt;"Supplier"),"",IFERROR(INDEX(SupplierRates!$D$5:$D$500,MATCH($K2450&amp;"|"&amp;$L2450,SupplierRates!$A$5:$A$500,0)),0))</f>
        <v/>
      </c>
      <c r="Q2450" s="26" t="str">
        <f aca="false">IF(OR($D2450="",$J2450&lt;&gt;"Supplier"),"",IFERROR(INDEX(SupplierRates!$E$5:$E$500,MATCH($K2450&amp;"|"&amp;$L2450,SupplierRates!$A$5:$A$500,0)),0))</f>
        <v/>
      </c>
      <c r="R2450" s="26" t="n">
        <f aca="false">IF(OR($D2450="",$J2450&lt;&gt;"Supplier"),0,F2450*P2450+G2450*Q2450)</f>
        <v>0</v>
      </c>
      <c r="S2450" s="26" t="n">
        <f aca="false">IF(OR($D2450="",$J2450&lt;&gt;"Own"),0,IFERROR((F2450+G2450*Settings!$B$13)*INDEX(Workers!$V$5:$V$2004,MATCH($D2450,Workers!$A$5:$A$2004,0)),0))</f>
        <v>0</v>
      </c>
      <c r="T2450" s="26" t="str">
        <f aca="false">IF($D2450="","",O2450-R2450-S2450)</f>
        <v/>
      </c>
    </row>
    <row r="2451" customFormat="false" ht="15" hidden="false" customHeight="false" outlineLevel="0" collapsed="false">
      <c r="I2451" s="24" t="str">
        <f aca="false">IF($D2451="","",IFERROR(INDEX(Workers!$B$5:$B$2004,MATCH($D2451,Workers!$A$5:$A$2004,0)),"NOT FOUND"))</f>
        <v/>
      </c>
      <c r="J2451" s="24" t="str">
        <f aca="false">IF($D2451="","",IFERROR(INDEX(Workers!$C$5:$C$2004,MATCH($D2451,Workers!$A$5:$A$2004,0)),""))</f>
        <v/>
      </c>
      <c r="K2451" s="24" t="str">
        <f aca="false">IF($D2451="","",IFERROR(IF(INDEX(Workers!$D$5:$D$2004,MATCH($D2451,Workers!$A$5:$A$2004,0))=0,"",INDEX(Workers!$D$5:$D$2004,MATCH($D2451,Workers!$A$5:$A$2004,0))),""))</f>
        <v/>
      </c>
      <c r="L2451" s="24" t="str">
        <f aca="false">IF($D2451="","",IFERROR(INDEX(Workers!$E$5:$E$2004,MATCH($D2451,Workers!$A$5:$A$2004,0)),""))</f>
        <v/>
      </c>
      <c r="M2451" s="26" t="str">
        <f aca="false">IF($D2451="","",IFERROR(INDEX(ClientRates!$D$5:$D$500,MATCH($B2451&amp;"|"&amp;$L2451,ClientRates!$A$5:$A$500,0)),0))</f>
        <v/>
      </c>
      <c r="N2451" s="26" t="str">
        <f aca="false">IF($D2451="","",IFERROR(INDEX(ClientRates!$E$5:$E$500,MATCH($B2451&amp;"|"&amp;$L2451,ClientRates!$A$5:$A$500,0)),0))</f>
        <v/>
      </c>
      <c r="O2451" s="26" t="str">
        <f aca="false">IF($D2451="","",F2451*M2451+G2451*N2451)</f>
        <v/>
      </c>
      <c r="P2451" s="26" t="str">
        <f aca="false">IF(OR($D2451="",$J2451&lt;&gt;"Supplier"),"",IFERROR(INDEX(SupplierRates!$D$5:$D$500,MATCH($K2451&amp;"|"&amp;$L2451,SupplierRates!$A$5:$A$500,0)),0))</f>
        <v/>
      </c>
      <c r="Q2451" s="26" t="str">
        <f aca="false">IF(OR($D2451="",$J2451&lt;&gt;"Supplier"),"",IFERROR(INDEX(SupplierRates!$E$5:$E$500,MATCH($K2451&amp;"|"&amp;$L2451,SupplierRates!$A$5:$A$500,0)),0))</f>
        <v/>
      </c>
      <c r="R2451" s="26" t="n">
        <f aca="false">IF(OR($D2451="",$J2451&lt;&gt;"Supplier"),0,F2451*P2451+G2451*Q2451)</f>
        <v>0</v>
      </c>
      <c r="S2451" s="26" t="n">
        <f aca="false">IF(OR($D2451="",$J2451&lt;&gt;"Own"),0,IFERROR((F2451+G2451*Settings!$B$13)*INDEX(Workers!$V$5:$V$2004,MATCH($D2451,Workers!$A$5:$A$2004,0)),0))</f>
        <v>0</v>
      </c>
      <c r="T2451" s="26" t="str">
        <f aca="false">IF($D2451="","",O2451-R2451-S2451)</f>
        <v/>
      </c>
    </row>
    <row r="2452" customFormat="false" ht="15" hidden="false" customHeight="false" outlineLevel="0" collapsed="false">
      <c r="I2452" s="24" t="str">
        <f aca="false">IF($D2452="","",IFERROR(INDEX(Workers!$B$5:$B$2004,MATCH($D2452,Workers!$A$5:$A$2004,0)),"NOT FOUND"))</f>
        <v/>
      </c>
      <c r="J2452" s="24" t="str">
        <f aca="false">IF($D2452="","",IFERROR(INDEX(Workers!$C$5:$C$2004,MATCH($D2452,Workers!$A$5:$A$2004,0)),""))</f>
        <v/>
      </c>
      <c r="K2452" s="24" t="str">
        <f aca="false">IF($D2452="","",IFERROR(IF(INDEX(Workers!$D$5:$D$2004,MATCH($D2452,Workers!$A$5:$A$2004,0))=0,"",INDEX(Workers!$D$5:$D$2004,MATCH($D2452,Workers!$A$5:$A$2004,0))),""))</f>
        <v/>
      </c>
      <c r="L2452" s="24" t="str">
        <f aca="false">IF($D2452="","",IFERROR(INDEX(Workers!$E$5:$E$2004,MATCH($D2452,Workers!$A$5:$A$2004,0)),""))</f>
        <v/>
      </c>
      <c r="M2452" s="26" t="str">
        <f aca="false">IF($D2452="","",IFERROR(INDEX(ClientRates!$D$5:$D$500,MATCH($B2452&amp;"|"&amp;$L2452,ClientRates!$A$5:$A$500,0)),0))</f>
        <v/>
      </c>
      <c r="N2452" s="26" t="str">
        <f aca="false">IF($D2452="","",IFERROR(INDEX(ClientRates!$E$5:$E$500,MATCH($B2452&amp;"|"&amp;$L2452,ClientRates!$A$5:$A$500,0)),0))</f>
        <v/>
      </c>
      <c r="O2452" s="26" t="str">
        <f aca="false">IF($D2452="","",F2452*M2452+G2452*N2452)</f>
        <v/>
      </c>
      <c r="P2452" s="26" t="str">
        <f aca="false">IF(OR($D2452="",$J2452&lt;&gt;"Supplier"),"",IFERROR(INDEX(SupplierRates!$D$5:$D$500,MATCH($K2452&amp;"|"&amp;$L2452,SupplierRates!$A$5:$A$500,0)),0))</f>
        <v/>
      </c>
      <c r="Q2452" s="26" t="str">
        <f aca="false">IF(OR($D2452="",$J2452&lt;&gt;"Supplier"),"",IFERROR(INDEX(SupplierRates!$E$5:$E$500,MATCH($K2452&amp;"|"&amp;$L2452,SupplierRates!$A$5:$A$500,0)),0))</f>
        <v/>
      </c>
      <c r="R2452" s="26" t="n">
        <f aca="false">IF(OR($D2452="",$J2452&lt;&gt;"Supplier"),0,F2452*P2452+G2452*Q2452)</f>
        <v>0</v>
      </c>
      <c r="S2452" s="26" t="n">
        <f aca="false">IF(OR($D2452="",$J2452&lt;&gt;"Own"),0,IFERROR((F2452+G2452*Settings!$B$13)*INDEX(Workers!$V$5:$V$2004,MATCH($D2452,Workers!$A$5:$A$2004,0)),0))</f>
        <v>0</v>
      </c>
      <c r="T2452" s="26" t="str">
        <f aca="false">IF($D2452="","",O2452-R2452-S2452)</f>
        <v/>
      </c>
    </row>
    <row r="2453" customFormat="false" ht="15" hidden="false" customHeight="false" outlineLevel="0" collapsed="false">
      <c r="I2453" s="24" t="str">
        <f aca="false">IF($D2453="","",IFERROR(INDEX(Workers!$B$5:$B$2004,MATCH($D2453,Workers!$A$5:$A$2004,0)),"NOT FOUND"))</f>
        <v/>
      </c>
      <c r="J2453" s="24" t="str">
        <f aca="false">IF($D2453="","",IFERROR(INDEX(Workers!$C$5:$C$2004,MATCH($D2453,Workers!$A$5:$A$2004,0)),""))</f>
        <v/>
      </c>
      <c r="K2453" s="24" t="str">
        <f aca="false">IF($D2453="","",IFERROR(IF(INDEX(Workers!$D$5:$D$2004,MATCH($D2453,Workers!$A$5:$A$2004,0))=0,"",INDEX(Workers!$D$5:$D$2004,MATCH($D2453,Workers!$A$5:$A$2004,0))),""))</f>
        <v/>
      </c>
      <c r="L2453" s="24" t="str">
        <f aca="false">IF($D2453="","",IFERROR(INDEX(Workers!$E$5:$E$2004,MATCH($D2453,Workers!$A$5:$A$2004,0)),""))</f>
        <v/>
      </c>
      <c r="M2453" s="26" t="str">
        <f aca="false">IF($D2453="","",IFERROR(INDEX(ClientRates!$D$5:$D$500,MATCH($B2453&amp;"|"&amp;$L2453,ClientRates!$A$5:$A$500,0)),0))</f>
        <v/>
      </c>
      <c r="N2453" s="26" t="str">
        <f aca="false">IF($D2453="","",IFERROR(INDEX(ClientRates!$E$5:$E$500,MATCH($B2453&amp;"|"&amp;$L2453,ClientRates!$A$5:$A$500,0)),0))</f>
        <v/>
      </c>
      <c r="O2453" s="26" t="str">
        <f aca="false">IF($D2453="","",F2453*M2453+G2453*N2453)</f>
        <v/>
      </c>
      <c r="P2453" s="26" t="str">
        <f aca="false">IF(OR($D2453="",$J2453&lt;&gt;"Supplier"),"",IFERROR(INDEX(SupplierRates!$D$5:$D$500,MATCH($K2453&amp;"|"&amp;$L2453,SupplierRates!$A$5:$A$500,0)),0))</f>
        <v/>
      </c>
      <c r="Q2453" s="26" t="str">
        <f aca="false">IF(OR($D2453="",$J2453&lt;&gt;"Supplier"),"",IFERROR(INDEX(SupplierRates!$E$5:$E$500,MATCH($K2453&amp;"|"&amp;$L2453,SupplierRates!$A$5:$A$500,0)),0))</f>
        <v/>
      </c>
      <c r="R2453" s="26" t="n">
        <f aca="false">IF(OR($D2453="",$J2453&lt;&gt;"Supplier"),0,F2453*P2453+G2453*Q2453)</f>
        <v>0</v>
      </c>
      <c r="S2453" s="26" t="n">
        <f aca="false">IF(OR($D2453="",$J2453&lt;&gt;"Own"),0,IFERROR((F2453+G2453*Settings!$B$13)*INDEX(Workers!$V$5:$V$2004,MATCH($D2453,Workers!$A$5:$A$2004,0)),0))</f>
        <v>0</v>
      </c>
      <c r="T2453" s="26" t="str">
        <f aca="false">IF($D2453="","",O2453-R2453-S2453)</f>
        <v/>
      </c>
    </row>
    <row r="2454" customFormat="false" ht="15" hidden="false" customHeight="false" outlineLevel="0" collapsed="false">
      <c r="I2454" s="24" t="str">
        <f aca="false">IF($D2454="","",IFERROR(INDEX(Workers!$B$5:$B$2004,MATCH($D2454,Workers!$A$5:$A$2004,0)),"NOT FOUND"))</f>
        <v/>
      </c>
      <c r="J2454" s="24" t="str">
        <f aca="false">IF($D2454="","",IFERROR(INDEX(Workers!$C$5:$C$2004,MATCH($D2454,Workers!$A$5:$A$2004,0)),""))</f>
        <v/>
      </c>
      <c r="K2454" s="24" t="str">
        <f aca="false">IF($D2454="","",IFERROR(IF(INDEX(Workers!$D$5:$D$2004,MATCH($D2454,Workers!$A$5:$A$2004,0))=0,"",INDEX(Workers!$D$5:$D$2004,MATCH($D2454,Workers!$A$5:$A$2004,0))),""))</f>
        <v/>
      </c>
      <c r="L2454" s="24" t="str">
        <f aca="false">IF($D2454="","",IFERROR(INDEX(Workers!$E$5:$E$2004,MATCH($D2454,Workers!$A$5:$A$2004,0)),""))</f>
        <v/>
      </c>
      <c r="M2454" s="26" t="str">
        <f aca="false">IF($D2454="","",IFERROR(INDEX(ClientRates!$D$5:$D$500,MATCH($B2454&amp;"|"&amp;$L2454,ClientRates!$A$5:$A$500,0)),0))</f>
        <v/>
      </c>
      <c r="N2454" s="26" t="str">
        <f aca="false">IF($D2454="","",IFERROR(INDEX(ClientRates!$E$5:$E$500,MATCH($B2454&amp;"|"&amp;$L2454,ClientRates!$A$5:$A$500,0)),0))</f>
        <v/>
      </c>
      <c r="O2454" s="26" t="str">
        <f aca="false">IF($D2454="","",F2454*M2454+G2454*N2454)</f>
        <v/>
      </c>
      <c r="P2454" s="26" t="str">
        <f aca="false">IF(OR($D2454="",$J2454&lt;&gt;"Supplier"),"",IFERROR(INDEX(SupplierRates!$D$5:$D$500,MATCH($K2454&amp;"|"&amp;$L2454,SupplierRates!$A$5:$A$500,0)),0))</f>
        <v/>
      </c>
      <c r="Q2454" s="26" t="str">
        <f aca="false">IF(OR($D2454="",$J2454&lt;&gt;"Supplier"),"",IFERROR(INDEX(SupplierRates!$E$5:$E$500,MATCH($K2454&amp;"|"&amp;$L2454,SupplierRates!$A$5:$A$500,0)),0))</f>
        <v/>
      </c>
      <c r="R2454" s="26" t="n">
        <f aca="false">IF(OR($D2454="",$J2454&lt;&gt;"Supplier"),0,F2454*P2454+G2454*Q2454)</f>
        <v>0</v>
      </c>
      <c r="S2454" s="26" t="n">
        <f aca="false">IF(OR($D2454="",$J2454&lt;&gt;"Own"),0,IFERROR((F2454+G2454*Settings!$B$13)*INDEX(Workers!$V$5:$V$2004,MATCH($D2454,Workers!$A$5:$A$2004,0)),0))</f>
        <v>0</v>
      </c>
      <c r="T2454" s="26" t="str">
        <f aca="false">IF($D2454="","",O2454-R2454-S2454)</f>
        <v/>
      </c>
    </row>
    <row r="2455" customFormat="false" ht="15" hidden="false" customHeight="false" outlineLevel="0" collapsed="false">
      <c r="I2455" s="24" t="str">
        <f aca="false">IF($D2455="","",IFERROR(INDEX(Workers!$B$5:$B$2004,MATCH($D2455,Workers!$A$5:$A$2004,0)),"NOT FOUND"))</f>
        <v/>
      </c>
      <c r="J2455" s="24" t="str">
        <f aca="false">IF($D2455="","",IFERROR(INDEX(Workers!$C$5:$C$2004,MATCH($D2455,Workers!$A$5:$A$2004,0)),""))</f>
        <v/>
      </c>
      <c r="K2455" s="24" t="str">
        <f aca="false">IF($D2455="","",IFERROR(IF(INDEX(Workers!$D$5:$D$2004,MATCH($D2455,Workers!$A$5:$A$2004,0))=0,"",INDEX(Workers!$D$5:$D$2004,MATCH($D2455,Workers!$A$5:$A$2004,0))),""))</f>
        <v/>
      </c>
      <c r="L2455" s="24" t="str">
        <f aca="false">IF($D2455="","",IFERROR(INDEX(Workers!$E$5:$E$2004,MATCH($D2455,Workers!$A$5:$A$2004,0)),""))</f>
        <v/>
      </c>
      <c r="M2455" s="26" t="str">
        <f aca="false">IF($D2455="","",IFERROR(INDEX(ClientRates!$D$5:$D$500,MATCH($B2455&amp;"|"&amp;$L2455,ClientRates!$A$5:$A$500,0)),0))</f>
        <v/>
      </c>
      <c r="N2455" s="26" t="str">
        <f aca="false">IF($D2455="","",IFERROR(INDEX(ClientRates!$E$5:$E$500,MATCH($B2455&amp;"|"&amp;$L2455,ClientRates!$A$5:$A$500,0)),0))</f>
        <v/>
      </c>
      <c r="O2455" s="26" t="str">
        <f aca="false">IF($D2455="","",F2455*M2455+G2455*N2455)</f>
        <v/>
      </c>
      <c r="P2455" s="26" t="str">
        <f aca="false">IF(OR($D2455="",$J2455&lt;&gt;"Supplier"),"",IFERROR(INDEX(SupplierRates!$D$5:$D$500,MATCH($K2455&amp;"|"&amp;$L2455,SupplierRates!$A$5:$A$500,0)),0))</f>
        <v/>
      </c>
      <c r="Q2455" s="26" t="str">
        <f aca="false">IF(OR($D2455="",$J2455&lt;&gt;"Supplier"),"",IFERROR(INDEX(SupplierRates!$E$5:$E$500,MATCH($K2455&amp;"|"&amp;$L2455,SupplierRates!$A$5:$A$500,0)),0))</f>
        <v/>
      </c>
      <c r="R2455" s="26" t="n">
        <f aca="false">IF(OR($D2455="",$J2455&lt;&gt;"Supplier"),0,F2455*P2455+G2455*Q2455)</f>
        <v>0</v>
      </c>
      <c r="S2455" s="26" t="n">
        <f aca="false">IF(OR($D2455="",$J2455&lt;&gt;"Own"),0,IFERROR((F2455+G2455*Settings!$B$13)*INDEX(Workers!$V$5:$V$2004,MATCH($D2455,Workers!$A$5:$A$2004,0)),0))</f>
        <v>0</v>
      </c>
      <c r="T2455" s="26" t="str">
        <f aca="false">IF($D2455="","",O2455-R2455-S2455)</f>
        <v/>
      </c>
    </row>
    <row r="2456" customFormat="false" ht="15" hidden="false" customHeight="false" outlineLevel="0" collapsed="false">
      <c r="I2456" s="24" t="str">
        <f aca="false">IF($D2456="","",IFERROR(INDEX(Workers!$B$5:$B$2004,MATCH($D2456,Workers!$A$5:$A$2004,0)),"NOT FOUND"))</f>
        <v/>
      </c>
      <c r="J2456" s="24" t="str">
        <f aca="false">IF($D2456="","",IFERROR(INDEX(Workers!$C$5:$C$2004,MATCH($D2456,Workers!$A$5:$A$2004,0)),""))</f>
        <v/>
      </c>
      <c r="K2456" s="24" t="str">
        <f aca="false">IF($D2456="","",IFERROR(IF(INDEX(Workers!$D$5:$D$2004,MATCH($D2456,Workers!$A$5:$A$2004,0))=0,"",INDEX(Workers!$D$5:$D$2004,MATCH($D2456,Workers!$A$5:$A$2004,0))),""))</f>
        <v/>
      </c>
      <c r="L2456" s="24" t="str">
        <f aca="false">IF($D2456="","",IFERROR(INDEX(Workers!$E$5:$E$2004,MATCH($D2456,Workers!$A$5:$A$2004,0)),""))</f>
        <v/>
      </c>
      <c r="M2456" s="26" t="str">
        <f aca="false">IF($D2456="","",IFERROR(INDEX(ClientRates!$D$5:$D$500,MATCH($B2456&amp;"|"&amp;$L2456,ClientRates!$A$5:$A$500,0)),0))</f>
        <v/>
      </c>
      <c r="N2456" s="26" t="str">
        <f aca="false">IF($D2456="","",IFERROR(INDEX(ClientRates!$E$5:$E$500,MATCH($B2456&amp;"|"&amp;$L2456,ClientRates!$A$5:$A$500,0)),0))</f>
        <v/>
      </c>
      <c r="O2456" s="26" t="str">
        <f aca="false">IF($D2456="","",F2456*M2456+G2456*N2456)</f>
        <v/>
      </c>
      <c r="P2456" s="26" t="str">
        <f aca="false">IF(OR($D2456="",$J2456&lt;&gt;"Supplier"),"",IFERROR(INDEX(SupplierRates!$D$5:$D$500,MATCH($K2456&amp;"|"&amp;$L2456,SupplierRates!$A$5:$A$500,0)),0))</f>
        <v/>
      </c>
      <c r="Q2456" s="26" t="str">
        <f aca="false">IF(OR($D2456="",$J2456&lt;&gt;"Supplier"),"",IFERROR(INDEX(SupplierRates!$E$5:$E$500,MATCH($K2456&amp;"|"&amp;$L2456,SupplierRates!$A$5:$A$500,0)),0))</f>
        <v/>
      </c>
      <c r="R2456" s="26" t="n">
        <f aca="false">IF(OR($D2456="",$J2456&lt;&gt;"Supplier"),0,F2456*P2456+G2456*Q2456)</f>
        <v>0</v>
      </c>
      <c r="S2456" s="26" t="n">
        <f aca="false">IF(OR($D2456="",$J2456&lt;&gt;"Own"),0,IFERROR((F2456+G2456*Settings!$B$13)*INDEX(Workers!$V$5:$V$2004,MATCH($D2456,Workers!$A$5:$A$2004,0)),0))</f>
        <v>0</v>
      </c>
      <c r="T2456" s="26" t="str">
        <f aca="false">IF($D2456="","",O2456-R2456-S2456)</f>
        <v/>
      </c>
    </row>
    <row r="2457" customFormat="false" ht="15" hidden="false" customHeight="false" outlineLevel="0" collapsed="false">
      <c r="I2457" s="24" t="str">
        <f aca="false">IF($D2457="","",IFERROR(INDEX(Workers!$B$5:$B$2004,MATCH($D2457,Workers!$A$5:$A$2004,0)),"NOT FOUND"))</f>
        <v/>
      </c>
      <c r="J2457" s="24" t="str">
        <f aca="false">IF($D2457="","",IFERROR(INDEX(Workers!$C$5:$C$2004,MATCH($D2457,Workers!$A$5:$A$2004,0)),""))</f>
        <v/>
      </c>
      <c r="K2457" s="24" t="str">
        <f aca="false">IF($D2457="","",IFERROR(IF(INDEX(Workers!$D$5:$D$2004,MATCH($D2457,Workers!$A$5:$A$2004,0))=0,"",INDEX(Workers!$D$5:$D$2004,MATCH($D2457,Workers!$A$5:$A$2004,0))),""))</f>
        <v/>
      </c>
      <c r="L2457" s="24" t="str">
        <f aca="false">IF($D2457="","",IFERROR(INDEX(Workers!$E$5:$E$2004,MATCH($D2457,Workers!$A$5:$A$2004,0)),""))</f>
        <v/>
      </c>
      <c r="M2457" s="26" t="str">
        <f aca="false">IF($D2457="","",IFERROR(INDEX(ClientRates!$D$5:$D$500,MATCH($B2457&amp;"|"&amp;$L2457,ClientRates!$A$5:$A$500,0)),0))</f>
        <v/>
      </c>
      <c r="N2457" s="26" t="str">
        <f aca="false">IF($D2457="","",IFERROR(INDEX(ClientRates!$E$5:$E$500,MATCH($B2457&amp;"|"&amp;$L2457,ClientRates!$A$5:$A$500,0)),0))</f>
        <v/>
      </c>
      <c r="O2457" s="26" t="str">
        <f aca="false">IF($D2457="","",F2457*M2457+G2457*N2457)</f>
        <v/>
      </c>
      <c r="P2457" s="26" t="str">
        <f aca="false">IF(OR($D2457="",$J2457&lt;&gt;"Supplier"),"",IFERROR(INDEX(SupplierRates!$D$5:$D$500,MATCH($K2457&amp;"|"&amp;$L2457,SupplierRates!$A$5:$A$500,0)),0))</f>
        <v/>
      </c>
      <c r="Q2457" s="26" t="str">
        <f aca="false">IF(OR($D2457="",$J2457&lt;&gt;"Supplier"),"",IFERROR(INDEX(SupplierRates!$E$5:$E$500,MATCH($K2457&amp;"|"&amp;$L2457,SupplierRates!$A$5:$A$500,0)),0))</f>
        <v/>
      </c>
      <c r="R2457" s="26" t="n">
        <f aca="false">IF(OR($D2457="",$J2457&lt;&gt;"Supplier"),0,F2457*P2457+G2457*Q2457)</f>
        <v>0</v>
      </c>
      <c r="S2457" s="26" t="n">
        <f aca="false">IF(OR($D2457="",$J2457&lt;&gt;"Own"),0,IFERROR((F2457+G2457*Settings!$B$13)*INDEX(Workers!$V$5:$V$2004,MATCH($D2457,Workers!$A$5:$A$2004,0)),0))</f>
        <v>0</v>
      </c>
      <c r="T2457" s="26" t="str">
        <f aca="false">IF($D2457="","",O2457-R2457-S2457)</f>
        <v/>
      </c>
    </row>
    <row r="2458" customFormat="false" ht="15" hidden="false" customHeight="false" outlineLevel="0" collapsed="false">
      <c r="I2458" s="24" t="str">
        <f aca="false">IF($D2458="","",IFERROR(INDEX(Workers!$B$5:$B$2004,MATCH($D2458,Workers!$A$5:$A$2004,0)),"NOT FOUND"))</f>
        <v/>
      </c>
      <c r="J2458" s="24" t="str">
        <f aca="false">IF($D2458="","",IFERROR(INDEX(Workers!$C$5:$C$2004,MATCH($D2458,Workers!$A$5:$A$2004,0)),""))</f>
        <v/>
      </c>
      <c r="K2458" s="24" t="str">
        <f aca="false">IF($D2458="","",IFERROR(IF(INDEX(Workers!$D$5:$D$2004,MATCH($D2458,Workers!$A$5:$A$2004,0))=0,"",INDEX(Workers!$D$5:$D$2004,MATCH($D2458,Workers!$A$5:$A$2004,0))),""))</f>
        <v/>
      </c>
      <c r="L2458" s="24" t="str">
        <f aca="false">IF($D2458="","",IFERROR(INDEX(Workers!$E$5:$E$2004,MATCH($D2458,Workers!$A$5:$A$2004,0)),""))</f>
        <v/>
      </c>
      <c r="M2458" s="26" t="str">
        <f aca="false">IF($D2458="","",IFERROR(INDEX(ClientRates!$D$5:$D$500,MATCH($B2458&amp;"|"&amp;$L2458,ClientRates!$A$5:$A$500,0)),0))</f>
        <v/>
      </c>
      <c r="N2458" s="26" t="str">
        <f aca="false">IF($D2458="","",IFERROR(INDEX(ClientRates!$E$5:$E$500,MATCH($B2458&amp;"|"&amp;$L2458,ClientRates!$A$5:$A$500,0)),0))</f>
        <v/>
      </c>
      <c r="O2458" s="26" t="str">
        <f aca="false">IF($D2458="","",F2458*M2458+G2458*N2458)</f>
        <v/>
      </c>
      <c r="P2458" s="26" t="str">
        <f aca="false">IF(OR($D2458="",$J2458&lt;&gt;"Supplier"),"",IFERROR(INDEX(SupplierRates!$D$5:$D$500,MATCH($K2458&amp;"|"&amp;$L2458,SupplierRates!$A$5:$A$500,0)),0))</f>
        <v/>
      </c>
      <c r="Q2458" s="26" t="str">
        <f aca="false">IF(OR($D2458="",$J2458&lt;&gt;"Supplier"),"",IFERROR(INDEX(SupplierRates!$E$5:$E$500,MATCH($K2458&amp;"|"&amp;$L2458,SupplierRates!$A$5:$A$500,0)),0))</f>
        <v/>
      </c>
      <c r="R2458" s="26" t="n">
        <f aca="false">IF(OR($D2458="",$J2458&lt;&gt;"Supplier"),0,F2458*P2458+G2458*Q2458)</f>
        <v>0</v>
      </c>
      <c r="S2458" s="26" t="n">
        <f aca="false">IF(OR($D2458="",$J2458&lt;&gt;"Own"),0,IFERROR((F2458+G2458*Settings!$B$13)*INDEX(Workers!$V$5:$V$2004,MATCH($D2458,Workers!$A$5:$A$2004,0)),0))</f>
        <v>0</v>
      </c>
      <c r="T2458" s="26" t="str">
        <f aca="false">IF($D2458="","",O2458-R2458-S2458)</f>
        <v/>
      </c>
    </row>
    <row r="2459" customFormat="false" ht="15" hidden="false" customHeight="false" outlineLevel="0" collapsed="false">
      <c r="I2459" s="24" t="str">
        <f aca="false">IF($D2459="","",IFERROR(INDEX(Workers!$B$5:$B$2004,MATCH($D2459,Workers!$A$5:$A$2004,0)),"NOT FOUND"))</f>
        <v/>
      </c>
      <c r="J2459" s="24" t="str">
        <f aca="false">IF($D2459="","",IFERROR(INDEX(Workers!$C$5:$C$2004,MATCH($D2459,Workers!$A$5:$A$2004,0)),""))</f>
        <v/>
      </c>
      <c r="K2459" s="24" t="str">
        <f aca="false">IF($D2459="","",IFERROR(IF(INDEX(Workers!$D$5:$D$2004,MATCH($D2459,Workers!$A$5:$A$2004,0))=0,"",INDEX(Workers!$D$5:$D$2004,MATCH($D2459,Workers!$A$5:$A$2004,0))),""))</f>
        <v/>
      </c>
      <c r="L2459" s="24" t="str">
        <f aca="false">IF($D2459="","",IFERROR(INDEX(Workers!$E$5:$E$2004,MATCH($D2459,Workers!$A$5:$A$2004,0)),""))</f>
        <v/>
      </c>
      <c r="M2459" s="26" t="str">
        <f aca="false">IF($D2459="","",IFERROR(INDEX(ClientRates!$D$5:$D$500,MATCH($B2459&amp;"|"&amp;$L2459,ClientRates!$A$5:$A$500,0)),0))</f>
        <v/>
      </c>
      <c r="N2459" s="26" t="str">
        <f aca="false">IF($D2459="","",IFERROR(INDEX(ClientRates!$E$5:$E$500,MATCH($B2459&amp;"|"&amp;$L2459,ClientRates!$A$5:$A$500,0)),0))</f>
        <v/>
      </c>
      <c r="O2459" s="26" t="str">
        <f aca="false">IF($D2459="","",F2459*M2459+G2459*N2459)</f>
        <v/>
      </c>
      <c r="P2459" s="26" t="str">
        <f aca="false">IF(OR($D2459="",$J2459&lt;&gt;"Supplier"),"",IFERROR(INDEX(SupplierRates!$D$5:$D$500,MATCH($K2459&amp;"|"&amp;$L2459,SupplierRates!$A$5:$A$500,0)),0))</f>
        <v/>
      </c>
      <c r="Q2459" s="26" t="str">
        <f aca="false">IF(OR($D2459="",$J2459&lt;&gt;"Supplier"),"",IFERROR(INDEX(SupplierRates!$E$5:$E$500,MATCH($K2459&amp;"|"&amp;$L2459,SupplierRates!$A$5:$A$500,0)),0))</f>
        <v/>
      </c>
      <c r="R2459" s="26" t="n">
        <f aca="false">IF(OR($D2459="",$J2459&lt;&gt;"Supplier"),0,F2459*P2459+G2459*Q2459)</f>
        <v>0</v>
      </c>
      <c r="S2459" s="26" t="n">
        <f aca="false">IF(OR($D2459="",$J2459&lt;&gt;"Own"),0,IFERROR((F2459+G2459*Settings!$B$13)*INDEX(Workers!$V$5:$V$2004,MATCH($D2459,Workers!$A$5:$A$2004,0)),0))</f>
        <v>0</v>
      </c>
      <c r="T2459" s="26" t="str">
        <f aca="false">IF($D2459="","",O2459-R2459-S2459)</f>
        <v/>
      </c>
    </row>
    <row r="2460" customFormat="false" ht="15" hidden="false" customHeight="false" outlineLevel="0" collapsed="false">
      <c r="I2460" s="24" t="str">
        <f aca="false">IF($D2460="","",IFERROR(INDEX(Workers!$B$5:$B$2004,MATCH($D2460,Workers!$A$5:$A$2004,0)),"NOT FOUND"))</f>
        <v/>
      </c>
      <c r="J2460" s="24" t="str">
        <f aca="false">IF($D2460="","",IFERROR(INDEX(Workers!$C$5:$C$2004,MATCH($D2460,Workers!$A$5:$A$2004,0)),""))</f>
        <v/>
      </c>
      <c r="K2460" s="24" t="str">
        <f aca="false">IF($D2460="","",IFERROR(IF(INDEX(Workers!$D$5:$D$2004,MATCH($D2460,Workers!$A$5:$A$2004,0))=0,"",INDEX(Workers!$D$5:$D$2004,MATCH($D2460,Workers!$A$5:$A$2004,0))),""))</f>
        <v/>
      </c>
      <c r="L2460" s="24" t="str">
        <f aca="false">IF($D2460="","",IFERROR(INDEX(Workers!$E$5:$E$2004,MATCH($D2460,Workers!$A$5:$A$2004,0)),""))</f>
        <v/>
      </c>
      <c r="M2460" s="26" t="str">
        <f aca="false">IF($D2460="","",IFERROR(INDEX(ClientRates!$D$5:$D$500,MATCH($B2460&amp;"|"&amp;$L2460,ClientRates!$A$5:$A$500,0)),0))</f>
        <v/>
      </c>
      <c r="N2460" s="26" t="str">
        <f aca="false">IF($D2460="","",IFERROR(INDEX(ClientRates!$E$5:$E$500,MATCH($B2460&amp;"|"&amp;$L2460,ClientRates!$A$5:$A$500,0)),0))</f>
        <v/>
      </c>
      <c r="O2460" s="26" t="str">
        <f aca="false">IF($D2460="","",F2460*M2460+G2460*N2460)</f>
        <v/>
      </c>
      <c r="P2460" s="26" t="str">
        <f aca="false">IF(OR($D2460="",$J2460&lt;&gt;"Supplier"),"",IFERROR(INDEX(SupplierRates!$D$5:$D$500,MATCH($K2460&amp;"|"&amp;$L2460,SupplierRates!$A$5:$A$500,0)),0))</f>
        <v/>
      </c>
      <c r="Q2460" s="26" t="str">
        <f aca="false">IF(OR($D2460="",$J2460&lt;&gt;"Supplier"),"",IFERROR(INDEX(SupplierRates!$E$5:$E$500,MATCH($K2460&amp;"|"&amp;$L2460,SupplierRates!$A$5:$A$500,0)),0))</f>
        <v/>
      </c>
      <c r="R2460" s="26" t="n">
        <f aca="false">IF(OR($D2460="",$J2460&lt;&gt;"Supplier"),0,F2460*P2460+G2460*Q2460)</f>
        <v>0</v>
      </c>
      <c r="S2460" s="26" t="n">
        <f aca="false">IF(OR($D2460="",$J2460&lt;&gt;"Own"),0,IFERROR((F2460+G2460*Settings!$B$13)*INDEX(Workers!$V$5:$V$2004,MATCH($D2460,Workers!$A$5:$A$2004,0)),0))</f>
        <v>0</v>
      </c>
      <c r="T2460" s="26" t="str">
        <f aca="false">IF($D2460="","",O2460-R2460-S2460)</f>
        <v/>
      </c>
    </row>
    <row r="2461" customFormat="false" ht="15" hidden="false" customHeight="false" outlineLevel="0" collapsed="false">
      <c r="I2461" s="24" t="str">
        <f aca="false">IF($D2461="","",IFERROR(INDEX(Workers!$B$5:$B$2004,MATCH($D2461,Workers!$A$5:$A$2004,0)),"NOT FOUND"))</f>
        <v/>
      </c>
      <c r="J2461" s="24" t="str">
        <f aca="false">IF($D2461="","",IFERROR(INDEX(Workers!$C$5:$C$2004,MATCH($D2461,Workers!$A$5:$A$2004,0)),""))</f>
        <v/>
      </c>
      <c r="K2461" s="24" t="str">
        <f aca="false">IF($D2461="","",IFERROR(IF(INDEX(Workers!$D$5:$D$2004,MATCH($D2461,Workers!$A$5:$A$2004,0))=0,"",INDEX(Workers!$D$5:$D$2004,MATCH($D2461,Workers!$A$5:$A$2004,0))),""))</f>
        <v/>
      </c>
      <c r="L2461" s="24" t="str">
        <f aca="false">IF($D2461="","",IFERROR(INDEX(Workers!$E$5:$E$2004,MATCH($D2461,Workers!$A$5:$A$2004,0)),""))</f>
        <v/>
      </c>
      <c r="M2461" s="26" t="str">
        <f aca="false">IF($D2461="","",IFERROR(INDEX(ClientRates!$D$5:$D$500,MATCH($B2461&amp;"|"&amp;$L2461,ClientRates!$A$5:$A$500,0)),0))</f>
        <v/>
      </c>
      <c r="N2461" s="26" t="str">
        <f aca="false">IF($D2461="","",IFERROR(INDEX(ClientRates!$E$5:$E$500,MATCH($B2461&amp;"|"&amp;$L2461,ClientRates!$A$5:$A$500,0)),0))</f>
        <v/>
      </c>
      <c r="O2461" s="26" t="str">
        <f aca="false">IF($D2461="","",F2461*M2461+G2461*N2461)</f>
        <v/>
      </c>
      <c r="P2461" s="26" t="str">
        <f aca="false">IF(OR($D2461="",$J2461&lt;&gt;"Supplier"),"",IFERROR(INDEX(SupplierRates!$D$5:$D$500,MATCH($K2461&amp;"|"&amp;$L2461,SupplierRates!$A$5:$A$500,0)),0))</f>
        <v/>
      </c>
      <c r="Q2461" s="26" t="str">
        <f aca="false">IF(OR($D2461="",$J2461&lt;&gt;"Supplier"),"",IFERROR(INDEX(SupplierRates!$E$5:$E$500,MATCH($K2461&amp;"|"&amp;$L2461,SupplierRates!$A$5:$A$500,0)),0))</f>
        <v/>
      </c>
      <c r="R2461" s="26" t="n">
        <f aca="false">IF(OR($D2461="",$J2461&lt;&gt;"Supplier"),0,F2461*P2461+G2461*Q2461)</f>
        <v>0</v>
      </c>
      <c r="S2461" s="26" t="n">
        <f aca="false">IF(OR($D2461="",$J2461&lt;&gt;"Own"),0,IFERROR((F2461+G2461*Settings!$B$13)*INDEX(Workers!$V$5:$V$2004,MATCH($D2461,Workers!$A$5:$A$2004,0)),0))</f>
        <v>0</v>
      </c>
      <c r="T2461" s="26" t="str">
        <f aca="false">IF($D2461="","",O2461-R2461-S2461)</f>
        <v/>
      </c>
    </row>
    <row r="2462" customFormat="false" ht="15" hidden="false" customHeight="false" outlineLevel="0" collapsed="false">
      <c r="I2462" s="24" t="str">
        <f aca="false">IF($D2462="","",IFERROR(INDEX(Workers!$B$5:$B$2004,MATCH($D2462,Workers!$A$5:$A$2004,0)),"NOT FOUND"))</f>
        <v/>
      </c>
      <c r="J2462" s="24" t="str">
        <f aca="false">IF($D2462="","",IFERROR(INDEX(Workers!$C$5:$C$2004,MATCH($D2462,Workers!$A$5:$A$2004,0)),""))</f>
        <v/>
      </c>
      <c r="K2462" s="24" t="str">
        <f aca="false">IF($D2462="","",IFERROR(IF(INDEX(Workers!$D$5:$D$2004,MATCH($D2462,Workers!$A$5:$A$2004,0))=0,"",INDEX(Workers!$D$5:$D$2004,MATCH($D2462,Workers!$A$5:$A$2004,0))),""))</f>
        <v/>
      </c>
      <c r="L2462" s="24" t="str">
        <f aca="false">IF($D2462="","",IFERROR(INDEX(Workers!$E$5:$E$2004,MATCH($D2462,Workers!$A$5:$A$2004,0)),""))</f>
        <v/>
      </c>
      <c r="M2462" s="26" t="str">
        <f aca="false">IF($D2462="","",IFERROR(INDEX(ClientRates!$D$5:$D$500,MATCH($B2462&amp;"|"&amp;$L2462,ClientRates!$A$5:$A$500,0)),0))</f>
        <v/>
      </c>
      <c r="N2462" s="26" t="str">
        <f aca="false">IF($D2462="","",IFERROR(INDEX(ClientRates!$E$5:$E$500,MATCH($B2462&amp;"|"&amp;$L2462,ClientRates!$A$5:$A$500,0)),0))</f>
        <v/>
      </c>
      <c r="O2462" s="26" t="str">
        <f aca="false">IF($D2462="","",F2462*M2462+G2462*N2462)</f>
        <v/>
      </c>
      <c r="P2462" s="26" t="str">
        <f aca="false">IF(OR($D2462="",$J2462&lt;&gt;"Supplier"),"",IFERROR(INDEX(SupplierRates!$D$5:$D$500,MATCH($K2462&amp;"|"&amp;$L2462,SupplierRates!$A$5:$A$500,0)),0))</f>
        <v/>
      </c>
      <c r="Q2462" s="26" t="str">
        <f aca="false">IF(OR($D2462="",$J2462&lt;&gt;"Supplier"),"",IFERROR(INDEX(SupplierRates!$E$5:$E$500,MATCH($K2462&amp;"|"&amp;$L2462,SupplierRates!$A$5:$A$500,0)),0))</f>
        <v/>
      </c>
      <c r="R2462" s="26" t="n">
        <f aca="false">IF(OR($D2462="",$J2462&lt;&gt;"Supplier"),0,F2462*P2462+G2462*Q2462)</f>
        <v>0</v>
      </c>
      <c r="S2462" s="26" t="n">
        <f aca="false">IF(OR($D2462="",$J2462&lt;&gt;"Own"),0,IFERROR((F2462+G2462*Settings!$B$13)*INDEX(Workers!$V$5:$V$2004,MATCH($D2462,Workers!$A$5:$A$2004,0)),0))</f>
        <v>0</v>
      </c>
      <c r="T2462" s="26" t="str">
        <f aca="false">IF($D2462="","",O2462-R2462-S2462)</f>
        <v/>
      </c>
    </row>
    <row r="2463" customFormat="false" ht="15" hidden="false" customHeight="false" outlineLevel="0" collapsed="false">
      <c r="I2463" s="24" t="str">
        <f aca="false">IF($D2463="","",IFERROR(INDEX(Workers!$B$5:$B$2004,MATCH($D2463,Workers!$A$5:$A$2004,0)),"NOT FOUND"))</f>
        <v/>
      </c>
      <c r="J2463" s="24" t="str">
        <f aca="false">IF($D2463="","",IFERROR(INDEX(Workers!$C$5:$C$2004,MATCH($D2463,Workers!$A$5:$A$2004,0)),""))</f>
        <v/>
      </c>
      <c r="K2463" s="24" t="str">
        <f aca="false">IF($D2463="","",IFERROR(IF(INDEX(Workers!$D$5:$D$2004,MATCH($D2463,Workers!$A$5:$A$2004,0))=0,"",INDEX(Workers!$D$5:$D$2004,MATCH($D2463,Workers!$A$5:$A$2004,0))),""))</f>
        <v/>
      </c>
      <c r="L2463" s="24" t="str">
        <f aca="false">IF($D2463="","",IFERROR(INDEX(Workers!$E$5:$E$2004,MATCH($D2463,Workers!$A$5:$A$2004,0)),""))</f>
        <v/>
      </c>
      <c r="M2463" s="26" t="str">
        <f aca="false">IF($D2463="","",IFERROR(INDEX(ClientRates!$D$5:$D$500,MATCH($B2463&amp;"|"&amp;$L2463,ClientRates!$A$5:$A$500,0)),0))</f>
        <v/>
      </c>
      <c r="N2463" s="26" t="str">
        <f aca="false">IF($D2463="","",IFERROR(INDEX(ClientRates!$E$5:$E$500,MATCH($B2463&amp;"|"&amp;$L2463,ClientRates!$A$5:$A$500,0)),0))</f>
        <v/>
      </c>
      <c r="O2463" s="26" t="str">
        <f aca="false">IF($D2463="","",F2463*M2463+G2463*N2463)</f>
        <v/>
      </c>
      <c r="P2463" s="26" t="str">
        <f aca="false">IF(OR($D2463="",$J2463&lt;&gt;"Supplier"),"",IFERROR(INDEX(SupplierRates!$D$5:$D$500,MATCH($K2463&amp;"|"&amp;$L2463,SupplierRates!$A$5:$A$500,0)),0))</f>
        <v/>
      </c>
      <c r="Q2463" s="26" t="str">
        <f aca="false">IF(OR($D2463="",$J2463&lt;&gt;"Supplier"),"",IFERROR(INDEX(SupplierRates!$E$5:$E$500,MATCH($K2463&amp;"|"&amp;$L2463,SupplierRates!$A$5:$A$500,0)),0))</f>
        <v/>
      </c>
      <c r="R2463" s="26" t="n">
        <f aca="false">IF(OR($D2463="",$J2463&lt;&gt;"Supplier"),0,F2463*P2463+G2463*Q2463)</f>
        <v>0</v>
      </c>
      <c r="S2463" s="26" t="n">
        <f aca="false">IF(OR($D2463="",$J2463&lt;&gt;"Own"),0,IFERROR((F2463+G2463*Settings!$B$13)*INDEX(Workers!$V$5:$V$2004,MATCH($D2463,Workers!$A$5:$A$2004,0)),0))</f>
        <v>0</v>
      </c>
      <c r="T2463" s="26" t="str">
        <f aca="false">IF($D2463="","",O2463-R2463-S2463)</f>
        <v/>
      </c>
    </row>
    <row r="2464" customFormat="false" ht="15" hidden="false" customHeight="false" outlineLevel="0" collapsed="false">
      <c r="I2464" s="24" t="str">
        <f aca="false">IF($D2464="","",IFERROR(INDEX(Workers!$B$5:$B$2004,MATCH($D2464,Workers!$A$5:$A$2004,0)),"NOT FOUND"))</f>
        <v/>
      </c>
      <c r="J2464" s="24" t="str">
        <f aca="false">IF($D2464="","",IFERROR(INDEX(Workers!$C$5:$C$2004,MATCH($D2464,Workers!$A$5:$A$2004,0)),""))</f>
        <v/>
      </c>
      <c r="K2464" s="24" t="str">
        <f aca="false">IF($D2464="","",IFERROR(IF(INDEX(Workers!$D$5:$D$2004,MATCH($D2464,Workers!$A$5:$A$2004,0))=0,"",INDEX(Workers!$D$5:$D$2004,MATCH($D2464,Workers!$A$5:$A$2004,0))),""))</f>
        <v/>
      </c>
      <c r="L2464" s="24" t="str">
        <f aca="false">IF($D2464="","",IFERROR(INDEX(Workers!$E$5:$E$2004,MATCH($D2464,Workers!$A$5:$A$2004,0)),""))</f>
        <v/>
      </c>
      <c r="M2464" s="26" t="str">
        <f aca="false">IF($D2464="","",IFERROR(INDEX(ClientRates!$D$5:$D$500,MATCH($B2464&amp;"|"&amp;$L2464,ClientRates!$A$5:$A$500,0)),0))</f>
        <v/>
      </c>
      <c r="N2464" s="26" t="str">
        <f aca="false">IF($D2464="","",IFERROR(INDEX(ClientRates!$E$5:$E$500,MATCH($B2464&amp;"|"&amp;$L2464,ClientRates!$A$5:$A$500,0)),0))</f>
        <v/>
      </c>
      <c r="O2464" s="26" t="str">
        <f aca="false">IF($D2464="","",F2464*M2464+G2464*N2464)</f>
        <v/>
      </c>
      <c r="P2464" s="26" t="str">
        <f aca="false">IF(OR($D2464="",$J2464&lt;&gt;"Supplier"),"",IFERROR(INDEX(SupplierRates!$D$5:$D$500,MATCH($K2464&amp;"|"&amp;$L2464,SupplierRates!$A$5:$A$500,0)),0))</f>
        <v/>
      </c>
      <c r="Q2464" s="26" t="str">
        <f aca="false">IF(OR($D2464="",$J2464&lt;&gt;"Supplier"),"",IFERROR(INDEX(SupplierRates!$E$5:$E$500,MATCH($K2464&amp;"|"&amp;$L2464,SupplierRates!$A$5:$A$500,0)),0))</f>
        <v/>
      </c>
      <c r="R2464" s="26" t="n">
        <f aca="false">IF(OR($D2464="",$J2464&lt;&gt;"Supplier"),0,F2464*P2464+G2464*Q2464)</f>
        <v>0</v>
      </c>
      <c r="S2464" s="26" t="n">
        <f aca="false">IF(OR($D2464="",$J2464&lt;&gt;"Own"),0,IFERROR((F2464+G2464*Settings!$B$13)*INDEX(Workers!$V$5:$V$2004,MATCH($D2464,Workers!$A$5:$A$2004,0)),0))</f>
        <v>0</v>
      </c>
      <c r="T2464" s="26" t="str">
        <f aca="false">IF($D2464="","",O2464-R2464-S2464)</f>
        <v/>
      </c>
    </row>
    <row r="2465" customFormat="false" ht="15" hidden="false" customHeight="false" outlineLevel="0" collapsed="false">
      <c r="I2465" s="24" t="str">
        <f aca="false">IF($D2465="","",IFERROR(INDEX(Workers!$B$5:$B$2004,MATCH($D2465,Workers!$A$5:$A$2004,0)),"NOT FOUND"))</f>
        <v/>
      </c>
      <c r="J2465" s="24" t="str">
        <f aca="false">IF($D2465="","",IFERROR(INDEX(Workers!$C$5:$C$2004,MATCH($D2465,Workers!$A$5:$A$2004,0)),""))</f>
        <v/>
      </c>
      <c r="K2465" s="24" t="str">
        <f aca="false">IF($D2465="","",IFERROR(IF(INDEX(Workers!$D$5:$D$2004,MATCH($D2465,Workers!$A$5:$A$2004,0))=0,"",INDEX(Workers!$D$5:$D$2004,MATCH($D2465,Workers!$A$5:$A$2004,0))),""))</f>
        <v/>
      </c>
      <c r="L2465" s="24" t="str">
        <f aca="false">IF($D2465="","",IFERROR(INDEX(Workers!$E$5:$E$2004,MATCH($D2465,Workers!$A$5:$A$2004,0)),""))</f>
        <v/>
      </c>
      <c r="M2465" s="26" t="str">
        <f aca="false">IF($D2465="","",IFERROR(INDEX(ClientRates!$D$5:$D$500,MATCH($B2465&amp;"|"&amp;$L2465,ClientRates!$A$5:$A$500,0)),0))</f>
        <v/>
      </c>
      <c r="N2465" s="26" t="str">
        <f aca="false">IF($D2465="","",IFERROR(INDEX(ClientRates!$E$5:$E$500,MATCH($B2465&amp;"|"&amp;$L2465,ClientRates!$A$5:$A$500,0)),0))</f>
        <v/>
      </c>
      <c r="O2465" s="26" t="str">
        <f aca="false">IF($D2465="","",F2465*M2465+G2465*N2465)</f>
        <v/>
      </c>
      <c r="P2465" s="26" t="str">
        <f aca="false">IF(OR($D2465="",$J2465&lt;&gt;"Supplier"),"",IFERROR(INDEX(SupplierRates!$D$5:$D$500,MATCH($K2465&amp;"|"&amp;$L2465,SupplierRates!$A$5:$A$500,0)),0))</f>
        <v/>
      </c>
      <c r="Q2465" s="26" t="str">
        <f aca="false">IF(OR($D2465="",$J2465&lt;&gt;"Supplier"),"",IFERROR(INDEX(SupplierRates!$E$5:$E$500,MATCH($K2465&amp;"|"&amp;$L2465,SupplierRates!$A$5:$A$500,0)),0))</f>
        <v/>
      </c>
      <c r="R2465" s="26" t="n">
        <f aca="false">IF(OR($D2465="",$J2465&lt;&gt;"Supplier"),0,F2465*P2465+G2465*Q2465)</f>
        <v>0</v>
      </c>
      <c r="S2465" s="26" t="n">
        <f aca="false">IF(OR($D2465="",$J2465&lt;&gt;"Own"),0,IFERROR((F2465+G2465*Settings!$B$13)*INDEX(Workers!$V$5:$V$2004,MATCH($D2465,Workers!$A$5:$A$2004,0)),0))</f>
        <v>0</v>
      </c>
      <c r="T2465" s="26" t="str">
        <f aca="false">IF($D2465="","",O2465-R2465-S2465)</f>
        <v/>
      </c>
    </row>
    <row r="2466" customFormat="false" ht="15" hidden="false" customHeight="false" outlineLevel="0" collapsed="false">
      <c r="I2466" s="24" t="str">
        <f aca="false">IF($D2466="","",IFERROR(INDEX(Workers!$B$5:$B$2004,MATCH($D2466,Workers!$A$5:$A$2004,0)),"NOT FOUND"))</f>
        <v/>
      </c>
      <c r="J2466" s="24" t="str">
        <f aca="false">IF($D2466="","",IFERROR(INDEX(Workers!$C$5:$C$2004,MATCH($D2466,Workers!$A$5:$A$2004,0)),""))</f>
        <v/>
      </c>
      <c r="K2466" s="24" t="str">
        <f aca="false">IF($D2466="","",IFERROR(IF(INDEX(Workers!$D$5:$D$2004,MATCH($D2466,Workers!$A$5:$A$2004,0))=0,"",INDEX(Workers!$D$5:$D$2004,MATCH($D2466,Workers!$A$5:$A$2004,0))),""))</f>
        <v/>
      </c>
      <c r="L2466" s="24" t="str">
        <f aca="false">IF($D2466="","",IFERROR(INDEX(Workers!$E$5:$E$2004,MATCH($D2466,Workers!$A$5:$A$2004,0)),""))</f>
        <v/>
      </c>
      <c r="M2466" s="26" t="str">
        <f aca="false">IF($D2466="","",IFERROR(INDEX(ClientRates!$D$5:$D$500,MATCH($B2466&amp;"|"&amp;$L2466,ClientRates!$A$5:$A$500,0)),0))</f>
        <v/>
      </c>
      <c r="N2466" s="26" t="str">
        <f aca="false">IF($D2466="","",IFERROR(INDEX(ClientRates!$E$5:$E$500,MATCH($B2466&amp;"|"&amp;$L2466,ClientRates!$A$5:$A$500,0)),0))</f>
        <v/>
      </c>
      <c r="O2466" s="26" t="str">
        <f aca="false">IF($D2466="","",F2466*M2466+G2466*N2466)</f>
        <v/>
      </c>
      <c r="P2466" s="26" t="str">
        <f aca="false">IF(OR($D2466="",$J2466&lt;&gt;"Supplier"),"",IFERROR(INDEX(SupplierRates!$D$5:$D$500,MATCH($K2466&amp;"|"&amp;$L2466,SupplierRates!$A$5:$A$500,0)),0))</f>
        <v/>
      </c>
      <c r="Q2466" s="26" t="str">
        <f aca="false">IF(OR($D2466="",$J2466&lt;&gt;"Supplier"),"",IFERROR(INDEX(SupplierRates!$E$5:$E$500,MATCH($K2466&amp;"|"&amp;$L2466,SupplierRates!$A$5:$A$500,0)),0))</f>
        <v/>
      </c>
      <c r="R2466" s="26" t="n">
        <f aca="false">IF(OR($D2466="",$J2466&lt;&gt;"Supplier"),0,F2466*P2466+G2466*Q2466)</f>
        <v>0</v>
      </c>
      <c r="S2466" s="26" t="n">
        <f aca="false">IF(OR($D2466="",$J2466&lt;&gt;"Own"),0,IFERROR((F2466+G2466*Settings!$B$13)*INDEX(Workers!$V$5:$V$2004,MATCH($D2466,Workers!$A$5:$A$2004,0)),0))</f>
        <v>0</v>
      </c>
      <c r="T2466" s="26" t="str">
        <f aca="false">IF($D2466="","",O2466-R2466-S2466)</f>
        <v/>
      </c>
    </row>
    <row r="2467" customFormat="false" ht="15" hidden="false" customHeight="false" outlineLevel="0" collapsed="false">
      <c r="I2467" s="24" t="str">
        <f aca="false">IF($D2467="","",IFERROR(INDEX(Workers!$B$5:$B$2004,MATCH($D2467,Workers!$A$5:$A$2004,0)),"NOT FOUND"))</f>
        <v/>
      </c>
      <c r="J2467" s="24" t="str">
        <f aca="false">IF($D2467="","",IFERROR(INDEX(Workers!$C$5:$C$2004,MATCH($D2467,Workers!$A$5:$A$2004,0)),""))</f>
        <v/>
      </c>
      <c r="K2467" s="24" t="str">
        <f aca="false">IF($D2467="","",IFERROR(IF(INDEX(Workers!$D$5:$D$2004,MATCH($D2467,Workers!$A$5:$A$2004,0))=0,"",INDEX(Workers!$D$5:$D$2004,MATCH($D2467,Workers!$A$5:$A$2004,0))),""))</f>
        <v/>
      </c>
      <c r="L2467" s="24" t="str">
        <f aca="false">IF($D2467="","",IFERROR(INDEX(Workers!$E$5:$E$2004,MATCH($D2467,Workers!$A$5:$A$2004,0)),""))</f>
        <v/>
      </c>
      <c r="M2467" s="26" t="str">
        <f aca="false">IF($D2467="","",IFERROR(INDEX(ClientRates!$D$5:$D$500,MATCH($B2467&amp;"|"&amp;$L2467,ClientRates!$A$5:$A$500,0)),0))</f>
        <v/>
      </c>
      <c r="N2467" s="26" t="str">
        <f aca="false">IF($D2467="","",IFERROR(INDEX(ClientRates!$E$5:$E$500,MATCH($B2467&amp;"|"&amp;$L2467,ClientRates!$A$5:$A$500,0)),0))</f>
        <v/>
      </c>
      <c r="O2467" s="26" t="str">
        <f aca="false">IF($D2467="","",F2467*M2467+G2467*N2467)</f>
        <v/>
      </c>
      <c r="P2467" s="26" t="str">
        <f aca="false">IF(OR($D2467="",$J2467&lt;&gt;"Supplier"),"",IFERROR(INDEX(SupplierRates!$D$5:$D$500,MATCH($K2467&amp;"|"&amp;$L2467,SupplierRates!$A$5:$A$500,0)),0))</f>
        <v/>
      </c>
      <c r="Q2467" s="26" t="str">
        <f aca="false">IF(OR($D2467="",$J2467&lt;&gt;"Supplier"),"",IFERROR(INDEX(SupplierRates!$E$5:$E$500,MATCH($K2467&amp;"|"&amp;$L2467,SupplierRates!$A$5:$A$500,0)),0))</f>
        <v/>
      </c>
      <c r="R2467" s="26" t="n">
        <f aca="false">IF(OR($D2467="",$J2467&lt;&gt;"Supplier"),0,F2467*P2467+G2467*Q2467)</f>
        <v>0</v>
      </c>
      <c r="S2467" s="26" t="n">
        <f aca="false">IF(OR($D2467="",$J2467&lt;&gt;"Own"),0,IFERROR((F2467+G2467*Settings!$B$13)*INDEX(Workers!$V$5:$V$2004,MATCH($D2467,Workers!$A$5:$A$2004,0)),0))</f>
        <v>0</v>
      </c>
      <c r="T2467" s="26" t="str">
        <f aca="false">IF($D2467="","",O2467-R2467-S2467)</f>
        <v/>
      </c>
    </row>
    <row r="2468" customFormat="false" ht="15" hidden="false" customHeight="false" outlineLevel="0" collapsed="false">
      <c r="I2468" s="24" t="str">
        <f aca="false">IF($D2468="","",IFERROR(INDEX(Workers!$B$5:$B$2004,MATCH($D2468,Workers!$A$5:$A$2004,0)),"NOT FOUND"))</f>
        <v/>
      </c>
      <c r="J2468" s="24" t="str">
        <f aca="false">IF($D2468="","",IFERROR(INDEX(Workers!$C$5:$C$2004,MATCH($D2468,Workers!$A$5:$A$2004,0)),""))</f>
        <v/>
      </c>
      <c r="K2468" s="24" t="str">
        <f aca="false">IF($D2468="","",IFERROR(IF(INDEX(Workers!$D$5:$D$2004,MATCH($D2468,Workers!$A$5:$A$2004,0))=0,"",INDEX(Workers!$D$5:$D$2004,MATCH($D2468,Workers!$A$5:$A$2004,0))),""))</f>
        <v/>
      </c>
      <c r="L2468" s="24" t="str">
        <f aca="false">IF($D2468="","",IFERROR(INDEX(Workers!$E$5:$E$2004,MATCH($D2468,Workers!$A$5:$A$2004,0)),""))</f>
        <v/>
      </c>
      <c r="M2468" s="26" t="str">
        <f aca="false">IF($D2468="","",IFERROR(INDEX(ClientRates!$D$5:$D$500,MATCH($B2468&amp;"|"&amp;$L2468,ClientRates!$A$5:$A$500,0)),0))</f>
        <v/>
      </c>
      <c r="N2468" s="26" t="str">
        <f aca="false">IF($D2468="","",IFERROR(INDEX(ClientRates!$E$5:$E$500,MATCH($B2468&amp;"|"&amp;$L2468,ClientRates!$A$5:$A$500,0)),0))</f>
        <v/>
      </c>
      <c r="O2468" s="26" t="str">
        <f aca="false">IF($D2468="","",F2468*M2468+G2468*N2468)</f>
        <v/>
      </c>
      <c r="P2468" s="26" t="str">
        <f aca="false">IF(OR($D2468="",$J2468&lt;&gt;"Supplier"),"",IFERROR(INDEX(SupplierRates!$D$5:$D$500,MATCH($K2468&amp;"|"&amp;$L2468,SupplierRates!$A$5:$A$500,0)),0))</f>
        <v/>
      </c>
      <c r="Q2468" s="26" t="str">
        <f aca="false">IF(OR($D2468="",$J2468&lt;&gt;"Supplier"),"",IFERROR(INDEX(SupplierRates!$E$5:$E$500,MATCH($K2468&amp;"|"&amp;$L2468,SupplierRates!$A$5:$A$500,0)),0))</f>
        <v/>
      </c>
      <c r="R2468" s="26" t="n">
        <f aca="false">IF(OR($D2468="",$J2468&lt;&gt;"Supplier"),0,F2468*P2468+G2468*Q2468)</f>
        <v>0</v>
      </c>
      <c r="S2468" s="26" t="n">
        <f aca="false">IF(OR($D2468="",$J2468&lt;&gt;"Own"),0,IFERROR((F2468+G2468*Settings!$B$13)*INDEX(Workers!$V$5:$V$2004,MATCH($D2468,Workers!$A$5:$A$2004,0)),0))</f>
        <v>0</v>
      </c>
      <c r="T2468" s="26" t="str">
        <f aca="false">IF($D2468="","",O2468-R2468-S2468)</f>
        <v/>
      </c>
    </row>
    <row r="2469" customFormat="false" ht="15" hidden="false" customHeight="false" outlineLevel="0" collapsed="false">
      <c r="I2469" s="24" t="str">
        <f aca="false">IF($D2469="","",IFERROR(INDEX(Workers!$B$5:$B$2004,MATCH($D2469,Workers!$A$5:$A$2004,0)),"NOT FOUND"))</f>
        <v/>
      </c>
      <c r="J2469" s="24" t="str">
        <f aca="false">IF($D2469="","",IFERROR(INDEX(Workers!$C$5:$C$2004,MATCH($D2469,Workers!$A$5:$A$2004,0)),""))</f>
        <v/>
      </c>
      <c r="K2469" s="24" t="str">
        <f aca="false">IF($D2469="","",IFERROR(IF(INDEX(Workers!$D$5:$D$2004,MATCH($D2469,Workers!$A$5:$A$2004,0))=0,"",INDEX(Workers!$D$5:$D$2004,MATCH($D2469,Workers!$A$5:$A$2004,0))),""))</f>
        <v/>
      </c>
      <c r="L2469" s="24" t="str">
        <f aca="false">IF($D2469="","",IFERROR(INDEX(Workers!$E$5:$E$2004,MATCH($D2469,Workers!$A$5:$A$2004,0)),""))</f>
        <v/>
      </c>
      <c r="M2469" s="26" t="str">
        <f aca="false">IF($D2469="","",IFERROR(INDEX(ClientRates!$D$5:$D$500,MATCH($B2469&amp;"|"&amp;$L2469,ClientRates!$A$5:$A$500,0)),0))</f>
        <v/>
      </c>
      <c r="N2469" s="26" t="str">
        <f aca="false">IF($D2469="","",IFERROR(INDEX(ClientRates!$E$5:$E$500,MATCH($B2469&amp;"|"&amp;$L2469,ClientRates!$A$5:$A$500,0)),0))</f>
        <v/>
      </c>
      <c r="O2469" s="26" t="str">
        <f aca="false">IF($D2469="","",F2469*M2469+G2469*N2469)</f>
        <v/>
      </c>
      <c r="P2469" s="26" t="str">
        <f aca="false">IF(OR($D2469="",$J2469&lt;&gt;"Supplier"),"",IFERROR(INDEX(SupplierRates!$D$5:$D$500,MATCH($K2469&amp;"|"&amp;$L2469,SupplierRates!$A$5:$A$500,0)),0))</f>
        <v/>
      </c>
      <c r="Q2469" s="26" t="str">
        <f aca="false">IF(OR($D2469="",$J2469&lt;&gt;"Supplier"),"",IFERROR(INDEX(SupplierRates!$E$5:$E$500,MATCH($K2469&amp;"|"&amp;$L2469,SupplierRates!$A$5:$A$500,0)),0))</f>
        <v/>
      </c>
      <c r="R2469" s="26" t="n">
        <f aca="false">IF(OR($D2469="",$J2469&lt;&gt;"Supplier"),0,F2469*P2469+G2469*Q2469)</f>
        <v>0</v>
      </c>
      <c r="S2469" s="26" t="n">
        <f aca="false">IF(OR($D2469="",$J2469&lt;&gt;"Own"),0,IFERROR((F2469+G2469*Settings!$B$13)*INDEX(Workers!$V$5:$V$2004,MATCH($D2469,Workers!$A$5:$A$2004,0)),0))</f>
        <v>0</v>
      </c>
      <c r="T2469" s="26" t="str">
        <f aca="false">IF($D2469="","",O2469-R2469-S2469)</f>
        <v/>
      </c>
    </row>
    <row r="2470" customFormat="false" ht="15" hidden="false" customHeight="false" outlineLevel="0" collapsed="false">
      <c r="I2470" s="24" t="str">
        <f aca="false">IF($D2470="","",IFERROR(INDEX(Workers!$B$5:$B$2004,MATCH($D2470,Workers!$A$5:$A$2004,0)),"NOT FOUND"))</f>
        <v/>
      </c>
      <c r="J2470" s="24" t="str">
        <f aca="false">IF($D2470="","",IFERROR(INDEX(Workers!$C$5:$C$2004,MATCH($D2470,Workers!$A$5:$A$2004,0)),""))</f>
        <v/>
      </c>
      <c r="K2470" s="24" t="str">
        <f aca="false">IF($D2470="","",IFERROR(IF(INDEX(Workers!$D$5:$D$2004,MATCH($D2470,Workers!$A$5:$A$2004,0))=0,"",INDEX(Workers!$D$5:$D$2004,MATCH($D2470,Workers!$A$5:$A$2004,0))),""))</f>
        <v/>
      </c>
      <c r="L2470" s="24" t="str">
        <f aca="false">IF($D2470="","",IFERROR(INDEX(Workers!$E$5:$E$2004,MATCH($D2470,Workers!$A$5:$A$2004,0)),""))</f>
        <v/>
      </c>
      <c r="M2470" s="26" t="str">
        <f aca="false">IF($D2470="","",IFERROR(INDEX(ClientRates!$D$5:$D$500,MATCH($B2470&amp;"|"&amp;$L2470,ClientRates!$A$5:$A$500,0)),0))</f>
        <v/>
      </c>
      <c r="N2470" s="26" t="str">
        <f aca="false">IF($D2470="","",IFERROR(INDEX(ClientRates!$E$5:$E$500,MATCH($B2470&amp;"|"&amp;$L2470,ClientRates!$A$5:$A$500,0)),0))</f>
        <v/>
      </c>
      <c r="O2470" s="26" t="str">
        <f aca="false">IF($D2470="","",F2470*M2470+G2470*N2470)</f>
        <v/>
      </c>
      <c r="P2470" s="26" t="str">
        <f aca="false">IF(OR($D2470="",$J2470&lt;&gt;"Supplier"),"",IFERROR(INDEX(SupplierRates!$D$5:$D$500,MATCH($K2470&amp;"|"&amp;$L2470,SupplierRates!$A$5:$A$500,0)),0))</f>
        <v/>
      </c>
      <c r="Q2470" s="26" t="str">
        <f aca="false">IF(OR($D2470="",$J2470&lt;&gt;"Supplier"),"",IFERROR(INDEX(SupplierRates!$E$5:$E$500,MATCH($K2470&amp;"|"&amp;$L2470,SupplierRates!$A$5:$A$500,0)),0))</f>
        <v/>
      </c>
      <c r="R2470" s="26" t="n">
        <f aca="false">IF(OR($D2470="",$J2470&lt;&gt;"Supplier"),0,F2470*P2470+G2470*Q2470)</f>
        <v>0</v>
      </c>
      <c r="S2470" s="26" t="n">
        <f aca="false">IF(OR($D2470="",$J2470&lt;&gt;"Own"),0,IFERROR((F2470+G2470*Settings!$B$13)*INDEX(Workers!$V$5:$V$2004,MATCH($D2470,Workers!$A$5:$A$2004,0)),0))</f>
        <v>0</v>
      </c>
      <c r="T2470" s="26" t="str">
        <f aca="false">IF($D2470="","",O2470-R2470-S2470)</f>
        <v/>
      </c>
    </row>
    <row r="2471" customFormat="false" ht="15" hidden="false" customHeight="false" outlineLevel="0" collapsed="false">
      <c r="I2471" s="24" t="str">
        <f aca="false">IF($D2471="","",IFERROR(INDEX(Workers!$B$5:$B$2004,MATCH($D2471,Workers!$A$5:$A$2004,0)),"NOT FOUND"))</f>
        <v/>
      </c>
      <c r="J2471" s="24" t="str">
        <f aca="false">IF($D2471="","",IFERROR(INDEX(Workers!$C$5:$C$2004,MATCH($D2471,Workers!$A$5:$A$2004,0)),""))</f>
        <v/>
      </c>
      <c r="K2471" s="24" t="str">
        <f aca="false">IF($D2471="","",IFERROR(IF(INDEX(Workers!$D$5:$D$2004,MATCH($D2471,Workers!$A$5:$A$2004,0))=0,"",INDEX(Workers!$D$5:$D$2004,MATCH($D2471,Workers!$A$5:$A$2004,0))),""))</f>
        <v/>
      </c>
      <c r="L2471" s="24" t="str">
        <f aca="false">IF($D2471="","",IFERROR(INDEX(Workers!$E$5:$E$2004,MATCH($D2471,Workers!$A$5:$A$2004,0)),""))</f>
        <v/>
      </c>
      <c r="M2471" s="26" t="str">
        <f aca="false">IF($D2471="","",IFERROR(INDEX(ClientRates!$D$5:$D$500,MATCH($B2471&amp;"|"&amp;$L2471,ClientRates!$A$5:$A$500,0)),0))</f>
        <v/>
      </c>
      <c r="N2471" s="26" t="str">
        <f aca="false">IF($D2471="","",IFERROR(INDEX(ClientRates!$E$5:$E$500,MATCH($B2471&amp;"|"&amp;$L2471,ClientRates!$A$5:$A$500,0)),0))</f>
        <v/>
      </c>
      <c r="O2471" s="26" t="str">
        <f aca="false">IF($D2471="","",F2471*M2471+G2471*N2471)</f>
        <v/>
      </c>
      <c r="P2471" s="26" t="str">
        <f aca="false">IF(OR($D2471="",$J2471&lt;&gt;"Supplier"),"",IFERROR(INDEX(SupplierRates!$D$5:$D$500,MATCH($K2471&amp;"|"&amp;$L2471,SupplierRates!$A$5:$A$500,0)),0))</f>
        <v/>
      </c>
      <c r="Q2471" s="26" t="str">
        <f aca="false">IF(OR($D2471="",$J2471&lt;&gt;"Supplier"),"",IFERROR(INDEX(SupplierRates!$E$5:$E$500,MATCH($K2471&amp;"|"&amp;$L2471,SupplierRates!$A$5:$A$500,0)),0))</f>
        <v/>
      </c>
      <c r="R2471" s="26" t="n">
        <f aca="false">IF(OR($D2471="",$J2471&lt;&gt;"Supplier"),0,F2471*P2471+G2471*Q2471)</f>
        <v>0</v>
      </c>
      <c r="S2471" s="26" t="n">
        <f aca="false">IF(OR($D2471="",$J2471&lt;&gt;"Own"),0,IFERROR((F2471+G2471*Settings!$B$13)*INDEX(Workers!$V$5:$V$2004,MATCH($D2471,Workers!$A$5:$A$2004,0)),0))</f>
        <v>0</v>
      </c>
      <c r="T2471" s="26" t="str">
        <f aca="false">IF($D2471="","",O2471-R2471-S2471)</f>
        <v/>
      </c>
    </row>
    <row r="2472" customFormat="false" ht="15" hidden="false" customHeight="false" outlineLevel="0" collapsed="false">
      <c r="I2472" s="24" t="str">
        <f aca="false">IF($D2472="","",IFERROR(INDEX(Workers!$B$5:$B$2004,MATCH($D2472,Workers!$A$5:$A$2004,0)),"NOT FOUND"))</f>
        <v/>
      </c>
      <c r="J2472" s="24" t="str">
        <f aca="false">IF($D2472="","",IFERROR(INDEX(Workers!$C$5:$C$2004,MATCH($D2472,Workers!$A$5:$A$2004,0)),""))</f>
        <v/>
      </c>
      <c r="K2472" s="24" t="str">
        <f aca="false">IF($D2472="","",IFERROR(IF(INDEX(Workers!$D$5:$D$2004,MATCH($D2472,Workers!$A$5:$A$2004,0))=0,"",INDEX(Workers!$D$5:$D$2004,MATCH($D2472,Workers!$A$5:$A$2004,0))),""))</f>
        <v/>
      </c>
      <c r="L2472" s="24" t="str">
        <f aca="false">IF($D2472="","",IFERROR(INDEX(Workers!$E$5:$E$2004,MATCH($D2472,Workers!$A$5:$A$2004,0)),""))</f>
        <v/>
      </c>
      <c r="M2472" s="26" t="str">
        <f aca="false">IF($D2472="","",IFERROR(INDEX(ClientRates!$D$5:$D$500,MATCH($B2472&amp;"|"&amp;$L2472,ClientRates!$A$5:$A$500,0)),0))</f>
        <v/>
      </c>
      <c r="N2472" s="26" t="str">
        <f aca="false">IF($D2472="","",IFERROR(INDEX(ClientRates!$E$5:$E$500,MATCH($B2472&amp;"|"&amp;$L2472,ClientRates!$A$5:$A$500,0)),0))</f>
        <v/>
      </c>
      <c r="O2472" s="26" t="str">
        <f aca="false">IF($D2472="","",F2472*M2472+G2472*N2472)</f>
        <v/>
      </c>
      <c r="P2472" s="26" t="str">
        <f aca="false">IF(OR($D2472="",$J2472&lt;&gt;"Supplier"),"",IFERROR(INDEX(SupplierRates!$D$5:$D$500,MATCH($K2472&amp;"|"&amp;$L2472,SupplierRates!$A$5:$A$500,0)),0))</f>
        <v/>
      </c>
      <c r="Q2472" s="26" t="str">
        <f aca="false">IF(OR($D2472="",$J2472&lt;&gt;"Supplier"),"",IFERROR(INDEX(SupplierRates!$E$5:$E$500,MATCH($K2472&amp;"|"&amp;$L2472,SupplierRates!$A$5:$A$500,0)),0))</f>
        <v/>
      </c>
      <c r="R2472" s="26" t="n">
        <f aca="false">IF(OR($D2472="",$J2472&lt;&gt;"Supplier"),0,F2472*P2472+G2472*Q2472)</f>
        <v>0</v>
      </c>
      <c r="S2472" s="26" t="n">
        <f aca="false">IF(OR($D2472="",$J2472&lt;&gt;"Own"),0,IFERROR((F2472+G2472*Settings!$B$13)*INDEX(Workers!$V$5:$V$2004,MATCH($D2472,Workers!$A$5:$A$2004,0)),0))</f>
        <v>0</v>
      </c>
      <c r="T2472" s="26" t="str">
        <f aca="false">IF($D2472="","",O2472-R2472-S2472)</f>
        <v/>
      </c>
    </row>
    <row r="2473" customFormat="false" ht="15" hidden="false" customHeight="false" outlineLevel="0" collapsed="false">
      <c r="I2473" s="24" t="str">
        <f aca="false">IF($D2473="","",IFERROR(INDEX(Workers!$B$5:$B$2004,MATCH($D2473,Workers!$A$5:$A$2004,0)),"NOT FOUND"))</f>
        <v/>
      </c>
      <c r="J2473" s="24" t="str">
        <f aca="false">IF($D2473="","",IFERROR(INDEX(Workers!$C$5:$C$2004,MATCH($D2473,Workers!$A$5:$A$2004,0)),""))</f>
        <v/>
      </c>
      <c r="K2473" s="24" t="str">
        <f aca="false">IF($D2473="","",IFERROR(IF(INDEX(Workers!$D$5:$D$2004,MATCH($D2473,Workers!$A$5:$A$2004,0))=0,"",INDEX(Workers!$D$5:$D$2004,MATCH($D2473,Workers!$A$5:$A$2004,0))),""))</f>
        <v/>
      </c>
      <c r="L2473" s="24" t="str">
        <f aca="false">IF($D2473="","",IFERROR(INDEX(Workers!$E$5:$E$2004,MATCH($D2473,Workers!$A$5:$A$2004,0)),""))</f>
        <v/>
      </c>
      <c r="M2473" s="26" t="str">
        <f aca="false">IF($D2473="","",IFERROR(INDEX(ClientRates!$D$5:$D$500,MATCH($B2473&amp;"|"&amp;$L2473,ClientRates!$A$5:$A$500,0)),0))</f>
        <v/>
      </c>
      <c r="N2473" s="26" t="str">
        <f aca="false">IF($D2473="","",IFERROR(INDEX(ClientRates!$E$5:$E$500,MATCH($B2473&amp;"|"&amp;$L2473,ClientRates!$A$5:$A$500,0)),0))</f>
        <v/>
      </c>
      <c r="O2473" s="26" t="str">
        <f aca="false">IF($D2473="","",F2473*M2473+G2473*N2473)</f>
        <v/>
      </c>
      <c r="P2473" s="26" t="str">
        <f aca="false">IF(OR($D2473="",$J2473&lt;&gt;"Supplier"),"",IFERROR(INDEX(SupplierRates!$D$5:$D$500,MATCH($K2473&amp;"|"&amp;$L2473,SupplierRates!$A$5:$A$500,0)),0))</f>
        <v/>
      </c>
      <c r="Q2473" s="26" t="str">
        <f aca="false">IF(OR($D2473="",$J2473&lt;&gt;"Supplier"),"",IFERROR(INDEX(SupplierRates!$E$5:$E$500,MATCH($K2473&amp;"|"&amp;$L2473,SupplierRates!$A$5:$A$500,0)),0))</f>
        <v/>
      </c>
      <c r="R2473" s="26" t="n">
        <f aca="false">IF(OR($D2473="",$J2473&lt;&gt;"Supplier"),0,F2473*P2473+G2473*Q2473)</f>
        <v>0</v>
      </c>
      <c r="S2473" s="26" t="n">
        <f aca="false">IF(OR($D2473="",$J2473&lt;&gt;"Own"),0,IFERROR((F2473+G2473*Settings!$B$13)*INDEX(Workers!$V$5:$V$2004,MATCH($D2473,Workers!$A$5:$A$2004,0)),0))</f>
        <v>0</v>
      </c>
      <c r="T2473" s="26" t="str">
        <f aca="false">IF($D2473="","",O2473-R2473-S2473)</f>
        <v/>
      </c>
    </row>
    <row r="2474" customFormat="false" ht="15" hidden="false" customHeight="false" outlineLevel="0" collapsed="false">
      <c r="I2474" s="24" t="str">
        <f aca="false">IF($D2474="","",IFERROR(INDEX(Workers!$B$5:$B$2004,MATCH($D2474,Workers!$A$5:$A$2004,0)),"NOT FOUND"))</f>
        <v/>
      </c>
      <c r="J2474" s="24" t="str">
        <f aca="false">IF($D2474="","",IFERROR(INDEX(Workers!$C$5:$C$2004,MATCH($D2474,Workers!$A$5:$A$2004,0)),""))</f>
        <v/>
      </c>
      <c r="K2474" s="24" t="str">
        <f aca="false">IF($D2474="","",IFERROR(IF(INDEX(Workers!$D$5:$D$2004,MATCH($D2474,Workers!$A$5:$A$2004,0))=0,"",INDEX(Workers!$D$5:$D$2004,MATCH($D2474,Workers!$A$5:$A$2004,0))),""))</f>
        <v/>
      </c>
      <c r="L2474" s="24" t="str">
        <f aca="false">IF($D2474="","",IFERROR(INDEX(Workers!$E$5:$E$2004,MATCH($D2474,Workers!$A$5:$A$2004,0)),""))</f>
        <v/>
      </c>
      <c r="M2474" s="26" t="str">
        <f aca="false">IF($D2474="","",IFERROR(INDEX(ClientRates!$D$5:$D$500,MATCH($B2474&amp;"|"&amp;$L2474,ClientRates!$A$5:$A$500,0)),0))</f>
        <v/>
      </c>
      <c r="N2474" s="26" t="str">
        <f aca="false">IF($D2474="","",IFERROR(INDEX(ClientRates!$E$5:$E$500,MATCH($B2474&amp;"|"&amp;$L2474,ClientRates!$A$5:$A$500,0)),0))</f>
        <v/>
      </c>
      <c r="O2474" s="26" t="str">
        <f aca="false">IF($D2474="","",F2474*M2474+G2474*N2474)</f>
        <v/>
      </c>
      <c r="P2474" s="26" t="str">
        <f aca="false">IF(OR($D2474="",$J2474&lt;&gt;"Supplier"),"",IFERROR(INDEX(SupplierRates!$D$5:$D$500,MATCH($K2474&amp;"|"&amp;$L2474,SupplierRates!$A$5:$A$500,0)),0))</f>
        <v/>
      </c>
      <c r="Q2474" s="26" t="str">
        <f aca="false">IF(OR($D2474="",$J2474&lt;&gt;"Supplier"),"",IFERROR(INDEX(SupplierRates!$E$5:$E$500,MATCH($K2474&amp;"|"&amp;$L2474,SupplierRates!$A$5:$A$500,0)),0))</f>
        <v/>
      </c>
      <c r="R2474" s="26" t="n">
        <f aca="false">IF(OR($D2474="",$J2474&lt;&gt;"Supplier"),0,F2474*P2474+G2474*Q2474)</f>
        <v>0</v>
      </c>
      <c r="S2474" s="26" t="n">
        <f aca="false">IF(OR($D2474="",$J2474&lt;&gt;"Own"),0,IFERROR((F2474+G2474*Settings!$B$13)*INDEX(Workers!$V$5:$V$2004,MATCH($D2474,Workers!$A$5:$A$2004,0)),0))</f>
        <v>0</v>
      </c>
      <c r="T2474" s="26" t="str">
        <f aca="false">IF($D2474="","",O2474-R2474-S2474)</f>
        <v/>
      </c>
    </row>
    <row r="2475" customFormat="false" ht="15" hidden="false" customHeight="false" outlineLevel="0" collapsed="false">
      <c r="I2475" s="24" t="str">
        <f aca="false">IF($D2475="","",IFERROR(INDEX(Workers!$B$5:$B$2004,MATCH($D2475,Workers!$A$5:$A$2004,0)),"NOT FOUND"))</f>
        <v/>
      </c>
      <c r="J2475" s="24" t="str">
        <f aca="false">IF($D2475="","",IFERROR(INDEX(Workers!$C$5:$C$2004,MATCH($D2475,Workers!$A$5:$A$2004,0)),""))</f>
        <v/>
      </c>
      <c r="K2475" s="24" t="str">
        <f aca="false">IF($D2475="","",IFERROR(IF(INDEX(Workers!$D$5:$D$2004,MATCH($D2475,Workers!$A$5:$A$2004,0))=0,"",INDEX(Workers!$D$5:$D$2004,MATCH($D2475,Workers!$A$5:$A$2004,0))),""))</f>
        <v/>
      </c>
      <c r="L2475" s="24" t="str">
        <f aca="false">IF($D2475="","",IFERROR(INDEX(Workers!$E$5:$E$2004,MATCH($D2475,Workers!$A$5:$A$2004,0)),""))</f>
        <v/>
      </c>
      <c r="M2475" s="26" t="str">
        <f aca="false">IF($D2475="","",IFERROR(INDEX(ClientRates!$D$5:$D$500,MATCH($B2475&amp;"|"&amp;$L2475,ClientRates!$A$5:$A$500,0)),0))</f>
        <v/>
      </c>
      <c r="N2475" s="26" t="str">
        <f aca="false">IF($D2475="","",IFERROR(INDEX(ClientRates!$E$5:$E$500,MATCH($B2475&amp;"|"&amp;$L2475,ClientRates!$A$5:$A$500,0)),0))</f>
        <v/>
      </c>
      <c r="O2475" s="26" t="str">
        <f aca="false">IF($D2475="","",F2475*M2475+G2475*N2475)</f>
        <v/>
      </c>
      <c r="P2475" s="26" t="str">
        <f aca="false">IF(OR($D2475="",$J2475&lt;&gt;"Supplier"),"",IFERROR(INDEX(SupplierRates!$D$5:$D$500,MATCH($K2475&amp;"|"&amp;$L2475,SupplierRates!$A$5:$A$500,0)),0))</f>
        <v/>
      </c>
      <c r="Q2475" s="26" t="str">
        <f aca="false">IF(OR($D2475="",$J2475&lt;&gt;"Supplier"),"",IFERROR(INDEX(SupplierRates!$E$5:$E$500,MATCH($K2475&amp;"|"&amp;$L2475,SupplierRates!$A$5:$A$500,0)),0))</f>
        <v/>
      </c>
      <c r="R2475" s="26" t="n">
        <f aca="false">IF(OR($D2475="",$J2475&lt;&gt;"Supplier"),0,F2475*P2475+G2475*Q2475)</f>
        <v>0</v>
      </c>
      <c r="S2475" s="26" t="n">
        <f aca="false">IF(OR($D2475="",$J2475&lt;&gt;"Own"),0,IFERROR((F2475+G2475*Settings!$B$13)*INDEX(Workers!$V$5:$V$2004,MATCH($D2475,Workers!$A$5:$A$2004,0)),0))</f>
        <v>0</v>
      </c>
      <c r="T2475" s="26" t="str">
        <f aca="false">IF($D2475="","",O2475-R2475-S2475)</f>
        <v/>
      </c>
    </row>
    <row r="2476" customFormat="false" ht="15" hidden="false" customHeight="false" outlineLevel="0" collapsed="false">
      <c r="I2476" s="24" t="str">
        <f aca="false">IF($D2476="","",IFERROR(INDEX(Workers!$B$5:$B$2004,MATCH($D2476,Workers!$A$5:$A$2004,0)),"NOT FOUND"))</f>
        <v/>
      </c>
      <c r="J2476" s="24" t="str">
        <f aca="false">IF($D2476="","",IFERROR(INDEX(Workers!$C$5:$C$2004,MATCH($D2476,Workers!$A$5:$A$2004,0)),""))</f>
        <v/>
      </c>
      <c r="K2476" s="24" t="str">
        <f aca="false">IF($D2476="","",IFERROR(IF(INDEX(Workers!$D$5:$D$2004,MATCH($D2476,Workers!$A$5:$A$2004,0))=0,"",INDEX(Workers!$D$5:$D$2004,MATCH($D2476,Workers!$A$5:$A$2004,0))),""))</f>
        <v/>
      </c>
      <c r="L2476" s="24" t="str">
        <f aca="false">IF($D2476="","",IFERROR(INDEX(Workers!$E$5:$E$2004,MATCH($D2476,Workers!$A$5:$A$2004,0)),""))</f>
        <v/>
      </c>
      <c r="M2476" s="26" t="str">
        <f aca="false">IF($D2476="","",IFERROR(INDEX(ClientRates!$D$5:$D$500,MATCH($B2476&amp;"|"&amp;$L2476,ClientRates!$A$5:$A$500,0)),0))</f>
        <v/>
      </c>
      <c r="N2476" s="26" t="str">
        <f aca="false">IF($D2476="","",IFERROR(INDEX(ClientRates!$E$5:$E$500,MATCH($B2476&amp;"|"&amp;$L2476,ClientRates!$A$5:$A$500,0)),0))</f>
        <v/>
      </c>
      <c r="O2476" s="26" t="str">
        <f aca="false">IF($D2476="","",F2476*M2476+G2476*N2476)</f>
        <v/>
      </c>
      <c r="P2476" s="26" t="str">
        <f aca="false">IF(OR($D2476="",$J2476&lt;&gt;"Supplier"),"",IFERROR(INDEX(SupplierRates!$D$5:$D$500,MATCH($K2476&amp;"|"&amp;$L2476,SupplierRates!$A$5:$A$500,0)),0))</f>
        <v/>
      </c>
      <c r="Q2476" s="26" t="str">
        <f aca="false">IF(OR($D2476="",$J2476&lt;&gt;"Supplier"),"",IFERROR(INDEX(SupplierRates!$E$5:$E$500,MATCH($K2476&amp;"|"&amp;$L2476,SupplierRates!$A$5:$A$500,0)),0))</f>
        <v/>
      </c>
      <c r="R2476" s="26" t="n">
        <f aca="false">IF(OR($D2476="",$J2476&lt;&gt;"Supplier"),0,F2476*P2476+G2476*Q2476)</f>
        <v>0</v>
      </c>
      <c r="S2476" s="26" t="n">
        <f aca="false">IF(OR($D2476="",$J2476&lt;&gt;"Own"),0,IFERROR((F2476+G2476*Settings!$B$13)*INDEX(Workers!$V$5:$V$2004,MATCH($D2476,Workers!$A$5:$A$2004,0)),0))</f>
        <v>0</v>
      </c>
      <c r="T2476" s="26" t="str">
        <f aca="false">IF($D2476="","",O2476-R2476-S2476)</f>
        <v/>
      </c>
    </row>
    <row r="2477" customFormat="false" ht="15" hidden="false" customHeight="false" outlineLevel="0" collapsed="false">
      <c r="I2477" s="24" t="str">
        <f aca="false">IF($D2477="","",IFERROR(INDEX(Workers!$B$5:$B$2004,MATCH($D2477,Workers!$A$5:$A$2004,0)),"NOT FOUND"))</f>
        <v/>
      </c>
      <c r="J2477" s="24" t="str">
        <f aca="false">IF($D2477="","",IFERROR(INDEX(Workers!$C$5:$C$2004,MATCH($D2477,Workers!$A$5:$A$2004,0)),""))</f>
        <v/>
      </c>
      <c r="K2477" s="24" t="str">
        <f aca="false">IF($D2477="","",IFERROR(IF(INDEX(Workers!$D$5:$D$2004,MATCH($D2477,Workers!$A$5:$A$2004,0))=0,"",INDEX(Workers!$D$5:$D$2004,MATCH($D2477,Workers!$A$5:$A$2004,0))),""))</f>
        <v/>
      </c>
      <c r="L2477" s="24" t="str">
        <f aca="false">IF($D2477="","",IFERROR(INDEX(Workers!$E$5:$E$2004,MATCH($D2477,Workers!$A$5:$A$2004,0)),""))</f>
        <v/>
      </c>
      <c r="M2477" s="26" t="str">
        <f aca="false">IF($D2477="","",IFERROR(INDEX(ClientRates!$D$5:$D$500,MATCH($B2477&amp;"|"&amp;$L2477,ClientRates!$A$5:$A$500,0)),0))</f>
        <v/>
      </c>
      <c r="N2477" s="26" t="str">
        <f aca="false">IF($D2477="","",IFERROR(INDEX(ClientRates!$E$5:$E$500,MATCH($B2477&amp;"|"&amp;$L2477,ClientRates!$A$5:$A$500,0)),0))</f>
        <v/>
      </c>
      <c r="O2477" s="26" t="str">
        <f aca="false">IF($D2477="","",F2477*M2477+G2477*N2477)</f>
        <v/>
      </c>
      <c r="P2477" s="26" t="str">
        <f aca="false">IF(OR($D2477="",$J2477&lt;&gt;"Supplier"),"",IFERROR(INDEX(SupplierRates!$D$5:$D$500,MATCH($K2477&amp;"|"&amp;$L2477,SupplierRates!$A$5:$A$500,0)),0))</f>
        <v/>
      </c>
      <c r="Q2477" s="26" t="str">
        <f aca="false">IF(OR($D2477="",$J2477&lt;&gt;"Supplier"),"",IFERROR(INDEX(SupplierRates!$E$5:$E$500,MATCH($K2477&amp;"|"&amp;$L2477,SupplierRates!$A$5:$A$500,0)),0))</f>
        <v/>
      </c>
      <c r="R2477" s="26" t="n">
        <f aca="false">IF(OR($D2477="",$J2477&lt;&gt;"Supplier"),0,F2477*P2477+G2477*Q2477)</f>
        <v>0</v>
      </c>
      <c r="S2477" s="26" t="n">
        <f aca="false">IF(OR($D2477="",$J2477&lt;&gt;"Own"),0,IFERROR((F2477+G2477*Settings!$B$13)*INDEX(Workers!$V$5:$V$2004,MATCH($D2477,Workers!$A$5:$A$2004,0)),0))</f>
        <v>0</v>
      </c>
      <c r="T2477" s="26" t="str">
        <f aca="false">IF($D2477="","",O2477-R2477-S2477)</f>
        <v/>
      </c>
    </row>
    <row r="2478" customFormat="false" ht="15" hidden="false" customHeight="false" outlineLevel="0" collapsed="false">
      <c r="I2478" s="24" t="str">
        <f aca="false">IF($D2478="","",IFERROR(INDEX(Workers!$B$5:$B$2004,MATCH($D2478,Workers!$A$5:$A$2004,0)),"NOT FOUND"))</f>
        <v/>
      </c>
      <c r="J2478" s="24" t="str">
        <f aca="false">IF($D2478="","",IFERROR(INDEX(Workers!$C$5:$C$2004,MATCH($D2478,Workers!$A$5:$A$2004,0)),""))</f>
        <v/>
      </c>
      <c r="K2478" s="24" t="str">
        <f aca="false">IF($D2478="","",IFERROR(IF(INDEX(Workers!$D$5:$D$2004,MATCH($D2478,Workers!$A$5:$A$2004,0))=0,"",INDEX(Workers!$D$5:$D$2004,MATCH($D2478,Workers!$A$5:$A$2004,0))),""))</f>
        <v/>
      </c>
      <c r="L2478" s="24" t="str">
        <f aca="false">IF($D2478="","",IFERROR(INDEX(Workers!$E$5:$E$2004,MATCH($D2478,Workers!$A$5:$A$2004,0)),""))</f>
        <v/>
      </c>
      <c r="M2478" s="26" t="str">
        <f aca="false">IF($D2478="","",IFERROR(INDEX(ClientRates!$D$5:$D$500,MATCH($B2478&amp;"|"&amp;$L2478,ClientRates!$A$5:$A$500,0)),0))</f>
        <v/>
      </c>
      <c r="N2478" s="26" t="str">
        <f aca="false">IF($D2478="","",IFERROR(INDEX(ClientRates!$E$5:$E$500,MATCH($B2478&amp;"|"&amp;$L2478,ClientRates!$A$5:$A$500,0)),0))</f>
        <v/>
      </c>
      <c r="O2478" s="26" t="str">
        <f aca="false">IF($D2478="","",F2478*M2478+G2478*N2478)</f>
        <v/>
      </c>
      <c r="P2478" s="26" t="str">
        <f aca="false">IF(OR($D2478="",$J2478&lt;&gt;"Supplier"),"",IFERROR(INDEX(SupplierRates!$D$5:$D$500,MATCH($K2478&amp;"|"&amp;$L2478,SupplierRates!$A$5:$A$500,0)),0))</f>
        <v/>
      </c>
      <c r="Q2478" s="26" t="str">
        <f aca="false">IF(OR($D2478="",$J2478&lt;&gt;"Supplier"),"",IFERROR(INDEX(SupplierRates!$E$5:$E$500,MATCH($K2478&amp;"|"&amp;$L2478,SupplierRates!$A$5:$A$500,0)),0))</f>
        <v/>
      </c>
      <c r="R2478" s="26" t="n">
        <f aca="false">IF(OR($D2478="",$J2478&lt;&gt;"Supplier"),0,F2478*P2478+G2478*Q2478)</f>
        <v>0</v>
      </c>
      <c r="S2478" s="26" t="n">
        <f aca="false">IF(OR($D2478="",$J2478&lt;&gt;"Own"),0,IFERROR((F2478+G2478*Settings!$B$13)*INDEX(Workers!$V$5:$V$2004,MATCH($D2478,Workers!$A$5:$A$2004,0)),0))</f>
        <v>0</v>
      </c>
      <c r="T2478" s="26" t="str">
        <f aca="false">IF($D2478="","",O2478-R2478-S2478)</f>
        <v/>
      </c>
    </row>
    <row r="2479" customFormat="false" ht="15" hidden="false" customHeight="false" outlineLevel="0" collapsed="false">
      <c r="I2479" s="24" t="str">
        <f aca="false">IF($D2479="","",IFERROR(INDEX(Workers!$B$5:$B$2004,MATCH($D2479,Workers!$A$5:$A$2004,0)),"NOT FOUND"))</f>
        <v/>
      </c>
      <c r="J2479" s="24" t="str">
        <f aca="false">IF($D2479="","",IFERROR(INDEX(Workers!$C$5:$C$2004,MATCH($D2479,Workers!$A$5:$A$2004,0)),""))</f>
        <v/>
      </c>
      <c r="K2479" s="24" t="str">
        <f aca="false">IF($D2479="","",IFERROR(IF(INDEX(Workers!$D$5:$D$2004,MATCH($D2479,Workers!$A$5:$A$2004,0))=0,"",INDEX(Workers!$D$5:$D$2004,MATCH($D2479,Workers!$A$5:$A$2004,0))),""))</f>
        <v/>
      </c>
      <c r="L2479" s="24" t="str">
        <f aca="false">IF($D2479="","",IFERROR(INDEX(Workers!$E$5:$E$2004,MATCH($D2479,Workers!$A$5:$A$2004,0)),""))</f>
        <v/>
      </c>
      <c r="M2479" s="26" t="str">
        <f aca="false">IF($D2479="","",IFERROR(INDEX(ClientRates!$D$5:$D$500,MATCH($B2479&amp;"|"&amp;$L2479,ClientRates!$A$5:$A$500,0)),0))</f>
        <v/>
      </c>
      <c r="N2479" s="26" t="str">
        <f aca="false">IF($D2479="","",IFERROR(INDEX(ClientRates!$E$5:$E$500,MATCH($B2479&amp;"|"&amp;$L2479,ClientRates!$A$5:$A$500,0)),0))</f>
        <v/>
      </c>
      <c r="O2479" s="26" t="str">
        <f aca="false">IF($D2479="","",F2479*M2479+G2479*N2479)</f>
        <v/>
      </c>
      <c r="P2479" s="26" t="str">
        <f aca="false">IF(OR($D2479="",$J2479&lt;&gt;"Supplier"),"",IFERROR(INDEX(SupplierRates!$D$5:$D$500,MATCH($K2479&amp;"|"&amp;$L2479,SupplierRates!$A$5:$A$500,0)),0))</f>
        <v/>
      </c>
      <c r="Q2479" s="26" t="str">
        <f aca="false">IF(OR($D2479="",$J2479&lt;&gt;"Supplier"),"",IFERROR(INDEX(SupplierRates!$E$5:$E$500,MATCH($K2479&amp;"|"&amp;$L2479,SupplierRates!$A$5:$A$500,0)),0))</f>
        <v/>
      </c>
      <c r="R2479" s="26" t="n">
        <f aca="false">IF(OR($D2479="",$J2479&lt;&gt;"Supplier"),0,F2479*P2479+G2479*Q2479)</f>
        <v>0</v>
      </c>
      <c r="S2479" s="26" t="n">
        <f aca="false">IF(OR($D2479="",$J2479&lt;&gt;"Own"),0,IFERROR((F2479+G2479*Settings!$B$13)*INDEX(Workers!$V$5:$V$2004,MATCH($D2479,Workers!$A$5:$A$2004,0)),0))</f>
        <v>0</v>
      </c>
      <c r="T2479" s="26" t="str">
        <f aca="false">IF($D2479="","",O2479-R2479-S2479)</f>
        <v/>
      </c>
    </row>
    <row r="2480" customFormat="false" ht="15" hidden="false" customHeight="false" outlineLevel="0" collapsed="false">
      <c r="I2480" s="24" t="str">
        <f aca="false">IF($D2480="","",IFERROR(INDEX(Workers!$B$5:$B$2004,MATCH($D2480,Workers!$A$5:$A$2004,0)),"NOT FOUND"))</f>
        <v/>
      </c>
      <c r="J2480" s="24" t="str">
        <f aca="false">IF($D2480="","",IFERROR(INDEX(Workers!$C$5:$C$2004,MATCH($D2480,Workers!$A$5:$A$2004,0)),""))</f>
        <v/>
      </c>
      <c r="K2480" s="24" t="str">
        <f aca="false">IF($D2480="","",IFERROR(IF(INDEX(Workers!$D$5:$D$2004,MATCH($D2480,Workers!$A$5:$A$2004,0))=0,"",INDEX(Workers!$D$5:$D$2004,MATCH($D2480,Workers!$A$5:$A$2004,0))),""))</f>
        <v/>
      </c>
      <c r="L2480" s="24" t="str">
        <f aca="false">IF($D2480="","",IFERROR(INDEX(Workers!$E$5:$E$2004,MATCH($D2480,Workers!$A$5:$A$2004,0)),""))</f>
        <v/>
      </c>
      <c r="M2480" s="26" t="str">
        <f aca="false">IF($D2480="","",IFERROR(INDEX(ClientRates!$D$5:$D$500,MATCH($B2480&amp;"|"&amp;$L2480,ClientRates!$A$5:$A$500,0)),0))</f>
        <v/>
      </c>
      <c r="N2480" s="26" t="str">
        <f aca="false">IF($D2480="","",IFERROR(INDEX(ClientRates!$E$5:$E$500,MATCH($B2480&amp;"|"&amp;$L2480,ClientRates!$A$5:$A$500,0)),0))</f>
        <v/>
      </c>
      <c r="O2480" s="26" t="str">
        <f aca="false">IF($D2480="","",F2480*M2480+G2480*N2480)</f>
        <v/>
      </c>
      <c r="P2480" s="26" t="str">
        <f aca="false">IF(OR($D2480="",$J2480&lt;&gt;"Supplier"),"",IFERROR(INDEX(SupplierRates!$D$5:$D$500,MATCH($K2480&amp;"|"&amp;$L2480,SupplierRates!$A$5:$A$500,0)),0))</f>
        <v/>
      </c>
      <c r="Q2480" s="26" t="str">
        <f aca="false">IF(OR($D2480="",$J2480&lt;&gt;"Supplier"),"",IFERROR(INDEX(SupplierRates!$E$5:$E$500,MATCH($K2480&amp;"|"&amp;$L2480,SupplierRates!$A$5:$A$500,0)),0))</f>
        <v/>
      </c>
      <c r="R2480" s="26" t="n">
        <f aca="false">IF(OR($D2480="",$J2480&lt;&gt;"Supplier"),0,F2480*P2480+G2480*Q2480)</f>
        <v>0</v>
      </c>
      <c r="S2480" s="26" t="n">
        <f aca="false">IF(OR($D2480="",$J2480&lt;&gt;"Own"),0,IFERROR((F2480+G2480*Settings!$B$13)*INDEX(Workers!$V$5:$V$2004,MATCH($D2480,Workers!$A$5:$A$2004,0)),0))</f>
        <v>0</v>
      </c>
      <c r="T2480" s="26" t="str">
        <f aca="false">IF($D2480="","",O2480-R2480-S2480)</f>
        <v/>
      </c>
    </row>
    <row r="2481" customFormat="false" ht="15" hidden="false" customHeight="false" outlineLevel="0" collapsed="false">
      <c r="I2481" s="24" t="str">
        <f aca="false">IF($D2481="","",IFERROR(INDEX(Workers!$B$5:$B$2004,MATCH($D2481,Workers!$A$5:$A$2004,0)),"NOT FOUND"))</f>
        <v/>
      </c>
      <c r="J2481" s="24" t="str">
        <f aca="false">IF($D2481="","",IFERROR(INDEX(Workers!$C$5:$C$2004,MATCH($D2481,Workers!$A$5:$A$2004,0)),""))</f>
        <v/>
      </c>
      <c r="K2481" s="24" t="str">
        <f aca="false">IF($D2481="","",IFERROR(IF(INDEX(Workers!$D$5:$D$2004,MATCH($D2481,Workers!$A$5:$A$2004,0))=0,"",INDEX(Workers!$D$5:$D$2004,MATCH($D2481,Workers!$A$5:$A$2004,0))),""))</f>
        <v/>
      </c>
      <c r="L2481" s="24" t="str">
        <f aca="false">IF($D2481="","",IFERROR(INDEX(Workers!$E$5:$E$2004,MATCH($D2481,Workers!$A$5:$A$2004,0)),""))</f>
        <v/>
      </c>
      <c r="M2481" s="26" t="str">
        <f aca="false">IF($D2481="","",IFERROR(INDEX(ClientRates!$D$5:$D$500,MATCH($B2481&amp;"|"&amp;$L2481,ClientRates!$A$5:$A$500,0)),0))</f>
        <v/>
      </c>
      <c r="N2481" s="26" t="str">
        <f aca="false">IF($D2481="","",IFERROR(INDEX(ClientRates!$E$5:$E$500,MATCH($B2481&amp;"|"&amp;$L2481,ClientRates!$A$5:$A$500,0)),0))</f>
        <v/>
      </c>
      <c r="O2481" s="26" t="str">
        <f aca="false">IF($D2481="","",F2481*M2481+G2481*N2481)</f>
        <v/>
      </c>
      <c r="P2481" s="26" t="str">
        <f aca="false">IF(OR($D2481="",$J2481&lt;&gt;"Supplier"),"",IFERROR(INDEX(SupplierRates!$D$5:$D$500,MATCH($K2481&amp;"|"&amp;$L2481,SupplierRates!$A$5:$A$500,0)),0))</f>
        <v/>
      </c>
      <c r="Q2481" s="26" t="str">
        <f aca="false">IF(OR($D2481="",$J2481&lt;&gt;"Supplier"),"",IFERROR(INDEX(SupplierRates!$E$5:$E$500,MATCH($K2481&amp;"|"&amp;$L2481,SupplierRates!$A$5:$A$500,0)),0))</f>
        <v/>
      </c>
      <c r="R2481" s="26" t="n">
        <f aca="false">IF(OR($D2481="",$J2481&lt;&gt;"Supplier"),0,F2481*P2481+G2481*Q2481)</f>
        <v>0</v>
      </c>
      <c r="S2481" s="26" t="n">
        <f aca="false">IF(OR($D2481="",$J2481&lt;&gt;"Own"),0,IFERROR((F2481+G2481*Settings!$B$13)*INDEX(Workers!$V$5:$V$2004,MATCH($D2481,Workers!$A$5:$A$2004,0)),0))</f>
        <v>0</v>
      </c>
      <c r="T2481" s="26" t="str">
        <f aca="false">IF($D2481="","",O2481-R2481-S2481)</f>
        <v/>
      </c>
    </row>
    <row r="2482" customFormat="false" ht="15" hidden="false" customHeight="false" outlineLevel="0" collapsed="false">
      <c r="I2482" s="24" t="str">
        <f aca="false">IF($D2482="","",IFERROR(INDEX(Workers!$B$5:$B$2004,MATCH($D2482,Workers!$A$5:$A$2004,0)),"NOT FOUND"))</f>
        <v/>
      </c>
      <c r="J2482" s="24" t="str">
        <f aca="false">IF($D2482="","",IFERROR(INDEX(Workers!$C$5:$C$2004,MATCH($D2482,Workers!$A$5:$A$2004,0)),""))</f>
        <v/>
      </c>
      <c r="K2482" s="24" t="str">
        <f aca="false">IF($D2482="","",IFERROR(IF(INDEX(Workers!$D$5:$D$2004,MATCH($D2482,Workers!$A$5:$A$2004,0))=0,"",INDEX(Workers!$D$5:$D$2004,MATCH($D2482,Workers!$A$5:$A$2004,0))),""))</f>
        <v/>
      </c>
      <c r="L2482" s="24" t="str">
        <f aca="false">IF($D2482="","",IFERROR(INDEX(Workers!$E$5:$E$2004,MATCH($D2482,Workers!$A$5:$A$2004,0)),""))</f>
        <v/>
      </c>
      <c r="M2482" s="26" t="str">
        <f aca="false">IF($D2482="","",IFERROR(INDEX(ClientRates!$D$5:$D$500,MATCH($B2482&amp;"|"&amp;$L2482,ClientRates!$A$5:$A$500,0)),0))</f>
        <v/>
      </c>
      <c r="N2482" s="26" t="str">
        <f aca="false">IF($D2482="","",IFERROR(INDEX(ClientRates!$E$5:$E$500,MATCH($B2482&amp;"|"&amp;$L2482,ClientRates!$A$5:$A$500,0)),0))</f>
        <v/>
      </c>
      <c r="O2482" s="26" t="str">
        <f aca="false">IF($D2482="","",F2482*M2482+G2482*N2482)</f>
        <v/>
      </c>
      <c r="P2482" s="26" t="str">
        <f aca="false">IF(OR($D2482="",$J2482&lt;&gt;"Supplier"),"",IFERROR(INDEX(SupplierRates!$D$5:$D$500,MATCH($K2482&amp;"|"&amp;$L2482,SupplierRates!$A$5:$A$500,0)),0))</f>
        <v/>
      </c>
      <c r="Q2482" s="26" t="str">
        <f aca="false">IF(OR($D2482="",$J2482&lt;&gt;"Supplier"),"",IFERROR(INDEX(SupplierRates!$E$5:$E$500,MATCH($K2482&amp;"|"&amp;$L2482,SupplierRates!$A$5:$A$500,0)),0))</f>
        <v/>
      </c>
      <c r="R2482" s="26" t="n">
        <f aca="false">IF(OR($D2482="",$J2482&lt;&gt;"Supplier"),0,F2482*P2482+G2482*Q2482)</f>
        <v>0</v>
      </c>
      <c r="S2482" s="26" t="n">
        <f aca="false">IF(OR($D2482="",$J2482&lt;&gt;"Own"),0,IFERROR((F2482+G2482*Settings!$B$13)*INDEX(Workers!$V$5:$V$2004,MATCH($D2482,Workers!$A$5:$A$2004,0)),0))</f>
        <v>0</v>
      </c>
      <c r="T2482" s="26" t="str">
        <f aca="false">IF($D2482="","",O2482-R2482-S2482)</f>
        <v/>
      </c>
    </row>
    <row r="2483" customFormat="false" ht="15" hidden="false" customHeight="false" outlineLevel="0" collapsed="false">
      <c r="I2483" s="24" t="str">
        <f aca="false">IF($D2483="","",IFERROR(INDEX(Workers!$B$5:$B$2004,MATCH($D2483,Workers!$A$5:$A$2004,0)),"NOT FOUND"))</f>
        <v/>
      </c>
      <c r="J2483" s="24" t="str">
        <f aca="false">IF($D2483="","",IFERROR(INDEX(Workers!$C$5:$C$2004,MATCH($D2483,Workers!$A$5:$A$2004,0)),""))</f>
        <v/>
      </c>
      <c r="K2483" s="24" t="str">
        <f aca="false">IF($D2483="","",IFERROR(IF(INDEX(Workers!$D$5:$D$2004,MATCH($D2483,Workers!$A$5:$A$2004,0))=0,"",INDEX(Workers!$D$5:$D$2004,MATCH($D2483,Workers!$A$5:$A$2004,0))),""))</f>
        <v/>
      </c>
      <c r="L2483" s="24" t="str">
        <f aca="false">IF($D2483="","",IFERROR(INDEX(Workers!$E$5:$E$2004,MATCH($D2483,Workers!$A$5:$A$2004,0)),""))</f>
        <v/>
      </c>
      <c r="M2483" s="26" t="str">
        <f aca="false">IF($D2483="","",IFERROR(INDEX(ClientRates!$D$5:$D$500,MATCH($B2483&amp;"|"&amp;$L2483,ClientRates!$A$5:$A$500,0)),0))</f>
        <v/>
      </c>
      <c r="N2483" s="26" t="str">
        <f aca="false">IF($D2483="","",IFERROR(INDEX(ClientRates!$E$5:$E$500,MATCH($B2483&amp;"|"&amp;$L2483,ClientRates!$A$5:$A$500,0)),0))</f>
        <v/>
      </c>
      <c r="O2483" s="26" t="str">
        <f aca="false">IF($D2483="","",F2483*M2483+G2483*N2483)</f>
        <v/>
      </c>
      <c r="P2483" s="26" t="str">
        <f aca="false">IF(OR($D2483="",$J2483&lt;&gt;"Supplier"),"",IFERROR(INDEX(SupplierRates!$D$5:$D$500,MATCH($K2483&amp;"|"&amp;$L2483,SupplierRates!$A$5:$A$500,0)),0))</f>
        <v/>
      </c>
      <c r="Q2483" s="26" t="str">
        <f aca="false">IF(OR($D2483="",$J2483&lt;&gt;"Supplier"),"",IFERROR(INDEX(SupplierRates!$E$5:$E$500,MATCH($K2483&amp;"|"&amp;$L2483,SupplierRates!$A$5:$A$500,0)),0))</f>
        <v/>
      </c>
      <c r="R2483" s="26" t="n">
        <f aca="false">IF(OR($D2483="",$J2483&lt;&gt;"Supplier"),0,F2483*P2483+G2483*Q2483)</f>
        <v>0</v>
      </c>
      <c r="S2483" s="26" t="n">
        <f aca="false">IF(OR($D2483="",$J2483&lt;&gt;"Own"),0,IFERROR((F2483+G2483*Settings!$B$13)*INDEX(Workers!$V$5:$V$2004,MATCH($D2483,Workers!$A$5:$A$2004,0)),0))</f>
        <v>0</v>
      </c>
      <c r="T2483" s="26" t="str">
        <f aca="false">IF($D2483="","",O2483-R2483-S2483)</f>
        <v/>
      </c>
    </row>
    <row r="2484" customFormat="false" ht="15" hidden="false" customHeight="false" outlineLevel="0" collapsed="false">
      <c r="I2484" s="24" t="str">
        <f aca="false">IF($D2484="","",IFERROR(INDEX(Workers!$B$5:$B$2004,MATCH($D2484,Workers!$A$5:$A$2004,0)),"NOT FOUND"))</f>
        <v/>
      </c>
      <c r="J2484" s="24" t="str">
        <f aca="false">IF($D2484="","",IFERROR(INDEX(Workers!$C$5:$C$2004,MATCH($D2484,Workers!$A$5:$A$2004,0)),""))</f>
        <v/>
      </c>
      <c r="K2484" s="24" t="str">
        <f aca="false">IF($D2484="","",IFERROR(IF(INDEX(Workers!$D$5:$D$2004,MATCH($D2484,Workers!$A$5:$A$2004,0))=0,"",INDEX(Workers!$D$5:$D$2004,MATCH($D2484,Workers!$A$5:$A$2004,0))),""))</f>
        <v/>
      </c>
      <c r="L2484" s="24" t="str">
        <f aca="false">IF($D2484="","",IFERROR(INDEX(Workers!$E$5:$E$2004,MATCH($D2484,Workers!$A$5:$A$2004,0)),""))</f>
        <v/>
      </c>
      <c r="M2484" s="26" t="str">
        <f aca="false">IF($D2484="","",IFERROR(INDEX(ClientRates!$D$5:$D$500,MATCH($B2484&amp;"|"&amp;$L2484,ClientRates!$A$5:$A$500,0)),0))</f>
        <v/>
      </c>
      <c r="N2484" s="26" t="str">
        <f aca="false">IF($D2484="","",IFERROR(INDEX(ClientRates!$E$5:$E$500,MATCH($B2484&amp;"|"&amp;$L2484,ClientRates!$A$5:$A$500,0)),0))</f>
        <v/>
      </c>
      <c r="O2484" s="26" t="str">
        <f aca="false">IF($D2484="","",F2484*M2484+G2484*N2484)</f>
        <v/>
      </c>
      <c r="P2484" s="26" t="str">
        <f aca="false">IF(OR($D2484="",$J2484&lt;&gt;"Supplier"),"",IFERROR(INDEX(SupplierRates!$D$5:$D$500,MATCH($K2484&amp;"|"&amp;$L2484,SupplierRates!$A$5:$A$500,0)),0))</f>
        <v/>
      </c>
      <c r="Q2484" s="26" t="str">
        <f aca="false">IF(OR($D2484="",$J2484&lt;&gt;"Supplier"),"",IFERROR(INDEX(SupplierRates!$E$5:$E$500,MATCH($K2484&amp;"|"&amp;$L2484,SupplierRates!$A$5:$A$500,0)),0))</f>
        <v/>
      </c>
      <c r="R2484" s="26" t="n">
        <f aca="false">IF(OR($D2484="",$J2484&lt;&gt;"Supplier"),0,F2484*P2484+G2484*Q2484)</f>
        <v>0</v>
      </c>
      <c r="S2484" s="26" t="n">
        <f aca="false">IF(OR($D2484="",$J2484&lt;&gt;"Own"),0,IFERROR((F2484+G2484*Settings!$B$13)*INDEX(Workers!$V$5:$V$2004,MATCH($D2484,Workers!$A$5:$A$2004,0)),0))</f>
        <v>0</v>
      </c>
      <c r="T2484" s="26" t="str">
        <f aca="false">IF($D2484="","",O2484-R2484-S2484)</f>
        <v/>
      </c>
    </row>
    <row r="2485" customFormat="false" ht="15" hidden="false" customHeight="false" outlineLevel="0" collapsed="false">
      <c r="I2485" s="24" t="str">
        <f aca="false">IF($D2485="","",IFERROR(INDEX(Workers!$B$5:$B$2004,MATCH($D2485,Workers!$A$5:$A$2004,0)),"NOT FOUND"))</f>
        <v/>
      </c>
      <c r="J2485" s="24" t="str">
        <f aca="false">IF($D2485="","",IFERROR(INDEX(Workers!$C$5:$C$2004,MATCH($D2485,Workers!$A$5:$A$2004,0)),""))</f>
        <v/>
      </c>
      <c r="K2485" s="24" t="str">
        <f aca="false">IF($D2485="","",IFERROR(IF(INDEX(Workers!$D$5:$D$2004,MATCH($D2485,Workers!$A$5:$A$2004,0))=0,"",INDEX(Workers!$D$5:$D$2004,MATCH($D2485,Workers!$A$5:$A$2004,0))),""))</f>
        <v/>
      </c>
      <c r="L2485" s="24" t="str">
        <f aca="false">IF($D2485="","",IFERROR(INDEX(Workers!$E$5:$E$2004,MATCH($D2485,Workers!$A$5:$A$2004,0)),""))</f>
        <v/>
      </c>
      <c r="M2485" s="26" t="str">
        <f aca="false">IF($D2485="","",IFERROR(INDEX(ClientRates!$D$5:$D$500,MATCH($B2485&amp;"|"&amp;$L2485,ClientRates!$A$5:$A$500,0)),0))</f>
        <v/>
      </c>
      <c r="N2485" s="26" t="str">
        <f aca="false">IF($D2485="","",IFERROR(INDEX(ClientRates!$E$5:$E$500,MATCH($B2485&amp;"|"&amp;$L2485,ClientRates!$A$5:$A$500,0)),0))</f>
        <v/>
      </c>
      <c r="O2485" s="26" t="str">
        <f aca="false">IF($D2485="","",F2485*M2485+G2485*N2485)</f>
        <v/>
      </c>
      <c r="P2485" s="26" t="str">
        <f aca="false">IF(OR($D2485="",$J2485&lt;&gt;"Supplier"),"",IFERROR(INDEX(SupplierRates!$D$5:$D$500,MATCH($K2485&amp;"|"&amp;$L2485,SupplierRates!$A$5:$A$500,0)),0))</f>
        <v/>
      </c>
      <c r="Q2485" s="26" t="str">
        <f aca="false">IF(OR($D2485="",$J2485&lt;&gt;"Supplier"),"",IFERROR(INDEX(SupplierRates!$E$5:$E$500,MATCH($K2485&amp;"|"&amp;$L2485,SupplierRates!$A$5:$A$500,0)),0))</f>
        <v/>
      </c>
      <c r="R2485" s="26" t="n">
        <f aca="false">IF(OR($D2485="",$J2485&lt;&gt;"Supplier"),0,F2485*P2485+G2485*Q2485)</f>
        <v>0</v>
      </c>
      <c r="S2485" s="26" t="n">
        <f aca="false">IF(OR($D2485="",$J2485&lt;&gt;"Own"),0,IFERROR((F2485+G2485*Settings!$B$13)*INDEX(Workers!$V$5:$V$2004,MATCH($D2485,Workers!$A$5:$A$2004,0)),0))</f>
        <v>0</v>
      </c>
      <c r="T2485" s="26" t="str">
        <f aca="false">IF($D2485="","",O2485-R2485-S2485)</f>
        <v/>
      </c>
    </row>
    <row r="2486" customFormat="false" ht="15" hidden="false" customHeight="false" outlineLevel="0" collapsed="false">
      <c r="I2486" s="24" t="str">
        <f aca="false">IF($D2486="","",IFERROR(INDEX(Workers!$B$5:$B$2004,MATCH($D2486,Workers!$A$5:$A$2004,0)),"NOT FOUND"))</f>
        <v/>
      </c>
      <c r="J2486" s="24" t="str">
        <f aca="false">IF($D2486="","",IFERROR(INDEX(Workers!$C$5:$C$2004,MATCH($D2486,Workers!$A$5:$A$2004,0)),""))</f>
        <v/>
      </c>
      <c r="K2486" s="24" t="str">
        <f aca="false">IF($D2486="","",IFERROR(IF(INDEX(Workers!$D$5:$D$2004,MATCH($D2486,Workers!$A$5:$A$2004,0))=0,"",INDEX(Workers!$D$5:$D$2004,MATCH($D2486,Workers!$A$5:$A$2004,0))),""))</f>
        <v/>
      </c>
      <c r="L2486" s="24" t="str">
        <f aca="false">IF($D2486="","",IFERROR(INDEX(Workers!$E$5:$E$2004,MATCH($D2486,Workers!$A$5:$A$2004,0)),""))</f>
        <v/>
      </c>
      <c r="M2486" s="26" t="str">
        <f aca="false">IF($D2486="","",IFERROR(INDEX(ClientRates!$D$5:$D$500,MATCH($B2486&amp;"|"&amp;$L2486,ClientRates!$A$5:$A$500,0)),0))</f>
        <v/>
      </c>
      <c r="N2486" s="26" t="str">
        <f aca="false">IF($D2486="","",IFERROR(INDEX(ClientRates!$E$5:$E$500,MATCH($B2486&amp;"|"&amp;$L2486,ClientRates!$A$5:$A$500,0)),0))</f>
        <v/>
      </c>
      <c r="O2486" s="26" t="str">
        <f aca="false">IF($D2486="","",F2486*M2486+G2486*N2486)</f>
        <v/>
      </c>
      <c r="P2486" s="26" t="str">
        <f aca="false">IF(OR($D2486="",$J2486&lt;&gt;"Supplier"),"",IFERROR(INDEX(SupplierRates!$D$5:$D$500,MATCH($K2486&amp;"|"&amp;$L2486,SupplierRates!$A$5:$A$500,0)),0))</f>
        <v/>
      </c>
      <c r="Q2486" s="26" t="str">
        <f aca="false">IF(OR($D2486="",$J2486&lt;&gt;"Supplier"),"",IFERROR(INDEX(SupplierRates!$E$5:$E$500,MATCH($K2486&amp;"|"&amp;$L2486,SupplierRates!$A$5:$A$500,0)),0))</f>
        <v/>
      </c>
      <c r="R2486" s="26" t="n">
        <f aca="false">IF(OR($D2486="",$J2486&lt;&gt;"Supplier"),0,F2486*P2486+G2486*Q2486)</f>
        <v>0</v>
      </c>
      <c r="S2486" s="26" t="n">
        <f aca="false">IF(OR($D2486="",$J2486&lt;&gt;"Own"),0,IFERROR((F2486+G2486*Settings!$B$13)*INDEX(Workers!$V$5:$V$2004,MATCH($D2486,Workers!$A$5:$A$2004,0)),0))</f>
        <v>0</v>
      </c>
      <c r="T2486" s="26" t="str">
        <f aca="false">IF($D2486="","",O2486-R2486-S2486)</f>
        <v/>
      </c>
    </row>
    <row r="2487" customFormat="false" ht="15" hidden="false" customHeight="false" outlineLevel="0" collapsed="false">
      <c r="I2487" s="24" t="str">
        <f aca="false">IF($D2487="","",IFERROR(INDEX(Workers!$B$5:$B$2004,MATCH($D2487,Workers!$A$5:$A$2004,0)),"NOT FOUND"))</f>
        <v/>
      </c>
      <c r="J2487" s="24" t="str">
        <f aca="false">IF($D2487="","",IFERROR(INDEX(Workers!$C$5:$C$2004,MATCH($D2487,Workers!$A$5:$A$2004,0)),""))</f>
        <v/>
      </c>
      <c r="K2487" s="24" t="str">
        <f aca="false">IF($D2487="","",IFERROR(IF(INDEX(Workers!$D$5:$D$2004,MATCH($D2487,Workers!$A$5:$A$2004,0))=0,"",INDEX(Workers!$D$5:$D$2004,MATCH($D2487,Workers!$A$5:$A$2004,0))),""))</f>
        <v/>
      </c>
      <c r="L2487" s="24" t="str">
        <f aca="false">IF($D2487="","",IFERROR(INDEX(Workers!$E$5:$E$2004,MATCH($D2487,Workers!$A$5:$A$2004,0)),""))</f>
        <v/>
      </c>
      <c r="M2487" s="26" t="str">
        <f aca="false">IF($D2487="","",IFERROR(INDEX(ClientRates!$D$5:$D$500,MATCH($B2487&amp;"|"&amp;$L2487,ClientRates!$A$5:$A$500,0)),0))</f>
        <v/>
      </c>
      <c r="N2487" s="26" t="str">
        <f aca="false">IF($D2487="","",IFERROR(INDEX(ClientRates!$E$5:$E$500,MATCH($B2487&amp;"|"&amp;$L2487,ClientRates!$A$5:$A$500,0)),0))</f>
        <v/>
      </c>
      <c r="O2487" s="26" t="str">
        <f aca="false">IF($D2487="","",F2487*M2487+G2487*N2487)</f>
        <v/>
      </c>
      <c r="P2487" s="26" t="str">
        <f aca="false">IF(OR($D2487="",$J2487&lt;&gt;"Supplier"),"",IFERROR(INDEX(SupplierRates!$D$5:$D$500,MATCH($K2487&amp;"|"&amp;$L2487,SupplierRates!$A$5:$A$500,0)),0))</f>
        <v/>
      </c>
      <c r="Q2487" s="26" t="str">
        <f aca="false">IF(OR($D2487="",$J2487&lt;&gt;"Supplier"),"",IFERROR(INDEX(SupplierRates!$E$5:$E$500,MATCH($K2487&amp;"|"&amp;$L2487,SupplierRates!$A$5:$A$500,0)),0))</f>
        <v/>
      </c>
      <c r="R2487" s="26" t="n">
        <f aca="false">IF(OR($D2487="",$J2487&lt;&gt;"Supplier"),0,F2487*P2487+G2487*Q2487)</f>
        <v>0</v>
      </c>
      <c r="S2487" s="26" t="n">
        <f aca="false">IF(OR($D2487="",$J2487&lt;&gt;"Own"),0,IFERROR((F2487+G2487*Settings!$B$13)*INDEX(Workers!$V$5:$V$2004,MATCH($D2487,Workers!$A$5:$A$2004,0)),0))</f>
        <v>0</v>
      </c>
      <c r="T2487" s="26" t="str">
        <f aca="false">IF($D2487="","",O2487-R2487-S2487)</f>
        <v/>
      </c>
    </row>
    <row r="2488" customFormat="false" ht="15" hidden="false" customHeight="false" outlineLevel="0" collapsed="false">
      <c r="I2488" s="24" t="str">
        <f aca="false">IF($D2488="","",IFERROR(INDEX(Workers!$B$5:$B$2004,MATCH($D2488,Workers!$A$5:$A$2004,0)),"NOT FOUND"))</f>
        <v/>
      </c>
      <c r="J2488" s="24" t="str">
        <f aca="false">IF($D2488="","",IFERROR(INDEX(Workers!$C$5:$C$2004,MATCH($D2488,Workers!$A$5:$A$2004,0)),""))</f>
        <v/>
      </c>
      <c r="K2488" s="24" t="str">
        <f aca="false">IF($D2488="","",IFERROR(IF(INDEX(Workers!$D$5:$D$2004,MATCH($D2488,Workers!$A$5:$A$2004,0))=0,"",INDEX(Workers!$D$5:$D$2004,MATCH($D2488,Workers!$A$5:$A$2004,0))),""))</f>
        <v/>
      </c>
      <c r="L2488" s="24" t="str">
        <f aca="false">IF($D2488="","",IFERROR(INDEX(Workers!$E$5:$E$2004,MATCH($D2488,Workers!$A$5:$A$2004,0)),""))</f>
        <v/>
      </c>
      <c r="M2488" s="26" t="str">
        <f aca="false">IF($D2488="","",IFERROR(INDEX(ClientRates!$D$5:$D$500,MATCH($B2488&amp;"|"&amp;$L2488,ClientRates!$A$5:$A$500,0)),0))</f>
        <v/>
      </c>
      <c r="N2488" s="26" t="str">
        <f aca="false">IF($D2488="","",IFERROR(INDEX(ClientRates!$E$5:$E$500,MATCH($B2488&amp;"|"&amp;$L2488,ClientRates!$A$5:$A$500,0)),0))</f>
        <v/>
      </c>
      <c r="O2488" s="26" t="str">
        <f aca="false">IF($D2488="","",F2488*M2488+G2488*N2488)</f>
        <v/>
      </c>
      <c r="P2488" s="26" t="str">
        <f aca="false">IF(OR($D2488="",$J2488&lt;&gt;"Supplier"),"",IFERROR(INDEX(SupplierRates!$D$5:$D$500,MATCH($K2488&amp;"|"&amp;$L2488,SupplierRates!$A$5:$A$500,0)),0))</f>
        <v/>
      </c>
      <c r="Q2488" s="26" t="str">
        <f aca="false">IF(OR($D2488="",$J2488&lt;&gt;"Supplier"),"",IFERROR(INDEX(SupplierRates!$E$5:$E$500,MATCH($K2488&amp;"|"&amp;$L2488,SupplierRates!$A$5:$A$500,0)),0))</f>
        <v/>
      </c>
      <c r="R2488" s="26" t="n">
        <f aca="false">IF(OR($D2488="",$J2488&lt;&gt;"Supplier"),0,F2488*P2488+G2488*Q2488)</f>
        <v>0</v>
      </c>
      <c r="S2488" s="26" t="n">
        <f aca="false">IF(OR($D2488="",$J2488&lt;&gt;"Own"),0,IFERROR((F2488+G2488*Settings!$B$13)*INDEX(Workers!$V$5:$V$2004,MATCH($D2488,Workers!$A$5:$A$2004,0)),0))</f>
        <v>0</v>
      </c>
      <c r="T2488" s="26" t="str">
        <f aca="false">IF($D2488="","",O2488-R2488-S2488)</f>
        <v/>
      </c>
    </row>
    <row r="2489" customFormat="false" ht="15" hidden="false" customHeight="false" outlineLevel="0" collapsed="false">
      <c r="I2489" s="24" t="str">
        <f aca="false">IF($D2489="","",IFERROR(INDEX(Workers!$B$5:$B$2004,MATCH($D2489,Workers!$A$5:$A$2004,0)),"NOT FOUND"))</f>
        <v/>
      </c>
      <c r="J2489" s="24" t="str">
        <f aca="false">IF($D2489="","",IFERROR(INDEX(Workers!$C$5:$C$2004,MATCH($D2489,Workers!$A$5:$A$2004,0)),""))</f>
        <v/>
      </c>
      <c r="K2489" s="24" t="str">
        <f aca="false">IF($D2489="","",IFERROR(IF(INDEX(Workers!$D$5:$D$2004,MATCH($D2489,Workers!$A$5:$A$2004,0))=0,"",INDEX(Workers!$D$5:$D$2004,MATCH($D2489,Workers!$A$5:$A$2004,0))),""))</f>
        <v/>
      </c>
      <c r="L2489" s="24" t="str">
        <f aca="false">IF($D2489="","",IFERROR(INDEX(Workers!$E$5:$E$2004,MATCH($D2489,Workers!$A$5:$A$2004,0)),""))</f>
        <v/>
      </c>
      <c r="M2489" s="26" t="str">
        <f aca="false">IF($D2489="","",IFERROR(INDEX(ClientRates!$D$5:$D$500,MATCH($B2489&amp;"|"&amp;$L2489,ClientRates!$A$5:$A$500,0)),0))</f>
        <v/>
      </c>
      <c r="N2489" s="26" t="str">
        <f aca="false">IF($D2489="","",IFERROR(INDEX(ClientRates!$E$5:$E$500,MATCH($B2489&amp;"|"&amp;$L2489,ClientRates!$A$5:$A$500,0)),0))</f>
        <v/>
      </c>
      <c r="O2489" s="26" t="str">
        <f aca="false">IF($D2489="","",F2489*M2489+G2489*N2489)</f>
        <v/>
      </c>
      <c r="P2489" s="26" t="str">
        <f aca="false">IF(OR($D2489="",$J2489&lt;&gt;"Supplier"),"",IFERROR(INDEX(SupplierRates!$D$5:$D$500,MATCH($K2489&amp;"|"&amp;$L2489,SupplierRates!$A$5:$A$500,0)),0))</f>
        <v/>
      </c>
      <c r="Q2489" s="26" t="str">
        <f aca="false">IF(OR($D2489="",$J2489&lt;&gt;"Supplier"),"",IFERROR(INDEX(SupplierRates!$E$5:$E$500,MATCH($K2489&amp;"|"&amp;$L2489,SupplierRates!$A$5:$A$500,0)),0))</f>
        <v/>
      </c>
      <c r="R2489" s="26" t="n">
        <f aca="false">IF(OR($D2489="",$J2489&lt;&gt;"Supplier"),0,F2489*P2489+G2489*Q2489)</f>
        <v>0</v>
      </c>
      <c r="S2489" s="26" t="n">
        <f aca="false">IF(OR($D2489="",$J2489&lt;&gt;"Own"),0,IFERROR((F2489+G2489*Settings!$B$13)*INDEX(Workers!$V$5:$V$2004,MATCH($D2489,Workers!$A$5:$A$2004,0)),0))</f>
        <v>0</v>
      </c>
      <c r="T2489" s="26" t="str">
        <f aca="false">IF($D2489="","",O2489-R2489-S2489)</f>
        <v/>
      </c>
    </row>
    <row r="2490" customFormat="false" ht="15" hidden="false" customHeight="false" outlineLevel="0" collapsed="false">
      <c r="I2490" s="24" t="str">
        <f aca="false">IF($D2490="","",IFERROR(INDEX(Workers!$B$5:$B$2004,MATCH($D2490,Workers!$A$5:$A$2004,0)),"NOT FOUND"))</f>
        <v/>
      </c>
      <c r="J2490" s="24" t="str">
        <f aca="false">IF($D2490="","",IFERROR(INDEX(Workers!$C$5:$C$2004,MATCH($D2490,Workers!$A$5:$A$2004,0)),""))</f>
        <v/>
      </c>
      <c r="K2490" s="24" t="str">
        <f aca="false">IF($D2490="","",IFERROR(IF(INDEX(Workers!$D$5:$D$2004,MATCH($D2490,Workers!$A$5:$A$2004,0))=0,"",INDEX(Workers!$D$5:$D$2004,MATCH($D2490,Workers!$A$5:$A$2004,0))),""))</f>
        <v/>
      </c>
      <c r="L2490" s="24" t="str">
        <f aca="false">IF($D2490="","",IFERROR(INDEX(Workers!$E$5:$E$2004,MATCH($D2490,Workers!$A$5:$A$2004,0)),""))</f>
        <v/>
      </c>
      <c r="M2490" s="26" t="str">
        <f aca="false">IF($D2490="","",IFERROR(INDEX(ClientRates!$D$5:$D$500,MATCH($B2490&amp;"|"&amp;$L2490,ClientRates!$A$5:$A$500,0)),0))</f>
        <v/>
      </c>
      <c r="N2490" s="26" t="str">
        <f aca="false">IF($D2490="","",IFERROR(INDEX(ClientRates!$E$5:$E$500,MATCH($B2490&amp;"|"&amp;$L2490,ClientRates!$A$5:$A$500,0)),0))</f>
        <v/>
      </c>
      <c r="O2490" s="26" t="str">
        <f aca="false">IF($D2490="","",F2490*M2490+G2490*N2490)</f>
        <v/>
      </c>
      <c r="P2490" s="26" t="str">
        <f aca="false">IF(OR($D2490="",$J2490&lt;&gt;"Supplier"),"",IFERROR(INDEX(SupplierRates!$D$5:$D$500,MATCH($K2490&amp;"|"&amp;$L2490,SupplierRates!$A$5:$A$500,0)),0))</f>
        <v/>
      </c>
      <c r="Q2490" s="26" t="str">
        <f aca="false">IF(OR($D2490="",$J2490&lt;&gt;"Supplier"),"",IFERROR(INDEX(SupplierRates!$E$5:$E$500,MATCH($K2490&amp;"|"&amp;$L2490,SupplierRates!$A$5:$A$500,0)),0))</f>
        <v/>
      </c>
      <c r="R2490" s="26" t="n">
        <f aca="false">IF(OR($D2490="",$J2490&lt;&gt;"Supplier"),0,F2490*P2490+G2490*Q2490)</f>
        <v>0</v>
      </c>
      <c r="S2490" s="26" t="n">
        <f aca="false">IF(OR($D2490="",$J2490&lt;&gt;"Own"),0,IFERROR((F2490+G2490*Settings!$B$13)*INDEX(Workers!$V$5:$V$2004,MATCH($D2490,Workers!$A$5:$A$2004,0)),0))</f>
        <v>0</v>
      </c>
      <c r="T2490" s="26" t="str">
        <f aca="false">IF($D2490="","",O2490-R2490-S2490)</f>
        <v/>
      </c>
    </row>
    <row r="2491" customFormat="false" ht="15" hidden="false" customHeight="false" outlineLevel="0" collapsed="false">
      <c r="I2491" s="24" t="str">
        <f aca="false">IF($D2491="","",IFERROR(INDEX(Workers!$B$5:$B$2004,MATCH($D2491,Workers!$A$5:$A$2004,0)),"NOT FOUND"))</f>
        <v/>
      </c>
      <c r="J2491" s="24" t="str">
        <f aca="false">IF($D2491="","",IFERROR(INDEX(Workers!$C$5:$C$2004,MATCH($D2491,Workers!$A$5:$A$2004,0)),""))</f>
        <v/>
      </c>
      <c r="K2491" s="24" t="str">
        <f aca="false">IF($D2491="","",IFERROR(IF(INDEX(Workers!$D$5:$D$2004,MATCH($D2491,Workers!$A$5:$A$2004,0))=0,"",INDEX(Workers!$D$5:$D$2004,MATCH($D2491,Workers!$A$5:$A$2004,0))),""))</f>
        <v/>
      </c>
      <c r="L2491" s="24" t="str">
        <f aca="false">IF($D2491="","",IFERROR(INDEX(Workers!$E$5:$E$2004,MATCH($D2491,Workers!$A$5:$A$2004,0)),""))</f>
        <v/>
      </c>
      <c r="M2491" s="26" t="str">
        <f aca="false">IF($D2491="","",IFERROR(INDEX(ClientRates!$D$5:$D$500,MATCH($B2491&amp;"|"&amp;$L2491,ClientRates!$A$5:$A$500,0)),0))</f>
        <v/>
      </c>
      <c r="N2491" s="26" t="str">
        <f aca="false">IF($D2491="","",IFERROR(INDEX(ClientRates!$E$5:$E$500,MATCH($B2491&amp;"|"&amp;$L2491,ClientRates!$A$5:$A$500,0)),0))</f>
        <v/>
      </c>
      <c r="O2491" s="26" t="str">
        <f aca="false">IF($D2491="","",F2491*M2491+G2491*N2491)</f>
        <v/>
      </c>
      <c r="P2491" s="26" t="str">
        <f aca="false">IF(OR($D2491="",$J2491&lt;&gt;"Supplier"),"",IFERROR(INDEX(SupplierRates!$D$5:$D$500,MATCH($K2491&amp;"|"&amp;$L2491,SupplierRates!$A$5:$A$500,0)),0))</f>
        <v/>
      </c>
      <c r="Q2491" s="26" t="str">
        <f aca="false">IF(OR($D2491="",$J2491&lt;&gt;"Supplier"),"",IFERROR(INDEX(SupplierRates!$E$5:$E$500,MATCH($K2491&amp;"|"&amp;$L2491,SupplierRates!$A$5:$A$500,0)),0))</f>
        <v/>
      </c>
      <c r="R2491" s="26" t="n">
        <f aca="false">IF(OR($D2491="",$J2491&lt;&gt;"Supplier"),0,F2491*P2491+G2491*Q2491)</f>
        <v>0</v>
      </c>
      <c r="S2491" s="26" t="n">
        <f aca="false">IF(OR($D2491="",$J2491&lt;&gt;"Own"),0,IFERROR((F2491+G2491*Settings!$B$13)*INDEX(Workers!$V$5:$V$2004,MATCH($D2491,Workers!$A$5:$A$2004,0)),0))</f>
        <v>0</v>
      </c>
      <c r="T2491" s="26" t="str">
        <f aca="false">IF($D2491="","",O2491-R2491-S2491)</f>
        <v/>
      </c>
    </row>
    <row r="2492" customFormat="false" ht="15" hidden="false" customHeight="false" outlineLevel="0" collapsed="false">
      <c r="I2492" s="24" t="str">
        <f aca="false">IF($D2492="","",IFERROR(INDEX(Workers!$B$5:$B$2004,MATCH($D2492,Workers!$A$5:$A$2004,0)),"NOT FOUND"))</f>
        <v/>
      </c>
      <c r="J2492" s="24" t="str">
        <f aca="false">IF($D2492="","",IFERROR(INDEX(Workers!$C$5:$C$2004,MATCH($D2492,Workers!$A$5:$A$2004,0)),""))</f>
        <v/>
      </c>
      <c r="K2492" s="24" t="str">
        <f aca="false">IF($D2492="","",IFERROR(IF(INDEX(Workers!$D$5:$D$2004,MATCH($D2492,Workers!$A$5:$A$2004,0))=0,"",INDEX(Workers!$D$5:$D$2004,MATCH($D2492,Workers!$A$5:$A$2004,0))),""))</f>
        <v/>
      </c>
      <c r="L2492" s="24" t="str">
        <f aca="false">IF($D2492="","",IFERROR(INDEX(Workers!$E$5:$E$2004,MATCH($D2492,Workers!$A$5:$A$2004,0)),""))</f>
        <v/>
      </c>
      <c r="M2492" s="26" t="str">
        <f aca="false">IF($D2492="","",IFERROR(INDEX(ClientRates!$D$5:$D$500,MATCH($B2492&amp;"|"&amp;$L2492,ClientRates!$A$5:$A$500,0)),0))</f>
        <v/>
      </c>
      <c r="N2492" s="26" t="str">
        <f aca="false">IF($D2492="","",IFERROR(INDEX(ClientRates!$E$5:$E$500,MATCH($B2492&amp;"|"&amp;$L2492,ClientRates!$A$5:$A$500,0)),0))</f>
        <v/>
      </c>
      <c r="O2492" s="26" t="str">
        <f aca="false">IF($D2492="","",F2492*M2492+G2492*N2492)</f>
        <v/>
      </c>
      <c r="P2492" s="26" t="str">
        <f aca="false">IF(OR($D2492="",$J2492&lt;&gt;"Supplier"),"",IFERROR(INDEX(SupplierRates!$D$5:$D$500,MATCH($K2492&amp;"|"&amp;$L2492,SupplierRates!$A$5:$A$500,0)),0))</f>
        <v/>
      </c>
      <c r="Q2492" s="26" t="str">
        <f aca="false">IF(OR($D2492="",$J2492&lt;&gt;"Supplier"),"",IFERROR(INDEX(SupplierRates!$E$5:$E$500,MATCH($K2492&amp;"|"&amp;$L2492,SupplierRates!$A$5:$A$500,0)),0))</f>
        <v/>
      </c>
      <c r="R2492" s="26" t="n">
        <f aca="false">IF(OR($D2492="",$J2492&lt;&gt;"Supplier"),0,F2492*P2492+G2492*Q2492)</f>
        <v>0</v>
      </c>
      <c r="S2492" s="26" t="n">
        <f aca="false">IF(OR($D2492="",$J2492&lt;&gt;"Own"),0,IFERROR((F2492+G2492*Settings!$B$13)*INDEX(Workers!$V$5:$V$2004,MATCH($D2492,Workers!$A$5:$A$2004,0)),0))</f>
        <v>0</v>
      </c>
      <c r="T2492" s="26" t="str">
        <f aca="false">IF($D2492="","",O2492-R2492-S2492)</f>
        <v/>
      </c>
    </row>
    <row r="2493" customFormat="false" ht="15" hidden="false" customHeight="false" outlineLevel="0" collapsed="false">
      <c r="I2493" s="24" t="str">
        <f aca="false">IF($D2493="","",IFERROR(INDEX(Workers!$B$5:$B$2004,MATCH($D2493,Workers!$A$5:$A$2004,0)),"NOT FOUND"))</f>
        <v/>
      </c>
      <c r="J2493" s="24" t="str">
        <f aca="false">IF($D2493="","",IFERROR(INDEX(Workers!$C$5:$C$2004,MATCH($D2493,Workers!$A$5:$A$2004,0)),""))</f>
        <v/>
      </c>
      <c r="K2493" s="24" t="str">
        <f aca="false">IF($D2493="","",IFERROR(IF(INDEX(Workers!$D$5:$D$2004,MATCH($D2493,Workers!$A$5:$A$2004,0))=0,"",INDEX(Workers!$D$5:$D$2004,MATCH($D2493,Workers!$A$5:$A$2004,0))),""))</f>
        <v/>
      </c>
      <c r="L2493" s="24" t="str">
        <f aca="false">IF($D2493="","",IFERROR(INDEX(Workers!$E$5:$E$2004,MATCH($D2493,Workers!$A$5:$A$2004,0)),""))</f>
        <v/>
      </c>
      <c r="M2493" s="26" t="str">
        <f aca="false">IF($D2493="","",IFERROR(INDEX(ClientRates!$D$5:$D$500,MATCH($B2493&amp;"|"&amp;$L2493,ClientRates!$A$5:$A$500,0)),0))</f>
        <v/>
      </c>
      <c r="N2493" s="26" t="str">
        <f aca="false">IF($D2493="","",IFERROR(INDEX(ClientRates!$E$5:$E$500,MATCH($B2493&amp;"|"&amp;$L2493,ClientRates!$A$5:$A$500,0)),0))</f>
        <v/>
      </c>
      <c r="O2493" s="26" t="str">
        <f aca="false">IF($D2493="","",F2493*M2493+G2493*N2493)</f>
        <v/>
      </c>
      <c r="P2493" s="26" t="str">
        <f aca="false">IF(OR($D2493="",$J2493&lt;&gt;"Supplier"),"",IFERROR(INDEX(SupplierRates!$D$5:$D$500,MATCH($K2493&amp;"|"&amp;$L2493,SupplierRates!$A$5:$A$500,0)),0))</f>
        <v/>
      </c>
      <c r="Q2493" s="26" t="str">
        <f aca="false">IF(OR($D2493="",$J2493&lt;&gt;"Supplier"),"",IFERROR(INDEX(SupplierRates!$E$5:$E$500,MATCH($K2493&amp;"|"&amp;$L2493,SupplierRates!$A$5:$A$500,0)),0))</f>
        <v/>
      </c>
      <c r="R2493" s="26" t="n">
        <f aca="false">IF(OR($D2493="",$J2493&lt;&gt;"Supplier"),0,F2493*P2493+G2493*Q2493)</f>
        <v>0</v>
      </c>
      <c r="S2493" s="26" t="n">
        <f aca="false">IF(OR($D2493="",$J2493&lt;&gt;"Own"),0,IFERROR((F2493+G2493*Settings!$B$13)*INDEX(Workers!$V$5:$V$2004,MATCH($D2493,Workers!$A$5:$A$2004,0)),0))</f>
        <v>0</v>
      </c>
      <c r="T2493" s="26" t="str">
        <f aca="false">IF($D2493="","",O2493-R2493-S2493)</f>
        <v/>
      </c>
    </row>
    <row r="2494" customFormat="false" ht="15" hidden="false" customHeight="false" outlineLevel="0" collapsed="false">
      <c r="I2494" s="24" t="str">
        <f aca="false">IF($D2494="","",IFERROR(INDEX(Workers!$B$5:$B$2004,MATCH($D2494,Workers!$A$5:$A$2004,0)),"NOT FOUND"))</f>
        <v/>
      </c>
      <c r="J2494" s="24" t="str">
        <f aca="false">IF($D2494="","",IFERROR(INDEX(Workers!$C$5:$C$2004,MATCH($D2494,Workers!$A$5:$A$2004,0)),""))</f>
        <v/>
      </c>
      <c r="K2494" s="24" t="str">
        <f aca="false">IF($D2494="","",IFERROR(IF(INDEX(Workers!$D$5:$D$2004,MATCH($D2494,Workers!$A$5:$A$2004,0))=0,"",INDEX(Workers!$D$5:$D$2004,MATCH($D2494,Workers!$A$5:$A$2004,0))),""))</f>
        <v/>
      </c>
      <c r="L2494" s="24" t="str">
        <f aca="false">IF($D2494="","",IFERROR(INDEX(Workers!$E$5:$E$2004,MATCH($D2494,Workers!$A$5:$A$2004,0)),""))</f>
        <v/>
      </c>
      <c r="M2494" s="26" t="str">
        <f aca="false">IF($D2494="","",IFERROR(INDEX(ClientRates!$D$5:$D$500,MATCH($B2494&amp;"|"&amp;$L2494,ClientRates!$A$5:$A$500,0)),0))</f>
        <v/>
      </c>
      <c r="N2494" s="26" t="str">
        <f aca="false">IF($D2494="","",IFERROR(INDEX(ClientRates!$E$5:$E$500,MATCH($B2494&amp;"|"&amp;$L2494,ClientRates!$A$5:$A$500,0)),0))</f>
        <v/>
      </c>
      <c r="O2494" s="26" t="str">
        <f aca="false">IF($D2494="","",F2494*M2494+G2494*N2494)</f>
        <v/>
      </c>
      <c r="P2494" s="26" t="str">
        <f aca="false">IF(OR($D2494="",$J2494&lt;&gt;"Supplier"),"",IFERROR(INDEX(SupplierRates!$D$5:$D$500,MATCH($K2494&amp;"|"&amp;$L2494,SupplierRates!$A$5:$A$500,0)),0))</f>
        <v/>
      </c>
      <c r="Q2494" s="26" t="str">
        <f aca="false">IF(OR($D2494="",$J2494&lt;&gt;"Supplier"),"",IFERROR(INDEX(SupplierRates!$E$5:$E$500,MATCH($K2494&amp;"|"&amp;$L2494,SupplierRates!$A$5:$A$500,0)),0))</f>
        <v/>
      </c>
      <c r="R2494" s="26" t="n">
        <f aca="false">IF(OR($D2494="",$J2494&lt;&gt;"Supplier"),0,F2494*P2494+G2494*Q2494)</f>
        <v>0</v>
      </c>
      <c r="S2494" s="26" t="n">
        <f aca="false">IF(OR($D2494="",$J2494&lt;&gt;"Own"),0,IFERROR((F2494+G2494*Settings!$B$13)*INDEX(Workers!$V$5:$V$2004,MATCH($D2494,Workers!$A$5:$A$2004,0)),0))</f>
        <v>0</v>
      </c>
      <c r="T2494" s="26" t="str">
        <f aca="false">IF($D2494="","",O2494-R2494-S2494)</f>
        <v/>
      </c>
    </row>
    <row r="2495" customFormat="false" ht="15" hidden="false" customHeight="false" outlineLevel="0" collapsed="false">
      <c r="I2495" s="24" t="str">
        <f aca="false">IF($D2495="","",IFERROR(INDEX(Workers!$B$5:$B$2004,MATCH($D2495,Workers!$A$5:$A$2004,0)),"NOT FOUND"))</f>
        <v/>
      </c>
      <c r="J2495" s="24" t="str">
        <f aca="false">IF($D2495="","",IFERROR(INDEX(Workers!$C$5:$C$2004,MATCH($D2495,Workers!$A$5:$A$2004,0)),""))</f>
        <v/>
      </c>
      <c r="K2495" s="24" t="str">
        <f aca="false">IF($D2495="","",IFERROR(IF(INDEX(Workers!$D$5:$D$2004,MATCH($D2495,Workers!$A$5:$A$2004,0))=0,"",INDEX(Workers!$D$5:$D$2004,MATCH($D2495,Workers!$A$5:$A$2004,0))),""))</f>
        <v/>
      </c>
      <c r="L2495" s="24" t="str">
        <f aca="false">IF($D2495="","",IFERROR(INDEX(Workers!$E$5:$E$2004,MATCH($D2495,Workers!$A$5:$A$2004,0)),""))</f>
        <v/>
      </c>
      <c r="M2495" s="26" t="str">
        <f aca="false">IF($D2495="","",IFERROR(INDEX(ClientRates!$D$5:$D$500,MATCH($B2495&amp;"|"&amp;$L2495,ClientRates!$A$5:$A$500,0)),0))</f>
        <v/>
      </c>
      <c r="N2495" s="26" t="str">
        <f aca="false">IF($D2495="","",IFERROR(INDEX(ClientRates!$E$5:$E$500,MATCH($B2495&amp;"|"&amp;$L2495,ClientRates!$A$5:$A$500,0)),0))</f>
        <v/>
      </c>
      <c r="O2495" s="26" t="str">
        <f aca="false">IF($D2495="","",F2495*M2495+G2495*N2495)</f>
        <v/>
      </c>
      <c r="P2495" s="26" t="str">
        <f aca="false">IF(OR($D2495="",$J2495&lt;&gt;"Supplier"),"",IFERROR(INDEX(SupplierRates!$D$5:$D$500,MATCH($K2495&amp;"|"&amp;$L2495,SupplierRates!$A$5:$A$500,0)),0))</f>
        <v/>
      </c>
      <c r="Q2495" s="26" t="str">
        <f aca="false">IF(OR($D2495="",$J2495&lt;&gt;"Supplier"),"",IFERROR(INDEX(SupplierRates!$E$5:$E$500,MATCH($K2495&amp;"|"&amp;$L2495,SupplierRates!$A$5:$A$500,0)),0))</f>
        <v/>
      </c>
      <c r="R2495" s="26" t="n">
        <f aca="false">IF(OR($D2495="",$J2495&lt;&gt;"Supplier"),0,F2495*P2495+G2495*Q2495)</f>
        <v>0</v>
      </c>
      <c r="S2495" s="26" t="n">
        <f aca="false">IF(OR($D2495="",$J2495&lt;&gt;"Own"),0,IFERROR((F2495+G2495*Settings!$B$13)*INDEX(Workers!$V$5:$V$2004,MATCH($D2495,Workers!$A$5:$A$2004,0)),0))</f>
        <v>0</v>
      </c>
      <c r="T2495" s="26" t="str">
        <f aca="false">IF($D2495="","",O2495-R2495-S2495)</f>
        <v/>
      </c>
    </row>
    <row r="2496" customFormat="false" ht="15" hidden="false" customHeight="false" outlineLevel="0" collapsed="false">
      <c r="I2496" s="24" t="str">
        <f aca="false">IF($D2496="","",IFERROR(INDEX(Workers!$B$5:$B$2004,MATCH($D2496,Workers!$A$5:$A$2004,0)),"NOT FOUND"))</f>
        <v/>
      </c>
      <c r="J2496" s="24" t="str">
        <f aca="false">IF($D2496="","",IFERROR(INDEX(Workers!$C$5:$C$2004,MATCH($D2496,Workers!$A$5:$A$2004,0)),""))</f>
        <v/>
      </c>
      <c r="K2496" s="24" t="str">
        <f aca="false">IF($D2496="","",IFERROR(IF(INDEX(Workers!$D$5:$D$2004,MATCH($D2496,Workers!$A$5:$A$2004,0))=0,"",INDEX(Workers!$D$5:$D$2004,MATCH($D2496,Workers!$A$5:$A$2004,0))),""))</f>
        <v/>
      </c>
      <c r="L2496" s="24" t="str">
        <f aca="false">IF($D2496="","",IFERROR(INDEX(Workers!$E$5:$E$2004,MATCH($D2496,Workers!$A$5:$A$2004,0)),""))</f>
        <v/>
      </c>
      <c r="M2496" s="26" t="str">
        <f aca="false">IF($D2496="","",IFERROR(INDEX(ClientRates!$D$5:$D$500,MATCH($B2496&amp;"|"&amp;$L2496,ClientRates!$A$5:$A$500,0)),0))</f>
        <v/>
      </c>
      <c r="N2496" s="26" t="str">
        <f aca="false">IF($D2496="","",IFERROR(INDEX(ClientRates!$E$5:$E$500,MATCH($B2496&amp;"|"&amp;$L2496,ClientRates!$A$5:$A$500,0)),0))</f>
        <v/>
      </c>
      <c r="O2496" s="26" t="str">
        <f aca="false">IF($D2496="","",F2496*M2496+G2496*N2496)</f>
        <v/>
      </c>
      <c r="P2496" s="26" t="str">
        <f aca="false">IF(OR($D2496="",$J2496&lt;&gt;"Supplier"),"",IFERROR(INDEX(SupplierRates!$D$5:$D$500,MATCH($K2496&amp;"|"&amp;$L2496,SupplierRates!$A$5:$A$500,0)),0))</f>
        <v/>
      </c>
      <c r="Q2496" s="26" t="str">
        <f aca="false">IF(OR($D2496="",$J2496&lt;&gt;"Supplier"),"",IFERROR(INDEX(SupplierRates!$E$5:$E$500,MATCH($K2496&amp;"|"&amp;$L2496,SupplierRates!$A$5:$A$500,0)),0))</f>
        <v/>
      </c>
      <c r="R2496" s="26" t="n">
        <f aca="false">IF(OR($D2496="",$J2496&lt;&gt;"Supplier"),0,F2496*P2496+G2496*Q2496)</f>
        <v>0</v>
      </c>
      <c r="S2496" s="26" t="n">
        <f aca="false">IF(OR($D2496="",$J2496&lt;&gt;"Own"),0,IFERROR((F2496+G2496*Settings!$B$13)*INDEX(Workers!$V$5:$V$2004,MATCH($D2496,Workers!$A$5:$A$2004,0)),0))</f>
        <v>0</v>
      </c>
      <c r="T2496" s="26" t="str">
        <f aca="false">IF($D2496="","",O2496-R2496-S2496)</f>
        <v/>
      </c>
    </row>
    <row r="2497" customFormat="false" ht="15" hidden="false" customHeight="false" outlineLevel="0" collapsed="false">
      <c r="I2497" s="24" t="str">
        <f aca="false">IF($D2497="","",IFERROR(INDEX(Workers!$B$5:$B$2004,MATCH($D2497,Workers!$A$5:$A$2004,0)),"NOT FOUND"))</f>
        <v/>
      </c>
      <c r="J2497" s="24" t="str">
        <f aca="false">IF($D2497="","",IFERROR(INDEX(Workers!$C$5:$C$2004,MATCH($D2497,Workers!$A$5:$A$2004,0)),""))</f>
        <v/>
      </c>
      <c r="K2497" s="24" t="str">
        <f aca="false">IF($D2497="","",IFERROR(IF(INDEX(Workers!$D$5:$D$2004,MATCH($D2497,Workers!$A$5:$A$2004,0))=0,"",INDEX(Workers!$D$5:$D$2004,MATCH($D2497,Workers!$A$5:$A$2004,0))),""))</f>
        <v/>
      </c>
      <c r="L2497" s="24" t="str">
        <f aca="false">IF($D2497="","",IFERROR(INDEX(Workers!$E$5:$E$2004,MATCH($D2497,Workers!$A$5:$A$2004,0)),""))</f>
        <v/>
      </c>
      <c r="M2497" s="26" t="str">
        <f aca="false">IF($D2497="","",IFERROR(INDEX(ClientRates!$D$5:$D$500,MATCH($B2497&amp;"|"&amp;$L2497,ClientRates!$A$5:$A$500,0)),0))</f>
        <v/>
      </c>
      <c r="N2497" s="26" t="str">
        <f aca="false">IF($D2497="","",IFERROR(INDEX(ClientRates!$E$5:$E$500,MATCH($B2497&amp;"|"&amp;$L2497,ClientRates!$A$5:$A$500,0)),0))</f>
        <v/>
      </c>
      <c r="O2497" s="26" t="str">
        <f aca="false">IF($D2497="","",F2497*M2497+G2497*N2497)</f>
        <v/>
      </c>
      <c r="P2497" s="26" t="str">
        <f aca="false">IF(OR($D2497="",$J2497&lt;&gt;"Supplier"),"",IFERROR(INDEX(SupplierRates!$D$5:$D$500,MATCH($K2497&amp;"|"&amp;$L2497,SupplierRates!$A$5:$A$500,0)),0))</f>
        <v/>
      </c>
      <c r="Q2497" s="26" t="str">
        <f aca="false">IF(OR($D2497="",$J2497&lt;&gt;"Supplier"),"",IFERROR(INDEX(SupplierRates!$E$5:$E$500,MATCH($K2497&amp;"|"&amp;$L2497,SupplierRates!$A$5:$A$500,0)),0))</f>
        <v/>
      </c>
      <c r="R2497" s="26" t="n">
        <f aca="false">IF(OR($D2497="",$J2497&lt;&gt;"Supplier"),0,F2497*P2497+G2497*Q2497)</f>
        <v>0</v>
      </c>
      <c r="S2497" s="26" t="n">
        <f aca="false">IF(OR($D2497="",$J2497&lt;&gt;"Own"),0,IFERROR((F2497+G2497*Settings!$B$13)*INDEX(Workers!$V$5:$V$2004,MATCH($D2497,Workers!$A$5:$A$2004,0)),0))</f>
        <v>0</v>
      </c>
      <c r="T2497" s="26" t="str">
        <f aca="false">IF($D2497="","",O2497-R2497-S2497)</f>
        <v/>
      </c>
    </row>
    <row r="2498" customFormat="false" ht="15" hidden="false" customHeight="false" outlineLevel="0" collapsed="false">
      <c r="I2498" s="24" t="str">
        <f aca="false">IF($D2498="","",IFERROR(INDEX(Workers!$B$5:$B$2004,MATCH($D2498,Workers!$A$5:$A$2004,0)),"NOT FOUND"))</f>
        <v/>
      </c>
      <c r="J2498" s="24" t="str">
        <f aca="false">IF($D2498="","",IFERROR(INDEX(Workers!$C$5:$C$2004,MATCH($D2498,Workers!$A$5:$A$2004,0)),""))</f>
        <v/>
      </c>
      <c r="K2498" s="24" t="str">
        <f aca="false">IF($D2498="","",IFERROR(IF(INDEX(Workers!$D$5:$D$2004,MATCH($D2498,Workers!$A$5:$A$2004,0))=0,"",INDEX(Workers!$D$5:$D$2004,MATCH($D2498,Workers!$A$5:$A$2004,0))),""))</f>
        <v/>
      </c>
      <c r="L2498" s="24" t="str">
        <f aca="false">IF($D2498="","",IFERROR(INDEX(Workers!$E$5:$E$2004,MATCH($D2498,Workers!$A$5:$A$2004,0)),""))</f>
        <v/>
      </c>
      <c r="M2498" s="26" t="str">
        <f aca="false">IF($D2498="","",IFERROR(INDEX(ClientRates!$D$5:$D$500,MATCH($B2498&amp;"|"&amp;$L2498,ClientRates!$A$5:$A$500,0)),0))</f>
        <v/>
      </c>
      <c r="N2498" s="26" t="str">
        <f aca="false">IF($D2498="","",IFERROR(INDEX(ClientRates!$E$5:$E$500,MATCH($B2498&amp;"|"&amp;$L2498,ClientRates!$A$5:$A$500,0)),0))</f>
        <v/>
      </c>
      <c r="O2498" s="26" t="str">
        <f aca="false">IF($D2498="","",F2498*M2498+G2498*N2498)</f>
        <v/>
      </c>
      <c r="P2498" s="26" t="str">
        <f aca="false">IF(OR($D2498="",$J2498&lt;&gt;"Supplier"),"",IFERROR(INDEX(SupplierRates!$D$5:$D$500,MATCH($K2498&amp;"|"&amp;$L2498,SupplierRates!$A$5:$A$500,0)),0))</f>
        <v/>
      </c>
      <c r="Q2498" s="26" t="str">
        <f aca="false">IF(OR($D2498="",$J2498&lt;&gt;"Supplier"),"",IFERROR(INDEX(SupplierRates!$E$5:$E$500,MATCH($K2498&amp;"|"&amp;$L2498,SupplierRates!$A$5:$A$500,0)),0))</f>
        <v/>
      </c>
      <c r="R2498" s="26" t="n">
        <f aca="false">IF(OR($D2498="",$J2498&lt;&gt;"Supplier"),0,F2498*P2498+G2498*Q2498)</f>
        <v>0</v>
      </c>
      <c r="S2498" s="26" t="n">
        <f aca="false">IF(OR($D2498="",$J2498&lt;&gt;"Own"),0,IFERROR((F2498+G2498*Settings!$B$13)*INDEX(Workers!$V$5:$V$2004,MATCH($D2498,Workers!$A$5:$A$2004,0)),0))</f>
        <v>0</v>
      </c>
      <c r="T2498" s="26" t="str">
        <f aca="false">IF($D2498="","",O2498-R2498-S2498)</f>
        <v/>
      </c>
    </row>
    <row r="2499" customFormat="false" ht="15" hidden="false" customHeight="false" outlineLevel="0" collapsed="false">
      <c r="I2499" s="24" t="str">
        <f aca="false">IF($D2499="","",IFERROR(INDEX(Workers!$B$5:$B$2004,MATCH($D2499,Workers!$A$5:$A$2004,0)),"NOT FOUND"))</f>
        <v/>
      </c>
      <c r="J2499" s="24" t="str">
        <f aca="false">IF($D2499="","",IFERROR(INDEX(Workers!$C$5:$C$2004,MATCH($D2499,Workers!$A$5:$A$2004,0)),""))</f>
        <v/>
      </c>
      <c r="K2499" s="24" t="str">
        <f aca="false">IF($D2499="","",IFERROR(IF(INDEX(Workers!$D$5:$D$2004,MATCH($D2499,Workers!$A$5:$A$2004,0))=0,"",INDEX(Workers!$D$5:$D$2004,MATCH($D2499,Workers!$A$5:$A$2004,0))),""))</f>
        <v/>
      </c>
      <c r="L2499" s="24" t="str">
        <f aca="false">IF($D2499="","",IFERROR(INDEX(Workers!$E$5:$E$2004,MATCH($D2499,Workers!$A$5:$A$2004,0)),""))</f>
        <v/>
      </c>
      <c r="M2499" s="26" t="str">
        <f aca="false">IF($D2499="","",IFERROR(INDEX(ClientRates!$D$5:$D$500,MATCH($B2499&amp;"|"&amp;$L2499,ClientRates!$A$5:$A$500,0)),0))</f>
        <v/>
      </c>
      <c r="N2499" s="26" t="str">
        <f aca="false">IF($D2499="","",IFERROR(INDEX(ClientRates!$E$5:$E$500,MATCH($B2499&amp;"|"&amp;$L2499,ClientRates!$A$5:$A$500,0)),0))</f>
        <v/>
      </c>
      <c r="O2499" s="26" t="str">
        <f aca="false">IF($D2499="","",F2499*M2499+G2499*N2499)</f>
        <v/>
      </c>
      <c r="P2499" s="26" t="str">
        <f aca="false">IF(OR($D2499="",$J2499&lt;&gt;"Supplier"),"",IFERROR(INDEX(SupplierRates!$D$5:$D$500,MATCH($K2499&amp;"|"&amp;$L2499,SupplierRates!$A$5:$A$500,0)),0))</f>
        <v/>
      </c>
      <c r="Q2499" s="26" t="str">
        <f aca="false">IF(OR($D2499="",$J2499&lt;&gt;"Supplier"),"",IFERROR(INDEX(SupplierRates!$E$5:$E$500,MATCH($K2499&amp;"|"&amp;$L2499,SupplierRates!$A$5:$A$500,0)),0))</f>
        <v/>
      </c>
      <c r="R2499" s="26" t="n">
        <f aca="false">IF(OR($D2499="",$J2499&lt;&gt;"Supplier"),0,F2499*P2499+G2499*Q2499)</f>
        <v>0</v>
      </c>
      <c r="S2499" s="26" t="n">
        <f aca="false">IF(OR($D2499="",$J2499&lt;&gt;"Own"),0,IFERROR((F2499+G2499*Settings!$B$13)*INDEX(Workers!$V$5:$V$2004,MATCH($D2499,Workers!$A$5:$A$2004,0)),0))</f>
        <v>0</v>
      </c>
      <c r="T2499" s="26" t="str">
        <f aca="false">IF($D2499="","",O2499-R2499-S2499)</f>
        <v/>
      </c>
    </row>
    <row r="2500" customFormat="false" ht="15" hidden="false" customHeight="false" outlineLevel="0" collapsed="false">
      <c r="I2500" s="24" t="str">
        <f aca="false">IF($D2500="","",IFERROR(INDEX(Workers!$B$5:$B$2004,MATCH($D2500,Workers!$A$5:$A$2004,0)),"NOT FOUND"))</f>
        <v/>
      </c>
      <c r="J2500" s="24" t="str">
        <f aca="false">IF($D2500="","",IFERROR(INDEX(Workers!$C$5:$C$2004,MATCH($D2500,Workers!$A$5:$A$2004,0)),""))</f>
        <v/>
      </c>
      <c r="K2500" s="24" t="str">
        <f aca="false">IF($D2500="","",IFERROR(IF(INDEX(Workers!$D$5:$D$2004,MATCH($D2500,Workers!$A$5:$A$2004,0))=0,"",INDEX(Workers!$D$5:$D$2004,MATCH($D2500,Workers!$A$5:$A$2004,0))),""))</f>
        <v/>
      </c>
      <c r="L2500" s="24" t="str">
        <f aca="false">IF($D2500="","",IFERROR(INDEX(Workers!$E$5:$E$2004,MATCH($D2500,Workers!$A$5:$A$2004,0)),""))</f>
        <v/>
      </c>
      <c r="M2500" s="26" t="str">
        <f aca="false">IF($D2500="","",IFERROR(INDEX(ClientRates!$D$5:$D$500,MATCH($B2500&amp;"|"&amp;$L2500,ClientRates!$A$5:$A$500,0)),0))</f>
        <v/>
      </c>
      <c r="N2500" s="26" t="str">
        <f aca="false">IF($D2500="","",IFERROR(INDEX(ClientRates!$E$5:$E$500,MATCH($B2500&amp;"|"&amp;$L2500,ClientRates!$A$5:$A$500,0)),0))</f>
        <v/>
      </c>
      <c r="O2500" s="26" t="str">
        <f aca="false">IF($D2500="","",F2500*M2500+G2500*N2500)</f>
        <v/>
      </c>
      <c r="P2500" s="26" t="str">
        <f aca="false">IF(OR($D2500="",$J2500&lt;&gt;"Supplier"),"",IFERROR(INDEX(SupplierRates!$D$5:$D$500,MATCH($K2500&amp;"|"&amp;$L2500,SupplierRates!$A$5:$A$500,0)),0))</f>
        <v/>
      </c>
      <c r="Q2500" s="26" t="str">
        <f aca="false">IF(OR($D2500="",$J2500&lt;&gt;"Supplier"),"",IFERROR(INDEX(SupplierRates!$E$5:$E$500,MATCH($K2500&amp;"|"&amp;$L2500,SupplierRates!$A$5:$A$500,0)),0))</f>
        <v/>
      </c>
      <c r="R2500" s="26" t="n">
        <f aca="false">IF(OR($D2500="",$J2500&lt;&gt;"Supplier"),0,F2500*P2500+G2500*Q2500)</f>
        <v>0</v>
      </c>
      <c r="S2500" s="26" t="n">
        <f aca="false">IF(OR($D2500="",$J2500&lt;&gt;"Own"),0,IFERROR((F2500+G2500*Settings!$B$13)*INDEX(Workers!$V$5:$V$2004,MATCH($D2500,Workers!$A$5:$A$2004,0)),0))</f>
        <v>0</v>
      </c>
      <c r="T2500" s="26" t="str">
        <f aca="false">IF($D2500="","",O2500-R2500-S2500)</f>
        <v/>
      </c>
    </row>
    <row r="2501" customFormat="false" ht="15" hidden="false" customHeight="false" outlineLevel="0" collapsed="false">
      <c r="I2501" s="24" t="str">
        <f aca="false">IF($D2501="","",IFERROR(INDEX(Workers!$B$5:$B$2004,MATCH($D2501,Workers!$A$5:$A$2004,0)),"NOT FOUND"))</f>
        <v/>
      </c>
      <c r="J2501" s="24" t="str">
        <f aca="false">IF($D2501="","",IFERROR(INDEX(Workers!$C$5:$C$2004,MATCH($D2501,Workers!$A$5:$A$2004,0)),""))</f>
        <v/>
      </c>
      <c r="K2501" s="24" t="str">
        <f aca="false">IF($D2501="","",IFERROR(IF(INDEX(Workers!$D$5:$D$2004,MATCH($D2501,Workers!$A$5:$A$2004,0))=0,"",INDEX(Workers!$D$5:$D$2004,MATCH($D2501,Workers!$A$5:$A$2004,0))),""))</f>
        <v/>
      </c>
      <c r="L2501" s="24" t="str">
        <f aca="false">IF($D2501="","",IFERROR(INDEX(Workers!$E$5:$E$2004,MATCH($D2501,Workers!$A$5:$A$2004,0)),""))</f>
        <v/>
      </c>
      <c r="M2501" s="26" t="str">
        <f aca="false">IF($D2501="","",IFERROR(INDEX(ClientRates!$D$5:$D$500,MATCH($B2501&amp;"|"&amp;$L2501,ClientRates!$A$5:$A$500,0)),0))</f>
        <v/>
      </c>
      <c r="N2501" s="26" t="str">
        <f aca="false">IF($D2501="","",IFERROR(INDEX(ClientRates!$E$5:$E$500,MATCH($B2501&amp;"|"&amp;$L2501,ClientRates!$A$5:$A$500,0)),0))</f>
        <v/>
      </c>
      <c r="O2501" s="26" t="str">
        <f aca="false">IF($D2501="","",F2501*M2501+G2501*N2501)</f>
        <v/>
      </c>
      <c r="P2501" s="26" t="str">
        <f aca="false">IF(OR($D2501="",$J2501&lt;&gt;"Supplier"),"",IFERROR(INDEX(SupplierRates!$D$5:$D$500,MATCH($K2501&amp;"|"&amp;$L2501,SupplierRates!$A$5:$A$500,0)),0))</f>
        <v/>
      </c>
      <c r="Q2501" s="26" t="str">
        <f aca="false">IF(OR($D2501="",$J2501&lt;&gt;"Supplier"),"",IFERROR(INDEX(SupplierRates!$E$5:$E$500,MATCH($K2501&amp;"|"&amp;$L2501,SupplierRates!$A$5:$A$500,0)),0))</f>
        <v/>
      </c>
      <c r="R2501" s="26" t="n">
        <f aca="false">IF(OR($D2501="",$J2501&lt;&gt;"Supplier"),0,F2501*P2501+G2501*Q2501)</f>
        <v>0</v>
      </c>
      <c r="S2501" s="26" t="n">
        <f aca="false">IF(OR($D2501="",$J2501&lt;&gt;"Own"),0,IFERROR((F2501+G2501*Settings!$B$13)*INDEX(Workers!$V$5:$V$2004,MATCH($D2501,Workers!$A$5:$A$2004,0)),0))</f>
        <v>0</v>
      </c>
      <c r="T2501" s="26" t="str">
        <f aca="false">IF($D2501="","",O2501-R2501-S2501)</f>
        <v/>
      </c>
    </row>
    <row r="2502" customFormat="false" ht="15" hidden="false" customHeight="false" outlineLevel="0" collapsed="false">
      <c r="I2502" s="24" t="str">
        <f aca="false">IF($D2502="","",IFERROR(INDEX(Workers!$B$5:$B$2004,MATCH($D2502,Workers!$A$5:$A$2004,0)),"NOT FOUND"))</f>
        <v/>
      </c>
      <c r="J2502" s="24" t="str">
        <f aca="false">IF($D2502="","",IFERROR(INDEX(Workers!$C$5:$C$2004,MATCH($D2502,Workers!$A$5:$A$2004,0)),""))</f>
        <v/>
      </c>
      <c r="K2502" s="24" t="str">
        <f aca="false">IF($D2502="","",IFERROR(IF(INDEX(Workers!$D$5:$D$2004,MATCH($D2502,Workers!$A$5:$A$2004,0))=0,"",INDEX(Workers!$D$5:$D$2004,MATCH($D2502,Workers!$A$5:$A$2004,0))),""))</f>
        <v/>
      </c>
      <c r="L2502" s="24" t="str">
        <f aca="false">IF($D2502="","",IFERROR(INDEX(Workers!$E$5:$E$2004,MATCH($D2502,Workers!$A$5:$A$2004,0)),""))</f>
        <v/>
      </c>
      <c r="M2502" s="26" t="str">
        <f aca="false">IF($D2502="","",IFERROR(INDEX(ClientRates!$D$5:$D$500,MATCH($B2502&amp;"|"&amp;$L2502,ClientRates!$A$5:$A$500,0)),0))</f>
        <v/>
      </c>
      <c r="N2502" s="26" t="str">
        <f aca="false">IF($D2502="","",IFERROR(INDEX(ClientRates!$E$5:$E$500,MATCH($B2502&amp;"|"&amp;$L2502,ClientRates!$A$5:$A$500,0)),0))</f>
        <v/>
      </c>
      <c r="O2502" s="26" t="str">
        <f aca="false">IF($D2502="","",F2502*M2502+G2502*N2502)</f>
        <v/>
      </c>
      <c r="P2502" s="26" t="str">
        <f aca="false">IF(OR($D2502="",$J2502&lt;&gt;"Supplier"),"",IFERROR(INDEX(SupplierRates!$D$5:$D$500,MATCH($K2502&amp;"|"&amp;$L2502,SupplierRates!$A$5:$A$500,0)),0))</f>
        <v/>
      </c>
      <c r="Q2502" s="26" t="str">
        <f aca="false">IF(OR($D2502="",$J2502&lt;&gt;"Supplier"),"",IFERROR(INDEX(SupplierRates!$E$5:$E$500,MATCH($K2502&amp;"|"&amp;$L2502,SupplierRates!$A$5:$A$500,0)),0))</f>
        <v/>
      </c>
      <c r="R2502" s="26" t="n">
        <f aca="false">IF(OR($D2502="",$J2502&lt;&gt;"Supplier"),0,F2502*P2502+G2502*Q2502)</f>
        <v>0</v>
      </c>
      <c r="S2502" s="26" t="n">
        <f aca="false">IF(OR($D2502="",$J2502&lt;&gt;"Own"),0,IFERROR((F2502+G2502*Settings!$B$13)*INDEX(Workers!$V$5:$V$2004,MATCH($D2502,Workers!$A$5:$A$2004,0)),0))</f>
        <v>0</v>
      </c>
      <c r="T2502" s="26" t="str">
        <f aca="false">IF($D2502="","",O2502-R2502-S2502)</f>
        <v/>
      </c>
    </row>
    <row r="2503" customFormat="false" ht="15" hidden="false" customHeight="false" outlineLevel="0" collapsed="false">
      <c r="I2503" s="24" t="str">
        <f aca="false">IF($D2503="","",IFERROR(INDEX(Workers!$B$5:$B$2004,MATCH($D2503,Workers!$A$5:$A$2004,0)),"NOT FOUND"))</f>
        <v/>
      </c>
      <c r="J2503" s="24" t="str">
        <f aca="false">IF($D2503="","",IFERROR(INDEX(Workers!$C$5:$C$2004,MATCH($D2503,Workers!$A$5:$A$2004,0)),""))</f>
        <v/>
      </c>
      <c r="K2503" s="24" t="str">
        <f aca="false">IF($D2503="","",IFERROR(IF(INDEX(Workers!$D$5:$D$2004,MATCH($D2503,Workers!$A$5:$A$2004,0))=0,"",INDEX(Workers!$D$5:$D$2004,MATCH($D2503,Workers!$A$5:$A$2004,0))),""))</f>
        <v/>
      </c>
      <c r="L2503" s="24" t="str">
        <f aca="false">IF($D2503="","",IFERROR(INDEX(Workers!$E$5:$E$2004,MATCH($D2503,Workers!$A$5:$A$2004,0)),""))</f>
        <v/>
      </c>
      <c r="M2503" s="26" t="str">
        <f aca="false">IF($D2503="","",IFERROR(INDEX(ClientRates!$D$5:$D$500,MATCH($B2503&amp;"|"&amp;$L2503,ClientRates!$A$5:$A$500,0)),0))</f>
        <v/>
      </c>
      <c r="N2503" s="26" t="str">
        <f aca="false">IF($D2503="","",IFERROR(INDEX(ClientRates!$E$5:$E$500,MATCH($B2503&amp;"|"&amp;$L2503,ClientRates!$A$5:$A$500,0)),0))</f>
        <v/>
      </c>
      <c r="O2503" s="26" t="str">
        <f aca="false">IF($D2503="","",F2503*M2503+G2503*N2503)</f>
        <v/>
      </c>
      <c r="P2503" s="26" t="str">
        <f aca="false">IF(OR($D2503="",$J2503&lt;&gt;"Supplier"),"",IFERROR(INDEX(SupplierRates!$D$5:$D$500,MATCH($K2503&amp;"|"&amp;$L2503,SupplierRates!$A$5:$A$500,0)),0))</f>
        <v/>
      </c>
      <c r="Q2503" s="26" t="str">
        <f aca="false">IF(OR($D2503="",$J2503&lt;&gt;"Supplier"),"",IFERROR(INDEX(SupplierRates!$E$5:$E$500,MATCH($K2503&amp;"|"&amp;$L2503,SupplierRates!$A$5:$A$500,0)),0))</f>
        <v/>
      </c>
      <c r="R2503" s="26" t="n">
        <f aca="false">IF(OR($D2503="",$J2503&lt;&gt;"Supplier"),0,F2503*P2503+G2503*Q2503)</f>
        <v>0</v>
      </c>
      <c r="S2503" s="26" t="n">
        <f aca="false">IF(OR($D2503="",$J2503&lt;&gt;"Own"),0,IFERROR((F2503+G2503*Settings!$B$13)*INDEX(Workers!$V$5:$V$2004,MATCH($D2503,Workers!$A$5:$A$2004,0)),0))</f>
        <v>0</v>
      </c>
      <c r="T2503" s="26" t="str">
        <f aca="false">IF($D2503="","",O2503-R2503-S2503)</f>
        <v/>
      </c>
    </row>
    <row r="2504" customFormat="false" ht="15" hidden="false" customHeight="false" outlineLevel="0" collapsed="false">
      <c r="I2504" s="24" t="str">
        <f aca="false">IF($D2504="","",IFERROR(INDEX(Workers!$B$5:$B$2004,MATCH($D2504,Workers!$A$5:$A$2004,0)),"NOT FOUND"))</f>
        <v/>
      </c>
      <c r="J2504" s="24" t="str">
        <f aca="false">IF($D2504="","",IFERROR(INDEX(Workers!$C$5:$C$2004,MATCH($D2504,Workers!$A$5:$A$2004,0)),""))</f>
        <v/>
      </c>
      <c r="K2504" s="24" t="str">
        <f aca="false">IF($D2504="","",IFERROR(IF(INDEX(Workers!$D$5:$D$2004,MATCH($D2504,Workers!$A$5:$A$2004,0))=0,"",INDEX(Workers!$D$5:$D$2004,MATCH($D2504,Workers!$A$5:$A$2004,0))),""))</f>
        <v/>
      </c>
      <c r="L2504" s="24" t="str">
        <f aca="false">IF($D2504="","",IFERROR(INDEX(Workers!$E$5:$E$2004,MATCH($D2504,Workers!$A$5:$A$2004,0)),""))</f>
        <v/>
      </c>
      <c r="M2504" s="26" t="str">
        <f aca="false">IF($D2504="","",IFERROR(INDEX(ClientRates!$D$5:$D$500,MATCH($B2504&amp;"|"&amp;$L2504,ClientRates!$A$5:$A$500,0)),0))</f>
        <v/>
      </c>
      <c r="N2504" s="26" t="str">
        <f aca="false">IF($D2504="","",IFERROR(INDEX(ClientRates!$E$5:$E$500,MATCH($B2504&amp;"|"&amp;$L2504,ClientRates!$A$5:$A$500,0)),0))</f>
        <v/>
      </c>
      <c r="O2504" s="26" t="str">
        <f aca="false">IF($D2504="","",F2504*M2504+G2504*N2504)</f>
        <v/>
      </c>
      <c r="P2504" s="26" t="str">
        <f aca="false">IF(OR($D2504="",$J2504&lt;&gt;"Supplier"),"",IFERROR(INDEX(SupplierRates!$D$5:$D$500,MATCH($K2504&amp;"|"&amp;$L2504,SupplierRates!$A$5:$A$500,0)),0))</f>
        <v/>
      </c>
      <c r="Q2504" s="26" t="str">
        <f aca="false">IF(OR($D2504="",$J2504&lt;&gt;"Supplier"),"",IFERROR(INDEX(SupplierRates!$E$5:$E$500,MATCH($K2504&amp;"|"&amp;$L2504,SupplierRates!$A$5:$A$500,0)),0))</f>
        <v/>
      </c>
      <c r="R2504" s="26" t="n">
        <f aca="false">IF(OR($D2504="",$J2504&lt;&gt;"Supplier"),0,F2504*P2504+G2504*Q2504)</f>
        <v>0</v>
      </c>
      <c r="S2504" s="26" t="n">
        <f aca="false">IF(OR($D2504="",$J2504&lt;&gt;"Own"),0,IFERROR((F2504+G2504*Settings!$B$13)*INDEX(Workers!$V$5:$V$2004,MATCH($D2504,Workers!$A$5:$A$2004,0)),0))</f>
        <v>0</v>
      </c>
      <c r="T2504" s="26" t="str">
        <f aca="false">IF($D2504="","",O2504-R2504-S2504)</f>
        <v/>
      </c>
    </row>
    <row r="2505" customFormat="false" ht="15" hidden="false" customHeight="false" outlineLevel="0" collapsed="false">
      <c r="I2505" s="24" t="str">
        <f aca="false">IF($D2505="","",IFERROR(INDEX(Workers!$B$5:$B$2004,MATCH($D2505,Workers!$A$5:$A$2004,0)),"NOT FOUND"))</f>
        <v/>
      </c>
      <c r="J2505" s="24" t="str">
        <f aca="false">IF($D2505="","",IFERROR(INDEX(Workers!$C$5:$C$2004,MATCH($D2505,Workers!$A$5:$A$2004,0)),""))</f>
        <v/>
      </c>
      <c r="K2505" s="24" t="str">
        <f aca="false">IF($D2505="","",IFERROR(IF(INDEX(Workers!$D$5:$D$2004,MATCH($D2505,Workers!$A$5:$A$2004,0))=0,"",INDEX(Workers!$D$5:$D$2004,MATCH($D2505,Workers!$A$5:$A$2004,0))),""))</f>
        <v/>
      </c>
      <c r="L2505" s="24" t="str">
        <f aca="false">IF($D2505="","",IFERROR(INDEX(Workers!$E$5:$E$2004,MATCH($D2505,Workers!$A$5:$A$2004,0)),""))</f>
        <v/>
      </c>
      <c r="M2505" s="26" t="str">
        <f aca="false">IF($D2505="","",IFERROR(INDEX(ClientRates!$D$5:$D$500,MATCH($B2505&amp;"|"&amp;$L2505,ClientRates!$A$5:$A$500,0)),0))</f>
        <v/>
      </c>
      <c r="N2505" s="26" t="str">
        <f aca="false">IF($D2505="","",IFERROR(INDEX(ClientRates!$E$5:$E$500,MATCH($B2505&amp;"|"&amp;$L2505,ClientRates!$A$5:$A$500,0)),0))</f>
        <v/>
      </c>
      <c r="O2505" s="26" t="str">
        <f aca="false">IF($D2505="","",F2505*M2505+G2505*N2505)</f>
        <v/>
      </c>
      <c r="P2505" s="26" t="str">
        <f aca="false">IF(OR($D2505="",$J2505&lt;&gt;"Supplier"),"",IFERROR(INDEX(SupplierRates!$D$5:$D$500,MATCH($K2505&amp;"|"&amp;$L2505,SupplierRates!$A$5:$A$500,0)),0))</f>
        <v/>
      </c>
      <c r="Q2505" s="26" t="str">
        <f aca="false">IF(OR($D2505="",$J2505&lt;&gt;"Supplier"),"",IFERROR(INDEX(SupplierRates!$E$5:$E$500,MATCH($K2505&amp;"|"&amp;$L2505,SupplierRates!$A$5:$A$500,0)),0))</f>
        <v/>
      </c>
      <c r="R2505" s="26" t="n">
        <f aca="false">IF(OR($D2505="",$J2505&lt;&gt;"Supplier"),0,F2505*P2505+G2505*Q2505)</f>
        <v>0</v>
      </c>
      <c r="S2505" s="26" t="n">
        <f aca="false">IF(OR($D2505="",$J2505&lt;&gt;"Own"),0,IFERROR((F2505+G2505*Settings!$B$13)*INDEX(Workers!$V$5:$V$2004,MATCH($D2505,Workers!$A$5:$A$2004,0)),0))</f>
        <v>0</v>
      </c>
      <c r="T2505" s="26" t="str">
        <f aca="false">IF($D2505="","",O2505-R2505-S2505)</f>
        <v/>
      </c>
    </row>
    <row r="2506" customFormat="false" ht="15" hidden="false" customHeight="false" outlineLevel="0" collapsed="false">
      <c r="I2506" s="24" t="str">
        <f aca="false">IF($D2506="","",IFERROR(INDEX(Workers!$B$5:$B$2004,MATCH($D2506,Workers!$A$5:$A$2004,0)),"NOT FOUND"))</f>
        <v/>
      </c>
      <c r="J2506" s="24" t="str">
        <f aca="false">IF($D2506="","",IFERROR(INDEX(Workers!$C$5:$C$2004,MATCH($D2506,Workers!$A$5:$A$2004,0)),""))</f>
        <v/>
      </c>
      <c r="K2506" s="24" t="str">
        <f aca="false">IF($D2506="","",IFERROR(IF(INDEX(Workers!$D$5:$D$2004,MATCH($D2506,Workers!$A$5:$A$2004,0))=0,"",INDEX(Workers!$D$5:$D$2004,MATCH($D2506,Workers!$A$5:$A$2004,0))),""))</f>
        <v/>
      </c>
      <c r="L2506" s="24" t="str">
        <f aca="false">IF($D2506="","",IFERROR(INDEX(Workers!$E$5:$E$2004,MATCH($D2506,Workers!$A$5:$A$2004,0)),""))</f>
        <v/>
      </c>
      <c r="M2506" s="26" t="str">
        <f aca="false">IF($D2506="","",IFERROR(INDEX(ClientRates!$D$5:$D$500,MATCH($B2506&amp;"|"&amp;$L2506,ClientRates!$A$5:$A$500,0)),0))</f>
        <v/>
      </c>
      <c r="N2506" s="26" t="str">
        <f aca="false">IF($D2506="","",IFERROR(INDEX(ClientRates!$E$5:$E$500,MATCH($B2506&amp;"|"&amp;$L2506,ClientRates!$A$5:$A$500,0)),0))</f>
        <v/>
      </c>
      <c r="O2506" s="26" t="str">
        <f aca="false">IF($D2506="","",F2506*M2506+G2506*N2506)</f>
        <v/>
      </c>
      <c r="P2506" s="26" t="str">
        <f aca="false">IF(OR($D2506="",$J2506&lt;&gt;"Supplier"),"",IFERROR(INDEX(SupplierRates!$D$5:$D$500,MATCH($K2506&amp;"|"&amp;$L2506,SupplierRates!$A$5:$A$500,0)),0))</f>
        <v/>
      </c>
      <c r="Q2506" s="26" t="str">
        <f aca="false">IF(OR($D2506="",$J2506&lt;&gt;"Supplier"),"",IFERROR(INDEX(SupplierRates!$E$5:$E$500,MATCH($K2506&amp;"|"&amp;$L2506,SupplierRates!$A$5:$A$500,0)),0))</f>
        <v/>
      </c>
      <c r="R2506" s="26" t="n">
        <f aca="false">IF(OR($D2506="",$J2506&lt;&gt;"Supplier"),0,F2506*P2506+G2506*Q2506)</f>
        <v>0</v>
      </c>
      <c r="S2506" s="26" t="n">
        <f aca="false">IF(OR($D2506="",$J2506&lt;&gt;"Own"),0,IFERROR((F2506+G2506*Settings!$B$13)*INDEX(Workers!$V$5:$V$2004,MATCH($D2506,Workers!$A$5:$A$2004,0)),0))</f>
        <v>0</v>
      </c>
      <c r="T2506" s="26" t="str">
        <f aca="false">IF($D2506="","",O2506-R2506-S2506)</f>
        <v/>
      </c>
    </row>
    <row r="2507" customFormat="false" ht="15" hidden="false" customHeight="false" outlineLevel="0" collapsed="false">
      <c r="I2507" s="24" t="str">
        <f aca="false">IF($D2507="","",IFERROR(INDEX(Workers!$B$5:$B$2004,MATCH($D2507,Workers!$A$5:$A$2004,0)),"NOT FOUND"))</f>
        <v/>
      </c>
      <c r="J2507" s="24" t="str">
        <f aca="false">IF($D2507="","",IFERROR(INDEX(Workers!$C$5:$C$2004,MATCH($D2507,Workers!$A$5:$A$2004,0)),""))</f>
        <v/>
      </c>
      <c r="K2507" s="24" t="str">
        <f aca="false">IF($D2507="","",IFERROR(IF(INDEX(Workers!$D$5:$D$2004,MATCH($D2507,Workers!$A$5:$A$2004,0))=0,"",INDEX(Workers!$D$5:$D$2004,MATCH($D2507,Workers!$A$5:$A$2004,0))),""))</f>
        <v/>
      </c>
      <c r="L2507" s="24" t="str">
        <f aca="false">IF($D2507="","",IFERROR(INDEX(Workers!$E$5:$E$2004,MATCH($D2507,Workers!$A$5:$A$2004,0)),""))</f>
        <v/>
      </c>
      <c r="M2507" s="26" t="str">
        <f aca="false">IF($D2507="","",IFERROR(INDEX(ClientRates!$D$5:$D$500,MATCH($B2507&amp;"|"&amp;$L2507,ClientRates!$A$5:$A$500,0)),0))</f>
        <v/>
      </c>
      <c r="N2507" s="26" t="str">
        <f aca="false">IF($D2507="","",IFERROR(INDEX(ClientRates!$E$5:$E$500,MATCH($B2507&amp;"|"&amp;$L2507,ClientRates!$A$5:$A$500,0)),0))</f>
        <v/>
      </c>
      <c r="O2507" s="26" t="str">
        <f aca="false">IF($D2507="","",F2507*M2507+G2507*N2507)</f>
        <v/>
      </c>
      <c r="P2507" s="26" t="str">
        <f aca="false">IF(OR($D2507="",$J2507&lt;&gt;"Supplier"),"",IFERROR(INDEX(SupplierRates!$D$5:$D$500,MATCH($K2507&amp;"|"&amp;$L2507,SupplierRates!$A$5:$A$500,0)),0))</f>
        <v/>
      </c>
      <c r="Q2507" s="26" t="str">
        <f aca="false">IF(OR($D2507="",$J2507&lt;&gt;"Supplier"),"",IFERROR(INDEX(SupplierRates!$E$5:$E$500,MATCH($K2507&amp;"|"&amp;$L2507,SupplierRates!$A$5:$A$500,0)),0))</f>
        <v/>
      </c>
      <c r="R2507" s="26" t="n">
        <f aca="false">IF(OR($D2507="",$J2507&lt;&gt;"Supplier"),0,F2507*P2507+G2507*Q2507)</f>
        <v>0</v>
      </c>
      <c r="S2507" s="26" t="n">
        <f aca="false">IF(OR($D2507="",$J2507&lt;&gt;"Own"),0,IFERROR((F2507+G2507*Settings!$B$13)*INDEX(Workers!$V$5:$V$2004,MATCH($D2507,Workers!$A$5:$A$2004,0)),0))</f>
        <v>0</v>
      </c>
      <c r="T2507" s="26" t="str">
        <f aca="false">IF($D2507="","",O2507-R2507-S2507)</f>
        <v/>
      </c>
    </row>
    <row r="2508" customFormat="false" ht="15" hidden="false" customHeight="false" outlineLevel="0" collapsed="false">
      <c r="I2508" s="24" t="str">
        <f aca="false">IF($D2508="","",IFERROR(INDEX(Workers!$B$5:$B$2004,MATCH($D2508,Workers!$A$5:$A$2004,0)),"NOT FOUND"))</f>
        <v/>
      </c>
      <c r="J2508" s="24" t="str">
        <f aca="false">IF($D2508="","",IFERROR(INDEX(Workers!$C$5:$C$2004,MATCH($D2508,Workers!$A$5:$A$2004,0)),""))</f>
        <v/>
      </c>
      <c r="K2508" s="24" t="str">
        <f aca="false">IF($D2508="","",IFERROR(IF(INDEX(Workers!$D$5:$D$2004,MATCH($D2508,Workers!$A$5:$A$2004,0))=0,"",INDEX(Workers!$D$5:$D$2004,MATCH($D2508,Workers!$A$5:$A$2004,0))),""))</f>
        <v/>
      </c>
      <c r="L2508" s="24" t="str">
        <f aca="false">IF($D2508="","",IFERROR(INDEX(Workers!$E$5:$E$2004,MATCH($D2508,Workers!$A$5:$A$2004,0)),""))</f>
        <v/>
      </c>
      <c r="M2508" s="26" t="str">
        <f aca="false">IF($D2508="","",IFERROR(INDEX(ClientRates!$D$5:$D$500,MATCH($B2508&amp;"|"&amp;$L2508,ClientRates!$A$5:$A$500,0)),0))</f>
        <v/>
      </c>
      <c r="N2508" s="26" t="str">
        <f aca="false">IF($D2508="","",IFERROR(INDEX(ClientRates!$E$5:$E$500,MATCH($B2508&amp;"|"&amp;$L2508,ClientRates!$A$5:$A$500,0)),0))</f>
        <v/>
      </c>
      <c r="O2508" s="26" t="str">
        <f aca="false">IF($D2508="","",F2508*M2508+G2508*N2508)</f>
        <v/>
      </c>
      <c r="P2508" s="26" t="str">
        <f aca="false">IF(OR($D2508="",$J2508&lt;&gt;"Supplier"),"",IFERROR(INDEX(SupplierRates!$D$5:$D$500,MATCH($K2508&amp;"|"&amp;$L2508,SupplierRates!$A$5:$A$500,0)),0))</f>
        <v/>
      </c>
      <c r="Q2508" s="26" t="str">
        <f aca="false">IF(OR($D2508="",$J2508&lt;&gt;"Supplier"),"",IFERROR(INDEX(SupplierRates!$E$5:$E$500,MATCH($K2508&amp;"|"&amp;$L2508,SupplierRates!$A$5:$A$500,0)),0))</f>
        <v/>
      </c>
      <c r="R2508" s="26" t="n">
        <f aca="false">IF(OR($D2508="",$J2508&lt;&gt;"Supplier"),0,F2508*P2508+G2508*Q2508)</f>
        <v>0</v>
      </c>
      <c r="S2508" s="26" t="n">
        <f aca="false">IF(OR($D2508="",$J2508&lt;&gt;"Own"),0,IFERROR((F2508+G2508*Settings!$B$13)*INDEX(Workers!$V$5:$V$2004,MATCH($D2508,Workers!$A$5:$A$2004,0)),0))</f>
        <v>0</v>
      </c>
      <c r="T2508" s="26" t="str">
        <f aca="false">IF($D2508="","",O2508-R2508-S2508)</f>
        <v/>
      </c>
    </row>
    <row r="2509" customFormat="false" ht="15" hidden="false" customHeight="false" outlineLevel="0" collapsed="false">
      <c r="I2509" s="24" t="str">
        <f aca="false">IF($D2509="","",IFERROR(INDEX(Workers!$B$5:$B$2004,MATCH($D2509,Workers!$A$5:$A$2004,0)),"NOT FOUND"))</f>
        <v/>
      </c>
      <c r="J2509" s="24" t="str">
        <f aca="false">IF($D2509="","",IFERROR(INDEX(Workers!$C$5:$C$2004,MATCH($D2509,Workers!$A$5:$A$2004,0)),""))</f>
        <v/>
      </c>
      <c r="K2509" s="24" t="str">
        <f aca="false">IF($D2509="","",IFERROR(IF(INDEX(Workers!$D$5:$D$2004,MATCH($D2509,Workers!$A$5:$A$2004,0))=0,"",INDEX(Workers!$D$5:$D$2004,MATCH($D2509,Workers!$A$5:$A$2004,0))),""))</f>
        <v/>
      </c>
      <c r="L2509" s="24" t="str">
        <f aca="false">IF($D2509="","",IFERROR(INDEX(Workers!$E$5:$E$2004,MATCH($D2509,Workers!$A$5:$A$2004,0)),""))</f>
        <v/>
      </c>
      <c r="M2509" s="26" t="str">
        <f aca="false">IF($D2509="","",IFERROR(INDEX(ClientRates!$D$5:$D$500,MATCH($B2509&amp;"|"&amp;$L2509,ClientRates!$A$5:$A$500,0)),0))</f>
        <v/>
      </c>
      <c r="N2509" s="26" t="str">
        <f aca="false">IF($D2509="","",IFERROR(INDEX(ClientRates!$E$5:$E$500,MATCH($B2509&amp;"|"&amp;$L2509,ClientRates!$A$5:$A$500,0)),0))</f>
        <v/>
      </c>
      <c r="O2509" s="26" t="str">
        <f aca="false">IF($D2509="","",F2509*M2509+G2509*N2509)</f>
        <v/>
      </c>
      <c r="P2509" s="26" t="str">
        <f aca="false">IF(OR($D2509="",$J2509&lt;&gt;"Supplier"),"",IFERROR(INDEX(SupplierRates!$D$5:$D$500,MATCH($K2509&amp;"|"&amp;$L2509,SupplierRates!$A$5:$A$500,0)),0))</f>
        <v/>
      </c>
      <c r="Q2509" s="26" t="str">
        <f aca="false">IF(OR($D2509="",$J2509&lt;&gt;"Supplier"),"",IFERROR(INDEX(SupplierRates!$E$5:$E$500,MATCH($K2509&amp;"|"&amp;$L2509,SupplierRates!$A$5:$A$500,0)),0))</f>
        <v/>
      </c>
      <c r="R2509" s="26" t="n">
        <f aca="false">IF(OR($D2509="",$J2509&lt;&gt;"Supplier"),0,F2509*P2509+G2509*Q2509)</f>
        <v>0</v>
      </c>
      <c r="S2509" s="26" t="n">
        <f aca="false">IF(OR($D2509="",$J2509&lt;&gt;"Own"),0,IFERROR((F2509+G2509*Settings!$B$13)*INDEX(Workers!$V$5:$V$2004,MATCH($D2509,Workers!$A$5:$A$2004,0)),0))</f>
        <v>0</v>
      </c>
      <c r="T2509" s="26" t="str">
        <f aca="false">IF($D2509="","",O2509-R2509-S2509)</f>
        <v/>
      </c>
    </row>
    <row r="2510" customFormat="false" ht="15" hidden="false" customHeight="false" outlineLevel="0" collapsed="false">
      <c r="I2510" s="24" t="str">
        <f aca="false">IF($D2510="","",IFERROR(INDEX(Workers!$B$5:$B$2004,MATCH($D2510,Workers!$A$5:$A$2004,0)),"NOT FOUND"))</f>
        <v/>
      </c>
      <c r="J2510" s="24" t="str">
        <f aca="false">IF($D2510="","",IFERROR(INDEX(Workers!$C$5:$C$2004,MATCH($D2510,Workers!$A$5:$A$2004,0)),""))</f>
        <v/>
      </c>
      <c r="K2510" s="24" t="str">
        <f aca="false">IF($D2510="","",IFERROR(IF(INDEX(Workers!$D$5:$D$2004,MATCH($D2510,Workers!$A$5:$A$2004,0))=0,"",INDEX(Workers!$D$5:$D$2004,MATCH($D2510,Workers!$A$5:$A$2004,0))),""))</f>
        <v/>
      </c>
      <c r="L2510" s="24" t="str">
        <f aca="false">IF($D2510="","",IFERROR(INDEX(Workers!$E$5:$E$2004,MATCH($D2510,Workers!$A$5:$A$2004,0)),""))</f>
        <v/>
      </c>
      <c r="M2510" s="26" t="str">
        <f aca="false">IF($D2510="","",IFERROR(INDEX(ClientRates!$D$5:$D$500,MATCH($B2510&amp;"|"&amp;$L2510,ClientRates!$A$5:$A$500,0)),0))</f>
        <v/>
      </c>
      <c r="N2510" s="26" t="str">
        <f aca="false">IF($D2510="","",IFERROR(INDEX(ClientRates!$E$5:$E$500,MATCH($B2510&amp;"|"&amp;$L2510,ClientRates!$A$5:$A$500,0)),0))</f>
        <v/>
      </c>
      <c r="O2510" s="26" t="str">
        <f aca="false">IF($D2510="","",F2510*M2510+G2510*N2510)</f>
        <v/>
      </c>
      <c r="P2510" s="26" t="str">
        <f aca="false">IF(OR($D2510="",$J2510&lt;&gt;"Supplier"),"",IFERROR(INDEX(SupplierRates!$D$5:$D$500,MATCH($K2510&amp;"|"&amp;$L2510,SupplierRates!$A$5:$A$500,0)),0))</f>
        <v/>
      </c>
      <c r="Q2510" s="26" t="str">
        <f aca="false">IF(OR($D2510="",$J2510&lt;&gt;"Supplier"),"",IFERROR(INDEX(SupplierRates!$E$5:$E$500,MATCH($K2510&amp;"|"&amp;$L2510,SupplierRates!$A$5:$A$500,0)),0))</f>
        <v/>
      </c>
      <c r="R2510" s="26" t="n">
        <f aca="false">IF(OR($D2510="",$J2510&lt;&gt;"Supplier"),0,F2510*P2510+G2510*Q2510)</f>
        <v>0</v>
      </c>
      <c r="S2510" s="26" t="n">
        <f aca="false">IF(OR($D2510="",$J2510&lt;&gt;"Own"),0,IFERROR((F2510+G2510*Settings!$B$13)*INDEX(Workers!$V$5:$V$2004,MATCH($D2510,Workers!$A$5:$A$2004,0)),0))</f>
        <v>0</v>
      </c>
      <c r="T2510" s="26" t="str">
        <f aca="false">IF($D2510="","",O2510-R2510-S2510)</f>
        <v/>
      </c>
    </row>
    <row r="2511" customFormat="false" ht="15" hidden="false" customHeight="false" outlineLevel="0" collapsed="false">
      <c r="I2511" s="24" t="str">
        <f aca="false">IF($D2511="","",IFERROR(INDEX(Workers!$B$5:$B$2004,MATCH($D2511,Workers!$A$5:$A$2004,0)),"NOT FOUND"))</f>
        <v/>
      </c>
      <c r="J2511" s="24" t="str">
        <f aca="false">IF($D2511="","",IFERROR(INDEX(Workers!$C$5:$C$2004,MATCH($D2511,Workers!$A$5:$A$2004,0)),""))</f>
        <v/>
      </c>
      <c r="K2511" s="24" t="str">
        <f aca="false">IF($D2511="","",IFERROR(IF(INDEX(Workers!$D$5:$D$2004,MATCH($D2511,Workers!$A$5:$A$2004,0))=0,"",INDEX(Workers!$D$5:$D$2004,MATCH($D2511,Workers!$A$5:$A$2004,0))),""))</f>
        <v/>
      </c>
      <c r="L2511" s="24" t="str">
        <f aca="false">IF($D2511="","",IFERROR(INDEX(Workers!$E$5:$E$2004,MATCH($D2511,Workers!$A$5:$A$2004,0)),""))</f>
        <v/>
      </c>
      <c r="M2511" s="26" t="str">
        <f aca="false">IF($D2511="","",IFERROR(INDEX(ClientRates!$D$5:$D$500,MATCH($B2511&amp;"|"&amp;$L2511,ClientRates!$A$5:$A$500,0)),0))</f>
        <v/>
      </c>
      <c r="N2511" s="26" t="str">
        <f aca="false">IF($D2511="","",IFERROR(INDEX(ClientRates!$E$5:$E$500,MATCH($B2511&amp;"|"&amp;$L2511,ClientRates!$A$5:$A$500,0)),0))</f>
        <v/>
      </c>
      <c r="O2511" s="26" t="str">
        <f aca="false">IF($D2511="","",F2511*M2511+G2511*N2511)</f>
        <v/>
      </c>
      <c r="P2511" s="26" t="str">
        <f aca="false">IF(OR($D2511="",$J2511&lt;&gt;"Supplier"),"",IFERROR(INDEX(SupplierRates!$D$5:$D$500,MATCH($K2511&amp;"|"&amp;$L2511,SupplierRates!$A$5:$A$500,0)),0))</f>
        <v/>
      </c>
      <c r="Q2511" s="26" t="str">
        <f aca="false">IF(OR($D2511="",$J2511&lt;&gt;"Supplier"),"",IFERROR(INDEX(SupplierRates!$E$5:$E$500,MATCH($K2511&amp;"|"&amp;$L2511,SupplierRates!$A$5:$A$500,0)),0))</f>
        <v/>
      </c>
      <c r="R2511" s="26" t="n">
        <f aca="false">IF(OR($D2511="",$J2511&lt;&gt;"Supplier"),0,F2511*P2511+G2511*Q2511)</f>
        <v>0</v>
      </c>
      <c r="S2511" s="26" t="n">
        <f aca="false">IF(OR($D2511="",$J2511&lt;&gt;"Own"),0,IFERROR((F2511+G2511*Settings!$B$13)*INDEX(Workers!$V$5:$V$2004,MATCH($D2511,Workers!$A$5:$A$2004,0)),0))</f>
        <v>0</v>
      </c>
      <c r="T2511" s="26" t="str">
        <f aca="false">IF($D2511="","",O2511-R2511-S2511)</f>
        <v/>
      </c>
    </row>
    <row r="2512" customFormat="false" ht="15" hidden="false" customHeight="false" outlineLevel="0" collapsed="false">
      <c r="I2512" s="24" t="str">
        <f aca="false">IF($D2512="","",IFERROR(INDEX(Workers!$B$5:$B$2004,MATCH($D2512,Workers!$A$5:$A$2004,0)),"NOT FOUND"))</f>
        <v/>
      </c>
      <c r="J2512" s="24" t="str">
        <f aca="false">IF($D2512="","",IFERROR(INDEX(Workers!$C$5:$C$2004,MATCH($D2512,Workers!$A$5:$A$2004,0)),""))</f>
        <v/>
      </c>
      <c r="K2512" s="24" t="str">
        <f aca="false">IF($D2512="","",IFERROR(IF(INDEX(Workers!$D$5:$D$2004,MATCH($D2512,Workers!$A$5:$A$2004,0))=0,"",INDEX(Workers!$D$5:$D$2004,MATCH($D2512,Workers!$A$5:$A$2004,0))),""))</f>
        <v/>
      </c>
      <c r="L2512" s="24" t="str">
        <f aca="false">IF($D2512="","",IFERROR(INDEX(Workers!$E$5:$E$2004,MATCH($D2512,Workers!$A$5:$A$2004,0)),""))</f>
        <v/>
      </c>
      <c r="M2512" s="26" t="str">
        <f aca="false">IF($D2512="","",IFERROR(INDEX(ClientRates!$D$5:$D$500,MATCH($B2512&amp;"|"&amp;$L2512,ClientRates!$A$5:$A$500,0)),0))</f>
        <v/>
      </c>
      <c r="N2512" s="26" t="str">
        <f aca="false">IF($D2512="","",IFERROR(INDEX(ClientRates!$E$5:$E$500,MATCH($B2512&amp;"|"&amp;$L2512,ClientRates!$A$5:$A$500,0)),0))</f>
        <v/>
      </c>
      <c r="O2512" s="26" t="str">
        <f aca="false">IF($D2512="","",F2512*M2512+G2512*N2512)</f>
        <v/>
      </c>
      <c r="P2512" s="26" t="str">
        <f aca="false">IF(OR($D2512="",$J2512&lt;&gt;"Supplier"),"",IFERROR(INDEX(SupplierRates!$D$5:$D$500,MATCH($K2512&amp;"|"&amp;$L2512,SupplierRates!$A$5:$A$500,0)),0))</f>
        <v/>
      </c>
      <c r="Q2512" s="26" t="str">
        <f aca="false">IF(OR($D2512="",$J2512&lt;&gt;"Supplier"),"",IFERROR(INDEX(SupplierRates!$E$5:$E$500,MATCH($K2512&amp;"|"&amp;$L2512,SupplierRates!$A$5:$A$500,0)),0))</f>
        <v/>
      </c>
      <c r="R2512" s="26" t="n">
        <f aca="false">IF(OR($D2512="",$J2512&lt;&gt;"Supplier"),0,F2512*P2512+G2512*Q2512)</f>
        <v>0</v>
      </c>
      <c r="S2512" s="26" t="n">
        <f aca="false">IF(OR($D2512="",$J2512&lt;&gt;"Own"),0,IFERROR((F2512+G2512*Settings!$B$13)*INDEX(Workers!$V$5:$V$2004,MATCH($D2512,Workers!$A$5:$A$2004,0)),0))</f>
        <v>0</v>
      </c>
      <c r="T2512" s="26" t="str">
        <f aca="false">IF($D2512="","",O2512-R2512-S2512)</f>
        <v/>
      </c>
    </row>
    <row r="2513" customFormat="false" ht="15" hidden="false" customHeight="false" outlineLevel="0" collapsed="false">
      <c r="I2513" s="24" t="str">
        <f aca="false">IF($D2513="","",IFERROR(INDEX(Workers!$B$5:$B$2004,MATCH($D2513,Workers!$A$5:$A$2004,0)),"NOT FOUND"))</f>
        <v/>
      </c>
      <c r="J2513" s="24" t="str">
        <f aca="false">IF($D2513="","",IFERROR(INDEX(Workers!$C$5:$C$2004,MATCH($D2513,Workers!$A$5:$A$2004,0)),""))</f>
        <v/>
      </c>
      <c r="K2513" s="24" t="str">
        <f aca="false">IF($D2513="","",IFERROR(IF(INDEX(Workers!$D$5:$D$2004,MATCH($D2513,Workers!$A$5:$A$2004,0))=0,"",INDEX(Workers!$D$5:$D$2004,MATCH($D2513,Workers!$A$5:$A$2004,0))),""))</f>
        <v/>
      </c>
      <c r="L2513" s="24" t="str">
        <f aca="false">IF($D2513="","",IFERROR(INDEX(Workers!$E$5:$E$2004,MATCH($D2513,Workers!$A$5:$A$2004,0)),""))</f>
        <v/>
      </c>
      <c r="M2513" s="26" t="str">
        <f aca="false">IF($D2513="","",IFERROR(INDEX(ClientRates!$D$5:$D$500,MATCH($B2513&amp;"|"&amp;$L2513,ClientRates!$A$5:$A$500,0)),0))</f>
        <v/>
      </c>
      <c r="N2513" s="26" t="str">
        <f aca="false">IF($D2513="","",IFERROR(INDEX(ClientRates!$E$5:$E$500,MATCH($B2513&amp;"|"&amp;$L2513,ClientRates!$A$5:$A$500,0)),0))</f>
        <v/>
      </c>
      <c r="O2513" s="26" t="str">
        <f aca="false">IF($D2513="","",F2513*M2513+G2513*N2513)</f>
        <v/>
      </c>
      <c r="P2513" s="26" t="str">
        <f aca="false">IF(OR($D2513="",$J2513&lt;&gt;"Supplier"),"",IFERROR(INDEX(SupplierRates!$D$5:$D$500,MATCH($K2513&amp;"|"&amp;$L2513,SupplierRates!$A$5:$A$500,0)),0))</f>
        <v/>
      </c>
      <c r="Q2513" s="26" t="str">
        <f aca="false">IF(OR($D2513="",$J2513&lt;&gt;"Supplier"),"",IFERROR(INDEX(SupplierRates!$E$5:$E$500,MATCH($K2513&amp;"|"&amp;$L2513,SupplierRates!$A$5:$A$500,0)),0))</f>
        <v/>
      </c>
      <c r="R2513" s="26" t="n">
        <f aca="false">IF(OR($D2513="",$J2513&lt;&gt;"Supplier"),0,F2513*P2513+G2513*Q2513)</f>
        <v>0</v>
      </c>
      <c r="S2513" s="26" t="n">
        <f aca="false">IF(OR($D2513="",$J2513&lt;&gt;"Own"),0,IFERROR((F2513+G2513*Settings!$B$13)*INDEX(Workers!$V$5:$V$2004,MATCH($D2513,Workers!$A$5:$A$2004,0)),0))</f>
        <v>0</v>
      </c>
      <c r="T2513" s="26" t="str">
        <f aca="false">IF($D2513="","",O2513-R2513-S2513)</f>
        <v/>
      </c>
    </row>
    <row r="2514" customFormat="false" ht="15" hidden="false" customHeight="false" outlineLevel="0" collapsed="false">
      <c r="I2514" s="24" t="str">
        <f aca="false">IF($D2514="","",IFERROR(INDEX(Workers!$B$5:$B$2004,MATCH($D2514,Workers!$A$5:$A$2004,0)),"NOT FOUND"))</f>
        <v/>
      </c>
      <c r="J2514" s="24" t="str">
        <f aca="false">IF($D2514="","",IFERROR(INDEX(Workers!$C$5:$C$2004,MATCH($D2514,Workers!$A$5:$A$2004,0)),""))</f>
        <v/>
      </c>
      <c r="K2514" s="24" t="str">
        <f aca="false">IF($D2514="","",IFERROR(IF(INDEX(Workers!$D$5:$D$2004,MATCH($D2514,Workers!$A$5:$A$2004,0))=0,"",INDEX(Workers!$D$5:$D$2004,MATCH($D2514,Workers!$A$5:$A$2004,0))),""))</f>
        <v/>
      </c>
      <c r="L2514" s="24" t="str">
        <f aca="false">IF($D2514="","",IFERROR(INDEX(Workers!$E$5:$E$2004,MATCH($D2514,Workers!$A$5:$A$2004,0)),""))</f>
        <v/>
      </c>
      <c r="M2514" s="26" t="str">
        <f aca="false">IF($D2514="","",IFERROR(INDEX(ClientRates!$D$5:$D$500,MATCH($B2514&amp;"|"&amp;$L2514,ClientRates!$A$5:$A$500,0)),0))</f>
        <v/>
      </c>
      <c r="N2514" s="26" t="str">
        <f aca="false">IF($D2514="","",IFERROR(INDEX(ClientRates!$E$5:$E$500,MATCH($B2514&amp;"|"&amp;$L2514,ClientRates!$A$5:$A$500,0)),0))</f>
        <v/>
      </c>
      <c r="O2514" s="26" t="str">
        <f aca="false">IF($D2514="","",F2514*M2514+G2514*N2514)</f>
        <v/>
      </c>
      <c r="P2514" s="26" t="str">
        <f aca="false">IF(OR($D2514="",$J2514&lt;&gt;"Supplier"),"",IFERROR(INDEX(SupplierRates!$D$5:$D$500,MATCH($K2514&amp;"|"&amp;$L2514,SupplierRates!$A$5:$A$500,0)),0))</f>
        <v/>
      </c>
      <c r="Q2514" s="26" t="str">
        <f aca="false">IF(OR($D2514="",$J2514&lt;&gt;"Supplier"),"",IFERROR(INDEX(SupplierRates!$E$5:$E$500,MATCH($K2514&amp;"|"&amp;$L2514,SupplierRates!$A$5:$A$500,0)),0))</f>
        <v/>
      </c>
      <c r="R2514" s="26" t="n">
        <f aca="false">IF(OR($D2514="",$J2514&lt;&gt;"Supplier"),0,F2514*P2514+G2514*Q2514)</f>
        <v>0</v>
      </c>
      <c r="S2514" s="26" t="n">
        <f aca="false">IF(OR($D2514="",$J2514&lt;&gt;"Own"),0,IFERROR((F2514+G2514*Settings!$B$13)*INDEX(Workers!$V$5:$V$2004,MATCH($D2514,Workers!$A$5:$A$2004,0)),0))</f>
        <v>0</v>
      </c>
      <c r="T2514" s="26" t="str">
        <f aca="false">IF($D2514="","",O2514-R2514-S2514)</f>
        <v/>
      </c>
    </row>
    <row r="2515" customFormat="false" ht="15" hidden="false" customHeight="false" outlineLevel="0" collapsed="false">
      <c r="I2515" s="24" t="str">
        <f aca="false">IF($D2515="","",IFERROR(INDEX(Workers!$B$5:$B$2004,MATCH($D2515,Workers!$A$5:$A$2004,0)),"NOT FOUND"))</f>
        <v/>
      </c>
      <c r="J2515" s="24" t="str">
        <f aca="false">IF($D2515="","",IFERROR(INDEX(Workers!$C$5:$C$2004,MATCH($D2515,Workers!$A$5:$A$2004,0)),""))</f>
        <v/>
      </c>
      <c r="K2515" s="24" t="str">
        <f aca="false">IF($D2515="","",IFERROR(IF(INDEX(Workers!$D$5:$D$2004,MATCH($D2515,Workers!$A$5:$A$2004,0))=0,"",INDEX(Workers!$D$5:$D$2004,MATCH($D2515,Workers!$A$5:$A$2004,0))),""))</f>
        <v/>
      </c>
      <c r="L2515" s="24" t="str">
        <f aca="false">IF($D2515="","",IFERROR(INDEX(Workers!$E$5:$E$2004,MATCH($D2515,Workers!$A$5:$A$2004,0)),""))</f>
        <v/>
      </c>
      <c r="M2515" s="26" t="str">
        <f aca="false">IF($D2515="","",IFERROR(INDEX(ClientRates!$D$5:$D$500,MATCH($B2515&amp;"|"&amp;$L2515,ClientRates!$A$5:$A$500,0)),0))</f>
        <v/>
      </c>
      <c r="N2515" s="26" t="str">
        <f aca="false">IF($D2515="","",IFERROR(INDEX(ClientRates!$E$5:$E$500,MATCH($B2515&amp;"|"&amp;$L2515,ClientRates!$A$5:$A$500,0)),0))</f>
        <v/>
      </c>
      <c r="O2515" s="26" t="str">
        <f aca="false">IF($D2515="","",F2515*M2515+G2515*N2515)</f>
        <v/>
      </c>
      <c r="P2515" s="26" t="str">
        <f aca="false">IF(OR($D2515="",$J2515&lt;&gt;"Supplier"),"",IFERROR(INDEX(SupplierRates!$D$5:$D$500,MATCH($K2515&amp;"|"&amp;$L2515,SupplierRates!$A$5:$A$500,0)),0))</f>
        <v/>
      </c>
      <c r="Q2515" s="26" t="str">
        <f aca="false">IF(OR($D2515="",$J2515&lt;&gt;"Supplier"),"",IFERROR(INDEX(SupplierRates!$E$5:$E$500,MATCH($K2515&amp;"|"&amp;$L2515,SupplierRates!$A$5:$A$500,0)),0))</f>
        <v/>
      </c>
      <c r="R2515" s="26" t="n">
        <f aca="false">IF(OR($D2515="",$J2515&lt;&gt;"Supplier"),0,F2515*P2515+G2515*Q2515)</f>
        <v>0</v>
      </c>
      <c r="S2515" s="26" t="n">
        <f aca="false">IF(OR($D2515="",$J2515&lt;&gt;"Own"),0,IFERROR((F2515+G2515*Settings!$B$13)*INDEX(Workers!$V$5:$V$2004,MATCH($D2515,Workers!$A$5:$A$2004,0)),0))</f>
        <v>0</v>
      </c>
      <c r="T2515" s="26" t="str">
        <f aca="false">IF($D2515="","",O2515-R2515-S2515)</f>
        <v/>
      </c>
    </row>
    <row r="2516" customFormat="false" ht="15" hidden="false" customHeight="false" outlineLevel="0" collapsed="false">
      <c r="I2516" s="24" t="str">
        <f aca="false">IF($D2516="","",IFERROR(INDEX(Workers!$B$5:$B$2004,MATCH($D2516,Workers!$A$5:$A$2004,0)),"NOT FOUND"))</f>
        <v/>
      </c>
      <c r="J2516" s="24" t="str">
        <f aca="false">IF($D2516="","",IFERROR(INDEX(Workers!$C$5:$C$2004,MATCH($D2516,Workers!$A$5:$A$2004,0)),""))</f>
        <v/>
      </c>
      <c r="K2516" s="24" t="str">
        <f aca="false">IF($D2516="","",IFERROR(IF(INDEX(Workers!$D$5:$D$2004,MATCH($D2516,Workers!$A$5:$A$2004,0))=0,"",INDEX(Workers!$D$5:$D$2004,MATCH($D2516,Workers!$A$5:$A$2004,0))),""))</f>
        <v/>
      </c>
      <c r="L2516" s="24" t="str">
        <f aca="false">IF($D2516="","",IFERROR(INDEX(Workers!$E$5:$E$2004,MATCH($D2516,Workers!$A$5:$A$2004,0)),""))</f>
        <v/>
      </c>
      <c r="M2516" s="26" t="str">
        <f aca="false">IF($D2516="","",IFERROR(INDEX(ClientRates!$D$5:$D$500,MATCH($B2516&amp;"|"&amp;$L2516,ClientRates!$A$5:$A$500,0)),0))</f>
        <v/>
      </c>
      <c r="N2516" s="26" t="str">
        <f aca="false">IF($D2516="","",IFERROR(INDEX(ClientRates!$E$5:$E$500,MATCH($B2516&amp;"|"&amp;$L2516,ClientRates!$A$5:$A$500,0)),0))</f>
        <v/>
      </c>
      <c r="O2516" s="26" t="str">
        <f aca="false">IF($D2516="","",F2516*M2516+G2516*N2516)</f>
        <v/>
      </c>
      <c r="P2516" s="26" t="str">
        <f aca="false">IF(OR($D2516="",$J2516&lt;&gt;"Supplier"),"",IFERROR(INDEX(SupplierRates!$D$5:$D$500,MATCH($K2516&amp;"|"&amp;$L2516,SupplierRates!$A$5:$A$500,0)),0))</f>
        <v/>
      </c>
      <c r="Q2516" s="26" t="str">
        <f aca="false">IF(OR($D2516="",$J2516&lt;&gt;"Supplier"),"",IFERROR(INDEX(SupplierRates!$E$5:$E$500,MATCH($K2516&amp;"|"&amp;$L2516,SupplierRates!$A$5:$A$500,0)),0))</f>
        <v/>
      </c>
      <c r="R2516" s="26" t="n">
        <f aca="false">IF(OR($D2516="",$J2516&lt;&gt;"Supplier"),0,F2516*P2516+G2516*Q2516)</f>
        <v>0</v>
      </c>
      <c r="S2516" s="26" t="n">
        <f aca="false">IF(OR($D2516="",$J2516&lt;&gt;"Own"),0,IFERROR((F2516+G2516*Settings!$B$13)*INDEX(Workers!$V$5:$V$2004,MATCH($D2516,Workers!$A$5:$A$2004,0)),0))</f>
        <v>0</v>
      </c>
      <c r="T2516" s="26" t="str">
        <f aca="false">IF($D2516="","",O2516-R2516-S2516)</f>
        <v/>
      </c>
    </row>
    <row r="2517" customFormat="false" ht="15" hidden="false" customHeight="false" outlineLevel="0" collapsed="false">
      <c r="I2517" s="24" t="str">
        <f aca="false">IF($D2517="","",IFERROR(INDEX(Workers!$B$5:$B$2004,MATCH($D2517,Workers!$A$5:$A$2004,0)),"NOT FOUND"))</f>
        <v/>
      </c>
      <c r="J2517" s="24" t="str">
        <f aca="false">IF($D2517="","",IFERROR(INDEX(Workers!$C$5:$C$2004,MATCH($D2517,Workers!$A$5:$A$2004,0)),""))</f>
        <v/>
      </c>
      <c r="K2517" s="24" t="str">
        <f aca="false">IF($D2517="","",IFERROR(IF(INDEX(Workers!$D$5:$D$2004,MATCH($D2517,Workers!$A$5:$A$2004,0))=0,"",INDEX(Workers!$D$5:$D$2004,MATCH($D2517,Workers!$A$5:$A$2004,0))),""))</f>
        <v/>
      </c>
      <c r="L2517" s="24" t="str">
        <f aca="false">IF($D2517="","",IFERROR(INDEX(Workers!$E$5:$E$2004,MATCH($D2517,Workers!$A$5:$A$2004,0)),""))</f>
        <v/>
      </c>
      <c r="M2517" s="26" t="str">
        <f aca="false">IF($D2517="","",IFERROR(INDEX(ClientRates!$D$5:$D$500,MATCH($B2517&amp;"|"&amp;$L2517,ClientRates!$A$5:$A$500,0)),0))</f>
        <v/>
      </c>
      <c r="N2517" s="26" t="str">
        <f aca="false">IF($D2517="","",IFERROR(INDEX(ClientRates!$E$5:$E$500,MATCH($B2517&amp;"|"&amp;$L2517,ClientRates!$A$5:$A$500,0)),0))</f>
        <v/>
      </c>
      <c r="O2517" s="26" t="str">
        <f aca="false">IF($D2517="","",F2517*M2517+G2517*N2517)</f>
        <v/>
      </c>
      <c r="P2517" s="26" t="str">
        <f aca="false">IF(OR($D2517="",$J2517&lt;&gt;"Supplier"),"",IFERROR(INDEX(SupplierRates!$D$5:$D$500,MATCH($K2517&amp;"|"&amp;$L2517,SupplierRates!$A$5:$A$500,0)),0))</f>
        <v/>
      </c>
      <c r="Q2517" s="26" t="str">
        <f aca="false">IF(OR($D2517="",$J2517&lt;&gt;"Supplier"),"",IFERROR(INDEX(SupplierRates!$E$5:$E$500,MATCH($K2517&amp;"|"&amp;$L2517,SupplierRates!$A$5:$A$500,0)),0))</f>
        <v/>
      </c>
      <c r="R2517" s="26" t="n">
        <f aca="false">IF(OR($D2517="",$J2517&lt;&gt;"Supplier"),0,F2517*P2517+G2517*Q2517)</f>
        <v>0</v>
      </c>
      <c r="S2517" s="26" t="n">
        <f aca="false">IF(OR($D2517="",$J2517&lt;&gt;"Own"),0,IFERROR((F2517+G2517*Settings!$B$13)*INDEX(Workers!$V$5:$V$2004,MATCH($D2517,Workers!$A$5:$A$2004,0)),0))</f>
        <v>0</v>
      </c>
      <c r="T2517" s="26" t="str">
        <f aca="false">IF($D2517="","",O2517-R2517-S2517)</f>
        <v/>
      </c>
    </row>
    <row r="2518" customFormat="false" ht="15" hidden="false" customHeight="false" outlineLevel="0" collapsed="false">
      <c r="I2518" s="24" t="str">
        <f aca="false">IF($D2518="","",IFERROR(INDEX(Workers!$B$5:$B$2004,MATCH($D2518,Workers!$A$5:$A$2004,0)),"NOT FOUND"))</f>
        <v/>
      </c>
      <c r="J2518" s="24" t="str">
        <f aca="false">IF($D2518="","",IFERROR(INDEX(Workers!$C$5:$C$2004,MATCH($D2518,Workers!$A$5:$A$2004,0)),""))</f>
        <v/>
      </c>
      <c r="K2518" s="24" t="str">
        <f aca="false">IF($D2518="","",IFERROR(IF(INDEX(Workers!$D$5:$D$2004,MATCH($D2518,Workers!$A$5:$A$2004,0))=0,"",INDEX(Workers!$D$5:$D$2004,MATCH($D2518,Workers!$A$5:$A$2004,0))),""))</f>
        <v/>
      </c>
      <c r="L2518" s="24" t="str">
        <f aca="false">IF($D2518="","",IFERROR(INDEX(Workers!$E$5:$E$2004,MATCH($D2518,Workers!$A$5:$A$2004,0)),""))</f>
        <v/>
      </c>
      <c r="M2518" s="26" t="str">
        <f aca="false">IF($D2518="","",IFERROR(INDEX(ClientRates!$D$5:$D$500,MATCH($B2518&amp;"|"&amp;$L2518,ClientRates!$A$5:$A$500,0)),0))</f>
        <v/>
      </c>
      <c r="N2518" s="26" t="str">
        <f aca="false">IF($D2518="","",IFERROR(INDEX(ClientRates!$E$5:$E$500,MATCH($B2518&amp;"|"&amp;$L2518,ClientRates!$A$5:$A$500,0)),0))</f>
        <v/>
      </c>
      <c r="O2518" s="26" t="str">
        <f aca="false">IF($D2518="","",F2518*M2518+G2518*N2518)</f>
        <v/>
      </c>
      <c r="P2518" s="26" t="str">
        <f aca="false">IF(OR($D2518="",$J2518&lt;&gt;"Supplier"),"",IFERROR(INDEX(SupplierRates!$D$5:$D$500,MATCH($K2518&amp;"|"&amp;$L2518,SupplierRates!$A$5:$A$500,0)),0))</f>
        <v/>
      </c>
      <c r="Q2518" s="26" t="str">
        <f aca="false">IF(OR($D2518="",$J2518&lt;&gt;"Supplier"),"",IFERROR(INDEX(SupplierRates!$E$5:$E$500,MATCH($K2518&amp;"|"&amp;$L2518,SupplierRates!$A$5:$A$500,0)),0))</f>
        <v/>
      </c>
      <c r="R2518" s="26" t="n">
        <f aca="false">IF(OR($D2518="",$J2518&lt;&gt;"Supplier"),0,F2518*P2518+G2518*Q2518)</f>
        <v>0</v>
      </c>
      <c r="S2518" s="26" t="n">
        <f aca="false">IF(OR($D2518="",$J2518&lt;&gt;"Own"),0,IFERROR((F2518+G2518*Settings!$B$13)*INDEX(Workers!$V$5:$V$2004,MATCH($D2518,Workers!$A$5:$A$2004,0)),0))</f>
        <v>0</v>
      </c>
      <c r="T2518" s="26" t="str">
        <f aca="false">IF($D2518="","",O2518-R2518-S2518)</f>
        <v/>
      </c>
    </row>
    <row r="2519" customFormat="false" ht="15" hidden="false" customHeight="false" outlineLevel="0" collapsed="false">
      <c r="I2519" s="24" t="str">
        <f aca="false">IF($D2519="","",IFERROR(INDEX(Workers!$B$5:$B$2004,MATCH($D2519,Workers!$A$5:$A$2004,0)),"NOT FOUND"))</f>
        <v/>
      </c>
      <c r="J2519" s="24" t="str">
        <f aca="false">IF($D2519="","",IFERROR(INDEX(Workers!$C$5:$C$2004,MATCH($D2519,Workers!$A$5:$A$2004,0)),""))</f>
        <v/>
      </c>
      <c r="K2519" s="24" t="str">
        <f aca="false">IF($D2519="","",IFERROR(IF(INDEX(Workers!$D$5:$D$2004,MATCH($D2519,Workers!$A$5:$A$2004,0))=0,"",INDEX(Workers!$D$5:$D$2004,MATCH($D2519,Workers!$A$5:$A$2004,0))),""))</f>
        <v/>
      </c>
      <c r="L2519" s="24" t="str">
        <f aca="false">IF($D2519="","",IFERROR(INDEX(Workers!$E$5:$E$2004,MATCH($D2519,Workers!$A$5:$A$2004,0)),""))</f>
        <v/>
      </c>
      <c r="M2519" s="26" t="str">
        <f aca="false">IF($D2519="","",IFERROR(INDEX(ClientRates!$D$5:$D$500,MATCH($B2519&amp;"|"&amp;$L2519,ClientRates!$A$5:$A$500,0)),0))</f>
        <v/>
      </c>
      <c r="N2519" s="26" t="str">
        <f aca="false">IF($D2519="","",IFERROR(INDEX(ClientRates!$E$5:$E$500,MATCH($B2519&amp;"|"&amp;$L2519,ClientRates!$A$5:$A$500,0)),0))</f>
        <v/>
      </c>
      <c r="O2519" s="26" t="str">
        <f aca="false">IF($D2519="","",F2519*M2519+G2519*N2519)</f>
        <v/>
      </c>
      <c r="P2519" s="26" t="str">
        <f aca="false">IF(OR($D2519="",$J2519&lt;&gt;"Supplier"),"",IFERROR(INDEX(SupplierRates!$D$5:$D$500,MATCH($K2519&amp;"|"&amp;$L2519,SupplierRates!$A$5:$A$500,0)),0))</f>
        <v/>
      </c>
      <c r="Q2519" s="26" t="str">
        <f aca="false">IF(OR($D2519="",$J2519&lt;&gt;"Supplier"),"",IFERROR(INDEX(SupplierRates!$E$5:$E$500,MATCH($K2519&amp;"|"&amp;$L2519,SupplierRates!$A$5:$A$500,0)),0))</f>
        <v/>
      </c>
      <c r="R2519" s="26" t="n">
        <f aca="false">IF(OR($D2519="",$J2519&lt;&gt;"Supplier"),0,F2519*P2519+G2519*Q2519)</f>
        <v>0</v>
      </c>
      <c r="S2519" s="26" t="n">
        <f aca="false">IF(OR($D2519="",$J2519&lt;&gt;"Own"),0,IFERROR((F2519+G2519*Settings!$B$13)*INDEX(Workers!$V$5:$V$2004,MATCH($D2519,Workers!$A$5:$A$2004,0)),0))</f>
        <v>0</v>
      </c>
      <c r="T2519" s="26" t="str">
        <f aca="false">IF($D2519="","",O2519-R2519-S2519)</f>
        <v/>
      </c>
    </row>
    <row r="2520" customFormat="false" ht="15" hidden="false" customHeight="false" outlineLevel="0" collapsed="false">
      <c r="I2520" s="24" t="str">
        <f aca="false">IF($D2520="","",IFERROR(INDEX(Workers!$B$5:$B$2004,MATCH($D2520,Workers!$A$5:$A$2004,0)),"NOT FOUND"))</f>
        <v/>
      </c>
      <c r="J2520" s="24" t="str">
        <f aca="false">IF($D2520="","",IFERROR(INDEX(Workers!$C$5:$C$2004,MATCH($D2520,Workers!$A$5:$A$2004,0)),""))</f>
        <v/>
      </c>
      <c r="K2520" s="24" t="str">
        <f aca="false">IF($D2520="","",IFERROR(IF(INDEX(Workers!$D$5:$D$2004,MATCH($D2520,Workers!$A$5:$A$2004,0))=0,"",INDEX(Workers!$D$5:$D$2004,MATCH($D2520,Workers!$A$5:$A$2004,0))),""))</f>
        <v/>
      </c>
      <c r="L2520" s="24" t="str">
        <f aca="false">IF($D2520="","",IFERROR(INDEX(Workers!$E$5:$E$2004,MATCH($D2520,Workers!$A$5:$A$2004,0)),""))</f>
        <v/>
      </c>
      <c r="M2520" s="26" t="str">
        <f aca="false">IF($D2520="","",IFERROR(INDEX(ClientRates!$D$5:$D$500,MATCH($B2520&amp;"|"&amp;$L2520,ClientRates!$A$5:$A$500,0)),0))</f>
        <v/>
      </c>
      <c r="N2520" s="26" t="str">
        <f aca="false">IF($D2520="","",IFERROR(INDEX(ClientRates!$E$5:$E$500,MATCH($B2520&amp;"|"&amp;$L2520,ClientRates!$A$5:$A$500,0)),0))</f>
        <v/>
      </c>
      <c r="O2520" s="26" t="str">
        <f aca="false">IF($D2520="","",F2520*M2520+G2520*N2520)</f>
        <v/>
      </c>
      <c r="P2520" s="26" t="str">
        <f aca="false">IF(OR($D2520="",$J2520&lt;&gt;"Supplier"),"",IFERROR(INDEX(SupplierRates!$D$5:$D$500,MATCH($K2520&amp;"|"&amp;$L2520,SupplierRates!$A$5:$A$500,0)),0))</f>
        <v/>
      </c>
      <c r="Q2520" s="26" t="str">
        <f aca="false">IF(OR($D2520="",$J2520&lt;&gt;"Supplier"),"",IFERROR(INDEX(SupplierRates!$E$5:$E$500,MATCH($K2520&amp;"|"&amp;$L2520,SupplierRates!$A$5:$A$500,0)),0))</f>
        <v/>
      </c>
      <c r="R2520" s="26" t="n">
        <f aca="false">IF(OR($D2520="",$J2520&lt;&gt;"Supplier"),0,F2520*P2520+G2520*Q2520)</f>
        <v>0</v>
      </c>
      <c r="S2520" s="26" t="n">
        <f aca="false">IF(OR($D2520="",$J2520&lt;&gt;"Own"),0,IFERROR((F2520+G2520*Settings!$B$13)*INDEX(Workers!$V$5:$V$2004,MATCH($D2520,Workers!$A$5:$A$2004,0)),0))</f>
        <v>0</v>
      </c>
      <c r="T2520" s="26" t="str">
        <f aca="false">IF($D2520="","",O2520-R2520-S2520)</f>
        <v/>
      </c>
    </row>
    <row r="2521" customFormat="false" ht="15" hidden="false" customHeight="false" outlineLevel="0" collapsed="false">
      <c r="I2521" s="24" t="str">
        <f aca="false">IF($D2521="","",IFERROR(INDEX(Workers!$B$5:$B$2004,MATCH($D2521,Workers!$A$5:$A$2004,0)),"NOT FOUND"))</f>
        <v/>
      </c>
      <c r="J2521" s="24" t="str">
        <f aca="false">IF($D2521="","",IFERROR(INDEX(Workers!$C$5:$C$2004,MATCH($D2521,Workers!$A$5:$A$2004,0)),""))</f>
        <v/>
      </c>
      <c r="K2521" s="24" t="str">
        <f aca="false">IF($D2521="","",IFERROR(IF(INDEX(Workers!$D$5:$D$2004,MATCH($D2521,Workers!$A$5:$A$2004,0))=0,"",INDEX(Workers!$D$5:$D$2004,MATCH($D2521,Workers!$A$5:$A$2004,0))),""))</f>
        <v/>
      </c>
      <c r="L2521" s="24" t="str">
        <f aca="false">IF($D2521="","",IFERROR(INDEX(Workers!$E$5:$E$2004,MATCH($D2521,Workers!$A$5:$A$2004,0)),""))</f>
        <v/>
      </c>
      <c r="M2521" s="26" t="str">
        <f aca="false">IF($D2521="","",IFERROR(INDEX(ClientRates!$D$5:$D$500,MATCH($B2521&amp;"|"&amp;$L2521,ClientRates!$A$5:$A$500,0)),0))</f>
        <v/>
      </c>
      <c r="N2521" s="26" t="str">
        <f aca="false">IF($D2521="","",IFERROR(INDEX(ClientRates!$E$5:$E$500,MATCH($B2521&amp;"|"&amp;$L2521,ClientRates!$A$5:$A$500,0)),0))</f>
        <v/>
      </c>
      <c r="O2521" s="26" t="str">
        <f aca="false">IF($D2521="","",F2521*M2521+G2521*N2521)</f>
        <v/>
      </c>
      <c r="P2521" s="26" t="str">
        <f aca="false">IF(OR($D2521="",$J2521&lt;&gt;"Supplier"),"",IFERROR(INDEX(SupplierRates!$D$5:$D$500,MATCH($K2521&amp;"|"&amp;$L2521,SupplierRates!$A$5:$A$500,0)),0))</f>
        <v/>
      </c>
      <c r="Q2521" s="26" t="str">
        <f aca="false">IF(OR($D2521="",$J2521&lt;&gt;"Supplier"),"",IFERROR(INDEX(SupplierRates!$E$5:$E$500,MATCH($K2521&amp;"|"&amp;$L2521,SupplierRates!$A$5:$A$500,0)),0))</f>
        <v/>
      </c>
      <c r="R2521" s="26" t="n">
        <f aca="false">IF(OR($D2521="",$J2521&lt;&gt;"Supplier"),0,F2521*P2521+G2521*Q2521)</f>
        <v>0</v>
      </c>
      <c r="S2521" s="26" t="n">
        <f aca="false">IF(OR($D2521="",$J2521&lt;&gt;"Own"),0,IFERROR((F2521+G2521*Settings!$B$13)*INDEX(Workers!$V$5:$V$2004,MATCH($D2521,Workers!$A$5:$A$2004,0)),0))</f>
        <v>0</v>
      </c>
      <c r="T2521" s="26" t="str">
        <f aca="false">IF($D2521="","",O2521-R2521-S2521)</f>
        <v/>
      </c>
    </row>
    <row r="2522" customFormat="false" ht="15" hidden="false" customHeight="false" outlineLevel="0" collapsed="false">
      <c r="I2522" s="24" t="str">
        <f aca="false">IF($D2522="","",IFERROR(INDEX(Workers!$B$5:$B$2004,MATCH($D2522,Workers!$A$5:$A$2004,0)),"NOT FOUND"))</f>
        <v/>
      </c>
      <c r="J2522" s="24" t="str">
        <f aca="false">IF($D2522="","",IFERROR(INDEX(Workers!$C$5:$C$2004,MATCH($D2522,Workers!$A$5:$A$2004,0)),""))</f>
        <v/>
      </c>
      <c r="K2522" s="24" t="str">
        <f aca="false">IF($D2522="","",IFERROR(IF(INDEX(Workers!$D$5:$D$2004,MATCH($D2522,Workers!$A$5:$A$2004,0))=0,"",INDEX(Workers!$D$5:$D$2004,MATCH($D2522,Workers!$A$5:$A$2004,0))),""))</f>
        <v/>
      </c>
      <c r="L2522" s="24" t="str">
        <f aca="false">IF($D2522="","",IFERROR(INDEX(Workers!$E$5:$E$2004,MATCH($D2522,Workers!$A$5:$A$2004,0)),""))</f>
        <v/>
      </c>
      <c r="M2522" s="26" t="str">
        <f aca="false">IF($D2522="","",IFERROR(INDEX(ClientRates!$D$5:$D$500,MATCH($B2522&amp;"|"&amp;$L2522,ClientRates!$A$5:$A$500,0)),0))</f>
        <v/>
      </c>
      <c r="N2522" s="26" t="str">
        <f aca="false">IF($D2522="","",IFERROR(INDEX(ClientRates!$E$5:$E$500,MATCH($B2522&amp;"|"&amp;$L2522,ClientRates!$A$5:$A$500,0)),0))</f>
        <v/>
      </c>
      <c r="O2522" s="26" t="str">
        <f aca="false">IF($D2522="","",F2522*M2522+G2522*N2522)</f>
        <v/>
      </c>
      <c r="P2522" s="26" t="str">
        <f aca="false">IF(OR($D2522="",$J2522&lt;&gt;"Supplier"),"",IFERROR(INDEX(SupplierRates!$D$5:$D$500,MATCH($K2522&amp;"|"&amp;$L2522,SupplierRates!$A$5:$A$500,0)),0))</f>
        <v/>
      </c>
      <c r="Q2522" s="26" t="str">
        <f aca="false">IF(OR($D2522="",$J2522&lt;&gt;"Supplier"),"",IFERROR(INDEX(SupplierRates!$E$5:$E$500,MATCH($K2522&amp;"|"&amp;$L2522,SupplierRates!$A$5:$A$500,0)),0))</f>
        <v/>
      </c>
      <c r="R2522" s="26" t="n">
        <f aca="false">IF(OR($D2522="",$J2522&lt;&gt;"Supplier"),0,F2522*P2522+G2522*Q2522)</f>
        <v>0</v>
      </c>
      <c r="S2522" s="26" t="n">
        <f aca="false">IF(OR($D2522="",$J2522&lt;&gt;"Own"),0,IFERROR((F2522+G2522*Settings!$B$13)*INDEX(Workers!$V$5:$V$2004,MATCH($D2522,Workers!$A$5:$A$2004,0)),0))</f>
        <v>0</v>
      </c>
      <c r="T2522" s="26" t="str">
        <f aca="false">IF($D2522="","",O2522-R2522-S2522)</f>
        <v/>
      </c>
    </row>
    <row r="2523" customFormat="false" ht="15" hidden="false" customHeight="false" outlineLevel="0" collapsed="false">
      <c r="I2523" s="24" t="str">
        <f aca="false">IF($D2523="","",IFERROR(INDEX(Workers!$B$5:$B$2004,MATCH($D2523,Workers!$A$5:$A$2004,0)),"NOT FOUND"))</f>
        <v/>
      </c>
      <c r="J2523" s="24" t="str">
        <f aca="false">IF($D2523="","",IFERROR(INDEX(Workers!$C$5:$C$2004,MATCH($D2523,Workers!$A$5:$A$2004,0)),""))</f>
        <v/>
      </c>
      <c r="K2523" s="24" t="str">
        <f aca="false">IF($D2523="","",IFERROR(IF(INDEX(Workers!$D$5:$D$2004,MATCH($D2523,Workers!$A$5:$A$2004,0))=0,"",INDEX(Workers!$D$5:$D$2004,MATCH($D2523,Workers!$A$5:$A$2004,0))),""))</f>
        <v/>
      </c>
      <c r="L2523" s="24" t="str">
        <f aca="false">IF($D2523="","",IFERROR(INDEX(Workers!$E$5:$E$2004,MATCH($D2523,Workers!$A$5:$A$2004,0)),""))</f>
        <v/>
      </c>
      <c r="M2523" s="26" t="str">
        <f aca="false">IF($D2523="","",IFERROR(INDEX(ClientRates!$D$5:$D$500,MATCH($B2523&amp;"|"&amp;$L2523,ClientRates!$A$5:$A$500,0)),0))</f>
        <v/>
      </c>
      <c r="N2523" s="26" t="str">
        <f aca="false">IF($D2523="","",IFERROR(INDEX(ClientRates!$E$5:$E$500,MATCH($B2523&amp;"|"&amp;$L2523,ClientRates!$A$5:$A$500,0)),0))</f>
        <v/>
      </c>
      <c r="O2523" s="26" t="str">
        <f aca="false">IF($D2523="","",F2523*M2523+G2523*N2523)</f>
        <v/>
      </c>
      <c r="P2523" s="26" t="str">
        <f aca="false">IF(OR($D2523="",$J2523&lt;&gt;"Supplier"),"",IFERROR(INDEX(SupplierRates!$D$5:$D$500,MATCH($K2523&amp;"|"&amp;$L2523,SupplierRates!$A$5:$A$500,0)),0))</f>
        <v/>
      </c>
      <c r="Q2523" s="26" t="str">
        <f aca="false">IF(OR($D2523="",$J2523&lt;&gt;"Supplier"),"",IFERROR(INDEX(SupplierRates!$E$5:$E$500,MATCH($K2523&amp;"|"&amp;$L2523,SupplierRates!$A$5:$A$500,0)),0))</f>
        <v/>
      </c>
      <c r="R2523" s="26" t="n">
        <f aca="false">IF(OR($D2523="",$J2523&lt;&gt;"Supplier"),0,F2523*P2523+G2523*Q2523)</f>
        <v>0</v>
      </c>
      <c r="S2523" s="26" t="n">
        <f aca="false">IF(OR($D2523="",$J2523&lt;&gt;"Own"),0,IFERROR((F2523+G2523*Settings!$B$13)*INDEX(Workers!$V$5:$V$2004,MATCH($D2523,Workers!$A$5:$A$2004,0)),0))</f>
        <v>0</v>
      </c>
      <c r="T2523" s="26" t="str">
        <f aca="false">IF($D2523="","",O2523-R2523-S2523)</f>
        <v/>
      </c>
    </row>
    <row r="2524" customFormat="false" ht="15" hidden="false" customHeight="false" outlineLevel="0" collapsed="false">
      <c r="I2524" s="24" t="str">
        <f aca="false">IF($D2524="","",IFERROR(INDEX(Workers!$B$5:$B$2004,MATCH($D2524,Workers!$A$5:$A$2004,0)),"NOT FOUND"))</f>
        <v/>
      </c>
      <c r="J2524" s="24" t="str">
        <f aca="false">IF($D2524="","",IFERROR(INDEX(Workers!$C$5:$C$2004,MATCH($D2524,Workers!$A$5:$A$2004,0)),""))</f>
        <v/>
      </c>
      <c r="K2524" s="24" t="str">
        <f aca="false">IF($D2524="","",IFERROR(IF(INDEX(Workers!$D$5:$D$2004,MATCH($D2524,Workers!$A$5:$A$2004,0))=0,"",INDEX(Workers!$D$5:$D$2004,MATCH($D2524,Workers!$A$5:$A$2004,0))),""))</f>
        <v/>
      </c>
      <c r="L2524" s="24" t="str">
        <f aca="false">IF($D2524="","",IFERROR(INDEX(Workers!$E$5:$E$2004,MATCH($D2524,Workers!$A$5:$A$2004,0)),""))</f>
        <v/>
      </c>
      <c r="M2524" s="26" t="str">
        <f aca="false">IF($D2524="","",IFERROR(INDEX(ClientRates!$D$5:$D$500,MATCH($B2524&amp;"|"&amp;$L2524,ClientRates!$A$5:$A$500,0)),0))</f>
        <v/>
      </c>
      <c r="N2524" s="26" t="str">
        <f aca="false">IF($D2524="","",IFERROR(INDEX(ClientRates!$E$5:$E$500,MATCH($B2524&amp;"|"&amp;$L2524,ClientRates!$A$5:$A$500,0)),0))</f>
        <v/>
      </c>
      <c r="O2524" s="26" t="str">
        <f aca="false">IF($D2524="","",F2524*M2524+G2524*N2524)</f>
        <v/>
      </c>
      <c r="P2524" s="26" t="str">
        <f aca="false">IF(OR($D2524="",$J2524&lt;&gt;"Supplier"),"",IFERROR(INDEX(SupplierRates!$D$5:$D$500,MATCH($K2524&amp;"|"&amp;$L2524,SupplierRates!$A$5:$A$500,0)),0))</f>
        <v/>
      </c>
      <c r="Q2524" s="26" t="str">
        <f aca="false">IF(OR($D2524="",$J2524&lt;&gt;"Supplier"),"",IFERROR(INDEX(SupplierRates!$E$5:$E$500,MATCH($K2524&amp;"|"&amp;$L2524,SupplierRates!$A$5:$A$500,0)),0))</f>
        <v/>
      </c>
      <c r="R2524" s="26" t="n">
        <f aca="false">IF(OR($D2524="",$J2524&lt;&gt;"Supplier"),0,F2524*P2524+G2524*Q2524)</f>
        <v>0</v>
      </c>
      <c r="S2524" s="26" t="n">
        <f aca="false">IF(OR($D2524="",$J2524&lt;&gt;"Own"),0,IFERROR((F2524+G2524*Settings!$B$13)*INDEX(Workers!$V$5:$V$2004,MATCH($D2524,Workers!$A$5:$A$2004,0)),0))</f>
        <v>0</v>
      </c>
      <c r="T2524" s="26" t="str">
        <f aca="false">IF($D2524="","",O2524-R2524-S2524)</f>
        <v/>
      </c>
    </row>
    <row r="2525" customFormat="false" ht="15" hidden="false" customHeight="false" outlineLevel="0" collapsed="false">
      <c r="I2525" s="24" t="str">
        <f aca="false">IF($D2525="","",IFERROR(INDEX(Workers!$B$5:$B$2004,MATCH($D2525,Workers!$A$5:$A$2004,0)),"NOT FOUND"))</f>
        <v/>
      </c>
      <c r="J2525" s="24" t="str">
        <f aca="false">IF($D2525="","",IFERROR(INDEX(Workers!$C$5:$C$2004,MATCH($D2525,Workers!$A$5:$A$2004,0)),""))</f>
        <v/>
      </c>
      <c r="K2525" s="24" t="str">
        <f aca="false">IF($D2525="","",IFERROR(IF(INDEX(Workers!$D$5:$D$2004,MATCH($D2525,Workers!$A$5:$A$2004,0))=0,"",INDEX(Workers!$D$5:$D$2004,MATCH($D2525,Workers!$A$5:$A$2004,0))),""))</f>
        <v/>
      </c>
      <c r="L2525" s="24" t="str">
        <f aca="false">IF($D2525="","",IFERROR(INDEX(Workers!$E$5:$E$2004,MATCH($D2525,Workers!$A$5:$A$2004,0)),""))</f>
        <v/>
      </c>
      <c r="M2525" s="26" t="str">
        <f aca="false">IF($D2525="","",IFERROR(INDEX(ClientRates!$D$5:$D$500,MATCH($B2525&amp;"|"&amp;$L2525,ClientRates!$A$5:$A$500,0)),0))</f>
        <v/>
      </c>
      <c r="N2525" s="26" t="str">
        <f aca="false">IF($D2525="","",IFERROR(INDEX(ClientRates!$E$5:$E$500,MATCH($B2525&amp;"|"&amp;$L2525,ClientRates!$A$5:$A$500,0)),0))</f>
        <v/>
      </c>
      <c r="O2525" s="26" t="str">
        <f aca="false">IF($D2525="","",F2525*M2525+G2525*N2525)</f>
        <v/>
      </c>
      <c r="P2525" s="26" t="str">
        <f aca="false">IF(OR($D2525="",$J2525&lt;&gt;"Supplier"),"",IFERROR(INDEX(SupplierRates!$D$5:$D$500,MATCH($K2525&amp;"|"&amp;$L2525,SupplierRates!$A$5:$A$500,0)),0))</f>
        <v/>
      </c>
      <c r="Q2525" s="26" t="str">
        <f aca="false">IF(OR($D2525="",$J2525&lt;&gt;"Supplier"),"",IFERROR(INDEX(SupplierRates!$E$5:$E$500,MATCH($K2525&amp;"|"&amp;$L2525,SupplierRates!$A$5:$A$500,0)),0))</f>
        <v/>
      </c>
      <c r="R2525" s="26" t="n">
        <f aca="false">IF(OR($D2525="",$J2525&lt;&gt;"Supplier"),0,F2525*P2525+G2525*Q2525)</f>
        <v>0</v>
      </c>
      <c r="S2525" s="26" t="n">
        <f aca="false">IF(OR($D2525="",$J2525&lt;&gt;"Own"),0,IFERROR((F2525+G2525*Settings!$B$13)*INDEX(Workers!$V$5:$V$2004,MATCH($D2525,Workers!$A$5:$A$2004,0)),0))</f>
        <v>0</v>
      </c>
      <c r="T2525" s="26" t="str">
        <f aca="false">IF($D2525="","",O2525-R2525-S2525)</f>
        <v/>
      </c>
    </row>
    <row r="2526" customFormat="false" ht="15" hidden="false" customHeight="false" outlineLevel="0" collapsed="false">
      <c r="I2526" s="24" t="str">
        <f aca="false">IF($D2526="","",IFERROR(INDEX(Workers!$B$5:$B$2004,MATCH($D2526,Workers!$A$5:$A$2004,0)),"NOT FOUND"))</f>
        <v/>
      </c>
      <c r="J2526" s="24" t="str">
        <f aca="false">IF($D2526="","",IFERROR(INDEX(Workers!$C$5:$C$2004,MATCH($D2526,Workers!$A$5:$A$2004,0)),""))</f>
        <v/>
      </c>
      <c r="K2526" s="24" t="str">
        <f aca="false">IF($D2526="","",IFERROR(IF(INDEX(Workers!$D$5:$D$2004,MATCH($D2526,Workers!$A$5:$A$2004,0))=0,"",INDEX(Workers!$D$5:$D$2004,MATCH($D2526,Workers!$A$5:$A$2004,0))),""))</f>
        <v/>
      </c>
      <c r="L2526" s="24" t="str">
        <f aca="false">IF($D2526="","",IFERROR(INDEX(Workers!$E$5:$E$2004,MATCH($D2526,Workers!$A$5:$A$2004,0)),""))</f>
        <v/>
      </c>
      <c r="M2526" s="26" t="str">
        <f aca="false">IF($D2526="","",IFERROR(INDEX(ClientRates!$D$5:$D$500,MATCH($B2526&amp;"|"&amp;$L2526,ClientRates!$A$5:$A$500,0)),0))</f>
        <v/>
      </c>
      <c r="N2526" s="26" t="str">
        <f aca="false">IF($D2526="","",IFERROR(INDEX(ClientRates!$E$5:$E$500,MATCH($B2526&amp;"|"&amp;$L2526,ClientRates!$A$5:$A$500,0)),0))</f>
        <v/>
      </c>
      <c r="O2526" s="26" t="str">
        <f aca="false">IF($D2526="","",F2526*M2526+G2526*N2526)</f>
        <v/>
      </c>
      <c r="P2526" s="26" t="str">
        <f aca="false">IF(OR($D2526="",$J2526&lt;&gt;"Supplier"),"",IFERROR(INDEX(SupplierRates!$D$5:$D$500,MATCH($K2526&amp;"|"&amp;$L2526,SupplierRates!$A$5:$A$500,0)),0))</f>
        <v/>
      </c>
      <c r="Q2526" s="26" t="str">
        <f aca="false">IF(OR($D2526="",$J2526&lt;&gt;"Supplier"),"",IFERROR(INDEX(SupplierRates!$E$5:$E$500,MATCH($K2526&amp;"|"&amp;$L2526,SupplierRates!$A$5:$A$500,0)),0))</f>
        <v/>
      </c>
      <c r="R2526" s="26" t="n">
        <f aca="false">IF(OR($D2526="",$J2526&lt;&gt;"Supplier"),0,F2526*P2526+G2526*Q2526)</f>
        <v>0</v>
      </c>
      <c r="S2526" s="26" t="n">
        <f aca="false">IF(OR($D2526="",$J2526&lt;&gt;"Own"),0,IFERROR((F2526+G2526*Settings!$B$13)*INDEX(Workers!$V$5:$V$2004,MATCH($D2526,Workers!$A$5:$A$2004,0)),0))</f>
        <v>0</v>
      </c>
      <c r="T2526" s="26" t="str">
        <f aca="false">IF($D2526="","",O2526-R2526-S2526)</f>
        <v/>
      </c>
    </row>
    <row r="2527" customFormat="false" ht="15" hidden="false" customHeight="false" outlineLevel="0" collapsed="false">
      <c r="I2527" s="24" t="str">
        <f aca="false">IF($D2527="","",IFERROR(INDEX(Workers!$B$5:$B$2004,MATCH($D2527,Workers!$A$5:$A$2004,0)),"NOT FOUND"))</f>
        <v/>
      </c>
      <c r="J2527" s="24" t="str">
        <f aca="false">IF($D2527="","",IFERROR(INDEX(Workers!$C$5:$C$2004,MATCH($D2527,Workers!$A$5:$A$2004,0)),""))</f>
        <v/>
      </c>
      <c r="K2527" s="24" t="str">
        <f aca="false">IF($D2527="","",IFERROR(IF(INDEX(Workers!$D$5:$D$2004,MATCH($D2527,Workers!$A$5:$A$2004,0))=0,"",INDEX(Workers!$D$5:$D$2004,MATCH($D2527,Workers!$A$5:$A$2004,0))),""))</f>
        <v/>
      </c>
      <c r="L2527" s="24" t="str">
        <f aca="false">IF($D2527="","",IFERROR(INDEX(Workers!$E$5:$E$2004,MATCH($D2527,Workers!$A$5:$A$2004,0)),""))</f>
        <v/>
      </c>
      <c r="M2527" s="26" t="str">
        <f aca="false">IF($D2527="","",IFERROR(INDEX(ClientRates!$D$5:$D$500,MATCH($B2527&amp;"|"&amp;$L2527,ClientRates!$A$5:$A$500,0)),0))</f>
        <v/>
      </c>
      <c r="N2527" s="26" t="str">
        <f aca="false">IF($D2527="","",IFERROR(INDEX(ClientRates!$E$5:$E$500,MATCH($B2527&amp;"|"&amp;$L2527,ClientRates!$A$5:$A$500,0)),0))</f>
        <v/>
      </c>
      <c r="O2527" s="26" t="str">
        <f aca="false">IF($D2527="","",F2527*M2527+G2527*N2527)</f>
        <v/>
      </c>
      <c r="P2527" s="26" t="str">
        <f aca="false">IF(OR($D2527="",$J2527&lt;&gt;"Supplier"),"",IFERROR(INDEX(SupplierRates!$D$5:$D$500,MATCH($K2527&amp;"|"&amp;$L2527,SupplierRates!$A$5:$A$500,0)),0))</f>
        <v/>
      </c>
      <c r="Q2527" s="26" t="str">
        <f aca="false">IF(OR($D2527="",$J2527&lt;&gt;"Supplier"),"",IFERROR(INDEX(SupplierRates!$E$5:$E$500,MATCH($K2527&amp;"|"&amp;$L2527,SupplierRates!$A$5:$A$500,0)),0))</f>
        <v/>
      </c>
      <c r="R2527" s="26" t="n">
        <f aca="false">IF(OR($D2527="",$J2527&lt;&gt;"Supplier"),0,F2527*P2527+G2527*Q2527)</f>
        <v>0</v>
      </c>
      <c r="S2527" s="26" t="n">
        <f aca="false">IF(OR($D2527="",$J2527&lt;&gt;"Own"),0,IFERROR((F2527+G2527*Settings!$B$13)*INDEX(Workers!$V$5:$V$2004,MATCH($D2527,Workers!$A$5:$A$2004,0)),0))</f>
        <v>0</v>
      </c>
      <c r="T2527" s="26" t="str">
        <f aca="false">IF($D2527="","",O2527-R2527-S2527)</f>
        <v/>
      </c>
    </row>
    <row r="2528" customFormat="false" ht="15" hidden="false" customHeight="false" outlineLevel="0" collapsed="false">
      <c r="I2528" s="24" t="str">
        <f aca="false">IF($D2528="","",IFERROR(INDEX(Workers!$B$5:$B$2004,MATCH($D2528,Workers!$A$5:$A$2004,0)),"NOT FOUND"))</f>
        <v/>
      </c>
      <c r="J2528" s="24" t="str">
        <f aca="false">IF($D2528="","",IFERROR(INDEX(Workers!$C$5:$C$2004,MATCH($D2528,Workers!$A$5:$A$2004,0)),""))</f>
        <v/>
      </c>
      <c r="K2528" s="24" t="str">
        <f aca="false">IF($D2528="","",IFERROR(IF(INDEX(Workers!$D$5:$D$2004,MATCH($D2528,Workers!$A$5:$A$2004,0))=0,"",INDEX(Workers!$D$5:$D$2004,MATCH($D2528,Workers!$A$5:$A$2004,0))),""))</f>
        <v/>
      </c>
      <c r="L2528" s="24" t="str">
        <f aca="false">IF($D2528="","",IFERROR(INDEX(Workers!$E$5:$E$2004,MATCH($D2528,Workers!$A$5:$A$2004,0)),""))</f>
        <v/>
      </c>
      <c r="M2528" s="26" t="str">
        <f aca="false">IF($D2528="","",IFERROR(INDEX(ClientRates!$D$5:$D$500,MATCH($B2528&amp;"|"&amp;$L2528,ClientRates!$A$5:$A$500,0)),0))</f>
        <v/>
      </c>
      <c r="N2528" s="26" t="str">
        <f aca="false">IF($D2528="","",IFERROR(INDEX(ClientRates!$E$5:$E$500,MATCH($B2528&amp;"|"&amp;$L2528,ClientRates!$A$5:$A$500,0)),0))</f>
        <v/>
      </c>
      <c r="O2528" s="26" t="str">
        <f aca="false">IF($D2528="","",F2528*M2528+G2528*N2528)</f>
        <v/>
      </c>
      <c r="P2528" s="26" t="str">
        <f aca="false">IF(OR($D2528="",$J2528&lt;&gt;"Supplier"),"",IFERROR(INDEX(SupplierRates!$D$5:$D$500,MATCH($K2528&amp;"|"&amp;$L2528,SupplierRates!$A$5:$A$500,0)),0))</f>
        <v/>
      </c>
      <c r="Q2528" s="26" t="str">
        <f aca="false">IF(OR($D2528="",$J2528&lt;&gt;"Supplier"),"",IFERROR(INDEX(SupplierRates!$E$5:$E$500,MATCH($K2528&amp;"|"&amp;$L2528,SupplierRates!$A$5:$A$500,0)),0))</f>
        <v/>
      </c>
      <c r="R2528" s="26" t="n">
        <f aca="false">IF(OR($D2528="",$J2528&lt;&gt;"Supplier"),0,F2528*P2528+G2528*Q2528)</f>
        <v>0</v>
      </c>
      <c r="S2528" s="26" t="n">
        <f aca="false">IF(OR($D2528="",$J2528&lt;&gt;"Own"),0,IFERROR((F2528+G2528*Settings!$B$13)*INDEX(Workers!$V$5:$V$2004,MATCH($D2528,Workers!$A$5:$A$2004,0)),0))</f>
        <v>0</v>
      </c>
      <c r="T2528" s="26" t="str">
        <f aca="false">IF($D2528="","",O2528-R2528-S2528)</f>
        <v/>
      </c>
    </row>
    <row r="2529" customFormat="false" ht="15" hidden="false" customHeight="false" outlineLevel="0" collapsed="false">
      <c r="I2529" s="24" t="str">
        <f aca="false">IF($D2529="","",IFERROR(INDEX(Workers!$B$5:$B$2004,MATCH($D2529,Workers!$A$5:$A$2004,0)),"NOT FOUND"))</f>
        <v/>
      </c>
      <c r="J2529" s="24" t="str">
        <f aca="false">IF($D2529="","",IFERROR(INDEX(Workers!$C$5:$C$2004,MATCH($D2529,Workers!$A$5:$A$2004,0)),""))</f>
        <v/>
      </c>
      <c r="K2529" s="24" t="str">
        <f aca="false">IF($D2529="","",IFERROR(IF(INDEX(Workers!$D$5:$D$2004,MATCH($D2529,Workers!$A$5:$A$2004,0))=0,"",INDEX(Workers!$D$5:$D$2004,MATCH($D2529,Workers!$A$5:$A$2004,0))),""))</f>
        <v/>
      </c>
      <c r="L2529" s="24" t="str">
        <f aca="false">IF($D2529="","",IFERROR(INDEX(Workers!$E$5:$E$2004,MATCH($D2529,Workers!$A$5:$A$2004,0)),""))</f>
        <v/>
      </c>
      <c r="M2529" s="26" t="str">
        <f aca="false">IF($D2529="","",IFERROR(INDEX(ClientRates!$D$5:$D$500,MATCH($B2529&amp;"|"&amp;$L2529,ClientRates!$A$5:$A$500,0)),0))</f>
        <v/>
      </c>
      <c r="N2529" s="26" t="str">
        <f aca="false">IF($D2529="","",IFERROR(INDEX(ClientRates!$E$5:$E$500,MATCH($B2529&amp;"|"&amp;$L2529,ClientRates!$A$5:$A$500,0)),0))</f>
        <v/>
      </c>
      <c r="O2529" s="26" t="str">
        <f aca="false">IF($D2529="","",F2529*M2529+G2529*N2529)</f>
        <v/>
      </c>
      <c r="P2529" s="26" t="str">
        <f aca="false">IF(OR($D2529="",$J2529&lt;&gt;"Supplier"),"",IFERROR(INDEX(SupplierRates!$D$5:$D$500,MATCH($K2529&amp;"|"&amp;$L2529,SupplierRates!$A$5:$A$500,0)),0))</f>
        <v/>
      </c>
      <c r="Q2529" s="26" t="str">
        <f aca="false">IF(OR($D2529="",$J2529&lt;&gt;"Supplier"),"",IFERROR(INDEX(SupplierRates!$E$5:$E$500,MATCH($K2529&amp;"|"&amp;$L2529,SupplierRates!$A$5:$A$500,0)),0))</f>
        <v/>
      </c>
      <c r="R2529" s="26" t="n">
        <f aca="false">IF(OR($D2529="",$J2529&lt;&gt;"Supplier"),0,F2529*P2529+G2529*Q2529)</f>
        <v>0</v>
      </c>
      <c r="S2529" s="26" t="n">
        <f aca="false">IF(OR($D2529="",$J2529&lt;&gt;"Own"),0,IFERROR((F2529+G2529*Settings!$B$13)*INDEX(Workers!$V$5:$V$2004,MATCH($D2529,Workers!$A$5:$A$2004,0)),0))</f>
        <v>0</v>
      </c>
      <c r="T2529" s="26" t="str">
        <f aca="false">IF($D2529="","",O2529-R2529-S2529)</f>
        <v/>
      </c>
    </row>
    <row r="2530" customFormat="false" ht="15" hidden="false" customHeight="false" outlineLevel="0" collapsed="false">
      <c r="I2530" s="24" t="str">
        <f aca="false">IF($D2530="","",IFERROR(INDEX(Workers!$B$5:$B$2004,MATCH($D2530,Workers!$A$5:$A$2004,0)),"NOT FOUND"))</f>
        <v/>
      </c>
      <c r="J2530" s="24" t="str">
        <f aca="false">IF($D2530="","",IFERROR(INDEX(Workers!$C$5:$C$2004,MATCH($D2530,Workers!$A$5:$A$2004,0)),""))</f>
        <v/>
      </c>
      <c r="K2530" s="24" t="str">
        <f aca="false">IF($D2530="","",IFERROR(IF(INDEX(Workers!$D$5:$D$2004,MATCH($D2530,Workers!$A$5:$A$2004,0))=0,"",INDEX(Workers!$D$5:$D$2004,MATCH($D2530,Workers!$A$5:$A$2004,0))),""))</f>
        <v/>
      </c>
      <c r="L2530" s="24" t="str">
        <f aca="false">IF($D2530="","",IFERROR(INDEX(Workers!$E$5:$E$2004,MATCH($D2530,Workers!$A$5:$A$2004,0)),""))</f>
        <v/>
      </c>
      <c r="M2530" s="26" t="str">
        <f aca="false">IF($D2530="","",IFERROR(INDEX(ClientRates!$D$5:$D$500,MATCH($B2530&amp;"|"&amp;$L2530,ClientRates!$A$5:$A$500,0)),0))</f>
        <v/>
      </c>
      <c r="N2530" s="26" t="str">
        <f aca="false">IF($D2530="","",IFERROR(INDEX(ClientRates!$E$5:$E$500,MATCH($B2530&amp;"|"&amp;$L2530,ClientRates!$A$5:$A$500,0)),0))</f>
        <v/>
      </c>
      <c r="O2530" s="26" t="str">
        <f aca="false">IF($D2530="","",F2530*M2530+G2530*N2530)</f>
        <v/>
      </c>
      <c r="P2530" s="26" t="str">
        <f aca="false">IF(OR($D2530="",$J2530&lt;&gt;"Supplier"),"",IFERROR(INDEX(SupplierRates!$D$5:$D$500,MATCH($K2530&amp;"|"&amp;$L2530,SupplierRates!$A$5:$A$500,0)),0))</f>
        <v/>
      </c>
      <c r="Q2530" s="26" t="str">
        <f aca="false">IF(OR($D2530="",$J2530&lt;&gt;"Supplier"),"",IFERROR(INDEX(SupplierRates!$E$5:$E$500,MATCH($K2530&amp;"|"&amp;$L2530,SupplierRates!$A$5:$A$500,0)),0))</f>
        <v/>
      </c>
      <c r="R2530" s="26" t="n">
        <f aca="false">IF(OR($D2530="",$J2530&lt;&gt;"Supplier"),0,F2530*P2530+G2530*Q2530)</f>
        <v>0</v>
      </c>
      <c r="S2530" s="26" t="n">
        <f aca="false">IF(OR($D2530="",$J2530&lt;&gt;"Own"),0,IFERROR((F2530+G2530*Settings!$B$13)*INDEX(Workers!$V$5:$V$2004,MATCH($D2530,Workers!$A$5:$A$2004,0)),0))</f>
        <v>0</v>
      </c>
      <c r="T2530" s="26" t="str">
        <f aca="false">IF($D2530="","",O2530-R2530-S2530)</f>
        <v/>
      </c>
    </row>
    <row r="2531" customFormat="false" ht="15" hidden="false" customHeight="false" outlineLevel="0" collapsed="false">
      <c r="I2531" s="24" t="str">
        <f aca="false">IF($D2531="","",IFERROR(INDEX(Workers!$B$5:$B$2004,MATCH($D2531,Workers!$A$5:$A$2004,0)),"NOT FOUND"))</f>
        <v/>
      </c>
      <c r="J2531" s="24" t="str">
        <f aca="false">IF($D2531="","",IFERROR(INDEX(Workers!$C$5:$C$2004,MATCH($D2531,Workers!$A$5:$A$2004,0)),""))</f>
        <v/>
      </c>
      <c r="K2531" s="24" t="str">
        <f aca="false">IF($D2531="","",IFERROR(IF(INDEX(Workers!$D$5:$D$2004,MATCH($D2531,Workers!$A$5:$A$2004,0))=0,"",INDEX(Workers!$D$5:$D$2004,MATCH($D2531,Workers!$A$5:$A$2004,0))),""))</f>
        <v/>
      </c>
      <c r="L2531" s="24" t="str">
        <f aca="false">IF($D2531="","",IFERROR(INDEX(Workers!$E$5:$E$2004,MATCH($D2531,Workers!$A$5:$A$2004,0)),""))</f>
        <v/>
      </c>
      <c r="M2531" s="26" t="str">
        <f aca="false">IF($D2531="","",IFERROR(INDEX(ClientRates!$D$5:$D$500,MATCH($B2531&amp;"|"&amp;$L2531,ClientRates!$A$5:$A$500,0)),0))</f>
        <v/>
      </c>
      <c r="N2531" s="26" t="str">
        <f aca="false">IF($D2531="","",IFERROR(INDEX(ClientRates!$E$5:$E$500,MATCH($B2531&amp;"|"&amp;$L2531,ClientRates!$A$5:$A$500,0)),0))</f>
        <v/>
      </c>
      <c r="O2531" s="26" t="str">
        <f aca="false">IF($D2531="","",F2531*M2531+G2531*N2531)</f>
        <v/>
      </c>
      <c r="P2531" s="26" t="str">
        <f aca="false">IF(OR($D2531="",$J2531&lt;&gt;"Supplier"),"",IFERROR(INDEX(SupplierRates!$D$5:$D$500,MATCH($K2531&amp;"|"&amp;$L2531,SupplierRates!$A$5:$A$500,0)),0))</f>
        <v/>
      </c>
      <c r="Q2531" s="26" t="str">
        <f aca="false">IF(OR($D2531="",$J2531&lt;&gt;"Supplier"),"",IFERROR(INDEX(SupplierRates!$E$5:$E$500,MATCH($K2531&amp;"|"&amp;$L2531,SupplierRates!$A$5:$A$500,0)),0))</f>
        <v/>
      </c>
      <c r="R2531" s="26" t="n">
        <f aca="false">IF(OR($D2531="",$J2531&lt;&gt;"Supplier"),0,F2531*P2531+G2531*Q2531)</f>
        <v>0</v>
      </c>
      <c r="S2531" s="26" t="n">
        <f aca="false">IF(OR($D2531="",$J2531&lt;&gt;"Own"),0,IFERROR((F2531+G2531*Settings!$B$13)*INDEX(Workers!$V$5:$V$2004,MATCH($D2531,Workers!$A$5:$A$2004,0)),0))</f>
        <v>0</v>
      </c>
      <c r="T2531" s="26" t="str">
        <f aca="false">IF($D2531="","",O2531-R2531-S2531)</f>
        <v/>
      </c>
    </row>
    <row r="2532" customFormat="false" ht="15" hidden="false" customHeight="false" outlineLevel="0" collapsed="false">
      <c r="I2532" s="24" t="str">
        <f aca="false">IF($D2532="","",IFERROR(INDEX(Workers!$B$5:$B$2004,MATCH($D2532,Workers!$A$5:$A$2004,0)),"NOT FOUND"))</f>
        <v/>
      </c>
      <c r="J2532" s="24" t="str">
        <f aca="false">IF($D2532="","",IFERROR(INDEX(Workers!$C$5:$C$2004,MATCH($D2532,Workers!$A$5:$A$2004,0)),""))</f>
        <v/>
      </c>
      <c r="K2532" s="24" t="str">
        <f aca="false">IF($D2532="","",IFERROR(IF(INDEX(Workers!$D$5:$D$2004,MATCH($D2532,Workers!$A$5:$A$2004,0))=0,"",INDEX(Workers!$D$5:$D$2004,MATCH($D2532,Workers!$A$5:$A$2004,0))),""))</f>
        <v/>
      </c>
      <c r="L2532" s="24" t="str">
        <f aca="false">IF($D2532="","",IFERROR(INDEX(Workers!$E$5:$E$2004,MATCH($D2532,Workers!$A$5:$A$2004,0)),""))</f>
        <v/>
      </c>
      <c r="M2532" s="26" t="str">
        <f aca="false">IF($D2532="","",IFERROR(INDEX(ClientRates!$D$5:$D$500,MATCH($B2532&amp;"|"&amp;$L2532,ClientRates!$A$5:$A$500,0)),0))</f>
        <v/>
      </c>
      <c r="N2532" s="26" t="str">
        <f aca="false">IF($D2532="","",IFERROR(INDEX(ClientRates!$E$5:$E$500,MATCH($B2532&amp;"|"&amp;$L2532,ClientRates!$A$5:$A$500,0)),0))</f>
        <v/>
      </c>
      <c r="O2532" s="26" t="str">
        <f aca="false">IF($D2532="","",F2532*M2532+G2532*N2532)</f>
        <v/>
      </c>
      <c r="P2532" s="26" t="str">
        <f aca="false">IF(OR($D2532="",$J2532&lt;&gt;"Supplier"),"",IFERROR(INDEX(SupplierRates!$D$5:$D$500,MATCH($K2532&amp;"|"&amp;$L2532,SupplierRates!$A$5:$A$500,0)),0))</f>
        <v/>
      </c>
      <c r="Q2532" s="26" t="str">
        <f aca="false">IF(OR($D2532="",$J2532&lt;&gt;"Supplier"),"",IFERROR(INDEX(SupplierRates!$E$5:$E$500,MATCH($K2532&amp;"|"&amp;$L2532,SupplierRates!$A$5:$A$500,0)),0))</f>
        <v/>
      </c>
      <c r="R2532" s="26" t="n">
        <f aca="false">IF(OR($D2532="",$J2532&lt;&gt;"Supplier"),0,F2532*P2532+G2532*Q2532)</f>
        <v>0</v>
      </c>
      <c r="S2532" s="26" t="n">
        <f aca="false">IF(OR($D2532="",$J2532&lt;&gt;"Own"),0,IFERROR((F2532+G2532*Settings!$B$13)*INDEX(Workers!$V$5:$V$2004,MATCH($D2532,Workers!$A$5:$A$2004,0)),0))</f>
        <v>0</v>
      </c>
      <c r="T2532" s="26" t="str">
        <f aca="false">IF($D2532="","",O2532-R2532-S2532)</f>
        <v/>
      </c>
    </row>
    <row r="2533" customFormat="false" ht="15" hidden="false" customHeight="false" outlineLevel="0" collapsed="false">
      <c r="I2533" s="24" t="str">
        <f aca="false">IF($D2533="","",IFERROR(INDEX(Workers!$B$5:$B$2004,MATCH($D2533,Workers!$A$5:$A$2004,0)),"NOT FOUND"))</f>
        <v/>
      </c>
      <c r="J2533" s="24" t="str">
        <f aca="false">IF($D2533="","",IFERROR(INDEX(Workers!$C$5:$C$2004,MATCH($D2533,Workers!$A$5:$A$2004,0)),""))</f>
        <v/>
      </c>
      <c r="K2533" s="24" t="str">
        <f aca="false">IF($D2533="","",IFERROR(IF(INDEX(Workers!$D$5:$D$2004,MATCH($D2533,Workers!$A$5:$A$2004,0))=0,"",INDEX(Workers!$D$5:$D$2004,MATCH($D2533,Workers!$A$5:$A$2004,0))),""))</f>
        <v/>
      </c>
      <c r="L2533" s="24" t="str">
        <f aca="false">IF($D2533="","",IFERROR(INDEX(Workers!$E$5:$E$2004,MATCH($D2533,Workers!$A$5:$A$2004,0)),""))</f>
        <v/>
      </c>
      <c r="M2533" s="26" t="str">
        <f aca="false">IF($D2533="","",IFERROR(INDEX(ClientRates!$D$5:$D$500,MATCH($B2533&amp;"|"&amp;$L2533,ClientRates!$A$5:$A$500,0)),0))</f>
        <v/>
      </c>
      <c r="N2533" s="26" t="str">
        <f aca="false">IF($D2533="","",IFERROR(INDEX(ClientRates!$E$5:$E$500,MATCH($B2533&amp;"|"&amp;$L2533,ClientRates!$A$5:$A$500,0)),0))</f>
        <v/>
      </c>
      <c r="O2533" s="26" t="str">
        <f aca="false">IF($D2533="","",F2533*M2533+G2533*N2533)</f>
        <v/>
      </c>
      <c r="P2533" s="26" t="str">
        <f aca="false">IF(OR($D2533="",$J2533&lt;&gt;"Supplier"),"",IFERROR(INDEX(SupplierRates!$D$5:$D$500,MATCH($K2533&amp;"|"&amp;$L2533,SupplierRates!$A$5:$A$500,0)),0))</f>
        <v/>
      </c>
      <c r="Q2533" s="26" t="str">
        <f aca="false">IF(OR($D2533="",$J2533&lt;&gt;"Supplier"),"",IFERROR(INDEX(SupplierRates!$E$5:$E$500,MATCH($K2533&amp;"|"&amp;$L2533,SupplierRates!$A$5:$A$500,0)),0))</f>
        <v/>
      </c>
      <c r="R2533" s="26" t="n">
        <f aca="false">IF(OR($D2533="",$J2533&lt;&gt;"Supplier"),0,F2533*P2533+G2533*Q2533)</f>
        <v>0</v>
      </c>
      <c r="S2533" s="26" t="n">
        <f aca="false">IF(OR($D2533="",$J2533&lt;&gt;"Own"),0,IFERROR((F2533+G2533*Settings!$B$13)*INDEX(Workers!$V$5:$V$2004,MATCH($D2533,Workers!$A$5:$A$2004,0)),0))</f>
        <v>0</v>
      </c>
      <c r="T2533" s="26" t="str">
        <f aca="false">IF($D2533="","",O2533-R2533-S2533)</f>
        <v/>
      </c>
    </row>
    <row r="2534" customFormat="false" ht="15" hidden="false" customHeight="false" outlineLevel="0" collapsed="false">
      <c r="I2534" s="24" t="str">
        <f aca="false">IF($D2534="","",IFERROR(INDEX(Workers!$B$5:$B$2004,MATCH($D2534,Workers!$A$5:$A$2004,0)),"NOT FOUND"))</f>
        <v/>
      </c>
      <c r="J2534" s="24" t="str">
        <f aca="false">IF($D2534="","",IFERROR(INDEX(Workers!$C$5:$C$2004,MATCH($D2534,Workers!$A$5:$A$2004,0)),""))</f>
        <v/>
      </c>
      <c r="K2534" s="24" t="str">
        <f aca="false">IF($D2534="","",IFERROR(IF(INDEX(Workers!$D$5:$D$2004,MATCH($D2534,Workers!$A$5:$A$2004,0))=0,"",INDEX(Workers!$D$5:$D$2004,MATCH($D2534,Workers!$A$5:$A$2004,0))),""))</f>
        <v/>
      </c>
      <c r="L2534" s="24" t="str">
        <f aca="false">IF($D2534="","",IFERROR(INDEX(Workers!$E$5:$E$2004,MATCH($D2534,Workers!$A$5:$A$2004,0)),""))</f>
        <v/>
      </c>
      <c r="M2534" s="26" t="str">
        <f aca="false">IF($D2534="","",IFERROR(INDEX(ClientRates!$D$5:$D$500,MATCH($B2534&amp;"|"&amp;$L2534,ClientRates!$A$5:$A$500,0)),0))</f>
        <v/>
      </c>
      <c r="N2534" s="26" t="str">
        <f aca="false">IF($D2534="","",IFERROR(INDEX(ClientRates!$E$5:$E$500,MATCH($B2534&amp;"|"&amp;$L2534,ClientRates!$A$5:$A$500,0)),0))</f>
        <v/>
      </c>
      <c r="O2534" s="26" t="str">
        <f aca="false">IF($D2534="","",F2534*M2534+G2534*N2534)</f>
        <v/>
      </c>
      <c r="P2534" s="26" t="str">
        <f aca="false">IF(OR($D2534="",$J2534&lt;&gt;"Supplier"),"",IFERROR(INDEX(SupplierRates!$D$5:$D$500,MATCH($K2534&amp;"|"&amp;$L2534,SupplierRates!$A$5:$A$500,0)),0))</f>
        <v/>
      </c>
      <c r="Q2534" s="26" t="str">
        <f aca="false">IF(OR($D2534="",$J2534&lt;&gt;"Supplier"),"",IFERROR(INDEX(SupplierRates!$E$5:$E$500,MATCH($K2534&amp;"|"&amp;$L2534,SupplierRates!$A$5:$A$500,0)),0))</f>
        <v/>
      </c>
      <c r="R2534" s="26" t="n">
        <f aca="false">IF(OR($D2534="",$J2534&lt;&gt;"Supplier"),0,F2534*P2534+G2534*Q2534)</f>
        <v>0</v>
      </c>
      <c r="S2534" s="26" t="n">
        <f aca="false">IF(OR($D2534="",$J2534&lt;&gt;"Own"),0,IFERROR((F2534+G2534*Settings!$B$13)*INDEX(Workers!$V$5:$V$2004,MATCH($D2534,Workers!$A$5:$A$2004,0)),0))</f>
        <v>0</v>
      </c>
      <c r="T2534" s="26" t="str">
        <f aca="false">IF($D2534="","",O2534-R2534-S2534)</f>
        <v/>
      </c>
    </row>
    <row r="2535" customFormat="false" ht="15" hidden="false" customHeight="false" outlineLevel="0" collapsed="false">
      <c r="I2535" s="24" t="str">
        <f aca="false">IF($D2535="","",IFERROR(INDEX(Workers!$B$5:$B$2004,MATCH($D2535,Workers!$A$5:$A$2004,0)),"NOT FOUND"))</f>
        <v/>
      </c>
      <c r="J2535" s="24" t="str">
        <f aca="false">IF($D2535="","",IFERROR(INDEX(Workers!$C$5:$C$2004,MATCH($D2535,Workers!$A$5:$A$2004,0)),""))</f>
        <v/>
      </c>
      <c r="K2535" s="24" t="str">
        <f aca="false">IF($D2535="","",IFERROR(IF(INDEX(Workers!$D$5:$D$2004,MATCH($D2535,Workers!$A$5:$A$2004,0))=0,"",INDEX(Workers!$D$5:$D$2004,MATCH($D2535,Workers!$A$5:$A$2004,0))),""))</f>
        <v/>
      </c>
      <c r="L2535" s="24" t="str">
        <f aca="false">IF($D2535="","",IFERROR(INDEX(Workers!$E$5:$E$2004,MATCH($D2535,Workers!$A$5:$A$2004,0)),""))</f>
        <v/>
      </c>
      <c r="M2535" s="26" t="str">
        <f aca="false">IF($D2535="","",IFERROR(INDEX(ClientRates!$D$5:$D$500,MATCH($B2535&amp;"|"&amp;$L2535,ClientRates!$A$5:$A$500,0)),0))</f>
        <v/>
      </c>
      <c r="N2535" s="26" t="str">
        <f aca="false">IF($D2535="","",IFERROR(INDEX(ClientRates!$E$5:$E$500,MATCH($B2535&amp;"|"&amp;$L2535,ClientRates!$A$5:$A$500,0)),0))</f>
        <v/>
      </c>
      <c r="O2535" s="26" t="str">
        <f aca="false">IF($D2535="","",F2535*M2535+G2535*N2535)</f>
        <v/>
      </c>
      <c r="P2535" s="26" t="str">
        <f aca="false">IF(OR($D2535="",$J2535&lt;&gt;"Supplier"),"",IFERROR(INDEX(SupplierRates!$D$5:$D$500,MATCH($K2535&amp;"|"&amp;$L2535,SupplierRates!$A$5:$A$500,0)),0))</f>
        <v/>
      </c>
      <c r="Q2535" s="26" t="str">
        <f aca="false">IF(OR($D2535="",$J2535&lt;&gt;"Supplier"),"",IFERROR(INDEX(SupplierRates!$E$5:$E$500,MATCH($K2535&amp;"|"&amp;$L2535,SupplierRates!$A$5:$A$500,0)),0))</f>
        <v/>
      </c>
      <c r="R2535" s="26" t="n">
        <f aca="false">IF(OR($D2535="",$J2535&lt;&gt;"Supplier"),0,F2535*P2535+G2535*Q2535)</f>
        <v>0</v>
      </c>
      <c r="S2535" s="26" t="n">
        <f aca="false">IF(OR($D2535="",$J2535&lt;&gt;"Own"),0,IFERROR((F2535+G2535*Settings!$B$13)*INDEX(Workers!$V$5:$V$2004,MATCH($D2535,Workers!$A$5:$A$2004,0)),0))</f>
        <v>0</v>
      </c>
      <c r="T2535" s="26" t="str">
        <f aca="false">IF($D2535="","",O2535-R2535-S2535)</f>
        <v/>
      </c>
    </row>
    <row r="2536" customFormat="false" ht="15" hidden="false" customHeight="false" outlineLevel="0" collapsed="false">
      <c r="I2536" s="24" t="str">
        <f aca="false">IF($D2536="","",IFERROR(INDEX(Workers!$B$5:$B$2004,MATCH($D2536,Workers!$A$5:$A$2004,0)),"NOT FOUND"))</f>
        <v/>
      </c>
      <c r="J2536" s="24" t="str">
        <f aca="false">IF($D2536="","",IFERROR(INDEX(Workers!$C$5:$C$2004,MATCH($D2536,Workers!$A$5:$A$2004,0)),""))</f>
        <v/>
      </c>
      <c r="K2536" s="24" t="str">
        <f aca="false">IF($D2536="","",IFERROR(IF(INDEX(Workers!$D$5:$D$2004,MATCH($D2536,Workers!$A$5:$A$2004,0))=0,"",INDEX(Workers!$D$5:$D$2004,MATCH($D2536,Workers!$A$5:$A$2004,0))),""))</f>
        <v/>
      </c>
      <c r="L2536" s="24" t="str">
        <f aca="false">IF($D2536="","",IFERROR(INDEX(Workers!$E$5:$E$2004,MATCH($D2536,Workers!$A$5:$A$2004,0)),""))</f>
        <v/>
      </c>
      <c r="M2536" s="26" t="str">
        <f aca="false">IF($D2536="","",IFERROR(INDEX(ClientRates!$D$5:$D$500,MATCH($B2536&amp;"|"&amp;$L2536,ClientRates!$A$5:$A$500,0)),0))</f>
        <v/>
      </c>
      <c r="N2536" s="26" t="str">
        <f aca="false">IF($D2536="","",IFERROR(INDEX(ClientRates!$E$5:$E$500,MATCH($B2536&amp;"|"&amp;$L2536,ClientRates!$A$5:$A$500,0)),0))</f>
        <v/>
      </c>
      <c r="O2536" s="26" t="str">
        <f aca="false">IF($D2536="","",F2536*M2536+G2536*N2536)</f>
        <v/>
      </c>
      <c r="P2536" s="26" t="str">
        <f aca="false">IF(OR($D2536="",$J2536&lt;&gt;"Supplier"),"",IFERROR(INDEX(SupplierRates!$D$5:$D$500,MATCH($K2536&amp;"|"&amp;$L2536,SupplierRates!$A$5:$A$500,0)),0))</f>
        <v/>
      </c>
      <c r="Q2536" s="26" t="str">
        <f aca="false">IF(OR($D2536="",$J2536&lt;&gt;"Supplier"),"",IFERROR(INDEX(SupplierRates!$E$5:$E$500,MATCH($K2536&amp;"|"&amp;$L2536,SupplierRates!$A$5:$A$500,0)),0))</f>
        <v/>
      </c>
      <c r="R2536" s="26" t="n">
        <f aca="false">IF(OR($D2536="",$J2536&lt;&gt;"Supplier"),0,F2536*P2536+G2536*Q2536)</f>
        <v>0</v>
      </c>
      <c r="S2536" s="26" t="n">
        <f aca="false">IF(OR($D2536="",$J2536&lt;&gt;"Own"),0,IFERROR((F2536+G2536*Settings!$B$13)*INDEX(Workers!$V$5:$V$2004,MATCH($D2536,Workers!$A$5:$A$2004,0)),0))</f>
        <v>0</v>
      </c>
      <c r="T2536" s="26" t="str">
        <f aca="false">IF($D2536="","",O2536-R2536-S2536)</f>
        <v/>
      </c>
    </row>
    <row r="2537" customFormat="false" ht="15" hidden="false" customHeight="false" outlineLevel="0" collapsed="false">
      <c r="I2537" s="24" t="str">
        <f aca="false">IF($D2537="","",IFERROR(INDEX(Workers!$B$5:$B$2004,MATCH($D2537,Workers!$A$5:$A$2004,0)),"NOT FOUND"))</f>
        <v/>
      </c>
      <c r="J2537" s="24" t="str">
        <f aca="false">IF($D2537="","",IFERROR(INDEX(Workers!$C$5:$C$2004,MATCH($D2537,Workers!$A$5:$A$2004,0)),""))</f>
        <v/>
      </c>
      <c r="K2537" s="24" t="str">
        <f aca="false">IF($D2537="","",IFERROR(IF(INDEX(Workers!$D$5:$D$2004,MATCH($D2537,Workers!$A$5:$A$2004,0))=0,"",INDEX(Workers!$D$5:$D$2004,MATCH($D2537,Workers!$A$5:$A$2004,0))),""))</f>
        <v/>
      </c>
      <c r="L2537" s="24" t="str">
        <f aca="false">IF($D2537="","",IFERROR(INDEX(Workers!$E$5:$E$2004,MATCH($D2537,Workers!$A$5:$A$2004,0)),""))</f>
        <v/>
      </c>
      <c r="M2537" s="26" t="str">
        <f aca="false">IF($D2537="","",IFERROR(INDEX(ClientRates!$D$5:$D$500,MATCH($B2537&amp;"|"&amp;$L2537,ClientRates!$A$5:$A$500,0)),0))</f>
        <v/>
      </c>
      <c r="N2537" s="26" t="str">
        <f aca="false">IF($D2537="","",IFERROR(INDEX(ClientRates!$E$5:$E$500,MATCH($B2537&amp;"|"&amp;$L2537,ClientRates!$A$5:$A$500,0)),0))</f>
        <v/>
      </c>
      <c r="O2537" s="26" t="str">
        <f aca="false">IF($D2537="","",F2537*M2537+G2537*N2537)</f>
        <v/>
      </c>
      <c r="P2537" s="26" t="str">
        <f aca="false">IF(OR($D2537="",$J2537&lt;&gt;"Supplier"),"",IFERROR(INDEX(SupplierRates!$D$5:$D$500,MATCH($K2537&amp;"|"&amp;$L2537,SupplierRates!$A$5:$A$500,0)),0))</f>
        <v/>
      </c>
      <c r="Q2537" s="26" t="str">
        <f aca="false">IF(OR($D2537="",$J2537&lt;&gt;"Supplier"),"",IFERROR(INDEX(SupplierRates!$E$5:$E$500,MATCH($K2537&amp;"|"&amp;$L2537,SupplierRates!$A$5:$A$500,0)),0))</f>
        <v/>
      </c>
      <c r="R2537" s="26" t="n">
        <f aca="false">IF(OR($D2537="",$J2537&lt;&gt;"Supplier"),0,F2537*P2537+G2537*Q2537)</f>
        <v>0</v>
      </c>
      <c r="S2537" s="26" t="n">
        <f aca="false">IF(OR($D2537="",$J2537&lt;&gt;"Own"),0,IFERROR((F2537+G2537*Settings!$B$13)*INDEX(Workers!$V$5:$V$2004,MATCH($D2537,Workers!$A$5:$A$2004,0)),0))</f>
        <v>0</v>
      </c>
      <c r="T2537" s="26" t="str">
        <f aca="false">IF($D2537="","",O2537-R2537-S2537)</f>
        <v/>
      </c>
    </row>
    <row r="2538" customFormat="false" ht="15" hidden="false" customHeight="false" outlineLevel="0" collapsed="false">
      <c r="I2538" s="24" t="str">
        <f aca="false">IF($D2538="","",IFERROR(INDEX(Workers!$B$5:$B$2004,MATCH($D2538,Workers!$A$5:$A$2004,0)),"NOT FOUND"))</f>
        <v/>
      </c>
      <c r="J2538" s="24" t="str">
        <f aca="false">IF($D2538="","",IFERROR(INDEX(Workers!$C$5:$C$2004,MATCH($D2538,Workers!$A$5:$A$2004,0)),""))</f>
        <v/>
      </c>
      <c r="K2538" s="24" t="str">
        <f aca="false">IF($D2538="","",IFERROR(IF(INDEX(Workers!$D$5:$D$2004,MATCH($D2538,Workers!$A$5:$A$2004,0))=0,"",INDEX(Workers!$D$5:$D$2004,MATCH($D2538,Workers!$A$5:$A$2004,0))),""))</f>
        <v/>
      </c>
      <c r="L2538" s="24" t="str">
        <f aca="false">IF($D2538="","",IFERROR(INDEX(Workers!$E$5:$E$2004,MATCH($D2538,Workers!$A$5:$A$2004,0)),""))</f>
        <v/>
      </c>
      <c r="M2538" s="26" t="str">
        <f aca="false">IF($D2538="","",IFERROR(INDEX(ClientRates!$D$5:$D$500,MATCH($B2538&amp;"|"&amp;$L2538,ClientRates!$A$5:$A$500,0)),0))</f>
        <v/>
      </c>
      <c r="N2538" s="26" t="str">
        <f aca="false">IF($D2538="","",IFERROR(INDEX(ClientRates!$E$5:$E$500,MATCH($B2538&amp;"|"&amp;$L2538,ClientRates!$A$5:$A$500,0)),0))</f>
        <v/>
      </c>
      <c r="O2538" s="26" t="str">
        <f aca="false">IF($D2538="","",F2538*M2538+G2538*N2538)</f>
        <v/>
      </c>
      <c r="P2538" s="26" t="str">
        <f aca="false">IF(OR($D2538="",$J2538&lt;&gt;"Supplier"),"",IFERROR(INDEX(SupplierRates!$D$5:$D$500,MATCH($K2538&amp;"|"&amp;$L2538,SupplierRates!$A$5:$A$500,0)),0))</f>
        <v/>
      </c>
      <c r="Q2538" s="26" t="str">
        <f aca="false">IF(OR($D2538="",$J2538&lt;&gt;"Supplier"),"",IFERROR(INDEX(SupplierRates!$E$5:$E$500,MATCH($K2538&amp;"|"&amp;$L2538,SupplierRates!$A$5:$A$500,0)),0))</f>
        <v/>
      </c>
      <c r="R2538" s="26" t="n">
        <f aca="false">IF(OR($D2538="",$J2538&lt;&gt;"Supplier"),0,F2538*P2538+G2538*Q2538)</f>
        <v>0</v>
      </c>
      <c r="S2538" s="26" t="n">
        <f aca="false">IF(OR($D2538="",$J2538&lt;&gt;"Own"),0,IFERROR((F2538+G2538*Settings!$B$13)*INDEX(Workers!$V$5:$V$2004,MATCH($D2538,Workers!$A$5:$A$2004,0)),0))</f>
        <v>0</v>
      </c>
      <c r="T2538" s="26" t="str">
        <f aca="false">IF($D2538="","",O2538-R2538-S2538)</f>
        <v/>
      </c>
    </row>
    <row r="2539" customFormat="false" ht="15" hidden="false" customHeight="false" outlineLevel="0" collapsed="false">
      <c r="I2539" s="24" t="str">
        <f aca="false">IF($D2539="","",IFERROR(INDEX(Workers!$B$5:$B$2004,MATCH($D2539,Workers!$A$5:$A$2004,0)),"NOT FOUND"))</f>
        <v/>
      </c>
      <c r="J2539" s="24" t="str">
        <f aca="false">IF($D2539="","",IFERROR(INDEX(Workers!$C$5:$C$2004,MATCH($D2539,Workers!$A$5:$A$2004,0)),""))</f>
        <v/>
      </c>
      <c r="K2539" s="24" t="str">
        <f aca="false">IF($D2539="","",IFERROR(IF(INDEX(Workers!$D$5:$D$2004,MATCH($D2539,Workers!$A$5:$A$2004,0))=0,"",INDEX(Workers!$D$5:$D$2004,MATCH($D2539,Workers!$A$5:$A$2004,0))),""))</f>
        <v/>
      </c>
      <c r="L2539" s="24" t="str">
        <f aca="false">IF($D2539="","",IFERROR(INDEX(Workers!$E$5:$E$2004,MATCH($D2539,Workers!$A$5:$A$2004,0)),""))</f>
        <v/>
      </c>
      <c r="M2539" s="26" t="str">
        <f aca="false">IF($D2539="","",IFERROR(INDEX(ClientRates!$D$5:$D$500,MATCH($B2539&amp;"|"&amp;$L2539,ClientRates!$A$5:$A$500,0)),0))</f>
        <v/>
      </c>
      <c r="N2539" s="26" t="str">
        <f aca="false">IF($D2539="","",IFERROR(INDEX(ClientRates!$E$5:$E$500,MATCH($B2539&amp;"|"&amp;$L2539,ClientRates!$A$5:$A$500,0)),0))</f>
        <v/>
      </c>
      <c r="O2539" s="26" t="str">
        <f aca="false">IF($D2539="","",F2539*M2539+G2539*N2539)</f>
        <v/>
      </c>
      <c r="P2539" s="26" t="str">
        <f aca="false">IF(OR($D2539="",$J2539&lt;&gt;"Supplier"),"",IFERROR(INDEX(SupplierRates!$D$5:$D$500,MATCH($K2539&amp;"|"&amp;$L2539,SupplierRates!$A$5:$A$500,0)),0))</f>
        <v/>
      </c>
      <c r="Q2539" s="26" t="str">
        <f aca="false">IF(OR($D2539="",$J2539&lt;&gt;"Supplier"),"",IFERROR(INDEX(SupplierRates!$E$5:$E$500,MATCH($K2539&amp;"|"&amp;$L2539,SupplierRates!$A$5:$A$500,0)),0))</f>
        <v/>
      </c>
      <c r="R2539" s="26" t="n">
        <f aca="false">IF(OR($D2539="",$J2539&lt;&gt;"Supplier"),0,F2539*P2539+G2539*Q2539)</f>
        <v>0</v>
      </c>
      <c r="S2539" s="26" t="n">
        <f aca="false">IF(OR($D2539="",$J2539&lt;&gt;"Own"),0,IFERROR((F2539+G2539*Settings!$B$13)*INDEX(Workers!$V$5:$V$2004,MATCH($D2539,Workers!$A$5:$A$2004,0)),0))</f>
        <v>0</v>
      </c>
      <c r="T2539" s="26" t="str">
        <f aca="false">IF($D2539="","",O2539-R2539-S2539)</f>
        <v/>
      </c>
    </row>
    <row r="2540" customFormat="false" ht="15" hidden="false" customHeight="false" outlineLevel="0" collapsed="false">
      <c r="I2540" s="24" t="str">
        <f aca="false">IF($D2540="","",IFERROR(INDEX(Workers!$B$5:$B$2004,MATCH($D2540,Workers!$A$5:$A$2004,0)),"NOT FOUND"))</f>
        <v/>
      </c>
      <c r="J2540" s="24" t="str">
        <f aca="false">IF($D2540="","",IFERROR(INDEX(Workers!$C$5:$C$2004,MATCH($D2540,Workers!$A$5:$A$2004,0)),""))</f>
        <v/>
      </c>
      <c r="K2540" s="24" t="str">
        <f aca="false">IF($D2540="","",IFERROR(IF(INDEX(Workers!$D$5:$D$2004,MATCH($D2540,Workers!$A$5:$A$2004,0))=0,"",INDEX(Workers!$D$5:$D$2004,MATCH($D2540,Workers!$A$5:$A$2004,0))),""))</f>
        <v/>
      </c>
      <c r="L2540" s="24" t="str">
        <f aca="false">IF($D2540="","",IFERROR(INDEX(Workers!$E$5:$E$2004,MATCH($D2540,Workers!$A$5:$A$2004,0)),""))</f>
        <v/>
      </c>
      <c r="M2540" s="26" t="str">
        <f aca="false">IF($D2540="","",IFERROR(INDEX(ClientRates!$D$5:$D$500,MATCH($B2540&amp;"|"&amp;$L2540,ClientRates!$A$5:$A$500,0)),0))</f>
        <v/>
      </c>
      <c r="N2540" s="26" t="str">
        <f aca="false">IF($D2540="","",IFERROR(INDEX(ClientRates!$E$5:$E$500,MATCH($B2540&amp;"|"&amp;$L2540,ClientRates!$A$5:$A$500,0)),0))</f>
        <v/>
      </c>
      <c r="O2540" s="26" t="str">
        <f aca="false">IF($D2540="","",F2540*M2540+G2540*N2540)</f>
        <v/>
      </c>
      <c r="P2540" s="26" t="str">
        <f aca="false">IF(OR($D2540="",$J2540&lt;&gt;"Supplier"),"",IFERROR(INDEX(SupplierRates!$D$5:$D$500,MATCH($K2540&amp;"|"&amp;$L2540,SupplierRates!$A$5:$A$500,0)),0))</f>
        <v/>
      </c>
      <c r="Q2540" s="26" t="str">
        <f aca="false">IF(OR($D2540="",$J2540&lt;&gt;"Supplier"),"",IFERROR(INDEX(SupplierRates!$E$5:$E$500,MATCH($K2540&amp;"|"&amp;$L2540,SupplierRates!$A$5:$A$500,0)),0))</f>
        <v/>
      </c>
      <c r="R2540" s="26" t="n">
        <f aca="false">IF(OR($D2540="",$J2540&lt;&gt;"Supplier"),0,F2540*P2540+G2540*Q2540)</f>
        <v>0</v>
      </c>
      <c r="S2540" s="26" t="n">
        <f aca="false">IF(OR($D2540="",$J2540&lt;&gt;"Own"),0,IFERROR((F2540+G2540*Settings!$B$13)*INDEX(Workers!$V$5:$V$2004,MATCH($D2540,Workers!$A$5:$A$2004,0)),0))</f>
        <v>0</v>
      </c>
      <c r="T2540" s="26" t="str">
        <f aca="false">IF($D2540="","",O2540-R2540-S2540)</f>
        <v/>
      </c>
    </row>
    <row r="2541" customFormat="false" ht="15" hidden="false" customHeight="false" outlineLevel="0" collapsed="false">
      <c r="I2541" s="24" t="str">
        <f aca="false">IF($D2541="","",IFERROR(INDEX(Workers!$B$5:$B$2004,MATCH($D2541,Workers!$A$5:$A$2004,0)),"NOT FOUND"))</f>
        <v/>
      </c>
      <c r="J2541" s="24" t="str">
        <f aca="false">IF($D2541="","",IFERROR(INDEX(Workers!$C$5:$C$2004,MATCH($D2541,Workers!$A$5:$A$2004,0)),""))</f>
        <v/>
      </c>
      <c r="K2541" s="24" t="str">
        <f aca="false">IF($D2541="","",IFERROR(IF(INDEX(Workers!$D$5:$D$2004,MATCH($D2541,Workers!$A$5:$A$2004,0))=0,"",INDEX(Workers!$D$5:$D$2004,MATCH($D2541,Workers!$A$5:$A$2004,0))),""))</f>
        <v/>
      </c>
      <c r="L2541" s="24" t="str">
        <f aca="false">IF($D2541="","",IFERROR(INDEX(Workers!$E$5:$E$2004,MATCH($D2541,Workers!$A$5:$A$2004,0)),""))</f>
        <v/>
      </c>
      <c r="M2541" s="26" t="str">
        <f aca="false">IF($D2541="","",IFERROR(INDEX(ClientRates!$D$5:$D$500,MATCH($B2541&amp;"|"&amp;$L2541,ClientRates!$A$5:$A$500,0)),0))</f>
        <v/>
      </c>
      <c r="N2541" s="26" t="str">
        <f aca="false">IF($D2541="","",IFERROR(INDEX(ClientRates!$E$5:$E$500,MATCH($B2541&amp;"|"&amp;$L2541,ClientRates!$A$5:$A$500,0)),0))</f>
        <v/>
      </c>
      <c r="O2541" s="26" t="str">
        <f aca="false">IF($D2541="","",F2541*M2541+G2541*N2541)</f>
        <v/>
      </c>
      <c r="P2541" s="26" t="str">
        <f aca="false">IF(OR($D2541="",$J2541&lt;&gt;"Supplier"),"",IFERROR(INDEX(SupplierRates!$D$5:$D$500,MATCH($K2541&amp;"|"&amp;$L2541,SupplierRates!$A$5:$A$500,0)),0))</f>
        <v/>
      </c>
      <c r="Q2541" s="26" t="str">
        <f aca="false">IF(OR($D2541="",$J2541&lt;&gt;"Supplier"),"",IFERROR(INDEX(SupplierRates!$E$5:$E$500,MATCH($K2541&amp;"|"&amp;$L2541,SupplierRates!$A$5:$A$500,0)),0))</f>
        <v/>
      </c>
      <c r="R2541" s="26" t="n">
        <f aca="false">IF(OR($D2541="",$J2541&lt;&gt;"Supplier"),0,F2541*P2541+G2541*Q2541)</f>
        <v>0</v>
      </c>
      <c r="S2541" s="26" t="n">
        <f aca="false">IF(OR($D2541="",$J2541&lt;&gt;"Own"),0,IFERROR((F2541+G2541*Settings!$B$13)*INDEX(Workers!$V$5:$V$2004,MATCH($D2541,Workers!$A$5:$A$2004,0)),0))</f>
        <v>0</v>
      </c>
      <c r="T2541" s="26" t="str">
        <f aca="false">IF($D2541="","",O2541-R2541-S2541)</f>
        <v/>
      </c>
    </row>
    <row r="2542" customFormat="false" ht="15" hidden="false" customHeight="false" outlineLevel="0" collapsed="false">
      <c r="I2542" s="24" t="str">
        <f aca="false">IF($D2542="","",IFERROR(INDEX(Workers!$B$5:$B$2004,MATCH($D2542,Workers!$A$5:$A$2004,0)),"NOT FOUND"))</f>
        <v/>
      </c>
      <c r="J2542" s="24" t="str">
        <f aca="false">IF($D2542="","",IFERROR(INDEX(Workers!$C$5:$C$2004,MATCH($D2542,Workers!$A$5:$A$2004,0)),""))</f>
        <v/>
      </c>
      <c r="K2542" s="24" t="str">
        <f aca="false">IF($D2542="","",IFERROR(IF(INDEX(Workers!$D$5:$D$2004,MATCH($D2542,Workers!$A$5:$A$2004,0))=0,"",INDEX(Workers!$D$5:$D$2004,MATCH($D2542,Workers!$A$5:$A$2004,0))),""))</f>
        <v/>
      </c>
      <c r="L2542" s="24" t="str">
        <f aca="false">IF($D2542="","",IFERROR(INDEX(Workers!$E$5:$E$2004,MATCH($D2542,Workers!$A$5:$A$2004,0)),""))</f>
        <v/>
      </c>
      <c r="M2542" s="26" t="str">
        <f aca="false">IF($D2542="","",IFERROR(INDEX(ClientRates!$D$5:$D$500,MATCH($B2542&amp;"|"&amp;$L2542,ClientRates!$A$5:$A$500,0)),0))</f>
        <v/>
      </c>
      <c r="N2542" s="26" t="str">
        <f aca="false">IF($D2542="","",IFERROR(INDEX(ClientRates!$E$5:$E$500,MATCH($B2542&amp;"|"&amp;$L2542,ClientRates!$A$5:$A$500,0)),0))</f>
        <v/>
      </c>
      <c r="O2542" s="26" t="str">
        <f aca="false">IF($D2542="","",F2542*M2542+G2542*N2542)</f>
        <v/>
      </c>
      <c r="P2542" s="26" t="str">
        <f aca="false">IF(OR($D2542="",$J2542&lt;&gt;"Supplier"),"",IFERROR(INDEX(SupplierRates!$D$5:$D$500,MATCH($K2542&amp;"|"&amp;$L2542,SupplierRates!$A$5:$A$500,0)),0))</f>
        <v/>
      </c>
      <c r="Q2542" s="26" t="str">
        <f aca="false">IF(OR($D2542="",$J2542&lt;&gt;"Supplier"),"",IFERROR(INDEX(SupplierRates!$E$5:$E$500,MATCH($K2542&amp;"|"&amp;$L2542,SupplierRates!$A$5:$A$500,0)),0))</f>
        <v/>
      </c>
      <c r="R2542" s="26" t="n">
        <f aca="false">IF(OR($D2542="",$J2542&lt;&gt;"Supplier"),0,F2542*P2542+G2542*Q2542)</f>
        <v>0</v>
      </c>
      <c r="S2542" s="26" t="n">
        <f aca="false">IF(OR($D2542="",$J2542&lt;&gt;"Own"),0,IFERROR((F2542+G2542*Settings!$B$13)*INDEX(Workers!$V$5:$V$2004,MATCH($D2542,Workers!$A$5:$A$2004,0)),0))</f>
        <v>0</v>
      </c>
      <c r="T2542" s="26" t="str">
        <f aca="false">IF($D2542="","",O2542-R2542-S2542)</f>
        <v/>
      </c>
    </row>
    <row r="2543" customFormat="false" ht="15" hidden="false" customHeight="false" outlineLevel="0" collapsed="false">
      <c r="I2543" s="24" t="str">
        <f aca="false">IF($D2543="","",IFERROR(INDEX(Workers!$B$5:$B$2004,MATCH($D2543,Workers!$A$5:$A$2004,0)),"NOT FOUND"))</f>
        <v/>
      </c>
      <c r="J2543" s="24" t="str">
        <f aca="false">IF($D2543="","",IFERROR(INDEX(Workers!$C$5:$C$2004,MATCH($D2543,Workers!$A$5:$A$2004,0)),""))</f>
        <v/>
      </c>
      <c r="K2543" s="24" t="str">
        <f aca="false">IF($D2543="","",IFERROR(IF(INDEX(Workers!$D$5:$D$2004,MATCH($D2543,Workers!$A$5:$A$2004,0))=0,"",INDEX(Workers!$D$5:$D$2004,MATCH($D2543,Workers!$A$5:$A$2004,0))),""))</f>
        <v/>
      </c>
      <c r="L2543" s="24" t="str">
        <f aca="false">IF($D2543="","",IFERROR(INDEX(Workers!$E$5:$E$2004,MATCH($D2543,Workers!$A$5:$A$2004,0)),""))</f>
        <v/>
      </c>
      <c r="M2543" s="26" t="str">
        <f aca="false">IF($D2543="","",IFERROR(INDEX(ClientRates!$D$5:$D$500,MATCH($B2543&amp;"|"&amp;$L2543,ClientRates!$A$5:$A$500,0)),0))</f>
        <v/>
      </c>
      <c r="N2543" s="26" t="str">
        <f aca="false">IF($D2543="","",IFERROR(INDEX(ClientRates!$E$5:$E$500,MATCH($B2543&amp;"|"&amp;$L2543,ClientRates!$A$5:$A$500,0)),0))</f>
        <v/>
      </c>
      <c r="O2543" s="26" t="str">
        <f aca="false">IF($D2543="","",F2543*M2543+G2543*N2543)</f>
        <v/>
      </c>
      <c r="P2543" s="26" t="str">
        <f aca="false">IF(OR($D2543="",$J2543&lt;&gt;"Supplier"),"",IFERROR(INDEX(SupplierRates!$D$5:$D$500,MATCH($K2543&amp;"|"&amp;$L2543,SupplierRates!$A$5:$A$500,0)),0))</f>
        <v/>
      </c>
      <c r="Q2543" s="26" t="str">
        <f aca="false">IF(OR($D2543="",$J2543&lt;&gt;"Supplier"),"",IFERROR(INDEX(SupplierRates!$E$5:$E$500,MATCH($K2543&amp;"|"&amp;$L2543,SupplierRates!$A$5:$A$500,0)),0))</f>
        <v/>
      </c>
      <c r="R2543" s="26" t="n">
        <f aca="false">IF(OR($D2543="",$J2543&lt;&gt;"Supplier"),0,F2543*P2543+G2543*Q2543)</f>
        <v>0</v>
      </c>
      <c r="S2543" s="26" t="n">
        <f aca="false">IF(OR($D2543="",$J2543&lt;&gt;"Own"),0,IFERROR((F2543+G2543*Settings!$B$13)*INDEX(Workers!$V$5:$V$2004,MATCH($D2543,Workers!$A$5:$A$2004,0)),0))</f>
        <v>0</v>
      </c>
      <c r="T2543" s="26" t="str">
        <f aca="false">IF($D2543="","",O2543-R2543-S2543)</f>
        <v/>
      </c>
    </row>
    <row r="2544" customFormat="false" ht="15" hidden="false" customHeight="false" outlineLevel="0" collapsed="false">
      <c r="I2544" s="24" t="str">
        <f aca="false">IF($D2544="","",IFERROR(INDEX(Workers!$B$5:$B$2004,MATCH($D2544,Workers!$A$5:$A$2004,0)),"NOT FOUND"))</f>
        <v/>
      </c>
      <c r="J2544" s="24" t="str">
        <f aca="false">IF($D2544="","",IFERROR(INDEX(Workers!$C$5:$C$2004,MATCH($D2544,Workers!$A$5:$A$2004,0)),""))</f>
        <v/>
      </c>
      <c r="K2544" s="24" t="str">
        <f aca="false">IF($D2544="","",IFERROR(IF(INDEX(Workers!$D$5:$D$2004,MATCH($D2544,Workers!$A$5:$A$2004,0))=0,"",INDEX(Workers!$D$5:$D$2004,MATCH($D2544,Workers!$A$5:$A$2004,0))),""))</f>
        <v/>
      </c>
      <c r="L2544" s="24" t="str">
        <f aca="false">IF($D2544="","",IFERROR(INDEX(Workers!$E$5:$E$2004,MATCH($D2544,Workers!$A$5:$A$2004,0)),""))</f>
        <v/>
      </c>
      <c r="M2544" s="26" t="str">
        <f aca="false">IF($D2544="","",IFERROR(INDEX(ClientRates!$D$5:$D$500,MATCH($B2544&amp;"|"&amp;$L2544,ClientRates!$A$5:$A$500,0)),0))</f>
        <v/>
      </c>
      <c r="N2544" s="26" t="str">
        <f aca="false">IF($D2544="","",IFERROR(INDEX(ClientRates!$E$5:$E$500,MATCH($B2544&amp;"|"&amp;$L2544,ClientRates!$A$5:$A$500,0)),0))</f>
        <v/>
      </c>
      <c r="O2544" s="26" t="str">
        <f aca="false">IF($D2544="","",F2544*M2544+G2544*N2544)</f>
        <v/>
      </c>
      <c r="P2544" s="26" t="str">
        <f aca="false">IF(OR($D2544="",$J2544&lt;&gt;"Supplier"),"",IFERROR(INDEX(SupplierRates!$D$5:$D$500,MATCH($K2544&amp;"|"&amp;$L2544,SupplierRates!$A$5:$A$500,0)),0))</f>
        <v/>
      </c>
      <c r="Q2544" s="26" t="str">
        <f aca="false">IF(OR($D2544="",$J2544&lt;&gt;"Supplier"),"",IFERROR(INDEX(SupplierRates!$E$5:$E$500,MATCH($K2544&amp;"|"&amp;$L2544,SupplierRates!$A$5:$A$500,0)),0))</f>
        <v/>
      </c>
      <c r="R2544" s="26" t="n">
        <f aca="false">IF(OR($D2544="",$J2544&lt;&gt;"Supplier"),0,F2544*P2544+G2544*Q2544)</f>
        <v>0</v>
      </c>
      <c r="S2544" s="26" t="n">
        <f aca="false">IF(OR($D2544="",$J2544&lt;&gt;"Own"),0,IFERROR((F2544+G2544*Settings!$B$13)*INDEX(Workers!$V$5:$V$2004,MATCH($D2544,Workers!$A$5:$A$2004,0)),0))</f>
        <v>0</v>
      </c>
      <c r="T2544" s="26" t="str">
        <f aca="false">IF($D2544="","",O2544-R2544-S2544)</f>
        <v/>
      </c>
    </row>
    <row r="2545" customFormat="false" ht="15" hidden="false" customHeight="false" outlineLevel="0" collapsed="false">
      <c r="I2545" s="24" t="str">
        <f aca="false">IF($D2545="","",IFERROR(INDEX(Workers!$B$5:$B$2004,MATCH($D2545,Workers!$A$5:$A$2004,0)),"NOT FOUND"))</f>
        <v/>
      </c>
      <c r="J2545" s="24" t="str">
        <f aca="false">IF($D2545="","",IFERROR(INDEX(Workers!$C$5:$C$2004,MATCH($D2545,Workers!$A$5:$A$2004,0)),""))</f>
        <v/>
      </c>
      <c r="K2545" s="24" t="str">
        <f aca="false">IF($D2545="","",IFERROR(IF(INDEX(Workers!$D$5:$D$2004,MATCH($D2545,Workers!$A$5:$A$2004,0))=0,"",INDEX(Workers!$D$5:$D$2004,MATCH($D2545,Workers!$A$5:$A$2004,0))),""))</f>
        <v/>
      </c>
      <c r="L2545" s="24" t="str">
        <f aca="false">IF($D2545="","",IFERROR(INDEX(Workers!$E$5:$E$2004,MATCH($D2545,Workers!$A$5:$A$2004,0)),""))</f>
        <v/>
      </c>
      <c r="M2545" s="26" t="str">
        <f aca="false">IF($D2545="","",IFERROR(INDEX(ClientRates!$D$5:$D$500,MATCH($B2545&amp;"|"&amp;$L2545,ClientRates!$A$5:$A$500,0)),0))</f>
        <v/>
      </c>
      <c r="N2545" s="26" t="str">
        <f aca="false">IF($D2545="","",IFERROR(INDEX(ClientRates!$E$5:$E$500,MATCH($B2545&amp;"|"&amp;$L2545,ClientRates!$A$5:$A$500,0)),0))</f>
        <v/>
      </c>
      <c r="O2545" s="26" t="str">
        <f aca="false">IF($D2545="","",F2545*M2545+G2545*N2545)</f>
        <v/>
      </c>
      <c r="P2545" s="26" t="str">
        <f aca="false">IF(OR($D2545="",$J2545&lt;&gt;"Supplier"),"",IFERROR(INDEX(SupplierRates!$D$5:$D$500,MATCH($K2545&amp;"|"&amp;$L2545,SupplierRates!$A$5:$A$500,0)),0))</f>
        <v/>
      </c>
      <c r="Q2545" s="26" t="str">
        <f aca="false">IF(OR($D2545="",$J2545&lt;&gt;"Supplier"),"",IFERROR(INDEX(SupplierRates!$E$5:$E$500,MATCH($K2545&amp;"|"&amp;$L2545,SupplierRates!$A$5:$A$500,0)),0))</f>
        <v/>
      </c>
      <c r="R2545" s="26" t="n">
        <f aca="false">IF(OR($D2545="",$J2545&lt;&gt;"Supplier"),0,F2545*P2545+G2545*Q2545)</f>
        <v>0</v>
      </c>
      <c r="S2545" s="26" t="n">
        <f aca="false">IF(OR($D2545="",$J2545&lt;&gt;"Own"),0,IFERROR((F2545+G2545*Settings!$B$13)*INDEX(Workers!$V$5:$V$2004,MATCH($D2545,Workers!$A$5:$A$2004,0)),0))</f>
        <v>0</v>
      </c>
      <c r="T2545" s="26" t="str">
        <f aca="false">IF($D2545="","",O2545-R2545-S2545)</f>
        <v/>
      </c>
    </row>
    <row r="2546" customFormat="false" ht="15" hidden="false" customHeight="false" outlineLevel="0" collapsed="false">
      <c r="I2546" s="24" t="str">
        <f aca="false">IF($D2546="","",IFERROR(INDEX(Workers!$B$5:$B$2004,MATCH($D2546,Workers!$A$5:$A$2004,0)),"NOT FOUND"))</f>
        <v/>
      </c>
      <c r="J2546" s="24" t="str">
        <f aca="false">IF($D2546="","",IFERROR(INDEX(Workers!$C$5:$C$2004,MATCH($D2546,Workers!$A$5:$A$2004,0)),""))</f>
        <v/>
      </c>
      <c r="K2546" s="24" t="str">
        <f aca="false">IF($D2546="","",IFERROR(IF(INDEX(Workers!$D$5:$D$2004,MATCH($D2546,Workers!$A$5:$A$2004,0))=0,"",INDEX(Workers!$D$5:$D$2004,MATCH($D2546,Workers!$A$5:$A$2004,0))),""))</f>
        <v/>
      </c>
      <c r="L2546" s="24" t="str">
        <f aca="false">IF($D2546="","",IFERROR(INDEX(Workers!$E$5:$E$2004,MATCH($D2546,Workers!$A$5:$A$2004,0)),""))</f>
        <v/>
      </c>
      <c r="M2546" s="26" t="str">
        <f aca="false">IF($D2546="","",IFERROR(INDEX(ClientRates!$D$5:$D$500,MATCH($B2546&amp;"|"&amp;$L2546,ClientRates!$A$5:$A$500,0)),0))</f>
        <v/>
      </c>
      <c r="N2546" s="26" t="str">
        <f aca="false">IF($D2546="","",IFERROR(INDEX(ClientRates!$E$5:$E$500,MATCH($B2546&amp;"|"&amp;$L2546,ClientRates!$A$5:$A$500,0)),0))</f>
        <v/>
      </c>
      <c r="O2546" s="26" t="str">
        <f aca="false">IF($D2546="","",F2546*M2546+G2546*N2546)</f>
        <v/>
      </c>
      <c r="P2546" s="26" t="str">
        <f aca="false">IF(OR($D2546="",$J2546&lt;&gt;"Supplier"),"",IFERROR(INDEX(SupplierRates!$D$5:$D$500,MATCH($K2546&amp;"|"&amp;$L2546,SupplierRates!$A$5:$A$500,0)),0))</f>
        <v/>
      </c>
      <c r="Q2546" s="26" t="str">
        <f aca="false">IF(OR($D2546="",$J2546&lt;&gt;"Supplier"),"",IFERROR(INDEX(SupplierRates!$E$5:$E$500,MATCH($K2546&amp;"|"&amp;$L2546,SupplierRates!$A$5:$A$500,0)),0))</f>
        <v/>
      </c>
      <c r="R2546" s="26" t="n">
        <f aca="false">IF(OR($D2546="",$J2546&lt;&gt;"Supplier"),0,F2546*P2546+G2546*Q2546)</f>
        <v>0</v>
      </c>
      <c r="S2546" s="26" t="n">
        <f aca="false">IF(OR($D2546="",$J2546&lt;&gt;"Own"),0,IFERROR((F2546+G2546*Settings!$B$13)*INDEX(Workers!$V$5:$V$2004,MATCH($D2546,Workers!$A$5:$A$2004,0)),0))</f>
        <v>0</v>
      </c>
      <c r="T2546" s="26" t="str">
        <f aca="false">IF($D2546="","",O2546-R2546-S2546)</f>
        <v/>
      </c>
    </row>
    <row r="2547" customFormat="false" ht="15" hidden="false" customHeight="false" outlineLevel="0" collapsed="false">
      <c r="I2547" s="24" t="str">
        <f aca="false">IF($D2547="","",IFERROR(INDEX(Workers!$B$5:$B$2004,MATCH($D2547,Workers!$A$5:$A$2004,0)),"NOT FOUND"))</f>
        <v/>
      </c>
      <c r="J2547" s="24" t="str">
        <f aca="false">IF($D2547="","",IFERROR(INDEX(Workers!$C$5:$C$2004,MATCH($D2547,Workers!$A$5:$A$2004,0)),""))</f>
        <v/>
      </c>
      <c r="K2547" s="24" t="str">
        <f aca="false">IF($D2547="","",IFERROR(IF(INDEX(Workers!$D$5:$D$2004,MATCH($D2547,Workers!$A$5:$A$2004,0))=0,"",INDEX(Workers!$D$5:$D$2004,MATCH($D2547,Workers!$A$5:$A$2004,0))),""))</f>
        <v/>
      </c>
      <c r="L2547" s="24" t="str">
        <f aca="false">IF($D2547="","",IFERROR(INDEX(Workers!$E$5:$E$2004,MATCH($D2547,Workers!$A$5:$A$2004,0)),""))</f>
        <v/>
      </c>
      <c r="M2547" s="26" t="str">
        <f aca="false">IF($D2547="","",IFERROR(INDEX(ClientRates!$D$5:$D$500,MATCH($B2547&amp;"|"&amp;$L2547,ClientRates!$A$5:$A$500,0)),0))</f>
        <v/>
      </c>
      <c r="N2547" s="26" t="str">
        <f aca="false">IF($D2547="","",IFERROR(INDEX(ClientRates!$E$5:$E$500,MATCH($B2547&amp;"|"&amp;$L2547,ClientRates!$A$5:$A$500,0)),0))</f>
        <v/>
      </c>
      <c r="O2547" s="26" t="str">
        <f aca="false">IF($D2547="","",F2547*M2547+G2547*N2547)</f>
        <v/>
      </c>
      <c r="P2547" s="26" t="str">
        <f aca="false">IF(OR($D2547="",$J2547&lt;&gt;"Supplier"),"",IFERROR(INDEX(SupplierRates!$D$5:$D$500,MATCH($K2547&amp;"|"&amp;$L2547,SupplierRates!$A$5:$A$500,0)),0))</f>
        <v/>
      </c>
      <c r="Q2547" s="26" t="str">
        <f aca="false">IF(OR($D2547="",$J2547&lt;&gt;"Supplier"),"",IFERROR(INDEX(SupplierRates!$E$5:$E$500,MATCH($K2547&amp;"|"&amp;$L2547,SupplierRates!$A$5:$A$500,0)),0))</f>
        <v/>
      </c>
      <c r="R2547" s="26" t="n">
        <f aca="false">IF(OR($D2547="",$J2547&lt;&gt;"Supplier"),0,F2547*P2547+G2547*Q2547)</f>
        <v>0</v>
      </c>
      <c r="S2547" s="26" t="n">
        <f aca="false">IF(OR($D2547="",$J2547&lt;&gt;"Own"),0,IFERROR((F2547+G2547*Settings!$B$13)*INDEX(Workers!$V$5:$V$2004,MATCH($D2547,Workers!$A$5:$A$2004,0)),0))</f>
        <v>0</v>
      </c>
      <c r="T2547" s="26" t="str">
        <f aca="false">IF($D2547="","",O2547-R2547-S2547)</f>
        <v/>
      </c>
    </row>
    <row r="2548" customFormat="false" ht="15" hidden="false" customHeight="false" outlineLevel="0" collapsed="false">
      <c r="I2548" s="24" t="str">
        <f aca="false">IF($D2548="","",IFERROR(INDEX(Workers!$B$5:$B$2004,MATCH($D2548,Workers!$A$5:$A$2004,0)),"NOT FOUND"))</f>
        <v/>
      </c>
      <c r="J2548" s="24" t="str">
        <f aca="false">IF($D2548="","",IFERROR(INDEX(Workers!$C$5:$C$2004,MATCH($D2548,Workers!$A$5:$A$2004,0)),""))</f>
        <v/>
      </c>
      <c r="K2548" s="24" t="str">
        <f aca="false">IF($D2548="","",IFERROR(IF(INDEX(Workers!$D$5:$D$2004,MATCH($D2548,Workers!$A$5:$A$2004,0))=0,"",INDEX(Workers!$D$5:$D$2004,MATCH($D2548,Workers!$A$5:$A$2004,0))),""))</f>
        <v/>
      </c>
      <c r="L2548" s="24" t="str">
        <f aca="false">IF($D2548="","",IFERROR(INDEX(Workers!$E$5:$E$2004,MATCH($D2548,Workers!$A$5:$A$2004,0)),""))</f>
        <v/>
      </c>
      <c r="M2548" s="26" t="str">
        <f aca="false">IF($D2548="","",IFERROR(INDEX(ClientRates!$D$5:$D$500,MATCH($B2548&amp;"|"&amp;$L2548,ClientRates!$A$5:$A$500,0)),0))</f>
        <v/>
      </c>
      <c r="N2548" s="26" t="str">
        <f aca="false">IF($D2548="","",IFERROR(INDEX(ClientRates!$E$5:$E$500,MATCH($B2548&amp;"|"&amp;$L2548,ClientRates!$A$5:$A$500,0)),0))</f>
        <v/>
      </c>
      <c r="O2548" s="26" t="str">
        <f aca="false">IF($D2548="","",F2548*M2548+G2548*N2548)</f>
        <v/>
      </c>
      <c r="P2548" s="26" t="str">
        <f aca="false">IF(OR($D2548="",$J2548&lt;&gt;"Supplier"),"",IFERROR(INDEX(SupplierRates!$D$5:$D$500,MATCH($K2548&amp;"|"&amp;$L2548,SupplierRates!$A$5:$A$500,0)),0))</f>
        <v/>
      </c>
      <c r="Q2548" s="26" t="str">
        <f aca="false">IF(OR($D2548="",$J2548&lt;&gt;"Supplier"),"",IFERROR(INDEX(SupplierRates!$E$5:$E$500,MATCH($K2548&amp;"|"&amp;$L2548,SupplierRates!$A$5:$A$500,0)),0))</f>
        <v/>
      </c>
      <c r="R2548" s="26" t="n">
        <f aca="false">IF(OR($D2548="",$J2548&lt;&gt;"Supplier"),0,F2548*P2548+G2548*Q2548)</f>
        <v>0</v>
      </c>
      <c r="S2548" s="26" t="n">
        <f aca="false">IF(OR($D2548="",$J2548&lt;&gt;"Own"),0,IFERROR((F2548+G2548*Settings!$B$13)*INDEX(Workers!$V$5:$V$2004,MATCH($D2548,Workers!$A$5:$A$2004,0)),0))</f>
        <v>0</v>
      </c>
      <c r="T2548" s="26" t="str">
        <f aca="false">IF($D2548="","",O2548-R2548-S2548)</f>
        <v/>
      </c>
    </row>
    <row r="2549" customFormat="false" ht="15" hidden="false" customHeight="false" outlineLevel="0" collapsed="false">
      <c r="I2549" s="24" t="str">
        <f aca="false">IF($D2549="","",IFERROR(INDEX(Workers!$B$5:$B$2004,MATCH($D2549,Workers!$A$5:$A$2004,0)),"NOT FOUND"))</f>
        <v/>
      </c>
      <c r="J2549" s="24" t="str">
        <f aca="false">IF($D2549="","",IFERROR(INDEX(Workers!$C$5:$C$2004,MATCH($D2549,Workers!$A$5:$A$2004,0)),""))</f>
        <v/>
      </c>
      <c r="K2549" s="24" t="str">
        <f aca="false">IF($D2549="","",IFERROR(IF(INDEX(Workers!$D$5:$D$2004,MATCH($D2549,Workers!$A$5:$A$2004,0))=0,"",INDEX(Workers!$D$5:$D$2004,MATCH($D2549,Workers!$A$5:$A$2004,0))),""))</f>
        <v/>
      </c>
      <c r="L2549" s="24" t="str">
        <f aca="false">IF($D2549="","",IFERROR(INDEX(Workers!$E$5:$E$2004,MATCH($D2549,Workers!$A$5:$A$2004,0)),""))</f>
        <v/>
      </c>
      <c r="M2549" s="26" t="str">
        <f aca="false">IF($D2549="","",IFERROR(INDEX(ClientRates!$D$5:$D$500,MATCH($B2549&amp;"|"&amp;$L2549,ClientRates!$A$5:$A$500,0)),0))</f>
        <v/>
      </c>
      <c r="N2549" s="26" t="str">
        <f aca="false">IF($D2549="","",IFERROR(INDEX(ClientRates!$E$5:$E$500,MATCH($B2549&amp;"|"&amp;$L2549,ClientRates!$A$5:$A$500,0)),0))</f>
        <v/>
      </c>
      <c r="O2549" s="26" t="str">
        <f aca="false">IF($D2549="","",F2549*M2549+G2549*N2549)</f>
        <v/>
      </c>
      <c r="P2549" s="26" t="str">
        <f aca="false">IF(OR($D2549="",$J2549&lt;&gt;"Supplier"),"",IFERROR(INDEX(SupplierRates!$D$5:$D$500,MATCH($K2549&amp;"|"&amp;$L2549,SupplierRates!$A$5:$A$500,0)),0))</f>
        <v/>
      </c>
      <c r="Q2549" s="26" t="str">
        <f aca="false">IF(OR($D2549="",$J2549&lt;&gt;"Supplier"),"",IFERROR(INDEX(SupplierRates!$E$5:$E$500,MATCH($K2549&amp;"|"&amp;$L2549,SupplierRates!$A$5:$A$500,0)),0))</f>
        <v/>
      </c>
      <c r="R2549" s="26" t="n">
        <f aca="false">IF(OR($D2549="",$J2549&lt;&gt;"Supplier"),0,F2549*P2549+G2549*Q2549)</f>
        <v>0</v>
      </c>
      <c r="S2549" s="26" t="n">
        <f aca="false">IF(OR($D2549="",$J2549&lt;&gt;"Own"),0,IFERROR((F2549+G2549*Settings!$B$13)*INDEX(Workers!$V$5:$V$2004,MATCH($D2549,Workers!$A$5:$A$2004,0)),0))</f>
        <v>0</v>
      </c>
      <c r="T2549" s="26" t="str">
        <f aca="false">IF($D2549="","",O2549-R2549-S2549)</f>
        <v/>
      </c>
    </row>
    <row r="2550" customFormat="false" ht="15" hidden="false" customHeight="false" outlineLevel="0" collapsed="false">
      <c r="I2550" s="24" t="str">
        <f aca="false">IF($D2550="","",IFERROR(INDEX(Workers!$B$5:$B$2004,MATCH($D2550,Workers!$A$5:$A$2004,0)),"NOT FOUND"))</f>
        <v/>
      </c>
      <c r="J2550" s="24" t="str">
        <f aca="false">IF($D2550="","",IFERROR(INDEX(Workers!$C$5:$C$2004,MATCH($D2550,Workers!$A$5:$A$2004,0)),""))</f>
        <v/>
      </c>
      <c r="K2550" s="24" t="str">
        <f aca="false">IF($D2550="","",IFERROR(IF(INDEX(Workers!$D$5:$D$2004,MATCH($D2550,Workers!$A$5:$A$2004,0))=0,"",INDEX(Workers!$D$5:$D$2004,MATCH($D2550,Workers!$A$5:$A$2004,0))),""))</f>
        <v/>
      </c>
      <c r="L2550" s="24" t="str">
        <f aca="false">IF($D2550="","",IFERROR(INDEX(Workers!$E$5:$E$2004,MATCH($D2550,Workers!$A$5:$A$2004,0)),""))</f>
        <v/>
      </c>
      <c r="M2550" s="26" t="str">
        <f aca="false">IF($D2550="","",IFERROR(INDEX(ClientRates!$D$5:$D$500,MATCH($B2550&amp;"|"&amp;$L2550,ClientRates!$A$5:$A$500,0)),0))</f>
        <v/>
      </c>
      <c r="N2550" s="26" t="str">
        <f aca="false">IF($D2550="","",IFERROR(INDEX(ClientRates!$E$5:$E$500,MATCH($B2550&amp;"|"&amp;$L2550,ClientRates!$A$5:$A$500,0)),0))</f>
        <v/>
      </c>
      <c r="O2550" s="26" t="str">
        <f aca="false">IF($D2550="","",F2550*M2550+G2550*N2550)</f>
        <v/>
      </c>
      <c r="P2550" s="26" t="str">
        <f aca="false">IF(OR($D2550="",$J2550&lt;&gt;"Supplier"),"",IFERROR(INDEX(SupplierRates!$D$5:$D$500,MATCH($K2550&amp;"|"&amp;$L2550,SupplierRates!$A$5:$A$500,0)),0))</f>
        <v/>
      </c>
      <c r="Q2550" s="26" t="str">
        <f aca="false">IF(OR($D2550="",$J2550&lt;&gt;"Supplier"),"",IFERROR(INDEX(SupplierRates!$E$5:$E$500,MATCH($K2550&amp;"|"&amp;$L2550,SupplierRates!$A$5:$A$500,0)),0))</f>
        <v/>
      </c>
      <c r="R2550" s="26" t="n">
        <f aca="false">IF(OR($D2550="",$J2550&lt;&gt;"Supplier"),0,F2550*P2550+G2550*Q2550)</f>
        <v>0</v>
      </c>
      <c r="S2550" s="26" t="n">
        <f aca="false">IF(OR($D2550="",$J2550&lt;&gt;"Own"),0,IFERROR((F2550+G2550*Settings!$B$13)*INDEX(Workers!$V$5:$V$2004,MATCH($D2550,Workers!$A$5:$A$2004,0)),0))</f>
        <v>0</v>
      </c>
      <c r="T2550" s="26" t="str">
        <f aca="false">IF($D2550="","",O2550-R2550-S2550)</f>
        <v/>
      </c>
    </row>
    <row r="2551" customFormat="false" ht="15" hidden="false" customHeight="false" outlineLevel="0" collapsed="false">
      <c r="I2551" s="24" t="str">
        <f aca="false">IF($D2551="","",IFERROR(INDEX(Workers!$B$5:$B$2004,MATCH($D2551,Workers!$A$5:$A$2004,0)),"NOT FOUND"))</f>
        <v/>
      </c>
      <c r="J2551" s="24" t="str">
        <f aca="false">IF($D2551="","",IFERROR(INDEX(Workers!$C$5:$C$2004,MATCH($D2551,Workers!$A$5:$A$2004,0)),""))</f>
        <v/>
      </c>
      <c r="K2551" s="24" t="str">
        <f aca="false">IF($D2551="","",IFERROR(IF(INDEX(Workers!$D$5:$D$2004,MATCH($D2551,Workers!$A$5:$A$2004,0))=0,"",INDEX(Workers!$D$5:$D$2004,MATCH($D2551,Workers!$A$5:$A$2004,0))),""))</f>
        <v/>
      </c>
      <c r="L2551" s="24" t="str">
        <f aca="false">IF($D2551="","",IFERROR(INDEX(Workers!$E$5:$E$2004,MATCH($D2551,Workers!$A$5:$A$2004,0)),""))</f>
        <v/>
      </c>
      <c r="M2551" s="26" t="str">
        <f aca="false">IF($D2551="","",IFERROR(INDEX(ClientRates!$D$5:$D$500,MATCH($B2551&amp;"|"&amp;$L2551,ClientRates!$A$5:$A$500,0)),0))</f>
        <v/>
      </c>
      <c r="N2551" s="26" t="str">
        <f aca="false">IF($D2551="","",IFERROR(INDEX(ClientRates!$E$5:$E$500,MATCH($B2551&amp;"|"&amp;$L2551,ClientRates!$A$5:$A$500,0)),0))</f>
        <v/>
      </c>
      <c r="O2551" s="26" t="str">
        <f aca="false">IF($D2551="","",F2551*M2551+G2551*N2551)</f>
        <v/>
      </c>
      <c r="P2551" s="26" t="str">
        <f aca="false">IF(OR($D2551="",$J2551&lt;&gt;"Supplier"),"",IFERROR(INDEX(SupplierRates!$D$5:$D$500,MATCH($K2551&amp;"|"&amp;$L2551,SupplierRates!$A$5:$A$500,0)),0))</f>
        <v/>
      </c>
      <c r="Q2551" s="26" t="str">
        <f aca="false">IF(OR($D2551="",$J2551&lt;&gt;"Supplier"),"",IFERROR(INDEX(SupplierRates!$E$5:$E$500,MATCH($K2551&amp;"|"&amp;$L2551,SupplierRates!$A$5:$A$500,0)),0))</f>
        <v/>
      </c>
      <c r="R2551" s="26" t="n">
        <f aca="false">IF(OR($D2551="",$J2551&lt;&gt;"Supplier"),0,F2551*P2551+G2551*Q2551)</f>
        <v>0</v>
      </c>
      <c r="S2551" s="26" t="n">
        <f aca="false">IF(OR($D2551="",$J2551&lt;&gt;"Own"),0,IFERROR((F2551+G2551*Settings!$B$13)*INDEX(Workers!$V$5:$V$2004,MATCH($D2551,Workers!$A$5:$A$2004,0)),0))</f>
        <v>0</v>
      </c>
      <c r="T2551" s="26" t="str">
        <f aca="false">IF($D2551="","",O2551-R2551-S2551)</f>
        <v/>
      </c>
    </row>
    <row r="2552" customFormat="false" ht="15" hidden="false" customHeight="false" outlineLevel="0" collapsed="false">
      <c r="I2552" s="24" t="str">
        <f aca="false">IF($D2552="","",IFERROR(INDEX(Workers!$B$5:$B$2004,MATCH($D2552,Workers!$A$5:$A$2004,0)),"NOT FOUND"))</f>
        <v/>
      </c>
      <c r="J2552" s="24" t="str">
        <f aca="false">IF($D2552="","",IFERROR(INDEX(Workers!$C$5:$C$2004,MATCH($D2552,Workers!$A$5:$A$2004,0)),""))</f>
        <v/>
      </c>
      <c r="K2552" s="24" t="str">
        <f aca="false">IF($D2552="","",IFERROR(IF(INDEX(Workers!$D$5:$D$2004,MATCH($D2552,Workers!$A$5:$A$2004,0))=0,"",INDEX(Workers!$D$5:$D$2004,MATCH($D2552,Workers!$A$5:$A$2004,0))),""))</f>
        <v/>
      </c>
      <c r="L2552" s="24" t="str">
        <f aca="false">IF($D2552="","",IFERROR(INDEX(Workers!$E$5:$E$2004,MATCH($D2552,Workers!$A$5:$A$2004,0)),""))</f>
        <v/>
      </c>
      <c r="M2552" s="26" t="str">
        <f aca="false">IF($D2552="","",IFERROR(INDEX(ClientRates!$D$5:$D$500,MATCH($B2552&amp;"|"&amp;$L2552,ClientRates!$A$5:$A$500,0)),0))</f>
        <v/>
      </c>
      <c r="N2552" s="26" t="str">
        <f aca="false">IF($D2552="","",IFERROR(INDEX(ClientRates!$E$5:$E$500,MATCH($B2552&amp;"|"&amp;$L2552,ClientRates!$A$5:$A$500,0)),0))</f>
        <v/>
      </c>
      <c r="O2552" s="26" t="str">
        <f aca="false">IF($D2552="","",F2552*M2552+G2552*N2552)</f>
        <v/>
      </c>
      <c r="P2552" s="26" t="str">
        <f aca="false">IF(OR($D2552="",$J2552&lt;&gt;"Supplier"),"",IFERROR(INDEX(SupplierRates!$D$5:$D$500,MATCH($K2552&amp;"|"&amp;$L2552,SupplierRates!$A$5:$A$500,0)),0))</f>
        <v/>
      </c>
      <c r="Q2552" s="26" t="str">
        <f aca="false">IF(OR($D2552="",$J2552&lt;&gt;"Supplier"),"",IFERROR(INDEX(SupplierRates!$E$5:$E$500,MATCH($K2552&amp;"|"&amp;$L2552,SupplierRates!$A$5:$A$500,0)),0))</f>
        <v/>
      </c>
      <c r="R2552" s="26" t="n">
        <f aca="false">IF(OR($D2552="",$J2552&lt;&gt;"Supplier"),0,F2552*P2552+G2552*Q2552)</f>
        <v>0</v>
      </c>
      <c r="S2552" s="26" t="n">
        <f aca="false">IF(OR($D2552="",$J2552&lt;&gt;"Own"),0,IFERROR((F2552+G2552*Settings!$B$13)*INDEX(Workers!$V$5:$V$2004,MATCH($D2552,Workers!$A$5:$A$2004,0)),0))</f>
        <v>0</v>
      </c>
      <c r="T2552" s="26" t="str">
        <f aca="false">IF($D2552="","",O2552-R2552-S2552)</f>
        <v/>
      </c>
    </row>
    <row r="2553" customFormat="false" ht="15" hidden="false" customHeight="false" outlineLevel="0" collapsed="false">
      <c r="I2553" s="24" t="str">
        <f aca="false">IF($D2553="","",IFERROR(INDEX(Workers!$B$5:$B$2004,MATCH($D2553,Workers!$A$5:$A$2004,0)),"NOT FOUND"))</f>
        <v/>
      </c>
      <c r="J2553" s="24" t="str">
        <f aca="false">IF($D2553="","",IFERROR(INDEX(Workers!$C$5:$C$2004,MATCH($D2553,Workers!$A$5:$A$2004,0)),""))</f>
        <v/>
      </c>
      <c r="K2553" s="24" t="str">
        <f aca="false">IF($D2553="","",IFERROR(IF(INDEX(Workers!$D$5:$D$2004,MATCH($D2553,Workers!$A$5:$A$2004,0))=0,"",INDEX(Workers!$D$5:$D$2004,MATCH($D2553,Workers!$A$5:$A$2004,0))),""))</f>
        <v/>
      </c>
      <c r="L2553" s="24" t="str">
        <f aca="false">IF($D2553="","",IFERROR(INDEX(Workers!$E$5:$E$2004,MATCH($D2553,Workers!$A$5:$A$2004,0)),""))</f>
        <v/>
      </c>
      <c r="M2553" s="26" t="str">
        <f aca="false">IF($D2553="","",IFERROR(INDEX(ClientRates!$D$5:$D$500,MATCH($B2553&amp;"|"&amp;$L2553,ClientRates!$A$5:$A$500,0)),0))</f>
        <v/>
      </c>
      <c r="N2553" s="26" t="str">
        <f aca="false">IF($D2553="","",IFERROR(INDEX(ClientRates!$E$5:$E$500,MATCH($B2553&amp;"|"&amp;$L2553,ClientRates!$A$5:$A$500,0)),0))</f>
        <v/>
      </c>
      <c r="O2553" s="26" t="str">
        <f aca="false">IF($D2553="","",F2553*M2553+G2553*N2553)</f>
        <v/>
      </c>
      <c r="P2553" s="26" t="str">
        <f aca="false">IF(OR($D2553="",$J2553&lt;&gt;"Supplier"),"",IFERROR(INDEX(SupplierRates!$D$5:$D$500,MATCH($K2553&amp;"|"&amp;$L2553,SupplierRates!$A$5:$A$500,0)),0))</f>
        <v/>
      </c>
      <c r="Q2553" s="26" t="str">
        <f aca="false">IF(OR($D2553="",$J2553&lt;&gt;"Supplier"),"",IFERROR(INDEX(SupplierRates!$E$5:$E$500,MATCH($K2553&amp;"|"&amp;$L2553,SupplierRates!$A$5:$A$500,0)),0))</f>
        <v/>
      </c>
      <c r="R2553" s="26" t="n">
        <f aca="false">IF(OR($D2553="",$J2553&lt;&gt;"Supplier"),0,F2553*P2553+G2553*Q2553)</f>
        <v>0</v>
      </c>
      <c r="S2553" s="26" t="n">
        <f aca="false">IF(OR($D2553="",$J2553&lt;&gt;"Own"),0,IFERROR((F2553+G2553*Settings!$B$13)*INDEX(Workers!$V$5:$V$2004,MATCH($D2553,Workers!$A$5:$A$2004,0)),0))</f>
        <v>0</v>
      </c>
      <c r="T2553" s="26" t="str">
        <f aca="false">IF($D2553="","",O2553-R2553-S2553)</f>
        <v/>
      </c>
    </row>
    <row r="2554" customFormat="false" ht="15" hidden="false" customHeight="false" outlineLevel="0" collapsed="false">
      <c r="I2554" s="24" t="str">
        <f aca="false">IF($D2554="","",IFERROR(INDEX(Workers!$B$5:$B$2004,MATCH($D2554,Workers!$A$5:$A$2004,0)),"NOT FOUND"))</f>
        <v/>
      </c>
      <c r="J2554" s="24" t="str">
        <f aca="false">IF($D2554="","",IFERROR(INDEX(Workers!$C$5:$C$2004,MATCH($D2554,Workers!$A$5:$A$2004,0)),""))</f>
        <v/>
      </c>
      <c r="K2554" s="24" t="str">
        <f aca="false">IF($D2554="","",IFERROR(IF(INDEX(Workers!$D$5:$D$2004,MATCH($D2554,Workers!$A$5:$A$2004,0))=0,"",INDEX(Workers!$D$5:$D$2004,MATCH($D2554,Workers!$A$5:$A$2004,0))),""))</f>
        <v/>
      </c>
      <c r="L2554" s="24" t="str">
        <f aca="false">IF($D2554="","",IFERROR(INDEX(Workers!$E$5:$E$2004,MATCH($D2554,Workers!$A$5:$A$2004,0)),""))</f>
        <v/>
      </c>
      <c r="M2554" s="26" t="str">
        <f aca="false">IF($D2554="","",IFERROR(INDEX(ClientRates!$D$5:$D$500,MATCH($B2554&amp;"|"&amp;$L2554,ClientRates!$A$5:$A$500,0)),0))</f>
        <v/>
      </c>
      <c r="N2554" s="26" t="str">
        <f aca="false">IF($D2554="","",IFERROR(INDEX(ClientRates!$E$5:$E$500,MATCH($B2554&amp;"|"&amp;$L2554,ClientRates!$A$5:$A$500,0)),0))</f>
        <v/>
      </c>
      <c r="O2554" s="26" t="str">
        <f aca="false">IF($D2554="","",F2554*M2554+G2554*N2554)</f>
        <v/>
      </c>
      <c r="P2554" s="26" t="str">
        <f aca="false">IF(OR($D2554="",$J2554&lt;&gt;"Supplier"),"",IFERROR(INDEX(SupplierRates!$D$5:$D$500,MATCH($K2554&amp;"|"&amp;$L2554,SupplierRates!$A$5:$A$500,0)),0))</f>
        <v/>
      </c>
      <c r="Q2554" s="26" t="str">
        <f aca="false">IF(OR($D2554="",$J2554&lt;&gt;"Supplier"),"",IFERROR(INDEX(SupplierRates!$E$5:$E$500,MATCH($K2554&amp;"|"&amp;$L2554,SupplierRates!$A$5:$A$500,0)),0))</f>
        <v/>
      </c>
      <c r="R2554" s="26" t="n">
        <f aca="false">IF(OR($D2554="",$J2554&lt;&gt;"Supplier"),0,F2554*P2554+G2554*Q2554)</f>
        <v>0</v>
      </c>
      <c r="S2554" s="26" t="n">
        <f aca="false">IF(OR($D2554="",$J2554&lt;&gt;"Own"),0,IFERROR((F2554+G2554*Settings!$B$13)*INDEX(Workers!$V$5:$V$2004,MATCH($D2554,Workers!$A$5:$A$2004,0)),0))</f>
        <v>0</v>
      </c>
      <c r="T2554" s="26" t="str">
        <f aca="false">IF($D2554="","",O2554-R2554-S2554)</f>
        <v/>
      </c>
    </row>
    <row r="2555" customFormat="false" ht="15" hidden="false" customHeight="false" outlineLevel="0" collapsed="false">
      <c r="I2555" s="24" t="str">
        <f aca="false">IF($D2555="","",IFERROR(INDEX(Workers!$B$5:$B$2004,MATCH($D2555,Workers!$A$5:$A$2004,0)),"NOT FOUND"))</f>
        <v/>
      </c>
      <c r="J2555" s="24" t="str">
        <f aca="false">IF($D2555="","",IFERROR(INDEX(Workers!$C$5:$C$2004,MATCH($D2555,Workers!$A$5:$A$2004,0)),""))</f>
        <v/>
      </c>
      <c r="K2555" s="24" t="str">
        <f aca="false">IF($D2555="","",IFERROR(IF(INDEX(Workers!$D$5:$D$2004,MATCH($D2555,Workers!$A$5:$A$2004,0))=0,"",INDEX(Workers!$D$5:$D$2004,MATCH($D2555,Workers!$A$5:$A$2004,0))),""))</f>
        <v/>
      </c>
      <c r="L2555" s="24" t="str">
        <f aca="false">IF($D2555="","",IFERROR(INDEX(Workers!$E$5:$E$2004,MATCH($D2555,Workers!$A$5:$A$2004,0)),""))</f>
        <v/>
      </c>
      <c r="M2555" s="26" t="str">
        <f aca="false">IF($D2555="","",IFERROR(INDEX(ClientRates!$D$5:$D$500,MATCH($B2555&amp;"|"&amp;$L2555,ClientRates!$A$5:$A$500,0)),0))</f>
        <v/>
      </c>
      <c r="N2555" s="26" t="str">
        <f aca="false">IF($D2555="","",IFERROR(INDEX(ClientRates!$E$5:$E$500,MATCH($B2555&amp;"|"&amp;$L2555,ClientRates!$A$5:$A$500,0)),0))</f>
        <v/>
      </c>
      <c r="O2555" s="26" t="str">
        <f aca="false">IF($D2555="","",F2555*M2555+G2555*N2555)</f>
        <v/>
      </c>
      <c r="P2555" s="26" t="str">
        <f aca="false">IF(OR($D2555="",$J2555&lt;&gt;"Supplier"),"",IFERROR(INDEX(SupplierRates!$D$5:$D$500,MATCH($K2555&amp;"|"&amp;$L2555,SupplierRates!$A$5:$A$500,0)),0))</f>
        <v/>
      </c>
      <c r="Q2555" s="26" t="str">
        <f aca="false">IF(OR($D2555="",$J2555&lt;&gt;"Supplier"),"",IFERROR(INDEX(SupplierRates!$E$5:$E$500,MATCH($K2555&amp;"|"&amp;$L2555,SupplierRates!$A$5:$A$500,0)),0))</f>
        <v/>
      </c>
      <c r="R2555" s="26" t="n">
        <f aca="false">IF(OR($D2555="",$J2555&lt;&gt;"Supplier"),0,F2555*P2555+G2555*Q2555)</f>
        <v>0</v>
      </c>
      <c r="S2555" s="26" t="n">
        <f aca="false">IF(OR($D2555="",$J2555&lt;&gt;"Own"),0,IFERROR((F2555+G2555*Settings!$B$13)*INDEX(Workers!$V$5:$V$2004,MATCH($D2555,Workers!$A$5:$A$2004,0)),0))</f>
        <v>0</v>
      </c>
      <c r="T2555" s="26" t="str">
        <f aca="false">IF($D2555="","",O2555-R2555-S2555)</f>
        <v/>
      </c>
    </row>
    <row r="2556" customFormat="false" ht="15" hidden="false" customHeight="false" outlineLevel="0" collapsed="false">
      <c r="I2556" s="24" t="str">
        <f aca="false">IF($D2556="","",IFERROR(INDEX(Workers!$B$5:$B$2004,MATCH($D2556,Workers!$A$5:$A$2004,0)),"NOT FOUND"))</f>
        <v/>
      </c>
      <c r="J2556" s="24" t="str">
        <f aca="false">IF($D2556="","",IFERROR(INDEX(Workers!$C$5:$C$2004,MATCH($D2556,Workers!$A$5:$A$2004,0)),""))</f>
        <v/>
      </c>
      <c r="K2556" s="24" t="str">
        <f aca="false">IF($D2556="","",IFERROR(IF(INDEX(Workers!$D$5:$D$2004,MATCH($D2556,Workers!$A$5:$A$2004,0))=0,"",INDEX(Workers!$D$5:$D$2004,MATCH($D2556,Workers!$A$5:$A$2004,0))),""))</f>
        <v/>
      </c>
      <c r="L2556" s="24" t="str">
        <f aca="false">IF($D2556="","",IFERROR(INDEX(Workers!$E$5:$E$2004,MATCH($D2556,Workers!$A$5:$A$2004,0)),""))</f>
        <v/>
      </c>
      <c r="M2556" s="26" t="str">
        <f aca="false">IF($D2556="","",IFERROR(INDEX(ClientRates!$D$5:$D$500,MATCH($B2556&amp;"|"&amp;$L2556,ClientRates!$A$5:$A$500,0)),0))</f>
        <v/>
      </c>
      <c r="N2556" s="26" t="str">
        <f aca="false">IF($D2556="","",IFERROR(INDEX(ClientRates!$E$5:$E$500,MATCH($B2556&amp;"|"&amp;$L2556,ClientRates!$A$5:$A$500,0)),0))</f>
        <v/>
      </c>
      <c r="O2556" s="26" t="str">
        <f aca="false">IF($D2556="","",F2556*M2556+G2556*N2556)</f>
        <v/>
      </c>
      <c r="P2556" s="26" t="str">
        <f aca="false">IF(OR($D2556="",$J2556&lt;&gt;"Supplier"),"",IFERROR(INDEX(SupplierRates!$D$5:$D$500,MATCH($K2556&amp;"|"&amp;$L2556,SupplierRates!$A$5:$A$500,0)),0))</f>
        <v/>
      </c>
      <c r="Q2556" s="26" t="str">
        <f aca="false">IF(OR($D2556="",$J2556&lt;&gt;"Supplier"),"",IFERROR(INDEX(SupplierRates!$E$5:$E$500,MATCH($K2556&amp;"|"&amp;$L2556,SupplierRates!$A$5:$A$500,0)),0))</f>
        <v/>
      </c>
      <c r="R2556" s="26" t="n">
        <f aca="false">IF(OR($D2556="",$J2556&lt;&gt;"Supplier"),0,F2556*P2556+G2556*Q2556)</f>
        <v>0</v>
      </c>
      <c r="S2556" s="26" t="n">
        <f aca="false">IF(OR($D2556="",$J2556&lt;&gt;"Own"),0,IFERROR((F2556+G2556*Settings!$B$13)*INDEX(Workers!$V$5:$V$2004,MATCH($D2556,Workers!$A$5:$A$2004,0)),0))</f>
        <v>0</v>
      </c>
      <c r="T2556" s="26" t="str">
        <f aca="false">IF($D2556="","",O2556-R2556-S2556)</f>
        <v/>
      </c>
    </row>
    <row r="2557" customFormat="false" ht="15" hidden="false" customHeight="false" outlineLevel="0" collapsed="false">
      <c r="I2557" s="24" t="str">
        <f aca="false">IF($D2557="","",IFERROR(INDEX(Workers!$B$5:$B$2004,MATCH($D2557,Workers!$A$5:$A$2004,0)),"NOT FOUND"))</f>
        <v/>
      </c>
      <c r="J2557" s="24" t="str">
        <f aca="false">IF($D2557="","",IFERROR(INDEX(Workers!$C$5:$C$2004,MATCH($D2557,Workers!$A$5:$A$2004,0)),""))</f>
        <v/>
      </c>
      <c r="K2557" s="24" t="str">
        <f aca="false">IF($D2557="","",IFERROR(IF(INDEX(Workers!$D$5:$D$2004,MATCH($D2557,Workers!$A$5:$A$2004,0))=0,"",INDEX(Workers!$D$5:$D$2004,MATCH($D2557,Workers!$A$5:$A$2004,0))),""))</f>
        <v/>
      </c>
      <c r="L2557" s="24" t="str">
        <f aca="false">IF($D2557="","",IFERROR(INDEX(Workers!$E$5:$E$2004,MATCH($D2557,Workers!$A$5:$A$2004,0)),""))</f>
        <v/>
      </c>
      <c r="M2557" s="26" t="str">
        <f aca="false">IF($D2557="","",IFERROR(INDEX(ClientRates!$D$5:$D$500,MATCH($B2557&amp;"|"&amp;$L2557,ClientRates!$A$5:$A$500,0)),0))</f>
        <v/>
      </c>
      <c r="N2557" s="26" t="str">
        <f aca="false">IF($D2557="","",IFERROR(INDEX(ClientRates!$E$5:$E$500,MATCH($B2557&amp;"|"&amp;$L2557,ClientRates!$A$5:$A$500,0)),0))</f>
        <v/>
      </c>
      <c r="O2557" s="26" t="str">
        <f aca="false">IF($D2557="","",F2557*M2557+G2557*N2557)</f>
        <v/>
      </c>
      <c r="P2557" s="26" t="str">
        <f aca="false">IF(OR($D2557="",$J2557&lt;&gt;"Supplier"),"",IFERROR(INDEX(SupplierRates!$D$5:$D$500,MATCH($K2557&amp;"|"&amp;$L2557,SupplierRates!$A$5:$A$500,0)),0))</f>
        <v/>
      </c>
      <c r="Q2557" s="26" t="str">
        <f aca="false">IF(OR($D2557="",$J2557&lt;&gt;"Supplier"),"",IFERROR(INDEX(SupplierRates!$E$5:$E$500,MATCH($K2557&amp;"|"&amp;$L2557,SupplierRates!$A$5:$A$500,0)),0))</f>
        <v/>
      </c>
      <c r="R2557" s="26" t="n">
        <f aca="false">IF(OR($D2557="",$J2557&lt;&gt;"Supplier"),0,F2557*P2557+G2557*Q2557)</f>
        <v>0</v>
      </c>
      <c r="S2557" s="26" t="n">
        <f aca="false">IF(OR($D2557="",$J2557&lt;&gt;"Own"),0,IFERROR((F2557+G2557*Settings!$B$13)*INDEX(Workers!$V$5:$V$2004,MATCH($D2557,Workers!$A$5:$A$2004,0)),0))</f>
        <v>0</v>
      </c>
      <c r="T2557" s="26" t="str">
        <f aca="false">IF($D2557="","",O2557-R2557-S2557)</f>
        <v/>
      </c>
    </row>
    <row r="2558" customFormat="false" ht="15" hidden="false" customHeight="false" outlineLevel="0" collapsed="false">
      <c r="I2558" s="24" t="str">
        <f aca="false">IF($D2558="","",IFERROR(INDEX(Workers!$B$5:$B$2004,MATCH($D2558,Workers!$A$5:$A$2004,0)),"NOT FOUND"))</f>
        <v/>
      </c>
      <c r="J2558" s="24" t="str">
        <f aca="false">IF($D2558="","",IFERROR(INDEX(Workers!$C$5:$C$2004,MATCH($D2558,Workers!$A$5:$A$2004,0)),""))</f>
        <v/>
      </c>
      <c r="K2558" s="24" t="str">
        <f aca="false">IF($D2558="","",IFERROR(IF(INDEX(Workers!$D$5:$D$2004,MATCH($D2558,Workers!$A$5:$A$2004,0))=0,"",INDEX(Workers!$D$5:$D$2004,MATCH($D2558,Workers!$A$5:$A$2004,0))),""))</f>
        <v/>
      </c>
      <c r="L2558" s="24" t="str">
        <f aca="false">IF($D2558="","",IFERROR(INDEX(Workers!$E$5:$E$2004,MATCH($D2558,Workers!$A$5:$A$2004,0)),""))</f>
        <v/>
      </c>
      <c r="M2558" s="26" t="str">
        <f aca="false">IF($D2558="","",IFERROR(INDEX(ClientRates!$D$5:$D$500,MATCH($B2558&amp;"|"&amp;$L2558,ClientRates!$A$5:$A$500,0)),0))</f>
        <v/>
      </c>
      <c r="N2558" s="26" t="str">
        <f aca="false">IF($D2558="","",IFERROR(INDEX(ClientRates!$E$5:$E$500,MATCH($B2558&amp;"|"&amp;$L2558,ClientRates!$A$5:$A$500,0)),0))</f>
        <v/>
      </c>
      <c r="O2558" s="26" t="str">
        <f aca="false">IF($D2558="","",F2558*M2558+G2558*N2558)</f>
        <v/>
      </c>
      <c r="P2558" s="26" t="str">
        <f aca="false">IF(OR($D2558="",$J2558&lt;&gt;"Supplier"),"",IFERROR(INDEX(SupplierRates!$D$5:$D$500,MATCH($K2558&amp;"|"&amp;$L2558,SupplierRates!$A$5:$A$500,0)),0))</f>
        <v/>
      </c>
      <c r="Q2558" s="26" t="str">
        <f aca="false">IF(OR($D2558="",$J2558&lt;&gt;"Supplier"),"",IFERROR(INDEX(SupplierRates!$E$5:$E$500,MATCH($K2558&amp;"|"&amp;$L2558,SupplierRates!$A$5:$A$500,0)),0))</f>
        <v/>
      </c>
      <c r="R2558" s="26" t="n">
        <f aca="false">IF(OR($D2558="",$J2558&lt;&gt;"Supplier"),0,F2558*P2558+G2558*Q2558)</f>
        <v>0</v>
      </c>
      <c r="S2558" s="26" t="n">
        <f aca="false">IF(OR($D2558="",$J2558&lt;&gt;"Own"),0,IFERROR((F2558+G2558*Settings!$B$13)*INDEX(Workers!$V$5:$V$2004,MATCH($D2558,Workers!$A$5:$A$2004,0)),0))</f>
        <v>0</v>
      </c>
      <c r="T2558" s="26" t="str">
        <f aca="false">IF($D2558="","",O2558-R2558-S2558)</f>
        <v/>
      </c>
    </row>
    <row r="2559" customFormat="false" ht="15" hidden="false" customHeight="false" outlineLevel="0" collapsed="false">
      <c r="I2559" s="24" t="str">
        <f aca="false">IF($D2559="","",IFERROR(INDEX(Workers!$B$5:$B$2004,MATCH($D2559,Workers!$A$5:$A$2004,0)),"NOT FOUND"))</f>
        <v/>
      </c>
      <c r="J2559" s="24" t="str">
        <f aca="false">IF($D2559="","",IFERROR(INDEX(Workers!$C$5:$C$2004,MATCH($D2559,Workers!$A$5:$A$2004,0)),""))</f>
        <v/>
      </c>
      <c r="K2559" s="24" t="str">
        <f aca="false">IF($D2559="","",IFERROR(IF(INDEX(Workers!$D$5:$D$2004,MATCH($D2559,Workers!$A$5:$A$2004,0))=0,"",INDEX(Workers!$D$5:$D$2004,MATCH($D2559,Workers!$A$5:$A$2004,0))),""))</f>
        <v/>
      </c>
      <c r="L2559" s="24" t="str">
        <f aca="false">IF($D2559="","",IFERROR(INDEX(Workers!$E$5:$E$2004,MATCH($D2559,Workers!$A$5:$A$2004,0)),""))</f>
        <v/>
      </c>
      <c r="M2559" s="26" t="str">
        <f aca="false">IF($D2559="","",IFERROR(INDEX(ClientRates!$D$5:$D$500,MATCH($B2559&amp;"|"&amp;$L2559,ClientRates!$A$5:$A$500,0)),0))</f>
        <v/>
      </c>
      <c r="N2559" s="26" t="str">
        <f aca="false">IF($D2559="","",IFERROR(INDEX(ClientRates!$E$5:$E$500,MATCH($B2559&amp;"|"&amp;$L2559,ClientRates!$A$5:$A$500,0)),0))</f>
        <v/>
      </c>
      <c r="O2559" s="26" t="str">
        <f aca="false">IF($D2559="","",F2559*M2559+G2559*N2559)</f>
        <v/>
      </c>
      <c r="P2559" s="26" t="str">
        <f aca="false">IF(OR($D2559="",$J2559&lt;&gt;"Supplier"),"",IFERROR(INDEX(SupplierRates!$D$5:$D$500,MATCH($K2559&amp;"|"&amp;$L2559,SupplierRates!$A$5:$A$500,0)),0))</f>
        <v/>
      </c>
      <c r="Q2559" s="26" t="str">
        <f aca="false">IF(OR($D2559="",$J2559&lt;&gt;"Supplier"),"",IFERROR(INDEX(SupplierRates!$E$5:$E$500,MATCH($K2559&amp;"|"&amp;$L2559,SupplierRates!$A$5:$A$500,0)),0))</f>
        <v/>
      </c>
      <c r="R2559" s="26" t="n">
        <f aca="false">IF(OR($D2559="",$J2559&lt;&gt;"Supplier"),0,F2559*P2559+G2559*Q2559)</f>
        <v>0</v>
      </c>
      <c r="S2559" s="26" t="n">
        <f aca="false">IF(OR($D2559="",$J2559&lt;&gt;"Own"),0,IFERROR((F2559+G2559*Settings!$B$13)*INDEX(Workers!$V$5:$V$2004,MATCH($D2559,Workers!$A$5:$A$2004,0)),0))</f>
        <v>0</v>
      </c>
      <c r="T2559" s="26" t="str">
        <f aca="false">IF($D2559="","",O2559-R2559-S2559)</f>
        <v/>
      </c>
    </row>
    <row r="2560" customFormat="false" ht="15" hidden="false" customHeight="false" outlineLevel="0" collapsed="false">
      <c r="I2560" s="24" t="str">
        <f aca="false">IF($D2560="","",IFERROR(INDEX(Workers!$B$5:$B$2004,MATCH($D2560,Workers!$A$5:$A$2004,0)),"NOT FOUND"))</f>
        <v/>
      </c>
      <c r="J2560" s="24" t="str">
        <f aca="false">IF($D2560="","",IFERROR(INDEX(Workers!$C$5:$C$2004,MATCH($D2560,Workers!$A$5:$A$2004,0)),""))</f>
        <v/>
      </c>
      <c r="K2560" s="24" t="str">
        <f aca="false">IF($D2560="","",IFERROR(IF(INDEX(Workers!$D$5:$D$2004,MATCH($D2560,Workers!$A$5:$A$2004,0))=0,"",INDEX(Workers!$D$5:$D$2004,MATCH($D2560,Workers!$A$5:$A$2004,0))),""))</f>
        <v/>
      </c>
      <c r="L2560" s="24" t="str">
        <f aca="false">IF($D2560="","",IFERROR(INDEX(Workers!$E$5:$E$2004,MATCH($D2560,Workers!$A$5:$A$2004,0)),""))</f>
        <v/>
      </c>
      <c r="M2560" s="26" t="str">
        <f aca="false">IF($D2560="","",IFERROR(INDEX(ClientRates!$D$5:$D$500,MATCH($B2560&amp;"|"&amp;$L2560,ClientRates!$A$5:$A$500,0)),0))</f>
        <v/>
      </c>
      <c r="N2560" s="26" t="str">
        <f aca="false">IF($D2560="","",IFERROR(INDEX(ClientRates!$E$5:$E$500,MATCH($B2560&amp;"|"&amp;$L2560,ClientRates!$A$5:$A$500,0)),0))</f>
        <v/>
      </c>
      <c r="O2560" s="26" t="str">
        <f aca="false">IF($D2560="","",F2560*M2560+G2560*N2560)</f>
        <v/>
      </c>
      <c r="P2560" s="26" t="str">
        <f aca="false">IF(OR($D2560="",$J2560&lt;&gt;"Supplier"),"",IFERROR(INDEX(SupplierRates!$D$5:$D$500,MATCH($K2560&amp;"|"&amp;$L2560,SupplierRates!$A$5:$A$500,0)),0))</f>
        <v/>
      </c>
      <c r="Q2560" s="26" t="str">
        <f aca="false">IF(OR($D2560="",$J2560&lt;&gt;"Supplier"),"",IFERROR(INDEX(SupplierRates!$E$5:$E$500,MATCH($K2560&amp;"|"&amp;$L2560,SupplierRates!$A$5:$A$500,0)),0))</f>
        <v/>
      </c>
      <c r="R2560" s="26" t="n">
        <f aca="false">IF(OR($D2560="",$J2560&lt;&gt;"Supplier"),0,F2560*P2560+G2560*Q2560)</f>
        <v>0</v>
      </c>
      <c r="S2560" s="26" t="n">
        <f aca="false">IF(OR($D2560="",$J2560&lt;&gt;"Own"),0,IFERROR((F2560+G2560*Settings!$B$13)*INDEX(Workers!$V$5:$V$2004,MATCH($D2560,Workers!$A$5:$A$2004,0)),0))</f>
        <v>0</v>
      </c>
      <c r="T2560" s="26" t="str">
        <f aca="false">IF($D2560="","",O2560-R2560-S2560)</f>
        <v/>
      </c>
    </row>
    <row r="2561" customFormat="false" ht="15" hidden="false" customHeight="false" outlineLevel="0" collapsed="false">
      <c r="I2561" s="24" t="str">
        <f aca="false">IF($D2561="","",IFERROR(INDEX(Workers!$B$5:$B$2004,MATCH($D2561,Workers!$A$5:$A$2004,0)),"NOT FOUND"))</f>
        <v/>
      </c>
      <c r="J2561" s="24" t="str">
        <f aca="false">IF($D2561="","",IFERROR(INDEX(Workers!$C$5:$C$2004,MATCH($D2561,Workers!$A$5:$A$2004,0)),""))</f>
        <v/>
      </c>
      <c r="K2561" s="24" t="str">
        <f aca="false">IF($D2561="","",IFERROR(IF(INDEX(Workers!$D$5:$D$2004,MATCH($D2561,Workers!$A$5:$A$2004,0))=0,"",INDEX(Workers!$D$5:$D$2004,MATCH($D2561,Workers!$A$5:$A$2004,0))),""))</f>
        <v/>
      </c>
      <c r="L2561" s="24" t="str">
        <f aca="false">IF($D2561="","",IFERROR(INDEX(Workers!$E$5:$E$2004,MATCH($D2561,Workers!$A$5:$A$2004,0)),""))</f>
        <v/>
      </c>
      <c r="M2561" s="26" t="str">
        <f aca="false">IF($D2561="","",IFERROR(INDEX(ClientRates!$D$5:$D$500,MATCH($B2561&amp;"|"&amp;$L2561,ClientRates!$A$5:$A$500,0)),0))</f>
        <v/>
      </c>
      <c r="N2561" s="26" t="str">
        <f aca="false">IF($D2561="","",IFERROR(INDEX(ClientRates!$E$5:$E$500,MATCH($B2561&amp;"|"&amp;$L2561,ClientRates!$A$5:$A$500,0)),0))</f>
        <v/>
      </c>
      <c r="O2561" s="26" t="str">
        <f aca="false">IF($D2561="","",F2561*M2561+G2561*N2561)</f>
        <v/>
      </c>
      <c r="P2561" s="26" t="str">
        <f aca="false">IF(OR($D2561="",$J2561&lt;&gt;"Supplier"),"",IFERROR(INDEX(SupplierRates!$D$5:$D$500,MATCH($K2561&amp;"|"&amp;$L2561,SupplierRates!$A$5:$A$500,0)),0))</f>
        <v/>
      </c>
      <c r="Q2561" s="26" t="str">
        <f aca="false">IF(OR($D2561="",$J2561&lt;&gt;"Supplier"),"",IFERROR(INDEX(SupplierRates!$E$5:$E$500,MATCH($K2561&amp;"|"&amp;$L2561,SupplierRates!$A$5:$A$500,0)),0))</f>
        <v/>
      </c>
      <c r="R2561" s="26" t="n">
        <f aca="false">IF(OR($D2561="",$J2561&lt;&gt;"Supplier"),0,F2561*P2561+G2561*Q2561)</f>
        <v>0</v>
      </c>
      <c r="S2561" s="26" t="n">
        <f aca="false">IF(OR($D2561="",$J2561&lt;&gt;"Own"),0,IFERROR((F2561+G2561*Settings!$B$13)*INDEX(Workers!$V$5:$V$2004,MATCH($D2561,Workers!$A$5:$A$2004,0)),0))</f>
        <v>0</v>
      </c>
      <c r="T2561" s="26" t="str">
        <f aca="false">IF($D2561="","",O2561-R2561-S2561)</f>
        <v/>
      </c>
    </row>
    <row r="2562" customFormat="false" ht="15" hidden="false" customHeight="false" outlineLevel="0" collapsed="false">
      <c r="I2562" s="24" t="str">
        <f aca="false">IF($D2562="","",IFERROR(INDEX(Workers!$B$5:$B$2004,MATCH($D2562,Workers!$A$5:$A$2004,0)),"NOT FOUND"))</f>
        <v/>
      </c>
      <c r="J2562" s="24" t="str">
        <f aca="false">IF($D2562="","",IFERROR(INDEX(Workers!$C$5:$C$2004,MATCH($D2562,Workers!$A$5:$A$2004,0)),""))</f>
        <v/>
      </c>
      <c r="K2562" s="24" t="str">
        <f aca="false">IF($D2562="","",IFERROR(IF(INDEX(Workers!$D$5:$D$2004,MATCH($D2562,Workers!$A$5:$A$2004,0))=0,"",INDEX(Workers!$D$5:$D$2004,MATCH($D2562,Workers!$A$5:$A$2004,0))),""))</f>
        <v/>
      </c>
      <c r="L2562" s="24" t="str">
        <f aca="false">IF($D2562="","",IFERROR(INDEX(Workers!$E$5:$E$2004,MATCH($D2562,Workers!$A$5:$A$2004,0)),""))</f>
        <v/>
      </c>
      <c r="M2562" s="26" t="str">
        <f aca="false">IF($D2562="","",IFERROR(INDEX(ClientRates!$D$5:$D$500,MATCH($B2562&amp;"|"&amp;$L2562,ClientRates!$A$5:$A$500,0)),0))</f>
        <v/>
      </c>
      <c r="N2562" s="26" t="str">
        <f aca="false">IF($D2562="","",IFERROR(INDEX(ClientRates!$E$5:$E$500,MATCH($B2562&amp;"|"&amp;$L2562,ClientRates!$A$5:$A$500,0)),0))</f>
        <v/>
      </c>
      <c r="O2562" s="26" t="str">
        <f aca="false">IF($D2562="","",F2562*M2562+G2562*N2562)</f>
        <v/>
      </c>
      <c r="P2562" s="26" t="str">
        <f aca="false">IF(OR($D2562="",$J2562&lt;&gt;"Supplier"),"",IFERROR(INDEX(SupplierRates!$D$5:$D$500,MATCH($K2562&amp;"|"&amp;$L2562,SupplierRates!$A$5:$A$500,0)),0))</f>
        <v/>
      </c>
      <c r="Q2562" s="26" t="str">
        <f aca="false">IF(OR($D2562="",$J2562&lt;&gt;"Supplier"),"",IFERROR(INDEX(SupplierRates!$E$5:$E$500,MATCH($K2562&amp;"|"&amp;$L2562,SupplierRates!$A$5:$A$500,0)),0))</f>
        <v/>
      </c>
      <c r="R2562" s="26" t="n">
        <f aca="false">IF(OR($D2562="",$J2562&lt;&gt;"Supplier"),0,F2562*P2562+G2562*Q2562)</f>
        <v>0</v>
      </c>
      <c r="S2562" s="26" t="n">
        <f aca="false">IF(OR($D2562="",$J2562&lt;&gt;"Own"),0,IFERROR((F2562+G2562*Settings!$B$13)*INDEX(Workers!$V$5:$V$2004,MATCH($D2562,Workers!$A$5:$A$2004,0)),0))</f>
        <v>0</v>
      </c>
      <c r="T2562" s="26" t="str">
        <f aca="false">IF($D2562="","",O2562-R2562-S2562)</f>
        <v/>
      </c>
    </row>
    <row r="2563" customFormat="false" ht="15" hidden="false" customHeight="false" outlineLevel="0" collapsed="false">
      <c r="I2563" s="24" t="str">
        <f aca="false">IF($D2563="","",IFERROR(INDEX(Workers!$B$5:$B$2004,MATCH($D2563,Workers!$A$5:$A$2004,0)),"NOT FOUND"))</f>
        <v/>
      </c>
      <c r="J2563" s="24" t="str">
        <f aca="false">IF($D2563="","",IFERROR(INDEX(Workers!$C$5:$C$2004,MATCH($D2563,Workers!$A$5:$A$2004,0)),""))</f>
        <v/>
      </c>
      <c r="K2563" s="24" t="str">
        <f aca="false">IF($D2563="","",IFERROR(IF(INDEX(Workers!$D$5:$D$2004,MATCH($D2563,Workers!$A$5:$A$2004,0))=0,"",INDEX(Workers!$D$5:$D$2004,MATCH($D2563,Workers!$A$5:$A$2004,0))),""))</f>
        <v/>
      </c>
      <c r="L2563" s="24" t="str">
        <f aca="false">IF($D2563="","",IFERROR(INDEX(Workers!$E$5:$E$2004,MATCH($D2563,Workers!$A$5:$A$2004,0)),""))</f>
        <v/>
      </c>
      <c r="M2563" s="26" t="str">
        <f aca="false">IF($D2563="","",IFERROR(INDEX(ClientRates!$D$5:$D$500,MATCH($B2563&amp;"|"&amp;$L2563,ClientRates!$A$5:$A$500,0)),0))</f>
        <v/>
      </c>
      <c r="N2563" s="26" t="str">
        <f aca="false">IF($D2563="","",IFERROR(INDEX(ClientRates!$E$5:$E$500,MATCH($B2563&amp;"|"&amp;$L2563,ClientRates!$A$5:$A$500,0)),0))</f>
        <v/>
      </c>
      <c r="O2563" s="26" t="str">
        <f aca="false">IF($D2563="","",F2563*M2563+G2563*N2563)</f>
        <v/>
      </c>
      <c r="P2563" s="26" t="str">
        <f aca="false">IF(OR($D2563="",$J2563&lt;&gt;"Supplier"),"",IFERROR(INDEX(SupplierRates!$D$5:$D$500,MATCH($K2563&amp;"|"&amp;$L2563,SupplierRates!$A$5:$A$500,0)),0))</f>
        <v/>
      </c>
      <c r="Q2563" s="26" t="str">
        <f aca="false">IF(OR($D2563="",$J2563&lt;&gt;"Supplier"),"",IFERROR(INDEX(SupplierRates!$E$5:$E$500,MATCH($K2563&amp;"|"&amp;$L2563,SupplierRates!$A$5:$A$500,0)),0))</f>
        <v/>
      </c>
      <c r="R2563" s="26" t="n">
        <f aca="false">IF(OR($D2563="",$J2563&lt;&gt;"Supplier"),0,F2563*P2563+G2563*Q2563)</f>
        <v>0</v>
      </c>
      <c r="S2563" s="26" t="n">
        <f aca="false">IF(OR($D2563="",$J2563&lt;&gt;"Own"),0,IFERROR((F2563+G2563*Settings!$B$13)*INDEX(Workers!$V$5:$V$2004,MATCH($D2563,Workers!$A$5:$A$2004,0)),0))</f>
        <v>0</v>
      </c>
      <c r="T2563" s="26" t="str">
        <f aca="false">IF($D2563="","",O2563-R2563-S2563)</f>
        <v/>
      </c>
    </row>
    <row r="2564" customFormat="false" ht="15" hidden="false" customHeight="false" outlineLevel="0" collapsed="false">
      <c r="I2564" s="24" t="str">
        <f aca="false">IF($D2564="","",IFERROR(INDEX(Workers!$B$5:$B$2004,MATCH($D2564,Workers!$A$5:$A$2004,0)),"NOT FOUND"))</f>
        <v/>
      </c>
      <c r="J2564" s="24" t="str">
        <f aca="false">IF($D2564="","",IFERROR(INDEX(Workers!$C$5:$C$2004,MATCH($D2564,Workers!$A$5:$A$2004,0)),""))</f>
        <v/>
      </c>
      <c r="K2564" s="24" t="str">
        <f aca="false">IF($D2564="","",IFERROR(IF(INDEX(Workers!$D$5:$D$2004,MATCH($D2564,Workers!$A$5:$A$2004,0))=0,"",INDEX(Workers!$D$5:$D$2004,MATCH($D2564,Workers!$A$5:$A$2004,0))),""))</f>
        <v/>
      </c>
      <c r="L2564" s="24" t="str">
        <f aca="false">IF($D2564="","",IFERROR(INDEX(Workers!$E$5:$E$2004,MATCH($D2564,Workers!$A$5:$A$2004,0)),""))</f>
        <v/>
      </c>
      <c r="M2564" s="26" t="str">
        <f aca="false">IF($D2564="","",IFERROR(INDEX(ClientRates!$D$5:$D$500,MATCH($B2564&amp;"|"&amp;$L2564,ClientRates!$A$5:$A$500,0)),0))</f>
        <v/>
      </c>
      <c r="N2564" s="26" t="str">
        <f aca="false">IF($D2564="","",IFERROR(INDEX(ClientRates!$E$5:$E$500,MATCH($B2564&amp;"|"&amp;$L2564,ClientRates!$A$5:$A$500,0)),0))</f>
        <v/>
      </c>
      <c r="O2564" s="26" t="str">
        <f aca="false">IF($D2564="","",F2564*M2564+G2564*N2564)</f>
        <v/>
      </c>
      <c r="P2564" s="26" t="str">
        <f aca="false">IF(OR($D2564="",$J2564&lt;&gt;"Supplier"),"",IFERROR(INDEX(SupplierRates!$D$5:$D$500,MATCH($K2564&amp;"|"&amp;$L2564,SupplierRates!$A$5:$A$500,0)),0))</f>
        <v/>
      </c>
      <c r="Q2564" s="26" t="str">
        <f aca="false">IF(OR($D2564="",$J2564&lt;&gt;"Supplier"),"",IFERROR(INDEX(SupplierRates!$E$5:$E$500,MATCH($K2564&amp;"|"&amp;$L2564,SupplierRates!$A$5:$A$500,0)),0))</f>
        <v/>
      </c>
      <c r="R2564" s="26" t="n">
        <f aca="false">IF(OR($D2564="",$J2564&lt;&gt;"Supplier"),0,F2564*P2564+G2564*Q2564)</f>
        <v>0</v>
      </c>
      <c r="S2564" s="26" t="n">
        <f aca="false">IF(OR($D2564="",$J2564&lt;&gt;"Own"),0,IFERROR((F2564+G2564*Settings!$B$13)*INDEX(Workers!$V$5:$V$2004,MATCH($D2564,Workers!$A$5:$A$2004,0)),0))</f>
        <v>0</v>
      </c>
      <c r="T2564" s="26" t="str">
        <f aca="false">IF($D2564="","",O2564-R2564-S2564)</f>
        <v/>
      </c>
    </row>
    <row r="2565" customFormat="false" ht="15" hidden="false" customHeight="false" outlineLevel="0" collapsed="false">
      <c r="I2565" s="24" t="str">
        <f aca="false">IF($D2565="","",IFERROR(INDEX(Workers!$B$5:$B$2004,MATCH($D2565,Workers!$A$5:$A$2004,0)),"NOT FOUND"))</f>
        <v/>
      </c>
      <c r="J2565" s="24" t="str">
        <f aca="false">IF($D2565="","",IFERROR(INDEX(Workers!$C$5:$C$2004,MATCH($D2565,Workers!$A$5:$A$2004,0)),""))</f>
        <v/>
      </c>
      <c r="K2565" s="24" t="str">
        <f aca="false">IF($D2565="","",IFERROR(IF(INDEX(Workers!$D$5:$D$2004,MATCH($D2565,Workers!$A$5:$A$2004,0))=0,"",INDEX(Workers!$D$5:$D$2004,MATCH($D2565,Workers!$A$5:$A$2004,0))),""))</f>
        <v/>
      </c>
      <c r="L2565" s="24" t="str">
        <f aca="false">IF($D2565="","",IFERROR(INDEX(Workers!$E$5:$E$2004,MATCH($D2565,Workers!$A$5:$A$2004,0)),""))</f>
        <v/>
      </c>
      <c r="M2565" s="26" t="str">
        <f aca="false">IF($D2565="","",IFERROR(INDEX(ClientRates!$D$5:$D$500,MATCH($B2565&amp;"|"&amp;$L2565,ClientRates!$A$5:$A$500,0)),0))</f>
        <v/>
      </c>
      <c r="N2565" s="26" t="str">
        <f aca="false">IF($D2565="","",IFERROR(INDEX(ClientRates!$E$5:$E$500,MATCH($B2565&amp;"|"&amp;$L2565,ClientRates!$A$5:$A$500,0)),0))</f>
        <v/>
      </c>
      <c r="O2565" s="26" t="str">
        <f aca="false">IF($D2565="","",F2565*M2565+G2565*N2565)</f>
        <v/>
      </c>
      <c r="P2565" s="26" t="str">
        <f aca="false">IF(OR($D2565="",$J2565&lt;&gt;"Supplier"),"",IFERROR(INDEX(SupplierRates!$D$5:$D$500,MATCH($K2565&amp;"|"&amp;$L2565,SupplierRates!$A$5:$A$500,0)),0))</f>
        <v/>
      </c>
      <c r="Q2565" s="26" t="str">
        <f aca="false">IF(OR($D2565="",$J2565&lt;&gt;"Supplier"),"",IFERROR(INDEX(SupplierRates!$E$5:$E$500,MATCH($K2565&amp;"|"&amp;$L2565,SupplierRates!$A$5:$A$500,0)),0))</f>
        <v/>
      </c>
      <c r="R2565" s="26" t="n">
        <f aca="false">IF(OR($D2565="",$J2565&lt;&gt;"Supplier"),0,F2565*P2565+G2565*Q2565)</f>
        <v>0</v>
      </c>
      <c r="S2565" s="26" t="n">
        <f aca="false">IF(OR($D2565="",$J2565&lt;&gt;"Own"),0,IFERROR((F2565+G2565*Settings!$B$13)*INDEX(Workers!$V$5:$V$2004,MATCH($D2565,Workers!$A$5:$A$2004,0)),0))</f>
        <v>0</v>
      </c>
      <c r="T2565" s="26" t="str">
        <f aca="false">IF($D2565="","",O2565-R2565-S2565)</f>
        <v/>
      </c>
    </row>
    <row r="2566" customFormat="false" ht="15" hidden="false" customHeight="false" outlineLevel="0" collapsed="false">
      <c r="I2566" s="24" t="str">
        <f aca="false">IF($D2566="","",IFERROR(INDEX(Workers!$B$5:$B$2004,MATCH($D2566,Workers!$A$5:$A$2004,0)),"NOT FOUND"))</f>
        <v/>
      </c>
      <c r="J2566" s="24" t="str">
        <f aca="false">IF($D2566="","",IFERROR(INDEX(Workers!$C$5:$C$2004,MATCH($D2566,Workers!$A$5:$A$2004,0)),""))</f>
        <v/>
      </c>
      <c r="K2566" s="24" t="str">
        <f aca="false">IF($D2566="","",IFERROR(IF(INDEX(Workers!$D$5:$D$2004,MATCH($D2566,Workers!$A$5:$A$2004,0))=0,"",INDEX(Workers!$D$5:$D$2004,MATCH($D2566,Workers!$A$5:$A$2004,0))),""))</f>
        <v/>
      </c>
      <c r="L2566" s="24" t="str">
        <f aca="false">IF($D2566="","",IFERROR(INDEX(Workers!$E$5:$E$2004,MATCH($D2566,Workers!$A$5:$A$2004,0)),""))</f>
        <v/>
      </c>
      <c r="M2566" s="26" t="str">
        <f aca="false">IF($D2566="","",IFERROR(INDEX(ClientRates!$D$5:$D$500,MATCH($B2566&amp;"|"&amp;$L2566,ClientRates!$A$5:$A$500,0)),0))</f>
        <v/>
      </c>
      <c r="N2566" s="26" t="str">
        <f aca="false">IF($D2566="","",IFERROR(INDEX(ClientRates!$E$5:$E$500,MATCH($B2566&amp;"|"&amp;$L2566,ClientRates!$A$5:$A$500,0)),0))</f>
        <v/>
      </c>
      <c r="O2566" s="26" t="str">
        <f aca="false">IF($D2566="","",F2566*M2566+G2566*N2566)</f>
        <v/>
      </c>
      <c r="P2566" s="26" t="str">
        <f aca="false">IF(OR($D2566="",$J2566&lt;&gt;"Supplier"),"",IFERROR(INDEX(SupplierRates!$D$5:$D$500,MATCH($K2566&amp;"|"&amp;$L2566,SupplierRates!$A$5:$A$500,0)),0))</f>
        <v/>
      </c>
      <c r="Q2566" s="26" t="str">
        <f aca="false">IF(OR($D2566="",$J2566&lt;&gt;"Supplier"),"",IFERROR(INDEX(SupplierRates!$E$5:$E$500,MATCH($K2566&amp;"|"&amp;$L2566,SupplierRates!$A$5:$A$500,0)),0))</f>
        <v/>
      </c>
      <c r="R2566" s="26" t="n">
        <f aca="false">IF(OR($D2566="",$J2566&lt;&gt;"Supplier"),0,F2566*P2566+G2566*Q2566)</f>
        <v>0</v>
      </c>
      <c r="S2566" s="26" t="n">
        <f aca="false">IF(OR($D2566="",$J2566&lt;&gt;"Own"),0,IFERROR((F2566+G2566*Settings!$B$13)*INDEX(Workers!$V$5:$V$2004,MATCH($D2566,Workers!$A$5:$A$2004,0)),0))</f>
        <v>0</v>
      </c>
      <c r="T2566" s="26" t="str">
        <f aca="false">IF($D2566="","",O2566-R2566-S2566)</f>
        <v/>
      </c>
    </row>
    <row r="2567" customFormat="false" ht="15" hidden="false" customHeight="false" outlineLevel="0" collapsed="false">
      <c r="I2567" s="24" t="str">
        <f aca="false">IF($D2567="","",IFERROR(INDEX(Workers!$B$5:$B$2004,MATCH($D2567,Workers!$A$5:$A$2004,0)),"NOT FOUND"))</f>
        <v/>
      </c>
      <c r="J2567" s="24" t="str">
        <f aca="false">IF($D2567="","",IFERROR(INDEX(Workers!$C$5:$C$2004,MATCH($D2567,Workers!$A$5:$A$2004,0)),""))</f>
        <v/>
      </c>
      <c r="K2567" s="24" t="str">
        <f aca="false">IF($D2567="","",IFERROR(IF(INDEX(Workers!$D$5:$D$2004,MATCH($D2567,Workers!$A$5:$A$2004,0))=0,"",INDEX(Workers!$D$5:$D$2004,MATCH($D2567,Workers!$A$5:$A$2004,0))),""))</f>
        <v/>
      </c>
      <c r="L2567" s="24" t="str">
        <f aca="false">IF($D2567="","",IFERROR(INDEX(Workers!$E$5:$E$2004,MATCH($D2567,Workers!$A$5:$A$2004,0)),""))</f>
        <v/>
      </c>
      <c r="M2567" s="26" t="str">
        <f aca="false">IF($D2567="","",IFERROR(INDEX(ClientRates!$D$5:$D$500,MATCH($B2567&amp;"|"&amp;$L2567,ClientRates!$A$5:$A$500,0)),0))</f>
        <v/>
      </c>
      <c r="N2567" s="26" t="str">
        <f aca="false">IF($D2567="","",IFERROR(INDEX(ClientRates!$E$5:$E$500,MATCH($B2567&amp;"|"&amp;$L2567,ClientRates!$A$5:$A$500,0)),0))</f>
        <v/>
      </c>
      <c r="O2567" s="26" t="str">
        <f aca="false">IF($D2567="","",F2567*M2567+G2567*N2567)</f>
        <v/>
      </c>
      <c r="P2567" s="26" t="str">
        <f aca="false">IF(OR($D2567="",$J2567&lt;&gt;"Supplier"),"",IFERROR(INDEX(SupplierRates!$D$5:$D$500,MATCH($K2567&amp;"|"&amp;$L2567,SupplierRates!$A$5:$A$500,0)),0))</f>
        <v/>
      </c>
      <c r="Q2567" s="26" t="str">
        <f aca="false">IF(OR($D2567="",$J2567&lt;&gt;"Supplier"),"",IFERROR(INDEX(SupplierRates!$E$5:$E$500,MATCH($K2567&amp;"|"&amp;$L2567,SupplierRates!$A$5:$A$500,0)),0))</f>
        <v/>
      </c>
      <c r="R2567" s="26" t="n">
        <f aca="false">IF(OR($D2567="",$J2567&lt;&gt;"Supplier"),0,F2567*P2567+G2567*Q2567)</f>
        <v>0</v>
      </c>
      <c r="S2567" s="26" t="n">
        <f aca="false">IF(OR($D2567="",$J2567&lt;&gt;"Own"),0,IFERROR((F2567+G2567*Settings!$B$13)*INDEX(Workers!$V$5:$V$2004,MATCH($D2567,Workers!$A$5:$A$2004,0)),0))</f>
        <v>0</v>
      </c>
      <c r="T2567" s="26" t="str">
        <f aca="false">IF($D2567="","",O2567-R2567-S2567)</f>
        <v/>
      </c>
    </row>
    <row r="2568" customFormat="false" ht="15" hidden="false" customHeight="false" outlineLevel="0" collapsed="false">
      <c r="I2568" s="24" t="str">
        <f aca="false">IF($D2568="","",IFERROR(INDEX(Workers!$B$5:$B$2004,MATCH($D2568,Workers!$A$5:$A$2004,0)),"NOT FOUND"))</f>
        <v/>
      </c>
      <c r="J2568" s="24" t="str">
        <f aca="false">IF($D2568="","",IFERROR(INDEX(Workers!$C$5:$C$2004,MATCH($D2568,Workers!$A$5:$A$2004,0)),""))</f>
        <v/>
      </c>
      <c r="K2568" s="24" t="str">
        <f aca="false">IF($D2568="","",IFERROR(IF(INDEX(Workers!$D$5:$D$2004,MATCH($D2568,Workers!$A$5:$A$2004,0))=0,"",INDEX(Workers!$D$5:$D$2004,MATCH($D2568,Workers!$A$5:$A$2004,0))),""))</f>
        <v/>
      </c>
      <c r="L2568" s="24" t="str">
        <f aca="false">IF($D2568="","",IFERROR(INDEX(Workers!$E$5:$E$2004,MATCH($D2568,Workers!$A$5:$A$2004,0)),""))</f>
        <v/>
      </c>
      <c r="M2568" s="26" t="str">
        <f aca="false">IF($D2568="","",IFERROR(INDEX(ClientRates!$D$5:$D$500,MATCH($B2568&amp;"|"&amp;$L2568,ClientRates!$A$5:$A$500,0)),0))</f>
        <v/>
      </c>
      <c r="N2568" s="26" t="str">
        <f aca="false">IF($D2568="","",IFERROR(INDEX(ClientRates!$E$5:$E$500,MATCH($B2568&amp;"|"&amp;$L2568,ClientRates!$A$5:$A$500,0)),0))</f>
        <v/>
      </c>
      <c r="O2568" s="26" t="str">
        <f aca="false">IF($D2568="","",F2568*M2568+G2568*N2568)</f>
        <v/>
      </c>
      <c r="P2568" s="26" t="str">
        <f aca="false">IF(OR($D2568="",$J2568&lt;&gt;"Supplier"),"",IFERROR(INDEX(SupplierRates!$D$5:$D$500,MATCH($K2568&amp;"|"&amp;$L2568,SupplierRates!$A$5:$A$500,0)),0))</f>
        <v/>
      </c>
      <c r="Q2568" s="26" t="str">
        <f aca="false">IF(OR($D2568="",$J2568&lt;&gt;"Supplier"),"",IFERROR(INDEX(SupplierRates!$E$5:$E$500,MATCH($K2568&amp;"|"&amp;$L2568,SupplierRates!$A$5:$A$500,0)),0))</f>
        <v/>
      </c>
      <c r="R2568" s="26" t="n">
        <f aca="false">IF(OR($D2568="",$J2568&lt;&gt;"Supplier"),0,F2568*P2568+G2568*Q2568)</f>
        <v>0</v>
      </c>
      <c r="S2568" s="26" t="n">
        <f aca="false">IF(OR($D2568="",$J2568&lt;&gt;"Own"),0,IFERROR((F2568+G2568*Settings!$B$13)*INDEX(Workers!$V$5:$V$2004,MATCH($D2568,Workers!$A$5:$A$2004,0)),0))</f>
        <v>0</v>
      </c>
      <c r="T2568" s="26" t="str">
        <f aca="false">IF($D2568="","",O2568-R2568-S2568)</f>
        <v/>
      </c>
    </row>
    <row r="2569" customFormat="false" ht="15" hidden="false" customHeight="false" outlineLevel="0" collapsed="false">
      <c r="I2569" s="24" t="str">
        <f aca="false">IF($D2569="","",IFERROR(INDEX(Workers!$B$5:$B$2004,MATCH($D2569,Workers!$A$5:$A$2004,0)),"NOT FOUND"))</f>
        <v/>
      </c>
      <c r="J2569" s="24" t="str">
        <f aca="false">IF($D2569="","",IFERROR(INDEX(Workers!$C$5:$C$2004,MATCH($D2569,Workers!$A$5:$A$2004,0)),""))</f>
        <v/>
      </c>
      <c r="K2569" s="24" t="str">
        <f aca="false">IF($D2569="","",IFERROR(IF(INDEX(Workers!$D$5:$D$2004,MATCH($D2569,Workers!$A$5:$A$2004,0))=0,"",INDEX(Workers!$D$5:$D$2004,MATCH($D2569,Workers!$A$5:$A$2004,0))),""))</f>
        <v/>
      </c>
      <c r="L2569" s="24" t="str">
        <f aca="false">IF($D2569="","",IFERROR(INDEX(Workers!$E$5:$E$2004,MATCH($D2569,Workers!$A$5:$A$2004,0)),""))</f>
        <v/>
      </c>
      <c r="M2569" s="26" t="str">
        <f aca="false">IF($D2569="","",IFERROR(INDEX(ClientRates!$D$5:$D$500,MATCH($B2569&amp;"|"&amp;$L2569,ClientRates!$A$5:$A$500,0)),0))</f>
        <v/>
      </c>
      <c r="N2569" s="26" t="str">
        <f aca="false">IF($D2569="","",IFERROR(INDEX(ClientRates!$E$5:$E$500,MATCH($B2569&amp;"|"&amp;$L2569,ClientRates!$A$5:$A$500,0)),0))</f>
        <v/>
      </c>
      <c r="O2569" s="26" t="str">
        <f aca="false">IF($D2569="","",F2569*M2569+G2569*N2569)</f>
        <v/>
      </c>
      <c r="P2569" s="26" t="str">
        <f aca="false">IF(OR($D2569="",$J2569&lt;&gt;"Supplier"),"",IFERROR(INDEX(SupplierRates!$D$5:$D$500,MATCH($K2569&amp;"|"&amp;$L2569,SupplierRates!$A$5:$A$500,0)),0))</f>
        <v/>
      </c>
      <c r="Q2569" s="26" t="str">
        <f aca="false">IF(OR($D2569="",$J2569&lt;&gt;"Supplier"),"",IFERROR(INDEX(SupplierRates!$E$5:$E$500,MATCH($K2569&amp;"|"&amp;$L2569,SupplierRates!$A$5:$A$500,0)),0))</f>
        <v/>
      </c>
      <c r="R2569" s="26" t="n">
        <f aca="false">IF(OR($D2569="",$J2569&lt;&gt;"Supplier"),0,F2569*P2569+G2569*Q2569)</f>
        <v>0</v>
      </c>
      <c r="S2569" s="26" t="n">
        <f aca="false">IF(OR($D2569="",$J2569&lt;&gt;"Own"),0,IFERROR((F2569+G2569*Settings!$B$13)*INDEX(Workers!$V$5:$V$2004,MATCH($D2569,Workers!$A$5:$A$2004,0)),0))</f>
        <v>0</v>
      </c>
      <c r="T2569" s="26" t="str">
        <f aca="false">IF($D2569="","",O2569-R2569-S2569)</f>
        <v/>
      </c>
    </row>
    <row r="2570" customFormat="false" ht="15" hidden="false" customHeight="false" outlineLevel="0" collapsed="false">
      <c r="I2570" s="24" t="str">
        <f aca="false">IF($D2570="","",IFERROR(INDEX(Workers!$B$5:$B$2004,MATCH($D2570,Workers!$A$5:$A$2004,0)),"NOT FOUND"))</f>
        <v/>
      </c>
      <c r="J2570" s="24" t="str">
        <f aca="false">IF($D2570="","",IFERROR(INDEX(Workers!$C$5:$C$2004,MATCH($D2570,Workers!$A$5:$A$2004,0)),""))</f>
        <v/>
      </c>
      <c r="K2570" s="24" t="str">
        <f aca="false">IF($D2570="","",IFERROR(IF(INDEX(Workers!$D$5:$D$2004,MATCH($D2570,Workers!$A$5:$A$2004,0))=0,"",INDEX(Workers!$D$5:$D$2004,MATCH($D2570,Workers!$A$5:$A$2004,0))),""))</f>
        <v/>
      </c>
      <c r="L2570" s="24" t="str">
        <f aca="false">IF($D2570="","",IFERROR(INDEX(Workers!$E$5:$E$2004,MATCH($D2570,Workers!$A$5:$A$2004,0)),""))</f>
        <v/>
      </c>
      <c r="M2570" s="26" t="str">
        <f aca="false">IF($D2570="","",IFERROR(INDEX(ClientRates!$D$5:$D$500,MATCH($B2570&amp;"|"&amp;$L2570,ClientRates!$A$5:$A$500,0)),0))</f>
        <v/>
      </c>
      <c r="N2570" s="26" t="str">
        <f aca="false">IF($D2570="","",IFERROR(INDEX(ClientRates!$E$5:$E$500,MATCH($B2570&amp;"|"&amp;$L2570,ClientRates!$A$5:$A$500,0)),0))</f>
        <v/>
      </c>
      <c r="O2570" s="26" t="str">
        <f aca="false">IF($D2570="","",F2570*M2570+G2570*N2570)</f>
        <v/>
      </c>
      <c r="P2570" s="26" t="str">
        <f aca="false">IF(OR($D2570="",$J2570&lt;&gt;"Supplier"),"",IFERROR(INDEX(SupplierRates!$D$5:$D$500,MATCH($K2570&amp;"|"&amp;$L2570,SupplierRates!$A$5:$A$500,0)),0))</f>
        <v/>
      </c>
      <c r="Q2570" s="26" t="str">
        <f aca="false">IF(OR($D2570="",$J2570&lt;&gt;"Supplier"),"",IFERROR(INDEX(SupplierRates!$E$5:$E$500,MATCH($K2570&amp;"|"&amp;$L2570,SupplierRates!$A$5:$A$500,0)),0))</f>
        <v/>
      </c>
      <c r="R2570" s="26" t="n">
        <f aca="false">IF(OR($D2570="",$J2570&lt;&gt;"Supplier"),0,F2570*P2570+G2570*Q2570)</f>
        <v>0</v>
      </c>
      <c r="S2570" s="26" t="n">
        <f aca="false">IF(OR($D2570="",$J2570&lt;&gt;"Own"),0,IFERROR((F2570+G2570*Settings!$B$13)*INDEX(Workers!$V$5:$V$2004,MATCH($D2570,Workers!$A$5:$A$2004,0)),0))</f>
        <v>0</v>
      </c>
      <c r="T2570" s="26" t="str">
        <f aca="false">IF($D2570="","",O2570-R2570-S2570)</f>
        <v/>
      </c>
    </row>
    <row r="2571" customFormat="false" ht="15" hidden="false" customHeight="false" outlineLevel="0" collapsed="false">
      <c r="I2571" s="24" t="str">
        <f aca="false">IF($D2571="","",IFERROR(INDEX(Workers!$B$5:$B$2004,MATCH($D2571,Workers!$A$5:$A$2004,0)),"NOT FOUND"))</f>
        <v/>
      </c>
      <c r="J2571" s="24" t="str">
        <f aca="false">IF($D2571="","",IFERROR(INDEX(Workers!$C$5:$C$2004,MATCH($D2571,Workers!$A$5:$A$2004,0)),""))</f>
        <v/>
      </c>
      <c r="K2571" s="24" t="str">
        <f aca="false">IF($D2571="","",IFERROR(IF(INDEX(Workers!$D$5:$D$2004,MATCH($D2571,Workers!$A$5:$A$2004,0))=0,"",INDEX(Workers!$D$5:$D$2004,MATCH($D2571,Workers!$A$5:$A$2004,0))),""))</f>
        <v/>
      </c>
      <c r="L2571" s="24" t="str">
        <f aca="false">IF($D2571="","",IFERROR(INDEX(Workers!$E$5:$E$2004,MATCH($D2571,Workers!$A$5:$A$2004,0)),""))</f>
        <v/>
      </c>
      <c r="M2571" s="26" t="str">
        <f aca="false">IF($D2571="","",IFERROR(INDEX(ClientRates!$D$5:$D$500,MATCH($B2571&amp;"|"&amp;$L2571,ClientRates!$A$5:$A$500,0)),0))</f>
        <v/>
      </c>
      <c r="N2571" s="26" t="str">
        <f aca="false">IF($D2571="","",IFERROR(INDEX(ClientRates!$E$5:$E$500,MATCH($B2571&amp;"|"&amp;$L2571,ClientRates!$A$5:$A$500,0)),0))</f>
        <v/>
      </c>
      <c r="O2571" s="26" t="str">
        <f aca="false">IF($D2571="","",F2571*M2571+G2571*N2571)</f>
        <v/>
      </c>
      <c r="P2571" s="26" t="str">
        <f aca="false">IF(OR($D2571="",$J2571&lt;&gt;"Supplier"),"",IFERROR(INDEX(SupplierRates!$D$5:$D$500,MATCH($K2571&amp;"|"&amp;$L2571,SupplierRates!$A$5:$A$500,0)),0))</f>
        <v/>
      </c>
      <c r="Q2571" s="26" t="str">
        <f aca="false">IF(OR($D2571="",$J2571&lt;&gt;"Supplier"),"",IFERROR(INDEX(SupplierRates!$E$5:$E$500,MATCH($K2571&amp;"|"&amp;$L2571,SupplierRates!$A$5:$A$500,0)),0))</f>
        <v/>
      </c>
      <c r="R2571" s="26" t="n">
        <f aca="false">IF(OR($D2571="",$J2571&lt;&gt;"Supplier"),0,F2571*P2571+G2571*Q2571)</f>
        <v>0</v>
      </c>
      <c r="S2571" s="26" t="n">
        <f aca="false">IF(OR($D2571="",$J2571&lt;&gt;"Own"),0,IFERROR((F2571+G2571*Settings!$B$13)*INDEX(Workers!$V$5:$V$2004,MATCH($D2571,Workers!$A$5:$A$2004,0)),0))</f>
        <v>0</v>
      </c>
      <c r="T2571" s="26" t="str">
        <f aca="false">IF($D2571="","",O2571-R2571-S2571)</f>
        <v/>
      </c>
    </row>
    <row r="2572" customFormat="false" ht="15" hidden="false" customHeight="false" outlineLevel="0" collapsed="false">
      <c r="I2572" s="24" t="str">
        <f aca="false">IF($D2572="","",IFERROR(INDEX(Workers!$B$5:$B$2004,MATCH($D2572,Workers!$A$5:$A$2004,0)),"NOT FOUND"))</f>
        <v/>
      </c>
      <c r="J2572" s="24" t="str">
        <f aca="false">IF($D2572="","",IFERROR(INDEX(Workers!$C$5:$C$2004,MATCH($D2572,Workers!$A$5:$A$2004,0)),""))</f>
        <v/>
      </c>
      <c r="K2572" s="24" t="str">
        <f aca="false">IF($D2572="","",IFERROR(IF(INDEX(Workers!$D$5:$D$2004,MATCH($D2572,Workers!$A$5:$A$2004,0))=0,"",INDEX(Workers!$D$5:$D$2004,MATCH($D2572,Workers!$A$5:$A$2004,0))),""))</f>
        <v/>
      </c>
      <c r="L2572" s="24" t="str">
        <f aca="false">IF($D2572="","",IFERROR(INDEX(Workers!$E$5:$E$2004,MATCH($D2572,Workers!$A$5:$A$2004,0)),""))</f>
        <v/>
      </c>
      <c r="M2572" s="26" t="str">
        <f aca="false">IF($D2572="","",IFERROR(INDEX(ClientRates!$D$5:$D$500,MATCH($B2572&amp;"|"&amp;$L2572,ClientRates!$A$5:$A$500,0)),0))</f>
        <v/>
      </c>
      <c r="N2572" s="26" t="str">
        <f aca="false">IF($D2572="","",IFERROR(INDEX(ClientRates!$E$5:$E$500,MATCH($B2572&amp;"|"&amp;$L2572,ClientRates!$A$5:$A$500,0)),0))</f>
        <v/>
      </c>
      <c r="O2572" s="26" t="str">
        <f aca="false">IF($D2572="","",F2572*M2572+G2572*N2572)</f>
        <v/>
      </c>
      <c r="P2572" s="26" t="str">
        <f aca="false">IF(OR($D2572="",$J2572&lt;&gt;"Supplier"),"",IFERROR(INDEX(SupplierRates!$D$5:$D$500,MATCH($K2572&amp;"|"&amp;$L2572,SupplierRates!$A$5:$A$500,0)),0))</f>
        <v/>
      </c>
      <c r="Q2572" s="26" t="str">
        <f aca="false">IF(OR($D2572="",$J2572&lt;&gt;"Supplier"),"",IFERROR(INDEX(SupplierRates!$E$5:$E$500,MATCH($K2572&amp;"|"&amp;$L2572,SupplierRates!$A$5:$A$500,0)),0))</f>
        <v/>
      </c>
      <c r="R2572" s="26" t="n">
        <f aca="false">IF(OR($D2572="",$J2572&lt;&gt;"Supplier"),0,F2572*P2572+G2572*Q2572)</f>
        <v>0</v>
      </c>
      <c r="S2572" s="26" t="n">
        <f aca="false">IF(OR($D2572="",$J2572&lt;&gt;"Own"),0,IFERROR((F2572+G2572*Settings!$B$13)*INDEX(Workers!$V$5:$V$2004,MATCH($D2572,Workers!$A$5:$A$2004,0)),0))</f>
        <v>0</v>
      </c>
      <c r="T2572" s="26" t="str">
        <f aca="false">IF($D2572="","",O2572-R2572-S2572)</f>
        <v/>
      </c>
    </row>
    <row r="2573" customFormat="false" ht="15" hidden="false" customHeight="false" outlineLevel="0" collapsed="false">
      <c r="I2573" s="24" t="str">
        <f aca="false">IF($D2573="","",IFERROR(INDEX(Workers!$B$5:$B$2004,MATCH($D2573,Workers!$A$5:$A$2004,0)),"NOT FOUND"))</f>
        <v/>
      </c>
      <c r="J2573" s="24" t="str">
        <f aca="false">IF($D2573="","",IFERROR(INDEX(Workers!$C$5:$C$2004,MATCH($D2573,Workers!$A$5:$A$2004,0)),""))</f>
        <v/>
      </c>
      <c r="K2573" s="24" t="str">
        <f aca="false">IF($D2573="","",IFERROR(IF(INDEX(Workers!$D$5:$D$2004,MATCH($D2573,Workers!$A$5:$A$2004,0))=0,"",INDEX(Workers!$D$5:$D$2004,MATCH($D2573,Workers!$A$5:$A$2004,0))),""))</f>
        <v/>
      </c>
      <c r="L2573" s="24" t="str">
        <f aca="false">IF($D2573="","",IFERROR(INDEX(Workers!$E$5:$E$2004,MATCH($D2573,Workers!$A$5:$A$2004,0)),""))</f>
        <v/>
      </c>
      <c r="M2573" s="26" t="str">
        <f aca="false">IF($D2573="","",IFERROR(INDEX(ClientRates!$D$5:$D$500,MATCH($B2573&amp;"|"&amp;$L2573,ClientRates!$A$5:$A$500,0)),0))</f>
        <v/>
      </c>
      <c r="N2573" s="26" t="str">
        <f aca="false">IF($D2573="","",IFERROR(INDEX(ClientRates!$E$5:$E$500,MATCH($B2573&amp;"|"&amp;$L2573,ClientRates!$A$5:$A$500,0)),0))</f>
        <v/>
      </c>
      <c r="O2573" s="26" t="str">
        <f aca="false">IF($D2573="","",F2573*M2573+G2573*N2573)</f>
        <v/>
      </c>
      <c r="P2573" s="26" t="str">
        <f aca="false">IF(OR($D2573="",$J2573&lt;&gt;"Supplier"),"",IFERROR(INDEX(SupplierRates!$D$5:$D$500,MATCH($K2573&amp;"|"&amp;$L2573,SupplierRates!$A$5:$A$500,0)),0))</f>
        <v/>
      </c>
      <c r="Q2573" s="26" t="str">
        <f aca="false">IF(OR($D2573="",$J2573&lt;&gt;"Supplier"),"",IFERROR(INDEX(SupplierRates!$E$5:$E$500,MATCH($K2573&amp;"|"&amp;$L2573,SupplierRates!$A$5:$A$500,0)),0))</f>
        <v/>
      </c>
      <c r="R2573" s="26" t="n">
        <f aca="false">IF(OR($D2573="",$J2573&lt;&gt;"Supplier"),0,F2573*P2573+G2573*Q2573)</f>
        <v>0</v>
      </c>
      <c r="S2573" s="26" t="n">
        <f aca="false">IF(OR($D2573="",$J2573&lt;&gt;"Own"),0,IFERROR((F2573+G2573*Settings!$B$13)*INDEX(Workers!$V$5:$V$2004,MATCH($D2573,Workers!$A$5:$A$2004,0)),0))</f>
        <v>0</v>
      </c>
      <c r="T2573" s="26" t="str">
        <f aca="false">IF($D2573="","",O2573-R2573-S2573)</f>
        <v/>
      </c>
    </row>
    <row r="2574" customFormat="false" ht="15" hidden="false" customHeight="false" outlineLevel="0" collapsed="false">
      <c r="I2574" s="24" t="str">
        <f aca="false">IF($D2574="","",IFERROR(INDEX(Workers!$B$5:$B$2004,MATCH($D2574,Workers!$A$5:$A$2004,0)),"NOT FOUND"))</f>
        <v/>
      </c>
      <c r="J2574" s="24" t="str">
        <f aca="false">IF($D2574="","",IFERROR(INDEX(Workers!$C$5:$C$2004,MATCH($D2574,Workers!$A$5:$A$2004,0)),""))</f>
        <v/>
      </c>
      <c r="K2574" s="24" t="str">
        <f aca="false">IF($D2574="","",IFERROR(IF(INDEX(Workers!$D$5:$D$2004,MATCH($D2574,Workers!$A$5:$A$2004,0))=0,"",INDEX(Workers!$D$5:$D$2004,MATCH($D2574,Workers!$A$5:$A$2004,0))),""))</f>
        <v/>
      </c>
      <c r="L2574" s="24" t="str">
        <f aca="false">IF($D2574="","",IFERROR(INDEX(Workers!$E$5:$E$2004,MATCH($D2574,Workers!$A$5:$A$2004,0)),""))</f>
        <v/>
      </c>
      <c r="M2574" s="26" t="str">
        <f aca="false">IF($D2574="","",IFERROR(INDEX(ClientRates!$D$5:$D$500,MATCH($B2574&amp;"|"&amp;$L2574,ClientRates!$A$5:$A$500,0)),0))</f>
        <v/>
      </c>
      <c r="N2574" s="26" t="str">
        <f aca="false">IF($D2574="","",IFERROR(INDEX(ClientRates!$E$5:$E$500,MATCH($B2574&amp;"|"&amp;$L2574,ClientRates!$A$5:$A$500,0)),0))</f>
        <v/>
      </c>
      <c r="O2574" s="26" t="str">
        <f aca="false">IF($D2574="","",F2574*M2574+G2574*N2574)</f>
        <v/>
      </c>
      <c r="P2574" s="26" t="str">
        <f aca="false">IF(OR($D2574="",$J2574&lt;&gt;"Supplier"),"",IFERROR(INDEX(SupplierRates!$D$5:$D$500,MATCH($K2574&amp;"|"&amp;$L2574,SupplierRates!$A$5:$A$500,0)),0))</f>
        <v/>
      </c>
      <c r="Q2574" s="26" t="str">
        <f aca="false">IF(OR($D2574="",$J2574&lt;&gt;"Supplier"),"",IFERROR(INDEX(SupplierRates!$E$5:$E$500,MATCH($K2574&amp;"|"&amp;$L2574,SupplierRates!$A$5:$A$500,0)),0))</f>
        <v/>
      </c>
      <c r="R2574" s="26" t="n">
        <f aca="false">IF(OR($D2574="",$J2574&lt;&gt;"Supplier"),0,F2574*P2574+G2574*Q2574)</f>
        <v>0</v>
      </c>
      <c r="S2574" s="26" t="n">
        <f aca="false">IF(OR($D2574="",$J2574&lt;&gt;"Own"),0,IFERROR((F2574+G2574*Settings!$B$13)*INDEX(Workers!$V$5:$V$2004,MATCH($D2574,Workers!$A$5:$A$2004,0)),0))</f>
        <v>0</v>
      </c>
      <c r="T2574" s="26" t="str">
        <f aca="false">IF($D2574="","",O2574-R2574-S2574)</f>
        <v/>
      </c>
    </row>
    <row r="2575" customFormat="false" ht="15" hidden="false" customHeight="false" outlineLevel="0" collapsed="false">
      <c r="I2575" s="24" t="str">
        <f aca="false">IF($D2575="","",IFERROR(INDEX(Workers!$B$5:$B$2004,MATCH($D2575,Workers!$A$5:$A$2004,0)),"NOT FOUND"))</f>
        <v/>
      </c>
      <c r="J2575" s="24" t="str">
        <f aca="false">IF($D2575="","",IFERROR(INDEX(Workers!$C$5:$C$2004,MATCH($D2575,Workers!$A$5:$A$2004,0)),""))</f>
        <v/>
      </c>
      <c r="K2575" s="24" t="str">
        <f aca="false">IF($D2575="","",IFERROR(IF(INDEX(Workers!$D$5:$D$2004,MATCH($D2575,Workers!$A$5:$A$2004,0))=0,"",INDEX(Workers!$D$5:$D$2004,MATCH($D2575,Workers!$A$5:$A$2004,0))),""))</f>
        <v/>
      </c>
      <c r="L2575" s="24" t="str">
        <f aca="false">IF($D2575="","",IFERROR(INDEX(Workers!$E$5:$E$2004,MATCH($D2575,Workers!$A$5:$A$2004,0)),""))</f>
        <v/>
      </c>
      <c r="M2575" s="26" t="str">
        <f aca="false">IF($D2575="","",IFERROR(INDEX(ClientRates!$D$5:$D$500,MATCH($B2575&amp;"|"&amp;$L2575,ClientRates!$A$5:$A$500,0)),0))</f>
        <v/>
      </c>
      <c r="N2575" s="26" t="str">
        <f aca="false">IF($D2575="","",IFERROR(INDEX(ClientRates!$E$5:$E$500,MATCH($B2575&amp;"|"&amp;$L2575,ClientRates!$A$5:$A$500,0)),0))</f>
        <v/>
      </c>
      <c r="O2575" s="26" t="str">
        <f aca="false">IF($D2575="","",F2575*M2575+G2575*N2575)</f>
        <v/>
      </c>
      <c r="P2575" s="26" t="str">
        <f aca="false">IF(OR($D2575="",$J2575&lt;&gt;"Supplier"),"",IFERROR(INDEX(SupplierRates!$D$5:$D$500,MATCH($K2575&amp;"|"&amp;$L2575,SupplierRates!$A$5:$A$500,0)),0))</f>
        <v/>
      </c>
      <c r="Q2575" s="26" t="str">
        <f aca="false">IF(OR($D2575="",$J2575&lt;&gt;"Supplier"),"",IFERROR(INDEX(SupplierRates!$E$5:$E$500,MATCH($K2575&amp;"|"&amp;$L2575,SupplierRates!$A$5:$A$500,0)),0))</f>
        <v/>
      </c>
      <c r="R2575" s="26" t="n">
        <f aca="false">IF(OR($D2575="",$J2575&lt;&gt;"Supplier"),0,F2575*P2575+G2575*Q2575)</f>
        <v>0</v>
      </c>
      <c r="S2575" s="26" t="n">
        <f aca="false">IF(OR($D2575="",$J2575&lt;&gt;"Own"),0,IFERROR((F2575+G2575*Settings!$B$13)*INDEX(Workers!$V$5:$V$2004,MATCH($D2575,Workers!$A$5:$A$2004,0)),0))</f>
        <v>0</v>
      </c>
      <c r="T2575" s="26" t="str">
        <f aca="false">IF($D2575="","",O2575-R2575-S2575)</f>
        <v/>
      </c>
    </row>
    <row r="2576" customFormat="false" ht="15" hidden="false" customHeight="false" outlineLevel="0" collapsed="false">
      <c r="I2576" s="24" t="str">
        <f aca="false">IF($D2576="","",IFERROR(INDEX(Workers!$B$5:$B$2004,MATCH($D2576,Workers!$A$5:$A$2004,0)),"NOT FOUND"))</f>
        <v/>
      </c>
      <c r="J2576" s="24" t="str">
        <f aca="false">IF($D2576="","",IFERROR(INDEX(Workers!$C$5:$C$2004,MATCH($D2576,Workers!$A$5:$A$2004,0)),""))</f>
        <v/>
      </c>
      <c r="K2576" s="24" t="str">
        <f aca="false">IF($D2576="","",IFERROR(IF(INDEX(Workers!$D$5:$D$2004,MATCH($D2576,Workers!$A$5:$A$2004,0))=0,"",INDEX(Workers!$D$5:$D$2004,MATCH($D2576,Workers!$A$5:$A$2004,0))),""))</f>
        <v/>
      </c>
      <c r="L2576" s="24" t="str">
        <f aca="false">IF($D2576="","",IFERROR(INDEX(Workers!$E$5:$E$2004,MATCH($D2576,Workers!$A$5:$A$2004,0)),""))</f>
        <v/>
      </c>
      <c r="M2576" s="26" t="str">
        <f aca="false">IF($D2576="","",IFERROR(INDEX(ClientRates!$D$5:$D$500,MATCH($B2576&amp;"|"&amp;$L2576,ClientRates!$A$5:$A$500,0)),0))</f>
        <v/>
      </c>
      <c r="N2576" s="26" t="str">
        <f aca="false">IF($D2576="","",IFERROR(INDEX(ClientRates!$E$5:$E$500,MATCH($B2576&amp;"|"&amp;$L2576,ClientRates!$A$5:$A$500,0)),0))</f>
        <v/>
      </c>
      <c r="O2576" s="26" t="str">
        <f aca="false">IF($D2576="","",F2576*M2576+G2576*N2576)</f>
        <v/>
      </c>
      <c r="P2576" s="26" t="str">
        <f aca="false">IF(OR($D2576="",$J2576&lt;&gt;"Supplier"),"",IFERROR(INDEX(SupplierRates!$D$5:$D$500,MATCH($K2576&amp;"|"&amp;$L2576,SupplierRates!$A$5:$A$500,0)),0))</f>
        <v/>
      </c>
      <c r="Q2576" s="26" t="str">
        <f aca="false">IF(OR($D2576="",$J2576&lt;&gt;"Supplier"),"",IFERROR(INDEX(SupplierRates!$E$5:$E$500,MATCH($K2576&amp;"|"&amp;$L2576,SupplierRates!$A$5:$A$500,0)),0))</f>
        <v/>
      </c>
      <c r="R2576" s="26" t="n">
        <f aca="false">IF(OR($D2576="",$J2576&lt;&gt;"Supplier"),0,F2576*P2576+G2576*Q2576)</f>
        <v>0</v>
      </c>
      <c r="S2576" s="26" t="n">
        <f aca="false">IF(OR($D2576="",$J2576&lt;&gt;"Own"),0,IFERROR((F2576+G2576*Settings!$B$13)*INDEX(Workers!$V$5:$V$2004,MATCH($D2576,Workers!$A$5:$A$2004,0)),0))</f>
        <v>0</v>
      </c>
      <c r="T2576" s="26" t="str">
        <f aca="false">IF($D2576="","",O2576-R2576-S2576)</f>
        <v/>
      </c>
    </row>
    <row r="2577" customFormat="false" ht="15" hidden="false" customHeight="false" outlineLevel="0" collapsed="false">
      <c r="I2577" s="24" t="str">
        <f aca="false">IF($D2577="","",IFERROR(INDEX(Workers!$B$5:$B$2004,MATCH($D2577,Workers!$A$5:$A$2004,0)),"NOT FOUND"))</f>
        <v/>
      </c>
      <c r="J2577" s="24" t="str">
        <f aca="false">IF($D2577="","",IFERROR(INDEX(Workers!$C$5:$C$2004,MATCH($D2577,Workers!$A$5:$A$2004,0)),""))</f>
        <v/>
      </c>
      <c r="K2577" s="24" t="str">
        <f aca="false">IF($D2577="","",IFERROR(IF(INDEX(Workers!$D$5:$D$2004,MATCH($D2577,Workers!$A$5:$A$2004,0))=0,"",INDEX(Workers!$D$5:$D$2004,MATCH($D2577,Workers!$A$5:$A$2004,0))),""))</f>
        <v/>
      </c>
      <c r="L2577" s="24" t="str">
        <f aca="false">IF($D2577="","",IFERROR(INDEX(Workers!$E$5:$E$2004,MATCH($D2577,Workers!$A$5:$A$2004,0)),""))</f>
        <v/>
      </c>
      <c r="M2577" s="26" t="str">
        <f aca="false">IF($D2577="","",IFERROR(INDEX(ClientRates!$D$5:$D$500,MATCH($B2577&amp;"|"&amp;$L2577,ClientRates!$A$5:$A$500,0)),0))</f>
        <v/>
      </c>
      <c r="N2577" s="26" t="str">
        <f aca="false">IF($D2577="","",IFERROR(INDEX(ClientRates!$E$5:$E$500,MATCH($B2577&amp;"|"&amp;$L2577,ClientRates!$A$5:$A$500,0)),0))</f>
        <v/>
      </c>
      <c r="O2577" s="26" t="str">
        <f aca="false">IF($D2577="","",F2577*M2577+G2577*N2577)</f>
        <v/>
      </c>
      <c r="P2577" s="26" t="str">
        <f aca="false">IF(OR($D2577="",$J2577&lt;&gt;"Supplier"),"",IFERROR(INDEX(SupplierRates!$D$5:$D$500,MATCH($K2577&amp;"|"&amp;$L2577,SupplierRates!$A$5:$A$500,0)),0))</f>
        <v/>
      </c>
      <c r="Q2577" s="26" t="str">
        <f aca="false">IF(OR($D2577="",$J2577&lt;&gt;"Supplier"),"",IFERROR(INDEX(SupplierRates!$E$5:$E$500,MATCH($K2577&amp;"|"&amp;$L2577,SupplierRates!$A$5:$A$500,0)),0))</f>
        <v/>
      </c>
      <c r="R2577" s="26" t="n">
        <f aca="false">IF(OR($D2577="",$J2577&lt;&gt;"Supplier"),0,F2577*P2577+G2577*Q2577)</f>
        <v>0</v>
      </c>
      <c r="S2577" s="26" t="n">
        <f aca="false">IF(OR($D2577="",$J2577&lt;&gt;"Own"),0,IFERROR((F2577+G2577*Settings!$B$13)*INDEX(Workers!$V$5:$V$2004,MATCH($D2577,Workers!$A$5:$A$2004,0)),0))</f>
        <v>0</v>
      </c>
      <c r="T2577" s="26" t="str">
        <f aca="false">IF($D2577="","",O2577-R2577-S2577)</f>
        <v/>
      </c>
    </row>
    <row r="2578" customFormat="false" ht="15" hidden="false" customHeight="false" outlineLevel="0" collapsed="false">
      <c r="I2578" s="24" t="str">
        <f aca="false">IF($D2578="","",IFERROR(INDEX(Workers!$B$5:$B$2004,MATCH($D2578,Workers!$A$5:$A$2004,0)),"NOT FOUND"))</f>
        <v/>
      </c>
      <c r="J2578" s="24" t="str">
        <f aca="false">IF($D2578="","",IFERROR(INDEX(Workers!$C$5:$C$2004,MATCH($D2578,Workers!$A$5:$A$2004,0)),""))</f>
        <v/>
      </c>
      <c r="K2578" s="24" t="str">
        <f aca="false">IF($D2578="","",IFERROR(IF(INDEX(Workers!$D$5:$D$2004,MATCH($D2578,Workers!$A$5:$A$2004,0))=0,"",INDEX(Workers!$D$5:$D$2004,MATCH($D2578,Workers!$A$5:$A$2004,0))),""))</f>
        <v/>
      </c>
      <c r="L2578" s="24" t="str">
        <f aca="false">IF($D2578="","",IFERROR(INDEX(Workers!$E$5:$E$2004,MATCH($D2578,Workers!$A$5:$A$2004,0)),""))</f>
        <v/>
      </c>
      <c r="M2578" s="26" t="str">
        <f aca="false">IF($D2578="","",IFERROR(INDEX(ClientRates!$D$5:$D$500,MATCH($B2578&amp;"|"&amp;$L2578,ClientRates!$A$5:$A$500,0)),0))</f>
        <v/>
      </c>
      <c r="N2578" s="26" t="str">
        <f aca="false">IF($D2578="","",IFERROR(INDEX(ClientRates!$E$5:$E$500,MATCH($B2578&amp;"|"&amp;$L2578,ClientRates!$A$5:$A$500,0)),0))</f>
        <v/>
      </c>
      <c r="O2578" s="26" t="str">
        <f aca="false">IF($D2578="","",F2578*M2578+G2578*N2578)</f>
        <v/>
      </c>
      <c r="P2578" s="26" t="str">
        <f aca="false">IF(OR($D2578="",$J2578&lt;&gt;"Supplier"),"",IFERROR(INDEX(SupplierRates!$D$5:$D$500,MATCH($K2578&amp;"|"&amp;$L2578,SupplierRates!$A$5:$A$500,0)),0))</f>
        <v/>
      </c>
      <c r="Q2578" s="26" t="str">
        <f aca="false">IF(OR($D2578="",$J2578&lt;&gt;"Supplier"),"",IFERROR(INDEX(SupplierRates!$E$5:$E$500,MATCH($K2578&amp;"|"&amp;$L2578,SupplierRates!$A$5:$A$500,0)),0))</f>
        <v/>
      </c>
      <c r="R2578" s="26" t="n">
        <f aca="false">IF(OR($D2578="",$J2578&lt;&gt;"Supplier"),0,F2578*P2578+G2578*Q2578)</f>
        <v>0</v>
      </c>
      <c r="S2578" s="26" t="n">
        <f aca="false">IF(OR($D2578="",$J2578&lt;&gt;"Own"),0,IFERROR((F2578+G2578*Settings!$B$13)*INDEX(Workers!$V$5:$V$2004,MATCH($D2578,Workers!$A$5:$A$2004,0)),0))</f>
        <v>0</v>
      </c>
      <c r="T2578" s="26" t="str">
        <f aca="false">IF($D2578="","",O2578-R2578-S2578)</f>
        <v/>
      </c>
    </row>
    <row r="2579" customFormat="false" ht="15" hidden="false" customHeight="false" outlineLevel="0" collapsed="false">
      <c r="I2579" s="24" t="str">
        <f aca="false">IF($D2579="","",IFERROR(INDEX(Workers!$B$5:$B$2004,MATCH($D2579,Workers!$A$5:$A$2004,0)),"NOT FOUND"))</f>
        <v/>
      </c>
      <c r="J2579" s="24" t="str">
        <f aca="false">IF($D2579="","",IFERROR(INDEX(Workers!$C$5:$C$2004,MATCH($D2579,Workers!$A$5:$A$2004,0)),""))</f>
        <v/>
      </c>
      <c r="K2579" s="24" t="str">
        <f aca="false">IF($D2579="","",IFERROR(IF(INDEX(Workers!$D$5:$D$2004,MATCH($D2579,Workers!$A$5:$A$2004,0))=0,"",INDEX(Workers!$D$5:$D$2004,MATCH($D2579,Workers!$A$5:$A$2004,0))),""))</f>
        <v/>
      </c>
      <c r="L2579" s="24" t="str">
        <f aca="false">IF($D2579="","",IFERROR(INDEX(Workers!$E$5:$E$2004,MATCH($D2579,Workers!$A$5:$A$2004,0)),""))</f>
        <v/>
      </c>
      <c r="M2579" s="26" t="str">
        <f aca="false">IF($D2579="","",IFERROR(INDEX(ClientRates!$D$5:$D$500,MATCH($B2579&amp;"|"&amp;$L2579,ClientRates!$A$5:$A$500,0)),0))</f>
        <v/>
      </c>
      <c r="N2579" s="26" t="str">
        <f aca="false">IF($D2579="","",IFERROR(INDEX(ClientRates!$E$5:$E$500,MATCH($B2579&amp;"|"&amp;$L2579,ClientRates!$A$5:$A$500,0)),0))</f>
        <v/>
      </c>
      <c r="O2579" s="26" t="str">
        <f aca="false">IF($D2579="","",F2579*M2579+G2579*N2579)</f>
        <v/>
      </c>
      <c r="P2579" s="26" t="str">
        <f aca="false">IF(OR($D2579="",$J2579&lt;&gt;"Supplier"),"",IFERROR(INDEX(SupplierRates!$D$5:$D$500,MATCH($K2579&amp;"|"&amp;$L2579,SupplierRates!$A$5:$A$500,0)),0))</f>
        <v/>
      </c>
      <c r="Q2579" s="26" t="str">
        <f aca="false">IF(OR($D2579="",$J2579&lt;&gt;"Supplier"),"",IFERROR(INDEX(SupplierRates!$E$5:$E$500,MATCH($K2579&amp;"|"&amp;$L2579,SupplierRates!$A$5:$A$500,0)),0))</f>
        <v/>
      </c>
      <c r="R2579" s="26" t="n">
        <f aca="false">IF(OR($D2579="",$J2579&lt;&gt;"Supplier"),0,F2579*P2579+G2579*Q2579)</f>
        <v>0</v>
      </c>
      <c r="S2579" s="26" t="n">
        <f aca="false">IF(OR($D2579="",$J2579&lt;&gt;"Own"),0,IFERROR((F2579+G2579*Settings!$B$13)*INDEX(Workers!$V$5:$V$2004,MATCH($D2579,Workers!$A$5:$A$2004,0)),0))</f>
        <v>0</v>
      </c>
      <c r="T2579" s="26" t="str">
        <f aca="false">IF($D2579="","",O2579-R2579-S2579)</f>
        <v/>
      </c>
    </row>
    <row r="2580" customFormat="false" ht="15" hidden="false" customHeight="false" outlineLevel="0" collapsed="false">
      <c r="I2580" s="24" t="str">
        <f aca="false">IF($D2580="","",IFERROR(INDEX(Workers!$B$5:$B$2004,MATCH($D2580,Workers!$A$5:$A$2004,0)),"NOT FOUND"))</f>
        <v/>
      </c>
      <c r="J2580" s="24" t="str">
        <f aca="false">IF($D2580="","",IFERROR(INDEX(Workers!$C$5:$C$2004,MATCH($D2580,Workers!$A$5:$A$2004,0)),""))</f>
        <v/>
      </c>
      <c r="K2580" s="24" t="str">
        <f aca="false">IF($D2580="","",IFERROR(IF(INDEX(Workers!$D$5:$D$2004,MATCH($D2580,Workers!$A$5:$A$2004,0))=0,"",INDEX(Workers!$D$5:$D$2004,MATCH($D2580,Workers!$A$5:$A$2004,0))),""))</f>
        <v/>
      </c>
      <c r="L2580" s="24" t="str">
        <f aca="false">IF($D2580="","",IFERROR(INDEX(Workers!$E$5:$E$2004,MATCH($D2580,Workers!$A$5:$A$2004,0)),""))</f>
        <v/>
      </c>
      <c r="M2580" s="26" t="str">
        <f aca="false">IF($D2580="","",IFERROR(INDEX(ClientRates!$D$5:$D$500,MATCH($B2580&amp;"|"&amp;$L2580,ClientRates!$A$5:$A$500,0)),0))</f>
        <v/>
      </c>
      <c r="N2580" s="26" t="str">
        <f aca="false">IF($D2580="","",IFERROR(INDEX(ClientRates!$E$5:$E$500,MATCH($B2580&amp;"|"&amp;$L2580,ClientRates!$A$5:$A$500,0)),0))</f>
        <v/>
      </c>
      <c r="O2580" s="26" t="str">
        <f aca="false">IF($D2580="","",F2580*M2580+G2580*N2580)</f>
        <v/>
      </c>
      <c r="P2580" s="26" t="str">
        <f aca="false">IF(OR($D2580="",$J2580&lt;&gt;"Supplier"),"",IFERROR(INDEX(SupplierRates!$D$5:$D$500,MATCH($K2580&amp;"|"&amp;$L2580,SupplierRates!$A$5:$A$500,0)),0))</f>
        <v/>
      </c>
      <c r="Q2580" s="26" t="str">
        <f aca="false">IF(OR($D2580="",$J2580&lt;&gt;"Supplier"),"",IFERROR(INDEX(SupplierRates!$E$5:$E$500,MATCH($K2580&amp;"|"&amp;$L2580,SupplierRates!$A$5:$A$500,0)),0))</f>
        <v/>
      </c>
      <c r="R2580" s="26" t="n">
        <f aca="false">IF(OR($D2580="",$J2580&lt;&gt;"Supplier"),0,F2580*P2580+G2580*Q2580)</f>
        <v>0</v>
      </c>
      <c r="S2580" s="26" t="n">
        <f aca="false">IF(OR($D2580="",$J2580&lt;&gt;"Own"),0,IFERROR((F2580+G2580*Settings!$B$13)*INDEX(Workers!$V$5:$V$2004,MATCH($D2580,Workers!$A$5:$A$2004,0)),0))</f>
        <v>0</v>
      </c>
      <c r="T2580" s="26" t="str">
        <f aca="false">IF($D2580="","",O2580-R2580-S2580)</f>
        <v/>
      </c>
    </row>
    <row r="2581" customFormat="false" ht="15" hidden="false" customHeight="false" outlineLevel="0" collapsed="false">
      <c r="I2581" s="24" t="str">
        <f aca="false">IF($D2581="","",IFERROR(INDEX(Workers!$B$5:$B$2004,MATCH($D2581,Workers!$A$5:$A$2004,0)),"NOT FOUND"))</f>
        <v/>
      </c>
      <c r="J2581" s="24" t="str">
        <f aca="false">IF($D2581="","",IFERROR(INDEX(Workers!$C$5:$C$2004,MATCH($D2581,Workers!$A$5:$A$2004,0)),""))</f>
        <v/>
      </c>
      <c r="K2581" s="24" t="str">
        <f aca="false">IF($D2581="","",IFERROR(IF(INDEX(Workers!$D$5:$D$2004,MATCH($D2581,Workers!$A$5:$A$2004,0))=0,"",INDEX(Workers!$D$5:$D$2004,MATCH($D2581,Workers!$A$5:$A$2004,0))),""))</f>
        <v/>
      </c>
      <c r="L2581" s="24" t="str">
        <f aca="false">IF($D2581="","",IFERROR(INDEX(Workers!$E$5:$E$2004,MATCH($D2581,Workers!$A$5:$A$2004,0)),""))</f>
        <v/>
      </c>
      <c r="M2581" s="26" t="str">
        <f aca="false">IF($D2581="","",IFERROR(INDEX(ClientRates!$D$5:$D$500,MATCH($B2581&amp;"|"&amp;$L2581,ClientRates!$A$5:$A$500,0)),0))</f>
        <v/>
      </c>
      <c r="N2581" s="26" t="str">
        <f aca="false">IF($D2581="","",IFERROR(INDEX(ClientRates!$E$5:$E$500,MATCH($B2581&amp;"|"&amp;$L2581,ClientRates!$A$5:$A$500,0)),0))</f>
        <v/>
      </c>
      <c r="O2581" s="26" t="str">
        <f aca="false">IF($D2581="","",F2581*M2581+G2581*N2581)</f>
        <v/>
      </c>
      <c r="P2581" s="26" t="str">
        <f aca="false">IF(OR($D2581="",$J2581&lt;&gt;"Supplier"),"",IFERROR(INDEX(SupplierRates!$D$5:$D$500,MATCH($K2581&amp;"|"&amp;$L2581,SupplierRates!$A$5:$A$500,0)),0))</f>
        <v/>
      </c>
      <c r="Q2581" s="26" t="str">
        <f aca="false">IF(OR($D2581="",$J2581&lt;&gt;"Supplier"),"",IFERROR(INDEX(SupplierRates!$E$5:$E$500,MATCH($K2581&amp;"|"&amp;$L2581,SupplierRates!$A$5:$A$500,0)),0))</f>
        <v/>
      </c>
      <c r="R2581" s="26" t="n">
        <f aca="false">IF(OR($D2581="",$J2581&lt;&gt;"Supplier"),0,F2581*P2581+G2581*Q2581)</f>
        <v>0</v>
      </c>
      <c r="S2581" s="26" t="n">
        <f aca="false">IF(OR($D2581="",$J2581&lt;&gt;"Own"),0,IFERROR((F2581+G2581*Settings!$B$13)*INDEX(Workers!$V$5:$V$2004,MATCH($D2581,Workers!$A$5:$A$2004,0)),0))</f>
        <v>0</v>
      </c>
      <c r="T2581" s="26" t="str">
        <f aca="false">IF($D2581="","",O2581-R2581-S2581)</f>
        <v/>
      </c>
    </row>
    <row r="2582" customFormat="false" ht="15" hidden="false" customHeight="false" outlineLevel="0" collapsed="false">
      <c r="I2582" s="24" t="str">
        <f aca="false">IF($D2582="","",IFERROR(INDEX(Workers!$B$5:$B$2004,MATCH($D2582,Workers!$A$5:$A$2004,0)),"NOT FOUND"))</f>
        <v/>
      </c>
      <c r="J2582" s="24" t="str">
        <f aca="false">IF($D2582="","",IFERROR(INDEX(Workers!$C$5:$C$2004,MATCH($D2582,Workers!$A$5:$A$2004,0)),""))</f>
        <v/>
      </c>
      <c r="K2582" s="24" t="str">
        <f aca="false">IF($D2582="","",IFERROR(IF(INDEX(Workers!$D$5:$D$2004,MATCH($D2582,Workers!$A$5:$A$2004,0))=0,"",INDEX(Workers!$D$5:$D$2004,MATCH($D2582,Workers!$A$5:$A$2004,0))),""))</f>
        <v/>
      </c>
      <c r="L2582" s="24" t="str">
        <f aca="false">IF($D2582="","",IFERROR(INDEX(Workers!$E$5:$E$2004,MATCH($D2582,Workers!$A$5:$A$2004,0)),""))</f>
        <v/>
      </c>
      <c r="M2582" s="26" t="str">
        <f aca="false">IF($D2582="","",IFERROR(INDEX(ClientRates!$D$5:$D$500,MATCH($B2582&amp;"|"&amp;$L2582,ClientRates!$A$5:$A$500,0)),0))</f>
        <v/>
      </c>
      <c r="N2582" s="26" t="str">
        <f aca="false">IF($D2582="","",IFERROR(INDEX(ClientRates!$E$5:$E$500,MATCH($B2582&amp;"|"&amp;$L2582,ClientRates!$A$5:$A$500,0)),0))</f>
        <v/>
      </c>
      <c r="O2582" s="26" t="str">
        <f aca="false">IF($D2582="","",F2582*M2582+G2582*N2582)</f>
        <v/>
      </c>
      <c r="P2582" s="26" t="str">
        <f aca="false">IF(OR($D2582="",$J2582&lt;&gt;"Supplier"),"",IFERROR(INDEX(SupplierRates!$D$5:$D$500,MATCH($K2582&amp;"|"&amp;$L2582,SupplierRates!$A$5:$A$500,0)),0))</f>
        <v/>
      </c>
      <c r="Q2582" s="26" t="str">
        <f aca="false">IF(OR($D2582="",$J2582&lt;&gt;"Supplier"),"",IFERROR(INDEX(SupplierRates!$E$5:$E$500,MATCH($K2582&amp;"|"&amp;$L2582,SupplierRates!$A$5:$A$500,0)),0))</f>
        <v/>
      </c>
      <c r="R2582" s="26" t="n">
        <f aca="false">IF(OR($D2582="",$J2582&lt;&gt;"Supplier"),0,F2582*P2582+G2582*Q2582)</f>
        <v>0</v>
      </c>
      <c r="S2582" s="26" t="n">
        <f aca="false">IF(OR($D2582="",$J2582&lt;&gt;"Own"),0,IFERROR((F2582+G2582*Settings!$B$13)*INDEX(Workers!$V$5:$V$2004,MATCH($D2582,Workers!$A$5:$A$2004,0)),0))</f>
        <v>0</v>
      </c>
      <c r="T2582" s="26" t="str">
        <f aca="false">IF($D2582="","",O2582-R2582-S2582)</f>
        <v/>
      </c>
    </row>
    <row r="2583" customFormat="false" ht="15" hidden="false" customHeight="false" outlineLevel="0" collapsed="false">
      <c r="I2583" s="24" t="str">
        <f aca="false">IF($D2583="","",IFERROR(INDEX(Workers!$B$5:$B$2004,MATCH($D2583,Workers!$A$5:$A$2004,0)),"NOT FOUND"))</f>
        <v/>
      </c>
      <c r="J2583" s="24" t="str">
        <f aca="false">IF($D2583="","",IFERROR(INDEX(Workers!$C$5:$C$2004,MATCH($D2583,Workers!$A$5:$A$2004,0)),""))</f>
        <v/>
      </c>
      <c r="K2583" s="24" t="str">
        <f aca="false">IF($D2583="","",IFERROR(IF(INDEX(Workers!$D$5:$D$2004,MATCH($D2583,Workers!$A$5:$A$2004,0))=0,"",INDEX(Workers!$D$5:$D$2004,MATCH($D2583,Workers!$A$5:$A$2004,0))),""))</f>
        <v/>
      </c>
      <c r="L2583" s="24" t="str">
        <f aca="false">IF($D2583="","",IFERROR(INDEX(Workers!$E$5:$E$2004,MATCH($D2583,Workers!$A$5:$A$2004,0)),""))</f>
        <v/>
      </c>
      <c r="M2583" s="26" t="str">
        <f aca="false">IF($D2583="","",IFERROR(INDEX(ClientRates!$D$5:$D$500,MATCH($B2583&amp;"|"&amp;$L2583,ClientRates!$A$5:$A$500,0)),0))</f>
        <v/>
      </c>
      <c r="N2583" s="26" t="str">
        <f aca="false">IF($D2583="","",IFERROR(INDEX(ClientRates!$E$5:$E$500,MATCH($B2583&amp;"|"&amp;$L2583,ClientRates!$A$5:$A$500,0)),0))</f>
        <v/>
      </c>
      <c r="O2583" s="26" t="str">
        <f aca="false">IF($D2583="","",F2583*M2583+G2583*N2583)</f>
        <v/>
      </c>
      <c r="P2583" s="26" t="str">
        <f aca="false">IF(OR($D2583="",$J2583&lt;&gt;"Supplier"),"",IFERROR(INDEX(SupplierRates!$D$5:$D$500,MATCH($K2583&amp;"|"&amp;$L2583,SupplierRates!$A$5:$A$500,0)),0))</f>
        <v/>
      </c>
      <c r="Q2583" s="26" t="str">
        <f aca="false">IF(OR($D2583="",$J2583&lt;&gt;"Supplier"),"",IFERROR(INDEX(SupplierRates!$E$5:$E$500,MATCH($K2583&amp;"|"&amp;$L2583,SupplierRates!$A$5:$A$500,0)),0))</f>
        <v/>
      </c>
      <c r="R2583" s="26" t="n">
        <f aca="false">IF(OR($D2583="",$J2583&lt;&gt;"Supplier"),0,F2583*P2583+G2583*Q2583)</f>
        <v>0</v>
      </c>
      <c r="S2583" s="26" t="n">
        <f aca="false">IF(OR($D2583="",$J2583&lt;&gt;"Own"),0,IFERROR((F2583+G2583*Settings!$B$13)*INDEX(Workers!$V$5:$V$2004,MATCH($D2583,Workers!$A$5:$A$2004,0)),0))</f>
        <v>0</v>
      </c>
      <c r="T2583" s="26" t="str">
        <f aca="false">IF($D2583="","",O2583-R2583-S2583)</f>
        <v/>
      </c>
    </row>
    <row r="2584" customFormat="false" ht="15" hidden="false" customHeight="false" outlineLevel="0" collapsed="false">
      <c r="I2584" s="24" t="str">
        <f aca="false">IF($D2584="","",IFERROR(INDEX(Workers!$B$5:$B$2004,MATCH($D2584,Workers!$A$5:$A$2004,0)),"NOT FOUND"))</f>
        <v/>
      </c>
      <c r="J2584" s="24" t="str">
        <f aca="false">IF($D2584="","",IFERROR(INDEX(Workers!$C$5:$C$2004,MATCH($D2584,Workers!$A$5:$A$2004,0)),""))</f>
        <v/>
      </c>
      <c r="K2584" s="24" t="str">
        <f aca="false">IF($D2584="","",IFERROR(IF(INDEX(Workers!$D$5:$D$2004,MATCH($D2584,Workers!$A$5:$A$2004,0))=0,"",INDEX(Workers!$D$5:$D$2004,MATCH($D2584,Workers!$A$5:$A$2004,0))),""))</f>
        <v/>
      </c>
      <c r="L2584" s="24" t="str">
        <f aca="false">IF($D2584="","",IFERROR(INDEX(Workers!$E$5:$E$2004,MATCH($D2584,Workers!$A$5:$A$2004,0)),""))</f>
        <v/>
      </c>
      <c r="M2584" s="26" t="str">
        <f aca="false">IF($D2584="","",IFERROR(INDEX(ClientRates!$D$5:$D$500,MATCH($B2584&amp;"|"&amp;$L2584,ClientRates!$A$5:$A$500,0)),0))</f>
        <v/>
      </c>
      <c r="N2584" s="26" t="str">
        <f aca="false">IF($D2584="","",IFERROR(INDEX(ClientRates!$E$5:$E$500,MATCH($B2584&amp;"|"&amp;$L2584,ClientRates!$A$5:$A$500,0)),0))</f>
        <v/>
      </c>
      <c r="O2584" s="26" t="str">
        <f aca="false">IF($D2584="","",F2584*M2584+G2584*N2584)</f>
        <v/>
      </c>
      <c r="P2584" s="26" t="str">
        <f aca="false">IF(OR($D2584="",$J2584&lt;&gt;"Supplier"),"",IFERROR(INDEX(SupplierRates!$D$5:$D$500,MATCH($K2584&amp;"|"&amp;$L2584,SupplierRates!$A$5:$A$500,0)),0))</f>
        <v/>
      </c>
      <c r="Q2584" s="26" t="str">
        <f aca="false">IF(OR($D2584="",$J2584&lt;&gt;"Supplier"),"",IFERROR(INDEX(SupplierRates!$E$5:$E$500,MATCH($K2584&amp;"|"&amp;$L2584,SupplierRates!$A$5:$A$500,0)),0))</f>
        <v/>
      </c>
      <c r="R2584" s="26" t="n">
        <f aca="false">IF(OR($D2584="",$J2584&lt;&gt;"Supplier"),0,F2584*P2584+G2584*Q2584)</f>
        <v>0</v>
      </c>
      <c r="S2584" s="26" t="n">
        <f aca="false">IF(OR($D2584="",$J2584&lt;&gt;"Own"),0,IFERROR((F2584+G2584*Settings!$B$13)*INDEX(Workers!$V$5:$V$2004,MATCH($D2584,Workers!$A$5:$A$2004,0)),0))</f>
        <v>0</v>
      </c>
      <c r="T2584" s="26" t="str">
        <f aca="false">IF($D2584="","",O2584-R2584-S2584)</f>
        <v/>
      </c>
    </row>
    <row r="2585" customFormat="false" ht="15" hidden="false" customHeight="false" outlineLevel="0" collapsed="false">
      <c r="I2585" s="24" t="str">
        <f aca="false">IF($D2585="","",IFERROR(INDEX(Workers!$B$5:$B$2004,MATCH($D2585,Workers!$A$5:$A$2004,0)),"NOT FOUND"))</f>
        <v/>
      </c>
      <c r="J2585" s="24" t="str">
        <f aca="false">IF($D2585="","",IFERROR(INDEX(Workers!$C$5:$C$2004,MATCH($D2585,Workers!$A$5:$A$2004,0)),""))</f>
        <v/>
      </c>
      <c r="K2585" s="24" t="str">
        <f aca="false">IF($D2585="","",IFERROR(IF(INDEX(Workers!$D$5:$D$2004,MATCH($D2585,Workers!$A$5:$A$2004,0))=0,"",INDEX(Workers!$D$5:$D$2004,MATCH($D2585,Workers!$A$5:$A$2004,0))),""))</f>
        <v/>
      </c>
      <c r="L2585" s="24" t="str">
        <f aca="false">IF($D2585="","",IFERROR(INDEX(Workers!$E$5:$E$2004,MATCH($D2585,Workers!$A$5:$A$2004,0)),""))</f>
        <v/>
      </c>
      <c r="M2585" s="26" t="str">
        <f aca="false">IF($D2585="","",IFERROR(INDEX(ClientRates!$D$5:$D$500,MATCH($B2585&amp;"|"&amp;$L2585,ClientRates!$A$5:$A$500,0)),0))</f>
        <v/>
      </c>
      <c r="N2585" s="26" t="str">
        <f aca="false">IF($D2585="","",IFERROR(INDEX(ClientRates!$E$5:$E$500,MATCH($B2585&amp;"|"&amp;$L2585,ClientRates!$A$5:$A$500,0)),0))</f>
        <v/>
      </c>
      <c r="O2585" s="26" t="str">
        <f aca="false">IF($D2585="","",F2585*M2585+G2585*N2585)</f>
        <v/>
      </c>
      <c r="P2585" s="26" t="str">
        <f aca="false">IF(OR($D2585="",$J2585&lt;&gt;"Supplier"),"",IFERROR(INDEX(SupplierRates!$D$5:$D$500,MATCH($K2585&amp;"|"&amp;$L2585,SupplierRates!$A$5:$A$500,0)),0))</f>
        <v/>
      </c>
      <c r="Q2585" s="26" t="str">
        <f aca="false">IF(OR($D2585="",$J2585&lt;&gt;"Supplier"),"",IFERROR(INDEX(SupplierRates!$E$5:$E$500,MATCH($K2585&amp;"|"&amp;$L2585,SupplierRates!$A$5:$A$500,0)),0))</f>
        <v/>
      </c>
      <c r="R2585" s="26" t="n">
        <f aca="false">IF(OR($D2585="",$J2585&lt;&gt;"Supplier"),0,F2585*P2585+G2585*Q2585)</f>
        <v>0</v>
      </c>
      <c r="S2585" s="26" t="n">
        <f aca="false">IF(OR($D2585="",$J2585&lt;&gt;"Own"),0,IFERROR((F2585+G2585*Settings!$B$13)*INDEX(Workers!$V$5:$V$2004,MATCH($D2585,Workers!$A$5:$A$2004,0)),0))</f>
        <v>0</v>
      </c>
      <c r="T2585" s="26" t="str">
        <f aca="false">IF($D2585="","",O2585-R2585-S2585)</f>
        <v/>
      </c>
    </row>
    <row r="2586" customFormat="false" ht="15" hidden="false" customHeight="false" outlineLevel="0" collapsed="false">
      <c r="I2586" s="24" t="str">
        <f aca="false">IF($D2586="","",IFERROR(INDEX(Workers!$B$5:$B$2004,MATCH($D2586,Workers!$A$5:$A$2004,0)),"NOT FOUND"))</f>
        <v/>
      </c>
      <c r="J2586" s="24" t="str">
        <f aca="false">IF($D2586="","",IFERROR(INDEX(Workers!$C$5:$C$2004,MATCH($D2586,Workers!$A$5:$A$2004,0)),""))</f>
        <v/>
      </c>
      <c r="K2586" s="24" t="str">
        <f aca="false">IF($D2586="","",IFERROR(IF(INDEX(Workers!$D$5:$D$2004,MATCH($D2586,Workers!$A$5:$A$2004,0))=0,"",INDEX(Workers!$D$5:$D$2004,MATCH($D2586,Workers!$A$5:$A$2004,0))),""))</f>
        <v/>
      </c>
      <c r="L2586" s="24" t="str">
        <f aca="false">IF($D2586="","",IFERROR(INDEX(Workers!$E$5:$E$2004,MATCH($D2586,Workers!$A$5:$A$2004,0)),""))</f>
        <v/>
      </c>
      <c r="M2586" s="26" t="str">
        <f aca="false">IF($D2586="","",IFERROR(INDEX(ClientRates!$D$5:$D$500,MATCH($B2586&amp;"|"&amp;$L2586,ClientRates!$A$5:$A$500,0)),0))</f>
        <v/>
      </c>
      <c r="N2586" s="26" t="str">
        <f aca="false">IF($D2586="","",IFERROR(INDEX(ClientRates!$E$5:$E$500,MATCH($B2586&amp;"|"&amp;$L2586,ClientRates!$A$5:$A$500,0)),0))</f>
        <v/>
      </c>
      <c r="O2586" s="26" t="str">
        <f aca="false">IF($D2586="","",F2586*M2586+G2586*N2586)</f>
        <v/>
      </c>
      <c r="P2586" s="26" t="str">
        <f aca="false">IF(OR($D2586="",$J2586&lt;&gt;"Supplier"),"",IFERROR(INDEX(SupplierRates!$D$5:$D$500,MATCH($K2586&amp;"|"&amp;$L2586,SupplierRates!$A$5:$A$500,0)),0))</f>
        <v/>
      </c>
      <c r="Q2586" s="26" t="str">
        <f aca="false">IF(OR($D2586="",$J2586&lt;&gt;"Supplier"),"",IFERROR(INDEX(SupplierRates!$E$5:$E$500,MATCH($K2586&amp;"|"&amp;$L2586,SupplierRates!$A$5:$A$500,0)),0))</f>
        <v/>
      </c>
      <c r="R2586" s="26" t="n">
        <f aca="false">IF(OR($D2586="",$J2586&lt;&gt;"Supplier"),0,F2586*P2586+G2586*Q2586)</f>
        <v>0</v>
      </c>
      <c r="S2586" s="26" t="n">
        <f aca="false">IF(OR($D2586="",$J2586&lt;&gt;"Own"),0,IFERROR((F2586+G2586*Settings!$B$13)*INDEX(Workers!$V$5:$V$2004,MATCH($D2586,Workers!$A$5:$A$2004,0)),0))</f>
        <v>0</v>
      </c>
      <c r="T2586" s="26" t="str">
        <f aca="false">IF($D2586="","",O2586-R2586-S2586)</f>
        <v/>
      </c>
    </row>
    <row r="2587" customFormat="false" ht="15" hidden="false" customHeight="false" outlineLevel="0" collapsed="false">
      <c r="I2587" s="24" t="str">
        <f aca="false">IF($D2587="","",IFERROR(INDEX(Workers!$B$5:$B$2004,MATCH($D2587,Workers!$A$5:$A$2004,0)),"NOT FOUND"))</f>
        <v/>
      </c>
      <c r="J2587" s="24" t="str">
        <f aca="false">IF($D2587="","",IFERROR(INDEX(Workers!$C$5:$C$2004,MATCH($D2587,Workers!$A$5:$A$2004,0)),""))</f>
        <v/>
      </c>
      <c r="K2587" s="24" t="str">
        <f aca="false">IF($D2587="","",IFERROR(IF(INDEX(Workers!$D$5:$D$2004,MATCH($D2587,Workers!$A$5:$A$2004,0))=0,"",INDEX(Workers!$D$5:$D$2004,MATCH($D2587,Workers!$A$5:$A$2004,0))),""))</f>
        <v/>
      </c>
      <c r="L2587" s="24" t="str">
        <f aca="false">IF($D2587="","",IFERROR(INDEX(Workers!$E$5:$E$2004,MATCH($D2587,Workers!$A$5:$A$2004,0)),""))</f>
        <v/>
      </c>
      <c r="M2587" s="26" t="str">
        <f aca="false">IF($D2587="","",IFERROR(INDEX(ClientRates!$D$5:$D$500,MATCH($B2587&amp;"|"&amp;$L2587,ClientRates!$A$5:$A$500,0)),0))</f>
        <v/>
      </c>
      <c r="N2587" s="26" t="str">
        <f aca="false">IF($D2587="","",IFERROR(INDEX(ClientRates!$E$5:$E$500,MATCH($B2587&amp;"|"&amp;$L2587,ClientRates!$A$5:$A$500,0)),0))</f>
        <v/>
      </c>
      <c r="O2587" s="26" t="str">
        <f aca="false">IF($D2587="","",F2587*M2587+G2587*N2587)</f>
        <v/>
      </c>
      <c r="P2587" s="26" t="str">
        <f aca="false">IF(OR($D2587="",$J2587&lt;&gt;"Supplier"),"",IFERROR(INDEX(SupplierRates!$D$5:$D$500,MATCH($K2587&amp;"|"&amp;$L2587,SupplierRates!$A$5:$A$500,0)),0))</f>
        <v/>
      </c>
      <c r="Q2587" s="26" t="str">
        <f aca="false">IF(OR($D2587="",$J2587&lt;&gt;"Supplier"),"",IFERROR(INDEX(SupplierRates!$E$5:$E$500,MATCH($K2587&amp;"|"&amp;$L2587,SupplierRates!$A$5:$A$500,0)),0))</f>
        <v/>
      </c>
      <c r="R2587" s="26" t="n">
        <f aca="false">IF(OR($D2587="",$J2587&lt;&gt;"Supplier"),0,F2587*P2587+G2587*Q2587)</f>
        <v>0</v>
      </c>
      <c r="S2587" s="26" t="n">
        <f aca="false">IF(OR($D2587="",$J2587&lt;&gt;"Own"),0,IFERROR((F2587+G2587*Settings!$B$13)*INDEX(Workers!$V$5:$V$2004,MATCH($D2587,Workers!$A$5:$A$2004,0)),0))</f>
        <v>0</v>
      </c>
      <c r="T2587" s="26" t="str">
        <f aca="false">IF($D2587="","",O2587-R2587-S2587)</f>
        <v/>
      </c>
    </row>
    <row r="2588" customFormat="false" ht="15" hidden="false" customHeight="false" outlineLevel="0" collapsed="false">
      <c r="I2588" s="24" t="str">
        <f aca="false">IF($D2588="","",IFERROR(INDEX(Workers!$B$5:$B$2004,MATCH($D2588,Workers!$A$5:$A$2004,0)),"NOT FOUND"))</f>
        <v/>
      </c>
      <c r="J2588" s="24" t="str">
        <f aca="false">IF($D2588="","",IFERROR(INDEX(Workers!$C$5:$C$2004,MATCH($D2588,Workers!$A$5:$A$2004,0)),""))</f>
        <v/>
      </c>
      <c r="K2588" s="24" t="str">
        <f aca="false">IF($D2588="","",IFERROR(IF(INDEX(Workers!$D$5:$D$2004,MATCH($D2588,Workers!$A$5:$A$2004,0))=0,"",INDEX(Workers!$D$5:$D$2004,MATCH($D2588,Workers!$A$5:$A$2004,0))),""))</f>
        <v/>
      </c>
      <c r="L2588" s="24" t="str">
        <f aca="false">IF($D2588="","",IFERROR(INDEX(Workers!$E$5:$E$2004,MATCH($D2588,Workers!$A$5:$A$2004,0)),""))</f>
        <v/>
      </c>
      <c r="M2588" s="26" t="str">
        <f aca="false">IF($D2588="","",IFERROR(INDEX(ClientRates!$D$5:$D$500,MATCH($B2588&amp;"|"&amp;$L2588,ClientRates!$A$5:$A$500,0)),0))</f>
        <v/>
      </c>
      <c r="N2588" s="26" t="str">
        <f aca="false">IF($D2588="","",IFERROR(INDEX(ClientRates!$E$5:$E$500,MATCH($B2588&amp;"|"&amp;$L2588,ClientRates!$A$5:$A$500,0)),0))</f>
        <v/>
      </c>
      <c r="O2588" s="26" t="str">
        <f aca="false">IF($D2588="","",F2588*M2588+G2588*N2588)</f>
        <v/>
      </c>
      <c r="P2588" s="26" t="str">
        <f aca="false">IF(OR($D2588="",$J2588&lt;&gt;"Supplier"),"",IFERROR(INDEX(SupplierRates!$D$5:$D$500,MATCH($K2588&amp;"|"&amp;$L2588,SupplierRates!$A$5:$A$500,0)),0))</f>
        <v/>
      </c>
      <c r="Q2588" s="26" t="str">
        <f aca="false">IF(OR($D2588="",$J2588&lt;&gt;"Supplier"),"",IFERROR(INDEX(SupplierRates!$E$5:$E$500,MATCH($K2588&amp;"|"&amp;$L2588,SupplierRates!$A$5:$A$500,0)),0))</f>
        <v/>
      </c>
      <c r="R2588" s="26" t="n">
        <f aca="false">IF(OR($D2588="",$J2588&lt;&gt;"Supplier"),0,F2588*P2588+G2588*Q2588)</f>
        <v>0</v>
      </c>
      <c r="S2588" s="26" t="n">
        <f aca="false">IF(OR($D2588="",$J2588&lt;&gt;"Own"),0,IFERROR((F2588+G2588*Settings!$B$13)*INDEX(Workers!$V$5:$V$2004,MATCH($D2588,Workers!$A$5:$A$2004,0)),0))</f>
        <v>0</v>
      </c>
      <c r="T2588" s="26" t="str">
        <f aca="false">IF($D2588="","",O2588-R2588-S2588)</f>
        <v/>
      </c>
    </row>
    <row r="2589" customFormat="false" ht="15" hidden="false" customHeight="false" outlineLevel="0" collapsed="false">
      <c r="I2589" s="24" t="str">
        <f aca="false">IF($D2589="","",IFERROR(INDEX(Workers!$B$5:$B$2004,MATCH($D2589,Workers!$A$5:$A$2004,0)),"NOT FOUND"))</f>
        <v/>
      </c>
      <c r="J2589" s="24" t="str">
        <f aca="false">IF($D2589="","",IFERROR(INDEX(Workers!$C$5:$C$2004,MATCH($D2589,Workers!$A$5:$A$2004,0)),""))</f>
        <v/>
      </c>
      <c r="K2589" s="24" t="str">
        <f aca="false">IF($D2589="","",IFERROR(IF(INDEX(Workers!$D$5:$D$2004,MATCH($D2589,Workers!$A$5:$A$2004,0))=0,"",INDEX(Workers!$D$5:$D$2004,MATCH($D2589,Workers!$A$5:$A$2004,0))),""))</f>
        <v/>
      </c>
      <c r="L2589" s="24" t="str">
        <f aca="false">IF($D2589="","",IFERROR(INDEX(Workers!$E$5:$E$2004,MATCH($D2589,Workers!$A$5:$A$2004,0)),""))</f>
        <v/>
      </c>
      <c r="M2589" s="26" t="str">
        <f aca="false">IF($D2589="","",IFERROR(INDEX(ClientRates!$D$5:$D$500,MATCH($B2589&amp;"|"&amp;$L2589,ClientRates!$A$5:$A$500,0)),0))</f>
        <v/>
      </c>
      <c r="N2589" s="26" t="str">
        <f aca="false">IF($D2589="","",IFERROR(INDEX(ClientRates!$E$5:$E$500,MATCH($B2589&amp;"|"&amp;$L2589,ClientRates!$A$5:$A$500,0)),0))</f>
        <v/>
      </c>
      <c r="O2589" s="26" t="str">
        <f aca="false">IF($D2589="","",F2589*M2589+G2589*N2589)</f>
        <v/>
      </c>
      <c r="P2589" s="26" t="str">
        <f aca="false">IF(OR($D2589="",$J2589&lt;&gt;"Supplier"),"",IFERROR(INDEX(SupplierRates!$D$5:$D$500,MATCH($K2589&amp;"|"&amp;$L2589,SupplierRates!$A$5:$A$500,0)),0))</f>
        <v/>
      </c>
      <c r="Q2589" s="26" t="str">
        <f aca="false">IF(OR($D2589="",$J2589&lt;&gt;"Supplier"),"",IFERROR(INDEX(SupplierRates!$E$5:$E$500,MATCH($K2589&amp;"|"&amp;$L2589,SupplierRates!$A$5:$A$500,0)),0))</f>
        <v/>
      </c>
      <c r="R2589" s="26" t="n">
        <f aca="false">IF(OR($D2589="",$J2589&lt;&gt;"Supplier"),0,F2589*P2589+G2589*Q2589)</f>
        <v>0</v>
      </c>
      <c r="S2589" s="26" t="n">
        <f aca="false">IF(OR($D2589="",$J2589&lt;&gt;"Own"),0,IFERROR((F2589+G2589*Settings!$B$13)*INDEX(Workers!$V$5:$V$2004,MATCH($D2589,Workers!$A$5:$A$2004,0)),0))</f>
        <v>0</v>
      </c>
      <c r="T2589" s="26" t="str">
        <f aca="false">IF($D2589="","",O2589-R2589-S2589)</f>
        <v/>
      </c>
    </row>
    <row r="2590" customFormat="false" ht="15" hidden="false" customHeight="false" outlineLevel="0" collapsed="false">
      <c r="I2590" s="24" t="str">
        <f aca="false">IF($D2590="","",IFERROR(INDEX(Workers!$B$5:$B$2004,MATCH($D2590,Workers!$A$5:$A$2004,0)),"NOT FOUND"))</f>
        <v/>
      </c>
      <c r="J2590" s="24" t="str">
        <f aca="false">IF($D2590="","",IFERROR(INDEX(Workers!$C$5:$C$2004,MATCH($D2590,Workers!$A$5:$A$2004,0)),""))</f>
        <v/>
      </c>
      <c r="K2590" s="24" t="str">
        <f aca="false">IF($D2590="","",IFERROR(IF(INDEX(Workers!$D$5:$D$2004,MATCH($D2590,Workers!$A$5:$A$2004,0))=0,"",INDEX(Workers!$D$5:$D$2004,MATCH($D2590,Workers!$A$5:$A$2004,0))),""))</f>
        <v/>
      </c>
      <c r="L2590" s="24" t="str">
        <f aca="false">IF($D2590="","",IFERROR(INDEX(Workers!$E$5:$E$2004,MATCH($D2590,Workers!$A$5:$A$2004,0)),""))</f>
        <v/>
      </c>
      <c r="M2590" s="26" t="str">
        <f aca="false">IF($D2590="","",IFERROR(INDEX(ClientRates!$D$5:$D$500,MATCH($B2590&amp;"|"&amp;$L2590,ClientRates!$A$5:$A$500,0)),0))</f>
        <v/>
      </c>
      <c r="N2590" s="26" t="str">
        <f aca="false">IF($D2590="","",IFERROR(INDEX(ClientRates!$E$5:$E$500,MATCH($B2590&amp;"|"&amp;$L2590,ClientRates!$A$5:$A$500,0)),0))</f>
        <v/>
      </c>
      <c r="O2590" s="26" t="str">
        <f aca="false">IF($D2590="","",F2590*M2590+G2590*N2590)</f>
        <v/>
      </c>
      <c r="P2590" s="26" t="str">
        <f aca="false">IF(OR($D2590="",$J2590&lt;&gt;"Supplier"),"",IFERROR(INDEX(SupplierRates!$D$5:$D$500,MATCH($K2590&amp;"|"&amp;$L2590,SupplierRates!$A$5:$A$500,0)),0))</f>
        <v/>
      </c>
      <c r="Q2590" s="26" t="str">
        <f aca="false">IF(OR($D2590="",$J2590&lt;&gt;"Supplier"),"",IFERROR(INDEX(SupplierRates!$E$5:$E$500,MATCH($K2590&amp;"|"&amp;$L2590,SupplierRates!$A$5:$A$500,0)),0))</f>
        <v/>
      </c>
      <c r="R2590" s="26" t="n">
        <f aca="false">IF(OR($D2590="",$J2590&lt;&gt;"Supplier"),0,F2590*P2590+G2590*Q2590)</f>
        <v>0</v>
      </c>
      <c r="S2590" s="26" t="n">
        <f aca="false">IF(OR($D2590="",$J2590&lt;&gt;"Own"),0,IFERROR((F2590+G2590*Settings!$B$13)*INDEX(Workers!$V$5:$V$2004,MATCH($D2590,Workers!$A$5:$A$2004,0)),0))</f>
        <v>0</v>
      </c>
      <c r="T2590" s="26" t="str">
        <f aca="false">IF($D2590="","",O2590-R2590-S2590)</f>
        <v/>
      </c>
    </row>
    <row r="2591" customFormat="false" ht="15" hidden="false" customHeight="false" outlineLevel="0" collapsed="false">
      <c r="I2591" s="24" t="str">
        <f aca="false">IF($D2591="","",IFERROR(INDEX(Workers!$B$5:$B$2004,MATCH($D2591,Workers!$A$5:$A$2004,0)),"NOT FOUND"))</f>
        <v/>
      </c>
      <c r="J2591" s="24" t="str">
        <f aca="false">IF($D2591="","",IFERROR(INDEX(Workers!$C$5:$C$2004,MATCH($D2591,Workers!$A$5:$A$2004,0)),""))</f>
        <v/>
      </c>
      <c r="K2591" s="24" t="str">
        <f aca="false">IF($D2591="","",IFERROR(IF(INDEX(Workers!$D$5:$D$2004,MATCH($D2591,Workers!$A$5:$A$2004,0))=0,"",INDEX(Workers!$D$5:$D$2004,MATCH($D2591,Workers!$A$5:$A$2004,0))),""))</f>
        <v/>
      </c>
      <c r="L2591" s="24" t="str">
        <f aca="false">IF($D2591="","",IFERROR(INDEX(Workers!$E$5:$E$2004,MATCH($D2591,Workers!$A$5:$A$2004,0)),""))</f>
        <v/>
      </c>
      <c r="M2591" s="26" t="str">
        <f aca="false">IF($D2591="","",IFERROR(INDEX(ClientRates!$D$5:$D$500,MATCH($B2591&amp;"|"&amp;$L2591,ClientRates!$A$5:$A$500,0)),0))</f>
        <v/>
      </c>
      <c r="N2591" s="26" t="str">
        <f aca="false">IF($D2591="","",IFERROR(INDEX(ClientRates!$E$5:$E$500,MATCH($B2591&amp;"|"&amp;$L2591,ClientRates!$A$5:$A$500,0)),0))</f>
        <v/>
      </c>
      <c r="O2591" s="26" t="str">
        <f aca="false">IF($D2591="","",F2591*M2591+G2591*N2591)</f>
        <v/>
      </c>
      <c r="P2591" s="26" t="str">
        <f aca="false">IF(OR($D2591="",$J2591&lt;&gt;"Supplier"),"",IFERROR(INDEX(SupplierRates!$D$5:$D$500,MATCH($K2591&amp;"|"&amp;$L2591,SupplierRates!$A$5:$A$500,0)),0))</f>
        <v/>
      </c>
      <c r="Q2591" s="26" t="str">
        <f aca="false">IF(OR($D2591="",$J2591&lt;&gt;"Supplier"),"",IFERROR(INDEX(SupplierRates!$E$5:$E$500,MATCH($K2591&amp;"|"&amp;$L2591,SupplierRates!$A$5:$A$500,0)),0))</f>
        <v/>
      </c>
      <c r="R2591" s="26" t="n">
        <f aca="false">IF(OR($D2591="",$J2591&lt;&gt;"Supplier"),0,F2591*P2591+G2591*Q2591)</f>
        <v>0</v>
      </c>
      <c r="S2591" s="26" t="n">
        <f aca="false">IF(OR($D2591="",$J2591&lt;&gt;"Own"),0,IFERROR((F2591+G2591*Settings!$B$13)*INDEX(Workers!$V$5:$V$2004,MATCH($D2591,Workers!$A$5:$A$2004,0)),0))</f>
        <v>0</v>
      </c>
      <c r="T2591" s="26" t="str">
        <f aca="false">IF($D2591="","",O2591-R2591-S2591)</f>
        <v/>
      </c>
    </row>
    <row r="2592" customFormat="false" ht="15" hidden="false" customHeight="false" outlineLevel="0" collapsed="false">
      <c r="I2592" s="24" t="str">
        <f aca="false">IF($D2592="","",IFERROR(INDEX(Workers!$B$5:$B$2004,MATCH($D2592,Workers!$A$5:$A$2004,0)),"NOT FOUND"))</f>
        <v/>
      </c>
      <c r="J2592" s="24" t="str">
        <f aca="false">IF($D2592="","",IFERROR(INDEX(Workers!$C$5:$C$2004,MATCH($D2592,Workers!$A$5:$A$2004,0)),""))</f>
        <v/>
      </c>
      <c r="K2592" s="24" t="str">
        <f aca="false">IF($D2592="","",IFERROR(IF(INDEX(Workers!$D$5:$D$2004,MATCH($D2592,Workers!$A$5:$A$2004,0))=0,"",INDEX(Workers!$D$5:$D$2004,MATCH($D2592,Workers!$A$5:$A$2004,0))),""))</f>
        <v/>
      </c>
      <c r="L2592" s="24" t="str">
        <f aca="false">IF($D2592="","",IFERROR(INDEX(Workers!$E$5:$E$2004,MATCH($D2592,Workers!$A$5:$A$2004,0)),""))</f>
        <v/>
      </c>
      <c r="M2592" s="26" t="str">
        <f aca="false">IF($D2592="","",IFERROR(INDEX(ClientRates!$D$5:$D$500,MATCH($B2592&amp;"|"&amp;$L2592,ClientRates!$A$5:$A$500,0)),0))</f>
        <v/>
      </c>
      <c r="N2592" s="26" t="str">
        <f aca="false">IF($D2592="","",IFERROR(INDEX(ClientRates!$E$5:$E$500,MATCH($B2592&amp;"|"&amp;$L2592,ClientRates!$A$5:$A$500,0)),0))</f>
        <v/>
      </c>
      <c r="O2592" s="26" t="str">
        <f aca="false">IF($D2592="","",F2592*M2592+G2592*N2592)</f>
        <v/>
      </c>
      <c r="P2592" s="26" t="str">
        <f aca="false">IF(OR($D2592="",$J2592&lt;&gt;"Supplier"),"",IFERROR(INDEX(SupplierRates!$D$5:$D$500,MATCH($K2592&amp;"|"&amp;$L2592,SupplierRates!$A$5:$A$500,0)),0))</f>
        <v/>
      </c>
      <c r="Q2592" s="26" t="str">
        <f aca="false">IF(OR($D2592="",$J2592&lt;&gt;"Supplier"),"",IFERROR(INDEX(SupplierRates!$E$5:$E$500,MATCH($K2592&amp;"|"&amp;$L2592,SupplierRates!$A$5:$A$500,0)),0))</f>
        <v/>
      </c>
      <c r="R2592" s="26" t="n">
        <f aca="false">IF(OR($D2592="",$J2592&lt;&gt;"Supplier"),0,F2592*P2592+G2592*Q2592)</f>
        <v>0</v>
      </c>
      <c r="S2592" s="26" t="n">
        <f aca="false">IF(OR($D2592="",$J2592&lt;&gt;"Own"),0,IFERROR((F2592+G2592*Settings!$B$13)*INDEX(Workers!$V$5:$V$2004,MATCH($D2592,Workers!$A$5:$A$2004,0)),0))</f>
        <v>0</v>
      </c>
      <c r="T2592" s="26" t="str">
        <f aca="false">IF($D2592="","",O2592-R2592-S2592)</f>
        <v/>
      </c>
    </row>
    <row r="2593" customFormat="false" ht="15" hidden="false" customHeight="false" outlineLevel="0" collapsed="false">
      <c r="I2593" s="24" t="str">
        <f aca="false">IF($D2593="","",IFERROR(INDEX(Workers!$B$5:$B$2004,MATCH($D2593,Workers!$A$5:$A$2004,0)),"NOT FOUND"))</f>
        <v/>
      </c>
      <c r="J2593" s="24" t="str">
        <f aca="false">IF($D2593="","",IFERROR(INDEX(Workers!$C$5:$C$2004,MATCH($D2593,Workers!$A$5:$A$2004,0)),""))</f>
        <v/>
      </c>
      <c r="K2593" s="24" t="str">
        <f aca="false">IF($D2593="","",IFERROR(IF(INDEX(Workers!$D$5:$D$2004,MATCH($D2593,Workers!$A$5:$A$2004,0))=0,"",INDEX(Workers!$D$5:$D$2004,MATCH($D2593,Workers!$A$5:$A$2004,0))),""))</f>
        <v/>
      </c>
      <c r="L2593" s="24" t="str">
        <f aca="false">IF($D2593="","",IFERROR(INDEX(Workers!$E$5:$E$2004,MATCH($D2593,Workers!$A$5:$A$2004,0)),""))</f>
        <v/>
      </c>
      <c r="M2593" s="26" t="str">
        <f aca="false">IF($D2593="","",IFERROR(INDEX(ClientRates!$D$5:$D$500,MATCH($B2593&amp;"|"&amp;$L2593,ClientRates!$A$5:$A$500,0)),0))</f>
        <v/>
      </c>
      <c r="N2593" s="26" t="str">
        <f aca="false">IF($D2593="","",IFERROR(INDEX(ClientRates!$E$5:$E$500,MATCH($B2593&amp;"|"&amp;$L2593,ClientRates!$A$5:$A$500,0)),0))</f>
        <v/>
      </c>
      <c r="O2593" s="26" t="str">
        <f aca="false">IF($D2593="","",F2593*M2593+G2593*N2593)</f>
        <v/>
      </c>
      <c r="P2593" s="26" t="str">
        <f aca="false">IF(OR($D2593="",$J2593&lt;&gt;"Supplier"),"",IFERROR(INDEX(SupplierRates!$D$5:$D$500,MATCH($K2593&amp;"|"&amp;$L2593,SupplierRates!$A$5:$A$500,0)),0))</f>
        <v/>
      </c>
      <c r="Q2593" s="26" t="str">
        <f aca="false">IF(OR($D2593="",$J2593&lt;&gt;"Supplier"),"",IFERROR(INDEX(SupplierRates!$E$5:$E$500,MATCH($K2593&amp;"|"&amp;$L2593,SupplierRates!$A$5:$A$500,0)),0))</f>
        <v/>
      </c>
      <c r="R2593" s="26" t="n">
        <f aca="false">IF(OR($D2593="",$J2593&lt;&gt;"Supplier"),0,F2593*P2593+G2593*Q2593)</f>
        <v>0</v>
      </c>
      <c r="S2593" s="26" t="n">
        <f aca="false">IF(OR($D2593="",$J2593&lt;&gt;"Own"),0,IFERROR((F2593+G2593*Settings!$B$13)*INDEX(Workers!$V$5:$V$2004,MATCH($D2593,Workers!$A$5:$A$2004,0)),0))</f>
        <v>0</v>
      </c>
      <c r="T2593" s="26" t="str">
        <f aca="false">IF($D2593="","",O2593-R2593-S2593)</f>
        <v/>
      </c>
    </row>
    <row r="2594" customFormat="false" ht="15" hidden="false" customHeight="false" outlineLevel="0" collapsed="false">
      <c r="I2594" s="24" t="str">
        <f aca="false">IF($D2594="","",IFERROR(INDEX(Workers!$B$5:$B$2004,MATCH($D2594,Workers!$A$5:$A$2004,0)),"NOT FOUND"))</f>
        <v/>
      </c>
      <c r="J2594" s="24" t="str">
        <f aca="false">IF($D2594="","",IFERROR(INDEX(Workers!$C$5:$C$2004,MATCH($D2594,Workers!$A$5:$A$2004,0)),""))</f>
        <v/>
      </c>
      <c r="K2594" s="24" t="str">
        <f aca="false">IF($D2594="","",IFERROR(IF(INDEX(Workers!$D$5:$D$2004,MATCH($D2594,Workers!$A$5:$A$2004,0))=0,"",INDEX(Workers!$D$5:$D$2004,MATCH($D2594,Workers!$A$5:$A$2004,0))),""))</f>
        <v/>
      </c>
      <c r="L2594" s="24" t="str">
        <f aca="false">IF($D2594="","",IFERROR(INDEX(Workers!$E$5:$E$2004,MATCH($D2594,Workers!$A$5:$A$2004,0)),""))</f>
        <v/>
      </c>
      <c r="M2594" s="26" t="str">
        <f aca="false">IF($D2594="","",IFERROR(INDEX(ClientRates!$D$5:$D$500,MATCH($B2594&amp;"|"&amp;$L2594,ClientRates!$A$5:$A$500,0)),0))</f>
        <v/>
      </c>
      <c r="N2594" s="26" t="str">
        <f aca="false">IF($D2594="","",IFERROR(INDEX(ClientRates!$E$5:$E$500,MATCH($B2594&amp;"|"&amp;$L2594,ClientRates!$A$5:$A$500,0)),0))</f>
        <v/>
      </c>
      <c r="O2594" s="26" t="str">
        <f aca="false">IF($D2594="","",F2594*M2594+G2594*N2594)</f>
        <v/>
      </c>
      <c r="P2594" s="26" t="str">
        <f aca="false">IF(OR($D2594="",$J2594&lt;&gt;"Supplier"),"",IFERROR(INDEX(SupplierRates!$D$5:$D$500,MATCH($K2594&amp;"|"&amp;$L2594,SupplierRates!$A$5:$A$500,0)),0))</f>
        <v/>
      </c>
      <c r="Q2594" s="26" t="str">
        <f aca="false">IF(OR($D2594="",$J2594&lt;&gt;"Supplier"),"",IFERROR(INDEX(SupplierRates!$E$5:$E$500,MATCH($K2594&amp;"|"&amp;$L2594,SupplierRates!$A$5:$A$500,0)),0))</f>
        <v/>
      </c>
      <c r="R2594" s="26" t="n">
        <f aca="false">IF(OR($D2594="",$J2594&lt;&gt;"Supplier"),0,F2594*P2594+G2594*Q2594)</f>
        <v>0</v>
      </c>
      <c r="S2594" s="26" t="n">
        <f aca="false">IF(OR($D2594="",$J2594&lt;&gt;"Own"),0,IFERROR((F2594+G2594*Settings!$B$13)*INDEX(Workers!$V$5:$V$2004,MATCH($D2594,Workers!$A$5:$A$2004,0)),0))</f>
        <v>0</v>
      </c>
      <c r="T2594" s="26" t="str">
        <f aca="false">IF($D2594="","",O2594-R2594-S2594)</f>
        <v/>
      </c>
    </row>
    <row r="2595" customFormat="false" ht="15" hidden="false" customHeight="false" outlineLevel="0" collapsed="false">
      <c r="I2595" s="24" t="str">
        <f aca="false">IF($D2595="","",IFERROR(INDEX(Workers!$B$5:$B$2004,MATCH($D2595,Workers!$A$5:$A$2004,0)),"NOT FOUND"))</f>
        <v/>
      </c>
      <c r="J2595" s="24" t="str">
        <f aca="false">IF($D2595="","",IFERROR(INDEX(Workers!$C$5:$C$2004,MATCH($D2595,Workers!$A$5:$A$2004,0)),""))</f>
        <v/>
      </c>
      <c r="K2595" s="24" t="str">
        <f aca="false">IF($D2595="","",IFERROR(IF(INDEX(Workers!$D$5:$D$2004,MATCH($D2595,Workers!$A$5:$A$2004,0))=0,"",INDEX(Workers!$D$5:$D$2004,MATCH($D2595,Workers!$A$5:$A$2004,0))),""))</f>
        <v/>
      </c>
      <c r="L2595" s="24" t="str">
        <f aca="false">IF($D2595="","",IFERROR(INDEX(Workers!$E$5:$E$2004,MATCH($D2595,Workers!$A$5:$A$2004,0)),""))</f>
        <v/>
      </c>
      <c r="M2595" s="26" t="str">
        <f aca="false">IF($D2595="","",IFERROR(INDEX(ClientRates!$D$5:$D$500,MATCH($B2595&amp;"|"&amp;$L2595,ClientRates!$A$5:$A$500,0)),0))</f>
        <v/>
      </c>
      <c r="N2595" s="26" t="str">
        <f aca="false">IF($D2595="","",IFERROR(INDEX(ClientRates!$E$5:$E$500,MATCH($B2595&amp;"|"&amp;$L2595,ClientRates!$A$5:$A$500,0)),0))</f>
        <v/>
      </c>
      <c r="O2595" s="26" t="str">
        <f aca="false">IF($D2595="","",F2595*M2595+G2595*N2595)</f>
        <v/>
      </c>
      <c r="P2595" s="26" t="str">
        <f aca="false">IF(OR($D2595="",$J2595&lt;&gt;"Supplier"),"",IFERROR(INDEX(SupplierRates!$D$5:$D$500,MATCH($K2595&amp;"|"&amp;$L2595,SupplierRates!$A$5:$A$500,0)),0))</f>
        <v/>
      </c>
      <c r="Q2595" s="26" t="str">
        <f aca="false">IF(OR($D2595="",$J2595&lt;&gt;"Supplier"),"",IFERROR(INDEX(SupplierRates!$E$5:$E$500,MATCH($K2595&amp;"|"&amp;$L2595,SupplierRates!$A$5:$A$500,0)),0))</f>
        <v/>
      </c>
      <c r="R2595" s="26" t="n">
        <f aca="false">IF(OR($D2595="",$J2595&lt;&gt;"Supplier"),0,F2595*P2595+G2595*Q2595)</f>
        <v>0</v>
      </c>
      <c r="S2595" s="26" t="n">
        <f aca="false">IF(OR($D2595="",$J2595&lt;&gt;"Own"),0,IFERROR((F2595+G2595*Settings!$B$13)*INDEX(Workers!$V$5:$V$2004,MATCH($D2595,Workers!$A$5:$A$2004,0)),0))</f>
        <v>0</v>
      </c>
      <c r="T2595" s="26" t="str">
        <f aca="false">IF($D2595="","",O2595-R2595-S2595)</f>
        <v/>
      </c>
    </row>
    <row r="2596" customFormat="false" ht="15" hidden="false" customHeight="false" outlineLevel="0" collapsed="false">
      <c r="I2596" s="24" t="str">
        <f aca="false">IF($D2596="","",IFERROR(INDEX(Workers!$B$5:$B$2004,MATCH($D2596,Workers!$A$5:$A$2004,0)),"NOT FOUND"))</f>
        <v/>
      </c>
      <c r="J2596" s="24" t="str">
        <f aca="false">IF($D2596="","",IFERROR(INDEX(Workers!$C$5:$C$2004,MATCH($D2596,Workers!$A$5:$A$2004,0)),""))</f>
        <v/>
      </c>
      <c r="K2596" s="24" t="str">
        <f aca="false">IF($D2596="","",IFERROR(IF(INDEX(Workers!$D$5:$D$2004,MATCH($D2596,Workers!$A$5:$A$2004,0))=0,"",INDEX(Workers!$D$5:$D$2004,MATCH($D2596,Workers!$A$5:$A$2004,0))),""))</f>
        <v/>
      </c>
      <c r="L2596" s="24" t="str">
        <f aca="false">IF($D2596="","",IFERROR(INDEX(Workers!$E$5:$E$2004,MATCH($D2596,Workers!$A$5:$A$2004,0)),""))</f>
        <v/>
      </c>
      <c r="M2596" s="26" t="str">
        <f aca="false">IF($D2596="","",IFERROR(INDEX(ClientRates!$D$5:$D$500,MATCH($B2596&amp;"|"&amp;$L2596,ClientRates!$A$5:$A$500,0)),0))</f>
        <v/>
      </c>
      <c r="N2596" s="26" t="str">
        <f aca="false">IF($D2596="","",IFERROR(INDEX(ClientRates!$E$5:$E$500,MATCH($B2596&amp;"|"&amp;$L2596,ClientRates!$A$5:$A$500,0)),0))</f>
        <v/>
      </c>
      <c r="O2596" s="26" t="str">
        <f aca="false">IF($D2596="","",F2596*M2596+G2596*N2596)</f>
        <v/>
      </c>
      <c r="P2596" s="26" t="str">
        <f aca="false">IF(OR($D2596="",$J2596&lt;&gt;"Supplier"),"",IFERROR(INDEX(SupplierRates!$D$5:$D$500,MATCH($K2596&amp;"|"&amp;$L2596,SupplierRates!$A$5:$A$500,0)),0))</f>
        <v/>
      </c>
      <c r="Q2596" s="26" t="str">
        <f aca="false">IF(OR($D2596="",$J2596&lt;&gt;"Supplier"),"",IFERROR(INDEX(SupplierRates!$E$5:$E$500,MATCH($K2596&amp;"|"&amp;$L2596,SupplierRates!$A$5:$A$500,0)),0))</f>
        <v/>
      </c>
      <c r="R2596" s="26" t="n">
        <f aca="false">IF(OR($D2596="",$J2596&lt;&gt;"Supplier"),0,F2596*P2596+G2596*Q2596)</f>
        <v>0</v>
      </c>
      <c r="S2596" s="26" t="n">
        <f aca="false">IF(OR($D2596="",$J2596&lt;&gt;"Own"),0,IFERROR((F2596+G2596*Settings!$B$13)*INDEX(Workers!$V$5:$V$2004,MATCH($D2596,Workers!$A$5:$A$2004,0)),0))</f>
        <v>0</v>
      </c>
      <c r="T2596" s="26" t="str">
        <f aca="false">IF($D2596="","",O2596-R2596-S2596)</f>
        <v/>
      </c>
    </row>
    <row r="2597" customFormat="false" ht="15" hidden="false" customHeight="false" outlineLevel="0" collapsed="false">
      <c r="I2597" s="24" t="str">
        <f aca="false">IF($D2597="","",IFERROR(INDEX(Workers!$B$5:$B$2004,MATCH($D2597,Workers!$A$5:$A$2004,0)),"NOT FOUND"))</f>
        <v/>
      </c>
      <c r="J2597" s="24" t="str">
        <f aca="false">IF($D2597="","",IFERROR(INDEX(Workers!$C$5:$C$2004,MATCH($D2597,Workers!$A$5:$A$2004,0)),""))</f>
        <v/>
      </c>
      <c r="K2597" s="24" t="str">
        <f aca="false">IF($D2597="","",IFERROR(IF(INDEX(Workers!$D$5:$D$2004,MATCH($D2597,Workers!$A$5:$A$2004,0))=0,"",INDEX(Workers!$D$5:$D$2004,MATCH($D2597,Workers!$A$5:$A$2004,0))),""))</f>
        <v/>
      </c>
      <c r="L2597" s="24" t="str">
        <f aca="false">IF($D2597="","",IFERROR(INDEX(Workers!$E$5:$E$2004,MATCH($D2597,Workers!$A$5:$A$2004,0)),""))</f>
        <v/>
      </c>
      <c r="M2597" s="26" t="str">
        <f aca="false">IF($D2597="","",IFERROR(INDEX(ClientRates!$D$5:$D$500,MATCH($B2597&amp;"|"&amp;$L2597,ClientRates!$A$5:$A$500,0)),0))</f>
        <v/>
      </c>
      <c r="N2597" s="26" t="str">
        <f aca="false">IF($D2597="","",IFERROR(INDEX(ClientRates!$E$5:$E$500,MATCH($B2597&amp;"|"&amp;$L2597,ClientRates!$A$5:$A$500,0)),0))</f>
        <v/>
      </c>
      <c r="O2597" s="26" t="str">
        <f aca="false">IF($D2597="","",F2597*M2597+G2597*N2597)</f>
        <v/>
      </c>
      <c r="P2597" s="26" t="str">
        <f aca="false">IF(OR($D2597="",$J2597&lt;&gt;"Supplier"),"",IFERROR(INDEX(SupplierRates!$D$5:$D$500,MATCH($K2597&amp;"|"&amp;$L2597,SupplierRates!$A$5:$A$500,0)),0))</f>
        <v/>
      </c>
      <c r="Q2597" s="26" t="str">
        <f aca="false">IF(OR($D2597="",$J2597&lt;&gt;"Supplier"),"",IFERROR(INDEX(SupplierRates!$E$5:$E$500,MATCH($K2597&amp;"|"&amp;$L2597,SupplierRates!$A$5:$A$500,0)),0))</f>
        <v/>
      </c>
      <c r="R2597" s="26" t="n">
        <f aca="false">IF(OR($D2597="",$J2597&lt;&gt;"Supplier"),0,F2597*P2597+G2597*Q2597)</f>
        <v>0</v>
      </c>
      <c r="S2597" s="26" t="n">
        <f aca="false">IF(OR($D2597="",$J2597&lt;&gt;"Own"),0,IFERROR((F2597+G2597*Settings!$B$13)*INDEX(Workers!$V$5:$V$2004,MATCH($D2597,Workers!$A$5:$A$2004,0)),0))</f>
        <v>0</v>
      </c>
      <c r="T2597" s="26" t="str">
        <f aca="false">IF($D2597="","",O2597-R2597-S2597)</f>
        <v/>
      </c>
    </row>
    <row r="2598" customFormat="false" ht="15" hidden="false" customHeight="false" outlineLevel="0" collapsed="false">
      <c r="I2598" s="24" t="str">
        <f aca="false">IF($D2598="","",IFERROR(INDEX(Workers!$B$5:$B$2004,MATCH($D2598,Workers!$A$5:$A$2004,0)),"NOT FOUND"))</f>
        <v/>
      </c>
      <c r="J2598" s="24" t="str">
        <f aca="false">IF($D2598="","",IFERROR(INDEX(Workers!$C$5:$C$2004,MATCH($D2598,Workers!$A$5:$A$2004,0)),""))</f>
        <v/>
      </c>
      <c r="K2598" s="24" t="str">
        <f aca="false">IF($D2598="","",IFERROR(IF(INDEX(Workers!$D$5:$D$2004,MATCH($D2598,Workers!$A$5:$A$2004,0))=0,"",INDEX(Workers!$D$5:$D$2004,MATCH($D2598,Workers!$A$5:$A$2004,0))),""))</f>
        <v/>
      </c>
      <c r="L2598" s="24" t="str">
        <f aca="false">IF($D2598="","",IFERROR(INDEX(Workers!$E$5:$E$2004,MATCH($D2598,Workers!$A$5:$A$2004,0)),""))</f>
        <v/>
      </c>
      <c r="M2598" s="26" t="str">
        <f aca="false">IF($D2598="","",IFERROR(INDEX(ClientRates!$D$5:$D$500,MATCH($B2598&amp;"|"&amp;$L2598,ClientRates!$A$5:$A$500,0)),0))</f>
        <v/>
      </c>
      <c r="N2598" s="26" t="str">
        <f aca="false">IF($D2598="","",IFERROR(INDEX(ClientRates!$E$5:$E$500,MATCH($B2598&amp;"|"&amp;$L2598,ClientRates!$A$5:$A$500,0)),0))</f>
        <v/>
      </c>
      <c r="O2598" s="26" t="str">
        <f aca="false">IF($D2598="","",F2598*M2598+G2598*N2598)</f>
        <v/>
      </c>
      <c r="P2598" s="26" t="str">
        <f aca="false">IF(OR($D2598="",$J2598&lt;&gt;"Supplier"),"",IFERROR(INDEX(SupplierRates!$D$5:$D$500,MATCH($K2598&amp;"|"&amp;$L2598,SupplierRates!$A$5:$A$500,0)),0))</f>
        <v/>
      </c>
      <c r="Q2598" s="26" t="str">
        <f aca="false">IF(OR($D2598="",$J2598&lt;&gt;"Supplier"),"",IFERROR(INDEX(SupplierRates!$E$5:$E$500,MATCH($K2598&amp;"|"&amp;$L2598,SupplierRates!$A$5:$A$500,0)),0))</f>
        <v/>
      </c>
      <c r="R2598" s="26" t="n">
        <f aca="false">IF(OR($D2598="",$J2598&lt;&gt;"Supplier"),0,F2598*P2598+G2598*Q2598)</f>
        <v>0</v>
      </c>
      <c r="S2598" s="26" t="n">
        <f aca="false">IF(OR($D2598="",$J2598&lt;&gt;"Own"),0,IFERROR((F2598+G2598*Settings!$B$13)*INDEX(Workers!$V$5:$V$2004,MATCH($D2598,Workers!$A$5:$A$2004,0)),0))</f>
        <v>0</v>
      </c>
      <c r="T2598" s="26" t="str">
        <f aca="false">IF($D2598="","",O2598-R2598-S2598)</f>
        <v/>
      </c>
    </row>
    <row r="2599" customFormat="false" ht="15" hidden="false" customHeight="false" outlineLevel="0" collapsed="false">
      <c r="I2599" s="24" t="str">
        <f aca="false">IF($D2599="","",IFERROR(INDEX(Workers!$B$5:$B$2004,MATCH($D2599,Workers!$A$5:$A$2004,0)),"NOT FOUND"))</f>
        <v/>
      </c>
      <c r="J2599" s="24" t="str">
        <f aca="false">IF($D2599="","",IFERROR(INDEX(Workers!$C$5:$C$2004,MATCH($D2599,Workers!$A$5:$A$2004,0)),""))</f>
        <v/>
      </c>
      <c r="K2599" s="24" t="str">
        <f aca="false">IF($D2599="","",IFERROR(IF(INDEX(Workers!$D$5:$D$2004,MATCH($D2599,Workers!$A$5:$A$2004,0))=0,"",INDEX(Workers!$D$5:$D$2004,MATCH($D2599,Workers!$A$5:$A$2004,0))),""))</f>
        <v/>
      </c>
      <c r="L2599" s="24" t="str">
        <f aca="false">IF($D2599="","",IFERROR(INDEX(Workers!$E$5:$E$2004,MATCH($D2599,Workers!$A$5:$A$2004,0)),""))</f>
        <v/>
      </c>
      <c r="M2599" s="26" t="str">
        <f aca="false">IF($D2599="","",IFERROR(INDEX(ClientRates!$D$5:$D$500,MATCH($B2599&amp;"|"&amp;$L2599,ClientRates!$A$5:$A$500,0)),0))</f>
        <v/>
      </c>
      <c r="N2599" s="26" t="str">
        <f aca="false">IF($D2599="","",IFERROR(INDEX(ClientRates!$E$5:$E$500,MATCH($B2599&amp;"|"&amp;$L2599,ClientRates!$A$5:$A$500,0)),0))</f>
        <v/>
      </c>
      <c r="O2599" s="26" t="str">
        <f aca="false">IF($D2599="","",F2599*M2599+G2599*N2599)</f>
        <v/>
      </c>
      <c r="P2599" s="26" t="str">
        <f aca="false">IF(OR($D2599="",$J2599&lt;&gt;"Supplier"),"",IFERROR(INDEX(SupplierRates!$D$5:$D$500,MATCH($K2599&amp;"|"&amp;$L2599,SupplierRates!$A$5:$A$500,0)),0))</f>
        <v/>
      </c>
      <c r="Q2599" s="26" t="str">
        <f aca="false">IF(OR($D2599="",$J2599&lt;&gt;"Supplier"),"",IFERROR(INDEX(SupplierRates!$E$5:$E$500,MATCH($K2599&amp;"|"&amp;$L2599,SupplierRates!$A$5:$A$500,0)),0))</f>
        <v/>
      </c>
      <c r="R2599" s="26" t="n">
        <f aca="false">IF(OR($D2599="",$J2599&lt;&gt;"Supplier"),0,F2599*P2599+G2599*Q2599)</f>
        <v>0</v>
      </c>
      <c r="S2599" s="26" t="n">
        <f aca="false">IF(OR($D2599="",$J2599&lt;&gt;"Own"),0,IFERROR((F2599+G2599*Settings!$B$13)*INDEX(Workers!$V$5:$V$2004,MATCH($D2599,Workers!$A$5:$A$2004,0)),0))</f>
        <v>0</v>
      </c>
      <c r="T2599" s="26" t="str">
        <f aca="false">IF($D2599="","",O2599-R2599-S2599)</f>
        <v/>
      </c>
    </row>
    <row r="2600" customFormat="false" ht="15" hidden="false" customHeight="false" outlineLevel="0" collapsed="false">
      <c r="I2600" s="24" t="str">
        <f aca="false">IF($D2600="","",IFERROR(INDEX(Workers!$B$5:$B$2004,MATCH($D2600,Workers!$A$5:$A$2004,0)),"NOT FOUND"))</f>
        <v/>
      </c>
      <c r="J2600" s="24" t="str">
        <f aca="false">IF($D2600="","",IFERROR(INDEX(Workers!$C$5:$C$2004,MATCH($D2600,Workers!$A$5:$A$2004,0)),""))</f>
        <v/>
      </c>
      <c r="K2600" s="24" t="str">
        <f aca="false">IF($D2600="","",IFERROR(IF(INDEX(Workers!$D$5:$D$2004,MATCH($D2600,Workers!$A$5:$A$2004,0))=0,"",INDEX(Workers!$D$5:$D$2004,MATCH($D2600,Workers!$A$5:$A$2004,0))),""))</f>
        <v/>
      </c>
      <c r="L2600" s="24" t="str">
        <f aca="false">IF($D2600="","",IFERROR(INDEX(Workers!$E$5:$E$2004,MATCH($D2600,Workers!$A$5:$A$2004,0)),""))</f>
        <v/>
      </c>
      <c r="M2600" s="26" t="str">
        <f aca="false">IF($D2600="","",IFERROR(INDEX(ClientRates!$D$5:$D$500,MATCH($B2600&amp;"|"&amp;$L2600,ClientRates!$A$5:$A$500,0)),0))</f>
        <v/>
      </c>
      <c r="N2600" s="26" t="str">
        <f aca="false">IF($D2600="","",IFERROR(INDEX(ClientRates!$E$5:$E$500,MATCH($B2600&amp;"|"&amp;$L2600,ClientRates!$A$5:$A$500,0)),0))</f>
        <v/>
      </c>
      <c r="O2600" s="26" t="str">
        <f aca="false">IF($D2600="","",F2600*M2600+G2600*N2600)</f>
        <v/>
      </c>
      <c r="P2600" s="26" t="str">
        <f aca="false">IF(OR($D2600="",$J2600&lt;&gt;"Supplier"),"",IFERROR(INDEX(SupplierRates!$D$5:$D$500,MATCH($K2600&amp;"|"&amp;$L2600,SupplierRates!$A$5:$A$500,0)),0))</f>
        <v/>
      </c>
      <c r="Q2600" s="26" t="str">
        <f aca="false">IF(OR($D2600="",$J2600&lt;&gt;"Supplier"),"",IFERROR(INDEX(SupplierRates!$E$5:$E$500,MATCH($K2600&amp;"|"&amp;$L2600,SupplierRates!$A$5:$A$500,0)),0))</f>
        <v/>
      </c>
      <c r="R2600" s="26" t="n">
        <f aca="false">IF(OR($D2600="",$J2600&lt;&gt;"Supplier"),0,F2600*P2600+G2600*Q2600)</f>
        <v>0</v>
      </c>
      <c r="S2600" s="26" t="n">
        <f aca="false">IF(OR($D2600="",$J2600&lt;&gt;"Own"),0,IFERROR((F2600+G2600*Settings!$B$13)*INDEX(Workers!$V$5:$V$2004,MATCH($D2600,Workers!$A$5:$A$2004,0)),0))</f>
        <v>0</v>
      </c>
      <c r="T2600" s="26" t="str">
        <f aca="false">IF($D2600="","",O2600-R2600-S2600)</f>
        <v/>
      </c>
    </row>
    <row r="2601" customFormat="false" ht="15" hidden="false" customHeight="false" outlineLevel="0" collapsed="false">
      <c r="I2601" s="24" t="str">
        <f aca="false">IF($D2601="","",IFERROR(INDEX(Workers!$B$5:$B$2004,MATCH($D2601,Workers!$A$5:$A$2004,0)),"NOT FOUND"))</f>
        <v/>
      </c>
      <c r="J2601" s="24" t="str">
        <f aca="false">IF($D2601="","",IFERROR(INDEX(Workers!$C$5:$C$2004,MATCH($D2601,Workers!$A$5:$A$2004,0)),""))</f>
        <v/>
      </c>
      <c r="K2601" s="24" t="str">
        <f aca="false">IF($D2601="","",IFERROR(IF(INDEX(Workers!$D$5:$D$2004,MATCH($D2601,Workers!$A$5:$A$2004,0))=0,"",INDEX(Workers!$D$5:$D$2004,MATCH($D2601,Workers!$A$5:$A$2004,0))),""))</f>
        <v/>
      </c>
      <c r="L2601" s="24" t="str">
        <f aca="false">IF($D2601="","",IFERROR(INDEX(Workers!$E$5:$E$2004,MATCH($D2601,Workers!$A$5:$A$2004,0)),""))</f>
        <v/>
      </c>
      <c r="M2601" s="26" t="str">
        <f aca="false">IF($D2601="","",IFERROR(INDEX(ClientRates!$D$5:$D$500,MATCH($B2601&amp;"|"&amp;$L2601,ClientRates!$A$5:$A$500,0)),0))</f>
        <v/>
      </c>
      <c r="N2601" s="26" t="str">
        <f aca="false">IF($D2601="","",IFERROR(INDEX(ClientRates!$E$5:$E$500,MATCH($B2601&amp;"|"&amp;$L2601,ClientRates!$A$5:$A$500,0)),0))</f>
        <v/>
      </c>
      <c r="O2601" s="26" t="str">
        <f aca="false">IF($D2601="","",F2601*M2601+G2601*N2601)</f>
        <v/>
      </c>
      <c r="P2601" s="26" t="str">
        <f aca="false">IF(OR($D2601="",$J2601&lt;&gt;"Supplier"),"",IFERROR(INDEX(SupplierRates!$D$5:$D$500,MATCH($K2601&amp;"|"&amp;$L2601,SupplierRates!$A$5:$A$500,0)),0))</f>
        <v/>
      </c>
      <c r="Q2601" s="26" t="str">
        <f aca="false">IF(OR($D2601="",$J2601&lt;&gt;"Supplier"),"",IFERROR(INDEX(SupplierRates!$E$5:$E$500,MATCH($K2601&amp;"|"&amp;$L2601,SupplierRates!$A$5:$A$500,0)),0))</f>
        <v/>
      </c>
      <c r="R2601" s="26" t="n">
        <f aca="false">IF(OR($D2601="",$J2601&lt;&gt;"Supplier"),0,F2601*P2601+G2601*Q2601)</f>
        <v>0</v>
      </c>
      <c r="S2601" s="26" t="n">
        <f aca="false">IF(OR($D2601="",$J2601&lt;&gt;"Own"),0,IFERROR((F2601+G2601*Settings!$B$13)*INDEX(Workers!$V$5:$V$2004,MATCH($D2601,Workers!$A$5:$A$2004,0)),0))</f>
        <v>0</v>
      </c>
      <c r="T2601" s="26" t="str">
        <f aca="false">IF($D2601="","",O2601-R2601-S2601)</f>
        <v/>
      </c>
    </row>
    <row r="2602" customFormat="false" ht="15" hidden="false" customHeight="false" outlineLevel="0" collapsed="false">
      <c r="I2602" s="24" t="str">
        <f aca="false">IF($D2602="","",IFERROR(INDEX(Workers!$B$5:$B$2004,MATCH($D2602,Workers!$A$5:$A$2004,0)),"NOT FOUND"))</f>
        <v/>
      </c>
      <c r="J2602" s="24" t="str">
        <f aca="false">IF($D2602="","",IFERROR(INDEX(Workers!$C$5:$C$2004,MATCH($D2602,Workers!$A$5:$A$2004,0)),""))</f>
        <v/>
      </c>
      <c r="K2602" s="24" t="str">
        <f aca="false">IF($D2602="","",IFERROR(IF(INDEX(Workers!$D$5:$D$2004,MATCH($D2602,Workers!$A$5:$A$2004,0))=0,"",INDEX(Workers!$D$5:$D$2004,MATCH($D2602,Workers!$A$5:$A$2004,0))),""))</f>
        <v/>
      </c>
      <c r="L2602" s="24" t="str">
        <f aca="false">IF($D2602="","",IFERROR(INDEX(Workers!$E$5:$E$2004,MATCH($D2602,Workers!$A$5:$A$2004,0)),""))</f>
        <v/>
      </c>
      <c r="M2602" s="26" t="str">
        <f aca="false">IF($D2602="","",IFERROR(INDEX(ClientRates!$D$5:$D$500,MATCH($B2602&amp;"|"&amp;$L2602,ClientRates!$A$5:$A$500,0)),0))</f>
        <v/>
      </c>
      <c r="N2602" s="26" t="str">
        <f aca="false">IF($D2602="","",IFERROR(INDEX(ClientRates!$E$5:$E$500,MATCH($B2602&amp;"|"&amp;$L2602,ClientRates!$A$5:$A$500,0)),0))</f>
        <v/>
      </c>
      <c r="O2602" s="26" t="str">
        <f aca="false">IF($D2602="","",F2602*M2602+G2602*N2602)</f>
        <v/>
      </c>
      <c r="P2602" s="26" t="str">
        <f aca="false">IF(OR($D2602="",$J2602&lt;&gt;"Supplier"),"",IFERROR(INDEX(SupplierRates!$D$5:$D$500,MATCH($K2602&amp;"|"&amp;$L2602,SupplierRates!$A$5:$A$500,0)),0))</f>
        <v/>
      </c>
      <c r="Q2602" s="26" t="str">
        <f aca="false">IF(OR($D2602="",$J2602&lt;&gt;"Supplier"),"",IFERROR(INDEX(SupplierRates!$E$5:$E$500,MATCH($K2602&amp;"|"&amp;$L2602,SupplierRates!$A$5:$A$500,0)),0))</f>
        <v/>
      </c>
      <c r="R2602" s="26" t="n">
        <f aca="false">IF(OR($D2602="",$J2602&lt;&gt;"Supplier"),0,F2602*P2602+G2602*Q2602)</f>
        <v>0</v>
      </c>
      <c r="S2602" s="26" t="n">
        <f aca="false">IF(OR($D2602="",$J2602&lt;&gt;"Own"),0,IFERROR((F2602+G2602*Settings!$B$13)*INDEX(Workers!$V$5:$V$2004,MATCH($D2602,Workers!$A$5:$A$2004,0)),0))</f>
        <v>0</v>
      </c>
      <c r="T2602" s="26" t="str">
        <f aca="false">IF($D2602="","",O2602-R2602-S2602)</f>
        <v/>
      </c>
    </row>
    <row r="2603" customFormat="false" ht="15" hidden="false" customHeight="false" outlineLevel="0" collapsed="false">
      <c r="I2603" s="24" t="str">
        <f aca="false">IF($D2603="","",IFERROR(INDEX(Workers!$B$5:$B$2004,MATCH($D2603,Workers!$A$5:$A$2004,0)),"NOT FOUND"))</f>
        <v/>
      </c>
      <c r="J2603" s="24" t="str">
        <f aca="false">IF($D2603="","",IFERROR(INDEX(Workers!$C$5:$C$2004,MATCH($D2603,Workers!$A$5:$A$2004,0)),""))</f>
        <v/>
      </c>
      <c r="K2603" s="24" t="str">
        <f aca="false">IF($D2603="","",IFERROR(IF(INDEX(Workers!$D$5:$D$2004,MATCH($D2603,Workers!$A$5:$A$2004,0))=0,"",INDEX(Workers!$D$5:$D$2004,MATCH($D2603,Workers!$A$5:$A$2004,0))),""))</f>
        <v/>
      </c>
      <c r="L2603" s="24" t="str">
        <f aca="false">IF($D2603="","",IFERROR(INDEX(Workers!$E$5:$E$2004,MATCH($D2603,Workers!$A$5:$A$2004,0)),""))</f>
        <v/>
      </c>
      <c r="M2603" s="26" t="str">
        <f aca="false">IF($D2603="","",IFERROR(INDEX(ClientRates!$D$5:$D$500,MATCH($B2603&amp;"|"&amp;$L2603,ClientRates!$A$5:$A$500,0)),0))</f>
        <v/>
      </c>
      <c r="N2603" s="26" t="str">
        <f aca="false">IF($D2603="","",IFERROR(INDEX(ClientRates!$E$5:$E$500,MATCH($B2603&amp;"|"&amp;$L2603,ClientRates!$A$5:$A$500,0)),0))</f>
        <v/>
      </c>
      <c r="O2603" s="26" t="str">
        <f aca="false">IF($D2603="","",F2603*M2603+G2603*N2603)</f>
        <v/>
      </c>
      <c r="P2603" s="26" t="str">
        <f aca="false">IF(OR($D2603="",$J2603&lt;&gt;"Supplier"),"",IFERROR(INDEX(SupplierRates!$D$5:$D$500,MATCH($K2603&amp;"|"&amp;$L2603,SupplierRates!$A$5:$A$500,0)),0))</f>
        <v/>
      </c>
      <c r="Q2603" s="26" t="str">
        <f aca="false">IF(OR($D2603="",$J2603&lt;&gt;"Supplier"),"",IFERROR(INDEX(SupplierRates!$E$5:$E$500,MATCH($K2603&amp;"|"&amp;$L2603,SupplierRates!$A$5:$A$500,0)),0))</f>
        <v/>
      </c>
      <c r="R2603" s="26" t="n">
        <f aca="false">IF(OR($D2603="",$J2603&lt;&gt;"Supplier"),0,F2603*P2603+G2603*Q2603)</f>
        <v>0</v>
      </c>
      <c r="S2603" s="26" t="n">
        <f aca="false">IF(OR($D2603="",$J2603&lt;&gt;"Own"),0,IFERROR((F2603+G2603*Settings!$B$13)*INDEX(Workers!$V$5:$V$2004,MATCH($D2603,Workers!$A$5:$A$2004,0)),0))</f>
        <v>0</v>
      </c>
      <c r="T2603" s="26" t="str">
        <f aca="false">IF($D2603="","",O2603-R2603-S2603)</f>
        <v/>
      </c>
    </row>
    <row r="2604" customFormat="false" ht="15" hidden="false" customHeight="false" outlineLevel="0" collapsed="false">
      <c r="I2604" s="24" t="str">
        <f aca="false">IF($D2604="","",IFERROR(INDEX(Workers!$B$5:$B$2004,MATCH($D2604,Workers!$A$5:$A$2004,0)),"NOT FOUND"))</f>
        <v/>
      </c>
      <c r="J2604" s="24" t="str">
        <f aca="false">IF($D2604="","",IFERROR(INDEX(Workers!$C$5:$C$2004,MATCH($D2604,Workers!$A$5:$A$2004,0)),""))</f>
        <v/>
      </c>
      <c r="K2604" s="24" t="str">
        <f aca="false">IF($D2604="","",IFERROR(IF(INDEX(Workers!$D$5:$D$2004,MATCH($D2604,Workers!$A$5:$A$2004,0))=0,"",INDEX(Workers!$D$5:$D$2004,MATCH($D2604,Workers!$A$5:$A$2004,0))),""))</f>
        <v/>
      </c>
      <c r="L2604" s="24" t="str">
        <f aca="false">IF($D2604="","",IFERROR(INDEX(Workers!$E$5:$E$2004,MATCH($D2604,Workers!$A$5:$A$2004,0)),""))</f>
        <v/>
      </c>
      <c r="M2604" s="26" t="str">
        <f aca="false">IF($D2604="","",IFERROR(INDEX(ClientRates!$D$5:$D$500,MATCH($B2604&amp;"|"&amp;$L2604,ClientRates!$A$5:$A$500,0)),0))</f>
        <v/>
      </c>
      <c r="N2604" s="26" t="str">
        <f aca="false">IF($D2604="","",IFERROR(INDEX(ClientRates!$E$5:$E$500,MATCH($B2604&amp;"|"&amp;$L2604,ClientRates!$A$5:$A$500,0)),0))</f>
        <v/>
      </c>
      <c r="O2604" s="26" t="str">
        <f aca="false">IF($D2604="","",F2604*M2604+G2604*N2604)</f>
        <v/>
      </c>
      <c r="P2604" s="26" t="str">
        <f aca="false">IF(OR($D2604="",$J2604&lt;&gt;"Supplier"),"",IFERROR(INDEX(SupplierRates!$D$5:$D$500,MATCH($K2604&amp;"|"&amp;$L2604,SupplierRates!$A$5:$A$500,0)),0))</f>
        <v/>
      </c>
      <c r="Q2604" s="26" t="str">
        <f aca="false">IF(OR($D2604="",$J2604&lt;&gt;"Supplier"),"",IFERROR(INDEX(SupplierRates!$E$5:$E$500,MATCH($K2604&amp;"|"&amp;$L2604,SupplierRates!$A$5:$A$500,0)),0))</f>
        <v/>
      </c>
      <c r="R2604" s="26" t="n">
        <f aca="false">IF(OR($D2604="",$J2604&lt;&gt;"Supplier"),0,F2604*P2604+G2604*Q2604)</f>
        <v>0</v>
      </c>
      <c r="S2604" s="26" t="n">
        <f aca="false">IF(OR($D2604="",$J2604&lt;&gt;"Own"),0,IFERROR((F2604+G2604*Settings!$B$13)*INDEX(Workers!$V$5:$V$2004,MATCH($D2604,Workers!$A$5:$A$2004,0)),0))</f>
        <v>0</v>
      </c>
      <c r="T2604" s="26" t="str">
        <f aca="false">IF($D2604="","",O2604-R2604-S2604)</f>
        <v/>
      </c>
    </row>
    <row r="2605" customFormat="false" ht="15" hidden="false" customHeight="false" outlineLevel="0" collapsed="false">
      <c r="I2605" s="24" t="str">
        <f aca="false">IF($D2605="","",IFERROR(INDEX(Workers!$B$5:$B$2004,MATCH($D2605,Workers!$A$5:$A$2004,0)),"NOT FOUND"))</f>
        <v/>
      </c>
      <c r="J2605" s="24" t="str">
        <f aca="false">IF($D2605="","",IFERROR(INDEX(Workers!$C$5:$C$2004,MATCH($D2605,Workers!$A$5:$A$2004,0)),""))</f>
        <v/>
      </c>
      <c r="K2605" s="24" t="str">
        <f aca="false">IF($D2605="","",IFERROR(IF(INDEX(Workers!$D$5:$D$2004,MATCH($D2605,Workers!$A$5:$A$2004,0))=0,"",INDEX(Workers!$D$5:$D$2004,MATCH($D2605,Workers!$A$5:$A$2004,0))),""))</f>
        <v/>
      </c>
      <c r="L2605" s="24" t="str">
        <f aca="false">IF($D2605="","",IFERROR(INDEX(Workers!$E$5:$E$2004,MATCH($D2605,Workers!$A$5:$A$2004,0)),""))</f>
        <v/>
      </c>
      <c r="M2605" s="26" t="str">
        <f aca="false">IF($D2605="","",IFERROR(INDEX(ClientRates!$D$5:$D$500,MATCH($B2605&amp;"|"&amp;$L2605,ClientRates!$A$5:$A$500,0)),0))</f>
        <v/>
      </c>
      <c r="N2605" s="26" t="str">
        <f aca="false">IF($D2605="","",IFERROR(INDEX(ClientRates!$E$5:$E$500,MATCH($B2605&amp;"|"&amp;$L2605,ClientRates!$A$5:$A$500,0)),0))</f>
        <v/>
      </c>
      <c r="O2605" s="26" t="str">
        <f aca="false">IF($D2605="","",F2605*M2605+G2605*N2605)</f>
        <v/>
      </c>
      <c r="P2605" s="26" t="str">
        <f aca="false">IF(OR($D2605="",$J2605&lt;&gt;"Supplier"),"",IFERROR(INDEX(SupplierRates!$D$5:$D$500,MATCH($K2605&amp;"|"&amp;$L2605,SupplierRates!$A$5:$A$500,0)),0))</f>
        <v/>
      </c>
      <c r="Q2605" s="26" t="str">
        <f aca="false">IF(OR($D2605="",$J2605&lt;&gt;"Supplier"),"",IFERROR(INDEX(SupplierRates!$E$5:$E$500,MATCH($K2605&amp;"|"&amp;$L2605,SupplierRates!$A$5:$A$500,0)),0))</f>
        <v/>
      </c>
      <c r="R2605" s="26" t="n">
        <f aca="false">IF(OR($D2605="",$J2605&lt;&gt;"Supplier"),0,F2605*P2605+G2605*Q2605)</f>
        <v>0</v>
      </c>
      <c r="S2605" s="26" t="n">
        <f aca="false">IF(OR($D2605="",$J2605&lt;&gt;"Own"),0,IFERROR((F2605+G2605*Settings!$B$13)*INDEX(Workers!$V$5:$V$2004,MATCH($D2605,Workers!$A$5:$A$2004,0)),0))</f>
        <v>0</v>
      </c>
      <c r="T2605" s="26" t="str">
        <f aca="false">IF($D2605="","",O2605-R2605-S2605)</f>
        <v/>
      </c>
    </row>
    <row r="2606" customFormat="false" ht="15" hidden="false" customHeight="false" outlineLevel="0" collapsed="false">
      <c r="I2606" s="24" t="str">
        <f aca="false">IF($D2606="","",IFERROR(INDEX(Workers!$B$5:$B$2004,MATCH($D2606,Workers!$A$5:$A$2004,0)),"NOT FOUND"))</f>
        <v/>
      </c>
      <c r="J2606" s="24" t="str">
        <f aca="false">IF($D2606="","",IFERROR(INDEX(Workers!$C$5:$C$2004,MATCH($D2606,Workers!$A$5:$A$2004,0)),""))</f>
        <v/>
      </c>
      <c r="K2606" s="24" t="str">
        <f aca="false">IF($D2606="","",IFERROR(IF(INDEX(Workers!$D$5:$D$2004,MATCH($D2606,Workers!$A$5:$A$2004,0))=0,"",INDEX(Workers!$D$5:$D$2004,MATCH($D2606,Workers!$A$5:$A$2004,0))),""))</f>
        <v/>
      </c>
      <c r="L2606" s="24" t="str">
        <f aca="false">IF($D2606="","",IFERROR(INDEX(Workers!$E$5:$E$2004,MATCH($D2606,Workers!$A$5:$A$2004,0)),""))</f>
        <v/>
      </c>
      <c r="M2606" s="26" t="str">
        <f aca="false">IF($D2606="","",IFERROR(INDEX(ClientRates!$D$5:$D$500,MATCH($B2606&amp;"|"&amp;$L2606,ClientRates!$A$5:$A$500,0)),0))</f>
        <v/>
      </c>
      <c r="N2606" s="26" t="str">
        <f aca="false">IF($D2606="","",IFERROR(INDEX(ClientRates!$E$5:$E$500,MATCH($B2606&amp;"|"&amp;$L2606,ClientRates!$A$5:$A$500,0)),0))</f>
        <v/>
      </c>
      <c r="O2606" s="26" t="str">
        <f aca="false">IF($D2606="","",F2606*M2606+G2606*N2606)</f>
        <v/>
      </c>
      <c r="P2606" s="26" t="str">
        <f aca="false">IF(OR($D2606="",$J2606&lt;&gt;"Supplier"),"",IFERROR(INDEX(SupplierRates!$D$5:$D$500,MATCH($K2606&amp;"|"&amp;$L2606,SupplierRates!$A$5:$A$500,0)),0))</f>
        <v/>
      </c>
      <c r="Q2606" s="26" t="str">
        <f aca="false">IF(OR($D2606="",$J2606&lt;&gt;"Supplier"),"",IFERROR(INDEX(SupplierRates!$E$5:$E$500,MATCH($K2606&amp;"|"&amp;$L2606,SupplierRates!$A$5:$A$500,0)),0))</f>
        <v/>
      </c>
      <c r="R2606" s="26" t="n">
        <f aca="false">IF(OR($D2606="",$J2606&lt;&gt;"Supplier"),0,F2606*P2606+G2606*Q2606)</f>
        <v>0</v>
      </c>
      <c r="S2606" s="26" t="n">
        <f aca="false">IF(OR($D2606="",$J2606&lt;&gt;"Own"),0,IFERROR((F2606+G2606*Settings!$B$13)*INDEX(Workers!$V$5:$V$2004,MATCH($D2606,Workers!$A$5:$A$2004,0)),0))</f>
        <v>0</v>
      </c>
      <c r="T2606" s="26" t="str">
        <f aca="false">IF($D2606="","",O2606-R2606-S2606)</f>
        <v/>
      </c>
    </row>
    <row r="2607" customFormat="false" ht="15" hidden="false" customHeight="false" outlineLevel="0" collapsed="false">
      <c r="I2607" s="24" t="str">
        <f aca="false">IF($D2607="","",IFERROR(INDEX(Workers!$B$5:$B$2004,MATCH($D2607,Workers!$A$5:$A$2004,0)),"NOT FOUND"))</f>
        <v/>
      </c>
      <c r="J2607" s="24" t="str">
        <f aca="false">IF($D2607="","",IFERROR(INDEX(Workers!$C$5:$C$2004,MATCH($D2607,Workers!$A$5:$A$2004,0)),""))</f>
        <v/>
      </c>
      <c r="K2607" s="24" t="str">
        <f aca="false">IF($D2607="","",IFERROR(IF(INDEX(Workers!$D$5:$D$2004,MATCH($D2607,Workers!$A$5:$A$2004,0))=0,"",INDEX(Workers!$D$5:$D$2004,MATCH($D2607,Workers!$A$5:$A$2004,0))),""))</f>
        <v/>
      </c>
      <c r="L2607" s="24" t="str">
        <f aca="false">IF($D2607="","",IFERROR(INDEX(Workers!$E$5:$E$2004,MATCH($D2607,Workers!$A$5:$A$2004,0)),""))</f>
        <v/>
      </c>
      <c r="M2607" s="26" t="str">
        <f aca="false">IF($D2607="","",IFERROR(INDEX(ClientRates!$D$5:$D$500,MATCH($B2607&amp;"|"&amp;$L2607,ClientRates!$A$5:$A$500,0)),0))</f>
        <v/>
      </c>
      <c r="N2607" s="26" t="str">
        <f aca="false">IF($D2607="","",IFERROR(INDEX(ClientRates!$E$5:$E$500,MATCH($B2607&amp;"|"&amp;$L2607,ClientRates!$A$5:$A$500,0)),0))</f>
        <v/>
      </c>
      <c r="O2607" s="26" t="str">
        <f aca="false">IF($D2607="","",F2607*M2607+G2607*N2607)</f>
        <v/>
      </c>
      <c r="P2607" s="26" t="str">
        <f aca="false">IF(OR($D2607="",$J2607&lt;&gt;"Supplier"),"",IFERROR(INDEX(SupplierRates!$D$5:$D$500,MATCH($K2607&amp;"|"&amp;$L2607,SupplierRates!$A$5:$A$500,0)),0))</f>
        <v/>
      </c>
      <c r="Q2607" s="26" t="str">
        <f aca="false">IF(OR($D2607="",$J2607&lt;&gt;"Supplier"),"",IFERROR(INDEX(SupplierRates!$E$5:$E$500,MATCH($K2607&amp;"|"&amp;$L2607,SupplierRates!$A$5:$A$500,0)),0))</f>
        <v/>
      </c>
      <c r="R2607" s="26" t="n">
        <f aca="false">IF(OR($D2607="",$J2607&lt;&gt;"Supplier"),0,F2607*P2607+G2607*Q2607)</f>
        <v>0</v>
      </c>
      <c r="S2607" s="26" t="n">
        <f aca="false">IF(OR($D2607="",$J2607&lt;&gt;"Own"),0,IFERROR((F2607+G2607*Settings!$B$13)*INDEX(Workers!$V$5:$V$2004,MATCH($D2607,Workers!$A$5:$A$2004,0)),0))</f>
        <v>0</v>
      </c>
      <c r="T2607" s="26" t="str">
        <f aca="false">IF($D2607="","",O2607-R2607-S2607)</f>
        <v/>
      </c>
    </row>
    <row r="2608" customFormat="false" ht="15" hidden="false" customHeight="false" outlineLevel="0" collapsed="false">
      <c r="I2608" s="24" t="str">
        <f aca="false">IF($D2608="","",IFERROR(INDEX(Workers!$B$5:$B$2004,MATCH($D2608,Workers!$A$5:$A$2004,0)),"NOT FOUND"))</f>
        <v/>
      </c>
      <c r="J2608" s="24" t="str">
        <f aca="false">IF($D2608="","",IFERROR(INDEX(Workers!$C$5:$C$2004,MATCH($D2608,Workers!$A$5:$A$2004,0)),""))</f>
        <v/>
      </c>
      <c r="K2608" s="24" t="str">
        <f aca="false">IF($D2608="","",IFERROR(IF(INDEX(Workers!$D$5:$D$2004,MATCH($D2608,Workers!$A$5:$A$2004,0))=0,"",INDEX(Workers!$D$5:$D$2004,MATCH($D2608,Workers!$A$5:$A$2004,0))),""))</f>
        <v/>
      </c>
      <c r="L2608" s="24" t="str">
        <f aca="false">IF($D2608="","",IFERROR(INDEX(Workers!$E$5:$E$2004,MATCH($D2608,Workers!$A$5:$A$2004,0)),""))</f>
        <v/>
      </c>
      <c r="M2608" s="26" t="str">
        <f aca="false">IF($D2608="","",IFERROR(INDEX(ClientRates!$D$5:$D$500,MATCH($B2608&amp;"|"&amp;$L2608,ClientRates!$A$5:$A$500,0)),0))</f>
        <v/>
      </c>
      <c r="N2608" s="26" t="str">
        <f aca="false">IF($D2608="","",IFERROR(INDEX(ClientRates!$E$5:$E$500,MATCH($B2608&amp;"|"&amp;$L2608,ClientRates!$A$5:$A$500,0)),0))</f>
        <v/>
      </c>
      <c r="O2608" s="26" t="str">
        <f aca="false">IF($D2608="","",F2608*M2608+G2608*N2608)</f>
        <v/>
      </c>
      <c r="P2608" s="26" t="str">
        <f aca="false">IF(OR($D2608="",$J2608&lt;&gt;"Supplier"),"",IFERROR(INDEX(SupplierRates!$D$5:$D$500,MATCH($K2608&amp;"|"&amp;$L2608,SupplierRates!$A$5:$A$500,0)),0))</f>
        <v/>
      </c>
      <c r="Q2608" s="26" t="str">
        <f aca="false">IF(OR($D2608="",$J2608&lt;&gt;"Supplier"),"",IFERROR(INDEX(SupplierRates!$E$5:$E$500,MATCH($K2608&amp;"|"&amp;$L2608,SupplierRates!$A$5:$A$500,0)),0))</f>
        <v/>
      </c>
      <c r="R2608" s="26" t="n">
        <f aca="false">IF(OR($D2608="",$J2608&lt;&gt;"Supplier"),0,F2608*P2608+G2608*Q2608)</f>
        <v>0</v>
      </c>
      <c r="S2608" s="26" t="n">
        <f aca="false">IF(OR($D2608="",$J2608&lt;&gt;"Own"),0,IFERROR((F2608+G2608*Settings!$B$13)*INDEX(Workers!$V$5:$V$2004,MATCH($D2608,Workers!$A$5:$A$2004,0)),0))</f>
        <v>0</v>
      </c>
      <c r="T2608" s="26" t="str">
        <f aca="false">IF($D2608="","",O2608-R2608-S2608)</f>
        <v/>
      </c>
    </row>
    <row r="2609" customFormat="false" ht="15" hidden="false" customHeight="false" outlineLevel="0" collapsed="false">
      <c r="I2609" s="24" t="str">
        <f aca="false">IF($D2609="","",IFERROR(INDEX(Workers!$B$5:$B$2004,MATCH($D2609,Workers!$A$5:$A$2004,0)),"NOT FOUND"))</f>
        <v/>
      </c>
      <c r="J2609" s="24" t="str">
        <f aca="false">IF($D2609="","",IFERROR(INDEX(Workers!$C$5:$C$2004,MATCH($D2609,Workers!$A$5:$A$2004,0)),""))</f>
        <v/>
      </c>
      <c r="K2609" s="24" t="str">
        <f aca="false">IF($D2609="","",IFERROR(IF(INDEX(Workers!$D$5:$D$2004,MATCH($D2609,Workers!$A$5:$A$2004,0))=0,"",INDEX(Workers!$D$5:$D$2004,MATCH($D2609,Workers!$A$5:$A$2004,0))),""))</f>
        <v/>
      </c>
      <c r="L2609" s="24" t="str">
        <f aca="false">IF($D2609="","",IFERROR(INDEX(Workers!$E$5:$E$2004,MATCH($D2609,Workers!$A$5:$A$2004,0)),""))</f>
        <v/>
      </c>
      <c r="M2609" s="26" t="str">
        <f aca="false">IF($D2609="","",IFERROR(INDEX(ClientRates!$D$5:$D$500,MATCH($B2609&amp;"|"&amp;$L2609,ClientRates!$A$5:$A$500,0)),0))</f>
        <v/>
      </c>
      <c r="N2609" s="26" t="str">
        <f aca="false">IF($D2609="","",IFERROR(INDEX(ClientRates!$E$5:$E$500,MATCH($B2609&amp;"|"&amp;$L2609,ClientRates!$A$5:$A$500,0)),0))</f>
        <v/>
      </c>
      <c r="O2609" s="26" t="str">
        <f aca="false">IF($D2609="","",F2609*M2609+G2609*N2609)</f>
        <v/>
      </c>
      <c r="P2609" s="26" t="str">
        <f aca="false">IF(OR($D2609="",$J2609&lt;&gt;"Supplier"),"",IFERROR(INDEX(SupplierRates!$D$5:$D$500,MATCH($K2609&amp;"|"&amp;$L2609,SupplierRates!$A$5:$A$500,0)),0))</f>
        <v/>
      </c>
      <c r="Q2609" s="26" t="str">
        <f aca="false">IF(OR($D2609="",$J2609&lt;&gt;"Supplier"),"",IFERROR(INDEX(SupplierRates!$E$5:$E$500,MATCH($K2609&amp;"|"&amp;$L2609,SupplierRates!$A$5:$A$500,0)),0))</f>
        <v/>
      </c>
      <c r="R2609" s="26" t="n">
        <f aca="false">IF(OR($D2609="",$J2609&lt;&gt;"Supplier"),0,F2609*P2609+G2609*Q2609)</f>
        <v>0</v>
      </c>
      <c r="S2609" s="26" t="n">
        <f aca="false">IF(OR($D2609="",$J2609&lt;&gt;"Own"),0,IFERROR((F2609+G2609*Settings!$B$13)*INDEX(Workers!$V$5:$V$2004,MATCH($D2609,Workers!$A$5:$A$2004,0)),0))</f>
        <v>0</v>
      </c>
      <c r="T2609" s="26" t="str">
        <f aca="false">IF($D2609="","",O2609-R2609-S2609)</f>
        <v/>
      </c>
    </row>
    <row r="2610" customFormat="false" ht="15" hidden="false" customHeight="false" outlineLevel="0" collapsed="false">
      <c r="I2610" s="24" t="str">
        <f aca="false">IF($D2610="","",IFERROR(INDEX(Workers!$B$5:$B$2004,MATCH($D2610,Workers!$A$5:$A$2004,0)),"NOT FOUND"))</f>
        <v/>
      </c>
      <c r="J2610" s="24" t="str">
        <f aca="false">IF($D2610="","",IFERROR(INDEX(Workers!$C$5:$C$2004,MATCH($D2610,Workers!$A$5:$A$2004,0)),""))</f>
        <v/>
      </c>
      <c r="K2610" s="24" t="str">
        <f aca="false">IF($D2610="","",IFERROR(IF(INDEX(Workers!$D$5:$D$2004,MATCH($D2610,Workers!$A$5:$A$2004,0))=0,"",INDEX(Workers!$D$5:$D$2004,MATCH($D2610,Workers!$A$5:$A$2004,0))),""))</f>
        <v/>
      </c>
      <c r="L2610" s="24" t="str">
        <f aca="false">IF($D2610="","",IFERROR(INDEX(Workers!$E$5:$E$2004,MATCH($D2610,Workers!$A$5:$A$2004,0)),""))</f>
        <v/>
      </c>
      <c r="M2610" s="26" t="str">
        <f aca="false">IF($D2610="","",IFERROR(INDEX(ClientRates!$D$5:$D$500,MATCH($B2610&amp;"|"&amp;$L2610,ClientRates!$A$5:$A$500,0)),0))</f>
        <v/>
      </c>
      <c r="N2610" s="26" t="str">
        <f aca="false">IF($D2610="","",IFERROR(INDEX(ClientRates!$E$5:$E$500,MATCH($B2610&amp;"|"&amp;$L2610,ClientRates!$A$5:$A$500,0)),0))</f>
        <v/>
      </c>
      <c r="O2610" s="26" t="str">
        <f aca="false">IF($D2610="","",F2610*M2610+G2610*N2610)</f>
        <v/>
      </c>
      <c r="P2610" s="26" t="str">
        <f aca="false">IF(OR($D2610="",$J2610&lt;&gt;"Supplier"),"",IFERROR(INDEX(SupplierRates!$D$5:$D$500,MATCH($K2610&amp;"|"&amp;$L2610,SupplierRates!$A$5:$A$500,0)),0))</f>
        <v/>
      </c>
      <c r="Q2610" s="26" t="str">
        <f aca="false">IF(OR($D2610="",$J2610&lt;&gt;"Supplier"),"",IFERROR(INDEX(SupplierRates!$E$5:$E$500,MATCH($K2610&amp;"|"&amp;$L2610,SupplierRates!$A$5:$A$500,0)),0))</f>
        <v/>
      </c>
      <c r="R2610" s="26" t="n">
        <f aca="false">IF(OR($D2610="",$J2610&lt;&gt;"Supplier"),0,F2610*P2610+G2610*Q2610)</f>
        <v>0</v>
      </c>
      <c r="S2610" s="26" t="n">
        <f aca="false">IF(OR($D2610="",$J2610&lt;&gt;"Own"),0,IFERROR((F2610+G2610*Settings!$B$13)*INDEX(Workers!$V$5:$V$2004,MATCH($D2610,Workers!$A$5:$A$2004,0)),0))</f>
        <v>0</v>
      </c>
      <c r="T2610" s="26" t="str">
        <f aca="false">IF($D2610="","",O2610-R2610-S2610)</f>
        <v/>
      </c>
    </row>
    <row r="2611" customFormat="false" ht="15" hidden="false" customHeight="false" outlineLevel="0" collapsed="false">
      <c r="I2611" s="24" t="str">
        <f aca="false">IF($D2611="","",IFERROR(INDEX(Workers!$B$5:$B$2004,MATCH($D2611,Workers!$A$5:$A$2004,0)),"NOT FOUND"))</f>
        <v/>
      </c>
      <c r="J2611" s="24" t="str">
        <f aca="false">IF($D2611="","",IFERROR(INDEX(Workers!$C$5:$C$2004,MATCH($D2611,Workers!$A$5:$A$2004,0)),""))</f>
        <v/>
      </c>
      <c r="K2611" s="24" t="str">
        <f aca="false">IF($D2611="","",IFERROR(IF(INDEX(Workers!$D$5:$D$2004,MATCH($D2611,Workers!$A$5:$A$2004,0))=0,"",INDEX(Workers!$D$5:$D$2004,MATCH($D2611,Workers!$A$5:$A$2004,0))),""))</f>
        <v/>
      </c>
      <c r="L2611" s="24" t="str">
        <f aca="false">IF($D2611="","",IFERROR(INDEX(Workers!$E$5:$E$2004,MATCH($D2611,Workers!$A$5:$A$2004,0)),""))</f>
        <v/>
      </c>
      <c r="M2611" s="26" t="str">
        <f aca="false">IF($D2611="","",IFERROR(INDEX(ClientRates!$D$5:$D$500,MATCH($B2611&amp;"|"&amp;$L2611,ClientRates!$A$5:$A$500,0)),0))</f>
        <v/>
      </c>
      <c r="N2611" s="26" t="str">
        <f aca="false">IF($D2611="","",IFERROR(INDEX(ClientRates!$E$5:$E$500,MATCH($B2611&amp;"|"&amp;$L2611,ClientRates!$A$5:$A$500,0)),0))</f>
        <v/>
      </c>
      <c r="O2611" s="26" t="str">
        <f aca="false">IF($D2611="","",F2611*M2611+G2611*N2611)</f>
        <v/>
      </c>
      <c r="P2611" s="26" t="str">
        <f aca="false">IF(OR($D2611="",$J2611&lt;&gt;"Supplier"),"",IFERROR(INDEX(SupplierRates!$D$5:$D$500,MATCH($K2611&amp;"|"&amp;$L2611,SupplierRates!$A$5:$A$500,0)),0))</f>
        <v/>
      </c>
      <c r="Q2611" s="26" t="str">
        <f aca="false">IF(OR($D2611="",$J2611&lt;&gt;"Supplier"),"",IFERROR(INDEX(SupplierRates!$E$5:$E$500,MATCH($K2611&amp;"|"&amp;$L2611,SupplierRates!$A$5:$A$500,0)),0))</f>
        <v/>
      </c>
      <c r="R2611" s="26" t="n">
        <f aca="false">IF(OR($D2611="",$J2611&lt;&gt;"Supplier"),0,F2611*P2611+G2611*Q2611)</f>
        <v>0</v>
      </c>
      <c r="S2611" s="26" t="n">
        <f aca="false">IF(OR($D2611="",$J2611&lt;&gt;"Own"),0,IFERROR((F2611+G2611*Settings!$B$13)*INDEX(Workers!$V$5:$V$2004,MATCH($D2611,Workers!$A$5:$A$2004,0)),0))</f>
        <v>0</v>
      </c>
      <c r="T2611" s="26" t="str">
        <f aca="false">IF($D2611="","",O2611-R2611-S2611)</f>
        <v/>
      </c>
    </row>
    <row r="2612" customFormat="false" ht="15" hidden="false" customHeight="false" outlineLevel="0" collapsed="false">
      <c r="I2612" s="24" t="str">
        <f aca="false">IF($D2612="","",IFERROR(INDEX(Workers!$B$5:$B$2004,MATCH($D2612,Workers!$A$5:$A$2004,0)),"NOT FOUND"))</f>
        <v/>
      </c>
      <c r="J2612" s="24" t="str">
        <f aca="false">IF($D2612="","",IFERROR(INDEX(Workers!$C$5:$C$2004,MATCH($D2612,Workers!$A$5:$A$2004,0)),""))</f>
        <v/>
      </c>
      <c r="K2612" s="24" t="str">
        <f aca="false">IF($D2612="","",IFERROR(IF(INDEX(Workers!$D$5:$D$2004,MATCH($D2612,Workers!$A$5:$A$2004,0))=0,"",INDEX(Workers!$D$5:$D$2004,MATCH($D2612,Workers!$A$5:$A$2004,0))),""))</f>
        <v/>
      </c>
      <c r="L2612" s="24" t="str">
        <f aca="false">IF($D2612="","",IFERROR(INDEX(Workers!$E$5:$E$2004,MATCH($D2612,Workers!$A$5:$A$2004,0)),""))</f>
        <v/>
      </c>
      <c r="M2612" s="26" t="str">
        <f aca="false">IF($D2612="","",IFERROR(INDEX(ClientRates!$D$5:$D$500,MATCH($B2612&amp;"|"&amp;$L2612,ClientRates!$A$5:$A$500,0)),0))</f>
        <v/>
      </c>
      <c r="N2612" s="26" t="str">
        <f aca="false">IF($D2612="","",IFERROR(INDEX(ClientRates!$E$5:$E$500,MATCH($B2612&amp;"|"&amp;$L2612,ClientRates!$A$5:$A$500,0)),0))</f>
        <v/>
      </c>
      <c r="O2612" s="26" t="str">
        <f aca="false">IF($D2612="","",F2612*M2612+G2612*N2612)</f>
        <v/>
      </c>
      <c r="P2612" s="26" t="str">
        <f aca="false">IF(OR($D2612="",$J2612&lt;&gt;"Supplier"),"",IFERROR(INDEX(SupplierRates!$D$5:$D$500,MATCH($K2612&amp;"|"&amp;$L2612,SupplierRates!$A$5:$A$500,0)),0))</f>
        <v/>
      </c>
      <c r="Q2612" s="26" t="str">
        <f aca="false">IF(OR($D2612="",$J2612&lt;&gt;"Supplier"),"",IFERROR(INDEX(SupplierRates!$E$5:$E$500,MATCH($K2612&amp;"|"&amp;$L2612,SupplierRates!$A$5:$A$500,0)),0))</f>
        <v/>
      </c>
      <c r="R2612" s="26" t="n">
        <f aca="false">IF(OR($D2612="",$J2612&lt;&gt;"Supplier"),0,F2612*P2612+G2612*Q2612)</f>
        <v>0</v>
      </c>
      <c r="S2612" s="26" t="n">
        <f aca="false">IF(OR($D2612="",$J2612&lt;&gt;"Own"),0,IFERROR((F2612+G2612*Settings!$B$13)*INDEX(Workers!$V$5:$V$2004,MATCH($D2612,Workers!$A$5:$A$2004,0)),0))</f>
        <v>0</v>
      </c>
      <c r="T2612" s="26" t="str">
        <f aca="false">IF($D2612="","",O2612-R2612-S2612)</f>
        <v/>
      </c>
    </row>
    <row r="2613" customFormat="false" ht="15" hidden="false" customHeight="false" outlineLevel="0" collapsed="false">
      <c r="I2613" s="24" t="str">
        <f aca="false">IF($D2613="","",IFERROR(INDEX(Workers!$B$5:$B$2004,MATCH($D2613,Workers!$A$5:$A$2004,0)),"NOT FOUND"))</f>
        <v/>
      </c>
      <c r="J2613" s="24" t="str">
        <f aca="false">IF($D2613="","",IFERROR(INDEX(Workers!$C$5:$C$2004,MATCH($D2613,Workers!$A$5:$A$2004,0)),""))</f>
        <v/>
      </c>
      <c r="K2613" s="24" t="str">
        <f aca="false">IF($D2613="","",IFERROR(IF(INDEX(Workers!$D$5:$D$2004,MATCH($D2613,Workers!$A$5:$A$2004,0))=0,"",INDEX(Workers!$D$5:$D$2004,MATCH($D2613,Workers!$A$5:$A$2004,0))),""))</f>
        <v/>
      </c>
      <c r="L2613" s="24" t="str">
        <f aca="false">IF($D2613="","",IFERROR(INDEX(Workers!$E$5:$E$2004,MATCH($D2613,Workers!$A$5:$A$2004,0)),""))</f>
        <v/>
      </c>
      <c r="M2613" s="26" t="str">
        <f aca="false">IF($D2613="","",IFERROR(INDEX(ClientRates!$D$5:$D$500,MATCH($B2613&amp;"|"&amp;$L2613,ClientRates!$A$5:$A$500,0)),0))</f>
        <v/>
      </c>
      <c r="N2613" s="26" t="str">
        <f aca="false">IF($D2613="","",IFERROR(INDEX(ClientRates!$E$5:$E$500,MATCH($B2613&amp;"|"&amp;$L2613,ClientRates!$A$5:$A$500,0)),0))</f>
        <v/>
      </c>
      <c r="O2613" s="26" t="str">
        <f aca="false">IF($D2613="","",F2613*M2613+G2613*N2613)</f>
        <v/>
      </c>
      <c r="P2613" s="26" t="str">
        <f aca="false">IF(OR($D2613="",$J2613&lt;&gt;"Supplier"),"",IFERROR(INDEX(SupplierRates!$D$5:$D$500,MATCH($K2613&amp;"|"&amp;$L2613,SupplierRates!$A$5:$A$500,0)),0))</f>
        <v/>
      </c>
      <c r="Q2613" s="26" t="str">
        <f aca="false">IF(OR($D2613="",$J2613&lt;&gt;"Supplier"),"",IFERROR(INDEX(SupplierRates!$E$5:$E$500,MATCH($K2613&amp;"|"&amp;$L2613,SupplierRates!$A$5:$A$500,0)),0))</f>
        <v/>
      </c>
      <c r="R2613" s="26" t="n">
        <f aca="false">IF(OR($D2613="",$J2613&lt;&gt;"Supplier"),0,F2613*P2613+G2613*Q2613)</f>
        <v>0</v>
      </c>
      <c r="S2613" s="26" t="n">
        <f aca="false">IF(OR($D2613="",$J2613&lt;&gt;"Own"),0,IFERROR((F2613+G2613*Settings!$B$13)*INDEX(Workers!$V$5:$V$2004,MATCH($D2613,Workers!$A$5:$A$2004,0)),0))</f>
        <v>0</v>
      </c>
      <c r="T2613" s="26" t="str">
        <f aca="false">IF($D2613="","",O2613-R2613-S2613)</f>
        <v/>
      </c>
    </row>
    <row r="2614" customFormat="false" ht="15" hidden="false" customHeight="false" outlineLevel="0" collapsed="false">
      <c r="I2614" s="24" t="str">
        <f aca="false">IF($D2614="","",IFERROR(INDEX(Workers!$B$5:$B$2004,MATCH($D2614,Workers!$A$5:$A$2004,0)),"NOT FOUND"))</f>
        <v/>
      </c>
      <c r="J2614" s="24" t="str">
        <f aca="false">IF($D2614="","",IFERROR(INDEX(Workers!$C$5:$C$2004,MATCH($D2614,Workers!$A$5:$A$2004,0)),""))</f>
        <v/>
      </c>
      <c r="K2614" s="24" t="str">
        <f aca="false">IF($D2614="","",IFERROR(IF(INDEX(Workers!$D$5:$D$2004,MATCH($D2614,Workers!$A$5:$A$2004,0))=0,"",INDEX(Workers!$D$5:$D$2004,MATCH($D2614,Workers!$A$5:$A$2004,0))),""))</f>
        <v/>
      </c>
      <c r="L2614" s="24" t="str">
        <f aca="false">IF($D2614="","",IFERROR(INDEX(Workers!$E$5:$E$2004,MATCH($D2614,Workers!$A$5:$A$2004,0)),""))</f>
        <v/>
      </c>
      <c r="M2614" s="26" t="str">
        <f aca="false">IF($D2614="","",IFERROR(INDEX(ClientRates!$D$5:$D$500,MATCH($B2614&amp;"|"&amp;$L2614,ClientRates!$A$5:$A$500,0)),0))</f>
        <v/>
      </c>
      <c r="N2614" s="26" t="str">
        <f aca="false">IF($D2614="","",IFERROR(INDEX(ClientRates!$E$5:$E$500,MATCH($B2614&amp;"|"&amp;$L2614,ClientRates!$A$5:$A$500,0)),0))</f>
        <v/>
      </c>
      <c r="O2614" s="26" t="str">
        <f aca="false">IF($D2614="","",F2614*M2614+G2614*N2614)</f>
        <v/>
      </c>
      <c r="P2614" s="26" t="str">
        <f aca="false">IF(OR($D2614="",$J2614&lt;&gt;"Supplier"),"",IFERROR(INDEX(SupplierRates!$D$5:$D$500,MATCH($K2614&amp;"|"&amp;$L2614,SupplierRates!$A$5:$A$500,0)),0))</f>
        <v/>
      </c>
      <c r="Q2614" s="26" t="str">
        <f aca="false">IF(OR($D2614="",$J2614&lt;&gt;"Supplier"),"",IFERROR(INDEX(SupplierRates!$E$5:$E$500,MATCH($K2614&amp;"|"&amp;$L2614,SupplierRates!$A$5:$A$500,0)),0))</f>
        <v/>
      </c>
      <c r="R2614" s="26" t="n">
        <f aca="false">IF(OR($D2614="",$J2614&lt;&gt;"Supplier"),0,F2614*P2614+G2614*Q2614)</f>
        <v>0</v>
      </c>
      <c r="S2614" s="26" t="n">
        <f aca="false">IF(OR($D2614="",$J2614&lt;&gt;"Own"),0,IFERROR((F2614+G2614*Settings!$B$13)*INDEX(Workers!$V$5:$V$2004,MATCH($D2614,Workers!$A$5:$A$2004,0)),0))</f>
        <v>0</v>
      </c>
      <c r="T2614" s="26" t="str">
        <f aca="false">IF($D2614="","",O2614-R2614-S2614)</f>
        <v/>
      </c>
    </row>
    <row r="2615" customFormat="false" ht="15" hidden="false" customHeight="false" outlineLevel="0" collapsed="false">
      <c r="I2615" s="24" t="str">
        <f aca="false">IF($D2615="","",IFERROR(INDEX(Workers!$B$5:$B$2004,MATCH($D2615,Workers!$A$5:$A$2004,0)),"NOT FOUND"))</f>
        <v/>
      </c>
      <c r="J2615" s="24" t="str">
        <f aca="false">IF($D2615="","",IFERROR(INDEX(Workers!$C$5:$C$2004,MATCH($D2615,Workers!$A$5:$A$2004,0)),""))</f>
        <v/>
      </c>
      <c r="K2615" s="24" t="str">
        <f aca="false">IF($D2615="","",IFERROR(IF(INDEX(Workers!$D$5:$D$2004,MATCH($D2615,Workers!$A$5:$A$2004,0))=0,"",INDEX(Workers!$D$5:$D$2004,MATCH($D2615,Workers!$A$5:$A$2004,0))),""))</f>
        <v/>
      </c>
      <c r="L2615" s="24" t="str">
        <f aca="false">IF($D2615="","",IFERROR(INDEX(Workers!$E$5:$E$2004,MATCH($D2615,Workers!$A$5:$A$2004,0)),""))</f>
        <v/>
      </c>
      <c r="M2615" s="26" t="str">
        <f aca="false">IF($D2615="","",IFERROR(INDEX(ClientRates!$D$5:$D$500,MATCH($B2615&amp;"|"&amp;$L2615,ClientRates!$A$5:$A$500,0)),0))</f>
        <v/>
      </c>
      <c r="N2615" s="26" t="str">
        <f aca="false">IF($D2615="","",IFERROR(INDEX(ClientRates!$E$5:$E$500,MATCH($B2615&amp;"|"&amp;$L2615,ClientRates!$A$5:$A$500,0)),0))</f>
        <v/>
      </c>
      <c r="O2615" s="26" t="str">
        <f aca="false">IF($D2615="","",F2615*M2615+G2615*N2615)</f>
        <v/>
      </c>
      <c r="P2615" s="26" t="str">
        <f aca="false">IF(OR($D2615="",$J2615&lt;&gt;"Supplier"),"",IFERROR(INDEX(SupplierRates!$D$5:$D$500,MATCH($K2615&amp;"|"&amp;$L2615,SupplierRates!$A$5:$A$500,0)),0))</f>
        <v/>
      </c>
      <c r="Q2615" s="26" t="str">
        <f aca="false">IF(OR($D2615="",$J2615&lt;&gt;"Supplier"),"",IFERROR(INDEX(SupplierRates!$E$5:$E$500,MATCH($K2615&amp;"|"&amp;$L2615,SupplierRates!$A$5:$A$500,0)),0))</f>
        <v/>
      </c>
      <c r="R2615" s="26" t="n">
        <f aca="false">IF(OR($D2615="",$J2615&lt;&gt;"Supplier"),0,F2615*P2615+G2615*Q2615)</f>
        <v>0</v>
      </c>
      <c r="S2615" s="26" t="n">
        <f aca="false">IF(OR($D2615="",$J2615&lt;&gt;"Own"),0,IFERROR((F2615+G2615*Settings!$B$13)*INDEX(Workers!$V$5:$V$2004,MATCH($D2615,Workers!$A$5:$A$2004,0)),0))</f>
        <v>0</v>
      </c>
      <c r="T2615" s="26" t="str">
        <f aca="false">IF($D2615="","",O2615-R2615-S2615)</f>
        <v/>
      </c>
    </row>
    <row r="2616" customFormat="false" ht="15" hidden="false" customHeight="false" outlineLevel="0" collapsed="false">
      <c r="I2616" s="24" t="str">
        <f aca="false">IF($D2616="","",IFERROR(INDEX(Workers!$B$5:$B$2004,MATCH($D2616,Workers!$A$5:$A$2004,0)),"NOT FOUND"))</f>
        <v/>
      </c>
      <c r="J2616" s="24" t="str">
        <f aca="false">IF($D2616="","",IFERROR(INDEX(Workers!$C$5:$C$2004,MATCH($D2616,Workers!$A$5:$A$2004,0)),""))</f>
        <v/>
      </c>
      <c r="K2616" s="24" t="str">
        <f aca="false">IF($D2616="","",IFERROR(IF(INDEX(Workers!$D$5:$D$2004,MATCH($D2616,Workers!$A$5:$A$2004,0))=0,"",INDEX(Workers!$D$5:$D$2004,MATCH($D2616,Workers!$A$5:$A$2004,0))),""))</f>
        <v/>
      </c>
      <c r="L2616" s="24" t="str">
        <f aca="false">IF($D2616="","",IFERROR(INDEX(Workers!$E$5:$E$2004,MATCH($D2616,Workers!$A$5:$A$2004,0)),""))</f>
        <v/>
      </c>
      <c r="M2616" s="26" t="str">
        <f aca="false">IF($D2616="","",IFERROR(INDEX(ClientRates!$D$5:$D$500,MATCH($B2616&amp;"|"&amp;$L2616,ClientRates!$A$5:$A$500,0)),0))</f>
        <v/>
      </c>
      <c r="N2616" s="26" t="str">
        <f aca="false">IF($D2616="","",IFERROR(INDEX(ClientRates!$E$5:$E$500,MATCH($B2616&amp;"|"&amp;$L2616,ClientRates!$A$5:$A$500,0)),0))</f>
        <v/>
      </c>
      <c r="O2616" s="26" t="str">
        <f aca="false">IF($D2616="","",F2616*M2616+G2616*N2616)</f>
        <v/>
      </c>
      <c r="P2616" s="26" t="str">
        <f aca="false">IF(OR($D2616="",$J2616&lt;&gt;"Supplier"),"",IFERROR(INDEX(SupplierRates!$D$5:$D$500,MATCH($K2616&amp;"|"&amp;$L2616,SupplierRates!$A$5:$A$500,0)),0))</f>
        <v/>
      </c>
      <c r="Q2616" s="26" t="str">
        <f aca="false">IF(OR($D2616="",$J2616&lt;&gt;"Supplier"),"",IFERROR(INDEX(SupplierRates!$E$5:$E$500,MATCH($K2616&amp;"|"&amp;$L2616,SupplierRates!$A$5:$A$500,0)),0))</f>
        <v/>
      </c>
      <c r="R2616" s="26" t="n">
        <f aca="false">IF(OR($D2616="",$J2616&lt;&gt;"Supplier"),0,F2616*P2616+G2616*Q2616)</f>
        <v>0</v>
      </c>
      <c r="S2616" s="26" t="n">
        <f aca="false">IF(OR($D2616="",$J2616&lt;&gt;"Own"),0,IFERROR((F2616+G2616*Settings!$B$13)*INDEX(Workers!$V$5:$V$2004,MATCH($D2616,Workers!$A$5:$A$2004,0)),0))</f>
        <v>0</v>
      </c>
      <c r="T2616" s="26" t="str">
        <f aca="false">IF($D2616="","",O2616-R2616-S2616)</f>
        <v/>
      </c>
    </row>
    <row r="2617" customFormat="false" ht="15" hidden="false" customHeight="false" outlineLevel="0" collapsed="false">
      <c r="I2617" s="24" t="str">
        <f aca="false">IF($D2617="","",IFERROR(INDEX(Workers!$B$5:$B$2004,MATCH($D2617,Workers!$A$5:$A$2004,0)),"NOT FOUND"))</f>
        <v/>
      </c>
      <c r="J2617" s="24" t="str">
        <f aca="false">IF($D2617="","",IFERROR(INDEX(Workers!$C$5:$C$2004,MATCH($D2617,Workers!$A$5:$A$2004,0)),""))</f>
        <v/>
      </c>
      <c r="K2617" s="24" t="str">
        <f aca="false">IF($D2617="","",IFERROR(IF(INDEX(Workers!$D$5:$D$2004,MATCH($D2617,Workers!$A$5:$A$2004,0))=0,"",INDEX(Workers!$D$5:$D$2004,MATCH($D2617,Workers!$A$5:$A$2004,0))),""))</f>
        <v/>
      </c>
      <c r="L2617" s="24" t="str">
        <f aca="false">IF($D2617="","",IFERROR(INDEX(Workers!$E$5:$E$2004,MATCH($D2617,Workers!$A$5:$A$2004,0)),""))</f>
        <v/>
      </c>
      <c r="M2617" s="26" t="str">
        <f aca="false">IF($D2617="","",IFERROR(INDEX(ClientRates!$D$5:$D$500,MATCH($B2617&amp;"|"&amp;$L2617,ClientRates!$A$5:$A$500,0)),0))</f>
        <v/>
      </c>
      <c r="N2617" s="26" t="str">
        <f aca="false">IF($D2617="","",IFERROR(INDEX(ClientRates!$E$5:$E$500,MATCH($B2617&amp;"|"&amp;$L2617,ClientRates!$A$5:$A$500,0)),0))</f>
        <v/>
      </c>
      <c r="O2617" s="26" t="str">
        <f aca="false">IF($D2617="","",F2617*M2617+G2617*N2617)</f>
        <v/>
      </c>
      <c r="P2617" s="26" t="str">
        <f aca="false">IF(OR($D2617="",$J2617&lt;&gt;"Supplier"),"",IFERROR(INDEX(SupplierRates!$D$5:$D$500,MATCH($K2617&amp;"|"&amp;$L2617,SupplierRates!$A$5:$A$500,0)),0))</f>
        <v/>
      </c>
      <c r="Q2617" s="26" t="str">
        <f aca="false">IF(OR($D2617="",$J2617&lt;&gt;"Supplier"),"",IFERROR(INDEX(SupplierRates!$E$5:$E$500,MATCH($K2617&amp;"|"&amp;$L2617,SupplierRates!$A$5:$A$500,0)),0))</f>
        <v/>
      </c>
      <c r="R2617" s="26" t="n">
        <f aca="false">IF(OR($D2617="",$J2617&lt;&gt;"Supplier"),0,F2617*P2617+G2617*Q2617)</f>
        <v>0</v>
      </c>
      <c r="S2617" s="26" t="n">
        <f aca="false">IF(OR($D2617="",$J2617&lt;&gt;"Own"),0,IFERROR((F2617+G2617*Settings!$B$13)*INDEX(Workers!$V$5:$V$2004,MATCH($D2617,Workers!$A$5:$A$2004,0)),0))</f>
        <v>0</v>
      </c>
      <c r="T2617" s="26" t="str">
        <f aca="false">IF($D2617="","",O2617-R2617-S2617)</f>
        <v/>
      </c>
    </row>
    <row r="2618" customFormat="false" ht="15" hidden="false" customHeight="false" outlineLevel="0" collapsed="false">
      <c r="I2618" s="24" t="str">
        <f aca="false">IF($D2618="","",IFERROR(INDEX(Workers!$B$5:$B$2004,MATCH($D2618,Workers!$A$5:$A$2004,0)),"NOT FOUND"))</f>
        <v/>
      </c>
      <c r="J2618" s="24" t="str">
        <f aca="false">IF($D2618="","",IFERROR(INDEX(Workers!$C$5:$C$2004,MATCH($D2618,Workers!$A$5:$A$2004,0)),""))</f>
        <v/>
      </c>
      <c r="K2618" s="24" t="str">
        <f aca="false">IF($D2618="","",IFERROR(IF(INDEX(Workers!$D$5:$D$2004,MATCH($D2618,Workers!$A$5:$A$2004,0))=0,"",INDEX(Workers!$D$5:$D$2004,MATCH($D2618,Workers!$A$5:$A$2004,0))),""))</f>
        <v/>
      </c>
      <c r="L2618" s="24" t="str">
        <f aca="false">IF($D2618="","",IFERROR(INDEX(Workers!$E$5:$E$2004,MATCH($D2618,Workers!$A$5:$A$2004,0)),""))</f>
        <v/>
      </c>
      <c r="M2618" s="26" t="str">
        <f aca="false">IF($D2618="","",IFERROR(INDEX(ClientRates!$D$5:$D$500,MATCH($B2618&amp;"|"&amp;$L2618,ClientRates!$A$5:$A$500,0)),0))</f>
        <v/>
      </c>
      <c r="N2618" s="26" t="str">
        <f aca="false">IF($D2618="","",IFERROR(INDEX(ClientRates!$E$5:$E$500,MATCH($B2618&amp;"|"&amp;$L2618,ClientRates!$A$5:$A$500,0)),0))</f>
        <v/>
      </c>
      <c r="O2618" s="26" t="str">
        <f aca="false">IF($D2618="","",F2618*M2618+G2618*N2618)</f>
        <v/>
      </c>
      <c r="P2618" s="26" t="str">
        <f aca="false">IF(OR($D2618="",$J2618&lt;&gt;"Supplier"),"",IFERROR(INDEX(SupplierRates!$D$5:$D$500,MATCH($K2618&amp;"|"&amp;$L2618,SupplierRates!$A$5:$A$500,0)),0))</f>
        <v/>
      </c>
      <c r="Q2618" s="26" t="str">
        <f aca="false">IF(OR($D2618="",$J2618&lt;&gt;"Supplier"),"",IFERROR(INDEX(SupplierRates!$E$5:$E$500,MATCH($K2618&amp;"|"&amp;$L2618,SupplierRates!$A$5:$A$500,0)),0))</f>
        <v/>
      </c>
      <c r="R2618" s="26" t="n">
        <f aca="false">IF(OR($D2618="",$J2618&lt;&gt;"Supplier"),0,F2618*P2618+G2618*Q2618)</f>
        <v>0</v>
      </c>
      <c r="S2618" s="26" t="n">
        <f aca="false">IF(OR($D2618="",$J2618&lt;&gt;"Own"),0,IFERROR((F2618+G2618*Settings!$B$13)*INDEX(Workers!$V$5:$V$2004,MATCH($D2618,Workers!$A$5:$A$2004,0)),0))</f>
        <v>0</v>
      </c>
      <c r="T2618" s="26" t="str">
        <f aca="false">IF($D2618="","",O2618-R2618-S2618)</f>
        <v/>
      </c>
    </row>
    <row r="2619" customFormat="false" ht="15" hidden="false" customHeight="false" outlineLevel="0" collapsed="false">
      <c r="I2619" s="24" t="str">
        <f aca="false">IF($D2619="","",IFERROR(INDEX(Workers!$B$5:$B$2004,MATCH($D2619,Workers!$A$5:$A$2004,0)),"NOT FOUND"))</f>
        <v/>
      </c>
      <c r="J2619" s="24" t="str">
        <f aca="false">IF($D2619="","",IFERROR(INDEX(Workers!$C$5:$C$2004,MATCH($D2619,Workers!$A$5:$A$2004,0)),""))</f>
        <v/>
      </c>
      <c r="K2619" s="24" t="str">
        <f aca="false">IF($D2619="","",IFERROR(IF(INDEX(Workers!$D$5:$D$2004,MATCH($D2619,Workers!$A$5:$A$2004,0))=0,"",INDEX(Workers!$D$5:$D$2004,MATCH($D2619,Workers!$A$5:$A$2004,0))),""))</f>
        <v/>
      </c>
      <c r="L2619" s="24" t="str">
        <f aca="false">IF($D2619="","",IFERROR(INDEX(Workers!$E$5:$E$2004,MATCH($D2619,Workers!$A$5:$A$2004,0)),""))</f>
        <v/>
      </c>
      <c r="M2619" s="26" t="str">
        <f aca="false">IF($D2619="","",IFERROR(INDEX(ClientRates!$D$5:$D$500,MATCH($B2619&amp;"|"&amp;$L2619,ClientRates!$A$5:$A$500,0)),0))</f>
        <v/>
      </c>
      <c r="N2619" s="26" t="str">
        <f aca="false">IF($D2619="","",IFERROR(INDEX(ClientRates!$E$5:$E$500,MATCH($B2619&amp;"|"&amp;$L2619,ClientRates!$A$5:$A$500,0)),0))</f>
        <v/>
      </c>
      <c r="O2619" s="26" t="str">
        <f aca="false">IF($D2619="","",F2619*M2619+G2619*N2619)</f>
        <v/>
      </c>
      <c r="P2619" s="26" t="str">
        <f aca="false">IF(OR($D2619="",$J2619&lt;&gt;"Supplier"),"",IFERROR(INDEX(SupplierRates!$D$5:$D$500,MATCH($K2619&amp;"|"&amp;$L2619,SupplierRates!$A$5:$A$500,0)),0))</f>
        <v/>
      </c>
      <c r="Q2619" s="26" t="str">
        <f aca="false">IF(OR($D2619="",$J2619&lt;&gt;"Supplier"),"",IFERROR(INDEX(SupplierRates!$E$5:$E$500,MATCH($K2619&amp;"|"&amp;$L2619,SupplierRates!$A$5:$A$500,0)),0))</f>
        <v/>
      </c>
      <c r="R2619" s="26" t="n">
        <f aca="false">IF(OR($D2619="",$J2619&lt;&gt;"Supplier"),0,F2619*P2619+G2619*Q2619)</f>
        <v>0</v>
      </c>
      <c r="S2619" s="26" t="n">
        <f aca="false">IF(OR($D2619="",$J2619&lt;&gt;"Own"),0,IFERROR((F2619+G2619*Settings!$B$13)*INDEX(Workers!$V$5:$V$2004,MATCH($D2619,Workers!$A$5:$A$2004,0)),0))</f>
        <v>0</v>
      </c>
      <c r="T2619" s="26" t="str">
        <f aca="false">IF($D2619="","",O2619-R2619-S2619)</f>
        <v/>
      </c>
    </row>
    <row r="2620" customFormat="false" ht="15" hidden="false" customHeight="false" outlineLevel="0" collapsed="false">
      <c r="I2620" s="24" t="str">
        <f aca="false">IF($D2620="","",IFERROR(INDEX(Workers!$B$5:$B$2004,MATCH($D2620,Workers!$A$5:$A$2004,0)),"NOT FOUND"))</f>
        <v/>
      </c>
      <c r="J2620" s="24" t="str">
        <f aca="false">IF($D2620="","",IFERROR(INDEX(Workers!$C$5:$C$2004,MATCH($D2620,Workers!$A$5:$A$2004,0)),""))</f>
        <v/>
      </c>
      <c r="K2620" s="24" t="str">
        <f aca="false">IF($D2620="","",IFERROR(IF(INDEX(Workers!$D$5:$D$2004,MATCH($D2620,Workers!$A$5:$A$2004,0))=0,"",INDEX(Workers!$D$5:$D$2004,MATCH($D2620,Workers!$A$5:$A$2004,0))),""))</f>
        <v/>
      </c>
      <c r="L2620" s="24" t="str">
        <f aca="false">IF($D2620="","",IFERROR(INDEX(Workers!$E$5:$E$2004,MATCH($D2620,Workers!$A$5:$A$2004,0)),""))</f>
        <v/>
      </c>
      <c r="M2620" s="26" t="str">
        <f aca="false">IF($D2620="","",IFERROR(INDEX(ClientRates!$D$5:$D$500,MATCH($B2620&amp;"|"&amp;$L2620,ClientRates!$A$5:$A$500,0)),0))</f>
        <v/>
      </c>
      <c r="N2620" s="26" t="str">
        <f aca="false">IF($D2620="","",IFERROR(INDEX(ClientRates!$E$5:$E$500,MATCH($B2620&amp;"|"&amp;$L2620,ClientRates!$A$5:$A$500,0)),0))</f>
        <v/>
      </c>
      <c r="O2620" s="26" t="str">
        <f aca="false">IF($D2620="","",F2620*M2620+G2620*N2620)</f>
        <v/>
      </c>
      <c r="P2620" s="26" t="str">
        <f aca="false">IF(OR($D2620="",$J2620&lt;&gt;"Supplier"),"",IFERROR(INDEX(SupplierRates!$D$5:$D$500,MATCH($K2620&amp;"|"&amp;$L2620,SupplierRates!$A$5:$A$500,0)),0))</f>
        <v/>
      </c>
      <c r="Q2620" s="26" t="str">
        <f aca="false">IF(OR($D2620="",$J2620&lt;&gt;"Supplier"),"",IFERROR(INDEX(SupplierRates!$E$5:$E$500,MATCH($K2620&amp;"|"&amp;$L2620,SupplierRates!$A$5:$A$500,0)),0))</f>
        <v/>
      </c>
      <c r="R2620" s="26" t="n">
        <f aca="false">IF(OR($D2620="",$J2620&lt;&gt;"Supplier"),0,F2620*P2620+G2620*Q2620)</f>
        <v>0</v>
      </c>
      <c r="S2620" s="26" t="n">
        <f aca="false">IF(OR($D2620="",$J2620&lt;&gt;"Own"),0,IFERROR((F2620+G2620*Settings!$B$13)*INDEX(Workers!$V$5:$V$2004,MATCH($D2620,Workers!$A$5:$A$2004,0)),0))</f>
        <v>0</v>
      </c>
      <c r="T2620" s="26" t="str">
        <f aca="false">IF($D2620="","",O2620-R2620-S2620)</f>
        <v/>
      </c>
    </row>
    <row r="2621" customFormat="false" ht="15" hidden="false" customHeight="false" outlineLevel="0" collapsed="false">
      <c r="I2621" s="24" t="str">
        <f aca="false">IF($D2621="","",IFERROR(INDEX(Workers!$B$5:$B$2004,MATCH($D2621,Workers!$A$5:$A$2004,0)),"NOT FOUND"))</f>
        <v/>
      </c>
      <c r="J2621" s="24" t="str">
        <f aca="false">IF($D2621="","",IFERROR(INDEX(Workers!$C$5:$C$2004,MATCH($D2621,Workers!$A$5:$A$2004,0)),""))</f>
        <v/>
      </c>
      <c r="K2621" s="24" t="str">
        <f aca="false">IF($D2621="","",IFERROR(IF(INDEX(Workers!$D$5:$D$2004,MATCH($D2621,Workers!$A$5:$A$2004,0))=0,"",INDEX(Workers!$D$5:$D$2004,MATCH($D2621,Workers!$A$5:$A$2004,0))),""))</f>
        <v/>
      </c>
      <c r="L2621" s="24" t="str">
        <f aca="false">IF($D2621="","",IFERROR(INDEX(Workers!$E$5:$E$2004,MATCH($D2621,Workers!$A$5:$A$2004,0)),""))</f>
        <v/>
      </c>
      <c r="M2621" s="26" t="str">
        <f aca="false">IF($D2621="","",IFERROR(INDEX(ClientRates!$D$5:$D$500,MATCH($B2621&amp;"|"&amp;$L2621,ClientRates!$A$5:$A$500,0)),0))</f>
        <v/>
      </c>
      <c r="N2621" s="26" t="str">
        <f aca="false">IF($D2621="","",IFERROR(INDEX(ClientRates!$E$5:$E$500,MATCH($B2621&amp;"|"&amp;$L2621,ClientRates!$A$5:$A$500,0)),0))</f>
        <v/>
      </c>
      <c r="O2621" s="26" t="str">
        <f aca="false">IF($D2621="","",F2621*M2621+G2621*N2621)</f>
        <v/>
      </c>
      <c r="P2621" s="26" t="str">
        <f aca="false">IF(OR($D2621="",$J2621&lt;&gt;"Supplier"),"",IFERROR(INDEX(SupplierRates!$D$5:$D$500,MATCH($K2621&amp;"|"&amp;$L2621,SupplierRates!$A$5:$A$500,0)),0))</f>
        <v/>
      </c>
      <c r="Q2621" s="26" t="str">
        <f aca="false">IF(OR($D2621="",$J2621&lt;&gt;"Supplier"),"",IFERROR(INDEX(SupplierRates!$E$5:$E$500,MATCH($K2621&amp;"|"&amp;$L2621,SupplierRates!$A$5:$A$500,0)),0))</f>
        <v/>
      </c>
      <c r="R2621" s="26" t="n">
        <f aca="false">IF(OR($D2621="",$J2621&lt;&gt;"Supplier"),0,F2621*P2621+G2621*Q2621)</f>
        <v>0</v>
      </c>
      <c r="S2621" s="26" t="n">
        <f aca="false">IF(OR($D2621="",$J2621&lt;&gt;"Own"),0,IFERROR((F2621+G2621*Settings!$B$13)*INDEX(Workers!$V$5:$V$2004,MATCH($D2621,Workers!$A$5:$A$2004,0)),0))</f>
        <v>0</v>
      </c>
      <c r="T2621" s="26" t="str">
        <f aca="false">IF($D2621="","",O2621-R2621-S2621)</f>
        <v/>
      </c>
    </row>
    <row r="2622" customFormat="false" ht="15" hidden="false" customHeight="false" outlineLevel="0" collapsed="false">
      <c r="I2622" s="24" t="str">
        <f aca="false">IF($D2622="","",IFERROR(INDEX(Workers!$B$5:$B$2004,MATCH($D2622,Workers!$A$5:$A$2004,0)),"NOT FOUND"))</f>
        <v/>
      </c>
      <c r="J2622" s="24" t="str">
        <f aca="false">IF($D2622="","",IFERROR(INDEX(Workers!$C$5:$C$2004,MATCH($D2622,Workers!$A$5:$A$2004,0)),""))</f>
        <v/>
      </c>
      <c r="K2622" s="24" t="str">
        <f aca="false">IF($D2622="","",IFERROR(IF(INDEX(Workers!$D$5:$D$2004,MATCH($D2622,Workers!$A$5:$A$2004,0))=0,"",INDEX(Workers!$D$5:$D$2004,MATCH($D2622,Workers!$A$5:$A$2004,0))),""))</f>
        <v/>
      </c>
      <c r="L2622" s="24" t="str">
        <f aca="false">IF($D2622="","",IFERROR(INDEX(Workers!$E$5:$E$2004,MATCH($D2622,Workers!$A$5:$A$2004,0)),""))</f>
        <v/>
      </c>
      <c r="M2622" s="26" t="str">
        <f aca="false">IF($D2622="","",IFERROR(INDEX(ClientRates!$D$5:$D$500,MATCH($B2622&amp;"|"&amp;$L2622,ClientRates!$A$5:$A$500,0)),0))</f>
        <v/>
      </c>
      <c r="N2622" s="26" t="str">
        <f aca="false">IF($D2622="","",IFERROR(INDEX(ClientRates!$E$5:$E$500,MATCH($B2622&amp;"|"&amp;$L2622,ClientRates!$A$5:$A$500,0)),0))</f>
        <v/>
      </c>
      <c r="O2622" s="26" t="str">
        <f aca="false">IF($D2622="","",F2622*M2622+G2622*N2622)</f>
        <v/>
      </c>
      <c r="P2622" s="26" t="str">
        <f aca="false">IF(OR($D2622="",$J2622&lt;&gt;"Supplier"),"",IFERROR(INDEX(SupplierRates!$D$5:$D$500,MATCH($K2622&amp;"|"&amp;$L2622,SupplierRates!$A$5:$A$500,0)),0))</f>
        <v/>
      </c>
      <c r="Q2622" s="26" t="str">
        <f aca="false">IF(OR($D2622="",$J2622&lt;&gt;"Supplier"),"",IFERROR(INDEX(SupplierRates!$E$5:$E$500,MATCH($K2622&amp;"|"&amp;$L2622,SupplierRates!$A$5:$A$500,0)),0))</f>
        <v/>
      </c>
      <c r="R2622" s="26" t="n">
        <f aca="false">IF(OR($D2622="",$J2622&lt;&gt;"Supplier"),0,F2622*P2622+G2622*Q2622)</f>
        <v>0</v>
      </c>
      <c r="S2622" s="26" t="n">
        <f aca="false">IF(OR($D2622="",$J2622&lt;&gt;"Own"),0,IFERROR((F2622+G2622*Settings!$B$13)*INDEX(Workers!$V$5:$V$2004,MATCH($D2622,Workers!$A$5:$A$2004,0)),0))</f>
        <v>0</v>
      </c>
      <c r="T2622" s="26" t="str">
        <f aca="false">IF($D2622="","",O2622-R2622-S2622)</f>
        <v/>
      </c>
    </row>
    <row r="2623" customFormat="false" ht="15" hidden="false" customHeight="false" outlineLevel="0" collapsed="false">
      <c r="I2623" s="24" t="str">
        <f aca="false">IF($D2623="","",IFERROR(INDEX(Workers!$B$5:$B$2004,MATCH($D2623,Workers!$A$5:$A$2004,0)),"NOT FOUND"))</f>
        <v/>
      </c>
      <c r="J2623" s="24" t="str">
        <f aca="false">IF($D2623="","",IFERROR(INDEX(Workers!$C$5:$C$2004,MATCH($D2623,Workers!$A$5:$A$2004,0)),""))</f>
        <v/>
      </c>
      <c r="K2623" s="24" t="str">
        <f aca="false">IF($D2623="","",IFERROR(IF(INDEX(Workers!$D$5:$D$2004,MATCH($D2623,Workers!$A$5:$A$2004,0))=0,"",INDEX(Workers!$D$5:$D$2004,MATCH($D2623,Workers!$A$5:$A$2004,0))),""))</f>
        <v/>
      </c>
      <c r="L2623" s="24" t="str">
        <f aca="false">IF($D2623="","",IFERROR(INDEX(Workers!$E$5:$E$2004,MATCH($D2623,Workers!$A$5:$A$2004,0)),""))</f>
        <v/>
      </c>
      <c r="M2623" s="26" t="str">
        <f aca="false">IF($D2623="","",IFERROR(INDEX(ClientRates!$D$5:$D$500,MATCH($B2623&amp;"|"&amp;$L2623,ClientRates!$A$5:$A$500,0)),0))</f>
        <v/>
      </c>
      <c r="N2623" s="26" t="str">
        <f aca="false">IF($D2623="","",IFERROR(INDEX(ClientRates!$E$5:$E$500,MATCH($B2623&amp;"|"&amp;$L2623,ClientRates!$A$5:$A$500,0)),0))</f>
        <v/>
      </c>
      <c r="O2623" s="26" t="str">
        <f aca="false">IF($D2623="","",F2623*M2623+G2623*N2623)</f>
        <v/>
      </c>
      <c r="P2623" s="26" t="str">
        <f aca="false">IF(OR($D2623="",$J2623&lt;&gt;"Supplier"),"",IFERROR(INDEX(SupplierRates!$D$5:$D$500,MATCH($K2623&amp;"|"&amp;$L2623,SupplierRates!$A$5:$A$500,0)),0))</f>
        <v/>
      </c>
      <c r="Q2623" s="26" t="str">
        <f aca="false">IF(OR($D2623="",$J2623&lt;&gt;"Supplier"),"",IFERROR(INDEX(SupplierRates!$E$5:$E$500,MATCH($K2623&amp;"|"&amp;$L2623,SupplierRates!$A$5:$A$500,0)),0))</f>
        <v/>
      </c>
      <c r="R2623" s="26" t="n">
        <f aca="false">IF(OR($D2623="",$J2623&lt;&gt;"Supplier"),0,F2623*P2623+G2623*Q2623)</f>
        <v>0</v>
      </c>
      <c r="S2623" s="26" t="n">
        <f aca="false">IF(OR($D2623="",$J2623&lt;&gt;"Own"),0,IFERROR((F2623+G2623*Settings!$B$13)*INDEX(Workers!$V$5:$V$2004,MATCH($D2623,Workers!$A$5:$A$2004,0)),0))</f>
        <v>0</v>
      </c>
      <c r="T2623" s="26" t="str">
        <f aca="false">IF($D2623="","",O2623-R2623-S2623)</f>
        <v/>
      </c>
    </row>
    <row r="2624" customFormat="false" ht="15" hidden="false" customHeight="false" outlineLevel="0" collapsed="false">
      <c r="I2624" s="24" t="str">
        <f aca="false">IF($D2624="","",IFERROR(INDEX(Workers!$B$5:$B$2004,MATCH($D2624,Workers!$A$5:$A$2004,0)),"NOT FOUND"))</f>
        <v/>
      </c>
      <c r="J2624" s="24" t="str">
        <f aca="false">IF($D2624="","",IFERROR(INDEX(Workers!$C$5:$C$2004,MATCH($D2624,Workers!$A$5:$A$2004,0)),""))</f>
        <v/>
      </c>
      <c r="K2624" s="24" t="str">
        <f aca="false">IF($D2624="","",IFERROR(IF(INDEX(Workers!$D$5:$D$2004,MATCH($D2624,Workers!$A$5:$A$2004,0))=0,"",INDEX(Workers!$D$5:$D$2004,MATCH($D2624,Workers!$A$5:$A$2004,0))),""))</f>
        <v/>
      </c>
      <c r="L2624" s="24" t="str">
        <f aca="false">IF($D2624="","",IFERROR(INDEX(Workers!$E$5:$E$2004,MATCH($D2624,Workers!$A$5:$A$2004,0)),""))</f>
        <v/>
      </c>
      <c r="M2624" s="26" t="str">
        <f aca="false">IF($D2624="","",IFERROR(INDEX(ClientRates!$D$5:$D$500,MATCH($B2624&amp;"|"&amp;$L2624,ClientRates!$A$5:$A$500,0)),0))</f>
        <v/>
      </c>
      <c r="N2624" s="26" t="str">
        <f aca="false">IF($D2624="","",IFERROR(INDEX(ClientRates!$E$5:$E$500,MATCH($B2624&amp;"|"&amp;$L2624,ClientRates!$A$5:$A$500,0)),0))</f>
        <v/>
      </c>
      <c r="O2624" s="26" t="str">
        <f aca="false">IF($D2624="","",F2624*M2624+G2624*N2624)</f>
        <v/>
      </c>
      <c r="P2624" s="26" t="str">
        <f aca="false">IF(OR($D2624="",$J2624&lt;&gt;"Supplier"),"",IFERROR(INDEX(SupplierRates!$D$5:$D$500,MATCH($K2624&amp;"|"&amp;$L2624,SupplierRates!$A$5:$A$500,0)),0))</f>
        <v/>
      </c>
      <c r="Q2624" s="26" t="str">
        <f aca="false">IF(OR($D2624="",$J2624&lt;&gt;"Supplier"),"",IFERROR(INDEX(SupplierRates!$E$5:$E$500,MATCH($K2624&amp;"|"&amp;$L2624,SupplierRates!$A$5:$A$500,0)),0))</f>
        <v/>
      </c>
      <c r="R2624" s="26" t="n">
        <f aca="false">IF(OR($D2624="",$J2624&lt;&gt;"Supplier"),0,F2624*P2624+G2624*Q2624)</f>
        <v>0</v>
      </c>
      <c r="S2624" s="26" t="n">
        <f aca="false">IF(OR($D2624="",$J2624&lt;&gt;"Own"),0,IFERROR((F2624+G2624*Settings!$B$13)*INDEX(Workers!$V$5:$V$2004,MATCH($D2624,Workers!$A$5:$A$2004,0)),0))</f>
        <v>0</v>
      </c>
      <c r="T2624" s="26" t="str">
        <f aca="false">IF($D2624="","",O2624-R2624-S2624)</f>
        <v/>
      </c>
    </row>
    <row r="2625" customFormat="false" ht="15" hidden="false" customHeight="false" outlineLevel="0" collapsed="false">
      <c r="I2625" s="24" t="str">
        <f aca="false">IF($D2625="","",IFERROR(INDEX(Workers!$B$5:$B$2004,MATCH($D2625,Workers!$A$5:$A$2004,0)),"NOT FOUND"))</f>
        <v/>
      </c>
      <c r="J2625" s="24" t="str">
        <f aca="false">IF($D2625="","",IFERROR(INDEX(Workers!$C$5:$C$2004,MATCH($D2625,Workers!$A$5:$A$2004,0)),""))</f>
        <v/>
      </c>
      <c r="K2625" s="24" t="str">
        <f aca="false">IF($D2625="","",IFERROR(IF(INDEX(Workers!$D$5:$D$2004,MATCH($D2625,Workers!$A$5:$A$2004,0))=0,"",INDEX(Workers!$D$5:$D$2004,MATCH($D2625,Workers!$A$5:$A$2004,0))),""))</f>
        <v/>
      </c>
      <c r="L2625" s="24" t="str">
        <f aca="false">IF($D2625="","",IFERROR(INDEX(Workers!$E$5:$E$2004,MATCH($D2625,Workers!$A$5:$A$2004,0)),""))</f>
        <v/>
      </c>
      <c r="M2625" s="26" t="str">
        <f aca="false">IF($D2625="","",IFERROR(INDEX(ClientRates!$D$5:$D$500,MATCH($B2625&amp;"|"&amp;$L2625,ClientRates!$A$5:$A$500,0)),0))</f>
        <v/>
      </c>
      <c r="N2625" s="26" t="str">
        <f aca="false">IF($D2625="","",IFERROR(INDEX(ClientRates!$E$5:$E$500,MATCH($B2625&amp;"|"&amp;$L2625,ClientRates!$A$5:$A$500,0)),0))</f>
        <v/>
      </c>
      <c r="O2625" s="26" t="str">
        <f aca="false">IF($D2625="","",F2625*M2625+G2625*N2625)</f>
        <v/>
      </c>
      <c r="P2625" s="26" t="str">
        <f aca="false">IF(OR($D2625="",$J2625&lt;&gt;"Supplier"),"",IFERROR(INDEX(SupplierRates!$D$5:$D$500,MATCH($K2625&amp;"|"&amp;$L2625,SupplierRates!$A$5:$A$500,0)),0))</f>
        <v/>
      </c>
      <c r="Q2625" s="26" t="str">
        <f aca="false">IF(OR($D2625="",$J2625&lt;&gt;"Supplier"),"",IFERROR(INDEX(SupplierRates!$E$5:$E$500,MATCH($K2625&amp;"|"&amp;$L2625,SupplierRates!$A$5:$A$500,0)),0))</f>
        <v/>
      </c>
      <c r="R2625" s="26" t="n">
        <f aca="false">IF(OR($D2625="",$J2625&lt;&gt;"Supplier"),0,F2625*P2625+G2625*Q2625)</f>
        <v>0</v>
      </c>
      <c r="S2625" s="26" t="n">
        <f aca="false">IF(OR($D2625="",$J2625&lt;&gt;"Own"),0,IFERROR((F2625+G2625*Settings!$B$13)*INDEX(Workers!$V$5:$V$2004,MATCH($D2625,Workers!$A$5:$A$2004,0)),0))</f>
        <v>0</v>
      </c>
      <c r="T2625" s="26" t="str">
        <f aca="false">IF($D2625="","",O2625-R2625-S2625)</f>
        <v/>
      </c>
    </row>
    <row r="2626" customFormat="false" ht="15" hidden="false" customHeight="false" outlineLevel="0" collapsed="false">
      <c r="I2626" s="24" t="str">
        <f aca="false">IF($D2626="","",IFERROR(INDEX(Workers!$B$5:$B$2004,MATCH($D2626,Workers!$A$5:$A$2004,0)),"NOT FOUND"))</f>
        <v/>
      </c>
      <c r="J2626" s="24" t="str">
        <f aca="false">IF($D2626="","",IFERROR(INDEX(Workers!$C$5:$C$2004,MATCH($D2626,Workers!$A$5:$A$2004,0)),""))</f>
        <v/>
      </c>
      <c r="K2626" s="24" t="str">
        <f aca="false">IF($D2626="","",IFERROR(IF(INDEX(Workers!$D$5:$D$2004,MATCH($D2626,Workers!$A$5:$A$2004,0))=0,"",INDEX(Workers!$D$5:$D$2004,MATCH($D2626,Workers!$A$5:$A$2004,0))),""))</f>
        <v/>
      </c>
      <c r="L2626" s="24" t="str">
        <f aca="false">IF($D2626="","",IFERROR(INDEX(Workers!$E$5:$E$2004,MATCH($D2626,Workers!$A$5:$A$2004,0)),""))</f>
        <v/>
      </c>
      <c r="M2626" s="26" t="str">
        <f aca="false">IF($D2626="","",IFERROR(INDEX(ClientRates!$D$5:$D$500,MATCH($B2626&amp;"|"&amp;$L2626,ClientRates!$A$5:$A$500,0)),0))</f>
        <v/>
      </c>
      <c r="N2626" s="26" t="str">
        <f aca="false">IF($D2626="","",IFERROR(INDEX(ClientRates!$E$5:$E$500,MATCH($B2626&amp;"|"&amp;$L2626,ClientRates!$A$5:$A$500,0)),0))</f>
        <v/>
      </c>
      <c r="O2626" s="26" t="str">
        <f aca="false">IF($D2626="","",F2626*M2626+G2626*N2626)</f>
        <v/>
      </c>
      <c r="P2626" s="26" t="str">
        <f aca="false">IF(OR($D2626="",$J2626&lt;&gt;"Supplier"),"",IFERROR(INDEX(SupplierRates!$D$5:$D$500,MATCH($K2626&amp;"|"&amp;$L2626,SupplierRates!$A$5:$A$500,0)),0))</f>
        <v/>
      </c>
      <c r="Q2626" s="26" t="str">
        <f aca="false">IF(OR($D2626="",$J2626&lt;&gt;"Supplier"),"",IFERROR(INDEX(SupplierRates!$E$5:$E$500,MATCH($K2626&amp;"|"&amp;$L2626,SupplierRates!$A$5:$A$500,0)),0))</f>
        <v/>
      </c>
      <c r="R2626" s="26" t="n">
        <f aca="false">IF(OR($D2626="",$J2626&lt;&gt;"Supplier"),0,F2626*P2626+G2626*Q2626)</f>
        <v>0</v>
      </c>
      <c r="S2626" s="26" t="n">
        <f aca="false">IF(OR($D2626="",$J2626&lt;&gt;"Own"),0,IFERROR((F2626+G2626*Settings!$B$13)*INDEX(Workers!$V$5:$V$2004,MATCH($D2626,Workers!$A$5:$A$2004,0)),0))</f>
        <v>0</v>
      </c>
      <c r="T2626" s="26" t="str">
        <f aca="false">IF($D2626="","",O2626-R2626-S2626)</f>
        <v/>
      </c>
    </row>
    <row r="2627" customFormat="false" ht="15" hidden="false" customHeight="false" outlineLevel="0" collapsed="false">
      <c r="I2627" s="24" t="str">
        <f aca="false">IF($D2627="","",IFERROR(INDEX(Workers!$B$5:$B$2004,MATCH($D2627,Workers!$A$5:$A$2004,0)),"NOT FOUND"))</f>
        <v/>
      </c>
      <c r="J2627" s="24" t="str">
        <f aca="false">IF($D2627="","",IFERROR(INDEX(Workers!$C$5:$C$2004,MATCH($D2627,Workers!$A$5:$A$2004,0)),""))</f>
        <v/>
      </c>
      <c r="K2627" s="24" t="str">
        <f aca="false">IF($D2627="","",IFERROR(IF(INDEX(Workers!$D$5:$D$2004,MATCH($D2627,Workers!$A$5:$A$2004,0))=0,"",INDEX(Workers!$D$5:$D$2004,MATCH($D2627,Workers!$A$5:$A$2004,0))),""))</f>
        <v/>
      </c>
      <c r="L2627" s="24" t="str">
        <f aca="false">IF($D2627="","",IFERROR(INDEX(Workers!$E$5:$E$2004,MATCH($D2627,Workers!$A$5:$A$2004,0)),""))</f>
        <v/>
      </c>
      <c r="M2627" s="26" t="str">
        <f aca="false">IF($D2627="","",IFERROR(INDEX(ClientRates!$D$5:$D$500,MATCH($B2627&amp;"|"&amp;$L2627,ClientRates!$A$5:$A$500,0)),0))</f>
        <v/>
      </c>
      <c r="N2627" s="26" t="str">
        <f aca="false">IF($D2627="","",IFERROR(INDEX(ClientRates!$E$5:$E$500,MATCH($B2627&amp;"|"&amp;$L2627,ClientRates!$A$5:$A$500,0)),0))</f>
        <v/>
      </c>
      <c r="O2627" s="26" t="str">
        <f aca="false">IF($D2627="","",F2627*M2627+G2627*N2627)</f>
        <v/>
      </c>
      <c r="P2627" s="26" t="str">
        <f aca="false">IF(OR($D2627="",$J2627&lt;&gt;"Supplier"),"",IFERROR(INDEX(SupplierRates!$D$5:$D$500,MATCH($K2627&amp;"|"&amp;$L2627,SupplierRates!$A$5:$A$500,0)),0))</f>
        <v/>
      </c>
      <c r="Q2627" s="26" t="str">
        <f aca="false">IF(OR($D2627="",$J2627&lt;&gt;"Supplier"),"",IFERROR(INDEX(SupplierRates!$E$5:$E$500,MATCH($K2627&amp;"|"&amp;$L2627,SupplierRates!$A$5:$A$500,0)),0))</f>
        <v/>
      </c>
      <c r="R2627" s="26" t="n">
        <f aca="false">IF(OR($D2627="",$J2627&lt;&gt;"Supplier"),0,F2627*P2627+G2627*Q2627)</f>
        <v>0</v>
      </c>
      <c r="S2627" s="26" t="n">
        <f aca="false">IF(OR($D2627="",$J2627&lt;&gt;"Own"),0,IFERROR((F2627+G2627*Settings!$B$13)*INDEX(Workers!$V$5:$V$2004,MATCH($D2627,Workers!$A$5:$A$2004,0)),0))</f>
        <v>0</v>
      </c>
      <c r="T2627" s="26" t="str">
        <f aca="false">IF($D2627="","",O2627-R2627-S2627)</f>
        <v/>
      </c>
    </row>
    <row r="2628" customFormat="false" ht="15" hidden="false" customHeight="false" outlineLevel="0" collapsed="false">
      <c r="I2628" s="24" t="str">
        <f aca="false">IF($D2628="","",IFERROR(INDEX(Workers!$B$5:$B$2004,MATCH($D2628,Workers!$A$5:$A$2004,0)),"NOT FOUND"))</f>
        <v/>
      </c>
      <c r="J2628" s="24" t="str">
        <f aca="false">IF($D2628="","",IFERROR(INDEX(Workers!$C$5:$C$2004,MATCH($D2628,Workers!$A$5:$A$2004,0)),""))</f>
        <v/>
      </c>
      <c r="K2628" s="24" t="str">
        <f aca="false">IF($D2628="","",IFERROR(IF(INDEX(Workers!$D$5:$D$2004,MATCH($D2628,Workers!$A$5:$A$2004,0))=0,"",INDEX(Workers!$D$5:$D$2004,MATCH($D2628,Workers!$A$5:$A$2004,0))),""))</f>
        <v/>
      </c>
      <c r="L2628" s="24" t="str">
        <f aca="false">IF($D2628="","",IFERROR(INDEX(Workers!$E$5:$E$2004,MATCH($D2628,Workers!$A$5:$A$2004,0)),""))</f>
        <v/>
      </c>
      <c r="M2628" s="26" t="str">
        <f aca="false">IF($D2628="","",IFERROR(INDEX(ClientRates!$D$5:$D$500,MATCH($B2628&amp;"|"&amp;$L2628,ClientRates!$A$5:$A$500,0)),0))</f>
        <v/>
      </c>
      <c r="N2628" s="26" t="str">
        <f aca="false">IF($D2628="","",IFERROR(INDEX(ClientRates!$E$5:$E$500,MATCH($B2628&amp;"|"&amp;$L2628,ClientRates!$A$5:$A$500,0)),0))</f>
        <v/>
      </c>
      <c r="O2628" s="26" t="str">
        <f aca="false">IF($D2628="","",F2628*M2628+G2628*N2628)</f>
        <v/>
      </c>
      <c r="P2628" s="26" t="str">
        <f aca="false">IF(OR($D2628="",$J2628&lt;&gt;"Supplier"),"",IFERROR(INDEX(SupplierRates!$D$5:$D$500,MATCH($K2628&amp;"|"&amp;$L2628,SupplierRates!$A$5:$A$500,0)),0))</f>
        <v/>
      </c>
      <c r="Q2628" s="26" t="str">
        <f aca="false">IF(OR($D2628="",$J2628&lt;&gt;"Supplier"),"",IFERROR(INDEX(SupplierRates!$E$5:$E$500,MATCH($K2628&amp;"|"&amp;$L2628,SupplierRates!$A$5:$A$500,0)),0))</f>
        <v/>
      </c>
      <c r="R2628" s="26" t="n">
        <f aca="false">IF(OR($D2628="",$J2628&lt;&gt;"Supplier"),0,F2628*P2628+G2628*Q2628)</f>
        <v>0</v>
      </c>
      <c r="S2628" s="26" t="n">
        <f aca="false">IF(OR($D2628="",$J2628&lt;&gt;"Own"),0,IFERROR((F2628+G2628*Settings!$B$13)*INDEX(Workers!$V$5:$V$2004,MATCH($D2628,Workers!$A$5:$A$2004,0)),0))</f>
        <v>0</v>
      </c>
      <c r="T2628" s="26" t="str">
        <f aca="false">IF($D2628="","",O2628-R2628-S2628)</f>
        <v/>
      </c>
    </row>
    <row r="2629" customFormat="false" ht="15" hidden="false" customHeight="false" outlineLevel="0" collapsed="false">
      <c r="I2629" s="24" t="str">
        <f aca="false">IF($D2629="","",IFERROR(INDEX(Workers!$B$5:$B$2004,MATCH($D2629,Workers!$A$5:$A$2004,0)),"NOT FOUND"))</f>
        <v/>
      </c>
      <c r="J2629" s="24" t="str">
        <f aca="false">IF($D2629="","",IFERROR(INDEX(Workers!$C$5:$C$2004,MATCH($D2629,Workers!$A$5:$A$2004,0)),""))</f>
        <v/>
      </c>
      <c r="K2629" s="24" t="str">
        <f aca="false">IF($D2629="","",IFERROR(IF(INDEX(Workers!$D$5:$D$2004,MATCH($D2629,Workers!$A$5:$A$2004,0))=0,"",INDEX(Workers!$D$5:$D$2004,MATCH($D2629,Workers!$A$5:$A$2004,0))),""))</f>
        <v/>
      </c>
      <c r="L2629" s="24" t="str">
        <f aca="false">IF($D2629="","",IFERROR(INDEX(Workers!$E$5:$E$2004,MATCH($D2629,Workers!$A$5:$A$2004,0)),""))</f>
        <v/>
      </c>
      <c r="M2629" s="26" t="str">
        <f aca="false">IF($D2629="","",IFERROR(INDEX(ClientRates!$D$5:$D$500,MATCH($B2629&amp;"|"&amp;$L2629,ClientRates!$A$5:$A$500,0)),0))</f>
        <v/>
      </c>
      <c r="N2629" s="26" t="str">
        <f aca="false">IF($D2629="","",IFERROR(INDEX(ClientRates!$E$5:$E$500,MATCH($B2629&amp;"|"&amp;$L2629,ClientRates!$A$5:$A$500,0)),0))</f>
        <v/>
      </c>
      <c r="O2629" s="26" t="str">
        <f aca="false">IF($D2629="","",F2629*M2629+G2629*N2629)</f>
        <v/>
      </c>
      <c r="P2629" s="26" t="str">
        <f aca="false">IF(OR($D2629="",$J2629&lt;&gt;"Supplier"),"",IFERROR(INDEX(SupplierRates!$D$5:$D$500,MATCH($K2629&amp;"|"&amp;$L2629,SupplierRates!$A$5:$A$500,0)),0))</f>
        <v/>
      </c>
      <c r="Q2629" s="26" t="str">
        <f aca="false">IF(OR($D2629="",$J2629&lt;&gt;"Supplier"),"",IFERROR(INDEX(SupplierRates!$E$5:$E$500,MATCH($K2629&amp;"|"&amp;$L2629,SupplierRates!$A$5:$A$500,0)),0))</f>
        <v/>
      </c>
      <c r="R2629" s="26" t="n">
        <f aca="false">IF(OR($D2629="",$J2629&lt;&gt;"Supplier"),0,F2629*P2629+G2629*Q2629)</f>
        <v>0</v>
      </c>
      <c r="S2629" s="26" t="n">
        <f aca="false">IF(OR($D2629="",$J2629&lt;&gt;"Own"),0,IFERROR((F2629+G2629*Settings!$B$13)*INDEX(Workers!$V$5:$V$2004,MATCH($D2629,Workers!$A$5:$A$2004,0)),0))</f>
        <v>0</v>
      </c>
      <c r="T2629" s="26" t="str">
        <f aca="false">IF($D2629="","",O2629-R2629-S2629)</f>
        <v/>
      </c>
    </row>
    <row r="2630" customFormat="false" ht="15" hidden="false" customHeight="false" outlineLevel="0" collapsed="false">
      <c r="I2630" s="24" t="str">
        <f aca="false">IF($D2630="","",IFERROR(INDEX(Workers!$B$5:$B$2004,MATCH($D2630,Workers!$A$5:$A$2004,0)),"NOT FOUND"))</f>
        <v/>
      </c>
      <c r="J2630" s="24" t="str">
        <f aca="false">IF($D2630="","",IFERROR(INDEX(Workers!$C$5:$C$2004,MATCH($D2630,Workers!$A$5:$A$2004,0)),""))</f>
        <v/>
      </c>
      <c r="K2630" s="24" t="str">
        <f aca="false">IF($D2630="","",IFERROR(IF(INDEX(Workers!$D$5:$D$2004,MATCH($D2630,Workers!$A$5:$A$2004,0))=0,"",INDEX(Workers!$D$5:$D$2004,MATCH($D2630,Workers!$A$5:$A$2004,0))),""))</f>
        <v/>
      </c>
      <c r="L2630" s="24" t="str">
        <f aca="false">IF($D2630="","",IFERROR(INDEX(Workers!$E$5:$E$2004,MATCH($D2630,Workers!$A$5:$A$2004,0)),""))</f>
        <v/>
      </c>
      <c r="M2630" s="26" t="str">
        <f aca="false">IF($D2630="","",IFERROR(INDEX(ClientRates!$D$5:$D$500,MATCH($B2630&amp;"|"&amp;$L2630,ClientRates!$A$5:$A$500,0)),0))</f>
        <v/>
      </c>
      <c r="N2630" s="26" t="str">
        <f aca="false">IF($D2630="","",IFERROR(INDEX(ClientRates!$E$5:$E$500,MATCH($B2630&amp;"|"&amp;$L2630,ClientRates!$A$5:$A$500,0)),0))</f>
        <v/>
      </c>
      <c r="O2630" s="26" t="str">
        <f aca="false">IF($D2630="","",F2630*M2630+G2630*N2630)</f>
        <v/>
      </c>
      <c r="P2630" s="26" t="str">
        <f aca="false">IF(OR($D2630="",$J2630&lt;&gt;"Supplier"),"",IFERROR(INDEX(SupplierRates!$D$5:$D$500,MATCH($K2630&amp;"|"&amp;$L2630,SupplierRates!$A$5:$A$500,0)),0))</f>
        <v/>
      </c>
      <c r="Q2630" s="26" t="str">
        <f aca="false">IF(OR($D2630="",$J2630&lt;&gt;"Supplier"),"",IFERROR(INDEX(SupplierRates!$E$5:$E$500,MATCH($K2630&amp;"|"&amp;$L2630,SupplierRates!$A$5:$A$500,0)),0))</f>
        <v/>
      </c>
      <c r="R2630" s="26" t="n">
        <f aca="false">IF(OR($D2630="",$J2630&lt;&gt;"Supplier"),0,F2630*P2630+G2630*Q2630)</f>
        <v>0</v>
      </c>
      <c r="S2630" s="26" t="n">
        <f aca="false">IF(OR($D2630="",$J2630&lt;&gt;"Own"),0,IFERROR((F2630+G2630*Settings!$B$13)*INDEX(Workers!$V$5:$V$2004,MATCH($D2630,Workers!$A$5:$A$2004,0)),0))</f>
        <v>0</v>
      </c>
      <c r="T2630" s="26" t="str">
        <f aca="false">IF($D2630="","",O2630-R2630-S2630)</f>
        <v/>
      </c>
    </row>
    <row r="2631" customFormat="false" ht="15" hidden="false" customHeight="false" outlineLevel="0" collapsed="false">
      <c r="I2631" s="24" t="str">
        <f aca="false">IF($D2631="","",IFERROR(INDEX(Workers!$B$5:$B$2004,MATCH($D2631,Workers!$A$5:$A$2004,0)),"NOT FOUND"))</f>
        <v/>
      </c>
      <c r="J2631" s="24" t="str">
        <f aca="false">IF($D2631="","",IFERROR(INDEX(Workers!$C$5:$C$2004,MATCH($D2631,Workers!$A$5:$A$2004,0)),""))</f>
        <v/>
      </c>
      <c r="K2631" s="24" t="str">
        <f aca="false">IF($D2631="","",IFERROR(IF(INDEX(Workers!$D$5:$D$2004,MATCH($D2631,Workers!$A$5:$A$2004,0))=0,"",INDEX(Workers!$D$5:$D$2004,MATCH($D2631,Workers!$A$5:$A$2004,0))),""))</f>
        <v/>
      </c>
      <c r="L2631" s="24" t="str">
        <f aca="false">IF($D2631="","",IFERROR(INDEX(Workers!$E$5:$E$2004,MATCH($D2631,Workers!$A$5:$A$2004,0)),""))</f>
        <v/>
      </c>
      <c r="M2631" s="26" t="str">
        <f aca="false">IF($D2631="","",IFERROR(INDEX(ClientRates!$D$5:$D$500,MATCH($B2631&amp;"|"&amp;$L2631,ClientRates!$A$5:$A$500,0)),0))</f>
        <v/>
      </c>
      <c r="N2631" s="26" t="str">
        <f aca="false">IF($D2631="","",IFERROR(INDEX(ClientRates!$E$5:$E$500,MATCH($B2631&amp;"|"&amp;$L2631,ClientRates!$A$5:$A$500,0)),0))</f>
        <v/>
      </c>
      <c r="O2631" s="26" t="str">
        <f aca="false">IF($D2631="","",F2631*M2631+G2631*N2631)</f>
        <v/>
      </c>
      <c r="P2631" s="26" t="str">
        <f aca="false">IF(OR($D2631="",$J2631&lt;&gt;"Supplier"),"",IFERROR(INDEX(SupplierRates!$D$5:$D$500,MATCH($K2631&amp;"|"&amp;$L2631,SupplierRates!$A$5:$A$500,0)),0))</f>
        <v/>
      </c>
      <c r="Q2631" s="26" t="str">
        <f aca="false">IF(OR($D2631="",$J2631&lt;&gt;"Supplier"),"",IFERROR(INDEX(SupplierRates!$E$5:$E$500,MATCH($K2631&amp;"|"&amp;$L2631,SupplierRates!$A$5:$A$500,0)),0))</f>
        <v/>
      </c>
      <c r="R2631" s="26" t="n">
        <f aca="false">IF(OR($D2631="",$J2631&lt;&gt;"Supplier"),0,F2631*P2631+G2631*Q2631)</f>
        <v>0</v>
      </c>
      <c r="S2631" s="26" t="n">
        <f aca="false">IF(OR($D2631="",$J2631&lt;&gt;"Own"),0,IFERROR((F2631+G2631*Settings!$B$13)*INDEX(Workers!$V$5:$V$2004,MATCH($D2631,Workers!$A$5:$A$2004,0)),0))</f>
        <v>0</v>
      </c>
      <c r="T2631" s="26" t="str">
        <f aca="false">IF($D2631="","",O2631-R2631-S2631)</f>
        <v/>
      </c>
    </row>
    <row r="2632" customFormat="false" ht="15" hidden="false" customHeight="false" outlineLevel="0" collapsed="false">
      <c r="I2632" s="24" t="str">
        <f aca="false">IF($D2632="","",IFERROR(INDEX(Workers!$B$5:$B$2004,MATCH($D2632,Workers!$A$5:$A$2004,0)),"NOT FOUND"))</f>
        <v/>
      </c>
      <c r="J2632" s="24" t="str">
        <f aca="false">IF($D2632="","",IFERROR(INDEX(Workers!$C$5:$C$2004,MATCH($D2632,Workers!$A$5:$A$2004,0)),""))</f>
        <v/>
      </c>
      <c r="K2632" s="24" t="str">
        <f aca="false">IF($D2632="","",IFERROR(IF(INDEX(Workers!$D$5:$D$2004,MATCH($D2632,Workers!$A$5:$A$2004,0))=0,"",INDEX(Workers!$D$5:$D$2004,MATCH($D2632,Workers!$A$5:$A$2004,0))),""))</f>
        <v/>
      </c>
      <c r="L2632" s="24" t="str">
        <f aca="false">IF($D2632="","",IFERROR(INDEX(Workers!$E$5:$E$2004,MATCH($D2632,Workers!$A$5:$A$2004,0)),""))</f>
        <v/>
      </c>
      <c r="M2632" s="26" t="str">
        <f aca="false">IF($D2632="","",IFERROR(INDEX(ClientRates!$D$5:$D$500,MATCH($B2632&amp;"|"&amp;$L2632,ClientRates!$A$5:$A$500,0)),0))</f>
        <v/>
      </c>
      <c r="N2632" s="26" t="str">
        <f aca="false">IF($D2632="","",IFERROR(INDEX(ClientRates!$E$5:$E$500,MATCH($B2632&amp;"|"&amp;$L2632,ClientRates!$A$5:$A$500,0)),0))</f>
        <v/>
      </c>
      <c r="O2632" s="26" t="str">
        <f aca="false">IF($D2632="","",F2632*M2632+G2632*N2632)</f>
        <v/>
      </c>
      <c r="P2632" s="26" t="str">
        <f aca="false">IF(OR($D2632="",$J2632&lt;&gt;"Supplier"),"",IFERROR(INDEX(SupplierRates!$D$5:$D$500,MATCH($K2632&amp;"|"&amp;$L2632,SupplierRates!$A$5:$A$500,0)),0))</f>
        <v/>
      </c>
      <c r="Q2632" s="26" t="str">
        <f aca="false">IF(OR($D2632="",$J2632&lt;&gt;"Supplier"),"",IFERROR(INDEX(SupplierRates!$E$5:$E$500,MATCH($K2632&amp;"|"&amp;$L2632,SupplierRates!$A$5:$A$500,0)),0))</f>
        <v/>
      </c>
      <c r="R2632" s="26" t="n">
        <f aca="false">IF(OR($D2632="",$J2632&lt;&gt;"Supplier"),0,F2632*P2632+G2632*Q2632)</f>
        <v>0</v>
      </c>
      <c r="S2632" s="26" t="n">
        <f aca="false">IF(OR($D2632="",$J2632&lt;&gt;"Own"),0,IFERROR((F2632+G2632*Settings!$B$13)*INDEX(Workers!$V$5:$V$2004,MATCH($D2632,Workers!$A$5:$A$2004,0)),0))</f>
        <v>0</v>
      </c>
      <c r="T2632" s="26" t="str">
        <f aca="false">IF($D2632="","",O2632-R2632-S2632)</f>
        <v/>
      </c>
    </row>
    <row r="2633" customFormat="false" ht="15" hidden="false" customHeight="false" outlineLevel="0" collapsed="false">
      <c r="I2633" s="24" t="str">
        <f aca="false">IF($D2633="","",IFERROR(INDEX(Workers!$B$5:$B$2004,MATCH($D2633,Workers!$A$5:$A$2004,0)),"NOT FOUND"))</f>
        <v/>
      </c>
      <c r="J2633" s="24" t="str">
        <f aca="false">IF($D2633="","",IFERROR(INDEX(Workers!$C$5:$C$2004,MATCH($D2633,Workers!$A$5:$A$2004,0)),""))</f>
        <v/>
      </c>
      <c r="K2633" s="24" t="str">
        <f aca="false">IF($D2633="","",IFERROR(IF(INDEX(Workers!$D$5:$D$2004,MATCH($D2633,Workers!$A$5:$A$2004,0))=0,"",INDEX(Workers!$D$5:$D$2004,MATCH($D2633,Workers!$A$5:$A$2004,0))),""))</f>
        <v/>
      </c>
      <c r="L2633" s="24" t="str">
        <f aca="false">IF($D2633="","",IFERROR(INDEX(Workers!$E$5:$E$2004,MATCH($D2633,Workers!$A$5:$A$2004,0)),""))</f>
        <v/>
      </c>
      <c r="M2633" s="26" t="str">
        <f aca="false">IF($D2633="","",IFERROR(INDEX(ClientRates!$D$5:$D$500,MATCH($B2633&amp;"|"&amp;$L2633,ClientRates!$A$5:$A$500,0)),0))</f>
        <v/>
      </c>
      <c r="N2633" s="26" t="str">
        <f aca="false">IF($D2633="","",IFERROR(INDEX(ClientRates!$E$5:$E$500,MATCH($B2633&amp;"|"&amp;$L2633,ClientRates!$A$5:$A$500,0)),0))</f>
        <v/>
      </c>
      <c r="O2633" s="26" t="str">
        <f aca="false">IF($D2633="","",F2633*M2633+G2633*N2633)</f>
        <v/>
      </c>
      <c r="P2633" s="26" t="str">
        <f aca="false">IF(OR($D2633="",$J2633&lt;&gt;"Supplier"),"",IFERROR(INDEX(SupplierRates!$D$5:$D$500,MATCH($K2633&amp;"|"&amp;$L2633,SupplierRates!$A$5:$A$500,0)),0))</f>
        <v/>
      </c>
      <c r="Q2633" s="26" t="str">
        <f aca="false">IF(OR($D2633="",$J2633&lt;&gt;"Supplier"),"",IFERROR(INDEX(SupplierRates!$E$5:$E$500,MATCH($K2633&amp;"|"&amp;$L2633,SupplierRates!$A$5:$A$500,0)),0))</f>
        <v/>
      </c>
      <c r="R2633" s="26" t="n">
        <f aca="false">IF(OR($D2633="",$J2633&lt;&gt;"Supplier"),0,F2633*P2633+G2633*Q2633)</f>
        <v>0</v>
      </c>
      <c r="S2633" s="26" t="n">
        <f aca="false">IF(OR($D2633="",$J2633&lt;&gt;"Own"),0,IFERROR((F2633+G2633*Settings!$B$13)*INDEX(Workers!$V$5:$V$2004,MATCH($D2633,Workers!$A$5:$A$2004,0)),0))</f>
        <v>0</v>
      </c>
      <c r="T2633" s="26" t="str">
        <f aca="false">IF($D2633="","",O2633-R2633-S2633)</f>
        <v/>
      </c>
    </row>
    <row r="2634" customFormat="false" ht="15" hidden="false" customHeight="false" outlineLevel="0" collapsed="false">
      <c r="I2634" s="24" t="str">
        <f aca="false">IF($D2634="","",IFERROR(INDEX(Workers!$B$5:$B$2004,MATCH($D2634,Workers!$A$5:$A$2004,0)),"NOT FOUND"))</f>
        <v/>
      </c>
      <c r="J2634" s="24" t="str">
        <f aca="false">IF($D2634="","",IFERROR(INDEX(Workers!$C$5:$C$2004,MATCH($D2634,Workers!$A$5:$A$2004,0)),""))</f>
        <v/>
      </c>
      <c r="K2634" s="24" t="str">
        <f aca="false">IF($D2634="","",IFERROR(IF(INDEX(Workers!$D$5:$D$2004,MATCH($D2634,Workers!$A$5:$A$2004,0))=0,"",INDEX(Workers!$D$5:$D$2004,MATCH($D2634,Workers!$A$5:$A$2004,0))),""))</f>
        <v/>
      </c>
      <c r="L2634" s="24" t="str">
        <f aca="false">IF($D2634="","",IFERROR(INDEX(Workers!$E$5:$E$2004,MATCH($D2634,Workers!$A$5:$A$2004,0)),""))</f>
        <v/>
      </c>
      <c r="M2634" s="26" t="str">
        <f aca="false">IF($D2634="","",IFERROR(INDEX(ClientRates!$D$5:$D$500,MATCH($B2634&amp;"|"&amp;$L2634,ClientRates!$A$5:$A$500,0)),0))</f>
        <v/>
      </c>
      <c r="N2634" s="26" t="str">
        <f aca="false">IF($D2634="","",IFERROR(INDEX(ClientRates!$E$5:$E$500,MATCH($B2634&amp;"|"&amp;$L2634,ClientRates!$A$5:$A$500,0)),0))</f>
        <v/>
      </c>
      <c r="O2634" s="26" t="str">
        <f aca="false">IF($D2634="","",F2634*M2634+G2634*N2634)</f>
        <v/>
      </c>
      <c r="P2634" s="26" t="str">
        <f aca="false">IF(OR($D2634="",$J2634&lt;&gt;"Supplier"),"",IFERROR(INDEX(SupplierRates!$D$5:$D$500,MATCH($K2634&amp;"|"&amp;$L2634,SupplierRates!$A$5:$A$500,0)),0))</f>
        <v/>
      </c>
      <c r="Q2634" s="26" t="str">
        <f aca="false">IF(OR($D2634="",$J2634&lt;&gt;"Supplier"),"",IFERROR(INDEX(SupplierRates!$E$5:$E$500,MATCH($K2634&amp;"|"&amp;$L2634,SupplierRates!$A$5:$A$500,0)),0))</f>
        <v/>
      </c>
      <c r="R2634" s="26" t="n">
        <f aca="false">IF(OR($D2634="",$J2634&lt;&gt;"Supplier"),0,F2634*P2634+G2634*Q2634)</f>
        <v>0</v>
      </c>
      <c r="S2634" s="26" t="n">
        <f aca="false">IF(OR($D2634="",$J2634&lt;&gt;"Own"),0,IFERROR((F2634+G2634*Settings!$B$13)*INDEX(Workers!$V$5:$V$2004,MATCH($D2634,Workers!$A$5:$A$2004,0)),0))</f>
        <v>0</v>
      </c>
      <c r="T2634" s="26" t="str">
        <f aca="false">IF($D2634="","",O2634-R2634-S2634)</f>
        <v/>
      </c>
    </row>
    <row r="2635" customFormat="false" ht="15" hidden="false" customHeight="false" outlineLevel="0" collapsed="false">
      <c r="I2635" s="24" t="str">
        <f aca="false">IF($D2635="","",IFERROR(INDEX(Workers!$B$5:$B$2004,MATCH($D2635,Workers!$A$5:$A$2004,0)),"NOT FOUND"))</f>
        <v/>
      </c>
      <c r="J2635" s="24" t="str">
        <f aca="false">IF($D2635="","",IFERROR(INDEX(Workers!$C$5:$C$2004,MATCH($D2635,Workers!$A$5:$A$2004,0)),""))</f>
        <v/>
      </c>
      <c r="K2635" s="24" t="str">
        <f aca="false">IF($D2635="","",IFERROR(IF(INDEX(Workers!$D$5:$D$2004,MATCH($D2635,Workers!$A$5:$A$2004,0))=0,"",INDEX(Workers!$D$5:$D$2004,MATCH($D2635,Workers!$A$5:$A$2004,0))),""))</f>
        <v/>
      </c>
      <c r="L2635" s="24" t="str">
        <f aca="false">IF($D2635="","",IFERROR(INDEX(Workers!$E$5:$E$2004,MATCH($D2635,Workers!$A$5:$A$2004,0)),""))</f>
        <v/>
      </c>
      <c r="M2635" s="26" t="str">
        <f aca="false">IF($D2635="","",IFERROR(INDEX(ClientRates!$D$5:$D$500,MATCH($B2635&amp;"|"&amp;$L2635,ClientRates!$A$5:$A$500,0)),0))</f>
        <v/>
      </c>
      <c r="N2635" s="26" t="str">
        <f aca="false">IF($D2635="","",IFERROR(INDEX(ClientRates!$E$5:$E$500,MATCH($B2635&amp;"|"&amp;$L2635,ClientRates!$A$5:$A$500,0)),0))</f>
        <v/>
      </c>
      <c r="O2635" s="26" t="str">
        <f aca="false">IF($D2635="","",F2635*M2635+G2635*N2635)</f>
        <v/>
      </c>
      <c r="P2635" s="26" t="str">
        <f aca="false">IF(OR($D2635="",$J2635&lt;&gt;"Supplier"),"",IFERROR(INDEX(SupplierRates!$D$5:$D$500,MATCH($K2635&amp;"|"&amp;$L2635,SupplierRates!$A$5:$A$500,0)),0))</f>
        <v/>
      </c>
      <c r="Q2635" s="26" t="str">
        <f aca="false">IF(OR($D2635="",$J2635&lt;&gt;"Supplier"),"",IFERROR(INDEX(SupplierRates!$E$5:$E$500,MATCH($K2635&amp;"|"&amp;$L2635,SupplierRates!$A$5:$A$500,0)),0))</f>
        <v/>
      </c>
      <c r="R2635" s="26" t="n">
        <f aca="false">IF(OR($D2635="",$J2635&lt;&gt;"Supplier"),0,F2635*P2635+G2635*Q2635)</f>
        <v>0</v>
      </c>
      <c r="S2635" s="26" t="n">
        <f aca="false">IF(OR($D2635="",$J2635&lt;&gt;"Own"),0,IFERROR((F2635+G2635*Settings!$B$13)*INDEX(Workers!$V$5:$V$2004,MATCH($D2635,Workers!$A$5:$A$2004,0)),0))</f>
        <v>0</v>
      </c>
      <c r="T2635" s="26" t="str">
        <f aca="false">IF($D2635="","",O2635-R2635-S2635)</f>
        <v/>
      </c>
    </row>
    <row r="2636" customFormat="false" ht="15" hidden="false" customHeight="false" outlineLevel="0" collapsed="false">
      <c r="I2636" s="24" t="str">
        <f aca="false">IF($D2636="","",IFERROR(INDEX(Workers!$B$5:$B$2004,MATCH($D2636,Workers!$A$5:$A$2004,0)),"NOT FOUND"))</f>
        <v/>
      </c>
      <c r="J2636" s="24" t="str">
        <f aca="false">IF($D2636="","",IFERROR(INDEX(Workers!$C$5:$C$2004,MATCH($D2636,Workers!$A$5:$A$2004,0)),""))</f>
        <v/>
      </c>
      <c r="K2636" s="24" t="str">
        <f aca="false">IF($D2636="","",IFERROR(IF(INDEX(Workers!$D$5:$D$2004,MATCH($D2636,Workers!$A$5:$A$2004,0))=0,"",INDEX(Workers!$D$5:$D$2004,MATCH($D2636,Workers!$A$5:$A$2004,0))),""))</f>
        <v/>
      </c>
      <c r="L2636" s="24" t="str">
        <f aca="false">IF($D2636="","",IFERROR(INDEX(Workers!$E$5:$E$2004,MATCH($D2636,Workers!$A$5:$A$2004,0)),""))</f>
        <v/>
      </c>
      <c r="M2636" s="26" t="str">
        <f aca="false">IF($D2636="","",IFERROR(INDEX(ClientRates!$D$5:$D$500,MATCH($B2636&amp;"|"&amp;$L2636,ClientRates!$A$5:$A$500,0)),0))</f>
        <v/>
      </c>
      <c r="N2636" s="26" t="str">
        <f aca="false">IF($D2636="","",IFERROR(INDEX(ClientRates!$E$5:$E$500,MATCH($B2636&amp;"|"&amp;$L2636,ClientRates!$A$5:$A$500,0)),0))</f>
        <v/>
      </c>
      <c r="O2636" s="26" t="str">
        <f aca="false">IF($D2636="","",F2636*M2636+G2636*N2636)</f>
        <v/>
      </c>
      <c r="P2636" s="26" t="str">
        <f aca="false">IF(OR($D2636="",$J2636&lt;&gt;"Supplier"),"",IFERROR(INDEX(SupplierRates!$D$5:$D$500,MATCH($K2636&amp;"|"&amp;$L2636,SupplierRates!$A$5:$A$500,0)),0))</f>
        <v/>
      </c>
      <c r="Q2636" s="26" t="str">
        <f aca="false">IF(OR($D2636="",$J2636&lt;&gt;"Supplier"),"",IFERROR(INDEX(SupplierRates!$E$5:$E$500,MATCH($K2636&amp;"|"&amp;$L2636,SupplierRates!$A$5:$A$500,0)),0))</f>
        <v/>
      </c>
      <c r="R2636" s="26" t="n">
        <f aca="false">IF(OR($D2636="",$J2636&lt;&gt;"Supplier"),0,F2636*P2636+G2636*Q2636)</f>
        <v>0</v>
      </c>
      <c r="S2636" s="26" t="n">
        <f aca="false">IF(OR($D2636="",$J2636&lt;&gt;"Own"),0,IFERROR((F2636+G2636*Settings!$B$13)*INDEX(Workers!$V$5:$V$2004,MATCH($D2636,Workers!$A$5:$A$2004,0)),0))</f>
        <v>0</v>
      </c>
      <c r="T2636" s="26" t="str">
        <f aca="false">IF($D2636="","",O2636-R2636-S2636)</f>
        <v/>
      </c>
    </row>
    <row r="2637" customFormat="false" ht="15" hidden="false" customHeight="false" outlineLevel="0" collapsed="false">
      <c r="I2637" s="24" t="str">
        <f aca="false">IF($D2637="","",IFERROR(INDEX(Workers!$B$5:$B$2004,MATCH($D2637,Workers!$A$5:$A$2004,0)),"NOT FOUND"))</f>
        <v/>
      </c>
      <c r="J2637" s="24" t="str">
        <f aca="false">IF($D2637="","",IFERROR(INDEX(Workers!$C$5:$C$2004,MATCH($D2637,Workers!$A$5:$A$2004,0)),""))</f>
        <v/>
      </c>
      <c r="K2637" s="24" t="str">
        <f aca="false">IF($D2637="","",IFERROR(IF(INDEX(Workers!$D$5:$D$2004,MATCH($D2637,Workers!$A$5:$A$2004,0))=0,"",INDEX(Workers!$D$5:$D$2004,MATCH($D2637,Workers!$A$5:$A$2004,0))),""))</f>
        <v/>
      </c>
      <c r="L2637" s="24" t="str">
        <f aca="false">IF($D2637="","",IFERROR(INDEX(Workers!$E$5:$E$2004,MATCH($D2637,Workers!$A$5:$A$2004,0)),""))</f>
        <v/>
      </c>
      <c r="M2637" s="26" t="str">
        <f aca="false">IF($D2637="","",IFERROR(INDEX(ClientRates!$D$5:$D$500,MATCH($B2637&amp;"|"&amp;$L2637,ClientRates!$A$5:$A$500,0)),0))</f>
        <v/>
      </c>
      <c r="N2637" s="26" t="str">
        <f aca="false">IF($D2637="","",IFERROR(INDEX(ClientRates!$E$5:$E$500,MATCH($B2637&amp;"|"&amp;$L2637,ClientRates!$A$5:$A$500,0)),0))</f>
        <v/>
      </c>
      <c r="O2637" s="26" t="str">
        <f aca="false">IF($D2637="","",F2637*M2637+G2637*N2637)</f>
        <v/>
      </c>
      <c r="P2637" s="26" t="str">
        <f aca="false">IF(OR($D2637="",$J2637&lt;&gt;"Supplier"),"",IFERROR(INDEX(SupplierRates!$D$5:$D$500,MATCH($K2637&amp;"|"&amp;$L2637,SupplierRates!$A$5:$A$500,0)),0))</f>
        <v/>
      </c>
      <c r="Q2637" s="26" t="str">
        <f aca="false">IF(OR($D2637="",$J2637&lt;&gt;"Supplier"),"",IFERROR(INDEX(SupplierRates!$E$5:$E$500,MATCH($K2637&amp;"|"&amp;$L2637,SupplierRates!$A$5:$A$500,0)),0))</f>
        <v/>
      </c>
      <c r="R2637" s="26" t="n">
        <f aca="false">IF(OR($D2637="",$J2637&lt;&gt;"Supplier"),0,F2637*P2637+G2637*Q2637)</f>
        <v>0</v>
      </c>
      <c r="S2637" s="26" t="n">
        <f aca="false">IF(OR($D2637="",$J2637&lt;&gt;"Own"),0,IFERROR((F2637+G2637*Settings!$B$13)*INDEX(Workers!$V$5:$V$2004,MATCH($D2637,Workers!$A$5:$A$2004,0)),0))</f>
        <v>0</v>
      </c>
      <c r="T2637" s="26" t="str">
        <f aca="false">IF($D2637="","",O2637-R2637-S2637)</f>
        <v/>
      </c>
    </row>
    <row r="2638" customFormat="false" ht="15" hidden="false" customHeight="false" outlineLevel="0" collapsed="false">
      <c r="I2638" s="24" t="str">
        <f aca="false">IF($D2638="","",IFERROR(INDEX(Workers!$B$5:$B$2004,MATCH($D2638,Workers!$A$5:$A$2004,0)),"NOT FOUND"))</f>
        <v/>
      </c>
      <c r="J2638" s="24" t="str">
        <f aca="false">IF($D2638="","",IFERROR(INDEX(Workers!$C$5:$C$2004,MATCH($D2638,Workers!$A$5:$A$2004,0)),""))</f>
        <v/>
      </c>
      <c r="K2638" s="24" t="str">
        <f aca="false">IF($D2638="","",IFERROR(IF(INDEX(Workers!$D$5:$D$2004,MATCH($D2638,Workers!$A$5:$A$2004,0))=0,"",INDEX(Workers!$D$5:$D$2004,MATCH($D2638,Workers!$A$5:$A$2004,0))),""))</f>
        <v/>
      </c>
      <c r="L2638" s="24" t="str">
        <f aca="false">IF($D2638="","",IFERROR(INDEX(Workers!$E$5:$E$2004,MATCH($D2638,Workers!$A$5:$A$2004,0)),""))</f>
        <v/>
      </c>
      <c r="M2638" s="26" t="str">
        <f aca="false">IF($D2638="","",IFERROR(INDEX(ClientRates!$D$5:$D$500,MATCH($B2638&amp;"|"&amp;$L2638,ClientRates!$A$5:$A$500,0)),0))</f>
        <v/>
      </c>
      <c r="N2638" s="26" t="str">
        <f aca="false">IF($D2638="","",IFERROR(INDEX(ClientRates!$E$5:$E$500,MATCH($B2638&amp;"|"&amp;$L2638,ClientRates!$A$5:$A$500,0)),0))</f>
        <v/>
      </c>
      <c r="O2638" s="26" t="str">
        <f aca="false">IF($D2638="","",F2638*M2638+G2638*N2638)</f>
        <v/>
      </c>
      <c r="P2638" s="26" t="str">
        <f aca="false">IF(OR($D2638="",$J2638&lt;&gt;"Supplier"),"",IFERROR(INDEX(SupplierRates!$D$5:$D$500,MATCH($K2638&amp;"|"&amp;$L2638,SupplierRates!$A$5:$A$500,0)),0))</f>
        <v/>
      </c>
      <c r="Q2638" s="26" t="str">
        <f aca="false">IF(OR($D2638="",$J2638&lt;&gt;"Supplier"),"",IFERROR(INDEX(SupplierRates!$E$5:$E$500,MATCH($K2638&amp;"|"&amp;$L2638,SupplierRates!$A$5:$A$500,0)),0))</f>
        <v/>
      </c>
      <c r="R2638" s="26" t="n">
        <f aca="false">IF(OR($D2638="",$J2638&lt;&gt;"Supplier"),0,F2638*P2638+G2638*Q2638)</f>
        <v>0</v>
      </c>
      <c r="S2638" s="26" t="n">
        <f aca="false">IF(OR($D2638="",$J2638&lt;&gt;"Own"),0,IFERROR((F2638+G2638*Settings!$B$13)*INDEX(Workers!$V$5:$V$2004,MATCH($D2638,Workers!$A$5:$A$2004,0)),0))</f>
        <v>0</v>
      </c>
      <c r="T2638" s="26" t="str">
        <f aca="false">IF($D2638="","",O2638-R2638-S2638)</f>
        <v/>
      </c>
    </row>
    <row r="2639" customFormat="false" ht="15" hidden="false" customHeight="false" outlineLevel="0" collapsed="false">
      <c r="I2639" s="24" t="str">
        <f aca="false">IF($D2639="","",IFERROR(INDEX(Workers!$B$5:$B$2004,MATCH($D2639,Workers!$A$5:$A$2004,0)),"NOT FOUND"))</f>
        <v/>
      </c>
      <c r="J2639" s="24" t="str">
        <f aca="false">IF($D2639="","",IFERROR(INDEX(Workers!$C$5:$C$2004,MATCH($D2639,Workers!$A$5:$A$2004,0)),""))</f>
        <v/>
      </c>
      <c r="K2639" s="24" t="str">
        <f aca="false">IF($D2639="","",IFERROR(IF(INDEX(Workers!$D$5:$D$2004,MATCH($D2639,Workers!$A$5:$A$2004,0))=0,"",INDEX(Workers!$D$5:$D$2004,MATCH($D2639,Workers!$A$5:$A$2004,0))),""))</f>
        <v/>
      </c>
      <c r="L2639" s="24" t="str">
        <f aca="false">IF($D2639="","",IFERROR(INDEX(Workers!$E$5:$E$2004,MATCH($D2639,Workers!$A$5:$A$2004,0)),""))</f>
        <v/>
      </c>
      <c r="M2639" s="26" t="str">
        <f aca="false">IF($D2639="","",IFERROR(INDEX(ClientRates!$D$5:$D$500,MATCH($B2639&amp;"|"&amp;$L2639,ClientRates!$A$5:$A$500,0)),0))</f>
        <v/>
      </c>
      <c r="N2639" s="26" t="str">
        <f aca="false">IF($D2639="","",IFERROR(INDEX(ClientRates!$E$5:$E$500,MATCH($B2639&amp;"|"&amp;$L2639,ClientRates!$A$5:$A$500,0)),0))</f>
        <v/>
      </c>
      <c r="O2639" s="26" t="str">
        <f aca="false">IF($D2639="","",F2639*M2639+G2639*N2639)</f>
        <v/>
      </c>
      <c r="P2639" s="26" t="str">
        <f aca="false">IF(OR($D2639="",$J2639&lt;&gt;"Supplier"),"",IFERROR(INDEX(SupplierRates!$D$5:$D$500,MATCH($K2639&amp;"|"&amp;$L2639,SupplierRates!$A$5:$A$500,0)),0))</f>
        <v/>
      </c>
      <c r="Q2639" s="26" t="str">
        <f aca="false">IF(OR($D2639="",$J2639&lt;&gt;"Supplier"),"",IFERROR(INDEX(SupplierRates!$E$5:$E$500,MATCH($K2639&amp;"|"&amp;$L2639,SupplierRates!$A$5:$A$500,0)),0))</f>
        <v/>
      </c>
      <c r="R2639" s="26" t="n">
        <f aca="false">IF(OR($D2639="",$J2639&lt;&gt;"Supplier"),0,F2639*P2639+G2639*Q2639)</f>
        <v>0</v>
      </c>
      <c r="S2639" s="26" t="n">
        <f aca="false">IF(OR($D2639="",$J2639&lt;&gt;"Own"),0,IFERROR((F2639+G2639*Settings!$B$13)*INDEX(Workers!$V$5:$V$2004,MATCH($D2639,Workers!$A$5:$A$2004,0)),0))</f>
        <v>0</v>
      </c>
      <c r="T2639" s="26" t="str">
        <f aca="false">IF($D2639="","",O2639-R2639-S2639)</f>
        <v/>
      </c>
    </row>
    <row r="2640" customFormat="false" ht="15" hidden="false" customHeight="false" outlineLevel="0" collapsed="false">
      <c r="I2640" s="24" t="str">
        <f aca="false">IF($D2640="","",IFERROR(INDEX(Workers!$B$5:$B$2004,MATCH($D2640,Workers!$A$5:$A$2004,0)),"NOT FOUND"))</f>
        <v/>
      </c>
      <c r="J2640" s="24" t="str">
        <f aca="false">IF($D2640="","",IFERROR(INDEX(Workers!$C$5:$C$2004,MATCH($D2640,Workers!$A$5:$A$2004,0)),""))</f>
        <v/>
      </c>
      <c r="K2640" s="24" t="str">
        <f aca="false">IF($D2640="","",IFERROR(IF(INDEX(Workers!$D$5:$D$2004,MATCH($D2640,Workers!$A$5:$A$2004,0))=0,"",INDEX(Workers!$D$5:$D$2004,MATCH($D2640,Workers!$A$5:$A$2004,0))),""))</f>
        <v/>
      </c>
      <c r="L2640" s="24" t="str">
        <f aca="false">IF($D2640="","",IFERROR(INDEX(Workers!$E$5:$E$2004,MATCH($D2640,Workers!$A$5:$A$2004,0)),""))</f>
        <v/>
      </c>
      <c r="M2640" s="26" t="str">
        <f aca="false">IF($D2640="","",IFERROR(INDEX(ClientRates!$D$5:$D$500,MATCH($B2640&amp;"|"&amp;$L2640,ClientRates!$A$5:$A$500,0)),0))</f>
        <v/>
      </c>
      <c r="N2640" s="26" t="str">
        <f aca="false">IF($D2640="","",IFERROR(INDEX(ClientRates!$E$5:$E$500,MATCH($B2640&amp;"|"&amp;$L2640,ClientRates!$A$5:$A$500,0)),0))</f>
        <v/>
      </c>
      <c r="O2640" s="26" t="str">
        <f aca="false">IF($D2640="","",F2640*M2640+G2640*N2640)</f>
        <v/>
      </c>
      <c r="P2640" s="26" t="str">
        <f aca="false">IF(OR($D2640="",$J2640&lt;&gt;"Supplier"),"",IFERROR(INDEX(SupplierRates!$D$5:$D$500,MATCH($K2640&amp;"|"&amp;$L2640,SupplierRates!$A$5:$A$500,0)),0))</f>
        <v/>
      </c>
      <c r="Q2640" s="26" t="str">
        <f aca="false">IF(OR($D2640="",$J2640&lt;&gt;"Supplier"),"",IFERROR(INDEX(SupplierRates!$E$5:$E$500,MATCH($K2640&amp;"|"&amp;$L2640,SupplierRates!$A$5:$A$500,0)),0))</f>
        <v/>
      </c>
      <c r="R2640" s="26" t="n">
        <f aca="false">IF(OR($D2640="",$J2640&lt;&gt;"Supplier"),0,F2640*P2640+G2640*Q2640)</f>
        <v>0</v>
      </c>
      <c r="S2640" s="26" t="n">
        <f aca="false">IF(OR($D2640="",$J2640&lt;&gt;"Own"),0,IFERROR((F2640+G2640*Settings!$B$13)*INDEX(Workers!$V$5:$V$2004,MATCH($D2640,Workers!$A$5:$A$2004,0)),0))</f>
        <v>0</v>
      </c>
      <c r="T2640" s="26" t="str">
        <f aca="false">IF($D2640="","",O2640-R2640-S2640)</f>
        <v/>
      </c>
    </row>
    <row r="2641" customFormat="false" ht="15" hidden="false" customHeight="false" outlineLevel="0" collapsed="false">
      <c r="I2641" s="24" t="str">
        <f aca="false">IF($D2641="","",IFERROR(INDEX(Workers!$B$5:$B$2004,MATCH($D2641,Workers!$A$5:$A$2004,0)),"NOT FOUND"))</f>
        <v/>
      </c>
      <c r="J2641" s="24" t="str">
        <f aca="false">IF($D2641="","",IFERROR(INDEX(Workers!$C$5:$C$2004,MATCH($D2641,Workers!$A$5:$A$2004,0)),""))</f>
        <v/>
      </c>
      <c r="K2641" s="24" t="str">
        <f aca="false">IF($D2641="","",IFERROR(IF(INDEX(Workers!$D$5:$D$2004,MATCH($D2641,Workers!$A$5:$A$2004,0))=0,"",INDEX(Workers!$D$5:$D$2004,MATCH($D2641,Workers!$A$5:$A$2004,0))),""))</f>
        <v/>
      </c>
      <c r="L2641" s="24" t="str">
        <f aca="false">IF($D2641="","",IFERROR(INDEX(Workers!$E$5:$E$2004,MATCH($D2641,Workers!$A$5:$A$2004,0)),""))</f>
        <v/>
      </c>
      <c r="M2641" s="26" t="str">
        <f aca="false">IF($D2641="","",IFERROR(INDEX(ClientRates!$D$5:$D$500,MATCH($B2641&amp;"|"&amp;$L2641,ClientRates!$A$5:$A$500,0)),0))</f>
        <v/>
      </c>
      <c r="N2641" s="26" t="str">
        <f aca="false">IF($D2641="","",IFERROR(INDEX(ClientRates!$E$5:$E$500,MATCH($B2641&amp;"|"&amp;$L2641,ClientRates!$A$5:$A$500,0)),0))</f>
        <v/>
      </c>
      <c r="O2641" s="26" t="str">
        <f aca="false">IF($D2641="","",F2641*M2641+G2641*N2641)</f>
        <v/>
      </c>
      <c r="P2641" s="26" t="str">
        <f aca="false">IF(OR($D2641="",$J2641&lt;&gt;"Supplier"),"",IFERROR(INDEX(SupplierRates!$D$5:$D$500,MATCH($K2641&amp;"|"&amp;$L2641,SupplierRates!$A$5:$A$500,0)),0))</f>
        <v/>
      </c>
      <c r="Q2641" s="26" t="str">
        <f aca="false">IF(OR($D2641="",$J2641&lt;&gt;"Supplier"),"",IFERROR(INDEX(SupplierRates!$E$5:$E$500,MATCH($K2641&amp;"|"&amp;$L2641,SupplierRates!$A$5:$A$500,0)),0))</f>
        <v/>
      </c>
      <c r="R2641" s="26" t="n">
        <f aca="false">IF(OR($D2641="",$J2641&lt;&gt;"Supplier"),0,F2641*P2641+G2641*Q2641)</f>
        <v>0</v>
      </c>
      <c r="S2641" s="26" t="n">
        <f aca="false">IF(OR($D2641="",$J2641&lt;&gt;"Own"),0,IFERROR((F2641+G2641*Settings!$B$13)*INDEX(Workers!$V$5:$V$2004,MATCH($D2641,Workers!$A$5:$A$2004,0)),0))</f>
        <v>0</v>
      </c>
      <c r="T2641" s="26" t="str">
        <f aca="false">IF($D2641="","",O2641-R2641-S2641)</f>
        <v/>
      </c>
    </row>
    <row r="2642" customFormat="false" ht="15" hidden="false" customHeight="false" outlineLevel="0" collapsed="false">
      <c r="I2642" s="24" t="str">
        <f aca="false">IF($D2642="","",IFERROR(INDEX(Workers!$B$5:$B$2004,MATCH($D2642,Workers!$A$5:$A$2004,0)),"NOT FOUND"))</f>
        <v/>
      </c>
      <c r="J2642" s="24" t="str">
        <f aca="false">IF($D2642="","",IFERROR(INDEX(Workers!$C$5:$C$2004,MATCH($D2642,Workers!$A$5:$A$2004,0)),""))</f>
        <v/>
      </c>
      <c r="K2642" s="24" t="str">
        <f aca="false">IF($D2642="","",IFERROR(IF(INDEX(Workers!$D$5:$D$2004,MATCH($D2642,Workers!$A$5:$A$2004,0))=0,"",INDEX(Workers!$D$5:$D$2004,MATCH($D2642,Workers!$A$5:$A$2004,0))),""))</f>
        <v/>
      </c>
      <c r="L2642" s="24" t="str">
        <f aca="false">IF($D2642="","",IFERROR(INDEX(Workers!$E$5:$E$2004,MATCH($D2642,Workers!$A$5:$A$2004,0)),""))</f>
        <v/>
      </c>
      <c r="M2642" s="26" t="str">
        <f aca="false">IF($D2642="","",IFERROR(INDEX(ClientRates!$D$5:$D$500,MATCH($B2642&amp;"|"&amp;$L2642,ClientRates!$A$5:$A$500,0)),0))</f>
        <v/>
      </c>
      <c r="N2642" s="26" t="str">
        <f aca="false">IF($D2642="","",IFERROR(INDEX(ClientRates!$E$5:$E$500,MATCH($B2642&amp;"|"&amp;$L2642,ClientRates!$A$5:$A$500,0)),0))</f>
        <v/>
      </c>
      <c r="O2642" s="26" t="str">
        <f aca="false">IF($D2642="","",F2642*M2642+G2642*N2642)</f>
        <v/>
      </c>
      <c r="P2642" s="26" t="str">
        <f aca="false">IF(OR($D2642="",$J2642&lt;&gt;"Supplier"),"",IFERROR(INDEX(SupplierRates!$D$5:$D$500,MATCH($K2642&amp;"|"&amp;$L2642,SupplierRates!$A$5:$A$500,0)),0))</f>
        <v/>
      </c>
      <c r="Q2642" s="26" t="str">
        <f aca="false">IF(OR($D2642="",$J2642&lt;&gt;"Supplier"),"",IFERROR(INDEX(SupplierRates!$E$5:$E$500,MATCH($K2642&amp;"|"&amp;$L2642,SupplierRates!$A$5:$A$500,0)),0))</f>
        <v/>
      </c>
      <c r="R2642" s="26" t="n">
        <f aca="false">IF(OR($D2642="",$J2642&lt;&gt;"Supplier"),0,F2642*P2642+G2642*Q2642)</f>
        <v>0</v>
      </c>
      <c r="S2642" s="26" t="n">
        <f aca="false">IF(OR($D2642="",$J2642&lt;&gt;"Own"),0,IFERROR((F2642+G2642*Settings!$B$13)*INDEX(Workers!$V$5:$V$2004,MATCH($D2642,Workers!$A$5:$A$2004,0)),0))</f>
        <v>0</v>
      </c>
      <c r="T2642" s="26" t="str">
        <f aca="false">IF($D2642="","",O2642-R2642-S2642)</f>
        <v/>
      </c>
    </row>
    <row r="2643" customFormat="false" ht="15" hidden="false" customHeight="false" outlineLevel="0" collapsed="false">
      <c r="I2643" s="24" t="str">
        <f aca="false">IF($D2643="","",IFERROR(INDEX(Workers!$B$5:$B$2004,MATCH($D2643,Workers!$A$5:$A$2004,0)),"NOT FOUND"))</f>
        <v/>
      </c>
      <c r="J2643" s="24" t="str">
        <f aca="false">IF($D2643="","",IFERROR(INDEX(Workers!$C$5:$C$2004,MATCH($D2643,Workers!$A$5:$A$2004,0)),""))</f>
        <v/>
      </c>
      <c r="K2643" s="24" t="str">
        <f aca="false">IF($D2643="","",IFERROR(IF(INDEX(Workers!$D$5:$D$2004,MATCH($D2643,Workers!$A$5:$A$2004,0))=0,"",INDEX(Workers!$D$5:$D$2004,MATCH($D2643,Workers!$A$5:$A$2004,0))),""))</f>
        <v/>
      </c>
      <c r="L2643" s="24" t="str">
        <f aca="false">IF($D2643="","",IFERROR(INDEX(Workers!$E$5:$E$2004,MATCH($D2643,Workers!$A$5:$A$2004,0)),""))</f>
        <v/>
      </c>
      <c r="M2643" s="26" t="str">
        <f aca="false">IF($D2643="","",IFERROR(INDEX(ClientRates!$D$5:$D$500,MATCH($B2643&amp;"|"&amp;$L2643,ClientRates!$A$5:$A$500,0)),0))</f>
        <v/>
      </c>
      <c r="N2643" s="26" t="str">
        <f aca="false">IF($D2643="","",IFERROR(INDEX(ClientRates!$E$5:$E$500,MATCH($B2643&amp;"|"&amp;$L2643,ClientRates!$A$5:$A$500,0)),0))</f>
        <v/>
      </c>
      <c r="O2643" s="26" t="str">
        <f aca="false">IF($D2643="","",F2643*M2643+G2643*N2643)</f>
        <v/>
      </c>
      <c r="P2643" s="26" t="str">
        <f aca="false">IF(OR($D2643="",$J2643&lt;&gt;"Supplier"),"",IFERROR(INDEX(SupplierRates!$D$5:$D$500,MATCH($K2643&amp;"|"&amp;$L2643,SupplierRates!$A$5:$A$500,0)),0))</f>
        <v/>
      </c>
      <c r="Q2643" s="26" t="str">
        <f aca="false">IF(OR($D2643="",$J2643&lt;&gt;"Supplier"),"",IFERROR(INDEX(SupplierRates!$E$5:$E$500,MATCH($K2643&amp;"|"&amp;$L2643,SupplierRates!$A$5:$A$500,0)),0))</f>
        <v/>
      </c>
      <c r="R2643" s="26" t="n">
        <f aca="false">IF(OR($D2643="",$J2643&lt;&gt;"Supplier"),0,F2643*P2643+G2643*Q2643)</f>
        <v>0</v>
      </c>
      <c r="S2643" s="26" t="n">
        <f aca="false">IF(OR($D2643="",$J2643&lt;&gt;"Own"),0,IFERROR((F2643+G2643*Settings!$B$13)*INDEX(Workers!$V$5:$V$2004,MATCH($D2643,Workers!$A$5:$A$2004,0)),0))</f>
        <v>0</v>
      </c>
      <c r="T2643" s="26" t="str">
        <f aca="false">IF($D2643="","",O2643-R2643-S2643)</f>
        <v/>
      </c>
    </row>
    <row r="2644" customFormat="false" ht="15" hidden="false" customHeight="false" outlineLevel="0" collapsed="false">
      <c r="I2644" s="24" t="str">
        <f aca="false">IF($D2644="","",IFERROR(INDEX(Workers!$B$5:$B$2004,MATCH($D2644,Workers!$A$5:$A$2004,0)),"NOT FOUND"))</f>
        <v/>
      </c>
      <c r="J2644" s="24" t="str">
        <f aca="false">IF($D2644="","",IFERROR(INDEX(Workers!$C$5:$C$2004,MATCH($D2644,Workers!$A$5:$A$2004,0)),""))</f>
        <v/>
      </c>
      <c r="K2644" s="24" t="str">
        <f aca="false">IF($D2644="","",IFERROR(IF(INDEX(Workers!$D$5:$D$2004,MATCH($D2644,Workers!$A$5:$A$2004,0))=0,"",INDEX(Workers!$D$5:$D$2004,MATCH($D2644,Workers!$A$5:$A$2004,0))),""))</f>
        <v/>
      </c>
      <c r="L2644" s="24" t="str">
        <f aca="false">IF($D2644="","",IFERROR(INDEX(Workers!$E$5:$E$2004,MATCH($D2644,Workers!$A$5:$A$2004,0)),""))</f>
        <v/>
      </c>
      <c r="M2644" s="26" t="str">
        <f aca="false">IF($D2644="","",IFERROR(INDEX(ClientRates!$D$5:$D$500,MATCH($B2644&amp;"|"&amp;$L2644,ClientRates!$A$5:$A$500,0)),0))</f>
        <v/>
      </c>
      <c r="N2644" s="26" t="str">
        <f aca="false">IF($D2644="","",IFERROR(INDEX(ClientRates!$E$5:$E$500,MATCH($B2644&amp;"|"&amp;$L2644,ClientRates!$A$5:$A$500,0)),0))</f>
        <v/>
      </c>
      <c r="O2644" s="26" t="str">
        <f aca="false">IF($D2644="","",F2644*M2644+G2644*N2644)</f>
        <v/>
      </c>
      <c r="P2644" s="26" t="str">
        <f aca="false">IF(OR($D2644="",$J2644&lt;&gt;"Supplier"),"",IFERROR(INDEX(SupplierRates!$D$5:$D$500,MATCH($K2644&amp;"|"&amp;$L2644,SupplierRates!$A$5:$A$500,0)),0))</f>
        <v/>
      </c>
      <c r="Q2644" s="26" t="str">
        <f aca="false">IF(OR($D2644="",$J2644&lt;&gt;"Supplier"),"",IFERROR(INDEX(SupplierRates!$E$5:$E$500,MATCH($K2644&amp;"|"&amp;$L2644,SupplierRates!$A$5:$A$500,0)),0))</f>
        <v/>
      </c>
      <c r="R2644" s="26" t="n">
        <f aca="false">IF(OR($D2644="",$J2644&lt;&gt;"Supplier"),0,F2644*P2644+G2644*Q2644)</f>
        <v>0</v>
      </c>
      <c r="S2644" s="26" t="n">
        <f aca="false">IF(OR($D2644="",$J2644&lt;&gt;"Own"),0,IFERROR((F2644+G2644*Settings!$B$13)*INDEX(Workers!$V$5:$V$2004,MATCH($D2644,Workers!$A$5:$A$2004,0)),0))</f>
        <v>0</v>
      </c>
      <c r="T2644" s="26" t="str">
        <f aca="false">IF($D2644="","",O2644-R2644-S2644)</f>
        <v/>
      </c>
    </row>
    <row r="2645" customFormat="false" ht="15" hidden="false" customHeight="false" outlineLevel="0" collapsed="false">
      <c r="I2645" s="24" t="str">
        <f aca="false">IF($D2645="","",IFERROR(INDEX(Workers!$B$5:$B$2004,MATCH($D2645,Workers!$A$5:$A$2004,0)),"NOT FOUND"))</f>
        <v/>
      </c>
      <c r="J2645" s="24" t="str">
        <f aca="false">IF($D2645="","",IFERROR(INDEX(Workers!$C$5:$C$2004,MATCH($D2645,Workers!$A$5:$A$2004,0)),""))</f>
        <v/>
      </c>
      <c r="K2645" s="24" t="str">
        <f aca="false">IF($D2645="","",IFERROR(IF(INDEX(Workers!$D$5:$D$2004,MATCH($D2645,Workers!$A$5:$A$2004,0))=0,"",INDEX(Workers!$D$5:$D$2004,MATCH($D2645,Workers!$A$5:$A$2004,0))),""))</f>
        <v/>
      </c>
      <c r="L2645" s="24" t="str">
        <f aca="false">IF($D2645="","",IFERROR(INDEX(Workers!$E$5:$E$2004,MATCH($D2645,Workers!$A$5:$A$2004,0)),""))</f>
        <v/>
      </c>
      <c r="M2645" s="26" t="str">
        <f aca="false">IF($D2645="","",IFERROR(INDEX(ClientRates!$D$5:$D$500,MATCH($B2645&amp;"|"&amp;$L2645,ClientRates!$A$5:$A$500,0)),0))</f>
        <v/>
      </c>
      <c r="N2645" s="26" t="str">
        <f aca="false">IF($D2645="","",IFERROR(INDEX(ClientRates!$E$5:$E$500,MATCH($B2645&amp;"|"&amp;$L2645,ClientRates!$A$5:$A$500,0)),0))</f>
        <v/>
      </c>
      <c r="O2645" s="26" t="str">
        <f aca="false">IF($D2645="","",F2645*M2645+G2645*N2645)</f>
        <v/>
      </c>
      <c r="P2645" s="26" t="str">
        <f aca="false">IF(OR($D2645="",$J2645&lt;&gt;"Supplier"),"",IFERROR(INDEX(SupplierRates!$D$5:$D$500,MATCH($K2645&amp;"|"&amp;$L2645,SupplierRates!$A$5:$A$500,0)),0))</f>
        <v/>
      </c>
      <c r="Q2645" s="26" t="str">
        <f aca="false">IF(OR($D2645="",$J2645&lt;&gt;"Supplier"),"",IFERROR(INDEX(SupplierRates!$E$5:$E$500,MATCH($K2645&amp;"|"&amp;$L2645,SupplierRates!$A$5:$A$500,0)),0))</f>
        <v/>
      </c>
      <c r="R2645" s="26" t="n">
        <f aca="false">IF(OR($D2645="",$J2645&lt;&gt;"Supplier"),0,F2645*P2645+G2645*Q2645)</f>
        <v>0</v>
      </c>
      <c r="S2645" s="26" t="n">
        <f aca="false">IF(OR($D2645="",$J2645&lt;&gt;"Own"),0,IFERROR((F2645+G2645*Settings!$B$13)*INDEX(Workers!$V$5:$V$2004,MATCH($D2645,Workers!$A$5:$A$2004,0)),0))</f>
        <v>0</v>
      </c>
      <c r="T2645" s="26" t="str">
        <f aca="false">IF($D2645="","",O2645-R2645-S2645)</f>
        <v/>
      </c>
    </row>
    <row r="2646" customFormat="false" ht="15" hidden="false" customHeight="false" outlineLevel="0" collapsed="false">
      <c r="I2646" s="24" t="str">
        <f aca="false">IF($D2646="","",IFERROR(INDEX(Workers!$B$5:$B$2004,MATCH($D2646,Workers!$A$5:$A$2004,0)),"NOT FOUND"))</f>
        <v/>
      </c>
      <c r="J2646" s="24" t="str">
        <f aca="false">IF($D2646="","",IFERROR(INDEX(Workers!$C$5:$C$2004,MATCH($D2646,Workers!$A$5:$A$2004,0)),""))</f>
        <v/>
      </c>
      <c r="K2646" s="24" t="str">
        <f aca="false">IF($D2646="","",IFERROR(IF(INDEX(Workers!$D$5:$D$2004,MATCH($D2646,Workers!$A$5:$A$2004,0))=0,"",INDEX(Workers!$D$5:$D$2004,MATCH($D2646,Workers!$A$5:$A$2004,0))),""))</f>
        <v/>
      </c>
      <c r="L2646" s="24" t="str">
        <f aca="false">IF($D2646="","",IFERROR(INDEX(Workers!$E$5:$E$2004,MATCH($D2646,Workers!$A$5:$A$2004,0)),""))</f>
        <v/>
      </c>
      <c r="M2646" s="26" t="str">
        <f aca="false">IF($D2646="","",IFERROR(INDEX(ClientRates!$D$5:$D$500,MATCH($B2646&amp;"|"&amp;$L2646,ClientRates!$A$5:$A$500,0)),0))</f>
        <v/>
      </c>
      <c r="N2646" s="26" t="str">
        <f aca="false">IF($D2646="","",IFERROR(INDEX(ClientRates!$E$5:$E$500,MATCH($B2646&amp;"|"&amp;$L2646,ClientRates!$A$5:$A$500,0)),0))</f>
        <v/>
      </c>
      <c r="O2646" s="26" t="str">
        <f aca="false">IF($D2646="","",F2646*M2646+G2646*N2646)</f>
        <v/>
      </c>
      <c r="P2646" s="26" t="str">
        <f aca="false">IF(OR($D2646="",$J2646&lt;&gt;"Supplier"),"",IFERROR(INDEX(SupplierRates!$D$5:$D$500,MATCH($K2646&amp;"|"&amp;$L2646,SupplierRates!$A$5:$A$500,0)),0))</f>
        <v/>
      </c>
      <c r="Q2646" s="26" t="str">
        <f aca="false">IF(OR($D2646="",$J2646&lt;&gt;"Supplier"),"",IFERROR(INDEX(SupplierRates!$E$5:$E$500,MATCH($K2646&amp;"|"&amp;$L2646,SupplierRates!$A$5:$A$500,0)),0))</f>
        <v/>
      </c>
      <c r="R2646" s="26" t="n">
        <f aca="false">IF(OR($D2646="",$J2646&lt;&gt;"Supplier"),0,F2646*P2646+G2646*Q2646)</f>
        <v>0</v>
      </c>
      <c r="S2646" s="26" t="n">
        <f aca="false">IF(OR($D2646="",$J2646&lt;&gt;"Own"),0,IFERROR((F2646+G2646*Settings!$B$13)*INDEX(Workers!$V$5:$V$2004,MATCH($D2646,Workers!$A$5:$A$2004,0)),0))</f>
        <v>0</v>
      </c>
      <c r="T2646" s="26" t="str">
        <f aca="false">IF($D2646="","",O2646-R2646-S2646)</f>
        <v/>
      </c>
    </row>
    <row r="2647" customFormat="false" ht="15" hidden="false" customHeight="false" outlineLevel="0" collapsed="false">
      <c r="I2647" s="24" t="str">
        <f aca="false">IF($D2647="","",IFERROR(INDEX(Workers!$B$5:$B$2004,MATCH($D2647,Workers!$A$5:$A$2004,0)),"NOT FOUND"))</f>
        <v/>
      </c>
      <c r="J2647" s="24" t="str">
        <f aca="false">IF($D2647="","",IFERROR(INDEX(Workers!$C$5:$C$2004,MATCH($D2647,Workers!$A$5:$A$2004,0)),""))</f>
        <v/>
      </c>
      <c r="K2647" s="24" t="str">
        <f aca="false">IF($D2647="","",IFERROR(IF(INDEX(Workers!$D$5:$D$2004,MATCH($D2647,Workers!$A$5:$A$2004,0))=0,"",INDEX(Workers!$D$5:$D$2004,MATCH($D2647,Workers!$A$5:$A$2004,0))),""))</f>
        <v/>
      </c>
      <c r="L2647" s="24" t="str">
        <f aca="false">IF($D2647="","",IFERROR(INDEX(Workers!$E$5:$E$2004,MATCH($D2647,Workers!$A$5:$A$2004,0)),""))</f>
        <v/>
      </c>
      <c r="M2647" s="26" t="str">
        <f aca="false">IF($D2647="","",IFERROR(INDEX(ClientRates!$D$5:$D$500,MATCH($B2647&amp;"|"&amp;$L2647,ClientRates!$A$5:$A$500,0)),0))</f>
        <v/>
      </c>
      <c r="N2647" s="26" t="str">
        <f aca="false">IF($D2647="","",IFERROR(INDEX(ClientRates!$E$5:$E$500,MATCH($B2647&amp;"|"&amp;$L2647,ClientRates!$A$5:$A$500,0)),0))</f>
        <v/>
      </c>
      <c r="O2647" s="26" t="str">
        <f aca="false">IF($D2647="","",F2647*M2647+G2647*N2647)</f>
        <v/>
      </c>
      <c r="P2647" s="26" t="str">
        <f aca="false">IF(OR($D2647="",$J2647&lt;&gt;"Supplier"),"",IFERROR(INDEX(SupplierRates!$D$5:$D$500,MATCH($K2647&amp;"|"&amp;$L2647,SupplierRates!$A$5:$A$500,0)),0))</f>
        <v/>
      </c>
      <c r="Q2647" s="26" t="str">
        <f aca="false">IF(OR($D2647="",$J2647&lt;&gt;"Supplier"),"",IFERROR(INDEX(SupplierRates!$E$5:$E$500,MATCH($K2647&amp;"|"&amp;$L2647,SupplierRates!$A$5:$A$500,0)),0))</f>
        <v/>
      </c>
      <c r="R2647" s="26" t="n">
        <f aca="false">IF(OR($D2647="",$J2647&lt;&gt;"Supplier"),0,F2647*P2647+G2647*Q2647)</f>
        <v>0</v>
      </c>
      <c r="S2647" s="26" t="n">
        <f aca="false">IF(OR($D2647="",$J2647&lt;&gt;"Own"),0,IFERROR((F2647+G2647*Settings!$B$13)*INDEX(Workers!$V$5:$V$2004,MATCH($D2647,Workers!$A$5:$A$2004,0)),0))</f>
        <v>0</v>
      </c>
      <c r="T2647" s="26" t="str">
        <f aca="false">IF($D2647="","",O2647-R2647-S2647)</f>
        <v/>
      </c>
    </row>
    <row r="2648" customFormat="false" ht="15" hidden="false" customHeight="false" outlineLevel="0" collapsed="false">
      <c r="I2648" s="24" t="str">
        <f aca="false">IF($D2648="","",IFERROR(INDEX(Workers!$B$5:$B$2004,MATCH($D2648,Workers!$A$5:$A$2004,0)),"NOT FOUND"))</f>
        <v/>
      </c>
      <c r="J2648" s="24" t="str">
        <f aca="false">IF($D2648="","",IFERROR(INDEX(Workers!$C$5:$C$2004,MATCH($D2648,Workers!$A$5:$A$2004,0)),""))</f>
        <v/>
      </c>
      <c r="K2648" s="24" t="str">
        <f aca="false">IF($D2648="","",IFERROR(IF(INDEX(Workers!$D$5:$D$2004,MATCH($D2648,Workers!$A$5:$A$2004,0))=0,"",INDEX(Workers!$D$5:$D$2004,MATCH($D2648,Workers!$A$5:$A$2004,0))),""))</f>
        <v/>
      </c>
      <c r="L2648" s="24" t="str">
        <f aca="false">IF($D2648="","",IFERROR(INDEX(Workers!$E$5:$E$2004,MATCH($D2648,Workers!$A$5:$A$2004,0)),""))</f>
        <v/>
      </c>
      <c r="M2648" s="26" t="str">
        <f aca="false">IF($D2648="","",IFERROR(INDEX(ClientRates!$D$5:$D$500,MATCH($B2648&amp;"|"&amp;$L2648,ClientRates!$A$5:$A$500,0)),0))</f>
        <v/>
      </c>
      <c r="N2648" s="26" t="str">
        <f aca="false">IF($D2648="","",IFERROR(INDEX(ClientRates!$E$5:$E$500,MATCH($B2648&amp;"|"&amp;$L2648,ClientRates!$A$5:$A$500,0)),0))</f>
        <v/>
      </c>
      <c r="O2648" s="26" t="str">
        <f aca="false">IF($D2648="","",F2648*M2648+G2648*N2648)</f>
        <v/>
      </c>
      <c r="P2648" s="26" t="str">
        <f aca="false">IF(OR($D2648="",$J2648&lt;&gt;"Supplier"),"",IFERROR(INDEX(SupplierRates!$D$5:$D$500,MATCH($K2648&amp;"|"&amp;$L2648,SupplierRates!$A$5:$A$500,0)),0))</f>
        <v/>
      </c>
      <c r="Q2648" s="26" t="str">
        <f aca="false">IF(OR($D2648="",$J2648&lt;&gt;"Supplier"),"",IFERROR(INDEX(SupplierRates!$E$5:$E$500,MATCH($K2648&amp;"|"&amp;$L2648,SupplierRates!$A$5:$A$500,0)),0))</f>
        <v/>
      </c>
      <c r="R2648" s="26" t="n">
        <f aca="false">IF(OR($D2648="",$J2648&lt;&gt;"Supplier"),0,F2648*P2648+G2648*Q2648)</f>
        <v>0</v>
      </c>
      <c r="S2648" s="26" t="n">
        <f aca="false">IF(OR($D2648="",$J2648&lt;&gt;"Own"),0,IFERROR((F2648+G2648*Settings!$B$13)*INDEX(Workers!$V$5:$V$2004,MATCH($D2648,Workers!$A$5:$A$2004,0)),0))</f>
        <v>0</v>
      </c>
      <c r="T2648" s="26" t="str">
        <f aca="false">IF($D2648="","",O2648-R2648-S2648)</f>
        <v/>
      </c>
    </row>
    <row r="2649" customFormat="false" ht="15" hidden="false" customHeight="false" outlineLevel="0" collapsed="false">
      <c r="I2649" s="24" t="str">
        <f aca="false">IF($D2649="","",IFERROR(INDEX(Workers!$B$5:$B$2004,MATCH($D2649,Workers!$A$5:$A$2004,0)),"NOT FOUND"))</f>
        <v/>
      </c>
      <c r="J2649" s="24" t="str">
        <f aca="false">IF($D2649="","",IFERROR(INDEX(Workers!$C$5:$C$2004,MATCH($D2649,Workers!$A$5:$A$2004,0)),""))</f>
        <v/>
      </c>
      <c r="K2649" s="24" t="str">
        <f aca="false">IF($D2649="","",IFERROR(IF(INDEX(Workers!$D$5:$D$2004,MATCH($D2649,Workers!$A$5:$A$2004,0))=0,"",INDEX(Workers!$D$5:$D$2004,MATCH($D2649,Workers!$A$5:$A$2004,0))),""))</f>
        <v/>
      </c>
      <c r="L2649" s="24" t="str">
        <f aca="false">IF($D2649="","",IFERROR(INDEX(Workers!$E$5:$E$2004,MATCH($D2649,Workers!$A$5:$A$2004,0)),""))</f>
        <v/>
      </c>
      <c r="M2649" s="26" t="str">
        <f aca="false">IF($D2649="","",IFERROR(INDEX(ClientRates!$D$5:$D$500,MATCH($B2649&amp;"|"&amp;$L2649,ClientRates!$A$5:$A$500,0)),0))</f>
        <v/>
      </c>
      <c r="N2649" s="26" t="str">
        <f aca="false">IF($D2649="","",IFERROR(INDEX(ClientRates!$E$5:$E$500,MATCH($B2649&amp;"|"&amp;$L2649,ClientRates!$A$5:$A$500,0)),0))</f>
        <v/>
      </c>
      <c r="O2649" s="26" t="str">
        <f aca="false">IF($D2649="","",F2649*M2649+G2649*N2649)</f>
        <v/>
      </c>
      <c r="P2649" s="26" t="str">
        <f aca="false">IF(OR($D2649="",$J2649&lt;&gt;"Supplier"),"",IFERROR(INDEX(SupplierRates!$D$5:$D$500,MATCH($K2649&amp;"|"&amp;$L2649,SupplierRates!$A$5:$A$500,0)),0))</f>
        <v/>
      </c>
      <c r="Q2649" s="26" t="str">
        <f aca="false">IF(OR($D2649="",$J2649&lt;&gt;"Supplier"),"",IFERROR(INDEX(SupplierRates!$E$5:$E$500,MATCH($K2649&amp;"|"&amp;$L2649,SupplierRates!$A$5:$A$500,0)),0))</f>
        <v/>
      </c>
      <c r="R2649" s="26" t="n">
        <f aca="false">IF(OR($D2649="",$J2649&lt;&gt;"Supplier"),0,F2649*P2649+G2649*Q2649)</f>
        <v>0</v>
      </c>
      <c r="S2649" s="26" t="n">
        <f aca="false">IF(OR($D2649="",$J2649&lt;&gt;"Own"),0,IFERROR((F2649+G2649*Settings!$B$13)*INDEX(Workers!$V$5:$V$2004,MATCH($D2649,Workers!$A$5:$A$2004,0)),0))</f>
        <v>0</v>
      </c>
      <c r="T2649" s="26" t="str">
        <f aca="false">IF($D2649="","",O2649-R2649-S2649)</f>
        <v/>
      </c>
    </row>
    <row r="2650" customFormat="false" ht="15" hidden="false" customHeight="false" outlineLevel="0" collapsed="false">
      <c r="I2650" s="24" t="str">
        <f aca="false">IF($D2650="","",IFERROR(INDEX(Workers!$B$5:$B$2004,MATCH($D2650,Workers!$A$5:$A$2004,0)),"NOT FOUND"))</f>
        <v/>
      </c>
      <c r="J2650" s="24" t="str">
        <f aca="false">IF($D2650="","",IFERROR(INDEX(Workers!$C$5:$C$2004,MATCH($D2650,Workers!$A$5:$A$2004,0)),""))</f>
        <v/>
      </c>
      <c r="K2650" s="24" t="str">
        <f aca="false">IF($D2650="","",IFERROR(IF(INDEX(Workers!$D$5:$D$2004,MATCH($D2650,Workers!$A$5:$A$2004,0))=0,"",INDEX(Workers!$D$5:$D$2004,MATCH($D2650,Workers!$A$5:$A$2004,0))),""))</f>
        <v/>
      </c>
      <c r="L2650" s="24" t="str">
        <f aca="false">IF($D2650="","",IFERROR(INDEX(Workers!$E$5:$E$2004,MATCH($D2650,Workers!$A$5:$A$2004,0)),""))</f>
        <v/>
      </c>
      <c r="M2650" s="26" t="str">
        <f aca="false">IF($D2650="","",IFERROR(INDEX(ClientRates!$D$5:$D$500,MATCH($B2650&amp;"|"&amp;$L2650,ClientRates!$A$5:$A$500,0)),0))</f>
        <v/>
      </c>
      <c r="N2650" s="26" t="str">
        <f aca="false">IF($D2650="","",IFERROR(INDEX(ClientRates!$E$5:$E$500,MATCH($B2650&amp;"|"&amp;$L2650,ClientRates!$A$5:$A$500,0)),0))</f>
        <v/>
      </c>
      <c r="O2650" s="26" t="str">
        <f aca="false">IF($D2650="","",F2650*M2650+G2650*N2650)</f>
        <v/>
      </c>
      <c r="P2650" s="26" t="str">
        <f aca="false">IF(OR($D2650="",$J2650&lt;&gt;"Supplier"),"",IFERROR(INDEX(SupplierRates!$D$5:$D$500,MATCH($K2650&amp;"|"&amp;$L2650,SupplierRates!$A$5:$A$500,0)),0))</f>
        <v/>
      </c>
      <c r="Q2650" s="26" t="str">
        <f aca="false">IF(OR($D2650="",$J2650&lt;&gt;"Supplier"),"",IFERROR(INDEX(SupplierRates!$E$5:$E$500,MATCH($K2650&amp;"|"&amp;$L2650,SupplierRates!$A$5:$A$500,0)),0))</f>
        <v/>
      </c>
      <c r="R2650" s="26" t="n">
        <f aca="false">IF(OR($D2650="",$J2650&lt;&gt;"Supplier"),0,F2650*P2650+G2650*Q2650)</f>
        <v>0</v>
      </c>
      <c r="S2650" s="26" t="n">
        <f aca="false">IF(OR($D2650="",$J2650&lt;&gt;"Own"),0,IFERROR((F2650+G2650*Settings!$B$13)*INDEX(Workers!$V$5:$V$2004,MATCH($D2650,Workers!$A$5:$A$2004,0)),0))</f>
        <v>0</v>
      </c>
      <c r="T2650" s="26" t="str">
        <f aca="false">IF($D2650="","",O2650-R2650-S2650)</f>
        <v/>
      </c>
    </row>
    <row r="2651" customFormat="false" ht="15" hidden="false" customHeight="false" outlineLevel="0" collapsed="false">
      <c r="I2651" s="24" t="str">
        <f aca="false">IF($D2651="","",IFERROR(INDEX(Workers!$B$5:$B$2004,MATCH($D2651,Workers!$A$5:$A$2004,0)),"NOT FOUND"))</f>
        <v/>
      </c>
      <c r="J2651" s="24" t="str">
        <f aca="false">IF($D2651="","",IFERROR(INDEX(Workers!$C$5:$C$2004,MATCH($D2651,Workers!$A$5:$A$2004,0)),""))</f>
        <v/>
      </c>
      <c r="K2651" s="24" t="str">
        <f aca="false">IF($D2651="","",IFERROR(IF(INDEX(Workers!$D$5:$D$2004,MATCH($D2651,Workers!$A$5:$A$2004,0))=0,"",INDEX(Workers!$D$5:$D$2004,MATCH($D2651,Workers!$A$5:$A$2004,0))),""))</f>
        <v/>
      </c>
      <c r="L2651" s="24" t="str">
        <f aca="false">IF($D2651="","",IFERROR(INDEX(Workers!$E$5:$E$2004,MATCH($D2651,Workers!$A$5:$A$2004,0)),""))</f>
        <v/>
      </c>
      <c r="M2651" s="26" t="str">
        <f aca="false">IF($D2651="","",IFERROR(INDEX(ClientRates!$D$5:$D$500,MATCH($B2651&amp;"|"&amp;$L2651,ClientRates!$A$5:$A$500,0)),0))</f>
        <v/>
      </c>
      <c r="N2651" s="26" t="str">
        <f aca="false">IF($D2651="","",IFERROR(INDEX(ClientRates!$E$5:$E$500,MATCH($B2651&amp;"|"&amp;$L2651,ClientRates!$A$5:$A$500,0)),0))</f>
        <v/>
      </c>
      <c r="O2651" s="26" t="str">
        <f aca="false">IF($D2651="","",F2651*M2651+G2651*N2651)</f>
        <v/>
      </c>
      <c r="P2651" s="26" t="str">
        <f aca="false">IF(OR($D2651="",$J2651&lt;&gt;"Supplier"),"",IFERROR(INDEX(SupplierRates!$D$5:$D$500,MATCH($K2651&amp;"|"&amp;$L2651,SupplierRates!$A$5:$A$500,0)),0))</f>
        <v/>
      </c>
      <c r="Q2651" s="26" t="str">
        <f aca="false">IF(OR($D2651="",$J2651&lt;&gt;"Supplier"),"",IFERROR(INDEX(SupplierRates!$E$5:$E$500,MATCH($K2651&amp;"|"&amp;$L2651,SupplierRates!$A$5:$A$500,0)),0))</f>
        <v/>
      </c>
      <c r="R2651" s="26" t="n">
        <f aca="false">IF(OR($D2651="",$J2651&lt;&gt;"Supplier"),0,F2651*P2651+G2651*Q2651)</f>
        <v>0</v>
      </c>
      <c r="S2651" s="26" t="n">
        <f aca="false">IF(OR($D2651="",$J2651&lt;&gt;"Own"),0,IFERROR((F2651+G2651*Settings!$B$13)*INDEX(Workers!$V$5:$V$2004,MATCH($D2651,Workers!$A$5:$A$2004,0)),0))</f>
        <v>0</v>
      </c>
      <c r="T2651" s="26" t="str">
        <f aca="false">IF($D2651="","",O2651-R2651-S2651)</f>
        <v/>
      </c>
    </row>
    <row r="2652" customFormat="false" ht="15" hidden="false" customHeight="false" outlineLevel="0" collapsed="false">
      <c r="I2652" s="24" t="str">
        <f aca="false">IF($D2652="","",IFERROR(INDEX(Workers!$B$5:$B$2004,MATCH($D2652,Workers!$A$5:$A$2004,0)),"NOT FOUND"))</f>
        <v/>
      </c>
      <c r="J2652" s="24" t="str">
        <f aca="false">IF($D2652="","",IFERROR(INDEX(Workers!$C$5:$C$2004,MATCH($D2652,Workers!$A$5:$A$2004,0)),""))</f>
        <v/>
      </c>
      <c r="K2652" s="24" t="str">
        <f aca="false">IF($D2652="","",IFERROR(IF(INDEX(Workers!$D$5:$D$2004,MATCH($D2652,Workers!$A$5:$A$2004,0))=0,"",INDEX(Workers!$D$5:$D$2004,MATCH($D2652,Workers!$A$5:$A$2004,0))),""))</f>
        <v/>
      </c>
      <c r="L2652" s="24" t="str">
        <f aca="false">IF($D2652="","",IFERROR(INDEX(Workers!$E$5:$E$2004,MATCH($D2652,Workers!$A$5:$A$2004,0)),""))</f>
        <v/>
      </c>
      <c r="M2652" s="26" t="str">
        <f aca="false">IF($D2652="","",IFERROR(INDEX(ClientRates!$D$5:$D$500,MATCH($B2652&amp;"|"&amp;$L2652,ClientRates!$A$5:$A$500,0)),0))</f>
        <v/>
      </c>
      <c r="N2652" s="26" t="str">
        <f aca="false">IF($D2652="","",IFERROR(INDEX(ClientRates!$E$5:$E$500,MATCH($B2652&amp;"|"&amp;$L2652,ClientRates!$A$5:$A$500,0)),0))</f>
        <v/>
      </c>
      <c r="O2652" s="26" t="str">
        <f aca="false">IF($D2652="","",F2652*M2652+G2652*N2652)</f>
        <v/>
      </c>
      <c r="P2652" s="26" t="str">
        <f aca="false">IF(OR($D2652="",$J2652&lt;&gt;"Supplier"),"",IFERROR(INDEX(SupplierRates!$D$5:$D$500,MATCH($K2652&amp;"|"&amp;$L2652,SupplierRates!$A$5:$A$500,0)),0))</f>
        <v/>
      </c>
      <c r="Q2652" s="26" t="str">
        <f aca="false">IF(OR($D2652="",$J2652&lt;&gt;"Supplier"),"",IFERROR(INDEX(SupplierRates!$E$5:$E$500,MATCH($K2652&amp;"|"&amp;$L2652,SupplierRates!$A$5:$A$500,0)),0))</f>
        <v/>
      </c>
      <c r="R2652" s="26" t="n">
        <f aca="false">IF(OR($D2652="",$J2652&lt;&gt;"Supplier"),0,F2652*P2652+G2652*Q2652)</f>
        <v>0</v>
      </c>
      <c r="S2652" s="26" t="n">
        <f aca="false">IF(OR($D2652="",$J2652&lt;&gt;"Own"),0,IFERROR((F2652+G2652*Settings!$B$13)*INDEX(Workers!$V$5:$V$2004,MATCH($D2652,Workers!$A$5:$A$2004,0)),0))</f>
        <v>0</v>
      </c>
      <c r="T2652" s="26" t="str">
        <f aca="false">IF($D2652="","",O2652-R2652-S2652)</f>
        <v/>
      </c>
    </row>
    <row r="2653" customFormat="false" ht="15" hidden="false" customHeight="false" outlineLevel="0" collapsed="false">
      <c r="I2653" s="24" t="str">
        <f aca="false">IF($D2653="","",IFERROR(INDEX(Workers!$B$5:$B$2004,MATCH($D2653,Workers!$A$5:$A$2004,0)),"NOT FOUND"))</f>
        <v/>
      </c>
      <c r="J2653" s="24" t="str">
        <f aca="false">IF($D2653="","",IFERROR(INDEX(Workers!$C$5:$C$2004,MATCH($D2653,Workers!$A$5:$A$2004,0)),""))</f>
        <v/>
      </c>
      <c r="K2653" s="24" t="str">
        <f aca="false">IF($D2653="","",IFERROR(IF(INDEX(Workers!$D$5:$D$2004,MATCH($D2653,Workers!$A$5:$A$2004,0))=0,"",INDEX(Workers!$D$5:$D$2004,MATCH($D2653,Workers!$A$5:$A$2004,0))),""))</f>
        <v/>
      </c>
      <c r="L2653" s="24" t="str">
        <f aca="false">IF($D2653="","",IFERROR(INDEX(Workers!$E$5:$E$2004,MATCH($D2653,Workers!$A$5:$A$2004,0)),""))</f>
        <v/>
      </c>
      <c r="M2653" s="26" t="str">
        <f aca="false">IF($D2653="","",IFERROR(INDEX(ClientRates!$D$5:$D$500,MATCH($B2653&amp;"|"&amp;$L2653,ClientRates!$A$5:$A$500,0)),0))</f>
        <v/>
      </c>
      <c r="N2653" s="26" t="str">
        <f aca="false">IF($D2653="","",IFERROR(INDEX(ClientRates!$E$5:$E$500,MATCH($B2653&amp;"|"&amp;$L2653,ClientRates!$A$5:$A$500,0)),0))</f>
        <v/>
      </c>
      <c r="O2653" s="26" t="str">
        <f aca="false">IF($D2653="","",F2653*M2653+G2653*N2653)</f>
        <v/>
      </c>
      <c r="P2653" s="26" t="str">
        <f aca="false">IF(OR($D2653="",$J2653&lt;&gt;"Supplier"),"",IFERROR(INDEX(SupplierRates!$D$5:$D$500,MATCH($K2653&amp;"|"&amp;$L2653,SupplierRates!$A$5:$A$500,0)),0))</f>
        <v/>
      </c>
      <c r="Q2653" s="26" t="str">
        <f aca="false">IF(OR($D2653="",$J2653&lt;&gt;"Supplier"),"",IFERROR(INDEX(SupplierRates!$E$5:$E$500,MATCH($K2653&amp;"|"&amp;$L2653,SupplierRates!$A$5:$A$500,0)),0))</f>
        <v/>
      </c>
      <c r="R2653" s="26" t="n">
        <f aca="false">IF(OR($D2653="",$J2653&lt;&gt;"Supplier"),0,F2653*P2653+G2653*Q2653)</f>
        <v>0</v>
      </c>
      <c r="S2653" s="26" t="n">
        <f aca="false">IF(OR($D2653="",$J2653&lt;&gt;"Own"),0,IFERROR((F2653+G2653*Settings!$B$13)*INDEX(Workers!$V$5:$V$2004,MATCH($D2653,Workers!$A$5:$A$2004,0)),0))</f>
        <v>0</v>
      </c>
      <c r="T2653" s="26" t="str">
        <f aca="false">IF($D2653="","",O2653-R2653-S2653)</f>
        <v/>
      </c>
    </row>
    <row r="2654" customFormat="false" ht="15" hidden="false" customHeight="false" outlineLevel="0" collapsed="false">
      <c r="I2654" s="24" t="str">
        <f aca="false">IF($D2654="","",IFERROR(INDEX(Workers!$B$5:$B$2004,MATCH($D2654,Workers!$A$5:$A$2004,0)),"NOT FOUND"))</f>
        <v/>
      </c>
      <c r="J2654" s="24" t="str">
        <f aca="false">IF($D2654="","",IFERROR(INDEX(Workers!$C$5:$C$2004,MATCH($D2654,Workers!$A$5:$A$2004,0)),""))</f>
        <v/>
      </c>
      <c r="K2654" s="24" t="str">
        <f aca="false">IF($D2654="","",IFERROR(IF(INDEX(Workers!$D$5:$D$2004,MATCH($D2654,Workers!$A$5:$A$2004,0))=0,"",INDEX(Workers!$D$5:$D$2004,MATCH($D2654,Workers!$A$5:$A$2004,0))),""))</f>
        <v/>
      </c>
      <c r="L2654" s="24" t="str">
        <f aca="false">IF($D2654="","",IFERROR(INDEX(Workers!$E$5:$E$2004,MATCH($D2654,Workers!$A$5:$A$2004,0)),""))</f>
        <v/>
      </c>
      <c r="M2654" s="26" t="str">
        <f aca="false">IF($D2654="","",IFERROR(INDEX(ClientRates!$D$5:$D$500,MATCH($B2654&amp;"|"&amp;$L2654,ClientRates!$A$5:$A$500,0)),0))</f>
        <v/>
      </c>
      <c r="N2654" s="26" t="str">
        <f aca="false">IF($D2654="","",IFERROR(INDEX(ClientRates!$E$5:$E$500,MATCH($B2654&amp;"|"&amp;$L2654,ClientRates!$A$5:$A$500,0)),0))</f>
        <v/>
      </c>
      <c r="O2654" s="26" t="str">
        <f aca="false">IF($D2654="","",F2654*M2654+G2654*N2654)</f>
        <v/>
      </c>
      <c r="P2654" s="26" t="str">
        <f aca="false">IF(OR($D2654="",$J2654&lt;&gt;"Supplier"),"",IFERROR(INDEX(SupplierRates!$D$5:$D$500,MATCH($K2654&amp;"|"&amp;$L2654,SupplierRates!$A$5:$A$500,0)),0))</f>
        <v/>
      </c>
      <c r="Q2654" s="26" t="str">
        <f aca="false">IF(OR($D2654="",$J2654&lt;&gt;"Supplier"),"",IFERROR(INDEX(SupplierRates!$E$5:$E$500,MATCH($K2654&amp;"|"&amp;$L2654,SupplierRates!$A$5:$A$500,0)),0))</f>
        <v/>
      </c>
      <c r="R2654" s="26" t="n">
        <f aca="false">IF(OR($D2654="",$J2654&lt;&gt;"Supplier"),0,F2654*P2654+G2654*Q2654)</f>
        <v>0</v>
      </c>
      <c r="S2654" s="26" t="n">
        <f aca="false">IF(OR($D2654="",$J2654&lt;&gt;"Own"),0,IFERROR((F2654+G2654*Settings!$B$13)*INDEX(Workers!$V$5:$V$2004,MATCH($D2654,Workers!$A$5:$A$2004,0)),0))</f>
        <v>0</v>
      </c>
      <c r="T2654" s="26" t="str">
        <f aca="false">IF($D2654="","",O2654-R2654-S2654)</f>
        <v/>
      </c>
    </row>
    <row r="2655" customFormat="false" ht="15" hidden="false" customHeight="false" outlineLevel="0" collapsed="false">
      <c r="I2655" s="24" t="str">
        <f aca="false">IF($D2655="","",IFERROR(INDEX(Workers!$B$5:$B$2004,MATCH($D2655,Workers!$A$5:$A$2004,0)),"NOT FOUND"))</f>
        <v/>
      </c>
      <c r="J2655" s="24" t="str">
        <f aca="false">IF($D2655="","",IFERROR(INDEX(Workers!$C$5:$C$2004,MATCH($D2655,Workers!$A$5:$A$2004,0)),""))</f>
        <v/>
      </c>
      <c r="K2655" s="24" t="str">
        <f aca="false">IF($D2655="","",IFERROR(IF(INDEX(Workers!$D$5:$D$2004,MATCH($D2655,Workers!$A$5:$A$2004,0))=0,"",INDEX(Workers!$D$5:$D$2004,MATCH($D2655,Workers!$A$5:$A$2004,0))),""))</f>
        <v/>
      </c>
      <c r="L2655" s="24" t="str">
        <f aca="false">IF($D2655="","",IFERROR(INDEX(Workers!$E$5:$E$2004,MATCH($D2655,Workers!$A$5:$A$2004,0)),""))</f>
        <v/>
      </c>
      <c r="M2655" s="26" t="str">
        <f aca="false">IF($D2655="","",IFERROR(INDEX(ClientRates!$D$5:$D$500,MATCH($B2655&amp;"|"&amp;$L2655,ClientRates!$A$5:$A$500,0)),0))</f>
        <v/>
      </c>
      <c r="N2655" s="26" t="str">
        <f aca="false">IF($D2655="","",IFERROR(INDEX(ClientRates!$E$5:$E$500,MATCH($B2655&amp;"|"&amp;$L2655,ClientRates!$A$5:$A$500,0)),0))</f>
        <v/>
      </c>
      <c r="O2655" s="26" t="str">
        <f aca="false">IF($D2655="","",F2655*M2655+G2655*N2655)</f>
        <v/>
      </c>
      <c r="P2655" s="26" t="str">
        <f aca="false">IF(OR($D2655="",$J2655&lt;&gt;"Supplier"),"",IFERROR(INDEX(SupplierRates!$D$5:$D$500,MATCH($K2655&amp;"|"&amp;$L2655,SupplierRates!$A$5:$A$500,0)),0))</f>
        <v/>
      </c>
      <c r="Q2655" s="26" t="str">
        <f aca="false">IF(OR($D2655="",$J2655&lt;&gt;"Supplier"),"",IFERROR(INDEX(SupplierRates!$E$5:$E$500,MATCH($K2655&amp;"|"&amp;$L2655,SupplierRates!$A$5:$A$500,0)),0))</f>
        <v/>
      </c>
      <c r="R2655" s="26" t="n">
        <f aca="false">IF(OR($D2655="",$J2655&lt;&gt;"Supplier"),0,F2655*P2655+G2655*Q2655)</f>
        <v>0</v>
      </c>
      <c r="S2655" s="26" t="n">
        <f aca="false">IF(OR($D2655="",$J2655&lt;&gt;"Own"),0,IFERROR((F2655+G2655*Settings!$B$13)*INDEX(Workers!$V$5:$V$2004,MATCH($D2655,Workers!$A$5:$A$2004,0)),0))</f>
        <v>0</v>
      </c>
      <c r="T2655" s="26" t="str">
        <f aca="false">IF($D2655="","",O2655-R2655-S2655)</f>
        <v/>
      </c>
    </row>
    <row r="2656" customFormat="false" ht="15" hidden="false" customHeight="false" outlineLevel="0" collapsed="false">
      <c r="I2656" s="24" t="str">
        <f aca="false">IF($D2656="","",IFERROR(INDEX(Workers!$B$5:$B$2004,MATCH($D2656,Workers!$A$5:$A$2004,0)),"NOT FOUND"))</f>
        <v/>
      </c>
      <c r="J2656" s="24" t="str">
        <f aca="false">IF($D2656="","",IFERROR(INDEX(Workers!$C$5:$C$2004,MATCH($D2656,Workers!$A$5:$A$2004,0)),""))</f>
        <v/>
      </c>
      <c r="K2656" s="24" t="str">
        <f aca="false">IF($D2656="","",IFERROR(IF(INDEX(Workers!$D$5:$D$2004,MATCH($D2656,Workers!$A$5:$A$2004,0))=0,"",INDEX(Workers!$D$5:$D$2004,MATCH($D2656,Workers!$A$5:$A$2004,0))),""))</f>
        <v/>
      </c>
      <c r="L2656" s="24" t="str">
        <f aca="false">IF($D2656="","",IFERROR(INDEX(Workers!$E$5:$E$2004,MATCH($D2656,Workers!$A$5:$A$2004,0)),""))</f>
        <v/>
      </c>
      <c r="M2656" s="26" t="str">
        <f aca="false">IF($D2656="","",IFERROR(INDEX(ClientRates!$D$5:$D$500,MATCH($B2656&amp;"|"&amp;$L2656,ClientRates!$A$5:$A$500,0)),0))</f>
        <v/>
      </c>
      <c r="N2656" s="26" t="str">
        <f aca="false">IF($D2656="","",IFERROR(INDEX(ClientRates!$E$5:$E$500,MATCH($B2656&amp;"|"&amp;$L2656,ClientRates!$A$5:$A$500,0)),0))</f>
        <v/>
      </c>
      <c r="O2656" s="26" t="str">
        <f aca="false">IF($D2656="","",F2656*M2656+G2656*N2656)</f>
        <v/>
      </c>
      <c r="P2656" s="26" t="str">
        <f aca="false">IF(OR($D2656="",$J2656&lt;&gt;"Supplier"),"",IFERROR(INDEX(SupplierRates!$D$5:$D$500,MATCH($K2656&amp;"|"&amp;$L2656,SupplierRates!$A$5:$A$500,0)),0))</f>
        <v/>
      </c>
      <c r="Q2656" s="26" t="str">
        <f aca="false">IF(OR($D2656="",$J2656&lt;&gt;"Supplier"),"",IFERROR(INDEX(SupplierRates!$E$5:$E$500,MATCH($K2656&amp;"|"&amp;$L2656,SupplierRates!$A$5:$A$500,0)),0))</f>
        <v/>
      </c>
      <c r="R2656" s="26" t="n">
        <f aca="false">IF(OR($D2656="",$J2656&lt;&gt;"Supplier"),0,F2656*P2656+G2656*Q2656)</f>
        <v>0</v>
      </c>
      <c r="S2656" s="26" t="n">
        <f aca="false">IF(OR($D2656="",$J2656&lt;&gt;"Own"),0,IFERROR((F2656+G2656*Settings!$B$13)*INDEX(Workers!$V$5:$V$2004,MATCH($D2656,Workers!$A$5:$A$2004,0)),0))</f>
        <v>0</v>
      </c>
      <c r="T2656" s="26" t="str">
        <f aca="false">IF($D2656="","",O2656-R2656-S2656)</f>
        <v/>
      </c>
    </row>
    <row r="2657" customFormat="false" ht="15" hidden="false" customHeight="false" outlineLevel="0" collapsed="false">
      <c r="I2657" s="24" t="str">
        <f aca="false">IF($D2657="","",IFERROR(INDEX(Workers!$B$5:$B$2004,MATCH($D2657,Workers!$A$5:$A$2004,0)),"NOT FOUND"))</f>
        <v/>
      </c>
      <c r="J2657" s="24" t="str">
        <f aca="false">IF($D2657="","",IFERROR(INDEX(Workers!$C$5:$C$2004,MATCH($D2657,Workers!$A$5:$A$2004,0)),""))</f>
        <v/>
      </c>
      <c r="K2657" s="24" t="str">
        <f aca="false">IF($D2657="","",IFERROR(IF(INDEX(Workers!$D$5:$D$2004,MATCH($D2657,Workers!$A$5:$A$2004,0))=0,"",INDEX(Workers!$D$5:$D$2004,MATCH($D2657,Workers!$A$5:$A$2004,0))),""))</f>
        <v/>
      </c>
      <c r="L2657" s="24" t="str">
        <f aca="false">IF($D2657="","",IFERROR(INDEX(Workers!$E$5:$E$2004,MATCH($D2657,Workers!$A$5:$A$2004,0)),""))</f>
        <v/>
      </c>
      <c r="M2657" s="26" t="str">
        <f aca="false">IF($D2657="","",IFERROR(INDEX(ClientRates!$D$5:$D$500,MATCH($B2657&amp;"|"&amp;$L2657,ClientRates!$A$5:$A$500,0)),0))</f>
        <v/>
      </c>
      <c r="N2657" s="26" t="str">
        <f aca="false">IF($D2657="","",IFERROR(INDEX(ClientRates!$E$5:$E$500,MATCH($B2657&amp;"|"&amp;$L2657,ClientRates!$A$5:$A$500,0)),0))</f>
        <v/>
      </c>
      <c r="O2657" s="26" t="str">
        <f aca="false">IF($D2657="","",F2657*M2657+G2657*N2657)</f>
        <v/>
      </c>
      <c r="P2657" s="26" t="str">
        <f aca="false">IF(OR($D2657="",$J2657&lt;&gt;"Supplier"),"",IFERROR(INDEX(SupplierRates!$D$5:$D$500,MATCH($K2657&amp;"|"&amp;$L2657,SupplierRates!$A$5:$A$500,0)),0))</f>
        <v/>
      </c>
      <c r="Q2657" s="26" t="str">
        <f aca="false">IF(OR($D2657="",$J2657&lt;&gt;"Supplier"),"",IFERROR(INDEX(SupplierRates!$E$5:$E$500,MATCH($K2657&amp;"|"&amp;$L2657,SupplierRates!$A$5:$A$500,0)),0))</f>
        <v/>
      </c>
      <c r="R2657" s="26" t="n">
        <f aca="false">IF(OR($D2657="",$J2657&lt;&gt;"Supplier"),0,F2657*P2657+G2657*Q2657)</f>
        <v>0</v>
      </c>
      <c r="S2657" s="26" t="n">
        <f aca="false">IF(OR($D2657="",$J2657&lt;&gt;"Own"),0,IFERROR((F2657+G2657*Settings!$B$13)*INDEX(Workers!$V$5:$V$2004,MATCH($D2657,Workers!$A$5:$A$2004,0)),0))</f>
        <v>0</v>
      </c>
      <c r="T2657" s="26" t="str">
        <f aca="false">IF($D2657="","",O2657-R2657-S2657)</f>
        <v/>
      </c>
    </row>
    <row r="2658" customFormat="false" ht="15" hidden="false" customHeight="false" outlineLevel="0" collapsed="false">
      <c r="I2658" s="24" t="str">
        <f aca="false">IF($D2658="","",IFERROR(INDEX(Workers!$B$5:$B$2004,MATCH($D2658,Workers!$A$5:$A$2004,0)),"NOT FOUND"))</f>
        <v/>
      </c>
      <c r="J2658" s="24" t="str">
        <f aca="false">IF($D2658="","",IFERROR(INDEX(Workers!$C$5:$C$2004,MATCH($D2658,Workers!$A$5:$A$2004,0)),""))</f>
        <v/>
      </c>
      <c r="K2658" s="24" t="str">
        <f aca="false">IF($D2658="","",IFERROR(IF(INDEX(Workers!$D$5:$D$2004,MATCH($D2658,Workers!$A$5:$A$2004,0))=0,"",INDEX(Workers!$D$5:$D$2004,MATCH($D2658,Workers!$A$5:$A$2004,0))),""))</f>
        <v/>
      </c>
      <c r="L2658" s="24" t="str">
        <f aca="false">IF($D2658="","",IFERROR(INDEX(Workers!$E$5:$E$2004,MATCH($D2658,Workers!$A$5:$A$2004,0)),""))</f>
        <v/>
      </c>
      <c r="M2658" s="26" t="str">
        <f aca="false">IF($D2658="","",IFERROR(INDEX(ClientRates!$D$5:$D$500,MATCH($B2658&amp;"|"&amp;$L2658,ClientRates!$A$5:$A$500,0)),0))</f>
        <v/>
      </c>
      <c r="N2658" s="26" t="str">
        <f aca="false">IF($D2658="","",IFERROR(INDEX(ClientRates!$E$5:$E$500,MATCH($B2658&amp;"|"&amp;$L2658,ClientRates!$A$5:$A$500,0)),0))</f>
        <v/>
      </c>
      <c r="O2658" s="26" t="str">
        <f aca="false">IF($D2658="","",F2658*M2658+G2658*N2658)</f>
        <v/>
      </c>
      <c r="P2658" s="26" t="str">
        <f aca="false">IF(OR($D2658="",$J2658&lt;&gt;"Supplier"),"",IFERROR(INDEX(SupplierRates!$D$5:$D$500,MATCH($K2658&amp;"|"&amp;$L2658,SupplierRates!$A$5:$A$500,0)),0))</f>
        <v/>
      </c>
      <c r="Q2658" s="26" t="str">
        <f aca="false">IF(OR($D2658="",$J2658&lt;&gt;"Supplier"),"",IFERROR(INDEX(SupplierRates!$E$5:$E$500,MATCH($K2658&amp;"|"&amp;$L2658,SupplierRates!$A$5:$A$500,0)),0))</f>
        <v/>
      </c>
      <c r="R2658" s="26" t="n">
        <f aca="false">IF(OR($D2658="",$J2658&lt;&gt;"Supplier"),0,F2658*P2658+G2658*Q2658)</f>
        <v>0</v>
      </c>
      <c r="S2658" s="26" t="n">
        <f aca="false">IF(OR($D2658="",$J2658&lt;&gt;"Own"),0,IFERROR((F2658+G2658*Settings!$B$13)*INDEX(Workers!$V$5:$V$2004,MATCH($D2658,Workers!$A$5:$A$2004,0)),0))</f>
        <v>0</v>
      </c>
      <c r="T2658" s="26" t="str">
        <f aca="false">IF($D2658="","",O2658-R2658-S2658)</f>
        <v/>
      </c>
    </row>
    <row r="2659" customFormat="false" ht="15" hidden="false" customHeight="false" outlineLevel="0" collapsed="false">
      <c r="I2659" s="24" t="str">
        <f aca="false">IF($D2659="","",IFERROR(INDEX(Workers!$B$5:$B$2004,MATCH($D2659,Workers!$A$5:$A$2004,0)),"NOT FOUND"))</f>
        <v/>
      </c>
      <c r="J2659" s="24" t="str">
        <f aca="false">IF($D2659="","",IFERROR(INDEX(Workers!$C$5:$C$2004,MATCH($D2659,Workers!$A$5:$A$2004,0)),""))</f>
        <v/>
      </c>
      <c r="K2659" s="24" t="str">
        <f aca="false">IF($D2659="","",IFERROR(IF(INDEX(Workers!$D$5:$D$2004,MATCH($D2659,Workers!$A$5:$A$2004,0))=0,"",INDEX(Workers!$D$5:$D$2004,MATCH($D2659,Workers!$A$5:$A$2004,0))),""))</f>
        <v/>
      </c>
      <c r="L2659" s="24" t="str">
        <f aca="false">IF($D2659="","",IFERROR(INDEX(Workers!$E$5:$E$2004,MATCH($D2659,Workers!$A$5:$A$2004,0)),""))</f>
        <v/>
      </c>
      <c r="M2659" s="26" t="str">
        <f aca="false">IF($D2659="","",IFERROR(INDEX(ClientRates!$D$5:$D$500,MATCH($B2659&amp;"|"&amp;$L2659,ClientRates!$A$5:$A$500,0)),0))</f>
        <v/>
      </c>
      <c r="N2659" s="26" t="str">
        <f aca="false">IF($D2659="","",IFERROR(INDEX(ClientRates!$E$5:$E$500,MATCH($B2659&amp;"|"&amp;$L2659,ClientRates!$A$5:$A$500,0)),0))</f>
        <v/>
      </c>
      <c r="O2659" s="26" t="str">
        <f aca="false">IF($D2659="","",F2659*M2659+G2659*N2659)</f>
        <v/>
      </c>
      <c r="P2659" s="26" t="str">
        <f aca="false">IF(OR($D2659="",$J2659&lt;&gt;"Supplier"),"",IFERROR(INDEX(SupplierRates!$D$5:$D$500,MATCH($K2659&amp;"|"&amp;$L2659,SupplierRates!$A$5:$A$500,0)),0))</f>
        <v/>
      </c>
      <c r="Q2659" s="26" t="str">
        <f aca="false">IF(OR($D2659="",$J2659&lt;&gt;"Supplier"),"",IFERROR(INDEX(SupplierRates!$E$5:$E$500,MATCH($K2659&amp;"|"&amp;$L2659,SupplierRates!$A$5:$A$500,0)),0))</f>
        <v/>
      </c>
      <c r="R2659" s="26" t="n">
        <f aca="false">IF(OR($D2659="",$J2659&lt;&gt;"Supplier"),0,F2659*P2659+G2659*Q2659)</f>
        <v>0</v>
      </c>
      <c r="S2659" s="26" t="n">
        <f aca="false">IF(OR($D2659="",$J2659&lt;&gt;"Own"),0,IFERROR((F2659+G2659*Settings!$B$13)*INDEX(Workers!$V$5:$V$2004,MATCH($D2659,Workers!$A$5:$A$2004,0)),0))</f>
        <v>0</v>
      </c>
      <c r="T2659" s="26" t="str">
        <f aca="false">IF($D2659="","",O2659-R2659-S2659)</f>
        <v/>
      </c>
    </row>
    <row r="2660" customFormat="false" ht="15" hidden="false" customHeight="false" outlineLevel="0" collapsed="false">
      <c r="I2660" s="24" t="str">
        <f aca="false">IF($D2660="","",IFERROR(INDEX(Workers!$B$5:$B$2004,MATCH($D2660,Workers!$A$5:$A$2004,0)),"NOT FOUND"))</f>
        <v/>
      </c>
      <c r="J2660" s="24" t="str">
        <f aca="false">IF($D2660="","",IFERROR(INDEX(Workers!$C$5:$C$2004,MATCH($D2660,Workers!$A$5:$A$2004,0)),""))</f>
        <v/>
      </c>
      <c r="K2660" s="24" t="str">
        <f aca="false">IF($D2660="","",IFERROR(IF(INDEX(Workers!$D$5:$D$2004,MATCH($D2660,Workers!$A$5:$A$2004,0))=0,"",INDEX(Workers!$D$5:$D$2004,MATCH($D2660,Workers!$A$5:$A$2004,0))),""))</f>
        <v/>
      </c>
      <c r="L2660" s="24" t="str">
        <f aca="false">IF($D2660="","",IFERROR(INDEX(Workers!$E$5:$E$2004,MATCH($D2660,Workers!$A$5:$A$2004,0)),""))</f>
        <v/>
      </c>
      <c r="M2660" s="26" t="str">
        <f aca="false">IF($D2660="","",IFERROR(INDEX(ClientRates!$D$5:$D$500,MATCH($B2660&amp;"|"&amp;$L2660,ClientRates!$A$5:$A$500,0)),0))</f>
        <v/>
      </c>
      <c r="N2660" s="26" t="str">
        <f aca="false">IF($D2660="","",IFERROR(INDEX(ClientRates!$E$5:$E$500,MATCH($B2660&amp;"|"&amp;$L2660,ClientRates!$A$5:$A$500,0)),0))</f>
        <v/>
      </c>
      <c r="O2660" s="26" t="str">
        <f aca="false">IF($D2660="","",F2660*M2660+G2660*N2660)</f>
        <v/>
      </c>
      <c r="P2660" s="26" t="str">
        <f aca="false">IF(OR($D2660="",$J2660&lt;&gt;"Supplier"),"",IFERROR(INDEX(SupplierRates!$D$5:$D$500,MATCH($K2660&amp;"|"&amp;$L2660,SupplierRates!$A$5:$A$500,0)),0))</f>
        <v/>
      </c>
      <c r="Q2660" s="26" t="str">
        <f aca="false">IF(OR($D2660="",$J2660&lt;&gt;"Supplier"),"",IFERROR(INDEX(SupplierRates!$E$5:$E$500,MATCH($K2660&amp;"|"&amp;$L2660,SupplierRates!$A$5:$A$500,0)),0))</f>
        <v/>
      </c>
      <c r="R2660" s="26" t="n">
        <f aca="false">IF(OR($D2660="",$J2660&lt;&gt;"Supplier"),0,F2660*P2660+G2660*Q2660)</f>
        <v>0</v>
      </c>
      <c r="S2660" s="26" t="n">
        <f aca="false">IF(OR($D2660="",$J2660&lt;&gt;"Own"),0,IFERROR((F2660+G2660*Settings!$B$13)*INDEX(Workers!$V$5:$V$2004,MATCH($D2660,Workers!$A$5:$A$2004,0)),0))</f>
        <v>0</v>
      </c>
      <c r="T2660" s="26" t="str">
        <f aca="false">IF($D2660="","",O2660-R2660-S2660)</f>
        <v/>
      </c>
    </row>
    <row r="2661" customFormat="false" ht="15" hidden="false" customHeight="false" outlineLevel="0" collapsed="false">
      <c r="I2661" s="24" t="str">
        <f aca="false">IF($D2661="","",IFERROR(INDEX(Workers!$B$5:$B$2004,MATCH($D2661,Workers!$A$5:$A$2004,0)),"NOT FOUND"))</f>
        <v/>
      </c>
      <c r="J2661" s="24" t="str">
        <f aca="false">IF($D2661="","",IFERROR(INDEX(Workers!$C$5:$C$2004,MATCH($D2661,Workers!$A$5:$A$2004,0)),""))</f>
        <v/>
      </c>
      <c r="K2661" s="24" t="str">
        <f aca="false">IF($D2661="","",IFERROR(IF(INDEX(Workers!$D$5:$D$2004,MATCH($D2661,Workers!$A$5:$A$2004,0))=0,"",INDEX(Workers!$D$5:$D$2004,MATCH($D2661,Workers!$A$5:$A$2004,0))),""))</f>
        <v/>
      </c>
      <c r="L2661" s="24" t="str">
        <f aca="false">IF($D2661="","",IFERROR(INDEX(Workers!$E$5:$E$2004,MATCH($D2661,Workers!$A$5:$A$2004,0)),""))</f>
        <v/>
      </c>
      <c r="M2661" s="26" t="str">
        <f aca="false">IF($D2661="","",IFERROR(INDEX(ClientRates!$D$5:$D$500,MATCH($B2661&amp;"|"&amp;$L2661,ClientRates!$A$5:$A$500,0)),0))</f>
        <v/>
      </c>
      <c r="N2661" s="26" t="str">
        <f aca="false">IF($D2661="","",IFERROR(INDEX(ClientRates!$E$5:$E$500,MATCH($B2661&amp;"|"&amp;$L2661,ClientRates!$A$5:$A$500,0)),0))</f>
        <v/>
      </c>
      <c r="O2661" s="26" t="str">
        <f aca="false">IF($D2661="","",F2661*M2661+G2661*N2661)</f>
        <v/>
      </c>
      <c r="P2661" s="26" t="str">
        <f aca="false">IF(OR($D2661="",$J2661&lt;&gt;"Supplier"),"",IFERROR(INDEX(SupplierRates!$D$5:$D$500,MATCH($K2661&amp;"|"&amp;$L2661,SupplierRates!$A$5:$A$500,0)),0))</f>
        <v/>
      </c>
      <c r="Q2661" s="26" t="str">
        <f aca="false">IF(OR($D2661="",$J2661&lt;&gt;"Supplier"),"",IFERROR(INDEX(SupplierRates!$E$5:$E$500,MATCH($K2661&amp;"|"&amp;$L2661,SupplierRates!$A$5:$A$500,0)),0))</f>
        <v/>
      </c>
      <c r="R2661" s="26" t="n">
        <f aca="false">IF(OR($D2661="",$J2661&lt;&gt;"Supplier"),0,F2661*P2661+G2661*Q2661)</f>
        <v>0</v>
      </c>
      <c r="S2661" s="26" t="n">
        <f aca="false">IF(OR($D2661="",$J2661&lt;&gt;"Own"),0,IFERROR((F2661+G2661*Settings!$B$13)*INDEX(Workers!$V$5:$V$2004,MATCH($D2661,Workers!$A$5:$A$2004,0)),0))</f>
        <v>0</v>
      </c>
      <c r="T2661" s="26" t="str">
        <f aca="false">IF($D2661="","",O2661-R2661-S2661)</f>
        <v/>
      </c>
    </row>
    <row r="2662" customFormat="false" ht="15" hidden="false" customHeight="false" outlineLevel="0" collapsed="false">
      <c r="I2662" s="24" t="str">
        <f aca="false">IF($D2662="","",IFERROR(INDEX(Workers!$B$5:$B$2004,MATCH($D2662,Workers!$A$5:$A$2004,0)),"NOT FOUND"))</f>
        <v/>
      </c>
      <c r="J2662" s="24" t="str">
        <f aca="false">IF($D2662="","",IFERROR(INDEX(Workers!$C$5:$C$2004,MATCH($D2662,Workers!$A$5:$A$2004,0)),""))</f>
        <v/>
      </c>
      <c r="K2662" s="24" t="str">
        <f aca="false">IF($D2662="","",IFERROR(IF(INDEX(Workers!$D$5:$D$2004,MATCH($D2662,Workers!$A$5:$A$2004,0))=0,"",INDEX(Workers!$D$5:$D$2004,MATCH($D2662,Workers!$A$5:$A$2004,0))),""))</f>
        <v/>
      </c>
      <c r="L2662" s="24" t="str">
        <f aca="false">IF($D2662="","",IFERROR(INDEX(Workers!$E$5:$E$2004,MATCH($D2662,Workers!$A$5:$A$2004,0)),""))</f>
        <v/>
      </c>
      <c r="M2662" s="26" t="str">
        <f aca="false">IF($D2662="","",IFERROR(INDEX(ClientRates!$D$5:$D$500,MATCH($B2662&amp;"|"&amp;$L2662,ClientRates!$A$5:$A$500,0)),0))</f>
        <v/>
      </c>
      <c r="N2662" s="26" t="str">
        <f aca="false">IF($D2662="","",IFERROR(INDEX(ClientRates!$E$5:$E$500,MATCH($B2662&amp;"|"&amp;$L2662,ClientRates!$A$5:$A$500,0)),0))</f>
        <v/>
      </c>
      <c r="O2662" s="26" t="str">
        <f aca="false">IF($D2662="","",F2662*M2662+G2662*N2662)</f>
        <v/>
      </c>
      <c r="P2662" s="26" t="str">
        <f aca="false">IF(OR($D2662="",$J2662&lt;&gt;"Supplier"),"",IFERROR(INDEX(SupplierRates!$D$5:$D$500,MATCH($K2662&amp;"|"&amp;$L2662,SupplierRates!$A$5:$A$500,0)),0))</f>
        <v/>
      </c>
      <c r="Q2662" s="26" t="str">
        <f aca="false">IF(OR($D2662="",$J2662&lt;&gt;"Supplier"),"",IFERROR(INDEX(SupplierRates!$E$5:$E$500,MATCH($K2662&amp;"|"&amp;$L2662,SupplierRates!$A$5:$A$500,0)),0))</f>
        <v/>
      </c>
      <c r="R2662" s="26" t="n">
        <f aca="false">IF(OR($D2662="",$J2662&lt;&gt;"Supplier"),0,F2662*P2662+G2662*Q2662)</f>
        <v>0</v>
      </c>
      <c r="S2662" s="26" t="n">
        <f aca="false">IF(OR($D2662="",$J2662&lt;&gt;"Own"),0,IFERROR((F2662+G2662*Settings!$B$13)*INDEX(Workers!$V$5:$V$2004,MATCH($D2662,Workers!$A$5:$A$2004,0)),0))</f>
        <v>0</v>
      </c>
      <c r="T2662" s="26" t="str">
        <f aca="false">IF($D2662="","",O2662-R2662-S2662)</f>
        <v/>
      </c>
    </row>
    <row r="2663" customFormat="false" ht="15" hidden="false" customHeight="false" outlineLevel="0" collapsed="false">
      <c r="I2663" s="24" t="str">
        <f aca="false">IF($D2663="","",IFERROR(INDEX(Workers!$B$5:$B$2004,MATCH($D2663,Workers!$A$5:$A$2004,0)),"NOT FOUND"))</f>
        <v/>
      </c>
      <c r="J2663" s="24" t="str">
        <f aca="false">IF($D2663="","",IFERROR(INDEX(Workers!$C$5:$C$2004,MATCH($D2663,Workers!$A$5:$A$2004,0)),""))</f>
        <v/>
      </c>
      <c r="K2663" s="24" t="str">
        <f aca="false">IF($D2663="","",IFERROR(IF(INDEX(Workers!$D$5:$D$2004,MATCH($D2663,Workers!$A$5:$A$2004,0))=0,"",INDEX(Workers!$D$5:$D$2004,MATCH($D2663,Workers!$A$5:$A$2004,0))),""))</f>
        <v/>
      </c>
      <c r="L2663" s="24" t="str">
        <f aca="false">IF($D2663="","",IFERROR(INDEX(Workers!$E$5:$E$2004,MATCH($D2663,Workers!$A$5:$A$2004,0)),""))</f>
        <v/>
      </c>
      <c r="M2663" s="26" t="str">
        <f aca="false">IF($D2663="","",IFERROR(INDEX(ClientRates!$D$5:$D$500,MATCH($B2663&amp;"|"&amp;$L2663,ClientRates!$A$5:$A$500,0)),0))</f>
        <v/>
      </c>
      <c r="N2663" s="26" t="str">
        <f aca="false">IF($D2663="","",IFERROR(INDEX(ClientRates!$E$5:$E$500,MATCH($B2663&amp;"|"&amp;$L2663,ClientRates!$A$5:$A$500,0)),0))</f>
        <v/>
      </c>
      <c r="O2663" s="26" t="str">
        <f aca="false">IF($D2663="","",F2663*M2663+G2663*N2663)</f>
        <v/>
      </c>
      <c r="P2663" s="26" t="str">
        <f aca="false">IF(OR($D2663="",$J2663&lt;&gt;"Supplier"),"",IFERROR(INDEX(SupplierRates!$D$5:$D$500,MATCH($K2663&amp;"|"&amp;$L2663,SupplierRates!$A$5:$A$500,0)),0))</f>
        <v/>
      </c>
      <c r="Q2663" s="26" t="str">
        <f aca="false">IF(OR($D2663="",$J2663&lt;&gt;"Supplier"),"",IFERROR(INDEX(SupplierRates!$E$5:$E$500,MATCH($K2663&amp;"|"&amp;$L2663,SupplierRates!$A$5:$A$500,0)),0))</f>
        <v/>
      </c>
      <c r="R2663" s="26" t="n">
        <f aca="false">IF(OR($D2663="",$J2663&lt;&gt;"Supplier"),0,F2663*P2663+G2663*Q2663)</f>
        <v>0</v>
      </c>
      <c r="S2663" s="26" t="n">
        <f aca="false">IF(OR($D2663="",$J2663&lt;&gt;"Own"),0,IFERROR((F2663+G2663*Settings!$B$13)*INDEX(Workers!$V$5:$V$2004,MATCH($D2663,Workers!$A$5:$A$2004,0)),0))</f>
        <v>0</v>
      </c>
      <c r="T2663" s="26" t="str">
        <f aca="false">IF($D2663="","",O2663-R2663-S2663)</f>
        <v/>
      </c>
    </row>
    <row r="2664" customFormat="false" ht="15" hidden="false" customHeight="false" outlineLevel="0" collapsed="false">
      <c r="I2664" s="24" t="str">
        <f aca="false">IF($D2664="","",IFERROR(INDEX(Workers!$B$5:$B$2004,MATCH($D2664,Workers!$A$5:$A$2004,0)),"NOT FOUND"))</f>
        <v/>
      </c>
      <c r="J2664" s="24" t="str">
        <f aca="false">IF($D2664="","",IFERROR(INDEX(Workers!$C$5:$C$2004,MATCH($D2664,Workers!$A$5:$A$2004,0)),""))</f>
        <v/>
      </c>
      <c r="K2664" s="24" t="str">
        <f aca="false">IF($D2664="","",IFERROR(IF(INDEX(Workers!$D$5:$D$2004,MATCH($D2664,Workers!$A$5:$A$2004,0))=0,"",INDEX(Workers!$D$5:$D$2004,MATCH($D2664,Workers!$A$5:$A$2004,0))),""))</f>
        <v/>
      </c>
      <c r="L2664" s="24" t="str">
        <f aca="false">IF($D2664="","",IFERROR(INDEX(Workers!$E$5:$E$2004,MATCH($D2664,Workers!$A$5:$A$2004,0)),""))</f>
        <v/>
      </c>
      <c r="M2664" s="26" t="str">
        <f aca="false">IF($D2664="","",IFERROR(INDEX(ClientRates!$D$5:$D$500,MATCH($B2664&amp;"|"&amp;$L2664,ClientRates!$A$5:$A$500,0)),0))</f>
        <v/>
      </c>
      <c r="N2664" s="26" t="str">
        <f aca="false">IF($D2664="","",IFERROR(INDEX(ClientRates!$E$5:$E$500,MATCH($B2664&amp;"|"&amp;$L2664,ClientRates!$A$5:$A$500,0)),0))</f>
        <v/>
      </c>
      <c r="O2664" s="26" t="str">
        <f aca="false">IF($D2664="","",F2664*M2664+G2664*N2664)</f>
        <v/>
      </c>
      <c r="P2664" s="26" t="str">
        <f aca="false">IF(OR($D2664="",$J2664&lt;&gt;"Supplier"),"",IFERROR(INDEX(SupplierRates!$D$5:$D$500,MATCH($K2664&amp;"|"&amp;$L2664,SupplierRates!$A$5:$A$500,0)),0))</f>
        <v/>
      </c>
      <c r="Q2664" s="26" t="str">
        <f aca="false">IF(OR($D2664="",$J2664&lt;&gt;"Supplier"),"",IFERROR(INDEX(SupplierRates!$E$5:$E$500,MATCH($K2664&amp;"|"&amp;$L2664,SupplierRates!$A$5:$A$500,0)),0))</f>
        <v/>
      </c>
      <c r="R2664" s="26" t="n">
        <f aca="false">IF(OR($D2664="",$J2664&lt;&gt;"Supplier"),0,F2664*P2664+G2664*Q2664)</f>
        <v>0</v>
      </c>
      <c r="S2664" s="26" t="n">
        <f aca="false">IF(OR($D2664="",$J2664&lt;&gt;"Own"),0,IFERROR((F2664+G2664*Settings!$B$13)*INDEX(Workers!$V$5:$V$2004,MATCH($D2664,Workers!$A$5:$A$2004,0)),0))</f>
        <v>0</v>
      </c>
      <c r="T2664" s="26" t="str">
        <f aca="false">IF($D2664="","",O2664-R2664-S2664)</f>
        <v/>
      </c>
    </row>
    <row r="2665" customFormat="false" ht="15" hidden="false" customHeight="false" outlineLevel="0" collapsed="false">
      <c r="I2665" s="24" t="str">
        <f aca="false">IF($D2665="","",IFERROR(INDEX(Workers!$B$5:$B$2004,MATCH($D2665,Workers!$A$5:$A$2004,0)),"NOT FOUND"))</f>
        <v/>
      </c>
      <c r="J2665" s="24" t="str">
        <f aca="false">IF($D2665="","",IFERROR(INDEX(Workers!$C$5:$C$2004,MATCH($D2665,Workers!$A$5:$A$2004,0)),""))</f>
        <v/>
      </c>
      <c r="K2665" s="24" t="str">
        <f aca="false">IF($D2665="","",IFERROR(IF(INDEX(Workers!$D$5:$D$2004,MATCH($D2665,Workers!$A$5:$A$2004,0))=0,"",INDEX(Workers!$D$5:$D$2004,MATCH($D2665,Workers!$A$5:$A$2004,0))),""))</f>
        <v/>
      </c>
      <c r="L2665" s="24" t="str">
        <f aca="false">IF($D2665="","",IFERROR(INDEX(Workers!$E$5:$E$2004,MATCH($D2665,Workers!$A$5:$A$2004,0)),""))</f>
        <v/>
      </c>
      <c r="M2665" s="26" t="str">
        <f aca="false">IF($D2665="","",IFERROR(INDEX(ClientRates!$D$5:$D$500,MATCH($B2665&amp;"|"&amp;$L2665,ClientRates!$A$5:$A$500,0)),0))</f>
        <v/>
      </c>
      <c r="N2665" s="26" t="str">
        <f aca="false">IF($D2665="","",IFERROR(INDEX(ClientRates!$E$5:$E$500,MATCH($B2665&amp;"|"&amp;$L2665,ClientRates!$A$5:$A$500,0)),0))</f>
        <v/>
      </c>
      <c r="O2665" s="26" t="str">
        <f aca="false">IF($D2665="","",F2665*M2665+G2665*N2665)</f>
        <v/>
      </c>
      <c r="P2665" s="26" t="str">
        <f aca="false">IF(OR($D2665="",$J2665&lt;&gt;"Supplier"),"",IFERROR(INDEX(SupplierRates!$D$5:$D$500,MATCH($K2665&amp;"|"&amp;$L2665,SupplierRates!$A$5:$A$500,0)),0))</f>
        <v/>
      </c>
      <c r="Q2665" s="26" t="str">
        <f aca="false">IF(OR($D2665="",$J2665&lt;&gt;"Supplier"),"",IFERROR(INDEX(SupplierRates!$E$5:$E$500,MATCH($K2665&amp;"|"&amp;$L2665,SupplierRates!$A$5:$A$500,0)),0))</f>
        <v/>
      </c>
      <c r="R2665" s="26" t="n">
        <f aca="false">IF(OR($D2665="",$J2665&lt;&gt;"Supplier"),0,F2665*P2665+G2665*Q2665)</f>
        <v>0</v>
      </c>
      <c r="S2665" s="26" t="n">
        <f aca="false">IF(OR($D2665="",$J2665&lt;&gt;"Own"),0,IFERROR((F2665+G2665*Settings!$B$13)*INDEX(Workers!$V$5:$V$2004,MATCH($D2665,Workers!$A$5:$A$2004,0)),0))</f>
        <v>0</v>
      </c>
      <c r="T2665" s="26" t="str">
        <f aca="false">IF($D2665="","",O2665-R2665-S2665)</f>
        <v/>
      </c>
    </row>
    <row r="2666" customFormat="false" ht="15" hidden="false" customHeight="false" outlineLevel="0" collapsed="false">
      <c r="I2666" s="24" t="str">
        <f aca="false">IF($D2666="","",IFERROR(INDEX(Workers!$B$5:$B$2004,MATCH($D2666,Workers!$A$5:$A$2004,0)),"NOT FOUND"))</f>
        <v/>
      </c>
      <c r="J2666" s="24" t="str">
        <f aca="false">IF($D2666="","",IFERROR(INDEX(Workers!$C$5:$C$2004,MATCH($D2666,Workers!$A$5:$A$2004,0)),""))</f>
        <v/>
      </c>
      <c r="K2666" s="24" t="str">
        <f aca="false">IF($D2666="","",IFERROR(IF(INDEX(Workers!$D$5:$D$2004,MATCH($D2666,Workers!$A$5:$A$2004,0))=0,"",INDEX(Workers!$D$5:$D$2004,MATCH($D2666,Workers!$A$5:$A$2004,0))),""))</f>
        <v/>
      </c>
      <c r="L2666" s="24" t="str">
        <f aca="false">IF($D2666="","",IFERROR(INDEX(Workers!$E$5:$E$2004,MATCH($D2666,Workers!$A$5:$A$2004,0)),""))</f>
        <v/>
      </c>
      <c r="M2666" s="26" t="str">
        <f aca="false">IF($D2666="","",IFERROR(INDEX(ClientRates!$D$5:$D$500,MATCH($B2666&amp;"|"&amp;$L2666,ClientRates!$A$5:$A$500,0)),0))</f>
        <v/>
      </c>
      <c r="N2666" s="26" t="str">
        <f aca="false">IF($D2666="","",IFERROR(INDEX(ClientRates!$E$5:$E$500,MATCH($B2666&amp;"|"&amp;$L2666,ClientRates!$A$5:$A$500,0)),0))</f>
        <v/>
      </c>
      <c r="O2666" s="26" t="str">
        <f aca="false">IF($D2666="","",F2666*M2666+G2666*N2666)</f>
        <v/>
      </c>
      <c r="P2666" s="26" t="str">
        <f aca="false">IF(OR($D2666="",$J2666&lt;&gt;"Supplier"),"",IFERROR(INDEX(SupplierRates!$D$5:$D$500,MATCH($K2666&amp;"|"&amp;$L2666,SupplierRates!$A$5:$A$500,0)),0))</f>
        <v/>
      </c>
      <c r="Q2666" s="26" t="str">
        <f aca="false">IF(OR($D2666="",$J2666&lt;&gt;"Supplier"),"",IFERROR(INDEX(SupplierRates!$E$5:$E$500,MATCH($K2666&amp;"|"&amp;$L2666,SupplierRates!$A$5:$A$500,0)),0))</f>
        <v/>
      </c>
      <c r="R2666" s="26" t="n">
        <f aca="false">IF(OR($D2666="",$J2666&lt;&gt;"Supplier"),0,F2666*P2666+G2666*Q2666)</f>
        <v>0</v>
      </c>
      <c r="S2666" s="26" t="n">
        <f aca="false">IF(OR($D2666="",$J2666&lt;&gt;"Own"),0,IFERROR((F2666+G2666*Settings!$B$13)*INDEX(Workers!$V$5:$V$2004,MATCH($D2666,Workers!$A$5:$A$2004,0)),0))</f>
        <v>0</v>
      </c>
      <c r="T2666" s="26" t="str">
        <f aca="false">IF($D2666="","",O2666-R2666-S2666)</f>
        <v/>
      </c>
    </row>
    <row r="2667" customFormat="false" ht="15" hidden="false" customHeight="false" outlineLevel="0" collapsed="false">
      <c r="I2667" s="24" t="str">
        <f aca="false">IF($D2667="","",IFERROR(INDEX(Workers!$B$5:$B$2004,MATCH($D2667,Workers!$A$5:$A$2004,0)),"NOT FOUND"))</f>
        <v/>
      </c>
      <c r="J2667" s="24" t="str">
        <f aca="false">IF($D2667="","",IFERROR(INDEX(Workers!$C$5:$C$2004,MATCH($D2667,Workers!$A$5:$A$2004,0)),""))</f>
        <v/>
      </c>
      <c r="K2667" s="24" t="str">
        <f aca="false">IF($D2667="","",IFERROR(IF(INDEX(Workers!$D$5:$D$2004,MATCH($D2667,Workers!$A$5:$A$2004,0))=0,"",INDEX(Workers!$D$5:$D$2004,MATCH($D2667,Workers!$A$5:$A$2004,0))),""))</f>
        <v/>
      </c>
      <c r="L2667" s="24" t="str">
        <f aca="false">IF($D2667="","",IFERROR(INDEX(Workers!$E$5:$E$2004,MATCH($D2667,Workers!$A$5:$A$2004,0)),""))</f>
        <v/>
      </c>
      <c r="M2667" s="26" t="str">
        <f aca="false">IF($D2667="","",IFERROR(INDEX(ClientRates!$D$5:$D$500,MATCH($B2667&amp;"|"&amp;$L2667,ClientRates!$A$5:$A$500,0)),0))</f>
        <v/>
      </c>
      <c r="N2667" s="26" t="str">
        <f aca="false">IF($D2667="","",IFERROR(INDEX(ClientRates!$E$5:$E$500,MATCH($B2667&amp;"|"&amp;$L2667,ClientRates!$A$5:$A$500,0)),0))</f>
        <v/>
      </c>
      <c r="O2667" s="26" t="str">
        <f aca="false">IF($D2667="","",F2667*M2667+G2667*N2667)</f>
        <v/>
      </c>
      <c r="P2667" s="26" t="str">
        <f aca="false">IF(OR($D2667="",$J2667&lt;&gt;"Supplier"),"",IFERROR(INDEX(SupplierRates!$D$5:$D$500,MATCH($K2667&amp;"|"&amp;$L2667,SupplierRates!$A$5:$A$500,0)),0))</f>
        <v/>
      </c>
      <c r="Q2667" s="26" t="str">
        <f aca="false">IF(OR($D2667="",$J2667&lt;&gt;"Supplier"),"",IFERROR(INDEX(SupplierRates!$E$5:$E$500,MATCH($K2667&amp;"|"&amp;$L2667,SupplierRates!$A$5:$A$500,0)),0))</f>
        <v/>
      </c>
      <c r="R2667" s="26" t="n">
        <f aca="false">IF(OR($D2667="",$J2667&lt;&gt;"Supplier"),0,F2667*P2667+G2667*Q2667)</f>
        <v>0</v>
      </c>
      <c r="S2667" s="26" t="n">
        <f aca="false">IF(OR($D2667="",$J2667&lt;&gt;"Own"),0,IFERROR((F2667+G2667*Settings!$B$13)*INDEX(Workers!$V$5:$V$2004,MATCH($D2667,Workers!$A$5:$A$2004,0)),0))</f>
        <v>0</v>
      </c>
      <c r="T2667" s="26" t="str">
        <f aca="false">IF($D2667="","",O2667-R2667-S2667)</f>
        <v/>
      </c>
    </row>
    <row r="2668" customFormat="false" ht="15" hidden="false" customHeight="false" outlineLevel="0" collapsed="false">
      <c r="I2668" s="24" t="str">
        <f aca="false">IF($D2668="","",IFERROR(INDEX(Workers!$B$5:$B$2004,MATCH($D2668,Workers!$A$5:$A$2004,0)),"NOT FOUND"))</f>
        <v/>
      </c>
      <c r="J2668" s="24" t="str">
        <f aca="false">IF($D2668="","",IFERROR(INDEX(Workers!$C$5:$C$2004,MATCH($D2668,Workers!$A$5:$A$2004,0)),""))</f>
        <v/>
      </c>
      <c r="K2668" s="24" t="str">
        <f aca="false">IF($D2668="","",IFERROR(IF(INDEX(Workers!$D$5:$D$2004,MATCH($D2668,Workers!$A$5:$A$2004,0))=0,"",INDEX(Workers!$D$5:$D$2004,MATCH($D2668,Workers!$A$5:$A$2004,0))),""))</f>
        <v/>
      </c>
      <c r="L2668" s="24" t="str">
        <f aca="false">IF($D2668="","",IFERROR(INDEX(Workers!$E$5:$E$2004,MATCH($D2668,Workers!$A$5:$A$2004,0)),""))</f>
        <v/>
      </c>
      <c r="M2668" s="26" t="str">
        <f aca="false">IF($D2668="","",IFERROR(INDEX(ClientRates!$D$5:$D$500,MATCH($B2668&amp;"|"&amp;$L2668,ClientRates!$A$5:$A$500,0)),0))</f>
        <v/>
      </c>
      <c r="N2668" s="26" t="str">
        <f aca="false">IF($D2668="","",IFERROR(INDEX(ClientRates!$E$5:$E$500,MATCH($B2668&amp;"|"&amp;$L2668,ClientRates!$A$5:$A$500,0)),0))</f>
        <v/>
      </c>
      <c r="O2668" s="26" t="str">
        <f aca="false">IF($D2668="","",F2668*M2668+G2668*N2668)</f>
        <v/>
      </c>
      <c r="P2668" s="26" t="str">
        <f aca="false">IF(OR($D2668="",$J2668&lt;&gt;"Supplier"),"",IFERROR(INDEX(SupplierRates!$D$5:$D$500,MATCH($K2668&amp;"|"&amp;$L2668,SupplierRates!$A$5:$A$500,0)),0))</f>
        <v/>
      </c>
      <c r="Q2668" s="26" t="str">
        <f aca="false">IF(OR($D2668="",$J2668&lt;&gt;"Supplier"),"",IFERROR(INDEX(SupplierRates!$E$5:$E$500,MATCH($K2668&amp;"|"&amp;$L2668,SupplierRates!$A$5:$A$500,0)),0))</f>
        <v/>
      </c>
      <c r="R2668" s="26" t="n">
        <f aca="false">IF(OR($D2668="",$J2668&lt;&gt;"Supplier"),0,F2668*P2668+G2668*Q2668)</f>
        <v>0</v>
      </c>
      <c r="S2668" s="26" t="n">
        <f aca="false">IF(OR($D2668="",$J2668&lt;&gt;"Own"),0,IFERROR((F2668+G2668*Settings!$B$13)*INDEX(Workers!$V$5:$V$2004,MATCH($D2668,Workers!$A$5:$A$2004,0)),0))</f>
        <v>0</v>
      </c>
      <c r="T2668" s="26" t="str">
        <f aca="false">IF($D2668="","",O2668-R2668-S2668)</f>
        <v/>
      </c>
    </row>
    <row r="2669" customFormat="false" ht="15" hidden="false" customHeight="false" outlineLevel="0" collapsed="false">
      <c r="I2669" s="24" t="str">
        <f aca="false">IF($D2669="","",IFERROR(INDEX(Workers!$B$5:$B$2004,MATCH($D2669,Workers!$A$5:$A$2004,0)),"NOT FOUND"))</f>
        <v/>
      </c>
      <c r="J2669" s="24" t="str">
        <f aca="false">IF($D2669="","",IFERROR(INDEX(Workers!$C$5:$C$2004,MATCH($D2669,Workers!$A$5:$A$2004,0)),""))</f>
        <v/>
      </c>
      <c r="K2669" s="24" t="str">
        <f aca="false">IF($D2669="","",IFERROR(IF(INDEX(Workers!$D$5:$D$2004,MATCH($D2669,Workers!$A$5:$A$2004,0))=0,"",INDEX(Workers!$D$5:$D$2004,MATCH($D2669,Workers!$A$5:$A$2004,0))),""))</f>
        <v/>
      </c>
      <c r="L2669" s="24" t="str">
        <f aca="false">IF($D2669="","",IFERROR(INDEX(Workers!$E$5:$E$2004,MATCH($D2669,Workers!$A$5:$A$2004,0)),""))</f>
        <v/>
      </c>
      <c r="M2669" s="26" t="str">
        <f aca="false">IF($D2669="","",IFERROR(INDEX(ClientRates!$D$5:$D$500,MATCH($B2669&amp;"|"&amp;$L2669,ClientRates!$A$5:$A$500,0)),0))</f>
        <v/>
      </c>
      <c r="N2669" s="26" t="str">
        <f aca="false">IF($D2669="","",IFERROR(INDEX(ClientRates!$E$5:$E$500,MATCH($B2669&amp;"|"&amp;$L2669,ClientRates!$A$5:$A$500,0)),0))</f>
        <v/>
      </c>
      <c r="O2669" s="26" t="str">
        <f aca="false">IF($D2669="","",F2669*M2669+G2669*N2669)</f>
        <v/>
      </c>
      <c r="P2669" s="26" t="str">
        <f aca="false">IF(OR($D2669="",$J2669&lt;&gt;"Supplier"),"",IFERROR(INDEX(SupplierRates!$D$5:$D$500,MATCH($K2669&amp;"|"&amp;$L2669,SupplierRates!$A$5:$A$500,0)),0))</f>
        <v/>
      </c>
      <c r="Q2669" s="26" t="str">
        <f aca="false">IF(OR($D2669="",$J2669&lt;&gt;"Supplier"),"",IFERROR(INDEX(SupplierRates!$E$5:$E$500,MATCH($K2669&amp;"|"&amp;$L2669,SupplierRates!$A$5:$A$500,0)),0))</f>
        <v/>
      </c>
      <c r="R2669" s="26" t="n">
        <f aca="false">IF(OR($D2669="",$J2669&lt;&gt;"Supplier"),0,F2669*P2669+G2669*Q2669)</f>
        <v>0</v>
      </c>
      <c r="S2669" s="26" t="n">
        <f aca="false">IF(OR($D2669="",$J2669&lt;&gt;"Own"),0,IFERROR((F2669+G2669*Settings!$B$13)*INDEX(Workers!$V$5:$V$2004,MATCH($D2669,Workers!$A$5:$A$2004,0)),0))</f>
        <v>0</v>
      </c>
      <c r="T2669" s="26" t="str">
        <f aca="false">IF($D2669="","",O2669-R2669-S2669)</f>
        <v/>
      </c>
    </row>
    <row r="2670" customFormat="false" ht="15" hidden="false" customHeight="false" outlineLevel="0" collapsed="false">
      <c r="I2670" s="24" t="str">
        <f aca="false">IF($D2670="","",IFERROR(INDEX(Workers!$B$5:$B$2004,MATCH($D2670,Workers!$A$5:$A$2004,0)),"NOT FOUND"))</f>
        <v/>
      </c>
      <c r="J2670" s="24" t="str">
        <f aca="false">IF($D2670="","",IFERROR(INDEX(Workers!$C$5:$C$2004,MATCH($D2670,Workers!$A$5:$A$2004,0)),""))</f>
        <v/>
      </c>
      <c r="K2670" s="24" t="str">
        <f aca="false">IF($D2670="","",IFERROR(IF(INDEX(Workers!$D$5:$D$2004,MATCH($D2670,Workers!$A$5:$A$2004,0))=0,"",INDEX(Workers!$D$5:$D$2004,MATCH($D2670,Workers!$A$5:$A$2004,0))),""))</f>
        <v/>
      </c>
      <c r="L2670" s="24" t="str">
        <f aca="false">IF($D2670="","",IFERROR(INDEX(Workers!$E$5:$E$2004,MATCH($D2670,Workers!$A$5:$A$2004,0)),""))</f>
        <v/>
      </c>
      <c r="M2670" s="26" t="str">
        <f aca="false">IF($D2670="","",IFERROR(INDEX(ClientRates!$D$5:$D$500,MATCH($B2670&amp;"|"&amp;$L2670,ClientRates!$A$5:$A$500,0)),0))</f>
        <v/>
      </c>
      <c r="N2670" s="26" t="str">
        <f aca="false">IF($D2670="","",IFERROR(INDEX(ClientRates!$E$5:$E$500,MATCH($B2670&amp;"|"&amp;$L2670,ClientRates!$A$5:$A$500,0)),0))</f>
        <v/>
      </c>
      <c r="O2670" s="26" t="str">
        <f aca="false">IF($D2670="","",F2670*M2670+G2670*N2670)</f>
        <v/>
      </c>
      <c r="P2670" s="26" t="str">
        <f aca="false">IF(OR($D2670="",$J2670&lt;&gt;"Supplier"),"",IFERROR(INDEX(SupplierRates!$D$5:$D$500,MATCH($K2670&amp;"|"&amp;$L2670,SupplierRates!$A$5:$A$500,0)),0))</f>
        <v/>
      </c>
      <c r="Q2670" s="26" t="str">
        <f aca="false">IF(OR($D2670="",$J2670&lt;&gt;"Supplier"),"",IFERROR(INDEX(SupplierRates!$E$5:$E$500,MATCH($K2670&amp;"|"&amp;$L2670,SupplierRates!$A$5:$A$500,0)),0))</f>
        <v/>
      </c>
      <c r="R2670" s="26" t="n">
        <f aca="false">IF(OR($D2670="",$J2670&lt;&gt;"Supplier"),0,F2670*P2670+G2670*Q2670)</f>
        <v>0</v>
      </c>
      <c r="S2670" s="26" t="n">
        <f aca="false">IF(OR($D2670="",$J2670&lt;&gt;"Own"),0,IFERROR((F2670+G2670*Settings!$B$13)*INDEX(Workers!$V$5:$V$2004,MATCH($D2670,Workers!$A$5:$A$2004,0)),0))</f>
        <v>0</v>
      </c>
      <c r="T2670" s="26" t="str">
        <f aca="false">IF($D2670="","",O2670-R2670-S2670)</f>
        <v/>
      </c>
    </row>
    <row r="2671" customFormat="false" ht="15" hidden="false" customHeight="false" outlineLevel="0" collapsed="false">
      <c r="I2671" s="24" t="str">
        <f aca="false">IF($D2671="","",IFERROR(INDEX(Workers!$B$5:$B$2004,MATCH($D2671,Workers!$A$5:$A$2004,0)),"NOT FOUND"))</f>
        <v/>
      </c>
      <c r="J2671" s="24" t="str">
        <f aca="false">IF($D2671="","",IFERROR(INDEX(Workers!$C$5:$C$2004,MATCH($D2671,Workers!$A$5:$A$2004,0)),""))</f>
        <v/>
      </c>
      <c r="K2671" s="24" t="str">
        <f aca="false">IF($D2671="","",IFERROR(IF(INDEX(Workers!$D$5:$D$2004,MATCH($D2671,Workers!$A$5:$A$2004,0))=0,"",INDEX(Workers!$D$5:$D$2004,MATCH($D2671,Workers!$A$5:$A$2004,0))),""))</f>
        <v/>
      </c>
      <c r="L2671" s="24" t="str">
        <f aca="false">IF($D2671="","",IFERROR(INDEX(Workers!$E$5:$E$2004,MATCH($D2671,Workers!$A$5:$A$2004,0)),""))</f>
        <v/>
      </c>
      <c r="M2671" s="26" t="str">
        <f aca="false">IF($D2671="","",IFERROR(INDEX(ClientRates!$D$5:$D$500,MATCH($B2671&amp;"|"&amp;$L2671,ClientRates!$A$5:$A$500,0)),0))</f>
        <v/>
      </c>
      <c r="N2671" s="26" t="str">
        <f aca="false">IF($D2671="","",IFERROR(INDEX(ClientRates!$E$5:$E$500,MATCH($B2671&amp;"|"&amp;$L2671,ClientRates!$A$5:$A$500,0)),0))</f>
        <v/>
      </c>
      <c r="O2671" s="26" t="str">
        <f aca="false">IF($D2671="","",F2671*M2671+G2671*N2671)</f>
        <v/>
      </c>
      <c r="P2671" s="26" t="str">
        <f aca="false">IF(OR($D2671="",$J2671&lt;&gt;"Supplier"),"",IFERROR(INDEX(SupplierRates!$D$5:$D$500,MATCH($K2671&amp;"|"&amp;$L2671,SupplierRates!$A$5:$A$500,0)),0))</f>
        <v/>
      </c>
      <c r="Q2671" s="26" t="str">
        <f aca="false">IF(OR($D2671="",$J2671&lt;&gt;"Supplier"),"",IFERROR(INDEX(SupplierRates!$E$5:$E$500,MATCH($K2671&amp;"|"&amp;$L2671,SupplierRates!$A$5:$A$500,0)),0))</f>
        <v/>
      </c>
      <c r="R2671" s="26" t="n">
        <f aca="false">IF(OR($D2671="",$J2671&lt;&gt;"Supplier"),0,F2671*P2671+G2671*Q2671)</f>
        <v>0</v>
      </c>
      <c r="S2671" s="26" t="n">
        <f aca="false">IF(OR($D2671="",$J2671&lt;&gt;"Own"),0,IFERROR((F2671+G2671*Settings!$B$13)*INDEX(Workers!$V$5:$V$2004,MATCH($D2671,Workers!$A$5:$A$2004,0)),0))</f>
        <v>0</v>
      </c>
      <c r="T2671" s="26" t="str">
        <f aca="false">IF($D2671="","",O2671-R2671-S2671)</f>
        <v/>
      </c>
    </row>
    <row r="2672" customFormat="false" ht="15" hidden="false" customHeight="false" outlineLevel="0" collapsed="false">
      <c r="I2672" s="24" t="str">
        <f aca="false">IF($D2672="","",IFERROR(INDEX(Workers!$B$5:$B$2004,MATCH($D2672,Workers!$A$5:$A$2004,0)),"NOT FOUND"))</f>
        <v/>
      </c>
      <c r="J2672" s="24" t="str">
        <f aca="false">IF($D2672="","",IFERROR(INDEX(Workers!$C$5:$C$2004,MATCH($D2672,Workers!$A$5:$A$2004,0)),""))</f>
        <v/>
      </c>
      <c r="K2672" s="24" t="str">
        <f aca="false">IF($D2672="","",IFERROR(IF(INDEX(Workers!$D$5:$D$2004,MATCH($D2672,Workers!$A$5:$A$2004,0))=0,"",INDEX(Workers!$D$5:$D$2004,MATCH($D2672,Workers!$A$5:$A$2004,0))),""))</f>
        <v/>
      </c>
      <c r="L2672" s="24" t="str">
        <f aca="false">IF($D2672="","",IFERROR(INDEX(Workers!$E$5:$E$2004,MATCH($D2672,Workers!$A$5:$A$2004,0)),""))</f>
        <v/>
      </c>
      <c r="M2672" s="26" t="str">
        <f aca="false">IF($D2672="","",IFERROR(INDEX(ClientRates!$D$5:$D$500,MATCH($B2672&amp;"|"&amp;$L2672,ClientRates!$A$5:$A$500,0)),0))</f>
        <v/>
      </c>
      <c r="N2672" s="26" t="str">
        <f aca="false">IF($D2672="","",IFERROR(INDEX(ClientRates!$E$5:$E$500,MATCH($B2672&amp;"|"&amp;$L2672,ClientRates!$A$5:$A$500,0)),0))</f>
        <v/>
      </c>
      <c r="O2672" s="26" t="str">
        <f aca="false">IF($D2672="","",F2672*M2672+G2672*N2672)</f>
        <v/>
      </c>
      <c r="P2672" s="26" t="str">
        <f aca="false">IF(OR($D2672="",$J2672&lt;&gt;"Supplier"),"",IFERROR(INDEX(SupplierRates!$D$5:$D$500,MATCH($K2672&amp;"|"&amp;$L2672,SupplierRates!$A$5:$A$500,0)),0))</f>
        <v/>
      </c>
      <c r="Q2672" s="26" t="str">
        <f aca="false">IF(OR($D2672="",$J2672&lt;&gt;"Supplier"),"",IFERROR(INDEX(SupplierRates!$E$5:$E$500,MATCH($K2672&amp;"|"&amp;$L2672,SupplierRates!$A$5:$A$500,0)),0))</f>
        <v/>
      </c>
      <c r="R2672" s="26" t="n">
        <f aca="false">IF(OR($D2672="",$J2672&lt;&gt;"Supplier"),0,F2672*P2672+G2672*Q2672)</f>
        <v>0</v>
      </c>
      <c r="S2672" s="26" t="n">
        <f aca="false">IF(OR($D2672="",$J2672&lt;&gt;"Own"),0,IFERROR((F2672+G2672*Settings!$B$13)*INDEX(Workers!$V$5:$V$2004,MATCH($D2672,Workers!$A$5:$A$2004,0)),0))</f>
        <v>0</v>
      </c>
      <c r="T2672" s="26" t="str">
        <f aca="false">IF($D2672="","",O2672-R2672-S2672)</f>
        <v/>
      </c>
    </row>
    <row r="2673" customFormat="false" ht="15" hidden="false" customHeight="false" outlineLevel="0" collapsed="false">
      <c r="I2673" s="24" t="str">
        <f aca="false">IF($D2673="","",IFERROR(INDEX(Workers!$B$5:$B$2004,MATCH($D2673,Workers!$A$5:$A$2004,0)),"NOT FOUND"))</f>
        <v/>
      </c>
      <c r="J2673" s="24" t="str">
        <f aca="false">IF($D2673="","",IFERROR(INDEX(Workers!$C$5:$C$2004,MATCH($D2673,Workers!$A$5:$A$2004,0)),""))</f>
        <v/>
      </c>
      <c r="K2673" s="24" t="str">
        <f aca="false">IF($D2673="","",IFERROR(IF(INDEX(Workers!$D$5:$D$2004,MATCH($D2673,Workers!$A$5:$A$2004,0))=0,"",INDEX(Workers!$D$5:$D$2004,MATCH($D2673,Workers!$A$5:$A$2004,0))),""))</f>
        <v/>
      </c>
      <c r="L2673" s="24" t="str">
        <f aca="false">IF($D2673="","",IFERROR(INDEX(Workers!$E$5:$E$2004,MATCH($D2673,Workers!$A$5:$A$2004,0)),""))</f>
        <v/>
      </c>
      <c r="M2673" s="26" t="str">
        <f aca="false">IF($D2673="","",IFERROR(INDEX(ClientRates!$D$5:$D$500,MATCH($B2673&amp;"|"&amp;$L2673,ClientRates!$A$5:$A$500,0)),0))</f>
        <v/>
      </c>
      <c r="N2673" s="26" t="str">
        <f aca="false">IF($D2673="","",IFERROR(INDEX(ClientRates!$E$5:$E$500,MATCH($B2673&amp;"|"&amp;$L2673,ClientRates!$A$5:$A$500,0)),0))</f>
        <v/>
      </c>
      <c r="O2673" s="26" t="str">
        <f aca="false">IF($D2673="","",F2673*M2673+G2673*N2673)</f>
        <v/>
      </c>
      <c r="P2673" s="26" t="str">
        <f aca="false">IF(OR($D2673="",$J2673&lt;&gt;"Supplier"),"",IFERROR(INDEX(SupplierRates!$D$5:$D$500,MATCH($K2673&amp;"|"&amp;$L2673,SupplierRates!$A$5:$A$500,0)),0))</f>
        <v/>
      </c>
      <c r="Q2673" s="26" t="str">
        <f aca="false">IF(OR($D2673="",$J2673&lt;&gt;"Supplier"),"",IFERROR(INDEX(SupplierRates!$E$5:$E$500,MATCH($K2673&amp;"|"&amp;$L2673,SupplierRates!$A$5:$A$500,0)),0))</f>
        <v/>
      </c>
      <c r="R2673" s="26" t="n">
        <f aca="false">IF(OR($D2673="",$J2673&lt;&gt;"Supplier"),0,F2673*P2673+G2673*Q2673)</f>
        <v>0</v>
      </c>
      <c r="S2673" s="26" t="n">
        <f aca="false">IF(OR($D2673="",$J2673&lt;&gt;"Own"),0,IFERROR((F2673+G2673*Settings!$B$13)*INDEX(Workers!$V$5:$V$2004,MATCH($D2673,Workers!$A$5:$A$2004,0)),0))</f>
        <v>0</v>
      </c>
      <c r="T2673" s="26" t="str">
        <f aca="false">IF($D2673="","",O2673-R2673-S2673)</f>
        <v/>
      </c>
    </row>
    <row r="2674" customFormat="false" ht="15" hidden="false" customHeight="false" outlineLevel="0" collapsed="false">
      <c r="I2674" s="24" t="str">
        <f aca="false">IF($D2674="","",IFERROR(INDEX(Workers!$B$5:$B$2004,MATCH($D2674,Workers!$A$5:$A$2004,0)),"NOT FOUND"))</f>
        <v/>
      </c>
      <c r="J2674" s="24" t="str">
        <f aca="false">IF($D2674="","",IFERROR(INDEX(Workers!$C$5:$C$2004,MATCH($D2674,Workers!$A$5:$A$2004,0)),""))</f>
        <v/>
      </c>
      <c r="K2674" s="24" t="str">
        <f aca="false">IF($D2674="","",IFERROR(IF(INDEX(Workers!$D$5:$D$2004,MATCH($D2674,Workers!$A$5:$A$2004,0))=0,"",INDEX(Workers!$D$5:$D$2004,MATCH($D2674,Workers!$A$5:$A$2004,0))),""))</f>
        <v/>
      </c>
      <c r="L2674" s="24" t="str">
        <f aca="false">IF($D2674="","",IFERROR(INDEX(Workers!$E$5:$E$2004,MATCH($D2674,Workers!$A$5:$A$2004,0)),""))</f>
        <v/>
      </c>
      <c r="M2674" s="26" t="str">
        <f aca="false">IF($D2674="","",IFERROR(INDEX(ClientRates!$D$5:$D$500,MATCH($B2674&amp;"|"&amp;$L2674,ClientRates!$A$5:$A$500,0)),0))</f>
        <v/>
      </c>
      <c r="N2674" s="26" t="str">
        <f aca="false">IF($D2674="","",IFERROR(INDEX(ClientRates!$E$5:$E$500,MATCH($B2674&amp;"|"&amp;$L2674,ClientRates!$A$5:$A$500,0)),0))</f>
        <v/>
      </c>
      <c r="O2674" s="26" t="str">
        <f aca="false">IF($D2674="","",F2674*M2674+G2674*N2674)</f>
        <v/>
      </c>
      <c r="P2674" s="26" t="str">
        <f aca="false">IF(OR($D2674="",$J2674&lt;&gt;"Supplier"),"",IFERROR(INDEX(SupplierRates!$D$5:$D$500,MATCH($K2674&amp;"|"&amp;$L2674,SupplierRates!$A$5:$A$500,0)),0))</f>
        <v/>
      </c>
      <c r="Q2674" s="26" t="str">
        <f aca="false">IF(OR($D2674="",$J2674&lt;&gt;"Supplier"),"",IFERROR(INDEX(SupplierRates!$E$5:$E$500,MATCH($K2674&amp;"|"&amp;$L2674,SupplierRates!$A$5:$A$500,0)),0))</f>
        <v/>
      </c>
      <c r="R2674" s="26" t="n">
        <f aca="false">IF(OR($D2674="",$J2674&lt;&gt;"Supplier"),0,F2674*P2674+G2674*Q2674)</f>
        <v>0</v>
      </c>
      <c r="S2674" s="26" t="n">
        <f aca="false">IF(OR($D2674="",$J2674&lt;&gt;"Own"),0,IFERROR((F2674+G2674*Settings!$B$13)*INDEX(Workers!$V$5:$V$2004,MATCH($D2674,Workers!$A$5:$A$2004,0)),0))</f>
        <v>0</v>
      </c>
      <c r="T2674" s="26" t="str">
        <f aca="false">IF($D2674="","",O2674-R2674-S2674)</f>
        <v/>
      </c>
    </row>
    <row r="2675" customFormat="false" ht="15" hidden="false" customHeight="false" outlineLevel="0" collapsed="false">
      <c r="I2675" s="24" t="str">
        <f aca="false">IF($D2675="","",IFERROR(INDEX(Workers!$B$5:$B$2004,MATCH($D2675,Workers!$A$5:$A$2004,0)),"NOT FOUND"))</f>
        <v/>
      </c>
      <c r="J2675" s="24" t="str">
        <f aca="false">IF($D2675="","",IFERROR(INDEX(Workers!$C$5:$C$2004,MATCH($D2675,Workers!$A$5:$A$2004,0)),""))</f>
        <v/>
      </c>
      <c r="K2675" s="24" t="str">
        <f aca="false">IF($D2675="","",IFERROR(IF(INDEX(Workers!$D$5:$D$2004,MATCH($D2675,Workers!$A$5:$A$2004,0))=0,"",INDEX(Workers!$D$5:$D$2004,MATCH($D2675,Workers!$A$5:$A$2004,0))),""))</f>
        <v/>
      </c>
      <c r="L2675" s="24" t="str">
        <f aca="false">IF($D2675="","",IFERROR(INDEX(Workers!$E$5:$E$2004,MATCH($D2675,Workers!$A$5:$A$2004,0)),""))</f>
        <v/>
      </c>
      <c r="M2675" s="26" t="str">
        <f aca="false">IF($D2675="","",IFERROR(INDEX(ClientRates!$D$5:$D$500,MATCH($B2675&amp;"|"&amp;$L2675,ClientRates!$A$5:$A$500,0)),0))</f>
        <v/>
      </c>
      <c r="N2675" s="26" t="str">
        <f aca="false">IF($D2675="","",IFERROR(INDEX(ClientRates!$E$5:$E$500,MATCH($B2675&amp;"|"&amp;$L2675,ClientRates!$A$5:$A$500,0)),0))</f>
        <v/>
      </c>
      <c r="O2675" s="26" t="str">
        <f aca="false">IF($D2675="","",F2675*M2675+G2675*N2675)</f>
        <v/>
      </c>
      <c r="P2675" s="26" t="str">
        <f aca="false">IF(OR($D2675="",$J2675&lt;&gt;"Supplier"),"",IFERROR(INDEX(SupplierRates!$D$5:$D$500,MATCH($K2675&amp;"|"&amp;$L2675,SupplierRates!$A$5:$A$500,0)),0))</f>
        <v/>
      </c>
      <c r="Q2675" s="26" t="str">
        <f aca="false">IF(OR($D2675="",$J2675&lt;&gt;"Supplier"),"",IFERROR(INDEX(SupplierRates!$E$5:$E$500,MATCH($K2675&amp;"|"&amp;$L2675,SupplierRates!$A$5:$A$500,0)),0))</f>
        <v/>
      </c>
      <c r="R2675" s="26" t="n">
        <f aca="false">IF(OR($D2675="",$J2675&lt;&gt;"Supplier"),0,F2675*P2675+G2675*Q2675)</f>
        <v>0</v>
      </c>
      <c r="S2675" s="26" t="n">
        <f aca="false">IF(OR($D2675="",$J2675&lt;&gt;"Own"),0,IFERROR((F2675+G2675*Settings!$B$13)*INDEX(Workers!$V$5:$V$2004,MATCH($D2675,Workers!$A$5:$A$2004,0)),0))</f>
        <v>0</v>
      </c>
      <c r="T2675" s="26" t="str">
        <f aca="false">IF($D2675="","",O2675-R2675-S2675)</f>
        <v/>
      </c>
    </row>
    <row r="2676" customFormat="false" ht="15" hidden="false" customHeight="false" outlineLevel="0" collapsed="false">
      <c r="I2676" s="24" t="str">
        <f aca="false">IF($D2676="","",IFERROR(INDEX(Workers!$B$5:$B$2004,MATCH($D2676,Workers!$A$5:$A$2004,0)),"NOT FOUND"))</f>
        <v/>
      </c>
      <c r="J2676" s="24" t="str">
        <f aca="false">IF($D2676="","",IFERROR(INDEX(Workers!$C$5:$C$2004,MATCH($D2676,Workers!$A$5:$A$2004,0)),""))</f>
        <v/>
      </c>
      <c r="K2676" s="24" t="str">
        <f aca="false">IF($D2676="","",IFERROR(IF(INDEX(Workers!$D$5:$D$2004,MATCH($D2676,Workers!$A$5:$A$2004,0))=0,"",INDEX(Workers!$D$5:$D$2004,MATCH($D2676,Workers!$A$5:$A$2004,0))),""))</f>
        <v/>
      </c>
      <c r="L2676" s="24" t="str">
        <f aca="false">IF($D2676="","",IFERROR(INDEX(Workers!$E$5:$E$2004,MATCH($D2676,Workers!$A$5:$A$2004,0)),""))</f>
        <v/>
      </c>
      <c r="M2676" s="26" t="str">
        <f aca="false">IF($D2676="","",IFERROR(INDEX(ClientRates!$D$5:$D$500,MATCH($B2676&amp;"|"&amp;$L2676,ClientRates!$A$5:$A$500,0)),0))</f>
        <v/>
      </c>
      <c r="N2676" s="26" t="str">
        <f aca="false">IF($D2676="","",IFERROR(INDEX(ClientRates!$E$5:$E$500,MATCH($B2676&amp;"|"&amp;$L2676,ClientRates!$A$5:$A$500,0)),0))</f>
        <v/>
      </c>
      <c r="O2676" s="26" t="str">
        <f aca="false">IF($D2676="","",F2676*M2676+G2676*N2676)</f>
        <v/>
      </c>
      <c r="P2676" s="26" t="str">
        <f aca="false">IF(OR($D2676="",$J2676&lt;&gt;"Supplier"),"",IFERROR(INDEX(SupplierRates!$D$5:$D$500,MATCH($K2676&amp;"|"&amp;$L2676,SupplierRates!$A$5:$A$500,0)),0))</f>
        <v/>
      </c>
      <c r="Q2676" s="26" t="str">
        <f aca="false">IF(OR($D2676="",$J2676&lt;&gt;"Supplier"),"",IFERROR(INDEX(SupplierRates!$E$5:$E$500,MATCH($K2676&amp;"|"&amp;$L2676,SupplierRates!$A$5:$A$500,0)),0))</f>
        <v/>
      </c>
      <c r="R2676" s="26" t="n">
        <f aca="false">IF(OR($D2676="",$J2676&lt;&gt;"Supplier"),0,F2676*P2676+G2676*Q2676)</f>
        <v>0</v>
      </c>
      <c r="S2676" s="26" t="n">
        <f aca="false">IF(OR($D2676="",$J2676&lt;&gt;"Own"),0,IFERROR((F2676+G2676*Settings!$B$13)*INDEX(Workers!$V$5:$V$2004,MATCH($D2676,Workers!$A$5:$A$2004,0)),0))</f>
        <v>0</v>
      </c>
      <c r="T2676" s="26" t="str">
        <f aca="false">IF($D2676="","",O2676-R2676-S2676)</f>
        <v/>
      </c>
    </row>
    <row r="2677" customFormat="false" ht="15" hidden="false" customHeight="false" outlineLevel="0" collapsed="false">
      <c r="I2677" s="24" t="str">
        <f aca="false">IF($D2677="","",IFERROR(INDEX(Workers!$B$5:$B$2004,MATCH($D2677,Workers!$A$5:$A$2004,0)),"NOT FOUND"))</f>
        <v/>
      </c>
      <c r="J2677" s="24" t="str">
        <f aca="false">IF($D2677="","",IFERROR(INDEX(Workers!$C$5:$C$2004,MATCH($D2677,Workers!$A$5:$A$2004,0)),""))</f>
        <v/>
      </c>
      <c r="K2677" s="24" t="str">
        <f aca="false">IF($D2677="","",IFERROR(IF(INDEX(Workers!$D$5:$D$2004,MATCH($D2677,Workers!$A$5:$A$2004,0))=0,"",INDEX(Workers!$D$5:$D$2004,MATCH($D2677,Workers!$A$5:$A$2004,0))),""))</f>
        <v/>
      </c>
      <c r="L2677" s="24" t="str">
        <f aca="false">IF($D2677="","",IFERROR(INDEX(Workers!$E$5:$E$2004,MATCH($D2677,Workers!$A$5:$A$2004,0)),""))</f>
        <v/>
      </c>
      <c r="M2677" s="26" t="str">
        <f aca="false">IF($D2677="","",IFERROR(INDEX(ClientRates!$D$5:$D$500,MATCH($B2677&amp;"|"&amp;$L2677,ClientRates!$A$5:$A$500,0)),0))</f>
        <v/>
      </c>
      <c r="N2677" s="26" t="str">
        <f aca="false">IF($D2677="","",IFERROR(INDEX(ClientRates!$E$5:$E$500,MATCH($B2677&amp;"|"&amp;$L2677,ClientRates!$A$5:$A$500,0)),0))</f>
        <v/>
      </c>
      <c r="O2677" s="26" t="str">
        <f aca="false">IF($D2677="","",F2677*M2677+G2677*N2677)</f>
        <v/>
      </c>
      <c r="P2677" s="26" t="str">
        <f aca="false">IF(OR($D2677="",$J2677&lt;&gt;"Supplier"),"",IFERROR(INDEX(SupplierRates!$D$5:$D$500,MATCH($K2677&amp;"|"&amp;$L2677,SupplierRates!$A$5:$A$500,0)),0))</f>
        <v/>
      </c>
      <c r="Q2677" s="26" t="str">
        <f aca="false">IF(OR($D2677="",$J2677&lt;&gt;"Supplier"),"",IFERROR(INDEX(SupplierRates!$E$5:$E$500,MATCH($K2677&amp;"|"&amp;$L2677,SupplierRates!$A$5:$A$500,0)),0))</f>
        <v/>
      </c>
      <c r="R2677" s="26" t="n">
        <f aca="false">IF(OR($D2677="",$J2677&lt;&gt;"Supplier"),0,F2677*P2677+G2677*Q2677)</f>
        <v>0</v>
      </c>
      <c r="S2677" s="26" t="n">
        <f aca="false">IF(OR($D2677="",$J2677&lt;&gt;"Own"),0,IFERROR((F2677+G2677*Settings!$B$13)*INDEX(Workers!$V$5:$V$2004,MATCH($D2677,Workers!$A$5:$A$2004,0)),0))</f>
        <v>0</v>
      </c>
      <c r="T2677" s="26" t="str">
        <f aca="false">IF($D2677="","",O2677-R2677-S2677)</f>
        <v/>
      </c>
    </row>
    <row r="2678" customFormat="false" ht="15" hidden="false" customHeight="false" outlineLevel="0" collapsed="false">
      <c r="I2678" s="24" t="str">
        <f aca="false">IF($D2678="","",IFERROR(INDEX(Workers!$B$5:$B$2004,MATCH($D2678,Workers!$A$5:$A$2004,0)),"NOT FOUND"))</f>
        <v/>
      </c>
      <c r="J2678" s="24" t="str">
        <f aca="false">IF($D2678="","",IFERROR(INDEX(Workers!$C$5:$C$2004,MATCH($D2678,Workers!$A$5:$A$2004,0)),""))</f>
        <v/>
      </c>
      <c r="K2678" s="24" t="str">
        <f aca="false">IF($D2678="","",IFERROR(IF(INDEX(Workers!$D$5:$D$2004,MATCH($D2678,Workers!$A$5:$A$2004,0))=0,"",INDEX(Workers!$D$5:$D$2004,MATCH($D2678,Workers!$A$5:$A$2004,0))),""))</f>
        <v/>
      </c>
      <c r="L2678" s="24" t="str">
        <f aca="false">IF($D2678="","",IFERROR(INDEX(Workers!$E$5:$E$2004,MATCH($D2678,Workers!$A$5:$A$2004,0)),""))</f>
        <v/>
      </c>
      <c r="M2678" s="26" t="str">
        <f aca="false">IF($D2678="","",IFERROR(INDEX(ClientRates!$D$5:$D$500,MATCH($B2678&amp;"|"&amp;$L2678,ClientRates!$A$5:$A$500,0)),0))</f>
        <v/>
      </c>
      <c r="N2678" s="26" t="str">
        <f aca="false">IF($D2678="","",IFERROR(INDEX(ClientRates!$E$5:$E$500,MATCH($B2678&amp;"|"&amp;$L2678,ClientRates!$A$5:$A$500,0)),0))</f>
        <v/>
      </c>
      <c r="O2678" s="26" t="str">
        <f aca="false">IF($D2678="","",F2678*M2678+G2678*N2678)</f>
        <v/>
      </c>
      <c r="P2678" s="26" t="str">
        <f aca="false">IF(OR($D2678="",$J2678&lt;&gt;"Supplier"),"",IFERROR(INDEX(SupplierRates!$D$5:$D$500,MATCH($K2678&amp;"|"&amp;$L2678,SupplierRates!$A$5:$A$500,0)),0))</f>
        <v/>
      </c>
      <c r="Q2678" s="26" t="str">
        <f aca="false">IF(OR($D2678="",$J2678&lt;&gt;"Supplier"),"",IFERROR(INDEX(SupplierRates!$E$5:$E$500,MATCH($K2678&amp;"|"&amp;$L2678,SupplierRates!$A$5:$A$500,0)),0))</f>
        <v/>
      </c>
      <c r="R2678" s="26" t="n">
        <f aca="false">IF(OR($D2678="",$J2678&lt;&gt;"Supplier"),0,F2678*P2678+G2678*Q2678)</f>
        <v>0</v>
      </c>
      <c r="S2678" s="26" t="n">
        <f aca="false">IF(OR($D2678="",$J2678&lt;&gt;"Own"),0,IFERROR((F2678+G2678*Settings!$B$13)*INDEX(Workers!$V$5:$V$2004,MATCH($D2678,Workers!$A$5:$A$2004,0)),0))</f>
        <v>0</v>
      </c>
      <c r="T2678" s="26" t="str">
        <f aca="false">IF($D2678="","",O2678-R2678-S2678)</f>
        <v/>
      </c>
    </row>
    <row r="2679" customFormat="false" ht="15" hidden="false" customHeight="false" outlineLevel="0" collapsed="false">
      <c r="I2679" s="24" t="str">
        <f aca="false">IF($D2679="","",IFERROR(INDEX(Workers!$B$5:$B$2004,MATCH($D2679,Workers!$A$5:$A$2004,0)),"NOT FOUND"))</f>
        <v/>
      </c>
      <c r="J2679" s="24" t="str">
        <f aca="false">IF($D2679="","",IFERROR(INDEX(Workers!$C$5:$C$2004,MATCH($D2679,Workers!$A$5:$A$2004,0)),""))</f>
        <v/>
      </c>
      <c r="K2679" s="24" t="str">
        <f aca="false">IF($D2679="","",IFERROR(IF(INDEX(Workers!$D$5:$D$2004,MATCH($D2679,Workers!$A$5:$A$2004,0))=0,"",INDEX(Workers!$D$5:$D$2004,MATCH($D2679,Workers!$A$5:$A$2004,0))),""))</f>
        <v/>
      </c>
      <c r="L2679" s="24" t="str">
        <f aca="false">IF($D2679="","",IFERROR(INDEX(Workers!$E$5:$E$2004,MATCH($D2679,Workers!$A$5:$A$2004,0)),""))</f>
        <v/>
      </c>
      <c r="M2679" s="26" t="str">
        <f aca="false">IF($D2679="","",IFERROR(INDEX(ClientRates!$D$5:$D$500,MATCH($B2679&amp;"|"&amp;$L2679,ClientRates!$A$5:$A$500,0)),0))</f>
        <v/>
      </c>
      <c r="N2679" s="26" t="str">
        <f aca="false">IF($D2679="","",IFERROR(INDEX(ClientRates!$E$5:$E$500,MATCH($B2679&amp;"|"&amp;$L2679,ClientRates!$A$5:$A$500,0)),0))</f>
        <v/>
      </c>
      <c r="O2679" s="26" t="str">
        <f aca="false">IF($D2679="","",F2679*M2679+G2679*N2679)</f>
        <v/>
      </c>
      <c r="P2679" s="26" t="str">
        <f aca="false">IF(OR($D2679="",$J2679&lt;&gt;"Supplier"),"",IFERROR(INDEX(SupplierRates!$D$5:$D$500,MATCH($K2679&amp;"|"&amp;$L2679,SupplierRates!$A$5:$A$500,0)),0))</f>
        <v/>
      </c>
      <c r="Q2679" s="26" t="str">
        <f aca="false">IF(OR($D2679="",$J2679&lt;&gt;"Supplier"),"",IFERROR(INDEX(SupplierRates!$E$5:$E$500,MATCH($K2679&amp;"|"&amp;$L2679,SupplierRates!$A$5:$A$500,0)),0))</f>
        <v/>
      </c>
      <c r="R2679" s="26" t="n">
        <f aca="false">IF(OR($D2679="",$J2679&lt;&gt;"Supplier"),0,F2679*P2679+G2679*Q2679)</f>
        <v>0</v>
      </c>
      <c r="S2679" s="26" t="n">
        <f aca="false">IF(OR($D2679="",$J2679&lt;&gt;"Own"),0,IFERROR((F2679+G2679*Settings!$B$13)*INDEX(Workers!$V$5:$V$2004,MATCH($D2679,Workers!$A$5:$A$2004,0)),0))</f>
        <v>0</v>
      </c>
      <c r="T2679" s="26" t="str">
        <f aca="false">IF($D2679="","",O2679-R2679-S2679)</f>
        <v/>
      </c>
    </row>
    <row r="2680" customFormat="false" ht="15" hidden="false" customHeight="false" outlineLevel="0" collapsed="false">
      <c r="I2680" s="24" t="str">
        <f aca="false">IF($D2680="","",IFERROR(INDEX(Workers!$B$5:$B$2004,MATCH($D2680,Workers!$A$5:$A$2004,0)),"NOT FOUND"))</f>
        <v/>
      </c>
      <c r="J2680" s="24" t="str">
        <f aca="false">IF($D2680="","",IFERROR(INDEX(Workers!$C$5:$C$2004,MATCH($D2680,Workers!$A$5:$A$2004,0)),""))</f>
        <v/>
      </c>
      <c r="K2680" s="24" t="str">
        <f aca="false">IF($D2680="","",IFERROR(IF(INDEX(Workers!$D$5:$D$2004,MATCH($D2680,Workers!$A$5:$A$2004,0))=0,"",INDEX(Workers!$D$5:$D$2004,MATCH($D2680,Workers!$A$5:$A$2004,0))),""))</f>
        <v/>
      </c>
      <c r="L2680" s="24" t="str">
        <f aca="false">IF($D2680="","",IFERROR(INDEX(Workers!$E$5:$E$2004,MATCH($D2680,Workers!$A$5:$A$2004,0)),""))</f>
        <v/>
      </c>
      <c r="M2680" s="26" t="str">
        <f aca="false">IF($D2680="","",IFERROR(INDEX(ClientRates!$D$5:$D$500,MATCH($B2680&amp;"|"&amp;$L2680,ClientRates!$A$5:$A$500,0)),0))</f>
        <v/>
      </c>
      <c r="N2680" s="26" t="str">
        <f aca="false">IF($D2680="","",IFERROR(INDEX(ClientRates!$E$5:$E$500,MATCH($B2680&amp;"|"&amp;$L2680,ClientRates!$A$5:$A$500,0)),0))</f>
        <v/>
      </c>
      <c r="O2680" s="26" t="str">
        <f aca="false">IF($D2680="","",F2680*M2680+G2680*N2680)</f>
        <v/>
      </c>
      <c r="P2680" s="26" t="str">
        <f aca="false">IF(OR($D2680="",$J2680&lt;&gt;"Supplier"),"",IFERROR(INDEX(SupplierRates!$D$5:$D$500,MATCH($K2680&amp;"|"&amp;$L2680,SupplierRates!$A$5:$A$500,0)),0))</f>
        <v/>
      </c>
      <c r="Q2680" s="26" t="str">
        <f aca="false">IF(OR($D2680="",$J2680&lt;&gt;"Supplier"),"",IFERROR(INDEX(SupplierRates!$E$5:$E$500,MATCH($K2680&amp;"|"&amp;$L2680,SupplierRates!$A$5:$A$500,0)),0))</f>
        <v/>
      </c>
      <c r="R2680" s="26" t="n">
        <f aca="false">IF(OR($D2680="",$J2680&lt;&gt;"Supplier"),0,F2680*P2680+G2680*Q2680)</f>
        <v>0</v>
      </c>
      <c r="S2680" s="26" t="n">
        <f aca="false">IF(OR($D2680="",$J2680&lt;&gt;"Own"),0,IFERROR((F2680+G2680*Settings!$B$13)*INDEX(Workers!$V$5:$V$2004,MATCH($D2680,Workers!$A$5:$A$2004,0)),0))</f>
        <v>0</v>
      </c>
      <c r="T2680" s="26" t="str">
        <f aca="false">IF($D2680="","",O2680-R2680-S2680)</f>
        <v/>
      </c>
    </row>
    <row r="2681" customFormat="false" ht="15" hidden="false" customHeight="false" outlineLevel="0" collapsed="false">
      <c r="I2681" s="24" t="str">
        <f aca="false">IF($D2681="","",IFERROR(INDEX(Workers!$B$5:$B$2004,MATCH($D2681,Workers!$A$5:$A$2004,0)),"NOT FOUND"))</f>
        <v/>
      </c>
      <c r="J2681" s="24" t="str">
        <f aca="false">IF($D2681="","",IFERROR(INDEX(Workers!$C$5:$C$2004,MATCH($D2681,Workers!$A$5:$A$2004,0)),""))</f>
        <v/>
      </c>
      <c r="K2681" s="24" t="str">
        <f aca="false">IF($D2681="","",IFERROR(IF(INDEX(Workers!$D$5:$D$2004,MATCH($D2681,Workers!$A$5:$A$2004,0))=0,"",INDEX(Workers!$D$5:$D$2004,MATCH($D2681,Workers!$A$5:$A$2004,0))),""))</f>
        <v/>
      </c>
      <c r="L2681" s="24" t="str">
        <f aca="false">IF($D2681="","",IFERROR(INDEX(Workers!$E$5:$E$2004,MATCH($D2681,Workers!$A$5:$A$2004,0)),""))</f>
        <v/>
      </c>
      <c r="M2681" s="26" t="str">
        <f aca="false">IF($D2681="","",IFERROR(INDEX(ClientRates!$D$5:$D$500,MATCH($B2681&amp;"|"&amp;$L2681,ClientRates!$A$5:$A$500,0)),0))</f>
        <v/>
      </c>
      <c r="N2681" s="26" t="str">
        <f aca="false">IF($D2681="","",IFERROR(INDEX(ClientRates!$E$5:$E$500,MATCH($B2681&amp;"|"&amp;$L2681,ClientRates!$A$5:$A$500,0)),0))</f>
        <v/>
      </c>
      <c r="O2681" s="26" t="str">
        <f aca="false">IF($D2681="","",F2681*M2681+G2681*N2681)</f>
        <v/>
      </c>
      <c r="P2681" s="26" t="str">
        <f aca="false">IF(OR($D2681="",$J2681&lt;&gt;"Supplier"),"",IFERROR(INDEX(SupplierRates!$D$5:$D$500,MATCH($K2681&amp;"|"&amp;$L2681,SupplierRates!$A$5:$A$500,0)),0))</f>
        <v/>
      </c>
      <c r="Q2681" s="26" t="str">
        <f aca="false">IF(OR($D2681="",$J2681&lt;&gt;"Supplier"),"",IFERROR(INDEX(SupplierRates!$E$5:$E$500,MATCH($K2681&amp;"|"&amp;$L2681,SupplierRates!$A$5:$A$500,0)),0))</f>
        <v/>
      </c>
      <c r="R2681" s="26" t="n">
        <f aca="false">IF(OR($D2681="",$J2681&lt;&gt;"Supplier"),0,F2681*P2681+G2681*Q2681)</f>
        <v>0</v>
      </c>
      <c r="S2681" s="26" t="n">
        <f aca="false">IF(OR($D2681="",$J2681&lt;&gt;"Own"),0,IFERROR((F2681+G2681*Settings!$B$13)*INDEX(Workers!$V$5:$V$2004,MATCH($D2681,Workers!$A$5:$A$2004,0)),0))</f>
        <v>0</v>
      </c>
      <c r="T2681" s="26" t="str">
        <f aca="false">IF($D2681="","",O2681-R2681-S2681)</f>
        <v/>
      </c>
    </row>
    <row r="2682" customFormat="false" ht="15" hidden="false" customHeight="false" outlineLevel="0" collapsed="false">
      <c r="I2682" s="24" t="str">
        <f aca="false">IF($D2682="","",IFERROR(INDEX(Workers!$B$5:$B$2004,MATCH($D2682,Workers!$A$5:$A$2004,0)),"NOT FOUND"))</f>
        <v/>
      </c>
      <c r="J2682" s="24" t="str">
        <f aca="false">IF($D2682="","",IFERROR(INDEX(Workers!$C$5:$C$2004,MATCH($D2682,Workers!$A$5:$A$2004,0)),""))</f>
        <v/>
      </c>
      <c r="K2682" s="24" t="str">
        <f aca="false">IF($D2682="","",IFERROR(IF(INDEX(Workers!$D$5:$D$2004,MATCH($D2682,Workers!$A$5:$A$2004,0))=0,"",INDEX(Workers!$D$5:$D$2004,MATCH($D2682,Workers!$A$5:$A$2004,0))),""))</f>
        <v/>
      </c>
      <c r="L2682" s="24" t="str">
        <f aca="false">IF($D2682="","",IFERROR(INDEX(Workers!$E$5:$E$2004,MATCH($D2682,Workers!$A$5:$A$2004,0)),""))</f>
        <v/>
      </c>
      <c r="M2682" s="26" t="str">
        <f aca="false">IF($D2682="","",IFERROR(INDEX(ClientRates!$D$5:$D$500,MATCH($B2682&amp;"|"&amp;$L2682,ClientRates!$A$5:$A$500,0)),0))</f>
        <v/>
      </c>
      <c r="N2682" s="26" t="str">
        <f aca="false">IF($D2682="","",IFERROR(INDEX(ClientRates!$E$5:$E$500,MATCH($B2682&amp;"|"&amp;$L2682,ClientRates!$A$5:$A$500,0)),0))</f>
        <v/>
      </c>
      <c r="O2682" s="26" t="str">
        <f aca="false">IF($D2682="","",F2682*M2682+G2682*N2682)</f>
        <v/>
      </c>
      <c r="P2682" s="26" t="str">
        <f aca="false">IF(OR($D2682="",$J2682&lt;&gt;"Supplier"),"",IFERROR(INDEX(SupplierRates!$D$5:$D$500,MATCH($K2682&amp;"|"&amp;$L2682,SupplierRates!$A$5:$A$500,0)),0))</f>
        <v/>
      </c>
      <c r="Q2682" s="26" t="str">
        <f aca="false">IF(OR($D2682="",$J2682&lt;&gt;"Supplier"),"",IFERROR(INDEX(SupplierRates!$E$5:$E$500,MATCH($K2682&amp;"|"&amp;$L2682,SupplierRates!$A$5:$A$500,0)),0))</f>
        <v/>
      </c>
      <c r="R2682" s="26" t="n">
        <f aca="false">IF(OR($D2682="",$J2682&lt;&gt;"Supplier"),0,F2682*P2682+G2682*Q2682)</f>
        <v>0</v>
      </c>
      <c r="S2682" s="26" t="n">
        <f aca="false">IF(OR($D2682="",$J2682&lt;&gt;"Own"),0,IFERROR((F2682+G2682*Settings!$B$13)*INDEX(Workers!$V$5:$V$2004,MATCH($D2682,Workers!$A$5:$A$2004,0)),0))</f>
        <v>0</v>
      </c>
      <c r="T2682" s="26" t="str">
        <f aca="false">IF($D2682="","",O2682-R2682-S2682)</f>
        <v/>
      </c>
    </row>
    <row r="2683" customFormat="false" ht="15" hidden="false" customHeight="false" outlineLevel="0" collapsed="false">
      <c r="I2683" s="24" t="str">
        <f aca="false">IF($D2683="","",IFERROR(INDEX(Workers!$B$5:$B$2004,MATCH($D2683,Workers!$A$5:$A$2004,0)),"NOT FOUND"))</f>
        <v/>
      </c>
      <c r="J2683" s="24" t="str">
        <f aca="false">IF($D2683="","",IFERROR(INDEX(Workers!$C$5:$C$2004,MATCH($D2683,Workers!$A$5:$A$2004,0)),""))</f>
        <v/>
      </c>
      <c r="K2683" s="24" t="str">
        <f aca="false">IF($D2683="","",IFERROR(IF(INDEX(Workers!$D$5:$D$2004,MATCH($D2683,Workers!$A$5:$A$2004,0))=0,"",INDEX(Workers!$D$5:$D$2004,MATCH($D2683,Workers!$A$5:$A$2004,0))),""))</f>
        <v/>
      </c>
      <c r="L2683" s="24" t="str">
        <f aca="false">IF($D2683="","",IFERROR(INDEX(Workers!$E$5:$E$2004,MATCH($D2683,Workers!$A$5:$A$2004,0)),""))</f>
        <v/>
      </c>
      <c r="M2683" s="26" t="str">
        <f aca="false">IF($D2683="","",IFERROR(INDEX(ClientRates!$D$5:$D$500,MATCH($B2683&amp;"|"&amp;$L2683,ClientRates!$A$5:$A$500,0)),0))</f>
        <v/>
      </c>
      <c r="N2683" s="26" t="str">
        <f aca="false">IF($D2683="","",IFERROR(INDEX(ClientRates!$E$5:$E$500,MATCH($B2683&amp;"|"&amp;$L2683,ClientRates!$A$5:$A$500,0)),0))</f>
        <v/>
      </c>
      <c r="O2683" s="26" t="str">
        <f aca="false">IF($D2683="","",F2683*M2683+G2683*N2683)</f>
        <v/>
      </c>
      <c r="P2683" s="26" t="str">
        <f aca="false">IF(OR($D2683="",$J2683&lt;&gt;"Supplier"),"",IFERROR(INDEX(SupplierRates!$D$5:$D$500,MATCH($K2683&amp;"|"&amp;$L2683,SupplierRates!$A$5:$A$500,0)),0))</f>
        <v/>
      </c>
      <c r="Q2683" s="26" t="str">
        <f aca="false">IF(OR($D2683="",$J2683&lt;&gt;"Supplier"),"",IFERROR(INDEX(SupplierRates!$E$5:$E$500,MATCH($K2683&amp;"|"&amp;$L2683,SupplierRates!$A$5:$A$500,0)),0))</f>
        <v/>
      </c>
      <c r="R2683" s="26" t="n">
        <f aca="false">IF(OR($D2683="",$J2683&lt;&gt;"Supplier"),0,F2683*P2683+G2683*Q2683)</f>
        <v>0</v>
      </c>
      <c r="S2683" s="26" t="n">
        <f aca="false">IF(OR($D2683="",$J2683&lt;&gt;"Own"),0,IFERROR((F2683+G2683*Settings!$B$13)*INDEX(Workers!$V$5:$V$2004,MATCH($D2683,Workers!$A$5:$A$2004,0)),0))</f>
        <v>0</v>
      </c>
      <c r="T2683" s="26" t="str">
        <f aca="false">IF($D2683="","",O2683-R2683-S2683)</f>
        <v/>
      </c>
    </row>
    <row r="2684" customFormat="false" ht="15" hidden="false" customHeight="false" outlineLevel="0" collapsed="false">
      <c r="I2684" s="24" t="str">
        <f aca="false">IF($D2684="","",IFERROR(INDEX(Workers!$B$5:$B$2004,MATCH($D2684,Workers!$A$5:$A$2004,0)),"NOT FOUND"))</f>
        <v/>
      </c>
      <c r="J2684" s="24" t="str">
        <f aca="false">IF($D2684="","",IFERROR(INDEX(Workers!$C$5:$C$2004,MATCH($D2684,Workers!$A$5:$A$2004,0)),""))</f>
        <v/>
      </c>
      <c r="K2684" s="24" t="str">
        <f aca="false">IF($D2684="","",IFERROR(IF(INDEX(Workers!$D$5:$D$2004,MATCH($D2684,Workers!$A$5:$A$2004,0))=0,"",INDEX(Workers!$D$5:$D$2004,MATCH($D2684,Workers!$A$5:$A$2004,0))),""))</f>
        <v/>
      </c>
      <c r="L2684" s="24" t="str">
        <f aca="false">IF($D2684="","",IFERROR(INDEX(Workers!$E$5:$E$2004,MATCH($D2684,Workers!$A$5:$A$2004,0)),""))</f>
        <v/>
      </c>
      <c r="M2684" s="26" t="str">
        <f aca="false">IF($D2684="","",IFERROR(INDEX(ClientRates!$D$5:$D$500,MATCH($B2684&amp;"|"&amp;$L2684,ClientRates!$A$5:$A$500,0)),0))</f>
        <v/>
      </c>
      <c r="N2684" s="26" t="str">
        <f aca="false">IF($D2684="","",IFERROR(INDEX(ClientRates!$E$5:$E$500,MATCH($B2684&amp;"|"&amp;$L2684,ClientRates!$A$5:$A$500,0)),0))</f>
        <v/>
      </c>
      <c r="O2684" s="26" t="str">
        <f aca="false">IF($D2684="","",F2684*M2684+G2684*N2684)</f>
        <v/>
      </c>
      <c r="P2684" s="26" t="str">
        <f aca="false">IF(OR($D2684="",$J2684&lt;&gt;"Supplier"),"",IFERROR(INDEX(SupplierRates!$D$5:$D$500,MATCH($K2684&amp;"|"&amp;$L2684,SupplierRates!$A$5:$A$500,0)),0))</f>
        <v/>
      </c>
      <c r="Q2684" s="26" t="str">
        <f aca="false">IF(OR($D2684="",$J2684&lt;&gt;"Supplier"),"",IFERROR(INDEX(SupplierRates!$E$5:$E$500,MATCH($K2684&amp;"|"&amp;$L2684,SupplierRates!$A$5:$A$500,0)),0))</f>
        <v/>
      </c>
      <c r="R2684" s="26" t="n">
        <f aca="false">IF(OR($D2684="",$J2684&lt;&gt;"Supplier"),0,F2684*P2684+G2684*Q2684)</f>
        <v>0</v>
      </c>
      <c r="S2684" s="26" t="n">
        <f aca="false">IF(OR($D2684="",$J2684&lt;&gt;"Own"),0,IFERROR((F2684+G2684*Settings!$B$13)*INDEX(Workers!$V$5:$V$2004,MATCH($D2684,Workers!$A$5:$A$2004,0)),0))</f>
        <v>0</v>
      </c>
      <c r="T2684" s="26" t="str">
        <f aca="false">IF($D2684="","",O2684-R2684-S2684)</f>
        <v/>
      </c>
    </row>
    <row r="2685" customFormat="false" ht="15" hidden="false" customHeight="false" outlineLevel="0" collapsed="false">
      <c r="I2685" s="24" t="str">
        <f aca="false">IF($D2685="","",IFERROR(INDEX(Workers!$B$5:$B$2004,MATCH($D2685,Workers!$A$5:$A$2004,0)),"NOT FOUND"))</f>
        <v/>
      </c>
      <c r="J2685" s="24" t="str">
        <f aca="false">IF($D2685="","",IFERROR(INDEX(Workers!$C$5:$C$2004,MATCH($D2685,Workers!$A$5:$A$2004,0)),""))</f>
        <v/>
      </c>
      <c r="K2685" s="24" t="str">
        <f aca="false">IF($D2685="","",IFERROR(IF(INDEX(Workers!$D$5:$D$2004,MATCH($D2685,Workers!$A$5:$A$2004,0))=0,"",INDEX(Workers!$D$5:$D$2004,MATCH($D2685,Workers!$A$5:$A$2004,0))),""))</f>
        <v/>
      </c>
      <c r="L2685" s="24" t="str">
        <f aca="false">IF($D2685="","",IFERROR(INDEX(Workers!$E$5:$E$2004,MATCH($D2685,Workers!$A$5:$A$2004,0)),""))</f>
        <v/>
      </c>
      <c r="M2685" s="26" t="str">
        <f aca="false">IF($D2685="","",IFERROR(INDEX(ClientRates!$D$5:$D$500,MATCH($B2685&amp;"|"&amp;$L2685,ClientRates!$A$5:$A$500,0)),0))</f>
        <v/>
      </c>
      <c r="N2685" s="26" t="str">
        <f aca="false">IF($D2685="","",IFERROR(INDEX(ClientRates!$E$5:$E$500,MATCH($B2685&amp;"|"&amp;$L2685,ClientRates!$A$5:$A$500,0)),0))</f>
        <v/>
      </c>
      <c r="O2685" s="26" t="str">
        <f aca="false">IF($D2685="","",F2685*M2685+G2685*N2685)</f>
        <v/>
      </c>
      <c r="P2685" s="26" t="str">
        <f aca="false">IF(OR($D2685="",$J2685&lt;&gt;"Supplier"),"",IFERROR(INDEX(SupplierRates!$D$5:$D$500,MATCH($K2685&amp;"|"&amp;$L2685,SupplierRates!$A$5:$A$500,0)),0))</f>
        <v/>
      </c>
      <c r="Q2685" s="26" t="str">
        <f aca="false">IF(OR($D2685="",$J2685&lt;&gt;"Supplier"),"",IFERROR(INDEX(SupplierRates!$E$5:$E$500,MATCH($K2685&amp;"|"&amp;$L2685,SupplierRates!$A$5:$A$500,0)),0))</f>
        <v/>
      </c>
      <c r="R2685" s="26" t="n">
        <f aca="false">IF(OR($D2685="",$J2685&lt;&gt;"Supplier"),0,F2685*P2685+G2685*Q2685)</f>
        <v>0</v>
      </c>
      <c r="S2685" s="26" t="n">
        <f aca="false">IF(OR($D2685="",$J2685&lt;&gt;"Own"),0,IFERROR((F2685+G2685*Settings!$B$13)*INDEX(Workers!$V$5:$V$2004,MATCH($D2685,Workers!$A$5:$A$2004,0)),0))</f>
        <v>0</v>
      </c>
      <c r="T2685" s="26" t="str">
        <f aca="false">IF($D2685="","",O2685-R2685-S2685)</f>
        <v/>
      </c>
    </row>
    <row r="2686" customFormat="false" ht="15" hidden="false" customHeight="false" outlineLevel="0" collapsed="false">
      <c r="I2686" s="24" t="str">
        <f aca="false">IF($D2686="","",IFERROR(INDEX(Workers!$B$5:$B$2004,MATCH($D2686,Workers!$A$5:$A$2004,0)),"NOT FOUND"))</f>
        <v/>
      </c>
      <c r="J2686" s="24" t="str">
        <f aca="false">IF($D2686="","",IFERROR(INDEX(Workers!$C$5:$C$2004,MATCH($D2686,Workers!$A$5:$A$2004,0)),""))</f>
        <v/>
      </c>
      <c r="K2686" s="24" t="str">
        <f aca="false">IF($D2686="","",IFERROR(IF(INDEX(Workers!$D$5:$D$2004,MATCH($D2686,Workers!$A$5:$A$2004,0))=0,"",INDEX(Workers!$D$5:$D$2004,MATCH($D2686,Workers!$A$5:$A$2004,0))),""))</f>
        <v/>
      </c>
      <c r="L2686" s="24" t="str">
        <f aca="false">IF($D2686="","",IFERROR(INDEX(Workers!$E$5:$E$2004,MATCH($D2686,Workers!$A$5:$A$2004,0)),""))</f>
        <v/>
      </c>
      <c r="M2686" s="26" t="str">
        <f aca="false">IF($D2686="","",IFERROR(INDEX(ClientRates!$D$5:$D$500,MATCH($B2686&amp;"|"&amp;$L2686,ClientRates!$A$5:$A$500,0)),0))</f>
        <v/>
      </c>
      <c r="N2686" s="26" t="str">
        <f aca="false">IF($D2686="","",IFERROR(INDEX(ClientRates!$E$5:$E$500,MATCH($B2686&amp;"|"&amp;$L2686,ClientRates!$A$5:$A$500,0)),0))</f>
        <v/>
      </c>
      <c r="O2686" s="26" t="str">
        <f aca="false">IF($D2686="","",F2686*M2686+G2686*N2686)</f>
        <v/>
      </c>
      <c r="P2686" s="26" t="str">
        <f aca="false">IF(OR($D2686="",$J2686&lt;&gt;"Supplier"),"",IFERROR(INDEX(SupplierRates!$D$5:$D$500,MATCH($K2686&amp;"|"&amp;$L2686,SupplierRates!$A$5:$A$500,0)),0))</f>
        <v/>
      </c>
      <c r="Q2686" s="26" t="str">
        <f aca="false">IF(OR($D2686="",$J2686&lt;&gt;"Supplier"),"",IFERROR(INDEX(SupplierRates!$E$5:$E$500,MATCH($K2686&amp;"|"&amp;$L2686,SupplierRates!$A$5:$A$500,0)),0))</f>
        <v/>
      </c>
      <c r="R2686" s="26" t="n">
        <f aca="false">IF(OR($D2686="",$J2686&lt;&gt;"Supplier"),0,F2686*P2686+G2686*Q2686)</f>
        <v>0</v>
      </c>
      <c r="S2686" s="26" t="n">
        <f aca="false">IF(OR($D2686="",$J2686&lt;&gt;"Own"),0,IFERROR((F2686+G2686*Settings!$B$13)*INDEX(Workers!$V$5:$V$2004,MATCH($D2686,Workers!$A$5:$A$2004,0)),0))</f>
        <v>0</v>
      </c>
      <c r="T2686" s="26" t="str">
        <f aca="false">IF($D2686="","",O2686-R2686-S2686)</f>
        <v/>
      </c>
    </row>
    <row r="2687" customFormat="false" ht="15" hidden="false" customHeight="false" outlineLevel="0" collapsed="false">
      <c r="I2687" s="24" t="str">
        <f aca="false">IF($D2687="","",IFERROR(INDEX(Workers!$B$5:$B$2004,MATCH($D2687,Workers!$A$5:$A$2004,0)),"NOT FOUND"))</f>
        <v/>
      </c>
      <c r="J2687" s="24" t="str">
        <f aca="false">IF($D2687="","",IFERROR(INDEX(Workers!$C$5:$C$2004,MATCH($D2687,Workers!$A$5:$A$2004,0)),""))</f>
        <v/>
      </c>
      <c r="K2687" s="24" t="str">
        <f aca="false">IF($D2687="","",IFERROR(IF(INDEX(Workers!$D$5:$D$2004,MATCH($D2687,Workers!$A$5:$A$2004,0))=0,"",INDEX(Workers!$D$5:$D$2004,MATCH($D2687,Workers!$A$5:$A$2004,0))),""))</f>
        <v/>
      </c>
      <c r="L2687" s="24" t="str">
        <f aca="false">IF($D2687="","",IFERROR(INDEX(Workers!$E$5:$E$2004,MATCH($D2687,Workers!$A$5:$A$2004,0)),""))</f>
        <v/>
      </c>
      <c r="M2687" s="26" t="str">
        <f aca="false">IF($D2687="","",IFERROR(INDEX(ClientRates!$D$5:$D$500,MATCH($B2687&amp;"|"&amp;$L2687,ClientRates!$A$5:$A$500,0)),0))</f>
        <v/>
      </c>
      <c r="N2687" s="26" t="str">
        <f aca="false">IF($D2687="","",IFERROR(INDEX(ClientRates!$E$5:$E$500,MATCH($B2687&amp;"|"&amp;$L2687,ClientRates!$A$5:$A$500,0)),0))</f>
        <v/>
      </c>
      <c r="O2687" s="26" t="str">
        <f aca="false">IF($D2687="","",F2687*M2687+G2687*N2687)</f>
        <v/>
      </c>
      <c r="P2687" s="26" t="str">
        <f aca="false">IF(OR($D2687="",$J2687&lt;&gt;"Supplier"),"",IFERROR(INDEX(SupplierRates!$D$5:$D$500,MATCH($K2687&amp;"|"&amp;$L2687,SupplierRates!$A$5:$A$500,0)),0))</f>
        <v/>
      </c>
      <c r="Q2687" s="26" t="str">
        <f aca="false">IF(OR($D2687="",$J2687&lt;&gt;"Supplier"),"",IFERROR(INDEX(SupplierRates!$E$5:$E$500,MATCH($K2687&amp;"|"&amp;$L2687,SupplierRates!$A$5:$A$500,0)),0))</f>
        <v/>
      </c>
      <c r="R2687" s="26" t="n">
        <f aca="false">IF(OR($D2687="",$J2687&lt;&gt;"Supplier"),0,F2687*P2687+G2687*Q2687)</f>
        <v>0</v>
      </c>
      <c r="S2687" s="26" t="n">
        <f aca="false">IF(OR($D2687="",$J2687&lt;&gt;"Own"),0,IFERROR((F2687+G2687*Settings!$B$13)*INDEX(Workers!$V$5:$V$2004,MATCH($D2687,Workers!$A$5:$A$2004,0)),0))</f>
        <v>0</v>
      </c>
      <c r="T2687" s="26" t="str">
        <f aca="false">IF($D2687="","",O2687-R2687-S2687)</f>
        <v/>
      </c>
    </row>
    <row r="2688" customFormat="false" ht="15" hidden="false" customHeight="false" outlineLevel="0" collapsed="false">
      <c r="I2688" s="24" t="str">
        <f aca="false">IF($D2688="","",IFERROR(INDEX(Workers!$B$5:$B$2004,MATCH($D2688,Workers!$A$5:$A$2004,0)),"NOT FOUND"))</f>
        <v/>
      </c>
      <c r="J2688" s="24" t="str">
        <f aca="false">IF($D2688="","",IFERROR(INDEX(Workers!$C$5:$C$2004,MATCH($D2688,Workers!$A$5:$A$2004,0)),""))</f>
        <v/>
      </c>
      <c r="K2688" s="24" t="str">
        <f aca="false">IF($D2688="","",IFERROR(IF(INDEX(Workers!$D$5:$D$2004,MATCH($D2688,Workers!$A$5:$A$2004,0))=0,"",INDEX(Workers!$D$5:$D$2004,MATCH($D2688,Workers!$A$5:$A$2004,0))),""))</f>
        <v/>
      </c>
      <c r="L2688" s="24" t="str">
        <f aca="false">IF($D2688="","",IFERROR(INDEX(Workers!$E$5:$E$2004,MATCH($D2688,Workers!$A$5:$A$2004,0)),""))</f>
        <v/>
      </c>
      <c r="M2688" s="26" t="str">
        <f aca="false">IF($D2688="","",IFERROR(INDEX(ClientRates!$D$5:$D$500,MATCH($B2688&amp;"|"&amp;$L2688,ClientRates!$A$5:$A$500,0)),0))</f>
        <v/>
      </c>
      <c r="N2688" s="26" t="str">
        <f aca="false">IF($D2688="","",IFERROR(INDEX(ClientRates!$E$5:$E$500,MATCH($B2688&amp;"|"&amp;$L2688,ClientRates!$A$5:$A$500,0)),0))</f>
        <v/>
      </c>
      <c r="O2688" s="26" t="str">
        <f aca="false">IF($D2688="","",F2688*M2688+G2688*N2688)</f>
        <v/>
      </c>
      <c r="P2688" s="26" t="str">
        <f aca="false">IF(OR($D2688="",$J2688&lt;&gt;"Supplier"),"",IFERROR(INDEX(SupplierRates!$D$5:$D$500,MATCH($K2688&amp;"|"&amp;$L2688,SupplierRates!$A$5:$A$500,0)),0))</f>
        <v/>
      </c>
      <c r="Q2688" s="26" t="str">
        <f aca="false">IF(OR($D2688="",$J2688&lt;&gt;"Supplier"),"",IFERROR(INDEX(SupplierRates!$E$5:$E$500,MATCH($K2688&amp;"|"&amp;$L2688,SupplierRates!$A$5:$A$500,0)),0))</f>
        <v/>
      </c>
      <c r="R2688" s="26" t="n">
        <f aca="false">IF(OR($D2688="",$J2688&lt;&gt;"Supplier"),0,F2688*P2688+G2688*Q2688)</f>
        <v>0</v>
      </c>
      <c r="S2688" s="26" t="n">
        <f aca="false">IF(OR($D2688="",$J2688&lt;&gt;"Own"),0,IFERROR((F2688+G2688*Settings!$B$13)*INDEX(Workers!$V$5:$V$2004,MATCH($D2688,Workers!$A$5:$A$2004,0)),0))</f>
        <v>0</v>
      </c>
      <c r="T2688" s="26" t="str">
        <f aca="false">IF($D2688="","",O2688-R2688-S2688)</f>
        <v/>
      </c>
    </row>
    <row r="2689" customFormat="false" ht="15" hidden="false" customHeight="false" outlineLevel="0" collapsed="false">
      <c r="I2689" s="24" t="str">
        <f aca="false">IF($D2689="","",IFERROR(INDEX(Workers!$B$5:$B$2004,MATCH($D2689,Workers!$A$5:$A$2004,0)),"NOT FOUND"))</f>
        <v/>
      </c>
      <c r="J2689" s="24" t="str">
        <f aca="false">IF($D2689="","",IFERROR(INDEX(Workers!$C$5:$C$2004,MATCH($D2689,Workers!$A$5:$A$2004,0)),""))</f>
        <v/>
      </c>
      <c r="K2689" s="24" t="str">
        <f aca="false">IF($D2689="","",IFERROR(IF(INDEX(Workers!$D$5:$D$2004,MATCH($D2689,Workers!$A$5:$A$2004,0))=0,"",INDEX(Workers!$D$5:$D$2004,MATCH($D2689,Workers!$A$5:$A$2004,0))),""))</f>
        <v/>
      </c>
      <c r="L2689" s="24" t="str">
        <f aca="false">IF($D2689="","",IFERROR(INDEX(Workers!$E$5:$E$2004,MATCH($D2689,Workers!$A$5:$A$2004,0)),""))</f>
        <v/>
      </c>
      <c r="M2689" s="26" t="str">
        <f aca="false">IF($D2689="","",IFERROR(INDEX(ClientRates!$D$5:$D$500,MATCH($B2689&amp;"|"&amp;$L2689,ClientRates!$A$5:$A$500,0)),0))</f>
        <v/>
      </c>
      <c r="N2689" s="26" t="str">
        <f aca="false">IF($D2689="","",IFERROR(INDEX(ClientRates!$E$5:$E$500,MATCH($B2689&amp;"|"&amp;$L2689,ClientRates!$A$5:$A$500,0)),0))</f>
        <v/>
      </c>
      <c r="O2689" s="26" t="str">
        <f aca="false">IF($D2689="","",F2689*M2689+G2689*N2689)</f>
        <v/>
      </c>
      <c r="P2689" s="26" t="str">
        <f aca="false">IF(OR($D2689="",$J2689&lt;&gt;"Supplier"),"",IFERROR(INDEX(SupplierRates!$D$5:$D$500,MATCH($K2689&amp;"|"&amp;$L2689,SupplierRates!$A$5:$A$500,0)),0))</f>
        <v/>
      </c>
      <c r="Q2689" s="26" t="str">
        <f aca="false">IF(OR($D2689="",$J2689&lt;&gt;"Supplier"),"",IFERROR(INDEX(SupplierRates!$E$5:$E$500,MATCH($K2689&amp;"|"&amp;$L2689,SupplierRates!$A$5:$A$500,0)),0))</f>
        <v/>
      </c>
      <c r="R2689" s="26" t="n">
        <f aca="false">IF(OR($D2689="",$J2689&lt;&gt;"Supplier"),0,F2689*P2689+G2689*Q2689)</f>
        <v>0</v>
      </c>
      <c r="S2689" s="26" t="n">
        <f aca="false">IF(OR($D2689="",$J2689&lt;&gt;"Own"),0,IFERROR((F2689+G2689*Settings!$B$13)*INDEX(Workers!$V$5:$V$2004,MATCH($D2689,Workers!$A$5:$A$2004,0)),0))</f>
        <v>0</v>
      </c>
      <c r="T2689" s="26" t="str">
        <f aca="false">IF($D2689="","",O2689-R2689-S2689)</f>
        <v/>
      </c>
    </row>
    <row r="2690" customFormat="false" ht="15" hidden="false" customHeight="false" outlineLevel="0" collapsed="false">
      <c r="I2690" s="24" t="str">
        <f aca="false">IF($D2690="","",IFERROR(INDEX(Workers!$B$5:$B$2004,MATCH($D2690,Workers!$A$5:$A$2004,0)),"NOT FOUND"))</f>
        <v/>
      </c>
      <c r="J2690" s="24" t="str">
        <f aca="false">IF($D2690="","",IFERROR(INDEX(Workers!$C$5:$C$2004,MATCH($D2690,Workers!$A$5:$A$2004,0)),""))</f>
        <v/>
      </c>
      <c r="K2690" s="24" t="str">
        <f aca="false">IF($D2690="","",IFERROR(IF(INDEX(Workers!$D$5:$D$2004,MATCH($D2690,Workers!$A$5:$A$2004,0))=0,"",INDEX(Workers!$D$5:$D$2004,MATCH($D2690,Workers!$A$5:$A$2004,0))),""))</f>
        <v/>
      </c>
      <c r="L2690" s="24" t="str">
        <f aca="false">IF($D2690="","",IFERROR(INDEX(Workers!$E$5:$E$2004,MATCH($D2690,Workers!$A$5:$A$2004,0)),""))</f>
        <v/>
      </c>
      <c r="M2690" s="26" t="str">
        <f aca="false">IF($D2690="","",IFERROR(INDEX(ClientRates!$D$5:$D$500,MATCH($B2690&amp;"|"&amp;$L2690,ClientRates!$A$5:$A$500,0)),0))</f>
        <v/>
      </c>
      <c r="N2690" s="26" t="str">
        <f aca="false">IF($D2690="","",IFERROR(INDEX(ClientRates!$E$5:$E$500,MATCH($B2690&amp;"|"&amp;$L2690,ClientRates!$A$5:$A$500,0)),0))</f>
        <v/>
      </c>
      <c r="O2690" s="26" t="str">
        <f aca="false">IF($D2690="","",F2690*M2690+G2690*N2690)</f>
        <v/>
      </c>
      <c r="P2690" s="26" t="str">
        <f aca="false">IF(OR($D2690="",$J2690&lt;&gt;"Supplier"),"",IFERROR(INDEX(SupplierRates!$D$5:$D$500,MATCH($K2690&amp;"|"&amp;$L2690,SupplierRates!$A$5:$A$500,0)),0))</f>
        <v/>
      </c>
      <c r="Q2690" s="26" t="str">
        <f aca="false">IF(OR($D2690="",$J2690&lt;&gt;"Supplier"),"",IFERROR(INDEX(SupplierRates!$E$5:$E$500,MATCH($K2690&amp;"|"&amp;$L2690,SupplierRates!$A$5:$A$500,0)),0))</f>
        <v/>
      </c>
      <c r="R2690" s="26" t="n">
        <f aca="false">IF(OR($D2690="",$J2690&lt;&gt;"Supplier"),0,F2690*P2690+G2690*Q2690)</f>
        <v>0</v>
      </c>
      <c r="S2690" s="26" t="n">
        <f aca="false">IF(OR($D2690="",$J2690&lt;&gt;"Own"),0,IFERROR((F2690+G2690*Settings!$B$13)*INDEX(Workers!$V$5:$V$2004,MATCH($D2690,Workers!$A$5:$A$2004,0)),0))</f>
        <v>0</v>
      </c>
      <c r="T2690" s="26" t="str">
        <f aca="false">IF($D2690="","",O2690-R2690-S2690)</f>
        <v/>
      </c>
    </row>
    <row r="2691" customFormat="false" ht="15" hidden="false" customHeight="false" outlineLevel="0" collapsed="false">
      <c r="I2691" s="24" t="str">
        <f aca="false">IF($D2691="","",IFERROR(INDEX(Workers!$B$5:$B$2004,MATCH($D2691,Workers!$A$5:$A$2004,0)),"NOT FOUND"))</f>
        <v/>
      </c>
      <c r="J2691" s="24" t="str">
        <f aca="false">IF($D2691="","",IFERROR(INDEX(Workers!$C$5:$C$2004,MATCH($D2691,Workers!$A$5:$A$2004,0)),""))</f>
        <v/>
      </c>
      <c r="K2691" s="24" t="str">
        <f aca="false">IF($D2691="","",IFERROR(IF(INDEX(Workers!$D$5:$D$2004,MATCH($D2691,Workers!$A$5:$A$2004,0))=0,"",INDEX(Workers!$D$5:$D$2004,MATCH($D2691,Workers!$A$5:$A$2004,0))),""))</f>
        <v/>
      </c>
      <c r="L2691" s="24" t="str">
        <f aca="false">IF($D2691="","",IFERROR(INDEX(Workers!$E$5:$E$2004,MATCH($D2691,Workers!$A$5:$A$2004,0)),""))</f>
        <v/>
      </c>
      <c r="M2691" s="26" t="str">
        <f aca="false">IF($D2691="","",IFERROR(INDEX(ClientRates!$D$5:$D$500,MATCH($B2691&amp;"|"&amp;$L2691,ClientRates!$A$5:$A$500,0)),0))</f>
        <v/>
      </c>
      <c r="N2691" s="26" t="str">
        <f aca="false">IF($D2691="","",IFERROR(INDEX(ClientRates!$E$5:$E$500,MATCH($B2691&amp;"|"&amp;$L2691,ClientRates!$A$5:$A$500,0)),0))</f>
        <v/>
      </c>
      <c r="O2691" s="26" t="str">
        <f aca="false">IF($D2691="","",F2691*M2691+G2691*N2691)</f>
        <v/>
      </c>
      <c r="P2691" s="26" t="str">
        <f aca="false">IF(OR($D2691="",$J2691&lt;&gt;"Supplier"),"",IFERROR(INDEX(SupplierRates!$D$5:$D$500,MATCH($K2691&amp;"|"&amp;$L2691,SupplierRates!$A$5:$A$500,0)),0))</f>
        <v/>
      </c>
      <c r="Q2691" s="26" t="str">
        <f aca="false">IF(OR($D2691="",$J2691&lt;&gt;"Supplier"),"",IFERROR(INDEX(SupplierRates!$E$5:$E$500,MATCH($K2691&amp;"|"&amp;$L2691,SupplierRates!$A$5:$A$500,0)),0))</f>
        <v/>
      </c>
      <c r="R2691" s="26" t="n">
        <f aca="false">IF(OR($D2691="",$J2691&lt;&gt;"Supplier"),0,F2691*P2691+G2691*Q2691)</f>
        <v>0</v>
      </c>
      <c r="S2691" s="26" t="n">
        <f aca="false">IF(OR($D2691="",$J2691&lt;&gt;"Own"),0,IFERROR((F2691+G2691*Settings!$B$13)*INDEX(Workers!$V$5:$V$2004,MATCH($D2691,Workers!$A$5:$A$2004,0)),0))</f>
        <v>0</v>
      </c>
      <c r="T2691" s="26" t="str">
        <f aca="false">IF($D2691="","",O2691-R2691-S2691)</f>
        <v/>
      </c>
    </row>
    <row r="2692" customFormat="false" ht="15" hidden="false" customHeight="false" outlineLevel="0" collapsed="false">
      <c r="I2692" s="24" t="str">
        <f aca="false">IF($D2692="","",IFERROR(INDEX(Workers!$B$5:$B$2004,MATCH($D2692,Workers!$A$5:$A$2004,0)),"NOT FOUND"))</f>
        <v/>
      </c>
      <c r="J2692" s="24" t="str">
        <f aca="false">IF($D2692="","",IFERROR(INDEX(Workers!$C$5:$C$2004,MATCH($D2692,Workers!$A$5:$A$2004,0)),""))</f>
        <v/>
      </c>
      <c r="K2692" s="24" t="str">
        <f aca="false">IF($D2692="","",IFERROR(IF(INDEX(Workers!$D$5:$D$2004,MATCH($D2692,Workers!$A$5:$A$2004,0))=0,"",INDEX(Workers!$D$5:$D$2004,MATCH($D2692,Workers!$A$5:$A$2004,0))),""))</f>
        <v/>
      </c>
      <c r="L2692" s="24" t="str">
        <f aca="false">IF($D2692="","",IFERROR(INDEX(Workers!$E$5:$E$2004,MATCH($D2692,Workers!$A$5:$A$2004,0)),""))</f>
        <v/>
      </c>
      <c r="M2692" s="26" t="str">
        <f aca="false">IF($D2692="","",IFERROR(INDEX(ClientRates!$D$5:$D$500,MATCH($B2692&amp;"|"&amp;$L2692,ClientRates!$A$5:$A$500,0)),0))</f>
        <v/>
      </c>
      <c r="N2692" s="26" t="str">
        <f aca="false">IF($D2692="","",IFERROR(INDEX(ClientRates!$E$5:$E$500,MATCH($B2692&amp;"|"&amp;$L2692,ClientRates!$A$5:$A$500,0)),0))</f>
        <v/>
      </c>
      <c r="O2692" s="26" t="str">
        <f aca="false">IF($D2692="","",F2692*M2692+G2692*N2692)</f>
        <v/>
      </c>
      <c r="P2692" s="26" t="str">
        <f aca="false">IF(OR($D2692="",$J2692&lt;&gt;"Supplier"),"",IFERROR(INDEX(SupplierRates!$D$5:$D$500,MATCH($K2692&amp;"|"&amp;$L2692,SupplierRates!$A$5:$A$500,0)),0))</f>
        <v/>
      </c>
      <c r="Q2692" s="26" t="str">
        <f aca="false">IF(OR($D2692="",$J2692&lt;&gt;"Supplier"),"",IFERROR(INDEX(SupplierRates!$E$5:$E$500,MATCH($K2692&amp;"|"&amp;$L2692,SupplierRates!$A$5:$A$500,0)),0))</f>
        <v/>
      </c>
      <c r="R2692" s="26" t="n">
        <f aca="false">IF(OR($D2692="",$J2692&lt;&gt;"Supplier"),0,F2692*P2692+G2692*Q2692)</f>
        <v>0</v>
      </c>
      <c r="S2692" s="26" t="n">
        <f aca="false">IF(OR($D2692="",$J2692&lt;&gt;"Own"),0,IFERROR((F2692+G2692*Settings!$B$13)*INDEX(Workers!$V$5:$V$2004,MATCH($D2692,Workers!$A$5:$A$2004,0)),0))</f>
        <v>0</v>
      </c>
      <c r="T2692" s="26" t="str">
        <f aca="false">IF($D2692="","",O2692-R2692-S2692)</f>
        <v/>
      </c>
    </row>
    <row r="2693" customFormat="false" ht="15" hidden="false" customHeight="false" outlineLevel="0" collapsed="false">
      <c r="I2693" s="24" t="str">
        <f aca="false">IF($D2693="","",IFERROR(INDEX(Workers!$B$5:$B$2004,MATCH($D2693,Workers!$A$5:$A$2004,0)),"NOT FOUND"))</f>
        <v/>
      </c>
      <c r="J2693" s="24" t="str">
        <f aca="false">IF($D2693="","",IFERROR(INDEX(Workers!$C$5:$C$2004,MATCH($D2693,Workers!$A$5:$A$2004,0)),""))</f>
        <v/>
      </c>
      <c r="K2693" s="24" t="str">
        <f aca="false">IF($D2693="","",IFERROR(IF(INDEX(Workers!$D$5:$D$2004,MATCH($D2693,Workers!$A$5:$A$2004,0))=0,"",INDEX(Workers!$D$5:$D$2004,MATCH($D2693,Workers!$A$5:$A$2004,0))),""))</f>
        <v/>
      </c>
      <c r="L2693" s="24" t="str">
        <f aca="false">IF($D2693="","",IFERROR(INDEX(Workers!$E$5:$E$2004,MATCH($D2693,Workers!$A$5:$A$2004,0)),""))</f>
        <v/>
      </c>
      <c r="M2693" s="26" t="str">
        <f aca="false">IF($D2693="","",IFERROR(INDEX(ClientRates!$D$5:$D$500,MATCH($B2693&amp;"|"&amp;$L2693,ClientRates!$A$5:$A$500,0)),0))</f>
        <v/>
      </c>
      <c r="N2693" s="26" t="str">
        <f aca="false">IF($D2693="","",IFERROR(INDEX(ClientRates!$E$5:$E$500,MATCH($B2693&amp;"|"&amp;$L2693,ClientRates!$A$5:$A$500,0)),0))</f>
        <v/>
      </c>
      <c r="O2693" s="26" t="str">
        <f aca="false">IF($D2693="","",F2693*M2693+G2693*N2693)</f>
        <v/>
      </c>
      <c r="P2693" s="26" t="str">
        <f aca="false">IF(OR($D2693="",$J2693&lt;&gt;"Supplier"),"",IFERROR(INDEX(SupplierRates!$D$5:$D$500,MATCH($K2693&amp;"|"&amp;$L2693,SupplierRates!$A$5:$A$500,0)),0))</f>
        <v/>
      </c>
      <c r="Q2693" s="26" t="str">
        <f aca="false">IF(OR($D2693="",$J2693&lt;&gt;"Supplier"),"",IFERROR(INDEX(SupplierRates!$E$5:$E$500,MATCH($K2693&amp;"|"&amp;$L2693,SupplierRates!$A$5:$A$500,0)),0))</f>
        <v/>
      </c>
      <c r="R2693" s="26" t="n">
        <f aca="false">IF(OR($D2693="",$J2693&lt;&gt;"Supplier"),0,F2693*P2693+G2693*Q2693)</f>
        <v>0</v>
      </c>
      <c r="S2693" s="26" t="n">
        <f aca="false">IF(OR($D2693="",$J2693&lt;&gt;"Own"),0,IFERROR((F2693+G2693*Settings!$B$13)*INDEX(Workers!$V$5:$V$2004,MATCH($D2693,Workers!$A$5:$A$2004,0)),0))</f>
        <v>0</v>
      </c>
      <c r="T2693" s="26" t="str">
        <f aca="false">IF($D2693="","",O2693-R2693-S2693)</f>
        <v/>
      </c>
    </row>
    <row r="2694" customFormat="false" ht="15" hidden="false" customHeight="false" outlineLevel="0" collapsed="false">
      <c r="I2694" s="24" t="str">
        <f aca="false">IF($D2694="","",IFERROR(INDEX(Workers!$B$5:$B$2004,MATCH($D2694,Workers!$A$5:$A$2004,0)),"NOT FOUND"))</f>
        <v/>
      </c>
      <c r="J2694" s="24" t="str">
        <f aca="false">IF($D2694="","",IFERROR(INDEX(Workers!$C$5:$C$2004,MATCH($D2694,Workers!$A$5:$A$2004,0)),""))</f>
        <v/>
      </c>
      <c r="K2694" s="24" t="str">
        <f aca="false">IF($D2694="","",IFERROR(IF(INDEX(Workers!$D$5:$D$2004,MATCH($D2694,Workers!$A$5:$A$2004,0))=0,"",INDEX(Workers!$D$5:$D$2004,MATCH($D2694,Workers!$A$5:$A$2004,0))),""))</f>
        <v/>
      </c>
      <c r="L2694" s="24" t="str">
        <f aca="false">IF($D2694="","",IFERROR(INDEX(Workers!$E$5:$E$2004,MATCH($D2694,Workers!$A$5:$A$2004,0)),""))</f>
        <v/>
      </c>
      <c r="M2694" s="26" t="str">
        <f aca="false">IF($D2694="","",IFERROR(INDEX(ClientRates!$D$5:$D$500,MATCH($B2694&amp;"|"&amp;$L2694,ClientRates!$A$5:$A$500,0)),0))</f>
        <v/>
      </c>
      <c r="N2694" s="26" t="str">
        <f aca="false">IF($D2694="","",IFERROR(INDEX(ClientRates!$E$5:$E$500,MATCH($B2694&amp;"|"&amp;$L2694,ClientRates!$A$5:$A$500,0)),0))</f>
        <v/>
      </c>
      <c r="O2694" s="26" t="str">
        <f aca="false">IF($D2694="","",F2694*M2694+G2694*N2694)</f>
        <v/>
      </c>
      <c r="P2694" s="26" t="str">
        <f aca="false">IF(OR($D2694="",$J2694&lt;&gt;"Supplier"),"",IFERROR(INDEX(SupplierRates!$D$5:$D$500,MATCH($K2694&amp;"|"&amp;$L2694,SupplierRates!$A$5:$A$500,0)),0))</f>
        <v/>
      </c>
      <c r="Q2694" s="26" t="str">
        <f aca="false">IF(OR($D2694="",$J2694&lt;&gt;"Supplier"),"",IFERROR(INDEX(SupplierRates!$E$5:$E$500,MATCH($K2694&amp;"|"&amp;$L2694,SupplierRates!$A$5:$A$500,0)),0))</f>
        <v/>
      </c>
      <c r="R2694" s="26" t="n">
        <f aca="false">IF(OR($D2694="",$J2694&lt;&gt;"Supplier"),0,F2694*P2694+G2694*Q2694)</f>
        <v>0</v>
      </c>
      <c r="S2694" s="26" t="n">
        <f aca="false">IF(OR($D2694="",$J2694&lt;&gt;"Own"),0,IFERROR((F2694+G2694*Settings!$B$13)*INDEX(Workers!$V$5:$V$2004,MATCH($D2694,Workers!$A$5:$A$2004,0)),0))</f>
        <v>0</v>
      </c>
      <c r="T2694" s="26" t="str">
        <f aca="false">IF($D2694="","",O2694-R2694-S2694)</f>
        <v/>
      </c>
    </row>
    <row r="2695" customFormat="false" ht="15" hidden="false" customHeight="false" outlineLevel="0" collapsed="false">
      <c r="I2695" s="24" t="str">
        <f aca="false">IF($D2695="","",IFERROR(INDEX(Workers!$B$5:$B$2004,MATCH($D2695,Workers!$A$5:$A$2004,0)),"NOT FOUND"))</f>
        <v/>
      </c>
      <c r="J2695" s="24" t="str">
        <f aca="false">IF($D2695="","",IFERROR(INDEX(Workers!$C$5:$C$2004,MATCH($D2695,Workers!$A$5:$A$2004,0)),""))</f>
        <v/>
      </c>
      <c r="K2695" s="24" t="str">
        <f aca="false">IF($D2695="","",IFERROR(IF(INDEX(Workers!$D$5:$D$2004,MATCH($D2695,Workers!$A$5:$A$2004,0))=0,"",INDEX(Workers!$D$5:$D$2004,MATCH($D2695,Workers!$A$5:$A$2004,0))),""))</f>
        <v/>
      </c>
      <c r="L2695" s="24" t="str">
        <f aca="false">IF($D2695="","",IFERROR(INDEX(Workers!$E$5:$E$2004,MATCH($D2695,Workers!$A$5:$A$2004,0)),""))</f>
        <v/>
      </c>
      <c r="M2695" s="26" t="str">
        <f aca="false">IF($D2695="","",IFERROR(INDEX(ClientRates!$D$5:$D$500,MATCH($B2695&amp;"|"&amp;$L2695,ClientRates!$A$5:$A$500,0)),0))</f>
        <v/>
      </c>
      <c r="N2695" s="26" t="str">
        <f aca="false">IF($D2695="","",IFERROR(INDEX(ClientRates!$E$5:$E$500,MATCH($B2695&amp;"|"&amp;$L2695,ClientRates!$A$5:$A$500,0)),0))</f>
        <v/>
      </c>
      <c r="O2695" s="26" t="str">
        <f aca="false">IF($D2695="","",F2695*M2695+G2695*N2695)</f>
        <v/>
      </c>
      <c r="P2695" s="26" t="str">
        <f aca="false">IF(OR($D2695="",$J2695&lt;&gt;"Supplier"),"",IFERROR(INDEX(SupplierRates!$D$5:$D$500,MATCH($K2695&amp;"|"&amp;$L2695,SupplierRates!$A$5:$A$500,0)),0))</f>
        <v/>
      </c>
      <c r="Q2695" s="26" t="str">
        <f aca="false">IF(OR($D2695="",$J2695&lt;&gt;"Supplier"),"",IFERROR(INDEX(SupplierRates!$E$5:$E$500,MATCH($K2695&amp;"|"&amp;$L2695,SupplierRates!$A$5:$A$500,0)),0))</f>
        <v/>
      </c>
      <c r="R2695" s="26" t="n">
        <f aca="false">IF(OR($D2695="",$J2695&lt;&gt;"Supplier"),0,F2695*P2695+G2695*Q2695)</f>
        <v>0</v>
      </c>
      <c r="S2695" s="26" t="n">
        <f aca="false">IF(OR($D2695="",$J2695&lt;&gt;"Own"),0,IFERROR((F2695+G2695*Settings!$B$13)*INDEX(Workers!$V$5:$V$2004,MATCH($D2695,Workers!$A$5:$A$2004,0)),0))</f>
        <v>0</v>
      </c>
      <c r="T2695" s="26" t="str">
        <f aca="false">IF($D2695="","",O2695-R2695-S2695)</f>
        <v/>
      </c>
    </row>
    <row r="2696" customFormat="false" ht="15" hidden="false" customHeight="false" outlineLevel="0" collapsed="false">
      <c r="I2696" s="24" t="str">
        <f aca="false">IF($D2696="","",IFERROR(INDEX(Workers!$B$5:$B$2004,MATCH($D2696,Workers!$A$5:$A$2004,0)),"NOT FOUND"))</f>
        <v/>
      </c>
      <c r="J2696" s="24" t="str">
        <f aca="false">IF($D2696="","",IFERROR(INDEX(Workers!$C$5:$C$2004,MATCH($D2696,Workers!$A$5:$A$2004,0)),""))</f>
        <v/>
      </c>
      <c r="K2696" s="24" t="str">
        <f aca="false">IF($D2696="","",IFERROR(IF(INDEX(Workers!$D$5:$D$2004,MATCH($D2696,Workers!$A$5:$A$2004,0))=0,"",INDEX(Workers!$D$5:$D$2004,MATCH($D2696,Workers!$A$5:$A$2004,0))),""))</f>
        <v/>
      </c>
      <c r="L2696" s="24" t="str">
        <f aca="false">IF($D2696="","",IFERROR(INDEX(Workers!$E$5:$E$2004,MATCH($D2696,Workers!$A$5:$A$2004,0)),""))</f>
        <v/>
      </c>
      <c r="M2696" s="26" t="str">
        <f aca="false">IF($D2696="","",IFERROR(INDEX(ClientRates!$D$5:$D$500,MATCH($B2696&amp;"|"&amp;$L2696,ClientRates!$A$5:$A$500,0)),0))</f>
        <v/>
      </c>
      <c r="N2696" s="26" t="str">
        <f aca="false">IF($D2696="","",IFERROR(INDEX(ClientRates!$E$5:$E$500,MATCH($B2696&amp;"|"&amp;$L2696,ClientRates!$A$5:$A$500,0)),0))</f>
        <v/>
      </c>
      <c r="O2696" s="26" t="str">
        <f aca="false">IF($D2696="","",F2696*M2696+G2696*N2696)</f>
        <v/>
      </c>
      <c r="P2696" s="26" t="str">
        <f aca="false">IF(OR($D2696="",$J2696&lt;&gt;"Supplier"),"",IFERROR(INDEX(SupplierRates!$D$5:$D$500,MATCH($K2696&amp;"|"&amp;$L2696,SupplierRates!$A$5:$A$500,0)),0))</f>
        <v/>
      </c>
      <c r="Q2696" s="26" t="str">
        <f aca="false">IF(OR($D2696="",$J2696&lt;&gt;"Supplier"),"",IFERROR(INDEX(SupplierRates!$E$5:$E$500,MATCH($K2696&amp;"|"&amp;$L2696,SupplierRates!$A$5:$A$500,0)),0))</f>
        <v/>
      </c>
      <c r="R2696" s="26" t="n">
        <f aca="false">IF(OR($D2696="",$J2696&lt;&gt;"Supplier"),0,F2696*P2696+G2696*Q2696)</f>
        <v>0</v>
      </c>
      <c r="S2696" s="26" t="n">
        <f aca="false">IF(OR($D2696="",$J2696&lt;&gt;"Own"),0,IFERROR((F2696+G2696*Settings!$B$13)*INDEX(Workers!$V$5:$V$2004,MATCH($D2696,Workers!$A$5:$A$2004,0)),0))</f>
        <v>0</v>
      </c>
      <c r="T2696" s="26" t="str">
        <f aca="false">IF($D2696="","",O2696-R2696-S2696)</f>
        <v/>
      </c>
    </row>
    <row r="2697" customFormat="false" ht="15" hidden="false" customHeight="false" outlineLevel="0" collapsed="false">
      <c r="I2697" s="24" t="str">
        <f aca="false">IF($D2697="","",IFERROR(INDEX(Workers!$B$5:$B$2004,MATCH($D2697,Workers!$A$5:$A$2004,0)),"NOT FOUND"))</f>
        <v/>
      </c>
      <c r="J2697" s="24" t="str">
        <f aca="false">IF($D2697="","",IFERROR(INDEX(Workers!$C$5:$C$2004,MATCH($D2697,Workers!$A$5:$A$2004,0)),""))</f>
        <v/>
      </c>
      <c r="K2697" s="24" t="str">
        <f aca="false">IF($D2697="","",IFERROR(IF(INDEX(Workers!$D$5:$D$2004,MATCH($D2697,Workers!$A$5:$A$2004,0))=0,"",INDEX(Workers!$D$5:$D$2004,MATCH($D2697,Workers!$A$5:$A$2004,0))),""))</f>
        <v/>
      </c>
      <c r="L2697" s="24" t="str">
        <f aca="false">IF($D2697="","",IFERROR(INDEX(Workers!$E$5:$E$2004,MATCH($D2697,Workers!$A$5:$A$2004,0)),""))</f>
        <v/>
      </c>
      <c r="M2697" s="26" t="str">
        <f aca="false">IF($D2697="","",IFERROR(INDEX(ClientRates!$D$5:$D$500,MATCH($B2697&amp;"|"&amp;$L2697,ClientRates!$A$5:$A$500,0)),0))</f>
        <v/>
      </c>
      <c r="N2697" s="26" t="str">
        <f aca="false">IF($D2697="","",IFERROR(INDEX(ClientRates!$E$5:$E$500,MATCH($B2697&amp;"|"&amp;$L2697,ClientRates!$A$5:$A$500,0)),0))</f>
        <v/>
      </c>
      <c r="O2697" s="26" t="str">
        <f aca="false">IF($D2697="","",F2697*M2697+G2697*N2697)</f>
        <v/>
      </c>
      <c r="P2697" s="26" t="str">
        <f aca="false">IF(OR($D2697="",$J2697&lt;&gt;"Supplier"),"",IFERROR(INDEX(SupplierRates!$D$5:$D$500,MATCH($K2697&amp;"|"&amp;$L2697,SupplierRates!$A$5:$A$500,0)),0))</f>
        <v/>
      </c>
      <c r="Q2697" s="26" t="str">
        <f aca="false">IF(OR($D2697="",$J2697&lt;&gt;"Supplier"),"",IFERROR(INDEX(SupplierRates!$E$5:$E$500,MATCH($K2697&amp;"|"&amp;$L2697,SupplierRates!$A$5:$A$500,0)),0))</f>
        <v/>
      </c>
      <c r="R2697" s="26" t="n">
        <f aca="false">IF(OR($D2697="",$J2697&lt;&gt;"Supplier"),0,F2697*P2697+G2697*Q2697)</f>
        <v>0</v>
      </c>
      <c r="S2697" s="26" t="n">
        <f aca="false">IF(OR($D2697="",$J2697&lt;&gt;"Own"),0,IFERROR((F2697+G2697*Settings!$B$13)*INDEX(Workers!$V$5:$V$2004,MATCH($D2697,Workers!$A$5:$A$2004,0)),0))</f>
        <v>0</v>
      </c>
      <c r="T2697" s="26" t="str">
        <f aca="false">IF($D2697="","",O2697-R2697-S2697)</f>
        <v/>
      </c>
    </row>
    <row r="2698" customFormat="false" ht="15" hidden="false" customHeight="false" outlineLevel="0" collapsed="false">
      <c r="I2698" s="24" t="str">
        <f aca="false">IF($D2698="","",IFERROR(INDEX(Workers!$B$5:$B$2004,MATCH($D2698,Workers!$A$5:$A$2004,0)),"NOT FOUND"))</f>
        <v/>
      </c>
      <c r="J2698" s="24" t="str">
        <f aca="false">IF($D2698="","",IFERROR(INDEX(Workers!$C$5:$C$2004,MATCH($D2698,Workers!$A$5:$A$2004,0)),""))</f>
        <v/>
      </c>
      <c r="K2698" s="24" t="str">
        <f aca="false">IF($D2698="","",IFERROR(IF(INDEX(Workers!$D$5:$D$2004,MATCH($D2698,Workers!$A$5:$A$2004,0))=0,"",INDEX(Workers!$D$5:$D$2004,MATCH($D2698,Workers!$A$5:$A$2004,0))),""))</f>
        <v/>
      </c>
      <c r="L2698" s="24" t="str">
        <f aca="false">IF($D2698="","",IFERROR(INDEX(Workers!$E$5:$E$2004,MATCH($D2698,Workers!$A$5:$A$2004,0)),""))</f>
        <v/>
      </c>
      <c r="M2698" s="26" t="str">
        <f aca="false">IF($D2698="","",IFERROR(INDEX(ClientRates!$D$5:$D$500,MATCH($B2698&amp;"|"&amp;$L2698,ClientRates!$A$5:$A$500,0)),0))</f>
        <v/>
      </c>
      <c r="N2698" s="26" t="str">
        <f aca="false">IF($D2698="","",IFERROR(INDEX(ClientRates!$E$5:$E$500,MATCH($B2698&amp;"|"&amp;$L2698,ClientRates!$A$5:$A$500,0)),0))</f>
        <v/>
      </c>
      <c r="O2698" s="26" t="str">
        <f aca="false">IF($D2698="","",F2698*M2698+G2698*N2698)</f>
        <v/>
      </c>
      <c r="P2698" s="26" t="str">
        <f aca="false">IF(OR($D2698="",$J2698&lt;&gt;"Supplier"),"",IFERROR(INDEX(SupplierRates!$D$5:$D$500,MATCH($K2698&amp;"|"&amp;$L2698,SupplierRates!$A$5:$A$500,0)),0))</f>
        <v/>
      </c>
      <c r="Q2698" s="26" t="str">
        <f aca="false">IF(OR($D2698="",$J2698&lt;&gt;"Supplier"),"",IFERROR(INDEX(SupplierRates!$E$5:$E$500,MATCH($K2698&amp;"|"&amp;$L2698,SupplierRates!$A$5:$A$500,0)),0))</f>
        <v/>
      </c>
      <c r="R2698" s="26" t="n">
        <f aca="false">IF(OR($D2698="",$J2698&lt;&gt;"Supplier"),0,F2698*P2698+G2698*Q2698)</f>
        <v>0</v>
      </c>
      <c r="S2698" s="26" t="n">
        <f aca="false">IF(OR($D2698="",$J2698&lt;&gt;"Own"),0,IFERROR((F2698+G2698*Settings!$B$13)*INDEX(Workers!$V$5:$V$2004,MATCH($D2698,Workers!$A$5:$A$2004,0)),0))</f>
        <v>0</v>
      </c>
      <c r="T2698" s="26" t="str">
        <f aca="false">IF($D2698="","",O2698-R2698-S2698)</f>
        <v/>
      </c>
    </row>
    <row r="2699" customFormat="false" ht="15" hidden="false" customHeight="false" outlineLevel="0" collapsed="false">
      <c r="I2699" s="24" t="str">
        <f aca="false">IF($D2699="","",IFERROR(INDEX(Workers!$B$5:$B$2004,MATCH($D2699,Workers!$A$5:$A$2004,0)),"NOT FOUND"))</f>
        <v/>
      </c>
      <c r="J2699" s="24" t="str">
        <f aca="false">IF($D2699="","",IFERROR(INDEX(Workers!$C$5:$C$2004,MATCH($D2699,Workers!$A$5:$A$2004,0)),""))</f>
        <v/>
      </c>
      <c r="K2699" s="24" t="str">
        <f aca="false">IF($D2699="","",IFERROR(IF(INDEX(Workers!$D$5:$D$2004,MATCH($D2699,Workers!$A$5:$A$2004,0))=0,"",INDEX(Workers!$D$5:$D$2004,MATCH($D2699,Workers!$A$5:$A$2004,0))),""))</f>
        <v/>
      </c>
      <c r="L2699" s="24" t="str">
        <f aca="false">IF($D2699="","",IFERROR(INDEX(Workers!$E$5:$E$2004,MATCH($D2699,Workers!$A$5:$A$2004,0)),""))</f>
        <v/>
      </c>
      <c r="M2699" s="26" t="str">
        <f aca="false">IF($D2699="","",IFERROR(INDEX(ClientRates!$D$5:$D$500,MATCH($B2699&amp;"|"&amp;$L2699,ClientRates!$A$5:$A$500,0)),0))</f>
        <v/>
      </c>
      <c r="N2699" s="26" t="str">
        <f aca="false">IF($D2699="","",IFERROR(INDEX(ClientRates!$E$5:$E$500,MATCH($B2699&amp;"|"&amp;$L2699,ClientRates!$A$5:$A$500,0)),0))</f>
        <v/>
      </c>
      <c r="O2699" s="26" t="str">
        <f aca="false">IF($D2699="","",F2699*M2699+G2699*N2699)</f>
        <v/>
      </c>
      <c r="P2699" s="26" t="str">
        <f aca="false">IF(OR($D2699="",$J2699&lt;&gt;"Supplier"),"",IFERROR(INDEX(SupplierRates!$D$5:$D$500,MATCH($K2699&amp;"|"&amp;$L2699,SupplierRates!$A$5:$A$500,0)),0))</f>
        <v/>
      </c>
      <c r="Q2699" s="26" t="str">
        <f aca="false">IF(OR($D2699="",$J2699&lt;&gt;"Supplier"),"",IFERROR(INDEX(SupplierRates!$E$5:$E$500,MATCH($K2699&amp;"|"&amp;$L2699,SupplierRates!$A$5:$A$500,0)),0))</f>
        <v/>
      </c>
      <c r="R2699" s="26" t="n">
        <f aca="false">IF(OR($D2699="",$J2699&lt;&gt;"Supplier"),0,F2699*P2699+G2699*Q2699)</f>
        <v>0</v>
      </c>
      <c r="S2699" s="26" t="n">
        <f aca="false">IF(OR($D2699="",$J2699&lt;&gt;"Own"),0,IFERROR((F2699+G2699*Settings!$B$13)*INDEX(Workers!$V$5:$V$2004,MATCH($D2699,Workers!$A$5:$A$2004,0)),0))</f>
        <v>0</v>
      </c>
      <c r="T2699" s="26" t="str">
        <f aca="false">IF($D2699="","",O2699-R2699-S2699)</f>
        <v/>
      </c>
    </row>
    <row r="2700" customFormat="false" ht="15" hidden="false" customHeight="false" outlineLevel="0" collapsed="false">
      <c r="I2700" s="24" t="str">
        <f aca="false">IF($D2700="","",IFERROR(INDEX(Workers!$B$5:$B$2004,MATCH($D2700,Workers!$A$5:$A$2004,0)),"NOT FOUND"))</f>
        <v/>
      </c>
      <c r="J2700" s="24" t="str">
        <f aca="false">IF($D2700="","",IFERROR(INDEX(Workers!$C$5:$C$2004,MATCH($D2700,Workers!$A$5:$A$2004,0)),""))</f>
        <v/>
      </c>
      <c r="K2700" s="24" t="str">
        <f aca="false">IF($D2700="","",IFERROR(IF(INDEX(Workers!$D$5:$D$2004,MATCH($D2700,Workers!$A$5:$A$2004,0))=0,"",INDEX(Workers!$D$5:$D$2004,MATCH($D2700,Workers!$A$5:$A$2004,0))),""))</f>
        <v/>
      </c>
      <c r="L2700" s="24" t="str">
        <f aca="false">IF($D2700="","",IFERROR(INDEX(Workers!$E$5:$E$2004,MATCH($D2700,Workers!$A$5:$A$2004,0)),""))</f>
        <v/>
      </c>
      <c r="M2700" s="26" t="str">
        <f aca="false">IF($D2700="","",IFERROR(INDEX(ClientRates!$D$5:$D$500,MATCH($B2700&amp;"|"&amp;$L2700,ClientRates!$A$5:$A$500,0)),0))</f>
        <v/>
      </c>
      <c r="N2700" s="26" t="str">
        <f aca="false">IF($D2700="","",IFERROR(INDEX(ClientRates!$E$5:$E$500,MATCH($B2700&amp;"|"&amp;$L2700,ClientRates!$A$5:$A$500,0)),0))</f>
        <v/>
      </c>
      <c r="O2700" s="26" t="str">
        <f aca="false">IF($D2700="","",F2700*M2700+G2700*N2700)</f>
        <v/>
      </c>
      <c r="P2700" s="26" t="str">
        <f aca="false">IF(OR($D2700="",$J2700&lt;&gt;"Supplier"),"",IFERROR(INDEX(SupplierRates!$D$5:$D$500,MATCH($K2700&amp;"|"&amp;$L2700,SupplierRates!$A$5:$A$500,0)),0))</f>
        <v/>
      </c>
      <c r="Q2700" s="26" t="str">
        <f aca="false">IF(OR($D2700="",$J2700&lt;&gt;"Supplier"),"",IFERROR(INDEX(SupplierRates!$E$5:$E$500,MATCH($K2700&amp;"|"&amp;$L2700,SupplierRates!$A$5:$A$500,0)),0))</f>
        <v/>
      </c>
      <c r="R2700" s="26" t="n">
        <f aca="false">IF(OR($D2700="",$J2700&lt;&gt;"Supplier"),0,F2700*P2700+G2700*Q2700)</f>
        <v>0</v>
      </c>
      <c r="S2700" s="26" t="n">
        <f aca="false">IF(OR($D2700="",$J2700&lt;&gt;"Own"),0,IFERROR((F2700+G2700*Settings!$B$13)*INDEX(Workers!$V$5:$V$2004,MATCH($D2700,Workers!$A$5:$A$2004,0)),0))</f>
        <v>0</v>
      </c>
      <c r="T2700" s="26" t="str">
        <f aca="false">IF($D2700="","",O2700-R2700-S2700)</f>
        <v/>
      </c>
    </row>
    <row r="2701" customFormat="false" ht="15" hidden="false" customHeight="false" outlineLevel="0" collapsed="false">
      <c r="I2701" s="24" t="str">
        <f aca="false">IF($D2701="","",IFERROR(INDEX(Workers!$B$5:$B$2004,MATCH($D2701,Workers!$A$5:$A$2004,0)),"NOT FOUND"))</f>
        <v/>
      </c>
      <c r="J2701" s="24" t="str">
        <f aca="false">IF($D2701="","",IFERROR(INDEX(Workers!$C$5:$C$2004,MATCH($D2701,Workers!$A$5:$A$2004,0)),""))</f>
        <v/>
      </c>
      <c r="K2701" s="24" t="str">
        <f aca="false">IF($D2701="","",IFERROR(IF(INDEX(Workers!$D$5:$D$2004,MATCH($D2701,Workers!$A$5:$A$2004,0))=0,"",INDEX(Workers!$D$5:$D$2004,MATCH($D2701,Workers!$A$5:$A$2004,0))),""))</f>
        <v/>
      </c>
      <c r="L2701" s="24" t="str">
        <f aca="false">IF($D2701="","",IFERROR(INDEX(Workers!$E$5:$E$2004,MATCH($D2701,Workers!$A$5:$A$2004,0)),""))</f>
        <v/>
      </c>
      <c r="M2701" s="26" t="str">
        <f aca="false">IF($D2701="","",IFERROR(INDEX(ClientRates!$D$5:$D$500,MATCH($B2701&amp;"|"&amp;$L2701,ClientRates!$A$5:$A$500,0)),0))</f>
        <v/>
      </c>
      <c r="N2701" s="26" t="str">
        <f aca="false">IF($D2701="","",IFERROR(INDEX(ClientRates!$E$5:$E$500,MATCH($B2701&amp;"|"&amp;$L2701,ClientRates!$A$5:$A$500,0)),0))</f>
        <v/>
      </c>
      <c r="O2701" s="26" t="str">
        <f aca="false">IF($D2701="","",F2701*M2701+G2701*N2701)</f>
        <v/>
      </c>
      <c r="P2701" s="26" t="str">
        <f aca="false">IF(OR($D2701="",$J2701&lt;&gt;"Supplier"),"",IFERROR(INDEX(SupplierRates!$D$5:$D$500,MATCH($K2701&amp;"|"&amp;$L2701,SupplierRates!$A$5:$A$500,0)),0))</f>
        <v/>
      </c>
      <c r="Q2701" s="26" t="str">
        <f aca="false">IF(OR($D2701="",$J2701&lt;&gt;"Supplier"),"",IFERROR(INDEX(SupplierRates!$E$5:$E$500,MATCH($K2701&amp;"|"&amp;$L2701,SupplierRates!$A$5:$A$500,0)),0))</f>
        <v/>
      </c>
      <c r="R2701" s="26" t="n">
        <f aca="false">IF(OR($D2701="",$J2701&lt;&gt;"Supplier"),0,F2701*P2701+G2701*Q2701)</f>
        <v>0</v>
      </c>
      <c r="S2701" s="26" t="n">
        <f aca="false">IF(OR($D2701="",$J2701&lt;&gt;"Own"),0,IFERROR((F2701+G2701*Settings!$B$13)*INDEX(Workers!$V$5:$V$2004,MATCH($D2701,Workers!$A$5:$A$2004,0)),0))</f>
        <v>0</v>
      </c>
      <c r="T2701" s="26" t="str">
        <f aca="false">IF($D2701="","",O2701-R2701-S2701)</f>
        <v/>
      </c>
    </row>
    <row r="2702" customFormat="false" ht="15" hidden="false" customHeight="false" outlineLevel="0" collapsed="false">
      <c r="I2702" s="24" t="str">
        <f aca="false">IF($D2702="","",IFERROR(INDEX(Workers!$B$5:$B$2004,MATCH($D2702,Workers!$A$5:$A$2004,0)),"NOT FOUND"))</f>
        <v/>
      </c>
      <c r="J2702" s="24" t="str">
        <f aca="false">IF($D2702="","",IFERROR(INDEX(Workers!$C$5:$C$2004,MATCH($D2702,Workers!$A$5:$A$2004,0)),""))</f>
        <v/>
      </c>
      <c r="K2702" s="24" t="str">
        <f aca="false">IF($D2702="","",IFERROR(IF(INDEX(Workers!$D$5:$D$2004,MATCH($D2702,Workers!$A$5:$A$2004,0))=0,"",INDEX(Workers!$D$5:$D$2004,MATCH($D2702,Workers!$A$5:$A$2004,0))),""))</f>
        <v/>
      </c>
      <c r="L2702" s="24" t="str">
        <f aca="false">IF($D2702="","",IFERROR(INDEX(Workers!$E$5:$E$2004,MATCH($D2702,Workers!$A$5:$A$2004,0)),""))</f>
        <v/>
      </c>
      <c r="M2702" s="26" t="str">
        <f aca="false">IF($D2702="","",IFERROR(INDEX(ClientRates!$D$5:$D$500,MATCH($B2702&amp;"|"&amp;$L2702,ClientRates!$A$5:$A$500,0)),0))</f>
        <v/>
      </c>
      <c r="N2702" s="26" t="str">
        <f aca="false">IF($D2702="","",IFERROR(INDEX(ClientRates!$E$5:$E$500,MATCH($B2702&amp;"|"&amp;$L2702,ClientRates!$A$5:$A$500,0)),0))</f>
        <v/>
      </c>
      <c r="O2702" s="26" t="str">
        <f aca="false">IF($D2702="","",F2702*M2702+G2702*N2702)</f>
        <v/>
      </c>
      <c r="P2702" s="26" t="str">
        <f aca="false">IF(OR($D2702="",$J2702&lt;&gt;"Supplier"),"",IFERROR(INDEX(SupplierRates!$D$5:$D$500,MATCH($K2702&amp;"|"&amp;$L2702,SupplierRates!$A$5:$A$500,0)),0))</f>
        <v/>
      </c>
      <c r="Q2702" s="26" t="str">
        <f aca="false">IF(OR($D2702="",$J2702&lt;&gt;"Supplier"),"",IFERROR(INDEX(SupplierRates!$E$5:$E$500,MATCH($K2702&amp;"|"&amp;$L2702,SupplierRates!$A$5:$A$500,0)),0))</f>
        <v/>
      </c>
      <c r="R2702" s="26" t="n">
        <f aca="false">IF(OR($D2702="",$J2702&lt;&gt;"Supplier"),0,F2702*P2702+G2702*Q2702)</f>
        <v>0</v>
      </c>
      <c r="S2702" s="26" t="n">
        <f aca="false">IF(OR($D2702="",$J2702&lt;&gt;"Own"),0,IFERROR((F2702+G2702*Settings!$B$13)*INDEX(Workers!$V$5:$V$2004,MATCH($D2702,Workers!$A$5:$A$2004,0)),0))</f>
        <v>0</v>
      </c>
      <c r="T2702" s="26" t="str">
        <f aca="false">IF($D2702="","",O2702-R2702-S2702)</f>
        <v/>
      </c>
    </row>
    <row r="2703" customFormat="false" ht="15" hidden="false" customHeight="false" outlineLevel="0" collapsed="false">
      <c r="I2703" s="24" t="str">
        <f aca="false">IF($D2703="","",IFERROR(INDEX(Workers!$B$5:$B$2004,MATCH($D2703,Workers!$A$5:$A$2004,0)),"NOT FOUND"))</f>
        <v/>
      </c>
      <c r="J2703" s="24" t="str">
        <f aca="false">IF($D2703="","",IFERROR(INDEX(Workers!$C$5:$C$2004,MATCH($D2703,Workers!$A$5:$A$2004,0)),""))</f>
        <v/>
      </c>
      <c r="K2703" s="24" t="str">
        <f aca="false">IF($D2703="","",IFERROR(IF(INDEX(Workers!$D$5:$D$2004,MATCH($D2703,Workers!$A$5:$A$2004,0))=0,"",INDEX(Workers!$D$5:$D$2004,MATCH($D2703,Workers!$A$5:$A$2004,0))),""))</f>
        <v/>
      </c>
      <c r="L2703" s="24" t="str">
        <f aca="false">IF($D2703="","",IFERROR(INDEX(Workers!$E$5:$E$2004,MATCH($D2703,Workers!$A$5:$A$2004,0)),""))</f>
        <v/>
      </c>
      <c r="M2703" s="26" t="str">
        <f aca="false">IF($D2703="","",IFERROR(INDEX(ClientRates!$D$5:$D$500,MATCH($B2703&amp;"|"&amp;$L2703,ClientRates!$A$5:$A$500,0)),0))</f>
        <v/>
      </c>
      <c r="N2703" s="26" t="str">
        <f aca="false">IF($D2703="","",IFERROR(INDEX(ClientRates!$E$5:$E$500,MATCH($B2703&amp;"|"&amp;$L2703,ClientRates!$A$5:$A$500,0)),0))</f>
        <v/>
      </c>
      <c r="O2703" s="26" t="str">
        <f aca="false">IF($D2703="","",F2703*M2703+G2703*N2703)</f>
        <v/>
      </c>
      <c r="P2703" s="26" t="str">
        <f aca="false">IF(OR($D2703="",$J2703&lt;&gt;"Supplier"),"",IFERROR(INDEX(SupplierRates!$D$5:$D$500,MATCH($K2703&amp;"|"&amp;$L2703,SupplierRates!$A$5:$A$500,0)),0))</f>
        <v/>
      </c>
      <c r="Q2703" s="26" t="str">
        <f aca="false">IF(OR($D2703="",$J2703&lt;&gt;"Supplier"),"",IFERROR(INDEX(SupplierRates!$E$5:$E$500,MATCH($K2703&amp;"|"&amp;$L2703,SupplierRates!$A$5:$A$500,0)),0))</f>
        <v/>
      </c>
      <c r="R2703" s="26" t="n">
        <f aca="false">IF(OR($D2703="",$J2703&lt;&gt;"Supplier"),0,F2703*P2703+G2703*Q2703)</f>
        <v>0</v>
      </c>
      <c r="S2703" s="26" t="n">
        <f aca="false">IF(OR($D2703="",$J2703&lt;&gt;"Own"),0,IFERROR((F2703+G2703*Settings!$B$13)*INDEX(Workers!$V$5:$V$2004,MATCH($D2703,Workers!$A$5:$A$2004,0)),0))</f>
        <v>0</v>
      </c>
      <c r="T2703" s="26" t="str">
        <f aca="false">IF($D2703="","",O2703-R2703-S2703)</f>
        <v/>
      </c>
    </row>
    <row r="2704" customFormat="false" ht="15" hidden="false" customHeight="false" outlineLevel="0" collapsed="false">
      <c r="I2704" s="24" t="str">
        <f aca="false">IF($D2704="","",IFERROR(INDEX(Workers!$B$5:$B$2004,MATCH($D2704,Workers!$A$5:$A$2004,0)),"NOT FOUND"))</f>
        <v/>
      </c>
      <c r="J2704" s="24" t="str">
        <f aca="false">IF($D2704="","",IFERROR(INDEX(Workers!$C$5:$C$2004,MATCH($D2704,Workers!$A$5:$A$2004,0)),""))</f>
        <v/>
      </c>
      <c r="K2704" s="24" t="str">
        <f aca="false">IF($D2704="","",IFERROR(IF(INDEX(Workers!$D$5:$D$2004,MATCH($D2704,Workers!$A$5:$A$2004,0))=0,"",INDEX(Workers!$D$5:$D$2004,MATCH($D2704,Workers!$A$5:$A$2004,0))),""))</f>
        <v/>
      </c>
      <c r="L2704" s="24" t="str">
        <f aca="false">IF($D2704="","",IFERROR(INDEX(Workers!$E$5:$E$2004,MATCH($D2704,Workers!$A$5:$A$2004,0)),""))</f>
        <v/>
      </c>
      <c r="M2704" s="26" t="str">
        <f aca="false">IF($D2704="","",IFERROR(INDEX(ClientRates!$D$5:$D$500,MATCH($B2704&amp;"|"&amp;$L2704,ClientRates!$A$5:$A$500,0)),0))</f>
        <v/>
      </c>
      <c r="N2704" s="26" t="str">
        <f aca="false">IF($D2704="","",IFERROR(INDEX(ClientRates!$E$5:$E$500,MATCH($B2704&amp;"|"&amp;$L2704,ClientRates!$A$5:$A$500,0)),0))</f>
        <v/>
      </c>
      <c r="O2704" s="26" t="str">
        <f aca="false">IF($D2704="","",F2704*M2704+G2704*N2704)</f>
        <v/>
      </c>
      <c r="P2704" s="26" t="str">
        <f aca="false">IF(OR($D2704="",$J2704&lt;&gt;"Supplier"),"",IFERROR(INDEX(SupplierRates!$D$5:$D$500,MATCH($K2704&amp;"|"&amp;$L2704,SupplierRates!$A$5:$A$500,0)),0))</f>
        <v/>
      </c>
      <c r="Q2704" s="26" t="str">
        <f aca="false">IF(OR($D2704="",$J2704&lt;&gt;"Supplier"),"",IFERROR(INDEX(SupplierRates!$E$5:$E$500,MATCH($K2704&amp;"|"&amp;$L2704,SupplierRates!$A$5:$A$500,0)),0))</f>
        <v/>
      </c>
      <c r="R2704" s="26" t="n">
        <f aca="false">IF(OR($D2704="",$J2704&lt;&gt;"Supplier"),0,F2704*P2704+G2704*Q2704)</f>
        <v>0</v>
      </c>
      <c r="S2704" s="26" t="n">
        <f aca="false">IF(OR($D2704="",$J2704&lt;&gt;"Own"),0,IFERROR((F2704+G2704*Settings!$B$13)*INDEX(Workers!$V$5:$V$2004,MATCH($D2704,Workers!$A$5:$A$2004,0)),0))</f>
        <v>0</v>
      </c>
      <c r="T2704" s="26" t="str">
        <f aca="false">IF($D2704="","",O2704-R2704-S2704)</f>
        <v/>
      </c>
    </row>
    <row r="2705" customFormat="false" ht="15" hidden="false" customHeight="false" outlineLevel="0" collapsed="false">
      <c r="I2705" s="24" t="str">
        <f aca="false">IF($D2705="","",IFERROR(INDEX(Workers!$B$5:$B$2004,MATCH($D2705,Workers!$A$5:$A$2004,0)),"NOT FOUND"))</f>
        <v/>
      </c>
      <c r="J2705" s="24" t="str">
        <f aca="false">IF($D2705="","",IFERROR(INDEX(Workers!$C$5:$C$2004,MATCH($D2705,Workers!$A$5:$A$2004,0)),""))</f>
        <v/>
      </c>
      <c r="K2705" s="24" t="str">
        <f aca="false">IF($D2705="","",IFERROR(IF(INDEX(Workers!$D$5:$D$2004,MATCH($D2705,Workers!$A$5:$A$2004,0))=0,"",INDEX(Workers!$D$5:$D$2004,MATCH($D2705,Workers!$A$5:$A$2004,0))),""))</f>
        <v/>
      </c>
      <c r="L2705" s="24" t="str">
        <f aca="false">IF($D2705="","",IFERROR(INDEX(Workers!$E$5:$E$2004,MATCH($D2705,Workers!$A$5:$A$2004,0)),""))</f>
        <v/>
      </c>
      <c r="M2705" s="26" t="str">
        <f aca="false">IF($D2705="","",IFERROR(INDEX(ClientRates!$D$5:$D$500,MATCH($B2705&amp;"|"&amp;$L2705,ClientRates!$A$5:$A$500,0)),0))</f>
        <v/>
      </c>
      <c r="N2705" s="26" t="str">
        <f aca="false">IF($D2705="","",IFERROR(INDEX(ClientRates!$E$5:$E$500,MATCH($B2705&amp;"|"&amp;$L2705,ClientRates!$A$5:$A$500,0)),0))</f>
        <v/>
      </c>
      <c r="O2705" s="26" t="str">
        <f aca="false">IF($D2705="","",F2705*M2705+G2705*N2705)</f>
        <v/>
      </c>
      <c r="P2705" s="26" t="str">
        <f aca="false">IF(OR($D2705="",$J2705&lt;&gt;"Supplier"),"",IFERROR(INDEX(SupplierRates!$D$5:$D$500,MATCH($K2705&amp;"|"&amp;$L2705,SupplierRates!$A$5:$A$500,0)),0))</f>
        <v/>
      </c>
      <c r="Q2705" s="26" t="str">
        <f aca="false">IF(OR($D2705="",$J2705&lt;&gt;"Supplier"),"",IFERROR(INDEX(SupplierRates!$E$5:$E$500,MATCH($K2705&amp;"|"&amp;$L2705,SupplierRates!$A$5:$A$500,0)),0))</f>
        <v/>
      </c>
      <c r="R2705" s="26" t="n">
        <f aca="false">IF(OR($D2705="",$J2705&lt;&gt;"Supplier"),0,F2705*P2705+G2705*Q2705)</f>
        <v>0</v>
      </c>
      <c r="S2705" s="26" t="n">
        <f aca="false">IF(OR($D2705="",$J2705&lt;&gt;"Own"),0,IFERROR((F2705+G2705*Settings!$B$13)*INDEX(Workers!$V$5:$V$2004,MATCH($D2705,Workers!$A$5:$A$2004,0)),0))</f>
        <v>0</v>
      </c>
      <c r="T2705" s="26" t="str">
        <f aca="false">IF($D2705="","",O2705-R2705-S2705)</f>
        <v/>
      </c>
    </row>
    <row r="2706" customFormat="false" ht="15" hidden="false" customHeight="false" outlineLevel="0" collapsed="false">
      <c r="I2706" s="24" t="str">
        <f aca="false">IF($D2706="","",IFERROR(INDEX(Workers!$B$5:$B$2004,MATCH($D2706,Workers!$A$5:$A$2004,0)),"NOT FOUND"))</f>
        <v/>
      </c>
      <c r="J2706" s="24" t="str">
        <f aca="false">IF($D2706="","",IFERROR(INDEX(Workers!$C$5:$C$2004,MATCH($D2706,Workers!$A$5:$A$2004,0)),""))</f>
        <v/>
      </c>
      <c r="K2706" s="24" t="str">
        <f aca="false">IF($D2706="","",IFERROR(IF(INDEX(Workers!$D$5:$D$2004,MATCH($D2706,Workers!$A$5:$A$2004,0))=0,"",INDEX(Workers!$D$5:$D$2004,MATCH($D2706,Workers!$A$5:$A$2004,0))),""))</f>
        <v/>
      </c>
      <c r="L2706" s="24" t="str">
        <f aca="false">IF($D2706="","",IFERROR(INDEX(Workers!$E$5:$E$2004,MATCH($D2706,Workers!$A$5:$A$2004,0)),""))</f>
        <v/>
      </c>
      <c r="M2706" s="26" t="str">
        <f aca="false">IF($D2706="","",IFERROR(INDEX(ClientRates!$D$5:$D$500,MATCH($B2706&amp;"|"&amp;$L2706,ClientRates!$A$5:$A$500,0)),0))</f>
        <v/>
      </c>
      <c r="N2706" s="26" t="str">
        <f aca="false">IF($D2706="","",IFERROR(INDEX(ClientRates!$E$5:$E$500,MATCH($B2706&amp;"|"&amp;$L2706,ClientRates!$A$5:$A$500,0)),0))</f>
        <v/>
      </c>
      <c r="O2706" s="26" t="str">
        <f aca="false">IF($D2706="","",F2706*M2706+G2706*N2706)</f>
        <v/>
      </c>
      <c r="P2706" s="26" t="str">
        <f aca="false">IF(OR($D2706="",$J2706&lt;&gt;"Supplier"),"",IFERROR(INDEX(SupplierRates!$D$5:$D$500,MATCH($K2706&amp;"|"&amp;$L2706,SupplierRates!$A$5:$A$500,0)),0))</f>
        <v/>
      </c>
      <c r="Q2706" s="26" t="str">
        <f aca="false">IF(OR($D2706="",$J2706&lt;&gt;"Supplier"),"",IFERROR(INDEX(SupplierRates!$E$5:$E$500,MATCH($K2706&amp;"|"&amp;$L2706,SupplierRates!$A$5:$A$500,0)),0))</f>
        <v/>
      </c>
      <c r="R2706" s="26" t="n">
        <f aca="false">IF(OR($D2706="",$J2706&lt;&gt;"Supplier"),0,F2706*P2706+G2706*Q2706)</f>
        <v>0</v>
      </c>
      <c r="S2706" s="26" t="n">
        <f aca="false">IF(OR($D2706="",$J2706&lt;&gt;"Own"),0,IFERROR((F2706+G2706*Settings!$B$13)*INDEX(Workers!$V$5:$V$2004,MATCH($D2706,Workers!$A$5:$A$2004,0)),0))</f>
        <v>0</v>
      </c>
      <c r="T2706" s="26" t="str">
        <f aca="false">IF($D2706="","",O2706-R2706-S2706)</f>
        <v/>
      </c>
    </row>
    <row r="2707" customFormat="false" ht="15" hidden="false" customHeight="false" outlineLevel="0" collapsed="false">
      <c r="I2707" s="24" t="str">
        <f aca="false">IF($D2707="","",IFERROR(INDEX(Workers!$B$5:$B$2004,MATCH($D2707,Workers!$A$5:$A$2004,0)),"NOT FOUND"))</f>
        <v/>
      </c>
      <c r="J2707" s="24" t="str">
        <f aca="false">IF($D2707="","",IFERROR(INDEX(Workers!$C$5:$C$2004,MATCH($D2707,Workers!$A$5:$A$2004,0)),""))</f>
        <v/>
      </c>
      <c r="K2707" s="24" t="str">
        <f aca="false">IF($D2707="","",IFERROR(IF(INDEX(Workers!$D$5:$D$2004,MATCH($D2707,Workers!$A$5:$A$2004,0))=0,"",INDEX(Workers!$D$5:$D$2004,MATCH($D2707,Workers!$A$5:$A$2004,0))),""))</f>
        <v/>
      </c>
      <c r="L2707" s="24" t="str">
        <f aca="false">IF($D2707="","",IFERROR(INDEX(Workers!$E$5:$E$2004,MATCH($D2707,Workers!$A$5:$A$2004,0)),""))</f>
        <v/>
      </c>
      <c r="M2707" s="26" t="str">
        <f aca="false">IF($D2707="","",IFERROR(INDEX(ClientRates!$D$5:$D$500,MATCH($B2707&amp;"|"&amp;$L2707,ClientRates!$A$5:$A$500,0)),0))</f>
        <v/>
      </c>
      <c r="N2707" s="26" t="str">
        <f aca="false">IF($D2707="","",IFERROR(INDEX(ClientRates!$E$5:$E$500,MATCH($B2707&amp;"|"&amp;$L2707,ClientRates!$A$5:$A$500,0)),0))</f>
        <v/>
      </c>
      <c r="O2707" s="26" t="str">
        <f aca="false">IF($D2707="","",F2707*M2707+G2707*N2707)</f>
        <v/>
      </c>
      <c r="P2707" s="26" t="str">
        <f aca="false">IF(OR($D2707="",$J2707&lt;&gt;"Supplier"),"",IFERROR(INDEX(SupplierRates!$D$5:$D$500,MATCH($K2707&amp;"|"&amp;$L2707,SupplierRates!$A$5:$A$500,0)),0))</f>
        <v/>
      </c>
      <c r="Q2707" s="26" t="str">
        <f aca="false">IF(OR($D2707="",$J2707&lt;&gt;"Supplier"),"",IFERROR(INDEX(SupplierRates!$E$5:$E$500,MATCH($K2707&amp;"|"&amp;$L2707,SupplierRates!$A$5:$A$500,0)),0))</f>
        <v/>
      </c>
      <c r="R2707" s="26" t="n">
        <f aca="false">IF(OR($D2707="",$J2707&lt;&gt;"Supplier"),0,F2707*P2707+G2707*Q2707)</f>
        <v>0</v>
      </c>
      <c r="S2707" s="26" t="n">
        <f aca="false">IF(OR($D2707="",$J2707&lt;&gt;"Own"),0,IFERROR((F2707+G2707*Settings!$B$13)*INDEX(Workers!$V$5:$V$2004,MATCH($D2707,Workers!$A$5:$A$2004,0)),0))</f>
        <v>0</v>
      </c>
      <c r="T2707" s="26" t="str">
        <f aca="false">IF($D2707="","",O2707-R2707-S2707)</f>
        <v/>
      </c>
    </row>
    <row r="2708" customFormat="false" ht="15" hidden="false" customHeight="false" outlineLevel="0" collapsed="false">
      <c r="I2708" s="24" t="str">
        <f aca="false">IF($D2708="","",IFERROR(INDEX(Workers!$B$5:$B$2004,MATCH($D2708,Workers!$A$5:$A$2004,0)),"NOT FOUND"))</f>
        <v/>
      </c>
      <c r="J2708" s="24" t="str">
        <f aca="false">IF($D2708="","",IFERROR(INDEX(Workers!$C$5:$C$2004,MATCH($D2708,Workers!$A$5:$A$2004,0)),""))</f>
        <v/>
      </c>
      <c r="K2708" s="24" t="str">
        <f aca="false">IF($D2708="","",IFERROR(IF(INDEX(Workers!$D$5:$D$2004,MATCH($D2708,Workers!$A$5:$A$2004,0))=0,"",INDEX(Workers!$D$5:$D$2004,MATCH($D2708,Workers!$A$5:$A$2004,0))),""))</f>
        <v/>
      </c>
      <c r="L2708" s="24" t="str">
        <f aca="false">IF($D2708="","",IFERROR(INDEX(Workers!$E$5:$E$2004,MATCH($D2708,Workers!$A$5:$A$2004,0)),""))</f>
        <v/>
      </c>
      <c r="M2708" s="26" t="str">
        <f aca="false">IF($D2708="","",IFERROR(INDEX(ClientRates!$D$5:$D$500,MATCH($B2708&amp;"|"&amp;$L2708,ClientRates!$A$5:$A$500,0)),0))</f>
        <v/>
      </c>
      <c r="N2708" s="26" t="str">
        <f aca="false">IF($D2708="","",IFERROR(INDEX(ClientRates!$E$5:$E$500,MATCH($B2708&amp;"|"&amp;$L2708,ClientRates!$A$5:$A$500,0)),0))</f>
        <v/>
      </c>
      <c r="O2708" s="26" t="str">
        <f aca="false">IF($D2708="","",F2708*M2708+G2708*N2708)</f>
        <v/>
      </c>
      <c r="P2708" s="26" t="str">
        <f aca="false">IF(OR($D2708="",$J2708&lt;&gt;"Supplier"),"",IFERROR(INDEX(SupplierRates!$D$5:$D$500,MATCH($K2708&amp;"|"&amp;$L2708,SupplierRates!$A$5:$A$500,0)),0))</f>
        <v/>
      </c>
      <c r="Q2708" s="26" t="str">
        <f aca="false">IF(OR($D2708="",$J2708&lt;&gt;"Supplier"),"",IFERROR(INDEX(SupplierRates!$E$5:$E$500,MATCH($K2708&amp;"|"&amp;$L2708,SupplierRates!$A$5:$A$500,0)),0))</f>
        <v/>
      </c>
      <c r="R2708" s="26" t="n">
        <f aca="false">IF(OR($D2708="",$J2708&lt;&gt;"Supplier"),0,F2708*P2708+G2708*Q2708)</f>
        <v>0</v>
      </c>
      <c r="S2708" s="26" t="n">
        <f aca="false">IF(OR($D2708="",$J2708&lt;&gt;"Own"),0,IFERROR((F2708+G2708*Settings!$B$13)*INDEX(Workers!$V$5:$V$2004,MATCH($D2708,Workers!$A$5:$A$2004,0)),0))</f>
        <v>0</v>
      </c>
      <c r="T2708" s="26" t="str">
        <f aca="false">IF($D2708="","",O2708-R2708-S2708)</f>
        <v/>
      </c>
    </row>
    <row r="2709" customFormat="false" ht="15" hidden="false" customHeight="false" outlineLevel="0" collapsed="false">
      <c r="I2709" s="24" t="str">
        <f aca="false">IF($D2709="","",IFERROR(INDEX(Workers!$B$5:$B$2004,MATCH($D2709,Workers!$A$5:$A$2004,0)),"NOT FOUND"))</f>
        <v/>
      </c>
      <c r="J2709" s="24" t="str">
        <f aca="false">IF($D2709="","",IFERROR(INDEX(Workers!$C$5:$C$2004,MATCH($D2709,Workers!$A$5:$A$2004,0)),""))</f>
        <v/>
      </c>
      <c r="K2709" s="24" t="str">
        <f aca="false">IF($D2709="","",IFERROR(IF(INDEX(Workers!$D$5:$D$2004,MATCH($D2709,Workers!$A$5:$A$2004,0))=0,"",INDEX(Workers!$D$5:$D$2004,MATCH($D2709,Workers!$A$5:$A$2004,0))),""))</f>
        <v/>
      </c>
      <c r="L2709" s="24" t="str">
        <f aca="false">IF($D2709="","",IFERROR(INDEX(Workers!$E$5:$E$2004,MATCH($D2709,Workers!$A$5:$A$2004,0)),""))</f>
        <v/>
      </c>
      <c r="M2709" s="26" t="str">
        <f aca="false">IF($D2709="","",IFERROR(INDEX(ClientRates!$D$5:$D$500,MATCH($B2709&amp;"|"&amp;$L2709,ClientRates!$A$5:$A$500,0)),0))</f>
        <v/>
      </c>
      <c r="N2709" s="26" t="str">
        <f aca="false">IF($D2709="","",IFERROR(INDEX(ClientRates!$E$5:$E$500,MATCH($B2709&amp;"|"&amp;$L2709,ClientRates!$A$5:$A$500,0)),0))</f>
        <v/>
      </c>
      <c r="O2709" s="26" t="str">
        <f aca="false">IF($D2709="","",F2709*M2709+G2709*N2709)</f>
        <v/>
      </c>
      <c r="P2709" s="26" t="str">
        <f aca="false">IF(OR($D2709="",$J2709&lt;&gt;"Supplier"),"",IFERROR(INDEX(SupplierRates!$D$5:$D$500,MATCH($K2709&amp;"|"&amp;$L2709,SupplierRates!$A$5:$A$500,0)),0))</f>
        <v/>
      </c>
      <c r="Q2709" s="26" t="str">
        <f aca="false">IF(OR($D2709="",$J2709&lt;&gt;"Supplier"),"",IFERROR(INDEX(SupplierRates!$E$5:$E$500,MATCH($K2709&amp;"|"&amp;$L2709,SupplierRates!$A$5:$A$500,0)),0))</f>
        <v/>
      </c>
      <c r="R2709" s="26" t="n">
        <f aca="false">IF(OR($D2709="",$J2709&lt;&gt;"Supplier"),0,F2709*P2709+G2709*Q2709)</f>
        <v>0</v>
      </c>
      <c r="S2709" s="26" t="n">
        <f aca="false">IF(OR($D2709="",$J2709&lt;&gt;"Own"),0,IFERROR((F2709+G2709*Settings!$B$13)*INDEX(Workers!$V$5:$V$2004,MATCH($D2709,Workers!$A$5:$A$2004,0)),0))</f>
        <v>0</v>
      </c>
      <c r="T2709" s="26" t="str">
        <f aca="false">IF($D2709="","",O2709-R2709-S2709)</f>
        <v/>
      </c>
    </row>
    <row r="2710" customFormat="false" ht="15" hidden="false" customHeight="false" outlineLevel="0" collapsed="false">
      <c r="I2710" s="24" t="str">
        <f aca="false">IF($D2710="","",IFERROR(INDEX(Workers!$B$5:$B$2004,MATCH($D2710,Workers!$A$5:$A$2004,0)),"NOT FOUND"))</f>
        <v/>
      </c>
      <c r="J2710" s="24" t="str">
        <f aca="false">IF($D2710="","",IFERROR(INDEX(Workers!$C$5:$C$2004,MATCH($D2710,Workers!$A$5:$A$2004,0)),""))</f>
        <v/>
      </c>
      <c r="K2710" s="24" t="str">
        <f aca="false">IF($D2710="","",IFERROR(IF(INDEX(Workers!$D$5:$D$2004,MATCH($D2710,Workers!$A$5:$A$2004,0))=0,"",INDEX(Workers!$D$5:$D$2004,MATCH($D2710,Workers!$A$5:$A$2004,0))),""))</f>
        <v/>
      </c>
      <c r="L2710" s="24" t="str">
        <f aca="false">IF($D2710="","",IFERROR(INDEX(Workers!$E$5:$E$2004,MATCH($D2710,Workers!$A$5:$A$2004,0)),""))</f>
        <v/>
      </c>
      <c r="M2710" s="26" t="str">
        <f aca="false">IF($D2710="","",IFERROR(INDEX(ClientRates!$D$5:$D$500,MATCH($B2710&amp;"|"&amp;$L2710,ClientRates!$A$5:$A$500,0)),0))</f>
        <v/>
      </c>
      <c r="N2710" s="26" t="str">
        <f aca="false">IF($D2710="","",IFERROR(INDEX(ClientRates!$E$5:$E$500,MATCH($B2710&amp;"|"&amp;$L2710,ClientRates!$A$5:$A$500,0)),0))</f>
        <v/>
      </c>
      <c r="O2710" s="26" t="str">
        <f aca="false">IF($D2710="","",F2710*M2710+G2710*N2710)</f>
        <v/>
      </c>
      <c r="P2710" s="26" t="str">
        <f aca="false">IF(OR($D2710="",$J2710&lt;&gt;"Supplier"),"",IFERROR(INDEX(SupplierRates!$D$5:$D$500,MATCH($K2710&amp;"|"&amp;$L2710,SupplierRates!$A$5:$A$500,0)),0))</f>
        <v/>
      </c>
      <c r="Q2710" s="26" t="str">
        <f aca="false">IF(OR($D2710="",$J2710&lt;&gt;"Supplier"),"",IFERROR(INDEX(SupplierRates!$E$5:$E$500,MATCH($K2710&amp;"|"&amp;$L2710,SupplierRates!$A$5:$A$500,0)),0))</f>
        <v/>
      </c>
      <c r="R2710" s="26" t="n">
        <f aca="false">IF(OR($D2710="",$J2710&lt;&gt;"Supplier"),0,F2710*P2710+G2710*Q2710)</f>
        <v>0</v>
      </c>
      <c r="S2710" s="26" t="n">
        <f aca="false">IF(OR($D2710="",$J2710&lt;&gt;"Own"),0,IFERROR((F2710+G2710*Settings!$B$13)*INDEX(Workers!$V$5:$V$2004,MATCH($D2710,Workers!$A$5:$A$2004,0)),0))</f>
        <v>0</v>
      </c>
      <c r="T2710" s="26" t="str">
        <f aca="false">IF($D2710="","",O2710-R2710-S2710)</f>
        <v/>
      </c>
    </row>
    <row r="2711" customFormat="false" ht="15" hidden="false" customHeight="false" outlineLevel="0" collapsed="false">
      <c r="I2711" s="24" t="str">
        <f aca="false">IF($D2711="","",IFERROR(INDEX(Workers!$B$5:$B$2004,MATCH($D2711,Workers!$A$5:$A$2004,0)),"NOT FOUND"))</f>
        <v/>
      </c>
      <c r="J2711" s="24" t="str">
        <f aca="false">IF($D2711="","",IFERROR(INDEX(Workers!$C$5:$C$2004,MATCH($D2711,Workers!$A$5:$A$2004,0)),""))</f>
        <v/>
      </c>
      <c r="K2711" s="24" t="str">
        <f aca="false">IF($D2711="","",IFERROR(IF(INDEX(Workers!$D$5:$D$2004,MATCH($D2711,Workers!$A$5:$A$2004,0))=0,"",INDEX(Workers!$D$5:$D$2004,MATCH($D2711,Workers!$A$5:$A$2004,0))),""))</f>
        <v/>
      </c>
      <c r="L2711" s="24" t="str">
        <f aca="false">IF($D2711="","",IFERROR(INDEX(Workers!$E$5:$E$2004,MATCH($D2711,Workers!$A$5:$A$2004,0)),""))</f>
        <v/>
      </c>
      <c r="M2711" s="26" t="str">
        <f aca="false">IF($D2711="","",IFERROR(INDEX(ClientRates!$D$5:$D$500,MATCH($B2711&amp;"|"&amp;$L2711,ClientRates!$A$5:$A$500,0)),0))</f>
        <v/>
      </c>
      <c r="N2711" s="26" t="str">
        <f aca="false">IF($D2711="","",IFERROR(INDEX(ClientRates!$E$5:$E$500,MATCH($B2711&amp;"|"&amp;$L2711,ClientRates!$A$5:$A$500,0)),0))</f>
        <v/>
      </c>
      <c r="O2711" s="26" t="str">
        <f aca="false">IF($D2711="","",F2711*M2711+G2711*N2711)</f>
        <v/>
      </c>
      <c r="P2711" s="26" t="str">
        <f aca="false">IF(OR($D2711="",$J2711&lt;&gt;"Supplier"),"",IFERROR(INDEX(SupplierRates!$D$5:$D$500,MATCH($K2711&amp;"|"&amp;$L2711,SupplierRates!$A$5:$A$500,0)),0))</f>
        <v/>
      </c>
      <c r="Q2711" s="26" t="str">
        <f aca="false">IF(OR($D2711="",$J2711&lt;&gt;"Supplier"),"",IFERROR(INDEX(SupplierRates!$E$5:$E$500,MATCH($K2711&amp;"|"&amp;$L2711,SupplierRates!$A$5:$A$500,0)),0))</f>
        <v/>
      </c>
      <c r="R2711" s="26" t="n">
        <f aca="false">IF(OR($D2711="",$J2711&lt;&gt;"Supplier"),0,F2711*P2711+G2711*Q2711)</f>
        <v>0</v>
      </c>
      <c r="S2711" s="26" t="n">
        <f aca="false">IF(OR($D2711="",$J2711&lt;&gt;"Own"),0,IFERROR((F2711+G2711*Settings!$B$13)*INDEX(Workers!$V$5:$V$2004,MATCH($D2711,Workers!$A$5:$A$2004,0)),0))</f>
        <v>0</v>
      </c>
      <c r="T2711" s="26" t="str">
        <f aca="false">IF($D2711="","",O2711-R2711-S2711)</f>
        <v/>
      </c>
    </row>
    <row r="2712" customFormat="false" ht="15" hidden="false" customHeight="false" outlineLevel="0" collapsed="false">
      <c r="I2712" s="24" t="str">
        <f aca="false">IF($D2712="","",IFERROR(INDEX(Workers!$B$5:$B$2004,MATCH($D2712,Workers!$A$5:$A$2004,0)),"NOT FOUND"))</f>
        <v/>
      </c>
      <c r="J2712" s="24" t="str">
        <f aca="false">IF($D2712="","",IFERROR(INDEX(Workers!$C$5:$C$2004,MATCH($D2712,Workers!$A$5:$A$2004,0)),""))</f>
        <v/>
      </c>
      <c r="K2712" s="24" t="str">
        <f aca="false">IF($D2712="","",IFERROR(IF(INDEX(Workers!$D$5:$D$2004,MATCH($D2712,Workers!$A$5:$A$2004,0))=0,"",INDEX(Workers!$D$5:$D$2004,MATCH($D2712,Workers!$A$5:$A$2004,0))),""))</f>
        <v/>
      </c>
      <c r="L2712" s="24" t="str">
        <f aca="false">IF($D2712="","",IFERROR(INDEX(Workers!$E$5:$E$2004,MATCH($D2712,Workers!$A$5:$A$2004,0)),""))</f>
        <v/>
      </c>
      <c r="M2712" s="26" t="str">
        <f aca="false">IF($D2712="","",IFERROR(INDEX(ClientRates!$D$5:$D$500,MATCH($B2712&amp;"|"&amp;$L2712,ClientRates!$A$5:$A$500,0)),0))</f>
        <v/>
      </c>
      <c r="N2712" s="26" t="str">
        <f aca="false">IF($D2712="","",IFERROR(INDEX(ClientRates!$E$5:$E$500,MATCH($B2712&amp;"|"&amp;$L2712,ClientRates!$A$5:$A$500,0)),0))</f>
        <v/>
      </c>
      <c r="O2712" s="26" t="str">
        <f aca="false">IF($D2712="","",F2712*M2712+G2712*N2712)</f>
        <v/>
      </c>
      <c r="P2712" s="26" t="str">
        <f aca="false">IF(OR($D2712="",$J2712&lt;&gt;"Supplier"),"",IFERROR(INDEX(SupplierRates!$D$5:$D$500,MATCH($K2712&amp;"|"&amp;$L2712,SupplierRates!$A$5:$A$500,0)),0))</f>
        <v/>
      </c>
      <c r="Q2712" s="26" t="str">
        <f aca="false">IF(OR($D2712="",$J2712&lt;&gt;"Supplier"),"",IFERROR(INDEX(SupplierRates!$E$5:$E$500,MATCH($K2712&amp;"|"&amp;$L2712,SupplierRates!$A$5:$A$500,0)),0))</f>
        <v/>
      </c>
      <c r="R2712" s="26" t="n">
        <f aca="false">IF(OR($D2712="",$J2712&lt;&gt;"Supplier"),0,F2712*P2712+G2712*Q2712)</f>
        <v>0</v>
      </c>
      <c r="S2712" s="26" t="n">
        <f aca="false">IF(OR($D2712="",$J2712&lt;&gt;"Own"),0,IFERROR((F2712+G2712*Settings!$B$13)*INDEX(Workers!$V$5:$V$2004,MATCH($D2712,Workers!$A$5:$A$2004,0)),0))</f>
        <v>0</v>
      </c>
      <c r="T2712" s="26" t="str">
        <f aca="false">IF($D2712="","",O2712-R2712-S2712)</f>
        <v/>
      </c>
    </row>
    <row r="2713" customFormat="false" ht="15" hidden="false" customHeight="false" outlineLevel="0" collapsed="false">
      <c r="I2713" s="24" t="str">
        <f aca="false">IF($D2713="","",IFERROR(INDEX(Workers!$B$5:$B$2004,MATCH($D2713,Workers!$A$5:$A$2004,0)),"NOT FOUND"))</f>
        <v/>
      </c>
      <c r="J2713" s="24" t="str">
        <f aca="false">IF($D2713="","",IFERROR(INDEX(Workers!$C$5:$C$2004,MATCH($D2713,Workers!$A$5:$A$2004,0)),""))</f>
        <v/>
      </c>
      <c r="K2713" s="24" t="str">
        <f aca="false">IF($D2713="","",IFERROR(IF(INDEX(Workers!$D$5:$D$2004,MATCH($D2713,Workers!$A$5:$A$2004,0))=0,"",INDEX(Workers!$D$5:$D$2004,MATCH($D2713,Workers!$A$5:$A$2004,0))),""))</f>
        <v/>
      </c>
      <c r="L2713" s="24" t="str">
        <f aca="false">IF($D2713="","",IFERROR(INDEX(Workers!$E$5:$E$2004,MATCH($D2713,Workers!$A$5:$A$2004,0)),""))</f>
        <v/>
      </c>
      <c r="M2713" s="26" t="str">
        <f aca="false">IF($D2713="","",IFERROR(INDEX(ClientRates!$D$5:$D$500,MATCH($B2713&amp;"|"&amp;$L2713,ClientRates!$A$5:$A$500,0)),0))</f>
        <v/>
      </c>
      <c r="N2713" s="26" t="str">
        <f aca="false">IF($D2713="","",IFERROR(INDEX(ClientRates!$E$5:$E$500,MATCH($B2713&amp;"|"&amp;$L2713,ClientRates!$A$5:$A$500,0)),0))</f>
        <v/>
      </c>
      <c r="O2713" s="26" t="str">
        <f aca="false">IF($D2713="","",F2713*M2713+G2713*N2713)</f>
        <v/>
      </c>
      <c r="P2713" s="26" t="str">
        <f aca="false">IF(OR($D2713="",$J2713&lt;&gt;"Supplier"),"",IFERROR(INDEX(SupplierRates!$D$5:$D$500,MATCH($K2713&amp;"|"&amp;$L2713,SupplierRates!$A$5:$A$500,0)),0))</f>
        <v/>
      </c>
      <c r="Q2713" s="26" t="str">
        <f aca="false">IF(OR($D2713="",$J2713&lt;&gt;"Supplier"),"",IFERROR(INDEX(SupplierRates!$E$5:$E$500,MATCH($K2713&amp;"|"&amp;$L2713,SupplierRates!$A$5:$A$500,0)),0))</f>
        <v/>
      </c>
      <c r="R2713" s="26" t="n">
        <f aca="false">IF(OR($D2713="",$J2713&lt;&gt;"Supplier"),0,F2713*P2713+G2713*Q2713)</f>
        <v>0</v>
      </c>
      <c r="S2713" s="26" t="n">
        <f aca="false">IF(OR($D2713="",$J2713&lt;&gt;"Own"),0,IFERROR((F2713+G2713*Settings!$B$13)*INDEX(Workers!$V$5:$V$2004,MATCH($D2713,Workers!$A$5:$A$2004,0)),0))</f>
        <v>0</v>
      </c>
      <c r="T2713" s="26" t="str">
        <f aca="false">IF($D2713="","",O2713-R2713-S2713)</f>
        <v/>
      </c>
    </row>
    <row r="2714" customFormat="false" ht="15" hidden="false" customHeight="false" outlineLevel="0" collapsed="false">
      <c r="I2714" s="24" t="str">
        <f aca="false">IF($D2714="","",IFERROR(INDEX(Workers!$B$5:$B$2004,MATCH($D2714,Workers!$A$5:$A$2004,0)),"NOT FOUND"))</f>
        <v/>
      </c>
      <c r="J2714" s="24" t="str">
        <f aca="false">IF($D2714="","",IFERROR(INDEX(Workers!$C$5:$C$2004,MATCH($D2714,Workers!$A$5:$A$2004,0)),""))</f>
        <v/>
      </c>
      <c r="K2714" s="24" t="str">
        <f aca="false">IF($D2714="","",IFERROR(IF(INDEX(Workers!$D$5:$D$2004,MATCH($D2714,Workers!$A$5:$A$2004,0))=0,"",INDEX(Workers!$D$5:$D$2004,MATCH($D2714,Workers!$A$5:$A$2004,0))),""))</f>
        <v/>
      </c>
      <c r="L2714" s="24" t="str">
        <f aca="false">IF($D2714="","",IFERROR(INDEX(Workers!$E$5:$E$2004,MATCH($D2714,Workers!$A$5:$A$2004,0)),""))</f>
        <v/>
      </c>
      <c r="M2714" s="26" t="str">
        <f aca="false">IF($D2714="","",IFERROR(INDEX(ClientRates!$D$5:$D$500,MATCH($B2714&amp;"|"&amp;$L2714,ClientRates!$A$5:$A$500,0)),0))</f>
        <v/>
      </c>
      <c r="N2714" s="26" t="str">
        <f aca="false">IF($D2714="","",IFERROR(INDEX(ClientRates!$E$5:$E$500,MATCH($B2714&amp;"|"&amp;$L2714,ClientRates!$A$5:$A$500,0)),0))</f>
        <v/>
      </c>
      <c r="O2714" s="26" t="str">
        <f aca="false">IF($D2714="","",F2714*M2714+G2714*N2714)</f>
        <v/>
      </c>
      <c r="P2714" s="26" t="str">
        <f aca="false">IF(OR($D2714="",$J2714&lt;&gt;"Supplier"),"",IFERROR(INDEX(SupplierRates!$D$5:$D$500,MATCH($K2714&amp;"|"&amp;$L2714,SupplierRates!$A$5:$A$500,0)),0))</f>
        <v/>
      </c>
      <c r="Q2714" s="26" t="str">
        <f aca="false">IF(OR($D2714="",$J2714&lt;&gt;"Supplier"),"",IFERROR(INDEX(SupplierRates!$E$5:$E$500,MATCH($K2714&amp;"|"&amp;$L2714,SupplierRates!$A$5:$A$500,0)),0))</f>
        <v/>
      </c>
      <c r="R2714" s="26" t="n">
        <f aca="false">IF(OR($D2714="",$J2714&lt;&gt;"Supplier"),0,F2714*P2714+G2714*Q2714)</f>
        <v>0</v>
      </c>
      <c r="S2714" s="26" t="n">
        <f aca="false">IF(OR($D2714="",$J2714&lt;&gt;"Own"),0,IFERROR((F2714+G2714*Settings!$B$13)*INDEX(Workers!$V$5:$V$2004,MATCH($D2714,Workers!$A$5:$A$2004,0)),0))</f>
        <v>0</v>
      </c>
      <c r="T2714" s="26" t="str">
        <f aca="false">IF($D2714="","",O2714-R2714-S2714)</f>
        <v/>
      </c>
    </row>
    <row r="2715" customFormat="false" ht="15" hidden="false" customHeight="false" outlineLevel="0" collapsed="false">
      <c r="I2715" s="24" t="str">
        <f aca="false">IF($D2715="","",IFERROR(INDEX(Workers!$B$5:$B$2004,MATCH($D2715,Workers!$A$5:$A$2004,0)),"NOT FOUND"))</f>
        <v/>
      </c>
      <c r="J2715" s="24" t="str">
        <f aca="false">IF($D2715="","",IFERROR(INDEX(Workers!$C$5:$C$2004,MATCH($D2715,Workers!$A$5:$A$2004,0)),""))</f>
        <v/>
      </c>
      <c r="K2715" s="24" t="str">
        <f aca="false">IF($D2715="","",IFERROR(IF(INDEX(Workers!$D$5:$D$2004,MATCH($D2715,Workers!$A$5:$A$2004,0))=0,"",INDEX(Workers!$D$5:$D$2004,MATCH($D2715,Workers!$A$5:$A$2004,0))),""))</f>
        <v/>
      </c>
      <c r="L2715" s="24" t="str">
        <f aca="false">IF($D2715="","",IFERROR(INDEX(Workers!$E$5:$E$2004,MATCH($D2715,Workers!$A$5:$A$2004,0)),""))</f>
        <v/>
      </c>
      <c r="M2715" s="26" t="str">
        <f aca="false">IF($D2715="","",IFERROR(INDEX(ClientRates!$D$5:$D$500,MATCH($B2715&amp;"|"&amp;$L2715,ClientRates!$A$5:$A$500,0)),0))</f>
        <v/>
      </c>
      <c r="N2715" s="26" t="str">
        <f aca="false">IF($D2715="","",IFERROR(INDEX(ClientRates!$E$5:$E$500,MATCH($B2715&amp;"|"&amp;$L2715,ClientRates!$A$5:$A$500,0)),0))</f>
        <v/>
      </c>
      <c r="O2715" s="26" t="str">
        <f aca="false">IF($D2715="","",F2715*M2715+G2715*N2715)</f>
        <v/>
      </c>
      <c r="P2715" s="26" t="str">
        <f aca="false">IF(OR($D2715="",$J2715&lt;&gt;"Supplier"),"",IFERROR(INDEX(SupplierRates!$D$5:$D$500,MATCH($K2715&amp;"|"&amp;$L2715,SupplierRates!$A$5:$A$500,0)),0))</f>
        <v/>
      </c>
      <c r="Q2715" s="26" t="str">
        <f aca="false">IF(OR($D2715="",$J2715&lt;&gt;"Supplier"),"",IFERROR(INDEX(SupplierRates!$E$5:$E$500,MATCH($K2715&amp;"|"&amp;$L2715,SupplierRates!$A$5:$A$500,0)),0))</f>
        <v/>
      </c>
      <c r="R2715" s="26" t="n">
        <f aca="false">IF(OR($D2715="",$J2715&lt;&gt;"Supplier"),0,F2715*P2715+G2715*Q2715)</f>
        <v>0</v>
      </c>
      <c r="S2715" s="26" t="n">
        <f aca="false">IF(OR($D2715="",$J2715&lt;&gt;"Own"),0,IFERROR((F2715+G2715*Settings!$B$13)*INDEX(Workers!$V$5:$V$2004,MATCH($D2715,Workers!$A$5:$A$2004,0)),0))</f>
        <v>0</v>
      </c>
      <c r="T2715" s="26" t="str">
        <f aca="false">IF($D2715="","",O2715-R2715-S2715)</f>
        <v/>
      </c>
    </row>
    <row r="2716" customFormat="false" ht="15" hidden="false" customHeight="false" outlineLevel="0" collapsed="false">
      <c r="I2716" s="24" t="str">
        <f aca="false">IF($D2716="","",IFERROR(INDEX(Workers!$B$5:$B$2004,MATCH($D2716,Workers!$A$5:$A$2004,0)),"NOT FOUND"))</f>
        <v/>
      </c>
      <c r="J2716" s="24" t="str">
        <f aca="false">IF($D2716="","",IFERROR(INDEX(Workers!$C$5:$C$2004,MATCH($D2716,Workers!$A$5:$A$2004,0)),""))</f>
        <v/>
      </c>
      <c r="K2716" s="24" t="str">
        <f aca="false">IF($D2716="","",IFERROR(IF(INDEX(Workers!$D$5:$D$2004,MATCH($D2716,Workers!$A$5:$A$2004,0))=0,"",INDEX(Workers!$D$5:$D$2004,MATCH($D2716,Workers!$A$5:$A$2004,0))),""))</f>
        <v/>
      </c>
      <c r="L2716" s="24" t="str">
        <f aca="false">IF($D2716="","",IFERROR(INDEX(Workers!$E$5:$E$2004,MATCH($D2716,Workers!$A$5:$A$2004,0)),""))</f>
        <v/>
      </c>
      <c r="M2716" s="26" t="str">
        <f aca="false">IF($D2716="","",IFERROR(INDEX(ClientRates!$D$5:$D$500,MATCH($B2716&amp;"|"&amp;$L2716,ClientRates!$A$5:$A$500,0)),0))</f>
        <v/>
      </c>
      <c r="N2716" s="26" t="str">
        <f aca="false">IF($D2716="","",IFERROR(INDEX(ClientRates!$E$5:$E$500,MATCH($B2716&amp;"|"&amp;$L2716,ClientRates!$A$5:$A$500,0)),0))</f>
        <v/>
      </c>
      <c r="O2716" s="26" t="str">
        <f aca="false">IF($D2716="","",F2716*M2716+G2716*N2716)</f>
        <v/>
      </c>
      <c r="P2716" s="26" t="str">
        <f aca="false">IF(OR($D2716="",$J2716&lt;&gt;"Supplier"),"",IFERROR(INDEX(SupplierRates!$D$5:$D$500,MATCH($K2716&amp;"|"&amp;$L2716,SupplierRates!$A$5:$A$500,0)),0))</f>
        <v/>
      </c>
      <c r="Q2716" s="26" t="str">
        <f aca="false">IF(OR($D2716="",$J2716&lt;&gt;"Supplier"),"",IFERROR(INDEX(SupplierRates!$E$5:$E$500,MATCH($K2716&amp;"|"&amp;$L2716,SupplierRates!$A$5:$A$500,0)),0))</f>
        <v/>
      </c>
      <c r="R2716" s="26" t="n">
        <f aca="false">IF(OR($D2716="",$J2716&lt;&gt;"Supplier"),0,F2716*P2716+G2716*Q2716)</f>
        <v>0</v>
      </c>
      <c r="S2716" s="26" t="n">
        <f aca="false">IF(OR($D2716="",$J2716&lt;&gt;"Own"),0,IFERROR((F2716+G2716*Settings!$B$13)*INDEX(Workers!$V$5:$V$2004,MATCH($D2716,Workers!$A$5:$A$2004,0)),0))</f>
        <v>0</v>
      </c>
      <c r="T2716" s="26" t="str">
        <f aca="false">IF($D2716="","",O2716-R2716-S2716)</f>
        <v/>
      </c>
    </row>
    <row r="2717" customFormat="false" ht="15" hidden="false" customHeight="false" outlineLevel="0" collapsed="false">
      <c r="I2717" s="24" t="str">
        <f aca="false">IF($D2717="","",IFERROR(INDEX(Workers!$B$5:$B$2004,MATCH($D2717,Workers!$A$5:$A$2004,0)),"NOT FOUND"))</f>
        <v/>
      </c>
      <c r="J2717" s="24" t="str">
        <f aca="false">IF($D2717="","",IFERROR(INDEX(Workers!$C$5:$C$2004,MATCH($D2717,Workers!$A$5:$A$2004,0)),""))</f>
        <v/>
      </c>
      <c r="K2717" s="24" t="str">
        <f aca="false">IF($D2717="","",IFERROR(IF(INDEX(Workers!$D$5:$D$2004,MATCH($D2717,Workers!$A$5:$A$2004,0))=0,"",INDEX(Workers!$D$5:$D$2004,MATCH($D2717,Workers!$A$5:$A$2004,0))),""))</f>
        <v/>
      </c>
      <c r="L2717" s="24" t="str">
        <f aca="false">IF($D2717="","",IFERROR(INDEX(Workers!$E$5:$E$2004,MATCH($D2717,Workers!$A$5:$A$2004,0)),""))</f>
        <v/>
      </c>
      <c r="M2717" s="26" t="str">
        <f aca="false">IF($D2717="","",IFERROR(INDEX(ClientRates!$D$5:$D$500,MATCH($B2717&amp;"|"&amp;$L2717,ClientRates!$A$5:$A$500,0)),0))</f>
        <v/>
      </c>
      <c r="N2717" s="26" t="str">
        <f aca="false">IF($D2717="","",IFERROR(INDEX(ClientRates!$E$5:$E$500,MATCH($B2717&amp;"|"&amp;$L2717,ClientRates!$A$5:$A$500,0)),0))</f>
        <v/>
      </c>
      <c r="O2717" s="26" t="str">
        <f aca="false">IF($D2717="","",F2717*M2717+G2717*N2717)</f>
        <v/>
      </c>
      <c r="P2717" s="26" t="str">
        <f aca="false">IF(OR($D2717="",$J2717&lt;&gt;"Supplier"),"",IFERROR(INDEX(SupplierRates!$D$5:$D$500,MATCH($K2717&amp;"|"&amp;$L2717,SupplierRates!$A$5:$A$500,0)),0))</f>
        <v/>
      </c>
      <c r="Q2717" s="26" t="str">
        <f aca="false">IF(OR($D2717="",$J2717&lt;&gt;"Supplier"),"",IFERROR(INDEX(SupplierRates!$E$5:$E$500,MATCH($K2717&amp;"|"&amp;$L2717,SupplierRates!$A$5:$A$500,0)),0))</f>
        <v/>
      </c>
      <c r="R2717" s="26" t="n">
        <f aca="false">IF(OR($D2717="",$J2717&lt;&gt;"Supplier"),0,F2717*P2717+G2717*Q2717)</f>
        <v>0</v>
      </c>
      <c r="S2717" s="26" t="n">
        <f aca="false">IF(OR($D2717="",$J2717&lt;&gt;"Own"),0,IFERROR((F2717+G2717*Settings!$B$13)*INDEX(Workers!$V$5:$V$2004,MATCH($D2717,Workers!$A$5:$A$2004,0)),0))</f>
        <v>0</v>
      </c>
      <c r="T2717" s="26" t="str">
        <f aca="false">IF($D2717="","",O2717-R2717-S2717)</f>
        <v/>
      </c>
    </row>
    <row r="2718" customFormat="false" ht="15" hidden="false" customHeight="false" outlineLevel="0" collapsed="false">
      <c r="I2718" s="24" t="str">
        <f aca="false">IF($D2718="","",IFERROR(INDEX(Workers!$B$5:$B$2004,MATCH($D2718,Workers!$A$5:$A$2004,0)),"NOT FOUND"))</f>
        <v/>
      </c>
      <c r="J2718" s="24" t="str">
        <f aca="false">IF($D2718="","",IFERROR(INDEX(Workers!$C$5:$C$2004,MATCH($D2718,Workers!$A$5:$A$2004,0)),""))</f>
        <v/>
      </c>
      <c r="K2718" s="24" t="str">
        <f aca="false">IF($D2718="","",IFERROR(IF(INDEX(Workers!$D$5:$D$2004,MATCH($D2718,Workers!$A$5:$A$2004,0))=0,"",INDEX(Workers!$D$5:$D$2004,MATCH($D2718,Workers!$A$5:$A$2004,0))),""))</f>
        <v/>
      </c>
      <c r="L2718" s="24" t="str">
        <f aca="false">IF($D2718="","",IFERROR(INDEX(Workers!$E$5:$E$2004,MATCH($D2718,Workers!$A$5:$A$2004,0)),""))</f>
        <v/>
      </c>
      <c r="M2718" s="26" t="str">
        <f aca="false">IF($D2718="","",IFERROR(INDEX(ClientRates!$D$5:$D$500,MATCH($B2718&amp;"|"&amp;$L2718,ClientRates!$A$5:$A$500,0)),0))</f>
        <v/>
      </c>
      <c r="N2718" s="26" t="str">
        <f aca="false">IF($D2718="","",IFERROR(INDEX(ClientRates!$E$5:$E$500,MATCH($B2718&amp;"|"&amp;$L2718,ClientRates!$A$5:$A$500,0)),0))</f>
        <v/>
      </c>
      <c r="O2718" s="26" t="str">
        <f aca="false">IF($D2718="","",F2718*M2718+G2718*N2718)</f>
        <v/>
      </c>
      <c r="P2718" s="26" t="str">
        <f aca="false">IF(OR($D2718="",$J2718&lt;&gt;"Supplier"),"",IFERROR(INDEX(SupplierRates!$D$5:$D$500,MATCH($K2718&amp;"|"&amp;$L2718,SupplierRates!$A$5:$A$500,0)),0))</f>
        <v/>
      </c>
      <c r="Q2718" s="26" t="str">
        <f aca="false">IF(OR($D2718="",$J2718&lt;&gt;"Supplier"),"",IFERROR(INDEX(SupplierRates!$E$5:$E$500,MATCH($K2718&amp;"|"&amp;$L2718,SupplierRates!$A$5:$A$500,0)),0))</f>
        <v/>
      </c>
      <c r="R2718" s="26" t="n">
        <f aca="false">IF(OR($D2718="",$J2718&lt;&gt;"Supplier"),0,F2718*P2718+G2718*Q2718)</f>
        <v>0</v>
      </c>
      <c r="S2718" s="26" t="n">
        <f aca="false">IF(OR($D2718="",$J2718&lt;&gt;"Own"),0,IFERROR((F2718+G2718*Settings!$B$13)*INDEX(Workers!$V$5:$V$2004,MATCH($D2718,Workers!$A$5:$A$2004,0)),0))</f>
        <v>0</v>
      </c>
      <c r="T2718" s="26" t="str">
        <f aca="false">IF($D2718="","",O2718-R2718-S2718)</f>
        <v/>
      </c>
    </row>
    <row r="2719" customFormat="false" ht="15" hidden="false" customHeight="false" outlineLevel="0" collapsed="false">
      <c r="I2719" s="24" t="str">
        <f aca="false">IF($D2719="","",IFERROR(INDEX(Workers!$B$5:$B$2004,MATCH($D2719,Workers!$A$5:$A$2004,0)),"NOT FOUND"))</f>
        <v/>
      </c>
      <c r="J2719" s="24" t="str">
        <f aca="false">IF($D2719="","",IFERROR(INDEX(Workers!$C$5:$C$2004,MATCH($D2719,Workers!$A$5:$A$2004,0)),""))</f>
        <v/>
      </c>
      <c r="K2719" s="24" t="str">
        <f aca="false">IF($D2719="","",IFERROR(IF(INDEX(Workers!$D$5:$D$2004,MATCH($D2719,Workers!$A$5:$A$2004,0))=0,"",INDEX(Workers!$D$5:$D$2004,MATCH($D2719,Workers!$A$5:$A$2004,0))),""))</f>
        <v/>
      </c>
      <c r="L2719" s="24" t="str">
        <f aca="false">IF($D2719="","",IFERROR(INDEX(Workers!$E$5:$E$2004,MATCH($D2719,Workers!$A$5:$A$2004,0)),""))</f>
        <v/>
      </c>
      <c r="M2719" s="26" t="str">
        <f aca="false">IF($D2719="","",IFERROR(INDEX(ClientRates!$D$5:$D$500,MATCH($B2719&amp;"|"&amp;$L2719,ClientRates!$A$5:$A$500,0)),0))</f>
        <v/>
      </c>
      <c r="N2719" s="26" t="str">
        <f aca="false">IF($D2719="","",IFERROR(INDEX(ClientRates!$E$5:$E$500,MATCH($B2719&amp;"|"&amp;$L2719,ClientRates!$A$5:$A$500,0)),0))</f>
        <v/>
      </c>
      <c r="O2719" s="26" t="str">
        <f aca="false">IF($D2719="","",F2719*M2719+G2719*N2719)</f>
        <v/>
      </c>
      <c r="P2719" s="26" t="str">
        <f aca="false">IF(OR($D2719="",$J2719&lt;&gt;"Supplier"),"",IFERROR(INDEX(SupplierRates!$D$5:$D$500,MATCH($K2719&amp;"|"&amp;$L2719,SupplierRates!$A$5:$A$500,0)),0))</f>
        <v/>
      </c>
      <c r="Q2719" s="26" t="str">
        <f aca="false">IF(OR($D2719="",$J2719&lt;&gt;"Supplier"),"",IFERROR(INDEX(SupplierRates!$E$5:$E$500,MATCH($K2719&amp;"|"&amp;$L2719,SupplierRates!$A$5:$A$500,0)),0))</f>
        <v/>
      </c>
      <c r="R2719" s="26" t="n">
        <f aca="false">IF(OR($D2719="",$J2719&lt;&gt;"Supplier"),0,F2719*P2719+G2719*Q2719)</f>
        <v>0</v>
      </c>
      <c r="S2719" s="26" t="n">
        <f aca="false">IF(OR($D2719="",$J2719&lt;&gt;"Own"),0,IFERROR((F2719+G2719*Settings!$B$13)*INDEX(Workers!$V$5:$V$2004,MATCH($D2719,Workers!$A$5:$A$2004,0)),0))</f>
        <v>0</v>
      </c>
      <c r="T2719" s="26" t="str">
        <f aca="false">IF($D2719="","",O2719-R2719-S2719)</f>
        <v/>
      </c>
    </row>
    <row r="2720" customFormat="false" ht="15" hidden="false" customHeight="false" outlineLevel="0" collapsed="false">
      <c r="I2720" s="24" t="str">
        <f aca="false">IF($D2720="","",IFERROR(INDEX(Workers!$B$5:$B$2004,MATCH($D2720,Workers!$A$5:$A$2004,0)),"NOT FOUND"))</f>
        <v/>
      </c>
      <c r="J2720" s="24" t="str">
        <f aca="false">IF($D2720="","",IFERROR(INDEX(Workers!$C$5:$C$2004,MATCH($D2720,Workers!$A$5:$A$2004,0)),""))</f>
        <v/>
      </c>
      <c r="K2720" s="24" t="str">
        <f aca="false">IF($D2720="","",IFERROR(IF(INDEX(Workers!$D$5:$D$2004,MATCH($D2720,Workers!$A$5:$A$2004,0))=0,"",INDEX(Workers!$D$5:$D$2004,MATCH($D2720,Workers!$A$5:$A$2004,0))),""))</f>
        <v/>
      </c>
      <c r="L2720" s="24" t="str">
        <f aca="false">IF($D2720="","",IFERROR(INDEX(Workers!$E$5:$E$2004,MATCH($D2720,Workers!$A$5:$A$2004,0)),""))</f>
        <v/>
      </c>
      <c r="M2720" s="26" t="str">
        <f aca="false">IF($D2720="","",IFERROR(INDEX(ClientRates!$D$5:$D$500,MATCH($B2720&amp;"|"&amp;$L2720,ClientRates!$A$5:$A$500,0)),0))</f>
        <v/>
      </c>
      <c r="N2720" s="26" t="str">
        <f aca="false">IF($D2720="","",IFERROR(INDEX(ClientRates!$E$5:$E$500,MATCH($B2720&amp;"|"&amp;$L2720,ClientRates!$A$5:$A$500,0)),0))</f>
        <v/>
      </c>
      <c r="O2720" s="26" t="str">
        <f aca="false">IF($D2720="","",F2720*M2720+G2720*N2720)</f>
        <v/>
      </c>
      <c r="P2720" s="26" t="str">
        <f aca="false">IF(OR($D2720="",$J2720&lt;&gt;"Supplier"),"",IFERROR(INDEX(SupplierRates!$D$5:$D$500,MATCH($K2720&amp;"|"&amp;$L2720,SupplierRates!$A$5:$A$500,0)),0))</f>
        <v/>
      </c>
      <c r="Q2720" s="26" t="str">
        <f aca="false">IF(OR($D2720="",$J2720&lt;&gt;"Supplier"),"",IFERROR(INDEX(SupplierRates!$E$5:$E$500,MATCH($K2720&amp;"|"&amp;$L2720,SupplierRates!$A$5:$A$500,0)),0))</f>
        <v/>
      </c>
      <c r="R2720" s="26" t="n">
        <f aca="false">IF(OR($D2720="",$J2720&lt;&gt;"Supplier"),0,F2720*P2720+G2720*Q2720)</f>
        <v>0</v>
      </c>
      <c r="S2720" s="26" t="n">
        <f aca="false">IF(OR($D2720="",$J2720&lt;&gt;"Own"),0,IFERROR((F2720+G2720*Settings!$B$13)*INDEX(Workers!$V$5:$V$2004,MATCH($D2720,Workers!$A$5:$A$2004,0)),0))</f>
        <v>0</v>
      </c>
      <c r="T2720" s="26" t="str">
        <f aca="false">IF($D2720="","",O2720-R2720-S2720)</f>
        <v/>
      </c>
    </row>
    <row r="2721" customFormat="false" ht="15" hidden="false" customHeight="false" outlineLevel="0" collapsed="false">
      <c r="I2721" s="24" t="str">
        <f aca="false">IF($D2721="","",IFERROR(INDEX(Workers!$B$5:$B$2004,MATCH($D2721,Workers!$A$5:$A$2004,0)),"NOT FOUND"))</f>
        <v/>
      </c>
      <c r="J2721" s="24" t="str">
        <f aca="false">IF($D2721="","",IFERROR(INDEX(Workers!$C$5:$C$2004,MATCH($D2721,Workers!$A$5:$A$2004,0)),""))</f>
        <v/>
      </c>
      <c r="K2721" s="24" t="str">
        <f aca="false">IF($D2721="","",IFERROR(IF(INDEX(Workers!$D$5:$D$2004,MATCH($D2721,Workers!$A$5:$A$2004,0))=0,"",INDEX(Workers!$D$5:$D$2004,MATCH($D2721,Workers!$A$5:$A$2004,0))),""))</f>
        <v/>
      </c>
      <c r="L2721" s="24" t="str">
        <f aca="false">IF($D2721="","",IFERROR(INDEX(Workers!$E$5:$E$2004,MATCH($D2721,Workers!$A$5:$A$2004,0)),""))</f>
        <v/>
      </c>
      <c r="M2721" s="26" t="str">
        <f aca="false">IF($D2721="","",IFERROR(INDEX(ClientRates!$D$5:$D$500,MATCH($B2721&amp;"|"&amp;$L2721,ClientRates!$A$5:$A$500,0)),0))</f>
        <v/>
      </c>
      <c r="N2721" s="26" t="str">
        <f aca="false">IF($D2721="","",IFERROR(INDEX(ClientRates!$E$5:$E$500,MATCH($B2721&amp;"|"&amp;$L2721,ClientRates!$A$5:$A$500,0)),0))</f>
        <v/>
      </c>
      <c r="O2721" s="26" t="str">
        <f aca="false">IF($D2721="","",F2721*M2721+G2721*N2721)</f>
        <v/>
      </c>
      <c r="P2721" s="26" t="str">
        <f aca="false">IF(OR($D2721="",$J2721&lt;&gt;"Supplier"),"",IFERROR(INDEX(SupplierRates!$D$5:$D$500,MATCH($K2721&amp;"|"&amp;$L2721,SupplierRates!$A$5:$A$500,0)),0))</f>
        <v/>
      </c>
      <c r="Q2721" s="26" t="str">
        <f aca="false">IF(OR($D2721="",$J2721&lt;&gt;"Supplier"),"",IFERROR(INDEX(SupplierRates!$E$5:$E$500,MATCH($K2721&amp;"|"&amp;$L2721,SupplierRates!$A$5:$A$500,0)),0))</f>
        <v/>
      </c>
      <c r="R2721" s="26" t="n">
        <f aca="false">IF(OR($D2721="",$J2721&lt;&gt;"Supplier"),0,F2721*P2721+G2721*Q2721)</f>
        <v>0</v>
      </c>
      <c r="S2721" s="26" t="n">
        <f aca="false">IF(OR($D2721="",$J2721&lt;&gt;"Own"),0,IFERROR((F2721+G2721*Settings!$B$13)*INDEX(Workers!$V$5:$V$2004,MATCH($D2721,Workers!$A$5:$A$2004,0)),0))</f>
        <v>0</v>
      </c>
      <c r="T2721" s="26" t="str">
        <f aca="false">IF($D2721="","",O2721-R2721-S2721)</f>
        <v/>
      </c>
    </row>
    <row r="2722" customFormat="false" ht="15" hidden="false" customHeight="false" outlineLevel="0" collapsed="false">
      <c r="I2722" s="24" t="str">
        <f aca="false">IF($D2722="","",IFERROR(INDEX(Workers!$B$5:$B$2004,MATCH($D2722,Workers!$A$5:$A$2004,0)),"NOT FOUND"))</f>
        <v/>
      </c>
      <c r="J2722" s="24" t="str">
        <f aca="false">IF($D2722="","",IFERROR(INDEX(Workers!$C$5:$C$2004,MATCH($D2722,Workers!$A$5:$A$2004,0)),""))</f>
        <v/>
      </c>
      <c r="K2722" s="24" t="str">
        <f aca="false">IF($D2722="","",IFERROR(IF(INDEX(Workers!$D$5:$D$2004,MATCH($D2722,Workers!$A$5:$A$2004,0))=0,"",INDEX(Workers!$D$5:$D$2004,MATCH($D2722,Workers!$A$5:$A$2004,0))),""))</f>
        <v/>
      </c>
      <c r="L2722" s="24" t="str">
        <f aca="false">IF($D2722="","",IFERROR(INDEX(Workers!$E$5:$E$2004,MATCH($D2722,Workers!$A$5:$A$2004,0)),""))</f>
        <v/>
      </c>
      <c r="M2722" s="26" t="str">
        <f aca="false">IF($D2722="","",IFERROR(INDEX(ClientRates!$D$5:$D$500,MATCH($B2722&amp;"|"&amp;$L2722,ClientRates!$A$5:$A$500,0)),0))</f>
        <v/>
      </c>
      <c r="N2722" s="26" t="str">
        <f aca="false">IF($D2722="","",IFERROR(INDEX(ClientRates!$E$5:$E$500,MATCH($B2722&amp;"|"&amp;$L2722,ClientRates!$A$5:$A$500,0)),0))</f>
        <v/>
      </c>
      <c r="O2722" s="26" t="str">
        <f aca="false">IF($D2722="","",F2722*M2722+G2722*N2722)</f>
        <v/>
      </c>
      <c r="P2722" s="26" t="str">
        <f aca="false">IF(OR($D2722="",$J2722&lt;&gt;"Supplier"),"",IFERROR(INDEX(SupplierRates!$D$5:$D$500,MATCH($K2722&amp;"|"&amp;$L2722,SupplierRates!$A$5:$A$500,0)),0))</f>
        <v/>
      </c>
      <c r="Q2722" s="26" t="str">
        <f aca="false">IF(OR($D2722="",$J2722&lt;&gt;"Supplier"),"",IFERROR(INDEX(SupplierRates!$E$5:$E$500,MATCH($K2722&amp;"|"&amp;$L2722,SupplierRates!$A$5:$A$500,0)),0))</f>
        <v/>
      </c>
      <c r="R2722" s="26" t="n">
        <f aca="false">IF(OR($D2722="",$J2722&lt;&gt;"Supplier"),0,F2722*P2722+G2722*Q2722)</f>
        <v>0</v>
      </c>
      <c r="S2722" s="26" t="n">
        <f aca="false">IF(OR($D2722="",$J2722&lt;&gt;"Own"),0,IFERROR((F2722+G2722*Settings!$B$13)*INDEX(Workers!$V$5:$V$2004,MATCH($D2722,Workers!$A$5:$A$2004,0)),0))</f>
        <v>0</v>
      </c>
      <c r="T2722" s="26" t="str">
        <f aca="false">IF($D2722="","",O2722-R2722-S2722)</f>
        <v/>
      </c>
    </row>
    <row r="2723" customFormat="false" ht="15" hidden="false" customHeight="false" outlineLevel="0" collapsed="false">
      <c r="I2723" s="24" t="str">
        <f aca="false">IF($D2723="","",IFERROR(INDEX(Workers!$B$5:$B$2004,MATCH($D2723,Workers!$A$5:$A$2004,0)),"NOT FOUND"))</f>
        <v/>
      </c>
      <c r="J2723" s="24" t="str">
        <f aca="false">IF($D2723="","",IFERROR(INDEX(Workers!$C$5:$C$2004,MATCH($D2723,Workers!$A$5:$A$2004,0)),""))</f>
        <v/>
      </c>
      <c r="K2723" s="24" t="str">
        <f aca="false">IF($D2723="","",IFERROR(IF(INDEX(Workers!$D$5:$D$2004,MATCH($D2723,Workers!$A$5:$A$2004,0))=0,"",INDEX(Workers!$D$5:$D$2004,MATCH($D2723,Workers!$A$5:$A$2004,0))),""))</f>
        <v/>
      </c>
      <c r="L2723" s="24" t="str">
        <f aca="false">IF($D2723="","",IFERROR(INDEX(Workers!$E$5:$E$2004,MATCH($D2723,Workers!$A$5:$A$2004,0)),""))</f>
        <v/>
      </c>
      <c r="M2723" s="26" t="str">
        <f aca="false">IF($D2723="","",IFERROR(INDEX(ClientRates!$D$5:$D$500,MATCH($B2723&amp;"|"&amp;$L2723,ClientRates!$A$5:$A$500,0)),0))</f>
        <v/>
      </c>
      <c r="N2723" s="26" t="str">
        <f aca="false">IF($D2723="","",IFERROR(INDEX(ClientRates!$E$5:$E$500,MATCH($B2723&amp;"|"&amp;$L2723,ClientRates!$A$5:$A$500,0)),0))</f>
        <v/>
      </c>
      <c r="O2723" s="26" t="str">
        <f aca="false">IF($D2723="","",F2723*M2723+G2723*N2723)</f>
        <v/>
      </c>
      <c r="P2723" s="26" t="str">
        <f aca="false">IF(OR($D2723="",$J2723&lt;&gt;"Supplier"),"",IFERROR(INDEX(SupplierRates!$D$5:$D$500,MATCH($K2723&amp;"|"&amp;$L2723,SupplierRates!$A$5:$A$500,0)),0))</f>
        <v/>
      </c>
      <c r="Q2723" s="26" t="str">
        <f aca="false">IF(OR($D2723="",$J2723&lt;&gt;"Supplier"),"",IFERROR(INDEX(SupplierRates!$E$5:$E$500,MATCH($K2723&amp;"|"&amp;$L2723,SupplierRates!$A$5:$A$500,0)),0))</f>
        <v/>
      </c>
      <c r="R2723" s="26" t="n">
        <f aca="false">IF(OR($D2723="",$J2723&lt;&gt;"Supplier"),0,F2723*P2723+G2723*Q2723)</f>
        <v>0</v>
      </c>
      <c r="S2723" s="26" t="n">
        <f aca="false">IF(OR($D2723="",$J2723&lt;&gt;"Own"),0,IFERROR((F2723+G2723*Settings!$B$13)*INDEX(Workers!$V$5:$V$2004,MATCH($D2723,Workers!$A$5:$A$2004,0)),0))</f>
        <v>0</v>
      </c>
      <c r="T2723" s="26" t="str">
        <f aca="false">IF($D2723="","",O2723-R2723-S2723)</f>
        <v/>
      </c>
    </row>
    <row r="2724" customFormat="false" ht="15" hidden="false" customHeight="false" outlineLevel="0" collapsed="false">
      <c r="I2724" s="24" t="str">
        <f aca="false">IF($D2724="","",IFERROR(INDEX(Workers!$B$5:$B$2004,MATCH($D2724,Workers!$A$5:$A$2004,0)),"NOT FOUND"))</f>
        <v/>
      </c>
      <c r="J2724" s="24" t="str">
        <f aca="false">IF($D2724="","",IFERROR(INDEX(Workers!$C$5:$C$2004,MATCH($D2724,Workers!$A$5:$A$2004,0)),""))</f>
        <v/>
      </c>
      <c r="K2724" s="24" t="str">
        <f aca="false">IF($D2724="","",IFERROR(IF(INDEX(Workers!$D$5:$D$2004,MATCH($D2724,Workers!$A$5:$A$2004,0))=0,"",INDEX(Workers!$D$5:$D$2004,MATCH($D2724,Workers!$A$5:$A$2004,0))),""))</f>
        <v/>
      </c>
      <c r="L2724" s="24" t="str">
        <f aca="false">IF($D2724="","",IFERROR(INDEX(Workers!$E$5:$E$2004,MATCH($D2724,Workers!$A$5:$A$2004,0)),""))</f>
        <v/>
      </c>
      <c r="M2724" s="26" t="str">
        <f aca="false">IF($D2724="","",IFERROR(INDEX(ClientRates!$D$5:$D$500,MATCH($B2724&amp;"|"&amp;$L2724,ClientRates!$A$5:$A$500,0)),0))</f>
        <v/>
      </c>
      <c r="N2724" s="26" t="str">
        <f aca="false">IF($D2724="","",IFERROR(INDEX(ClientRates!$E$5:$E$500,MATCH($B2724&amp;"|"&amp;$L2724,ClientRates!$A$5:$A$500,0)),0))</f>
        <v/>
      </c>
      <c r="O2724" s="26" t="str">
        <f aca="false">IF($D2724="","",F2724*M2724+G2724*N2724)</f>
        <v/>
      </c>
      <c r="P2724" s="26" t="str">
        <f aca="false">IF(OR($D2724="",$J2724&lt;&gt;"Supplier"),"",IFERROR(INDEX(SupplierRates!$D$5:$D$500,MATCH($K2724&amp;"|"&amp;$L2724,SupplierRates!$A$5:$A$500,0)),0))</f>
        <v/>
      </c>
      <c r="Q2724" s="26" t="str">
        <f aca="false">IF(OR($D2724="",$J2724&lt;&gt;"Supplier"),"",IFERROR(INDEX(SupplierRates!$E$5:$E$500,MATCH($K2724&amp;"|"&amp;$L2724,SupplierRates!$A$5:$A$500,0)),0))</f>
        <v/>
      </c>
      <c r="R2724" s="26" t="n">
        <f aca="false">IF(OR($D2724="",$J2724&lt;&gt;"Supplier"),0,F2724*P2724+G2724*Q2724)</f>
        <v>0</v>
      </c>
      <c r="S2724" s="26" t="n">
        <f aca="false">IF(OR($D2724="",$J2724&lt;&gt;"Own"),0,IFERROR((F2724+G2724*Settings!$B$13)*INDEX(Workers!$V$5:$V$2004,MATCH($D2724,Workers!$A$5:$A$2004,0)),0))</f>
        <v>0</v>
      </c>
      <c r="T2724" s="26" t="str">
        <f aca="false">IF($D2724="","",O2724-R2724-S2724)</f>
        <v/>
      </c>
    </row>
    <row r="2725" customFormat="false" ht="15" hidden="false" customHeight="false" outlineLevel="0" collapsed="false">
      <c r="I2725" s="24" t="str">
        <f aca="false">IF($D2725="","",IFERROR(INDEX(Workers!$B$5:$B$2004,MATCH($D2725,Workers!$A$5:$A$2004,0)),"NOT FOUND"))</f>
        <v/>
      </c>
      <c r="J2725" s="24" t="str">
        <f aca="false">IF($D2725="","",IFERROR(INDEX(Workers!$C$5:$C$2004,MATCH($D2725,Workers!$A$5:$A$2004,0)),""))</f>
        <v/>
      </c>
      <c r="K2725" s="24" t="str">
        <f aca="false">IF($D2725="","",IFERROR(IF(INDEX(Workers!$D$5:$D$2004,MATCH($D2725,Workers!$A$5:$A$2004,0))=0,"",INDEX(Workers!$D$5:$D$2004,MATCH($D2725,Workers!$A$5:$A$2004,0))),""))</f>
        <v/>
      </c>
      <c r="L2725" s="24" t="str">
        <f aca="false">IF($D2725="","",IFERROR(INDEX(Workers!$E$5:$E$2004,MATCH($D2725,Workers!$A$5:$A$2004,0)),""))</f>
        <v/>
      </c>
      <c r="M2725" s="26" t="str">
        <f aca="false">IF($D2725="","",IFERROR(INDEX(ClientRates!$D$5:$D$500,MATCH($B2725&amp;"|"&amp;$L2725,ClientRates!$A$5:$A$500,0)),0))</f>
        <v/>
      </c>
      <c r="N2725" s="26" t="str">
        <f aca="false">IF($D2725="","",IFERROR(INDEX(ClientRates!$E$5:$E$500,MATCH($B2725&amp;"|"&amp;$L2725,ClientRates!$A$5:$A$500,0)),0))</f>
        <v/>
      </c>
      <c r="O2725" s="26" t="str">
        <f aca="false">IF($D2725="","",F2725*M2725+G2725*N2725)</f>
        <v/>
      </c>
      <c r="P2725" s="26" t="str">
        <f aca="false">IF(OR($D2725="",$J2725&lt;&gt;"Supplier"),"",IFERROR(INDEX(SupplierRates!$D$5:$D$500,MATCH($K2725&amp;"|"&amp;$L2725,SupplierRates!$A$5:$A$500,0)),0))</f>
        <v/>
      </c>
      <c r="Q2725" s="26" t="str">
        <f aca="false">IF(OR($D2725="",$J2725&lt;&gt;"Supplier"),"",IFERROR(INDEX(SupplierRates!$E$5:$E$500,MATCH($K2725&amp;"|"&amp;$L2725,SupplierRates!$A$5:$A$500,0)),0))</f>
        <v/>
      </c>
      <c r="R2725" s="26" t="n">
        <f aca="false">IF(OR($D2725="",$J2725&lt;&gt;"Supplier"),0,F2725*P2725+G2725*Q2725)</f>
        <v>0</v>
      </c>
      <c r="S2725" s="26" t="n">
        <f aca="false">IF(OR($D2725="",$J2725&lt;&gt;"Own"),0,IFERROR((F2725+G2725*Settings!$B$13)*INDEX(Workers!$V$5:$V$2004,MATCH($D2725,Workers!$A$5:$A$2004,0)),0))</f>
        <v>0</v>
      </c>
      <c r="T2725" s="26" t="str">
        <f aca="false">IF($D2725="","",O2725-R2725-S2725)</f>
        <v/>
      </c>
    </row>
    <row r="2726" customFormat="false" ht="15" hidden="false" customHeight="false" outlineLevel="0" collapsed="false">
      <c r="I2726" s="24" t="str">
        <f aca="false">IF($D2726="","",IFERROR(INDEX(Workers!$B$5:$B$2004,MATCH($D2726,Workers!$A$5:$A$2004,0)),"NOT FOUND"))</f>
        <v/>
      </c>
      <c r="J2726" s="24" t="str">
        <f aca="false">IF($D2726="","",IFERROR(INDEX(Workers!$C$5:$C$2004,MATCH($D2726,Workers!$A$5:$A$2004,0)),""))</f>
        <v/>
      </c>
      <c r="K2726" s="24" t="str">
        <f aca="false">IF($D2726="","",IFERROR(IF(INDEX(Workers!$D$5:$D$2004,MATCH($D2726,Workers!$A$5:$A$2004,0))=0,"",INDEX(Workers!$D$5:$D$2004,MATCH($D2726,Workers!$A$5:$A$2004,0))),""))</f>
        <v/>
      </c>
      <c r="L2726" s="24" t="str">
        <f aca="false">IF($D2726="","",IFERROR(INDEX(Workers!$E$5:$E$2004,MATCH($D2726,Workers!$A$5:$A$2004,0)),""))</f>
        <v/>
      </c>
      <c r="M2726" s="26" t="str">
        <f aca="false">IF($D2726="","",IFERROR(INDEX(ClientRates!$D$5:$D$500,MATCH($B2726&amp;"|"&amp;$L2726,ClientRates!$A$5:$A$500,0)),0))</f>
        <v/>
      </c>
      <c r="N2726" s="26" t="str">
        <f aca="false">IF($D2726="","",IFERROR(INDEX(ClientRates!$E$5:$E$500,MATCH($B2726&amp;"|"&amp;$L2726,ClientRates!$A$5:$A$500,0)),0))</f>
        <v/>
      </c>
      <c r="O2726" s="26" t="str">
        <f aca="false">IF($D2726="","",F2726*M2726+G2726*N2726)</f>
        <v/>
      </c>
      <c r="P2726" s="26" t="str">
        <f aca="false">IF(OR($D2726="",$J2726&lt;&gt;"Supplier"),"",IFERROR(INDEX(SupplierRates!$D$5:$D$500,MATCH($K2726&amp;"|"&amp;$L2726,SupplierRates!$A$5:$A$500,0)),0))</f>
        <v/>
      </c>
      <c r="Q2726" s="26" t="str">
        <f aca="false">IF(OR($D2726="",$J2726&lt;&gt;"Supplier"),"",IFERROR(INDEX(SupplierRates!$E$5:$E$500,MATCH($K2726&amp;"|"&amp;$L2726,SupplierRates!$A$5:$A$500,0)),0))</f>
        <v/>
      </c>
      <c r="R2726" s="26" t="n">
        <f aca="false">IF(OR($D2726="",$J2726&lt;&gt;"Supplier"),0,F2726*P2726+G2726*Q2726)</f>
        <v>0</v>
      </c>
      <c r="S2726" s="26" t="n">
        <f aca="false">IF(OR($D2726="",$J2726&lt;&gt;"Own"),0,IFERROR((F2726+G2726*Settings!$B$13)*INDEX(Workers!$V$5:$V$2004,MATCH($D2726,Workers!$A$5:$A$2004,0)),0))</f>
        <v>0</v>
      </c>
      <c r="T2726" s="26" t="str">
        <f aca="false">IF($D2726="","",O2726-R2726-S2726)</f>
        <v/>
      </c>
    </row>
    <row r="2727" customFormat="false" ht="15" hidden="false" customHeight="false" outlineLevel="0" collapsed="false">
      <c r="I2727" s="24" t="str">
        <f aca="false">IF($D2727="","",IFERROR(INDEX(Workers!$B$5:$B$2004,MATCH($D2727,Workers!$A$5:$A$2004,0)),"NOT FOUND"))</f>
        <v/>
      </c>
      <c r="J2727" s="24" t="str">
        <f aca="false">IF($D2727="","",IFERROR(INDEX(Workers!$C$5:$C$2004,MATCH($D2727,Workers!$A$5:$A$2004,0)),""))</f>
        <v/>
      </c>
      <c r="K2727" s="24" t="str">
        <f aca="false">IF($D2727="","",IFERROR(IF(INDEX(Workers!$D$5:$D$2004,MATCH($D2727,Workers!$A$5:$A$2004,0))=0,"",INDEX(Workers!$D$5:$D$2004,MATCH($D2727,Workers!$A$5:$A$2004,0))),""))</f>
        <v/>
      </c>
      <c r="L2727" s="24" t="str">
        <f aca="false">IF($D2727="","",IFERROR(INDEX(Workers!$E$5:$E$2004,MATCH($D2727,Workers!$A$5:$A$2004,0)),""))</f>
        <v/>
      </c>
      <c r="M2727" s="26" t="str">
        <f aca="false">IF($D2727="","",IFERROR(INDEX(ClientRates!$D$5:$D$500,MATCH($B2727&amp;"|"&amp;$L2727,ClientRates!$A$5:$A$500,0)),0))</f>
        <v/>
      </c>
      <c r="N2727" s="26" t="str">
        <f aca="false">IF($D2727="","",IFERROR(INDEX(ClientRates!$E$5:$E$500,MATCH($B2727&amp;"|"&amp;$L2727,ClientRates!$A$5:$A$500,0)),0))</f>
        <v/>
      </c>
      <c r="O2727" s="26" t="str">
        <f aca="false">IF($D2727="","",F2727*M2727+G2727*N2727)</f>
        <v/>
      </c>
      <c r="P2727" s="26" t="str">
        <f aca="false">IF(OR($D2727="",$J2727&lt;&gt;"Supplier"),"",IFERROR(INDEX(SupplierRates!$D$5:$D$500,MATCH($K2727&amp;"|"&amp;$L2727,SupplierRates!$A$5:$A$500,0)),0))</f>
        <v/>
      </c>
      <c r="Q2727" s="26" t="str">
        <f aca="false">IF(OR($D2727="",$J2727&lt;&gt;"Supplier"),"",IFERROR(INDEX(SupplierRates!$E$5:$E$500,MATCH($K2727&amp;"|"&amp;$L2727,SupplierRates!$A$5:$A$500,0)),0))</f>
        <v/>
      </c>
      <c r="R2727" s="26" t="n">
        <f aca="false">IF(OR($D2727="",$J2727&lt;&gt;"Supplier"),0,F2727*P2727+G2727*Q2727)</f>
        <v>0</v>
      </c>
      <c r="S2727" s="26" t="n">
        <f aca="false">IF(OR($D2727="",$J2727&lt;&gt;"Own"),0,IFERROR((F2727+G2727*Settings!$B$13)*INDEX(Workers!$V$5:$V$2004,MATCH($D2727,Workers!$A$5:$A$2004,0)),0))</f>
        <v>0</v>
      </c>
      <c r="T2727" s="26" t="str">
        <f aca="false">IF($D2727="","",O2727-R2727-S2727)</f>
        <v/>
      </c>
    </row>
    <row r="2728" customFormat="false" ht="15" hidden="false" customHeight="false" outlineLevel="0" collapsed="false">
      <c r="I2728" s="24" t="str">
        <f aca="false">IF($D2728="","",IFERROR(INDEX(Workers!$B$5:$B$2004,MATCH($D2728,Workers!$A$5:$A$2004,0)),"NOT FOUND"))</f>
        <v/>
      </c>
      <c r="J2728" s="24" t="str">
        <f aca="false">IF($D2728="","",IFERROR(INDEX(Workers!$C$5:$C$2004,MATCH($D2728,Workers!$A$5:$A$2004,0)),""))</f>
        <v/>
      </c>
      <c r="K2728" s="24" t="str">
        <f aca="false">IF($D2728="","",IFERROR(IF(INDEX(Workers!$D$5:$D$2004,MATCH($D2728,Workers!$A$5:$A$2004,0))=0,"",INDEX(Workers!$D$5:$D$2004,MATCH($D2728,Workers!$A$5:$A$2004,0))),""))</f>
        <v/>
      </c>
      <c r="L2728" s="24" t="str">
        <f aca="false">IF($D2728="","",IFERROR(INDEX(Workers!$E$5:$E$2004,MATCH($D2728,Workers!$A$5:$A$2004,0)),""))</f>
        <v/>
      </c>
      <c r="M2728" s="26" t="str">
        <f aca="false">IF($D2728="","",IFERROR(INDEX(ClientRates!$D$5:$D$500,MATCH($B2728&amp;"|"&amp;$L2728,ClientRates!$A$5:$A$500,0)),0))</f>
        <v/>
      </c>
      <c r="N2728" s="26" t="str">
        <f aca="false">IF($D2728="","",IFERROR(INDEX(ClientRates!$E$5:$E$500,MATCH($B2728&amp;"|"&amp;$L2728,ClientRates!$A$5:$A$500,0)),0))</f>
        <v/>
      </c>
      <c r="O2728" s="26" t="str">
        <f aca="false">IF($D2728="","",F2728*M2728+G2728*N2728)</f>
        <v/>
      </c>
      <c r="P2728" s="26" t="str">
        <f aca="false">IF(OR($D2728="",$J2728&lt;&gt;"Supplier"),"",IFERROR(INDEX(SupplierRates!$D$5:$D$500,MATCH($K2728&amp;"|"&amp;$L2728,SupplierRates!$A$5:$A$500,0)),0))</f>
        <v/>
      </c>
      <c r="Q2728" s="26" t="str">
        <f aca="false">IF(OR($D2728="",$J2728&lt;&gt;"Supplier"),"",IFERROR(INDEX(SupplierRates!$E$5:$E$500,MATCH($K2728&amp;"|"&amp;$L2728,SupplierRates!$A$5:$A$500,0)),0))</f>
        <v/>
      </c>
      <c r="R2728" s="26" t="n">
        <f aca="false">IF(OR($D2728="",$J2728&lt;&gt;"Supplier"),0,F2728*P2728+G2728*Q2728)</f>
        <v>0</v>
      </c>
      <c r="S2728" s="26" t="n">
        <f aca="false">IF(OR($D2728="",$J2728&lt;&gt;"Own"),0,IFERROR((F2728+G2728*Settings!$B$13)*INDEX(Workers!$V$5:$V$2004,MATCH($D2728,Workers!$A$5:$A$2004,0)),0))</f>
        <v>0</v>
      </c>
      <c r="T2728" s="26" t="str">
        <f aca="false">IF($D2728="","",O2728-R2728-S2728)</f>
        <v/>
      </c>
    </row>
    <row r="2729" customFormat="false" ht="15" hidden="false" customHeight="false" outlineLevel="0" collapsed="false">
      <c r="I2729" s="24" t="str">
        <f aca="false">IF($D2729="","",IFERROR(INDEX(Workers!$B$5:$B$2004,MATCH($D2729,Workers!$A$5:$A$2004,0)),"NOT FOUND"))</f>
        <v/>
      </c>
      <c r="J2729" s="24" t="str">
        <f aca="false">IF($D2729="","",IFERROR(INDEX(Workers!$C$5:$C$2004,MATCH($D2729,Workers!$A$5:$A$2004,0)),""))</f>
        <v/>
      </c>
      <c r="K2729" s="24" t="str">
        <f aca="false">IF($D2729="","",IFERROR(IF(INDEX(Workers!$D$5:$D$2004,MATCH($D2729,Workers!$A$5:$A$2004,0))=0,"",INDEX(Workers!$D$5:$D$2004,MATCH($D2729,Workers!$A$5:$A$2004,0))),""))</f>
        <v/>
      </c>
      <c r="L2729" s="24" t="str">
        <f aca="false">IF($D2729="","",IFERROR(INDEX(Workers!$E$5:$E$2004,MATCH($D2729,Workers!$A$5:$A$2004,0)),""))</f>
        <v/>
      </c>
      <c r="M2729" s="26" t="str">
        <f aca="false">IF($D2729="","",IFERROR(INDEX(ClientRates!$D$5:$D$500,MATCH($B2729&amp;"|"&amp;$L2729,ClientRates!$A$5:$A$500,0)),0))</f>
        <v/>
      </c>
      <c r="N2729" s="26" t="str">
        <f aca="false">IF($D2729="","",IFERROR(INDEX(ClientRates!$E$5:$E$500,MATCH($B2729&amp;"|"&amp;$L2729,ClientRates!$A$5:$A$500,0)),0))</f>
        <v/>
      </c>
      <c r="O2729" s="26" t="str">
        <f aca="false">IF($D2729="","",F2729*M2729+G2729*N2729)</f>
        <v/>
      </c>
      <c r="P2729" s="26" t="str">
        <f aca="false">IF(OR($D2729="",$J2729&lt;&gt;"Supplier"),"",IFERROR(INDEX(SupplierRates!$D$5:$D$500,MATCH($K2729&amp;"|"&amp;$L2729,SupplierRates!$A$5:$A$500,0)),0))</f>
        <v/>
      </c>
      <c r="Q2729" s="26" t="str">
        <f aca="false">IF(OR($D2729="",$J2729&lt;&gt;"Supplier"),"",IFERROR(INDEX(SupplierRates!$E$5:$E$500,MATCH($K2729&amp;"|"&amp;$L2729,SupplierRates!$A$5:$A$500,0)),0))</f>
        <v/>
      </c>
      <c r="R2729" s="26" t="n">
        <f aca="false">IF(OR($D2729="",$J2729&lt;&gt;"Supplier"),0,F2729*P2729+G2729*Q2729)</f>
        <v>0</v>
      </c>
      <c r="S2729" s="26" t="n">
        <f aca="false">IF(OR($D2729="",$J2729&lt;&gt;"Own"),0,IFERROR((F2729+G2729*Settings!$B$13)*INDEX(Workers!$V$5:$V$2004,MATCH($D2729,Workers!$A$5:$A$2004,0)),0))</f>
        <v>0</v>
      </c>
      <c r="T2729" s="26" t="str">
        <f aca="false">IF($D2729="","",O2729-R2729-S2729)</f>
        <v/>
      </c>
    </row>
    <row r="2730" customFormat="false" ht="15" hidden="false" customHeight="false" outlineLevel="0" collapsed="false">
      <c r="I2730" s="24" t="str">
        <f aca="false">IF($D2730="","",IFERROR(INDEX(Workers!$B$5:$B$2004,MATCH($D2730,Workers!$A$5:$A$2004,0)),"NOT FOUND"))</f>
        <v/>
      </c>
      <c r="J2730" s="24" t="str">
        <f aca="false">IF($D2730="","",IFERROR(INDEX(Workers!$C$5:$C$2004,MATCH($D2730,Workers!$A$5:$A$2004,0)),""))</f>
        <v/>
      </c>
      <c r="K2730" s="24" t="str">
        <f aca="false">IF($D2730="","",IFERROR(IF(INDEX(Workers!$D$5:$D$2004,MATCH($D2730,Workers!$A$5:$A$2004,0))=0,"",INDEX(Workers!$D$5:$D$2004,MATCH($D2730,Workers!$A$5:$A$2004,0))),""))</f>
        <v/>
      </c>
      <c r="L2730" s="24" t="str">
        <f aca="false">IF($D2730="","",IFERROR(INDEX(Workers!$E$5:$E$2004,MATCH($D2730,Workers!$A$5:$A$2004,0)),""))</f>
        <v/>
      </c>
      <c r="M2730" s="26" t="str">
        <f aca="false">IF($D2730="","",IFERROR(INDEX(ClientRates!$D$5:$D$500,MATCH($B2730&amp;"|"&amp;$L2730,ClientRates!$A$5:$A$500,0)),0))</f>
        <v/>
      </c>
      <c r="N2730" s="26" t="str">
        <f aca="false">IF($D2730="","",IFERROR(INDEX(ClientRates!$E$5:$E$500,MATCH($B2730&amp;"|"&amp;$L2730,ClientRates!$A$5:$A$500,0)),0))</f>
        <v/>
      </c>
      <c r="O2730" s="26" t="str">
        <f aca="false">IF($D2730="","",F2730*M2730+G2730*N2730)</f>
        <v/>
      </c>
      <c r="P2730" s="26" t="str">
        <f aca="false">IF(OR($D2730="",$J2730&lt;&gt;"Supplier"),"",IFERROR(INDEX(SupplierRates!$D$5:$D$500,MATCH($K2730&amp;"|"&amp;$L2730,SupplierRates!$A$5:$A$500,0)),0))</f>
        <v/>
      </c>
      <c r="Q2730" s="26" t="str">
        <f aca="false">IF(OR($D2730="",$J2730&lt;&gt;"Supplier"),"",IFERROR(INDEX(SupplierRates!$E$5:$E$500,MATCH($K2730&amp;"|"&amp;$L2730,SupplierRates!$A$5:$A$500,0)),0))</f>
        <v/>
      </c>
      <c r="R2730" s="26" t="n">
        <f aca="false">IF(OR($D2730="",$J2730&lt;&gt;"Supplier"),0,F2730*P2730+G2730*Q2730)</f>
        <v>0</v>
      </c>
      <c r="S2730" s="26" t="n">
        <f aca="false">IF(OR($D2730="",$J2730&lt;&gt;"Own"),0,IFERROR((F2730+G2730*Settings!$B$13)*INDEX(Workers!$V$5:$V$2004,MATCH($D2730,Workers!$A$5:$A$2004,0)),0))</f>
        <v>0</v>
      </c>
      <c r="T2730" s="26" t="str">
        <f aca="false">IF($D2730="","",O2730-R2730-S2730)</f>
        <v/>
      </c>
    </row>
    <row r="2731" customFormat="false" ht="15" hidden="false" customHeight="false" outlineLevel="0" collapsed="false">
      <c r="I2731" s="24" t="str">
        <f aca="false">IF($D2731="","",IFERROR(INDEX(Workers!$B$5:$B$2004,MATCH($D2731,Workers!$A$5:$A$2004,0)),"NOT FOUND"))</f>
        <v/>
      </c>
      <c r="J2731" s="24" t="str">
        <f aca="false">IF($D2731="","",IFERROR(INDEX(Workers!$C$5:$C$2004,MATCH($D2731,Workers!$A$5:$A$2004,0)),""))</f>
        <v/>
      </c>
      <c r="K2731" s="24" t="str">
        <f aca="false">IF($D2731="","",IFERROR(IF(INDEX(Workers!$D$5:$D$2004,MATCH($D2731,Workers!$A$5:$A$2004,0))=0,"",INDEX(Workers!$D$5:$D$2004,MATCH($D2731,Workers!$A$5:$A$2004,0))),""))</f>
        <v/>
      </c>
      <c r="L2731" s="24" t="str">
        <f aca="false">IF($D2731="","",IFERROR(INDEX(Workers!$E$5:$E$2004,MATCH($D2731,Workers!$A$5:$A$2004,0)),""))</f>
        <v/>
      </c>
      <c r="M2731" s="26" t="str">
        <f aca="false">IF($D2731="","",IFERROR(INDEX(ClientRates!$D$5:$D$500,MATCH($B2731&amp;"|"&amp;$L2731,ClientRates!$A$5:$A$500,0)),0))</f>
        <v/>
      </c>
      <c r="N2731" s="26" t="str">
        <f aca="false">IF($D2731="","",IFERROR(INDEX(ClientRates!$E$5:$E$500,MATCH($B2731&amp;"|"&amp;$L2731,ClientRates!$A$5:$A$500,0)),0))</f>
        <v/>
      </c>
      <c r="O2731" s="26" t="str">
        <f aca="false">IF($D2731="","",F2731*M2731+G2731*N2731)</f>
        <v/>
      </c>
      <c r="P2731" s="26" t="str">
        <f aca="false">IF(OR($D2731="",$J2731&lt;&gt;"Supplier"),"",IFERROR(INDEX(SupplierRates!$D$5:$D$500,MATCH($K2731&amp;"|"&amp;$L2731,SupplierRates!$A$5:$A$500,0)),0))</f>
        <v/>
      </c>
      <c r="Q2731" s="26" t="str">
        <f aca="false">IF(OR($D2731="",$J2731&lt;&gt;"Supplier"),"",IFERROR(INDEX(SupplierRates!$E$5:$E$500,MATCH($K2731&amp;"|"&amp;$L2731,SupplierRates!$A$5:$A$500,0)),0))</f>
        <v/>
      </c>
      <c r="R2731" s="26" t="n">
        <f aca="false">IF(OR($D2731="",$J2731&lt;&gt;"Supplier"),0,F2731*P2731+G2731*Q2731)</f>
        <v>0</v>
      </c>
      <c r="S2731" s="26" t="n">
        <f aca="false">IF(OR($D2731="",$J2731&lt;&gt;"Own"),0,IFERROR((F2731+G2731*Settings!$B$13)*INDEX(Workers!$V$5:$V$2004,MATCH($D2731,Workers!$A$5:$A$2004,0)),0))</f>
        <v>0</v>
      </c>
      <c r="T2731" s="26" t="str">
        <f aca="false">IF($D2731="","",O2731-R2731-S2731)</f>
        <v/>
      </c>
    </row>
    <row r="2732" customFormat="false" ht="15" hidden="false" customHeight="false" outlineLevel="0" collapsed="false">
      <c r="I2732" s="24" t="str">
        <f aca="false">IF($D2732="","",IFERROR(INDEX(Workers!$B$5:$B$2004,MATCH($D2732,Workers!$A$5:$A$2004,0)),"NOT FOUND"))</f>
        <v/>
      </c>
      <c r="J2732" s="24" t="str">
        <f aca="false">IF($D2732="","",IFERROR(INDEX(Workers!$C$5:$C$2004,MATCH($D2732,Workers!$A$5:$A$2004,0)),""))</f>
        <v/>
      </c>
      <c r="K2732" s="24" t="str">
        <f aca="false">IF($D2732="","",IFERROR(IF(INDEX(Workers!$D$5:$D$2004,MATCH($D2732,Workers!$A$5:$A$2004,0))=0,"",INDEX(Workers!$D$5:$D$2004,MATCH($D2732,Workers!$A$5:$A$2004,0))),""))</f>
        <v/>
      </c>
      <c r="L2732" s="24" t="str">
        <f aca="false">IF($D2732="","",IFERROR(INDEX(Workers!$E$5:$E$2004,MATCH($D2732,Workers!$A$5:$A$2004,0)),""))</f>
        <v/>
      </c>
      <c r="M2732" s="26" t="str">
        <f aca="false">IF($D2732="","",IFERROR(INDEX(ClientRates!$D$5:$D$500,MATCH($B2732&amp;"|"&amp;$L2732,ClientRates!$A$5:$A$500,0)),0))</f>
        <v/>
      </c>
      <c r="N2732" s="26" t="str">
        <f aca="false">IF($D2732="","",IFERROR(INDEX(ClientRates!$E$5:$E$500,MATCH($B2732&amp;"|"&amp;$L2732,ClientRates!$A$5:$A$500,0)),0))</f>
        <v/>
      </c>
      <c r="O2732" s="26" t="str">
        <f aca="false">IF($D2732="","",F2732*M2732+G2732*N2732)</f>
        <v/>
      </c>
      <c r="P2732" s="26" t="str">
        <f aca="false">IF(OR($D2732="",$J2732&lt;&gt;"Supplier"),"",IFERROR(INDEX(SupplierRates!$D$5:$D$500,MATCH($K2732&amp;"|"&amp;$L2732,SupplierRates!$A$5:$A$500,0)),0))</f>
        <v/>
      </c>
      <c r="Q2732" s="26" t="str">
        <f aca="false">IF(OR($D2732="",$J2732&lt;&gt;"Supplier"),"",IFERROR(INDEX(SupplierRates!$E$5:$E$500,MATCH($K2732&amp;"|"&amp;$L2732,SupplierRates!$A$5:$A$500,0)),0))</f>
        <v/>
      </c>
      <c r="R2732" s="26" t="n">
        <f aca="false">IF(OR($D2732="",$J2732&lt;&gt;"Supplier"),0,F2732*P2732+G2732*Q2732)</f>
        <v>0</v>
      </c>
      <c r="S2732" s="26" t="n">
        <f aca="false">IF(OR($D2732="",$J2732&lt;&gt;"Own"),0,IFERROR((F2732+G2732*Settings!$B$13)*INDEX(Workers!$V$5:$V$2004,MATCH($D2732,Workers!$A$5:$A$2004,0)),0))</f>
        <v>0</v>
      </c>
      <c r="T2732" s="26" t="str">
        <f aca="false">IF($D2732="","",O2732-R2732-S2732)</f>
        <v/>
      </c>
    </row>
    <row r="2733" customFormat="false" ht="15" hidden="false" customHeight="false" outlineLevel="0" collapsed="false">
      <c r="I2733" s="24" t="str">
        <f aca="false">IF($D2733="","",IFERROR(INDEX(Workers!$B$5:$B$2004,MATCH($D2733,Workers!$A$5:$A$2004,0)),"NOT FOUND"))</f>
        <v/>
      </c>
      <c r="J2733" s="24" t="str">
        <f aca="false">IF($D2733="","",IFERROR(INDEX(Workers!$C$5:$C$2004,MATCH($D2733,Workers!$A$5:$A$2004,0)),""))</f>
        <v/>
      </c>
      <c r="K2733" s="24" t="str">
        <f aca="false">IF($D2733="","",IFERROR(IF(INDEX(Workers!$D$5:$D$2004,MATCH($D2733,Workers!$A$5:$A$2004,0))=0,"",INDEX(Workers!$D$5:$D$2004,MATCH($D2733,Workers!$A$5:$A$2004,0))),""))</f>
        <v/>
      </c>
      <c r="L2733" s="24" t="str">
        <f aca="false">IF($D2733="","",IFERROR(INDEX(Workers!$E$5:$E$2004,MATCH($D2733,Workers!$A$5:$A$2004,0)),""))</f>
        <v/>
      </c>
      <c r="M2733" s="26" t="str">
        <f aca="false">IF($D2733="","",IFERROR(INDEX(ClientRates!$D$5:$D$500,MATCH($B2733&amp;"|"&amp;$L2733,ClientRates!$A$5:$A$500,0)),0))</f>
        <v/>
      </c>
      <c r="N2733" s="26" t="str">
        <f aca="false">IF($D2733="","",IFERROR(INDEX(ClientRates!$E$5:$E$500,MATCH($B2733&amp;"|"&amp;$L2733,ClientRates!$A$5:$A$500,0)),0))</f>
        <v/>
      </c>
      <c r="O2733" s="26" t="str">
        <f aca="false">IF($D2733="","",F2733*M2733+G2733*N2733)</f>
        <v/>
      </c>
      <c r="P2733" s="26" t="str">
        <f aca="false">IF(OR($D2733="",$J2733&lt;&gt;"Supplier"),"",IFERROR(INDEX(SupplierRates!$D$5:$D$500,MATCH($K2733&amp;"|"&amp;$L2733,SupplierRates!$A$5:$A$500,0)),0))</f>
        <v/>
      </c>
      <c r="Q2733" s="26" t="str">
        <f aca="false">IF(OR($D2733="",$J2733&lt;&gt;"Supplier"),"",IFERROR(INDEX(SupplierRates!$E$5:$E$500,MATCH($K2733&amp;"|"&amp;$L2733,SupplierRates!$A$5:$A$500,0)),0))</f>
        <v/>
      </c>
      <c r="R2733" s="26" t="n">
        <f aca="false">IF(OR($D2733="",$J2733&lt;&gt;"Supplier"),0,F2733*P2733+G2733*Q2733)</f>
        <v>0</v>
      </c>
      <c r="S2733" s="26" t="n">
        <f aca="false">IF(OR($D2733="",$J2733&lt;&gt;"Own"),0,IFERROR((F2733+G2733*Settings!$B$13)*INDEX(Workers!$V$5:$V$2004,MATCH($D2733,Workers!$A$5:$A$2004,0)),0))</f>
        <v>0</v>
      </c>
      <c r="T2733" s="26" t="str">
        <f aca="false">IF($D2733="","",O2733-R2733-S2733)</f>
        <v/>
      </c>
    </row>
    <row r="2734" customFormat="false" ht="15" hidden="false" customHeight="false" outlineLevel="0" collapsed="false">
      <c r="I2734" s="24" t="str">
        <f aca="false">IF($D2734="","",IFERROR(INDEX(Workers!$B$5:$B$2004,MATCH($D2734,Workers!$A$5:$A$2004,0)),"NOT FOUND"))</f>
        <v/>
      </c>
      <c r="J2734" s="24" t="str">
        <f aca="false">IF($D2734="","",IFERROR(INDEX(Workers!$C$5:$C$2004,MATCH($D2734,Workers!$A$5:$A$2004,0)),""))</f>
        <v/>
      </c>
      <c r="K2734" s="24" t="str">
        <f aca="false">IF($D2734="","",IFERROR(IF(INDEX(Workers!$D$5:$D$2004,MATCH($D2734,Workers!$A$5:$A$2004,0))=0,"",INDEX(Workers!$D$5:$D$2004,MATCH($D2734,Workers!$A$5:$A$2004,0))),""))</f>
        <v/>
      </c>
      <c r="L2734" s="24" t="str">
        <f aca="false">IF($D2734="","",IFERROR(INDEX(Workers!$E$5:$E$2004,MATCH($D2734,Workers!$A$5:$A$2004,0)),""))</f>
        <v/>
      </c>
      <c r="M2734" s="26" t="str">
        <f aca="false">IF($D2734="","",IFERROR(INDEX(ClientRates!$D$5:$D$500,MATCH($B2734&amp;"|"&amp;$L2734,ClientRates!$A$5:$A$500,0)),0))</f>
        <v/>
      </c>
      <c r="N2734" s="26" t="str">
        <f aca="false">IF($D2734="","",IFERROR(INDEX(ClientRates!$E$5:$E$500,MATCH($B2734&amp;"|"&amp;$L2734,ClientRates!$A$5:$A$500,0)),0))</f>
        <v/>
      </c>
      <c r="O2734" s="26" t="str">
        <f aca="false">IF($D2734="","",F2734*M2734+G2734*N2734)</f>
        <v/>
      </c>
      <c r="P2734" s="26" t="str">
        <f aca="false">IF(OR($D2734="",$J2734&lt;&gt;"Supplier"),"",IFERROR(INDEX(SupplierRates!$D$5:$D$500,MATCH($K2734&amp;"|"&amp;$L2734,SupplierRates!$A$5:$A$500,0)),0))</f>
        <v/>
      </c>
      <c r="Q2734" s="26" t="str">
        <f aca="false">IF(OR($D2734="",$J2734&lt;&gt;"Supplier"),"",IFERROR(INDEX(SupplierRates!$E$5:$E$500,MATCH($K2734&amp;"|"&amp;$L2734,SupplierRates!$A$5:$A$500,0)),0))</f>
        <v/>
      </c>
      <c r="R2734" s="26" t="n">
        <f aca="false">IF(OR($D2734="",$J2734&lt;&gt;"Supplier"),0,F2734*P2734+G2734*Q2734)</f>
        <v>0</v>
      </c>
      <c r="S2734" s="26" t="n">
        <f aca="false">IF(OR($D2734="",$J2734&lt;&gt;"Own"),0,IFERROR((F2734+G2734*Settings!$B$13)*INDEX(Workers!$V$5:$V$2004,MATCH($D2734,Workers!$A$5:$A$2004,0)),0))</f>
        <v>0</v>
      </c>
      <c r="T2734" s="26" t="str">
        <f aca="false">IF($D2734="","",O2734-R2734-S2734)</f>
        <v/>
      </c>
    </row>
    <row r="2735" customFormat="false" ht="15" hidden="false" customHeight="false" outlineLevel="0" collapsed="false">
      <c r="I2735" s="24" t="str">
        <f aca="false">IF($D2735="","",IFERROR(INDEX(Workers!$B$5:$B$2004,MATCH($D2735,Workers!$A$5:$A$2004,0)),"NOT FOUND"))</f>
        <v/>
      </c>
      <c r="J2735" s="24" t="str">
        <f aca="false">IF($D2735="","",IFERROR(INDEX(Workers!$C$5:$C$2004,MATCH($D2735,Workers!$A$5:$A$2004,0)),""))</f>
        <v/>
      </c>
      <c r="K2735" s="24" t="str">
        <f aca="false">IF($D2735="","",IFERROR(IF(INDEX(Workers!$D$5:$D$2004,MATCH($D2735,Workers!$A$5:$A$2004,0))=0,"",INDEX(Workers!$D$5:$D$2004,MATCH($D2735,Workers!$A$5:$A$2004,0))),""))</f>
        <v/>
      </c>
      <c r="L2735" s="24" t="str">
        <f aca="false">IF($D2735="","",IFERROR(INDEX(Workers!$E$5:$E$2004,MATCH($D2735,Workers!$A$5:$A$2004,0)),""))</f>
        <v/>
      </c>
      <c r="M2735" s="26" t="str">
        <f aca="false">IF($D2735="","",IFERROR(INDEX(ClientRates!$D$5:$D$500,MATCH($B2735&amp;"|"&amp;$L2735,ClientRates!$A$5:$A$500,0)),0))</f>
        <v/>
      </c>
      <c r="N2735" s="26" t="str">
        <f aca="false">IF($D2735="","",IFERROR(INDEX(ClientRates!$E$5:$E$500,MATCH($B2735&amp;"|"&amp;$L2735,ClientRates!$A$5:$A$500,0)),0))</f>
        <v/>
      </c>
      <c r="O2735" s="26" t="str">
        <f aca="false">IF($D2735="","",F2735*M2735+G2735*N2735)</f>
        <v/>
      </c>
      <c r="P2735" s="26" t="str">
        <f aca="false">IF(OR($D2735="",$J2735&lt;&gt;"Supplier"),"",IFERROR(INDEX(SupplierRates!$D$5:$D$500,MATCH($K2735&amp;"|"&amp;$L2735,SupplierRates!$A$5:$A$500,0)),0))</f>
        <v/>
      </c>
      <c r="Q2735" s="26" t="str">
        <f aca="false">IF(OR($D2735="",$J2735&lt;&gt;"Supplier"),"",IFERROR(INDEX(SupplierRates!$E$5:$E$500,MATCH($K2735&amp;"|"&amp;$L2735,SupplierRates!$A$5:$A$500,0)),0))</f>
        <v/>
      </c>
      <c r="R2735" s="26" t="n">
        <f aca="false">IF(OR($D2735="",$J2735&lt;&gt;"Supplier"),0,F2735*P2735+G2735*Q2735)</f>
        <v>0</v>
      </c>
      <c r="S2735" s="26" t="n">
        <f aca="false">IF(OR($D2735="",$J2735&lt;&gt;"Own"),0,IFERROR((F2735+G2735*Settings!$B$13)*INDEX(Workers!$V$5:$V$2004,MATCH($D2735,Workers!$A$5:$A$2004,0)),0))</f>
        <v>0</v>
      </c>
      <c r="T2735" s="26" t="str">
        <f aca="false">IF($D2735="","",O2735-R2735-S2735)</f>
        <v/>
      </c>
    </row>
    <row r="2736" customFormat="false" ht="15" hidden="false" customHeight="false" outlineLevel="0" collapsed="false">
      <c r="I2736" s="24" t="str">
        <f aca="false">IF($D2736="","",IFERROR(INDEX(Workers!$B$5:$B$2004,MATCH($D2736,Workers!$A$5:$A$2004,0)),"NOT FOUND"))</f>
        <v/>
      </c>
      <c r="J2736" s="24" t="str">
        <f aca="false">IF($D2736="","",IFERROR(INDEX(Workers!$C$5:$C$2004,MATCH($D2736,Workers!$A$5:$A$2004,0)),""))</f>
        <v/>
      </c>
      <c r="K2736" s="24" t="str">
        <f aca="false">IF($D2736="","",IFERROR(IF(INDEX(Workers!$D$5:$D$2004,MATCH($D2736,Workers!$A$5:$A$2004,0))=0,"",INDEX(Workers!$D$5:$D$2004,MATCH($D2736,Workers!$A$5:$A$2004,0))),""))</f>
        <v/>
      </c>
      <c r="L2736" s="24" t="str">
        <f aca="false">IF($D2736="","",IFERROR(INDEX(Workers!$E$5:$E$2004,MATCH($D2736,Workers!$A$5:$A$2004,0)),""))</f>
        <v/>
      </c>
      <c r="M2736" s="26" t="str">
        <f aca="false">IF($D2736="","",IFERROR(INDEX(ClientRates!$D$5:$D$500,MATCH($B2736&amp;"|"&amp;$L2736,ClientRates!$A$5:$A$500,0)),0))</f>
        <v/>
      </c>
      <c r="N2736" s="26" t="str">
        <f aca="false">IF($D2736="","",IFERROR(INDEX(ClientRates!$E$5:$E$500,MATCH($B2736&amp;"|"&amp;$L2736,ClientRates!$A$5:$A$500,0)),0))</f>
        <v/>
      </c>
      <c r="O2736" s="26" t="str">
        <f aca="false">IF($D2736="","",F2736*M2736+G2736*N2736)</f>
        <v/>
      </c>
      <c r="P2736" s="26" t="str">
        <f aca="false">IF(OR($D2736="",$J2736&lt;&gt;"Supplier"),"",IFERROR(INDEX(SupplierRates!$D$5:$D$500,MATCH($K2736&amp;"|"&amp;$L2736,SupplierRates!$A$5:$A$500,0)),0))</f>
        <v/>
      </c>
      <c r="Q2736" s="26" t="str">
        <f aca="false">IF(OR($D2736="",$J2736&lt;&gt;"Supplier"),"",IFERROR(INDEX(SupplierRates!$E$5:$E$500,MATCH($K2736&amp;"|"&amp;$L2736,SupplierRates!$A$5:$A$500,0)),0))</f>
        <v/>
      </c>
      <c r="R2736" s="26" t="n">
        <f aca="false">IF(OR($D2736="",$J2736&lt;&gt;"Supplier"),0,F2736*P2736+G2736*Q2736)</f>
        <v>0</v>
      </c>
      <c r="S2736" s="26" t="n">
        <f aca="false">IF(OR($D2736="",$J2736&lt;&gt;"Own"),0,IFERROR((F2736+G2736*Settings!$B$13)*INDEX(Workers!$V$5:$V$2004,MATCH($D2736,Workers!$A$5:$A$2004,0)),0))</f>
        <v>0</v>
      </c>
      <c r="T2736" s="26" t="str">
        <f aca="false">IF($D2736="","",O2736-R2736-S2736)</f>
        <v/>
      </c>
    </row>
    <row r="2737" customFormat="false" ht="15" hidden="false" customHeight="false" outlineLevel="0" collapsed="false">
      <c r="I2737" s="24" t="str">
        <f aca="false">IF($D2737="","",IFERROR(INDEX(Workers!$B$5:$B$2004,MATCH($D2737,Workers!$A$5:$A$2004,0)),"NOT FOUND"))</f>
        <v/>
      </c>
      <c r="J2737" s="24" t="str">
        <f aca="false">IF($D2737="","",IFERROR(INDEX(Workers!$C$5:$C$2004,MATCH($D2737,Workers!$A$5:$A$2004,0)),""))</f>
        <v/>
      </c>
      <c r="K2737" s="24" t="str">
        <f aca="false">IF($D2737="","",IFERROR(IF(INDEX(Workers!$D$5:$D$2004,MATCH($D2737,Workers!$A$5:$A$2004,0))=0,"",INDEX(Workers!$D$5:$D$2004,MATCH($D2737,Workers!$A$5:$A$2004,0))),""))</f>
        <v/>
      </c>
      <c r="L2737" s="24" t="str">
        <f aca="false">IF($D2737="","",IFERROR(INDEX(Workers!$E$5:$E$2004,MATCH($D2737,Workers!$A$5:$A$2004,0)),""))</f>
        <v/>
      </c>
      <c r="M2737" s="26" t="str">
        <f aca="false">IF($D2737="","",IFERROR(INDEX(ClientRates!$D$5:$D$500,MATCH($B2737&amp;"|"&amp;$L2737,ClientRates!$A$5:$A$500,0)),0))</f>
        <v/>
      </c>
      <c r="N2737" s="26" t="str">
        <f aca="false">IF($D2737="","",IFERROR(INDEX(ClientRates!$E$5:$E$500,MATCH($B2737&amp;"|"&amp;$L2737,ClientRates!$A$5:$A$500,0)),0))</f>
        <v/>
      </c>
      <c r="O2737" s="26" t="str">
        <f aca="false">IF($D2737="","",F2737*M2737+G2737*N2737)</f>
        <v/>
      </c>
      <c r="P2737" s="26" t="str">
        <f aca="false">IF(OR($D2737="",$J2737&lt;&gt;"Supplier"),"",IFERROR(INDEX(SupplierRates!$D$5:$D$500,MATCH($K2737&amp;"|"&amp;$L2737,SupplierRates!$A$5:$A$500,0)),0))</f>
        <v/>
      </c>
      <c r="Q2737" s="26" t="str">
        <f aca="false">IF(OR($D2737="",$J2737&lt;&gt;"Supplier"),"",IFERROR(INDEX(SupplierRates!$E$5:$E$500,MATCH($K2737&amp;"|"&amp;$L2737,SupplierRates!$A$5:$A$500,0)),0))</f>
        <v/>
      </c>
      <c r="R2737" s="26" t="n">
        <f aca="false">IF(OR($D2737="",$J2737&lt;&gt;"Supplier"),0,F2737*P2737+G2737*Q2737)</f>
        <v>0</v>
      </c>
      <c r="S2737" s="26" t="n">
        <f aca="false">IF(OR($D2737="",$J2737&lt;&gt;"Own"),0,IFERROR((F2737+G2737*Settings!$B$13)*INDEX(Workers!$V$5:$V$2004,MATCH($D2737,Workers!$A$5:$A$2004,0)),0))</f>
        <v>0</v>
      </c>
      <c r="T2737" s="26" t="str">
        <f aca="false">IF($D2737="","",O2737-R2737-S2737)</f>
        <v/>
      </c>
    </row>
    <row r="2738" customFormat="false" ht="15" hidden="false" customHeight="false" outlineLevel="0" collapsed="false">
      <c r="I2738" s="24" t="str">
        <f aca="false">IF($D2738="","",IFERROR(INDEX(Workers!$B$5:$B$2004,MATCH($D2738,Workers!$A$5:$A$2004,0)),"NOT FOUND"))</f>
        <v/>
      </c>
      <c r="J2738" s="24" t="str">
        <f aca="false">IF($D2738="","",IFERROR(INDEX(Workers!$C$5:$C$2004,MATCH($D2738,Workers!$A$5:$A$2004,0)),""))</f>
        <v/>
      </c>
      <c r="K2738" s="24" t="str">
        <f aca="false">IF($D2738="","",IFERROR(IF(INDEX(Workers!$D$5:$D$2004,MATCH($D2738,Workers!$A$5:$A$2004,0))=0,"",INDEX(Workers!$D$5:$D$2004,MATCH($D2738,Workers!$A$5:$A$2004,0))),""))</f>
        <v/>
      </c>
      <c r="L2738" s="24" t="str">
        <f aca="false">IF($D2738="","",IFERROR(INDEX(Workers!$E$5:$E$2004,MATCH($D2738,Workers!$A$5:$A$2004,0)),""))</f>
        <v/>
      </c>
      <c r="M2738" s="26" t="str">
        <f aca="false">IF($D2738="","",IFERROR(INDEX(ClientRates!$D$5:$D$500,MATCH($B2738&amp;"|"&amp;$L2738,ClientRates!$A$5:$A$500,0)),0))</f>
        <v/>
      </c>
      <c r="N2738" s="26" t="str">
        <f aca="false">IF($D2738="","",IFERROR(INDEX(ClientRates!$E$5:$E$500,MATCH($B2738&amp;"|"&amp;$L2738,ClientRates!$A$5:$A$500,0)),0))</f>
        <v/>
      </c>
      <c r="O2738" s="26" t="str">
        <f aca="false">IF($D2738="","",F2738*M2738+G2738*N2738)</f>
        <v/>
      </c>
      <c r="P2738" s="26" t="str">
        <f aca="false">IF(OR($D2738="",$J2738&lt;&gt;"Supplier"),"",IFERROR(INDEX(SupplierRates!$D$5:$D$500,MATCH($K2738&amp;"|"&amp;$L2738,SupplierRates!$A$5:$A$500,0)),0))</f>
        <v/>
      </c>
      <c r="Q2738" s="26" t="str">
        <f aca="false">IF(OR($D2738="",$J2738&lt;&gt;"Supplier"),"",IFERROR(INDEX(SupplierRates!$E$5:$E$500,MATCH($K2738&amp;"|"&amp;$L2738,SupplierRates!$A$5:$A$500,0)),0))</f>
        <v/>
      </c>
      <c r="R2738" s="26" t="n">
        <f aca="false">IF(OR($D2738="",$J2738&lt;&gt;"Supplier"),0,F2738*P2738+G2738*Q2738)</f>
        <v>0</v>
      </c>
      <c r="S2738" s="26" t="n">
        <f aca="false">IF(OR($D2738="",$J2738&lt;&gt;"Own"),0,IFERROR((F2738+G2738*Settings!$B$13)*INDEX(Workers!$V$5:$V$2004,MATCH($D2738,Workers!$A$5:$A$2004,0)),0))</f>
        <v>0</v>
      </c>
      <c r="T2738" s="26" t="str">
        <f aca="false">IF($D2738="","",O2738-R2738-S2738)</f>
        <v/>
      </c>
    </row>
    <row r="2739" customFormat="false" ht="15" hidden="false" customHeight="false" outlineLevel="0" collapsed="false">
      <c r="I2739" s="24" t="str">
        <f aca="false">IF($D2739="","",IFERROR(INDEX(Workers!$B$5:$B$2004,MATCH($D2739,Workers!$A$5:$A$2004,0)),"NOT FOUND"))</f>
        <v/>
      </c>
      <c r="J2739" s="24" t="str">
        <f aca="false">IF($D2739="","",IFERROR(INDEX(Workers!$C$5:$C$2004,MATCH($D2739,Workers!$A$5:$A$2004,0)),""))</f>
        <v/>
      </c>
      <c r="K2739" s="24" t="str">
        <f aca="false">IF($D2739="","",IFERROR(IF(INDEX(Workers!$D$5:$D$2004,MATCH($D2739,Workers!$A$5:$A$2004,0))=0,"",INDEX(Workers!$D$5:$D$2004,MATCH($D2739,Workers!$A$5:$A$2004,0))),""))</f>
        <v/>
      </c>
      <c r="L2739" s="24" t="str">
        <f aca="false">IF($D2739="","",IFERROR(INDEX(Workers!$E$5:$E$2004,MATCH($D2739,Workers!$A$5:$A$2004,0)),""))</f>
        <v/>
      </c>
      <c r="M2739" s="26" t="str">
        <f aca="false">IF($D2739="","",IFERROR(INDEX(ClientRates!$D$5:$D$500,MATCH($B2739&amp;"|"&amp;$L2739,ClientRates!$A$5:$A$500,0)),0))</f>
        <v/>
      </c>
      <c r="N2739" s="26" t="str">
        <f aca="false">IF($D2739="","",IFERROR(INDEX(ClientRates!$E$5:$E$500,MATCH($B2739&amp;"|"&amp;$L2739,ClientRates!$A$5:$A$500,0)),0))</f>
        <v/>
      </c>
      <c r="O2739" s="26" t="str">
        <f aca="false">IF($D2739="","",F2739*M2739+G2739*N2739)</f>
        <v/>
      </c>
      <c r="P2739" s="26" t="str">
        <f aca="false">IF(OR($D2739="",$J2739&lt;&gt;"Supplier"),"",IFERROR(INDEX(SupplierRates!$D$5:$D$500,MATCH($K2739&amp;"|"&amp;$L2739,SupplierRates!$A$5:$A$500,0)),0))</f>
        <v/>
      </c>
      <c r="Q2739" s="26" t="str">
        <f aca="false">IF(OR($D2739="",$J2739&lt;&gt;"Supplier"),"",IFERROR(INDEX(SupplierRates!$E$5:$E$500,MATCH($K2739&amp;"|"&amp;$L2739,SupplierRates!$A$5:$A$500,0)),0))</f>
        <v/>
      </c>
      <c r="R2739" s="26" t="n">
        <f aca="false">IF(OR($D2739="",$J2739&lt;&gt;"Supplier"),0,F2739*P2739+G2739*Q2739)</f>
        <v>0</v>
      </c>
      <c r="S2739" s="26" t="n">
        <f aca="false">IF(OR($D2739="",$J2739&lt;&gt;"Own"),0,IFERROR((F2739+G2739*Settings!$B$13)*INDEX(Workers!$V$5:$V$2004,MATCH($D2739,Workers!$A$5:$A$2004,0)),0))</f>
        <v>0</v>
      </c>
      <c r="T2739" s="26" t="str">
        <f aca="false">IF($D2739="","",O2739-R2739-S2739)</f>
        <v/>
      </c>
    </row>
    <row r="2740" customFormat="false" ht="15" hidden="false" customHeight="false" outlineLevel="0" collapsed="false">
      <c r="I2740" s="24" t="str">
        <f aca="false">IF($D2740="","",IFERROR(INDEX(Workers!$B$5:$B$2004,MATCH($D2740,Workers!$A$5:$A$2004,0)),"NOT FOUND"))</f>
        <v/>
      </c>
      <c r="J2740" s="24" t="str">
        <f aca="false">IF($D2740="","",IFERROR(INDEX(Workers!$C$5:$C$2004,MATCH($D2740,Workers!$A$5:$A$2004,0)),""))</f>
        <v/>
      </c>
      <c r="K2740" s="24" t="str">
        <f aca="false">IF($D2740="","",IFERROR(IF(INDEX(Workers!$D$5:$D$2004,MATCH($D2740,Workers!$A$5:$A$2004,0))=0,"",INDEX(Workers!$D$5:$D$2004,MATCH($D2740,Workers!$A$5:$A$2004,0))),""))</f>
        <v/>
      </c>
      <c r="L2740" s="24" t="str">
        <f aca="false">IF($D2740="","",IFERROR(INDEX(Workers!$E$5:$E$2004,MATCH($D2740,Workers!$A$5:$A$2004,0)),""))</f>
        <v/>
      </c>
      <c r="M2740" s="26" t="str">
        <f aca="false">IF($D2740="","",IFERROR(INDEX(ClientRates!$D$5:$D$500,MATCH($B2740&amp;"|"&amp;$L2740,ClientRates!$A$5:$A$500,0)),0))</f>
        <v/>
      </c>
      <c r="N2740" s="26" t="str">
        <f aca="false">IF($D2740="","",IFERROR(INDEX(ClientRates!$E$5:$E$500,MATCH($B2740&amp;"|"&amp;$L2740,ClientRates!$A$5:$A$500,0)),0))</f>
        <v/>
      </c>
      <c r="O2740" s="26" t="str">
        <f aca="false">IF($D2740="","",F2740*M2740+G2740*N2740)</f>
        <v/>
      </c>
      <c r="P2740" s="26" t="str">
        <f aca="false">IF(OR($D2740="",$J2740&lt;&gt;"Supplier"),"",IFERROR(INDEX(SupplierRates!$D$5:$D$500,MATCH($K2740&amp;"|"&amp;$L2740,SupplierRates!$A$5:$A$500,0)),0))</f>
        <v/>
      </c>
      <c r="Q2740" s="26" t="str">
        <f aca="false">IF(OR($D2740="",$J2740&lt;&gt;"Supplier"),"",IFERROR(INDEX(SupplierRates!$E$5:$E$500,MATCH($K2740&amp;"|"&amp;$L2740,SupplierRates!$A$5:$A$500,0)),0))</f>
        <v/>
      </c>
      <c r="R2740" s="26" t="n">
        <f aca="false">IF(OR($D2740="",$J2740&lt;&gt;"Supplier"),0,F2740*P2740+G2740*Q2740)</f>
        <v>0</v>
      </c>
      <c r="S2740" s="26" t="n">
        <f aca="false">IF(OR($D2740="",$J2740&lt;&gt;"Own"),0,IFERROR((F2740+G2740*Settings!$B$13)*INDEX(Workers!$V$5:$V$2004,MATCH($D2740,Workers!$A$5:$A$2004,0)),0))</f>
        <v>0</v>
      </c>
      <c r="T2740" s="26" t="str">
        <f aca="false">IF($D2740="","",O2740-R2740-S2740)</f>
        <v/>
      </c>
    </row>
    <row r="2741" customFormat="false" ht="15" hidden="false" customHeight="false" outlineLevel="0" collapsed="false">
      <c r="I2741" s="24" t="str">
        <f aca="false">IF($D2741="","",IFERROR(INDEX(Workers!$B$5:$B$2004,MATCH($D2741,Workers!$A$5:$A$2004,0)),"NOT FOUND"))</f>
        <v/>
      </c>
      <c r="J2741" s="24" t="str">
        <f aca="false">IF($D2741="","",IFERROR(INDEX(Workers!$C$5:$C$2004,MATCH($D2741,Workers!$A$5:$A$2004,0)),""))</f>
        <v/>
      </c>
      <c r="K2741" s="24" t="str">
        <f aca="false">IF($D2741="","",IFERROR(IF(INDEX(Workers!$D$5:$D$2004,MATCH($D2741,Workers!$A$5:$A$2004,0))=0,"",INDEX(Workers!$D$5:$D$2004,MATCH($D2741,Workers!$A$5:$A$2004,0))),""))</f>
        <v/>
      </c>
      <c r="L2741" s="24" t="str">
        <f aca="false">IF($D2741="","",IFERROR(INDEX(Workers!$E$5:$E$2004,MATCH($D2741,Workers!$A$5:$A$2004,0)),""))</f>
        <v/>
      </c>
      <c r="M2741" s="26" t="str">
        <f aca="false">IF($D2741="","",IFERROR(INDEX(ClientRates!$D$5:$D$500,MATCH($B2741&amp;"|"&amp;$L2741,ClientRates!$A$5:$A$500,0)),0))</f>
        <v/>
      </c>
      <c r="N2741" s="26" t="str">
        <f aca="false">IF($D2741="","",IFERROR(INDEX(ClientRates!$E$5:$E$500,MATCH($B2741&amp;"|"&amp;$L2741,ClientRates!$A$5:$A$500,0)),0))</f>
        <v/>
      </c>
      <c r="O2741" s="26" t="str">
        <f aca="false">IF($D2741="","",F2741*M2741+G2741*N2741)</f>
        <v/>
      </c>
      <c r="P2741" s="26" t="str">
        <f aca="false">IF(OR($D2741="",$J2741&lt;&gt;"Supplier"),"",IFERROR(INDEX(SupplierRates!$D$5:$D$500,MATCH($K2741&amp;"|"&amp;$L2741,SupplierRates!$A$5:$A$500,0)),0))</f>
        <v/>
      </c>
      <c r="Q2741" s="26" t="str">
        <f aca="false">IF(OR($D2741="",$J2741&lt;&gt;"Supplier"),"",IFERROR(INDEX(SupplierRates!$E$5:$E$500,MATCH($K2741&amp;"|"&amp;$L2741,SupplierRates!$A$5:$A$500,0)),0))</f>
        <v/>
      </c>
      <c r="R2741" s="26" t="n">
        <f aca="false">IF(OR($D2741="",$J2741&lt;&gt;"Supplier"),0,F2741*P2741+G2741*Q2741)</f>
        <v>0</v>
      </c>
      <c r="S2741" s="26" t="n">
        <f aca="false">IF(OR($D2741="",$J2741&lt;&gt;"Own"),0,IFERROR((F2741+G2741*Settings!$B$13)*INDEX(Workers!$V$5:$V$2004,MATCH($D2741,Workers!$A$5:$A$2004,0)),0))</f>
        <v>0</v>
      </c>
      <c r="T2741" s="26" t="str">
        <f aca="false">IF($D2741="","",O2741-R2741-S2741)</f>
        <v/>
      </c>
    </row>
    <row r="2742" customFormat="false" ht="15" hidden="false" customHeight="false" outlineLevel="0" collapsed="false">
      <c r="I2742" s="24" t="str">
        <f aca="false">IF($D2742="","",IFERROR(INDEX(Workers!$B$5:$B$2004,MATCH($D2742,Workers!$A$5:$A$2004,0)),"NOT FOUND"))</f>
        <v/>
      </c>
      <c r="J2742" s="24" t="str">
        <f aca="false">IF($D2742="","",IFERROR(INDEX(Workers!$C$5:$C$2004,MATCH($D2742,Workers!$A$5:$A$2004,0)),""))</f>
        <v/>
      </c>
      <c r="K2742" s="24" t="str">
        <f aca="false">IF($D2742="","",IFERROR(IF(INDEX(Workers!$D$5:$D$2004,MATCH($D2742,Workers!$A$5:$A$2004,0))=0,"",INDEX(Workers!$D$5:$D$2004,MATCH($D2742,Workers!$A$5:$A$2004,0))),""))</f>
        <v/>
      </c>
      <c r="L2742" s="24" t="str">
        <f aca="false">IF($D2742="","",IFERROR(INDEX(Workers!$E$5:$E$2004,MATCH($D2742,Workers!$A$5:$A$2004,0)),""))</f>
        <v/>
      </c>
      <c r="M2742" s="26" t="str">
        <f aca="false">IF($D2742="","",IFERROR(INDEX(ClientRates!$D$5:$D$500,MATCH($B2742&amp;"|"&amp;$L2742,ClientRates!$A$5:$A$500,0)),0))</f>
        <v/>
      </c>
      <c r="N2742" s="26" t="str">
        <f aca="false">IF($D2742="","",IFERROR(INDEX(ClientRates!$E$5:$E$500,MATCH($B2742&amp;"|"&amp;$L2742,ClientRates!$A$5:$A$500,0)),0))</f>
        <v/>
      </c>
      <c r="O2742" s="26" t="str">
        <f aca="false">IF($D2742="","",F2742*M2742+G2742*N2742)</f>
        <v/>
      </c>
      <c r="P2742" s="26" t="str">
        <f aca="false">IF(OR($D2742="",$J2742&lt;&gt;"Supplier"),"",IFERROR(INDEX(SupplierRates!$D$5:$D$500,MATCH($K2742&amp;"|"&amp;$L2742,SupplierRates!$A$5:$A$500,0)),0))</f>
        <v/>
      </c>
      <c r="Q2742" s="26" t="str">
        <f aca="false">IF(OR($D2742="",$J2742&lt;&gt;"Supplier"),"",IFERROR(INDEX(SupplierRates!$E$5:$E$500,MATCH($K2742&amp;"|"&amp;$L2742,SupplierRates!$A$5:$A$500,0)),0))</f>
        <v/>
      </c>
      <c r="R2742" s="26" t="n">
        <f aca="false">IF(OR($D2742="",$J2742&lt;&gt;"Supplier"),0,F2742*P2742+G2742*Q2742)</f>
        <v>0</v>
      </c>
      <c r="S2742" s="26" t="n">
        <f aca="false">IF(OR($D2742="",$J2742&lt;&gt;"Own"),0,IFERROR((F2742+G2742*Settings!$B$13)*INDEX(Workers!$V$5:$V$2004,MATCH($D2742,Workers!$A$5:$A$2004,0)),0))</f>
        <v>0</v>
      </c>
      <c r="T2742" s="26" t="str">
        <f aca="false">IF($D2742="","",O2742-R2742-S2742)</f>
        <v/>
      </c>
    </row>
    <row r="2743" customFormat="false" ht="15" hidden="false" customHeight="false" outlineLevel="0" collapsed="false">
      <c r="I2743" s="24" t="str">
        <f aca="false">IF($D2743="","",IFERROR(INDEX(Workers!$B$5:$B$2004,MATCH($D2743,Workers!$A$5:$A$2004,0)),"NOT FOUND"))</f>
        <v/>
      </c>
      <c r="J2743" s="24" t="str">
        <f aca="false">IF($D2743="","",IFERROR(INDEX(Workers!$C$5:$C$2004,MATCH($D2743,Workers!$A$5:$A$2004,0)),""))</f>
        <v/>
      </c>
      <c r="K2743" s="24" t="str">
        <f aca="false">IF($D2743="","",IFERROR(IF(INDEX(Workers!$D$5:$D$2004,MATCH($D2743,Workers!$A$5:$A$2004,0))=0,"",INDEX(Workers!$D$5:$D$2004,MATCH($D2743,Workers!$A$5:$A$2004,0))),""))</f>
        <v/>
      </c>
      <c r="L2743" s="24" t="str">
        <f aca="false">IF($D2743="","",IFERROR(INDEX(Workers!$E$5:$E$2004,MATCH($D2743,Workers!$A$5:$A$2004,0)),""))</f>
        <v/>
      </c>
      <c r="M2743" s="26" t="str">
        <f aca="false">IF($D2743="","",IFERROR(INDEX(ClientRates!$D$5:$D$500,MATCH($B2743&amp;"|"&amp;$L2743,ClientRates!$A$5:$A$500,0)),0))</f>
        <v/>
      </c>
      <c r="N2743" s="26" t="str">
        <f aca="false">IF($D2743="","",IFERROR(INDEX(ClientRates!$E$5:$E$500,MATCH($B2743&amp;"|"&amp;$L2743,ClientRates!$A$5:$A$500,0)),0))</f>
        <v/>
      </c>
      <c r="O2743" s="26" t="str">
        <f aca="false">IF($D2743="","",F2743*M2743+G2743*N2743)</f>
        <v/>
      </c>
      <c r="P2743" s="26" t="str">
        <f aca="false">IF(OR($D2743="",$J2743&lt;&gt;"Supplier"),"",IFERROR(INDEX(SupplierRates!$D$5:$D$500,MATCH($K2743&amp;"|"&amp;$L2743,SupplierRates!$A$5:$A$500,0)),0))</f>
        <v/>
      </c>
      <c r="Q2743" s="26" t="str">
        <f aca="false">IF(OR($D2743="",$J2743&lt;&gt;"Supplier"),"",IFERROR(INDEX(SupplierRates!$E$5:$E$500,MATCH($K2743&amp;"|"&amp;$L2743,SupplierRates!$A$5:$A$500,0)),0))</f>
        <v/>
      </c>
      <c r="R2743" s="26" t="n">
        <f aca="false">IF(OR($D2743="",$J2743&lt;&gt;"Supplier"),0,F2743*P2743+G2743*Q2743)</f>
        <v>0</v>
      </c>
      <c r="S2743" s="26" t="n">
        <f aca="false">IF(OR($D2743="",$J2743&lt;&gt;"Own"),0,IFERROR((F2743+G2743*Settings!$B$13)*INDEX(Workers!$V$5:$V$2004,MATCH($D2743,Workers!$A$5:$A$2004,0)),0))</f>
        <v>0</v>
      </c>
      <c r="T2743" s="26" t="str">
        <f aca="false">IF($D2743="","",O2743-R2743-S2743)</f>
        <v/>
      </c>
    </row>
    <row r="2744" customFormat="false" ht="15" hidden="false" customHeight="false" outlineLevel="0" collapsed="false">
      <c r="I2744" s="24" t="str">
        <f aca="false">IF($D2744="","",IFERROR(INDEX(Workers!$B$5:$B$2004,MATCH($D2744,Workers!$A$5:$A$2004,0)),"NOT FOUND"))</f>
        <v/>
      </c>
      <c r="J2744" s="24" t="str">
        <f aca="false">IF($D2744="","",IFERROR(INDEX(Workers!$C$5:$C$2004,MATCH($D2744,Workers!$A$5:$A$2004,0)),""))</f>
        <v/>
      </c>
      <c r="K2744" s="24" t="str">
        <f aca="false">IF($D2744="","",IFERROR(IF(INDEX(Workers!$D$5:$D$2004,MATCH($D2744,Workers!$A$5:$A$2004,0))=0,"",INDEX(Workers!$D$5:$D$2004,MATCH($D2744,Workers!$A$5:$A$2004,0))),""))</f>
        <v/>
      </c>
      <c r="L2744" s="24" t="str">
        <f aca="false">IF($D2744="","",IFERROR(INDEX(Workers!$E$5:$E$2004,MATCH($D2744,Workers!$A$5:$A$2004,0)),""))</f>
        <v/>
      </c>
      <c r="M2744" s="26" t="str">
        <f aca="false">IF($D2744="","",IFERROR(INDEX(ClientRates!$D$5:$D$500,MATCH($B2744&amp;"|"&amp;$L2744,ClientRates!$A$5:$A$500,0)),0))</f>
        <v/>
      </c>
      <c r="N2744" s="26" t="str">
        <f aca="false">IF($D2744="","",IFERROR(INDEX(ClientRates!$E$5:$E$500,MATCH($B2744&amp;"|"&amp;$L2744,ClientRates!$A$5:$A$500,0)),0))</f>
        <v/>
      </c>
      <c r="O2744" s="26" t="str">
        <f aca="false">IF($D2744="","",F2744*M2744+G2744*N2744)</f>
        <v/>
      </c>
      <c r="P2744" s="26" t="str">
        <f aca="false">IF(OR($D2744="",$J2744&lt;&gt;"Supplier"),"",IFERROR(INDEX(SupplierRates!$D$5:$D$500,MATCH($K2744&amp;"|"&amp;$L2744,SupplierRates!$A$5:$A$500,0)),0))</f>
        <v/>
      </c>
      <c r="Q2744" s="26" t="str">
        <f aca="false">IF(OR($D2744="",$J2744&lt;&gt;"Supplier"),"",IFERROR(INDEX(SupplierRates!$E$5:$E$500,MATCH($K2744&amp;"|"&amp;$L2744,SupplierRates!$A$5:$A$500,0)),0))</f>
        <v/>
      </c>
      <c r="R2744" s="26" t="n">
        <f aca="false">IF(OR($D2744="",$J2744&lt;&gt;"Supplier"),0,F2744*P2744+G2744*Q2744)</f>
        <v>0</v>
      </c>
      <c r="S2744" s="26" t="n">
        <f aca="false">IF(OR($D2744="",$J2744&lt;&gt;"Own"),0,IFERROR((F2744+G2744*Settings!$B$13)*INDEX(Workers!$V$5:$V$2004,MATCH($D2744,Workers!$A$5:$A$2004,0)),0))</f>
        <v>0</v>
      </c>
      <c r="T2744" s="26" t="str">
        <f aca="false">IF($D2744="","",O2744-R2744-S2744)</f>
        <v/>
      </c>
    </row>
    <row r="2745" customFormat="false" ht="15" hidden="false" customHeight="false" outlineLevel="0" collapsed="false">
      <c r="I2745" s="24" t="str">
        <f aca="false">IF($D2745="","",IFERROR(INDEX(Workers!$B$5:$B$2004,MATCH($D2745,Workers!$A$5:$A$2004,0)),"NOT FOUND"))</f>
        <v/>
      </c>
      <c r="J2745" s="24" t="str">
        <f aca="false">IF($D2745="","",IFERROR(INDEX(Workers!$C$5:$C$2004,MATCH($D2745,Workers!$A$5:$A$2004,0)),""))</f>
        <v/>
      </c>
      <c r="K2745" s="24" t="str">
        <f aca="false">IF($D2745="","",IFERROR(IF(INDEX(Workers!$D$5:$D$2004,MATCH($D2745,Workers!$A$5:$A$2004,0))=0,"",INDEX(Workers!$D$5:$D$2004,MATCH($D2745,Workers!$A$5:$A$2004,0))),""))</f>
        <v/>
      </c>
      <c r="L2745" s="24" t="str">
        <f aca="false">IF($D2745="","",IFERROR(INDEX(Workers!$E$5:$E$2004,MATCH($D2745,Workers!$A$5:$A$2004,0)),""))</f>
        <v/>
      </c>
      <c r="M2745" s="26" t="str">
        <f aca="false">IF($D2745="","",IFERROR(INDEX(ClientRates!$D$5:$D$500,MATCH($B2745&amp;"|"&amp;$L2745,ClientRates!$A$5:$A$500,0)),0))</f>
        <v/>
      </c>
      <c r="N2745" s="26" t="str">
        <f aca="false">IF($D2745="","",IFERROR(INDEX(ClientRates!$E$5:$E$500,MATCH($B2745&amp;"|"&amp;$L2745,ClientRates!$A$5:$A$500,0)),0))</f>
        <v/>
      </c>
      <c r="O2745" s="26" t="str">
        <f aca="false">IF($D2745="","",F2745*M2745+G2745*N2745)</f>
        <v/>
      </c>
      <c r="P2745" s="26" t="str">
        <f aca="false">IF(OR($D2745="",$J2745&lt;&gt;"Supplier"),"",IFERROR(INDEX(SupplierRates!$D$5:$D$500,MATCH($K2745&amp;"|"&amp;$L2745,SupplierRates!$A$5:$A$500,0)),0))</f>
        <v/>
      </c>
      <c r="Q2745" s="26" t="str">
        <f aca="false">IF(OR($D2745="",$J2745&lt;&gt;"Supplier"),"",IFERROR(INDEX(SupplierRates!$E$5:$E$500,MATCH($K2745&amp;"|"&amp;$L2745,SupplierRates!$A$5:$A$500,0)),0))</f>
        <v/>
      </c>
      <c r="R2745" s="26" t="n">
        <f aca="false">IF(OR($D2745="",$J2745&lt;&gt;"Supplier"),0,F2745*P2745+G2745*Q2745)</f>
        <v>0</v>
      </c>
      <c r="S2745" s="26" t="n">
        <f aca="false">IF(OR($D2745="",$J2745&lt;&gt;"Own"),0,IFERROR((F2745+G2745*Settings!$B$13)*INDEX(Workers!$V$5:$V$2004,MATCH($D2745,Workers!$A$5:$A$2004,0)),0))</f>
        <v>0</v>
      </c>
      <c r="T2745" s="26" t="str">
        <f aca="false">IF($D2745="","",O2745-R2745-S2745)</f>
        <v/>
      </c>
    </row>
    <row r="2746" customFormat="false" ht="15" hidden="false" customHeight="false" outlineLevel="0" collapsed="false">
      <c r="I2746" s="24" t="str">
        <f aca="false">IF($D2746="","",IFERROR(INDEX(Workers!$B$5:$B$2004,MATCH($D2746,Workers!$A$5:$A$2004,0)),"NOT FOUND"))</f>
        <v/>
      </c>
      <c r="J2746" s="24" t="str">
        <f aca="false">IF($D2746="","",IFERROR(INDEX(Workers!$C$5:$C$2004,MATCH($D2746,Workers!$A$5:$A$2004,0)),""))</f>
        <v/>
      </c>
      <c r="K2746" s="24" t="str">
        <f aca="false">IF($D2746="","",IFERROR(IF(INDEX(Workers!$D$5:$D$2004,MATCH($D2746,Workers!$A$5:$A$2004,0))=0,"",INDEX(Workers!$D$5:$D$2004,MATCH($D2746,Workers!$A$5:$A$2004,0))),""))</f>
        <v/>
      </c>
      <c r="L2746" s="24" t="str">
        <f aca="false">IF($D2746="","",IFERROR(INDEX(Workers!$E$5:$E$2004,MATCH($D2746,Workers!$A$5:$A$2004,0)),""))</f>
        <v/>
      </c>
      <c r="M2746" s="26" t="str">
        <f aca="false">IF($D2746="","",IFERROR(INDEX(ClientRates!$D$5:$D$500,MATCH($B2746&amp;"|"&amp;$L2746,ClientRates!$A$5:$A$500,0)),0))</f>
        <v/>
      </c>
      <c r="N2746" s="26" t="str">
        <f aca="false">IF($D2746="","",IFERROR(INDEX(ClientRates!$E$5:$E$500,MATCH($B2746&amp;"|"&amp;$L2746,ClientRates!$A$5:$A$500,0)),0))</f>
        <v/>
      </c>
      <c r="O2746" s="26" t="str">
        <f aca="false">IF($D2746="","",F2746*M2746+G2746*N2746)</f>
        <v/>
      </c>
      <c r="P2746" s="26" t="str">
        <f aca="false">IF(OR($D2746="",$J2746&lt;&gt;"Supplier"),"",IFERROR(INDEX(SupplierRates!$D$5:$D$500,MATCH($K2746&amp;"|"&amp;$L2746,SupplierRates!$A$5:$A$500,0)),0))</f>
        <v/>
      </c>
      <c r="Q2746" s="26" t="str">
        <f aca="false">IF(OR($D2746="",$J2746&lt;&gt;"Supplier"),"",IFERROR(INDEX(SupplierRates!$E$5:$E$500,MATCH($K2746&amp;"|"&amp;$L2746,SupplierRates!$A$5:$A$500,0)),0))</f>
        <v/>
      </c>
      <c r="R2746" s="26" t="n">
        <f aca="false">IF(OR($D2746="",$J2746&lt;&gt;"Supplier"),0,F2746*P2746+G2746*Q2746)</f>
        <v>0</v>
      </c>
      <c r="S2746" s="26" t="n">
        <f aca="false">IF(OR($D2746="",$J2746&lt;&gt;"Own"),0,IFERROR((F2746+G2746*Settings!$B$13)*INDEX(Workers!$V$5:$V$2004,MATCH($D2746,Workers!$A$5:$A$2004,0)),0))</f>
        <v>0</v>
      </c>
      <c r="T2746" s="26" t="str">
        <f aca="false">IF($D2746="","",O2746-R2746-S2746)</f>
        <v/>
      </c>
    </row>
    <row r="2747" customFormat="false" ht="15" hidden="false" customHeight="false" outlineLevel="0" collapsed="false">
      <c r="I2747" s="24" t="str">
        <f aca="false">IF($D2747="","",IFERROR(INDEX(Workers!$B$5:$B$2004,MATCH($D2747,Workers!$A$5:$A$2004,0)),"NOT FOUND"))</f>
        <v/>
      </c>
      <c r="J2747" s="24" t="str">
        <f aca="false">IF($D2747="","",IFERROR(INDEX(Workers!$C$5:$C$2004,MATCH($D2747,Workers!$A$5:$A$2004,0)),""))</f>
        <v/>
      </c>
      <c r="K2747" s="24" t="str">
        <f aca="false">IF($D2747="","",IFERROR(IF(INDEX(Workers!$D$5:$D$2004,MATCH($D2747,Workers!$A$5:$A$2004,0))=0,"",INDEX(Workers!$D$5:$D$2004,MATCH($D2747,Workers!$A$5:$A$2004,0))),""))</f>
        <v/>
      </c>
      <c r="L2747" s="24" t="str">
        <f aca="false">IF($D2747="","",IFERROR(INDEX(Workers!$E$5:$E$2004,MATCH($D2747,Workers!$A$5:$A$2004,0)),""))</f>
        <v/>
      </c>
      <c r="M2747" s="26" t="str">
        <f aca="false">IF($D2747="","",IFERROR(INDEX(ClientRates!$D$5:$D$500,MATCH($B2747&amp;"|"&amp;$L2747,ClientRates!$A$5:$A$500,0)),0))</f>
        <v/>
      </c>
      <c r="N2747" s="26" t="str">
        <f aca="false">IF($D2747="","",IFERROR(INDEX(ClientRates!$E$5:$E$500,MATCH($B2747&amp;"|"&amp;$L2747,ClientRates!$A$5:$A$500,0)),0))</f>
        <v/>
      </c>
      <c r="O2747" s="26" t="str">
        <f aca="false">IF($D2747="","",F2747*M2747+G2747*N2747)</f>
        <v/>
      </c>
      <c r="P2747" s="26" t="str">
        <f aca="false">IF(OR($D2747="",$J2747&lt;&gt;"Supplier"),"",IFERROR(INDEX(SupplierRates!$D$5:$D$500,MATCH($K2747&amp;"|"&amp;$L2747,SupplierRates!$A$5:$A$500,0)),0))</f>
        <v/>
      </c>
      <c r="Q2747" s="26" t="str">
        <f aca="false">IF(OR($D2747="",$J2747&lt;&gt;"Supplier"),"",IFERROR(INDEX(SupplierRates!$E$5:$E$500,MATCH($K2747&amp;"|"&amp;$L2747,SupplierRates!$A$5:$A$500,0)),0))</f>
        <v/>
      </c>
      <c r="R2747" s="26" t="n">
        <f aca="false">IF(OR($D2747="",$J2747&lt;&gt;"Supplier"),0,F2747*P2747+G2747*Q2747)</f>
        <v>0</v>
      </c>
      <c r="S2747" s="26" t="n">
        <f aca="false">IF(OR($D2747="",$J2747&lt;&gt;"Own"),0,IFERROR((F2747+G2747*Settings!$B$13)*INDEX(Workers!$V$5:$V$2004,MATCH($D2747,Workers!$A$5:$A$2004,0)),0))</f>
        <v>0</v>
      </c>
      <c r="T2747" s="26" t="str">
        <f aca="false">IF($D2747="","",O2747-R2747-S2747)</f>
        <v/>
      </c>
    </row>
    <row r="2748" customFormat="false" ht="15" hidden="false" customHeight="false" outlineLevel="0" collapsed="false">
      <c r="I2748" s="24" t="str">
        <f aca="false">IF($D2748="","",IFERROR(INDEX(Workers!$B$5:$B$2004,MATCH($D2748,Workers!$A$5:$A$2004,0)),"NOT FOUND"))</f>
        <v/>
      </c>
      <c r="J2748" s="24" t="str">
        <f aca="false">IF($D2748="","",IFERROR(INDEX(Workers!$C$5:$C$2004,MATCH($D2748,Workers!$A$5:$A$2004,0)),""))</f>
        <v/>
      </c>
      <c r="K2748" s="24" t="str">
        <f aca="false">IF($D2748="","",IFERROR(IF(INDEX(Workers!$D$5:$D$2004,MATCH($D2748,Workers!$A$5:$A$2004,0))=0,"",INDEX(Workers!$D$5:$D$2004,MATCH($D2748,Workers!$A$5:$A$2004,0))),""))</f>
        <v/>
      </c>
      <c r="L2748" s="24" t="str">
        <f aca="false">IF($D2748="","",IFERROR(INDEX(Workers!$E$5:$E$2004,MATCH($D2748,Workers!$A$5:$A$2004,0)),""))</f>
        <v/>
      </c>
      <c r="M2748" s="26" t="str">
        <f aca="false">IF($D2748="","",IFERROR(INDEX(ClientRates!$D$5:$D$500,MATCH($B2748&amp;"|"&amp;$L2748,ClientRates!$A$5:$A$500,0)),0))</f>
        <v/>
      </c>
      <c r="N2748" s="26" t="str">
        <f aca="false">IF($D2748="","",IFERROR(INDEX(ClientRates!$E$5:$E$500,MATCH($B2748&amp;"|"&amp;$L2748,ClientRates!$A$5:$A$500,0)),0))</f>
        <v/>
      </c>
      <c r="O2748" s="26" t="str">
        <f aca="false">IF($D2748="","",F2748*M2748+G2748*N2748)</f>
        <v/>
      </c>
      <c r="P2748" s="26" t="str">
        <f aca="false">IF(OR($D2748="",$J2748&lt;&gt;"Supplier"),"",IFERROR(INDEX(SupplierRates!$D$5:$D$500,MATCH($K2748&amp;"|"&amp;$L2748,SupplierRates!$A$5:$A$500,0)),0))</f>
        <v/>
      </c>
      <c r="Q2748" s="26" t="str">
        <f aca="false">IF(OR($D2748="",$J2748&lt;&gt;"Supplier"),"",IFERROR(INDEX(SupplierRates!$E$5:$E$500,MATCH($K2748&amp;"|"&amp;$L2748,SupplierRates!$A$5:$A$500,0)),0))</f>
        <v/>
      </c>
      <c r="R2748" s="26" t="n">
        <f aca="false">IF(OR($D2748="",$J2748&lt;&gt;"Supplier"),0,F2748*P2748+G2748*Q2748)</f>
        <v>0</v>
      </c>
      <c r="S2748" s="26" t="n">
        <f aca="false">IF(OR($D2748="",$J2748&lt;&gt;"Own"),0,IFERROR((F2748+G2748*Settings!$B$13)*INDEX(Workers!$V$5:$V$2004,MATCH($D2748,Workers!$A$5:$A$2004,0)),0))</f>
        <v>0</v>
      </c>
      <c r="T2748" s="26" t="str">
        <f aca="false">IF($D2748="","",O2748-R2748-S2748)</f>
        <v/>
      </c>
    </row>
    <row r="2749" customFormat="false" ht="15" hidden="false" customHeight="false" outlineLevel="0" collapsed="false">
      <c r="I2749" s="24" t="str">
        <f aca="false">IF($D2749="","",IFERROR(INDEX(Workers!$B$5:$B$2004,MATCH($D2749,Workers!$A$5:$A$2004,0)),"NOT FOUND"))</f>
        <v/>
      </c>
      <c r="J2749" s="24" t="str">
        <f aca="false">IF($D2749="","",IFERROR(INDEX(Workers!$C$5:$C$2004,MATCH($D2749,Workers!$A$5:$A$2004,0)),""))</f>
        <v/>
      </c>
      <c r="K2749" s="24" t="str">
        <f aca="false">IF($D2749="","",IFERROR(IF(INDEX(Workers!$D$5:$D$2004,MATCH($D2749,Workers!$A$5:$A$2004,0))=0,"",INDEX(Workers!$D$5:$D$2004,MATCH($D2749,Workers!$A$5:$A$2004,0))),""))</f>
        <v/>
      </c>
      <c r="L2749" s="24" t="str">
        <f aca="false">IF($D2749="","",IFERROR(INDEX(Workers!$E$5:$E$2004,MATCH($D2749,Workers!$A$5:$A$2004,0)),""))</f>
        <v/>
      </c>
      <c r="M2749" s="26" t="str">
        <f aca="false">IF($D2749="","",IFERROR(INDEX(ClientRates!$D$5:$D$500,MATCH($B2749&amp;"|"&amp;$L2749,ClientRates!$A$5:$A$500,0)),0))</f>
        <v/>
      </c>
      <c r="N2749" s="26" t="str">
        <f aca="false">IF($D2749="","",IFERROR(INDEX(ClientRates!$E$5:$E$500,MATCH($B2749&amp;"|"&amp;$L2749,ClientRates!$A$5:$A$500,0)),0))</f>
        <v/>
      </c>
      <c r="O2749" s="26" t="str">
        <f aca="false">IF($D2749="","",F2749*M2749+G2749*N2749)</f>
        <v/>
      </c>
      <c r="P2749" s="26" t="str">
        <f aca="false">IF(OR($D2749="",$J2749&lt;&gt;"Supplier"),"",IFERROR(INDEX(SupplierRates!$D$5:$D$500,MATCH($K2749&amp;"|"&amp;$L2749,SupplierRates!$A$5:$A$500,0)),0))</f>
        <v/>
      </c>
      <c r="Q2749" s="26" t="str">
        <f aca="false">IF(OR($D2749="",$J2749&lt;&gt;"Supplier"),"",IFERROR(INDEX(SupplierRates!$E$5:$E$500,MATCH($K2749&amp;"|"&amp;$L2749,SupplierRates!$A$5:$A$500,0)),0))</f>
        <v/>
      </c>
      <c r="R2749" s="26" t="n">
        <f aca="false">IF(OR($D2749="",$J2749&lt;&gt;"Supplier"),0,F2749*P2749+G2749*Q2749)</f>
        <v>0</v>
      </c>
      <c r="S2749" s="26" t="n">
        <f aca="false">IF(OR($D2749="",$J2749&lt;&gt;"Own"),0,IFERROR((F2749+G2749*Settings!$B$13)*INDEX(Workers!$V$5:$V$2004,MATCH($D2749,Workers!$A$5:$A$2004,0)),0))</f>
        <v>0</v>
      </c>
      <c r="T2749" s="26" t="str">
        <f aca="false">IF($D2749="","",O2749-R2749-S2749)</f>
        <v/>
      </c>
    </row>
    <row r="2750" customFormat="false" ht="15" hidden="false" customHeight="false" outlineLevel="0" collapsed="false">
      <c r="I2750" s="24" t="str">
        <f aca="false">IF($D2750="","",IFERROR(INDEX(Workers!$B$5:$B$2004,MATCH($D2750,Workers!$A$5:$A$2004,0)),"NOT FOUND"))</f>
        <v/>
      </c>
      <c r="J2750" s="24" t="str">
        <f aca="false">IF($D2750="","",IFERROR(INDEX(Workers!$C$5:$C$2004,MATCH($D2750,Workers!$A$5:$A$2004,0)),""))</f>
        <v/>
      </c>
      <c r="K2750" s="24" t="str">
        <f aca="false">IF($D2750="","",IFERROR(IF(INDEX(Workers!$D$5:$D$2004,MATCH($D2750,Workers!$A$5:$A$2004,0))=0,"",INDEX(Workers!$D$5:$D$2004,MATCH($D2750,Workers!$A$5:$A$2004,0))),""))</f>
        <v/>
      </c>
      <c r="L2750" s="24" t="str">
        <f aca="false">IF($D2750="","",IFERROR(INDEX(Workers!$E$5:$E$2004,MATCH($D2750,Workers!$A$5:$A$2004,0)),""))</f>
        <v/>
      </c>
      <c r="M2750" s="26" t="str">
        <f aca="false">IF($D2750="","",IFERROR(INDEX(ClientRates!$D$5:$D$500,MATCH($B2750&amp;"|"&amp;$L2750,ClientRates!$A$5:$A$500,0)),0))</f>
        <v/>
      </c>
      <c r="N2750" s="26" t="str">
        <f aca="false">IF($D2750="","",IFERROR(INDEX(ClientRates!$E$5:$E$500,MATCH($B2750&amp;"|"&amp;$L2750,ClientRates!$A$5:$A$500,0)),0))</f>
        <v/>
      </c>
      <c r="O2750" s="26" t="str">
        <f aca="false">IF($D2750="","",F2750*M2750+G2750*N2750)</f>
        <v/>
      </c>
      <c r="P2750" s="26" t="str">
        <f aca="false">IF(OR($D2750="",$J2750&lt;&gt;"Supplier"),"",IFERROR(INDEX(SupplierRates!$D$5:$D$500,MATCH($K2750&amp;"|"&amp;$L2750,SupplierRates!$A$5:$A$500,0)),0))</f>
        <v/>
      </c>
      <c r="Q2750" s="26" t="str">
        <f aca="false">IF(OR($D2750="",$J2750&lt;&gt;"Supplier"),"",IFERROR(INDEX(SupplierRates!$E$5:$E$500,MATCH($K2750&amp;"|"&amp;$L2750,SupplierRates!$A$5:$A$500,0)),0))</f>
        <v/>
      </c>
      <c r="R2750" s="26" t="n">
        <f aca="false">IF(OR($D2750="",$J2750&lt;&gt;"Supplier"),0,F2750*P2750+G2750*Q2750)</f>
        <v>0</v>
      </c>
      <c r="S2750" s="26" t="n">
        <f aca="false">IF(OR($D2750="",$J2750&lt;&gt;"Own"),0,IFERROR((F2750+G2750*Settings!$B$13)*INDEX(Workers!$V$5:$V$2004,MATCH($D2750,Workers!$A$5:$A$2004,0)),0))</f>
        <v>0</v>
      </c>
      <c r="T2750" s="26" t="str">
        <f aca="false">IF($D2750="","",O2750-R2750-S2750)</f>
        <v/>
      </c>
    </row>
    <row r="2751" customFormat="false" ht="15" hidden="false" customHeight="false" outlineLevel="0" collapsed="false">
      <c r="I2751" s="24" t="str">
        <f aca="false">IF($D2751="","",IFERROR(INDEX(Workers!$B$5:$B$2004,MATCH($D2751,Workers!$A$5:$A$2004,0)),"NOT FOUND"))</f>
        <v/>
      </c>
      <c r="J2751" s="24" t="str">
        <f aca="false">IF($D2751="","",IFERROR(INDEX(Workers!$C$5:$C$2004,MATCH($D2751,Workers!$A$5:$A$2004,0)),""))</f>
        <v/>
      </c>
      <c r="K2751" s="24" t="str">
        <f aca="false">IF($D2751="","",IFERROR(IF(INDEX(Workers!$D$5:$D$2004,MATCH($D2751,Workers!$A$5:$A$2004,0))=0,"",INDEX(Workers!$D$5:$D$2004,MATCH($D2751,Workers!$A$5:$A$2004,0))),""))</f>
        <v/>
      </c>
      <c r="L2751" s="24" t="str">
        <f aca="false">IF($D2751="","",IFERROR(INDEX(Workers!$E$5:$E$2004,MATCH($D2751,Workers!$A$5:$A$2004,0)),""))</f>
        <v/>
      </c>
      <c r="M2751" s="26" t="str">
        <f aca="false">IF($D2751="","",IFERROR(INDEX(ClientRates!$D$5:$D$500,MATCH($B2751&amp;"|"&amp;$L2751,ClientRates!$A$5:$A$500,0)),0))</f>
        <v/>
      </c>
      <c r="N2751" s="26" t="str">
        <f aca="false">IF($D2751="","",IFERROR(INDEX(ClientRates!$E$5:$E$500,MATCH($B2751&amp;"|"&amp;$L2751,ClientRates!$A$5:$A$500,0)),0))</f>
        <v/>
      </c>
      <c r="O2751" s="26" t="str">
        <f aca="false">IF($D2751="","",F2751*M2751+G2751*N2751)</f>
        <v/>
      </c>
      <c r="P2751" s="26" t="str">
        <f aca="false">IF(OR($D2751="",$J2751&lt;&gt;"Supplier"),"",IFERROR(INDEX(SupplierRates!$D$5:$D$500,MATCH($K2751&amp;"|"&amp;$L2751,SupplierRates!$A$5:$A$500,0)),0))</f>
        <v/>
      </c>
      <c r="Q2751" s="26" t="str">
        <f aca="false">IF(OR($D2751="",$J2751&lt;&gt;"Supplier"),"",IFERROR(INDEX(SupplierRates!$E$5:$E$500,MATCH($K2751&amp;"|"&amp;$L2751,SupplierRates!$A$5:$A$500,0)),0))</f>
        <v/>
      </c>
      <c r="R2751" s="26" t="n">
        <f aca="false">IF(OR($D2751="",$J2751&lt;&gt;"Supplier"),0,F2751*P2751+G2751*Q2751)</f>
        <v>0</v>
      </c>
      <c r="S2751" s="26" t="n">
        <f aca="false">IF(OR($D2751="",$J2751&lt;&gt;"Own"),0,IFERROR((F2751+G2751*Settings!$B$13)*INDEX(Workers!$V$5:$V$2004,MATCH($D2751,Workers!$A$5:$A$2004,0)),0))</f>
        <v>0</v>
      </c>
      <c r="T2751" s="26" t="str">
        <f aca="false">IF($D2751="","",O2751-R2751-S2751)</f>
        <v/>
      </c>
    </row>
    <row r="2752" customFormat="false" ht="15" hidden="false" customHeight="false" outlineLevel="0" collapsed="false">
      <c r="I2752" s="24" t="str">
        <f aca="false">IF($D2752="","",IFERROR(INDEX(Workers!$B$5:$B$2004,MATCH($D2752,Workers!$A$5:$A$2004,0)),"NOT FOUND"))</f>
        <v/>
      </c>
      <c r="J2752" s="24" t="str">
        <f aca="false">IF($D2752="","",IFERROR(INDEX(Workers!$C$5:$C$2004,MATCH($D2752,Workers!$A$5:$A$2004,0)),""))</f>
        <v/>
      </c>
      <c r="K2752" s="24" t="str">
        <f aca="false">IF($D2752="","",IFERROR(IF(INDEX(Workers!$D$5:$D$2004,MATCH($D2752,Workers!$A$5:$A$2004,0))=0,"",INDEX(Workers!$D$5:$D$2004,MATCH($D2752,Workers!$A$5:$A$2004,0))),""))</f>
        <v/>
      </c>
      <c r="L2752" s="24" t="str">
        <f aca="false">IF($D2752="","",IFERROR(INDEX(Workers!$E$5:$E$2004,MATCH($D2752,Workers!$A$5:$A$2004,0)),""))</f>
        <v/>
      </c>
      <c r="M2752" s="26" t="str">
        <f aca="false">IF($D2752="","",IFERROR(INDEX(ClientRates!$D$5:$D$500,MATCH($B2752&amp;"|"&amp;$L2752,ClientRates!$A$5:$A$500,0)),0))</f>
        <v/>
      </c>
      <c r="N2752" s="26" t="str">
        <f aca="false">IF($D2752="","",IFERROR(INDEX(ClientRates!$E$5:$E$500,MATCH($B2752&amp;"|"&amp;$L2752,ClientRates!$A$5:$A$500,0)),0))</f>
        <v/>
      </c>
      <c r="O2752" s="26" t="str">
        <f aca="false">IF($D2752="","",F2752*M2752+G2752*N2752)</f>
        <v/>
      </c>
      <c r="P2752" s="26" t="str">
        <f aca="false">IF(OR($D2752="",$J2752&lt;&gt;"Supplier"),"",IFERROR(INDEX(SupplierRates!$D$5:$D$500,MATCH($K2752&amp;"|"&amp;$L2752,SupplierRates!$A$5:$A$500,0)),0))</f>
        <v/>
      </c>
      <c r="Q2752" s="26" t="str">
        <f aca="false">IF(OR($D2752="",$J2752&lt;&gt;"Supplier"),"",IFERROR(INDEX(SupplierRates!$E$5:$E$500,MATCH($K2752&amp;"|"&amp;$L2752,SupplierRates!$A$5:$A$500,0)),0))</f>
        <v/>
      </c>
      <c r="R2752" s="26" t="n">
        <f aca="false">IF(OR($D2752="",$J2752&lt;&gt;"Supplier"),0,F2752*P2752+G2752*Q2752)</f>
        <v>0</v>
      </c>
      <c r="S2752" s="26" t="n">
        <f aca="false">IF(OR($D2752="",$J2752&lt;&gt;"Own"),0,IFERROR((F2752+G2752*Settings!$B$13)*INDEX(Workers!$V$5:$V$2004,MATCH($D2752,Workers!$A$5:$A$2004,0)),0))</f>
        <v>0</v>
      </c>
      <c r="T2752" s="26" t="str">
        <f aca="false">IF($D2752="","",O2752-R2752-S2752)</f>
        <v/>
      </c>
    </row>
    <row r="2753" customFormat="false" ht="15" hidden="false" customHeight="false" outlineLevel="0" collapsed="false">
      <c r="I2753" s="24" t="str">
        <f aca="false">IF($D2753="","",IFERROR(INDEX(Workers!$B$5:$B$2004,MATCH($D2753,Workers!$A$5:$A$2004,0)),"NOT FOUND"))</f>
        <v/>
      </c>
      <c r="J2753" s="24" t="str">
        <f aca="false">IF($D2753="","",IFERROR(INDEX(Workers!$C$5:$C$2004,MATCH($D2753,Workers!$A$5:$A$2004,0)),""))</f>
        <v/>
      </c>
      <c r="K2753" s="24" t="str">
        <f aca="false">IF($D2753="","",IFERROR(IF(INDEX(Workers!$D$5:$D$2004,MATCH($D2753,Workers!$A$5:$A$2004,0))=0,"",INDEX(Workers!$D$5:$D$2004,MATCH($D2753,Workers!$A$5:$A$2004,0))),""))</f>
        <v/>
      </c>
      <c r="L2753" s="24" t="str">
        <f aca="false">IF($D2753="","",IFERROR(INDEX(Workers!$E$5:$E$2004,MATCH($D2753,Workers!$A$5:$A$2004,0)),""))</f>
        <v/>
      </c>
      <c r="M2753" s="26" t="str">
        <f aca="false">IF($D2753="","",IFERROR(INDEX(ClientRates!$D$5:$D$500,MATCH($B2753&amp;"|"&amp;$L2753,ClientRates!$A$5:$A$500,0)),0))</f>
        <v/>
      </c>
      <c r="N2753" s="26" t="str">
        <f aca="false">IF($D2753="","",IFERROR(INDEX(ClientRates!$E$5:$E$500,MATCH($B2753&amp;"|"&amp;$L2753,ClientRates!$A$5:$A$500,0)),0))</f>
        <v/>
      </c>
      <c r="O2753" s="26" t="str">
        <f aca="false">IF($D2753="","",F2753*M2753+G2753*N2753)</f>
        <v/>
      </c>
      <c r="P2753" s="26" t="str">
        <f aca="false">IF(OR($D2753="",$J2753&lt;&gt;"Supplier"),"",IFERROR(INDEX(SupplierRates!$D$5:$D$500,MATCH($K2753&amp;"|"&amp;$L2753,SupplierRates!$A$5:$A$500,0)),0))</f>
        <v/>
      </c>
      <c r="Q2753" s="26" t="str">
        <f aca="false">IF(OR($D2753="",$J2753&lt;&gt;"Supplier"),"",IFERROR(INDEX(SupplierRates!$E$5:$E$500,MATCH($K2753&amp;"|"&amp;$L2753,SupplierRates!$A$5:$A$500,0)),0))</f>
        <v/>
      </c>
      <c r="R2753" s="26" t="n">
        <f aca="false">IF(OR($D2753="",$J2753&lt;&gt;"Supplier"),0,F2753*P2753+G2753*Q2753)</f>
        <v>0</v>
      </c>
      <c r="S2753" s="26" t="n">
        <f aca="false">IF(OR($D2753="",$J2753&lt;&gt;"Own"),0,IFERROR((F2753+G2753*Settings!$B$13)*INDEX(Workers!$V$5:$V$2004,MATCH($D2753,Workers!$A$5:$A$2004,0)),0))</f>
        <v>0</v>
      </c>
      <c r="T2753" s="26" t="str">
        <f aca="false">IF($D2753="","",O2753-R2753-S2753)</f>
        <v/>
      </c>
    </row>
    <row r="2754" customFormat="false" ht="15" hidden="false" customHeight="false" outlineLevel="0" collapsed="false">
      <c r="I2754" s="24" t="str">
        <f aca="false">IF($D2754="","",IFERROR(INDEX(Workers!$B$5:$B$2004,MATCH($D2754,Workers!$A$5:$A$2004,0)),"NOT FOUND"))</f>
        <v/>
      </c>
      <c r="J2754" s="24" t="str">
        <f aca="false">IF($D2754="","",IFERROR(INDEX(Workers!$C$5:$C$2004,MATCH($D2754,Workers!$A$5:$A$2004,0)),""))</f>
        <v/>
      </c>
      <c r="K2754" s="24" t="str">
        <f aca="false">IF($D2754="","",IFERROR(IF(INDEX(Workers!$D$5:$D$2004,MATCH($D2754,Workers!$A$5:$A$2004,0))=0,"",INDEX(Workers!$D$5:$D$2004,MATCH($D2754,Workers!$A$5:$A$2004,0))),""))</f>
        <v/>
      </c>
      <c r="L2754" s="24" t="str">
        <f aca="false">IF($D2754="","",IFERROR(INDEX(Workers!$E$5:$E$2004,MATCH($D2754,Workers!$A$5:$A$2004,0)),""))</f>
        <v/>
      </c>
      <c r="M2754" s="26" t="str">
        <f aca="false">IF($D2754="","",IFERROR(INDEX(ClientRates!$D$5:$D$500,MATCH($B2754&amp;"|"&amp;$L2754,ClientRates!$A$5:$A$500,0)),0))</f>
        <v/>
      </c>
      <c r="N2754" s="26" t="str">
        <f aca="false">IF($D2754="","",IFERROR(INDEX(ClientRates!$E$5:$E$500,MATCH($B2754&amp;"|"&amp;$L2754,ClientRates!$A$5:$A$500,0)),0))</f>
        <v/>
      </c>
      <c r="O2754" s="26" t="str">
        <f aca="false">IF($D2754="","",F2754*M2754+G2754*N2754)</f>
        <v/>
      </c>
      <c r="P2754" s="26" t="str">
        <f aca="false">IF(OR($D2754="",$J2754&lt;&gt;"Supplier"),"",IFERROR(INDEX(SupplierRates!$D$5:$D$500,MATCH($K2754&amp;"|"&amp;$L2754,SupplierRates!$A$5:$A$500,0)),0))</f>
        <v/>
      </c>
      <c r="Q2754" s="26" t="str">
        <f aca="false">IF(OR($D2754="",$J2754&lt;&gt;"Supplier"),"",IFERROR(INDEX(SupplierRates!$E$5:$E$500,MATCH($K2754&amp;"|"&amp;$L2754,SupplierRates!$A$5:$A$500,0)),0))</f>
        <v/>
      </c>
      <c r="R2754" s="26" t="n">
        <f aca="false">IF(OR($D2754="",$J2754&lt;&gt;"Supplier"),0,F2754*P2754+G2754*Q2754)</f>
        <v>0</v>
      </c>
      <c r="S2754" s="26" t="n">
        <f aca="false">IF(OR($D2754="",$J2754&lt;&gt;"Own"),0,IFERROR((F2754+G2754*Settings!$B$13)*INDEX(Workers!$V$5:$V$2004,MATCH($D2754,Workers!$A$5:$A$2004,0)),0))</f>
        <v>0</v>
      </c>
      <c r="T2754" s="26" t="str">
        <f aca="false">IF($D2754="","",O2754-R2754-S2754)</f>
        <v/>
      </c>
    </row>
    <row r="2755" customFormat="false" ht="15" hidden="false" customHeight="false" outlineLevel="0" collapsed="false">
      <c r="I2755" s="24" t="str">
        <f aca="false">IF($D2755="","",IFERROR(INDEX(Workers!$B$5:$B$2004,MATCH($D2755,Workers!$A$5:$A$2004,0)),"NOT FOUND"))</f>
        <v/>
      </c>
      <c r="J2755" s="24" t="str">
        <f aca="false">IF($D2755="","",IFERROR(INDEX(Workers!$C$5:$C$2004,MATCH($D2755,Workers!$A$5:$A$2004,0)),""))</f>
        <v/>
      </c>
      <c r="K2755" s="24" t="str">
        <f aca="false">IF($D2755="","",IFERROR(IF(INDEX(Workers!$D$5:$D$2004,MATCH($D2755,Workers!$A$5:$A$2004,0))=0,"",INDEX(Workers!$D$5:$D$2004,MATCH($D2755,Workers!$A$5:$A$2004,0))),""))</f>
        <v/>
      </c>
      <c r="L2755" s="24" t="str">
        <f aca="false">IF($D2755="","",IFERROR(INDEX(Workers!$E$5:$E$2004,MATCH($D2755,Workers!$A$5:$A$2004,0)),""))</f>
        <v/>
      </c>
      <c r="M2755" s="26" t="str">
        <f aca="false">IF($D2755="","",IFERROR(INDEX(ClientRates!$D$5:$D$500,MATCH($B2755&amp;"|"&amp;$L2755,ClientRates!$A$5:$A$500,0)),0))</f>
        <v/>
      </c>
      <c r="N2755" s="26" t="str">
        <f aca="false">IF($D2755="","",IFERROR(INDEX(ClientRates!$E$5:$E$500,MATCH($B2755&amp;"|"&amp;$L2755,ClientRates!$A$5:$A$500,0)),0))</f>
        <v/>
      </c>
      <c r="O2755" s="26" t="str">
        <f aca="false">IF($D2755="","",F2755*M2755+G2755*N2755)</f>
        <v/>
      </c>
      <c r="P2755" s="26" t="str">
        <f aca="false">IF(OR($D2755="",$J2755&lt;&gt;"Supplier"),"",IFERROR(INDEX(SupplierRates!$D$5:$D$500,MATCH($K2755&amp;"|"&amp;$L2755,SupplierRates!$A$5:$A$500,0)),0))</f>
        <v/>
      </c>
      <c r="Q2755" s="26" t="str">
        <f aca="false">IF(OR($D2755="",$J2755&lt;&gt;"Supplier"),"",IFERROR(INDEX(SupplierRates!$E$5:$E$500,MATCH($K2755&amp;"|"&amp;$L2755,SupplierRates!$A$5:$A$500,0)),0))</f>
        <v/>
      </c>
      <c r="R2755" s="26" t="n">
        <f aca="false">IF(OR($D2755="",$J2755&lt;&gt;"Supplier"),0,F2755*P2755+G2755*Q2755)</f>
        <v>0</v>
      </c>
      <c r="S2755" s="26" t="n">
        <f aca="false">IF(OR($D2755="",$J2755&lt;&gt;"Own"),0,IFERROR((F2755+G2755*Settings!$B$13)*INDEX(Workers!$V$5:$V$2004,MATCH($D2755,Workers!$A$5:$A$2004,0)),0))</f>
        <v>0</v>
      </c>
      <c r="T2755" s="26" t="str">
        <f aca="false">IF($D2755="","",O2755-R2755-S2755)</f>
        <v/>
      </c>
    </row>
    <row r="2756" customFormat="false" ht="15" hidden="false" customHeight="false" outlineLevel="0" collapsed="false">
      <c r="I2756" s="24" t="str">
        <f aca="false">IF($D2756="","",IFERROR(INDEX(Workers!$B$5:$B$2004,MATCH($D2756,Workers!$A$5:$A$2004,0)),"NOT FOUND"))</f>
        <v/>
      </c>
      <c r="J2756" s="24" t="str">
        <f aca="false">IF($D2756="","",IFERROR(INDEX(Workers!$C$5:$C$2004,MATCH($D2756,Workers!$A$5:$A$2004,0)),""))</f>
        <v/>
      </c>
      <c r="K2756" s="24" t="str">
        <f aca="false">IF($D2756="","",IFERROR(IF(INDEX(Workers!$D$5:$D$2004,MATCH($D2756,Workers!$A$5:$A$2004,0))=0,"",INDEX(Workers!$D$5:$D$2004,MATCH($D2756,Workers!$A$5:$A$2004,0))),""))</f>
        <v/>
      </c>
      <c r="L2756" s="24" t="str">
        <f aca="false">IF($D2756="","",IFERROR(INDEX(Workers!$E$5:$E$2004,MATCH($D2756,Workers!$A$5:$A$2004,0)),""))</f>
        <v/>
      </c>
      <c r="M2756" s="26" t="str">
        <f aca="false">IF($D2756="","",IFERROR(INDEX(ClientRates!$D$5:$D$500,MATCH($B2756&amp;"|"&amp;$L2756,ClientRates!$A$5:$A$500,0)),0))</f>
        <v/>
      </c>
      <c r="N2756" s="26" t="str">
        <f aca="false">IF($D2756="","",IFERROR(INDEX(ClientRates!$E$5:$E$500,MATCH($B2756&amp;"|"&amp;$L2756,ClientRates!$A$5:$A$500,0)),0))</f>
        <v/>
      </c>
      <c r="O2756" s="26" t="str">
        <f aca="false">IF($D2756="","",F2756*M2756+G2756*N2756)</f>
        <v/>
      </c>
      <c r="P2756" s="26" t="str">
        <f aca="false">IF(OR($D2756="",$J2756&lt;&gt;"Supplier"),"",IFERROR(INDEX(SupplierRates!$D$5:$D$500,MATCH($K2756&amp;"|"&amp;$L2756,SupplierRates!$A$5:$A$500,0)),0))</f>
        <v/>
      </c>
      <c r="Q2756" s="26" t="str">
        <f aca="false">IF(OR($D2756="",$J2756&lt;&gt;"Supplier"),"",IFERROR(INDEX(SupplierRates!$E$5:$E$500,MATCH($K2756&amp;"|"&amp;$L2756,SupplierRates!$A$5:$A$500,0)),0))</f>
        <v/>
      </c>
      <c r="R2756" s="26" t="n">
        <f aca="false">IF(OR($D2756="",$J2756&lt;&gt;"Supplier"),0,F2756*P2756+G2756*Q2756)</f>
        <v>0</v>
      </c>
      <c r="S2756" s="26" t="n">
        <f aca="false">IF(OR($D2756="",$J2756&lt;&gt;"Own"),0,IFERROR((F2756+G2756*Settings!$B$13)*INDEX(Workers!$V$5:$V$2004,MATCH($D2756,Workers!$A$5:$A$2004,0)),0))</f>
        <v>0</v>
      </c>
      <c r="T2756" s="26" t="str">
        <f aca="false">IF($D2756="","",O2756-R2756-S2756)</f>
        <v/>
      </c>
    </row>
    <row r="2757" customFormat="false" ht="15" hidden="false" customHeight="false" outlineLevel="0" collapsed="false">
      <c r="I2757" s="24" t="str">
        <f aca="false">IF($D2757="","",IFERROR(INDEX(Workers!$B$5:$B$2004,MATCH($D2757,Workers!$A$5:$A$2004,0)),"NOT FOUND"))</f>
        <v/>
      </c>
      <c r="J2757" s="24" t="str">
        <f aca="false">IF($D2757="","",IFERROR(INDEX(Workers!$C$5:$C$2004,MATCH($D2757,Workers!$A$5:$A$2004,0)),""))</f>
        <v/>
      </c>
      <c r="K2757" s="24" t="str">
        <f aca="false">IF($D2757="","",IFERROR(IF(INDEX(Workers!$D$5:$D$2004,MATCH($D2757,Workers!$A$5:$A$2004,0))=0,"",INDEX(Workers!$D$5:$D$2004,MATCH($D2757,Workers!$A$5:$A$2004,0))),""))</f>
        <v/>
      </c>
      <c r="L2757" s="24" t="str">
        <f aca="false">IF($D2757="","",IFERROR(INDEX(Workers!$E$5:$E$2004,MATCH($D2757,Workers!$A$5:$A$2004,0)),""))</f>
        <v/>
      </c>
      <c r="M2757" s="26" t="str">
        <f aca="false">IF($D2757="","",IFERROR(INDEX(ClientRates!$D$5:$D$500,MATCH($B2757&amp;"|"&amp;$L2757,ClientRates!$A$5:$A$500,0)),0))</f>
        <v/>
      </c>
      <c r="N2757" s="26" t="str">
        <f aca="false">IF($D2757="","",IFERROR(INDEX(ClientRates!$E$5:$E$500,MATCH($B2757&amp;"|"&amp;$L2757,ClientRates!$A$5:$A$500,0)),0))</f>
        <v/>
      </c>
      <c r="O2757" s="26" t="str">
        <f aca="false">IF($D2757="","",F2757*M2757+G2757*N2757)</f>
        <v/>
      </c>
      <c r="P2757" s="26" t="str">
        <f aca="false">IF(OR($D2757="",$J2757&lt;&gt;"Supplier"),"",IFERROR(INDEX(SupplierRates!$D$5:$D$500,MATCH($K2757&amp;"|"&amp;$L2757,SupplierRates!$A$5:$A$500,0)),0))</f>
        <v/>
      </c>
      <c r="Q2757" s="26" t="str">
        <f aca="false">IF(OR($D2757="",$J2757&lt;&gt;"Supplier"),"",IFERROR(INDEX(SupplierRates!$E$5:$E$500,MATCH($K2757&amp;"|"&amp;$L2757,SupplierRates!$A$5:$A$500,0)),0))</f>
        <v/>
      </c>
      <c r="R2757" s="26" t="n">
        <f aca="false">IF(OR($D2757="",$J2757&lt;&gt;"Supplier"),0,F2757*P2757+G2757*Q2757)</f>
        <v>0</v>
      </c>
      <c r="S2757" s="26" t="n">
        <f aca="false">IF(OR($D2757="",$J2757&lt;&gt;"Own"),0,IFERROR((F2757+G2757*Settings!$B$13)*INDEX(Workers!$V$5:$V$2004,MATCH($D2757,Workers!$A$5:$A$2004,0)),0))</f>
        <v>0</v>
      </c>
      <c r="T2757" s="26" t="str">
        <f aca="false">IF($D2757="","",O2757-R2757-S2757)</f>
        <v/>
      </c>
    </row>
    <row r="2758" customFormat="false" ht="15" hidden="false" customHeight="false" outlineLevel="0" collapsed="false">
      <c r="I2758" s="24" t="str">
        <f aca="false">IF($D2758="","",IFERROR(INDEX(Workers!$B$5:$B$2004,MATCH($D2758,Workers!$A$5:$A$2004,0)),"NOT FOUND"))</f>
        <v/>
      </c>
      <c r="J2758" s="24" t="str">
        <f aca="false">IF($D2758="","",IFERROR(INDEX(Workers!$C$5:$C$2004,MATCH($D2758,Workers!$A$5:$A$2004,0)),""))</f>
        <v/>
      </c>
      <c r="K2758" s="24" t="str">
        <f aca="false">IF($D2758="","",IFERROR(IF(INDEX(Workers!$D$5:$D$2004,MATCH($D2758,Workers!$A$5:$A$2004,0))=0,"",INDEX(Workers!$D$5:$D$2004,MATCH($D2758,Workers!$A$5:$A$2004,0))),""))</f>
        <v/>
      </c>
      <c r="L2758" s="24" t="str">
        <f aca="false">IF($D2758="","",IFERROR(INDEX(Workers!$E$5:$E$2004,MATCH($D2758,Workers!$A$5:$A$2004,0)),""))</f>
        <v/>
      </c>
      <c r="M2758" s="26" t="str">
        <f aca="false">IF($D2758="","",IFERROR(INDEX(ClientRates!$D$5:$D$500,MATCH($B2758&amp;"|"&amp;$L2758,ClientRates!$A$5:$A$500,0)),0))</f>
        <v/>
      </c>
      <c r="N2758" s="26" t="str">
        <f aca="false">IF($D2758="","",IFERROR(INDEX(ClientRates!$E$5:$E$500,MATCH($B2758&amp;"|"&amp;$L2758,ClientRates!$A$5:$A$500,0)),0))</f>
        <v/>
      </c>
      <c r="O2758" s="26" t="str">
        <f aca="false">IF($D2758="","",F2758*M2758+G2758*N2758)</f>
        <v/>
      </c>
      <c r="P2758" s="26" t="str">
        <f aca="false">IF(OR($D2758="",$J2758&lt;&gt;"Supplier"),"",IFERROR(INDEX(SupplierRates!$D$5:$D$500,MATCH($K2758&amp;"|"&amp;$L2758,SupplierRates!$A$5:$A$500,0)),0))</f>
        <v/>
      </c>
      <c r="Q2758" s="26" t="str">
        <f aca="false">IF(OR($D2758="",$J2758&lt;&gt;"Supplier"),"",IFERROR(INDEX(SupplierRates!$E$5:$E$500,MATCH($K2758&amp;"|"&amp;$L2758,SupplierRates!$A$5:$A$500,0)),0))</f>
        <v/>
      </c>
      <c r="R2758" s="26" t="n">
        <f aca="false">IF(OR($D2758="",$J2758&lt;&gt;"Supplier"),0,F2758*P2758+G2758*Q2758)</f>
        <v>0</v>
      </c>
      <c r="S2758" s="26" t="n">
        <f aca="false">IF(OR($D2758="",$J2758&lt;&gt;"Own"),0,IFERROR((F2758+G2758*Settings!$B$13)*INDEX(Workers!$V$5:$V$2004,MATCH($D2758,Workers!$A$5:$A$2004,0)),0))</f>
        <v>0</v>
      </c>
      <c r="T2758" s="26" t="str">
        <f aca="false">IF($D2758="","",O2758-R2758-S2758)</f>
        <v/>
      </c>
    </row>
    <row r="2759" customFormat="false" ht="15" hidden="false" customHeight="false" outlineLevel="0" collapsed="false">
      <c r="I2759" s="24" t="str">
        <f aca="false">IF($D2759="","",IFERROR(INDEX(Workers!$B$5:$B$2004,MATCH($D2759,Workers!$A$5:$A$2004,0)),"NOT FOUND"))</f>
        <v/>
      </c>
      <c r="J2759" s="24" t="str">
        <f aca="false">IF($D2759="","",IFERROR(INDEX(Workers!$C$5:$C$2004,MATCH($D2759,Workers!$A$5:$A$2004,0)),""))</f>
        <v/>
      </c>
      <c r="K2759" s="24" t="str">
        <f aca="false">IF($D2759="","",IFERROR(IF(INDEX(Workers!$D$5:$D$2004,MATCH($D2759,Workers!$A$5:$A$2004,0))=0,"",INDEX(Workers!$D$5:$D$2004,MATCH($D2759,Workers!$A$5:$A$2004,0))),""))</f>
        <v/>
      </c>
      <c r="L2759" s="24" t="str">
        <f aca="false">IF($D2759="","",IFERROR(INDEX(Workers!$E$5:$E$2004,MATCH($D2759,Workers!$A$5:$A$2004,0)),""))</f>
        <v/>
      </c>
      <c r="M2759" s="26" t="str">
        <f aca="false">IF($D2759="","",IFERROR(INDEX(ClientRates!$D$5:$D$500,MATCH($B2759&amp;"|"&amp;$L2759,ClientRates!$A$5:$A$500,0)),0))</f>
        <v/>
      </c>
      <c r="N2759" s="26" t="str">
        <f aca="false">IF($D2759="","",IFERROR(INDEX(ClientRates!$E$5:$E$500,MATCH($B2759&amp;"|"&amp;$L2759,ClientRates!$A$5:$A$500,0)),0))</f>
        <v/>
      </c>
      <c r="O2759" s="26" t="str">
        <f aca="false">IF($D2759="","",F2759*M2759+G2759*N2759)</f>
        <v/>
      </c>
      <c r="P2759" s="26" t="str">
        <f aca="false">IF(OR($D2759="",$J2759&lt;&gt;"Supplier"),"",IFERROR(INDEX(SupplierRates!$D$5:$D$500,MATCH($K2759&amp;"|"&amp;$L2759,SupplierRates!$A$5:$A$500,0)),0))</f>
        <v/>
      </c>
      <c r="Q2759" s="26" t="str">
        <f aca="false">IF(OR($D2759="",$J2759&lt;&gt;"Supplier"),"",IFERROR(INDEX(SupplierRates!$E$5:$E$500,MATCH($K2759&amp;"|"&amp;$L2759,SupplierRates!$A$5:$A$500,0)),0))</f>
        <v/>
      </c>
      <c r="R2759" s="26" t="n">
        <f aca="false">IF(OR($D2759="",$J2759&lt;&gt;"Supplier"),0,F2759*P2759+G2759*Q2759)</f>
        <v>0</v>
      </c>
      <c r="S2759" s="26" t="n">
        <f aca="false">IF(OR($D2759="",$J2759&lt;&gt;"Own"),0,IFERROR((F2759+G2759*Settings!$B$13)*INDEX(Workers!$V$5:$V$2004,MATCH($D2759,Workers!$A$5:$A$2004,0)),0))</f>
        <v>0</v>
      </c>
      <c r="T2759" s="26" t="str">
        <f aca="false">IF($D2759="","",O2759-R2759-S2759)</f>
        <v/>
      </c>
    </row>
    <row r="2760" customFormat="false" ht="15" hidden="false" customHeight="false" outlineLevel="0" collapsed="false">
      <c r="I2760" s="24" t="str">
        <f aca="false">IF($D2760="","",IFERROR(INDEX(Workers!$B$5:$B$2004,MATCH($D2760,Workers!$A$5:$A$2004,0)),"NOT FOUND"))</f>
        <v/>
      </c>
      <c r="J2760" s="24" t="str">
        <f aca="false">IF($D2760="","",IFERROR(INDEX(Workers!$C$5:$C$2004,MATCH($D2760,Workers!$A$5:$A$2004,0)),""))</f>
        <v/>
      </c>
      <c r="K2760" s="24" t="str">
        <f aca="false">IF($D2760="","",IFERROR(IF(INDEX(Workers!$D$5:$D$2004,MATCH($D2760,Workers!$A$5:$A$2004,0))=0,"",INDEX(Workers!$D$5:$D$2004,MATCH($D2760,Workers!$A$5:$A$2004,0))),""))</f>
        <v/>
      </c>
      <c r="L2760" s="24" t="str">
        <f aca="false">IF($D2760="","",IFERROR(INDEX(Workers!$E$5:$E$2004,MATCH($D2760,Workers!$A$5:$A$2004,0)),""))</f>
        <v/>
      </c>
      <c r="M2760" s="26" t="str">
        <f aca="false">IF($D2760="","",IFERROR(INDEX(ClientRates!$D$5:$D$500,MATCH($B2760&amp;"|"&amp;$L2760,ClientRates!$A$5:$A$500,0)),0))</f>
        <v/>
      </c>
      <c r="N2760" s="26" t="str">
        <f aca="false">IF($D2760="","",IFERROR(INDEX(ClientRates!$E$5:$E$500,MATCH($B2760&amp;"|"&amp;$L2760,ClientRates!$A$5:$A$500,0)),0))</f>
        <v/>
      </c>
      <c r="O2760" s="26" t="str">
        <f aca="false">IF($D2760="","",F2760*M2760+G2760*N2760)</f>
        <v/>
      </c>
      <c r="P2760" s="26" t="str">
        <f aca="false">IF(OR($D2760="",$J2760&lt;&gt;"Supplier"),"",IFERROR(INDEX(SupplierRates!$D$5:$D$500,MATCH($K2760&amp;"|"&amp;$L2760,SupplierRates!$A$5:$A$500,0)),0))</f>
        <v/>
      </c>
      <c r="Q2760" s="26" t="str">
        <f aca="false">IF(OR($D2760="",$J2760&lt;&gt;"Supplier"),"",IFERROR(INDEX(SupplierRates!$E$5:$E$500,MATCH($K2760&amp;"|"&amp;$L2760,SupplierRates!$A$5:$A$500,0)),0))</f>
        <v/>
      </c>
      <c r="R2760" s="26" t="n">
        <f aca="false">IF(OR($D2760="",$J2760&lt;&gt;"Supplier"),0,F2760*P2760+G2760*Q2760)</f>
        <v>0</v>
      </c>
      <c r="S2760" s="26" t="n">
        <f aca="false">IF(OR($D2760="",$J2760&lt;&gt;"Own"),0,IFERROR((F2760+G2760*Settings!$B$13)*INDEX(Workers!$V$5:$V$2004,MATCH($D2760,Workers!$A$5:$A$2004,0)),0))</f>
        <v>0</v>
      </c>
      <c r="T2760" s="26" t="str">
        <f aca="false">IF($D2760="","",O2760-R2760-S2760)</f>
        <v/>
      </c>
    </row>
    <row r="2761" customFormat="false" ht="15" hidden="false" customHeight="false" outlineLevel="0" collapsed="false">
      <c r="I2761" s="24" t="str">
        <f aca="false">IF($D2761="","",IFERROR(INDEX(Workers!$B$5:$B$2004,MATCH($D2761,Workers!$A$5:$A$2004,0)),"NOT FOUND"))</f>
        <v/>
      </c>
      <c r="J2761" s="24" t="str">
        <f aca="false">IF($D2761="","",IFERROR(INDEX(Workers!$C$5:$C$2004,MATCH($D2761,Workers!$A$5:$A$2004,0)),""))</f>
        <v/>
      </c>
      <c r="K2761" s="24" t="str">
        <f aca="false">IF($D2761="","",IFERROR(IF(INDEX(Workers!$D$5:$D$2004,MATCH($D2761,Workers!$A$5:$A$2004,0))=0,"",INDEX(Workers!$D$5:$D$2004,MATCH($D2761,Workers!$A$5:$A$2004,0))),""))</f>
        <v/>
      </c>
      <c r="L2761" s="24" t="str">
        <f aca="false">IF($D2761="","",IFERROR(INDEX(Workers!$E$5:$E$2004,MATCH($D2761,Workers!$A$5:$A$2004,0)),""))</f>
        <v/>
      </c>
      <c r="M2761" s="26" t="str">
        <f aca="false">IF($D2761="","",IFERROR(INDEX(ClientRates!$D$5:$D$500,MATCH($B2761&amp;"|"&amp;$L2761,ClientRates!$A$5:$A$500,0)),0))</f>
        <v/>
      </c>
      <c r="N2761" s="26" t="str">
        <f aca="false">IF($D2761="","",IFERROR(INDEX(ClientRates!$E$5:$E$500,MATCH($B2761&amp;"|"&amp;$L2761,ClientRates!$A$5:$A$500,0)),0))</f>
        <v/>
      </c>
      <c r="O2761" s="26" t="str">
        <f aca="false">IF($D2761="","",F2761*M2761+G2761*N2761)</f>
        <v/>
      </c>
      <c r="P2761" s="26" t="str">
        <f aca="false">IF(OR($D2761="",$J2761&lt;&gt;"Supplier"),"",IFERROR(INDEX(SupplierRates!$D$5:$D$500,MATCH($K2761&amp;"|"&amp;$L2761,SupplierRates!$A$5:$A$500,0)),0))</f>
        <v/>
      </c>
      <c r="Q2761" s="26" t="str">
        <f aca="false">IF(OR($D2761="",$J2761&lt;&gt;"Supplier"),"",IFERROR(INDEX(SupplierRates!$E$5:$E$500,MATCH($K2761&amp;"|"&amp;$L2761,SupplierRates!$A$5:$A$500,0)),0))</f>
        <v/>
      </c>
      <c r="R2761" s="26" t="n">
        <f aca="false">IF(OR($D2761="",$J2761&lt;&gt;"Supplier"),0,F2761*P2761+G2761*Q2761)</f>
        <v>0</v>
      </c>
      <c r="S2761" s="26" t="n">
        <f aca="false">IF(OR($D2761="",$J2761&lt;&gt;"Own"),0,IFERROR((F2761+G2761*Settings!$B$13)*INDEX(Workers!$V$5:$V$2004,MATCH($D2761,Workers!$A$5:$A$2004,0)),0))</f>
        <v>0</v>
      </c>
      <c r="T2761" s="26" t="str">
        <f aca="false">IF($D2761="","",O2761-R2761-S2761)</f>
        <v/>
      </c>
    </row>
    <row r="2762" customFormat="false" ht="15" hidden="false" customHeight="false" outlineLevel="0" collapsed="false">
      <c r="I2762" s="24" t="str">
        <f aca="false">IF($D2762="","",IFERROR(INDEX(Workers!$B$5:$B$2004,MATCH($D2762,Workers!$A$5:$A$2004,0)),"NOT FOUND"))</f>
        <v/>
      </c>
      <c r="J2762" s="24" t="str">
        <f aca="false">IF($D2762="","",IFERROR(INDEX(Workers!$C$5:$C$2004,MATCH($D2762,Workers!$A$5:$A$2004,0)),""))</f>
        <v/>
      </c>
      <c r="K2762" s="24" t="str">
        <f aca="false">IF($D2762="","",IFERROR(IF(INDEX(Workers!$D$5:$D$2004,MATCH($D2762,Workers!$A$5:$A$2004,0))=0,"",INDEX(Workers!$D$5:$D$2004,MATCH($D2762,Workers!$A$5:$A$2004,0))),""))</f>
        <v/>
      </c>
      <c r="L2762" s="24" t="str">
        <f aca="false">IF($D2762="","",IFERROR(INDEX(Workers!$E$5:$E$2004,MATCH($D2762,Workers!$A$5:$A$2004,0)),""))</f>
        <v/>
      </c>
      <c r="M2762" s="26" t="str">
        <f aca="false">IF($D2762="","",IFERROR(INDEX(ClientRates!$D$5:$D$500,MATCH($B2762&amp;"|"&amp;$L2762,ClientRates!$A$5:$A$500,0)),0))</f>
        <v/>
      </c>
      <c r="N2762" s="26" t="str">
        <f aca="false">IF($D2762="","",IFERROR(INDEX(ClientRates!$E$5:$E$500,MATCH($B2762&amp;"|"&amp;$L2762,ClientRates!$A$5:$A$500,0)),0))</f>
        <v/>
      </c>
      <c r="O2762" s="26" t="str">
        <f aca="false">IF($D2762="","",F2762*M2762+G2762*N2762)</f>
        <v/>
      </c>
      <c r="P2762" s="26" t="str">
        <f aca="false">IF(OR($D2762="",$J2762&lt;&gt;"Supplier"),"",IFERROR(INDEX(SupplierRates!$D$5:$D$500,MATCH($K2762&amp;"|"&amp;$L2762,SupplierRates!$A$5:$A$500,0)),0))</f>
        <v/>
      </c>
      <c r="Q2762" s="26" t="str">
        <f aca="false">IF(OR($D2762="",$J2762&lt;&gt;"Supplier"),"",IFERROR(INDEX(SupplierRates!$E$5:$E$500,MATCH($K2762&amp;"|"&amp;$L2762,SupplierRates!$A$5:$A$500,0)),0))</f>
        <v/>
      </c>
      <c r="R2762" s="26" t="n">
        <f aca="false">IF(OR($D2762="",$J2762&lt;&gt;"Supplier"),0,F2762*P2762+G2762*Q2762)</f>
        <v>0</v>
      </c>
      <c r="S2762" s="26" t="n">
        <f aca="false">IF(OR($D2762="",$J2762&lt;&gt;"Own"),0,IFERROR((F2762+G2762*Settings!$B$13)*INDEX(Workers!$V$5:$V$2004,MATCH($D2762,Workers!$A$5:$A$2004,0)),0))</f>
        <v>0</v>
      </c>
      <c r="T2762" s="26" t="str">
        <f aca="false">IF($D2762="","",O2762-R2762-S2762)</f>
        <v/>
      </c>
    </row>
    <row r="2763" customFormat="false" ht="15" hidden="false" customHeight="false" outlineLevel="0" collapsed="false">
      <c r="I2763" s="24" t="str">
        <f aca="false">IF($D2763="","",IFERROR(INDEX(Workers!$B$5:$B$2004,MATCH($D2763,Workers!$A$5:$A$2004,0)),"NOT FOUND"))</f>
        <v/>
      </c>
      <c r="J2763" s="24" t="str">
        <f aca="false">IF($D2763="","",IFERROR(INDEX(Workers!$C$5:$C$2004,MATCH($D2763,Workers!$A$5:$A$2004,0)),""))</f>
        <v/>
      </c>
      <c r="K2763" s="24" t="str">
        <f aca="false">IF($D2763="","",IFERROR(IF(INDEX(Workers!$D$5:$D$2004,MATCH($D2763,Workers!$A$5:$A$2004,0))=0,"",INDEX(Workers!$D$5:$D$2004,MATCH($D2763,Workers!$A$5:$A$2004,0))),""))</f>
        <v/>
      </c>
      <c r="L2763" s="24" t="str">
        <f aca="false">IF($D2763="","",IFERROR(INDEX(Workers!$E$5:$E$2004,MATCH($D2763,Workers!$A$5:$A$2004,0)),""))</f>
        <v/>
      </c>
      <c r="M2763" s="26" t="str">
        <f aca="false">IF($D2763="","",IFERROR(INDEX(ClientRates!$D$5:$D$500,MATCH($B2763&amp;"|"&amp;$L2763,ClientRates!$A$5:$A$500,0)),0))</f>
        <v/>
      </c>
      <c r="N2763" s="26" t="str">
        <f aca="false">IF($D2763="","",IFERROR(INDEX(ClientRates!$E$5:$E$500,MATCH($B2763&amp;"|"&amp;$L2763,ClientRates!$A$5:$A$500,0)),0))</f>
        <v/>
      </c>
      <c r="O2763" s="26" t="str">
        <f aca="false">IF($D2763="","",F2763*M2763+G2763*N2763)</f>
        <v/>
      </c>
      <c r="P2763" s="26" t="str">
        <f aca="false">IF(OR($D2763="",$J2763&lt;&gt;"Supplier"),"",IFERROR(INDEX(SupplierRates!$D$5:$D$500,MATCH($K2763&amp;"|"&amp;$L2763,SupplierRates!$A$5:$A$500,0)),0))</f>
        <v/>
      </c>
      <c r="Q2763" s="26" t="str">
        <f aca="false">IF(OR($D2763="",$J2763&lt;&gt;"Supplier"),"",IFERROR(INDEX(SupplierRates!$E$5:$E$500,MATCH($K2763&amp;"|"&amp;$L2763,SupplierRates!$A$5:$A$500,0)),0))</f>
        <v/>
      </c>
      <c r="R2763" s="26" t="n">
        <f aca="false">IF(OR($D2763="",$J2763&lt;&gt;"Supplier"),0,F2763*P2763+G2763*Q2763)</f>
        <v>0</v>
      </c>
      <c r="S2763" s="26" t="n">
        <f aca="false">IF(OR($D2763="",$J2763&lt;&gt;"Own"),0,IFERROR((F2763+G2763*Settings!$B$13)*INDEX(Workers!$V$5:$V$2004,MATCH($D2763,Workers!$A$5:$A$2004,0)),0))</f>
        <v>0</v>
      </c>
      <c r="T2763" s="26" t="str">
        <f aca="false">IF($D2763="","",O2763-R2763-S2763)</f>
        <v/>
      </c>
    </row>
    <row r="2764" customFormat="false" ht="15" hidden="false" customHeight="false" outlineLevel="0" collapsed="false">
      <c r="I2764" s="24" t="str">
        <f aca="false">IF($D2764="","",IFERROR(INDEX(Workers!$B$5:$B$2004,MATCH($D2764,Workers!$A$5:$A$2004,0)),"NOT FOUND"))</f>
        <v/>
      </c>
      <c r="J2764" s="24" t="str">
        <f aca="false">IF($D2764="","",IFERROR(INDEX(Workers!$C$5:$C$2004,MATCH($D2764,Workers!$A$5:$A$2004,0)),""))</f>
        <v/>
      </c>
      <c r="K2764" s="24" t="str">
        <f aca="false">IF($D2764="","",IFERROR(IF(INDEX(Workers!$D$5:$D$2004,MATCH($D2764,Workers!$A$5:$A$2004,0))=0,"",INDEX(Workers!$D$5:$D$2004,MATCH($D2764,Workers!$A$5:$A$2004,0))),""))</f>
        <v/>
      </c>
      <c r="L2764" s="24" t="str">
        <f aca="false">IF($D2764="","",IFERROR(INDEX(Workers!$E$5:$E$2004,MATCH($D2764,Workers!$A$5:$A$2004,0)),""))</f>
        <v/>
      </c>
      <c r="M2764" s="26" t="str">
        <f aca="false">IF($D2764="","",IFERROR(INDEX(ClientRates!$D$5:$D$500,MATCH($B2764&amp;"|"&amp;$L2764,ClientRates!$A$5:$A$500,0)),0))</f>
        <v/>
      </c>
      <c r="N2764" s="26" t="str">
        <f aca="false">IF($D2764="","",IFERROR(INDEX(ClientRates!$E$5:$E$500,MATCH($B2764&amp;"|"&amp;$L2764,ClientRates!$A$5:$A$500,0)),0))</f>
        <v/>
      </c>
      <c r="O2764" s="26" t="str">
        <f aca="false">IF($D2764="","",F2764*M2764+G2764*N2764)</f>
        <v/>
      </c>
      <c r="P2764" s="26" t="str">
        <f aca="false">IF(OR($D2764="",$J2764&lt;&gt;"Supplier"),"",IFERROR(INDEX(SupplierRates!$D$5:$D$500,MATCH($K2764&amp;"|"&amp;$L2764,SupplierRates!$A$5:$A$500,0)),0))</f>
        <v/>
      </c>
      <c r="Q2764" s="26" t="str">
        <f aca="false">IF(OR($D2764="",$J2764&lt;&gt;"Supplier"),"",IFERROR(INDEX(SupplierRates!$E$5:$E$500,MATCH($K2764&amp;"|"&amp;$L2764,SupplierRates!$A$5:$A$500,0)),0))</f>
        <v/>
      </c>
      <c r="R2764" s="26" t="n">
        <f aca="false">IF(OR($D2764="",$J2764&lt;&gt;"Supplier"),0,F2764*P2764+G2764*Q2764)</f>
        <v>0</v>
      </c>
      <c r="S2764" s="26" t="n">
        <f aca="false">IF(OR($D2764="",$J2764&lt;&gt;"Own"),0,IFERROR((F2764+G2764*Settings!$B$13)*INDEX(Workers!$V$5:$V$2004,MATCH($D2764,Workers!$A$5:$A$2004,0)),0))</f>
        <v>0</v>
      </c>
      <c r="T2764" s="26" t="str">
        <f aca="false">IF($D2764="","",O2764-R2764-S2764)</f>
        <v/>
      </c>
    </row>
    <row r="2765" customFormat="false" ht="15" hidden="false" customHeight="false" outlineLevel="0" collapsed="false">
      <c r="I2765" s="24" t="str">
        <f aca="false">IF($D2765="","",IFERROR(INDEX(Workers!$B$5:$B$2004,MATCH($D2765,Workers!$A$5:$A$2004,0)),"NOT FOUND"))</f>
        <v/>
      </c>
      <c r="J2765" s="24" t="str">
        <f aca="false">IF($D2765="","",IFERROR(INDEX(Workers!$C$5:$C$2004,MATCH($D2765,Workers!$A$5:$A$2004,0)),""))</f>
        <v/>
      </c>
      <c r="K2765" s="24" t="str">
        <f aca="false">IF($D2765="","",IFERROR(IF(INDEX(Workers!$D$5:$D$2004,MATCH($D2765,Workers!$A$5:$A$2004,0))=0,"",INDEX(Workers!$D$5:$D$2004,MATCH($D2765,Workers!$A$5:$A$2004,0))),""))</f>
        <v/>
      </c>
      <c r="L2765" s="24" t="str">
        <f aca="false">IF($D2765="","",IFERROR(INDEX(Workers!$E$5:$E$2004,MATCH($D2765,Workers!$A$5:$A$2004,0)),""))</f>
        <v/>
      </c>
      <c r="M2765" s="26" t="str">
        <f aca="false">IF($D2765="","",IFERROR(INDEX(ClientRates!$D$5:$D$500,MATCH($B2765&amp;"|"&amp;$L2765,ClientRates!$A$5:$A$500,0)),0))</f>
        <v/>
      </c>
      <c r="N2765" s="26" t="str">
        <f aca="false">IF($D2765="","",IFERROR(INDEX(ClientRates!$E$5:$E$500,MATCH($B2765&amp;"|"&amp;$L2765,ClientRates!$A$5:$A$500,0)),0))</f>
        <v/>
      </c>
      <c r="O2765" s="26" t="str">
        <f aca="false">IF($D2765="","",F2765*M2765+G2765*N2765)</f>
        <v/>
      </c>
      <c r="P2765" s="26" t="str">
        <f aca="false">IF(OR($D2765="",$J2765&lt;&gt;"Supplier"),"",IFERROR(INDEX(SupplierRates!$D$5:$D$500,MATCH($K2765&amp;"|"&amp;$L2765,SupplierRates!$A$5:$A$500,0)),0))</f>
        <v/>
      </c>
      <c r="Q2765" s="26" t="str">
        <f aca="false">IF(OR($D2765="",$J2765&lt;&gt;"Supplier"),"",IFERROR(INDEX(SupplierRates!$E$5:$E$500,MATCH($K2765&amp;"|"&amp;$L2765,SupplierRates!$A$5:$A$500,0)),0))</f>
        <v/>
      </c>
      <c r="R2765" s="26" t="n">
        <f aca="false">IF(OR($D2765="",$J2765&lt;&gt;"Supplier"),0,F2765*P2765+G2765*Q2765)</f>
        <v>0</v>
      </c>
      <c r="S2765" s="26" t="n">
        <f aca="false">IF(OR($D2765="",$J2765&lt;&gt;"Own"),0,IFERROR((F2765+G2765*Settings!$B$13)*INDEX(Workers!$V$5:$V$2004,MATCH($D2765,Workers!$A$5:$A$2004,0)),0))</f>
        <v>0</v>
      </c>
      <c r="T2765" s="26" t="str">
        <f aca="false">IF($D2765="","",O2765-R2765-S2765)</f>
        <v/>
      </c>
    </row>
    <row r="2766" customFormat="false" ht="15" hidden="false" customHeight="false" outlineLevel="0" collapsed="false">
      <c r="I2766" s="24" t="str">
        <f aca="false">IF($D2766="","",IFERROR(INDEX(Workers!$B$5:$B$2004,MATCH($D2766,Workers!$A$5:$A$2004,0)),"NOT FOUND"))</f>
        <v/>
      </c>
      <c r="J2766" s="24" t="str">
        <f aca="false">IF($D2766="","",IFERROR(INDEX(Workers!$C$5:$C$2004,MATCH($D2766,Workers!$A$5:$A$2004,0)),""))</f>
        <v/>
      </c>
      <c r="K2766" s="24" t="str">
        <f aca="false">IF($D2766="","",IFERROR(IF(INDEX(Workers!$D$5:$D$2004,MATCH($D2766,Workers!$A$5:$A$2004,0))=0,"",INDEX(Workers!$D$5:$D$2004,MATCH($D2766,Workers!$A$5:$A$2004,0))),""))</f>
        <v/>
      </c>
      <c r="L2766" s="24" t="str">
        <f aca="false">IF($D2766="","",IFERROR(INDEX(Workers!$E$5:$E$2004,MATCH($D2766,Workers!$A$5:$A$2004,0)),""))</f>
        <v/>
      </c>
      <c r="M2766" s="26" t="str">
        <f aca="false">IF($D2766="","",IFERROR(INDEX(ClientRates!$D$5:$D$500,MATCH($B2766&amp;"|"&amp;$L2766,ClientRates!$A$5:$A$500,0)),0))</f>
        <v/>
      </c>
      <c r="N2766" s="26" t="str">
        <f aca="false">IF($D2766="","",IFERROR(INDEX(ClientRates!$E$5:$E$500,MATCH($B2766&amp;"|"&amp;$L2766,ClientRates!$A$5:$A$500,0)),0))</f>
        <v/>
      </c>
      <c r="O2766" s="26" t="str">
        <f aca="false">IF($D2766="","",F2766*M2766+G2766*N2766)</f>
        <v/>
      </c>
      <c r="P2766" s="26" t="str">
        <f aca="false">IF(OR($D2766="",$J2766&lt;&gt;"Supplier"),"",IFERROR(INDEX(SupplierRates!$D$5:$D$500,MATCH($K2766&amp;"|"&amp;$L2766,SupplierRates!$A$5:$A$500,0)),0))</f>
        <v/>
      </c>
      <c r="Q2766" s="26" t="str">
        <f aca="false">IF(OR($D2766="",$J2766&lt;&gt;"Supplier"),"",IFERROR(INDEX(SupplierRates!$E$5:$E$500,MATCH($K2766&amp;"|"&amp;$L2766,SupplierRates!$A$5:$A$500,0)),0))</f>
        <v/>
      </c>
      <c r="R2766" s="26" t="n">
        <f aca="false">IF(OR($D2766="",$J2766&lt;&gt;"Supplier"),0,F2766*P2766+G2766*Q2766)</f>
        <v>0</v>
      </c>
      <c r="S2766" s="26" t="n">
        <f aca="false">IF(OR($D2766="",$J2766&lt;&gt;"Own"),0,IFERROR((F2766+G2766*Settings!$B$13)*INDEX(Workers!$V$5:$V$2004,MATCH($D2766,Workers!$A$5:$A$2004,0)),0))</f>
        <v>0</v>
      </c>
      <c r="T2766" s="26" t="str">
        <f aca="false">IF($D2766="","",O2766-R2766-S2766)</f>
        <v/>
      </c>
    </row>
    <row r="2767" customFormat="false" ht="15" hidden="false" customHeight="false" outlineLevel="0" collapsed="false">
      <c r="I2767" s="24" t="str">
        <f aca="false">IF($D2767="","",IFERROR(INDEX(Workers!$B$5:$B$2004,MATCH($D2767,Workers!$A$5:$A$2004,0)),"NOT FOUND"))</f>
        <v/>
      </c>
      <c r="J2767" s="24" t="str">
        <f aca="false">IF($D2767="","",IFERROR(INDEX(Workers!$C$5:$C$2004,MATCH($D2767,Workers!$A$5:$A$2004,0)),""))</f>
        <v/>
      </c>
      <c r="K2767" s="24" t="str">
        <f aca="false">IF($D2767="","",IFERROR(IF(INDEX(Workers!$D$5:$D$2004,MATCH($D2767,Workers!$A$5:$A$2004,0))=0,"",INDEX(Workers!$D$5:$D$2004,MATCH($D2767,Workers!$A$5:$A$2004,0))),""))</f>
        <v/>
      </c>
      <c r="L2767" s="24" t="str">
        <f aca="false">IF($D2767="","",IFERROR(INDEX(Workers!$E$5:$E$2004,MATCH($D2767,Workers!$A$5:$A$2004,0)),""))</f>
        <v/>
      </c>
      <c r="M2767" s="26" t="str">
        <f aca="false">IF($D2767="","",IFERROR(INDEX(ClientRates!$D$5:$D$500,MATCH($B2767&amp;"|"&amp;$L2767,ClientRates!$A$5:$A$500,0)),0))</f>
        <v/>
      </c>
      <c r="N2767" s="26" t="str">
        <f aca="false">IF($D2767="","",IFERROR(INDEX(ClientRates!$E$5:$E$500,MATCH($B2767&amp;"|"&amp;$L2767,ClientRates!$A$5:$A$500,0)),0))</f>
        <v/>
      </c>
      <c r="O2767" s="26" t="str">
        <f aca="false">IF($D2767="","",F2767*M2767+G2767*N2767)</f>
        <v/>
      </c>
      <c r="P2767" s="26" t="str">
        <f aca="false">IF(OR($D2767="",$J2767&lt;&gt;"Supplier"),"",IFERROR(INDEX(SupplierRates!$D$5:$D$500,MATCH($K2767&amp;"|"&amp;$L2767,SupplierRates!$A$5:$A$500,0)),0))</f>
        <v/>
      </c>
      <c r="Q2767" s="26" t="str">
        <f aca="false">IF(OR($D2767="",$J2767&lt;&gt;"Supplier"),"",IFERROR(INDEX(SupplierRates!$E$5:$E$500,MATCH($K2767&amp;"|"&amp;$L2767,SupplierRates!$A$5:$A$500,0)),0))</f>
        <v/>
      </c>
      <c r="R2767" s="26" t="n">
        <f aca="false">IF(OR($D2767="",$J2767&lt;&gt;"Supplier"),0,F2767*P2767+G2767*Q2767)</f>
        <v>0</v>
      </c>
      <c r="S2767" s="26" t="n">
        <f aca="false">IF(OR($D2767="",$J2767&lt;&gt;"Own"),0,IFERROR((F2767+G2767*Settings!$B$13)*INDEX(Workers!$V$5:$V$2004,MATCH($D2767,Workers!$A$5:$A$2004,0)),0))</f>
        <v>0</v>
      </c>
      <c r="T2767" s="26" t="str">
        <f aca="false">IF($D2767="","",O2767-R2767-S2767)</f>
        <v/>
      </c>
    </row>
    <row r="2768" customFormat="false" ht="15" hidden="false" customHeight="false" outlineLevel="0" collapsed="false">
      <c r="I2768" s="24" t="str">
        <f aca="false">IF($D2768="","",IFERROR(INDEX(Workers!$B$5:$B$2004,MATCH($D2768,Workers!$A$5:$A$2004,0)),"NOT FOUND"))</f>
        <v/>
      </c>
      <c r="J2768" s="24" t="str">
        <f aca="false">IF($D2768="","",IFERROR(INDEX(Workers!$C$5:$C$2004,MATCH($D2768,Workers!$A$5:$A$2004,0)),""))</f>
        <v/>
      </c>
      <c r="K2768" s="24" t="str">
        <f aca="false">IF($D2768="","",IFERROR(IF(INDEX(Workers!$D$5:$D$2004,MATCH($D2768,Workers!$A$5:$A$2004,0))=0,"",INDEX(Workers!$D$5:$D$2004,MATCH($D2768,Workers!$A$5:$A$2004,0))),""))</f>
        <v/>
      </c>
      <c r="L2768" s="24" t="str">
        <f aca="false">IF($D2768="","",IFERROR(INDEX(Workers!$E$5:$E$2004,MATCH($D2768,Workers!$A$5:$A$2004,0)),""))</f>
        <v/>
      </c>
      <c r="M2768" s="26" t="str">
        <f aca="false">IF($D2768="","",IFERROR(INDEX(ClientRates!$D$5:$D$500,MATCH($B2768&amp;"|"&amp;$L2768,ClientRates!$A$5:$A$500,0)),0))</f>
        <v/>
      </c>
      <c r="N2768" s="26" t="str">
        <f aca="false">IF($D2768="","",IFERROR(INDEX(ClientRates!$E$5:$E$500,MATCH($B2768&amp;"|"&amp;$L2768,ClientRates!$A$5:$A$500,0)),0))</f>
        <v/>
      </c>
      <c r="O2768" s="26" t="str">
        <f aca="false">IF($D2768="","",F2768*M2768+G2768*N2768)</f>
        <v/>
      </c>
      <c r="P2768" s="26" t="str">
        <f aca="false">IF(OR($D2768="",$J2768&lt;&gt;"Supplier"),"",IFERROR(INDEX(SupplierRates!$D$5:$D$500,MATCH($K2768&amp;"|"&amp;$L2768,SupplierRates!$A$5:$A$500,0)),0))</f>
        <v/>
      </c>
      <c r="Q2768" s="26" t="str">
        <f aca="false">IF(OR($D2768="",$J2768&lt;&gt;"Supplier"),"",IFERROR(INDEX(SupplierRates!$E$5:$E$500,MATCH($K2768&amp;"|"&amp;$L2768,SupplierRates!$A$5:$A$500,0)),0))</f>
        <v/>
      </c>
      <c r="R2768" s="26" t="n">
        <f aca="false">IF(OR($D2768="",$J2768&lt;&gt;"Supplier"),0,F2768*P2768+G2768*Q2768)</f>
        <v>0</v>
      </c>
      <c r="S2768" s="26" t="n">
        <f aca="false">IF(OR($D2768="",$J2768&lt;&gt;"Own"),0,IFERROR((F2768+G2768*Settings!$B$13)*INDEX(Workers!$V$5:$V$2004,MATCH($D2768,Workers!$A$5:$A$2004,0)),0))</f>
        <v>0</v>
      </c>
      <c r="T2768" s="26" t="str">
        <f aca="false">IF($D2768="","",O2768-R2768-S2768)</f>
        <v/>
      </c>
    </row>
    <row r="2769" customFormat="false" ht="15" hidden="false" customHeight="false" outlineLevel="0" collapsed="false">
      <c r="I2769" s="24" t="str">
        <f aca="false">IF($D2769="","",IFERROR(INDEX(Workers!$B$5:$B$2004,MATCH($D2769,Workers!$A$5:$A$2004,0)),"NOT FOUND"))</f>
        <v/>
      </c>
      <c r="J2769" s="24" t="str">
        <f aca="false">IF($D2769="","",IFERROR(INDEX(Workers!$C$5:$C$2004,MATCH($D2769,Workers!$A$5:$A$2004,0)),""))</f>
        <v/>
      </c>
      <c r="K2769" s="24" t="str">
        <f aca="false">IF($D2769="","",IFERROR(IF(INDEX(Workers!$D$5:$D$2004,MATCH($D2769,Workers!$A$5:$A$2004,0))=0,"",INDEX(Workers!$D$5:$D$2004,MATCH($D2769,Workers!$A$5:$A$2004,0))),""))</f>
        <v/>
      </c>
      <c r="L2769" s="24" t="str">
        <f aca="false">IF($D2769="","",IFERROR(INDEX(Workers!$E$5:$E$2004,MATCH($D2769,Workers!$A$5:$A$2004,0)),""))</f>
        <v/>
      </c>
      <c r="M2769" s="26" t="str">
        <f aca="false">IF($D2769="","",IFERROR(INDEX(ClientRates!$D$5:$D$500,MATCH($B2769&amp;"|"&amp;$L2769,ClientRates!$A$5:$A$500,0)),0))</f>
        <v/>
      </c>
      <c r="N2769" s="26" t="str">
        <f aca="false">IF($D2769="","",IFERROR(INDEX(ClientRates!$E$5:$E$500,MATCH($B2769&amp;"|"&amp;$L2769,ClientRates!$A$5:$A$500,0)),0))</f>
        <v/>
      </c>
      <c r="O2769" s="26" t="str">
        <f aca="false">IF($D2769="","",F2769*M2769+G2769*N2769)</f>
        <v/>
      </c>
      <c r="P2769" s="26" t="str">
        <f aca="false">IF(OR($D2769="",$J2769&lt;&gt;"Supplier"),"",IFERROR(INDEX(SupplierRates!$D$5:$D$500,MATCH($K2769&amp;"|"&amp;$L2769,SupplierRates!$A$5:$A$500,0)),0))</f>
        <v/>
      </c>
      <c r="Q2769" s="26" t="str">
        <f aca="false">IF(OR($D2769="",$J2769&lt;&gt;"Supplier"),"",IFERROR(INDEX(SupplierRates!$E$5:$E$500,MATCH($K2769&amp;"|"&amp;$L2769,SupplierRates!$A$5:$A$500,0)),0))</f>
        <v/>
      </c>
      <c r="R2769" s="26" t="n">
        <f aca="false">IF(OR($D2769="",$J2769&lt;&gt;"Supplier"),0,F2769*P2769+G2769*Q2769)</f>
        <v>0</v>
      </c>
      <c r="S2769" s="26" t="n">
        <f aca="false">IF(OR($D2769="",$J2769&lt;&gt;"Own"),0,IFERROR((F2769+G2769*Settings!$B$13)*INDEX(Workers!$V$5:$V$2004,MATCH($D2769,Workers!$A$5:$A$2004,0)),0))</f>
        <v>0</v>
      </c>
      <c r="T2769" s="26" t="str">
        <f aca="false">IF($D2769="","",O2769-R2769-S2769)</f>
        <v/>
      </c>
    </row>
    <row r="2770" customFormat="false" ht="15" hidden="false" customHeight="false" outlineLevel="0" collapsed="false">
      <c r="I2770" s="24" t="str">
        <f aca="false">IF($D2770="","",IFERROR(INDEX(Workers!$B$5:$B$2004,MATCH($D2770,Workers!$A$5:$A$2004,0)),"NOT FOUND"))</f>
        <v/>
      </c>
      <c r="J2770" s="24" t="str">
        <f aca="false">IF($D2770="","",IFERROR(INDEX(Workers!$C$5:$C$2004,MATCH($D2770,Workers!$A$5:$A$2004,0)),""))</f>
        <v/>
      </c>
      <c r="K2770" s="24" t="str">
        <f aca="false">IF($D2770="","",IFERROR(IF(INDEX(Workers!$D$5:$D$2004,MATCH($D2770,Workers!$A$5:$A$2004,0))=0,"",INDEX(Workers!$D$5:$D$2004,MATCH($D2770,Workers!$A$5:$A$2004,0))),""))</f>
        <v/>
      </c>
      <c r="L2770" s="24" t="str">
        <f aca="false">IF($D2770="","",IFERROR(INDEX(Workers!$E$5:$E$2004,MATCH($D2770,Workers!$A$5:$A$2004,0)),""))</f>
        <v/>
      </c>
      <c r="M2770" s="26" t="str">
        <f aca="false">IF($D2770="","",IFERROR(INDEX(ClientRates!$D$5:$D$500,MATCH($B2770&amp;"|"&amp;$L2770,ClientRates!$A$5:$A$500,0)),0))</f>
        <v/>
      </c>
      <c r="N2770" s="26" t="str">
        <f aca="false">IF($D2770="","",IFERROR(INDEX(ClientRates!$E$5:$E$500,MATCH($B2770&amp;"|"&amp;$L2770,ClientRates!$A$5:$A$500,0)),0))</f>
        <v/>
      </c>
      <c r="O2770" s="26" t="str">
        <f aca="false">IF($D2770="","",F2770*M2770+G2770*N2770)</f>
        <v/>
      </c>
      <c r="P2770" s="26" t="str">
        <f aca="false">IF(OR($D2770="",$J2770&lt;&gt;"Supplier"),"",IFERROR(INDEX(SupplierRates!$D$5:$D$500,MATCH($K2770&amp;"|"&amp;$L2770,SupplierRates!$A$5:$A$500,0)),0))</f>
        <v/>
      </c>
      <c r="Q2770" s="26" t="str">
        <f aca="false">IF(OR($D2770="",$J2770&lt;&gt;"Supplier"),"",IFERROR(INDEX(SupplierRates!$E$5:$E$500,MATCH($K2770&amp;"|"&amp;$L2770,SupplierRates!$A$5:$A$500,0)),0))</f>
        <v/>
      </c>
      <c r="R2770" s="26" t="n">
        <f aca="false">IF(OR($D2770="",$J2770&lt;&gt;"Supplier"),0,F2770*P2770+G2770*Q2770)</f>
        <v>0</v>
      </c>
      <c r="S2770" s="26" t="n">
        <f aca="false">IF(OR($D2770="",$J2770&lt;&gt;"Own"),0,IFERROR((F2770+G2770*Settings!$B$13)*INDEX(Workers!$V$5:$V$2004,MATCH($D2770,Workers!$A$5:$A$2004,0)),0))</f>
        <v>0</v>
      </c>
      <c r="T2770" s="26" t="str">
        <f aca="false">IF($D2770="","",O2770-R2770-S2770)</f>
        <v/>
      </c>
    </row>
    <row r="2771" customFormat="false" ht="15" hidden="false" customHeight="false" outlineLevel="0" collapsed="false">
      <c r="I2771" s="24" t="str">
        <f aca="false">IF($D2771="","",IFERROR(INDEX(Workers!$B$5:$B$2004,MATCH($D2771,Workers!$A$5:$A$2004,0)),"NOT FOUND"))</f>
        <v/>
      </c>
      <c r="J2771" s="24" t="str">
        <f aca="false">IF($D2771="","",IFERROR(INDEX(Workers!$C$5:$C$2004,MATCH($D2771,Workers!$A$5:$A$2004,0)),""))</f>
        <v/>
      </c>
      <c r="K2771" s="24" t="str">
        <f aca="false">IF($D2771="","",IFERROR(IF(INDEX(Workers!$D$5:$D$2004,MATCH($D2771,Workers!$A$5:$A$2004,0))=0,"",INDEX(Workers!$D$5:$D$2004,MATCH($D2771,Workers!$A$5:$A$2004,0))),""))</f>
        <v/>
      </c>
      <c r="L2771" s="24" t="str">
        <f aca="false">IF($D2771="","",IFERROR(INDEX(Workers!$E$5:$E$2004,MATCH($D2771,Workers!$A$5:$A$2004,0)),""))</f>
        <v/>
      </c>
      <c r="M2771" s="26" t="str">
        <f aca="false">IF($D2771="","",IFERROR(INDEX(ClientRates!$D$5:$D$500,MATCH($B2771&amp;"|"&amp;$L2771,ClientRates!$A$5:$A$500,0)),0))</f>
        <v/>
      </c>
      <c r="N2771" s="26" t="str">
        <f aca="false">IF($D2771="","",IFERROR(INDEX(ClientRates!$E$5:$E$500,MATCH($B2771&amp;"|"&amp;$L2771,ClientRates!$A$5:$A$500,0)),0))</f>
        <v/>
      </c>
      <c r="O2771" s="26" t="str">
        <f aca="false">IF($D2771="","",F2771*M2771+G2771*N2771)</f>
        <v/>
      </c>
      <c r="P2771" s="26" t="str">
        <f aca="false">IF(OR($D2771="",$J2771&lt;&gt;"Supplier"),"",IFERROR(INDEX(SupplierRates!$D$5:$D$500,MATCH($K2771&amp;"|"&amp;$L2771,SupplierRates!$A$5:$A$500,0)),0))</f>
        <v/>
      </c>
      <c r="Q2771" s="26" t="str">
        <f aca="false">IF(OR($D2771="",$J2771&lt;&gt;"Supplier"),"",IFERROR(INDEX(SupplierRates!$E$5:$E$500,MATCH($K2771&amp;"|"&amp;$L2771,SupplierRates!$A$5:$A$500,0)),0))</f>
        <v/>
      </c>
      <c r="R2771" s="26" t="n">
        <f aca="false">IF(OR($D2771="",$J2771&lt;&gt;"Supplier"),0,F2771*P2771+G2771*Q2771)</f>
        <v>0</v>
      </c>
      <c r="S2771" s="26" t="n">
        <f aca="false">IF(OR($D2771="",$J2771&lt;&gt;"Own"),0,IFERROR((F2771+G2771*Settings!$B$13)*INDEX(Workers!$V$5:$V$2004,MATCH($D2771,Workers!$A$5:$A$2004,0)),0))</f>
        <v>0</v>
      </c>
      <c r="T2771" s="26" t="str">
        <f aca="false">IF($D2771="","",O2771-R2771-S2771)</f>
        <v/>
      </c>
    </row>
    <row r="2772" customFormat="false" ht="15" hidden="false" customHeight="false" outlineLevel="0" collapsed="false">
      <c r="I2772" s="24" t="str">
        <f aca="false">IF($D2772="","",IFERROR(INDEX(Workers!$B$5:$B$2004,MATCH($D2772,Workers!$A$5:$A$2004,0)),"NOT FOUND"))</f>
        <v/>
      </c>
      <c r="J2772" s="24" t="str">
        <f aca="false">IF($D2772="","",IFERROR(INDEX(Workers!$C$5:$C$2004,MATCH($D2772,Workers!$A$5:$A$2004,0)),""))</f>
        <v/>
      </c>
      <c r="K2772" s="24" t="str">
        <f aca="false">IF($D2772="","",IFERROR(IF(INDEX(Workers!$D$5:$D$2004,MATCH($D2772,Workers!$A$5:$A$2004,0))=0,"",INDEX(Workers!$D$5:$D$2004,MATCH($D2772,Workers!$A$5:$A$2004,0))),""))</f>
        <v/>
      </c>
      <c r="L2772" s="24" t="str">
        <f aca="false">IF($D2772="","",IFERROR(INDEX(Workers!$E$5:$E$2004,MATCH($D2772,Workers!$A$5:$A$2004,0)),""))</f>
        <v/>
      </c>
      <c r="M2772" s="26" t="str">
        <f aca="false">IF($D2772="","",IFERROR(INDEX(ClientRates!$D$5:$D$500,MATCH($B2772&amp;"|"&amp;$L2772,ClientRates!$A$5:$A$500,0)),0))</f>
        <v/>
      </c>
      <c r="N2772" s="26" t="str">
        <f aca="false">IF($D2772="","",IFERROR(INDEX(ClientRates!$E$5:$E$500,MATCH($B2772&amp;"|"&amp;$L2772,ClientRates!$A$5:$A$500,0)),0))</f>
        <v/>
      </c>
      <c r="O2772" s="26" t="str">
        <f aca="false">IF($D2772="","",F2772*M2772+G2772*N2772)</f>
        <v/>
      </c>
      <c r="P2772" s="26" t="str">
        <f aca="false">IF(OR($D2772="",$J2772&lt;&gt;"Supplier"),"",IFERROR(INDEX(SupplierRates!$D$5:$D$500,MATCH($K2772&amp;"|"&amp;$L2772,SupplierRates!$A$5:$A$500,0)),0))</f>
        <v/>
      </c>
      <c r="Q2772" s="26" t="str">
        <f aca="false">IF(OR($D2772="",$J2772&lt;&gt;"Supplier"),"",IFERROR(INDEX(SupplierRates!$E$5:$E$500,MATCH($K2772&amp;"|"&amp;$L2772,SupplierRates!$A$5:$A$500,0)),0))</f>
        <v/>
      </c>
      <c r="R2772" s="26" t="n">
        <f aca="false">IF(OR($D2772="",$J2772&lt;&gt;"Supplier"),0,F2772*P2772+G2772*Q2772)</f>
        <v>0</v>
      </c>
      <c r="S2772" s="26" t="n">
        <f aca="false">IF(OR($D2772="",$J2772&lt;&gt;"Own"),0,IFERROR((F2772+G2772*Settings!$B$13)*INDEX(Workers!$V$5:$V$2004,MATCH($D2772,Workers!$A$5:$A$2004,0)),0))</f>
        <v>0</v>
      </c>
      <c r="T2772" s="26" t="str">
        <f aca="false">IF($D2772="","",O2772-R2772-S2772)</f>
        <v/>
      </c>
    </row>
    <row r="2773" customFormat="false" ht="15" hidden="false" customHeight="false" outlineLevel="0" collapsed="false">
      <c r="I2773" s="24" t="str">
        <f aca="false">IF($D2773="","",IFERROR(INDEX(Workers!$B$5:$B$2004,MATCH($D2773,Workers!$A$5:$A$2004,0)),"NOT FOUND"))</f>
        <v/>
      </c>
      <c r="J2773" s="24" t="str">
        <f aca="false">IF($D2773="","",IFERROR(INDEX(Workers!$C$5:$C$2004,MATCH($D2773,Workers!$A$5:$A$2004,0)),""))</f>
        <v/>
      </c>
      <c r="K2773" s="24" t="str">
        <f aca="false">IF($D2773="","",IFERROR(IF(INDEX(Workers!$D$5:$D$2004,MATCH($D2773,Workers!$A$5:$A$2004,0))=0,"",INDEX(Workers!$D$5:$D$2004,MATCH($D2773,Workers!$A$5:$A$2004,0))),""))</f>
        <v/>
      </c>
      <c r="L2773" s="24" t="str">
        <f aca="false">IF($D2773="","",IFERROR(INDEX(Workers!$E$5:$E$2004,MATCH($D2773,Workers!$A$5:$A$2004,0)),""))</f>
        <v/>
      </c>
      <c r="M2773" s="26" t="str">
        <f aca="false">IF($D2773="","",IFERROR(INDEX(ClientRates!$D$5:$D$500,MATCH($B2773&amp;"|"&amp;$L2773,ClientRates!$A$5:$A$500,0)),0))</f>
        <v/>
      </c>
      <c r="N2773" s="26" t="str">
        <f aca="false">IF($D2773="","",IFERROR(INDEX(ClientRates!$E$5:$E$500,MATCH($B2773&amp;"|"&amp;$L2773,ClientRates!$A$5:$A$500,0)),0))</f>
        <v/>
      </c>
      <c r="O2773" s="26" t="str">
        <f aca="false">IF($D2773="","",F2773*M2773+G2773*N2773)</f>
        <v/>
      </c>
      <c r="P2773" s="26" t="str">
        <f aca="false">IF(OR($D2773="",$J2773&lt;&gt;"Supplier"),"",IFERROR(INDEX(SupplierRates!$D$5:$D$500,MATCH($K2773&amp;"|"&amp;$L2773,SupplierRates!$A$5:$A$500,0)),0))</f>
        <v/>
      </c>
      <c r="Q2773" s="26" t="str">
        <f aca="false">IF(OR($D2773="",$J2773&lt;&gt;"Supplier"),"",IFERROR(INDEX(SupplierRates!$E$5:$E$500,MATCH($K2773&amp;"|"&amp;$L2773,SupplierRates!$A$5:$A$500,0)),0))</f>
        <v/>
      </c>
      <c r="R2773" s="26" t="n">
        <f aca="false">IF(OR($D2773="",$J2773&lt;&gt;"Supplier"),0,F2773*P2773+G2773*Q2773)</f>
        <v>0</v>
      </c>
      <c r="S2773" s="26" t="n">
        <f aca="false">IF(OR($D2773="",$J2773&lt;&gt;"Own"),0,IFERROR((F2773+G2773*Settings!$B$13)*INDEX(Workers!$V$5:$V$2004,MATCH($D2773,Workers!$A$5:$A$2004,0)),0))</f>
        <v>0</v>
      </c>
      <c r="T2773" s="26" t="str">
        <f aca="false">IF($D2773="","",O2773-R2773-S2773)</f>
        <v/>
      </c>
    </row>
    <row r="2774" customFormat="false" ht="15" hidden="false" customHeight="false" outlineLevel="0" collapsed="false">
      <c r="I2774" s="24" t="str">
        <f aca="false">IF($D2774="","",IFERROR(INDEX(Workers!$B$5:$B$2004,MATCH($D2774,Workers!$A$5:$A$2004,0)),"NOT FOUND"))</f>
        <v/>
      </c>
      <c r="J2774" s="24" t="str">
        <f aca="false">IF($D2774="","",IFERROR(INDEX(Workers!$C$5:$C$2004,MATCH($D2774,Workers!$A$5:$A$2004,0)),""))</f>
        <v/>
      </c>
      <c r="K2774" s="24" t="str">
        <f aca="false">IF($D2774="","",IFERROR(IF(INDEX(Workers!$D$5:$D$2004,MATCH($D2774,Workers!$A$5:$A$2004,0))=0,"",INDEX(Workers!$D$5:$D$2004,MATCH($D2774,Workers!$A$5:$A$2004,0))),""))</f>
        <v/>
      </c>
      <c r="L2774" s="24" t="str">
        <f aca="false">IF($D2774="","",IFERROR(INDEX(Workers!$E$5:$E$2004,MATCH($D2774,Workers!$A$5:$A$2004,0)),""))</f>
        <v/>
      </c>
      <c r="M2774" s="26" t="str">
        <f aca="false">IF($D2774="","",IFERROR(INDEX(ClientRates!$D$5:$D$500,MATCH($B2774&amp;"|"&amp;$L2774,ClientRates!$A$5:$A$500,0)),0))</f>
        <v/>
      </c>
      <c r="N2774" s="26" t="str">
        <f aca="false">IF($D2774="","",IFERROR(INDEX(ClientRates!$E$5:$E$500,MATCH($B2774&amp;"|"&amp;$L2774,ClientRates!$A$5:$A$500,0)),0))</f>
        <v/>
      </c>
      <c r="O2774" s="26" t="str">
        <f aca="false">IF($D2774="","",F2774*M2774+G2774*N2774)</f>
        <v/>
      </c>
      <c r="P2774" s="26" t="str">
        <f aca="false">IF(OR($D2774="",$J2774&lt;&gt;"Supplier"),"",IFERROR(INDEX(SupplierRates!$D$5:$D$500,MATCH($K2774&amp;"|"&amp;$L2774,SupplierRates!$A$5:$A$500,0)),0))</f>
        <v/>
      </c>
      <c r="Q2774" s="26" t="str">
        <f aca="false">IF(OR($D2774="",$J2774&lt;&gt;"Supplier"),"",IFERROR(INDEX(SupplierRates!$E$5:$E$500,MATCH($K2774&amp;"|"&amp;$L2774,SupplierRates!$A$5:$A$500,0)),0))</f>
        <v/>
      </c>
      <c r="R2774" s="26" t="n">
        <f aca="false">IF(OR($D2774="",$J2774&lt;&gt;"Supplier"),0,F2774*P2774+G2774*Q2774)</f>
        <v>0</v>
      </c>
      <c r="S2774" s="26" t="n">
        <f aca="false">IF(OR($D2774="",$J2774&lt;&gt;"Own"),0,IFERROR((F2774+G2774*Settings!$B$13)*INDEX(Workers!$V$5:$V$2004,MATCH($D2774,Workers!$A$5:$A$2004,0)),0))</f>
        <v>0</v>
      </c>
      <c r="T2774" s="26" t="str">
        <f aca="false">IF($D2774="","",O2774-R2774-S2774)</f>
        <v/>
      </c>
    </row>
    <row r="2775" customFormat="false" ht="15" hidden="false" customHeight="false" outlineLevel="0" collapsed="false">
      <c r="I2775" s="24" t="str">
        <f aca="false">IF($D2775="","",IFERROR(INDEX(Workers!$B$5:$B$2004,MATCH($D2775,Workers!$A$5:$A$2004,0)),"NOT FOUND"))</f>
        <v/>
      </c>
      <c r="J2775" s="24" t="str">
        <f aca="false">IF($D2775="","",IFERROR(INDEX(Workers!$C$5:$C$2004,MATCH($D2775,Workers!$A$5:$A$2004,0)),""))</f>
        <v/>
      </c>
      <c r="K2775" s="24" t="str">
        <f aca="false">IF($D2775="","",IFERROR(IF(INDEX(Workers!$D$5:$D$2004,MATCH($D2775,Workers!$A$5:$A$2004,0))=0,"",INDEX(Workers!$D$5:$D$2004,MATCH($D2775,Workers!$A$5:$A$2004,0))),""))</f>
        <v/>
      </c>
      <c r="L2775" s="24" t="str">
        <f aca="false">IF($D2775="","",IFERROR(INDEX(Workers!$E$5:$E$2004,MATCH($D2775,Workers!$A$5:$A$2004,0)),""))</f>
        <v/>
      </c>
      <c r="M2775" s="26" t="str">
        <f aca="false">IF($D2775="","",IFERROR(INDEX(ClientRates!$D$5:$D$500,MATCH($B2775&amp;"|"&amp;$L2775,ClientRates!$A$5:$A$500,0)),0))</f>
        <v/>
      </c>
      <c r="N2775" s="26" t="str">
        <f aca="false">IF($D2775="","",IFERROR(INDEX(ClientRates!$E$5:$E$500,MATCH($B2775&amp;"|"&amp;$L2775,ClientRates!$A$5:$A$500,0)),0))</f>
        <v/>
      </c>
      <c r="O2775" s="26" t="str">
        <f aca="false">IF($D2775="","",F2775*M2775+G2775*N2775)</f>
        <v/>
      </c>
      <c r="P2775" s="26" t="str">
        <f aca="false">IF(OR($D2775="",$J2775&lt;&gt;"Supplier"),"",IFERROR(INDEX(SupplierRates!$D$5:$D$500,MATCH($K2775&amp;"|"&amp;$L2775,SupplierRates!$A$5:$A$500,0)),0))</f>
        <v/>
      </c>
      <c r="Q2775" s="26" t="str">
        <f aca="false">IF(OR($D2775="",$J2775&lt;&gt;"Supplier"),"",IFERROR(INDEX(SupplierRates!$E$5:$E$500,MATCH($K2775&amp;"|"&amp;$L2775,SupplierRates!$A$5:$A$500,0)),0))</f>
        <v/>
      </c>
      <c r="R2775" s="26" t="n">
        <f aca="false">IF(OR($D2775="",$J2775&lt;&gt;"Supplier"),0,F2775*P2775+G2775*Q2775)</f>
        <v>0</v>
      </c>
      <c r="S2775" s="26" t="n">
        <f aca="false">IF(OR($D2775="",$J2775&lt;&gt;"Own"),0,IFERROR((F2775+G2775*Settings!$B$13)*INDEX(Workers!$V$5:$V$2004,MATCH($D2775,Workers!$A$5:$A$2004,0)),0))</f>
        <v>0</v>
      </c>
      <c r="T2775" s="26" t="str">
        <f aca="false">IF($D2775="","",O2775-R2775-S2775)</f>
        <v/>
      </c>
    </row>
    <row r="2776" customFormat="false" ht="15" hidden="false" customHeight="false" outlineLevel="0" collapsed="false">
      <c r="I2776" s="24" t="str">
        <f aca="false">IF($D2776="","",IFERROR(INDEX(Workers!$B$5:$B$2004,MATCH($D2776,Workers!$A$5:$A$2004,0)),"NOT FOUND"))</f>
        <v/>
      </c>
      <c r="J2776" s="24" t="str">
        <f aca="false">IF($D2776="","",IFERROR(INDEX(Workers!$C$5:$C$2004,MATCH($D2776,Workers!$A$5:$A$2004,0)),""))</f>
        <v/>
      </c>
      <c r="K2776" s="24" t="str">
        <f aca="false">IF($D2776="","",IFERROR(IF(INDEX(Workers!$D$5:$D$2004,MATCH($D2776,Workers!$A$5:$A$2004,0))=0,"",INDEX(Workers!$D$5:$D$2004,MATCH($D2776,Workers!$A$5:$A$2004,0))),""))</f>
        <v/>
      </c>
      <c r="L2776" s="24" t="str">
        <f aca="false">IF($D2776="","",IFERROR(INDEX(Workers!$E$5:$E$2004,MATCH($D2776,Workers!$A$5:$A$2004,0)),""))</f>
        <v/>
      </c>
      <c r="M2776" s="26" t="str">
        <f aca="false">IF($D2776="","",IFERROR(INDEX(ClientRates!$D$5:$D$500,MATCH($B2776&amp;"|"&amp;$L2776,ClientRates!$A$5:$A$500,0)),0))</f>
        <v/>
      </c>
      <c r="N2776" s="26" t="str">
        <f aca="false">IF($D2776="","",IFERROR(INDEX(ClientRates!$E$5:$E$500,MATCH($B2776&amp;"|"&amp;$L2776,ClientRates!$A$5:$A$500,0)),0))</f>
        <v/>
      </c>
      <c r="O2776" s="26" t="str">
        <f aca="false">IF($D2776="","",F2776*M2776+G2776*N2776)</f>
        <v/>
      </c>
      <c r="P2776" s="26" t="str">
        <f aca="false">IF(OR($D2776="",$J2776&lt;&gt;"Supplier"),"",IFERROR(INDEX(SupplierRates!$D$5:$D$500,MATCH($K2776&amp;"|"&amp;$L2776,SupplierRates!$A$5:$A$500,0)),0))</f>
        <v/>
      </c>
      <c r="Q2776" s="26" t="str">
        <f aca="false">IF(OR($D2776="",$J2776&lt;&gt;"Supplier"),"",IFERROR(INDEX(SupplierRates!$E$5:$E$500,MATCH($K2776&amp;"|"&amp;$L2776,SupplierRates!$A$5:$A$500,0)),0))</f>
        <v/>
      </c>
      <c r="R2776" s="26" t="n">
        <f aca="false">IF(OR($D2776="",$J2776&lt;&gt;"Supplier"),0,F2776*P2776+G2776*Q2776)</f>
        <v>0</v>
      </c>
      <c r="S2776" s="26" t="n">
        <f aca="false">IF(OR($D2776="",$J2776&lt;&gt;"Own"),0,IFERROR((F2776+G2776*Settings!$B$13)*INDEX(Workers!$V$5:$V$2004,MATCH($D2776,Workers!$A$5:$A$2004,0)),0))</f>
        <v>0</v>
      </c>
      <c r="T2776" s="26" t="str">
        <f aca="false">IF($D2776="","",O2776-R2776-S2776)</f>
        <v/>
      </c>
    </row>
    <row r="2777" customFormat="false" ht="15" hidden="false" customHeight="false" outlineLevel="0" collapsed="false">
      <c r="I2777" s="24" t="str">
        <f aca="false">IF($D2777="","",IFERROR(INDEX(Workers!$B$5:$B$2004,MATCH($D2777,Workers!$A$5:$A$2004,0)),"NOT FOUND"))</f>
        <v/>
      </c>
      <c r="J2777" s="24" t="str">
        <f aca="false">IF($D2777="","",IFERROR(INDEX(Workers!$C$5:$C$2004,MATCH($D2777,Workers!$A$5:$A$2004,0)),""))</f>
        <v/>
      </c>
      <c r="K2777" s="24" t="str">
        <f aca="false">IF($D2777="","",IFERROR(IF(INDEX(Workers!$D$5:$D$2004,MATCH($D2777,Workers!$A$5:$A$2004,0))=0,"",INDEX(Workers!$D$5:$D$2004,MATCH($D2777,Workers!$A$5:$A$2004,0))),""))</f>
        <v/>
      </c>
      <c r="L2777" s="24" t="str">
        <f aca="false">IF($D2777="","",IFERROR(INDEX(Workers!$E$5:$E$2004,MATCH($D2777,Workers!$A$5:$A$2004,0)),""))</f>
        <v/>
      </c>
      <c r="M2777" s="26" t="str">
        <f aca="false">IF($D2777="","",IFERROR(INDEX(ClientRates!$D$5:$D$500,MATCH($B2777&amp;"|"&amp;$L2777,ClientRates!$A$5:$A$500,0)),0))</f>
        <v/>
      </c>
      <c r="N2777" s="26" t="str">
        <f aca="false">IF($D2777="","",IFERROR(INDEX(ClientRates!$E$5:$E$500,MATCH($B2777&amp;"|"&amp;$L2777,ClientRates!$A$5:$A$500,0)),0))</f>
        <v/>
      </c>
      <c r="O2777" s="26" t="str">
        <f aca="false">IF($D2777="","",F2777*M2777+G2777*N2777)</f>
        <v/>
      </c>
      <c r="P2777" s="26" t="str">
        <f aca="false">IF(OR($D2777="",$J2777&lt;&gt;"Supplier"),"",IFERROR(INDEX(SupplierRates!$D$5:$D$500,MATCH($K2777&amp;"|"&amp;$L2777,SupplierRates!$A$5:$A$500,0)),0))</f>
        <v/>
      </c>
      <c r="Q2777" s="26" t="str">
        <f aca="false">IF(OR($D2777="",$J2777&lt;&gt;"Supplier"),"",IFERROR(INDEX(SupplierRates!$E$5:$E$500,MATCH($K2777&amp;"|"&amp;$L2777,SupplierRates!$A$5:$A$500,0)),0))</f>
        <v/>
      </c>
      <c r="R2777" s="26" t="n">
        <f aca="false">IF(OR($D2777="",$J2777&lt;&gt;"Supplier"),0,F2777*P2777+G2777*Q2777)</f>
        <v>0</v>
      </c>
      <c r="S2777" s="26" t="n">
        <f aca="false">IF(OR($D2777="",$J2777&lt;&gt;"Own"),0,IFERROR((F2777+G2777*Settings!$B$13)*INDEX(Workers!$V$5:$V$2004,MATCH($D2777,Workers!$A$5:$A$2004,0)),0))</f>
        <v>0</v>
      </c>
      <c r="T2777" s="26" t="str">
        <f aca="false">IF($D2777="","",O2777-R2777-S2777)</f>
        <v/>
      </c>
    </row>
    <row r="2778" customFormat="false" ht="15" hidden="false" customHeight="false" outlineLevel="0" collapsed="false">
      <c r="I2778" s="24" t="str">
        <f aca="false">IF($D2778="","",IFERROR(INDEX(Workers!$B$5:$B$2004,MATCH($D2778,Workers!$A$5:$A$2004,0)),"NOT FOUND"))</f>
        <v/>
      </c>
      <c r="J2778" s="24" t="str">
        <f aca="false">IF($D2778="","",IFERROR(INDEX(Workers!$C$5:$C$2004,MATCH($D2778,Workers!$A$5:$A$2004,0)),""))</f>
        <v/>
      </c>
      <c r="K2778" s="24" t="str">
        <f aca="false">IF($D2778="","",IFERROR(IF(INDEX(Workers!$D$5:$D$2004,MATCH($D2778,Workers!$A$5:$A$2004,0))=0,"",INDEX(Workers!$D$5:$D$2004,MATCH($D2778,Workers!$A$5:$A$2004,0))),""))</f>
        <v/>
      </c>
      <c r="L2778" s="24" t="str">
        <f aca="false">IF($D2778="","",IFERROR(INDEX(Workers!$E$5:$E$2004,MATCH($D2778,Workers!$A$5:$A$2004,0)),""))</f>
        <v/>
      </c>
      <c r="M2778" s="26" t="str">
        <f aca="false">IF($D2778="","",IFERROR(INDEX(ClientRates!$D$5:$D$500,MATCH($B2778&amp;"|"&amp;$L2778,ClientRates!$A$5:$A$500,0)),0))</f>
        <v/>
      </c>
      <c r="N2778" s="26" t="str">
        <f aca="false">IF($D2778="","",IFERROR(INDEX(ClientRates!$E$5:$E$500,MATCH($B2778&amp;"|"&amp;$L2778,ClientRates!$A$5:$A$500,0)),0))</f>
        <v/>
      </c>
      <c r="O2778" s="26" t="str">
        <f aca="false">IF($D2778="","",F2778*M2778+G2778*N2778)</f>
        <v/>
      </c>
      <c r="P2778" s="26" t="str">
        <f aca="false">IF(OR($D2778="",$J2778&lt;&gt;"Supplier"),"",IFERROR(INDEX(SupplierRates!$D$5:$D$500,MATCH($K2778&amp;"|"&amp;$L2778,SupplierRates!$A$5:$A$500,0)),0))</f>
        <v/>
      </c>
      <c r="Q2778" s="26" t="str">
        <f aca="false">IF(OR($D2778="",$J2778&lt;&gt;"Supplier"),"",IFERROR(INDEX(SupplierRates!$E$5:$E$500,MATCH($K2778&amp;"|"&amp;$L2778,SupplierRates!$A$5:$A$500,0)),0))</f>
        <v/>
      </c>
      <c r="R2778" s="26" t="n">
        <f aca="false">IF(OR($D2778="",$J2778&lt;&gt;"Supplier"),0,F2778*P2778+G2778*Q2778)</f>
        <v>0</v>
      </c>
      <c r="S2778" s="26" t="n">
        <f aca="false">IF(OR($D2778="",$J2778&lt;&gt;"Own"),0,IFERROR((F2778+G2778*Settings!$B$13)*INDEX(Workers!$V$5:$V$2004,MATCH($D2778,Workers!$A$5:$A$2004,0)),0))</f>
        <v>0</v>
      </c>
      <c r="T2778" s="26" t="str">
        <f aca="false">IF($D2778="","",O2778-R2778-S2778)</f>
        <v/>
      </c>
    </row>
    <row r="2779" customFormat="false" ht="15" hidden="false" customHeight="false" outlineLevel="0" collapsed="false">
      <c r="I2779" s="24" t="str">
        <f aca="false">IF($D2779="","",IFERROR(INDEX(Workers!$B$5:$B$2004,MATCH($D2779,Workers!$A$5:$A$2004,0)),"NOT FOUND"))</f>
        <v/>
      </c>
      <c r="J2779" s="24" t="str">
        <f aca="false">IF($D2779="","",IFERROR(INDEX(Workers!$C$5:$C$2004,MATCH($D2779,Workers!$A$5:$A$2004,0)),""))</f>
        <v/>
      </c>
      <c r="K2779" s="24" t="str">
        <f aca="false">IF($D2779="","",IFERROR(IF(INDEX(Workers!$D$5:$D$2004,MATCH($D2779,Workers!$A$5:$A$2004,0))=0,"",INDEX(Workers!$D$5:$D$2004,MATCH($D2779,Workers!$A$5:$A$2004,0))),""))</f>
        <v/>
      </c>
      <c r="L2779" s="24" t="str">
        <f aca="false">IF($D2779="","",IFERROR(INDEX(Workers!$E$5:$E$2004,MATCH($D2779,Workers!$A$5:$A$2004,0)),""))</f>
        <v/>
      </c>
      <c r="M2779" s="26" t="str">
        <f aca="false">IF($D2779="","",IFERROR(INDEX(ClientRates!$D$5:$D$500,MATCH($B2779&amp;"|"&amp;$L2779,ClientRates!$A$5:$A$500,0)),0))</f>
        <v/>
      </c>
      <c r="N2779" s="26" t="str">
        <f aca="false">IF($D2779="","",IFERROR(INDEX(ClientRates!$E$5:$E$500,MATCH($B2779&amp;"|"&amp;$L2779,ClientRates!$A$5:$A$500,0)),0))</f>
        <v/>
      </c>
      <c r="O2779" s="26" t="str">
        <f aca="false">IF($D2779="","",F2779*M2779+G2779*N2779)</f>
        <v/>
      </c>
      <c r="P2779" s="26" t="str">
        <f aca="false">IF(OR($D2779="",$J2779&lt;&gt;"Supplier"),"",IFERROR(INDEX(SupplierRates!$D$5:$D$500,MATCH($K2779&amp;"|"&amp;$L2779,SupplierRates!$A$5:$A$500,0)),0))</f>
        <v/>
      </c>
      <c r="Q2779" s="26" t="str">
        <f aca="false">IF(OR($D2779="",$J2779&lt;&gt;"Supplier"),"",IFERROR(INDEX(SupplierRates!$E$5:$E$500,MATCH($K2779&amp;"|"&amp;$L2779,SupplierRates!$A$5:$A$500,0)),0))</f>
        <v/>
      </c>
      <c r="R2779" s="26" t="n">
        <f aca="false">IF(OR($D2779="",$J2779&lt;&gt;"Supplier"),0,F2779*P2779+G2779*Q2779)</f>
        <v>0</v>
      </c>
      <c r="S2779" s="26" t="n">
        <f aca="false">IF(OR($D2779="",$J2779&lt;&gt;"Own"),0,IFERROR((F2779+G2779*Settings!$B$13)*INDEX(Workers!$V$5:$V$2004,MATCH($D2779,Workers!$A$5:$A$2004,0)),0))</f>
        <v>0</v>
      </c>
      <c r="T2779" s="26" t="str">
        <f aca="false">IF($D2779="","",O2779-R2779-S2779)</f>
        <v/>
      </c>
    </row>
    <row r="2780" customFormat="false" ht="15" hidden="false" customHeight="false" outlineLevel="0" collapsed="false">
      <c r="I2780" s="24" t="str">
        <f aca="false">IF($D2780="","",IFERROR(INDEX(Workers!$B$5:$B$2004,MATCH($D2780,Workers!$A$5:$A$2004,0)),"NOT FOUND"))</f>
        <v/>
      </c>
      <c r="J2780" s="24" t="str">
        <f aca="false">IF($D2780="","",IFERROR(INDEX(Workers!$C$5:$C$2004,MATCH($D2780,Workers!$A$5:$A$2004,0)),""))</f>
        <v/>
      </c>
      <c r="K2780" s="24" t="str">
        <f aca="false">IF($D2780="","",IFERROR(IF(INDEX(Workers!$D$5:$D$2004,MATCH($D2780,Workers!$A$5:$A$2004,0))=0,"",INDEX(Workers!$D$5:$D$2004,MATCH($D2780,Workers!$A$5:$A$2004,0))),""))</f>
        <v/>
      </c>
      <c r="L2780" s="24" t="str">
        <f aca="false">IF($D2780="","",IFERROR(INDEX(Workers!$E$5:$E$2004,MATCH($D2780,Workers!$A$5:$A$2004,0)),""))</f>
        <v/>
      </c>
      <c r="M2780" s="26" t="str">
        <f aca="false">IF($D2780="","",IFERROR(INDEX(ClientRates!$D$5:$D$500,MATCH($B2780&amp;"|"&amp;$L2780,ClientRates!$A$5:$A$500,0)),0))</f>
        <v/>
      </c>
      <c r="N2780" s="26" t="str">
        <f aca="false">IF($D2780="","",IFERROR(INDEX(ClientRates!$E$5:$E$500,MATCH($B2780&amp;"|"&amp;$L2780,ClientRates!$A$5:$A$500,0)),0))</f>
        <v/>
      </c>
      <c r="O2780" s="26" t="str">
        <f aca="false">IF($D2780="","",F2780*M2780+G2780*N2780)</f>
        <v/>
      </c>
      <c r="P2780" s="26" t="str">
        <f aca="false">IF(OR($D2780="",$J2780&lt;&gt;"Supplier"),"",IFERROR(INDEX(SupplierRates!$D$5:$D$500,MATCH($K2780&amp;"|"&amp;$L2780,SupplierRates!$A$5:$A$500,0)),0))</f>
        <v/>
      </c>
      <c r="Q2780" s="26" t="str">
        <f aca="false">IF(OR($D2780="",$J2780&lt;&gt;"Supplier"),"",IFERROR(INDEX(SupplierRates!$E$5:$E$500,MATCH($K2780&amp;"|"&amp;$L2780,SupplierRates!$A$5:$A$500,0)),0))</f>
        <v/>
      </c>
      <c r="R2780" s="26" t="n">
        <f aca="false">IF(OR($D2780="",$J2780&lt;&gt;"Supplier"),0,F2780*P2780+G2780*Q2780)</f>
        <v>0</v>
      </c>
      <c r="S2780" s="26" t="n">
        <f aca="false">IF(OR($D2780="",$J2780&lt;&gt;"Own"),0,IFERROR((F2780+G2780*Settings!$B$13)*INDEX(Workers!$V$5:$V$2004,MATCH($D2780,Workers!$A$5:$A$2004,0)),0))</f>
        <v>0</v>
      </c>
      <c r="T2780" s="26" t="str">
        <f aca="false">IF($D2780="","",O2780-R2780-S2780)</f>
        <v/>
      </c>
    </row>
    <row r="2781" customFormat="false" ht="15" hidden="false" customHeight="false" outlineLevel="0" collapsed="false">
      <c r="I2781" s="24" t="str">
        <f aca="false">IF($D2781="","",IFERROR(INDEX(Workers!$B$5:$B$2004,MATCH($D2781,Workers!$A$5:$A$2004,0)),"NOT FOUND"))</f>
        <v/>
      </c>
      <c r="J2781" s="24" t="str">
        <f aca="false">IF($D2781="","",IFERROR(INDEX(Workers!$C$5:$C$2004,MATCH($D2781,Workers!$A$5:$A$2004,0)),""))</f>
        <v/>
      </c>
      <c r="K2781" s="24" t="str">
        <f aca="false">IF($D2781="","",IFERROR(IF(INDEX(Workers!$D$5:$D$2004,MATCH($D2781,Workers!$A$5:$A$2004,0))=0,"",INDEX(Workers!$D$5:$D$2004,MATCH($D2781,Workers!$A$5:$A$2004,0))),""))</f>
        <v/>
      </c>
      <c r="L2781" s="24" t="str">
        <f aca="false">IF($D2781="","",IFERROR(INDEX(Workers!$E$5:$E$2004,MATCH($D2781,Workers!$A$5:$A$2004,0)),""))</f>
        <v/>
      </c>
      <c r="M2781" s="26" t="str">
        <f aca="false">IF($D2781="","",IFERROR(INDEX(ClientRates!$D$5:$D$500,MATCH($B2781&amp;"|"&amp;$L2781,ClientRates!$A$5:$A$500,0)),0))</f>
        <v/>
      </c>
      <c r="N2781" s="26" t="str">
        <f aca="false">IF($D2781="","",IFERROR(INDEX(ClientRates!$E$5:$E$500,MATCH($B2781&amp;"|"&amp;$L2781,ClientRates!$A$5:$A$500,0)),0))</f>
        <v/>
      </c>
      <c r="O2781" s="26" t="str">
        <f aca="false">IF($D2781="","",F2781*M2781+G2781*N2781)</f>
        <v/>
      </c>
      <c r="P2781" s="26" t="str">
        <f aca="false">IF(OR($D2781="",$J2781&lt;&gt;"Supplier"),"",IFERROR(INDEX(SupplierRates!$D$5:$D$500,MATCH($K2781&amp;"|"&amp;$L2781,SupplierRates!$A$5:$A$500,0)),0))</f>
        <v/>
      </c>
      <c r="Q2781" s="26" t="str">
        <f aca="false">IF(OR($D2781="",$J2781&lt;&gt;"Supplier"),"",IFERROR(INDEX(SupplierRates!$E$5:$E$500,MATCH($K2781&amp;"|"&amp;$L2781,SupplierRates!$A$5:$A$500,0)),0))</f>
        <v/>
      </c>
      <c r="R2781" s="26" t="n">
        <f aca="false">IF(OR($D2781="",$J2781&lt;&gt;"Supplier"),0,F2781*P2781+G2781*Q2781)</f>
        <v>0</v>
      </c>
      <c r="S2781" s="26" t="n">
        <f aca="false">IF(OR($D2781="",$J2781&lt;&gt;"Own"),0,IFERROR((F2781+G2781*Settings!$B$13)*INDEX(Workers!$V$5:$V$2004,MATCH($D2781,Workers!$A$5:$A$2004,0)),0))</f>
        <v>0</v>
      </c>
      <c r="T2781" s="26" t="str">
        <f aca="false">IF($D2781="","",O2781-R2781-S2781)</f>
        <v/>
      </c>
    </row>
    <row r="2782" customFormat="false" ht="15" hidden="false" customHeight="false" outlineLevel="0" collapsed="false">
      <c r="I2782" s="24" t="str">
        <f aca="false">IF($D2782="","",IFERROR(INDEX(Workers!$B$5:$B$2004,MATCH($D2782,Workers!$A$5:$A$2004,0)),"NOT FOUND"))</f>
        <v/>
      </c>
      <c r="J2782" s="24" t="str">
        <f aca="false">IF($D2782="","",IFERROR(INDEX(Workers!$C$5:$C$2004,MATCH($D2782,Workers!$A$5:$A$2004,0)),""))</f>
        <v/>
      </c>
      <c r="K2782" s="24" t="str">
        <f aca="false">IF($D2782="","",IFERROR(IF(INDEX(Workers!$D$5:$D$2004,MATCH($D2782,Workers!$A$5:$A$2004,0))=0,"",INDEX(Workers!$D$5:$D$2004,MATCH($D2782,Workers!$A$5:$A$2004,0))),""))</f>
        <v/>
      </c>
      <c r="L2782" s="24" t="str">
        <f aca="false">IF($D2782="","",IFERROR(INDEX(Workers!$E$5:$E$2004,MATCH($D2782,Workers!$A$5:$A$2004,0)),""))</f>
        <v/>
      </c>
      <c r="M2782" s="26" t="str">
        <f aca="false">IF($D2782="","",IFERROR(INDEX(ClientRates!$D$5:$D$500,MATCH($B2782&amp;"|"&amp;$L2782,ClientRates!$A$5:$A$500,0)),0))</f>
        <v/>
      </c>
      <c r="N2782" s="26" t="str">
        <f aca="false">IF($D2782="","",IFERROR(INDEX(ClientRates!$E$5:$E$500,MATCH($B2782&amp;"|"&amp;$L2782,ClientRates!$A$5:$A$500,0)),0))</f>
        <v/>
      </c>
      <c r="O2782" s="26" t="str">
        <f aca="false">IF($D2782="","",F2782*M2782+G2782*N2782)</f>
        <v/>
      </c>
      <c r="P2782" s="26" t="str">
        <f aca="false">IF(OR($D2782="",$J2782&lt;&gt;"Supplier"),"",IFERROR(INDEX(SupplierRates!$D$5:$D$500,MATCH($K2782&amp;"|"&amp;$L2782,SupplierRates!$A$5:$A$500,0)),0))</f>
        <v/>
      </c>
      <c r="Q2782" s="26" t="str">
        <f aca="false">IF(OR($D2782="",$J2782&lt;&gt;"Supplier"),"",IFERROR(INDEX(SupplierRates!$E$5:$E$500,MATCH($K2782&amp;"|"&amp;$L2782,SupplierRates!$A$5:$A$500,0)),0))</f>
        <v/>
      </c>
      <c r="R2782" s="26" t="n">
        <f aca="false">IF(OR($D2782="",$J2782&lt;&gt;"Supplier"),0,F2782*P2782+G2782*Q2782)</f>
        <v>0</v>
      </c>
      <c r="S2782" s="26" t="n">
        <f aca="false">IF(OR($D2782="",$J2782&lt;&gt;"Own"),0,IFERROR((F2782+G2782*Settings!$B$13)*INDEX(Workers!$V$5:$V$2004,MATCH($D2782,Workers!$A$5:$A$2004,0)),0))</f>
        <v>0</v>
      </c>
      <c r="T2782" s="26" t="str">
        <f aca="false">IF($D2782="","",O2782-R2782-S2782)</f>
        <v/>
      </c>
    </row>
    <row r="2783" customFormat="false" ht="15" hidden="false" customHeight="false" outlineLevel="0" collapsed="false">
      <c r="I2783" s="24" t="str">
        <f aca="false">IF($D2783="","",IFERROR(INDEX(Workers!$B$5:$B$2004,MATCH($D2783,Workers!$A$5:$A$2004,0)),"NOT FOUND"))</f>
        <v/>
      </c>
      <c r="J2783" s="24" t="str">
        <f aca="false">IF($D2783="","",IFERROR(INDEX(Workers!$C$5:$C$2004,MATCH($D2783,Workers!$A$5:$A$2004,0)),""))</f>
        <v/>
      </c>
      <c r="K2783" s="24" t="str">
        <f aca="false">IF($D2783="","",IFERROR(IF(INDEX(Workers!$D$5:$D$2004,MATCH($D2783,Workers!$A$5:$A$2004,0))=0,"",INDEX(Workers!$D$5:$D$2004,MATCH($D2783,Workers!$A$5:$A$2004,0))),""))</f>
        <v/>
      </c>
      <c r="L2783" s="24" t="str">
        <f aca="false">IF($D2783="","",IFERROR(INDEX(Workers!$E$5:$E$2004,MATCH($D2783,Workers!$A$5:$A$2004,0)),""))</f>
        <v/>
      </c>
      <c r="M2783" s="26" t="str">
        <f aca="false">IF($D2783="","",IFERROR(INDEX(ClientRates!$D$5:$D$500,MATCH($B2783&amp;"|"&amp;$L2783,ClientRates!$A$5:$A$500,0)),0))</f>
        <v/>
      </c>
      <c r="N2783" s="26" t="str">
        <f aca="false">IF($D2783="","",IFERROR(INDEX(ClientRates!$E$5:$E$500,MATCH($B2783&amp;"|"&amp;$L2783,ClientRates!$A$5:$A$500,0)),0))</f>
        <v/>
      </c>
      <c r="O2783" s="26" t="str">
        <f aca="false">IF($D2783="","",F2783*M2783+G2783*N2783)</f>
        <v/>
      </c>
      <c r="P2783" s="26" t="str">
        <f aca="false">IF(OR($D2783="",$J2783&lt;&gt;"Supplier"),"",IFERROR(INDEX(SupplierRates!$D$5:$D$500,MATCH($K2783&amp;"|"&amp;$L2783,SupplierRates!$A$5:$A$500,0)),0))</f>
        <v/>
      </c>
      <c r="Q2783" s="26" t="str">
        <f aca="false">IF(OR($D2783="",$J2783&lt;&gt;"Supplier"),"",IFERROR(INDEX(SupplierRates!$E$5:$E$500,MATCH($K2783&amp;"|"&amp;$L2783,SupplierRates!$A$5:$A$500,0)),0))</f>
        <v/>
      </c>
      <c r="R2783" s="26" t="n">
        <f aca="false">IF(OR($D2783="",$J2783&lt;&gt;"Supplier"),0,F2783*P2783+G2783*Q2783)</f>
        <v>0</v>
      </c>
      <c r="S2783" s="26" t="n">
        <f aca="false">IF(OR($D2783="",$J2783&lt;&gt;"Own"),0,IFERROR((F2783+G2783*Settings!$B$13)*INDEX(Workers!$V$5:$V$2004,MATCH($D2783,Workers!$A$5:$A$2004,0)),0))</f>
        <v>0</v>
      </c>
      <c r="T2783" s="26" t="str">
        <f aca="false">IF($D2783="","",O2783-R2783-S2783)</f>
        <v/>
      </c>
    </row>
    <row r="2784" customFormat="false" ht="15" hidden="false" customHeight="false" outlineLevel="0" collapsed="false">
      <c r="I2784" s="24" t="str">
        <f aca="false">IF($D2784="","",IFERROR(INDEX(Workers!$B$5:$B$2004,MATCH($D2784,Workers!$A$5:$A$2004,0)),"NOT FOUND"))</f>
        <v/>
      </c>
      <c r="J2784" s="24" t="str">
        <f aca="false">IF($D2784="","",IFERROR(INDEX(Workers!$C$5:$C$2004,MATCH($D2784,Workers!$A$5:$A$2004,0)),""))</f>
        <v/>
      </c>
      <c r="K2784" s="24" t="str">
        <f aca="false">IF($D2784="","",IFERROR(IF(INDEX(Workers!$D$5:$D$2004,MATCH($D2784,Workers!$A$5:$A$2004,0))=0,"",INDEX(Workers!$D$5:$D$2004,MATCH($D2784,Workers!$A$5:$A$2004,0))),""))</f>
        <v/>
      </c>
      <c r="L2784" s="24" t="str">
        <f aca="false">IF($D2784="","",IFERROR(INDEX(Workers!$E$5:$E$2004,MATCH($D2784,Workers!$A$5:$A$2004,0)),""))</f>
        <v/>
      </c>
      <c r="M2784" s="26" t="str">
        <f aca="false">IF($D2784="","",IFERROR(INDEX(ClientRates!$D$5:$D$500,MATCH($B2784&amp;"|"&amp;$L2784,ClientRates!$A$5:$A$500,0)),0))</f>
        <v/>
      </c>
      <c r="N2784" s="26" t="str">
        <f aca="false">IF($D2784="","",IFERROR(INDEX(ClientRates!$E$5:$E$500,MATCH($B2784&amp;"|"&amp;$L2784,ClientRates!$A$5:$A$500,0)),0))</f>
        <v/>
      </c>
      <c r="O2784" s="26" t="str">
        <f aca="false">IF($D2784="","",F2784*M2784+G2784*N2784)</f>
        <v/>
      </c>
      <c r="P2784" s="26" t="str">
        <f aca="false">IF(OR($D2784="",$J2784&lt;&gt;"Supplier"),"",IFERROR(INDEX(SupplierRates!$D$5:$D$500,MATCH($K2784&amp;"|"&amp;$L2784,SupplierRates!$A$5:$A$500,0)),0))</f>
        <v/>
      </c>
      <c r="Q2784" s="26" t="str">
        <f aca="false">IF(OR($D2784="",$J2784&lt;&gt;"Supplier"),"",IFERROR(INDEX(SupplierRates!$E$5:$E$500,MATCH($K2784&amp;"|"&amp;$L2784,SupplierRates!$A$5:$A$500,0)),0))</f>
        <v/>
      </c>
      <c r="R2784" s="26" t="n">
        <f aca="false">IF(OR($D2784="",$J2784&lt;&gt;"Supplier"),0,F2784*P2784+G2784*Q2784)</f>
        <v>0</v>
      </c>
      <c r="S2784" s="26" t="n">
        <f aca="false">IF(OR($D2784="",$J2784&lt;&gt;"Own"),0,IFERROR((F2784+G2784*Settings!$B$13)*INDEX(Workers!$V$5:$V$2004,MATCH($D2784,Workers!$A$5:$A$2004,0)),0))</f>
        <v>0</v>
      </c>
      <c r="T2784" s="26" t="str">
        <f aca="false">IF($D2784="","",O2784-R2784-S2784)</f>
        <v/>
      </c>
    </row>
    <row r="2785" customFormat="false" ht="15" hidden="false" customHeight="false" outlineLevel="0" collapsed="false">
      <c r="I2785" s="24" t="str">
        <f aca="false">IF($D2785="","",IFERROR(INDEX(Workers!$B$5:$B$2004,MATCH($D2785,Workers!$A$5:$A$2004,0)),"NOT FOUND"))</f>
        <v/>
      </c>
      <c r="J2785" s="24" t="str">
        <f aca="false">IF($D2785="","",IFERROR(INDEX(Workers!$C$5:$C$2004,MATCH($D2785,Workers!$A$5:$A$2004,0)),""))</f>
        <v/>
      </c>
      <c r="K2785" s="24" t="str">
        <f aca="false">IF($D2785="","",IFERROR(IF(INDEX(Workers!$D$5:$D$2004,MATCH($D2785,Workers!$A$5:$A$2004,0))=0,"",INDEX(Workers!$D$5:$D$2004,MATCH($D2785,Workers!$A$5:$A$2004,0))),""))</f>
        <v/>
      </c>
      <c r="L2785" s="24" t="str">
        <f aca="false">IF($D2785="","",IFERROR(INDEX(Workers!$E$5:$E$2004,MATCH($D2785,Workers!$A$5:$A$2004,0)),""))</f>
        <v/>
      </c>
      <c r="M2785" s="26" t="str">
        <f aca="false">IF($D2785="","",IFERROR(INDEX(ClientRates!$D$5:$D$500,MATCH($B2785&amp;"|"&amp;$L2785,ClientRates!$A$5:$A$500,0)),0))</f>
        <v/>
      </c>
      <c r="N2785" s="26" t="str">
        <f aca="false">IF($D2785="","",IFERROR(INDEX(ClientRates!$E$5:$E$500,MATCH($B2785&amp;"|"&amp;$L2785,ClientRates!$A$5:$A$500,0)),0))</f>
        <v/>
      </c>
      <c r="O2785" s="26" t="str">
        <f aca="false">IF($D2785="","",F2785*M2785+G2785*N2785)</f>
        <v/>
      </c>
      <c r="P2785" s="26" t="str">
        <f aca="false">IF(OR($D2785="",$J2785&lt;&gt;"Supplier"),"",IFERROR(INDEX(SupplierRates!$D$5:$D$500,MATCH($K2785&amp;"|"&amp;$L2785,SupplierRates!$A$5:$A$500,0)),0))</f>
        <v/>
      </c>
      <c r="Q2785" s="26" t="str">
        <f aca="false">IF(OR($D2785="",$J2785&lt;&gt;"Supplier"),"",IFERROR(INDEX(SupplierRates!$E$5:$E$500,MATCH($K2785&amp;"|"&amp;$L2785,SupplierRates!$A$5:$A$500,0)),0))</f>
        <v/>
      </c>
      <c r="R2785" s="26" t="n">
        <f aca="false">IF(OR($D2785="",$J2785&lt;&gt;"Supplier"),0,F2785*P2785+G2785*Q2785)</f>
        <v>0</v>
      </c>
      <c r="S2785" s="26" t="n">
        <f aca="false">IF(OR($D2785="",$J2785&lt;&gt;"Own"),0,IFERROR((F2785+G2785*Settings!$B$13)*INDEX(Workers!$V$5:$V$2004,MATCH($D2785,Workers!$A$5:$A$2004,0)),0))</f>
        <v>0</v>
      </c>
      <c r="T2785" s="26" t="str">
        <f aca="false">IF($D2785="","",O2785-R2785-S2785)</f>
        <v/>
      </c>
    </row>
    <row r="2786" customFormat="false" ht="15" hidden="false" customHeight="false" outlineLevel="0" collapsed="false">
      <c r="I2786" s="24" t="str">
        <f aca="false">IF($D2786="","",IFERROR(INDEX(Workers!$B$5:$B$2004,MATCH($D2786,Workers!$A$5:$A$2004,0)),"NOT FOUND"))</f>
        <v/>
      </c>
      <c r="J2786" s="24" t="str">
        <f aca="false">IF($D2786="","",IFERROR(INDEX(Workers!$C$5:$C$2004,MATCH($D2786,Workers!$A$5:$A$2004,0)),""))</f>
        <v/>
      </c>
      <c r="K2786" s="24" t="str">
        <f aca="false">IF($D2786="","",IFERROR(IF(INDEX(Workers!$D$5:$D$2004,MATCH($D2786,Workers!$A$5:$A$2004,0))=0,"",INDEX(Workers!$D$5:$D$2004,MATCH($D2786,Workers!$A$5:$A$2004,0))),""))</f>
        <v/>
      </c>
      <c r="L2786" s="24" t="str">
        <f aca="false">IF($D2786="","",IFERROR(INDEX(Workers!$E$5:$E$2004,MATCH($D2786,Workers!$A$5:$A$2004,0)),""))</f>
        <v/>
      </c>
      <c r="M2786" s="26" t="str">
        <f aca="false">IF($D2786="","",IFERROR(INDEX(ClientRates!$D$5:$D$500,MATCH($B2786&amp;"|"&amp;$L2786,ClientRates!$A$5:$A$500,0)),0))</f>
        <v/>
      </c>
      <c r="N2786" s="26" t="str">
        <f aca="false">IF($D2786="","",IFERROR(INDEX(ClientRates!$E$5:$E$500,MATCH($B2786&amp;"|"&amp;$L2786,ClientRates!$A$5:$A$500,0)),0))</f>
        <v/>
      </c>
      <c r="O2786" s="26" t="str">
        <f aca="false">IF($D2786="","",F2786*M2786+G2786*N2786)</f>
        <v/>
      </c>
      <c r="P2786" s="26" t="str">
        <f aca="false">IF(OR($D2786="",$J2786&lt;&gt;"Supplier"),"",IFERROR(INDEX(SupplierRates!$D$5:$D$500,MATCH($K2786&amp;"|"&amp;$L2786,SupplierRates!$A$5:$A$500,0)),0))</f>
        <v/>
      </c>
      <c r="Q2786" s="26" t="str">
        <f aca="false">IF(OR($D2786="",$J2786&lt;&gt;"Supplier"),"",IFERROR(INDEX(SupplierRates!$E$5:$E$500,MATCH($K2786&amp;"|"&amp;$L2786,SupplierRates!$A$5:$A$500,0)),0))</f>
        <v/>
      </c>
      <c r="R2786" s="26" t="n">
        <f aca="false">IF(OR($D2786="",$J2786&lt;&gt;"Supplier"),0,F2786*P2786+G2786*Q2786)</f>
        <v>0</v>
      </c>
      <c r="S2786" s="26" t="n">
        <f aca="false">IF(OR($D2786="",$J2786&lt;&gt;"Own"),0,IFERROR((F2786+G2786*Settings!$B$13)*INDEX(Workers!$V$5:$V$2004,MATCH($D2786,Workers!$A$5:$A$2004,0)),0))</f>
        <v>0</v>
      </c>
      <c r="T2786" s="26" t="str">
        <f aca="false">IF($D2786="","",O2786-R2786-S2786)</f>
        <v/>
      </c>
    </row>
    <row r="2787" customFormat="false" ht="15" hidden="false" customHeight="false" outlineLevel="0" collapsed="false">
      <c r="I2787" s="24" t="str">
        <f aca="false">IF($D2787="","",IFERROR(INDEX(Workers!$B$5:$B$2004,MATCH($D2787,Workers!$A$5:$A$2004,0)),"NOT FOUND"))</f>
        <v/>
      </c>
      <c r="J2787" s="24" t="str">
        <f aca="false">IF($D2787="","",IFERROR(INDEX(Workers!$C$5:$C$2004,MATCH($D2787,Workers!$A$5:$A$2004,0)),""))</f>
        <v/>
      </c>
      <c r="K2787" s="24" t="str">
        <f aca="false">IF($D2787="","",IFERROR(IF(INDEX(Workers!$D$5:$D$2004,MATCH($D2787,Workers!$A$5:$A$2004,0))=0,"",INDEX(Workers!$D$5:$D$2004,MATCH($D2787,Workers!$A$5:$A$2004,0))),""))</f>
        <v/>
      </c>
      <c r="L2787" s="24" t="str">
        <f aca="false">IF($D2787="","",IFERROR(INDEX(Workers!$E$5:$E$2004,MATCH($D2787,Workers!$A$5:$A$2004,0)),""))</f>
        <v/>
      </c>
      <c r="M2787" s="26" t="str">
        <f aca="false">IF($D2787="","",IFERROR(INDEX(ClientRates!$D$5:$D$500,MATCH($B2787&amp;"|"&amp;$L2787,ClientRates!$A$5:$A$500,0)),0))</f>
        <v/>
      </c>
      <c r="N2787" s="26" t="str">
        <f aca="false">IF($D2787="","",IFERROR(INDEX(ClientRates!$E$5:$E$500,MATCH($B2787&amp;"|"&amp;$L2787,ClientRates!$A$5:$A$500,0)),0))</f>
        <v/>
      </c>
      <c r="O2787" s="26" t="str">
        <f aca="false">IF($D2787="","",F2787*M2787+G2787*N2787)</f>
        <v/>
      </c>
      <c r="P2787" s="26" t="str">
        <f aca="false">IF(OR($D2787="",$J2787&lt;&gt;"Supplier"),"",IFERROR(INDEX(SupplierRates!$D$5:$D$500,MATCH($K2787&amp;"|"&amp;$L2787,SupplierRates!$A$5:$A$500,0)),0))</f>
        <v/>
      </c>
      <c r="Q2787" s="26" t="str">
        <f aca="false">IF(OR($D2787="",$J2787&lt;&gt;"Supplier"),"",IFERROR(INDEX(SupplierRates!$E$5:$E$500,MATCH($K2787&amp;"|"&amp;$L2787,SupplierRates!$A$5:$A$500,0)),0))</f>
        <v/>
      </c>
      <c r="R2787" s="26" t="n">
        <f aca="false">IF(OR($D2787="",$J2787&lt;&gt;"Supplier"),0,F2787*P2787+G2787*Q2787)</f>
        <v>0</v>
      </c>
      <c r="S2787" s="26" t="n">
        <f aca="false">IF(OR($D2787="",$J2787&lt;&gt;"Own"),0,IFERROR((F2787+G2787*Settings!$B$13)*INDEX(Workers!$V$5:$V$2004,MATCH($D2787,Workers!$A$5:$A$2004,0)),0))</f>
        <v>0</v>
      </c>
      <c r="T2787" s="26" t="str">
        <f aca="false">IF($D2787="","",O2787-R2787-S2787)</f>
        <v/>
      </c>
    </row>
    <row r="2788" customFormat="false" ht="15" hidden="false" customHeight="false" outlineLevel="0" collapsed="false">
      <c r="I2788" s="24" t="str">
        <f aca="false">IF($D2788="","",IFERROR(INDEX(Workers!$B$5:$B$2004,MATCH($D2788,Workers!$A$5:$A$2004,0)),"NOT FOUND"))</f>
        <v/>
      </c>
      <c r="J2788" s="24" t="str">
        <f aca="false">IF($D2788="","",IFERROR(INDEX(Workers!$C$5:$C$2004,MATCH($D2788,Workers!$A$5:$A$2004,0)),""))</f>
        <v/>
      </c>
      <c r="K2788" s="24" t="str">
        <f aca="false">IF($D2788="","",IFERROR(IF(INDEX(Workers!$D$5:$D$2004,MATCH($D2788,Workers!$A$5:$A$2004,0))=0,"",INDEX(Workers!$D$5:$D$2004,MATCH($D2788,Workers!$A$5:$A$2004,0))),""))</f>
        <v/>
      </c>
      <c r="L2788" s="24" t="str">
        <f aca="false">IF($D2788="","",IFERROR(INDEX(Workers!$E$5:$E$2004,MATCH($D2788,Workers!$A$5:$A$2004,0)),""))</f>
        <v/>
      </c>
      <c r="M2788" s="26" t="str">
        <f aca="false">IF($D2788="","",IFERROR(INDEX(ClientRates!$D$5:$D$500,MATCH($B2788&amp;"|"&amp;$L2788,ClientRates!$A$5:$A$500,0)),0))</f>
        <v/>
      </c>
      <c r="N2788" s="26" t="str">
        <f aca="false">IF($D2788="","",IFERROR(INDEX(ClientRates!$E$5:$E$500,MATCH($B2788&amp;"|"&amp;$L2788,ClientRates!$A$5:$A$500,0)),0))</f>
        <v/>
      </c>
      <c r="O2788" s="26" t="str">
        <f aca="false">IF($D2788="","",F2788*M2788+G2788*N2788)</f>
        <v/>
      </c>
      <c r="P2788" s="26" t="str">
        <f aca="false">IF(OR($D2788="",$J2788&lt;&gt;"Supplier"),"",IFERROR(INDEX(SupplierRates!$D$5:$D$500,MATCH($K2788&amp;"|"&amp;$L2788,SupplierRates!$A$5:$A$500,0)),0))</f>
        <v/>
      </c>
      <c r="Q2788" s="26" t="str">
        <f aca="false">IF(OR($D2788="",$J2788&lt;&gt;"Supplier"),"",IFERROR(INDEX(SupplierRates!$E$5:$E$500,MATCH($K2788&amp;"|"&amp;$L2788,SupplierRates!$A$5:$A$500,0)),0))</f>
        <v/>
      </c>
      <c r="R2788" s="26" t="n">
        <f aca="false">IF(OR($D2788="",$J2788&lt;&gt;"Supplier"),0,F2788*P2788+G2788*Q2788)</f>
        <v>0</v>
      </c>
      <c r="S2788" s="26" t="n">
        <f aca="false">IF(OR($D2788="",$J2788&lt;&gt;"Own"),0,IFERROR((F2788+G2788*Settings!$B$13)*INDEX(Workers!$V$5:$V$2004,MATCH($D2788,Workers!$A$5:$A$2004,0)),0))</f>
        <v>0</v>
      </c>
      <c r="T2788" s="26" t="str">
        <f aca="false">IF($D2788="","",O2788-R2788-S2788)</f>
        <v/>
      </c>
    </row>
    <row r="2789" customFormat="false" ht="15" hidden="false" customHeight="false" outlineLevel="0" collapsed="false">
      <c r="I2789" s="24" t="str">
        <f aca="false">IF($D2789="","",IFERROR(INDEX(Workers!$B$5:$B$2004,MATCH($D2789,Workers!$A$5:$A$2004,0)),"NOT FOUND"))</f>
        <v/>
      </c>
      <c r="J2789" s="24" t="str">
        <f aca="false">IF($D2789="","",IFERROR(INDEX(Workers!$C$5:$C$2004,MATCH($D2789,Workers!$A$5:$A$2004,0)),""))</f>
        <v/>
      </c>
      <c r="K2789" s="24" t="str">
        <f aca="false">IF($D2789="","",IFERROR(IF(INDEX(Workers!$D$5:$D$2004,MATCH($D2789,Workers!$A$5:$A$2004,0))=0,"",INDEX(Workers!$D$5:$D$2004,MATCH($D2789,Workers!$A$5:$A$2004,0))),""))</f>
        <v/>
      </c>
      <c r="L2789" s="24" t="str">
        <f aca="false">IF($D2789="","",IFERROR(INDEX(Workers!$E$5:$E$2004,MATCH($D2789,Workers!$A$5:$A$2004,0)),""))</f>
        <v/>
      </c>
      <c r="M2789" s="26" t="str">
        <f aca="false">IF($D2789="","",IFERROR(INDEX(ClientRates!$D$5:$D$500,MATCH($B2789&amp;"|"&amp;$L2789,ClientRates!$A$5:$A$500,0)),0))</f>
        <v/>
      </c>
      <c r="N2789" s="26" t="str">
        <f aca="false">IF($D2789="","",IFERROR(INDEX(ClientRates!$E$5:$E$500,MATCH($B2789&amp;"|"&amp;$L2789,ClientRates!$A$5:$A$500,0)),0))</f>
        <v/>
      </c>
      <c r="O2789" s="26" t="str">
        <f aca="false">IF($D2789="","",F2789*M2789+G2789*N2789)</f>
        <v/>
      </c>
      <c r="P2789" s="26" t="str">
        <f aca="false">IF(OR($D2789="",$J2789&lt;&gt;"Supplier"),"",IFERROR(INDEX(SupplierRates!$D$5:$D$500,MATCH($K2789&amp;"|"&amp;$L2789,SupplierRates!$A$5:$A$500,0)),0))</f>
        <v/>
      </c>
      <c r="Q2789" s="26" t="str">
        <f aca="false">IF(OR($D2789="",$J2789&lt;&gt;"Supplier"),"",IFERROR(INDEX(SupplierRates!$E$5:$E$500,MATCH($K2789&amp;"|"&amp;$L2789,SupplierRates!$A$5:$A$500,0)),0))</f>
        <v/>
      </c>
      <c r="R2789" s="26" t="n">
        <f aca="false">IF(OR($D2789="",$J2789&lt;&gt;"Supplier"),0,F2789*P2789+G2789*Q2789)</f>
        <v>0</v>
      </c>
      <c r="S2789" s="26" t="n">
        <f aca="false">IF(OR($D2789="",$J2789&lt;&gt;"Own"),0,IFERROR((F2789+G2789*Settings!$B$13)*INDEX(Workers!$V$5:$V$2004,MATCH($D2789,Workers!$A$5:$A$2004,0)),0))</f>
        <v>0</v>
      </c>
      <c r="T2789" s="26" t="str">
        <f aca="false">IF($D2789="","",O2789-R2789-S2789)</f>
        <v/>
      </c>
    </row>
    <row r="2790" customFormat="false" ht="15" hidden="false" customHeight="false" outlineLevel="0" collapsed="false">
      <c r="I2790" s="24" t="str">
        <f aca="false">IF($D2790="","",IFERROR(INDEX(Workers!$B$5:$B$2004,MATCH($D2790,Workers!$A$5:$A$2004,0)),"NOT FOUND"))</f>
        <v/>
      </c>
      <c r="J2790" s="24" t="str">
        <f aca="false">IF($D2790="","",IFERROR(INDEX(Workers!$C$5:$C$2004,MATCH($D2790,Workers!$A$5:$A$2004,0)),""))</f>
        <v/>
      </c>
      <c r="K2790" s="24" t="str">
        <f aca="false">IF($D2790="","",IFERROR(IF(INDEX(Workers!$D$5:$D$2004,MATCH($D2790,Workers!$A$5:$A$2004,0))=0,"",INDEX(Workers!$D$5:$D$2004,MATCH($D2790,Workers!$A$5:$A$2004,0))),""))</f>
        <v/>
      </c>
      <c r="L2790" s="24" t="str">
        <f aca="false">IF($D2790="","",IFERROR(INDEX(Workers!$E$5:$E$2004,MATCH($D2790,Workers!$A$5:$A$2004,0)),""))</f>
        <v/>
      </c>
      <c r="M2790" s="26" t="str">
        <f aca="false">IF($D2790="","",IFERROR(INDEX(ClientRates!$D$5:$D$500,MATCH($B2790&amp;"|"&amp;$L2790,ClientRates!$A$5:$A$500,0)),0))</f>
        <v/>
      </c>
      <c r="N2790" s="26" t="str">
        <f aca="false">IF($D2790="","",IFERROR(INDEX(ClientRates!$E$5:$E$500,MATCH($B2790&amp;"|"&amp;$L2790,ClientRates!$A$5:$A$500,0)),0))</f>
        <v/>
      </c>
      <c r="O2790" s="26" t="str">
        <f aca="false">IF($D2790="","",F2790*M2790+G2790*N2790)</f>
        <v/>
      </c>
      <c r="P2790" s="26" t="str">
        <f aca="false">IF(OR($D2790="",$J2790&lt;&gt;"Supplier"),"",IFERROR(INDEX(SupplierRates!$D$5:$D$500,MATCH($K2790&amp;"|"&amp;$L2790,SupplierRates!$A$5:$A$500,0)),0))</f>
        <v/>
      </c>
      <c r="Q2790" s="26" t="str">
        <f aca="false">IF(OR($D2790="",$J2790&lt;&gt;"Supplier"),"",IFERROR(INDEX(SupplierRates!$E$5:$E$500,MATCH($K2790&amp;"|"&amp;$L2790,SupplierRates!$A$5:$A$500,0)),0))</f>
        <v/>
      </c>
      <c r="R2790" s="26" t="n">
        <f aca="false">IF(OR($D2790="",$J2790&lt;&gt;"Supplier"),0,F2790*P2790+G2790*Q2790)</f>
        <v>0</v>
      </c>
      <c r="S2790" s="26" t="n">
        <f aca="false">IF(OR($D2790="",$J2790&lt;&gt;"Own"),0,IFERROR((F2790+G2790*Settings!$B$13)*INDEX(Workers!$V$5:$V$2004,MATCH($D2790,Workers!$A$5:$A$2004,0)),0))</f>
        <v>0</v>
      </c>
      <c r="T2790" s="26" t="str">
        <f aca="false">IF($D2790="","",O2790-R2790-S2790)</f>
        <v/>
      </c>
    </row>
    <row r="2791" customFormat="false" ht="15" hidden="false" customHeight="false" outlineLevel="0" collapsed="false">
      <c r="I2791" s="24" t="str">
        <f aca="false">IF($D2791="","",IFERROR(INDEX(Workers!$B$5:$B$2004,MATCH($D2791,Workers!$A$5:$A$2004,0)),"NOT FOUND"))</f>
        <v/>
      </c>
      <c r="J2791" s="24" t="str">
        <f aca="false">IF($D2791="","",IFERROR(INDEX(Workers!$C$5:$C$2004,MATCH($D2791,Workers!$A$5:$A$2004,0)),""))</f>
        <v/>
      </c>
      <c r="K2791" s="24" t="str">
        <f aca="false">IF($D2791="","",IFERROR(IF(INDEX(Workers!$D$5:$D$2004,MATCH($D2791,Workers!$A$5:$A$2004,0))=0,"",INDEX(Workers!$D$5:$D$2004,MATCH($D2791,Workers!$A$5:$A$2004,0))),""))</f>
        <v/>
      </c>
      <c r="L2791" s="24" t="str">
        <f aca="false">IF($D2791="","",IFERROR(INDEX(Workers!$E$5:$E$2004,MATCH($D2791,Workers!$A$5:$A$2004,0)),""))</f>
        <v/>
      </c>
      <c r="M2791" s="26" t="str">
        <f aca="false">IF($D2791="","",IFERROR(INDEX(ClientRates!$D$5:$D$500,MATCH($B2791&amp;"|"&amp;$L2791,ClientRates!$A$5:$A$500,0)),0))</f>
        <v/>
      </c>
      <c r="N2791" s="26" t="str">
        <f aca="false">IF($D2791="","",IFERROR(INDEX(ClientRates!$E$5:$E$500,MATCH($B2791&amp;"|"&amp;$L2791,ClientRates!$A$5:$A$500,0)),0))</f>
        <v/>
      </c>
      <c r="O2791" s="26" t="str">
        <f aca="false">IF($D2791="","",F2791*M2791+G2791*N2791)</f>
        <v/>
      </c>
      <c r="P2791" s="26" t="str">
        <f aca="false">IF(OR($D2791="",$J2791&lt;&gt;"Supplier"),"",IFERROR(INDEX(SupplierRates!$D$5:$D$500,MATCH($K2791&amp;"|"&amp;$L2791,SupplierRates!$A$5:$A$500,0)),0))</f>
        <v/>
      </c>
      <c r="Q2791" s="26" t="str">
        <f aca="false">IF(OR($D2791="",$J2791&lt;&gt;"Supplier"),"",IFERROR(INDEX(SupplierRates!$E$5:$E$500,MATCH($K2791&amp;"|"&amp;$L2791,SupplierRates!$A$5:$A$500,0)),0))</f>
        <v/>
      </c>
      <c r="R2791" s="26" t="n">
        <f aca="false">IF(OR($D2791="",$J2791&lt;&gt;"Supplier"),0,F2791*P2791+G2791*Q2791)</f>
        <v>0</v>
      </c>
      <c r="S2791" s="26" t="n">
        <f aca="false">IF(OR($D2791="",$J2791&lt;&gt;"Own"),0,IFERROR((F2791+G2791*Settings!$B$13)*INDEX(Workers!$V$5:$V$2004,MATCH($D2791,Workers!$A$5:$A$2004,0)),0))</f>
        <v>0</v>
      </c>
      <c r="T2791" s="26" t="str">
        <f aca="false">IF($D2791="","",O2791-R2791-S2791)</f>
        <v/>
      </c>
    </row>
    <row r="2792" customFormat="false" ht="15" hidden="false" customHeight="false" outlineLevel="0" collapsed="false">
      <c r="I2792" s="24" t="str">
        <f aca="false">IF($D2792="","",IFERROR(INDEX(Workers!$B$5:$B$2004,MATCH($D2792,Workers!$A$5:$A$2004,0)),"NOT FOUND"))</f>
        <v/>
      </c>
      <c r="J2792" s="24" t="str">
        <f aca="false">IF($D2792="","",IFERROR(INDEX(Workers!$C$5:$C$2004,MATCH($D2792,Workers!$A$5:$A$2004,0)),""))</f>
        <v/>
      </c>
      <c r="K2792" s="24" t="str">
        <f aca="false">IF($D2792="","",IFERROR(IF(INDEX(Workers!$D$5:$D$2004,MATCH($D2792,Workers!$A$5:$A$2004,0))=0,"",INDEX(Workers!$D$5:$D$2004,MATCH($D2792,Workers!$A$5:$A$2004,0))),""))</f>
        <v/>
      </c>
      <c r="L2792" s="24" t="str">
        <f aca="false">IF($D2792="","",IFERROR(INDEX(Workers!$E$5:$E$2004,MATCH($D2792,Workers!$A$5:$A$2004,0)),""))</f>
        <v/>
      </c>
      <c r="M2792" s="26" t="str">
        <f aca="false">IF($D2792="","",IFERROR(INDEX(ClientRates!$D$5:$D$500,MATCH($B2792&amp;"|"&amp;$L2792,ClientRates!$A$5:$A$500,0)),0))</f>
        <v/>
      </c>
      <c r="N2792" s="26" t="str">
        <f aca="false">IF($D2792="","",IFERROR(INDEX(ClientRates!$E$5:$E$500,MATCH($B2792&amp;"|"&amp;$L2792,ClientRates!$A$5:$A$500,0)),0))</f>
        <v/>
      </c>
      <c r="O2792" s="26" t="str">
        <f aca="false">IF($D2792="","",F2792*M2792+G2792*N2792)</f>
        <v/>
      </c>
      <c r="P2792" s="26" t="str">
        <f aca="false">IF(OR($D2792="",$J2792&lt;&gt;"Supplier"),"",IFERROR(INDEX(SupplierRates!$D$5:$D$500,MATCH($K2792&amp;"|"&amp;$L2792,SupplierRates!$A$5:$A$500,0)),0))</f>
        <v/>
      </c>
      <c r="Q2792" s="26" t="str">
        <f aca="false">IF(OR($D2792="",$J2792&lt;&gt;"Supplier"),"",IFERROR(INDEX(SupplierRates!$E$5:$E$500,MATCH($K2792&amp;"|"&amp;$L2792,SupplierRates!$A$5:$A$500,0)),0))</f>
        <v/>
      </c>
      <c r="R2792" s="26" t="n">
        <f aca="false">IF(OR($D2792="",$J2792&lt;&gt;"Supplier"),0,F2792*P2792+G2792*Q2792)</f>
        <v>0</v>
      </c>
      <c r="S2792" s="26" t="n">
        <f aca="false">IF(OR($D2792="",$J2792&lt;&gt;"Own"),0,IFERROR((F2792+G2792*Settings!$B$13)*INDEX(Workers!$V$5:$V$2004,MATCH($D2792,Workers!$A$5:$A$2004,0)),0))</f>
        <v>0</v>
      </c>
      <c r="T2792" s="26" t="str">
        <f aca="false">IF($D2792="","",O2792-R2792-S2792)</f>
        <v/>
      </c>
    </row>
    <row r="2793" customFormat="false" ht="15" hidden="false" customHeight="false" outlineLevel="0" collapsed="false">
      <c r="I2793" s="24" t="str">
        <f aca="false">IF($D2793="","",IFERROR(INDEX(Workers!$B$5:$B$2004,MATCH($D2793,Workers!$A$5:$A$2004,0)),"NOT FOUND"))</f>
        <v/>
      </c>
      <c r="J2793" s="24" t="str">
        <f aca="false">IF($D2793="","",IFERROR(INDEX(Workers!$C$5:$C$2004,MATCH($D2793,Workers!$A$5:$A$2004,0)),""))</f>
        <v/>
      </c>
      <c r="K2793" s="24" t="str">
        <f aca="false">IF($D2793="","",IFERROR(IF(INDEX(Workers!$D$5:$D$2004,MATCH($D2793,Workers!$A$5:$A$2004,0))=0,"",INDEX(Workers!$D$5:$D$2004,MATCH($D2793,Workers!$A$5:$A$2004,0))),""))</f>
        <v/>
      </c>
      <c r="L2793" s="24" t="str">
        <f aca="false">IF($D2793="","",IFERROR(INDEX(Workers!$E$5:$E$2004,MATCH($D2793,Workers!$A$5:$A$2004,0)),""))</f>
        <v/>
      </c>
      <c r="M2793" s="26" t="str">
        <f aca="false">IF($D2793="","",IFERROR(INDEX(ClientRates!$D$5:$D$500,MATCH($B2793&amp;"|"&amp;$L2793,ClientRates!$A$5:$A$500,0)),0))</f>
        <v/>
      </c>
      <c r="N2793" s="26" t="str">
        <f aca="false">IF($D2793="","",IFERROR(INDEX(ClientRates!$E$5:$E$500,MATCH($B2793&amp;"|"&amp;$L2793,ClientRates!$A$5:$A$500,0)),0))</f>
        <v/>
      </c>
      <c r="O2793" s="26" t="str">
        <f aca="false">IF($D2793="","",F2793*M2793+G2793*N2793)</f>
        <v/>
      </c>
      <c r="P2793" s="26" t="str">
        <f aca="false">IF(OR($D2793="",$J2793&lt;&gt;"Supplier"),"",IFERROR(INDEX(SupplierRates!$D$5:$D$500,MATCH($K2793&amp;"|"&amp;$L2793,SupplierRates!$A$5:$A$500,0)),0))</f>
        <v/>
      </c>
      <c r="Q2793" s="26" t="str">
        <f aca="false">IF(OR($D2793="",$J2793&lt;&gt;"Supplier"),"",IFERROR(INDEX(SupplierRates!$E$5:$E$500,MATCH($K2793&amp;"|"&amp;$L2793,SupplierRates!$A$5:$A$500,0)),0))</f>
        <v/>
      </c>
      <c r="R2793" s="26" t="n">
        <f aca="false">IF(OR($D2793="",$J2793&lt;&gt;"Supplier"),0,F2793*P2793+G2793*Q2793)</f>
        <v>0</v>
      </c>
      <c r="S2793" s="26" t="n">
        <f aca="false">IF(OR($D2793="",$J2793&lt;&gt;"Own"),0,IFERROR((F2793+G2793*Settings!$B$13)*INDEX(Workers!$V$5:$V$2004,MATCH($D2793,Workers!$A$5:$A$2004,0)),0))</f>
        <v>0</v>
      </c>
      <c r="T2793" s="26" t="str">
        <f aca="false">IF($D2793="","",O2793-R2793-S2793)</f>
        <v/>
      </c>
    </row>
    <row r="2794" customFormat="false" ht="15" hidden="false" customHeight="false" outlineLevel="0" collapsed="false">
      <c r="I2794" s="24" t="str">
        <f aca="false">IF($D2794="","",IFERROR(INDEX(Workers!$B$5:$B$2004,MATCH($D2794,Workers!$A$5:$A$2004,0)),"NOT FOUND"))</f>
        <v/>
      </c>
      <c r="J2794" s="24" t="str">
        <f aca="false">IF($D2794="","",IFERROR(INDEX(Workers!$C$5:$C$2004,MATCH($D2794,Workers!$A$5:$A$2004,0)),""))</f>
        <v/>
      </c>
      <c r="K2794" s="24" t="str">
        <f aca="false">IF($D2794="","",IFERROR(IF(INDEX(Workers!$D$5:$D$2004,MATCH($D2794,Workers!$A$5:$A$2004,0))=0,"",INDEX(Workers!$D$5:$D$2004,MATCH($D2794,Workers!$A$5:$A$2004,0))),""))</f>
        <v/>
      </c>
      <c r="L2794" s="24" t="str">
        <f aca="false">IF($D2794="","",IFERROR(INDEX(Workers!$E$5:$E$2004,MATCH($D2794,Workers!$A$5:$A$2004,0)),""))</f>
        <v/>
      </c>
      <c r="M2794" s="26" t="str">
        <f aca="false">IF($D2794="","",IFERROR(INDEX(ClientRates!$D$5:$D$500,MATCH($B2794&amp;"|"&amp;$L2794,ClientRates!$A$5:$A$500,0)),0))</f>
        <v/>
      </c>
      <c r="N2794" s="26" t="str">
        <f aca="false">IF($D2794="","",IFERROR(INDEX(ClientRates!$E$5:$E$500,MATCH($B2794&amp;"|"&amp;$L2794,ClientRates!$A$5:$A$500,0)),0))</f>
        <v/>
      </c>
      <c r="O2794" s="26" t="str">
        <f aca="false">IF($D2794="","",F2794*M2794+G2794*N2794)</f>
        <v/>
      </c>
      <c r="P2794" s="26" t="str">
        <f aca="false">IF(OR($D2794="",$J2794&lt;&gt;"Supplier"),"",IFERROR(INDEX(SupplierRates!$D$5:$D$500,MATCH($K2794&amp;"|"&amp;$L2794,SupplierRates!$A$5:$A$500,0)),0))</f>
        <v/>
      </c>
      <c r="Q2794" s="26" t="str">
        <f aca="false">IF(OR($D2794="",$J2794&lt;&gt;"Supplier"),"",IFERROR(INDEX(SupplierRates!$E$5:$E$500,MATCH($K2794&amp;"|"&amp;$L2794,SupplierRates!$A$5:$A$500,0)),0))</f>
        <v/>
      </c>
      <c r="R2794" s="26" t="n">
        <f aca="false">IF(OR($D2794="",$J2794&lt;&gt;"Supplier"),0,F2794*P2794+G2794*Q2794)</f>
        <v>0</v>
      </c>
      <c r="S2794" s="26" t="n">
        <f aca="false">IF(OR($D2794="",$J2794&lt;&gt;"Own"),0,IFERROR((F2794+G2794*Settings!$B$13)*INDEX(Workers!$V$5:$V$2004,MATCH($D2794,Workers!$A$5:$A$2004,0)),0))</f>
        <v>0</v>
      </c>
      <c r="T2794" s="26" t="str">
        <f aca="false">IF($D2794="","",O2794-R2794-S2794)</f>
        <v/>
      </c>
    </row>
    <row r="2795" customFormat="false" ht="15" hidden="false" customHeight="false" outlineLevel="0" collapsed="false">
      <c r="I2795" s="24" t="str">
        <f aca="false">IF($D2795="","",IFERROR(INDEX(Workers!$B$5:$B$2004,MATCH($D2795,Workers!$A$5:$A$2004,0)),"NOT FOUND"))</f>
        <v/>
      </c>
      <c r="J2795" s="24" t="str">
        <f aca="false">IF($D2795="","",IFERROR(INDEX(Workers!$C$5:$C$2004,MATCH($D2795,Workers!$A$5:$A$2004,0)),""))</f>
        <v/>
      </c>
      <c r="K2795" s="24" t="str">
        <f aca="false">IF($D2795="","",IFERROR(IF(INDEX(Workers!$D$5:$D$2004,MATCH($D2795,Workers!$A$5:$A$2004,0))=0,"",INDEX(Workers!$D$5:$D$2004,MATCH($D2795,Workers!$A$5:$A$2004,0))),""))</f>
        <v/>
      </c>
      <c r="L2795" s="24" t="str">
        <f aca="false">IF($D2795="","",IFERROR(INDEX(Workers!$E$5:$E$2004,MATCH($D2795,Workers!$A$5:$A$2004,0)),""))</f>
        <v/>
      </c>
      <c r="M2795" s="26" t="str">
        <f aca="false">IF($D2795="","",IFERROR(INDEX(ClientRates!$D$5:$D$500,MATCH($B2795&amp;"|"&amp;$L2795,ClientRates!$A$5:$A$500,0)),0))</f>
        <v/>
      </c>
      <c r="N2795" s="26" t="str">
        <f aca="false">IF($D2795="","",IFERROR(INDEX(ClientRates!$E$5:$E$500,MATCH($B2795&amp;"|"&amp;$L2795,ClientRates!$A$5:$A$500,0)),0))</f>
        <v/>
      </c>
      <c r="O2795" s="26" t="str">
        <f aca="false">IF($D2795="","",F2795*M2795+G2795*N2795)</f>
        <v/>
      </c>
      <c r="P2795" s="26" t="str">
        <f aca="false">IF(OR($D2795="",$J2795&lt;&gt;"Supplier"),"",IFERROR(INDEX(SupplierRates!$D$5:$D$500,MATCH($K2795&amp;"|"&amp;$L2795,SupplierRates!$A$5:$A$500,0)),0))</f>
        <v/>
      </c>
      <c r="Q2795" s="26" t="str">
        <f aca="false">IF(OR($D2795="",$J2795&lt;&gt;"Supplier"),"",IFERROR(INDEX(SupplierRates!$E$5:$E$500,MATCH($K2795&amp;"|"&amp;$L2795,SupplierRates!$A$5:$A$500,0)),0))</f>
        <v/>
      </c>
      <c r="R2795" s="26" t="n">
        <f aca="false">IF(OR($D2795="",$J2795&lt;&gt;"Supplier"),0,F2795*P2795+G2795*Q2795)</f>
        <v>0</v>
      </c>
      <c r="S2795" s="26" t="n">
        <f aca="false">IF(OR($D2795="",$J2795&lt;&gt;"Own"),0,IFERROR((F2795+G2795*Settings!$B$13)*INDEX(Workers!$V$5:$V$2004,MATCH($D2795,Workers!$A$5:$A$2004,0)),0))</f>
        <v>0</v>
      </c>
      <c r="T2795" s="26" t="str">
        <f aca="false">IF($D2795="","",O2795-R2795-S2795)</f>
        <v/>
      </c>
    </row>
    <row r="2796" customFormat="false" ht="15" hidden="false" customHeight="false" outlineLevel="0" collapsed="false">
      <c r="I2796" s="24" t="str">
        <f aca="false">IF($D2796="","",IFERROR(INDEX(Workers!$B$5:$B$2004,MATCH($D2796,Workers!$A$5:$A$2004,0)),"NOT FOUND"))</f>
        <v/>
      </c>
      <c r="J2796" s="24" t="str">
        <f aca="false">IF($D2796="","",IFERROR(INDEX(Workers!$C$5:$C$2004,MATCH($D2796,Workers!$A$5:$A$2004,0)),""))</f>
        <v/>
      </c>
      <c r="K2796" s="24" t="str">
        <f aca="false">IF($D2796="","",IFERROR(IF(INDEX(Workers!$D$5:$D$2004,MATCH($D2796,Workers!$A$5:$A$2004,0))=0,"",INDEX(Workers!$D$5:$D$2004,MATCH($D2796,Workers!$A$5:$A$2004,0))),""))</f>
        <v/>
      </c>
      <c r="L2796" s="24" t="str">
        <f aca="false">IF($D2796="","",IFERROR(INDEX(Workers!$E$5:$E$2004,MATCH($D2796,Workers!$A$5:$A$2004,0)),""))</f>
        <v/>
      </c>
      <c r="M2796" s="26" t="str">
        <f aca="false">IF($D2796="","",IFERROR(INDEX(ClientRates!$D$5:$D$500,MATCH($B2796&amp;"|"&amp;$L2796,ClientRates!$A$5:$A$500,0)),0))</f>
        <v/>
      </c>
      <c r="N2796" s="26" t="str">
        <f aca="false">IF($D2796="","",IFERROR(INDEX(ClientRates!$E$5:$E$500,MATCH($B2796&amp;"|"&amp;$L2796,ClientRates!$A$5:$A$500,0)),0))</f>
        <v/>
      </c>
      <c r="O2796" s="26" t="str">
        <f aca="false">IF($D2796="","",F2796*M2796+G2796*N2796)</f>
        <v/>
      </c>
      <c r="P2796" s="26" t="str">
        <f aca="false">IF(OR($D2796="",$J2796&lt;&gt;"Supplier"),"",IFERROR(INDEX(SupplierRates!$D$5:$D$500,MATCH($K2796&amp;"|"&amp;$L2796,SupplierRates!$A$5:$A$500,0)),0))</f>
        <v/>
      </c>
      <c r="Q2796" s="26" t="str">
        <f aca="false">IF(OR($D2796="",$J2796&lt;&gt;"Supplier"),"",IFERROR(INDEX(SupplierRates!$E$5:$E$500,MATCH($K2796&amp;"|"&amp;$L2796,SupplierRates!$A$5:$A$500,0)),0))</f>
        <v/>
      </c>
      <c r="R2796" s="26" t="n">
        <f aca="false">IF(OR($D2796="",$J2796&lt;&gt;"Supplier"),0,F2796*P2796+G2796*Q2796)</f>
        <v>0</v>
      </c>
      <c r="S2796" s="26" t="n">
        <f aca="false">IF(OR($D2796="",$J2796&lt;&gt;"Own"),0,IFERROR((F2796+G2796*Settings!$B$13)*INDEX(Workers!$V$5:$V$2004,MATCH($D2796,Workers!$A$5:$A$2004,0)),0))</f>
        <v>0</v>
      </c>
      <c r="T2796" s="26" t="str">
        <f aca="false">IF($D2796="","",O2796-R2796-S2796)</f>
        <v/>
      </c>
    </row>
    <row r="2797" customFormat="false" ht="15" hidden="false" customHeight="false" outlineLevel="0" collapsed="false">
      <c r="I2797" s="24" t="str">
        <f aca="false">IF($D2797="","",IFERROR(INDEX(Workers!$B$5:$B$2004,MATCH($D2797,Workers!$A$5:$A$2004,0)),"NOT FOUND"))</f>
        <v/>
      </c>
      <c r="J2797" s="24" t="str">
        <f aca="false">IF($D2797="","",IFERROR(INDEX(Workers!$C$5:$C$2004,MATCH($D2797,Workers!$A$5:$A$2004,0)),""))</f>
        <v/>
      </c>
      <c r="K2797" s="24" t="str">
        <f aca="false">IF($D2797="","",IFERROR(IF(INDEX(Workers!$D$5:$D$2004,MATCH($D2797,Workers!$A$5:$A$2004,0))=0,"",INDEX(Workers!$D$5:$D$2004,MATCH($D2797,Workers!$A$5:$A$2004,0))),""))</f>
        <v/>
      </c>
      <c r="L2797" s="24" t="str">
        <f aca="false">IF($D2797="","",IFERROR(INDEX(Workers!$E$5:$E$2004,MATCH($D2797,Workers!$A$5:$A$2004,0)),""))</f>
        <v/>
      </c>
      <c r="M2797" s="26" t="str">
        <f aca="false">IF($D2797="","",IFERROR(INDEX(ClientRates!$D$5:$D$500,MATCH($B2797&amp;"|"&amp;$L2797,ClientRates!$A$5:$A$500,0)),0))</f>
        <v/>
      </c>
      <c r="N2797" s="26" t="str">
        <f aca="false">IF($D2797="","",IFERROR(INDEX(ClientRates!$E$5:$E$500,MATCH($B2797&amp;"|"&amp;$L2797,ClientRates!$A$5:$A$500,0)),0))</f>
        <v/>
      </c>
      <c r="O2797" s="26" t="str">
        <f aca="false">IF($D2797="","",F2797*M2797+G2797*N2797)</f>
        <v/>
      </c>
      <c r="P2797" s="26" t="str">
        <f aca="false">IF(OR($D2797="",$J2797&lt;&gt;"Supplier"),"",IFERROR(INDEX(SupplierRates!$D$5:$D$500,MATCH($K2797&amp;"|"&amp;$L2797,SupplierRates!$A$5:$A$500,0)),0))</f>
        <v/>
      </c>
      <c r="Q2797" s="26" t="str">
        <f aca="false">IF(OR($D2797="",$J2797&lt;&gt;"Supplier"),"",IFERROR(INDEX(SupplierRates!$E$5:$E$500,MATCH($K2797&amp;"|"&amp;$L2797,SupplierRates!$A$5:$A$500,0)),0))</f>
        <v/>
      </c>
      <c r="R2797" s="26" t="n">
        <f aca="false">IF(OR($D2797="",$J2797&lt;&gt;"Supplier"),0,F2797*P2797+G2797*Q2797)</f>
        <v>0</v>
      </c>
      <c r="S2797" s="26" t="n">
        <f aca="false">IF(OR($D2797="",$J2797&lt;&gt;"Own"),0,IFERROR((F2797+G2797*Settings!$B$13)*INDEX(Workers!$V$5:$V$2004,MATCH($D2797,Workers!$A$5:$A$2004,0)),0))</f>
        <v>0</v>
      </c>
      <c r="T2797" s="26" t="str">
        <f aca="false">IF($D2797="","",O2797-R2797-S2797)</f>
        <v/>
      </c>
    </row>
    <row r="2798" customFormat="false" ht="15" hidden="false" customHeight="false" outlineLevel="0" collapsed="false">
      <c r="I2798" s="24" t="str">
        <f aca="false">IF($D2798="","",IFERROR(INDEX(Workers!$B$5:$B$2004,MATCH($D2798,Workers!$A$5:$A$2004,0)),"NOT FOUND"))</f>
        <v/>
      </c>
      <c r="J2798" s="24" t="str">
        <f aca="false">IF($D2798="","",IFERROR(INDEX(Workers!$C$5:$C$2004,MATCH($D2798,Workers!$A$5:$A$2004,0)),""))</f>
        <v/>
      </c>
      <c r="K2798" s="24" t="str">
        <f aca="false">IF($D2798="","",IFERROR(IF(INDEX(Workers!$D$5:$D$2004,MATCH($D2798,Workers!$A$5:$A$2004,0))=0,"",INDEX(Workers!$D$5:$D$2004,MATCH($D2798,Workers!$A$5:$A$2004,0))),""))</f>
        <v/>
      </c>
      <c r="L2798" s="24" t="str">
        <f aca="false">IF($D2798="","",IFERROR(INDEX(Workers!$E$5:$E$2004,MATCH($D2798,Workers!$A$5:$A$2004,0)),""))</f>
        <v/>
      </c>
      <c r="M2798" s="26" t="str">
        <f aca="false">IF($D2798="","",IFERROR(INDEX(ClientRates!$D$5:$D$500,MATCH($B2798&amp;"|"&amp;$L2798,ClientRates!$A$5:$A$500,0)),0))</f>
        <v/>
      </c>
      <c r="N2798" s="26" t="str">
        <f aca="false">IF($D2798="","",IFERROR(INDEX(ClientRates!$E$5:$E$500,MATCH($B2798&amp;"|"&amp;$L2798,ClientRates!$A$5:$A$500,0)),0))</f>
        <v/>
      </c>
      <c r="O2798" s="26" t="str">
        <f aca="false">IF($D2798="","",F2798*M2798+G2798*N2798)</f>
        <v/>
      </c>
      <c r="P2798" s="26" t="str">
        <f aca="false">IF(OR($D2798="",$J2798&lt;&gt;"Supplier"),"",IFERROR(INDEX(SupplierRates!$D$5:$D$500,MATCH($K2798&amp;"|"&amp;$L2798,SupplierRates!$A$5:$A$500,0)),0))</f>
        <v/>
      </c>
      <c r="Q2798" s="26" t="str">
        <f aca="false">IF(OR($D2798="",$J2798&lt;&gt;"Supplier"),"",IFERROR(INDEX(SupplierRates!$E$5:$E$500,MATCH($K2798&amp;"|"&amp;$L2798,SupplierRates!$A$5:$A$500,0)),0))</f>
        <v/>
      </c>
      <c r="R2798" s="26" t="n">
        <f aca="false">IF(OR($D2798="",$J2798&lt;&gt;"Supplier"),0,F2798*P2798+G2798*Q2798)</f>
        <v>0</v>
      </c>
      <c r="S2798" s="26" t="n">
        <f aca="false">IF(OR($D2798="",$J2798&lt;&gt;"Own"),0,IFERROR((F2798+G2798*Settings!$B$13)*INDEX(Workers!$V$5:$V$2004,MATCH($D2798,Workers!$A$5:$A$2004,0)),0))</f>
        <v>0</v>
      </c>
      <c r="T2798" s="26" t="str">
        <f aca="false">IF($D2798="","",O2798-R2798-S2798)</f>
        <v/>
      </c>
    </row>
    <row r="2799" customFormat="false" ht="15" hidden="false" customHeight="false" outlineLevel="0" collapsed="false">
      <c r="I2799" s="24" t="str">
        <f aca="false">IF($D2799="","",IFERROR(INDEX(Workers!$B$5:$B$2004,MATCH($D2799,Workers!$A$5:$A$2004,0)),"NOT FOUND"))</f>
        <v/>
      </c>
      <c r="J2799" s="24" t="str">
        <f aca="false">IF($D2799="","",IFERROR(INDEX(Workers!$C$5:$C$2004,MATCH($D2799,Workers!$A$5:$A$2004,0)),""))</f>
        <v/>
      </c>
      <c r="K2799" s="24" t="str">
        <f aca="false">IF($D2799="","",IFERROR(IF(INDEX(Workers!$D$5:$D$2004,MATCH($D2799,Workers!$A$5:$A$2004,0))=0,"",INDEX(Workers!$D$5:$D$2004,MATCH($D2799,Workers!$A$5:$A$2004,0))),""))</f>
        <v/>
      </c>
      <c r="L2799" s="24" t="str">
        <f aca="false">IF($D2799="","",IFERROR(INDEX(Workers!$E$5:$E$2004,MATCH($D2799,Workers!$A$5:$A$2004,0)),""))</f>
        <v/>
      </c>
      <c r="M2799" s="26" t="str">
        <f aca="false">IF($D2799="","",IFERROR(INDEX(ClientRates!$D$5:$D$500,MATCH($B2799&amp;"|"&amp;$L2799,ClientRates!$A$5:$A$500,0)),0))</f>
        <v/>
      </c>
      <c r="N2799" s="26" t="str">
        <f aca="false">IF($D2799="","",IFERROR(INDEX(ClientRates!$E$5:$E$500,MATCH($B2799&amp;"|"&amp;$L2799,ClientRates!$A$5:$A$500,0)),0))</f>
        <v/>
      </c>
      <c r="O2799" s="26" t="str">
        <f aca="false">IF($D2799="","",F2799*M2799+G2799*N2799)</f>
        <v/>
      </c>
      <c r="P2799" s="26" t="str">
        <f aca="false">IF(OR($D2799="",$J2799&lt;&gt;"Supplier"),"",IFERROR(INDEX(SupplierRates!$D$5:$D$500,MATCH($K2799&amp;"|"&amp;$L2799,SupplierRates!$A$5:$A$500,0)),0))</f>
        <v/>
      </c>
      <c r="Q2799" s="26" t="str">
        <f aca="false">IF(OR($D2799="",$J2799&lt;&gt;"Supplier"),"",IFERROR(INDEX(SupplierRates!$E$5:$E$500,MATCH($K2799&amp;"|"&amp;$L2799,SupplierRates!$A$5:$A$500,0)),0))</f>
        <v/>
      </c>
      <c r="R2799" s="26" t="n">
        <f aca="false">IF(OR($D2799="",$J2799&lt;&gt;"Supplier"),0,F2799*P2799+G2799*Q2799)</f>
        <v>0</v>
      </c>
      <c r="S2799" s="26" t="n">
        <f aca="false">IF(OR($D2799="",$J2799&lt;&gt;"Own"),0,IFERROR((F2799+G2799*Settings!$B$13)*INDEX(Workers!$V$5:$V$2004,MATCH($D2799,Workers!$A$5:$A$2004,0)),0))</f>
        <v>0</v>
      </c>
      <c r="T2799" s="26" t="str">
        <f aca="false">IF($D2799="","",O2799-R2799-S2799)</f>
        <v/>
      </c>
    </row>
    <row r="2800" customFormat="false" ht="15" hidden="false" customHeight="false" outlineLevel="0" collapsed="false">
      <c r="I2800" s="24" t="str">
        <f aca="false">IF($D2800="","",IFERROR(INDEX(Workers!$B$5:$B$2004,MATCH($D2800,Workers!$A$5:$A$2004,0)),"NOT FOUND"))</f>
        <v/>
      </c>
      <c r="J2800" s="24" t="str">
        <f aca="false">IF($D2800="","",IFERROR(INDEX(Workers!$C$5:$C$2004,MATCH($D2800,Workers!$A$5:$A$2004,0)),""))</f>
        <v/>
      </c>
      <c r="K2800" s="24" t="str">
        <f aca="false">IF($D2800="","",IFERROR(IF(INDEX(Workers!$D$5:$D$2004,MATCH($D2800,Workers!$A$5:$A$2004,0))=0,"",INDEX(Workers!$D$5:$D$2004,MATCH($D2800,Workers!$A$5:$A$2004,0))),""))</f>
        <v/>
      </c>
      <c r="L2800" s="24" t="str">
        <f aca="false">IF($D2800="","",IFERROR(INDEX(Workers!$E$5:$E$2004,MATCH($D2800,Workers!$A$5:$A$2004,0)),""))</f>
        <v/>
      </c>
      <c r="M2800" s="26" t="str">
        <f aca="false">IF($D2800="","",IFERROR(INDEX(ClientRates!$D$5:$D$500,MATCH($B2800&amp;"|"&amp;$L2800,ClientRates!$A$5:$A$500,0)),0))</f>
        <v/>
      </c>
      <c r="N2800" s="26" t="str">
        <f aca="false">IF($D2800="","",IFERROR(INDEX(ClientRates!$E$5:$E$500,MATCH($B2800&amp;"|"&amp;$L2800,ClientRates!$A$5:$A$500,0)),0))</f>
        <v/>
      </c>
      <c r="O2800" s="26" t="str">
        <f aca="false">IF($D2800="","",F2800*M2800+G2800*N2800)</f>
        <v/>
      </c>
      <c r="P2800" s="26" t="str">
        <f aca="false">IF(OR($D2800="",$J2800&lt;&gt;"Supplier"),"",IFERROR(INDEX(SupplierRates!$D$5:$D$500,MATCH($K2800&amp;"|"&amp;$L2800,SupplierRates!$A$5:$A$500,0)),0))</f>
        <v/>
      </c>
      <c r="Q2800" s="26" t="str">
        <f aca="false">IF(OR($D2800="",$J2800&lt;&gt;"Supplier"),"",IFERROR(INDEX(SupplierRates!$E$5:$E$500,MATCH($K2800&amp;"|"&amp;$L2800,SupplierRates!$A$5:$A$500,0)),0))</f>
        <v/>
      </c>
      <c r="R2800" s="26" t="n">
        <f aca="false">IF(OR($D2800="",$J2800&lt;&gt;"Supplier"),0,F2800*P2800+G2800*Q2800)</f>
        <v>0</v>
      </c>
      <c r="S2800" s="26" t="n">
        <f aca="false">IF(OR($D2800="",$J2800&lt;&gt;"Own"),0,IFERROR((F2800+G2800*Settings!$B$13)*INDEX(Workers!$V$5:$V$2004,MATCH($D2800,Workers!$A$5:$A$2004,0)),0))</f>
        <v>0</v>
      </c>
      <c r="T2800" s="26" t="str">
        <f aca="false">IF($D2800="","",O2800-R2800-S2800)</f>
        <v/>
      </c>
    </row>
    <row r="2801" customFormat="false" ht="15" hidden="false" customHeight="false" outlineLevel="0" collapsed="false">
      <c r="I2801" s="24" t="str">
        <f aca="false">IF($D2801="","",IFERROR(INDEX(Workers!$B$5:$B$2004,MATCH($D2801,Workers!$A$5:$A$2004,0)),"NOT FOUND"))</f>
        <v/>
      </c>
      <c r="J2801" s="24" t="str">
        <f aca="false">IF($D2801="","",IFERROR(INDEX(Workers!$C$5:$C$2004,MATCH($D2801,Workers!$A$5:$A$2004,0)),""))</f>
        <v/>
      </c>
      <c r="K2801" s="24" t="str">
        <f aca="false">IF($D2801="","",IFERROR(IF(INDEX(Workers!$D$5:$D$2004,MATCH($D2801,Workers!$A$5:$A$2004,0))=0,"",INDEX(Workers!$D$5:$D$2004,MATCH($D2801,Workers!$A$5:$A$2004,0))),""))</f>
        <v/>
      </c>
      <c r="L2801" s="24" t="str">
        <f aca="false">IF($D2801="","",IFERROR(INDEX(Workers!$E$5:$E$2004,MATCH($D2801,Workers!$A$5:$A$2004,0)),""))</f>
        <v/>
      </c>
      <c r="M2801" s="26" t="str">
        <f aca="false">IF($D2801="","",IFERROR(INDEX(ClientRates!$D$5:$D$500,MATCH($B2801&amp;"|"&amp;$L2801,ClientRates!$A$5:$A$500,0)),0))</f>
        <v/>
      </c>
      <c r="N2801" s="26" t="str">
        <f aca="false">IF($D2801="","",IFERROR(INDEX(ClientRates!$E$5:$E$500,MATCH($B2801&amp;"|"&amp;$L2801,ClientRates!$A$5:$A$500,0)),0))</f>
        <v/>
      </c>
      <c r="O2801" s="26" t="str">
        <f aca="false">IF($D2801="","",F2801*M2801+G2801*N2801)</f>
        <v/>
      </c>
      <c r="P2801" s="26" t="str">
        <f aca="false">IF(OR($D2801="",$J2801&lt;&gt;"Supplier"),"",IFERROR(INDEX(SupplierRates!$D$5:$D$500,MATCH($K2801&amp;"|"&amp;$L2801,SupplierRates!$A$5:$A$500,0)),0))</f>
        <v/>
      </c>
      <c r="Q2801" s="26" t="str">
        <f aca="false">IF(OR($D2801="",$J2801&lt;&gt;"Supplier"),"",IFERROR(INDEX(SupplierRates!$E$5:$E$500,MATCH($K2801&amp;"|"&amp;$L2801,SupplierRates!$A$5:$A$500,0)),0))</f>
        <v/>
      </c>
      <c r="R2801" s="26" t="n">
        <f aca="false">IF(OR($D2801="",$J2801&lt;&gt;"Supplier"),0,F2801*P2801+G2801*Q2801)</f>
        <v>0</v>
      </c>
      <c r="S2801" s="26" t="n">
        <f aca="false">IF(OR($D2801="",$J2801&lt;&gt;"Own"),0,IFERROR((F2801+G2801*Settings!$B$13)*INDEX(Workers!$V$5:$V$2004,MATCH($D2801,Workers!$A$5:$A$2004,0)),0))</f>
        <v>0</v>
      </c>
      <c r="T2801" s="26" t="str">
        <f aca="false">IF($D2801="","",O2801-R2801-S2801)</f>
        <v/>
      </c>
    </row>
    <row r="2802" customFormat="false" ht="15" hidden="false" customHeight="false" outlineLevel="0" collapsed="false">
      <c r="I2802" s="24" t="str">
        <f aca="false">IF($D2802="","",IFERROR(INDEX(Workers!$B$5:$B$2004,MATCH($D2802,Workers!$A$5:$A$2004,0)),"NOT FOUND"))</f>
        <v/>
      </c>
      <c r="J2802" s="24" t="str">
        <f aca="false">IF($D2802="","",IFERROR(INDEX(Workers!$C$5:$C$2004,MATCH($D2802,Workers!$A$5:$A$2004,0)),""))</f>
        <v/>
      </c>
      <c r="K2802" s="24" t="str">
        <f aca="false">IF($D2802="","",IFERROR(IF(INDEX(Workers!$D$5:$D$2004,MATCH($D2802,Workers!$A$5:$A$2004,0))=0,"",INDEX(Workers!$D$5:$D$2004,MATCH($D2802,Workers!$A$5:$A$2004,0))),""))</f>
        <v/>
      </c>
      <c r="L2802" s="24" t="str">
        <f aca="false">IF($D2802="","",IFERROR(INDEX(Workers!$E$5:$E$2004,MATCH($D2802,Workers!$A$5:$A$2004,0)),""))</f>
        <v/>
      </c>
      <c r="M2802" s="26" t="str">
        <f aca="false">IF($D2802="","",IFERROR(INDEX(ClientRates!$D$5:$D$500,MATCH($B2802&amp;"|"&amp;$L2802,ClientRates!$A$5:$A$500,0)),0))</f>
        <v/>
      </c>
      <c r="N2802" s="26" t="str">
        <f aca="false">IF($D2802="","",IFERROR(INDEX(ClientRates!$E$5:$E$500,MATCH($B2802&amp;"|"&amp;$L2802,ClientRates!$A$5:$A$500,0)),0))</f>
        <v/>
      </c>
      <c r="O2802" s="26" t="str">
        <f aca="false">IF($D2802="","",F2802*M2802+G2802*N2802)</f>
        <v/>
      </c>
      <c r="P2802" s="26" t="str">
        <f aca="false">IF(OR($D2802="",$J2802&lt;&gt;"Supplier"),"",IFERROR(INDEX(SupplierRates!$D$5:$D$500,MATCH($K2802&amp;"|"&amp;$L2802,SupplierRates!$A$5:$A$500,0)),0))</f>
        <v/>
      </c>
      <c r="Q2802" s="26" t="str">
        <f aca="false">IF(OR($D2802="",$J2802&lt;&gt;"Supplier"),"",IFERROR(INDEX(SupplierRates!$E$5:$E$500,MATCH($K2802&amp;"|"&amp;$L2802,SupplierRates!$A$5:$A$500,0)),0))</f>
        <v/>
      </c>
      <c r="R2802" s="26" t="n">
        <f aca="false">IF(OR($D2802="",$J2802&lt;&gt;"Supplier"),0,F2802*P2802+G2802*Q2802)</f>
        <v>0</v>
      </c>
      <c r="S2802" s="26" t="n">
        <f aca="false">IF(OR($D2802="",$J2802&lt;&gt;"Own"),0,IFERROR((F2802+G2802*Settings!$B$13)*INDEX(Workers!$V$5:$V$2004,MATCH($D2802,Workers!$A$5:$A$2004,0)),0))</f>
        <v>0</v>
      </c>
      <c r="T2802" s="26" t="str">
        <f aca="false">IF($D2802="","",O2802-R2802-S2802)</f>
        <v/>
      </c>
    </row>
    <row r="2803" customFormat="false" ht="15" hidden="false" customHeight="false" outlineLevel="0" collapsed="false">
      <c r="I2803" s="24" t="str">
        <f aca="false">IF($D2803="","",IFERROR(INDEX(Workers!$B$5:$B$2004,MATCH($D2803,Workers!$A$5:$A$2004,0)),"NOT FOUND"))</f>
        <v/>
      </c>
      <c r="J2803" s="24" t="str">
        <f aca="false">IF($D2803="","",IFERROR(INDEX(Workers!$C$5:$C$2004,MATCH($D2803,Workers!$A$5:$A$2004,0)),""))</f>
        <v/>
      </c>
      <c r="K2803" s="24" t="str">
        <f aca="false">IF($D2803="","",IFERROR(IF(INDEX(Workers!$D$5:$D$2004,MATCH($D2803,Workers!$A$5:$A$2004,0))=0,"",INDEX(Workers!$D$5:$D$2004,MATCH($D2803,Workers!$A$5:$A$2004,0))),""))</f>
        <v/>
      </c>
      <c r="L2803" s="24" t="str">
        <f aca="false">IF($D2803="","",IFERROR(INDEX(Workers!$E$5:$E$2004,MATCH($D2803,Workers!$A$5:$A$2004,0)),""))</f>
        <v/>
      </c>
      <c r="M2803" s="26" t="str">
        <f aca="false">IF($D2803="","",IFERROR(INDEX(ClientRates!$D$5:$D$500,MATCH($B2803&amp;"|"&amp;$L2803,ClientRates!$A$5:$A$500,0)),0))</f>
        <v/>
      </c>
      <c r="N2803" s="26" t="str">
        <f aca="false">IF($D2803="","",IFERROR(INDEX(ClientRates!$E$5:$E$500,MATCH($B2803&amp;"|"&amp;$L2803,ClientRates!$A$5:$A$500,0)),0))</f>
        <v/>
      </c>
      <c r="O2803" s="26" t="str">
        <f aca="false">IF($D2803="","",F2803*M2803+G2803*N2803)</f>
        <v/>
      </c>
      <c r="P2803" s="26" t="str">
        <f aca="false">IF(OR($D2803="",$J2803&lt;&gt;"Supplier"),"",IFERROR(INDEX(SupplierRates!$D$5:$D$500,MATCH($K2803&amp;"|"&amp;$L2803,SupplierRates!$A$5:$A$500,0)),0))</f>
        <v/>
      </c>
      <c r="Q2803" s="26" t="str">
        <f aca="false">IF(OR($D2803="",$J2803&lt;&gt;"Supplier"),"",IFERROR(INDEX(SupplierRates!$E$5:$E$500,MATCH($K2803&amp;"|"&amp;$L2803,SupplierRates!$A$5:$A$500,0)),0))</f>
        <v/>
      </c>
      <c r="R2803" s="26" t="n">
        <f aca="false">IF(OR($D2803="",$J2803&lt;&gt;"Supplier"),0,F2803*P2803+G2803*Q2803)</f>
        <v>0</v>
      </c>
      <c r="S2803" s="26" t="n">
        <f aca="false">IF(OR($D2803="",$J2803&lt;&gt;"Own"),0,IFERROR((F2803+G2803*Settings!$B$13)*INDEX(Workers!$V$5:$V$2004,MATCH($D2803,Workers!$A$5:$A$2004,0)),0))</f>
        <v>0</v>
      </c>
      <c r="T2803" s="26" t="str">
        <f aca="false">IF($D2803="","",O2803-R2803-S2803)</f>
        <v/>
      </c>
    </row>
    <row r="2804" customFormat="false" ht="15" hidden="false" customHeight="false" outlineLevel="0" collapsed="false">
      <c r="I2804" s="24" t="str">
        <f aca="false">IF($D2804="","",IFERROR(INDEX(Workers!$B$5:$B$2004,MATCH($D2804,Workers!$A$5:$A$2004,0)),"NOT FOUND"))</f>
        <v/>
      </c>
      <c r="J2804" s="24" t="str">
        <f aca="false">IF($D2804="","",IFERROR(INDEX(Workers!$C$5:$C$2004,MATCH($D2804,Workers!$A$5:$A$2004,0)),""))</f>
        <v/>
      </c>
      <c r="K2804" s="24" t="str">
        <f aca="false">IF($D2804="","",IFERROR(IF(INDEX(Workers!$D$5:$D$2004,MATCH($D2804,Workers!$A$5:$A$2004,0))=0,"",INDEX(Workers!$D$5:$D$2004,MATCH($D2804,Workers!$A$5:$A$2004,0))),""))</f>
        <v/>
      </c>
      <c r="L2804" s="24" t="str">
        <f aca="false">IF($D2804="","",IFERROR(INDEX(Workers!$E$5:$E$2004,MATCH($D2804,Workers!$A$5:$A$2004,0)),""))</f>
        <v/>
      </c>
      <c r="M2804" s="26" t="str">
        <f aca="false">IF($D2804="","",IFERROR(INDEX(ClientRates!$D$5:$D$500,MATCH($B2804&amp;"|"&amp;$L2804,ClientRates!$A$5:$A$500,0)),0))</f>
        <v/>
      </c>
      <c r="N2804" s="26" t="str">
        <f aca="false">IF($D2804="","",IFERROR(INDEX(ClientRates!$E$5:$E$500,MATCH($B2804&amp;"|"&amp;$L2804,ClientRates!$A$5:$A$500,0)),0))</f>
        <v/>
      </c>
      <c r="O2804" s="26" t="str">
        <f aca="false">IF($D2804="","",F2804*M2804+G2804*N2804)</f>
        <v/>
      </c>
      <c r="P2804" s="26" t="str">
        <f aca="false">IF(OR($D2804="",$J2804&lt;&gt;"Supplier"),"",IFERROR(INDEX(SupplierRates!$D$5:$D$500,MATCH($K2804&amp;"|"&amp;$L2804,SupplierRates!$A$5:$A$500,0)),0))</f>
        <v/>
      </c>
      <c r="Q2804" s="26" t="str">
        <f aca="false">IF(OR($D2804="",$J2804&lt;&gt;"Supplier"),"",IFERROR(INDEX(SupplierRates!$E$5:$E$500,MATCH($K2804&amp;"|"&amp;$L2804,SupplierRates!$A$5:$A$500,0)),0))</f>
        <v/>
      </c>
      <c r="R2804" s="26" t="n">
        <f aca="false">IF(OR($D2804="",$J2804&lt;&gt;"Supplier"),0,F2804*P2804+G2804*Q2804)</f>
        <v>0</v>
      </c>
      <c r="S2804" s="26" t="n">
        <f aca="false">IF(OR($D2804="",$J2804&lt;&gt;"Own"),0,IFERROR((F2804+G2804*Settings!$B$13)*INDEX(Workers!$V$5:$V$2004,MATCH($D2804,Workers!$A$5:$A$2004,0)),0))</f>
        <v>0</v>
      </c>
      <c r="T2804" s="26" t="str">
        <f aca="false">IF($D2804="","",O2804-R2804-S2804)</f>
        <v/>
      </c>
    </row>
    <row r="2805" customFormat="false" ht="15" hidden="false" customHeight="false" outlineLevel="0" collapsed="false">
      <c r="I2805" s="24" t="str">
        <f aca="false">IF($D2805="","",IFERROR(INDEX(Workers!$B$5:$B$2004,MATCH($D2805,Workers!$A$5:$A$2004,0)),"NOT FOUND"))</f>
        <v/>
      </c>
      <c r="J2805" s="24" t="str">
        <f aca="false">IF($D2805="","",IFERROR(INDEX(Workers!$C$5:$C$2004,MATCH($D2805,Workers!$A$5:$A$2004,0)),""))</f>
        <v/>
      </c>
      <c r="K2805" s="24" t="str">
        <f aca="false">IF($D2805="","",IFERROR(IF(INDEX(Workers!$D$5:$D$2004,MATCH($D2805,Workers!$A$5:$A$2004,0))=0,"",INDEX(Workers!$D$5:$D$2004,MATCH($D2805,Workers!$A$5:$A$2004,0))),""))</f>
        <v/>
      </c>
      <c r="L2805" s="24" t="str">
        <f aca="false">IF($D2805="","",IFERROR(INDEX(Workers!$E$5:$E$2004,MATCH($D2805,Workers!$A$5:$A$2004,0)),""))</f>
        <v/>
      </c>
      <c r="M2805" s="26" t="str">
        <f aca="false">IF($D2805="","",IFERROR(INDEX(ClientRates!$D$5:$D$500,MATCH($B2805&amp;"|"&amp;$L2805,ClientRates!$A$5:$A$500,0)),0))</f>
        <v/>
      </c>
      <c r="N2805" s="26" t="str">
        <f aca="false">IF($D2805="","",IFERROR(INDEX(ClientRates!$E$5:$E$500,MATCH($B2805&amp;"|"&amp;$L2805,ClientRates!$A$5:$A$500,0)),0))</f>
        <v/>
      </c>
      <c r="O2805" s="26" t="str">
        <f aca="false">IF($D2805="","",F2805*M2805+G2805*N2805)</f>
        <v/>
      </c>
      <c r="P2805" s="26" t="str">
        <f aca="false">IF(OR($D2805="",$J2805&lt;&gt;"Supplier"),"",IFERROR(INDEX(SupplierRates!$D$5:$D$500,MATCH($K2805&amp;"|"&amp;$L2805,SupplierRates!$A$5:$A$500,0)),0))</f>
        <v/>
      </c>
      <c r="Q2805" s="26" t="str">
        <f aca="false">IF(OR($D2805="",$J2805&lt;&gt;"Supplier"),"",IFERROR(INDEX(SupplierRates!$E$5:$E$500,MATCH($K2805&amp;"|"&amp;$L2805,SupplierRates!$A$5:$A$500,0)),0))</f>
        <v/>
      </c>
      <c r="R2805" s="26" t="n">
        <f aca="false">IF(OR($D2805="",$J2805&lt;&gt;"Supplier"),0,F2805*P2805+G2805*Q2805)</f>
        <v>0</v>
      </c>
      <c r="S2805" s="26" t="n">
        <f aca="false">IF(OR($D2805="",$J2805&lt;&gt;"Own"),0,IFERROR((F2805+G2805*Settings!$B$13)*INDEX(Workers!$V$5:$V$2004,MATCH($D2805,Workers!$A$5:$A$2004,0)),0))</f>
        <v>0</v>
      </c>
      <c r="T2805" s="26" t="str">
        <f aca="false">IF($D2805="","",O2805-R2805-S2805)</f>
        <v/>
      </c>
    </row>
    <row r="2806" customFormat="false" ht="15" hidden="false" customHeight="false" outlineLevel="0" collapsed="false">
      <c r="I2806" s="24" t="str">
        <f aca="false">IF($D2806="","",IFERROR(INDEX(Workers!$B$5:$B$2004,MATCH($D2806,Workers!$A$5:$A$2004,0)),"NOT FOUND"))</f>
        <v/>
      </c>
      <c r="J2806" s="24" t="str">
        <f aca="false">IF($D2806="","",IFERROR(INDEX(Workers!$C$5:$C$2004,MATCH($D2806,Workers!$A$5:$A$2004,0)),""))</f>
        <v/>
      </c>
      <c r="K2806" s="24" t="str">
        <f aca="false">IF($D2806="","",IFERROR(IF(INDEX(Workers!$D$5:$D$2004,MATCH($D2806,Workers!$A$5:$A$2004,0))=0,"",INDEX(Workers!$D$5:$D$2004,MATCH($D2806,Workers!$A$5:$A$2004,0))),""))</f>
        <v/>
      </c>
      <c r="L2806" s="24" t="str">
        <f aca="false">IF($D2806="","",IFERROR(INDEX(Workers!$E$5:$E$2004,MATCH($D2806,Workers!$A$5:$A$2004,0)),""))</f>
        <v/>
      </c>
      <c r="M2806" s="26" t="str">
        <f aca="false">IF($D2806="","",IFERROR(INDEX(ClientRates!$D$5:$D$500,MATCH($B2806&amp;"|"&amp;$L2806,ClientRates!$A$5:$A$500,0)),0))</f>
        <v/>
      </c>
      <c r="N2806" s="26" t="str">
        <f aca="false">IF($D2806="","",IFERROR(INDEX(ClientRates!$E$5:$E$500,MATCH($B2806&amp;"|"&amp;$L2806,ClientRates!$A$5:$A$500,0)),0))</f>
        <v/>
      </c>
      <c r="O2806" s="26" t="str">
        <f aca="false">IF($D2806="","",F2806*M2806+G2806*N2806)</f>
        <v/>
      </c>
      <c r="P2806" s="26" t="str">
        <f aca="false">IF(OR($D2806="",$J2806&lt;&gt;"Supplier"),"",IFERROR(INDEX(SupplierRates!$D$5:$D$500,MATCH($K2806&amp;"|"&amp;$L2806,SupplierRates!$A$5:$A$500,0)),0))</f>
        <v/>
      </c>
      <c r="Q2806" s="26" t="str">
        <f aca="false">IF(OR($D2806="",$J2806&lt;&gt;"Supplier"),"",IFERROR(INDEX(SupplierRates!$E$5:$E$500,MATCH($K2806&amp;"|"&amp;$L2806,SupplierRates!$A$5:$A$500,0)),0))</f>
        <v/>
      </c>
      <c r="R2806" s="26" t="n">
        <f aca="false">IF(OR($D2806="",$J2806&lt;&gt;"Supplier"),0,F2806*P2806+G2806*Q2806)</f>
        <v>0</v>
      </c>
      <c r="S2806" s="26" t="n">
        <f aca="false">IF(OR($D2806="",$J2806&lt;&gt;"Own"),0,IFERROR((F2806+G2806*Settings!$B$13)*INDEX(Workers!$V$5:$V$2004,MATCH($D2806,Workers!$A$5:$A$2004,0)),0))</f>
        <v>0</v>
      </c>
      <c r="T2806" s="26" t="str">
        <f aca="false">IF($D2806="","",O2806-R2806-S2806)</f>
        <v/>
      </c>
    </row>
    <row r="2807" customFormat="false" ht="15" hidden="false" customHeight="false" outlineLevel="0" collapsed="false">
      <c r="I2807" s="24" t="str">
        <f aca="false">IF($D2807="","",IFERROR(INDEX(Workers!$B$5:$B$2004,MATCH($D2807,Workers!$A$5:$A$2004,0)),"NOT FOUND"))</f>
        <v/>
      </c>
      <c r="J2807" s="24" t="str">
        <f aca="false">IF($D2807="","",IFERROR(INDEX(Workers!$C$5:$C$2004,MATCH($D2807,Workers!$A$5:$A$2004,0)),""))</f>
        <v/>
      </c>
      <c r="K2807" s="24" t="str">
        <f aca="false">IF($D2807="","",IFERROR(IF(INDEX(Workers!$D$5:$D$2004,MATCH($D2807,Workers!$A$5:$A$2004,0))=0,"",INDEX(Workers!$D$5:$D$2004,MATCH($D2807,Workers!$A$5:$A$2004,0))),""))</f>
        <v/>
      </c>
      <c r="L2807" s="24" t="str">
        <f aca="false">IF($D2807="","",IFERROR(INDEX(Workers!$E$5:$E$2004,MATCH($D2807,Workers!$A$5:$A$2004,0)),""))</f>
        <v/>
      </c>
      <c r="M2807" s="26" t="str">
        <f aca="false">IF($D2807="","",IFERROR(INDEX(ClientRates!$D$5:$D$500,MATCH($B2807&amp;"|"&amp;$L2807,ClientRates!$A$5:$A$500,0)),0))</f>
        <v/>
      </c>
      <c r="N2807" s="26" t="str">
        <f aca="false">IF($D2807="","",IFERROR(INDEX(ClientRates!$E$5:$E$500,MATCH($B2807&amp;"|"&amp;$L2807,ClientRates!$A$5:$A$500,0)),0))</f>
        <v/>
      </c>
      <c r="O2807" s="26" t="str">
        <f aca="false">IF($D2807="","",F2807*M2807+G2807*N2807)</f>
        <v/>
      </c>
      <c r="P2807" s="26" t="str">
        <f aca="false">IF(OR($D2807="",$J2807&lt;&gt;"Supplier"),"",IFERROR(INDEX(SupplierRates!$D$5:$D$500,MATCH($K2807&amp;"|"&amp;$L2807,SupplierRates!$A$5:$A$500,0)),0))</f>
        <v/>
      </c>
      <c r="Q2807" s="26" t="str">
        <f aca="false">IF(OR($D2807="",$J2807&lt;&gt;"Supplier"),"",IFERROR(INDEX(SupplierRates!$E$5:$E$500,MATCH($K2807&amp;"|"&amp;$L2807,SupplierRates!$A$5:$A$500,0)),0))</f>
        <v/>
      </c>
      <c r="R2807" s="26" t="n">
        <f aca="false">IF(OR($D2807="",$J2807&lt;&gt;"Supplier"),0,F2807*P2807+G2807*Q2807)</f>
        <v>0</v>
      </c>
      <c r="S2807" s="26" t="n">
        <f aca="false">IF(OR($D2807="",$J2807&lt;&gt;"Own"),0,IFERROR((F2807+G2807*Settings!$B$13)*INDEX(Workers!$V$5:$V$2004,MATCH($D2807,Workers!$A$5:$A$2004,0)),0))</f>
        <v>0</v>
      </c>
      <c r="T2807" s="26" t="str">
        <f aca="false">IF($D2807="","",O2807-R2807-S2807)</f>
        <v/>
      </c>
    </row>
    <row r="2808" customFormat="false" ht="15" hidden="false" customHeight="false" outlineLevel="0" collapsed="false">
      <c r="I2808" s="24" t="str">
        <f aca="false">IF($D2808="","",IFERROR(INDEX(Workers!$B$5:$B$2004,MATCH($D2808,Workers!$A$5:$A$2004,0)),"NOT FOUND"))</f>
        <v/>
      </c>
      <c r="J2808" s="24" t="str">
        <f aca="false">IF($D2808="","",IFERROR(INDEX(Workers!$C$5:$C$2004,MATCH($D2808,Workers!$A$5:$A$2004,0)),""))</f>
        <v/>
      </c>
      <c r="K2808" s="24" t="str">
        <f aca="false">IF($D2808="","",IFERROR(IF(INDEX(Workers!$D$5:$D$2004,MATCH($D2808,Workers!$A$5:$A$2004,0))=0,"",INDEX(Workers!$D$5:$D$2004,MATCH($D2808,Workers!$A$5:$A$2004,0))),""))</f>
        <v/>
      </c>
      <c r="L2808" s="24" t="str">
        <f aca="false">IF($D2808="","",IFERROR(INDEX(Workers!$E$5:$E$2004,MATCH($D2808,Workers!$A$5:$A$2004,0)),""))</f>
        <v/>
      </c>
      <c r="M2808" s="26" t="str">
        <f aca="false">IF($D2808="","",IFERROR(INDEX(ClientRates!$D$5:$D$500,MATCH($B2808&amp;"|"&amp;$L2808,ClientRates!$A$5:$A$500,0)),0))</f>
        <v/>
      </c>
      <c r="N2808" s="26" t="str">
        <f aca="false">IF($D2808="","",IFERROR(INDEX(ClientRates!$E$5:$E$500,MATCH($B2808&amp;"|"&amp;$L2808,ClientRates!$A$5:$A$500,0)),0))</f>
        <v/>
      </c>
      <c r="O2808" s="26" t="str">
        <f aca="false">IF($D2808="","",F2808*M2808+G2808*N2808)</f>
        <v/>
      </c>
      <c r="P2808" s="26" t="str">
        <f aca="false">IF(OR($D2808="",$J2808&lt;&gt;"Supplier"),"",IFERROR(INDEX(SupplierRates!$D$5:$D$500,MATCH($K2808&amp;"|"&amp;$L2808,SupplierRates!$A$5:$A$500,0)),0))</f>
        <v/>
      </c>
      <c r="Q2808" s="26" t="str">
        <f aca="false">IF(OR($D2808="",$J2808&lt;&gt;"Supplier"),"",IFERROR(INDEX(SupplierRates!$E$5:$E$500,MATCH($K2808&amp;"|"&amp;$L2808,SupplierRates!$A$5:$A$500,0)),0))</f>
        <v/>
      </c>
      <c r="R2808" s="26" t="n">
        <f aca="false">IF(OR($D2808="",$J2808&lt;&gt;"Supplier"),0,F2808*P2808+G2808*Q2808)</f>
        <v>0</v>
      </c>
      <c r="S2808" s="26" t="n">
        <f aca="false">IF(OR($D2808="",$J2808&lt;&gt;"Own"),0,IFERROR((F2808+G2808*Settings!$B$13)*INDEX(Workers!$V$5:$V$2004,MATCH($D2808,Workers!$A$5:$A$2004,0)),0))</f>
        <v>0</v>
      </c>
      <c r="T2808" s="26" t="str">
        <f aca="false">IF($D2808="","",O2808-R2808-S2808)</f>
        <v/>
      </c>
    </row>
    <row r="2809" customFormat="false" ht="15" hidden="false" customHeight="false" outlineLevel="0" collapsed="false">
      <c r="I2809" s="24" t="str">
        <f aca="false">IF($D2809="","",IFERROR(INDEX(Workers!$B$5:$B$2004,MATCH($D2809,Workers!$A$5:$A$2004,0)),"NOT FOUND"))</f>
        <v/>
      </c>
      <c r="J2809" s="24" t="str">
        <f aca="false">IF($D2809="","",IFERROR(INDEX(Workers!$C$5:$C$2004,MATCH($D2809,Workers!$A$5:$A$2004,0)),""))</f>
        <v/>
      </c>
      <c r="K2809" s="24" t="str">
        <f aca="false">IF($D2809="","",IFERROR(IF(INDEX(Workers!$D$5:$D$2004,MATCH($D2809,Workers!$A$5:$A$2004,0))=0,"",INDEX(Workers!$D$5:$D$2004,MATCH($D2809,Workers!$A$5:$A$2004,0))),""))</f>
        <v/>
      </c>
      <c r="L2809" s="24" t="str">
        <f aca="false">IF($D2809="","",IFERROR(INDEX(Workers!$E$5:$E$2004,MATCH($D2809,Workers!$A$5:$A$2004,0)),""))</f>
        <v/>
      </c>
      <c r="M2809" s="26" t="str">
        <f aca="false">IF($D2809="","",IFERROR(INDEX(ClientRates!$D$5:$D$500,MATCH($B2809&amp;"|"&amp;$L2809,ClientRates!$A$5:$A$500,0)),0))</f>
        <v/>
      </c>
      <c r="N2809" s="26" t="str">
        <f aca="false">IF($D2809="","",IFERROR(INDEX(ClientRates!$E$5:$E$500,MATCH($B2809&amp;"|"&amp;$L2809,ClientRates!$A$5:$A$500,0)),0))</f>
        <v/>
      </c>
      <c r="O2809" s="26" t="str">
        <f aca="false">IF($D2809="","",F2809*M2809+G2809*N2809)</f>
        <v/>
      </c>
      <c r="P2809" s="26" t="str">
        <f aca="false">IF(OR($D2809="",$J2809&lt;&gt;"Supplier"),"",IFERROR(INDEX(SupplierRates!$D$5:$D$500,MATCH($K2809&amp;"|"&amp;$L2809,SupplierRates!$A$5:$A$500,0)),0))</f>
        <v/>
      </c>
      <c r="Q2809" s="26" t="str">
        <f aca="false">IF(OR($D2809="",$J2809&lt;&gt;"Supplier"),"",IFERROR(INDEX(SupplierRates!$E$5:$E$500,MATCH($K2809&amp;"|"&amp;$L2809,SupplierRates!$A$5:$A$500,0)),0))</f>
        <v/>
      </c>
      <c r="R2809" s="26" t="n">
        <f aca="false">IF(OR($D2809="",$J2809&lt;&gt;"Supplier"),0,F2809*P2809+G2809*Q2809)</f>
        <v>0</v>
      </c>
      <c r="S2809" s="26" t="n">
        <f aca="false">IF(OR($D2809="",$J2809&lt;&gt;"Own"),0,IFERROR((F2809+G2809*Settings!$B$13)*INDEX(Workers!$V$5:$V$2004,MATCH($D2809,Workers!$A$5:$A$2004,0)),0))</f>
        <v>0</v>
      </c>
      <c r="T2809" s="26" t="str">
        <f aca="false">IF($D2809="","",O2809-R2809-S2809)</f>
        <v/>
      </c>
    </row>
    <row r="2810" customFormat="false" ht="15" hidden="false" customHeight="false" outlineLevel="0" collapsed="false">
      <c r="I2810" s="24" t="str">
        <f aca="false">IF($D2810="","",IFERROR(INDEX(Workers!$B$5:$B$2004,MATCH($D2810,Workers!$A$5:$A$2004,0)),"NOT FOUND"))</f>
        <v/>
      </c>
      <c r="J2810" s="24" t="str">
        <f aca="false">IF($D2810="","",IFERROR(INDEX(Workers!$C$5:$C$2004,MATCH($D2810,Workers!$A$5:$A$2004,0)),""))</f>
        <v/>
      </c>
      <c r="K2810" s="24" t="str">
        <f aca="false">IF($D2810="","",IFERROR(IF(INDEX(Workers!$D$5:$D$2004,MATCH($D2810,Workers!$A$5:$A$2004,0))=0,"",INDEX(Workers!$D$5:$D$2004,MATCH($D2810,Workers!$A$5:$A$2004,0))),""))</f>
        <v/>
      </c>
      <c r="L2810" s="24" t="str">
        <f aca="false">IF($D2810="","",IFERROR(INDEX(Workers!$E$5:$E$2004,MATCH($D2810,Workers!$A$5:$A$2004,0)),""))</f>
        <v/>
      </c>
      <c r="M2810" s="26" t="str">
        <f aca="false">IF($D2810="","",IFERROR(INDEX(ClientRates!$D$5:$D$500,MATCH($B2810&amp;"|"&amp;$L2810,ClientRates!$A$5:$A$500,0)),0))</f>
        <v/>
      </c>
      <c r="N2810" s="26" t="str">
        <f aca="false">IF($D2810="","",IFERROR(INDEX(ClientRates!$E$5:$E$500,MATCH($B2810&amp;"|"&amp;$L2810,ClientRates!$A$5:$A$500,0)),0))</f>
        <v/>
      </c>
      <c r="O2810" s="26" t="str">
        <f aca="false">IF($D2810="","",F2810*M2810+G2810*N2810)</f>
        <v/>
      </c>
      <c r="P2810" s="26" t="str">
        <f aca="false">IF(OR($D2810="",$J2810&lt;&gt;"Supplier"),"",IFERROR(INDEX(SupplierRates!$D$5:$D$500,MATCH($K2810&amp;"|"&amp;$L2810,SupplierRates!$A$5:$A$500,0)),0))</f>
        <v/>
      </c>
      <c r="Q2810" s="26" t="str">
        <f aca="false">IF(OR($D2810="",$J2810&lt;&gt;"Supplier"),"",IFERROR(INDEX(SupplierRates!$E$5:$E$500,MATCH($K2810&amp;"|"&amp;$L2810,SupplierRates!$A$5:$A$500,0)),0))</f>
        <v/>
      </c>
      <c r="R2810" s="26" t="n">
        <f aca="false">IF(OR($D2810="",$J2810&lt;&gt;"Supplier"),0,F2810*P2810+G2810*Q2810)</f>
        <v>0</v>
      </c>
      <c r="S2810" s="26" t="n">
        <f aca="false">IF(OR($D2810="",$J2810&lt;&gt;"Own"),0,IFERROR((F2810+G2810*Settings!$B$13)*INDEX(Workers!$V$5:$V$2004,MATCH($D2810,Workers!$A$5:$A$2004,0)),0))</f>
        <v>0</v>
      </c>
      <c r="T2810" s="26" t="str">
        <f aca="false">IF($D2810="","",O2810-R2810-S2810)</f>
        <v/>
      </c>
    </row>
    <row r="2811" customFormat="false" ht="15" hidden="false" customHeight="false" outlineLevel="0" collapsed="false">
      <c r="I2811" s="24" t="str">
        <f aca="false">IF($D2811="","",IFERROR(INDEX(Workers!$B$5:$B$2004,MATCH($D2811,Workers!$A$5:$A$2004,0)),"NOT FOUND"))</f>
        <v/>
      </c>
      <c r="J2811" s="24" t="str">
        <f aca="false">IF($D2811="","",IFERROR(INDEX(Workers!$C$5:$C$2004,MATCH($D2811,Workers!$A$5:$A$2004,0)),""))</f>
        <v/>
      </c>
      <c r="K2811" s="24" t="str">
        <f aca="false">IF($D2811="","",IFERROR(IF(INDEX(Workers!$D$5:$D$2004,MATCH($D2811,Workers!$A$5:$A$2004,0))=0,"",INDEX(Workers!$D$5:$D$2004,MATCH($D2811,Workers!$A$5:$A$2004,0))),""))</f>
        <v/>
      </c>
      <c r="L2811" s="24" t="str">
        <f aca="false">IF($D2811="","",IFERROR(INDEX(Workers!$E$5:$E$2004,MATCH($D2811,Workers!$A$5:$A$2004,0)),""))</f>
        <v/>
      </c>
      <c r="M2811" s="26" t="str">
        <f aca="false">IF($D2811="","",IFERROR(INDEX(ClientRates!$D$5:$D$500,MATCH($B2811&amp;"|"&amp;$L2811,ClientRates!$A$5:$A$500,0)),0))</f>
        <v/>
      </c>
      <c r="N2811" s="26" t="str">
        <f aca="false">IF($D2811="","",IFERROR(INDEX(ClientRates!$E$5:$E$500,MATCH($B2811&amp;"|"&amp;$L2811,ClientRates!$A$5:$A$500,0)),0))</f>
        <v/>
      </c>
      <c r="O2811" s="26" t="str">
        <f aca="false">IF($D2811="","",F2811*M2811+G2811*N2811)</f>
        <v/>
      </c>
      <c r="P2811" s="26" t="str">
        <f aca="false">IF(OR($D2811="",$J2811&lt;&gt;"Supplier"),"",IFERROR(INDEX(SupplierRates!$D$5:$D$500,MATCH($K2811&amp;"|"&amp;$L2811,SupplierRates!$A$5:$A$500,0)),0))</f>
        <v/>
      </c>
      <c r="Q2811" s="26" t="str">
        <f aca="false">IF(OR($D2811="",$J2811&lt;&gt;"Supplier"),"",IFERROR(INDEX(SupplierRates!$E$5:$E$500,MATCH($K2811&amp;"|"&amp;$L2811,SupplierRates!$A$5:$A$500,0)),0))</f>
        <v/>
      </c>
      <c r="R2811" s="26" t="n">
        <f aca="false">IF(OR($D2811="",$J2811&lt;&gt;"Supplier"),0,F2811*P2811+G2811*Q2811)</f>
        <v>0</v>
      </c>
      <c r="S2811" s="26" t="n">
        <f aca="false">IF(OR($D2811="",$J2811&lt;&gt;"Own"),0,IFERROR((F2811+G2811*Settings!$B$13)*INDEX(Workers!$V$5:$V$2004,MATCH($D2811,Workers!$A$5:$A$2004,0)),0))</f>
        <v>0</v>
      </c>
      <c r="T2811" s="26" t="str">
        <f aca="false">IF($D2811="","",O2811-R2811-S2811)</f>
        <v/>
      </c>
    </row>
    <row r="2812" customFormat="false" ht="15" hidden="false" customHeight="false" outlineLevel="0" collapsed="false">
      <c r="I2812" s="24" t="str">
        <f aca="false">IF($D2812="","",IFERROR(INDEX(Workers!$B$5:$B$2004,MATCH($D2812,Workers!$A$5:$A$2004,0)),"NOT FOUND"))</f>
        <v/>
      </c>
      <c r="J2812" s="24" t="str">
        <f aca="false">IF($D2812="","",IFERROR(INDEX(Workers!$C$5:$C$2004,MATCH($D2812,Workers!$A$5:$A$2004,0)),""))</f>
        <v/>
      </c>
      <c r="K2812" s="24" t="str">
        <f aca="false">IF($D2812="","",IFERROR(IF(INDEX(Workers!$D$5:$D$2004,MATCH($D2812,Workers!$A$5:$A$2004,0))=0,"",INDEX(Workers!$D$5:$D$2004,MATCH($D2812,Workers!$A$5:$A$2004,0))),""))</f>
        <v/>
      </c>
      <c r="L2812" s="24" t="str">
        <f aca="false">IF($D2812="","",IFERROR(INDEX(Workers!$E$5:$E$2004,MATCH($D2812,Workers!$A$5:$A$2004,0)),""))</f>
        <v/>
      </c>
      <c r="M2812" s="26" t="str">
        <f aca="false">IF($D2812="","",IFERROR(INDEX(ClientRates!$D$5:$D$500,MATCH($B2812&amp;"|"&amp;$L2812,ClientRates!$A$5:$A$500,0)),0))</f>
        <v/>
      </c>
      <c r="N2812" s="26" t="str">
        <f aca="false">IF($D2812="","",IFERROR(INDEX(ClientRates!$E$5:$E$500,MATCH($B2812&amp;"|"&amp;$L2812,ClientRates!$A$5:$A$500,0)),0))</f>
        <v/>
      </c>
      <c r="O2812" s="26" t="str">
        <f aca="false">IF($D2812="","",F2812*M2812+G2812*N2812)</f>
        <v/>
      </c>
      <c r="P2812" s="26" t="str">
        <f aca="false">IF(OR($D2812="",$J2812&lt;&gt;"Supplier"),"",IFERROR(INDEX(SupplierRates!$D$5:$D$500,MATCH($K2812&amp;"|"&amp;$L2812,SupplierRates!$A$5:$A$500,0)),0))</f>
        <v/>
      </c>
      <c r="Q2812" s="26" t="str">
        <f aca="false">IF(OR($D2812="",$J2812&lt;&gt;"Supplier"),"",IFERROR(INDEX(SupplierRates!$E$5:$E$500,MATCH($K2812&amp;"|"&amp;$L2812,SupplierRates!$A$5:$A$500,0)),0))</f>
        <v/>
      </c>
      <c r="R2812" s="26" t="n">
        <f aca="false">IF(OR($D2812="",$J2812&lt;&gt;"Supplier"),0,F2812*P2812+G2812*Q2812)</f>
        <v>0</v>
      </c>
      <c r="S2812" s="26" t="n">
        <f aca="false">IF(OR($D2812="",$J2812&lt;&gt;"Own"),0,IFERROR((F2812+G2812*Settings!$B$13)*INDEX(Workers!$V$5:$V$2004,MATCH($D2812,Workers!$A$5:$A$2004,0)),0))</f>
        <v>0</v>
      </c>
      <c r="T2812" s="26" t="str">
        <f aca="false">IF($D2812="","",O2812-R2812-S2812)</f>
        <v/>
      </c>
    </row>
    <row r="2813" customFormat="false" ht="15" hidden="false" customHeight="false" outlineLevel="0" collapsed="false">
      <c r="I2813" s="24" t="str">
        <f aca="false">IF($D2813="","",IFERROR(INDEX(Workers!$B$5:$B$2004,MATCH($D2813,Workers!$A$5:$A$2004,0)),"NOT FOUND"))</f>
        <v/>
      </c>
      <c r="J2813" s="24" t="str">
        <f aca="false">IF($D2813="","",IFERROR(INDEX(Workers!$C$5:$C$2004,MATCH($D2813,Workers!$A$5:$A$2004,0)),""))</f>
        <v/>
      </c>
      <c r="K2813" s="24" t="str">
        <f aca="false">IF($D2813="","",IFERROR(IF(INDEX(Workers!$D$5:$D$2004,MATCH($D2813,Workers!$A$5:$A$2004,0))=0,"",INDEX(Workers!$D$5:$D$2004,MATCH($D2813,Workers!$A$5:$A$2004,0))),""))</f>
        <v/>
      </c>
      <c r="L2813" s="24" t="str">
        <f aca="false">IF($D2813="","",IFERROR(INDEX(Workers!$E$5:$E$2004,MATCH($D2813,Workers!$A$5:$A$2004,0)),""))</f>
        <v/>
      </c>
      <c r="M2813" s="26" t="str">
        <f aca="false">IF($D2813="","",IFERROR(INDEX(ClientRates!$D$5:$D$500,MATCH($B2813&amp;"|"&amp;$L2813,ClientRates!$A$5:$A$500,0)),0))</f>
        <v/>
      </c>
      <c r="N2813" s="26" t="str">
        <f aca="false">IF($D2813="","",IFERROR(INDEX(ClientRates!$E$5:$E$500,MATCH($B2813&amp;"|"&amp;$L2813,ClientRates!$A$5:$A$500,0)),0))</f>
        <v/>
      </c>
      <c r="O2813" s="26" t="str">
        <f aca="false">IF($D2813="","",F2813*M2813+G2813*N2813)</f>
        <v/>
      </c>
      <c r="P2813" s="26" t="str">
        <f aca="false">IF(OR($D2813="",$J2813&lt;&gt;"Supplier"),"",IFERROR(INDEX(SupplierRates!$D$5:$D$500,MATCH($K2813&amp;"|"&amp;$L2813,SupplierRates!$A$5:$A$500,0)),0))</f>
        <v/>
      </c>
      <c r="Q2813" s="26" t="str">
        <f aca="false">IF(OR($D2813="",$J2813&lt;&gt;"Supplier"),"",IFERROR(INDEX(SupplierRates!$E$5:$E$500,MATCH($K2813&amp;"|"&amp;$L2813,SupplierRates!$A$5:$A$500,0)),0))</f>
        <v/>
      </c>
      <c r="R2813" s="26" t="n">
        <f aca="false">IF(OR($D2813="",$J2813&lt;&gt;"Supplier"),0,F2813*P2813+G2813*Q2813)</f>
        <v>0</v>
      </c>
      <c r="S2813" s="26" t="n">
        <f aca="false">IF(OR($D2813="",$J2813&lt;&gt;"Own"),0,IFERROR((F2813+G2813*Settings!$B$13)*INDEX(Workers!$V$5:$V$2004,MATCH($D2813,Workers!$A$5:$A$2004,0)),0))</f>
        <v>0</v>
      </c>
      <c r="T2813" s="26" t="str">
        <f aca="false">IF($D2813="","",O2813-R2813-S2813)</f>
        <v/>
      </c>
    </row>
    <row r="2814" customFormat="false" ht="15" hidden="false" customHeight="false" outlineLevel="0" collapsed="false">
      <c r="I2814" s="24" t="str">
        <f aca="false">IF($D2814="","",IFERROR(INDEX(Workers!$B$5:$B$2004,MATCH($D2814,Workers!$A$5:$A$2004,0)),"NOT FOUND"))</f>
        <v/>
      </c>
      <c r="J2814" s="24" t="str">
        <f aca="false">IF($D2814="","",IFERROR(INDEX(Workers!$C$5:$C$2004,MATCH($D2814,Workers!$A$5:$A$2004,0)),""))</f>
        <v/>
      </c>
      <c r="K2814" s="24" t="str">
        <f aca="false">IF($D2814="","",IFERROR(IF(INDEX(Workers!$D$5:$D$2004,MATCH($D2814,Workers!$A$5:$A$2004,0))=0,"",INDEX(Workers!$D$5:$D$2004,MATCH($D2814,Workers!$A$5:$A$2004,0))),""))</f>
        <v/>
      </c>
      <c r="L2814" s="24" t="str">
        <f aca="false">IF($D2814="","",IFERROR(INDEX(Workers!$E$5:$E$2004,MATCH($D2814,Workers!$A$5:$A$2004,0)),""))</f>
        <v/>
      </c>
      <c r="M2814" s="26" t="str">
        <f aca="false">IF($D2814="","",IFERROR(INDEX(ClientRates!$D$5:$D$500,MATCH($B2814&amp;"|"&amp;$L2814,ClientRates!$A$5:$A$500,0)),0))</f>
        <v/>
      </c>
      <c r="N2814" s="26" t="str">
        <f aca="false">IF($D2814="","",IFERROR(INDEX(ClientRates!$E$5:$E$500,MATCH($B2814&amp;"|"&amp;$L2814,ClientRates!$A$5:$A$500,0)),0))</f>
        <v/>
      </c>
      <c r="O2814" s="26" t="str">
        <f aca="false">IF($D2814="","",F2814*M2814+G2814*N2814)</f>
        <v/>
      </c>
      <c r="P2814" s="26" t="str">
        <f aca="false">IF(OR($D2814="",$J2814&lt;&gt;"Supplier"),"",IFERROR(INDEX(SupplierRates!$D$5:$D$500,MATCH($K2814&amp;"|"&amp;$L2814,SupplierRates!$A$5:$A$500,0)),0))</f>
        <v/>
      </c>
      <c r="Q2814" s="26" t="str">
        <f aca="false">IF(OR($D2814="",$J2814&lt;&gt;"Supplier"),"",IFERROR(INDEX(SupplierRates!$E$5:$E$500,MATCH($K2814&amp;"|"&amp;$L2814,SupplierRates!$A$5:$A$500,0)),0))</f>
        <v/>
      </c>
      <c r="R2814" s="26" t="n">
        <f aca="false">IF(OR($D2814="",$J2814&lt;&gt;"Supplier"),0,F2814*P2814+G2814*Q2814)</f>
        <v>0</v>
      </c>
      <c r="S2814" s="26" t="n">
        <f aca="false">IF(OR($D2814="",$J2814&lt;&gt;"Own"),0,IFERROR((F2814+G2814*Settings!$B$13)*INDEX(Workers!$V$5:$V$2004,MATCH($D2814,Workers!$A$5:$A$2004,0)),0))</f>
        <v>0</v>
      </c>
      <c r="T2814" s="26" t="str">
        <f aca="false">IF($D2814="","",O2814-R2814-S2814)</f>
        <v/>
      </c>
    </row>
    <row r="2815" customFormat="false" ht="15" hidden="false" customHeight="false" outlineLevel="0" collapsed="false">
      <c r="I2815" s="24" t="str">
        <f aca="false">IF($D2815="","",IFERROR(INDEX(Workers!$B$5:$B$2004,MATCH($D2815,Workers!$A$5:$A$2004,0)),"NOT FOUND"))</f>
        <v/>
      </c>
      <c r="J2815" s="24" t="str">
        <f aca="false">IF($D2815="","",IFERROR(INDEX(Workers!$C$5:$C$2004,MATCH($D2815,Workers!$A$5:$A$2004,0)),""))</f>
        <v/>
      </c>
      <c r="K2815" s="24" t="str">
        <f aca="false">IF($D2815="","",IFERROR(IF(INDEX(Workers!$D$5:$D$2004,MATCH($D2815,Workers!$A$5:$A$2004,0))=0,"",INDEX(Workers!$D$5:$D$2004,MATCH($D2815,Workers!$A$5:$A$2004,0))),""))</f>
        <v/>
      </c>
      <c r="L2815" s="24" t="str">
        <f aca="false">IF($D2815="","",IFERROR(INDEX(Workers!$E$5:$E$2004,MATCH($D2815,Workers!$A$5:$A$2004,0)),""))</f>
        <v/>
      </c>
      <c r="M2815" s="26" t="str">
        <f aca="false">IF($D2815="","",IFERROR(INDEX(ClientRates!$D$5:$D$500,MATCH($B2815&amp;"|"&amp;$L2815,ClientRates!$A$5:$A$500,0)),0))</f>
        <v/>
      </c>
      <c r="N2815" s="26" t="str">
        <f aca="false">IF($D2815="","",IFERROR(INDEX(ClientRates!$E$5:$E$500,MATCH($B2815&amp;"|"&amp;$L2815,ClientRates!$A$5:$A$500,0)),0))</f>
        <v/>
      </c>
      <c r="O2815" s="26" t="str">
        <f aca="false">IF($D2815="","",F2815*M2815+G2815*N2815)</f>
        <v/>
      </c>
      <c r="P2815" s="26" t="str">
        <f aca="false">IF(OR($D2815="",$J2815&lt;&gt;"Supplier"),"",IFERROR(INDEX(SupplierRates!$D$5:$D$500,MATCH($K2815&amp;"|"&amp;$L2815,SupplierRates!$A$5:$A$500,0)),0))</f>
        <v/>
      </c>
      <c r="Q2815" s="26" t="str">
        <f aca="false">IF(OR($D2815="",$J2815&lt;&gt;"Supplier"),"",IFERROR(INDEX(SupplierRates!$E$5:$E$500,MATCH($K2815&amp;"|"&amp;$L2815,SupplierRates!$A$5:$A$500,0)),0))</f>
        <v/>
      </c>
      <c r="R2815" s="26" t="n">
        <f aca="false">IF(OR($D2815="",$J2815&lt;&gt;"Supplier"),0,F2815*P2815+G2815*Q2815)</f>
        <v>0</v>
      </c>
      <c r="S2815" s="26" t="n">
        <f aca="false">IF(OR($D2815="",$J2815&lt;&gt;"Own"),0,IFERROR((F2815+G2815*Settings!$B$13)*INDEX(Workers!$V$5:$V$2004,MATCH($D2815,Workers!$A$5:$A$2004,0)),0))</f>
        <v>0</v>
      </c>
      <c r="T2815" s="26" t="str">
        <f aca="false">IF($D2815="","",O2815-R2815-S2815)</f>
        <v/>
      </c>
    </row>
    <row r="2816" customFormat="false" ht="15" hidden="false" customHeight="false" outlineLevel="0" collapsed="false">
      <c r="I2816" s="24" t="str">
        <f aca="false">IF($D2816="","",IFERROR(INDEX(Workers!$B$5:$B$2004,MATCH($D2816,Workers!$A$5:$A$2004,0)),"NOT FOUND"))</f>
        <v/>
      </c>
      <c r="J2816" s="24" t="str">
        <f aca="false">IF($D2816="","",IFERROR(INDEX(Workers!$C$5:$C$2004,MATCH($D2816,Workers!$A$5:$A$2004,0)),""))</f>
        <v/>
      </c>
      <c r="K2816" s="24" t="str">
        <f aca="false">IF($D2816="","",IFERROR(IF(INDEX(Workers!$D$5:$D$2004,MATCH($D2816,Workers!$A$5:$A$2004,0))=0,"",INDEX(Workers!$D$5:$D$2004,MATCH($D2816,Workers!$A$5:$A$2004,0))),""))</f>
        <v/>
      </c>
      <c r="L2816" s="24" t="str">
        <f aca="false">IF($D2816="","",IFERROR(INDEX(Workers!$E$5:$E$2004,MATCH($D2816,Workers!$A$5:$A$2004,0)),""))</f>
        <v/>
      </c>
      <c r="M2816" s="26" t="str">
        <f aca="false">IF($D2816="","",IFERROR(INDEX(ClientRates!$D$5:$D$500,MATCH($B2816&amp;"|"&amp;$L2816,ClientRates!$A$5:$A$500,0)),0))</f>
        <v/>
      </c>
      <c r="N2816" s="26" t="str">
        <f aca="false">IF($D2816="","",IFERROR(INDEX(ClientRates!$E$5:$E$500,MATCH($B2816&amp;"|"&amp;$L2816,ClientRates!$A$5:$A$500,0)),0))</f>
        <v/>
      </c>
      <c r="O2816" s="26" t="str">
        <f aca="false">IF($D2816="","",F2816*M2816+G2816*N2816)</f>
        <v/>
      </c>
      <c r="P2816" s="26" t="str">
        <f aca="false">IF(OR($D2816="",$J2816&lt;&gt;"Supplier"),"",IFERROR(INDEX(SupplierRates!$D$5:$D$500,MATCH($K2816&amp;"|"&amp;$L2816,SupplierRates!$A$5:$A$500,0)),0))</f>
        <v/>
      </c>
      <c r="Q2816" s="26" t="str">
        <f aca="false">IF(OR($D2816="",$J2816&lt;&gt;"Supplier"),"",IFERROR(INDEX(SupplierRates!$E$5:$E$500,MATCH($K2816&amp;"|"&amp;$L2816,SupplierRates!$A$5:$A$500,0)),0))</f>
        <v/>
      </c>
      <c r="R2816" s="26" t="n">
        <f aca="false">IF(OR($D2816="",$J2816&lt;&gt;"Supplier"),0,F2816*P2816+G2816*Q2816)</f>
        <v>0</v>
      </c>
      <c r="S2816" s="26" t="n">
        <f aca="false">IF(OR($D2816="",$J2816&lt;&gt;"Own"),0,IFERROR((F2816+G2816*Settings!$B$13)*INDEX(Workers!$V$5:$V$2004,MATCH($D2816,Workers!$A$5:$A$2004,0)),0))</f>
        <v>0</v>
      </c>
      <c r="T2816" s="26" t="str">
        <f aca="false">IF($D2816="","",O2816-R2816-S2816)</f>
        <v/>
      </c>
    </row>
    <row r="2817" customFormat="false" ht="15" hidden="false" customHeight="false" outlineLevel="0" collapsed="false">
      <c r="I2817" s="24" t="str">
        <f aca="false">IF($D2817="","",IFERROR(INDEX(Workers!$B$5:$B$2004,MATCH($D2817,Workers!$A$5:$A$2004,0)),"NOT FOUND"))</f>
        <v/>
      </c>
      <c r="J2817" s="24" t="str">
        <f aca="false">IF($D2817="","",IFERROR(INDEX(Workers!$C$5:$C$2004,MATCH($D2817,Workers!$A$5:$A$2004,0)),""))</f>
        <v/>
      </c>
      <c r="K2817" s="24" t="str">
        <f aca="false">IF($D2817="","",IFERROR(IF(INDEX(Workers!$D$5:$D$2004,MATCH($D2817,Workers!$A$5:$A$2004,0))=0,"",INDEX(Workers!$D$5:$D$2004,MATCH($D2817,Workers!$A$5:$A$2004,0))),""))</f>
        <v/>
      </c>
      <c r="L2817" s="24" t="str">
        <f aca="false">IF($D2817="","",IFERROR(INDEX(Workers!$E$5:$E$2004,MATCH($D2817,Workers!$A$5:$A$2004,0)),""))</f>
        <v/>
      </c>
      <c r="M2817" s="26" t="str">
        <f aca="false">IF($D2817="","",IFERROR(INDEX(ClientRates!$D$5:$D$500,MATCH($B2817&amp;"|"&amp;$L2817,ClientRates!$A$5:$A$500,0)),0))</f>
        <v/>
      </c>
      <c r="N2817" s="26" t="str">
        <f aca="false">IF($D2817="","",IFERROR(INDEX(ClientRates!$E$5:$E$500,MATCH($B2817&amp;"|"&amp;$L2817,ClientRates!$A$5:$A$500,0)),0))</f>
        <v/>
      </c>
      <c r="O2817" s="26" t="str">
        <f aca="false">IF($D2817="","",F2817*M2817+G2817*N2817)</f>
        <v/>
      </c>
      <c r="P2817" s="26" t="str">
        <f aca="false">IF(OR($D2817="",$J2817&lt;&gt;"Supplier"),"",IFERROR(INDEX(SupplierRates!$D$5:$D$500,MATCH($K2817&amp;"|"&amp;$L2817,SupplierRates!$A$5:$A$500,0)),0))</f>
        <v/>
      </c>
      <c r="Q2817" s="26" t="str">
        <f aca="false">IF(OR($D2817="",$J2817&lt;&gt;"Supplier"),"",IFERROR(INDEX(SupplierRates!$E$5:$E$500,MATCH($K2817&amp;"|"&amp;$L2817,SupplierRates!$A$5:$A$500,0)),0))</f>
        <v/>
      </c>
      <c r="R2817" s="26" t="n">
        <f aca="false">IF(OR($D2817="",$J2817&lt;&gt;"Supplier"),0,F2817*P2817+G2817*Q2817)</f>
        <v>0</v>
      </c>
      <c r="S2817" s="26" t="n">
        <f aca="false">IF(OR($D2817="",$J2817&lt;&gt;"Own"),0,IFERROR((F2817+G2817*Settings!$B$13)*INDEX(Workers!$V$5:$V$2004,MATCH($D2817,Workers!$A$5:$A$2004,0)),0))</f>
        <v>0</v>
      </c>
      <c r="T2817" s="26" t="str">
        <f aca="false">IF($D2817="","",O2817-R2817-S2817)</f>
        <v/>
      </c>
    </row>
    <row r="2818" customFormat="false" ht="15" hidden="false" customHeight="false" outlineLevel="0" collapsed="false">
      <c r="I2818" s="24" t="str">
        <f aca="false">IF($D2818="","",IFERROR(INDEX(Workers!$B$5:$B$2004,MATCH($D2818,Workers!$A$5:$A$2004,0)),"NOT FOUND"))</f>
        <v/>
      </c>
      <c r="J2818" s="24" t="str">
        <f aca="false">IF($D2818="","",IFERROR(INDEX(Workers!$C$5:$C$2004,MATCH($D2818,Workers!$A$5:$A$2004,0)),""))</f>
        <v/>
      </c>
      <c r="K2818" s="24" t="str">
        <f aca="false">IF($D2818="","",IFERROR(IF(INDEX(Workers!$D$5:$D$2004,MATCH($D2818,Workers!$A$5:$A$2004,0))=0,"",INDEX(Workers!$D$5:$D$2004,MATCH($D2818,Workers!$A$5:$A$2004,0))),""))</f>
        <v/>
      </c>
      <c r="L2818" s="24" t="str">
        <f aca="false">IF($D2818="","",IFERROR(INDEX(Workers!$E$5:$E$2004,MATCH($D2818,Workers!$A$5:$A$2004,0)),""))</f>
        <v/>
      </c>
      <c r="M2818" s="26" t="str">
        <f aca="false">IF($D2818="","",IFERROR(INDEX(ClientRates!$D$5:$D$500,MATCH($B2818&amp;"|"&amp;$L2818,ClientRates!$A$5:$A$500,0)),0))</f>
        <v/>
      </c>
      <c r="N2818" s="26" t="str">
        <f aca="false">IF($D2818="","",IFERROR(INDEX(ClientRates!$E$5:$E$500,MATCH($B2818&amp;"|"&amp;$L2818,ClientRates!$A$5:$A$500,0)),0))</f>
        <v/>
      </c>
      <c r="O2818" s="26" t="str">
        <f aca="false">IF($D2818="","",F2818*M2818+G2818*N2818)</f>
        <v/>
      </c>
      <c r="P2818" s="26" t="str">
        <f aca="false">IF(OR($D2818="",$J2818&lt;&gt;"Supplier"),"",IFERROR(INDEX(SupplierRates!$D$5:$D$500,MATCH($K2818&amp;"|"&amp;$L2818,SupplierRates!$A$5:$A$500,0)),0))</f>
        <v/>
      </c>
      <c r="Q2818" s="26" t="str">
        <f aca="false">IF(OR($D2818="",$J2818&lt;&gt;"Supplier"),"",IFERROR(INDEX(SupplierRates!$E$5:$E$500,MATCH($K2818&amp;"|"&amp;$L2818,SupplierRates!$A$5:$A$500,0)),0))</f>
        <v/>
      </c>
      <c r="R2818" s="26" t="n">
        <f aca="false">IF(OR($D2818="",$J2818&lt;&gt;"Supplier"),0,F2818*P2818+G2818*Q2818)</f>
        <v>0</v>
      </c>
      <c r="S2818" s="26" t="n">
        <f aca="false">IF(OR($D2818="",$J2818&lt;&gt;"Own"),0,IFERROR((F2818+G2818*Settings!$B$13)*INDEX(Workers!$V$5:$V$2004,MATCH($D2818,Workers!$A$5:$A$2004,0)),0))</f>
        <v>0</v>
      </c>
      <c r="T2818" s="26" t="str">
        <f aca="false">IF($D2818="","",O2818-R2818-S2818)</f>
        <v/>
      </c>
    </row>
    <row r="2819" customFormat="false" ht="15" hidden="false" customHeight="false" outlineLevel="0" collapsed="false">
      <c r="I2819" s="24" t="str">
        <f aca="false">IF($D2819="","",IFERROR(INDEX(Workers!$B$5:$B$2004,MATCH($D2819,Workers!$A$5:$A$2004,0)),"NOT FOUND"))</f>
        <v/>
      </c>
      <c r="J2819" s="24" t="str">
        <f aca="false">IF($D2819="","",IFERROR(INDEX(Workers!$C$5:$C$2004,MATCH($D2819,Workers!$A$5:$A$2004,0)),""))</f>
        <v/>
      </c>
      <c r="K2819" s="24" t="str">
        <f aca="false">IF($D2819="","",IFERROR(IF(INDEX(Workers!$D$5:$D$2004,MATCH($D2819,Workers!$A$5:$A$2004,0))=0,"",INDEX(Workers!$D$5:$D$2004,MATCH($D2819,Workers!$A$5:$A$2004,0))),""))</f>
        <v/>
      </c>
      <c r="L2819" s="24" t="str">
        <f aca="false">IF($D2819="","",IFERROR(INDEX(Workers!$E$5:$E$2004,MATCH($D2819,Workers!$A$5:$A$2004,0)),""))</f>
        <v/>
      </c>
      <c r="M2819" s="26" t="str">
        <f aca="false">IF($D2819="","",IFERROR(INDEX(ClientRates!$D$5:$D$500,MATCH($B2819&amp;"|"&amp;$L2819,ClientRates!$A$5:$A$500,0)),0))</f>
        <v/>
      </c>
      <c r="N2819" s="26" t="str">
        <f aca="false">IF($D2819="","",IFERROR(INDEX(ClientRates!$E$5:$E$500,MATCH($B2819&amp;"|"&amp;$L2819,ClientRates!$A$5:$A$500,0)),0))</f>
        <v/>
      </c>
      <c r="O2819" s="26" t="str">
        <f aca="false">IF($D2819="","",F2819*M2819+G2819*N2819)</f>
        <v/>
      </c>
      <c r="P2819" s="26" t="str">
        <f aca="false">IF(OR($D2819="",$J2819&lt;&gt;"Supplier"),"",IFERROR(INDEX(SupplierRates!$D$5:$D$500,MATCH($K2819&amp;"|"&amp;$L2819,SupplierRates!$A$5:$A$500,0)),0))</f>
        <v/>
      </c>
      <c r="Q2819" s="26" t="str">
        <f aca="false">IF(OR($D2819="",$J2819&lt;&gt;"Supplier"),"",IFERROR(INDEX(SupplierRates!$E$5:$E$500,MATCH($K2819&amp;"|"&amp;$L2819,SupplierRates!$A$5:$A$500,0)),0))</f>
        <v/>
      </c>
      <c r="R2819" s="26" t="n">
        <f aca="false">IF(OR($D2819="",$J2819&lt;&gt;"Supplier"),0,F2819*P2819+G2819*Q2819)</f>
        <v>0</v>
      </c>
      <c r="S2819" s="26" t="n">
        <f aca="false">IF(OR($D2819="",$J2819&lt;&gt;"Own"),0,IFERROR((F2819+G2819*Settings!$B$13)*INDEX(Workers!$V$5:$V$2004,MATCH($D2819,Workers!$A$5:$A$2004,0)),0))</f>
        <v>0</v>
      </c>
      <c r="T2819" s="26" t="str">
        <f aca="false">IF($D2819="","",O2819-R2819-S2819)</f>
        <v/>
      </c>
    </row>
    <row r="2820" customFormat="false" ht="15" hidden="false" customHeight="false" outlineLevel="0" collapsed="false">
      <c r="I2820" s="24" t="str">
        <f aca="false">IF($D2820="","",IFERROR(INDEX(Workers!$B$5:$B$2004,MATCH($D2820,Workers!$A$5:$A$2004,0)),"NOT FOUND"))</f>
        <v/>
      </c>
      <c r="J2820" s="24" t="str">
        <f aca="false">IF($D2820="","",IFERROR(INDEX(Workers!$C$5:$C$2004,MATCH($D2820,Workers!$A$5:$A$2004,0)),""))</f>
        <v/>
      </c>
      <c r="K2820" s="24" t="str">
        <f aca="false">IF($D2820="","",IFERROR(IF(INDEX(Workers!$D$5:$D$2004,MATCH($D2820,Workers!$A$5:$A$2004,0))=0,"",INDEX(Workers!$D$5:$D$2004,MATCH($D2820,Workers!$A$5:$A$2004,0))),""))</f>
        <v/>
      </c>
      <c r="L2820" s="24" t="str">
        <f aca="false">IF($D2820="","",IFERROR(INDEX(Workers!$E$5:$E$2004,MATCH($D2820,Workers!$A$5:$A$2004,0)),""))</f>
        <v/>
      </c>
      <c r="M2820" s="26" t="str">
        <f aca="false">IF($D2820="","",IFERROR(INDEX(ClientRates!$D$5:$D$500,MATCH($B2820&amp;"|"&amp;$L2820,ClientRates!$A$5:$A$500,0)),0))</f>
        <v/>
      </c>
      <c r="N2820" s="26" t="str">
        <f aca="false">IF($D2820="","",IFERROR(INDEX(ClientRates!$E$5:$E$500,MATCH($B2820&amp;"|"&amp;$L2820,ClientRates!$A$5:$A$500,0)),0))</f>
        <v/>
      </c>
      <c r="O2820" s="26" t="str">
        <f aca="false">IF($D2820="","",F2820*M2820+G2820*N2820)</f>
        <v/>
      </c>
      <c r="P2820" s="26" t="str">
        <f aca="false">IF(OR($D2820="",$J2820&lt;&gt;"Supplier"),"",IFERROR(INDEX(SupplierRates!$D$5:$D$500,MATCH($K2820&amp;"|"&amp;$L2820,SupplierRates!$A$5:$A$500,0)),0))</f>
        <v/>
      </c>
      <c r="Q2820" s="26" t="str">
        <f aca="false">IF(OR($D2820="",$J2820&lt;&gt;"Supplier"),"",IFERROR(INDEX(SupplierRates!$E$5:$E$500,MATCH($K2820&amp;"|"&amp;$L2820,SupplierRates!$A$5:$A$500,0)),0))</f>
        <v/>
      </c>
      <c r="R2820" s="26" t="n">
        <f aca="false">IF(OR($D2820="",$J2820&lt;&gt;"Supplier"),0,F2820*P2820+G2820*Q2820)</f>
        <v>0</v>
      </c>
      <c r="S2820" s="26" t="n">
        <f aca="false">IF(OR($D2820="",$J2820&lt;&gt;"Own"),0,IFERROR((F2820+G2820*Settings!$B$13)*INDEX(Workers!$V$5:$V$2004,MATCH($D2820,Workers!$A$5:$A$2004,0)),0))</f>
        <v>0</v>
      </c>
      <c r="T2820" s="26" t="str">
        <f aca="false">IF($D2820="","",O2820-R2820-S2820)</f>
        <v/>
      </c>
    </row>
    <row r="2821" customFormat="false" ht="15" hidden="false" customHeight="false" outlineLevel="0" collapsed="false">
      <c r="I2821" s="24" t="str">
        <f aca="false">IF($D2821="","",IFERROR(INDEX(Workers!$B$5:$B$2004,MATCH($D2821,Workers!$A$5:$A$2004,0)),"NOT FOUND"))</f>
        <v/>
      </c>
      <c r="J2821" s="24" t="str">
        <f aca="false">IF($D2821="","",IFERROR(INDEX(Workers!$C$5:$C$2004,MATCH($D2821,Workers!$A$5:$A$2004,0)),""))</f>
        <v/>
      </c>
      <c r="K2821" s="24" t="str">
        <f aca="false">IF($D2821="","",IFERROR(IF(INDEX(Workers!$D$5:$D$2004,MATCH($D2821,Workers!$A$5:$A$2004,0))=0,"",INDEX(Workers!$D$5:$D$2004,MATCH($D2821,Workers!$A$5:$A$2004,0))),""))</f>
        <v/>
      </c>
      <c r="L2821" s="24" t="str">
        <f aca="false">IF($D2821="","",IFERROR(INDEX(Workers!$E$5:$E$2004,MATCH($D2821,Workers!$A$5:$A$2004,0)),""))</f>
        <v/>
      </c>
      <c r="M2821" s="26" t="str">
        <f aca="false">IF($D2821="","",IFERROR(INDEX(ClientRates!$D$5:$D$500,MATCH($B2821&amp;"|"&amp;$L2821,ClientRates!$A$5:$A$500,0)),0))</f>
        <v/>
      </c>
      <c r="N2821" s="26" t="str">
        <f aca="false">IF($D2821="","",IFERROR(INDEX(ClientRates!$E$5:$E$500,MATCH($B2821&amp;"|"&amp;$L2821,ClientRates!$A$5:$A$500,0)),0))</f>
        <v/>
      </c>
      <c r="O2821" s="26" t="str">
        <f aca="false">IF($D2821="","",F2821*M2821+G2821*N2821)</f>
        <v/>
      </c>
      <c r="P2821" s="26" t="str">
        <f aca="false">IF(OR($D2821="",$J2821&lt;&gt;"Supplier"),"",IFERROR(INDEX(SupplierRates!$D$5:$D$500,MATCH($K2821&amp;"|"&amp;$L2821,SupplierRates!$A$5:$A$500,0)),0))</f>
        <v/>
      </c>
      <c r="Q2821" s="26" t="str">
        <f aca="false">IF(OR($D2821="",$J2821&lt;&gt;"Supplier"),"",IFERROR(INDEX(SupplierRates!$E$5:$E$500,MATCH($K2821&amp;"|"&amp;$L2821,SupplierRates!$A$5:$A$500,0)),0))</f>
        <v/>
      </c>
      <c r="R2821" s="26" t="n">
        <f aca="false">IF(OR($D2821="",$J2821&lt;&gt;"Supplier"),0,F2821*P2821+G2821*Q2821)</f>
        <v>0</v>
      </c>
      <c r="S2821" s="26" t="n">
        <f aca="false">IF(OR($D2821="",$J2821&lt;&gt;"Own"),0,IFERROR((F2821+G2821*Settings!$B$13)*INDEX(Workers!$V$5:$V$2004,MATCH($D2821,Workers!$A$5:$A$2004,0)),0))</f>
        <v>0</v>
      </c>
      <c r="T2821" s="26" t="str">
        <f aca="false">IF($D2821="","",O2821-R2821-S2821)</f>
        <v/>
      </c>
    </row>
    <row r="2822" customFormat="false" ht="15" hidden="false" customHeight="false" outlineLevel="0" collapsed="false">
      <c r="I2822" s="24" t="str">
        <f aca="false">IF($D2822="","",IFERROR(INDEX(Workers!$B$5:$B$2004,MATCH($D2822,Workers!$A$5:$A$2004,0)),"NOT FOUND"))</f>
        <v/>
      </c>
      <c r="J2822" s="24" t="str">
        <f aca="false">IF($D2822="","",IFERROR(INDEX(Workers!$C$5:$C$2004,MATCH($D2822,Workers!$A$5:$A$2004,0)),""))</f>
        <v/>
      </c>
      <c r="K2822" s="24" t="str">
        <f aca="false">IF($D2822="","",IFERROR(IF(INDEX(Workers!$D$5:$D$2004,MATCH($D2822,Workers!$A$5:$A$2004,0))=0,"",INDEX(Workers!$D$5:$D$2004,MATCH($D2822,Workers!$A$5:$A$2004,0))),""))</f>
        <v/>
      </c>
      <c r="L2822" s="24" t="str">
        <f aca="false">IF($D2822="","",IFERROR(INDEX(Workers!$E$5:$E$2004,MATCH($D2822,Workers!$A$5:$A$2004,0)),""))</f>
        <v/>
      </c>
      <c r="M2822" s="26" t="str">
        <f aca="false">IF($D2822="","",IFERROR(INDEX(ClientRates!$D$5:$D$500,MATCH($B2822&amp;"|"&amp;$L2822,ClientRates!$A$5:$A$500,0)),0))</f>
        <v/>
      </c>
      <c r="N2822" s="26" t="str">
        <f aca="false">IF($D2822="","",IFERROR(INDEX(ClientRates!$E$5:$E$500,MATCH($B2822&amp;"|"&amp;$L2822,ClientRates!$A$5:$A$500,0)),0))</f>
        <v/>
      </c>
      <c r="O2822" s="26" t="str">
        <f aca="false">IF($D2822="","",F2822*M2822+G2822*N2822)</f>
        <v/>
      </c>
      <c r="P2822" s="26" t="str">
        <f aca="false">IF(OR($D2822="",$J2822&lt;&gt;"Supplier"),"",IFERROR(INDEX(SupplierRates!$D$5:$D$500,MATCH($K2822&amp;"|"&amp;$L2822,SupplierRates!$A$5:$A$500,0)),0))</f>
        <v/>
      </c>
      <c r="Q2822" s="26" t="str">
        <f aca="false">IF(OR($D2822="",$J2822&lt;&gt;"Supplier"),"",IFERROR(INDEX(SupplierRates!$E$5:$E$500,MATCH($K2822&amp;"|"&amp;$L2822,SupplierRates!$A$5:$A$500,0)),0))</f>
        <v/>
      </c>
      <c r="R2822" s="26" t="n">
        <f aca="false">IF(OR($D2822="",$J2822&lt;&gt;"Supplier"),0,F2822*P2822+G2822*Q2822)</f>
        <v>0</v>
      </c>
      <c r="S2822" s="26" t="n">
        <f aca="false">IF(OR($D2822="",$J2822&lt;&gt;"Own"),0,IFERROR((F2822+G2822*Settings!$B$13)*INDEX(Workers!$V$5:$V$2004,MATCH($D2822,Workers!$A$5:$A$2004,0)),0))</f>
        <v>0</v>
      </c>
      <c r="T2822" s="26" t="str">
        <f aca="false">IF($D2822="","",O2822-R2822-S2822)</f>
        <v/>
      </c>
    </row>
    <row r="2823" customFormat="false" ht="15" hidden="false" customHeight="false" outlineLevel="0" collapsed="false">
      <c r="I2823" s="24" t="str">
        <f aca="false">IF($D2823="","",IFERROR(INDEX(Workers!$B$5:$B$2004,MATCH($D2823,Workers!$A$5:$A$2004,0)),"NOT FOUND"))</f>
        <v/>
      </c>
      <c r="J2823" s="24" t="str">
        <f aca="false">IF($D2823="","",IFERROR(INDEX(Workers!$C$5:$C$2004,MATCH($D2823,Workers!$A$5:$A$2004,0)),""))</f>
        <v/>
      </c>
      <c r="K2823" s="24" t="str">
        <f aca="false">IF($D2823="","",IFERROR(IF(INDEX(Workers!$D$5:$D$2004,MATCH($D2823,Workers!$A$5:$A$2004,0))=0,"",INDEX(Workers!$D$5:$D$2004,MATCH($D2823,Workers!$A$5:$A$2004,0))),""))</f>
        <v/>
      </c>
      <c r="L2823" s="24" t="str">
        <f aca="false">IF($D2823="","",IFERROR(INDEX(Workers!$E$5:$E$2004,MATCH($D2823,Workers!$A$5:$A$2004,0)),""))</f>
        <v/>
      </c>
      <c r="M2823" s="26" t="str">
        <f aca="false">IF($D2823="","",IFERROR(INDEX(ClientRates!$D$5:$D$500,MATCH($B2823&amp;"|"&amp;$L2823,ClientRates!$A$5:$A$500,0)),0))</f>
        <v/>
      </c>
      <c r="N2823" s="26" t="str">
        <f aca="false">IF($D2823="","",IFERROR(INDEX(ClientRates!$E$5:$E$500,MATCH($B2823&amp;"|"&amp;$L2823,ClientRates!$A$5:$A$500,0)),0))</f>
        <v/>
      </c>
      <c r="O2823" s="26" t="str">
        <f aca="false">IF($D2823="","",F2823*M2823+G2823*N2823)</f>
        <v/>
      </c>
      <c r="P2823" s="26" t="str">
        <f aca="false">IF(OR($D2823="",$J2823&lt;&gt;"Supplier"),"",IFERROR(INDEX(SupplierRates!$D$5:$D$500,MATCH($K2823&amp;"|"&amp;$L2823,SupplierRates!$A$5:$A$500,0)),0))</f>
        <v/>
      </c>
      <c r="Q2823" s="26" t="str">
        <f aca="false">IF(OR($D2823="",$J2823&lt;&gt;"Supplier"),"",IFERROR(INDEX(SupplierRates!$E$5:$E$500,MATCH($K2823&amp;"|"&amp;$L2823,SupplierRates!$A$5:$A$500,0)),0))</f>
        <v/>
      </c>
      <c r="R2823" s="26" t="n">
        <f aca="false">IF(OR($D2823="",$J2823&lt;&gt;"Supplier"),0,F2823*P2823+G2823*Q2823)</f>
        <v>0</v>
      </c>
      <c r="S2823" s="26" t="n">
        <f aca="false">IF(OR($D2823="",$J2823&lt;&gt;"Own"),0,IFERROR((F2823+G2823*Settings!$B$13)*INDEX(Workers!$V$5:$V$2004,MATCH($D2823,Workers!$A$5:$A$2004,0)),0))</f>
        <v>0</v>
      </c>
      <c r="T2823" s="26" t="str">
        <f aca="false">IF($D2823="","",O2823-R2823-S2823)</f>
        <v/>
      </c>
    </row>
    <row r="2824" customFormat="false" ht="15" hidden="false" customHeight="false" outlineLevel="0" collapsed="false">
      <c r="I2824" s="24" t="str">
        <f aca="false">IF($D2824="","",IFERROR(INDEX(Workers!$B$5:$B$2004,MATCH($D2824,Workers!$A$5:$A$2004,0)),"NOT FOUND"))</f>
        <v/>
      </c>
      <c r="J2824" s="24" t="str">
        <f aca="false">IF($D2824="","",IFERROR(INDEX(Workers!$C$5:$C$2004,MATCH($D2824,Workers!$A$5:$A$2004,0)),""))</f>
        <v/>
      </c>
      <c r="K2824" s="24" t="str">
        <f aca="false">IF($D2824="","",IFERROR(IF(INDEX(Workers!$D$5:$D$2004,MATCH($D2824,Workers!$A$5:$A$2004,0))=0,"",INDEX(Workers!$D$5:$D$2004,MATCH($D2824,Workers!$A$5:$A$2004,0))),""))</f>
        <v/>
      </c>
      <c r="L2824" s="24" t="str">
        <f aca="false">IF($D2824="","",IFERROR(INDEX(Workers!$E$5:$E$2004,MATCH($D2824,Workers!$A$5:$A$2004,0)),""))</f>
        <v/>
      </c>
      <c r="M2824" s="26" t="str">
        <f aca="false">IF($D2824="","",IFERROR(INDEX(ClientRates!$D$5:$D$500,MATCH($B2824&amp;"|"&amp;$L2824,ClientRates!$A$5:$A$500,0)),0))</f>
        <v/>
      </c>
      <c r="N2824" s="26" t="str">
        <f aca="false">IF($D2824="","",IFERROR(INDEX(ClientRates!$E$5:$E$500,MATCH($B2824&amp;"|"&amp;$L2824,ClientRates!$A$5:$A$500,0)),0))</f>
        <v/>
      </c>
      <c r="O2824" s="26" t="str">
        <f aca="false">IF($D2824="","",F2824*M2824+G2824*N2824)</f>
        <v/>
      </c>
      <c r="P2824" s="26" t="str">
        <f aca="false">IF(OR($D2824="",$J2824&lt;&gt;"Supplier"),"",IFERROR(INDEX(SupplierRates!$D$5:$D$500,MATCH($K2824&amp;"|"&amp;$L2824,SupplierRates!$A$5:$A$500,0)),0))</f>
        <v/>
      </c>
      <c r="Q2824" s="26" t="str">
        <f aca="false">IF(OR($D2824="",$J2824&lt;&gt;"Supplier"),"",IFERROR(INDEX(SupplierRates!$E$5:$E$500,MATCH($K2824&amp;"|"&amp;$L2824,SupplierRates!$A$5:$A$500,0)),0))</f>
        <v/>
      </c>
      <c r="R2824" s="26" t="n">
        <f aca="false">IF(OR($D2824="",$J2824&lt;&gt;"Supplier"),0,F2824*P2824+G2824*Q2824)</f>
        <v>0</v>
      </c>
      <c r="S2824" s="26" t="n">
        <f aca="false">IF(OR($D2824="",$J2824&lt;&gt;"Own"),0,IFERROR((F2824+G2824*Settings!$B$13)*INDEX(Workers!$V$5:$V$2004,MATCH($D2824,Workers!$A$5:$A$2004,0)),0))</f>
        <v>0</v>
      </c>
      <c r="T2824" s="26" t="str">
        <f aca="false">IF($D2824="","",O2824-R2824-S2824)</f>
        <v/>
      </c>
    </row>
    <row r="2825" customFormat="false" ht="15" hidden="false" customHeight="false" outlineLevel="0" collapsed="false">
      <c r="I2825" s="24" t="str">
        <f aca="false">IF($D2825="","",IFERROR(INDEX(Workers!$B$5:$B$2004,MATCH($D2825,Workers!$A$5:$A$2004,0)),"NOT FOUND"))</f>
        <v/>
      </c>
      <c r="J2825" s="24" t="str">
        <f aca="false">IF($D2825="","",IFERROR(INDEX(Workers!$C$5:$C$2004,MATCH($D2825,Workers!$A$5:$A$2004,0)),""))</f>
        <v/>
      </c>
      <c r="K2825" s="24" t="str">
        <f aca="false">IF($D2825="","",IFERROR(IF(INDEX(Workers!$D$5:$D$2004,MATCH($D2825,Workers!$A$5:$A$2004,0))=0,"",INDEX(Workers!$D$5:$D$2004,MATCH($D2825,Workers!$A$5:$A$2004,0))),""))</f>
        <v/>
      </c>
      <c r="L2825" s="24" t="str">
        <f aca="false">IF($D2825="","",IFERROR(INDEX(Workers!$E$5:$E$2004,MATCH($D2825,Workers!$A$5:$A$2004,0)),""))</f>
        <v/>
      </c>
      <c r="M2825" s="26" t="str">
        <f aca="false">IF($D2825="","",IFERROR(INDEX(ClientRates!$D$5:$D$500,MATCH($B2825&amp;"|"&amp;$L2825,ClientRates!$A$5:$A$500,0)),0))</f>
        <v/>
      </c>
      <c r="N2825" s="26" t="str">
        <f aca="false">IF($D2825="","",IFERROR(INDEX(ClientRates!$E$5:$E$500,MATCH($B2825&amp;"|"&amp;$L2825,ClientRates!$A$5:$A$500,0)),0))</f>
        <v/>
      </c>
      <c r="O2825" s="26" t="str">
        <f aca="false">IF($D2825="","",F2825*M2825+G2825*N2825)</f>
        <v/>
      </c>
      <c r="P2825" s="26" t="str">
        <f aca="false">IF(OR($D2825="",$J2825&lt;&gt;"Supplier"),"",IFERROR(INDEX(SupplierRates!$D$5:$D$500,MATCH($K2825&amp;"|"&amp;$L2825,SupplierRates!$A$5:$A$500,0)),0))</f>
        <v/>
      </c>
      <c r="Q2825" s="26" t="str">
        <f aca="false">IF(OR($D2825="",$J2825&lt;&gt;"Supplier"),"",IFERROR(INDEX(SupplierRates!$E$5:$E$500,MATCH($K2825&amp;"|"&amp;$L2825,SupplierRates!$A$5:$A$500,0)),0))</f>
        <v/>
      </c>
      <c r="R2825" s="26" t="n">
        <f aca="false">IF(OR($D2825="",$J2825&lt;&gt;"Supplier"),0,F2825*P2825+G2825*Q2825)</f>
        <v>0</v>
      </c>
      <c r="S2825" s="26" t="n">
        <f aca="false">IF(OR($D2825="",$J2825&lt;&gt;"Own"),0,IFERROR((F2825+G2825*Settings!$B$13)*INDEX(Workers!$V$5:$V$2004,MATCH($D2825,Workers!$A$5:$A$2004,0)),0))</f>
        <v>0</v>
      </c>
      <c r="T2825" s="26" t="str">
        <f aca="false">IF($D2825="","",O2825-R2825-S2825)</f>
        <v/>
      </c>
    </row>
    <row r="2826" customFormat="false" ht="15" hidden="false" customHeight="false" outlineLevel="0" collapsed="false">
      <c r="I2826" s="24" t="str">
        <f aca="false">IF($D2826="","",IFERROR(INDEX(Workers!$B$5:$B$2004,MATCH($D2826,Workers!$A$5:$A$2004,0)),"NOT FOUND"))</f>
        <v/>
      </c>
      <c r="J2826" s="24" t="str">
        <f aca="false">IF($D2826="","",IFERROR(INDEX(Workers!$C$5:$C$2004,MATCH($D2826,Workers!$A$5:$A$2004,0)),""))</f>
        <v/>
      </c>
      <c r="K2826" s="24" t="str">
        <f aca="false">IF($D2826="","",IFERROR(IF(INDEX(Workers!$D$5:$D$2004,MATCH($D2826,Workers!$A$5:$A$2004,0))=0,"",INDEX(Workers!$D$5:$D$2004,MATCH($D2826,Workers!$A$5:$A$2004,0))),""))</f>
        <v/>
      </c>
      <c r="L2826" s="24" t="str">
        <f aca="false">IF($D2826="","",IFERROR(INDEX(Workers!$E$5:$E$2004,MATCH($D2826,Workers!$A$5:$A$2004,0)),""))</f>
        <v/>
      </c>
      <c r="M2826" s="26" t="str">
        <f aca="false">IF($D2826="","",IFERROR(INDEX(ClientRates!$D$5:$D$500,MATCH($B2826&amp;"|"&amp;$L2826,ClientRates!$A$5:$A$500,0)),0))</f>
        <v/>
      </c>
      <c r="N2826" s="26" t="str">
        <f aca="false">IF($D2826="","",IFERROR(INDEX(ClientRates!$E$5:$E$500,MATCH($B2826&amp;"|"&amp;$L2826,ClientRates!$A$5:$A$500,0)),0))</f>
        <v/>
      </c>
      <c r="O2826" s="26" t="str">
        <f aca="false">IF($D2826="","",F2826*M2826+G2826*N2826)</f>
        <v/>
      </c>
      <c r="P2826" s="26" t="str">
        <f aca="false">IF(OR($D2826="",$J2826&lt;&gt;"Supplier"),"",IFERROR(INDEX(SupplierRates!$D$5:$D$500,MATCH($K2826&amp;"|"&amp;$L2826,SupplierRates!$A$5:$A$500,0)),0))</f>
        <v/>
      </c>
      <c r="Q2826" s="26" t="str">
        <f aca="false">IF(OR($D2826="",$J2826&lt;&gt;"Supplier"),"",IFERROR(INDEX(SupplierRates!$E$5:$E$500,MATCH($K2826&amp;"|"&amp;$L2826,SupplierRates!$A$5:$A$500,0)),0))</f>
        <v/>
      </c>
      <c r="R2826" s="26" t="n">
        <f aca="false">IF(OR($D2826="",$J2826&lt;&gt;"Supplier"),0,F2826*P2826+G2826*Q2826)</f>
        <v>0</v>
      </c>
      <c r="S2826" s="26" t="n">
        <f aca="false">IF(OR($D2826="",$J2826&lt;&gt;"Own"),0,IFERROR((F2826+G2826*Settings!$B$13)*INDEX(Workers!$V$5:$V$2004,MATCH($D2826,Workers!$A$5:$A$2004,0)),0))</f>
        <v>0</v>
      </c>
      <c r="T2826" s="26" t="str">
        <f aca="false">IF($D2826="","",O2826-R2826-S2826)</f>
        <v/>
      </c>
    </row>
    <row r="2827" customFormat="false" ht="15" hidden="false" customHeight="false" outlineLevel="0" collapsed="false">
      <c r="I2827" s="24" t="str">
        <f aca="false">IF($D2827="","",IFERROR(INDEX(Workers!$B$5:$B$2004,MATCH($D2827,Workers!$A$5:$A$2004,0)),"NOT FOUND"))</f>
        <v/>
      </c>
      <c r="J2827" s="24" t="str">
        <f aca="false">IF($D2827="","",IFERROR(INDEX(Workers!$C$5:$C$2004,MATCH($D2827,Workers!$A$5:$A$2004,0)),""))</f>
        <v/>
      </c>
      <c r="K2827" s="24" t="str">
        <f aca="false">IF($D2827="","",IFERROR(IF(INDEX(Workers!$D$5:$D$2004,MATCH($D2827,Workers!$A$5:$A$2004,0))=0,"",INDEX(Workers!$D$5:$D$2004,MATCH($D2827,Workers!$A$5:$A$2004,0))),""))</f>
        <v/>
      </c>
      <c r="L2827" s="24" t="str">
        <f aca="false">IF($D2827="","",IFERROR(INDEX(Workers!$E$5:$E$2004,MATCH($D2827,Workers!$A$5:$A$2004,0)),""))</f>
        <v/>
      </c>
      <c r="M2827" s="26" t="str">
        <f aca="false">IF($D2827="","",IFERROR(INDEX(ClientRates!$D$5:$D$500,MATCH($B2827&amp;"|"&amp;$L2827,ClientRates!$A$5:$A$500,0)),0))</f>
        <v/>
      </c>
      <c r="N2827" s="26" t="str">
        <f aca="false">IF($D2827="","",IFERROR(INDEX(ClientRates!$E$5:$E$500,MATCH($B2827&amp;"|"&amp;$L2827,ClientRates!$A$5:$A$500,0)),0))</f>
        <v/>
      </c>
      <c r="O2827" s="26" t="str">
        <f aca="false">IF($D2827="","",F2827*M2827+G2827*N2827)</f>
        <v/>
      </c>
      <c r="P2827" s="26" t="str">
        <f aca="false">IF(OR($D2827="",$J2827&lt;&gt;"Supplier"),"",IFERROR(INDEX(SupplierRates!$D$5:$D$500,MATCH($K2827&amp;"|"&amp;$L2827,SupplierRates!$A$5:$A$500,0)),0))</f>
        <v/>
      </c>
      <c r="Q2827" s="26" t="str">
        <f aca="false">IF(OR($D2827="",$J2827&lt;&gt;"Supplier"),"",IFERROR(INDEX(SupplierRates!$E$5:$E$500,MATCH($K2827&amp;"|"&amp;$L2827,SupplierRates!$A$5:$A$500,0)),0))</f>
        <v/>
      </c>
      <c r="R2827" s="26" t="n">
        <f aca="false">IF(OR($D2827="",$J2827&lt;&gt;"Supplier"),0,F2827*P2827+G2827*Q2827)</f>
        <v>0</v>
      </c>
      <c r="S2827" s="26" t="n">
        <f aca="false">IF(OR($D2827="",$J2827&lt;&gt;"Own"),0,IFERROR((F2827+G2827*Settings!$B$13)*INDEX(Workers!$V$5:$V$2004,MATCH($D2827,Workers!$A$5:$A$2004,0)),0))</f>
        <v>0</v>
      </c>
      <c r="T2827" s="26" t="str">
        <f aca="false">IF($D2827="","",O2827-R2827-S2827)</f>
        <v/>
      </c>
    </row>
    <row r="2828" customFormat="false" ht="15" hidden="false" customHeight="false" outlineLevel="0" collapsed="false">
      <c r="I2828" s="24" t="str">
        <f aca="false">IF($D2828="","",IFERROR(INDEX(Workers!$B$5:$B$2004,MATCH($D2828,Workers!$A$5:$A$2004,0)),"NOT FOUND"))</f>
        <v/>
      </c>
      <c r="J2828" s="24" t="str">
        <f aca="false">IF($D2828="","",IFERROR(INDEX(Workers!$C$5:$C$2004,MATCH($D2828,Workers!$A$5:$A$2004,0)),""))</f>
        <v/>
      </c>
      <c r="K2828" s="24" t="str">
        <f aca="false">IF($D2828="","",IFERROR(IF(INDEX(Workers!$D$5:$D$2004,MATCH($D2828,Workers!$A$5:$A$2004,0))=0,"",INDEX(Workers!$D$5:$D$2004,MATCH($D2828,Workers!$A$5:$A$2004,0))),""))</f>
        <v/>
      </c>
      <c r="L2828" s="24" t="str">
        <f aca="false">IF($D2828="","",IFERROR(INDEX(Workers!$E$5:$E$2004,MATCH($D2828,Workers!$A$5:$A$2004,0)),""))</f>
        <v/>
      </c>
      <c r="M2828" s="26" t="str">
        <f aca="false">IF($D2828="","",IFERROR(INDEX(ClientRates!$D$5:$D$500,MATCH($B2828&amp;"|"&amp;$L2828,ClientRates!$A$5:$A$500,0)),0))</f>
        <v/>
      </c>
      <c r="N2828" s="26" t="str">
        <f aca="false">IF($D2828="","",IFERROR(INDEX(ClientRates!$E$5:$E$500,MATCH($B2828&amp;"|"&amp;$L2828,ClientRates!$A$5:$A$500,0)),0))</f>
        <v/>
      </c>
      <c r="O2828" s="26" t="str">
        <f aca="false">IF($D2828="","",F2828*M2828+G2828*N2828)</f>
        <v/>
      </c>
      <c r="P2828" s="26" t="str">
        <f aca="false">IF(OR($D2828="",$J2828&lt;&gt;"Supplier"),"",IFERROR(INDEX(SupplierRates!$D$5:$D$500,MATCH($K2828&amp;"|"&amp;$L2828,SupplierRates!$A$5:$A$500,0)),0))</f>
        <v/>
      </c>
      <c r="Q2828" s="26" t="str">
        <f aca="false">IF(OR($D2828="",$J2828&lt;&gt;"Supplier"),"",IFERROR(INDEX(SupplierRates!$E$5:$E$500,MATCH($K2828&amp;"|"&amp;$L2828,SupplierRates!$A$5:$A$500,0)),0))</f>
        <v/>
      </c>
      <c r="R2828" s="26" t="n">
        <f aca="false">IF(OR($D2828="",$J2828&lt;&gt;"Supplier"),0,F2828*P2828+G2828*Q2828)</f>
        <v>0</v>
      </c>
      <c r="S2828" s="26" t="n">
        <f aca="false">IF(OR($D2828="",$J2828&lt;&gt;"Own"),0,IFERROR((F2828+G2828*Settings!$B$13)*INDEX(Workers!$V$5:$V$2004,MATCH($D2828,Workers!$A$5:$A$2004,0)),0))</f>
        <v>0</v>
      </c>
      <c r="T2828" s="26" t="str">
        <f aca="false">IF($D2828="","",O2828-R2828-S2828)</f>
        <v/>
      </c>
    </row>
    <row r="2829" customFormat="false" ht="15" hidden="false" customHeight="false" outlineLevel="0" collapsed="false">
      <c r="I2829" s="24" t="str">
        <f aca="false">IF($D2829="","",IFERROR(INDEX(Workers!$B$5:$B$2004,MATCH($D2829,Workers!$A$5:$A$2004,0)),"NOT FOUND"))</f>
        <v/>
      </c>
      <c r="J2829" s="24" t="str">
        <f aca="false">IF($D2829="","",IFERROR(INDEX(Workers!$C$5:$C$2004,MATCH($D2829,Workers!$A$5:$A$2004,0)),""))</f>
        <v/>
      </c>
      <c r="K2829" s="24" t="str">
        <f aca="false">IF($D2829="","",IFERROR(IF(INDEX(Workers!$D$5:$D$2004,MATCH($D2829,Workers!$A$5:$A$2004,0))=0,"",INDEX(Workers!$D$5:$D$2004,MATCH($D2829,Workers!$A$5:$A$2004,0))),""))</f>
        <v/>
      </c>
      <c r="L2829" s="24" t="str">
        <f aca="false">IF($D2829="","",IFERROR(INDEX(Workers!$E$5:$E$2004,MATCH($D2829,Workers!$A$5:$A$2004,0)),""))</f>
        <v/>
      </c>
      <c r="M2829" s="26" t="str">
        <f aca="false">IF($D2829="","",IFERROR(INDEX(ClientRates!$D$5:$D$500,MATCH($B2829&amp;"|"&amp;$L2829,ClientRates!$A$5:$A$500,0)),0))</f>
        <v/>
      </c>
      <c r="N2829" s="26" t="str">
        <f aca="false">IF($D2829="","",IFERROR(INDEX(ClientRates!$E$5:$E$500,MATCH($B2829&amp;"|"&amp;$L2829,ClientRates!$A$5:$A$500,0)),0))</f>
        <v/>
      </c>
      <c r="O2829" s="26" t="str">
        <f aca="false">IF($D2829="","",F2829*M2829+G2829*N2829)</f>
        <v/>
      </c>
      <c r="P2829" s="26" t="str">
        <f aca="false">IF(OR($D2829="",$J2829&lt;&gt;"Supplier"),"",IFERROR(INDEX(SupplierRates!$D$5:$D$500,MATCH($K2829&amp;"|"&amp;$L2829,SupplierRates!$A$5:$A$500,0)),0))</f>
        <v/>
      </c>
      <c r="Q2829" s="26" t="str">
        <f aca="false">IF(OR($D2829="",$J2829&lt;&gt;"Supplier"),"",IFERROR(INDEX(SupplierRates!$E$5:$E$500,MATCH($K2829&amp;"|"&amp;$L2829,SupplierRates!$A$5:$A$500,0)),0))</f>
        <v/>
      </c>
      <c r="R2829" s="26" t="n">
        <f aca="false">IF(OR($D2829="",$J2829&lt;&gt;"Supplier"),0,F2829*P2829+G2829*Q2829)</f>
        <v>0</v>
      </c>
      <c r="S2829" s="26" t="n">
        <f aca="false">IF(OR($D2829="",$J2829&lt;&gt;"Own"),0,IFERROR((F2829+G2829*Settings!$B$13)*INDEX(Workers!$V$5:$V$2004,MATCH($D2829,Workers!$A$5:$A$2004,0)),0))</f>
        <v>0</v>
      </c>
      <c r="T2829" s="26" t="str">
        <f aca="false">IF($D2829="","",O2829-R2829-S2829)</f>
        <v/>
      </c>
    </row>
    <row r="2830" customFormat="false" ht="15" hidden="false" customHeight="false" outlineLevel="0" collapsed="false">
      <c r="I2830" s="24" t="str">
        <f aca="false">IF($D2830="","",IFERROR(INDEX(Workers!$B$5:$B$2004,MATCH($D2830,Workers!$A$5:$A$2004,0)),"NOT FOUND"))</f>
        <v/>
      </c>
      <c r="J2830" s="24" t="str">
        <f aca="false">IF($D2830="","",IFERROR(INDEX(Workers!$C$5:$C$2004,MATCH($D2830,Workers!$A$5:$A$2004,0)),""))</f>
        <v/>
      </c>
      <c r="K2830" s="24" t="str">
        <f aca="false">IF($D2830="","",IFERROR(IF(INDEX(Workers!$D$5:$D$2004,MATCH($D2830,Workers!$A$5:$A$2004,0))=0,"",INDEX(Workers!$D$5:$D$2004,MATCH($D2830,Workers!$A$5:$A$2004,0))),""))</f>
        <v/>
      </c>
      <c r="L2830" s="24" t="str">
        <f aca="false">IF($D2830="","",IFERROR(INDEX(Workers!$E$5:$E$2004,MATCH($D2830,Workers!$A$5:$A$2004,0)),""))</f>
        <v/>
      </c>
      <c r="M2830" s="26" t="str">
        <f aca="false">IF($D2830="","",IFERROR(INDEX(ClientRates!$D$5:$D$500,MATCH($B2830&amp;"|"&amp;$L2830,ClientRates!$A$5:$A$500,0)),0))</f>
        <v/>
      </c>
      <c r="N2830" s="26" t="str">
        <f aca="false">IF($D2830="","",IFERROR(INDEX(ClientRates!$E$5:$E$500,MATCH($B2830&amp;"|"&amp;$L2830,ClientRates!$A$5:$A$500,0)),0))</f>
        <v/>
      </c>
      <c r="O2830" s="26" t="str">
        <f aca="false">IF($D2830="","",F2830*M2830+G2830*N2830)</f>
        <v/>
      </c>
      <c r="P2830" s="26" t="str">
        <f aca="false">IF(OR($D2830="",$J2830&lt;&gt;"Supplier"),"",IFERROR(INDEX(SupplierRates!$D$5:$D$500,MATCH($K2830&amp;"|"&amp;$L2830,SupplierRates!$A$5:$A$500,0)),0))</f>
        <v/>
      </c>
      <c r="Q2830" s="26" t="str">
        <f aca="false">IF(OR($D2830="",$J2830&lt;&gt;"Supplier"),"",IFERROR(INDEX(SupplierRates!$E$5:$E$500,MATCH($K2830&amp;"|"&amp;$L2830,SupplierRates!$A$5:$A$500,0)),0))</f>
        <v/>
      </c>
      <c r="R2830" s="26" t="n">
        <f aca="false">IF(OR($D2830="",$J2830&lt;&gt;"Supplier"),0,F2830*P2830+G2830*Q2830)</f>
        <v>0</v>
      </c>
      <c r="S2830" s="26" t="n">
        <f aca="false">IF(OR($D2830="",$J2830&lt;&gt;"Own"),0,IFERROR((F2830+G2830*Settings!$B$13)*INDEX(Workers!$V$5:$V$2004,MATCH($D2830,Workers!$A$5:$A$2004,0)),0))</f>
        <v>0</v>
      </c>
      <c r="T2830" s="26" t="str">
        <f aca="false">IF($D2830="","",O2830-R2830-S2830)</f>
        <v/>
      </c>
    </row>
    <row r="2831" customFormat="false" ht="15" hidden="false" customHeight="false" outlineLevel="0" collapsed="false">
      <c r="I2831" s="24" t="str">
        <f aca="false">IF($D2831="","",IFERROR(INDEX(Workers!$B$5:$B$2004,MATCH($D2831,Workers!$A$5:$A$2004,0)),"NOT FOUND"))</f>
        <v/>
      </c>
      <c r="J2831" s="24" t="str">
        <f aca="false">IF($D2831="","",IFERROR(INDEX(Workers!$C$5:$C$2004,MATCH($D2831,Workers!$A$5:$A$2004,0)),""))</f>
        <v/>
      </c>
      <c r="K2831" s="24" t="str">
        <f aca="false">IF($D2831="","",IFERROR(IF(INDEX(Workers!$D$5:$D$2004,MATCH($D2831,Workers!$A$5:$A$2004,0))=0,"",INDEX(Workers!$D$5:$D$2004,MATCH($D2831,Workers!$A$5:$A$2004,0))),""))</f>
        <v/>
      </c>
      <c r="L2831" s="24" t="str">
        <f aca="false">IF($D2831="","",IFERROR(INDEX(Workers!$E$5:$E$2004,MATCH($D2831,Workers!$A$5:$A$2004,0)),""))</f>
        <v/>
      </c>
      <c r="M2831" s="26" t="str">
        <f aca="false">IF($D2831="","",IFERROR(INDEX(ClientRates!$D$5:$D$500,MATCH($B2831&amp;"|"&amp;$L2831,ClientRates!$A$5:$A$500,0)),0))</f>
        <v/>
      </c>
      <c r="N2831" s="26" t="str">
        <f aca="false">IF($D2831="","",IFERROR(INDEX(ClientRates!$E$5:$E$500,MATCH($B2831&amp;"|"&amp;$L2831,ClientRates!$A$5:$A$500,0)),0))</f>
        <v/>
      </c>
      <c r="O2831" s="26" t="str">
        <f aca="false">IF($D2831="","",F2831*M2831+G2831*N2831)</f>
        <v/>
      </c>
      <c r="P2831" s="26" t="str">
        <f aca="false">IF(OR($D2831="",$J2831&lt;&gt;"Supplier"),"",IFERROR(INDEX(SupplierRates!$D$5:$D$500,MATCH($K2831&amp;"|"&amp;$L2831,SupplierRates!$A$5:$A$500,0)),0))</f>
        <v/>
      </c>
      <c r="Q2831" s="26" t="str">
        <f aca="false">IF(OR($D2831="",$J2831&lt;&gt;"Supplier"),"",IFERROR(INDEX(SupplierRates!$E$5:$E$500,MATCH($K2831&amp;"|"&amp;$L2831,SupplierRates!$A$5:$A$500,0)),0))</f>
        <v/>
      </c>
      <c r="R2831" s="26" t="n">
        <f aca="false">IF(OR($D2831="",$J2831&lt;&gt;"Supplier"),0,F2831*P2831+G2831*Q2831)</f>
        <v>0</v>
      </c>
      <c r="S2831" s="26" t="n">
        <f aca="false">IF(OR($D2831="",$J2831&lt;&gt;"Own"),0,IFERROR((F2831+G2831*Settings!$B$13)*INDEX(Workers!$V$5:$V$2004,MATCH($D2831,Workers!$A$5:$A$2004,0)),0))</f>
        <v>0</v>
      </c>
      <c r="T2831" s="26" t="str">
        <f aca="false">IF($D2831="","",O2831-R2831-S2831)</f>
        <v/>
      </c>
    </row>
    <row r="2832" customFormat="false" ht="15" hidden="false" customHeight="false" outlineLevel="0" collapsed="false">
      <c r="I2832" s="24" t="str">
        <f aca="false">IF($D2832="","",IFERROR(INDEX(Workers!$B$5:$B$2004,MATCH($D2832,Workers!$A$5:$A$2004,0)),"NOT FOUND"))</f>
        <v/>
      </c>
      <c r="J2832" s="24" t="str">
        <f aca="false">IF($D2832="","",IFERROR(INDEX(Workers!$C$5:$C$2004,MATCH($D2832,Workers!$A$5:$A$2004,0)),""))</f>
        <v/>
      </c>
      <c r="K2832" s="24" t="str">
        <f aca="false">IF($D2832="","",IFERROR(IF(INDEX(Workers!$D$5:$D$2004,MATCH($D2832,Workers!$A$5:$A$2004,0))=0,"",INDEX(Workers!$D$5:$D$2004,MATCH($D2832,Workers!$A$5:$A$2004,0))),""))</f>
        <v/>
      </c>
      <c r="L2832" s="24" t="str">
        <f aca="false">IF($D2832="","",IFERROR(INDEX(Workers!$E$5:$E$2004,MATCH($D2832,Workers!$A$5:$A$2004,0)),""))</f>
        <v/>
      </c>
      <c r="M2832" s="26" t="str">
        <f aca="false">IF($D2832="","",IFERROR(INDEX(ClientRates!$D$5:$D$500,MATCH($B2832&amp;"|"&amp;$L2832,ClientRates!$A$5:$A$500,0)),0))</f>
        <v/>
      </c>
      <c r="N2832" s="26" t="str">
        <f aca="false">IF($D2832="","",IFERROR(INDEX(ClientRates!$E$5:$E$500,MATCH($B2832&amp;"|"&amp;$L2832,ClientRates!$A$5:$A$500,0)),0))</f>
        <v/>
      </c>
      <c r="O2832" s="26" t="str">
        <f aca="false">IF($D2832="","",F2832*M2832+G2832*N2832)</f>
        <v/>
      </c>
      <c r="P2832" s="26" t="str">
        <f aca="false">IF(OR($D2832="",$J2832&lt;&gt;"Supplier"),"",IFERROR(INDEX(SupplierRates!$D$5:$D$500,MATCH($K2832&amp;"|"&amp;$L2832,SupplierRates!$A$5:$A$500,0)),0))</f>
        <v/>
      </c>
      <c r="Q2832" s="26" t="str">
        <f aca="false">IF(OR($D2832="",$J2832&lt;&gt;"Supplier"),"",IFERROR(INDEX(SupplierRates!$E$5:$E$500,MATCH($K2832&amp;"|"&amp;$L2832,SupplierRates!$A$5:$A$500,0)),0))</f>
        <v/>
      </c>
      <c r="R2832" s="26" t="n">
        <f aca="false">IF(OR($D2832="",$J2832&lt;&gt;"Supplier"),0,F2832*P2832+G2832*Q2832)</f>
        <v>0</v>
      </c>
      <c r="S2832" s="26" t="n">
        <f aca="false">IF(OR($D2832="",$J2832&lt;&gt;"Own"),0,IFERROR((F2832+G2832*Settings!$B$13)*INDEX(Workers!$V$5:$V$2004,MATCH($D2832,Workers!$A$5:$A$2004,0)),0))</f>
        <v>0</v>
      </c>
      <c r="T2832" s="26" t="str">
        <f aca="false">IF($D2832="","",O2832-R2832-S2832)</f>
        <v/>
      </c>
    </row>
    <row r="2833" customFormat="false" ht="15" hidden="false" customHeight="false" outlineLevel="0" collapsed="false">
      <c r="I2833" s="24" t="str">
        <f aca="false">IF($D2833="","",IFERROR(INDEX(Workers!$B$5:$B$2004,MATCH($D2833,Workers!$A$5:$A$2004,0)),"NOT FOUND"))</f>
        <v/>
      </c>
      <c r="J2833" s="24" t="str">
        <f aca="false">IF($D2833="","",IFERROR(INDEX(Workers!$C$5:$C$2004,MATCH($D2833,Workers!$A$5:$A$2004,0)),""))</f>
        <v/>
      </c>
      <c r="K2833" s="24" t="str">
        <f aca="false">IF($D2833="","",IFERROR(IF(INDEX(Workers!$D$5:$D$2004,MATCH($D2833,Workers!$A$5:$A$2004,0))=0,"",INDEX(Workers!$D$5:$D$2004,MATCH($D2833,Workers!$A$5:$A$2004,0))),""))</f>
        <v/>
      </c>
      <c r="L2833" s="24" t="str">
        <f aca="false">IF($D2833="","",IFERROR(INDEX(Workers!$E$5:$E$2004,MATCH($D2833,Workers!$A$5:$A$2004,0)),""))</f>
        <v/>
      </c>
      <c r="M2833" s="26" t="str">
        <f aca="false">IF($D2833="","",IFERROR(INDEX(ClientRates!$D$5:$D$500,MATCH($B2833&amp;"|"&amp;$L2833,ClientRates!$A$5:$A$500,0)),0))</f>
        <v/>
      </c>
      <c r="N2833" s="26" t="str">
        <f aca="false">IF($D2833="","",IFERROR(INDEX(ClientRates!$E$5:$E$500,MATCH($B2833&amp;"|"&amp;$L2833,ClientRates!$A$5:$A$500,0)),0))</f>
        <v/>
      </c>
      <c r="O2833" s="26" t="str">
        <f aca="false">IF($D2833="","",F2833*M2833+G2833*N2833)</f>
        <v/>
      </c>
      <c r="P2833" s="26" t="str">
        <f aca="false">IF(OR($D2833="",$J2833&lt;&gt;"Supplier"),"",IFERROR(INDEX(SupplierRates!$D$5:$D$500,MATCH($K2833&amp;"|"&amp;$L2833,SupplierRates!$A$5:$A$500,0)),0))</f>
        <v/>
      </c>
      <c r="Q2833" s="26" t="str">
        <f aca="false">IF(OR($D2833="",$J2833&lt;&gt;"Supplier"),"",IFERROR(INDEX(SupplierRates!$E$5:$E$500,MATCH($K2833&amp;"|"&amp;$L2833,SupplierRates!$A$5:$A$500,0)),0))</f>
        <v/>
      </c>
      <c r="R2833" s="26" t="n">
        <f aca="false">IF(OR($D2833="",$J2833&lt;&gt;"Supplier"),0,F2833*P2833+G2833*Q2833)</f>
        <v>0</v>
      </c>
      <c r="S2833" s="26" t="n">
        <f aca="false">IF(OR($D2833="",$J2833&lt;&gt;"Own"),0,IFERROR((F2833+G2833*Settings!$B$13)*INDEX(Workers!$V$5:$V$2004,MATCH($D2833,Workers!$A$5:$A$2004,0)),0))</f>
        <v>0</v>
      </c>
      <c r="T2833" s="26" t="str">
        <f aca="false">IF($D2833="","",O2833-R2833-S2833)</f>
        <v/>
      </c>
    </row>
    <row r="2834" customFormat="false" ht="15" hidden="false" customHeight="false" outlineLevel="0" collapsed="false">
      <c r="I2834" s="24" t="str">
        <f aca="false">IF($D2834="","",IFERROR(INDEX(Workers!$B$5:$B$2004,MATCH($D2834,Workers!$A$5:$A$2004,0)),"NOT FOUND"))</f>
        <v/>
      </c>
      <c r="J2834" s="24" t="str">
        <f aca="false">IF($D2834="","",IFERROR(INDEX(Workers!$C$5:$C$2004,MATCH($D2834,Workers!$A$5:$A$2004,0)),""))</f>
        <v/>
      </c>
      <c r="K2834" s="24" t="str">
        <f aca="false">IF($D2834="","",IFERROR(IF(INDEX(Workers!$D$5:$D$2004,MATCH($D2834,Workers!$A$5:$A$2004,0))=0,"",INDEX(Workers!$D$5:$D$2004,MATCH($D2834,Workers!$A$5:$A$2004,0))),""))</f>
        <v/>
      </c>
      <c r="L2834" s="24" t="str">
        <f aca="false">IF($D2834="","",IFERROR(INDEX(Workers!$E$5:$E$2004,MATCH($D2834,Workers!$A$5:$A$2004,0)),""))</f>
        <v/>
      </c>
      <c r="M2834" s="26" t="str">
        <f aca="false">IF($D2834="","",IFERROR(INDEX(ClientRates!$D$5:$D$500,MATCH($B2834&amp;"|"&amp;$L2834,ClientRates!$A$5:$A$500,0)),0))</f>
        <v/>
      </c>
      <c r="N2834" s="26" t="str">
        <f aca="false">IF($D2834="","",IFERROR(INDEX(ClientRates!$E$5:$E$500,MATCH($B2834&amp;"|"&amp;$L2834,ClientRates!$A$5:$A$500,0)),0))</f>
        <v/>
      </c>
      <c r="O2834" s="26" t="str">
        <f aca="false">IF($D2834="","",F2834*M2834+G2834*N2834)</f>
        <v/>
      </c>
      <c r="P2834" s="26" t="str">
        <f aca="false">IF(OR($D2834="",$J2834&lt;&gt;"Supplier"),"",IFERROR(INDEX(SupplierRates!$D$5:$D$500,MATCH($K2834&amp;"|"&amp;$L2834,SupplierRates!$A$5:$A$500,0)),0))</f>
        <v/>
      </c>
      <c r="Q2834" s="26" t="str">
        <f aca="false">IF(OR($D2834="",$J2834&lt;&gt;"Supplier"),"",IFERROR(INDEX(SupplierRates!$E$5:$E$500,MATCH($K2834&amp;"|"&amp;$L2834,SupplierRates!$A$5:$A$500,0)),0))</f>
        <v/>
      </c>
      <c r="R2834" s="26" t="n">
        <f aca="false">IF(OR($D2834="",$J2834&lt;&gt;"Supplier"),0,F2834*P2834+G2834*Q2834)</f>
        <v>0</v>
      </c>
      <c r="S2834" s="26" t="n">
        <f aca="false">IF(OR($D2834="",$J2834&lt;&gt;"Own"),0,IFERROR((F2834+G2834*Settings!$B$13)*INDEX(Workers!$V$5:$V$2004,MATCH($D2834,Workers!$A$5:$A$2004,0)),0))</f>
        <v>0</v>
      </c>
      <c r="T2834" s="26" t="str">
        <f aca="false">IF($D2834="","",O2834-R2834-S2834)</f>
        <v/>
      </c>
    </row>
    <row r="2835" customFormat="false" ht="15" hidden="false" customHeight="false" outlineLevel="0" collapsed="false">
      <c r="I2835" s="24" t="str">
        <f aca="false">IF($D2835="","",IFERROR(INDEX(Workers!$B$5:$B$2004,MATCH($D2835,Workers!$A$5:$A$2004,0)),"NOT FOUND"))</f>
        <v/>
      </c>
      <c r="J2835" s="24" t="str">
        <f aca="false">IF($D2835="","",IFERROR(INDEX(Workers!$C$5:$C$2004,MATCH($D2835,Workers!$A$5:$A$2004,0)),""))</f>
        <v/>
      </c>
      <c r="K2835" s="24" t="str">
        <f aca="false">IF($D2835="","",IFERROR(IF(INDEX(Workers!$D$5:$D$2004,MATCH($D2835,Workers!$A$5:$A$2004,0))=0,"",INDEX(Workers!$D$5:$D$2004,MATCH($D2835,Workers!$A$5:$A$2004,0))),""))</f>
        <v/>
      </c>
      <c r="L2835" s="24" t="str">
        <f aca="false">IF($D2835="","",IFERROR(INDEX(Workers!$E$5:$E$2004,MATCH($D2835,Workers!$A$5:$A$2004,0)),""))</f>
        <v/>
      </c>
      <c r="M2835" s="26" t="str">
        <f aca="false">IF($D2835="","",IFERROR(INDEX(ClientRates!$D$5:$D$500,MATCH($B2835&amp;"|"&amp;$L2835,ClientRates!$A$5:$A$500,0)),0))</f>
        <v/>
      </c>
      <c r="N2835" s="26" t="str">
        <f aca="false">IF($D2835="","",IFERROR(INDEX(ClientRates!$E$5:$E$500,MATCH($B2835&amp;"|"&amp;$L2835,ClientRates!$A$5:$A$500,0)),0))</f>
        <v/>
      </c>
      <c r="O2835" s="26" t="str">
        <f aca="false">IF($D2835="","",F2835*M2835+G2835*N2835)</f>
        <v/>
      </c>
      <c r="P2835" s="26" t="str">
        <f aca="false">IF(OR($D2835="",$J2835&lt;&gt;"Supplier"),"",IFERROR(INDEX(SupplierRates!$D$5:$D$500,MATCH($K2835&amp;"|"&amp;$L2835,SupplierRates!$A$5:$A$500,0)),0))</f>
        <v/>
      </c>
      <c r="Q2835" s="26" t="str">
        <f aca="false">IF(OR($D2835="",$J2835&lt;&gt;"Supplier"),"",IFERROR(INDEX(SupplierRates!$E$5:$E$500,MATCH($K2835&amp;"|"&amp;$L2835,SupplierRates!$A$5:$A$500,0)),0))</f>
        <v/>
      </c>
      <c r="R2835" s="26" t="n">
        <f aca="false">IF(OR($D2835="",$J2835&lt;&gt;"Supplier"),0,F2835*P2835+G2835*Q2835)</f>
        <v>0</v>
      </c>
      <c r="S2835" s="26" t="n">
        <f aca="false">IF(OR($D2835="",$J2835&lt;&gt;"Own"),0,IFERROR((F2835+G2835*Settings!$B$13)*INDEX(Workers!$V$5:$V$2004,MATCH($D2835,Workers!$A$5:$A$2004,0)),0))</f>
        <v>0</v>
      </c>
      <c r="T2835" s="26" t="str">
        <f aca="false">IF($D2835="","",O2835-R2835-S2835)</f>
        <v/>
      </c>
    </row>
    <row r="2836" customFormat="false" ht="15" hidden="false" customHeight="false" outlineLevel="0" collapsed="false">
      <c r="I2836" s="24" t="str">
        <f aca="false">IF($D2836="","",IFERROR(INDEX(Workers!$B$5:$B$2004,MATCH($D2836,Workers!$A$5:$A$2004,0)),"NOT FOUND"))</f>
        <v/>
      </c>
      <c r="J2836" s="24" t="str">
        <f aca="false">IF($D2836="","",IFERROR(INDEX(Workers!$C$5:$C$2004,MATCH($D2836,Workers!$A$5:$A$2004,0)),""))</f>
        <v/>
      </c>
      <c r="K2836" s="24" t="str">
        <f aca="false">IF($D2836="","",IFERROR(IF(INDEX(Workers!$D$5:$D$2004,MATCH($D2836,Workers!$A$5:$A$2004,0))=0,"",INDEX(Workers!$D$5:$D$2004,MATCH($D2836,Workers!$A$5:$A$2004,0))),""))</f>
        <v/>
      </c>
      <c r="L2836" s="24" t="str">
        <f aca="false">IF($D2836="","",IFERROR(INDEX(Workers!$E$5:$E$2004,MATCH($D2836,Workers!$A$5:$A$2004,0)),""))</f>
        <v/>
      </c>
      <c r="M2836" s="26" t="str">
        <f aca="false">IF($D2836="","",IFERROR(INDEX(ClientRates!$D$5:$D$500,MATCH($B2836&amp;"|"&amp;$L2836,ClientRates!$A$5:$A$500,0)),0))</f>
        <v/>
      </c>
      <c r="N2836" s="26" t="str">
        <f aca="false">IF($D2836="","",IFERROR(INDEX(ClientRates!$E$5:$E$500,MATCH($B2836&amp;"|"&amp;$L2836,ClientRates!$A$5:$A$500,0)),0))</f>
        <v/>
      </c>
      <c r="O2836" s="26" t="str">
        <f aca="false">IF($D2836="","",F2836*M2836+G2836*N2836)</f>
        <v/>
      </c>
      <c r="P2836" s="26" t="str">
        <f aca="false">IF(OR($D2836="",$J2836&lt;&gt;"Supplier"),"",IFERROR(INDEX(SupplierRates!$D$5:$D$500,MATCH($K2836&amp;"|"&amp;$L2836,SupplierRates!$A$5:$A$500,0)),0))</f>
        <v/>
      </c>
      <c r="Q2836" s="26" t="str">
        <f aca="false">IF(OR($D2836="",$J2836&lt;&gt;"Supplier"),"",IFERROR(INDEX(SupplierRates!$E$5:$E$500,MATCH($K2836&amp;"|"&amp;$L2836,SupplierRates!$A$5:$A$500,0)),0))</f>
        <v/>
      </c>
      <c r="R2836" s="26" t="n">
        <f aca="false">IF(OR($D2836="",$J2836&lt;&gt;"Supplier"),0,F2836*P2836+G2836*Q2836)</f>
        <v>0</v>
      </c>
      <c r="S2836" s="26" t="n">
        <f aca="false">IF(OR($D2836="",$J2836&lt;&gt;"Own"),0,IFERROR((F2836+G2836*Settings!$B$13)*INDEX(Workers!$V$5:$V$2004,MATCH($D2836,Workers!$A$5:$A$2004,0)),0))</f>
        <v>0</v>
      </c>
      <c r="T2836" s="26" t="str">
        <f aca="false">IF($D2836="","",O2836-R2836-S2836)</f>
        <v/>
      </c>
    </row>
    <row r="2837" customFormat="false" ht="15" hidden="false" customHeight="false" outlineLevel="0" collapsed="false">
      <c r="I2837" s="24" t="str">
        <f aca="false">IF($D2837="","",IFERROR(INDEX(Workers!$B$5:$B$2004,MATCH($D2837,Workers!$A$5:$A$2004,0)),"NOT FOUND"))</f>
        <v/>
      </c>
      <c r="J2837" s="24" t="str">
        <f aca="false">IF($D2837="","",IFERROR(INDEX(Workers!$C$5:$C$2004,MATCH($D2837,Workers!$A$5:$A$2004,0)),""))</f>
        <v/>
      </c>
      <c r="K2837" s="24" t="str">
        <f aca="false">IF($D2837="","",IFERROR(IF(INDEX(Workers!$D$5:$D$2004,MATCH($D2837,Workers!$A$5:$A$2004,0))=0,"",INDEX(Workers!$D$5:$D$2004,MATCH($D2837,Workers!$A$5:$A$2004,0))),""))</f>
        <v/>
      </c>
      <c r="L2837" s="24" t="str">
        <f aca="false">IF($D2837="","",IFERROR(INDEX(Workers!$E$5:$E$2004,MATCH($D2837,Workers!$A$5:$A$2004,0)),""))</f>
        <v/>
      </c>
      <c r="M2837" s="26" t="str">
        <f aca="false">IF($D2837="","",IFERROR(INDEX(ClientRates!$D$5:$D$500,MATCH($B2837&amp;"|"&amp;$L2837,ClientRates!$A$5:$A$500,0)),0))</f>
        <v/>
      </c>
      <c r="N2837" s="26" t="str">
        <f aca="false">IF($D2837="","",IFERROR(INDEX(ClientRates!$E$5:$E$500,MATCH($B2837&amp;"|"&amp;$L2837,ClientRates!$A$5:$A$500,0)),0))</f>
        <v/>
      </c>
      <c r="O2837" s="26" t="str">
        <f aca="false">IF($D2837="","",F2837*M2837+G2837*N2837)</f>
        <v/>
      </c>
      <c r="P2837" s="26" t="str">
        <f aca="false">IF(OR($D2837="",$J2837&lt;&gt;"Supplier"),"",IFERROR(INDEX(SupplierRates!$D$5:$D$500,MATCH($K2837&amp;"|"&amp;$L2837,SupplierRates!$A$5:$A$500,0)),0))</f>
        <v/>
      </c>
      <c r="Q2837" s="26" t="str">
        <f aca="false">IF(OR($D2837="",$J2837&lt;&gt;"Supplier"),"",IFERROR(INDEX(SupplierRates!$E$5:$E$500,MATCH($K2837&amp;"|"&amp;$L2837,SupplierRates!$A$5:$A$500,0)),0))</f>
        <v/>
      </c>
      <c r="R2837" s="26" t="n">
        <f aca="false">IF(OR($D2837="",$J2837&lt;&gt;"Supplier"),0,F2837*P2837+G2837*Q2837)</f>
        <v>0</v>
      </c>
      <c r="S2837" s="26" t="n">
        <f aca="false">IF(OR($D2837="",$J2837&lt;&gt;"Own"),0,IFERROR((F2837+G2837*Settings!$B$13)*INDEX(Workers!$V$5:$V$2004,MATCH($D2837,Workers!$A$5:$A$2004,0)),0))</f>
        <v>0</v>
      </c>
      <c r="T2837" s="26" t="str">
        <f aca="false">IF($D2837="","",O2837-R2837-S2837)</f>
        <v/>
      </c>
    </row>
    <row r="2838" customFormat="false" ht="15" hidden="false" customHeight="false" outlineLevel="0" collapsed="false">
      <c r="I2838" s="24" t="str">
        <f aca="false">IF($D2838="","",IFERROR(INDEX(Workers!$B$5:$B$2004,MATCH($D2838,Workers!$A$5:$A$2004,0)),"NOT FOUND"))</f>
        <v/>
      </c>
      <c r="J2838" s="24" t="str">
        <f aca="false">IF($D2838="","",IFERROR(INDEX(Workers!$C$5:$C$2004,MATCH($D2838,Workers!$A$5:$A$2004,0)),""))</f>
        <v/>
      </c>
      <c r="K2838" s="24" t="str">
        <f aca="false">IF($D2838="","",IFERROR(IF(INDEX(Workers!$D$5:$D$2004,MATCH($D2838,Workers!$A$5:$A$2004,0))=0,"",INDEX(Workers!$D$5:$D$2004,MATCH($D2838,Workers!$A$5:$A$2004,0))),""))</f>
        <v/>
      </c>
      <c r="L2838" s="24" t="str">
        <f aca="false">IF($D2838="","",IFERROR(INDEX(Workers!$E$5:$E$2004,MATCH($D2838,Workers!$A$5:$A$2004,0)),""))</f>
        <v/>
      </c>
      <c r="M2838" s="26" t="str">
        <f aca="false">IF($D2838="","",IFERROR(INDEX(ClientRates!$D$5:$D$500,MATCH($B2838&amp;"|"&amp;$L2838,ClientRates!$A$5:$A$500,0)),0))</f>
        <v/>
      </c>
      <c r="N2838" s="26" t="str">
        <f aca="false">IF($D2838="","",IFERROR(INDEX(ClientRates!$E$5:$E$500,MATCH($B2838&amp;"|"&amp;$L2838,ClientRates!$A$5:$A$500,0)),0))</f>
        <v/>
      </c>
      <c r="O2838" s="26" t="str">
        <f aca="false">IF($D2838="","",F2838*M2838+G2838*N2838)</f>
        <v/>
      </c>
      <c r="P2838" s="26" t="str">
        <f aca="false">IF(OR($D2838="",$J2838&lt;&gt;"Supplier"),"",IFERROR(INDEX(SupplierRates!$D$5:$D$500,MATCH($K2838&amp;"|"&amp;$L2838,SupplierRates!$A$5:$A$500,0)),0))</f>
        <v/>
      </c>
      <c r="Q2838" s="26" t="str">
        <f aca="false">IF(OR($D2838="",$J2838&lt;&gt;"Supplier"),"",IFERROR(INDEX(SupplierRates!$E$5:$E$500,MATCH($K2838&amp;"|"&amp;$L2838,SupplierRates!$A$5:$A$500,0)),0))</f>
        <v/>
      </c>
      <c r="R2838" s="26" t="n">
        <f aca="false">IF(OR($D2838="",$J2838&lt;&gt;"Supplier"),0,F2838*P2838+G2838*Q2838)</f>
        <v>0</v>
      </c>
      <c r="S2838" s="26" t="n">
        <f aca="false">IF(OR($D2838="",$J2838&lt;&gt;"Own"),0,IFERROR((F2838+G2838*Settings!$B$13)*INDEX(Workers!$V$5:$V$2004,MATCH($D2838,Workers!$A$5:$A$2004,0)),0))</f>
        <v>0</v>
      </c>
      <c r="T2838" s="26" t="str">
        <f aca="false">IF($D2838="","",O2838-R2838-S2838)</f>
        <v/>
      </c>
    </row>
    <row r="2839" customFormat="false" ht="15" hidden="false" customHeight="false" outlineLevel="0" collapsed="false">
      <c r="I2839" s="24" t="str">
        <f aca="false">IF($D2839="","",IFERROR(INDEX(Workers!$B$5:$B$2004,MATCH($D2839,Workers!$A$5:$A$2004,0)),"NOT FOUND"))</f>
        <v/>
      </c>
      <c r="J2839" s="24" t="str">
        <f aca="false">IF($D2839="","",IFERROR(INDEX(Workers!$C$5:$C$2004,MATCH($D2839,Workers!$A$5:$A$2004,0)),""))</f>
        <v/>
      </c>
      <c r="K2839" s="24" t="str">
        <f aca="false">IF($D2839="","",IFERROR(IF(INDEX(Workers!$D$5:$D$2004,MATCH($D2839,Workers!$A$5:$A$2004,0))=0,"",INDEX(Workers!$D$5:$D$2004,MATCH($D2839,Workers!$A$5:$A$2004,0))),""))</f>
        <v/>
      </c>
      <c r="L2839" s="24" t="str">
        <f aca="false">IF($D2839="","",IFERROR(INDEX(Workers!$E$5:$E$2004,MATCH($D2839,Workers!$A$5:$A$2004,0)),""))</f>
        <v/>
      </c>
      <c r="M2839" s="26" t="str">
        <f aca="false">IF($D2839="","",IFERROR(INDEX(ClientRates!$D$5:$D$500,MATCH($B2839&amp;"|"&amp;$L2839,ClientRates!$A$5:$A$500,0)),0))</f>
        <v/>
      </c>
      <c r="N2839" s="26" t="str">
        <f aca="false">IF($D2839="","",IFERROR(INDEX(ClientRates!$E$5:$E$500,MATCH($B2839&amp;"|"&amp;$L2839,ClientRates!$A$5:$A$500,0)),0))</f>
        <v/>
      </c>
      <c r="O2839" s="26" t="str">
        <f aca="false">IF($D2839="","",F2839*M2839+G2839*N2839)</f>
        <v/>
      </c>
      <c r="P2839" s="26" t="str">
        <f aca="false">IF(OR($D2839="",$J2839&lt;&gt;"Supplier"),"",IFERROR(INDEX(SupplierRates!$D$5:$D$500,MATCH($K2839&amp;"|"&amp;$L2839,SupplierRates!$A$5:$A$500,0)),0))</f>
        <v/>
      </c>
      <c r="Q2839" s="26" t="str">
        <f aca="false">IF(OR($D2839="",$J2839&lt;&gt;"Supplier"),"",IFERROR(INDEX(SupplierRates!$E$5:$E$500,MATCH($K2839&amp;"|"&amp;$L2839,SupplierRates!$A$5:$A$500,0)),0))</f>
        <v/>
      </c>
      <c r="R2839" s="26" t="n">
        <f aca="false">IF(OR($D2839="",$J2839&lt;&gt;"Supplier"),0,F2839*P2839+G2839*Q2839)</f>
        <v>0</v>
      </c>
      <c r="S2839" s="26" t="n">
        <f aca="false">IF(OR($D2839="",$J2839&lt;&gt;"Own"),0,IFERROR((F2839+G2839*Settings!$B$13)*INDEX(Workers!$V$5:$V$2004,MATCH($D2839,Workers!$A$5:$A$2004,0)),0))</f>
        <v>0</v>
      </c>
      <c r="T2839" s="26" t="str">
        <f aca="false">IF($D2839="","",O2839-R2839-S2839)</f>
        <v/>
      </c>
    </row>
    <row r="2840" customFormat="false" ht="15" hidden="false" customHeight="false" outlineLevel="0" collapsed="false">
      <c r="I2840" s="24" t="str">
        <f aca="false">IF($D2840="","",IFERROR(INDEX(Workers!$B$5:$B$2004,MATCH($D2840,Workers!$A$5:$A$2004,0)),"NOT FOUND"))</f>
        <v/>
      </c>
      <c r="J2840" s="24" t="str">
        <f aca="false">IF($D2840="","",IFERROR(INDEX(Workers!$C$5:$C$2004,MATCH($D2840,Workers!$A$5:$A$2004,0)),""))</f>
        <v/>
      </c>
      <c r="K2840" s="24" t="str">
        <f aca="false">IF($D2840="","",IFERROR(IF(INDEX(Workers!$D$5:$D$2004,MATCH($D2840,Workers!$A$5:$A$2004,0))=0,"",INDEX(Workers!$D$5:$D$2004,MATCH($D2840,Workers!$A$5:$A$2004,0))),""))</f>
        <v/>
      </c>
      <c r="L2840" s="24" t="str">
        <f aca="false">IF($D2840="","",IFERROR(INDEX(Workers!$E$5:$E$2004,MATCH($D2840,Workers!$A$5:$A$2004,0)),""))</f>
        <v/>
      </c>
      <c r="M2840" s="26" t="str">
        <f aca="false">IF($D2840="","",IFERROR(INDEX(ClientRates!$D$5:$D$500,MATCH($B2840&amp;"|"&amp;$L2840,ClientRates!$A$5:$A$500,0)),0))</f>
        <v/>
      </c>
      <c r="N2840" s="26" t="str">
        <f aca="false">IF($D2840="","",IFERROR(INDEX(ClientRates!$E$5:$E$500,MATCH($B2840&amp;"|"&amp;$L2840,ClientRates!$A$5:$A$500,0)),0))</f>
        <v/>
      </c>
      <c r="O2840" s="26" t="str">
        <f aca="false">IF($D2840="","",F2840*M2840+G2840*N2840)</f>
        <v/>
      </c>
      <c r="P2840" s="26" t="str">
        <f aca="false">IF(OR($D2840="",$J2840&lt;&gt;"Supplier"),"",IFERROR(INDEX(SupplierRates!$D$5:$D$500,MATCH($K2840&amp;"|"&amp;$L2840,SupplierRates!$A$5:$A$500,0)),0))</f>
        <v/>
      </c>
      <c r="Q2840" s="26" t="str">
        <f aca="false">IF(OR($D2840="",$J2840&lt;&gt;"Supplier"),"",IFERROR(INDEX(SupplierRates!$E$5:$E$500,MATCH($K2840&amp;"|"&amp;$L2840,SupplierRates!$A$5:$A$500,0)),0))</f>
        <v/>
      </c>
      <c r="R2840" s="26" t="n">
        <f aca="false">IF(OR($D2840="",$J2840&lt;&gt;"Supplier"),0,F2840*P2840+G2840*Q2840)</f>
        <v>0</v>
      </c>
      <c r="S2840" s="26" t="n">
        <f aca="false">IF(OR($D2840="",$J2840&lt;&gt;"Own"),0,IFERROR((F2840+G2840*Settings!$B$13)*INDEX(Workers!$V$5:$V$2004,MATCH($D2840,Workers!$A$5:$A$2004,0)),0))</f>
        <v>0</v>
      </c>
      <c r="T2840" s="26" t="str">
        <f aca="false">IF($D2840="","",O2840-R2840-S2840)</f>
        <v/>
      </c>
    </row>
    <row r="2841" customFormat="false" ht="15" hidden="false" customHeight="false" outlineLevel="0" collapsed="false">
      <c r="I2841" s="24" t="str">
        <f aca="false">IF($D2841="","",IFERROR(INDEX(Workers!$B$5:$B$2004,MATCH($D2841,Workers!$A$5:$A$2004,0)),"NOT FOUND"))</f>
        <v/>
      </c>
      <c r="J2841" s="24" t="str">
        <f aca="false">IF($D2841="","",IFERROR(INDEX(Workers!$C$5:$C$2004,MATCH($D2841,Workers!$A$5:$A$2004,0)),""))</f>
        <v/>
      </c>
      <c r="K2841" s="24" t="str">
        <f aca="false">IF($D2841="","",IFERROR(IF(INDEX(Workers!$D$5:$D$2004,MATCH($D2841,Workers!$A$5:$A$2004,0))=0,"",INDEX(Workers!$D$5:$D$2004,MATCH($D2841,Workers!$A$5:$A$2004,0))),""))</f>
        <v/>
      </c>
      <c r="L2841" s="24" t="str">
        <f aca="false">IF($D2841="","",IFERROR(INDEX(Workers!$E$5:$E$2004,MATCH($D2841,Workers!$A$5:$A$2004,0)),""))</f>
        <v/>
      </c>
      <c r="M2841" s="26" t="str">
        <f aca="false">IF($D2841="","",IFERROR(INDEX(ClientRates!$D$5:$D$500,MATCH($B2841&amp;"|"&amp;$L2841,ClientRates!$A$5:$A$500,0)),0))</f>
        <v/>
      </c>
      <c r="N2841" s="26" t="str">
        <f aca="false">IF($D2841="","",IFERROR(INDEX(ClientRates!$E$5:$E$500,MATCH($B2841&amp;"|"&amp;$L2841,ClientRates!$A$5:$A$500,0)),0))</f>
        <v/>
      </c>
      <c r="O2841" s="26" t="str">
        <f aca="false">IF($D2841="","",F2841*M2841+G2841*N2841)</f>
        <v/>
      </c>
      <c r="P2841" s="26" t="str">
        <f aca="false">IF(OR($D2841="",$J2841&lt;&gt;"Supplier"),"",IFERROR(INDEX(SupplierRates!$D$5:$D$500,MATCH($K2841&amp;"|"&amp;$L2841,SupplierRates!$A$5:$A$500,0)),0))</f>
        <v/>
      </c>
      <c r="Q2841" s="26" t="str">
        <f aca="false">IF(OR($D2841="",$J2841&lt;&gt;"Supplier"),"",IFERROR(INDEX(SupplierRates!$E$5:$E$500,MATCH($K2841&amp;"|"&amp;$L2841,SupplierRates!$A$5:$A$500,0)),0))</f>
        <v/>
      </c>
      <c r="R2841" s="26" t="n">
        <f aca="false">IF(OR($D2841="",$J2841&lt;&gt;"Supplier"),0,F2841*P2841+G2841*Q2841)</f>
        <v>0</v>
      </c>
      <c r="S2841" s="26" t="n">
        <f aca="false">IF(OR($D2841="",$J2841&lt;&gt;"Own"),0,IFERROR((F2841+G2841*Settings!$B$13)*INDEX(Workers!$V$5:$V$2004,MATCH($D2841,Workers!$A$5:$A$2004,0)),0))</f>
        <v>0</v>
      </c>
      <c r="T2841" s="26" t="str">
        <f aca="false">IF($D2841="","",O2841-R2841-S2841)</f>
        <v/>
      </c>
    </row>
    <row r="2842" customFormat="false" ht="15" hidden="false" customHeight="false" outlineLevel="0" collapsed="false">
      <c r="I2842" s="24" t="str">
        <f aca="false">IF($D2842="","",IFERROR(INDEX(Workers!$B$5:$B$2004,MATCH($D2842,Workers!$A$5:$A$2004,0)),"NOT FOUND"))</f>
        <v/>
      </c>
      <c r="J2842" s="24" t="str">
        <f aca="false">IF($D2842="","",IFERROR(INDEX(Workers!$C$5:$C$2004,MATCH($D2842,Workers!$A$5:$A$2004,0)),""))</f>
        <v/>
      </c>
      <c r="K2842" s="24" t="str">
        <f aca="false">IF($D2842="","",IFERROR(IF(INDEX(Workers!$D$5:$D$2004,MATCH($D2842,Workers!$A$5:$A$2004,0))=0,"",INDEX(Workers!$D$5:$D$2004,MATCH($D2842,Workers!$A$5:$A$2004,0))),""))</f>
        <v/>
      </c>
      <c r="L2842" s="24" t="str">
        <f aca="false">IF($D2842="","",IFERROR(INDEX(Workers!$E$5:$E$2004,MATCH($D2842,Workers!$A$5:$A$2004,0)),""))</f>
        <v/>
      </c>
      <c r="M2842" s="26" t="str">
        <f aca="false">IF($D2842="","",IFERROR(INDEX(ClientRates!$D$5:$D$500,MATCH($B2842&amp;"|"&amp;$L2842,ClientRates!$A$5:$A$500,0)),0))</f>
        <v/>
      </c>
      <c r="N2842" s="26" t="str">
        <f aca="false">IF($D2842="","",IFERROR(INDEX(ClientRates!$E$5:$E$500,MATCH($B2842&amp;"|"&amp;$L2842,ClientRates!$A$5:$A$500,0)),0))</f>
        <v/>
      </c>
      <c r="O2842" s="26" t="str">
        <f aca="false">IF($D2842="","",F2842*M2842+G2842*N2842)</f>
        <v/>
      </c>
      <c r="P2842" s="26" t="str">
        <f aca="false">IF(OR($D2842="",$J2842&lt;&gt;"Supplier"),"",IFERROR(INDEX(SupplierRates!$D$5:$D$500,MATCH($K2842&amp;"|"&amp;$L2842,SupplierRates!$A$5:$A$500,0)),0))</f>
        <v/>
      </c>
      <c r="Q2842" s="26" t="str">
        <f aca="false">IF(OR($D2842="",$J2842&lt;&gt;"Supplier"),"",IFERROR(INDEX(SupplierRates!$E$5:$E$500,MATCH($K2842&amp;"|"&amp;$L2842,SupplierRates!$A$5:$A$500,0)),0))</f>
        <v/>
      </c>
      <c r="R2842" s="26" t="n">
        <f aca="false">IF(OR($D2842="",$J2842&lt;&gt;"Supplier"),0,F2842*P2842+G2842*Q2842)</f>
        <v>0</v>
      </c>
      <c r="S2842" s="26" t="n">
        <f aca="false">IF(OR($D2842="",$J2842&lt;&gt;"Own"),0,IFERROR((F2842+G2842*Settings!$B$13)*INDEX(Workers!$V$5:$V$2004,MATCH($D2842,Workers!$A$5:$A$2004,0)),0))</f>
        <v>0</v>
      </c>
      <c r="T2842" s="26" t="str">
        <f aca="false">IF($D2842="","",O2842-R2842-S2842)</f>
        <v/>
      </c>
    </row>
    <row r="2843" customFormat="false" ht="15" hidden="false" customHeight="false" outlineLevel="0" collapsed="false">
      <c r="I2843" s="24" t="str">
        <f aca="false">IF($D2843="","",IFERROR(INDEX(Workers!$B$5:$B$2004,MATCH($D2843,Workers!$A$5:$A$2004,0)),"NOT FOUND"))</f>
        <v/>
      </c>
      <c r="J2843" s="24" t="str">
        <f aca="false">IF($D2843="","",IFERROR(INDEX(Workers!$C$5:$C$2004,MATCH($D2843,Workers!$A$5:$A$2004,0)),""))</f>
        <v/>
      </c>
      <c r="K2843" s="24" t="str">
        <f aca="false">IF($D2843="","",IFERROR(IF(INDEX(Workers!$D$5:$D$2004,MATCH($D2843,Workers!$A$5:$A$2004,0))=0,"",INDEX(Workers!$D$5:$D$2004,MATCH($D2843,Workers!$A$5:$A$2004,0))),""))</f>
        <v/>
      </c>
      <c r="L2843" s="24" t="str">
        <f aca="false">IF($D2843="","",IFERROR(INDEX(Workers!$E$5:$E$2004,MATCH($D2843,Workers!$A$5:$A$2004,0)),""))</f>
        <v/>
      </c>
      <c r="M2843" s="26" t="str">
        <f aca="false">IF($D2843="","",IFERROR(INDEX(ClientRates!$D$5:$D$500,MATCH($B2843&amp;"|"&amp;$L2843,ClientRates!$A$5:$A$500,0)),0))</f>
        <v/>
      </c>
      <c r="N2843" s="26" t="str">
        <f aca="false">IF($D2843="","",IFERROR(INDEX(ClientRates!$E$5:$E$500,MATCH($B2843&amp;"|"&amp;$L2843,ClientRates!$A$5:$A$500,0)),0))</f>
        <v/>
      </c>
      <c r="O2843" s="26" t="str">
        <f aca="false">IF($D2843="","",F2843*M2843+G2843*N2843)</f>
        <v/>
      </c>
      <c r="P2843" s="26" t="str">
        <f aca="false">IF(OR($D2843="",$J2843&lt;&gt;"Supplier"),"",IFERROR(INDEX(SupplierRates!$D$5:$D$500,MATCH($K2843&amp;"|"&amp;$L2843,SupplierRates!$A$5:$A$500,0)),0))</f>
        <v/>
      </c>
      <c r="Q2843" s="26" t="str">
        <f aca="false">IF(OR($D2843="",$J2843&lt;&gt;"Supplier"),"",IFERROR(INDEX(SupplierRates!$E$5:$E$500,MATCH($K2843&amp;"|"&amp;$L2843,SupplierRates!$A$5:$A$500,0)),0))</f>
        <v/>
      </c>
      <c r="R2843" s="26" t="n">
        <f aca="false">IF(OR($D2843="",$J2843&lt;&gt;"Supplier"),0,F2843*P2843+G2843*Q2843)</f>
        <v>0</v>
      </c>
      <c r="S2843" s="26" t="n">
        <f aca="false">IF(OR($D2843="",$J2843&lt;&gt;"Own"),0,IFERROR((F2843+G2843*Settings!$B$13)*INDEX(Workers!$V$5:$V$2004,MATCH($D2843,Workers!$A$5:$A$2004,0)),0))</f>
        <v>0</v>
      </c>
      <c r="T2843" s="26" t="str">
        <f aca="false">IF($D2843="","",O2843-R2843-S2843)</f>
        <v/>
      </c>
    </row>
    <row r="2844" customFormat="false" ht="15" hidden="false" customHeight="false" outlineLevel="0" collapsed="false">
      <c r="I2844" s="24" t="str">
        <f aca="false">IF($D2844="","",IFERROR(INDEX(Workers!$B$5:$B$2004,MATCH($D2844,Workers!$A$5:$A$2004,0)),"NOT FOUND"))</f>
        <v/>
      </c>
      <c r="J2844" s="24" t="str">
        <f aca="false">IF($D2844="","",IFERROR(INDEX(Workers!$C$5:$C$2004,MATCH($D2844,Workers!$A$5:$A$2004,0)),""))</f>
        <v/>
      </c>
      <c r="K2844" s="24" t="str">
        <f aca="false">IF($D2844="","",IFERROR(IF(INDEX(Workers!$D$5:$D$2004,MATCH($D2844,Workers!$A$5:$A$2004,0))=0,"",INDEX(Workers!$D$5:$D$2004,MATCH($D2844,Workers!$A$5:$A$2004,0))),""))</f>
        <v/>
      </c>
      <c r="L2844" s="24" t="str">
        <f aca="false">IF($D2844="","",IFERROR(INDEX(Workers!$E$5:$E$2004,MATCH($D2844,Workers!$A$5:$A$2004,0)),""))</f>
        <v/>
      </c>
      <c r="M2844" s="26" t="str">
        <f aca="false">IF($D2844="","",IFERROR(INDEX(ClientRates!$D$5:$D$500,MATCH($B2844&amp;"|"&amp;$L2844,ClientRates!$A$5:$A$500,0)),0))</f>
        <v/>
      </c>
      <c r="N2844" s="26" t="str">
        <f aca="false">IF($D2844="","",IFERROR(INDEX(ClientRates!$E$5:$E$500,MATCH($B2844&amp;"|"&amp;$L2844,ClientRates!$A$5:$A$500,0)),0))</f>
        <v/>
      </c>
      <c r="O2844" s="26" t="str">
        <f aca="false">IF($D2844="","",F2844*M2844+G2844*N2844)</f>
        <v/>
      </c>
      <c r="P2844" s="26" t="str">
        <f aca="false">IF(OR($D2844="",$J2844&lt;&gt;"Supplier"),"",IFERROR(INDEX(SupplierRates!$D$5:$D$500,MATCH($K2844&amp;"|"&amp;$L2844,SupplierRates!$A$5:$A$500,0)),0))</f>
        <v/>
      </c>
      <c r="Q2844" s="26" t="str">
        <f aca="false">IF(OR($D2844="",$J2844&lt;&gt;"Supplier"),"",IFERROR(INDEX(SupplierRates!$E$5:$E$500,MATCH($K2844&amp;"|"&amp;$L2844,SupplierRates!$A$5:$A$500,0)),0))</f>
        <v/>
      </c>
      <c r="R2844" s="26" t="n">
        <f aca="false">IF(OR($D2844="",$J2844&lt;&gt;"Supplier"),0,F2844*P2844+G2844*Q2844)</f>
        <v>0</v>
      </c>
      <c r="S2844" s="26" t="n">
        <f aca="false">IF(OR($D2844="",$J2844&lt;&gt;"Own"),0,IFERROR((F2844+G2844*Settings!$B$13)*INDEX(Workers!$V$5:$V$2004,MATCH($D2844,Workers!$A$5:$A$2004,0)),0))</f>
        <v>0</v>
      </c>
      <c r="T2844" s="26" t="str">
        <f aca="false">IF($D2844="","",O2844-R2844-S2844)</f>
        <v/>
      </c>
    </row>
    <row r="2845" customFormat="false" ht="15" hidden="false" customHeight="false" outlineLevel="0" collapsed="false">
      <c r="I2845" s="24" t="str">
        <f aca="false">IF($D2845="","",IFERROR(INDEX(Workers!$B$5:$B$2004,MATCH($D2845,Workers!$A$5:$A$2004,0)),"NOT FOUND"))</f>
        <v/>
      </c>
      <c r="J2845" s="24" t="str">
        <f aca="false">IF($D2845="","",IFERROR(INDEX(Workers!$C$5:$C$2004,MATCH($D2845,Workers!$A$5:$A$2004,0)),""))</f>
        <v/>
      </c>
      <c r="K2845" s="24" t="str">
        <f aca="false">IF($D2845="","",IFERROR(IF(INDEX(Workers!$D$5:$D$2004,MATCH($D2845,Workers!$A$5:$A$2004,0))=0,"",INDEX(Workers!$D$5:$D$2004,MATCH($D2845,Workers!$A$5:$A$2004,0))),""))</f>
        <v/>
      </c>
      <c r="L2845" s="24" t="str">
        <f aca="false">IF($D2845="","",IFERROR(INDEX(Workers!$E$5:$E$2004,MATCH($D2845,Workers!$A$5:$A$2004,0)),""))</f>
        <v/>
      </c>
      <c r="M2845" s="26" t="str">
        <f aca="false">IF($D2845="","",IFERROR(INDEX(ClientRates!$D$5:$D$500,MATCH($B2845&amp;"|"&amp;$L2845,ClientRates!$A$5:$A$500,0)),0))</f>
        <v/>
      </c>
      <c r="N2845" s="26" t="str">
        <f aca="false">IF($D2845="","",IFERROR(INDEX(ClientRates!$E$5:$E$500,MATCH($B2845&amp;"|"&amp;$L2845,ClientRates!$A$5:$A$500,0)),0))</f>
        <v/>
      </c>
      <c r="O2845" s="26" t="str">
        <f aca="false">IF($D2845="","",F2845*M2845+G2845*N2845)</f>
        <v/>
      </c>
      <c r="P2845" s="26" t="str">
        <f aca="false">IF(OR($D2845="",$J2845&lt;&gt;"Supplier"),"",IFERROR(INDEX(SupplierRates!$D$5:$D$500,MATCH($K2845&amp;"|"&amp;$L2845,SupplierRates!$A$5:$A$500,0)),0))</f>
        <v/>
      </c>
      <c r="Q2845" s="26" t="str">
        <f aca="false">IF(OR($D2845="",$J2845&lt;&gt;"Supplier"),"",IFERROR(INDEX(SupplierRates!$E$5:$E$500,MATCH($K2845&amp;"|"&amp;$L2845,SupplierRates!$A$5:$A$500,0)),0))</f>
        <v/>
      </c>
      <c r="R2845" s="26" t="n">
        <f aca="false">IF(OR($D2845="",$J2845&lt;&gt;"Supplier"),0,F2845*P2845+G2845*Q2845)</f>
        <v>0</v>
      </c>
      <c r="S2845" s="26" t="n">
        <f aca="false">IF(OR($D2845="",$J2845&lt;&gt;"Own"),0,IFERROR((F2845+G2845*Settings!$B$13)*INDEX(Workers!$V$5:$V$2004,MATCH($D2845,Workers!$A$5:$A$2004,0)),0))</f>
        <v>0</v>
      </c>
      <c r="T2845" s="26" t="str">
        <f aca="false">IF($D2845="","",O2845-R2845-S2845)</f>
        <v/>
      </c>
    </row>
    <row r="2846" customFormat="false" ht="15" hidden="false" customHeight="false" outlineLevel="0" collapsed="false">
      <c r="I2846" s="24" t="str">
        <f aca="false">IF($D2846="","",IFERROR(INDEX(Workers!$B$5:$B$2004,MATCH($D2846,Workers!$A$5:$A$2004,0)),"NOT FOUND"))</f>
        <v/>
      </c>
      <c r="J2846" s="24" t="str">
        <f aca="false">IF($D2846="","",IFERROR(INDEX(Workers!$C$5:$C$2004,MATCH($D2846,Workers!$A$5:$A$2004,0)),""))</f>
        <v/>
      </c>
      <c r="K2846" s="24" t="str">
        <f aca="false">IF($D2846="","",IFERROR(IF(INDEX(Workers!$D$5:$D$2004,MATCH($D2846,Workers!$A$5:$A$2004,0))=0,"",INDEX(Workers!$D$5:$D$2004,MATCH($D2846,Workers!$A$5:$A$2004,0))),""))</f>
        <v/>
      </c>
      <c r="L2846" s="24" t="str">
        <f aca="false">IF($D2846="","",IFERROR(INDEX(Workers!$E$5:$E$2004,MATCH($D2846,Workers!$A$5:$A$2004,0)),""))</f>
        <v/>
      </c>
      <c r="M2846" s="26" t="str">
        <f aca="false">IF($D2846="","",IFERROR(INDEX(ClientRates!$D$5:$D$500,MATCH($B2846&amp;"|"&amp;$L2846,ClientRates!$A$5:$A$500,0)),0))</f>
        <v/>
      </c>
      <c r="N2846" s="26" t="str">
        <f aca="false">IF($D2846="","",IFERROR(INDEX(ClientRates!$E$5:$E$500,MATCH($B2846&amp;"|"&amp;$L2846,ClientRates!$A$5:$A$500,0)),0))</f>
        <v/>
      </c>
      <c r="O2846" s="26" t="str">
        <f aca="false">IF($D2846="","",F2846*M2846+G2846*N2846)</f>
        <v/>
      </c>
      <c r="P2846" s="26" t="str">
        <f aca="false">IF(OR($D2846="",$J2846&lt;&gt;"Supplier"),"",IFERROR(INDEX(SupplierRates!$D$5:$D$500,MATCH($K2846&amp;"|"&amp;$L2846,SupplierRates!$A$5:$A$500,0)),0))</f>
        <v/>
      </c>
      <c r="Q2846" s="26" t="str">
        <f aca="false">IF(OR($D2846="",$J2846&lt;&gt;"Supplier"),"",IFERROR(INDEX(SupplierRates!$E$5:$E$500,MATCH($K2846&amp;"|"&amp;$L2846,SupplierRates!$A$5:$A$500,0)),0))</f>
        <v/>
      </c>
      <c r="R2846" s="26" t="n">
        <f aca="false">IF(OR($D2846="",$J2846&lt;&gt;"Supplier"),0,F2846*P2846+G2846*Q2846)</f>
        <v>0</v>
      </c>
      <c r="S2846" s="26" t="n">
        <f aca="false">IF(OR($D2846="",$J2846&lt;&gt;"Own"),0,IFERROR((F2846+G2846*Settings!$B$13)*INDEX(Workers!$V$5:$V$2004,MATCH($D2846,Workers!$A$5:$A$2004,0)),0))</f>
        <v>0</v>
      </c>
      <c r="T2846" s="26" t="str">
        <f aca="false">IF($D2846="","",O2846-R2846-S2846)</f>
        <v/>
      </c>
    </row>
    <row r="2847" customFormat="false" ht="15" hidden="false" customHeight="false" outlineLevel="0" collapsed="false">
      <c r="I2847" s="24" t="str">
        <f aca="false">IF($D2847="","",IFERROR(INDEX(Workers!$B$5:$B$2004,MATCH($D2847,Workers!$A$5:$A$2004,0)),"NOT FOUND"))</f>
        <v/>
      </c>
      <c r="J2847" s="24" t="str">
        <f aca="false">IF($D2847="","",IFERROR(INDEX(Workers!$C$5:$C$2004,MATCH($D2847,Workers!$A$5:$A$2004,0)),""))</f>
        <v/>
      </c>
      <c r="K2847" s="24" t="str">
        <f aca="false">IF($D2847="","",IFERROR(IF(INDEX(Workers!$D$5:$D$2004,MATCH($D2847,Workers!$A$5:$A$2004,0))=0,"",INDEX(Workers!$D$5:$D$2004,MATCH($D2847,Workers!$A$5:$A$2004,0))),""))</f>
        <v/>
      </c>
      <c r="L2847" s="24" t="str">
        <f aca="false">IF($D2847="","",IFERROR(INDEX(Workers!$E$5:$E$2004,MATCH($D2847,Workers!$A$5:$A$2004,0)),""))</f>
        <v/>
      </c>
      <c r="M2847" s="26" t="str">
        <f aca="false">IF($D2847="","",IFERROR(INDEX(ClientRates!$D$5:$D$500,MATCH($B2847&amp;"|"&amp;$L2847,ClientRates!$A$5:$A$500,0)),0))</f>
        <v/>
      </c>
      <c r="N2847" s="26" t="str">
        <f aca="false">IF($D2847="","",IFERROR(INDEX(ClientRates!$E$5:$E$500,MATCH($B2847&amp;"|"&amp;$L2847,ClientRates!$A$5:$A$500,0)),0))</f>
        <v/>
      </c>
      <c r="O2847" s="26" t="str">
        <f aca="false">IF($D2847="","",F2847*M2847+G2847*N2847)</f>
        <v/>
      </c>
      <c r="P2847" s="26" t="str">
        <f aca="false">IF(OR($D2847="",$J2847&lt;&gt;"Supplier"),"",IFERROR(INDEX(SupplierRates!$D$5:$D$500,MATCH($K2847&amp;"|"&amp;$L2847,SupplierRates!$A$5:$A$500,0)),0))</f>
        <v/>
      </c>
      <c r="Q2847" s="26" t="str">
        <f aca="false">IF(OR($D2847="",$J2847&lt;&gt;"Supplier"),"",IFERROR(INDEX(SupplierRates!$E$5:$E$500,MATCH($K2847&amp;"|"&amp;$L2847,SupplierRates!$A$5:$A$500,0)),0))</f>
        <v/>
      </c>
      <c r="R2847" s="26" t="n">
        <f aca="false">IF(OR($D2847="",$J2847&lt;&gt;"Supplier"),0,F2847*P2847+G2847*Q2847)</f>
        <v>0</v>
      </c>
      <c r="S2847" s="26" t="n">
        <f aca="false">IF(OR($D2847="",$J2847&lt;&gt;"Own"),0,IFERROR((F2847+G2847*Settings!$B$13)*INDEX(Workers!$V$5:$V$2004,MATCH($D2847,Workers!$A$5:$A$2004,0)),0))</f>
        <v>0</v>
      </c>
      <c r="T2847" s="26" t="str">
        <f aca="false">IF($D2847="","",O2847-R2847-S2847)</f>
        <v/>
      </c>
    </row>
    <row r="2848" customFormat="false" ht="15" hidden="false" customHeight="false" outlineLevel="0" collapsed="false">
      <c r="I2848" s="24" t="str">
        <f aca="false">IF($D2848="","",IFERROR(INDEX(Workers!$B$5:$B$2004,MATCH($D2848,Workers!$A$5:$A$2004,0)),"NOT FOUND"))</f>
        <v/>
      </c>
      <c r="J2848" s="24" t="str">
        <f aca="false">IF($D2848="","",IFERROR(INDEX(Workers!$C$5:$C$2004,MATCH($D2848,Workers!$A$5:$A$2004,0)),""))</f>
        <v/>
      </c>
      <c r="K2848" s="24" t="str">
        <f aca="false">IF($D2848="","",IFERROR(IF(INDEX(Workers!$D$5:$D$2004,MATCH($D2848,Workers!$A$5:$A$2004,0))=0,"",INDEX(Workers!$D$5:$D$2004,MATCH($D2848,Workers!$A$5:$A$2004,0))),""))</f>
        <v/>
      </c>
      <c r="L2848" s="24" t="str">
        <f aca="false">IF($D2848="","",IFERROR(INDEX(Workers!$E$5:$E$2004,MATCH($D2848,Workers!$A$5:$A$2004,0)),""))</f>
        <v/>
      </c>
      <c r="M2848" s="26" t="str">
        <f aca="false">IF($D2848="","",IFERROR(INDEX(ClientRates!$D$5:$D$500,MATCH($B2848&amp;"|"&amp;$L2848,ClientRates!$A$5:$A$500,0)),0))</f>
        <v/>
      </c>
      <c r="N2848" s="26" t="str">
        <f aca="false">IF($D2848="","",IFERROR(INDEX(ClientRates!$E$5:$E$500,MATCH($B2848&amp;"|"&amp;$L2848,ClientRates!$A$5:$A$500,0)),0))</f>
        <v/>
      </c>
      <c r="O2848" s="26" t="str">
        <f aca="false">IF($D2848="","",F2848*M2848+G2848*N2848)</f>
        <v/>
      </c>
      <c r="P2848" s="26" t="str">
        <f aca="false">IF(OR($D2848="",$J2848&lt;&gt;"Supplier"),"",IFERROR(INDEX(SupplierRates!$D$5:$D$500,MATCH($K2848&amp;"|"&amp;$L2848,SupplierRates!$A$5:$A$500,0)),0))</f>
        <v/>
      </c>
      <c r="Q2848" s="26" t="str">
        <f aca="false">IF(OR($D2848="",$J2848&lt;&gt;"Supplier"),"",IFERROR(INDEX(SupplierRates!$E$5:$E$500,MATCH($K2848&amp;"|"&amp;$L2848,SupplierRates!$A$5:$A$500,0)),0))</f>
        <v/>
      </c>
      <c r="R2848" s="26" t="n">
        <f aca="false">IF(OR($D2848="",$J2848&lt;&gt;"Supplier"),0,F2848*P2848+G2848*Q2848)</f>
        <v>0</v>
      </c>
      <c r="S2848" s="26" t="n">
        <f aca="false">IF(OR($D2848="",$J2848&lt;&gt;"Own"),0,IFERROR((F2848+G2848*Settings!$B$13)*INDEX(Workers!$V$5:$V$2004,MATCH($D2848,Workers!$A$5:$A$2004,0)),0))</f>
        <v>0</v>
      </c>
      <c r="T2848" s="26" t="str">
        <f aca="false">IF($D2848="","",O2848-R2848-S2848)</f>
        <v/>
      </c>
    </row>
    <row r="2849" customFormat="false" ht="15" hidden="false" customHeight="false" outlineLevel="0" collapsed="false">
      <c r="I2849" s="24" t="str">
        <f aca="false">IF($D2849="","",IFERROR(INDEX(Workers!$B$5:$B$2004,MATCH($D2849,Workers!$A$5:$A$2004,0)),"NOT FOUND"))</f>
        <v/>
      </c>
      <c r="J2849" s="24" t="str">
        <f aca="false">IF($D2849="","",IFERROR(INDEX(Workers!$C$5:$C$2004,MATCH($D2849,Workers!$A$5:$A$2004,0)),""))</f>
        <v/>
      </c>
      <c r="K2849" s="24" t="str">
        <f aca="false">IF($D2849="","",IFERROR(IF(INDEX(Workers!$D$5:$D$2004,MATCH($D2849,Workers!$A$5:$A$2004,0))=0,"",INDEX(Workers!$D$5:$D$2004,MATCH($D2849,Workers!$A$5:$A$2004,0))),""))</f>
        <v/>
      </c>
      <c r="L2849" s="24" t="str">
        <f aca="false">IF($D2849="","",IFERROR(INDEX(Workers!$E$5:$E$2004,MATCH($D2849,Workers!$A$5:$A$2004,0)),""))</f>
        <v/>
      </c>
      <c r="M2849" s="26" t="str">
        <f aca="false">IF($D2849="","",IFERROR(INDEX(ClientRates!$D$5:$D$500,MATCH($B2849&amp;"|"&amp;$L2849,ClientRates!$A$5:$A$500,0)),0))</f>
        <v/>
      </c>
      <c r="N2849" s="26" t="str">
        <f aca="false">IF($D2849="","",IFERROR(INDEX(ClientRates!$E$5:$E$500,MATCH($B2849&amp;"|"&amp;$L2849,ClientRates!$A$5:$A$500,0)),0))</f>
        <v/>
      </c>
      <c r="O2849" s="26" t="str">
        <f aca="false">IF($D2849="","",F2849*M2849+G2849*N2849)</f>
        <v/>
      </c>
      <c r="P2849" s="26" t="str">
        <f aca="false">IF(OR($D2849="",$J2849&lt;&gt;"Supplier"),"",IFERROR(INDEX(SupplierRates!$D$5:$D$500,MATCH($K2849&amp;"|"&amp;$L2849,SupplierRates!$A$5:$A$500,0)),0))</f>
        <v/>
      </c>
      <c r="Q2849" s="26" t="str">
        <f aca="false">IF(OR($D2849="",$J2849&lt;&gt;"Supplier"),"",IFERROR(INDEX(SupplierRates!$E$5:$E$500,MATCH($K2849&amp;"|"&amp;$L2849,SupplierRates!$A$5:$A$500,0)),0))</f>
        <v/>
      </c>
      <c r="R2849" s="26" t="n">
        <f aca="false">IF(OR($D2849="",$J2849&lt;&gt;"Supplier"),0,F2849*P2849+G2849*Q2849)</f>
        <v>0</v>
      </c>
      <c r="S2849" s="26" t="n">
        <f aca="false">IF(OR($D2849="",$J2849&lt;&gt;"Own"),0,IFERROR((F2849+G2849*Settings!$B$13)*INDEX(Workers!$V$5:$V$2004,MATCH($D2849,Workers!$A$5:$A$2004,0)),0))</f>
        <v>0</v>
      </c>
      <c r="T2849" s="26" t="str">
        <f aca="false">IF($D2849="","",O2849-R2849-S2849)</f>
        <v/>
      </c>
    </row>
    <row r="2850" customFormat="false" ht="15" hidden="false" customHeight="false" outlineLevel="0" collapsed="false">
      <c r="I2850" s="24" t="str">
        <f aca="false">IF($D2850="","",IFERROR(INDEX(Workers!$B$5:$B$2004,MATCH($D2850,Workers!$A$5:$A$2004,0)),"NOT FOUND"))</f>
        <v/>
      </c>
      <c r="J2850" s="24" t="str">
        <f aca="false">IF($D2850="","",IFERROR(INDEX(Workers!$C$5:$C$2004,MATCH($D2850,Workers!$A$5:$A$2004,0)),""))</f>
        <v/>
      </c>
      <c r="K2850" s="24" t="str">
        <f aca="false">IF($D2850="","",IFERROR(IF(INDEX(Workers!$D$5:$D$2004,MATCH($D2850,Workers!$A$5:$A$2004,0))=0,"",INDEX(Workers!$D$5:$D$2004,MATCH($D2850,Workers!$A$5:$A$2004,0))),""))</f>
        <v/>
      </c>
      <c r="L2850" s="24" t="str">
        <f aca="false">IF($D2850="","",IFERROR(INDEX(Workers!$E$5:$E$2004,MATCH($D2850,Workers!$A$5:$A$2004,0)),""))</f>
        <v/>
      </c>
      <c r="M2850" s="26" t="str">
        <f aca="false">IF($D2850="","",IFERROR(INDEX(ClientRates!$D$5:$D$500,MATCH($B2850&amp;"|"&amp;$L2850,ClientRates!$A$5:$A$500,0)),0))</f>
        <v/>
      </c>
      <c r="N2850" s="26" t="str">
        <f aca="false">IF($D2850="","",IFERROR(INDEX(ClientRates!$E$5:$E$500,MATCH($B2850&amp;"|"&amp;$L2850,ClientRates!$A$5:$A$500,0)),0))</f>
        <v/>
      </c>
      <c r="O2850" s="26" t="str">
        <f aca="false">IF($D2850="","",F2850*M2850+G2850*N2850)</f>
        <v/>
      </c>
      <c r="P2850" s="26" t="str">
        <f aca="false">IF(OR($D2850="",$J2850&lt;&gt;"Supplier"),"",IFERROR(INDEX(SupplierRates!$D$5:$D$500,MATCH($K2850&amp;"|"&amp;$L2850,SupplierRates!$A$5:$A$500,0)),0))</f>
        <v/>
      </c>
      <c r="Q2850" s="26" t="str">
        <f aca="false">IF(OR($D2850="",$J2850&lt;&gt;"Supplier"),"",IFERROR(INDEX(SupplierRates!$E$5:$E$500,MATCH($K2850&amp;"|"&amp;$L2850,SupplierRates!$A$5:$A$500,0)),0))</f>
        <v/>
      </c>
      <c r="R2850" s="26" t="n">
        <f aca="false">IF(OR($D2850="",$J2850&lt;&gt;"Supplier"),0,F2850*P2850+G2850*Q2850)</f>
        <v>0</v>
      </c>
      <c r="S2850" s="26" t="n">
        <f aca="false">IF(OR($D2850="",$J2850&lt;&gt;"Own"),0,IFERROR((F2850+G2850*Settings!$B$13)*INDEX(Workers!$V$5:$V$2004,MATCH($D2850,Workers!$A$5:$A$2004,0)),0))</f>
        <v>0</v>
      </c>
      <c r="T2850" s="26" t="str">
        <f aca="false">IF($D2850="","",O2850-R2850-S2850)</f>
        <v/>
      </c>
    </row>
    <row r="2851" customFormat="false" ht="15" hidden="false" customHeight="false" outlineLevel="0" collapsed="false">
      <c r="I2851" s="24" t="str">
        <f aca="false">IF($D2851="","",IFERROR(INDEX(Workers!$B$5:$B$2004,MATCH($D2851,Workers!$A$5:$A$2004,0)),"NOT FOUND"))</f>
        <v/>
      </c>
      <c r="J2851" s="24" t="str">
        <f aca="false">IF($D2851="","",IFERROR(INDEX(Workers!$C$5:$C$2004,MATCH($D2851,Workers!$A$5:$A$2004,0)),""))</f>
        <v/>
      </c>
      <c r="K2851" s="24" t="str">
        <f aca="false">IF($D2851="","",IFERROR(IF(INDEX(Workers!$D$5:$D$2004,MATCH($D2851,Workers!$A$5:$A$2004,0))=0,"",INDEX(Workers!$D$5:$D$2004,MATCH($D2851,Workers!$A$5:$A$2004,0))),""))</f>
        <v/>
      </c>
      <c r="L2851" s="24" t="str">
        <f aca="false">IF($D2851="","",IFERROR(INDEX(Workers!$E$5:$E$2004,MATCH($D2851,Workers!$A$5:$A$2004,0)),""))</f>
        <v/>
      </c>
      <c r="M2851" s="26" t="str">
        <f aca="false">IF($D2851="","",IFERROR(INDEX(ClientRates!$D$5:$D$500,MATCH($B2851&amp;"|"&amp;$L2851,ClientRates!$A$5:$A$500,0)),0))</f>
        <v/>
      </c>
      <c r="N2851" s="26" t="str">
        <f aca="false">IF($D2851="","",IFERROR(INDEX(ClientRates!$E$5:$E$500,MATCH($B2851&amp;"|"&amp;$L2851,ClientRates!$A$5:$A$500,0)),0))</f>
        <v/>
      </c>
      <c r="O2851" s="26" t="str">
        <f aca="false">IF($D2851="","",F2851*M2851+G2851*N2851)</f>
        <v/>
      </c>
      <c r="P2851" s="26" t="str">
        <f aca="false">IF(OR($D2851="",$J2851&lt;&gt;"Supplier"),"",IFERROR(INDEX(SupplierRates!$D$5:$D$500,MATCH($K2851&amp;"|"&amp;$L2851,SupplierRates!$A$5:$A$500,0)),0))</f>
        <v/>
      </c>
      <c r="Q2851" s="26" t="str">
        <f aca="false">IF(OR($D2851="",$J2851&lt;&gt;"Supplier"),"",IFERROR(INDEX(SupplierRates!$E$5:$E$500,MATCH($K2851&amp;"|"&amp;$L2851,SupplierRates!$A$5:$A$500,0)),0))</f>
        <v/>
      </c>
      <c r="R2851" s="26" t="n">
        <f aca="false">IF(OR($D2851="",$J2851&lt;&gt;"Supplier"),0,F2851*P2851+G2851*Q2851)</f>
        <v>0</v>
      </c>
      <c r="S2851" s="26" t="n">
        <f aca="false">IF(OR($D2851="",$J2851&lt;&gt;"Own"),0,IFERROR((F2851+G2851*Settings!$B$13)*INDEX(Workers!$V$5:$V$2004,MATCH($D2851,Workers!$A$5:$A$2004,0)),0))</f>
        <v>0</v>
      </c>
      <c r="T2851" s="26" t="str">
        <f aca="false">IF($D2851="","",O2851-R2851-S2851)</f>
        <v/>
      </c>
    </row>
    <row r="2852" customFormat="false" ht="15" hidden="false" customHeight="false" outlineLevel="0" collapsed="false">
      <c r="I2852" s="24" t="str">
        <f aca="false">IF($D2852="","",IFERROR(INDEX(Workers!$B$5:$B$2004,MATCH($D2852,Workers!$A$5:$A$2004,0)),"NOT FOUND"))</f>
        <v/>
      </c>
      <c r="J2852" s="24" t="str">
        <f aca="false">IF($D2852="","",IFERROR(INDEX(Workers!$C$5:$C$2004,MATCH($D2852,Workers!$A$5:$A$2004,0)),""))</f>
        <v/>
      </c>
      <c r="K2852" s="24" t="str">
        <f aca="false">IF($D2852="","",IFERROR(IF(INDEX(Workers!$D$5:$D$2004,MATCH($D2852,Workers!$A$5:$A$2004,0))=0,"",INDEX(Workers!$D$5:$D$2004,MATCH($D2852,Workers!$A$5:$A$2004,0))),""))</f>
        <v/>
      </c>
      <c r="L2852" s="24" t="str">
        <f aca="false">IF($D2852="","",IFERROR(INDEX(Workers!$E$5:$E$2004,MATCH($D2852,Workers!$A$5:$A$2004,0)),""))</f>
        <v/>
      </c>
      <c r="M2852" s="26" t="str">
        <f aca="false">IF($D2852="","",IFERROR(INDEX(ClientRates!$D$5:$D$500,MATCH($B2852&amp;"|"&amp;$L2852,ClientRates!$A$5:$A$500,0)),0))</f>
        <v/>
      </c>
      <c r="N2852" s="26" t="str">
        <f aca="false">IF($D2852="","",IFERROR(INDEX(ClientRates!$E$5:$E$500,MATCH($B2852&amp;"|"&amp;$L2852,ClientRates!$A$5:$A$500,0)),0))</f>
        <v/>
      </c>
      <c r="O2852" s="26" t="str">
        <f aca="false">IF($D2852="","",F2852*M2852+G2852*N2852)</f>
        <v/>
      </c>
      <c r="P2852" s="26" t="str">
        <f aca="false">IF(OR($D2852="",$J2852&lt;&gt;"Supplier"),"",IFERROR(INDEX(SupplierRates!$D$5:$D$500,MATCH($K2852&amp;"|"&amp;$L2852,SupplierRates!$A$5:$A$500,0)),0))</f>
        <v/>
      </c>
      <c r="Q2852" s="26" t="str">
        <f aca="false">IF(OR($D2852="",$J2852&lt;&gt;"Supplier"),"",IFERROR(INDEX(SupplierRates!$E$5:$E$500,MATCH($K2852&amp;"|"&amp;$L2852,SupplierRates!$A$5:$A$500,0)),0))</f>
        <v/>
      </c>
      <c r="R2852" s="26" t="n">
        <f aca="false">IF(OR($D2852="",$J2852&lt;&gt;"Supplier"),0,F2852*P2852+G2852*Q2852)</f>
        <v>0</v>
      </c>
      <c r="S2852" s="26" t="n">
        <f aca="false">IF(OR($D2852="",$J2852&lt;&gt;"Own"),0,IFERROR((F2852+G2852*Settings!$B$13)*INDEX(Workers!$V$5:$V$2004,MATCH($D2852,Workers!$A$5:$A$2004,0)),0))</f>
        <v>0</v>
      </c>
      <c r="T2852" s="26" t="str">
        <f aca="false">IF($D2852="","",O2852-R2852-S2852)</f>
        <v/>
      </c>
    </row>
    <row r="2853" customFormat="false" ht="15" hidden="false" customHeight="false" outlineLevel="0" collapsed="false">
      <c r="I2853" s="24" t="str">
        <f aca="false">IF($D2853="","",IFERROR(INDEX(Workers!$B$5:$B$2004,MATCH($D2853,Workers!$A$5:$A$2004,0)),"NOT FOUND"))</f>
        <v/>
      </c>
      <c r="J2853" s="24" t="str">
        <f aca="false">IF($D2853="","",IFERROR(INDEX(Workers!$C$5:$C$2004,MATCH($D2853,Workers!$A$5:$A$2004,0)),""))</f>
        <v/>
      </c>
      <c r="K2853" s="24" t="str">
        <f aca="false">IF($D2853="","",IFERROR(IF(INDEX(Workers!$D$5:$D$2004,MATCH($D2853,Workers!$A$5:$A$2004,0))=0,"",INDEX(Workers!$D$5:$D$2004,MATCH($D2853,Workers!$A$5:$A$2004,0))),""))</f>
        <v/>
      </c>
      <c r="L2853" s="24" t="str">
        <f aca="false">IF($D2853="","",IFERROR(INDEX(Workers!$E$5:$E$2004,MATCH($D2853,Workers!$A$5:$A$2004,0)),""))</f>
        <v/>
      </c>
      <c r="M2853" s="26" t="str">
        <f aca="false">IF($D2853="","",IFERROR(INDEX(ClientRates!$D$5:$D$500,MATCH($B2853&amp;"|"&amp;$L2853,ClientRates!$A$5:$A$500,0)),0))</f>
        <v/>
      </c>
      <c r="N2853" s="26" t="str">
        <f aca="false">IF($D2853="","",IFERROR(INDEX(ClientRates!$E$5:$E$500,MATCH($B2853&amp;"|"&amp;$L2853,ClientRates!$A$5:$A$500,0)),0))</f>
        <v/>
      </c>
      <c r="O2853" s="26" t="str">
        <f aca="false">IF($D2853="","",F2853*M2853+G2853*N2853)</f>
        <v/>
      </c>
      <c r="P2853" s="26" t="str">
        <f aca="false">IF(OR($D2853="",$J2853&lt;&gt;"Supplier"),"",IFERROR(INDEX(SupplierRates!$D$5:$D$500,MATCH($K2853&amp;"|"&amp;$L2853,SupplierRates!$A$5:$A$500,0)),0))</f>
        <v/>
      </c>
      <c r="Q2853" s="26" t="str">
        <f aca="false">IF(OR($D2853="",$J2853&lt;&gt;"Supplier"),"",IFERROR(INDEX(SupplierRates!$E$5:$E$500,MATCH($K2853&amp;"|"&amp;$L2853,SupplierRates!$A$5:$A$500,0)),0))</f>
        <v/>
      </c>
      <c r="R2853" s="26" t="n">
        <f aca="false">IF(OR($D2853="",$J2853&lt;&gt;"Supplier"),0,F2853*P2853+G2853*Q2853)</f>
        <v>0</v>
      </c>
      <c r="S2853" s="26" t="n">
        <f aca="false">IF(OR($D2853="",$J2853&lt;&gt;"Own"),0,IFERROR((F2853+G2853*Settings!$B$13)*INDEX(Workers!$V$5:$V$2004,MATCH($D2853,Workers!$A$5:$A$2004,0)),0))</f>
        <v>0</v>
      </c>
      <c r="T2853" s="26" t="str">
        <f aca="false">IF($D2853="","",O2853-R2853-S2853)</f>
        <v/>
      </c>
    </row>
    <row r="2854" customFormat="false" ht="15" hidden="false" customHeight="false" outlineLevel="0" collapsed="false">
      <c r="I2854" s="24" t="str">
        <f aca="false">IF($D2854="","",IFERROR(INDEX(Workers!$B$5:$B$2004,MATCH($D2854,Workers!$A$5:$A$2004,0)),"NOT FOUND"))</f>
        <v/>
      </c>
      <c r="J2854" s="24" t="str">
        <f aca="false">IF($D2854="","",IFERROR(INDEX(Workers!$C$5:$C$2004,MATCH($D2854,Workers!$A$5:$A$2004,0)),""))</f>
        <v/>
      </c>
      <c r="K2854" s="24" t="str">
        <f aca="false">IF($D2854="","",IFERROR(IF(INDEX(Workers!$D$5:$D$2004,MATCH($D2854,Workers!$A$5:$A$2004,0))=0,"",INDEX(Workers!$D$5:$D$2004,MATCH($D2854,Workers!$A$5:$A$2004,0))),""))</f>
        <v/>
      </c>
      <c r="L2854" s="24" t="str">
        <f aca="false">IF($D2854="","",IFERROR(INDEX(Workers!$E$5:$E$2004,MATCH($D2854,Workers!$A$5:$A$2004,0)),""))</f>
        <v/>
      </c>
      <c r="M2854" s="26" t="str">
        <f aca="false">IF($D2854="","",IFERROR(INDEX(ClientRates!$D$5:$D$500,MATCH($B2854&amp;"|"&amp;$L2854,ClientRates!$A$5:$A$500,0)),0))</f>
        <v/>
      </c>
      <c r="N2854" s="26" t="str">
        <f aca="false">IF($D2854="","",IFERROR(INDEX(ClientRates!$E$5:$E$500,MATCH($B2854&amp;"|"&amp;$L2854,ClientRates!$A$5:$A$500,0)),0))</f>
        <v/>
      </c>
      <c r="O2854" s="26" t="str">
        <f aca="false">IF($D2854="","",F2854*M2854+G2854*N2854)</f>
        <v/>
      </c>
      <c r="P2854" s="26" t="str">
        <f aca="false">IF(OR($D2854="",$J2854&lt;&gt;"Supplier"),"",IFERROR(INDEX(SupplierRates!$D$5:$D$500,MATCH($K2854&amp;"|"&amp;$L2854,SupplierRates!$A$5:$A$500,0)),0))</f>
        <v/>
      </c>
      <c r="Q2854" s="26" t="str">
        <f aca="false">IF(OR($D2854="",$J2854&lt;&gt;"Supplier"),"",IFERROR(INDEX(SupplierRates!$E$5:$E$500,MATCH($K2854&amp;"|"&amp;$L2854,SupplierRates!$A$5:$A$500,0)),0))</f>
        <v/>
      </c>
      <c r="R2854" s="26" t="n">
        <f aca="false">IF(OR($D2854="",$J2854&lt;&gt;"Supplier"),0,F2854*P2854+G2854*Q2854)</f>
        <v>0</v>
      </c>
      <c r="S2854" s="26" t="n">
        <f aca="false">IF(OR($D2854="",$J2854&lt;&gt;"Own"),0,IFERROR((F2854+G2854*Settings!$B$13)*INDEX(Workers!$V$5:$V$2004,MATCH($D2854,Workers!$A$5:$A$2004,0)),0))</f>
        <v>0</v>
      </c>
      <c r="T2854" s="26" t="str">
        <f aca="false">IF($D2854="","",O2854-R2854-S2854)</f>
        <v/>
      </c>
    </row>
    <row r="2855" customFormat="false" ht="15" hidden="false" customHeight="false" outlineLevel="0" collapsed="false">
      <c r="I2855" s="24" t="str">
        <f aca="false">IF($D2855="","",IFERROR(INDEX(Workers!$B$5:$B$2004,MATCH($D2855,Workers!$A$5:$A$2004,0)),"NOT FOUND"))</f>
        <v/>
      </c>
      <c r="J2855" s="24" t="str">
        <f aca="false">IF($D2855="","",IFERROR(INDEX(Workers!$C$5:$C$2004,MATCH($D2855,Workers!$A$5:$A$2004,0)),""))</f>
        <v/>
      </c>
      <c r="K2855" s="24" t="str">
        <f aca="false">IF($D2855="","",IFERROR(IF(INDEX(Workers!$D$5:$D$2004,MATCH($D2855,Workers!$A$5:$A$2004,0))=0,"",INDEX(Workers!$D$5:$D$2004,MATCH($D2855,Workers!$A$5:$A$2004,0))),""))</f>
        <v/>
      </c>
      <c r="L2855" s="24" t="str">
        <f aca="false">IF($D2855="","",IFERROR(INDEX(Workers!$E$5:$E$2004,MATCH($D2855,Workers!$A$5:$A$2004,0)),""))</f>
        <v/>
      </c>
      <c r="M2855" s="26" t="str">
        <f aca="false">IF($D2855="","",IFERROR(INDEX(ClientRates!$D$5:$D$500,MATCH($B2855&amp;"|"&amp;$L2855,ClientRates!$A$5:$A$500,0)),0))</f>
        <v/>
      </c>
      <c r="N2855" s="26" t="str">
        <f aca="false">IF($D2855="","",IFERROR(INDEX(ClientRates!$E$5:$E$500,MATCH($B2855&amp;"|"&amp;$L2855,ClientRates!$A$5:$A$500,0)),0))</f>
        <v/>
      </c>
      <c r="O2855" s="26" t="str">
        <f aca="false">IF($D2855="","",F2855*M2855+G2855*N2855)</f>
        <v/>
      </c>
      <c r="P2855" s="26" t="str">
        <f aca="false">IF(OR($D2855="",$J2855&lt;&gt;"Supplier"),"",IFERROR(INDEX(SupplierRates!$D$5:$D$500,MATCH($K2855&amp;"|"&amp;$L2855,SupplierRates!$A$5:$A$500,0)),0))</f>
        <v/>
      </c>
      <c r="Q2855" s="26" t="str">
        <f aca="false">IF(OR($D2855="",$J2855&lt;&gt;"Supplier"),"",IFERROR(INDEX(SupplierRates!$E$5:$E$500,MATCH($K2855&amp;"|"&amp;$L2855,SupplierRates!$A$5:$A$500,0)),0))</f>
        <v/>
      </c>
      <c r="R2855" s="26" t="n">
        <f aca="false">IF(OR($D2855="",$J2855&lt;&gt;"Supplier"),0,F2855*P2855+G2855*Q2855)</f>
        <v>0</v>
      </c>
      <c r="S2855" s="26" t="n">
        <f aca="false">IF(OR($D2855="",$J2855&lt;&gt;"Own"),0,IFERROR((F2855+G2855*Settings!$B$13)*INDEX(Workers!$V$5:$V$2004,MATCH($D2855,Workers!$A$5:$A$2004,0)),0))</f>
        <v>0</v>
      </c>
      <c r="T2855" s="26" t="str">
        <f aca="false">IF($D2855="","",O2855-R2855-S2855)</f>
        <v/>
      </c>
    </row>
    <row r="2856" customFormat="false" ht="15" hidden="false" customHeight="false" outlineLevel="0" collapsed="false">
      <c r="I2856" s="24" t="str">
        <f aca="false">IF($D2856="","",IFERROR(INDEX(Workers!$B$5:$B$2004,MATCH($D2856,Workers!$A$5:$A$2004,0)),"NOT FOUND"))</f>
        <v/>
      </c>
      <c r="J2856" s="24" t="str">
        <f aca="false">IF($D2856="","",IFERROR(INDEX(Workers!$C$5:$C$2004,MATCH($D2856,Workers!$A$5:$A$2004,0)),""))</f>
        <v/>
      </c>
      <c r="K2856" s="24" t="str">
        <f aca="false">IF($D2856="","",IFERROR(IF(INDEX(Workers!$D$5:$D$2004,MATCH($D2856,Workers!$A$5:$A$2004,0))=0,"",INDEX(Workers!$D$5:$D$2004,MATCH($D2856,Workers!$A$5:$A$2004,0))),""))</f>
        <v/>
      </c>
      <c r="L2856" s="24" t="str">
        <f aca="false">IF($D2856="","",IFERROR(INDEX(Workers!$E$5:$E$2004,MATCH($D2856,Workers!$A$5:$A$2004,0)),""))</f>
        <v/>
      </c>
      <c r="M2856" s="26" t="str">
        <f aca="false">IF($D2856="","",IFERROR(INDEX(ClientRates!$D$5:$D$500,MATCH($B2856&amp;"|"&amp;$L2856,ClientRates!$A$5:$A$500,0)),0))</f>
        <v/>
      </c>
      <c r="N2856" s="26" t="str">
        <f aca="false">IF($D2856="","",IFERROR(INDEX(ClientRates!$E$5:$E$500,MATCH($B2856&amp;"|"&amp;$L2856,ClientRates!$A$5:$A$500,0)),0))</f>
        <v/>
      </c>
      <c r="O2856" s="26" t="str">
        <f aca="false">IF($D2856="","",F2856*M2856+G2856*N2856)</f>
        <v/>
      </c>
      <c r="P2856" s="26" t="str">
        <f aca="false">IF(OR($D2856="",$J2856&lt;&gt;"Supplier"),"",IFERROR(INDEX(SupplierRates!$D$5:$D$500,MATCH($K2856&amp;"|"&amp;$L2856,SupplierRates!$A$5:$A$500,0)),0))</f>
        <v/>
      </c>
      <c r="Q2856" s="26" t="str">
        <f aca="false">IF(OR($D2856="",$J2856&lt;&gt;"Supplier"),"",IFERROR(INDEX(SupplierRates!$E$5:$E$500,MATCH($K2856&amp;"|"&amp;$L2856,SupplierRates!$A$5:$A$500,0)),0))</f>
        <v/>
      </c>
      <c r="R2856" s="26" t="n">
        <f aca="false">IF(OR($D2856="",$J2856&lt;&gt;"Supplier"),0,F2856*P2856+G2856*Q2856)</f>
        <v>0</v>
      </c>
      <c r="S2856" s="26" t="n">
        <f aca="false">IF(OR($D2856="",$J2856&lt;&gt;"Own"),0,IFERROR((F2856+G2856*Settings!$B$13)*INDEX(Workers!$V$5:$V$2004,MATCH($D2856,Workers!$A$5:$A$2004,0)),0))</f>
        <v>0</v>
      </c>
      <c r="T2856" s="26" t="str">
        <f aca="false">IF($D2856="","",O2856-R2856-S2856)</f>
        <v/>
      </c>
    </row>
    <row r="2857" customFormat="false" ht="15" hidden="false" customHeight="false" outlineLevel="0" collapsed="false">
      <c r="I2857" s="24" t="str">
        <f aca="false">IF($D2857="","",IFERROR(INDEX(Workers!$B$5:$B$2004,MATCH($D2857,Workers!$A$5:$A$2004,0)),"NOT FOUND"))</f>
        <v/>
      </c>
      <c r="J2857" s="24" t="str">
        <f aca="false">IF($D2857="","",IFERROR(INDEX(Workers!$C$5:$C$2004,MATCH($D2857,Workers!$A$5:$A$2004,0)),""))</f>
        <v/>
      </c>
      <c r="K2857" s="24" t="str">
        <f aca="false">IF($D2857="","",IFERROR(IF(INDEX(Workers!$D$5:$D$2004,MATCH($D2857,Workers!$A$5:$A$2004,0))=0,"",INDEX(Workers!$D$5:$D$2004,MATCH($D2857,Workers!$A$5:$A$2004,0))),""))</f>
        <v/>
      </c>
      <c r="L2857" s="24" t="str">
        <f aca="false">IF($D2857="","",IFERROR(INDEX(Workers!$E$5:$E$2004,MATCH($D2857,Workers!$A$5:$A$2004,0)),""))</f>
        <v/>
      </c>
      <c r="M2857" s="26" t="str">
        <f aca="false">IF($D2857="","",IFERROR(INDEX(ClientRates!$D$5:$D$500,MATCH($B2857&amp;"|"&amp;$L2857,ClientRates!$A$5:$A$500,0)),0))</f>
        <v/>
      </c>
      <c r="N2857" s="26" t="str">
        <f aca="false">IF($D2857="","",IFERROR(INDEX(ClientRates!$E$5:$E$500,MATCH($B2857&amp;"|"&amp;$L2857,ClientRates!$A$5:$A$500,0)),0))</f>
        <v/>
      </c>
      <c r="O2857" s="26" t="str">
        <f aca="false">IF($D2857="","",F2857*M2857+G2857*N2857)</f>
        <v/>
      </c>
      <c r="P2857" s="26" t="str">
        <f aca="false">IF(OR($D2857="",$J2857&lt;&gt;"Supplier"),"",IFERROR(INDEX(SupplierRates!$D$5:$D$500,MATCH($K2857&amp;"|"&amp;$L2857,SupplierRates!$A$5:$A$500,0)),0))</f>
        <v/>
      </c>
      <c r="Q2857" s="26" t="str">
        <f aca="false">IF(OR($D2857="",$J2857&lt;&gt;"Supplier"),"",IFERROR(INDEX(SupplierRates!$E$5:$E$500,MATCH($K2857&amp;"|"&amp;$L2857,SupplierRates!$A$5:$A$500,0)),0))</f>
        <v/>
      </c>
      <c r="R2857" s="26" t="n">
        <f aca="false">IF(OR($D2857="",$J2857&lt;&gt;"Supplier"),0,F2857*P2857+G2857*Q2857)</f>
        <v>0</v>
      </c>
      <c r="S2857" s="26" t="n">
        <f aca="false">IF(OR($D2857="",$J2857&lt;&gt;"Own"),0,IFERROR((F2857+G2857*Settings!$B$13)*INDEX(Workers!$V$5:$V$2004,MATCH($D2857,Workers!$A$5:$A$2004,0)),0))</f>
        <v>0</v>
      </c>
      <c r="T2857" s="26" t="str">
        <f aca="false">IF($D2857="","",O2857-R2857-S2857)</f>
        <v/>
      </c>
    </row>
    <row r="2858" customFormat="false" ht="15" hidden="false" customHeight="false" outlineLevel="0" collapsed="false">
      <c r="I2858" s="24" t="str">
        <f aca="false">IF($D2858="","",IFERROR(INDEX(Workers!$B$5:$B$2004,MATCH($D2858,Workers!$A$5:$A$2004,0)),"NOT FOUND"))</f>
        <v/>
      </c>
      <c r="J2858" s="24" t="str">
        <f aca="false">IF($D2858="","",IFERROR(INDEX(Workers!$C$5:$C$2004,MATCH($D2858,Workers!$A$5:$A$2004,0)),""))</f>
        <v/>
      </c>
      <c r="K2858" s="24" t="str">
        <f aca="false">IF($D2858="","",IFERROR(IF(INDEX(Workers!$D$5:$D$2004,MATCH($D2858,Workers!$A$5:$A$2004,0))=0,"",INDEX(Workers!$D$5:$D$2004,MATCH($D2858,Workers!$A$5:$A$2004,0))),""))</f>
        <v/>
      </c>
      <c r="L2858" s="24" t="str">
        <f aca="false">IF($D2858="","",IFERROR(INDEX(Workers!$E$5:$E$2004,MATCH($D2858,Workers!$A$5:$A$2004,0)),""))</f>
        <v/>
      </c>
      <c r="M2858" s="26" t="str">
        <f aca="false">IF($D2858="","",IFERROR(INDEX(ClientRates!$D$5:$D$500,MATCH($B2858&amp;"|"&amp;$L2858,ClientRates!$A$5:$A$500,0)),0))</f>
        <v/>
      </c>
      <c r="N2858" s="26" t="str">
        <f aca="false">IF($D2858="","",IFERROR(INDEX(ClientRates!$E$5:$E$500,MATCH($B2858&amp;"|"&amp;$L2858,ClientRates!$A$5:$A$500,0)),0))</f>
        <v/>
      </c>
      <c r="O2858" s="26" t="str">
        <f aca="false">IF($D2858="","",F2858*M2858+G2858*N2858)</f>
        <v/>
      </c>
      <c r="P2858" s="26" t="str">
        <f aca="false">IF(OR($D2858="",$J2858&lt;&gt;"Supplier"),"",IFERROR(INDEX(SupplierRates!$D$5:$D$500,MATCH($K2858&amp;"|"&amp;$L2858,SupplierRates!$A$5:$A$500,0)),0))</f>
        <v/>
      </c>
      <c r="Q2858" s="26" t="str">
        <f aca="false">IF(OR($D2858="",$J2858&lt;&gt;"Supplier"),"",IFERROR(INDEX(SupplierRates!$E$5:$E$500,MATCH($K2858&amp;"|"&amp;$L2858,SupplierRates!$A$5:$A$500,0)),0))</f>
        <v/>
      </c>
      <c r="R2858" s="26" t="n">
        <f aca="false">IF(OR($D2858="",$J2858&lt;&gt;"Supplier"),0,F2858*P2858+G2858*Q2858)</f>
        <v>0</v>
      </c>
      <c r="S2858" s="26" t="n">
        <f aca="false">IF(OR($D2858="",$J2858&lt;&gt;"Own"),0,IFERROR((F2858+G2858*Settings!$B$13)*INDEX(Workers!$V$5:$V$2004,MATCH($D2858,Workers!$A$5:$A$2004,0)),0))</f>
        <v>0</v>
      </c>
      <c r="T2858" s="26" t="str">
        <f aca="false">IF($D2858="","",O2858-R2858-S2858)</f>
        <v/>
      </c>
    </row>
    <row r="2859" customFormat="false" ht="15" hidden="false" customHeight="false" outlineLevel="0" collapsed="false">
      <c r="I2859" s="24" t="str">
        <f aca="false">IF($D2859="","",IFERROR(INDEX(Workers!$B$5:$B$2004,MATCH($D2859,Workers!$A$5:$A$2004,0)),"NOT FOUND"))</f>
        <v/>
      </c>
      <c r="J2859" s="24" t="str">
        <f aca="false">IF($D2859="","",IFERROR(INDEX(Workers!$C$5:$C$2004,MATCH($D2859,Workers!$A$5:$A$2004,0)),""))</f>
        <v/>
      </c>
      <c r="K2859" s="24" t="str">
        <f aca="false">IF($D2859="","",IFERROR(IF(INDEX(Workers!$D$5:$D$2004,MATCH($D2859,Workers!$A$5:$A$2004,0))=0,"",INDEX(Workers!$D$5:$D$2004,MATCH($D2859,Workers!$A$5:$A$2004,0))),""))</f>
        <v/>
      </c>
      <c r="L2859" s="24" t="str">
        <f aca="false">IF($D2859="","",IFERROR(INDEX(Workers!$E$5:$E$2004,MATCH($D2859,Workers!$A$5:$A$2004,0)),""))</f>
        <v/>
      </c>
      <c r="M2859" s="26" t="str">
        <f aca="false">IF($D2859="","",IFERROR(INDEX(ClientRates!$D$5:$D$500,MATCH($B2859&amp;"|"&amp;$L2859,ClientRates!$A$5:$A$500,0)),0))</f>
        <v/>
      </c>
      <c r="N2859" s="26" t="str">
        <f aca="false">IF($D2859="","",IFERROR(INDEX(ClientRates!$E$5:$E$500,MATCH($B2859&amp;"|"&amp;$L2859,ClientRates!$A$5:$A$500,0)),0))</f>
        <v/>
      </c>
      <c r="O2859" s="26" t="str">
        <f aca="false">IF($D2859="","",F2859*M2859+G2859*N2859)</f>
        <v/>
      </c>
      <c r="P2859" s="26" t="str">
        <f aca="false">IF(OR($D2859="",$J2859&lt;&gt;"Supplier"),"",IFERROR(INDEX(SupplierRates!$D$5:$D$500,MATCH($K2859&amp;"|"&amp;$L2859,SupplierRates!$A$5:$A$500,0)),0))</f>
        <v/>
      </c>
      <c r="Q2859" s="26" t="str">
        <f aca="false">IF(OR($D2859="",$J2859&lt;&gt;"Supplier"),"",IFERROR(INDEX(SupplierRates!$E$5:$E$500,MATCH($K2859&amp;"|"&amp;$L2859,SupplierRates!$A$5:$A$500,0)),0))</f>
        <v/>
      </c>
      <c r="R2859" s="26" t="n">
        <f aca="false">IF(OR($D2859="",$J2859&lt;&gt;"Supplier"),0,F2859*P2859+G2859*Q2859)</f>
        <v>0</v>
      </c>
      <c r="S2859" s="26" t="n">
        <f aca="false">IF(OR($D2859="",$J2859&lt;&gt;"Own"),0,IFERROR((F2859+G2859*Settings!$B$13)*INDEX(Workers!$V$5:$V$2004,MATCH($D2859,Workers!$A$5:$A$2004,0)),0))</f>
        <v>0</v>
      </c>
      <c r="T2859" s="26" t="str">
        <f aca="false">IF($D2859="","",O2859-R2859-S2859)</f>
        <v/>
      </c>
    </row>
    <row r="2860" customFormat="false" ht="15" hidden="false" customHeight="false" outlineLevel="0" collapsed="false">
      <c r="I2860" s="24" t="str">
        <f aca="false">IF($D2860="","",IFERROR(INDEX(Workers!$B$5:$B$2004,MATCH($D2860,Workers!$A$5:$A$2004,0)),"NOT FOUND"))</f>
        <v/>
      </c>
      <c r="J2860" s="24" t="str">
        <f aca="false">IF($D2860="","",IFERROR(INDEX(Workers!$C$5:$C$2004,MATCH($D2860,Workers!$A$5:$A$2004,0)),""))</f>
        <v/>
      </c>
      <c r="K2860" s="24" t="str">
        <f aca="false">IF($D2860="","",IFERROR(IF(INDEX(Workers!$D$5:$D$2004,MATCH($D2860,Workers!$A$5:$A$2004,0))=0,"",INDEX(Workers!$D$5:$D$2004,MATCH($D2860,Workers!$A$5:$A$2004,0))),""))</f>
        <v/>
      </c>
      <c r="L2860" s="24" t="str">
        <f aca="false">IF($D2860="","",IFERROR(INDEX(Workers!$E$5:$E$2004,MATCH($D2860,Workers!$A$5:$A$2004,0)),""))</f>
        <v/>
      </c>
      <c r="M2860" s="26" t="str">
        <f aca="false">IF($D2860="","",IFERROR(INDEX(ClientRates!$D$5:$D$500,MATCH($B2860&amp;"|"&amp;$L2860,ClientRates!$A$5:$A$500,0)),0))</f>
        <v/>
      </c>
      <c r="N2860" s="26" t="str">
        <f aca="false">IF($D2860="","",IFERROR(INDEX(ClientRates!$E$5:$E$500,MATCH($B2860&amp;"|"&amp;$L2860,ClientRates!$A$5:$A$500,0)),0))</f>
        <v/>
      </c>
      <c r="O2860" s="26" t="str">
        <f aca="false">IF($D2860="","",F2860*M2860+G2860*N2860)</f>
        <v/>
      </c>
      <c r="P2860" s="26" t="str">
        <f aca="false">IF(OR($D2860="",$J2860&lt;&gt;"Supplier"),"",IFERROR(INDEX(SupplierRates!$D$5:$D$500,MATCH($K2860&amp;"|"&amp;$L2860,SupplierRates!$A$5:$A$500,0)),0))</f>
        <v/>
      </c>
      <c r="Q2860" s="26" t="str">
        <f aca="false">IF(OR($D2860="",$J2860&lt;&gt;"Supplier"),"",IFERROR(INDEX(SupplierRates!$E$5:$E$500,MATCH($K2860&amp;"|"&amp;$L2860,SupplierRates!$A$5:$A$500,0)),0))</f>
        <v/>
      </c>
      <c r="R2860" s="26" t="n">
        <f aca="false">IF(OR($D2860="",$J2860&lt;&gt;"Supplier"),0,F2860*P2860+G2860*Q2860)</f>
        <v>0</v>
      </c>
      <c r="S2860" s="26" t="n">
        <f aca="false">IF(OR($D2860="",$J2860&lt;&gt;"Own"),0,IFERROR((F2860+G2860*Settings!$B$13)*INDEX(Workers!$V$5:$V$2004,MATCH($D2860,Workers!$A$5:$A$2004,0)),0))</f>
        <v>0</v>
      </c>
      <c r="T2860" s="26" t="str">
        <f aca="false">IF($D2860="","",O2860-R2860-S2860)</f>
        <v/>
      </c>
    </row>
    <row r="2861" customFormat="false" ht="15" hidden="false" customHeight="false" outlineLevel="0" collapsed="false">
      <c r="I2861" s="24" t="str">
        <f aca="false">IF($D2861="","",IFERROR(INDEX(Workers!$B$5:$B$2004,MATCH($D2861,Workers!$A$5:$A$2004,0)),"NOT FOUND"))</f>
        <v/>
      </c>
      <c r="J2861" s="24" t="str">
        <f aca="false">IF($D2861="","",IFERROR(INDEX(Workers!$C$5:$C$2004,MATCH($D2861,Workers!$A$5:$A$2004,0)),""))</f>
        <v/>
      </c>
      <c r="K2861" s="24" t="str">
        <f aca="false">IF($D2861="","",IFERROR(IF(INDEX(Workers!$D$5:$D$2004,MATCH($D2861,Workers!$A$5:$A$2004,0))=0,"",INDEX(Workers!$D$5:$D$2004,MATCH($D2861,Workers!$A$5:$A$2004,0))),""))</f>
        <v/>
      </c>
      <c r="L2861" s="24" t="str">
        <f aca="false">IF($D2861="","",IFERROR(INDEX(Workers!$E$5:$E$2004,MATCH($D2861,Workers!$A$5:$A$2004,0)),""))</f>
        <v/>
      </c>
      <c r="M2861" s="26" t="str">
        <f aca="false">IF($D2861="","",IFERROR(INDEX(ClientRates!$D$5:$D$500,MATCH($B2861&amp;"|"&amp;$L2861,ClientRates!$A$5:$A$500,0)),0))</f>
        <v/>
      </c>
      <c r="N2861" s="26" t="str">
        <f aca="false">IF($D2861="","",IFERROR(INDEX(ClientRates!$E$5:$E$500,MATCH($B2861&amp;"|"&amp;$L2861,ClientRates!$A$5:$A$500,0)),0))</f>
        <v/>
      </c>
      <c r="O2861" s="26" t="str">
        <f aca="false">IF($D2861="","",F2861*M2861+G2861*N2861)</f>
        <v/>
      </c>
      <c r="P2861" s="26" t="str">
        <f aca="false">IF(OR($D2861="",$J2861&lt;&gt;"Supplier"),"",IFERROR(INDEX(SupplierRates!$D$5:$D$500,MATCH($K2861&amp;"|"&amp;$L2861,SupplierRates!$A$5:$A$500,0)),0))</f>
        <v/>
      </c>
      <c r="Q2861" s="26" t="str">
        <f aca="false">IF(OR($D2861="",$J2861&lt;&gt;"Supplier"),"",IFERROR(INDEX(SupplierRates!$E$5:$E$500,MATCH($K2861&amp;"|"&amp;$L2861,SupplierRates!$A$5:$A$500,0)),0))</f>
        <v/>
      </c>
      <c r="R2861" s="26" t="n">
        <f aca="false">IF(OR($D2861="",$J2861&lt;&gt;"Supplier"),0,F2861*P2861+G2861*Q2861)</f>
        <v>0</v>
      </c>
      <c r="S2861" s="26" t="n">
        <f aca="false">IF(OR($D2861="",$J2861&lt;&gt;"Own"),0,IFERROR((F2861+G2861*Settings!$B$13)*INDEX(Workers!$V$5:$V$2004,MATCH($D2861,Workers!$A$5:$A$2004,0)),0))</f>
        <v>0</v>
      </c>
      <c r="T2861" s="26" t="str">
        <f aca="false">IF($D2861="","",O2861-R2861-S2861)</f>
        <v/>
      </c>
    </row>
    <row r="2862" customFormat="false" ht="15" hidden="false" customHeight="false" outlineLevel="0" collapsed="false">
      <c r="I2862" s="24" t="str">
        <f aca="false">IF($D2862="","",IFERROR(INDEX(Workers!$B$5:$B$2004,MATCH($D2862,Workers!$A$5:$A$2004,0)),"NOT FOUND"))</f>
        <v/>
      </c>
      <c r="J2862" s="24" t="str">
        <f aca="false">IF($D2862="","",IFERROR(INDEX(Workers!$C$5:$C$2004,MATCH($D2862,Workers!$A$5:$A$2004,0)),""))</f>
        <v/>
      </c>
      <c r="K2862" s="24" t="str">
        <f aca="false">IF($D2862="","",IFERROR(IF(INDEX(Workers!$D$5:$D$2004,MATCH($D2862,Workers!$A$5:$A$2004,0))=0,"",INDEX(Workers!$D$5:$D$2004,MATCH($D2862,Workers!$A$5:$A$2004,0))),""))</f>
        <v/>
      </c>
      <c r="L2862" s="24" t="str">
        <f aca="false">IF($D2862="","",IFERROR(INDEX(Workers!$E$5:$E$2004,MATCH($D2862,Workers!$A$5:$A$2004,0)),""))</f>
        <v/>
      </c>
      <c r="M2862" s="26" t="str">
        <f aca="false">IF($D2862="","",IFERROR(INDEX(ClientRates!$D$5:$D$500,MATCH($B2862&amp;"|"&amp;$L2862,ClientRates!$A$5:$A$500,0)),0))</f>
        <v/>
      </c>
      <c r="N2862" s="26" t="str">
        <f aca="false">IF($D2862="","",IFERROR(INDEX(ClientRates!$E$5:$E$500,MATCH($B2862&amp;"|"&amp;$L2862,ClientRates!$A$5:$A$500,0)),0))</f>
        <v/>
      </c>
      <c r="O2862" s="26" t="str">
        <f aca="false">IF($D2862="","",F2862*M2862+G2862*N2862)</f>
        <v/>
      </c>
      <c r="P2862" s="26" t="str">
        <f aca="false">IF(OR($D2862="",$J2862&lt;&gt;"Supplier"),"",IFERROR(INDEX(SupplierRates!$D$5:$D$500,MATCH($K2862&amp;"|"&amp;$L2862,SupplierRates!$A$5:$A$500,0)),0))</f>
        <v/>
      </c>
      <c r="Q2862" s="26" t="str">
        <f aca="false">IF(OR($D2862="",$J2862&lt;&gt;"Supplier"),"",IFERROR(INDEX(SupplierRates!$E$5:$E$500,MATCH($K2862&amp;"|"&amp;$L2862,SupplierRates!$A$5:$A$500,0)),0))</f>
        <v/>
      </c>
      <c r="R2862" s="26" t="n">
        <f aca="false">IF(OR($D2862="",$J2862&lt;&gt;"Supplier"),0,F2862*P2862+G2862*Q2862)</f>
        <v>0</v>
      </c>
      <c r="S2862" s="26" t="n">
        <f aca="false">IF(OR($D2862="",$J2862&lt;&gt;"Own"),0,IFERROR((F2862+G2862*Settings!$B$13)*INDEX(Workers!$V$5:$V$2004,MATCH($D2862,Workers!$A$5:$A$2004,0)),0))</f>
        <v>0</v>
      </c>
      <c r="T2862" s="26" t="str">
        <f aca="false">IF($D2862="","",O2862-R2862-S2862)</f>
        <v/>
      </c>
    </row>
    <row r="2863" customFormat="false" ht="15" hidden="false" customHeight="false" outlineLevel="0" collapsed="false">
      <c r="I2863" s="24" t="str">
        <f aca="false">IF($D2863="","",IFERROR(INDEX(Workers!$B$5:$B$2004,MATCH($D2863,Workers!$A$5:$A$2004,0)),"NOT FOUND"))</f>
        <v/>
      </c>
      <c r="J2863" s="24" t="str">
        <f aca="false">IF($D2863="","",IFERROR(INDEX(Workers!$C$5:$C$2004,MATCH($D2863,Workers!$A$5:$A$2004,0)),""))</f>
        <v/>
      </c>
      <c r="K2863" s="24" t="str">
        <f aca="false">IF($D2863="","",IFERROR(IF(INDEX(Workers!$D$5:$D$2004,MATCH($D2863,Workers!$A$5:$A$2004,0))=0,"",INDEX(Workers!$D$5:$D$2004,MATCH($D2863,Workers!$A$5:$A$2004,0))),""))</f>
        <v/>
      </c>
      <c r="L2863" s="24" t="str">
        <f aca="false">IF($D2863="","",IFERROR(INDEX(Workers!$E$5:$E$2004,MATCH($D2863,Workers!$A$5:$A$2004,0)),""))</f>
        <v/>
      </c>
      <c r="M2863" s="26" t="str">
        <f aca="false">IF($D2863="","",IFERROR(INDEX(ClientRates!$D$5:$D$500,MATCH($B2863&amp;"|"&amp;$L2863,ClientRates!$A$5:$A$500,0)),0))</f>
        <v/>
      </c>
      <c r="N2863" s="26" t="str">
        <f aca="false">IF($D2863="","",IFERROR(INDEX(ClientRates!$E$5:$E$500,MATCH($B2863&amp;"|"&amp;$L2863,ClientRates!$A$5:$A$500,0)),0))</f>
        <v/>
      </c>
      <c r="O2863" s="26" t="str">
        <f aca="false">IF($D2863="","",F2863*M2863+G2863*N2863)</f>
        <v/>
      </c>
      <c r="P2863" s="26" t="str">
        <f aca="false">IF(OR($D2863="",$J2863&lt;&gt;"Supplier"),"",IFERROR(INDEX(SupplierRates!$D$5:$D$500,MATCH($K2863&amp;"|"&amp;$L2863,SupplierRates!$A$5:$A$500,0)),0))</f>
        <v/>
      </c>
      <c r="Q2863" s="26" t="str">
        <f aca="false">IF(OR($D2863="",$J2863&lt;&gt;"Supplier"),"",IFERROR(INDEX(SupplierRates!$E$5:$E$500,MATCH($K2863&amp;"|"&amp;$L2863,SupplierRates!$A$5:$A$500,0)),0))</f>
        <v/>
      </c>
      <c r="R2863" s="26" t="n">
        <f aca="false">IF(OR($D2863="",$J2863&lt;&gt;"Supplier"),0,F2863*P2863+G2863*Q2863)</f>
        <v>0</v>
      </c>
      <c r="S2863" s="26" t="n">
        <f aca="false">IF(OR($D2863="",$J2863&lt;&gt;"Own"),0,IFERROR((F2863+G2863*Settings!$B$13)*INDEX(Workers!$V$5:$V$2004,MATCH($D2863,Workers!$A$5:$A$2004,0)),0))</f>
        <v>0</v>
      </c>
      <c r="T2863" s="26" t="str">
        <f aca="false">IF($D2863="","",O2863-R2863-S2863)</f>
        <v/>
      </c>
    </row>
    <row r="2864" customFormat="false" ht="15" hidden="false" customHeight="false" outlineLevel="0" collapsed="false">
      <c r="I2864" s="24" t="str">
        <f aca="false">IF($D2864="","",IFERROR(INDEX(Workers!$B$5:$B$2004,MATCH($D2864,Workers!$A$5:$A$2004,0)),"NOT FOUND"))</f>
        <v/>
      </c>
      <c r="J2864" s="24" t="str">
        <f aca="false">IF($D2864="","",IFERROR(INDEX(Workers!$C$5:$C$2004,MATCH($D2864,Workers!$A$5:$A$2004,0)),""))</f>
        <v/>
      </c>
      <c r="K2864" s="24" t="str">
        <f aca="false">IF($D2864="","",IFERROR(IF(INDEX(Workers!$D$5:$D$2004,MATCH($D2864,Workers!$A$5:$A$2004,0))=0,"",INDEX(Workers!$D$5:$D$2004,MATCH($D2864,Workers!$A$5:$A$2004,0))),""))</f>
        <v/>
      </c>
      <c r="L2864" s="24" t="str">
        <f aca="false">IF($D2864="","",IFERROR(INDEX(Workers!$E$5:$E$2004,MATCH($D2864,Workers!$A$5:$A$2004,0)),""))</f>
        <v/>
      </c>
      <c r="M2864" s="26" t="str">
        <f aca="false">IF($D2864="","",IFERROR(INDEX(ClientRates!$D$5:$D$500,MATCH($B2864&amp;"|"&amp;$L2864,ClientRates!$A$5:$A$500,0)),0))</f>
        <v/>
      </c>
      <c r="N2864" s="26" t="str">
        <f aca="false">IF($D2864="","",IFERROR(INDEX(ClientRates!$E$5:$E$500,MATCH($B2864&amp;"|"&amp;$L2864,ClientRates!$A$5:$A$500,0)),0))</f>
        <v/>
      </c>
      <c r="O2864" s="26" t="str">
        <f aca="false">IF($D2864="","",F2864*M2864+G2864*N2864)</f>
        <v/>
      </c>
      <c r="P2864" s="26" t="str">
        <f aca="false">IF(OR($D2864="",$J2864&lt;&gt;"Supplier"),"",IFERROR(INDEX(SupplierRates!$D$5:$D$500,MATCH($K2864&amp;"|"&amp;$L2864,SupplierRates!$A$5:$A$500,0)),0))</f>
        <v/>
      </c>
      <c r="Q2864" s="26" t="str">
        <f aca="false">IF(OR($D2864="",$J2864&lt;&gt;"Supplier"),"",IFERROR(INDEX(SupplierRates!$E$5:$E$500,MATCH($K2864&amp;"|"&amp;$L2864,SupplierRates!$A$5:$A$500,0)),0))</f>
        <v/>
      </c>
      <c r="R2864" s="26" t="n">
        <f aca="false">IF(OR($D2864="",$J2864&lt;&gt;"Supplier"),0,F2864*P2864+G2864*Q2864)</f>
        <v>0</v>
      </c>
      <c r="S2864" s="26" t="n">
        <f aca="false">IF(OR($D2864="",$J2864&lt;&gt;"Own"),0,IFERROR((F2864+G2864*Settings!$B$13)*INDEX(Workers!$V$5:$V$2004,MATCH($D2864,Workers!$A$5:$A$2004,0)),0))</f>
        <v>0</v>
      </c>
      <c r="T2864" s="26" t="str">
        <f aca="false">IF($D2864="","",O2864-R2864-S2864)</f>
        <v/>
      </c>
    </row>
    <row r="2865" customFormat="false" ht="15" hidden="false" customHeight="false" outlineLevel="0" collapsed="false">
      <c r="I2865" s="24" t="str">
        <f aca="false">IF($D2865="","",IFERROR(INDEX(Workers!$B$5:$B$2004,MATCH($D2865,Workers!$A$5:$A$2004,0)),"NOT FOUND"))</f>
        <v/>
      </c>
      <c r="J2865" s="24" t="str">
        <f aca="false">IF($D2865="","",IFERROR(INDEX(Workers!$C$5:$C$2004,MATCH($D2865,Workers!$A$5:$A$2004,0)),""))</f>
        <v/>
      </c>
      <c r="K2865" s="24" t="str">
        <f aca="false">IF($D2865="","",IFERROR(IF(INDEX(Workers!$D$5:$D$2004,MATCH($D2865,Workers!$A$5:$A$2004,0))=0,"",INDEX(Workers!$D$5:$D$2004,MATCH($D2865,Workers!$A$5:$A$2004,0))),""))</f>
        <v/>
      </c>
      <c r="L2865" s="24" t="str">
        <f aca="false">IF($D2865="","",IFERROR(INDEX(Workers!$E$5:$E$2004,MATCH($D2865,Workers!$A$5:$A$2004,0)),""))</f>
        <v/>
      </c>
      <c r="M2865" s="26" t="str">
        <f aca="false">IF($D2865="","",IFERROR(INDEX(ClientRates!$D$5:$D$500,MATCH($B2865&amp;"|"&amp;$L2865,ClientRates!$A$5:$A$500,0)),0))</f>
        <v/>
      </c>
      <c r="N2865" s="26" t="str">
        <f aca="false">IF($D2865="","",IFERROR(INDEX(ClientRates!$E$5:$E$500,MATCH($B2865&amp;"|"&amp;$L2865,ClientRates!$A$5:$A$500,0)),0))</f>
        <v/>
      </c>
      <c r="O2865" s="26" t="str">
        <f aca="false">IF($D2865="","",F2865*M2865+G2865*N2865)</f>
        <v/>
      </c>
      <c r="P2865" s="26" t="str">
        <f aca="false">IF(OR($D2865="",$J2865&lt;&gt;"Supplier"),"",IFERROR(INDEX(SupplierRates!$D$5:$D$500,MATCH($K2865&amp;"|"&amp;$L2865,SupplierRates!$A$5:$A$500,0)),0))</f>
        <v/>
      </c>
      <c r="Q2865" s="26" t="str">
        <f aca="false">IF(OR($D2865="",$J2865&lt;&gt;"Supplier"),"",IFERROR(INDEX(SupplierRates!$E$5:$E$500,MATCH($K2865&amp;"|"&amp;$L2865,SupplierRates!$A$5:$A$500,0)),0))</f>
        <v/>
      </c>
      <c r="R2865" s="26" t="n">
        <f aca="false">IF(OR($D2865="",$J2865&lt;&gt;"Supplier"),0,F2865*P2865+G2865*Q2865)</f>
        <v>0</v>
      </c>
      <c r="S2865" s="26" t="n">
        <f aca="false">IF(OR($D2865="",$J2865&lt;&gt;"Own"),0,IFERROR((F2865+G2865*Settings!$B$13)*INDEX(Workers!$V$5:$V$2004,MATCH($D2865,Workers!$A$5:$A$2004,0)),0))</f>
        <v>0</v>
      </c>
      <c r="T2865" s="26" t="str">
        <f aca="false">IF($D2865="","",O2865-R2865-S2865)</f>
        <v/>
      </c>
    </row>
    <row r="2866" customFormat="false" ht="15" hidden="false" customHeight="false" outlineLevel="0" collapsed="false">
      <c r="I2866" s="24" t="str">
        <f aca="false">IF($D2866="","",IFERROR(INDEX(Workers!$B$5:$B$2004,MATCH($D2866,Workers!$A$5:$A$2004,0)),"NOT FOUND"))</f>
        <v/>
      </c>
      <c r="J2866" s="24" t="str">
        <f aca="false">IF($D2866="","",IFERROR(INDEX(Workers!$C$5:$C$2004,MATCH($D2866,Workers!$A$5:$A$2004,0)),""))</f>
        <v/>
      </c>
      <c r="K2866" s="24" t="str">
        <f aca="false">IF($D2866="","",IFERROR(IF(INDEX(Workers!$D$5:$D$2004,MATCH($D2866,Workers!$A$5:$A$2004,0))=0,"",INDEX(Workers!$D$5:$D$2004,MATCH($D2866,Workers!$A$5:$A$2004,0))),""))</f>
        <v/>
      </c>
      <c r="L2866" s="24" t="str">
        <f aca="false">IF($D2866="","",IFERROR(INDEX(Workers!$E$5:$E$2004,MATCH($D2866,Workers!$A$5:$A$2004,0)),""))</f>
        <v/>
      </c>
      <c r="M2866" s="26" t="str">
        <f aca="false">IF($D2866="","",IFERROR(INDEX(ClientRates!$D$5:$D$500,MATCH($B2866&amp;"|"&amp;$L2866,ClientRates!$A$5:$A$500,0)),0))</f>
        <v/>
      </c>
      <c r="N2866" s="26" t="str">
        <f aca="false">IF($D2866="","",IFERROR(INDEX(ClientRates!$E$5:$E$500,MATCH($B2866&amp;"|"&amp;$L2866,ClientRates!$A$5:$A$500,0)),0))</f>
        <v/>
      </c>
      <c r="O2866" s="26" t="str">
        <f aca="false">IF($D2866="","",F2866*M2866+G2866*N2866)</f>
        <v/>
      </c>
      <c r="P2866" s="26" t="str">
        <f aca="false">IF(OR($D2866="",$J2866&lt;&gt;"Supplier"),"",IFERROR(INDEX(SupplierRates!$D$5:$D$500,MATCH($K2866&amp;"|"&amp;$L2866,SupplierRates!$A$5:$A$500,0)),0))</f>
        <v/>
      </c>
      <c r="Q2866" s="26" t="str">
        <f aca="false">IF(OR($D2866="",$J2866&lt;&gt;"Supplier"),"",IFERROR(INDEX(SupplierRates!$E$5:$E$500,MATCH($K2866&amp;"|"&amp;$L2866,SupplierRates!$A$5:$A$500,0)),0))</f>
        <v/>
      </c>
      <c r="R2866" s="26" t="n">
        <f aca="false">IF(OR($D2866="",$J2866&lt;&gt;"Supplier"),0,F2866*P2866+G2866*Q2866)</f>
        <v>0</v>
      </c>
      <c r="S2866" s="26" t="n">
        <f aca="false">IF(OR($D2866="",$J2866&lt;&gt;"Own"),0,IFERROR((F2866+G2866*Settings!$B$13)*INDEX(Workers!$V$5:$V$2004,MATCH($D2866,Workers!$A$5:$A$2004,0)),0))</f>
        <v>0</v>
      </c>
      <c r="T2866" s="26" t="str">
        <f aca="false">IF($D2866="","",O2866-R2866-S2866)</f>
        <v/>
      </c>
    </row>
    <row r="2867" customFormat="false" ht="15" hidden="false" customHeight="false" outlineLevel="0" collapsed="false">
      <c r="I2867" s="24" t="str">
        <f aca="false">IF($D2867="","",IFERROR(INDEX(Workers!$B$5:$B$2004,MATCH($D2867,Workers!$A$5:$A$2004,0)),"NOT FOUND"))</f>
        <v/>
      </c>
      <c r="J2867" s="24" t="str">
        <f aca="false">IF($D2867="","",IFERROR(INDEX(Workers!$C$5:$C$2004,MATCH($D2867,Workers!$A$5:$A$2004,0)),""))</f>
        <v/>
      </c>
      <c r="K2867" s="24" t="str">
        <f aca="false">IF($D2867="","",IFERROR(IF(INDEX(Workers!$D$5:$D$2004,MATCH($D2867,Workers!$A$5:$A$2004,0))=0,"",INDEX(Workers!$D$5:$D$2004,MATCH($D2867,Workers!$A$5:$A$2004,0))),""))</f>
        <v/>
      </c>
      <c r="L2867" s="24" t="str">
        <f aca="false">IF($D2867="","",IFERROR(INDEX(Workers!$E$5:$E$2004,MATCH($D2867,Workers!$A$5:$A$2004,0)),""))</f>
        <v/>
      </c>
      <c r="M2867" s="26" t="str">
        <f aca="false">IF($D2867="","",IFERROR(INDEX(ClientRates!$D$5:$D$500,MATCH($B2867&amp;"|"&amp;$L2867,ClientRates!$A$5:$A$500,0)),0))</f>
        <v/>
      </c>
      <c r="N2867" s="26" t="str">
        <f aca="false">IF($D2867="","",IFERROR(INDEX(ClientRates!$E$5:$E$500,MATCH($B2867&amp;"|"&amp;$L2867,ClientRates!$A$5:$A$500,0)),0))</f>
        <v/>
      </c>
      <c r="O2867" s="26" t="str">
        <f aca="false">IF($D2867="","",F2867*M2867+G2867*N2867)</f>
        <v/>
      </c>
      <c r="P2867" s="26" t="str">
        <f aca="false">IF(OR($D2867="",$J2867&lt;&gt;"Supplier"),"",IFERROR(INDEX(SupplierRates!$D$5:$D$500,MATCH($K2867&amp;"|"&amp;$L2867,SupplierRates!$A$5:$A$500,0)),0))</f>
        <v/>
      </c>
      <c r="Q2867" s="26" t="str">
        <f aca="false">IF(OR($D2867="",$J2867&lt;&gt;"Supplier"),"",IFERROR(INDEX(SupplierRates!$E$5:$E$500,MATCH($K2867&amp;"|"&amp;$L2867,SupplierRates!$A$5:$A$500,0)),0))</f>
        <v/>
      </c>
      <c r="R2867" s="26" t="n">
        <f aca="false">IF(OR($D2867="",$J2867&lt;&gt;"Supplier"),0,F2867*P2867+G2867*Q2867)</f>
        <v>0</v>
      </c>
      <c r="S2867" s="26" t="n">
        <f aca="false">IF(OR($D2867="",$J2867&lt;&gt;"Own"),0,IFERROR((F2867+G2867*Settings!$B$13)*INDEX(Workers!$V$5:$V$2004,MATCH($D2867,Workers!$A$5:$A$2004,0)),0))</f>
        <v>0</v>
      </c>
      <c r="T2867" s="26" t="str">
        <f aca="false">IF($D2867="","",O2867-R2867-S2867)</f>
        <v/>
      </c>
    </row>
    <row r="2868" customFormat="false" ht="15" hidden="false" customHeight="false" outlineLevel="0" collapsed="false">
      <c r="I2868" s="24" t="str">
        <f aca="false">IF($D2868="","",IFERROR(INDEX(Workers!$B$5:$B$2004,MATCH($D2868,Workers!$A$5:$A$2004,0)),"NOT FOUND"))</f>
        <v/>
      </c>
      <c r="J2868" s="24" t="str">
        <f aca="false">IF($D2868="","",IFERROR(INDEX(Workers!$C$5:$C$2004,MATCH($D2868,Workers!$A$5:$A$2004,0)),""))</f>
        <v/>
      </c>
      <c r="K2868" s="24" t="str">
        <f aca="false">IF($D2868="","",IFERROR(IF(INDEX(Workers!$D$5:$D$2004,MATCH($D2868,Workers!$A$5:$A$2004,0))=0,"",INDEX(Workers!$D$5:$D$2004,MATCH($D2868,Workers!$A$5:$A$2004,0))),""))</f>
        <v/>
      </c>
      <c r="L2868" s="24" t="str">
        <f aca="false">IF($D2868="","",IFERROR(INDEX(Workers!$E$5:$E$2004,MATCH($D2868,Workers!$A$5:$A$2004,0)),""))</f>
        <v/>
      </c>
      <c r="M2868" s="26" t="str">
        <f aca="false">IF($D2868="","",IFERROR(INDEX(ClientRates!$D$5:$D$500,MATCH($B2868&amp;"|"&amp;$L2868,ClientRates!$A$5:$A$500,0)),0))</f>
        <v/>
      </c>
      <c r="N2868" s="26" t="str">
        <f aca="false">IF($D2868="","",IFERROR(INDEX(ClientRates!$E$5:$E$500,MATCH($B2868&amp;"|"&amp;$L2868,ClientRates!$A$5:$A$500,0)),0))</f>
        <v/>
      </c>
      <c r="O2868" s="26" t="str">
        <f aca="false">IF($D2868="","",F2868*M2868+G2868*N2868)</f>
        <v/>
      </c>
      <c r="P2868" s="26" t="str">
        <f aca="false">IF(OR($D2868="",$J2868&lt;&gt;"Supplier"),"",IFERROR(INDEX(SupplierRates!$D$5:$D$500,MATCH($K2868&amp;"|"&amp;$L2868,SupplierRates!$A$5:$A$500,0)),0))</f>
        <v/>
      </c>
      <c r="Q2868" s="26" t="str">
        <f aca="false">IF(OR($D2868="",$J2868&lt;&gt;"Supplier"),"",IFERROR(INDEX(SupplierRates!$E$5:$E$500,MATCH($K2868&amp;"|"&amp;$L2868,SupplierRates!$A$5:$A$500,0)),0))</f>
        <v/>
      </c>
      <c r="R2868" s="26" t="n">
        <f aca="false">IF(OR($D2868="",$J2868&lt;&gt;"Supplier"),0,F2868*P2868+G2868*Q2868)</f>
        <v>0</v>
      </c>
      <c r="S2868" s="26" t="n">
        <f aca="false">IF(OR($D2868="",$J2868&lt;&gt;"Own"),0,IFERROR((F2868+G2868*Settings!$B$13)*INDEX(Workers!$V$5:$V$2004,MATCH($D2868,Workers!$A$5:$A$2004,0)),0))</f>
        <v>0</v>
      </c>
      <c r="T2868" s="26" t="str">
        <f aca="false">IF($D2868="","",O2868-R2868-S2868)</f>
        <v/>
      </c>
    </row>
    <row r="2869" customFormat="false" ht="15" hidden="false" customHeight="false" outlineLevel="0" collapsed="false">
      <c r="I2869" s="24" t="str">
        <f aca="false">IF($D2869="","",IFERROR(INDEX(Workers!$B$5:$B$2004,MATCH($D2869,Workers!$A$5:$A$2004,0)),"NOT FOUND"))</f>
        <v/>
      </c>
      <c r="J2869" s="24" t="str">
        <f aca="false">IF($D2869="","",IFERROR(INDEX(Workers!$C$5:$C$2004,MATCH($D2869,Workers!$A$5:$A$2004,0)),""))</f>
        <v/>
      </c>
      <c r="K2869" s="24" t="str">
        <f aca="false">IF($D2869="","",IFERROR(IF(INDEX(Workers!$D$5:$D$2004,MATCH($D2869,Workers!$A$5:$A$2004,0))=0,"",INDEX(Workers!$D$5:$D$2004,MATCH($D2869,Workers!$A$5:$A$2004,0))),""))</f>
        <v/>
      </c>
      <c r="L2869" s="24" t="str">
        <f aca="false">IF($D2869="","",IFERROR(INDEX(Workers!$E$5:$E$2004,MATCH($D2869,Workers!$A$5:$A$2004,0)),""))</f>
        <v/>
      </c>
      <c r="M2869" s="26" t="str">
        <f aca="false">IF($D2869="","",IFERROR(INDEX(ClientRates!$D$5:$D$500,MATCH($B2869&amp;"|"&amp;$L2869,ClientRates!$A$5:$A$500,0)),0))</f>
        <v/>
      </c>
      <c r="N2869" s="26" t="str">
        <f aca="false">IF($D2869="","",IFERROR(INDEX(ClientRates!$E$5:$E$500,MATCH($B2869&amp;"|"&amp;$L2869,ClientRates!$A$5:$A$500,0)),0))</f>
        <v/>
      </c>
      <c r="O2869" s="26" t="str">
        <f aca="false">IF($D2869="","",F2869*M2869+G2869*N2869)</f>
        <v/>
      </c>
      <c r="P2869" s="26" t="str">
        <f aca="false">IF(OR($D2869="",$J2869&lt;&gt;"Supplier"),"",IFERROR(INDEX(SupplierRates!$D$5:$D$500,MATCH($K2869&amp;"|"&amp;$L2869,SupplierRates!$A$5:$A$500,0)),0))</f>
        <v/>
      </c>
      <c r="Q2869" s="26" t="str">
        <f aca="false">IF(OR($D2869="",$J2869&lt;&gt;"Supplier"),"",IFERROR(INDEX(SupplierRates!$E$5:$E$500,MATCH($K2869&amp;"|"&amp;$L2869,SupplierRates!$A$5:$A$500,0)),0))</f>
        <v/>
      </c>
      <c r="R2869" s="26" t="n">
        <f aca="false">IF(OR($D2869="",$J2869&lt;&gt;"Supplier"),0,F2869*P2869+G2869*Q2869)</f>
        <v>0</v>
      </c>
      <c r="S2869" s="26" t="n">
        <f aca="false">IF(OR($D2869="",$J2869&lt;&gt;"Own"),0,IFERROR((F2869+G2869*Settings!$B$13)*INDEX(Workers!$V$5:$V$2004,MATCH($D2869,Workers!$A$5:$A$2004,0)),0))</f>
        <v>0</v>
      </c>
      <c r="T2869" s="26" t="str">
        <f aca="false">IF($D2869="","",O2869-R2869-S2869)</f>
        <v/>
      </c>
    </row>
    <row r="2870" customFormat="false" ht="15" hidden="false" customHeight="false" outlineLevel="0" collapsed="false">
      <c r="I2870" s="24" t="str">
        <f aca="false">IF($D2870="","",IFERROR(INDEX(Workers!$B$5:$B$2004,MATCH($D2870,Workers!$A$5:$A$2004,0)),"NOT FOUND"))</f>
        <v/>
      </c>
      <c r="J2870" s="24" t="str">
        <f aca="false">IF($D2870="","",IFERROR(INDEX(Workers!$C$5:$C$2004,MATCH($D2870,Workers!$A$5:$A$2004,0)),""))</f>
        <v/>
      </c>
      <c r="K2870" s="24" t="str">
        <f aca="false">IF($D2870="","",IFERROR(IF(INDEX(Workers!$D$5:$D$2004,MATCH($D2870,Workers!$A$5:$A$2004,0))=0,"",INDEX(Workers!$D$5:$D$2004,MATCH($D2870,Workers!$A$5:$A$2004,0))),""))</f>
        <v/>
      </c>
      <c r="L2870" s="24" t="str">
        <f aca="false">IF($D2870="","",IFERROR(INDEX(Workers!$E$5:$E$2004,MATCH($D2870,Workers!$A$5:$A$2004,0)),""))</f>
        <v/>
      </c>
      <c r="M2870" s="26" t="str">
        <f aca="false">IF($D2870="","",IFERROR(INDEX(ClientRates!$D$5:$D$500,MATCH($B2870&amp;"|"&amp;$L2870,ClientRates!$A$5:$A$500,0)),0))</f>
        <v/>
      </c>
      <c r="N2870" s="26" t="str">
        <f aca="false">IF($D2870="","",IFERROR(INDEX(ClientRates!$E$5:$E$500,MATCH($B2870&amp;"|"&amp;$L2870,ClientRates!$A$5:$A$500,0)),0))</f>
        <v/>
      </c>
      <c r="O2870" s="26" t="str">
        <f aca="false">IF($D2870="","",F2870*M2870+G2870*N2870)</f>
        <v/>
      </c>
      <c r="P2870" s="26" t="str">
        <f aca="false">IF(OR($D2870="",$J2870&lt;&gt;"Supplier"),"",IFERROR(INDEX(SupplierRates!$D$5:$D$500,MATCH($K2870&amp;"|"&amp;$L2870,SupplierRates!$A$5:$A$500,0)),0))</f>
        <v/>
      </c>
      <c r="Q2870" s="26" t="str">
        <f aca="false">IF(OR($D2870="",$J2870&lt;&gt;"Supplier"),"",IFERROR(INDEX(SupplierRates!$E$5:$E$500,MATCH($K2870&amp;"|"&amp;$L2870,SupplierRates!$A$5:$A$500,0)),0))</f>
        <v/>
      </c>
      <c r="R2870" s="26" t="n">
        <f aca="false">IF(OR($D2870="",$J2870&lt;&gt;"Supplier"),0,F2870*P2870+G2870*Q2870)</f>
        <v>0</v>
      </c>
      <c r="S2870" s="26" t="n">
        <f aca="false">IF(OR($D2870="",$J2870&lt;&gt;"Own"),0,IFERROR((F2870+G2870*Settings!$B$13)*INDEX(Workers!$V$5:$V$2004,MATCH($D2870,Workers!$A$5:$A$2004,0)),0))</f>
        <v>0</v>
      </c>
      <c r="T2870" s="26" t="str">
        <f aca="false">IF($D2870="","",O2870-R2870-S2870)</f>
        <v/>
      </c>
    </row>
    <row r="2871" customFormat="false" ht="15" hidden="false" customHeight="false" outlineLevel="0" collapsed="false">
      <c r="I2871" s="24" t="str">
        <f aca="false">IF($D2871="","",IFERROR(INDEX(Workers!$B$5:$B$2004,MATCH($D2871,Workers!$A$5:$A$2004,0)),"NOT FOUND"))</f>
        <v/>
      </c>
      <c r="J2871" s="24" t="str">
        <f aca="false">IF($D2871="","",IFERROR(INDEX(Workers!$C$5:$C$2004,MATCH($D2871,Workers!$A$5:$A$2004,0)),""))</f>
        <v/>
      </c>
      <c r="K2871" s="24" t="str">
        <f aca="false">IF($D2871="","",IFERROR(IF(INDEX(Workers!$D$5:$D$2004,MATCH($D2871,Workers!$A$5:$A$2004,0))=0,"",INDEX(Workers!$D$5:$D$2004,MATCH($D2871,Workers!$A$5:$A$2004,0))),""))</f>
        <v/>
      </c>
      <c r="L2871" s="24" t="str">
        <f aca="false">IF($D2871="","",IFERROR(INDEX(Workers!$E$5:$E$2004,MATCH($D2871,Workers!$A$5:$A$2004,0)),""))</f>
        <v/>
      </c>
      <c r="M2871" s="26" t="str">
        <f aca="false">IF($D2871="","",IFERROR(INDEX(ClientRates!$D$5:$D$500,MATCH($B2871&amp;"|"&amp;$L2871,ClientRates!$A$5:$A$500,0)),0))</f>
        <v/>
      </c>
      <c r="N2871" s="26" t="str">
        <f aca="false">IF($D2871="","",IFERROR(INDEX(ClientRates!$E$5:$E$500,MATCH($B2871&amp;"|"&amp;$L2871,ClientRates!$A$5:$A$500,0)),0))</f>
        <v/>
      </c>
      <c r="O2871" s="26" t="str">
        <f aca="false">IF($D2871="","",F2871*M2871+G2871*N2871)</f>
        <v/>
      </c>
      <c r="P2871" s="26" t="str">
        <f aca="false">IF(OR($D2871="",$J2871&lt;&gt;"Supplier"),"",IFERROR(INDEX(SupplierRates!$D$5:$D$500,MATCH($K2871&amp;"|"&amp;$L2871,SupplierRates!$A$5:$A$500,0)),0))</f>
        <v/>
      </c>
      <c r="Q2871" s="26" t="str">
        <f aca="false">IF(OR($D2871="",$J2871&lt;&gt;"Supplier"),"",IFERROR(INDEX(SupplierRates!$E$5:$E$500,MATCH($K2871&amp;"|"&amp;$L2871,SupplierRates!$A$5:$A$500,0)),0))</f>
        <v/>
      </c>
      <c r="R2871" s="26" t="n">
        <f aca="false">IF(OR($D2871="",$J2871&lt;&gt;"Supplier"),0,F2871*P2871+G2871*Q2871)</f>
        <v>0</v>
      </c>
      <c r="S2871" s="26" t="n">
        <f aca="false">IF(OR($D2871="",$J2871&lt;&gt;"Own"),0,IFERROR((F2871+G2871*Settings!$B$13)*INDEX(Workers!$V$5:$V$2004,MATCH($D2871,Workers!$A$5:$A$2004,0)),0))</f>
        <v>0</v>
      </c>
      <c r="T2871" s="26" t="str">
        <f aca="false">IF($D2871="","",O2871-R2871-S2871)</f>
        <v/>
      </c>
    </row>
    <row r="2872" customFormat="false" ht="15" hidden="false" customHeight="false" outlineLevel="0" collapsed="false">
      <c r="I2872" s="24" t="str">
        <f aca="false">IF($D2872="","",IFERROR(INDEX(Workers!$B$5:$B$2004,MATCH($D2872,Workers!$A$5:$A$2004,0)),"NOT FOUND"))</f>
        <v/>
      </c>
      <c r="J2872" s="24" t="str">
        <f aca="false">IF($D2872="","",IFERROR(INDEX(Workers!$C$5:$C$2004,MATCH($D2872,Workers!$A$5:$A$2004,0)),""))</f>
        <v/>
      </c>
      <c r="K2872" s="24" t="str">
        <f aca="false">IF($D2872="","",IFERROR(IF(INDEX(Workers!$D$5:$D$2004,MATCH($D2872,Workers!$A$5:$A$2004,0))=0,"",INDEX(Workers!$D$5:$D$2004,MATCH($D2872,Workers!$A$5:$A$2004,0))),""))</f>
        <v/>
      </c>
      <c r="L2872" s="24" t="str">
        <f aca="false">IF($D2872="","",IFERROR(INDEX(Workers!$E$5:$E$2004,MATCH($D2872,Workers!$A$5:$A$2004,0)),""))</f>
        <v/>
      </c>
      <c r="M2872" s="26" t="str">
        <f aca="false">IF($D2872="","",IFERROR(INDEX(ClientRates!$D$5:$D$500,MATCH($B2872&amp;"|"&amp;$L2872,ClientRates!$A$5:$A$500,0)),0))</f>
        <v/>
      </c>
      <c r="N2872" s="26" t="str">
        <f aca="false">IF($D2872="","",IFERROR(INDEX(ClientRates!$E$5:$E$500,MATCH($B2872&amp;"|"&amp;$L2872,ClientRates!$A$5:$A$500,0)),0))</f>
        <v/>
      </c>
      <c r="O2872" s="26" t="str">
        <f aca="false">IF($D2872="","",F2872*M2872+G2872*N2872)</f>
        <v/>
      </c>
      <c r="P2872" s="26" t="str">
        <f aca="false">IF(OR($D2872="",$J2872&lt;&gt;"Supplier"),"",IFERROR(INDEX(SupplierRates!$D$5:$D$500,MATCH($K2872&amp;"|"&amp;$L2872,SupplierRates!$A$5:$A$500,0)),0))</f>
        <v/>
      </c>
      <c r="Q2872" s="26" t="str">
        <f aca="false">IF(OR($D2872="",$J2872&lt;&gt;"Supplier"),"",IFERROR(INDEX(SupplierRates!$E$5:$E$500,MATCH($K2872&amp;"|"&amp;$L2872,SupplierRates!$A$5:$A$500,0)),0))</f>
        <v/>
      </c>
      <c r="R2872" s="26" t="n">
        <f aca="false">IF(OR($D2872="",$J2872&lt;&gt;"Supplier"),0,F2872*P2872+G2872*Q2872)</f>
        <v>0</v>
      </c>
      <c r="S2872" s="26" t="n">
        <f aca="false">IF(OR($D2872="",$J2872&lt;&gt;"Own"),0,IFERROR((F2872+G2872*Settings!$B$13)*INDEX(Workers!$V$5:$V$2004,MATCH($D2872,Workers!$A$5:$A$2004,0)),0))</f>
        <v>0</v>
      </c>
      <c r="T2872" s="26" t="str">
        <f aca="false">IF($D2872="","",O2872-R2872-S2872)</f>
        <v/>
      </c>
    </row>
    <row r="2873" customFormat="false" ht="15" hidden="false" customHeight="false" outlineLevel="0" collapsed="false">
      <c r="I2873" s="24" t="str">
        <f aca="false">IF($D2873="","",IFERROR(INDEX(Workers!$B$5:$B$2004,MATCH($D2873,Workers!$A$5:$A$2004,0)),"NOT FOUND"))</f>
        <v/>
      </c>
      <c r="J2873" s="24" t="str">
        <f aca="false">IF($D2873="","",IFERROR(INDEX(Workers!$C$5:$C$2004,MATCH($D2873,Workers!$A$5:$A$2004,0)),""))</f>
        <v/>
      </c>
      <c r="K2873" s="24" t="str">
        <f aca="false">IF($D2873="","",IFERROR(IF(INDEX(Workers!$D$5:$D$2004,MATCH($D2873,Workers!$A$5:$A$2004,0))=0,"",INDEX(Workers!$D$5:$D$2004,MATCH($D2873,Workers!$A$5:$A$2004,0))),""))</f>
        <v/>
      </c>
      <c r="L2873" s="24" t="str">
        <f aca="false">IF($D2873="","",IFERROR(INDEX(Workers!$E$5:$E$2004,MATCH($D2873,Workers!$A$5:$A$2004,0)),""))</f>
        <v/>
      </c>
      <c r="M2873" s="26" t="str">
        <f aca="false">IF($D2873="","",IFERROR(INDEX(ClientRates!$D$5:$D$500,MATCH($B2873&amp;"|"&amp;$L2873,ClientRates!$A$5:$A$500,0)),0))</f>
        <v/>
      </c>
      <c r="N2873" s="26" t="str">
        <f aca="false">IF($D2873="","",IFERROR(INDEX(ClientRates!$E$5:$E$500,MATCH($B2873&amp;"|"&amp;$L2873,ClientRates!$A$5:$A$500,0)),0))</f>
        <v/>
      </c>
      <c r="O2873" s="26" t="str">
        <f aca="false">IF($D2873="","",F2873*M2873+G2873*N2873)</f>
        <v/>
      </c>
      <c r="P2873" s="26" t="str">
        <f aca="false">IF(OR($D2873="",$J2873&lt;&gt;"Supplier"),"",IFERROR(INDEX(SupplierRates!$D$5:$D$500,MATCH($K2873&amp;"|"&amp;$L2873,SupplierRates!$A$5:$A$500,0)),0))</f>
        <v/>
      </c>
      <c r="Q2873" s="26" t="str">
        <f aca="false">IF(OR($D2873="",$J2873&lt;&gt;"Supplier"),"",IFERROR(INDEX(SupplierRates!$E$5:$E$500,MATCH($K2873&amp;"|"&amp;$L2873,SupplierRates!$A$5:$A$500,0)),0))</f>
        <v/>
      </c>
      <c r="R2873" s="26" t="n">
        <f aca="false">IF(OR($D2873="",$J2873&lt;&gt;"Supplier"),0,F2873*P2873+G2873*Q2873)</f>
        <v>0</v>
      </c>
      <c r="S2873" s="26" t="n">
        <f aca="false">IF(OR($D2873="",$J2873&lt;&gt;"Own"),0,IFERROR((F2873+G2873*Settings!$B$13)*INDEX(Workers!$V$5:$V$2004,MATCH($D2873,Workers!$A$5:$A$2004,0)),0))</f>
        <v>0</v>
      </c>
      <c r="T2873" s="26" t="str">
        <f aca="false">IF($D2873="","",O2873-R2873-S2873)</f>
        <v/>
      </c>
    </row>
    <row r="2874" customFormat="false" ht="15" hidden="false" customHeight="false" outlineLevel="0" collapsed="false">
      <c r="I2874" s="24" t="str">
        <f aca="false">IF($D2874="","",IFERROR(INDEX(Workers!$B$5:$B$2004,MATCH($D2874,Workers!$A$5:$A$2004,0)),"NOT FOUND"))</f>
        <v/>
      </c>
      <c r="J2874" s="24" t="str">
        <f aca="false">IF($D2874="","",IFERROR(INDEX(Workers!$C$5:$C$2004,MATCH($D2874,Workers!$A$5:$A$2004,0)),""))</f>
        <v/>
      </c>
      <c r="K2874" s="24" t="str">
        <f aca="false">IF($D2874="","",IFERROR(IF(INDEX(Workers!$D$5:$D$2004,MATCH($D2874,Workers!$A$5:$A$2004,0))=0,"",INDEX(Workers!$D$5:$D$2004,MATCH($D2874,Workers!$A$5:$A$2004,0))),""))</f>
        <v/>
      </c>
      <c r="L2874" s="24" t="str">
        <f aca="false">IF($D2874="","",IFERROR(INDEX(Workers!$E$5:$E$2004,MATCH($D2874,Workers!$A$5:$A$2004,0)),""))</f>
        <v/>
      </c>
      <c r="M2874" s="26" t="str">
        <f aca="false">IF($D2874="","",IFERROR(INDEX(ClientRates!$D$5:$D$500,MATCH($B2874&amp;"|"&amp;$L2874,ClientRates!$A$5:$A$500,0)),0))</f>
        <v/>
      </c>
      <c r="N2874" s="26" t="str">
        <f aca="false">IF($D2874="","",IFERROR(INDEX(ClientRates!$E$5:$E$500,MATCH($B2874&amp;"|"&amp;$L2874,ClientRates!$A$5:$A$500,0)),0))</f>
        <v/>
      </c>
      <c r="O2874" s="26" t="str">
        <f aca="false">IF($D2874="","",F2874*M2874+G2874*N2874)</f>
        <v/>
      </c>
      <c r="P2874" s="26" t="str">
        <f aca="false">IF(OR($D2874="",$J2874&lt;&gt;"Supplier"),"",IFERROR(INDEX(SupplierRates!$D$5:$D$500,MATCH($K2874&amp;"|"&amp;$L2874,SupplierRates!$A$5:$A$500,0)),0))</f>
        <v/>
      </c>
      <c r="Q2874" s="26" t="str">
        <f aca="false">IF(OR($D2874="",$J2874&lt;&gt;"Supplier"),"",IFERROR(INDEX(SupplierRates!$E$5:$E$500,MATCH($K2874&amp;"|"&amp;$L2874,SupplierRates!$A$5:$A$500,0)),0))</f>
        <v/>
      </c>
      <c r="R2874" s="26" t="n">
        <f aca="false">IF(OR($D2874="",$J2874&lt;&gt;"Supplier"),0,F2874*P2874+G2874*Q2874)</f>
        <v>0</v>
      </c>
      <c r="S2874" s="26" t="n">
        <f aca="false">IF(OR($D2874="",$J2874&lt;&gt;"Own"),0,IFERROR((F2874+G2874*Settings!$B$13)*INDEX(Workers!$V$5:$V$2004,MATCH($D2874,Workers!$A$5:$A$2004,0)),0))</f>
        <v>0</v>
      </c>
      <c r="T2874" s="26" t="str">
        <f aca="false">IF($D2874="","",O2874-R2874-S2874)</f>
        <v/>
      </c>
    </row>
    <row r="2875" customFormat="false" ht="15" hidden="false" customHeight="false" outlineLevel="0" collapsed="false">
      <c r="I2875" s="24" t="str">
        <f aca="false">IF($D2875="","",IFERROR(INDEX(Workers!$B$5:$B$2004,MATCH($D2875,Workers!$A$5:$A$2004,0)),"NOT FOUND"))</f>
        <v/>
      </c>
      <c r="J2875" s="24" t="str">
        <f aca="false">IF($D2875="","",IFERROR(INDEX(Workers!$C$5:$C$2004,MATCH($D2875,Workers!$A$5:$A$2004,0)),""))</f>
        <v/>
      </c>
      <c r="K2875" s="24" t="str">
        <f aca="false">IF($D2875="","",IFERROR(IF(INDEX(Workers!$D$5:$D$2004,MATCH($D2875,Workers!$A$5:$A$2004,0))=0,"",INDEX(Workers!$D$5:$D$2004,MATCH($D2875,Workers!$A$5:$A$2004,0))),""))</f>
        <v/>
      </c>
      <c r="L2875" s="24" t="str">
        <f aca="false">IF($D2875="","",IFERROR(INDEX(Workers!$E$5:$E$2004,MATCH($D2875,Workers!$A$5:$A$2004,0)),""))</f>
        <v/>
      </c>
      <c r="M2875" s="26" t="str">
        <f aca="false">IF($D2875="","",IFERROR(INDEX(ClientRates!$D$5:$D$500,MATCH($B2875&amp;"|"&amp;$L2875,ClientRates!$A$5:$A$500,0)),0))</f>
        <v/>
      </c>
      <c r="N2875" s="26" t="str">
        <f aca="false">IF($D2875="","",IFERROR(INDEX(ClientRates!$E$5:$E$500,MATCH($B2875&amp;"|"&amp;$L2875,ClientRates!$A$5:$A$500,0)),0))</f>
        <v/>
      </c>
      <c r="O2875" s="26" t="str">
        <f aca="false">IF($D2875="","",F2875*M2875+G2875*N2875)</f>
        <v/>
      </c>
      <c r="P2875" s="26" t="str">
        <f aca="false">IF(OR($D2875="",$J2875&lt;&gt;"Supplier"),"",IFERROR(INDEX(SupplierRates!$D$5:$D$500,MATCH($K2875&amp;"|"&amp;$L2875,SupplierRates!$A$5:$A$500,0)),0))</f>
        <v/>
      </c>
      <c r="Q2875" s="26" t="str">
        <f aca="false">IF(OR($D2875="",$J2875&lt;&gt;"Supplier"),"",IFERROR(INDEX(SupplierRates!$E$5:$E$500,MATCH($K2875&amp;"|"&amp;$L2875,SupplierRates!$A$5:$A$500,0)),0))</f>
        <v/>
      </c>
      <c r="R2875" s="26" t="n">
        <f aca="false">IF(OR($D2875="",$J2875&lt;&gt;"Supplier"),0,F2875*P2875+G2875*Q2875)</f>
        <v>0</v>
      </c>
      <c r="S2875" s="26" t="n">
        <f aca="false">IF(OR($D2875="",$J2875&lt;&gt;"Own"),0,IFERROR((F2875+G2875*Settings!$B$13)*INDEX(Workers!$V$5:$V$2004,MATCH($D2875,Workers!$A$5:$A$2004,0)),0))</f>
        <v>0</v>
      </c>
      <c r="T2875" s="26" t="str">
        <f aca="false">IF($D2875="","",O2875-R2875-S2875)</f>
        <v/>
      </c>
    </row>
    <row r="2876" customFormat="false" ht="15" hidden="false" customHeight="false" outlineLevel="0" collapsed="false">
      <c r="I2876" s="24" t="str">
        <f aca="false">IF($D2876="","",IFERROR(INDEX(Workers!$B$5:$B$2004,MATCH($D2876,Workers!$A$5:$A$2004,0)),"NOT FOUND"))</f>
        <v/>
      </c>
      <c r="J2876" s="24" t="str">
        <f aca="false">IF($D2876="","",IFERROR(INDEX(Workers!$C$5:$C$2004,MATCH($D2876,Workers!$A$5:$A$2004,0)),""))</f>
        <v/>
      </c>
      <c r="K2876" s="24" t="str">
        <f aca="false">IF($D2876="","",IFERROR(IF(INDEX(Workers!$D$5:$D$2004,MATCH($D2876,Workers!$A$5:$A$2004,0))=0,"",INDEX(Workers!$D$5:$D$2004,MATCH($D2876,Workers!$A$5:$A$2004,0))),""))</f>
        <v/>
      </c>
      <c r="L2876" s="24" t="str">
        <f aca="false">IF($D2876="","",IFERROR(INDEX(Workers!$E$5:$E$2004,MATCH($D2876,Workers!$A$5:$A$2004,0)),""))</f>
        <v/>
      </c>
      <c r="M2876" s="26" t="str">
        <f aca="false">IF($D2876="","",IFERROR(INDEX(ClientRates!$D$5:$D$500,MATCH($B2876&amp;"|"&amp;$L2876,ClientRates!$A$5:$A$500,0)),0))</f>
        <v/>
      </c>
      <c r="N2876" s="26" t="str">
        <f aca="false">IF($D2876="","",IFERROR(INDEX(ClientRates!$E$5:$E$500,MATCH($B2876&amp;"|"&amp;$L2876,ClientRates!$A$5:$A$500,0)),0))</f>
        <v/>
      </c>
      <c r="O2876" s="26" t="str">
        <f aca="false">IF($D2876="","",F2876*M2876+G2876*N2876)</f>
        <v/>
      </c>
      <c r="P2876" s="26" t="str">
        <f aca="false">IF(OR($D2876="",$J2876&lt;&gt;"Supplier"),"",IFERROR(INDEX(SupplierRates!$D$5:$D$500,MATCH($K2876&amp;"|"&amp;$L2876,SupplierRates!$A$5:$A$500,0)),0))</f>
        <v/>
      </c>
      <c r="Q2876" s="26" t="str">
        <f aca="false">IF(OR($D2876="",$J2876&lt;&gt;"Supplier"),"",IFERROR(INDEX(SupplierRates!$E$5:$E$500,MATCH($K2876&amp;"|"&amp;$L2876,SupplierRates!$A$5:$A$500,0)),0))</f>
        <v/>
      </c>
      <c r="R2876" s="26" t="n">
        <f aca="false">IF(OR($D2876="",$J2876&lt;&gt;"Supplier"),0,F2876*P2876+G2876*Q2876)</f>
        <v>0</v>
      </c>
      <c r="S2876" s="26" t="n">
        <f aca="false">IF(OR($D2876="",$J2876&lt;&gt;"Own"),0,IFERROR((F2876+G2876*Settings!$B$13)*INDEX(Workers!$V$5:$V$2004,MATCH($D2876,Workers!$A$5:$A$2004,0)),0))</f>
        <v>0</v>
      </c>
      <c r="T2876" s="26" t="str">
        <f aca="false">IF($D2876="","",O2876-R2876-S2876)</f>
        <v/>
      </c>
    </row>
    <row r="2877" customFormat="false" ht="15" hidden="false" customHeight="false" outlineLevel="0" collapsed="false">
      <c r="I2877" s="24" t="str">
        <f aca="false">IF($D2877="","",IFERROR(INDEX(Workers!$B$5:$B$2004,MATCH($D2877,Workers!$A$5:$A$2004,0)),"NOT FOUND"))</f>
        <v/>
      </c>
      <c r="J2877" s="24" t="str">
        <f aca="false">IF($D2877="","",IFERROR(INDEX(Workers!$C$5:$C$2004,MATCH($D2877,Workers!$A$5:$A$2004,0)),""))</f>
        <v/>
      </c>
      <c r="K2877" s="24" t="str">
        <f aca="false">IF($D2877="","",IFERROR(IF(INDEX(Workers!$D$5:$D$2004,MATCH($D2877,Workers!$A$5:$A$2004,0))=0,"",INDEX(Workers!$D$5:$D$2004,MATCH($D2877,Workers!$A$5:$A$2004,0))),""))</f>
        <v/>
      </c>
      <c r="L2877" s="24" t="str">
        <f aca="false">IF($D2877="","",IFERROR(INDEX(Workers!$E$5:$E$2004,MATCH($D2877,Workers!$A$5:$A$2004,0)),""))</f>
        <v/>
      </c>
      <c r="M2877" s="26" t="str">
        <f aca="false">IF($D2877="","",IFERROR(INDEX(ClientRates!$D$5:$D$500,MATCH($B2877&amp;"|"&amp;$L2877,ClientRates!$A$5:$A$500,0)),0))</f>
        <v/>
      </c>
      <c r="N2877" s="26" t="str">
        <f aca="false">IF($D2877="","",IFERROR(INDEX(ClientRates!$E$5:$E$500,MATCH($B2877&amp;"|"&amp;$L2877,ClientRates!$A$5:$A$500,0)),0))</f>
        <v/>
      </c>
      <c r="O2877" s="26" t="str">
        <f aca="false">IF($D2877="","",F2877*M2877+G2877*N2877)</f>
        <v/>
      </c>
      <c r="P2877" s="26" t="str">
        <f aca="false">IF(OR($D2877="",$J2877&lt;&gt;"Supplier"),"",IFERROR(INDEX(SupplierRates!$D$5:$D$500,MATCH($K2877&amp;"|"&amp;$L2877,SupplierRates!$A$5:$A$500,0)),0))</f>
        <v/>
      </c>
      <c r="Q2877" s="26" t="str">
        <f aca="false">IF(OR($D2877="",$J2877&lt;&gt;"Supplier"),"",IFERROR(INDEX(SupplierRates!$E$5:$E$500,MATCH($K2877&amp;"|"&amp;$L2877,SupplierRates!$A$5:$A$500,0)),0))</f>
        <v/>
      </c>
      <c r="R2877" s="26" t="n">
        <f aca="false">IF(OR($D2877="",$J2877&lt;&gt;"Supplier"),0,F2877*P2877+G2877*Q2877)</f>
        <v>0</v>
      </c>
      <c r="S2877" s="26" t="n">
        <f aca="false">IF(OR($D2877="",$J2877&lt;&gt;"Own"),0,IFERROR((F2877+G2877*Settings!$B$13)*INDEX(Workers!$V$5:$V$2004,MATCH($D2877,Workers!$A$5:$A$2004,0)),0))</f>
        <v>0</v>
      </c>
      <c r="T2877" s="26" t="str">
        <f aca="false">IF($D2877="","",O2877-R2877-S2877)</f>
        <v/>
      </c>
    </row>
    <row r="2878" customFormat="false" ht="15" hidden="false" customHeight="false" outlineLevel="0" collapsed="false">
      <c r="I2878" s="24" t="str">
        <f aca="false">IF($D2878="","",IFERROR(INDEX(Workers!$B$5:$B$2004,MATCH($D2878,Workers!$A$5:$A$2004,0)),"NOT FOUND"))</f>
        <v/>
      </c>
      <c r="J2878" s="24" t="str">
        <f aca="false">IF($D2878="","",IFERROR(INDEX(Workers!$C$5:$C$2004,MATCH($D2878,Workers!$A$5:$A$2004,0)),""))</f>
        <v/>
      </c>
      <c r="K2878" s="24" t="str">
        <f aca="false">IF($D2878="","",IFERROR(IF(INDEX(Workers!$D$5:$D$2004,MATCH($D2878,Workers!$A$5:$A$2004,0))=0,"",INDEX(Workers!$D$5:$D$2004,MATCH($D2878,Workers!$A$5:$A$2004,0))),""))</f>
        <v/>
      </c>
      <c r="L2878" s="24" t="str">
        <f aca="false">IF($D2878="","",IFERROR(INDEX(Workers!$E$5:$E$2004,MATCH($D2878,Workers!$A$5:$A$2004,0)),""))</f>
        <v/>
      </c>
      <c r="M2878" s="26" t="str">
        <f aca="false">IF($D2878="","",IFERROR(INDEX(ClientRates!$D$5:$D$500,MATCH($B2878&amp;"|"&amp;$L2878,ClientRates!$A$5:$A$500,0)),0))</f>
        <v/>
      </c>
      <c r="N2878" s="26" t="str">
        <f aca="false">IF($D2878="","",IFERROR(INDEX(ClientRates!$E$5:$E$500,MATCH($B2878&amp;"|"&amp;$L2878,ClientRates!$A$5:$A$500,0)),0))</f>
        <v/>
      </c>
      <c r="O2878" s="26" t="str">
        <f aca="false">IF($D2878="","",F2878*M2878+G2878*N2878)</f>
        <v/>
      </c>
      <c r="P2878" s="26" t="str">
        <f aca="false">IF(OR($D2878="",$J2878&lt;&gt;"Supplier"),"",IFERROR(INDEX(SupplierRates!$D$5:$D$500,MATCH($K2878&amp;"|"&amp;$L2878,SupplierRates!$A$5:$A$500,0)),0))</f>
        <v/>
      </c>
      <c r="Q2878" s="26" t="str">
        <f aca="false">IF(OR($D2878="",$J2878&lt;&gt;"Supplier"),"",IFERROR(INDEX(SupplierRates!$E$5:$E$500,MATCH($K2878&amp;"|"&amp;$L2878,SupplierRates!$A$5:$A$500,0)),0))</f>
        <v/>
      </c>
      <c r="R2878" s="26" t="n">
        <f aca="false">IF(OR($D2878="",$J2878&lt;&gt;"Supplier"),0,F2878*P2878+G2878*Q2878)</f>
        <v>0</v>
      </c>
      <c r="S2878" s="26" t="n">
        <f aca="false">IF(OR($D2878="",$J2878&lt;&gt;"Own"),0,IFERROR((F2878+G2878*Settings!$B$13)*INDEX(Workers!$V$5:$V$2004,MATCH($D2878,Workers!$A$5:$A$2004,0)),0))</f>
        <v>0</v>
      </c>
      <c r="T2878" s="26" t="str">
        <f aca="false">IF($D2878="","",O2878-R2878-S2878)</f>
        <v/>
      </c>
    </row>
    <row r="2879" customFormat="false" ht="15" hidden="false" customHeight="false" outlineLevel="0" collapsed="false">
      <c r="I2879" s="24" t="str">
        <f aca="false">IF($D2879="","",IFERROR(INDEX(Workers!$B$5:$B$2004,MATCH($D2879,Workers!$A$5:$A$2004,0)),"NOT FOUND"))</f>
        <v/>
      </c>
      <c r="J2879" s="24" t="str">
        <f aca="false">IF($D2879="","",IFERROR(INDEX(Workers!$C$5:$C$2004,MATCH($D2879,Workers!$A$5:$A$2004,0)),""))</f>
        <v/>
      </c>
      <c r="K2879" s="24" t="str">
        <f aca="false">IF($D2879="","",IFERROR(IF(INDEX(Workers!$D$5:$D$2004,MATCH($D2879,Workers!$A$5:$A$2004,0))=0,"",INDEX(Workers!$D$5:$D$2004,MATCH($D2879,Workers!$A$5:$A$2004,0))),""))</f>
        <v/>
      </c>
      <c r="L2879" s="24" t="str">
        <f aca="false">IF($D2879="","",IFERROR(INDEX(Workers!$E$5:$E$2004,MATCH($D2879,Workers!$A$5:$A$2004,0)),""))</f>
        <v/>
      </c>
      <c r="M2879" s="26" t="str">
        <f aca="false">IF($D2879="","",IFERROR(INDEX(ClientRates!$D$5:$D$500,MATCH($B2879&amp;"|"&amp;$L2879,ClientRates!$A$5:$A$500,0)),0))</f>
        <v/>
      </c>
      <c r="N2879" s="26" t="str">
        <f aca="false">IF($D2879="","",IFERROR(INDEX(ClientRates!$E$5:$E$500,MATCH($B2879&amp;"|"&amp;$L2879,ClientRates!$A$5:$A$500,0)),0))</f>
        <v/>
      </c>
      <c r="O2879" s="26" t="str">
        <f aca="false">IF($D2879="","",F2879*M2879+G2879*N2879)</f>
        <v/>
      </c>
      <c r="P2879" s="26" t="str">
        <f aca="false">IF(OR($D2879="",$J2879&lt;&gt;"Supplier"),"",IFERROR(INDEX(SupplierRates!$D$5:$D$500,MATCH($K2879&amp;"|"&amp;$L2879,SupplierRates!$A$5:$A$500,0)),0))</f>
        <v/>
      </c>
      <c r="Q2879" s="26" t="str">
        <f aca="false">IF(OR($D2879="",$J2879&lt;&gt;"Supplier"),"",IFERROR(INDEX(SupplierRates!$E$5:$E$500,MATCH($K2879&amp;"|"&amp;$L2879,SupplierRates!$A$5:$A$500,0)),0))</f>
        <v/>
      </c>
      <c r="R2879" s="26" t="n">
        <f aca="false">IF(OR($D2879="",$J2879&lt;&gt;"Supplier"),0,F2879*P2879+G2879*Q2879)</f>
        <v>0</v>
      </c>
      <c r="S2879" s="26" t="n">
        <f aca="false">IF(OR($D2879="",$J2879&lt;&gt;"Own"),0,IFERROR((F2879+G2879*Settings!$B$13)*INDEX(Workers!$V$5:$V$2004,MATCH($D2879,Workers!$A$5:$A$2004,0)),0))</f>
        <v>0</v>
      </c>
      <c r="T2879" s="26" t="str">
        <f aca="false">IF($D2879="","",O2879-R2879-S2879)</f>
        <v/>
      </c>
    </row>
    <row r="2880" customFormat="false" ht="15" hidden="false" customHeight="false" outlineLevel="0" collapsed="false">
      <c r="I2880" s="24" t="str">
        <f aca="false">IF($D2880="","",IFERROR(INDEX(Workers!$B$5:$B$2004,MATCH($D2880,Workers!$A$5:$A$2004,0)),"NOT FOUND"))</f>
        <v/>
      </c>
      <c r="J2880" s="24" t="str">
        <f aca="false">IF($D2880="","",IFERROR(INDEX(Workers!$C$5:$C$2004,MATCH($D2880,Workers!$A$5:$A$2004,0)),""))</f>
        <v/>
      </c>
      <c r="K2880" s="24" t="str">
        <f aca="false">IF($D2880="","",IFERROR(IF(INDEX(Workers!$D$5:$D$2004,MATCH($D2880,Workers!$A$5:$A$2004,0))=0,"",INDEX(Workers!$D$5:$D$2004,MATCH($D2880,Workers!$A$5:$A$2004,0))),""))</f>
        <v/>
      </c>
      <c r="L2880" s="24" t="str">
        <f aca="false">IF($D2880="","",IFERROR(INDEX(Workers!$E$5:$E$2004,MATCH($D2880,Workers!$A$5:$A$2004,0)),""))</f>
        <v/>
      </c>
      <c r="M2880" s="26" t="str">
        <f aca="false">IF($D2880="","",IFERROR(INDEX(ClientRates!$D$5:$D$500,MATCH($B2880&amp;"|"&amp;$L2880,ClientRates!$A$5:$A$500,0)),0))</f>
        <v/>
      </c>
      <c r="N2880" s="26" t="str">
        <f aca="false">IF($D2880="","",IFERROR(INDEX(ClientRates!$E$5:$E$500,MATCH($B2880&amp;"|"&amp;$L2880,ClientRates!$A$5:$A$500,0)),0))</f>
        <v/>
      </c>
      <c r="O2880" s="26" t="str">
        <f aca="false">IF($D2880="","",F2880*M2880+G2880*N2880)</f>
        <v/>
      </c>
      <c r="P2880" s="26" t="str">
        <f aca="false">IF(OR($D2880="",$J2880&lt;&gt;"Supplier"),"",IFERROR(INDEX(SupplierRates!$D$5:$D$500,MATCH($K2880&amp;"|"&amp;$L2880,SupplierRates!$A$5:$A$500,0)),0))</f>
        <v/>
      </c>
      <c r="Q2880" s="26" t="str">
        <f aca="false">IF(OR($D2880="",$J2880&lt;&gt;"Supplier"),"",IFERROR(INDEX(SupplierRates!$E$5:$E$500,MATCH($K2880&amp;"|"&amp;$L2880,SupplierRates!$A$5:$A$500,0)),0))</f>
        <v/>
      </c>
      <c r="R2880" s="26" t="n">
        <f aca="false">IF(OR($D2880="",$J2880&lt;&gt;"Supplier"),0,F2880*P2880+G2880*Q2880)</f>
        <v>0</v>
      </c>
      <c r="S2880" s="26" t="n">
        <f aca="false">IF(OR($D2880="",$J2880&lt;&gt;"Own"),0,IFERROR((F2880+G2880*Settings!$B$13)*INDEX(Workers!$V$5:$V$2004,MATCH($D2880,Workers!$A$5:$A$2004,0)),0))</f>
        <v>0</v>
      </c>
      <c r="T2880" s="26" t="str">
        <f aca="false">IF($D2880="","",O2880-R2880-S2880)</f>
        <v/>
      </c>
    </row>
    <row r="2881" customFormat="false" ht="15" hidden="false" customHeight="false" outlineLevel="0" collapsed="false">
      <c r="I2881" s="24" t="str">
        <f aca="false">IF($D2881="","",IFERROR(INDEX(Workers!$B$5:$B$2004,MATCH($D2881,Workers!$A$5:$A$2004,0)),"NOT FOUND"))</f>
        <v/>
      </c>
      <c r="J2881" s="24" t="str">
        <f aca="false">IF($D2881="","",IFERROR(INDEX(Workers!$C$5:$C$2004,MATCH($D2881,Workers!$A$5:$A$2004,0)),""))</f>
        <v/>
      </c>
      <c r="K2881" s="24" t="str">
        <f aca="false">IF($D2881="","",IFERROR(IF(INDEX(Workers!$D$5:$D$2004,MATCH($D2881,Workers!$A$5:$A$2004,0))=0,"",INDEX(Workers!$D$5:$D$2004,MATCH($D2881,Workers!$A$5:$A$2004,0))),""))</f>
        <v/>
      </c>
      <c r="L2881" s="24" t="str">
        <f aca="false">IF($D2881="","",IFERROR(INDEX(Workers!$E$5:$E$2004,MATCH($D2881,Workers!$A$5:$A$2004,0)),""))</f>
        <v/>
      </c>
      <c r="M2881" s="26" t="str">
        <f aca="false">IF($D2881="","",IFERROR(INDEX(ClientRates!$D$5:$D$500,MATCH($B2881&amp;"|"&amp;$L2881,ClientRates!$A$5:$A$500,0)),0))</f>
        <v/>
      </c>
      <c r="N2881" s="26" t="str">
        <f aca="false">IF($D2881="","",IFERROR(INDEX(ClientRates!$E$5:$E$500,MATCH($B2881&amp;"|"&amp;$L2881,ClientRates!$A$5:$A$500,0)),0))</f>
        <v/>
      </c>
      <c r="O2881" s="26" t="str">
        <f aca="false">IF($D2881="","",F2881*M2881+G2881*N2881)</f>
        <v/>
      </c>
      <c r="P2881" s="26" t="str">
        <f aca="false">IF(OR($D2881="",$J2881&lt;&gt;"Supplier"),"",IFERROR(INDEX(SupplierRates!$D$5:$D$500,MATCH($K2881&amp;"|"&amp;$L2881,SupplierRates!$A$5:$A$500,0)),0))</f>
        <v/>
      </c>
      <c r="Q2881" s="26" t="str">
        <f aca="false">IF(OR($D2881="",$J2881&lt;&gt;"Supplier"),"",IFERROR(INDEX(SupplierRates!$E$5:$E$500,MATCH($K2881&amp;"|"&amp;$L2881,SupplierRates!$A$5:$A$500,0)),0))</f>
        <v/>
      </c>
      <c r="R2881" s="26" t="n">
        <f aca="false">IF(OR($D2881="",$J2881&lt;&gt;"Supplier"),0,F2881*P2881+G2881*Q2881)</f>
        <v>0</v>
      </c>
      <c r="S2881" s="26" t="n">
        <f aca="false">IF(OR($D2881="",$J2881&lt;&gt;"Own"),0,IFERROR((F2881+G2881*Settings!$B$13)*INDEX(Workers!$V$5:$V$2004,MATCH($D2881,Workers!$A$5:$A$2004,0)),0))</f>
        <v>0</v>
      </c>
      <c r="T2881" s="26" t="str">
        <f aca="false">IF($D2881="","",O2881-R2881-S2881)</f>
        <v/>
      </c>
    </row>
    <row r="2882" customFormat="false" ht="15" hidden="false" customHeight="false" outlineLevel="0" collapsed="false">
      <c r="I2882" s="24" t="str">
        <f aca="false">IF($D2882="","",IFERROR(INDEX(Workers!$B$5:$B$2004,MATCH($D2882,Workers!$A$5:$A$2004,0)),"NOT FOUND"))</f>
        <v/>
      </c>
      <c r="J2882" s="24" t="str">
        <f aca="false">IF($D2882="","",IFERROR(INDEX(Workers!$C$5:$C$2004,MATCH($D2882,Workers!$A$5:$A$2004,0)),""))</f>
        <v/>
      </c>
      <c r="K2882" s="24" t="str">
        <f aca="false">IF($D2882="","",IFERROR(IF(INDEX(Workers!$D$5:$D$2004,MATCH($D2882,Workers!$A$5:$A$2004,0))=0,"",INDEX(Workers!$D$5:$D$2004,MATCH($D2882,Workers!$A$5:$A$2004,0))),""))</f>
        <v/>
      </c>
      <c r="L2882" s="24" t="str">
        <f aca="false">IF($D2882="","",IFERROR(INDEX(Workers!$E$5:$E$2004,MATCH($D2882,Workers!$A$5:$A$2004,0)),""))</f>
        <v/>
      </c>
      <c r="M2882" s="26" t="str">
        <f aca="false">IF($D2882="","",IFERROR(INDEX(ClientRates!$D$5:$D$500,MATCH($B2882&amp;"|"&amp;$L2882,ClientRates!$A$5:$A$500,0)),0))</f>
        <v/>
      </c>
      <c r="N2882" s="26" t="str">
        <f aca="false">IF($D2882="","",IFERROR(INDEX(ClientRates!$E$5:$E$500,MATCH($B2882&amp;"|"&amp;$L2882,ClientRates!$A$5:$A$500,0)),0))</f>
        <v/>
      </c>
      <c r="O2882" s="26" t="str">
        <f aca="false">IF($D2882="","",F2882*M2882+G2882*N2882)</f>
        <v/>
      </c>
      <c r="P2882" s="26" t="str">
        <f aca="false">IF(OR($D2882="",$J2882&lt;&gt;"Supplier"),"",IFERROR(INDEX(SupplierRates!$D$5:$D$500,MATCH($K2882&amp;"|"&amp;$L2882,SupplierRates!$A$5:$A$500,0)),0))</f>
        <v/>
      </c>
      <c r="Q2882" s="26" t="str">
        <f aca="false">IF(OR($D2882="",$J2882&lt;&gt;"Supplier"),"",IFERROR(INDEX(SupplierRates!$E$5:$E$500,MATCH($K2882&amp;"|"&amp;$L2882,SupplierRates!$A$5:$A$500,0)),0))</f>
        <v/>
      </c>
      <c r="R2882" s="26" t="n">
        <f aca="false">IF(OR($D2882="",$J2882&lt;&gt;"Supplier"),0,F2882*P2882+G2882*Q2882)</f>
        <v>0</v>
      </c>
      <c r="S2882" s="26" t="n">
        <f aca="false">IF(OR($D2882="",$J2882&lt;&gt;"Own"),0,IFERROR((F2882+G2882*Settings!$B$13)*INDEX(Workers!$V$5:$V$2004,MATCH($D2882,Workers!$A$5:$A$2004,0)),0))</f>
        <v>0</v>
      </c>
      <c r="T2882" s="26" t="str">
        <f aca="false">IF($D2882="","",O2882-R2882-S2882)</f>
        <v/>
      </c>
    </row>
    <row r="2883" customFormat="false" ht="15" hidden="false" customHeight="false" outlineLevel="0" collapsed="false">
      <c r="I2883" s="24" t="str">
        <f aca="false">IF($D2883="","",IFERROR(INDEX(Workers!$B$5:$B$2004,MATCH($D2883,Workers!$A$5:$A$2004,0)),"NOT FOUND"))</f>
        <v/>
      </c>
      <c r="J2883" s="24" t="str">
        <f aca="false">IF($D2883="","",IFERROR(INDEX(Workers!$C$5:$C$2004,MATCH($D2883,Workers!$A$5:$A$2004,0)),""))</f>
        <v/>
      </c>
      <c r="K2883" s="24" t="str">
        <f aca="false">IF($D2883="","",IFERROR(IF(INDEX(Workers!$D$5:$D$2004,MATCH($D2883,Workers!$A$5:$A$2004,0))=0,"",INDEX(Workers!$D$5:$D$2004,MATCH($D2883,Workers!$A$5:$A$2004,0))),""))</f>
        <v/>
      </c>
      <c r="L2883" s="24" t="str">
        <f aca="false">IF($D2883="","",IFERROR(INDEX(Workers!$E$5:$E$2004,MATCH($D2883,Workers!$A$5:$A$2004,0)),""))</f>
        <v/>
      </c>
      <c r="M2883" s="26" t="str">
        <f aca="false">IF($D2883="","",IFERROR(INDEX(ClientRates!$D$5:$D$500,MATCH($B2883&amp;"|"&amp;$L2883,ClientRates!$A$5:$A$500,0)),0))</f>
        <v/>
      </c>
      <c r="N2883" s="26" t="str">
        <f aca="false">IF($D2883="","",IFERROR(INDEX(ClientRates!$E$5:$E$500,MATCH($B2883&amp;"|"&amp;$L2883,ClientRates!$A$5:$A$500,0)),0))</f>
        <v/>
      </c>
      <c r="O2883" s="26" t="str">
        <f aca="false">IF($D2883="","",F2883*M2883+G2883*N2883)</f>
        <v/>
      </c>
      <c r="P2883" s="26" t="str">
        <f aca="false">IF(OR($D2883="",$J2883&lt;&gt;"Supplier"),"",IFERROR(INDEX(SupplierRates!$D$5:$D$500,MATCH($K2883&amp;"|"&amp;$L2883,SupplierRates!$A$5:$A$500,0)),0))</f>
        <v/>
      </c>
      <c r="Q2883" s="26" t="str">
        <f aca="false">IF(OR($D2883="",$J2883&lt;&gt;"Supplier"),"",IFERROR(INDEX(SupplierRates!$E$5:$E$500,MATCH($K2883&amp;"|"&amp;$L2883,SupplierRates!$A$5:$A$500,0)),0))</f>
        <v/>
      </c>
      <c r="R2883" s="26" t="n">
        <f aca="false">IF(OR($D2883="",$J2883&lt;&gt;"Supplier"),0,F2883*P2883+G2883*Q2883)</f>
        <v>0</v>
      </c>
      <c r="S2883" s="26" t="n">
        <f aca="false">IF(OR($D2883="",$J2883&lt;&gt;"Own"),0,IFERROR((F2883+G2883*Settings!$B$13)*INDEX(Workers!$V$5:$V$2004,MATCH($D2883,Workers!$A$5:$A$2004,0)),0))</f>
        <v>0</v>
      </c>
      <c r="T2883" s="26" t="str">
        <f aca="false">IF($D2883="","",O2883-R2883-S2883)</f>
        <v/>
      </c>
    </row>
    <row r="2884" customFormat="false" ht="15" hidden="false" customHeight="false" outlineLevel="0" collapsed="false">
      <c r="I2884" s="24" t="str">
        <f aca="false">IF($D2884="","",IFERROR(INDEX(Workers!$B$5:$B$2004,MATCH($D2884,Workers!$A$5:$A$2004,0)),"NOT FOUND"))</f>
        <v/>
      </c>
      <c r="J2884" s="24" t="str">
        <f aca="false">IF($D2884="","",IFERROR(INDEX(Workers!$C$5:$C$2004,MATCH($D2884,Workers!$A$5:$A$2004,0)),""))</f>
        <v/>
      </c>
      <c r="K2884" s="24" t="str">
        <f aca="false">IF($D2884="","",IFERROR(IF(INDEX(Workers!$D$5:$D$2004,MATCH($D2884,Workers!$A$5:$A$2004,0))=0,"",INDEX(Workers!$D$5:$D$2004,MATCH($D2884,Workers!$A$5:$A$2004,0))),""))</f>
        <v/>
      </c>
      <c r="L2884" s="24" t="str">
        <f aca="false">IF($D2884="","",IFERROR(INDEX(Workers!$E$5:$E$2004,MATCH($D2884,Workers!$A$5:$A$2004,0)),""))</f>
        <v/>
      </c>
      <c r="M2884" s="26" t="str">
        <f aca="false">IF($D2884="","",IFERROR(INDEX(ClientRates!$D$5:$D$500,MATCH($B2884&amp;"|"&amp;$L2884,ClientRates!$A$5:$A$500,0)),0))</f>
        <v/>
      </c>
      <c r="N2884" s="26" t="str">
        <f aca="false">IF($D2884="","",IFERROR(INDEX(ClientRates!$E$5:$E$500,MATCH($B2884&amp;"|"&amp;$L2884,ClientRates!$A$5:$A$500,0)),0))</f>
        <v/>
      </c>
      <c r="O2884" s="26" t="str">
        <f aca="false">IF($D2884="","",F2884*M2884+G2884*N2884)</f>
        <v/>
      </c>
      <c r="P2884" s="26" t="str">
        <f aca="false">IF(OR($D2884="",$J2884&lt;&gt;"Supplier"),"",IFERROR(INDEX(SupplierRates!$D$5:$D$500,MATCH($K2884&amp;"|"&amp;$L2884,SupplierRates!$A$5:$A$500,0)),0))</f>
        <v/>
      </c>
      <c r="Q2884" s="26" t="str">
        <f aca="false">IF(OR($D2884="",$J2884&lt;&gt;"Supplier"),"",IFERROR(INDEX(SupplierRates!$E$5:$E$500,MATCH($K2884&amp;"|"&amp;$L2884,SupplierRates!$A$5:$A$500,0)),0))</f>
        <v/>
      </c>
      <c r="R2884" s="26" t="n">
        <f aca="false">IF(OR($D2884="",$J2884&lt;&gt;"Supplier"),0,F2884*P2884+G2884*Q2884)</f>
        <v>0</v>
      </c>
      <c r="S2884" s="26" t="n">
        <f aca="false">IF(OR($D2884="",$J2884&lt;&gt;"Own"),0,IFERROR((F2884+G2884*Settings!$B$13)*INDEX(Workers!$V$5:$V$2004,MATCH($D2884,Workers!$A$5:$A$2004,0)),0))</f>
        <v>0</v>
      </c>
      <c r="T2884" s="26" t="str">
        <f aca="false">IF($D2884="","",O2884-R2884-S2884)</f>
        <v/>
      </c>
    </row>
    <row r="2885" customFormat="false" ht="15" hidden="false" customHeight="false" outlineLevel="0" collapsed="false">
      <c r="I2885" s="24" t="str">
        <f aca="false">IF($D2885="","",IFERROR(INDEX(Workers!$B$5:$B$2004,MATCH($D2885,Workers!$A$5:$A$2004,0)),"NOT FOUND"))</f>
        <v/>
      </c>
      <c r="J2885" s="24" t="str">
        <f aca="false">IF($D2885="","",IFERROR(INDEX(Workers!$C$5:$C$2004,MATCH($D2885,Workers!$A$5:$A$2004,0)),""))</f>
        <v/>
      </c>
      <c r="K2885" s="24" t="str">
        <f aca="false">IF($D2885="","",IFERROR(IF(INDEX(Workers!$D$5:$D$2004,MATCH($D2885,Workers!$A$5:$A$2004,0))=0,"",INDEX(Workers!$D$5:$D$2004,MATCH($D2885,Workers!$A$5:$A$2004,0))),""))</f>
        <v/>
      </c>
      <c r="L2885" s="24" t="str">
        <f aca="false">IF($D2885="","",IFERROR(INDEX(Workers!$E$5:$E$2004,MATCH($D2885,Workers!$A$5:$A$2004,0)),""))</f>
        <v/>
      </c>
      <c r="M2885" s="26" t="str">
        <f aca="false">IF($D2885="","",IFERROR(INDEX(ClientRates!$D$5:$D$500,MATCH($B2885&amp;"|"&amp;$L2885,ClientRates!$A$5:$A$500,0)),0))</f>
        <v/>
      </c>
      <c r="N2885" s="26" t="str">
        <f aca="false">IF($D2885="","",IFERROR(INDEX(ClientRates!$E$5:$E$500,MATCH($B2885&amp;"|"&amp;$L2885,ClientRates!$A$5:$A$500,0)),0))</f>
        <v/>
      </c>
      <c r="O2885" s="26" t="str">
        <f aca="false">IF($D2885="","",F2885*M2885+G2885*N2885)</f>
        <v/>
      </c>
      <c r="P2885" s="26" t="str">
        <f aca="false">IF(OR($D2885="",$J2885&lt;&gt;"Supplier"),"",IFERROR(INDEX(SupplierRates!$D$5:$D$500,MATCH($K2885&amp;"|"&amp;$L2885,SupplierRates!$A$5:$A$500,0)),0))</f>
        <v/>
      </c>
      <c r="Q2885" s="26" t="str">
        <f aca="false">IF(OR($D2885="",$J2885&lt;&gt;"Supplier"),"",IFERROR(INDEX(SupplierRates!$E$5:$E$500,MATCH($K2885&amp;"|"&amp;$L2885,SupplierRates!$A$5:$A$500,0)),0))</f>
        <v/>
      </c>
      <c r="R2885" s="26" t="n">
        <f aca="false">IF(OR($D2885="",$J2885&lt;&gt;"Supplier"),0,F2885*P2885+G2885*Q2885)</f>
        <v>0</v>
      </c>
      <c r="S2885" s="26" t="n">
        <f aca="false">IF(OR($D2885="",$J2885&lt;&gt;"Own"),0,IFERROR((F2885+G2885*Settings!$B$13)*INDEX(Workers!$V$5:$V$2004,MATCH($D2885,Workers!$A$5:$A$2004,0)),0))</f>
        <v>0</v>
      </c>
      <c r="T2885" s="26" t="str">
        <f aca="false">IF($D2885="","",O2885-R2885-S2885)</f>
        <v/>
      </c>
    </row>
    <row r="2886" customFormat="false" ht="15" hidden="false" customHeight="false" outlineLevel="0" collapsed="false">
      <c r="I2886" s="24" t="str">
        <f aca="false">IF($D2886="","",IFERROR(INDEX(Workers!$B$5:$B$2004,MATCH($D2886,Workers!$A$5:$A$2004,0)),"NOT FOUND"))</f>
        <v/>
      </c>
      <c r="J2886" s="24" t="str">
        <f aca="false">IF($D2886="","",IFERROR(INDEX(Workers!$C$5:$C$2004,MATCH($D2886,Workers!$A$5:$A$2004,0)),""))</f>
        <v/>
      </c>
      <c r="K2886" s="24" t="str">
        <f aca="false">IF($D2886="","",IFERROR(IF(INDEX(Workers!$D$5:$D$2004,MATCH($D2886,Workers!$A$5:$A$2004,0))=0,"",INDEX(Workers!$D$5:$D$2004,MATCH($D2886,Workers!$A$5:$A$2004,0))),""))</f>
        <v/>
      </c>
      <c r="L2886" s="24" t="str">
        <f aca="false">IF($D2886="","",IFERROR(INDEX(Workers!$E$5:$E$2004,MATCH($D2886,Workers!$A$5:$A$2004,0)),""))</f>
        <v/>
      </c>
      <c r="M2886" s="26" t="str">
        <f aca="false">IF($D2886="","",IFERROR(INDEX(ClientRates!$D$5:$D$500,MATCH($B2886&amp;"|"&amp;$L2886,ClientRates!$A$5:$A$500,0)),0))</f>
        <v/>
      </c>
      <c r="N2886" s="26" t="str">
        <f aca="false">IF($D2886="","",IFERROR(INDEX(ClientRates!$E$5:$E$500,MATCH($B2886&amp;"|"&amp;$L2886,ClientRates!$A$5:$A$500,0)),0))</f>
        <v/>
      </c>
      <c r="O2886" s="26" t="str">
        <f aca="false">IF($D2886="","",F2886*M2886+G2886*N2886)</f>
        <v/>
      </c>
      <c r="P2886" s="26" t="str">
        <f aca="false">IF(OR($D2886="",$J2886&lt;&gt;"Supplier"),"",IFERROR(INDEX(SupplierRates!$D$5:$D$500,MATCH($K2886&amp;"|"&amp;$L2886,SupplierRates!$A$5:$A$500,0)),0))</f>
        <v/>
      </c>
      <c r="Q2886" s="26" t="str">
        <f aca="false">IF(OR($D2886="",$J2886&lt;&gt;"Supplier"),"",IFERROR(INDEX(SupplierRates!$E$5:$E$500,MATCH($K2886&amp;"|"&amp;$L2886,SupplierRates!$A$5:$A$500,0)),0))</f>
        <v/>
      </c>
      <c r="R2886" s="26" t="n">
        <f aca="false">IF(OR($D2886="",$J2886&lt;&gt;"Supplier"),0,F2886*P2886+G2886*Q2886)</f>
        <v>0</v>
      </c>
      <c r="S2886" s="26" t="n">
        <f aca="false">IF(OR($D2886="",$J2886&lt;&gt;"Own"),0,IFERROR((F2886+G2886*Settings!$B$13)*INDEX(Workers!$V$5:$V$2004,MATCH($D2886,Workers!$A$5:$A$2004,0)),0))</f>
        <v>0</v>
      </c>
      <c r="T2886" s="26" t="str">
        <f aca="false">IF($D2886="","",O2886-R2886-S2886)</f>
        <v/>
      </c>
    </row>
    <row r="2887" customFormat="false" ht="15" hidden="false" customHeight="false" outlineLevel="0" collapsed="false">
      <c r="I2887" s="24" t="str">
        <f aca="false">IF($D2887="","",IFERROR(INDEX(Workers!$B$5:$B$2004,MATCH($D2887,Workers!$A$5:$A$2004,0)),"NOT FOUND"))</f>
        <v/>
      </c>
      <c r="J2887" s="24" t="str">
        <f aca="false">IF($D2887="","",IFERROR(INDEX(Workers!$C$5:$C$2004,MATCH($D2887,Workers!$A$5:$A$2004,0)),""))</f>
        <v/>
      </c>
      <c r="K2887" s="24" t="str">
        <f aca="false">IF($D2887="","",IFERROR(IF(INDEX(Workers!$D$5:$D$2004,MATCH($D2887,Workers!$A$5:$A$2004,0))=0,"",INDEX(Workers!$D$5:$D$2004,MATCH($D2887,Workers!$A$5:$A$2004,0))),""))</f>
        <v/>
      </c>
      <c r="L2887" s="24" t="str">
        <f aca="false">IF($D2887="","",IFERROR(INDEX(Workers!$E$5:$E$2004,MATCH($D2887,Workers!$A$5:$A$2004,0)),""))</f>
        <v/>
      </c>
      <c r="M2887" s="26" t="str">
        <f aca="false">IF($D2887="","",IFERROR(INDEX(ClientRates!$D$5:$D$500,MATCH($B2887&amp;"|"&amp;$L2887,ClientRates!$A$5:$A$500,0)),0))</f>
        <v/>
      </c>
      <c r="N2887" s="26" t="str">
        <f aca="false">IF($D2887="","",IFERROR(INDEX(ClientRates!$E$5:$E$500,MATCH($B2887&amp;"|"&amp;$L2887,ClientRates!$A$5:$A$500,0)),0))</f>
        <v/>
      </c>
      <c r="O2887" s="26" t="str">
        <f aca="false">IF($D2887="","",F2887*M2887+G2887*N2887)</f>
        <v/>
      </c>
      <c r="P2887" s="26" t="str">
        <f aca="false">IF(OR($D2887="",$J2887&lt;&gt;"Supplier"),"",IFERROR(INDEX(SupplierRates!$D$5:$D$500,MATCH($K2887&amp;"|"&amp;$L2887,SupplierRates!$A$5:$A$500,0)),0))</f>
        <v/>
      </c>
      <c r="Q2887" s="26" t="str">
        <f aca="false">IF(OR($D2887="",$J2887&lt;&gt;"Supplier"),"",IFERROR(INDEX(SupplierRates!$E$5:$E$500,MATCH($K2887&amp;"|"&amp;$L2887,SupplierRates!$A$5:$A$500,0)),0))</f>
        <v/>
      </c>
      <c r="R2887" s="26" t="n">
        <f aca="false">IF(OR($D2887="",$J2887&lt;&gt;"Supplier"),0,F2887*P2887+G2887*Q2887)</f>
        <v>0</v>
      </c>
      <c r="S2887" s="26" t="n">
        <f aca="false">IF(OR($D2887="",$J2887&lt;&gt;"Own"),0,IFERROR((F2887+G2887*Settings!$B$13)*INDEX(Workers!$V$5:$V$2004,MATCH($D2887,Workers!$A$5:$A$2004,0)),0))</f>
        <v>0</v>
      </c>
      <c r="T2887" s="26" t="str">
        <f aca="false">IF($D2887="","",O2887-R2887-S2887)</f>
        <v/>
      </c>
    </row>
    <row r="2888" customFormat="false" ht="15" hidden="false" customHeight="false" outlineLevel="0" collapsed="false">
      <c r="I2888" s="24" t="str">
        <f aca="false">IF($D2888="","",IFERROR(INDEX(Workers!$B$5:$B$2004,MATCH($D2888,Workers!$A$5:$A$2004,0)),"NOT FOUND"))</f>
        <v/>
      </c>
      <c r="J2888" s="24" t="str">
        <f aca="false">IF($D2888="","",IFERROR(INDEX(Workers!$C$5:$C$2004,MATCH($D2888,Workers!$A$5:$A$2004,0)),""))</f>
        <v/>
      </c>
      <c r="K2888" s="24" t="str">
        <f aca="false">IF($D2888="","",IFERROR(IF(INDEX(Workers!$D$5:$D$2004,MATCH($D2888,Workers!$A$5:$A$2004,0))=0,"",INDEX(Workers!$D$5:$D$2004,MATCH($D2888,Workers!$A$5:$A$2004,0))),""))</f>
        <v/>
      </c>
      <c r="L2888" s="24" t="str">
        <f aca="false">IF($D2888="","",IFERROR(INDEX(Workers!$E$5:$E$2004,MATCH($D2888,Workers!$A$5:$A$2004,0)),""))</f>
        <v/>
      </c>
      <c r="M2888" s="26" t="str">
        <f aca="false">IF($D2888="","",IFERROR(INDEX(ClientRates!$D$5:$D$500,MATCH($B2888&amp;"|"&amp;$L2888,ClientRates!$A$5:$A$500,0)),0))</f>
        <v/>
      </c>
      <c r="N2888" s="26" t="str">
        <f aca="false">IF($D2888="","",IFERROR(INDEX(ClientRates!$E$5:$E$500,MATCH($B2888&amp;"|"&amp;$L2888,ClientRates!$A$5:$A$500,0)),0))</f>
        <v/>
      </c>
      <c r="O2888" s="26" t="str">
        <f aca="false">IF($D2888="","",F2888*M2888+G2888*N2888)</f>
        <v/>
      </c>
      <c r="P2888" s="26" t="str">
        <f aca="false">IF(OR($D2888="",$J2888&lt;&gt;"Supplier"),"",IFERROR(INDEX(SupplierRates!$D$5:$D$500,MATCH($K2888&amp;"|"&amp;$L2888,SupplierRates!$A$5:$A$500,0)),0))</f>
        <v/>
      </c>
      <c r="Q2888" s="26" t="str">
        <f aca="false">IF(OR($D2888="",$J2888&lt;&gt;"Supplier"),"",IFERROR(INDEX(SupplierRates!$E$5:$E$500,MATCH($K2888&amp;"|"&amp;$L2888,SupplierRates!$A$5:$A$500,0)),0))</f>
        <v/>
      </c>
      <c r="R2888" s="26" t="n">
        <f aca="false">IF(OR($D2888="",$J2888&lt;&gt;"Supplier"),0,F2888*P2888+G2888*Q2888)</f>
        <v>0</v>
      </c>
      <c r="S2888" s="26" t="n">
        <f aca="false">IF(OR($D2888="",$J2888&lt;&gt;"Own"),0,IFERROR((F2888+G2888*Settings!$B$13)*INDEX(Workers!$V$5:$V$2004,MATCH($D2888,Workers!$A$5:$A$2004,0)),0))</f>
        <v>0</v>
      </c>
      <c r="T2888" s="26" t="str">
        <f aca="false">IF($D2888="","",O2888-R2888-S2888)</f>
        <v/>
      </c>
    </row>
    <row r="2889" customFormat="false" ht="15" hidden="false" customHeight="false" outlineLevel="0" collapsed="false">
      <c r="I2889" s="24" t="str">
        <f aca="false">IF($D2889="","",IFERROR(INDEX(Workers!$B$5:$B$2004,MATCH($D2889,Workers!$A$5:$A$2004,0)),"NOT FOUND"))</f>
        <v/>
      </c>
      <c r="J2889" s="24" t="str">
        <f aca="false">IF($D2889="","",IFERROR(INDEX(Workers!$C$5:$C$2004,MATCH($D2889,Workers!$A$5:$A$2004,0)),""))</f>
        <v/>
      </c>
      <c r="K2889" s="24" t="str">
        <f aca="false">IF($D2889="","",IFERROR(IF(INDEX(Workers!$D$5:$D$2004,MATCH($D2889,Workers!$A$5:$A$2004,0))=0,"",INDEX(Workers!$D$5:$D$2004,MATCH($D2889,Workers!$A$5:$A$2004,0))),""))</f>
        <v/>
      </c>
      <c r="L2889" s="24" t="str">
        <f aca="false">IF($D2889="","",IFERROR(INDEX(Workers!$E$5:$E$2004,MATCH($D2889,Workers!$A$5:$A$2004,0)),""))</f>
        <v/>
      </c>
      <c r="M2889" s="26" t="str">
        <f aca="false">IF($D2889="","",IFERROR(INDEX(ClientRates!$D$5:$D$500,MATCH($B2889&amp;"|"&amp;$L2889,ClientRates!$A$5:$A$500,0)),0))</f>
        <v/>
      </c>
      <c r="N2889" s="26" t="str">
        <f aca="false">IF($D2889="","",IFERROR(INDEX(ClientRates!$E$5:$E$500,MATCH($B2889&amp;"|"&amp;$L2889,ClientRates!$A$5:$A$500,0)),0))</f>
        <v/>
      </c>
      <c r="O2889" s="26" t="str">
        <f aca="false">IF($D2889="","",F2889*M2889+G2889*N2889)</f>
        <v/>
      </c>
      <c r="P2889" s="26" t="str">
        <f aca="false">IF(OR($D2889="",$J2889&lt;&gt;"Supplier"),"",IFERROR(INDEX(SupplierRates!$D$5:$D$500,MATCH($K2889&amp;"|"&amp;$L2889,SupplierRates!$A$5:$A$500,0)),0))</f>
        <v/>
      </c>
      <c r="Q2889" s="26" t="str">
        <f aca="false">IF(OR($D2889="",$J2889&lt;&gt;"Supplier"),"",IFERROR(INDEX(SupplierRates!$E$5:$E$500,MATCH($K2889&amp;"|"&amp;$L2889,SupplierRates!$A$5:$A$500,0)),0))</f>
        <v/>
      </c>
      <c r="R2889" s="26" t="n">
        <f aca="false">IF(OR($D2889="",$J2889&lt;&gt;"Supplier"),0,F2889*P2889+G2889*Q2889)</f>
        <v>0</v>
      </c>
      <c r="S2889" s="26" t="n">
        <f aca="false">IF(OR($D2889="",$J2889&lt;&gt;"Own"),0,IFERROR((F2889+G2889*Settings!$B$13)*INDEX(Workers!$V$5:$V$2004,MATCH($D2889,Workers!$A$5:$A$2004,0)),0))</f>
        <v>0</v>
      </c>
      <c r="T2889" s="26" t="str">
        <f aca="false">IF($D2889="","",O2889-R2889-S2889)</f>
        <v/>
      </c>
    </row>
    <row r="2890" customFormat="false" ht="15" hidden="false" customHeight="false" outlineLevel="0" collapsed="false">
      <c r="I2890" s="24" t="str">
        <f aca="false">IF($D2890="","",IFERROR(INDEX(Workers!$B$5:$B$2004,MATCH($D2890,Workers!$A$5:$A$2004,0)),"NOT FOUND"))</f>
        <v/>
      </c>
      <c r="J2890" s="24" t="str">
        <f aca="false">IF($D2890="","",IFERROR(INDEX(Workers!$C$5:$C$2004,MATCH($D2890,Workers!$A$5:$A$2004,0)),""))</f>
        <v/>
      </c>
      <c r="K2890" s="24" t="str">
        <f aca="false">IF($D2890="","",IFERROR(IF(INDEX(Workers!$D$5:$D$2004,MATCH($D2890,Workers!$A$5:$A$2004,0))=0,"",INDEX(Workers!$D$5:$D$2004,MATCH($D2890,Workers!$A$5:$A$2004,0))),""))</f>
        <v/>
      </c>
      <c r="L2890" s="24" t="str">
        <f aca="false">IF($D2890="","",IFERROR(INDEX(Workers!$E$5:$E$2004,MATCH($D2890,Workers!$A$5:$A$2004,0)),""))</f>
        <v/>
      </c>
      <c r="M2890" s="26" t="str">
        <f aca="false">IF($D2890="","",IFERROR(INDEX(ClientRates!$D$5:$D$500,MATCH($B2890&amp;"|"&amp;$L2890,ClientRates!$A$5:$A$500,0)),0))</f>
        <v/>
      </c>
      <c r="N2890" s="26" t="str">
        <f aca="false">IF($D2890="","",IFERROR(INDEX(ClientRates!$E$5:$E$500,MATCH($B2890&amp;"|"&amp;$L2890,ClientRates!$A$5:$A$500,0)),0))</f>
        <v/>
      </c>
      <c r="O2890" s="26" t="str">
        <f aca="false">IF($D2890="","",F2890*M2890+G2890*N2890)</f>
        <v/>
      </c>
      <c r="P2890" s="26" t="str">
        <f aca="false">IF(OR($D2890="",$J2890&lt;&gt;"Supplier"),"",IFERROR(INDEX(SupplierRates!$D$5:$D$500,MATCH($K2890&amp;"|"&amp;$L2890,SupplierRates!$A$5:$A$500,0)),0))</f>
        <v/>
      </c>
      <c r="Q2890" s="26" t="str">
        <f aca="false">IF(OR($D2890="",$J2890&lt;&gt;"Supplier"),"",IFERROR(INDEX(SupplierRates!$E$5:$E$500,MATCH($K2890&amp;"|"&amp;$L2890,SupplierRates!$A$5:$A$500,0)),0))</f>
        <v/>
      </c>
      <c r="R2890" s="26" t="n">
        <f aca="false">IF(OR($D2890="",$J2890&lt;&gt;"Supplier"),0,F2890*P2890+G2890*Q2890)</f>
        <v>0</v>
      </c>
      <c r="S2890" s="26" t="n">
        <f aca="false">IF(OR($D2890="",$J2890&lt;&gt;"Own"),0,IFERROR((F2890+G2890*Settings!$B$13)*INDEX(Workers!$V$5:$V$2004,MATCH($D2890,Workers!$A$5:$A$2004,0)),0))</f>
        <v>0</v>
      </c>
      <c r="T2890" s="26" t="str">
        <f aca="false">IF($D2890="","",O2890-R2890-S2890)</f>
        <v/>
      </c>
    </row>
    <row r="2891" customFormat="false" ht="15" hidden="false" customHeight="false" outlineLevel="0" collapsed="false">
      <c r="I2891" s="24" t="str">
        <f aca="false">IF($D2891="","",IFERROR(INDEX(Workers!$B$5:$B$2004,MATCH($D2891,Workers!$A$5:$A$2004,0)),"NOT FOUND"))</f>
        <v/>
      </c>
      <c r="J2891" s="24" t="str">
        <f aca="false">IF($D2891="","",IFERROR(INDEX(Workers!$C$5:$C$2004,MATCH($D2891,Workers!$A$5:$A$2004,0)),""))</f>
        <v/>
      </c>
      <c r="K2891" s="24" t="str">
        <f aca="false">IF($D2891="","",IFERROR(IF(INDEX(Workers!$D$5:$D$2004,MATCH($D2891,Workers!$A$5:$A$2004,0))=0,"",INDEX(Workers!$D$5:$D$2004,MATCH($D2891,Workers!$A$5:$A$2004,0))),""))</f>
        <v/>
      </c>
      <c r="L2891" s="24" t="str">
        <f aca="false">IF($D2891="","",IFERROR(INDEX(Workers!$E$5:$E$2004,MATCH($D2891,Workers!$A$5:$A$2004,0)),""))</f>
        <v/>
      </c>
      <c r="M2891" s="26" t="str">
        <f aca="false">IF($D2891="","",IFERROR(INDEX(ClientRates!$D$5:$D$500,MATCH($B2891&amp;"|"&amp;$L2891,ClientRates!$A$5:$A$500,0)),0))</f>
        <v/>
      </c>
      <c r="N2891" s="26" t="str">
        <f aca="false">IF($D2891="","",IFERROR(INDEX(ClientRates!$E$5:$E$500,MATCH($B2891&amp;"|"&amp;$L2891,ClientRates!$A$5:$A$500,0)),0))</f>
        <v/>
      </c>
      <c r="O2891" s="26" t="str">
        <f aca="false">IF($D2891="","",F2891*M2891+G2891*N2891)</f>
        <v/>
      </c>
      <c r="P2891" s="26" t="str">
        <f aca="false">IF(OR($D2891="",$J2891&lt;&gt;"Supplier"),"",IFERROR(INDEX(SupplierRates!$D$5:$D$500,MATCH($K2891&amp;"|"&amp;$L2891,SupplierRates!$A$5:$A$500,0)),0))</f>
        <v/>
      </c>
      <c r="Q2891" s="26" t="str">
        <f aca="false">IF(OR($D2891="",$J2891&lt;&gt;"Supplier"),"",IFERROR(INDEX(SupplierRates!$E$5:$E$500,MATCH($K2891&amp;"|"&amp;$L2891,SupplierRates!$A$5:$A$500,0)),0))</f>
        <v/>
      </c>
      <c r="R2891" s="26" t="n">
        <f aca="false">IF(OR($D2891="",$J2891&lt;&gt;"Supplier"),0,F2891*P2891+G2891*Q2891)</f>
        <v>0</v>
      </c>
      <c r="S2891" s="26" t="n">
        <f aca="false">IF(OR($D2891="",$J2891&lt;&gt;"Own"),0,IFERROR((F2891+G2891*Settings!$B$13)*INDEX(Workers!$V$5:$V$2004,MATCH($D2891,Workers!$A$5:$A$2004,0)),0))</f>
        <v>0</v>
      </c>
      <c r="T2891" s="26" t="str">
        <f aca="false">IF($D2891="","",O2891-R2891-S2891)</f>
        <v/>
      </c>
    </row>
    <row r="2892" customFormat="false" ht="15" hidden="false" customHeight="false" outlineLevel="0" collapsed="false">
      <c r="I2892" s="24" t="str">
        <f aca="false">IF($D2892="","",IFERROR(INDEX(Workers!$B$5:$B$2004,MATCH($D2892,Workers!$A$5:$A$2004,0)),"NOT FOUND"))</f>
        <v/>
      </c>
      <c r="J2892" s="24" t="str">
        <f aca="false">IF($D2892="","",IFERROR(INDEX(Workers!$C$5:$C$2004,MATCH($D2892,Workers!$A$5:$A$2004,0)),""))</f>
        <v/>
      </c>
      <c r="K2892" s="24" t="str">
        <f aca="false">IF($D2892="","",IFERROR(IF(INDEX(Workers!$D$5:$D$2004,MATCH($D2892,Workers!$A$5:$A$2004,0))=0,"",INDEX(Workers!$D$5:$D$2004,MATCH($D2892,Workers!$A$5:$A$2004,0))),""))</f>
        <v/>
      </c>
      <c r="L2892" s="24" t="str">
        <f aca="false">IF($D2892="","",IFERROR(INDEX(Workers!$E$5:$E$2004,MATCH($D2892,Workers!$A$5:$A$2004,0)),""))</f>
        <v/>
      </c>
      <c r="M2892" s="26" t="str">
        <f aca="false">IF($D2892="","",IFERROR(INDEX(ClientRates!$D$5:$D$500,MATCH($B2892&amp;"|"&amp;$L2892,ClientRates!$A$5:$A$500,0)),0))</f>
        <v/>
      </c>
      <c r="N2892" s="26" t="str">
        <f aca="false">IF($D2892="","",IFERROR(INDEX(ClientRates!$E$5:$E$500,MATCH($B2892&amp;"|"&amp;$L2892,ClientRates!$A$5:$A$500,0)),0))</f>
        <v/>
      </c>
      <c r="O2892" s="26" t="str">
        <f aca="false">IF($D2892="","",F2892*M2892+G2892*N2892)</f>
        <v/>
      </c>
      <c r="P2892" s="26" t="str">
        <f aca="false">IF(OR($D2892="",$J2892&lt;&gt;"Supplier"),"",IFERROR(INDEX(SupplierRates!$D$5:$D$500,MATCH($K2892&amp;"|"&amp;$L2892,SupplierRates!$A$5:$A$500,0)),0))</f>
        <v/>
      </c>
      <c r="Q2892" s="26" t="str">
        <f aca="false">IF(OR($D2892="",$J2892&lt;&gt;"Supplier"),"",IFERROR(INDEX(SupplierRates!$E$5:$E$500,MATCH($K2892&amp;"|"&amp;$L2892,SupplierRates!$A$5:$A$500,0)),0))</f>
        <v/>
      </c>
      <c r="R2892" s="26" t="n">
        <f aca="false">IF(OR($D2892="",$J2892&lt;&gt;"Supplier"),0,F2892*P2892+G2892*Q2892)</f>
        <v>0</v>
      </c>
      <c r="S2892" s="26" t="n">
        <f aca="false">IF(OR($D2892="",$J2892&lt;&gt;"Own"),0,IFERROR((F2892+G2892*Settings!$B$13)*INDEX(Workers!$V$5:$V$2004,MATCH($D2892,Workers!$A$5:$A$2004,0)),0))</f>
        <v>0</v>
      </c>
      <c r="T2892" s="26" t="str">
        <f aca="false">IF($D2892="","",O2892-R2892-S2892)</f>
        <v/>
      </c>
    </row>
    <row r="2893" customFormat="false" ht="15" hidden="false" customHeight="false" outlineLevel="0" collapsed="false">
      <c r="I2893" s="24" t="str">
        <f aca="false">IF($D2893="","",IFERROR(INDEX(Workers!$B$5:$B$2004,MATCH($D2893,Workers!$A$5:$A$2004,0)),"NOT FOUND"))</f>
        <v/>
      </c>
      <c r="J2893" s="24" t="str">
        <f aca="false">IF($D2893="","",IFERROR(INDEX(Workers!$C$5:$C$2004,MATCH($D2893,Workers!$A$5:$A$2004,0)),""))</f>
        <v/>
      </c>
      <c r="K2893" s="24" t="str">
        <f aca="false">IF($D2893="","",IFERROR(IF(INDEX(Workers!$D$5:$D$2004,MATCH($D2893,Workers!$A$5:$A$2004,0))=0,"",INDEX(Workers!$D$5:$D$2004,MATCH($D2893,Workers!$A$5:$A$2004,0))),""))</f>
        <v/>
      </c>
      <c r="L2893" s="24" t="str">
        <f aca="false">IF($D2893="","",IFERROR(INDEX(Workers!$E$5:$E$2004,MATCH($D2893,Workers!$A$5:$A$2004,0)),""))</f>
        <v/>
      </c>
      <c r="M2893" s="26" t="str">
        <f aca="false">IF($D2893="","",IFERROR(INDEX(ClientRates!$D$5:$D$500,MATCH($B2893&amp;"|"&amp;$L2893,ClientRates!$A$5:$A$500,0)),0))</f>
        <v/>
      </c>
      <c r="N2893" s="26" t="str">
        <f aca="false">IF($D2893="","",IFERROR(INDEX(ClientRates!$E$5:$E$500,MATCH($B2893&amp;"|"&amp;$L2893,ClientRates!$A$5:$A$500,0)),0))</f>
        <v/>
      </c>
      <c r="O2893" s="26" t="str">
        <f aca="false">IF($D2893="","",F2893*M2893+G2893*N2893)</f>
        <v/>
      </c>
      <c r="P2893" s="26" t="str">
        <f aca="false">IF(OR($D2893="",$J2893&lt;&gt;"Supplier"),"",IFERROR(INDEX(SupplierRates!$D$5:$D$500,MATCH($K2893&amp;"|"&amp;$L2893,SupplierRates!$A$5:$A$500,0)),0))</f>
        <v/>
      </c>
      <c r="Q2893" s="26" t="str">
        <f aca="false">IF(OR($D2893="",$J2893&lt;&gt;"Supplier"),"",IFERROR(INDEX(SupplierRates!$E$5:$E$500,MATCH($K2893&amp;"|"&amp;$L2893,SupplierRates!$A$5:$A$500,0)),0))</f>
        <v/>
      </c>
      <c r="R2893" s="26" t="n">
        <f aca="false">IF(OR($D2893="",$J2893&lt;&gt;"Supplier"),0,F2893*P2893+G2893*Q2893)</f>
        <v>0</v>
      </c>
      <c r="S2893" s="26" t="n">
        <f aca="false">IF(OR($D2893="",$J2893&lt;&gt;"Own"),0,IFERROR((F2893+G2893*Settings!$B$13)*INDEX(Workers!$V$5:$V$2004,MATCH($D2893,Workers!$A$5:$A$2004,0)),0))</f>
        <v>0</v>
      </c>
      <c r="T2893" s="26" t="str">
        <f aca="false">IF($D2893="","",O2893-R2893-S2893)</f>
        <v/>
      </c>
    </row>
    <row r="2894" customFormat="false" ht="15" hidden="false" customHeight="false" outlineLevel="0" collapsed="false">
      <c r="I2894" s="24" t="str">
        <f aca="false">IF($D2894="","",IFERROR(INDEX(Workers!$B$5:$B$2004,MATCH($D2894,Workers!$A$5:$A$2004,0)),"NOT FOUND"))</f>
        <v/>
      </c>
      <c r="J2894" s="24" t="str">
        <f aca="false">IF($D2894="","",IFERROR(INDEX(Workers!$C$5:$C$2004,MATCH($D2894,Workers!$A$5:$A$2004,0)),""))</f>
        <v/>
      </c>
      <c r="K2894" s="24" t="str">
        <f aca="false">IF($D2894="","",IFERROR(IF(INDEX(Workers!$D$5:$D$2004,MATCH($D2894,Workers!$A$5:$A$2004,0))=0,"",INDEX(Workers!$D$5:$D$2004,MATCH($D2894,Workers!$A$5:$A$2004,0))),""))</f>
        <v/>
      </c>
      <c r="L2894" s="24" t="str">
        <f aca="false">IF($D2894="","",IFERROR(INDEX(Workers!$E$5:$E$2004,MATCH($D2894,Workers!$A$5:$A$2004,0)),""))</f>
        <v/>
      </c>
      <c r="M2894" s="26" t="str">
        <f aca="false">IF($D2894="","",IFERROR(INDEX(ClientRates!$D$5:$D$500,MATCH($B2894&amp;"|"&amp;$L2894,ClientRates!$A$5:$A$500,0)),0))</f>
        <v/>
      </c>
      <c r="N2894" s="26" t="str">
        <f aca="false">IF($D2894="","",IFERROR(INDEX(ClientRates!$E$5:$E$500,MATCH($B2894&amp;"|"&amp;$L2894,ClientRates!$A$5:$A$500,0)),0))</f>
        <v/>
      </c>
      <c r="O2894" s="26" t="str">
        <f aca="false">IF($D2894="","",F2894*M2894+G2894*N2894)</f>
        <v/>
      </c>
      <c r="P2894" s="26" t="str">
        <f aca="false">IF(OR($D2894="",$J2894&lt;&gt;"Supplier"),"",IFERROR(INDEX(SupplierRates!$D$5:$D$500,MATCH($K2894&amp;"|"&amp;$L2894,SupplierRates!$A$5:$A$500,0)),0))</f>
        <v/>
      </c>
      <c r="Q2894" s="26" t="str">
        <f aca="false">IF(OR($D2894="",$J2894&lt;&gt;"Supplier"),"",IFERROR(INDEX(SupplierRates!$E$5:$E$500,MATCH($K2894&amp;"|"&amp;$L2894,SupplierRates!$A$5:$A$500,0)),0))</f>
        <v/>
      </c>
      <c r="R2894" s="26" t="n">
        <f aca="false">IF(OR($D2894="",$J2894&lt;&gt;"Supplier"),0,F2894*P2894+G2894*Q2894)</f>
        <v>0</v>
      </c>
      <c r="S2894" s="26" t="n">
        <f aca="false">IF(OR($D2894="",$J2894&lt;&gt;"Own"),0,IFERROR((F2894+G2894*Settings!$B$13)*INDEX(Workers!$V$5:$V$2004,MATCH($D2894,Workers!$A$5:$A$2004,0)),0))</f>
        <v>0</v>
      </c>
      <c r="T2894" s="26" t="str">
        <f aca="false">IF($D2894="","",O2894-R2894-S2894)</f>
        <v/>
      </c>
    </row>
    <row r="2895" customFormat="false" ht="15" hidden="false" customHeight="false" outlineLevel="0" collapsed="false">
      <c r="I2895" s="24" t="str">
        <f aca="false">IF($D2895="","",IFERROR(INDEX(Workers!$B$5:$B$2004,MATCH($D2895,Workers!$A$5:$A$2004,0)),"NOT FOUND"))</f>
        <v/>
      </c>
      <c r="J2895" s="24" t="str">
        <f aca="false">IF($D2895="","",IFERROR(INDEX(Workers!$C$5:$C$2004,MATCH($D2895,Workers!$A$5:$A$2004,0)),""))</f>
        <v/>
      </c>
      <c r="K2895" s="24" t="str">
        <f aca="false">IF($D2895="","",IFERROR(IF(INDEX(Workers!$D$5:$D$2004,MATCH($D2895,Workers!$A$5:$A$2004,0))=0,"",INDEX(Workers!$D$5:$D$2004,MATCH($D2895,Workers!$A$5:$A$2004,0))),""))</f>
        <v/>
      </c>
      <c r="L2895" s="24" t="str">
        <f aca="false">IF($D2895="","",IFERROR(INDEX(Workers!$E$5:$E$2004,MATCH($D2895,Workers!$A$5:$A$2004,0)),""))</f>
        <v/>
      </c>
      <c r="M2895" s="26" t="str">
        <f aca="false">IF($D2895="","",IFERROR(INDEX(ClientRates!$D$5:$D$500,MATCH($B2895&amp;"|"&amp;$L2895,ClientRates!$A$5:$A$500,0)),0))</f>
        <v/>
      </c>
      <c r="N2895" s="26" t="str">
        <f aca="false">IF($D2895="","",IFERROR(INDEX(ClientRates!$E$5:$E$500,MATCH($B2895&amp;"|"&amp;$L2895,ClientRates!$A$5:$A$500,0)),0))</f>
        <v/>
      </c>
      <c r="O2895" s="26" t="str">
        <f aca="false">IF($D2895="","",F2895*M2895+G2895*N2895)</f>
        <v/>
      </c>
      <c r="P2895" s="26" t="str">
        <f aca="false">IF(OR($D2895="",$J2895&lt;&gt;"Supplier"),"",IFERROR(INDEX(SupplierRates!$D$5:$D$500,MATCH($K2895&amp;"|"&amp;$L2895,SupplierRates!$A$5:$A$500,0)),0))</f>
        <v/>
      </c>
      <c r="Q2895" s="26" t="str">
        <f aca="false">IF(OR($D2895="",$J2895&lt;&gt;"Supplier"),"",IFERROR(INDEX(SupplierRates!$E$5:$E$500,MATCH($K2895&amp;"|"&amp;$L2895,SupplierRates!$A$5:$A$500,0)),0))</f>
        <v/>
      </c>
      <c r="R2895" s="26" t="n">
        <f aca="false">IF(OR($D2895="",$J2895&lt;&gt;"Supplier"),0,F2895*P2895+G2895*Q2895)</f>
        <v>0</v>
      </c>
      <c r="S2895" s="26" t="n">
        <f aca="false">IF(OR($D2895="",$J2895&lt;&gt;"Own"),0,IFERROR((F2895+G2895*Settings!$B$13)*INDEX(Workers!$V$5:$V$2004,MATCH($D2895,Workers!$A$5:$A$2004,0)),0))</f>
        <v>0</v>
      </c>
      <c r="T2895" s="26" t="str">
        <f aca="false">IF($D2895="","",O2895-R2895-S2895)</f>
        <v/>
      </c>
    </row>
    <row r="2896" customFormat="false" ht="15" hidden="false" customHeight="false" outlineLevel="0" collapsed="false">
      <c r="I2896" s="24" t="str">
        <f aca="false">IF($D2896="","",IFERROR(INDEX(Workers!$B$5:$B$2004,MATCH($D2896,Workers!$A$5:$A$2004,0)),"NOT FOUND"))</f>
        <v/>
      </c>
      <c r="J2896" s="24" t="str">
        <f aca="false">IF($D2896="","",IFERROR(INDEX(Workers!$C$5:$C$2004,MATCH($D2896,Workers!$A$5:$A$2004,0)),""))</f>
        <v/>
      </c>
      <c r="K2896" s="24" t="str">
        <f aca="false">IF($D2896="","",IFERROR(IF(INDEX(Workers!$D$5:$D$2004,MATCH($D2896,Workers!$A$5:$A$2004,0))=0,"",INDEX(Workers!$D$5:$D$2004,MATCH($D2896,Workers!$A$5:$A$2004,0))),""))</f>
        <v/>
      </c>
      <c r="L2896" s="24" t="str">
        <f aca="false">IF($D2896="","",IFERROR(INDEX(Workers!$E$5:$E$2004,MATCH($D2896,Workers!$A$5:$A$2004,0)),""))</f>
        <v/>
      </c>
      <c r="M2896" s="26" t="str">
        <f aca="false">IF($D2896="","",IFERROR(INDEX(ClientRates!$D$5:$D$500,MATCH($B2896&amp;"|"&amp;$L2896,ClientRates!$A$5:$A$500,0)),0))</f>
        <v/>
      </c>
      <c r="N2896" s="26" t="str">
        <f aca="false">IF($D2896="","",IFERROR(INDEX(ClientRates!$E$5:$E$500,MATCH($B2896&amp;"|"&amp;$L2896,ClientRates!$A$5:$A$500,0)),0))</f>
        <v/>
      </c>
      <c r="O2896" s="26" t="str">
        <f aca="false">IF($D2896="","",F2896*M2896+G2896*N2896)</f>
        <v/>
      </c>
      <c r="P2896" s="26" t="str">
        <f aca="false">IF(OR($D2896="",$J2896&lt;&gt;"Supplier"),"",IFERROR(INDEX(SupplierRates!$D$5:$D$500,MATCH($K2896&amp;"|"&amp;$L2896,SupplierRates!$A$5:$A$500,0)),0))</f>
        <v/>
      </c>
      <c r="Q2896" s="26" t="str">
        <f aca="false">IF(OR($D2896="",$J2896&lt;&gt;"Supplier"),"",IFERROR(INDEX(SupplierRates!$E$5:$E$500,MATCH($K2896&amp;"|"&amp;$L2896,SupplierRates!$A$5:$A$500,0)),0))</f>
        <v/>
      </c>
      <c r="R2896" s="26" t="n">
        <f aca="false">IF(OR($D2896="",$J2896&lt;&gt;"Supplier"),0,F2896*P2896+G2896*Q2896)</f>
        <v>0</v>
      </c>
      <c r="S2896" s="26" t="n">
        <f aca="false">IF(OR($D2896="",$J2896&lt;&gt;"Own"),0,IFERROR((F2896+G2896*Settings!$B$13)*INDEX(Workers!$V$5:$V$2004,MATCH($D2896,Workers!$A$5:$A$2004,0)),0))</f>
        <v>0</v>
      </c>
      <c r="T2896" s="26" t="str">
        <f aca="false">IF($D2896="","",O2896-R2896-S2896)</f>
        <v/>
      </c>
    </row>
    <row r="2897" customFormat="false" ht="15" hidden="false" customHeight="false" outlineLevel="0" collapsed="false">
      <c r="I2897" s="24" t="str">
        <f aca="false">IF($D2897="","",IFERROR(INDEX(Workers!$B$5:$B$2004,MATCH($D2897,Workers!$A$5:$A$2004,0)),"NOT FOUND"))</f>
        <v/>
      </c>
      <c r="J2897" s="24" t="str">
        <f aca="false">IF($D2897="","",IFERROR(INDEX(Workers!$C$5:$C$2004,MATCH($D2897,Workers!$A$5:$A$2004,0)),""))</f>
        <v/>
      </c>
      <c r="K2897" s="24" t="str">
        <f aca="false">IF($D2897="","",IFERROR(IF(INDEX(Workers!$D$5:$D$2004,MATCH($D2897,Workers!$A$5:$A$2004,0))=0,"",INDEX(Workers!$D$5:$D$2004,MATCH($D2897,Workers!$A$5:$A$2004,0))),""))</f>
        <v/>
      </c>
      <c r="L2897" s="24" t="str">
        <f aca="false">IF($D2897="","",IFERROR(INDEX(Workers!$E$5:$E$2004,MATCH($D2897,Workers!$A$5:$A$2004,0)),""))</f>
        <v/>
      </c>
      <c r="M2897" s="26" t="str">
        <f aca="false">IF($D2897="","",IFERROR(INDEX(ClientRates!$D$5:$D$500,MATCH($B2897&amp;"|"&amp;$L2897,ClientRates!$A$5:$A$500,0)),0))</f>
        <v/>
      </c>
      <c r="N2897" s="26" t="str">
        <f aca="false">IF($D2897="","",IFERROR(INDEX(ClientRates!$E$5:$E$500,MATCH($B2897&amp;"|"&amp;$L2897,ClientRates!$A$5:$A$500,0)),0))</f>
        <v/>
      </c>
      <c r="O2897" s="26" t="str">
        <f aca="false">IF($D2897="","",F2897*M2897+G2897*N2897)</f>
        <v/>
      </c>
      <c r="P2897" s="26" t="str">
        <f aca="false">IF(OR($D2897="",$J2897&lt;&gt;"Supplier"),"",IFERROR(INDEX(SupplierRates!$D$5:$D$500,MATCH($K2897&amp;"|"&amp;$L2897,SupplierRates!$A$5:$A$500,0)),0))</f>
        <v/>
      </c>
      <c r="Q2897" s="26" t="str">
        <f aca="false">IF(OR($D2897="",$J2897&lt;&gt;"Supplier"),"",IFERROR(INDEX(SupplierRates!$E$5:$E$500,MATCH($K2897&amp;"|"&amp;$L2897,SupplierRates!$A$5:$A$500,0)),0))</f>
        <v/>
      </c>
      <c r="R2897" s="26" t="n">
        <f aca="false">IF(OR($D2897="",$J2897&lt;&gt;"Supplier"),0,F2897*P2897+G2897*Q2897)</f>
        <v>0</v>
      </c>
      <c r="S2897" s="26" t="n">
        <f aca="false">IF(OR($D2897="",$J2897&lt;&gt;"Own"),0,IFERROR((F2897+G2897*Settings!$B$13)*INDEX(Workers!$V$5:$V$2004,MATCH($D2897,Workers!$A$5:$A$2004,0)),0))</f>
        <v>0</v>
      </c>
      <c r="T2897" s="26" t="str">
        <f aca="false">IF($D2897="","",O2897-R2897-S2897)</f>
        <v/>
      </c>
    </row>
    <row r="2898" customFormat="false" ht="15" hidden="false" customHeight="false" outlineLevel="0" collapsed="false">
      <c r="I2898" s="24" t="str">
        <f aca="false">IF($D2898="","",IFERROR(INDEX(Workers!$B$5:$B$2004,MATCH($D2898,Workers!$A$5:$A$2004,0)),"NOT FOUND"))</f>
        <v/>
      </c>
      <c r="J2898" s="24" t="str">
        <f aca="false">IF($D2898="","",IFERROR(INDEX(Workers!$C$5:$C$2004,MATCH($D2898,Workers!$A$5:$A$2004,0)),""))</f>
        <v/>
      </c>
      <c r="K2898" s="24" t="str">
        <f aca="false">IF($D2898="","",IFERROR(IF(INDEX(Workers!$D$5:$D$2004,MATCH($D2898,Workers!$A$5:$A$2004,0))=0,"",INDEX(Workers!$D$5:$D$2004,MATCH($D2898,Workers!$A$5:$A$2004,0))),""))</f>
        <v/>
      </c>
      <c r="L2898" s="24" t="str">
        <f aca="false">IF($D2898="","",IFERROR(INDEX(Workers!$E$5:$E$2004,MATCH($D2898,Workers!$A$5:$A$2004,0)),""))</f>
        <v/>
      </c>
      <c r="M2898" s="26" t="str">
        <f aca="false">IF($D2898="","",IFERROR(INDEX(ClientRates!$D$5:$D$500,MATCH($B2898&amp;"|"&amp;$L2898,ClientRates!$A$5:$A$500,0)),0))</f>
        <v/>
      </c>
      <c r="N2898" s="26" t="str">
        <f aca="false">IF($D2898="","",IFERROR(INDEX(ClientRates!$E$5:$E$500,MATCH($B2898&amp;"|"&amp;$L2898,ClientRates!$A$5:$A$500,0)),0))</f>
        <v/>
      </c>
      <c r="O2898" s="26" t="str">
        <f aca="false">IF($D2898="","",F2898*M2898+G2898*N2898)</f>
        <v/>
      </c>
      <c r="P2898" s="26" t="str">
        <f aca="false">IF(OR($D2898="",$J2898&lt;&gt;"Supplier"),"",IFERROR(INDEX(SupplierRates!$D$5:$D$500,MATCH($K2898&amp;"|"&amp;$L2898,SupplierRates!$A$5:$A$500,0)),0))</f>
        <v/>
      </c>
      <c r="Q2898" s="26" t="str">
        <f aca="false">IF(OR($D2898="",$J2898&lt;&gt;"Supplier"),"",IFERROR(INDEX(SupplierRates!$E$5:$E$500,MATCH($K2898&amp;"|"&amp;$L2898,SupplierRates!$A$5:$A$500,0)),0))</f>
        <v/>
      </c>
      <c r="R2898" s="26" t="n">
        <f aca="false">IF(OR($D2898="",$J2898&lt;&gt;"Supplier"),0,F2898*P2898+G2898*Q2898)</f>
        <v>0</v>
      </c>
      <c r="S2898" s="26" t="n">
        <f aca="false">IF(OR($D2898="",$J2898&lt;&gt;"Own"),0,IFERROR((F2898+G2898*Settings!$B$13)*INDEX(Workers!$V$5:$V$2004,MATCH($D2898,Workers!$A$5:$A$2004,0)),0))</f>
        <v>0</v>
      </c>
      <c r="T2898" s="26" t="str">
        <f aca="false">IF($D2898="","",O2898-R2898-S2898)</f>
        <v/>
      </c>
    </row>
    <row r="2899" customFormat="false" ht="15" hidden="false" customHeight="false" outlineLevel="0" collapsed="false">
      <c r="I2899" s="24" t="str">
        <f aca="false">IF($D2899="","",IFERROR(INDEX(Workers!$B$5:$B$2004,MATCH($D2899,Workers!$A$5:$A$2004,0)),"NOT FOUND"))</f>
        <v/>
      </c>
      <c r="J2899" s="24" t="str">
        <f aca="false">IF($D2899="","",IFERROR(INDEX(Workers!$C$5:$C$2004,MATCH($D2899,Workers!$A$5:$A$2004,0)),""))</f>
        <v/>
      </c>
      <c r="K2899" s="24" t="str">
        <f aca="false">IF($D2899="","",IFERROR(IF(INDEX(Workers!$D$5:$D$2004,MATCH($D2899,Workers!$A$5:$A$2004,0))=0,"",INDEX(Workers!$D$5:$D$2004,MATCH($D2899,Workers!$A$5:$A$2004,0))),""))</f>
        <v/>
      </c>
      <c r="L2899" s="24" t="str">
        <f aca="false">IF($D2899="","",IFERROR(INDEX(Workers!$E$5:$E$2004,MATCH($D2899,Workers!$A$5:$A$2004,0)),""))</f>
        <v/>
      </c>
      <c r="M2899" s="26" t="str">
        <f aca="false">IF($D2899="","",IFERROR(INDEX(ClientRates!$D$5:$D$500,MATCH($B2899&amp;"|"&amp;$L2899,ClientRates!$A$5:$A$500,0)),0))</f>
        <v/>
      </c>
      <c r="N2899" s="26" t="str">
        <f aca="false">IF($D2899="","",IFERROR(INDEX(ClientRates!$E$5:$E$500,MATCH($B2899&amp;"|"&amp;$L2899,ClientRates!$A$5:$A$500,0)),0))</f>
        <v/>
      </c>
      <c r="O2899" s="26" t="str">
        <f aca="false">IF($D2899="","",F2899*M2899+G2899*N2899)</f>
        <v/>
      </c>
      <c r="P2899" s="26" t="str">
        <f aca="false">IF(OR($D2899="",$J2899&lt;&gt;"Supplier"),"",IFERROR(INDEX(SupplierRates!$D$5:$D$500,MATCH($K2899&amp;"|"&amp;$L2899,SupplierRates!$A$5:$A$500,0)),0))</f>
        <v/>
      </c>
      <c r="Q2899" s="26" t="str">
        <f aca="false">IF(OR($D2899="",$J2899&lt;&gt;"Supplier"),"",IFERROR(INDEX(SupplierRates!$E$5:$E$500,MATCH($K2899&amp;"|"&amp;$L2899,SupplierRates!$A$5:$A$500,0)),0))</f>
        <v/>
      </c>
      <c r="R2899" s="26" t="n">
        <f aca="false">IF(OR($D2899="",$J2899&lt;&gt;"Supplier"),0,F2899*P2899+G2899*Q2899)</f>
        <v>0</v>
      </c>
      <c r="S2899" s="26" t="n">
        <f aca="false">IF(OR($D2899="",$J2899&lt;&gt;"Own"),0,IFERROR((F2899+G2899*Settings!$B$13)*INDEX(Workers!$V$5:$V$2004,MATCH($D2899,Workers!$A$5:$A$2004,0)),0))</f>
        <v>0</v>
      </c>
      <c r="T2899" s="26" t="str">
        <f aca="false">IF($D2899="","",O2899-R2899-S2899)</f>
        <v/>
      </c>
    </row>
    <row r="2900" customFormat="false" ht="15" hidden="false" customHeight="false" outlineLevel="0" collapsed="false">
      <c r="I2900" s="24" t="str">
        <f aca="false">IF($D2900="","",IFERROR(INDEX(Workers!$B$5:$B$2004,MATCH($D2900,Workers!$A$5:$A$2004,0)),"NOT FOUND"))</f>
        <v/>
      </c>
      <c r="J2900" s="24" t="str">
        <f aca="false">IF($D2900="","",IFERROR(INDEX(Workers!$C$5:$C$2004,MATCH($D2900,Workers!$A$5:$A$2004,0)),""))</f>
        <v/>
      </c>
      <c r="K2900" s="24" t="str">
        <f aca="false">IF($D2900="","",IFERROR(IF(INDEX(Workers!$D$5:$D$2004,MATCH($D2900,Workers!$A$5:$A$2004,0))=0,"",INDEX(Workers!$D$5:$D$2004,MATCH($D2900,Workers!$A$5:$A$2004,0))),""))</f>
        <v/>
      </c>
      <c r="L2900" s="24" t="str">
        <f aca="false">IF($D2900="","",IFERROR(INDEX(Workers!$E$5:$E$2004,MATCH($D2900,Workers!$A$5:$A$2004,0)),""))</f>
        <v/>
      </c>
      <c r="M2900" s="26" t="str">
        <f aca="false">IF($D2900="","",IFERROR(INDEX(ClientRates!$D$5:$D$500,MATCH($B2900&amp;"|"&amp;$L2900,ClientRates!$A$5:$A$500,0)),0))</f>
        <v/>
      </c>
      <c r="N2900" s="26" t="str">
        <f aca="false">IF($D2900="","",IFERROR(INDEX(ClientRates!$E$5:$E$500,MATCH($B2900&amp;"|"&amp;$L2900,ClientRates!$A$5:$A$500,0)),0))</f>
        <v/>
      </c>
      <c r="O2900" s="26" t="str">
        <f aca="false">IF($D2900="","",F2900*M2900+G2900*N2900)</f>
        <v/>
      </c>
      <c r="P2900" s="26" t="str">
        <f aca="false">IF(OR($D2900="",$J2900&lt;&gt;"Supplier"),"",IFERROR(INDEX(SupplierRates!$D$5:$D$500,MATCH($K2900&amp;"|"&amp;$L2900,SupplierRates!$A$5:$A$500,0)),0))</f>
        <v/>
      </c>
      <c r="Q2900" s="26" t="str">
        <f aca="false">IF(OR($D2900="",$J2900&lt;&gt;"Supplier"),"",IFERROR(INDEX(SupplierRates!$E$5:$E$500,MATCH($K2900&amp;"|"&amp;$L2900,SupplierRates!$A$5:$A$500,0)),0))</f>
        <v/>
      </c>
      <c r="R2900" s="26" t="n">
        <f aca="false">IF(OR($D2900="",$J2900&lt;&gt;"Supplier"),0,F2900*P2900+G2900*Q2900)</f>
        <v>0</v>
      </c>
      <c r="S2900" s="26" t="n">
        <f aca="false">IF(OR($D2900="",$J2900&lt;&gt;"Own"),0,IFERROR((F2900+G2900*Settings!$B$13)*INDEX(Workers!$V$5:$V$2004,MATCH($D2900,Workers!$A$5:$A$2004,0)),0))</f>
        <v>0</v>
      </c>
      <c r="T2900" s="26" t="str">
        <f aca="false">IF($D2900="","",O2900-R2900-S2900)</f>
        <v/>
      </c>
    </row>
    <row r="2901" customFormat="false" ht="15" hidden="false" customHeight="false" outlineLevel="0" collapsed="false">
      <c r="I2901" s="24" t="str">
        <f aca="false">IF($D2901="","",IFERROR(INDEX(Workers!$B$5:$B$2004,MATCH($D2901,Workers!$A$5:$A$2004,0)),"NOT FOUND"))</f>
        <v/>
      </c>
      <c r="J2901" s="24" t="str">
        <f aca="false">IF($D2901="","",IFERROR(INDEX(Workers!$C$5:$C$2004,MATCH($D2901,Workers!$A$5:$A$2004,0)),""))</f>
        <v/>
      </c>
      <c r="K2901" s="24" t="str">
        <f aca="false">IF($D2901="","",IFERROR(IF(INDEX(Workers!$D$5:$D$2004,MATCH($D2901,Workers!$A$5:$A$2004,0))=0,"",INDEX(Workers!$D$5:$D$2004,MATCH($D2901,Workers!$A$5:$A$2004,0))),""))</f>
        <v/>
      </c>
      <c r="L2901" s="24" t="str">
        <f aca="false">IF($D2901="","",IFERROR(INDEX(Workers!$E$5:$E$2004,MATCH($D2901,Workers!$A$5:$A$2004,0)),""))</f>
        <v/>
      </c>
      <c r="M2901" s="26" t="str">
        <f aca="false">IF($D2901="","",IFERROR(INDEX(ClientRates!$D$5:$D$500,MATCH($B2901&amp;"|"&amp;$L2901,ClientRates!$A$5:$A$500,0)),0))</f>
        <v/>
      </c>
      <c r="N2901" s="26" t="str">
        <f aca="false">IF($D2901="","",IFERROR(INDEX(ClientRates!$E$5:$E$500,MATCH($B2901&amp;"|"&amp;$L2901,ClientRates!$A$5:$A$500,0)),0))</f>
        <v/>
      </c>
      <c r="O2901" s="26" t="str">
        <f aca="false">IF($D2901="","",F2901*M2901+G2901*N2901)</f>
        <v/>
      </c>
      <c r="P2901" s="26" t="str">
        <f aca="false">IF(OR($D2901="",$J2901&lt;&gt;"Supplier"),"",IFERROR(INDEX(SupplierRates!$D$5:$D$500,MATCH($K2901&amp;"|"&amp;$L2901,SupplierRates!$A$5:$A$500,0)),0))</f>
        <v/>
      </c>
      <c r="Q2901" s="26" t="str">
        <f aca="false">IF(OR($D2901="",$J2901&lt;&gt;"Supplier"),"",IFERROR(INDEX(SupplierRates!$E$5:$E$500,MATCH($K2901&amp;"|"&amp;$L2901,SupplierRates!$A$5:$A$500,0)),0))</f>
        <v/>
      </c>
      <c r="R2901" s="26" t="n">
        <f aca="false">IF(OR($D2901="",$J2901&lt;&gt;"Supplier"),0,F2901*P2901+G2901*Q2901)</f>
        <v>0</v>
      </c>
      <c r="S2901" s="26" t="n">
        <f aca="false">IF(OR($D2901="",$J2901&lt;&gt;"Own"),0,IFERROR((F2901+G2901*Settings!$B$13)*INDEX(Workers!$V$5:$V$2004,MATCH($D2901,Workers!$A$5:$A$2004,0)),0))</f>
        <v>0</v>
      </c>
      <c r="T2901" s="26" t="str">
        <f aca="false">IF($D2901="","",O2901-R2901-S2901)</f>
        <v/>
      </c>
    </row>
    <row r="2902" customFormat="false" ht="15" hidden="false" customHeight="false" outlineLevel="0" collapsed="false">
      <c r="I2902" s="24" t="str">
        <f aca="false">IF($D2902="","",IFERROR(INDEX(Workers!$B$5:$B$2004,MATCH($D2902,Workers!$A$5:$A$2004,0)),"NOT FOUND"))</f>
        <v/>
      </c>
      <c r="J2902" s="24" t="str">
        <f aca="false">IF($D2902="","",IFERROR(INDEX(Workers!$C$5:$C$2004,MATCH($D2902,Workers!$A$5:$A$2004,0)),""))</f>
        <v/>
      </c>
      <c r="K2902" s="24" t="str">
        <f aca="false">IF($D2902="","",IFERROR(IF(INDEX(Workers!$D$5:$D$2004,MATCH($D2902,Workers!$A$5:$A$2004,0))=0,"",INDEX(Workers!$D$5:$D$2004,MATCH($D2902,Workers!$A$5:$A$2004,0))),""))</f>
        <v/>
      </c>
      <c r="L2902" s="24" t="str">
        <f aca="false">IF($D2902="","",IFERROR(INDEX(Workers!$E$5:$E$2004,MATCH($D2902,Workers!$A$5:$A$2004,0)),""))</f>
        <v/>
      </c>
      <c r="M2902" s="26" t="str">
        <f aca="false">IF($D2902="","",IFERROR(INDEX(ClientRates!$D$5:$D$500,MATCH($B2902&amp;"|"&amp;$L2902,ClientRates!$A$5:$A$500,0)),0))</f>
        <v/>
      </c>
      <c r="N2902" s="26" t="str">
        <f aca="false">IF($D2902="","",IFERROR(INDEX(ClientRates!$E$5:$E$500,MATCH($B2902&amp;"|"&amp;$L2902,ClientRates!$A$5:$A$500,0)),0))</f>
        <v/>
      </c>
      <c r="O2902" s="26" t="str">
        <f aca="false">IF($D2902="","",F2902*M2902+G2902*N2902)</f>
        <v/>
      </c>
      <c r="P2902" s="26" t="str">
        <f aca="false">IF(OR($D2902="",$J2902&lt;&gt;"Supplier"),"",IFERROR(INDEX(SupplierRates!$D$5:$D$500,MATCH($K2902&amp;"|"&amp;$L2902,SupplierRates!$A$5:$A$500,0)),0))</f>
        <v/>
      </c>
      <c r="Q2902" s="26" t="str">
        <f aca="false">IF(OR($D2902="",$J2902&lt;&gt;"Supplier"),"",IFERROR(INDEX(SupplierRates!$E$5:$E$500,MATCH($K2902&amp;"|"&amp;$L2902,SupplierRates!$A$5:$A$500,0)),0))</f>
        <v/>
      </c>
      <c r="R2902" s="26" t="n">
        <f aca="false">IF(OR($D2902="",$J2902&lt;&gt;"Supplier"),0,F2902*P2902+G2902*Q2902)</f>
        <v>0</v>
      </c>
      <c r="S2902" s="26" t="n">
        <f aca="false">IF(OR($D2902="",$J2902&lt;&gt;"Own"),0,IFERROR((F2902+G2902*Settings!$B$13)*INDEX(Workers!$V$5:$V$2004,MATCH($D2902,Workers!$A$5:$A$2004,0)),0))</f>
        <v>0</v>
      </c>
      <c r="T2902" s="26" t="str">
        <f aca="false">IF($D2902="","",O2902-R2902-S2902)</f>
        <v/>
      </c>
    </row>
    <row r="2903" customFormat="false" ht="15" hidden="false" customHeight="false" outlineLevel="0" collapsed="false">
      <c r="I2903" s="24" t="str">
        <f aca="false">IF($D2903="","",IFERROR(INDEX(Workers!$B$5:$B$2004,MATCH($D2903,Workers!$A$5:$A$2004,0)),"NOT FOUND"))</f>
        <v/>
      </c>
      <c r="J2903" s="24" t="str">
        <f aca="false">IF($D2903="","",IFERROR(INDEX(Workers!$C$5:$C$2004,MATCH($D2903,Workers!$A$5:$A$2004,0)),""))</f>
        <v/>
      </c>
      <c r="K2903" s="24" t="str">
        <f aca="false">IF($D2903="","",IFERROR(IF(INDEX(Workers!$D$5:$D$2004,MATCH($D2903,Workers!$A$5:$A$2004,0))=0,"",INDEX(Workers!$D$5:$D$2004,MATCH($D2903,Workers!$A$5:$A$2004,0))),""))</f>
        <v/>
      </c>
      <c r="L2903" s="24" t="str">
        <f aca="false">IF($D2903="","",IFERROR(INDEX(Workers!$E$5:$E$2004,MATCH($D2903,Workers!$A$5:$A$2004,0)),""))</f>
        <v/>
      </c>
      <c r="M2903" s="26" t="str">
        <f aca="false">IF($D2903="","",IFERROR(INDEX(ClientRates!$D$5:$D$500,MATCH($B2903&amp;"|"&amp;$L2903,ClientRates!$A$5:$A$500,0)),0))</f>
        <v/>
      </c>
      <c r="N2903" s="26" t="str">
        <f aca="false">IF($D2903="","",IFERROR(INDEX(ClientRates!$E$5:$E$500,MATCH($B2903&amp;"|"&amp;$L2903,ClientRates!$A$5:$A$500,0)),0))</f>
        <v/>
      </c>
      <c r="O2903" s="26" t="str">
        <f aca="false">IF($D2903="","",F2903*M2903+G2903*N2903)</f>
        <v/>
      </c>
      <c r="P2903" s="26" t="str">
        <f aca="false">IF(OR($D2903="",$J2903&lt;&gt;"Supplier"),"",IFERROR(INDEX(SupplierRates!$D$5:$D$500,MATCH($K2903&amp;"|"&amp;$L2903,SupplierRates!$A$5:$A$500,0)),0))</f>
        <v/>
      </c>
      <c r="Q2903" s="26" t="str">
        <f aca="false">IF(OR($D2903="",$J2903&lt;&gt;"Supplier"),"",IFERROR(INDEX(SupplierRates!$E$5:$E$500,MATCH($K2903&amp;"|"&amp;$L2903,SupplierRates!$A$5:$A$500,0)),0))</f>
        <v/>
      </c>
      <c r="R2903" s="26" t="n">
        <f aca="false">IF(OR($D2903="",$J2903&lt;&gt;"Supplier"),0,F2903*P2903+G2903*Q2903)</f>
        <v>0</v>
      </c>
      <c r="S2903" s="26" t="n">
        <f aca="false">IF(OR($D2903="",$J2903&lt;&gt;"Own"),0,IFERROR((F2903+G2903*Settings!$B$13)*INDEX(Workers!$V$5:$V$2004,MATCH($D2903,Workers!$A$5:$A$2004,0)),0))</f>
        <v>0</v>
      </c>
      <c r="T2903" s="26" t="str">
        <f aca="false">IF($D2903="","",O2903-R2903-S2903)</f>
        <v/>
      </c>
    </row>
    <row r="2904" customFormat="false" ht="15" hidden="false" customHeight="false" outlineLevel="0" collapsed="false">
      <c r="I2904" s="24" t="str">
        <f aca="false">IF($D2904="","",IFERROR(INDEX(Workers!$B$5:$B$2004,MATCH($D2904,Workers!$A$5:$A$2004,0)),"NOT FOUND"))</f>
        <v/>
      </c>
      <c r="J2904" s="24" t="str">
        <f aca="false">IF($D2904="","",IFERROR(INDEX(Workers!$C$5:$C$2004,MATCH($D2904,Workers!$A$5:$A$2004,0)),""))</f>
        <v/>
      </c>
      <c r="K2904" s="24" t="str">
        <f aca="false">IF($D2904="","",IFERROR(IF(INDEX(Workers!$D$5:$D$2004,MATCH($D2904,Workers!$A$5:$A$2004,0))=0,"",INDEX(Workers!$D$5:$D$2004,MATCH($D2904,Workers!$A$5:$A$2004,0))),""))</f>
        <v/>
      </c>
      <c r="L2904" s="24" t="str">
        <f aca="false">IF($D2904="","",IFERROR(INDEX(Workers!$E$5:$E$2004,MATCH($D2904,Workers!$A$5:$A$2004,0)),""))</f>
        <v/>
      </c>
      <c r="M2904" s="26" t="str">
        <f aca="false">IF($D2904="","",IFERROR(INDEX(ClientRates!$D$5:$D$500,MATCH($B2904&amp;"|"&amp;$L2904,ClientRates!$A$5:$A$500,0)),0))</f>
        <v/>
      </c>
      <c r="N2904" s="26" t="str">
        <f aca="false">IF($D2904="","",IFERROR(INDEX(ClientRates!$E$5:$E$500,MATCH($B2904&amp;"|"&amp;$L2904,ClientRates!$A$5:$A$500,0)),0))</f>
        <v/>
      </c>
      <c r="O2904" s="26" t="str">
        <f aca="false">IF($D2904="","",F2904*M2904+G2904*N2904)</f>
        <v/>
      </c>
      <c r="P2904" s="26" t="str">
        <f aca="false">IF(OR($D2904="",$J2904&lt;&gt;"Supplier"),"",IFERROR(INDEX(SupplierRates!$D$5:$D$500,MATCH($K2904&amp;"|"&amp;$L2904,SupplierRates!$A$5:$A$500,0)),0))</f>
        <v/>
      </c>
      <c r="Q2904" s="26" t="str">
        <f aca="false">IF(OR($D2904="",$J2904&lt;&gt;"Supplier"),"",IFERROR(INDEX(SupplierRates!$E$5:$E$500,MATCH($K2904&amp;"|"&amp;$L2904,SupplierRates!$A$5:$A$500,0)),0))</f>
        <v/>
      </c>
      <c r="R2904" s="26" t="n">
        <f aca="false">IF(OR($D2904="",$J2904&lt;&gt;"Supplier"),0,F2904*P2904+G2904*Q2904)</f>
        <v>0</v>
      </c>
      <c r="S2904" s="26" t="n">
        <f aca="false">IF(OR($D2904="",$J2904&lt;&gt;"Own"),0,IFERROR((F2904+G2904*Settings!$B$13)*INDEX(Workers!$V$5:$V$2004,MATCH($D2904,Workers!$A$5:$A$2004,0)),0))</f>
        <v>0</v>
      </c>
      <c r="T2904" s="26" t="str">
        <f aca="false">IF($D2904="","",O2904-R2904-S2904)</f>
        <v/>
      </c>
    </row>
    <row r="2905" customFormat="false" ht="15" hidden="false" customHeight="false" outlineLevel="0" collapsed="false">
      <c r="I2905" s="24" t="str">
        <f aca="false">IF($D2905="","",IFERROR(INDEX(Workers!$B$5:$B$2004,MATCH($D2905,Workers!$A$5:$A$2004,0)),"NOT FOUND"))</f>
        <v/>
      </c>
      <c r="J2905" s="24" t="str">
        <f aca="false">IF($D2905="","",IFERROR(INDEX(Workers!$C$5:$C$2004,MATCH($D2905,Workers!$A$5:$A$2004,0)),""))</f>
        <v/>
      </c>
      <c r="K2905" s="24" t="str">
        <f aca="false">IF($D2905="","",IFERROR(IF(INDEX(Workers!$D$5:$D$2004,MATCH($D2905,Workers!$A$5:$A$2004,0))=0,"",INDEX(Workers!$D$5:$D$2004,MATCH($D2905,Workers!$A$5:$A$2004,0))),""))</f>
        <v/>
      </c>
      <c r="L2905" s="24" t="str">
        <f aca="false">IF($D2905="","",IFERROR(INDEX(Workers!$E$5:$E$2004,MATCH($D2905,Workers!$A$5:$A$2004,0)),""))</f>
        <v/>
      </c>
      <c r="M2905" s="26" t="str">
        <f aca="false">IF($D2905="","",IFERROR(INDEX(ClientRates!$D$5:$D$500,MATCH($B2905&amp;"|"&amp;$L2905,ClientRates!$A$5:$A$500,0)),0))</f>
        <v/>
      </c>
      <c r="N2905" s="26" t="str">
        <f aca="false">IF($D2905="","",IFERROR(INDEX(ClientRates!$E$5:$E$500,MATCH($B2905&amp;"|"&amp;$L2905,ClientRates!$A$5:$A$500,0)),0))</f>
        <v/>
      </c>
      <c r="O2905" s="26" t="str">
        <f aca="false">IF($D2905="","",F2905*M2905+G2905*N2905)</f>
        <v/>
      </c>
      <c r="P2905" s="26" t="str">
        <f aca="false">IF(OR($D2905="",$J2905&lt;&gt;"Supplier"),"",IFERROR(INDEX(SupplierRates!$D$5:$D$500,MATCH($K2905&amp;"|"&amp;$L2905,SupplierRates!$A$5:$A$500,0)),0))</f>
        <v/>
      </c>
      <c r="Q2905" s="26" t="str">
        <f aca="false">IF(OR($D2905="",$J2905&lt;&gt;"Supplier"),"",IFERROR(INDEX(SupplierRates!$E$5:$E$500,MATCH($K2905&amp;"|"&amp;$L2905,SupplierRates!$A$5:$A$500,0)),0))</f>
        <v/>
      </c>
      <c r="R2905" s="26" t="n">
        <f aca="false">IF(OR($D2905="",$J2905&lt;&gt;"Supplier"),0,F2905*P2905+G2905*Q2905)</f>
        <v>0</v>
      </c>
      <c r="S2905" s="26" t="n">
        <f aca="false">IF(OR($D2905="",$J2905&lt;&gt;"Own"),0,IFERROR((F2905+G2905*Settings!$B$13)*INDEX(Workers!$V$5:$V$2004,MATCH($D2905,Workers!$A$5:$A$2004,0)),0))</f>
        <v>0</v>
      </c>
      <c r="T2905" s="26" t="str">
        <f aca="false">IF($D2905="","",O2905-R2905-S2905)</f>
        <v/>
      </c>
    </row>
    <row r="2906" customFormat="false" ht="15" hidden="false" customHeight="false" outlineLevel="0" collapsed="false">
      <c r="I2906" s="24" t="str">
        <f aca="false">IF($D2906="","",IFERROR(INDEX(Workers!$B$5:$B$2004,MATCH($D2906,Workers!$A$5:$A$2004,0)),"NOT FOUND"))</f>
        <v/>
      </c>
      <c r="J2906" s="24" t="str">
        <f aca="false">IF($D2906="","",IFERROR(INDEX(Workers!$C$5:$C$2004,MATCH($D2906,Workers!$A$5:$A$2004,0)),""))</f>
        <v/>
      </c>
      <c r="K2906" s="24" t="str">
        <f aca="false">IF($D2906="","",IFERROR(IF(INDEX(Workers!$D$5:$D$2004,MATCH($D2906,Workers!$A$5:$A$2004,0))=0,"",INDEX(Workers!$D$5:$D$2004,MATCH($D2906,Workers!$A$5:$A$2004,0))),""))</f>
        <v/>
      </c>
      <c r="L2906" s="24" t="str">
        <f aca="false">IF($D2906="","",IFERROR(INDEX(Workers!$E$5:$E$2004,MATCH($D2906,Workers!$A$5:$A$2004,0)),""))</f>
        <v/>
      </c>
      <c r="M2906" s="26" t="str">
        <f aca="false">IF($D2906="","",IFERROR(INDEX(ClientRates!$D$5:$D$500,MATCH($B2906&amp;"|"&amp;$L2906,ClientRates!$A$5:$A$500,0)),0))</f>
        <v/>
      </c>
      <c r="N2906" s="26" t="str">
        <f aca="false">IF($D2906="","",IFERROR(INDEX(ClientRates!$E$5:$E$500,MATCH($B2906&amp;"|"&amp;$L2906,ClientRates!$A$5:$A$500,0)),0))</f>
        <v/>
      </c>
      <c r="O2906" s="26" t="str">
        <f aca="false">IF($D2906="","",F2906*M2906+G2906*N2906)</f>
        <v/>
      </c>
      <c r="P2906" s="26" t="str">
        <f aca="false">IF(OR($D2906="",$J2906&lt;&gt;"Supplier"),"",IFERROR(INDEX(SupplierRates!$D$5:$D$500,MATCH($K2906&amp;"|"&amp;$L2906,SupplierRates!$A$5:$A$500,0)),0))</f>
        <v/>
      </c>
      <c r="Q2906" s="26" t="str">
        <f aca="false">IF(OR($D2906="",$J2906&lt;&gt;"Supplier"),"",IFERROR(INDEX(SupplierRates!$E$5:$E$500,MATCH($K2906&amp;"|"&amp;$L2906,SupplierRates!$A$5:$A$500,0)),0))</f>
        <v/>
      </c>
      <c r="R2906" s="26" t="n">
        <f aca="false">IF(OR($D2906="",$J2906&lt;&gt;"Supplier"),0,F2906*P2906+G2906*Q2906)</f>
        <v>0</v>
      </c>
      <c r="S2906" s="26" t="n">
        <f aca="false">IF(OR($D2906="",$J2906&lt;&gt;"Own"),0,IFERROR((F2906+G2906*Settings!$B$13)*INDEX(Workers!$V$5:$V$2004,MATCH($D2906,Workers!$A$5:$A$2004,0)),0))</f>
        <v>0</v>
      </c>
      <c r="T2906" s="26" t="str">
        <f aca="false">IF($D2906="","",O2906-R2906-S2906)</f>
        <v/>
      </c>
    </row>
    <row r="2907" customFormat="false" ht="15" hidden="false" customHeight="false" outlineLevel="0" collapsed="false">
      <c r="I2907" s="24" t="str">
        <f aca="false">IF($D2907="","",IFERROR(INDEX(Workers!$B$5:$B$2004,MATCH($D2907,Workers!$A$5:$A$2004,0)),"NOT FOUND"))</f>
        <v/>
      </c>
      <c r="J2907" s="24" t="str">
        <f aca="false">IF($D2907="","",IFERROR(INDEX(Workers!$C$5:$C$2004,MATCH($D2907,Workers!$A$5:$A$2004,0)),""))</f>
        <v/>
      </c>
      <c r="K2907" s="24" t="str">
        <f aca="false">IF($D2907="","",IFERROR(IF(INDEX(Workers!$D$5:$D$2004,MATCH($D2907,Workers!$A$5:$A$2004,0))=0,"",INDEX(Workers!$D$5:$D$2004,MATCH($D2907,Workers!$A$5:$A$2004,0))),""))</f>
        <v/>
      </c>
      <c r="L2907" s="24" t="str">
        <f aca="false">IF($D2907="","",IFERROR(INDEX(Workers!$E$5:$E$2004,MATCH($D2907,Workers!$A$5:$A$2004,0)),""))</f>
        <v/>
      </c>
      <c r="M2907" s="26" t="str">
        <f aca="false">IF($D2907="","",IFERROR(INDEX(ClientRates!$D$5:$D$500,MATCH($B2907&amp;"|"&amp;$L2907,ClientRates!$A$5:$A$500,0)),0))</f>
        <v/>
      </c>
      <c r="N2907" s="26" t="str">
        <f aca="false">IF($D2907="","",IFERROR(INDEX(ClientRates!$E$5:$E$500,MATCH($B2907&amp;"|"&amp;$L2907,ClientRates!$A$5:$A$500,0)),0))</f>
        <v/>
      </c>
      <c r="O2907" s="26" t="str">
        <f aca="false">IF($D2907="","",F2907*M2907+G2907*N2907)</f>
        <v/>
      </c>
      <c r="P2907" s="26" t="str">
        <f aca="false">IF(OR($D2907="",$J2907&lt;&gt;"Supplier"),"",IFERROR(INDEX(SupplierRates!$D$5:$D$500,MATCH($K2907&amp;"|"&amp;$L2907,SupplierRates!$A$5:$A$500,0)),0))</f>
        <v/>
      </c>
      <c r="Q2907" s="26" t="str">
        <f aca="false">IF(OR($D2907="",$J2907&lt;&gt;"Supplier"),"",IFERROR(INDEX(SupplierRates!$E$5:$E$500,MATCH($K2907&amp;"|"&amp;$L2907,SupplierRates!$A$5:$A$500,0)),0))</f>
        <v/>
      </c>
      <c r="R2907" s="26" t="n">
        <f aca="false">IF(OR($D2907="",$J2907&lt;&gt;"Supplier"),0,F2907*P2907+G2907*Q2907)</f>
        <v>0</v>
      </c>
      <c r="S2907" s="26" t="n">
        <f aca="false">IF(OR($D2907="",$J2907&lt;&gt;"Own"),0,IFERROR((F2907+G2907*Settings!$B$13)*INDEX(Workers!$V$5:$V$2004,MATCH($D2907,Workers!$A$5:$A$2004,0)),0))</f>
        <v>0</v>
      </c>
      <c r="T2907" s="26" t="str">
        <f aca="false">IF($D2907="","",O2907-R2907-S2907)</f>
        <v/>
      </c>
    </row>
    <row r="2908" customFormat="false" ht="15" hidden="false" customHeight="false" outlineLevel="0" collapsed="false">
      <c r="I2908" s="24" t="str">
        <f aca="false">IF($D2908="","",IFERROR(INDEX(Workers!$B$5:$B$2004,MATCH($D2908,Workers!$A$5:$A$2004,0)),"NOT FOUND"))</f>
        <v/>
      </c>
      <c r="J2908" s="24" t="str">
        <f aca="false">IF($D2908="","",IFERROR(INDEX(Workers!$C$5:$C$2004,MATCH($D2908,Workers!$A$5:$A$2004,0)),""))</f>
        <v/>
      </c>
      <c r="K2908" s="24" t="str">
        <f aca="false">IF($D2908="","",IFERROR(IF(INDEX(Workers!$D$5:$D$2004,MATCH($D2908,Workers!$A$5:$A$2004,0))=0,"",INDEX(Workers!$D$5:$D$2004,MATCH($D2908,Workers!$A$5:$A$2004,0))),""))</f>
        <v/>
      </c>
      <c r="L2908" s="24" t="str">
        <f aca="false">IF($D2908="","",IFERROR(INDEX(Workers!$E$5:$E$2004,MATCH($D2908,Workers!$A$5:$A$2004,0)),""))</f>
        <v/>
      </c>
      <c r="M2908" s="26" t="str">
        <f aca="false">IF($D2908="","",IFERROR(INDEX(ClientRates!$D$5:$D$500,MATCH($B2908&amp;"|"&amp;$L2908,ClientRates!$A$5:$A$500,0)),0))</f>
        <v/>
      </c>
      <c r="N2908" s="26" t="str">
        <f aca="false">IF($D2908="","",IFERROR(INDEX(ClientRates!$E$5:$E$500,MATCH($B2908&amp;"|"&amp;$L2908,ClientRates!$A$5:$A$500,0)),0))</f>
        <v/>
      </c>
      <c r="O2908" s="26" t="str">
        <f aca="false">IF($D2908="","",F2908*M2908+G2908*N2908)</f>
        <v/>
      </c>
      <c r="P2908" s="26" t="str">
        <f aca="false">IF(OR($D2908="",$J2908&lt;&gt;"Supplier"),"",IFERROR(INDEX(SupplierRates!$D$5:$D$500,MATCH($K2908&amp;"|"&amp;$L2908,SupplierRates!$A$5:$A$500,0)),0))</f>
        <v/>
      </c>
      <c r="Q2908" s="26" t="str">
        <f aca="false">IF(OR($D2908="",$J2908&lt;&gt;"Supplier"),"",IFERROR(INDEX(SupplierRates!$E$5:$E$500,MATCH($K2908&amp;"|"&amp;$L2908,SupplierRates!$A$5:$A$500,0)),0))</f>
        <v/>
      </c>
      <c r="R2908" s="26" t="n">
        <f aca="false">IF(OR($D2908="",$J2908&lt;&gt;"Supplier"),0,F2908*P2908+G2908*Q2908)</f>
        <v>0</v>
      </c>
      <c r="S2908" s="26" t="n">
        <f aca="false">IF(OR($D2908="",$J2908&lt;&gt;"Own"),0,IFERROR((F2908+G2908*Settings!$B$13)*INDEX(Workers!$V$5:$V$2004,MATCH($D2908,Workers!$A$5:$A$2004,0)),0))</f>
        <v>0</v>
      </c>
      <c r="T2908" s="26" t="str">
        <f aca="false">IF($D2908="","",O2908-R2908-S2908)</f>
        <v/>
      </c>
    </row>
    <row r="2909" customFormat="false" ht="15" hidden="false" customHeight="false" outlineLevel="0" collapsed="false">
      <c r="I2909" s="24" t="str">
        <f aca="false">IF($D2909="","",IFERROR(INDEX(Workers!$B$5:$B$2004,MATCH($D2909,Workers!$A$5:$A$2004,0)),"NOT FOUND"))</f>
        <v/>
      </c>
      <c r="J2909" s="24" t="str">
        <f aca="false">IF($D2909="","",IFERROR(INDEX(Workers!$C$5:$C$2004,MATCH($D2909,Workers!$A$5:$A$2004,0)),""))</f>
        <v/>
      </c>
      <c r="K2909" s="24" t="str">
        <f aca="false">IF($D2909="","",IFERROR(IF(INDEX(Workers!$D$5:$D$2004,MATCH($D2909,Workers!$A$5:$A$2004,0))=0,"",INDEX(Workers!$D$5:$D$2004,MATCH($D2909,Workers!$A$5:$A$2004,0))),""))</f>
        <v/>
      </c>
      <c r="L2909" s="24" t="str">
        <f aca="false">IF($D2909="","",IFERROR(INDEX(Workers!$E$5:$E$2004,MATCH($D2909,Workers!$A$5:$A$2004,0)),""))</f>
        <v/>
      </c>
      <c r="M2909" s="26" t="str">
        <f aca="false">IF($D2909="","",IFERROR(INDEX(ClientRates!$D$5:$D$500,MATCH($B2909&amp;"|"&amp;$L2909,ClientRates!$A$5:$A$500,0)),0))</f>
        <v/>
      </c>
      <c r="N2909" s="26" t="str">
        <f aca="false">IF($D2909="","",IFERROR(INDEX(ClientRates!$E$5:$E$500,MATCH($B2909&amp;"|"&amp;$L2909,ClientRates!$A$5:$A$500,0)),0))</f>
        <v/>
      </c>
      <c r="O2909" s="26" t="str">
        <f aca="false">IF($D2909="","",F2909*M2909+G2909*N2909)</f>
        <v/>
      </c>
      <c r="P2909" s="26" t="str">
        <f aca="false">IF(OR($D2909="",$J2909&lt;&gt;"Supplier"),"",IFERROR(INDEX(SupplierRates!$D$5:$D$500,MATCH($K2909&amp;"|"&amp;$L2909,SupplierRates!$A$5:$A$500,0)),0))</f>
        <v/>
      </c>
      <c r="Q2909" s="26" t="str">
        <f aca="false">IF(OR($D2909="",$J2909&lt;&gt;"Supplier"),"",IFERROR(INDEX(SupplierRates!$E$5:$E$500,MATCH($K2909&amp;"|"&amp;$L2909,SupplierRates!$A$5:$A$500,0)),0))</f>
        <v/>
      </c>
      <c r="R2909" s="26" t="n">
        <f aca="false">IF(OR($D2909="",$J2909&lt;&gt;"Supplier"),0,F2909*P2909+G2909*Q2909)</f>
        <v>0</v>
      </c>
      <c r="S2909" s="26" t="n">
        <f aca="false">IF(OR($D2909="",$J2909&lt;&gt;"Own"),0,IFERROR((F2909+G2909*Settings!$B$13)*INDEX(Workers!$V$5:$V$2004,MATCH($D2909,Workers!$A$5:$A$2004,0)),0))</f>
        <v>0</v>
      </c>
      <c r="T2909" s="26" t="str">
        <f aca="false">IF($D2909="","",O2909-R2909-S2909)</f>
        <v/>
      </c>
    </row>
    <row r="2910" customFormat="false" ht="15" hidden="false" customHeight="false" outlineLevel="0" collapsed="false">
      <c r="I2910" s="24" t="str">
        <f aca="false">IF($D2910="","",IFERROR(INDEX(Workers!$B$5:$B$2004,MATCH($D2910,Workers!$A$5:$A$2004,0)),"NOT FOUND"))</f>
        <v/>
      </c>
      <c r="J2910" s="24" t="str">
        <f aca="false">IF($D2910="","",IFERROR(INDEX(Workers!$C$5:$C$2004,MATCH($D2910,Workers!$A$5:$A$2004,0)),""))</f>
        <v/>
      </c>
      <c r="K2910" s="24" t="str">
        <f aca="false">IF($D2910="","",IFERROR(IF(INDEX(Workers!$D$5:$D$2004,MATCH($D2910,Workers!$A$5:$A$2004,0))=0,"",INDEX(Workers!$D$5:$D$2004,MATCH($D2910,Workers!$A$5:$A$2004,0))),""))</f>
        <v/>
      </c>
      <c r="L2910" s="24" t="str">
        <f aca="false">IF($D2910="","",IFERROR(INDEX(Workers!$E$5:$E$2004,MATCH($D2910,Workers!$A$5:$A$2004,0)),""))</f>
        <v/>
      </c>
      <c r="M2910" s="26" t="str">
        <f aca="false">IF($D2910="","",IFERROR(INDEX(ClientRates!$D$5:$D$500,MATCH($B2910&amp;"|"&amp;$L2910,ClientRates!$A$5:$A$500,0)),0))</f>
        <v/>
      </c>
      <c r="N2910" s="26" t="str">
        <f aca="false">IF($D2910="","",IFERROR(INDEX(ClientRates!$E$5:$E$500,MATCH($B2910&amp;"|"&amp;$L2910,ClientRates!$A$5:$A$500,0)),0))</f>
        <v/>
      </c>
      <c r="O2910" s="26" t="str">
        <f aca="false">IF($D2910="","",F2910*M2910+G2910*N2910)</f>
        <v/>
      </c>
      <c r="P2910" s="26" t="str">
        <f aca="false">IF(OR($D2910="",$J2910&lt;&gt;"Supplier"),"",IFERROR(INDEX(SupplierRates!$D$5:$D$500,MATCH($K2910&amp;"|"&amp;$L2910,SupplierRates!$A$5:$A$500,0)),0))</f>
        <v/>
      </c>
      <c r="Q2910" s="26" t="str">
        <f aca="false">IF(OR($D2910="",$J2910&lt;&gt;"Supplier"),"",IFERROR(INDEX(SupplierRates!$E$5:$E$500,MATCH($K2910&amp;"|"&amp;$L2910,SupplierRates!$A$5:$A$500,0)),0))</f>
        <v/>
      </c>
      <c r="R2910" s="26" t="n">
        <f aca="false">IF(OR($D2910="",$J2910&lt;&gt;"Supplier"),0,F2910*P2910+G2910*Q2910)</f>
        <v>0</v>
      </c>
      <c r="S2910" s="26" t="n">
        <f aca="false">IF(OR($D2910="",$J2910&lt;&gt;"Own"),0,IFERROR((F2910+G2910*Settings!$B$13)*INDEX(Workers!$V$5:$V$2004,MATCH($D2910,Workers!$A$5:$A$2004,0)),0))</f>
        <v>0</v>
      </c>
      <c r="T2910" s="26" t="str">
        <f aca="false">IF($D2910="","",O2910-R2910-S2910)</f>
        <v/>
      </c>
    </row>
    <row r="2911" customFormat="false" ht="15" hidden="false" customHeight="false" outlineLevel="0" collapsed="false">
      <c r="I2911" s="24" t="str">
        <f aca="false">IF($D2911="","",IFERROR(INDEX(Workers!$B$5:$B$2004,MATCH($D2911,Workers!$A$5:$A$2004,0)),"NOT FOUND"))</f>
        <v/>
      </c>
      <c r="J2911" s="24" t="str">
        <f aca="false">IF($D2911="","",IFERROR(INDEX(Workers!$C$5:$C$2004,MATCH($D2911,Workers!$A$5:$A$2004,0)),""))</f>
        <v/>
      </c>
      <c r="K2911" s="24" t="str">
        <f aca="false">IF($D2911="","",IFERROR(IF(INDEX(Workers!$D$5:$D$2004,MATCH($D2911,Workers!$A$5:$A$2004,0))=0,"",INDEX(Workers!$D$5:$D$2004,MATCH($D2911,Workers!$A$5:$A$2004,0))),""))</f>
        <v/>
      </c>
      <c r="L2911" s="24" t="str">
        <f aca="false">IF($D2911="","",IFERROR(INDEX(Workers!$E$5:$E$2004,MATCH($D2911,Workers!$A$5:$A$2004,0)),""))</f>
        <v/>
      </c>
      <c r="M2911" s="26" t="str">
        <f aca="false">IF($D2911="","",IFERROR(INDEX(ClientRates!$D$5:$D$500,MATCH($B2911&amp;"|"&amp;$L2911,ClientRates!$A$5:$A$500,0)),0))</f>
        <v/>
      </c>
      <c r="N2911" s="26" t="str">
        <f aca="false">IF($D2911="","",IFERROR(INDEX(ClientRates!$E$5:$E$500,MATCH($B2911&amp;"|"&amp;$L2911,ClientRates!$A$5:$A$500,0)),0))</f>
        <v/>
      </c>
      <c r="O2911" s="26" t="str">
        <f aca="false">IF($D2911="","",F2911*M2911+G2911*N2911)</f>
        <v/>
      </c>
      <c r="P2911" s="26" t="str">
        <f aca="false">IF(OR($D2911="",$J2911&lt;&gt;"Supplier"),"",IFERROR(INDEX(SupplierRates!$D$5:$D$500,MATCH($K2911&amp;"|"&amp;$L2911,SupplierRates!$A$5:$A$500,0)),0))</f>
        <v/>
      </c>
      <c r="Q2911" s="26" t="str">
        <f aca="false">IF(OR($D2911="",$J2911&lt;&gt;"Supplier"),"",IFERROR(INDEX(SupplierRates!$E$5:$E$500,MATCH($K2911&amp;"|"&amp;$L2911,SupplierRates!$A$5:$A$500,0)),0))</f>
        <v/>
      </c>
      <c r="R2911" s="26" t="n">
        <f aca="false">IF(OR($D2911="",$J2911&lt;&gt;"Supplier"),0,F2911*P2911+G2911*Q2911)</f>
        <v>0</v>
      </c>
      <c r="S2911" s="26" t="n">
        <f aca="false">IF(OR($D2911="",$J2911&lt;&gt;"Own"),0,IFERROR((F2911+G2911*Settings!$B$13)*INDEX(Workers!$V$5:$V$2004,MATCH($D2911,Workers!$A$5:$A$2004,0)),0))</f>
        <v>0</v>
      </c>
      <c r="T2911" s="26" t="str">
        <f aca="false">IF($D2911="","",O2911-R2911-S2911)</f>
        <v/>
      </c>
    </row>
    <row r="2912" customFormat="false" ht="15" hidden="false" customHeight="false" outlineLevel="0" collapsed="false">
      <c r="I2912" s="24" t="str">
        <f aca="false">IF($D2912="","",IFERROR(INDEX(Workers!$B$5:$B$2004,MATCH($D2912,Workers!$A$5:$A$2004,0)),"NOT FOUND"))</f>
        <v/>
      </c>
      <c r="J2912" s="24" t="str">
        <f aca="false">IF($D2912="","",IFERROR(INDEX(Workers!$C$5:$C$2004,MATCH($D2912,Workers!$A$5:$A$2004,0)),""))</f>
        <v/>
      </c>
      <c r="K2912" s="24" t="str">
        <f aca="false">IF($D2912="","",IFERROR(IF(INDEX(Workers!$D$5:$D$2004,MATCH($D2912,Workers!$A$5:$A$2004,0))=0,"",INDEX(Workers!$D$5:$D$2004,MATCH($D2912,Workers!$A$5:$A$2004,0))),""))</f>
        <v/>
      </c>
      <c r="L2912" s="24" t="str">
        <f aca="false">IF($D2912="","",IFERROR(INDEX(Workers!$E$5:$E$2004,MATCH($D2912,Workers!$A$5:$A$2004,0)),""))</f>
        <v/>
      </c>
      <c r="M2912" s="26" t="str">
        <f aca="false">IF($D2912="","",IFERROR(INDEX(ClientRates!$D$5:$D$500,MATCH($B2912&amp;"|"&amp;$L2912,ClientRates!$A$5:$A$500,0)),0))</f>
        <v/>
      </c>
      <c r="N2912" s="26" t="str">
        <f aca="false">IF($D2912="","",IFERROR(INDEX(ClientRates!$E$5:$E$500,MATCH($B2912&amp;"|"&amp;$L2912,ClientRates!$A$5:$A$500,0)),0))</f>
        <v/>
      </c>
      <c r="O2912" s="26" t="str">
        <f aca="false">IF($D2912="","",F2912*M2912+G2912*N2912)</f>
        <v/>
      </c>
      <c r="P2912" s="26" t="str">
        <f aca="false">IF(OR($D2912="",$J2912&lt;&gt;"Supplier"),"",IFERROR(INDEX(SupplierRates!$D$5:$D$500,MATCH($K2912&amp;"|"&amp;$L2912,SupplierRates!$A$5:$A$500,0)),0))</f>
        <v/>
      </c>
      <c r="Q2912" s="26" t="str">
        <f aca="false">IF(OR($D2912="",$J2912&lt;&gt;"Supplier"),"",IFERROR(INDEX(SupplierRates!$E$5:$E$500,MATCH($K2912&amp;"|"&amp;$L2912,SupplierRates!$A$5:$A$500,0)),0))</f>
        <v/>
      </c>
      <c r="R2912" s="26" t="n">
        <f aca="false">IF(OR($D2912="",$J2912&lt;&gt;"Supplier"),0,F2912*P2912+G2912*Q2912)</f>
        <v>0</v>
      </c>
      <c r="S2912" s="26" t="n">
        <f aca="false">IF(OR($D2912="",$J2912&lt;&gt;"Own"),0,IFERROR((F2912+G2912*Settings!$B$13)*INDEX(Workers!$V$5:$V$2004,MATCH($D2912,Workers!$A$5:$A$2004,0)),0))</f>
        <v>0</v>
      </c>
      <c r="T2912" s="26" t="str">
        <f aca="false">IF($D2912="","",O2912-R2912-S2912)</f>
        <v/>
      </c>
    </row>
    <row r="2913" customFormat="false" ht="15" hidden="false" customHeight="false" outlineLevel="0" collapsed="false">
      <c r="I2913" s="24" t="str">
        <f aca="false">IF($D2913="","",IFERROR(INDEX(Workers!$B$5:$B$2004,MATCH($D2913,Workers!$A$5:$A$2004,0)),"NOT FOUND"))</f>
        <v/>
      </c>
      <c r="J2913" s="24" t="str">
        <f aca="false">IF($D2913="","",IFERROR(INDEX(Workers!$C$5:$C$2004,MATCH($D2913,Workers!$A$5:$A$2004,0)),""))</f>
        <v/>
      </c>
      <c r="K2913" s="24" t="str">
        <f aca="false">IF($D2913="","",IFERROR(IF(INDEX(Workers!$D$5:$D$2004,MATCH($D2913,Workers!$A$5:$A$2004,0))=0,"",INDEX(Workers!$D$5:$D$2004,MATCH($D2913,Workers!$A$5:$A$2004,0))),""))</f>
        <v/>
      </c>
      <c r="L2913" s="24" t="str">
        <f aca="false">IF($D2913="","",IFERROR(INDEX(Workers!$E$5:$E$2004,MATCH($D2913,Workers!$A$5:$A$2004,0)),""))</f>
        <v/>
      </c>
      <c r="M2913" s="26" t="str">
        <f aca="false">IF($D2913="","",IFERROR(INDEX(ClientRates!$D$5:$D$500,MATCH($B2913&amp;"|"&amp;$L2913,ClientRates!$A$5:$A$500,0)),0))</f>
        <v/>
      </c>
      <c r="N2913" s="26" t="str">
        <f aca="false">IF($D2913="","",IFERROR(INDEX(ClientRates!$E$5:$E$500,MATCH($B2913&amp;"|"&amp;$L2913,ClientRates!$A$5:$A$500,0)),0))</f>
        <v/>
      </c>
      <c r="O2913" s="26" t="str">
        <f aca="false">IF($D2913="","",F2913*M2913+G2913*N2913)</f>
        <v/>
      </c>
      <c r="P2913" s="26" t="str">
        <f aca="false">IF(OR($D2913="",$J2913&lt;&gt;"Supplier"),"",IFERROR(INDEX(SupplierRates!$D$5:$D$500,MATCH($K2913&amp;"|"&amp;$L2913,SupplierRates!$A$5:$A$500,0)),0))</f>
        <v/>
      </c>
      <c r="Q2913" s="26" t="str">
        <f aca="false">IF(OR($D2913="",$J2913&lt;&gt;"Supplier"),"",IFERROR(INDEX(SupplierRates!$E$5:$E$500,MATCH($K2913&amp;"|"&amp;$L2913,SupplierRates!$A$5:$A$500,0)),0))</f>
        <v/>
      </c>
      <c r="R2913" s="26" t="n">
        <f aca="false">IF(OR($D2913="",$J2913&lt;&gt;"Supplier"),0,F2913*P2913+G2913*Q2913)</f>
        <v>0</v>
      </c>
      <c r="S2913" s="26" t="n">
        <f aca="false">IF(OR($D2913="",$J2913&lt;&gt;"Own"),0,IFERROR((F2913+G2913*Settings!$B$13)*INDEX(Workers!$V$5:$V$2004,MATCH($D2913,Workers!$A$5:$A$2004,0)),0))</f>
        <v>0</v>
      </c>
      <c r="T2913" s="26" t="str">
        <f aca="false">IF($D2913="","",O2913-R2913-S2913)</f>
        <v/>
      </c>
    </row>
    <row r="2914" customFormat="false" ht="15" hidden="false" customHeight="false" outlineLevel="0" collapsed="false">
      <c r="I2914" s="24" t="str">
        <f aca="false">IF($D2914="","",IFERROR(INDEX(Workers!$B$5:$B$2004,MATCH($D2914,Workers!$A$5:$A$2004,0)),"NOT FOUND"))</f>
        <v/>
      </c>
      <c r="J2914" s="24" t="str">
        <f aca="false">IF($D2914="","",IFERROR(INDEX(Workers!$C$5:$C$2004,MATCH($D2914,Workers!$A$5:$A$2004,0)),""))</f>
        <v/>
      </c>
      <c r="K2914" s="24" t="str">
        <f aca="false">IF($D2914="","",IFERROR(IF(INDEX(Workers!$D$5:$D$2004,MATCH($D2914,Workers!$A$5:$A$2004,0))=0,"",INDEX(Workers!$D$5:$D$2004,MATCH($D2914,Workers!$A$5:$A$2004,0))),""))</f>
        <v/>
      </c>
      <c r="L2914" s="24" t="str">
        <f aca="false">IF($D2914="","",IFERROR(INDEX(Workers!$E$5:$E$2004,MATCH($D2914,Workers!$A$5:$A$2004,0)),""))</f>
        <v/>
      </c>
      <c r="M2914" s="26" t="str">
        <f aca="false">IF($D2914="","",IFERROR(INDEX(ClientRates!$D$5:$D$500,MATCH($B2914&amp;"|"&amp;$L2914,ClientRates!$A$5:$A$500,0)),0))</f>
        <v/>
      </c>
      <c r="N2914" s="26" t="str">
        <f aca="false">IF($D2914="","",IFERROR(INDEX(ClientRates!$E$5:$E$500,MATCH($B2914&amp;"|"&amp;$L2914,ClientRates!$A$5:$A$500,0)),0))</f>
        <v/>
      </c>
      <c r="O2914" s="26" t="str">
        <f aca="false">IF($D2914="","",F2914*M2914+G2914*N2914)</f>
        <v/>
      </c>
      <c r="P2914" s="26" t="str">
        <f aca="false">IF(OR($D2914="",$J2914&lt;&gt;"Supplier"),"",IFERROR(INDEX(SupplierRates!$D$5:$D$500,MATCH($K2914&amp;"|"&amp;$L2914,SupplierRates!$A$5:$A$500,0)),0))</f>
        <v/>
      </c>
      <c r="Q2914" s="26" t="str">
        <f aca="false">IF(OR($D2914="",$J2914&lt;&gt;"Supplier"),"",IFERROR(INDEX(SupplierRates!$E$5:$E$500,MATCH($K2914&amp;"|"&amp;$L2914,SupplierRates!$A$5:$A$500,0)),0))</f>
        <v/>
      </c>
      <c r="R2914" s="26" t="n">
        <f aca="false">IF(OR($D2914="",$J2914&lt;&gt;"Supplier"),0,F2914*P2914+G2914*Q2914)</f>
        <v>0</v>
      </c>
      <c r="S2914" s="26" t="n">
        <f aca="false">IF(OR($D2914="",$J2914&lt;&gt;"Own"),0,IFERROR((F2914+G2914*Settings!$B$13)*INDEX(Workers!$V$5:$V$2004,MATCH($D2914,Workers!$A$5:$A$2004,0)),0))</f>
        <v>0</v>
      </c>
      <c r="T2914" s="26" t="str">
        <f aca="false">IF($D2914="","",O2914-R2914-S2914)</f>
        <v/>
      </c>
    </row>
    <row r="2915" customFormat="false" ht="15" hidden="false" customHeight="false" outlineLevel="0" collapsed="false">
      <c r="I2915" s="24" t="str">
        <f aca="false">IF($D2915="","",IFERROR(INDEX(Workers!$B$5:$B$2004,MATCH($D2915,Workers!$A$5:$A$2004,0)),"NOT FOUND"))</f>
        <v/>
      </c>
      <c r="J2915" s="24" t="str">
        <f aca="false">IF($D2915="","",IFERROR(INDEX(Workers!$C$5:$C$2004,MATCH($D2915,Workers!$A$5:$A$2004,0)),""))</f>
        <v/>
      </c>
      <c r="K2915" s="24" t="str">
        <f aca="false">IF($D2915="","",IFERROR(IF(INDEX(Workers!$D$5:$D$2004,MATCH($D2915,Workers!$A$5:$A$2004,0))=0,"",INDEX(Workers!$D$5:$D$2004,MATCH($D2915,Workers!$A$5:$A$2004,0))),""))</f>
        <v/>
      </c>
      <c r="L2915" s="24" t="str">
        <f aca="false">IF($D2915="","",IFERROR(INDEX(Workers!$E$5:$E$2004,MATCH($D2915,Workers!$A$5:$A$2004,0)),""))</f>
        <v/>
      </c>
      <c r="M2915" s="26" t="str">
        <f aca="false">IF($D2915="","",IFERROR(INDEX(ClientRates!$D$5:$D$500,MATCH($B2915&amp;"|"&amp;$L2915,ClientRates!$A$5:$A$500,0)),0))</f>
        <v/>
      </c>
      <c r="N2915" s="26" t="str">
        <f aca="false">IF($D2915="","",IFERROR(INDEX(ClientRates!$E$5:$E$500,MATCH($B2915&amp;"|"&amp;$L2915,ClientRates!$A$5:$A$500,0)),0))</f>
        <v/>
      </c>
      <c r="O2915" s="26" t="str">
        <f aca="false">IF($D2915="","",F2915*M2915+G2915*N2915)</f>
        <v/>
      </c>
      <c r="P2915" s="26" t="str">
        <f aca="false">IF(OR($D2915="",$J2915&lt;&gt;"Supplier"),"",IFERROR(INDEX(SupplierRates!$D$5:$D$500,MATCH($K2915&amp;"|"&amp;$L2915,SupplierRates!$A$5:$A$500,0)),0))</f>
        <v/>
      </c>
      <c r="Q2915" s="26" t="str">
        <f aca="false">IF(OR($D2915="",$J2915&lt;&gt;"Supplier"),"",IFERROR(INDEX(SupplierRates!$E$5:$E$500,MATCH($K2915&amp;"|"&amp;$L2915,SupplierRates!$A$5:$A$500,0)),0))</f>
        <v/>
      </c>
      <c r="R2915" s="26" t="n">
        <f aca="false">IF(OR($D2915="",$J2915&lt;&gt;"Supplier"),0,F2915*P2915+G2915*Q2915)</f>
        <v>0</v>
      </c>
      <c r="S2915" s="26" t="n">
        <f aca="false">IF(OR($D2915="",$J2915&lt;&gt;"Own"),0,IFERROR((F2915+G2915*Settings!$B$13)*INDEX(Workers!$V$5:$V$2004,MATCH($D2915,Workers!$A$5:$A$2004,0)),0))</f>
        <v>0</v>
      </c>
      <c r="T2915" s="26" t="str">
        <f aca="false">IF($D2915="","",O2915-R2915-S2915)</f>
        <v/>
      </c>
    </row>
    <row r="2916" customFormat="false" ht="15" hidden="false" customHeight="false" outlineLevel="0" collapsed="false">
      <c r="I2916" s="24" t="str">
        <f aca="false">IF($D2916="","",IFERROR(INDEX(Workers!$B$5:$B$2004,MATCH($D2916,Workers!$A$5:$A$2004,0)),"NOT FOUND"))</f>
        <v/>
      </c>
      <c r="J2916" s="24" t="str">
        <f aca="false">IF($D2916="","",IFERROR(INDEX(Workers!$C$5:$C$2004,MATCH($D2916,Workers!$A$5:$A$2004,0)),""))</f>
        <v/>
      </c>
      <c r="K2916" s="24" t="str">
        <f aca="false">IF($D2916="","",IFERROR(IF(INDEX(Workers!$D$5:$D$2004,MATCH($D2916,Workers!$A$5:$A$2004,0))=0,"",INDEX(Workers!$D$5:$D$2004,MATCH($D2916,Workers!$A$5:$A$2004,0))),""))</f>
        <v/>
      </c>
      <c r="L2916" s="24" t="str">
        <f aca="false">IF($D2916="","",IFERROR(INDEX(Workers!$E$5:$E$2004,MATCH($D2916,Workers!$A$5:$A$2004,0)),""))</f>
        <v/>
      </c>
      <c r="M2916" s="26" t="str">
        <f aca="false">IF($D2916="","",IFERROR(INDEX(ClientRates!$D$5:$D$500,MATCH($B2916&amp;"|"&amp;$L2916,ClientRates!$A$5:$A$500,0)),0))</f>
        <v/>
      </c>
      <c r="N2916" s="26" t="str">
        <f aca="false">IF($D2916="","",IFERROR(INDEX(ClientRates!$E$5:$E$500,MATCH($B2916&amp;"|"&amp;$L2916,ClientRates!$A$5:$A$500,0)),0))</f>
        <v/>
      </c>
      <c r="O2916" s="26" t="str">
        <f aca="false">IF($D2916="","",F2916*M2916+G2916*N2916)</f>
        <v/>
      </c>
      <c r="P2916" s="26" t="str">
        <f aca="false">IF(OR($D2916="",$J2916&lt;&gt;"Supplier"),"",IFERROR(INDEX(SupplierRates!$D$5:$D$500,MATCH($K2916&amp;"|"&amp;$L2916,SupplierRates!$A$5:$A$500,0)),0))</f>
        <v/>
      </c>
      <c r="Q2916" s="26" t="str">
        <f aca="false">IF(OR($D2916="",$J2916&lt;&gt;"Supplier"),"",IFERROR(INDEX(SupplierRates!$E$5:$E$500,MATCH($K2916&amp;"|"&amp;$L2916,SupplierRates!$A$5:$A$500,0)),0))</f>
        <v/>
      </c>
      <c r="R2916" s="26" t="n">
        <f aca="false">IF(OR($D2916="",$J2916&lt;&gt;"Supplier"),0,F2916*P2916+G2916*Q2916)</f>
        <v>0</v>
      </c>
      <c r="S2916" s="26" t="n">
        <f aca="false">IF(OR($D2916="",$J2916&lt;&gt;"Own"),0,IFERROR((F2916+G2916*Settings!$B$13)*INDEX(Workers!$V$5:$V$2004,MATCH($D2916,Workers!$A$5:$A$2004,0)),0))</f>
        <v>0</v>
      </c>
      <c r="T2916" s="26" t="str">
        <f aca="false">IF($D2916="","",O2916-R2916-S2916)</f>
        <v/>
      </c>
    </row>
    <row r="2917" customFormat="false" ht="15" hidden="false" customHeight="false" outlineLevel="0" collapsed="false">
      <c r="I2917" s="24" t="str">
        <f aca="false">IF($D2917="","",IFERROR(INDEX(Workers!$B$5:$B$2004,MATCH($D2917,Workers!$A$5:$A$2004,0)),"NOT FOUND"))</f>
        <v/>
      </c>
      <c r="J2917" s="24" t="str">
        <f aca="false">IF($D2917="","",IFERROR(INDEX(Workers!$C$5:$C$2004,MATCH($D2917,Workers!$A$5:$A$2004,0)),""))</f>
        <v/>
      </c>
      <c r="K2917" s="24" t="str">
        <f aca="false">IF($D2917="","",IFERROR(IF(INDEX(Workers!$D$5:$D$2004,MATCH($D2917,Workers!$A$5:$A$2004,0))=0,"",INDEX(Workers!$D$5:$D$2004,MATCH($D2917,Workers!$A$5:$A$2004,0))),""))</f>
        <v/>
      </c>
      <c r="L2917" s="24" t="str">
        <f aca="false">IF($D2917="","",IFERROR(INDEX(Workers!$E$5:$E$2004,MATCH($D2917,Workers!$A$5:$A$2004,0)),""))</f>
        <v/>
      </c>
      <c r="M2917" s="26" t="str">
        <f aca="false">IF($D2917="","",IFERROR(INDEX(ClientRates!$D$5:$D$500,MATCH($B2917&amp;"|"&amp;$L2917,ClientRates!$A$5:$A$500,0)),0))</f>
        <v/>
      </c>
      <c r="N2917" s="26" t="str">
        <f aca="false">IF($D2917="","",IFERROR(INDEX(ClientRates!$E$5:$E$500,MATCH($B2917&amp;"|"&amp;$L2917,ClientRates!$A$5:$A$500,0)),0))</f>
        <v/>
      </c>
      <c r="O2917" s="26" t="str">
        <f aca="false">IF($D2917="","",F2917*M2917+G2917*N2917)</f>
        <v/>
      </c>
      <c r="P2917" s="26" t="str">
        <f aca="false">IF(OR($D2917="",$J2917&lt;&gt;"Supplier"),"",IFERROR(INDEX(SupplierRates!$D$5:$D$500,MATCH($K2917&amp;"|"&amp;$L2917,SupplierRates!$A$5:$A$500,0)),0))</f>
        <v/>
      </c>
      <c r="Q2917" s="26" t="str">
        <f aca="false">IF(OR($D2917="",$J2917&lt;&gt;"Supplier"),"",IFERROR(INDEX(SupplierRates!$E$5:$E$500,MATCH($K2917&amp;"|"&amp;$L2917,SupplierRates!$A$5:$A$500,0)),0))</f>
        <v/>
      </c>
      <c r="R2917" s="26" t="n">
        <f aca="false">IF(OR($D2917="",$J2917&lt;&gt;"Supplier"),0,F2917*P2917+G2917*Q2917)</f>
        <v>0</v>
      </c>
      <c r="S2917" s="26" t="n">
        <f aca="false">IF(OR($D2917="",$J2917&lt;&gt;"Own"),0,IFERROR((F2917+G2917*Settings!$B$13)*INDEX(Workers!$V$5:$V$2004,MATCH($D2917,Workers!$A$5:$A$2004,0)),0))</f>
        <v>0</v>
      </c>
      <c r="T2917" s="26" t="str">
        <f aca="false">IF($D2917="","",O2917-R2917-S2917)</f>
        <v/>
      </c>
    </row>
    <row r="2918" customFormat="false" ht="15" hidden="false" customHeight="false" outlineLevel="0" collapsed="false">
      <c r="I2918" s="24" t="str">
        <f aca="false">IF($D2918="","",IFERROR(INDEX(Workers!$B$5:$B$2004,MATCH($D2918,Workers!$A$5:$A$2004,0)),"NOT FOUND"))</f>
        <v/>
      </c>
      <c r="J2918" s="24" t="str">
        <f aca="false">IF($D2918="","",IFERROR(INDEX(Workers!$C$5:$C$2004,MATCH($D2918,Workers!$A$5:$A$2004,0)),""))</f>
        <v/>
      </c>
      <c r="K2918" s="24" t="str">
        <f aca="false">IF($D2918="","",IFERROR(IF(INDEX(Workers!$D$5:$D$2004,MATCH($D2918,Workers!$A$5:$A$2004,0))=0,"",INDEX(Workers!$D$5:$D$2004,MATCH($D2918,Workers!$A$5:$A$2004,0))),""))</f>
        <v/>
      </c>
      <c r="L2918" s="24" t="str">
        <f aca="false">IF($D2918="","",IFERROR(INDEX(Workers!$E$5:$E$2004,MATCH($D2918,Workers!$A$5:$A$2004,0)),""))</f>
        <v/>
      </c>
      <c r="M2918" s="26" t="str">
        <f aca="false">IF($D2918="","",IFERROR(INDEX(ClientRates!$D$5:$D$500,MATCH($B2918&amp;"|"&amp;$L2918,ClientRates!$A$5:$A$500,0)),0))</f>
        <v/>
      </c>
      <c r="N2918" s="26" t="str">
        <f aca="false">IF($D2918="","",IFERROR(INDEX(ClientRates!$E$5:$E$500,MATCH($B2918&amp;"|"&amp;$L2918,ClientRates!$A$5:$A$500,0)),0))</f>
        <v/>
      </c>
      <c r="O2918" s="26" t="str">
        <f aca="false">IF($D2918="","",F2918*M2918+G2918*N2918)</f>
        <v/>
      </c>
      <c r="P2918" s="26" t="str">
        <f aca="false">IF(OR($D2918="",$J2918&lt;&gt;"Supplier"),"",IFERROR(INDEX(SupplierRates!$D$5:$D$500,MATCH($K2918&amp;"|"&amp;$L2918,SupplierRates!$A$5:$A$500,0)),0))</f>
        <v/>
      </c>
      <c r="Q2918" s="26" t="str">
        <f aca="false">IF(OR($D2918="",$J2918&lt;&gt;"Supplier"),"",IFERROR(INDEX(SupplierRates!$E$5:$E$500,MATCH($K2918&amp;"|"&amp;$L2918,SupplierRates!$A$5:$A$500,0)),0))</f>
        <v/>
      </c>
      <c r="R2918" s="26" t="n">
        <f aca="false">IF(OR($D2918="",$J2918&lt;&gt;"Supplier"),0,F2918*P2918+G2918*Q2918)</f>
        <v>0</v>
      </c>
      <c r="S2918" s="26" t="n">
        <f aca="false">IF(OR($D2918="",$J2918&lt;&gt;"Own"),0,IFERROR((F2918+G2918*Settings!$B$13)*INDEX(Workers!$V$5:$V$2004,MATCH($D2918,Workers!$A$5:$A$2004,0)),0))</f>
        <v>0</v>
      </c>
      <c r="T2918" s="26" t="str">
        <f aca="false">IF($D2918="","",O2918-R2918-S2918)</f>
        <v/>
      </c>
    </row>
    <row r="2919" customFormat="false" ht="15" hidden="false" customHeight="false" outlineLevel="0" collapsed="false">
      <c r="I2919" s="24" t="str">
        <f aca="false">IF($D2919="","",IFERROR(INDEX(Workers!$B$5:$B$2004,MATCH($D2919,Workers!$A$5:$A$2004,0)),"NOT FOUND"))</f>
        <v/>
      </c>
      <c r="J2919" s="24" t="str">
        <f aca="false">IF($D2919="","",IFERROR(INDEX(Workers!$C$5:$C$2004,MATCH($D2919,Workers!$A$5:$A$2004,0)),""))</f>
        <v/>
      </c>
      <c r="K2919" s="24" t="str">
        <f aca="false">IF($D2919="","",IFERROR(IF(INDEX(Workers!$D$5:$D$2004,MATCH($D2919,Workers!$A$5:$A$2004,0))=0,"",INDEX(Workers!$D$5:$D$2004,MATCH($D2919,Workers!$A$5:$A$2004,0))),""))</f>
        <v/>
      </c>
      <c r="L2919" s="24" t="str">
        <f aca="false">IF($D2919="","",IFERROR(INDEX(Workers!$E$5:$E$2004,MATCH($D2919,Workers!$A$5:$A$2004,0)),""))</f>
        <v/>
      </c>
      <c r="M2919" s="26" t="str">
        <f aca="false">IF($D2919="","",IFERROR(INDEX(ClientRates!$D$5:$D$500,MATCH($B2919&amp;"|"&amp;$L2919,ClientRates!$A$5:$A$500,0)),0))</f>
        <v/>
      </c>
      <c r="N2919" s="26" t="str">
        <f aca="false">IF($D2919="","",IFERROR(INDEX(ClientRates!$E$5:$E$500,MATCH($B2919&amp;"|"&amp;$L2919,ClientRates!$A$5:$A$500,0)),0))</f>
        <v/>
      </c>
      <c r="O2919" s="26" t="str">
        <f aca="false">IF($D2919="","",F2919*M2919+G2919*N2919)</f>
        <v/>
      </c>
      <c r="P2919" s="26" t="str">
        <f aca="false">IF(OR($D2919="",$J2919&lt;&gt;"Supplier"),"",IFERROR(INDEX(SupplierRates!$D$5:$D$500,MATCH($K2919&amp;"|"&amp;$L2919,SupplierRates!$A$5:$A$500,0)),0))</f>
        <v/>
      </c>
      <c r="Q2919" s="26" t="str">
        <f aca="false">IF(OR($D2919="",$J2919&lt;&gt;"Supplier"),"",IFERROR(INDEX(SupplierRates!$E$5:$E$500,MATCH($K2919&amp;"|"&amp;$L2919,SupplierRates!$A$5:$A$500,0)),0))</f>
        <v/>
      </c>
      <c r="R2919" s="26" t="n">
        <f aca="false">IF(OR($D2919="",$J2919&lt;&gt;"Supplier"),0,F2919*P2919+G2919*Q2919)</f>
        <v>0</v>
      </c>
      <c r="S2919" s="26" t="n">
        <f aca="false">IF(OR($D2919="",$J2919&lt;&gt;"Own"),0,IFERROR((F2919+G2919*Settings!$B$13)*INDEX(Workers!$V$5:$V$2004,MATCH($D2919,Workers!$A$5:$A$2004,0)),0))</f>
        <v>0</v>
      </c>
      <c r="T2919" s="26" t="str">
        <f aca="false">IF($D2919="","",O2919-R2919-S2919)</f>
        <v/>
      </c>
    </row>
    <row r="2920" customFormat="false" ht="15" hidden="false" customHeight="false" outlineLevel="0" collapsed="false">
      <c r="I2920" s="24" t="str">
        <f aca="false">IF($D2920="","",IFERROR(INDEX(Workers!$B$5:$B$2004,MATCH($D2920,Workers!$A$5:$A$2004,0)),"NOT FOUND"))</f>
        <v/>
      </c>
      <c r="J2920" s="24" t="str">
        <f aca="false">IF($D2920="","",IFERROR(INDEX(Workers!$C$5:$C$2004,MATCH($D2920,Workers!$A$5:$A$2004,0)),""))</f>
        <v/>
      </c>
      <c r="K2920" s="24" t="str">
        <f aca="false">IF($D2920="","",IFERROR(IF(INDEX(Workers!$D$5:$D$2004,MATCH($D2920,Workers!$A$5:$A$2004,0))=0,"",INDEX(Workers!$D$5:$D$2004,MATCH($D2920,Workers!$A$5:$A$2004,0))),""))</f>
        <v/>
      </c>
      <c r="L2920" s="24" t="str">
        <f aca="false">IF($D2920="","",IFERROR(INDEX(Workers!$E$5:$E$2004,MATCH($D2920,Workers!$A$5:$A$2004,0)),""))</f>
        <v/>
      </c>
      <c r="M2920" s="26" t="str">
        <f aca="false">IF($D2920="","",IFERROR(INDEX(ClientRates!$D$5:$D$500,MATCH($B2920&amp;"|"&amp;$L2920,ClientRates!$A$5:$A$500,0)),0))</f>
        <v/>
      </c>
      <c r="N2920" s="26" t="str">
        <f aca="false">IF($D2920="","",IFERROR(INDEX(ClientRates!$E$5:$E$500,MATCH($B2920&amp;"|"&amp;$L2920,ClientRates!$A$5:$A$500,0)),0))</f>
        <v/>
      </c>
      <c r="O2920" s="26" t="str">
        <f aca="false">IF($D2920="","",F2920*M2920+G2920*N2920)</f>
        <v/>
      </c>
      <c r="P2920" s="26" t="str">
        <f aca="false">IF(OR($D2920="",$J2920&lt;&gt;"Supplier"),"",IFERROR(INDEX(SupplierRates!$D$5:$D$500,MATCH($K2920&amp;"|"&amp;$L2920,SupplierRates!$A$5:$A$500,0)),0))</f>
        <v/>
      </c>
      <c r="Q2920" s="26" t="str">
        <f aca="false">IF(OR($D2920="",$J2920&lt;&gt;"Supplier"),"",IFERROR(INDEX(SupplierRates!$E$5:$E$500,MATCH($K2920&amp;"|"&amp;$L2920,SupplierRates!$A$5:$A$500,0)),0))</f>
        <v/>
      </c>
      <c r="R2920" s="26" t="n">
        <f aca="false">IF(OR($D2920="",$J2920&lt;&gt;"Supplier"),0,F2920*P2920+G2920*Q2920)</f>
        <v>0</v>
      </c>
      <c r="S2920" s="26" t="n">
        <f aca="false">IF(OR($D2920="",$J2920&lt;&gt;"Own"),0,IFERROR((F2920+G2920*Settings!$B$13)*INDEX(Workers!$V$5:$V$2004,MATCH($D2920,Workers!$A$5:$A$2004,0)),0))</f>
        <v>0</v>
      </c>
      <c r="T2920" s="26" t="str">
        <f aca="false">IF($D2920="","",O2920-R2920-S2920)</f>
        <v/>
      </c>
    </row>
    <row r="2921" customFormat="false" ht="15" hidden="false" customHeight="false" outlineLevel="0" collapsed="false">
      <c r="I2921" s="24" t="str">
        <f aca="false">IF($D2921="","",IFERROR(INDEX(Workers!$B$5:$B$2004,MATCH($D2921,Workers!$A$5:$A$2004,0)),"NOT FOUND"))</f>
        <v/>
      </c>
      <c r="J2921" s="24" t="str">
        <f aca="false">IF($D2921="","",IFERROR(INDEX(Workers!$C$5:$C$2004,MATCH($D2921,Workers!$A$5:$A$2004,0)),""))</f>
        <v/>
      </c>
      <c r="K2921" s="24" t="str">
        <f aca="false">IF($D2921="","",IFERROR(IF(INDEX(Workers!$D$5:$D$2004,MATCH($D2921,Workers!$A$5:$A$2004,0))=0,"",INDEX(Workers!$D$5:$D$2004,MATCH($D2921,Workers!$A$5:$A$2004,0))),""))</f>
        <v/>
      </c>
      <c r="L2921" s="24" t="str">
        <f aca="false">IF($D2921="","",IFERROR(INDEX(Workers!$E$5:$E$2004,MATCH($D2921,Workers!$A$5:$A$2004,0)),""))</f>
        <v/>
      </c>
      <c r="M2921" s="26" t="str">
        <f aca="false">IF($D2921="","",IFERROR(INDEX(ClientRates!$D$5:$D$500,MATCH($B2921&amp;"|"&amp;$L2921,ClientRates!$A$5:$A$500,0)),0))</f>
        <v/>
      </c>
      <c r="N2921" s="26" t="str">
        <f aca="false">IF($D2921="","",IFERROR(INDEX(ClientRates!$E$5:$E$500,MATCH($B2921&amp;"|"&amp;$L2921,ClientRates!$A$5:$A$500,0)),0))</f>
        <v/>
      </c>
      <c r="O2921" s="26" t="str">
        <f aca="false">IF($D2921="","",F2921*M2921+G2921*N2921)</f>
        <v/>
      </c>
      <c r="P2921" s="26" t="str">
        <f aca="false">IF(OR($D2921="",$J2921&lt;&gt;"Supplier"),"",IFERROR(INDEX(SupplierRates!$D$5:$D$500,MATCH($K2921&amp;"|"&amp;$L2921,SupplierRates!$A$5:$A$500,0)),0))</f>
        <v/>
      </c>
      <c r="Q2921" s="26" t="str">
        <f aca="false">IF(OR($D2921="",$J2921&lt;&gt;"Supplier"),"",IFERROR(INDEX(SupplierRates!$E$5:$E$500,MATCH($K2921&amp;"|"&amp;$L2921,SupplierRates!$A$5:$A$500,0)),0))</f>
        <v/>
      </c>
      <c r="R2921" s="26" t="n">
        <f aca="false">IF(OR($D2921="",$J2921&lt;&gt;"Supplier"),0,F2921*P2921+G2921*Q2921)</f>
        <v>0</v>
      </c>
      <c r="S2921" s="26" t="n">
        <f aca="false">IF(OR($D2921="",$J2921&lt;&gt;"Own"),0,IFERROR((F2921+G2921*Settings!$B$13)*INDEX(Workers!$V$5:$V$2004,MATCH($D2921,Workers!$A$5:$A$2004,0)),0))</f>
        <v>0</v>
      </c>
      <c r="T2921" s="26" t="str">
        <f aca="false">IF($D2921="","",O2921-R2921-S2921)</f>
        <v/>
      </c>
    </row>
    <row r="2922" customFormat="false" ht="15" hidden="false" customHeight="false" outlineLevel="0" collapsed="false">
      <c r="I2922" s="24" t="str">
        <f aca="false">IF($D2922="","",IFERROR(INDEX(Workers!$B$5:$B$2004,MATCH($D2922,Workers!$A$5:$A$2004,0)),"NOT FOUND"))</f>
        <v/>
      </c>
      <c r="J2922" s="24" t="str">
        <f aca="false">IF($D2922="","",IFERROR(INDEX(Workers!$C$5:$C$2004,MATCH($D2922,Workers!$A$5:$A$2004,0)),""))</f>
        <v/>
      </c>
      <c r="K2922" s="24" t="str">
        <f aca="false">IF($D2922="","",IFERROR(IF(INDEX(Workers!$D$5:$D$2004,MATCH($D2922,Workers!$A$5:$A$2004,0))=0,"",INDEX(Workers!$D$5:$D$2004,MATCH($D2922,Workers!$A$5:$A$2004,0))),""))</f>
        <v/>
      </c>
      <c r="L2922" s="24" t="str">
        <f aca="false">IF($D2922="","",IFERROR(INDEX(Workers!$E$5:$E$2004,MATCH($D2922,Workers!$A$5:$A$2004,0)),""))</f>
        <v/>
      </c>
      <c r="M2922" s="26" t="str">
        <f aca="false">IF($D2922="","",IFERROR(INDEX(ClientRates!$D$5:$D$500,MATCH($B2922&amp;"|"&amp;$L2922,ClientRates!$A$5:$A$500,0)),0))</f>
        <v/>
      </c>
      <c r="N2922" s="26" t="str">
        <f aca="false">IF($D2922="","",IFERROR(INDEX(ClientRates!$E$5:$E$500,MATCH($B2922&amp;"|"&amp;$L2922,ClientRates!$A$5:$A$500,0)),0))</f>
        <v/>
      </c>
      <c r="O2922" s="26" t="str">
        <f aca="false">IF($D2922="","",F2922*M2922+G2922*N2922)</f>
        <v/>
      </c>
      <c r="P2922" s="26" t="str">
        <f aca="false">IF(OR($D2922="",$J2922&lt;&gt;"Supplier"),"",IFERROR(INDEX(SupplierRates!$D$5:$D$500,MATCH($K2922&amp;"|"&amp;$L2922,SupplierRates!$A$5:$A$500,0)),0))</f>
        <v/>
      </c>
      <c r="Q2922" s="26" t="str">
        <f aca="false">IF(OR($D2922="",$J2922&lt;&gt;"Supplier"),"",IFERROR(INDEX(SupplierRates!$E$5:$E$500,MATCH($K2922&amp;"|"&amp;$L2922,SupplierRates!$A$5:$A$500,0)),0))</f>
        <v/>
      </c>
      <c r="R2922" s="26" t="n">
        <f aca="false">IF(OR($D2922="",$J2922&lt;&gt;"Supplier"),0,F2922*P2922+G2922*Q2922)</f>
        <v>0</v>
      </c>
      <c r="S2922" s="26" t="n">
        <f aca="false">IF(OR($D2922="",$J2922&lt;&gt;"Own"),0,IFERROR((F2922+G2922*Settings!$B$13)*INDEX(Workers!$V$5:$V$2004,MATCH($D2922,Workers!$A$5:$A$2004,0)),0))</f>
        <v>0</v>
      </c>
      <c r="T2922" s="26" t="str">
        <f aca="false">IF($D2922="","",O2922-R2922-S2922)</f>
        <v/>
      </c>
    </row>
    <row r="2923" customFormat="false" ht="15" hidden="false" customHeight="false" outlineLevel="0" collapsed="false">
      <c r="I2923" s="24" t="str">
        <f aca="false">IF($D2923="","",IFERROR(INDEX(Workers!$B$5:$B$2004,MATCH($D2923,Workers!$A$5:$A$2004,0)),"NOT FOUND"))</f>
        <v/>
      </c>
      <c r="J2923" s="24" t="str">
        <f aca="false">IF($D2923="","",IFERROR(INDEX(Workers!$C$5:$C$2004,MATCH($D2923,Workers!$A$5:$A$2004,0)),""))</f>
        <v/>
      </c>
      <c r="K2923" s="24" t="str">
        <f aca="false">IF($D2923="","",IFERROR(IF(INDEX(Workers!$D$5:$D$2004,MATCH($D2923,Workers!$A$5:$A$2004,0))=0,"",INDEX(Workers!$D$5:$D$2004,MATCH($D2923,Workers!$A$5:$A$2004,0))),""))</f>
        <v/>
      </c>
      <c r="L2923" s="24" t="str">
        <f aca="false">IF($D2923="","",IFERROR(INDEX(Workers!$E$5:$E$2004,MATCH($D2923,Workers!$A$5:$A$2004,0)),""))</f>
        <v/>
      </c>
      <c r="M2923" s="26" t="str">
        <f aca="false">IF($D2923="","",IFERROR(INDEX(ClientRates!$D$5:$D$500,MATCH($B2923&amp;"|"&amp;$L2923,ClientRates!$A$5:$A$500,0)),0))</f>
        <v/>
      </c>
      <c r="N2923" s="26" t="str">
        <f aca="false">IF($D2923="","",IFERROR(INDEX(ClientRates!$E$5:$E$500,MATCH($B2923&amp;"|"&amp;$L2923,ClientRates!$A$5:$A$500,0)),0))</f>
        <v/>
      </c>
      <c r="O2923" s="26" t="str">
        <f aca="false">IF($D2923="","",F2923*M2923+G2923*N2923)</f>
        <v/>
      </c>
      <c r="P2923" s="26" t="str">
        <f aca="false">IF(OR($D2923="",$J2923&lt;&gt;"Supplier"),"",IFERROR(INDEX(SupplierRates!$D$5:$D$500,MATCH($K2923&amp;"|"&amp;$L2923,SupplierRates!$A$5:$A$500,0)),0))</f>
        <v/>
      </c>
      <c r="Q2923" s="26" t="str">
        <f aca="false">IF(OR($D2923="",$J2923&lt;&gt;"Supplier"),"",IFERROR(INDEX(SupplierRates!$E$5:$E$500,MATCH($K2923&amp;"|"&amp;$L2923,SupplierRates!$A$5:$A$500,0)),0))</f>
        <v/>
      </c>
      <c r="R2923" s="26" t="n">
        <f aca="false">IF(OR($D2923="",$J2923&lt;&gt;"Supplier"),0,F2923*P2923+G2923*Q2923)</f>
        <v>0</v>
      </c>
      <c r="S2923" s="26" t="n">
        <f aca="false">IF(OR($D2923="",$J2923&lt;&gt;"Own"),0,IFERROR((F2923+G2923*Settings!$B$13)*INDEX(Workers!$V$5:$V$2004,MATCH($D2923,Workers!$A$5:$A$2004,0)),0))</f>
        <v>0</v>
      </c>
      <c r="T2923" s="26" t="str">
        <f aca="false">IF($D2923="","",O2923-R2923-S2923)</f>
        <v/>
      </c>
    </row>
    <row r="2924" customFormat="false" ht="15" hidden="false" customHeight="false" outlineLevel="0" collapsed="false">
      <c r="I2924" s="24" t="str">
        <f aca="false">IF($D2924="","",IFERROR(INDEX(Workers!$B$5:$B$2004,MATCH($D2924,Workers!$A$5:$A$2004,0)),"NOT FOUND"))</f>
        <v/>
      </c>
      <c r="J2924" s="24" t="str">
        <f aca="false">IF($D2924="","",IFERROR(INDEX(Workers!$C$5:$C$2004,MATCH($D2924,Workers!$A$5:$A$2004,0)),""))</f>
        <v/>
      </c>
      <c r="K2924" s="24" t="str">
        <f aca="false">IF($D2924="","",IFERROR(IF(INDEX(Workers!$D$5:$D$2004,MATCH($D2924,Workers!$A$5:$A$2004,0))=0,"",INDEX(Workers!$D$5:$D$2004,MATCH($D2924,Workers!$A$5:$A$2004,0))),""))</f>
        <v/>
      </c>
      <c r="L2924" s="24" t="str">
        <f aca="false">IF($D2924="","",IFERROR(INDEX(Workers!$E$5:$E$2004,MATCH($D2924,Workers!$A$5:$A$2004,0)),""))</f>
        <v/>
      </c>
      <c r="M2924" s="26" t="str">
        <f aca="false">IF($D2924="","",IFERROR(INDEX(ClientRates!$D$5:$D$500,MATCH($B2924&amp;"|"&amp;$L2924,ClientRates!$A$5:$A$500,0)),0))</f>
        <v/>
      </c>
      <c r="N2924" s="26" t="str">
        <f aca="false">IF($D2924="","",IFERROR(INDEX(ClientRates!$E$5:$E$500,MATCH($B2924&amp;"|"&amp;$L2924,ClientRates!$A$5:$A$500,0)),0))</f>
        <v/>
      </c>
      <c r="O2924" s="26" t="str">
        <f aca="false">IF($D2924="","",F2924*M2924+G2924*N2924)</f>
        <v/>
      </c>
      <c r="P2924" s="26" t="str">
        <f aca="false">IF(OR($D2924="",$J2924&lt;&gt;"Supplier"),"",IFERROR(INDEX(SupplierRates!$D$5:$D$500,MATCH($K2924&amp;"|"&amp;$L2924,SupplierRates!$A$5:$A$500,0)),0))</f>
        <v/>
      </c>
      <c r="Q2924" s="26" t="str">
        <f aca="false">IF(OR($D2924="",$J2924&lt;&gt;"Supplier"),"",IFERROR(INDEX(SupplierRates!$E$5:$E$500,MATCH($K2924&amp;"|"&amp;$L2924,SupplierRates!$A$5:$A$500,0)),0))</f>
        <v/>
      </c>
      <c r="R2924" s="26" t="n">
        <f aca="false">IF(OR($D2924="",$J2924&lt;&gt;"Supplier"),0,F2924*P2924+G2924*Q2924)</f>
        <v>0</v>
      </c>
      <c r="S2924" s="26" t="n">
        <f aca="false">IF(OR($D2924="",$J2924&lt;&gt;"Own"),0,IFERROR((F2924+G2924*Settings!$B$13)*INDEX(Workers!$V$5:$V$2004,MATCH($D2924,Workers!$A$5:$A$2004,0)),0))</f>
        <v>0</v>
      </c>
      <c r="T2924" s="26" t="str">
        <f aca="false">IF($D2924="","",O2924-R2924-S2924)</f>
        <v/>
      </c>
    </row>
    <row r="2925" customFormat="false" ht="15" hidden="false" customHeight="false" outlineLevel="0" collapsed="false">
      <c r="I2925" s="24" t="str">
        <f aca="false">IF($D2925="","",IFERROR(INDEX(Workers!$B$5:$B$2004,MATCH($D2925,Workers!$A$5:$A$2004,0)),"NOT FOUND"))</f>
        <v/>
      </c>
      <c r="J2925" s="24" t="str">
        <f aca="false">IF($D2925="","",IFERROR(INDEX(Workers!$C$5:$C$2004,MATCH($D2925,Workers!$A$5:$A$2004,0)),""))</f>
        <v/>
      </c>
      <c r="K2925" s="24" t="str">
        <f aca="false">IF($D2925="","",IFERROR(IF(INDEX(Workers!$D$5:$D$2004,MATCH($D2925,Workers!$A$5:$A$2004,0))=0,"",INDEX(Workers!$D$5:$D$2004,MATCH($D2925,Workers!$A$5:$A$2004,0))),""))</f>
        <v/>
      </c>
      <c r="L2925" s="24" t="str">
        <f aca="false">IF($D2925="","",IFERROR(INDEX(Workers!$E$5:$E$2004,MATCH($D2925,Workers!$A$5:$A$2004,0)),""))</f>
        <v/>
      </c>
      <c r="M2925" s="26" t="str">
        <f aca="false">IF($D2925="","",IFERROR(INDEX(ClientRates!$D$5:$D$500,MATCH($B2925&amp;"|"&amp;$L2925,ClientRates!$A$5:$A$500,0)),0))</f>
        <v/>
      </c>
      <c r="N2925" s="26" t="str">
        <f aca="false">IF($D2925="","",IFERROR(INDEX(ClientRates!$E$5:$E$500,MATCH($B2925&amp;"|"&amp;$L2925,ClientRates!$A$5:$A$500,0)),0))</f>
        <v/>
      </c>
      <c r="O2925" s="26" t="str">
        <f aca="false">IF($D2925="","",F2925*M2925+G2925*N2925)</f>
        <v/>
      </c>
      <c r="P2925" s="26" t="str">
        <f aca="false">IF(OR($D2925="",$J2925&lt;&gt;"Supplier"),"",IFERROR(INDEX(SupplierRates!$D$5:$D$500,MATCH($K2925&amp;"|"&amp;$L2925,SupplierRates!$A$5:$A$500,0)),0))</f>
        <v/>
      </c>
      <c r="Q2925" s="26" t="str">
        <f aca="false">IF(OR($D2925="",$J2925&lt;&gt;"Supplier"),"",IFERROR(INDEX(SupplierRates!$E$5:$E$500,MATCH($K2925&amp;"|"&amp;$L2925,SupplierRates!$A$5:$A$500,0)),0))</f>
        <v/>
      </c>
      <c r="R2925" s="26" t="n">
        <f aca="false">IF(OR($D2925="",$J2925&lt;&gt;"Supplier"),0,F2925*P2925+G2925*Q2925)</f>
        <v>0</v>
      </c>
      <c r="S2925" s="26" t="n">
        <f aca="false">IF(OR($D2925="",$J2925&lt;&gt;"Own"),0,IFERROR((F2925+G2925*Settings!$B$13)*INDEX(Workers!$V$5:$V$2004,MATCH($D2925,Workers!$A$5:$A$2004,0)),0))</f>
        <v>0</v>
      </c>
      <c r="T2925" s="26" t="str">
        <f aca="false">IF($D2925="","",O2925-R2925-S2925)</f>
        <v/>
      </c>
    </row>
    <row r="2926" customFormat="false" ht="15" hidden="false" customHeight="false" outlineLevel="0" collapsed="false">
      <c r="I2926" s="24" t="str">
        <f aca="false">IF($D2926="","",IFERROR(INDEX(Workers!$B$5:$B$2004,MATCH($D2926,Workers!$A$5:$A$2004,0)),"NOT FOUND"))</f>
        <v/>
      </c>
      <c r="J2926" s="24" t="str">
        <f aca="false">IF($D2926="","",IFERROR(INDEX(Workers!$C$5:$C$2004,MATCH($D2926,Workers!$A$5:$A$2004,0)),""))</f>
        <v/>
      </c>
      <c r="K2926" s="24" t="str">
        <f aca="false">IF($D2926="","",IFERROR(IF(INDEX(Workers!$D$5:$D$2004,MATCH($D2926,Workers!$A$5:$A$2004,0))=0,"",INDEX(Workers!$D$5:$D$2004,MATCH($D2926,Workers!$A$5:$A$2004,0))),""))</f>
        <v/>
      </c>
      <c r="L2926" s="24" t="str">
        <f aca="false">IF($D2926="","",IFERROR(INDEX(Workers!$E$5:$E$2004,MATCH($D2926,Workers!$A$5:$A$2004,0)),""))</f>
        <v/>
      </c>
      <c r="M2926" s="26" t="str">
        <f aca="false">IF($D2926="","",IFERROR(INDEX(ClientRates!$D$5:$D$500,MATCH($B2926&amp;"|"&amp;$L2926,ClientRates!$A$5:$A$500,0)),0))</f>
        <v/>
      </c>
      <c r="N2926" s="26" t="str">
        <f aca="false">IF($D2926="","",IFERROR(INDEX(ClientRates!$E$5:$E$500,MATCH($B2926&amp;"|"&amp;$L2926,ClientRates!$A$5:$A$500,0)),0))</f>
        <v/>
      </c>
      <c r="O2926" s="26" t="str">
        <f aca="false">IF($D2926="","",F2926*M2926+G2926*N2926)</f>
        <v/>
      </c>
      <c r="P2926" s="26" t="str">
        <f aca="false">IF(OR($D2926="",$J2926&lt;&gt;"Supplier"),"",IFERROR(INDEX(SupplierRates!$D$5:$D$500,MATCH($K2926&amp;"|"&amp;$L2926,SupplierRates!$A$5:$A$500,0)),0))</f>
        <v/>
      </c>
      <c r="Q2926" s="26" t="str">
        <f aca="false">IF(OR($D2926="",$J2926&lt;&gt;"Supplier"),"",IFERROR(INDEX(SupplierRates!$E$5:$E$500,MATCH($K2926&amp;"|"&amp;$L2926,SupplierRates!$A$5:$A$500,0)),0))</f>
        <v/>
      </c>
      <c r="R2926" s="26" t="n">
        <f aca="false">IF(OR($D2926="",$J2926&lt;&gt;"Supplier"),0,F2926*P2926+G2926*Q2926)</f>
        <v>0</v>
      </c>
      <c r="S2926" s="26" t="n">
        <f aca="false">IF(OR($D2926="",$J2926&lt;&gt;"Own"),0,IFERROR((F2926+G2926*Settings!$B$13)*INDEX(Workers!$V$5:$V$2004,MATCH($D2926,Workers!$A$5:$A$2004,0)),0))</f>
        <v>0</v>
      </c>
      <c r="T2926" s="26" t="str">
        <f aca="false">IF($D2926="","",O2926-R2926-S2926)</f>
        <v/>
      </c>
    </row>
    <row r="2927" customFormat="false" ht="15" hidden="false" customHeight="false" outlineLevel="0" collapsed="false">
      <c r="I2927" s="24" t="str">
        <f aca="false">IF($D2927="","",IFERROR(INDEX(Workers!$B$5:$B$2004,MATCH($D2927,Workers!$A$5:$A$2004,0)),"NOT FOUND"))</f>
        <v/>
      </c>
      <c r="J2927" s="24" t="str">
        <f aca="false">IF($D2927="","",IFERROR(INDEX(Workers!$C$5:$C$2004,MATCH($D2927,Workers!$A$5:$A$2004,0)),""))</f>
        <v/>
      </c>
      <c r="K2927" s="24" t="str">
        <f aca="false">IF($D2927="","",IFERROR(IF(INDEX(Workers!$D$5:$D$2004,MATCH($D2927,Workers!$A$5:$A$2004,0))=0,"",INDEX(Workers!$D$5:$D$2004,MATCH($D2927,Workers!$A$5:$A$2004,0))),""))</f>
        <v/>
      </c>
      <c r="L2927" s="24" t="str">
        <f aca="false">IF($D2927="","",IFERROR(INDEX(Workers!$E$5:$E$2004,MATCH($D2927,Workers!$A$5:$A$2004,0)),""))</f>
        <v/>
      </c>
      <c r="M2927" s="26" t="str">
        <f aca="false">IF($D2927="","",IFERROR(INDEX(ClientRates!$D$5:$D$500,MATCH($B2927&amp;"|"&amp;$L2927,ClientRates!$A$5:$A$500,0)),0))</f>
        <v/>
      </c>
      <c r="N2927" s="26" t="str">
        <f aca="false">IF($D2927="","",IFERROR(INDEX(ClientRates!$E$5:$E$500,MATCH($B2927&amp;"|"&amp;$L2927,ClientRates!$A$5:$A$500,0)),0))</f>
        <v/>
      </c>
      <c r="O2927" s="26" t="str">
        <f aca="false">IF($D2927="","",F2927*M2927+G2927*N2927)</f>
        <v/>
      </c>
      <c r="P2927" s="26" t="str">
        <f aca="false">IF(OR($D2927="",$J2927&lt;&gt;"Supplier"),"",IFERROR(INDEX(SupplierRates!$D$5:$D$500,MATCH($K2927&amp;"|"&amp;$L2927,SupplierRates!$A$5:$A$500,0)),0))</f>
        <v/>
      </c>
      <c r="Q2927" s="26" t="str">
        <f aca="false">IF(OR($D2927="",$J2927&lt;&gt;"Supplier"),"",IFERROR(INDEX(SupplierRates!$E$5:$E$500,MATCH($K2927&amp;"|"&amp;$L2927,SupplierRates!$A$5:$A$500,0)),0))</f>
        <v/>
      </c>
      <c r="R2927" s="26" t="n">
        <f aca="false">IF(OR($D2927="",$J2927&lt;&gt;"Supplier"),0,F2927*P2927+G2927*Q2927)</f>
        <v>0</v>
      </c>
      <c r="S2927" s="26" t="n">
        <f aca="false">IF(OR($D2927="",$J2927&lt;&gt;"Own"),0,IFERROR((F2927+G2927*Settings!$B$13)*INDEX(Workers!$V$5:$V$2004,MATCH($D2927,Workers!$A$5:$A$2004,0)),0))</f>
        <v>0</v>
      </c>
      <c r="T2927" s="26" t="str">
        <f aca="false">IF($D2927="","",O2927-R2927-S2927)</f>
        <v/>
      </c>
    </row>
    <row r="2928" customFormat="false" ht="15" hidden="false" customHeight="false" outlineLevel="0" collapsed="false">
      <c r="I2928" s="24" t="str">
        <f aca="false">IF($D2928="","",IFERROR(INDEX(Workers!$B$5:$B$2004,MATCH($D2928,Workers!$A$5:$A$2004,0)),"NOT FOUND"))</f>
        <v/>
      </c>
      <c r="J2928" s="24" t="str">
        <f aca="false">IF($D2928="","",IFERROR(INDEX(Workers!$C$5:$C$2004,MATCH($D2928,Workers!$A$5:$A$2004,0)),""))</f>
        <v/>
      </c>
      <c r="K2928" s="24" t="str">
        <f aca="false">IF($D2928="","",IFERROR(IF(INDEX(Workers!$D$5:$D$2004,MATCH($D2928,Workers!$A$5:$A$2004,0))=0,"",INDEX(Workers!$D$5:$D$2004,MATCH($D2928,Workers!$A$5:$A$2004,0))),""))</f>
        <v/>
      </c>
      <c r="L2928" s="24" t="str">
        <f aca="false">IF($D2928="","",IFERROR(INDEX(Workers!$E$5:$E$2004,MATCH($D2928,Workers!$A$5:$A$2004,0)),""))</f>
        <v/>
      </c>
      <c r="M2928" s="26" t="str">
        <f aca="false">IF($D2928="","",IFERROR(INDEX(ClientRates!$D$5:$D$500,MATCH($B2928&amp;"|"&amp;$L2928,ClientRates!$A$5:$A$500,0)),0))</f>
        <v/>
      </c>
      <c r="N2928" s="26" t="str">
        <f aca="false">IF($D2928="","",IFERROR(INDEX(ClientRates!$E$5:$E$500,MATCH($B2928&amp;"|"&amp;$L2928,ClientRates!$A$5:$A$500,0)),0))</f>
        <v/>
      </c>
      <c r="O2928" s="26" t="str">
        <f aca="false">IF($D2928="","",F2928*M2928+G2928*N2928)</f>
        <v/>
      </c>
      <c r="P2928" s="26" t="str">
        <f aca="false">IF(OR($D2928="",$J2928&lt;&gt;"Supplier"),"",IFERROR(INDEX(SupplierRates!$D$5:$D$500,MATCH($K2928&amp;"|"&amp;$L2928,SupplierRates!$A$5:$A$500,0)),0))</f>
        <v/>
      </c>
      <c r="Q2928" s="26" t="str">
        <f aca="false">IF(OR($D2928="",$J2928&lt;&gt;"Supplier"),"",IFERROR(INDEX(SupplierRates!$E$5:$E$500,MATCH($K2928&amp;"|"&amp;$L2928,SupplierRates!$A$5:$A$500,0)),0))</f>
        <v/>
      </c>
      <c r="R2928" s="26" t="n">
        <f aca="false">IF(OR($D2928="",$J2928&lt;&gt;"Supplier"),0,F2928*P2928+G2928*Q2928)</f>
        <v>0</v>
      </c>
      <c r="S2928" s="26" t="n">
        <f aca="false">IF(OR($D2928="",$J2928&lt;&gt;"Own"),0,IFERROR((F2928+G2928*Settings!$B$13)*INDEX(Workers!$V$5:$V$2004,MATCH($D2928,Workers!$A$5:$A$2004,0)),0))</f>
        <v>0</v>
      </c>
      <c r="T2928" s="26" t="str">
        <f aca="false">IF($D2928="","",O2928-R2928-S2928)</f>
        <v/>
      </c>
    </row>
    <row r="2929" customFormat="false" ht="15" hidden="false" customHeight="false" outlineLevel="0" collapsed="false">
      <c r="I2929" s="24" t="str">
        <f aca="false">IF($D2929="","",IFERROR(INDEX(Workers!$B$5:$B$2004,MATCH($D2929,Workers!$A$5:$A$2004,0)),"NOT FOUND"))</f>
        <v/>
      </c>
      <c r="J2929" s="24" t="str">
        <f aca="false">IF($D2929="","",IFERROR(INDEX(Workers!$C$5:$C$2004,MATCH($D2929,Workers!$A$5:$A$2004,0)),""))</f>
        <v/>
      </c>
      <c r="K2929" s="24" t="str">
        <f aca="false">IF($D2929="","",IFERROR(IF(INDEX(Workers!$D$5:$D$2004,MATCH($D2929,Workers!$A$5:$A$2004,0))=0,"",INDEX(Workers!$D$5:$D$2004,MATCH($D2929,Workers!$A$5:$A$2004,0))),""))</f>
        <v/>
      </c>
      <c r="L2929" s="24" t="str">
        <f aca="false">IF($D2929="","",IFERROR(INDEX(Workers!$E$5:$E$2004,MATCH($D2929,Workers!$A$5:$A$2004,0)),""))</f>
        <v/>
      </c>
      <c r="M2929" s="26" t="str">
        <f aca="false">IF($D2929="","",IFERROR(INDEX(ClientRates!$D$5:$D$500,MATCH($B2929&amp;"|"&amp;$L2929,ClientRates!$A$5:$A$500,0)),0))</f>
        <v/>
      </c>
      <c r="N2929" s="26" t="str">
        <f aca="false">IF($D2929="","",IFERROR(INDEX(ClientRates!$E$5:$E$500,MATCH($B2929&amp;"|"&amp;$L2929,ClientRates!$A$5:$A$500,0)),0))</f>
        <v/>
      </c>
      <c r="O2929" s="26" t="str">
        <f aca="false">IF($D2929="","",F2929*M2929+G2929*N2929)</f>
        <v/>
      </c>
      <c r="P2929" s="26" t="str">
        <f aca="false">IF(OR($D2929="",$J2929&lt;&gt;"Supplier"),"",IFERROR(INDEX(SupplierRates!$D$5:$D$500,MATCH($K2929&amp;"|"&amp;$L2929,SupplierRates!$A$5:$A$500,0)),0))</f>
        <v/>
      </c>
      <c r="Q2929" s="26" t="str">
        <f aca="false">IF(OR($D2929="",$J2929&lt;&gt;"Supplier"),"",IFERROR(INDEX(SupplierRates!$E$5:$E$500,MATCH($K2929&amp;"|"&amp;$L2929,SupplierRates!$A$5:$A$500,0)),0))</f>
        <v/>
      </c>
      <c r="R2929" s="26" t="n">
        <f aca="false">IF(OR($D2929="",$J2929&lt;&gt;"Supplier"),0,F2929*P2929+G2929*Q2929)</f>
        <v>0</v>
      </c>
      <c r="S2929" s="26" t="n">
        <f aca="false">IF(OR($D2929="",$J2929&lt;&gt;"Own"),0,IFERROR((F2929+G2929*Settings!$B$13)*INDEX(Workers!$V$5:$V$2004,MATCH($D2929,Workers!$A$5:$A$2004,0)),0))</f>
        <v>0</v>
      </c>
      <c r="T2929" s="26" t="str">
        <f aca="false">IF($D2929="","",O2929-R2929-S2929)</f>
        <v/>
      </c>
    </row>
    <row r="2930" customFormat="false" ht="15" hidden="false" customHeight="false" outlineLevel="0" collapsed="false">
      <c r="I2930" s="24" t="str">
        <f aca="false">IF($D2930="","",IFERROR(INDEX(Workers!$B$5:$B$2004,MATCH($D2930,Workers!$A$5:$A$2004,0)),"NOT FOUND"))</f>
        <v/>
      </c>
      <c r="J2930" s="24" t="str">
        <f aca="false">IF($D2930="","",IFERROR(INDEX(Workers!$C$5:$C$2004,MATCH($D2930,Workers!$A$5:$A$2004,0)),""))</f>
        <v/>
      </c>
      <c r="K2930" s="24" t="str">
        <f aca="false">IF($D2930="","",IFERROR(IF(INDEX(Workers!$D$5:$D$2004,MATCH($D2930,Workers!$A$5:$A$2004,0))=0,"",INDEX(Workers!$D$5:$D$2004,MATCH($D2930,Workers!$A$5:$A$2004,0))),""))</f>
        <v/>
      </c>
      <c r="L2930" s="24" t="str">
        <f aca="false">IF($D2930="","",IFERROR(INDEX(Workers!$E$5:$E$2004,MATCH($D2930,Workers!$A$5:$A$2004,0)),""))</f>
        <v/>
      </c>
      <c r="M2930" s="26" t="str">
        <f aca="false">IF($D2930="","",IFERROR(INDEX(ClientRates!$D$5:$D$500,MATCH($B2930&amp;"|"&amp;$L2930,ClientRates!$A$5:$A$500,0)),0))</f>
        <v/>
      </c>
      <c r="N2930" s="26" t="str">
        <f aca="false">IF($D2930="","",IFERROR(INDEX(ClientRates!$E$5:$E$500,MATCH($B2930&amp;"|"&amp;$L2930,ClientRates!$A$5:$A$500,0)),0))</f>
        <v/>
      </c>
      <c r="O2930" s="26" t="str">
        <f aca="false">IF($D2930="","",F2930*M2930+G2930*N2930)</f>
        <v/>
      </c>
      <c r="P2930" s="26" t="str">
        <f aca="false">IF(OR($D2930="",$J2930&lt;&gt;"Supplier"),"",IFERROR(INDEX(SupplierRates!$D$5:$D$500,MATCH($K2930&amp;"|"&amp;$L2930,SupplierRates!$A$5:$A$500,0)),0))</f>
        <v/>
      </c>
      <c r="Q2930" s="26" t="str">
        <f aca="false">IF(OR($D2930="",$J2930&lt;&gt;"Supplier"),"",IFERROR(INDEX(SupplierRates!$E$5:$E$500,MATCH($K2930&amp;"|"&amp;$L2930,SupplierRates!$A$5:$A$500,0)),0))</f>
        <v/>
      </c>
      <c r="R2930" s="26" t="n">
        <f aca="false">IF(OR($D2930="",$J2930&lt;&gt;"Supplier"),0,F2930*P2930+G2930*Q2930)</f>
        <v>0</v>
      </c>
      <c r="S2930" s="26" t="n">
        <f aca="false">IF(OR($D2930="",$J2930&lt;&gt;"Own"),0,IFERROR((F2930+G2930*Settings!$B$13)*INDEX(Workers!$V$5:$V$2004,MATCH($D2930,Workers!$A$5:$A$2004,0)),0))</f>
        <v>0</v>
      </c>
      <c r="T2930" s="26" t="str">
        <f aca="false">IF($D2930="","",O2930-R2930-S2930)</f>
        <v/>
      </c>
    </row>
    <row r="2931" customFormat="false" ht="15" hidden="false" customHeight="false" outlineLevel="0" collapsed="false">
      <c r="I2931" s="24" t="str">
        <f aca="false">IF($D2931="","",IFERROR(INDEX(Workers!$B$5:$B$2004,MATCH($D2931,Workers!$A$5:$A$2004,0)),"NOT FOUND"))</f>
        <v/>
      </c>
      <c r="J2931" s="24" t="str">
        <f aca="false">IF($D2931="","",IFERROR(INDEX(Workers!$C$5:$C$2004,MATCH($D2931,Workers!$A$5:$A$2004,0)),""))</f>
        <v/>
      </c>
      <c r="K2931" s="24" t="str">
        <f aca="false">IF($D2931="","",IFERROR(IF(INDEX(Workers!$D$5:$D$2004,MATCH($D2931,Workers!$A$5:$A$2004,0))=0,"",INDEX(Workers!$D$5:$D$2004,MATCH($D2931,Workers!$A$5:$A$2004,0))),""))</f>
        <v/>
      </c>
      <c r="L2931" s="24" t="str">
        <f aca="false">IF($D2931="","",IFERROR(INDEX(Workers!$E$5:$E$2004,MATCH($D2931,Workers!$A$5:$A$2004,0)),""))</f>
        <v/>
      </c>
      <c r="M2931" s="26" t="str">
        <f aca="false">IF($D2931="","",IFERROR(INDEX(ClientRates!$D$5:$D$500,MATCH($B2931&amp;"|"&amp;$L2931,ClientRates!$A$5:$A$500,0)),0))</f>
        <v/>
      </c>
      <c r="N2931" s="26" t="str">
        <f aca="false">IF($D2931="","",IFERROR(INDEX(ClientRates!$E$5:$E$500,MATCH($B2931&amp;"|"&amp;$L2931,ClientRates!$A$5:$A$500,0)),0))</f>
        <v/>
      </c>
      <c r="O2931" s="26" t="str">
        <f aca="false">IF($D2931="","",F2931*M2931+G2931*N2931)</f>
        <v/>
      </c>
      <c r="P2931" s="26" t="str">
        <f aca="false">IF(OR($D2931="",$J2931&lt;&gt;"Supplier"),"",IFERROR(INDEX(SupplierRates!$D$5:$D$500,MATCH($K2931&amp;"|"&amp;$L2931,SupplierRates!$A$5:$A$500,0)),0))</f>
        <v/>
      </c>
      <c r="Q2931" s="26" t="str">
        <f aca="false">IF(OR($D2931="",$J2931&lt;&gt;"Supplier"),"",IFERROR(INDEX(SupplierRates!$E$5:$E$500,MATCH($K2931&amp;"|"&amp;$L2931,SupplierRates!$A$5:$A$500,0)),0))</f>
        <v/>
      </c>
      <c r="R2931" s="26" t="n">
        <f aca="false">IF(OR($D2931="",$J2931&lt;&gt;"Supplier"),0,F2931*P2931+G2931*Q2931)</f>
        <v>0</v>
      </c>
      <c r="S2931" s="26" t="n">
        <f aca="false">IF(OR($D2931="",$J2931&lt;&gt;"Own"),0,IFERROR((F2931+G2931*Settings!$B$13)*INDEX(Workers!$V$5:$V$2004,MATCH($D2931,Workers!$A$5:$A$2004,0)),0))</f>
        <v>0</v>
      </c>
      <c r="T2931" s="26" t="str">
        <f aca="false">IF($D2931="","",O2931-R2931-S2931)</f>
        <v/>
      </c>
    </row>
    <row r="2932" customFormat="false" ht="15" hidden="false" customHeight="false" outlineLevel="0" collapsed="false">
      <c r="I2932" s="24" t="str">
        <f aca="false">IF($D2932="","",IFERROR(INDEX(Workers!$B$5:$B$2004,MATCH($D2932,Workers!$A$5:$A$2004,0)),"NOT FOUND"))</f>
        <v/>
      </c>
      <c r="J2932" s="24" t="str">
        <f aca="false">IF($D2932="","",IFERROR(INDEX(Workers!$C$5:$C$2004,MATCH($D2932,Workers!$A$5:$A$2004,0)),""))</f>
        <v/>
      </c>
      <c r="K2932" s="24" t="str">
        <f aca="false">IF($D2932="","",IFERROR(IF(INDEX(Workers!$D$5:$D$2004,MATCH($D2932,Workers!$A$5:$A$2004,0))=0,"",INDEX(Workers!$D$5:$D$2004,MATCH($D2932,Workers!$A$5:$A$2004,0))),""))</f>
        <v/>
      </c>
      <c r="L2932" s="24" t="str">
        <f aca="false">IF($D2932="","",IFERROR(INDEX(Workers!$E$5:$E$2004,MATCH($D2932,Workers!$A$5:$A$2004,0)),""))</f>
        <v/>
      </c>
      <c r="M2932" s="26" t="str">
        <f aca="false">IF($D2932="","",IFERROR(INDEX(ClientRates!$D$5:$D$500,MATCH($B2932&amp;"|"&amp;$L2932,ClientRates!$A$5:$A$500,0)),0))</f>
        <v/>
      </c>
      <c r="N2932" s="26" t="str">
        <f aca="false">IF($D2932="","",IFERROR(INDEX(ClientRates!$E$5:$E$500,MATCH($B2932&amp;"|"&amp;$L2932,ClientRates!$A$5:$A$500,0)),0))</f>
        <v/>
      </c>
      <c r="O2932" s="26" t="str">
        <f aca="false">IF($D2932="","",F2932*M2932+G2932*N2932)</f>
        <v/>
      </c>
      <c r="P2932" s="26" t="str">
        <f aca="false">IF(OR($D2932="",$J2932&lt;&gt;"Supplier"),"",IFERROR(INDEX(SupplierRates!$D$5:$D$500,MATCH($K2932&amp;"|"&amp;$L2932,SupplierRates!$A$5:$A$500,0)),0))</f>
        <v/>
      </c>
      <c r="Q2932" s="26" t="str">
        <f aca="false">IF(OR($D2932="",$J2932&lt;&gt;"Supplier"),"",IFERROR(INDEX(SupplierRates!$E$5:$E$500,MATCH($K2932&amp;"|"&amp;$L2932,SupplierRates!$A$5:$A$500,0)),0))</f>
        <v/>
      </c>
      <c r="R2932" s="26" t="n">
        <f aca="false">IF(OR($D2932="",$J2932&lt;&gt;"Supplier"),0,F2932*P2932+G2932*Q2932)</f>
        <v>0</v>
      </c>
      <c r="S2932" s="26" t="n">
        <f aca="false">IF(OR($D2932="",$J2932&lt;&gt;"Own"),0,IFERROR((F2932+G2932*Settings!$B$13)*INDEX(Workers!$V$5:$V$2004,MATCH($D2932,Workers!$A$5:$A$2004,0)),0))</f>
        <v>0</v>
      </c>
      <c r="T2932" s="26" t="str">
        <f aca="false">IF($D2932="","",O2932-R2932-S2932)</f>
        <v/>
      </c>
    </row>
    <row r="2933" customFormat="false" ht="15" hidden="false" customHeight="false" outlineLevel="0" collapsed="false">
      <c r="I2933" s="24" t="str">
        <f aca="false">IF($D2933="","",IFERROR(INDEX(Workers!$B$5:$B$2004,MATCH($D2933,Workers!$A$5:$A$2004,0)),"NOT FOUND"))</f>
        <v/>
      </c>
      <c r="J2933" s="24" t="str">
        <f aca="false">IF($D2933="","",IFERROR(INDEX(Workers!$C$5:$C$2004,MATCH($D2933,Workers!$A$5:$A$2004,0)),""))</f>
        <v/>
      </c>
      <c r="K2933" s="24" t="str">
        <f aca="false">IF($D2933="","",IFERROR(IF(INDEX(Workers!$D$5:$D$2004,MATCH($D2933,Workers!$A$5:$A$2004,0))=0,"",INDEX(Workers!$D$5:$D$2004,MATCH($D2933,Workers!$A$5:$A$2004,0))),""))</f>
        <v/>
      </c>
      <c r="L2933" s="24" t="str">
        <f aca="false">IF($D2933="","",IFERROR(INDEX(Workers!$E$5:$E$2004,MATCH($D2933,Workers!$A$5:$A$2004,0)),""))</f>
        <v/>
      </c>
      <c r="M2933" s="26" t="str">
        <f aca="false">IF($D2933="","",IFERROR(INDEX(ClientRates!$D$5:$D$500,MATCH($B2933&amp;"|"&amp;$L2933,ClientRates!$A$5:$A$500,0)),0))</f>
        <v/>
      </c>
      <c r="N2933" s="26" t="str">
        <f aca="false">IF($D2933="","",IFERROR(INDEX(ClientRates!$E$5:$E$500,MATCH($B2933&amp;"|"&amp;$L2933,ClientRates!$A$5:$A$500,0)),0))</f>
        <v/>
      </c>
      <c r="O2933" s="26" t="str">
        <f aca="false">IF($D2933="","",F2933*M2933+G2933*N2933)</f>
        <v/>
      </c>
      <c r="P2933" s="26" t="str">
        <f aca="false">IF(OR($D2933="",$J2933&lt;&gt;"Supplier"),"",IFERROR(INDEX(SupplierRates!$D$5:$D$500,MATCH($K2933&amp;"|"&amp;$L2933,SupplierRates!$A$5:$A$500,0)),0))</f>
        <v/>
      </c>
      <c r="Q2933" s="26" t="str">
        <f aca="false">IF(OR($D2933="",$J2933&lt;&gt;"Supplier"),"",IFERROR(INDEX(SupplierRates!$E$5:$E$500,MATCH($K2933&amp;"|"&amp;$L2933,SupplierRates!$A$5:$A$500,0)),0))</f>
        <v/>
      </c>
      <c r="R2933" s="26" t="n">
        <f aca="false">IF(OR($D2933="",$J2933&lt;&gt;"Supplier"),0,F2933*P2933+G2933*Q2933)</f>
        <v>0</v>
      </c>
      <c r="S2933" s="26" t="n">
        <f aca="false">IF(OR($D2933="",$J2933&lt;&gt;"Own"),0,IFERROR((F2933+G2933*Settings!$B$13)*INDEX(Workers!$V$5:$V$2004,MATCH($D2933,Workers!$A$5:$A$2004,0)),0))</f>
        <v>0</v>
      </c>
      <c r="T2933" s="26" t="str">
        <f aca="false">IF($D2933="","",O2933-R2933-S2933)</f>
        <v/>
      </c>
    </row>
    <row r="2934" customFormat="false" ht="15" hidden="false" customHeight="false" outlineLevel="0" collapsed="false">
      <c r="I2934" s="24" t="str">
        <f aca="false">IF($D2934="","",IFERROR(INDEX(Workers!$B$5:$B$2004,MATCH($D2934,Workers!$A$5:$A$2004,0)),"NOT FOUND"))</f>
        <v/>
      </c>
      <c r="J2934" s="24" t="str">
        <f aca="false">IF($D2934="","",IFERROR(INDEX(Workers!$C$5:$C$2004,MATCH($D2934,Workers!$A$5:$A$2004,0)),""))</f>
        <v/>
      </c>
      <c r="K2934" s="24" t="str">
        <f aca="false">IF($D2934="","",IFERROR(IF(INDEX(Workers!$D$5:$D$2004,MATCH($D2934,Workers!$A$5:$A$2004,0))=0,"",INDEX(Workers!$D$5:$D$2004,MATCH($D2934,Workers!$A$5:$A$2004,0))),""))</f>
        <v/>
      </c>
      <c r="L2934" s="24" t="str">
        <f aca="false">IF($D2934="","",IFERROR(INDEX(Workers!$E$5:$E$2004,MATCH($D2934,Workers!$A$5:$A$2004,0)),""))</f>
        <v/>
      </c>
      <c r="M2934" s="26" t="str">
        <f aca="false">IF($D2934="","",IFERROR(INDEX(ClientRates!$D$5:$D$500,MATCH($B2934&amp;"|"&amp;$L2934,ClientRates!$A$5:$A$500,0)),0))</f>
        <v/>
      </c>
      <c r="N2934" s="26" t="str">
        <f aca="false">IF($D2934="","",IFERROR(INDEX(ClientRates!$E$5:$E$500,MATCH($B2934&amp;"|"&amp;$L2934,ClientRates!$A$5:$A$500,0)),0))</f>
        <v/>
      </c>
      <c r="O2934" s="26" t="str">
        <f aca="false">IF($D2934="","",F2934*M2934+G2934*N2934)</f>
        <v/>
      </c>
      <c r="P2934" s="26" t="str">
        <f aca="false">IF(OR($D2934="",$J2934&lt;&gt;"Supplier"),"",IFERROR(INDEX(SupplierRates!$D$5:$D$500,MATCH($K2934&amp;"|"&amp;$L2934,SupplierRates!$A$5:$A$500,0)),0))</f>
        <v/>
      </c>
      <c r="Q2934" s="26" t="str">
        <f aca="false">IF(OR($D2934="",$J2934&lt;&gt;"Supplier"),"",IFERROR(INDEX(SupplierRates!$E$5:$E$500,MATCH($K2934&amp;"|"&amp;$L2934,SupplierRates!$A$5:$A$500,0)),0))</f>
        <v/>
      </c>
      <c r="R2934" s="26" t="n">
        <f aca="false">IF(OR($D2934="",$J2934&lt;&gt;"Supplier"),0,F2934*P2934+G2934*Q2934)</f>
        <v>0</v>
      </c>
      <c r="S2934" s="26" t="n">
        <f aca="false">IF(OR($D2934="",$J2934&lt;&gt;"Own"),0,IFERROR((F2934+G2934*Settings!$B$13)*INDEX(Workers!$V$5:$V$2004,MATCH($D2934,Workers!$A$5:$A$2004,0)),0))</f>
        <v>0</v>
      </c>
      <c r="T2934" s="26" t="str">
        <f aca="false">IF($D2934="","",O2934-R2934-S2934)</f>
        <v/>
      </c>
    </row>
    <row r="2935" customFormat="false" ht="15" hidden="false" customHeight="false" outlineLevel="0" collapsed="false">
      <c r="I2935" s="24" t="str">
        <f aca="false">IF($D2935="","",IFERROR(INDEX(Workers!$B$5:$B$2004,MATCH($D2935,Workers!$A$5:$A$2004,0)),"NOT FOUND"))</f>
        <v/>
      </c>
      <c r="J2935" s="24" t="str">
        <f aca="false">IF($D2935="","",IFERROR(INDEX(Workers!$C$5:$C$2004,MATCH($D2935,Workers!$A$5:$A$2004,0)),""))</f>
        <v/>
      </c>
      <c r="K2935" s="24" t="str">
        <f aca="false">IF($D2935="","",IFERROR(IF(INDEX(Workers!$D$5:$D$2004,MATCH($D2935,Workers!$A$5:$A$2004,0))=0,"",INDEX(Workers!$D$5:$D$2004,MATCH($D2935,Workers!$A$5:$A$2004,0))),""))</f>
        <v/>
      </c>
      <c r="L2935" s="24" t="str">
        <f aca="false">IF($D2935="","",IFERROR(INDEX(Workers!$E$5:$E$2004,MATCH($D2935,Workers!$A$5:$A$2004,0)),""))</f>
        <v/>
      </c>
      <c r="M2935" s="26" t="str">
        <f aca="false">IF($D2935="","",IFERROR(INDEX(ClientRates!$D$5:$D$500,MATCH($B2935&amp;"|"&amp;$L2935,ClientRates!$A$5:$A$500,0)),0))</f>
        <v/>
      </c>
      <c r="N2935" s="26" t="str">
        <f aca="false">IF($D2935="","",IFERROR(INDEX(ClientRates!$E$5:$E$500,MATCH($B2935&amp;"|"&amp;$L2935,ClientRates!$A$5:$A$500,0)),0))</f>
        <v/>
      </c>
      <c r="O2935" s="26" t="str">
        <f aca="false">IF($D2935="","",F2935*M2935+G2935*N2935)</f>
        <v/>
      </c>
      <c r="P2935" s="26" t="str">
        <f aca="false">IF(OR($D2935="",$J2935&lt;&gt;"Supplier"),"",IFERROR(INDEX(SupplierRates!$D$5:$D$500,MATCH($K2935&amp;"|"&amp;$L2935,SupplierRates!$A$5:$A$500,0)),0))</f>
        <v/>
      </c>
      <c r="Q2935" s="26" t="str">
        <f aca="false">IF(OR($D2935="",$J2935&lt;&gt;"Supplier"),"",IFERROR(INDEX(SupplierRates!$E$5:$E$500,MATCH($K2935&amp;"|"&amp;$L2935,SupplierRates!$A$5:$A$500,0)),0))</f>
        <v/>
      </c>
      <c r="R2935" s="26" t="n">
        <f aca="false">IF(OR($D2935="",$J2935&lt;&gt;"Supplier"),0,F2935*P2935+G2935*Q2935)</f>
        <v>0</v>
      </c>
      <c r="S2935" s="26" t="n">
        <f aca="false">IF(OR($D2935="",$J2935&lt;&gt;"Own"),0,IFERROR((F2935+G2935*Settings!$B$13)*INDEX(Workers!$V$5:$V$2004,MATCH($D2935,Workers!$A$5:$A$2004,0)),0))</f>
        <v>0</v>
      </c>
      <c r="T2935" s="26" t="str">
        <f aca="false">IF($D2935="","",O2935-R2935-S2935)</f>
        <v/>
      </c>
    </row>
    <row r="2936" customFormat="false" ht="15" hidden="false" customHeight="false" outlineLevel="0" collapsed="false">
      <c r="I2936" s="24" t="str">
        <f aca="false">IF($D2936="","",IFERROR(INDEX(Workers!$B$5:$B$2004,MATCH($D2936,Workers!$A$5:$A$2004,0)),"NOT FOUND"))</f>
        <v/>
      </c>
      <c r="J2936" s="24" t="str">
        <f aca="false">IF($D2936="","",IFERROR(INDEX(Workers!$C$5:$C$2004,MATCH($D2936,Workers!$A$5:$A$2004,0)),""))</f>
        <v/>
      </c>
      <c r="K2936" s="24" t="str">
        <f aca="false">IF($D2936="","",IFERROR(IF(INDEX(Workers!$D$5:$D$2004,MATCH($D2936,Workers!$A$5:$A$2004,0))=0,"",INDEX(Workers!$D$5:$D$2004,MATCH($D2936,Workers!$A$5:$A$2004,0))),""))</f>
        <v/>
      </c>
      <c r="L2936" s="24" t="str">
        <f aca="false">IF($D2936="","",IFERROR(INDEX(Workers!$E$5:$E$2004,MATCH($D2936,Workers!$A$5:$A$2004,0)),""))</f>
        <v/>
      </c>
      <c r="M2936" s="26" t="str">
        <f aca="false">IF($D2936="","",IFERROR(INDEX(ClientRates!$D$5:$D$500,MATCH($B2936&amp;"|"&amp;$L2936,ClientRates!$A$5:$A$500,0)),0))</f>
        <v/>
      </c>
      <c r="N2936" s="26" t="str">
        <f aca="false">IF($D2936="","",IFERROR(INDEX(ClientRates!$E$5:$E$500,MATCH($B2936&amp;"|"&amp;$L2936,ClientRates!$A$5:$A$500,0)),0))</f>
        <v/>
      </c>
      <c r="O2936" s="26" t="str">
        <f aca="false">IF($D2936="","",F2936*M2936+G2936*N2936)</f>
        <v/>
      </c>
      <c r="P2936" s="26" t="str">
        <f aca="false">IF(OR($D2936="",$J2936&lt;&gt;"Supplier"),"",IFERROR(INDEX(SupplierRates!$D$5:$D$500,MATCH($K2936&amp;"|"&amp;$L2936,SupplierRates!$A$5:$A$500,0)),0))</f>
        <v/>
      </c>
      <c r="Q2936" s="26" t="str">
        <f aca="false">IF(OR($D2936="",$J2936&lt;&gt;"Supplier"),"",IFERROR(INDEX(SupplierRates!$E$5:$E$500,MATCH($K2936&amp;"|"&amp;$L2936,SupplierRates!$A$5:$A$500,0)),0))</f>
        <v/>
      </c>
      <c r="R2936" s="26" t="n">
        <f aca="false">IF(OR($D2936="",$J2936&lt;&gt;"Supplier"),0,F2936*P2936+G2936*Q2936)</f>
        <v>0</v>
      </c>
      <c r="S2936" s="26" t="n">
        <f aca="false">IF(OR($D2936="",$J2936&lt;&gt;"Own"),0,IFERROR((F2936+G2936*Settings!$B$13)*INDEX(Workers!$V$5:$V$2004,MATCH($D2936,Workers!$A$5:$A$2004,0)),0))</f>
        <v>0</v>
      </c>
      <c r="T2936" s="26" t="str">
        <f aca="false">IF($D2936="","",O2936-R2936-S2936)</f>
        <v/>
      </c>
    </row>
    <row r="2937" customFormat="false" ht="15" hidden="false" customHeight="false" outlineLevel="0" collapsed="false">
      <c r="I2937" s="24" t="str">
        <f aca="false">IF($D2937="","",IFERROR(INDEX(Workers!$B$5:$B$2004,MATCH($D2937,Workers!$A$5:$A$2004,0)),"NOT FOUND"))</f>
        <v/>
      </c>
      <c r="J2937" s="24" t="str">
        <f aca="false">IF($D2937="","",IFERROR(INDEX(Workers!$C$5:$C$2004,MATCH($D2937,Workers!$A$5:$A$2004,0)),""))</f>
        <v/>
      </c>
      <c r="K2937" s="24" t="str">
        <f aca="false">IF($D2937="","",IFERROR(IF(INDEX(Workers!$D$5:$D$2004,MATCH($D2937,Workers!$A$5:$A$2004,0))=0,"",INDEX(Workers!$D$5:$D$2004,MATCH($D2937,Workers!$A$5:$A$2004,0))),""))</f>
        <v/>
      </c>
      <c r="L2937" s="24" t="str">
        <f aca="false">IF($D2937="","",IFERROR(INDEX(Workers!$E$5:$E$2004,MATCH($D2937,Workers!$A$5:$A$2004,0)),""))</f>
        <v/>
      </c>
      <c r="M2937" s="26" t="str">
        <f aca="false">IF($D2937="","",IFERROR(INDEX(ClientRates!$D$5:$D$500,MATCH($B2937&amp;"|"&amp;$L2937,ClientRates!$A$5:$A$500,0)),0))</f>
        <v/>
      </c>
      <c r="N2937" s="26" t="str">
        <f aca="false">IF($D2937="","",IFERROR(INDEX(ClientRates!$E$5:$E$500,MATCH($B2937&amp;"|"&amp;$L2937,ClientRates!$A$5:$A$500,0)),0))</f>
        <v/>
      </c>
      <c r="O2937" s="26" t="str">
        <f aca="false">IF($D2937="","",F2937*M2937+G2937*N2937)</f>
        <v/>
      </c>
      <c r="P2937" s="26" t="str">
        <f aca="false">IF(OR($D2937="",$J2937&lt;&gt;"Supplier"),"",IFERROR(INDEX(SupplierRates!$D$5:$D$500,MATCH($K2937&amp;"|"&amp;$L2937,SupplierRates!$A$5:$A$500,0)),0))</f>
        <v/>
      </c>
      <c r="Q2937" s="26" t="str">
        <f aca="false">IF(OR($D2937="",$J2937&lt;&gt;"Supplier"),"",IFERROR(INDEX(SupplierRates!$E$5:$E$500,MATCH($K2937&amp;"|"&amp;$L2937,SupplierRates!$A$5:$A$500,0)),0))</f>
        <v/>
      </c>
      <c r="R2937" s="26" t="n">
        <f aca="false">IF(OR($D2937="",$J2937&lt;&gt;"Supplier"),0,F2937*P2937+G2937*Q2937)</f>
        <v>0</v>
      </c>
      <c r="S2937" s="26" t="n">
        <f aca="false">IF(OR($D2937="",$J2937&lt;&gt;"Own"),0,IFERROR((F2937+G2937*Settings!$B$13)*INDEX(Workers!$V$5:$V$2004,MATCH($D2937,Workers!$A$5:$A$2004,0)),0))</f>
        <v>0</v>
      </c>
      <c r="T2937" s="26" t="str">
        <f aca="false">IF($D2937="","",O2937-R2937-S2937)</f>
        <v/>
      </c>
    </row>
    <row r="2938" customFormat="false" ht="15" hidden="false" customHeight="false" outlineLevel="0" collapsed="false">
      <c r="I2938" s="24" t="str">
        <f aca="false">IF($D2938="","",IFERROR(INDEX(Workers!$B$5:$B$2004,MATCH($D2938,Workers!$A$5:$A$2004,0)),"NOT FOUND"))</f>
        <v/>
      </c>
      <c r="J2938" s="24" t="str">
        <f aca="false">IF($D2938="","",IFERROR(INDEX(Workers!$C$5:$C$2004,MATCH($D2938,Workers!$A$5:$A$2004,0)),""))</f>
        <v/>
      </c>
      <c r="K2938" s="24" t="str">
        <f aca="false">IF($D2938="","",IFERROR(IF(INDEX(Workers!$D$5:$D$2004,MATCH($D2938,Workers!$A$5:$A$2004,0))=0,"",INDEX(Workers!$D$5:$D$2004,MATCH($D2938,Workers!$A$5:$A$2004,0))),""))</f>
        <v/>
      </c>
      <c r="L2938" s="24" t="str">
        <f aca="false">IF($D2938="","",IFERROR(INDEX(Workers!$E$5:$E$2004,MATCH($D2938,Workers!$A$5:$A$2004,0)),""))</f>
        <v/>
      </c>
      <c r="M2938" s="26" t="str">
        <f aca="false">IF($D2938="","",IFERROR(INDEX(ClientRates!$D$5:$D$500,MATCH($B2938&amp;"|"&amp;$L2938,ClientRates!$A$5:$A$500,0)),0))</f>
        <v/>
      </c>
      <c r="N2938" s="26" t="str">
        <f aca="false">IF($D2938="","",IFERROR(INDEX(ClientRates!$E$5:$E$500,MATCH($B2938&amp;"|"&amp;$L2938,ClientRates!$A$5:$A$500,0)),0))</f>
        <v/>
      </c>
      <c r="O2938" s="26" t="str">
        <f aca="false">IF($D2938="","",F2938*M2938+G2938*N2938)</f>
        <v/>
      </c>
      <c r="P2938" s="26" t="str">
        <f aca="false">IF(OR($D2938="",$J2938&lt;&gt;"Supplier"),"",IFERROR(INDEX(SupplierRates!$D$5:$D$500,MATCH($K2938&amp;"|"&amp;$L2938,SupplierRates!$A$5:$A$500,0)),0))</f>
        <v/>
      </c>
      <c r="Q2938" s="26" t="str">
        <f aca="false">IF(OR($D2938="",$J2938&lt;&gt;"Supplier"),"",IFERROR(INDEX(SupplierRates!$E$5:$E$500,MATCH($K2938&amp;"|"&amp;$L2938,SupplierRates!$A$5:$A$500,0)),0))</f>
        <v/>
      </c>
      <c r="R2938" s="26" t="n">
        <f aca="false">IF(OR($D2938="",$J2938&lt;&gt;"Supplier"),0,F2938*P2938+G2938*Q2938)</f>
        <v>0</v>
      </c>
      <c r="S2938" s="26" t="n">
        <f aca="false">IF(OR($D2938="",$J2938&lt;&gt;"Own"),0,IFERROR((F2938+G2938*Settings!$B$13)*INDEX(Workers!$V$5:$V$2004,MATCH($D2938,Workers!$A$5:$A$2004,0)),0))</f>
        <v>0</v>
      </c>
      <c r="T2938" s="26" t="str">
        <f aca="false">IF($D2938="","",O2938-R2938-S2938)</f>
        <v/>
      </c>
    </row>
    <row r="2939" customFormat="false" ht="15" hidden="false" customHeight="false" outlineLevel="0" collapsed="false">
      <c r="I2939" s="24" t="str">
        <f aca="false">IF($D2939="","",IFERROR(INDEX(Workers!$B$5:$B$2004,MATCH($D2939,Workers!$A$5:$A$2004,0)),"NOT FOUND"))</f>
        <v/>
      </c>
      <c r="J2939" s="24" t="str">
        <f aca="false">IF($D2939="","",IFERROR(INDEX(Workers!$C$5:$C$2004,MATCH($D2939,Workers!$A$5:$A$2004,0)),""))</f>
        <v/>
      </c>
      <c r="K2939" s="24" t="str">
        <f aca="false">IF($D2939="","",IFERROR(IF(INDEX(Workers!$D$5:$D$2004,MATCH($D2939,Workers!$A$5:$A$2004,0))=0,"",INDEX(Workers!$D$5:$D$2004,MATCH($D2939,Workers!$A$5:$A$2004,0))),""))</f>
        <v/>
      </c>
      <c r="L2939" s="24" t="str">
        <f aca="false">IF($D2939="","",IFERROR(INDEX(Workers!$E$5:$E$2004,MATCH($D2939,Workers!$A$5:$A$2004,0)),""))</f>
        <v/>
      </c>
      <c r="M2939" s="26" t="str">
        <f aca="false">IF($D2939="","",IFERROR(INDEX(ClientRates!$D$5:$D$500,MATCH($B2939&amp;"|"&amp;$L2939,ClientRates!$A$5:$A$500,0)),0))</f>
        <v/>
      </c>
      <c r="N2939" s="26" t="str">
        <f aca="false">IF($D2939="","",IFERROR(INDEX(ClientRates!$E$5:$E$500,MATCH($B2939&amp;"|"&amp;$L2939,ClientRates!$A$5:$A$500,0)),0))</f>
        <v/>
      </c>
      <c r="O2939" s="26" t="str">
        <f aca="false">IF($D2939="","",F2939*M2939+G2939*N2939)</f>
        <v/>
      </c>
      <c r="P2939" s="26" t="str">
        <f aca="false">IF(OR($D2939="",$J2939&lt;&gt;"Supplier"),"",IFERROR(INDEX(SupplierRates!$D$5:$D$500,MATCH($K2939&amp;"|"&amp;$L2939,SupplierRates!$A$5:$A$500,0)),0))</f>
        <v/>
      </c>
      <c r="Q2939" s="26" t="str">
        <f aca="false">IF(OR($D2939="",$J2939&lt;&gt;"Supplier"),"",IFERROR(INDEX(SupplierRates!$E$5:$E$500,MATCH($K2939&amp;"|"&amp;$L2939,SupplierRates!$A$5:$A$500,0)),0))</f>
        <v/>
      </c>
      <c r="R2939" s="26" t="n">
        <f aca="false">IF(OR($D2939="",$J2939&lt;&gt;"Supplier"),0,F2939*P2939+G2939*Q2939)</f>
        <v>0</v>
      </c>
      <c r="S2939" s="26" t="n">
        <f aca="false">IF(OR($D2939="",$J2939&lt;&gt;"Own"),0,IFERROR((F2939+G2939*Settings!$B$13)*INDEX(Workers!$V$5:$V$2004,MATCH($D2939,Workers!$A$5:$A$2004,0)),0))</f>
        <v>0</v>
      </c>
      <c r="T2939" s="26" t="str">
        <f aca="false">IF($D2939="","",O2939-R2939-S2939)</f>
        <v/>
      </c>
    </row>
    <row r="2940" customFormat="false" ht="15" hidden="false" customHeight="false" outlineLevel="0" collapsed="false">
      <c r="I2940" s="24" t="str">
        <f aca="false">IF($D2940="","",IFERROR(INDEX(Workers!$B$5:$B$2004,MATCH($D2940,Workers!$A$5:$A$2004,0)),"NOT FOUND"))</f>
        <v/>
      </c>
      <c r="J2940" s="24" t="str">
        <f aca="false">IF($D2940="","",IFERROR(INDEX(Workers!$C$5:$C$2004,MATCH($D2940,Workers!$A$5:$A$2004,0)),""))</f>
        <v/>
      </c>
      <c r="K2940" s="24" t="str">
        <f aca="false">IF($D2940="","",IFERROR(IF(INDEX(Workers!$D$5:$D$2004,MATCH($D2940,Workers!$A$5:$A$2004,0))=0,"",INDEX(Workers!$D$5:$D$2004,MATCH($D2940,Workers!$A$5:$A$2004,0))),""))</f>
        <v/>
      </c>
      <c r="L2940" s="24" t="str">
        <f aca="false">IF($D2940="","",IFERROR(INDEX(Workers!$E$5:$E$2004,MATCH($D2940,Workers!$A$5:$A$2004,0)),""))</f>
        <v/>
      </c>
      <c r="M2940" s="26" t="str">
        <f aca="false">IF($D2940="","",IFERROR(INDEX(ClientRates!$D$5:$D$500,MATCH($B2940&amp;"|"&amp;$L2940,ClientRates!$A$5:$A$500,0)),0))</f>
        <v/>
      </c>
      <c r="N2940" s="26" t="str">
        <f aca="false">IF($D2940="","",IFERROR(INDEX(ClientRates!$E$5:$E$500,MATCH($B2940&amp;"|"&amp;$L2940,ClientRates!$A$5:$A$500,0)),0))</f>
        <v/>
      </c>
      <c r="O2940" s="26" t="str">
        <f aca="false">IF($D2940="","",F2940*M2940+G2940*N2940)</f>
        <v/>
      </c>
      <c r="P2940" s="26" t="str">
        <f aca="false">IF(OR($D2940="",$J2940&lt;&gt;"Supplier"),"",IFERROR(INDEX(SupplierRates!$D$5:$D$500,MATCH($K2940&amp;"|"&amp;$L2940,SupplierRates!$A$5:$A$500,0)),0))</f>
        <v/>
      </c>
      <c r="Q2940" s="26" t="str">
        <f aca="false">IF(OR($D2940="",$J2940&lt;&gt;"Supplier"),"",IFERROR(INDEX(SupplierRates!$E$5:$E$500,MATCH($K2940&amp;"|"&amp;$L2940,SupplierRates!$A$5:$A$500,0)),0))</f>
        <v/>
      </c>
      <c r="R2940" s="26" t="n">
        <f aca="false">IF(OR($D2940="",$J2940&lt;&gt;"Supplier"),0,F2940*P2940+G2940*Q2940)</f>
        <v>0</v>
      </c>
      <c r="S2940" s="26" t="n">
        <f aca="false">IF(OR($D2940="",$J2940&lt;&gt;"Own"),0,IFERROR((F2940+G2940*Settings!$B$13)*INDEX(Workers!$V$5:$V$2004,MATCH($D2940,Workers!$A$5:$A$2004,0)),0))</f>
        <v>0</v>
      </c>
      <c r="T2940" s="26" t="str">
        <f aca="false">IF($D2940="","",O2940-R2940-S2940)</f>
        <v/>
      </c>
    </row>
    <row r="2941" customFormat="false" ht="15" hidden="false" customHeight="false" outlineLevel="0" collapsed="false">
      <c r="I2941" s="24" t="str">
        <f aca="false">IF($D2941="","",IFERROR(INDEX(Workers!$B$5:$B$2004,MATCH($D2941,Workers!$A$5:$A$2004,0)),"NOT FOUND"))</f>
        <v/>
      </c>
      <c r="J2941" s="24" t="str">
        <f aca="false">IF($D2941="","",IFERROR(INDEX(Workers!$C$5:$C$2004,MATCH($D2941,Workers!$A$5:$A$2004,0)),""))</f>
        <v/>
      </c>
      <c r="K2941" s="24" t="str">
        <f aca="false">IF($D2941="","",IFERROR(IF(INDEX(Workers!$D$5:$D$2004,MATCH($D2941,Workers!$A$5:$A$2004,0))=0,"",INDEX(Workers!$D$5:$D$2004,MATCH($D2941,Workers!$A$5:$A$2004,0))),""))</f>
        <v/>
      </c>
      <c r="L2941" s="24" t="str">
        <f aca="false">IF($D2941="","",IFERROR(INDEX(Workers!$E$5:$E$2004,MATCH($D2941,Workers!$A$5:$A$2004,0)),""))</f>
        <v/>
      </c>
      <c r="M2941" s="26" t="str">
        <f aca="false">IF($D2941="","",IFERROR(INDEX(ClientRates!$D$5:$D$500,MATCH($B2941&amp;"|"&amp;$L2941,ClientRates!$A$5:$A$500,0)),0))</f>
        <v/>
      </c>
      <c r="N2941" s="26" t="str">
        <f aca="false">IF($D2941="","",IFERROR(INDEX(ClientRates!$E$5:$E$500,MATCH($B2941&amp;"|"&amp;$L2941,ClientRates!$A$5:$A$500,0)),0))</f>
        <v/>
      </c>
      <c r="O2941" s="26" t="str">
        <f aca="false">IF($D2941="","",F2941*M2941+G2941*N2941)</f>
        <v/>
      </c>
      <c r="P2941" s="26" t="str">
        <f aca="false">IF(OR($D2941="",$J2941&lt;&gt;"Supplier"),"",IFERROR(INDEX(SupplierRates!$D$5:$D$500,MATCH($K2941&amp;"|"&amp;$L2941,SupplierRates!$A$5:$A$500,0)),0))</f>
        <v/>
      </c>
      <c r="Q2941" s="26" t="str">
        <f aca="false">IF(OR($D2941="",$J2941&lt;&gt;"Supplier"),"",IFERROR(INDEX(SupplierRates!$E$5:$E$500,MATCH($K2941&amp;"|"&amp;$L2941,SupplierRates!$A$5:$A$500,0)),0))</f>
        <v/>
      </c>
      <c r="R2941" s="26" t="n">
        <f aca="false">IF(OR($D2941="",$J2941&lt;&gt;"Supplier"),0,F2941*P2941+G2941*Q2941)</f>
        <v>0</v>
      </c>
      <c r="S2941" s="26" t="n">
        <f aca="false">IF(OR($D2941="",$J2941&lt;&gt;"Own"),0,IFERROR((F2941+G2941*Settings!$B$13)*INDEX(Workers!$V$5:$V$2004,MATCH($D2941,Workers!$A$5:$A$2004,0)),0))</f>
        <v>0</v>
      </c>
      <c r="T2941" s="26" t="str">
        <f aca="false">IF($D2941="","",O2941-R2941-S2941)</f>
        <v/>
      </c>
    </row>
    <row r="2942" customFormat="false" ht="15" hidden="false" customHeight="false" outlineLevel="0" collapsed="false">
      <c r="I2942" s="24" t="str">
        <f aca="false">IF($D2942="","",IFERROR(INDEX(Workers!$B$5:$B$2004,MATCH($D2942,Workers!$A$5:$A$2004,0)),"NOT FOUND"))</f>
        <v/>
      </c>
      <c r="J2942" s="24" t="str">
        <f aca="false">IF($D2942="","",IFERROR(INDEX(Workers!$C$5:$C$2004,MATCH($D2942,Workers!$A$5:$A$2004,0)),""))</f>
        <v/>
      </c>
      <c r="K2942" s="24" t="str">
        <f aca="false">IF($D2942="","",IFERROR(IF(INDEX(Workers!$D$5:$D$2004,MATCH($D2942,Workers!$A$5:$A$2004,0))=0,"",INDEX(Workers!$D$5:$D$2004,MATCH($D2942,Workers!$A$5:$A$2004,0))),""))</f>
        <v/>
      </c>
      <c r="L2942" s="24" t="str">
        <f aca="false">IF($D2942="","",IFERROR(INDEX(Workers!$E$5:$E$2004,MATCH($D2942,Workers!$A$5:$A$2004,0)),""))</f>
        <v/>
      </c>
      <c r="M2942" s="26" t="str">
        <f aca="false">IF($D2942="","",IFERROR(INDEX(ClientRates!$D$5:$D$500,MATCH($B2942&amp;"|"&amp;$L2942,ClientRates!$A$5:$A$500,0)),0))</f>
        <v/>
      </c>
      <c r="N2942" s="26" t="str">
        <f aca="false">IF($D2942="","",IFERROR(INDEX(ClientRates!$E$5:$E$500,MATCH($B2942&amp;"|"&amp;$L2942,ClientRates!$A$5:$A$500,0)),0))</f>
        <v/>
      </c>
      <c r="O2942" s="26" t="str">
        <f aca="false">IF($D2942="","",F2942*M2942+G2942*N2942)</f>
        <v/>
      </c>
      <c r="P2942" s="26" t="str">
        <f aca="false">IF(OR($D2942="",$J2942&lt;&gt;"Supplier"),"",IFERROR(INDEX(SupplierRates!$D$5:$D$500,MATCH($K2942&amp;"|"&amp;$L2942,SupplierRates!$A$5:$A$500,0)),0))</f>
        <v/>
      </c>
      <c r="Q2942" s="26" t="str">
        <f aca="false">IF(OR($D2942="",$J2942&lt;&gt;"Supplier"),"",IFERROR(INDEX(SupplierRates!$E$5:$E$500,MATCH($K2942&amp;"|"&amp;$L2942,SupplierRates!$A$5:$A$500,0)),0))</f>
        <v/>
      </c>
      <c r="R2942" s="26" t="n">
        <f aca="false">IF(OR($D2942="",$J2942&lt;&gt;"Supplier"),0,F2942*P2942+G2942*Q2942)</f>
        <v>0</v>
      </c>
      <c r="S2942" s="26" t="n">
        <f aca="false">IF(OR($D2942="",$J2942&lt;&gt;"Own"),0,IFERROR((F2942+G2942*Settings!$B$13)*INDEX(Workers!$V$5:$V$2004,MATCH($D2942,Workers!$A$5:$A$2004,0)),0))</f>
        <v>0</v>
      </c>
      <c r="T2942" s="26" t="str">
        <f aca="false">IF($D2942="","",O2942-R2942-S2942)</f>
        <v/>
      </c>
    </row>
    <row r="2943" customFormat="false" ht="15" hidden="false" customHeight="false" outlineLevel="0" collapsed="false">
      <c r="I2943" s="24" t="str">
        <f aca="false">IF($D2943="","",IFERROR(INDEX(Workers!$B$5:$B$2004,MATCH($D2943,Workers!$A$5:$A$2004,0)),"NOT FOUND"))</f>
        <v/>
      </c>
      <c r="J2943" s="24" t="str">
        <f aca="false">IF($D2943="","",IFERROR(INDEX(Workers!$C$5:$C$2004,MATCH($D2943,Workers!$A$5:$A$2004,0)),""))</f>
        <v/>
      </c>
      <c r="K2943" s="24" t="str">
        <f aca="false">IF($D2943="","",IFERROR(IF(INDEX(Workers!$D$5:$D$2004,MATCH($D2943,Workers!$A$5:$A$2004,0))=0,"",INDEX(Workers!$D$5:$D$2004,MATCH($D2943,Workers!$A$5:$A$2004,0))),""))</f>
        <v/>
      </c>
      <c r="L2943" s="24" t="str">
        <f aca="false">IF($D2943="","",IFERROR(INDEX(Workers!$E$5:$E$2004,MATCH($D2943,Workers!$A$5:$A$2004,0)),""))</f>
        <v/>
      </c>
      <c r="M2943" s="26" t="str">
        <f aca="false">IF($D2943="","",IFERROR(INDEX(ClientRates!$D$5:$D$500,MATCH($B2943&amp;"|"&amp;$L2943,ClientRates!$A$5:$A$500,0)),0))</f>
        <v/>
      </c>
      <c r="N2943" s="26" t="str">
        <f aca="false">IF($D2943="","",IFERROR(INDEX(ClientRates!$E$5:$E$500,MATCH($B2943&amp;"|"&amp;$L2943,ClientRates!$A$5:$A$500,0)),0))</f>
        <v/>
      </c>
      <c r="O2943" s="26" t="str">
        <f aca="false">IF($D2943="","",F2943*M2943+G2943*N2943)</f>
        <v/>
      </c>
      <c r="P2943" s="26" t="str">
        <f aca="false">IF(OR($D2943="",$J2943&lt;&gt;"Supplier"),"",IFERROR(INDEX(SupplierRates!$D$5:$D$500,MATCH($K2943&amp;"|"&amp;$L2943,SupplierRates!$A$5:$A$500,0)),0))</f>
        <v/>
      </c>
      <c r="Q2943" s="26" t="str">
        <f aca="false">IF(OR($D2943="",$J2943&lt;&gt;"Supplier"),"",IFERROR(INDEX(SupplierRates!$E$5:$E$500,MATCH($K2943&amp;"|"&amp;$L2943,SupplierRates!$A$5:$A$500,0)),0))</f>
        <v/>
      </c>
      <c r="R2943" s="26" t="n">
        <f aca="false">IF(OR($D2943="",$J2943&lt;&gt;"Supplier"),0,F2943*P2943+G2943*Q2943)</f>
        <v>0</v>
      </c>
      <c r="S2943" s="26" t="n">
        <f aca="false">IF(OR($D2943="",$J2943&lt;&gt;"Own"),0,IFERROR((F2943+G2943*Settings!$B$13)*INDEX(Workers!$V$5:$V$2004,MATCH($D2943,Workers!$A$5:$A$2004,0)),0))</f>
        <v>0</v>
      </c>
      <c r="T2943" s="26" t="str">
        <f aca="false">IF($D2943="","",O2943-R2943-S2943)</f>
        <v/>
      </c>
    </row>
    <row r="2944" customFormat="false" ht="15" hidden="false" customHeight="false" outlineLevel="0" collapsed="false">
      <c r="I2944" s="24" t="str">
        <f aca="false">IF($D2944="","",IFERROR(INDEX(Workers!$B$5:$B$2004,MATCH($D2944,Workers!$A$5:$A$2004,0)),"NOT FOUND"))</f>
        <v/>
      </c>
      <c r="J2944" s="24" t="str">
        <f aca="false">IF($D2944="","",IFERROR(INDEX(Workers!$C$5:$C$2004,MATCH($D2944,Workers!$A$5:$A$2004,0)),""))</f>
        <v/>
      </c>
      <c r="K2944" s="24" t="str">
        <f aca="false">IF($D2944="","",IFERROR(IF(INDEX(Workers!$D$5:$D$2004,MATCH($D2944,Workers!$A$5:$A$2004,0))=0,"",INDEX(Workers!$D$5:$D$2004,MATCH($D2944,Workers!$A$5:$A$2004,0))),""))</f>
        <v/>
      </c>
      <c r="L2944" s="24" t="str">
        <f aca="false">IF($D2944="","",IFERROR(INDEX(Workers!$E$5:$E$2004,MATCH($D2944,Workers!$A$5:$A$2004,0)),""))</f>
        <v/>
      </c>
      <c r="M2944" s="26" t="str">
        <f aca="false">IF($D2944="","",IFERROR(INDEX(ClientRates!$D$5:$D$500,MATCH($B2944&amp;"|"&amp;$L2944,ClientRates!$A$5:$A$500,0)),0))</f>
        <v/>
      </c>
      <c r="N2944" s="26" t="str">
        <f aca="false">IF($D2944="","",IFERROR(INDEX(ClientRates!$E$5:$E$500,MATCH($B2944&amp;"|"&amp;$L2944,ClientRates!$A$5:$A$500,0)),0))</f>
        <v/>
      </c>
      <c r="O2944" s="26" t="str">
        <f aca="false">IF($D2944="","",F2944*M2944+G2944*N2944)</f>
        <v/>
      </c>
      <c r="P2944" s="26" t="str">
        <f aca="false">IF(OR($D2944="",$J2944&lt;&gt;"Supplier"),"",IFERROR(INDEX(SupplierRates!$D$5:$D$500,MATCH($K2944&amp;"|"&amp;$L2944,SupplierRates!$A$5:$A$500,0)),0))</f>
        <v/>
      </c>
      <c r="Q2944" s="26" t="str">
        <f aca="false">IF(OR($D2944="",$J2944&lt;&gt;"Supplier"),"",IFERROR(INDEX(SupplierRates!$E$5:$E$500,MATCH($K2944&amp;"|"&amp;$L2944,SupplierRates!$A$5:$A$500,0)),0))</f>
        <v/>
      </c>
      <c r="R2944" s="26" t="n">
        <f aca="false">IF(OR($D2944="",$J2944&lt;&gt;"Supplier"),0,F2944*P2944+G2944*Q2944)</f>
        <v>0</v>
      </c>
      <c r="S2944" s="26" t="n">
        <f aca="false">IF(OR($D2944="",$J2944&lt;&gt;"Own"),0,IFERROR((F2944+G2944*Settings!$B$13)*INDEX(Workers!$V$5:$V$2004,MATCH($D2944,Workers!$A$5:$A$2004,0)),0))</f>
        <v>0</v>
      </c>
      <c r="T2944" s="26" t="str">
        <f aca="false">IF($D2944="","",O2944-R2944-S2944)</f>
        <v/>
      </c>
    </row>
    <row r="2945" customFormat="false" ht="15" hidden="false" customHeight="false" outlineLevel="0" collapsed="false">
      <c r="I2945" s="24" t="str">
        <f aca="false">IF($D2945="","",IFERROR(INDEX(Workers!$B$5:$B$2004,MATCH($D2945,Workers!$A$5:$A$2004,0)),"NOT FOUND"))</f>
        <v/>
      </c>
      <c r="J2945" s="24" t="str">
        <f aca="false">IF($D2945="","",IFERROR(INDEX(Workers!$C$5:$C$2004,MATCH($D2945,Workers!$A$5:$A$2004,0)),""))</f>
        <v/>
      </c>
      <c r="K2945" s="24" t="str">
        <f aca="false">IF($D2945="","",IFERROR(IF(INDEX(Workers!$D$5:$D$2004,MATCH($D2945,Workers!$A$5:$A$2004,0))=0,"",INDEX(Workers!$D$5:$D$2004,MATCH($D2945,Workers!$A$5:$A$2004,0))),""))</f>
        <v/>
      </c>
      <c r="L2945" s="24" t="str">
        <f aca="false">IF($D2945="","",IFERROR(INDEX(Workers!$E$5:$E$2004,MATCH($D2945,Workers!$A$5:$A$2004,0)),""))</f>
        <v/>
      </c>
      <c r="M2945" s="26" t="str">
        <f aca="false">IF($D2945="","",IFERROR(INDEX(ClientRates!$D$5:$D$500,MATCH($B2945&amp;"|"&amp;$L2945,ClientRates!$A$5:$A$500,0)),0))</f>
        <v/>
      </c>
      <c r="N2945" s="26" t="str">
        <f aca="false">IF($D2945="","",IFERROR(INDEX(ClientRates!$E$5:$E$500,MATCH($B2945&amp;"|"&amp;$L2945,ClientRates!$A$5:$A$500,0)),0))</f>
        <v/>
      </c>
      <c r="O2945" s="26" t="str">
        <f aca="false">IF($D2945="","",F2945*M2945+G2945*N2945)</f>
        <v/>
      </c>
      <c r="P2945" s="26" t="str">
        <f aca="false">IF(OR($D2945="",$J2945&lt;&gt;"Supplier"),"",IFERROR(INDEX(SupplierRates!$D$5:$D$500,MATCH($K2945&amp;"|"&amp;$L2945,SupplierRates!$A$5:$A$500,0)),0))</f>
        <v/>
      </c>
      <c r="Q2945" s="26" t="str">
        <f aca="false">IF(OR($D2945="",$J2945&lt;&gt;"Supplier"),"",IFERROR(INDEX(SupplierRates!$E$5:$E$500,MATCH($K2945&amp;"|"&amp;$L2945,SupplierRates!$A$5:$A$500,0)),0))</f>
        <v/>
      </c>
      <c r="R2945" s="26" t="n">
        <f aca="false">IF(OR($D2945="",$J2945&lt;&gt;"Supplier"),0,F2945*P2945+G2945*Q2945)</f>
        <v>0</v>
      </c>
      <c r="S2945" s="26" t="n">
        <f aca="false">IF(OR($D2945="",$J2945&lt;&gt;"Own"),0,IFERROR((F2945+G2945*Settings!$B$13)*INDEX(Workers!$V$5:$V$2004,MATCH($D2945,Workers!$A$5:$A$2004,0)),0))</f>
        <v>0</v>
      </c>
      <c r="T2945" s="26" t="str">
        <f aca="false">IF($D2945="","",O2945-R2945-S2945)</f>
        <v/>
      </c>
    </row>
    <row r="2946" customFormat="false" ht="15" hidden="false" customHeight="false" outlineLevel="0" collapsed="false">
      <c r="I2946" s="24" t="str">
        <f aca="false">IF($D2946="","",IFERROR(INDEX(Workers!$B$5:$B$2004,MATCH($D2946,Workers!$A$5:$A$2004,0)),"NOT FOUND"))</f>
        <v/>
      </c>
      <c r="J2946" s="24" t="str">
        <f aca="false">IF($D2946="","",IFERROR(INDEX(Workers!$C$5:$C$2004,MATCH($D2946,Workers!$A$5:$A$2004,0)),""))</f>
        <v/>
      </c>
      <c r="K2946" s="24" t="str">
        <f aca="false">IF($D2946="","",IFERROR(IF(INDEX(Workers!$D$5:$D$2004,MATCH($D2946,Workers!$A$5:$A$2004,0))=0,"",INDEX(Workers!$D$5:$D$2004,MATCH($D2946,Workers!$A$5:$A$2004,0))),""))</f>
        <v/>
      </c>
      <c r="L2946" s="24" t="str">
        <f aca="false">IF($D2946="","",IFERROR(INDEX(Workers!$E$5:$E$2004,MATCH($D2946,Workers!$A$5:$A$2004,0)),""))</f>
        <v/>
      </c>
      <c r="M2946" s="26" t="str">
        <f aca="false">IF($D2946="","",IFERROR(INDEX(ClientRates!$D$5:$D$500,MATCH($B2946&amp;"|"&amp;$L2946,ClientRates!$A$5:$A$500,0)),0))</f>
        <v/>
      </c>
      <c r="N2946" s="26" t="str">
        <f aca="false">IF($D2946="","",IFERROR(INDEX(ClientRates!$E$5:$E$500,MATCH($B2946&amp;"|"&amp;$L2946,ClientRates!$A$5:$A$500,0)),0))</f>
        <v/>
      </c>
      <c r="O2946" s="26" t="str">
        <f aca="false">IF($D2946="","",F2946*M2946+G2946*N2946)</f>
        <v/>
      </c>
      <c r="P2946" s="26" t="str">
        <f aca="false">IF(OR($D2946="",$J2946&lt;&gt;"Supplier"),"",IFERROR(INDEX(SupplierRates!$D$5:$D$500,MATCH($K2946&amp;"|"&amp;$L2946,SupplierRates!$A$5:$A$500,0)),0))</f>
        <v/>
      </c>
      <c r="Q2946" s="26" t="str">
        <f aca="false">IF(OR($D2946="",$J2946&lt;&gt;"Supplier"),"",IFERROR(INDEX(SupplierRates!$E$5:$E$500,MATCH($K2946&amp;"|"&amp;$L2946,SupplierRates!$A$5:$A$500,0)),0))</f>
        <v/>
      </c>
      <c r="R2946" s="26" t="n">
        <f aca="false">IF(OR($D2946="",$J2946&lt;&gt;"Supplier"),0,F2946*P2946+G2946*Q2946)</f>
        <v>0</v>
      </c>
      <c r="S2946" s="26" t="n">
        <f aca="false">IF(OR($D2946="",$J2946&lt;&gt;"Own"),0,IFERROR((F2946+G2946*Settings!$B$13)*INDEX(Workers!$V$5:$V$2004,MATCH($D2946,Workers!$A$5:$A$2004,0)),0))</f>
        <v>0</v>
      </c>
      <c r="T2946" s="26" t="str">
        <f aca="false">IF($D2946="","",O2946-R2946-S2946)</f>
        <v/>
      </c>
    </row>
    <row r="2947" customFormat="false" ht="15" hidden="false" customHeight="false" outlineLevel="0" collapsed="false">
      <c r="I2947" s="24" t="str">
        <f aca="false">IF($D2947="","",IFERROR(INDEX(Workers!$B$5:$B$2004,MATCH($D2947,Workers!$A$5:$A$2004,0)),"NOT FOUND"))</f>
        <v/>
      </c>
      <c r="J2947" s="24" t="str">
        <f aca="false">IF($D2947="","",IFERROR(INDEX(Workers!$C$5:$C$2004,MATCH($D2947,Workers!$A$5:$A$2004,0)),""))</f>
        <v/>
      </c>
      <c r="K2947" s="24" t="str">
        <f aca="false">IF($D2947="","",IFERROR(IF(INDEX(Workers!$D$5:$D$2004,MATCH($D2947,Workers!$A$5:$A$2004,0))=0,"",INDEX(Workers!$D$5:$D$2004,MATCH($D2947,Workers!$A$5:$A$2004,0))),""))</f>
        <v/>
      </c>
      <c r="L2947" s="24" t="str">
        <f aca="false">IF($D2947="","",IFERROR(INDEX(Workers!$E$5:$E$2004,MATCH($D2947,Workers!$A$5:$A$2004,0)),""))</f>
        <v/>
      </c>
      <c r="M2947" s="26" t="str">
        <f aca="false">IF($D2947="","",IFERROR(INDEX(ClientRates!$D$5:$D$500,MATCH($B2947&amp;"|"&amp;$L2947,ClientRates!$A$5:$A$500,0)),0))</f>
        <v/>
      </c>
      <c r="N2947" s="26" t="str">
        <f aca="false">IF($D2947="","",IFERROR(INDEX(ClientRates!$E$5:$E$500,MATCH($B2947&amp;"|"&amp;$L2947,ClientRates!$A$5:$A$500,0)),0))</f>
        <v/>
      </c>
      <c r="O2947" s="26" t="str">
        <f aca="false">IF($D2947="","",F2947*M2947+G2947*N2947)</f>
        <v/>
      </c>
      <c r="P2947" s="26" t="str">
        <f aca="false">IF(OR($D2947="",$J2947&lt;&gt;"Supplier"),"",IFERROR(INDEX(SupplierRates!$D$5:$D$500,MATCH($K2947&amp;"|"&amp;$L2947,SupplierRates!$A$5:$A$500,0)),0))</f>
        <v/>
      </c>
      <c r="Q2947" s="26" t="str">
        <f aca="false">IF(OR($D2947="",$J2947&lt;&gt;"Supplier"),"",IFERROR(INDEX(SupplierRates!$E$5:$E$500,MATCH($K2947&amp;"|"&amp;$L2947,SupplierRates!$A$5:$A$500,0)),0))</f>
        <v/>
      </c>
      <c r="R2947" s="26" t="n">
        <f aca="false">IF(OR($D2947="",$J2947&lt;&gt;"Supplier"),0,F2947*P2947+G2947*Q2947)</f>
        <v>0</v>
      </c>
      <c r="S2947" s="26" t="n">
        <f aca="false">IF(OR($D2947="",$J2947&lt;&gt;"Own"),0,IFERROR((F2947+G2947*Settings!$B$13)*INDEX(Workers!$V$5:$V$2004,MATCH($D2947,Workers!$A$5:$A$2004,0)),0))</f>
        <v>0</v>
      </c>
      <c r="T2947" s="26" t="str">
        <f aca="false">IF($D2947="","",O2947-R2947-S2947)</f>
        <v/>
      </c>
    </row>
    <row r="2948" customFormat="false" ht="15" hidden="false" customHeight="false" outlineLevel="0" collapsed="false">
      <c r="I2948" s="24" t="str">
        <f aca="false">IF($D2948="","",IFERROR(INDEX(Workers!$B$5:$B$2004,MATCH($D2948,Workers!$A$5:$A$2004,0)),"NOT FOUND"))</f>
        <v/>
      </c>
      <c r="J2948" s="24" t="str">
        <f aca="false">IF($D2948="","",IFERROR(INDEX(Workers!$C$5:$C$2004,MATCH($D2948,Workers!$A$5:$A$2004,0)),""))</f>
        <v/>
      </c>
      <c r="K2948" s="24" t="str">
        <f aca="false">IF($D2948="","",IFERROR(IF(INDEX(Workers!$D$5:$D$2004,MATCH($D2948,Workers!$A$5:$A$2004,0))=0,"",INDEX(Workers!$D$5:$D$2004,MATCH($D2948,Workers!$A$5:$A$2004,0))),""))</f>
        <v/>
      </c>
      <c r="L2948" s="24" t="str">
        <f aca="false">IF($D2948="","",IFERROR(INDEX(Workers!$E$5:$E$2004,MATCH($D2948,Workers!$A$5:$A$2004,0)),""))</f>
        <v/>
      </c>
      <c r="M2948" s="26" t="str">
        <f aca="false">IF($D2948="","",IFERROR(INDEX(ClientRates!$D$5:$D$500,MATCH($B2948&amp;"|"&amp;$L2948,ClientRates!$A$5:$A$500,0)),0))</f>
        <v/>
      </c>
      <c r="N2948" s="26" t="str">
        <f aca="false">IF($D2948="","",IFERROR(INDEX(ClientRates!$E$5:$E$500,MATCH($B2948&amp;"|"&amp;$L2948,ClientRates!$A$5:$A$500,0)),0))</f>
        <v/>
      </c>
      <c r="O2948" s="26" t="str">
        <f aca="false">IF($D2948="","",F2948*M2948+G2948*N2948)</f>
        <v/>
      </c>
      <c r="P2948" s="26" t="str">
        <f aca="false">IF(OR($D2948="",$J2948&lt;&gt;"Supplier"),"",IFERROR(INDEX(SupplierRates!$D$5:$D$500,MATCH($K2948&amp;"|"&amp;$L2948,SupplierRates!$A$5:$A$500,0)),0))</f>
        <v/>
      </c>
      <c r="Q2948" s="26" t="str">
        <f aca="false">IF(OR($D2948="",$J2948&lt;&gt;"Supplier"),"",IFERROR(INDEX(SupplierRates!$E$5:$E$500,MATCH($K2948&amp;"|"&amp;$L2948,SupplierRates!$A$5:$A$500,0)),0))</f>
        <v/>
      </c>
      <c r="R2948" s="26" t="n">
        <f aca="false">IF(OR($D2948="",$J2948&lt;&gt;"Supplier"),0,F2948*P2948+G2948*Q2948)</f>
        <v>0</v>
      </c>
      <c r="S2948" s="26" t="n">
        <f aca="false">IF(OR($D2948="",$J2948&lt;&gt;"Own"),0,IFERROR((F2948+G2948*Settings!$B$13)*INDEX(Workers!$V$5:$V$2004,MATCH($D2948,Workers!$A$5:$A$2004,0)),0))</f>
        <v>0</v>
      </c>
      <c r="T2948" s="26" t="str">
        <f aca="false">IF($D2948="","",O2948-R2948-S2948)</f>
        <v/>
      </c>
    </row>
    <row r="2949" customFormat="false" ht="15" hidden="false" customHeight="false" outlineLevel="0" collapsed="false">
      <c r="I2949" s="24" t="str">
        <f aca="false">IF($D2949="","",IFERROR(INDEX(Workers!$B$5:$B$2004,MATCH($D2949,Workers!$A$5:$A$2004,0)),"NOT FOUND"))</f>
        <v/>
      </c>
      <c r="J2949" s="24" t="str">
        <f aca="false">IF($D2949="","",IFERROR(INDEX(Workers!$C$5:$C$2004,MATCH($D2949,Workers!$A$5:$A$2004,0)),""))</f>
        <v/>
      </c>
      <c r="K2949" s="24" t="str">
        <f aca="false">IF($D2949="","",IFERROR(IF(INDEX(Workers!$D$5:$D$2004,MATCH($D2949,Workers!$A$5:$A$2004,0))=0,"",INDEX(Workers!$D$5:$D$2004,MATCH($D2949,Workers!$A$5:$A$2004,0))),""))</f>
        <v/>
      </c>
      <c r="L2949" s="24" t="str">
        <f aca="false">IF($D2949="","",IFERROR(INDEX(Workers!$E$5:$E$2004,MATCH($D2949,Workers!$A$5:$A$2004,0)),""))</f>
        <v/>
      </c>
      <c r="M2949" s="26" t="str">
        <f aca="false">IF($D2949="","",IFERROR(INDEX(ClientRates!$D$5:$D$500,MATCH($B2949&amp;"|"&amp;$L2949,ClientRates!$A$5:$A$500,0)),0))</f>
        <v/>
      </c>
      <c r="N2949" s="26" t="str">
        <f aca="false">IF($D2949="","",IFERROR(INDEX(ClientRates!$E$5:$E$500,MATCH($B2949&amp;"|"&amp;$L2949,ClientRates!$A$5:$A$500,0)),0))</f>
        <v/>
      </c>
      <c r="O2949" s="26" t="str">
        <f aca="false">IF($D2949="","",F2949*M2949+G2949*N2949)</f>
        <v/>
      </c>
      <c r="P2949" s="26" t="str">
        <f aca="false">IF(OR($D2949="",$J2949&lt;&gt;"Supplier"),"",IFERROR(INDEX(SupplierRates!$D$5:$D$500,MATCH($K2949&amp;"|"&amp;$L2949,SupplierRates!$A$5:$A$500,0)),0))</f>
        <v/>
      </c>
      <c r="Q2949" s="26" t="str">
        <f aca="false">IF(OR($D2949="",$J2949&lt;&gt;"Supplier"),"",IFERROR(INDEX(SupplierRates!$E$5:$E$500,MATCH($K2949&amp;"|"&amp;$L2949,SupplierRates!$A$5:$A$500,0)),0))</f>
        <v/>
      </c>
      <c r="R2949" s="26" t="n">
        <f aca="false">IF(OR($D2949="",$J2949&lt;&gt;"Supplier"),0,F2949*P2949+G2949*Q2949)</f>
        <v>0</v>
      </c>
      <c r="S2949" s="26" t="n">
        <f aca="false">IF(OR($D2949="",$J2949&lt;&gt;"Own"),0,IFERROR((F2949+G2949*Settings!$B$13)*INDEX(Workers!$V$5:$V$2004,MATCH($D2949,Workers!$A$5:$A$2004,0)),0))</f>
        <v>0</v>
      </c>
      <c r="T2949" s="26" t="str">
        <f aca="false">IF($D2949="","",O2949-R2949-S2949)</f>
        <v/>
      </c>
    </row>
    <row r="2950" customFormat="false" ht="15" hidden="false" customHeight="false" outlineLevel="0" collapsed="false">
      <c r="I2950" s="24" t="str">
        <f aca="false">IF($D2950="","",IFERROR(INDEX(Workers!$B$5:$B$2004,MATCH($D2950,Workers!$A$5:$A$2004,0)),"NOT FOUND"))</f>
        <v/>
      </c>
      <c r="J2950" s="24" t="str">
        <f aca="false">IF($D2950="","",IFERROR(INDEX(Workers!$C$5:$C$2004,MATCH($D2950,Workers!$A$5:$A$2004,0)),""))</f>
        <v/>
      </c>
      <c r="K2950" s="24" t="str">
        <f aca="false">IF($D2950="","",IFERROR(IF(INDEX(Workers!$D$5:$D$2004,MATCH($D2950,Workers!$A$5:$A$2004,0))=0,"",INDEX(Workers!$D$5:$D$2004,MATCH($D2950,Workers!$A$5:$A$2004,0))),""))</f>
        <v/>
      </c>
      <c r="L2950" s="24" t="str">
        <f aca="false">IF($D2950="","",IFERROR(INDEX(Workers!$E$5:$E$2004,MATCH($D2950,Workers!$A$5:$A$2004,0)),""))</f>
        <v/>
      </c>
      <c r="M2950" s="26" t="str">
        <f aca="false">IF($D2950="","",IFERROR(INDEX(ClientRates!$D$5:$D$500,MATCH($B2950&amp;"|"&amp;$L2950,ClientRates!$A$5:$A$500,0)),0))</f>
        <v/>
      </c>
      <c r="N2950" s="26" t="str">
        <f aca="false">IF($D2950="","",IFERROR(INDEX(ClientRates!$E$5:$E$500,MATCH($B2950&amp;"|"&amp;$L2950,ClientRates!$A$5:$A$500,0)),0))</f>
        <v/>
      </c>
      <c r="O2950" s="26" t="str">
        <f aca="false">IF($D2950="","",F2950*M2950+G2950*N2950)</f>
        <v/>
      </c>
      <c r="P2950" s="26" t="str">
        <f aca="false">IF(OR($D2950="",$J2950&lt;&gt;"Supplier"),"",IFERROR(INDEX(SupplierRates!$D$5:$D$500,MATCH($K2950&amp;"|"&amp;$L2950,SupplierRates!$A$5:$A$500,0)),0))</f>
        <v/>
      </c>
      <c r="Q2950" s="26" t="str">
        <f aca="false">IF(OR($D2950="",$J2950&lt;&gt;"Supplier"),"",IFERROR(INDEX(SupplierRates!$E$5:$E$500,MATCH($K2950&amp;"|"&amp;$L2950,SupplierRates!$A$5:$A$500,0)),0))</f>
        <v/>
      </c>
      <c r="R2950" s="26" t="n">
        <f aca="false">IF(OR($D2950="",$J2950&lt;&gt;"Supplier"),0,F2950*P2950+G2950*Q2950)</f>
        <v>0</v>
      </c>
      <c r="S2950" s="26" t="n">
        <f aca="false">IF(OR($D2950="",$J2950&lt;&gt;"Own"),0,IFERROR((F2950+G2950*Settings!$B$13)*INDEX(Workers!$V$5:$V$2004,MATCH($D2950,Workers!$A$5:$A$2004,0)),0))</f>
        <v>0</v>
      </c>
      <c r="T2950" s="26" t="str">
        <f aca="false">IF($D2950="","",O2950-R2950-S2950)</f>
        <v/>
      </c>
    </row>
    <row r="2951" customFormat="false" ht="15" hidden="false" customHeight="false" outlineLevel="0" collapsed="false">
      <c r="I2951" s="24" t="str">
        <f aca="false">IF($D2951="","",IFERROR(INDEX(Workers!$B$5:$B$2004,MATCH($D2951,Workers!$A$5:$A$2004,0)),"NOT FOUND"))</f>
        <v/>
      </c>
      <c r="J2951" s="24" t="str">
        <f aca="false">IF($D2951="","",IFERROR(INDEX(Workers!$C$5:$C$2004,MATCH($D2951,Workers!$A$5:$A$2004,0)),""))</f>
        <v/>
      </c>
      <c r="K2951" s="24" t="str">
        <f aca="false">IF($D2951="","",IFERROR(IF(INDEX(Workers!$D$5:$D$2004,MATCH($D2951,Workers!$A$5:$A$2004,0))=0,"",INDEX(Workers!$D$5:$D$2004,MATCH($D2951,Workers!$A$5:$A$2004,0))),""))</f>
        <v/>
      </c>
      <c r="L2951" s="24" t="str">
        <f aca="false">IF($D2951="","",IFERROR(INDEX(Workers!$E$5:$E$2004,MATCH($D2951,Workers!$A$5:$A$2004,0)),""))</f>
        <v/>
      </c>
      <c r="M2951" s="26" t="str">
        <f aca="false">IF($D2951="","",IFERROR(INDEX(ClientRates!$D$5:$D$500,MATCH($B2951&amp;"|"&amp;$L2951,ClientRates!$A$5:$A$500,0)),0))</f>
        <v/>
      </c>
      <c r="N2951" s="26" t="str">
        <f aca="false">IF($D2951="","",IFERROR(INDEX(ClientRates!$E$5:$E$500,MATCH($B2951&amp;"|"&amp;$L2951,ClientRates!$A$5:$A$500,0)),0))</f>
        <v/>
      </c>
      <c r="O2951" s="26" t="str">
        <f aca="false">IF($D2951="","",F2951*M2951+G2951*N2951)</f>
        <v/>
      </c>
      <c r="P2951" s="26" t="str">
        <f aca="false">IF(OR($D2951="",$J2951&lt;&gt;"Supplier"),"",IFERROR(INDEX(SupplierRates!$D$5:$D$500,MATCH($K2951&amp;"|"&amp;$L2951,SupplierRates!$A$5:$A$500,0)),0))</f>
        <v/>
      </c>
      <c r="Q2951" s="26" t="str">
        <f aca="false">IF(OR($D2951="",$J2951&lt;&gt;"Supplier"),"",IFERROR(INDEX(SupplierRates!$E$5:$E$500,MATCH($K2951&amp;"|"&amp;$L2951,SupplierRates!$A$5:$A$500,0)),0))</f>
        <v/>
      </c>
      <c r="R2951" s="26" t="n">
        <f aca="false">IF(OR($D2951="",$J2951&lt;&gt;"Supplier"),0,F2951*P2951+G2951*Q2951)</f>
        <v>0</v>
      </c>
      <c r="S2951" s="26" t="n">
        <f aca="false">IF(OR($D2951="",$J2951&lt;&gt;"Own"),0,IFERROR((F2951+G2951*Settings!$B$13)*INDEX(Workers!$V$5:$V$2004,MATCH($D2951,Workers!$A$5:$A$2004,0)),0))</f>
        <v>0</v>
      </c>
      <c r="T2951" s="26" t="str">
        <f aca="false">IF($D2951="","",O2951-R2951-S2951)</f>
        <v/>
      </c>
    </row>
    <row r="2952" customFormat="false" ht="15" hidden="false" customHeight="false" outlineLevel="0" collapsed="false">
      <c r="I2952" s="24" t="str">
        <f aca="false">IF($D2952="","",IFERROR(INDEX(Workers!$B$5:$B$2004,MATCH($D2952,Workers!$A$5:$A$2004,0)),"NOT FOUND"))</f>
        <v/>
      </c>
      <c r="J2952" s="24" t="str">
        <f aca="false">IF($D2952="","",IFERROR(INDEX(Workers!$C$5:$C$2004,MATCH($D2952,Workers!$A$5:$A$2004,0)),""))</f>
        <v/>
      </c>
      <c r="K2952" s="24" t="str">
        <f aca="false">IF($D2952="","",IFERROR(IF(INDEX(Workers!$D$5:$D$2004,MATCH($D2952,Workers!$A$5:$A$2004,0))=0,"",INDEX(Workers!$D$5:$D$2004,MATCH($D2952,Workers!$A$5:$A$2004,0))),""))</f>
        <v/>
      </c>
      <c r="L2952" s="24" t="str">
        <f aca="false">IF($D2952="","",IFERROR(INDEX(Workers!$E$5:$E$2004,MATCH($D2952,Workers!$A$5:$A$2004,0)),""))</f>
        <v/>
      </c>
      <c r="M2952" s="26" t="str">
        <f aca="false">IF($D2952="","",IFERROR(INDEX(ClientRates!$D$5:$D$500,MATCH($B2952&amp;"|"&amp;$L2952,ClientRates!$A$5:$A$500,0)),0))</f>
        <v/>
      </c>
      <c r="N2952" s="26" t="str">
        <f aca="false">IF($D2952="","",IFERROR(INDEX(ClientRates!$E$5:$E$500,MATCH($B2952&amp;"|"&amp;$L2952,ClientRates!$A$5:$A$500,0)),0))</f>
        <v/>
      </c>
      <c r="O2952" s="26" t="str">
        <f aca="false">IF($D2952="","",F2952*M2952+G2952*N2952)</f>
        <v/>
      </c>
      <c r="P2952" s="26" t="str">
        <f aca="false">IF(OR($D2952="",$J2952&lt;&gt;"Supplier"),"",IFERROR(INDEX(SupplierRates!$D$5:$D$500,MATCH($K2952&amp;"|"&amp;$L2952,SupplierRates!$A$5:$A$500,0)),0))</f>
        <v/>
      </c>
      <c r="Q2952" s="26" t="str">
        <f aca="false">IF(OR($D2952="",$J2952&lt;&gt;"Supplier"),"",IFERROR(INDEX(SupplierRates!$E$5:$E$500,MATCH($K2952&amp;"|"&amp;$L2952,SupplierRates!$A$5:$A$500,0)),0))</f>
        <v/>
      </c>
      <c r="R2952" s="26" t="n">
        <f aca="false">IF(OR($D2952="",$J2952&lt;&gt;"Supplier"),0,F2952*P2952+G2952*Q2952)</f>
        <v>0</v>
      </c>
      <c r="S2952" s="26" t="n">
        <f aca="false">IF(OR($D2952="",$J2952&lt;&gt;"Own"),0,IFERROR((F2952+G2952*Settings!$B$13)*INDEX(Workers!$V$5:$V$2004,MATCH($D2952,Workers!$A$5:$A$2004,0)),0))</f>
        <v>0</v>
      </c>
      <c r="T2952" s="26" t="str">
        <f aca="false">IF($D2952="","",O2952-R2952-S2952)</f>
        <v/>
      </c>
    </row>
    <row r="2953" customFormat="false" ht="15" hidden="false" customHeight="false" outlineLevel="0" collapsed="false">
      <c r="I2953" s="24" t="str">
        <f aca="false">IF($D2953="","",IFERROR(INDEX(Workers!$B$5:$B$2004,MATCH($D2953,Workers!$A$5:$A$2004,0)),"NOT FOUND"))</f>
        <v/>
      </c>
      <c r="J2953" s="24" t="str">
        <f aca="false">IF($D2953="","",IFERROR(INDEX(Workers!$C$5:$C$2004,MATCH($D2953,Workers!$A$5:$A$2004,0)),""))</f>
        <v/>
      </c>
      <c r="K2953" s="24" t="str">
        <f aca="false">IF($D2953="","",IFERROR(IF(INDEX(Workers!$D$5:$D$2004,MATCH($D2953,Workers!$A$5:$A$2004,0))=0,"",INDEX(Workers!$D$5:$D$2004,MATCH($D2953,Workers!$A$5:$A$2004,0))),""))</f>
        <v/>
      </c>
      <c r="L2953" s="24" t="str">
        <f aca="false">IF($D2953="","",IFERROR(INDEX(Workers!$E$5:$E$2004,MATCH($D2953,Workers!$A$5:$A$2004,0)),""))</f>
        <v/>
      </c>
      <c r="M2953" s="26" t="str">
        <f aca="false">IF($D2953="","",IFERROR(INDEX(ClientRates!$D$5:$D$500,MATCH($B2953&amp;"|"&amp;$L2953,ClientRates!$A$5:$A$500,0)),0))</f>
        <v/>
      </c>
      <c r="N2953" s="26" t="str">
        <f aca="false">IF($D2953="","",IFERROR(INDEX(ClientRates!$E$5:$E$500,MATCH($B2953&amp;"|"&amp;$L2953,ClientRates!$A$5:$A$500,0)),0))</f>
        <v/>
      </c>
      <c r="O2953" s="26" t="str">
        <f aca="false">IF($D2953="","",F2953*M2953+G2953*N2953)</f>
        <v/>
      </c>
      <c r="P2953" s="26" t="str">
        <f aca="false">IF(OR($D2953="",$J2953&lt;&gt;"Supplier"),"",IFERROR(INDEX(SupplierRates!$D$5:$D$500,MATCH($K2953&amp;"|"&amp;$L2953,SupplierRates!$A$5:$A$500,0)),0))</f>
        <v/>
      </c>
      <c r="Q2953" s="26" t="str">
        <f aca="false">IF(OR($D2953="",$J2953&lt;&gt;"Supplier"),"",IFERROR(INDEX(SupplierRates!$E$5:$E$500,MATCH($K2953&amp;"|"&amp;$L2953,SupplierRates!$A$5:$A$500,0)),0))</f>
        <v/>
      </c>
      <c r="R2953" s="26" t="n">
        <f aca="false">IF(OR($D2953="",$J2953&lt;&gt;"Supplier"),0,F2953*P2953+G2953*Q2953)</f>
        <v>0</v>
      </c>
      <c r="S2953" s="26" t="n">
        <f aca="false">IF(OR($D2953="",$J2953&lt;&gt;"Own"),0,IFERROR((F2953+G2953*Settings!$B$13)*INDEX(Workers!$V$5:$V$2004,MATCH($D2953,Workers!$A$5:$A$2004,0)),0))</f>
        <v>0</v>
      </c>
      <c r="T2953" s="26" t="str">
        <f aca="false">IF($D2953="","",O2953-R2953-S2953)</f>
        <v/>
      </c>
    </row>
    <row r="2954" customFormat="false" ht="15" hidden="false" customHeight="false" outlineLevel="0" collapsed="false">
      <c r="I2954" s="24" t="str">
        <f aca="false">IF($D2954="","",IFERROR(INDEX(Workers!$B$5:$B$2004,MATCH($D2954,Workers!$A$5:$A$2004,0)),"NOT FOUND"))</f>
        <v/>
      </c>
      <c r="J2954" s="24" t="str">
        <f aca="false">IF($D2954="","",IFERROR(INDEX(Workers!$C$5:$C$2004,MATCH($D2954,Workers!$A$5:$A$2004,0)),""))</f>
        <v/>
      </c>
      <c r="K2954" s="24" t="str">
        <f aca="false">IF($D2954="","",IFERROR(IF(INDEX(Workers!$D$5:$D$2004,MATCH($D2954,Workers!$A$5:$A$2004,0))=0,"",INDEX(Workers!$D$5:$D$2004,MATCH($D2954,Workers!$A$5:$A$2004,0))),""))</f>
        <v/>
      </c>
      <c r="L2954" s="24" t="str">
        <f aca="false">IF($D2954="","",IFERROR(INDEX(Workers!$E$5:$E$2004,MATCH($D2954,Workers!$A$5:$A$2004,0)),""))</f>
        <v/>
      </c>
      <c r="M2954" s="26" t="str">
        <f aca="false">IF($D2954="","",IFERROR(INDEX(ClientRates!$D$5:$D$500,MATCH($B2954&amp;"|"&amp;$L2954,ClientRates!$A$5:$A$500,0)),0))</f>
        <v/>
      </c>
      <c r="N2954" s="26" t="str">
        <f aca="false">IF($D2954="","",IFERROR(INDEX(ClientRates!$E$5:$E$500,MATCH($B2954&amp;"|"&amp;$L2954,ClientRates!$A$5:$A$500,0)),0))</f>
        <v/>
      </c>
      <c r="O2954" s="26" t="str">
        <f aca="false">IF($D2954="","",F2954*M2954+G2954*N2954)</f>
        <v/>
      </c>
      <c r="P2954" s="26" t="str">
        <f aca="false">IF(OR($D2954="",$J2954&lt;&gt;"Supplier"),"",IFERROR(INDEX(SupplierRates!$D$5:$D$500,MATCH($K2954&amp;"|"&amp;$L2954,SupplierRates!$A$5:$A$500,0)),0))</f>
        <v/>
      </c>
      <c r="Q2954" s="26" t="str">
        <f aca="false">IF(OR($D2954="",$J2954&lt;&gt;"Supplier"),"",IFERROR(INDEX(SupplierRates!$E$5:$E$500,MATCH($K2954&amp;"|"&amp;$L2954,SupplierRates!$A$5:$A$500,0)),0))</f>
        <v/>
      </c>
      <c r="R2954" s="26" t="n">
        <f aca="false">IF(OR($D2954="",$J2954&lt;&gt;"Supplier"),0,F2954*P2954+G2954*Q2954)</f>
        <v>0</v>
      </c>
      <c r="S2954" s="26" t="n">
        <f aca="false">IF(OR($D2954="",$J2954&lt;&gt;"Own"),0,IFERROR((F2954+G2954*Settings!$B$13)*INDEX(Workers!$V$5:$V$2004,MATCH($D2954,Workers!$A$5:$A$2004,0)),0))</f>
        <v>0</v>
      </c>
      <c r="T2954" s="26" t="str">
        <f aca="false">IF($D2954="","",O2954-R2954-S2954)</f>
        <v/>
      </c>
    </row>
    <row r="2955" customFormat="false" ht="15" hidden="false" customHeight="false" outlineLevel="0" collapsed="false">
      <c r="I2955" s="24" t="str">
        <f aca="false">IF($D2955="","",IFERROR(INDEX(Workers!$B$5:$B$2004,MATCH($D2955,Workers!$A$5:$A$2004,0)),"NOT FOUND"))</f>
        <v/>
      </c>
      <c r="J2955" s="24" t="str">
        <f aca="false">IF($D2955="","",IFERROR(INDEX(Workers!$C$5:$C$2004,MATCH($D2955,Workers!$A$5:$A$2004,0)),""))</f>
        <v/>
      </c>
      <c r="K2955" s="24" t="str">
        <f aca="false">IF($D2955="","",IFERROR(IF(INDEX(Workers!$D$5:$D$2004,MATCH($D2955,Workers!$A$5:$A$2004,0))=0,"",INDEX(Workers!$D$5:$D$2004,MATCH($D2955,Workers!$A$5:$A$2004,0))),""))</f>
        <v/>
      </c>
      <c r="L2955" s="24" t="str">
        <f aca="false">IF($D2955="","",IFERROR(INDEX(Workers!$E$5:$E$2004,MATCH($D2955,Workers!$A$5:$A$2004,0)),""))</f>
        <v/>
      </c>
      <c r="M2955" s="26" t="str">
        <f aca="false">IF($D2955="","",IFERROR(INDEX(ClientRates!$D$5:$D$500,MATCH($B2955&amp;"|"&amp;$L2955,ClientRates!$A$5:$A$500,0)),0))</f>
        <v/>
      </c>
      <c r="N2955" s="26" t="str">
        <f aca="false">IF($D2955="","",IFERROR(INDEX(ClientRates!$E$5:$E$500,MATCH($B2955&amp;"|"&amp;$L2955,ClientRates!$A$5:$A$500,0)),0))</f>
        <v/>
      </c>
      <c r="O2955" s="26" t="str">
        <f aca="false">IF($D2955="","",F2955*M2955+G2955*N2955)</f>
        <v/>
      </c>
      <c r="P2955" s="26" t="str">
        <f aca="false">IF(OR($D2955="",$J2955&lt;&gt;"Supplier"),"",IFERROR(INDEX(SupplierRates!$D$5:$D$500,MATCH($K2955&amp;"|"&amp;$L2955,SupplierRates!$A$5:$A$500,0)),0))</f>
        <v/>
      </c>
      <c r="Q2955" s="26" t="str">
        <f aca="false">IF(OR($D2955="",$J2955&lt;&gt;"Supplier"),"",IFERROR(INDEX(SupplierRates!$E$5:$E$500,MATCH($K2955&amp;"|"&amp;$L2955,SupplierRates!$A$5:$A$500,0)),0))</f>
        <v/>
      </c>
      <c r="R2955" s="26" t="n">
        <f aca="false">IF(OR($D2955="",$J2955&lt;&gt;"Supplier"),0,F2955*P2955+G2955*Q2955)</f>
        <v>0</v>
      </c>
      <c r="S2955" s="26" t="n">
        <f aca="false">IF(OR($D2955="",$J2955&lt;&gt;"Own"),0,IFERROR((F2955+G2955*Settings!$B$13)*INDEX(Workers!$V$5:$V$2004,MATCH($D2955,Workers!$A$5:$A$2004,0)),0))</f>
        <v>0</v>
      </c>
      <c r="T2955" s="26" t="str">
        <f aca="false">IF($D2955="","",O2955-R2955-S2955)</f>
        <v/>
      </c>
    </row>
    <row r="2956" customFormat="false" ht="15" hidden="false" customHeight="false" outlineLevel="0" collapsed="false">
      <c r="I2956" s="24" t="str">
        <f aca="false">IF($D2956="","",IFERROR(INDEX(Workers!$B$5:$B$2004,MATCH($D2956,Workers!$A$5:$A$2004,0)),"NOT FOUND"))</f>
        <v/>
      </c>
      <c r="J2956" s="24" t="str">
        <f aca="false">IF($D2956="","",IFERROR(INDEX(Workers!$C$5:$C$2004,MATCH($D2956,Workers!$A$5:$A$2004,0)),""))</f>
        <v/>
      </c>
      <c r="K2956" s="24" t="str">
        <f aca="false">IF($D2956="","",IFERROR(IF(INDEX(Workers!$D$5:$D$2004,MATCH($D2956,Workers!$A$5:$A$2004,0))=0,"",INDEX(Workers!$D$5:$D$2004,MATCH($D2956,Workers!$A$5:$A$2004,0))),""))</f>
        <v/>
      </c>
      <c r="L2956" s="24" t="str">
        <f aca="false">IF($D2956="","",IFERROR(INDEX(Workers!$E$5:$E$2004,MATCH($D2956,Workers!$A$5:$A$2004,0)),""))</f>
        <v/>
      </c>
      <c r="M2956" s="26" t="str">
        <f aca="false">IF($D2956="","",IFERROR(INDEX(ClientRates!$D$5:$D$500,MATCH($B2956&amp;"|"&amp;$L2956,ClientRates!$A$5:$A$500,0)),0))</f>
        <v/>
      </c>
      <c r="N2956" s="26" t="str">
        <f aca="false">IF($D2956="","",IFERROR(INDEX(ClientRates!$E$5:$E$500,MATCH($B2956&amp;"|"&amp;$L2956,ClientRates!$A$5:$A$500,0)),0))</f>
        <v/>
      </c>
      <c r="O2956" s="26" t="str">
        <f aca="false">IF($D2956="","",F2956*M2956+G2956*N2956)</f>
        <v/>
      </c>
      <c r="P2956" s="26" t="str">
        <f aca="false">IF(OR($D2956="",$J2956&lt;&gt;"Supplier"),"",IFERROR(INDEX(SupplierRates!$D$5:$D$500,MATCH($K2956&amp;"|"&amp;$L2956,SupplierRates!$A$5:$A$500,0)),0))</f>
        <v/>
      </c>
      <c r="Q2956" s="26" t="str">
        <f aca="false">IF(OR($D2956="",$J2956&lt;&gt;"Supplier"),"",IFERROR(INDEX(SupplierRates!$E$5:$E$500,MATCH($K2956&amp;"|"&amp;$L2956,SupplierRates!$A$5:$A$500,0)),0))</f>
        <v/>
      </c>
      <c r="R2956" s="26" t="n">
        <f aca="false">IF(OR($D2956="",$J2956&lt;&gt;"Supplier"),0,F2956*P2956+G2956*Q2956)</f>
        <v>0</v>
      </c>
      <c r="S2956" s="26" t="n">
        <f aca="false">IF(OR($D2956="",$J2956&lt;&gt;"Own"),0,IFERROR((F2956+G2956*Settings!$B$13)*INDEX(Workers!$V$5:$V$2004,MATCH($D2956,Workers!$A$5:$A$2004,0)),0))</f>
        <v>0</v>
      </c>
      <c r="T2956" s="26" t="str">
        <f aca="false">IF($D2956="","",O2956-R2956-S2956)</f>
        <v/>
      </c>
    </row>
    <row r="2957" customFormat="false" ht="15" hidden="false" customHeight="false" outlineLevel="0" collapsed="false">
      <c r="I2957" s="24" t="str">
        <f aca="false">IF($D2957="","",IFERROR(INDEX(Workers!$B$5:$B$2004,MATCH($D2957,Workers!$A$5:$A$2004,0)),"NOT FOUND"))</f>
        <v/>
      </c>
      <c r="J2957" s="24" t="str">
        <f aca="false">IF($D2957="","",IFERROR(INDEX(Workers!$C$5:$C$2004,MATCH($D2957,Workers!$A$5:$A$2004,0)),""))</f>
        <v/>
      </c>
      <c r="K2957" s="24" t="str">
        <f aca="false">IF($D2957="","",IFERROR(IF(INDEX(Workers!$D$5:$D$2004,MATCH($D2957,Workers!$A$5:$A$2004,0))=0,"",INDEX(Workers!$D$5:$D$2004,MATCH($D2957,Workers!$A$5:$A$2004,0))),""))</f>
        <v/>
      </c>
      <c r="L2957" s="24" t="str">
        <f aca="false">IF($D2957="","",IFERROR(INDEX(Workers!$E$5:$E$2004,MATCH($D2957,Workers!$A$5:$A$2004,0)),""))</f>
        <v/>
      </c>
      <c r="M2957" s="26" t="str">
        <f aca="false">IF($D2957="","",IFERROR(INDEX(ClientRates!$D$5:$D$500,MATCH($B2957&amp;"|"&amp;$L2957,ClientRates!$A$5:$A$500,0)),0))</f>
        <v/>
      </c>
      <c r="N2957" s="26" t="str">
        <f aca="false">IF($D2957="","",IFERROR(INDEX(ClientRates!$E$5:$E$500,MATCH($B2957&amp;"|"&amp;$L2957,ClientRates!$A$5:$A$500,0)),0))</f>
        <v/>
      </c>
      <c r="O2957" s="26" t="str">
        <f aca="false">IF($D2957="","",F2957*M2957+G2957*N2957)</f>
        <v/>
      </c>
      <c r="P2957" s="26" t="str">
        <f aca="false">IF(OR($D2957="",$J2957&lt;&gt;"Supplier"),"",IFERROR(INDEX(SupplierRates!$D$5:$D$500,MATCH($K2957&amp;"|"&amp;$L2957,SupplierRates!$A$5:$A$500,0)),0))</f>
        <v/>
      </c>
      <c r="Q2957" s="26" t="str">
        <f aca="false">IF(OR($D2957="",$J2957&lt;&gt;"Supplier"),"",IFERROR(INDEX(SupplierRates!$E$5:$E$500,MATCH($K2957&amp;"|"&amp;$L2957,SupplierRates!$A$5:$A$500,0)),0))</f>
        <v/>
      </c>
      <c r="R2957" s="26" t="n">
        <f aca="false">IF(OR($D2957="",$J2957&lt;&gt;"Supplier"),0,F2957*P2957+G2957*Q2957)</f>
        <v>0</v>
      </c>
      <c r="S2957" s="26" t="n">
        <f aca="false">IF(OR($D2957="",$J2957&lt;&gt;"Own"),0,IFERROR((F2957+G2957*Settings!$B$13)*INDEX(Workers!$V$5:$V$2004,MATCH($D2957,Workers!$A$5:$A$2004,0)),0))</f>
        <v>0</v>
      </c>
      <c r="T2957" s="26" t="str">
        <f aca="false">IF($D2957="","",O2957-R2957-S2957)</f>
        <v/>
      </c>
    </row>
    <row r="2958" customFormat="false" ht="15" hidden="false" customHeight="false" outlineLevel="0" collapsed="false">
      <c r="I2958" s="24" t="str">
        <f aca="false">IF($D2958="","",IFERROR(INDEX(Workers!$B$5:$B$2004,MATCH($D2958,Workers!$A$5:$A$2004,0)),"NOT FOUND"))</f>
        <v/>
      </c>
      <c r="J2958" s="24" t="str">
        <f aca="false">IF($D2958="","",IFERROR(INDEX(Workers!$C$5:$C$2004,MATCH($D2958,Workers!$A$5:$A$2004,0)),""))</f>
        <v/>
      </c>
      <c r="K2958" s="24" t="str">
        <f aca="false">IF($D2958="","",IFERROR(IF(INDEX(Workers!$D$5:$D$2004,MATCH($D2958,Workers!$A$5:$A$2004,0))=0,"",INDEX(Workers!$D$5:$D$2004,MATCH($D2958,Workers!$A$5:$A$2004,0))),""))</f>
        <v/>
      </c>
      <c r="L2958" s="24" t="str">
        <f aca="false">IF($D2958="","",IFERROR(INDEX(Workers!$E$5:$E$2004,MATCH($D2958,Workers!$A$5:$A$2004,0)),""))</f>
        <v/>
      </c>
      <c r="M2958" s="26" t="str">
        <f aca="false">IF($D2958="","",IFERROR(INDEX(ClientRates!$D$5:$D$500,MATCH($B2958&amp;"|"&amp;$L2958,ClientRates!$A$5:$A$500,0)),0))</f>
        <v/>
      </c>
      <c r="N2958" s="26" t="str">
        <f aca="false">IF($D2958="","",IFERROR(INDEX(ClientRates!$E$5:$E$500,MATCH($B2958&amp;"|"&amp;$L2958,ClientRates!$A$5:$A$500,0)),0))</f>
        <v/>
      </c>
      <c r="O2958" s="26" t="str">
        <f aca="false">IF($D2958="","",F2958*M2958+G2958*N2958)</f>
        <v/>
      </c>
      <c r="P2958" s="26" t="str">
        <f aca="false">IF(OR($D2958="",$J2958&lt;&gt;"Supplier"),"",IFERROR(INDEX(SupplierRates!$D$5:$D$500,MATCH($K2958&amp;"|"&amp;$L2958,SupplierRates!$A$5:$A$500,0)),0))</f>
        <v/>
      </c>
      <c r="Q2958" s="26" t="str">
        <f aca="false">IF(OR($D2958="",$J2958&lt;&gt;"Supplier"),"",IFERROR(INDEX(SupplierRates!$E$5:$E$500,MATCH($K2958&amp;"|"&amp;$L2958,SupplierRates!$A$5:$A$500,0)),0))</f>
        <v/>
      </c>
      <c r="R2958" s="26" t="n">
        <f aca="false">IF(OR($D2958="",$J2958&lt;&gt;"Supplier"),0,F2958*P2958+G2958*Q2958)</f>
        <v>0</v>
      </c>
      <c r="S2958" s="26" t="n">
        <f aca="false">IF(OR($D2958="",$J2958&lt;&gt;"Own"),0,IFERROR((F2958+G2958*Settings!$B$13)*INDEX(Workers!$V$5:$V$2004,MATCH($D2958,Workers!$A$5:$A$2004,0)),0))</f>
        <v>0</v>
      </c>
      <c r="T2958" s="26" t="str">
        <f aca="false">IF($D2958="","",O2958-R2958-S2958)</f>
        <v/>
      </c>
    </row>
    <row r="2959" customFormat="false" ht="15" hidden="false" customHeight="false" outlineLevel="0" collapsed="false">
      <c r="I2959" s="24" t="str">
        <f aca="false">IF($D2959="","",IFERROR(INDEX(Workers!$B$5:$B$2004,MATCH($D2959,Workers!$A$5:$A$2004,0)),"NOT FOUND"))</f>
        <v/>
      </c>
      <c r="J2959" s="24" t="str">
        <f aca="false">IF($D2959="","",IFERROR(INDEX(Workers!$C$5:$C$2004,MATCH($D2959,Workers!$A$5:$A$2004,0)),""))</f>
        <v/>
      </c>
      <c r="K2959" s="24" t="str">
        <f aca="false">IF($D2959="","",IFERROR(IF(INDEX(Workers!$D$5:$D$2004,MATCH($D2959,Workers!$A$5:$A$2004,0))=0,"",INDEX(Workers!$D$5:$D$2004,MATCH($D2959,Workers!$A$5:$A$2004,0))),""))</f>
        <v/>
      </c>
      <c r="L2959" s="24" t="str">
        <f aca="false">IF($D2959="","",IFERROR(INDEX(Workers!$E$5:$E$2004,MATCH($D2959,Workers!$A$5:$A$2004,0)),""))</f>
        <v/>
      </c>
      <c r="M2959" s="26" t="str">
        <f aca="false">IF($D2959="","",IFERROR(INDEX(ClientRates!$D$5:$D$500,MATCH($B2959&amp;"|"&amp;$L2959,ClientRates!$A$5:$A$500,0)),0))</f>
        <v/>
      </c>
      <c r="N2959" s="26" t="str">
        <f aca="false">IF($D2959="","",IFERROR(INDEX(ClientRates!$E$5:$E$500,MATCH($B2959&amp;"|"&amp;$L2959,ClientRates!$A$5:$A$500,0)),0))</f>
        <v/>
      </c>
      <c r="O2959" s="26" t="str">
        <f aca="false">IF($D2959="","",F2959*M2959+G2959*N2959)</f>
        <v/>
      </c>
      <c r="P2959" s="26" t="str">
        <f aca="false">IF(OR($D2959="",$J2959&lt;&gt;"Supplier"),"",IFERROR(INDEX(SupplierRates!$D$5:$D$500,MATCH($K2959&amp;"|"&amp;$L2959,SupplierRates!$A$5:$A$500,0)),0))</f>
        <v/>
      </c>
      <c r="Q2959" s="26" t="str">
        <f aca="false">IF(OR($D2959="",$J2959&lt;&gt;"Supplier"),"",IFERROR(INDEX(SupplierRates!$E$5:$E$500,MATCH($K2959&amp;"|"&amp;$L2959,SupplierRates!$A$5:$A$500,0)),0))</f>
        <v/>
      </c>
      <c r="R2959" s="26" t="n">
        <f aca="false">IF(OR($D2959="",$J2959&lt;&gt;"Supplier"),0,F2959*P2959+G2959*Q2959)</f>
        <v>0</v>
      </c>
      <c r="S2959" s="26" t="n">
        <f aca="false">IF(OR($D2959="",$J2959&lt;&gt;"Own"),0,IFERROR((F2959+G2959*Settings!$B$13)*INDEX(Workers!$V$5:$V$2004,MATCH($D2959,Workers!$A$5:$A$2004,0)),0))</f>
        <v>0</v>
      </c>
      <c r="T2959" s="26" t="str">
        <f aca="false">IF($D2959="","",O2959-R2959-S2959)</f>
        <v/>
      </c>
    </row>
    <row r="2960" customFormat="false" ht="15" hidden="false" customHeight="false" outlineLevel="0" collapsed="false">
      <c r="I2960" s="24" t="str">
        <f aca="false">IF($D2960="","",IFERROR(INDEX(Workers!$B$5:$B$2004,MATCH($D2960,Workers!$A$5:$A$2004,0)),"NOT FOUND"))</f>
        <v/>
      </c>
      <c r="J2960" s="24" t="str">
        <f aca="false">IF($D2960="","",IFERROR(INDEX(Workers!$C$5:$C$2004,MATCH($D2960,Workers!$A$5:$A$2004,0)),""))</f>
        <v/>
      </c>
      <c r="K2960" s="24" t="str">
        <f aca="false">IF($D2960="","",IFERROR(IF(INDEX(Workers!$D$5:$D$2004,MATCH($D2960,Workers!$A$5:$A$2004,0))=0,"",INDEX(Workers!$D$5:$D$2004,MATCH($D2960,Workers!$A$5:$A$2004,0))),""))</f>
        <v/>
      </c>
      <c r="L2960" s="24" t="str">
        <f aca="false">IF($D2960="","",IFERROR(INDEX(Workers!$E$5:$E$2004,MATCH($D2960,Workers!$A$5:$A$2004,0)),""))</f>
        <v/>
      </c>
      <c r="M2960" s="26" t="str">
        <f aca="false">IF($D2960="","",IFERROR(INDEX(ClientRates!$D$5:$D$500,MATCH($B2960&amp;"|"&amp;$L2960,ClientRates!$A$5:$A$500,0)),0))</f>
        <v/>
      </c>
      <c r="N2960" s="26" t="str">
        <f aca="false">IF($D2960="","",IFERROR(INDEX(ClientRates!$E$5:$E$500,MATCH($B2960&amp;"|"&amp;$L2960,ClientRates!$A$5:$A$500,0)),0))</f>
        <v/>
      </c>
      <c r="O2960" s="26" t="str">
        <f aca="false">IF($D2960="","",F2960*M2960+G2960*N2960)</f>
        <v/>
      </c>
      <c r="P2960" s="26" t="str">
        <f aca="false">IF(OR($D2960="",$J2960&lt;&gt;"Supplier"),"",IFERROR(INDEX(SupplierRates!$D$5:$D$500,MATCH($K2960&amp;"|"&amp;$L2960,SupplierRates!$A$5:$A$500,0)),0))</f>
        <v/>
      </c>
      <c r="Q2960" s="26" t="str">
        <f aca="false">IF(OR($D2960="",$J2960&lt;&gt;"Supplier"),"",IFERROR(INDEX(SupplierRates!$E$5:$E$500,MATCH($K2960&amp;"|"&amp;$L2960,SupplierRates!$A$5:$A$500,0)),0))</f>
        <v/>
      </c>
      <c r="R2960" s="26" t="n">
        <f aca="false">IF(OR($D2960="",$J2960&lt;&gt;"Supplier"),0,F2960*P2960+G2960*Q2960)</f>
        <v>0</v>
      </c>
      <c r="S2960" s="26" t="n">
        <f aca="false">IF(OR($D2960="",$J2960&lt;&gt;"Own"),0,IFERROR((F2960+G2960*Settings!$B$13)*INDEX(Workers!$V$5:$V$2004,MATCH($D2960,Workers!$A$5:$A$2004,0)),0))</f>
        <v>0</v>
      </c>
      <c r="T2960" s="26" t="str">
        <f aca="false">IF($D2960="","",O2960-R2960-S2960)</f>
        <v/>
      </c>
    </row>
    <row r="2961" customFormat="false" ht="15" hidden="false" customHeight="false" outlineLevel="0" collapsed="false">
      <c r="I2961" s="24" t="str">
        <f aca="false">IF($D2961="","",IFERROR(INDEX(Workers!$B$5:$B$2004,MATCH($D2961,Workers!$A$5:$A$2004,0)),"NOT FOUND"))</f>
        <v/>
      </c>
      <c r="J2961" s="24" t="str">
        <f aca="false">IF($D2961="","",IFERROR(INDEX(Workers!$C$5:$C$2004,MATCH($D2961,Workers!$A$5:$A$2004,0)),""))</f>
        <v/>
      </c>
      <c r="K2961" s="24" t="str">
        <f aca="false">IF($D2961="","",IFERROR(IF(INDEX(Workers!$D$5:$D$2004,MATCH($D2961,Workers!$A$5:$A$2004,0))=0,"",INDEX(Workers!$D$5:$D$2004,MATCH($D2961,Workers!$A$5:$A$2004,0))),""))</f>
        <v/>
      </c>
      <c r="L2961" s="24" t="str">
        <f aca="false">IF($D2961="","",IFERROR(INDEX(Workers!$E$5:$E$2004,MATCH($D2961,Workers!$A$5:$A$2004,0)),""))</f>
        <v/>
      </c>
      <c r="M2961" s="26" t="str">
        <f aca="false">IF($D2961="","",IFERROR(INDEX(ClientRates!$D$5:$D$500,MATCH($B2961&amp;"|"&amp;$L2961,ClientRates!$A$5:$A$500,0)),0))</f>
        <v/>
      </c>
      <c r="N2961" s="26" t="str">
        <f aca="false">IF($D2961="","",IFERROR(INDEX(ClientRates!$E$5:$E$500,MATCH($B2961&amp;"|"&amp;$L2961,ClientRates!$A$5:$A$500,0)),0))</f>
        <v/>
      </c>
      <c r="O2961" s="26" t="str">
        <f aca="false">IF($D2961="","",F2961*M2961+G2961*N2961)</f>
        <v/>
      </c>
      <c r="P2961" s="26" t="str">
        <f aca="false">IF(OR($D2961="",$J2961&lt;&gt;"Supplier"),"",IFERROR(INDEX(SupplierRates!$D$5:$D$500,MATCH($K2961&amp;"|"&amp;$L2961,SupplierRates!$A$5:$A$500,0)),0))</f>
        <v/>
      </c>
      <c r="Q2961" s="26" t="str">
        <f aca="false">IF(OR($D2961="",$J2961&lt;&gt;"Supplier"),"",IFERROR(INDEX(SupplierRates!$E$5:$E$500,MATCH($K2961&amp;"|"&amp;$L2961,SupplierRates!$A$5:$A$500,0)),0))</f>
        <v/>
      </c>
      <c r="R2961" s="26" t="n">
        <f aca="false">IF(OR($D2961="",$J2961&lt;&gt;"Supplier"),0,F2961*P2961+G2961*Q2961)</f>
        <v>0</v>
      </c>
      <c r="S2961" s="26" t="n">
        <f aca="false">IF(OR($D2961="",$J2961&lt;&gt;"Own"),0,IFERROR((F2961+G2961*Settings!$B$13)*INDEX(Workers!$V$5:$V$2004,MATCH($D2961,Workers!$A$5:$A$2004,0)),0))</f>
        <v>0</v>
      </c>
      <c r="T2961" s="26" t="str">
        <f aca="false">IF($D2961="","",O2961-R2961-S2961)</f>
        <v/>
      </c>
    </row>
    <row r="2962" customFormat="false" ht="15" hidden="false" customHeight="false" outlineLevel="0" collapsed="false">
      <c r="I2962" s="24" t="str">
        <f aca="false">IF($D2962="","",IFERROR(INDEX(Workers!$B$5:$B$2004,MATCH($D2962,Workers!$A$5:$A$2004,0)),"NOT FOUND"))</f>
        <v/>
      </c>
      <c r="J2962" s="24" t="str">
        <f aca="false">IF($D2962="","",IFERROR(INDEX(Workers!$C$5:$C$2004,MATCH($D2962,Workers!$A$5:$A$2004,0)),""))</f>
        <v/>
      </c>
      <c r="K2962" s="24" t="str">
        <f aca="false">IF($D2962="","",IFERROR(IF(INDEX(Workers!$D$5:$D$2004,MATCH($D2962,Workers!$A$5:$A$2004,0))=0,"",INDEX(Workers!$D$5:$D$2004,MATCH($D2962,Workers!$A$5:$A$2004,0))),""))</f>
        <v/>
      </c>
      <c r="L2962" s="24" t="str">
        <f aca="false">IF($D2962="","",IFERROR(INDEX(Workers!$E$5:$E$2004,MATCH($D2962,Workers!$A$5:$A$2004,0)),""))</f>
        <v/>
      </c>
      <c r="M2962" s="26" t="str">
        <f aca="false">IF($D2962="","",IFERROR(INDEX(ClientRates!$D$5:$D$500,MATCH($B2962&amp;"|"&amp;$L2962,ClientRates!$A$5:$A$500,0)),0))</f>
        <v/>
      </c>
      <c r="N2962" s="26" t="str">
        <f aca="false">IF($D2962="","",IFERROR(INDEX(ClientRates!$E$5:$E$500,MATCH($B2962&amp;"|"&amp;$L2962,ClientRates!$A$5:$A$500,0)),0))</f>
        <v/>
      </c>
      <c r="O2962" s="26" t="str">
        <f aca="false">IF($D2962="","",F2962*M2962+G2962*N2962)</f>
        <v/>
      </c>
      <c r="P2962" s="26" t="str">
        <f aca="false">IF(OR($D2962="",$J2962&lt;&gt;"Supplier"),"",IFERROR(INDEX(SupplierRates!$D$5:$D$500,MATCH($K2962&amp;"|"&amp;$L2962,SupplierRates!$A$5:$A$500,0)),0))</f>
        <v/>
      </c>
      <c r="Q2962" s="26" t="str">
        <f aca="false">IF(OR($D2962="",$J2962&lt;&gt;"Supplier"),"",IFERROR(INDEX(SupplierRates!$E$5:$E$500,MATCH($K2962&amp;"|"&amp;$L2962,SupplierRates!$A$5:$A$500,0)),0))</f>
        <v/>
      </c>
      <c r="R2962" s="26" t="n">
        <f aca="false">IF(OR($D2962="",$J2962&lt;&gt;"Supplier"),0,F2962*P2962+G2962*Q2962)</f>
        <v>0</v>
      </c>
      <c r="S2962" s="26" t="n">
        <f aca="false">IF(OR($D2962="",$J2962&lt;&gt;"Own"),0,IFERROR((F2962+G2962*Settings!$B$13)*INDEX(Workers!$V$5:$V$2004,MATCH($D2962,Workers!$A$5:$A$2004,0)),0))</f>
        <v>0</v>
      </c>
      <c r="T2962" s="26" t="str">
        <f aca="false">IF($D2962="","",O2962-R2962-S2962)</f>
        <v/>
      </c>
    </row>
    <row r="2963" customFormat="false" ht="15" hidden="false" customHeight="false" outlineLevel="0" collapsed="false">
      <c r="I2963" s="24" t="str">
        <f aca="false">IF($D2963="","",IFERROR(INDEX(Workers!$B$5:$B$2004,MATCH($D2963,Workers!$A$5:$A$2004,0)),"NOT FOUND"))</f>
        <v/>
      </c>
      <c r="J2963" s="24" t="str">
        <f aca="false">IF($D2963="","",IFERROR(INDEX(Workers!$C$5:$C$2004,MATCH($D2963,Workers!$A$5:$A$2004,0)),""))</f>
        <v/>
      </c>
      <c r="K2963" s="24" t="str">
        <f aca="false">IF($D2963="","",IFERROR(IF(INDEX(Workers!$D$5:$D$2004,MATCH($D2963,Workers!$A$5:$A$2004,0))=0,"",INDEX(Workers!$D$5:$D$2004,MATCH($D2963,Workers!$A$5:$A$2004,0))),""))</f>
        <v/>
      </c>
      <c r="L2963" s="24" t="str">
        <f aca="false">IF($D2963="","",IFERROR(INDEX(Workers!$E$5:$E$2004,MATCH($D2963,Workers!$A$5:$A$2004,0)),""))</f>
        <v/>
      </c>
      <c r="M2963" s="26" t="str">
        <f aca="false">IF($D2963="","",IFERROR(INDEX(ClientRates!$D$5:$D$500,MATCH($B2963&amp;"|"&amp;$L2963,ClientRates!$A$5:$A$500,0)),0))</f>
        <v/>
      </c>
      <c r="N2963" s="26" t="str">
        <f aca="false">IF($D2963="","",IFERROR(INDEX(ClientRates!$E$5:$E$500,MATCH($B2963&amp;"|"&amp;$L2963,ClientRates!$A$5:$A$500,0)),0))</f>
        <v/>
      </c>
      <c r="O2963" s="26" t="str">
        <f aca="false">IF($D2963="","",F2963*M2963+G2963*N2963)</f>
        <v/>
      </c>
      <c r="P2963" s="26" t="str">
        <f aca="false">IF(OR($D2963="",$J2963&lt;&gt;"Supplier"),"",IFERROR(INDEX(SupplierRates!$D$5:$D$500,MATCH($K2963&amp;"|"&amp;$L2963,SupplierRates!$A$5:$A$500,0)),0))</f>
        <v/>
      </c>
      <c r="Q2963" s="26" t="str">
        <f aca="false">IF(OR($D2963="",$J2963&lt;&gt;"Supplier"),"",IFERROR(INDEX(SupplierRates!$E$5:$E$500,MATCH($K2963&amp;"|"&amp;$L2963,SupplierRates!$A$5:$A$500,0)),0))</f>
        <v/>
      </c>
      <c r="R2963" s="26" t="n">
        <f aca="false">IF(OR($D2963="",$J2963&lt;&gt;"Supplier"),0,F2963*P2963+G2963*Q2963)</f>
        <v>0</v>
      </c>
      <c r="S2963" s="26" t="n">
        <f aca="false">IF(OR($D2963="",$J2963&lt;&gt;"Own"),0,IFERROR((F2963+G2963*Settings!$B$13)*INDEX(Workers!$V$5:$V$2004,MATCH($D2963,Workers!$A$5:$A$2004,0)),0))</f>
        <v>0</v>
      </c>
      <c r="T2963" s="26" t="str">
        <f aca="false">IF($D2963="","",O2963-R2963-S2963)</f>
        <v/>
      </c>
    </row>
    <row r="2964" customFormat="false" ht="15" hidden="false" customHeight="false" outlineLevel="0" collapsed="false">
      <c r="I2964" s="24" t="str">
        <f aca="false">IF($D2964="","",IFERROR(INDEX(Workers!$B$5:$B$2004,MATCH($D2964,Workers!$A$5:$A$2004,0)),"NOT FOUND"))</f>
        <v/>
      </c>
      <c r="J2964" s="24" t="str">
        <f aca="false">IF($D2964="","",IFERROR(INDEX(Workers!$C$5:$C$2004,MATCH($D2964,Workers!$A$5:$A$2004,0)),""))</f>
        <v/>
      </c>
      <c r="K2964" s="24" t="str">
        <f aca="false">IF($D2964="","",IFERROR(IF(INDEX(Workers!$D$5:$D$2004,MATCH($D2964,Workers!$A$5:$A$2004,0))=0,"",INDEX(Workers!$D$5:$D$2004,MATCH($D2964,Workers!$A$5:$A$2004,0))),""))</f>
        <v/>
      </c>
      <c r="L2964" s="24" t="str">
        <f aca="false">IF($D2964="","",IFERROR(INDEX(Workers!$E$5:$E$2004,MATCH($D2964,Workers!$A$5:$A$2004,0)),""))</f>
        <v/>
      </c>
      <c r="M2964" s="26" t="str">
        <f aca="false">IF($D2964="","",IFERROR(INDEX(ClientRates!$D$5:$D$500,MATCH($B2964&amp;"|"&amp;$L2964,ClientRates!$A$5:$A$500,0)),0))</f>
        <v/>
      </c>
      <c r="N2964" s="26" t="str">
        <f aca="false">IF($D2964="","",IFERROR(INDEX(ClientRates!$E$5:$E$500,MATCH($B2964&amp;"|"&amp;$L2964,ClientRates!$A$5:$A$500,0)),0))</f>
        <v/>
      </c>
      <c r="O2964" s="26" t="str">
        <f aca="false">IF($D2964="","",F2964*M2964+G2964*N2964)</f>
        <v/>
      </c>
      <c r="P2964" s="26" t="str">
        <f aca="false">IF(OR($D2964="",$J2964&lt;&gt;"Supplier"),"",IFERROR(INDEX(SupplierRates!$D$5:$D$500,MATCH($K2964&amp;"|"&amp;$L2964,SupplierRates!$A$5:$A$500,0)),0))</f>
        <v/>
      </c>
      <c r="Q2964" s="26" t="str">
        <f aca="false">IF(OR($D2964="",$J2964&lt;&gt;"Supplier"),"",IFERROR(INDEX(SupplierRates!$E$5:$E$500,MATCH($K2964&amp;"|"&amp;$L2964,SupplierRates!$A$5:$A$500,0)),0))</f>
        <v/>
      </c>
      <c r="R2964" s="26" t="n">
        <f aca="false">IF(OR($D2964="",$J2964&lt;&gt;"Supplier"),0,F2964*P2964+G2964*Q2964)</f>
        <v>0</v>
      </c>
      <c r="S2964" s="26" t="n">
        <f aca="false">IF(OR($D2964="",$J2964&lt;&gt;"Own"),0,IFERROR((F2964+G2964*Settings!$B$13)*INDEX(Workers!$V$5:$V$2004,MATCH($D2964,Workers!$A$5:$A$2004,0)),0))</f>
        <v>0</v>
      </c>
      <c r="T2964" s="26" t="str">
        <f aca="false">IF($D2964="","",O2964-R2964-S2964)</f>
        <v/>
      </c>
    </row>
    <row r="2965" customFormat="false" ht="15" hidden="false" customHeight="false" outlineLevel="0" collapsed="false">
      <c r="I2965" s="24" t="str">
        <f aca="false">IF($D2965="","",IFERROR(INDEX(Workers!$B$5:$B$2004,MATCH($D2965,Workers!$A$5:$A$2004,0)),"NOT FOUND"))</f>
        <v/>
      </c>
      <c r="J2965" s="24" t="str">
        <f aca="false">IF($D2965="","",IFERROR(INDEX(Workers!$C$5:$C$2004,MATCH($D2965,Workers!$A$5:$A$2004,0)),""))</f>
        <v/>
      </c>
      <c r="K2965" s="24" t="str">
        <f aca="false">IF($D2965="","",IFERROR(IF(INDEX(Workers!$D$5:$D$2004,MATCH($D2965,Workers!$A$5:$A$2004,0))=0,"",INDEX(Workers!$D$5:$D$2004,MATCH($D2965,Workers!$A$5:$A$2004,0))),""))</f>
        <v/>
      </c>
      <c r="L2965" s="24" t="str">
        <f aca="false">IF($D2965="","",IFERROR(INDEX(Workers!$E$5:$E$2004,MATCH($D2965,Workers!$A$5:$A$2004,0)),""))</f>
        <v/>
      </c>
      <c r="M2965" s="26" t="str">
        <f aca="false">IF($D2965="","",IFERROR(INDEX(ClientRates!$D$5:$D$500,MATCH($B2965&amp;"|"&amp;$L2965,ClientRates!$A$5:$A$500,0)),0))</f>
        <v/>
      </c>
      <c r="N2965" s="26" t="str">
        <f aca="false">IF($D2965="","",IFERROR(INDEX(ClientRates!$E$5:$E$500,MATCH($B2965&amp;"|"&amp;$L2965,ClientRates!$A$5:$A$500,0)),0))</f>
        <v/>
      </c>
      <c r="O2965" s="26" t="str">
        <f aca="false">IF($D2965="","",F2965*M2965+G2965*N2965)</f>
        <v/>
      </c>
      <c r="P2965" s="26" t="str">
        <f aca="false">IF(OR($D2965="",$J2965&lt;&gt;"Supplier"),"",IFERROR(INDEX(SupplierRates!$D$5:$D$500,MATCH($K2965&amp;"|"&amp;$L2965,SupplierRates!$A$5:$A$500,0)),0))</f>
        <v/>
      </c>
      <c r="Q2965" s="26" t="str">
        <f aca="false">IF(OR($D2965="",$J2965&lt;&gt;"Supplier"),"",IFERROR(INDEX(SupplierRates!$E$5:$E$500,MATCH($K2965&amp;"|"&amp;$L2965,SupplierRates!$A$5:$A$500,0)),0))</f>
        <v/>
      </c>
      <c r="R2965" s="26" t="n">
        <f aca="false">IF(OR($D2965="",$J2965&lt;&gt;"Supplier"),0,F2965*P2965+G2965*Q2965)</f>
        <v>0</v>
      </c>
      <c r="S2965" s="26" t="n">
        <f aca="false">IF(OR($D2965="",$J2965&lt;&gt;"Own"),0,IFERROR((F2965+G2965*Settings!$B$13)*INDEX(Workers!$V$5:$V$2004,MATCH($D2965,Workers!$A$5:$A$2004,0)),0))</f>
        <v>0</v>
      </c>
      <c r="T2965" s="26" t="str">
        <f aca="false">IF($D2965="","",O2965-R2965-S2965)</f>
        <v/>
      </c>
    </row>
    <row r="2966" customFormat="false" ht="15" hidden="false" customHeight="false" outlineLevel="0" collapsed="false">
      <c r="I2966" s="24" t="str">
        <f aca="false">IF($D2966="","",IFERROR(INDEX(Workers!$B$5:$B$2004,MATCH($D2966,Workers!$A$5:$A$2004,0)),"NOT FOUND"))</f>
        <v/>
      </c>
      <c r="J2966" s="24" t="str">
        <f aca="false">IF($D2966="","",IFERROR(INDEX(Workers!$C$5:$C$2004,MATCH($D2966,Workers!$A$5:$A$2004,0)),""))</f>
        <v/>
      </c>
      <c r="K2966" s="24" t="str">
        <f aca="false">IF($D2966="","",IFERROR(IF(INDEX(Workers!$D$5:$D$2004,MATCH($D2966,Workers!$A$5:$A$2004,0))=0,"",INDEX(Workers!$D$5:$D$2004,MATCH($D2966,Workers!$A$5:$A$2004,0))),""))</f>
        <v/>
      </c>
      <c r="L2966" s="24" t="str">
        <f aca="false">IF($D2966="","",IFERROR(INDEX(Workers!$E$5:$E$2004,MATCH($D2966,Workers!$A$5:$A$2004,0)),""))</f>
        <v/>
      </c>
      <c r="M2966" s="26" t="str">
        <f aca="false">IF($D2966="","",IFERROR(INDEX(ClientRates!$D$5:$D$500,MATCH($B2966&amp;"|"&amp;$L2966,ClientRates!$A$5:$A$500,0)),0))</f>
        <v/>
      </c>
      <c r="N2966" s="26" t="str">
        <f aca="false">IF($D2966="","",IFERROR(INDEX(ClientRates!$E$5:$E$500,MATCH($B2966&amp;"|"&amp;$L2966,ClientRates!$A$5:$A$500,0)),0))</f>
        <v/>
      </c>
      <c r="O2966" s="26" t="str">
        <f aca="false">IF($D2966="","",F2966*M2966+G2966*N2966)</f>
        <v/>
      </c>
      <c r="P2966" s="26" t="str">
        <f aca="false">IF(OR($D2966="",$J2966&lt;&gt;"Supplier"),"",IFERROR(INDEX(SupplierRates!$D$5:$D$500,MATCH($K2966&amp;"|"&amp;$L2966,SupplierRates!$A$5:$A$500,0)),0))</f>
        <v/>
      </c>
      <c r="Q2966" s="26" t="str">
        <f aca="false">IF(OR($D2966="",$J2966&lt;&gt;"Supplier"),"",IFERROR(INDEX(SupplierRates!$E$5:$E$500,MATCH($K2966&amp;"|"&amp;$L2966,SupplierRates!$A$5:$A$500,0)),0))</f>
        <v/>
      </c>
      <c r="R2966" s="26" t="n">
        <f aca="false">IF(OR($D2966="",$J2966&lt;&gt;"Supplier"),0,F2966*P2966+G2966*Q2966)</f>
        <v>0</v>
      </c>
      <c r="S2966" s="26" t="n">
        <f aca="false">IF(OR($D2966="",$J2966&lt;&gt;"Own"),0,IFERROR((F2966+G2966*Settings!$B$13)*INDEX(Workers!$V$5:$V$2004,MATCH($D2966,Workers!$A$5:$A$2004,0)),0))</f>
        <v>0</v>
      </c>
      <c r="T2966" s="26" t="str">
        <f aca="false">IF($D2966="","",O2966-R2966-S2966)</f>
        <v/>
      </c>
    </row>
    <row r="2967" customFormat="false" ht="15" hidden="false" customHeight="false" outlineLevel="0" collapsed="false">
      <c r="I2967" s="24" t="str">
        <f aca="false">IF($D2967="","",IFERROR(INDEX(Workers!$B$5:$B$2004,MATCH($D2967,Workers!$A$5:$A$2004,0)),"NOT FOUND"))</f>
        <v/>
      </c>
      <c r="J2967" s="24" t="str">
        <f aca="false">IF($D2967="","",IFERROR(INDEX(Workers!$C$5:$C$2004,MATCH($D2967,Workers!$A$5:$A$2004,0)),""))</f>
        <v/>
      </c>
      <c r="K2967" s="24" t="str">
        <f aca="false">IF($D2967="","",IFERROR(IF(INDEX(Workers!$D$5:$D$2004,MATCH($D2967,Workers!$A$5:$A$2004,0))=0,"",INDEX(Workers!$D$5:$D$2004,MATCH($D2967,Workers!$A$5:$A$2004,0))),""))</f>
        <v/>
      </c>
      <c r="L2967" s="24" t="str">
        <f aca="false">IF($D2967="","",IFERROR(INDEX(Workers!$E$5:$E$2004,MATCH($D2967,Workers!$A$5:$A$2004,0)),""))</f>
        <v/>
      </c>
      <c r="M2967" s="26" t="str">
        <f aca="false">IF($D2967="","",IFERROR(INDEX(ClientRates!$D$5:$D$500,MATCH($B2967&amp;"|"&amp;$L2967,ClientRates!$A$5:$A$500,0)),0))</f>
        <v/>
      </c>
      <c r="N2967" s="26" t="str">
        <f aca="false">IF($D2967="","",IFERROR(INDEX(ClientRates!$E$5:$E$500,MATCH($B2967&amp;"|"&amp;$L2967,ClientRates!$A$5:$A$500,0)),0))</f>
        <v/>
      </c>
      <c r="O2967" s="26" t="str">
        <f aca="false">IF($D2967="","",F2967*M2967+G2967*N2967)</f>
        <v/>
      </c>
      <c r="P2967" s="26" t="str">
        <f aca="false">IF(OR($D2967="",$J2967&lt;&gt;"Supplier"),"",IFERROR(INDEX(SupplierRates!$D$5:$D$500,MATCH($K2967&amp;"|"&amp;$L2967,SupplierRates!$A$5:$A$500,0)),0))</f>
        <v/>
      </c>
      <c r="Q2967" s="26" t="str">
        <f aca="false">IF(OR($D2967="",$J2967&lt;&gt;"Supplier"),"",IFERROR(INDEX(SupplierRates!$E$5:$E$500,MATCH($K2967&amp;"|"&amp;$L2967,SupplierRates!$A$5:$A$500,0)),0))</f>
        <v/>
      </c>
      <c r="R2967" s="26" t="n">
        <f aca="false">IF(OR($D2967="",$J2967&lt;&gt;"Supplier"),0,F2967*P2967+G2967*Q2967)</f>
        <v>0</v>
      </c>
      <c r="S2967" s="26" t="n">
        <f aca="false">IF(OR($D2967="",$J2967&lt;&gt;"Own"),0,IFERROR((F2967+G2967*Settings!$B$13)*INDEX(Workers!$V$5:$V$2004,MATCH($D2967,Workers!$A$5:$A$2004,0)),0))</f>
        <v>0</v>
      </c>
      <c r="T2967" s="26" t="str">
        <f aca="false">IF($D2967="","",O2967-R2967-S2967)</f>
        <v/>
      </c>
    </row>
    <row r="2968" customFormat="false" ht="15" hidden="false" customHeight="false" outlineLevel="0" collapsed="false">
      <c r="I2968" s="24" t="str">
        <f aca="false">IF($D2968="","",IFERROR(INDEX(Workers!$B$5:$B$2004,MATCH($D2968,Workers!$A$5:$A$2004,0)),"NOT FOUND"))</f>
        <v/>
      </c>
      <c r="J2968" s="24" t="str">
        <f aca="false">IF($D2968="","",IFERROR(INDEX(Workers!$C$5:$C$2004,MATCH($D2968,Workers!$A$5:$A$2004,0)),""))</f>
        <v/>
      </c>
      <c r="K2968" s="24" t="str">
        <f aca="false">IF($D2968="","",IFERROR(IF(INDEX(Workers!$D$5:$D$2004,MATCH($D2968,Workers!$A$5:$A$2004,0))=0,"",INDEX(Workers!$D$5:$D$2004,MATCH($D2968,Workers!$A$5:$A$2004,0))),""))</f>
        <v/>
      </c>
      <c r="L2968" s="24" t="str">
        <f aca="false">IF($D2968="","",IFERROR(INDEX(Workers!$E$5:$E$2004,MATCH($D2968,Workers!$A$5:$A$2004,0)),""))</f>
        <v/>
      </c>
      <c r="M2968" s="26" t="str">
        <f aca="false">IF($D2968="","",IFERROR(INDEX(ClientRates!$D$5:$D$500,MATCH($B2968&amp;"|"&amp;$L2968,ClientRates!$A$5:$A$500,0)),0))</f>
        <v/>
      </c>
      <c r="N2968" s="26" t="str">
        <f aca="false">IF($D2968="","",IFERROR(INDEX(ClientRates!$E$5:$E$500,MATCH($B2968&amp;"|"&amp;$L2968,ClientRates!$A$5:$A$500,0)),0))</f>
        <v/>
      </c>
      <c r="O2968" s="26" t="str">
        <f aca="false">IF($D2968="","",F2968*M2968+G2968*N2968)</f>
        <v/>
      </c>
      <c r="P2968" s="26" t="str">
        <f aca="false">IF(OR($D2968="",$J2968&lt;&gt;"Supplier"),"",IFERROR(INDEX(SupplierRates!$D$5:$D$500,MATCH($K2968&amp;"|"&amp;$L2968,SupplierRates!$A$5:$A$500,0)),0))</f>
        <v/>
      </c>
      <c r="Q2968" s="26" t="str">
        <f aca="false">IF(OR($D2968="",$J2968&lt;&gt;"Supplier"),"",IFERROR(INDEX(SupplierRates!$E$5:$E$500,MATCH($K2968&amp;"|"&amp;$L2968,SupplierRates!$A$5:$A$500,0)),0))</f>
        <v/>
      </c>
      <c r="R2968" s="26" t="n">
        <f aca="false">IF(OR($D2968="",$J2968&lt;&gt;"Supplier"),0,F2968*P2968+G2968*Q2968)</f>
        <v>0</v>
      </c>
      <c r="S2968" s="26" t="n">
        <f aca="false">IF(OR($D2968="",$J2968&lt;&gt;"Own"),0,IFERROR((F2968+G2968*Settings!$B$13)*INDEX(Workers!$V$5:$V$2004,MATCH($D2968,Workers!$A$5:$A$2004,0)),0))</f>
        <v>0</v>
      </c>
      <c r="T2968" s="26" t="str">
        <f aca="false">IF($D2968="","",O2968-R2968-S2968)</f>
        <v/>
      </c>
    </row>
    <row r="2969" customFormat="false" ht="15" hidden="false" customHeight="false" outlineLevel="0" collapsed="false">
      <c r="I2969" s="24" t="str">
        <f aca="false">IF($D2969="","",IFERROR(INDEX(Workers!$B$5:$B$2004,MATCH($D2969,Workers!$A$5:$A$2004,0)),"NOT FOUND"))</f>
        <v/>
      </c>
      <c r="J2969" s="24" t="str">
        <f aca="false">IF($D2969="","",IFERROR(INDEX(Workers!$C$5:$C$2004,MATCH($D2969,Workers!$A$5:$A$2004,0)),""))</f>
        <v/>
      </c>
      <c r="K2969" s="24" t="str">
        <f aca="false">IF($D2969="","",IFERROR(IF(INDEX(Workers!$D$5:$D$2004,MATCH($D2969,Workers!$A$5:$A$2004,0))=0,"",INDEX(Workers!$D$5:$D$2004,MATCH($D2969,Workers!$A$5:$A$2004,0))),""))</f>
        <v/>
      </c>
      <c r="L2969" s="24" t="str">
        <f aca="false">IF($D2969="","",IFERROR(INDEX(Workers!$E$5:$E$2004,MATCH($D2969,Workers!$A$5:$A$2004,0)),""))</f>
        <v/>
      </c>
      <c r="M2969" s="26" t="str">
        <f aca="false">IF($D2969="","",IFERROR(INDEX(ClientRates!$D$5:$D$500,MATCH($B2969&amp;"|"&amp;$L2969,ClientRates!$A$5:$A$500,0)),0))</f>
        <v/>
      </c>
      <c r="N2969" s="26" t="str">
        <f aca="false">IF($D2969="","",IFERROR(INDEX(ClientRates!$E$5:$E$500,MATCH($B2969&amp;"|"&amp;$L2969,ClientRates!$A$5:$A$500,0)),0))</f>
        <v/>
      </c>
      <c r="O2969" s="26" t="str">
        <f aca="false">IF($D2969="","",F2969*M2969+G2969*N2969)</f>
        <v/>
      </c>
      <c r="P2969" s="26" t="str">
        <f aca="false">IF(OR($D2969="",$J2969&lt;&gt;"Supplier"),"",IFERROR(INDEX(SupplierRates!$D$5:$D$500,MATCH($K2969&amp;"|"&amp;$L2969,SupplierRates!$A$5:$A$500,0)),0))</f>
        <v/>
      </c>
      <c r="Q2969" s="26" t="str">
        <f aca="false">IF(OR($D2969="",$J2969&lt;&gt;"Supplier"),"",IFERROR(INDEX(SupplierRates!$E$5:$E$500,MATCH($K2969&amp;"|"&amp;$L2969,SupplierRates!$A$5:$A$500,0)),0))</f>
        <v/>
      </c>
      <c r="R2969" s="26" t="n">
        <f aca="false">IF(OR($D2969="",$J2969&lt;&gt;"Supplier"),0,F2969*P2969+G2969*Q2969)</f>
        <v>0</v>
      </c>
      <c r="S2969" s="26" t="n">
        <f aca="false">IF(OR($D2969="",$J2969&lt;&gt;"Own"),0,IFERROR((F2969+G2969*Settings!$B$13)*INDEX(Workers!$V$5:$V$2004,MATCH($D2969,Workers!$A$5:$A$2004,0)),0))</f>
        <v>0</v>
      </c>
      <c r="T2969" s="26" t="str">
        <f aca="false">IF($D2969="","",O2969-R2969-S2969)</f>
        <v/>
      </c>
    </row>
    <row r="2970" customFormat="false" ht="15" hidden="false" customHeight="false" outlineLevel="0" collapsed="false">
      <c r="I2970" s="24" t="str">
        <f aca="false">IF($D2970="","",IFERROR(INDEX(Workers!$B$5:$B$2004,MATCH($D2970,Workers!$A$5:$A$2004,0)),"NOT FOUND"))</f>
        <v/>
      </c>
      <c r="J2970" s="24" t="str">
        <f aca="false">IF($D2970="","",IFERROR(INDEX(Workers!$C$5:$C$2004,MATCH($D2970,Workers!$A$5:$A$2004,0)),""))</f>
        <v/>
      </c>
      <c r="K2970" s="24" t="str">
        <f aca="false">IF($D2970="","",IFERROR(IF(INDEX(Workers!$D$5:$D$2004,MATCH($D2970,Workers!$A$5:$A$2004,0))=0,"",INDEX(Workers!$D$5:$D$2004,MATCH($D2970,Workers!$A$5:$A$2004,0))),""))</f>
        <v/>
      </c>
      <c r="L2970" s="24" t="str">
        <f aca="false">IF($D2970="","",IFERROR(INDEX(Workers!$E$5:$E$2004,MATCH($D2970,Workers!$A$5:$A$2004,0)),""))</f>
        <v/>
      </c>
      <c r="M2970" s="26" t="str">
        <f aca="false">IF($D2970="","",IFERROR(INDEX(ClientRates!$D$5:$D$500,MATCH($B2970&amp;"|"&amp;$L2970,ClientRates!$A$5:$A$500,0)),0))</f>
        <v/>
      </c>
      <c r="N2970" s="26" t="str">
        <f aca="false">IF($D2970="","",IFERROR(INDEX(ClientRates!$E$5:$E$500,MATCH($B2970&amp;"|"&amp;$L2970,ClientRates!$A$5:$A$500,0)),0))</f>
        <v/>
      </c>
      <c r="O2970" s="26" t="str">
        <f aca="false">IF($D2970="","",F2970*M2970+G2970*N2970)</f>
        <v/>
      </c>
      <c r="P2970" s="26" t="str">
        <f aca="false">IF(OR($D2970="",$J2970&lt;&gt;"Supplier"),"",IFERROR(INDEX(SupplierRates!$D$5:$D$500,MATCH($K2970&amp;"|"&amp;$L2970,SupplierRates!$A$5:$A$500,0)),0))</f>
        <v/>
      </c>
      <c r="Q2970" s="26" t="str">
        <f aca="false">IF(OR($D2970="",$J2970&lt;&gt;"Supplier"),"",IFERROR(INDEX(SupplierRates!$E$5:$E$500,MATCH($K2970&amp;"|"&amp;$L2970,SupplierRates!$A$5:$A$500,0)),0))</f>
        <v/>
      </c>
      <c r="R2970" s="26" t="n">
        <f aca="false">IF(OR($D2970="",$J2970&lt;&gt;"Supplier"),0,F2970*P2970+G2970*Q2970)</f>
        <v>0</v>
      </c>
      <c r="S2970" s="26" t="n">
        <f aca="false">IF(OR($D2970="",$J2970&lt;&gt;"Own"),0,IFERROR((F2970+G2970*Settings!$B$13)*INDEX(Workers!$V$5:$V$2004,MATCH($D2970,Workers!$A$5:$A$2004,0)),0))</f>
        <v>0</v>
      </c>
      <c r="T2970" s="26" t="str">
        <f aca="false">IF($D2970="","",O2970-R2970-S2970)</f>
        <v/>
      </c>
    </row>
    <row r="2971" customFormat="false" ht="15" hidden="false" customHeight="false" outlineLevel="0" collapsed="false">
      <c r="I2971" s="24" t="str">
        <f aca="false">IF($D2971="","",IFERROR(INDEX(Workers!$B$5:$B$2004,MATCH($D2971,Workers!$A$5:$A$2004,0)),"NOT FOUND"))</f>
        <v/>
      </c>
      <c r="J2971" s="24" t="str">
        <f aca="false">IF($D2971="","",IFERROR(INDEX(Workers!$C$5:$C$2004,MATCH($D2971,Workers!$A$5:$A$2004,0)),""))</f>
        <v/>
      </c>
      <c r="K2971" s="24" t="str">
        <f aca="false">IF($D2971="","",IFERROR(IF(INDEX(Workers!$D$5:$D$2004,MATCH($D2971,Workers!$A$5:$A$2004,0))=0,"",INDEX(Workers!$D$5:$D$2004,MATCH($D2971,Workers!$A$5:$A$2004,0))),""))</f>
        <v/>
      </c>
      <c r="L2971" s="24" t="str">
        <f aca="false">IF($D2971="","",IFERROR(INDEX(Workers!$E$5:$E$2004,MATCH($D2971,Workers!$A$5:$A$2004,0)),""))</f>
        <v/>
      </c>
      <c r="M2971" s="26" t="str">
        <f aca="false">IF($D2971="","",IFERROR(INDEX(ClientRates!$D$5:$D$500,MATCH($B2971&amp;"|"&amp;$L2971,ClientRates!$A$5:$A$500,0)),0))</f>
        <v/>
      </c>
      <c r="N2971" s="26" t="str">
        <f aca="false">IF($D2971="","",IFERROR(INDEX(ClientRates!$E$5:$E$500,MATCH($B2971&amp;"|"&amp;$L2971,ClientRates!$A$5:$A$500,0)),0))</f>
        <v/>
      </c>
      <c r="O2971" s="26" t="str">
        <f aca="false">IF($D2971="","",F2971*M2971+G2971*N2971)</f>
        <v/>
      </c>
      <c r="P2971" s="26" t="str">
        <f aca="false">IF(OR($D2971="",$J2971&lt;&gt;"Supplier"),"",IFERROR(INDEX(SupplierRates!$D$5:$D$500,MATCH($K2971&amp;"|"&amp;$L2971,SupplierRates!$A$5:$A$500,0)),0))</f>
        <v/>
      </c>
      <c r="Q2971" s="26" t="str">
        <f aca="false">IF(OR($D2971="",$J2971&lt;&gt;"Supplier"),"",IFERROR(INDEX(SupplierRates!$E$5:$E$500,MATCH($K2971&amp;"|"&amp;$L2971,SupplierRates!$A$5:$A$500,0)),0))</f>
        <v/>
      </c>
      <c r="R2971" s="26" t="n">
        <f aca="false">IF(OR($D2971="",$J2971&lt;&gt;"Supplier"),0,F2971*P2971+G2971*Q2971)</f>
        <v>0</v>
      </c>
      <c r="S2971" s="26" t="n">
        <f aca="false">IF(OR($D2971="",$J2971&lt;&gt;"Own"),0,IFERROR((F2971+G2971*Settings!$B$13)*INDEX(Workers!$V$5:$V$2004,MATCH($D2971,Workers!$A$5:$A$2004,0)),0))</f>
        <v>0</v>
      </c>
      <c r="T2971" s="26" t="str">
        <f aca="false">IF($D2971="","",O2971-R2971-S2971)</f>
        <v/>
      </c>
    </row>
    <row r="2972" customFormat="false" ht="15" hidden="false" customHeight="false" outlineLevel="0" collapsed="false">
      <c r="I2972" s="24" t="str">
        <f aca="false">IF($D2972="","",IFERROR(INDEX(Workers!$B$5:$B$2004,MATCH($D2972,Workers!$A$5:$A$2004,0)),"NOT FOUND"))</f>
        <v/>
      </c>
      <c r="J2972" s="24" t="str">
        <f aca="false">IF($D2972="","",IFERROR(INDEX(Workers!$C$5:$C$2004,MATCH($D2972,Workers!$A$5:$A$2004,0)),""))</f>
        <v/>
      </c>
      <c r="K2972" s="24" t="str">
        <f aca="false">IF($D2972="","",IFERROR(IF(INDEX(Workers!$D$5:$D$2004,MATCH($D2972,Workers!$A$5:$A$2004,0))=0,"",INDEX(Workers!$D$5:$D$2004,MATCH($D2972,Workers!$A$5:$A$2004,0))),""))</f>
        <v/>
      </c>
      <c r="L2972" s="24" t="str">
        <f aca="false">IF($D2972="","",IFERROR(INDEX(Workers!$E$5:$E$2004,MATCH($D2972,Workers!$A$5:$A$2004,0)),""))</f>
        <v/>
      </c>
      <c r="M2972" s="26" t="str">
        <f aca="false">IF($D2972="","",IFERROR(INDEX(ClientRates!$D$5:$D$500,MATCH($B2972&amp;"|"&amp;$L2972,ClientRates!$A$5:$A$500,0)),0))</f>
        <v/>
      </c>
      <c r="N2972" s="26" t="str">
        <f aca="false">IF($D2972="","",IFERROR(INDEX(ClientRates!$E$5:$E$500,MATCH($B2972&amp;"|"&amp;$L2972,ClientRates!$A$5:$A$500,0)),0))</f>
        <v/>
      </c>
      <c r="O2972" s="26" t="str">
        <f aca="false">IF($D2972="","",F2972*M2972+G2972*N2972)</f>
        <v/>
      </c>
      <c r="P2972" s="26" t="str">
        <f aca="false">IF(OR($D2972="",$J2972&lt;&gt;"Supplier"),"",IFERROR(INDEX(SupplierRates!$D$5:$D$500,MATCH($K2972&amp;"|"&amp;$L2972,SupplierRates!$A$5:$A$500,0)),0))</f>
        <v/>
      </c>
      <c r="Q2972" s="26" t="str">
        <f aca="false">IF(OR($D2972="",$J2972&lt;&gt;"Supplier"),"",IFERROR(INDEX(SupplierRates!$E$5:$E$500,MATCH($K2972&amp;"|"&amp;$L2972,SupplierRates!$A$5:$A$500,0)),0))</f>
        <v/>
      </c>
      <c r="R2972" s="26" t="n">
        <f aca="false">IF(OR($D2972="",$J2972&lt;&gt;"Supplier"),0,F2972*P2972+G2972*Q2972)</f>
        <v>0</v>
      </c>
      <c r="S2972" s="26" t="n">
        <f aca="false">IF(OR($D2972="",$J2972&lt;&gt;"Own"),0,IFERROR((F2972+G2972*Settings!$B$13)*INDEX(Workers!$V$5:$V$2004,MATCH($D2972,Workers!$A$5:$A$2004,0)),0))</f>
        <v>0</v>
      </c>
      <c r="T2972" s="26" t="str">
        <f aca="false">IF($D2972="","",O2972-R2972-S2972)</f>
        <v/>
      </c>
    </row>
    <row r="2973" customFormat="false" ht="15" hidden="false" customHeight="false" outlineLevel="0" collapsed="false">
      <c r="I2973" s="24" t="str">
        <f aca="false">IF($D2973="","",IFERROR(INDEX(Workers!$B$5:$B$2004,MATCH($D2973,Workers!$A$5:$A$2004,0)),"NOT FOUND"))</f>
        <v/>
      </c>
      <c r="J2973" s="24" t="str">
        <f aca="false">IF($D2973="","",IFERROR(INDEX(Workers!$C$5:$C$2004,MATCH($D2973,Workers!$A$5:$A$2004,0)),""))</f>
        <v/>
      </c>
      <c r="K2973" s="24" t="str">
        <f aca="false">IF($D2973="","",IFERROR(IF(INDEX(Workers!$D$5:$D$2004,MATCH($D2973,Workers!$A$5:$A$2004,0))=0,"",INDEX(Workers!$D$5:$D$2004,MATCH($D2973,Workers!$A$5:$A$2004,0))),""))</f>
        <v/>
      </c>
      <c r="L2973" s="24" t="str">
        <f aca="false">IF($D2973="","",IFERROR(INDEX(Workers!$E$5:$E$2004,MATCH($D2973,Workers!$A$5:$A$2004,0)),""))</f>
        <v/>
      </c>
      <c r="M2973" s="26" t="str">
        <f aca="false">IF($D2973="","",IFERROR(INDEX(ClientRates!$D$5:$D$500,MATCH($B2973&amp;"|"&amp;$L2973,ClientRates!$A$5:$A$500,0)),0))</f>
        <v/>
      </c>
      <c r="N2973" s="26" t="str">
        <f aca="false">IF($D2973="","",IFERROR(INDEX(ClientRates!$E$5:$E$500,MATCH($B2973&amp;"|"&amp;$L2973,ClientRates!$A$5:$A$500,0)),0))</f>
        <v/>
      </c>
      <c r="O2973" s="26" t="str">
        <f aca="false">IF($D2973="","",F2973*M2973+G2973*N2973)</f>
        <v/>
      </c>
      <c r="P2973" s="26" t="str">
        <f aca="false">IF(OR($D2973="",$J2973&lt;&gt;"Supplier"),"",IFERROR(INDEX(SupplierRates!$D$5:$D$500,MATCH($K2973&amp;"|"&amp;$L2973,SupplierRates!$A$5:$A$500,0)),0))</f>
        <v/>
      </c>
      <c r="Q2973" s="26" t="str">
        <f aca="false">IF(OR($D2973="",$J2973&lt;&gt;"Supplier"),"",IFERROR(INDEX(SupplierRates!$E$5:$E$500,MATCH($K2973&amp;"|"&amp;$L2973,SupplierRates!$A$5:$A$500,0)),0))</f>
        <v/>
      </c>
      <c r="R2973" s="26" t="n">
        <f aca="false">IF(OR($D2973="",$J2973&lt;&gt;"Supplier"),0,F2973*P2973+G2973*Q2973)</f>
        <v>0</v>
      </c>
      <c r="S2973" s="26" t="n">
        <f aca="false">IF(OR($D2973="",$J2973&lt;&gt;"Own"),0,IFERROR((F2973+G2973*Settings!$B$13)*INDEX(Workers!$V$5:$V$2004,MATCH($D2973,Workers!$A$5:$A$2004,0)),0))</f>
        <v>0</v>
      </c>
      <c r="T2973" s="26" t="str">
        <f aca="false">IF($D2973="","",O2973-R2973-S2973)</f>
        <v/>
      </c>
    </row>
    <row r="2974" customFormat="false" ht="15" hidden="false" customHeight="false" outlineLevel="0" collapsed="false">
      <c r="I2974" s="24" t="str">
        <f aca="false">IF($D2974="","",IFERROR(INDEX(Workers!$B$5:$B$2004,MATCH($D2974,Workers!$A$5:$A$2004,0)),"NOT FOUND"))</f>
        <v/>
      </c>
      <c r="J2974" s="24" t="str">
        <f aca="false">IF($D2974="","",IFERROR(INDEX(Workers!$C$5:$C$2004,MATCH($D2974,Workers!$A$5:$A$2004,0)),""))</f>
        <v/>
      </c>
      <c r="K2974" s="24" t="str">
        <f aca="false">IF($D2974="","",IFERROR(IF(INDEX(Workers!$D$5:$D$2004,MATCH($D2974,Workers!$A$5:$A$2004,0))=0,"",INDEX(Workers!$D$5:$D$2004,MATCH($D2974,Workers!$A$5:$A$2004,0))),""))</f>
        <v/>
      </c>
      <c r="L2974" s="24" t="str">
        <f aca="false">IF($D2974="","",IFERROR(INDEX(Workers!$E$5:$E$2004,MATCH($D2974,Workers!$A$5:$A$2004,0)),""))</f>
        <v/>
      </c>
      <c r="M2974" s="26" t="str">
        <f aca="false">IF($D2974="","",IFERROR(INDEX(ClientRates!$D$5:$D$500,MATCH($B2974&amp;"|"&amp;$L2974,ClientRates!$A$5:$A$500,0)),0))</f>
        <v/>
      </c>
      <c r="N2974" s="26" t="str">
        <f aca="false">IF($D2974="","",IFERROR(INDEX(ClientRates!$E$5:$E$500,MATCH($B2974&amp;"|"&amp;$L2974,ClientRates!$A$5:$A$500,0)),0))</f>
        <v/>
      </c>
      <c r="O2974" s="26" t="str">
        <f aca="false">IF($D2974="","",F2974*M2974+G2974*N2974)</f>
        <v/>
      </c>
      <c r="P2974" s="26" t="str">
        <f aca="false">IF(OR($D2974="",$J2974&lt;&gt;"Supplier"),"",IFERROR(INDEX(SupplierRates!$D$5:$D$500,MATCH($K2974&amp;"|"&amp;$L2974,SupplierRates!$A$5:$A$500,0)),0))</f>
        <v/>
      </c>
      <c r="Q2974" s="26" t="str">
        <f aca="false">IF(OR($D2974="",$J2974&lt;&gt;"Supplier"),"",IFERROR(INDEX(SupplierRates!$E$5:$E$500,MATCH($K2974&amp;"|"&amp;$L2974,SupplierRates!$A$5:$A$500,0)),0))</f>
        <v/>
      </c>
      <c r="R2974" s="26" t="n">
        <f aca="false">IF(OR($D2974="",$J2974&lt;&gt;"Supplier"),0,F2974*P2974+G2974*Q2974)</f>
        <v>0</v>
      </c>
      <c r="S2974" s="26" t="n">
        <f aca="false">IF(OR($D2974="",$J2974&lt;&gt;"Own"),0,IFERROR((F2974+G2974*Settings!$B$13)*INDEX(Workers!$V$5:$V$2004,MATCH($D2974,Workers!$A$5:$A$2004,0)),0))</f>
        <v>0</v>
      </c>
      <c r="T2974" s="26" t="str">
        <f aca="false">IF($D2974="","",O2974-R2974-S2974)</f>
        <v/>
      </c>
    </row>
    <row r="2975" customFormat="false" ht="15" hidden="false" customHeight="false" outlineLevel="0" collapsed="false">
      <c r="I2975" s="24" t="str">
        <f aca="false">IF($D2975="","",IFERROR(INDEX(Workers!$B$5:$B$2004,MATCH($D2975,Workers!$A$5:$A$2004,0)),"NOT FOUND"))</f>
        <v/>
      </c>
      <c r="J2975" s="24" t="str">
        <f aca="false">IF($D2975="","",IFERROR(INDEX(Workers!$C$5:$C$2004,MATCH($D2975,Workers!$A$5:$A$2004,0)),""))</f>
        <v/>
      </c>
      <c r="K2975" s="24" t="str">
        <f aca="false">IF($D2975="","",IFERROR(IF(INDEX(Workers!$D$5:$D$2004,MATCH($D2975,Workers!$A$5:$A$2004,0))=0,"",INDEX(Workers!$D$5:$D$2004,MATCH($D2975,Workers!$A$5:$A$2004,0))),""))</f>
        <v/>
      </c>
      <c r="L2975" s="24" t="str">
        <f aca="false">IF($D2975="","",IFERROR(INDEX(Workers!$E$5:$E$2004,MATCH($D2975,Workers!$A$5:$A$2004,0)),""))</f>
        <v/>
      </c>
      <c r="M2975" s="26" t="str">
        <f aca="false">IF($D2975="","",IFERROR(INDEX(ClientRates!$D$5:$D$500,MATCH($B2975&amp;"|"&amp;$L2975,ClientRates!$A$5:$A$500,0)),0))</f>
        <v/>
      </c>
      <c r="N2975" s="26" t="str">
        <f aca="false">IF($D2975="","",IFERROR(INDEX(ClientRates!$E$5:$E$500,MATCH($B2975&amp;"|"&amp;$L2975,ClientRates!$A$5:$A$500,0)),0))</f>
        <v/>
      </c>
      <c r="O2975" s="26" t="str">
        <f aca="false">IF($D2975="","",F2975*M2975+G2975*N2975)</f>
        <v/>
      </c>
      <c r="P2975" s="26" t="str">
        <f aca="false">IF(OR($D2975="",$J2975&lt;&gt;"Supplier"),"",IFERROR(INDEX(SupplierRates!$D$5:$D$500,MATCH($K2975&amp;"|"&amp;$L2975,SupplierRates!$A$5:$A$500,0)),0))</f>
        <v/>
      </c>
      <c r="Q2975" s="26" t="str">
        <f aca="false">IF(OR($D2975="",$J2975&lt;&gt;"Supplier"),"",IFERROR(INDEX(SupplierRates!$E$5:$E$500,MATCH($K2975&amp;"|"&amp;$L2975,SupplierRates!$A$5:$A$500,0)),0))</f>
        <v/>
      </c>
      <c r="R2975" s="26" t="n">
        <f aca="false">IF(OR($D2975="",$J2975&lt;&gt;"Supplier"),0,F2975*P2975+G2975*Q2975)</f>
        <v>0</v>
      </c>
      <c r="S2975" s="26" t="n">
        <f aca="false">IF(OR($D2975="",$J2975&lt;&gt;"Own"),0,IFERROR((F2975+G2975*Settings!$B$13)*INDEX(Workers!$V$5:$V$2004,MATCH($D2975,Workers!$A$5:$A$2004,0)),0))</f>
        <v>0</v>
      </c>
      <c r="T2975" s="26" t="str">
        <f aca="false">IF($D2975="","",O2975-R2975-S2975)</f>
        <v/>
      </c>
    </row>
    <row r="2976" customFormat="false" ht="15" hidden="false" customHeight="false" outlineLevel="0" collapsed="false">
      <c r="I2976" s="24" t="str">
        <f aca="false">IF($D2976="","",IFERROR(INDEX(Workers!$B$5:$B$2004,MATCH($D2976,Workers!$A$5:$A$2004,0)),"NOT FOUND"))</f>
        <v/>
      </c>
      <c r="J2976" s="24" t="str">
        <f aca="false">IF($D2976="","",IFERROR(INDEX(Workers!$C$5:$C$2004,MATCH($D2976,Workers!$A$5:$A$2004,0)),""))</f>
        <v/>
      </c>
      <c r="K2976" s="24" t="str">
        <f aca="false">IF($D2976="","",IFERROR(IF(INDEX(Workers!$D$5:$D$2004,MATCH($D2976,Workers!$A$5:$A$2004,0))=0,"",INDEX(Workers!$D$5:$D$2004,MATCH($D2976,Workers!$A$5:$A$2004,0))),""))</f>
        <v/>
      </c>
      <c r="L2976" s="24" t="str">
        <f aca="false">IF($D2976="","",IFERROR(INDEX(Workers!$E$5:$E$2004,MATCH($D2976,Workers!$A$5:$A$2004,0)),""))</f>
        <v/>
      </c>
      <c r="M2976" s="26" t="str">
        <f aca="false">IF($D2976="","",IFERROR(INDEX(ClientRates!$D$5:$D$500,MATCH($B2976&amp;"|"&amp;$L2976,ClientRates!$A$5:$A$500,0)),0))</f>
        <v/>
      </c>
      <c r="N2976" s="26" t="str">
        <f aca="false">IF($D2976="","",IFERROR(INDEX(ClientRates!$E$5:$E$500,MATCH($B2976&amp;"|"&amp;$L2976,ClientRates!$A$5:$A$500,0)),0))</f>
        <v/>
      </c>
      <c r="O2976" s="26" t="str">
        <f aca="false">IF($D2976="","",F2976*M2976+G2976*N2976)</f>
        <v/>
      </c>
      <c r="P2976" s="26" t="str">
        <f aca="false">IF(OR($D2976="",$J2976&lt;&gt;"Supplier"),"",IFERROR(INDEX(SupplierRates!$D$5:$D$500,MATCH($K2976&amp;"|"&amp;$L2976,SupplierRates!$A$5:$A$500,0)),0))</f>
        <v/>
      </c>
      <c r="Q2976" s="26" t="str">
        <f aca="false">IF(OR($D2976="",$J2976&lt;&gt;"Supplier"),"",IFERROR(INDEX(SupplierRates!$E$5:$E$500,MATCH($K2976&amp;"|"&amp;$L2976,SupplierRates!$A$5:$A$500,0)),0))</f>
        <v/>
      </c>
      <c r="R2976" s="26" t="n">
        <f aca="false">IF(OR($D2976="",$J2976&lt;&gt;"Supplier"),0,F2976*P2976+G2976*Q2976)</f>
        <v>0</v>
      </c>
      <c r="S2976" s="26" t="n">
        <f aca="false">IF(OR($D2976="",$J2976&lt;&gt;"Own"),0,IFERROR((F2976+G2976*Settings!$B$13)*INDEX(Workers!$V$5:$V$2004,MATCH($D2976,Workers!$A$5:$A$2004,0)),0))</f>
        <v>0</v>
      </c>
      <c r="T2976" s="26" t="str">
        <f aca="false">IF($D2976="","",O2976-R2976-S2976)</f>
        <v/>
      </c>
    </row>
    <row r="2977" customFormat="false" ht="15" hidden="false" customHeight="false" outlineLevel="0" collapsed="false">
      <c r="I2977" s="24" t="str">
        <f aca="false">IF($D2977="","",IFERROR(INDEX(Workers!$B$5:$B$2004,MATCH($D2977,Workers!$A$5:$A$2004,0)),"NOT FOUND"))</f>
        <v/>
      </c>
      <c r="J2977" s="24" t="str">
        <f aca="false">IF($D2977="","",IFERROR(INDEX(Workers!$C$5:$C$2004,MATCH($D2977,Workers!$A$5:$A$2004,0)),""))</f>
        <v/>
      </c>
      <c r="K2977" s="24" t="str">
        <f aca="false">IF($D2977="","",IFERROR(IF(INDEX(Workers!$D$5:$D$2004,MATCH($D2977,Workers!$A$5:$A$2004,0))=0,"",INDEX(Workers!$D$5:$D$2004,MATCH($D2977,Workers!$A$5:$A$2004,0))),""))</f>
        <v/>
      </c>
      <c r="L2977" s="24" t="str">
        <f aca="false">IF($D2977="","",IFERROR(INDEX(Workers!$E$5:$E$2004,MATCH($D2977,Workers!$A$5:$A$2004,0)),""))</f>
        <v/>
      </c>
      <c r="M2977" s="26" t="str">
        <f aca="false">IF($D2977="","",IFERROR(INDEX(ClientRates!$D$5:$D$500,MATCH($B2977&amp;"|"&amp;$L2977,ClientRates!$A$5:$A$500,0)),0))</f>
        <v/>
      </c>
      <c r="N2977" s="26" t="str">
        <f aca="false">IF($D2977="","",IFERROR(INDEX(ClientRates!$E$5:$E$500,MATCH($B2977&amp;"|"&amp;$L2977,ClientRates!$A$5:$A$500,0)),0))</f>
        <v/>
      </c>
      <c r="O2977" s="26" t="str">
        <f aca="false">IF($D2977="","",F2977*M2977+G2977*N2977)</f>
        <v/>
      </c>
      <c r="P2977" s="26" t="str">
        <f aca="false">IF(OR($D2977="",$J2977&lt;&gt;"Supplier"),"",IFERROR(INDEX(SupplierRates!$D$5:$D$500,MATCH($K2977&amp;"|"&amp;$L2977,SupplierRates!$A$5:$A$500,0)),0))</f>
        <v/>
      </c>
      <c r="Q2977" s="26" t="str">
        <f aca="false">IF(OR($D2977="",$J2977&lt;&gt;"Supplier"),"",IFERROR(INDEX(SupplierRates!$E$5:$E$500,MATCH($K2977&amp;"|"&amp;$L2977,SupplierRates!$A$5:$A$500,0)),0))</f>
        <v/>
      </c>
      <c r="R2977" s="26" t="n">
        <f aca="false">IF(OR($D2977="",$J2977&lt;&gt;"Supplier"),0,F2977*P2977+G2977*Q2977)</f>
        <v>0</v>
      </c>
      <c r="S2977" s="26" t="n">
        <f aca="false">IF(OR($D2977="",$J2977&lt;&gt;"Own"),0,IFERROR((F2977+G2977*Settings!$B$13)*INDEX(Workers!$V$5:$V$2004,MATCH($D2977,Workers!$A$5:$A$2004,0)),0))</f>
        <v>0</v>
      </c>
      <c r="T2977" s="26" t="str">
        <f aca="false">IF($D2977="","",O2977-R2977-S2977)</f>
        <v/>
      </c>
    </row>
    <row r="2978" customFormat="false" ht="15" hidden="false" customHeight="false" outlineLevel="0" collapsed="false">
      <c r="I2978" s="24" t="str">
        <f aca="false">IF($D2978="","",IFERROR(INDEX(Workers!$B$5:$B$2004,MATCH($D2978,Workers!$A$5:$A$2004,0)),"NOT FOUND"))</f>
        <v/>
      </c>
      <c r="J2978" s="24" t="str">
        <f aca="false">IF($D2978="","",IFERROR(INDEX(Workers!$C$5:$C$2004,MATCH($D2978,Workers!$A$5:$A$2004,0)),""))</f>
        <v/>
      </c>
      <c r="K2978" s="24" t="str">
        <f aca="false">IF($D2978="","",IFERROR(IF(INDEX(Workers!$D$5:$D$2004,MATCH($D2978,Workers!$A$5:$A$2004,0))=0,"",INDEX(Workers!$D$5:$D$2004,MATCH($D2978,Workers!$A$5:$A$2004,0))),""))</f>
        <v/>
      </c>
      <c r="L2978" s="24" t="str">
        <f aca="false">IF($D2978="","",IFERROR(INDEX(Workers!$E$5:$E$2004,MATCH($D2978,Workers!$A$5:$A$2004,0)),""))</f>
        <v/>
      </c>
      <c r="M2978" s="26" t="str">
        <f aca="false">IF($D2978="","",IFERROR(INDEX(ClientRates!$D$5:$D$500,MATCH($B2978&amp;"|"&amp;$L2978,ClientRates!$A$5:$A$500,0)),0))</f>
        <v/>
      </c>
      <c r="N2978" s="26" t="str">
        <f aca="false">IF($D2978="","",IFERROR(INDEX(ClientRates!$E$5:$E$500,MATCH($B2978&amp;"|"&amp;$L2978,ClientRates!$A$5:$A$500,0)),0))</f>
        <v/>
      </c>
      <c r="O2978" s="26" t="str">
        <f aca="false">IF($D2978="","",F2978*M2978+G2978*N2978)</f>
        <v/>
      </c>
      <c r="P2978" s="26" t="str">
        <f aca="false">IF(OR($D2978="",$J2978&lt;&gt;"Supplier"),"",IFERROR(INDEX(SupplierRates!$D$5:$D$500,MATCH($K2978&amp;"|"&amp;$L2978,SupplierRates!$A$5:$A$500,0)),0))</f>
        <v/>
      </c>
      <c r="Q2978" s="26" t="str">
        <f aca="false">IF(OR($D2978="",$J2978&lt;&gt;"Supplier"),"",IFERROR(INDEX(SupplierRates!$E$5:$E$500,MATCH($K2978&amp;"|"&amp;$L2978,SupplierRates!$A$5:$A$500,0)),0))</f>
        <v/>
      </c>
      <c r="R2978" s="26" t="n">
        <f aca="false">IF(OR($D2978="",$J2978&lt;&gt;"Supplier"),0,F2978*P2978+G2978*Q2978)</f>
        <v>0</v>
      </c>
      <c r="S2978" s="26" t="n">
        <f aca="false">IF(OR($D2978="",$J2978&lt;&gt;"Own"),0,IFERROR((F2978+G2978*Settings!$B$13)*INDEX(Workers!$V$5:$V$2004,MATCH($D2978,Workers!$A$5:$A$2004,0)),0))</f>
        <v>0</v>
      </c>
      <c r="T2978" s="26" t="str">
        <f aca="false">IF($D2978="","",O2978-R2978-S2978)</f>
        <v/>
      </c>
    </row>
    <row r="2979" customFormat="false" ht="15" hidden="false" customHeight="false" outlineLevel="0" collapsed="false">
      <c r="I2979" s="24" t="str">
        <f aca="false">IF($D2979="","",IFERROR(INDEX(Workers!$B$5:$B$2004,MATCH($D2979,Workers!$A$5:$A$2004,0)),"NOT FOUND"))</f>
        <v/>
      </c>
      <c r="J2979" s="24" t="str">
        <f aca="false">IF($D2979="","",IFERROR(INDEX(Workers!$C$5:$C$2004,MATCH($D2979,Workers!$A$5:$A$2004,0)),""))</f>
        <v/>
      </c>
      <c r="K2979" s="24" t="str">
        <f aca="false">IF($D2979="","",IFERROR(IF(INDEX(Workers!$D$5:$D$2004,MATCH($D2979,Workers!$A$5:$A$2004,0))=0,"",INDEX(Workers!$D$5:$D$2004,MATCH($D2979,Workers!$A$5:$A$2004,0))),""))</f>
        <v/>
      </c>
      <c r="L2979" s="24" t="str">
        <f aca="false">IF($D2979="","",IFERROR(INDEX(Workers!$E$5:$E$2004,MATCH($D2979,Workers!$A$5:$A$2004,0)),""))</f>
        <v/>
      </c>
      <c r="M2979" s="26" t="str">
        <f aca="false">IF($D2979="","",IFERROR(INDEX(ClientRates!$D$5:$D$500,MATCH($B2979&amp;"|"&amp;$L2979,ClientRates!$A$5:$A$500,0)),0))</f>
        <v/>
      </c>
      <c r="N2979" s="26" t="str">
        <f aca="false">IF($D2979="","",IFERROR(INDEX(ClientRates!$E$5:$E$500,MATCH($B2979&amp;"|"&amp;$L2979,ClientRates!$A$5:$A$500,0)),0))</f>
        <v/>
      </c>
      <c r="O2979" s="26" t="str">
        <f aca="false">IF($D2979="","",F2979*M2979+G2979*N2979)</f>
        <v/>
      </c>
      <c r="P2979" s="26" t="str">
        <f aca="false">IF(OR($D2979="",$J2979&lt;&gt;"Supplier"),"",IFERROR(INDEX(SupplierRates!$D$5:$D$500,MATCH($K2979&amp;"|"&amp;$L2979,SupplierRates!$A$5:$A$500,0)),0))</f>
        <v/>
      </c>
      <c r="Q2979" s="26" t="str">
        <f aca="false">IF(OR($D2979="",$J2979&lt;&gt;"Supplier"),"",IFERROR(INDEX(SupplierRates!$E$5:$E$500,MATCH($K2979&amp;"|"&amp;$L2979,SupplierRates!$A$5:$A$500,0)),0))</f>
        <v/>
      </c>
      <c r="R2979" s="26" t="n">
        <f aca="false">IF(OR($D2979="",$J2979&lt;&gt;"Supplier"),0,F2979*P2979+G2979*Q2979)</f>
        <v>0</v>
      </c>
      <c r="S2979" s="26" t="n">
        <f aca="false">IF(OR($D2979="",$J2979&lt;&gt;"Own"),0,IFERROR((F2979+G2979*Settings!$B$13)*INDEX(Workers!$V$5:$V$2004,MATCH($D2979,Workers!$A$5:$A$2004,0)),0))</f>
        <v>0</v>
      </c>
      <c r="T2979" s="26" t="str">
        <f aca="false">IF($D2979="","",O2979-R2979-S2979)</f>
        <v/>
      </c>
    </row>
    <row r="2980" customFormat="false" ht="15" hidden="false" customHeight="false" outlineLevel="0" collapsed="false">
      <c r="I2980" s="24" t="str">
        <f aca="false">IF($D2980="","",IFERROR(INDEX(Workers!$B$5:$B$2004,MATCH($D2980,Workers!$A$5:$A$2004,0)),"NOT FOUND"))</f>
        <v/>
      </c>
      <c r="J2980" s="24" t="str">
        <f aca="false">IF($D2980="","",IFERROR(INDEX(Workers!$C$5:$C$2004,MATCH($D2980,Workers!$A$5:$A$2004,0)),""))</f>
        <v/>
      </c>
      <c r="K2980" s="24" t="str">
        <f aca="false">IF($D2980="","",IFERROR(IF(INDEX(Workers!$D$5:$D$2004,MATCH($D2980,Workers!$A$5:$A$2004,0))=0,"",INDEX(Workers!$D$5:$D$2004,MATCH($D2980,Workers!$A$5:$A$2004,0))),""))</f>
        <v/>
      </c>
      <c r="L2980" s="24" t="str">
        <f aca="false">IF($D2980="","",IFERROR(INDEX(Workers!$E$5:$E$2004,MATCH($D2980,Workers!$A$5:$A$2004,0)),""))</f>
        <v/>
      </c>
      <c r="M2980" s="26" t="str">
        <f aca="false">IF($D2980="","",IFERROR(INDEX(ClientRates!$D$5:$D$500,MATCH($B2980&amp;"|"&amp;$L2980,ClientRates!$A$5:$A$500,0)),0))</f>
        <v/>
      </c>
      <c r="N2980" s="26" t="str">
        <f aca="false">IF($D2980="","",IFERROR(INDEX(ClientRates!$E$5:$E$500,MATCH($B2980&amp;"|"&amp;$L2980,ClientRates!$A$5:$A$500,0)),0))</f>
        <v/>
      </c>
      <c r="O2980" s="26" t="str">
        <f aca="false">IF($D2980="","",F2980*M2980+G2980*N2980)</f>
        <v/>
      </c>
      <c r="P2980" s="26" t="str">
        <f aca="false">IF(OR($D2980="",$J2980&lt;&gt;"Supplier"),"",IFERROR(INDEX(SupplierRates!$D$5:$D$500,MATCH($K2980&amp;"|"&amp;$L2980,SupplierRates!$A$5:$A$500,0)),0))</f>
        <v/>
      </c>
      <c r="Q2980" s="26" t="str">
        <f aca="false">IF(OR($D2980="",$J2980&lt;&gt;"Supplier"),"",IFERROR(INDEX(SupplierRates!$E$5:$E$500,MATCH($K2980&amp;"|"&amp;$L2980,SupplierRates!$A$5:$A$500,0)),0))</f>
        <v/>
      </c>
      <c r="R2980" s="26" t="n">
        <f aca="false">IF(OR($D2980="",$J2980&lt;&gt;"Supplier"),0,F2980*P2980+G2980*Q2980)</f>
        <v>0</v>
      </c>
      <c r="S2980" s="26" t="n">
        <f aca="false">IF(OR($D2980="",$J2980&lt;&gt;"Own"),0,IFERROR((F2980+G2980*Settings!$B$13)*INDEX(Workers!$V$5:$V$2004,MATCH($D2980,Workers!$A$5:$A$2004,0)),0))</f>
        <v>0</v>
      </c>
      <c r="T2980" s="26" t="str">
        <f aca="false">IF($D2980="","",O2980-R2980-S2980)</f>
        <v/>
      </c>
    </row>
    <row r="2981" customFormat="false" ht="15" hidden="false" customHeight="false" outlineLevel="0" collapsed="false">
      <c r="I2981" s="24" t="str">
        <f aca="false">IF($D2981="","",IFERROR(INDEX(Workers!$B$5:$B$2004,MATCH($D2981,Workers!$A$5:$A$2004,0)),"NOT FOUND"))</f>
        <v/>
      </c>
      <c r="J2981" s="24" t="str">
        <f aca="false">IF($D2981="","",IFERROR(INDEX(Workers!$C$5:$C$2004,MATCH($D2981,Workers!$A$5:$A$2004,0)),""))</f>
        <v/>
      </c>
      <c r="K2981" s="24" t="str">
        <f aca="false">IF($D2981="","",IFERROR(IF(INDEX(Workers!$D$5:$D$2004,MATCH($D2981,Workers!$A$5:$A$2004,0))=0,"",INDEX(Workers!$D$5:$D$2004,MATCH($D2981,Workers!$A$5:$A$2004,0))),""))</f>
        <v/>
      </c>
      <c r="L2981" s="24" t="str">
        <f aca="false">IF($D2981="","",IFERROR(INDEX(Workers!$E$5:$E$2004,MATCH($D2981,Workers!$A$5:$A$2004,0)),""))</f>
        <v/>
      </c>
      <c r="M2981" s="26" t="str">
        <f aca="false">IF($D2981="","",IFERROR(INDEX(ClientRates!$D$5:$D$500,MATCH($B2981&amp;"|"&amp;$L2981,ClientRates!$A$5:$A$500,0)),0))</f>
        <v/>
      </c>
      <c r="N2981" s="26" t="str">
        <f aca="false">IF($D2981="","",IFERROR(INDEX(ClientRates!$E$5:$E$500,MATCH($B2981&amp;"|"&amp;$L2981,ClientRates!$A$5:$A$500,0)),0))</f>
        <v/>
      </c>
      <c r="O2981" s="26" t="str">
        <f aca="false">IF($D2981="","",F2981*M2981+G2981*N2981)</f>
        <v/>
      </c>
      <c r="P2981" s="26" t="str">
        <f aca="false">IF(OR($D2981="",$J2981&lt;&gt;"Supplier"),"",IFERROR(INDEX(SupplierRates!$D$5:$D$500,MATCH($K2981&amp;"|"&amp;$L2981,SupplierRates!$A$5:$A$500,0)),0))</f>
        <v/>
      </c>
      <c r="Q2981" s="26" t="str">
        <f aca="false">IF(OR($D2981="",$J2981&lt;&gt;"Supplier"),"",IFERROR(INDEX(SupplierRates!$E$5:$E$500,MATCH($K2981&amp;"|"&amp;$L2981,SupplierRates!$A$5:$A$500,0)),0))</f>
        <v/>
      </c>
      <c r="R2981" s="26" t="n">
        <f aca="false">IF(OR($D2981="",$J2981&lt;&gt;"Supplier"),0,F2981*P2981+G2981*Q2981)</f>
        <v>0</v>
      </c>
      <c r="S2981" s="26" t="n">
        <f aca="false">IF(OR($D2981="",$J2981&lt;&gt;"Own"),0,IFERROR((F2981+G2981*Settings!$B$13)*INDEX(Workers!$V$5:$V$2004,MATCH($D2981,Workers!$A$5:$A$2004,0)),0))</f>
        <v>0</v>
      </c>
      <c r="T2981" s="26" t="str">
        <f aca="false">IF($D2981="","",O2981-R2981-S2981)</f>
        <v/>
      </c>
    </row>
    <row r="2982" customFormat="false" ht="15" hidden="false" customHeight="false" outlineLevel="0" collapsed="false">
      <c r="I2982" s="24" t="str">
        <f aca="false">IF($D2982="","",IFERROR(INDEX(Workers!$B$5:$B$2004,MATCH($D2982,Workers!$A$5:$A$2004,0)),"NOT FOUND"))</f>
        <v/>
      </c>
      <c r="J2982" s="24" t="str">
        <f aca="false">IF($D2982="","",IFERROR(INDEX(Workers!$C$5:$C$2004,MATCH($D2982,Workers!$A$5:$A$2004,0)),""))</f>
        <v/>
      </c>
      <c r="K2982" s="24" t="str">
        <f aca="false">IF($D2982="","",IFERROR(IF(INDEX(Workers!$D$5:$D$2004,MATCH($D2982,Workers!$A$5:$A$2004,0))=0,"",INDEX(Workers!$D$5:$D$2004,MATCH($D2982,Workers!$A$5:$A$2004,0))),""))</f>
        <v/>
      </c>
      <c r="L2982" s="24" t="str">
        <f aca="false">IF($D2982="","",IFERROR(INDEX(Workers!$E$5:$E$2004,MATCH($D2982,Workers!$A$5:$A$2004,0)),""))</f>
        <v/>
      </c>
      <c r="M2982" s="26" t="str">
        <f aca="false">IF($D2982="","",IFERROR(INDEX(ClientRates!$D$5:$D$500,MATCH($B2982&amp;"|"&amp;$L2982,ClientRates!$A$5:$A$500,0)),0))</f>
        <v/>
      </c>
      <c r="N2982" s="26" t="str">
        <f aca="false">IF($D2982="","",IFERROR(INDEX(ClientRates!$E$5:$E$500,MATCH($B2982&amp;"|"&amp;$L2982,ClientRates!$A$5:$A$500,0)),0))</f>
        <v/>
      </c>
      <c r="O2982" s="26" t="str">
        <f aca="false">IF($D2982="","",F2982*M2982+G2982*N2982)</f>
        <v/>
      </c>
      <c r="P2982" s="26" t="str">
        <f aca="false">IF(OR($D2982="",$J2982&lt;&gt;"Supplier"),"",IFERROR(INDEX(SupplierRates!$D$5:$D$500,MATCH($K2982&amp;"|"&amp;$L2982,SupplierRates!$A$5:$A$500,0)),0))</f>
        <v/>
      </c>
      <c r="Q2982" s="26" t="str">
        <f aca="false">IF(OR($D2982="",$J2982&lt;&gt;"Supplier"),"",IFERROR(INDEX(SupplierRates!$E$5:$E$500,MATCH($K2982&amp;"|"&amp;$L2982,SupplierRates!$A$5:$A$500,0)),0))</f>
        <v/>
      </c>
      <c r="R2982" s="26" t="n">
        <f aca="false">IF(OR($D2982="",$J2982&lt;&gt;"Supplier"),0,F2982*P2982+G2982*Q2982)</f>
        <v>0</v>
      </c>
      <c r="S2982" s="26" t="n">
        <f aca="false">IF(OR($D2982="",$J2982&lt;&gt;"Own"),0,IFERROR((F2982+G2982*Settings!$B$13)*INDEX(Workers!$V$5:$V$2004,MATCH($D2982,Workers!$A$5:$A$2004,0)),0))</f>
        <v>0</v>
      </c>
      <c r="T2982" s="26" t="str">
        <f aca="false">IF($D2982="","",O2982-R2982-S2982)</f>
        <v/>
      </c>
    </row>
    <row r="2983" customFormat="false" ht="15" hidden="false" customHeight="false" outlineLevel="0" collapsed="false">
      <c r="I2983" s="24" t="str">
        <f aca="false">IF($D2983="","",IFERROR(INDEX(Workers!$B$5:$B$2004,MATCH($D2983,Workers!$A$5:$A$2004,0)),"NOT FOUND"))</f>
        <v/>
      </c>
      <c r="J2983" s="24" t="str">
        <f aca="false">IF($D2983="","",IFERROR(INDEX(Workers!$C$5:$C$2004,MATCH($D2983,Workers!$A$5:$A$2004,0)),""))</f>
        <v/>
      </c>
      <c r="K2983" s="24" t="str">
        <f aca="false">IF($D2983="","",IFERROR(IF(INDEX(Workers!$D$5:$D$2004,MATCH($D2983,Workers!$A$5:$A$2004,0))=0,"",INDEX(Workers!$D$5:$D$2004,MATCH($D2983,Workers!$A$5:$A$2004,0))),""))</f>
        <v/>
      </c>
      <c r="L2983" s="24" t="str">
        <f aca="false">IF($D2983="","",IFERROR(INDEX(Workers!$E$5:$E$2004,MATCH($D2983,Workers!$A$5:$A$2004,0)),""))</f>
        <v/>
      </c>
      <c r="M2983" s="26" t="str">
        <f aca="false">IF($D2983="","",IFERROR(INDEX(ClientRates!$D$5:$D$500,MATCH($B2983&amp;"|"&amp;$L2983,ClientRates!$A$5:$A$500,0)),0))</f>
        <v/>
      </c>
      <c r="N2983" s="26" t="str">
        <f aca="false">IF($D2983="","",IFERROR(INDEX(ClientRates!$E$5:$E$500,MATCH($B2983&amp;"|"&amp;$L2983,ClientRates!$A$5:$A$500,0)),0))</f>
        <v/>
      </c>
      <c r="O2983" s="26" t="str">
        <f aca="false">IF($D2983="","",F2983*M2983+G2983*N2983)</f>
        <v/>
      </c>
      <c r="P2983" s="26" t="str">
        <f aca="false">IF(OR($D2983="",$J2983&lt;&gt;"Supplier"),"",IFERROR(INDEX(SupplierRates!$D$5:$D$500,MATCH($K2983&amp;"|"&amp;$L2983,SupplierRates!$A$5:$A$500,0)),0))</f>
        <v/>
      </c>
      <c r="Q2983" s="26" t="str">
        <f aca="false">IF(OR($D2983="",$J2983&lt;&gt;"Supplier"),"",IFERROR(INDEX(SupplierRates!$E$5:$E$500,MATCH($K2983&amp;"|"&amp;$L2983,SupplierRates!$A$5:$A$500,0)),0))</f>
        <v/>
      </c>
      <c r="R2983" s="26" t="n">
        <f aca="false">IF(OR($D2983="",$J2983&lt;&gt;"Supplier"),0,F2983*P2983+G2983*Q2983)</f>
        <v>0</v>
      </c>
      <c r="S2983" s="26" t="n">
        <f aca="false">IF(OR($D2983="",$J2983&lt;&gt;"Own"),0,IFERROR((F2983+G2983*Settings!$B$13)*INDEX(Workers!$V$5:$V$2004,MATCH($D2983,Workers!$A$5:$A$2004,0)),0))</f>
        <v>0</v>
      </c>
      <c r="T2983" s="26" t="str">
        <f aca="false">IF($D2983="","",O2983-R2983-S2983)</f>
        <v/>
      </c>
    </row>
    <row r="2984" customFormat="false" ht="15" hidden="false" customHeight="false" outlineLevel="0" collapsed="false">
      <c r="I2984" s="24" t="str">
        <f aca="false">IF($D2984="","",IFERROR(INDEX(Workers!$B$5:$B$2004,MATCH($D2984,Workers!$A$5:$A$2004,0)),"NOT FOUND"))</f>
        <v/>
      </c>
      <c r="J2984" s="24" t="str">
        <f aca="false">IF($D2984="","",IFERROR(INDEX(Workers!$C$5:$C$2004,MATCH($D2984,Workers!$A$5:$A$2004,0)),""))</f>
        <v/>
      </c>
      <c r="K2984" s="24" t="str">
        <f aca="false">IF($D2984="","",IFERROR(IF(INDEX(Workers!$D$5:$D$2004,MATCH($D2984,Workers!$A$5:$A$2004,0))=0,"",INDEX(Workers!$D$5:$D$2004,MATCH($D2984,Workers!$A$5:$A$2004,0))),""))</f>
        <v/>
      </c>
      <c r="L2984" s="24" t="str">
        <f aca="false">IF($D2984="","",IFERROR(INDEX(Workers!$E$5:$E$2004,MATCH($D2984,Workers!$A$5:$A$2004,0)),""))</f>
        <v/>
      </c>
      <c r="M2984" s="26" t="str">
        <f aca="false">IF($D2984="","",IFERROR(INDEX(ClientRates!$D$5:$D$500,MATCH($B2984&amp;"|"&amp;$L2984,ClientRates!$A$5:$A$500,0)),0))</f>
        <v/>
      </c>
      <c r="N2984" s="26" t="str">
        <f aca="false">IF($D2984="","",IFERROR(INDEX(ClientRates!$E$5:$E$500,MATCH($B2984&amp;"|"&amp;$L2984,ClientRates!$A$5:$A$500,0)),0))</f>
        <v/>
      </c>
      <c r="O2984" s="26" t="str">
        <f aca="false">IF($D2984="","",F2984*M2984+G2984*N2984)</f>
        <v/>
      </c>
      <c r="P2984" s="26" t="str">
        <f aca="false">IF(OR($D2984="",$J2984&lt;&gt;"Supplier"),"",IFERROR(INDEX(SupplierRates!$D$5:$D$500,MATCH($K2984&amp;"|"&amp;$L2984,SupplierRates!$A$5:$A$500,0)),0))</f>
        <v/>
      </c>
      <c r="Q2984" s="26" t="str">
        <f aca="false">IF(OR($D2984="",$J2984&lt;&gt;"Supplier"),"",IFERROR(INDEX(SupplierRates!$E$5:$E$500,MATCH($K2984&amp;"|"&amp;$L2984,SupplierRates!$A$5:$A$500,0)),0))</f>
        <v/>
      </c>
      <c r="R2984" s="26" t="n">
        <f aca="false">IF(OR($D2984="",$J2984&lt;&gt;"Supplier"),0,F2984*P2984+G2984*Q2984)</f>
        <v>0</v>
      </c>
      <c r="S2984" s="26" t="n">
        <f aca="false">IF(OR($D2984="",$J2984&lt;&gt;"Own"),0,IFERROR((F2984+G2984*Settings!$B$13)*INDEX(Workers!$V$5:$V$2004,MATCH($D2984,Workers!$A$5:$A$2004,0)),0))</f>
        <v>0</v>
      </c>
      <c r="T2984" s="26" t="str">
        <f aca="false">IF($D2984="","",O2984-R2984-S2984)</f>
        <v/>
      </c>
    </row>
    <row r="2985" customFormat="false" ht="15" hidden="false" customHeight="false" outlineLevel="0" collapsed="false">
      <c r="I2985" s="24" t="str">
        <f aca="false">IF($D2985="","",IFERROR(INDEX(Workers!$B$5:$B$2004,MATCH($D2985,Workers!$A$5:$A$2004,0)),"NOT FOUND"))</f>
        <v/>
      </c>
      <c r="J2985" s="24" t="str">
        <f aca="false">IF($D2985="","",IFERROR(INDEX(Workers!$C$5:$C$2004,MATCH($D2985,Workers!$A$5:$A$2004,0)),""))</f>
        <v/>
      </c>
      <c r="K2985" s="24" t="str">
        <f aca="false">IF($D2985="","",IFERROR(IF(INDEX(Workers!$D$5:$D$2004,MATCH($D2985,Workers!$A$5:$A$2004,0))=0,"",INDEX(Workers!$D$5:$D$2004,MATCH($D2985,Workers!$A$5:$A$2004,0))),""))</f>
        <v/>
      </c>
      <c r="L2985" s="24" t="str">
        <f aca="false">IF($D2985="","",IFERROR(INDEX(Workers!$E$5:$E$2004,MATCH($D2985,Workers!$A$5:$A$2004,0)),""))</f>
        <v/>
      </c>
      <c r="M2985" s="26" t="str">
        <f aca="false">IF($D2985="","",IFERROR(INDEX(ClientRates!$D$5:$D$500,MATCH($B2985&amp;"|"&amp;$L2985,ClientRates!$A$5:$A$500,0)),0))</f>
        <v/>
      </c>
      <c r="N2985" s="26" t="str">
        <f aca="false">IF($D2985="","",IFERROR(INDEX(ClientRates!$E$5:$E$500,MATCH($B2985&amp;"|"&amp;$L2985,ClientRates!$A$5:$A$500,0)),0))</f>
        <v/>
      </c>
      <c r="O2985" s="26" t="str">
        <f aca="false">IF($D2985="","",F2985*M2985+G2985*N2985)</f>
        <v/>
      </c>
      <c r="P2985" s="26" t="str">
        <f aca="false">IF(OR($D2985="",$J2985&lt;&gt;"Supplier"),"",IFERROR(INDEX(SupplierRates!$D$5:$D$500,MATCH($K2985&amp;"|"&amp;$L2985,SupplierRates!$A$5:$A$500,0)),0))</f>
        <v/>
      </c>
      <c r="Q2985" s="26" t="str">
        <f aca="false">IF(OR($D2985="",$J2985&lt;&gt;"Supplier"),"",IFERROR(INDEX(SupplierRates!$E$5:$E$500,MATCH($K2985&amp;"|"&amp;$L2985,SupplierRates!$A$5:$A$500,0)),0))</f>
        <v/>
      </c>
      <c r="R2985" s="26" t="n">
        <f aca="false">IF(OR($D2985="",$J2985&lt;&gt;"Supplier"),0,F2985*P2985+G2985*Q2985)</f>
        <v>0</v>
      </c>
      <c r="S2985" s="26" t="n">
        <f aca="false">IF(OR($D2985="",$J2985&lt;&gt;"Own"),0,IFERROR((F2985+G2985*Settings!$B$13)*INDEX(Workers!$V$5:$V$2004,MATCH($D2985,Workers!$A$5:$A$2004,0)),0))</f>
        <v>0</v>
      </c>
      <c r="T2985" s="26" t="str">
        <f aca="false">IF($D2985="","",O2985-R2985-S2985)</f>
        <v/>
      </c>
    </row>
    <row r="2986" customFormat="false" ht="15" hidden="false" customHeight="false" outlineLevel="0" collapsed="false">
      <c r="I2986" s="24" t="str">
        <f aca="false">IF($D2986="","",IFERROR(INDEX(Workers!$B$5:$B$2004,MATCH($D2986,Workers!$A$5:$A$2004,0)),"NOT FOUND"))</f>
        <v/>
      </c>
      <c r="J2986" s="24" t="str">
        <f aca="false">IF($D2986="","",IFERROR(INDEX(Workers!$C$5:$C$2004,MATCH($D2986,Workers!$A$5:$A$2004,0)),""))</f>
        <v/>
      </c>
      <c r="K2986" s="24" t="str">
        <f aca="false">IF($D2986="","",IFERROR(IF(INDEX(Workers!$D$5:$D$2004,MATCH($D2986,Workers!$A$5:$A$2004,0))=0,"",INDEX(Workers!$D$5:$D$2004,MATCH($D2986,Workers!$A$5:$A$2004,0))),""))</f>
        <v/>
      </c>
      <c r="L2986" s="24" t="str">
        <f aca="false">IF($D2986="","",IFERROR(INDEX(Workers!$E$5:$E$2004,MATCH($D2986,Workers!$A$5:$A$2004,0)),""))</f>
        <v/>
      </c>
      <c r="M2986" s="26" t="str">
        <f aca="false">IF($D2986="","",IFERROR(INDEX(ClientRates!$D$5:$D$500,MATCH($B2986&amp;"|"&amp;$L2986,ClientRates!$A$5:$A$500,0)),0))</f>
        <v/>
      </c>
      <c r="N2986" s="26" t="str">
        <f aca="false">IF($D2986="","",IFERROR(INDEX(ClientRates!$E$5:$E$500,MATCH($B2986&amp;"|"&amp;$L2986,ClientRates!$A$5:$A$500,0)),0))</f>
        <v/>
      </c>
      <c r="O2986" s="26" t="str">
        <f aca="false">IF($D2986="","",F2986*M2986+G2986*N2986)</f>
        <v/>
      </c>
      <c r="P2986" s="26" t="str">
        <f aca="false">IF(OR($D2986="",$J2986&lt;&gt;"Supplier"),"",IFERROR(INDEX(SupplierRates!$D$5:$D$500,MATCH($K2986&amp;"|"&amp;$L2986,SupplierRates!$A$5:$A$500,0)),0))</f>
        <v/>
      </c>
      <c r="Q2986" s="26" t="str">
        <f aca="false">IF(OR($D2986="",$J2986&lt;&gt;"Supplier"),"",IFERROR(INDEX(SupplierRates!$E$5:$E$500,MATCH($K2986&amp;"|"&amp;$L2986,SupplierRates!$A$5:$A$500,0)),0))</f>
        <v/>
      </c>
      <c r="R2986" s="26" t="n">
        <f aca="false">IF(OR($D2986="",$J2986&lt;&gt;"Supplier"),0,F2986*P2986+G2986*Q2986)</f>
        <v>0</v>
      </c>
      <c r="S2986" s="26" t="n">
        <f aca="false">IF(OR($D2986="",$J2986&lt;&gt;"Own"),0,IFERROR((F2986+G2986*Settings!$B$13)*INDEX(Workers!$V$5:$V$2004,MATCH($D2986,Workers!$A$5:$A$2004,0)),0))</f>
        <v>0</v>
      </c>
      <c r="T2986" s="26" t="str">
        <f aca="false">IF($D2986="","",O2986-R2986-S2986)</f>
        <v/>
      </c>
    </row>
    <row r="2987" customFormat="false" ht="15" hidden="false" customHeight="false" outlineLevel="0" collapsed="false">
      <c r="I2987" s="24" t="str">
        <f aca="false">IF($D2987="","",IFERROR(INDEX(Workers!$B$5:$B$2004,MATCH($D2987,Workers!$A$5:$A$2004,0)),"NOT FOUND"))</f>
        <v/>
      </c>
      <c r="J2987" s="24" t="str">
        <f aca="false">IF($D2987="","",IFERROR(INDEX(Workers!$C$5:$C$2004,MATCH($D2987,Workers!$A$5:$A$2004,0)),""))</f>
        <v/>
      </c>
      <c r="K2987" s="24" t="str">
        <f aca="false">IF($D2987="","",IFERROR(IF(INDEX(Workers!$D$5:$D$2004,MATCH($D2987,Workers!$A$5:$A$2004,0))=0,"",INDEX(Workers!$D$5:$D$2004,MATCH($D2987,Workers!$A$5:$A$2004,0))),""))</f>
        <v/>
      </c>
      <c r="L2987" s="24" t="str">
        <f aca="false">IF($D2987="","",IFERROR(INDEX(Workers!$E$5:$E$2004,MATCH($D2987,Workers!$A$5:$A$2004,0)),""))</f>
        <v/>
      </c>
      <c r="M2987" s="26" t="str">
        <f aca="false">IF($D2987="","",IFERROR(INDEX(ClientRates!$D$5:$D$500,MATCH($B2987&amp;"|"&amp;$L2987,ClientRates!$A$5:$A$500,0)),0))</f>
        <v/>
      </c>
      <c r="N2987" s="26" t="str">
        <f aca="false">IF($D2987="","",IFERROR(INDEX(ClientRates!$E$5:$E$500,MATCH($B2987&amp;"|"&amp;$L2987,ClientRates!$A$5:$A$500,0)),0))</f>
        <v/>
      </c>
      <c r="O2987" s="26" t="str">
        <f aca="false">IF($D2987="","",F2987*M2987+G2987*N2987)</f>
        <v/>
      </c>
      <c r="P2987" s="26" t="str">
        <f aca="false">IF(OR($D2987="",$J2987&lt;&gt;"Supplier"),"",IFERROR(INDEX(SupplierRates!$D$5:$D$500,MATCH($K2987&amp;"|"&amp;$L2987,SupplierRates!$A$5:$A$500,0)),0))</f>
        <v/>
      </c>
      <c r="Q2987" s="26" t="str">
        <f aca="false">IF(OR($D2987="",$J2987&lt;&gt;"Supplier"),"",IFERROR(INDEX(SupplierRates!$E$5:$E$500,MATCH($K2987&amp;"|"&amp;$L2987,SupplierRates!$A$5:$A$500,0)),0))</f>
        <v/>
      </c>
      <c r="R2987" s="26" t="n">
        <f aca="false">IF(OR($D2987="",$J2987&lt;&gt;"Supplier"),0,F2987*P2987+G2987*Q2987)</f>
        <v>0</v>
      </c>
      <c r="S2987" s="26" t="n">
        <f aca="false">IF(OR($D2987="",$J2987&lt;&gt;"Own"),0,IFERROR((F2987+G2987*Settings!$B$13)*INDEX(Workers!$V$5:$V$2004,MATCH($D2987,Workers!$A$5:$A$2004,0)),0))</f>
        <v>0</v>
      </c>
      <c r="T2987" s="26" t="str">
        <f aca="false">IF($D2987="","",O2987-R2987-S2987)</f>
        <v/>
      </c>
    </row>
    <row r="2988" customFormat="false" ht="15" hidden="false" customHeight="false" outlineLevel="0" collapsed="false">
      <c r="I2988" s="24" t="str">
        <f aca="false">IF($D2988="","",IFERROR(INDEX(Workers!$B$5:$B$2004,MATCH($D2988,Workers!$A$5:$A$2004,0)),"NOT FOUND"))</f>
        <v/>
      </c>
      <c r="J2988" s="24" t="str">
        <f aca="false">IF($D2988="","",IFERROR(INDEX(Workers!$C$5:$C$2004,MATCH($D2988,Workers!$A$5:$A$2004,0)),""))</f>
        <v/>
      </c>
      <c r="K2988" s="24" t="str">
        <f aca="false">IF($D2988="","",IFERROR(IF(INDEX(Workers!$D$5:$D$2004,MATCH($D2988,Workers!$A$5:$A$2004,0))=0,"",INDEX(Workers!$D$5:$D$2004,MATCH($D2988,Workers!$A$5:$A$2004,0))),""))</f>
        <v/>
      </c>
      <c r="L2988" s="24" t="str">
        <f aca="false">IF($D2988="","",IFERROR(INDEX(Workers!$E$5:$E$2004,MATCH($D2988,Workers!$A$5:$A$2004,0)),""))</f>
        <v/>
      </c>
      <c r="M2988" s="26" t="str">
        <f aca="false">IF($D2988="","",IFERROR(INDEX(ClientRates!$D$5:$D$500,MATCH($B2988&amp;"|"&amp;$L2988,ClientRates!$A$5:$A$500,0)),0))</f>
        <v/>
      </c>
      <c r="N2988" s="26" t="str">
        <f aca="false">IF($D2988="","",IFERROR(INDEX(ClientRates!$E$5:$E$500,MATCH($B2988&amp;"|"&amp;$L2988,ClientRates!$A$5:$A$500,0)),0))</f>
        <v/>
      </c>
      <c r="O2988" s="26" t="str">
        <f aca="false">IF($D2988="","",F2988*M2988+G2988*N2988)</f>
        <v/>
      </c>
      <c r="P2988" s="26" t="str">
        <f aca="false">IF(OR($D2988="",$J2988&lt;&gt;"Supplier"),"",IFERROR(INDEX(SupplierRates!$D$5:$D$500,MATCH($K2988&amp;"|"&amp;$L2988,SupplierRates!$A$5:$A$500,0)),0))</f>
        <v/>
      </c>
      <c r="Q2988" s="26" t="str">
        <f aca="false">IF(OR($D2988="",$J2988&lt;&gt;"Supplier"),"",IFERROR(INDEX(SupplierRates!$E$5:$E$500,MATCH($K2988&amp;"|"&amp;$L2988,SupplierRates!$A$5:$A$500,0)),0))</f>
        <v/>
      </c>
      <c r="R2988" s="26" t="n">
        <f aca="false">IF(OR($D2988="",$J2988&lt;&gt;"Supplier"),0,F2988*P2988+G2988*Q2988)</f>
        <v>0</v>
      </c>
      <c r="S2988" s="26" t="n">
        <f aca="false">IF(OR($D2988="",$J2988&lt;&gt;"Own"),0,IFERROR((F2988+G2988*Settings!$B$13)*INDEX(Workers!$V$5:$V$2004,MATCH($D2988,Workers!$A$5:$A$2004,0)),0))</f>
        <v>0</v>
      </c>
      <c r="T2988" s="26" t="str">
        <f aca="false">IF($D2988="","",O2988-R2988-S2988)</f>
        <v/>
      </c>
    </row>
    <row r="2989" customFormat="false" ht="15" hidden="false" customHeight="false" outlineLevel="0" collapsed="false">
      <c r="I2989" s="24" t="str">
        <f aca="false">IF($D2989="","",IFERROR(INDEX(Workers!$B$5:$B$2004,MATCH($D2989,Workers!$A$5:$A$2004,0)),"NOT FOUND"))</f>
        <v/>
      </c>
      <c r="J2989" s="24" t="str">
        <f aca="false">IF($D2989="","",IFERROR(INDEX(Workers!$C$5:$C$2004,MATCH($D2989,Workers!$A$5:$A$2004,0)),""))</f>
        <v/>
      </c>
      <c r="K2989" s="24" t="str">
        <f aca="false">IF($D2989="","",IFERROR(IF(INDEX(Workers!$D$5:$D$2004,MATCH($D2989,Workers!$A$5:$A$2004,0))=0,"",INDEX(Workers!$D$5:$D$2004,MATCH($D2989,Workers!$A$5:$A$2004,0))),""))</f>
        <v/>
      </c>
      <c r="L2989" s="24" t="str">
        <f aca="false">IF($D2989="","",IFERROR(INDEX(Workers!$E$5:$E$2004,MATCH($D2989,Workers!$A$5:$A$2004,0)),""))</f>
        <v/>
      </c>
      <c r="M2989" s="26" t="str">
        <f aca="false">IF($D2989="","",IFERROR(INDEX(ClientRates!$D$5:$D$500,MATCH($B2989&amp;"|"&amp;$L2989,ClientRates!$A$5:$A$500,0)),0))</f>
        <v/>
      </c>
      <c r="N2989" s="26" t="str">
        <f aca="false">IF($D2989="","",IFERROR(INDEX(ClientRates!$E$5:$E$500,MATCH($B2989&amp;"|"&amp;$L2989,ClientRates!$A$5:$A$500,0)),0))</f>
        <v/>
      </c>
      <c r="O2989" s="26" t="str">
        <f aca="false">IF($D2989="","",F2989*M2989+G2989*N2989)</f>
        <v/>
      </c>
      <c r="P2989" s="26" t="str">
        <f aca="false">IF(OR($D2989="",$J2989&lt;&gt;"Supplier"),"",IFERROR(INDEX(SupplierRates!$D$5:$D$500,MATCH($K2989&amp;"|"&amp;$L2989,SupplierRates!$A$5:$A$500,0)),0))</f>
        <v/>
      </c>
      <c r="Q2989" s="26" t="str">
        <f aca="false">IF(OR($D2989="",$J2989&lt;&gt;"Supplier"),"",IFERROR(INDEX(SupplierRates!$E$5:$E$500,MATCH($K2989&amp;"|"&amp;$L2989,SupplierRates!$A$5:$A$500,0)),0))</f>
        <v/>
      </c>
      <c r="R2989" s="26" t="n">
        <f aca="false">IF(OR($D2989="",$J2989&lt;&gt;"Supplier"),0,F2989*P2989+G2989*Q2989)</f>
        <v>0</v>
      </c>
      <c r="S2989" s="26" t="n">
        <f aca="false">IF(OR($D2989="",$J2989&lt;&gt;"Own"),0,IFERROR((F2989+G2989*Settings!$B$13)*INDEX(Workers!$V$5:$V$2004,MATCH($D2989,Workers!$A$5:$A$2004,0)),0))</f>
        <v>0</v>
      </c>
      <c r="T2989" s="26" t="str">
        <f aca="false">IF($D2989="","",O2989-R2989-S2989)</f>
        <v/>
      </c>
    </row>
    <row r="2990" customFormat="false" ht="15" hidden="false" customHeight="false" outlineLevel="0" collapsed="false">
      <c r="I2990" s="24" t="str">
        <f aca="false">IF($D2990="","",IFERROR(INDEX(Workers!$B$5:$B$2004,MATCH($D2990,Workers!$A$5:$A$2004,0)),"NOT FOUND"))</f>
        <v/>
      </c>
      <c r="J2990" s="24" t="str">
        <f aca="false">IF($D2990="","",IFERROR(INDEX(Workers!$C$5:$C$2004,MATCH($D2990,Workers!$A$5:$A$2004,0)),""))</f>
        <v/>
      </c>
      <c r="K2990" s="24" t="str">
        <f aca="false">IF($D2990="","",IFERROR(IF(INDEX(Workers!$D$5:$D$2004,MATCH($D2990,Workers!$A$5:$A$2004,0))=0,"",INDEX(Workers!$D$5:$D$2004,MATCH($D2990,Workers!$A$5:$A$2004,0))),""))</f>
        <v/>
      </c>
      <c r="L2990" s="24" t="str">
        <f aca="false">IF($D2990="","",IFERROR(INDEX(Workers!$E$5:$E$2004,MATCH($D2990,Workers!$A$5:$A$2004,0)),""))</f>
        <v/>
      </c>
      <c r="M2990" s="26" t="str">
        <f aca="false">IF($D2990="","",IFERROR(INDEX(ClientRates!$D$5:$D$500,MATCH($B2990&amp;"|"&amp;$L2990,ClientRates!$A$5:$A$500,0)),0))</f>
        <v/>
      </c>
      <c r="N2990" s="26" t="str">
        <f aca="false">IF($D2990="","",IFERROR(INDEX(ClientRates!$E$5:$E$500,MATCH($B2990&amp;"|"&amp;$L2990,ClientRates!$A$5:$A$500,0)),0))</f>
        <v/>
      </c>
      <c r="O2990" s="26" t="str">
        <f aca="false">IF($D2990="","",F2990*M2990+G2990*N2990)</f>
        <v/>
      </c>
      <c r="P2990" s="26" t="str">
        <f aca="false">IF(OR($D2990="",$J2990&lt;&gt;"Supplier"),"",IFERROR(INDEX(SupplierRates!$D$5:$D$500,MATCH($K2990&amp;"|"&amp;$L2990,SupplierRates!$A$5:$A$500,0)),0))</f>
        <v/>
      </c>
      <c r="Q2990" s="26" t="str">
        <f aca="false">IF(OR($D2990="",$J2990&lt;&gt;"Supplier"),"",IFERROR(INDEX(SupplierRates!$E$5:$E$500,MATCH($K2990&amp;"|"&amp;$L2990,SupplierRates!$A$5:$A$500,0)),0))</f>
        <v/>
      </c>
      <c r="R2990" s="26" t="n">
        <f aca="false">IF(OR($D2990="",$J2990&lt;&gt;"Supplier"),0,F2990*P2990+G2990*Q2990)</f>
        <v>0</v>
      </c>
      <c r="S2990" s="26" t="n">
        <f aca="false">IF(OR($D2990="",$J2990&lt;&gt;"Own"),0,IFERROR((F2990+G2990*Settings!$B$13)*INDEX(Workers!$V$5:$V$2004,MATCH($D2990,Workers!$A$5:$A$2004,0)),0))</f>
        <v>0</v>
      </c>
      <c r="T2990" s="26" t="str">
        <f aca="false">IF($D2990="","",O2990-R2990-S2990)</f>
        <v/>
      </c>
    </row>
    <row r="2991" customFormat="false" ht="15" hidden="false" customHeight="false" outlineLevel="0" collapsed="false">
      <c r="I2991" s="24" t="str">
        <f aca="false">IF($D2991="","",IFERROR(INDEX(Workers!$B$5:$B$2004,MATCH($D2991,Workers!$A$5:$A$2004,0)),"NOT FOUND"))</f>
        <v/>
      </c>
      <c r="J2991" s="24" t="str">
        <f aca="false">IF($D2991="","",IFERROR(INDEX(Workers!$C$5:$C$2004,MATCH($D2991,Workers!$A$5:$A$2004,0)),""))</f>
        <v/>
      </c>
      <c r="K2991" s="24" t="str">
        <f aca="false">IF($D2991="","",IFERROR(IF(INDEX(Workers!$D$5:$D$2004,MATCH($D2991,Workers!$A$5:$A$2004,0))=0,"",INDEX(Workers!$D$5:$D$2004,MATCH($D2991,Workers!$A$5:$A$2004,0))),""))</f>
        <v/>
      </c>
      <c r="L2991" s="24" t="str">
        <f aca="false">IF($D2991="","",IFERROR(INDEX(Workers!$E$5:$E$2004,MATCH($D2991,Workers!$A$5:$A$2004,0)),""))</f>
        <v/>
      </c>
      <c r="M2991" s="26" t="str">
        <f aca="false">IF($D2991="","",IFERROR(INDEX(ClientRates!$D$5:$D$500,MATCH($B2991&amp;"|"&amp;$L2991,ClientRates!$A$5:$A$500,0)),0))</f>
        <v/>
      </c>
      <c r="N2991" s="26" t="str">
        <f aca="false">IF($D2991="","",IFERROR(INDEX(ClientRates!$E$5:$E$500,MATCH($B2991&amp;"|"&amp;$L2991,ClientRates!$A$5:$A$500,0)),0))</f>
        <v/>
      </c>
      <c r="O2991" s="26" t="str">
        <f aca="false">IF($D2991="","",F2991*M2991+G2991*N2991)</f>
        <v/>
      </c>
      <c r="P2991" s="26" t="str">
        <f aca="false">IF(OR($D2991="",$J2991&lt;&gt;"Supplier"),"",IFERROR(INDEX(SupplierRates!$D$5:$D$500,MATCH($K2991&amp;"|"&amp;$L2991,SupplierRates!$A$5:$A$500,0)),0))</f>
        <v/>
      </c>
      <c r="Q2991" s="26" t="str">
        <f aca="false">IF(OR($D2991="",$J2991&lt;&gt;"Supplier"),"",IFERROR(INDEX(SupplierRates!$E$5:$E$500,MATCH($K2991&amp;"|"&amp;$L2991,SupplierRates!$A$5:$A$500,0)),0))</f>
        <v/>
      </c>
      <c r="R2991" s="26" t="n">
        <f aca="false">IF(OR($D2991="",$J2991&lt;&gt;"Supplier"),0,F2991*P2991+G2991*Q2991)</f>
        <v>0</v>
      </c>
      <c r="S2991" s="26" t="n">
        <f aca="false">IF(OR($D2991="",$J2991&lt;&gt;"Own"),0,IFERROR((F2991+G2991*Settings!$B$13)*INDEX(Workers!$V$5:$V$2004,MATCH($D2991,Workers!$A$5:$A$2004,0)),0))</f>
        <v>0</v>
      </c>
      <c r="T2991" s="26" t="str">
        <f aca="false">IF($D2991="","",O2991-R2991-S2991)</f>
        <v/>
      </c>
    </row>
    <row r="2992" customFormat="false" ht="15" hidden="false" customHeight="false" outlineLevel="0" collapsed="false">
      <c r="I2992" s="24" t="str">
        <f aca="false">IF($D2992="","",IFERROR(INDEX(Workers!$B$5:$B$2004,MATCH($D2992,Workers!$A$5:$A$2004,0)),"NOT FOUND"))</f>
        <v/>
      </c>
      <c r="J2992" s="24" t="str">
        <f aca="false">IF($D2992="","",IFERROR(INDEX(Workers!$C$5:$C$2004,MATCH($D2992,Workers!$A$5:$A$2004,0)),""))</f>
        <v/>
      </c>
      <c r="K2992" s="24" t="str">
        <f aca="false">IF($D2992="","",IFERROR(IF(INDEX(Workers!$D$5:$D$2004,MATCH($D2992,Workers!$A$5:$A$2004,0))=0,"",INDEX(Workers!$D$5:$D$2004,MATCH($D2992,Workers!$A$5:$A$2004,0))),""))</f>
        <v/>
      </c>
      <c r="L2992" s="24" t="str">
        <f aca="false">IF($D2992="","",IFERROR(INDEX(Workers!$E$5:$E$2004,MATCH($D2992,Workers!$A$5:$A$2004,0)),""))</f>
        <v/>
      </c>
      <c r="M2992" s="26" t="str">
        <f aca="false">IF($D2992="","",IFERROR(INDEX(ClientRates!$D$5:$D$500,MATCH($B2992&amp;"|"&amp;$L2992,ClientRates!$A$5:$A$500,0)),0))</f>
        <v/>
      </c>
      <c r="N2992" s="26" t="str">
        <f aca="false">IF($D2992="","",IFERROR(INDEX(ClientRates!$E$5:$E$500,MATCH($B2992&amp;"|"&amp;$L2992,ClientRates!$A$5:$A$500,0)),0))</f>
        <v/>
      </c>
      <c r="O2992" s="26" t="str">
        <f aca="false">IF($D2992="","",F2992*M2992+G2992*N2992)</f>
        <v/>
      </c>
      <c r="P2992" s="26" t="str">
        <f aca="false">IF(OR($D2992="",$J2992&lt;&gt;"Supplier"),"",IFERROR(INDEX(SupplierRates!$D$5:$D$500,MATCH($K2992&amp;"|"&amp;$L2992,SupplierRates!$A$5:$A$500,0)),0))</f>
        <v/>
      </c>
      <c r="Q2992" s="26" t="str">
        <f aca="false">IF(OR($D2992="",$J2992&lt;&gt;"Supplier"),"",IFERROR(INDEX(SupplierRates!$E$5:$E$500,MATCH($K2992&amp;"|"&amp;$L2992,SupplierRates!$A$5:$A$500,0)),0))</f>
        <v/>
      </c>
      <c r="R2992" s="26" t="n">
        <f aca="false">IF(OR($D2992="",$J2992&lt;&gt;"Supplier"),0,F2992*P2992+G2992*Q2992)</f>
        <v>0</v>
      </c>
      <c r="S2992" s="26" t="n">
        <f aca="false">IF(OR($D2992="",$J2992&lt;&gt;"Own"),0,IFERROR((F2992+G2992*Settings!$B$13)*INDEX(Workers!$V$5:$V$2004,MATCH($D2992,Workers!$A$5:$A$2004,0)),0))</f>
        <v>0</v>
      </c>
      <c r="T2992" s="26" t="str">
        <f aca="false">IF($D2992="","",O2992-R2992-S2992)</f>
        <v/>
      </c>
    </row>
    <row r="2993" customFormat="false" ht="15" hidden="false" customHeight="false" outlineLevel="0" collapsed="false">
      <c r="I2993" s="24" t="str">
        <f aca="false">IF($D2993="","",IFERROR(INDEX(Workers!$B$5:$B$2004,MATCH($D2993,Workers!$A$5:$A$2004,0)),"NOT FOUND"))</f>
        <v/>
      </c>
      <c r="J2993" s="24" t="str">
        <f aca="false">IF($D2993="","",IFERROR(INDEX(Workers!$C$5:$C$2004,MATCH($D2993,Workers!$A$5:$A$2004,0)),""))</f>
        <v/>
      </c>
      <c r="K2993" s="24" t="str">
        <f aca="false">IF($D2993="","",IFERROR(IF(INDEX(Workers!$D$5:$D$2004,MATCH($D2993,Workers!$A$5:$A$2004,0))=0,"",INDEX(Workers!$D$5:$D$2004,MATCH($D2993,Workers!$A$5:$A$2004,0))),""))</f>
        <v/>
      </c>
      <c r="L2993" s="24" t="str">
        <f aca="false">IF($D2993="","",IFERROR(INDEX(Workers!$E$5:$E$2004,MATCH($D2993,Workers!$A$5:$A$2004,0)),""))</f>
        <v/>
      </c>
      <c r="M2993" s="26" t="str">
        <f aca="false">IF($D2993="","",IFERROR(INDEX(ClientRates!$D$5:$D$500,MATCH($B2993&amp;"|"&amp;$L2993,ClientRates!$A$5:$A$500,0)),0))</f>
        <v/>
      </c>
      <c r="N2993" s="26" t="str">
        <f aca="false">IF($D2993="","",IFERROR(INDEX(ClientRates!$E$5:$E$500,MATCH($B2993&amp;"|"&amp;$L2993,ClientRates!$A$5:$A$500,0)),0))</f>
        <v/>
      </c>
      <c r="O2993" s="26" t="str">
        <f aca="false">IF($D2993="","",F2993*M2993+G2993*N2993)</f>
        <v/>
      </c>
      <c r="P2993" s="26" t="str">
        <f aca="false">IF(OR($D2993="",$J2993&lt;&gt;"Supplier"),"",IFERROR(INDEX(SupplierRates!$D$5:$D$500,MATCH($K2993&amp;"|"&amp;$L2993,SupplierRates!$A$5:$A$500,0)),0))</f>
        <v/>
      </c>
      <c r="Q2993" s="26" t="str">
        <f aca="false">IF(OR($D2993="",$J2993&lt;&gt;"Supplier"),"",IFERROR(INDEX(SupplierRates!$E$5:$E$500,MATCH($K2993&amp;"|"&amp;$L2993,SupplierRates!$A$5:$A$500,0)),0))</f>
        <v/>
      </c>
      <c r="R2993" s="26" t="n">
        <f aca="false">IF(OR($D2993="",$J2993&lt;&gt;"Supplier"),0,F2993*P2993+G2993*Q2993)</f>
        <v>0</v>
      </c>
      <c r="S2993" s="26" t="n">
        <f aca="false">IF(OR($D2993="",$J2993&lt;&gt;"Own"),0,IFERROR((F2993+G2993*Settings!$B$13)*INDEX(Workers!$V$5:$V$2004,MATCH($D2993,Workers!$A$5:$A$2004,0)),0))</f>
        <v>0</v>
      </c>
      <c r="T2993" s="26" t="str">
        <f aca="false">IF($D2993="","",O2993-R2993-S2993)</f>
        <v/>
      </c>
    </row>
    <row r="2994" customFormat="false" ht="15" hidden="false" customHeight="false" outlineLevel="0" collapsed="false">
      <c r="I2994" s="24" t="str">
        <f aca="false">IF($D2994="","",IFERROR(INDEX(Workers!$B$5:$B$2004,MATCH($D2994,Workers!$A$5:$A$2004,0)),"NOT FOUND"))</f>
        <v/>
      </c>
      <c r="J2994" s="24" t="str">
        <f aca="false">IF($D2994="","",IFERROR(INDEX(Workers!$C$5:$C$2004,MATCH($D2994,Workers!$A$5:$A$2004,0)),""))</f>
        <v/>
      </c>
      <c r="K2994" s="24" t="str">
        <f aca="false">IF($D2994="","",IFERROR(IF(INDEX(Workers!$D$5:$D$2004,MATCH($D2994,Workers!$A$5:$A$2004,0))=0,"",INDEX(Workers!$D$5:$D$2004,MATCH($D2994,Workers!$A$5:$A$2004,0))),""))</f>
        <v/>
      </c>
      <c r="L2994" s="24" t="str">
        <f aca="false">IF($D2994="","",IFERROR(INDEX(Workers!$E$5:$E$2004,MATCH($D2994,Workers!$A$5:$A$2004,0)),""))</f>
        <v/>
      </c>
      <c r="M2994" s="26" t="str">
        <f aca="false">IF($D2994="","",IFERROR(INDEX(ClientRates!$D$5:$D$500,MATCH($B2994&amp;"|"&amp;$L2994,ClientRates!$A$5:$A$500,0)),0))</f>
        <v/>
      </c>
      <c r="N2994" s="26" t="str">
        <f aca="false">IF($D2994="","",IFERROR(INDEX(ClientRates!$E$5:$E$500,MATCH($B2994&amp;"|"&amp;$L2994,ClientRates!$A$5:$A$500,0)),0))</f>
        <v/>
      </c>
      <c r="O2994" s="26" t="str">
        <f aca="false">IF($D2994="","",F2994*M2994+G2994*N2994)</f>
        <v/>
      </c>
      <c r="P2994" s="26" t="str">
        <f aca="false">IF(OR($D2994="",$J2994&lt;&gt;"Supplier"),"",IFERROR(INDEX(SupplierRates!$D$5:$D$500,MATCH($K2994&amp;"|"&amp;$L2994,SupplierRates!$A$5:$A$500,0)),0))</f>
        <v/>
      </c>
      <c r="Q2994" s="26" t="str">
        <f aca="false">IF(OR($D2994="",$J2994&lt;&gt;"Supplier"),"",IFERROR(INDEX(SupplierRates!$E$5:$E$500,MATCH($K2994&amp;"|"&amp;$L2994,SupplierRates!$A$5:$A$500,0)),0))</f>
        <v/>
      </c>
      <c r="R2994" s="26" t="n">
        <f aca="false">IF(OR($D2994="",$J2994&lt;&gt;"Supplier"),0,F2994*P2994+G2994*Q2994)</f>
        <v>0</v>
      </c>
      <c r="S2994" s="26" t="n">
        <f aca="false">IF(OR($D2994="",$J2994&lt;&gt;"Own"),0,IFERROR((F2994+G2994*Settings!$B$13)*INDEX(Workers!$V$5:$V$2004,MATCH($D2994,Workers!$A$5:$A$2004,0)),0))</f>
        <v>0</v>
      </c>
      <c r="T2994" s="26" t="str">
        <f aca="false">IF($D2994="","",O2994-R2994-S2994)</f>
        <v/>
      </c>
    </row>
    <row r="2995" customFormat="false" ht="15" hidden="false" customHeight="false" outlineLevel="0" collapsed="false">
      <c r="I2995" s="24" t="str">
        <f aca="false">IF($D2995="","",IFERROR(INDEX(Workers!$B$5:$B$2004,MATCH($D2995,Workers!$A$5:$A$2004,0)),"NOT FOUND"))</f>
        <v/>
      </c>
      <c r="J2995" s="24" t="str">
        <f aca="false">IF($D2995="","",IFERROR(INDEX(Workers!$C$5:$C$2004,MATCH($D2995,Workers!$A$5:$A$2004,0)),""))</f>
        <v/>
      </c>
      <c r="K2995" s="24" t="str">
        <f aca="false">IF($D2995="","",IFERROR(IF(INDEX(Workers!$D$5:$D$2004,MATCH($D2995,Workers!$A$5:$A$2004,0))=0,"",INDEX(Workers!$D$5:$D$2004,MATCH($D2995,Workers!$A$5:$A$2004,0))),""))</f>
        <v/>
      </c>
      <c r="L2995" s="24" t="str">
        <f aca="false">IF($D2995="","",IFERROR(INDEX(Workers!$E$5:$E$2004,MATCH($D2995,Workers!$A$5:$A$2004,0)),""))</f>
        <v/>
      </c>
      <c r="M2995" s="26" t="str">
        <f aca="false">IF($D2995="","",IFERROR(INDEX(ClientRates!$D$5:$D$500,MATCH($B2995&amp;"|"&amp;$L2995,ClientRates!$A$5:$A$500,0)),0))</f>
        <v/>
      </c>
      <c r="N2995" s="26" t="str">
        <f aca="false">IF($D2995="","",IFERROR(INDEX(ClientRates!$E$5:$E$500,MATCH($B2995&amp;"|"&amp;$L2995,ClientRates!$A$5:$A$500,0)),0))</f>
        <v/>
      </c>
      <c r="O2995" s="26" t="str">
        <f aca="false">IF($D2995="","",F2995*M2995+G2995*N2995)</f>
        <v/>
      </c>
      <c r="P2995" s="26" t="str">
        <f aca="false">IF(OR($D2995="",$J2995&lt;&gt;"Supplier"),"",IFERROR(INDEX(SupplierRates!$D$5:$D$500,MATCH($K2995&amp;"|"&amp;$L2995,SupplierRates!$A$5:$A$500,0)),0))</f>
        <v/>
      </c>
      <c r="Q2995" s="26" t="str">
        <f aca="false">IF(OR($D2995="",$J2995&lt;&gt;"Supplier"),"",IFERROR(INDEX(SupplierRates!$E$5:$E$500,MATCH($K2995&amp;"|"&amp;$L2995,SupplierRates!$A$5:$A$500,0)),0))</f>
        <v/>
      </c>
      <c r="R2995" s="26" t="n">
        <f aca="false">IF(OR($D2995="",$J2995&lt;&gt;"Supplier"),0,F2995*P2995+G2995*Q2995)</f>
        <v>0</v>
      </c>
      <c r="S2995" s="26" t="n">
        <f aca="false">IF(OR($D2995="",$J2995&lt;&gt;"Own"),0,IFERROR((F2995+G2995*Settings!$B$13)*INDEX(Workers!$V$5:$V$2004,MATCH($D2995,Workers!$A$5:$A$2004,0)),0))</f>
        <v>0</v>
      </c>
      <c r="T2995" s="26" t="str">
        <f aca="false">IF($D2995="","",O2995-R2995-S2995)</f>
        <v/>
      </c>
    </row>
    <row r="2996" customFormat="false" ht="15" hidden="false" customHeight="false" outlineLevel="0" collapsed="false">
      <c r="I2996" s="24" t="str">
        <f aca="false">IF($D2996="","",IFERROR(INDEX(Workers!$B$5:$B$2004,MATCH($D2996,Workers!$A$5:$A$2004,0)),"NOT FOUND"))</f>
        <v/>
      </c>
      <c r="J2996" s="24" t="str">
        <f aca="false">IF($D2996="","",IFERROR(INDEX(Workers!$C$5:$C$2004,MATCH($D2996,Workers!$A$5:$A$2004,0)),""))</f>
        <v/>
      </c>
      <c r="K2996" s="24" t="str">
        <f aca="false">IF($D2996="","",IFERROR(IF(INDEX(Workers!$D$5:$D$2004,MATCH($D2996,Workers!$A$5:$A$2004,0))=0,"",INDEX(Workers!$D$5:$D$2004,MATCH($D2996,Workers!$A$5:$A$2004,0))),""))</f>
        <v/>
      </c>
      <c r="L2996" s="24" t="str">
        <f aca="false">IF($D2996="","",IFERROR(INDEX(Workers!$E$5:$E$2004,MATCH($D2996,Workers!$A$5:$A$2004,0)),""))</f>
        <v/>
      </c>
      <c r="M2996" s="26" t="str">
        <f aca="false">IF($D2996="","",IFERROR(INDEX(ClientRates!$D$5:$D$500,MATCH($B2996&amp;"|"&amp;$L2996,ClientRates!$A$5:$A$500,0)),0))</f>
        <v/>
      </c>
      <c r="N2996" s="26" t="str">
        <f aca="false">IF($D2996="","",IFERROR(INDEX(ClientRates!$E$5:$E$500,MATCH($B2996&amp;"|"&amp;$L2996,ClientRates!$A$5:$A$500,0)),0))</f>
        <v/>
      </c>
      <c r="O2996" s="26" t="str">
        <f aca="false">IF($D2996="","",F2996*M2996+G2996*N2996)</f>
        <v/>
      </c>
      <c r="P2996" s="26" t="str">
        <f aca="false">IF(OR($D2996="",$J2996&lt;&gt;"Supplier"),"",IFERROR(INDEX(SupplierRates!$D$5:$D$500,MATCH($K2996&amp;"|"&amp;$L2996,SupplierRates!$A$5:$A$500,0)),0))</f>
        <v/>
      </c>
      <c r="Q2996" s="26" t="str">
        <f aca="false">IF(OR($D2996="",$J2996&lt;&gt;"Supplier"),"",IFERROR(INDEX(SupplierRates!$E$5:$E$500,MATCH($K2996&amp;"|"&amp;$L2996,SupplierRates!$A$5:$A$500,0)),0))</f>
        <v/>
      </c>
      <c r="R2996" s="26" t="n">
        <f aca="false">IF(OR($D2996="",$J2996&lt;&gt;"Supplier"),0,F2996*P2996+G2996*Q2996)</f>
        <v>0</v>
      </c>
      <c r="S2996" s="26" t="n">
        <f aca="false">IF(OR($D2996="",$J2996&lt;&gt;"Own"),0,IFERROR((F2996+G2996*Settings!$B$13)*INDEX(Workers!$V$5:$V$2004,MATCH($D2996,Workers!$A$5:$A$2004,0)),0))</f>
        <v>0</v>
      </c>
      <c r="T2996" s="26" t="str">
        <f aca="false">IF($D2996="","",O2996-R2996-S2996)</f>
        <v/>
      </c>
    </row>
    <row r="2997" customFormat="false" ht="15" hidden="false" customHeight="false" outlineLevel="0" collapsed="false">
      <c r="I2997" s="24" t="str">
        <f aca="false">IF($D2997="","",IFERROR(INDEX(Workers!$B$5:$B$2004,MATCH($D2997,Workers!$A$5:$A$2004,0)),"NOT FOUND"))</f>
        <v/>
      </c>
      <c r="J2997" s="24" t="str">
        <f aca="false">IF($D2997="","",IFERROR(INDEX(Workers!$C$5:$C$2004,MATCH($D2997,Workers!$A$5:$A$2004,0)),""))</f>
        <v/>
      </c>
      <c r="K2997" s="24" t="str">
        <f aca="false">IF($D2997="","",IFERROR(IF(INDEX(Workers!$D$5:$D$2004,MATCH($D2997,Workers!$A$5:$A$2004,0))=0,"",INDEX(Workers!$D$5:$D$2004,MATCH($D2997,Workers!$A$5:$A$2004,0))),""))</f>
        <v/>
      </c>
      <c r="L2997" s="24" t="str">
        <f aca="false">IF($D2997="","",IFERROR(INDEX(Workers!$E$5:$E$2004,MATCH($D2997,Workers!$A$5:$A$2004,0)),""))</f>
        <v/>
      </c>
      <c r="M2997" s="26" t="str">
        <f aca="false">IF($D2997="","",IFERROR(INDEX(ClientRates!$D$5:$D$500,MATCH($B2997&amp;"|"&amp;$L2997,ClientRates!$A$5:$A$500,0)),0))</f>
        <v/>
      </c>
      <c r="N2997" s="26" t="str">
        <f aca="false">IF($D2997="","",IFERROR(INDEX(ClientRates!$E$5:$E$500,MATCH($B2997&amp;"|"&amp;$L2997,ClientRates!$A$5:$A$500,0)),0))</f>
        <v/>
      </c>
      <c r="O2997" s="26" t="str">
        <f aca="false">IF($D2997="","",F2997*M2997+G2997*N2997)</f>
        <v/>
      </c>
      <c r="P2997" s="26" t="str">
        <f aca="false">IF(OR($D2997="",$J2997&lt;&gt;"Supplier"),"",IFERROR(INDEX(SupplierRates!$D$5:$D$500,MATCH($K2997&amp;"|"&amp;$L2997,SupplierRates!$A$5:$A$500,0)),0))</f>
        <v/>
      </c>
      <c r="Q2997" s="26" t="str">
        <f aca="false">IF(OR($D2997="",$J2997&lt;&gt;"Supplier"),"",IFERROR(INDEX(SupplierRates!$E$5:$E$500,MATCH($K2997&amp;"|"&amp;$L2997,SupplierRates!$A$5:$A$500,0)),0))</f>
        <v/>
      </c>
      <c r="R2997" s="26" t="n">
        <f aca="false">IF(OR($D2997="",$J2997&lt;&gt;"Supplier"),0,F2997*P2997+G2997*Q2997)</f>
        <v>0</v>
      </c>
      <c r="S2997" s="26" t="n">
        <f aca="false">IF(OR($D2997="",$J2997&lt;&gt;"Own"),0,IFERROR((F2997+G2997*Settings!$B$13)*INDEX(Workers!$V$5:$V$2004,MATCH($D2997,Workers!$A$5:$A$2004,0)),0))</f>
        <v>0</v>
      </c>
      <c r="T2997" s="26" t="str">
        <f aca="false">IF($D2997="","",O2997-R2997-S2997)</f>
        <v/>
      </c>
    </row>
    <row r="2998" customFormat="false" ht="15" hidden="false" customHeight="false" outlineLevel="0" collapsed="false">
      <c r="I2998" s="24" t="str">
        <f aca="false">IF($D2998="","",IFERROR(INDEX(Workers!$B$5:$B$2004,MATCH($D2998,Workers!$A$5:$A$2004,0)),"NOT FOUND"))</f>
        <v/>
      </c>
      <c r="J2998" s="24" t="str">
        <f aca="false">IF($D2998="","",IFERROR(INDEX(Workers!$C$5:$C$2004,MATCH($D2998,Workers!$A$5:$A$2004,0)),""))</f>
        <v/>
      </c>
      <c r="K2998" s="24" t="str">
        <f aca="false">IF($D2998="","",IFERROR(IF(INDEX(Workers!$D$5:$D$2004,MATCH($D2998,Workers!$A$5:$A$2004,0))=0,"",INDEX(Workers!$D$5:$D$2004,MATCH($D2998,Workers!$A$5:$A$2004,0))),""))</f>
        <v/>
      </c>
      <c r="L2998" s="24" t="str">
        <f aca="false">IF($D2998="","",IFERROR(INDEX(Workers!$E$5:$E$2004,MATCH($D2998,Workers!$A$5:$A$2004,0)),""))</f>
        <v/>
      </c>
      <c r="M2998" s="26" t="str">
        <f aca="false">IF($D2998="","",IFERROR(INDEX(ClientRates!$D$5:$D$500,MATCH($B2998&amp;"|"&amp;$L2998,ClientRates!$A$5:$A$500,0)),0))</f>
        <v/>
      </c>
      <c r="N2998" s="26" t="str">
        <f aca="false">IF($D2998="","",IFERROR(INDEX(ClientRates!$E$5:$E$500,MATCH($B2998&amp;"|"&amp;$L2998,ClientRates!$A$5:$A$500,0)),0))</f>
        <v/>
      </c>
      <c r="O2998" s="26" t="str">
        <f aca="false">IF($D2998="","",F2998*M2998+G2998*N2998)</f>
        <v/>
      </c>
      <c r="P2998" s="26" t="str">
        <f aca="false">IF(OR($D2998="",$J2998&lt;&gt;"Supplier"),"",IFERROR(INDEX(SupplierRates!$D$5:$D$500,MATCH($K2998&amp;"|"&amp;$L2998,SupplierRates!$A$5:$A$500,0)),0))</f>
        <v/>
      </c>
      <c r="Q2998" s="26" t="str">
        <f aca="false">IF(OR($D2998="",$J2998&lt;&gt;"Supplier"),"",IFERROR(INDEX(SupplierRates!$E$5:$E$500,MATCH($K2998&amp;"|"&amp;$L2998,SupplierRates!$A$5:$A$500,0)),0))</f>
        <v/>
      </c>
      <c r="R2998" s="26" t="n">
        <f aca="false">IF(OR($D2998="",$J2998&lt;&gt;"Supplier"),0,F2998*P2998+G2998*Q2998)</f>
        <v>0</v>
      </c>
      <c r="S2998" s="26" t="n">
        <f aca="false">IF(OR($D2998="",$J2998&lt;&gt;"Own"),0,IFERROR((F2998+G2998*Settings!$B$13)*INDEX(Workers!$V$5:$V$2004,MATCH($D2998,Workers!$A$5:$A$2004,0)),0))</f>
        <v>0</v>
      </c>
      <c r="T2998" s="26" t="str">
        <f aca="false">IF($D2998="","",O2998-R2998-S2998)</f>
        <v/>
      </c>
    </row>
    <row r="2999" customFormat="false" ht="15" hidden="false" customHeight="false" outlineLevel="0" collapsed="false">
      <c r="I2999" s="24" t="str">
        <f aca="false">IF($D2999="","",IFERROR(INDEX(Workers!$B$5:$B$2004,MATCH($D2999,Workers!$A$5:$A$2004,0)),"NOT FOUND"))</f>
        <v/>
      </c>
      <c r="J2999" s="24" t="str">
        <f aca="false">IF($D2999="","",IFERROR(INDEX(Workers!$C$5:$C$2004,MATCH($D2999,Workers!$A$5:$A$2004,0)),""))</f>
        <v/>
      </c>
      <c r="K2999" s="24" t="str">
        <f aca="false">IF($D2999="","",IFERROR(IF(INDEX(Workers!$D$5:$D$2004,MATCH($D2999,Workers!$A$5:$A$2004,0))=0,"",INDEX(Workers!$D$5:$D$2004,MATCH($D2999,Workers!$A$5:$A$2004,0))),""))</f>
        <v/>
      </c>
      <c r="L2999" s="24" t="str">
        <f aca="false">IF($D2999="","",IFERROR(INDEX(Workers!$E$5:$E$2004,MATCH($D2999,Workers!$A$5:$A$2004,0)),""))</f>
        <v/>
      </c>
      <c r="M2999" s="26" t="str">
        <f aca="false">IF($D2999="","",IFERROR(INDEX(ClientRates!$D$5:$D$500,MATCH($B2999&amp;"|"&amp;$L2999,ClientRates!$A$5:$A$500,0)),0))</f>
        <v/>
      </c>
      <c r="N2999" s="26" t="str">
        <f aca="false">IF($D2999="","",IFERROR(INDEX(ClientRates!$E$5:$E$500,MATCH($B2999&amp;"|"&amp;$L2999,ClientRates!$A$5:$A$500,0)),0))</f>
        <v/>
      </c>
      <c r="O2999" s="26" t="str">
        <f aca="false">IF($D2999="","",F2999*M2999+G2999*N2999)</f>
        <v/>
      </c>
      <c r="P2999" s="26" t="str">
        <f aca="false">IF(OR($D2999="",$J2999&lt;&gt;"Supplier"),"",IFERROR(INDEX(SupplierRates!$D$5:$D$500,MATCH($K2999&amp;"|"&amp;$L2999,SupplierRates!$A$5:$A$500,0)),0))</f>
        <v/>
      </c>
      <c r="Q2999" s="26" t="str">
        <f aca="false">IF(OR($D2999="",$J2999&lt;&gt;"Supplier"),"",IFERROR(INDEX(SupplierRates!$E$5:$E$500,MATCH($K2999&amp;"|"&amp;$L2999,SupplierRates!$A$5:$A$500,0)),0))</f>
        <v/>
      </c>
      <c r="R2999" s="26" t="n">
        <f aca="false">IF(OR($D2999="",$J2999&lt;&gt;"Supplier"),0,F2999*P2999+G2999*Q2999)</f>
        <v>0</v>
      </c>
      <c r="S2999" s="26" t="n">
        <f aca="false">IF(OR($D2999="",$J2999&lt;&gt;"Own"),0,IFERROR((F2999+G2999*Settings!$B$13)*INDEX(Workers!$V$5:$V$2004,MATCH($D2999,Workers!$A$5:$A$2004,0)),0))</f>
        <v>0</v>
      </c>
      <c r="T2999" s="26" t="str">
        <f aca="false">IF($D2999="","",O2999-R2999-S2999)</f>
        <v/>
      </c>
    </row>
    <row r="3000" customFormat="false" ht="15" hidden="false" customHeight="false" outlineLevel="0" collapsed="false">
      <c r="I3000" s="24" t="str">
        <f aca="false">IF($D3000="","",IFERROR(INDEX(Workers!$B$5:$B$2004,MATCH($D3000,Workers!$A$5:$A$2004,0)),"NOT FOUND"))</f>
        <v/>
      </c>
      <c r="J3000" s="24" t="str">
        <f aca="false">IF($D3000="","",IFERROR(INDEX(Workers!$C$5:$C$2004,MATCH($D3000,Workers!$A$5:$A$2004,0)),""))</f>
        <v/>
      </c>
      <c r="K3000" s="24" t="str">
        <f aca="false">IF($D3000="","",IFERROR(IF(INDEX(Workers!$D$5:$D$2004,MATCH($D3000,Workers!$A$5:$A$2004,0))=0,"",INDEX(Workers!$D$5:$D$2004,MATCH($D3000,Workers!$A$5:$A$2004,0))),""))</f>
        <v/>
      </c>
      <c r="L3000" s="24" t="str">
        <f aca="false">IF($D3000="","",IFERROR(INDEX(Workers!$E$5:$E$2004,MATCH($D3000,Workers!$A$5:$A$2004,0)),""))</f>
        <v/>
      </c>
      <c r="M3000" s="26" t="str">
        <f aca="false">IF($D3000="","",IFERROR(INDEX(ClientRates!$D$5:$D$500,MATCH($B3000&amp;"|"&amp;$L3000,ClientRates!$A$5:$A$500,0)),0))</f>
        <v/>
      </c>
      <c r="N3000" s="26" t="str">
        <f aca="false">IF($D3000="","",IFERROR(INDEX(ClientRates!$E$5:$E$500,MATCH($B3000&amp;"|"&amp;$L3000,ClientRates!$A$5:$A$500,0)),0))</f>
        <v/>
      </c>
      <c r="O3000" s="26" t="str">
        <f aca="false">IF($D3000="","",F3000*M3000+G3000*N3000)</f>
        <v/>
      </c>
      <c r="P3000" s="26" t="str">
        <f aca="false">IF(OR($D3000="",$J3000&lt;&gt;"Supplier"),"",IFERROR(INDEX(SupplierRates!$D$5:$D$500,MATCH($K3000&amp;"|"&amp;$L3000,SupplierRates!$A$5:$A$500,0)),0))</f>
        <v/>
      </c>
      <c r="Q3000" s="26" t="str">
        <f aca="false">IF(OR($D3000="",$J3000&lt;&gt;"Supplier"),"",IFERROR(INDEX(SupplierRates!$E$5:$E$500,MATCH($K3000&amp;"|"&amp;$L3000,SupplierRates!$A$5:$A$500,0)),0))</f>
        <v/>
      </c>
      <c r="R3000" s="26" t="n">
        <f aca="false">IF(OR($D3000="",$J3000&lt;&gt;"Supplier"),0,F3000*P3000+G3000*Q3000)</f>
        <v>0</v>
      </c>
      <c r="S3000" s="26" t="n">
        <f aca="false">IF(OR($D3000="",$J3000&lt;&gt;"Own"),0,IFERROR((F3000+G3000*Settings!$B$13)*INDEX(Workers!$V$5:$V$2004,MATCH($D3000,Workers!$A$5:$A$2004,0)),0))</f>
        <v>0</v>
      </c>
      <c r="T3000" s="26" t="str">
        <f aca="false">IF($D3000="","",O3000-R3000-S3000)</f>
        <v/>
      </c>
    </row>
    <row r="3001" customFormat="false" ht="15" hidden="false" customHeight="false" outlineLevel="0" collapsed="false">
      <c r="I3001" s="24" t="str">
        <f aca="false">IF($D3001="","",IFERROR(INDEX(Workers!$B$5:$B$2004,MATCH($D3001,Workers!$A$5:$A$2004,0)),"NOT FOUND"))</f>
        <v/>
      </c>
      <c r="J3001" s="24" t="str">
        <f aca="false">IF($D3001="","",IFERROR(INDEX(Workers!$C$5:$C$2004,MATCH($D3001,Workers!$A$5:$A$2004,0)),""))</f>
        <v/>
      </c>
      <c r="K3001" s="24" t="str">
        <f aca="false">IF($D3001="","",IFERROR(IF(INDEX(Workers!$D$5:$D$2004,MATCH($D3001,Workers!$A$5:$A$2004,0))=0,"",INDEX(Workers!$D$5:$D$2004,MATCH($D3001,Workers!$A$5:$A$2004,0))),""))</f>
        <v/>
      </c>
      <c r="L3001" s="24" t="str">
        <f aca="false">IF($D3001="","",IFERROR(INDEX(Workers!$E$5:$E$2004,MATCH($D3001,Workers!$A$5:$A$2004,0)),""))</f>
        <v/>
      </c>
      <c r="M3001" s="26" t="str">
        <f aca="false">IF($D3001="","",IFERROR(INDEX(ClientRates!$D$5:$D$500,MATCH($B3001&amp;"|"&amp;$L3001,ClientRates!$A$5:$A$500,0)),0))</f>
        <v/>
      </c>
      <c r="N3001" s="26" t="str">
        <f aca="false">IF($D3001="","",IFERROR(INDEX(ClientRates!$E$5:$E$500,MATCH($B3001&amp;"|"&amp;$L3001,ClientRates!$A$5:$A$500,0)),0))</f>
        <v/>
      </c>
      <c r="O3001" s="26" t="str">
        <f aca="false">IF($D3001="","",F3001*M3001+G3001*N3001)</f>
        <v/>
      </c>
      <c r="P3001" s="26" t="str">
        <f aca="false">IF(OR($D3001="",$J3001&lt;&gt;"Supplier"),"",IFERROR(INDEX(SupplierRates!$D$5:$D$500,MATCH($K3001&amp;"|"&amp;$L3001,SupplierRates!$A$5:$A$500,0)),0))</f>
        <v/>
      </c>
      <c r="Q3001" s="26" t="str">
        <f aca="false">IF(OR($D3001="",$J3001&lt;&gt;"Supplier"),"",IFERROR(INDEX(SupplierRates!$E$5:$E$500,MATCH($K3001&amp;"|"&amp;$L3001,SupplierRates!$A$5:$A$500,0)),0))</f>
        <v/>
      </c>
      <c r="R3001" s="26" t="n">
        <f aca="false">IF(OR($D3001="",$J3001&lt;&gt;"Supplier"),0,F3001*P3001+G3001*Q3001)</f>
        <v>0</v>
      </c>
      <c r="S3001" s="26" t="n">
        <f aca="false">IF(OR($D3001="",$J3001&lt;&gt;"Own"),0,IFERROR((F3001+G3001*Settings!$B$13)*INDEX(Workers!$V$5:$V$2004,MATCH($D3001,Workers!$A$5:$A$2004,0)),0))</f>
        <v>0</v>
      </c>
      <c r="T3001" s="26" t="str">
        <f aca="false">IF($D3001="","",O3001-R3001-S3001)</f>
        <v/>
      </c>
    </row>
    <row r="3002" customFormat="false" ht="15" hidden="false" customHeight="false" outlineLevel="0" collapsed="false">
      <c r="I3002" s="24" t="str">
        <f aca="false">IF($D3002="","",IFERROR(INDEX(Workers!$B$5:$B$2004,MATCH($D3002,Workers!$A$5:$A$2004,0)),"NOT FOUND"))</f>
        <v/>
      </c>
      <c r="J3002" s="24" t="str">
        <f aca="false">IF($D3002="","",IFERROR(INDEX(Workers!$C$5:$C$2004,MATCH($D3002,Workers!$A$5:$A$2004,0)),""))</f>
        <v/>
      </c>
      <c r="K3002" s="24" t="str">
        <f aca="false">IF($D3002="","",IFERROR(IF(INDEX(Workers!$D$5:$D$2004,MATCH($D3002,Workers!$A$5:$A$2004,0))=0,"",INDEX(Workers!$D$5:$D$2004,MATCH($D3002,Workers!$A$5:$A$2004,0))),""))</f>
        <v/>
      </c>
      <c r="L3002" s="24" t="str">
        <f aca="false">IF($D3002="","",IFERROR(INDEX(Workers!$E$5:$E$2004,MATCH($D3002,Workers!$A$5:$A$2004,0)),""))</f>
        <v/>
      </c>
      <c r="M3002" s="26" t="str">
        <f aca="false">IF($D3002="","",IFERROR(INDEX(ClientRates!$D$5:$D$500,MATCH($B3002&amp;"|"&amp;$L3002,ClientRates!$A$5:$A$500,0)),0))</f>
        <v/>
      </c>
      <c r="N3002" s="26" t="str">
        <f aca="false">IF($D3002="","",IFERROR(INDEX(ClientRates!$E$5:$E$500,MATCH($B3002&amp;"|"&amp;$L3002,ClientRates!$A$5:$A$500,0)),0))</f>
        <v/>
      </c>
      <c r="O3002" s="26" t="str">
        <f aca="false">IF($D3002="","",F3002*M3002+G3002*N3002)</f>
        <v/>
      </c>
      <c r="P3002" s="26" t="str">
        <f aca="false">IF(OR($D3002="",$J3002&lt;&gt;"Supplier"),"",IFERROR(INDEX(SupplierRates!$D$5:$D$500,MATCH($K3002&amp;"|"&amp;$L3002,SupplierRates!$A$5:$A$500,0)),0))</f>
        <v/>
      </c>
      <c r="Q3002" s="26" t="str">
        <f aca="false">IF(OR($D3002="",$J3002&lt;&gt;"Supplier"),"",IFERROR(INDEX(SupplierRates!$E$5:$E$500,MATCH($K3002&amp;"|"&amp;$L3002,SupplierRates!$A$5:$A$500,0)),0))</f>
        <v/>
      </c>
      <c r="R3002" s="26" t="n">
        <f aca="false">IF(OR($D3002="",$J3002&lt;&gt;"Supplier"),0,F3002*P3002+G3002*Q3002)</f>
        <v>0</v>
      </c>
      <c r="S3002" s="26" t="n">
        <f aca="false">IF(OR($D3002="",$J3002&lt;&gt;"Own"),0,IFERROR((F3002+G3002*Settings!$B$13)*INDEX(Workers!$V$5:$V$2004,MATCH($D3002,Workers!$A$5:$A$2004,0)),0))</f>
        <v>0</v>
      </c>
      <c r="T3002" s="26" t="str">
        <f aca="false">IF($D3002="","",O3002-R3002-S3002)</f>
        <v/>
      </c>
    </row>
    <row r="3003" customFormat="false" ht="15" hidden="false" customHeight="false" outlineLevel="0" collapsed="false">
      <c r="I3003" s="24" t="str">
        <f aca="false">IF($D3003="","",IFERROR(INDEX(Workers!$B$5:$B$2004,MATCH($D3003,Workers!$A$5:$A$2004,0)),"NOT FOUND"))</f>
        <v/>
      </c>
      <c r="J3003" s="24" t="str">
        <f aca="false">IF($D3003="","",IFERROR(INDEX(Workers!$C$5:$C$2004,MATCH($D3003,Workers!$A$5:$A$2004,0)),""))</f>
        <v/>
      </c>
      <c r="K3003" s="24" t="str">
        <f aca="false">IF($D3003="","",IFERROR(IF(INDEX(Workers!$D$5:$D$2004,MATCH($D3003,Workers!$A$5:$A$2004,0))=0,"",INDEX(Workers!$D$5:$D$2004,MATCH($D3003,Workers!$A$5:$A$2004,0))),""))</f>
        <v/>
      </c>
      <c r="L3003" s="24" t="str">
        <f aca="false">IF($D3003="","",IFERROR(INDEX(Workers!$E$5:$E$2004,MATCH($D3003,Workers!$A$5:$A$2004,0)),""))</f>
        <v/>
      </c>
      <c r="M3003" s="26" t="str">
        <f aca="false">IF($D3003="","",IFERROR(INDEX(ClientRates!$D$5:$D$500,MATCH($B3003&amp;"|"&amp;$L3003,ClientRates!$A$5:$A$500,0)),0))</f>
        <v/>
      </c>
      <c r="N3003" s="26" t="str">
        <f aca="false">IF($D3003="","",IFERROR(INDEX(ClientRates!$E$5:$E$500,MATCH($B3003&amp;"|"&amp;$L3003,ClientRates!$A$5:$A$500,0)),0))</f>
        <v/>
      </c>
      <c r="O3003" s="26" t="str">
        <f aca="false">IF($D3003="","",F3003*M3003+G3003*N3003)</f>
        <v/>
      </c>
      <c r="P3003" s="26" t="str">
        <f aca="false">IF(OR($D3003="",$J3003&lt;&gt;"Supplier"),"",IFERROR(INDEX(SupplierRates!$D$5:$D$500,MATCH($K3003&amp;"|"&amp;$L3003,SupplierRates!$A$5:$A$500,0)),0))</f>
        <v/>
      </c>
      <c r="Q3003" s="26" t="str">
        <f aca="false">IF(OR($D3003="",$J3003&lt;&gt;"Supplier"),"",IFERROR(INDEX(SupplierRates!$E$5:$E$500,MATCH($K3003&amp;"|"&amp;$L3003,SupplierRates!$A$5:$A$500,0)),0))</f>
        <v/>
      </c>
      <c r="R3003" s="26" t="n">
        <f aca="false">IF(OR($D3003="",$J3003&lt;&gt;"Supplier"),0,F3003*P3003+G3003*Q3003)</f>
        <v>0</v>
      </c>
      <c r="S3003" s="26" t="n">
        <f aca="false">IF(OR($D3003="",$J3003&lt;&gt;"Own"),0,IFERROR((F3003+G3003*Settings!$B$13)*INDEX(Workers!$V$5:$V$2004,MATCH($D3003,Workers!$A$5:$A$2004,0)),0))</f>
        <v>0</v>
      </c>
      <c r="T3003" s="26" t="str">
        <f aca="false">IF($D3003="","",O3003-R3003-S3003)</f>
        <v/>
      </c>
    </row>
    <row r="3004" customFormat="false" ht="15" hidden="false" customHeight="false" outlineLevel="0" collapsed="false">
      <c r="I3004" s="24" t="str">
        <f aca="false">IF($D3004="","",IFERROR(INDEX(Workers!$B$5:$B$2004,MATCH($D3004,Workers!$A$5:$A$2004,0)),"NOT FOUND"))</f>
        <v/>
      </c>
      <c r="J3004" s="24" t="str">
        <f aca="false">IF($D3004="","",IFERROR(INDEX(Workers!$C$5:$C$2004,MATCH($D3004,Workers!$A$5:$A$2004,0)),""))</f>
        <v/>
      </c>
      <c r="K3004" s="24" t="str">
        <f aca="false">IF($D3004="","",IFERROR(IF(INDEX(Workers!$D$5:$D$2004,MATCH($D3004,Workers!$A$5:$A$2004,0))=0,"",INDEX(Workers!$D$5:$D$2004,MATCH($D3004,Workers!$A$5:$A$2004,0))),""))</f>
        <v/>
      </c>
      <c r="L3004" s="24" t="str">
        <f aca="false">IF($D3004="","",IFERROR(INDEX(Workers!$E$5:$E$2004,MATCH($D3004,Workers!$A$5:$A$2004,0)),""))</f>
        <v/>
      </c>
      <c r="M3004" s="26" t="str">
        <f aca="false">IF($D3004="","",IFERROR(INDEX(ClientRates!$D$5:$D$500,MATCH($B3004&amp;"|"&amp;$L3004,ClientRates!$A$5:$A$500,0)),0))</f>
        <v/>
      </c>
      <c r="N3004" s="26" t="str">
        <f aca="false">IF($D3004="","",IFERROR(INDEX(ClientRates!$E$5:$E$500,MATCH($B3004&amp;"|"&amp;$L3004,ClientRates!$A$5:$A$500,0)),0))</f>
        <v/>
      </c>
      <c r="O3004" s="26" t="str">
        <f aca="false">IF($D3004="","",F3004*M3004+G3004*N3004)</f>
        <v/>
      </c>
      <c r="P3004" s="26" t="str">
        <f aca="false">IF(OR($D3004="",$J3004&lt;&gt;"Supplier"),"",IFERROR(INDEX(SupplierRates!$D$5:$D$500,MATCH($K3004&amp;"|"&amp;$L3004,SupplierRates!$A$5:$A$500,0)),0))</f>
        <v/>
      </c>
      <c r="Q3004" s="26" t="str">
        <f aca="false">IF(OR($D3004="",$J3004&lt;&gt;"Supplier"),"",IFERROR(INDEX(SupplierRates!$E$5:$E$500,MATCH($K3004&amp;"|"&amp;$L3004,SupplierRates!$A$5:$A$500,0)),0))</f>
        <v/>
      </c>
      <c r="R3004" s="26" t="n">
        <f aca="false">IF(OR($D3004="",$J3004&lt;&gt;"Supplier"),0,F3004*P3004+G3004*Q3004)</f>
        <v>0</v>
      </c>
      <c r="S3004" s="26" t="n">
        <f aca="false">IF(OR($D3004="",$J3004&lt;&gt;"Own"),0,IFERROR((F3004+G3004*Settings!$B$13)*INDEX(Workers!$V$5:$V$2004,MATCH($D3004,Workers!$A$5:$A$2004,0)),0))</f>
        <v>0</v>
      </c>
      <c r="T3004" s="26" t="str">
        <f aca="false">IF($D3004="","",O3004-R3004-S3004)</f>
        <v/>
      </c>
    </row>
  </sheetData>
  <autoFilter ref="A4:T3004"/>
  <conditionalFormatting sqref="I5:I3004">
    <cfRule type="expression" priority="2" aboveAverage="0" equalAverage="0" bottom="0" percent="0" rank="0" text="" dxfId="0">
      <formula>$I5="NOT FOUND"</formula>
    </cfRule>
  </conditionalFormatting>
  <conditionalFormatting sqref="M5:M3004">
    <cfRule type="expression" priority="3" aboveAverage="0" equalAverage="0" bottom="0" percent="0" rank="0" text="" dxfId="0">
      <formula>AND($D5&lt;&gt;"",$M5=0)</formula>
    </cfRule>
  </conditionalFormatting>
  <conditionalFormatting sqref="P5:P3004">
    <cfRule type="expression" priority="4" aboveAverage="0" equalAverage="0" bottom="0" percent="0" rank="0" text="" dxfId="0">
      <formula>AND($J5="Supplier",$P5=0)</formula>
    </cfRule>
  </conditionalFormatting>
  <dataValidations count="1">
    <dataValidation allowBlank="true" error="Please pick a value from the list" errorStyle="stop" operator="between" showDropDown="false" showErrorMessage="false" showInputMessage="false" sqref="B5:B3004" type="list">
      <formula1>Clients!$A$5:$A$300</formula1>
      <formula2>0</formula2>
    </dataValidation>
  </dataValidations>
  <hyperlinks>
    <hyperlink ref="E1" r:id="rId1" location="'HOME'!A1" display="« HO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4" t="s">
        <v>555</v>
      </c>
      <c r="F1" s="15" t="s">
        <v>38</v>
      </c>
    </row>
    <row r="2" customFormat="false" ht="15" hidden="false" customHeight="false" outlineLevel="0" collapsed="false">
      <c r="A2" s="13" t="s">
        <v>556</v>
      </c>
    </row>
    <row r="4" customFormat="false" ht="31.5" hidden="false" customHeight="true" outlineLevel="0" collapsed="false">
      <c r="A4" s="38" t="s">
        <v>557</v>
      </c>
      <c r="B4" s="38" t="s">
        <v>219</v>
      </c>
      <c r="C4" s="38" t="s">
        <v>558</v>
      </c>
      <c r="D4" s="38" t="s">
        <v>559</v>
      </c>
      <c r="E4" s="38" t="s">
        <v>560</v>
      </c>
      <c r="F4" s="38" t="s">
        <v>561</v>
      </c>
    </row>
    <row r="5" customFormat="false" ht="15" hidden="false" customHeight="false" outlineLevel="0" collapsed="false">
      <c r="A5" s="41" t="n">
        <v>46298</v>
      </c>
      <c r="B5" s="33" t="s">
        <v>243</v>
      </c>
      <c r="C5" s="33" t="s">
        <v>130</v>
      </c>
      <c r="D5" s="39" t="n">
        <v>300</v>
      </c>
      <c r="E5" s="41" t="n">
        <v>46296</v>
      </c>
      <c r="F5" s="33" t="s">
        <v>562</v>
      </c>
    </row>
    <row r="6" customFormat="false" ht="15" hidden="false" customHeight="false" outlineLevel="0" collapsed="false">
      <c r="A6" s="41" t="n">
        <v>46300</v>
      </c>
      <c r="B6" s="33" t="s">
        <v>261</v>
      </c>
      <c r="C6" s="33" t="s">
        <v>130</v>
      </c>
      <c r="D6" s="39" t="n">
        <v>500</v>
      </c>
      <c r="E6" s="41" t="n">
        <v>46296</v>
      </c>
      <c r="F6" s="33"/>
    </row>
    <row r="7" customFormat="false" ht="15" hidden="false" customHeight="false" outlineLevel="0" collapsed="false">
      <c r="A7" s="41" t="n">
        <v>46304</v>
      </c>
      <c r="B7" s="33" t="s">
        <v>292</v>
      </c>
      <c r="C7" s="33" t="s">
        <v>137</v>
      </c>
      <c r="D7" s="39" t="n">
        <v>100</v>
      </c>
      <c r="E7" s="41" t="n">
        <v>46296</v>
      </c>
      <c r="F7" s="33" t="s">
        <v>563</v>
      </c>
    </row>
    <row r="8" customFormat="false" ht="15" hidden="false" customHeight="false" outlineLevel="0" collapsed="false">
      <c r="A8" s="41" t="n">
        <v>46307</v>
      </c>
      <c r="B8" s="33" t="s">
        <v>307</v>
      </c>
      <c r="C8" s="33" t="s">
        <v>142</v>
      </c>
      <c r="D8" s="39" t="n">
        <v>150</v>
      </c>
      <c r="E8" s="41" t="n">
        <v>46296</v>
      </c>
      <c r="F8" s="33" t="s">
        <v>564</v>
      </c>
    </row>
    <row r="9" customFormat="false" ht="15" hidden="false" customHeight="false" outlineLevel="0" collapsed="false">
      <c r="A9" s="41" t="n">
        <v>46310</v>
      </c>
      <c r="B9" s="33" t="s">
        <v>337</v>
      </c>
      <c r="C9" s="33" t="s">
        <v>130</v>
      </c>
      <c r="D9" s="39" t="n">
        <v>400</v>
      </c>
      <c r="E9" s="41" t="n">
        <v>46296</v>
      </c>
      <c r="F9" s="33"/>
    </row>
    <row r="10" customFormat="false" ht="15" hidden="false" customHeight="false" outlineLevel="0" collapsed="false">
      <c r="A10" s="41" t="n">
        <v>46313</v>
      </c>
      <c r="B10" s="33" t="s">
        <v>373</v>
      </c>
      <c r="C10" s="33" t="s">
        <v>145</v>
      </c>
      <c r="D10" s="39" t="n">
        <v>75</v>
      </c>
      <c r="E10" s="41" t="n">
        <v>46296</v>
      </c>
      <c r="F10" s="33" t="s">
        <v>565</v>
      </c>
    </row>
    <row r="11" customFormat="false" ht="15" hidden="false" customHeight="false" outlineLevel="0" collapsed="false">
      <c r="A11" s="41" t="n">
        <v>46316</v>
      </c>
      <c r="B11" s="33" t="s">
        <v>403</v>
      </c>
      <c r="C11" s="33" t="s">
        <v>130</v>
      </c>
      <c r="D11" s="39" t="n">
        <v>250</v>
      </c>
      <c r="E11" s="41" t="n">
        <v>46296</v>
      </c>
      <c r="F11" s="33"/>
    </row>
  </sheetData>
  <dataValidations count="1">
    <dataValidation allowBlank="true" error="Please pick a value from the list" errorStyle="stop" operator="between" showDropDown="false" showErrorMessage="false" showInputMessage="false" sqref="C5:C1011" type="list">
      <formula1>Settings!$J$5:$J$8</formula1>
      <formula2>0</formula2>
    </dataValidation>
  </dataValidations>
  <hyperlinks>
    <hyperlink ref="F1" r:id="rId1" location="'HOME'!A1" display="« HO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U1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8" min="7" style="0" width="8"/>
    <col collapsed="false" customWidth="true" hidden="false" outlineLevel="0" max="12" min="9" style="0" width="11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7" min="16" style="0" width="11"/>
    <col collapsed="false" customWidth="true" hidden="false" outlineLevel="0" max="18" min="18" style="0" width="13"/>
    <col collapsed="false" customWidth="true" hidden="false" outlineLevel="0" max="19" min="19" style="0" width="12"/>
    <col collapsed="false" customWidth="true" hidden="false" outlineLevel="0" max="20" min="20" style="0" width="27"/>
    <col collapsed="false" customWidth="true" hidden="false" outlineLevel="0" max="21" min="21" style="0" width="17"/>
  </cols>
  <sheetData>
    <row r="1" customFormat="false" ht="17.35" hidden="false" customHeight="false" outlineLevel="0" collapsed="false">
      <c r="A1" s="14" t="s">
        <v>566</v>
      </c>
      <c r="D1" s="15" t="s">
        <v>38</v>
      </c>
    </row>
    <row r="2" customFormat="false" ht="15" hidden="false" customHeight="false" outlineLevel="0" collapsed="false">
      <c r="A2" s="13" t="s">
        <v>567</v>
      </c>
    </row>
    <row r="3" customFormat="false" ht="15" hidden="false" customHeight="false" outlineLevel="0" collapsed="false">
      <c r="A3" s="42" t="s">
        <v>568</v>
      </c>
      <c r="B3" s="42" t="str">
        <f aca="false">COUNTIF(A5:A1204,"?*")&amp;" workers"</f>
        <v>40 workers</v>
      </c>
      <c r="E3" s="43" t="n">
        <f aca="false">SUM(E5:E1204)</f>
        <v>968</v>
      </c>
      <c r="F3" s="43" t="n">
        <f aca="false">SUM(F5:F1204)</f>
        <v>7744</v>
      </c>
      <c r="G3" s="43" t="n">
        <f aca="false">SUM(G5:G1204)</f>
        <v>736</v>
      </c>
      <c r="H3" s="43" t="n">
        <f aca="false">SUM(H5:H1204)</f>
        <v>60</v>
      </c>
      <c r="I3" s="28" t="n">
        <f aca="false">SUM(I5:I1204)</f>
        <v>62600</v>
      </c>
      <c r="J3" s="28" t="n">
        <f aca="false">SUM(J5:J1204)</f>
        <v>14100</v>
      </c>
      <c r="K3" s="28" t="n">
        <f aca="false">SUM(K5:K1204)</f>
        <v>72390.01</v>
      </c>
      <c r="L3" s="28" t="n">
        <f aca="false">SUM(L5:L1204)</f>
        <v>9776</v>
      </c>
      <c r="M3" s="28" t="n">
        <f aca="false">SUM(M5:M1204)</f>
        <v>7039.81</v>
      </c>
      <c r="N3" s="28" t="n">
        <f aca="false">SUM(N5:N1204)</f>
        <v>89205.82</v>
      </c>
      <c r="O3" s="28" t="n">
        <f aca="false">SUM(O5:O1204)</f>
        <v>1450</v>
      </c>
      <c r="P3" s="28" t="n">
        <f aca="false">SUM(P5:P1204)</f>
        <v>325</v>
      </c>
      <c r="Q3" s="28" t="n">
        <f aca="false">SUM(Q5:Q1204)</f>
        <v>1775</v>
      </c>
      <c r="R3" s="28" t="n">
        <f aca="false">SUM(R5:R1204)</f>
        <v>87430.82</v>
      </c>
    </row>
    <row r="4" customFormat="false" ht="31.5" hidden="false" customHeight="true" outlineLevel="0" collapsed="false">
      <c r="A4" s="40" t="s">
        <v>219</v>
      </c>
      <c r="B4" s="40" t="s">
        <v>220</v>
      </c>
      <c r="C4" s="40" t="s">
        <v>212</v>
      </c>
      <c r="D4" s="40" t="s">
        <v>122</v>
      </c>
      <c r="E4" s="40" t="s">
        <v>531</v>
      </c>
      <c r="F4" s="40" t="s">
        <v>532</v>
      </c>
      <c r="G4" s="40" t="s">
        <v>533</v>
      </c>
      <c r="H4" s="40" t="s">
        <v>569</v>
      </c>
      <c r="I4" s="40" t="s">
        <v>570</v>
      </c>
      <c r="J4" s="40" t="s">
        <v>571</v>
      </c>
      <c r="K4" s="40" t="s">
        <v>572</v>
      </c>
      <c r="L4" s="40" t="s">
        <v>573</v>
      </c>
      <c r="M4" s="40" t="s">
        <v>574</v>
      </c>
      <c r="N4" s="40" t="s">
        <v>575</v>
      </c>
      <c r="O4" s="40" t="s">
        <v>576</v>
      </c>
      <c r="P4" s="40" t="s">
        <v>577</v>
      </c>
      <c r="Q4" s="40" t="s">
        <v>578</v>
      </c>
      <c r="R4" s="40" t="s">
        <v>579</v>
      </c>
      <c r="S4" s="40" t="s">
        <v>580</v>
      </c>
      <c r="T4" s="40" t="s">
        <v>230</v>
      </c>
      <c r="U4" s="40" t="s">
        <v>223</v>
      </c>
    </row>
    <row r="5" customFormat="false" ht="15" hidden="false" customHeight="false" outlineLevel="0" collapsed="false">
      <c r="A5" s="24" t="str">
        <f aca="false">IFERROR(INDEX(Workers!$A$5:$A$2004,MATCH(ROW()-4,Workers!$U$5:$U$2004,0)),"")</f>
        <v>W0001</v>
      </c>
      <c r="B5" s="24" t="str">
        <f aca="false">IF($A5="","",INDEX(Workers!$B$5:$B$2004,MATCH($A5,Workers!$A$5:$A$2004,0)))</f>
        <v>Marlon Khan</v>
      </c>
      <c r="C5" s="24" t="str">
        <f aca="false">IF($A5="","",INDEX(Workers!$E$5:$E$2004,MATCH($A5,Workers!$A$5:$A$2004,0)))</f>
        <v>Steel Fixer</v>
      </c>
      <c r="D5" s="24" t="str">
        <f aca="false">IF($A5="","",INDEX(Workers!$K$5:$K$2004,MATCH($A5,Workers!$A$5:$A$2004,0)))</f>
        <v>Monthly</v>
      </c>
      <c r="E5" s="25" t="n">
        <f aca="false">IF($A5="","",SUMIFS(Timesheet!$E$5:$E$3004,Timesheet!$D$5:$D$3004,$A5,Timesheet!$A$5:$A$3004,"&gt;="&amp;Settings!$B$8,Timesheet!$A$5:$A$3004,"&lt;="&amp;Settings!$B$9))</f>
        <v>26</v>
      </c>
      <c r="F5" s="25" t="n">
        <f aca="false">IF($A5="","",SUMIFS(Timesheet!$F$5:$F$3004,Timesheet!$D$5:$D$3004,$A5,Timesheet!$A$5:$A$3004,"&gt;="&amp;Settings!$B$8,Timesheet!$A$5:$A$3004,"&lt;="&amp;Settings!$B$9))</f>
        <v>208</v>
      </c>
      <c r="G5" s="25" t="n">
        <f aca="false">IF($A5="","",SUMIFS(Timesheet!$G$5:$G$3004,Timesheet!$D$5:$D$3004,$A5,Timesheet!$A$5:$A$3004,"&gt;="&amp;Settings!$B$8,Timesheet!$A$5:$A$3004,"&lt;="&amp;Settings!$B$9))</f>
        <v>26</v>
      </c>
      <c r="H5" s="25" t="n">
        <f aca="false">IF($A5="","",IF(D5="Monthly",MAX(0,Settings!$B$11-E5),0))</f>
        <v>0</v>
      </c>
      <c r="I5" s="26" t="n">
        <f aca="false">IF($A5="","",N(INDEX(Workers!$L$5:$L$2004,MATCH($A5,Workers!$A$5:$A$2004,0))))</f>
        <v>1400</v>
      </c>
      <c r="J5" s="26" t="n">
        <f aca="false">IF($A5="","",N(INDEX(Workers!$M$5:$M$2004,MATCH($A5,Workers!$A$5:$A$2004,0))))</f>
        <v>400</v>
      </c>
      <c r="K5" s="26" t="n">
        <f aca="false">IF($A5="","",IF(D5="Monthly",ROUND(MAX(0,(I5+J5)-(I5+J5)/Settings!$B$10*H5),2),0))</f>
        <v>1800</v>
      </c>
      <c r="L5" s="26" t="n">
        <f aca="false">IF($A5="","",IF(D5="Hourly",ROUND(F5*N(INDEX(Workers!$N$5:$N$2004,MATCH($A5,Workers!$A$5:$A$2004,0))),2),0))</f>
        <v>0</v>
      </c>
      <c r="M5" s="26" t="n">
        <f aca="false">IF($A5="","",ROUND(G5*IF(D5="Hourly",N(INDEX(Workers!$N$5:$N$2004,MATCH($A5,Workers!$A$5:$A$2004,0))),I5/Settings!$B$10/Settings!$B$12)*Settings!$B$13,2))</f>
        <v>189.58</v>
      </c>
      <c r="N5" s="26" t="n">
        <f aca="false">IF($A5="","",K5+L5+M5)</f>
        <v>1989.58</v>
      </c>
      <c r="O5" s="26" t="n">
        <f aca="false">IF($A5="","",SUMIFS(Deductions!$D$5:$D$2000,Deductions!$B$5:$B$2000,$A5,Deductions!$C$5:$C$2000,"Advance",Deductions!$E$5:$E$2000,"&gt;="&amp;Settings!$B$8,Deductions!$E$5:$E$2000,"&lt;="&amp;Settings!$B$9))</f>
        <v>0</v>
      </c>
      <c r="P5" s="26" t="n">
        <f aca="false">IF($A5="","",SUMIFS(Deductions!$D$5:$D$2000,Deductions!$B$5:$B$2000,$A5,Deductions!$E$5:$E$2000,"&gt;="&amp;Settings!$B$8,Deductions!$E$5:$E$2000,"&lt;="&amp;Settings!$B$9)-O5)</f>
        <v>0</v>
      </c>
      <c r="Q5" s="26" t="n">
        <f aca="false">IF($A5="","",O5+P5)</f>
        <v>0</v>
      </c>
      <c r="R5" s="23" t="n">
        <f aca="false">IF($A5="","",N5-Q5)</f>
        <v>1989.58</v>
      </c>
      <c r="S5" s="24" t="str">
        <f aca="false">IF($A5="","",INDEX(Workers!$O$5:$O$2004,MATCH($A5,Workers!$A$5:$A$2004,0))&amp;"")</f>
        <v>402320106</v>
      </c>
      <c r="T5" s="24" t="str">
        <f aca="false">IF($A5="","",INDEX(Workers!$P$5:$P$2004,MATCH($A5,Workers!$A$5:$A$2004,0))&amp;"")</f>
        <v>AE96 1884 8481 7428 7521 508</v>
      </c>
      <c r="U5" s="24" t="str">
        <f aca="false">IF($A5="","",INDEX(Workers!$H$5:$H$2004,MATCH($A5,Workers!$A$5:$A$2004,0))&amp;"")</f>
        <v>96921334349946</v>
      </c>
    </row>
    <row r="6" customFormat="false" ht="15" hidden="false" customHeight="false" outlineLevel="0" collapsed="false">
      <c r="A6" s="24" t="str">
        <f aca="false">IFERROR(INDEX(Workers!$A$5:$A$2004,MATCH(ROW()-4,Workers!$U$5:$U$2004,0)),"")</f>
        <v>W0002</v>
      </c>
      <c r="B6" s="24" t="str">
        <f aca="false">IF($A6="","",INDEX(Workers!$B$5:$B$2004,MATCH($A6,Workers!$A$5:$A$2004,0)))</f>
        <v>Rohan Ali</v>
      </c>
      <c r="C6" s="24" t="str">
        <f aca="false">IF($A6="","",INDEX(Workers!$E$5:$E$2004,MATCH($A6,Workers!$A$5:$A$2004,0)))</f>
        <v>Helper</v>
      </c>
      <c r="D6" s="24" t="str">
        <f aca="false">IF($A6="","",INDEX(Workers!$K$5:$K$2004,MATCH($A6,Workers!$A$5:$A$2004,0)))</f>
        <v>Monthly</v>
      </c>
      <c r="E6" s="25" t="n">
        <f aca="false">IF($A6="","",SUMIFS(Timesheet!$E$5:$E$3004,Timesheet!$D$5:$D$3004,$A6,Timesheet!$A$5:$A$3004,"&gt;="&amp;Settings!$B$8,Timesheet!$A$5:$A$3004,"&lt;="&amp;Settings!$B$9))</f>
        <v>25</v>
      </c>
      <c r="F6" s="25" t="n">
        <f aca="false">IF($A6="","",SUMIFS(Timesheet!$F$5:$F$3004,Timesheet!$D$5:$D$3004,$A6,Timesheet!$A$5:$A$3004,"&gt;="&amp;Settings!$B$8,Timesheet!$A$5:$A$3004,"&lt;="&amp;Settings!$B$9))</f>
        <v>200</v>
      </c>
      <c r="G6" s="25" t="n">
        <f aca="false">IF($A6="","",SUMIFS(Timesheet!$G$5:$G$3004,Timesheet!$D$5:$D$3004,$A6,Timesheet!$A$5:$A$3004,"&gt;="&amp;Settings!$B$8,Timesheet!$A$5:$A$3004,"&lt;="&amp;Settings!$B$9))</f>
        <v>26</v>
      </c>
      <c r="H6" s="25" t="n">
        <f aca="false">IF($A6="","",IF(D6="Monthly",MAX(0,Settings!$B$11-E6),0))</f>
        <v>1</v>
      </c>
      <c r="I6" s="26" t="n">
        <f aca="false">IF($A6="","",N(INDEX(Workers!$L$5:$L$2004,MATCH($A6,Workers!$A$5:$A$2004,0))))</f>
        <v>1200</v>
      </c>
      <c r="J6" s="26" t="n">
        <f aca="false">IF($A6="","",N(INDEX(Workers!$M$5:$M$2004,MATCH($A6,Workers!$A$5:$A$2004,0))))</f>
        <v>500</v>
      </c>
      <c r="K6" s="26" t="n">
        <f aca="false">IF($A6="","",IF(D6="Monthly",ROUND(MAX(0,(I6+J6)-(I6+J6)/Settings!$B$10*H6),2),0))</f>
        <v>1643.33</v>
      </c>
      <c r="L6" s="26" t="n">
        <f aca="false">IF($A6="","",IF(D6="Hourly",ROUND(F6*N(INDEX(Workers!$N$5:$N$2004,MATCH($A6,Workers!$A$5:$A$2004,0))),2),0))</f>
        <v>0</v>
      </c>
      <c r="M6" s="26" t="n">
        <f aca="false">IF($A6="","",ROUND(G6*IF(D6="Hourly",N(INDEX(Workers!$N$5:$N$2004,MATCH($A6,Workers!$A$5:$A$2004,0))),I6/Settings!$B$10/Settings!$B$12)*Settings!$B$13,2))</f>
        <v>162.5</v>
      </c>
      <c r="N6" s="26" t="n">
        <f aca="false">IF($A6="","",K6+L6+M6)</f>
        <v>1805.83</v>
      </c>
      <c r="O6" s="26" t="n">
        <f aca="false">IF($A6="","",SUMIFS(Deductions!$D$5:$D$2000,Deductions!$B$5:$B$2000,$A6,Deductions!$C$5:$C$2000,"Advance",Deductions!$E$5:$E$2000,"&gt;="&amp;Settings!$B$8,Deductions!$E$5:$E$2000,"&lt;="&amp;Settings!$B$9))</f>
        <v>300</v>
      </c>
      <c r="P6" s="26" t="n">
        <f aca="false">IF($A6="","",SUMIFS(Deductions!$D$5:$D$2000,Deductions!$B$5:$B$2000,$A6,Deductions!$E$5:$E$2000,"&gt;="&amp;Settings!$B$8,Deductions!$E$5:$E$2000,"&lt;="&amp;Settings!$B$9)-O6)</f>
        <v>0</v>
      </c>
      <c r="Q6" s="26" t="n">
        <f aca="false">IF($A6="","",O6+P6)</f>
        <v>300</v>
      </c>
      <c r="R6" s="23" t="n">
        <f aca="false">IF($A6="","",N6-Q6)</f>
        <v>1505.83</v>
      </c>
      <c r="S6" s="24" t="str">
        <f aca="false">IF($A6="","",INDEX(Workers!$O$5:$O$2004,MATCH($A6,Workers!$A$5:$A$2004,0))&amp;"")</f>
        <v>600310101</v>
      </c>
      <c r="T6" s="24" t="str">
        <f aca="false">IF($A6="","",INDEX(Workers!$P$5:$P$2004,MATCH($A6,Workers!$A$5:$A$2004,0))&amp;"")</f>
        <v>AE88 1417 2152 4407 7164 252</v>
      </c>
      <c r="U6" s="24" t="str">
        <f aca="false">IF($A6="","",INDEX(Workers!$H$5:$H$2004,MATCH($A6,Workers!$A$5:$A$2004,0))&amp;"")</f>
        <v>24278776051635</v>
      </c>
    </row>
    <row r="7" customFormat="false" ht="15" hidden="false" customHeight="false" outlineLevel="0" collapsed="false">
      <c r="A7" s="24" t="str">
        <f aca="false">IFERROR(INDEX(Workers!$A$5:$A$2004,MATCH(ROW()-4,Workers!$U$5:$U$2004,0)),"")</f>
        <v>W0003</v>
      </c>
      <c r="B7" s="24" t="str">
        <f aca="false">IF($A7="","",INDEX(Workers!$B$5:$B$2004,MATCH($A7,Workers!$A$5:$A$2004,0)))</f>
        <v>Ronel Thapa</v>
      </c>
      <c r="C7" s="24" t="str">
        <f aca="false">IF($A7="","",INDEX(Workers!$E$5:$E$2004,MATCH($A7,Workers!$A$5:$A$2004,0)))</f>
        <v>Mason</v>
      </c>
      <c r="D7" s="24" t="str">
        <f aca="false">IF($A7="","",INDEX(Workers!$K$5:$K$2004,MATCH($A7,Workers!$A$5:$A$2004,0)))</f>
        <v>Monthly</v>
      </c>
      <c r="E7" s="25" t="n">
        <f aca="false">IF($A7="","",SUMIFS(Timesheet!$E$5:$E$3004,Timesheet!$D$5:$D$3004,$A7,Timesheet!$A$5:$A$3004,"&gt;="&amp;Settings!$B$8,Timesheet!$A$5:$A$3004,"&lt;="&amp;Settings!$B$9))</f>
        <v>25</v>
      </c>
      <c r="F7" s="25" t="n">
        <f aca="false">IF($A7="","",SUMIFS(Timesheet!$F$5:$F$3004,Timesheet!$D$5:$D$3004,$A7,Timesheet!$A$5:$A$3004,"&gt;="&amp;Settings!$B$8,Timesheet!$A$5:$A$3004,"&lt;="&amp;Settings!$B$9))</f>
        <v>200</v>
      </c>
      <c r="G7" s="25" t="n">
        <f aca="false">IF($A7="","",SUMIFS(Timesheet!$G$5:$G$3004,Timesheet!$D$5:$D$3004,$A7,Timesheet!$A$5:$A$3004,"&gt;="&amp;Settings!$B$8,Timesheet!$A$5:$A$3004,"&lt;="&amp;Settings!$B$9))</f>
        <v>26</v>
      </c>
      <c r="H7" s="25" t="n">
        <f aca="false">IF($A7="","",IF(D7="Monthly",MAX(0,Settings!$B$11-E7),0))</f>
        <v>1</v>
      </c>
      <c r="I7" s="26" t="n">
        <f aca="false">IF($A7="","",N(INDEX(Workers!$L$5:$L$2004,MATCH($A7,Workers!$A$5:$A$2004,0))))</f>
        <v>1500</v>
      </c>
      <c r="J7" s="26" t="n">
        <f aca="false">IF($A7="","",N(INDEX(Workers!$M$5:$M$2004,MATCH($A7,Workers!$A$5:$A$2004,0))))</f>
        <v>500</v>
      </c>
      <c r="K7" s="26" t="n">
        <f aca="false">IF($A7="","",IF(D7="Monthly",ROUND(MAX(0,(I7+J7)-(I7+J7)/Settings!$B$10*H7),2),0))</f>
        <v>1933.33</v>
      </c>
      <c r="L7" s="26" t="n">
        <f aca="false">IF($A7="","",IF(D7="Hourly",ROUND(F7*N(INDEX(Workers!$N$5:$N$2004,MATCH($A7,Workers!$A$5:$A$2004,0))),2),0))</f>
        <v>0</v>
      </c>
      <c r="M7" s="26" t="n">
        <f aca="false">IF($A7="","",ROUND(G7*IF(D7="Hourly",N(INDEX(Workers!$N$5:$N$2004,MATCH($A7,Workers!$A$5:$A$2004,0))),I7/Settings!$B$10/Settings!$B$12)*Settings!$B$13,2))</f>
        <v>203.13</v>
      </c>
      <c r="N7" s="26" t="n">
        <f aca="false">IF($A7="","",K7+L7+M7)</f>
        <v>2136.46</v>
      </c>
      <c r="O7" s="26" t="n">
        <f aca="false">IF($A7="","",SUMIFS(Deductions!$D$5:$D$2000,Deductions!$B$5:$B$2000,$A7,Deductions!$C$5:$C$2000,"Advance",Deductions!$E$5:$E$2000,"&gt;="&amp;Settings!$B$8,Deductions!$E$5:$E$2000,"&lt;="&amp;Settings!$B$9))</f>
        <v>0</v>
      </c>
      <c r="P7" s="26" t="n">
        <f aca="false">IF($A7="","",SUMIFS(Deductions!$D$5:$D$2000,Deductions!$B$5:$B$2000,$A7,Deductions!$E$5:$E$2000,"&gt;="&amp;Settings!$B$8,Deductions!$E$5:$E$2000,"&lt;="&amp;Settings!$B$9)-O7)</f>
        <v>0</v>
      </c>
      <c r="Q7" s="26" t="n">
        <f aca="false">IF($A7="","",O7+P7)</f>
        <v>0</v>
      </c>
      <c r="R7" s="23" t="n">
        <f aca="false">IF($A7="","",N7-Q7)</f>
        <v>2136.46</v>
      </c>
      <c r="S7" s="24" t="str">
        <f aca="false">IF($A7="","",INDEX(Workers!$O$5:$O$2004,MATCH($A7,Workers!$A$5:$A$2004,0))&amp;"")</f>
        <v>402320106</v>
      </c>
      <c r="T7" s="24" t="str">
        <f aca="false">IF($A7="","",INDEX(Workers!$P$5:$P$2004,MATCH($A7,Workers!$A$5:$A$2004,0))&amp;"")</f>
        <v>AE12 4362 9654 6926 3401 806</v>
      </c>
      <c r="U7" s="24" t="str">
        <f aca="false">IF($A7="","",INDEX(Workers!$H$5:$H$2004,MATCH($A7,Workers!$A$5:$A$2004,0))&amp;"")</f>
        <v>32723349357046</v>
      </c>
    </row>
    <row r="8" customFormat="false" ht="15" hidden="false" customHeight="false" outlineLevel="0" collapsed="false">
      <c r="A8" s="24" t="str">
        <f aca="false">IFERROR(INDEX(Workers!$A$5:$A$2004,MATCH(ROW()-4,Workers!$U$5:$U$2004,0)),"")</f>
        <v>W0004</v>
      </c>
      <c r="B8" s="24" t="str">
        <f aca="false">IF($A8="","",INDEX(Workers!$B$5:$B$2004,MATCH($A8,Workers!$A$5:$A$2004,0)))</f>
        <v>Tariq Varghese</v>
      </c>
      <c r="C8" s="24" t="str">
        <f aca="false">IF($A8="","",INDEX(Workers!$E$5:$E$2004,MATCH($A8,Workers!$A$5:$A$2004,0)))</f>
        <v>Helper</v>
      </c>
      <c r="D8" s="24" t="str">
        <f aca="false">IF($A8="","",INDEX(Workers!$K$5:$K$2004,MATCH($A8,Workers!$A$5:$A$2004,0)))</f>
        <v>Monthly</v>
      </c>
      <c r="E8" s="25" t="n">
        <f aca="false">IF($A8="","",SUMIFS(Timesheet!$E$5:$E$3004,Timesheet!$D$5:$D$3004,$A8,Timesheet!$A$5:$A$3004,"&gt;="&amp;Settings!$B$8,Timesheet!$A$5:$A$3004,"&lt;="&amp;Settings!$B$9))</f>
        <v>24</v>
      </c>
      <c r="F8" s="25" t="n">
        <f aca="false">IF($A8="","",SUMIFS(Timesheet!$F$5:$F$3004,Timesheet!$D$5:$D$3004,$A8,Timesheet!$A$5:$A$3004,"&gt;="&amp;Settings!$B$8,Timesheet!$A$5:$A$3004,"&lt;="&amp;Settings!$B$9))</f>
        <v>192</v>
      </c>
      <c r="G8" s="25" t="n">
        <f aca="false">IF($A8="","",SUMIFS(Timesheet!$G$5:$G$3004,Timesheet!$D$5:$D$3004,$A8,Timesheet!$A$5:$A$3004,"&gt;="&amp;Settings!$B$8,Timesheet!$A$5:$A$3004,"&lt;="&amp;Settings!$B$9))</f>
        <v>16</v>
      </c>
      <c r="H8" s="25" t="n">
        <f aca="false">IF($A8="","",IF(D8="Monthly",MAX(0,Settings!$B$11-E8),0))</f>
        <v>2</v>
      </c>
      <c r="I8" s="26" t="n">
        <f aca="false">IF($A8="","",N(INDEX(Workers!$L$5:$L$2004,MATCH($A8,Workers!$A$5:$A$2004,0))))</f>
        <v>2000</v>
      </c>
      <c r="J8" s="26" t="n">
        <f aca="false">IF($A8="","",N(INDEX(Workers!$M$5:$M$2004,MATCH($A8,Workers!$A$5:$A$2004,0))))</f>
        <v>300</v>
      </c>
      <c r="K8" s="26" t="n">
        <f aca="false">IF($A8="","",IF(D8="Monthly",ROUND(MAX(0,(I8+J8)-(I8+J8)/Settings!$B$10*H8),2),0))</f>
        <v>2146.67</v>
      </c>
      <c r="L8" s="26" t="n">
        <f aca="false">IF($A8="","",IF(D8="Hourly",ROUND(F8*N(INDEX(Workers!$N$5:$N$2004,MATCH($A8,Workers!$A$5:$A$2004,0))),2),0))</f>
        <v>0</v>
      </c>
      <c r="M8" s="26" t="n">
        <f aca="false">IF($A8="","",ROUND(G8*IF(D8="Hourly",N(INDEX(Workers!$N$5:$N$2004,MATCH($A8,Workers!$A$5:$A$2004,0))),I8/Settings!$B$10/Settings!$B$12)*Settings!$B$13,2))</f>
        <v>166.67</v>
      </c>
      <c r="N8" s="26" t="n">
        <f aca="false">IF($A8="","",K8+L8+M8)</f>
        <v>2313.34</v>
      </c>
      <c r="O8" s="26" t="n">
        <f aca="false">IF($A8="","",SUMIFS(Deductions!$D$5:$D$2000,Deductions!$B$5:$B$2000,$A8,Deductions!$C$5:$C$2000,"Advance",Deductions!$E$5:$E$2000,"&gt;="&amp;Settings!$B$8,Deductions!$E$5:$E$2000,"&lt;="&amp;Settings!$B$9))</f>
        <v>0</v>
      </c>
      <c r="P8" s="26" t="n">
        <f aca="false">IF($A8="","",SUMIFS(Deductions!$D$5:$D$2000,Deductions!$B$5:$B$2000,$A8,Deductions!$E$5:$E$2000,"&gt;="&amp;Settings!$B$8,Deductions!$E$5:$E$2000,"&lt;="&amp;Settings!$B$9)-O8)</f>
        <v>0</v>
      </c>
      <c r="Q8" s="26" t="n">
        <f aca="false">IF($A8="","",O8+P8)</f>
        <v>0</v>
      </c>
      <c r="R8" s="23" t="n">
        <f aca="false">IF($A8="","",N8-Q8)</f>
        <v>2313.34</v>
      </c>
      <c r="S8" s="24" t="str">
        <f aca="false">IF($A8="","",INDEX(Workers!$O$5:$O$2004,MATCH($A8,Workers!$A$5:$A$2004,0))&amp;"")</f>
        <v>803320101</v>
      </c>
      <c r="T8" s="24" t="str">
        <f aca="false">IF($A8="","",INDEX(Workers!$P$5:$P$2004,MATCH($A8,Workers!$A$5:$A$2004,0))&amp;"")</f>
        <v>AE76 9073 6825 1474 1457 909</v>
      </c>
      <c r="U8" s="24" t="str">
        <f aca="false">IF($A8="","",INDEX(Workers!$H$5:$H$2004,MATCH($A8,Workers!$A$5:$A$2004,0))&amp;"")</f>
        <v>41910762301181</v>
      </c>
    </row>
    <row r="9" customFormat="false" ht="15" hidden="false" customHeight="false" outlineLevel="0" collapsed="false">
      <c r="A9" s="24" t="str">
        <f aca="false">IFERROR(INDEX(Workers!$A$5:$A$2004,MATCH(ROW()-4,Workers!$U$5:$U$2004,0)),"")</f>
        <v>W0005</v>
      </c>
      <c r="B9" s="24" t="str">
        <f aca="false">IF($A9="","",INDEX(Workers!$B$5:$B$2004,MATCH($A9,Workers!$A$5:$A$2004,0)))</f>
        <v>Joseph Ahmed</v>
      </c>
      <c r="C9" s="24" t="str">
        <f aca="false">IF($A9="","",INDEX(Workers!$E$5:$E$2004,MATCH($A9,Workers!$A$5:$A$2004,0)))</f>
        <v>Helper</v>
      </c>
      <c r="D9" s="24" t="str">
        <f aca="false">IF($A9="","",INDEX(Workers!$K$5:$K$2004,MATCH($A9,Workers!$A$5:$A$2004,0)))</f>
        <v>Monthly</v>
      </c>
      <c r="E9" s="25" t="n">
        <f aca="false">IF($A9="","",SUMIFS(Timesheet!$E$5:$E$3004,Timesheet!$D$5:$D$3004,$A9,Timesheet!$A$5:$A$3004,"&gt;="&amp;Settings!$B$8,Timesheet!$A$5:$A$3004,"&lt;="&amp;Settings!$B$9))</f>
        <v>26</v>
      </c>
      <c r="F9" s="25" t="n">
        <f aca="false">IF($A9="","",SUMIFS(Timesheet!$F$5:$F$3004,Timesheet!$D$5:$D$3004,$A9,Timesheet!$A$5:$A$3004,"&gt;="&amp;Settings!$B$8,Timesheet!$A$5:$A$3004,"&lt;="&amp;Settings!$B$9))</f>
        <v>208</v>
      </c>
      <c r="G9" s="25" t="n">
        <f aca="false">IF($A9="","",SUMIFS(Timesheet!$G$5:$G$3004,Timesheet!$D$5:$D$3004,$A9,Timesheet!$A$5:$A$3004,"&gt;="&amp;Settings!$B$8,Timesheet!$A$5:$A$3004,"&lt;="&amp;Settings!$B$9))</f>
        <v>26</v>
      </c>
      <c r="H9" s="25" t="n">
        <f aca="false">IF($A9="","",IF(D9="Monthly",MAX(0,Settings!$B$11-E9),0))</f>
        <v>0</v>
      </c>
      <c r="I9" s="26" t="n">
        <f aca="false">IF($A9="","",N(INDEX(Workers!$L$5:$L$2004,MATCH($A9,Workers!$A$5:$A$2004,0))))</f>
        <v>1200</v>
      </c>
      <c r="J9" s="26" t="n">
        <f aca="false">IF($A9="","",N(INDEX(Workers!$M$5:$M$2004,MATCH($A9,Workers!$A$5:$A$2004,0))))</f>
        <v>400</v>
      </c>
      <c r="K9" s="26" t="n">
        <f aca="false">IF($A9="","",IF(D9="Monthly",ROUND(MAX(0,(I9+J9)-(I9+J9)/Settings!$B$10*H9),2),0))</f>
        <v>1600</v>
      </c>
      <c r="L9" s="26" t="n">
        <f aca="false">IF($A9="","",IF(D9="Hourly",ROUND(F9*N(INDEX(Workers!$N$5:$N$2004,MATCH($A9,Workers!$A$5:$A$2004,0))),2),0))</f>
        <v>0</v>
      </c>
      <c r="M9" s="26" t="n">
        <f aca="false">IF($A9="","",ROUND(G9*IF(D9="Hourly",N(INDEX(Workers!$N$5:$N$2004,MATCH($A9,Workers!$A$5:$A$2004,0))),I9/Settings!$B$10/Settings!$B$12)*Settings!$B$13,2))</f>
        <v>162.5</v>
      </c>
      <c r="N9" s="26" t="n">
        <f aca="false">IF($A9="","",K9+L9+M9)</f>
        <v>1762.5</v>
      </c>
      <c r="O9" s="26" t="n">
        <f aca="false">IF($A9="","",SUMIFS(Deductions!$D$5:$D$2000,Deductions!$B$5:$B$2000,$A9,Deductions!$C$5:$C$2000,"Advance",Deductions!$E$5:$E$2000,"&gt;="&amp;Settings!$B$8,Deductions!$E$5:$E$2000,"&lt;="&amp;Settings!$B$9))</f>
        <v>500</v>
      </c>
      <c r="P9" s="26" t="n">
        <f aca="false">IF($A9="","",SUMIFS(Deductions!$D$5:$D$2000,Deductions!$B$5:$B$2000,$A9,Deductions!$E$5:$E$2000,"&gt;="&amp;Settings!$B$8,Deductions!$E$5:$E$2000,"&lt;="&amp;Settings!$B$9)-O9)</f>
        <v>0</v>
      </c>
      <c r="Q9" s="26" t="n">
        <f aca="false">IF($A9="","",O9+P9)</f>
        <v>500</v>
      </c>
      <c r="R9" s="23" t="n">
        <f aca="false">IF($A9="","",N9-Q9)</f>
        <v>1262.5</v>
      </c>
      <c r="S9" s="24" t="str">
        <f aca="false">IF($A9="","",INDEX(Workers!$O$5:$O$2004,MATCH($A9,Workers!$A$5:$A$2004,0))&amp;"")</f>
        <v>803320101</v>
      </c>
      <c r="T9" s="24" t="str">
        <f aca="false">IF($A9="","",INDEX(Workers!$P$5:$P$2004,MATCH($A9,Workers!$A$5:$A$2004,0))&amp;"")</f>
        <v>AE71 6636 2389 2964 7365 901</v>
      </c>
      <c r="U9" s="24" t="str">
        <f aca="false">IF($A9="","",INDEX(Workers!$H$5:$H$2004,MATCH($A9,Workers!$A$5:$A$2004,0))&amp;"")</f>
        <v>95890327812981</v>
      </c>
    </row>
    <row r="10" customFormat="false" ht="15" hidden="false" customHeight="false" outlineLevel="0" collapsed="false">
      <c r="A10" s="24" t="str">
        <f aca="false">IFERROR(INDEX(Workers!$A$5:$A$2004,MATCH(ROW()-4,Workers!$U$5:$U$2004,0)),"")</f>
        <v>W0006</v>
      </c>
      <c r="B10" s="24" t="str">
        <f aca="false">IF($A10="","",INDEX(Workers!$B$5:$B$2004,MATCH($A10,Workers!$A$5:$A$2004,0)))</f>
        <v>Dinesh Shrestha</v>
      </c>
      <c r="C10" s="24" t="str">
        <f aca="false">IF($A10="","",INDEX(Workers!$E$5:$E$2004,MATCH($A10,Workers!$A$5:$A$2004,0)))</f>
        <v>Driver</v>
      </c>
      <c r="D10" s="24" t="str">
        <f aca="false">IF($A10="","",INDEX(Workers!$K$5:$K$2004,MATCH($A10,Workers!$A$5:$A$2004,0)))</f>
        <v>Monthly</v>
      </c>
      <c r="E10" s="25" t="n">
        <f aca="false">IF($A10="","",SUMIFS(Timesheet!$E$5:$E$3004,Timesheet!$D$5:$D$3004,$A10,Timesheet!$A$5:$A$3004,"&gt;="&amp;Settings!$B$8,Timesheet!$A$5:$A$3004,"&lt;="&amp;Settings!$B$9))</f>
        <v>22</v>
      </c>
      <c r="F10" s="25" t="n">
        <f aca="false">IF($A10="","",SUMIFS(Timesheet!$F$5:$F$3004,Timesheet!$D$5:$D$3004,$A10,Timesheet!$A$5:$A$3004,"&gt;="&amp;Settings!$B$8,Timesheet!$A$5:$A$3004,"&lt;="&amp;Settings!$B$9))</f>
        <v>176</v>
      </c>
      <c r="G10" s="25" t="n">
        <f aca="false">IF($A10="","",SUMIFS(Timesheet!$G$5:$G$3004,Timesheet!$D$5:$D$3004,$A10,Timesheet!$A$5:$A$3004,"&gt;="&amp;Settings!$B$8,Timesheet!$A$5:$A$3004,"&lt;="&amp;Settings!$B$9))</f>
        <v>0</v>
      </c>
      <c r="H10" s="25" t="n">
        <f aca="false">IF($A10="","",IF(D10="Monthly",MAX(0,Settings!$B$11-E10),0))</f>
        <v>4</v>
      </c>
      <c r="I10" s="26" t="n">
        <f aca="false">IF($A10="","",N(INDEX(Workers!$L$5:$L$2004,MATCH($A10,Workers!$A$5:$A$2004,0))))</f>
        <v>1200</v>
      </c>
      <c r="J10" s="26" t="n">
        <f aca="false">IF($A10="","",N(INDEX(Workers!$M$5:$M$2004,MATCH($A10,Workers!$A$5:$A$2004,0))))</f>
        <v>300</v>
      </c>
      <c r="K10" s="26" t="n">
        <f aca="false">IF($A10="","",IF(D10="Monthly",ROUND(MAX(0,(I10+J10)-(I10+J10)/Settings!$B$10*H10),2),0))</f>
        <v>1300</v>
      </c>
      <c r="L10" s="26" t="n">
        <f aca="false">IF($A10="","",IF(D10="Hourly",ROUND(F10*N(INDEX(Workers!$N$5:$N$2004,MATCH($A10,Workers!$A$5:$A$2004,0))),2),0))</f>
        <v>0</v>
      </c>
      <c r="M10" s="26" t="n">
        <f aca="false">IF($A10="","",ROUND(G10*IF(D10="Hourly",N(INDEX(Workers!$N$5:$N$2004,MATCH($A10,Workers!$A$5:$A$2004,0))),I10/Settings!$B$10/Settings!$B$12)*Settings!$B$13,2))</f>
        <v>0</v>
      </c>
      <c r="N10" s="26" t="n">
        <f aca="false">IF($A10="","",K10+L10+M10)</f>
        <v>1300</v>
      </c>
      <c r="O10" s="26" t="n">
        <f aca="false">IF($A10="","",SUMIFS(Deductions!$D$5:$D$2000,Deductions!$B$5:$B$2000,$A10,Deductions!$C$5:$C$2000,"Advance",Deductions!$E$5:$E$2000,"&gt;="&amp;Settings!$B$8,Deductions!$E$5:$E$2000,"&lt;="&amp;Settings!$B$9))</f>
        <v>0</v>
      </c>
      <c r="P10" s="26" t="n">
        <f aca="false">IF($A10="","",SUMIFS(Deductions!$D$5:$D$2000,Deductions!$B$5:$B$2000,$A10,Deductions!$E$5:$E$2000,"&gt;="&amp;Settings!$B$8,Deductions!$E$5:$E$2000,"&lt;="&amp;Settings!$B$9)-O10)</f>
        <v>0</v>
      </c>
      <c r="Q10" s="26" t="n">
        <f aca="false">IF($A10="","",O10+P10)</f>
        <v>0</v>
      </c>
      <c r="R10" s="23" t="n">
        <f aca="false">IF($A10="","",N10-Q10)</f>
        <v>1300</v>
      </c>
      <c r="S10" s="24" t="str">
        <f aca="false">IF($A10="","",INDEX(Workers!$O$5:$O$2004,MATCH($A10,Workers!$A$5:$A$2004,0))&amp;"")</f>
        <v>402320106</v>
      </c>
      <c r="T10" s="24" t="str">
        <f aca="false">IF($A10="","",INDEX(Workers!$P$5:$P$2004,MATCH($A10,Workers!$A$5:$A$2004,0))&amp;"")</f>
        <v>AE70 6741 3554 9989 9983 234</v>
      </c>
      <c r="U10" s="24" t="str">
        <f aca="false">IF($A10="","",INDEX(Workers!$H$5:$H$2004,MATCH($A10,Workers!$A$5:$A$2004,0))&amp;"")</f>
        <v>96071772425721</v>
      </c>
    </row>
    <row r="11" customFormat="false" ht="15" hidden="false" customHeight="false" outlineLevel="0" collapsed="false">
      <c r="A11" s="24" t="str">
        <f aca="false">IFERROR(INDEX(Workers!$A$5:$A$2004,MATCH(ROW()-4,Workers!$U$5:$U$2004,0)),"")</f>
        <v>W0007</v>
      </c>
      <c r="B11" s="24" t="str">
        <f aca="false">IF($A11="","",INDEX(Workers!$B$5:$B$2004,MATCH($A11,Workers!$A$5:$A$2004,0)))</f>
        <v>Rahul Kumar</v>
      </c>
      <c r="C11" s="24" t="str">
        <f aca="false">IF($A11="","",INDEX(Workers!$E$5:$E$2004,MATCH($A11,Workers!$A$5:$A$2004,0)))</f>
        <v>Mason</v>
      </c>
      <c r="D11" s="24" t="str">
        <f aca="false">IF($A11="","",INDEX(Workers!$K$5:$K$2004,MATCH($A11,Workers!$A$5:$A$2004,0)))</f>
        <v>Monthly</v>
      </c>
      <c r="E11" s="25" t="n">
        <f aca="false">IF($A11="","",SUMIFS(Timesheet!$E$5:$E$3004,Timesheet!$D$5:$D$3004,$A11,Timesheet!$A$5:$A$3004,"&gt;="&amp;Settings!$B$8,Timesheet!$A$5:$A$3004,"&lt;="&amp;Settings!$B$9))</f>
        <v>24</v>
      </c>
      <c r="F11" s="25" t="n">
        <f aca="false">IF($A11="","",SUMIFS(Timesheet!$F$5:$F$3004,Timesheet!$D$5:$D$3004,$A11,Timesheet!$A$5:$A$3004,"&gt;="&amp;Settings!$B$8,Timesheet!$A$5:$A$3004,"&lt;="&amp;Settings!$B$9))</f>
        <v>192</v>
      </c>
      <c r="G11" s="25" t="n">
        <f aca="false">IF($A11="","",SUMIFS(Timesheet!$G$5:$G$3004,Timesheet!$D$5:$D$3004,$A11,Timesheet!$A$5:$A$3004,"&gt;="&amp;Settings!$B$8,Timesheet!$A$5:$A$3004,"&lt;="&amp;Settings!$B$9))</f>
        <v>26</v>
      </c>
      <c r="H11" s="25" t="n">
        <f aca="false">IF($A11="","",IF(D11="Monthly",MAX(0,Settings!$B$11-E11),0))</f>
        <v>2</v>
      </c>
      <c r="I11" s="26" t="n">
        <f aca="false">IF($A11="","",N(INDEX(Workers!$L$5:$L$2004,MATCH($A11,Workers!$A$5:$A$2004,0))))</f>
        <v>2000</v>
      </c>
      <c r="J11" s="26" t="n">
        <f aca="false">IF($A11="","",N(INDEX(Workers!$M$5:$M$2004,MATCH($A11,Workers!$A$5:$A$2004,0))))</f>
        <v>400</v>
      </c>
      <c r="K11" s="26" t="n">
        <f aca="false">IF($A11="","",IF(D11="Monthly",ROUND(MAX(0,(I11+J11)-(I11+J11)/Settings!$B$10*H11),2),0))</f>
        <v>2240</v>
      </c>
      <c r="L11" s="26" t="n">
        <f aca="false">IF($A11="","",IF(D11="Hourly",ROUND(F11*N(INDEX(Workers!$N$5:$N$2004,MATCH($A11,Workers!$A$5:$A$2004,0))),2),0))</f>
        <v>0</v>
      </c>
      <c r="M11" s="26" t="n">
        <f aca="false">IF($A11="","",ROUND(G11*IF(D11="Hourly",N(INDEX(Workers!$N$5:$N$2004,MATCH($A11,Workers!$A$5:$A$2004,0))),I11/Settings!$B$10/Settings!$B$12)*Settings!$B$13,2))</f>
        <v>270.83</v>
      </c>
      <c r="N11" s="26" t="n">
        <f aca="false">IF($A11="","",K11+L11+M11)</f>
        <v>2510.83</v>
      </c>
      <c r="O11" s="26" t="n">
        <f aca="false">IF($A11="","",SUMIFS(Deductions!$D$5:$D$2000,Deductions!$B$5:$B$2000,$A11,Deductions!$C$5:$C$2000,"Advance",Deductions!$E$5:$E$2000,"&gt;="&amp;Settings!$B$8,Deductions!$E$5:$E$2000,"&lt;="&amp;Settings!$B$9))</f>
        <v>0</v>
      </c>
      <c r="P11" s="26" t="n">
        <f aca="false">IF($A11="","",SUMIFS(Deductions!$D$5:$D$2000,Deductions!$B$5:$B$2000,$A11,Deductions!$E$5:$E$2000,"&gt;="&amp;Settings!$B$8,Deductions!$E$5:$E$2000,"&lt;="&amp;Settings!$B$9)-O11)</f>
        <v>0</v>
      </c>
      <c r="Q11" s="26" t="n">
        <f aca="false">IF($A11="","",O11+P11)</f>
        <v>0</v>
      </c>
      <c r="R11" s="23" t="n">
        <f aca="false">IF($A11="","",N11-Q11)</f>
        <v>2510.83</v>
      </c>
      <c r="S11" s="24" t="str">
        <f aca="false">IF($A11="","",INDEX(Workers!$O$5:$O$2004,MATCH($A11,Workers!$A$5:$A$2004,0))&amp;"")</f>
        <v>803320101</v>
      </c>
      <c r="T11" s="24" t="str">
        <f aca="false">IF($A11="","",INDEX(Workers!$P$5:$P$2004,MATCH($A11,Workers!$A$5:$A$2004,0))&amp;"")</f>
        <v>AE17 6796 8506 9466 7891 946</v>
      </c>
      <c r="U11" s="24" t="str">
        <f aca="false">IF($A11="","",INDEX(Workers!$H$5:$H$2004,MATCH($A11,Workers!$A$5:$A$2004,0))&amp;"")</f>
        <v>68972238951406</v>
      </c>
    </row>
    <row r="12" customFormat="false" ht="15" hidden="false" customHeight="false" outlineLevel="0" collapsed="false">
      <c r="A12" s="24" t="str">
        <f aca="false">IFERROR(INDEX(Workers!$A$5:$A$2004,MATCH(ROW()-4,Workers!$U$5:$U$2004,0)),"")</f>
        <v>W0008</v>
      </c>
      <c r="B12" s="24" t="str">
        <f aca="false">IF($A12="","",INDEX(Workers!$B$5:$B$2004,MATCH($A12,Workers!$A$5:$A$2004,0)))</f>
        <v>Mohan Nair</v>
      </c>
      <c r="C12" s="24" t="str">
        <f aca="false">IF($A12="","",INDEX(Workers!$E$5:$E$2004,MATCH($A12,Workers!$A$5:$A$2004,0)))</f>
        <v>Helper</v>
      </c>
      <c r="D12" s="24" t="str">
        <f aca="false">IF($A12="","",INDEX(Workers!$K$5:$K$2004,MATCH($A12,Workers!$A$5:$A$2004,0)))</f>
        <v>Hourly</v>
      </c>
      <c r="E12" s="25" t="n">
        <f aca="false">IF($A12="","",SUMIFS(Timesheet!$E$5:$E$3004,Timesheet!$D$5:$D$3004,$A12,Timesheet!$A$5:$A$3004,"&gt;="&amp;Settings!$B$8,Timesheet!$A$5:$A$3004,"&lt;="&amp;Settings!$B$9))</f>
        <v>26</v>
      </c>
      <c r="F12" s="25" t="n">
        <f aca="false">IF($A12="","",SUMIFS(Timesheet!$F$5:$F$3004,Timesheet!$D$5:$D$3004,$A12,Timesheet!$A$5:$A$3004,"&gt;="&amp;Settings!$B$8,Timesheet!$A$5:$A$3004,"&lt;="&amp;Settings!$B$9))</f>
        <v>208</v>
      </c>
      <c r="G12" s="25" t="n">
        <f aca="false">IF($A12="","",SUMIFS(Timesheet!$G$5:$G$3004,Timesheet!$D$5:$D$3004,$A12,Timesheet!$A$5:$A$3004,"&gt;="&amp;Settings!$B$8,Timesheet!$A$5:$A$3004,"&lt;="&amp;Settings!$B$9))</f>
        <v>20</v>
      </c>
      <c r="H12" s="25" t="n">
        <f aca="false">IF($A12="","",IF(D12="Monthly",MAX(0,Settings!$B$11-E12),0))</f>
        <v>0</v>
      </c>
      <c r="I12" s="26" t="n">
        <f aca="false">IF($A12="","",N(INDEX(Workers!$L$5:$L$2004,MATCH($A12,Workers!$A$5:$A$2004,0))))</f>
        <v>0</v>
      </c>
      <c r="J12" s="26" t="n">
        <f aca="false">IF($A12="","",N(INDEX(Workers!$M$5:$M$2004,MATCH($A12,Workers!$A$5:$A$2004,0))))</f>
        <v>0</v>
      </c>
      <c r="K12" s="26" t="n">
        <f aca="false">IF($A12="","",IF(D12="Monthly",ROUND(MAX(0,(I12+J12)-(I12+J12)/Settings!$B$10*H12),2),0))</f>
        <v>0</v>
      </c>
      <c r="L12" s="26" t="n">
        <f aca="false">IF($A12="","",IF(D12="Hourly",ROUND(F12*N(INDEX(Workers!$N$5:$N$2004,MATCH($A12,Workers!$A$5:$A$2004,0))),2),0))</f>
        <v>1872</v>
      </c>
      <c r="M12" s="26" t="n">
        <f aca="false">IF($A12="","",ROUND(G12*IF(D12="Hourly",N(INDEX(Workers!$N$5:$N$2004,MATCH($A12,Workers!$A$5:$A$2004,0))),I12/Settings!$B$10/Settings!$B$12)*Settings!$B$13,2))</f>
        <v>225</v>
      </c>
      <c r="N12" s="26" t="n">
        <f aca="false">IF($A12="","",K12+L12+M12)</f>
        <v>2097</v>
      </c>
      <c r="O12" s="26" t="n">
        <f aca="false">IF($A12="","",SUMIFS(Deductions!$D$5:$D$2000,Deductions!$B$5:$B$2000,$A12,Deductions!$C$5:$C$2000,"Advance",Deductions!$E$5:$E$2000,"&gt;="&amp;Settings!$B$8,Deductions!$E$5:$E$2000,"&lt;="&amp;Settings!$B$9))</f>
        <v>0</v>
      </c>
      <c r="P12" s="26" t="n">
        <f aca="false">IF($A12="","",SUMIFS(Deductions!$D$5:$D$2000,Deductions!$B$5:$B$2000,$A12,Deductions!$E$5:$E$2000,"&gt;="&amp;Settings!$B$8,Deductions!$E$5:$E$2000,"&lt;="&amp;Settings!$B$9)-O12)</f>
        <v>0</v>
      </c>
      <c r="Q12" s="26" t="n">
        <f aca="false">IF($A12="","",O12+P12)</f>
        <v>0</v>
      </c>
      <c r="R12" s="23" t="n">
        <f aca="false">IF($A12="","",N12-Q12)</f>
        <v>2097</v>
      </c>
      <c r="S12" s="24" t="str">
        <f aca="false">IF($A12="","",INDEX(Workers!$O$5:$O$2004,MATCH($A12,Workers!$A$5:$A$2004,0))&amp;"")</f>
        <v>402320106</v>
      </c>
      <c r="T12" s="24" t="str">
        <f aca="false">IF($A12="","",INDEX(Workers!$P$5:$P$2004,MATCH($A12,Workers!$A$5:$A$2004,0))&amp;"")</f>
        <v>AE71 2738 1930 5071 4134 383</v>
      </c>
      <c r="U12" s="24" t="str">
        <f aca="false">IF($A12="","",INDEX(Workers!$H$5:$H$2004,MATCH($A12,Workers!$A$5:$A$2004,0))&amp;"")</f>
        <v>84691707568212</v>
      </c>
    </row>
    <row r="13" customFormat="false" ht="15" hidden="false" customHeight="false" outlineLevel="0" collapsed="false">
      <c r="A13" s="24" t="str">
        <f aca="false">IFERROR(INDEX(Workers!$A$5:$A$2004,MATCH(ROW()-4,Workers!$U$5:$U$2004,0)),"")</f>
        <v>W0009</v>
      </c>
      <c r="B13" s="24" t="str">
        <f aca="false">IF($A13="","",INDEX(Workers!$B$5:$B$2004,MATCH($A13,Workers!$A$5:$A$2004,0)))</f>
        <v>Anwar Shrestha</v>
      </c>
      <c r="C13" s="24" t="str">
        <f aca="false">IF($A13="","",INDEX(Workers!$E$5:$E$2004,MATCH($A13,Workers!$A$5:$A$2004,0)))</f>
        <v>Electrician</v>
      </c>
      <c r="D13" s="24" t="str">
        <f aca="false">IF($A13="","",INDEX(Workers!$K$5:$K$2004,MATCH($A13,Workers!$A$5:$A$2004,0)))</f>
        <v>Monthly</v>
      </c>
      <c r="E13" s="25" t="n">
        <f aca="false">IF($A13="","",SUMIFS(Timesheet!$E$5:$E$3004,Timesheet!$D$5:$D$3004,$A13,Timesheet!$A$5:$A$3004,"&gt;="&amp;Settings!$B$8,Timesheet!$A$5:$A$3004,"&lt;="&amp;Settings!$B$9))</f>
        <v>25</v>
      </c>
      <c r="F13" s="25" t="n">
        <f aca="false">IF($A13="","",SUMIFS(Timesheet!$F$5:$F$3004,Timesheet!$D$5:$D$3004,$A13,Timesheet!$A$5:$A$3004,"&gt;="&amp;Settings!$B$8,Timesheet!$A$5:$A$3004,"&lt;="&amp;Settings!$B$9))</f>
        <v>200</v>
      </c>
      <c r="G13" s="25" t="n">
        <f aca="false">IF($A13="","",SUMIFS(Timesheet!$G$5:$G$3004,Timesheet!$D$5:$D$3004,$A13,Timesheet!$A$5:$A$3004,"&gt;="&amp;Settings!$B$8,Timesheet!$A$5:$A$3004,"&lt;="&amp;Settings!$B$9))</f>
        <v>20</v>
      </c>
      <c r="H13" s="25" t="n">
        <f aca="false">IF($A13="","",IF(D13="Monthly",MAX(0,Settings!$B$11-E13),0))</f>
        <v>1</v>
      </c>
      <c r="I13" s="26" t="n">
        <f aca="false">IF($A13="","",N(INDEX(Workers!$L$5:$L$2004,MATCH($A13,Workers!$A$5:$A$2004,0))))</f>
        <v>2500</v>
      </c>
      <c r="J13" s="26" t="n">
        <f aca="false">IF($A13="","",N(INDEX(Workers!$M$5:$M$2004,MATCH($A13,Workers!$A$5:$A$2004,0))))</f>
        <v>500</v>
      </c>
      <c r="K13" s="26" t="n">
        <f aca="false">IF($A13="","",IF(D13="Monthly",ROUND(MAX(0,(I13+J13)-(I13+J13)/Settings!$B$10*H13),2),0))</f>
        <v>2900</v>
      </c>
      <c r="L13" s="26" t="n">
        <f aca="false">IF($A13="","",IF(D13="Hourly",ROUND(F13*N(INDEX(Workers!$N$5:$N$2004,MATCH($A13,Workers!$A$5:$A$2004,0))),2),0))</f>
        <v>0</v>
      </c>
      <c r="M13" s="26" t="n">
        <f aca="false">IF($A13="","",ROUND(G13*IF(D13="Hourly",N(INDEX(Workers!$N$5:$N$2004,MATCH($A13,Workers!$A$5:$A$2004,0))),I13/Settings!$B$10/Settings!$B$12)*Settings!$B$13,2))</f>
        <v>260.42</v>
      </c>
      <c r="N13" s="26" t="n">
        <f aca="false">IF($A13="","",K13+L13+M13)</f>
        <v>3160.42</v>
      </c>
      <c r="O13" s="26" t="n">
        <f aca="false">IF($A13="","",SUMIFS(Deductions!$D$5:$D$2000,Deductions!$B$5:$B$2000,$A13,Deductions!$C$5:$C$2000,"Advance",Deductions!$E$5:$E$2000,"&gt;="&amp;Settings!$B$8,Deductions!$E$5:$E$2000,"&lt;="&amp;Settings!$B$9))</f>
        <v>0</v>
      </c>
      <c r="P13" s="26" t="n">
        <f aca="false">IF($A13="","",SUMIFS(Deductions!$D$5:$D$2000,Deductions!$B$5:$B$2000,$A13,Deductions!$E$5:$E$2000,"&gt;="&amp;Settings!$B$8,Deductions!$E$5:$E$2000,"&lt;="&amp;Settings!$B$9)-O13)</f>
        <v>0</v>
      </c>
      <c r="Q13" s="26" t="n">
        <f aca="false">IF($A13="","",O13+P13)</f>
        <v>0</v>
      </c>
      <c r="R13" s="23" t="n">
        <f aca="false">IF($A13="","",N13-Q13)</f>
        <v>3160.42</v>
      </c>
      <c r="S13" s="24" t="str">
        <f aca="false">IF($A13="","",INDEX(Workers!$O$5:$O$2004,MATCH($A13,Workers!$A$5:$A$2004,0))&amp;"")</f>
        <v>600310101</v>
      </c>
      <c r="T13" s="24" t="str">
        <f aca="false">IF($A13="","",INDEX(Workers!$P$5:$P$2004,MATCH($A13,Workers!$A$5:$A$2004,0))&amp;"")</f>
        <v>AE74 5057 9572 5253 4319 960</v>
      </c>
      <c r="U13" s="24" t="str">
        <f aca="false">IF($A13="","",INDEX(Workers!$H$5:$H$2004,MATCH($A13,Workers!$A$5:$A$2004,0))&amp;"")</f>
        <v>85052441044367</v>
      </c>
    </row>
    <row r="14" customFormat="false" ht="15" hidden="false" customHeight="false" outlineLevel="0" collapsed="false">
      <c r="A14" s="24" t="str">
        <f aca="false">IFERROR(INDEX(Workers!$A$5:$A$2004,MATCH(ROW()-4,Workers!$U$5:$U$2004,0)),"")</f>
        <v>W0010</v>
      </c>
      <c r="B14" s="24" t="str">
        <f aca="false">IF($A14="","",INDEX(Workers!$B$5:$B$2004,MATCH($A14,Workers!$A$5:$A$2004,0)))</f>
        <v>Hari Nair</v>
      </c>
      <c r="C14" s="24" t="str">
        <f aca="false">IF($A14="","",INDEX(Workers!$E$5:$E$2004,MATCH($A14,Workers!$A$5:$A$2004,0)))</f>
        <v>Helper</v>
      </c>
      <c r="D14" s="24" t="str">
        <f aca="false">IF($A14="","",INDEX(Workers!$K$5:$K$2004,MATCH($A14,Workers!$A$5:$A$2004,0)))</f>
        <v>Monthly</v>
      </c>
      <c r="E14" s="25" t="n">
        <f aca="false">IF($A14="","",SUMIFS(Timesheet!$E$5:$E$3004,Timesheet!$D$5:$D$3004,$A14,Timesheet!$A$5:$A$3004,"&gt;="&amp;Settings!$B$8,Timesheet!$A$5:$A$3004,"&lt;="&amp;Settings!$B$9))</f>
        <v>25</v>
      </c>
      <c r="F14" s="25" t="n">
        <f aca="false">IF($A14="","",SUMIFS(Timesheet!$F$5:$F$3004,Timesheet!$D$5:$D$3004,$A14,Timesheet!$A$5:$A$3004,"&gt;="&amp;Settings!$B$8,Timesheet!$A$5:$A$3004,"&lt;="&amp;Settings!$B$9))</f>
        <v>200</v>
      </c>
      <c r="G14" s="25" t="n">
        <f aca="false">IF($A14="","",SUMIFS(Timesheet!$G$5:$G$3004,Timesheet!$D$5:$D$3004,$A14,Timesheet!$A$5:$A$3004,"&gt;="&amp;Settings!$B$8,Timesheet!$A$5:$A$3004,"&lt;="&amp;Settings!$B$9))</f>
        <v>0</v>
      </c>
      <c r="H14" s="25" t="n">
        <f aca="false">IF($A14="","",IF(D14="Monthly",MAX(0,Settings!$B$11-E14),0))</f>
        <v>1</v>
      </c>
      <c r="I14" s="26" t="n">
        <f aca="false">IF($A14="","",N(INDEX(Workers!$L$5:$L$2004,MATCH($A14,Workers!$A$5:$A$2004,0))))</f>
        <v>2000</v>
      </c>
      <c r="J14" s="26" t="n">
        <f aca="false">IF($A14="","",N(INDEX(Workers!$M$5:$M$2004,MATCH($A14,Workers!$A$5:$A$2004,0))))</f>
        <v>500</v>
      </c>
      <c r="K14" s="26" t="n">
        <f aca="false">IF($A14="","",IF(D14="Monthly",ROUND(MAX(0,(I14+J14)-(I14+J14)/Settings!$B$10*H14),2),0))</f>
        <v>2416.67</v>
      </c>
      <c r="L14" s="26" t="n">
        <f aca="false">IF($A14="","",IF(D14="Hourly",ROUND(F14*N(INDEX(Workers!$N$5:$N$2004,MATCH($A14,Workers!$A$5:$A$2004,0))),2),0))</f>
        <v>0</v>
      </c>
      <c r="M14" s="26" t="n">
        <f aca="false">IF($A14="","",ROUND(G14*IF(D14="Hourly",N(INDEX(Workers!$N$5:$N$2004,MATCH($A14,Workers!$A$5:$A$2004,0))),I14/Settings!$B$10/Settings!$B$12)*Settings!$B$13,2))</f>
        <v>0</v>
      </c>
      <c r="N14" s="26" t="n">
        <f aca="false">IF($A14="","",K14+L14+M14)</f>
        <v>2416.67</v>
      </c>
      <c r="O14" s="26" t="n">
        <f aca="false">IF($A14="","",SUMIFS(Deductions!$D$5:$D$2000,Deductions!$B$5:$B$2000,$A14,Deductions!$C$5:$C$2000,"Advance",Deductions!$E$5:$E$2000,"&gt;="&amp;Settings!$B$8,Deductions!$E$5:$E$2000,"&lt;="&amp;Settings!$B$9))</f>
        <v>0</v>
      </c>
      <c r="P14" s="26" t="n">
        <f aca="false">IF($A14="","",SUMIFS(Deductions!$D$5:$D$2000,Deductions!$B$5:$B$2000,$A14,Deductions!$E$5:$E$2000,"&gt;="&amp;Settings!$B$8,Deductions!$E$5:$E$2000,"&lt;="&amp;Settings!$B$9)-O14)</f>
        <v>0</v>
      </c>
      <c r="Q14" s="26" t="n">
        <f aca="false">IF($A14="","",O14+P14)</f>
        <v>0</v>
      </c>
      <c r="R14" s="23" t="n">
        <f aca="false">IF($A14="","",N14-Q14)</f>
        <v>2416.67</v>
      </c>
      <c r="S14" s="24" t="str">
        <f aca="false">IF($A14="","",INDEX(Workers!$O$5:$O$2004,MATCH($A14,Workers!$A$5:$A$2004,0))&amp;"")</f>
        <v>402320106</v>
      </c>
      <c r="T14" s="24" t="str">
        <f aca="false">IF($A14="","",INDEX(Workers!$P$5:$P$2004,MATCH($A14,Workers!$A$5:$A$2004,0))&amp;"")</f>
        <v>AE22 7525 8983 3667 4665 265</v>
      </c>
      <c r="U14" s="24" t="str">
        <f aca="false">IF($A14="","",INDEX(Workers!$H$5:$H$2004,MATCH($A14,Workers!$A$5:$A$2004,0))&amp;"")</f>
        <v>40904298604831</v>
      </c>
    </row>
    <row r="15" customFormat="false" ht="15" hidden="false" customHeight="false" outlineLevel="0" collapsed="false">
      <c r="A15" s="24" t="str">
        <f aca="false">IFERROR(INDEX(Workers!$A$5:$A$2004,MATCH(ROW()-4,Workers!$U$5:$U$2004,0)),"")</f>
        <v>W0011</v>
      </c>
      <c r="B15" s="24" t="str">
        <f aca="false">IF($A15="","",INDEX(Workers!$B$5:$B$2004,MATCH($A15,Workers!$A$5:$A$2004,0)))</f>
        <v>Dinesh Menon</v>
      </c>
      <c r="C15" s="24" t="str">
        <f aca="false">IF($A15="","",INDEX(Workers!$E$5:$E$2004,MATCH($A15,Workers!$A$5:$A$2004,0)))</f>
        <v>Driver</v>
      </c>
      <c r="D15" s="24" t="str">
        <f aca="false">IF($A15="","",INDEX(Workers!$K$5:$K$2004,MATCH($A15,Workers!$A$5:$A$2004,0)))</f>
        <v>Monthly</v>
      </c>
      <c r="E15" s="25" t="n">
        <f aca="false">IF($A15="","",SUMIFS(Timesheet!$E$5:$E$3004,Timesheet!$D$5:$D$3004,$A15,Timesheet!$A$5:$A$3004,"&gt;="&amp;Settings!$B$8,Timesheet!$A$5:$A$3004,"&lt;="&amp;Settings!$B$9))</f>
        <v>25</v>
      </c>
      <c r="F15" s="25" t="n">
        <f aca="false">IF($A15="","",SUMIFS(Timesheet!$F$5:$F$3004,Timesheet!$D$5:$D$3004,$A15,Timesheet!$A$5:$A$3004,"&gt;="&amp;Settings!$B$8,Timesheet!$A$5:$A$3004,"&lt;="&amp;Settings!$B$9))</f>
        <v>200</v>
      </c>
      <c r="G15" s="25" t="n">
        <f aca="false">IF($A15="","",SUMIFS(Timesheet!$G$5:$G$3004,Timesheet!$D$5:$D$3004,$A15,Timesheet!$A$5:$A$3004,"&gt;="&amp;Settings!$B$8,Timesheet!$A$5:$A$3004,"&lt;="&amp;Settings!$B$9))</f>
        <v>26</v>
      </c>
      <c r="H15" s="25" t="n">
        <f aca="false">IF($A15="","",IF(D15="Monthly",MAX(0,Settings!$B$11-E15),0))</f>
        <v>1</v>
      </c>
      <c r="I15" s="26" t="n">
        <f aca="false">IF($A15="","",N(INDEX(Workers!$L$5:$L$2004,MATCH($A15,Workers!$A$5:$A$2004,0))))</f>
        <v>1200</v>
      </c>
      <c r="J15" s="26" t="n">
        <f aca="false">IF($A15="","",N(INDEX(Workers!$M$5:$M$2004,MATCH($A15,Workers!$A$5:$A$2004,0))))</f>
        <v>300</v>
      </c>
      <c r="K15" s="26" t="n">
        <f aca="false">IF($A15="","",IF(D15="Monthly",ROUND(MAX(0,(I15+J15)-(I15+J15)/Settings!$B$10*H15),2),0))</f>
        <v>1450</v>
      </c>
      <c r="L15" s="26" t="n">
        <f aca="false">IF($A15="","",IF(D15="Hourly",ROUND(F15*N(INDEX(Workers!$N$5:$N$2004,MATCH($A15,Workers!$A$5:$A$2004,0))),2),0))</f>
        <v>0</v>
      </c>
      <c r="M15" s="26" t="n">
        <f aca="false">IF($A15="","",ROUND(G15*IF(D15="Hourly",N(INDEX(Workers!$N$5:$N$2004,MATCH($A15,Workers!$A$5:$A$2004,0))),I15/Settings!$B$10/Settings!$B$12)*Settings!$B$13,2))</f>
        <v>162.5</v>
      </c>
      <c r="N15" s="26" t="n">
        <f aca="false">IF($A15="","",K15+L15+M15)</f>
        <v>1612.5</v>
      </c>
      <c r="O15" s="26" t="n">
        <f aca="false">IF($A15="","",SUMIFS(Deductions!$D$5:$D$2000,Deductions!$B$5:$B$2000,$A15,Deductions!$C$5:$C$2000,"Advance",Deductions!$E$5:$E$2000,"&gt;="&amp;Settings!$B$8,Deductions!$E$5:$E$2000,"&lt;="&amp;Settings!$B$9))</f>
        <v>0</v>
      </c>
      <c r="P15" s="26" t="n">
        <f aca="false">IF($A15="","",SUMIFS(Deductions!$D$5:$D$2000,Deductions!$B$5:$B$2000,$A15,Deductions!$E$5:$E$2000,"&gt;="&amp;Settings!$B$8,Deductions!$E$5:$E$2000,"&lt;="&amp;Settings!$B$9)-O15)</f>
        <v>100</v>
      </c>
      <c r="Q15" s="26" t="n">
        <f aca="false">IF($A15="","",O15+P15)</f>
        <v>100</v>
      </c>
      <c r="R15" s="23" t="n">
        <f aca="false">IF($A15="","",N15-Q15)</f>
        <v>1512.5</v>
      </c>
      <c r="S15" s="24" t="str">
        <f aca="false">IF($A15="","",INDEX(Workers!$O$5:$O$2004,MATCH($A15,Workers!$A$5:$A$2004,0))&amp;"")</f>
        <v>402320106</v>
      </c>
      <c r="T15" s="24" t="str">
        <f aca="false">IF($A15="","",INDEX(Workers!$P$5:$P$2004,MATCH($A15,Workers!$A$5:$A$2004,0))&amp;"")</f>
        <v>AE47 9392 2053 2848 4744 997</v>
      </c>
      <c r="U15" s="24" t="str">
        <f aca="false">IF($A15="","",INDEX(Workers!$H$5:$H$2004,MATCH($A15,Workers!$A$5:$A$2004,0))&amp;"")</f>
        <v>82822594276261</v>
      </c>
    </row>
    <row r="16" customFormat="false" ht="15" hidden="false" customHeight="false" outlineLevel="0" collapsed="false">
      <c r="A16" s="24" t="str">
        <f aca="false">IFERROR(INDEX(Workers!$A$5:$A$2004,MATCH(ROW()-4,Workers!$U$5:$U$2004,0)),"")</f>
        <v>W0012</v>
      </c>
      <c r="B16" s="24" t="str">
        <f aca="false">IF($A16="","",INDEX(Workers!$B$5:$B$2004,MATCH($A16,Workers!$A$5:$A$2004,0)))</f>
        <v>Imran Ali</v>
      </c>
      <c r="C16" s="24" t="str">
        <f aca="false">IF($A16="","",INDEX(Workers!$E$5:$E$2004,MATCH($A16,Workers!$A$5:$A$2004,0)))</f>
        <v>Helper</v>
      </c>
      <c r="D16" s="24" t="str">
        <f aca="false">IF($A16="","",INDEX(Workers!$K$5:$K$2004,MATCH($A16,Workers!$A$5:$A$2004,0)))</f>
        <v>Monthly</v>
      </c>
      <c r="E16" s="25" t="n">
        <f aca="false">IF($A16="","",SUMIFS(Timesheet!$E$5:$E$3004,Timesheet!$D$5:$D$3004,$A16,Timesheet!$A$5:$A$3004,"&gt;="&amp;Settings!$B$8,Timesheet!$A$5:$A$3004,"&lt;="&amp;Settings!$B$9))</f>
        <v>22</v>
      </c>
      <c r="F16" s="25" t="n">
        <f aca="false">IF($A16="","",SUMIFS(Timesheet!$F$5:$F$3004,Timesheet!$D$5:$D$3004,$A16,Timesheet!$A$5:$A$3004,"&gt;="&amp;Settings!$B$8,Timesheet!$A$5:$A$3004,"&lt;="&amp;Settings!$B$9))</f>
        <v>176</v>
      </c>
      <c r="G16" s="25" t="n">
        <f aca="false">IF($A16="","",SUMIFS(Timesheet!$G$5:$G$3004,Timesheet!$D$5:$D$3004,$A16,Timesheet!$A$5:$A$3004,"&gt;="&amp;Settings!$B$8,Timesheet!$A$5:$A$3004,"&lt;="&amp;Settings!$B$9))</f>
        <v>16</v>
      </c>
      <c r="H16" s="25" t="n">
        <f aca="false">IF($A16="","",IF(D16="Monthly",MAX(0,Settings!$B$11-E16),0))</f>
        <v>4</v>
      </c>
      <c r="I16" s="26" t="n">
        <f aca="false">IF($A16="","",N(INDEX(Workers!$L$5:$L$2004,MATCH($A16,Workers!$A$5:$A$2004,0))))</f>
        <v>2000</v>
      </c>
      <c r="J16" s="26" t="n">
        <f aca="false">IF($A16="","",N(INDEX(Workers!$M$5:$M$2004,MATCH($A16,Workers!$A$5:$A$2004,0))))</f>
        <v>300</v>
      </c>
      <c r="K16" s="26" t="n">
        <f aca="false">IF($A16="","",IF(D16="Monthly",ROUND(MAX(0,(I16+J16)-(I16+J16)/Settings!$B$10*H16),2),0))</f>
        <v>1993.33</v>
      </c>
      <c r="L16" s="26" t="n">
        <f aca="false">IF($A16="","",IF(D16="Hourly",ROUND(F16*N(INDEX(Workers!$N$5:$N$2004,MATCH($A16,Workers!$A$5:$A$2004,0))),2),0))</f>
        <v>0</v>
      </c>
      <c r="M16" s="26" t="n">
        <f aca="false">IF($A16="","",ROUND(G16*IF(D16="Hourly",N(INDEX(Workers!$N$5:$N$2004,MATCH($A16,Workers!$A$5:$A$2004,0))),I16/Settings!$B$10/Settings!$B$12)*Settings!$B$13,2))</f>
        <v>166.67</v>
      </c>
      <c r="N16" s="26" t="n">
        <f aca="false">IF($A16="","",K16+L16+M16)</f>
        <v>2160</v>
      </c>
      <c r="O16" s="26" t="n">
        <f aca="false">IF($A16="","",SUMIFS(Deductions!$D$5:$D$2000,Deductions!$B$5:$B$2000,$A16,Deductions!$C$5:$C$2000,"Advance",Deductions!$E$5:$E$2000,"&gt;="&amp;Settings!$B$8,Deductions!$E$5:$E$2000,"&lt;="&amp;Settings!$B$9))</f>
        <v>0</v>
      </c>
      <c r="P16" s="26" t="n">
        <f aca="false">IF($A16="","",SUMIFS(Deductions!$D$5:$D$2000,Deductions!$B$5:$B$2000,$A16,Deductions!$E$5:$E$2000,"&gt;="&amp;Settings!$B$8,Deductions!$E$5:$E$2000,"&lt;="&amp;Settings!$B$9)-O16)</f>
        <v>0</v>
      </c>
      <c r="Q16" s="26" t="n">
        <f aca="false">IF($A16="","",O16+P16)</f>
        <v>0</v>
      </c>
      <c r="R16" s="23" t="n">
        <f aca="false">IF($A16="","",N16-Q16)</f>
        <v>2160</v>
      </c>
      <c r="S16" s="24" t="str">
        <f aca="false">IF($A16="","",INDEX(Workers!$O$5:$O$2004,MATCH($A16,Workers!$A$5:$A$2004,0))&amp;"")</f>
        <v>402320106</v>
      </c>
      <c r="T16" s="24" t="str">
        <f aca="false">IF($A16="","",INDEX(Workers!$P$5:$P$2004,MATCH($A16,Workers!$A$5:$A$2004,0))&amp;"")</f>
        <v>AE33 7968 2186 5406 1275 749</v>
      </c>
      <c r="U16" s="24" t="str">
        <f aca="false">IF($A16="","",INDEX(Workers!$H$5:$H$2004,MATCH($A16,Workers!$A$5:$A$2004,0))&amp;"")</f>
        <v>18097211916423</v>
      </c>
    </row>
    <row r="17" customFormat="false" ht="15" hidden="false" customHeight="false" outlineLevel="0" collapsed="false">
      <c r="A17" s="24" t="str">
        <f aca="false">IFERROR(INDEX(Workers!$A$5:$A$2004,MATCH(ROW()-4,Workers!$U$5:$U$2004,0)),"")</f>
        <v>W0013</v>
      </c>
      <c r="B17" s="24" t="str">
        <f aca="false">IF($A17="","",INDEX(Workers!$B$5:$B$2004,MATCH($A17,Workers!$A$5:$A$2004,0)))</f>
        <v>Suresh Shrestha</v>
      </c>
      <c r="C17" s="24" t="str">
        <f aca="false">IF($A17="","",INDEX(Workers!$E$5:$E$2004,MATCH($A17,Workers!$A$5:$A$2004,0)))</f>
        <v>Plumber</v>
      </c>
      <c r="D17" s="24" t="str">
        <f aca="false">IF($A17="","",INDEX(Workers!$K$5:$K$2004,MATCH($A17,Workers!$A$5:$A$2004,0)))</f>
        <v>Monthly</v>
      </c>
      <c r="E17" s="25" t="n">
        <f aca="false">IF($A17="","",SUMIFS(Timesheet!$E$5:$E$3004,Timesheet!$D$5:$D$3004,$A17,Timesheet!$A$5:$A$3004,"&gt;="&amp;Settings!$B$8,Timesheet!$A$5:$A$3004,"&lt;="&amp;Settings!$B$9))</f>
        <v>22</v>
      </c>
      <c r="F17" s="25" t="n">
        <f aca="false">IF($A17="","",SUMIFS(Timesheet!$F$5:$F$3004,Timesheet!$D$5:$D$3004,$A17,Timesheet!$A$5:$A$3004,"&gt;="&amp;Settings!$B$8,Timesheet!$A$5:$A$3004,"&lt;="&amp;Settings!$B$9))</f>
        <v>176</v>
      </c>
      <c r="G17" s="25" t="n">
        <f aca="false">IF($A17="","",SUMIFS(Timesheet!$G$5:$G$3004,Timesheet!$D$5:$D$3004,$A17,Timesheet!$A$5:$A$3004,"&gt;="&amp;Settings!$B$8,Timesheet!$A$5:$A$3004,"&lt;="&amp;Settings!$B$9))</f>
        <v>10</v>
      </c>
      <c r="H17" s="25" t="n">
        <f aca="false">IF($A17="","",IF(D17="Monthly",MAX(0,Settings!$B$11-E17),0))</f>
        <v>4</v>
      </c>
      <c r="I17" s="26" t="n">
        <f aca="false">IF($A17="","",N(INDEX(Workers!$L$5:$L$2004,MATCH($A17,Workers!$A$5:$A$2004,0))))</f>
        <v>1800</v>
      </c>
      <c r="J17" s="26" t="n">
        <f aca="false">IF($A17="","",N(INDEX(Workers!$M$5:$M$2004,MATCH($A17,Workers!$A$5:$A$2004,0))))</f>
        <v>300</v>
      </c>
      <c r="K17" s="26" t="n">
        <f aca="false">IF($A17="","",IF(D17="Monthly",ROUND(MAX(0,(I17+J17)-(I17+J17)/Settings!$B$10*H17),2),0))</f>
        <v>1820</v>
      </c>
      <c r="L17" s="26" t="n">
        <f aca="false">IF($A17="","",IF(D17="Hourly",ROUND(F17*N(INDEX(Workers!$N$5:$N$2004,MATCH($A17,Workers!$A$5:$A$2004,0))),2),0))</f>
        <v>0</v>
      </c>
      <c r="M17" s="26" t="n">
        <f aca="false">IF($A17="","",ROUND(G17*IF(D17="Hourly",N(INDEX(Workers!$N$5:$N$2004,MATCH($A17,Workers!$A$5:$A$2004,0))),I17/Settings!$B$10/Settings!$B$12)*Settings!$B$13,2))</f>
        <v>93.75</v>
      </c>
      <c r="N17" s="26" t="n">
        <f aca="false">IF($A17="","",K17+L17+M17)</f>
        <v>1913.75</v>
      </c>
      <c r="O17" s="26" t="n">
        <f aca="false">IF($A17="","",SUMIFS(Deductions!$D$5:$D$2000,Deductions!$B$5:$B$2000,$A17,Deductions!$C$5:$C$2000,"Advance",Deductions!$E$5:$E$2000,"&gt;="&amp;Settings!$B$8,Deductions!$E$5:$E$2000,"&lt;="&amp;Settings!$B$9))</f>
        <v>0</v>
      </c>
      <c r="P17" s="26" t="n">
        <f aca="false">IF($A17="","",SUMIFS(Deductions!$D$5:$D$2000,Deductions!$B$5:$B$2000,$A17,Deductions!$E$5:$E$2000,"&gt;="&amp;Settings!$B$8,Deductions!$E$5:$E$2000,"&lt;="&amp;Settings!$B$9)-O17)</f>
        <v>0</v>
      </c>
      <c r="Q17" s="26" t="n">
        <f aca="false">IF($A17="","",O17+P17)</f>
        <v>0</v>
      </c>
      <c r="R17" s="23" t="n">
        <f aca="false">IF($A17="","",N17-Q17)</f>
        <v>1913.75</v>
      </c>
      <c r="S17" s="24" t="str">
        <f aca="false">IF($A17="","",INDEX(Workers!$O$5:$O$2004,MATCH($A17,Workers!$A$5:$A$2004,0))&amp;"")</f>
        <v>402320106</v>
      </c>
      <c r="T17" s="24" t="str">
        <f aca="false">IF($A17="","",INDEX(Workers!$P$5:$P$2004,MATCH($A17,Workers!$A$5:$A$2004,0))&amp;"")</f>
        <v>AE40 2793 3645 5290 1825 285</v>
      </c>
      <c r="U17" s="24" t="str">
        <f aca="false">IF($A17="","",INDEX(Workers!$H$5:$H$2004,MATCH($A17,Workers!$A$5:$A$2004,0))&amp;"")</f>
        <v>84152795932475</v>
      </c>
    </row>
    <row r="18" customFormat="false" ht="15" hidden="false" customHeight="false" outlineLevel="0" collapsed="false">
      <c r="A18" s="24" t="str">
        <f aca="false">IFERROR(INDEX(Workers!$A$5:$A$2004,MATCH(ROW()-4,Workers!$U$5:$U$2004,0)),"")</f>
        <v>W0014</v>
      </c>
      <c r="B18" s="24" t="str">
        <f aca="false">IF($A18="","",INDEX(Workers!$B$5:$B$2004,MATCH($A18,Workers!$A$5:$A$2004,0)))</f>
        <v>Prakash Varghese</v>
      </c>
      <c r="C18" s="24" t="str">
        <f aca="false">IF($A18="","",INDEX(Workers!$E$5:$E$2004,MATCH($A18,Workers!$A$5:$A$2004,0)))</f>
        <v>Security Guard</v>
      </c>
      <c r="D18" s="24" t="str">
        <f aca="false">IF($A18="","",INDEX(Workers!$K$5:$K$2004,MATCH($A18,Workers!$A$5:$A$2004,0)))</f>
        <v>Monthly</v>
      </c>
      <c r="E18" s="25" t="n">
        <f aca="false">IF($A18="","",SUMIFS(Timesheet!$E$5:$E$3004,Timesheet!$D$5:$D$3004,$A18,Timesheet!$A$5:$A$3004,"&gt;="&amp;Settings!$B$8,Timesheet!$A$5:$A$3004,"&lt;="&amp;Settings!$B$9))</f>
        <v>24</v>
      </c>
      <c r="F18" s="25" t="n">
        <f aca="false">IF($A18="","",SUMIFS(Timesheet!$F$5:$F$3004,Timesheet!$D$5:$D$3004,$A18,Timesheet!$A$5:$A$3004,"&gt;="&amp;Settings!$B$8,Timesheet!$A$5:$A$3004,"&lt;="&amp;Settings!$B$9))</f>
        <v>192</v>
      </c>
      <c r="G18" s="25" t="n">
        <f aca="false">IF($A18="","",SUMIFS(Timesheet!$G$5:$G$3004,Timesheet!$D$5:$D$3004,$A18,Timesheet!$A$5:$A$3004,"&gt;="&amp;Settings!$B$8,Timesheet!$A$5:$A$3004,"&lt;="&amp;Settings!$B$9))</f>
        <v>30</v>
      </c>
      <c r="H18" s="25" t="n">
        <f aca="false">IF($A18="","",IF(D18="Monthly",MAX(0,Settings!$B$11-E18),0))</f>
        <v>2</v>
      </c>
      <c r="I18" s="26" t="n">
        <f aca="false">IF($A18="","",N(INDEX(Workers!$L$5:$L$2004,MATCH($A18,Workers!$A$5:$A$2004,0))))</f>
        <v>1200</v>
      </c>
      <c r="J18" s="26" t="n">
        <f aca="false">IF($A18="","",N(INDEX(Workers!$M$5:$M$2004,MATCH($A18,Workers!$A$5:$A$2004,0))))</f>
        <v>500</v>
      </c>
      <c r="K18" s="26" t="n">
        <f aca="false">IF($A18="","",IF(D18="Monthly",ROUND(MAX(0,(I18+J18)-(I18+J18)/Settings!$B$10*H18),2),0))</f>
        <v>1586.67</v>
      </c>
      <c r="L18" s="26" t="n">
        <f aca="false">IF($A18="","",IF(D18="Hourly",ROUND(F18*N(INDEX(Workers!$N$5:$N$2004,MATCH($A18,Workers!$A$5:$A$2004,0))),2),0))</f>
        <v>0</v>
      </c>
      <c r="M18" s="26" t="n">
        <f aca="false">IF($A18="","",ROUND(G18*IF(D18="Hourly",N(INDEX(Workers!$N$5:$N$2004,MATCH($A18,Workers!$A$5:$A$2004,0))),I18/Settings!$B$10/Settings!$B$12)*Settings!$B$13,2))</f>
        <v>187.5</v>
      </c>
      <c r="N18" s="26" t="n">
        <f aca="false">IF($A18="","",K18+L18+M18)</f>
        <v>1774.17</v>
      </c>
      <c r="O18" s="26" t="n">
        <f aca="false">IF($A18="","",SUMIFS(Deductions!$D$5:$D$2000,Deductions!$B$5:$B$2000,$A18,Deductions!$C$5:$C$2000,"Advance",Deductions!$E$5:$E$2000,"&gt;="&amp;Settings!$B$8,Deductions!$E$5:$E$2000,"&lt;="&amp;Settings!$B$9))</f>
        <v>0</v>
      </c>
      <c r="P18" s="26" t="n">
        <f aca="false">IF($A18="","",SUMIFS(Deductions!$D$5:$D$2000,Deductions!$B$5:$B$2000,$A18,Deductions!$E$5:$E$2000,"&gt;="&amp;Settings!$B$8,Deductions!$E$5:$E$2000,"&lt;="&amp;Settings!$B$9)-O18)</f>
        <v>150</v>
      </c>
      <c r="Q18" s="26" t="n">
        <f aca="false">IF($A18="","",O18+P18)</f>
        <v>150</v>
      </c>
      <c r="R18" s="23" t="n">
        <f aca="false">IF($A18="","",N18-Q18)</f>
        <v>1624.17</v>
      </c>
      <c r="S18" s="24" t="str">
        <f aca="false">IF($A18="","",INDEX(Workers!$O$5:$O$2004,MATCH($A18,Workers!$A$5:$A$2004,0))&amp;"")</f>
        <v>600310101</v>
      </c>
      <c r="T18" s="24" t="str">
        <f aca="false">IF($A18="","",INDEX(Workers!$P$5:$P$2004,MATCH($A18,Workers!$A$5:$A$2004,0))&amp;"")</f>
        <v>AE41 8324 2741 8080 9110 659</v>
      </c>
      <c r="U18" s="24" t="str">
        <f aca="false">IF($A18="","",INDEX(Workers!$H$5:$H$2004,MATCH($A18,Workers!$A$5:$A$2004,0))&amp;"")</f>
        <v>82371012647049</v>
      </c>
    </row>
    <row r="19" customFormat="false" ht="15" hidden="false" customHeight="false" outlineLevel="0" collapsed="false">
      <c r="A19" s="24" t="str">
        <f aca="false">IFERROR(INDEX(Workers!$A$5:$A$2004,MATCH(ROW()-4,Workers!$U$5:$U$2004,0)),"")</f>
        <v>W0015</v>
      </c>
      <c r="B19" s="24" t="str">
        <f aca="false">IF($A19="","",INDEX(Workers!$B$5:$B$2004,MATCH($A19,Workers!$A$5:$A$2004,0)))</f>
        <v>Rohan Gurung</v>
      </c>
      <c r="C19" s="24" t="str">
        <f aca="false">IF($A19="","",INDEX(Workers!$E$5:$E$2004,MATCH($A19,Workers!$A$5:$A$2004,0)))</f>
        <v>Plumber</v>
      </c>
      <c r="D19" s="24" t="str">
        <f aca="false">IF($A19="","",INDEX(Workers!$K$5:$K$2004,MATCH($A19,Workers!$A$5:$A$2004,0)))</f>
        <v>Monthly</v>
      </c>
      <c r="E19" s="25" t="n">
        <f aca="false">IF($A19="","",SUMIFS(Timesheet!$E$5:$E$3004,Timesheet!$D$5:$D$3004,$A19,Timesheet!$A$5:$A$3004,"&gt;="&amp;Settings!$B$8,Timesheet!$A$5:$A$3004,"&lt;="&amp;Settings!$B$9))</f>
        <v>25</v>
      </c>
      <c r="F19" s="25" t="n">
        <f aca="false">IF($A19="","",SUMIFS(Timesheet!$F$5:$F$3004,Timesheet!$D$5:$D$3004,$A19,Timesheet!$A$5:$A$3004,"&gt;="&amp;Settings!$B$8,Timesheet!$A$5:$A$3004,"&lt;="&amp;Settings!$B$9))</f>
        <v>200</v>
      </c>
      <c r="G19" s="25" t="n">
        <f aca="false">IF($A19="","",SUMIFS(Timesheet!$G$5:$G$3004,Timesheet!$D$5:$D$3004,$A19,Timesheet!$A$5:$A$3004,"&gt;="&amp;Settings!$B$8,Timesheet!$A$5:$A$3004,"&lt;="&amp;Settings!$B$9))</f>
        <v>30</v>
      </c>
      <c r="H19" s="25" t="n">
        <f aca="false">IF($A19="","",IF(D19="Monthly",MAX(0,Settings!$B$11-E19),0))</f>
        <v>1</v>
      </c>
      <c r="I19" s="26" t="n">
        <f aca="false">IF($A19="","",N(INDEX(Workers!$L$5:$L$2004,MATCH($A19,Workers!$A$5:$A$2004,0))))</f>
        <v>2000</v>
      </c>
      <c r="J19" s="26" t="n">
        <f aca="false">IF($A19="","",N(INDEX(Workers!$M$5:$M$2004,MATCH($A19,Workers!$A$5:$A$2004,0))))</f>
        <v>500</v>
      </c>
      <c r="K19" s="26" t="n">
        <f aca="false">IF($A19="","",IF(D19="Monthly",ROUND(MAX(0,(I19+J19)-(I19+J19)/Settings!$B$10*H19),2),0))</f>
        <v>2416.67</v>
      </c>
      <c r="L19" s="26" t="n">
        <f aca="false">IF($A19="","",IF(D19="Hourly",ROUND(F19*N(INDEX(Workers!$N$5:$N$2004,MATCH($A19,Workers!$A$5:$A$2004,0))),2),0))</f>
        <v>0</v>
      </c>
      <c r="M19" s="26" t="n">
        <f aca="false">IF($A19="","",ROUND(G19*IF(D19="Hourly",N(INDEX(Workers!$N$5:$N$2004,MATCH($A19,Workers!$A$5:$A$2004,0))),I19/Settings!$B$10/Settings!$B$12)*Settings!$B$13,2))</f>
        <v>312.5</v>
      </c>
      <c r="N19" s="26" t="n">
        <f aca="false">IF($A19="","",K19+L19+M19)</f>
        <v>2729.17</v>
      </c>
      <c r="O19" s="26" t="n">
        <f aca="false">IF($A19="","",SUMIFS(Deductions!$D$5:$D$2000,Deductions!$B$5:$B$2000,$A19,Deductions!$C$5:$C$2000,"Advance",Deductions!$E$5:$E$2000,"&gt;="&amp;Settings!$B$8,Deductions!$E$5:$E$2000,"&lt;="&amp;Settings!$B$9))</f>
        <v>0</v>
      </c>
      <c r="P19" s="26" t="n">
        <f aca="false">IF($A19="","",SUMIFS(Deductions!$D$5:$D$2000,Deductions!$B$5:$B$2000,$A19,Deductions!$E$5:$E$2000,"&gt;="&amp;Settings!$B$8,Deductions!$E$5:$E$2000,"&lt;="&amp;Settings!$B$9)-O19)</f>
        <v>0</v>
      </c>
      <c r="Q19" s="26" t="n">
        <f aca="false">IF($A19="","",O19+P19)</f>
        <v>0</v>
      </c>
      <c r="R19" s="23" t="n">
        <f aca="false">IF($A19="","",N19-Q19)</f>
        <v>2729.17</v>
      </c>
      <c r="S19" s="24" t="str">
        <f aca="false">IF($A19="","",INDEX(Workers!$O$5:$O$2004,MATCH($A19,Workers!$A$5:$A$2004,0))&amp;"")</f>
        <v>803320101</v>
      </c>
      <c r="T19" s="24" t="str">
        <f aca="false">IF($A19="","",INDEX(Workers!$P$5:$P$2004,MATCH($A19,Workers!$A$5:$A$2004,0))&amp;"")</f>
        <v>AE95 7240 9289 5619 4968 809</v>
      </c>
      <c r="U19" s="24" t="str">
        <f aca="false">IF($A19="","",INDEX(Workers!$H$5:$H$2004,MATCH($A19,Workers!$A$5:$A$2004,0))&amp;"")</f>
        <v>17796066780717</v>
      </c>
    </row>
    <row r="20" customFormat="false" ht="15" hidden="false" customHeight="false" outlineLevel="0" collapsed="false">
      <c r="A20" s="24" t="str">
        <f aca="false">IFERROR(INDEX(Workers!$A$5:$A$2004,MATCH(ROW()-4,Workers!$U$5:$U$2004,0)),"")</f>
        <v>W0016</v>
      </c>
      <c r="B20" s="24" t="str">
        <f aca="false">IF($A20="","",INDEX(Workers!$B$5:$B$2004,MATCH($A20,Workers!$A$5:$A$2004,0)))</f>
        <v>Sanjay Kumar</v>
      </c>
      <c r="C20" s="24" t="str">
        <f aca="false">IF($A20="","",INDEX(Workers!$E$5:$E$2004,MATCH($A20,Workers!$A$5:$A$2004,0)))</f>
        <v>Carpenter</v>
      </c>
      <c r="D20" s="24" t="str">
        <f aca="false">IF($A20="","",INDEX(Workers!$K$5:$K$2004,MATCH($A20,Workers!$A$5:$A$2004,0)))</f>
        <v>Hourly</v>
      </c>
      <c r="E20" s="25" t="n">
        <f aca="false">IF($A20="","",SUMIFS(Timesheet!$E$5:$E$3004,Timesheet!$D$5:$D$3004,$A20,Timesheet!$A$5:$A$3004,"&gt;="&amp;Settings!$B$8,Timesheet!$A$5:$A$3004,"&lt;="&amp;Settings!$B$9))</f>
        <v>23</v>
      </c>
      <c r="F20" s="25" t="n">
        <f aca="false">IF($A20="","",SUMIFS(Timesheet!$F$5:$F$3004,Timesheet!$D$5:$D$3004,$A20,Timesheet!$A$5:$A$3004,"&gt;="&amp;Settings!$B$8,Timesheet!$A$5:$A$3004,"&lt;="&amp;Settings!$B$9))</f>
        <v>184</v>
      </c>
      <c r="G20" s="25" t="n">
        <f aca="false">IF($A20="","",SUMIFS(Timesheet!$G$5:$G$3004,Timesheet!$D$5:$D$3004,$A20,Timesheet!$A$5:$A$3004,"&gt;="&amp;Settings!$B$8,Timesheet!$A$5:$A$3004,"&lt;="&amp;Settings!$B$9))</f>
        <v>30</v>
      </c>
      <c r="H20" s="25" t="n">
        <f aca="false">IF($A20="","",IF(D20="Monthly",MAX(0,Settings!$B$11-E20),0))</f>
        <v>0</v>
      </c>
      <c r="I20" s="26" t="n">
        <f aca="false">IF($A20="","",N(INDEX(Workers!$L$5:$L$2004,MATCH($A20,Workers!$A$5:$A$2004,0))))</f>
        <v>0</v>
      </c>
      <c r="J20" s="26" t="n">
        <f aca="false">IF($A20="","",N(INDEX(Workers!$M$5:$M$2004,MATCH($A20,Workers!$A$5:$A$2004,0))))</f>
        <v>0</v>
      </c>
      <c r="K20" s="26" t="n">
        <f aca="false">IF($A20="","",IF(D20="Monthly",ROUND(MAX(0,(I20+J20)-(I20+J20)/Settings!$B$10*H20),2),0))</f>
        <v>0</v>
      </c>
      <c r="L20" s="26" t="n">
        <f aca="false">IF($A20="","",IF(D20="Hourly",ROUND(F20*N(INDEX(Workers!$N$5:$N$2004,MATCH($A20,Workers!$A$5:$A$2004,0))),2),0))</f>
        <v>2024</v>
      </c>
      <c r="M20" s="26" t="n">
        <f aca="false">IF($A20="","",ROUND(G20*IF(D20="Hourly",N(INDEX(Workers!$N$5:$N$2004,MATCH($A20,Workers!$A$5:$A$2004,0))),I20/Settings!$B$10/Settings!$B$12)*Settings!$B$13,2))</f>
        <v>412.5</v>
      </c>
      <c r="N20" s="26" t="n">
        <f aca="false">IF($A20="","",K20+L20+M20)</f>
        <v>2436.5</v>
      </c>
      <c r="O20" s="26" t="n">
        <f aca="false">IF($A20="","",SUMIFS(Deductions!$D$5:$D$2000,Deductions!$B$5:$B$2000,$A20,Deductions!$C$5:$C$2000,"Advance",Deductions!$E$5:$E$2000,"&gt;="&amp;Settings!$B$8,Deductions!$E$5:$E$2000,"&lt;="&amp;Settings!$B$9))</f>
        <v>0</v>
      </c>
      <c r="P20" s="26" t="n">
        <f aca="false">IF($A20="","",SUMIFS(Deductions!$D$5:$D$2000,Deductions!$B$5:$B$2000,$A20,Deductions!$E$5:$E$2000,"&gt;="&amp;Settings!$B$8,Deductions!$E$5:$E$2000,"&lt;="&amp;Settings!$B$9)-O20)</f>
        <v>0</v>
      </c>
      <c r="Q20" s="26" t="n">
        <f aca="false">IF($A20="","",O20+P20)</f>
        <v>0</v>
      </c>
      <c r="R20" s="23" t="n">
        <f aca="false">IF($A20="","",N20-Q20)</f>
        <v>2436.5</v>
      </c>
      <c r="S20" s="24" t="str">
        <f aca="false">IF($A20="","",INDEX(Workers!$O$5:$O$2004,MATCH($A20,Workers!$A$5:$A$2004,0))&amp;"")</f>
        <v>600310101</v>
      </c>
      <c r="T20" s="24" t="str">
        <f aca="false">IF($A20="","",INDEX(Workers!$P$5:$P$2004,MATCH($A20,Workers!$A$5:$A$2004,0))&amp;"")</f>
        <v>AE58 2374 8776 5569 9237 771</v>
      </c>
      <c r="U20" s="24" t="str">
        <f aca="false">IF($A20="","",INDEX(Workers!$H$5:$H$2004,MATCH($A20,Workers!$A$5:$A$2004,0))&amp;"")</f>
        <v>10151109653521</v>
      </c>
    </row>
    <row r="21" customFormat="false" ht="15" hidden="false" customHeight="false" outlineLevel="0" collapsed="false">
      <c r="A21" s="24" t="str">
        <f aca="false">IFERROR(INDEX(Workers!$A$5:$A$2004,MATCH(ROW()-4,Workers!$U$5:$U$2004,0)),"")</f>
        <v>W0017</v>
      </c>
      <c r="B21" s="24" t="str">
        <f aca="false">IF($A21="","",INDEX(Workers!$B$5:$B$2004,MATCH($A21,Workers!$A$5:$A$2004,0)))</f>
        <v>Prakash Khan</v>
      </c>
      <c r="C21" s="24" t="str">
        <f aca="false">IF($A21="","",INDEX(Workers!$E$5:$E$2004,MATCH($A21,Workers!$A$5:$A$2004,0)))</f>
        <v>Electrician</v>
      </c>
      <c r="D21" s="24" t="str">
        <f aca="false">IF($A21="","",INDEX(Workers!$K$5:$K$2004,MATCH($A21,Workers!$A$5:$A$2004,0)))</f>
        <v>Monthly</v>
      </c>
      <c r="E21" s="25" t="n">
        <f aca="false">IF($A21="","",SUMIFS(Timesheet!$E$5:$E$3004,Timesheet!$D$5:$D$3004,$A21,Timesheet!$A$5:$A$3004,"&gt;="&amp;Settings!$B$8,Timesheet!$A$5:$A$3004,"&lt;="&amp;Settings!$B$9))</f>
        <v>24</v>
      </c>
      <c r="F21" s="25" t="n">
        <f aca="false">IF($A21="","",SUMIFS(Timesheet!$F$5:$F$3004,Timesheet!$D$5:$D$3004,$A21,Timesheet!$A$5:$A$3004,"&gt;="&amp;Settings!$B$8,Timesheet!$A$5:$A$3004,"&lt;="&amp;Settings!$B$9))</f>
        <v>192</v>
      </c>
      <c r="G21" s="25" t="n">
        <f aca="false">IF($A21="","",SUMIFS(Timesheet!$G$5:$G$3004,Timesheet!$D$5:$D$3004,$A21,Timesheet!$A$5:$A$3004,"&gt;="&amp;Settings!$B$8,Timesheet!$A$5:$A$3004,"&lt;="&amp;Settings!$B$9))</f>
        <v>16</v>
      </c>
      <c r="H21" s="25" t="n">
        <f aca="false">IF($A21="","",IF(D21="Monthly",MAX(0,Settings!$B$11-E21),0))</f>
        <v>2</v>
      </c>
      <c r="I21" s="26" t="n">
        <f aca="false">IF($A21="","",N(INDEX(Workers!$L$5:$L$2004,MATCH($A21,Workers!$A$5:$A$2004,0))))</f>
        <v>1500</v>
      </c>
      <c r="J21" s="26" t="n">
        <f aca="false">IF($A21="","",N(INDEX(Workers!$M$5:$M$2004,MATCH($A21,Workers!$A$5:$A$2004,0))))</f>
        <v>300</v>
      </c>
      <c r="K21" s="26" t="n">
        <f aca="false">IF($A21="","",IF(D21="Monthly",ROUND(MAX(0,(I21+J21)-(I21+J21)/Settings!$B$10*H21),2),0))</f>
        <v>1680</v>
      </c>
      <c r="L21" s="26" t="n">
        <f aca="false">IF($A21="","",IF(D21="Hourly",ROUND(F21*N(INDEX(Workers!$N$5:$N$2004,MATCH($A21,Workers!$A$5:$A$2004,0))),2),0))</f>
        <v>0</v>
      </c>
      <c r="M21" s="26" t="n">
        <f aca="false">IF($A21="","",ROUND(G21*IF(D21="Hourly",N(INDEX(Workers!$N$5:$N$2004,MATCH($A21,Workers!$A$5:$A$2004,0))),I21/Settings!$B$10/Settings!$B$12)*Settings!$B$13,2))</f>
        <v>125</v>
      </c>
      <c r="N21" s="26" t="n">
        <f aca="false">IF($A21="","",K21+L21+M21)</f>
        <v>1805</v>
      </c>
      <c r="O21" s="26" t="n">
        <f aca="false">IF($A21="","",SUMIFS(Deductions!$D$5:$D$2000,Deductions!$B$5:$B$2000,$A21,Deductions!$C$5:$C$2000,"Advance",Deductions!$E$5:$E$2000,"&gt;="&amp;Settings!$B$8,Deductions!$E$5:$E$2000,"&lt;="&amp;Settings!$B$9))</f>
        <v>0</v>
      </c>
      <c r="P21" s="26" t="n">
        <f aca="false">IF($A21="","",SUMIFS(Deductions!$D$5:$D$2000,Deductions!$B$5:$B$2000,$A21,Deductions!$E$5:$E$2000,"&gt;="&amp;Settings!$B$8,Deductions!$E$5:$E$2000,"&lt;="&amp;Settings!$B$9)-O21)</f>
        <v>0</v>
      </c>
      <c r="Q21" s="26" t="n">
        <f aca="false">IF($A21="","",O21+P21)</f>
        <v>0</v>
      </c>
      <c r="R21" s="23" t="n">
        <f aca="false">IF($A21="","",N21-Q21)</f>
        <v>1805</v>
      </c>
      <c r="S21" s="24" t="str">
        <f aca="false">IF($A21="","",INDEX(Workers!$O$5:$O$2004,MATCH($A21,Workers!$A$5:$A$2004,0))&amp;"")</f>
        <v>402320106</v>
      </c>
      <c r="T21" s="24" t="str">
        <f aca="false">IF($A21="","",INDEX(Workers!$P$5:$P$2004,MATCH($A21,Workers!$A$5:$A$2004,0))&amp;"")</f>
        <v>AE86 7381 6343 9096 3448 390</v>
      </c>
      <c r="U21" s="24" t="str">
        <f aca="false">IF($A21="","",INDEX(Workers!$H$5:$H$2004,MATCH($A21,Workers!$A$5:$A$2004,0))&amp;"")</f>
        <v>31851722182217</v>
      </c>
    </row>
    <row r="22" customFormat="false" ht="15" hidden="false" customHeight="false" outlineLevel="0" collapsed="false">
      <c r="A22" s="24" t="str">
        <f aca="false">IFERROR(INDEX(Workers!$A$5:$A$2004,MATCH(ROW()-4,Workers!$U$5:$U$2004,0)),"")</f>
        <v>W0018</v>
      </c>
      <c r="B22" s="24" t="str">
        <f aca="false">IF($A22="","",INDEX(Workers!$B$5:$B$2004,MATCH($A22,Workers!$A$5:$A$2004,0)))</f>
        <v>Nabin Pillai</v>
      </c>
      <c r="C22" s="24" t="str">
        <f aca="false">IF($A22="","",INDEX(Workers!$E$5:$E$2004,MATCH($A22,Workers!$A$5:$A$2004,0)))</f>
        <v>Security Guard</v>
      </c>
      <c r="D22" s="24" t="str">
        <f aca="false">IF($A22="","",INDEX(Workers!$K$5:$K$2004,MATCH($A22,Workers!$A$5:$A$2004,0)))</f>
        <v>Monthly</v>
      </c>
      <c r="E22" s="25" t="n">
        <f aca="false">IF($A22="","",SUMIFS(Timesheet!$E$5:$E$3004,Timesheet!$D$5:$D$3004,$A22,Timesheet!$A$5:$A$3004,"&gt;="&amp;Settings!$B$8,Timesheet!$A$5:$A$3004,"&lt;="&amp;Settings!$B$9))</f>
        <v>26</v>
      </c>
      <c r="F22" s="25" t="n">
        <f aca="false">IF($A22="","",SUMIFS(Timesheet!$F$5:$F$3004,Timesheet!$D$5:$D$3004,$A22,Timesheet!$A$5:$A$3004,"&gt;="&amp;Settings!$B$8,Timesheet!$A$5:$A$3004,"&lt;="&amp;Settings!$B$9))</f>
        <v>208</v>
      </c>
      <c r="G22" s="25" t="n">
        <f aca="false">IF($A22="","",SUMIFS(Timesheet!$G$5:$G$3004,Timesheet!$D$5:$D$3004,$A22,Timesheet!$A$5:$A$3004,"&gt;="&amp;Settings!$B$8,Timesheet!$A$5:$A$3004,"&lt;="&amp;Settings!$B$9))</f>
        <v>10</v>
      </c>
      <c r="H22" s="25" t="n">
        <f aca="false">IF($A22="","",IF(D22="Monthly",MAX(0,Settings!$B$11-E22),0))</f>
        <v>0</v>
      </c>
      <c r="I22" s="26" t="n">
        <f aca="false">IF($A22="","",N(INDEX(Workers!$L$5:$L$2004,MATCH($A22,Workers!$A$5:$A$2004,0))))</f>
        <v>2500</v>
      </c>
      <c r="J22" s="26" t="n">
        <f aca="false">IF($A22="","",N(INDEX(Workers!$M$5:$M$2004,MATCH($A22,Workers!$A$5:$A$2004,0))))</f>
        <v>300</v>
      </c>
      <c r="K22" s="26" t="n">
        <f aca="false">IF($A22="","",IF(D22="Monthly",ROUND(MAX(0,(I22+J22)-(I22+J22)/Settings!$B$10*H22),2),0))</f>
        <v>2800</v>
      </c>
      <c r="L22" s="26" t="n">
        <f aca="false">IF($A22="","",IF(D22="Hourly",ROUND(F22*N(INDEX(Workers!$N$5:$N$2004,MATCH($A22,Workers!$A$5:$A$2004,0))),2),0))</f>
        <v>0</v>
      </c>
      <c r="M22" s="26" t="n">
        <f aca="false">IF($A22="","",ROUND(G22*IF(D22="Hourly",N(INDEX(Workers!$N$5:$N$2004,MATCH($A22,Workers!$A$5:$A$2004,0))),I22/Settings!$B$10/Settings!$B$12)*Settings!$B$13,2))</f>
        <v>130.21</v>
      </c>
      <c r="N22" s="26" t="n">
        <f aca="false">IF($A22="","",K22+L22+M22)</f>
        <v>2930.21</v>
      </c>
      <c r="O22" s="26" t="n">
        <f aca="false">IF($A22="","",SUMIFS(Deductions!$D$5:$D$2000,Deductions!$B$5:$B$2000,$A22,Deductions!$C$5:$C$2000,"Advance",Deductions!$E$5:$E$2000,"&gt;="&amp;Settings!$B$8,Deductions!$E$5:$E$2000,"&lt;="&amp;Settings!$B$9))</f>
        <v>0</v>
      </c>
      <c r="P22" s="26" t="n">
        <f aca="false">IF($A22="","",SUMIFS(Deductions!$D$5:$D$2000,Deductions!$B$5:$B$2000,$A22,Deductions!$E$5:$E$2000,"&gt;="&amp;Settings!$B$8,Deductions!$E$5:$E$2000,"&lt;="&amp;Settings!$B$9)-O22)</f>
        <v>0</v>
      </c>
      <c r="Q22" s="26" t="n">
        <f aca="false">IF($A22="","",O22+P22)</f>
        <v>0</v>
      </c>
      <c r="R22" s="23" t="n">
        <f aca="false">IF($A22="","",N22-Q22)</f>
        <v>2930.21</v>
      </c>
      <c r="S22" s="24" t="str">
        <f aca="false">IF($A22="","",INDEX(Workers!$O$5:$O$2004,MATCH($A22,Workers!$A$5:$A$2004,0))&amp;"")</f>
        <v>803320101</v>
      </c>
      <c r="T22" s="24" t="str">
        <f aca="false">IF($A22="","",INDEX(Workers!$P$5:$P$2004,MATCH($A22,Workers!$A$5:$A$2004,0))&amp;"")</f>
        <v>AE58 8395 1831 1308 9707 797</v>
      </c>
      <c r="U22" s="24" t="str">
        <f aca="false">IF($A22="","",INDEX(Workers!$H$5:$H$2004,MATCH($A22,Workers!$A$5:$A$2004,0))&amp;"")</f>
        <v>60764954880477</v>
      </c>
    </row>
    <row r="23" customFormat="false" ht="15" hidden="false" customHeight="false" outlineLevel="0" collapsed="false">
      <c r="A23" s="24" t="str">
        <f aca="false">IFERROR(INDEX(Workers!$A$5:$A$2004,MATCH(ROW()-4,Workers!$U$5:$U$2004,0)),"")</f>
        <v>W0019</v>
      </c>
      <c r="B23" s="24" t="str">
        <f aca="false">IF($A23="","",INDEX(Workers!$B$5:$B$2004,MATCH($A23,Workers!$A$5:$A$2004,0)))</f>
        <v>Faisal Ahmed</v>
      </c>
      <c r="C23" s="24" t="str">
        <f aca="false">IF($A23="","",INDEX(Workers!$E$5:$E$2004,MATCH($A23,Workers!$A$5:$A$2004,0)))</f>
        <v>Helper</v>
      </c>
      <c r="D23" s="24" t="str">
        <f aca="false">IF($A23="","",INDEX(Workers!$K$5:$K$2004,MATCH($A23,Workers!$A$5:$A$2004,0)))</f>
        <v>Monthly</v>
      </c>
      <c r="E23" s="25" t="n">
        <f aca="false">IF($A23="","",SUMIFS(Timesheet!$E$5:$E$3004,Timesheet!$D$5:$D$3004,$A23,Timesheet!$A$5:$A$3004,"&gt;="&amp;Settings!$B$8,Timesheet!$A$5:$A$3004,"&lt;="&amp;Settings!$B$9))</f>
        <v>24</v>
      </c>
      <c r="F23" s="25" t="n">
        <f aca="false">IF($A23="","",SUMIFS(Timesheet!$F$5:$F$3004,Timesheet!$D$5:$D$3004,$A23,Timesheet!$A$5:$A$3004,"&gt;="&amp;Settings!$B$8,Timesheet!$A$5:$A$3004,"&lt;="&amp;Settings!$B$9))</f>
        <v>192</v>
      </c>
      <c r="G23" s="25" t="n">
        <f aca="false">IF($A23="","",SUMIFS(Timesheet!$G$5:$G$3004,Timesheet!$D$5:$D$3004,$A23,Timesheet!$A$5:$A$3004,"&gt;="&amp;Settings!$B$8,Timesheet!$A$5:$A$3004,"&lt;="&amp;Settings!$B$9))</f>
        <v>16</v>
      </c>
      <c r="H23" s="25" t="n">
        <f aca="false">IF($A23="","",IF(D23="Monthly",MAX(0,Settings!$B$11-E23),0))</f>
        <v>2</v>
      </c>
      <c r="I23" s="26" t="n">
        <f aca="false">IF($A23="","",N(INDEX(Workers!$L$5:$L$2004,MATCH($A23,Workers!$A$5:$A$2004,0))))</f>
        <v>2000</v>
      </c>
      <c r="J23" s="26" t="n">
        <f aca="false">IF($A23="","",N(INDEX(Workers!$M$5:$M$2004,MATCH($A23,Workers!$A$5:$A$2004,0))))</f>
        <v>300</v>
      </c>
      <c r="K23" s="26" t="n">
        <f aca="false">IF($A23="","",IF(D23="Monthly",ROUND(MAX(0,(I23+J23)-(I23+J23)/Settings!$B$10*H23),2),0))</f>
        <v>2146.67</v>
      </c>
      <c r="L23" s="26" t="n">
        <f aca="false">IF($A23="","",IF(D23="Hourly",ROUND(F23*N(INDEX(Workers!$N$5:$N$2004,MATCH($A23,Workers!$A$5:$A$2004,0))),2),0))</f>
        <v>0</v>
      </c>
      <c r="M23" s="26" t="n">
        <f aca="false">IF($A23="","",ROUND(G23*IF(D23="Hourly",N(INDEX(Workers!$N$5:$N$2004,MATCH($A23,Workers!$A$5:$A$2004,0))),I23/Settings!$B$10/Settings!$B$12)*Settings!$B$13,2))</f>
        <v>166.67</v>
      </c>
      <c r="N23" s="26" t="n">
        <f aca="false">IF($A23="","",K23+L23+M23)</f>
        <v>2313.34</v>
      </c>
      <c r="O23" s="26" t="n">
        <f aca="false">IF($A23="","",SUMIFS(Deductions!$D$5:$D$2000,Deductions!$B$5:$B$2000,$A23,Deductions!$C$5:$C$2000,"Advance",Deductions!$E$5:$E$2000,"&gt;="&amp;Settings!$B$8,Deductions!$E$5:$E$2000,"&lt;="&amp;Settings!$B$9))</f>
        <v>0</v>
      </c>
      <c r="P23" s="26" t="n">
        <f aca="false">IF($A23="","",SUMIFS(Deductions!$D$5:$D$2000,Deductions!$B$5:$B$2000,$A23,Deductions!$E$5:$E$2000,"&gt;="&amp;Settings!$B$8,Deductions!$E$5:$E$2000,"&lt;="&amp;Settings!$B$9)-O23)</f>
        <v>0</v>
      </c>
      <c r="Q23" s="26" t="n">
        <f aca="false">IF($A23="","",O23+P23)</f>
        <v>0</v>
      </c>
      <c r="R23" s="23" t="n">
        <f aca="false">IF($A23="","",N23-Q23)</f>
        <v>2313.34</v>
      </c>
      <c r="S23" s="24" t="str">
        <f aca="false">IF($A23="","",INDEX(Workers!$O$5:$O$2004,MATCH($A23,Workers!$A$5:$A$2004,0))&amp;"")</f>
        <v>600310101</v>
      </c>
      <c r="T23" s="24" t="str">
        <f aca="false">IF($A23="","",INDEX(Workers!$P$5:$P$2004,MATCH($A23,Workers!$A$5:$A$2004,0))&amp;"")</f>
        <v>AE19 8848 5707 1765 4248 179</v>
      </c>
      <c r="U23" s="24" t="str">
        <f aca="false">IF($A23="","",INDEX(Workers!$H$5:$H$2004,MATCH($A23,Workers!$A$5:$A$2004,0))&amp;"")</f>
        <v>79516022831268</v>
      </c>
    </row>
    <row r="24" customFormat="false" ht="15" hidden="false" customHeight="false" outlineLevel="0" collapsed="false">
      <c r="A24" s="24" t="str">
        <f aca="false">IFERROR(INDEX(Workers!$A$5:$A$2004,MATCH(ROW()-4,Workers!$U$5:$U$2004,0)),"")</f>
        <v>W0020</v>
      </c>
      <c r="B24" s="24" t="str">
        <f aca="false">IF($A24="","",INDEX(Workers!$B$5:$B$2004,MATCH($A24,Workers!$A$5:$A$2004,0)))</f>
        <v>Shafi Nair</v>
      </c>
      <c r="C24" s="24" t="str">
        <f aca="false">IF($A24="","",INDEX(Workers!$E$5:$E$2004,MATCH($A24,Workers!$A$5:$A$2004,0)))</f>
        <v>Cleaner</v>
      </c>
      <c r="D24" s="24" t="str">
        <f aca="false">IF($A24="","",INDEX(Workers!$K$5:$K$2004,MATCH($A24,Workers!$A$5:$A$2004,0)))</f>
        <v>Monthly</v>
      </c>
      <c r="E24" s="25" t="n">
        <f aca="false">IF($A24="","",SUMIFS(Timesheet!$E$5:$E$3004,Timesheet!$D$5:$D$3004,$A24,Timesheet!$A$5:$A$3004,"&gt;="&amp;Settings!$B$8,Timesheet!$A$5:$A$3004,"&lt;="&amp;Settings!$B$9))</f>
        <v>25</v>
      </c>
      <c r="F24" s="25" t="n">
        <f aca="false">IF($A24="","",SUMIFS(Timesheet!$F$5:$F$3004,Timesheet!$D$5:$D$3004,$A24,Timesheet!$A$5:$A$3004,"&gt;="&amp;Settings!$B$8,Timesheet!$A$5:$A$3004,"&lt;="&amp;Settings!$B$9))</f>
        <v>200</v>
      </c>
      <c r="G24" s="25" t="n">
        <f aca="false">IF($A24="","",SUMIFS(Timesheet!$G$5:$G$3004,Timesheet!$D$5:$D$3004,$A24,Timesheet!$A$5:$A$3004,"&gt;="&amp;Settings!$B$8,Timesheet!$A$5:$A$3004,"&lt;="&amp;Settings!$B$9))</f>
        <v>14</v>
      </c>
      <c r="H24" s="25" t="n">
        <f aca="false">IF($A24="","",IF(D24="Monthly",MAX(0,Settings!$B$11-E24),0))</f>
        <v>1</v>
      </c>
      <c r="I24" s="26" t="n">
        <f aca="false">IF($A24="","",N(INDEX(Workers!$L$5:$L$2004,MATCH($A24,Workers!$A$5:$A$2004,0))))</f>
        <v>2500</v>
      </c>
      <c r="J24" s="26" t="n">
        <f aca="false">IF($A24="","",N(INDEX(Workers!$M$5:$M$2004,MATCH($A24,Workers!$A$5:$A$2004,0))))</f>
        <v>500</v>
      </c>
      <c r="K24" s="26" t="n">
        <f aca="false">IF($A24="","",IF(D24="Monthly",ROUND(MAX(0,(I24+J24)-(I24+J24)/Settings!$B$10*H24),2),0))</f>
        <v>2900</v>
      </c>
      <c r="L24" s="26" t="n">
        <f aca="false">IF($A24="","",IF(D24="Hourly",ROUND(F24*N(INDEX(Workers!$N$5:$N$2004,MATCH($A24,Workers!$A$5:$A$2004,0))),2),0))</f>
        <v>0</v>
      </c>
      <c r="M24" s="26" t="n">
        <f aca="false">IF($A24="","",ROUND(G24*IF(D24="Hourly",N(INDEX(Workers!$N$5:$N$2004,MATCH($A24,Workers!$A$5:$A$2004,0))),I24/Settings!$B$10/Settings!$B$12)*Settings!$B$13,2))</f>
        <v>182.29</v>
      </c>
      <c r="N24" s="26" t="n">
        <f aca="false">IF($A24="","",K24+L24+M24)</f>
        <v>3082.29</v>
      </c>
      <c r="O24" s="26" t="n">
        <f aca="false">IF($A24="","",SUMIFS(Deductions!$D$5:$D$2000,Deductions!$B$5:$B$2000,$A24,Deductions!$C$5:$C$2000,"Advance",Deductions!$E$5:$E$2000,"&gt;="&amp;Settings!$B$8,Deductions!$E$5:$E$2000,"&lt;="&amp;Settings!$B$9))</f>
        <v>400</v>
      </c>
      <c r="P24" s="26" t="n">
        <f aca="false">IF($A24="","",SUMIFS(Deductions!$D$5:$D$2000,Deductions!$B$5:$B$2000,$A24,Deductions!$E$5:$E$2000,"&gt;="&amp;Settings!$B$8,Deductions!$E$5:$E$2000,"&lt;="&amp;Settings!$B$9)-O24)</f>
        <v>0</v>
      </c>
      <c r="Q24" s="26" t="n">
        <f aca="false">IF($A24="","",O24+P24)</f>
        <v>400</v>
      </c>
      <c r="R24" s="23" t="n">
        <f aca="false">IF($A24="","",N24-Q24)</f>
        <v>2682.29</v>
      </c>
      <c r="S24" s="24" t="str">
        <f aca="false">IF($A24="","",INDEX(Workers!$O$5:$O$2004,MATCH($A24,Workers!$A$5:$A$2004,0))&amp;"")</f>
        <v>600310101</v>
      </c>
      <c r="T24" s="24" t="str">
        <f aca="false">IF($A24="","",INDEX(Workers!$P$5:$P$2004,MATCH($A24,Workers!$A$5:$A$2004,0))&amp;"")</f>
        <v>AE69 8633 8640 2941 9996 304</v>
      </c>
      <c r="U24" s="24" t="str">
        <f aca="false">IF($A24="","",INDEX(Workers!$H$5:$H$2004,MATCH($A24,Workers!$A$5:$A$2004,0))&amp;"")</f>
        <v>82695366062236</v>
      </c>
    </row>
    <row r="25" customFormat="false" ht="15" hidden="false" customHeight="false" outlineLevel="0" collapsed="false">
      <c r="A25" s="24" t="str">
        <f aca="false">IFERROR(INDEX(Workers!$A$5:$A$2004,MATCH(ROW()-4,Workers!$U$5:$U$2004,0)),"")</f>
        <v>W0021</v>
      </c>
      <c r="B25" s="24" t="str">
        <f aca="false">IF($A25="","",INDEX(Workers!$B$5:$B$2004,MATCH($A25,Workers!$A$5:$A$2004,0)))</f>
        <v>Sanjay Ali</v>
      </c>
      <c r="C25" s="24" t="str">
        <f aca="false">IF($A25="","",INDEX(Workers!$E$5:$E$2004,MATCH($A25,Workers!$A$5:$A$2004,0)))</f>
        <v>Driver</v>
      </c>
      <c r="D25" s="24" t="str">
        <f aca="false">IF($A25="","",INDEX(Workers!$K$5:$K$2004,MATCH($A25,Workers!$A$5:$A$2004,0)))</f>
        <v>Monthly</v>
      </c>
      <c r="E25" s="25" t="n">
        <f aca="false">IF($A25="","",SUMIFS(Timesheet!$E$5:$E$3004,Timesheet!$D$5:$D$3004,$A25,Timesheet!$A$5:$A$3004,"&gt;="&amp;Settings!$B$8,Timesheet!$A$5:$A$3004,"&lt;="&amp;Settings!$B$9))</f>
        <v>24</v>
      </c>
      <c r="F25" s="25" t="n">
        <f aca="false">IF($A25="","",SUMIFS(Timesheet!$F$5:$F$3004,Timesheet!$D$5:$D$3004,$A25,Timesheet!$A$5:$A$3004,"&gt;="&amp;Settings!$B$8,Timesheet!$A$5:$A$3004,"&lt;="&amp;Settings!$B$9))</f>
        <v>192</v>
      </c>
      <c r="G25" s="25" t="n">
        <f aca="false">IF($A25="","",SUMIFS(Timesheet!$G$5:$G$3004,Timesheet!$D$5:$D$3004,$A25,Timesheet!$A$5:$A$3004,"&gt;="&amp;Settings!$B$8,Timesheet!$A$5:$A$3004,"&lt;="&amp;Settings!$B$9))</f>
        <v>20</v>
      </c>
      <c r="H25" s="25" t="n">
        <f aca="false">IF($A25="","",IF(D25="Monthly",MAX(0,Settings!$B$11-E25),0))</f>
        <v>2</v>
      </c>
      <c r="I25" s="26" t="n">
        <f aca="false">IF($A25="","",N(INDEX(Workers!$L$5:$L$2004,MATCH($A25,Workers!$A$5:$A$2004,0))))</f>
        <v>1500</v>
      </c>
      <c r="J25" s="26" t="n">
        <f aca="false">IF($A25="","",N(INDEX(Workers!$M$5:$M$2004,MATCH($A25,Workers!$A$5:$A$2004,0))))</f>
        <v>400</v>
      </c>
      <c r="K25" s="26" t="n">
        <f aca="false">IF($A25="","",IF(D25="Monthly",ROUND(MAX(0,(I25+J25)-(I25+J25)/Settings!$B$10*H25),2),0))</f>
        <v>1773.33</v>
      </c>
      <c r="L25" s="26" t="n">
        <f aca="false">IF($A25="","",IF(D25="Hourly",ROUND(F25*N(INDEX(Workers!$N$5:$N$2004,MATCH($A25,Workers!$A$5:$A$2004,0))),2),0))</f>
        <v>0</v>
      </c>
      <c r="M25" s="26" t="n">
        <f aca="false">IF($A25="","",ROUND(G25*IF(D25="Hourly",N(INDEX(Workers!$N$5:$N$2004,MATCH($A25,Workers!$A$5:$A$2004,0))),I25/Settings!$B$10/Settings!$B$12)*Settings!$B$13,2))</f>
        <v>156.25</v>
      </c>
      <c r="N25" s="26" t="n">
        <f aca="false">IF($A25="","",K25+L25+M25)</f>
        <v>1929.58</v>
      </c>
      <c r="O25" s="26" t="n">
        <f aca="false">IF($A25="","",SUMIFS(Deductions!$D$5:$D$2000,Deductions!$B$5:$B$2000,$A25,Deductions!$C$5:$C$2000,"Advance",Deductions!$E$5:$E$2000,"&gt;="&amp;Settings!$B$8,Deductions!$E$5:$E$2000,"&lt;="&amp;Settings!$B$9))</f>
        <v>0</v>
      </c>
      <c r="P25" s="26" t="n">
        <f aca="false">IF($A25="","",SUMIFS(Deductions!$D$5:$D$2000,Deductions!$B$5:$B$2000,$A25,Deductions!$E$5:$E$2000,"&gt;="&amp;Settings!$B$8,Deductions!$E$5:$E$2000,"&lt;="&amp;Settings!$B$9)-O25)</f>
        <v>0</v>
      </c>
      <c r="Q25" s="26" t="n">
        <f aca="false">IF($A25="","",O25+P25)</f>
        <v>0</v>
      </c>
      <c r="R25" s="23" t="n">
        <f aca="false">IF($A25="","",N25-Q25)</f>
        <v>1929.58</v>
      </c>
      <c r="S25" s="24" t="str">
        <f aca="false">IF($A25="","",INDEX(Workers!$O$5:$O$2004,MATCH($A25,Workers!$A$5:$A$2004,0))&amp;"")</f>
        <v>402320106</v>
      </c>
      <c r="T25" s="24" t="str">
        <f aca="false">IF($A25="","",INDEX(Workers!$P$5:$P$2004,MATCH($A25,Workers!$A$5:$A$2004,0))&amp;"")</f>
        <v>AE90 9335 5580 2846 6983 336</v>
      </c>
      <c r="U25" s="24" t="str">
        <f aca="false">IF($A25="","",INDEX(Workers!$H$5:$H$2004,MATCH($A25,Workers!$A$5:$A$2004,0))&amp;"")</f>
        <v>28663177171983</v>
      </c>
    </row>
    <row r="26" customFormat="false" ht="15" hidden="false" customHeight="false" outlineLevel="0" collapsed="false">
      <c r="A26" s="24" t="str">
        <f aca="false">IFERROR(INDEX(Workers!$A$5:$A$2004,MATCH(ROW()-4,Workers!$U$5:$U$2004,0)),"")</f>
        <v>W0022</v>
      </c>
      <c r="B26" s="24" t="str">
        <f aca="false">IF($A26="","",INDEX(Workers!$B$5:$B$2004,MATCH($A26,Workers!$A$5:$A$2004,0)))</f>
        <v>Jamal Varghese</v>
      </c>
      <c r="C26" s="24" t="str">
        <f aca="false">IF($A26="","",INDEX(Workers!$E$5:$E$2004,MATCH($A26,Workers!$A$5:$A$2004,0)))</f>
        <v>Cleaner</v>
      </c>
      <c r="D26" s="24" t="str">
        <f aca="false">IF($A26="","",INDEX(Workers!$K$5:$K$2004,MATCH($A26,Workers!$A$5:$A$2004,0)))</f>
        <v>Monthly</v>
      </c>
      <c r="E26" s="25" t="n">
        <f aca="false">IF($A26="","",SUMIFS(Timesheet!$E$5:$E$3004,Timesheet!$D$5:$D$3004,$A26,Timesheet!$A$5:$A$3004,"&gt;="&amp;Settings!$B$8,Timesheet!$A$5:$A$3004,"&lt;="&amp;Settings!$B$9))</f>
        <v>24</v>
      </c>
      <c r="F26" s="25" t="n">
        <f aca="false">IF($A26="","",SUMIFS(Timesheet!$F$5:$F$3004,Timesheet!$D$5:$D$3004,$A26,Timesheet!$A$5:$A$3004,"&gt;="&amp;Settings!$B$8,Timesheet!$A$5:$A$3004,"&lt;="&amp;Settings!$B$9))</f>
        <v>192</v>
      </c>
      <c r="G26" s="25" t="n">
        <f aca="false">IF($A26="","",SUMIFS(Timesheet!$G$5:$G$3004,Timesheet!$D$5:$D$3004,$A26,Timesheet!$A$5:$A$3004,"&gt;="&amp;Settings!$B$8,Timesheet!$A$5:$A$3004,"&lt;="&amp;Settings!$B$9))</f>
        <v>30</v>
      </c>
      <c r="H26" s="25" t="n">
        <f aca="false">IF($A26="","",IF(D26="Monthly",MAX(0,Settings!$B$11-E26),0))</f>
        <v>2</v>
      </c>
      <c r="I26" s="26" t="n">
        <f aca="false">IF($A26="","",N(INDEX(Workers!$L$5:$L$2004,MATCH($A26,Workers!$A$5:$A$2004,0))))</f>
        <v>1500</v>
      </c>
      <c r="J26" s="26" t="n">
        <f aca="false">IF($A26="","",N(INDEX(Workers!$M$5:$M$2004,MATCH($A26,Workers!$A$5:$A$2004,0))))</f>
        <v>400</v>
      </c>
      <c r="K26" s="26" t="n">
        <f aca="false">IF($A26="","",IF(D26="Monthly",ROUND(MAX(0,(I26+J26)-(I26+J26)/Settings!$B$10*H26),2),0))</f>
        <v>1773.33</v>
      </c>
      <c r="L26" s="26" t="n">
        <f aca="false">IF($A26="","",IF(D26="Hourly",ROUND(F26*N(INDEX(Workers!$N$5:$N$2004,MATCH($A26,Workers!$A$5:$A$2004,0))),2),0))</f>
        <v>0</v>
      </c>
      <c r="M26" s="26" t="n">
        <f aca="false">IF($A26="","",ROUND(G26*IF(D26="Hourly",N(INDEX(Workers!$N$5:$N$2004,MATCH($A26,Workers!$A$5:$A$2004,0))),I26/Settings!$B$10/Settings!$B$12)*Settings!$B$13,2))</f>
        <v>234.38</v>
      </c>
      <c r="N26" s="26" t="n">
        <f aca="false">IF($A26="","",K26+L26+M26)</f>
        <v>2007.71</v>
      </c>
      <c r="O26" s="26" t="n">
        <f aca="false">IF($A26="","",SUMIFS(Deductions!$D$5:$D$2000,Deductions!$B$5:$B$2000,$A26,Deductions!$C$5:$C$2000,"Advance",Deductions!$E$5:$E$2000,"&gt;="&amp;Settings!$B$8,Deductions!$E$5:$E$2000,"&lt;="&amp;Settings!$B$9))</f>
        <v>0</v>
      </c>
      <c r="P26" s="26" t="n">
        <f aca="false">IF($A26="","",SUMIFS(Deductions!$D$5:$D$2000,Deductions!$B$5:$B$2000,$A26,Deductions!$E$5:$E$2000,"&gt;="&amp;Settings!$B$8,Deductions!$E$5:$E$2000,"&lt;="&amp;Settings!$B$9)-O26)</f>
        <v>0</v>
      </c>
      <c r="Q26" s="26" t="n">
        <f aca="false">IF($A26="","",O26+P26)</f>
        <v>0</v>
      </c>
      <c r="R26" s="23" t="n">
        <f aca="false">IF($A26="","",N26-Q26)</f>
        <v>2007.71</v>
      </c>
      <c r="S26" s="24" t="str">
        <f aca="false">IF($A26="","",INDEX(Workers!$O$5:$O$2004,MATCH($A26,Workers!$A$5:$A$2004,0))&amp;"")</f>
        <v>600310101</v>
      </c>
      <c r="T26" s="24" t="str">
        <f aca="false">IF($A26="","",INDEX(Workers!$P$5:$P$2004,MATCH($A26,Workers!$A$5:$A$2004,0))&amp;"")</f>
        <v>AE60 2966 4207 1192 5748 359</v>
      </c>
      <c r="U26" s="24" t="str">
        <f aca="false">IF($A26="","",INDEX(Workers!$H$5:$H$2004,MATCH($A26,Workers!$A$5:$A$2004,0))&amp;"")</f>
        <v>55672689704836</v>
      </c>
    </row>
    <row r="27" customFormat="false" ht="15" hidden="false" customHeight="false" outlineLevel="0" collapsed="false">
      <c r="A27" s="24" t="str">
        <f aca="false">IFERROR(INDEX(Workers!$A$5:$A$2004,MATCH(ROW()-4,Workers!$U$5:$U$2004,0)),"")</f>
        <v>W0023</v>
      </c>
      <c r="B27" s="24" t="str">
        <f aca="false">IF($A27="","",INDEX(Workers!$B$5:$B$2004,MATCH($A27,Workers!$A$5:$A$2004,0)))</f>
        <v>Bikash Ali</v>
      </c>
      <c r="C27" s="24" t="str">
        <f aca="false">IF($A27="","",INDEX(Workers!$E$5:$E$2004,MATCH($A27,Workers!$A$5:$A$2004,0)))</f>
        <v>Electrician</v>
      </c>
      <c r="D27" s="24" t="str">
        <f aca="false">IF($A27="","",INDEX(Workers!$K$5:$K$2004,MATCH($A27,Workers!$A$5:$A$2004,0)))</f>
        <v>Monthly</v>
      </c>
      <c r="E27" s="25" t="n">
        <f aca="false">IF($A27="","",SUMIFS(Timesheet!$E$5:$E$3004,Timesheet!$D$5:$D$3004,$A27,Timesheet!$A$5:$A$3004,"&gt;="&amp;Settings!$B$8,Timesheet!$A$5:$A$3004,"&lt;="&amp;Settings!$B$9))</f>
        <v>22</v>
      </c>
      <c r="F27" s="25" t="n">
        <f aca="false">IF($A27="","",SUMIFS(Timesheet!$F$5:$F$3004,Timesheet!$D$5:$D$3004,$A27,Timesheet!$A$5:$A$3004,"&gt;="&amp;Settings!$B$8,Timesheet!$A$5:$A$3004,"&lt;="&amp;Settings!$B$9))</f>
        <v>176</v>
      </c>
      <c r="G27" s="25" t="n">
        <f aca="false">IF($A27="","",SUMIFS(Timesheet!$G$5:$G$3004,Timesheet!$D$5:$D$3004,$A27,Timesheet!$A$5:$A$3004,"&gt;="&amp;Settings!$B$8,Timesheet!$A$5:$A$3004,"&lt;="&amp;Settings!$B$9))</f>
        <v>18</v>
      </c>
      <c r="H27" s="25" t="n">
        <f aca="false">IF($A27="","",IF(D27="Monthly",MAX(0,Settings!$B$11-E27),0))</f>
        <v>4</v>
      </c>
      <c r="I27" s="26" t="n">
        <f aca="false">IF($A27="","",N(INDEX(Workers!$L$5:$L$2004,MATCH($A27,Workers!$A$5:$A$2004,0))))</f>
        <v>1400</v>
      </c>
      <c r="J27" s="26" t="n">
        <f aca="false">IF($A27="","",N(INDEX(Workers!$M$5:$M$2004,MATCH($A27,Workers!$A$5:$A$2004,0))))</f>
        <v>500</v>
      </c>
      <c r="K27" s="26" t="n">
        <f aca="false">IF($A27="","",IF(D27="Monthly",ROUND(MAX(0,(I27+J27)-(I27+J27)/Settings!$B$10*H27),2),0))</f>
        <v>1646.67</v>
      </c>
      <c r="L27" s="26" t="n">
        <f aca="false">IF($A27="","",IF(D27="Hourly",ROUND(F27*N(INDEX(Workers!$N$5:$N$2004,MATCH($A27,Workers!$A$5:$A$2004,0))),2),0))</f>
        <v>0</v>
      </c>
      <c r="M27" s="26" t="n">
        <f aca="false">IF($A27="","",ROUND(G27*IF(D27="Hourly",N(INDEX(Workers!$N$5:$N$2004,MATCH($A27,Workers!$A$5:$A$2004,0))),I27/Settings!$B$10/Settings!$B$12)*Settings!$B$13,2))</f>
        <v>131.25</v>
      </c>
      <c r="N27" s="26" t="n">
        <f aca="false">IF($A27="","",K27+L27+M27)</f>
        <v>1777.92</v>
      </c>
      <c r="O27" s="26" t="n">
        <f aca="false">IF($A27="","",SUMIFS(Deductions!$D$5:$D$2000,Deductions!$B$5:$B$2000,$A27,Deductions!$C$5:$C$2000,"Advance",Deductions!$E$5:$E$2000,"&gt;="&amp;Settings!$B$8,Deductions!$E$5:$E$2000,"&lt;="&amp;Settings!$B$9))</f>
        <v>0</v>
      </c>
      <c r="P27" s="26" t="n">
        <f aca="false">IF($A27="","",SUMIFS(Deductions!$D$5:$D$2000,Deductions!$B$5:$B$2000,$A27,Deductions!$E$5:$E$2000,"&gt;="&amp;Settings!$B$8,Deductions!$E$5:$E$2000,"&lt;="&amp;Settings!$B$9)-O27)</f>
        <v>0</v>
      </c>
      <c r="Q27" s="26" t="n">
        <f aca="false">IF($A27="","",O27+P27)</f>
        <v>0</v>
      </c>
      <c r="R27" s="23" t="n">
        <f aca="false">IF($A27="","",N27-Q27)</f>
        <v>1777.92</v>
      </c>
      <c r="S27" s="24" t="str">
        <f aca="false">IF($A27="","",INDEX(Workers!$O$5:$O$2004,MATCH($A27,Workers!$A$5:$A$2004,0))&amp;"")</f>
        <v>600310101</v>
      </c>
      <c r="T27" s="24" t="str">
        <f aca="false">IF($A27="","",INDEX(Workers!$P$5:$P$2004,MATCH($A27,Workers!$A$5:$A$2004,0))&amp;"")</f>
        <v>AE34 7116 8008 1475 7554 996</v>
      </c>
      <c r="U27" s="24" t="str">
        <f aca="false">IF($A27="","",INDEX(Workers!$H$5:$H$2004,MATCH($A27,Workers!$A$5:$A$2004,0))&amp;"")</f>
        <v>81912511076662</v>
      </c>
    </row>
    <row r="28" customFormat="false" ht="15" hidden="false" customHeight="false" outlineLevel="0" collapsed="false">
      <c r="A28" s="24" t="str">
        <f aca="false">IFERROR(INDEX(Workers!$A$5:$A$2004,MATCH(ROW()-4,Workers!$U$5:$U$2004,0)),"")</f>
        <v>W0024</v>
      </c>
      <c r="B28" s="24" t="str">
        <f aca="false">IF($A28="","",INDEX(Workers!$B$5:$B$2004,MATCH($A28,Workers!$A$5:$A$2004,0)))</f>
        <v>Tariq Gurung</v>
      </c>
      <c r="C28" s="24" t="str">
        <f aca="false">IF($A28="","",INDEX(Workers!$E$5:$E$2004,MATCH($A28,Workers!$A$5:$A$2004,0)))</f>
        <v>Electrician</v>
      </c>
      <c r="D28" s="24" t="str">
        <f aca="false">IF($A28="","",INDEX(Workers!$K$5:$K$2004,MATCH($A28,Workers!$A$5:$A$2004,0)))</f>
        <v>Hourly</v>
      </c>
      <c r="E28" s="25" t="n">
        <f aca="false">IF($A28="","",SUMIFS(Timesheet!$E$5:$E$3004,Timesheet!$D$5:$D$3004,$A28,Timesheet!$A$5:$A$3004,"&gt;="&amp;Settings!$B$8,Timesheet!$A$5:$A$3004,"&lt;="&amp;Settings!$B$9))</f>
        <v>22</v>
      </c>
      <c r="F28" s="25" t="n">
        <f aca="false">IF($A28="","",SUMIFS(Timesheet!$F$5:$F$3004,Timesheet!$D$5:$D$3004,$A28,Timesheet!$A$5:$A$3004,"&gt;="&amp;Settings!$B$8,Timesheet!$A$5:$A$3004,"&lt;="&amp;Settings!$B$9))</f>
        <v>176</v>
      </c>
      <c r="G28" s="25" t="n">
        <f aca="false">IF($A28="","",SUMIFS(Timesheet!$G$5:$G$3004,Timesheet!$D$5:$D$3004,$A28,Timesheet!$A$5:$A$3004,"&gt;="&amp;Settings!$B$8,Timesheet!$A$5:$A$3004,"&lt;="&amp;Settings!$B$9))</f>
        <v>26</v>
      </c>
      <c r="H28" s="25" t="n">
        <f aca="false">IF($A28="","",IF(D28="Monthly",MAX(0,Settings!$B$11-E28),0))</f>
        <v>0</v>
      </c>
      <c r="I28" s="26" t="n">
        <f aca="false">IF($A28="","",N(INDEX(Workers!$L$5:$L$2004,MATCH($A28,Workers!$A$5:$A$2004,0))))</f>
        <v>0</v>
      </c>
      <c r="J28" s="26" t="n">
        <f aca="false">IF($A28="","",N(INDEX(Workers!$M$5:$M$2004,MATCH($A28,Workers!$A$5:$A$2004,0))))</f>
        <v>0</v>
      </c>
      <c r="K28" s="26" t="n">
        <f aca="false">IF($A28="","",IF(D28="Monthly",ROUND(MAX(0,(I28+J28)-(I28+J28)/Settings!$B$10*H28),2),0))</f>
        <v>0</v>
      </c>
      <c r="L28" s="26" t="n">
        <f aca="false">IF($A28="","",IF(D28="Hourly",ROUND(F28*N(INDEX(Workers!$N$5:$N$2004,MATCH($A28,Workers!$A$5:$A$2004,0))),2),0))</f>
        <v>1936</v>
      </c>
      <c r="M28" s="26" t="n">
        <f aca="false">IF($A28="","",ROUND(G28*IF(D28="Hourly",N(INDEX(Workers!$N$5:$N$2004,MATCH($A28,Workers!$A$5:$A$2004,0))),I28/Settings!$B$10/Settings!$B$12)*Settings!$B$13,2))</f>
        <v>357.5</v>
      </c>
      <c r="N28" s="26" t="n">
        <f aca="false">IF($A28="","",K28+L28+M28)</f>
        <v>2293.5</v>
      </c>
      <c r="O28" s="26" t="n">
        <f aca="false">IF($A28="","",SUMIFS(Deductions!$D$5:$D$2000,Deductions!$B$5:$B$2000,$A28,Deductions!$C$5:$C$2000,"Advance",Deductions!$E$5:$E$2000,"&gt;="&amp;Settings!$B$8,Deductions!$E$5:$E$2000,"&lt;="&amp;Settings!$B$9))</f>
        <v>0</v>
      </c>
      <c r="P28" s="26" t="n">
        <f aca="false">IF($A28="","",SUMIFS(Deductions!$D$5:$D$2000,Deductions!$B$5:$B$2000,$A28,Deductions!$E$5:$E$2000,"&gt;="&amp;Settings!$B$8,Deductions!$E$5:$E$2000,"&lt;="&amp;Settings!$B$9)-O28)</f>
        <v>0</v>
      </c>
      <c r="Q28" s="26" t="n">
        <f aca="false">IF($A28="","",O28+P28)</f>
        <v>0</v>
      </c>
      <c r="R28" s="23" t="n">
        <f aca="false">IF($A28="","",N28-Q28)</f>
        <v>2293.5</v>
      </c>
      <c r="S28" s="24" t="str">
        <f aca="false">IF($A28="","",INDEX(Workers!$O$5:$O$2004,MATCH($A28,Workers!$A$5:$A$2004,0))&amp;"")</f>
        <v>600310101</v>
      </c>
      <c r="T28" s="24" t="str">
        <f aca="false">IF($A28="","",INDEX(Workers!$P$5:$P$2004,MATCH($A28,Workers!$A$5:$A$2004,0))&amp;"")</f>
        <v>AE93 5262 7655 4910 5928 594</v>
      </c>
      <c r="U28" s="24" t="str">
        <f aca="false">IF($A28="","",INDEX(Workers!$H$5:$H$2004,MATCH($A28,Workers!$A$5:$A$2004,0))&amp;"")</f>
        <v>51907205997105</v>
      </c>
    </row>
    <row r="29" customFormat="false" ht="15" hidden="false" customHeight="false" outlineLevel="0" collapsed="false">
      <c r="A29" s="24" t="str">
        <f aca="false">IFERROR(INDEX(Workers!$A$5:$A$2004,MATCH(ROW()-4,Workers!$U$5:$U$2004,0)),"")</f>
        <v>W0025</v>
      </c>
      <c r="B29" s="24" t="str">
        <f aca="false">IF($A29="","",INDEX(Workers!$B$5:$B$2004,MATCH($A29,Workers!$A$5:$A$2004,0)))</f>
        <v>Tariq Santos</v>
      </c>
      <c r="C29" s="24" t="str">
        <f aca="false">IF($A29="","",INDEX(Workers!$E$5:$E$2004,MATCH($A29,Workers!$A$5:$A$2004,0)))</f>
        <v>Plumber</v>
      </c>
      <c r="D29" s="24" t="str">
        <f aca="false">IF($A29="","",INDEX(Workers!$K$5:$K$2004,MATCH($A29,Workers!$A$5:$A$2004,0)))</f>
        <v>Monthly</v>
      </c>
      <c r="E29" s="25" t="n">
        <f aca="false">IF($A29="","",SUMIFS(Timesheet!$E$5:$E$3004,Timesheet!$D$5:$D$3004,$A29,Timesheet!$A$5:$A$3004,"&gt;="&amp;Settings!$B$8,Timesheet!$A$5:$A$3004,"&lt;="&amp;Settings!$B$9))</f>
        <v>24</v>
      </c>
      <c r="F29" s="25" t="n">
        <f aca="false">IF($A29="","",SUMIFS(Timesheet!$F$5:$F$3004,Timesheet!$D$5:$D$3004,$A29,Timesheet!$A$5:$A$3004,"&gt;="&amp;Settings!$B$8,Timesheet!$A$5:$A$3004,"&lt;="&amp;Settings!$B$9))</f>
        <v>192</v>
      </c>
      <c r="G29" s="25" t="n">
        <f aca="false">IF($A29="","",SUMIFS(Timesheet!$G$5:$G$3004,Timesheet!$D$5:$D$3004,$A29,Timesheet!$A$5:$A$3004,"&gt;="&amp;Settings!$B$8,Timesheet!$A$5:$A$3004,"&lt;="&amp;Settings!$B$9))</f>
        <v>30</v>
      </c>
      <c r="H29" s="25" t="n">
        <f aca="false">IF($A29="","",IF(D29="Monthly",MAX(0,Settings!$B$11-E29),0))</f>
        <v>2</v>
      </c>
      <c r="I29" s="26" t="n">
        <f aca="false">IF($A29="","",N(INDEX(Workers!$L$5:$L$2004,MATCH($A29,Workers!$A$5:$A$2004,0))))</f>
        <v>2000</v>
      </c>
      <c r="J29" s="26" t="n">
        <f aca="false">IF($A29="","",N(INDEX(Workers!$M$5:$M$2004,MATCH($A29,Workers!$A$5:$A$2004,0))))</f>
        <v>400</v>
      </c>
      <c r="K29" s="26" t="n">
        <f aca="false">IF($A29="","",IF(D29="Monthly",ROUND(MAX(0,(I29+J29)-(I29+J29)/Settings!$B$10*H29),2),0))</f>
        <v>2240</v>
      </c>
      <c r="L29" s="26" t="n">
        <f aca="false">IF($A29="","",IF(D29="Hourly",ROUND(F29*N(INDEX(Workers!$N$5:$N$2004,MATCH($A29,Workers!$A$5:$A$2004,0))),2),0))</f>
        <v>0</v>
      </c>
      <c r="M29" s="26" t="n">
        <f aca="false">IF($A29="","",ROUND(G29*IF(D29="Hourly",N(INDEX(Workers!$N$5:$N$2004,MATCH($A29,Workers!$A$5:$A$2004,0))),I29/Settings!$B$10/Settings!$B$12)*Settings!$B$13,2))</f>
        <v>312.5</v>
      </c>
      <c r="N29" s="26" t="n">
        <f aca="false">IF($A29="","",K29+L29+M29)</f>
        <v>2552.5</v>
      </c>
      <c r="O29" s="26" t="n">
        <f aca="false">IF($A29="","",SUMIFS(Deductions!$D$5:$D$2000,Deductions!$B$5:$B$2000,$A29,Deductions!$C$5:$C$2000,"Advance",Deductions!$E$5:$E$2000,"&gt;="&amp;Settings!$B$8,Deductions!$E$5:$E$2000,"&lt;="&amp;Settings!$B$9))</f>
        <v>0</v>
      </c>
      <c r="P29" s="26" t="n">
        <f aca="false">IF($A29="","",SUMIFS(Deductions!$D$5:$D$2000,Deductions!$B$5:$B$2000,$A29,Deductions!$E$5:$E$2000,"&gt;="&amp;Settings!$B$8,Deductions!$E$5:$E$2000,"&lt;="&amp;Settings!$B$9)-O29)</f>
        <v>0</v>
      </c>
      <c r="Q29" s="26" t="n">
        <f aca="false">IF($A29="","",O29+P29)</f>
        <v>0</v>
      </c>
      <c r="R29" s="23" t="n">
        <f aca="false">IF($A29="","",N29-Q29)</f>
        <v>2552.5</v>
      </c>
      <c r="S29" s="24" t="str">
        <f aca="false">IF($A29="","",INDEX(Workers!$O$5:$O$2004,MATCH($A29,Workers!$A$5:$A$2004,0))&amp;"")</f>
        <v>803320101</v>
      </c>
      <c r="T29" s="24" t="str">
        <f aca="false">IF($A29="","",INDEX(Workers!$P$5:$P$2004,MATCH($A29,Workers!$A$5:$A$2004,0))&amp;"")</f>
        <v>AE21 3862 6602 2492 6231 344</v>
      </c>
      <c r="U29" s="24" t="str">
        <f aca="false">IF($A29="","",INDEX(Workers!$H$5:$H$2004,MATCH($A29,Workers!$A$5:$A$2004,0))&amp;"")</f>
        <v>37077826553945</v>
      </c>
    </row>
    <row r="30" customFormat="false" ht="15" hidden="false" customHeight="false" outlineLevel="0" collapsed="false">
      <c r="A30" s="24" t="str">
        <f aca="false">IFERROR(INDEX(Workers!$A$5:$A$2004,MATCH(ROW()-4,Workers!$U$5:$U$2004,0)),"")</f>
        <v>W0026</v>
      </c>
      <c r="B30" s="24" t="str">
        <f aca="false">IF($A30="","",INDEX(Workers!$B$5:$B$2004,MATCH($A30,Workers!$A$5:$A$2004,0)))</f>
        <v>Bikash Thapa</v>
      </c>
      <c r="C30" s="24" t="str">
        <f aca="false">IF($A30="","",INDEX(Workers!$E$5:$E$2004,MATCH($A30,Workers!$A$5:$A$2004,0)))</f>
        <v>Steel Fixer</v>
      </c>
      <c r="D30" s="24" t="str">
        <f aca="false">IF($A30="","",INDEX(Workers!$K$5:$K$2004,MATCH($A30,Workers!$A$5:$A$2004,0)))</f>
        <v>Monthly</v>
      </c>
      <c r="E30" s="25" t="n">
        <f aca="false">IF($A30="","",SUMIFS(Timesheet!$E$5:$E$3004,Timesheet!$D$5:$D$3004,$A30,Timesheet!$A$5:$A$3004,"&gt;="&amp;Settings!$B$8,Timesheet!$A$5:$A$3004,"&lt;="&amp;Settings!$B$9))</f>
        <v>23</v>
      </c>
      <c r="F30" s="25" t="n">
        <f aca="false">IF($A30="","",SUMIFS(Timesheet!$F$5:$F$3004,Timesheet!$D$5:$D$3004,$A30,Timesheet!$A$5:$A$3004,"&gt;="&amp;Settings!$B$8,Timesheet!$A$5:$A$3004,"&lt;="&amp;Settings!$B$9))</f>
        <v>184</v>
      </c>
      <c r="G30" s="25" t="n">
        <f aca="false">IF($A30="","",SUMIFS(Timesheet!$G$5:$G$3004,Timesheet!$D$5:$D$3004,$A30,Timesheet!$A$5:$A$3004,"&gt;="&amp;Settings!$B$8,Timesheet!$A$5:$A$3004,"&lt;="&amp;Settings!$B$9))</f>
        <v>30</v>
      </c>
      <c r="H30" s="25" t="n">
        <f aca="false">IF($A30="","",IF(D30="Monthly",MAX(0,Settings!$B$11-E30),0))</f>
        <v>3</v>
      </c>
      <c r="I30" s="26" t="n">
        <f aca="false">IF($A30="","",N(INDEX(Workers!$L$5:$L$2004,MATCH($A30,Workers!$A$5:$A$2004,0))))</f>
        <v>2500</v>
      </c>
      <c r="J30" s="26" t="n">
        <f aca="false">IF($A30="","",N(INDEX(Workers!$M$5:$M$2004,MATCH($A30,Workers!$A$5:$A$2004,0))))</f>
        <v>400</v>
      </c>
      <c r="K30" s="26" t="n">
        <f aca="false">IF($A30="","",IF(D30="Monthly",ROUND(MAX(0,(I30+J30)-(I30+J30)/Settings!$B$10*H30),2),0))</f>
        <v>2610</v>
      </c>
      <c r="L30" s="26" t="n">
        <f aca="false">IF($A30="","",IF(D30="Hourly",ROUND(F30*N(INDEX(Workers!$N$5:$N$2004,MATCH($A30,Workers!$A$5:$A$2004,0))),2),0))</f>
        <v>0</v>
      </c>
      <c r="M30" s="26" t="n">
        <f aca="false">IF($A30="","",ROUND(G30*IF(D30="Hourly",N(INDEX(Workers!$N$5:$N$2004,MATCH($A30,Workers!$A$5:$A$2004,0))),I30/Settings!$B$10/Settings!$B$12)*Settings!$B$13,2))</f>
        <v>390.63</v>
      </c>
      <c r="N30" s="26" t="n">
        <f aca="false">IF($A30="","",K30+L30+M30)</f>
        <v>3000.63</v>
      </c>
      <c r="O30" s="26" t="n">
        <f aca="false">IF($A30="","",SUMIFS(Deductions!$D$5:$D$2000,Deductions!$B$5:$B$2000,$A30,Deductions!$C$5:$C$2000,"Advance",Deductions!$E$5:$E$2000,"&gt;="&amp;Settings!$B$8,Deductions!$E$5:$E$2000,"&lt;="&amp;Settings!$B$9))</f>
        <v>0</v>
      </c>
      <c r="P30" s="26" t="n">
        <f aca="false">IF($A30="","",SUMIFS(Deductions!$D$5:$D$2000,Deductions!$B$5:$B$2000,$A30,Deductions!$E$5:$E$2000,"&gt;="&amp;Settings!$B$8,Deductions!$E$5:$E$2000,"&lt;="&amp;Settings!$B$9)-O30)</f>
        <v>0</v>
      </c>
      <c r="Q30" s="26" t="n">
        <f aca="false">IF($A30="","",O30+P30)</f>
        <v>0</v>
      </c>
      <c r="R30" s="23" t="n">
        <f aca="false">IF($A30="","",N30-Q30)</f>
        <v>3000.63</v>
      </c>
      <c r="S30" s="24" t="str">
        <f aca="false">IF($A30="","",INDEX(Workers!$O$5:$O$2004,MATCH($A30,Workers!$A$5:$A$2004,0))&amp;"")</f>
        <v>402320106</v>
      </c>
      <c r="T30" s="24" t="str">
        <f aca="false">IF($A30="","",INDEX(Workers!$P$5:$P$2004,MATCH($A30,Workers!$A$5:$A$2004,0))&amp;"")</f>
        <v>AE37 2517 5440 5070 7300 509</v>
      </c>
      <c r="U30" s="24" t="str">
        <f aca="false">IF($A30="","",INDEX(Workers!$H$5:$H$2004,MATCH($A30,Workers!$A$5:$A$2004,0))&amp;"")</f>
        <v>84481189948222</v>
      </c>
    </row>
    <row r="31" customFormat="false" ht="15" hidden="false" customHeight="false" outlineLevel="0" collapsed="false">
      <c r="A31" s="24" t="str">
        <f aca="false">IFERROR(INDEX(Workers!$A$5:$A$2004,MATCH(ROW()-4,Workers!$U$5:$U$2004,0)),"")</f>
        <v>W0027</v>
      </c>
      <c r="B31" s="24" t="str">
        <f aca="false">IF($A31="","",INDEX(Workers!$B$5:$B$2004,MATCH($A31,Workers!$A$5:$A$2004,0)))</f>
        <v>Ronel Ahmed</v>
      </c>
      <c r="C31" s="24" t="str">
        <f aca="false">IF($A31="","",INDEX(Workers!$E$5:$E$2004,MATCH($A31,Workers!$A$5:$A$2004,0)))</f>
        <v>Plumber</v>
      </c>
      <c r="D31" s="24" t="str">
        <f aca="false">IF($A31="","",INDEX(Workers!$K$5:$K$2004,MATCH($A31,Workers!$A$5:$A$2004,0)))</f>
        <v>Monthly</v>
      </c>
      <c r="E31" s="25" t="n">
        <f aca="false">IF($A31="","",SUMIFS(Timesheet!$E$5:$E$3004,Timesheet!$D$5:$D$3004,$A31,Timesheet!$A$5:$A$3004,"&gt;="&amp;Settings!$B$8,Timesheet!$A$5:$A$3004,"&lt;="&amp;Settings!$B$9))</f>
        <v>23</v>
      </c>
      <c r="F31" s="25" t="n">
        <f aca="false">IF($A31="","",SUMIFS(Timesheet!$F$5:$F$3004,Timesheet!$D$5:$D$3004,$A31,Timesheet!$A$5:$A$3004,"&gt;="&amp;Settings!$B$8,Timesheet!$A$5:$A$3004,"&lt;="&amp;Settings!$B$9))</f>
        <v>184</v>
      </c>
      <c r="G31" s="25" t="n">
        <f aca="false">IF($A31="","",SUMIFS(Timesheet!$G$5:$G$3004,Timesheet!$D$5:$D$3004,$A31,Timesheet!$A$5:$A$3004,"&gt;="&amp;Settings!$B$8,Timesheet!$A$5:$A$3004,"&lt;="&amp;Settings!$B$9))</f>
        <v>20</v>
      </c>
      <c r="H31" s="25" t="n">
        <f aca="false">IF($A31="","",IF(D31="Monthly",MAX(0,Settings!$B$11-E31),0))</f>
        <v>3</v>
      </c>
      <c r="I31" s="26" t="n">
        <f aca="false">IF($A31="","",N(INDEX(Workers!$L$5:$L$2004,MATCH($A31,Workers!$A$5:$A$2004,0))))</f>
        <v>2000</v>
      </c>
      <c r="J31" s="26" t="n">
        <f aca="false">IF($A31="","",N(INDEX(Workers!$M$5:$M$2004,MATCH($A31,Workers!$A$5:$A$2004,0))))</f>
        <v>300</v>
      </c>
      <c r="K31" s="26" t="n">
        <f aca="false">IF($A31="","",IF(D31="Monthly",ROUND(MAX(0,(I31+J31)-(I31+J31)/Settings!$B$10*H31),2),0))</f>
        <v>2070</v>
      </c>
      <c r="L31" s="26" t="n">
        <f aca="false">IF($A31="","",IF(D31="Hourly",ROUND(F31*N(INDEX(Workers!$N$5:$N$2004,MATCH($A31,Workers!$A$5:$A$2004,0))),2),0))</f>
        <v>0</v>
      </c>
      <c r="M31" s="26" t="n">
        <f aca="false">IF($A31="","",ROUND(G31*IF(D31="Hourly",N(INDEX(Workers!$N$5:$N$2004,MATCH($A31,Workers!$A$5:$A$2004,0))),I31/Settings!$B$10/Settings!$B$12)*Settings!$B$13,2))</f>
        <v>208.33</v>
      </c>
      <c r="N31" s="26" t="n">
        <f aca="false">IF($A31="","",K31+L31+M31)</f>
        <v>2278.33</v>
      </c>
      <c r="O31" s="26" t="n">
        <f aca="false">IF($A31="","",SUMIFS(Deductions!$D$5:$D$2000,Deductions!$B$5:$B$2000,$A31,Deductions!$C$5:$C$2000,"Advance",Deductions!$E$5:$E$2000,"&gt;="&amp;Settings!$B$8,Deductions!$E$5:$E$2000,"&lt;="&amp;Settings!$B$9))</f>
        <v>0</v>
      </c>
      <c r="P31" s="26" t="n">
        <f aca="false">IF($A31="","",SUMIFS(Deductions!$D$5:$D$2000,Deductions!$B$5:$B$2000,$A31,Deductions!$E$5:$E$2000,"&gt;="&amp;Settings!$B$8,Deductions!$E$5:$E$2000,"&lt;="&amp;Settings!$B$9)-O31)</f>
        <v>75</v>
      </c>
      <c r="Q31" s="26" t="n">
        <f aca="false">IF($A31="","",O31+P31)</f>
        <v>75</v>
      </c>
      <c r="R31" s="23" t="n">
        <f aca="false">IF($A31="","",N31-Q31)</f>
        <v>2203.33</v>
      </c>
      <c r="S31" s="24" t="str">
        <f aca="false">IF($A31="","",INDEX(Workers!$O$5:$O$2004,MATCH($A31,Workers!$A$5:$A$2004,0))&amp;"")</f>
        <v>803320101</v>
      </c>
      <c r="T31" s="24" t="str">
        <f aca="false">IF($A31="","",INDEX(Workers!$P$5:$P$2004,MATCH($A31,Workers!$A$5:$A$2004,0))&amp;"")</f>
        <v>AE29 9558 2784 8492 2392 664</v>
      </c>
      <c r="U31" s="24" t="str">
        <f aca="false">IF($A31="","",INDEX(Workers!$H$5:$H$2004,MATCH($A31,Workers!$A$5:$A$2004,0))&amp;"")</f>
        <v>41495463530590</v>
      </c>
    </row>
    <row r="32" customFormat="false" ht="15" hidden="false" customHeight="false" outlineLevel="0" collapsed="false">
      <c r="A32" s="24" t="str">
        <f aca="false">IFERROR(INDEX(Workers!$A$5:$A$2004,MATCH(ROW()-4,Workers!$U$5:$U$2004,0)),"")</f>
        <v>W0028</v>
      </c>
      <c r="B32" s="24" t="str">
        <f aca="false">IF($A32="","",INDEX(Workers!$B$5:$B$2004,MATCH($A32,Workers!$A$5:$A$2004,0)))</f>
        <v>Anwar Kumar</v>
      </c>
      <c r="C32" s="24" t="str">
        <f aca="false">IF($A32="","",INDEX(Workers!$E$5:$E$2004,MATCH($A32,Workers!$A$5:$A$2004,0)))</f>
        <v>Mason</v>
      </c>
      <c r="D32" s="24" t="str">
        <f aca="false">IF($A32="","",INDEX(Workers!$K$5:$K$2004,MATCH($A32,Workers!$A$5:$A$2004,0)))</f>
        <v>Monthly</v>
      </c>
      <c r="E32" s="25" t="n">
        <f aca="false">IF($A32="","",SUMIFS(Timesheet!$E$5:$E$3004,Timesheet!$D$5:$D$3004,$A32,Timesheet!$A$5:$A$3004,"&gt;="&amp;Settings!$B$8,Timesheet!$A$5:$A$3004,"&lt;="&amp;Settings!$B$9))</f>
        <v>26</v>
      </c>
      <c r="F32" s="25" t="n">
        <f aca="false">IF($A32="","",SUMIFS(Timesheet!$F$5:$F$3004,Timesheet!$D$5:$D$3004,$A32,Timesheet!$A$5:$A$3004,"&gt;="&amp;Settings!$B$8,Timesheet!$A$5:$A$3004,"&lt;="&amp;Settings!$B$9))</f>
        <v>208</v>
      </c>
      <c r="G32" s="25" t="n">
        <f aca="false">IF($A32="","",SUMIFS(Timesheet!$G$5:$G$3004,Timesheet!$D$5:$D$3004,$A32,Timesheet!$A$5:$A$3004,"&gt;="&amp;Settings!$B$8,Timesheet!$A$5:$A$3004,"&lt;="&amp;Settings!$B$9))</f>
        <v>0</v>
      </c>
      <c r="H32" s="25" t="n">
        <f aca="false">IF($A32="","",IF(D32="Monthly",MAX(0,Settings!$B$11-E32),0))</f>
        <v>0</v>
      </c>
      <c r="I32" s="26" t="n">
        <f aca="false">IF($A32="","",N(INDEX(Workers!$L$5:$L$2004,MATCH($A32,Workers!$A$5:$A$2004,0))))</f>
        <v>2000</v>
      </c>
      <c r="J32" s="26" t="n">
        <f aca="false">IF($A32="","",N(INDEX(Workers!$M$5:$M$2004,MATCH($A32,Workers!$A$5:$A$2004,0))))</f>
        <v>400</v>
      </c>
      <c r="K32" s="26" t="n">
        <f aca="false">IF($A32="","",IF(D32="Monthly",ROUND(MAX(0,(I32+J32)-(I32+J32)/Settings!$B$10*H32),2),0))</f>
        <v>2400</v>
      </c>
      <c r="L32" s="26" t="n">
        <f aca="false">IF($A32="","",IF(D32="Hourly",ROUND(F32*N(INDEX(Workers!$N$5:$N$2004,MATCH($A32,Workers!$A$5:$A$2004,0))),2),0))</f>
        <v>0</v>
      </c>
      <c r="M32" s="26" t="n">
        <f aca="false">IF($A32="","",ROUND(G32*IF(D32="Hourly",N(INDEX(Workers!$N$5:$N$2004,MATCH($A32,Workers!$A$5:$A$2004,0))),I32/Settings!$B$10/Settings!$B$12)*Settings!$B$13,2))</f>
        <v>0</v>
      </c>
      <c r="N32" s="26" t="n">
        <f aca="false">IF($A32="","",K32+L32+M32)</f>
        <v>2400</v>
      </c>
      <c r="O32" s="26" t="n">
        <f aca="false">IF($A32="","",SUMIFS(Deductions!$D$5:$D$2000,Deductions!$B$5:$B$2000,$A32,Deductions!$C$5:$C$2000,"Advance",Deductions!$E$5:$E$2000,"&gt;="&amp;Settings!$B$8,Deductions!$E$5:$E$2000,"&lt;="&amp;Settings!$B$9))</f>
        <v>0</v>
      </c>
      <c r="P32" s="26" t="n">
        <f aca="false">IF($A32="","",SUMIFS(Deductions!$D$5:$D$2000,Deductions!$B$5:$B$2000,$A32,Deductions!$E$5:$E$2000,"&gt;="&amp;Settings!$B$8,Deductions!$E$5:$E$2000,"&lt;="&amp;Settings!$B$9)-O32)</f>
        <v>0</v>
      </c>
      <c r="Q32" s="26" t="n">
        <f aca="false">IF($A32="","",O32+P32)</f>
        <v>0</v>
      </c>
      <c r="R32" s="23" t="n">
        <f aca="false">IF($A32="","",N32-Q32)</f>
        <v>2400</v>
      </c>
      <c r="S32" s="24" t="str">
        <f aca="false">IF($A32="","",INDEX(Workers!$O$5:$O$2004,MATCH($A32,Workers!$A$5:$A$2004,0))&amp;"")</f>
        <v>803320101</v>
      </c>
      <c r="T32" s="24" t="str">
        <f aca="false">IF($A32="","",INDEX(Workers!$P$5:$P$2004,MATCH($A32,Workers!$A$5:$A$2004,0))&amp;"")</f>
        <v>AE86 1018 1171 9806 5940 571</v>
      </c>
      <c r="U32" s="24" t="str">
        <f aca="false">IF($A32="","",INDEX(Workers!$H$5:$H$2004,MATCH($A32,Workers!$A$5:$A$2004,0))&amp;"")</f>
        <v>46715047245502</v>
      </c>
    </row>
    <row r="33" customFormat="false" ht="15" hidden="false" customHeight="false" outlineLevel="0" collapsed="false">
      <c r="A33" s="24" t="str">
        <f aca="false">IFERROR(INDEX(Workers!$A$5:$A$2004,MATCH(ROW()-4,Workers!$U$5:$U$2004,0)),"")</f>
        <v>W0029</v>
      </c>
      <c r="B33" s="24" t="str">
        <f aca="false">IF($A33="","",INDEX(Workers!$B$5:$B$2004,MATCH($A33,Workers!$A$5:$A$2004,0)))</f>
        <v>Joseph Hossain</v>
      </c>
      <c r="C33" s="24" t="str">
        <f aca="false">IF($A33="","",INDEX(Workers!$E$5:$E$2004,MATCH($A33,Workers!$A$5:$A$2004,0)))</f>
        <v>Carpenter</v>
      </c>
      <c r="D33" s="24" t="str">
        <f aca="false">IF($A33="","",INDEX(Workers!$K$5:$K$2004,MATCH($A33,Workers!$A$5:$A$2004,0)))</f>
        <v>Monthly</v>
      </c>
      <c r="E33" s="25" t="n">
        <f aca="false">IF($A33="","",SUMIFS(Timesheet!$E$5:$E$3004,Timesheet!$D$5:$D$3004,$A33,Timesheet!$A$5:$A$3004,"&gt;="&amp;Settings!$B$8,Timesheet!$A$5:$A$3004,"&lt;="&amp;Settings!$B$9))</f>
        <v>23</v>
      </c>
      <c r="F33" s="25" t="n">
        <f aca="false">IF($A33="","",SUMIFS(Timesheet!$F$5:$F$3004,Timesheet!$D$5:$D$3004,$A33,Timesheet!$A$5:$A$3004,"&gt;="&amp;Settings!$B$8,Timesheet!$A$5:$A$3004,"&lt;="&amp;Settings!$B$9))</f>
        <v>184</v>
      </c>
      <c r="G33" s="25" t="n">
        <f aca="false">IF($A33="","",SUMIFS(Timesheet!$G$5:$G$3004,Timesheet!$D$5:$D$3004,$A33,Timesheet!$A$5:$A$3004,"&gt;="&amp;Settings!$B$8,Timesheet!$A$5:$A$3004,"&lt;="&amp;Settings!$B$9))</f>
        <v>26</v>
      </c>
      <c r="H33" s="25" t="n">
        <f aca="false">IF($A33="","",IF(D33="Monthly",MAX(0,Settings!$B$11-E33),0))</f>
        <v>3</v>
      </c>
      <c r="I33" s="26" t="n">
        <f aca="false">IF($A33="","",N(INDEX(Workers!$L$5:$L$2004,MATCH($A33,Workers!$A$5:$A$2004,0))))</f>
        <v>1500</v>
      </c>
      <c r="J33" s="26" t="n">
        <f aca="false">IF($A33="","",N(INDEX(Workers!$M$5:$M$2004,MATCH($A33,Workers!$A$5:$A$2004,0))))</f>
        <v>300</v>
      </c>
      <c r="K33" s="26" t="n">
        <f aca="false">IF($A33="","",IF(D33="Monthly",ROUND(MAX(0,(I33+J33)-(I33+J33)/Settings!$B$10*H33),2),0))</f>
        <v>1620</v>
      </c>
      <c r="L33" s="26" t="n">
        <f aca="false">IF($A33="","",IF(D33="Hourly",ROUND(F33*N(INDEX(Workers!$N$5:$N$2004,MATCH($A33,Workers!$A$5:$A$2004,0))),2),0))</f>
        <v>0</v>
      </c>
      <c r="M33" s="26" t="n">
        <f aca="false">IF($A33="","",ROUND(G33*IF(D33="Hourly",N(INDEX(Workers!$N$5:$N$2004,MATCH($A33,Workers!$A$5:$A$2004,0))),I33/Settings!$B$10/Settings!$B$12)*Settings!$B$13,2))</f>
        <v>203.13</v>
      </c>
      <c r="N33" s="26" t="n">
        <f aca="false">IF($A33="","",K33+L33+M33)</f>
        <v>1823.13</v>
      </c>
      <c r="O33" s="26" t="n">
        <f aca="false">IF($A33="","",SUMIFS(Deductions!$D$5:$D$2000,Deductions!$B$5:$B$2000,$A33,Deductions!$C$5:$C$2000,"Advance",Deductions!$E$5:$E$2000,"&gt;="&amp;Settings!$B$8,Deductions!$E$5:$E$2000,"&lt;="&amp;Settings!$B$9))</f>
        <v>0</v>
      </c>
      <c r="P33" s="26" t="n">
        <f aca="false">IF($A33="","",SUMIFS(Deductions!$D$5:$D$2000,Deductions!$B$5:$B$2000,$A33,Deductions!$E$5:$E$2000,"&gt;="&amp;Settings!$B$8,Deductions!$E$5:$E$2000,"&lt;="&amp;Settings!$B$9)-O33)</f>
        <v>0</v>
      </c>
      <c r="Q33" s="26" t="n">
        <f aca="false">IF($A33="","",O33+P33)</f>
        <v>0</v>
      </c>
      <c r="R33" s="23" t="n">
        <f aca="false">IF($A33="","",N33-Q33)</f>
        <v>1823.13</v>
      </c>
      <c r="S33" s="24" t="str">
        <f aca="false">IF($A33="","",INDEX(Workers!$O$5:$O$2004,MATCH($A33,Workers!$A$5:$A$2004,0))&amp;"")</f>
        <v>402320106</v>
      </c>
      <c r="T33" s="24" t="str">
        <f aca="false">IF($A33="","",INDEX(Workers!$P$5:$P$2004,MATCH($A33,Workers!$A$5:$A$2004,0))&amp;"")</f>
        <v>AE64 7065 4715 9076 1558 812</v>
      </c>
      <c r="U33" s="24" t="str">
        <f aca="false">IF($A33="","",INDEX(Workers!$H$5:$H$2004,MATCH($A33,Workers!$A$5:$A$2004,0))&amp;"")</f>
        <v>42063035771278</v>
      </c>
    </row>
    <row r="34" customFormat="false" ht="15" hidden="false" customHeight="false" outlineLevel="0" collapsed="false">
      <c r="A34" s="24" t="str">
        <f aca="false">IFERROR(INDEX(Workers!$A$5:$A$2004,MATCH(ROW()-4,Workers!$U$5:$U$2004,0)),"")</f>
        <v>W0030</v>
      </c>
      <c r="B34" s="24" t="str">
        <f aca="false">IF($A34="","",INDEX(Workers!$B$5:$B$2004,MATCH($A34,Workers!$A$5:$A$2004,0)))</f>
        <v>Asif Reyes</v>
      </c>
      <c r="C34" s="24" t="str">
        <f aca="false">IF($A34="","",INDEX(Workers!$E$5:$E$2004,MATCH($A34,Workers!$A$5:$A$2004,0)))</f>
        <v>Cleaner</v>
      </c>
      <c r="D34" s="24" t="str">
        <f aca="false">IF($A34="","",INDEX(Workers!$K$5:$K$2004,MATCH($A34,Workers!$A$5:$A$2004,0)))</f>
        <v>Monthly</v>
      </c>
      <c r="E34" s="25" t="n">
        <f aca="false">IF($A34="","",SUMIFS(Timesheet!$E$5:$E$3004,Timesheet!$D$5:$D$3004,$A34,Timesheet!$A$5:$A$3004,"&gt;="&amp;Settings!$B$8,Timesheet!$A$5:$A$3004,"&lt;="&amp;Settings!$B$9))</f>
        <v>26</v>
      </c>
      <c r="F34" s="25" t="n">
        <f aca="false">IF($A34="","",SUMIFS(Timesheet!$F$5:$F$3004,Timesheet!$D$5:$D$3004,$A34,Timesheet!$A$5:$A$3004,"&gt;="&amp;Settings!$B$8,Timesheet!$A$5:$A$3004,"&lt;="&amp;Settings!$B$9))</f>
        <v>208</v>
      </c>
      <c r="G34" s="25" t="n">
        <f aca="false">IF($A34="","",SUMIFS(Timesheet!$G$5:$G$3004,Timesheet!$D$5:$D$3004,$A34,Timesheet!$A$5:$A$3004,"&gt;="&amp;Settings!$B$8,Timesheet!$A$5:$A$3004,"&lt;="&amp;Settings!$B$9))</f>
        <v>14</v>
      </c>
      <c r="H34" s="25" t="n">
        <f aca="false">IF($A34="","",IF(D34="Monthly",MAX(0,Settings!$B$11-E34),0))</f>
        <v>0</v>
      </c>
      <c r="I34" s="26" t="n">
        <f aca="false">IF($A34="","",N(INDEX(Workers!$L$5:$L$2004,MATCH($A34,Workers!$A$5:$A$2004,0))))</f>
        <v>1800</v>
      </c>
      <c r="J34" s="26" t="n">
        <f aca="false">IF($A34="","",N(INDEX(Workers!$M$5:$M$2004,MATCH($A34,Workers!$A$5:$A$2004,0))))</f>
        <v>300</v>
      </c>
      <c r="K34" s="26" t="n">
        <f aca="false">IF($A34="","",IF(D34="Monthly",ROUND(MAX(0,(I34+J34)-(I34+J34)/Settings!$B$10*H34),2),0))</f>
        <v>2100</v>
      </c>
      <c r="L34" s="26" t="n">
        <f aca="false">IF($A34="","",IF(D34="Hourly",ROUND(F34*N(INDEX(Workers!$N$5:$N$2004,MATCH($A34,Workers!$A$5:$A$2004,0))),2),0))</f>
        <v>0</v>
      </c>
      <c r="M34" s="26" t="n">
        <f aca="false">IF($A34="","",ROUND(G34*IF(D34="Hourly",N(INDEX(Workers!$N$5:$N$2004,MATCH($A34,Workers!$A$5:$A$2004,0))),I34/Settings!$B$10/Settings!$B$12)*Settings!$B$13,2))</f>
        <v>131.25</v>
      </c>
      <c r="N34" s="26" t="n">
        <f aca="false">IF($A34="","",K34+L34+M34)</f>
        <v>2231.25</v>
      </c>
      <c r="O34" s="26" t="n">
        <f aca="false">IF($A34="","",SUMIFS(Deductions!$D$5:$D$2000,Deductions!$B$5:$B$2000,$A34,Deductions!$C$5:$C$2000,"Advance",Deductions!$E$5:$E$2000,"&gt;="&amp;Settings!$B$8,Deductions!$E$5:$E$2000,"&lt;="&amp;Settings!$B$9))</f>
        <v>0</v>
      </c>
      <c r="P34" s="26" t="n">
        <f aca="false">IF($A34="","",SUMIFS(Deductions!$D$5:$D$2000,Deductions!$B$5:$B$2000,$A34,Deductions!$E$5:$E$2000,"&gt;="&amp;Settings!$B$8,Deductions!$E$5:$E$2000,"&lt;="&amp;Settings!$B$9)-O34)</f>
        <v>0</v>
      </c>
      <c r="Q34" s="26" t="n">
        <f aca="false">IF($A34="","",O34+P34)</f>
        <v>0</v>
      </c>
      <c r="R34" s="23" t="n">
        <f aca="false">IF($A34="","",N34-Q34)</f>
        <v>2231.25</v>
      </c>
      <c r="S34" s="24" t="str">
        <f aca="false">IF($A34="","",INDEX(Workers!$O$5:$O$2004,MATCH($A34,Workers!$A$5:$A$2004,0))&amp;"")</f>
        <v>600310101</v>
      </c>
      <c r="T34" s="24" t="str">
        <f aca="false">IF($A34="","",INDEX(Workers!$P$5:$P$2004,MATCH($A34,Workers!$A$5:$A$2004,0))&amp;"")</f>
        <v>AE23 9122 4068 4658 8947 527</v>
      </c>
      <c r="U34" s="24" t="str">
        <f aca="false">IF($A34="","",INDEX(Workers!$H$5:$H$2004,MATCH($A34,Workers!$A$5:$A$2004,0))&amp;"")</f>
        <v>47298447088097</v>
      </c>
    </row>
    <row r="35" customFormat="false" ht="15" hidden="false" customHeight="false" outlineLevel="0" collapsed="false">
      <c r="A35" s="24" t="str">
        <f aca="false">IFERROR(INDEX(Workers!$A$5:$A$2004,MATCH(ROW()-4,Workers!$U$5:$U$2004,0)),"")</f>
        <v>W0031</v>
      </c>
      <c r="B35" s="24" t="str">
        <f aca="false">IF($A35="","",INDEX(Workers!$B$5:$B$2004,MATCH($A35,Workers!$A$5:$A$2004,0)))</f>
        <v>Marlon Kumar</v>
      </c>
      <c r="C35" s="24" t="str">
        <f aca="false">IF($A35="","",INDEX(Workers!$E$5:$E$2004,MATCH($A35,Workers!$A$5:$A$2004,0)))</f>
        <v>Mason</v>
      </c>
      <c r="D35" s="24" t="str">
        <f aca="false">IF($A35="","",INDEX(Workers!$K$5:$K$2004,MATCH($A35,Workers!$A$5:$A$2004,0)))</f>
        <v>Monthly</v>
      </c>
      <c r="E35" s="25" t="n">
        <f aca="false">IF($A35="","",SUMIFS(Timesheet!$E$5:$E$3004,Timesheet!$D$5:$D$3004,$A35,Timesheet!$A$5:$A$3004,"&gt;="&amp;Settings!$B$8,Timesheet!$A$5:$A$3004,"&lt;="&amp;Settings!$B$9))</f>
        <v>25</v>
      </c>
      <c r="F35" s="25" t="n">
        <f aca="false">IF($A35="","",SUMIFS(Timesheet!$F$5:$F$3004,Timesheet!$D$5:$D$3004,$A35,Timesheet!$A$5:$A$3004,"&gt;="&amp;Settings!$B$8,Timesheet!$A$5:$A$3004,"&lt;="&amp;Settings!$B$9))</f>
        <v>200</v>
      </c>
      <c r="G35" s="25" t="n">
        <f aca="false">IF($A35="","",SUMIFS(Timesheet!$G$5:$G$3004,Timesheet!$D$5:$D$3004,$A35,Timesheet!$A$5:$A$3004,"&gt;="&amp;Settings!$B$8,Timesheet!$A$5:$A$3004,"&lt;="&amp;Settings!$B$9))</f>
        <v>26</v>
      </c>
      <c r="H35" s="25" t="n">
        <f aca="false">IF($A35="","",IF(D35="Monthly",MAX(0,Settings!$B$11-E35),0))</f>
        <v>1</v>
      </c>
      <c r="I35" s="26" t="n">
        <f aca="false">IF($A35="","",N(INDEX(Workers!$L$5:$L$2004,MATCH($A35,Workers!$A$5:$A$2004,0))))</f>
        <v>2000</v>
      </c>
      <c r="J35" s="26" t="n">
        <f aca="false">IF($A35="","",N(INDEX(Workers!$M$5:$M$2004,MATCH($A35,Workers!$A$5:$A$2004,0))))</f>
        <v>500</v>
      </c>
      <c r="K35" s="26" t="n">
        <f aca="false">IF($A35="","",IF(D35="Monthly",ROUND(MAX(0,(I35+J35)-(I35+J35)/Settings!$B$10*H35),2),0))</f>
        <v>2416.67</v>
      </c>
      <c r="L35" s="26" t="n">
        <f aca="false">IF($A35="","",IF(D35="Hourly",ROUND(F35*N(INDEX(Workers!$N$5:$N$2004,MATCH($A35,Workers!$A$5:$A$2004,0))),2),0))</f>
        <v>0</v>
      </c>
      <c r="M35" s="26" t="n">
        <f aca="false">IF($A35="","",ROUND(G35*IF(D35="Hourly",N(INDEX(Workers!$N$5:$N$2004,MATCH($A35,Workers!$A$5:$A$2004,0))),I35/Settings!$B$10/Settings!$B$12)*Settings!$B$13,2))</f>
        <v>270.83</v>
      </c>
      <c r="N35" s="26" t="n">
        <f aca="false">IF($A35="","",K35+L35+M35)</f>
        <v>2687.5</v>
      </c>
      <c r="O35" s="26" t="n">
        <f aca="false">IF($A35="","",SUMIFS(Deductions!$D$5:$D$2000,Deductions!$B$5:$B$2000,$A35,Deductions!$C$5:$C$2000,"Advance",Deductions!$E$5:$E$2000,"&gt;="&amp;Settings!$B$8,Deductions!$E$5:$E$2000,"&lt;="&amp;Settings!$B$9))</f>
        <v>0</v>
      </c>
      <c r="P35" s="26" t="n">
        <f aca="false">IF($A35="","",SUMIFS(Deductions!$D$5:$D$2000,Deductions!$B$5:$B$2000,$A35,Deductions!$E$5:$E$2000,"&gt;="&amp;Settings!$B$8,Deductions!$E$5:$E$2000,"&lt;="&amp;Settings!$B$9)-O35)</f>
        <v>0</v>
      </c>
      <c r="Q35" s="26" t="n">
        <f aca="false">IF($A35="","",O35+P35)</f>
        <v>0</v>
      </c>
      <c r="R35" s="23" t="n">
        <f aca="false">IF($A35="","",N35-Q35)</f>
        <v>2687.5</v>
      </c>
      <c r="S35" s="24" t="str">
        <f aca="false">IF($A35="","",INDEX(Workers!$O$5:$O$2004,MATCH($A35,Workers!$A$5:$A$2004,0))&amp;"")</f>
        <v>803320101</v>
      </c>
      <c r="T35" s="24" t="str">
        <f aca="false">IF($A35="","",INDEX(Workers!$P$5:$P$2004,MATCH($A35,Workers!$A$5:$A$2004,0))&amp;"")</f>
        <v>AE52 4124 4039 9598 8661 132</v>
      </c>
      <c r="U35" s="24" t="str">
        <f aca="false">IF($A35="","",INDEX(Workers!$H$5:$H$2004,MATCH($A35,Workers!$A$5:$A$2004,0))&amp;"")</f>
        <v>21171199327519</v>
      </c>
    </row>
    <row r="36" customFormat="false" ht="15" hidden="false" customHeight="false" outlineLevel="0" collapsed="false">
      <c r="A36" s="24" t="str">
        <f aca="false">IFERROR(INDEX(Workers!$A$5:$A$2004,MATCH(ROW()-4,Workers!$U$5:$U$2004,0)),"")</f>
        <v>W0032</v>
      </c>
      <c r="B36" s="24" t="str">
        <f aca="false">IF($A36="","",INDEX(Workers!$B$5:$B$2004,MATCH($A36,Workers!$A$5:$A$2004,0)))</f>
        <v>Sanjay Santos</v>
      </c>
      <c r="C36" s="24" t="str">
        <f aca="false">IF($A36="","",INDEX(Workers!$E$5:$E$2004,MATCH($A36,Workers!$A$5:$A$2004,0)))</f>
        <v>Steel Fixer</v>
      </c>
      <c r="D36" s="24" t="str">
        <f aca="false">IF($A36="","",INDEX(Workers!$K$5:$K$2004,MATCH($A36,Workers!$A$5:$A$2004,0)))</f>
        <v>Hourly</v>
      </c>
      <c r="E36" s="25" t="n">
        <f aca="false">IF($A36="","",SUMIFS(Timesheet!$E$5:$E$3004,Timesheet!$D$5:$D$3004,$A36,Timesheet!$A$5:$A$3004,"&gt;="&amp;Settings!$B$8,Timesheet!$A$5:$A$3004,"&lt;="&amp;Settings!$B$9))</f>
        <v>23</v>
      </c>
      <c r="F36" s="25" t="n">
        <f aca="false">IF($A36="","",SUMIFS(Timesheet!$F$5:$F$3004,Timesheet!$D$5:$D$3004,$A36,Timesheet!$A$5:$A$3004,"&gt;="&amp;Settings!$B$8,Timesheet!$A$5:$A$3004,"&lt;="&amp;Settings!$B$9))</f>
        <v>184</v>
      </c>
      <c r="G36" s="25" t="n">
        <f aca="false">IF($A36="","",SUMIFS(Timesheet!$G$5:$G$3004,Timesheet!$D$5:$D$3004,$A36,Timesheet!$A$5:$A$3004,"&gt;="&amp;Settings!$B$8,Timesheet!$A$5:$A$3004,"&lt;="&amp;Settings!$B$9))</f>
        <v>0</v>
      </c>
      <c r="H36" s="25" t="n">
        <f aca="false">IF($A36="","",IF(D36="Monthly",MAX(0,Settings!$B$11-E36),0))</f>
        <v>0</v>
      </c>
      <c r="I36" s="26" t="n">
        <f aca="false">IF($A36="","",N(INDEX(Workers!$L$5:$L$2004,MATCH($A36,Workers!$A$5:$A$2004,0))))</f>
        <v>0</v>
      </c>
      <c r="J36" s="26" t="n">
        <f aca="false">IF($A36="","",N(INDEX(Workers!$M$5:$M$2004,MATCH($A36,Workers!$A$5:$A$2004,0))))</f>
        <v>0</v>
      </c>
      <c r="K36" s="26" t="n">
        <f aca="false">IF($A36="","",IF(D36="Monthly",ROUND(MAX(0,(I36+J36)-(I36+J36)/Settings!$B$10*H36),2),0))</f>
        <v>0</v>
      </c>
      <c r="L36" s="26" t="n">
        <f aca="false">IF($A36="","",IF(D36="Hourly",ROUND(F36*N(INDEX(Workers!$N$5:$N$2004,MATCH($A36,Workers!$A$5:$A$2004,0))),2),0))</f>
        <v>2024</v>
      </c>
      <c r="M36" s="26" t="n">
        <f aca="false">IF($A36="","",ROUND(G36*IF(D36="Hourly",N(INDEX(Workers!$N$5:$N$2004,MATCH($A36,Workers!$A$5:$A$2004,0))),I36/Settings!$B$10/Settings!$B$12)*Settings!$B$13,2))</f>
        <v>0</v>
      </c>
      <c r="N36" s="26" t="n">
        <f aca="false">IF($A36="","",K36+L36+M36)</f>
        <v>2024</v>
      </c>
      <c r="O36" s="26" t="n">
        <f aca="false">IF($A36="","",SUMIFS(Deductions!$D$5:$D$2000,Deductions!$B$5:$B$2000,$A36,Deductions!$C$5:$C$2000,"Advance",Deductions!$E$5:$E$2000,"&gt;="&amp;Settings!$B$8,Deductions!$E$5:$E$2000,"&lt;="&amp;Settings!$B$9))</f>
        <v>0</v>
      </c>
      <c r="P36" s="26" t="n">
        <f aca="false">IF($A36="","",SUMIFS(Deductions!$D$5:$D$2000,Deductions!$B$5:$B$2000,$A36,Deductions!$E$5:$E$2000,"&gt;="&amp;Settings!$B$8,Deductions!$E$5:$E$2000,"&lt;="&amp;Settings!$B$9)-O36)</f>
        <v>0</v>
      </c>
      <c r="Q36" s="26" t="n">
        <f aca="false">IF($A36="","",O36+P36)</f>
        <v>0</v>
      </c>
      <c r="R36" s="23" t="n">
        <f aca="false">IF($A36="","",N36-Q36)</f>
        <v>2024</v>
      </c>
      <c r="S36" s="24" t="str">
        <f aca="false">IF($A36="","",INDEX(Workers!$O$5:$O$2004,MATCH($A36,Workers!$A$5:$A$2004,0))&amp;"")</f>
        <v>600310101</v>
      </c>
      <c r="T36" s="24" t="str">
        <f aca="false">IF($A36="","",INDEX(Workers!$P$5:$P$2004,MATCH($A36,Workers!$A$5:$A$2004,0))&amp;"")</f>
        <v>AE65 2437 1807 8757 4206 481</v>
      </c>
      <c r="U36" s="24" t="str">
        <f aca="false">IF($A36="","",INDEX(Workers!$H$5:$H$2004,MATCH($A36,Workers!$A$5:$A$2004,0))&amp;"")</f>
        <v>60192620465646</v>
      </c>
    </row>
    <row r="37" customFormat="false" ht="15" hidden="false" customHeight="false" outlineLevel="0" collapsed="false">
      <c r="A37" s="24" t="str">
        <f aca="false">IFERROR(INDEX(Workers!$A$5:$A$2004,MATCH(ROW()-4,Workers!$U$5:$U$2004,0)),"")</f>
        <v>W0033</v>
      </c>
      <c r="B37" s="24" t="str">
        <f aca="false">IF($A37="","",INDEX(Workers!$B$5:$B$2004,MATCH($A37,Workers!$A$5:$A$2004,0)))</f>
        <v>Tariq Varghese</v>
      </c>
      <c r="C37" s="24" t="str">
        <f aca="false">IF($A37="","",INDEX(Workers!$E$5:$E$2004,MATCH($A37,Workers!$A$5:$A$2004,0)))</f>
        <v>Steel Fixer</v>
      </c>
      <c r="D37" s="24" t="str">
        <f aca="false">IF($A37="","",INDEX(Workers!$K$5:$K$2004,MATCH($A37,Workers!$A$5:$A$2004,0)))</f>
        <v>Monthly</v>
      </c>
      <c r="E37" s="25" t="n">
        <f aca="false">IF($A37="","",SUMIFS(Timesheet!$E$5:$E$3004,Timesheet!$D$5:$D$3004,$A37,Timesheet!$A$5:$A$3004,"&gt;="&amp;Settings!$B$8,Timesheet!$A$5:$A$3004,"&lt;="&amp;Settings!$B$9))</f>
        <v>25</v>
      </c>
      <c r="F37" s="25" t="n">
        <f aca="false">IF($A37="","",SUMIFS(Timesheet!$F$5:$F$3004,Timesheet!$D$5:$D$3004,$A37,Timesheet!$A$5:$A$3004,"&gt;="&amp;Settings!$B$8,Timesheet!$A$5:$A$3004,"&lt;="&amp;Settings!$B$9))</f>
        <v>200</v>
      </c>
      <c r="G37" s="25" t="n">
        <f aca="false">IF($A37="","",SUMIFS(Timesheet!$G$5:$G$3004,Timesheet!$D$5:$D$3004,$A37,Timesheet!$A$5:$A$3004,"&gt;="&amp;Settings!$B$8,Timesheet!$A$5:$A$3004,"&lt;="&amp;Settings!$B$9))</f>
        <v>26</v>
      </c>
      <c r="H37" s="25" t="n">
        <f aca="false">IF($A37="","",IF(D37="Monthly",MAX(0,Settings!$B$11-E37),0))</f>
        <v>1</v>
      </c>
      <c r="I37" s="26" t="n">
        <f aca="false">IF($A37="","",N(INDEX(Workers!$L$5:$L$2004,MATCH($A37,Workers!$A$5:$A$2004,0))))</f>
        <v>2000</v>
      </c>
      <c r="J37" s="26" t="n">
        <f aca="false">IF($A37="","",N(INDEX(Workers!$M$5:$M$2004,MATCH($A37,Workers!$A$5:$A$2004,0))))</f>
        <v>400</v>
      </c>
      <c r="K37" s="26" t="n">
        <f aca="false">IF($A37="","",IF(D37="Monthly",ROUND(MAX(0,(I37+J37)-(I37+J37)/Settings!$B$10*H37),2),0))</f>
        <v>2320</v>
      </c>
      <c r="L37" s="26" t="n">
        <f aca="false">IF($A37="","",IF(D37="Hourly",ROUND(F37*N(INDEX(Workers!$N$5:$N$2004,MATCH($A37,Workers!$A$5:$A$2004,0))),2),0))</f>
        <v>0</v>
      </c>
      <c r="M37" s="26" t="n">
        <f aca="false">IF($A37="","",ROUND(G37*IF(D37="Hourly",N(INDEX(Workers!$N$5:$N$2004,MATCH($A37,Workers!$A$5:$A$2004,0))),I37/Settings!$B$10/Settings!$B$12)*Settings!$B$13,2))</f>
        <v>270.83</v>
      </c>
      <c r="N37" s="26" t="n">
        <f aca="false">IF($A37="","",K37+L37+M37)</f>
        <v>2590.83</v>
      </c>
      <c r="O37" s="26" t="n">
        <f aca="false">IF($A37="","",SUMIFS(Deductions!$D$5:$D$2000,Deductions!$B$5:$B$2000,$A37,Deductions!$C$5:$C$2000,"Advance",Deductions!$E$5:$E$2000,"&gt;="&amp;Settings!$B$8,Deductions!$E$5:$E$2000,"&lt;="&amp;Settings!$B$9))</f>
        <v>250</v>
      </c>
      <c r="P37" s="26" t="n">
        <f aca="false">IF($A37="","",SUMIFS(Deductions!$D$5:$D$2000,Deductions!$B$5:$B$2000,$A37,Deductions!$E$5:$E$2000,"&gt;="&amp;Settings!$B$8,Deductions!$E$5:$E$2000,"&lt;="&amp;Settings!$B$9)-O37)</f>
        <v>0</v>
      </c>
      <c r="Q37" s="26" t="n">
        <f aca="false">IF($A37="","",O37+P37)</f>
        <v>250</v>
      </c>
      <c r="R37" s="23" t="n">
        <f aca="false">IF($A37="","",N37-Q37)</f>
        <v>2340.83</v>
      </c>
      <c r="S37" s="24" t="str">
        <f aca="false">IF($A37="","",INDEX(Workers!$O$5:$O$2004,MATCH($A37,Workers!$A$5:$A$2004,0))&amp;"")</f>
        <v>402320106</v>
      </c>
      <c r="T37" s="24" t="str">
        <f aca="false">IF($A37="","",INDEX(Workers!$P$5:$P$2004,MATCH($A37,Workers!$A$5:$A$2004,0))&amp;"")</f>
        <v>AE18 6555 6946 5461 6488 731</v>
      </c>
      <c r="U37" s="24" t="str">
        <f aca="false">IF($A37="","",INDEX(Workers!$H$5:$H$2004,MATCH($A37,Workers!$A$5:$A$2004,0))&amp;"")</f>
        <v>37433059994682</v>
      </c>
    </row>
    <row r="38" customFormat="false" ht="15" hidden="false" customHeight="false" outlineLevel="0" collapsed="false">
      <c r="A38" s="24" t="str">
        <f aca="false">IFERROR(INDEX(Workers!$A$5:$A$2004,MATCH(ROW()-4,Workers!$U$5:$U$2004,0)),"")</f>
        <v>W0034</v>
      </c>
      <c r="B38" s="24" t="str">
        <f aca="false">IF($A38="","",INDEX(Workers!$B$5:$B$2004,MATCH($A38,Workers!$A$5:$A$2004,0)))</f>
        <v>Anwar Thapa</v>
      </c>
      <c r="C38" s="24" t="str">
        <f aca="false">IF($A38="","",INDEX(Workers!$E$5:$E$2004,MATCH($A38,Workers!$A$5:$A$2004,0)))</f>
        <v>Cleaner</v>
      </c>
      <c r="D38" s="24" t="str">
        <f aca="false">IF($A38="","",INDEX(Workers!$K$5:$K$2004,MATCH($A38,Workers!$A$5:$A$2004,0)))</f>
        <v>Monthly</v>
      </c>
      <c r="E38" s="25" t="n">
        <f aca="false">IF($A38="","",SUMIFS(Timesheet!$E$5:$E$3004,Timesheet!$D$5:$D$3004,$A38,Timesheet!$A$5:$A$3004,"&gt;="&amp;Settings!$B$8,Timesheet!$A$5:$A$3004,"&lt;="&amp;Settings!$B$9))</f>
        <v>25</v>
      </c>
      <c r="F38" s="25" t="n">
        <f aca="false">IF($A38="","",SUMIFS(Timesheet!$F$5:$F$3004,Timesheet!$D$5:$D$3004,$A38,Timesheet!$A$5:$A$3004,"&gt;="&amp;Settings!$B$8,Timesheet!$A$5:$A$3004,"&lt;="&amp;Settings!$B$9))</f>
        <v>200</v>
      </c>
      <c r="G38" s="25" t="n">
        <f aca="false">IF($A38="","",SUMIFS(Timesheet!$G$5:$G$3004,Timesheet!$D$5:$D$3004,$A38,Timesheet!$A$5:$A$3004,"&gt;="&amp;Settings!$B$8,Timesheet!$A$5:$A$3004,"&lt;="&amp;Settings!$B$9))</f>
        <v>26</v>
      </c>
      <c r="H38" s="25" t="n">
        <f aca="false">IF($A38="","",IF(D38="Monthly",MAX(0,Settings!$B$11-E38),0))</f>
        <v>1</v>
      </c>
      <c r="I38" s="26" t="n">
        <f aca="false">IF($A38="","",N(INDEX(Workers!$L$5:$L$2004,MATCH($A38,Workers!$A$5:$A$2004,0))))</f>
        <v>1200</v>
      </c>
      <c r="J38" s="26" t="n">
        <f aca="false">IF($A38="","",N(INDEX(Workers!$M$5:$M$2004,MATCH($A38,Workers!$A$5:$A$2004,0))))</f>
        <v>300</v>
      </c>
      <c r="K38" s="26" t="n">
        <f aca="false">IF($A38="","",IF(D38="Monthly",ROUND(MAX(0,(I38+J38)-(I38+J38)/Settings!$B$10*H38),2),0))</f>
        <v>1450</v>
      </c>
      <c r="L38" s="26" t="n">
        <f aca="false">IF($A38="","",IF(D38="Hourly",ROUND(F38*N(INDEX(Workers!$N$5:$N$2004,MATCH($A38,Workers!$A$5:$A$2004,0))),2),0))</f>
        <v>0</v>
      </c>
      <c r="M38" s="26" t="n">
        <f aca="false">IF($A38="","",ROUND(G38*IF(D38="Hourly",N(INDEX(Workers!$N$5:$N$2004,MATCH($A38,Workers!$A$5:$A$2004,0))),I38/Settings!$B$10/Settings!$B$12)*Settings!$B$13,2))</f>
        <v>162.5</v>
      </c>
      <c r="N38" s="26" t="n">
        <f aca="false">IF($A38="","",K38+L38+M38)</f>
        <v>1612.5</v>
      </c>
      <c r="O38" s="26" t="n">
        <f aca="false">IF($A38="","",SUMIFS(Deductions!$D$5:$D$2000,Deductions!$B$5:$B$2000,$A38,Deductions!$C$5:$C$2000,"Advance",Deductions!$E$5:$E$2000,"&gt;="&amp;Settings!$B$8,Deductions!$E$5:$E$2000,"&lt;="&amp;Settings!$B$9))</f>
        <v>0</v>
      </c>
      <c r="P38" s="26" t="n">
        <f aca="false">IF($A38="","",SUMIFS(Deductions!$D$5:$D$2000,Deductions!$B$5:$B$2000,$A38,Deductions!$E$5:$E$2000,"&gt;="&amp;Settings!$B$8,Deductions!$E$5:$E$2000,"&lt;="&amp;Settings!$B$9)-O38)</f>
        <v>0</v>
      </c>
      <c r="Q38" s="26" t="n">
        <f aca="false">IF($A38="","",O38+P38)</f>
        <v>0</v>
      </c>
      <c r="R38" s="23" t="n">
        <f aca="false">IF($A38="","",N38-Q38)</f>
        <v>1612.5</v>
      </c>
      <c r="S38" s="24" t="str">
        <f aca="false">IF($A38="","",INDEX(Workers!$O$5:$O$2004,MATCH($A38,Workers!$A$5:$A$2004,0))&amp;"")</f>
        <v>803320101</v>
      </c>
      <c r="T38" s="24" t="str">
        <f aca="false">IF($A38="","",INDEX(Workers!$P$5:$P$2004,MATCH($A38,Workers!$A$5:$A$2004,0))&amp;"")</f>
        <v>AE48 3479 4868 6370 6235 571</v>
      </c>
      <c r="U38" s="24" t="str">
        <f aca="false">IF($A38="","",INDEX(Workers!$H$5:$H$2004,MATCH($A38,Workers!$A$5:$A$2004,0))&amp;"")</f>
        <v>35746166597902</v>
      </c>
    </row>
    <row r="39" customFormat="false" ht="15" hidden="false" customHeight="false" outlineLevel="0" collapsed="false">
      <c r="A39" s="24" t="str">
        <f aca="false">IFERROR(INDEX(Workers!$A$5:$A$2004,MATCH(ROW()-4,Workers!$U$5:$U$2004,0)),"")</f>
        <v>W0035</v>
      </c>
      <c r="B39" s="24" t="str">
        <f aca="false">IF($A39="","",INDEX(Workers!$B$5:$B$2004,MATCH($A39,Workers!$A$5:$A$2004,0)))</f>
        <v>Bikash Shrestha</v>
      </c>
      <c r="C39" s="24" t="str">
        <f aca="false">IF($A39="","",INDEX(Workers!$E$5:$E$2004,MATCH($A39,Workers!$A$5:$A$2004,0)))</f>
        <v>Plumber</v>
      </c>
      <c r="D39" s="24" t="str">
        <f aca="false">IF($A39="","",INDEX(Workers!$K$5:$K$2004,MATCH($A39,Workers!$A$5:$A$2004,0)))</f>
        <v>Monthly</v>
      </c>
      <c r="E39" s="25" t="n">
        <f aca="false">IF($A39="","",SUMIFS(Timesheet!$E$5:$E$3004,Timesheet!$D$5:$D$3004,$A39,Timesheet!$A$5:$A$3004,"&gt;="&amp;Settings!$B$8,Timesheet!$A$5:$A$3004,"&lt;="&amp;Settings!$B$9))</f>
        <v>23</v>
      </c>
      <c r="F39" s="25" t="n">
        <f aca="false">IF($A39="","",SUMIFS(Timesheet!$F$5:$F$3004,Timesheet!$D$5:$D$3004,$A39,Timesheet!$A$5:$A$3004,"&gt;="&amp;Settings!$B$8,Timesheet!$A$5:$A$3004,"&lt;="&amp;Settings!$B$9))</f>
        <v>184</v>
      </c>
      <c r="G39" s="25" t="n">
        <f aca="false">IF($A39="","",SUMIFS(Timesheet!$G$5:$G$3004,Timesheet!$D$5:$D$3004,$A39,Timesheet!$A$5:$A$3004,"&gt;="&amp;Settings!$B$8,Timesheet!$A$5:$A$3004,"&lt;="&amp;Settings!$B$9))</f>
        <v>0</v>
      </c>
      <c r="H39" s="25" t="n">
        <f aca="false">IF($A39="","",IF(D39="Monthly",MAX(0,Settings!$B$11-E39),0))</f>
        <v>3</v>
      </c>
      <c r="I39" s="26" t="n">
        <f aca="false">IF($A39="","",N(INDEX(Workers!$L$5:$L$2004,MATCH($A39,Workers!$A$5:$A$2004,0))))</f>
        <v>1800</v>
      </c>
      <c r="J39" s="26" t="n">
        <f aca="false">IF($A39="","",N(INDEX(Workers!$M$5:$M$2004,MATCH($A39,Workers!$A$5:$A$2004,0))))</f>
        <v>500</v>
      </c>
      <c r="K39" s="26" t="n">
        <f aca="false">IF($A39="","",IF(D39="Monthly",ROUND(MAX(0,(I39+J39)-(I39+J39)/Settings!$B$10*H39),2),0))</f>
        <v>2070</v>
      </c>
      <c r="L39" s="26" t="n">
        <f aca="false">IF($A39="","",IF(D39="Hourly",ROUND(F39*N(INDEX(Workers!$N$5:$N$2004,MATCH($A39,Workers!$A$5:$A$2004,0))),2),0))</f>
        <v>0</v>
      </c>
      <c r="M39" s="26" t="n">
        <f aca="false">IF($A39="","",ROUND(G39*IF(D39="Hourly",N(INDEX(Workers!$N$5:$N$2004,MATCH($A39,Workers!$A$5:$A$2004,0))),I39/Settings!$B$10/Settings!$B$12)*Settings!$B$13,2))</f>
        <v>0</v>
      </c>
      <c r="N39" s="26" t="n">
        <f aca="false">IF($A39="","",K39+L39+M39)</f>
        <v>2070</v>
      </c>
      <c r="O39" s="26" t="n">
        <f aca="false">IF($A39="","",SUMIFS(Deductions!$D$5:$D$2000,Deductions!$B$5:$B$2000,$A39,Deductions!$C$5:$C$2000,"Advance",Deductions!$E$5:$E$2000,"&gt;="&amp;Settings!$B$8,Deductions!$E$5:$E$2000,"&lt;="&amp;Settings!$B$9))</f>
        <v>0</v>
      </c>
      <c r="P39" s="26" t="n">
        <f aca="false">IF($A39="","",SUMIFS(Deductions!$D$5:$D$2000,Deductions!$B$5:$B$2000,$A39,Deductions!$E$5:$E$2000,"&gt;="&amp;Settings!$B$8,Deductions!$E$5:$E$2000,"&lt;="&amp;Settings!$B$9)-O39)</f>
        <v>0</v>
      </c>
      <c r="Q39" s="26" t="n">
        <f aca="false">IF($A39="","",O39+P39)</f>
        <v>0</v>
      </c>
      <c r="R39" s="23" t="n">
        <f aca="false">IF($A39="","",N39-Q39)</f>
        <v>2070</v>
      </c>
      <c r="S39" s="24" t="str">
        <f aca="false">IF($A39="","",INDEX(Workers!$O$5:$O$2004,MATCH($A39,Workers!$A$5:$A$2004,0))&amp;"")</f>
        <v>803320101</v>
      </c>
      <c r="T39" s="24" t="str">
        <f aca="false">IF($A39="","",INDEX(Workers!$P$5:$P$2004,MATCH($A39,Workers!$A$5:$A$2004,0))&amp;"")</f>
        <v>AE43 2377 4413 2579 7898 610</v>
      </c>
      <c r="U39" s="24" t="str">
        <f aca="false">IF($A39="","",INDEX(Workers!$H$5:$H$2004,MATCH($A39,Workers!$A$5:$A$2004,0))&amp;"")</f>
        <v>24808546763942</v>
      </c>
    </row>
    <row r="40" customFormat="false" ht="15" hidden="false" customHeight="false" outlineLevel="0" collapsed="false">
      <c r="A40" s="24" t="str">
        <f aca="false">IFERROR(INDEX(Workers!$A$5:$A$2004,MATCH(ROW()-4,Workers!$U$5:$U$2004,0)),"")</f>
        <v>W0036</v>
      </c>
      <c r="B40" s="24" t="str">
        <f aca="false">IF($A40="","",INDEX(Workers!$B$5:$B$2004,MATCH($A40,Workers!$A$5:$A$2004,0)))</f>
        <v>Dinesh Ahmed</v>
      </c>
      <c r="C40" s="24" t="str">
        <f aca="false">IF($A40="","",INDEX(Workers!$E$5:$E$2004,MATCH($A40,Workers!$A$5:$A$2004,0)))</f>
        <v>Mason</v>
      </c>
      <c r="D40" s="24" t="str">
        <f aca="false">IF($A40="","",INDEX(Workers!$K$5:$K$2004,MATCH($A40,Workers!$A$5:$A$2004,0)))</f>
        <v>Monthly</v>
      </c>
      <c r="E40" s="25" t="n">
        <f aca="false">IF($A40="","",SUMIFS(Timesheet!$E$5:$E$3004,Timesheet!$D$5:$D$3004,$A40,Timesheet!$A$5:$A$3004,"&gt;="&amp;Settings!$B$8,Timesheet!$A$5:$A$3004,"&lt;="&amp;Settings!$B$9))</f>
        <v>24</v>
      </c>
      <c r="F40" s="25" t="n">
        <f aca="false">IF($A40="","",SUMIFS(Timesheet!$F$5:$F$3004,Timesheet!$D$5:$D$3004,$A40,Timesheet!$A$5:$A$3004,"&gt;="&amp;Settings!$B$8,Timesheet!$A$5:$A$3004,"&lt;="&amp;Settings!$B$9))</f>
        <v>192</v>
      </c>
      <c r="G40" s="25" t="n">
        <f aca="false">IF($A40="","",SUMIFS(Timesheet!$G$5:$G$3004,Timesheet!$D$5:$D$3004,$A40,Timesheet!$A$5:$A$3004,"&gt;="&amp;Settings!$B$8,Timesheet!$A$5:$A$3004,"&lt;="&amp;Settings!$B$9))</f>
        <v>20</v>
      </c>
      <c r="H40" s="25" t="n">
        <f aca="false">IF($A40="","",IF(D40="Monthly",MAX(0,Settings!$B$11-E40),0))</f>
        <v>2</v>
      </c>
      <c r="I40" s="26" t="n">
        <f aca="false">IF($A40="","",N(INDEX(Workers!$L$5:$L$2004,MATCH($A40,Workers!$A$5:$A$2004,0))))</f>
        <v>1200</v>
      </c>
      <c r="J40" s="26" t="n">
        <f aca="false">IF($A40="","",N(INDEX(Workers!$M$5:$M$2004,MATCH($A40,Workers!$A$5:$A$2004,0))))</f>
        <v>500</v>
      </c>
      <c r="K40" s="26" t="n">
        <f aca="false">IF($A40="","",IF(D40="Monthly",ROUND(MAX(0,(I40+J40)-(I40+J40)/Settings!$B$10*H40),2),0))</f>
        <v>1586.67</v>
      </c>
      <c r="L40" s="26" t="n">
        <f aca="false">IF($A40="","",IF(D40="Hourly",ROUND(F40*N(INDEX(Workers!$N$5:$N$2004,MATCH($A40,Workers!$A$5:$A$2004,0))),2),0))</f>
        <v>0</v>
      </c>
      <c r="M40" s="26" t="n">
        <f aca="false">IF($A40="","",ROUND(G40*IF(D40="Hourly",N(INDEX(Workers!$N$5:$N$2004,MATCH($A40,Workers!$A$5:$A$2004,0))),I40/Settings!$B$10/Settings!$B$12)*Settings!$B$13,2))</f>
        <v>125</v>
      </c>
      <c r="N40" s="26" t="n">
        <f aca="false">IF($A40="","",K40+L40+M40)</f>
        <v>1711.67</v>
      </c>
      <c r="O40" s="26" t="n">
        <f aca="false">IF($A40="","",SUMIFS(Deductions!$D$5:$D$2000,Deductions!$B$5:$B$2000,$A40,Deductions!$C$5:$C$2000,"Advance",Deductions!$E$5:$E$2000,"&gt;="&amp;Settings!$B$8,Deductions!$E$5:$E$2000,"&lt;="&amp;Settings!$B$9))</f>
        <v>0</v>
      </c>
      <c r="P40" s="26" t="n">
        <f aca="false">IF($A40="","",SUMIFS(Deductions!$D$5:$D$2000,Deductions!$B$5:$B$2000,$A40,Deductions!$E$5:$E$2000,"&gt;="&amp;Settings!$B$8,Deductions!$E$5:$E$2000,"&lt;="&amp;Settings!$B$9)-O40)</f>
        <v>0</v>
      </c>
      <c r="Q40" s="26" t="n">
        <f aca="false">IF($A40="","",O40+P40)</f>
        <v>0</v>
      </c>
      <c r="R40" s="23" t="n">
        <f aca="false">IF($A40="","",N40-Q40)</f>
        <v>1711.67</v>
      </c>
      <c r="S40" s="24" t="str">
        <f aca="false">IF($A40="","",INDEX(Workers!$O$5:$O$2004,MATCH($A40,Workers!$A$5:$A$2004,0))&amp;"")</f>
        <v>803320101</v>
      </c>
      <c r="T40" s="24" t="str">
        <f aca="false">IF($A40="","",INDEX(Workers!$P$5:$P$2004,MATCH($A40,Workers!$A$5:$A$2004,0))&amp;"")</f>
        <v>AE66 5053 4043 5019 4858 257</v>
      </c>
      <c r="U40" s="24" t="str">
        <f aca="false">IF($A40="","",INDEX(Workers!$H$5:$H$2004,MATCH($A40,Workers!$A$5:$A$2004,0))&amp;"")</f>
        <v>46639241010357</v>
      </c>
    </row>
    <row r="41" customFormat="false" ht="15" hidden="false" customHeight="false" outlineLevel="0" collapsed="false">
      <c r="A41" s="24" t="str">
        <f aca="false">IFERROR(INDEX(Workers!$A$5:$A$2004,MATCH(ROW()-4,Workers!$U$5:$U$2004,0)),"")</f>
        <v>W0037</v>
      </c>
      <c r="B41" s="24" t="str">
        <f aca="false">IF($A41="","",INDEX(Workers!$B$5:$B$2004,MATCH($A41,Workers!$A$5:$A$2004,0)))</f>
        <v>Sanjay Varghese</v>
      </c>
      <c r="C41" s="24" t="str">
        <f aca="false">IF($A41="","",INDEX(Workers!$E$5:$E$2004,MATCH($A41,Workers!$A$5:$A$2004,0)))</f>
        <v>Plumber</v>
      </c>
      <c r="D41" s="24" t="str">
        <f aca="false">IF($A41="","",INDEX(Workers!$K$5:$K$2004,MATCH($A41,Workers!$A$5:$A$2004,0)))</f>
        <v>Monthly</v>
      </c>
      <c r="E41" s="25" t="n">
        <f aca="false">IF($A41="","",SUMIFS(Timesheet!$E$5:$E$3004,Timesheet!$D$5:$D$3004,$A41,Timesheet!$A$5:$A$3004,"&gt;="&amp;Settings!$B$8,Timesheet!$A$5:$A$3004,"&lt;="&amp;Settings!$B$9))</f>
        <v>25</v>
      </c>
      <c r="F41" s="25" t="n">
        <f aca="false">IF($A41="","",SUMIFS(Timesheet!$F$5:$F$3004,Timesheet!$D$5:$D$3004,$A41,Timesheet!$A$5:$A$3004,"&gt;="&amp;Settings!$B$8,Timesheet!$A$5:$A$3004,"&lt;="&amp;Settings!$B$9))</f>
        <v>200</v>
      </c>
      <c r="G41" s="25" t="n">
        <f aca="false">IF($A41="","",SUMIFS(Timesheet!$G$5:$G$3004,Timesheet!$D$5:$D$3004,$A41,Timesheet!$A$5:$A$3004,"&gt;="&amp;Settings!$B$8,Timesheet!$A$5:$A$3004,"&lt;="&amp;Settings!$B$9))</f>
        <v>0</v>
      </c>
      <c r="H41" s="25" t="n">
        <f aca="false">IF($A41="","",IF(D41="Monthly",MAX(0,Settings!$B$11-E41),0))</f>
        <v>1</v>
      </c>
      <c r="I41" s="26" t="n">
        <f aca="false">IF($A41="","",N(INDEX(Workers!$L$5:$L$2004,MATCH($A41,Workers!$A$5:$A$2004,0))))</f>
        <v>2500</v>
      </c>
      <c r="J41" s="26" t="n">
        <f aca="false">IF($A41="","",N(INDEX(Workers!$M$5:$M$2004,MATCH($A41,Workers!$A$5:$A$2004,0))))</f>
        <v>500</v>
      </c>
      <c r="K41" s="26" t="n">
        <f aca="false">IF($A41="","",IF(D41="Monthly",ROUND(MAX(0,(I41+J41)-(I41+J41)/Settings!$B$10*H41),2),0))</f>
        <v>2900</v>
      </c>
      <c r="L41" s="26" t="n">
        <f aca="false">IF($A41="","",IF(D41="Hourly",ROUND(F41*N(INDEX(Workers!$N$5:$N$2004,MATCH($A41,Workers!$A$5:$A$2004,0))),2),0))</f>
        <v>0</v>
      </c>
      <c r="M41" s="26" t="n">
        <f aca="false">IF($A41="","",ROUND(G41*IF(D41="Hourly",N(INDEX(Workers!$N$5:$N$2004,MATCH($A41,Workers!$A$5:$A$2004,0))),I41/Settings!$B$10/Settings!$B$12)*Settings!$B$13,2))</f>
        <v>0</v>
      </c>
      <c r="N41" s="26" t="n">
        <f aca="false">IF($A41="","",K41+L41+M41)</f>
        <v>2900</v>
      </c>
      <c r="O41" s="26" t="n">
        <f aca="false">IF($A41="","",SUMIFS(Deductions!$D$5:$D$2000,Deductions!$B$5:$B$2000,$A41,Deductions!$C$5:$C$2000,"Advance",Deductions!$E$5:$E$2000,"&gt;="&amp;Settings!$B$8,Deductions!$E$5:$E$2000,"&lt;="&amp;Settings!$B$9))</f>
        <v>0</v>
      </c>
      <c r="P41" s="26" t="n">
        <f aca="false">IF($A41="","",SUMIFS(Deductions!$D$5:$D$2000,Deductions!$B$5:$B$2000,$A41,Deductions!$E$5:$E$2000,"&gt;="&amp;Settings!$B$8,Deductions!$E$5:$E$2000,"&lt;="&amp;Settings!$B$9)-O41)</f>
        <v>0</v>
      </c>
      <c r="Q41" s="26" t="n">
        <f aca="false">IF($A41="","",O41+P41)</f>
        <v>0</v>
      </c>
      <c r="R41" s="23" t="n">
        <f aca="false">IF($A41="","",N41-Q41)</f>
        <v>2900</v>
      </c>
      <c r="S41" s="24" t="str">
        <f aca="false">IF($A41="","",INDEX(Workers!$O$5:$O$2004,MATCH($A41,Workers!$A$5:$A$2004,0))&amp;"")</f>
        <v>600310101</v>
      </c>
      <c r="T41" s="24" t="str">
        <f aca="false">IF($A41="","",INDEX(Workers!$P$5:$P$2004,MATCH($A41,Workers!$A$5:$A$2004,0))&amp;"")</f>
        <v>AE39 2953 1825 4105 4181 176</v>
      </c>
      <c r="U41" s="24" t="str">
        <f aca="false">IF($A41="","",INDEX(Workers!$H$5:$H$2004,MATCH($A41,Workers!$A$5:$A$2004,0))&amp;"")</f>
        <v>15679552551765</v>
      </c>
    </row>
    <row r="42" customFormat="false" ht="15" hidden="false" customHeight="false" outlineLevel="0" collapsed="false">
      <c r="A42" s="24" t="str">
        <f aca="false">IFERROR(INDEX(Workers!$A$5:$A$2004,MATCH(ROW()-4,Workers!$U$5:$U$2004,0)),"")</f>
        <v>W0038</v>
      </c>
      <c r="B42" s="24" t="str">
        <f aca="false">IF($A42="","",INDEX(Workers!$B$5:$B$2004,MATCH($A42,Workers!$A$5:$A$2004,0)))</f>
        <v>Bikash Gurung</v>
      </c>
      <c r="C42" s="24" t="str">
        <f aca="false">IF($A42="","",INDEX(Workers!$E$5:$E$2004,MATCH($A42,Workers!$A$5:$A$2004,0)))</f>
        <v>Cleaner</v>
      </c>
      <c r="D42" s="24" t="str">
        <f aca="false">IF($A42="","",INDEX(Workers!$K$5:$K$2004,MATCH($A42,Workers!$A$5:$A$2004,0)))</f>
        <v>Monthly</v>
      </c>
      <c r="E42" s="25" t="n">
        <f aca="false">IF($A42="","",SUMIFS(Timesheet!$E$5:$E$3004,Timesheet!$D$5:$D$3004,$A42,Timesheet!$A$5:$A$3004,"&gt;="&amp;Settings!$B$8,Timesheet!$A$5:$A$3004,"&lt;="&amp;Settings!$B$9))</f>
        <v>25</v>
      </c>
      <c r="F42" s="25" t="n">
        <f aca="false">IF($A42="","",SUMIFS(Timesheet!$F$5:$F$3004,Timesheet!$D$5:$D$3004,$A42,Timesheet!$A$5:$A$3004,"&gt;="&amp;Settings!$B$8,Timesheet!$A$5:$A$3004,"&lt;="&amp;Settings!$B$9))</f>
        <v>200</v>
      </c>
      <c r="G42" s="25" t="n">
        <f aca="false">IF($A42="","",SUMIFS(Timesheet!$G$5:$G$3004,Timesheet!$D$5:$D$3004,$A42,Timesheet!$A$5:$A$3004,"&gt;="&amp;Settings!$B$8,Timesheet!$A$5:$A$3004,"&lt;="&amp;Settings!$B$9))</f>
        <v>0</v>
      </c>
      <c r="H42" s="25" t="n">
        <f aca="false">IF($A42="","",IF(D42="Monthly",MAX(0,Settings!$B$11-E42),0))</f>
        <v>1</v>
      </c>
      <c r="I42" s="26" t="n">
        <f aca="false">IF($A42="","",N(INDEX(Workers!$L$5:$L$2004,MATCH($A42,Workers!$A$5:$A$2004,0))))</f>
        <v>1500</v>
      </c>
      <c r="J42" s="26" t="n">
        <f aca="false">IF($A42="","",N(INDEX(Workers!$M$5:$M$2004,MATCH($A42,Workers!$A$5:$A$2004,0))))</f>
        <v>500</v>
      </c>
      <c r="K42" s="26" t="n">
        <f aca="false">IF($A42="","",IF(D42="Monthly",ROUND(MAX(0,(I42+J42)-(I42+J42)/Settings!$B$10*H42),2),0))</f>
        <v>1933.33</v>
      </c>
      <c r="L42" s="26" t="n">
        <f aca="false">IF($A42="","",IF(D42="Hourly",ROUND(F42*N(INDEX(Workers!$N$5:$N$2004,MATCH($A42,Workers!$A$5:$A$2004,0))),2),0))</f>
        <v>0</v>
      </c>
      <c r="M42" s="26" t="n">
        <f aca="false">IF($A42="","",ROUND(G42*IF(D42="Hourly",N(INDEX(Workers!$N$5:$N$2004,MATCH($A42,Workers!$A$5:$A$2004,0))),I42/Settings!$B$10/Settings!$B$12)*Settings!$B$13,2))</f>
        <v>0</v>
      </c>
      <c r="N42" s="26" t="n">
        <f aca="false">IF($A42="","",K42+L42+M42)</f>
        <v>1933.33</v>
      </c>
      <c r="O42" s="26" t="n">
        <f aca="false">IF($A42="","",SUMIFS(Deductions!$D$5:$D$2000,Deductions!$B$5:$B$2000,$A42,Deductions!$C$5:$C$2000,"Advance",Deductions!$E$5:$E$2000,"&gt;="&amp;Settings!$B$8,Deductions!$E$5:$E$2000,"&lt;="&amp;Settings!$B$9))</f>
        <v>0</v>
      </c>
      <c r="P42" s="26" t="n">
        <f aca="false">IF($A42="","",SUMIFS(Deductions!$D$5:$D$2000,Deductions!$B$5:$B$2000,$A42,Deductions!$E$5:$E$2000,"&gt;="&amp;Settings!$B$8,Deductions!$E$5:$E$2000,"&lt;="&amp;Settings!$B$9)-O42)</f>
        <v>0</v>
      </c>
      <c r="Q42" s="26" t="n">
        <f aca="false">IF($A42="","",O42+P42)</f>
        <v>0</v>
      </c>
      <c r="R42" s="23" t="n">
        <f aca="false">IF($A42="","",N42-Q42)</f>
        <v>1933.33</v>
      </c>
      <c r="S42" s="24" t="str">
        <f aca="false">IF($A42="","",INDEX(Workers!$O$5:$O$2004,MATCH($A42,Workers!$A$5:$A$2004,0))&amp;"")</f>
        <v>803320101</v>
      </c>
      <c r="T42" s="24" t="str">
        <f aca="false">IF($A42="","",INDEX(Workers!$P$5:$P$2004,MATCH($A42,Workers!$A$5:$A$2004,0))&amp;"")</f>
        <v>AE86 4333 1186 6361 7700 794</v>
      </c>
      <c r="U42" s="24" t="str">
        <f aca="false">IF($A42="","",INDEX(Workers!$H$5:$H$2004,MATCH($A42,Workers!$A$5:$A$2004,0))&amp;"")</f>
        <v>45880156248589</v>
      </c>
    </row>
    <row r="43" customFormat="false" ht="15" hidden="false" customHeight="false" outlineLevel="0" collapsed="false">
      <c r="A43" s="24" t="str">
        <f aca="false">IFERROR(INDEX(Workers!$A$5:$A$2004,MATCH(ROW()-4,Workers!$U$5:$U$2004,0)),"")</f>
        <v>W0039</v>
      </c>
      <c r="B43" s="24" t="str">
        <f aca="false">IF($A43="","",INDEX(Workers!$B$5:$B$2004,MATCH($A43,Workers!$A$5:$A$2004,0)))</f>
        <v>Bikash Nair</v>
      </c>
      <c r="C43" s="24" t="str">
        <f aca="false">IF($A43="","",INDEX(Workers!$E$5:$E$2004,MATCH($A43,Workers!$A$5:$A$2004,0)))</f>
        <v>Driver</v>
      </c>
      <c r="D43" s="24" t="str">
        <f aca="false">IF($A43="","",INDEX(Workers!$K$5:$K$2004,MATCH($A43,Workers!$A$5:$A$2004,0)))</f>
        <v>Monthly</v>
      </c>
      <c r="E43" s="25" t="n">
        <f aca="false">IF($A43="","",SUMIFS(Timesheet!$E$5:$E$3004,Timesheet!$D$5:$D$3004,$A43,Timesheet!$A$5:$A$3004,"&gt;="&amp;Settings!$B$8,Timesheet!$A$5:$A$3004,"&lt;="&amp;Settings!$B$9))</f>
        <v>24</v>
      </c>
      <c r="F43" s="25" t="n">
        <f aca="false">IF($A43="","",SUMIFS(Timesheet!$F$5:$F$3004,Timesheet!$D$5:$D$3004,$A43,Timesheet!$A$5:$A$3004,"&gt;="&amp;Settings!$B$8,Timesheet!$A$5:$A$3004,"&lt;="&amp;Settings!$B$9))</f>
        <v>192</v>
      </c>
      <c r="G43" s="25" t="n">
        <f aca="false">IF($A43="","",SUMIFS(Timesheet!$G$5:$G$3004,Timesheet!$D$5:$D$3004,$A43,Timesheet!$A$5:$A$3004,"&gt;="&amp;Settings!$B$8,Timesheet!$A$5:$A$3004,"&lt;="&amp;Settings!$B$9))</f>
        <v>10</v>
      </c>
      <c r="H43" s="25" t="n">
        <f aca="false">IF($A43="","",IF(D43="Monthly",MAX(0,Settings!$B$11-E43),0))</f>
        <v>2</v>
      </c>
      <c r="I43" s="26" t="n">
        <f aca="false">IF($A43="","",N(INDEX(Workers!$L$5:$L$2004,MATCH($A43,Workers!$A$5:$A$2004,0))))</f>
        <v>2500</v>
      </c>
      <c r="J43" s="26" t="n">
        <f aca="false">IF($A43="","",N(INDEX(Workers!$M$5:$M$2004,MATCH($A43,Workers!$A$5:$A$2004,0))))</f>
        <v>400</v>
      </c>
      <c r="K43" s="26" t="n">
        <f aca="false">IF($A43="","",IF(D43="Monthly",ROUND(MAX(0,(I43+J43)-(I43+J43)/Settings!$B$10*H43),2),0))</f>
        <v>2706.67</v>
      </c>
      <c r="L43" s="26" t="n">
        <f aca="false">IF($A43="","",IF(D43="Hourly",ROUND(F43*N(INDEX(Workers!$N$5:$N$2004,MATCH($A43,Workers!$A$5:$A$2004,0))),2),0))</f>
        <v>0</v>
      </c>
      <c r="M43" s="26" t="n">
        <f aca="false">IF($A43="","",ROUND(G43*IF(D43="Hourly",N(INDEX(Workers!$N$5:$N$2004,MATCH($A43,Workers!$A$5:$A$2004,0))),I43/Settings!$B$10/Settings!$B$12)*Settings!$B$13,2))</f>
        <v>130.21</v>
      </c>
      <c r="N43" s="26" t="n">
        <f aca="false">IF($A43="","",K43+L43+M43)</f>
        <v>2836.88</v>
      </c>
      <c r="O43" s="26" t="n">
        <f aca="false">IF($A43="","",SUMIFS(Deductions!$D$5:$D$2000,Deductions!$B$5:$B$2000,$A43,Deductions!$C$5:$C$2000,"Advance",Deductions!$E$5:$E$2000,"&gt;="&amp;Settings!$B$8,Deductions!$E$5:$E$2000,"&lt;="&amp;Settings!$B$9))</f>
        <v>0</v>
      </c>
      <c r="P43" s="26" t="n">
        <f aca="false">IF($A43="","",SUMIFS(Deductions!$D$5:$D$2000,Deductions!$B$5:$B$2000,$A43,Deductions!$E$5:$E$2000,"&gt;="&amp;Settings!$B$8,Deductions!$E$5:$E$2000,"&lt;="&amp;Settings!$B$9)-O43)</f>
        <v>0</v>
      </c>
      <c r="Q43" s="26" t="n">
        <f aca="false">IF($A43="","",O43+P43)</f>
        <v>0</v>
      </c>
      <c r="R43" s="23" t="n">
        <f aca="false">IF($A43="","",N43-Q43)</f>
        <v>2836.88</v>
      </c>
      <c r="S43" s="24" t="str">
        <f aca="false">IF($A43="","",INDEX(Workers!$O$5:$O$2004,MATCH($A43,Workers!$A$5:$A$2004,0))&amp;"")</f>
        <v>402320106</v>
      </c>
      <c r="T43" s="24" t="str">
        <f aca="false">IF($A43="","",INDEX(Workers!$P$5:$P$2004,MATCH($A43,Workers!$A$5:$A$2004,0))&amp;"")</f>
        <v>AE44 7713 5641 6039 7845 152</v>
      </c>
      <c r="U43" s="24" t="str">
        <f aca="false">IF($A43="","",INDEX(Workers!$H$5:$H$2004,MATCH($A43,Workers!$A$5:$A$2004,0))&amp;"")</f>
        <v>65981306776326</v>
      </c>
    </row>
    <row r="44" customFormat="false" ht="15" hidden="false" customHeight="false" outlineLevel="0" collapsed="false">
      <c r="A44" s="24" t="str">
        <f aca="false">IFERROR(INDEX(Workers!$A$5:$A$2004,MATCH(ROW()-4,Workers!$U$5:$U$2004,0)),"")</f>
        <v>W0040</v>
      </c>
      <c r="B44" s="24" t="str">
        <f aca="false">IF($A44="","",INDEX(Workers!$B$5:$B$2004,MATCH($A44,Workers!$A$5:$A$2004,0)))</f>
        <v>Sanjay Reyes</v>
      </c>
      <c r="C44" s="24" t="str">
        <f aca="false">IF($A44="","",INDEX(Workers!$E$5:$E$2004,MATCH($A44,Workers!$A$5:$A$2004,0)))</f>
        <v>Helper</v>
      </c>
      <c r="D44" s="24" t="str">
        <f aca="false">IF($A44="","",INDEX(Workers!$K$5:$K$2004,MATCH($A44,Workers!$A$5:$A$2004,0)))</f>
        <v>Hourly</v>
      </c>
      <c r="E44" s="25" t="n">
        <f aca="false">IF($A44="","",SUMIFS(Timesheet!$E$5:$E$3004,Timesheet!$D$5:$D$3004,$A44,Timesheet!$A$5:$A$3004,"&gt;="&amp;Settings!$B$8,Timesheet!$A$5:$A$3004,"&lt;="&amp;Settings!$B$9))</f>
        <v>24</v>
      </c>
      <c r="F44" s="25" t="n">
        <f aca="false">IF($A44="","",SUMIFS(Timesheet!$F$5:$F$3004,Timesheet!$D$5:$D$3004,$A44,Timesheet!$A$5:$A$3004,"&gt;="&amp;Settings!$B$8,Timesheet!$A$5:$A$3004,"&lt;="&amp;Settings!$B$9))</f>
        <v>192</v>
      </c>
      <c r="G44" s="25" t="n">
        <f aca="false">IF($A44="","",SUMIFS(Timesheet!$G$5:$G$3004,Timesheet!$D$5:$D$3004,$A44,Timesheet!$A$5:$A$3004,"&gt;="&amp;Settings!$B$8,Timesheet!$A$5:$A$3004,"&lt;="&amp;Settings!$B$9))</f>
        <v>30</v>
      </c>
      <c r="H44" s="25" t="n">
        <f aca="false">IF($A44="","",IF(D44="Monthly",MAX(0,Settings!$B$11-E44),0))</f>
        <v>0</v>
      </c>
      <c r="I44" s="26" t="n">
        <f aca="false">IF($A44="","",N(INDEX(Workers!$L$5:$L$2004,MATCH($A44,Workers!$A$5:$A$2004,0))))</f>
        <v>0</v>
      </c>
      <c r="J44" s="26" t="n">
        <f aca="false">IF($A44="","",N(INDEX(Workers!$M$5:$M$2004,MATCH($A44,Workers!$A$5:$A$2004,0))))</f>
        <v>0</v>
      </c>
      <c r="K44" s="26" t="n">
        <f aca="false">IF($A44="","",IF(D44="Monthly",ROUND(MAX(0,(I44+J44)-(I44+J44)/Settings!$B$10*H44),2),0))</f>
        <v>0</v>
      </c>
      <c r="L44" s="26" t="n">
        <f aca="false">IF($A44="","",IF(D44="Hourly",ROUND(F44*N(INDEX(Workers!$N$5:$N$2004,MATCH($A44,Workers!$A$5:$A$2004,0))),2),0))</f>
        <v>1920</v>
      </c>
      <c r="M44" s="26" t="n">
        <f aca="false">IF($A44="","",ROUND(G44*IF(D44="Hourly",N(INDEX(Workers!$N$5:$N$2004,MATCH($A44,Workers!$A$5:$A$2004,0))),I44/Settings!$B$10/Settings!$B$12)*Settings!$B$13,2))</f>
        <v>375</v>
      </c>
      <c r="N44" s="26" t="n">
        <f aca="false">IF($A44="","",K44+L44+M44)</f>
        <v>2295</v>
      </c>
      <c r="O44" s="26" t="n">
        <f aca="false">IF($A44="","",SUMIFS(Deductions!$D$5:$D$2000,Deductions!$B$5:$B$2000,$A44,Deductions!$C$5:$C$2000,"Advance",Deductions!$E$5:$E$2000,"&gt;="&amp;Settings!$B$8,Deductions!$E$5:$E$2000,"&lt;="&amp;Settings!$B$9))</f>
        <v>0</v>
      </c>
      <c r="P44" s="26" t="n">
        <f aca="false">IF($A44="","",SUMIFS(Deductions!$D$5:$D$2000,Deductions!$B$5:$B$2000,$A44,Deductions!$E$5:$E$2000,"&gt;="&amp;Settings!$B$8,Deductions!$E$5:$E$2000,"&lt;="&amp;Settings!$B$9)-O44)</f>
        <v>0</v>
      </c>
      <c r="Q44" s="26" t="n">
        <f aca="false">IF($A44="","",O44+P44)</f>
        <v>0</v>
      </c>
      <c r="R44" s="23" t="n">
        <f aca="false">IF($A44="","",N44-Q44)</f>
        <v>2295</v>
      </c>
      <c r="S44" s="24" t="str">
        <f aca="false">IF($A44="","",INDEX(Workers!$O$5:$O$2004,MATCH($A44,Workers!$A$5:$A$2004,0))&amp;"")</f>
        <v>600310101</v>
      </c>
      <c r="T44" s="24" t="str">
        <f aca="false">IF($A44="","",INDEX(Workers!$P$5:$P$2004,MATCH($A44,Workers!$A$5:$A$2004,0))&amp;"")</f>
        <v>AE83 6975 8551 3663 3129 115</v>
      </c>
      <c r="U44" s="24" t="str">
        <f aca="false">IF($A44="","",INDEX(Workers!$H$5:$H$2004,MATCH($A44,Workers!$A$5:$A$2004,0))&amp;"")</f>
        <v>22738101488894</v>
      </c>
    </row>
    <row r="45" customFormat="false" ht="15" hidden="false" customHeight="false" outlineLevel="0" collapsed="false">
      <c r="A45" s="24" t="str">
        <f aca="false">IFERROR(INDEX(Workers!$A$5:$A$2004,MATCH(ROW()-4,Workers!$U$5:$U$2004,0)),"")</f>
        <v/>
      </c>
      <c r="B45" s="24" t="str">
        <f aca="false">IF($A45="","",INDEX(Workers!$B$5:$B$2004,MATCH($A45,Workers!$A$5:$A$2004,0)))</f>
        <v/>
      </c>
      <c r="C45" s="24" t="str">
        <f aca="false">IF($A45="","",INDEX(Workers!$E$5:$E$2004,MATCH($A45,Workers!$A$5:$A$2004,0)))</f>
        <v/>
      </c>
      <c r="D45" s="24" t="str">
        <f aca="false">IF($A45="","",INDEX(Workers!$K$5:$K$2004,MATCH($A45,Workers!$A$5:$A$2004,0)))</f>
        <v/>
      </c>
      <c r="E45" s="25" t="str">
        <f aca="false">IF($A45="","",SUMIFS(Timesheet!$E$5:$E$3004,Timesheet!$D$5:$D$3004,$A45,Timesheet!$A$5:$A$3004,"&gt;="&amp;Settings!$B$8,Timesheet!$A$5:$A$3004,"&lt;="&amp;Settings!$B$9))</f>
        <v/>
      </c>
      <c r="F45" s="25" t="str">
        <f aca="false">IF($A45="","",SUMIFS(Timesheet!$F$5:$F$3004,Timesheet!$D$5:$D$3004,$A45,Timesheet!$A$5:$A$3004,"&gt;="&amp;Settings!$B$8,Timesheet!$A$5:$A$3004,"&lt;="&amp;Settings!$B$9))</f>
        <v/>
      </c>
      <c r="G45" s="25" t="str">
        <f aca="false">IF($A45="","",SUMIFS(Timesheet!$G$5:$G$3004,Timesheet!$D$5:$D$3004,$A45,Timesheet!$A$5:$A$3004,"&gt;="&amp;Settings!$B$8,Timesheet!$A$5:$A$3004,"&lt;="&amp;Settings!$B$9))</f>
        <v/>
      </c>
      <c r="H45" s="25" t="str">
        <f aca="false">IF($A45="","",IF(D45="Monthly",MAX(0,Settings!$B$11-E45),0))</f>
        <v/>
      </c>
      <c r="I45" s="26" t="str">
        <f aca="false">IF($A45="","",N(INDEX(Workers!$L$5:$L$2004,MATCH($A45,Workers!$A$5:$A$2004,0))))</f>
        <v/>
      </c>
      <c r="J45" s="26" t="str">
        <f aca="false">IF($A45="","",N(INDEX(Workers!$M$5:$M$2004,MATCH($A45,Workers!$A$5:$A$2004,0))))</f>
        <v/>
      </c>
      <c r="K45" s="26" t="str">
        <f aca="false">IF($A45="","",IF(D45="Monthly",ROUND(MAX(0,(I45+J45)-(I45+J45)/Settings!$B$10*H45),2),0))</f>
        <v/>
      </c>
      <c r="L45" s="26" t="str">
        <f aca="false">IF($A45="","",IF(D45="Hourly",ROUND(F45*N(INDEX(Workers!$N$5:$N$2004,MATCH($A45,Workers!$A$5:$A$2004,0))),2),0))</f>
        <v/>
      </c>
      <c r="M45" s="26" t="str">
        <f aca="false">IF($A45="","",ROUND(G45*IF(D45="Hourly",N(INDEX(Workers!$N$5:$N$2004,MATCH($A45,Workers!$A$5:$A$2004,0))),I45/Settings!$B$10/Settings!$B$12)*Settings!$B$13,2))</f>
        <v/>
      </c>
      <c r="N45" s="26" t="str">
        <f aca="false">IF($A45="","",K45+L45+M45)</f>
        <v/>
      </c>
      <c r="O45" s="26" t="str">
        <f aca="false">IF($A45="","",SUMIFS(Deductions!$D$5:$D$2000,Deductions!$B$5:$B$2000,$A45,Deductions!$C$5:$C$2000,"Advance",Deductions!$E$5:$E$2000,"&gt;="&amp;Settings!$B$8,Deductions!$E$5:$E$2000,"&lt;="&amp;Settings!$B$9))</f>
        <v/>
      </c>
      <c r="P45" s="26" t="str">
        <f aca="false">IF($A45="","",SUMIFS(Deductions!$D$5:$D$2000,Deductions!$B$5:$B$2000,$A45,Deductions!$E$5:$E$2000,"&gt;="&amp;Settings!$B$8,Deductions!$E$5:$E$2000,"&lt;="&amp;Settings!$B$9)-O45)</f>
        <v/>
      </c>
      <c r="Q45" s="26" t="str">
        <f aca="false">IF($A45="","",O45+P45)</f>
        <v/>
      </c>
      <c r="R45" s="23" t="str">
        <f aca="false">IF($A45="","",N45-Q45)</f>
        <v/>
      </c>
      <c r="S45" s="24" t="str">
        <f aca="false">IF($A45="","",INDEX(Workers!$O$5:$O$2004,MATCH($A45,Workers!$A$5:$A$2004,0))&amp;"")</f>
        <v/>
      </c>
      <c r="T45" s="24" t="str">
        <f aca="false">IF($A45="","",INDEX(Workers!$P$5:$P$2004,MATCH($A45,Workers!$A$5:$A$2004,0))&amp;"")</f>
        <v/>
      </c>
      <c r="U45" s="24" t="str">
        <f aca="false">IF($A45="","",INDEX(Workers!$H$5:$H$2004,MATCH($A45,Workers!$A$5:$A$2004,0))&amp;"")</f>
        <v/>
      </c>
    </row>
    <row r="46" customFormat="false" ht="15" hidden="false" customHeight="false" outlineLevel="0" collapsed="false">
      <c r="A46" s="24" t="str">
        <f aca="false">IFERROR(INDEX(Workers!$A$5:$A$2004,MATCH(ROW()-4,Workers!$U$5:$U$2004,0)),"")</f>
        <v/>
      </c>
      <c r="B46" s="24" t="str">
        <f aca="false">IF($A46="","",INDEX(Workers!$B$5:$B$2004,MATCH($A46,Workers!$A$5:$A$2004,0)))</f>
        <v/>
      </c>
      <c r="C46" s="24" t="str">
        <f aca="false">IF($A46="","",INDEX(Workers!$E$5:$E$2004,MATCH($A46,Workers!$A$5:$A$2004,0)))</f>
        <v/>
      </c>
      <c r="D46" s="24" t="str">
        <f aca="false">IF($A46="","",INDEX(Workers!$K$5:$K$2004,MATCH($A46,Workers!$A$5:$A$2004,0)))</f>
        <v/>
      </c>
      <c r="E46" s="25" t="str">
        <f aca="false">IF($A46="","",SUMIFS(Timesheet!$E$5:$E$3004,Timesheet!$D$5:$D$3004,$A46,Timesheet!$A$5:$A$3004,"&gt;="&amp;Settings!$B$8,Timesheet!$A$5:$A$3004,"&lt;="&amp;Settings!$B$9))</f>
        <v/>
      </c>
      <c r="F46" s="25" t="str">
        <f aca="false">IF($A46="","",SUMIFS(Timesheet!$F$5:$F$3004,Timesheet!$D$5:$D$3004,$A46,Timesheet!$A$5:$A$3004,"&gt;="&amp;Settings!$B$8,Timesheet!$A$5:$A$3004,"&lt;="&amp;Settings!$B$9))</f>
        <v/>
      </c>
      <c r="G46" s="25" t="str">
        <f aca="false">IF($A46="","",SUMIFS(Timesheet!$G$5:$G$3004,Timesheet!$D$5:$D$3004,$A46,Timesheet!$A$5:$A$3004,"&gt;="&amp;Settings!$B$8,Timesheet!$A$5:$A$3004,"&lt;="&amp;Settings!$B$9))</f>
        <v/>
      </c>
      <c r="H46" s="25" t="str">
        <f aca="false">IF($A46="","",IF(D46="Monthly",MAX(0,Settings!$B$11-E46),0))</f>
        <v/>
      </c>
      <c r="I46" s="26" t="str">
        <f aca="false">IF($A46="","",N(INDEX(Workers!$L$5:$L$2004,MATCH($A46,Workers!$A$5:$A$2004,0))))</f>
        <v/>
      </c>
      <c r="J46" s="26" t="str">
        <f aca="false">IF($A46="","",N(INDEX(Workers!$M$5:$M$2004,MATCH($A46,Workers!$A$5:$A$2004,0))))</f>
        <v/>
      </c>
      <c r="K46" s="26" t="str">
        <f aca="false">IF($A46="","",IF(D46="Monthly",ROUND(MAX(0,(I46+J46)-(I46+J46)/Settings!$B$10*H46),2),0))</f>
        <v/>
      </c>
      <c r="L46" s="26" t="str">
        <f aca="false">IF($A46="","",IF(D46="Hourly",ROUND(F46*N(INDEX(Workers!$N$5:$N$2004,MATCH($A46,Workers!$A$5:$A$2004,0))),2),0))</f>
        <v/>
      </c>
      <c r="M46" s="26" t="str">
        <f aca="false">IF($A46="","",ROUND(G46*IF(D46="Hourly",N(INDEX(Workers!$N$5:$N$2004,MATCH($A46,Workers!$A$5:$A$2004,0))),I46/Settings!$B$10/Settings!$B$12)*Settings!$B$13,2))</f>
        <v/>
      </c>
      <c r="N46" s="26" t="str">
        <f aca="false">IF($A46="","",K46+L46+M46)</f>
        <v/>
      </c>
      <c r="O46" s="26" t="str">
        <f aca="false">IF($A46="","",SUMIFS(Deductions!$D$5:$D$2000,Deductions!$B$5:$B$2000,$A46,Deductions!$C$5:$C$2000,"Advance",Deductions!$E$5:$E$2000,"&gt;="&amp;Settings!$B$8,Deductions!$E$5:$E$2000,"&lt;="&amp;Settings!$B$9))</f>
        <v/>
      </c>
      <c r="P46" s="26" t="str">
        <f aca="false">IF($A46="","",SUMIFS(Deductions!$D$5:$D$2000,Deductions!$B$5:$B$2000,$A46,Deductions!$E$5:$E$2000,"&gt;="&amp;Settings!$B$8,Deductions!$E$5:$E$2000,"&lt;="&amp;Settings!$B$9)-O46)</f>
        <v/>
      </c>
      <c r="Q46" s="26" t="str">
        <f aca="false">IF($A46="","",O46+P46)</f>
        <v/>
      </c>
      <c r="R46" s="23" t="str">
        <f aca="false">IF($A46="","",N46-Q46)</f>
        <v/>
      </c>
      <c r="S46" s="24" t="str">
        <f aca="false">IF($A46="","",INDEX(Workers!$O$5:$O$2004,MATCH($A46,Workers!$A$5:$A$2004,0))&amp;"")</f>
        <v/>
      </c>
      <c r="T46" s="24" t="str">
        <f aca="false">IF($A46="","",INDEX(Workers!$P$5:$P$2004,MATCH($A46,Workers!$A$5:$A$2004,0))&amp;"")</f>
        <v/>
      </c>
      <c r="U46" s="24" t="str">
        <f aca="false">IF($A46="","",INDEX(Workers!$H$5:$H$2004,MATCH($A46,Workers!$A$5:$A$2004,0))&amp;"")</f>
        <v/>
      </c>
    </row>
    <row r="47" customFormat="false" ht="15" hidden="false" customHeight="false" outlineLevel="0" collapsed="false">
      <c r="A47" s="24" t="str">
        <f aca="false">IFERROR(INDEX(Workers!$A$5:$A$2004,MATCH(ROW()-4,Workers!$U$5:$U$2004,0)),"")</f>
        <v/>
      </c>
      <c r="B47" s="24" t="str">
        <f aca="false">IF($A47="","",INDEX(Workers!$B$5:$B$2004,MATCH($A47,Workers!$A$5:$A$2004,0)))</f>
        <v/>
      </c>
      <c r="C47" s="24" t="str">
        <f aca="false">IF($A47="","",INDEX(Workers!$E$5:$E$2004,MATCH($A47,Workers!$A$5:$A$2004,0)))</f>
        <v/>
      </c>
      <c r="D47" s="24" t="str">
        <f aca="false">IF($A47="","",INDEX(Workers!$K$5:$K$2004,MATCH($A47,Workers!$A$5:$A$2004,0)))</f>
        <v/>
      </c>
      <c r="E47" s="25" t="str">
        <f aca="false">IF($A47="","",SUMIFS(Timesheet!$E$5:$E$3004,Timesheet!$D$5:$D$3004,$A47,Timesheet!$A$5:$A$3004,"&gt;="&amp;Settings!$B$8,Timesheet!$A$5:$A$3004,"&lt;="&amp;Settings!$B$9))</f>
        <v/>
      </c>
      <c r="F47" s="25" t="str">
        <f aca="false">IF($A47="","",SUMIFS(Timesheet!$F$5:$F$3004,Timesheet!$D$5:$D$3004,$A47,Timesheet!$A$5:$A$3004,"&gt;="&amp;Settings!$B$8,Timesheet!$A$5:$A$3004,"&lt;="&amp;Settings!$B$9))</f>
        <v/>
      </c>
      <c r="G47" s="25" t="str">
        <f aca="false">IF($A47="","",SUMIFS(Timesheet!$G$5:$G$3004,Timesheet!$D$5:$D$3004,$A47,Timesheet!$A$5:$A$3004,"&gt;="&amp;Settings!$B$8,Timesheet!$A$5:$A$3004,"&lt;="&amp;Settings!$B$9))</f>
        <v/>
      </c>
      <c r="H47" s="25" t="str">
        <f aca="false">IF($A47="","",IF(D47="Monthly",MAX(0,Settings!$B$11-E47),0))</f>
        <v/>
      </c>
      <c r="I47" s="26" t="str">
        <f aca="false">IF($A47="","",N(INDEX(Workers!$L$5:$L$2004,MATCH($A47,Workers!$A$5:$A$2004,0))))</f>
        <v/>
      </c>
      <c r="J47" s="26" t="str">
        <f aca="false">IF($A47="","",N(INDEX(Workers!$M$5:$M$2004,MATCH($A47,Workers!$A$5:$A$2004,0))))</f>
        <v/>
      </c>
      <c r="K47" s="26" t="str">
        <f aca="false">IF($A47="","",IF(D47="Monthly",ROUND(MAX(0,(I47+J47)-(I47+J47)/Settings!$B$10*H47),2),0))</f>
        <v/>
      </c>
      <c r="L47" s="26" t="str">
        <f aca="false">IF($A47="","",IF(D47="Hourly",ROUND(F47*N(INDEX(Workers!$N$5:$N$2004,MATCH($A47,Workers!$A$5:$A$2004,0))),2),0))</f>
        <v/>
      </c>
      <c r="M47" s="26" t="str">
        <f aca="false">IF($A47="","",ROUND(G47*IF(D47="Hourly",N(INDEX(Workers!$N$5:$N$2004,MATCH($A47,Workers!$A$5:$A$2004,0))),I47/Settings!$B$10/Settings!$B$12)*Settings!$B$13,2))</f>
        <v/>
      </c>
      <c r="N47" s="26" t="str">
        <f aca="false">IF($A47="","",K47+L47+M47)</f>
        <v/>
      </c>
      <c r="O47" s="26" t="str">
        <f aca="false">IF($A47="","",SUMIFS(Deductions!$D$5:$D$2000,Deductions!$B$5:$B$2000,$A47,Deductions!$C$5:$C$2000,"Advance",Deductions!$E$5:$E$2000,"&gt;="&amp;Settings!$B$8,Deductions!$E$5:$E$2000,"&lt;="&amp;Settings!$B$9))</f>
        <v/>
      </c>
      <c r="P47" s="26" t="str">
        <f aca="false">IF($A47="","",SUMIFS(Deductions!$D$5:$D$2000,Deductions!$B$5:$B$2000,$A47,Deductions!$E$5:$E$2000,"&gt;="&amp;Settings!$B$8,Deductions!$E$5:$E$2000,"&lt;="&amp;Settings!$B$9)-O47)</f>
        <v/>
      </c>
      <c r="Q47" s="26" t="str">
        <f aca="false">IF($A47="","",O47+P47)</f>
        <v/>
      </c>
      <c r="R47" s="23" t="str">
        <f aca="false">IF($A47="","",N47-Q47)</f>
        <v/>
      </c>
      <c r="S47" s="24" t="str">
        <f aca="false">IF($A47="","",INDEX(Workers!$O$5:$O$2004,MATCH($A47,Workers!$A$5:$A$2004,0))&amp;"")</f>
        <v/>
      </c>
      <c r="T47" s="24" t="str">
        <f aca="false">IF($A47="","",INDEX(Workers!$P$5:$P$2004,MATCH($A47,Workers!$A$5:$A$2004,0))&amp;"")</f>
        <v/>
      </c>
      <c r="U47" s="24" t="str">
        <f aca="false">IF($A47="","",INDEX(Workers!$H$5:$H$2004,MATCH($A47,Workers!$A$5:$A$2004,0))&amp;"")</f>
        <v/>
      </c>
    </row>
    <row r="48" customFormat="false" ht="15" hidden="false" customHeight="false" outlineLevel="0" collapsed="false">
      <c r="A48" s="24" t="str">
        <f aca="false">IFERROR(INDEX(Workers!$A$5:$A$2004,MATCH(ROW()-4,Workers!$U$5:$U$2004,0)),"")</f>
        <v/>
      </c>
      <c r="B48" s="24" t="str">
        <f aca="false">IF($A48="","",INDEX(Workers!$B$5:$B$2004,MATCH($A48,Workers!$A$5:$A$2004,0)))</f>
        <v/>
      </c>
      <c r="C48" s="24" t="str">
        <f aca="false">IF($A48="","",INDEX(Workers!$E$5:$E$2004,MATCH($A48,Workers!$A$5:$A$2004,0)))</f>
        <v/>
      </c>
      <c r="D48" s="24" t="str">
        <f aca="false">IF($A48="","",INDEX(Workers!$K$5:$K$2004,MATCH($A48,Workers!$A$5:$A$2004,0)))</f>
        <v/>
      </c>
      <c r="E48" s="25" t="str">
        <f aca="false">IF($A48="","",SUMIFS(Timesheet!$E$5:$E$3004,Timesheet!$D$5:$D$3004,$A48,Timesheet!$A$5:$A$3004,"&gt;="&amp;Settings!$B$8,Timesheet!$A$5:$A$3004,"&lt;="&amp;Settings!$B$9))</f>
        <v/>
      </c>
      <c r="F48" s="25" t="str">
        <f aca="false">IF($A48="","",SUMIFS(Timesheet!$F$5:$F$3004,Timesheet!$D$5:$D$3004,$A48,Timesheet!$A$5:$A$3004,"&gt;="&amp;Settings!$B$8,Timesheet!$A$5:$A$3004,"&lt;="&amp;Settings!$B$9))</f>
        <v/>
      </c>
      <c r="G48" s="25" t="str">
        <f aca="false">IF($A48="","",SUMIFS(Timesheet!$G$5:$G$3004,Timesheet!$D$5:$D$3004,$A48,Timesheet!$A$5:$A$3004,"&gt;="&amp;Settings!$B$8,Timesheet!$A$5:$A$3004,"&lt;="&amp;Settings!$B$9))</f>
        <v/>
      </c>
      <c r="H48" s="25" t="str">
        <f aca="false">IF($A48="","",IF(D48="Monthly",MAX(0,Settings!$B$11-E48),0))</f>
        <v/>
      </c>
      <c r="I48" s="26" t="str">
        <f aca="false">IF($A48="","",N(INDEX(Workers!$L$5:$L$2004,MATCH($A48,Workers!$A$5:$A$2004,0))))</f>
        <v/>
      </c>
      <c r="J48" s="26" t="str">
        <f aca="false">IF($A48="","",N(INDEX(Workers!$M$5:$M$2004,MATCH($A48,Workers!$A$5:$A$2004,0))))</f>
        <v/>
      </c>
      <c r="K48" s="26" t="str">
        <f aca="false">IF($A48="","",IF(D48="Monthly",ROUND(MAX(0,(I48+J48)-(I48+J48)/Settings!$B$10*H48),2),0))</f>
        <v/>
      </c>
      <c r="L48" s="26" t="str">
        <f aca="false">IF($A48="","",IF(D48="Hourly",ROUND(F48*N(INDEX(Workers!$N$5:$N$2004,MATCH($A48,Workers!$A$5:$A$2004,0))),2),0))</f>
        <v/>
      </c>
      <c r="M48" s="26" t="str">
        <f aca="false">IF($A48="","",ROUND(G48*IF(D48="Hourly",N(INDEX(Workers!$N$5:$N$2004,MATCH($A48,Workers!$A$5:$A$2004,0))),I48/Settings!$B$10/Settings!$B$12)*Settings!$B$13,2))</f>
        <v/>
      </c>
      <c r="N48" s="26" t="str">
        <f aca="false">IF($A48="","",K48+L48+M48)</f>
        <v/>
      </c>
      <c r="O48" s="26" t="str">
        <f aca="false">IF($A48="","",SUMIFS(Deductions!$D$5:$D$2000,Deductions!$B$5:$B$2000,$A48,Deductions!$C$5:$C$2000,"Advance",Deductions!$E$5:$E$2000,"&gt;="&amp;Settings!$B$8,Deductions!$E$5:$E$2000,"&lt;="&amp;Settings!$B$9))</f>
        <v/>
      </c>
      <c r="P48" s="26" t="str">
        <f aca="false">IF($A48="","",SUMIFS(Deductions!$D$5:$D$2000,Deductions!$B$5:$B$2000,$A48,Deductions!$E$5:$E$2000,"&gt;="&amp;Settings!$B$8,Deductions!$E$5:$E$2000,"&lt;="&amp;Settings!$B$9)-O48)</f>
        <v/>
      </c>
      <c r="Q48" s="26" t="str">
        <f aca="false">IF($A48="","",O48+P48)</f>
        <v/>
      </c>
      <c r="R48" s="23" t="str">
        <f aca="false">IF($A48="","",N48-Q48)</f>
        <v/>
      </c>
      <c r="S48" s="24" t="str">
        <f aca="false">IF($A48="","",INDEX(Workers!$O$5:$O$2004,MATCH($A48,Workers!$A$5:$A$2004,0))&amp;"")</f>
        <v/>
      </c>
      <c r="T48" s="24" t="str">
        <f aca="false">IF($A48="","",INDEX(Workers!$P$5:$P$2004,MATCH($A48,Workers!$A$5:$A$2004,0))&amp;"")</f>
        <v/>
      </c>
      <c r="U48" s="24" t="str">
        <f aca="false">IF($A48="","",INDEX(Workers!$H$5:$H$2004,MATCH($A48,Workers!$A$5:$A$2004,0))&amp;"")</f>
        <v/>
      </c>
    </row>
    <row r="49" customFormat="false" ht="15" hidden="false" customHeight="false" outlineLevel="0" collapsed="false">
      <c r="A49" s="24" t="str">
        <f aca="false">IFERROR(INDEX(Workers!$A$5:$A$2004,MATCH(ROW()-4,Workers!$U$5:$U$2004,0)),"")</f>
        <v/>
      </c>
      <c r="B49" s="24" t="str">
        <f aca="false">IF($A49="","",INDEX(Workers!$B$5:$B$2004,MATCH($A49,Workers!$A$5:$A$2004,0)))</f>
        <v/>
      </c>
      <c r="C49" s="24" t="str">
        <f aca="false">IF($A49="","",INDEX(Workers!$E$5:$E$2004,MATCH($A49,Workers!$A$5:$A$2004,0)))</f>
        <v/>
      </c>
      <c r="D49" s="24" t="str">
        <f aca="false">IF($A49="","",INDEX(Workers!$K$5:$K$2004,MATCH($A49,Workers!$A$5:$A$2004,0)))</f>
        <v/>
      </c>
      <c r="E49" s="25" t="str">
        <f aca="false">IF($A49="","",SUMIFS(Timesheet!$E$5:$E$3004,Timesheet!$D$5:$D$3004,$A49,Timesheet!$A$5:$A$3004,"&gt;="&amp;Settings!$B$8,Timesheet!$A$5:$A$3004,"&lt;="&amp;Settings!$B$9))</f>
        <v/>
      </c>
      <c r="F49" s="25" t="str">
        <f aca="false">IF($A49="","",SUMIFS(Timesheet!$F$5:$F$3004,Timesheet!$D$5:$D$3004,$A49,Timesheet!$A$5:$A$3004,"&gt;="&amp;Settings!$B$8,Timesheet!$A$5:$A$3004,"&lt;="&amp;Settings!$B$9))</f>
        <v/>
      </c>
      <c r="G49" s="25" t="str">
        <f aca="false">IF($A49="","",SUMIFS(Timesheet!$G$5:$G$3004,Timesheet!$D$5:$D$3004,$A49,Timesheet!$A$5:$A$3004,"&gt;="&amp;Settings!$B$8,Timesheet!$A$5:$A$3004,"&lt;="&amp;Settings!$B$9))</f>
        <v/>
      </c>
      <c r="H49" s="25" t="str">
        <f aca="false">IF($A49="","",IF(D49="Monthly",MAX(0,Settings!$B$11-E49),0))</f>
        <v/>
      </c>
      <c r="I49" s="26" t="str">
        <f aca="false">IF($A49="","",N(INDEX(Workers!$L$5:$L$2004,MATCH($A49,Workers!$A$5:$A$2004,0))))</f>
        <v/>
      </c>
      <c r="J49" s="26" t="str">
        <f aca="false">IF($A49="","",N(INDEX(Workers!$M$5:$M$2004,MATCH($A49,Workers!$A$5:$A$2004,0))))</f>
        <v/>
      </c>
      <c r="K49" s="26" t="str">
        <f aca="false">IF($A49="","",IF(D49="Monthly",ROUND(MAX(0,(I49+J49)-(I49+J49)/Settings!$B$10*H49),2),0))</f>
        <v/>
      </c>
      <c r="L49" s="26" t="str">
        <f aca="false">IF($A49="","",IF(D49="Hourly",ROUND(F49*N(INDEX(Workers!$N$5:$N$2004,MATCH($A49,Workers!$A$5:$A$2004,0))),2),0))</f>
        <v/>
      </c>
      <c r="M49" s="26" t="str">
        <f aca="false">IF($A49="","",ROUND(G49*IF(D49="Hourly",N(INDEX(Workers!$N$5:$N$2004,MATCH($A49,Workers!$A$5:$A$2004,0))),I49/Settings!$B$10/Settings!$B$12)*Settings!$B$13,2))</f>
        <v/>
      </c>
      <c r="N49" s="26" t="str">
        <f aca="false">IF($A49="","",K49+L49+M49)</f>
        <v/>
      </c>
      <c r="O49" s="26" t="str">
        <f aca="false">IF($A49="","",SUMIFS(Deductions!$D$5:$D$2000,Deductions!$B$5:$B$2000,$A49,Deductions!$C$5:$C$2000,"Advance",Deductions!$E$5:$E$2000,"&gt;="&amp;Settings!$B$8,Deductions!$E$5:$E$2000,"&lt;="&amp;Settings!$B$9))</f>
        <v/>
      </c>
      <c r="P49" s="26" t="str">
        <f aca="false">IF($A49="","",SUMIFS(Deductions!$D$5:$D$2000,Deductions!$B$5:$B$2000,$A49,Deductions!$E$5:$E$2000,"&gt;="&amp;Settings!$B$8,Deductions!$E$5:$E$2000,"&lt;="&amp;Settings!$B$9)-O49)</f>
        <v/>
      </c>
      <c r="Q49" s="26" t="str">
        <f aca="false">IF($A49="","",O49+P49)</f>
        <v/>
      </c>
      <c r="R49" s="23" t="str">
        <f aca="false">IF($A49="","",N49-Q49)</f>
        <v/>
      </c>
      <c r="S49" s="24" t="str">
        <f aca="false">IF($A49="","",INDEX(Workers!$O$5:$O$2004,MATCH($A49,Workers!$A$5:$A$2004,0))&amp;"")</f>
        <v/>
      </c>
      <c r="T49" s="24" t="str">
        <f aca="false">IF($A49="","",INDEX(Workers!$P$5:$P$2004,MATCH($A49,Workers!$A$5:$A$2004,0))&amp;"")</f>
        <v/>
      </c>
      <c r="U49" s="24" t="str">
        <f aca="false">IF($A49="","",INDEX(Workers!$H$5:$H$2004,MATCH($A49,Workers!$A$5:$A$2004,0))&amp;"")</f>
        <v/>
      </c>
    </row>
    <row r="50" customFormat="false" ht="15" hidden="false" customHeight="false" outlineLevel="0" collapsed="false">
      <c r="A50" s="24" t="str">
        <f aca="false">IFERROR(INDEX(Workers!$A$5:$A$2004,MATCH(ROW()-4,Workers!$U$5:$U$2004,0)),"")</f>
        <v/>
      </c>
      <c r="B50" s="24" t="str">
        <f aca="false">IF($A50="","",INDEX(Workers!$B$5:$B$2004,MATCH($A50,Workers!$A$5:$A$2004,0)))</f>
        <v/>
      </c>
      <c r="C50" s="24" t="str">
        <f aca="false">IF($A50="","",INDEX(Workers!$E$5:$E$2004,MATCH($A50,Workers!$A$5:$A$2004,0)))</f>
        <v/>
      </c>
      <c r="D50" s="24" t="str">
        <f aca="false">IF($A50="","",INDEX(Workers!$K$5:$K$2004,MATCH($A50,Workers!$A$5:$A$2004,0)))</f>
        <v/>
      </c>
      <c r="E50" s="25" t="str">
        <f aca="false">IF($A50="","",SUMIFS(Timesheet!$E$5:$E$3004,Timesheet!$D$5:$D$3004,$A50,Timesheet!$A$5:$A$3004,"&gt;="&amp;Settings!$B$8,Timesheet!$A$5:$A$3004,"&lt;="&amp;Settings!$B$9))</f>
        <v/>
      </c>
      <c r="F50" s="25" t="str">
        <f aca="false">IF($A50="","",SUMIFS(Timesheet!$F$5:$F$3004,Timesheet!$D$5:$D$3004,$A50,Timesheet!$A$5:$A$3004,"&gt;="&amp;Settings!$B$8,Timesheet!$A$5:$A$3004,"&lt;="&amp;Settings!$B$9))</f>
        <v/>
      </c>
      <c r="G50" s="25" t="str">
        <f aca="false">IF($A50="","",SUMIFS(Timesheet!$G$5:$G$3004,Timesheet!$D$5:$D$3004,$A50,Timesheet!$A$5:$A$3004,"&gt;="&amp;Settings!$B$8,Timesheet!$A$5:$A$3004,"&lt;="&amp;Settings!$B$9))</f>
        <v/>
      </c>
      <c r="H50" s="25" t="str">
        <f aca="false">IF($A50="","",IF(D50="Monthly",MAX(0,Settings!$B$11-E50),0))</f>
        <v/>
      </c>
      <c r="I50" s="26" t="str">
        <f aca="false">IF($A50="","",N(INDEX(Workers!$L$5:$L$2004,MATCH($A50,Workers!$A$5:$A$2004,0))))</f>
        <v/>
      </c>
      <c r="J50" s="26" t="str">
        <f aca="false">IF($A50="","",N(INDEX(Workers!$M$5:$M$2004,MATCH($A50,Workers!$A$5:$A$2004,0))))</f>
        <v/>
      </c>
      <c r="K50" s="26" t="str">
        <f aca="false">IF($A50="","",IF(D50="Monthly",ROUND(MAX(0,(I50+J50)-(I50+J50)/Settings!$B$10*H50),2),0))</f>
        <v/>
      </c>
      <c r="L50" s="26" t="str">
        <f aca="false">IF($A50="","",IF(D50="Hourly",ROUND(F50*N(INDEX(Workers!$N$5:$N$2004,MATCH($A50,Workers!$A$5:$A$2004,0))),2),0))</f>
        <v/>
      </c>
      <c r="M50" s="26" t="str">
        <f aca="false">IF($A50="","",ROUND(G50*IF(D50="Hourly",N(INDEX(Workers!$N$5:$N$2004,MATCH($A50,Workers!$A$5:$A$2004,0))),I50/Settings!$B$10/Settings!$B$12)*Settings!$B$13,2))</f>
        <v/>
      </c>
      <c r="N50" s="26" t="str">
        <f aca="false">IF($A50="","",K50+L50+M50)</f>
        <v/>
      </c>
      <c r="O50" s="26" t="str">
        <f aca="false">IF($A50="","",SUMIFS(Deductions!$D$5:$D$2000,Deductions!$B$5:$B$2000,$A50,Deductions!$C$5:$C$2000,"Advance",Deductions!$E$5:$E$2000,"&gt;="&amp;Settings!$B$8,Deductions!$E$5:$E$2000,"&lt;="&amp;Settings!$B$9))</f>
        <v/>
      </c>
      <c r="P50" s="26" t="str">
        <f aca="false">IF($A50="","",SUMIFS(Deductions!$D$5:$D$2000,Deductions!$B$5:$B$2000,$A50,Deductions!$E$5:$E$2000,"&gt;="&amp;Settings!$B$8,Deductions!$E$5:$E$2000,"&lt;="&amp;Settings!$B$9)-O50)</f>
        <v/>
      </c>
      <c r="Q50" s="26" t="str">
        <f aca="false">IF($A50="","",O50+P50)</f>
        <v/>
      </c>
      <c r="R50" s="23" t="str">
        <f aca="false">IF($A50="","",N50-Q50)</f>
        <v/>
      </c>
      <c r="S50" s="24" t="str">
        <f aca="false">IF($A50="","",INDEX(Workers!$O$5:$O$2004,MATCH($A50,Workers!$A$5:$A$2004,0))&amp;"")</f>
        <v/>
      </c>
      <c r="T50" s="24" t="str">
        <f aca="false">IF($A50="","",INDEX(Workers!$P$5:$P$2004,MATCH($A50,Workers!$A$5:$A$2004,0))&amp;"")</f>
        <v/>
      </c>
      <c r="U50" s="24" t="str">
        <f aca="false">IF($A50="","",INDEX(Workers!$H$5:$H$2004,MATCH($A50,Workers!$A$5:$A$2004,0))&amp;"")</f>
        <v/>
      </c>
    </row>
    <row r="51" customFormat="false" ht="15" hidden="false" customHeight="false" outlineLevel="0" collapsed="false">
      <c r="A51" s="24" t="str">
        <f aca="false">IFERROR(INDEX(Workers!$A$5:$A$2004,MATCH(ROW()-4,Workers!$U$5:$U$2004,0)),"")</f>
        <v/>
      </c>
      <c r="B51" s="24" t="str">
        <f aca="false">IF($A51="","",INDEX(Workers!$B$5:$B$2004,MATCH($A51,Workers!$A$5:$A$2004,0)))</f>
        <v/>
      </c>
      <c r="C51" s="24" t="str">
        <f aca="false">IF($A51="","",INDEX(Workers!$E$5:$E$2004,MATCH($A51,Workers!$A$5:$A$2004,0)))</f>
        <v/>
      </c>
      <c r="D51" s="24" t="str">
        <f aca="false">IF($A51="","",INDEX(Workers!$K$5:$K$2004,MATCH($A51,Workers!$A$5:$A$2004,0)))</f>
        <v/>
      </c>
      <c r="E51" s="25" t="str">
        <f aca="false">IF($A51="","",SUMIFS(Timesheet!$E$5:$E$3004,Timesheet!$D$5:$D$3004,$A51,Timesheet!$A$5:$A$3004,"&gt;="&amp;Settings!$B$8,Timesheet!$A$5:$A$3004,"&lt;="&amp;Settings!$B$9))</f>
        <v/>
      </c>
      <c r="F51" s="25" t="str">
        <f aca="false">IF($A51="","",SUMIFS(Timesheet!$F$5:$F$3004,Timesheet!$D$5:$D$3004,$A51,Timesheet!$A$5:$A$3004,"&gt;="&amp;Settings!$B$8,Timesheet!$A$5:$A$3004,"&lt;="&amp;Settings!$B$9))</f>
        <v/>
      </c>
      <c r="G51" s="25" t="str">
        <f aca="false">IF($A51="","",SUMIFS(Timesheet!$G$5:$G$3004,Timesheet!$D$5:$D$3004,$A51,Timesheet!$A$5:$A$3004,"&gt;="&amp;Settings!$B$8,Timesheet!$A$5:$A$3004,"&lt;="&amp;Settings!$B$9))</f>
        <v/>
      </c>
      <c r="H51" s="25" t="str">
        <f aca="false">IF($A51="","",IF(D51="Monthly",MAX(0,Settings!$B$11-E51),0))</f>
        <v/>
      </c>
      <c r="I51" s="26" t="str">
        <f aca="false">IF($A51="","",N(INDEX(Workers!$L$5:$L$2004,MATCH($A51,Workers!$A$5:$A$2004,0))))</f>
        <v/>
      </c>
      <c r="J51" s="26" t="str">
        <f aca="false">IF($A51="","",N(INDEX(Workers!$M$5:$M$2004,MATCH($A51,Workers!$A$5:$A$2004,0))))</f>
        <v/>
      </c>
      <c r="K51" s="26" t="str">
        <f aca="false">IF($A51="","",IF(D51="Monthly",ROUND(MAX(0,(I51+J51)-(I51+J51)/Settings!$B$10*H51),2),0))</f>
        <v/>
      </c>
      <c r="L51" s="26" t="str">
        <f aca="false">IF($A51="","",IF(D51="Hourly",ROUND(F51*N(INDEX(Workers!$N$5:$N$2004,MATCH($A51,Workers!$A$5:$A$2004,0))),2),0))</f>
        <v/>
      </c>
      <c r="M51" s="26" t="str">
        <f aca="false">IF($A51="","",ROUND(G51*IF(D51="Hourly",N(INDEX(Workers!$N$5:$N$2004,MATCH($A51,Workers!$A$5:$A$2004,0))),I51/Settings!$B$10/Settings!$B$12)*Settings!$B$13,2))</f>
        <v/>
      </c>
      <c r="N51" s="26" t="str">
        <f aca="false">IF($A51="","",K51+L51+M51)</f>
        <v/>
      </c>
      <c r="O51" s="26" t="str">
        <f aca="false">IF($A51="","",SUMIFS(Deductions!$D$5:$D$2000,Deductions!$B$5:$B$2000,$A51,Deductions!$C$5:$C$2000,"Advance",Deductions!$E$5:$E$2000,"&gt;="&amp;Settings!$B$8,Deductions!$E$5:$E$2000,"&lt;="&amp;Settings!$B$9))</f>
        <v/>
      </c>
      <c r="P51" s="26" t="str">
        <f aca="false">IF($A51="","",SUMIFS(Deductions!$D$5:$D$2000,Deductions!$B$5:$B$2000,$A51,Deductions!$E$5:$E$2000,"&gt;="&amp;Settings!$B$8,Deductions!$E$5:$E$2000,"&lt;="&amp;Settings!$B$9)-O51)</f>
        <v/>
      </c>
      <c r="Q51" s="26" t="str">
        <f aca="false">IF($A51="","",O51+P51)</f>
        <v/>
      </c>
      <c r="R51" s="23" t="str">
        <f aca="false">IF($A51="","",N51-Q51)</f>
        <v/>
      </c>
      <c r="S51" s="24" t="str">
        <f aca="false">IF($A51="","",INDEX(Workers!$O$5:$O$2004,MATCH($A51,Workers!$A$5:$A$2004,0))&amp;"")</f>
        <v/>
      </c>
      <c r="T51" s="24" t="str">
        <f aca="false">IF($A51="","",INDEX(Workers!$P$5:$P$2004,MATCH($A51,Workers!$A$5:$A$2004,0))&amp;"")</f>
        <v/>
      </c>
      <c r="U51" s="24" t="str">
        <f aca="false">IF($A51="","",INDEX(Workers!$H$5:$H$2004,MATCH($A51,Workers!$A$5:$A$2004,0))&amp;"")</f>
        <v/>
      </c>
    </row>
    <row r="52" customFormat="false" ht="15" hidden="false" customHeight="false" outlineLevel="0" collapsed="false">
      <c r="A52" s="24" t="str">
        <f aca="false">IFERROR(INDEX(Workers!$A$5:$A$2004,MATCH(ROW()-4,Workers!$U$5:$U$2004,0)),"")</f>
        <v/>
      </c>
      <c r="B52" s="24" t="str">
        <f aca="false">IF($A52="","",INDEX(Workers!$B$5:$B$2004,MATCH($A52,Workers!$A$5:$A$2004,0)))</f>
        <v/>
      </c>
      <c r="C52" s="24" t="str">
        <f aca="false">IF($A52="","",INDEX(Workers!$E$5:$E$2004,MATCH($A52,Workers!$A$5:$A$2004,0)))</f>
        <v/>
      </c>
      <c r="D52" s="24" t="str">
        <f aca="false">IF($A52="","",INDEX(Workers!$K$5:$K$2004,MATCH($A52,Workers!$A$5:$A$2004,0)))</f>
        <v/>
      </c>
      <c r="E52" s="25" t="str">
        <f aca="false">IF($A52="","",SUMIFS(Timesheet!$E$5:$E$3004,Timesheet!$D$5:$D$3004,$A52,Timesheet!$A$5:$A$3004,"&gt;="&amp;Settings!$B$8,Timesheet!$A$5:$A$3004,"&lt;="&amp;Settings!$B$9))</f>
        <v/>
      </c>
      <c r="F52" s="25" t="str">
        <f aca="false">IF($A52="","",SUMIFS(Timesheet!$F$5:$F$3004,Timesheet!$D$5:$D$3004,$A52,Timesheet!$A$5:$A$3004,"&gt;="&amp;Settings!$B$8,Timesheet!$A$5:$A$3004,"&lt;="&amp;Settings!$B$9))</f>
        <v/>
      </c>
      <c r="G52" s="25" t="str">
        <f aca="false">IF($A52="","",SUMIFS(Timesheet!$G$5:$G$3004,Timesheet!$D$5:$D$3004,$A52,Timesheet!$A$5:$A$3004,"&gt;="&amp;Settings!$B$8,Timesheet!$A$5:$A$3004,"&lt;="&amp;Settings!$B$9))</f>
        <v/>
      </c>
      <c r="H52" s="25" t="str">
        <f aca="false">IF($A52="","",IF(D52="Monthly",MAX(0,Settings!$B$11-E52),0))</f>
        <v/>
      </c>
      <c r="I52" s="26" t="str">
        <f aca="false">IF($A52="","",N(INDEX(Workers!$L$5:$L$2004,MATCH($A52,Workers!$A$5:$A$2004,0))))</f>
        <v/>
      </c>
      <c r="J52" s="26" t="str">
        <f aca="false">IF($A52="","",N(INDEX(Workers!$M$5:$M$2004,MATCH($A52,Workers!$A$5:$A$2004,0))))</f>
        <v/>
      </c>
      <c r="K52" s="26" t="str">
        <f aca="false">IF($A52="","",IF(D52="Monthly",ROUND(MAX(0,(I52+J52)-(I52+J52)/Settings!$B$10*H52),2),0))</f>
        <v/>
      </c>
      <c r="L52" s="26" t="str">
        <f aca="false">IF($A52="","",IF(D52="Hourly",ROUND(F52*N(INDEX(Workers!$N$5:$N$2004,MATCH($A52,Workers!$A$5:$A$2004,0))),2),0))</f>
        <v/>
      </c>
      <c r="M52" s="26" t="str">
        <f aca="false">IF($A52="","",ROUND(G52*IF(D52="Hourly",N(INDEX(Workers!$N$5:$N$2004,MATCH($A52,Workers!$A$5:$A$2004,0))),I52/Settings!$B$10/Settings!$B$12)*Settings!$B$13,2))</f>
        <v/>
      </c>
      <c r="N52" s="26" t="str">
        <f aca="false">IF($A52="","",K52+L52+M52)</f>
        <v/>
      </c>
      <c r="O52" s="26" t="str">
        <f aca="false">IF($A52="","",SUMIFS(Deductions!$D$5:$D$2000,Deductions!$B$5:$B$2000,$A52,Deductions!$C$5:$C$2000,"Advance",Deductions!$E$5:$E$2000,"&gt;="&amp;Settings!$B$8,Deductions!$E$5:$E$2000,"&lt;="&amp;Settings!$B$9))</f>
        <v/>
      </c>
      <c r="P52" s="26" t="str">
        <f aca="false">IF($A52="","",SUMIFS(Deductions!$D$5:$D$2000,Deductions!$B$5:$B$2000,$A52,Deductions!$E$5:$E$2000,"&gt;="&amp;Settings!$B$8,Deductions!$E$5:$E$2000,"&lt;="&amp;Settings!$B$9)-O52)</f>
        <v/>
      </c>
      <c r="Q52" s="26" t="str">
        <f aca="false">IF($A52="","",O52+P52)</f>
        <v/>
      </c>
      <c r="R52" s="23" t="str">
        <f aca="false">IF($A52="","",N52-Q52)</f>
        <v/>
      </c>
      <c r="S52" s="24" t="str">
        <f aca="false">IF($A52="","",INDEX(Workers!$O$5:$O$2004,MATCH($A52,Workers!$A$5:$A$2004,0))&amp;"")</f>
        <v/>
      </c>
      <c r="T52" s="24" t="str">
        <f aca="false">IF($A52="","",INDEX(Workers!$P$5:$P$2004,MATCH($A52,Workers!$A$5:$A$2004,0))&amp;"")</f>
        <v/>
      </c>
      <c r="U52" s="24" t="str">
        <f aca="false">IF($A52="","",INDEX(Workers!$H$5:$H$2004,MATCH($A52,Workers!$A$5:$A$2004,0))&amp;"")</f>
        <v/>
      </c>
    </row>
    <row r="53" customFormat="false" ht="15" hidden="false" customHeight="false" outlineLevel="0" collapsed="false">
      <c r="A53" s="24" t="str">
        <f aca="false">IFERROR(INDEX(Workers!$A$5:$A$2004,MATCH(ROW()-4,Workers!$U$5:$U$2004,0)),"")</f>
        <v/>
      </c>
      <c r="B53" s="24" t="str">
        <f aca="false">IF($A53="","",INDEX(Workers!$B$5:$B$2004,MATCH($A53,Workers!$A$5:$A$2004,0)))</f>
        <v/>
      </c>
      <c r="C53" s="24" t="str">
        <f aca="false">IF($A53="","",INDEX(Workers!$E$5:$E$2004,MATCH($A53,Workers!$A$5:$A$2004,0)))</f>
        <v/>
      </c>
      <c r="D53" s="24" t="str">
        <f aca="false">IF($A53="","",INDEX(Workers!$K$5:$K$2004,MATCH($A53,Workers!$A$5:$A$2004,0)))</f>
        <v/>
      </c>
      <c r="E53" s="25" t="str">
        <f aca="false">IF($A53="","",SUMIFS(Timesheet!$E$5:$E$3004,Timesheet!$D$5:$D$3004,$A53,Timesheet!$A$5:$A$3004,"&gt;="&amp;Settings!$B$8,Timesheet!$A$5:$A$3004,"&lt;="&amp;Settings!$B$9))</f>
        <v/>
      </c>
      <c r="F53" s="25" t="str">
        <f aca="false">IF($A53="","",SUMIFS(Timesheet!$F$5:$F$3004,Timesheet!$D$5:$D$3004,$A53,Timesheet!$A$5:$A$3004,"&gt;="&amp;Settings!$B$8,Timesheet!$A$5:$A$3004,"&lt;="&amp;Settings!$B$9))</f>
        <v/>
      </c>
      <c r="G53" s="25" t="str">
        <f aca="false">IF($A53="","",SUMIFS(Timesheet!$G$5:$G$3004,Timesheet!$D$5:$D$3004,$A53,Timesheet!$A$5:$A$3004,"&gt;="&amp;Settings!$B$8,Timesheet!$A$5:$A$3004,"&lt;="&amp;Settings!$B$9))</f>
        <v/>
      </c>
      <c r="H53" s="25" t="str">
        <f aca="false">IF($A53="","",IF(D53="Monthly",MAX(0,Settings!$B$11-E53),0))</f>
        <v/>
      </c>
      <c r="I53" s="26" t="str">
        <f aca="false">IF($A53="","",N(INDEX(Workers!$L$5:$L$2004,MATCH($A53,Workers!$A$5:$A$2004,0))))</f>
        <v/>
      </c>
      <c r="J53" s="26" t="str">
        <f aca="false">IF($A53="","",N(INDEX(Workers!$M$5:$M$2004,MATCH($A53,Workers!$A$5:$A$2004,0))))</f>
        <v/>
      </c>
      <c r="K53" s="26" t="str">
        <f aca="false">IF($A53="","",IF(D53="Monthly",ROUND(MAX(0,(I53+J53)-(I53+J53)/Settings!$B$10*H53),2),0))</f>
        <v/>
      </c>
      <c r="L53" s="26" t="str">
        <f aca="false">IF($A53="","",IF(D53="Hourly",ROUND(F53*N(INDEX(Workers!$N$5:$N$2004,MATCH($A53,Workers!$A$5:$A$2004,0))),2),0))</f>
        <v/>
      </c>
      <c r="M53" s="26" t="str">
        <f aca="false">IF($A53="","",ROUND(G53*IF(D53="Hourly",N(INDEX(Workers!$N$5:$N$2004,MATCH($A53,Workers!$A$5:$A$2004,0))),I53/Settings!$B$10/Settings!$B$12)*Settings!$B$13,2))</f>
        <v/>
      </c>
      <c r="N53" s="26" t="str">
        <f aca="false">IF($A53="","",K53+L53+M53)</f>
        <v/>
      </c>
      <c r="O53" s="26" t="str">
        <f aca="false">IF($A53="","",SUMIFS(Deductions!$D$5:$D$2000,Deductions!$B$5:$B$2000,$A53,Deductions!$C$5:$C$2000,"Advance",Deductions!$E$5:$E$2000,"&gt;="&amp;Settings!$B$8,Deductions!$E$5:$E$2000,"&lt;="&amp;Settings!$B$9))</f>
        <v/>
      </c>
      <c r="P53" s="26" t="str">
        <f aca="false">IF($A53="","",SUMIFS(Deductions!$D$5:$D$2000,Deductions!$B$5:$B$2000,$A53,Deductions!$E$5:$E$2000,"&gt;="&amp;Settings!$B$8,Deductions!$E$5:$E$2000,"&lt;="&amp;Settings!$B$9)-O53)</f>
        <v/>
      </c>
      <c r="Q53" s="26" t="str">
        <f aca="false">IF($A53="","",O53+P53)</f>
        <v/>
      </c>
      <c r="R53" s="23" t="str">
        <f aca="false">IF($A53="","",N53-Q53)</f>
        <v/>
      </c>
      <c r="S53" s="24" t="str">
        <f aca="false">IF($A53="","",INDEX(Workers!$O$5:$O$2004,MATCH($A53,Workers!$A$5:$A$2004,0))&amp;"")</f>
        <v/>
      </c>
      <c r="T53" s="24" t="str">
        <f aca="false">IF($A53="","",INDEX(Workers!$P$5:$P$2004,MATCH($A53,Workers!$A$5:$A$2004,0))&amp;"")</f>
        <v/>
      </c>
      <c r="U53" s="24" t="str">
        <f aca="false">IF($A53="","",INDEX(Workers!$H$5:$H$2004,MATCH($A53,Workers!$A$5:$A$2004,0))&amp;"")</f>
        <v/>
      </c>
    </row>
    <row r="54" customFormat="false" ht="15" hidden="false" customHeight="false" outlineLevel="0" collapsed="false">
      <c r="A54" s="24" t="str">
        <f aca="false">IFERROR(INDEX(Workers!$A$5:$A$2004,MATCH(ROW()-4,Workers!$U$5:$U$2004,0)),"")</f>
        <v/>
      </c>
      <c r="B54" s="24" t="str">
        <f aca="false">IF($A54="","",INDEX(Workers!$B$5:$B$2004,MATCH($A54,Workers!$A$5:$A$2004,0)))</f>
        <v/>
      </c>
      <c r="C54" s="24" t="str">
        <f aca="false">IF($A54="","",INDEX(Workers!$E$5:$E$2004,MATCH($A54,Workers!$A$5:$A$2004,0)))</f>
        <v/>
      </c>
      <c r="D54" s="24" t="str">
        <f aca="false">IF($A54="","",INDEX(Workers!$K$5:$K$2004,MATCH($A54,Workers!$A$5:$A$2004,0)))</f>
        <v/>
      </c>
      <c r="E54" s="25" t="str">
        <f aca="false">IF($A54="","",SUMIFS(Timesheet!$E$5:$E$3004,Timesheet!$D$5:$D$3004,$A54,Timesheet!$A$5:$A$3004,"&gt;="&amp;Settings!$B$8,Timesheet!$A$5:$A$3004,"&lt;="&amp;Settings!$B$9))</f>
        <v/>
      </c>
      <c r="F54" s="25" t="str">
        <f aca="false">IF($A54="","",SUMIFS(Timesheet!$F$5:$F$3004,Timesheet!$D$5:$D$3004,$A54,Timesheet!$A$5:$A$3004,"&gt;="&amp;Settings!$B$8,Timesheet!$A$5:$A$3004,"&lt;="&amp;Settings!$B$9))</f>
        <v/>
      </c>
      <c r="G54" s="25" t="str">
        <f aca="false">IF($A54="","",SUMIFS(Timesheet!$G$5:$G$3004,Timesheet!$D$5:$D$3004,$A54,Timesheet!$A$5:$A$3004,"&gt;="&amp;Settings!$B$8,Timesheet!$A$5:$A$3004,"&lt;="&amp;Settings!$B$9))</f>
        <v/>
      </c>
      <c r="H54" s="25" t="str">
        <f aca="false">IF($A54="","",IF(D54="Monthly",MAX(0,Settings!$B$11-E54),0))</f>
        <v/>
      </c>
      <c r="I54" s="26" t="str">
        <f aca="false">IF($A54="","",N(INDEX(Workers!$L$5:$L$2004,MATCH($A54,Workers!$A$5:$A$2004,0))))</f>
        <v/>
      </c>
      <c r="J54" s="26" t="str">
        <f aca="false">IF($A54="","",N(INDEX(Workers!$M$5:$M$2004,MATCH($A54,Workers!$A$5:$A$2004,0))))</f>
        <v/>
      </c>
      <c r="K54" s="26" t="str">
        <f aca="false">IF($A54="","",IF(D54="Monthly",ROUND(MAX(0,(I54+J54)-(I54+J54)/Settings!$B$10*H54),2),0))</f>
        <v/>
      </c>
      <c r="L54" s="26" t="str">
        <f aca="false">IF($A54="","",IF(D54="Hourly",ROUND(F54*N(INDEX(Workers!$N$5:$N$2004,MATCH($A54,Workers!$A$5:$A$2004,0))),2),0))</f>
        <v/>
      </c>
      <c r="M54" s="26" t="str">
        <f aca="false">IF($A54="","",ROUND(G54*IF(D54="Hourly",N(INDEX(Workers!$N$5:$N$2004,MATCH($A54,Workers!$A$5:$A$2004,0))),I54/Settings!$B$10/Settings!$B$12)*Settings!$B$13,2))</f>
        <v/>
      </c>
      <c r="N54" s="26" t="str">
        <f aca="false">IF($A54="","",K54+L54+M54)</f>
        <v/>
      </c>
      <c r="O54" s="26" t="str">
        <f aca="false">IF($A54="","",SUMIFS(Deductions!$D$5:$D$2000,Deductions!$B$5:$B$2000,$A54,Deductions!$C$5:$C$2000,"Advance",Deductions!$E$5:$E$2000,"&gt;="&amp;Settings!$B$8,Deductions!$E$5:$E$2000,"&lt;="&amp;Settings!$B$9))</f>
        <v/>
      </c>
      <c r="P54" s="26" t="str">
        <f aca="false">IF($A54="","",SUMIFS(Deductions!$D$5:$D$2000,Deductions!$B$5:$B$2000,$A54,Deductions!$E$5:$E$2000,"&gt;="&amp;Settings!$B$8,Deductions!$E$5:$E$2000,"&lt;="&amp;Settings!$B$9)-O54)</f>
        <v/>
      </c>
      <c r="Q54" s="26" t="str">
        <f aca="false">IF($A54="","",O54+P54)</f>
        <v/>
      </c>
      <c r="R54" s="23" t="str">
        <f aca="false">IF($A54="","",N54-Q54)</f>
        <v/>
      </c>
      <c r="S54" s="24" t="str">
        <f aca="false">IF($A54="","",INDEX(Workers!$O$5:$O$2004,MATCH($A54,Workers!$A$5:$A$2004,0))&amp;"")</f>
        <v/>
      </c>
      <c r="T54" s="24" t="str">
        <f aca="false">IF($A54="","",INDEX(Workers!$P$5:$P$2004,MATCH($A54,Workers!$A$5:$A$2004,0))&amp;"")</f>
        <v/>
      </c>
      <c r="U54" s="24" t="str">
        <f aca="false">IF($A54="","",INDEX(Workers!$H$5:$H$2004,MATCH($A54,Workers!$A$5:$A$2004,0))&amp;"")</f>
        <v/>
      </c>
    </row>
    <row r="55" customFormat="false" ht="15" hidden="false" customHeight="false" outlineLevel="0" collapsed="false">
      <c r="A55" s="24" t="str">
        <f aca="false">IFERROR(INDEX(Workers!$A$5:$A$2004,MATCH(ROW()-4,Workers!$U$5:$U$2004,0)),"")</f>
        <v/>
      </c>
      <c r="B55" s="24" t="str">
        <f aca="false">IF($A55="","",INDEX(Workers!$B$5:$B$2004,MATCH($A55,Workers!$A$5:$A$2004,0)))</f>
        <v/>
      </c>
      <c r="C55" s="24" t="str">
        <f aca="false">IF($A55="","",INDEX(Workers!$E$5:$E$2004,MATCH($A55,Workers!$A$5:$A$2004,0)))</f>
        <v/>
      </c>
      <c r="D55" s="24" t="str">
        <f aca="false">IF($A55="","",INDEX(Workers!$K$5:$K$2004,MATCH($A55,Workers!$A$5:$A$2004,0)))</f>
        <v/>
      </c>
      <c r="E55" s="25" t="str">
        <f aca="false">IF($A55="","",SUMIFS(Timesheet!$E$5:$E$3004,Timesheet!$D$5:$D$3004,$A55,Timesheet!$A$5:$A$3004,"&gt;="&amp;Settings!$B$8,Timesheet!$A$5:$A$3004,"&lt;="&amp;Settings!$B$9))</f>
        <v/>
      </c>
      <c r="F55" s="25" t="str">
        <f aca="false">IF($A55="","",SUMIFS(Timesheet!$F$5:$F$3004,Timesheet!$D$5:$D$3004,$A55,Timesheet!$A$5:$A$3004,"&gt;="&amp;Settings!$B$8,Timesheet!$A$5:$A$3004,"&lt;="&amp;Settings!$B$9))</f>
        <v/>
      </c>
      <c r="G55" s="25" t="str">
        <f aca="false">IF($A55="","",SUMIFS(Timesheet!$G$5:$G$3004,Timesheet!$D$5:$D$3004,$A55,Timesheet!$A$5:$A$3004,"&gt;="&amp;Settings!$B$8,Timesheet!$A$5:$A$3004,"&lt;="&amp;Settings!$B$9))</f>
        <v/>
      </c>
      <c r="H55" s="25" t="str">
        <f aca="false">IF($A55="","",IF(D55="Monthly",MAX(0,Settings!$B$11-E55),0))</f>
        <v/>
      </c>
      <c r="I55" s="26" t="str">
        <f aca="false">IF($A55="","",N(INDEX(Workers!$L$5:$L$2004,MATCH($A55,Workers!$A$5:$A$2004,0))))</f>
        <v/>
      </c>
      <c r="J55" s="26" t="str">
        <f aca="false">IF($A55="","",N(INDEX(Workers!$M$5:$M$2004,MATCH($A55,Workers!$A$5:$A$2004,0))))</f>
        <v/>
      </c>
      <c r="K55" s="26" t="str">
        <f aca="false">IF($A55="","",IF(D55="Monthly",ROUND(MAX(0,(I55+J55)-(I55+J55)/Settings!$B$10*H55),2),0))</f>
        <v/>
      </c>
      <c r="L55" s="26" t="str">
        <f aca="false">IF($A55="","",IF(D55="Hourly",ROUND(F55*N(INDEX(Workers!$N$5:$N$2004,MATCH($A55,Workers!$A$5:$A$2004,0))),2),0))</f>
        <v/>
      </c>
      <c r="M55" s="26" t="str">
        <f aca="false">IF($A55="","",ROUND(G55*IF(D55="Hourly",N(INDEX(Workers!$N$5:$N$2004,MATCH($A55,Workers!$A$5:$A$2004,0))),I55/Settings!$B$10/Settings!$B$12)*Settings!$B$13,2))</f>
        <v/>
      </c>
      <c r="N55" s="26" t="str">
        <f aca="false">IF($A55="","",K55+L55+M55)</f>
        <v/>
      </c>
      <c r="O55" s="26" t="str">
        <f aca="false">IF($A55="","",SUMIFS(Deductions!$D$5:$D$2000,Deductions!$B$5:$B$2000,$A55,Deductions!$C$5:$C$2000,"Advance",Deductions!$E$5:$E$2000,"&gt;="&amp;Settings!$B$8,Deductions!$E$5:$E$2000,"&lt;="&amp;Settings!$B$9))</f>
        <v/>
      </c>
      <c r="P55" s="26" t="str">
        <f aca="false">IF($A55="","",SUMIFS(Deductions!$D$5:$D$2000,Deductions!$B$5:$B$2000,$A55,Deductions!$E$5:$E$2000,"&gt;="&amp;Settings!$B$8,Deductions!$E$5:$E$2000,"&lt;="&amp;Settings!$B$9)-O55)</f>
        <v/>
      </c>
      <c r="Q55" s="26" t="str">
        <f aca="false">IF($A55="","",O55+P55)</f>
        <v/>
      </c>
      <c r="R55" s="23" t="str">
        <f aca="false">IF($A55="","",N55-Q55)</f>
        <v/>
      </c>
      <c r="S55" s="24" t="str">
        <f aca="false">IF($A55="","",INDEX(Workers!$O$5:$O$2004,MATCH($A55,Workers!$A$5:$A$2004,0))&amp;"")</f>
        <v/>
      </c>
      <c r="T55" s="24" t="str">
        <f aca="false">IF($A55="","",INDEX(Workers!$P$5:$P$2004,MATCH($A55,Workers!$A$5:$A$2004,0))&amp;"")</f>
        <v/>
      </c>
      <c r="U55" s="24" t="str">
        <f aca="false">IF($A55="","",INDEX(Workers!$H$5:$H$2004,MATCH($A55,Workers!$A$5:$A$2004,0))&amp;"")</f>
        <v/>
      </c>
    </row>
    <row r="56" customFormat="false" ht="15" hidden="false" customHeight="false" outlineLevel="0" collapsed="false">
      <c r="A56" s="24" t="str">
        <f aca="false">IFERROR(INDEX(Workers!$A$5:$A$2004,MATCH(ROW()-4,Workers!$U$5:$U$2004,0)),"")</f>
        <v/>
      </c>
      <c r="B56" s="24" t="str">
        <f aca="false">IF($A56="","",INDEX(Workers!$B$5:$B$2004,MATCH($A56,Workers!$A$5:$A$2004,0)))</f>
        <v/>
      </c>
      <c r="C56" s="24" t="str">
        <f aca="false">IF($A56="","",INDEX(Workers!$E$5:$E$2004,MATCH($A56,Workers!$A$5:$A$2004,0)))</f>
        <v/>
      </c>
      <c r="D56" s="24" t="str">
        <f aca="false">IF($A56="","",INDEX(Workers!$K$5:$K$2004,MATCH($A56,Workers!$A$5:$A$2004,0)))</f>
        <v/>
      </c>
      <c r="E56" s="25" t="str">
        <f aca="false">IF($A56="","",SUMIFS(Timesheet!$E$5:$E$3004,Timesheet!$D$5:$D$3004,$A56,Timesheet!$A$5:$A$3004,"&gt;="&amp;Settings!$B$8,Timesheet!$A$5:$A$3004,"&lt;="&amp;Settings!$B$9))</f>
        <v/>
      </c>
      <c r="F56" s="25" t="str">
        <f aca="false">IF($A56="","",SUMIFS(Timesheet!$F$5:$F$3004,Timesheet!$D$5:$D$3004,$A56,Timesheet!$A$5:$A$3004,"&gt;="&amp;Settings!$B$8,Timesheet!$A$5:$A$3004,"&lt;="&amp;Settings!$B$9))</f>
        <v/>
      </c>
      <c r="G56" s="25" t="str">
        <f aca="false">IF($A56="","",SUMIFS(Timesheet!$G$5:$G$3004,Timesheet!$D$5:$D$3004,$A56,Timesheet!$A$5:$A$3004,"&gt;="&amp;Settings!$B$8,Timesheet!$A$5:$A$3004,"&lt;="&amp;Settings!$B$9))</f>
        <v/>
      </c>
      <c r="H56" s="25" t="str">
        <f aca="false">IF($A56="","",IF(D56="Monthly",MAX(0,Settings!$B$11-E56),0))</f>
        <v/>
      </c>
      <c r="I56" s="26" t="str">
        <f aca="false">IF($A56="","",N(INDEX(Workers!$L$5:$L$2004,MATCH($A56,Workers!$A$5:$A$2004,0))))</f>
        <v/>
      </c>
      <c r="J56" s="26" t="str">
        <f aca="false">IF($A56="","",N(INDEX(Workers!$M$5:$M$2004,MATCH($A56,Workers!$A$5:$A$2004,0))))</f>
        <v/>
      </c>
      <c r="K56" s="26" t="str">
        <f aca="false">IF($A56="","",IF(D56="Monthly",ROUND(MAX(0,(I56+J56)-(I56+J56)/Settings!$B$10*H56),2),0))</f>
        <v/>
      </c>
      <c r="L56" s="26" t="str">
        <f aca="false">IF($A56="","",IF(D56="Hourly",ROUND(F56*N(INDEX(Workers!$N$5:$N$2004,MATCH($A56,Workers!$A$5:$A$2004,0))),2),0))</f>
        <v/>
      </c>
      <c r="M56" s="26" t="str">
        <f aca="false">IF($A56="","",ROUND(G56*IF(D56="Hourly",N(INDEX(Workers!$N$5:$N$2004,MATCH($A56,Workers!$A$5:$A$2004,0))),I56/Settings!$B$10/Settings!$B$12)*Settings!$B$13,2))</f>
        <v/>
      </c>
      <c r="N56" s="26" t="str">
        <f aca="false">IF($A56="","",K56+L56+M56)</f>
        <v/>
      </c>
      <c r="O56" s="26" t="str">
        <f aca="false">IF($A56="","",SUMIFS(Deductions!$D$5:$D$2000,Deductions!$B$5:$B$2000,$A56,Deductions!$C$5:$C$2000,"Advance",Deductions!$E$5:$E$2000,"&gt;="&amp;Settings!$B$8,Deductions!$E$5:$E$2000,"&lt;="&amp;Settings!$B$9))</f>
        <v/>
      </c>
      <c r="P56" s="26" t="str">
        <f aca="false">IF($A56="","",SUMIFS(Deductions!$D$5:$D$2000,Deductions!$B$5:$B$2000,$A56,Deductions!$E$5:$E$2000,"&gt;="&amp;Settings!$B$8,Deductions!$E$5:$E$2000,"&lt;="&amp;Settings!$B$9)-O56)</f>
        <v/>
      </c>
      <c r="Q56" s="26" t="str">
        <f aca="false">IF($A56="","",O56+P56)</f>
        <v/>
      </c>
      <c r="R56" s="23" t="str">
        <f aca="false">IF($A56="","",N56-Q56)</f>
        <v/>
      </c>
      <c r="S56" s="24" t="str">
        <f aca="false">IF($A56="","",INDEX(Workers!$O$5:$O$2004,MATCH($A56,Workers!$A$5:$A$2004,0))&amp;"")</f>
        <v/>
      </c>
      <c r="T56" s="24" t="str">
        <f aca="false">IF($A56="","",INDEX(Workers!$P$5:$P$2004,MATCH($A56,Workers!$A$5:$A$2004,0))&amp;"")</f>
        <v/>
      </c>
      <c r="U56" s="24" t="str">
        <f aca="false">IF($A56="","",INDEX(Workers!$H$5:$H$2004,MATCH($A56,Workers!$A$5:$A$2004,0))&amp;"")</f>
        <v/>
      </c>
    </row>
    <row r="57" customFormat="false" ht="15" hidden="false" customHeight="false" outlineLevel="0" collapsed="false">
      <c r="A57" s="24" t="str">
        <f aca="false">IFERROR(INDEX(Workers!$A$5:$A$2004,MATCH(ROW()-4,Workers!$U$5:$U$2004,0)),"")</f>
        <v/>
      </c>
      <c r="B57" s="24" t="str">
        <f aca="false">IF($A57="","",INDEX(Workers!$B$5:$B$2004,MATCH($A57,Workers!$A$5:$A$2004,0)))</f>
        <v/>
      </c>
      <c r="C57" s="24" t="str">
        <f aca="false">IF($A57="","",INDEX(Workers!$E$5:$E$2004,MATCH($A57,Workers!$A$5:$A$2004,0)))</f>
        <v/>
      </c>
      <c r="D57" s="24" t="str">
        <f aca="false">IF($A57="","",INDEX(Workers!$K$5:$K$2004,MATCH($A57,Workers!$A$5:$A$2004,0)))</f>
        <v/>
      </c>
      <c r="E57" s="25" t="str">
        <f aca="false">IF($A57="","",SUMIFS(Timesheet!$E$5:$E$3004,Timesheet!$D$5:$D$3004,$A57,Timesheet!$A$5:$A$3004,"&gt;="&amp;Settings!$B$8,Timesheet!$A$5:$A$3004,"&lt;="&amp;Settings!$B$9))</f>
        <v/>
      </c>
      <c r="F57" s="25" t="str">
        <f aca="false">IF($A57="","",SUMIFS(Timesheet!$F$5:$F$3004,Timesheet!$D$5:$D$3004,$A57,Timesheet!$A$5:$A$3004,"&gt;="&amp;Settings!$B$8,Timesheet!$A$5:$A$3004,"&lt;="&amp;Settings!$B$9))</f>
        <v/>
      </c>
      <c r="G57" s="25" t="str">
        <f aca="false">IF($A57="","",SUMIFS(Timesheet!$G$5:$G$3004,Timesheet!$D$5:$D$3004,$A57,Timesheet!$A$5:$A$3004,"&gt;="&amp;Settings!$B$8,Timesheet!$A$5:$A$3004,"&lt;="&amp;Settings!$B$9))</f>
        <v/>
      </c>
      <c r="H57" s="25" t="str">
        <f aca="false">IF($A57="","",IF(D57="Monthly",MAX(0,Settings!$B$11-E57),0))</f>
        <v/>
      </c>
      <c r="I57" s="26" t="str">
        <f aca="false">IF($A57="","",N(INDEX(Workers!$L$5:$L$2004,MATCH($A57,Workers!$A$5:$A$2004,0))))</f>
        <v/>
      </c>
      <c r="J57" s="26" t="str">
        <f aca="false">IF($A57="","",N(INDEX(Workers!$M$5:$M$2004,MATCH($A57,Workers!$A$5:$A$2004,0))))</f>
        <v/>
      </c>
      <c r="K57" s="26" t="str">
        <f aca="false">IF($A57="","",IF(D57="Monthly",ROUND(MAX(0,(I57+J57)-(I57+J57)/Settings!$B$10*H57),2),0))</f>
        <v/>
      </c>
      <c r="L57" s="26" t="str">
        <f aca="false">IF($A57="","",IF(D57="Hourly",ROUND(F57*N(INDEX(Workers!$N$5:$N$2004,MATCH($A57,Workers!$A$5:$A$2004,0))),2),0))</f>
        <v/>
      </c>
      <c r="M57" s="26" t="str">
        <f aca="false">IF($A57="","",ROUND(G57*IF(D57="Hourly",N(INDEX(Workers!$N$5:$N$2004,MATCH($A57,Workers!$A$5:$A$2004,0))),I57/Settings!$B$10/Settings!$B$12)*Settings!$B$13,2))</f>
        <v/>
      </c>
      <c r="N57" s="26" t="str">
        <f aca="false">IF($A57="","",K57+L57+M57)</f>
        <v/>
      </c>
      <c r="O57" s="26" t="str">
        <f aca="false">IF($A57="","",SUMIFS(Deductions!$D$5:$D$2000,Deductions!$B$5:$B$2000,$A57,Deductions!$C$5:$C$2000,"Advance",Deductions!$E$5:$E$2000,"&gt;="&amp;Settings!$B$8,Deductions!$E$5:$E$2000,"&lt;="&amp;Settings!$B$9))</f>
        <v/>
      </c>
      <c r="P57" s="26" t="str">
        <f aca="false">IF($A57="","",SUMIFS(Deductions!$D$5:$D$2000,Deductions!$B$5:$B$2000,$A57,Deductions!$E$5:$E$2000,"&gt;="&amp;Settings!$B$8,Deductions!$E$5:$E$2000,"&lt;="&amp;Settings!$B$9)-O57)</f>
        <v/>
      </c>
      <c r="Q57" s="26" t="str">
        <f aca="false">IF($A57="","",O57+P57)</f>
        <v/>
      </c>
      <c r="R57" s="23" t="str">
        <f aca="false">IF($A57="","",N57-Q57)</f>
        <v/>
      </c>
      <c r="S57" s="24" t="str">
        <f aca="false">IF($A57="","",INDEX(Workers!$O$5:$O$2004,MATCH($A57,Workers!$A$5:$A$2004,0))&amp;"")</f>
        <v/>
      </c>
      <c r="T57" s="24" t="str">
        <f aca="false">IF($A57="","",INDEX(Workers!$P$5:$P$2004,MATCH($A57,Workers!$A$5:$A$2004,0))&amp;"")</f>
        <v/>
      </c>
      <c r="U57" s="24" t="str">
        <f aca="false">IF($A57="","",INDEX(Workers!$H$5:$H$2004,MATCH($A57,Workers!$A$5:$A$2004,0))&amp;"")</f>
        <v/>
      </c>
    </row>
    <row r="58" customFormat="false" ht="15" hidden="false" customHeight="false" outlineLevel="0" collapsed="false">
      <c r="A58" s="24" t="str">
        <f aca="false">IFERROR(INDEX(Workers!$A$5:$A$2004,MATCH(ROW()-4,Workers!$U$5:$U$2004,0)),"")</f>
        <v/>
      </c>
      <c r="B58" s="24" t="str">
        <f aca="false">IF($A58="","",INDEX(Workers!$B$5:$B$2004,MATCH($A58,Workers!$A$5:$A$2004,0)))</f>
        <v/>
      </c>
      <c r="C58" s="24" t="str">
        <f aca="false">IF($A58="","",INDEX(Workers!$E$5:$E$2004,MATCH($A58,Workers!$A$5:$A$2004,0)))</f>
        <v/>
      </c>
      <c r="D58" s="24" t="str">
        <f aca="false">IF($A58="","",INDEX(Workers!$K$5:$K$2004,MATCH($A58,Workers!$A$5:$A$2004,0)))</f>
        <v/>
      </c>
      <c r="E58" s="25" t="str">
        <f aca="false">IF($A58="","",SUMIFS(Timesheet!$E$5:$E$3004,Timesheet!$D$5:$D$3004,$A58,Timesheet!$A$5:$A$3004,"&gt;="&amp;Settings!$B$8,Timesheet!$A$5:$A$3004,"&lt;="&amp;Settings!$B$9))</f>
        <v/>
      </c>
      <c r="F58" s="25" t="str">
        <f aca="false">IF($A58="","",SUMIFS(Timesheet!$F$5:$F$3004,Timesheet!$D$5:$D$3004,$A58,Timesheet!$A$5:$A$3004,"&gt;="&amp;Settings!$B$8,Timesheet!$A$5:$A$3004,"&lt;="&amp;Settings!$B$9))</f>
        <v/>
      </c>
      <c r="G58" s="25" t="str">
        <f aca="false">IF($A58="","",SUMIFS(Timesheet!$G$5:$G$3004,Timesheet!$D$5:$D$3004,$A58,Timesheet!$A$5:$A$3004,"&gt;="&amp;Settings!$B$8,Timesheet!$A$5:$A$3004,"&lt;="&amp;Settings!$B$9))</f>
        <v/>
      </c>
      <c r="H58" s="25" t="str">
        <f aca="false">IF($A58="","",IF(D58="Monthly",MAX(0,Settings!$B$11-E58),0))</f>
        <v/>
      </c>
      <c r="I58" s="26" t="str">
        <f aca="false">IF($A58="","",N(INDEX(Workers!$L$5:$L$2004,MATCH($A58,Workers!$A$5:$A$2004,0))))</f>
        <v/>
      </c>
      <c r="J58" s="26" t="str">
        <f aca="false">IF($A58="","",N(INDEX(Workers!$M$5:$M$2004,MATCH($A58,Workers!$A$5:$A$2004,0))))</f>
        <v/>
      </c>
      <c r="K58" s="26" t="str">
        <f aca="false">IF($A58="","",IF(D58="Monthly",ROUND(MAX(0,(I58+J58)-(I58+J58)/Settings!$B$10*H58),2),0))</f>
        <v/>
      </c>
      <c r="L58" s="26" t="str">
        <f aca="false">IF($A58="","",IF(D58="Hourly",ROUND(F58*N(INDEX(Workers!$N$5:$N$2004,MATCH($A58,Workers!$A$5:$A$2004,0))),2),0))</f>
        <v/>
      </c>
      <c r="M58" s="26" t="str">
        <f aca="false">IF($A58="","",ROUND(G58*IF(D58="Hourly",N(INDEX(Workers!$N$5:$N$2004,MATCH($A58,Workers!$A$5:$A$2004,0))),I58/Settings!$B$10/Settings!$B$12)*Settings!$B$13,2))</f>
        <v/>
      </c>
      <c r="N58" s="26" t="str">
        <f aca="false">IF($A58="","",K58+L58+M58)</f>
        <v/>
      </c>
      <c r="O58" s="26" t="str">
        <f aca="false">IF($A58="","",SUMIFS(Deductions!$D$5:$D$2000,Deductions!$B$5:$B$2000,$A58,Deductions!$C$5:$C$2000,"Advance",Deductions!$E$5:$E$2000,"&gt;="&amp;Settings!$B$8,Deductions!$E$5:$E$2000,"&lt;="&amp;Settings!$B$9))</f>
        <v/>
      </c>
      <c r="P58" s="26" t="str">
        <f aca="false">IF($A58="","",SUMIFS(Deductions!$D$5:$D$2000,Deductions!$B$5:$B$2000,$A58,Deductions!$E$5:$E$2000,"&gt;="&amp;Settings!$B$8,Deductions!$E$5:$E$2000,"&lt;="&amp;Settings!$B$9)-O58)</f>
        <v/>
      </c>
      <c r="Q58" s="26" t="str">
        <f aca="false">IF($A58="","",O58+P58)</f>
        <v/>
      </c>
      <c r="R58" s="23" t="str">
        <f aca="false">IF($A58="","",N58-Q58)</f>
        <v/>
      </c>
      <c r="S58" s="24" t="str">
        <f aca="false">IF($A58="","",INDEX(Workers!$O$5:$O$2004,MATCH($A58,Workers!$A$5:$A$2004,0))&amp;"")</f>
        <v/>
      </c>
      <c r="T58" s="24" t="str">
        <f aca="false">IF($A58="","",INDEX(Workers!$P$5:$P$2004,MATCH($A58,Workers!$A$5:$A$2004,0))&amp;"")</f>
        <v/>
      </c>
      <c r="U58" s="24" t="str">
        <f aca="false">IF($A58="","",INDEX(Workers!$H$5:$H$2004,MATCH($A58,Workers!$A$5:$A$2004,0))&amp;"")</f>
        <v/>
      </c>
    </row>
    <row r="59" customFormat="false" ht="15" hidden="false" customHeight="false" outlineLevel="0" collapsed="false">
      <c r="A59" s="24" t="str">
        <f aca="false">IFERROR(INDEX(Workers!$A$5:$A$2004,MATCH(ROW()-4,Workers!$U$5:$U$2004,0)),"")</f>
        <v/>
      </c>
      <c r="B59" s="24" t="str">
        <f aca="false">IF($A59="","",INDEX(Workers!$B$5:$B$2004,MATCH($A59,Workers!$A$5:$A$2004,0)))</f>
        <v/>
      </c>
      <c r="C59" s="24" t="str">
        <f aca="false">IF($A59="","",INDEX(Workers!$E$5:$E$2004,MATCH($A59,Workers!$A$5:$A$2004,0)))</f>
        <v/>
      </c>
      <c r="D59" s="24" t="str">
        <f aca="false">IF($A59="","",INDEX(Workers!$K$5:$K$2004,MATCH($A59,Workers!$A$5:$A$2004,0)))</f>
        <v/>
      </c>
      <c r="E59" s="25" t="str">
        <f aca="false">IF($A59="","",SUMIFS(Timesheet!$E$5:$E$3004,Timesheet!$D$5:$D$3004,$A59,Timesheet!$A$5:$A$3004,"&gt;="&amp;Settings!$B$8,Timesheet!$A$5:$A$3004,"&lt;="&amp;Settings!$B$9))</f>
        <v/>
      </c>
      <c r="F59" s="25" t="str">
        <f aca="false">IF($A59="","",SUMIFS(Timesheet!$F$5:$F$3004,Timesheet!$D$5:$D$3004,$A59,Timesheet!$A$5:$A$3004,"&gt;="&amp;Settings!$B$8,Timesheet!$A$5:$A$3004,"&lt;="&amp;Settings!$B$9))</f>
        <v/>
      </c>
      <c r="G59" s="25" t="str">
        <f aca="false">IF($A59="","",SUMIFS(Timesheet!$G$5:$G$3004,Timesheet!$D$5:$D$3004,$A59,Timesheet!$A$5:$A$3004,"&gt;="&amp;Settings!$B$8,Timesheet!$A$5:$A$3004,"&lt;="&amp;Settings!$B$9))</f>
        <v/>
      </c>
      <c r="H59" s="25" t="str">
        <f aca="false">IF($A59="","",IF(D59="Monthly",MAX(0,Settings!$B$11-E59),0))</f>
        <v/>
      </c>
      <c r="I59" s="26" t="str">
        <f aca="false">IF($A59="","",N(INDEX(Workers!$L$5:$L$2004,MATCH($A59,Workers!$A$5:$A$2004,0))))</f>
        <v/>
      </c>
      <c r="J59" s="26" t="str">
        <f aca="false">IF($A59="","",N(INDEX(Workers!$M$5:$M$2004,MATCH($A59,Workers!$A$5:$A$2004,0))))</f>
        <v/>
      </c>
      <c r="K59" s="26" t="str">
        <f aca="false">IF($A59="","",IF(D59="Monthly",ROUND(MAX(0,(I59+J59)-(I59+J59)/Settings!$B$10*H59),2),0))</f>
        <v/>
      </c>
      <c r="L59" s="26" t="str">
        <f aca="false">IF($A59="","",IF(D59="Hourly",ROUND(F59*N(INDEX(Workers!$N$5:$N$2004,MATCH($A59,Workers!$A$5:$A$2004,0))),2),0))</f>
        <v/>
      </c>
      <c r="M59" s="26" t="str">
        <f aca="false">IF($A59="","",ROUND(G59*IF(D59="Hourly",N(INDEX(Workers!$N$5:$N$2004,MATCH($A59,Workers!$A$5:$A$2004,0))),I59/Settings!$B$10/Settings!$B$12)*Settings!$B$13,2))</f>
        <v/>
      </c>
      <c r="N59" s="26" t="str">
        <f aca="false">IF($A59="","",K59+L59+M59)</f>
        <v/>
      </c>
      <c r="O59" s="26" t="str">
        <f aca="false">IF($A59="","",SUMIFS(Deductions!$D$5:$D$2000,Deductions!$B$5:$B$2000,$A59,Deductions!$C$5:$C$2000,"Advance",Deductions!$E$5:$E$2000,"&gt;="&amp;Settings!$B$8,Deductions!$E$5:$E$2000,"&lt;="&amp;Settings!$B$9))</f>
        <v/>
      </c>
      <c r="P59" s="26" t="str">
        <f aca="false">IF($A59="","",SUMIFS(Deductions!$D$5:$D$2000,Deductions!$B$5:$B$2000,$A59,Deductions!$E$5:$E$2000,"&gt;="&amp;Settings!$B$8,Deductions!$E$5:$E$2000,"&lt;="&amp;Settings!$B$9)-O59)</f>
        <v/>
      </c>
      <c r="Q59" s="26" t="str">
        <f aca="false">IF($A59="","",O59+P59)</f>
        <v/>
      </c>
      <c r="R59" s="23" t="str">
        <f aca="false">IF($A59="","",N59-Q59)</f>
        <v/>
      </c>
      <c r="S59" s="24" t="str">
        <f aca="false">IF($A59="","",INDEX(Workers!$O$5:$O$2004,MATCH($A59,Workers!$A$5:$A$2004,0))&amp;"")</f>
        <v/>
      </c>
      <c r="T59" s="24" t="str">
        <f aca="false">IF($A59="","",INDEX(Workers!$P$5:$P$2004,MATCH($A59,Workers!$A$5:$A$2004,0))&amp;"")</f>
        <v/>
      </c>
      <c r="U59" s="24" t="str">
        <f aca="false">IF($A59="","",INDEX(Workers!$H$5:$H$2004,MATCH($A59,Workers!$A$5:$A$2004,0))&amp;"")</f>
        <v/>
      </c>
    </row>
    <row r="60" customFormat="false" ht="15" hidden="false" customHeight="false" outlineLevel="0" collapsed="false">
      <c r="A60" s="24" t="str">
        <f aca="false">IFERROR(INDEX(Workers!$A$5:$A$2004,MATCH(ROW()-4,Workers!$U$5:$U$2004,0)),"")</f>
        <v/>
      </c>
      <c r="B60" s="24" t="str">
        <f aca="false">IF($A60="","",INDEX(Workers!$B$5:$B$2004,MATCH($A60,Workers!$A$5:$A$2004,0)))</f>
        <v/>
      </c>
      <c r="C60" s="24" t="str">
        <f aca="false">IF($A60="","",INDEX(Workers!$E$5:$E$2004,MATCH($A60,Workers!$A$5:$A$2004,0)))</f>
        <v/>
      </c>
      <c r="D60" s="24" t="str">
        <f aca="false">IF($A60="","",INDEX(Workers!$K$5:$K$2004,MATCH($A60,Workers!$A$5:$A$2004,0)))</f>
        <v/>
      </c>
      <c r="E60" s="25" t="str">
        <f aca="false">IF($A60="","",SUMIFS(Timesheet!$E$5:$E$3004,Timesheet!$D$5:$D$3004,$A60,Timesheet!$A$5:$A$3004,"&gt;="&amp;Settings!$B$8,Timesheet!$A$5:$A$3004,"&lt;="&amp;Settings!$B$9))</f>
        <v/>
      </c>
      <c r="F60" s="25" t="str">
        <f aca="false">IF($A60="","",SUMIFS(Timesheet!$F$5:$F$3004,Timesheet!$D$5:$D$3004,$A60,Timesheet!$A$5:$A$3004,"&gt;="&amp;Settings!$B$8,Timesheet!$A$5:$A$3004,"&lt;="&amp;Settings!$B$9))</f>
        <v/>
      </c>
      <c r="G60" s="25" t="str">
        <f aca="false">IF($A60="","",SUMIFS(Timesheet!$G$5:$G$3004,Timesheet!$D$5:$D$3004,$A60,Timesheet!$A$5:$A$3004,"&gt;="&amp;Settings!$B$8,Timesheet!$A$5:$A$3004,"&lt;="&amp;Settings!$B$9))</f>
        <v/>
      </c>
      <c r="H60" s="25" t="str">
        <f aca="false">IF($A60="","",IF(D60="Monthly",MAX(0,Settings!$B$11-E60),0))</f>
        <v/>
      </c>
      <c r="I60" s="26" t="str">
        <f aca="false">IF($A60="","",N(INDEX(Workers!$L$5:$L$2004,MATCH($A60,Workers!$A$5:$A$2004,0))))</f>
        <v/>
      </c>
      <c r="J60" s="26" t="str">
        <f aca="false">IF($A60="","",N(INDEX(Workers!$M$5:$M$2004,MATCH($A60,Workers!$A$5:$A$2004,0))))</f>
        <v/>
      </c>
      <c r="K60" s="26" t="str">
        <f aca="false">IF($A60="","",IF(D60="Monthly",ROUND(MAX(0,(I60+J60)-(I60+J60)/Settings!$B$10*H60),2),0))</f>
        <v/>
      </c>
      <c r="L60" s="26" t="str">
        <f aca="false">IF($A60="","",IF(D60="Hourly",ROUND(F60*N(INDEX(Workers!$N$5:$N$2004,MATCH($A60,Workers!$A$5:$A$2004,0))),2),0))</f>
        <v/>
      </c>
      <c r="M60" s="26" t="str">
        <f aca="false">IF($A60="","",ROUND(G60*IF(D60="Hourly",N(INDEX(Workers!$N$5:$N$2004,MATCH($A60,Workers!$A$5:$A$2004,0))),I60/Settings!$B$10/Settings!$B$12)*Settings!$B$13,2))</f>
        <v/>
      </c>
      <c r="N60" s="26" t="str">
        <f aca="false">IF($A60="","",K60+L60+M60)</f>
        <v/>
      </c>
      <c r="O60" s="26" t="str">
        <f aca="false">IF($A60="","",SUMIFS(Deductions!$D$5:$D$2000,Deductions!$B$5:$B$2000,$A60,Deductions!$C$5:$C$2000,"Advance",Deductions!$E$5:$E$2000,"&gt;="&amp;Settings!$B$8,Deductions!$E$5:$E$2000,"&lt;="&amp;Settings!$B$9))</f>
        <v/>
      </c>
      <c r="P60" s="26" t="str">
        <f aca="false">IF($A60="","",SUMIFS(Deductions!$D$5:$D$2000,Deductions!$B$5:$B$2000,$A60,Deductions!$E$5:$E$2000,"&gt;="&amp;Settings!$B$8,Deductions!$E$5:$E$2000,"&lt;="&amp;Settings!$B$9)-O60)</f>
        <v/>
      </c>
      <c r="Q60" s="26" t="str">
        <f aca="false">IF($A60="","",O60+P60)</f>
        <v/>
      </c>
      <c r="R60" s="23" t="str">
        <f aca="false">IF($A60="","",N60-Q60)</f>
        <v/>
      </c>
      <c r="S60" s="24" t="str">
        <f aca="false">IF($A60="","",INDEX(Workers!$O$5:$O$2004,MATCH($A60,Workers!$A$5:$A$2004,0))&amp;"")</f>
        <v/>
      </c>
      <c r="T60" s="24" t="str">
        <f aca="false">IF($A60="","",INDEX(Workers!$P$5:$P$2004,MATCH($A60,Workers!$A$5:$A$2004,0))&amp;"")</f>
        <v/>
      </c>
      <c r="U60" s="24" t="str">
        <f aca="false">IF($A60="","",INDEX(Workers!$H$5:$H$2004,MATCH($A60,Workers!$A$5:$A$2004,0))&amp;"")</f>
        <v/>
      </c>
    </row>
    <row r="61" customFormat="false" ht="15" hidden="false" customHeight="false" outlineLevel="0" collapsed="false">
      <c r="A61" s="24" t="str">
        <f aca="false">IFERROR(INDEX(Workers!$A$5:$A$2004,MATCH(ROW()-4,Workers!$U$5:$U$2004,0)),"")</f>
        <v/>
      </c>
      <c r="B61" s="24" t="str">
        <f aca="false">IF($A61="","",INDEX(Workers!$B$5:$B$2004,MATCH($A61,Workers!$A$5:$A$2004,0)))</f>
        <v/>
      </c>
      <c r="C61" s="24" t="str">
        <f aca="false">IF($A61="","",INDEX(Workers!$E$5:$E$2004,MATCH($A61,Workers!$A$5:$A$2004,0)))</f>
        <v/>
      </c>
      <c r="D61" s="24" t="str">
        <f aca="false">IF($A61="","",INDEX(Workers!$K$5:$K$2004,MATCH($A61,Workers!$A$5:$A$2004,0)))</f>
        <v/>
      </c>
      <c r="E61" s="25" t="str">
        <f aca="false">IF($A61="","",SUMIFS(Timesheet!$E$5:$E$3004,Timesheet!$D$5:$D$3004,$A61,Timesheet!$A$5:$A$3004,"&gt;="&amp;Settings!$B$8,Timesheet!$A$5:$A$3004,"&lt;="&amp;Settings!$B$9))</f>
        <v/>
      </c>
      <c r="F61" s="25" t="str">
        <f aca="false">IF($A61="","",SUMIFS(Timesheet!$F$5:$F$3004,Timesheet!$D$5:$D$3004,$A61,Timesheet!$A$5:$A$3004,"&gt;="&amp;Settings!$B$8,Timesheet!$A$5:$A$3004,"&lt;="&amp;Settings!$B$9))</f>
        <v/>
      </c>
      <c r="G61" s="25" t="str">
        <f aca="false">IF($A61="","",SUMIFS(Timesheet!$G$5:$G$3004,Timesheet!$D$5:$D$3004,$A61,Timesheet!$A$5:$A$3004,"&gt;="&amp;Settings!$B$8,Timesheet!$A$5:$A$3004,"&lt;="&amp;Settings!$B$9))</f>
        <v/>
      </c>
      <c r="H61" s="25" t="str">
        <f aca="false">IF($A61="","",IF(D61="Monthly",MAX(0,Settings!$B$11-E61),0))</f>
        <v/>
      </c>
      <c r="I61" s="26" t="str">
        <f aca="false">IF($A61="","",N(INDEX(Workers!$L$5:$L$2004,MATCH($A61,Workers!$A$5:$A$2004,0))))</f>
        <v/>
      </c>
      <c r="J61" s="26" t="str">
        <f aca="false">IF($A61="","",N(INDEX(Workers!$M$5:$M$2004,MATCH($A61,Workers!$A$5:$A$2004,0))))</f>
        <v/>
      </c>
      <c r="K61" s="26" t="str">
        <f aca="false">IF($A61="","",IF(D61="Monthly",ROUND(MAX(0,(I61+J61)-(I61+J61)/Settings!$B$10*H61),2),0))</f>
        <v/>
      </c>
      <c r="L61" s="26" t="str">
        <f aca="false">IF($A61="","",IF(D61="Hourly",ROUND(F61*N(INDEX(Workers!$N$5:$N$2004,MATCH($A61,Workers!$A$5:$A$2004,0))),2),0))</f>
        <v/>
      </c>
      <c r="M61" s="26" t="str">
        <f aca="false">IF($A61="","",ROUND(G61*IF(D61="Hourly",N(INDEX(Workers!$N$5:$N$2004,MATCH($A61,Workers!$A$5:$A$2004,0))),I61/Settings!$B$10/Settings!$B$12)*Settings!$B$13,2))</f>
        <v/>
      </c>
      <c r="N61" s="26" t="str">
        <f aca="false">IF($A61="","",K61+L61+M61)</f>
        <v/>
      </c>
      <c r="O61" s="26" t="str">
        <f aca="false">IF($A61="","",SUMIFS(Deductions!$D$5:$D$2000,Deductions!$B$5:$B$2000,$A61,Deductions!$C$5:$C$2000,"Advance",Deductions!$E$5:$E$2000,"&gt;="&amp;Settings!$B$8,Deductions!$E$5:$E$2000,"&lt;="&amp;Settings!$B$9))</f>
        <v/>
      </c>
      <c r="P61" s="26" t="str">
        <f aca="false">IF($A61="","",SUMIFS(Deductions!$D$5:$D$2000,Deductions!$B$5:$B$2000,$A61,Deductions!$E$5:$E$2000,"&gt;="&amp;Settings!$B$8,Deductions!$E$5:$E$2000,"&lt;="&amp;Settings!$B$9)-O61)</f>
        <v/>
      </c>
      <c r="Q61" s="26" t="str">
        <f aca="false">IF($A61="","",O61+P61)</f>
        <v/>
      </c>
      <c r="R61" s="23" t="str">
        <f aca="false">IF($A61="","",N61-Q61)</f>
        <v/>
      </c>
      <c r="S61" s="24" t="str">
        <f aca="false">IF($A61="","",INDEX(Workers!$O$5:$O$2004,MATCH($A61,Workers!$A$5:$A$2004,0))&amp;"")</f>
        <v/>
      </c>
      <c r="T61" s="24" t="str">
        <f aca="false">IF($A61="","",INDEX(Workers!$P$5:$P$2004,MATCH($A61,Workers!$A$5:$A$2004,0))&amp;"")</f>
        <v/>
      </c>
      <c r="U61" s="24" t="str">
        <f aca="false">IF($A61="","",INDEX(Workers!$H$5:$H$2004,MATCH($A61,Workers!$A$5:$A$2004,0))&amp;"")</f>
        <v/>
      </c>
    </row>
    <row r="62" customFormat="false" ht="15" hidden="false" customHeight="false" outlineLevel="0" collapsed="false">
      <c r="A62" s="24" t="str">
        <f aca="false">IFERROR(INDEX(Workers!$A$5:$A$2004,MATCH(ROW()-4,Workers!$U$5:$U$2004,0)),"")</f>
        <v/>
      </c>
      <c r="B62" s="24" t="str">
        <f aca="false">IF($A62="","",INDEX(Workers!$B$5:$B$2004,MATCH($A62,Workers!$A$5:$A$2004,0)))</f>
        <v/>
      </c>
      <c r="C62" s="24" t="str">
        <f aca="false">IF($A62="","",INDEX(Workers!$E$5:$E$2004,MATCH($A62,Workers!$A$5:$A$2004,0)))</f>
        <v/>
      </c>
      <c r="D62" s="24" t="str">
        <f aca="false">IF($A62="","",INDEX(Workers!$K$5:$K$2004,MATCH($A62,Workers!$A$5:$A$2004,0)))</f>
        <v/>
      </c>
      <c r="E62" s="25" t="str">
        <f aca="false">IF($A62="","",SUMIFS(Timesheet!$E$5:$E$3004,Timesheet!$D$5:$D$3004,$A62,Timesheet!$A$5:$A$3004,"&gt;="&amp;Settings!$B$8,Timesheet!$A$5:$A$3004,"&lt;="&amp;Settings!$B$9))</f>
        <v/>
      </c>
      <c r="F62" s="25" t="str">
        <f aca="false">IF($A62="","",SUMIFS(Timesheet!$F$5:$F$3004,Timesheet!$D$5:$D$3004,$A62,Timesheet!$A$5:$A$3004,"&gt;="&amp;Settings!$B$8,Timesheet!$A$5:$A$3004,"&lt;="&amp;Settings!$B$9))</f>
        <v/>
      </c>
      <c r="G62" s="25" t="str">
        <f aca="false">IF($A62="","",SUMIFS(Timesheet!$G$5:$G$3004,Timesheet!$D$5:$D$3004,$A62,Timesheet!$A$5:$A$3004,"&gt;="&amp;Settings!$B$8,Timesheet!$A$5:$A$3004,"&lt;="&amp;Settings!$B$9))</f>
        <v/>
      </c>
      <c r="H62" s="25" t="str">
        <f aca="false">IF($A62="","",IF(D62="Monthly",MAX(0,Settings!$B$11-E62),0))</f>
        <v/>
      </c>
      <c r="I62" s="26" t="str">
        <f aca="false">IF($A62="","",N(INDEX(Workers!$L$5:$L$2004,MATCH($A62,Workers!$A$5:$A$2004,0))))</f>
        <v/>
      </c>
      <c r="J62" s="26" t="str">
        <f aca="false">IF($A62="","",N(INDEX(Workers!$M$5:$M$2004,MATCH($A62,Workers!$A$5:$A$2004,0))))</f>
        <v/>
      </c>
      <c r="K62" s="26" t="str">
        <f aca="false">IF($A62="","",IF(D62="Monthly",ROUND(MAX(0,(I62+J62)-(I62+J62)/Settings!$B$10*H62),2),0))</f>
        <v/>
      </c>
      <c r="L62" s="26" t="str">
        <f aca="false">IF($A62="","",IF(D62="Hourly",ROUND(F62*N(INDEX(Workers!$N$5:$N$2004,MATCH($A62,Workers!$A$5:$A$2004,0))),2),0))</f>
        <v/>
      </c>
      <c r="M62" s="26" t="str">
        <f aca="false">IF($A62="","",ROUND(G62*IF(D62="Hourly",N(INDEX(Workers!$N$5:$N$2004,MATCH($A62,Workers!$A$5:$A$2004,0))),I62/Settings!$B$10/Settings!$B$12)*Settings!$B$13,2))</f>
        <v/>
      </c>
      <c r="N62" s="26" t="str">
        <f aca="false">IF($A62="","",K62+L62+M62)</f>
        <v/>
      </c>
      <c r="O62" s="26" t="str">
        <f aca="false">IF($A62="","",SUMIFS(Deductions!$D$5:$D$2000,Deductions!$B$5:$B$2000,$A62,Deductions!$C$5:$C$2000,"Advance",Deductions!$E$5:$E$2000,"&gt;="&amp;Settings!$B$8,Deductions!$E$5:$E$2000,"&lt;="&amp;Settings!$B$9))</f>
        <v/>
      </c>
      <c r="P62" s="26" t="str">
        <f aca="false">IF($A62="","",SUMIFS(Deductions!$D$5:$D$2000,Deductions!$B$5:$B$2000,$A62,Deductions!$E$5:$E$2000,"&gt;="&amp;Settings!$B$8,Deductions!$E$5:$E$2000,"&lt;="&amp;Settings!$B$9)-O62)</f>
        <v/>
      </c>
      <c r="Q62" s="26" t="str">
        <f aca="false">IF($A62="","",O62+P62)</f>
        <v/>
      </c>
      <c r="R62" s="23" t="str">
        <f aca="false">IF($A62="","",N62-Q62)</f>
        <v/>
      </c>
      <c r="S62" s="24" t="str">
        <f aca="false">IF($A62="","",INDEX(Workers!$O$5:$O$2004,MATCH($A62,Workers!$A$5:$A$2004,0))&amp;"")</f>
        <v/>
      </c>
      <c r="T62" s="24" t="str">
        <f aca="false">IF($A62="","",INDEX(Workers!$P$5:$P$2004,MATCH($A62,Workers!$A$5:$A$2004,0))&amp;"")</f>
        <v/>
      </c>
      <c r="U62" s="24" t="str">
        <f aca="false">IF($A62="","",INDEX(Workers!$H$5:$H$2004,MATCH($A62,Workers!$A$5:$A$2004,0))&amp;"")</f>
        <v/>
      </c>
    </row>
    <row r="63" customFormat="false" ht="15" hidden="false" customHeight="false" outlineLevel="0" collapsed="false">
      <c r="A63" s="24" t="str">
        <f aca="false">IFERROR(INDEX(Workers!$A$5:$A$2004,MATCH(ROW()-4,Workers!$U$5:$U$2004,0)),"")</f>
        <v/>
      </c>
      <c r="B63" s="24" t="str">
        <f aca="false">IF($A63="","",INDEX(Workers!$B$5:$B$2004,MATCH($A63,Workers!$A$5:$A$2004,0)))</f>
        <v/>
      </c>
      <c r="C63" s="24" t="str">
        <f aca="false">IF($A63="","",INDEX(Workers!$E$5:$E$2004,MATCH($A63,Workers!$A$5:$A$2004,0)))</f>
        <v/>
      </c>
      <c r="D63" s="24" t="str">
        <f aca="false">IF($A63="","",INDEX(Workers!$K$5:$K$2004,MATCH($A63,Workers!$A$5:$A$2004,0)))</f>
        <v/>
      </c>
      <c r="E63" s="25" t="str">
        <f aca="false">IF($A63="","",SUMIFS(Timesheet!$E$5:$E$3004,Timesheet!$D$5:$D$3004,$A63,Timesheet!$A$5:$A$3004,"&gt;="&amp;Settings!$B$8,Timesheet!$A$5:$A$3004,"&lt;="&amp;Settings!$B$9))</f>
        <v/>
      </c>
      <c r="F63" s="25" t="str">
        <f aca="false">IF($A63="","",SUMIFS(Timesheet!$F$5:$F$3004,Timesheet!$D$5:$D$3004,$A63,Timesheet!$A$5:$A$3004,"&gt;="&amp;Settings!$B$8,Timesheet!$A$5:$A$3004,"&lt;="&amp;Settings!$B$9))</f>
        <v/>
      </c>
      <c r="G63" s="25" t="str">
        <f aca="false">IF($A63="","",SUMIFS(Timesheet!$G$5:$G$3004,Timesheet!$D$5:$D$3004,$A63,Timesheet!$A$5:$A$3004,"&gt;="&amp;Settings!$B$8,Timesheet!$A$5:$A$3004,"&lt;="&amp;Settings!$B$9))</f>
        <v/>
      </c>
      <c r="H63" s="25" t="str">
        <f aca="false">IF($A63="","",IF(D63="Monthly",MAX(0,Settings!$B$11-E63),0))</f>
        <v/>
      </c>
      <c r="I63" s="26" t="str">
        <f aca="false">IF($A63="","",N(INDEX(Workers!$L$5:$L$2004,MATCH($A63,Workers!$A$5:$A$2004,0))))</f>
        <v/>
      </c>
      <c r="J63" s="26" t="str">
        <f aca="false">IF($A63="","",N(INDEX(Workers!$M$5:$M$2004,MATCH($A63,Workers!$A$5:$A$2004,0))))</f>
        <v/>
      </c>
      <c r="K63" s="26" t="str">
        <f aca="false">IF($A63="","",IF(D63="Monthly",ROUND(MAX(0,(I63+J63)-(I63+J63)/Settings!$B$10*H63),2),0))</f>
        <v/>
      </c>
      <c r="L63" s="26" t="str">
        <f aca="false">IF($A63="","",IF(D63="Hourly",ROUND(F63*N(INDEX(Workers!$N$5:$N$2004,MATCH($A63,Workers!$A$5:$A$2004,0))),2),0))</f>
        <v/>
      </c>
      <c r="M63" s="26" t="str">
        <f aca="false">IF($A63="","",ROUND(G63*IF(D63="Hourly",N(INDEX(Workers!$N$5:$N$2004,MATCH($A63,Workers!$A$5:$A$2004,0))),I63/Settings!$B$10/Settings!$B$12)*Settings!$B$13,2))</f>
        <v/>
      </c>
      <c r="N63" s="26" t="str">
        <f aca="false">IF($A63="","",K63+L63+M63)</f>
        <v/>
      </c>
      <c r="O63" s="26" t="str">
        <f aca="false">IF($A63="","",SUMIFS(Deductions!$D$5:$D$2000,Deductions!$B$5:$B$2000,$A63,Deductions!$C$5:$C$2000,"Advance",Deductions!$E$5:$E$2000,"&gt;="&amp;Settings!$B$8,Deductions!$E$5:$E$2000,"&lt;="&amp;Settings!$B$9))</f>
        <v/>
      </c>
      <c r="P63" s="26" t="str">
        <f aca="false">IF($A63="","",SUMIFS(Deductions!$D$5:$D$2000,Deductions!$B$5:$B$2000,$A63,Deductions!$E$5:$E$2000,"&gt;="&amp;Settings!$B$8,Deductions!$E$5:$E$2000,"&lt;="&amp;Settings!$B$9)-O63)</f>
        <v/>
      </c>
      <c r="Q63" s="26" t="str">
        <f aca="false">IF($A63="","",O63+P63)</f>
        <v/>
      </c>
      <c r="R63" s="23" t="str">
        <f aca="false">IF($A63="","",N63-Q63)</f>
        <v/>
      </c>
      <c r="S63" s="24" t="str">
        <f aca="false">IF($A63="","",INDEX(Workers!$O$5:$O$2004,MATCH($A63,Workers!$A$5:$A$2004,0))&amp;"")</f>
        <v/>
      </c>
      <c r="T63" s="24" t="str">
        <f aca="false">IF($A63="","",INDEX(Workers!$P$5:$P$2004,MATCH($A63,Workers!$A$5:$A$2004,0))&amp;"")</f>
        <v/>
      </c>
      <c r="U63" s="24" t="str">
        <f aca="false">IF($A63="","",INDEX(Workers!$H$5:$H$2004,MATCH($A63,Workers!$A$5:$A$2004,0))&amp;"")</f>
        <v/>
      </c>
    </row>
    <row r="64" customFormat="false" ht="15" hidden="false" customHeight="false" outlineLevel="0" collapsed="false">
      <c r="A64" s="24" t="str">
        <f aca="false">IFERROR(INDEX(Workers!$A$5:$A$2004,MATCH(ROW()-4,Workers!$U$5:$U$2004,0)),"")</f>
        <v/>
      </c>
      <c r="B64" s="24" t="str">
        <f aca="false">IF($A64="","",INDEX(Workers!$B$5:$B$2004,MATCH($A64,Workers!$A$5:$A$2004,0)))</f>
        <v/>
      </c>
      <c r="C64" s="24" t="str">
        <f aca="false">IF($A64="","",INDEX(Workers!$E$5:$E$2004,MATCH($A64,Workers!$A$5:$A$2004,0)))</f>
        <v/>
      </c>
      <c r="D64" s="24" t="str">
        <f aca="false">IF($A64="","",INDEX(Workers!$K$5:$K$2004,MATCH($A64,Workers!$A$5:$A$2004,0)))</f>
        <v/>
      </c>
      <c r="E64" s="25" t="str">
        <f aca="false">IF($A64="","",SUMIFS(Timesheet!$E$5:$E$3004,Timesheet!$D$5:$D$3004,$A64,Timesheet!$A$5:$A$3004,"&gt;="&amp;Settings!$B$8,Timesheet!$A$5:$A$3004,"&lt;="&amp;Settings!$B$9))</f>
        <v/>
      </c>
      <c r="F64" s="25" t="str">
        <f aca="false">IF($A64="","",SUMIFS(Timesheet!$F$5:$F$3004,Timesheet!$D$5:$D$3004,$A64,Timesheet!$A$5:$A$3004,"&gt;="&amp;Settings!$B$8,Timesheet!$A$5:$A$3004,"&lt;="&amp;Settings!$B$9))</f>
        <v/>
      </c>
      <c r="G64" s="25" t="str">
        <f aca="false">IF($A64="","",SUMIFS(Timesheet!$G$5:$G$3004,Timesheet!$D$5:$D$3004,$A64,Timesheet!$A$5:$A$3004,"&gt;="&amp;Settings!$B$8,Timesheet!$A$5:$A$3004,"&lt;="&amp;Settings!$B$9))</f>
        <v/>
      </c>
      <c r="H64" s="25" t="str">
        <f aca="false">IF($A64="","",IF(D64="Monthly",MAX(0,Settings!$B$11-E64),0))</f>
        <v/>
      </c>
      <c r="I64" s="26" t="str">
        <f aca="false">IF($A64="","",N(INDEX(Workers!$L$5:$L$2004,MATCH($A64,Workers!$A$5:$A$2004,0))))</f>
        <v/>
      </c>
      <c r="J64" s="26" t="str">
        <f aca="false">IF($A64="","",N(INDEX(Workers!$M$5:$M$2004,MATCH($A64,Workers!$A$5:$A$2004,0))))</f>
        <v/>
      </c>
      <c r="K64" s="26" t="str">
        <f aca="false">IF($A64="","",IF(D64="Monthly",ROUND(MAX(0,(I64+J64)-(I64+J64)/Settings!$B$10*H64),2),0))</f>
        <v/>
      </c>
      <c r="L64" s="26" t="str">
        <f aca="false">IF($A64="","",IF(D64="Hourly",ROUND(F64*N(INDEX(Workers!$N$5:$N$2004,MATCH($A64,Workers!$A$5:$A$2004,0))),2),0))</f>
        <v/>
      </c>
      <c r="M64" s="26" t="str">
        <f aca="false">IF($A64="","",ROUND(G64*IF(D64="Hourly",N(INDEX(Workers!$N$5:$N$2004,MATCH($A64,Workers!$A$5:$A$2004,0))),I64/Settings!$B$10/Settings!$B$12)*Settings!$B$13,2))</f>
        <v/>
      </c>
      <c r="N64" s="26" t="str">
        <f aca="false">IF($A64="","",K64+L64+M64)</f>
        <v/>
      </c>
      <c r="O64" s="26" t="str">
        <f aca="false">IF($A64="","",SUMIFS(Deductions!$D$5:$D$2000,Deductions!$B$5:$B$2000,$A64,Deductions!$C$5:$C$2000,"Advance",Deductions!$E$5:$E$2000,"&gt;="&amp;Settings!$B$8,Deductions!$E$5:$E$2000,"&lt;="&amp;Settings!$B$9))</f>
        <v/>
      </c>
      <c r="P64" s="26" t="str">
        <f aca="false">IF($A64="","",SUMIFS(Deductions!$D$5:$D$2000,Deductions!$B$5:$B$2000,$A64,Deductions!$E$5:$E$2000,"&gt;="&amp;Settings!$B$8,Deductions!$E$5:$E$2000,"&lt;="&amp;Settings!$B$9)-O64)</f>
        <v/>
      </c>
      <c r="Q64" s="26" t="str">
        <f aca="false">IF($A64="","",O64+P64)</f>
        <v/>
      </c>
      <c r="R64" s="23" t="str">
        <f aca="false">IF($A64="","",N64-Q64)</f>
        <v/>
      </c>
      <c r="S64" s="24" t="str">
        <f aca="false">IF($A64="","",INDEX(Workers!$O$5:$O$2004,MATCH($A64,Workers!$A$5:$A$2004,0))&amp;"")</f>
        <v/>
      </c>
      <c r="T64" s="24" t="str">
        <f aca="false">IF($A64="","",INDEX(Workers!$P$5:$P$2004,MATCH($A64,Workers!$A$5:$A$2004,0))&amp;"")</f>
        <v/>
      </c>
      <c r="U64" s="24" t="str">
        <f aca="false">IF($A64="","",INDEX(Workers!$H$5:$H$2004,MATCH($A64,Workers!$A$5:$A$2004,0))&amp;"")</f>
        <v/>
      </c>
    </row>
    <row r="65" customFormat="false" ht="15" hidden="false" customHeight="false" outlineLevel="0" collapsed="false">
      <c r="A65" s="24" t="str">
        <f aca="false">IFERROR(INDEX(Workers!$A$5:$A$2004,MATCH(ROW()-4,Workers!$U$5:$U$2004,0)),"")</f>
        <v/>
      </c>
      <c r="B65" s="24" t="str">
        <f aca="false">IF($A65="","",INDEX(Workers!$B$5:$B$2004,MATCH($A65,Workers!$A$5:$A$2004,0)))</f>
        <v/>
      </c>
      <c r="C65" s="24" t="str">
        <f aca="false">IF($A65="","",INDEX(Workers!$E$5:$E$2004,MATCH($A65,Workers!$A$5:$A$2004,0)))</f>
        <v/>
      </c>
      <c r="D65" s="24" t="str">
        <f aca="false">IF($A65="","",INDEX(Workers!$K$5:$K$2004,MATCH($A65,Workers!$A$5:$A$2004,0)))</f>
        <v/>
      </c>
      <c r="E65" s="25" t="str">
        <f aca="false">IF($A65="","",SUMIFS(Timesheet!$E$5:$E$3004,Timesheet!$D$5:$D$3004,$A65,Timesheet!$A$5:$A$3004,"&gt;="&amp;Settings!$B$8,Timesheet!$A$5:$A$3004,"&lt;="&amp;Settings!$B$9))</f>
        <v/>
      </c>
      <c r="F65" s="25" t="str">
        <f aca="false">IF($A65="","",SUMIFS(Timesheet!$F$5:$F$3004,Timesheet!$D$5:$D$3004,$A65,Timesheet!$A$5:$A$3004,"&gt;="&amp;Settings!$B$8,Timesheet!$A$5:$A$3004,"&lt;="&amp;Settings!$B$9))</f>
        <v/>
      </c>
      <c r="G65" s="25" t="str">
        <f aca="false">IF($A65="","",SUMIFS(Timesheet!$G$5:$G$3004,Timesheet!$D$5:$D$3004,$A65,Timesheet!$A$5:$A$3004,"&gt;="&amp;Settings!$B$8,Timesheet!$A$5:$A$3004,"&lt;="&amp;Settings!$B$9))</f>
        <v/>
      </c>
      <c r="H65" s="25" t="str">
        <f aca="false">IF($A65="","",IF(D65="Monthly",MAX(0,Settings!$B$11-E65),0))</f>
        <v/>
      </c>
      <c r="I65" s="26" t="str">
        <f aca="false">IF($A65="","",N(INDEX(Workers!$L$5:$L$2004,MATCH($A65,Workers!$A$5:$A$2004,0))))</f>
        <v/>
      </c>
      <c r="J65" s="26" t="str">
        <f aca="false">IF($A65="","",N(INDEX(Workers!$M$5:$M$2004,MATCH($A65,Workers!$A$5:$A$2004,0))))</f>
        <v/>
      </c>
      <c r="K65" s="26" t="str">
        <f aca="false">IF($A65="","",IF(D65="Monthly",ROUND(MAX(0,(I65+J65)-(I65+J65)/Settings!$B$10*H65),2),0))</f>
        <v/>
      </c>
      <c r="L65" s="26" t="str">
        <f aca="false">IF($A65="","",IF(D65="Hourly",ROUND(F65*N(INDEX(Workers!$N$5:$N$2004,MATCH($A65,Workers!$A$5:$A$2004,0))),2),0))</f>
        <v/>
      </c>
      <c r="M65" s="26" t="str">
        <f aca="false">IF($A65="","",ROUND(G65*IF(D65="Hourly",N(INDEX(Workers!$N$5:$N$2004,MATCH($A65,Workers!$A$5:$A$2004,0))),I65/Settings!$B$10/Settings!$B$12)*Settings!$B$13,2))</f>
        <v/>
      </c>
      <c r="N65" s="26" t="str">
        <f aca="false">IF($A65="","",K65+L65+M65)</f>
        <v/>
      </c>
      <c r="O65" s="26" t="str">
        <f aca="false">IF($A65="","",SUMIFS(Deductions!$D$5:$D$2000,Deductions!$B$5:$B$2000,$A65,Deductions!$C$5:$C$2000,"Advance",Deductions!$E$5:$E$2000,"&gt;="&amp;Settings!$B$8,Deductions!$E$5:$E$2000,"&lt;="&amp;Settings!$B$9))</f>
        <v/>
      </c>
      <c r="P65" s="26" t="str">
        <f aca="false">IF($A65="","",SUMIFS(Deductions!$D$5:$D$2000,Deductions!$B$5:$B$2000,$A65,Deductions!$E$5:$E$2000,"&gt;="&amp;Settings!$B$8,Deductions!$E$5:$E$2000,"&lt;="&amp;Settings!$B$9)-O65)</f>
        <v/>
      </c>
      <c r="Q65" s="26" t="str">
        <f aca="false">IF($A65="","",O65+P65)</f>
        <v/>
      </c>
      <c r="R65" s="23" t="str">
        <f aca="false">IF($A65="","",N65-Q65)</f>
        <v/>
      </c>
      <c r="S65" s="24" t="str">
        <f aca="false">IF($A65="","",INDEX(Workers!$O$5:$O$2004,MATCH($A65,Workers!$A$5:$A$2004,0))&amp;"")</f>
        <v/>
      </c>
      <c r="T65" s="24" t="str">
        <f aca="false">IF($A65="","",INDEX(Workers!$P$5:$P$2004,MATCH($A65,Workers!$A$5:$A$2004,0))&amp;"")</f>
        <v/>
      </c>
      <c r="U65" s="24" t="str">
        <f aca="false">IF($A65="","",INDEX(Workers!$H$5:$H$2004,MATCH($A65,Workers!$A$5:$A$2004,0))&amp;"")</f>
        <v/>
      </c>
    </row>
    <row r="66" customFormat="false" ht="15" hidden="false" customHeight="false" outlineLevel="0" collapsed="false">
      <c r="A66" s="24" t="str">
        <f aca="false">IFERROR(INDEX(Workers!$A$5:$A$2004,MATCH(ROW()-4,Workers!$U$5:$U$2004,0)),"")</f>
        <v/>
      </c>
      <c r="B66" s="24" t="str">
        <f aca="false">IF($A66="","",INDEX(Workers!$B$5:$B$2004,MATCH($A66,Workers!$A$5:$A$2004,0)))</f>
        <v/>
      </c>
      <c r="C66" s="24" t="str">
        <f aca="false">IF($A66="","",INDEX(Workers!$E$5:$E$2004,MATCH($A66,Workers!$A$5:$A$2004,0)))</f>
        <v/>
      </c>
      <c r="D66" s="24" t="str">
        <f aca="false">IF($A66="","",INDEX(Workers!$K$5:$K$2004,MATCH($A66,Workers!$A$5:$A$2004,0)))</f>
        <v/>
      </c>
      <c r="E66" s="25" t="str">
        <f aca="false">IF($A66="","",SUMIFS(Timesheet!$E$5:$E$3004,Timesheet!$D$5:$D$3004,$A66,Timesheet!$A$5:$A$3004,"&gt;="&amp;Settings!$B$8,Timesheet!$A$5:$A$3004,"&lt;="&amp;Settings!$B$9))</f>
        <v/>
      </c>
      <c r="F66" s="25" t="str">
        <f aca="false">IF($A66="","",SUMIFS(Timesheet!$F$5:$F$3004,Timesheet!$D$5:$D$3004,$A66,Timesheet!$A$5:$A$3004,"&gt;="&amp;Settings!$B$8,Timesheet!$A$5:$A$3004,"&lt;="&amp;Settings!$B$9))</f>
        <v/>
      </c>
      <c r="G66" s="25" t="str">
        <f aca="false">IF($A66="","",SUMIFS(Timesheet!$G$5:$G$3004,Timesheet!$D$5:$D$3004,$A66,Timesheet!$A$5:$A$3004,"&gt;="&amp;Settings!$B$8,Timesheet!$A$5:$A$3004,"&lt;="&amp;Settings!$B$9))</f>
        <v/>
      </c>
      <c r="H66" s="25" t="str">
        <f aca="false">IF($A66="","",IF(D66="Monthly",MAX(0,Settings!$B$11-E66),0))</f>
        <v/>
      </c>
      <c r="I66" s="26" t="str">
        <f aca="false">IF($A66="","",N(INDEX(Workers!$L$5:$L$2004,MATCH($A66,Workers!$A$5:$A$2004,0))))</f>
        <v/>
      </c>
      <c r="J66" s="26" t="str">
        <f aca="false">IF($A66="","",N(INDEX(Workers!$M$5:$M$2004,MATCH($A66,Workers!$A$5:$A$2004,0))))</f>
        <v/>
      </c>
      <c r="K66" s="26" t="str">
        <f aca="false">IF($A66="","",IF(D66="Monthly",ROUND(MAX(0,(I66+J66)-(I66+J66)/Settings!$B$10*H66),2),0))</f>
        <v/>
      </c>
      <c r="L66" s="26" t="str">
        <f aca="false">IF($A66="","",IF(D66="Hourly",ROUND(F66*N(INDEX(Workers!$N$5:$N$2004,MATCH($A66,Workers!$A$5:$A$2004,0))),2),0))</f>
        <v/>
      </c>
      <c r="M66" s="26" t="str">
        <f aca="false">IF($A66="","",ROUND(G66*IF(D66="Hourly",N(INDEX(Workers!$N$5:$N$2004,MATCH($A66,Workers!$A$5:$A$2004,0))),I66/Settings!$B$10/Settings!$B$12)*Settings!$B$13,2))</f>
        <v/>
      </c>
      <c r="N66" s="26" t="str">
        <f aca="false">IF($A66="","",K66+L66+M66)</f>
        <v/>
      </c>
      <c r="O66" s="26" t="str">
        <f aca="false">IF($A66="","",SUMIFS(Deductions!$D$5:$D$2000,Deductions!$B$5:$B$2000,$A66,Deductions!$C$5:$C$2000,"Advance",Deductions!$E$5:$E$2000,"&gt;="&amp;Settings!$B$8,Deductions!$E$5:$E$2000,"&lt;="&amp;Settings!$B$9))</f>
        <v/>
      </c>
      <c r="P66" s="26" t="str">
        <f aca="false">IF($A66="","",SUMIFS(Deductions!$D$5:$D$2000,Deductions!$B$5:$B$2000,$A66,Deductions!$E$5:$E$2000,"&gt;="&amp;Settings!$B$8,Deductions!$E$5:$E$2000,"&lt;="&amp;Settings!$B$9)-O66)</f>
        <v/>
      </c>
      <c r="Q66" s="26" t="str">
        <f aca="false">IF($A66="","",O66+P66)</f>
        <v/>
      </c>
      <c r="R66" s="23" t="str">
        <f aca="false">IF($A66="","",N66-Q66)</f>
        <v/>
      </c>
      <c r="S66" s="24" t="str">
        <f aca="false">IF($A66="","",INDEX(Workers!$O$5:$O$2004,MATCH($A66,Workers!$A$5:$A$2004,0))&amp;"")</f>
        <v/>
      </c>
      <c r="T66" s="24" t="str">
        <f aca="false">IF($A66="","",INDEX(Workers!$P$5:$P$2004,MATCH($A66,Workers!$A$5:$A$2004,0))&amp;"")</f>
        <v/>
      </c>
      <c r="U66" s="24" t="str">
        <f aca="false">IF($A66="","",INDEX(Workers!$H$5:$H$2004,MATCH($A66,Workers!$A$5:$A$2004,0))&amp;"")</f>
        <v/>
      </c>
    </row>
    <row r="67" customFormat="false" ht="15" hidden="false" customHeight="false" outlineLevel="0" collapsed="false">
      <c r="A67" s="24" t="str">
        <f aca="false">IFERROR(INDEX(Workers!$A$5:$A$2004,MATCH(ROW()-4,Workers!$U$5:$U$2004,0)),"")</f>
        <v/>
      </c>
      <c r="B67" s="24" t="str">
        <f aca="false">IF($A67="","",INDEX(Workers!$B$5:$B$2004,MATCH($A67,Workers!$A$5:$A$2004,0)))</f>
        <v/>
      </c>
      <c r="C67" s="24" t="str">
        <f aca="false">IF($A67="","",INDEX(Workers!$E$5:$E$2004,MATCH($A67,Workers!$A$5:$A$2004,0)))</f>
        <v/>
      </c>
      <c r="D67" s="24" t="str">
        <f aca="false">IF($A67="","",INDEX(Workers!$K$5:$K$2004,MATCH($A67,Workers!$A$5:$A$2004,0)))</f>
        <v/>
      </c>
      <c r="E67" s="25" t="str">
        <f aca="false">IF($A67="","",SUMIFS(Timesheet!$E$5:$E$3004,Timesheet!$D$5:$D$3004,$A67,Timesheet!$A$5:$A$3004,"&gt;="&amp;Settings!$B$8,Timesheet!$A$5:$A$3004,"&lt;="&amp;Settings!$B$9))</f>
        <v/>
      </c>
      <c r="F67" s="25" t="str">
        <f aca="false">IF($A67="","",SUMIFS(Timesheet!$F$5:$F$3004,Timesheet!$D$5:$D$3004,$A67,Timesheet!$A$5:$A$3004,"&gt;="&amp;Settings!$B$8,Timesheet!$A$5:$A$3004,"&lt;="&amp;Settings!$B$9))</f>
        <v/>
      </c>
      <c r="G67" s="25" t="str">
        <f aca="false">IF($A67="","",SUMIFS(Timesheet!$G$5:$G$3004,Timesheet!$D$5:$D$3004,$A67,Timesheet!$A$5:$A$3004,"&gt;="&amp;Settings!$B$8,Timesheet!$A$5:$A$3004,"&lt;="&amp;Settings!$B$9))</f>
        <v/>
      </c>
      <c r="H67" s="25" t="str">
        <f aca="false">IF($A67="","",IF(D67="Monthly",MAX(0,Settings!$B$11-E67),0))</f>
        <v/>
      </c>
      <c r="I67" s="26" t="str">
        <f aca="false">IF($A67="","",N(INDEX(Workers!$L$5:$L$2004,MATCH($A67,Workers!$A$5:$A$2004,0))))</f>
        <v/>
      </c>
      <c r="J67" s="26" t="str">
        <f aca="false">IF($A67="","",N(INDEX(Workers!$M$5:$M$2004,MATCH($A67,Workers!$A$5:$A$2004,0))))</f>
        <v/>
      </c>
      <c r="K67" s="26" t="str">
        <f aca="false">IF($A67="","",IF(D67="Monthly",ROUND(MAX(0,(I67+J67)-(I67+J67)/Settings!$B$10*H67),2),0))</f>
        <v/>
      </c>
      <c r="L67" s="26" t="str">
        <f aca="false">IF($A67="","",IF(D67="Hourly",ROUND(F67*N(INDEX(Workers!$N$5:$N$2004,MATCH($A67,Workers!$A$5:$A$2004,0))),2),0))</f>
        <v/>
      </c>
      <c r="M67" s="26" t="str">
        <f aca="false">IF($A67="","",ROUND(G67*IF(D67="Hourly",N(INDEX(Workers!$N$5:$N$2004,MATCH($A67,Workers!$A$5:$A$2004,0))),I67/Settings!$B$10/Settings!$B$12)*Settings!$B$13,2))</f>
        <v/>
      </c>
      <c r="N67" s="26" t="str">
        <f aca="false">IF($A67="","",K67+L67+M67)</f>
        <v/>
      </c>
      <c r="O67" s="26" t="str">
        <f aca="false">IF($A67="","",SUMIFS(Deductions!$D$5:$D$2000,Deductions!$B$5:$B$2000,$A67,Deductions!$C$5:$C$2000,"Advance",Deductions!$E$5:$E$2000,"&gt;="&amp;Settings!$B$8,Deductions!$E$5:$E$2000,"&lt;="&amp;Settings!$B$9))</f>
        <v/>
      </c>
      <c r="P67" s="26" t="str">
        <f aca="false">IF($A67="","",SUMIFS(Deductions!$D$5:$D$2000,Deductions!$B$5:$B$2000,$A67,Deductions!$E$5:$E$2000,"&gt;="&amp;Settings!$B$8,Deductions!$E$5:$E$2000,"&lt;="&amp;Settings!$B$9)-O67)</f>
        <v/>
      </c>
      <c r="Q67" s="26" t="str">
        <f aca="false">IF($A67="","",O67+P67)</f>
        <v/>
      </c>
      <c r="R67" s="23" t="str">
        <f aca="false">IF($A67="","",N67-Q67)</f>
        <v/>
      </c>
      <c r="S67" s="24" t="str">
        <f aca="false">IF($A67="","",INDEX(Workers!$O$5:$O$2004,MATCH($A67,Workers!$A$5:$A$2004,0))&amp;"")</f>
        <v/>
      </c>
      <c r="T67" s="24" t="str">
        <f aca="false">IF($A67="","",INDEX(Workers!$P$5:$P$2004,MATCH($A67,Workers!$A$5:$A$2004,0))&amp;"")</f>
        <v/>
      </c>
      <c r="U67" s="24" t="str">
        <f aca="false">IF($A67="","",INDEX(Workers!$H$5:$H$2004,MATCH($A67,Workers!$A$5:$A$2004,0))&amp;"")</f>
        <v/>
      </c>
    </row>
    <row r="68" customFormat="false" ht="15" hidden="false" customHeight="false" outlineLevel="0" collapsed="false">
      <c r="A68" s="24" t="str">
        <f aca="false">IFERROR(INDEX(Workers!$A$5:$A$2004,MATCH(ROW()-4,Workers!$U$5:$U$2004,0)),"")</f>
        <v/>
      </c>
      <c r="B68" s="24" t="str">
        <f aca="false">IF($A68="","",INDEX(Workers!$B$5:$B$2004,MATCH($A68,Workers!$A$5:$A$2004,0)))</f>
        <v/>
      </c>
      <c r="C68" s="24" t="str">
        <f aca="false">IF($A68="","",INDEX(Workers!$E$5:$E$2004,MATCH($A68,Workers!$A$5:$A$2004,0)))</f>
        <v/>
      </c>
      <c r="D68" s="24" t="str">
        <f aca="false">IF($A68="","",INDEX(Workers!$K$5:$K$2004,MATCH($A68,Workers!$A$5:$A$2004,0)))</f>
        <v/>
      </c>
      <c r="E68" s="25" t="str">
        <f aca="false">IF($A68="","",SUMIFS(Timesheet!$E$5:$E$3004,Timesheet!$D$5:$D$3004,$A68,Timesheet!$A$5:$A$3004,"&gt;="&amp;Settings!$B$8,Timesheet!$A$5:$A$3004,"&lt;="&amp;Settings!$B$9))</f>
        <v/>
      </c>
      <c r="F68" s="25" t="str">
        <f aca="false">IF($A68="","",SUMIFS(Timesheet!$F$5:$F$3004,Timesheet!$D$5:$D$3004,$A68,Timesheet!$A$5:$A$3004,"&gt;="&amp;Settings!$B$8,Timesheet!$A$5:$A$3004,"&lt;="&amp;Settings!$B$9))</f>
        <v/>
      </c>
      <c r="G68" s="25" t="str">
        <f aca="false">IF($A68="","",SUMIFS(Timesheet!$G$5:$G$3004,Timesheet!$D$5:$D$3004,$A68,Timesheet!$A$5:$A$3004,"&gt;="&amp;Settings!$B$8,Timesheet!$A$5:$A$3004,"&lt;="&amp;Settings!$B$9))</f>
        <v/>
      </c>
      <c r="H68" s="25" t="str">
        <f aca="false">IF($A68="","",IF(D68="Monthly",MAX(0,Settings!$B$11-E68),0))</f>
        <v/>
      </c>
      <c r="I68" s="26" t="str">
        <f aca="false">IF($A68="","",N(INDEX(Workers!$L$5:$L$2004,MATCH($A68,Workers!$A$5:$A$2004,0))))</f>
        <v/>
      </c>
      <c r="J68" s="26" t="str">
        <f aca="false">IF($A68="","",N(INDEX(Workers!$M$5:$M$2004,MATCH($A68,Workers!$A$5:$A$2004,0))))</f>
        <v/>
      </c>
      <c r="K68" s="26" t="str">
        <f aca="false">IF($A68="","",IF(D68="Monthly",ROUND(MAX(0,(I68+J68)-(I68+J68)/Settings!$B$10*H68),2),0))</f>
        <v/>
      </c>
      <c r="L68" s="26" t="str">
        <f aca="false">IF($A68="","",IF(D68="Hourly",ROUND(F68*N(INDEX(Workers!$N$5:$N$2004,MATCH($A68,Workers!$A$5:$A$2004,0))),2),0))</f>
        <v/>
      </c>
      <c r="M68" s="26" t="str">
        <f aca="false">IF($A68="","",ROUND(G68*IF(D68="Hourly",N(INDEX(Workers!$N$5:$N$2004,MATCH($A68,Workers!$A$5:$A$2004,0))),I68/Settings!$B$10/Settings!$B$12)*Settings!$B$13,2))</f>
        <v/>
      </c>
      <c r="N68" s="26" t="str">
        <f aca="false">IF($A68="","",K68+L68+M68)</f>
        <v/>
      </c>
      <c r="O68" s="26" t="str">
        <f aca="false">IF($A68="","",SUMIFS(Deductions!$D$5:$D$2000,Deductions!$B$5:$B$2000,$A68,Deductions!$C$5:$C$2000,"Advance",Deductions!$E$5:$E$2000,"&gt;="&amp;Settings!$B$8,Deductions!$E$5:$E$2000,"&lt;="&amp;Settings!$B$9))</f>
        <v/>
      </c>
      <c r="P68" s="26" t="str">
        <f aca="false">IF($A68="","",SUMIFS(Deductions!$D$5:$D$2000,Deductions!$B$5:$B$2000,$A68,Deductions!$E$5:$E$2000,"&gt;="&amp;Settings!$B$8,Deductions!$E$5:$E$2000,"&lt;="&amp;Settings!$B$9)-O68)</f>
        <v/>
      </c>
      <c r="Q68" s="26" t="str">
        <f aca="false">IF($A68="","",O68+P68)</f>
        <v/>
      </c>
      <c r="R68" s="23" t="str">
        <f aca="false">IF($A68="","",N68-Q68)</f>
        <v/>
      </c>
      <c r="S68" s="24" t="str">
        <f aca="false">IF($A68="","",INDEX(Workers!$O$5:$O$2004,MATCH($A68,Workers!$A$5:$A$2004,0))&amp;"")</f>
        <v/>
      </c>
      <c r="T68" s="24" t="str">
        <f aca="false">IF($A68="","",INDEX(Workers!$P$5:$P$2004,MATCH($A68,Workers!$A$5:$A$2004,0))&amp;"")</f>
        <v/>
      </c>
      <c r="U68" s="24" t="str">
        <f aca="false">IF($A68="","",INDEX(Workers!$H$5:$H$2004,MATCH($A68,Workers!$A$5:$A$2004,0))&amp;"")</f>
        <v/>
      </c>
    </row>
    <row r="69" customFormat="false" ht="15" hidden="false" customHeight="false" outlineLevel="0" collapsed="false">
      <c r="A69" s="24" t="str">
        <f aca="false">IFERROR(INDEX(Workers!$A$5:$A$2004,MATCH(ROW()-4,Workers!$U$5:$U$2004,0)),"")</f>
        <v/>
      </c>
      <c r="B69" s="24" t="str">
        <f aca="false">IF($A69="","",INDEX(Workers!$B$5:$B$2004,MATCH($A69,Workers!$A$5:$A$2004,0)))</f>
        <v/>
      </c>
      <c r="C69" s="24" t="str">
        <f aca="false">IF($A69="","",INDEX(Workers!$E$5:$E$2004,MATCH($A69,Workers!$A$5:$A$2004,0)))</f>
        <v/>
      </c>
      <c r="D69" s="24" t="str">
        <f aca="false">IF($A69="","",INDEX(Workers!$K$5:$K$2004,MATCH($A69,Workers!$A$5:$A$2004,0)))</f>
        <v/>
      </c>
      <c r="E69" s="25" t="str">
        <f aca="false">IF($A69="","",SUMIFS(Timesheet!$E$5:$E$3004,Timesheet!$D$5:$D$3004,$A69,Timesheet!$A$5:$A$3004,"&gt;="&amp;Settings!$B$8,Timesheet!$A$5:$A$3004,"&lt;="&amp;Settings!$B$9))</f>
        <v/>
      </c>
      <c r="F69" s="25" t="str">
        <f aca="false">IF($A69="","",SUMIFS(Timesheet!$F$5:$F$3004,Timesheet!$D$5:$D$3004,$A69,Timesheet!$A$5:$A$3004,"&gt;="&amp;Settings!$B$8,Timesheet!$A$5:$A$3004,"&lt;="&amp;Settings!$B$9))</f>
        <v/>
      </c>
      <c r="G69" s="25" t="str">
        <f aca="false">IF($A69="","",SUMIFS(Timesheet!$G$5:$G$3004,Timesheet!$D$5:$D$3004,$A69,Timesheet!$A$5:$A$3004,"&gt;="&amp;Settings!$B$8,Timesheet!$A$5:$A$3004,"&lt;="&amp;Settings!$B$9))</f>
        <v/>
      </c>
      <c r="H69" s="25" t="str">
        <f aca="false">IF($A69="","",IF(D69="Monthly",MAX(0,Settings!$B$11-E69),0))</f>
        <v/>
      </c>
      <c r="I69" s="26" t="str">
        <f aca="false">IF($A69="","",N(INDEX(Workers!$L$5:$L$2004,MATCH($A69,Workers!$A$5:$A$2004,0))))</f>
        <v/>
      </c>
      <c r="J69" s="26" t="str">
        <f aca="false">IF($A69="","",N(INDEX(Workers!$M$5:$M$2004,MATCH($A69,Workers!$A$5:$A$2004,0))))</f>
        <v/>
      </c>
      <c r="K69" s="26" t="str">
        <f aca="false">IF($A69="","",IF(D69="Monthly",ROUND(MAX(0,(I69+J69)-(I69+J69)/Settings!$B$10*H69),2),0))</f>
        <v/>
      </c>
      <c r="L69" s="26" t="str">
        <f aca="false">IF($A69="","",IF(D69="Hourly",ROUND(F69*N(INDEX(Workers!$N$5:$N$2004,MATCH($A69,Workers!$A$5:$A$2004,0))),2),0))</f>
        <v/>
      </c>
      <c r="M69" s="26" t="str">
        <f aca="false">IF($A69="","",ROUND(G69*IF(D69="Hourly",N(INDEX(Workers!$N$5:$N$2004,MATCH($A69,Workers!$A$5:$A$2004,0))),I69/Settings!$B$10/Settings!$B$12)*Settings!$B$13,2))</f>
        <v/>
      </c>
      <c r="N69" s="26" t="str">
        <f aca="false">IF($A69="","",K69+L69+M69)</f>
        <v/>
      </c>
      <c r="O69" s="26" t="str">
        <f aca="false">IF($A69="","",SUMIFS(Deductions!$D$5:$D$2000,Deductions!$B$5:$B$2000,$A69,Deductions!$C$5:$C$2000,"Advance",Deductions!$E$5:$E$2000,"&gt;="&amp;Settings!$B$8,Deductions!$E$5:$E$2000,"&lt;="&amp;Settings!$B$9))</f>
        <v/>
      </c>
      <c r="P69" s="26" t="str">
        <f aca="false">IF($A69="","",SUMIFS(Deductions!$D$5:$D$2000,Deductions!$B$5:$B$2000,$A69,Deductions!$E$5:$E$2000,"&gt;="&amp;Settings!$B$8,Deductions!$E$5:$E$2000,"&lt;="&amp;Settings!$B$9)-O69)</f>
        <v/>
      </c>
      <c r="Q69" s="26" t="str">
        <f aca="false">IF($A69="","",O69+P69)</f>
        <v/>
      </c>
      <c r="R69" s="23" t="str">
        <f aca="false">IF($A69="","",N69-Q69)</f>
        <v/>
      </c>
      <c r="S69" s="24" t="str">
        <f aca="false">IF($A69="","",INDEX(Workers!$O$5:$O$2004,MATCH($A69,Workers!$A$5:$A$2004,0))&amp;"")</f>
        <v/>
      </c>
      <c r="T69" s="24" t="str">
        <f aca="false">IF($A69="","",INDEX(Workers!$P$5:$P$2004,MATCH($A69,Workers!$A$5:$A$2004,0))&amp;"")</f>
        <v/>
      </c>
      <c r="U69" s="24" t="str">
        <f aca="false">IF($A69="","",INDEX(Workers!$H$5:$H$2004,MATCH($A69,Workers!$A$5:$A$2004,0))&amp;"")</f>
        <v/>
      </c>
    </row>
    <row r="70" customFormat="false" ht="15" hidden="false" customHeight="false" outlineLevel="0" collapsed="false">
      <c r="A70" s="24" t="str">
        <f aca="false">IFERROR(INDEX(Workers!$A$5:$A$2004,MATCH(ROW()-4,Workers!$U$5:$U$2004,0)),"")</f>
        <v/>
      </c>
      <c r="B70" s="24" t="str">
        <f aca="false">IF($A70="","",INDEX(Workers!$B$5:$B$2004,MATCH($A70,Workers!$A$5:$A$2004,0)))</f>
        <v/>
      </c>
      <c r="C70" s="24" t="str">
        <f aca="false">IF($A70="","",INDEX(Workers!$E$5:$E$2004,MATCH($A70,Workers!$A$5:$A$2004,0)))</f>
        <v/>
      </c>
      <c r="D70" s="24" t="str">
        <f aca="false">IF($A70="","",INDEX(Workers!$K$5:$K$2004,MATCH($A70,Workers!$A$5:$A$2004,0)))</f>
        <v/>
      </c>
      <c r="E70" s="25" t="str">
        <f aca="false">IF($A70="","",SUMIFS(Timesheet!$E$5:$E$3004,Timesheet!$D$5:$D$3004,$A70,Timesheet!$A$5:$A$3004,"&gt;="&amp;Settings!$B$8,Timesheet!$A$5:$A$3004,"&lt;="&amp;Settings!$B$9))</f>
        <v/>
      </c>
      <c r="F70" s="25" t="str">
        <f aca="false">IF($A70="","",SUMIFS(Timesheet!$F$5:$F$3004,Timesheet!$D$5:$D$3004,$A70,Timesheet!$A$5:$A$3004,"&gt;="&amp;Settings!$B$8,Timesheet!$A$5:$A$3004,"&lt;="&amp;Settings!$B$9))</f>
        <v/>
      </c>
      <c r="G70" s="25" t="str">
        <f aca="false">IF($A70="","",SUMIFS(Timesheet!$G$5:$G$3004,Timesheet!$D$5:$D$3004,$A70,Timesheet!$A$5:$A$3004,"&gt;="&amp;Settings!$B$8,Timesheet!$A$5:$A$3004,"&lt;="&amp;Settings!$B$9))</f>
        <v/>
      </c>
      <c r="H70" s="25" t="str">
        <f aca="false">IF($A70="","",IF(D70="Monthly",MAX(0,Settings!$B$11-E70),0))</f>
        <v/>
      </c>
      <c r="I70" s="26" t="str">
        <f aca="false">IF($A70="","",N(INDEX(Workers!$L$5:$L$2004,MATCH($A70,Workers!$A$5:$A$2004,0))))</f>
        <v/>
      </c>
      <c r="J70" s="26" t="str">
        <f aca="false">IF($A70="","",N(INDEX(Workers!$M$5:$M$2004,MATCH($A70,Workers!$A$5:$A$2004,0))))</f>
        <v/>
      </c>
      <c r="K70" s="26" t="str">
        <f aca="false">IF($A70="","",IF(D70="Monthly",ROUND(MAX(0,(I70+J70)-(I70+J70)/Settings!$B$10*H70),2),0))</f>
        <v/>
      </c>
      <c r="L70" s="26" t="str">
        <f aca="false">IF($A70="","",IF(D70="Hourly",ROUND(F70*N(INDEX(Workers!$N$5:$N$2004,MATCH($A70,Workers!$A$5:$A$2004,0))),2),0))</f>
        <v/>
      </c>
      <c r="M70" s="26" t="str">
        <f aca="false">IF($A70="","",ROUND(G70*IF(D70="Hourly",N(INDEX(Workers!$N$5:$N$2004,MATCH($A70,Workers!$A$5:$A$2004,0))),I70/Settings!$B$10/Settings!$B$12)*Settings!$B$13,2))</f>
        <v/>
      </c>
      <c r="N70" s="26" t="str">
        <f aca="false">IF($A70="","",K70+L70+M70)</f>
        <v/>
      </c>
      <c r="O70" s="26" t="str">
        <f aca="false">IF($A70="","",SUMIFS(Deductions!$D$5:$D$2000,Deductions!$B$5:$B$2000,$A70,Deductions!$C$5:$C$2000,"Advance",Deductions!$E$5:$E$2000,"&gt;="&amp;Settings!$B$8,Deductions!$E$5:$E$2000,"&lt;="&amp;Settings!$B$9))</f>
        <v/>
      </c>
      <c r="P70" s="26" t="str">
        <f aca="false">IF($A70="","",SUMIFS(Deductions!$D$5:$D$2000,Deductions!$B$5:$B$2000,$A70,Deductions!$E$5:$E$2000,"&gt;="&amp;Settings!$B$8,Deductions!$E$5:$E$2000,"&lt;="&amp;Settings!$B$9)-O70)</f>
        <v/>
      </c>
      <c r="Q70" s="26" t="str">
        <f aca="false">IF($A70="","",O70+P70)</f>
        <v/>
      </c>
      <c r="R70" s="23" t="str">
        <f aca="false">IF($A70="","",N70-Q70)</f>
        <v/>
      </c>
      <c r="S70" s="24" t="str">
        <f aca="false">IF($A70="","",INDEX(Workers!$O$5:$O$2004,MATCH($A70,Workers!$A$5:$A$2004,0))&amp;"")</f>
        <v/>
      </c>
      <c r="T70" s="24" t="str">
        <f aca="false">IF($A70="","",INDEX(Workers!$P$5:$P$2004,MATCH($A70,Workers!$A$5:$A$2004,0))&amp;"")</f>
        <v/>
      </c>
      <c r="U70" s="24" t="str">
        <f aca="false">IF($A70="","",INDEX(Workers!$H$5:$H$2004,MATCH($A70,Workers!$A$5:$A$2004,0))&amp;"")</f>
        <v/>
      </c>
    </row>
    <row r="71" customFormat="false" ht="15" hidden="false" customHeight="false" outlineLevel="0" collapsed="false">
      <c r="A71" s="24" t="str">
        <f aca="false">IFERROR(INDEX(Workers!$A$5:$A$2004,MATCH(ROW()-4,Workers!$U$5:$U$2004,0)),"")</f>
        <v/>
      </c>
      <c r="B71" s="24" t="str">
        <f aca="false">IF($A71="","",INDEX(Workers!$B$5:$B$2004,MATCH($A71,Workers!$A$5:$A$2004,0)))</f>
        <v/>
      </c>
      <c r="C71" s="24" t="str">
        <f aca="false">IF($A71="","",INDEX(Workers!$E$5:$E$2004,MATCH($A71,Workers!$A$5:$A$2004,0)))</f>
        <v/>
      </c>
      <c r="D71" s="24" t="str">
        <f aca="false">IF($A71="","",INDEX(Workers!$K$5:$K$2004,MATCH($A71,Workers!$A$5:$A$2004,0)))</f>
        <v/>
      </c>
      <c r="E71" s="25" t="str">
        <f aca="false">IF($A71="","",SUMIFS(Timesheet!$E$5:$E$3004,Timesheet!$D$5:$D$3004,$A71,Timesheet!$A$5:$A$3004,"&gt;="&amp;Settings!$B$8,Timesheet!$A$5:$A$3004,"&lt;="&amp;Settings!$B$9))</f>
        <v/>
      </c>
      <c r="F71" s="25" t="str">
        <f aca="false">IF($A71="","",SUMIFS(Timesheet!$F$5:$F$3004,Timesheet!$D$5:$D$3004,$A71,Timesheet!$A$5:$A$3004,"&gt;="&amp;Settings!$B$8,Timesheet!$A$5:$A$3004,"&lt;="&amp;Settings!$B$9))</f>
        <v/>
      </c>
      <c r="G71" s="25" t="str">
        <f aca="false">IF($A71="","",SUMIFS(Timesheet!$G$5:$G$3004,Timesheet!$D$5:$D$3004,$A71,Timesheet!$A$5:$A$3004,"&gt;="&amp;Settings!$B$8,Timesheet!$A$5:$A$3004,"&lt;="&amp;Settings!$B$9))</f>
        <v/>
      </c>
      <c r="H71" s="25" t="str">
        <f aca="false">IF($A71="","",IF(D71="Monthly",MAX(0,Settings!$B$11-E71),0))</f>
        <v/>
      </c>
      <c r="I71" s="26" t="str">
        <f aca="false">IF($A71="","",N(INDEX(Workers!$L$5:$L$2004,MATCH($A71,Workers!$A$5:$A$2004,0))))</f>
        <v/>
      </c>
      <c r="J71" s="26" t="str">
        <f aca="false">IF($A71="","",N(INDEX(Workers!$M$5:$M$2004,MATCH($A71,Workers!$A$5:$A$2004,0))))</f>
        <v/>
      </c>
      <c r="K71" s="26" t="str">
        <f aca="false">IF($A71="","",IF(D71="Monthly",ROUND(MAX(0,(I71+J71)-(I71+J71)/Settings!$B$10*H71),2),0))</f>
        <v/>
      </c>
      <c r="L71" s="26" t="str">
        <f aca="false">IF($A71="","",IF(D71="Hourly",ROUND(F71*N(INDEX(Workers!$N$5:$N$2004,MATCH($A71,Workers!$A$5:$A$2004,0))),2),0))</f>
        <v/>
      </c>
      <c r="M71" s="26" t="str">
        <f aca="false">IF($A71="","",ROUND(G71*IF(D71="Hourly",N(INDEX(Workers!$N$5:$N$2004,MATCH($A71,Workers!$A$5:$A$2004,0))),I71/Settings!$B$10/Settings!$B$12)*Settings!$B$13,2))</f>
        <v/>
      </c>
      <c r="N71" s="26" t="str">
        <f aca="false">IF($A71="","",K71+L71+M71)</f>
        <v/>
      </c>
      <c r="O71" s="26" t="str">
        <f aca="false">IF($A71="","",SUMIFS(Deductions!$D$5:$D$2000,Deductions!$B$5:$B$2000,$A71,Deductions!$C$5:$C$2000,"Advance",Deductions!$E$5:$E$2000,"&gt;="&amp;Settings!$B$8,Deductions!$E$5:$E$2000,"&lt;="&amp;Settings!$B$9))</f>
        <v/>
      </c>
      <c r="P71" s="26" t="str">
        <f aca="false">IF($A71="","",SUMIFS(Deductions!$D$5:$D$2000,Deductions!$B$5:$B$2000,$A71,Deductions!$E$5:$E$2000,"&gt;="&amp;Settings!$B$8,Deductions!$E$5:$E$2000,"&lt;="&amp;Settings!$B$9)-O71)</f>
        <v/>
      </c>
      <c r="Q71" s="26" t="str">
        <f aca="false">IF($A71="","",O71+P71)</f>
        <v/>
      </c>
      <c r="R71" s="23" t="str">
        <f aca="false">IF($A71="","",N71-Q71)</f>
        <v/>
      </c>
      <c r="S71" s="24" t="str">
        <f aca="false">IF($A71="","",INDEX(Workers!$O$5:$O$2004,MATCH($A71,Workers!$A$5:$A$2004,0))&amp;"")</f>
        <v/>
      </c>
      <c r="T71" s="24" t="str">
        <f aca="false">IF($A71="","",INDEX(Workers!$P$5:$P$2004,MATCH($A71,Workers!$A$5:$A$2004,0))&amp;"")</f>
        <v/>
      </c>
      <c r="U71" s="24" t="str">
        <f aca="false">IF($A71="","",INDEX(Workers!$H$5:$H$2004,MATCH($A71,Workers!$A$5:$A$2004,0))&amp;"")</f>
        <v/>
      </c>
    </row>
    <row r="72" customFormat="false" ht="15" hidden="false" customHeight="false" outlineLevel="0" collapsed="false">
      <c r="A72" s="24" t="str">
        <f aca="false">IFERROR(INDEX(Workers!$A$5:$A$2004,MATCH(ROW()-4,Workers!$U$5:$U$2004,0)),"")</f>
        <v/>
      </c>
      <c r="B72" s="24" t="str">
        <f aca="false">IF($A72="","",INDEX(Workers!$B$5:$B$2004,MATCH($A72,Workers!$A$5:$A$2004,0)))</f>
        <v/>
      </c>
      <c r="C72" s="24" t="str">
        <f aca="false">IF($A72="","",INDEX(Workers!$E$5:$E$2004,MATCH($A72,Workers!$A$5:$A$2004,0)))</f>
        <v/>
      </c>
      <c r="D72" s="24" t="str">
        <f aca="false">IF($A72="","",INDEX(Workers!$K$5:$K$2004,MATCH($A72,Workers!$A$5:$A$2004,0)))</f>
        <v/>
      </c>
      <c r="E72" s="25" t="str">
        <f aca="false">IF($A72="","",SUMIFS(Timesheet!$E$5:$E$3004,Timesheet!$D$5:$D$3004,$A72,Timesheet!$A$5:$A$3004,"&gt;="&amp;Settings!$B$8,Timesheet!$A$5:$A$3004,"&lt;="&amp;Settings!$B$9))</f>
        <v/>
      </c>
      <c r="F72" s="25" t="str">
        <f aca="false">IF($A72="","",SUMIFS(Timesheet!$F$5:$F$3004,Timesheet!$D$5:$D$3004,$A72,Timesheet!$A$5:$A$3004,"&gt;="&amp;Settings!$B$8,Timesheet!$A$5:$A$3004,"&lt;="&amp;Settings!$B$9))</f>
        <v/>
      </c>
      <c r="G72" s="25" t="str">
        <f aca="false">IF($A72="","",SUMIFS(Timesheet!$G$5:$G$3004,Timesheet!$D$5:$D$3004,$A72,Timesheet!$A$5:$A$3004,"&gt;="&amp;Settings!$B$8,Timesheet!$A$5:$A$3004,"&lt;="&amp;Settings!$B$9))</f>
        <v/>
      </c>
      <c r="H72" s="25" t="str">
        <f aca="false">IF($A72="","",IF(D72="Monthly",MAX(0,Settings!$B$11-E72),0))</f>
        <v/>
      </c>
      <c r="I72" s="26" t="str">
        <f aca="false">IF($A72="","",N(INDEX(Workers!$L$5:$L$2004,MATCH($A72,Workers!$A$5:$A$2004,0))))</f>
        <v/>
      </c>
      <c r="J72" s="26" t="str">
        <f aca="false">IF($A72="","",N(INDEX(Workers!$M$5:$M$2004,MATCH($A72,Workers!$A$5:$A$2004,0))))</f>
        <v/>
      </c>
      <c r="K72" s="26" t="str">
        <f aca="false">IF($A72="","",IF(D72="Monthly",ROUND(MAX(0,(I72+J72)-(I72+J72)/Settings!$B$10*H72),2),0))</f>
        <v/>
      </c>
      <c r="L72" s="26" t="str">
        <f aca="false">IF($A72="","",IF(D72="Hourly",ROUND(F72*N(INDEX(Workers!$N$5:$N$2004,MATCH($A72,Workers!$A$5:$A$2004,0))),2),0))</f>
        <v/>
      </c>
      <c r="M72" s="26" t="str">
        <f aca="false">IF($A72="","",ROUND(G72*IF(D72="Hourly",N(INDEX(Workers!$N$5:$N$2004,MATCH($A72,Workers!$A$5:$A$2004,0))),I72/Settings!$B$10/Settings!$B$12)*Settings!$B$13,2))</f>
        <v/>
      </c>
      <c r="N72" s="26" t="str">
        <f aca="false">IF($A72="","",K72+L72+M72)</f>
        <v/>
      </c>
      <c r="O72" s="26" t="str">
        <f aca="false">IF($A72="","",SUMIFS(Deductions!$D$5:$D$2000,Deductions!$B$5:$B$2000,$A72,Deductions!$C$5:$C$2000,"Advance",Deductions!$E$5:$E$2000,"&gt;="&amp;Settings!$B$8,Deductions!$E$5:$E$2000,"&lt;="&amp;Settings!$B$9))</f>
        <v/>
      </c>
      <c r="P72" s="26" t="str">
        <f aca="false">IF($A72="","",SUMIFS(Deductions!$D$5:$D$2000,Deductions!$B$5:$B$2000,$A72,Deductions!$E$5:$E$2000,"&gt;="&amp;Settings!$B$8,Deductions!$E$5:$E$2000,"&lt;="&amp;Settings!$B$9)-O72)</f>
        <v/>
      </c>
      <c r="Q72" s="26" t="str">
        <f aca="false">IF($A72="","",O72+P72)</f>
        <v/>
      </c>
      <c r="R72" s="23" t="str">
        <f aca="false">IF($A72="","",N72-Q72)</f>
        <v/>
      </c>
      <c r="S72" s="24" t="str">
        <f aca="false">IF($A72="","",INDEX(Workers!$O$5:$O$2004,MATCH($A72,Workers!$A$5:$A$2004,0))&amp;"")</f>
        <v/>
      </c>
      <c r="T72" s="24" t="str">
        <f aca="false">IF($A72="","",INDEX(Workers!$P$5:$P$2004,MATCH($A72,Workers!$A$5:$A$2004,0))&amp;"")</f>
        <v/>
      </c>
      <c r="U72" s="24" t="str">
        <f aca="false">IF($A72="","",INDEX(Workers!$H$5:$H$2004,MATCH($A72,Workers!$A$5:$A$2004,0))&amp;"")</f>
        <v/>
      </c>
    </row>
    <row r="73" customFormat="false" ht="15" hidden="false" customHeight="false" outlineLevel="0" collapsed="false">
      <c r="A73" s="24" t="str">
        <f aca="false">IFERROR(INDEX(Workers!$A$5:$A$2004,MATCH(ROW()-4,Workers!$U$5:$U$2004,0)),"")</f>
        <v/>
      </c>
      <c r="B73" s="24" t="str">
        <f aca="false">IF($A73="","",INDEX(Workers!$B$5:$B$2004,MATCH($A73,Workers!$A$5:$A$2004,0)))</f>
        <v/>
      </c>
      <c r="C73" s="24" t="str">
        <f aca="false">IF($A73="","",INDEX(Workers!$E$5:$E$2004,MATCH($A73,Workers!$A$5:$A$2004,0)))</f>
        <v/>
      </c>
      <c r="D73" s="24" t="str">
        <f aca="false">IF($A73="","",INDEX(Workers!$K$5:$K$2004,MATCH($A73,Workers!$A$5:$A$2004,0)))</f>
        <v/>
      </c>
      <c r="E73" s="25" t="str">
        <f aca="false">IF($A73="","",SUMIFS(Timesheet!$E$5:$E$3004,Timesheet!$D$5:$D$3004,$A73,Timesheet!$A$5:$A$3004,"&gt;="&amp;Settings!$B$8,Timesheet!$A$5:$A$3004,"&lt;="&amp;Settings!$B$9))</f>
        <v/>
      </c>
      <c r="F73" s="25" t="str">
        <f aca="false">IF($A73="","",SUMIFS(Timesheet!$F$5:$F$3004,Timesheet!$D$5:$D$3004,$A73,Timesheet!$A$5:$A$3004,"&gt;="&amp;Settings!$B$8,Timesheet!$A$5:$A$3004,"&lt;="&amp;Settings!$B$9))</f>
        <v/>
      </c>
      <c r="G73" s="25" t="str">
        <f aca="false">IF($A73="","",SUMIFS(Timesheet!$G$5:$G$3004,Timesheet!$D$5:$D$3004,$A73,Timesheet!$A$5:$A$3004,"&gt;="&amp;Settings!$B$8,Timesheet!$A$5:$A$3004,"&lt;="&amp;Settings!$B$9))</f>
        <v/>
      </c>
      <c r="H73" s="25" t="str">
        <f aca="false">IF($A73="","",IF(D73="Monthly",MAX(0,Settings!$B$11-E73),0))</f>
        <v/>
      </c>
      <c r="I73" s="26" t="str">
        <f aca="false">IF($A73="","",N(INDEX(Workers!$L$5:$L$2004,MATCH($A73,Workers!$A$5:$A$2004,0))))</f>
        <v/>
      </c>
      <c r="J73" s="26" t="str">
        <f aca="false">IF($A73="","",N(INDEX(Workers!$M$5:$M$2004,MATCH($A73,Workers!$A$5:$A$2004,0))))</f>
        <v/>
      </c>
      <c r="K73" s="26" t="str">
        <f aca="false">IF($A73="","",IF(D73="Monthly",ROUND(MAX(0,(I73+J73)-(I73+J73)/Settings!$B$10*H73),2),0))</f>
        <v/>
      </c>
      <c r="L73" s="26" t="str">
        <f aca="false">IF($A73="","",IF(D73="Hourly",ROUND(F73*N(INDEX(Workers!$N$5:$N$2004,MATCH($A73,Workers!$A$5:$A$2004,0))),2),0))</f>
        <v/>
      </c>
      <c r="M73" s="26" t="str">
        <f aca="false">IF($A73="","",ROUND(G73*IF(D73="Hourly",N(INDEX(Workers!$N$5:$N$2004,MATCH($A73,Workers!$A$5:$A$2004,0))),I73/Settings!$B$10/Settings!$B$12)*Settings!$B$13,2))</f>
        <v/>
      </c>
      <c r="N73" s="26" t="str">
        <f aca="false">IF($A73="","",K73+L73+M73)</f>
        <v/>
      </c>
      <c r="O73" s="26" t="str">
        <f aca="false">IF($A73="","",SUMIFS(Deductions!$D$5:$D$2000,Deductions!$B$5:$B$2000,$A73,Deductions!$C$5:$C$2000,"Advance",Deductions!$E$5:$E$2000,"&gt;="&amp;Settings!$B$8,Deductions!$E$5:$E$2000,"&lt;="&amp;Settings!$B$9))</f>
        <v/>
      </c>
      <c r="P73" s="26" t="str">
        <f aca="false">IF($A73="","",SUMIFS(Deductions!$D$5:$D$2000,Deductions!$B$5:$B$2000,$A73,Deductions!$E$5:$E$2000,"&gt;="&amp;Settings!$B$8,Deductions!$E$5:$E$2000,"&lt;="&amp;Settings!$B$9)-O73)</f>
        <v/>
      </c>
      <c r="Q73" s="26" t="str">
        <f aca="false">IF($A73="","",O73+P73)</f>
        <v/>
      </c>
      <c r="R73" s="23" t="str">
        <f aca="false">IF($A73="","",N73-Q73)</f>
        <v/>
      </c>
      <c r="S73" s="24" t="str">
        <f aca="false">IF($A73="","",INDEX(Workers!$O$5:$O$2004,MATCH($A73,Workers!$A$5:$A$2004,0))&amp;"")</f>
        <v/>
      </c>
      <c r="T73" s="24" t="str">
        <f aca="false">IF($A73="","",INDEX(Workers!$P$5:$P$2004,MATCH($A73,Workers!$A$5:$A$2004,0))&amp;"")</f>
        <v/>
      </c>
      <c r="U73" s="24" t="str">
        <f aca="false">IF($A73="","",INDEX(Workers!$H$5:$H$2004,MATCH($A73,Workers!$A$5:$A$2004,0))&amp;"")</f>
        <v/>
      </c>
    </row>
    <row r="74" customFormat="false" ht="15" hidden="false" customHeight="false" outlineLevel="0" collapsed="false">
      <c r="A74" s="24" t="str">
        <f aca="false">IFERROR(INDEX(Workers!$A$5:$A$2004,MATCH(ROW()-4,Workers!$U$5:$U$2004,0)),"")</f>
        <v/>
      </c>
      <c r="B74" s="24" t="str">
        <f aca="false">IF($A74="","",INDEX(Workers!$B$5:$B$2004,MATCH($A74,Workers!$A$5:$A$2004,0)))</f>
        <v/>
      </c>
      <c r="C74" s="24" t="str">
        <f aca="false">IF($A74="","",INDEX(Workers!$E$5:$E$2004,MATCH($A74,Workers!$A$5:$A$2004,0)))</f>
        <v/>
      </c>
      <c r="D74" s="24" t="str">
        <f aca="false">IF($A74="","",INDEX(Workers!$K$5:$K$2004,MATCH($A74,Workers!$A$5:$A$2004,0)))</f>
        <v/>
      </c>
      <c r="E74" s="25" t="str">
        <f aca="false">IF($A74="","",SUMIFS(Timesheet!$E$5:$E$3004,Timesheet!$D$5:$D$3004,$A74,Timesheet!$A$5:$A$3004,"&gt;="&amp;Settings!$B$8,Timesheet!$A$5:$A$3004,"&lt;="&amp;Settings!$B$9))</f>
        <v/>
      </c>
      <c r="F74" s="25" t="str">
        <f aca="false">IF($A74="","",SUMIFS(Timesheet!$F$5:$F$3004,Timesheet!$D$5:$D$3004,$A74,Timesheet!$A$5:$A$3004,"&gt;="&amp;Settings!$B$8,Timesheet!$A$5:$A$3004,"&lt;="&amp;Settings!$B$9))</f>
        <v/>
      </c>
      <c r="G74" s="25" t="str">
        <f aca="false">IF($A74="","",SUMIFS(Timesheet!$G$5:$G$3004,Timesheet!$D$5:$D$3004,$A74,Timesheet!$A$5:$A$3004,"&gt;="&amp;Settings!$B$8,Timesheet!$A$5:$A$3004,"&lt;="&amp;Settings!$B$9))</f>
        <v/>
      </c>
      <c r="H74" s="25" t="str">
        <f aca="false">IF($A74="","",IF(D74="Monthly",MAX(0,Settings!$B$11-E74),0))</f>
        <v/>
      </c>
      <c r="I74" s="26" t="str">
        <f aca="false">IF($A74="","",N(INDEX(Workers!$L$5:$L$2004,MATCH($A74,Workers!$A$5:$A$2004,0))))</f>
        <v/>
      </c>
      <c r="J74" s="26" t="str">
        <f aca="false">IF($A74="","",N(INDEX(Workers!$M$5:$M$2004,MATCH($A74,Workers!$A$5:$A$2004,0))))</f>
        <v/>
      </c>
      <c r="K74" s="26" t="str">
        <f aca="false">IF($A74="","",IF(D74="Monthly",ROUND(MAX(0,(I74+J74)-(I74+J74)/Settings!$B$10*H74),2),0))</f>
        <v/>
      </c>
      <c r="L74" s="26" t="str">
        <f aca="false">IF($A74="","",IF(D74="Hourly",ROUND(F74*N(INDEX(Workers!$N$5:$N$2004,MATCH($A74,Workers!$A$5:$A$2004,0))),2),0))</f>
        <v/>
      </c>
      <c r="M74" s="26" t="str">
        <f aca="false">IF($A74="","",ROUND(G74*IF(D74="Hourly",N(INDEX(Workers!$N$5:$N$2004,MATCH($A74,Workers!$A$5:$A$2004,0))),I74/Settings!$B$10/Settings!$B$12)*Settings!$B$13,2))</f>
        <v/>
      </c>
      <c r="N74" s="26" t="str">
        <f aca="false">IF($A74="","",K74+L74+M74)</f>
        <v/>
      </c>
      <c r="O74" s="26" t="str">
        <f aca="false">IF($A74="","",SUMIFS(Deductions!$D$5:$D$2000,Deductions!$B$5:$B$2000,$A74,Deductions!$C$5:$C$2000,"Advance",Deductions!$E$5:$E$2000,"&gt;="&amp;Settings!$B$8,Deductions!$E$5:$E$2000,"&lt;="&amp;Settings!$B$9))</f>
        <v/>
      </c>
      <c r="P74" s="26" t="str">
        <f aca="false">IF($A74="","",SUMIFS(Deductions!$D$5:$D$2000,Deductions!$B$5:$B$2000,$A74,Deductions!$E$5:$E$2000,"&gt;="&amp;Settings!$B$8,Deductions!$E$5:$E$2000,"&lt;="&amp;Settings!$B$9)-O74)</f>
        <v/>
      </c>
      <c r="Q74" s="26" t="str">
        <f aca="false">IF($A74="","",O74+P74)</f>
        <v/>
      </c>
      <c r="R74" s="23" t="str">
        <f aca="false">IF($A74="","",N74-Q74)</f>
        <v/>
      </c>
      <c r="S74" s="24" t="str">
        <f aca="false">IF($A74="","",INDEX(Workers!$O$5:$O$2004,MATCH($A74,Workers!$A$5:$A$2004,0))&amp;"")</f>
        <v/>
      </c>
      <c r="T74" s="24" t="str">
        <f aca="false">IF($A74="","",INDEX(Workers!$P$5:$P$2004,MATCH($A74,Workers!$A$5:$A$2004,0))&amp;"")</f>
        <v/>
      </c>
      <c r="U74" s="24" t="str">
        <f aca="false">IF($A74="","",INDEX(Workers!$H$5:$H$2004,MATCH($A74,Workers!$A$5:$A$2004,0))&amp;"")</f>
        <v/>
      </c>
    </row>
    <row r="75" customFormat="false" ht="15" hidden="false" customHeight="false" outlineLevel="0" collapsed="false">
      <c r="A75" s="24" t="str">
        <f aca="false">IFERROR(INDEX(Workers!$A$5:$A$2004,MATCH(ROW()-4,Workers!$U$5:$U$2004,0)),"")</f>
        <v/>
      </c>
      <c r="B75" s="24" t="str">
        <f aca="false">IF($A75="","",INDEX(Workers!$B$5:$B$2004,MATCH($A75,Workers!$A$5:$A$2004,0)))</f>
        <v/>
      </c>
      <c r="C75" s="24" t="str">
        <f aca="false">IF($A75="","",INDEX(Workers!$E$5:$E$2004,MATCH($A75,Workers!$A$5:$A$2004,0)))</f>
        <v/>
      </c>
      <c r="D75" s="24" t="str">
        <f aca="false">IF($A75="","",INDEX(Workers!$K$5:$K$2004,MATCH($A75,Workers!$A$5:$A$2004,0)))</f>
        <v/>
      </c>
      <c r="E75" s="25" t="str">
        <f aca="false">IF($A75="","",SUMIFS(Timesheet!$E$5:$E$3004,Timesheet!$D$5:$D$3004,$A75,Timesheet!$A$5:$A$3004,"&gt;="&amp;Settings!$B$8,Timesheet!$A$5:$A$3004,"&lt;="&amp;Settings!$B$9))</f>
        <v/>
      </c>
      <c r="F75" s="25" t="str">
        <f aca="false">IF($A75="","",SUMIFS(Timesheet!$F$5:$F$3004,Timesheet!$D$5:$D$3004,$A75,Timesheet!$A$5:$A$3004,"&gt;="&amp;Settings!$B$8,Timesheet!$A$5:$A$3004,"&lt;="&amp;Settings!$B$9))</f>
        <v/>
      </c>
      <c r="G75" s="25" t="str">
        <f aca="false">IF($A75="","",SUMIFS(Timesheet!$G$5:$G$3004,Timesheet!$D$5:$D$3004,$A75,Timesheet!$A$5:$A$3004,"&gt;="&amp;Settings!$B$8,Timesheet!$A$5:$A$3004,"&lt;="&amp;Settings!$B$9))</f>
        <v/>
      </c>
      <c r="H75" s="25" t="str">
        <f aca="false">IF($A75="","",IF(D75="Monthly",MAX(0,Settings!$B$11-E75),0))</f>
        <v/>
      </c>
      <c r="I75" s="26" t="str">
        <f aca="false">IF($A75="","",N(INDEX(Workers!$L$5:$L$2004,MATCH($A75,Workers!$A$5:$A$2004,0))))</f>
        <v/>
      </c>
      <c r="J75" s="26" t="str">
        <f aca="false">IF($A75="","",N(INDEX(Workers!$M$5:$M$2004,MATCH($A75,Workers!$A$5:$A$2004,0))))</f>
        <v/>
      </c>
      <c r="K75" s="26" t="str">
        <f aca="false">IF($A75="","",IF(D75="Monthly",ROUND(MAX(0,(I75+J75)-(I75+J75)/Settings!$B$10*H75),2),0))</f>
        <v/>
      </c>
      <c r="L75" s="26" t="str">
        <f aca="false">IF($A75="","",IF(D75="Hourly",ROUND(F75*N(INDEX(Workers!$N$5:$N$2004,MATCH($A75,Workers!$A$5:$A$2004,0))),2),0))</f>
        <v/>
      </c>
      <c r="M75" s="26" t="str">
        <f aca="false">IF($A75="","",ROUND(G75*IF(D75="Hourly",N(INDEX(Workers!$N$5:$N$2004,MATCH($A75,Workers!$A$5:$A$2004,0))),I75/Settings!$B$10/Settings!$B$12)*Settings!$B$13,2))</f>
        <v/>
      </c>
      <c r="N75" s="26" t="str">
        <f aca="false">IF($A75="","",K75+L75+M75)</f>
        <v/>
      </c>
      <c r="O75" s="26" t="str">
        <f aca="false">IF($A75="","",SUMIFS(Deductions!$D$5:$D$2000,Deductions!$B$5:$B$2000,$A75,Deductions!$C$5:$C$2000,"Advance",Deductions!$E$5:$E$2000,"&gt;="&amp;Settings!$B$8,Deductions!$E$5:$E$2000,"&lt;="&amp;Settings!$B$9))</f>
        <v/>
      </c>
      <c r="P75" s="26" t="str">
        <f aca="false">IF($A75="","",SUMIFS(Deductions!$D$5:$D$2000,Deductions!$B$5:$B$2000,$A75,Deductions!$E$5:$E$2000,"&gt;="&amp;Settings!$B$8,Deductions!$E$5:$E$2000,"&lt;="&amp;Settings!$B$9)-O75)</f>
        <v/>
      </c>
      <c r="Q75" s="26" t="str">
        <f aca="false">IF($A75="","",O75+P75)</f>
        <v/>
      </c>
      <c r="R75" s="23" t="str">
        <f aca="false">IF($A75="","",N75-Q75)</f>
        <v/>
      </c>
      <c r="S75" s="24" t="str">
        <f aca="false">IF($A75="","",INDEX(Workers!$O$5:$O$2004,MATCH($A75,Workers!$A$5:$A$2004,0))&amp;"")</f>
        <v/>
      </c>
      <c r="T75" s="24" t="str">
        <f aca="false">IF($A75="","",INDEX(Workers!$P$5:$P$2004,MATCH($A75,Workers!$A$5:$A$2004,0))&amp;"")</f>
        <v/>
      </c>
      <c r="U75" s="24" t="str">
        <f aca="false">IF($A75="","",INDEX(Workers!$H$5:$H$2004,MATCH($A75,Workers!$A$5:$A$2004,0))&amp;"")</f>
        <v/>
      </c>
    </row>
    <row r="76" customFormat="false" ht="15" hidden="false" customHeight="false" outlineLevel="0" collapsed="false">
      <c r="A76" s="24" t="str">
        <f aca="false">IFERROR(INDEX(Workers!$A$5:$A$2004,MATCH(ROW()-4,Workers!$U$5:$U$2004,0)),"")</f>
        <v/>
      </c>
      <c r="B76" s="24" t="str">
        <f aca="false">IF($A76="","",INDEX(Workers!$B$5:$B$2004,MATCH($A76,Workers!$A$5:$A$2004,0)))</f>
        <v/>
      </c>
      <c r="C76" s="24" t="str">
        <f aca="false">IF($A76="","",INDEX(Workers!$E$5:$E$2004,MATCH($A76,Workers!$A$5:$A$2004,0)))</f>
        <v/>
      </c>
      <c r="D76" s="24" t="str">
        <f aca="false">IF($A76="","",INDEX(Workers!$K$5:$K$2004,MATCH($A76,Workers!$A$5:$A$2004,0)))</f>
        <v/>
      </c>
      <c r="E76" s="25" t="str">
        <f aca="false">IF($A76="","",SUMIFS(Timesheet!$E$5:$E$3004,Timesheet!$D$5:$D$3004,$A76,Timesheet!$A$5:$A$3004,"&gt;="&amp;Settings!$B$8,Timesheet!$A$5:$A$3004,"&lt;="&amp;Settings!$B$9))</f>
        <v/>
      </c>
      <c r="F76" s="25" t="str">
        <f aca="false">IF($A76="","",SUMIFS(Timesheet!$F$5:$F$3004,Timesheet!$D$5:$D$3004,$A76,Timesheet!$A$5:$A$3004,"&gt;="&amp;Settings!$B$8,Timesheet!$A$5:$A$3004,"&lt;="&amp;Settings!$B$9))</f>
        <v/>
      </c>
      <c r="G76" s="25" t="str">
        <f aca="false">IF($A76="","",SUMIFS(Timesheet!$G$5:$G$3004,Timesheet!$D$5:$D$3004,$A76,Timesheet!$A$5:$A$3004,"&gt;="&amp;Settings!$B$8,Timesheet!$A$5:$A$3004,"&lt;="&amp;Settings!$B$9))</f>
        <v/>
      </c>
      <c r="H76" s="25" t="str">
        <f aca="false">IF($A76="","",IF(D76="Monthly",MAX(0,Settings!$B$11-E76),0))</f>
        <v/>
      </c>
      <c r="I76" s="26" t="str">
        <f aca="false">IF($A76="","",N(INDEX(Workers!$L$5:$L$2004,MATCH($A76,Workers!$A$5:$A$2004,0))))</f>
        <v/>
      </c>
      <c r="J76" s="26" t="str">
        <f aca="false">IF($A76="","",N(INDEX(Workers!$M$5:$M$2004,MATCH($A76,Workers!$A$5:$A$2004,0))))</f>
        <v/>
      </c>
      <c r="K76" s="26" t="str">
        <f aca="false">IF($A76="","",IF(D76="Monthly",ROUND(MAX(0,(I76+J76)-(I76+J76)/Settings!$B$10*H76),2),0))</f>
        <v/>
      </c>
      <c r="L76" s="26" t="str">
        <f aca="false">IF($A76="","",IF(D76="Hourly",ROUND(F76*N(INDEX(Workers!$N$5:$N$2004,MATCH($A76,Workers!$A$5:$A$2004,0))),2),0))</f>
        <v/>
      </c>
      <c r="M76" s="26" t="str">
        <f aca="false">IF($A76="","",ROUND(G76*IF(D76="Hourly",N(INDEX(Workers!$N$5:$N$2004,MATCH($A76,Workers!$A$5:$A$2004,0))),I76/Settings!$B$10/Settings!$B$12)*Settings!$B$13,2))</f>
        <v/>
      </c>
      <c r="N76" s="26" t="str">
        <f aca="false">IF($A76="","",K76+L76+M76)</f>
        <v/>
      </c>
      <c r="O76" s="26" t="str">
        <f aca="false">IF($A76="","",SUMIFS(Deductions!$D$5:$D$2000,Deductions!$B$5:$B$2000,$A76,Deductions!$C$5:$C$2000,"Advance",Deductions!$E$5:$E$2000,"&gt;="&amp;Settings!$B$8,Deductions!$E$5:$E$2000,"&lt;="&amp;Settings!$B$9))</f>
        <v/>
      </c>
      <c r="P76" s="26" t="str">
        <f aca="false">IF($A76="","",SUMIFS(Deductions!$D$5:$D$2000,Deductions!$B$5:$B$2000,$A76,Deductions!$E$5:$E$2000,"&gt;="&amp;Settings!$B$8,Deductions!$E$5:$E$2000,"&lt;="&amp;Settings!$B$9)-O76)</f>
        <v/>
      </c>
      <c r="Q76" s="26" t="str">
        <f aca="false">IF($A76="","",O76+P76)</f>
        <v/>
      </c>
      <c r="R76" s="23" t="str">
        <f aca="false">IF($A76="","",N76-Q76)</f>
        <v/>
      </c>
      <c r="S76" s="24" t="str">
        <f aca="false">IF($A76="","",INDEX(Workers!$O$5:$O$2004,MATCH($A76,Workers!$A$5:$A$2004,0))&amp;"")</f>
        <v/>
      </c>
      <c r="T76" s="24" t="str">
        <f aca="false">IF($A76="","",INDEX(Workers!$P$5:$P$2004,MATCH($A76,Workers!$A$5:$A$2004,0))&amp;"")</f>
        <v/>
      </c>
      <c r="U76" s="24" t="str">
        <f aca="false">IF($A76="","",INDEX(Workers!$H$5:$H$2004,MATCH($A76,Workers!$A$5:$A$2004,0))&amp;"")</f>
        <v/>
      </c>
    </row>
    <row r="77" customFormat="false" ht="15" hidden="false" customHeight="false" outlineLevel="0" collapsed="false">
      <c r="A77" s="24" t="str">
        <f aca="false">IFERROR(INDEX(Workers!$A$5:$A$2004,MATCH(ROW()-4,Workers!$U$5:$U$2004,0)),"")</f>
        <v/>
      </c>
      <c r="B77" s="24" t="str">
        <f aca="false">IF($A77="","",INDEX(Workers!$B$5:$B$2004,MATCH($A77,Workers!$A$5:$A$2004,0)))</f>
        <v/>
      </c>
      <c r="C77" s="24" t="str">
        <f aca="false">IF($A77="","",INDEX(Workers!$E$5:$E$2004,MATCH($A77,Workers!$A$5:$A$2004,0)))</f>
        <v/>
      </c>
      <c r="D77" s="24" t="str">
        <f aca="false">IF($A77="","",INDEX(Workers!$K$5:$K$2004,MATCH($A77,Workers!$A$5:$A$2004,0)))</f>
        <v/>
      </c>
      <c r="E77" s="25" t="str">
        <f aca="false">IF($A77="","",SUMIFS(Timesheet!$E$5:$E$3004,Timesheet!$D$5:$D$3004,$A77,Timesheet!$A$5:$A$3004,"&gt;="&amp;Settings!$B$8,Timesheet!$A$5:$A$3004,"&lt;="&amp;Settings!$B$9))</f>
        <v/>
      </c>
      <c r="F77" s="25" t="str">
        <f aca="false">IF($A77="","",SUMIFS(Timesheet!$F$5:$F$3004,Timesheet!$D$5:$D$3004,$A77,Timesheet!$A$5:$A$3004,"&gt;="&amp;Settings!$B$8,Timesheet!$A$5:$A$3004,"&lt;="&amp;Settings!$B$9))</f>
        <v/>
      </c>
      <c r="G77" s="25" t="str">
        <f aca="false">IF($A77="","",SUMIFS(Timesheet!$G$5:$G$3004,Timesheet!$D$5:$D$3004,$A77,Timesheet!$A$5:$A$3004,"&gt;="&amp;Settings!$B$8,Timesheet!$A$5:$A$3004,"&lt;="&amp;Settings!$B$9))</f>
        <v/>
      </c>
      <c r="H77" s="25" t="str">
        <f aca="false">IF($A77="","",IF(D77="Monthly",MAX(0,Settings!$B$11-E77),0))</f>
        <v/>
      </c>
      <c r="I77" s="26" t="str">
        <f aca="false">IF($A77="","",N(INDEX(Workers!$L$5:$L$2004,MATCH($A77,Workers!$A$5:$A$2004,0))))</f>
        <v/>
      </c>
      <c r="J77" s="26" t="str">
        <f aca="false">IF($A77="","",N(INDEX(Workers!$M$5:$M$2004,MATCH($A77,Workers!$A$5:$A$2004,0))))</f>
        <v/>
      </c>
      <c r="K77" s="26" t="str">
        <f aca="false">IF($A77="","",IF(D77="Monthly",ROUND(MAX(0,(I77+J77)-(I77+J77)/Settings!$B$10*H77),2),0))</f>
        <v/>
      </c>
      <c r="L77" s="26" t="str">
        <f aca="false">IF($A77="","",IF(D77="Hourly",ROUND(F77*N(INDEX(Workers!$N$5:$N$2004,MATCH($A77,Workers!$A$5:$A$2004,0))),2),0))</f>
        <v/>
      </c>
      <c r="M77" s="26" t="str">
        <f aca="false">IF($A77="","",ROUND(G77*IF(D77="Hourly",N(INDEX(Workers!$N$5:$N$2004,MATCH($A77,Workers!$A$5:$A$2004,0))),I77/Settings!$B$10/Settings!$B$12)*Settings!$B$13,2))</f>
        <v/>
      </c>
      <c r="N77" s="26" t="str">
        <f aca="false">IF($A77="","",K77+L77+M77)</f>
        <v/>
      </c>
      <c r="O77" s="26" t="str">
        <f aca="false">IF($A77="","",SUMIFS(Deductions!$D$5:$D$2000,Deductions!$B$5:$B$2000,$A77,Deductions!$C$5:$C$2000,"Advance",Deductions!$E$5:$E$2000,"&gt;="&amp;Settings!$B$8,Deductions!$E$5:$E$2000,"&lt;="&amp;Settings!$B$9))</f>
        <v/>
      </c>
      <c r="P77" s="26" t="str">
        <f aca="false">IF($A77="","",SUMIFS(Deductions!$D$5:$D$2000,Deductions!$B$5:$B$2000,$A77,Deductions!$E$5:$E$2000,"&gt;="&amp;Settings!$B$8,Deductions!$E$5:$E$2000,"&lt;="&amp;Settings!$B$9)-O77)</f>
        <v/>
      </c>
      <c r="Q77" s="26" t="str">
        <f aca="false">IF($A77="","",O77+P77)</f>
        <v/>
      </c>
      <c r="R77" s="23" t="str">
        <f aca="false">IF($A77="","",N77-Q77)</f>
        <v/>
      </c>
      <c r="S77" s="24" t="str">
        <f aca="false">IF($A77="","",INDEX(Workers!$O$5:$O$2004,MATCH($A77,Workers!$A$5:$A$2004,0))&amp;"")</f>
        <v/>
      </c>
      <c r="T77" s="24" t="str">
        <f aca="false">IF($A77="","",INDEX(Workers!$P$5:$P$2004,MATCH($A77,Workers!$A$5:$A$2004,0))&amp;"")</f>
        <v/>
      </c>
      <c r="U77" s="24" t="str">
        <f aca="false">IF($A77="","",INDEX(Workers!$H$5:$H$2004,MATCH($A77,Workers!$A$5:$A$2004,0))&amp;"")</f>
        <v/>
      </c>
    </row>
    <row r="78" customFormat="false" ht="15" hidden="false" customHeight="false" outlineLevel="0" collapsed="false">
      <c r="A78" s="24" t="str">
        <f aca="false">IFERROR(INDEX(Workers!$A$5:$A$2004,MATCH(ROW()-4,Workers!$U$5:$U$2004,0)),"")</f>
        <v/>
      </c>
      <c r="B78" s="24" t="str">
        <f aca="false">IF($A78="","",INDEX(Workers!$B$5:$B$2004,MATCH($A78,Workers!$A$5:$A$2004,0)))</f>
        <v/>
      </c>
      <c r="C78" s="24" t="str">
        <f aca="false">IF($A78="","",INDEX(Workers!$E$5:$E$2004,MATCH($A78,Workers!$A$5:$A$2004,0)))</f>
        <v/>
      </c>
      <c r="D78" s="24" t="str">
        <f aca="false">IF($A78="","",INDEX(Workers!$K$5:$K$2004,MATCH($A78,Workers!$A$5:$A$2004,0)))</f>
        <v/>
      </c>
      <c r="E78" s="25" t="str">
        <f aca="false">IF($A78="","",SUMIFS(Timesheet!$E$5:$E$3004,Timesheet!$D$5:$D$3004,$A78,Timesheet!$A$5:$A$3004,"&gt;="&amp;Settings!$B$8,Timesheet!$A$5:$A$3004,"&lt;="&amp;Settings!$B$9))</f>
        <v/>
      </c>
      <c r="F78" s="25" t="str">
        <f aca="false">IF($A78="","",SUMIFS(Timesheet!$F$5:$F$3004,Timesheet!$D$5:$D$3004,$A78,Timesheet!$A$5:$A$3004,"&gt;="&amp;Settings!$B$8,Timesheet!$A$5:$A$3004,"&lt;="&amp;Settings!$B$9))</f>
        <v/>
      </c>
      <c r="G78" s="25" t="str">
        <f aca="false">IF($A78="","",SUMIFS(Timesheet!$G$5:$G$3004,Timesheet!$D$5:$D$3004,$A78,Timesheet!$A$5:$A$3004,"&gt;="&amp;Settings!$B$8,Timesheet!$A$5:$A$3004,"&lt;="&amp;Settings!$B$9))</f>
        <v/>
      </c>
      <c r="H78" s="25" t="str">
        <f aca="false">IF($A78="","",IF(D78="Monthly",MAX(0,Settings!$B$11-E78),0))</f>
        <v/>
      </c>
      <c r="I78" s="26" t="str">
        <f aca="false">IF($A78="","",N(INDEX(Workers!$L$5:$L$2004,MATCH($A78,Workers!$A$5:$A$2004,0))))</f>
        <v/>
      </c>
      <c r="J78" s="26" t="str">
        <f aca="false">IF($A78="","",N(INDEX(Workers!$M$5:$M$2004,MATCH($A78,Workers!$A$5:$A$2004,0))))</f>
        <v/>
      </c>
      <c r="K78" s="26" t="str">
        <f aca="false">IF($A78="","",IF(D78="Monthly",ROUND(MAX(0,(I78+J78)-(I78+J78)/Settings!$B$10*H78),2),0))</f>
        <v/>
      </c>
      <c r="L78" s="26" t="str">
        <f aca="false">IF($A78="","",IF(D78="Hourly",ROUND(F78*N(INDEX(Workers!$N$5:$N$2004,MATCH($A78,Workers!$A$5:$A$2004,0))),2),0))</f>
        <v/>
      </c>
      <c r="M78" s="26" t="str">
        <f aca="false">IF($A78="","",ROUND(G78*IF(D78="Hourly",N(INDEX(Workers!$N$5:$N$2004,MATCH($A78,Workers!$A$5:$A$2004,0))),I78/Settings!$B$10/Settings!$B$12)*Settings!$B$13,2))</f>
        <v/>
      </c>
      <c r="N78" s="26" t="str">
        <f aca="false">IF($A78="","",K78+L78+M78)</f>
        <v/>
      </c>
      <c r="O78" s="26" t="str">
        <f aca="false">IF($A78="","",SUMIFS(Deductions!$D$5:$D$2000,Deductions!$B$5:$B$2000,$A78,Deductions!$C$5:$C$2000,"Advance",Deductions!$E$5:$E$2000,"&gt;="&amp;Settings!$B$8,Deductions!$E$5:$E$2000,"&lt;="&amp;Settings!$B$9))</f>
        <v/>
      </c>
      <c r="P78" s="26" t="str">
        <f aca="false">IF($A78="","",SUMIFS(Deductions!$D$5:$D$2000,Deductions!$B$5:$B$2000,$A78,Deductions!$E$5:$E$2000,"&gt;="&amp;Settings!$B$8,Deductions!$E$5:$E$2000,"&lt;="&amp;Settings!$B$9)-O78)</f>
        <v/>
      </c>
      <c r="Q78" s="26" t="str">
        <f aca="false">IF($A78="","",O78+P78)</f>
        <v/>
      </c>
      <c r="R78" s="23" t="str">
        <f aca="false">IF($A78="","",N78-Q78)</f>
        <v/>
      </c>
      <c r="S78" s="24" t="str">
        <f aca="false">IF($A78="","",INDEX(Workers!$O$5:$O$2004,MATCH($A78,Workers!$A$5:$A$2004,0))&amp;"")</f>
        <v/>
      </c>
      <c r="T78" s="24" t="str">
        <f aca="false">IF($A78="","",INDEX(Workers!$P$5:$P$2004,MATCH($A78,Workers!$A$5:$A$2004,0))&amp;"")</f>
        <v/>
      </c>
      <c r="U78" s="24" t="str">
        <f aca="false">IF($A78="","",INDEX(Workers!$H$5:$H$2004,MATCH($A78,Workers!$A$5:$A$2004,0))&amp;"")</f>
        <v/>
      </c>
    </row>
    <row r="79" customFormat="false" ht="15" hidden="false" customHeight="false" outlineLevel="0" collapsed="false">
      <c r="A79" s="24" t="str">
        <f aca="false">IFERROR(INDEX(Workers!$A$5:$A$2004,MATCH(ROW()-4,Workers!$U$5:$U$2004,0)),"")</f>
        <v/>
      </c>
      <c r="B79" s="24" t="str">
        <f aca="false">IF($A79="","",INDEX(Workers!$B$5:$B$2004,MATCH($A79,Workers!$A$5:$A$2004,0)))</f>
        <v/>
      </c>
      <c r="C79" s="24" t="str">
        <f aca="false">IF($A79="","",INDEX(Workers!$E$5:$E$2004,MATCH($A79,Workers!$A$5:$A$2004,0)))</f>
        <v/>
      </c>
      <c r="D79" s="24" t="str">
        <f aca="false">IF($A79="","",INDEX(Workers!$K$5:$K$2004,MATCH($A79,Workers!$A$5:$A$2004,0)))</f>
        <v/>
      </c>
      <c r="E79" s="25" t="str">
        <f aca="false">IF($A79="","",SUMIFS(Timesheet!$E$5:$E$3004,Timesheet!$D$5:$D$3004,$A79,Timesheet!$A$5:$A$3004,"&gt;="&amp;Settings!$B$8,Timesheet!$A$5:$A$3004,"&lt;="&amp;Settings!$B$9))</f>
        <v/>
      </c>
      <c r="F79" s="25" t="str">
        <f aca="false">IF($A79="","",SUMIFS(Timesheet!$F$5:$F$3004,Timesheet!$D$5:$D$3004,$A79,Timesheet!$A$5:$A$3004,"&gt;="&amp;Settings!$B$8,Timesheet!$A$5:$A$3004,"&lt;="&amp;Settings!$B$9))</f>
        <v/>
      </c>
      <c r="G79" s="25" t="str">
        <f aca="false">IF($A79="","",SUMIFS(Timesheet!$G$5:$G$3004,Timesheet!$D$5:$D$3004,$A79,Timesheet!$A$5:$A$3004,"&gt;="&amp;Settings!$B$8,Timesheet!$A$5:$A$3004,"&lt;="&amp;Settings!$B$9))</f>
        <v/>
      </c>
      <c r="H79" s="25" t="str">
        <f aca="false">IF($A79="","",IF(D79="Monthly",MAX(0,Settings!$B$11-E79),0))</f>
        <v/>
      </c>
      <c r="I79" s="26" t="str">
        <f aca="false">IF($A79="","",N(INDEX(Workers!$L$5:$L$2004,MATCH($A79,Workers!$A$5:$A$2004,0))))</f>
        <v/>
      </c>
      <c r="J79" s="26" t="str">
        <f aca="false">IF($A79="","",N(INDEX(Workers!$M$5:$M$2004,MATCH($A79,Workers!$A$5:$A$2004,0))))</f>
        <v/>
      </c>
      <c r="K79" s="26" t="str">
        <f aca="false">IF($A79="","",IF(D79="Monthly",ROUND(MAX(0,(I79+J79)-(I79+J79)/Settings!$B$10*H79),2),0))</f>
        <v/>
      </c>
      <c r="L79" s="26" t="str">
        <f aca="false">IF($A79="","",IF(D79="Hourly",ROUND(F79*N(INDEX(Workers!$N$5:$N$2004,MATCH($A79,Workers!$A$5:$A$2004,0))),2),0))</f>
        <v/>
      </c>
      <c r="M79" s="26" t="str">
        <f aca="false">IF($A79="","",ROUND(G79*IF(D79="Hourly",N(INDEX(Workers!$N$5:$N$2004,MATCH($A79,Workers!$A$5:$A$2004,0))),I79/Settings!$B$10/Settings!$B$12)*Settings!$B$13,2))</f>
        <v/>
      </c>
      <c r="N79" s="26" t="str">
        <f aca="false">IF($A79="","",K79+L79+M79)</f>
        <v/>
      </c>
      <c r="O79" s="26" t="str">
        <f aca="false">IF($A79="","",SUMIFS(Deductions!$D$5:$D$2000,Deductions!$B$5:$B$2000,$A79,Deductions!$C$5:$C$2000,"Advance",Deductions!$E$5:$E$2000,"&gt;="&amp;Settings!$B$8,Deductions!$E$5:$E$2000,"&lt;="&amp;Settings!$B$9))</f>
        <v/>
      </c>
      <c r="P79" s="26" t="str">
        <f aca="false">IF($A79="","",SUMIFS(Deductions!$D$5:$D$2000,Deductions!$B$5:$B$2000,$A79,Deductions!$E$5:$E$2000,"&gt;="&amp;Settings!$B$8,Deductions!$E$5:$E$2000,"&lt;="&amp;Settings!$B$9)-O79)</f>
        <v/>
      </c>
      <c r="Q79" s="26" t="str">
        <f aca="false">IF($A79="","",O79+P79)</f>
        <v/>
      </c>
      <c r="R79" s="23" t="str">
        <f aca="false">IF($A79="","",N79-Q79)</f>
        <v/>
      </c>
      <c r="S79" s="24" t="str">
        <f aca="false">IF($A79="","",INDEX(Workers!$O$5:$O$2004,MATCH($A79,Workers!$A$5:$A$2004,0))&amp;"")</f>
        <v/>
      </c>
      <c r="T79" s="24" t="str">
        <f aca="false">IF($A79="","",INDEX(Workers!$P$5:$P$2004,MATCH($A79,Workers!$A$5:$A$2004,0))&amp;"")</f>
        <v/>
      </c>
      <c r="U79" s="24" t="str">
        <f aca="false">IF($A79="","",INDEX(Workers!$H$5:$H$2004,MATCH($A79,Workers!$A$5:$A$2004,0))&amp;"")</f>
        <v/>
      </c>
    </row>
    <row r="80" customFormat="false" ht="15" hidden="false" customHeight="false" outlineLevel="0" collapsed="false">
      <c r="A80" s="24" t="str">
        <f aca="false">IFERROR(INDEX(Workers!$A$5:$A$2004,MATCH(ROW()-4,Workers!$U$5:$U$2004,0)),"")</f>
        <v/>
      </c>
      <c r="B80" s="24" t="str">
        <f aca="false">IF($A80="","",INDEX(Workers!$B$5:$B$2004,MATCH($A80,Workers!$A$5:$A$2004,0)))</f>
        <v/>
      </c>
      <c r="C80" s="24" t="str">
        <f aca="false">IF($A80="","",INDEX(Workers!$E$5:$E$2004,MATCH($A80,Workers!$A$5:$A$2004,0)))</f>
        <v/>
      </c>
      <c r="D80" s="24" t="str">
        <f aca="false">IF($A80="","",INDEX(Workers!$K$5:$K$2004,MATCH($A80,Workers!$A$5:$A$2004,0)))</f>
        <v/>
      </c>
      <c r="E80" s="25" t="str">
        <f aca="false">IF($A80="","",SUMIFS(Timesheet!$E$5:$E$3004,Timesheet!$D$5:$D$3004,$A80,Timesheet!$A$5:$A$3004,"&gt;="&amp;Settings!$B$8,Timesheet!$A$5:$A$3004,"&lt;="&amp;Settings!$B$9))</f>
        <v/>
      </c>
      <c r="F80" s="25" t="str">
        <f aca="false">IF($A80="","",SUMIFS(Timesheet!$F$5:$F$3004,Timesheet!$D$5:$D$3004,$A80,Timesheet!$A$5:$A$3004,"&gt;="&amp;Settings!$B$8,Timesheet!$A$5:$A$3004,"&lt;="&amp;Settings!$B$9))</f>
        <v/>
      </c>
      <c r="G80" s="25" t="str">
        <f aca="false">IF($A80="","",SUMIFS(Timesheet!$G$5:$G$3004,Timesheet!$D$5:$D$3004,$A80,Timesheet!$A$5:$A$3004,"&gt;="&amp;Settings!$B$8,Timesheet!$A$5:$A$3004,"&lt;="&amp;Settings!$B$9))</f>
        <v/>
      </c>
      <c r="H80" s="25" t="str">
        <f aca="false">IF($A80="","",IF(D80="Monthly",MAX(0,Settings!$B$11-E80),0))</f>
        <v/>
      </c>
      <c r="I80" s="26" t="str">
        <f aca="false">IF($A80="","",N(INDEX(Workers!$L$5:$L$2004,MATCH($A80,Workers!$A$5:$A$2004,0))))</f>
        <v/>
      </c>
      <c r="J80" s="26" t="str">
        <f aca="false">IF($A80="","",N(INDEX(Workers!$M$5:$M$2004,MATCH($A80,Workers!$A$5:$A$2004,0))))</f>
        <v/>
      </c>
      <c r="K80" s="26" t="str">
        <f aca="false">IF($A80="","",IF(D80="Monthly",ROUND(MAX(0,(I80+J80)-(I80+J80)/Settings!$B$10*H80),2),0))</f>
        <v/>
      </c>
      <c r="L80" s="26" t="str">
        <f aca="false">IF($A80="","",IF(D80="Hourly",ROUND(F80*N(INDEX(Workers!$N$5:$N$2004,MATCH($A80,Workers!$A$5:$A$2004,0))),2),0))</f>
        <v/>
      </c>
      <c r="M80" s="26" t="str">
        <f aca="false">IF($A80="","",ROUND(G80*IF(D80="Hourly",N(INDEX(Workers!$N$5:$N$2004,MATCH($A80,Workers!$A$5:$A$2004,0))),I80/Settings!$B$10/Settings!$B$12)*Settings!$B$13,2))</f>
        <v/>
      </c>
      <c r="N80" s="26" t="str">
        <f aca="false">IF($A80="","",K80+L80+M80)</f>
        <v/>
      </c>
      <c r="O80" s="26" t="str">
        <f aca="false">IF($A80="","",SUMIFS(Deductions!$D$5:$D$2000,Deductions!$B$5:$B$2000,$A80,Deductions!$C$5:$C$2000,"Advance",Deductions!$E$5:$E$2000,"&gt;="&amp;Settings!$B$8,Deductions!$E$5:$E$2000,"&lt;="&amp;Settings!$B$9))</f>
        <v/>
      </c>
      <c r="P80" s="26" t="str">
        <f aca="false">IF($A80="","",SUMIFS(Deductions!$D$5:$D$2000,Deductions!$B$5:$B$2000,$A80,Deductions!$E$5:$E$2000,"&gt;="&amp;Settings!$B$8,Deductions!$E$5:$E$2000,"&lt;="&amp;Settings!$B$9)-O80)</f>
        <v/>
      </c>
      <c r="Q80" s="26" t="str">
        <f aca="false">IF($A80="","",O80+P80)</f>
        <v/>
      </c>
      <c r="R80" s="23" t="str">
        <f aca="false">IF($A80="","",N80-Q80)</f>
        <v/>
      </c>
      <c r="S80" s="24" t="str">
        <f aca="false">IF($A80="","",INDEX(Workers!$O$5:$O$2004,MATCH($A80,Workers!$A$5:$A$2004,0))&amp;"")</f>
        <v/>
      </c>
      <c r="T80" s="24" t="str">
        <f aca="false">IF($A80="","",INDEX(Workers!$P$5:$P$2004,MATCH($A80,Workers!$A$5:$A$2004,0))&amp;"")</f>
        <v/>
      </c>
      <c r="U80" s="24" t="str">
        <f aca="false">IF($A80="","",INDEX(Workers!$H$5:$H$2004,MATCH($A80,Workers!$A$5:$A$2004,0))&amp;"")</f>
        <v/>
      </c>
    </row>
    <row r="81" customFormat="false" ht="15" hidden="false" customHeight="false" outlineLevel="0" collapsed="false">
      <c r="A81" s="24" t="str">
        <f aca="false">IFERROR(INDEX(Workers!$A$5:$A$2004,MATCH(ROW()-4,Workers!$U$5:$U$2004,0)),"")</f>
        <v/>
      </c>
      <c r="B81" s="24" t="str">
        <f aca="false">IF($A81="","",INDEX(Workers!$B$5:$B$2004,MATCH($A81,Workers!$A$5:$A$2004,0)))</f>
        <v/>
      </c>
      <c r="C81" s="24" t="str">
        <f aca="false">IF($A81="","",INDEX(Workers!$E$5:$E$2004,MATCH($A81,Workers!$A$5:$A$2004,0)))</f>
        <v/>
      </c>
      <c r="D81" s="24" t="str">
        <f aca="false">IF($A81="","",INDEX(Workers!$K$5:$K$2004,MATCH($A81,Workers!$A$5:$A$2004,0)))</f>
        <v/>
      </c>
      <c r="E81" s="25" t="str">
        <f aca="false">IF($A81="","",SUMIFS(Timesheet!$E$5:$E$3004,Timesheet!$D$5:$D$3004,$A81,Timesheet!$A$5:$A$3004,"&gt;="&amp;Settings!$B$8,Timesheet!$A$5:$A$3004,"&lt;="&amp;Settings!$B$9))</f>
        <v/>
      </c>
      <c r="F81" s="25" t="str">
        <f aca="false">IF($A81="","",SUMIFS(Timesheet!$F$5:$F$3004,Timesheet!$D$5:$D$3004,$A81,Timesheet!$A$5:$A$3004,"&gt;="&amp;Settings!$B$8,Timesheet!$A$5:$A$3004,"&lt;="&amp;Settings!$B$9))</f>
        <v/>
      </c>
      <c r="G81" s="25" t="str">
        <f aca="false">IF($A81="","",SUMIFS(Timesheet!$G$5:$G$3004,Timesheet!$D$5:$D$3004,$A81,Timesheet!$A$5:$A$3004,"&gt;="&amp;Settings!$B$8,Timesheet!$A$5:$A$3004,"&lt;="&amp;Settings!$B$9))</f>
        <v/>
      </c>
      <c r="H81" s="25" t="str">
        <f aca="false">IF($A81="","",IF(D81="Monthly",MAX(0,Settings!$B$11-E81),0))</f>
        <v/>
      </c>
      <c r="I81" s="26" t="str">
        <f aca="false">IF($A81="","",N(INDEX(Workers!$L$5:$L$2004,MATCH($A81,Workers!$A$5:$A$2004,0))))</f>
        <v/>
      </c>
      <c r="J81" s="26" t="str">
        <f aca="false">IF($A81="","",N(INDEX(Workers!$M$5:$M$2004,MATCH($A81,Workers!$A$5:$A$2004,0))))</f>
        <v/>
      </c>
      <c r="K81" s="26" t="str">
        <f aca="false">IF($A81="","",IF(D81="Monthly",ROUND(MAX(0,(I81+J81)-(I81+J81)/Settings!$B$10*H81),2),0))</f>
        <v/>
      </c>
      <c r="L81" s="26" t="str">
        <f aca="false">IF($A81="","",IF(D81="Hourly",ROUND(F81*N(INDEX(Workers!$N$5:$N$2004,MATCH($A81,Workers!$A$5:$A$2004,0))),2),0))</f>
        <v/>
      </c>
      <c r="M81" s="26" t="str">
        <f aca="false">IF($A81="","",ROUND(G81*IF(D81="Hourly",N(INDEX(Workers!$N$5:$N$2004,MATCH($A81,Workers!$A$5:$A$2004,0))),I81/Settings!$B$10/Settings!$B$12)*Settings!$B$13,2))</f>
        <v/>
      </c>
      <c r="N81" s="26" t="str">
        <f aca="false">IF($A81="","",K81+L81+M81)</f>
        <v/>
      </c>
      <c r="O81" s="26" t="str">
        <f aca="false">IF($A81="","",SUMIFS(Deductions!$D$5:$D$2000,Deductions!$B$5:$B$2000,$A81,Deductions!$C$5:$C$2000,"Advance",Deductions!$E$5:$E$2000,"&gt;="&amp;Settings!$B$8,Deductions!$E$5:$E$2000,"&lt;="&amp;Settings!$B$9))</f>
        <v/>
      </c>
      <c r="P81" s="26" t="str">
        <f aca="false">IF($A81="","",SUMIFS(Deductions!$D$5:$D$2000,Deductions!$B$5:$B$2000,$A81,Deductions!$E$5:$E$2000,"&gt;="&amp;Settings!$B$8,Deductions!$E$5:$E$2000,"&lt;="&amp;Settings!$B$9)-O81)</f>
        <v/>
      </c>
      <c r="Q81" s="26" t="str">
        <f aca="false">IF($A81="","",O81+P81)</f>
        <v/>
      </c>
      <c r="R81" s="23" t="str">
        <f aca="false">IF($A81="","",N81-Q81)</f>
        <v/>
      </c>
      <c r="S81" s="24" t="str">
        <f aca="false">IF($A81="","",INDEX(Workers!$O$5:$O$2004,MATCH($A81,Workers!$A$5:$A$2004,0))&amp;"")</f>
        <v/>
      </c>
      <c r="T81" s="24" t="str">
        <f aca="false">IF($A81="","",INDEX(Workers!$P$5:$P$2004,MATCH($A81,Workers!$A$5:$A$2004,0))&amp;"")</f>
        <v/>
      </c>
      <c r="U81" s="24" t="str">
        <f aca="false">IF($A81="","",INDEX(Workers!$H$5:$H$2004,MATCH($A81,Workers!$A$5:$A$2004,0))&amp;"")</f>
        <v/>
      </c>
    </row>
    <row r="82" customFormat="false" ht="15" hidden="false" customHeight="false" outlineLevel="0" collapsed="false">
      <c r="A82" s="24" t="str">
        <f aca="false">IFERROR(INDEX(Workers!$A$5:$A$2004,MATCH(ROW()-4,Workers!$U$5:$U$2004,0)),"")</f>
        <v/>
      </c>
      <c r="B82" s="24" t="str">
        <f aca="false">IF($A82="","",INDEX(Workers!$B$5:$B$2004,MATCH($A82,Workers!$A$5:$A$2004,0)))</f>
        <v/>
      </c>
      <c r="C82" s="24" t="str">
        <f aca="false">IF($A82="","",INDEX(Workers!$E$5:$E$2004,MATCH($A82,Workers!$A$5:$A$2004,0)))</f>
        <v/>
      </c>
      <c r="D82" s="24" t="str">
        <f aca="false">IF($A82="","",INDEX(Workers!$K$5:$K$2004,MATCH($A82,Workers!$A$5:$A$2004,0)))</f>
        <v/>
      </c>
      <c r="E82" s="25" t="str">
        <f aca="false">IF($A82="","",SUMIFS(Timesheet!$E$5:$E$3004,Timesheet!$D$5:$D$3004,$A82,Timesheet!$A$5:$A$3004,"&gt;="&amp;Settings!$B$8,Timesheet!$A$5:$A$3004,"&lt;="&amp;Settings!$B$9))</f>
        <v/>
      </c>
      <c r="F82" s="25" t="str">
        <f aca="false">IF($A82="","",SUMIFS(Timesheet!$F$5:$F$3004,Timesheet!$D$5:$D$3004,$A82,Timesheet!$A$5:$A$3004,"&gt;="&amp;Settings!$B$8,Timesheet!$A$5:$A$3004,"&lt;="&amp;Settings!$B$9))</f>
        <v/>
      </c>
      <c r="G82" s="25" t="str">
        <f aca="false">IF($A82="","",SUMIFS(Timesheet!$G$5:$G$3004,Timesheet!$D$5:$D$3004,$A82,Timesheet!$A$5:$A$3004,"&gt;="&amp;Settings!$B$8,Timesheet!$A$5:$A$3004,"&lt;="&amp;Settings!$B$9))</f>
        <v/>
      </c>
      <c r="H82" s="25" t="str">
        <f aca="false">IF($A82="","",IF(D82="Monthly",MAX(0,Settings!$B$11-E82),0))</f>
        <v/>
      </c>
      <c r="I82" s="26" t="str">
        <f aca="false">IF($A82="","",N(INDEX(Workers!$L$5:$L$2004,MATCH($A82,Workers!$A$5:$A$2004,0))))</f>
        <v/>
      </c>
      <c r="J82" s="26" t="str">
        <f aca="false">IF($A82="","",N(INDEX(Workers!$M$5:$M$2004,MATCH($A82,Workers!$A$5:$A$2004,0))))</f>
        <v/>
      </c>
      <c r="K82" s="26" t="str">
        <f aca="false">IF($A82="","",IF(D82="Monthly",ROUND(MAX(0,(I82+J82)-(I82+J82)/Settings!$B$10*H82),2),0))</f>
        <v/>
      </c>
      <c r="L82" s="26" t="str">
        <f aca="false">IF($A82="","",IF(D82="Hourly",ROUND(F82*N(INDEX(Workers!$N$5:$N$2004,MATCH($A82,Workers!$A$5:$A$2004,0))),2),0))</f>
        <v/>
      </c>
      <c r="M82" s="26" t="str">
        <f aca="false">IF($A82="","",ROUND(G82*IF(D82="Hourly",N(INDEX(Workers!$N$5:$N$2004,MATCH($A82,Workers!$A$5:$A$2004,0))),I82/Settings!$B$10/Settings!$B$12)*Settings!$B$13,2))</f>
        <v/>
      </c>
      <c r="N82" s="26" t="str">
        <f aca="false">IF($A82="","",K82+L82+M82)</f>
        <v/>
      </c>
      <c r="O82" s="26" t="str">
        <f aca="false">IF($A82="","",SUMIFS(Deductions!$D$5:$D$2000,Deductions!$B$5:$B$2000,$A82,Deductions!$C$5:$C$2000,"Advance",Deductions!$E$5:$E$2000,"&gt;="&amp;Settings!$B$8,Deductions!$E$5:$E$2000,"&lt;="&amp;Settings!$B$9))</f>
        <v/>
      </c>
      <c r="P82" s="26" t="str">
        <f aca="false">IF($A82="","",SUMIFS(Deductions!$D$5:$D$2000,Deductions!$B$5:$B$2000,$A82,Deductions!$E$5:$E$2000,"&gt;="&amp;Settings!$B$8,Deductions!$E$5:$E$2000,"&lt;="&amp;Settings!$B$9)-O82)</f>
        <v/>
      </c>
      <c r="Q82" s="26" t="str">
        <f aca="false">IF($A82="","",O82+P82)</f>
        <v/>
      </c>
      <c r="R82" s="23" t="str">
        <f aca="false">IF($A82="","",N82-Q82)</f>
        <v/>
      </c>
      <c r="S82" s="24" t="str">
        <f aca="false">IF($A82="","",INDEX(Workers!$O$5:$O$2004,MATCH($A82,Workers!$A$5:$A$2004,0))&amp;"")</f>
        <v/>
      </c>
      <c r="T82" s="24" t="str">
        <f aca="false">IF($A82="","",INDEX(Workers!$P$5:$P$2004,MATCH($A82,Workers!$A$5:$A$2004,0))&amp;"")</f>
        <v/>
      </c>
      <c r="U82" s="24" t="str">
        <f aca="false">IF($A82="","",INDEX(Workers!$H$5:$H$2004,MATCH($A82,Workers!$A$5:$A$2004,0))&amp;"")</f>
        <v/>
      </c>
    </row>
    <row r="83" customFormat="false" ht="15" hidden="false" customHeight="false" outlineLevel="0" collapsed="false">
      <c r="A83" s="24" t="str">
        <f aca="false">IFERROR(INDEX(Workers!$A$5:$A$2004,MATCH(ROW()-4,Workers!$U$5:$U$2004,0)),"")</f>
        <v/>
      </c>
      <c r="B83" s="24" t="str">
        <f aca="false">IF($A83="","",INDEX(Workers!$B$5:$B$2004,MATCH($A83,Workers!$A$5:$A$2004,0)))</f>
        <v/>
      </c>
      <c r="C83" s="24" t="str">
        <f aca="false">IF($A83="","",INDEX(Workers!$E$5:$E$2004,MATCH($A83,Workers!$A$5:$A$2004,0)))</f>
        <v/>
      </c>
      <c r="D83" s="24" t="str">
        <f aca="false">IF($A83="","",INDEX(Workers!$K$5:$K$2004,MATCH($A83,Workers!$A$5:$A$2004,0)))</f>
        <v/>
      </c>
      <c r="E83" s="25" t="str">
        <f aca="false">IF($A83="","",SUMIFS(Timesheet!$E$5:$E$3004,Timesheet!$D$5:$D$3004,$A83,Timesheet!$A$5:$A$3004,"&gt;="&amp;Settings!$B$8,Timesheet!$A$5:$A$3004,"&lt;="&amp;Settings!$B$9))</f>
        <v/>
      </c>
      <c r="F83" s="25" t="str">
        <f aca="false">IF($A83="","",SUMIFS(Timesheet!$F$5:$F$3004,Timesheet!$D$5:$D$3004,$A83,Timesheet!$A$5:$A$3004,"&gt;="&amp;Settings!$B$8,Timesheet!$A$5:$A$3004,"&lt;="&amp;Settings!$B$9))</f>
        <v/>
      </c>
      <c r="G83" s="25" t="str">
        <f aca="false">IF($A83="","",SUMIFS(Timesheet!$G$5:$G$3004,Timesheet!$D$5:$D$3004,$A83,Timesheet!$A$5:$A$3004,"&gt;="&amp;Settings!$B$8,Timesheet!$A$5:$A$3004,"&lt;="&amp;Settings!$B$9))</f>
        <v/>
      </c>
      <c r="H83" s="25" t="str">
        <f aca="false">IF($A83="","",IF(D83="Monthly",MAX(0,Settings!$B$11-E83),0))</f>
        <v/>
      </c>
      <c r="I83" s="26" t="str">
        <f aca="false">IF($A83="","",N(INDEX(Workers!$L$5:$L$2004,MATCH($A83,Workers!$A$5:$A$2004,0))))</f>
        <v/>
      </c>
      <c r="J83" s="26" t="str">
        <f aca="false">IF($A83="","",N(INDEX(Workers!$M$5:$M$2004,MATCH($A83,Workers!$A$5:$A$2004,0))))</f>
        <v/>
      </c>
      <c r="K83" s="26" t="str">
        <f aca="false">IF($A83="","",IF(D83="Monthly",ROUND(MAX(0,(I83+J83)-(I83+J83)/Settings!$B$10*H83),2),0))</f>
        <v/>
      </c>
      <c r="L83" s="26" t="str">
        <f aca="false">IF($A83="","",IF(D83="Hourly",ROUND(F83*N(INDEX(Workers!$N$5:$N$2004,MATCH($A83,Workers!$A$5:$A$2004,0))),2),0))</f>
        <v/>
      </c>
      <c r="M83" s="26" t="str">
        <f aca="false">IF($A83="","",ROUND(G83*IF(D83="Hourly",N(INDEX(Workers!$N$5:$N$2004,MATCH($A83,Workers!$A$5:$A$2004,0))),I83/Settings!$B$10/Settings!$B$12)*Settings!$B$13,2))</f>
        <v/>
      </c>
      <c r="N83" s="26" t="str">
        <f aca="false">IF($A83="","",K83+L83+M83)</f>
        <v/>
      </c>
      <c r="O83" s="26" t="str">
        <f aca="false">IF($A83="","",SUMIFS(Deductions!$D$5:$D$2000,Deductions!$B$5:$B$2000,$A83,Deductions!$C$5:$C$2000,"Advance",Deductions!$E$5:$E$2000,"&gt;="&amp;Settings!$B$8,Deductions!$E$5:$E$2000,"&lt;="&amp;Settings!$B$9))</f>
        <v/>
      </c>
      <c r="P83" s="26" t="str">
        <f aca="false">IF($A83="","",SUMIFS(Deductions!$D$5:$D$2000,Deductions!$B$5:$B$2000,$A83,Deductions!$E$5:$E$2000,"&gt;="&amp;Settings!$B$8,Deductions!$E$5:$E$2000,"&lt;="&amp;Settings!$B$9)-O83)</f>
        <v/>
      </c>
      <c r="Q83" s="26" t="str">
        <f aca="false">IF($A83="","",O83+P83)</f>
        <v/>
      </c>
      <c r="R83" s="23" t="str">
        <f aca="false">IF($A83="","",N83-Q83)</f>
        <v/>
      </c>
      <c r="S83" s="24" t="str">
        <f aca="false">IF($A83="","",INDEX(Workers!$O$5:$O$2004,MATCH($A83,Workers!$A$5:$A$2004,0))&amp;"")</f>
        <v/>
      </c>
      <c r="T83" s="24" t="str">
        <f aca="false">IF($A83="","",INDEX(Workers!$P$5:$P$2004,MATCH($A83,Workers!$A$5:$A$2004,0))&amp;"")</f>
        <v/>
      </c>
      <c r="U83" s="24" t="str">
        <f aca="false">IF($A83="","",INDEX(Workers!$H$5:$H$2004,MATCH($A83,Workers!$A$5:$A$2004,0))&amp;"")</f>
        <v/>
      </c>
    </row>
    <row r="84" customFormat="false" ht="15" hidden="false" customHeight="false" outlineLevel="0" collapsed="false">
      <c r="A84" s="24" t="str">
        <f aca="false">IFERROR(INDEX(Workers!$A$5:$A$2004,MATCH(ROW()-4,Workers!$U$5:$U$2004,0)),"")</f>
        <v/>
      </c>
      <c r="B84" s="24" t="str">
        <f aca="false">IF($A84="","",INDEX(Workers!$B$5:$B$2004,MATCH($A84,Workers!$A$5:$A$2004,0)))</f>
        <v/>
      </c>
      <c r="C84" s="24" t="str">
        <f aca="false">IF($A84="","",INDEX(Workers!$E$5:$E$2004,MATCH($A84,Workers!$A$5:$A$2004,0)))</f>
        <v/>
      </c>
      <c r="D84" s="24" t="str">
        <f aca="false">IF($A84="","",INDEX(Workers!$K$5:$K$2004,MATCH($A84,Workers!$A$5:$A$2004,0)))</f>
        <v/>
      </c>
      <c r="E84" s="25" t="str">
        <f aca="false">IF($A84="","",SUMIFS(Timesheet!$E$5:$E$3004,Timesheet!$D$5:$D$3004,$A84,Timesheet!$A$5:$A$3004,"&gt;="&amp;Settings!$B$8,Timesheet!$A$5:$A$3004,"&lt;="&amp;Settings!$B$9))</f>
        <v/>
      </c>
      <c r="F84" s="25" t="str">
        <f aca="false">IF($A84="","",SUMIFS(Timesheet!$F$5:$F$3004,Timesheet!$D$5:$D$3004,$A84,Timesheet!$A$5:$A$3004,"&gt;="&amp;Settings!$B$8,Timesheet!$A$5:$A$3004,"&lt;="&amp;Settings!$B$9))</f>
        <v/>
      </c>
      <c r="G84" s="25" t="str">
        <f aca="false">IF($A84="","",SUMIFS(Timesheet!$G$5:$G$3004,Timesheet!$D$5:$D$3004,$A84,Timesheet!$A$5:$A$3004,"&gt;="&amp;Settings!$B$8,Timesheet!$A$5:$A$3004,"&lt;="&amp;Settings!$B$9))</f>
        <v/>
      </c>
      <c r="H84" s="25" t="str">
        <f aca="false">IF($A84="","",IF(D84="Monthly",MAX(0,Settings!$B$11-E84),0))</f>
        <v/>
      </c>
      <c r="I84" s="26" t="str">
        <f aca="false">IF($A84="","",N(INDEX(Workers!$L$5:$L$2004,MATCH($A84,Workers!$A$5:$A$2004,0))))</f>
        <v/>
      </c>
      <c r="J84" s="26" t="str">
        <f aca="false">IF($A84="","",N(INDEX(Workers!$M$5:$M$2004,MATCH($A84,Workers!$A$5:$A$2004,0))))</f>
        <v/>
      </c>
      <c r="K84" s="26" t="str">
        <f aca="false">IF($A84="","",IF(D84="Monthly",ROUND(MAX(0,(I84+J84)-(I84+J84)/Settings!$B$10*H84),2),0))</f>
        <v/>
      </c>
      <c r="L84" s="26" t="str">
        <f aca="false">IF($A84="","",IF(D84="Hourly",ROUND(F84*N(INDEX(Workers!$N$5:$N$2004,MATCH($A84,Workers!$A$5:$A$2004,0))),2),0))</f>
        <v/>
      </c>
      <c r="M84" s="26" t="str">
        <f aca="false">IF($A84="","",ROUND(G84*IF(D84="Hourly",N(INDEX(Workers!$N$5:$N$2004,MATCH($A84,Workers!$A$5:$A$2004,0))),I84/Settings!$B$10/Settings!$B$12)*Settings!$B$13,2))</f>
        <v/>
      </c>
      <c r="N84" s="26" t="str">
        <f aca="false">IF($A84="","",K84+L84+M84)</f>
        <v/>
      </c>
      <c r="O84" s="26" t="str">
        <f aca="false">IF($A84="","",SUMIFS(Deductions!$D$5:$D$2000,Deductions!$B$5:$B$2000,$A84,Deductions!$C$5:$C$2000,"Advance",Deductions!$E$5:$E$2000,"&gt;="&amp;Settings!$B$8,Deductions!$E$5:$E$2000,"&lt;="&amp;Settings!$B$9))</f>
        <v/>
      </c>
      <c r="P84" s="26" t="str">
        <f aca="false">IF($A84="","",SUMIFS(Deductions!$D$5:$D$2000,Deductions!$B$5:$B$2000,$A84,Deductions!$E$5:$E$2000,"&gt;="&amp;Settings!$B$8,Deductions!$E$5:$E$2000,"&lt;="&amp;Settings!$B$9)-O84)</f>
        <v/>
      </c>
      <c r="Q84" s="26" t="str">
        <f aca="false">IF($A84="","",O84+P84)</f>
        <v/>
      </c>
      <c r="R84" s="23" t="str">
        <f aca="false">IF($A84="","",N84-Q84)</f>
        <v/>
      </c>
      <c r="S84" s="24" t="str">
        <f aca="false">IF($A84="","",INDEX(Workers!$O$5:$O$2004,MATCH($A84,Workers!$A$5:$A$2004,0))&amp;"")</f>
        <v/>
      </c>
      <c r="T84" s="24" t="str">
        <f aca="false">IF($A84="","",INDEX(Workers!$P$5:$P$2004,MATCH($A84,Workers!$A$5:$A$2004,0))&amp;"")</f>
        <v/>
      </c>
      <c r="U84" s="24" t="str">
        <f aca="false">IF($A84="","",INDEX(Workers!$H$5:$H$2004,MATCH($A84,Workers!$A$5:$A$2004,0))&amp;"")</f>
        <v/>
      </c>
    </row>
    <row r="85" customFormat="false" ht="15" hidden="false" customHeight="false" outlineLevel="0" collapsed="false">
      <c r="A85" s="24" t="str">
        <f aca="false">IFERROR(INDEX(Workers!$A$5:$A$2004,MATCH(ROW()-4,Workers!$U$5:$U$2004,0)),"")</f>
        <v/>
      </c>
      <c r="B85" s="24" t="str">
        <f aca="false">IF($A85="","",INDEX(Workers!$B$5:$B$2004,MATCH($A85,Workers!$A$5:$A$2004,0)))</f>
        <v/>
      </c>
      <c r="C85" s="24" t="str">
        <f aca="false">IF($A85="","",INDEX(Workers!$E$5:$E$2004,MATCH($A85,Workers!$A$5:$A$2004,0)))</f>
        <v/>
      </c>
      <c r="D85" s="24" t="str">
        <f aca="false">IF($A85="","",INDEX(Workers!$K$5:$K$2004,MATCH($A85,Workers!$A$5:$A$2004,0)))</f>
        <v/>
      </c>
      <c r="E85" s="25" t="str">
        <f aca="false">IF($A85="","",SUMIFS(Timesheet!$E$5:$E$3004,Timesheet!$D$5:$D$3004,$A85,Timesheet!$A$5:$A$3004,"&gt;="&amp;Settings!$B$8,Timesheet!$A$5:$A$3004,"&lt;="&amp;Settings!$B$9))</f>
        <v/>
      </c>
      <c r="F85" s="25" t="str">
        <f aca="false">IF($A85="","",SUMIFS(Timesheet!$F$5:$F$3004,Timesheet!$D$5:$D$3004,$A85,Timesheet!$A$5:$A$3004,"&gt;="&amp;Settings!$B$8,Timesheet!$A$5:$A$3004,"&lt;="&amp;Settings!$B$9))</f>
        <v/>
      </c>
      <c r="G85" s="25" t="str">
        <f aca="false">IF($A85="","",SUMIFS(Timesheet!$G$5:$G$3004,Timesheet!$D$5:$D$3004,$A85,Timesheet!$A$5:$A$3004,"&gt;="&amp;Settings!$B$8,Timesheet!$A$5:$A$3004,"&lt;="&amp;Settings!$B$9))</f>
        <v/>
      </c>
      <c r="H85" s="25" t="str">
        <f aca="false">IF($A85="","",IF(D85="Monthly",MAX(0,Settings!$B$11-E85),0))</f>
        <v/>
      </c>
      <c r="I85" s="26" t="str">
        <f aca="false">IF($A85="","",N(INDEX(Workers!$L$5:$L$2004,MATCH($A85,Workers!$A$5:$A$2004,0))))</f>
        <v/>
      </c>
      <c r="J85" s="26" t="str">
        <f aca="false">IF($A85="","",N(INDEX(Workers!$M$5:$M$2004,MATCH($A85,Workers!$A$5:$A$2004,0))))</f>
        <v/>
      </c>
      <c r="K85" s="26" t="str">
        <f aca="false">IF($A85="","",IF(D85="Monthly",ROUND(MAX(0,(I85+J85)-(I85+J85)/Settings!$B$10*H85),2),0))</f>
        <v/>
      </c>
      <c r="L85" s="26" t="str">
        <f aca="false">IF($A85="","",IF(D85="Hourly",ROUND(F85*N(INDEX(Workers!$N$5:$N$2004,MATCH($A85,Workers!$A$5:$A$2004,0))),2),0))</f>
        <v/>
      </c>
      <c r="M85" s="26" t="str">
        <f aca="false">IF($A85="","",ROUND(G85*IF(D85="Hourly",N(INDEX(Workers!$N$5:$N$2004,MATCH($A85,Workers!$A$5:$A$2004,0))),I85/Settings!$B$10/Settings!$B$12)*Settings!$B$13,2))</f>
        <v/>
      </c>
      <c r="N85" s="26" t="str">
        <f aca="false">IF($A85="","",K85+L85+M85)</f>
        <v/>
      </c>
      <c r="O85" s="26" t="str">
        <f aca="false">IF($A85="","",SUMIFS(Deductions!$D$5:$D$2000,Deductions!$B$5:$B$2000,$A85,Deductions!$C$5:$C$2000,"Advance",Deductions!$E$5:$E$2000,"&gt;="&amp;Settings!$B$8,Deductions!$E$5:$E$2000,"&lt;="&amp;Settings!$B$9))</f>
        <v/>
      </c>
      <c r="P85" s="26" t="str">
        <f aca="false">IF($A85="","",SUMIFS(Deductions!$D$5:$D$2000,Deductions!$B$5:$B$2000,$A85,Deductions!$E$5:$E$2000,"&gt;="&amp;Settings!$B$8,Deductions!$E$5:$E$2000,"&lt;="&amp;Settings!$B$9)-O85)</f>
        <v/>
      </c>
      <c r="Q85" s="26" t="str">
        <f aca="false">IF($A85="","",O85+P85)</f>
        <v/>
      </c>
      <c r="R85" s="23" t="str">
        <f aca="false">IF($A85="","",N85-Q85)</f>
        <v/>
      </c>
      <c r="S85" s="24" t="str">
        <f aca="false">IF($A85="","",INDEX(Workers!$O$5:$O$2004,MATCH($A85,Workers!$A$5:$A$2004,0))&amp;"")</f>
        <v/>
      </c>
      <c r="T85" s="24" t="str">
        <f aca="false">IF($A85="","",INDEX(Workers!$P$5:$P$2004,MATCH($A85,Workers!$A$5:$A$2004,0))&amp;"")</f>
        <v/>
      </c>
      <c r="U85" s="24" t="str">
        <f aca="false">IF($A85="","",INDEX(Workers!$H$5:$H$2004,MATCH($A85,Workers!$A$5:$A$2004,0))&amp;"")</f>
        <v/>
      </c>
    </row>
    <row r="86" customFormat="false" ht="15" hidden="false" customHeight="false" outlineLevel="0" collapsed="false">
      <c r="A86" s="24" t="str">
        <f aca="false">IFERROR(INDEX(Workers!$A$5:$A$2004,MATCH(ROW()-4,Workers!$U$5:$U$2004,0)),"")</f>
        <v/>
      </c>
      <c r="B86" s="24" t="str">
        <f aca="false">IF($A86="","",INDEX(Workers!$B$5:$B$2004,MATCH($A86,Workers!$A$5:$A$2004,0)))</f>
        <v/>
      </c>
      <c r="C86" s="24" t="str">
        <f aca="false">IF($A86="","",INDEX(Workers!$E$5:$E$2004,MATCH($A86,Workers!$A$5:$A$2004,0)))</f>
        <v/>
      </c>
      <c r="D86" s="24" t="str">
        <f aca="false">IF($A86="","",INDEX(Workers!$K$5:$K$2004,MATCH($A86,Workers!$A$5:$A$2004,0)))</f>
        <v/>
      </c>
      <c r="E86" s="25" t="str">
        <f aca="false">IF($A86="","",SUMIFS(Timesheet!$E$5:$E$3004,Timesheet!$D$5:$D$3004,$A86,Timesheet!$A$5:$A$3004,"&gt;="&amp;Settings!$B$8,Timesheet!$A$5:$A$3004,"&lt;="&amp;Settings!$B$9))</f>
        <v/>
      </c>
      <c r="F86" s="25" t="str">
        <f aca="false">IF($A86="","",SUMIFS(Timesheet!$F$5:$F$3004,Timesheet!$D$5:$D$3004,$A86,Timesheet!$A$5:$A$3004,"&gt;="&amp;Settings!$B$8,Timesheet!$A$5:$A$3004,"&lt;="&amp;Settings!$B$9))</f>
        <v/>
      </c>
      <c r="G86" s="25" t="str">
        <f aca="false">IF($A86="","",SUMIFS(Timesheet!$G$5:$G$3004,Timesheet!$D$5:$D$3004,$A86,Timesheet!$A$5:$A$3004,"&gt;="&amp;Settings!$B$8,Timesheet!$A$5:$A$3004,"&lt;="&amp;Settings!$B$9))</f>
        <v/>
      </c>
      <c r="H86" s="25" t="str">
        <f aca="false">IF($A86="","",IF(D86="Monthly",MAX(0,Settings!$B$11-E86),0))</f>
        <v/>
      </c>
      <c r="I86" s="26" t="str">
        <f aca="false">IF($A86="","",N(INDEX(Workers!$L$5:$L$2004,MATCH($A86,Workers!$A$5:$A$2004,0))))</f>
        <v/>
      </c>
      <c r="J86" s="26" t="str">
        <f aca="false">IF($A86="","",N(INDEX(Workers!$M$5:$M$2004,MATCH($A86,Workers!$A$5:$A$2004,0))))</f>
        <v/>
      </c>
      <c r="K86" s="26" t="str">
        <f aca="false">IF($A86="","",IF(D86="Monthly",ROUND(MAX(0,(I86+J86)-(I86+J86)/Settings!$B$10*H86),2),0))</f>
        <v/>
      </c>
      <c r="L86" s="26" t="str">
        <f aca="false">IF($A86="","",IF(D86="Hourly",ROUND(F86*N(INDEX(Workers!$N$5:$N$2004,MATCH($A86,Workers!$A$5:$A$2004,0))),2),0))</f>
        <v/>
      </c>
      <c r="M86" s="26" t="str">
        <f aca="false">IF($A86="","",ROUND(G86*IF(D86="Hourly",N(INDEX(Workers!$N$5:$N$2004,MATCH($A86,Workers!$A$5:$A$2004,0))),I86/Settings!$B$10/Settings!$B$12)*Settings!$B$13,2))</f>
        <v/>
      </c>
      <c r="N86" s="26" t="str">
        <f aca="false">IF($A86="","",K86+L86+M86)</f>
        <v/>
      </c>
      <c r="O86" s="26" t="str">
        <f aca="false">IF($A86="","",SUMIFS(Deductions!$D$5:$D$2000,Deductions!$B$5:$B$2000,$A86,Deductions!$C$5:$C$2000,"Advance",Deductions!$E$5:$E$2000,"&gt;="&amp;Settings!$B$8,Deductions!$E$5:$E$2000,"&lt;="&amp;Settings!$B$9))</f>
        <v/>
      </c>
      <c r="P86" s="26" t="str">
        <f aca="false">IF($A86="","",SUMIFS(Deductions!$D$5:$D$2000,Deductions!$B$5:$B$2000,$A86,Deductions!$E$5:$E$2000,"&gt;="&amp;Settings!$B$8,Deductions!$E$5:$E$2000,"&lt;="&amp;Settings!$B$9)-O86)</f>
        <v/>
      </c>
      <c r="Q86" s="26" t="str">
        <f aca="false">IF($A86="","",O86+P86)</f>
        <v/>
      </c>
      <c r="R86" s="23" t="str">
        <f aca="false">IF($A86="","",N86-Q86)</f>
        <v/>
      </c>
      <c r="S86" s="24" t="str">
        <f aca="false">IF($A86="","",INDEX(Workers!$O$5:$O$2004,MATCH($A86,Workers!$A$5:$A$2004,0))&amp;"")</f>
        <v/>
      </c>
      <c r="T86" s="24" t="str">
        <f aca="false">IF($A86="","",INDEX(Workers!$P$5:$P$2004,MATCH($A86,Workers!$A$5:$A$2004,0))&amp;"")</f>
        <v/>
      </c>
      <c r="U86" s="24" t="str">
        <f aca="false">IF($A86="","",INDEX(Workers!$H$5:$H$2004,MATCH($A86,Workers!$A$5:$A$2004,0))&amp;"")</f>
        <v/>
      </c>
    </row>
    <row r="87" customFormat="false" ht="15" hidden="false" customHeight="false" outlineLevel="0" collapsed="false">
      <c r="A87" s="24" t="str">
        <f aca="false">IFERROR(INDEX(Workers!$A$5:$A$2004,MATCH(ROW()-4,Workers!$U$5:$U$2004,0)),"")</f>
        <v/>
      </c>
      <c r="B87" s="24" t="str">
        <f aca="false">IF($A87="","",INDEX(Workers!$B$5:$B$2004,MATCH($A87,Workers!$A$5:$A$2004,0)))</f>
        <v/>
      </c>
      <c r="C87" s="24" t="str">
        <f aca="false">IF($A87="","",INDEX(Workers!$E$5:$E$2004,MATCH($A87,Workers!$A$5:$A$2004,0)))</f>
        <v/>
      </c>
      <c r="D87" s="24" t="str">
        <f aca="false">IF($A87="","",INDEX(Workers!$K$5:$K$2004,MATCH($A87,Workers!$A$5:$A$2004,0)))</f>
        <v/>
      </c>
      <c r="E87" s="25" t="str">
        <f aca="false">IF($A87="","",SUMIFS(Timesheet!$E$5:$E$3004,Timesheet!$D$5:$D$3004,$A87,Timesheet!$A$5:$A$3004,"&gt;="&amp;Settings!$B$8,Timesheet!$A$5:$A$3004,"&lt;="&amp;Settings!$B$9))</f>
        <v/>
      </c>
      <c r="F87" s="25" t="str">
        <f aca="false">IF($A87="","",SUMIFS(Timesheet!$F$5:$F$3004,Timesheet!$D$5:$D$3004,$A87,Timesheet!$A$5:$A$3004,"&gt;="&amp;Settings!$B$8,Timesheet!$A$5:$A$3004,"&lt;="&amp;Settings!$B$9))</f>
        <v/>
      </c>
      <c r="G87" s="25" t="str">
        <f aca="false">IF($A87="","",SUMIFS(Timesheet!$G$5:$G$3004,Timesheet!$D$5:$D$3004,$A87,Timesheet!$A$5:$A$3004,"&gt;="&amp;Settings!$B$8,Timesheet!$A$5:$A$3004,"&lt;="&amp;Settings!$B$9))</f>
        <v/>
      </c>
      <c r="H87" s="25" t="str">
        <f aca="false">IF($A87="","",IF(D87="Monthly",MAX(0,Settings!$B$11-E87),0))</f>
        <v/>
      </c>
      <c r="I87" s="26" t="str">
        <f aca="false">IF($A87="","",N(INDEX(Workers!$L$5:$L$2004,MATCH($A87,Workers!$A$5:$A$2004,0))))</f>
        <v/>
      </c>
      <c r="J87" s="26" t="str">
        <f aca="false">IF($A87="","",N(INDEX(Workers!$M$5:$M$2004,MATCH($A87,Workers!$A$5:$A$2004,0))))</f>
        <v/>
      </c>
      <c r="K87" s="26" t="str">
        <f aca="false">IF($A87="","",IF(D87="Monthly",ROUND(MAX(0,(I87+J87)-(I87+J87)/Settings!$B$10*H87),2),0))</f>
        <v/>
      </c>
      <c r="L87" s="26" t="str">
        <f aca="false">IF($A87="","",IF(D87="Hourly",ROUND(F87*N(INDEX(Workers!$N$5:$N$2004,MATCH($A87,Workers!$A$5:$A$2004,0))),2),0))</f>
        <v/>
      </c>
      <c r="M87" s="26" t="str">
        <f aca="false">IF($A87="","",ROUND(G87*IF(D87="Hourly",N(INDEX(Workers!$N$5:$N$2004,MATCH($A87,Workers!$A$5:$A$2004,0))),I87/Settings!$B$10/Settings!$B$12)*Settings!$B$13,2))</f>
        <v/>
      </c>
      <c r="N87" s="26" t="str">
        <f aca="false">IF($A87="","",K87+L87+M87)</f>
        <v/>
      </c>
      <c r="O87" s="26" t="str">
        <f aca="false">IF($A87="","",SUMIFS(Deductions!$D$5:$D$2000,Deductions!$B$5:$B$2000,$A87,Deductions!$C$5:$C$2000,"Advance",Deductions!$E$5:$E$2000,"&gt;="&amp;Settings!$B$8,Deductions!$E$5:$E$2000,"&lt;="&amp;Settings!$B$9))</f>
        <v/>
      </c>
      <c r="P87" s="26" t="str">
        <f aca="false">IF($A87="","",SUMIFS(Deductions!$D$5:$D$2000,Deductions!$B$5:$B$2000,$A87,Deductions!$E$5:$E$2000,"&gt;="&amp;Settings!$B$8,Deductions!$E$5:$E$2000,"&lt;="&amp;Settings!$B$9)-O87)</f>
        <v/>
      </c>
      <c r="Q87" s="26" t="str">
        <f aca="false">IF($A87="","",O87+P87)</f>
        <v/>
      </c>
      <c r="R87" s="23" t="str">
        <f aca="false">IF($A87="","",N87-Q87)</f>
        <v/>
      </c>
      <c r="S87" s="24" t="str">
        <f aca="false">IF($A87="","",INDEX(Workers!$O$5:$O$2004,MATCH($A87,Workers!$A$5:$A$2004,0))&amp;"")</f>
        <v/>
      </c>
      <c r="T87" s="24" t="str">
        <f aca="false">IF($A87="","",INDEX(Workers!$P$5:$P$2004,MATCH($A87,Workers!$A$5:$A$2004,0))&amp;"")</f>
        <v/>
      </c>
      <c r="U87" s="24" t="str">
        <f aca="false">IF($A87="","",INDEX(Workers!$H$5:$H$2004,MATCH($A87,Workers!$A$5:$A$2004,0))&amp;"")</f>
        <v/>
      </c>
    </row>
    <row r="88" customFormat="false" ht="15" hidden="false" customHeight="false" outlineLevel="0" collapsed="false">
      <c r="A88" s="24" t="str">
        <f aca="false">IFERROR(INDEX(Workers!$A$5:$A$2004,MATCH(ROW()-4,Workers!$U$5:$U$2004,0)),"")</f>
        <v/>
      </c>
      <c r="B88" s="24" t="str">
        <f aca="false">IF($A88="","",INDEX(Workers!$B$5:$B$2004,MATCH($A88,Workers!$A$5:$A$2004,0)))</f>
        <v/>
      </c>
      <c r="C88" s="24" t="str">
        <f aca="false">IF($A88="","",INDEX(Workers!$E$5:$E$2004,MATCH($A88,Workers!$A$5:$A$2004,0)))</f>
        <v/>
      </c>
      <c r="D88" s="24" t="str">
        <f aca="false">IF($A88="","",INDEX(Workers!$K$5:$K$2004,MATCH($A88,Workers!$A$5:$A$2004,0)))</f>
        <v/>
      </c>
      <c r="E88" s="25" t="str">
        <f aca="false">IF($A88="","",SUMIFS(Timesheet!$E$5:$E$3004,Timesheet!$D$5:$D$3004,$A88,Timesheet!$A$5:$A$3004,"&gt;="&amp;Settings!$B$8,Timesheet!$A$5:$A$3004,"&lt;="&amp;Settings!$B$9))</f>
        <v/>
      </c>
      <c r="F88" s="25" t="str">
        <f aca="false">IF($A88="","",SUMIFS(Timesheet!$F$5:$F$3004,Timesheet!$D$5:$D$3004,$A88,Timesheet!$A$5:$A$3004,"&gt;="&amp;Settings!$B$8,Timesheet!$A$5:$A$3004,"&lt;="&amp;Settings!$B$9))</f>
        <v/>
      </c>
      <c r="G88" s="25" t="str">
        <f aca="false">IF($A88="","",SUMIFS(Timesheet!$G$5:$G$3004,Timesheet!$D$5:$D$3004,$A88,Timesheet!$A$5:$A$3004,"&gt;="&amp;Settings!$B$8,Timesheet!$A$5:$A$3004,"&lt;="&amp;Settings!$B$9))</f>
        <v/>
      </c>
      <c r="H88" s="25" t="str">
        <f aca="false">IF($A88="","",IF(D88="Monthly",MAX(0,Settings!$B$11-E88),0))</f>
        <v/>
      </c>
      <c r="I88" s="26" t="str">
        <f aca="false">IF($A88="","",N(INDEX(Workers!$L$5:$L$2004,MATCH($A88,Workers!$A$5:$A$2004,0))))</f>
        <v/>
      </c>
      <c r="J88" s="26" t="str">
        <f aca="false">IF($A88="","",N(INDEX(Workers!$M$5:$M$2004,MATCH($A88,Workers!$A$5:$A$2004,0))))</f>
        <v/>
      </c>
      <c r="K88" s="26" t="str">
        <f aca="false">IF($A88="","",IF(D88="Monthly",ROUND(MAX(0,(I88+J88)-(I88+J88)/Settings!$B$10*H88),2),0))</f>
        <v/>
      </c>
      <c r="L88" s="26" t="str">
        <f aca="false">IF($A88="","",IF(D88="Hourly",ROUND(F88*N(INDEX(Workers!$N$5:$N$2004,MATCH($A88,Workers!$A$5:$A$2004,0))),2),0))</f>
        <v/>
      </c>
      <c r="M88" s="26" t="str">
        <f aca="false">IF($A88="","",ROUND(G88*IF(D88="Hourly",N(INDEX(Workers!$N$5:$N$2004,MATCH($A88,Workers!$A$5:$A$2004,0))),I88/Settings!$B$10/Settings!$B$12)*Settings!$B$13,2))</f>
        <v/>
      </c>
      <c r="N88" s="26" t="str">
        <f aca="false">IF($A88="","",K88+L88+M88)</f>
        <v/>
      </c>
      <c r="O88" s="26" t="str">
        <f aca="false">IF($A88="","",SUMIFS(Deductions!$D$5:$D$2000,Deductions!$B$5:$B$2000,$A88,Deductions!$C$5:$C$2000,"Advance",Deductions!$E$5:$E$2000,"&gt;="&amp;Settings!$B$8,Deductions!$E$5:$E$2000,"&lt;="&amp;Settings!$B$9))</f>
        <v/>
      </c>
      <c r="P88" s="26" t="str">
        <f aca="false">IF($A88="","",SUMIFS(Deductions!$D$5:$D$2000,Deductions!$B$5:$B$2000,$A88,Deductions!$E$5:$E$2000,"&gt;="&amp;Settings!$B$8,Deductions!$E$5:$E$2000,"&lt;="&amp;Settings!$B$9)-O88)</f>
        <v/>
      </c>
      <c r="Q88" s="26" t="str">
        <f aca="false">IF($A88="","",O88+P88)</f>
        <v/>
      </c>
      <c r="R88" s="23" t="str">
        <f aca="false">IF($A88="","",N88-Q88)</f>
        <v/>
      </c>
      <c r="S88" s="24" t="str">
        <f aca="false">IF($A88="","",INDEX(Workers!$O$5:$O$2004,MATCH($A88,Workers!$A$5:$A$2004,0))&amp;"")</f>
        <v/>
      </c>
      <c r="T88" s="24" t="str">
        <f aca="false">IF($A88="","",INDEX(Workers!$P$5:$P$2004,MATCH($A88,Workers!$A$5:$A$2004,0))&amp;"")</f>
        <v/>
      </c>
      <c r="U88" s="24" t="str">
        <f aca="false">IF($A88="","",INDEX(Workers!$H$5:$H$2004,MATCH($A88,Workers!$A$5:$A$2004,0))&amp;"")</f>
        <v/>
      </c>
    </row>
    <row r="89" customFormat="false" ht="15" hidden="false" customHeight="false" outlineLevel="0" collapsed="false">
      <c r="A89" s="24" t="str">
        <f aca="false">IFERROR(INDEX(Workers!$A$5:$A$2004,MATCH(ROW()-4,Workers!$U$5:$U$2004,0)),"")</f>
        <v/>
      </c>
      <c r="B89" s="24" t="str">
        <f aca="false">IF($A89="","",INDEX(Workers!$B$5:$B$2004,MATCH($A89,Workers!$A$5:$A$2004,0)))</f>
        <v/>
      </c>
      <c r="C89" s="24" t="str">
        <f aca="false">IF($A89="","",INDEX(Workers!$E$5:$E$2004,MATCH($A89,Workers!$A$5:$A$2004,0)))</f>
        <v/>
      </c>
      <c r="D89" s="24" t="str">
        <f aca="false">IF($A89="","",INDEX(Workers!$K$5:$K$2004,MATCH($A89,Workers!$A$5:$A$2004,0)))</f>
        <v/>
      </c>
      <c r="E89" s="25" t="str">
        <f aca="false">IF($A89="","",SUMIFS(Timesheet!$E$5:$E$3004,Timesheet!$D$5:$D$3004,$A89,Timesheet!$A$5:$A$3004,"&gt;="&amp;Settings!$B$8,Timesheet!$A$5:$A$3004,"&lt;="&amp;Settings!$B$9))</f>
        <v/>
      </c>
      <c r="F89" s="25" t="str">
        <f aca="false">IF($A89="","",SUMIFS(Timesheet!$F$5:$F$3004,Timesheet!$D$5:$D$3004,$A89,Timesheet!$A$5:$A$3004,"&gt;="&amp;Settings!$B$8,Timesheet!$A$5:$A$3004,"&lt;="&amp;Settings!$B$9))</f>
        <v/>
      </c>
      <c r="G89" s="25" t="str">
        <f aca="false">IF($A89="","",SUMIFS(Timesheet!$G$5:$G$3004,Timesheet!$D$5:$D$3004,$A89,Timesheet!$A$5:$A$3004,"&gt;="&amp;Settings!$B$8,Timesheet!$A$5:$A$3004,"&lt;="&amp;Settings!$B$9))</f>
        <v/>
      </c>
      <c r="H89" s="25" t="str">
        <f aca="false">IF($A89="","",IF(D89="Monthly",MAX(0,Settings!$B$11-E89),0))</f>
        <v/>
      </c>
      <c r="I89" s="26" t="str">
        <f aca="false">IF($A89="","",N(INDEX(Workers!$L$5:$L$2004,MATCH($A89,Workers!$A$5:$A$2004,0))))</f>
        <v/>
      </c>
      <c r="J89" s="26" t="str">
        <f aca="false">IF($A89="","",N(INDEX(Workers!$M$5:$M$2004,MATCH($A89,Workers!$A$5:$A$2004,0))))</f>
        <v/>
      </c>
      <c r="K89" s="26" t="str">
        <f aca="false">IF($A89="","",IF(D89="Monthly",ROUND(MAX(0,(I89+J89)-(I89+J89)/Settings!$B$10*H89),2),0))</f>
        <v/>
      </c>
      <c r="L89" s="26" t="str">
        <f aca="false">IF($A89="","",IF(D89="Hourly",ROUND(F89*N(INDEX(Workers!$N$5:$N$2004,MATCH($A89,Workers!$A$5:$A$2004,0))),2),0))</f>
        <v/>
      </c>
      <c r="M89" s="26" t="str">
        <f aca="false">IF($A89="","",ROUND(G89*IF(D89="Hourly",N(INDEX(Workers!$N$5:$N$2004,MATCH($A89,Workers!$A$5:$A$2004,0))),I89/Settings!$B$10/Settings!$B$12)*Settings!$B$13,2))</f>
        <v/>
      </c>
      <c r="N89" s="26" t="str">
        <f aca="false">IF($A89="","",K89+L89+M89)</f>
        <v/>
      </c>
      <c r="O89" s="26" t="str">
        <f aca="false">IF($A89="","",SUMIFS(Deductions!$D$5:$D$2000,Deductions!$B$5:$B$2000,$A89,Deductions!$C$5:$C$2000,"Advance",Deductions!$E$5:$E$2000,"&gt;="&amp;Settings!$B$8,Deductions!$E$5:$E$2000,"&lt;="&amp;Settings!$B$9))</f>
        <v/>
      </c>
      <c r="P89" s="26" t="str">
        <f aca="false">IF($A89="","",SUMIFS(Deductions!$D$5:$D$2000,Deductions!$B$5:$B$2000,$A89,Deductions!$E$5:$E$2000,"&gt;="&amp;Settings!$B$8,Deductions!$E$5:$E$2000,"&lt;="&amp;Settings!$B$9)-O89)</f>
        <v/>
      </c>
      <c r="Q89" s="26" t="str">
        <f aca="false">IF($A89="","",O89+P89)</f>
        <v/>
      </c>
      <c r="R89" s="23" t="str">
        <f aca="false">IF($A89="","",N89-Q89)</f>
        <v/>
      </c>
      <c r="S89" s="24" t="str">
        <f aca="false">IF($A89="","",INDEX(Workers!$O$5:$O$2004,MATCH($A89,Workers!$A$5:$A$2004,0))&amp;"")</f>
        <v/>
      </c>
      <c r="T89" s="24" t="str">
        <f aca="false">IF($A89="","",INDEX(Workers!$P$5:$P$2004,MATCH($A89,Workers!$A$5:$A$2004,0))&amp;"")</f>
        <v/>
      </c>
      <c r="U89" s="24" t="str">
        <f aca="false">IF($A89="","",INDEX(Workers!$H$5:$H$2004,MATCH($A89,Workers!$A$5:$A$2004,0))&amp;"")</f>
        <v/>
      </c>
    </row>
    <row r="90" customFormat="false" ht="15" hidden="false" customHeight="false" outlineLevel="0" collapsed="false">
      <c r="A90" s="24" t="str">
        <f aca="false">IFERROR(INDEX(Workers!$A$5:$A$2004,MATCH(ROW()-4,Workers!$U$5:$U$2004,0)),"")</f>
        <v/>
      </c>
      <c r="B90" s="24" t="str">
        <f aca="false">IF($A90="","",INDEX(Workers!$B$5:$B$2004,MATCH($A90,Workers!$A$5:$A$2004,0)))</f>
        <v/>
      </c>
      <c r="C90" s="24" t="str">
        <f aca="false">IF($A90="","",INDEX(Workers!$E$5:$E$2004,MATCH($A90,Workers!$A$5:$A$2004,0)))</f>
        <v/>
      </c>
      <c r="D90" s="24" t="str">
        <f aca="false">IF($A90="","",INDEX(Workers!$K$5:$K$2004,MATCH($A90,Workers!$A$5:$A$2004,0)))</f>
        <v/>
      </c>
      <c r="E90" s="25" t="str">
        <f aca="false">IF($A90="","",SUMIFS(Timesheet!$E$5:$E$3004,Timesheet!$D$5:$D$3004,$A90,Timesheet!$A$5:$A$3004,"&gt;="&amp;Settings!$B$8,Timesheet!$A$5:$A$3004,"&lt;="&amp;Settings!$B$9))</f>
        <v/>
      </c>
      <c r="F90" s="25" t="str">
        <f aca="false">IF($A90="","",SUMIFS(Timesheet!$F$5:$F$3004,Timesheet!$D$5:$D$3004,$A90,Timesheet!$A$5:$A$3004,"&gt;="&amp;Settings!$B$8,Timesheet!$A$5:$A$3004,"&lt;="&amp;Settings!$B$9))</f>
        <v/>
      </c>
      <c r="G90" s="25" t="str">
        <f aca="false">IF($A90="","",SUMIFS(Timesheet!$G$5:$G$3004,Timesheet!$D$5:$D$3004,$A90,Timesheet!$A$5:$A$3004,"&gt;="&amp;Settings!$B$8,Timesheet!$A$5:$A$3004,"&lt;="&amp;Settings!$B$9))</f>
        <v/>
      </c>
      <c r="H90" s="25" t="str">
        <f aca="false">IF($A90="","",IF(D90="Monthly",MAX(0,Settings!$B$11-E90),0))</f>
        <v/>
      </c>
      <c r="I90" s="26" t="str">
        <f aca="false">IF($A90="","",N(INDEX(Workers!$L$5:$L$2004,MATCH($A90,Workers!$A$5:$A$2004,0))))</f>
        <v/>
      </c>
      <c r="J90" s="26" t="str">
        <f aca="false">IF($A90="","",N(INDEX(Workers!$M$5:$M$2004,MATCH($A90,Workers!$A$5:$A$2004,0))))</f>
        <v/>
      </c>
      <c r="K90" s="26" t="str">
        <f aca="false">IF($A90="","",IF(D90="Monthly",ROUND(MAX(0,(I90+J90)-(I90+J90)/Settings!$B$10*H90),2),0))</f>
        <v/>
      </c>
      <c r="L90" s="26" t="str">
        <f aca="false">IF($A90="","",IF(D90="Hourly",ROUND(F90*N(INDEX(Workers!$N$5:$N$2004,MATCH($A90,Workers!$A$5:$A$2004,0))),2),0))</f>
        <v/>
      </c>
      <c r="M90" s="26" t="str">
        <f aca="false">IF($A90="","",ROUND(G90*IF(D90="Hourly",N(INDEX(Workers!$N$5:$N$2004,MATCH($A90,Workers!$A$5:$A$2004,0))),I90/Settings!$B$10/Settings!$B$12)*Settings!$B$13,2))</f>
        <v/>
      </c>
      <c r="N90" s="26" t="str">
        <f aca="false">IF($A90="","",K90+L90+M90)</f>
        <v/>
      </c>
      <c r="O90" s="26" t="str">
        <f aca="false">IF($A90="","",SUMIFS(Deductions!$D$5:$D$2000,Deductions!$B$5:$B$2000,$A90,Deductions!$C$5:$C$2000,"Advance",Deductions!$E$5:$E$2000,"&gt;="&amp;Settings!$B$8,Deductions!$E$5:$E$2000,"&lt;="&amp;Settings!$B$9))</f>
        <v/>
      </c>
      <c r="P90" s="26" t="str">
        <f aca="false">IF($A90="","",SUMIFS(Deductions!$D$5:$D$2000,Deductions!$B$5:$B$2000,$A90,Deductions!$E$5:$E$2000,"&gt;="&amp;Settings!$B$8,Deductions!$E$5:$E$2000,"&lt;="&amp;Settings!$B$9)-O90)</f>
        <v/>
      </c>
      <c r="Q90" s="26" t="str">
        <f aca="false">IF($A90="","",O90+P90)</f>
        <v/>
      </c>
      <c r="R90" s="23" t="str">
        <f aca="false">IF($A90="","",N90-Q90)</f>
        <v/>
      </c>
      <c r="S90" s="24" t="str">
        <f aca="false">IF($A90="","",INDEX(Workers!$O$5:$O$2004,MATCH($A90,Workers!$A$5:$A$2004,0))&amp;"")</f>
        <v/>
      </c>
      <c r="T90" s="24" t="str">
        <f aca="false">IF($A90="","",INDEX(Workers!$P$5:$P$2004,MATCH($A90,Workers!$A$5:$A$2004,0))&amp;"")</f>
        <v/>
      </c>
      <c r="U90" s="24" t="str">
        <f aca="false">IF($A90="","",INDEX(Workers!$H$5:$H$2004,MATCH($A90,Workers!$A$5:$A$2004,0))&amp;"")</f>
        <v/>
      </c>
    </row>
    <row r="91" customFormat="false" ht="15" hidden="false" customHeight="false" outlineLevel="0" collapsed="false">
      <c r="A91" s="24" t="str">
        <f aca="false">IFERROR(INDEX(Workers!$A$5:$A$2004,MATCH(ROW()-4,Workers!$U$5:$U$2004,0)),"")</f>
        <v/>
      </c>
      <c r="B91" s="24" t="str">
        <f aca="false">IF($A91="","",INDEX(Workers!$B$5:$B$2004,MATCH($A91,Workers!$A$5:$A$2004,0)))</f>
        <v/>
      </c>
      <c r="C91" s="24" t="str">
        <f aca="false">IF($A91="","",INDEX(Workers!$E$5:$E$2004,MATCH($A91,Workers!$A$5:$A$2004,0)))</f>
        <v/>
      </c>
      <c r="D91" s="24" t="str">
        <f aca="false">IF($A91="","",INDEX(Workers!$K$5:$K$2004,MATCH($A91,Workers!$A$5:$A$2004,0)))</f>
        <v/>
      </c>
      <c r="E91" s="25" t="str">
        <f aca="false">IF($A91="","",SUMIFS(Timesheet!$E$5:$E$3004,Timesheet!$D$5:$D$3004,$A91,Timesheet!$A$5:$A$3004,"&gt;="&amp;Settings!$B$8,Timesheet!$A$5:$A$3004,"&lt;="&amp;Settings!$B$9))</f>
        <v/>
      </c>
      <c r="F91" s="25" t="str">
        <f aca="false">IF($A91="","",SUMIFS(Timesheet!$F$5:$F$3004,Timesheet!$D$5:$D$3004,$A91,Timesheet!$A$5:$A$3004,"&gt;="&amp;Settings!$B$8,Timesheet!$A$5:$A$3004,"&lt;="&amp;Settings!$B$9))</f>
        <v/>
      </c>
      <c r="G91" s="25" t="str">
        <f aca="false">IF($A91="","",SUMIFS(Timesheet!$G$5:$G$3004,Timesheet!$D$5:$D$3004,$A91,Timesheet!$A$5:$A$3004,"&gt;="&amp;Settings!$B$8,Timesheet!$A$5:$A$3004,"&lt;="&amp;Settings!$B$9))</f>
        <v/>
      </c>
      <c r="H91" s="25" t="str">
        <f aca="false">IF($A91="","",IF(D91="Monthly",MAX(0,Settings!$B$11-E91),0))</f>
        <v/>
      </c>
      <c r="I91" s="26" t="str">
        <f aca="false">IF($A91="","",N(INDEX(Workers!$L$5:$L$2004,MATCH($A91,Workers!$A$5:$A$2004,0))))</f>
        <v/>
      </c>
      <c r="J91" s="26" t="str">
        <f aca="false">IF($A91="","",N(INDEX(Workers!$M$5:$M$2004,MATCH($A91,Workers!$A$5:$A$2004,0))))</f>
        <v/>
      </c>
      <c r="K91" s="26" t="str">
        <f aca="false">IF($A91="","",IF(D91="Monthly",ROUND(MAX(0,(I91+J91)-(I91+J91)/Settings!$B$10*H91),2),0))</f>
        <v/>
      </c>
      <c r="L91" s="26" t="str">
        <f aca="false">IF($A91="","",IF(D91="Hourly",ROUND(F91*N(INDEX(Workers!$N$5:$N$2004,MATCH($A91,Workers!$A$5:$A$2004,0))),2),0))</f>
        <v/>
      </c>
      <c r="M91" s="26" t="str">
        <f aca="false">IF($A91="","",ROUND(G91*IF(D91="Hourly",N(INDEX(Workers!$N$5:$N$2004,MATCH($A91,Workers!$A$5:$A$2004,0))),I91/Settings!$B$10/Settings!$B$12)*Settings!$B$13,2))</f>
        <v/>
      </c>
      <c r="N91" s="26" t="str">
        <f aca="false">IF($A91="","",K91+L91+M91)</f>
        <v/>
      </c>
      <c r="O91" s="26" t="str">
        <f aca="false">IF($A91="","",SUMIFS(Deductions!$D$5:$D$2000,Deductions!$B$5:$B$2000,$A91,Deductions!$C$5:$C$2000,"Advance",Deductions!$E$5:$E$2000,"&gt;="&amp;Settings!$B$8,Deductions!$E$5:$E$2000,"&lt;="&amp;Settings!$B$9))</f>
        <v/>
      </c>
      <c r="P91" s="26" t="str">
        <f aca="false">IF($A91="","",SUMIFS(Deductions!$D$5:$D$2000,Deductions!$B$5:$B$2000,$A91,Deductions!$E$5:$E$2000,"&gt;="&amp;Settings!$B$8,Deductions!$E$5:$E$2000,"&lt;="&amp;Settings!$B$9)-O91)</f>
        <v/>
      </c>
      <c r="Q91" s="26" t="str">
        <f aca="false">IF($A91="","",O91+P91)</f>
        <v/>
      </c>
      <c r="R91" s="23" t="str">
        <f aca="false">IF($A91="","",N91-Q91)</f>
        <v/>
      </c>
      <c r="S91" s="24" t="str">
        <f aca="false">IF($A91="","",INDEX(Workers!$O$5:$O$2004,MATCH($A91,Workers!$A$5:$A$2004,0))&amp;"")</f>
        <v/>
      </c>
      <c r="T91" s="24" t="str">
        <f aca="false">IF($A91="","",INDEX(Workers!$P$5:$P$2004,MATCH($A91,Workers!$A$5:$A$2004,0))&amp;"")</f>
        <v/>
      </c>
      <c r="U91" s="24" t="str">
        <f aca="false">IF($A91="","",INDEX(Workers!$H$5:$H$2004,MATCH($A91,Workers!$A$5:$A$2004,0))&amp;"")</f>
        <v/>
      </c>
    </row>
    <row r="92" customFormat="false" ht="15" hidden="false" customHeight="false" outlineLevel="0" collapsed="false">
      <c r="A92" s="24" t="str">
        <f aca="false">IFERROR(INDEX(Workers!$A$5:$A$2004,MATCH(ROW()-4,Workers!$U$5:$U$2004,0)),"")</f>
        <v/>
      </c>
      <c r="B92" s="24" t="str">
        <f aca="false">IF($A92="","",INDEX(Workers!$B$5:$B$2004,MATCH($A92,Workers!$A$5:$A$2004,0)))</f>
        <v/>
      </c>
      <c r="C92" s="24" t="str">
        <f aca="false">IF($A92="","",INDEX(Workers!$E$5:$E$2004,MATCH($A92,Workers!$A$5:$A$2004,0)))</f>
        <v/>
      </c>
      <c r="D92" s="24" t="str">
        <f aca="false">IF($A92="","",INDEX(Workers!$K$5:$K$2004,MATCH($A92,Workers!$A$5:$A$2004,0)))</f>
        <v/>
      </c>
      <c r="E92" s="25" t="str">
        <f aca="false">IF($A92="","",SUMIFS(Timesheet!$E$5:$E$3004,Timesheet!$D$5:$D$3004,$A92,Timesheet!$A$5:$A$3004,"&gt;="&amp;Settings!$B$8,Timesheet!$A$5:$A$3004,"&lt;="&amp;Settings!$B$9))</f>
        <v/>
      </c>
      <c r="F92" s="25" t="str">
        <f aca="false">IF($A92="","",SUMIFS(Timesheet!$F$5:$F$3004,Timesheet!$D$5:$D$3004,$A92,Timesheet!$A$5:$A$3004,"&gt;="&amp;Settings!$B$8,Timesheet!$A$5:$A$3004,"&lt;="&amp;Settings!$B$9))</f>
        <v/>
      </c>
      <c r="G92" s="25" t="str">
        <f aca="false">IF($A92="","",SUMIFS(Timesheet!$G$5:$G$3004,Timesheet!$D$5:$D$3004,$A92,Timesheet!$A$5:$A$3004,"&gt;="&amp;Settings!$B$8,Timesheet!$A$5:$A$3004,"&lt;="&amp;Settings!$B$9))</f>
        <v/>
      </c>
      <c r="H92" s="25" t="str">
        <f aca="false">IF($A92="","",IF(D92="Monthly",MAX(0,Settings!$B$11-E92),0))</f>
        <v/>
      </c>
      <c r="I92" s="26" t="str">
        <f aca="false">IF($A92="","",N(INDEX(Workers!$L$5:$L$2004,MATCH($A92,Workers!$A$5:$A$2004,0))))</f>
        <v/>
      </c>
      <c r="J92" s="26" t="str">
        <f aca="false">IF($A92="","",N(INDEX(Workers!$M$5:$M$2004,MATCH($A92,Workers!$A$5:$A$2004,0))))</f>
        <v/>
      </c>
      <c r="K92" s="26" t="str">
        <f aca="false">IF($A92="","",IF(D92="Monthly",ROUND(MAX(0,(I92+J92)-(I92+J92)/Settings!$B$10*H92),2),0))</f>
        <v/>
      </c>
      <c r="L92" s="26" t="str">
        <f aca="false">IF($A92="","",IF(D92="Hourly",ROUND(F92*N(INDEX(Workers!$N$5:$N$2004,MATCH($A92,Workers!$A$5:$A$2004,0))),2),0))</f>
        <v/>
      </c>
      <c r="M92" s="26" t="str">
        <f aca="false">IF($A92="","",ROUND(G92*IF(D92="Hourly",N(INDEX(Workers!$N$5:$N$2004,MATCH($A92,Workers!$A$5:$A$2004,0))),I92/Settings!$B$10/Settings!$B$12)*Settings!$B$13,2))</f>
        <v/>
      </c>
      <c r="N92" s="26" t="str">
        <f aca="false">IF($A92="","",K92+L92+M92)</f>
        <v/>
      </c>
      <c r="O92" s="26" t="str">
        <f aca="false">IF($A92="","",SUMIFS(Deductions!$D$5:$D$2000,Deductions!$B$5:$B$2000,$A92,Deductions!$C$5:$C$2000,"Advance",Deductions!$E$5:$E$2000,"&gt;="&amp;Settings!$B$8,Deductions!$E$5:$E$2000,"&lt;="&amp;Settings!$B$9))</f>
        <v/>
      </c>
      <c r="P92" s="26" t="str">
        <f aca="false">IF($A92="","",SUMIFS(Deductions!$D$5:$D$2000,Deductions!$B$5:$B$2000,$A92,Deductions!$E$5:$E$2000,"&gt;="&amp;Settings!$B$8,Deductions!$E$5:$E$2000,"&lt;="&amp;Settings!$B$9)-O92)</f>
        <v/>
      </c>
      <c r="Q92" s="26" t="str">
        <f aca="false">IF($A92="","",O92+P92)</f>
        <v/>
      </c>
      <c r="R92" s="23" t="str">
        <f aca="false">IF($A92="","",N92-Q92)</f>
        <v/>
      </c>
      <c r="S92" s="24" t="str">
        <f aca="false">IF($A92="","",INDEX(Workers!$O$5:$O$2004,MATCH($A92,Workers!$A$5:$A$2004,0))&amp;"")</f>
        <v/>
      </c>
      <c r="T92" s="24" t="str">
        <f aca="false">IF($A92="","",INDEX(Workers!$P$5:$P$2004,MATCH($A92,Workers!$A$5:$A$2004,0))&amp;"")</f>
        <v/>
      </c>
      <c r="U92" s="24" t="str">
        <f aca="false">IF($A92="","",INDEX(Workers!$H$5:$H$2004,MATCH($A92,Workers!$A$5:$A$2004,0))&amp;"")</f>
        <v/>
      </c>
    </row>
    <row r="93" customFormat="false" ht="15" hidden="false" customHeight="false" outlineLevel="0" collapsed="false">
      <c r="A93" s="24" t="str">
        <f aca="false">IFERROR(INDEX(Workers!$A$5:$A$2004,MATCH(ROW()-4,Workers!$U$5:$U$2004,0)),"")</f>
        <v/>
      </c>
      <c r="B93" s="24" t="str">
        <f aca="false">IF($A93="","",INDEX(Workers!$B$5:$B$2004,MATCH($A93,Workers!$A$5:$A$2004,0)))</f>
        <v/>
      </c>
      <c r="C93" s="24" t="str">
        <f aca="false">IF($A93="","",INDEX(Workers!$E$5:$E$2004,MATCH($A93,Workers!$A$5:$A$2004,0)))</f>
        <v/>
      </c>
      <c r="D93" s="24" t="str">
        <f aca="false">IF($A93="","",INDEX(Workers!$K$5:$K$2004,MATCH($A93,Workers!$A$5:$A$2004,0)))</f>
        <v/>
      </c>
      <c r="E93" s="25" t="str">
        <f aca="false">IF($A93="","",SUMIFS(Timesheet!$E$5:$E$3004,Timesheet!$D$5:$D$3004,$A93,Timesheet!$A$5:$A$3004,"&gt;="&amp;Settings!$B$8,Timesheet!$A$5:$A$3004,"&lt;="&amp;Settings!$B$9))</f>
        <v/>
      </c>
      <c r="F93" s="25" t="str">
        <f aca="false">IF($A93="","",SUMIFS(Timesheet!$F$5:$F$3004,Timesheet!$D$5:$D$3004,$A93,Timesheet!$A$5:$A$3004,"&gt;="&amp;Settings!$B$8,Timesheet!$A$5:$A$3004,"&lt;="&amp;Settings!$B$9))</f>
        <v/>
      </c>
      <c r="G93" s="25" t="str">
        <f aca="false">IF($A93="","",SUMIFS(Timesheet!$G$5:$G$3004,Timesheet!$D$5:$D$3004,$A93,Timesheet!$A$5:$A$3004,"&gt;="&amp;Settings!$B$8,Timesheet!$A$5:$A$3004,"&lt;="&amp;Settings!$B$9))</f>
        <v/>
      </c>
      <c r="H93" s="25" t="str">
        <f aca="false">IF($A93="","",IF(D93="Monthly",MAX(0,Settings!$B$11-E93),0))</f>
        <v/>
      </c>
      <c r="I93" s="26" t="str">
        <f aca="false">IF($A93="","",N(INDEX(Workers!$L$5:$L$2004,MATCH($A93,Workers!$A$5:$A$2004,0))))</f>
        <v/>
      </c>
      <c r="J93" s="26" t="str">
        <f aca="false">IF($A93="","",N(INDEX(Workers!$M$5:$M$2004,MATCH($A93,Workers!$A$5:$A$2004,0))))</f>
        <v/>
      </c>
      <c r="K93" s="26" t="str">
        <f aca="false">IF($A93="","",IF(D93="Monthly",ROUND(MAX(0,(I93+J93)-(I93+J93)/Settings!$B$10*H93),2),0))</f>
        <v/>
      </c>
      <c r="L93" s="26" t="str">
        <f aca="false">IF($A93="","",IF(D93="Hourly",ROUND(F93*N(INDEX(Workers!$N$5:$N$2004,MATCH($A93,Workers!$A$5:$A$2004,0))),2),0))</f>
        <v/>
      </c>
      <c r="M93" s="26" t="str">
        <f aca="false">IF($A93="","",ROUND(G93*IF(D93="Hourly",N(INDEX(Workers!$N$5:$N$2004,MATCH($A93,Workers!$A$5:$A$2004,0))),I93/Settings!$B$10/Settings!$B$12)*Settings!$B$13,2))</f>
        <v/>
      </c>
      <c r="N93" s="26" t="str">
        <f aca="false">IF($A93="","",K93+L93+M93)</f>
        <v/>
      </c>
      <c r="O93" s="26" t="str">
        <f aca="false">IF($A93="","",SUMIFS(Deductions!$D$5:$D$2000,Deductions!$B$5:$B$2000,$A93,Deductions!$C$5:$C$2000,"Advance",Deductions!$E$5:$E$2000,"&gt;="&amp;Settings!$B$8,Deductions!$E$5:$E$2000,"&lt;="&amp;Settings!$B$9))</f>
        <v/>
      </c>
      <c r="P93" s="26" t="str">
        <f aca="false">IF($A93="","",SUMIFS(Deductions!$D$5:$D$2000,Deductions!$B$5:$B$2000,$A93,Deductions!$E$5:$E$2000,"&gt;="&amp;Settings!$B$8,Deductions!$E$5:$E$2000,"&lt;="&amp;Settings!$B$9)-O93)</f>
        <v/>
      </c>
      <c r="Q93" s="26" t="str">
        <f aca="false">IF($A93="","",O93+P93)</f>
        <v/>
      </c>
      <c r="R93" s="23" t="str">
        <f aca="false">IF($A93="","",N93-Q93)</f>
        <v/>
      </c>
      <c r="S93" s="24" t="str">
        <f aca="false">IF($A93="","",INDEX(Workers!$O$5:$O$2004,MATCH($A93,Workers!$A$5:$A$2004,0))&amp;"")</f>
        <v/>
      </c>
      <c r="T93" s="24" t="str">
        <f aca="false">IF($A93="","",INDEX(Workers!$P$5:$P$2004,MATCH($A93,Workers!$A$5:$A$2004,0))&amp;"")</f>
        <v/>
      </c>
      <c r="U93" s="24" t="str">
        <f aca="false">IF($A93="","",INDEX(Workers!$H$5:$H$2004,MATCH($A93,Workers!$A$5:$A$2004,0))&amp;"")</f>
        <v/>
      </c>
    </row>
    <row r="94" customFormat="false" ht="15" hidden="false" customHeight="false" outlineLevel="0" collapsed="false">
      <c r="A94" s="24" t="str">
        <f aca="false">IFERROR(INDEX(Workers!$A$5:$A$2004,MATCH(ROW()-4,Workers!$U$5:$U$2004,0)),"")</f>
        <v/>
      </c>
      <c r="B94" s="24" t="str">
        <f aca="false">IF($A94="","",INDEX(Workers!$B$5:$B$2004,MATCH($A94,Workers!$A$5:$A$2004,0)))</f>
        <v/>
      </c>
      <c r="C94" s="24" t="str">
        <f aca="false">IF($A94="","",INDEX(Workers!$E$5:$E$2004,MATCH($A94,Workers!$A$5:$A$2004,0)))</f>
        <v/>
      </c>
      <c r="D94" s="24" t="str">
        <f aca="false">IF($A94="","",INDEX(Workers!$K$5:$K$2004,MATCH($A94,Workers!$A$5:$A$2004,0)))</f>
        <v/>
      </c>
      <c r="E94" s="25" t="str">
        <f aca="false">IF($A94="","",SUMIFS(Timesheet!$E$5:$E$3004,Timesheet!$D$5:$D$3004,$A94,Timesheet!$A$5:$A$3004,"&gt;="&amp;Settings!$B$8,Timesheet!$A$5:$A$3004,"&lt;="&amp;Settings!$B$9))</f>
        <v/>
      </c>
      <c r="F94" s="25" t="str">
        <f aca="false">IF($A94="","",SUMIFS(Timesheet!$F$5:$F$3004,Timesheet!$D$5:$D$3004,$A94,Timesheet!$A$5:$A$3004,"&gt;="&amp;Settings!$B$8,Timesheet!$A$5:$A$3004,"&lt;="&amp;Settings!$B$9))</f>
        <v/>
      </c>
      <c r="G94" s="25" t="str">
        <f aca="false">IF($A94="","",SUMIFS(Timesheet!$G$5:$G$3004,Timesheet!$D$5:$D$3004,$A94,Timesheet!$A$5:$A$3004,"&gt;="&amp;Settings!$B$8,Timesheet!$A$5:$A$3004,"&lt;="&amp;Settings!$B$9))</f>
        <v/>
      </c>
      <c r="H94" s="25" t="str">
        <f aca="false">IF($A94="","",IF(D94="Monthly",MAX(0,Settings!$B$11-E94),0))</f>
        <v/>
      </c>
      <c r="I94" s="26" t="str">
        <f aca="false">IF($A94="","",N(INDEX(Workers!$L$5:$L$2004,MATCH($A94,Workers!$A$5:$A$2004,0))))</f>
        <v/>
      </c>
      <c r="J94" s="26" t="str">
        <f aca="false">IF($A94="","",N(INDEX(Workers!$M$5:$M$2004,MATCH($A94,Workers!$A$5:$A$2004,0))))</f>
        <v/>
      </c>
      <c r="K94" s="26" t="str">
        <f aca="false">IF($A94="","",IF(D94="Monthly",ROUND(MAX(0,(I94+J94)-(I94+J94)/Settings!$B$10*H94),2),0))</f>
        <v/>
      </c>
      <c r="L94" s="26" t="str">
        <f aca="false">IF($A94="","",IF(D94="Hourly",ROUND(F94*N(INDEX(Workers!$N$5:$N$2004,MATCH($A94,Workers!$A$5:$A$2004,0))),2),0))</f>
        <v/>
      </c>
      <c r="M94" s="26" t="str">
        <f aca="false">IF($A94="","",ROUND(G94*IF(D94="Hourly",N(INDEX(Workers!$N$5:$N$2004,MATCH($A94,Workers!$A$5:$A$2004,0))),I94/Settings!$B$10/Settings!$B$12)*Settings!$B$13,2))</f>
        <v/>
      </c>
      <c r="N94" s="26" t="str">
        <f aca="false">IF($A94="","",K94+L94+M94)</f>
        <v/>
      </c>
      <c r="O94" s="26" t="str">
        <f aca="false">IF($A94="","",SUMIFS(Deductions!$D$5:$D$2000,Deductions!$B$5:$B$2000,$A94,Deductions!$C$5:$C$2000,"Advance",Deductions!$E$5:$E$2000,"&gt;="&amp;Settings!$B$8,Deductions!$E$5:$E$2000,"&lt;="&amp;Settings!$B$9))</f>
        <v/>
      </c>
      <c r="P94" s="26" t="str">
        <f aca="false">IF($A94="","",SUMIFS(Deductions!$D$5:$D$2000,Deductions!$B$5:$B$2000,$A94,Deductions!$E$5:$E$2000,"&gt;="&amp;Settings!$B$8,Deductions!$E$5:$E$2000,"&lt;="&amp;Settings!$B$9)-O94)</f>
        <v/>
      </c>
      <c r="Q94" s="26" t="str">
        <f aca="false">IF($A94="","",O94+P94)</f>
        <v/>
      </c>
      <c r="R94" s="23" t="str">
        <f aca="false">IF($A94="","",N94-Q94)</f>
        <v/>
      </c>
      <c r="S94" s="24" t="str">
        <f aca="false">IF($A94="","",INDEX(Workers!$O$5:$O$2004,MATCH($A94,Workers!$A$5:$A$2004,0))&amp;"")</f>
        <v/>
      </c>
      <c r="T94" s="24" t="str">
        <f aca="false">IF($A94="","",INDEX(Workers!$P$5:$P$2004,MATCH($A94,Workers!$A$5:$A$2004,0))&amp;"")</f>
        <v/>
      </c>
      <c r="U94" s="24" t="str">
        <f aca="false">IF($A94="","",INDEX(Workers!$H$5:$H$2004,MATCH($A94,Workers!$A$5:$A$2004,0))&amp;"")</f>
        <v/>
      </c>
    </row>
    <row r="95" customFormat="false" ht="15" hidden="false" customHeight="false" outlineLevel="0" collapsed="false">
      <c r="A95" s="24" t="str">
        <f aca="false">IFERROR(INDEX(Workers!$A$5:$A$2004,MATCH(ROW()-4,Workers!$U$5:$U$2004,0)),"")</f>
        <v/>
      </c>
      <c r="B95" s="24" t="str">
        <f aca="false">IF($A95="","",INDEX(Workers!$B$5:$B$2004,MATCH($A95,Workers!$A$5:$A$2004,0)))</f>
        <v/>
      </c>
      <c r="C95" s="24" t="str">
        <f aca="false">IF($A95="","",INDEX(Workers!$E$5:$E$2004,MATCH($A95,Workers!$A$5:$A$2004,0)))</f>
        <v/>
      </c>
      <c r="D95" s="24" t="str">
        <f aca="false">IF($A95="","",INDEX(Workers!$K$5:$K$2004,MATCH($A95,Workers!$A$5:$A$2004,0)))</f>
        <v/>
      </c>
      <c r="E95" s="25" t="str">
        <f aca="false">IF($A95="","",SUMIFS(Timesheet!$E$5:$E$3004,Timesheet!$D$5:$D$3004,$A95,Timesheet!$A$5:$A$3004,"&gt;="&amp;Settings!$B$8,Timesheet!$A$5:$A$3004,"&lt;="&amp;Settings!$B$9))</f>
        <v/>
      </c>
      <c r="F95" s="25" t="str">
        <f aca="false">IF($A95="","",SUMIFS(Timesheet!$F$5:$F$3004,Timesheet!$D$5:$D$3004,$A95,Timesheet!$A$5:$A$3004,"&gt;="&amp;Settings!$B$8,Timesheet!$A$5:$A$3004,"&lt;="&amp;Settings!$B$9))</f>
        <v/>
      </c>
      <c r="G95" s="25" t="str">
        <f aca="false">IF($A95="","",SUMIFS(Timesheet!$G$5:$G$3004,Timesheet!$D$5:$D$3004,$A95,Timesheet!$A$5:$A$3004,"&gt;="&amp;Settings!$B$8,Timesheet!$A$5:$A$3004,"&lt;="&amp;Settings!$B$9))</f>
        <v/>
      </c>
      <c r="H95" s="25" t="str">
        <f aca="false">IF($A95="","",IF(D95="Monthly",MAX(0,Settings!$B$11-E95),0))</f>
        <v/>
      </c>
      <c r="I95" s="26" t="str">
        <f aca="false">IF($A95="","",N(INDEX(Workers!$L$5:$L$2004,MATCH($A95,Workers!$A$5:$A$2004,0))))</f>
        <v/>
      </c>
      <c r="J95" s="26" t="str">
        <f aca="false">IF($A95="","",N(INDEX(Workers!$M$5:$M$2004,MATCH($A95,Workers!$A$5:$A$2004,0))))</f>
        <v/>
      </c>
      <c r="K95" s="26" t="str">
        <f aca="false">IF($A95="","",IF(D95="Monthly",ROUND(MAX(0,(I95+J95)-(I95+J95)/Settings!$B$10*H95),2),0))</f>
        <v/>
      </c>
      <c r="L95" s="26" t="str">
        <f aca="false">IF($A95="","",IF(D95="Hourly",ROUND(F95*N(INDEX(Workers!$N$5:$N$2004,MATCH($A95,Workers!$A$5:$A$2004,0))),2),0))</f>
        <v/>
      </c>
      <c r="M95" s="26" t="str">
        <f aca="false">IF($A95="","",ROUND(G95*IF(D95="Hourly",N(INDEX(Workers!$N$5:$N$2004,MATCH($A95,Workers!$A$5:$A$2004,0))),I95/Settings!$B$10/Settings!$B$12)*Settings!$B$13,2))</f>
        <v/>
      </c>
      <c r="N95" s="26" t="str">
        <f aca="false">IF($A95="","",K95+L95+M95)</f>
        <v/>
      </c>
      <c r="O95" s="26" t="str">
        <f aca="false">IF($A95="","",SUMIFS(Deductions!$D$5:$D$2000,Deductions!$B$5:$B$2000,$A95,Deductions!$C$5:$C$2000,"Advance",Deductions!$E$5:$E$2000,"&gt;="&amp;Settings!$B$8,Deductions!$E$5:$E$2000,"&lt;="&amp;Settings!$B$9))</f>
        <v/>
      </c>
      <c r="P95" s="26" t="str">
        <f aca="false">IF($A95="","",SUMIFS(Deductions!$D$5:$D$2000,Deductions!$B$5:$B$2000,$A95,Deductions!$E$5:$E$2000,"&gt;="&amp;Settings!$B$8,Deductions!$E$5:$E$2000,"&lt;="&amp;Settings!$B$9)-O95)</f>
        <v/>
      </c>
      <c r="Q95" s="26" t="str">
        <f aca="false">IF($A95="","",O95+P95)</f>
        <v/>
      </c>
      <c r="R95" s="23" t="str">
        <f aca="false">IF($A95="","",N95-Q95)</f>
        <v/>
      </c>
      <c r="S95" s="24" t="str">
        <f aca="false">IF($A95="","",INDEX(Workers!$O$5:$O$2004,MATCH($A95,Workers!$A$5:$A$2004,0))&amp;"")</f>
        <v/>
      </c>
      <c r="T95" s="24" t="str">
        <f aca="false">IF($A95="","",INDEX(Workers!$P$5:$P$2004,MATCH($A95,Workers!$A$5:$A$2004,0))&amp;"")</f>
        <v/>
      </c>
      <c r="U95" s="24" t="str">
        <f aca="false">IF($A95="","",INDEX(Workers!$H$5:$H$2004,MATCH($A95,Workers!$A$5:$A$2004,0))&amp;"")</f>
        <v/>
      </c>
    </row>
    <row r="96" customFormat="false" ht="15" hidden="false" customHeight="false" outlineLevel="0" collapsed="false">
      <c r="A96" s="24" t="str">
        <f aca="false">IFERROR(INDEX(Workers!$A$5:$A$2004,MATCH(ROW()-4,Workers!$U$5:$U$2004,0)),"")</f>
        <v/>
      </c>
      <c r="B96" s="24" t="str">
        <f aca="false">IF($A96="","",INDEX(Workers!$B$5:$B$2004,MATCH($A96,Workers!$A$5:$A$2004,0)))</f>
        <v/>
      </c>
      <c r="C96" s="24" t="str">
        <f aca="false">IF($A96="","",INDEX(Workers!$E$5:$E$2004,MATCH($A96,Workers!$A$5:$A$2004,0)))</f>
        <v/>
      </c>
      <c r="D96" s="24" t="str">
        <f aca="false">IF($A96="","",INDEX(Workers!$K$5:$K$2004,MATCH($A96,Workers!$A$5:$A$2004,0)))</f>
        <v/>
      </c>
      <c r="E96" s="25" t="str">
        <f aca="false">IF($A96="","",SUMIFS(Timesheet!$E$5:$E$3004,Timesheet!$D$5:$D$3004,$A96,Timesheet!$A$5:$A$3004,"&gt;="&amp;Settings!$B$8,Timesheet!$A$5:$A$3004,"&lt;="&amp;Settings!$B$9))</f>
        <v/>
      </c>
      <c r="F96" s="25" t="str">
        <f aca="false">IF($A96="","",SUMIFS(Timesheet!$F$5:$F$3004,Timesheet!$D$5:$D$3004,$A96,Timesheet!$A$5:$A$3004,"&gt;="&amp;Settings!$B$8,Timesheet!$A$5:$A$3004,"&lt;="&amp;Settings!$B$9))</f>
        <v/>
      </c>
      <c r="G96" s="25" t="str">
        <f aca="false">IF($A96="","",SUMIFS(Timesheet!$G$5:$G$3004,Timesheet!$D$5:$D$3004,$A96,Timesheet!$A$5:$A$3004,"&gt;="&amp;Settings!$B$8,Timesheet!$A$5:$A$3004,"&lt;="&amp;Settings!$B$9))</f>
        <v/>
      </c>
      <c r="H96" s="25" t="str">
        <f aca="false">IF($A96="","",IF(D96="Monthly",MAX(0,Settings!$B$11-E96),0))</f>
        <v/>
      </c>
      <c r="I96" s="26" t="str">
        <f aca="false">IF($A96="","",N(INDEX(Workers!$L$5:$L$2004,MATCH($A96,Workers!$A$5:$A$2004,0))))</f>
        <v/>
      </c>
      <c r="J96" s="26" t="str">
        <f aca="false">IF($A96="","",N(INDEX(Workers!$M$5:$M$2004,MATCH($A96,Workers!$A$5:$A$2004,0))))</f>
        <v/>
      </c>
      <c r="K96" s="26" t="str">
        <f aca="false">IF($A96="","",IF(D96="Monthly",ROUND(MAX(0,(I96+J96)-(I96+J96)/Settings!$B$10*H96),2),0))</f>
        <v/>
      </c>
      <c r="L96" s="26" t="str">
        <f aca="false">IF($A96="","",IF(D96="Hourly",ROUND(F96*N(INDEX(Workers!$N$5:$N$2004,MATCH($A96,Workers!$A$5:$A$2004,0))),2),0))</f>
        <v/>
      </c>
      <c r="M96" s="26" t="str">
        <f aca="false">IF($A96="","",ROUND(G96*IF(D96="Hourly",N(INDEX(Workers!$N$5:$N$2004,MATCH($A96,Workers!$A$5:$A$2004,0))),I96/Settings!$B$10/Settings!$B$12)*Settings!$B$13,2))</f>
        <v/>
      </c>
      <c r="N96" s="26" t="str">
        <f aca="false">IF($A96="","",K96+L96+M96)</f>
        <v/>
      </c>
      <c r="O96" s="26" t="str">
        <f aca="false">IF($A96="","",SUMIFS(Deductions!$D$5:$D$2000,Deductions!$B$5:$B$2000,$A96,Deductions!$C$5:$C$2000,"Advance",Deductions!$E$5:$E$2000,"&gt;="&amp;Settings!$B$8,Deductions!$E$5:$E$2000,"&lt;="&amp;Settings!$B$9))</f>
        <v/>
      </c>
      <c r="P96" s="26" t="str">
        <f aca="false">IF($A96="","",SUMIFS(Deductions!$D$5:$D$2000,Deductions!$B$5:$B$2000,$A96,Deductions!$E$5:$E$2000,"&gt;="&amp;Settings!$B$8,Deductions!$E$5:$E$2000,"&lt;="&amp;Settings!$B$9)-O96)</f>
        <v/>
      </c>
      <c r="Q96" s="26" t="str">
        <f aca="false">IF($A96="","",O96+P96)</f>
        <v/>
      </c>
      <c r="R96" s="23" t="str">
        <f aca="false">IF($A96="","",N96-Q96)</f>
        <v/>
      </c>
      <c r="S96" s="24" t="str">
        <f aca="false">IF($A96="","",INDEX(Workers!$O$5:$O$2004,MATCH($A96,Workers!$A$5:$A$2004,0))&amp;"")</f>
        <v/>
      </c>
      <c r="T96" s="24" t="str">
        <f aca="false">IF($A96="","",INDEX(Workers!$P$5:$P$2004,MATCH($A96,Workers!$A$5:$A$2004,0))&amp;"")</f>
        <v/>
      </c>
      <c r="U96" s="24" t="str">
        <f aca="false">IF($A96="","",INDEX(Workers!$H$5:$H$2004,MATCH($A96,Workers!$A$5:$A$2004,0))&amp;"")</f>
        <v/>
      </c>
    </row>
    <row r="97" customFormat="false" ht="15" hidden="false" customHeight="false" outlineLevel="0" collapsed="false">
      <c r="A97" s="24" t="str">
        <f aca="false">IFERROR(INDEX(Workers!$A$5:$A$2004,MATCH(ROW()-4,Workers!$U$5:$U$2004,0)),"")</f>
        <v/>
      </c>
      <c r="B97" s="24" t="str">
        <f aca="false">IF($A97="","",INDEX(Workers!$B$5:$B$2004,MATCH($A97,Workers!$A$5:$A$2004,0)))</f>
        <v/>
      </c>
      <c r="C97" s="24" t="str">
        <f aca="false">IF($A97="","",INDEX(Workers!$E$5:$E$2004,MATCH($A97,Workers!$A$5:$A$2004,0)))</f>
        <v/>
      </c>
      <c r="D97" s="24" t="str">
        <f aca="false">IF($A97="","",INDEX(Workers!$K$5:$K$2004,MATCH($A97,Workers!$A$5:$A$2004,0)))</f>
        <v/>
      </c>
      <c r="E97" s="25" t="str">
        <f aca="false">IF($A97="","",SUMIFS(Timesheet!$E$5:$E$3004,Timesheet!$D$5:$D$3004,$A97,Timesheet!$A$5:$A$3004,"&gt;="&amp;Settings!$B$8,Timesheet!$A$5:$A$3004,"&lt;="&amp;Settings!$B$9))</f>
        <v/>
      </c>
      <c r="F97" s="25" t="str">
        <f aca="false">IF($A97="","",SUMIFS(Timesheet!$F$5:$F$3004,Timesheet!$D$5:$D$3004,$A97,Timesheet!$A$5:$A$3004,"&gt;="&amp;Settings!$B$8,Timesheet!$A$5:$A$3004,"&lt;="&amp;Settings!$B$9))</f>
        <v/>
      </c>
      <c r="G97" s="25" t="str">
        <f aca="false">IF($A97="","",SUMIFS(Timesheet!$G$5:$G$3004,Timesheet!$D$5:$D$3004,$A97,Timesheet!$A$5:$A$3004,"&gt;="&amp;Settings!$B$8,Timesheet!$A$5:$A$3004,"&lt;="&amp;Settings!$B$9))</f>
        <v/>
      </c>
      <c r="H97" s="25" t="str">
        <f aca="false">IF($A97="","",IF(D97="Monthly",MAX(0,Settings!$B$11-E97),0))</f>
        <v/>
      </c>
      <c r="I97" s="26" t="str">
        <f aca="false">IF($A97="","",N(INDEX(Workers!$L$5:$L$2004,MATCH($A97,Workers!$A$5:$A$2004,0))))</f>
        <v/>
      </c>
      <c r="J97" s="26" t="str">
        <f aca="false">IF($A97="","",N(INDEX(Workers!$M$5:$M$2004,MATCH($A97,Workers!$A$5:$A$2004,0))))</f>
        <v/>
      </c>
      <c r="K97" s="26" t="str">
        <f aca="false">IF($A97="","",IF(D97="Monthly",ROUND(MAX(0,(I97+J97)-(I97+J97)/Settings!$B$10*H97),2),0))</f>
        <v/>
      </c>
      <c r="L97" s="26" t="str">
        <f aca="false">IF($A97="","",IF(D97="Hourly",ROUND(F97*N(INDEX(Workers!$N$5:$N$2004,MATCH($A97,Workers!$A$5:$A$2004,0))),2),0))</f>
        <v/>
      </c>
      <c r="M97" s="26" t="str">
        <f aca="false">IF($A97="","",ROUND(G97*IF(D97="Hourly",N(INDEX(Workers!$N$5:$N$2004,MATCH($A97,Workers!$A$5:$A$2004,0))),I97/Settings!$B$10/Settings!$B$12)*Settings!$B$13,2))</f>
        <v/>
      </c>
      <c r="N97" s="26" t="str">
        <f aca="false">IF($A97="","",K97+L97+M97)</f>
        <v/>
      </c>
      <c r="O97" s="26" t="str">
        <f aca="false">IF($A97="","",SUMIFS(Deductions!$D$5:$D$2000,Deductions!$B$5:$B$2000,$A97,Deductions!$C$5:$C$2000,"Advance",Deductions!$E$5:$E$2000,"&gt;="&amp;Settings!$B$8,Deductions!$E$5:$E$2000,"&lt;="&amp;Settings!$B$9))</f>
        <v/>
      </c>
      <c r="P97" s="26" t="str">
        <f aca="false">IF($A97="","",SUMIFS(Deductions!$D$5:$D$2000,Deductions!$B$5:$B$2000,$A97,Deductions!$E$5:$E$2000,"&gt;="&amp;Settings!$B$8,Deductions!$E$5:$E$2000,"&lt;="&amp;Settings!$B$9)-O97)</f>
        <v/>
      </c>
      <c r="Q97" s="26" t="str">
        <f aca="false">IF($A97="","",O97+P97)</f>
        <v/>
      </c>
      <c r="R97" s="23" t="str">
        <f aca="false">IF($A97="","",N97-Q97)</f>
        <v/>
      </c>
      <c r="S97" s="24" t="str">
        <f aca="false">IF($A97="","",INDEX(Workers!$O$5:$O$2004,MATCH($A97,Workers!$A$5:$A$2004,0))&amp;"")</f>
        <v/>
      </c>
      <c r="T97" s="24" t="str">
        <f aca="false">IF($A97="","",INDEX(Workers!$P$5:$P$2004,MATCH($A97,Workers!$A$5:$A$2004,0))&amp;"")</f>
        <v/>
      </c>
      <c r="U97" s="24" t="str">
        <f aca="false">IF($A97="","",INDEX(Workers!$H$5:$H$2004,MATCH($A97,Workers!$A$5:$A$2004,0))&amp;"")</f>
        <v/>
      </c>
    </row>
    <row r="98" customFormat="false" ht="15" hidden="false" customHeight="false" outlineLevel="0" collapsed="false">
      <c r="A98" s="24" t="str">
        <f aca="false">IFERROR(INDEX(Workers!$A$5:$A$2004,MATCH(ROW()-4,Workers!$U$5:$U$2004,0)),"")</f>
        <v/>
      </c>
      <c r="B98" s="24" t="str">
        <f aca="false">IF($A98="","",INDEX(Workers!$B$5:$B$2004,MATCH($A98,Workers!$A$5:$A$2004,0)))</f>
        <v/>
      </c>
      <c r="C98" s="24" t="str">
        <f aca="false">IF($A98="","",INDEX(Workers!$E$5:$E$2004,MATCH($A98,Workers!$A$5:$A$2004,0)))</f>
        <v/>
      </c>
      <c r="D98" s="24" t="str">
        <f aca="false">IF($A98="","",INDEX(Workers!$K$5:$K$2004,MATCH($A98,Workers!$A$5:$A$2004,0)))</f>
        <v/>
      </c>
      <c r="E98" s="25" t="str">
        <f aca="false">IF($A98="","",SUMIFS(Timesheet!$E$5:$E$3004,Timesheet!$D$5:$D$3004,$A98,Timesheet!$A$5:$A$3004,"&gt;="&amp;Settings!$B$8,Timesheet!$A$5:$A$3004,"&lt;="&amp;Settings!$B$9))</f>
        <v/>
      </c>
      <c r="F98" s="25" t="str">
        <f aca="false">IF($A98="","",SUMIFS(Timesheet!$F$5:$F$3004,Timesheet!$D$5:$D$3004,$A98,Timesheet!$A$5:$A$3004,"&gt;="&amp;Settings!$B$8,Timesheet!$A$5:$A$3004,"&lt;="&amp;Settings!$B$9))</f>
        <v/>
      </c>
      <c r="G98" s="25" t="str">
        <f aca="false">IF($A98="","",SUMIFS(Timesheet!$G$5:$G$3004,Timesheet!$D$5:$D$3004,$A98,Timesheet!$A$5:$A$3004,"&gt;="&amp;Settings!$B$8,Timesheet!$A$5:$A$3004,"&lt;="&amp;Settings!$B$9))</f>
        <v/>
      </c>
      <c r="H98" s="25" t="str">
        <f aca="false">IF($A98="","",IF(D98="Monthly",MAX(0,Settings!$B$11-E98),0))</f>
        <v/>
      </c>
      <c r="I98" s="26" t="str">
        <f aca="false">IF($A98="","",N(INDEX(Workers!$L$5:$L$2004,MATCH($A98,Workers!$A$5:$A$2004,0))))</f>
        <v/>
      </c>
      <c r="J98" s="26" t="str">
        <f aca="false">IF($A98="","",N(INDEX(Workers!$M$5:$M$2004,MATCH($A98,Workers!$A$5:$A$2004,0))))</f>
        <v/>
      </c>
      <c r="K98" s="26" t="str">
        <f aca="false">IF($A98="","",IF(D98="Monthly",ROUND(MAX(0,(I98+J98)-(I98+J98)/Settings!$B$10*H98),2),0))</f>
        <v/>
      </c>
      <c r="L98" s="26" t="str">
        <f aca="false">IF($A98="","",IF(D98="Hourly",ROUND(F98*N(INDEX(Workers!$N$5:$N$2004,MATCH($A98,Workers!$A$5:$A$2004,0))),2),0))</f>
        <v/>
      </c>
      <c r="M98" s="26" t="str">
        <f aca="false">IF($A98="","",ROUND(G98*IF(D98="Hourly",N(INDEX(Workers!$N$5:$N$2004,MATCH($A98,Workers!$A$5:$A$2004,0))),I98/Settings!$B$10/Settings!$B$12)*Settings!$B$13,2))</f>
        <v/>
      </c>
      <c r="N98" s="26" t="str">
        <f aca="false">IF($A98="","",K98+L98+M98)</f>
        <v/>
      </c>
      <c r="O98" s="26" t="str">
        <f aca="false">IF($A98="","",SUMIFS(Deductions!$D$5:$D$2000,Deductions!$B$5:$B$2000,$A98,Deductions!$C$5:$C$2000,"Advance",Deductions!$E$5:$E$2000,"&gt;="&amp;Settings!$B$8,Deductions!$E$5:$E$2000,"&lt;="&amp;Settings!$B$9))</f>
        <v/>
      </c>
      <c r="P98" s="26" t="str">
        <f aca="false">IF($A98="","",SUMIFS(Deductions!$D$5:$D$2000,Deductions!$B$5:$B$2000,$A98,Deductions!$E$5:$E$2000,"&gt;="&amp;Settings!$B$8,Deductions!$E$5:$E$2000,"&lt;="&amp;Settings!$B$9)-O98)</f>
        <v/>
      </c>
      <c r="Q98" s="26" t="str">
        <f aca="false">IF($A98="","",O98+P98)</f>
        <v/>
      </c>
      <c r="R98" s="23" t="str">
        <f aca="false">IF($A98="","",N98-Q98)</f>
        <v/>
      </c>
      <c r="S98" s="24" t="str">
        <f aca="false">IF($A98="","",INDEX(Workers!$O$5:$O$2004,MATCH($A98,Workers!$A$5:$A$2004,0))&amp;"")</f>
        <v/>
      </c>
      <c r="T98" s="24" t="str">
        <f aca="false">IF($A98="","",INDEX(Workers!$P$5:$P$2004,MATCH($A98,Workers!$A$5:$A$2004,0))&amp;"")</f>
        <v/>
      </c>
      <c r="U98" s="24" t="str">
        <f aca="false">IF($A98="","",INDEX(Workers!$H$5:$H$2004,MATCH($A98,Workers!$A$5:$A$2004,0))&amp;"")</f>
        <v/>
      </c>
    </row>
    <row r="99" customFormat="false" ht="15" hidden="false" customHeight="false" outlineLevel="0" collapsed="false">
      <c r="A99" s="24" t="str">
        <f aca="false">IFERROR(INDEX(Workers!$A$5:$A$2004,MATCH(ROW()-4,Workers!$U$5:$U$2004,0)),"")</f>
        <v/>
      </c>
      <c r="B99" s="24" t="str">
        <f aca="false">IF($A99="","",INDEX(Workers!$B$5:$B$2004,MATCH($A99,Workers!$A$5:$A$2004,0)))</f>
        <v/>
      </c>
      <c r="C99" s="24" t="str">
        <f aca="false">IF($A99="","",INDEX(Workers!$E$5:$E$2004,MATCH($A99,Workers!$A$5:$A$2004,0)))</f>
        <v/>
      </c>
      <c r="D99" s="24" t="str">
        <f aca="false">IF($A99="","",INDEX(Workers!$K$5:$K$2004,MATCH($A99,Workers!$A$5:$A$2004,0)))</f>
        <v/>
      </c>
      <c r="E99" s="25" t="str">
        <f aca="false">IF($A99="","",SUMIFS(Timesheet!$E$5:$E$3004,Timesheet!$D$5:$D$3004,$A99,Timesheet!$A$5:$A$3004,"&gt;="&amp;Settings!$B$8,Timesheet!$A$5:$A$3004,"&lt;="&amp;Settings!$B$9))</f>
        <v/>
      </c>
      <c r="F99" s="25" t="str">
        <f aca="false">IF($A99="","",SUMIFS(Timesheet!$F$5:$F$3004,Timesheet!$D$5:$D$3004,$A99,Timesheet!$A$5:$A$3004,"&gt;="&amp;Settings!$B$8,Timesheet!$A$5:$A$3004,"&lt;="&amp;Settings!$B$9))</f>
        <v/>
      </c>
      <c r="G99" s="25" t="str">
        <f aca="false">IF($A99="","",SUMIFS(Timesheet!$G$5:$G$3004,Timesheet!$D$5:$D$3004,$A99,Timesheet!$A$5:$A$3004,"&gt;="&amp;Settings!$B$8,Timesheet!$A$5:$A$3004,"&lt;="&amp;Settings!$B$9))</f>
        <v/>
      </c>
      <c r="H99" s="25" t="str">
        <f aca="false">IF($A99="","",IF(D99="Monthly",MAX(0,Settings!$B$11-E99),0))</f>
        <v/>
      </c>
      <c r="I99" s="26" t="str">
        <f aca="false">IF($A99="","",N(INDEX(Workers!$L$5:$L$2004,MATCH($A99,Workers!$A$5:$A$2004,0))))</f>
        <v/>
      </c>
      <c r="J99" s="26" t="str">
        <f aca="false">IF($A99="","",N(INDEX(Workers!$M$5:$M$2004,MATCH($A99,Workers!$A$5:$A$2004,0))))</f>
        <v/>
      </c>
      <c r="K99" s="26" t="str">
        <f aca="false">IF($A99="","",IF(D99="Monthly",ROUND(MAX(0,(I99+J99)-(I99+J99)/Settings!$B$10*H99),2),0))</f>
        <v/>
      </c>
      <c r="L99" s="26" t="str">
        <f aca="false">IF($A99="","",IF(D99="Hourly",ROUND(F99*N(INDEX(Workers!$N$5:$N$2004,MATCH($A99,Workers!$A$5:$A$2004,0))),2),0))</f>
        <v/>
      </c>
      <c r="M99" s="26" t="str">
        <f aca="false">IF($A99="","",ROUND(G99*IF(D99="Hourly",N(INDEX(Workers!$N$5:$N$2004,MATCH($A99,Workers!$A$5:$A$2004,0))),I99/Settings!$B$10/Settings!$B$12)*Settings!$B$13,2))</f>
        <v/>
      </c>
      <c r="N99" s="26" t="str">
        <f aca="false">IF($A99="","",K99+L99+M99)</f>
        <v/>
      </c>
      <c r="O99" s="26" t="str">
        <f aca="false">IF($A99="","",SUMIFS(Deductions!$D$5:$D$2000,Deductions!$B$5:$B$2000,$A99,Deductions!$C$5:$C$2000,"Advance",Deductions!$E$5:$E$2000,"&gt;="&amp;Settings!$B$8,Deductions!$E$5:$E$2000,"&lt;="&amp;Settings!$B$9))</f>
        <v/>
      </c>
      <c r="P99" s="26" t="str">
        <f aca="false">IF($A99="","",SUMIFS(Deductions!$D$5:$D$2000,Deductions!$B$5:$B$2000,$A99,Deductions!$E$5:$E$2000,"&gt;="&amp;Settings!$B$8,Deductions!$E$5:$E$2000,"&lt;="&amp;Settings!$B$9)-O99)</f>
        <v/>
      </c>
      <c r="Q99" s="26" t="str">
        <f aca="false">IF($A99="","",O99+P99)</f>
        <v/>
      </c>
      <c r="R99" s="23" t="str">
        <f aca="false">IF($A99="","",N99-Q99)</f>
        <v/>
      </c>
      <c r="S99" s="24" t="str">
        <f aca="false">IF($A99="","",INDEX(Workers!$O$5:$O$2004,MATCH($A99,Workers!$A$5:$A$2004,0))&amp;"")</f>
        <v/>
      </c>
      <c r="T99" s="24" t="str">
        <f aca="false">IF($A99="","",INDEX(Workers!$P$5:$P$2004,MATCH($A99,Workers!$A$5:$A$2004,0))&amp;"")</f>
        <v/>
      </c>
      <c r="U99" s="24" t="str">
        <f aca="false">IF($A99="","",INDEX(Workers!$H$5:$H$2004,MATCH($A99,Workers!$A$5:$A$2004,0))&amp;"")</f>
        <v/>
      </c>
    </row>
    <row r="100" customFormat="false" ht="15" hidden="false" customHeight="false" outlineLevel="0" collapsed="false">
      <c r="A100" s="24" t="str">
        <f aca="false">IFERROR(INDEX(Workers!$A$5:$A$2004,MATCH(ROW()-4,Workers!$U$5:$U$2004,0)),"")</f>
        <v/>
      </c>
      <c r="B100" s="24" t="str">
        <f aca="false">IF($A100="","",INDEX(Workers!$B$5:$B$2004,MATCH($A100,Workers!$A$5:$A$2004,0)))</f>
        <v/>
      </c>
      <c r="C100" s="24" t="str">
        <f aca="false">IF($A100="","",INDEX(Workers!$E$5:$E$2004,MATCH($A100,Workers!$A$5:$A$2004,0)))</f>
        <v/>
      </c>
      <c r="D100" s="24" t="str">
        <f aca="false">IF($A100="","",INDEX(Workers!$K$5:$K$2004,MATCH($A100,Workers!$A$5:$A$2004,0)))</f>
        <v/>
      </c>
      <c r="E100" s="25" t="str">
        <f aca="false">IF($A100="","",SUMIFS(Timesheet!$E$5:$E$3004,Timesheet!$D$5:$D$3004,$A100,Timesheet!$A$5:$A$3004,"&gt;="&amp;Settings!$B$8,Timesheet!$A$5:$A$3004,"&lt;="&amp;Settings!$B$9))</f>
        <v/>
      </c>
      <c r="F100" s="25" t="str">
        <f aca="false">IF($A100="","",SUMIFS(Timesheet!$F$5:$F$3004,Timesheet!$D$5:$D$3004,$A100,Timesheet!$A$5:$A$3004,"&gt;="&amp;Settings!$B$8,Timesheet!$A$5:$A$3004,"&lt;="&amp;Settings!$B$9))</f>
        <v/>
      </c>
      <c r="G100" s="25" t="str">
        <f aca="false">IF($A100="","",SUMIFS(Timesheet!$G$5:$G$3004,Timesheet!$D$5:$D$3004,$A100,Timesheet!$A$5:$A$3004,"&gt;="&amp;Settings!$B$8,Timesheet!$A$5:$A$3004,"&lt;="&amp;Settings!$B$9))</f>
        <v/>
      </c>
      <c r="H100" s="25" t="str">
        <f aca="false">IF($A100="","",IF(D100="Monthly",MAX(0,Settings!$B$11-E100),0))</f>
        <v/>
      </c>
      <c r="I100" s="26" t="str">
        <f aca="false">IF($A100="","",N(INDEX(Workers!$L$5:$L$2004,MATCH($A100,Workers!$A$5:$A$2004,0))))</f>
        <v/>
      </c>
      <c r="J100" s="26" t="str">
        <f aca="false">IF($A100="","",N(INDEX(Workers!$M$5:$M$2004,MATCH($A100,Workers!$A$5:$A$2004,0))))</f>
        <v/>
      </c>
      <c r="K100" s="26" t="str">
        <f aca="false">IF($A100="","",IF(D100="Monthly",ROUND(MAX(0,(I100+J100)-(I100+J100)/Settings!$B$10*H100),2),0))</f>
        <v/>
      </c>
      <c r="L100" s="26" t="str">
        <f aca="false">IF($A100="","",IF(D100="Hourly",ROUND(F100*N(INDEX(Workers!$N$5:$N$2004,MATCH($A100,Workers!$A$5:$A$2004,0))),2),0))</f>
        <v/>
      </c>
      <c r="M100" s="26" t="str">
        <f aca="false">IF($A100="","",ROUND(G100*IF(D100="Hourly",N(INDEX(Workers!$N$5:$N$2004,MATCH($A100,Workers!$A$5:$A$2004,0))),I100/Settings!$B$10/Settings!$B$12)*Settings!$B$13,2))</f>
        <v/>
      </c>
      <c r="N100" s="26" t="str">
        <f aca="false">IF($A100="","",K100+L100+M100)</f>
        <v/>
      </c>
      <c r="O100" s="26" t="str">
        <f aca="false">IF($A100="","",SUMIFS(Deductions!$D$5:$D$2000,Deductions!$B$5:$B$2000,$A100,Deductions!$C$5:$C$2000,"Advance",Deductions!$E$5:$E$2000,"&gt;="&amp;Settings!$B$8,Deductions!$E$5:$E$2000,"&lt;="&amp;Settings!$B$9))</f>
        <v/>
      </c>
      <c r="P100" s="26" t="str">
        <f aca="false">IF($A100="","",SUMIFS(Deductions!$D$5:$D$2000,Deductions!$B$5:$B$2000,$A100,Deductions!$E$5:$E$2000,"&gt;="&amp;Settings!$B$8,Deductions!$E$5:$E$2000,"&lt;="&amp;Settings!$B$9)-O100)</f>
        <v/>
      </c>
      <c r="Q100" s="26" t="str">
        <f aca="false">IF($A100="","",O100+P100)</f>
        <v/>
      </c>
      <c r="R100" s="23" t="str">
        <f aca="false">IF($A100="","",N100-Q100)</f>
        <v/>
      </c>
      <c r="S100" s="24" t="str">
        <f aca="false">IF($A100="","",INDEX(Workers!$O$5:$O$2004,MATCH($A100,Workers!$A$5:$A$2004,0))&amp;"")</f>
        <v/>
      </c>
      <c r="T100" s="24" t="str">
        <f aca="false">IF($A100="","",INDEX(Workers!$P$5:$P$2004,MATCH($A100,Workers!$A$5:$A$2004,0))&amp;"")</f>
        <v/>
      </c>
      <c r="U100" s="24" t="str">
        <f aca="false">IF($A100="","",INDEX(Workers!$H$5:$H$2004,MATCH($A100,Workers!$A$5:$A$2004,0))&amp;"")</f>
        <v/>
      </c>
    </row>
    <row r="101" customFormat="false" ht="15" hidden="false" customHeight="false" outlineLevel="0" collapsed="false">
      <c r="A101" s="24" t="str">
        <f aca="false">IFERROR(INDEX(Workers!$A$5:$A$2004,MATCH(ROW()-4,Workers!$U$5:$U$2004,0)),"")</f>
        <v/>
      </c>
      <c r="B101" s="24" t="str">
        <f aca="false">IF($A101="","",INDEX(Workers!$B$5:$B$2004,MATCH($A101,Workers!$A$5:$A$2004,0)))</f>
        <v/>
      </c>
      <c r="C101" s="24" t="str">
        <f aca="false">IF($A101="","",INDEX(Workers!$E$5:$E$2004,MATCH($A101,Workers!$A$5:$A$2004,0)))</f>
        <v/>
      </c>
      <c r="D101" s="24" t="str">
        <f aca="false">IF($A101="","",INDEX(Workers!$K$5:$K$2004,MATCH($A101,Workers!$A$5:$A$2004,0)))</f>
        <v/>
      </c>
      <c r="E101" s="25" t="str">
        <f aca="false">IF($A101="","",SUMIFS(Timesheet!$E$5:$E$3004,Timesheet!$D$5:$D$3004,$A101,Timesheet!$A$5:$A$3004,"&gt;="&amp;Settings!$B$8,Timesheet!$A$5:$A$3004,"&lt;="&amp;Settings!$B$9))</f>
        <v/>
      </c>
      <c r="F101" s="25" t="str">
        <f aca="false">IF($A101="","",SUMIFS(Timesheet!$F$5:$F$3004,Timesheet!$D$5:$D$3004,$A101,Timesheet!$A$5:$A$3004,"&gt;="&amp;Settings!$B$8,Timesheet!$A$5:$A$3004,"&lt;="&amp;Settings!$B$9))</f>
        <v/>
      </c>
      <c r="G101" s="25" t="str">
        <f aca="false">IF($A101="","",SUMIFS(Timesheet!$G$5:$G$3004,Timesheet!$D$5:$D$3004,$A101,Timesheet!$A$5:$A$3004,"&gt;="&amp;Settings!$B$8,Timesheet!$A$5:$A$3004,"&lt;="&amp;Settings!$B$9))</f>
        <v/>
      </c>
      <c r="H101" s="25" t="str">
        <f aca="false">IF($A101="","",IF(D101="Monthly",MAX(0,Settings!$B$11-E101),0))</f>
        <v/>
      </c>
      <c r="I101" s="26" t="str">
        <f aca="false">IF($A101="","",N(INDEX(Workers!$L$5:$L$2004,MATCH($A101,Workers!$A$5:$A$2004,0))))</f>
        <v/>
      </c>
      <c r="J101" s="26" t="str">
        <f aca="false">IF($A101="","",N(INDEX(Workers!$M$5:$M$2004,MATCH($A101,Workers!$A$5:$A$2004,0))))</f>
        <v/>
      </c>
      <c r="K101" s="26" t="str">
        <f aca="false">IF($A101="","",IF(D101="Monthly",ROUND(MAX(0,(I101+J101)-(I101+J101)/Settings!$B$10*H101),2),0))</f>
        <v/>
      </c>
      <c r="L101" s="26" t="str">
        <f aca="false">IF($A101="","",IF(D101="Hourly",ROUND(F101*N(INDEX(Workers!$N$5:$N$2004,MATCH($A101,Workers!$A$5:$A$2004,0))),2),0))</f>
        <v/>
      </c>
      <c r="M101" s="26" t="str">
        <f aca="false">IF($A101="","",ROUND(G101*IF(D101="Hourly",N(INDEX(Workers!$N$5:$N$2004,MATCH($A101,Workers!$A$5:$A$2004,0))),I101/Settings!$B$10/Settings!$B$12)*Settings!$B$13,2))</f>
        <v/>
      </c>
      <c r="N101" s="26" t="str">
        <f aca="false">IF($A101="","",K101+L101+M101)</f>
        <v/>
      </c>
      <c r="O101" s="26" t="str">
        <f aca="false">IF($A101="","",SUMIFS(Deductions!$D$5:$D$2000,Deductions!$B$5:$B$2000,$A101,Deductions!$C$5:$C$2000,"Advance",Deductions!$E$5:$E$2000,"&gt;="&amp;Settings!$B$8,Deductions!$E$5:$E$2000,"&lt;="&amp;Settings!$B$9))</f>
        <v/>
      </c>
      <c r="P101" s="26" t="str">
        <f aca="false">IF($A101="","",SUMIFS(Deductions!$D$5:$D$2000,Deductions!$B$5:$B$2000,$A101,Deductions!$E$5:$E$2000,"&gt;="&amp;Settings!$B$8,Deductions!$E$5:$E$2000,"&lt;="&amp;Settings!$B$9)-O101)</f>
        <v/>
      </c>
      <c r="Q101" s="26" t="str">
        <f aca="false">IF($A101="","",O101+P101)</f>
        <v/>
      </c>
      <c r="R101" s="23" t="str">
        <f aca="false">IF($A101="","",N101-Q101)</f>
        <v/>
      </c>
      <c r="S101" s="24" t="str">
        <f aca="false">IF($A101="","",INDEX(Workers!$O$5:$O$2004,MATCH($A101,Workers!$A$5:$A$2004,0))&amp;"")</f>
        <v/>
      </c>
      <c r="T101" s="24" t="str">
        <f aca="false">IF($A101="","",INDEX(Workers!$P$5:$P$2004,MATCH($A101,Workers!$A$5:$A$2004,0))&amp;"")</f>
        <v/>
      </c>
      <c r="U101" s="24" t="str">
        <f aca="false">IF($A101="","",INDEX(Workers!$H$5:$H$2004,MATCH($A101,Workers!$A$5:$A$2004,0))&amp;"")</f>
        <v/>
      </c>
    </row>
    <row r="102" customFormat="false" ht="15" hidden="false" customHeight="false" outlineLevel="0" collapsed="false">
      <c r="A102" s="24" t="str">
        <f aca="false">IFERROR(INDEX(Workers!$A$5:$A$2004,MATCH(ROW()-4,Workers!$U$5:$U$2004,0)),"")</f>
        <v/>
      </c>
      <c r="B102" s="24" t="str">
        <f aca="false">IF($A102="","",INDEX(Workers!$B$5:$B$2004,MATCH($A102,Workers!$A$5:$A$2004,0)))</f>
        <v/>
      </c>
      <c r="C102" s="24" t="str">
        <f aca="false">IF($A102="","",INDEX(Workers!$E$5:$E$2004,MATCH($A102,Workers!$A$5:$A$2004,0)))</f>
        <v/>
      </c>
      <c r="D102" s="24" t="str">
        <f aca="false">IF($A102="","",INDEX(Workers!$K$5:$K$2004,MATCH($A102,Workers!$A$5:$A$2004,0)))</f>
        <v/>
      </c>
      <c r="E102" s="25" t="str">
        <f aca="false">IF($A102="","",SUMIFS(Timesheet!$E$5:$E$3004,Timesheet!$D$5:$D$3004,$A102,Timesheet!$A$5:$A$3004,"&gt;="&amp;Settings!$B$8,Timesheet!$A$5:$A$3004,"&lt;="&amp;Settings!$B$9))</f>
        <v/>
      </c>
      <c r="F102" s="25" t="str">
        <f aca="false">IF($A102="","",SUMIFS(Timesheet!$F$5:$F$3004,Timesheet!$D$5:$D$3004,$A102,Timesheet!$A$5:$A$3004,"&gt;="&amp;Settings!$B$8,Timesheet!$A$5:$A$3004,"&lt;="&amp;Settings!$B$9))</f>
        <v/>
      </c>
      <c r="G102" s="25" t="str">
        <f aca="false">IF($A102="","",SUMIFS(Timesheet!$G$5:$G$3004,Timesheet!$D$5:$D$3004,$A102,Timesheet!$A$5:$A$3004,"&gt;="&amp;Settings!$B$8,Timesheet!$A$5:$A$3004,"&lt;="&amp;Settings!$B$9))</f>
        <v/>
      </c>
      <c r="H102" s="25" t="str">
        <f aca="false">IF($A102="","",IF(D102="Monthly",MAX(0,Settings!$B$11-E102),0))</f>
        <v/>
      </c>
      <c r="I102" s="26" t="str">
        <f aca="false">IF($A102="","",N(INDEX(Workers!$L$5:$L$2004,MATCH($A102,Workers!$A$5:$A$2004,0))))</f>
        <v/>
      </c>
      <c r="J102" s="26" t="str">
        <f aca="false">IF($A102="","",N(INDEX(Workers!$M$5:$M$2004,MATCH($A102,Workers!$A$5:$A$2004,0))))</f>
        <v/>
      </c>
      <c r="K102" s="26" t="str">
        <f aca="false">IF($A102="","",IF(D102="Monthly",ROUND(MAX(0,(I102+J102)-(I102+J102)/Settings!$B$10*H102),2),0))</f>
        <v/>
      </c>
      <c r="L102" s="26" t="str">
        <f aca="false">IF($A102="","",IF(D102="Hourly",ROUND(F102*N(INDEX(Workers!$N$5:$N$2004,MATCH($A102,Workers!$A$5:$A$2004,0))),2),0))</f>
        <v/>
      </c>
      <c r="M102" s="26" t="str">
        <f aca="false">IF($A102="","",ROUND(G102*IF(D102="Hourly",N(INDEX(Workers!$N$5:$N$2004,MATCH($A102,Workers!$A$5:$A$2004,0))),I102/Settings!$B$10/Settings!$B$12)*Settings!$B$13,2))</f>
        <v/>
      </c>
      <c r="N102" s="26" t="str">
        <f aca="false">IF($A102="","",K102+L102+M102)</f>
        <v/>
      </c>
      <c r="O102" s="26" t="str">
        <f aca="false">IF($A102="","",SUMIFS(Deductions!$D$5:$D$2000,Deductions!$B$5:$B$2000,$A102,Deductions!$C$5:$C$2000,"Advance",Deductions!$E$5:$E$2000,"&gt;="&amp;Settings!$B$8,Deductions!$E$5:$E$2000,"&lt;="&amp;Settings!$B$9))</f>
        <v/>
      </c>
      <c r="P102" s="26" t="str">
        <f aca="false">IF($A102="","",SUMIFS(Deductions!$D$5:$D$2000,Deductions!$B$5:$B$2000,$A102,Deductions!$E$5:$E$2000,"&gt;="&amp;Settings!$B$8,Deductions!$E$5:$E$2000,"&lt;="&amp;Settings!$B$9)-O102)</f>
        <v/>
      </c>
      <c r="Q102" s="26" t="str">
        <f aca="false">IF($A102="","",O102+P102)</f>
        <v/>
      </c>
      <c r="R102" s="23" t="str">
        <f aca="false">IF($A102="","",N102-Q102)</f>
        <v/>
      </c>
      <c r="S102" s="24" t="str">
        <f aca="false">IF($A102="","",INDEX(Workers!$O$5:$O$2004,MATCH($A102,Workers!$A$5:$A$2004,0))&amp;"")</f>
        <v/>
      </c>
      <c r="T102" s="24" t="str">
        <f aca="false">IF($A102="","",INDEX(Workers!$P$5:$P$2004,MATCH($A102,Workers!$A$5:$A$2004,0))&amp;"")</f>
        <v/>
      </c>
      <c r="U102" s="24" t="str">
        <f aca="false">IF($A102="","",INDEX(Workers!$H$5:$H$2004,MATCH($A102,Workers!$A$5:$A$2004,0))&amp;"")</f>
        <v/>
      </c>
    </row>
    <row r="103" customFormat="false" ht="15" hidden="false" customHeight="false" outlineLevel="0" collapsed="false">
      <c r="A103" s="24" t="str">
        <f aca="false">IFERROR(INDEX(Workers!$A$5:$A$2004,MATCH(ROW()-4,Workers!$U$5:$U$2004,0)),"")</f>
        <v/>
      </c>
      <c r="B103" s="24" t="str">
        <f aca="false">IF($A103="","",INDEX(Workers!$B$5:$B$2004,MATCH($A103,Workers!$A$5:$A$2004,0)))</f>
        <v/>
      </c>
      <c r="C103" s="24" t="str">
        <f aca="false">IF($A103="","",INDEX(Workers!$E$5:$E$2004,MATCH($A103,Workers!$A$5:$A$2004,0)))</f>
        <v/>
      </c>
      <c r="D103" s="24" t="str">
        <f aca="false">IF($A103="","",INDEX(Workers!$K$5:$K$2004,MATCH($A103,Workers!$A$5:$A$2004,0)))</f>
        <v/>
      </c>
      <c r="E103" s="25" t="str">
        <f aca="false">IF($A103="","",SUMIFS(Timesheet!$E$5:$E$3004,Timesheet!$D$5:$D$3004,$A103,Timesheet!$A$5:$A$3004,"&gt;="&amp;Settings!$B$8,Timesheet!$A$5:$A$3004,"&lt;="&amp;Settings!$B$9))</f>
        <v/>
      </c>
      <c r="F103" s="25" t="str">
        <f aca="false">IF($A103="","",SUMIFS(Timesheet!$F$5:$F$3004,Timesheet!$D$5:$D$3004,$A103,Timesheet!$A$5:$A$3004,"&gt;="&amp;Settings!$B$8,Timesheet!$A$5:$A$3004,"&lt;="&amp;Settings!$B$9))</f>
        <v/>
      </c>
      <c r="G103" s="25" t="str">
        <f aca="false">IF($A103="","",SUMIFS(Timesheet!$G$5:$G$3004,Timesheet!$D$5:$D$3004,$A103,Timesheet!$A$5:$A$3004,"&gt;="&amp;Settings!$B$8,Timesheet!$A$5:$A$3004,"&lt;="&amp;Settings!$B$9))</f>
        <v/>
      </c>
      <c r="H103" s="25" t="str">
        <f aca="false">IF($A103="","",IF(D103="Monthly",MAX(0,Settings!$B$11-E103),0))</f>
        <v/>
      </c>
      <c r="I103" s="26" t="str">
        <f aca="false">IF($A103="","",N(INDEX(Workers!$L$5:$L$2004,MATCH($A103,Workers!$A$5:$A$2004,0))))</f>
        <v/>
      </c>
      <c r="J103" s="26" t="str">
        <f aca="false">IF($A103="","",N(INDEX(Workers!$M$5:$M$2004,MATCH($A103,Workers!$A$5:$A$2004,0))))</f>
        <v/>
      </c>
      <c r="K103" s="26" t="str">
        <f aca="false">IF($A103="","",IF(D103="Monthly",ROUND(MAX(0,(I103+J103)-(I103+J103)/Settings!$B$10*H103),2),0))</f>
        <v/>
      </c>
      <c r="L103" s="26" t="str">
        <f aca="false">IF($A103="","",IF(D103="Hourly",ROUND(F103*N(INDEX(Workers!$N$5:$N$2004,MATCH($A103,Workers!$A$5:$A$2004,0))),2),0))</f>
        <v/>
      </c>
      <c r="M103" s="26" t="str">
        <f aca="false">IF($A103="","",ROUND(G103*IF(D103="Hourly",N(INDEX(Workers!$N$5:$N$2004,MATCH($A103,Workers!$A$5:$A$2004,0))),I103/Settings!$B$10/Settings!$B$12)*Settings!$B$13,2))</f>
        <v/>
      </c>
      <c r="N103" s="26" t="str">
        <f aca="false">IF($A103="","",K103+L103+M103)</f>
        <v/>
      </c>
      <c r="O103" s="26" t="str">
        <f aca="false">IF($A103="","",SUMIFS(Deductions!$D$5:$D$2000,Deductions!$B$5:$B$2000,$A103,Deductions!$C$5:$C$2000,"Advance",Deductions!$E$5:$E$2000,"&gt;="&amp;Settings!$B$8,Deductions!$E$5:$E$2000,"&lt;="&amp;Settings!$B$9))</f>
        <v/>
      </c>
      <c r="P103" s="26" t="str">
        <f aca="false">IF($A103="","",SUMIFS(Deductions!$D$5:$D$2000,Deductions!$B$5:$B$2000,$A103,Deductions!$E$5:$E$2000,"&gt;="&amp;Settings!$B$8,Deductions!$E$5:$E$2000,"&lt;="&amp;Settings!$B$9)-O103)</f>
        <v/>
      </c>
      <c r="Q103" s="26" t="str">
        <f aca="false">IF($A103="","",O103+P103)</f>
        <v/>
      </c>
      <c r="R103" s="23" t="str">
        <f aca="false">IF($A103="","",N103-Q103)</f>
        <v/>
      </c>
      <c r="S103" s="24" t="str">
        <f aca="false">IF($A103="","",INDEX(Workers!$O$5:$O$2004,MATCH($A103,Workers!$A$5:$A$2004,0))&amp;"")</f>
        <v/>
      </c>
      <c r="T103" s="24" t="str">
        <f aca="false">IF($A103="","",INDEX(Workers!$P$5:$P$2004,MATCH($A103,Workers!$A$5:$A$2004,0))&amp;"")</f>
        <v/>
      </c>
      <c r="U103" s="24" t="str">
        <f aca="false">IF($A103="","",INDEX(Workers!$H$5:$H$2004,MATCH($A103,Workers!$A$5:$A$2004,0))&amp;"")</f>
        <v/>
      </c>
    </row>
    <row r="104" customFormat="false" ht="15" hidden="false" customHeight="false" outlineLevel="0" collapsed="false">
      <c r="A104" s="24" t="str">
        <f aca="false">IFERROR(INDEX(Workers!$A$5:$A$2004,MATCH(ROW()-4,Workers!$U$5:$U$2004,0)),"")</f>
        <v/>
      </c>
      <c r="B104" s="24" t="str">
        <f aca="false">IF($A104="","",INDEX(Workers!$B$5:$B$2004,MATCH($A104,Workers!$A$5:$A$2004,0)))</f>
        <v/>
      </c>
      <c r="C104" s="24" t="str">
        <f aca="false">IF($A104="","",INDEX(Workers!$E$5:$E$2004,MATCH($A104,Workers!$A$5:$A$2004,0)))</f>
        <v/>
      </c>
      <c r="D104" s="24" t="str">
        <f aca="false">IF($A104="","",INDEX(Workers!$K$5:$K$2004,MATCH($A104,Workers!$A$5:$A$2004,0)))</f>
        <v/>
      </c>
      <c r="E104" s="25" t="str">
        <f aca="false">IF($A104="","",SUMIFS(Timesheet!$E$5:$E$3004,Timesheet!$D$5:$D$3004,$A104,Timesheet!$A$5:$A$3004,"&gt;="&amp;Settings!$B$8,Timesheet!$A$5:$A$3004,"&lt;="&amp;Settings!$B$9))</f>
        <v/>
      </c>
      <c r="F104" s="25" t="str">
        <f aca="false">IF($A104="","",SUMIFS(Timesheet!$F$5:$F$3004,Timesheet!$D$5:$D$3004,$A104,Timesheet!$A$5:$A$3004,"&gt;="&amp;Settings!$B$8,Timesheet!$A$5:$A$3004,"&lt;="&amp;Settings!$B$9))</f>
        <v/>
      </c>
      <c r="G104" s="25" t="str">
        <f aca="false">IF($A104="","",SUMIFS(Timesheet!$G$5:$G$3004,Timesheet!$D$5:$D$3004,$A104,Timesheet!$A$5:$A$3004,"&gt;="&amp;Settings!$B$8,Timesheet!$A$5:$A$3004,"&lt;="&amp;Settings!$B$9))</f>
        <v/>
      </c>
      <c r="H104" s="25" t="str">
        <f aca="false">IF($A104="","",IF(D104="Monthly",MAX(0,Settings!$B$11-E104),0))</f>
        <v/>
      </c>
      <c r="I104" s="26" t="str">
        <f aca="false">IF($A104="","",N(INDEX(Workers!$L$5:$L$2004,MATCH($A104,Workers!$A$5:$A$2004,0))))</f>
        <v/>
      </c>
      <c r="J104" s="26" t="str">
        <f aca="false">IF($A104="","",N(INDEX(Workers!$M$5:$M$2004,MATCH($A104,Workers!$A$5:$A$2004,0))))</f>
        <v/>
      </c>
      <c r="K104" s="26" t="str">
        <f aca="false">IF($A104="","",IF(D104="Monthly",ROUND(MAX(0,(I104+J104)-(I104+J104)/Settings!$B$10*H104),2),0))</f>
        <v/>
      </c>
      <c r="L104" s="26" t="str">
        <f aca="false">IF($A104="","",IF(D104="Hourly",ROUND(F104*N(INDEX(Workers!$N$5:$N$2004,MATCH($A104,Workers!$A$5:$A$2004,0))),2),0))</f>
        <v/>
      </c>
      <c r="M104" s="26" t="str">
        <f aca="false">IF($A104="","",ROUND(G104*IF(D104="Hourly",N(INDEX(Workers!$N$5:$N$2004,MATCH($A104,Workers!$A$5:$A$2004,0))),I104/Settings!$B$10/Settings!$B$12)*Settings!$B$13,2))</f>
        <v/>
      </c>
      <c r="N104" s="26" t="str">
        <f aca="false">IF($A104="","",K104+L104+M104)</f>
        <v/>
      </c>
      <c r="O104" s="26" t="str">
        <f aca="false">IF($A104="","",SUMIFS(Deductions!$D$5:$D$2000,Deductions!$B$5:$B$2000,$A104,Deductions!$C$5:$C$2000,"Advance",Deductions!$E$5:$E$2000,"&gt;="&amp;Settings!$B$8,Deductions!$E$5:$E$2000,"&lt;="&amp;Settings!$B$9))</f>
        <v/>
      </c>
      <c r="P104" s="26" t="str">
        <f aca="false">IF($A104="","",SUMIFS(Deductions!$D$5:$D$2000,Deductions!$B$5:$B$2000,$A104,Deductions!$E$5:$E$2000,"&gt;="&amp;Settings!$B$8,Deductions!$E$5:$E$2000,"&lt;="&amp;Settings!$B$9)-O104)</f>
        <v/>
      </c>
      <c r="Q104" s="26" t="str">
        <f aca="false">IF($A104="","",O104+P104)</f>
        <v/>
      </c>
      <c r="R104" s="23" t="str">
        <f aca="false">IF($A104="","",N104-Q104)</f>
        <v/>
      </c>
      <c r="S104" s="24" t="str">
        <f aca="false">IF($A104="","",INDEX(Workers!$O$5:$O$2004,MATCH($A104,Workers!$A$5:$A$2004,0))&amp;"")</f>
        <v/>
      </c>
      <c r="T104" s="24" t="str">
        <f aca="false">IF($A104="","",INDEX(Workers!$P$5:$P$2004,MATCH($A104,Workers!$A$5:$A$2004,0))&amp;"")</f>
        <v/>
      </c>
      <c r="U104" s="24" t="str">
        <f aca="false">IF($A104="","",INDEX(Workers!$H$5:$H$2004,MATCH($A104,Workers!$A$5:$A$2004,0))&amp;"")</f>
        <v/>
      </c>
    </row>
    <row r="105" customFormat="false" ht="15" hidden="false" customHeight="false" outlineLevel="0" collapsed="false">
      <c r="A105" s="24" t="str">
        <f aca="false">IFERROR(INDEX(Workers!$A$5:$A$2004,MATCH(ROW()-4,Workers!$U$5:$U$2004,0)),"")</f>
        <v/>
      </c>
      <c r="B105" s="24" t="str">
        <f aca="false">IF($A105="","",INDEX(Workers!$B$5:$B$2004,MATCH($A105,Workers!$A$5:$A$2004,0)))</f>
        <v/>
      </c>
      <c r="C105" s="24" t="str">
        <f aca="false">IF($A105="","",INDEX(Workers!$E$5:$E$2004,MATCH($A105,Workers!$A$5:$A$2004,0)))</f>
        <v/>
      </c>
      <c r="D105" s="24" t="str">
        <f aca="false">IF($A105="","",INDEX(Workers!$K$5:$K$2004,MATCH($A105,Workers!$A$5:$A$2004,0)))</f>
        <v/>
      </c>
      <c r="E105" s="25" t="str">
        <f aca="false">IF($A105="","",SUMIFS(Timesheet!$E$5:$E$3004,Timesheet!$D$5:$D$3004,$A105,Timesheet!$A$5:$A$3004,"&gt;="&amp;Settings!$B$8,Timesheet!$A$5:$A$3004,"&lt;="&amp;Settings!$B$9))</f>
        <v/>
      </c>
      <c r="F105" s="25" t="str">
        <f aca="false">IF($A105="","",SUMIFS(Timesheet!$F$5:$F$3004,Timesheet!$D$5:$D$3004,$A105,Timesheet!$A$5:$A$3004,"&gt;="&amp;Settings!$B$8,Timesheet!$A$5:$A$3004,"&lt;="&amp;Settings!$B$9))</f>
        <v/>
      </c>
      <c r="G105" s="25" t="str">
        <f aca="false">IF($A105="","",SUMIFS(Timesheet!$G$5:$G$3004,Timesheet!$D$5:$D$3004,$A105,Timesheet!$A$5:$A$3004,"&gt;="&amp;Settings!$B$8,Timesheet!$A$5:$A$3004,"&lt;="&amp;Settings!$B$9))</f>
        <v/>
      </c>
      <c r="H105" s="25" t="str">
        <f aca="false">IF($A105="","",IF(D105="Monthly",MAX(0,Settings!$B$11-E105),0))</f>
        <v/>
      </c>
      <c r="I105" s="26" t="str">
        <f aca="false">IF($A105="","",N(INDEX(Workers!$L$5:$L$2004,MATCH($A105,Workers!$A$5:$A$2004,0))))</f>
        <v/>
      </c>
      <c r="J105" s="26" t="str">
        <f aca="false">IF($A105="","",N(INDEX(Workers!$M$5:$M$2004,MATCH($A105,Workers!$A$5:$A$2004,0))))</f>
        <v/>
      </c>
      <c r="K105" s="26" t="str">
        <f aca="false">IF($A105="","",IF(D105="Monthly",ROUND(MAX(0,(I105+J105)-(I105+J105)/Settings!$B$10*H105),2),0))</f>
        <v/>
      </c>
      <c r="L105" s="26" t="str">
        <f aca="false">IF($A105="","",IF(D105="Hourly",ROUND(F105*N(INDEX(Workers!$N$5:$N$2004,MATCH($A105,Workers!$A$5:$A$2004,0))),2),0))</f>
        <v/>
      </c>
      <c r="M105" s="26" t="str">
        <f aca="false">IF($A105="","",ROUND(G105*IF(D105="Hourly",N(INDEX(Workers!$N$5:$N$2004,MATCH($A105,Workers!$A$5:$A$2004,0))),I105/Settings!$B$10/Settings!$B$12)*Settings!$B$13,2))</f>
        <v/>
      </c>
      <c r="N105" s="26" t="str">
        <f aca="false">IF($A105="","",K105+L105+M105)</f>
        <v/>
      </c>
      <c r="O105" s="26" t="str">
        <f aca="false">IF($A105="","",SUMIFS(Deductions!$D$5:$D$2000,Deductions!$B$5:$B$2000,$A105,Deductions!$C$5:$C$2000,"Advance",Deductions!$E$5:$E$2000,"&gt;="&amp;Settings!$B$8,Deductions!$E$5:$E$2000,"&lt;="&amp;Settings!$B$9))</f>
        <v/>
      </c>
      <c r="P105" s="26" t="str">
        <f aca="false">IF($A105="","",SUMIFS(Deductions!$D$5:$D$2000,Deductions!$B$5:$B$2000,$A105,Deductions!$E$5:$E$2000,"&gt;="&amp;Settings!$B$8,Deductions!$E$5:$E$2000,"&lt;="&amp;Settings!$B$9)-O105)</f>
        <v/>
      </c>
      <c r="Q105" s="26" t="str">
        <f aca="false">IF($A105="","",O105+P105)</f>
        <v/>
      </c>
      <c r="R105" s="23" t="str">
        <f aca="false">IF($A105="","",N105-Q105)</f>
        <v/>
      </c>
      <c r="S105" s="24" t="str">
        <f aca="false">IF($A105="","",INDEX(Workers!$O$5:$O$2004,MATCH($A105,Workers!$A$5:$A$2004,0))&amp;"")</f>
        <v/>
      </c>
      <c r="T105" s="24" t="str">
        <f aca="false">IF($A105="","",INDEX(Workers!$P$5:$P$2004,MATCH($A105,Workers!$A$5:$A$2004,0))&amp;"")</f>
        <v/>
      </c>
      <c r="U105" s="24" t="str">
        <f aca="false">IF($A105="","",INDEX(Workers!$H$5:$H$2004,MATCH($A105,Workers!$A$5:$A$2004,0))&amp;"")</f>
        <v/>
      </c>
    </row>
    <row r="106" customFormat="false" ht="15" hidden="false" customHeight="false" outlineLevel="0" collapsed="false">
      <c r="A106" s="24" t="str">
        <f aca="false">IFERROR(INDEX(Workers!$A$5:$A$2004,MATCH(ROW()-4,Workers!$U$5:$U$2004,0)),"")</f>
        <v/>
      </c>
      <c r="B106" s="24" t="str">
        <f aca="false">IF($A106="","",INDEX(Workers!$B$5:$B$2004,MATCH($A106,Workers!$A$5:$A$2004,0)))</f>
        <v/>
      </c>
      <c r="C106" s="24" t="str">
        <f aca="false">IF($A106="","",INDEX(Workers!$E$5:$E$2004,MATCH($A106,Workers!$A$5:$A$2004,0)))</f>
        <v/>
      </c>
      <c r="D106" s="24" t="str">
        <f aca="false">IF($A106="","",INDEX(Workers!$K$5:$K$2004,MATCH($A106,Workers!$A$5:$A$2004,0)))</f>
        <v/>
      </c>
      <c r="E106" s="25" t="str">
        <f aca="false">IF($A106="","",SUMIFS(Timesheet!$E$5:$E$3004,Timesheet!$D$5:$D$3004,$A106,Timesheet!$A$5:$A$3004,"&gt;="&amp;Settings!$B$8,Timesheet!$A$5:$A$3004,"&lt;="&amp;Settings!$B$9))</f>
        <v/>
      </c>
      <c r="F106" s="25" t="str">
        <f aca="false">IF($A106="","",SUMIFS(Timesheet!$F$5:$F$3004,Timesheet!$D$5:$D$3004,$A106,Timesheet!$A$5:$A$3004,"&gt;="&amp;Settings!$B$8,Timesheet!$A$5:$A$3004,"&lt;="&amp;Settings!$B$9))</f>
        <v/>
      </c>
      <c r="G106" s="25" t="str">
        <f aca="false">IF($A106="","",SUMIFS(Timesheet!$G$5:$G$3004,Timesheet!$D$5:$D$3004,$A106,Timesheet!$A$5:$A$3004,"&gt;="&amp;Settings!$B$8,Timesheet!$A$5:$A$3004,"&lt;="&amp;Settings!$B$9))</f>
        <v/>
      </c>
      <c r="H106" s="25" t="str">
        <f aca="false">IF($A106="","",IF(D106="Monthly",MAX(0,Settings!$B$11-E106),0))</f>
        <v/>
      </c>
      <c r="I106" s="26" t="str">
        <f aca="false">IF($A106="","",N(INDEX(Workers!$L$5:$L$2004,MATCH($A106,Workers!$A$5:$A$2004,0))))</f>
        <v/>
      </c>
      <c r="J106" s="26" t="str">
        <f aca="false">IF($A106="","",N(INDEX(Workers!$M$5:$M$2004,MATCH($A106,Workers!$A$5:$A$2004,0))))</f>
        <v/>
      </c>
      <c r="K106" s="26" t="str">
        <f aca="false">IF($A106="","",IF(D106="Monthly",ROUND(MAX(0,(I106+J106)-(I106+J106)/Settings!$B$10*H106),2),0))</f>
        <v/>
      </c>
      <c r="L106" s="26" t="str">
        <f aca="false">IF($A106="","",IF(D106="Hourly",ROUND(F106*N(INDEX(Workers!$N$5:$N$2004,MATCH($A106,Workers!$A$5:$A$2004,0))),2),0))</f>
        <v/>
      </c>
      <c r="M106" s="26" t="str">
        <f aca="false">IF($A106="","",ROUND(G106*IF(D106="Hourly",N(INDEX(Workers!$N$5:$N$2004,MATCH($A106,Workers!$A$5:$A$2004,0))),I106/Settings!$B$10/Settings!$B$12)*Settings!$B$13,2))</f>
        <v/>
      </c>
      <c r="N106" s="26" t="str">
        <f aca="false">IF($A106="","",K106+L106+M106)</f>
        <v/>
      </c>
      <c r="O106" s="26" t="str">
        <f aca="false">IF($A106="","",SUMIFS(Deductions!$D$5:$D$2000,Deductions!$B$5:$B$2000,$A106,Deductions!$C$5:$C$2000,"Advance",Deductions!$E$5:$E$2000,"&gt;="&amp;Settings!$B$8,Deductions!$E$5:$E$2000,"&lt;="&amp;Settings!$B$9))</f>
        <v/>
      </c>
      <c r="P106" s="26" t="str">
        <f aca="false">IF($A106="","",SUMIFS(Deductions!$D$5:$D$2000,Deductions!$B$5:$B$2000,$A106,Deductions!$E$5:$E$2000,"&gt;="&amp;Settings!$B$8,Deductions!$E$5:$E$2000,"&lt;="&amp;Settings!$B$9)-O106)</f>
        <v/>
      </c>
      <c r="Q106" s="26" t="str">
        <f aca="false">IF($A106="","",O106+P106)</f>
        <v/>
      </c>
      <c r="R106" s="23" t="str">
        <f aca="false">IF($A106="","",N106-Q106)</f>
        <v/>
      </c>
      <c r="S106" s="24" t="str">
        <f aca="false">IF($A106="","",INDEX(Workers!$O$5:$O$2004,MATCH($A106,Workers!$A$5:$A$2004,0))&amp;"")</f>
        <v/>
      </c>
      <c r="T106" s="24" t="str">
        <f aca="false">IF($A106="","",INDEX(Workers!$P$5:$P$2004,MATCH($A106,Workers!$A$5:$A$2004,0))&amp;"")</f>
        <v/>
      </c>
      <c r="U106" s="24" t="str">
        <f aca="false">IF($A106="","",INDEX(Workers!$H$5:$H$2004,MATCH($A106,Workers!$A$5:$A$2004,0))&amp;"")</f>
        <v/>
      </c>
    </row>
    <row r="107" customFormat="false" ht="15" hidden="false" customHeight="false" outlineLevel="0" collapsed="false">
      <c r="A107" s="24" t="str">
        <f aca="false">IFERROR(INDEX(Workers!$A$5:$A$2004,MATCH(ROW()-4,Workers!$U$5:$U$2004,0)),"")</f>
        <v/>
      </c>
      <c r="B107" s="24" t="str">
        <f aca="false">IF($A107="","",INDEX(Workers!$B$5:$B$2004,MATCH($A107,Workers!$A$5:$A$2004,0)))</f>
        <v/>
      </c>
      <c r="C107" s="24" t="str">
        <f aca="false">IF($A107="","",INDEX(Workers!$E$5:$E$2004,MATCH($A107,Workers!$A$5:$A$2004,0)))</f>
        <v/>
      </c>
      <c r="D107" s="24" t="str">
        <f aca="false">IF($A107="","",INDEX(Workers!$K$5:$K$2004,MATCH($A107,Workers!$A$5:$A$2004,0)))</f>
        <v/>
      </c>
      <c r="E107" s="25" t="str">
        <f aca="false">IF($A107="","",SUMIFS(Timesheet!$E$5:$E$3004,Timesheet!$D$5:$D$3004,$A107,Timesheet!$A$5:$A$3004,"&gt;="&amp;Settings!$B$8,Timesheet!$A$5:$A$3004,"&lt;="&amp;Settings!$B$9))</f>
        <v/>
      </c>
      <c r="F107" s="25" t="str">
        <f aca="false">IF($A107="","",SUMIFS(Timesheet!$F$5:$F$3004,Timesheet!$D$5:$D$3004,$A107,Timesheet!$A$5:$A$3004,"&gt;="&amp;Settings!$B$8,Timesheet!$A$5:$A$3004,"&lt;="&amp;Settings!$B$9))</f>
        <v/>
      </c>
      <c r="G107" s="25" t="str">
        <f aca="false">IF($A107="","",SUMIFS(Timesheet!$G$5:$G$3004,Timesheet!$D$5:$D$3004,$A107,Timesheet!$A$5:$A$3004,"&gt;="&amp;Settings!$B$8,Timesheet!$A$5:$A$3004,"&lt;="&amp;Settings!$B$9))</f>
        <v/>
      </c>
      <c r="H107" s="25" t="str">
        <f aca="false">IF($A107="","",IF(D107="Monthly",MAX(0,Settings!$B$11-E107),0))</f>
        <v/>
      </c>
      <c r="I107" s="26" t="str">
        <f aca="false">IF($A107="","",N(INDEX(Workers!$L$5:$L$2004,MATCH($A107,Workers!$A$5:$A$2004,0))))</f>
        <v/>
      </c>
      <c r="J107" s="26" t="str">
        <f aca="false">IF($A107="","",N(INDEX(Workers!$M$5:$M$2004,MATCH($A107,Workers!$A$5:$A$2004,0))))</f>
        <v/>
      </c>
      <c r="K107" s="26" t="str">
        <f aca="false">IF($A107="","",IF(D107="Monthly",ROUND(MAX(0,(I107+J107)-(I107+J107)/Settings!$B$10*H107),2),0))</f>
        <v/>
      </c>
      <c r="L107" s="26" t="str">
        <f aca="false">IF($A107="","",IF(D107="Hourly",ROUND(F107*N(INDEX(Workers!$N$5:$N$2004,MATCH($A107,Workers!$A$5:$A$2004,0))),2),0))</f>
        <v/>
      </c>
      <c r="M107" s="26" t="str">
        <f aca="false">IF($A107="","",ROUND(G107*IF(D107="Hourly",N(INDEX(Workers!$N$5:$N$2004,MATCH($A107,Workers!$A$5:$A$2004,0))),I107/Settings!$B$10/Settings!$B$12)*Settings!$B$13,2))</f>
        <v/>
      </c>
      <c r="N107" s="26" t="str">
        <f aca="false">IF($A107="","",K107+L107+M107)</f>
        <v/>
      </c>
      <c r="O107" s="26" t="str">
        <f aca="false">IF($A107="","",SUMIFS(Deductions!$D$5:$D$2000,Deductions!$B$5:$B$2000,$A107,Deductions!$C$5:$C$2000,"Advance",Deductions!$E$5:$E$2000,"&gt;="&amp;Settings!$B$8,Deductions!$E$5:$E$2000,"&lt;="&amp;Settings!$B$9))</f>
        <v/>
      </c>
      <c r="P107" s="26" t="str">
        <f aca="false">IF($A107="","",SUMIFS(Deductions!$D$5:$D$2000,Deductions!$B$5:$B$2000,$A107,Deductions!$E$5:$E$2000,"&gt;="&amp;Settings!$B$8,Deductions!$E$5:$E$2000,"&lt;="&amp;Settings!$B$9)-O107)</f>
        <v/>
      </c>
      <c r="Q107" s="26" t="str">
        <f aca="false">IF($A107="","",O107+P107)</f>
        <v/>
      </c>
      <c r="R107" s="23" t="str">
        <f aca="false">IF($A107="","",N107-Q107)</f>
        <v/>
      </c>
      <c r="S107" s="24" t="str">
        <f aca="false">IF($A107="","",INDEX(Workers!$O$5:$O$2004,MATCH($A107,Workers!$A$5:$A$2004,0))&amp;"")</f>
        <v/>
      </c>
      <c r="T107" s="24" t="str">
        <f aca="false">IF($A107="","",INDEX(Workers!$P$5:$P$2004,MATCH($A107,Workers!$A$5:$A$2004,0))&amp;"")</f>
        <v/>
      </c>
      <c r="U107" s="24" t="str">
        <f aca="false">IF($A107="","",INDEX(Workers!$H$5:$H$2004,MATCH($A107,Workers!$A$5:$A$2004,0))&amp;"")</f>
        <v/>
      </c>
    </row>
    <row r="108" customFormat="false" ht="15" hidden="false" customHeight="false" outlineLevel="0" collapsed="false">
      <c r="A108" s="24" t="str">
        <f aca="false">IFERROR(INDEX(Workers!$A$5:$A$2004,MATCH(ROW()-4,Workers!$U$5:$U$2004,0)),"")</f>
        <v/>
      </c>
      <c r="B108" s="24" t="str">
        <f aca="false">IF($A108="","",INDEX(Workers!$B$5:$B$2004,MATCH($A108,Workers!$A$5:$A$2004,0)))</f>
        <v/>
      </c>
      <c r="C108" s="24" t="str">
        <f aca="false">IF($A108="","",INDEX(Workers!$E$5:$E$2004,MATCH($A108,Workers!$A$5:$A$2004,0)))</f>
        <v/>
      </c>
      <c r="D108" s="24" t="str">
        <f aca="false">IF($A108="","",INDEX(Workers!$K$5:$K$2004,MATCH($A108,Workers!$A$5:$A$2004,0)))</f>
        <v/>
      </c>
      <c r="E108" s="25" t="str">
        <f aca="false">IF($A108="","",SUMIFS(Timesheet!$E$5:$E$3004,Timesheet!$D$5:$D$3004,$A108,Timesheet!$A$5:$A$3004,"&gt;="&amp;Settings!$B$8,Timesheet!$A$5:$A$3004,"&lt;="&amp;Settings!$B$9))</f>
        <v/>
      </c>
      <c r="F108" s="25" t="str">
        <f aca="false">IF($A108="","",SUMIFS(Timesheet!$F$5:$F$3004,Timesheet!$D$5:$D$3004,$A108,Timesheet!$A$5:$A$3004,"&gt;="&amp;Settings!$B$8,Timesheet!$A$5:$A$3004,"&lt;="&amp;Settings!$B$9))</f>
        <v/>
      </c>
      <c r="G108" s="25" t="str">
        <f aca="false">IF($A108="","",SUMIFS(Timesheet!$G$5:$G$3004,Timesheet!$D$5:$D$3004,$A108,Timesheet!$A$5:$A$3004,"&gt;="&amp;Settings!$B$8,Timesheet!$A$5:$A$3004,"&lt;="&amp;Settings!$B$9))</f>
        <v/>
      </c>
      <c r="H108" s="25" t="str">
        <f aca="false">IF($A108="","",IF(D108="Monthly",MAX(0,Settings!$B$11-E108),0))</f>
        <v/>
      </c>
      <c r="I108" s="26" t="str">
        <f aca="false">IF($A108="","",N(INDEX(Workers!$L$5:$L$2004,MATCH($A108,Workers!$A$5:$A$2004,0))))</f>
        <v/>
      </c>
      <c r="J108" s="26" t="str">
        <f aca="false">IF($A108="","",N(INDEX(Workers!$M$5:$M$2004,MATCH($A108,Workers!$A$5:$A$2004,0))))</f>
        <v/>
      </c>
      <c r="K108" s="26" t="str">
        <f aca="false">IF($A108="","",IF(D108="Monthly",ROUND(MAX(0,(I108+J108)-(I108+J108)/Settings!$B$10*H108),2),0))</f>
        <v/>
      </c>
      <c r="L108" s="26" t="str">
        <f aca="false">IF($A108="","",IF(D108="Hourly",ROUND(F108*N(INDEX(Workers!$N$5:$N$2004,MATCH($A108,Workers!$A$5:$A$2004,0))),2),0))</f>
        <v/>
      </c>
      <c r="M108" s="26" t="str">
        <f aca="false">IF($A108="","",ROUND(G108*IF(D108="Hourly",N(INDEX(Workers!$N$5:$N$2004,MATCH($A108,Workers!$A$5:$A$2004,0))),I108/Settings!$B$10/Settings!$B$12)*Settings!$B$13,2))</f>
        <v/>
      </c>
      <c r="N108" s="26" t="str">
        <f aca="false">IF($A108="","",K108+L108+M108)</f>
        <v/>
      </c>
      <c r="O108" s="26" t="str">
        <f aca="false">IF($A108="","",SUMIFS(Deductions!$D$5:$D$2000,Deductions!$B$5:$B$2000,$A108,Deductions!$C$5:$C$2000,"Advance",Deductions!$E$5:$E$2000,"&gt;="&amp;Settings!$B$8,Deductions!$E$5:$E$2000,"&lt;="&amp;Settings!$B$9))</f>
        <v/>
      </c>
      <c r="P108" s="26" t="str">
        <f aca="false">IF($A108="","",SUMIFS(Deductions!$D$5:$D$2000,Deductions!$B$5:$B$2000,$A108,Deductions!$E$5:$E$2000,"&gt;="&amp;Settings!$B$8,Deductions!$E$5:$E$2000,"&lt;="&amp;Settings!$B$9)-O108)</f>
        <v/>
      </c>
      <c r="Q108" s="26" t="str">
        <f aca="false">IF($A108="","",O108+P108)</f>
        <v/>
      </c>
      <c r="R108" s="23" t="str">
        <f aca="false">IF($A108="","",N108-Q108)</f>
        <v/>
      </c>
      <c r="S108" s="24" t="str">
        <f aca="false">IF($A108="","",INDEX(Workers!$O$5:$O$2004,MATCH($A108,Workers!$A$5:$A$2004,0))&amp;"")</f>
        <v/>
      </c>
      <c r="T108" s="24" t="str">
        <f aca="false">IF($A108="","",INDEX(Workers!$P$5:$P$2004,MATCH($A108,Workers!$A$5:$A$2004,0))&amp;"")</f>
        <v/>
      </c>
      <c r="U108" s="24" t="str">
        <f aca="false">IF($A108="","",INDEX(Workers!$H$5:$H$2004,MATCH($A108,Workers!$A$5:$A$2004,0))&amp;"")</f>
        <v/>
      </c>
    </row>
    <row r="109" customFormat="false" ht="15" hidden="false" customHeight="false" outlineLevel="0" collapsed="false">
      <c r="A109" s="24" t="str">
        <f aca="false">IFERROR(INDEX(Workers!$A$5:$A$2004,MATCH(ROW()-4,Workers!$U$5:$U$2004,0)),"")</f>
        <v/>
      </c>
      <c r="B109" s="24" t="str">
        <f aca="false">IF($A109="","",INDEX(Workers!$B$5:$B$2004,MATCH($A109,Workers!$A$5:$A$2004,0)))</f>
        <v/>
      </c>
      <c r="C109" s="24" t="str">
        <f aca="false">IF($A109="","",INDEX(Workers!$E$5:$E$2004,MATCH($A109,Workers!$A$5:$A$2004,0)))</f>
        <v/>
      </c>
      <c r="D109" s="24" t="str">
        <f aca="false">IF($A109="","",INDEX(Workers!$K$5:$K$2004,MATCH($A109,Workers!$A$5:$A$2004,0)))</f>
        <v/>
      </c>
      <c r="E109" s="25" t="str">
        <f aca="false">IF($A109="","",SUMIFS(Timesheet!$E$5:$E$3004,Timesheet!$D$5:$D$3004,$A109,Timesheet!$A$5:$A$3004,"&gt;="&amp;Settings!$B$8,Timesheet!$A$5:$A$3004,"&lt;="&amp;Settings!$B$9))</f>
        <v/>
      </c>
      <c r="F109" s="25" t="str">
        <f aca="false">IF($A109="","",SUMIFS(Timesheet!$F$5:$F$3004,Timesheet!$D$5:$D$3004,$A109,Timesheet!$A$5:$A$3004,"&gt;="&amp;Settings!$B$8,Timesheet!$A$5:$A$3004,"&lt;="&amp;Settings!$B$9))</f>
        <v/>
      </c>
      <c r="G109" s="25" t="str">
        <f aca="false">IF($A109="","",SUMIFS(Timesheet!$G$5:$G$3004,Timesheet!$D$5:$D$3004,$A109,Timesheet!$A$5:$A$3004,"&gt;="&amp;Settings!$B$8,Timesheet!$A$5:$A$3004,"&lt;="&amp;Settings!$B$9))</f>
        <v/>
      </c>
      <c r="H109" s="25" t="str">
        <f aca="false">IF($A109="","",IF(D109="Monthly",MAX(0,Settings!$B$11-E109),0))</f>
        <v/>
      </c>
      <c r="I109" s="26" t="str">
        <f aca="false">IF($A109="","",N(INDEX(Workers!$L$5:$L$2004,MATCH($A109,Workers!$A$5:$A$2004,0))))</f>
        <v/>
      </c>
      <c r="J109" s="26" t="str">
        <f aca="false">IF($A109="","",N(INDEX(Workers!$M$5:$M$2004,MATCH($A109,Workers!$A$5:$A$2004,0))))</f>
        <v/>
      </c>
      <c r="K109" s="26" t="str">
        <f aca="false">IF($A109="","",IF(D109="Monthly",ROUND(MAX(0,(I109+J109)-(I109+J109)/Settings!$B$10*H109),2),0))</f>
        <v/>
      </c>
      <c r="L109" s="26" t="str">
        <f aca="false">IF($A109="","",IF(D109="Hourly",ROUND(F109*N(INDEX(Workers!$N$5:$N$2004,MATCH($A109,Workers!$A$5:$A$2004,0))),2),0))</f>
        <v/>
      </c>
      <c r="M109" s="26" t="str">
        <f aca="false">IF($A109="","",ROUND(G109*IF(D109="Hourly",N(INDEX(Workers!$N$5:$N$2004,MATCH($A109,Workers!$A$5:$A$2004,0))),I109/Settings!$B$10/Settings!$B$12)*Settings!$B$13,2))</f>
        <v/>
      </c>
      <c r="N109" s="26" t="str">
        <f aca="false">IF($A109="","",K109+L109+M109)</f>
        <v/>
      </c>
      <c r="O109" s="26" t="str">
        <f aca="false">IF($A109="","",SUMIFS(Deductions!$D$5:$D$2000,Deductions!$B$5:$B$2000,$A109,Deductions!$C$5:$C$2000,"Advance",Deductions!$E$5:$E$2000,"&gt;="&amp;Settings!$B$8,Deductions!$E$5:$E$2000,"&lt;="&amp;Settings!$B$9))</f>
        <v/>
      </c>
      <c r="P109" s="26" t="str">
        <f aca="false">IF($A109="","",SUMIFS(Deductions!$D$5:$D$2000,Deductions!$B$5:$B$2000,$A109,Deductions!$E$5:$E$2000,"&gt;="&amp;Settings!$B$8,Deductions!$E$5:$E$2000,"&lt;="&amp;Settings!$B$9)-O109)</f>
        <v/>
      </c>
      <c r="Q109" s="26" t="str">
        <f aca="false">IF($A109="","",O109+P109)</f>
        <v/>
      </c>
      <c r="R109" s="23" t="str">
        <f aca="false">IF($A109="","",N109-Q109)</f>
        <v/>
      </c>
      <c r="S109" s="24" t="str">
        <f aca="false">IF($A109="","",INDEX(Workers!$O$5:$O$2004,MATCH($A109,Workers!$A$5:$A$2004,0))&amp;"")</f>
        <v/>
      </c>
      <c r="T109" s="24" t="str">
        <f aca="false">IF($A109="","",INDEX(Workers!$P$5:$P$2004,MATCH($A109,Workers!$A$5:$A$2004,0))&amp;"")</f>
        <v/>
      </c>
      <c r="U109" s="24" t="str">
        <f aca="false">IF($A109="","",INDEX(Workers!$H$5:$H$2004,MATCH($A109,Workers!$A$5:$A$2004,0))&amp;"")</f>
        <v/>
      </c>
    </row>
    <row r="110" customFormat="false" ht="15" hidden="false" customHeight="false" outlineLevel="0" collapsed="false">
      <c r="A110" s="24" t="str">
        <f aca="false">IFERROR(INDEX(Workers!$A$5:$A$2004,MATCH(ROW()-4,Workers!$U$5:$U$2004,0)),"")</f>
        <v/>
      </c>
      <c r="B110" s="24" t="str">
        <f aca="false">IF($A110="","",INDEX(Workers!$B$5:$B$2004,MATCH($A110,Workers!$A$5:$A$2004,0)))</f>
        <v/>
      </c>
      <c r="C110" s="24" t="str">
        <f aca="false">IF($A110="","",INDEX(Workers!$E$5:$E$2004,MATCH($A110,Workers!$A$5:$A$2004,0)))</f>
        <v/>
      </c>
      <c r="D110" s="24" t="str">
        <f aca="false">IF($A110="","",INDEX(Workers!$K$5:$K$2004,MATCH($A110,Workers!$A$5:$A$2004,0)))</f>
        <v/>
      </c>
      <c r="E110" s="25" t="str">
        <f aca="false">IF($A110="","",SUMIFS(Timesheet!$E$5:$E$3004,Timesheet!$D$5:$D$3004,$A110,Timesheet!$A$5:$A$3004,"&gt;="&amp;Settings!$B$8,Timesheet!$A$5:$A$3004,"&lt;="&amp;Settings!$B$9))</f>
        <v/>
      </c>
      <c r="F110" s="25" t="str">
        <f aca="false">IF($A110="","",SUMIFS(Timesheet!$F$5:$F$3004,Timesheet!$D$5:$D$3004,$A110,Timesheet!$A$5:$A$3004,"&gt;="&amp;Settings!$B$8,Timesheet!$A$5:$A$3004,"&lt;="&amp;Settings!$B$9))</f>
        <v/>
      </c>
      <c r="G110" s="25" t="str">
        <f aca="false">IF($A110="","",SUMIFS(Timesheet!$G$5:$G$3004,Timesheet!$D$5:$D$3004,$A110,Timesheet!$A$5:$A$3004,"&gt;="&amp;Settings!$B$8,Timesheet!$A$5:$A$3004,"&lt;="&amp;Settings!$B$9))</f>
        <v/>
      </c>
      <c r="H110" s="25" t="str">
        <f aca="false">IF($A110="","",IF(D110="Monthly",MAX(0,Settings!$B$11-E110),0))</f>
        <v/>
      </c>
      <c r="I110" s="26" t="str">
        <f aca="false">IF($A110="","",N(INDEX(Workers!$L$5:$L$2004,MATCH($A110,Workers!$A$5:$A$2004,0))))</f>
        <v/>
      </c>
      <c r="J110" s="26" t="str">
        <f aca="false">IF($A110="","",N(INDEX(Workers!$M$5:$M$2004,MATCH($A110,Workers!$A$5:$A$2004,0))))</f>
        <v/>
      </c>
      <c r="K110" s="26" t="str">
        <f aca="false">IF($A110="","",IF(D110="Monthly",ROUND(MAX(0,(I110+J110)-(I110+J110)/Settings!$B$10*H110),2),0))</f>
        <v/>
      </c>
      <c r="L110" s="26" t="str">
        <f aca="false">IF($A110="","",IF(D110="Hourly",ROUND(F110*N(INDEX(Workers!$N$5:$N$2004,MATCH($A110,Workers!$A$5:$A$2004,0))),2),0))</f>
        <v/>
      </c>
      <c r="M110" s="26" t="str">
        <f aca="false">IF($A110="","",ROUND(G110*IF(D110="Hourly",N(INDEX(Workers!$N$5:$N$2004,MATCH($A110,Workers!$A$5:$A$2004,0))),I110/Settings!$B$10/Settings!$B$12)*Settings!$B$13,2))</f>
        <v/>
      </c>
      <c r="N110" s="26" t="str">
        <f aca="false">IF($A110="","",K110+L110+M110)</f>
        <v/>
      </c>
      <c r="O110" s="26" t="str">
        <f aca="false">IF($A110="","",SUMIFS(Deductions!$D$5:$D$2000,Deductions!$B$5:$B$2000,$A110,Deductions!$C$5:$C$2000,"Advance",Deductions!$E$5:$E$2000,"&gt;="&amp;Settings!$B$8,Deductions!$E$5:$E$2000,"&lt;="&amp;Settings!$B$9))</f>
        <v/>
      </c>
      <c r="P110" s="26" t="str">
        <f aca="false">IF($A110="","",SUMIFS(Deductions!$D$5:$D$2000,Deductions!$B$5:$B$2000,$A110,Deductions!$E$5:$E$2000,"&gt;="&amp;Settings!$B$8,Deductions!$E$5:$E$2000,"&lt;="&amp;Settings!$B$9)-O110)</f>
        <v/>
      </c>
      <c r="Q110" s="26" t="str">
        <f aca="false">IF($A110="","",O110+P110)</f>
        <v/>
      </c>
      <c r="R110" s="23" t="str">
        <f aca="false">IF($A110="","",N110-Q110)</f>
        <v/>
      </c>
      <c r="S110" s="24" t="str">
        <f aca="false">IF($A110="","",INDEX(Workers!$O$5:$O$2004,MATCH($A110,Workers!$A$5:$A$2004,0))&amp;"")</f>
        <v/>
      </c>
      <c r="T110" s="24" t="str">
        <f aca="false">IF($A110="","",INDEX(Workers!$P$5:$P$2004,MATCH($A110,Workers!$A$5:$A$2004,0))&amp;"")</f>
        <v/>
      </c>
      <c r="U110" s="24" t="str">
        <f aca="false">IF($A110="","",INDEX(Workers!$H$5:$H$2004,MATCH($A110,Workers!$A$5:$A$2004,0))&amp;"")</f>
        <v/>
      </c>
    </row>
    <row r="111" customFormat="false" ht="15" hidden="false" customHeight="false" outlineLevel="0" collapsed="false">
      <c r="A111" s="24" t="str">
        <f aca="false">IFERROR(INDEX(Workers!$A$5:$A$2004,MATCH(ROW()-4,Workers!$U$5:$U$2004,0)),"")</f>
        <v/>
      </c>
      <c r="B111" s="24" t="str">
        <f aca="false">IF($A111="","",INDEX(Workers!$B$5:$B$2004,MATCH($A111,Workers!$A$5:$A$2004,0)))</f>
        <v/>
      </c>
      <c r="C111" s="24" t="str">
        <f aca="false">IF($A111="","",INDEX(Workers!$E$5:$E$2004,MATCH($A111,Workers!$A$5:$A$2004,0)))</f>
        <v/>
      </c>
      <c r="D111" s="24" t="str">
        <f aca="false">IF($A111="","",INDEX(Workers!$K$5:$K$2004,MATCH($A111,Workers!$A$5:$A$2004,0)))</f>
        <v/>
      </c>
      <c r="E111" s="25" t="str">
        <f aca="false">IF($A111="","",SUMIFS(Timesheet!$E$5:$E$3004,Timesheet!$D$5:$D$3004,$A111,Timesheet!$A$5:$A$3004,"&gt;="&amp;Settings!$B$8,Timesheet!$A$5:$A$3004,"&lt;="&amp;Settings!$B$9))</f>
        <v/>
      </c>
      <c r="F111" s="25" t="str">
        <f aca="false">IF($A111="","",SUMIFS(Timesheet!$F$5:$F$3004,Timesheet!$D$5:$D$3004,$A111,Timesheet!$A$5:$A$3004,"&gt;="&amp;Settings!$B$8,Timesheet!$A$5:$A$3004,"&lt;="&amp;Settings!$B$9))</f>
        <v/>
      </c>
      <c r="G111" s="25" t="str">
        <f aca="false">IF($A111="","",SUMIFS(Timesheet!$G$5:$G$3004,Timesheet!$D$5:$D$3004,$A111,Timesheet!$A$5:$A$3004,"&gt;="&amp;Settings!$B$8,Timesheet!$A$5:$A$3004,"&lt;="&amp;Settings!$B$9))</f>
        <v/>
      </c>
      <c r="H111" s="25" t="str">
        <f aca="false">IF($A111="","",IF(D111="Monthly",MAX(0,Settings!$B$11-E111),0))</f>
        <v/>
      </c>
      <c r="I111" s="26" t="str">
        <f aca="false">IF($A111="","",N(INDEX(Workers!$L$5:$L$2004,MATCH($A111,Workers!$A$5:$A$2004,0))))</f>
        <v/>
      </c>
      <c r="J111" s="26" t="str">
        <f aca="false">IF($A111="","",N(INDEX(Workers!$M$5:$M$2004,MATCH($A111,Workers!$A$5:$A$2004,0))))</f>
        <v/>
      </c>
      <c r="K111" s="26" t="str">
        <f aca="false">IF($A111="","",IF(D111="Monthly",ROUND(MAX(0,(I111+J111)-(I111+J111)/Settings!$B$10*H111),2),0))</f>
        <v/>
      </c>
      <c r="L111" s="26" t="str">
        <f aca="false">IF($A111="","",IF(D111="Hourly",ROUND(F111*N(INDEX(Workers!$N$5:$N$2004,MATCH($A111,Workers!$A$5:$A$2004,0))),2),0))</f>
        <v/>
      </c>
      <c r="M111" s="26" t="str">
        <f aca="false">IF($A111="","",ROUND(G111*IF(D111="Hourly",N(INDEX(Workers!$N$5:$N$2004,MATCH($A111,Workers!$A$5:$A$2004,0))),I111/Settings!$B$10/Settings!$B$12)*Settings!$B$13,2))</f>
        <v/>
      </c>
      <c r="N111" s="26" t="str">
        <f aca="false">IF($A111="","",K111+L111+M111)</f>
        <v/>
      </c>
      <c r="O111" s="26" t="str">
        <f aca="false">IF($A111="","",SUMIFS(Deductions!$D$5:$D$2000,Deductions!$B$5:$B$2000,$A111,Deductions!$C$5:$C$2000,"Advance",Deductions!$E$5:$E$2000,"&gt;="&amp;Settings!$B$8,Deductions!$E$5:$E$2000,"&lt;="&amp;Settings!$B$9))</f>
        <v/>
      </c>
      <c r="P111" s="26" t="str">
        <f aca="false">IF($A111="","",SUMIFS(Deductions!$D$5:$D$2000,Deductions!$B$5:$B$2000,$A111,Deductions!$E$5:$E$2000,"&gt;="&amp;Settings!$B$8,Deductions!$E$5:$E$2000,"&lt;="&amp;Settings!$B$9)-O111)</f>
        <v/>
      </c>
      <c r="Q111" s="26" t="str">
        <f aca="false">IF($A111="","",O111+P111)</f>
        <v/>
      </c>
      <c r="R111" s="23" t="str">
        <f aca="false">IF($A111="","",N111-Q111)</f>
        <v/>
      </c>
      <c r="S111" s="24" t="str">
        <f aca="false">IF($A111="","",INDEX(Workers!$O$5:$O$2004,MATCH($A111,Workers!$A$5:$A$2004,0))&amp;"")</f>
        <v/>
      </c>
      <c r="T111" s="24" t="str">
        <f aca="false">IF($A111="","",INDEX(Workers!$P$5:$P$2004,MATCH($A111,Workers!$A$5:$A$2004,0))&amp;"")</f>
        <v/>
      </c>
      <c r="U111" s="24" t="str">
        <f aca="false">IF($A111="","",INDEX(Workers!$H$5:$H$2004,MATCH($A111,Workers!$A$5:$A$2004,0))&amp;"")</f>
        <v/>
      </c>
    </row>
    <row r="112" customFormat="false" ht="15" hidden="false" customHeight="false" outlineLevel="0" collapsed="false">
      <c r="A112" s="24" t="str">
        <f aca="false">IFERROR(INDEX(Workers!$A$5:$A$2004,MATCH(ROW()-4,Workers!$U$5:$U$2004,0)),"")</f>
        <v/>
      </c>
      <c r="B112" s="24" t="str">
        <f aca="false">IF($A112="","",INDEX(Workers!$B$5:$B$2004,MATCH($A112,Workers!$A$5:$A$2004,0)))</f>
        <v/>
      </c>
      <c r="C112" s="24" t="str">
        <f aca="false">IF($A112="","",INDEX(Workers!$E$5:$E$2004,MATCH($A112,Workers!$A$5:$A$2004,0)))</f>
        <v/>
      </c>
      <c r="D112" s="24" t="str">
        <f aca="false">IF($A112="","",INDEX(Workers!$K$5:$K$2004,MATCH($A112,Workers!$A$5:$A$2004,0)))</f>
        <v/>
      </c>
      <c r="E112" s="25" t="str">
        <f aca="false">IF($A112="","",SUMIFS(Timesheet!$E$5:$E$3004,Timesheet!$D$5:$D$3004,$A112,Timesheet!$A$5:$A$3004,"&gt;="&amp;Settings!$B$8,Timesheet!$A$5:$A$3004,"&lt;="&amp;Settings!$B$9))</f>
        <v/>
      </c>
      <c r="F112" s="25" t="str">
        <f aca="false">IF($A112="","",SUMIFS(Timesheet!$F$5:$F$3004,Timesheet!$D$5:$D$3004,$A112,Timesheet!$A$5:$A$3004,"&gt;="&amp;Settings!$B$8,Timesheet!$A$5:$A$3004,"&lt;="&amp;Settings!$B$9))</f>
        <v/>
      </c>
      <c r="G112" s="25" t="str">
        <f aca="false">IF($A112="","",SUMIFS(Timesheet!$G$5:$G$3004,Timesheet!$D$5:$D$3004,$A112,Timesheet!$A$5:$A$3004,"&gt;="&amp;Settings!$B$8,Timesheet!$A$5:$A$3004,"&lt;="&amp;Settings!$B$9))</f>
        <v/>
      </c>
      <c r="H112" s="25" t="str">
        <f aca="false">IF($A112="","",IF(D112="Monthly",MAX(0,Settings!$B$11-E112),0))</f>
        <v/>
      </c>
      <c r="I112" s="26" t="str">
        <f aca="false">IF($A112="","",N(INDEX(Workers!$L$5:$L$2004,MATCH($A112,Workers!$A$5:$A$2004,0))))</f>
        <v/>
      </c>
      <c r="J112" s="26" t="str">
        <f aca="false">IF($A112="","",N(INDEX(Workers!$M$5:$M$2004,MATCH($A112,Workers!$A$5:$A$2004,0))))</f>
        <v/>
      </c>
      <c r="K112" s="26" t="str">
        <f aca="false">IF($A112="","",IF(D112="Monthly",ROUND(MAX(0,(I112+J112)-(I112+J112)/Settings!$B$10*H112),2),0))</f>
        <v/>
      </c>
      <c r="L112" s="26" t="str">
        <f aca="false">IF($A112="","",IF(D112="Hourly",ROUND(F112*N(INDEX(Workers!$N$5:$N$2004,MATCH($A112,Workers!$A$5:$A$2004,0))),2),0))</f>
        <v/>
      </c>
      <c r="M112" s="26" t="str">
        <f aca="false">IF($A112="","",ROUND(G112*IF(D112="Hourly",N(INDEX(Workers!$N$5:$N$2004,MATCH($A112,Workers!$A$5:$A$2004,0))),I112/Settings!$B$10/Settings!$B$12)*Settings!$B$13,2))</f>
        <v/>
      </c>
      <c r="N112" s="26" t="str">
        <f aca="false">IF($A112="","",K112+L112+M112)</f>
        <v/>
      </c>
      <c r="O112" s="26" t="str">
        <f aca="false">IF($A112="","",SUMIFS(Deductions!$D$5:$D$2000,Deductions!$B$5:$B$2000,$A112,Deductions!$C$5:$C$2000,"Advance",Deductions!$E$5:$E$2000,"&gt;="&amp;Settings!$B$8,Deductions!$E$5:$E$2000,"&lt;="&amp;Settings!$B$9))</f>
        <v/>
      </c>
      <c r="P112" s="26" t="str">
        <f aca="false">IF($A112="","",SUMIFS(Deductions!$D$5:$D$2000,Deductions!$B$5:$B$2000,$A112,Deductions!$E$5:$E$2000,"&gt;="&amp;Settings!$B$8,Deductions!$E$5:$E$2000,"&lt;="&amp;Settings!$B$9)-O112)</f>
        <v/>
      </c>
      <c r="Q112" s="26" t="str">
        <f aca="false">IF($A112="","",O112+P112)</f>
        <v/>
      </c>
      <c r="R112" s="23" t="str">
        <f aca="false">IF($A112="","",N112-Q112)</f>
        <v/>
      </c>
      <c r="S112" s="24" t="str">
        <f aca="false">IF($A112="","",INDEX(Workers!$O$5:$O$2004,MATCH($A112,Workers!$A$5:$A$2004,0))&amp;"")</f>
        <v/>
      </c>
      <c r="T112" s="24" t="str">
        <f aca="false">IF($A112="","",INDEX(Workers!$P$5:$P$2004,MATCH($A112,Workers!$A$5:$A$2004,0))&amp;"")</f>
        <v/>
      </c>
      <c r="U112" s="24" t="str">
        <f aca="false">IF($A112="","",INDEX(Workers!$H$5:$H$2004,MATCH($A112,Workers!$A$5:$A$2004,0))&amp;"")</f>
        <v/>
      </c>
    </row>
    <row r="113" customFormat="false" ht="15" hidden="false" customHeight="false" outlineLevel="0" collapsed="false">
      <c r="A113" s="24" t="str">
        <f aca="false">IFERROR(INDEX(Workers!$A$5:$A$2004,MATCH(ROW()-4,Workers!$U$5:$U$2004,0)),"")</f>
        <v/>
      </c>
      <c r="B113" s="24" t="str">
        <f aca="false">IF($A113="","",INDEX(Workers!$B$5:$B$2004,MATCH($A113,Workers!$A$5:$A$2004,0)))</f>
        <v/>
      </c>
      <c r="C113" s="24" t="str">
        <f aca="false">IF($A113="","",INDEX(Workers!$E$5:$E$2004,MATCH($A113,Workers!$A$5:$A$2004,0)))</f>
        <v/>
      </c>
      <c r="D113" s="24" t="str">
        <f aca="false">IF($A113="","",INDEX(Workers!$K$5:$K$2004,MATCH($A113,Workers!$A$5:$A$2004,0)))</f>
        <v/>
      </c>
      <c r="E113" s="25" t="str">
        <f aca="false">IF($A113="","",SUMIFS(Timesheet!$E$5:$E$3004,Timesheet!$D$5:$D$3004,$A113,Timesheet!$A$5:$A$3004,"&gt;="&amp;Settings!$B$8,Timesheet!$A$5:$A$3004,"&lt;="&amp;Settings!$B$9))</f>
        <v/>
      </c>
      <c r="F113" s="25" t="str">
        <f aca="false">IF($A113="","",SUMIFS(Timesheet!$F$5:$F$3004,Timesheet!$D$5:$D$3004,$A113,Timesheet!$A$5:$A$3004,"&gt;="&amp;Settings!$B$8,Timesheet!$A$5:$A$3004,"&lt;="&amp;Settings!$B$9))</f>
        <v/>
      </c>
      <c r="G113" s="25" t="str">
        <f aca="false">IF($A113="","",SUMIFS(Timesheet!$G$5:$G$3004,Timesheet!$D$5:$D$3004,$A113,Timesheet!$A$5:$A$3004,"&gt;="&amp;Settings!$B$8,Timesheet!$A$5:$A$3004,"&lt;="&amp;Settings!$B$9))</f>
        <v/>
      </c>
      <c r="H113" s="25" t="str">
        <f aca="false">IF($A113="","",IF(D113="Monthly",MAX(0,Settings!$B$11-E113),0))</f>
        <v/>
      </c>
      <c r="I113" s="26" t="str">
        <f aca="false">IF($A113="","",N(INDEX(Workers!$L$5:$L$2004,MATCH($A113,Workers!$A$5:$A$2004,0))))</f>
        <v/>
      </c>
      <c r="J113" s="26" t="str">
        <f aca="false">IF($A113="","",N(INDEX(Workers!$M$5:$M$2004,MATCH($A113,Workers!$A$5:$A$2004,0))))</f>
        <v/>
      </c>
      <c r="K113" s="26" t="str">
        <f aca="false">IF($A113="","",IF(D113="Monthly",ROUND(MAX(0,(I113+J113)-(I113+J113)/Settings!$B$10*H113),2),0))</f>
        <v/>
      </c>
      <c r="L113" s="26" t="str">
        <f aca="false">IF($A113="","",IF(D113="Hourly",ROUND(F113*N(INDEX(Workers!$N$5:$N$2004,MATCH($A113,Workers!$A$5:$A$2004,0))),2),0))</f>
        <v/>
      </c>
      <c r="M113" s="26" t="str">
        <f aca="false">IF($A113="","",ROUND(G113*IF(D113="Hourly",N(INDEX(Workers!$N$5:$N$2004,MATCH($A113,Workers!$A$5:$A$2004,0))),I113/Settings!$B$10/Settings!$B$12)*Settings!$B$13,2))</f>
        <v/>
      </c>
      <c r="N113" s="26" t="str">
        <f aca="false">IF($A113="","",K113+L113+M113)</f>
        <v/>
      </c>
      <c r="O113" s="26" t="str">
        <f aca="false">IF($A113="","",SUMIFS(Deductions!$D$5:$D$2000,Deductions!$B$5:$B$2000,$A113,Deductions!$C$5:$C$2000,"Advance",Deductions!$E$5:$E$2000,"&gt;="&amp;Settings!$B$8,Deductions!$E$5:$E$2000,"&lt;="&amp;Settings!$B$9))</f>
        <v/>
      </c>
      <c r="P113" s="26" t="str">
        <f aca="false">IF($A113="","",SUMIFS(Deductions!$D$5:$D$2000,Deductions!$B$5:$B$2000,$A113,Deductions!$E$5:$E$2000,"&gt;="&amp;Settings!$B$8,Deductions!$E$5:$E$2000,"&lt;="&amp;Settings!$B$9)-O113)</f>
        <v/>
      </c>
      <c r="Q113" s="26" t="str">
        <f aca="false">IF($A113="","",O113+P113)</f>
        <v/>
      </c>
      <c r="R113" s="23" t="str">
        <f aca="false">IF($A113="","",N113-Q113)</f>
        <v/>
      </c>
      <c r="S113" s="24" t="str">
        <f aca="false">IF($A113="","",INDEX(Workers!$O$5:$O$2004,MATCH($A113,Workers!$A$5:$A$2004,0))&amp;"")</f>
        <v/>
      </c>
      <c r="T113" s="24" t="str">
        <f aca="false">IF($A113="","",INDEX(Workers!$P$5:$P$2004,MATCH($A113,Workers!$A$5:$A$2004,0))&amp;"")</f>
        <v/>
      </c>
      <c r="U113" s="24" t="str">
        <f aca="false">IF($A113="","",INDEX(Workers!$H$5:$H$2004,MATCH($A113,Workers!$A$5:$A$2004,0))&amp;"")</f>
        <v/>
      </c>
    </row>
    <row r="114" customFormat="false" ht="15" hidden="false" customHeight="false" outlineLevel="0" collapsed="false">
      <c r="A114" s="24" t="str">
        <f aca="false">IFERROR(INDEX(Workers!$A$5:$A$2004,MATCH(ROW()-4,Workers!$U$5:$U$2004,0)),"")</f>
        <v/>
      </c>
      <c r="B114" s="24" t="str">
        <f aca="false">IF($A114="","",INDEX(Workers!$B$5:$B$2004,MATCH($A114,Workers!$A$5:$A$2004,0)))</f>
        <v/>
      </c>
      <c r="C114" s="24" t="str">
        <f aca="false">IF($A114="","",INDEX(Workers!$E$5:$E$2004,MATCH($A114,Workers!$A$5:$A$2004,0)))</f>
        <v/>
      </c>
      <c r="D114" s="24" t="str">
        <f aca="false">IF($A114="","",INDEX(Workers!$K$5:$K$2004,MATCH($A114,Workers!$A$5:$A$2004,0)))</f>
        <v/>
      </c>
      <c r="E114" s="25" t="str">
        <f aca="false">IF($A114="","",SUMIFS(Timesheet!$E$5:$E$3004,Timesheet!$D$5:$D$3004,$A114,Timesheet!$A$5:$A$3004,"&gt;="&amp;Settings!$B$8,Timesheet!$A$5:$A$3004,"&lt;="&amp;Settings!$B$9))</f>
        <v/>
      </c>
      <c r="F114" s="25" t="str">
        <f aca="false">IF($A114="","",SUMIFS(Timesheet!$F$5:$F$3004,Timesheet!$D$5:$D$3004,$A114,Timesheet!$A$5:$A$3004,"&gt;="&amp;Settings!$B$8,Timesheet!$A$5:$A$3004,"&lt;="&amp;Settings!$B$9))</f>
        <v/>
      </c>
      <c r="G114" s="25" t="str">
        <f aca="false">IF($A114="","",SUMIFS(Timesheet!$G$5:$G$3004,Timesheet!$D$5:$D$3004,$A114,Timesheet!$A$5:$A$3004,"&gt;="&amp;Settings!$B$8,Timesheet!$A$5:$A$3004,"&lt;="&amp;Settings!$B$9))</f>
        <v/>
      </c>
      <c r="H114" s="25" t="str">
        <f aca="false">IF($A114="","",IF(D114="Monthly",MAX(0,Settings!$B$11-E114),0))</f>
        <v/>
      </c>
      <c r="I114" s="26" t="str">
        <f aca="false">IF($A114="","",N(INDEX(Workers!$L$5:$L$2004,MATCH($A114,Workers!$A$5:$A$2004,0))))</f>
        <v/>
      </c>
      <c r="J114" s="26" t="str">
        <f aca="false">IF($A114="","",N(INDEX(Workers!$M$5:$M$2004,MATCH($A114,Workers!$A$5:$A$2004,0))))</f>
        <v/>
      </c>
      <c r="K114" s="26" t="str">
        <f aca="false">IF($A114="","",IF(D114="Monthly",ROUND(MAX(0,(I114+J114)-(I114+J114)/Settings!$B$10*H114),2),0))</f>
        <v/>
      </c>
      <c r="L114" s="26" t="str">
        <f aca="false">IF($A114="","",IF(D114="Hourly",ROUND(F114*N(INDEX(Workers!$N$5:$N$2004,MATCH($A114,Workers!$A$5:$A$2004,0))),2),0))</f>
        <v/>
      </c>
      <c r="M114" s="26" t="str">
        <f aca="false">IF($A114="","",ROUND(G114*IF(D114="Hourly",N(INDEX(Workers!$N$5:$N$2004,MATCH($A114,Workers!$A$5:$A$2004,0))),I114/Settings!$B$10/Settings!$B$12)*Settings!$B$13,2))</f>
        <v/>
      </c>
      <c r="N114" s="26" t="str">
        <f aca="false">IF($A114="","",K114+L114+M114)</f>
        <v/>
      </c>
      <c r="O114" s="26" t="str">
        <f aca="false">IF($A114="","",SUMIFS(Deductions!$D$5:$D$2000,Deductions!$B$5:$B$2000,$A114,Deductions!$C$5:$C$2000,"Advance",Deductions!$E$5:$E$2000,"&gt;="&amp;Settings!$B$8,Deductions!$E$5:$E$2000,"&lt;="&amp;Settings!$B$9))</f>
        <v/>
      </c>
      <c r="P114" s="26" t="str">
        <f aca="false">IF($A114="","",SUMIFS(Deductions!$D$5:$D$2000,Deductions!$B$5:$B$2000,$A114,Deductions!$E$5:$E$2000,"&gt;="&amp;Settings!$B$8,Deductions!$E$5:$E$2000,"&lt;="&amp;Settings!$B$9)-O114)</f>
        <v/>
      </c>
      <c r="Q114" s="26" t="str">
        <f aca="false">IF($A114="","",O114+P114)</f>
        <v/>
      </c>
      <c r="R114" s="23" t="str">
        <f aca="false">IF($A114="","",N114-Q114)</f>
        <v/>
      </c>
      <c r="S114" s="24" t="str">
        <f aca="false">IF($A114="","",INDEX(Workers!$O$5:$O$2004,MATCH($A114,Workers!$A$5:$A$2004,0))&amp;"")</f>
        <v/>
      </c>
      <c r="T114" s="24" t="str">
        <f aca="false">IF($A114="","",INDEX(Workers!$P$5:$P$2004,MATCH($A114,Workers!$A$5:$A$2004,0))&amp;"")</f>
        <v/>
      </c>
      <c r="U114" s="24" t="str">
        <f aca="false">IF($A114="","",INDEX(Workers!$H$5:$H$2004,MATCH($A114,Workers!$A$5:$A$2004,0))&amp;"")</f>
        <v/>
      </c>
    </row>
    <row r="115" customFormat="false" ht="15" hidden="false" customHeight="false" outlineLevel="0" collapsed="false">
      <c r="A115" s="24" t="str">
        <f aca="false">IFERROR(INDEX(Workers!$A$5:$A$2004,MATCH(ROW()-4,Workers!$U$5:$U$2004,0)),"")</f>
        <v/>
      </c>
      <c r="B115" s="24" t="str">
        <f aca="false">IF($A115="","",INDEX(Workers!$B$5:$B$2004,MATCH($A115,Workers!$A$5:$A$2004,0)))</f>
        <v/>
      </c>
      <c r="C115" s="24" t="str">
        <f aca="false">IF($A115="","",INDEX(Workers!$E$5:$E$2004,MATCH($A115,Workers!$A$5:$A$2004,0)))</f>
        <v/>
      </c>
      <c r="D115" s="24" t="str">
        <f aca="false">IF($A115="","",INDEX(Workers!$K$5:$K$2004,MATCH($A115,Workers!$A$5:$A$2004,0)))</f>
        <v/>
      </c>
      <c r="E115" s="25" t="str">
        <f aca="false">IF($A115="","",SUMIFS(Timesheet!$E$5:$E$3004,Timesheet!$D$5:$D$3004,$A115,Timesheet!$A$5:$A$3004,"&gt;="&amp;Settings!$B$8,Timesheet!$A$5:$A$3004,"&lt;="&amp;Settings!$B$9))</f>
        <v/>
      </c>
      <c r="F115" s="25" t="str">
        <f aca="false">IF($A115="","",SUMIFS(Timesheet!$F$5:$F$3004,Timesheet!$D$5:$D$3004,$A115,Timesheet!$A$5:$A$3004,"&gt;="&amp;Settings!$B$8,Timesheet!$A$5:$A$3004,"&lt;="&amp;Settings!$B$9))</f>
        <v/>
      </c>
      <c r="G115" s="25" t="str">
        <f aca="false">IF($A115="","",SUMIFS(Timesheet!$G$5:$G$3004,Timesheet!$D$5:$D$3004,$A115,Timesheet!$A$5:$A$3004,"&gt;="&amp;Settings!$B$8,Timesheet!$A$5:$A$3004,"&lt;="&amp;Settings!$B$9))</f>
        <v/>
      </c>
      <c r="H115" s="25" t="str">
        <f aca="false">IF($A115="","",IF(D115="Monthly",MAX(0,Settings!$B$11-E115),0))</f>
        <v/>
      </c>
      <c r="I115" s="26" t="str">
        <f aca="false">IF($A115="","",N(INDEX(Workers!$L$5:$L$2004,MATCH($A115,Workers!$A$5:$A$2004,0))))</f>
        <v/>
      </c>
      <c r="J115" s="26" t="str">
        <f aca="false">IF($A115="","",N(INDEX(Workers!$M$5:$M$2004,MATCH($A115,Workers!$A$5:$A$2004,0))))</f>
        <v/>
      </c>
      <c r="K115" s="26" t="str">
        <f aca="false">IF($A115="","",IF(D115="Monthly",ROUND(MAX(0,(I115+J115)-(I115+J115)/Settings!$B$10*H115),2),0))</f>
        <v/>
      </c>
      <c r="L115" s="26" t="str">
        <f aca="false">IF($A115="","",IF(D115="Hourly",ROUND(F115*N(INDEX(Workers!$N$5:$N$2004,MATCH($A115,Workers!$A$5:$A$2004,0))),2),0))</f>
        <v/>
      </c>
      <c r="M115" s="26" t="str">
        <f aca="false">IF($A115="","",ROUND(G115*IF(D115="Hourly",N(INDEX(Workers!$N$5:$N$2004,MATCH($A115,Workers!$A$5:$A$2004,0))),I115/Settings!$B$10/Settings!$B$12)*Settings!$B$13,2))</f>
        <v/>
      </c>
      <c r="N115" s="26" t="str">
        <f aca="false">IF($A115="","",K115+L115+M115)</f>
        <v/>
      </c>
      <c r="O115" s="26" t="str">
        <f aca="false">IF($A115="","",SUMIFS(Deductions!$D$5:$D$2000,Deductions!$B$5:$B$2000,$A115,Deductions!$C$5:$C$2000,"Advance",Deductions!$E$5:$E$2000,"&gt;="&amp;Settings!$B$8,Deductions!$E$5:$E$2000,"&lt;="&amp;Settings!$B$9))</f>
        <v/>
      </c>
      <c r="P115" s="26" t="str">
        <f aca="false">IF($A115="","",SUMIFS(Deductions!$D$5:$D$2000,Deductions!$B$5:$B$2000,$A115,Deductions!$E$5:$E$2000,"&gt;="&amp;Settings!$B$8,Deductions!$E$5:$E$2000,"&lt;="&amp;Settings!$B$9)-O115)</f>
        <v/>
      </c>
      <c r="Q115" s="26" t="str">
        <f aca="false">IF($A115="","",O115+P115)</f>
        <v/>
      </c>
      <c r="R115" s="23" t="str">
        <f aca="false">IF($A115="","",N115-Q115)</f>
        <v/>
      </c>
      <c r="S115" s="24" t="str">
        <f aca="false">IF($A115="","",INDEX(Workers!$O$5:$O$2004,MATCH($A115,Workers!$A$5:$A$2004,0))&amp;"")</f>
        <v/>
      </c>
      <c r="T115" s="24" t="str">
        <f aca="false">IF($A115="","",INDEX(Workers!$P$5:$P$2004,MATCH($A115,Workers!$A$5:$A$2004,0))&amp;"")</f>
        <v/>
      </c>
      <c r="U115" s="24" t="str">
        <f aca="false">IF($A115="","",INDEX(Workers!$H$5:$H$2004,MATCH($A115,Workers!$A$5:$A$2004,0))&amp;"")</f>
        <v/>
      </c>
    </row>
    <row r="116" customFormat="false" ht="15" hidden="false" customHeight="false" outlineLevel="0" collapsed="false">
      <c r="A116" s="24" t="str">
        <f aca="false">IFERROR(INDEX(Workers!$A$5:$A$2004,MATCH(ROW()-4,Workers!$U$5:$U$2004,0)),"")</f>
        <v/>
      </c>
      <c r="B116" s="24" t="str">
        <f aca="false">IF($A116="","",INDEX(Workers!$B$5:$B$2004,MATCH($A116,Workers!$A$5:$A$2004,0)))</f>
        <v/>
      </c>
      <c r="C116" s="24" t="str">
        <f aca="false">IF($A116="","",INDEX(Workers!$E$5:$E$2004,MATCH($A116,Workers!$A$5:$A$2004,0)))</f>
        <v/>
      </c>
      <c r="D116" s="24" t="str">
        <f aca="false">IF($A116="","",INDEX(Workers!$K$5:$K$2004,MATCH($A116,Workers!$A$5:$A$2004,0)))</f>
        <v/>
      </c>
      <c r="E116" s="25" t="str">
        <f aca="false">IF($A116="","",SUMIFS(Timesheet!$E$5:$E$3004,Timesheet!$D$5:$D$3004,$A116,Timesheet!$A$5:$A$3004,"&gt;="&amp;Settings!$B$8,Timesheet!$A$5:$A$3004,"&lt;="&amp;Settings!$B$9))</f>
        <v/>
      </c>
      <c r="F116" s="25" t="str">
        <f aca="false">IF($A116="","",SUMIFS(Timesheet!$F$5:$F$3004,Timesheet!$D$5:$D$3004,$A116,Timesheet!$A$5:$A$3004,"&gt;="&amp;Settings!$B$8,Timesheet!$A$5:$A$3004,"&lt;="&amp;Settings!$B$9))</f>
        <v/>
      </c>
      <c r="G116" s="25" t="str">
        <f aca="false">IF($A116="","",SUMIFS(Timesheet!$G$5:$G$3004,Timesheet!$D$5:$D$3004,$A116,Timesheet!$A$5:$A$3004,"&gt;="&amp;Settings!$B$8,Timesheet!$A$5:$A$3004,"&lt;="&amp;Settings!$B$9))</f>
        <v/>
      </c>
      <c r="H116" s="25" t="str">
        <f aca="false">IF($A116="","",IF(D116="Monthly",MAX(0,Settings!$B$11-E116),0))</f>
        <v/>
      </c>
      <c r="I116" s="26" t="str">
        <f aca="false">IF($A116="","",N(INDEX(Workers!$L$5:$L$2004,MATCH($A116,Workers!$A$5:$A$2004,0))))</f>
        <v/>
      </c>
      <c r="J116" s="26" t="str">
        <f aca="false">IF($A116="","",N(INDEX(Workers!$M$5:$M$2004,MATCH($A116,Workers!$A$5:$A$2004,0))))</f>
        <v/>
      </c>
      <c r="K116" s="26" t="str">
        <f aca="false">IF($A116="","",IF(D116="Monthly",ROUND(MAX(0,(I116+J116)-(I116+J116)/Settings!$B$10*H116),2),0))</f>
        <v/>
      </c>
      <c r="L116" s="26" t="str">
        <f aca="false">IF($A116="","",IF(D116="Hourly",ROUND(F116*N(INDEX(Workers!$N$5:$N$2004,MATCH($A116,Workers!$A$5:$A$2004,0))),2),0))</f>
        <v/>
      </c>
      <c r="M116" s="26" t="str">
        <f aca="false">IF($A116="","",ROUND(G116*IF(D116="Hourly",N(INDEX(Workers!$N$5:$N$2004,MATCH($A116,Workers!$A$5:$A$2004,0))),I116/Settings!$B$10/Settings!$B$12)*Settings!$B$13,2))</f>
        <v/>
      </c>
      <c r="N116" s="26" t="str">
        <f aca="false">IF($A116="","",K116+L116+M116)</f>
        <v/>
      </c>
      <c r="O116" s="26" t="str">
        <f aca="false">IF($A116="","",SUMIFS(Deductions!$D$5:$D$2000,Deductions!$B$5:$B$2000,$A116,Deductions!$C$5:$C$2000,"Advance",Deductions!$E$5:$E$2000,"&gt;="&amp;Settings!$B$8,Deductions!$E$5:$E$2000,"&lt;="&amp;Settings!$B$9))</f>
        <v/>
      </c>
      <c r="P116" s="26" t="str">
        <f aca="false">IF($A116="","",SUMIFS(Deductions!$D$5:$D$2000,Deductions!$B$5:$B$2000,$A116,Deductions!$E$5:$E$2000,"&gt;="&amp;Settings!$B$8,Deductions!$E$5:$E$2000,"&lt;="&amp;Settings!$B$9)-O116)</f>
        <v/>
      </c>
      <c r="Q116" s="26" t="str">
        <f aca="false">IF($A116="","",O116+P116)</f>
        <v/>
      </c>
      <c r="R116" s="23" t="str">
        <f aca="false">IF($A116="","",N116-Q116)</f>
        <v/>
      </c>
      <c r="S116" s="24" t="str">
        <f aca="false">IF($A116="","",INDEX(Workers!$O$5:$O$2004,MATCH($A116,Workers!$A$5:$A$2004,0))&amp;"")</f>
        <v/>
      </c>
      <c r="T116" s="24" t="str">
        <f aca="false">IF($A116="","",INDEX(Workers!$P$5:$P$2004,MATCH($A116,Workers!$A$5:$A$2004,0))&amp;"")</f>
        <v/>
      </c>
      <c r="U116" s="24" t="str">
        <f aca="false">IF($A116="","",INDEX(Workers!$H$5:$H$2004,MATCH($A116,Workers!$A$5:$A$2004,0))&amp;"")</f>
        <v/>
      </c>
    </row>
    <row r="117" customFormat="false" ht="15" hidden="false" customHeight="false" outlineLevel="0" collapsed="false">
      <c r="A117" s="24" t="str">
        <f aca="false">IFERROR(INDEX(Workers!$A$5:$A$2004,MATCH(ROW()-4,Workers!$U$5:$U$2004,0)),"")</f>
        <v/>
      </c>
      <c r="B117" s="24" t="str">
        <f aca="false">IF($A117="","",INDEX(Workers!$B$5:$B$2004,MATCH($A117,Workers!$A$5:$A$2004,0)))</f>
        <v/>
      </c>
      <c r="C117" s="24" t="str">
        <f aca="false">IF($A117="","",INDEX(Workers!$E$5:$E$2004,MATCH($A117,Workers!$A$5:$A$2004,0)))</f>
        <v/>
      </c>
      <c r="D117" s="24" t="str">
        <f aca="false">IF($A117="","",INDEX(Workers!$K$5:$K$2004,MATCH($A117,Workers!$A$5:$A$2004,0)))</f>
        <v/>
      </c>
      <c r="E117" s="25" t="str">
        <f aca="false">IF($A117="","",SUMIFS(Timesheet!$E$5:$E$3004,Timesheet!$D$5:$D$3004,$A117,Timesheet!$A$5:$A$3004,"&gt;="&amp;Settings!$B$8,Timesheet!$A$5:$A$3004,"&lt;="&amp;Settings!$B$9))</f>
        <v/>
      </c>
      <c r="F117" s="25" t="str">
        <f aca="false">IF($A117="","",SUMIFS(Timesheet!$F$5:$F$3004,Timesheet!$D$5:$D$3004,$A117,Timesheet!$A$5:$A$3004,"&gt;="&amp;Settings!$B$8,Timesheet!$A$5:$A$3004,"&lt;="&amp;Settings!$B$9))</f>
        <v/>
      </c>
      <c r="G117" s="25" t="str">
        <f aca="false">IF($A117="","",SUMIFS(Timesheet!$G$5:$G$3004,Timesheet!$D$5:$D$3004,$A117,Timesheet!$A$5:$A$3004,"&gt;="&amp;Settings!$B$8,Timesheet!$A$5:$A$3004,"&lt;="&amp;Settings!$B$9))</f>
        <v/>
      </c>
      <c r="H117" s="25" t="str">
        <f aca="false">IF($A117="","",IF(D117="Monthly",MAX(0,Settings!$B$11-E117),0))</f>
        <v/>
      </c>
      <c r="I117" s="26" t="str">
        <f aca="false">IF($A117="","",N(INDEX(Workers!$L$5:$L$2004,MATCH($A117,Workers!$A$5:$A$2004,0))))</f>
        <v/>
      </c>
      <c r="J117" s="26" t="str">
        <f aca="false">IF($A117="","",N(INDEX(Workers!$M$5:$M$2004,MATCH($A117,Workers!$A$5:$A$2004,0))))</f>
        <v/>
      </c>
      <c r="K117" s="26" t="str">
        <f aca="false">IF($A117="","",IF(D117="Monthly",ROUND(MAX(0,(I117+J117)-(I117+J117)/Settings!$B$10*H117),2),0))</f>
        <v/>
      </c>
      <c r="L117" s="26" t="str">
        <f aca="false">IF($A117="","",IF(D117="Hourly",ROUND(F117*N(INDEX(Workers!$N$5:$N$2004,MATCH($A117,Workers!$A$5:$A$2004,0))),2),0))</f>
        <v/>
      </c>
      <c r="M117" s="26" t="str">
        <f aca="false">IF($A117="","",ROUND(G117*IF(D117="Hourly",N(INDEX(Workers!$N$5:$N$2004,MATCH($A117,Workers!$A$5:$A$2004,0))),I117/Settings!$B$10/Settings!$B$12)*Settings!$B$13,2))</f>
        <v/>
      </c>
      <c r="N117" s="26" t="str">
        <f aca="false">IF($A117="","",K117+L117+M117)</f>
        <v/>
      </c>
      <c r="O117" s="26" t="str">
        <f aca="false">IF($A117="","",SUMIFS(Deductions!$D$5:$D$2000,Deductions!$B$5:$B$2000,$A117,Deductions!$C$5:$C$2000,"Advance",Deductions!$E$5:$E$2000,"&gt;="&amp;Settings!$B$8,Deductions!$E$5:$E$2000,"&lt;="&amp;Settings!$B$9))</f>
        <v/>
      </c>
      <c r="P117" s="26" t="str">
        <f aca="false">IF($A117="","",SUMIFS(Deductions!$D$5:$D$2000,Deductions!$B$5:$B$2000,$A117,Deductions!$E$5:$E$2000,"&gt;="&amp;Settings!$B$8,Deductions!$E$5:$E$2000,"&lt;="&amp;Settings!$B$9)-O117)</f>
        <v/>
      </c>
      <c r="Q117" s="26" t="str">
        <f aca="false">IF($A117="","",O117+P117)</f>
        <v/>
      </c>
      <c r="R117" s="23" t="str">
        <f aca="false">IF($A117="","",N117-Q117)</f>
        <v/>
      </c>
      <c r="S117" s="24" t="str">
        <f aca="false">IF($A117="","",INDEX(Workers!$O$5:$O$2004,MATCH($A117,Workers!$A$5:$A$2004,0))&amp;"")</f>
        <v/>
      </c>
      <c r="T117" s="24" t="str">
        <f aca="false">IF($A117="","",INDEX(Workers!$P$5:$P$2004,MATCH($A117,Workers!$A$5:$A$2004,0))&amp;"")</f>
        <v/>
      </c>
      <c r="U117" s="24" t="str">
        <f aca="false">IF($A117="","",INDEX(Workers!$H$5:$H$2004,MATCH($A117,Workers!$A$5:$A$2004,0))&amp;"")</f>
        <v/>
      </c>
    </row>
    <row r="118" customFormat="false" ht="15" hidden="false" customHeight="false" outlineLevel="0" collapsed="false">
      <c r="A118" s="24" t="str">
        <f aca="false">IFERROR(INDEX(Workers!$A$5:$A$2004,MATCH(ROW()-4,Workers!$U$5:$U$2004,0)),"")</f>
        <v/>
      </c>
      <c r="B118" s="24" t="str">
        <f aca="false">IF($A118="","",INDEX(Workers!$B$5:$B$2004,MATCH($A118,Workers!$A$5:$A$2004,0)))</f>
        <v/>
      </c>
      <c r="C118" s="24" t="str">
        <f aca="false">IF($A118="","",INDEX(Workers!$E$5:$E$2004,MATCH($A118,Workers!$A$5:$A$2004,0)))</f>
        <v/>
      </c>
      <c r="D118" s="24" t="str">
        <f aca="false">IF($A118="","",INDEX(Workers!$K$5:$K$2004,MATCH($A118,Workers!$A$5:$A$2004,0)))</f>
        <v/>
      </c>
      <c r="E118" s="25" t="str">
        <f aca="false">IF($A118="","",SUMIFS(Timesheet!$E$5:$E$3004,Timesheet!$D$5:$D$3004,$A118,Timesheet!$A$5:$A$3004,"&gt;="&amp;Settings!$B$8,Timesheet!$A$5:$A$3004,"&lt;="&amp;Settings!$B$9))</f>
        <v/>
      </c>
      <c r="F118" s="25" t="str">
        <f aca="false">IF($A118="","",SUMIFS(Timesheet!$F$5:$F$3004,Timesheet!$D$5:$D$3004,$A118,Timesheet!$A$5:$A$3004,"&gt;="&amp;Settings!$B$8,Timesheet!$A$5:$A$3004,"&lt;="&amp;Settings!$B$9))</f>
        <v/>
      </c>
      <c r="G118" s="25" t="str">
        <f aca="false">IF($A118="","",SUMIFS(Timesheet!$G$5:$G$3004,Timesheet!$D$5:$D$3004,$A118,Timesheet!$A$5:$A$3004,"&gt;="&amp;Settings!$B$8,Timesheet!$A$5:$A$3004,"&lt;="&amp;Settings!$B$9))</f>
        <v/>
      </c>
      <c r="H118" s="25" t="str">
        <f aca="false">IF($A118="","",IF(D118="Monthly",MAX(0,Settings!$B$11-E118),0))</f>
        <v/>
      </c>
      <c r="I118" s="26" t="str">
        <f aca="false">IF($A118="","",N(INDEX(Workers!$L$5:$L$2004,MATCH($A118,Workers!$A$5:$A$2004,0))))</f>
        <v/>
      </c>
      <c r="J118" s="26" t="str">
        <f aca="false">IF($A118="","",N(INDEX(Workers!$M$5:$M$2004,MATCH($A118,Workers!$A$5:$A$2004,0))))</f>
        <v/>
      </c>
      <c r="K118" s="26" t="str">
        <f aca="false">IF($A118="","",IF(D118="Monthly",ROUND(MAX(0,(I118+J118)-(I118+J118)/Settings!$B$10*H118),2),0))</f>
        <v/>
      </c>
      <c r="L118" s="26" t="str">
        <f aca="false">IF($A118="","",IF(D118="Hourly",ROUND(F118*N(INDEX(Workers!$N$5:$N$2004,MATCH($A118,Workers!$A$5:$A$2004,0))),2),0))</f>
        <v/>
      </c>
      <c r="M118" s="26" t="str">
        <f aca="false">IF($A118="","",ROUND(G118*IF(D118="Hourly",N(INDEX(Workers!$N$5:$N$2004,MATCH($A118,Workers!$A$5:$A$2004,0))),I118/Settings!$B$10/Settings!$B$12)*Settings!$B$13,2))</f>
        <v/>
      </c>
      <c r="N118" s="26" t="str">
        <f aca="false">IF($A118="","",K118+L118+M118)</f>
        <v/>
      </c>
      <c r="O118" s="26" t="str">
        <f aca="false">IF($A118="","",SUMIFS(Deductions!$D$5:$D$2000,Deductions!$B$5:$B$2000,$A118,Deductions!$C$5:$C$2000,"Advance",Deductions!$E$5:$E$2000,"&gt;="&amp;Settings!$B$8,Deductions!$E$5:$E$2000,"&lt;="&amp;Settings!$B$9))</f>
        <v/>
      </c>
      <c r="P118" s="26" t="str">
        <f aca="false">IF($A118="","",SUMIFS(Deductions!$D$5:$D$2000,Deductions!$B$5:$B$2000,$A118,Deductions!$E$5:$E$2000,"&gt;="&amp;Settings!$B$8,Deductions!$E$5:$E$2000,"&lt;="&amp;Settings!$B$9)-O118)</f>
        <v/>
      </c>
      <c r="Q118" s="26" t="str">
        <f aca="false">IF($A118="","",O118+P118)</f>
        <v/>
      </c>
      <c r="R118" s="23" t="str">
        <f aca="false">IF($A118="","",N118-Q118)</f>
        <v/>
      </c>
      <c r="S118" s="24" t="str">
        <f aca="false">IF($A118="","",INDEX(Workers!$O$5:$O$2004,MATCH($A118,Workers!$A$5:$A$2004,0))&amp;"")</f>
        <v/>
      </c>
      <c r="T118" s="24" t="str">
        <f aca="false">IF($A118="","",INDEX(Workers!$P$5:$P$2004,MATCH($A118,Workers!$A$5:$A$2004,0))&amp;"")</f>
        <v/>
      </c>
      <c r="U118" s="24" t="str">
        <f aca="false">IF($A118="","",INDEX(Workers!$H$5:$H$2004,MATCH($A118,Workers!$A$5:$A$2004,0))&amp;"")</f>
        <v/>
      </c>
    </row>
    <row r="119" customFormat="false" ht="15" hidden="false" customHeight="false" outlineLevel="0" collapsed="false">
      <c r="A119" s="24" t="str">
        <f aca="false">IFERROR(INDEX(Workers!$A$5:$A$2004,MATCH(ROW()-4,Workers!$U$5:$U$2004,0)),"")</f>
        <v/>
      </c>
      <c r="B119" s="24" t="str">
        <f aca="false">IF($A119="","",INDEX(Workers!$B$5:$B$2004,MATCH($A119,Workers!$A$5:$A$2004,0)))</f>
        <v/>
      </c>
      <c r="C119" s="24" t="str">
        <f aca="false">IF($A119="","",INDEX(Workers!$E$5:$E$2004,MATCH($A119,Workers!$A$5:$A$2004,0)))</f>
        <v/>
      </c>
      <c r="D119" s="24" t="str">
        <f aca="false">IF($A119="","",INDEX(Workers!$K$5:$K$2004,MATCH($A119,Workers!$A$5:$A$2004,0)))</f>
        <v/>
      </c>
      <c r="E119" s="25" t="str">
        <f aca="false">IF($A119="","",SUMIFS(Timesheet!$E$5:$E$3004,Timesheet!$D$5:$D$3004,$A119,Timesheet!$A$5:$A$3004,"&gt;="&amp;Settings!$B$8,Timesheet!$A$5:$A$3004,"&lt;="&amp;Settings!$B$9))</f>
        <v/>
      </c>
      <c r="F119" s="25" t="str">
        <f aca="false">IF($A119="","",SUMIFS(Timesheet!$F$5:$F$3004,Timesheet!$D$5:$D$3004,$A119,Timesheet!$A$5:$A$3004,"&gt;="&amp;Settings!$B$8,Timesheet!$A$5:$A$3004,"&lt;="&amp;Settings!$B$9))</f>
        <v/>
      </c>
      <c r="G119" s="25" t="str">
        <f aca="false">IF($A119="","",SUMIFS(Timesheet!$G$5:$G$3004,Timesheet!$D$5:$D$3004,$A119,Timesheet!$A$5:$A$3004,"&gt;="&amp;Settings!$B$8,Timesheet!$A$5:$A$3004,"&lt;="&amp;Settings!$B$9))</f>
        <v/>
      </c>
      <c r="H119" s="25" t="str">
        <f aca="false">IF($A119="","",IF(D119="Monthly",MAX(0,Settings!$B$11-E119),0))</f>
        <v/>
      </c>
      <c r="I119" s="26" t="str">
        <f aca="false">IF($A119="","",N(INDEX(Workers!$L$5:$L$2004,MATCH($A119,Workers!$A$5:$A$2004,0))))</f>
        <v/>
      </c>
      <c r="J119" s="26" t="str">
        <f aca="false">IF($A119="","",N(INDEX(Workers!$M$5:$M$2004,MATCH($A119,Workers!$A$5:$A$2004,0))))</f>
        <v/>
      </c>
      <c r="K119" s="26" t="str">
        <f aca="false">IF($A119="","",IF(D119="Monthly",ROUND(MAX(0,(I119+J119)-(I119+J119)/Settings!$B$10*H119),2),0))</f>
        <v/>
      </c>
      <c r="L119" s="26" t="str">
        <f aca="false">IF($A119="","",IF(D119="Hourly",ROUND(F119*N(INDEX(Workers!$N$5:$N$2004,MATCH($A119,Workers!$A$5:$A$2004,0))),2),0))</f>
        <v/>
      </c>
      <c r="M119" s="26" t="str">
        <f aca="false">IF($A119="","",ROUND(G119*IF(D119="Hourly",N(INDEX(Workers!$N$5:$N$2004,MATCH($A119,Workers!$A$5:$A$2004,0))),I119/Settings!$B$10/Settings!$B$12)*Settings!$B$13,2))</f>
        <v/>
      </c>
      <c r="N119" s="26" t="str">
        <f aca="false">IF($A119="","",K119+L119+M119)</f>
        <v/>
      </c>
      <c r="O119" s="26" t="str">
        <f aca="false">IF($A119="","",SUMIFS(Deductions!$D$5:$D$2000,Deductions!$B$5:$B$2000,$A119,Deductions!$C$5:$C$2000,"Advance",Deductions!$E$5:$E$2000,"&gt;="&amp;Settings!$B$8,Deductions!$E$5:$E$2000,"&lt;="&amp;Settings!$B$9))</f>
        <v/>
      </c>
      <c r="P119" s="26" t="str">
        <f aca="false">IF($A119="","",SUMIFS(Deductions!$D$5:$D$2000,Deductions!$B$5:$B$2000,$A119,Deductions!$E$5:$E$2000,"&gt;="&amp;Settings!$B$8,Deductions!$E$5:$E$2000,"&lt;="&amp;Settings!$B$9)-O119)</f>
        <v/>
      </c>
      <c r="Q119" s="26" t="str">
        <f aca="false">IF($A119="","",O119+P119)</f>
        <v/>
      </c>
      <c r="R119" s="23" t="str">
        <f aca="false">IF($A119="","",N119-Q119)</f>
        <v/>
      </c>
      <c r="S119" s="24" t="str">
        <f aca="false">IF($A119="","",INDEX(Workers!$O$5:$O$2004,MATCH($A119,Workers!$A$5:$A$2004,0))&amp;"")</f>
        <v/>
      </c>
      <c r="T119" s="24" t="str">
        <f aca="false">IF($A119="","",INDEX(Workers!$P$5:$P$2004,MATCH($A119,Workers!$A$5:$A$2004,0))&amp;"")</f>
        <v/>
      </c>
      <c r="U119" s="24" t="str">
        <f aca="false">IF($A119="","",INDEX(Workers!$H$5:$H$2004,MATCH($A119,Workers!$A$5:$A$2004,0))&amp;"")</f>
        <v/>
      </c>
    </row>
    <row r="120" customFormat="false" ht="15" hidden="false" customHeight="false" outlineLevel="0" collapsed="false">
      <c r="A120" s="24" t="str">
        <f aca="false">IFERROR(INDEX(Workers!$A$5:$A$2004,MATCH(ROW()-4,Workers!$U$5:$U$2004,0)),"")</f>
        <v/>
      </c>
      <c r="B120" s="24" t="str">
        <f aca="false">IF($A120="","",INDEX(Workers!$B$5:$B$2004,MATCH($A120,Workers!$A$5:$A$2004,0)))</f>
        <v/>
      </c>
      <c r="C120" s="24" t="str">
        <f aca="false">IF($A120="","",INDEX(Workers!$E$5:$E$2004,MATCH($A120,Workers!$A$5:$A$2004,0)))</f>
        <v/>
      </c>
      <c r="D120" s="24" t="str">
        <f aca="false">IF($A120="","",INDEX(Workers!$K$5:$K$2004,MATCH($A120,Workers!$A$5:$A$2004,0)))</f>
        <v/>
      </c>
      <c r="E120" s="25" t="str">
        <f aca="false">IF($A120="","",SUMIFS(Timesheet!$E$5:$E$3004,Timesheet!$D$5:$D$3004,$A120,Timesheet!$A$5:$A$3004,"&gt;="&amp;Settings!$B$8,Timesheet!$A$5:$A$3004,"&lt;="&amp;Settings!$B$9))</f>
        <v/>
      </c>
      <c r="F120" s="25" t="str">
        <f aca="false">IF($A120="","",SUMIFS(Timesheet!$F$5:$F$3004,Timesheet!$D$5:$D$3004,$A120,Timesheet!$A$5:$A$3004,"&gt;="&amp;Settings!$B$8,Timesheet!$A$5:$A$3004,"&lt;="&amp;Settings!$B$9))</f>
        <v/>
      </c>
      <c r="G120" s="25" t="str">
        <f aca="false">IF($A120="","",SUMIFS(Timesheet!$G$5:$G$3004,Timesheet!$D$5:$D$3004,$A120,Timesheet!$A$5:$A$3004,"&gt;="&amp;Settings!$B$8,Timesheet!$A$5:$A$3004,"&lt;="&amp;Settings!$B$9))</f>
        <v/>
      </c>
      <c r="H120" s="25" t="str">
        <f aca="false">IF($A120="","",IF(D120="Monthly",MAX(0,Settings!$B$11-E120),0))</f>
        <v/>
      </c>
      <c r="I120" s="26" t="str">
        <f aca="false">IF($A120="","",N(INDEX(Workers!$L$5:$L$2004,MATCH($A120,Workers!$A$5:$A$2004,0))))</f>
        <v/>
      </c>
      <c r="J120" s="26" t="str">
        <f aca="false">IF($A120="","",N(INDEX(Workers!$M$5:$M$2004,MATCH($A120,Workers!$A$5:$A$2004,0))))</f>
        <v/>
      </c>
      <c r="K120" s="26" t="str">
        <f aca="false">IF($A120="","",IF(D120="Monthly",ROUND(MAX(0,(I120+J120)-(I120+J120)/Settings!$B$10*H120),2),0))</f>
        <v/>
      </c>
      <c r="L120" s="26" t="str">
        <f aca="false">IF($A120="","",IF(D120="Hourly",ROUND(F120*N(INDEX(Workers!$N$5:$N$2004,MATCH($A120,Workers!$A$5:$A$2004,0))),2),0))</f>
        <v/>
      </c>
      <c r="M120" s="26" t="str">
        <f aca="false">IF($A120="","",ROUND(G120*IF(D120="Hourly",N(INDEX(Workers!$N$5:$N$2004,MATCH($A120,Workers!$A$5:$A$2004,0))),I120/Settings!$B$10/Settings!$B$12)*Settings!$B$13,2))</f>
        <v/>
      </c>
      <c r="N120" s="26" t="str">
        <f aca="false">IF($A120="","",K120+L120+M120)</f>
        <v/>
      </c>
      <c r="O120" s="26" t="str">
        <f aca="false">IF($A120="","",SUMIFS(Deductions!$D$5:$D$2000,Deductions!$B$5:$B$2000,$A120,Deductions!$C$5:$C$2000,"Advance",Deductions!$E$5:$E$2000,"&gt;="&amp;Settings!$B$8,Deductions!$E$5:$E$2000,"&lt;="&amp;Settings!$B$9))</f>
        <v/>
      </c>
      <c r="P120" s="26" t="str">
        <f aca="false">IF($A120="","",SUMIFS(Deductions!$D$5:$D$2000,Deductions!$B$5:$B$2000,$A120,Deductions!$E$5:$E$2000,"&gt;="&amp;Settings!$B$8,Deductions!$E$5:$E$2000,"&lt;="&amp;Settings!$B$9)-O120)</f>
        <v/>
      </c>
      <c r="Q120" s="26" t="str">
        <f aca="false">IF($A120="","",O120+P120)</f>
        <v/>
      </c>
      <c r="R120" s="23" t="str">
        <f aca="false">IF($A120="","",N120-Q120)</f>
        <v/>
      </c>
      <c r="S120" s="24" t="str">
        <f aca="false">IF($A120="","",INDEX(Workers!$O$5:$O$2004,MATCH($A120,Workers!$A$5:$A$2004,0))&amp;"")</f>
        <v/>
      </c>
      <c r="T120" s="24" t="str">
        <f aca="false">IF($A120="","",INDEX(Workers!$P$5:$P$2004,MATCH($A120,Workers!$A$5:$A$2004,0))&amp;"")</f>
        <v/>
      </c>
      <c r="U120" s="24" t="str">
        <f aca="false">IF($A120="","",INDEX(Workers!$H$5:$H$2004,MATCH($A120,Workers!$A$5:$A$2004,0))&amp;"")</f>
        <v/>
      </c>
    </row>
    <row r="121" customFormat="false" ht="15" hidden="false" customHeight="false" outlineLevel="0" collapsed="false">
      <c r="A121" s="24" t="str">
        <f aca="false">IFERROR(INDEX(Workers!$A$5:$A$2004,MATCH(ROW()-4,Workers!$U$5:$U$2004,0)),"")</f>
        <v/>
      </c>
      <c r="B121" s="24" t="str">
        <f aca="false">IF($A121="","",INDEX(Workers!$B$5:$B$2004,MATCH($A121,Workers!$A$5:$A$2004,0)))</f>
        <v/>
      </c>
      <c r="C121" s="24" t="str">
        <f aca="false">IF($A121="","",INDEX(Workers!$E$5:$E$2004,MATCH($A121,Workers!$A$5:$A$2004,0)))</f>
        <v/>
      </c>
      <c r="D121" s="24" t="str">
        <f aca="false">IF($A121="","",INDEX(Workers!$K$5:$K$2004,MATCH($A121,Workers!$A$5:$A$2004,0)))</f>
        <v/>
      </c>
      <c r="E121" s="25" t="str">
        <f aca="false">IF($A121="","",SUMIFS(Timesheet!$E$5:$E$3004,Timesheet!$D$5:$D$3004,$A121,Timesheet!$A$5:$A$3004,"&gt;="&amp;Settings!$B$8,Timesheet!$A$5:$A$3004,"&lt;="&amp;Settings!$B$9))</f>
        <v/>
      </c>
      <c r="F121" s="25" t="str">
        <f aca="false">IF($A121="","",SUMIFS(Timesheet!$F$5:$F$3004,Timesheet!$D$5:$D$3004,$A121,Timesheet!$A$5:$A$3004,"&gt;="&amp;Settings!$B$8,Timesheet!$A$5:$A$3004,"&lt;="&amp;Settings!$B$9))</f>
        <v/>
      </c>
      <c r="G121" s="25" t="str">
        <f aca="false">IF($A121="","",SUMIFS(Timesheet!$G$5:$G$3004,Timesheet!$D$5:$D$3004,$A121,Timesheet!$A$5:$A$3004,"&gt;="&amp;Settings!$B$8,Timesheet!$A$5:$A$3004,"&lt;="&amp;Settings!$B$9))</f>
        <v/>
      </c>
      <c r="H121" s="25" t="str">
        <f aca="false">IF($A121="","",IF(D121="Monthly",MAX(0,Settings!$B$11-E121),0))</f>
        <v/>
      </c>
      <c r="I121" s="26" t="str">
        <f aca="false">IF($A121="","",N(INDEX(Workers!$L$5:$L$2004,MATCH($A121,Workers!$A$5:$A$2004,0))))</f>
        <v/>
      </c>
      <c r="J121" s="26" t="str">
        <f aca="false">IF($A121="","",N(INDEX(Workers!$M$5:$M$2004,MATCH($A121,Workers!$A$5:$A$2004,0))))</f>
        <v/>
      </c>
      <c r="K121" s="26" t="str">
        <f aca="false">IF($A121="","",IF(D121="Monthly",ROUND(MAX(0,(I121+J121)-(I121+J121)/Settings!$B$10*H121),2),0))</f>
        <v/>
      </c>
      <c r="L121" s="26" t="str">
        <f aca="false">IF($A121="","",IF(D121="Hourly",ROUND(F121*N(INDEX(Workers!$N$5:$N$2004,MATCH($A121,Workers!$A$5:$A$2004,0))),2),0))</f>
        <v/>
      </c>
      <c r="M121" s="26" t="str">
        <f aca="false">IF($A121="","",ROUND(G121*IF(D121="Hourly",N(INDEX(Workers!$N$5:$N$2004,MATCH($A121,Workers!$A$5:$A$2004,0))),I121/Settings!$B$10/Settings!$B$12)*Settings!$B$13,2))</f>
        <v/>
      </c>
      <c r="N121" s="26" t="str">
        <f aca="false">IF($A121="","",K121+L121+M121)</f>
        <v/>
      </c>
      <c r="O121" s="26" t="str">
        <f aca="false">IF($A121="","",SUMIFS(Deductions!$D$5:$D$2000,Deductions!$B$5:$B$2000,$A121,Deductions!$C$5:$C$2000,"Advance",Deductions!$E$5:$E$2000,"&gt;="&amp;Settings!$B$8,Deductions!$E$5:$E$2000,"&lt;="&amp;Settings!$B$9))</f>
        <v/>
      </c>
      <c r="P121" s="26" t="str">
        <f aca="false">IF($A121="","",SUMIFS(Deductions!$D$5:$D$2000,Deductions!$B$5:$B$2000,$A121,Deductions!$E$5:$E$2000,"&gt;="&amp;Settings!$B$8,Deductions!$E$5:$E$2000,"&lt;="&amp;Settings!$B$9)-O121)</f>
        <v/>
      </c>
      <c r="Q121" s="26" t="str">
        <f aca="false">IF($A121="","",O121+P121)</f>
        <v/>
      </c>
      <c r="R121" s="23" t="str">
        <f aca="false">IF($A121="","",N121-Q121)</f>
        <v/>
      </c>
      <c r="S121" s="24" t="str">
        <f aca="false">IF($A121="","",INDEX(Workers!$O$5:$O$2004,MATCH($A121,Workers!$A$5:$A$2004,0))&amp;"")</f>
        <v/>
      </c>
      <c r="T121" s="24" t="str">
        <f aca="false">IF($A121="","",INDEX(Workers!$P$5:$P$2004,MATCH($A121,Workers!$A$5:$A$2004,0))&amp;"")</f>
        <v/>
      </c>
      <c r="U121" s="24" t="str">
        <f aca="false">IF($A121="","",INDEX(Workers!$H$5:$H$2004,MATCH($A121,Workers!$A$5:$A$2004,0))&amp;"")</f>
        <v/>
      </c>
    </row>
    <row r="122" customFormat="false" ht="15" hidden="false" customHeight="false" outlineLevel="0" collapsed="false">
      <c r="A122" s="24" t="str">
        <f aca="false">IFERROR(INDEX(Workers!$A$5:$A$2004,MATCH(ROW()-4,Workers!$U$5:$U$2004,0)),"")</f>
        <v/>
      </c>
      <c r="B122" s="24" t="str">
        <f aca="false">IF($A122="","",INDEX(Workers!$B$5:$B$2004,MATCH($A122,Workers!$A$5:$A$2004,0)))</f>
        <v/>
      </c>
      <c r="C122" s="24" t="str">
        <f aca="false">IF($A122="","",INDEX(Workers!$E$5:$E$2004,MATCH($A122,Workers!$A$5:$A$2004,0)))</f>
        <v/>
      </c>
      <c r="D122" s="24" t="str">
        <f aca="false">IF($A122="","",INDEX(Workers!$K$5:$K$2004,MATCH($A122,Workers!$A$5:$A$2004,0)))</f>
        <v/>
      </c>
      <c r="E122" s="25" t="str">
        <f aca="false">IF($A122="","",SUMIFS(Timesheet!$E$5:$E$3004,Timesheet!$D$5:$D$3004,$A122,Timesheet!$A$5:$A$3004,"&gt;="&amp;Settings!$B$8,Timesheet!$A$5:$A$3004,"&lt;="&amp;Settings!$B$9))</f>
        <v/>
      </c>
      <c r="F122" s="25" t="str">
        <f aca="false">IF($A122="","",SUMIFS(Timesheet!$F$5:$F$3004,Timesheet!$D$5:$D$3004,$A122,Timesheet!$A$5:$A$3004,"&gt;="&amp;Settings!$B$8,Timesheet!$A$5:$A$3004,"&lt;="&amp;Settings!$B$9))</f>
        <v/>
      </c>
      <c r="G122" s="25" t="str">
        <f aca="false">IF($A122="","",SUMIFS(Timesheet!$G$5:$G$3004,Timesheet!$D$5:$D$3004,$A122,Timesheet!$A$5:$A$3004,"&gt;="&amp;Settings!$B$8,Timesheet!$A$5:$A$3004,"&lt;="&amp;Settings!$B$9))</f>
        <v/>
      </c>
      <c r="H122" s="25" t="str">
        <f aca="false">IF($A122="","",IF(D122="Monthly",MAX(0,Settings!$B$11-E122),0))</f>
        <v/>
      </c>
      <c r="I122" s="26" t="str">
        <f aca="false">IF($A122="","",N(INDEX(Workers!$L$5:$L$2004,MATCH($A122,Workers!$A$5:$A$2004,0))))</f>
        <v/>
      </c>
      <c r="J122" s="26" t="str">
        <f aca="false">IF($A122="","",N(INDEX(Workers!$M$5:$M$2004,MATCH($A122,Workers!$A$5:$A$2004,0))))</f>
        <v/>
      </c>
      <c r="K122" s="26" t="str">
        <f aca="false">IF($A122="","",IF(D122="Monthly",ROUND(MAX(0,(I122+J122)-(I122+J122)/Settings!$B$10*H122),2),0))</f>
        <v/>
      </c>
      <c r="L122" s="26" t="str">
        <f aca="false">IF($A122="","",IF(D122="Hourly",ROUND(F122*N(INDEX(Workers!$N$5:$N$2004,MATCH($A122,Workers!$A$5:$A$2004,0))),2),0))</f>
        <v/>
      </c>
      <c r="M122" s="26" t="str">
        <f aca="false">IF($A122="","",ROUND(G122*IF(D122="Hourly",N(INDEX(Workers!$N$5:$N$2004,MATCH($A122,Workers!$A$5:$A$2004,0))),I122/Settings!$B$10/Settings!$B$12)*Settings!$B$13,2))</f>
        <v/>
      </c>
      <c r="N122" s="26" t="str">
        <f aca="false">IF($A122="","",K122+L122+M122)</f>
        <v/>
      </c>
      <c r="O122" s="26" t="str">
        <f aca="false">IF($A122="","",SUMIFS(Deductions!$D$5:$D$2000,Deductions!$B$5:$B$2000,$A122,Deductions!$C$5:$C$2000,"Advance",Deductions!$E$5:$E$2000,"&gt;="&amp;Settings!$B$8,Deductions!$E$5:$E$2000,"&lt;="&amp;Settings!$B$9))</f>
        <v/>
      </c>
      <c r="P122" s="26" t="str">
        <f aca="false">IF($A122="","",SUMIFS(Deductions!$D$5:$D$2000,Deductions!$B$5:$B$2000,$A122,Deductions!$E$5:$E$2000,"&gt;="&amp;Settings!$B$8,Deductions!$E$5:$E$2000,"&lt;="&amp;Settings!$B$9)-O122)</f>
        <v/>
      </c>
      <c r="Q122" s="26" t="str">
        <f aca="false">IF($A122="","",O122+P122)</f>
        <v/>
      </c>
      <c r="R122" s="23" t="str">
        <f aca="false">IF($A122="","",N122-Q122)</f>
        <v/>
      </c>
      <c r="S122" s="24" t="str">
        <f aca="false">IF($A122="","",INDEX(Workers!$O$5:$O$2004,MATCH($A122,Workers!$A$5:$A$2004,0))&amp;"")</f>
        <v/>
      </c>
      <c r="T122" s="24" t="str">
        <f aca="false">IF($A122="","",INDEX(Workers!$P$5:$P$2004,MATCH($A122,Workers!$A$5:$A$2004,0))&amp;"")</f>
        <v/>
      </c>
      <c r="U122" s="24" t="str">
        <f aca="false">IF($A122="","",INDEX(Workers!$H$5:$H$2004,MATCH($A122,Workers!$A$5:$A$2004,0))&amp;"")</f>
        <v/>
      </c>
    </row>
    <row r="123" customFormat="false" ht="15" hidden="false" customHeight="false" outlineLevel="0" collapsed="false">
      <c r="A123" s="24" t="str">
        <f aca="false">IFERROR(INDEX(Workers!$A$5:$A$2004,MATCH(ROW()-4,Workers!$U$5:$U$2004,0)),"")</f>
        <v/>
      </c>
      <c r="B123" s="24" t="str">
        <f aca="false">IF($A123="","",INDEX(Workers!$B$5:$B$2004,MATCH($A123,Workers!$A$5:$A$2004,0)))</f>
        <v/>
      </c>
      <c r="C123" s="24" t="str">
        <f aca="false">IF($A123="","",INDEX(Workers!$E$5:$E$2004,MATCH($A123,Workers!$A$5:$A$2004,0)))</f>
        <v/>
      </c>
      <c r="D123" s="24" t="str">
        <f aca="false">IF($A123="","",INDEX(Workers!$K$5:$K$2004,MATCH($A123,Workers!$A$5:$A$2004,0)))</f>
        <v/>
      </c>
      <c r="E123" s="25" t="str">
        <f aca="false">IF($A123="","",SUMIFS(Timesheet!$E$5:$E$3004,Timesheet!$D$5:$D$3004,$A123,Timesheet!$A$5:$A$3004,"&gt;="&amp;Settings!$B$8,Timesheet!$A$5:$A$3004,"&lt;="&amp;Settings!$B$9))</f>
        <v/>
      </c>
      <c r="F123" s="25" t="str">
        <f aca="false">IF($A123="","",SUMIFS(Timesheet!$F$5:$F$3004,Timesheet!$D$5:$D$3004,$A123,Timesheet!$A$5:$A$3004,"&gt;="&amp;Settings!$B$8,Timesheet!$A$5:$A$3004,"&lt;="&amp;Settings!$B$9))</f>
        <v/>
      </c>
      <c r="G123" s="25" t="str">
        <f aca="false">IF($A123="","",SUMIFS(Timesheet!$G$5:$G$3004,Timesheet!$D$5:$D$3004,$A123,Timesheet!$A$5:$A$3004,"&gt;="&amp;Settings!$B$8,Timesheet!$A$5:$A$3004,"&lt;="&amp;Settings!$B$9))</f>
        <v/>
      </c>
      <c r="H123" s="25" t="str">
        <f aca="false">IF($A123="","",IF(D123="Monthly",MAX(0,Settings!$B$11-E123),0))</f>
        <v/>
      </c>
      <c r="I123" s="26" t="str">
        <f aca="false">IF($A123="","",N(INDEX(Workers!$L$5:$L$2004,MATCH($A123,Workers!$A$5:$A$2004,0))))</f>
        <v/>
      </c>
      <c r="J123" s="26" t="str">
        <f aca="false">IF($A123="","",N(INDEX(Workers!$M$5:$M$2004,MATCH($A123,Workers!$A$5:$A$2004,0))))</f>
        <v/>
      </c>
      <c r="K123" s="26" t="str">
        <f aca="false">IF($A123="","",IF(D123="Monthly",ROUND(MAX(0,(I123+J123)-(I123+J123)/Settings!$B$10*H123),2),0))</f>
        <v/>
      </c>
      <c r="L123" s="26" t="str">
        <f aca="false">IF($A123="","",IF(D123="Hourly",ROUND(F123*N(INDEX(Workers!$N$5:$N$2004,MATCH($A123,Workers!$A$5:$A$2004,0))),2),0))</f>
        <v/>
      </c>
      <c r="M123" s="26" t="str">
        <f aca="false">IF($A123="","",ROUND(G123*IF(D123="Hourly",N(INDEX(Workers!$N$5:$N$2004,MATCH($A123,Workers!$A$5:$A$2004,0))),I123/Settings!$B$10/Settings!$B$12)*Settings!$B$13,2))</f>
        <v/>
      </c>
      <c r="N123" s="26" t="str">
        <f aca="false">IF($A123="","",K123+L123+M123)</f>
        <v/>
      </c>
      <c r="O123" s="26" t="str">
        <f aca="false">IF($A123="","",SUMIFS(Deductions!$D$5:$D$2000,Deductions!$B$5:$B$2000,$A123,Deductions!$C$5:$C$2000,"Advance",Deductions!$E$5:$E$2000,"&gt;="&amp;Settings!$B$8,Deductions!$E$5:$E$2000,"&lt;="&amp;Settings!$B$9))</f>
        <v/>
      </c>
      <c r="P123" s="26" t="str">
        <f aca="false">IF($A123="","",SUMIFS(Deductions!$D$5:$D$2000,Deductions!$B$5:$B$2000,$A123,Deductions!$E$5:$E$2000,"&gt;="&amp;Settings!$B$8,Deductions!$E$5:$E$2000,"&lt;="&amp;Settings!$B$9)-O123)</f>
        <v/>
      </c>
      <c r="Q123" s="26" t="str">
        <f aca="false">IF($A123="","",O123+P123)</f>
        <v/>
      </c>
      <c r="R123" s="23" t="str">
        <f aca="false">IF($A123="","",N123-Q123)</f>
        <v/>
      </c>
      <c r="S123" s="24" t="str">
        <f aca="false">IF($A123="","",INDEX(Workers!$O$5:$O$2004,MATCH($A123,Workers!$A$5:$A$2004,0))&amp;"")</f>
        <v/>
      </c>
      <c r="T123" s="24" t="str">
        <f aca="false">IF($A123="","",INDEX(Workers!$P$5:$P$2004,MATCH($A123,Workers!$A$5:$A$2004,0))&amp;"")</f>
        <v/>
      </c>
      <c r="U123" s="24" t="str">
        <f aca="false">IF($A123="","",INDEX(Workers!$H$5:$H$2004,MATCH($A123,Workers!$A$5:$A$2004,0))&amp;"")</f>
        <v/>
      </c>
    </row>
    <row r="124" customFormat="false" ht="15" hidden="false" customHeight="false" outlineLevel="0" collapsed="false">
      <c r="A124" s="24" t="str">
        <f aca="false">IFERROR(INDEX(Workers!$A$5:$A$2004,MATCH(ROW()-4,Workers!$U$5:$U$2004,0)),"")</f>
        <v/>
      </c>
      <c r="B124" s="24" t="str">
        <f aca="false">IF($A124="","",INDEX(Workers!$B$5:$B$2004,MATCH($A124,Workers!$A$5:$A$2004,0)))</f>
        <v/>
      </c>
      <c r="C124" s="24" t="str">
        <f aca="false">IF($A124="","",INDEX(Workers!$E$5:$E$2004,MATCH($A124,Workers!$A$5:$A$2004,0)))</f>
        <v/>
      </c>
      <c r="D124" s="24" t="str">
        <f aca="false">IF($A124="","",INDEX(Workers!$K$5:$K$2004,MATCH($A124,Workers!$A$5:$A$2004,0)))</f>
        <v/>
      </c>
      <c r="E124" s="25" t="str">
        <f aca="false">IF($A124="","",SUMIFS(Timesheet!$E$5:$E$3004,Timesheet!$D$5:$D$3004,$A124,Timesheet!$A$5:$A$3004,"&gt;="&amp;Settings!$B$8,Timesheet!$A$5:$A$3004,"&lt;="&amp;Settings!$B$9))</f>
        <v/>
      </c>
      <c r="F124" s="25" t="str">
        <f aca="false">IF($A124="","",SUMIFS(Timesheet!$F$5:$F$3004,Timesheet!$D$5:$D$3004,$A124,Timesheet!$A$5:$A$3004,"&gt;="&amp;Settings!$B$8,Timesheet!$A$5:$A$3004,"&lt;="&amp;Settings!$B$9))</f>
        <v/>
      </c>
      <c r="G124" s="25" t="str">
        <f aca="false">IF($A124="","",SUMIFS(Timesheet!$G$5:$G$3004,Timesheet!$D$5:$D$3004,$A124,Timesheet!$A$5:$A$3004,"&gt;="&amp;Settings!$B$8,Timesheet!$A$5:$A$3004,"&lt;="&amp;Settings!$B$9))</f>
        <v/>
      </c>
      <c r="H124" s="25" t="str">
        <f aca="false">IF($A124="","",IF(D124="Monthly",MAX(0,Settings!$B$11-E124),0))</f>
        <v/>
      </c>
      <c r="I124" s="26" t="str">
        <f aca="false">IF($A124="","",N(INDEX(Workers!$L$5:$L$2004,MATCH($A124,Workers!$A$5:$A$2004,0))))</f>
        <v/>
      </c>
      <c r="J124" s="26" t="str">
        <f aca="false">IF($A124="","",N(INDEX(Workers!$M$5:$M$2004,MATCH($A124,Workers!$A$5:$A$2004,0))))</f>
        <v/>
      </c>
      <c r="K124" s="26" t="str">
        <f aca="false">IF($A124="","",IF(D124="Monthly",ROUND(MAX(0,(I124+J124)-(I124+J124)/Settings!$B$10*H124),2),0))</f>
        <v/>
      </c>
      <c r="L124" s="26" t="str">
        <f aca="false">IF($A124="","",IF(D124="Hourly",ROUND(F124*N(INDEX(Workers!$N$5:$N$2004,MATCH($A124,Workers!$A$5:$A$2004,0))),2),0))</f>
        <v/>
      </c>
      <c r="M124" s="26" t="str">
        <f aca="false">IF($A124="","",ROUND(G124*IF(D124="Hourly",N(INDEX(Workers!$N$5:$N$2004,MATCH($A124,Workers!$A$5:$A$2004,0))),I124/Settings!$B$10/Settings!$B$12)*Settings!$B$13,2))</f>
        <v/>
      </c>
      <c r="N124" s="26" t="str">
        <f aca="false">IF($A124="","",K124+L124+M124)</f>
        <v/>
      </c>
      <c r="O124" s="26" t="str">
        <f aca="false">IF($A124="","",SUMIFS(Deductions!$D$5:$D$2000,Deductions!$B$5:$B$2000,$A124,Deductions!$C$5:$C$2000,"Advance",Deductions!$E$5:$E$2000,"&gt;="&amp;Settings!$B$8,Deductions!$E$5:$E$2000,"&lt;="&amp;Settings!$B$9))</f>
        <v/>
      </c>
      <c r="P124" s="26" t="str">
        <f aca="false">IF($A124="","",SUMIFS(Deductions!$D$5:$D$2000,Deductions!$B$5:$B$2000,$A124,Deductions!$E$5:$E$2000,"&gt;="&amp;Settings!$B$8,Deductions!$E$5:$E$2000,"&lt;="&amp;Settings!$B$9)-O124)</f>
        <v/>
      </c>
      <c r="Q124" s="26" t="str">
        <f aca="false">IF($A124="","",O124+P124)</f>
        <v/>
      </c>
      <c r="R124" s="23" t="str">
        <f aca="false">IF($A124="","",N124-Q124)</f>
        <v/>
      </c>
      <c r="S124" s="24" t="str">
        <f aca="false">IF($A124="","",INDEX(Workers!$O$5:$O$2004,MATCH($A124,Workers!$A$5:$A$2004,0))&amp;"")</f>
        <v/>
      </c>
      <c r="T124" s="24" t="str">
        <f aca="false">IF($A124="","",INDEX(Workers!$P$5:$P$2004,MATCH($A124,Workers!$A$5:$A$2004,0))&amp;"")</f>
        <v/>
      </c>
      <c r="U124" s="24" t="str">
        <f aca="false">IF($A124="","",INDEX(Workers!$H$5:$H$2004,MATCH($A124,Workers!$A$5:$A$2004,0))&amp;"")</f>
        <v/>
      </c>
    </row>
    <row r="125" customFormat="false" ht="15" hidden="false" customHeight="false" outlineLevel="0" collapsed="false">
      <c r="A125" s="24" t="str">
        <f aca="false">IFERROR(INDEX(Workers!$A$5:$A$2004,MATCH(ROW()-4,Workers!$U$5:$U$2004,0)),"")</f>
        <v/>
      </c>
      <c r="B125" s="24" t="str">
        <f aca="false">IF($A125="","",INDEX(Workers!$B$5:$B$2004,MATCH($A125,Workers!$A$5:$A$2004,0)))</f>
        <v/>
      </c>
      <c r="C125" s="24" t="str">
        <f aca="false">IF($A125="","",INDEX(Workers!$E$5:$E$2004,MATCH($A125,Workers!$A$5:$A$2004,0)))</f>
        <v/>
      </c>
      <c r="D125" s="24" t="str">
        <f aca="false">IF($A125="","",INDEX(Workers!$K$5:$K$2004,MATCH($A125,Workers!$A$5:$A$2004,0)))</f>
        <v/>
      </c>
      <c r="E125" s="25" t="str">
        <f aca="false">IF($A125="","",SUMIFS(Timesheet!$E$5:$E$3004,Timesheet!$D$5:$D$3004,$A125,Timesheet!$A$5:$A$3004,"&gt;="&amp;Settings!$B$8,Timesheet!$A$5:$A$3004,"&lt;="&amp;Settings!$B$9))</f>
        <v/>
      </c>
      <c r="F125" s="25" t="str">
        <f aca="false">IF($A125="","",SUMIFS(Timesheet!$F$5:$F$3004,Timesheet!$D$5:$D$3004,$A125,Timesheet!$A$5:$A$3004,"&gt;="&amp;Settings!$B$8,Timesheet!$A$5:$A$3004,"&lt;="&amp;Settings!$B$9))</f>
        <v/>
      </c>
      <c r="G125" s="25" t="str">
        <f aca="false">IF($A125="","",SUMIFS(Timesheet!$G$5:$G$3004,Timesheet!$D$5:$D$3004,$A125,Timesheet!$A$5:$A$3004,"&gt;="&amp;Settings!$B$8,Timesheet!$A$5:$A$3004,"&lt;="&amp;Settings!$B$9))</f>
        <v/>
      </c>
      <c r="H125" s="25" t="str">
        <f aca="false">IF($A125="","",IF(D125="Monthly",MAX(0,Settings!$B$11-E125),0))</f>
        <v/>
      </c>
      <c r="I125" s="26" t="str">
        <f aca="false">IF($A125="","",N(INDEX(Workers!$L$5:$L$2004,MATCH($A125,Workers!$A$5:$A$2004,0))))</f>
        <v/>
      </c>
      <c r="J125" s="26" t="str">
        <f aca="false">IF($A125="","",N(INDEX(Workers!$M$5:$M$2004,MATCH($A125,Workers!$A$5:$A$2004,0))))</f>
        <v/>
      </c>
      <c r="K125" s="26" t="str">
        <f aca="false">IF($A125="","",IF(D125="Monthly",ROUND(MAX(0,(I125+J125)-(I125+J125)/Settings!$B$10*H125),2),0))</f>
        <v/>
      </c>
      <c r="L125" s="26" t="str">
        <f aca="false">IF($A125="","",IF(D125="Hourly",ROUND(F125*N(INDEX(Workers!$N$5:$N$2004,MATCH($A125,Workers!$A$5:$A$2004,0))),2),0))</f>
        <v/>
      </c>
      <c r="M125" s="26" t="str">
        <f aca="false">IF($A125="","",ROUND(G125*IF(D125="Hourly",N(INDEX(Workers!$N$5:$N$2004,MATCH($A125,Workers!$A$5:$A$2004,0))),I125/Settings!$B$10/Settings!$B$12)*Settings!$B$13,2))</f>
        <v/>
      </c>
      <c r="N125" s="26" t="str">
        <f aca="false">IF($A125="","",K125+L125+M125)</f>
        <v/>
      </c>
      <c r="O125" s="26" t="str">
        <f aca="false">IF($A125="","",SUMIFS(Deductions!$D$5:$D$2000,Deductions!$B$5:$B$2000,$A125,Deductions!$C$5:$C$2000,"Advance",Deductions!$E$5:$E$2000,"&gt;="&amp;Settings!$B$8,Deductions!$E$5:$E$2000,"&lt;="&amp;Settings!$B$9))</f>
        <v/>
      </c>
      <c r="P125" s="26" t="str">
        <f aca="false">IF($A125="","",SUMIFS(Deductions!$D$5:$D$2000,Deductions!$B$5:$B$2000,$A125,Deductions!$E$5:$E$2000,"&gt;="&amp;Settings!$B$8,Deductions!$E$5:$E$2000,"&lt;="&amp;Settings!$B$9)-O125)</f>
        <v/>
      </c>
      <c r="Q125" s="26" t="str">
        <f aca="false">IF($A125="","",O125+P125)</f>
        <v/>
      </c>
      <c r="R125" s="23" t="str">
        <f aca="false">IF($A125="","",N125-Q125)</f>
        <v/>
      </c>
      <c r="S125" s="24" t="str">
        <f aca="false">IF($A125="","",INDEX(Workers!$O$5:$O$2004,MATCH($A125,Workers!$A$5:$A$2004,0))&amp;"")</f>
        <v/>
      </c>
      <c r="T125" s="24" t="str">
        <f aca="false">IF($A125="","",INDEX(Workers!$P$5:$P$2004,MATCH($A125,Workers!$A$5:$A$2004,0))&amp;"")</f>
        <v/>
      </c>
      <c r="U125" s="24" t="str">
        <f aca="false">IF($A125="","",INDEX(Workers!$H$5:$H$2004,MATCH($A125,Workers!$A$5:$A$2004,0))&amp;"")</f>
        <v/>
      </c>
    </row>
    <row r="126" customFormat="false" ht="15" hidden="false" customHeight="false" outlineLevel="0" collapsed="false">
      <c r="A126" s="24" t="str">
        <f aca="false">IFERROR(INDEX(Workers!$A$5:$A$2004,MATCH(ROW()-4,Workers!$U$5:$U$2004,0)),"")</f>
        <v/>
      </c>
      <c r="B126" s="24" t="str">
        <f aca="false">IF($A126="","",INDEX(Workers!$B$5:$B$2004,MATCH($A126,Workers!$A$5:$A$2004,0)))</f>
        <v/>
      </c>
      <c r="C126" s="24" t="str">
        <f aca="false">IF($A126="","",INDEX(Workers!$E$5:$E$2004,MATCH($A126,Workers!$A$5:$A$2004,0)))</f>
        <v/>
      </c>
      <c r="D126" s="24" t="str">
        <f aca="false">IF($A126="","",INDEX(Workers!$K$5:$K$2004,MATCH($A126,Workers!$A$5:$A$2004,0)))</f>
        <v/>
      </c>
      <c r="E126" s="25" t="str">
        <f aca="false">IF($A126="","",SUMIFS(Timesheet!$E$5:$E$3004,Timesheet!$D$5:$D$3004,$A126,Timesheet!$A$5:$A$3004,"&gt;="&amp;Settings!$B$8,Timesheet!$A$5:$A$3004,"&lt;="&amp;Settings!$B$9))</f>
        <v/>
      </c>
      <c r="F126" s="25" t="str">
        <f aca="false">IF($A126="","",SUMIFS(Timesheet!$F$5:$F$3004,Timesheet!$D$5:$D$3004,$A126,Timesheet!$A$5:$A$3004,"&gt;="&amp;Settings!$B$8,Timesheet!$A$5:$A$3004,"&lt;="&amp;Settings!$B$9))</f>
        <v/>
      </c>
      <c r="G126" s="25" t="str">
        <f aca="false">IF($A126="","",SUMIFS(Timesheet!$G$5:$G$3004,Timesheet!$D$5:$D$3004,$A126,Timesheet!$A$5:$A$3004,"&gt;="&amp;Settings!$B$8,Timesheet!$A$5:$A$3004,"&lt;="&amp;Settings!$B$9))</f>
        <v/>
      </c>
      <c r="H126" s="25" t="str">
        <f aca="false">IF($A126="","",IF(D126="Monthly",MAX(0,Settings!$B$11-E126),0))</f>
        <v/>
      </c>
      <c r="I126" s="26" t="str">
        <f aca="false">IF($A126="","",N(INDEX(Workers!$L$5:$L$2004,MATCH($A126,Workers!$A$5:$A$2004,0))))</f>
        <v/>
      </c>
      <c r="J126" s="26" t="str">
        <f aca="false">IF($A126="","",N(INDEX(Workers!$M$5:$M$2004,MATCH($A126,Workers!$A$5:$A$2004,0))))</f>
        <v/>
      </c>
      <c r="K126" s="26" t="str">
        <f aca="false">IF($A126="","",IF(D126="Monthly",ROUND(MAX(0,(I126+J126)-(I126+J126)/Settings!$B$10*H126),2),0))</f>
        <v/>
      </c>
      <c r="L126" s="26" t="str">
        <f aca="false">IF($A126="","",IF(D126="Hourly",ROUND(F126*N(INDEX(Workers!$N$5:$N$2004,MATCH($A126,Workers!$A$5:$A$2004,0))),2),0))</f>
        <v/>
      </c>
      <c r="M126" s="26" t="str">
        <f aca="false">IF($A126="","",ROUND(G126*IF(D126="Hourly",N(INDEX(Workers!$N$5:$N$2004,MATCH($A126,Workers!$A$5:$A$2004,0))),I126/Settings!$B$10/Settings!$B$12)*Settings!$B$13,2))</f>
        <v/>
      </c>
      <c r="N126" s="26" t="str">
        <f aca="false">IF($A126="","",K126+L126+M126)</f>
        <v/>
      </c>
      <c r="O126" s="26" t="str">
        <f aca="false">IF($A126="","",SUMIFS(Deductions!$D$5:$D$2000,Deductions!$B$5:$B$2000,$A126,Deductions!$C$5:$C$2000,"Advance",Deductions!$E$5:$E$2000,"&gt;="&amp;Settings!$B$8,Deductions!$E$5:$E$2000,"&lt;="&amp;Settings!$B$9))</f>
        <v/>
      </c>
      <c r="P126" s="26" t="str">
        <f aca="false">IF($A126="","",SUMIFS(Deductions!$D$5:$D$2000,Deductions!$B$5:$B$2000,$A126,Deductions!$E$5:$E$2000,"&gt;="&amp;Settings!$B$8,Deductions!$E$5:$E$2000,"&lt;="&amp;Settings!$B$9)-O126)</f>
        <v/>
      </c>
      <c r="Q126" s="26" t="str">
        <f aca="false">IF($A126="","",O126+P126)</f>
        <v/>
      </c>
      <c r="R126" s="23" t="str">
        <f aca="false">IF($A126="","",N126-Q126)</f>
        <v/>
      </c>
      <c r="S126" s="24" t="str">
        <f aca="false">IF($A126="","",INDEX(Workers!$O$5:$O$2004,MATCH($A126,Workers!$A$5:$A$2004,0))&amp;"")</f>
        <v/>
      </c>
      <c r="T126" s="24" t="str">
        <f aca="false">IF($A126="","",INDEX(Workers!$P$5:$P$2004,MATCH($A126,Workers!$A$5:$A$2004,0))&amp;"")</f>
        <v/>
      </c>
      <c r="U126" s="24" t="str">
        <f aca="false">IF($A126="","",INDEX(Workers!$H$5:$H$2004,MATCH($A126,Workers!$A$5:$A$2004,0))&amp;"")</f>
        <v/>
      </c>
    </row>
    <row r="127" customFormat="false" ht="15" hidden="false" customHeight="false" outlineLevel="0" collapsed="false">
      <c r="A127" s="24" t="str">
        <f aca="false">IFERROR(INDEX(Workers!$A$5:$A$2004,MATCH(ROW()-4,Workers!$U$5:$U$2004,0)),"")</f>
        <v/>
      </c>
      <c r="B127" s="24" t="str">
        <f aca="false">IF($A127="","",INDEX(Workers!$B$5:$B$2004,MATCH($A127,Workers!$A$5:$A$2004,0)))</f>
        <v/>
      </c>
      <c r="C127" s="24" t="str">
        <f aca="false">IF($A127="","",INDEX(Workers!$E$5:$E$2004,MATCH($A127,Workers!$A$5:$A$2004,0)))</f>
        <v/>
      </c>
      <c r="D127" s="24" t="str">
        <f aca="false">IF($A127="","",INDEX(Workers!$K$5:$K$2004,MATCH($A127,Workers!$A$5:$A$2004,0)))</f>
        <v/>
      </c>
      <c r="E127" s="25" t="str">
        <f aca="false">IF($A127="","",SUMIFS(Timesheet!$E$5:$E$3004,Timesheet!$D$5:$D$3004,$A127,Timesheet!$A$5:$A$3004,"&gt;="&amp;Settings!$B$8,Timesheet!$A$5:$A$3004,"&lt;="&amp;Settings!$B$9))</f>
        <v/>
      </c>
      <c r="F127" s="25" t="str">
        <f aca="false">IF($A127="","",SUMIFS(Timesheet!$F$5:$F$3004,Timesheet!$D$5:$D$3004,$A127,Timesheet!$A$5:$A$3004,"&gt;="&amp;Settings!$B$8,Timesheet!$A$5:$A$3004,"&lt;="&amp;Settings!$B$9))</f>
        <v/>
      </c>
      <c r="G127" s="25" t="str">
        <f aca="false">IF($A127="","",SUMIFS(Timesheet!$G$5:$G$3004,Timesheet!$D$5:$D$3004,$A127,Timesheet!$A$5:$A$3004,"&gt;="&amp;Settings!$B$8,Timesheet!$A$5:$A$3004,"&lt;="&amp;Settings!$B$9))</f>
        <v/>
      </c>
      <c r="H127" s="25" t="str">
        <f aca="false">IF($A127="","",IF(D127="Monthly",MAX(0,Settings!$B$11-E127),0))</f>
        <v/>
      </c>
      <c r="I127" s="26" t="str">
        <f aca="false">IF($A127="","",N(INDEX(Workers!$L$5:$L$2004,MATCH($A127,Workers!$A$5:$A$2004,0))))</f>
        <v/>
      </c>
      <c r="J127" s="26" t="str">
        <f aca="false">IF($A127="","",N(INDEX(Workers!$M$5:$M$2004,MATCH($A127,Workers!$A$5:$A$2004,0))))</f>
        <v/>
      </c>
      <c r="K127" s="26" t="str">
        <f aca="false">IF($A127="","",IF(D127="Monthly",ROUND(MAX(0,(I127+J127)-(I127+J127)/Settings!$B$10*H127),2),0))</f>
        <v/>
      </c>
      <c r="L127" s="26" t="str">
        <f aca="false">IF($A127="","",IF(D127="Hourly",ROUND(F127*N(INDEX(Workers!$N$5:$N$2004,MATCH($A127,Workers!$A$5:$A$2004,0))),2),0))</f>
        <v/>
      </c>
      <c r="M127" s="26" t="str">
        <f aca="false">IF($A127="","",ROUND(G127*IF(D127="Hourly",N(INDEX(Workers!$N$5:$N$2004,MATCH($A127,Workers!$A$5:$A$2004,0))),I127/Settings!$B$10/Settings!$B$12)*Settings!$B$13,2))</f>
        <v/>
      </c>
      <c r="N127" s="26" t="str">
        <f aca="false">IF($A127="","",K127+L127+M127)</f>
        <v/>
      </c>
      <c r="O127" s="26" t="str">
        <f aca="false">IF($A127="","",SUMIFS(Deductions!$D$5:$D$2000,Deductions!$B$5:$B$2000,$A127,Deductions!$C$5:$C$2000,"Advance",Deductions!$E$5:$E$2000,"&gt;="&amp;Settings!$B$8,Deductions!$E$5:$E$2000,"&lt;="&amp;Settings!$B$9))</f>
        <v/>
      </c>
      <c r="P127" s="26" t="str">
        <f aca="false">IF($A127="","",SUMIFS(Deductions!$D$5:$D$2000,Deductions!$B$5:$B$2000,$A127,Deductions!$E$5:$E$2000,"&gt;="&amp;Settings!$B$8,Deductions!$E$5:$E$2000,"&lt;="&amp;Settings!$B$9)-O127)</f>
        <v/>
      </c>
      <c r="Q127" s="26" t="str">
        <f aca="false">IF($A127="","",O127+P127)</f>
        <v/>
      </c>
      <c r="R127" s="23" t="str">
        <f aca="false">IF($A127="","",N127-Q127)</f>
        <v/>
      </c>
      <c r="S127" s="24" t="str">
        <f aca="false">IF($A127="","",INDEX(Workers!$O$5:$O$2004,MATCH($A127,Workers!$A$5:$A$2004,0))&amp;"")</f>
        <v/>
      </c>
      <c r="T127" s="24" t="str">
        <f aca="false">IF($A127="","",INDEX(Workers!$P$5:$P$2004,MATCH($A127,Workers!$A$5:$A$2004,0))&amp;"")</f>
        <v/>
      </c>
      <c r="U127" s="24" t="str">
        <f aca="false">IF($A127="","",INDEX(Workers!$H$5:$H$2004,MATCH($A127,Workers!$A$5:$A$2004,0))&amp;"")</f>
        <v/>
      </c>
    </row>
    <row r="128" customFormat="false" ht="15" hidden="false" customHeight="false" outlineLevel="0" collapsed="false">
      <c r="A128" s="24" t="str">
        <f aca="false">IFERROR(INDEX(Workers!$A$5:$A$2004,MATCH(ROW()-4,Workers!$U$5:$U$2004,0)),"")</f>
        <v/>
      </c>
      <c r="B128" s="24" t="str">
        <f aca="false">IF($A128="","",INDEX(Workers!$B$5:$B$2004,MATCH($A128,Workers!$A$5:$A$2004,0)))</f>
        <v/>
      </c>
      <c r="C128" s="24" t="str">
        <f aca="false">IF($A128="","",INDEX(Workers!$E$5:$E$2004,MATCH($A128,Workers!$A$5:$A$2004,0)))</f>
        <v/>
      </c>
      <c r="D128" s="24" t="str">
        <f aca="false">IF($A128="","",INDEX(Workers!$K$5:$K$2004,MATCH($A128,Workers!$A$5:$A$2004,0)))</f>
        <v/>
      </c>
      <c r="E128" s="25" t="str">
        <f aca="false">IF($A128="","",SUMIFS(Timesheet!$E$5:$E$3004,Timesheet!$D$5:$D$3004,$A128,Timesheet!$A$5:$A$3004,"&gt;="&amp;Settings!$B$8,Timesheet!$A$5:$A$3004,"&lt;="&amp;Settings!$B$9))</f>
        <v/>
      </c>
      <c r="F128" s="25" t="str">
        <f aca="false">IF($A128="","",SUMIFS(Timesheet!$F$5:$F$3004,Timesheet!$D$5:$D$3004,$A128,Timesheet!$A$5:$A$3004,"&gt;="&amp;Settings!$B$8,Timesheet!$A$5:$A$3004,"&lt;="&amp;Settings!$B$9))</f>
        <v/>
      </c>
      <c r="G128" s="25" t="str">
        <f aca="false">IF($A128="","",SUMIFS(Timesheet!$G$5:$G$3004,Timesheet!$D$5:$D$3004,$A128,Timesheet!$A$5:$A$3004,"&gt;="&amp;Settings!$B$8,Timesheet!$A$5:$A$3004,"&lt;="&amp;Settings!$B$9))</f>
        <v/>
      </c>
      <c r="H128" s="25" t="str">
        <f aca="false">IF($A128="","",IF(D128="Monthly",MAX(0,Settings!$B$11-E128),0))</f>
        <v/>
      </c>
      <c r="I128" s="26" t="str">
        <f aca="false">IF($A128="","",N(INDEX(Workers!$L$5:$L$2004,MATCH($A128,Workers!$A$5:$A$2004,0))))</f>
        <v/>
      </c>
      <c r="J128" s="26" t="str">
        <f aca="false">IF($A128="","",N(INDEX(Workers!$M$5:$M$2004,MATCH($A128,Workers!$A$5:$A$2004,0))))</f>
        <v/>
      </c>
      <c r="K128" s="26" t="str">
        <f aca="false">IF($A128="","",IF(D128="Monthly",ROUND(MAX(0,(I128+J128)-(I128+J128)/Settings!$B$10*H128),2),0))</f>
        <v/>
      </c>
      <c r="L128" s="26" t="str">
        <f aca="false">IF($A128="","",IF(D128="Hourly",ROUND(F128*N(INDEX(Workers!$N$5:$N$2004,MATCH($A128,Workers!$A$5:$A$2004,0))),2),0))</f>
        <v/>
      </c>
      <c r="M128" s="26" t="str">
        <f aca="false">IF($A128="","",ROUND(G128*IF(D128="Hourly",N(INDEX(Workers!$N$5:$N$2004,MATCH($A128,Workers!$A$5:$A$2004,0))),I128/Settings!$B$10/Settings!$B$12)*Settings!$B$13,2))</f>
        <v/>
      </c>
      <c r="N128" s="26" t="str">
        <f aca="false">IF($A128="","",K128+L128+M128)</f>
        <v/>
      </c>
      <c r="O128" s="26" t="str">
        <f aca="false">IF($A128="","",SUMIFS(Deductions!$D$5:$D$2000,Deductions!$B$5:$B$2000,$A128,Deductions!$C$5:$C$2000,"Advance",Deductions!$E$5:$E$2000,"&gt;="&amp;Settings!$B$8,Deductions!$E$5:$E$2000,"&lt;="&amp;Settings!$B$9))</f>
        <v/>
      </c>
      <c r="P128" s="26" t="str">
        <f aca="false">IF($A128="","",SUMIFS(Deductions!$D$5:$D$2000,Deductions!$B$5:$B$2000,$A128,Deductions!$E$5:$E$2000,"&gt;="&amp;Settings!$B$8,Deductions!$E$5:$E$2000,"&lt;="&amp;Settings!$B$9)-O128)</f>
        <v/>
      </c>
      <c r="Q128" s="26" t="str">
        <f aca="false">IF($A128="","",O128+P128)</f>
        <v/>
      </c>
      <c r="R128" s="23" t="str">
        <f aca="false">IF($A128="","",N128-Q128)</f>
        <v/>
      </c>
      <c r="S128" s="24" t="str">
        <f aca="false">IF($A128="","",INDEX(Workers!$O$5:$O$2004,MATCH($A128,Workers!$A$5:$A$2004,0))&amp;"")</f>
        <v/>
      </c>
      <c r="T128" s="24" t="str">
        <f aca="false">IF($A128="","",INDEX(Workers!$P$5:$P$2004,MATCH($A128,Workers!$A$5:$A$2004,0))&amp;"")</f>
        <v/>
      </c>
      <c r="U128" s="24" t="str">
        <f aca="false">IF($A128="","",INDEX(Workers!$H$5:$H$2004,MATCH($A128,Workers!$A$5:$A$2004,0))&amp;"")</f>
        <v/>
      </c>
    </row>
    <row r="129" customFormat="false" ht="15" hidden="false" customHeight="false" outlineLevel="0" collapsed="false">
      <c r="A129" s="24" t="str">
        <f aca="false">IFERROR(INDEX(Workers!$A$5:$A$2004,MATCH(ROW()-4,Workers!$U$5:$U$2004,0)),"")</f>
        <v/>
      </c>
      <c r="B129" s="24" t="str">
        <f aca="false">IF($A129="","",INDEX(Workers!$B$5:$B$2004,MATCH($A129,Workers!$A$5:$A$2004,0)))</f>
        <v/>
      </c>
      <c r="C129" s="24" t="str">
        <f aca="false">IF($A129="","",INDEX(Workers!$E$5:$E$2004,MATCH($A129,Workers!$A$5:$A$2004,0)))</f>
        <v/>
      </c>
      <c r="D129" s="24" t="str">
        <f aca="false">IF($A129="","",INDEX(Workers!$K$5:$K$2004,MATCH($A129,Workers!$A$5:$A$2004,0)))</f>
        <v/>
      </c>
      <c r="E129" s="25" t="str">
        <f aca="false">IF($A129="","",SUMIFS(Timesheet!$E$5:$E$3004,Timesheet!$D$5:$D$3004,$A129,Timesheet!$A$5:$A$3004,"&gt;="&amp;Settings!$B$8,Timesheet!$A$5:$A$3004,"&lt;="&amp;Settings!$B$9))</f>
        <v/>
      </c>
      <c r="F129" s="25" t="str">
        <f aca="false">IF($A129="","",SUMIFS(Timesheet!$F$5:$F$3004,Timesheet!$D$5:$D$3004,$A129,Timesheet!$A$5:$A$3004,"&gt;="&amp;Settings!$B$8,Timesheet!$A$5:$A$3004,"&lt;="&amp;Settings!$B$9))</f>
        <v/>
      </c>
      <c r="G129" s="25" t="str">
        <f aca="false">IF($A129="","",SUMIFS(Timesheet!$G$5:$G$3004,Timesheet!$D$5:$D$3004,$A129,Timesheet!$A$5:$A$3004,"&gt;="&amp;Settings!$B$8,Timesheet!$A$5:$A$3004,"&lt;="&amp;Settings!$B$9))</f>
        <v/>
      </c>
      <c r="H129" s="25" t="str">
        <f aca="false">IF($A129="","",IF(D129="Monthly",MAX(0,Settings!$B$11-E129),0))</f>
        <v/>
      </c>
      <c r="I129" s="26" t="str">
        <f aca="false">IF($A129="","",N(INDEX(Workers!$L$5:$L$2004,MATCH($A129,Workers!$A$5:$A$2004,0))))</f>
        <v/>
      </c>
      <c r="J129" s="26" t="str">
        <f aca="false">IF($A129="","",N(INDEX(Workers!$M$5:$M$2004,MATCH($A129,Workers!$A$5:$A$2004,0))))</f>
        <v/>
      </c>
      <c r="K129" s="26" t="str">
        <f aca="false">IF($A129="","",IF(D129="Monthly",ROUND(MAX(0,(I129+J129)-(I129+J129)/Settings!$B$10*H129),2),0))</f>
        <v/>
      </c>
      <c r="L129" s="26" t="str">
        <f aca="false">IF($A129="","",IF(D129="Hourly",ROUND(F129*N(INDEX(Workers!$N$5:$N$2004,MATCH($A129,Workers!$A$5:$A$2004,0))),2),0))</f>
        <v/>
      </c>
      <c r="M129" s="26" t="str">
        <f aca="false">IF($A129="","",ROUND(G129*IF(D129="Hourly",N(INDEX(Workers!$N$5:$N$2004,MATCH($A129,Workers!$A$5:$A$2004,0))),I129/Settings!$B$10/Settings!$B$12)*Settings!$B$13,2))</f>
        <v/>
      </c>
      <c r="N129" s="26" t="str">
        <f aca="false">IF($A129="","",K129+L129+M129)</f>
        <v/>
      </c>
      <c r="O129" s="26" t="str">
        <f aca="false">IF($A129="","",SUMIFS(Deductions!$D$5:$D$2000,Deductions!$B$5:$B$2000,$A129,Deductions!$C$5:$C$2000,"Advance",Deductions!$E$5:$E$2000,"&gt;="&amp;Settings!$B$8,Deductions!$E$5:$E$2000,"&lt;="&amp;Settings!$B$9))</f>
        <v/>
      </c>
      <c r="P129" s="26" t="str">
        <f aca="false">IF($A129="","",SUMIFS(Deductions!$D$5:$D$2000,Deductions!$B$5:$B$2000,$A129,Deductions!$E$5:$E$2000,"&gt;="&amp;Settings!$B$8,Deductions!$E$5:$E$2000,"&lt;="&amp;Settings!$B$9)-O129)</f>
        <v/>
      </c>
      <c r="Q129" s="26" t="str">
        <f aca="false">IF($A129="","",O129+P129)</f>
        <v/>
      </c>
      <c r="R129" s="23" t="str">
        <f aca="false">IF($A129="","",N129-Q129)</f>
        <v/>
      </c>
      <c r="S129" s="24" t="str">
        <f aca="false">IF($A129="","",INDEX(Workers!$O$5:$O$2004,MATCH($A129,Workers!$A$5:$A$2004,0))&amp;"")</f>
        <v/>
      </c>
      <c r="T129" s="24" t="str">
        <f aca="false">IF($A129="","",INDEX(Workers!$P$5:$P$2004,MATCH($A129,Workers!$A$5:$A$2004,0))&amp;"")</f>
        <v/>
      </c>
      <c r="U129" s="24" t="str">
        <f aca="false">IF($A129="","",INDEX(Workers!$H$5:$H$2004,MATCH($A129,Workers!$A$5:$A$2004,0))&amp;"")</f>
        <v/>
      </c>
    </row>
    <row r="130" customFormat="false" ht="15" hidden="false" customHeight="false" outlineLevel="0" collapsed="false">
      <c r="A130" s="24" t="str">
        <f aca="false">IFERROR(INDEX(Workers!$A$5:$A$2004,MATCH(ROW()-4,Workers!$U$5:$U$2004,0)),"")</f>
        <v/>
      </c>
      <c r="B130" s="24" t="str">
        <f aca="false">IF($A130="","",INDEX(Workers!$B$5:$B$2004,MATCH($A130,Workers!$A$5:$A$2004,0)))</f>
        <v/>
      </c>
      <c r="C130" s="24" t="str">
        <f aca="false">IF($A130="","",INDEX(Workers!$E$5:$E$2004,MATCH($A130,Workers!$A$5:$A$2004,0)))</f>
        <v/>
      </c>
      <c r="D130" s="24" t="str">
        <f aca="false">IF($A130="","",INDEX(Workers!$K$5:$K$2004,MATCH($A130,Workers!$A$5:$A$2004,0)))</f>
        <v/>
      </c>
      <c r="E130" s="25" t="str">
        <f aca="false">IF($A130="","",SUMIFS(Timesheet!$E$5:$E$3004,Timesheet!$D$5:$D$3004,$A130,Timesheet!$A$5:$A$3004,"&gt;="&amp;Settings!$B$8,Timesheet!$A$5:$A$3004,"&lt;="&amp;Settings!$B$9))</f>
        <v/>
      </c>
      <c r="F130" s="25" t="str">
        <f aca="false">IF($A130="","",SUMIFS(Timesheet!$F$5:$F$3004,Timesheet!$D$5:$D$3004,$A130,Timesheet!$A$5:$A$3004,"&gt;="&amp;Settings!$B$8,Timesheet!$A$5:$A$3004,"&lt;="&amp;Settings!$B$9))</f>
        <v/>
      </c>
      <c r="G130" s="25" t="str">
        <f aca="false">IF($A130="","",SUMIFS(Timesheet!$G$5:$G$3004,Timesheet!$D$5:$D$3004,$A130,Timesheet!$A$5:$A$3004,"&gt;="&amp;Settings!$B$8,Timesheet!$A$5:$A$3004,"&lt;="&amp;Settings!$B$9))</f>
        <v/>
      </c>
      <c r="H130" s="25" t="str">
        <f aca="false">IF($A130="","",IF(D130="Monthly",MAX(0,Settings!$B$11-E130),0))</f>
        <v/>
      </c>
      <c r="I130" s="26" t="str">
        <f aca="false">IF($A130="","",N(INDEX(Workers!$L$5:$L$2004,MATCH($A130,Workers!$A$5:$A$2004,0))))</f>
        <v/>
      </c>
      <c r="J130" s="26" t="str">
        <f aca="false">IF($A130="","",N(INDEX(Workers!$M$5:$M$2004,MATCH($A130,Workers!$A$5:$A$2004,0))))</f>
        <v/>
      </c>
      <c r="K130" s="26" t="str">
        <f aca="false">IF($A130="","",IF(D130="Monthly",ROUND(MAX(0,(I130+J130)-(I130+J130)/Settings!$B$10*H130),2),0))</f>
        <v/>
      </c>
      <c r="L130" s="26" t="str">
        <f aca="false">IF($A130="","",IF(D130="Hourly",ROUND(F130*N(INDEX(Workers!$N$5:$N$2004,MATCH($A130,Workers!$A$5:$A$2004,0))),2),0))</f>
        <v/>
      </c>
      <c r="M130" s="26" t="str">
        <f aca="false">IF($A130="","",ROUND(G130*IF(D130="Hourly",N(INDEX(Workers!$N$5:$N$2004,MATCH($A130,Workers!$A$5:$A$2004,0))),I130/Settings!$B$10/Settings!$B$12)*Settings!$B$13,2))</f>
        <v/>
      </c>
      <c r="N130" s="26" t="str">
        <f aca="false">IF($A130="","",K130+L130+M130)</f>
        <v/>
      </c>
      <c r="O130" s="26" t="str">
        <f aca="false">IF($A130="","",SUMIFS(Deductions!$D$5:$D$2000,Deductions!$B$5:$B$2000,$A130,Deductions!$C$5:$C$2000,"Advance",Deductions!$E$5:$E$2000,"&gt;="&amp;Settings!$B$8,Deductions!$E$5:$E$2000,"&lt;="&amp;Settings!$B$9))</f>
        <v/>
      </c>
      <c r="P130" s="26" t="str">
        <f aca="false">IF($A130="","",SUMIFS(Deductions!$D$5:$D$2000,Deductions!$B$5:$B$2000,$A130,Deductions!$E$5:$E$2000,"&gt;="&amp;Settings!$B$8,Deductions!$E$5:$E$2000,"&lt;="&amp;Settings!$B$9)-O130)</f>
        <v/>
      </c>
      <c r="Q130" s="26" t="str">
        <f aca="false">IF($A130="","",O130+P130)</f>
        <v/>
      </c>
      <c r="R130" s="23" t="str">
        <f aca="false">IF($A130="","",N130-Q130)</f>
        <v/>
      </c>
      <c r="S130" s="24" t="str">
        <f aca="false">IF($A130="","",INDEX(Workers!$O$5:$O$2004,MATCH($A130,Workers!$A$5:$A$2004,0))&amp;"")</f>
        <v/>
      </c>
      <c r="T130" s="24" t="str">
        <f aca="false">IF($A130="","",INDEX(Workers!$P$5:$P$2004,MATCH($A130,Workers!$A$5:$A$2004,0))&amp;"")</f>
        <v/>
      </c>
      <c r="U130" s="24" t="str">
        <f aca="false">IF($A130="","",INDEX(Workers!$H$5:$H$2004,MATCH($A130,Workers!$A$5:$A$2004,0))&amp;"")</f>
        <v/>
      </c>
    </row>
    <row r="131" customFormat="false" ht="15" hidden="false" customHeight="false" outlineLevel="0" collapsed="false">
      <c r="A131" s="24" t="str">
        <f aca="false">IFERROR(INDEX(Workers!$A$5:$A$2004,MATCH(ROW()-4,Workers!$U$5:$U$2004,0)),"")</f>
        <v/>
      </c>
      <c r="B131" s="24" t="str">
        <f aca="false">IF($A131="","",INDEX(Workers!$B$5:$B$2004,MATCH($A131,Workers!$A$5:$A$2004,0)))</f>
        <v/>
      </c>
      <c r="C131" s="24" t="str">
        <f aca="false">IF($A131="","",INDEX(Workers!$E$5:$E$2004,MATCH($A131,Workers!$A$5:$A$2004,0)))</f>
        <v/>
      </c>
      <c r="D131" s="24" t="str">
        <f aca="false">IF($A131="","",INDEX(Workers!$K$5:$K$2004,MATCH($A131,Workers!$A$5:$A$2004,0)))</f>
        <v/>
      </c>
      <c r="E131" s="25" t="str">
        <f aca="false">IF($A131="","",SUMIFS(Timesheet!$E$5:$E$3004,Timesheet!$D$5:$D$3004,$A131,Timesheet!$A$5:$A$3004,"&gt;="&amp;Settings!$B$8,Timesheet!$A$5:$A$3004,"&lt;="&amp;Settings!$B$9))</f>
        <v/>
      </c>
      <c r="F131" s="25" t="str">
        <f aca="false">IF($A131="","",SUMIFS(Timesheet!$F$5:$F$3004,Timesheet!$D$5:$D$3004,$A131,Timesheet!$A$5:$A$3004,"&gt;="&amp;Settings!$B$8,Timesheet!$A$5:$A$3004,"&lt;="&amp;Settings!$B$9))</f>
        <v/>
      </c>
      <c r="G131" s="25" t="str">
        <f aca="false">IF($A131="","",SUMIFS(Timesheet!$G$5:$G$3004,Timesheet!$D$5:$D$3004,$A131,Timesheet!$A$5:$A$3004,"&gt;="&amp;Settings!$B$8,Timesheet!$A$5:$A$3004,"&lt;="&amp;Settings!$B$9))</f>
        <v/>
      </c>
      <c r="H131" s="25" t="str">
        <f aca="false">IF($A131="","",IF(D131="Monthly",MAX(0,Settings!$B$11-E131),0))</f>
        <v/>
      </c>
      <c r="I131" s="26" t="str">
        <f aca="false">IF($A131="","",N(INDEX(Workers!$L$5:$L$2004,MATCH($A131,Workers!$A$5:$A$2004,0))))</f>
        <v/>
      </c>
      <c r="J131" s="26" t="str">
        <f aca="false">IF($A131="","",N(INDEX(Workers!$M$5:$M$2004,MATCH($A131,Workers!$A$5:$A$2004,0))))</f>
        <v/>
      </c>
      <c r="K131" s="26" t="str">
        <f aca="false">IF($A131="","",IF(D131="Monthly",ROUND(MAX(0,(I131+J131)-(I131+J131)/Settings!$B$10*H131),2),0))</f>
        <v/>
      </c>
      <c r="L131" s="26" t="str">
        <f aca="false">IF($A131="","",IF(D131="Hourly",ROUND(F131*N(INDEX(Workers!$N$5:$N$2004,MATCH($A131,Workers!$A$5:$A$2004,0))),2),0))</f>
        <v/>
      </c>
      <c r="M131" s="26" t="str">
        <f aca="false">IF($A131="","",ROUND(G131*IF(D131="Hourly",N(INDEX(Workers!$N$5:$N$2004,MATCH($A131,Workers!$A$5:$A$2004,0))),I131/Settings!$B$10/Settings!$B$12)*Settings!$B$13,2))</f>
        <v/>
      </c>
      <c r="N131" s="26" t="str">
        <f aca="false">IF($A131="","",K131+L131+M131)</f>
        <v/>
      </c>
      <c r="O131" s="26" t="str">
        <f aca="false">IF($A131="","",SUMIFS(Deductions!$D$5:$D$2000,Deductions!$B$5:$B$2000,$A131,Deductions!$C$5:$C$2000,"Advance",Deductions!$E$5:$E$2000,"&gt;="&amp;Settings!$B$8,Deductions!$E$5:$E$2000,"&lt;="&amp;Settings!$B$9))</f>
        <v/>
      </c>
      <c r="P131" s="26" t="str">
        <f aca="false">IF($A131="","",SUMIFS(Deductions!$D$5:$D$2000,Deductions!$B$5:$B$2000,$A131,Deductions!$E$5:$E$2000,"&gt;="&amp;Settings!$B$8,Deductions!$E$5:$E$2000,"&lt;="&amp;Settings!$B$9)-O131)</f>
        <v/>
      </c>
      <c r="Q131" s="26" t="str">
        <f aca="false">IF($A131="","",O131+P131)</f>
        <v/>
      </c>
      <c r="R131" s="23" t="str">
        <f aca="false">IF($A131="","",N131-Q131)</f>
        <v/>
      </c>
      <c r="S131" s="24" t="str">
        <f aca="false">IF($A131="","",INDEX(Workers!$O$5:$O$2004,MATCH($A131,Workers!$A$5:$A$2004,0))&amp;"")</f>
        <v/>
      </c>
      <c r="T131" s="24" t="str">
        <f aca="false">IF($A131="","",INDEX(Workers!$P$5:$P$2004,MATCH($A131,Workers!$A$5:$A$2004,0))&amp;"")</f>
        <v/>
      </c>
      <c r="U131" s="24" t="str">
        <f aca="false">IF($A131="","",INDEX(Workers!$H$5:$H$2004,MATCH($A131,Workers!$A$5:$A$2004,0))&amp;"")</f>
        <v/>
      </c>
    </row>
    <row r="132" customFormat="false" ht="15" hidden="false" customHeight="false" outlineLevel="0" collapsed="false">
      <c r="A132" s="24" t="str">
        <f aca="false">IFERROR(INDEX(Workers!$A$5:$A$2004,MATCH(ROW()-4,Workers!$U$5:$U$2004,0)),"")</f>
        <v/>
      </c>
      <c r="B132" s="24" t="str">
        <f aca="false">IF($A132="","",INDEX(Workers!$B$5:$B$2004,MATCH($A132,Workers!$A$5:$A$2004,0)))</f>
        <v/>
      </c>
      <c r="C132" s="24" t="str">
        <f aca="false">IF($A132="","",INDEX(Workers!$E$5:$E$2004,MATCH($A132,Workers!$A$5:$A$2004,0)))</f>
        <v/>
      </c>
      <c r="D132" s="24" t="str">
        <f aca="false">IF($A132="","",INDEX(Workers!$K$5:$K$2004,MATCH($A132,Workers!$A$5:$A$2004,0)))</f>
        <v/>
      </c>
      <c r="E132" s="25" t="str">
        <f aca="false">IF($A132="","",SUMIFS(Timesheet!$E$5:$E$3004,Timesheet!$D$5:$D$3004,$A132,Timesheet!$A$5:$A$3004,"&gt;="&amp;Settings!$B$8,Timesheet!$A$5:$A$3004,"&lt;="&amp;Settings!$B$9))</f>
        <v/>
      </c>
      <c r="F132" s="25" t="str">
        <f aca="false">IF($A132="","",SUMIFS(Timesheet!$F$5:$F$3004,Timesheet!$D$5:$D$3004,$A132,Timesheet!$A$5:$A$3004,"&gt;="&amp;Settings!$B$8,Timesheet!$A$5:$A$3004,"&lt;="&amp;Settings!$B$9))</f>
        <v/>
      </c>
      <c r="G132" s="25" t="str">
        <f aca="false">IF($A132="","",SUMIFS(Timesheet!$G$5:$G$3004,Timesheet!$D$5:$D$3004,$A132,Timesheet!$A$5:$A$3004,"&gt;="&amp;Settings!$B$8,Timesheet!$A$5:$A$3004,"&lt;="&amp;Settings!$B$9))</f>
        <v/>
      </c>
      <c r="H132" s="25" t="str">
        <f aca="false">IF($A132="","",IF(D132="Monthly",MAX(0,Settings!$B$11-E132),0))</f>
        <v/>
      </c>
      <c r="I132" s="26" t="str">
        <f aca="false">IF($A132="","",N(INDEX(Workers!$L$5:$L$2004,MATCH($A132,Workers!$A$5:$A$2004,0))))</f>
        <v/>
      </c>
      <c r="J132" s="26" t="str">
        <f aca="false">IF($A132="","",N(INDEX(Workers!$M$5:$M$2004,MATCH($A132,Workers!$A$5:$A$2004,0))))</f>
        <v/>
      </c>
      <c r="K132" s="26" t="str">
        <f aca="false">IF($A132="","",IF(D132="Monthly",ROUND(MAX(0,(I132+J132)-(I132+J132)/Settings!$B$10*H132),2),0))</f>
        <v/>
      </c>
      <c r="L132" s="26" t="str">
        <f aca="false">IF($A132="","",IF(D132="Hourly",ROUND(F132*N(INDEX(Workers!$N$5:$N$2004,MATCH($A132,Workers!$A$5:$A$2004,0))),2),0))</f>
        <v/>
      </c>
      <c r="M132" s="26" t="str">
        <f aca="false">IF($A132="","",ROUND(G132*IF(D132="Hourly",N(INDEX(Workers!$N$5:$N$2004,MATCH($A132,Workers!$A$5:$A$2004,0))),I132/Settings!$B$10/Settings!$B$12)*Settings!$B$13,2))</f>
        <v/>
      </c>
      <c r="N132" s="26" t="str">
        <f aca="false">IF($A132="","",K132+L132+M132)</f>
        <v/>
      </c>
      <c r="O132" s="26" t="str">
        <f aca="false">IF($A132="","",SUMIFS(Deductions!$D$5:$D$2000,Deductions!$B$5:$B$2000,$A132,Deductions!$C$5:$C$2000,"Advance",Deductions!$E$5:$E$2000,"&gt;="&amp;Settings!$B$8,Deductions!$E$5:$E$2000,"&lt;="&amp;Settings!$B$9))</f>
        <v/>
      </c>
      <c r="P132" s="26" t="str">
        <f aca="false">IF($A132="","",SUMIFS(Deductions!$D$5:$D$2000,Deductions!$B$5:$B$2000,$A132,Deductions!$E$5:$E$2000,"&gt;="&amp;Settings!$B$8,Deductions!$E$5:$E$2000,"&lt;="&amp;Settings!$B$9)-O132)</f>
        <v/>
      </c>
      <c r="Q132" s="26" t="str">
        <f aca="false">IF($A132="","",O132+P132)</f>
        <v/>
      </c>
      <c r="R132" s="23" t="str">
        <f aca="false">IF($A132="","",N132-Q132)</f>
        <v/>
      </c>
      <c r="S132" s="24" t="str">
        <f aca="false">IF($A132="","",INDEX(Workers!$O$5:$O$2004,MATCH($A132,Workers!$A$5:$A$2004,0))&amp;"")</f>
        <v/>
      </c>
      <c r="T132" s="24" t="str">
        <f aca="false">IF($A132="","",INDEX(Workers!$P$5:$P$2004,MATCH($A132,Workers!$A$5:$A$2004,0))&amp;"")</f>
        <v/>
      </c>
      <c r="U132" s="24" t="str">
        <f aca="false">IF($A132="","",INDEX(Workers!$H$5:$H$2004,MATCH($A132,Workers!$A$5:$A$2004,0))&amp;"")</f>
        <v/>
      </c>
    </row>
    <row r="133" customFormat="false" ht="15" hidden="false" customHeight="false" outlineLevel="0" collapsed="false">
      <c r="A133" s="24" t="str">
        <f aca="false">IFERROR(INDEX(Workers!$A$5:$A$2004,MATCH(ROW()-4,Workers!$U$5:$U$2004,0)),"")</f>
        <v/>
      </c>
      <c r="B133" s="24" t="str">
        <f aca="false">IF($A133="","",INDEX(Workers!$B$5:$B$2004,MATCH($A133,Workers!$A$5:$A$2004,0)))</f>
        <v/>
      </c>
      <c r="C133" s="24" t="str">
        <f aca="false">IF($A133="","",INDEX(Workers!$E$5:$E$2004,MATCH($A133,Workers!$A$5:$A$2004,0)))</f>
        <v/>
      </c>
      <c r="D133" s="24" t="str">
        <f aca="false">IF($A133="","",INDEX(Workers!$K$5:$K$2004,MATCH($A133,Workers!$A$5:$A$2004,0)))</f>
        <v/>
      </c>
      <c r="E133" s="25" t="str">
        <f aca="false">IF($A133="","",SUMIFS(Timesheet!$E$5:$E$3004,Timesheet!$D$5:$D$3004,$A133,Timesheet!$A$5:$A$3004,"&gt;="&amp;Settings!$B$8,Timesheet!$A$5:$A$3004,"&lt;="&amp;Settings!$B$9))</f>
        <v/>
      </c>
      <c r="F133" s="25" t="str">
        <f aca="false">IF($A133="","",SUMIFS(Timesheet!$F$5:$F$3004,Timesheet!$D$5:$D$3004,$A133,Timesheet!$A$5:$A$3004,"&gt;="&amp;Settings!$B$8,Timesheet!$A$5:$A$3004,"&lt;="&amp;Settings!$B$9))</f>
        <v/>
      </c>
      <c r="G133" s="25" t="str">
        <f aca="false">IF($A133="","",SUMIFS(Timesheet!$G$5:$G$3004,Timesheet!$D$5:$D$3004,$A133,Timesheet!$A$5:$A$3004,"&gt;="&amp;Settings!$B$8,Timesheet!$A$5:$A$3004,"&lt;="&amp;Settings!$B$9))</f>
        <v/>
      </c>
      <c r="H133" s="25" t="str">
        <f aca="false">IF($A133="","",IF(D133="Monthly",MAX(0,Settings!$B$11-E133),0))</f>
        <v/>
      </c>
      <c r="I133" s="26" t="str">
        <f aca="false">IF($A133="","",N(INDEX(Workers!$L$5:$L$2004,MATCH($A133,Workers!$A$5:$A$2004,0))))</f>
        <v/>
      </c>
      <c r="J133" s="26" t="str">
        <f aca="false">IF($A133="","",N(INDEX(Workers!$M$5:$M$2004,MATCH($A133,Workers!$A$5:$A$2004,0))))</f>
        <v/>
      </c>
      <c r="K133" s="26" t="str">
        <f aca="false">IF($A133="","",IF(D133="Monthly",ROUND(MAX(0,(I133+J133)-(I133+J133)/Settings!$B$10*H133),2),0))</f>
        <v/>
      </c>
      <c r="L133" s="26" t="str">
        <f aca="false">IF($A133="","",IF(D133="Hourly",ROUND(F133*N(INDEX(Workers!$N$5:$N$2004,MATCH($A133,Workers!$A$5:$A$2004,0))),2),0))</f>
        <v/>
      </c>
      <c r="M133" s="26" t="str">
        <f aca="false">IF($A133="","",ROUND(G133*IF(D133="Hourly",N(INDEX(Workers!$N$5:$N$2004,MATCH($A133,Workers!$A$5:$A$2004,0))),I133/Settings!$B$10/Settings!$B$12)*Settings!$B$13,2))</f>
        <v/>
      </c>
      <c r="N133" s="26" t="str">
        <f aca="false">IF($A133="","",K133+L133+M133)</f>
        <v/>
      </c>
      <c r="O133" s="26" t="str">
        <f aca="false">IF($A133="","",SUMIFS(Deductions!$D$5:$D$2000,Deductions!$B$5:$B$2000,$A133,Deductions!$C$5:$C$2000,"Advance",Deductions!$E$5:$E$2000,"&gt;="&amp;Settings!$B$8,Deductions!$E$5:$E$2000,"&lt;="&amp;Settings!$B$9))</f>
        <v/>
      </c>
      <c r="P133" s="26" t="str">
        <f aca="false">IF($A133="","",SUMIFS(Deductions!$D$5:$D$2000,Deductions!$B$5:$B$2000,$A133,Deductions!$E$5:$E$2000,"&gt;="&amp;Settings!$B$8,Deductions!$E$5:$E$2000,"&lt;="&amp;Settings!$B$9)-O133)</f>
        <v/>
      </c>
      <c r="Q133" s="26" t="str">
        <f aca="false">IF($A133="","",O133+P133)</f>
        <v/>
      </c>
      <c r="R133" s="23" t="str">
        <f aca="false">IF($A133="","",N133-Q133)</f>
        <v/>
      </c>
      <c r="S133" s="24" t="str">
        <f aca="false">IF($A133="","",INDEX(Workers!$O$5:$O$2004,MATCH($A133,Workers!$A$5:$A$2004,0))&amp;"")</f>
        <v/>
      </c>
      <c r="T133" s="24" t="str">
        <f aca="false">IF($A133="","",INDEX(Workers!$P$5:$P$2004,MATCH($A133,Workers!$A$5:$A$2004,0))&amp;"")</f>
        <v/>
      </c>
      <c r="U133" s="24" t="str">
        <f aca="false">IF($A133="","",INDEX(Workers!$H$5:$H$2004,MATCH($A133,Workers!$A$5:$A$2004,0))&amp;"")</f>
        <v/>
      </c>
    </row>
    <row r="134" customFormat="false" ht="15" hidden="false" customHeight="false" outlineLevel="0" collapsed="false">
      <c r="A134" s="24" t="str">
        <f aca="false">IFERROR(INDEX(Workers!$A$5:$A$2004,MATCH(ROW()-4,Workers!$U$5:$U$2004,0)),"")</f>
        <v/>
      </c>
      <c r="B134" s="24" t="str">
        <f aca="false">IF($A134="","",INDEX(Workers!$B$5:$B$2004,MATCH($A134,Workers!$A$5:$A$2004,0)))</f>
        <v/>
      </c>
      <c r="C134" s="24" t="str">
        <f aca="false">IF($A134="","",INDEX(Workers!$E$5:$E$2004,MATCH($A134,Workers!$A$5:$A$2004,0)))</f>
        <v/>
      </c>
      <c r="D134" s="24" t="str">
        <f aca="false">IF($A134="","",INDEX(Workers!$K$5:$K$2004,MATCH($A134,Workers!$A$5:$A$2004,0)))</f>
        <v/>
      </c>
      <c r="E134" s="25" t="str">
        <f aca="false">IF($A134="","",SUMIFS(Timesheet!$E$5:$E$3004,Timesheet!$D$5:$D$3004,$A134,Timesheet!$A$5:$A$3004,"&gt;="&amp;Settings!$B$8,Timesheet!$A$5:$A$3004,"&lt;="&amp;Settings!$B$9))</f>
        <v/>
      </c>
      <c r="F134" s="25" t="str">
        <f aca="false">IF($A134="","",SUMIFS(Timesheet!$F$5:$F$3004,Timesheet!$D$5:$D$3004,$A134,Timesheet!$A$5:$A$3004,"&gt;="&amp;Settings!$B$8,Timesheet!$A$5:$A$3004,"&lt;="&amp;Settings!$B$9))</f>
        <v/>
      </c>
      <c r="G134" s="25" t="str">
        <f aca="false">IF($A134="","",SUMIFS(Timesheet!$G$5:$G$3004,Timesheet!$D$5:$D$3004,$A134,Timesheet!$A$5:$A$3004,"&gt;="&amp;Settings!$B$8,Timesheet!$A$5:$A$3004,"&lt;="&amp;Settings!$B$9))</f>
        <v/>
      </c>
      <c r="H134" s="25" t="str">
        <f aca="false">IF($A134="","",IF(D134="Monthly",MAX(0,Settings!$B$11-E134),0))</f>
        <v/>
      </c>
      <c r="I134" s="26" t="str">
        <f aca="false">IF($A134="","",N(INDEX(Workers!$L$5:$L$2004,MATCH($A134,Workers!$A$5:$A$2004,0))))</f>
        <v/>
      </c>
      <c r="J134" s="26" t="str">
        <f aca="false">IF($A134="","",N(INDEX(Workers!$M$5:$M$2004,MATCH($A134,Workers!$A$5:$A$2004,0))))</f>
        <v/>
      </c>
      <c r="K134" s="26" t="str">
        <f aca="false">IF($A134="","",IF(D134="Monthly",ROUND(MAX(0,(I134+J134)-(I134+J134)/Settings!$B$10*H134),2),0))</f>
        <v/>
      </c>
      <c r="L134" s="26" t="str">
        <f aca="false">IF($A134="","",IF(D134="Hourly",ROUND(F134*N(INDEX(Workers!$N$5:$N$2004,MATCH($A134,Workers!$A$5:$A$2004,0))),2),0))</f>
        <v/>
      </c>
      <c r="M134" s="26" t="str">
        <f aca="false">IF($A134="","",ROUND(G134*IF(D134="Hourly",N(INDEX(Workers!$N$5:$N$2004,MATCH($A134,Workers!$A$5:$A$2004,0))),I134/Settings!$B$10/Settings!$B$12)*Settings!$B$13,2))</f>
        <v/>
      </c>
      <c r="N134" s="26" t="str">
        <f aca="false">IF($A134="","",K134+L134+M134)</f>
        <v/>
      </c>
      <c r="O134" s="26" t="str">
        <f aca="false">IF($A134="","",SUMIFS(Deductions!$D$5:$D$2000,Deductions!$B$5:$B$2000,$A134,Deductions!$C$5:$C$2000,"Advance",Deductions!$E$5:$E$2000,"&gt;="&amp;Settings!$B$8,Deductions!$E$5:$E$2000,"&lt;="&amp;Settings!$B$9))</f>
        <v/>
      </c>
      <c r="P134" s="26" t="str">
        <f aca="false">IF($A134="","",SUMIFS(Deductions!$D$5:$D$2000,Deductions!$B$5:$B$2000,$A134,Deductions!$E$5:$E$2000,"&gt;="&amp;Settings!$B$8,Deductions!$E$5:$E$2000,"&lt;="&amp;Settings!$B$9)-O134)</f>
        <v/>
      </c>
      <c r="Q134" s="26" t="str">
        <f aca="false">IF($A134="","",O134+P134)</f>
        <v/>
      </c>
      <c r="R134" s="23" t="str">
        <f aca="false">IF($A134="","",N134-Q134)</f>
        <v/>
      </c>
      <c r="S134" s="24" t="str">
        <f aca="false">IF($A134="","",INDEX(Workers!$O$5:$O$2004,MATCH($A134,Workers!$A$5:$A$2004,0))&amp;"")</f>
        <v/>
      </c>
      <c r="T134" s="24" t="str">
        <f aca="false">IF($A134="","",INDEX(Workers!$P$5:$P$2004,MATCH($A134,Workers!$A$5:$A$2004,0))&amp;"")</f>
        <v/>
      </c>
      <c r="U134" s="24" t="str">
        <f aca="false">IF($A134="","",INDEX(Workers!$H$5:$H$2004,MATCH($A134,Workers!$A$5:$A$2004,0))&amp;"")</f>
        <v/>
      </c>
    </row>
    <row r="135" customFormat="false" ht="15" hidden="false" customHeight="false" outlineLevel="0" collapsed="false">
      <c r="A135" s="24" t="str">
        <f aca="false">IFERROR(INDEX(Workers!$A$5:$A$2004,MATCH(ROW()-4,Workers!$U$5:$U$2004,0)),"")</f>
        <v/>
      </c>
      <c r="B135" s="24" t="str">
        <f aca="false">IF($A135="","",INDEX(Workers!$B$5:$B$2004,MATCH($A135,Workers!$A$5:$A$2004,0)))</f>
        <v/>
      </c>
      <c r="C135" s="24" t="str">
        <f aca="false">IF($A135="","",INDEX(Workers!$E$5:$E$2004,MATCH($A135,Workers!$A$5:$A$2004,0)))</f>
        <v/>
      </c>
      <c r="D135" s="24" t="str">
        <f aca="false">IF($A135="","",INDEX(Workers!$K$5:$K$2004,MATCH($A135,Workers!$A$5:$A$2004,0)))</f>
        <v/>
      </c>
      <c r="E135" s="25" t="str">
        <f aca="false">IF($A135="","",SUMIFS(Timesheet!$E$5:$E$3004,Timesheet!$D$5:$D$3004,$A135,Timesheet!$A$5:$A$3004,"&gt;="&amp;Settings!$B$8,Timesheet!$A$5:$A$3004,"&lt;="&amp;Settings!$B$9))</f>
        <v/>
      </c>
      <c r="F135" s="25" t="str">
        <f aca="false">IF($A135="","",SUMIFS(Timesheet!$F$5:$F$3004,Timesheet!$D$5:$D$3004,$A135,Timesheet!$A$5:$A$3004,"&gt;="&amp;Settings!$B$8,Timesheet!$A$5:$A$3004,"&lt;="&amp;Settings!$B$9))</f>
        <v/>
      </c>
      <c r="G135" s="25" t="str">
        <f aca="false">IF($A135="","",SUMIFS(Timesheet!$G$5:$G$3004,Timesheet!$D$5:$D$3004,$A135,Timesheet!$A$5:$A$3004,"&gt;="&amp;Settings!$B$8,Timesheet!$A$5:$A$3004,"&lt;="&amp;Settings!$B$9))</f>
        <v/>
      </c>
      <c r="H135" s="25" t="str">
        <f aca="false">IF($A135="","",IF(D135="Monthly",MAX(0,Settings!$B$11-E135),0))</f>
        <v/>
      </c>
      <c r="I135" s="26" t="str">
        <f aca="false">IF($A135="","",N(INDEX(Workers!$L$5:$L$2004,MATCH($A135,Workers!$A$5:$A$2004,0))))</f>
        <v/>
      </c>
      <c r="J135" s="26" t="str">
        <f aca="false">IF($A135="","",N(INDEX(Workers!$M$5:$M$2004,MATCH($A135,Workers!$A$5:$A$2004,0))))</f>
        <v/>
      </c>
      <c r="K135" s="26" t="str">
        <f aca="false">IF($A135="","",IF(D135="Monthly",ROUND(MAX(0,(I135+J135)-(I135+J135)/Settings!$B$10*H135),2),0))</f>
        <v/>
      </c>
      <c r="L135" s="26" t="str">
        <f aca="false">IF($A135="","",IF(D135="Hourly",ROUND(F135*N(INDEX(Workers!$N$5:$N$2004,MATCH($A135,Workers!$A$5:$A$2004,0))),2),0))</f>
        <v/>
      </c>
      <c r="M135" s="26" t="str">
        <f aca="false">IF($A135="","",ROUND(G135*IF(D135="Hourly",N(INDEX(Workers!$N$5:$N$2004,MATCH($A135,Workers!$A$5:$A$2004,0))),I135/Settings!$B$10/Settings!$B$12)*Settings!$B$13,2))</f>
        <v/>
      </c>
      <c r="N135" s="26" t="str">
        <f aca="false">IF($A135="","",K135+L135+M135)</f>
        <v/>
      </c>
      <c r="O135" s="26" t="str">
        <f aca="false">IF($A135="","",SUMIFS(Deductions!$D$5:$D$2000,Deductions!$B$5:$B$2000,$A135,Deductions!$C$5:$C$2000,"Advance",Deductions!$E$5:$E$2000,"&gt;="&amp;Settings!$B$8,Deductions!$E$5:$E$2000,"&lt;="&amp;Settings!$B$9))</f>
        <v/>
      </c>
      <c r="P135" s="26" t="str">
        <f aca="false">IF($A135="","",SUMIFS(Deductions!$D$5:$D$2000,Deductions!$B$5:$B$2000,$A135,Deductions!$E$5:$E$2000,"&gt;="&amp;Settings!$B$8,Deductions!$E$5:$E$2000,"&lt;="&amp;Settings!$B$9)-O135)</f>
        <v/>
      </c>
      <c r="Q135" s="26" t="str">
        <f aca="false">IF($A135="","",O135+P135)</f>
        <v/>
      </c>
      <c r="R135" s="23" t="str">
        <f aca="false">IF($A135="","",N135-Q135)</f>
        <v/>
      </c>
      <c r="S135" s="24" t="str">
        <f aca="false">IF($A135="","",INDEX(Workers!$O$5:$O$2004,MATCH($A135,Workers!$A$5:$A$2004,0))&amp;"")</f>
        <v/>
      </c>
      <c r="T135" s="24" t="str">
        <f aca="false">IF($A135="","",INDEX(Workers!$P$5:$P$2004,MATCH($A135,Workers!$A$5:$A$2004,0))&amp;"")</f>
        <v/>
      </c>
      <c r="U135" s="24" t="str">
        <f aca="false">IF($A135="","",INDEX(Workers!$H$5:$H$2004,MATCH($A135,Workers!$A$5:$A$2004,0))&amp;"")</f>
        <v/>
      </c>
    </row>
    <row r="136" customFormat="false" ht="15" hidden="false" customHeight="false" outlineLevel="0" collapsed="false">
      <c r="A136" s="24" t="str">
        <f aca="false">IFERROR(INDEX(Workers!$A$5:$A$2004,MATCH(ROW()-4,Workers!$U$5:$U$2004,0)),"")</f>
        <v/>
      </c>
      <c r="B136" s="24" t="str">
        <f aca="false">IF($A136="","",INDEX(Workers!$B$5:$B$2004,MATCH($A136,Workers!$A$5:$A$2004,0)))</f>
        <v/>
      </c>
      <c r="C136" s="24" t="str">
        <f aca="false">IF($A136="","",INDEX(Workers!$E$5:$E$2004,MATCH($A136,Workers!$A$5:$A$2004,0)))</f>
        <v/>
      </c>
      <c r="D136" s="24" t="str">
        <f aca="false">IF($A136="","",INDEX(Workers!$K$5:$K$2004,MATCH($A136,Workers!$A$5:$A$2004,0)))</f>
        <v/>
      </c>
      <c r="E136" s="25" t="str">
        <f aca="false">IF($A136="","",SUMIFS(Timesheet!$E$5:$E$3004,Timesheet!$D$5:$D$3004,$A136,Timesheet!$A$5:$A$3004,"&gt;="&amp;Settings!$B$8,Timesheet!$A$5:$A$3004,"&lt;="&amp;Settings!$B$9))</f>
        <v/>
      </c>
      <c r="F136" s="25" t="str">
        <f aca="false">IF($A136="","",SUMIFS(Timesheet!$F$5:$F$3004,Timesheet!$D$5:$D$3004,$A136,Timesheet!$A$5:$A$3004,"&gt;="&amp;Settings!$B$8,Timesheet!$A$5:$A$3004,"&lt;="&amp;Settings!$B$9))</f>
        <v/>
      </c>
      <c r="G136" s="25" t="str">
        <f aca="false">IF($A136="","",SUMIFS(Timesheet!$G$5:$G$3004,Timesheet!$D$5:$D$3004,$A136,Timesheet!$A$5:$A$3004,"&gt;="&amp;Settings!$B$8,Timesheet!$A$5:$A$3004,"&lt;="&amp;Settings!$B$9))</f>
        <v/>
      </c>
      <c r="H136" s="25" t="str">
        <f aca="false">IF($A136="","",IF(D136="Monthly",MAX(0,Settings!$B$11-E136),0))</f>
        <v/>
      </c>
      <c r="I136" s="26" t="str">
        <f aca="false">IF($A136="","",N(INDEX(Workers!$L$5:$L$2004,MATCH($A136,Workers!$A$5:$A$2004,0))))</f>
        <v/>
      </c>
      <c r="J136" s="26" t="str">
        <f aca="false">IF($A136="","",N(INDEX(Workers!$M$5:$M$2004,MATCH($A136,Workers!$A$5:$A$2004,0))))</f>
        <v/>
      </c>
      <c r="K136" s="26" t="str">
        <f aca="false">IF($A136="","",IF(D136="Monthly",ROUND(MAX(0,(I136+J136)-(I136+J136)/Settings!$B$10*H136),2),0))</f>
        <v/>
      </c>
      <c r="L136" s="26" t="str">
        <f aca="false">IF($A136="","",IF(D136="Hourly",ROUND(F136*N(INDEX(Workers!$N$5:$N$2004,MATCH($A136,Workers!$A$5:$A$2004,0))),2),0))</f>
        <v/>
      </c>
      <c r="M136" s="26" t="str">
        <f aca="false">IF($A136="","",ROUND(G136*IF(D136="Hourly",N(INDEX(Workers!$N$5:$N$2004,MATCH($A136,Workers!$A$5:$A$2004,0))),I136/Settings!$B$10/Settings!$B$12)*Settings!$B$13,2))</f>
        <v/>
      </c>
      <c r="N136" s="26" t="str">
        <f aca="false">IF($A136="","",K136+L136+M136)</f>
        <v/>
      </c>
      <c r="O136" s="26" t="str">
        <f aca="false">IF($A136="","",SUMIFS(Deductions!$D$5:$D$2000,Deductions!$B$5:$B$2000,$A136,Deductions!$C$5:$C$2000,"Advance",Deductions!$E$5:$E$2000,"&gt;="&amp;Settings!$B$8,Deductions!$E$5:$E$2000,"&lt;="&amp;Settings!$B$9))</f>
        <v/>
      </c>
      <c r="P136" s="26" t="str">
        <f aca="false">IF($A136="","",SUMIFS(Deductions!$D$5:$D$2000,Deductions!$B$5:$B$2000,$A136,Deductions!$E$5:$E$2000,"&gt;="&amp;Settings!$B$8,Deductions!$E$5:$E$2000,"&lt;="&amp;Settings!$B$9)-O136)</f>
        <v/>
      </c>
      <c r="Q136" s="26" t="str">
        <f aca="false">IF($A136="","",O136+P136)</f>
        <v/>
      </c>
      <c r="R136" s="23" t="str">
        <f aca="false">IF($A136="","",N136-Q136)</f>
        <v/>
      </c>
      <c r="S136" s="24" t="str">
        <f aca="false">IF($A136="","",INDEX(Workers!$O$5:$O$2004,MATCH($A136,Workers!$A$5:$A$2004,0))&amp;"")</f>
        <v/>
      </c>
      <c r="T136" s="24" t="str">
        <f aca="false">IF($A136="","",INDEX(Workers!$P$5:$P$2004,MATCH($A136,Workers!$A$5:$A$2004,0))&amp;"")</f>
        <v/>
      </c>
      <c r="U136" s="24" t="str">
        <f aca="false">IF($A136="","",INDEX(Workers!$H$5:$H$2004,MATCH($A136,Workers!$A$5:$A$2004,0))&amp;"")</f>
        <v/>
      </c>
    </row>
    <row r="137" customFormat="false" ht="15" hidden="false" customHeight="false" outlineLevel="0" collapsed="false">
      <c r="A137" s="24" t="str">
        <f aca="false">IFERROR(INDEX(Workers!$A$5:$A$2004,MATCH(ROW()-4,Workers!$U$5:$U$2004,0)),"")</f>
        <v/>
      </c>
      <c r="B137" s="24" t="str">
        <f aca="false">IF($A137="","",INDEX(Workers!$B$5:$B$2004,MATCH($A137,Workers!$A$5:$A$2004,0)))</f>
        <v/>
      </c>
      <c r="C137" s="24" t="str">
        <f aca="false">IF($A137="","",INDEX(Workers!$E$5:$E$2004,MATCH($A137,Workers!$A$5:$A$2004,0)))</f>
        <v/>
      </c>
      <c r="D137" s="24" t="str">
        <f aca="false">IF($A137="","",INDEX(Workers!$K$5:$K$2004,MATCH($A137,Workers!$A$5:$A$2004,0)))</f>
        <v/>
      </c>
      <c r="E137" s="25" t="str">
        <f aca="false">IF($A137="","",SUMIFS(Timesheet!$E$5:$E$3004,Timesheet!$D$5:$D$3004,$A137,Timesheet!$A$5:$A$3004,"&gt;="&amp;Settings!$B$8,Timesheet!$A$5:$A$3004,"&lt;="&amp;Settings!$B$9))</f>
        <v/>
      </c>
      <c r="F137" s="25" t="str">
        <f aca="false">IF($A137="","",SUMIFS(Timesheet!$F$5:$F$3004,Timesheet!$D$5:$D$3004,$A137,Timesheet!$A$5:$A$3004,"&gt;="&amp;Settings!$B$8,Timesheet!$A$5:$A$3004,"&lt;="&amp;Settings!$B$9))</f>
        <v/>
      </c>
      <c r="G137" s="25" t="str">
        <f aca="false">IF($A137="","",SUMIFS(Timesheet!$G$5:$G$3004,Timesheet!$D$5:$D$3004,$A137,Timesheet!$A$5:$A$3004,"&gt;="&amp;Settings!$B$8,Timesheet!$A$5:$A$3004,"&lt;="&amp;Settings!$B$9))</f>
        <v/>
      </c>
      <c r="H137" s="25" t="str">
        <f aca="false">IF($A137="","",IF(D137="Monthly",MAX(0,Settings!$B$11-E137),0))</f>
        <v/>
      </c>
      <c r="I137" s="26" t="str">
        <f aca="false">IF($A137="","",N(INDEX(Workers!$L$5:$L$2004,MATCH($A137,Workers!$A$5:$A$2004,0))))</f>
        <v/>
      </c>
      <c r="J137" s="26" t="str">
        <f aca="false">IF($A137="","",N(INDEX(Workers!$M$5:$M$2004,MATCH($A137,Workers!$A$5:$A$2004,0))))</f>
        <v/>
      </c>
      <c r="K137" s="26" t="str">
        <f aca="false">IF($A137="","",IF(D137="Monthly",ROUND(MAX(0,(I137+J137)-(I137+J137)/Settings!$B$10*H137),2),0))</f>
        <v/>
      </c>
      <c r="L137" s="26" t="str">
        <f aca="false">IF($A137="","",IF(D137="Hourly",ROUND(F137*N(INDEX(Workers!$N$5:$N$2004,MATCH($A137,Workers!$A$5:$A$2004,0))),2),0))</f>
        <v/>
      </c>
      <c r="M137" s="26" t="str">
        <f aca="false">IF($A137="","",ROUND(G137*IF(D137="Hourly",N(INDEX(Workers!$N$5:$N$2004,MATCH($A137,Workers!$A$5:$A$2004,0))),I137/Settings!$B$10/Settings!$B$12)*Settings!$B$13,2))</f>
        <v/>
      </c>
      <c r="N137" s="26" t="str">
        <f aca="false">IF($A137="","",K137+L137+M137)</f>
        <v/>
      </c>
      <c r="O137" s="26" t="str">
        <f aca="false">IF($A137="","",SUMIFS(Deductions!$D$5:$D$2000,Deductions!$B$5:$B$2000,$A137,Deductions!$C$5:$C$2000,"Advance",Deductions!$E$5:$E$2000,"&gt;="&amp;Settings!$B$8,Deductions!$E$5:$E$2000,"&lt;="&amp;Settings!$B$9))</f>
        <v/>
      </c>
      <c r="P137" s="26" t="str">
        <f aca="false">IF($A137="","",SUMIFS(Deductions!$D$5:$D$2000,Deductions!$B$5:$B$2000,$A137,Deductions!$E$5:$E$2000,"&gt;="&amp;Settings!$B$8,Deductions!$E$5:$E$2000,"&lt;="&amp;Settings!$B$9)-O137)</f>
        <v/>
      </c>
      <c r="Q137" s="26" t="str">
        <f aca="false">IF($A137="","",O137+P137)</f>
        <v/>
      </c>
      <c r="R137" s="23" t="str">
        <f aca="false">IF($A137="","",N137-Q137)</f>
        <v/>
      </c>
      <c r="S137" s="24" t="str">
        <f aca="false">IF($A137="","",INDEX(Workers!$O$5:$O$2004,MATCH($A137,Workers!$A$5:$A$2004,0))&amp;"")</f>
        <v/>
      </c>
      <c r="T137" s="24" t="str">
        <f aca="false">IF($A137="","",INDEX(Workers!$P$5:$P$2004,MATCH($A137,Workers!$A$5:$A$2004,0))&amp;"")</f>
        <v/>
      </c>
      <c r="U137" s="24" t="str">
        <f aca="false">IF($A137="","",INDEX(Workers!$H$5:$H$2004,MATCH($A137,Workers!$A$5:$A$2004,0))&amp;"")</f>
        <v/>
      </c>
    </row>
    <row r="138" customFormat="false" ht="15" hidden="false" customHeight="false" outlineLevel="0" collapsed="false">
      <c r="A138" s="24" t="str">
        <f aca="false">IFERROR(INDEX(Workers!$A$5:$A$2004,MATCH(ROW()-4,Workers!$U$5:$U$2004,0)),"")</f>
        <v/>
      </c>
      <c r="B138" s="24" t="str">
        <f aca="false">IF($A138="","",INDEX(Workers!$B$5:$B$2004,MATCH($A138,Workers!$A$5:$A$2004,0)))</f>
        <v/>
      </c>
      <c r="C138" s="24" t="str">
        <f aca="false">IF($A138="","",INDEX(Workers!$E$5:$E$2004,MATCH($A138,Workers!$A$5:$A$2004,0)))</f>
        <v/>
      </c>
      <c r="D138" s="24" t="str">
        <f aca="false">IF($A138="","",INDEX(Workers!$K$5:$K$2004,MATCH($A138,Workers!$A$5:$A$2004,0)))</f>
        <v/>
      </c>
      <c r="E138" s="25" t="str">
        <f aca="false">IF($A138="","",SUMIFS(Timesheet!$E$5:$E$3004,Timesheet!$D$5:$D$3004,$A138,Timesheet!$A$5:$A$3004,"&gt;="&amp;Settings!$B$8,Timesheet!$A$5:$A$3004,"&lt;="&amp;Settings!$B$9))</f>
        <v/>
      </c>
      <c r="F138" s="25" t="str">
        <f aca="false">IF($A138="","",SUMIFS(Timesheet!$F$5:$F$3004,Timesheet!$D$5:$D$3004,$A138,Timesheet!$A$5:$A$3004,"&gt;="&amp;Settings!$B$8,Timesheet!$A$5:$A$3004,"&lt;="&amp;Settings!$B$9))</f>
        <v/>
      </c>
      <c r="G138" s="25" t="str">
        <f aca="false">IF($A138="","",SUMIFS(Timesheet!$G$5:$G$3004,Timesheet!$D$5:$D$3004,$A138,Timesheet!$A$5:$A$3004,"&gt;="&amp;Settings!$B$8,Timesheet!$A$5:$A$3004,"&lt;="&amp;Settings!$B$9))</f>
        <v/>
      </c>
      <c r="H138" s="25" t="str">
        <f aca="false">IF($A138="","",IF(D138="Monthly",MAX(0,Settings!$B$11-E138),0))</f>
        <v/>
      </c>
      <c r="I138" s="26" t="str">
        <f aca="false">IF($A138="","",N(INDEX(Workers!$L$5:$L$2004,MATCH($A138,Workers!$A$5:$A$2004,0))))</f>
        <v/>
      </c>
      <c r="J138" s="26" t="str">
        <f aca="false">IF($A138="","",N(INDEX(Workers!$M$5:$M$2004,MATCH($A138,Workers!$A$5:$A$2004,0))))</f>
        <v/>
      </c>
      <c r="K138" s="26" t="str">
        <f aca="false">IF($A138="","",IF(D138="Monthly",ROUND(MAX(0,(I138+J138)-(I138+J138)/Settings!$B$10*H138),2),0))</f>
        <v/>
      </c>
      <c r="L138" s="26" t="str">
        <f aca="false">IF($A138="","",IF(D138="Hourly",ROUND(F138*N(INDEX(Workers!$N$5:$N$2004,MATCH($A138,Workers!$A$5:$A$2004,0))),2),0))</f>
        <v/>
      </c>
      <c r="M138" s="26" t="str">
        <f aca="false">IF($A138="","",ROUND(G138*IF(D138="Hourly",N(INDEX(Workers!$N$5:$N$2004,MATCH($A138,Workers!$A$5:$A$2004,0))),I138/Settings!$B$10/Settings!$B$12)*Settings!$B$13,2))</f>
        <v/>
      </c>
      <c r="N138" s="26" t="str">
        <f aca="false">IF($A138="","",K138+L138+M138)</f>
        <v/>
      </c>
      <c r="O138" s="26" t="str">
        <f aca="false">IF($A138="","",SUMIFS(Deductions!$D$5:$D$2000,Deductions!$B$5:$B$2000,$A138,Deductions!$C$5:$C$2000,"Advance",Deductions!$E$5:$E$2000,"&gt;="&amp;Settings!$B$8,Deductions!$E$5:$E$2000,"&lt;="&amp;Settings!$B$9))</f>
        <v/>
      </c>
      <c r="P138" s="26" t="str">
        <f aca="false">IF($A138="","",SUMIFS(Deductions!$D$5:$D$2000,Deductions!$B$5:$B$2000,$A138,Deductions!$E$5:$E$2000,"&gt;="&amp;Settings!$B$8,Deductions!$E$5:$E$2000,"&lt;="&amp;Settings!$B$9)-O138)</f>
        <v/>
      </c>
      <c r="Q138" s="26" t="str">
        <f aca="false">IF($A138="","",O138+P138)</f>
        <v/>
      </c>
      <c r="R138" s="23" t="str">
        <f aca="false">IF($A138="","",N138-Q138)</f>
        <v/>
      </c>
      <c r="S138" s="24" t="str">
        <f aca="false">IF($A138="","",INDEX(Workers!$O$5:$O$2004,MATCH($A138,Workers!$A$5:$A$2004,0))&amp;"")</f>
        <v/>
      </c>
      <c r="T138" s="24" t="str">
        <f aca="false">IF($A138="","",INDEX(Workers!$P$5:$P$2004,MATCH($A138,Workers!$A$5:$A$2004,0))&amp;"")</f>
        <v/>
      </c>
      <c r="U138" s="24" t="str">
        <f aca="false">IF($A138="","",INDEX(Workers!$H$5:$H$2004,MATCH($A138,Workers!$A$5:$A$2004,0))&amp;"")</f>
        <v/>
      </c>
    </row>
    <row r="139" customFormat="false" ht="15" hidden="false" customHeight="false" outlineLevel="0" collapsed="false">
      <c r="A139" s="24" t="str">
        <f aca="false">IFERROR(INDEX(Workers!$A$5:$A$2004,MATCH(ROW()-4,Workers!$U$5:$U$2004,0)),"")</f>
        <v/>
      </c>
      <c r="B139" s="24" t="str">
        <f aca="false">IF($A139="","",INDEX(Workers!$B$5:$B$2004,MATCH($A139,Workers!$A$5:$A$2004,0)))</f>
        <v/>
      </c>
      <c r="C139" s="24" t="str">
        <f aca="false">IF($A139="","",INDEX(Workers!$E$5:$E$2004,MATCH($A139,Workers!$A$5:$A$2004,0)))</f>
        <v/>
      </c>
      <c r="D139" s="24" t="str">
        <f aca="false">IF($A139="","",INDEX(Workers!$K$5:$K$2004,MATCH($A139,Workers!$A$5:$A$2004,0)))</f>
        <v/>
      </c>
      <c r="E139" s="25" t="str">
        <f aca="false">IF($A139="","",SUMIFS(Timesheet!$E$5:$E$3004,Timesheet!$D$5:$D$3004,$A139,Timesheet!$A$5:$A$3004,"&gt;="&amp;Settings!$B$8,Timesheet!$A$5:$A$3004,"&lt;="&amp;Settings!$B$9))</f>
        <v/>
      </c>
      <c r="F139" s="25" t="str">
        <f aca="false">IF($A139="","",SUMIFS(Timesheet!$F$5:$F$3004,Timesheet!$D$5:$D$3004,$A139,Timesheet!$A$5:$A$3004,"&gt;="&amp;Settings!$B$8,Timesheet!$A$5:$A$3004,"&lt;="&amp;Settings!$B$9))</f>
        <v/>
      </c>
      <c r="G139" s="25" t="str">
        <f aca="false">IF($A139="","",SUMIFS(Timesheet!$G$5:$G$3004,Timesheet!$D$5:$D$3004,$A139,Timesheet!$A$5:$A$3004,"&gt;="&amp;Settings!$B$8,Timesheet!$A$5:$A$3004,"&lt;="&amp;Settings!$B$9))</f>
        <v/>
      </c>
      <c r="H139" s="25" t="str">
        <f aca="false">IF($A139="","",IF(D139="Monthly",MAX(0,Settings!$B$11-E139),0))</f>
        <v/>
      </c>
      <c r="I139" s="26" t="str">
        <f aca="false">IF($A139="","",N(INDEX(Workers!$L$5:$L$2004,MATCH($A139,Workers!$A$5:$A$2004,0))))</f>
        <v/>
      </c>
      <c r="J139" s="26" t="str">
        <f aca="false">IF($A139="","",N(INDEX(Workers!$M$5:$M$2004,MATCH($A139,Workers!$A$5:$A$2004,0))))</f>
        <v/>
      </c>
      <c r="K139" s="26" t="str">
        <f aca="false">IF($A139="","",IF(D139="Monthly",ROUND(MAX(0,(I139+J139)-(I139+J139)/Settings!$B$10*H139),2),0))</f>
        <v/>
      </c>
      <c r="L139" s="26" t="str">
        <f aca="false">IF($A139="","",IF(D139="Hourly",ROUND(F139*N(INDEX(Workers!$N$5:$N$2004,MATCH($A139,Workers!$A$5:$A$2004,0))),2),0))</f>
        <v/>
      </c>
      <c r="M139" s="26" t="str">
        <f aca="false">IF($A139="","",ROUND(G139*IF(D139="Hourly",N(INDEX(Workers!$N$5:$N$2004,MATCH($A139,Workers!$A$5:$A$2004,0))),I139/Settings!$B$10/Settings!$B$12)*Settings!$B$13,2))</f>
        <v/>
      </c>
      <c r="N139" s="26" t="str">
        <f aca="false">IF($A139="","",K139+L139+M139)</f>
        <v/>
      </c>
      <c r="O139" s="26" t="str">
        <f aca="false">IF($A139="","",SUMIFS(Deductions!$D$5:$D$2000,Deductions!$B$5:$B$2000,$A139,Deductions!$C$5:$C$2000,"Advance",Deductions!$E$5:$E$2000,"&gt;="&amp;Settings!$B$8,Deductions!$E$5:$E$2000,"&lt;="&amp;Settings!$B$9))</f>
        <v/>
      </c>
      <c r="P139" s="26" t="str">
        <f aca="false">IF($A139="","",SUMIFS(Deductions!$D$5:$D$2000,Deductions!$B$5:$B$2000,$A139,Deductions!$E$5:$E$2000,"&gt;="&amp;Settings!$B$8,Deductions!$E$5:$E$2000,"&lt;="&amp;Settings!$B$9)-O139)</f>
        <v/>
      </c>
      <c r="Q139" s="26" t="str">
        <f aca="false">IF($A139="","",O139+P139)</f>
        <v/>
      </c>
      <c r="R139" s="23" t="str">
        <f aca="false">IF($A139="","",N139-Q139)</f>
        <v/>
      </c>
      <c r="S139" s="24" t="str">
        <f aca="false">IF($A139="","",INDEX(Workers!$O$5:$O$2004,MATCH($A139,Workers!$A$5:$A$2004,0))&amp;"")</f>
        <v/>
      </c>
      <c r="T139" s="24" t="str">
        <f aca="false">IF($A139="","",INDEX(Workers!$P$5:$P$2004,MATCH($A139,Workers!$A$5:$A$2004,0))&amp;"")</f>
        <v/>
      </c>
      <c r="U139" s="24" t="str">
        <f aca="false">IF($A139="","",INDEX(Workers!$H$5:$H$2004,MATCH($A139,Workers!$A$5:$A$2004,0))&amp;"")</f>
        <v/>
      </c>
    </row>
    <row r="140" customFormat="false" ht="15" hidden="false" customHeight="false" outlineLevel="0" collapsed="false">
      <c r="A140" s="24" t="str">
        <f aca="false">IFERROR(INDEX(Workers!$A$5:$A$2004,MATCH(ROW()-4,Workers!$U$5:$U$2004,0)),"")</f>
        <v/>
      </c>
      <c r="B140" s="24" t="str">
        <f aca="false">IF($A140="","",INDEX(Workers!$B$5:$B$2004,MATCH($A140,Workers!$A$5:$A$2004,0)))</f>
        <v/>
      </c>
      <c r="C140" s="24" t="str">
        <f aca="false">IF($A140="","",INDEX(Workers!$E$5:$E$2004,MATCH($A140,Workers!$A$5:$A$2004,0)))</f>
        <v/>
      </c>
      <c r="D140" s="24" t="str">
        <f aca="false">IF($A140="","",INDEX(Workers!$K$5:$K$2004,MATCH($A140,Workers!$A$5:$A$2004,0)))</f>
        <v/>
      </c>
      <c r="E140" s="25" t="str">
        <f aca="false">IF($A140="","",SUMIFS(Timesheet!$E$5:$E$3004,Timesheet!$D$5:$D$3004,$A140,Timesheet!$A$5:$A$3004,"&gt;="&amp;Settings!$B$8,Timesheet!$A$5:$A$3004,"&lt;="&amp;Settings!$B$9))</f>
        <v/>
      </c>
      <c r="F140" s="25" t="str">
        <f aca="false">IF($A140="","",SUMIFS(Timesheet!$F$5:$F$3004,Timesheet!$D$5:$D$3004,$A140,Timesheet!$A$5:$A$3004,"&gt;="&amp;Settings!$B$8,Timesheet!$A$5:$A$3004,"&lt;="&amp;Settings!$B$9))</f>
        <v/>
      </c>
      <c r="G140" s="25" t="str">
        <f aca="false">IF($A140="","",SUMIFS(Timesheet!$G$5:$G$3004,Timesheet!$D$5:$D$3004,$A140,Timesheet!$A$5:$A$3004,"&gt;="&amp;Settings!$B$8,Timesheet!$A$5:$A$3004,"&lt;="&amp;Settings!$B$9))</f>
        <v/>
      </c>
      <c r="H140" s="25" t="str">
        <f aca="false">IF($A140="","",IF(D140="Monthly",MAX(0,Settings!$B$11-E140),0))</f>
        <v/>
      </c>
      <c r="I140" s="26" t="str">
        <f aca="false">IF($A140="","",N(INDEX(Workers!$L$5:$L$2004,MATCH($A140,Workers!$A$5:$A$2004,0))))</f>
        <v/>
      </c>
      <c r="J140" s="26" t="str">
        <f aca="false">IF($A140="","",N(INDEX(Workers!$M$5:$M$2004,MATCH($A140,Workers!$A$5:$A$2004,0))))</f>
        <v/>
      </c>
      <c r="K140" s="26" t="str">
        <f aca="false">IF($A140="","",IF(D140="Monthly",ROUND(MAX(0,(I140+J140)-(I140+J140)/Settings!$B$10*H140),2),0))</f>
        <v/>
      </c>
      <c r="L140" s="26" t="str">
        <f aca="false">IF($A140="","",IF(D140="Hourly",ROUND(F140*N(INDEX(Workers!$N$5:$N$2004,MATCH($A140,Workers!$A$5:$A$2004,0))),2),0))</f>
        <v/>
      </c>
      <c r="M140" s="26" t="str">
        <f aca="false">IF($A140="","",ROUND(G140*IF(D140="Hourly",N(INDEX(Workers!$N$5:$N$2004,MATCH($A140,Workers!$A$5:$A$2004,0))),I140/Settings!$B$10/Settings!$B$12)*Settings!$B$13,2))</f>
        <v/>
      </c>
      <c r="N140" s="26" t="str">
        <f aca="false">IF($A140="","",K140+L140+M140)</f>
        <v/>
      </c>
      <c r="O140" s="26" t="str">
        <f aca="false">IF($A140="","",SUMIFS(Deductions!$D$5:$D$2000,Deductions!$B$5:$B$2000,$A140,Deductions!$C$5:$C$2000,"Advance",Deductions!$E$5:$E$2000,"&gt;="&amp;Settings!$B$8,Deductions!$E$5:$E$2000,"&lt;="&amp;Settings!$B$9))</f>
        <v/>
      </c>
      <c r="P140" s="26" t="str">
        <f aca="false">IF($A140="","",SUMIFS(Deductions!$D$5:$D$2000,Deductions!$B$5:$B$2000,$A140,Deductions!$E$5:$E$2000,"&gt;="&amp;Settings!$B$8,Deductions!$E$5:$E$2000,"&lt;="&amp;Settings!$B$9)-O140)</f>
        <v/>
      </c>
      <c r="Q140" s="26" t="str">
        <f aca="false">IF($A140="","",O140+P140)</f>
        <v/>
      </c>
      <c r="R140" s="23" t="str">
        <f aca="false">IF($A140="","",N140-Q140)</f>
        <v/>
      </c>
      <c r="S140" s="24" t="str">
        <f aca="false">IF($A140="","",INDEX(Workers!$O$5:$O$2004,MATCH($A140,Workers!$A$5:$A$2004,0))&amp;"")</f>
        <v/>
      </c>
      <c r="T140" s="24" t="str">
        <f aca="false">IF($A140="","",INDEX(Workers!$P$5:$P$2004,MATCH($A140,Workers!$A$5:$A$2004,0))&amp;"")</f>
        <v/>
      </c>
      <c r="U140" s="24" t="str">
        <f aca="false">IF($A140="","",INDEX(Workers!$H$5:$H$2004,MATCH($A140,Workers!$A$5:$A$2004,0))&amp;"")</f>
        <v/>
      </c>
    </row>
    <row r="141" customFormat="false" ht="15" hidden="false" customHeight="false" outlineLevel="0" collapsed="false">
      <c r="A141" s="24" t="str">
        <f aca="false">IFERROR(INDEX(Workers!$A$5:$A$2004,MATCH(ROW()-4,Workers!$U$5:$U$2004,0)),"")</f>
        <v/>
      </c>
      <c r="B141" s="24" t="str">
        <f aca="false">IF($A141="","",INDEX(Workers!$B$5:$B$2004,MATCH($A141,Workers!$A$5:$A$2004,0)))</f>
        <v/>
      </c>
      <c r="C141" s="24" t="str">
        <f aca="false">IF($A141="","",INDEX(Workers!$E$5:$E$2004,MATCH($A141,Workers!$A$5:$A$2004,0)))</f>
        <v/>
      </c>
      <c r="D141" s="24" t="str">
        <f aca="false">IF($A141="","",INDEX(Workers!$K$5:$K$2004,MATCH($A141,Workers!$A$5:$A$2004,0)))</f>
        <v/>
      </c>
      <c r="E141" s="25" t="str">
        <f aca="false">IF($A141="","",SUMIFS(Timesheet!$E$5:$E$3004,Timesheet!$D$5:$D$3004,$A141,Timesheet!$A$5:$A$3004,"&gt;="&amp;Settings!$B$8,Timesheet!$A$5:$A$3004,"&lt;="&amp;Settings!$B$9))</f>
        <v/>
      </c>
      <c r="F141" s="25" t="str">
        <f aca="false">IF($A141="","",SUMIFS(Timesheet!$F$5:$F$3004,Timesheet!$D$5:$D$3004,$A141,Timesheet!$A$5:$A$3004,"&gt;="&amp;Settings!$B$8,Timesheet!$A$5:$A$3004,"&lt;="&amp;Settings!$B$9))</f>
        <v/>
      </c>
      <c r="G141" s="25" t="str">
        <f aca="false">IF($A141="","",SUMIFS(Timesheet!$G$5:$G$3004,Timesheet!$D$5:$D$3004,$A141,Timesheet!$A$5:$A$3004,"&gt;="&amp;Settings!$B$8,Timesheet!$A$5:$A$3004,"&lt;="&amp;Settings!$B$9))</f>
        <v/>
      </c>
      <c r="H141" s="25" t="str">
        <f aca="false">IF($A141="","",IF(D141="Monthly",MAX(0,Settings!$B$11-E141),0))</f>
        <v/>
      </c>
      <c r="I141" s="26" t="str">
        <f aca="false">IF($A141="","",N(INDEX(Workers!$L$5:$L$2004,MATCH($A141,Workers!$A$5:$A$2004,0))))</f>
        <v/>
      </c>
      <c r="J141" s="26" t="str">
        <f aca="false">IF($A141="","",N(INDEX(Workers!$M$5:$M$2004,MATCH($A141,Workers!$A$5:$A$2004,0))))</f>
        <v/>
      </c>
      <c r="K141" s="26" t="str">
        <f aca="false">IF($A141="","",IF(D141="Monthly",ROUND(MAX(0,(I141+J141)-(I141+J141)/Settings!$B$10*H141),2),0))</f>
        <v/>
      </c>
      <c r="L141" s="26" t="str">
        <f aca="false">IF($A141="","",IF(D141="Hourly",ROUND(F141*N(INDEX(Workers!$N$5:$N$2004,MATCH($A141,Workers!$A$5:$A$2004,0))),2),0))</f>
        <v/>
      </c>
      <c r="M141" s="26" t="str">
        <f aca="false">IF($A141="","",ROUND(G141*IF(D141="Hourly",N(INDEX(Workers!$N$5:$N$2004,MATCH($A141,Workers!$A$5:$A$2004,0))),I141/Settings!$B$10/Settings!$B$12)*Settings!$B$13,2))</f>
        <v/>
      </c>
      <c r="N141" s="26" t="str">
        <f aca="false">IF($A141="","",K141+L141+M141)</f>
        <v/>
      </c>
      <c r="O141" s="26" t="str">
        <f aca="false">IF($A141="","",SUMIFS(Deductions!$D$5:$D$2000,Deductions!$B$5:$B$2000,$A141,Deductions!$C$5:$C$2000,"Advance",Deductions!$E$5:$E$2000,"&gt;="&amp;Settings!$B$8,Deductions!$E$5:$E$2000,"&lt;="&amp;Settings!$B$9))</f>
        <v/>
      </c>
      <c r="P141" s="26" t="str">
        <f aca="false">IF($A141="","",SUMIFS(Deductions!$D$5:$D$2000,Deductions!$B$5:$B$2000,$A141,Deductions!$E$5:$E$2000,"&gt;="&amp;Settings!$B$8,Deductions!$E$5:$E$2000,"&lt;="&amp;Settings!$B$9)-O141)</f>
        <v/>
      </c>
      <c r="Q141" s="26" t="str">
        <f aca="false">IF($A141="","",O141+P141)</f>
        <v/>
      </c>
      <c r="R141" s="23" t="str">
        <f aca="false">IF($A141="","",N141-Q141)</f>
        <v/>
      </c>
      <c r="S141" s="24" t="str">
        <f aca="false">IF($A141="","",INDEX(Workers!$O$5:$O$2004,MATCH($A141,Workers!$A$5:$A$2004,0))&amp;"")</f>
        <v/>
      </c>
      <c r="T141" s="24" t="str">
        <f aca="false">IF($A141="","",INDEX(Workers!$P$5:$P$2004,MATCH($A141,Workers!$A$5:$A$2004,0))&amp;"")</f>
        <v/>
      </c>
      <c r="U141" s="24" t="str">
        <f aca="false">IF($A141="","",INDEX(Workers!$H$5:$H$2004,MATCH($A141,Workers!$A$5:$A$2004,0))&amp;"")</f>
        <v/>
      </c>
    </row>
    <row r="142" customFormat="false" ht="15" hidden="false" customHeight="false" outlineLevel="0" collapsed="false">
      <c r="A142" s="24" t="str">
        <f aca="false">IFERROR(INDEX(Workers!$A$5:$A$2004,MATCH(ROW()-4,Workers!$U$5:$U$2004,0)),"")</f>
        <v/>
      </c>
      <c r="B142" s="24" t="str">
        <f aca="false">IF($A142="","",INDEX(Workers!$B$5:$B$2004,MATCH($A142,Workers!$A$5:$A$2004,0)))</f>
        <v/>
      </c>
      <c r="C142" s="24" t="str">
        <f aca="false">IF($A142="","",INDEX(Workers!$E$5:$E$2004,MATCH($A142,Workers!$A$5:$A$2004,0)))</f>
        <v/>
      </c>
      <c r="D142" s="24" t="str">
        <f aca="false">IF($A142="","",INDEX(Workers!$K$5:$K$2004,MATCH($A142,Workers!$A$5:$A$2004,0)))</f>
        <v/>
      </c>
      <c r="E142" s="25" t="str">
        <f aca="false">IF($A142="","",SUMIFS(Timesheet!$E$5:$E$3004,Timesheet!$D$5:$D$3004,$A142,Timesheet!$A$5:$A$3004,"&gt;="&amp;Settings!$B$8,Timesheet!$A$5:$A$3004,"&lt;="&amp;Settings!$B$9))</f>
        <v/>
      </c>
      <c r="F142" s="25" t="str">
        <f aca="false">IF($A142="","",SUMIFS(Timesheet!$F$5:$F$3004,Timesheet!$D$5:$D$3004,$A142,Timesheet!$A$5:$A$3004,"&gt;="&amp;Settings!$B$8,Timesheet!$A$5:$A$3004,"&lt;="&amp;Settings!$B$9))</f>
        <v/>
      </c>
      <c r="G142" s="25" t="str">
        <f aca="false">IF($A142="","",SUMIFS(Timesheet!$G$5:$G$3004,Timesheet!$D$5:$D$3004,$A142,Timesheet!$A$5:$A$3004,"&gt;="&amp;Settings!$B$8,Timesheet!$A$5:$A$3004,"&lt;="&amp;Settings!$B$9))</f>
        <v/>
      </c>
      <c r="H142" s="25" t="str">
        <f aca="false">IF($A142="","",IF(D142="Monthly",MAX(0,Settings!$B$11-E142),0))</f>
        <v/>
      </c>
      <c r="I142" s="26" t="str">
        <f aca="false">IF($A142="","",N(INDEX(Workers!$L$5:$L$2004,MATCH($A142,Workers!$A$5:$A$2004,0))))</f>
        <v/>
      </c>
      <c r="J142" s="26" t="str">
        <f aca="false">IF($A142="","",N(INDEX(Workers!$M$5:$M$2004,MATCH($A142,Workers!$A$5:$A$2004,0))))</f>
        <v/>
      </c>
      <c r="K142" s="26" t="str">
        <f aca="false">IF($A142="","",IF(D142="Monthly",ROUND(MAX(0,(I142+J142)-(I142+J142)/Settings!$B$10*H142),2),0))</f>
        <v/>
      </c>
      <c r="L142" s="26" t="str">
        <f aca="false">IF($A142="","",IF(D142="Hourly",ROUND(F142*N(INDEX(Workers!$N$5:$N$2004,MATCH($A142,Workers!$A$5:$A$2004,0))),2),0))</f>
        <v/>
      </c>
      <c r="M142" s="26" t="str">
        <f aca="false">IF($A142="","",ROUND(G142*IF(D142="Hourly",N(INDEX(Workers!$N$5:$N$2004,MATCH($A142,Workers!$A$5:$A$2004,0))),I142/Settings!$B$10/Settings!$B$12)*Settings!$B$13,2))</f>
        <v/>
      </c>
      <c r="N142" s="26" t="str">
        <f aca="false">IF($A142="","",K142+L142+M142)</f>
        <v/>
      </c>
      <c r="O142" s="26" t="str">
        <f aca="false">IF($A142="","",SUMIFS(Deductions!$D$5:$D$2000,Deductions!$B$5:$B$2000,$A142,Deductions!$C$5:$C$2000,"Advance",Deductions!$E$5:$E$2000,"&gt;="&amp;Settings!$B$8,Deductions!$E$5:$E$2000,"&lt;="&amp;Settings!$B$9))</f>
        <v/>
      </c>
      <c r="P142" s="26" t="str">
        <f aca="false">IF($A142="","",SUMIFS(Deductions!$D$5:$D$2000,Deductions!$B$5:$B$2000,$A142,Deductions!$E$5:$E$2000,"&gt;="&amp;Settings!$B$8,Deductions!$E$5:$E$2000,"&lt;="&amp;Settings!$B$9)-O142)</f>
        <v/>
      </c>
      <c r="Q142" s="26" t="str">
        <f aca="false">IF($A142="","",O142+P142)</f>
        <v/>
      </c>
      <c r="R142" s="23" t="str">
        <f aca="false">IF($A142="","",N142-Q142)</f>
        <v/>
      </c>
      <c r="S142" s="24" t="str">
        <f aca="false">IF($A142="","",INDEX(Workers!$O$5:$O$2004,MATCH($A142,Workers!$A$5:$A$2004,0))&amp;"")</f>
        <v/>
      </c>
      <c r="T142" s="24" t="str">
        <f aca="false">IF($A142="","",INDEX(Workers!$P$5:$P$2004,MATCH($A142,Workers!$A$5:$A$2004,0))&amp;"")</f>
        <v/>
      </c>
      <c r="U142" s="24" t="str">
        <f aca="false">IF($A142="","",INDEX(Workers!$H$5:$H$2004,MATCH($A142,Workers!$A$5:$A$2004,0))&amp;"")</f>
        <v/>
      </c>
    </row>
    <row r="143" customFormat="false" ht="15" hidden="false" customHeight="false" outlineLevel="0" collapsed="false">
      <c r="A143" s="24" t="str">
        <f aca="false">IFERROR(INDEX(Workers!$A$5:$A$2004,MATCH(ROW()-4,Workers!$U$5:$U$2004,0)),"")</f>
        <v/>
      </c>
      <c r="B143" s="24" t="str">
        <f aca="false">IF($A143="","",INDEX(Workers!$B$5:$B$2004,MATCH($A143,Workers!$A$5:$A$2004,0)))</f>
        <v/>
      </c>
      <c r="C143" s="24" t="str">
        <f aca="false">IF($A143="","",INDEX(Workers!$E$5:$E$2004,MATCH($A143,Workers!$A$5:$A$2004,0)))</f>
        <v/>
      </c>
      <c r="D143" s="24" t="str">
        <f aca="false">IF($A143="","",INDEX(Workers!$K$5:$K$2004,MATCH($A143,Workers!$A$5:$A$2004,0)))</f>
        <v/>
      </c>
      <c r="E143" s="25" t="str">
        <f aca="false">IF($A143="","",SUMIFS(Timesheet!$E$5:$E$3004,Timesheet!$D$5:$D$3004,$A143,Timesheet!$A$5:$A$3004,"&gt;="&amp;Settings!$B$8,Timesheet!$A$5:$A$3004,"&lt;="&amp;Settings!$B$9))</f>
        <v/>
      </c>
      <c r="F143" s="25" t="str">
        <f aca="false">IF($A143="","",SUMIFS(Timesheet!$F$5:$F$3004,Timesheet!$D$5:$D$3004,$A143,Timesheet!$A$5:$A$3004,"&gt;="&amp;Settings!$B$8,Timesheet!$A$5:$A$3004,"&lt;="&amp;Settings!$B$9))</f>
        <v/>
      </c>
      <c r="G143" s="25" t="str">
        <f aca="false">IF($A143="","",SUMIFS(Timesheet!$G$5:$G$3004,Timesheet!$D$5:$D$3004,$A143,Timesheet!$A$5:$A$3004,"&gt;="&amp;Settings!$B$8,Timesheet!$A$5:$A$3004,"&lt;="&amp;Settings!$B$9))</f>
        <v/>
      </c>
      <c r="H143" s="25" t="str">
        <f aca="false">IF($A143="","",IF(D143="Monthly",MAX(0,Settings!$B$11-E143),0))</f>
        <v/>
      </c>
      <c r="I143" s="26" t="str">
        <f aca="false">IF($A143="","",N(INDEX(Workers!$L$5:$L$2004,MATCH($A143,Workers!$A$5:$A$2004,0))))</f>
        <v/>
      </c>
      <c r="J143" s="26" t="str">
        <f aca="false">IF($A143="","",N(INDEX(Workers!$M$5:$M$2004,MATCH($A143,Workers!$A$5:$A$2004,0))))</f>
        <v/>
      </c>
      <c r="K143" s="26" t="str">
        <f aca="false">IF($A143="","",IF(D143="Monthly",ROUND(MAX(0,(I143+J143)-(I143+J143)/Settings!$B$10*H143),2),0))</f>
        <v/>
      </c>
      <c r="L143" s="26" t="str">
        <f aca="false">IF($A143="","",IF(D143="Hourly",ROUND(F143*N(INDEX(Workers!$N$5:$N$2004,MATCH($A143,Workers!$A$5:$A$2004,0))),2),0))</f>
        <v/>
      </c>
      <c r="M143" s="26" t="str">
        <f aca="false">IF($A143="","",ROUND(G143*IF(D143="Hourly",N(INDEX(Workers!$N$5:$N$2004,MATCH($A143,Workers!$A$5:$A$2004,0))),I143/Settings!$B$10/Settings!$B$12)*Settings!$B$13,2))</f>
        <v/>
      </c>
      <c r="N143" s="26" t="str">
        <f aca="false">IF($A143="","",K143+L143+M143)</f>
        <v/>
      </c>
      <c r="O143" s="26" t="str">
        <f aca="false">IF($A143="","",SUMIFS(Deductions!$D$5:$D$2000,Deductions!$B$5:$B$2000,$A143,Deductions!$C$5:$C$2000,"Advance",Deductions!$E$5:$E$2000,"&gt;="&amp;Settings!$B$8,Deductions!$E$5:$E$2000,"&lt;="&amp;Settings!$B$9))</f>
        <v/>
      </c>
      <c r="P143" s="26" t="str">
        <f aca="false">IF($A143="","",SUMIFS(Deductions!$D$5:$D$2000,Deductions!$B$5:$B$2000,$A143,Deductions!$E$5:$E$2000,"&gt;="&amp;Settings!$B$8,Deductions!$E$5:$E$2000,"&lt;="&amp;Settings!$B$9)-O143)</f>
        <v/>
      </c>
      <c r="Q143" s="26" t="str">
        <f aca="false">IF($A143="","",O143+P143)</f>
        <v/>
      </c>
      <c r="R143" s="23" t="str">
        <f aca="false">IF($A143="","",N143-Q143)</f>
        <v/>
      </c>
      <c r="S143" s="24" t="str">
        <f aca="false">IF($A143="","",INDEX(Workers!$O$5:$O$2004,MATCH($A143,Workers!$A$5:$A$2004,0))&amp;"")</f>
        <v/>
      </c>
      <c r="T143" s="24" t="str">
        <f aca="false">IF($A143="","",INDEX(Workers!$P$5:$P$2004,MATCH($A143,Workers!$A$5:$A$2004,0))&amp;"")</f>
        <v/>
      </c>
      <c r="U143" s="24" t="str">
        <f aca="false">IF($A143="","",INDEX(Workers!$H$5:$H$2004,MATCH($A143,Workers!$A$5:$A$2004,0))&amp;"")</f>
        <v/>
      </c>
    </row>
    <row r="144" customFormat="false" ht="15" hidden="false" customHeight="false" outlineLevel="0" collapsed="false">
      <c r="A144" s="24" t="str">
        <f aca="false">IFERROR(INDEX(Workers!$A$5:$A$2004,MATCH(ROW()-4,Workers!$U$5:$U$2004,0)),"")</f>
        <v/>
      </c>
      <c r="B144" s="24" t="str">
        <f aca="false">IF($A144="","",INDEX(Workers!$B$5:$B$2004,MATCH($A144,Workers!$A$5:$A$2004,0)))</f>
        <v/>
      </c>
      <c r="C144" s="24" t="str">
        <f aca="false">IF($A144="","",INDEX(Workers!$E$5:$E$2004,MATCH($A144,Workers!$A$5:$A$2004,0)))</f>
        <v/>
      </c>
      <c r="D144" s="24" t="str">
        <f aca="false">IF($A144="","",INDEX(Workers!$K$5:$K$2004,MATCH($A144,Workers!$A$5:$A$2004,0)))</f>
        <v/>
      </c>
      <c r="E144" s="25" t="str">
        <f aca="false">IF($A144="","",SUMIFS(Timesheet!$E$5:$E$3004,Timesheet!$D$5:$D$3004,$A144,Timesheet!$A$5:$A$3004,"&gt;="&amp;Settings!$B$8,Timesheet!$A$5:$A$3004,"&lt;="&amp;Settings!$B$9))</f>
        <v/>
      </c>
      <c r="F144" s="25" t="str">
        <f aca="false">IF($A144="","",SUMIFS(Timesheet!$F$5:$F$3004,Timesheet!$D$5:$D$3004,$A144,Timesheet!$A$5:$A$3004,"&gt;="&amp;Settings!$B$8,Timesheet!$A$5:$A$3004,"&lt;="&amp;Settings!$B$9))</f>
        <v/>
      </c>
      <c r="G144" s="25" t="str">
        <f aca="false">IF($A144="","",SUMIFS(Timesheet!$G$5:$G$3004,Timesheet!$D$5:$D$3004,$A144,Timesheet!$A$5:$A$3004,"&gt;="&amp;Settings!$B$8,Timesheet!$A$5:$A$3004,"&lt;="&amp;Settings!$B$9))</f>
        <v/>
      </c>
      <c r="H144" s="25" t="str">
        <f aca="false">IF($A144="","",IF(D144="Monthly",MAX(0,Settings!$B$11-E144),0))</f>
        <v/>
      </c>
      <c r="I144" s="26" t="str">
        <f aca="false">IF($A144="","",N(INDEX(Workers!$L$5:$L$2004,MATCH($A144,Workers!$A$5:$A$2004,0))))</f>
        <v/>
      </c>
      <c r="J144" s="26" t="str">
        <f aca="false">IF($A144="","",N(INDEX(Workers!$M$5:$M$2004,MATCH($A144,Workers!$A$5:$A$2004,0))))</f>
        <v/>
      </c>
      <c r="K144" s="26" t="str">
        <f aca="false">IF($A144="","",IF(D144="Monthly",ROUND(MAX(0,(I144+J144)-(I144+J144)/Settings!$B$10*H144),2),0))</f>
        <v/>
      </c>
      <c r="L144" s="26" t="str">
        <f aca="false">IF($A144="","",IF(D144="Hourly",ROUND(F144*N(INDEX(Workers!$N$5:$N$2004,MATCH($A144,Workers!$A$5:$A$2004,0))),2),0))</f>
        <v/>
      </c>
      <c r="M144" s="26" t="str">
        <f aca="false">IF($A144="","",ROUND(G144*IF(D144="Hourly",N(INDEX(Workers!$N$5:$N$2004,MATCH($A144,Workers!$A$5:$A$2004,0))),I144/Settings!$B$10/Settings!$B$12)*Settings!$B$13,2))</f>
        <v/>
      </c>
      <c r="N144" s="26" t="str">
        <f aca="false">IF($A144="","",K144+L144+M144)</f>
        <v/>
      </c>
      <c r="O144" s="26" t="str">
        <f aca="false">IF($A144="","",SUMIFS(Deductions!$D$5:$D$2000,Deductions!$B$5:$B$2000,$A144,Deductions!$C$5:$C$2000,"Advance",Deductions!$E$5:$E$2000,"&gt;="&amp;Settings!$B$8,Deductions!$E$5:$E$2000,"&lt;="&amp;Settings!$B$9))</f>
        <v/>
      </c>
      <c r="P144" s="26" t="str">
        <f aca="false">IF($A144="","",SUMIFS(Deductions!$D$5:$D$2000,Deductions!$B$5:$B$2000,$A144,Deductions!$E$5:$E$2000,"&gt;="&amp;Settings!$B$8,Deductions!$E$5:$E$2000,"&lt;="&amp;Settings!$B$9)-O144)</f>
        <v/>
      </c>
      <c r="Q144" s="26" t="str">
        <f aca="false">IF($A144="","",O144+P144)</f>
        <v/>
      </c>
      <c r="R144" s="23" t="str">
        <f aca="false">IF($A144="","",N144-Q144)</f>
        <v/>
      </c>
      <c r="S144" s="24" t="str">
        <f aca="false">IF($A144="","",INDEX(Workers!$O$5:$O$2004,MATCH($A144,Workers!$A$5:$A$2004,0))&amp;"")</f>
        <v/>
      </c>
      <c r="T144" s="24" t="str">
        <f aca="false">IF($A144="","",INDEX(Workers!$P$5:$P$2004,MATCH($A144,Workers!$A$5:$A$2004,0))&amp;"")</f>
        <v/>
      </c>
      <c r="U144" s="24" t="str">
        <f aca="false">IF($A144="","",INDEX(Workers!$H$5:$H$2004,MATCH($A144,Workers!$A$5:$A$2004,0))&amp;"")</f>
        <v/>
      </c>
    </row>
    <row r="145" customFormat="false" ht="15" hidden="false" customHeight="false" outlineLevel="0" collapsed="false">
      <c r="A145" s="24" t="str">
        <f aca="false">IFERROR(INDEX(Workers!$A$5:$A$2004,MATCH(ROW()-4,Workers!$U$5:$U$2004,0)),"")</f>
        <v/>
      </c>
      <c r="B145" s="24" t="str">
        <f aca="false">IF($A145="","",INDEX(Workers!$B$5:$B$2004,MATCH($A145,Workers!$A$5:$A$2004,0)))</f>
        <v/>
      </c>
      <c r="C145" s="24" t="str">
        <f aca="false">IF($A145="","",INDEX(Workers!$E$5:$E$2004,MATCH($A145,Workers!$A$5:$A$2004,0)))</f>
        <v/>
      </c>
      <c r="D145" s="24" t="str">
        <f aca="false">IF($A145="","",INDEX(Workers!$K$5:$K$2004,MATCH($A145,Workers!$A$5:$A$2004,0)))</f>
        <v/>
      </c>
      <c r="E145" s="25" t="str">
        <f aca="false">IF($A145="","",SUMIFS(Timesheet!$E$5:$E$3004,Timesheet!$D$5:$D$3004,$A145,Timesheet!$A$5:$A$3004,"&gt;="&amp;Settings!$B$8,Timesheet!$A$5:$A$3004,"&lt;="&amp;Settings!$B$9))</f>
        <v/>
      </c>
      <c r="F145" s="25" t="str">
        <f aca="false">IF($A145="","",SUMIFS(Timesheet!$F$5:$F$3004,Timesheet!$D$5:$D$3004,$A145,Timesheet!$A$5:$A$3004,"&gt;="&amp;Settings!$B$8,Timesheet!$A$5:$A$3004,"&lt;="&amp;Settings!$B$9))</f>
        <v/>
      </c>
      <c r="G145" s="25" t="str">
        <f aca="false">IF($A145="","",SUMIFS(Timesheet!$G$5:$G$3004,Timesheet!$D$5:$D$3004,$A145,Timesheet!$A$5:$A$3004,"&gt;="&amp;Settings!$B$8,Timesheet!$A$5:$A$3004,"&lt;="&amp;Settings!$B$9))</f>
        <v/>
      </c>
      <c r="H145" s="25" t="str">
        <f aca="false">IF($A145="","",IF(D145="Monthly",MAX(0,Settings!$B$11-E145),0))</f>
        <v/>
      </c>
      <c r="I145" s="26" t="str">
        <f aca="false">IF($A145="","",N(INDEX(Workers!$L$5:$L$2004,MATCH($A145,Workers!$A$5:$A$2004,0))))</f>
        <v/>
      </c>
      <c r="J145" s="26" t="str">
        <f aca="false">IF($A145="","",N(INDEX(Workers!$M$5:$M$2004,MATCH($A145,Workers!$A$5:$A$2004,0))))</f>
        <v/>
      </c>
      <c r="K145" s="26" t="str">
        <f aca="false">IF($A145="","",IF(D145="Monthly",ROUND(MAX(0,(I145+J145)-(I145+J145)/Settings!$B$10*H145),2),0))</f>
        <v/>
      </c>
      <c r="L145" s="26" t="str">
        <f aca="false">IF($A145="","",IF(D145="Hourly",ROUND(F145*N(INDEX(Workers!$N$5:$N$2004,MATCH($A145,Workers!$A$5:$A$2004,0))),2),0))</f>
        <v/>
      </c>
      <c r="M145" s="26" t="str">
        <f aca="false">IF($A145="","",ROUND(G145*IF(D145="Hourly",N(INDEX(Workers!$N$5:$N$2004,MATCH($A145,Workers!$A$5:$A$2004,0))),I145/Settings!$B$10/Settings!$B$12)*Settings!$B$13,2))</f>
        <v/>
      </c>
      <c r="N145" s="26" t="str">
        <f aca="false">IF($A145="","",K145+L145+M145)</f>
        <v/>
      </c>
      <c r="O145" s="26" t="str">
        <f aca="false">IF($A145="","",SUMIFS(Deductions!$D$5:$D$2000,Deductions!$B$5:$B$2000,$A145,Deductions!$C$5:$C$2000,"Advance",Deductions!$E$5:$E$2000,"&gt;="&amp;Settings!$B$8,Deductions!$E$5:$E$2000,"&lt;="&amp;Settings!$B$9))</f>
        <v/>
      </c>
      <c r="P145" s="26" t="str">
        <f aca="false">IF($A145="","",SUMIFS(Deductions!$D$5:$D$2000,Deductions!$B$5:$B$2000,$A145,Deductions!$E$5:$E$2000,"&gt;="&amp;Settings!$B$8,Deductions!$E$5:$E$2000,"&lt;="&amp;Settings!$B$9)-O145)</f>
        <v/>
      </c>
      <c r="Q145" s="26" t="str">
        <f aca="false">IF($A145="","",O145+P145)</f>
        <v/>
      </c>
      <c r="R145" s="23" t="str">
        <f aca="false">IF($A145="","",N145-Q145)</f>
        <v/>
      </c>
      <c r="S145" s="24" t="str">
        <f aca="false">IF($A145="","",INDEX(Workers!$O$5:$O$2004,MATCH($A145,Workers!$A$5:$A$2004,0))&amp;"")</f>
        <v/>
      </c>
      <c r="T145" s="24" t="str">
        <f aca="false">IF($A145="","",INDEX(Workers!$P$5:$P$2004,MATCH($A145,Workers!$A$5:$A$2004,0))&amp;"")</f>
        <v/>
      </c>
      <c r="U145" s="24" t="str">
        <f aca="false">IF($A145="","",INDEX(Workers!$H$5:$H$2004,MATCH($A145,Workers!$A$5:$A$2004,0))&amp;"")</f>
        <v/>
      </c>
    </row>
    <row r="146" customFormat="false" ht="15" hidden="false" customHeight="false" outlineLevel="0" collapsed="false">
      <c r="A146" s="24" t="str">
        <f aca="false">IFERROR(INDEX(Workers!$A$5:$A$2004,MATCH(ROW()-4,Workers!$U$5:$U$2004,0)),"")</f>
        <v/>
      </c>
      <c r="B146" s="24" t="str">
        <f aca="false">IF($A146="","",INDEX(Workers!$B$5:$B$2004,MATCH($A146,Workers!$A$5:$A$2004,0)))</f>
        <v/>
      </c>
      <c r="C146" s="24" t="str">
        <f aca="false">IF($A146="","",INDEX(Workers!$E$5:$E$2004,MATCH($A146,Workers!$A$5:$A$2004,0)))</f>
        <v/>
      </c>
      <c r="D146" s="24" t="str">
        <f aca="false">IF($A146="","",INDEX(Workers!$K$5:$K$2004,MATCH($A146,Workers!$A$5:$A$2004,0)))</f>
        <v/>
      </c>
      <c r="E146" s="25" t="str">
        <f aca="false">IF($A146="","",SUMIFS(Timesheet!$E$5:$E$3004,Timesheet!$D$5:$D$3004,$A146,Timesheet!$A$5:$A$3004,"&gt;="&amp;Settings!$B$8,Timesheet!$A$5:$A$3004,"&lt;="&amp;Settings!$B$9))</f>
        <v/>
      </c>
      <c r="F146" s="25" t="str">
        <f aca="false">IF($A146="","",SUMIFS(Timesheet!$F$5:$F$3004,Timesheet!$D$5:$D$3004,$A146,Timesheet!$A$5:$A$3004,"&gt;="&amp;Settings!$B$8,Timesheet!$A$5:$A$3004,"&lt;="&amp;Settings!$B$9))</f>
        <v/>
      </c>
      <c r="G146" s="25" t="str">
        <f aca="false">IF($A146="","",SUMIFS(Timesheet!$G$5:$G$3004,Timesheet!$D$5:$D$3004,$A146,Timesheet!$A$5:$A$3004,"&gt;="&amp;Settings!$B$8,Timesheet!$A$5:$A$3004,"&lt;="&amp;Settings!$B$9))</f>
        <v/>
      </c>
      <c r="H146" s="25" t="str">
        <f aca="false">IF($A146="","",IF(D146="Monthly",MAX(0,Settings!$B$11-E146),0))</f>
        <v/>
      </c>
      <c r="I146" s="26" t="str">
        <f aca="false">IF($A146="","",N(INDEX(Workers!$L$5:$L$2004,MATCH($A146,Workers!$A$5:$A$2004,0))))</f>
        <v/>
      </c>
      <c r="J146" s="26" t="str">
        <f aca="false">IF($A146="","",N(INDEX(Workers!$M$5:$M$2004,MATCH($A146,Workers!$A$5:$A$2004,0))))</f>
        <v/>
      </c>
      <c r="K146" s="26" t="str">
        <f aca="false">IF($A146="","",IF(D146="Monthly",ROUND(MAX(0,(I146+J146)-(I146+J146)/Settings!$B$10*H146),2),0))</f>
        <v/>
      </c>
      <c r="L146" s="26" t="str">
        <f aca="false">IF($A146="","",IF(D146="Hourly",ROUND(F146*N(INDEX(Workers!$N$5:$N$2004,MATCH($A146,Workers!$A$5:$A$2004,0))),2),0))</f>
        <v/>
      </c>
      <c r="M146" s="26" t="str">
        <f aca="false">IF($A146="","",ROUND(G146*IF(D146="Hourly",N(INDEX(Workers!$N$5:$N$2004,MATCH($A146,Workers!$A$5:$A$2004,0))),I146/Settings!$B$10/Settings!$B$12)*Settings!$B$13,2))</f>
        <v/>
      </c>
      <c r="N146" s="26" t="str">
        <f aca="false">IF($A146="","",K146+L146+M146)</f>
        <v/>
      </c>
      <c r="O146" s="26" t="str">
        <f aca="false">IF($A146="","",SUMIFS(Deductions!$D$5:$D$2000,Deductions!$B$5:$B$2000,$A146,Deductions!$C$5:$C$2000,"Advance",Deductions!$E$5:$E$2000,"&gt;="&amp;Settings!$B$8,Deductions!$E$5:$E$2000,"&lt;="&amp;Settings!$B$9))</f>
        <v/>
      </c>
      <c r="P146" s="26" t="str">
        <f aca="false">IF($A146="","",SUMIFS(Deductions!$D$5:$D$2000,Deductions!$B$5:$B$2000,$A146,Deductions!$E$5:$E$2000,"&gt;="&amp;Settings!$B$8,Deductions!$E$5:$E$2000,"&lt;="&amp;Settings!$B$9)-O146)</f>
        <v/>
      </c>
      <c r="Q146" s="26" t="str">
        <f aca="false">IF($A146="","",O146+P146)</f>
        <v/>
      </c>
      <c r="R146" s="23" t="str">
        <f aca="false">IF($A146="","",N146-Q146)</f>
        <v/>
      </c>
      <c r="S146" s="24" t="str">
        <f aca="false">IF($A146="","",INDEX(Workers!$O$5:$O$2004,MATCH($A146,Workers!$A$5:$A$2004,0))&amp;"")</f>
        <v/>
      </c>
      <c r="T146" s="24" t="str">
        <f aca="false">IF($A146="","",INDEX(Workers!$P$5:$P$2004,MATCH($A146,Workers!$A$5:$A$2004,0))&amp;"")</f>
        <v/>
      </c>
      <c r="U146" s="24" t="str">
        <f aca="false">IF($A146="","",INDEX(Workers!$H$5:$H$2004,MATCH($A146,Workers!$A$5:$A$2004,0))&amp;"")</f>
        <v/>
      </c>
    </row>
    <row r="147" customFormat="false" ht="15" hidden="false" customHeight="false" outlineLevel="0" collapsed="false">
      <c r="A147" s="24" t="str">
        <f aca="false">IFERROR(INDEX(Workers!$A$5:$A$2004,MATCH(ROW()-4,Workers!$U$5:$U$2004,0)),"")</f>
        <v/>
      </c>
      <c r="B147" s="24" t="str">
        <f aca="false">IF($A147="","",INDEX(Workers!$B$5:$B$2004,MATCH($A147,Workers!$A$5:$A$2004,0)))</f>
        <v/>
      </c>
      <c r="C147" s="24" t="str">
        <f aca="false">IF($A147="","",INDEX(Workers!$E$5:$E$2004,MATCH($A147,Workers!$A$5:$A$2004,0)))</f>
        <v/>
      </c>
      <c r="D147" s="24" t="str">
        <f aca="false">IF($A147="","",INDEX(Workers!$K$5:$K$2004,MATCH($A147,Workers!$A$5:$A$2004,0)))</f>
        <v/>
      </c>
      <c r="E147" s="25" t="str">
        <f aca="false">IF($A147="","",SUMIFS(Timesheet!$E$5:$E$3004,Timesheet!$D$5:$D$3004,$A147,Timesheet!$A$5:$A$3004,"&gt;="&amp;Settings!$B$8,Timesheet!$A$5:$A$3004,"&lt;="&amp;Settings!$B$9))</f>
        <v/>
      </c>
      <c r="F147" s="25" t="str">
        <f aca="false">IF($A147="","",SUMIFS(Timesheet!$F$5:$F$3004,Timesheet!$D$5:$D$3004,$A147,Timesheet!$A$5:$A$3004,"&gt;="&amp;Settings!$B$8,Timesheet!$A$5:$A$3004,"&lt;="&amp;Settings!$B$9))</f>
        <v/>
      </c>
      <c r="G147" s="25" t="str">
        <f aca="false">IF($A147="","",SUMIFS(Timesheet!$G$5:$G$3004,Timesheet!$D$5:$D$3004,$A147,Timesheet!$A$5:$A$3004,"&gt;="&amp;Settings!$B$8,Timesheet!$A$5:$A$3004,"&lt;="&amp;Settings!$B$9))</f>
        <v/>
      </c>
      <c r="H147" s="25" t="str">
        <f aca="false">IF($A147="","",IF(D147="Monthly",MAX(0,Settings!$B$11-E147),0))</f>
        <v/>
      </c>
      <c r="I147" s="26" t="str">
        <f aca="false">IF($A147="","",N(INDEX(Workers!$L$5:$L$2004,MATCH($A147,Workers!$A$5:$A$2004,0))))</f>
        <v/>
      </c>
      <c r="J147" s="26" t="str">
        <f aca="false">IF($A147="","",N(INDEX(Workers!$M$5:$M$2004,MATCH($A147,Workers!$A$5:$A$2004,0))))</f>
        <v/>
      </c>
      <c r="K147" s="26" t="str">
        <f aca="false">IF($A147="","",IF(D147="Monthly",ROUND(MAX(0,(I147+J147)-(I147+J147)/Settings!$B$10*H147),2),0))</f>
        <v/>
      </c>
      <c r="L147" s="26" t="str">
        <f aca="false">IF($A147="","",IF(D147="Hourly",ROUND(F147*N(INDEX(Workers!$N$5:$N$2004,MATCH($A147,Workers!$A$5:$A$2004,0))),2),0))</f>
        <v/>
      </c>
      <c r="M147" s="26" t="str">
        <f aca="false">IF($A147="","",ROUND(G147*IF(D147="Hourly",N(INDEX(Workers!$N$5:$N$2004,MATCH($A147,Workers!$A$5:$A$2004,0))),I147/Settings!$B$10/Settings!$B$12)*Settings!$B$13,2))</f>
        <v/>
      </c>
      <c r="N147" s="26" t="str">
        <f aca="false">IF($A147="","",K147+L147+M147)</f>
        <v/>
      </c>
      <c r="O147" s="26" t="str">
        <f aca="false">IF($A147="","",SUMIFS(Deductions!$D$5:$D$2000,Deductions!$B$5:$B$2000,$A147,Deductions!$C$5:$C$2000,"Advance",Deductions!$E$5:$E$2000,"&gt;="&amp;Settings!$B$8,Deductions!$E$5:$E$2000,"&lt;="&amp;Settings!$B$9))</f>
        <v/>
      </c>
      <c r="P147" s="26" t="str">
        <f aca="false">IF($A147="","",SUMIFS(Deductions!$D$5:$D$2000,Deductions!$B$5:$B$2000,$A147,Deductions!$E$5:$E$2000,"&gt;="&amp;Settings!$B$8,Deductions!$E$5:$E$2000,"&lt;="&amp;Settings!$B$9)-O147)</f>
        <v/>
      </c>
      <c r="Q147" s="26" t="str">
        <f aca="false">IF($A147="","",O147+P147)</f>
        <v/>
      </c>
      <c r="R147" s="23" t="str">
        <f aca="false">IF($A147="","",N147-Q147)</f>
        <v/>
      </c>
      <c r="S147" s="24" t="str">
        <f aca="false">IF($A147="","",INDEX(Workers!$O$5:$O$2004,MATCH($A147,Workers!$A$5:$A$2004,0))&amp;"")</f>
        <v/>
      </c>
      <c r="T147" s="24" t="str">
        <f aca="false">IF($A147="","",INDEX(Workers!$P$5:$P$2004,MATCH($A147,Workers!$A$5:$A$2004,0))&amp;"")</f>
        <v/>
      </c>
      <c r="U147" s="24" t="str">
        <f aca="false">IF($A147="","",INDEX(Workers!$H$5:$H$2004,MATCH($A147,Workers!$A$5:$A$2004,0))&amp;"")</f>
        <v/>
      </c>
    </row>
    <row r="148" customFormat="false" ht="15" hidden="false" customHeight="false" outlineLevel="0" collapsed="false">
      <c r="A148" s="24" t="str">
        <f aca="false">IFERROR(INDEX(Workers!$A$5:$A$2004,MATCH(ROW()-4,Workers!$U$5:$U$2004,0)),"")</f>
        <v/>
      </c>
      <c r="B148" s="24" t="str">
        <f aca="false">IF($A148="","",INDEX(Workers!$B$5:$B$2004,MATCH($A148,Workers!$A$5:$A$2004,0)))</f>
        <v/>
      </c>
      <c r="C148" s="24" t="str">
        <f aca="false">IF($A148="","",INDEX(Workers!$E$5:$E$2004,MATCH($A148,Workers!$A$5:$A$2004,0)))</f>
        <v/>
      </c>
      <c r="D148" s="24" t="str">
        <f aca="false">IF($A148="","",INDEX(Workers!$K$5:$K$2004,MATCH($A148,Workers!$A$5:$A$2004,0)))</f>
        <v/>
      </c>
      <c r="E148" s="25" t="str">
        <f aca="false">IF($A148="","",SUMIFS(Timesheet!$E$5:$E$3004,Timesheet!$D$5:$D$3004,$A148,Timesheet!$A$5:$A$3004,"&gt;="&amp;Settings!$B$8,Timesheet!$A$5:$A$3004,"&lt;="&amp;Settings!$B$9))</f>
        <v/>
      </c>
      <c r="F148" s="25" t="str">
        <f aca="false">IF($A148="","",SUMIFS(Timesheet!$F$5:$F$3004,Timesheet!$D$5:$D$3004,$A148,Timesheet!$A$5:$A$3004,"&gt;="&amp;Settings!$B$8,Timesheet!$A$5:$A$3004,"&lt;="&amp;Settings!$B$9))</f>
        <v/>
      </c>
      <c r="G148" s="25" t="str">
        <f aca="false">IF($A148="","",SUMIFS(Timesheet!$G$5:$G$3004,Timesheet!$D$5:$D$3004,$A148,Timesheet!$A$5:$A$3004,"&gt;="&amp;Settings!$B$8,Timesheet!$A$5:$A$3004,"&lt;="&amp;Settings!$B$9))</f>
        <v/>
      </c>
      <c r="H148" s="25" t="str">
        <f aca="false">IF($A148="","",IF(D148="Monthly",MAX(0,Settings!$B$11-E148),0))</f>
        <v/>
      </c>
      <c r="I148" s="26" t="str">
        <f aca="false">IF($A148="","",N(INDEX(Workers!$L$5:$L$2004,MATCH($A148,Workers!$A$5:$A$2004,0))))</f>
        <v/>
      </c>
      <c r="J148" s="26" t="str">
        <f aca="false">IF($A148="","",N(INDEX(Workers!$M$5:$M$2004,MATCH($A148,Workers!$A$5:$A$2004,0))))</f>
        <v/>
      </c>
      <c r="K148" s="26" t="str">
        <f aca="false">IF($A148="","",IF(D148="Monthly",ROUND(MAX(0,(I148+J148)-(I148+J148)/Settings!$B$10*H148),2),0))</f>
        <v/>
      </c>
      <c r="L148" s="26" t="str">
        <f aca="false">IF($A148="","",IF(D148="Hourly",ROUND(F148*N(INDEX(Workers!$N$5:$N$2004,MATCH($A148,Workers!$A$5:$A$2004,0))),2),0))</f>
        <v/>
      </c>
      <c r="M148" s="26" t="str">
        <f aca="false">IF($A148="","",ROUND(G148*IF(D148="Hourly",N(INDEX(Workers!$N$5:$N$2004,MATCH($A148,Workers!$A$5:$A$2004,0))),I148/Settings!$B$10/Settings!$B$12)*Settings!$B$13,2))</f>
        <v/>
      </c>
      <c r="N148" s="26" t="str">
        <f aca="false">IF($A148="","",K148+L148+M148)</f>
        <v/>
      </c>
      <c r="O148" s="26" t="str">
        <f aca="false">IF($A148="","",SUMIFS(Deductions!$D$5:$D$2000,Deductions!$B$5:$B$2000,$A148,Deductions!$C$5:$C$2000,"Advance",Deductions!$E$5:$E$2000,"&gt;="&amp;Settings!$B$8,Deductions!$E$5:$E$2000,"&lt;="&amp;Settings!$B$9))</f>
        <v/>
      </c>
      <c r="P148" s="26" t="str">
        <f aca="false">IF($A148="","",SUMIFS(Deductions!$D$5:$D$2000,Deductions!$B$5:$B$2000,$A148,Deductions!$E$5:$E$2000,"&gt;="&amp;Settings!$B$8,Deductions!$E$5:$E$2000,"&lt;="&amp;Settings!$B$9)-O148)</f>
        <v/>
      </c>
      <c r="Q148" s="26" t="str">
        <f aca="false">IF($A148="","",O148+P148)</f>
        <v/>
      </c>
      <c r="R148" s="23" t="str">
        <f aca="false">IF($A148="","",N148-Q148)</f>
        <v/>
      </c>
      <c r="S148" s="24" t="str">
        <f aca="false">IF($A148="","",INDEX(Workers!$O$5:$O$2004,MATCH($A148,Workers!$A$5:$A$2004,0))&amp;"")</f>
        <v/>
      </c>
      <c r="T148" s="24" t="str">
        <f aca="false">IF($A148="","",INDEX(Workers!$P$5:$P$2004,MATCH($A148,Workers!$A$5:$A$2004,0))&amp;"")</f>
        <v/>
      </c>
      <c r="U148" s="24" t="str">
        <f aca="false">IF($A148="","",INDEX(Workers!$H$5:$H$2004,MATCH($A148,Workers!$A$5:$A$2004,0))&amp;"")</f>
        <v/>
      </c>
    </row>
    <row r="149" customFormat="false" ht="15" hidden="false" customHeight="false" outlineLevel="0" collapsed="false">
      <c r="A149" s="24" t="str">
        <f aca="false">IFERROR(INDEX(Workers!$A$5:$A$2004,MATCH(ROW()-4,Workers!$U$5:$U$2004,0)),"")</f>
        <v/>
      </c>
      <c r="B149" s="24" t="str">
        <f aca="false">IF($A149="","",INDEX(Workers!$B$5:$B$2004,MATCH($A149,Workers!$A$5:$A$2004,0)))</f>
        <v/>
      </c>
      <c r="C149" s="24" t="str">
        <f aca="false">IF($A149="","",INDEX(Workers!$E$5:$E$2004,MATCH($A149,Workers!$A$5:$A$2004,0)))</f>
        <v/>
      </c>
      <c r="D149" s="24" t="str">
        <f aca="false">IF($A149="","",INDEX(Workers!$K$5:$K$2004,MATCH($A149,Workers!$A$5:$A$2004,0)))</f>
        <v/>
      </c>
      <c r="E149" s="25" t="str">
        <f aca="false">IF($A149="","",SUMIFS(Timesheet!$E$5:$E$3004,Timesheet!$D$5:$D$3004,$A149,Timesheet!$A$5:$A$3004,"&gt;="&amp;Settings!$B$8,Timesheet!$A$5:$A$3004,"&lt;="&amp;Settings!$B$9))</f>
        <v/>
      </c>
      <c r="F149" s="25" t="str">
        <f aca="false">IF($A149="","",SUMIFS(Timesheet!$F$5:$F$3004,Timesheet!$D$5:$D$3004,$A149,Timesheet!$A$5:$A$3004,"&gt;="&amp;Settings!$B$8,Timesheet!$A$5:$A$3004,"&lt;="&amp;Settings!$B$9))</f>
        <v/>
      </c>
      <c r="G149" s="25" t="str">
        <f aca="false">IF($A149="","",SUMIFS(Timesheet!$G$5:$G$3004,Timesheet!$D$5:$D$3004,$A149,Timesheet!$A$5:$A$3004,"&gt;="&amp;Settings!$B$8,Timesheet!$A$5:$A$3004,"&lt;="&amp;Settings!$B$9))</f>
        <v/>
      </c>
      <c r="H149" s="25" t="str">
        <f aca="false">IF($A149="","",IF(D149="Monthly",MAX(0,Settings!$B$11-E149),0))</f>
        <v/>
      </c>
      <c r="I149" s="26" t="str">
        <f aca="false">IF($A149="","",N(INDEX(Workers!$L$5:$L$2004,MATCH($A149,Workers!$A$5:$A$2004,0))))</f>
        <v/>
      </c>
      <c r="J149" s="26" t="str">
        <f aca="false">IF($A149="","",N(INDEX(Workers!$M$5:$M$2004,MATCH($A149,Workers!$A$5:$A$2004,0))))</f>
        <v/>
      </c>
      <c r="K149" s="26" t="str">
        <f aca="false">IF($A149="","",IF(D149="Monthly",ROUND(MAX(0,(I149+J149)-(I149+J149)/Settings!$B$10*H149),2),0))</f>
        <v/>
      </c>
      <c r="L149" s="26" t="str">
        <f aca="false">IF($A149="","",IF(D149="Hourly",ROUND(F149*N(INDEX(Workers!$N$5:$N$2004,MATCH($A149,Workers!$A$5:$A$2004,0))),2),0))</f>
        <v/>
      </c>
      <c r="M149" s="26" t="str">
        <f aca="false">IF($A149="","",ROUND(G149*IF(D149="Hourly",N(INDEX(Workers!$N$5:$N$2004,MATCH($A149,Workers!$A$5:$A$2004,0))),I149/Settings!$B$10/Settings!$B$12)*Settings!$B$13,2))</f>
        <v/>
      </c>
      <c r="N149" s="26" t="str">
        <f aca="false">IF($A149="","",K149+L149+M149)</f>
        <v/>
      </c>
      <c r="O149" s="26" t="str">
        <f aca="false">IF($A149="","",SUMIFS(Deductions!$D$5:$D$2000,Deductions!$B$5:$B$2000,$A149,Deductions!$C$5:$C$2000,"Advance",Deductions!$E$5:$E$2000,"&gt;="&amp;Settings!$B$8,Deductions!$E$5:$E$2000,"&lt;="&amp;Settings!$B$9))</f>
        <v/>
      </c>
      <c r="P149" s="26" t="str">
        <f aca="false">IF($A149="","",SUMIFS(Deductions!$D$5:$D$2000,Deductions!$B$5:$B$2000,$A149,Deductions!$E$5:$E$2000,"&gt;="&amp;Settings!$B$8,Deductions!$E$5:$E$2000,"&lt;="&amp;Settings!$B$9)-O149)</f>
        <v/>
      </c>
      <c r="Q149" s="26" t="str">
        <f aca="false">IF($A149="","",O149+P149)</f>
        <v/>
      </c>
      <c r="R149" s="23" t="str">
        <f aca="false">IF($A149="","",N149-Q149)</f>
        <v/>
      </c>
      <c r="S149" s="24" t="str">
        <f aca="false">IF($A149="","",INDEX(Workers!$O$5:$O$2004,MATCH($A149,Workers!$A$5:$A$2004,0))&amp;"")</f>
        <v/>
      </c>
      <c r="T149" s="24" t="str">
        <f aca="false">IF($A149="","",INDEX(Workers!$P$5:$P$2004,MATCH($A149,Workers!$A$5:$A$2004,0))&amp;"")</f>
        <v/>
      </c>
      <c r="U149" s="24" t="str">
        <f aca="false">IF($A149="","",INDEX(Workers!$H$5:$H$2004,MATCH($A149,Workers!$A$5:$A$2004,0))&amp;"")</f>
        <v/>
      </c>
    </row>
    <row r="150" customFormat="false" ht="15" hidden="false" customHeight="false" outlineLevel="0" collapsed="false">
      <c r="A150" s="24" t="str">
        <f aca="false">IFERROR(INDEX(Workers!$A$5:$A$2004,MATCH(ROW()-4,Workers!$U$5:$U$2004,0)),"")</f>
        <v/>
      </c>
      <c r="B150" s="24" t="str">
        <f aca="false">IF($A150="","",INDEX(Workers!$B$5:$B$2004,MATCH($A150,Workers!$A$5:$A$2004,0)))</f>
        <v/>
      </c>
      <c r="C150" s="24" t="str">
        <f aca="false">IF($A150="","",INDEX(Workers!$E$5:$E$2004,MATCH($A150,Workers!$A$5:$A$2004,0)))</f>
        <v/>
      </c>
      <c r="D150" s="24" t="str">
        <f aca="false">IF($A150="","",INDEX(Workers!$K$5:$K$2004,MATCH($A150,Workers!$A$5:$A$2004,0)))</f>
        <v/>
      </c>
      <c r="E150" s="25" t="str">
        <f aca="false">IF($A150="","",SUMIFS(Timesheet!$E$5:$E$3004,Timesheet!$D$5:$D$3004,$A150,Timesheet!$A$5:$A$3004,"&gt;="&amp;Settings!$B$8,Timesheet!$A$5:$A$3004,"&lt;="&amp;Settings!$B$9))</f>
        <v/>
      </c>
      <c r="F150" s="25" t="str">
        <f aca="false">IF($A150="","",SUMIFS(Timesheet!$F$5:$F$3004,Timesheet!$D$5:$D$3004,$A150,Timesheet!$A$5:$A$3004,"&gt;="&amp;Settings!$B$8,Timesheet!$A$5:$A$3004,"&lt;="&amp;Settings!$B$9))</f>
        <v/>
      </c>
      <c r="G150" s="25" t="str">
        <f aca="false">IF($A150="","",SUMIFS(Timesheet!$G$5:$G$3004,Timesheet!$D$5:$D$3004,$A150,Timesheet!$A$5:$A$3004,"&gt;="&amp;Settings!$B$8,Timesheet!$A$5:$A$3004,"&lt;="&amp;Settings!$B$9))</f>
        <v/>
      </c>
      <c r="H150" s="25" t="str">
        <f aca="false">IF($A150="","",IF(D150="Monthly",MAX(0,Settings!$B$11-E150),0))</f>
        <v/>
      </c>
      <c r="I150" s="26" t="str">
        <f aca="false">IF($A150="","",N(INDEX(Workers!$L$5:$L$2004,MATCH($A150,Workers!$A$5:$A$2004,0))))</f>
        <v/>
      </c>
      <c r="J150" s="26" t="str">
        <f aca="false">IF($A150="","",N(INDEX(Workers!$M$5:$M$2004,MATCH($A150,Workers!$A$5:$A$2004,0))))</f>
        <v/>
      </c>
      <c r="K150" s="26" t="str">
        <f aca="false">IF($A150="","",IF(D150="Monthly",ROUND(MAX(0,(I150+J150)-(I150+J150)/Settings!$B$10*H150),2),0))</f>
        <v/>
      </c>
      <c r="L150" s="26" t="str">
        <f aca="false">IF($A150="","",IF(D150="Hourly",ROUND(F150*N(INDEX(Workers!$N$5:$N$2004,MATCH($A150,Workers!$A$5:$A$2004,0))),2),0))</f>
        <v/>
      </c>
      <c r="M150" s="26" t="str">
        <f aca="false">IF($A150="","",ROUND(G150*IF(D150="Hourly",N(INDEX(Workers!$N$5:$N$2004,MATCH($A150,Workers!$A$5:$A$2004,0))),I150/Settings!$B$10/Settings!$B$12)*Settings!$B$13,2))</f>
        <v/>
      </c>
      <c r="N150" s="26" t="str">
        <f aca="false">IF($A150="","",K150+L150+M150)</f>
        <v/>
      </c>
      <c r="O150" s="26" t="str">
        <f aca="false">IF($A150="","",SUMIFS(Deductions!$D$5:$D$2000,Deductions!$B$5:$B$2000,$A150,Deductions!$C$5:$C$2000,"Advance",Deductions!$E$5:$E$2000,"&gt;="&amp;Settings!$B$8,Deductions!$E$5:$E$2000,"&lt;="&amp;Settings!$B$9))</f>
        <v/>
      </c>
      <c r="P150" s="26" t="str">
        <f aca="false">IF($A150="","",SUMIFS(Deductions!$D$5:$D$2000,Deductions!$B$5:$B$2000,$A150,Deductions!$E$5:$E$2000,"&gt;="&amp;Settings!$B$8,Deductions!$E$5:$E$2000,"&lt;="&amp;Settings!$B$9)-O150)</f>
        <v/>
      </c>
      <c r="Q150" s="26" t="str">
        <f aca="false">IF($A150="","",O150+P150)</f>
        <v/>
      </c>
      <c r="R150" s="23" t="str">
        <f aca="false">IF($A150="","",N150-Q150)</f>
        <v/>
      </c>
      <c r="S150" s="24" t="str">
        <f aca="false">IF($A150="","",INDEX(Workers!$O$5:$O$2004,MATCH($A150,Workers!$A$5:$A$2004,0))&amp;"")</f>
        <v/>
      </c>
      <c r="T150" s="24" t="str">
        <f aca="false">IF($A150="","",INDEX(Workers!$P$5:$P$2004,MATCH($A150,Workers!$A$5:$A$2004,0))&amp;"")</f>
        <v/>
      </c>
      <c r="U150" s="24" t="str">
        <f aca="false">IF($A150="","",INDEX(Workers!$H$5:$H$2004,MATCH($A150,Workers!$A$5:$A$2004,0))&amp;"")</f>
        <v/>
      </c>
    </row>
    <row r="151" customFormat="false" ht="15" hidden="false" customHeight="false" outlineLevel="0" collapsed="false">
      <c r="A151" s="24" t="str">
        <f aca="false">IFERROR(INDEX(Workers!$A$5:$A$2004,MATCH(ROW()-4,Workers!$U$5:$U$2004,0)),"")</f>
        <v/>
      </c>
      <c r="B151" s="24" t="str">
        <f aca="false">IF($A151="","",INDEX(Workers!$B$5:$B$2004,MATCH($A151,Workers!$A$5:$A$2004,0)))</f>
        <v/>
      </c>
      <c r="C151" s="24" t="str">
        <f aca="false">IF($A151="","",INDEX(Workers!$E$5:$E$2004,MATCH($A151,Workers!$A$5:$A$2004,0)))</f>
        <v/>
      </c>
      <c r="D151" s="24" t="str">
        <f aca="false">IF($A151="","",INDEX(Workers!$K$5:$K$2004,MATCH($A151,Workers!$A$5:$A$2004,0)))</f>
        <v/>
      </c>
      <c r="E151" s="25" t="str">
        <f aca="false">IF($A151="","",SUMIFS(Timesheet!$E$5:$E$3004,Timesheet!$D$5:$D$3004,$A151,Timesheet!$A$5:$A$3004,"&gt;="&amp;Settings!$B$8,Timesheet!$A$5:$A$3004,"&lt;="&amp;Settings!$B$9))</f>
        <v/>
      </c>
      <c r="F151" s="25" t="str">
        <f aca="false">IF($A151="","",SUMIFS(Timesheet!$F$5:$F$3004,Timesheet!$D$5:$D$3004,$A151,Timesheet!$A$5:$A$3004,"&gt;="&amp;Settings!$B$8,Timesheet!$A$5:$A$3004,"&lt;="&amp;Settings!$B$9))</f>
        <v/>
      </c>
      <c r="G151" s="25" t="str">
        <f aca="false">IF($A151="","",SUMIFS(Timesheet!$G$5:$G$3004,Timesheet!$D$5:$D$3004,$A151,Timesheet!$A$5:$A$3004,"&gt;="&amp;Settings!$B$8,Timesheet!$A$5:$A$3004,"&lt;="&amp;Settings!$B$9))</f>
        <v/>
      </c>
      <c r="H151" s="25" t="str">
        <f aca="false">IF($A151="","",IF(D151="Monthly",MAX(0,Settings!$B$11-E151),0))</f>
        <v/>
      </c>
      <c r="I151" s="26" t="str">
        <f aca="false">IF($A151="","",N(INDEX(Workers!$L$5:$L$2004,MATCH($A151,Workers!$A$5:$A$2004,0))))</f>
        <v/>
      </c>
      <c r="J151" s="26" t="str">
        <f aca="false">IF($A151="","",N(INDEX(Workers!$M$5:$M$2004,MATCH($A151,Workers!$A$5:$A$2004,0))))</f>
        <v/>
      </c>
      <c r="K151" s="26" t="str">
        <f aca="false">IF($A151="","",IF(D151="Monthly",ROUND(MAX(0,(I151+J151)-(I151+J151)/Settings!$B$10*H151),2),0))</f>
        <v/>
      </c>
      <c r="L151" s="26" t="str">
        <f aca="false">IF($A151="","",IF(D151="Hourly",ROUND(F151*N(INDEX(Workers!$N$5:$N$2004,MATCH($A151,Workers!$A$5:$A$2004,0))),2),0))</f>
        <v/>
      </c>
      <c r="M151" s="26" t="str">
        <f aca="false">IF($A151="","",ROUND(G151*IF(D151="Hourly",N(INDEX(Workers!$N$5:$N$2004,MATCH($A151,Workers!$A$5:$A$2004,0))),I151/Settings!$B$10/Settings!$B$12)*Settings!$B$13,2))</f>
        <v/>
      </c>
      <c r="N151" s="26" t="str">
        <f aca="false">IF($A151="","",K151+L151+M151)</f>
        <v/>
      </c>
      <c r="O151" s="26" t="str">
        <f aca="false">IF($A151="","",SUMIFS(Deductions!$D$5:$D$2000,Deductions!$B$5:$B$2000,$A151,Deductions!$C$5:$C$2000,"Advance",Deductions!$E$5:$E$2000,"&gt;="&amp;Settings!$B$8,Deductions!$E$5:$E$2000,"&lt;="&amp;Settings!$B$9))</f>
        <v/>
      </c>
      <c r="P151" s="26" t="str">
        <f aca="false">IF($A151="","",SUMIFS(Deductions!$D$5:$D$2000,Deductions!$B$5:$B$2000,$A151,Deductions!$E$5:$E$2000,"&gt;="&amp;Settings!$B$8,Deductions!$E$5:$E$2000,"&lt;="&amp;Settings!$B$9)-O151)</f>
        <v/>
      </c>
      <c r="Q151" s="26" t="str">
        <f aca="false">IF($A151="","",O151+P151)</f>
        <v/>
      </c>
      <c r="R151" s="23" t="str">
        <f aca="false">IF($A151="","",N151-Q151)</f>
        <v/>
      </c>
      <c r="S151" s="24" t="str">
        <f aca="false">IF($A151="","",INDEX(Workers!$O$5:$O$2004,MATCH($A151,Workers!$A$5:$A$2004,0))&amp;"")</f>
        <v/>
      </c>
      <c r="T151" s="24" t="str">
        <f aca="false">IF($A151="","",INDEX(Workers!$P$5:$P$2004,MATCH($A151,Workers!$A$5:$A$2004,0))&amp;"")</f>
        <v/>
      </c>
      <c r="U151" s="24" t="str">
        <f aca="false">IF($A151="","",INDEX(Workers!$H$5:$H$2004,MATCH($A151,Workers!$A$5:$A$2004,0))&amp;"")</f>
        <v/>
      </c>
    </row>
    <row r="152" customFormat="false" ht="15" hidden="false" customHeight="false" outlineLevel="0" collapsed="false">
      <c r="A152" s="24" t="str">
        <f aca="false">IFERROR(INDEX(Workers!$A$5:$A$2004,MATCH(ROW()-4,Workers!$U$5:$U$2004,0)),"")</f>
        <v/>
      </c>
      <c r="B152" s="24" t="str">
        <f aca="false">IF($A152="","",INDEX(Workers!$B$5:$B$2004,MATCH($A152,Workers!$A$5:$A$2004,0)))</f>
        <v/>
      </c>
      <c r="C152" s="24" t="str">
        <f aca="false">IF($A152="","",INDEX(Workers!$E$5:$E$2004,MATCH($A152,Workers!$A$5:$A$2004,0)))</f>
        <v/>
      </c>
      <c r="D152" s="24" t="str">
        <f aca="false">IF($A152="","",INDEX(Workers!$K$5:$K$2004,MATCH($A152,Workers!$A$5:$A$2004,0)))</f>
        <v/>
      </c>
      <c r="E152" s="25" t="str">
        <f aca="false">IF($A152="","",SUMIFS(Timesheet!$E$5:$E$3004,Timesheet!$D$5:$D$3004,$A152,Timesheet!$A$5:$A$3004,"&gt;="&amp;Settings!$B$8,Timesheet!$A$5:$A$3004,"&lt;="&amp;Settings!$B$9))</f>
        <v/>
      </c>
      <c r="F152" s="25" t="str">
        <f aca="false">IF($A152="","",SUMIFS(Timesheet!$F$5:$F$3004,Timesheet!$D$5:$D$3004,$A152,Timesheet!$A$5:$A$3004,"&gt;="&amp;Settings!$B$8,Timesheet!$A$5:$A$3004,"&lt;="&amp;Settings!$B$9))</f>
        <v/>
      </c>
      <c r="G152" s="25" t="str">
        <f aca="false">IF($A152="","",SUMIFS(Timesheet!$G$5:$G$3004,Timesheet!$D$5:$D$3004,$A152,Timesheet!$A$5:$A$3004,"&gt;="&amp;Settings!$B$8,Timesheet!$A$5:$A$3004,"&lt;="&amp;Settings!$B$9))</f>
        <v/>
      </c>
      <c r="H152" s="25" t="str">
        <f aca="false">IF($A152="","",IF(D152="Monthly",MAX(0,Settings!$B$11-E152),0))</f>
        <v/>
      </c>
      <c r="I152" s="26" t="str">
        <f aca="false">IF($A152="","",N(INDEX(Workers!$L$5:$L$2004,MATCH($A152,Workers!$A$5:$A$2004,0))))</f>
        <v/>
      </c>
      <c r="J152" s="26" t="str">
        <f aca="false">IF($A152="","",N(INDEX(Workers!$M$5:$M$2004,MATCH($A152,Workers!$A$5:$A$2004,0))))</f>
        <v/>
      </c>
      <c r="K152" s="26" t="str">
        <f aca="false">IF($A152="","",IF(D152="Monthly",ROUND(MAX(0,(I152+J152)-(I152+J152)/Settings!$B$10*H152),2),0))</f>
        <v/>
      </c>
      <c r="L152" s="26" t="str">
        <f aca="false">IF($A152="","",IF(D152="Hourly",ROUND(F152*N(INDEX(Workers!$N$5:$N$2004,MATCH($A152,Workers!$A$5:$A$2004,0))),2),0))</f>
        <v/>
      </c>
      <c r="M152" s="26" t="str">
        <f aca="false">IF($A152="","",ROUND(G152*IF(D152="Hourly",N(INDEX(Workers!$N$5:$N$2004,MATCH($A152,Workers!$A$5:$A$2004,0))),I152/Settings!$B$10/Settings!$B$12)*Settings!$B$13,2))</f>
        <v/>
      </c>
      <c r="N152" s="26" t="str">
        <f aca="false">IF($A152="","",K152+L152+M152)</f>
        <v/>
      </c>
      <c r="O152" s="26" t="str">
        <f aca="false">IF($A152="","",SUMIFS(Deductions!$D$5:$D$2000,Deductions!$B$5:$B$2000,$A152,Deductions!$C$5:$C$2000,"Advance",Deductions!$E$5:$E$2000,"&gt;="&amp;Settings!$B$8,Deductions!$E$5:$E$2000,"&lt;="&amp;Settings!$B$9))</f>
        <v/>
      </c>
      <c r="P152" s="26" t="str">
        <f aca="false">IF($A152="","",SUMIFS(Deductions!$D$5:$D$2000,Deductions!$B$5:$B$2000,$A152,Deductions!$E$5:$E$2000,"&gt;="&amp;Settings!$B$8,Deductions!$E$5:$E$2000,"&lt;="&amp;Settings!$B$9)-O152)</f>
        <v/>
      </c>
      <c r="Q152" s="26" t="str">
        <f aca="false">IF($A152="","",O152+P152)</f>
        <v/>
      </c>
      <c r="R152" s="23" t="str">
        <f aca="false">IF($A152="","",N152-Q152)</f>
        <v/>
      </c>
      <c r="S152" s="24" t="str">
        <f aca="false">IF($A152="","",INDEX(Workers!$O$5:$O$2004,MATCH($A152,Workers!$A$5:$A$2004,0))&amp;"")</f>
        <v/>
      </c>
      <c r="T152" s="24" t="str">
        <f aca="false">IF($A152="","",INDEX(Workers!$P$5:$P$2004,MATCH($A152,Workers!$A$5:$A$2004,0))&amp;"")</f>
        <v/>
      </c>
      <c r="U152" s="24" t="str">
        <f aca="false">IF($A152="","",INDEX(Workers!$H$5:$H$2004,MATCH($A152,Workers!$A$5:$A$2004,0))&amp;"")</f>
        <v/>
      </c>
    </row>
    <row r="153" customFormat="false" ht="15" hidden="false" customHeight="false" outlineLevel="0" collapsed="false">
      <c r="A153" s="24" t="str">
        <f aca="false">IFERROR(INDEX(Workers!$A$5:$A$2004,MATCH(ROW()-4,Workers!$U$5:$U$2004,0)),"")</f>
        <v/>
      </c>
      <c r="B153" s="24" t="str">
        <f aca="false">IF($A153="","",INDEX(Workers!$B$5:$B$2004,MATCH($A153,Workers!$A$5:$A$2004,0)))</f>
        <v/>
      </c>
      <c r="C153" s="24" t="str">
        <f aca="false">IF($A153="","",INDEX(Workers!$E$5:$E$2004,MATCH($A153,Workers!$A$5:$A$2004,0)))</f>
        <v/>
      </c>
      <c r="D153" s="24" t="str">
        <f aca="false">IF($A153="","",INDEX(Workers!$K$5:$K$2004,MATCH($A153,Workers!$A$5:$A$2004,0)))</f>
        <v/>
      </c>
      <c r="E153" s="25" t="str">
        <f aca="false">IF($A153="","",SUMIFS(Timesheet!$E$5:$E$3004,Timesheet!$D$5:$D$3004,$A153,Timesheet!$A$5:$A$3004,"&gt;="&amp;Settings!$B$8,Timesheet!$A$5:$A$3004,"&lt;="&amp;Settings!$B$9))</f>
        <v/>
      </c>
      <c r="F153" s="25" t="str">
        <f aca="false">IF($A153="","",SUMIFS(Timesheet!$F$5:$F$3004,Timesheet!$D$5:$D$3004,$A153,Timesheet!$A$5:$A$3004,"&gt;="&amp;Settings!$B$8,Timesheet!$A$5:$A$3004,"&lt;="&amp;Settings!$B$9))</f>
        <v/>
      </c>
      <c r="G153" s="25" t="str">
        <f aca="false">IF($A153="","",SUMIFS(Timesheet!$G$5:$G$3004,Timesheet!$D$5:$D$3004,$A153,Timesheet!$A$5:$A$3004,"&gt;="&amp;Settings!$B$8,Timesheet!$A$5:$A$3004,"&lt;="&amp;Settings!$B$9))</f>
        <v/>
      </c>
      <c r="H153" s="25" t="str">
        <f aca="false">IF($A153="","",IF(D153="Monthly",MAX(0,Settings!$B$11-E153),0))</f>
        <v/>
      </c>
      <c r="I153" s="26" t="str">
        <f aca="false">IF($A153="","",N(INDEX(Workers!$L$5:$L$2004,MATCH($A153,Workers!$A$5:$A$2004,0))))</f>
        <v/>
      </c>
      <c r="J153" s="26" t="str">
        <f aca="false">IF($A153="","",N(INDEX(Workers!$M$5:$M$2004,MATCH($A153,Workers!$A$5:$A$2004,0))))</f>
        <v/>
      </c>
      <c r="K153" s="26" t="str">
        <f aca="false">IF($A153="","",IF(D153="Monthly",ROUND(MAX(0,(I153+J153)-(I153+J153)/Settings!$B$10*H153),2),0))</f>
        <v/>
      </c>
      <c r="L153" s="26" t="str">
        <f aca="false">IF($A153="","",IF(D153="Hourly",ROUND(F153*N(INDEX(Workers!$N$5:$N$2004,MATCH($A153,Workers!$A$5:$A$2004,0))),2),0))</f>
        <v/>
      </c>
      <c r="M153" s="26" t="str">
        <f aca="false">IF($A153="","",ROUND(G153*IF(D153="Hourly",N(INDEX(Workers!$N$5:$N$2004,MATCH($A153,Workers!$A$5:$A$2004,0))),I153/Settings!$B$10/Settings!$B$12)*Settings!$B$13,2))</f>
        <v/>
      </c>
      <c r="N153" s="26" t="str">
        <f aca="false">IF($A153="","",K153+L153+M153)</f>
        <v/>
      </c>
      <c r="O153" s="26" t="str">
        <f aca="false">IF($A153="","",SUMIFS(Deductions!$D$5:$D$2000,Deductions!$B$5:$B$2000,$A153,Deductions!$C$5:$C$2000,"Advance",Deductions!$E$5:$E$2000,"&gt;="&amp;Settings!$B$8,Deductions!$E$5:$E$2000,"&lt;="&amp;Settings!$B$9))</f>
        <v/>
      </c>
      <c r="P153" s="26" t="str">
        <f aca="false">IF($A153="","",SUMIFS(Deductions!$D$5:$D$2000,Deductions!$B$5:$B$2000,$A153,Deductions!$E$5:$E$2000,"&gt;="&amp;Settings!$B$8,Deductions!$E$5:$E$2000,"&lt;="&amp;Settings!$B$9)-O153)</f>
        <v/>
      </c>
      <c r="Q153" s="26" t="str">
        <f aca="false">IF($A153="","",O153+P153)</f>
        <v/>
      </c>
      <c r="R153" s="23" t="str">
        <f aca="false">IF($A153="","",N153-Q153)</f>
        <v/>
      </c>
      <c r="S153" s="24" t="str">
        <f aca="false">IF($A153="","",INDEX(Workers!$O$5:$O$2004,MATCH($A153,Workers!$A$5:$A$2004,0))&amp;"")</f>
        <v/>
      </c>
      <c r="T153" s="24" t="str">
        <f aca="false">IF($A153="","",INDEX(Workers!$P$5:$P$2004,MATCH($A153,Workers!$A$5:$A$2004,0))&amp;"")</f>
        <v/>
      </c>
      <c r="U153" s="24" t="str">
        <f aca="false">IF($A153="","",INDEX(Workers!$H$5:$H$2004,MATCH($A153,Workers!$A$5:$A$2004,0))&amp;"")</f>
        <v/>
      </c>
    </row>
    <row r="154" customFormat="false" ht="15" hidden="false" customHeight="false" outlineLevel="0" collapsed="false">
      <c r="A154" s="24" t="str">
        <f aca="false">IFERROR(INDEX(Workers!$A$5:$A$2004,MATCH(ROW()-4,Workers!$U$5:$U$2004,0)),"")</f>
        <v/>
      </c>
      <c r="B154" s="24" t="str">
        <f aca="false">IF($A154="","",INDEX(Workers!$B$5:$B$2004,MATCH($A154,Workers!$A$5:$A$2004,0)))</f>
        <v/>
      </c>
      <c r="C154" s="24" t="str">
        <f aca="false">IF($A154="","",INDEX(Workers!$E$5:$E$2004,MATCH($A154,Workers!$A$5:$A$2004,0)))</f>
        <v/>
      </c>
      <c r="D154" s="24" t="str">
        <f aca="false">IF($A154="","",INDEX(Workers!$K$5:$K$2004,MATCH($A154,Workers!$A$5:$A$2004,0)))</f>
        <v/>
      </c>
      <c r="E154" s="25" t="str">
        <f aca="false">IF($A154="","",SUMIFS(Timesheet!$E$5:$E$3004,Timesheet!$D$5:$D$3004,$A154,Timesheet!$A$5:$A$3004,"&gt;="&amp;Settings!$B$8,Timesheet!$A$5:$A$3004,"&lt;="&amp;Settings!$B$9))</f>
        <v/>
      </c>
      <c r="F154" s="25" t="str">
        <f aca="false">IF($A154="","",SUMIFS(Timesheet!$F$5:$F$3004,Timesheet!$D$5:$D$3004,$A154,Timesheet!$A$5:$A$3004,"&gt;="&amp;Settings!$B$8,Timesheet!$A$5:$A$3004,"&lt;="&amp;Settings!$B$9))</f>
        <v/>
      </c>
      <c r="G154" s="25" t="str">
        <f aca="false">IF($A154="","",SUMIFS(Timesheet!$G$5:$G$3004,Timesheet!$D$5:$D$3004,$A154,Timesheet!$A$5:$A$3004,"&gt;="&amp;Settings!$B$8,Timesheet!$A$5:$A$3004,"&lt;="&amp;Settings!$B$9))</f>
        <v/>
      </c>
      <c r="H154" s="25" t="str">
        <f aca="false">IF($A154="","",IF(D154="Monthly",MAX(0,Settings!$B$11-E154),0))</f>
        <v/>
      </c>
      <c r="I154" s="26" t="str">
        <f aca="false">IF($A154="","",N(INDEX(Workers!$L$5:$L$2004,MATCH($A154,Workers!$A$5:$A$2004,0))))</f>
        <v/>
      </c>
      <c r="J154" s="26" t="str">
        <f aca="false">IF($A154="","",N(INDEX(Workers!$M$5:$M$2004,MATCH($A154,Workers!$A$5:$A$2004,0))))</f>
        <v/>
      </c>
      <c r="K154" s="26" t="str">
        <f aca="false">IF($A154="","",IF(D154="Monthly",ROUND(MAX(0,(I154+J154)-(I154+J154)/Settings!$B$10*H154),2),0))</f>
        <v/>
      </c>
      <c r="L154" s="26" t="str">
        <f aca="false">IF($A154="","",IF(D154="Hourly",ROUND(F154*N(INDEX(Workers!$N$5:$N$2004,MATCH($A154,Workers!$A$5:$A$2004,0))),2),0))</f>
        <v/>
      </c>
      <c r="M154" s="26" t="str">
        <f aca="false">IF($A154="","",ROUND(G154*IF(D154="Hourly",N(INDEX(Workers!$N$5:$N$2004,MATCH($A154,Workers!$A$5:$A$2004,0))),I154/Settings!$B$10/Settings!$B$12)*Settings!$B$13,2))</f>
        <v/>
      </c>
      <c r="N154" s="26" t="str">
        <f aca="false">IF($A154="","",K154+L154+M154)</f>
        <v/>
      </c>
      <c r="O154" s="26" t="str">
        <f aca="false">IF($A154="","",SUMIFS(Deductions!$D$5:$D$2000,Deductions!$B$5:$B$2000,$A154,Deductions!$C$5:$C$2000,"Advance",Deductions!$E$5:$E$2000,"&gt;="&amp;Settings!$B$8,Deductions!$E$5:$E$2000,"&lt;="&amp;Settings!$B$9))</f>
        <v/>
      </c>
      <c r="P154" s="26" t="str">
        <f aca="false">IF($A154="","",SUMIFS(Deductions!$D$5:$D$2000,Deductions!$B$5:$B$2000,$A154,Deductions!$E$5:$E$2000,"&gt;="&amp;Settings!$B$8,Deductions!$E$5:$E$2000,"&lt;="&amp;Settings!$B$9)-O154)</f>
        <v/>
      </c>
      <c r="Q154" s="26" t="str">
        <f aca="false">IF($A154="","",O154+P154)</f>
        <v/>
      </c>
      <c r="R154" s="23" t="str">
        <f aca="false">IF($A154="","",N154-Q154)</f>
        <v/>
      </c>
      <c r="S154" s="24" t="str">
        <f aca="false">IF($A154="","",INDEX(Workers!$O$5:$O$2004,MATCH($A154,Workers!$A$5:$A$2004,0))&amp;"")</f>
        <v/>
      </c>
      <c r="T154" s="24" t="str">
        <f aca="false">IF($A154="","",INDEX(Workers!$P$5:$P$2004,MATCH($A154,Workers!$A$5:$A$2004,0))&amp;"")</f>
        <v/>
      </c>
      <c r="U154" s="24" t="str">
        <f aca="false">IF($A154="","",INDEX(Workers!$H$5:$H$2004,MATCH($A154,Workers!$A$5:$A$2004,0))&amp;"")</f>
        <v/>
      </c>
    </row>
    <row r="155" customFormat="false" ht="15" hidden="false" customHeight="false" outlineLevel="0" collapsed="false">
      <c r="A155" s="24" t="str">
        <f aca="false">IFERROR(INDEX(Workers!$A$5:$A$2004,MATCH(ROW()-4,Workers!$U$5:$U$2004,0)),"")</f>
        <v/>
      </c>
      <c r="B155" s="24" t="str">
        <f aca="false">IF($A155="","",INDEX(Workers!$B$5:$B$2004,MATCH($A155,Workers!$A$5:$A$2004,0)))</f>
        <v/>
      </c>
      <c r="C155" s="24" t="str">
        <f aca="false">IF($A155="","",INDEX(Workers!$E$5:$E$2004,MATCH($A155,Workers!$A$5:$A$2004,0)))</f>
        <v/>
      </c>
      <c r="D155" s="24" t="str">
        <f aca="false">IF($A155="","",INDEX(Workers!$K$5:$K$2004,MATCH($A155,Workers!$A$5:$A$2004,0)))</f>
        <v/>
      </c>
      <c r="E155" s="25" t="str">
        <f aca="false">IF($A155="","",SUMIFS(Timesheet!$E$5:$E$3004,Timesheet!$D$5:$D$3004,$A155,Timesheet!$A$5:$A$3004,"&gt;="&amp;Settings!$B$8,Timesheet!$A$5:$A$3004,"&lt;="&amp;Settings!$B$9))</f>
        <v/>
      </c>
      <c r="F155" s="25" t="str">
        <f aca="false">IF($A155="","",SUMIFS(Timesheet!$F$5:$F$3004,Timesheet!$D$5:$D$3004,$A155,Timesheet!$A$5:$A$3004,"&gt;="&amp;Settings!$B$8,Timesheet!$A$5:$A$3004,"&lt;="&amp;Settings!$B$9))</f>
        <v/>
      </c>
      <c r="G155" s="25" t="str">
        <f aca="false">IF($A155="","",SUMIFS(Timesheet!$G$5:$G$3004,Timesheet!$D$5:$D$3004,$A155,Timesheet!$A$5:$A$3004,"&gt;="&amp;Settings!$B$8,Timesheet!$A$5:$A$3004,"&lt;="&amp;Settings!$B$9))</f>
        <v/>
      </c>
      <c r="H155" s="25" t="str">
        <f aca="false">IF($A155="","",IF(D155="Monthly",MAX(0,Settings!$B$11-E155),0))</f>
        <v/>
      </c>
      <c r="I155" s="26" t="str">
        <f aca="false">IF($A155="","",N(INDEX(Workers!$L$5:$L$2004,MATCH($A155,Workers!$A$5:$A$2004,0))))</f>
        <v/>
      </c>
      <c r="J155" s="26" t="str">
        <f aca="false">IF($A155="","",N(INDEX(Workers!$M$5:$M$2004,MATCH($A155,Workers!$A$5:$A$2004,0))))</f>
        <v/>
      </c>
      <c r="K155" s="26" t="str">
        <f aca="false">IF($A155="","",IF(D155="Monthly",ROUND(MAX(0,(I155+J155)-(I155+J155)/Settings!$B$10*H155),2),0))</f>
        <v/>
      </c>
      <c r="L155" s="26" t="str">
        <f aca="false">IF($A155="","",IF(D155="Hourly",ROUND(F155*N(INDEX(Workers!$N$5:$N$2004,MATCH($A155,Workers!$A$5:$A$2004,0))),2),0))</f>
        <v/>
      </c>
      <c r="M155" s="26" t="str">
        <f aca="false">IF($A155="","",ROUND(G155*IF(D155="Hourly",N(INDEX(Workers!$N$5:$N$2004,MATCH($A155,Workers!$A$5:$A$2004,0))),I155/Settings!$B$10/Settings!$B$12)*Settings!$B$13,2))</f>
        <v/>
      </c>
      <c r="N155" s="26" t="str">
        <f aca="false">IF($A155="","",K155+L155+M155)</f>
        <v/>
      </c>
      <c r="O155" s="26" t="str">
        <f aca="false">IF($A155="","",SUMIFS(Deductions!$D$5:$D$2000,Deductions!$B$5:$B$2000,$A155,Deductions!$C$5:$C$2000,"Advance",Deductions!$E$5:$E$2000,"&gt;="&amp;Settings!$B$8,Deductions!$E$5:$E$2000,"&lt;="&amp;Settings!$B$9))</f>
        <v/>
      </c>
      <c r="P155" s="26" t="str">
        <f aca="false">IF($A155="","",SUMIFS(Deductions!$D$5:$D$2000,Deductions!$B$5:$B$2000,$A155,Deductions!$E$5:$E$2000,"&gt;="&amp;Settings!$B$8,Deductions!$E$5:$E$2000,"&lt;="&amp;Settings!$B$9)-O155)</f>
        <v/>
      </c>
      <c r="Q155" s="26" t="str">
        <f aca="false">IF($A155="","",O155+P155)</f>
        <v/>
      </c>
      <c r="R155" s="23" t="str">
        <f aca="false">IF($A155="","",N155-Q155)</f>
        <v/>
      </c>
      <c r="S155" s="24" t="str">
        <f aca="false">IF($A155="","",INDEX(Workers!$O$5:$O$2004,MATCH($A155,Workers!$A$5:$A$2004,0))&amp;"")</f>
        <v/>
      </c>
      <c r="T155" s="24" t="str">
        <f aca="false">IF($A155="","",INDEX(Workers!$P$5:$P$2004,MATCH($A155,Workers!$A$5:$A$2004,0))&amp;"")</f>
        <v/>
      </c>
      <c r="U155" s="24" t="str">
        <f aca="false">IF($A155="","",INDEX(Workers!$H$5:$H$2004,MATCH($A155,Workers!$A$5:$A$2004,0))&amp;"")</f>
        <v/>
      </c>
    </row>
    <row r="156" customFormat="false" ht="15" hidden="false" customHeight="false" outlineLevel="0" collapsed="false">
      <c r="A156" s="24" t="str">
        <f aca="false">IFERROR(INDEX(Workers!$A$5:$A$2004,MATCH(ROW()-4,Workers!$U$5:$U$2004,0)),"")</f>
        <v/>
      </c>
      <c r="B156" s="24" t="str">
        <f aca="false">IF($A156="","",INDEX(Workers!$B$5:$B$2004,MATCH($A156,Workers!$A$5:$A$2004,0)))</f>
        <v/>
      </c>
      <c r="C156" s="24" t="str">
        <f aca="false">IF($A156="","",INDEX(Workers!$E$5:$E$2004,MATCH($A156,Workers!$A$5:$A$2004,0)))</f>
        <v/>
      </c>
      <c r="D156" s="24" t="str">
        <f aca="false">IF($A156="","",INDEX(Workers!$K$5:$K$2004,MATCH($A156,Workers!$A$5:$A$2004,0)))</f>
        <v/>
      </c>
      <c r="E156" s="25" t="str">
        <f aca="false">IF($A156="","",SUMIFS(Timesheet!$E$5:$E$3004,Timesheet!$D$5:$D$3004,$A156,Timesheet!$A$5:$A$3004,"&gt;="&amp;Settings!$B$8,Timesheet!$A$5:$A$3004,"&lt;="&amp;Settings!$B$9))</f>
        <v/>
      </c>
      <c r="F156" s="25" t="str">
        <f aca="false">IF($A156="","",SUMIFS(Timesheet!$F$5:$F$3004,Timesheet!$D$5:$D$3004,$A156,Timesheet!$A$5:$A$3004,"&gt;="&amp;Settings!$B$8,Timesheet!$A$5:$A$3004,"&lt;="&amp;Settings!$B$9))</f>
        <v/>
      </c>
      <c r="G156" s="25" t="str">
        <f aca="false">IF($A156="","",SUMIFS(Timesheet!$G$5:$G$3004,Timesheet!$D$5:$D$3004,$A156,Timesheet!$A$5:$A$3004,"&gt;="&amp;Settings!$B$8,Timesheet!$A$5:$A$3004,"&lt;="&amp;Settings!$B$9))</f>
        <v/>
      </c>
      <c r="H156" s="25" t="str">
        <f aca="false">IF($A156="","",IF(D156="Monthly",MAX(0,Settings!$B$11-E156),0))</f>
        <v/>
      </c>
      <c r="I156" s="26" t="str">
        <f aca="false">IF($A156="","",N(INDEX(Workers!$L$5:$L$2004,MATCH($A156,Workers!$A$5:$A$2004,0))))</f>
        <v/>
      </c>
      <c r="J156" s="26" t="str">
        <f aca="false">IF($A156="","",N(INDEX(Workers!$M$5:$M$2004,MATCH($A156,Workers!$A$5:$A$2004,0))))</f>
        <v/>
      </c>
      <c r="K156" s="26" t="str">
        <f aca="false">IF($A156="","",IF(D156="Monthly",ROUND(MAX(0,(I156+J156)-(I156+J156)/Settings!$B$10*H156),2),0))</f>
        <v/>
      </c>
      <c r="L156" s="26" t="str">
        <f aca="false">IF($A156="","",IF(D156="Hourly",ROUND(F156*N(INDEX(Workers!$N$5:$N$2004,MATCH($A156,Workers!$A$5:$A$2004,0))),2),0))</f>
        <v/>
      </c>
      <c r="M156" s="26" t="str">
        <f aca="false">IF($A156="","",ROUND(G156*IF(D156="Hourly",N(INDEX(Workers!$N$5:$N$2004,MATCH($A156,Workers!$A$5:$A$2004,0))),I156/Settings!$B$10/Settings!$B$12)*Settings!$B$13,2))</f>
        <v/>
      </c>
      <c r="N156" s="26" t="str">
        <f aca="false">IF($A156="","",K156+L156+M156)</f>
        <v/>
      </c>
      <c r="O156" s="26" t="str">
        <f aca="false">IF($A156="","",SUMIFS(Deductions!$D$5:$D$2000,Deductions!$B$5:$B$2000,$A156,Deductions!$C$5:$C$2000,"Advance",Deductions!$E$5:$E$2000,"&gt;="&amp;Settings!$B$8,Deductions!$E$5:$E$2000,"&lt;="&amp;Settings!$B$9))</f>
        <v/>
      </c>
      <c r="P156" s="26" t="str">
        <f aca="false">IF($A156="","",SUMIFS(Deductions!$D$5:$D$2000,Deductions!$B$5:$B$2000,$A156,Deductions!$E$5:$E$2000,"&gt;="&amp;Settings!$B$8,Deductions!$E$5:$E$2000,"&lt;="&amp;Settings!$B$9)-O156)</f>
        <v/>
      </c>
      <c r="Q156" s="26" t="str">
        <f aca="false">IF($A156="","",O156+P156)</f>
        <v/>
      </c>
      <c r="R156" s="23" t="str">
        <f aca="false">IF($A156="","",N156-Q156)</f>
        <v/>
      </c>
      <c r="S156" s="24" t="str">
        <f aca="false">IF($A156="","",INDEX(Workers!$O$5:$O$2004,MATCH($A156,Workers!$A$5:$A$2004,0))&amp;"")</f>
        <v/>
      </c>
      <c r="T156" s="24" t="str">
        <f aca="false">IF($A156="","",INDEX(Workers!$P$5:$P$2004,MATCH($A156,Workers!$A$5:$A$2004,0))&amp;"")</f>
        <v/>
      </c>
      <c r="U156" s="24" t="str">
        <f aca="false">IF($A156="","",INDEX(Workers!$H$5:$H$2004,MATCH($A156,Workers!$A$5:$A$2004,0))&amp;"")</f>
        <v/>
      </c>
    </row>
    <row r="157" customFormat="false" ht="15" hidden="false" customHeight="false" outlineLevel="0" collapsed="false">
      <c r="A157" s="24" t="str">
        <f aca="false">IFERROR(INDEX(Workers!$A$5:$A$2004,MATCH(ROW()-4,Workers!$U$5:$U$2004,0)),"")</f>
        <v/>
      </c>
      <c r="B157" s="24" t="str">
        <f aca="false">IF($A157="","",INDEX(Workers!$B$5:$B$2004,MATCH($A157,Workers!$A$5:$A$2004,0)))</f>
        <v/>
      </c>
      <c r="C157" s="24" t="str">
        <f aca="false">IF($A157="","",INDEX(Workers!$E$5:$E$2004,MATCH($A157,Workers!$A$5:$A$2004,0)))</f>
        <v/>
      </c>
      <c r="D157" s="24" t="str">
        <f aca="false">IF($A157="","",INDEX(Workers!$K$5:$K$2004,MATCH($A157,Workers!$A$5:$A$2004,0)))</f>
        <v/>
      </c>
      <c r="E157" s="25" t="str">
        <f aca="false">IF($A157="","",SUMIFS(Timesheet!$E$5:$E$3004,Timesheet!$D$5:$D$3004,$A157,Timesheet!$A$5:$A$3004,"&gt;="&amp;Settings!$B$8,Timesheet!$A$5:$A$3004,"&lt;="&amp;Settings!$B$9))</f>
        <v/>
      </c>
      <c r="F157" s="25" t="str">
        <f aca="false">IF($A157="","",SUMIFS(Timesheet!$F$5:$F$3004,Timesheet!$D$5:$D$3004,$A157,Timesheet!$A$5:$A$3004,"&gt;="&amp;Settings!$B$8,Timesheet!$A$5:$A$3004,"&lt;="&amp;Settings!$B$9))</f>
        <v/>
      </c>
      <c r="G157" s="25" t="str">
        <f aca="false">IF($A157="","",SUMIFS(Timesheet!$G$5:$G$3004,Timesheet!$D$5:$D$3004,$A157,Timesheet!$A$5:$A$3004,"&gt;="&amp;Settings!$B$8,Timesheet!$A$5:$A$3004,"&lt;="&amp;Settings!$B$9))</f>
        <v/>
      </c>
      <c r="H157" s="25" t="str">
        <f aca="false">IF($A157="","",IF(D157="Monthly",MAX(0,Settings!$B$11-E157),0))</f>
        <v/>
      </c>
      <c r="I157" s="26" t="str">
        <f aca="false">IF($A157="","",N(INDEX(Workers!$L$5:$L$2004,MATCH($A157,Workers!$A$5:$A$2004,0))))</f>
        <v/>
      </c>
      <c r="J157" s="26" t="str">
        <f aca="false">IF($A157="","",N(INDEX(Workers!$M$5:$M$2004,MATCH($A157,Workers!$A$5:$A$2004,0))))</f>
        <v/>
      </c>
      <c r="K157" s="26" t="str">
        <f aca="false">IF($A157="","",IF(D157="Monthly",ROUND(MAX(0,(I157+J157)-(I157+J157)/Settings!$B$10*H157),2),0))</f>
        <v/>
      </c>
      <c r="L157" s="26" t="str">
        <f aca="false">IF($A157="","",IF(D157="Hourly",ROUND(F157*N(INDEX(Workers!$N$5:$N$2004,MATCH($A157,Workers!$A$5:$A$2004,0))),2),0))</f>
        <v/>
      </c>
      <c r="M157" s="26" t="str">
        <f aca="false">IF($A157="","",ROUND(G157*IF(D157="Hourly",N(INDEX(Workers!$N$5:$N$2004,MATCH($A157,Workers!$A$5:$A$2004,0))),I157/Settings!$B$10/Settings!$B$12)*Settings!$B$13,2))</f>
        <v/>
      </c>
      <c r="N157" s="26" t="str">
        <f aca="false">IF($A157="","",K157+L157+M157)</f>
        <v/>
      </c>
      <c r="O157" s="26" t="str">
        <f aca="false">IF($A157="","",SUMIFS(Deductions!$D$5:$D$2000,Deductions!$B$5:$B$2000,$A157,Deductions!$C$5:$C$2000,"Advance",Deductions!$E$5:$E$2000,"&gt;="&amp;Settings!$B$8,Deductions!$E$5:$E$2000,"&lt;="&amp;Settings!$B$9))</f>
        <v/>
      </c>
      <c r="P157" s="26" t="str">
        <f aca="false">IF($A157="","",SUMIFS(Deductions!$D$5:$D$2000,Deductions!$B$5:$B$2000,$A157,Deductions!$E$5:$E$2000,"&gt;="&amp;Settings!$B$8,Deductions!$E$5:$E$2000,"&lt;="&amp;Settings!$B$9)-O157)</f>
        <v/>
      </c>
      <c r="Q157" s="26" t="str">
        <f aca="false">IF($A157="","",O157+P157)</f>
        <v/>
      </c>
      <c r="R157" s="23" t="str">
        <f aca="false">IF($A157="","",N157-Q157)</f>
        <v/>
      </c>
      <c r="S157" s="24" t="str">
        <f aca="false">IF($A157="","",INDEX(Workers!$O$5:$O$2004,MATCH($A157,Workers!$A$5:$A$2004,0))&amp;"")</f>
        <v/>
      </c>
      <c r="T157" s="24" t="str">
        <f aca="false">IF($A157="","",INDEX(Workers!$P$5:$P$2004,MATCH($A157,Workers!$A$5:$A$2004,0))&amp;"")</f>
        <v/>
      </c>
      <c r="U157" s="24" t="str">
        <f aca="false">IF($A157="","",INDEX(Workers!$H$5:$H$2004,MATCH($A157,Workers!$A$5:$A$2004,0))&amp;"")</f>
        <v/>
      </c>
    </row>
    <row r="158" customFormat="false" ht="15" hidden="false" customHeight="false" outlineLevel="0" collapsed="false">
      <c r="A158" s="24" t="str">
        <f aca="false">IFERROR(INDEX(Workers!$A$5:$A$2004,MATCH(ROW()-4,Workers!$U$5:$U$2004,0)),"")</f>
        <v/>
      </c>
      <c r="B158" s="24" t="str">
        <f aca="false">IF($A158="","",INDEX(Workers!$B$5:$B$2004,MATCH($A158,Workers!$A$5:$A$2004,0)))</f>
        <v/>
      </c>
      <c r="C158" s="24" t="str">
        <f aca="false">IF($A158="","",INDEX(Workers!$E$5:$E$2004,MATCH($A158,Workers!$A$5:$A$2004,0)))</f>
        <v/>
      </c>
      <c r="D158" s="24" t="str">
        <f aca="false">IF($A158="","",INDEX(Workers!$K$5:$K$2004,MATCH($A158,Workers!$A$5:$A$2004,0)))</f>
        <v/>
      </c>
      <c r="E158" s="25" t="str">
        <f aca="false">IF($A158="","",SUMIFS(Timesheet!$E$5:$E$3004,Timesheet!$D$5:$D$3004,$A158,Timesheet!$A$5:$A$3004,"&gt;="&amp;Settings!$B$8,Timesheet!$A$5:$A$3004,"&lt;="&amp;Settings!$B$9))</f>
        <v/>
      </c>
      <c r="F158" s="25" t="str">
        <f aca="false">IF($A158="","",SUMIFS(Timesheet!$F$5:$F$3004,Timesheet!$D$5:$D$3004,$A158,Timesheet!$A$5:$A$3004,"&gt;="&amp;Settings!$B$8,Timesheet!$A$5:$A$3004,"&lt;="&amp;Settings!$B$9))</f>
        <v/>
      </c>
      <c r="G158" s="25" t="str">
        <f aca="false">IF($A158="","",SUMIFS(Timesheet!$G$5:$G$3004,Timesheet!$D$5:$D$3004,$A158,Timesheet!$A$5:$A$3004,"&gt;="&amp;Settings!$B$8,Timesheet!$A$5:$A$3004,"&lt;="&amp;Settings!$B$9))</f>
        <v/>
      </c>
      <c r="H158" s="25" t="str">
        <f aca="false">IF($A158="","",IF(D158="Monthly",MAX(0,Settings!$B$11-E158),0))</f>
        <v/>
      </c>
      <c r="I158" s="26" t="str">
        <f aca="false">IF($A158="","",N(INDEX(Workers!$L$5:$L$2004,MATCH($A158,Workers!$A$5:$A$2004,0))))</f>
        <v/>
      </c>
      <c r="J158" s="26" t="str">
        <f aca="false">IF($A158="","",N(INDEX(Workers!$M$5:$M$2004,MATCH($A158,Workers!$A$5:$A$2004,0))))</f>
        <v/>
      </c>
      <c r="K158" s="26" t="str">
        <f aca="false">IF($A158="","",IF(D158="Monthly",ROUND(MAX(0,(I158+J158)-(I158+J158)/Settings!$B$10*H158),2),0))</f>
        <v/>
      </c>
      <c r="L158" s="26" t="str">
        <f aca="false">IF($A158="","",IF(D158="Hourly",ROUND(F158*N(INDEX(Workers!$N$5:$N$2004,MATCH($A158,Workers!$A$5:$A$2004,0))),2),0))</f>
        <v/>
      </c>
      <c r="M158" s="26" t="str">
        <f aca="false">IF($A158="","",ROUND(G158*IF(D158="Hourly",N(INDEX(Workers!$N$5:$N$2004,MATCH($A158,Workers!$A$5:$A$2004,0))),I158/Settings!$B$10/Settings!$B$12)*Settings!$B$13,2))</f>
        <v/>
      </c>
      <c r="N158" s="26" t="str">
        <f aca="false">IF($A158="","",K158+L158+M158)</f>
        <v/>
      </c>
      <c r="O158" s="26" t="str">
        <f aca="false">IF($A158="","",SUMIFS(Deductions!$D$5:$D$2000,Deductions!$B$5:$B$2000,$A158,Deductions!$C$5:$C$2000,"Advance",Deductions!$E$5:$E$2000,"&gt;="&amp;Settings!$B$8,Deductions!$E$5:$E$2000,"&lt;="&amp;Settings!$B$9))</f>
        <v/>
      </c>
      <c r="P158" s="26" t="str">
        <f aca="false">IF($A158="","",SUMIFS(Deductions!$D$5:$D$2000,Deductions!$B$5:$B$2000,$A158,Deductions!$E$5:$E$2000,"&gt;="&amp;Settings!$B$8,Deductions!$E$5:$E$2000,"&lt;="&amp;Settings!$B$9)-O158)</f>
        <v/>
      </c>
      <c r="Q158" s="26" t="str">
        <f aca="false">IF($A158="","",O158+P158)</f>
        <v/>
      </c>
      <c r="R158" s="23" t="str">
        <f aca="false">IF($A158="","",N158-Q158)</f>
        <v/>
      </c>
      <c r="S158" s="24" t="str">
        <f aca="false">IF($A158="","",INDEX(Workers!$O$5:$O$2004,MATCH($A158,Workers!$A$5:$A$2004,0))&amp;"")</f>
        <v/>
      </c>
      <c r="T158" s="24" t="str">
        <f aca="false">IF($A158="","",INDEX(Workers!$P$5:$P$2004,MATCH($A158,Workers!$A$5:$A$2004,0))&amp;"")</f>
        <v/>
      </c>
      <c r="U158" s="24" t="str">
        <f aca="false">IF($A158="","",INDEX(Workers!$H$5:$H$2004,MATCH($A158,Workers!$A$5:$A$2004,0))&amp;"")</f>
        <v/>
      </c>
    </row>
    <row r="159" customFormat="false" ht="15" hidden="false" customHeight="false" outlineLevel="0" collapsed="false">
      <c r="A159" s="24" t="str">
        <f aca="false">IFERROR(INDEX(Workers!$A$5:$A$2004,MATCH(ROW()-4,Workers!$U$5:$U$2004,0)),"")</f>
        <v/>
      </c>
      <c r="B159" s="24" t="str">
        <f aca="false">IF($A159="","",INDEX(Workers!$B$5:$B$2004,MATCH($A159,Workers!$A$5:$A$2004,0)))</f>
        <v/>
      </c>
      <c r="C159" s="24" t="str">
        <f aca="false">IF($A159="","",INDEX(Workers!$E$5:$E$2004,MATCH($A159,Workers!$A$5:$A$2004,0)))</f>
        <v/>
      </c>
      <c r="D159" s="24" t="str">
        <f aca="false">IF($A159="","",INDEX(Workers!$K$5:$K$2004,MATCH($A159,Workers!$A$5:$A$2004,0)))</f>
        <v/>
      </c>
      <c r="E159" s="25" t="str">
        <f aca="false">IF($A159="","",SUMIFS(Timesheet!$E$5:$E$3004,Timesheet!$D$5:$D$3004,$A159,Timesheet!$A$5:$A$3004,"&gt;="&amp;Settings!$B$8,Timesheet!$A$5:$A$3004,"&lt;="&amp;Settings!$B$9))</f>
        <v/>
      </c>
      <c r="F159" s="25" t="str">
        <f aca="false">IF($A159="","",SUMIFS(Timesheet!$F$5:$F$3004,Timesheet!$D$5:$D$3004,$A159,Timesheet!$A$5:$A$3004,"&gt;="&amp;Settings!$B$8,Timesheet!$A$5:$A$3004,"&lt;="&amp;Settings!$B$9))</f>
        <v/>
      </c>
      <c r="G159" s="25" t="str">
        <f aca="false">IF($A159="","",SUMIFS(Timesheet!$G$5:$G$3004,Timesheet!$D$5:$D$3004,$A159,Timesheet!$A$5:$A$3004,"&gt;="&amp;Settings!$B$8,Timesheet!$A$5:$A$3004,"&lt;="&amp;Settings!$B$9))</f>
        <v/>
      </c>
      <c r="H159" s="25" t="str">
        <f aca="false">IF($A159="","",IF(D159="Monthly",MAX(0,Settings!$B$11-E159),0))</f>
        <v/>
      </c>
      <c r="I159" s="26" t="str">
        <f aca="false">IF($A159="","",N(INDEX(Workers!$L$5:$L$2004,MATCH($A159,Workers!$A$5:$A$2004,0))))</f>
        <v/>
      </c>
      <c r="J159" s="26" t="str">
        <f aca="false">IF($A159="","",N(INDEX(Workers!$M$5:$M$2004,MATCH($A159,Workers!$A$5:$A$2004,0))))</f>
        <v/>
      </c>
      <c r="K159" s="26" t="str">
        <f aca="false">IF($A159="","",IF(D159="Monthly",ROUND(MAX(0,(I159+J159)-(I159+J159)/Settings!$B$10*H159),2),0))</f>
        <v/>
      </c>
      <c r="L159" s="26" t="str">
        <f aca="false">IF($A159="","",IF(D159="Hourly",ROUND(F159*N(INDEX(Workers!$N$5:$N$2004,MATCH($A159,Workers!$A$5:$A$2004,0))),2),0))</f>
        <v/>
      </c>
      <c r="M159" s="26" t="str">
        <f aca="false">IF($A159="","",ROUND(G159*IF(D159="Hourly",N(INDEX(Workers!$N$5:$N$2004,MATCH($A159,Workers!$A$5:$A$2004,0))),I159/Settings!$B$10/Settings!$B$12)*Settings!$B$13,2))</f>
        <v/>
      </c>
      <c r="N159" s="26" t="str">
        <f aca="false">IF($A159="","",K159+L159+M159)</f>
        <v/>
      </c>
      <c r="O159" s="26" t="str">
        <f aca="false">IF($A159="","",SUMIFS(Deductions!$D$5:$D$2000,Deductions!$B$5:$B$2000,$A159,Deductions!$C$5:$C$2000,"Advance",Deductions!$E$5:$E$2000,"&gt;="&amp;Settings!$B$8,Deductions!$E$5:$E$2000,"&lt;="&amp;Settings!$B$9))</f>
        <v/>
      </c>
      <c r="P159" s="26" t="str">
        <f aca="false">IF($A159="","",SUMIFS(Deductions!$D$5:$D$2000,Deductions!$B$5:$B$2000,$A159,Deductions!$E$5:$E$2000,"&gt;="&amp;Settings!$B$8,Deductions!$E$5:$E$2000,"&lt;="&amp;Settings!$B$9)-O159)</f>
        <v/>
      </c>
      <c r="Q159" s="26" t="str">
        <f aca="false">IF($A159="","",O159+P159)</f>
        <v/>
      </c>
      <c r="R159" s="23" t="str">
        <f aca="false">IF($A159="","",N159-Q159)</f>
        <v/>
      </c>
      <c r="S159" s="24" t="str">
        <f aca="false">IF($A159="","",INDEX(Workers!$O$5:$O$2004,MATCH($A159,Workers!$A$5:$A$2004,0))&amp;"")</f>
        <v/>
      </c>
      <c r="T159" s="24" t="str">
        <f aca="false">IF($A159="","",INDEX(Workers!$P$5:$P$2004,MATCH($A159,Workers!$A$5:$A$2004,0))&amp;"")</f>
        <v/>
      </c>
      <c r="U159" s="24" t="str">
        <f aca="false">IF($A159="","",INDEX(Workers!$H$5:$H$2004,MATCH($A159,Workers!$A$5:$A$2004,0))&amp;"")</f>
        <v/>
      </c>
    </row>
    <row r="160" customFormat="false" ht="15" hidden="false" customHeight="false" outlineLevel="0" collapsed="false">
      <c r="A160" s="24" t="str">
        <f aca="false">IFERROR(INDEX(Workers!$A$5:$A$2004,MATCH(ROW()-4,Workers!$U$5:$U$2004,0)),"")</f>
        <v/>
      </c>
      <c r="B160" s="24" t="str">
        <f aca="false">IF($A160="","",INDEX(Workers!$B$5:$B$2004,MATCH($A160,Workers!$A$5:$A$2004,0)))</f>
        <v/>
      </c>
      <c r="C160" s="24" t="str">
        <f aca="false">IF($A160="","",INDEX(Workers!$E$5:$E$2004,MATCH($A160,Workers!$A$5:$A$2004,0)))</f>
        <v/>
      </c>
      <c r="D160" s="24" t="str">
        <f aca="false">IF($A160="","",INDEX(Workers!$K$5:$K$2004,MATCH($A160,Workers!$A$5:$A$2004,0)))</f>
        <v/>
      </c>
      <c r="E160" s="25" t="str">
        <f aca="false">IF($A160="","",SUMIFS(Timesheet!$E$5:$E$3004,Timesheet!$D$5:$D$3004,$A160,Timesheet!$A$5:$A$3004,"&gt;="&amp;Settings!$B$8,Timesheet!$A$5:$A$3004,"&lt;="&amp;Settings!$B$9))</f>
        <v/>
      </c>
      <c r="F160" s="25" t="str">
        <f aca="false">IF($A160="","",SUMIFS(Timesheet!$F$5:$F$3004,Timesheet!$D$5:$D$3004,$A160,Timesheet!$A$5:$A$3004,"&gt;="&amp;Settings!$B$8,Timesheet!$A$5:$A$3004,"&lt;="&amp;Settings!$B$9))</f>
        <v/>
      </c>
      <c r="G160" s="25" t="str">
        <f aca="false">IF($A160="","",SUMIFS(Timesheet!$G$5:$G$3004,Timesheet!$D$5:$D$3004,$A160,Timesheet!$A$5:$A$3004,"&gt;="&amp;Settings!$B$8,Timesheet!$A$5:$A$3004,"&lt;="&amp;Settings!$B$9))</f>
        <v/>
      </c>
      <c r="H160" s="25" t="str">
        <f aca="false">IF($A160="","",IF(D160="Monthly",MAX(0,Settings!$B$11-E160),0))</f>
        <v/>
      </c>
      <c r="I160" s="26" t="str">
        <f aca="false">IF($A160="","",N(INDEX(Workers!$L$5:$L$2004,MATCH($A160,Workers!$A$5:$A$2004,0))))</f>
        <v/>
      </c>
      <c r="J160" s="26" t="str">
        <f aca="false">IF($A160="","",N(INDEX(Workers!$M$5:$M$2004,MATCH($A160,Workers!$A$5:$A$2004,0))))</f>
        <v/>
      </c>
      <c r="K160" s="26" t="str">
        <f aca="false">IF($A160="","",IF(D160="Monthly",ROUND(MAX(0,(I160+J160)-(I160+J160)/Settings!$B$10*H160),2),0))</f>
        <v/>
      </c>
      <c r="L160" s="26" t="str">
        <f aca="false">IF($A160="","",IF(D160="Hourly",ROUND(F160*N(INDEX(Workers!$N$5:$N$2004,MATCH($A160,Workers!$A$5:$A$2004,0))),2),0))</f>
        <v/>
      </c>
      <c r="M160" s="26" t="str">
        <f aca="false">IF($A160="","",ROUND(G160*IF(D160="Hourly",N(INDEX(Workers!$N$5:$N$2004,MATCH($A160,Workers!$A$5:$A$2004,0))),I160/Settings!$B$10/Settings!$B$12)*Settings!$B$13,2))</f>
        <v/>
      </c>
      <c r="N160" s="26" t="str">
        <f aca="false">IF($A160="","",K160+L160+M160)</f>
        <v/>
      </c>
      <c r="O160" s="26" t="str">
        <f aca="false">IF($A160="","",SUMIFS(Deductions!$D$5:$D$2000,Deductions!$B$5:$B$2000,$A160,Deductions!$C$5:$C$2000,"Advance",Deductions!$E$5:$E$2000,"&gt;="&amp;Settings!$B$8,Deductions!$E$5:$E$2000,"&lt;="&amp;Settings!$B$9))</f>
        <v/>
      </c>
      <c r="P160" s="26" t="str">
        <f aca="false">IF($A160="","",SUMIFS(Deductions!$D$5:$D$2000,Deductions!$B$5:$B$2000,$A160,Deductions!$E$5:$E$2000,"&gt;="&amp;Settings!$B$8,Deductions!$E$5:$E$2000,"&lt;="&amp;Settings!$B$9)-O160)</f>
        <v/>
      </c>
      <c r="Q160" s="26" t="str">
        <f aca="false">IF($A160="","",O160+P160)</f>
        <v/>
      </c>
      <c r="R160" s="23" t="str">
        <f aca="false">IF($A160="","",N160-Q160)</f>
        <v/>
      </c>
      <c r="S160" s="24" t="str">
        <f aca="false">IF($A160="","",INDEX(Workers!$O$5:$O$2004,MATCH($A160,Workers!$A$5:$A$2004,0))&amp;"")</f>
        <v/>
      </c>
      <c r="T160" s="24" t="str">
        <f aca="false">IF($A160="","",INDEX(Workers!$P$5:$P$2004,MATCH($A160,Workers!$A$5:$A$2004,0))&amp;"")</f>
        <v/>
      </c>
      <c r="U160" s="24" t="str">
        <f aca="false">IF($A160="","",INDEX(Workers!$H$5:$H$2004,MATCH($A160,Workers!$A$5:$A$2004,0))&amp;"")</f>
        <v/>
      </c>
    </row>
    <row r="161" customFormat="false" ht="15" hidden="false" customHeight="false" outlineLevel="0" collapsed="false">
      <c r="A161" s="24" t="str">
        <f aca="false">IFERROR(INDEX(Workers!$A$5:$A$2004,MATCH(ROW()-4,Workers!$U$5:$U$2004,0)),"")</f>
        <v/>
      </c>
      <c r="B161" s="24" t="str">
        <f aca="false">IF($A161="","",INDEX(Workers!$B$5:$B$2004,MATCH($A161,Workers!$A$5:$A$2004,0)))</f>
        <v/>
      </c>
      <c r="C161" s="24" t="str">
        <f aca="false">IF($A161="","",INDEX(Workers!$E$5:$E$2004,MATCH($A161,Workers!$A$5:$A$2004,0)))</f>
        <v/>
      </c>
      <c r="D161" s="24" t="str">
        <f aca="false">IF($A161="","",INDEX(Workers!$K$5:$K$2004,MATCH($A161,Workers!$A$5:$A$2004,0)))</f>
        <v/>
      </c>
      <c r="E161" s="25" t="str">
        <f aca="false">IF($A161="","",SUMIFS(Timesheet!$E$5:$E$3004,Timesheet!$D$5:$D$3004,$A161,Timesheet!$A$5:$A$3004,"&gt;="&amp;Settings!$B$8,Timesheet!$A$5:$A$3004,"&lt;="&amp;Settings!$B$9))</f>
        <v/>
      </c>
      <c r="F161" s="25" t="str">
        <f aca="false">IF($A161="","",SUMIFS(Timesheet!$F$5:$F$3004,Timesheet!$D$5:$D$3004,$A161,Timesheet!$A$5:$A$3004,"&gt;="&amp;Settings!$B$8,Timesheet!$A$5:$A$3004,"&lt;="&amp;Settings!$B$9))</f>
        <v/>
      </c>
      <c r="G161" s="25" t="str">
        <f aca="false">IF($A161="","",SUMIFS(Timesheet!$G$5:$G$3004,Timesheet!$D$5:$D$3004,$A161,Timesheet!$A$5:$A$3004,"&gt;="&amp;Settings!$B$8,Timesheet!$A$5:$A$3004,"&lt;="&amp;Settings!$B$9))</f>
        <v/>
      </c>
      <c r="H161" s="25" t="str">
        <f aca="false">IF($A161="","",IF(D161="Monthly",MAX(0,Settings!$B$11-E161),0))</f>
        <v/>
      </c>
      <c r="I161" s="26" t="str">
        <f aca="false">IF($A161="","",N(INDEX(Workers!$L$5:$L$2004,MATCH($A161,Workers!$A$5:$A$2004,0))))</f>
        <v/>
      </c>
      <c r="J161" s="26" t="str">
        <f aca="false">IF($A161="","",N(INDEX(Workers!$M$5:$M$2004,MATCH($A161,Workers!$A$5:$A$2004,0))))</f>
        <v/>
      </c>
      <c r="K161" s="26" t="str">
        <f aca="false">IF($A161="","",IF(D161="Monthly",ROUND(MAX(0,(I161+J161)-(I161+J161)/Settings!$B$10*H161),2),0))</f>
        <v/>
      </c>
      <c r="L161" s="26" t="str">
        <f aca="false">IF($A161="","",IF(D161="Hourly",ROUND(F161*N(INDEX(Workers!$N$5:$N$2004,MATCH($A161,Workers!$A$5:$A$2004,0))),2),0))</f>
        <v/>
      </c>
      <c r="M161" s="26" t="str">
        <f aca="false">IF($A161="","",ROUND(G161*IF(D161="Hourly",N(INDEX(Workers!$N$5:$N$2004,MATCH($A161,Workers!$A$5:$A$2004,0))),I161/Settings!$B$10/Settings!$B$12)*Settings!$B$13,2))</f>
        <v/>
      </c>
      <c r="N161" s="26" t="str">
        <f aca="false">IF($A161="","",K161+L161+M161)</f>
        <v/>
      </c>
      <c r="O161" s="26" t="str">
        <f aca="false">IF($A161="","",SUMIFS(Deductions!$D$5:$D$2000,Deductions!$B$5:$B$2000,$A161,Deductions!$C$5:$C$2000,"Advance",Deductions!$E$5:$E$2000,"&gt;="&amp;Settings!$B$8,Deductions!$E$5:$E$2000,"&lt;="&amp;Settings!$B$9))</f>
        <v/>
      </c>
      <c r="P161" s="26" t="str">
        <f aca="false">IF($A161="","",SUMIFS(Deductions!$D$5:$D$2000,Deductions!$B$5:$B$2000,$A161,Deductions!$E$5:$E$2000,"&gt;="&amp;Settings!$B$8,Deductions!$E$5:$E$2000,"&lt;="&amp;Settings!$B$9)-O161)</f>
        <v/>
      </c>
      <c r="Q161" s="26" t="str">
        <f aca="false">IF($A161="","",O161+P161)</f>
        <v/>
      </c>
      <c r="R161" s="23" t="str">
        <f aca="false">IF($A161="","",N161-Q161)</f>
        <v/>
      </c>
      <c r="S161" s="24" t="str">
        <f aca="false">IF($A161="","",INDEX(Workers!$O$5:$O$2004,MATCH($A161,Workers!$A$5:$A$2004,0))&amp;"")</f>
        <v/>
      </c>
      <c r="T161" s="24" t="str">
        <f aca="false">IF($A161="","",INDEX(Workers!$P$5:$P$2004,MATCH($A161,Workers!$A$5:$A$2004,0))&amp;"")</f>
        <v/>
      </c>
      <c r="U161" s="24" t="str">
        <f aca="false">IF($A161="","",INDEX(Workers!$H$5:$H$2004,MATCH($A161,Workers!$A$5:$A$2004,0))&amp;"")</f>
        <v/>
      </c>
    </row>
    <row r="162" customFormat="false" ht="15" hidden="false" customHeight="false" outlineLevel="0" collapsed="false">
      <c r="A162" s="24" t="str">
        <f aca="false">IFERROR(INDEX(Workers!$A$5:$A$2004,MATCH(ROW()-4,Workers!$U$5:$U$2004,0)),"")</f>
        <v/>
      </c>
      <c r="B162" s="24" t="str">
        <f aca="false">IF($A162="","",INDEX(Workers!$B$5:$B$2004,MATCH($A162,Workers!$A$5:$A$2004,0)))</f>
        <v/>
      </c>
      <c r="C162" s="24" t="str">
        <f aca="false">IF($A162="","",INDEX(Workers!$E$5:$E$2004,MATCH($A162,Workers!$A$5:$A$2004,0)))</f>
        <v/>
      </c>
      <c r="D162" s="24" t="str">
        <f aca="false">IF($A162="","",INDEX(Workers!$K$5:$K$2004,MATCH($A162,Workers!$A$5:$A$2004,0)))</f>
        <v/>
      </c>
      <c r="E162" s="25" t="str">
        <f aca="false">IF($A162="","",SUMIFS(Timesheet!$E$5:$E$3004,Timesheet!$D$5:$D$3004,$A162,Timesheet!$A$5:$A$3004,"&gt;="&amp;Settings!$B$8,Timesheet!$A$5:$A$3004,"&lt;="&amp;Settings!$B$9))</f>
        <v/>
      </c>
      <c r="F162" s="25" t="str">
        <f aca="false">IF($A162="","",SUMIFS(Timesheet!$F$5:$F$3004,Timesheet!$D$5:$D$3004,$A162,Timesheet!$A$5:$A$3004,"&gt;="&amp;Settings!$B$8,Timesheet!$A$5:$A$3004,"&lt;="&amp;Settings!$B$9))</f>
        <v/>
      </c>
      <c r="G162" s="25" t="str">
        <f aca="false">IF($A162="","",SUMIFS(Timesheet!$G$5:$G$3004,Timesheet!$D$5:$D$3004,$A162,Timesheet!$A$5:$A$3004,"&gt;="&amp;Settings!$B$8,Timesheet!$A$5:$A$3004,"&lt;="&amp;Settings!$B$9))</f>
        <v/>
      </c>
      <c r="H162" s="25" t="str">
        <f aca="false">IF($A162="","",IF(D162="Monthly",MAX(0,Settings!$B$11-E162),0))</f>
        <v/>
      </c>
      <c r="I162" s="26" t="str">
        <f aca="false">IF($A162="","",N(INDEX(Workers!$L$5:$L$2004,MATCH($A162,Workers!$A$5:$A$2004,0))))</f>
        <v/>
      </c>
      <c r="J162" s="26" t="str">
        <f aca="false">IF($A162="","",N(INDEX(Workers!$M$5:$M$2004,MATCH($A162,Workers!$A$5:$A$2004,0))))</f>
        <v/>
      </c>
      <c r="K162" s="26" t="str">
        <f aca="false">IF($A162="","",IF(D162="Monthly",ROUND(MAX(0,(I162+J162)-(I162+J162)/Settings!$B$10*H162),2),0))</f>
        <v/>
      </c>
      <c r="L162" s="26" t="str">
        <f aca="false">IF($A162="","",IF(D162="Hourly",ROUND(F162*N(INDEX(Workers!$N$5:$N$2004,MATCH($A162,Workers!$A$5:$A$2004,0))),2),0))</f>
        <v/>
      </c>
      <c r="M162" s="26" t="str">
        <f aca="false">IF($A162="","",ROUND(G162*IF(D162="Hourly",N(INDEX(Workers!$N$5:$N$2004,MATCH($A162,Workers!$A$5:$A$2004,0))),I162/Settings!$B$10/Settings!$B$12)*Settings!$B$13,2))</f>
        <v/>
      </c>
      <c r="N162" s="26" t="str">
        <f aca="false">IF($A162="","",K162+L162+M162)</f>
        <v/>
      </c>
      <c r="O162" s="26" t="str">
        <f aca="false">IF($A162="","",SUMIFS(Deductions!$D$5:$D$2000,Deductions!$B$5:$B$2000,$A162,Deductions!$C$5:$C$2000,"Advance",Deductions!$E$5:$E$2000,"&gt;="&amp;Settings!$B$8,Deductions!$E$5:$E$2000,"&lt;="&amp;Settings!$B$9))</f>
        <v/>
      </c>
      <c r="P162" s="26" t="str">
        <f aca="false">IF($A162="","",SUMIFS(Deductions!$D$5:$D$2000,Deductions!$B$5:$B$2000,$A162,Deductions!$E$5:$E$2000,"&gt;="&amp;Settings!$B$8,Deductions!$E$5:$E$2000,"&lt;="&amp;Settings!$B$9)-O162)</f>
        <v/>
      </c>
      <c r="Q162" s="26" t="str">
        <f aca="false">IF($A162="","",O162+P162)</f>
        <v/>
      </c>
      <c r="R162" s="23" t="str">
        <f aca="false">IF($A162="","",N162-Q162)</f>
        <v/>
      </c>
      <c r="S162" s="24" t="str">
        <f aca="false">IF($A162="","",INDEX(Workers!$O$5:$O$2004,MATCH($A162,Workers!$A$5:$A$2004,0))&amp;"")</f>
        <v/>
      </c>
      <c r="T162" s="24" t="str">
        <f aca="false">IF($A162="","",INDEX(Workers!$P$5:$P$2004,MATCH($A162,Workers!$A$5:$A$2004,0))&amp;"")</f>
        <v/>
      </c>
      <c r="U162" s="24" t="str">
        <f aca="false">IF($A162="","",INDEX(Workers!$H$5:$H$2004,MATCH($A162,Workers!$A$5:$A$2004,0))&amp;"")</f>
        <v/>
      </c>
    </row>
    <row r="163" customFormat="false" ht="15" hidden="false" customHeight="false" outlineLevel="0" collapsed="false">
      <c r="A163" s="24" t="str">
        <f aca="false">IFERROR(INDEX(Workers!$A$5:$A$2004,MATCH(ROW()-4,Workers!$U$5:$U$2004,0)),"")</f>
        <v/>
      </c>
      <c r="B163" s="24" t="str">
        <f aca="false">IF($A163="","",INDEX(Workers!$B$5:$B$2004,MATCH($A163,Workers!$A$5:$A$2004,0)))</f>
        <v/>
      </c>
      <c r="C163" s="24" t="str">
        <f aca="false">IF($A163="","",INDEX(Workers!$E$5:$E$2004,MATCH($A163,Workers!$A$5:$A$2004,0)))</f>
        <v/>
      </c>
      <c r="D163" s="24" t="str">
        <f aca="false">IF($A163="","",INDEX(Workers!$K$5:$K$2004,MATCH($A163,Workers!$A$5:$A$2004,0)))</f>
        <v/>
      </c>
      <c r="E163" s="25" t="str">
        <f aca="false">IF($A163="","",SUMIFS(Timesheet!$E$5:$E$3004,Timesheet!$D$5:$D$3004,$A163,Timesheet!$A$5:$A$3004,"&gt;="&amp;Settings!$B$8,Timesheet!$A$5:$A$3004,"&lt;="&amp;Settings!$B$9))</f>
        <v/>
      </c>
      <c r="F163" s="25" t="str">
        <f aca="false">IF($A163="","",SUMIFS(Timesheet!$F$5:$F$3004,Timesheet!$D$5:$D$3004,$A163,Timesheet!$A$5:$A$3004,"&gt;="&amp;Settings!$B$8,Timesheet!$A$5:$A$3004,"&lt;="&amp;Settings!$B$9))</f>
        <v/>
      </c>
      <c r="G163" s="25" t="str">
        <f aca="false">IF($A163="","",SUMIFS(Timesheet!$G$5:$G$3004,Timesheet!$D$5:$D$3004,$A163,Timesheet!$A$5:$A$3004,"&gt;="&amp;Settings!$B$8,Timesheet!$A$5:$A$3004,"&lt;="&amp;Settings!$B$9))</f>
        <v/>
      </c>
      <c r="H163" s="25" t="str">
        <f aca="false">IF($A163="","",IF(D163="Monthly",MAX(0,Settings!$B$11-E163),0))</f>
        <v/>
      </c>
      <c r="I163" s="26" t="str">
        <f aca="false">IF($A163="","",N(INDEX(Workers!$L$5:$L$2004,MATCH($A163,Workers!$A$5:$A$2004,0))))</f>
        <v/>
      </c>
      <c r="J163" s="26" t="str">
        <f aca="false">IF($A163="","",N(INDEX(Workers!$M$5:$M$2004,MATCH($A163,Workers!$A$5:$A$2004,0))))</f>
        <v/>
      </c>
      <c r="K163" s="26" t="str">
        <f aca="false">IF($A163="","",IF(D163="Monthly",ROUND(MAX(0,(I163+J163)-(I163+J163)/Settings!$B$10*H163),2),0))</f>
        <v/>
      </c>
      <c r="L163" s="26" t="str">
        <f aca="false">IF($A163="","",IF(D163="Hourly",ROUND(F163*N(INDEX(Workers!$N$5:$N$2004,MATCH($A163,Workers!$A$5:$A$2004,0))),2),0))</f>
        <v/>
      </c>
      <c r="M163" s="26" t="str">
        <f aca="false">IF($A163="","",ROUND(G163*IF(D163="Hourly",N(INDEX(Workers!$N$5:$N$2004,MATCH($A163,Workers!$A$5:$A$2004,0))),I163/Settings!$B$10/Settings!$B$12)*Settings!$B$13,2))</f>
        <v/>
      </c>
      <c r="N163" s="26" t="str">
        <f aca="false">IF($A163="","",K163+L163+M163)</f>
        <v/>
      </c>
      <c r="O163" s="26" t="str">
        <f aca="false">IF($A163="","",SUMIFS(Deductions!$D$5:$D$2000,Deductions!$B$5:$B$2000,$A163,Deductions!$C$5:$C$2000,"Advance",Deductions!$E$5:$E$2000,"&gt;="&amp;Settings!$B$8,Deductions!$E$5:$E$2000,"&lt;="&amp;Settings!$B$9))</f>
        <v/>
      </c>
      <c r="P163" s="26" t="str">
        <f aca="false">IF($A163="","",SUMIFS(Deductions!$D$5:$D$2000,Deductions!$B$5:$B$2000,$A163,Deductions!$E$5:$E$2000,"&gt;="&amp;Settings!$B$8,Deductions!$E$5:$E$2000,"&lt;="&amp;Settings!$B$9)-O163)</f>
        <v/>
      </c>
      <c r="Q163" s="26" t="str">
        <f aca="false">IF($A163="","",O163+P163)</f>
        <v/>
      </c>
      <c r="R163" s="23" t="str">
        <f aca="false">IF($A163="","",N163-Q163)</f>
        <v/>
      </c>
      <c r="S163" s="24" t="str">
        <f aca="false">IF($A163="","",INDEX(Workers!$O$5:$O$2004,MATCH($A163,Workers!$A$5:$A$2004,0))&amp;"")</f>
        <v/>
      </c>
      <c r="T163" s="24" t="str">
        <f aca="false">IF($A163="","",INDEX(Workers!$P$5:$P$2004,MATCH($A163,Workers!$A$5:$A$2004,0))&amp;"")</f>
        <v/>
      </c>
      <c r="U163" s="24" t="str">
        <f aca="false">IF($A163="","",INDEX(Workers!$H$5:$H$2004,MATCH($A163,Workers!$A$5:$A$2004,0))&amp;"")</f>
        <v/>
      </c>
    </row>
    <row r="164" customFormat="false" ht="15" hidden="false" customHeight="false" outlineLevel="0" collapsed="false">
      <c r="A164" s="24" t="str">
        <f aca="false">IFERROR(INDEX(Workers!$A$5:$A$2004,MATCH(ROW()-4,Workers!$U$5:$U$2004,0)),"")</f>
        <v/>
      </c>
      <c r="B164" s="24" t="str">
        <f aca="false">IF($A164="","",INDEX(Workers!$B$5:$B$2004,MATCH($A164,Workers!$A$5:$A$2004,0)))</f>
        <v/>
      </c>
      <c r="C164" s="24" t="str">
        <f aca="false">IF($A164="","",INDEX(Workers!$E$5:$E$2004,MATCH($A164,Workers!$A$5:$A$2004,0)))</f>
        <v/>
      </c>
      <c r="D164" s="24" t="str">
        <f aca="false">IF($A164="","",INDEX(Workers!$K$5:$K$2004,MATCH($A164,Workers!$A$5:$A$2004,0)))</f>
        <v/>
      </c>
      <c r="E164" s="25" t="str">
        <f aca="false">IF($A164="","",SUMIFS(Timesheet!$E$5:$E$3004,Timesheet!$D$5:$D$3004,$A164,Timesheet!$A$5:$A$3004,"&gt;="&amp;Settings!$B$8,Timesheet!$A$5:$A$3004,"&lt;="&amp;Settings!$B$9))</f>
        <v/>
      </c>
      <c r="F164" s="25" t="str">
        <f aca="false">IF($A164="","",SUMIFS(Timesheet!$F$5:$F$3004,Timesheet!$D$5:$D$3004,$A164,Timesheet!$A$5:$A$3004,"&gt;="&amp;Settings!$B$8,Timesheet!$A$5:$A$3004,"&lt;="&amp;Settings!$B$9))</f>
        <v/>
      </c>
      <c r="G164" s="25" t="str">
        <f aca="false">IF($A164="","",SUMIFS(Timesheet!$G$5:$G$3004,Timesheet!$D$5:$D$3004,$A164,Timesheet!$A$5:$A$3004,"&gt;="&amp;Settings!$B$8,Timesheet!$A$5:$A$3004,"&lt;="&amp;Settings!$B$9))</f>
        <v/>
      </c>
      <c r="H164" s="25" t="str">
        <f aca="false">IF($A164="","",IF(D164="Monthly",MAX(0,Settings!$B$11-E164),0))</f>
        <v/>
      </c>
      <c r="I164" s="26" t="str">
        <f aca="false">IF($A164="","",N(INDEX(Workers!$L$5:$L$2004,MATCH($A164,Workers!$A$5:$A$2004,0))))</f>
        <v/>
      </c>
      <c r="J164" s="26" t="str">
        <f aca="false">IF($A164="","",N(INDEX(Workers!$M$5:$M$2004,MATCH($A164,Workers!$A$5:$A$2004,0))))</f>
        <v/>
      </c>
      <c r="K164" s="26" t="str">
        <f aca="false">IF($A164="","",IF(D164="Monthly",ROUND(MAX(0,(I164+J164)-(I164+J164)/Settings!$B$10*H164),2),0))</f>
        <v/>
      </c>
      <c r="L164" s="26" t="str">
        <f aca="false">IF($A164="","",IF(D164="Hourly",ROUND(F164*N(INDEX(Workers!$N$5:$N$2004,MATCH($A164,Workers!$A$5:$A$2004,0))),2),0))</f>
        <v/>
      </c>
      <c r="M164" s="26" t="str">
        <f aca="false">IF($A164="","",ROUND(G164*IF(D164="Hourly",N(INDEX(Workers!$N$5:$N$2004,MATCH($A164,Workers!$A$5:$A$2004,0))),I164/Settings!$B$10/Settings!$B$12)*Settings!$B$13,2))</f>
        <v/>
      </c>
      <c r="N164" s="26" t="str">
        <f aca="false">IF($A164="","",K164+L164+M164)</f>
        <v/>
      </c>
      <c r="O164" s="26" t="str">
        <f aca="false">IF($A164="","",SUMIFS(Deductions!$D$5:$D$2000,Deductions!$B$5:$B$2000,$A164,Deductions!$C$5:$C$2000,"Advance",Deductions!$E$5:$E$2000,"&gt;="&amp;Settings!$B$8,Deductions!$E$5:$E$2000,"&lt;="&amp;Settings!$B$9))</f>
        <v/>
      </c>
      <c r="P164" s="26" t="str">
        <f aca="false">IF($A164="","",SUMIFS(Deductions!$D$5:$D$2000,Deductions!$B$5:$B$2000,$A164,Deductions!$E$5:$E$2000,"&gt;="&amp;Settings!$B$8,Deductions!$E$5:$E$2000,"&lt;="&amp;Settings!$B$9)-O164)</f>
        <v/>
      </c>
      <c r="Q164" s="26" t="str">
        <f aca="false">IF($A164="","",O164+P164)</f>
        <v/>
      </c>
      <c r="R164" s="23" t="str">
        <f aca="false">IF($A164="","",N164-Q164)</f>
        <v/>
      </c>
      <c r="S164" s="24" t="str">
        <f aca="false">IF($A164="","",INDEX(Workers!$O$5:$O$2004,MATCH($A164,Workers!$A$5:$A$2004,0))&amp;"")</f>
        <v/>
      </c>
      <c r="T164" s="24" t="str">
        <f aca="false">IF($A164="","",INDEX(Workers!$P$5:$P$2004,MATCH($A164,Workers!$A$5:$A$2004,0))&amp;"")</f>
        <v/>
      </c>
      <c r="U164" s="24" t="str">
        <f aca="false">IF($A164="","",INDEX(Workers!$H$5:$H$2004,MATCH($A164,Workers!$A$5:$A$2004,0))&amp;"")</f>
        <v/>
      </c>
    </row>
    <row r="165" customFormat="false" ht="15" hidden="false" customHeight="false" outlineLevel="0" collapsed="false">
      <c r="A165" s="24" t="str">
        <f aca="false">IFERROR(INDEX(Workers!$A$5:$A$2004,MATCH(ROW()-4,Workers!$U$5:$U$2004,0)),"")</f>
        <v/>
      </c>
      <c r="B165" s="24" t="str">
        <f aca="false">IF($A165="","",INDEX(Workers!$B$5:$B$2004,MATCH($A165,Workers!$A$5:$A$2004,0)))</f>
        <v/>
      </c>
      <c r="C165" s="24" t="str">
        <f aca="false">IF($A165="","",INDEX(Workers!$E$5:$E$2004,MATCH($A165,Workers!$A$5:$A$2004,0)))</f>
        <v/>
      </c>
      <c r="D165" s="24" t="str">
        <f aca="false">IF($A165="","",INDEX(Workers!$K$5:$K$2004,MATCH($A165,Workers!$A$5:$A$2004,0)))</f>
        <v/>
      </c>
      <c r="E165" s="25" t="str">
        <f aca="false">IF($A165="","",SUMIFS(Timesheet!$E$5:$E$3004,Timesheet!$D$5:$D$3004,$A165,Timesheet!$A$5:$A$3004,"&gt;="&amp;Settings!$B$8,Timesheet!$A$5:$A$3004,"&lt;="&amp;Settings!$B$9))</f>
        <v/>
      </c>
      <c r="F165" s="25" t="str">
        <f aca="false">IF($A165="","",SUMIFS(Timesheet!$F$5:$F$3004,Timesheet!$D$5:$D$3004,$A165,Timesheet!$A$5:$A$3004,"&gt;="&amp;Settings!$B$8,Timesheet!$A$5:$A$3004,"&lt;="&amp;Settings!$B$9))</f>
        <v/>
      </c>
      <c r="G165" s="25" t="str">
        <f aca="false">IF($A165="","",SUMIFS(Timesheet!$G$5:$G$3004,Timesheet!$D$5:$D$3004,$A165,Timesheet!$A$5:$A$3004,"&gt;="&amp;Settings!$B$8,Timesheet!$A$5:$A$3004,"&lt;="&amp;Settings!$B$9))</f>
        <v/>
      </c>
      <c r="H165" s="25" t="str">
        <f aca="false">IF($A165="","",IF(D165="Monthly",MAX(0,Settings!$B$11-E165),0))</f>
        <v/>
      </c>
      <c r="I165" s="26" t="str">
        <f aca="false">IF($A165="","",N(INDEX(Workers!$L$5:$L$2004,MATCH($A165,Workers!$A$5:$A$2004,0))))</f>
        <v/>
      </c>
      <c r="J165" s="26" t="str">
        <f aca="false">IF($A165="","",N(INDEX(Workers!$M$5:$M$2004,MATCH($A165,Workers!$A$5:$A$2004,0))))</f>
        <v/>
      </c>
      <c r="K165" s="26" t="str">
        <f aca="false">IF($A165="","",IF(D165="Monthly",ROUND(MAX(0,(I165+J165)-(I165+J165)/Settings!$B$10*H165),2),0))</f>
        <v/>
      </c>
      <c r="L165" s="26" t="str">
        <f aca="false">IF($A165="","",IF(D165="Hourly",ROUND(F165*N(INDEX(Workers!$N$5:$N$2004,MATCH($A165,Workers!$A$5:$A$2004,0))),2),0))</f>
        <v/>
      </c>
      <c r="M165" s="26" t="str">
        <f aca="false">IF($A165="","",ROUND(G165*IF(D165="Hourly",N(INDEX(Workers!$N$5:$N$2004,MATCH($A165,Workers!$A$5:$A$2004,0))),I165/Settings!$B$10/Settings!$B$12)*Settings!$B$13,2))</f>
        <v/>
      </c>
      <c r="N165" s="26" t="str">
        <f aca="false">IF($A165="","",K165+L165+M165)</f>
        <v/>
      </c>
      <c r="O165" s="26" t="str">
        <f aca="false">IF($A165="","",SUMIFS(Deductions!$D$5:$D$2000,Deductions!$B$5:$B$2000,$A165,Deductions!$C$5:$C$2000,"Advance",Deductions!$E$5:$E$2000,"&gt;="&amp;Settings!$B$8,Deductions!$E$5:$E$2000,"&lt;="&amp;Settings!$B$9))</f>
        <v/>
      </c>
      <c r="P165" s="26" t="str">
        <f aca="false">IF($A165="","",SUMIFS(Deductions!$D$5:$D$2000,Deductions!$B$5:$B$2000,$A165,Deductions!$E$5:$E$2000,"&gt;="&amp;Settings!$B$8,Deductions!$E$5:$E$2000,"&lt;="&amp;Settings!$B$9)-O165)</f>
        <v/>
      </c>
      <c r="Q165" s="26" t="str">
        <f aca="false">IF($A165="","",O165+P165)</f>
        <v/>
      </c>
      <c r="R165" s="23" t="str">
        <f aca="false">IF($A165="","",N165-Q165)</f>
        <v/>
      </c>
      <c r="S165" s="24" t="str">
        <f aca="false">IF($A165="","",INDEX(Workers!$O$5:$O$2004,MATCH($A165,Workers!$A$5:$A$2004,0))&amp;"")</f>
        <v/>
      </c>
      <c r="T165" s="24" t="str">
        <f aca="false">IF($A165="","",INDEX(Workers!$P$5:$P$2004,MATCH($A165,Workers!$A$5:$A$2004,0))&amp;"")</f>
        <v/>
      </c>
      <c r="U165" s="24" t="str">
        <f aca="false">IF($A165="","",INDEX(Workers!$H$5:$H$2004,MATCH($A165,Workers!$A$5:$A$2004,0))&amp;"")</f>
        <v/>
      </c>
    </row>
    <row r="166" customFormat="false" ht="15" hidden="false" customHeight="false" outlineLevel="0" collapsed="false">
      <c r="A166" s="24" t="str">
        <f aca="false">IFERROR(INDEX(Workers!$A$5:$A$2004,MATCH(ROW()-4,Workers!$U$5:$U$2004,0)),"")</f>
        <v/>
      </c>
      <c r="B166" s="24" t="str">
        <f aca="false">IF($A166="","",INDEX(Workers!$B$5:$B$2004,MATCH($A166,Workers!$A$5:$A$2004,0)))</f>
        <v/>
      </c>
      <c r="C166" s="24" t="str">
        <f aca="false">IF($A166="","",INDEX(Workers!$E$5:$E$2004,MATCH($A166,Workers!$A$5:$A$2004,0)))</f>
        <v/>
      </c>
      <c r="D166" s="24" t="str">
        <f aca="false">IF($A166="","",INDEX(Workers!$K$5:$K$2004,MATCH($A166,Workers!$A$5:$A$2004,0)))</f>
        <v/>
      </c>
      <c r="E166" s="25" t="str">
        <f aca="false">IF($A166="","",SUMIFS(Timesheet!$E$5:$E$3004,Timesheet!$D$5:$D$3004,$A166,Timesheet!$A$5:$A$3004,"&gt;="&amp;Settings!$B$8,Timesheet!$A$5:$A$3004,"&lt;="&amp;Settings!$B$9))</f>
        <v/>
      </c>
      <c r="F166" s="25" t="str">
        <f aca="false">IF($A166="","",SUMIFS(Timesheet!$F$5:$F$3004,Timesheet!$D$5:$D$3004,$A166,Timesheet!$A$5:$A$3004,"&gt;="&amp;Settings!$B$8,Timesheet!$A$5:$A$3004,"&lt;="&amp;Settings!$B$9))</f>
        <v/>
      </c>
      <c r="G166" s="25" t="str">
        <f aca="false">IF($A166="","",SUMIFS(Timesheet!$G$5:$G$3004,Timesheet!$D$5:$D$3004,$A166,Timesheet!$A$5:$A$3004,"&gt;="&amp;Settings!$B$8,Timesheet!$A$5:$A$3004,"&lt;="&amp;Settings!$B$9))</f>
        <v/>
      </c>
      <c r="H166" s="25" t="str">
        <f aca="false">IF($A166="","",IF(D166="Monthly",MAX(0,Settings!$B$11-E166),0))</f>
        <v/>
      </c>
      <c r="I166" s="26" t="str">
        <f aca="false">IF($A166="","",N(INDEX(Workers!$L$5:$L$2004,MATCH($A166,Workers!$A$5:$A$2004,0))))</f>
        <v/>
      </c>
      <c r="J166" s="26" t="str">
        <f aca="false">IF($A166="","",N(INDEX(Workers!$M$5:$M$2004,MATCH($A166,Workers!$A$5:$A$2004,0))))</f>
        <v/>
      </c>
      <c r="K166" s="26" t="str">
        <f aca="false">IF($A166="","",IF(D166="Monthly",ROUND(MAX(0,(I166+J166)-(I166+J166)/Settings!$B$10*H166),2),0))</f>
        <v/>
      </c>
      <c r="L166" s="26" t="str">
        <f aca="false">IF($A166="","",IF(D166="Hourly",ROUND(F166*N(INDEX(Workers!$N$5:$N$2004,MATCH($A166,Workers!$A$5:$A$2004,0))),2),0))</f>
        <v/>
      </c>
      <c r="M166" s="26" t="str">
        <f aca="false">IF($A166="","",ROUND(G166*IF(D166="Hourly",N(INDEX(Workers!$N$5:$N$2004,MATCH($A166,Workers!$A$5:$A$2004,0))),I166/Settings!$B$10/Settings!$B$12)*Settings!$B$13,2))</f>
        <v/>
      </c>
      <c r="N166" s="26" t="str">
        <f aca="false">IF($A166="","",K166+L166+M166)</f>
        <v/>
      </c>
      <c r="O166" s="26" t="str">
        <f aca="false">IF($A166="","",SUMIFS(Deductions!$D$5:$D$2000,Deductions!$B$5:$B$2000,$A166,Deductions!$C$5:$C$2000,"Advance",Deductions!$E$5:$E$2000,"&gt;="&amp;Settings!$B$8,Deductions!$E$5:$E$2000,"&lt;="&amp;Settings!$B$9))</f>
        <v/>
      </c>
      <c r="P166" s="26" t="str">
        <f aca="false">IF($A166="","",SUMIFS(Deductions!$D$5:$D$2000,Deductions!$B$5:$B$2000,$A166,Deductions!$E$5:$E$2000,"&gt;="&amp;Settings!$B$8,Deductions!$E$5:$E$2000,"&lt;="&amp;Settings!$B$9)-O166)</f>
        <v/>
      </c>
      <c r="Q166" s="26" t="str">
        <f aca="false">IF($A166="","",O166+P166)</f>
        <v/>
      </c>
      <c r="R166" s="23" t="str">
        <f aca="false">IF($A166="","",N166-Q166)</f>
        <v/>
      </c>
      <c r="S166" s="24" t="str">
        <f aca="false">IF($A166="","",INDEX(Workers!$O$5:$O$2004,MATCH($A166,Workers!$A$5:$A$2004,0))&amp;"")</f>
        <v/>
      </c>
      <c r="T166" s="24" t="str">
        <f aca="false">IF($A166="","",INDEX(Workers!$P$5:$P$2004,MATCH($A166,Workers!$A$5:$A$2004,0))&amp;"")</f>
        <v/>
      </c>
      <c r="U166" s="24" t="str">
        <f aca="false">IF($A166="","",INDEX(Workers!$H$5:$H$2004,MATCH($A166,Workers!$A$5:$A$2004,0))&amp;"")</f>
        <v/>
      </c>
    </row>
    <row r="167" customFormat="false" ht="15" hidden="false" customHeight="false" outlineLevel="0" collapsed="false">
      <c r="A167" s="24" t="str">
        <f aca="false">IFERROR(INDEX(Workers!$A$5:$A$2004,MATCH(ROW()-4,Workers!$U$5:$U$2004,0)),"")</f>
        <v/>
      </c>
      <c r="B167" s="24" t="str">
        <f aca="false">IF($A167="","",INDEX(Workers!$B$5:$B$2004,MATCH($A167,Workers!$A$5:$A$2004,0)))</f>
        <v/>
      </c>
      <c r="C167" s="24" t="str">
        <f aca="false">IF($A167="","",INDEX(Workers!$E$5:$E$2004,MATCH($A167,Workers!$A$5:$A$2004,0)))</f>
        <v/>
      </c>
      <c r="D167" s="24" t="str">
        <f aca="false">IF($A167="","",INDEX(Workers!$K$5:$K$2004,MATCH($A167,Workers!$A$5:$A$2004,0)))</f>
        <v/>
      </c>
      <c r="E167" s="25" t="str">
        <f aca="false">IF($A167="","",SUMIFS(Timesheet!$E$5:$E$3004,Timesheet!$D$5:$D$3004,$A167,Timesheet!$A$5:$A$3004,"&gt;="&amp;Settings!$B$8,Timesheet!$A$5:$A$3004,"&lt;="&amp;Settings!$B$9))</f>
        <v/>
      </c>
      <c r="F167" s="25" t="str">
        <f aca="false">IF($A167="","",SUMIFS(Timesheet!$F$5:$F$3004,Timesheet!$D$5:$D$3004,$A167,Timesheet!$A$5:$A$3004,"&gt;="&amp;Settings!$B$8,Timesheet!$A$5:$A$3004,"&lt;="&amp;Settings!$B$9))</f>
        <v/>
      </c>
      <c r="G167" s="25" t="str">
        <f aca="false">IF($A167="","",SUMIFS(Timesheet!$G$5:$G$3004,Timesheet!$D$5:$D$3004,$A167,Timesheet!$A$5:$A$3004,"&gt;="&amp;Settings!$B$8,Timesheet!$A$5:$A$3004,"&lt;="&amp;Settings!$B$9))</f>
        <v/>
      </c>
      <c r="H167" s="25" t="str">
        <f aca="false">IF($A167="","",IF(D167="Monthly",MAX(0,Settings!$B$11-E167),0))</f>
        <v/>
      </c>
      <c r="I167" s="26" t="str">
        <f aca="false">IF($A167="","",N(INDEX(Workers!$L$5:$L$2004,MATCH($A167,Workers!$A$5:$A$2004,0))))</f>
        <v/>
      </c>
      <c r="J167" s="26" t="str">
        <f aca="false">IF($A167="","",N(INDEX(Workers!$M$5:$M$2004,MATCH($A167,Workers!$A$5:$A$2004,0))))</f>
        <v/>
      </c>
      <c r="K167" s="26" t="str">
        <f aca="false">IF($A167="","",IF(D167="Monthly",ROUND(MAX(0,(I167+J167)-(I167+J167)/Settings!$B$10*H167),2),0))</f>
        <v/>
      </c>
      <c r="L167" s="26" t="str">
        <f aca="false">IF($A167="","",IF(D167="Hourly",ROUND(F167*N(INDEX(Workers!$N$5:$N$2004,MATCH($A167,Workers!$A$5:$A$2004,0))),2),0))</f>
        <v/>
      </c>
      <c r="M167" s="26" t="str">
        <f aca="false">IF($A167="","",ROUND(G167*IF(D167="Hourly",N(INDEX(Workers!$N$5:$N$2004,MATCH($A167,Workers!$A$5:$A$2004,0))),I167/Settings!$B$10/Settings!$B$12)*Settings!$B$13,2))</f>
        <v/>
      </c>
      <c r="N167" s="26" t="str">
        <f aca="false">IF($A167="","",K167+L167+M167)</f>
        <v/>
      </c>
      <c r="O167" s="26" t="str">
        <f aca="false">IF($A167="","",SUMIFS(Deductions!$D$5:$D$2000,Deductions!$B$5:$B$2000,$A167,Deductions!$C$5:$C$2000,"Advance",Deductions!$E$5:$E$2000,"&gt;="&amp;Settings!$B$8,Deductions!$E$5:$E$2000,"&lt;="&amp;Settings!$B$9))</f>
        <v/>
      </c>
      <c r="P167" s="26" t="str">
        <f aca="false">IF($A167="","",SUMIFS(Deductions!$D$5:$D$2000,Deductions!$B$5:$B$2000,$A167,Deductions!$E$5:$E$2000,"&gt;="&amp;Settings!$B$8,Deductions!$E$5:$E$2000,"&lt;="&amp;Settings!$B$9)-O167)</f>
        <v/>
      </c>
      <c r="Q167" s="26" t="str">
        <f aca="false">IF($A167="","",O167+P167)</f>
        <v/>
      </c>
      <c r="R167" s="23" t="str">
        <f aca="false">IF($A167="","",N167-Q167)</f>
        <v/>
      </c>
      <c r="S167" s="24" t="str">
        <f aca="false">IF($A167="","",INDEX(Workers!$O$5:$O$2004,MATCH($A167,Workers!$A$5:$A$2004,0))&amp;"")</f>
        <v/>
      </c>
      <c r="T167" s="24" t="str">
        <f aca="false">IF($A167="","",INDEX(Workers!$P$5:$P$2004,MATCH($A167,Workers!$A$5:$A$2004,0))&amp;"")</f>
        <v/>
      </c>
      <c r="U167" s="24" t="str">
        <f aca="false">IF($A167="","",INDEX(Workers!$H$5:$H$2004,MATCH($A167,Workers!$A$5:$A$2004,0))&amp;"")</f>
        <v/>
      </c>
    </row>
    <row r="168" customFormat="false" ht="15" hidden="false" customHeight="false" outlineLevel="0" collapsed="false">
      <c r="A168" s="24" t="str">
        <f aca="false">IFERROR(INDEX(Workers!$A$5:$A$2004,MATCH(ROW()-4,Workers!$U$5:$U$2004,0)),"")</f>
        <v/>
      </c>
      <c r="B168" s="24" t="str">
        <f aca="false">IF($A168="","",INDEX(Workers!$B$5:$B$2004,MATCH($A168,Workers!$A$5:$A$2004,0)))</f>
        <v/>
      </c>
      <c r="C168" s="24" t="str">
        <f aca="false">IF($A168="","",INDEX(Workers!$E$5:$E$2004,MATCH($A168,Workers!$A$5:$A$2004,0)))</f>
        <v/>
      </c>
      <c r="D168" s="24" t="str">
        <f aca="false">IF($A168="","",INDEX(Workers!$K$5:$K$2004,MATCH($A168,Workers!$A$5:$A$2004,0)))</f>
        <v/>
      </c>
      <c r="E168" s="25" t="str">
        <f aca="false">IF($A168="","",SUMIFS(Timesheet!$E$5:$E$3004,Timesheet!$D$5:$D$3004,$A168,Timesheet!$A$5:$A$3004,"&gt;="&amp;Settings!$B$8,Timesheet!$A$5:$A$3004,"&lt;="&amp;Settings!$B$9))</f>
        <v/>
      </c>
      <c r="F168" s="25" t="str">
        <f aca="false">IF($A168="","",SUMIFS(Timesheet!$F$5:$F$3004,Timesheet!$D$5:$D$3004,$A168,Timesheet!$A$5:$A$3004,"&gt;="&amp;Settings!$B$8,Timesheet!$A$5:$A$3004,"&lt;="&amp;Settings!$B$9))</f>
        <v/>
      </c>
      <c r="G168" s="25" t="str">
        <f aca="false">IF($A168="","",SUMIFS(Timesheet!$G$5:$G$3004,Timesheet!$D$5:$D$3004,$A168,Timesheet!$A$5:$A$3004,"&gt;="&amp;Settings!$B$8,Timesheet!$A$5:$A$3004,"&lt;="&amp;Settings!$B$9))</f>
        <v/>
      </c>
      <c r="H168" s="25" t="str">
        <f aca="false">IF($A168="","",IF(D168="Monthly",MAX(0,Settings!$B$11-E168),0))</f>
        <v/>
      </c>
      <c r="I168" s="26" t="str">
        <f aca="false">IF($A168="","",N(INDEX(Workers!$L$5:$L$2004,MATCH($A168,Workers!$A$5:$A$2004,0))))</f>
        <v/>
      </c>
      <c r="J168" s="26" t="str">
        <f aca="false">IF($A168="","",N(INDEX(Workers!$M$5:$M$2004,MATCH($A168,Workers!$A$5:$A$2004,0))))</f>
        <v/>
      </c>
      <c r="K168" s="26" t="str">
        <f aca="false">IF($A168="","",IF(D168="Monthly",ROUND(MAX(0,(I168+J168)-(I168+J168)/Settings!$B$10*H168),2),0))</f>
        <v/>
      </c>
      <c r="L168" s="26" t="str">
        <f aca="false">IF($A168="","",IF(D168="Hourly",ROUND(F168*N(INDEX(Workers!$N$5:$N$2004,MATCH($A168,Workers!$A$5:$A$2004,0))),2),0))</f>
        <v/>
      </c>
      <c r="M168" s="26" t="str">
        <f aca="false">IF($A168="","",ROUND(G168*IF(D168="Hourly",N(INDEX(Workers!$N$5:$N$2004,MATCH($A168,Workers!$A$5:$A$2004,0))),I168/Settings!$B$10/Settings!$B$12)*Settings!$B$13,2))</f>
        <v/>
      </c>
      <c r="N168" s="26" t="str">
        <f aca="false">IF($A168="","",K168+L168+M168)</f>
        <v/>
      </c>
      <c r="O168" s="26" t="str">
        <f aca="false">IF($A168="","",SUMIFS(Deductions!$D$5:$D$2000,Deductions!$B$5:$B$2000,$A168,Deductions!$C$5:$C$2000,"Advance",Deductions!$E$5:$E$2000,"&gt;="&amp;Settings!$B$8,Deductions!$E$5:$E$2000,"&lt;="&amp;Settings!$B$9))</f>
        <v/>
      </c>
      <c r="P168" s="26" t="str">
        <f aca="false">IF($A168="","",SUMIFS(Deductions!$D$5:$D$2000,Deductions!$B$5:$B$2000,$A168,Deductions!$E$5:$E$2000,"&gt;="&amp;Settings!$B$8,Deductions!$E$5:$E$2000,"&lt;="&amp;Settings!$B$9)-O168)</f>
        <v/>
      </c>
      <c r="Q168" s="26" t="str">
        <f aca="false">IF($A168="","",O168+P168)</f>
        <v/>
      </c>
      <c r="R168" s="23" t="str">
        <f aca="false">IF($A168="","",N168-Q168)</f>
        <v/>
      </c>
      <c r="S168" s="24" t="str">
        <f aca="false">IF($A168="","",INDEX(Workers!$O$5:$O$2004,MATCH($A168,Workers!$A$5:$A$2004,0))&amp;"")</f>
        <v/>
      </c>
      <c r="T168" s="24" t="str">
        <f aca="false">IF($A168="","",INDEX(Workers!$P$5:$P$2004,MATCH($A168,Workers!$A$5:$A$2004,0))&amp;"")</f>
        <v/>
      </c>
      <c r="U168" s="24" t="str">
        <f aca="false">IF($A168="","",INDEX(Workers!$H$5:$H$2004,MATCH($A168,Workers!$A$5:$A$2004,0))&amp;"")</f>
        <v/>
      </c>
    </row>
    <row r="169" customFormat="false" ht="15" hidden="false" customHeight="false" outlineLevel="0" collapsed="false">
      <c r="A169" s="24" t="str">
        <f aca="false">IFERROR(INDEX(Workers!$A$5:$A$2004,MATCH(ROW()-4,Workers!$U$5:$U$2004,0)),"")</f>
        <v/>
      </c>
      <c r="B169" s="24" t="str">
        <f aca="false">IF($A169="","",INDEX(Workers!$B$5:$B$2004,MATCH($A169,Workers!$A$5:$A$2004,0)))</f>
        <v/>
      </c>
      <c r="C169" s="24" t="str">
        <f aca="false">IF($A169="","",INDEX(Workers!$E$5:$E$2004,MATCH($A169,Workers!$A$5:$A$2004,0)))</f>
        <v/>
      </c>
      <c r="D169" s="24" t="str">
        <f aca="false">IF($A169="","",INDEX(Workers!$K$5:$K$2004,MATCH($A169,Workers!$A$5:$A$2004,0)))</f>
        <v/>
      </c>
      <c r="E169" s="25" t="str">
        <f aca="false">IF($A169="","",SUMIFS(Timesheet!$E$5:$E$3004,Timesheet!$D$5:$D$3004,$A169,Timesheet!$A$5:$A$3004,"&gt;="&amp;Settings!$B$8,Timesheet!$A$5:$A$3004,"&lt;="&amp;Settings!$B$9))</f>
        <v/>
      </c>
      <c r="F169" s="25" t="str">
        <f aca="false">IF($A169="","",SUMIFS(Timesheet!$F$5:$F$3004,Timesheet!$D$5:$D$3004,$A169,Timesheet!$A$5:$A$3004,"&gt;="&amp;Settings!$B$8,Timesheet!$A$5:$A$3004,"&lt;="&amp;Settings!$B$9))</f>
        <v/>
      </c>
      <c r="G169" s="25" t="str">
        <f aca="false">IF($A169="","",SUMIFS(Timesheet!$G$5:$G$3004,Timesheet!$D$5:$D$3004,$A169,Timesheet!$A$5:$A$3004,"&gt;="&amp;Settings!$B$8,Timesheet!$A$5:$A$3004,"&lt;="&amp;Settings!$B$9))</f>
        <v/>
      </c>
      <c r="H169" s="25" t="str">
        <f aca="false">IF($A169="","",IF(D169="Monthly",MAX(0,Settings!$B$11-E169),0))</f>
        <v/>
      </c>
      <c r="I169" s="26" t="str">
        <f aca="false">IF($A169="","",N(INDEX(Workers!$L$5:$L$2004,MATCH($A169,Workers!$A$5:$A$2004,0))))</f>
        <v/>
      </c>
      <c r="J169" s="26" t="str">
        <f aca="false">IF($A169="","",N(INDEX(Workers!$M$5:$M$2004,MATCH($A169,Workers!$A$5:$A$2004,0))))</f>
        <v/>
      </c>
      <c r="K169" s="26" t="str">
        <f aca="false">IF($A169="","",IF(D169="Monthly",ROUND(MAX(0,(I169+J169)-(I169+J169)/Settings!$B$10*H169),2),0))</f>
        <v/>
      </c>
      <c r="L169" s="26" t="str">
        <f aca="false">IF($A169="","",IF(D169="Hourly",ROUND(F169*N(INDEX(Workers!$N$5:$N$2004,MATCH($A169,Workers!$A$5:$A$2004,0))),2),0))</f>
        <v/>
      </c>
      <c r="M169" s="26" t="str">
        <f aca="false">IF($A169="","",ROUND(G169*IF(D169="Hourly",N(INDEX(Workers!$N$5:$N$2004,MATCH($A169,Workers!$A$5:$A$2004,0))),I169/Settings!$B$10/Settings!$B$12)*Settings!$B$13,2))</f>
        <v/>
      </c>
      <c r="N169" s="26" t="str">
        <f aca="false">IF($A169="","",K169+L169+M169)</f>
        <v/>
      </c>
      <c r="O169" s="26" t="str">
        <f aca="false">IF($A169="","",SUMIFS(Deductions!$D$5:$D$2000,Deductions!$B$5:$B$2000,$A169,Deductions!$C$5:$C$2000,"Advance",Deductions!$E$5:$E$2000,"&gt;="&amp;Settings!$B$8,Deductions!$E$5:$E$2000,"&lt;="&amp;Settings!$B$9))</f>
        <v/>
      </c>
      <c r="P169" s="26" t="str">
        <f aca="false">IF($A169="","",SUMIFS(Deductions!$D$5:$D$2000,Deductions!$B$5:$B$2000,$A169,Deductions!$E$5:$E$2000,"&gt;="&amp;Settings!$B$8,Deductions!$E$5:$E$2000,"&lt;="&amp;Settings!$B$9)-O169)</f>
        <v/>
      </c>
      <c r="Q169" s="26" t="str">
        <f aca="false">IF($A169="","",O169+P169)</f>
        <v/>
      </c>
      <c r="R169" s="23" t="str">
        <f aca="false">IF($A169="","",N169-Q169)</f>
        <v/>
      </c>
      <c r="S169" s="24" t="str">
        <f aca="false">IF($A169="","",INDEX(Workers!$O$5:$O$2004,MATCH($A169,Workers!$A$5:$A$2004,0))&amp;"")</f>
        <v/>
      </c>
      <c r="T169" s="24" t="str">
        <f aca="false">IF($A169="","",INDEX(Workers!$P$5:$P$2004,MATCH($A169,Workers!$A$5:$A$2004,0))&amp;"")</f>
        <v/>
      </c>
      <c r="U169" s="24" t="str">
        <f aca="false">IF($A169="","",INDEX(Workers!$H$5:$H$2004,MATCH($A169,Workers!$A$5:$A$2004,0))&amp;"")</f>
        <v/>
      </c>
    </row>
    <row r="170" customFormat="false" ht="15" hidden="false" customHeight="false" outlineLevel="0" collapsed="false">
      <c r="A170" s="24" t="str">
        <f aca="false">IFERROR(INDEX(Workers!$A$5:$A$2004,MATCH(ROW()-4,Workers!$U$5:$U$2004,0)),"")</f>
        <v/>
      </c>
      <c r="B170" s="24" t="str">
        <f aca="false">IF($A170="","",INDEX(Workers!$B$5:$B$2004,MATCH($A170,Workers!$A$5:$A$2004,0)))</f>
        <v/>
      </c>
      <c r="C170" s="24" t="str">
        <f aca="false">IF($A170="","",INDEX(Workers!$E$5:$E$2004,MATCH($A170,Workers!$A$5:$A$2004,0)))</f>
        <v/>
      </c>
      <c r="D170" s="24" t="str">
        <f aca="false">IF($A170="","",INDEX(Workers!$K$5:$K$2004,MATCH($A170,Workers!$A$5:$A$2004,0)))</f>
        <v/>
      </c>
      <c r="E170" s="25" t="str">
        <f aca="false">IF($A170="","",SUMIFS(Timesheet!$E$5:$E$3004,Timesheet!$D$5:$D$3004,$A170,Timesheet!$A$5:$A$3004,"&gt;="&amp;Settings!$B$8,Timesheet!$A$5:$A$3004,"&lt;="&amp;Settings!$B$9))</f>
        <v/>
      </c>
      <c r="F170" s="25" t="str">
        <f aca="false">IF($A170="","",SUMIFS(Timesheet!$F$5:$F$3004,Timesheet!$D$5:$D$3004,$A170,Timesheet!$A$5:$A$3004,"&gt;="&amp;Settings!$B$8,Timesheet!$A$5:$A$3004,"&lt;="&amp;Settings!$B$9))</f>
        <v/>
      </c>
      <c r="G170" s="25" t="str">
        <f aca="false">IF($A170="","",SUMIFS(Timesheet!$G$5:$G$3004,Timesheet!$D$5:$D$3004,$A170,Timesheet!$A$5:$A$3004,"&gt;="&amp;Settings!$B$8,Timesheet!$A$5:$A$3004,"&lt;="&amp;Settings!$B$9))</f>
        <v/>
      </c>
      <c r="H170" s="25" t="str">
        <f aca="false">IF($A170="","",IF(D170="Monthly",MAX(0,Settings!$B$11-E170),0))</f>
        <v/>
      </c>
      <c r="I170" s="26" t="str">
        <f aca="false">IF($A170="","",N(INDEX(Workers!$L$5:$L$2004,MATCH($A170,Workers!$A$5:$A$2004,0))))</f>
        <v/>
      </c>
      <c r="J170" s="26" t="str">
        <f aca="false">IF($A170="","",N(INDEX(Workers!$M$5:$M$2004,MATCH($A170,Workers!$A$5:$A$2004,0))))</f>
        <v/>
      </c>
      <c r="K170" s="26" t="str">
        <f aca="false">IF($A170="","",IF(D170="Monthly",ROUND(MAX(0,(I170+J170)-(I170+J170)/Settings!$B$10*H170),2),0))</f>
        <v/>
      </c>
      <c r="L170" s="26" t="str">
        <f aca="false">IF($A170="","",IF(D170="Hourly",ROUND(F170*N(INDEX(Workers!$N$5:$N$2004,MATCH($A170,Workers!$A$5:$A$2004,0))),2),0))</f>
        <v/>
      </c>
      <c r="M170" s="26" t="str">
        <f aca="false">IF($A170="","",ROUND(G170*IF(D170="Hourly",N(INDEX(Workers!$N$5:$N$2004,MATCH($A170,Workers!$A$5:$A$2004,0))),I170/Settings!$B$10/Settings!$B$12)*Settings!$B$13,2))</f>
        <v/>
      </c>
      <c r="N170" s="26" t="str">
        <f aca="false">IF($A170="","",K170+L170+M170)</f>
        <v/>
      </c>
      <c r="O170" s="26" t="str">
        <f aca="false">IF($A170="","",SUMIFS(Deductions!$D$5:$D$2000,Deductions!$B$5:$B$2000,$A170,Deductions!$C$5:$C$2000,"Advance",Deductions!$E$5:$E$2000,"&gt;="&amp;Settings!$B$8,Deductions!$E$5:$E$2000,"&lt;="&amp;Settings!$B$9))</f>
        <v/>
      </c>
      <c r="P170" s="26" t="str">
        <f aca="false">IF($A170="","",SUMIFS(Deductions!$D$5:$D$2000,Deductions!$B$5:$B$2000,$A170,Deductions!$E$5:$E$2000,"&gt;="&amp;Settings!$B$8,Deductions!$E$5:$E$2000,"&lt;="&amp;Settings!$B$9)-O170)</f>
        <v/>
      </c>
      <c r="Q170" s="26" t="str">
        <f aca="false">IF($A170="","",O170+P170)</f>
        <v/>
      </c>
      <c r="R170" s="23" t="str">
        <f aca="false">IF($A170="","",N170-Q170)</f>
        <v/>
      </c>
      <c r="S170" s="24" t="str">
        <f aca="false">IF($A170="","",INDEX(Workers!$O$5:$O$2004,MATCH($A170,Workers!$A$5:$A$2004,0))&amp;"")</f>
        <v/>
      </c>
      <c r="T170" s="24" t="str">
        <f aca="false">IF($A170="","",INDEX(Workers!$P$5:$P$2004,MATCH($A170,Workers!$A$5:$A$2004,0))&amp;"")</f>
        <v/>
      </c>
      <c r="U170" s="24" t="str">
        <f aca="false">IF($A170="","",INDEX(Workers!$H$5:$H$2004,MATCH($A170,Workers!$A$5:$A$2004,0))&amp;"")</f>
        <v/>
      </c>
    </row>
    <row r="171" customFormat="false" ht="15" hidden="false" customHeight="false" outlineLevel="0" collapsed="false">
      <c r="A171" s="24" t="str">
        <f aca="false">IFERROR(INDEX(Workers!$A$5:$A$2004,MATCH(ROW()-4,Workers!$U$5:$U$2004,0)),"")</f>
        <v/>
      </c>
      <c r="B171" s="24" t="str">
        <f aca="false">IF($A171="","",INDEX(Workers!$B$5:$B$2004,MATCH($A171,Workers!$A$5:$A$2004,0)))</f>
        <v/>
      </c>
      <c r="C171" s="24" t="str">
        <f aca="false">IF($A171="","",INDEX(Workers!$E$5:$E$2004,MATCH($A171,Workers!$A$5:$A$2004,0)))</f>
        <v/>
      </c>
      <c r="D171" s="24" t="str">
        <f aca="false">IF($A171="","",INDEX(Workers!$K$5:$K$2004,MATCH($A171,Workers!$A$5:$A$2004,0)))</f>
        <v/>
      </c>
      <c r="E171" s="25" t="str">
        <f aca="false">IF($A171="","",SUMIFS(Timesheet!$E$5:$E$3004,Timesheet!$D$5:$D$3004,$A171,Timesheet!$A$5:$A$3004,"&gt;="&amp;Settings!$B$8,Timesheet!$A$5:$A$3004,"&lt;="&amp;Settings!$B$9))</f>
        <v/>
      </c>
      <c r="F171" s="25" t="str">
        <f aca="false">IF($A171="","",SUMIFS(Timesheet!$F$5:$F$3004,Timesheet!$D$5:$D$3004,$A171,Timesheet!$A$5:$A$3004,"&gt;="&amp;Settings!$B$8,Timesheet!$A$5:$A$3004,"&lt;="&amp;Settings!$B$9))</f>
        <v/>
      </c>
      <c r="G171" s="25" t="str">
        <f aca="false">IF($A171="","",SUMIFS(Timesheet!$G$5:$G$3004,Timesheet!$D$5:$D$3004,$A171,Timesheet!$A$5:$A$3004,"&gt;="&amp;Settings!$B$8,Timesheet!$A$5:$A$3004,"&lt;="&amp;Settings!$B$9))</f>
        <v/>
      </c>
      <c r="H171" s="25" t="str">
        <f aca="false">IF($A171="","",IF(D171="Monthly",MAX(0,Settings!$B$11-E171),0))</f>
        <v/>
      </c>
      <c r="I171" s="26" t="str">
        <f aca="false">IF($A171="","",N(INDEX(Workers!$L$5:$L$2004,MATCH($A171,Workers!$A$5:$A$2004,0))))</f>
        <v/>
      </c>
      <c r="J171" s="26" t="str">
        <f aca="false">IF($A171="","",N(INDEX(Workers!$M$5:$M$2004,MATCH($A171,Workers!$A$5:$A$2004,0))))</f>
        <v/>
      </c>
      <c r="K171" s="26" t="str">
        <f aca="false">IF($A171="","",IF(D171="Monthly",ROUND(MAX(0,(I171+J171)-(I171+J171)/Settings!$B$10*H171),2),0))</f>
        <v/>
      </c>
      <c r="L171" s="26" t="str">
        <f aca="false">IF($A171="","",IF(D171="Hourly",ROUND(F171*N(INDEX(Workers!$N$5:$N$2004,MATCH($A171,Workers!$A$5:$A$2004,0))),2),0))</f>
        <v/>
      </c>
      <c r="M171" s="26" t="str">
        <f aca="false">IF($A171="","",ROUND(G171*IF(D171="Hourly",N(INDEX(Workers!$N$5:$N$2004,MATCH($A171,Workers!$A$5:$A$2004,0))),I171/Settings!$B$10/Settings!$B$12)*Settings!$B$13,2))</f>
        <v/>
      </c>
      <c r="N171" s="26" t="str">
        <f aca="false">IF($A171="","",K171+L171+M171)</f>
        <v/>
      </c>
      <c r="O171" s="26" t="str">
        <f aca="false">IF($A171="","",SUMIFS(Deductions!$D$5:$D$2000,Deductions!$B$5:$B$2000,$A171,Deductions!$C$5:$C$2000,"Advance",Deductions!$E$5:$E$2000,"&gt;="&amp;Settings!$B$8,Deductions!$E$5:$E$2000,"&lt;="&amp;Settings!$B$9))</f>
        <v/>
      </c>
      <c r="P171" s="26" t="str">
        <f aca="false">IF($A171="","",SUMIFS(Deductions!$D$5:$D$2000,Deductions!$B$5:$B$2000,$A171,Deductions!$E$5:$E$2000,"&gt;="&amp;Settings!$B$8,Deductions!$E$5:$E$2000,"&lt;="&amp;Settings!$B$9)-O171)</f>
        <v/>
      </c>
      <c r="Q171" s="26" t="str">
        <f aca="false">IF($A171="","",O171+P171)</f>
        <v/>
      </c>
      <c r="R171" s="23" t="str">
        <f aca="false">IF($A171="","",N171-Q171)</f>
        <v/>
      </c>
      <c r="S171" s="24" t="str">
        <f aca="false">IF($A171="","",INDEX(Workers!$O$5:$O$2004,MATCH($A171,Workers!$A$5:$A$2004,0))&amp;"")</f>
        <v/>
      </c>
      <c r="T171" s="24" t="str">
        <f aca="false">IF($A171="","",INDEX(Workers!$P$5:$P$2004,MATCH($A171,Workers!$A$5:$A$2004,0))&amp;"")</f>
        <v/>
      </c>
      <c r="U171" s="24" t="str">
        <f aca="false">IF($A171="","",INDEX(Workers!$H$5:$H$2004,MATCH($A171,Workers!$A$5:$A$2004,0))&amp;"")</f>
        <v/>
      </c>
    </row>
    <row r="172" customFormat="false" ht="15" hidden="false" customHeight="false" outlineLevel="0" collapsed="false">
      <c r="A172" s="24" t="str">
        <f aca="false">IFERROR(INDEX(Workers!$A$5:$A$2004,MATCH(ROW()-4,Workers!$U$5:$U$2004,0)),"")</f>
        <v/>
      </c>
      <c r="B172" s="24" t="str">
        <f aca="false">IF($A172="","",INDEX(Workers!$B$5:$B$2004,MATCH($A172,Workers!$A$5:$A$2004,0)))</f>
        <v/>
      </c>
      <c r="C172" s="24" t="str">
        <f aca="false">IF($A172="","",INDEX(Workers!$E$5:$E$2004,MATCH($A172,Workers!$A$5:$A$2004,0)))</f>
        <v/>
      </c>
      <c r="D172" s="24" t="str">
        <f aca="false">IF($A172="","",INDEX(Workers!$K$5:$K$2004,MATCH($A172,Workers!$A$5:$A$2004,0)))</f>
        <v/>
      </c>
      <c r="E172" s="25" t="str">
        <f aca="false">IF($A172="","",SUMIFS(Timesheet!$E$5:$E$3004,Timesheet!$D$5:$D$3004,$A172,Timesheet!$A$5:$A$3004,"&gt;="&amp;Settings!$B$8,Timesheet!$A$5:$A$3004,"&lt;="&amp;Settings!$B$9))</f>
        <v/>
      </c>
      <c r="F172" s="25" t="str">
        <f aca="false">IF($A172="","",SUMIFS(Timesheet!$F$5:$F$3004,Timesheet!$D$5:$D$3004,$A172,Timesheet!$A$5:$A$3004,"&gt;="&amp;Settings!$B$8,Timesheet!$A$5:$A$3004,"&lt;="&amp;Settings!$B$9))</f>
        <v/>
      </c>
      <c r="G172" s="25" t="str">
        <f aca="false">IF($A172="","",SUMIFS(Timesheet!$G$5:$G$3004,Timesheet!$D$5:$D$3004,$A172,Timesheet!$A$5:$A$3004,"&gt;="&amp;Settings!$B$8,Timesheet!$A$5:$A$3004,"&lt;="&amp;Settings!$B$9))</f>
        <v/>
      </c>
      <c r="H172" s="25" t="str">
        <f aca="false">IF($A172="","",IF(D172="Monthly",MAX(0,Settings!$B$11-E172),0))</f>
        <v/>
      </c>
      <c r="I172" s="26" t="str">
        <f aca="false">IF($A172="","",N(INDEX(Workers!$L$5:$L$2004,MATCH($A172,Workers!$A$5:$A$2004,0))))</f>
        <v/>
      </c>
      <c r="J172" s="26" t="str">
        <f aca="false">IF($A172="","",N(INDEX(Workers!$M$5:$M$2004,MATCH($A172,Workers!$A$5:$A$2004,0))))</f>
        <v/>
      </c>
      <c r="K172" s="26" t="str">
        <f aca="false">IF($A172="","",IF(D172="Monthly",ROUND(MAX(0,(I172+J172)-(I172+J172)/Settings!$B$10*H172),2),0))</f>
        <v/>
      </c>
      <c r="L172" s="26" t="str">
        <f aca="false">IF($A172="","",IF(D172="Hourly",ROUND(F172*N(INDEX(Workers!$N$5:$N$2004,MATCH($A172,Workers!$A$5:$A$2004,0))),2),0))</f>
        <v/>
      </c>
      <c r="M172" s="26" t="str">
        <f aca="false">IF($A172="","",ROUND(G172*IF(D172="Hourly",N(INDEX(Workers!$N$5:$N$2004,MATCH($A172,Workers!$A$5:$A$2004,0))),I172/Settings!$B$10/Settings!$B$12)*Settings!$B$13,2))</f>
        <v/>
      </c>
      <c r="N172" s="26" t="str">
        <f aca="false">IF($A172="","",K172+L172+M172)</f>
        <v/>
      </c>
      <c r="O172" s="26" t="str">
        <f aca="false">IF($A172="","",SUMIFS(Deductions!$D$5:$D$2000,Deductions!$B$5:$B$2000,$A172,Deductions!$C$5:$C$2000,"Advance",Deductions!$E$5:$E$2000,"&gt;="&amp;Settings!$B$8,Deductions!$E$5:$E$2000,"&lt;="&amp;Settings!$B$9))</f>
        <v/>
      </c>
      <c r="P172" s="26" t="str">
        <f aca="false">IF($A172="","",SUMIFS(Deductions!$D$5:$D$2000,Deductions!$B$5:$B$2000,$A172,Deductions!$E$5:$E$2000,"&gt;="&amp;Settings!$B$8,Deductions!$E$5:$E$2000,"&lt;="&amp;Settings!$B$9)-O172)</f>
        <v/>
      </c>
      <c r="Q172" s="26" t="str">
        <f aca="false">IF($A172="","",O172+P172)</f>
        <v/>
      </c>
      <c r="R172" s="23" t="str">
        <f aca="false">IF($A172="","",N172-Q172)</f>
        <v/>
      </c>
      <c r="S172" s="24" t="str">
        <f aca="false">IF($A172="","",INDEX(Workers!$O$5:$O$2004,MATCH($A172,Workers!$A$5:$A$2004,0))&amp;"")</f>
        <v/>
      </c>
      <c r="T172" s="24" t="str">
        <f aca="false">IF($A172="","",INDEX(Workers!$P$5:$P$2004,MATCH($A172,Workers!$A$5:$A$2004,0))&amp;"")</f>
        <v/>
      </c>
      <c r="U172" s="24" t="str">
        <f aca="false">IF($A172="","",INDEX(Workers!$H$5:$H$2004,MATCH($A172,Workers!$A$5:$A$2004,0))&amp;"")</f>
        <v/>
      </c>
    </row>
    <row r="173" customFormat="false" ht="15" hidden="false" customHeight="false" outlineLevel="0" collapsed="false">
      <c r="A173" s="24" t="str">
        <f aca="false">IFERROR(INDEX(Workers!$A$5:$A$2004,MATCH(ROW()-4,Workers!$U$5:$U$2004,0)),"")</f>
        <v/>
      </c>
      <c r="B173" s="24" t="str">
        <f aca="false">IF($A173="","",INDEX(Workers!$B$5:$B$2004,MATCH($A173,Workers!$A$5:$A$2004,0)))</f>
        <v/>
      </c>
      <c r="C173" s="24" t="str">
        <f aca="false">IF($A173="","",INDEX(Workers!$E$5:$E$2004,MATCH($A173,Workers!$A$5:$A$2004,0)))</f>
        <v/>
      </c>
      <c r="D173" s="24" t="str">
        <f aca="false">IF($A173="","",INDEX(Workers!$K$5:$K$2004,MATCH($A173,Workers!$A$5:$A$2004,0)))</f>
        <v/>
      </c>
      <c r="E173" s="25" t="str">
        <f aca="false">IF($A173="","",SUMIFS(Timesheet!$E$5:$E$3004,Timesheet!$D$5:$D$3004,$A173,Timesheet!$A$5:$A$3004,"&gt;="&amp;Settings!$B$8,Timesheet!$A$5:$A$3004,"&lt;="&amp;Settings!$B$9))</f>
        <v/>
      </c>
      <c r="F173" s="25" t="str">
        <f aca="false">IF($A173="","",SUMIFS(Timesheet!$F$5:$F$3004,Timesheet!$D$5:$D$3004,$A173,Timesheet!$A$5:$A$3004,"&gt;="&amp;Settings!$B$8,Timesheet!$A$5:$A$3004,"&lt;="&amp;Settings!$B$9))</f>
        <v/>
      </c>
      <c r="G173" s="25" t="str">
        <f aca="false">IF($A173="","",SUMIFS(Timesheet!$G$5:$G$3004,Timesheet!$D$5:$D$3004,$A173,Timesheet!$A$5:$A$3004,"&gt;="&amp;Settings!$B$8,Timesheet!$A$5:$A$3004,"&lt;="&amp;Settings!$B$9))</f>
        <v/>
      </c>
      <c r="H173" s="25" t="str">
        <f aca="false">IF($A173="","",IF(D173="Monthly",MAX(0,Settings!$B$11-E173),0))</f>
        <v/>
      </c>
      <c r="I173" s="26" t="str">
        <f aca="false">IF($A173="","",N(INDEX(Workers!$L$5:$L$2004,MATCH($A173,Workers!$A$5:$A$2004,0))))</f>
        <v/>
      </c>
      <c r="J173" s="26" t="str">
        <f aca="false">IF($A173="","",N(INDEX(Workers!$M$5:$M$2004,MATCH($A173,Workers!$A$5:$A$2004,0))))</f>
        <v/>
      </c>
      <c r="K173" s="26" t="str">
        <f aca="false">IF($A173="","",IF(D173="Monthly",ROUND(MAX(0,(I173+J173)-(I173+J173)/Settings!$B$10*H173),2),0))</f>
        <v/>
      </c>
      <c r="L173" s="26" t="str">
        <f aca="false">IF($A173="","",IF(D173="Hourly",ROUND(F173*N(INDEX(Workers!$N$5:$N$2004,MATCH($A173,Workers!$A$5:$A$2004,0))),2),0))</f>
        <v/>
      </c>
      <c r="M173" s="26" t="str">
        <f aca="false">IF($A173="","",ROUND(G173*IF(D173="Hourly",N(INDEX(Workers!$N$5:$N$2004,MATCH($A173,Workers!$A$5:$A$2004,0))),I173/Settings!$B$10/Settings!$B$12)*Settings!$B$13,2))</f>
        <v/>
      </c>
      <c r="N173" s="26" t="str">
        <f aca="false">IF($A173="","",K173+L173+M173)</f>
        <v/>
      </c>
      <c r="O173" s="26" t="str">
        <f aca="false">IF($A173="","",SUMIFS(Deductions!$D$5:$D$2000,Deductions!$B$5:$B$2000,$A173,Deductions!$C$5:$C$2000,"Advance",Deductions!$E$5:$E$2000,"&gt;="&amp;Settings!$B$8,Deductions!$E$5:$E$2000,"&lt;="&amp;Settings!$B$9))</f>
        <v/>
      </c>
      <c r="P173" s="26" t="str">
        <f aca="false">IF($A173="","",SUMIFS(Deductions!$D$5:$D$2000,Deductions!$B$5:$B$2000,$A173,Deductions!$E$5:$E$2000,"&gt;="&amp;Settings!$B$8,Deductions!$E$5:$E$2000,"&lt;="&amp;Settings!$B$9)-O173)</f>
        <v/>
      </c>
      <c r="Q173" s="26" t="str">
        <f aca="false">IF($A173="","",O173+P173)</f>
        <v/>
      </c>
      <c r="R173" s="23" t="str">
        <f aca="false">IF($A173="","",N173-Q173)</f>
        <v/>
      </c>
      <c r="S173" s="24" t="str">
        <f aca="false">IF($A173="","",INDEX(Workers!$O$5:$O$2004,MATCH($A173,Workers!$A$5:$A$2004,0))&amp;"")</f>
        <v/>
      </c>
      <c r="T173" s="24" t="str">
        <f aca="false">IF($A173="","",INDEX(Workers!$P$5:$P$2004,MATCH($A173,Workers!$A$5:$A$2004,0))&amp;"")</f>
        <v/>
      </c>
      <c r="U173" s="24" t="str">
        <f aca="false">IF($A173="","",INDEX(Workers!$H$5:$H$2004,MATCH($A173,Workers!$A$5:$A$2004,0))&amp;"")</f>
        <v/>
      </c>
    </row>
    <row r="174" customFormat="false" ht="15" hidden="false" customHeight="false" outlineLevel="0" collapsed="false">
      <c r="A174" s="24" t="str">
        <f aca="false">IFERROR(INDEX(Workers!$A$5:$A$2004,MATCH(ROW()-4,Workers!$U$5:$U$2004,0)),"")</f>
        <v/>
      </c>
      <c r="B174" s="24" t="str">
        <f aca="false">IF($A174="","",INDEX(Workers!$B$5:$B$2004,MATCH($A174,Workers!$A$5:$A$2004,0)))</f>
        <v/>
      </c>
      <c r="C174" s="24" t="str">
        <f aca="false">IF($A174="","",INDEX(Workers!$E$5:$E$2004,MATCH($A174,Workers!$A$5:$A$2004,0)))</f>
        <v/>
      </c>
      <c r="D174" s="24" t="str">
        <f aca="false">IF($A174="","",INDEX(Workers!$K$5:$K$2004,MATCH($A174,Workers!$A$5:$A$2004,0)))</f>
        <v/>
      </c>
      <c r="E174" s="25" t="str">
        <f aca="false">IF($A174="","",SUMIFS(Timesheet!$E$5:$E$3004,Timesheet!$D$5:$D$3004,$A174,Timesheet!$A$5:$A$3004,"&gt;="&amp;Settings!$B$8,Timesheet!$A$5:$A$3004,"&lt;="&amp;Settings!$B$9))</f>
        <v/>
      </c>
      <c r="F174" s="25" t="str">
        <f aca="false">IF($A174="","",SUMIFS(Timesheet!$F$5:$F$3004,Timesheet!$D$5:$D$3004,$A174,Timesheet!$A$5:$A$3004,"&gt;="&amp;Settings!$B$8,Timesheet!$A$5:$A$3004,"&lt;="&amp;Settings!$B$9))</f>
        <v/>
      </c>
      <c r="G174" s="25" t="str">
        <f aca="false">IF($A174="","",SUMIFS(Timesheet!$G$5:$G$3004,Timesheet!$D$5:$D$3004,$A174,Timesheet!$A$5:$A$3004,"&gt;="&amp;Settings!$B$8,Timesheet!$A$5:$A$3004,"&lt;="&amp;Settings!$B$9))</f>
        <v/>
      </c>
      <c r="H174" s="25" t="str">
        <f aca="false">IF($A174="","",IF(D174="Monthly",MAX(0,Settings!$B$11-E174),0))</f>
        <v/>
      </c>
      <c r="I174" s="26" t="str">
        <f aca="false">IF($A174="","",N(INDEX(Workers!$L$5:$L$2004,MATCH($A174,Workers!$A$5:$A$2004,0))))</f>
        <v/>
      </c>
      <c r="J174" s="26" t="str">
        <f aca="false">IF($A174="","",N(INDEX(Workers!$M$5:$M$2004,MATCH($A174,Workers!$A$5:$A$2004,0))))</f>
        <v/>
      </c>
      <c r="K174" s="26" t="str">
        <f aca="false">IF($A174="","",IF(D174="Monthly",ROUND(MAX(0,(I174+J174)-(I174+J174)/Settings!$B$10*H174),2),0))</f>
        <v/>
      </c>
      <c r="L174" s="26" t="str">
        <f aca="false">IF($A174="","",IF(D174="Hourly",ROUND(F174*N(INDEX(Workers!$N$5:$N$2004,MATCH($A174,Workers!$A$5:$A$2004,0))),2),0))</f>
        <v/>
      </c>
      <c r="M174" s="26" t="str">
        <f aca="false">IF($A174="","",ROUND(G174*IF(D174="Hourly",N(INDEX(Workers!$N$5:$N$2004,MATCH($A174,Workers!$A$5:$A$2004,0))),I174/Settings!$B$10/Settings!$B$12)*Settings!$B$13,2))</f>
        <v/>
      </c>
      <c r="N174" s="26" t="str">
        <f aca="false">IF($A174="","",K174+L174+M174)</f>
        <v/>
      </c>
      <c r="O174" s="26" t="str">
        <f aca="false">IF($A174="","",SUMIFS(Deductions!$D$5:$D$2000,Deductions!$B$5:$B$2000,$A174,Deductions!$C$5:$C$2000,"Advance",Deductions!$E$5:$E$2000,"&gt;="&amp;Settings!$B$8,Deductions!$E$5:$E$2000,"&lt;="&amp;Settings!$B$9))</f>
        <v/>
      </c>
      <c r="P174" s="26" t="str">
        <f aca="false">IF($A174="","",SUMIFS(Deductions!$D$5:$D$2000,Deductions!$B$5:$B$2000,$A174,Deductions!$E$5:$E$2000,"&gt;="&amp;Settings!$B$8,Deductions!$E$5:$E$2000,"&lt;="&amp;Settings!$B$9)-O174)</f>
        <v/>
      </c>
      <c r="Q174" s="26" t="str">
        <f aca="false">IF($A174="","",O174+P174)</f>
        <v/>
      </c>
      <c r="R174" s="23" t="str">
        <f aca="false">IF($A174="","",N174-Q174)</f>
        <v/>
      </c>
      <c r="S174" s="24" t="str">
        <f aca="false">IF($A174="","",INDEX(Workers!$O$5:$O$2004,MATCH($A174,Workers!$A$5:$A$2004,0))&amp;"")</f>
        <v/>
      </c>
      <c r="T174" s="24" t="str">
        <f aca="false">IF($A174="","",INDEX(Workers!$P$5:$P$2004,MATCH($A174,Workers!$A$5:$A$2004,0))&amp;"")</f>
        <v/>
      </c>
      <c r="U174" s="24" t="str">
        <f aca="false">IF($A174="","",INDEX(Workers!$H$5:$H$2004,MATCH($A174,Workers!$A$5:$A$2004,0))&amp;"")</f>
        <v/>
      </c>
    </row>
    <row r="175" customFormat="false" ht="15" hidden="false" customHeight="false" outlineLevel="0" collapsed="false">
      <c r="A175" s="24" t="str">
        <f aca="false">IFERROR(INDEX(Workers!$A$5:$A$2004,MATCH(ROW()-4,Workers!$U$5:$U$2004,0)),"")</f>
        <v/>
      </c>
      <c r="B175" s="24" t="str">
        <f aca="false">IF($A175="","",INDEX(Workers!$B$5:$B$2004,MATCH($A175,Workers!$A$5:$A$2004,0)))</f>
        <v/>
      </c>
      <c r="C175" s="24" t="str">
        <f aca="false">IF($A175="","",INDEX(Workers!$E$5:$E$2004,MATCH($A175,Workers!$A$5:$A$2004,0)))</f>
        <v/>
      </c>
      <c r="D175" s="24" t="str">
        <f aca="false">IF($A175="","",INDEX(Workers!$K$5:$K$2004,MATCH($A175,Workers!$A$5:$A$2004,0)))</f>
        <v/>
      </c>
      <c r="E175" s="25" t="str">
        <f aca="false">IF($A175="","",SUMIFS(Timesheet!$E$5:$E$3004,Timesheet!$D$5:$D$3004,$A175,Timesheet!$A$5:$A$3004,"&gt;="&amp;Settings!$B$8,Timesheet!$A$5:$A$3004,"&lt;="&amp;Settings!$B$9))</f>
        <v/>
      </c>
      <c r="F175" s="25" t="str">
        <f aca="false">IF($A175="","",SUMIFS(Timesheet!$F$5:$F$3004,Timesheet!$D$5:$D$3004,$A175,Timesheet!$A$5:$A$3004,"&gt;="&amp;Settings!$B$8,Timesheet!$A$5:$A$3004,"&lt;="&amp;Settings!$B$9))</f>
        <v/>
      </c>
      <c r="G175" s="25" t="str">
        <f aca="false">IF($A175="","",SUMIFS(Timesheet!$G$5:$G$3004,Timesheet!$D$5:$D$3004,$A175,Timesheet!$A$5:$A$3004,"&gt;="&amp;Settings!$B$8,Timesheet!$A$5:$A$3004,"&lt;="&amp;Settings!$B$9))</f>
        <v/>
      </c>
      <c r="H175" s="25" t="str">
        <f aca="false">IF($A175="","",IF(D175="Monthly",MAX(0,Settings!$B$11-E175),0))</f>
        <v/>
      </c>
      <c r="I175" s="26" t="str">
        <f aca="false">IF($A175="","",N(INDEX(Workers!$L$5:$L$2004,MATCH($A175,Workers!$A$5:$A$2004,0))))</f>
        <v/>
      </c>
      <c r="J175" s="26" t="str">
        <f aca="false">IF($A175="","",N(INDEX(Workers!$M$5:$M$2004,MATCH($A175,Workers!$A$5:$A$2004,0))))</f>
        <v/>
      </c>
      <c r="K175" s="26" t="str">
        <f aca="false">IF($A175="","",IF(D175="Monthly",ROUND(MAX(0,(I175+J175)-(I175+J175)/Settings!$B$10*H175),2),0))</f>
        <v/>
      </c>
      <c r="L175" s="26" t="str">
        <f aca="false">IF($A175="","",IF(D175="Hourly",ROUND(F175*N(INDEX(Workers!$N$5:$N$2004,MATCH($A175,Workers!$A$5:$A$2004,0))),2),0))</f>
        <v/>
      </c>
      <c r="M175" s="26" t="str">
        <f aca="false">IF($A175="","",ROUND(G175*IF(D175="Hourly",N(INDEX(Workers!$N$5:$N$2004,MATCH($A175,Workers!$A$5:$A$2004,0))),I175/Settings!$B$10/Settings!$B$12)*Settings!$B$13,2))</f>
        <v/>
      </c>
      <c r="N175" s="26" t="str">
        <f aca="false">IF($A175="","",K175+L175+M175)</f>
        <v/>
      </c>
      <c r="O175" s="26" t="str">
        <f aca="false">IF($A175="","",SUMIFS(Deductions!$D$5:$D$2000,Deductions!$B$5:$B$2000,$A175,Deductions!$C$5:$C$2000,"Advance",Deductions!$E$5:$E$2000,"&gt;="&amp;Settings!$B$8,Deductions!$E$5:$E$2000,"&lt;="&amp;Settings!$B$9))</f>
        <v/>
      </c>
      <c r="P175" s="26" t="str">
        <f aca="false">IF($A175="","",SUMIFS(Deductions!$D$5:$D$2000,Deductions!$B$5:$B$2000,$A175,Deductions!$E$5:$E$2000,"&gt;="&amp;Settings!$B$8,Deductions!$E$5:$E$2000,"&lt;="&amp;Settings!$B$9)-O175)</f>
        <v/>
      </c>
      <c r="Q175" s="26" t="str">
        <f aca="false">IF($A175="","",O175+P175)</f>
        <v/>
      </c>
      <c r="R175" s="23" t="str">
        <f aca="false">IF($A175="","",N175-Q175)</f>
        <v/>
      </c>
      <c r="S175" s="24" t="str">
        <f aca="false">IF($A175="","",INDEX(Workers!$O$5:$O$2004,MATCH($A175,Workers!$A$5:$A$2004,0))&amp;"")</f>
        <v/>
      </c>
      <c r="T175" s="24" t="str">
        <f aca="false">IF($A175="","",INDEX(Workers!$P$5:$P$2004,MATCH($A175,Workers!$A$5:$A$2004,0))&amp;"")</f>
        <v/>
      </c>
      <c r="U175" s="24" t="str">
        <f aca="false">IF($A175="","",INDEX(Workers!$H$5:$H$2004,MATCH($A175,Workers!$A$5:$A$2004,0))&amp;"")</f>
        <v/>
      </c>
    </row>
    <row r="176" customFormat="false" ht="15" hidden="false" customHeight="false" outlineLevel="0" collapsed="false">
      <c r="A176" s="24" t="str">
        <f aca="false">IFERROR(INDEX(Workers!$A$5:$A$2004,MATCH(ROW()-4,Workers!$U$5:$U$2004,0)),"")</f>
        <v/>
      </c>
      <c r="B176" s="24" t="str">
        <f aca="false">IF($A176="","",INDEX(Workers!$B$5:$B$2004,MATCH($A176,Workers!$A$5:$A$2004,0)))</f>
        <v/>
      </c>
      <c r="C176" s="24" t="str">
        <f aca="false">IF($A176="","",INDEX(Workers!$E$5:$E$2004,MATCH($A176,Workers!$A$5:$A$2004,0)))</f>
        <v/>
      </c>
      <c r="D176" s="24" t="str">
        <f aca="false">IF($A176="","",INDEX(Workers!$K$5:$K$2004,MATCH($A176,Workers!$A$5:$A$2004,0)))</f>
        <v/>
      </c>
      <c r="E176" s="25" t="str">
        <f aca="false">IF($A176="","",SUMIFS(Timesheet!$E$5:$E$3004,Timesheet!$D$5:$D$3004,$A176,Timesheet!$A$5:$A$3004,"&gt;="&amp;Settings!$B$8,Timesheet!$A$5:$A$3004,"&lt;="&amp;Settings!$B$9))</f>
        <v/>
      </c>
      <c r="F176" s="25" t="str">
        <f aca="false">IF($A176="","",SUMIFS(Timesheet!$F$5:$F$3004,Timesheet!$D$5:$D$3004,$A176,Timesheet!$A$5:$A$3004,"&gt;="&amp;Settings!$B$8,Timesheet!$A$5:$A$3004,"&lt;="&amp;Settings!$B$9))</f>
        <v/>
      </c>
      <c r="G176" s="25" t="str">
        <f aca="false">IF($A176="","",SUMIFS(Timesheet!$G$5:$G$3004,Timesheet!$D$5:$D$3004,$A176,Timesheet!$A$5:$A$3004,"&gt;="&amp;Settings!$B$8,Timesheet!$A$5:$A$3004,"&lt;="&amp;Settings!$B$9))</f>
        <v/>
      </c>
      <c r="H176" s="25" t="str">
        <f aca="false">IF($A176="","",IF(D176="Monthly",MAX(0,Settings!$B$11-E176),0))</f>
        <v/>
      </c>
      <c r="I176" s="26" t="str">
        <f aca="false">IF($A176="","",N(INDEX(Workers!$L$5:$L$2004,MATCH($A176,Workers!$A$5:$A$2004,0))))</f>
        <v/>
      </c>
      <c r="J176" s="26" t="str">
        <f aca="false">IF($A176="","",N(INDEX(Workers!$M$5:$M$2004,MATCH($A176,Workers!$A$5:$A$2004,0))))</f>
        <v/>
      </c>
      <c r="K176" s="26" t="str">
        <f aca="false">IF($A176="","",IF(D176="Monthly",ROUND(MAX(0,(I176+J176)-(I176+J176)/Settings!$B$10*H176),2),0))</f>
        <v/>
      </c>
      <c r="L176" s="26" t="str">
        <f aca="false">IF($A176="","",IF(D176="Hourly",ROUND(F176*N(INDEX(Workers!$N$5:$N$2004,MATCH($A176,Workers!$A$5:$A$2004,0))),2),0))</f>
        <v/>
      </c>
      <c r="M176" s="26" t="str">
        <f aca="false">IF($A176="","",ROUND(G176*IF(D176="Hourly",N(INDEX(Workers!$N$5:$N$2004,MATCH($A176,Workers!$A$5:$A$2004,0))),I176/Settings!$B$10/Settings!$B$12)*Settings!$B$13,2))</f>
        <v/>
      </c>
      <c r="N176" s="26" t="str">
        <f aca="false">IF($A176="","",K176+L176+M176)</f>
        <v/>
      </c>
      <c r="O176" s="26" t="str">
        <f aca="false">IF($A176="","",SUMIFS(Deductions!$D$5:$D$2000,Deductions!$B$5:$B$2000,$A176,Deductions!$C$5:$C$2000,"Advance",Deductions!$E$5:$E$2000,"&gt;="&amp;Settings!$B$8,Deductions!$E$5:$E$2000,"&lt;="&amp;Settings!$B$9))</f>
        <v/>
      </c>
      <c r="P176" s="26" t="str">
        <f aca="false">IF($A176="","",SUMIFS(Deductions!$D$5:$D$2000,Deductions!$B$5:$B$2000,$A176,Deductions!$E$5:$E$2000,"&gt;="&amp;Settings!$B$8,Deductions!$E$5:$E$2000,"&lt;="&amp;Settings!$B$9)-O176)</f>
        <v/>
      </c>
      <c r="Q176" s="26" t="str">
        <f aca="false">IF($A176="","",O176+P176)</f>
        <v/>
      </c>
      <c r="R176" s="23" t="str">
        <f aca="false">IF($A176="","",N176-Q176)</f>
        <v/>
      </c>
      <c r="S176" s="24" t="str">
        <f aca="false">IF($A176="","",INDEX(Workers!$O$5:$O$2004,MATCH($A176,Workers!$A$5:$A$2004,0))&amp;"")</f>
        <v/>
      </c>
      <c r="T176" s="24" t="str">
        <f aca="false">IF($A176="","",INDEX(Workers!$P$5:$P$2004,MATCH($A176,Workers!$A$5:$A$2004,0))&amp;"")</f>
        <v/>
      </c>
      <c r="U176" s="24" t="str">
        <f aca="false">IF($A176="","",INDEX(Workers!$H$5:$H$2004,MATCH($A176,Workers!$A$5:$A$2004,0))&amp;"")</f>
        <v/>
      </c>
    </row>
    <row r="177" customFormat="false" ht="15" hidden="false" customHeight="false" outlineLevel="0" collapsed="false">
      <c r="A177" s="24" t="str">
        <f aca="false">IFERROR(INDEX(Workers!$A$5:$A$2004,MATCH(ROW()-4,Workers!$U$5:$U$2004,0)),"")</f>
        <v/>
      </c>
      <c r="B177" s="24" t="str">
        <f aca="false">IF($A177="","",INDEX(Workers!$B$5:$B$2004,MATCH($A177,Workers!$A$5:$A$2004,0)))</f>
        <v/>
      </c>
      <c r="C177" s="24" t="str">
        <f aca="false">IF($A177="","",INDEX(Workers!$E$5:$E$2004,MATCH($A177,Workers!$A$5:$A$2004,0)))</f>
        <v/>
      </c>
      <c r="D177" s="24" t="str">
        <f aca="false">IF($A177="","",INDEX(Workers!$K$5:$K$2004,MATCH($A177,Workers!$A$5:$A$2004,0)))</f>
        <v/>
      </c>
      <c r="E177" s="25" t="str">
        <f aca="false">IF($A177="","",SUMIFS(Timesheet!$E$5:$E$3004,Timesheet!$D$5:$D$3004,$A177,Timesheet!$A$5:$A$3004,"&gt;="&amp;Settings!$B$8,Timesheet!$A$5:$A$3004,"&lt;="&amp;Settings!$B$9))</f>
        <v/>
      </c>
      <c r="F177" s="25" t="str">
        <f aca="false">IF($A177="","",SUMIFS(Timesheet!$F$5:$F$3004,Timesheet!$D$5:$D$3004,$A177,Timesheet!$A$5:$A$3004,"&gt;="&amp;Settings!$B$8,Timesheet!$A$5:$A$3004,"&lt;="&amp;Settings!$B$9))</f>
        <v/>
      </c>
      <c r="G177" s="25" t="str">
        <f aca="false">IF($A177="","",SUMIFS(Timesheet!$G$5:$G$3004,Timesheet!$D$5:$D$3004,$A177,Timesheet!$A$5:$A$3004,"&gt;="&amp;Settings!$B$8,Timesheet!$A$5:$A$3004,"&lt;="&amp;Settings!$B$9))</f>
        <v/>
      </c>
      <c r="H177" s="25" t="str">
        <f aca="false">IF($A177="","",IF(D177="Monthly",MAX(0,Settings!$B$11-E177),0))</f>
        <v/>
      </c>
      <c r="I177" s="26" t="str">
        <f aca="false">IF($A177="","",N(INDEX(Workers!$L$5:$L$2004,MATCH($A177,Workers!$A$5:$A$2004,0))))</f>
        <v/>
      </c>
      <c r="J177" s="26" t="str">
        <f aca="false">IF($A177="","",N(INDEX(Workers!$M$5:$M$2004,MATCH($A177,Workers!$A$5:$A$2004,0))))</f>
        <v/>
      </c>
      <c r="K177" s="26" t="str">
        <f aca="false">IF($A177="","",IF(D177="Monthly",ROUND(MAX(0,(I177+J177)-(I177+J177)/Settings!$B$10*H177),2),0))</f>
        <v/>
      </c>
      <c r="L177" s="26" t="str">
        <f aca="false">IF($A177="","",IF(D177="Hourly",ROUND(F177*N(INDEX(Workers!$N$5:$N$2004,MATCH($A177,Workers!$A$5:$A$2004,0))),2),0))</f>
        <v/>
      </c>
      <c r="M177" s="26" t="str">
        <f aca="false">IF($A177="","",ROUND(G177*IF(D177="Hourly",N(INDEX(Workers!$N$5:$N$2004,MATCH($A177,Workers!$A$5:$A$2004,0))),I177/Settings!$B$10/Settings!$B$12)*Settings!$B$13,2))</f>
        <v/>
      </c>
      <c r="N177" s="26" t="str">
        <f aca="false">IF($A177="","",K177+L177+M177)</f>
        <v/>
      </c>
      <c r="O177" s="26" t="str">
        <f aca="false">IF($A177="","",SUMIFS(Deductions!$D$5:$D$2000,Deductions!$B$5:$B$2000,$A177,Deductions!$C$5:$C$2000,"Advance",Deductions!$E$5:$E$2000,"&gt;="&amp;Settings!$B$8,Deductions!$E$5:$E$2000,"&lt;="&amp;Settings!$B$9))</f>
        <v/>
      </c>
      <c r="P177" s="26" t="str">
        <f aca="false">IF($A177="","",SUMIFS(Deductions!$D$5:$D$2000,Deductions!$B$5:$B$2000,$A177,Deductions!$E$5:$E$2000,"&gt;="&amp;Settings!$B$8,Deductions!$E$5:$E$2000,"&lt;="&amp;Settings!$B$9)-O177)</f>
        <v/>
      </c>
      <c r="Q177" s="26" t="str">
        <f aca="false">IF($A177="","",O177+P177)</f>
        <v/>
      </c>
      <c r="R177" s="23" t="str">
        <f aca="false">IF($A177="","",N177-Q177)</f>
        <v/>
      </c>
      <c r="S177" s="24" t="str">
        <f aca="false">IF($A177="","",INDEX(Workers!$O$5:$O$2004,MATCH($A177,Workers!$A$5:$A$2004,0))&amp;"")</f>
        <v/>
      </c>
      <c r="T177" s="24" t="str">
        <f aca="false">IF($A177="","",INDEX(Workers!$P$5:$P$2004,MATCH($A177,Workers!$A$5:$A$2004,0))&amp;"")</f>
        <v/>
      </c>
      <c r="U177" s="24" t="str">
        <f aca="false">IF($A177="","",INDEX(Workers!$H$5:$H$2004,MATCH($A177,Workers!$A$5:$A$2004,0))&amp;"")</f>
        <v/>
      </c>
    </row>
    <row r="178" customFormat="false" ht="15" hidden="false" customHeight="false" outlineLevel="0" collapsed="false">
      <c r="A178" s="24" t="str">
        <f aca="false">IFERROR(INDEX(Workers!$A$5:$A$2004,MATCH(ROW()-4,Workers!$U$5:$U$2004,0)),"")</f>
        <v/>
      </c>
      <c r="B178" s="24" t="str">
        <f aca="false">IF($A178="","",INDEX(Workers!$B$5:$B$2004,MATCH($A178,Workers!$A$5:$A$2004,0)))</f>
        <v/>
      </c>
      <c r="C178" s="24" t="str">
        <f aca="false">IF($A178="","",INDEX(Workers!$E$5:$E$2004,MATCH($A178,Workers!$A$5:$A$2004,0)))</f>
        <v/>
      </c>
      <c r="D178" s="24" t="str">
        <f aca="false">IF($A178="","",INDEX(Workers!$K$5:$K$2004,MATCH($A178,Workers!$A$5:$A$2004,0)))</f>
        <v/>
      </c>
      <c r="E178" s="25" t="str">
        <f aca="false">IF($A178="","",SUMIFS(Timesheet!$E$5:$E$3004,Timesheet!$D$5:$D$3004,$A178,Timesheet!$A$5:$A$3004,"&gt;="&amp;Settings!$B$8,Timesheet!$A$5:$A$3004,"&lt;="&amp;Settings!$B$9))</f>
        <v/>
      </c>
      <c r="F178" s="25" t="str">
        <f aca="false">IF($A178="","",SUMIFS(Timesheet!$F$5:$F$3004,Timesheet!$D$5:$D$3004,$A178,Timesheet!$A$5:$A$3004,"&gt;="&amp;Settings!$B$8,Timesheet!$A$5:$A$3004,"&lt;="&amp;Settings!$B$9))</f>
        <v/>
      </c>
      <c r="G178" s="25" t="str">
        <f aca="false">IF($A178="","",SUMIFS(Timesheet!$G$5:$G$3004,Timesheet!$D$5:$D$3004,$A178,Timesheet!$A$5:$A$3004,"&gt;="&amp;Settings!$B$8,Timesheet!$A$5:$A$3004,"&lt;="&amp;Settings!$B$9))</f>
        <v/>
      </c>
      <c r="H178" s="25" t="str">
        <f aca="false">IF($A178="","",IF(D178="Monthly",MAX(0,Settings!$B$11-E178),0))</f>
        <v/>
      </c>
      <c r="I178" s="26" t="str">
        <f aca="false">IF($A178="","",N(INDEX(Workers!$L$5:$L$2004,MATCH($A178,Workers!$A$5:$A$2004,0))))</f>
        <v/>
      </c>
      <c r="J178" s="26" t="str">
        <f aca="false">IF($A178="","",N(INDEX(Workers!$M$5:$M$2004,MATCH($A178,Workers!$A$5:$A$2004,0))))</f>
        <v/>
      </c>
      <c r="K178" s="26" t="str">
        <f aca="false">IF($A178="","",IF(D178="Monthly",ROUND(MAX(0,(I178+J178)-(I178+J178)/Settings!$B$10*H178),2),0))</f>
        <v/>
      </c>
      <c r="L178" s="26" t="str">
        <f aca="false">IF($A178="","",IF(D178="Hourly",ROUND(F178*N(INDEX(Workers!$N$5:$N$2004,MATCH($A178,Workers!$A$5:$A$2004,0))),2),0))</f>
        <v/>
      </c>
      <c r="M178" s="26" t="str">
        <f aca="false">IF($A178="","",ROUND(G178*IF(D178="Hourly",N(INDEX(Workers!$N$5:$N$2004,MATCH($A178,Workers!$A$5:$A$2004,0))),I178/Settings!$B$10/Settings!$B$12)*Settings!$B$13,2))</f>
        <v/>
      </c>
      <c r="N178" s="26" t="str">
        <f aca="false">IF($A178="","",K178+L178+M178)</f>
        <v/>
      </c>
      <c r="O178" s="26" t="str">
        <f aca="false">IF($A178="","",SUMIFS(Deductions!$D$5:$D$2000,Deductions!$B$5:$B$2000,$A178,Deductions!$C$5:$C$2000,"Advance",Deductions!$E$5:$E$2000,"&gt;="&amp;Settings!$B$8,Deductions!$E$5:$E$2000,"&lt;="&amp;Settings!$B$9))</f>
        <v/>
      </c>
      <c r="P178" s="26" t="str">
        <f aca="false">IF($A178="","",SUMIFS(Deductions!$D$5:$D$2000,Deductions!$B$5:$B$2000,$A178,Deductions!$E$5:$E$2000,"&gt;="&amp;Settings!$B$8,Deductions!$E$5:$E$2000,"&lt;="&amp;Settings!$B$9)-O178)</f>
        <v/>
      </c>
      <c r="Q178" s="26" t="str">
        <f aca="false">IF($A178="","",O178+P178)</f>
        <v/>
      </c>
      <c r="R178" s="23" t="str">
        <f aca="false">IF($A178="","",N178-Q178)</f>
        <v/>
      </c>
      <c r="S178" s="24" t="str">
        <f aca="false">IF($A178="","",INDEX(Workers!$O$5:$O$2004,MATCH($A178,Workers!$A$5:$A$2004,0))&amp;"")</f>
        <v/>
      </c>
      <c r="T178" s="24" t="str">
        <f aca="false">IF($A178="","",INDEX(Workers!$P$5:$P$2004,MATCH($A178,Workers!$A$5:$A$2004,0))&amp;"")</f>
        <v/>
      </c>
      <c r="U178" s="24" t="str">
        <f aca="false">IF($A178="","",INDEX(Workers!$H$5:$H$2004,MATCH($A178,Workers!$A$5:$A$2004,0))&amp;"")</f>
        <v/>
      </c>
    </row>
    <row r="179" customFormat="false" ht="15" hidden="false" customHeight="false" outlineLevel="0" collapsed="false">
      <c r="A179" s="24" t="str">
        <f aca="false">IFERROR(INDEX(Workers!$A$5:$A$2004,MATCH(ROW()-4,Workers!$U$5:$U$2004,0)),"")</f>
        <v/>
      </c>
      <c r="B179" s="24" t="str">
        <f aca="false">IF($A179="","",INDEX(Workers!$B$5:$B$2004,MATCH($A179,Workers!$A$5:$A$2004,0)))</f>
        <v/>
      </c>
      <c r="C179" s="24" t="str">
        <f aca="false">IF($A179="","",INDEX(Workers!$E$5:$E$2004,MATCH($A179,Workers!$A$5:$A$2004,0)))</f>
        <v/>
      </c>
      <c r="D179" s="24" t="str">
        <f aca="false">IF($A179="","",INDEX(Workers!$K$5:$K$2004,MATCH($A179,Workers!$A$5:$A$2004,0)))</f>
        <v/>
      </c>
      <c r="E179" s="25" t="str">
        <f aca="false">IF($A179="","",SUMIFS(Timesheet!$E$5:$E$3004,Timesheet!$D$5:$D$3004,$A179,Timesheet!$A$5:$A$3004,"&gt;="&amp;Settings!$B$8,Timesheet!$A$5:$A$3004,"&lt;="&amp;Settings!$B$9))</f>
        <v/>
      </c>
      <c r="F179" s="25" t="str">
        <f aca="false">IF($A179="","",SUMIFS(Timesheet!$F$5:$F$3004,Timesheet!$D$5:$D$3004,$A179,Timesheet!$A$5:$A$3004,"&gt;="&amp;Settings!$B$8,Timesheet!$A$5:$A$3004,"&lt;="&amp;Settings!$B$9))</f>
        <v/>
      </c>
      <c r="G179" s="25" t="str">
        <f aca="false">IF($A179="","",SUMIFS(Timesheet!$G$5:$G$3004,Timesheet!$D$5:$D$3004,$A179,Timesheet!$A$5:$A$3004,"&gt;="&amp;Settings!$B$8,Timesheet!$A$5:$A$3004,"&lt;="&amp;Settings!$B$9))</f>
        <v/>
      </c>
      <c r="H179" s="25" t="str">
        <f aca="false">IF($A179="","",IF(D179="Monthly",MAX(0,Settings!$B$11-E179),0))</f>
        <v/>
      </c>
      <c r="I179" s="26" t="str">
        <f aca="false">IF($A179="","",N(INDEX(Workers!$L$5:$L$2004,MATCH($A179,Workers!$A$5:$A$2004,0))))</f>
        <v/>
      </c>
      <c r="J179" s="26" t="str">
        <f aca="false">IF($A179="","",N(INDEX(Workers!$M$5:$M$2004,MATCH($A179,Workers!$A$5:$A$2004,0))))</f>
        <v/>
      </c>
      <c r="K179" s="26" t="str">
        <f aca="false">IF($A179="","",IF(D179="Monthly",ROUND(MAX(0,(I179+J179)-(I179+J179)/Settings!$B$10*H179),2),0))</f>
        <v/>
      </c>
      <c r="L179" s="26" t="str">
        <f aca="false">IF($A179="","",IF(D179="Hourly",ROUND(F179*N(INDEX(Workers!$N$5:$N$2004,MATCH($A179,Workers!$A$5:$A$2004,0))),2),0))</f>
        <v/>
      </c>
      <c r="M179" s="26" t="str">
        <f aca="false">IF($A179="","",ROUND(G179*IF(D179="Hourly",N(INDEX(Workers!$N$5:$N$2004,MATCH($A179,Workers!$A$5:$A$2004,0))),I179/Settings!$B$10/Settings!$B$12)*Settings!$B$13,2))</f>
        <v/>
      </c>
      <c r="N179" s="26" t="str">
        <f aca="false">IF($A179="","",K179+L179+M179)</f>
        <v/>
      </c>
      <c r="O179" s="26" t="str">
        <f aca="false">IF($A179="","",SUMIFS(Deductions!$D$5:$D$2000,Deductions!$B$5:$B$2000,$A179,Deductions!$C$5:$C$2000,"Advance",Deductions!$E$5:$E$2000,"&gt;="&amp;Settings!$B$8,Deductions!$E$5:$E$2000,"&lt;="&amp;Settings!$B$9))</f>
        <v/>
      </c>
      <c r="P179" s="26" t="str">
        <f aca="false">IF($A179="","",SUMIFS(Deductions!$D$5:$D$2000,Deductions!$B$5:$B$2000,$A179,Deductions!$E$5:$E$2000,"&gt;="&amp;Settings!$B$8,Deductions!$E$5:$E$2000,"&lt;="&amp;Settings!$B$9)-O179)</f>
        <v/>
      </c>
      <c r="Q179" s="26" t="str">
        <f aca="false">IF($A179="","",O179+P179)</f>
        <v/>
      </c>
      <c r="R179" s="23" t="str">
        <f aca="false">IF($A179="","",N179-Q179)</f>
        <v/>
      </c>
      <c r="S179" s="24" t="str">
        <f aca="false">IF($A179="","",INDEX(Workers!$O$5:$O$2004,MATCH($A179,Workers!$A$5:$A$2004,0))&amp;"")</f>
        <v/>
      </c>
      <c r="T179" s="24" t="str">
        <f aca="false">IF($A179="","",INDEX(Workers!$P$5:$P$2004,MATCH($A179,Workers!$A$5:$A$2004,0))&amp;"")</f>
        <v/>
      </c>
      <c r="U179" s="24" t="str">
        <f aca="false">IF($A179="","",INDEX(Workers!$H$5:$H$2004,MATCH($A179,Workers!$A$5:$A$2004,0))&amp;"")</f>
        <v/>
      </c>
    </row>
    <row r="180" customFormat="false" ht="15" hidden="false" customHeight="false" outlineLevel="0" collapsed="false">
      <c r="A180" s="24" t="str">
        <f aca="false">IFERROR(INDEX(Workers!$A$5:$A$2004,MATCH(ROW()-4,Workers!$U$5:$U$2004,0)),"")</f>
        <v/>
      </c>
      <c r="B180" s="24" t="str">
        <f aca="false">IF($A180="","",INDEX(Workers!$B$5:$B$2004,MATCH($A180,Workers!$A$5:$A$2004,0)))</f>
        <v/>
      </c>
      <c r="C180" s="24" t="str">
        <f aca="false">IF($A180="","",INDEX(Workers!$E$5:$E$2004,MATCH($A180,Workers!$A$5:$A$2004,0)))</f>
        <v/>
      </c>
      <c r="D180" s="24" t="str">
        <f aca="false">IF($A180="","",INDEX(Workers!$K$5:$K$2004,MATCH($A180,Workers!$A$5:$A$2004,0)))</f>
        <v/>
      </c>
      <c r="E180" s="25" t="str">
        <f aca="false">IF($A180="","",SUMIFS(Timesheet!$E$5:$E$3004,Timesheet!$D$5:$D$3004,$A180,Timesheet!$A$5:$A$3004,"&gt;="&amp;Settings!$B$8,Timesheet!$A$5:$A$3004,"&lt;="&amp;Settings!$B$9))</f>
        <v/>
      </c>
      <c r="F180" s="25" t="str">
        <f aca="false">IF($A180="","",SUMIFS(Timesheet!$F$5:$F$3004,Timesheet!$D$5:$D$3004,$A180,Timesheet!$A$5:$A$3004,"&gt;="&amp;Settings!$B$8,Timesheet!$A$5:$A$3004,"&lt;="&amp;Settings!$B$9))</f>
        <v/>
      </c>
      <c r="G180" s="25" t="str">
        <f aca="false">IF($A180="","",SUMIFS(Timesheet!$G$5:$G$3004,Timesheet!$D$5:$D$3004,$A180,Timesheet!$A$5:$A$3004,"&gt;="&amp;Settings!$B$8,Timesheet!$A$5:$A$3004,"&lt;="&amp;Settings!$B$9))</f>
        <v/>
      </c>
      <c r="H180" s="25" t="str">
        <f aca="false">IF($A180="","",IF(D180="Monthly",MAX(0,Settings!$B$11-E180),0))</f>
        <v/>
      </c>
      <c r="I180" s="26" t="str">
        <f aca="false">IF($A180="","",N(INDEX(Workers!$L$5:$L$2004,MATCH($A180,Workers!$A$5:$A$2004,0))))</f>
        <v/>
      </c>
      <c r="J180" s="26" t="str">
        <f aca="false">IF($A180="","",N(INDEX(Workers!$M$5:$M$2004,MATCH($A180,Workers!$A$5:$A$2004,0))))</f>
        <v/>
      </c>
      <c r="K180" s="26" t="str">
        <f aca="false">IF($A180="","",IF(D180="Monthly",ROUND(MAX(0,(I180+J180)-(I180+J180)/Settings!$B$10*H180),2),0))</f>
        <v/>
      </c>
      <c r="L180" s="26" t="str">
        <f aca="false">IF($A180="","",IF(D180="Hourly",ROUND(F180*N(INDEX(Workers!$N$5:$N$2004,MATCH($A180,Workers!$A$5:$A$2004,0))),2),0))</f>
        <v/>
      </c>
      <c r="M180" s="26" t="str">
        <f aca="false">IF($A180="","",ROUND(G180*IF(D180="Hourly",N(INDEX(Workers!$N$5:$N$2004,MATCH($A180,Workers!$A$5:$A$2004,0))),I180/Settings!$B$10/Settings!$B$12)*Settings!$B$13,2))</f>
        <v/>
      </c>
      <c r="N180" s="26" t="str">
        <f aca="false">IF($A180="","",K180+L180+M180)</f>
        <v/>
      </c>
      <c r="O180" s="26" t="str">
        <f aca="false">IF($A180="","",SUMIFS(Deductions!$D$5:$D$2000,Deductions!$B$5:$B$2000,$A180,Deductions!$C$5:$C$2000,"Advance",Deductions!$E$5:$E$2000,"&gt;="&amp;Settings!$B$8,Deductions!$E$5:$E$2000,"&lt;="&amp;Settings!$B$9))</f>
        <v/>
      </c>
      <c r="P180" s="26" t="str">
        <f aca="false">IF($A180="","",SUMIFS(Deductions!$D$5:$D$2000,Deductions!$B$5:$B$2000,$A180,Deductions!$E$5:$E$2000,"&gt;="&amp;Settings!$B$8,Deductions!$E$5:$E$2000,"&lt;="&amp;Settings!$B$9)-O180)</f>
        <v/>
      </c>
      <c r="Q180" s="26" t="str">
        <f aca="false">IF($A180="","",O180+P180)</f>
        <v/>
      </c>
      <c r="R180" s="23" t="str">
        <f aca="false">IF($A180="","",N180-Q180)</f>
        <v/>
      </c>
      <c r="S180" s="24" t="str">
        <f aca="false">IF($A180="","",INDEX(Workers!$O$5:$O$2004,MATCH($A180,Workers!$A$5:$A$2004,0))&amp;"")</f>
        <v/>
      </c>
      <c r="T180" s="24" t="str">
        <f aca="false">IF($A180="","",INDEX(Workers!$P$5:$P$2004,MATCH($A180,Workers!$A$5:$A$2004,0))&amp;"")</f>
        <v/>
      </c>
      <c r="U180" s="24" t="str">
        <f aca="false">IF($A180="","",INDEX(Workers!$H$5:$H$2004,MATCH($A180,Workers!$A$5:$A$2004,0))&amp;"")</f>
        <v/>
      </c>
    </row>
    <row r="181" customFormat="false" ht="15" hidden="false" customHeight="false" outlineLevel="0" collapsed="false">
      <c r="A181" s="24" t="str">
        <f aca="false">IFERROR(INDEX(Workers!$A$5:$A$2004,MATCH(ROW()-4,Workers!$U$5:$U$2004,0)),"")</f>
        <v/>
      </c>
      <c r="B181" s="24" t="str">
        <f aca="false">IF($A181="","",INDEX(Workers!$B$5:$B$2004,MATCH($A181,Workers!$A$5:$A$2004,0)))</f>
        <v/>
      </c>
      <c r="C181" s="24" t="str">
        <f aca="false">IF($A181="","",INDEX(Workers!$E$5:$E$2004,MATCH($A181,Workers!$A$5:$A$2004,0)))</f>
        <v/>
      </c>
      <c r="D181" s="24" t="str">
        <f aca="false">IF($A181="","",INDEX(Workers!$K$5:$K$2004,MATCH($A181,Workers!$A$5:$A$2004,0)))</f>
        <v/>
      </c>
      <c r="E181" s="25" t="str">
        <f aca="false">IF($A181="","",SUMIFS(Timesheet!$E$5:$E$3004,Timesheet!$D$5:$D$3004,$A181,Timesheet!$A$5:$A$3004,"&gt;="&amp;Settings!$B$8,Timesheet!$A$5:$A$3004,"&lt;="&amp;Settings!$B$9))</f>
        <v/>
      </c>
      <c r="F181" s="25" t="str">
        <f aca="false">IF($A181="","",SUMIFS(Timesheet!$F$5:$F$3004,Timesheet!$D$5:$D$3004,$A181,Timesheet!$A$5:$A$3004,"&gt;="&amp;Settings!$B$8,Timesheet!$A$5:$A$3004,"&lt;="&amp;Settings!$B$9))</f>
        <v/>
      </c>
      <c r="G181" s="25" t="str">
        <f aca="false">IF($A181="","",SUMIFS(Timesheet!$G$5:$G$3004,Timesheet!$D$5:$D$3004,$A181,Timesheet!$A$5:$A$3004,"&gt;="&amp;Settings!$B$8,Timesheet!$A$5:$A$3004,"&lt;="&amp;Settings!$B$9))</f>
        <v/>
      </c>
      <c r="H181" s="25" t="str">
        <f aca="false">IF($A181="","",IF(D181="Monthly",MAX(0,Settings!$B$11-E181),0))</f>
        <v/>
      </c>
      <c r="I181" s="26" t="str">
        <f aca="false">IF($A181="","",N(INDEX(Workers!$L$5:$L$2004,MATCH($A181,Workers!$A$5:$A$2004,0))))</f>
        <v/>
      </c>
      <c r="J181" s="26" t="str">
        <f aca="false">IF($A181="","",N(INDEX(Workers!$M$5:$M$2004,MATCH($A181,Workers!$A$5:$A$2004,0))))</f>
        <v/>
      </c>
      <c r="K181" s="26" t="str">
        <f aca="false">IF($A181="","",IF(D181="Monthly",ROUND(MAX(0,(I181+J181)-(I181+J181)/Settings!$B$10*H181),2),0))</f>
        <v/>
      </c>
      <c r="L181" s="26" t="str">
        <f aca="false">IF($A181="","",IF(D181="Hourly",ROUND(F181*N(INDEX(Workers!$N$5:$N$2004,MATCH($A181,Workers!$A$5:$A$2004,0))),2),0))</f>
        <v/>
      </c>
      <c r="M181" s="26" t="str">
        <f aca="false">IF($A181="","",ROUND(G181*IF(D181="Hourly",N(INDEX(Workers!$N$5:$N$2004,MATCH($A181,Workers!$A$5:$A$2004,0))),I181/Settings!$B$10/Settings!$B$12)*Settings!$B$13,2))</f>
        <v/>
      </c>
      <c r="N181" s="26" t="str">
        <f aca="false">IF($A181="","",K181+L181+M181)</f>
        <v/>
      </c>
      <c r="O181" s="26" t="str">
        <f aca="false">IF($A181="","",SUMIFS(Deductions!$D$5:$D$2000,Deductions!$B$5:$B$2000,$A181,Deductions!$C$5:$C$2000,"Advance",Deductions!$E$5:$E$2000,"&gt;="&amp;Settings!$B$8,Deductions!$E$5:$E$2000,"&lt;="&amp;Settings!$B$9))</f>
        <v/>
      </c>
      <c r="P181" s="26" t="str">
        <f aca="false">IF($A181="","",SUMIFS(Deductions!$D$5:$D$2000,Deductions!$B$5:$B$2000,$A181,Deductions!$E$5:$E$2000,"&gt;="&amp;Settings!$B$8,Deductions!$E$5:$E$2000,"&lt;="&amp;Settings!$B$9)-O181)</f>
        <v/>
      </c>
      <c r="Q181" s="26" t="str">
        <f aca="false">IF($A181="","",O181+P181)</f>
        <v/>
      </c>
      <c r="R181" s="23" t="str">
        <f aca="false">IF($A181="","",N181-Q181)</f>
        <v/>
      </c>
      <c r="S181" s="24" t="str">
        <f aca="false">IF($A181="","",INDEX(Workers!$O$5:$O$2004,MATCH($A181,Workers!$A$5:$A$2004,0))&amp;"")</f>
        <v/>
      </c>
      <c r="T181" s="24" t="str">
        <f aca="false">IF($A181="","",INDEX(Workers!$P$5:$P$2004,MATCH($A181,Workers!$A$5:$A$2004,0))&amp;"")</f>
        <v/>
      </c>
      <c r="U181" s="24" t="str">
        <f aca="false">IF($A181="","",INDEX(Workers!$H$5:$H$2004,MATCH($A181,Workers!$A$5:$A$2004,0))&amp;"")</f>
        <v/>
      </c>
    </row>
    <row r="182" customFormat="false" ht="15" hidden="false" customHeight="false" outlineLevel="0" collapsed="false">
      <c r="A182" s="24" t="str">
        <f aca="false">IFERROR(INDEX(Workers!$A$5:$A$2004,MATCH(ROW()-4,Workers!$U$5:$U$2004,0)),"")</f>
        <v/>
      </c>
      <c r="B182" s="24" t="str">
        <f aca="false">IF($A182="","",INDEX(Workers!$B$5:$B$2004,MATCH($A182,Workers!$A$5:$A$2004,0)))</f>
        <v/>
      </c>
      <c r="C182" s="24" t="str">
        <f aca="false">IF($A182="","",INDEX(Workers!$E$5:$E$2004,MATCH($A182,Workers!$A$5:$A$2004,0)))</f>
        <v/>
      </c>
      <c r="D182" s="24" t="str">
        <f aca="false">IF($A182="","",INDEX(Workers!$K$5:$K$2004,MATCH($A182,Workers!$A$5:$A$2004,0)))</f>
        <v/>
      </c>
      <c r="E182" s="25" t="str">
        <f aca="false">IF($A182="","",SUMIFS(Timesheet!$E$5:$E$3004,Timesheet!$D$5:$D$3004,$A182,Timesheet!$A$5:$A$3004,"&gt;="&amp;Settings!$B$8,Timesheet!$A$5:$A$3004,"&lt;="&amp;Settings!$B$9))</f>
        <v/>
      </c>
      <c r="F182" s="25" t="str">
        <f aca="false">IF($A182="","",SUMIFS(Timesheet!$F$5:$F$3004,Timesheet!$D$5:$D$3004,$A182,Timesheet!$A$5:$A$3004,"&gt;="&amp;Settings!$B$8,Timesheet!$A$5:$A$3004,"&lt;="&amp;Settings!$B$9))</f>
        <v/>
      </c>
      <c r="G182" s="25" t="str">
        <f aca="false">IF($A182="","",SUMIFS(Timesheet!$G$5:$G$3004,Timesheet!$D$5:$D$3004,$A182,Timesheet!$A$5:$A$3004,"&gt;="&amp;Settings!$B$8,Timesheet!$A$5:$A$3004,"&lt;="&amp;Settings!$B$9))</f>
        <v/>
      </c>
      <c r="H182" s="25" t="str">
        <f aca="false">IF($A182="","",IF(D182="Monthly",MAX(0,Settings!$B$11-E182),0))</f>
        <v/>
      </c>
      <c r="I182" s="26" t="str">
        <f aca="false">IF($A182="","",N(INDEX(Workers!$L$5:$L$2004,MATCH($A182,Workers!$A$5:$A$2004,0))))</f>
        <v/>
      </c>
      <c r="J182" s="26" t="str">
        <f aca="false">IF($A182="","",N(INDEX(Workers!$M$5:$M$2004,MATCH($A182,Workers!$A$5:$A$2004,0))))</f>
        <v/>
      </c>
      <c r="K182" s="26" t="str">
        <f aca="false">IF($A182="","",IF(D182="Monthly",ROUND(MAX(0,(I182+J182)-(I182+J182)/Settings!$B$10*H182),2),0))</f>
        <v/>
      </c>
      <c r="L182" s="26" t="str">
        <f aca="false">IF($A182="","",IF(D182="Hourly",ROUND(F182*N(INDEX(Workers!$N$5:$N$2004,MATCH($A182,Workers!$A$5:$A$2004,0))),2),0))</f>
        <v/>
      </c>
      <c r="M182" s="26" t="str">
        <f aca="false">IF($A182="","",ROUND(G182*IF(D182="Hourly",N(INDEX(Workers!$N$5:$N$2004,MATCH($A182,Workers!$A$5:$A$2004,0))),I182/Settings!$B$10/Settings!$B$12)*Settings!$B$13,2))</f>
        <v/>
      </c>
      <c r="N182" s="26" t="str">
        <f aca="false">IF($A182="","",K182+L182+M182)</f>
        <v/>
      </c>
      <c r="O182" s="26" t="str">
        <f aca="false">IF($A182="","",SUMIFS(Deductions!$D$5:$D$2000,Deductions!$B$5:$B$2000,$A182,Deductions!$C$5:$C$2000,"Advance",Deductions!$E$5:$E$2000,"&gt;="&amp;Settings!$B$8,Deductions!$E$5:$E$2000,"&lt;="&amp;Settings!$B$9))</f>
        <v/>
      </c>
      <c r="P182" s="26" t="str">
        <f aca="false">IF($A182="","",SUMIFS(Deductions!$D$5:$D$2000,Deductions!$B$5:$B$2000,$A182,Deductions!$E$5:$E$2000,"&gt;="&amp;Settings!$B$8,Deductions!$E$5:$E$2000,"&lt;="&amp;Settings!$B$9)-O182)</f>
        <v/>
      </c>
      <c r="Q182" s="26" t="str">
        <f aca="false">IF($A182="","",O182+P182)</f>
        <v/>
      </c>
      <c r="R182" s="23" t="str">
        <f aca="false">IF($A182="","",N182-Q182)</f>
        <v/>
      </c>
      <c r="S182" s="24" t="str">
        <f aca="false">IF($A182="","",INDEX(Workers!$O$5:$O$2004,MATCH($A182,Workers!$A$5:$A$2004,0))&amp;"")</f>
        <v/>
      </c>
      <c r="T182" s="24" t="str">
        <f aca="false">IF($A182="","",INDEX(Workers!$P$5:$P$2004,MATCH($A182,Workers!$A$5:$A$2004,0))&amp;"")</f>
        <v/>
      </c>
      <c r="U182" s="24" t="str">
        <f aca="false">IF($A182="","",INDEX(Workers!$H$5:$H$2004,MATCH($A182,Workers!$A$5:$A$2004,0))&amp;"")</f>
        <v/>
      </c>
    </row>
    <row r="183" customFormat="false" ht="15" hidden="false" customHeight="false" outlineLevel="0" collapsed="false">
      <c r="A183" s="24" t="str">
        <f aca="false">IFERROR(INDEX(Workers!$A$5:$A$2004,MATCH(ROW()-4,Workers!$U$5:$U$2004,0)),"")</f>
        <v/>
      </c>
      <c r="B183" s="24" t="str">
        <f aca="false">IF($A183="","",INDEX(Workers!$B$5:$B$2004,MATCH($A183,Workers!$A$5:$A$2004,0)))</f>
        <v/>
      </c>
      <c r="C183" s="24" t="str">
        <f aca="false">IF($A183="","",INDEX(Workers!$E$5:$E$2004,MATCH($A183,Workers!$A$5:$A$2004,0)))</f>
        <v/>
      </c>
      <c r="D183" s="24" t="str">
        <f aca="false">IF($A183="","",INDEX(Workers!$K$5:$K$2004,MATCH($A183,Workers!$A$5:$A$2004,0)))</f>
        <v/>
      </c>
      <c r="E183" s="25" t="str">
        <f aca="false">IF($A183="","",SUMIFS(Timesheet!$E$5:$E$3004,Timesheet!$D$5:$D$3004,$A183,Timesheet!$A$5:$A$3004,"&gt;="&amp;Settings!$B$8,Timesheet!$A$5:$A$3004,"&lt;="&amp;Settings!$B$9))</f>
        <v/>
      </c>
      <c r="F183" s="25" t="str">
        <f aca="false">IF($A183="","",SUMIFS(Timesheet!$F$5:$F$3004,Timesheet!$D$5:$D$3004,$A183,Timesheet!$A$5:$A$3004,"&gt;="&amp;Settings!$B$8,Timesheet!$A$5:$A$3004,"&lt;="&amp;Settings!$B$9))</f>
        <v/>
      </c>
      <c r="G183" s="25" t="str">
        <f aca="false">IF($A183="","",SUMIFS(Timesheet!$G$5:$G$3004,Timesheet!$D$5:$D$3004,$A183,Timesheet!$A$5:$A$3004,"&gt;="&amp;Settings!$B$8,Timesheet!$A$5:$A$3004,"&lt;="&amp;Settings!$B$9))</f>
        <v/>
      </c>
      <c r="H183" s="25" t="str">
        <f aca="false">IF($A183="","",IF(D183="Monthly",MAX(0,Settings!$B$11-E183),0))</f>
        <v/>
      </c>
      <c r="I183" s="26" t="str">
        <f aca="false">IF($A183="","",N(INDEX(Workers!$L$5:$L$2004,MATCH($A183,Workers!$A$5:$A$2004,0))))</f>
        <v/>
      </c>
      <c r="J183" s="26" t="str">
        <f aca="false">IF($A183="","",N(INDEX(Workers!$M$5:$M$2004,MATCH($A183,Workers!$A$5:$A$2004,0))))</f>
        <v/>
      </c>
      <c r="K183" s="26" t="str">
        <f aca="false">IF($A183="","",IF(D183="Monthly",ROUND(MAX(0,(I183+J183)-(I183+J183)/Settings!$B$10*H183),2),0))</f>
        <v/>
      </c>
      <c r="L183" s="26" t="str">
        <f aca="false">IF($A183="","",IF(D183="Hourly",ROUND(F183*N(INDEX(Workers!$N$5:$N$2004,MATCH($A183,Workers!$A$5:$A$2004,0))),2),0))</f>
        <v/>
      </c>
      <c r="M183" s="26" t="str">
        <f aca="false">IF($A183="","",ROUND(G183*IF(D183="Hourly",N(INDEX(Workers!$N$5:$N$2004,MATCH($A183,Workers!$A$5:$A$2004,0))),I183/Settings!$B$10/Settings!$B$12)*Settings!$B$13,2))</f>
        <v/>
      </c>
      <c r="N183" s="26" t="str">
        <f aca="false">IF($A183="","",K183+L183+M183)</f>
        <v/>
      </c>
      <c r="O183" s="26" t="str">
        <f aca="false">IF($A183="","",SUMIFS(Deductions!$D$5:$D$2000,Deductions!$B$5:$B$2000,$A183,Deductions!$C$5:$C$2000,"Advance",Deductions!$E$5:$E$2000,"&gt;="&amp;Settings!$B$8,Deductions!$E$5:$E$2000,"&lt;="&amp;Settings!$B$9))</f>
        <v/>
      </c>
      <c r="P183" s="26" t="str">
        <f aca="false">IF($A183="","",SUMIFS(Deductions!$D$5:$D$2000,Deductions!$B$5:$B$2000,$A183,Deductions!$E$5:$E$2000,"&gt;="&amp;Settings!$B$8,Deductions!$E$5:$E$2000,"&lt;="&amp;Settings!$B$9)-O183)</f>
        <v/>
      </c>
      <c r="Q183" s="26" t="str">
        <f aca="false">IF($A183="","",O183+P183)</f>
        <v/>
      </c>
      <c r="R183" s="23" t="str">
        <f aca="false">IF($A183="","",N183-Q183)</f>
        <v/>
      </c>
      <c r="S183" s="24" t="str">
        <f aca="false">IF($A183="","",INDEX(Workers!$O$5:$O$2004,MATCH($A183,Workers!$A$5:$A$2004,0))&amp;"")</f>
        <v/>
      </c>
      <c r="T183" s="24" t="str">
        <f aca="false">IF($A183="","",INDEX(Workers!$P$5:$P$2004,MATCH($A183,Workers!$A$5:$A$2004,0))&amp;"")</f>
        <v/>
      </c>
      <c r="U183" s="24" t="str">
        <f aca="false">IF($A183="","",INDEX(Workers!$H$5:$H$2004,MATCH($A183,Workers!$A$5:$A$2004,0))&amp;"")</f>
        <v/>
      </c>
    </row>
    <row r="184" customFormat="false" ht="15" hidden="false" customHeight="false" outlineLevel="0" collapsed="false">
      <c r="A184" s="24" t="str">
        <f aca="false">IFERROR(INDEX(Workers!$A$5:$A$2004,MATCH(ROW()-4,Workers!$U$5:$U$2004,0)),"")</f>
        <v/>
      </c>
      <c r="B184" s="24" t="str">
        <f aca="false">IF($A184="","",INDEX(Workers!$B$5:$B$2004,MATCH($A184,Workers!$A$5:$A$2004,0)))</f>
        <v/>
      </c>
      <c r="C184" s="24" t="str">
        <f aca="false">IF($A184="","",INDEX(Workers!$E$5:$E$2004,MATCH($A184,Workers!$A$5:$A$2004,0)))</f>
        <v/>
      </c>
      <c r="D184" s="24" t="str">
        <f aca="false">IF($A184="","",INDEX(Workers!$K$5:$K$2004,MATCH($A184,Workers!$A$5:$A$2004,0)))</f>
        <v/>
      </c>
      <c r="E184" s="25" t="str">
        <f aca="false">IF($A184="","",SUMIFS(Timesheet!$E$5:$E$3004,Timesheet!$D$5:$D$3004,$A184,Timesheet!$A$5:$A$3004,"&gt;="&amp;Settings!$B$8,Timesheet!$A$5:$A$3004,"&lt;="&amp;Settings!$B$9))</f>
        <v/>
      </c>
      <c r="F184" s="25" t="str">
        <f aca="false">IF($A184="","",SUMIFS(Timesheet!$F$5:$F$3004,Timesheet!$D$5:$D$3004,$A184,Timesheet!$A$5:$A$3004,"&gt;="&amp;Settings!$B$8,Timesheet!$A$5:$A$3004,"&lt;="&amp;Settings!$B$9))</f>
        <v/>
      </c>
      <c r="G184" s="25" t="str">
        <f aca="false">IF($A184="","",SUMIFS(Timesheet!$G$5:$G$3004,Timesheet!$D$5:$D$3004,$A184,Timesheet!$A$5:$A$3004,"&gt;="&amp;Settings!$B$8,Timesheet!$A$5:$A$3004,"&lt;="&amp;Settings!$B$9))</f>
        <v/>
      </c>
      <c r="H184" s="25" t="str">
        <f aca="false">IF($A184="","",IF(D184="Monthly",MAX(0,Settings!$B$11-E184),0))</f>
        <v/>
      </c>
      <c r="I184" s="26" t="str">
        <f aca="false">IF($A184="","",N(INDEX(Workers!$L$5:$L$2004,MATCH($A184,Workers!$A$5:$A$2004,0))))</f>
        <v/>
      </c>
      <c r="J184" s="26" t="str">
        <f aca="false">IF($A184="","",N(INDEX(Workers!$M$5:$M$2004,MATCH($A184,Workers!$A$5:$A$2004,0))))</f>
        <v/>
      </c>
      <c r="K184" s="26" t="str">
        <f aca="false">IF($A184="","",IF(D184="Monthly",ROUND(MAX(0,(I184+J184)-(I184+J184)/Settings!$B$10*H184),2),0))</f>
        <v/>
      </c>
      <c r="L184" s="26" t="str">
        <f aca="false">IF($A184="","",IF(D184="Hourly",ROUND(F184*N(INDEX(Workers!$N$5:$N$2004,MATCH($A184,Workers!$A$5:$A$2004,0))),2),0))</f>
        <v/>
      </c>
      <c r="M184" s="26" t="str">
        <f aca="false">IF($A184="","",ROUND(G184*IF(D184="Hourly",N(INDEX(Workers!$N$5:$N$2004,MATCH($A184,Workers!$A$5:$A$2004,0))),I184/Settings!$B$10/Settings!$B$12)*Settings!$B$13,2))</f>
        <v/>
      </c>
      <c r="N184" s="26" t="str">
        <f aca="false">IF($A184="","",K184+L184+M184)</f>
        <v/>
      </c>
      <c r="O184" s="26" t="str">
        <f aca="false">IF($A184="","",SUMIFS(Deductions!$D$5:$D$2000,Deductions!$B$5:$B$2000,$A184,Deductions!$C$5:$C$2000,"Advance",Deductions!$E$5:$E$2000,"&gt;="&amp;Settings!$B$8,Deductions!$E$5:$E$2000,"&lt;="&amp;Settings!$B$9))</f>
        <v/>
      </c>
      <c r="P184" s="26" t="str">
        <f aca="false">IF($A184="","",SUMIFS(Deductions!$D$5:$D$2000,Deductions!$B$5:$B$2000,$A184,Deductions!$E$5:$E$2000,"&gt;="&amp;Settings!$B$8,Deductions!$E$5:$E$2000,"&lt;="&amp;Settings!$B$9)-O184)</f>
        <v/>
      </c>
      <c r="Q184" s="26" t="str">
        <f aca="false">IF($A184="","",O184+P184)</f>
        <v/>
      </c>
      <c r="R184" s="23" t="str">
        <f aca="false">IF($A184="","",N184-Q184)</f>
        <v/>
      </c>
      <c r="S184" s="24" t="str">
        <f aca="false">IF($A184="","",INDEX(Workers!$O$5:$O$2004,MATCH($A184,Workers!$A$5:$A$2004,0))&amp;"")</f>
        <v/>
      </c>
      <c r="T184" s="24" t="str">
        <f aca="false">IF($A184="","",INDEX(Workers!$P$5:$P$2004,MATCH($A184,Workers!$A$5:$A$2004,0))&amp;"")</f>
        <v/>
      </c>
      <c r="U184" s="24" t="str">
        <f aca="false">IF($A184="","",INDEX(Workers!$H$5:$H$2004,MATCH($A184,Workers!$A$5:$A$2004,0))&amp;"")</f>
        <v/>
      </c>
    </row>
    <row r="185" customFormat="false" ht="15" hidden="false" customHeight="false" outlineLevel="0" collapsed="false">
      <c r="A185" s="24" t="str">
        <f aca="false">IFERROR(INDEX(Workers!$A$5:$A$2004,MATCH(ROW()-4,Workers!$U$5:$U$2004,0)),"")</f>
        <v/>
      </c>
      <c r="B185" s="24" t="str">
        <f aca="false">IF($A185="","",INDEX(Workers!$B$5:$B$2004,MATCH($A185,Workers!$A$5:$A$2004,0)))</f>
        <v/>
      </c>
      <c r="C185" s="24" t="str">
        <f aca="false">IF($A185="","",INDEX(Workers!$E$5:$E$2004,MATCH($A185,Workers!$A$5:$A$2004,0)))</f>
        <v/>
      </c>
      <c r="D185" s="24" t="str">
        <f aca="false">IF($A185="","",INDEX(Workers!$K$5:$K$2004,MATCH($A185,Workers!$A$5:$A$2004,0)))</f>
        <v/>
      </c>
      <c r="E185" s="25" t="str">
        <f aca="false">IF($A185="","",SUMIFS(Timesheet!$E$5:$E$3004,Timesheet!$D$5:$D$3004,$A185,Timesheet!$A$5:$A$3004,"&gt;="&amp;Settings!$B$8,Timesheet!$A$5:$A$3004,"&lt;="&amp;Settings!$B$9))</f>
        <v/>
      </c>
      <c r="F185" s="25" t="str">
        <f aca="false">IF($A185="","",SUMIFS(Timesheet!$F$5:$F$3004,Timesheet!$D$5:$D$3004,$A185,Timesheet!$A$5:$A$3004,"&gt;="&amp;Settings!$B$8,Timesheet!$A$5:$A$3004,"&lt;="&amp;Settings!$B$9))</f>
        <v/>
      </c>
      <c r="G185" s="25" t="str">
        <f aca="false">IF($A185="","",SUMIFS(Timesheet!$G$5:$G$3004,Timesheet!$D$5:$D$3004,$A185,Timesheet!$A$5:$A$3004,"&gt;="&amp;Settings!$B$8,Timesheet!$A$5:$A$3004,"&lt;="&amp;Settings!$B$9))</f>
        <v/>
      </c>
      <c r="H185" s="25" t="str">
        <f aca="false">IF($A185="","",IF(D185="Monthly",MAX(0,Settings!$B$11-E185),0))</f>
        <v/>
      </c>
      <c r="I185" s="26" t="str">
        <f aca="false">IF($A185="","",N(INDEX(Workers!$L$5:$L$2004,MATCH($A185,Workers!$A$5:$A$2004,0))))</f>
        <v/>
      </c>
      <c r="J185" s="26" t="str">
        <f aca="false">IF($A185="","",N(INDEX(Workers!$M$5:$M$2004,MATCH($A185,Workers!$A$5:$A$2004,0))))</f>
        <v/>
      </c>
      <c r="K185" s="26" t="str">
        <f aca="false">IF($A185="","",IF(D185="Monthly",ROUND(MAX(0,(I185+J185)-(I185+J185)/Settings!$B$10*H185),2),0))</f>
        <v/>
      </c>
      <c r="L185" s="26" t="str">
        <f aca="false">IF($A185="","",IF(D185="Hourly",ROUND(F185*N(INDEX(Workers!$N$5:$N$2004,MATCH($A185,Workers!$A$5:$A$2004,0))),2),0))</f>
        <v/>
      </c>
      <c r="M185" s="26" t="str">
        <f aca="false">IF($A185="","",ROUND(G185*IF(D185="Hourly",N(INDEX(Workers!$N$5:$N$2004,MATCH($A185,Workers!$A$5:$A$2004,0))),I185/Settings!$B$10/Settings!$B$12)*Settings!$B$13,2))</f>
        <v/>
      </c>
      <c r="N185" s="26" t="str">
        <f aca="false">IF($A185="","",K185+L185+M185)</f>
        <v/>
      </c>
      <c r="O185" s="26" t="str">
        <f aca="false">IF($A185="","",SUMIFS(Deductions!$D$5:$D$2000,Deductions!$B$5:$B$2000,$A185,Deductions!$C$5:$C$2000,"Advance",Deductions!$E$5:$E$2000,"&gt;="&amp;Settings!$B$8,Deductions!$E$5:$E$2000,"&lt;="&amp;Settings!$B$9))</f>
        <v/>
      </c>
      <c r="P185" s="26" t="str">
        <f aca="false">IF($A185="","",SUMIFS(Deductions!$D$5:$D$2000,Deductions!$B$5:$B$2000,$A185,Deductions!$E$5:$E$2000,"&gt;="&amp;Settings!$B$8,Deductions!$E$5:$E$2000,"&lt;="&amp;Settings!$B$9)-O185)</f>
        <v/>
      </c>
      <c r="Q185" s="26" t="str">
        <f aca="false">IF($A185="","",O185+P185)</f>
        <v/>
      </c>
      <c r="R185" s="23" t="str">
        <f aca="false">IF($A185="","",N185-Q185)</f>
        <v/>
      </c>
      <c r="S185" s="24" t="str">
        <f aca="false">IF($A185="","",INDEX(Workers!$O$5:$O$2004,MATCH($A185,Workers!$A$5:$A$2004,0))&amp;"")</f>
        <v/>
      </c>
      <c r="T185" s="24" t="str">
        <f aca="false">IF($A185="","",INDEX(Workers!$P$5:$P$2004,MATCH($A185,Workers!$A$5:$A$2004,0))&amp;"")</f>
        <v/>
      </c>
      <c r="U185" s="24" t="str">
        <f aca="false">IF($A185="","",INDEX(Workers!$H$5:$H$2004,MATCH($A185,Workers!$A$5:$A$2004,0))&amp;"")</f>
        <v/>
      </c>
    </row>
    <row r="186" customFormat="false" ht="15" hidden="false" customHeight="false" outlineLevel="0" collapsed="false">
      <c r="A186" s="24" t="str">
        <f aca="false">IFERROR(INDEX(Workers!$A$5:$A$2004,MATCH(ROW()-4,Workers!$U$5:$U$2004,0)),"")</f>
        <v/>
      </c>
      <c r="B186" s="24" t="str">
        <f aca="false">IF($A186="","",INDEX(Workers!$B$5:$B$2004,MATCH($A186,Workers!$A$5:$A$2004,0)))</f>
        <v/>
      </c>
      <c r="C186" s="24" t="str">
        <f aca="false">IF($A186="","",INDEX(Workers!$E$5:$E$2004,MATCH($A186,Workers!$A$5:$A$2004,0)))</f>
        <v/>
      </c>
      <c r="D186" s="24" t="str">
        <f aca="false">IF($A186="","",INDEX(Workers!$K$5:$K$2004,MATCH($A186,Workers!$A$5:$A$2004,0)))</f>
        <v/>
      </c>
      <c r="E186" s="25" t="str">
        <f aca="false">IF($A186="","",SUMIFS(Timesheet!$E$5:$E$3004,Timesheet!$D$5:$D$3004,$A186,Timesheet!$A$5:$A$3004,"&gt;="&amp;Settings!$B$8,Timesheet!$A$5:$A$3004,"&lt;="&amp;Settings!$B$9))</f>
        <v/>
      </c>
      <c r="F186" s="25" t="str">
        <f aca="false">IF($A186="","",SUMIFS(Timesheet!$F$5:$F$3004,Timesheet!$D$5:$D$3004,$A186,Timesheet!$A$5:$A$3004,"&gt;="&amp;Settings!$B$8,Timesheet!$A$5:$A$3004,"&lt;="&amp;Settings!$B$9))</f>
        <v/>
      </c>
      <c r="G186" s="25" t="str">
        <f aca="false">IF($A186="","",SUMIFS(Timesheet!$G$5:$G$3004,Timesheet!$D$5:$D$3004,$A186,Timesheet!$A$5:$A$3004,"&gt;="&amp;Settings!$B$8,Timesheet!$A$5:$A$3004,"&lt;="&amp;Settings!$B$9))</f>
        <v/>
      </c>
      <c r="H186" s="25" t="str">
        <f aca="false">IF($A186="","",IF(D186="Monthly",MAX(0,Settings!$B$11-E186),0))</f>
        <v/>
      </c>
      <c r="I186" s="26" t="str">
        <f aca="false">IF($A186="","",N(INDEX(Workers!$L$5:$L$2004,MATCH($A186,Workers!$A$5:$A$2004,0))))</f>
        <v/>
      </c>
      <c r="J186" s="26" t="str">
        <f aca="false">IF($A186="","",N(INDEX(Workers!$M$5:$M$2004,MATCH($A186,Workers!$A$5:$A$2004,0))))</f>
        <v/>
      </c>
      <c r="K186" s="26" t="str">
        <f aca="false">IF($A186="","",IF(D186="Monthly",ROUND(MAX(0,(I186+J186)-(I186+J186)/Settings!$B$10*H186),2),0))</f>
        <v/>
      </c>
      <c r="L186" s="26" t="str">
        <f aca="false">IF($A186="","",IF(D186="Hourly",ROUND(F186*N(INDEX(Workers!$N$5:$N$2004,MATCH($A186,Workers!$A$5:$A$2004,0))),2),0))</f>
        <v/>
      </c>
      <c r="M186" s="26" t="str">
        <f aca="false">IF($A186="","",ROUND(G186*IF(D186="Hourly",N(INDEX(Workers!$N$5:$N$2004,MATCH($A186,Workers!$A$5:$A$2004,0))),I186/Settings!$B$10/Settings!$B$12)*Settings!$B$13,2))</f>
        <v/>
      </c>
      <c r="N186" s="26" t="str">
        <f aca="false">IF($A186="","",K186+L186+M186)</f>
        <v/>
      </c>
      <c r="O186" s="26" t="str">
        <f aca="false">IF($A186="","",SUMIFS(Deductions!$D$5:$D$2000,Deductions!$B$5:$B$2000,$A186,Deductions!$C$5:$C$2000,"Advance",Deductions!$E$5:$E$2000,"&gt;="&amp;Settings!$B$8,Deductions!$E$5:$E$2000,"&lt;="&amp;Settings!$B$9))</f>
        <v/>
      </c>
      <c r="P186" s="26" t="str">
        <f aca="false">IF($A186="","",SUMIFS(Deductions!$D$5:$D$2000,Deductions!$B$5:$B$2000,$A186,Deductions!$E$5:$E$2000,"&gt;="&amp;Settings!$B$8,Deductions!$E$5:$E$2000,"&lt;="&amp;Settings!$B$9)-O186)</f>
        <v/>
      </c>
      <c r="Q186" s="26" t="str">
        <f aca="false">IF($A186="","",O186+P186)</f>
        <v/>
      </c>
      <c r="R186" s="23" t="str">
        <f aca="false">IF($A186="","",N186-Q186)</f>
        <v/>
      </c>
      <c r="S186" s="24" t="str">
        <f aca="false">IF($A186="","",INDEX(Workers!$O$5:$O$2004,MATCH($A186,Workers!$A$5:$A$2004,0))&amp;"")</f>
        <v/>
      </c>
      <c r="T186" s="24" t="str">
        <f aca="false">IF($A186="","",INDEX(Workers!$P$5:$P$2004,MATCH($A186,Workers!$A$5:$A$2004,0))&amp;"")</f>
        <v/>
      </c>
      <c r="U186" s="24" t="str">
        <f aca="false">IF($A186="","",INDEX(Workers!$H$5:$H$2004,MATCH($A186,Workers!$A$5:$A$2004,0))&amp;"")</f>
        <v/>
      </c>
    </row>
    <row r="187" customFormat="false" ht="15" hidden="false" customHeight="false" outlineLevel="0" collapsed="false">
      <c r="A187" s="24" t="str">
        <f aca="false">IFERROR(INDEX(Workers!$A$5:$A$2004,MATCH(ROW()-4,Workers!$U$5:$U$2004,0)),"")</f>
        <v/>
      </c>
      <c r="B187" s="24" t="str">
        <f aca="false">IF($A187="","",INDEX(Workers!$B$5:$B$2004,MATCH($A187,Workers!$A$5:$A$2004,0)))</f>
        <v/>
      </c>
      <c r="C187" s="24" t="str">
        <f aca="false">IF($A187="","",INDEX(Workers!$E$5:$E$2004,MATCH($A187,Workers!$A$5:$A$2004,0)))</f>
        <v/>
      </c>
      <c r="D187" s="24" t="str">
        <f aca="false">IF($A187="","",INDEX(Workers!$K$5:$K$2004,MATCH($A187,Workers!$A$5:$A$2004,0)))</f>
        <v/>
      </c>
      <c r="E187" s="25" t="str">
        <f aca="false">IF($A187="","",SUMIFS(Timesheet!$E$5:$E$3004,Timesheet!$D$5:$D$3004,$A187,Timesheet!$A$5:$A$3004,"&gt;="&amp;Settings!$B$8,Timesheet!$A$5:$A$3004,"&lt;="&amp;Settings!$B$9))</f>
        <v/>
      </c>
      <c r="F187" s="25" t="str">
        <f aca="false">IF($A187="","",SUMIFS(Timesheet!$F$5:$F$3004,Timesheet!$D$5:$D$3004,$A187,Timesheet!$A$5:$A$3004,"&gt;="&amp;Settings!$B$8,Timesheet!$A$5:$A$3004,"&lt;="&amp;Settings!$B$9))</f>
        <v/>
      </c>
      <c r="G187" s="25" t="str">
        <f aca="false">IF($A187="","",SUMIFS(Timesheet!$G$5:$G$3004,Timesheet!$D$5:$D$3004,$A187,Timesheet!$A$5:$A$3004,"&gt;="&amp;Settings!$B$8,Timesheet!$A$5:$A$3004,"&lt;="&amp;Settings!$B$9))</f>
        <v/>
      </c>
      <c r="H187" s="25" t="str">
        <f aca="false">IF($A187="","",IF(D187="Monthly",MAX(0,Settings!$B$11-E187),0))</f>
        <v/>
      </c>
      <c r="I187" s="26" t="str">
        <f aca="false">IF($A187="","",N(INDEX(Workers!$L$5:$L$2004,MATCH($A187,Workers!$A$5:$A$2004,0))))</f>
        <v/>
      </c>
      <c r="J187" s="26" t="str">
        <f aca="false">IF($A187="","",N(INDEX(Workers!$M$5:$M$2004,MATCH($A187,Workers!$A$5:$A$2004,0))))</f>
        <v/>
      </c>
      <c r="K187" s="26" t="str">
        <f aca="false">IF($A187="","",IF(D187="Monthly",ROUND(MAX(0,(I187+J187)-(I187+J187)/Settings!$B$10*H187),2),0))</f>
        <v/>
      </c>
      <c r="L187" s="26" t="str">
        <f aca="false">IF($A187="","",IF(D187="Hourly",ROUND(F187*N(INDEX(Workers!$N$5:$N$2004,MATCH($A187,Workers!$A$5:$A$2004,0))),2),0))</f>
        <v/>
      </c>
      <c r="M187" s="26" t="str">
        <f aca="false">IF($A187="","",ROUND(G187*IF(D187="Hourly",N(INDEX(Workers!$N$5:$N$2004,MATCH($A187,Workers!$A$5:$A$2004,0))),I187/Settings!$B$10/Settings!$B$12)*Settings!$B$13,2))</f>
        <v/>
      </c>
      <c r="N187" s="26" t="str">
        <f aca="false">IF($A187="","",K187+L187+M187)</f>
        <v/>
      </c>
      <c r="O187" s="26" t="str">
        <f aca="false">IF($A187="","",SUMIFS(Deductions!$D$5:$D$2000,Deductions!$B$5:$B$2000,$A187,Deductions!$C$5:$C$2000,"Advance",Deductions!$E$5:$E$2000,"&gt;="&amp;Settings!$B$8,Deductions!$E$5:$E$2000,"&lt;="&amp;Settings!$B$9))</f>
        <v/>
      </c>
      <c r="P187" s="26" t="str">
        <f aca="false">IF($A187="","",SUMIFS(Deductions!$D$5:$D$2000,Deductions!$B$5:$B$2000,$A187,Deductions!$E$5:$E$2000,"&gt;="&amp;Settings!$B$8,Deductions!$E$5:$E$2000,"&lt;="&amp;Settings!$B$9)-O187)</f>
        <v/>
      </c>
      <c r="Q187" s="26" t="str">
        <f aca="false">IF($A187="","",O187+P187)</f>
        <v/>
      </c>
      <c r="R187" s="23" t="str">
        <f aca="false">IF($A187="","",N187-Q187)</f>
        <v/>
      </c>
      <c r="S187" s="24" t="str">
        <f aca="false">IF($A187="","",INDEX(Workers!$O$5:$O$2004,MATCH($A187,Workers!$A$5:$A$2004,0))&amp;"")</f>
        <v/>
      </c>
      <c r="T187" s="24" t="str">
        <f aca="false">IF($A187="","",INDEX(Workers!$P$5:$P$2004,MATCH($A187,Workers!$A$5:$A$2004,0))&amp;"")</f>
        <v/>
      </c>
      <c r="U187" s="24" t="str">
        <f aca="false">IF($A187="","",INDEX(Workers!$H$5:$H$2004,MATCH($A187,Workers!$A$5:$A$2004,0))&amp;"")</f>
        <v/>
      </c>
    </row>
    <row r="188" customFormat="false" ht="15" hidden="false" customHeight="false" outlineLevel="0" collapsed="false">
      <c r="A188" s="24" t="str">
        <f aca="false">IFERROR(INDEX(Workers!$A$5:$A$2004,MATCH(ROW()-4,Workers!$U$5:$U$2004,0)),"")</f>
        <v/>
      </c>
      <c r="B188" s="24" t="str">
        <f aca="false">IF($A188="","",INDEX(Workers!$B$5:$B$2004,MATCH($A188,Workers!$A$5:$A$2004,0)))</f>
        <v/>
      </c>
      <c r="C188" s="24" t="str">
        <f aca="false">IF($A188="","",INDEX(Workers!$E$5:$E$2004,MATCH($A188,Workers!$A$5:$A$2004,0)))</f>
        <v/>
      </c>
      <c r="D188" s="24" t="str">
        <f aca="false">IF($A188="","",INDEX(Workers!$K$5:$K$2004,MATCH($A188,Workers!$A$5:$A$2004,0)))</f>
        <v/>
      </c>
      <c r="E188" s="25" t="str">
        <f aca="false">IF($A188="","",SUMIFS(Timesheet!$E$5:$E$3004,Timesheet!$D$5:$D$3004,$A188,Timesheet!$A$5:$A$3004,"&gt;="&amp;Settings!$B$8,Timesheet!$A$5:$A$3004,"&lt;="&amp;Settings!$B$9))</f>
        <v/>
      </c>
      <c r="F188" s="25" t="str">
        <f aca="false">IF($A188="","",SUMIFS(Timesheet!$F$5:$F$3004,Timesheet!$D$5:$D$3004,$A188,Timesheet!$A$5:$A$3004,"&gt;="&amp;Settings!$B$8,Timesheet!$A$5:$A$3004,"&lt;="&amp;Settings!$B$9))</f>
        <v/>
      </c>
      <c r="G188" s="25" t="str">
        <f aca="false">IF($A188="","",SUMIFS(Timesheet!$G$5:$G$3004,Timesheet!$D$5:$D$3004,$A188,Timesheet!$A$5:$A$3004,"&gt;="&amp;Settings!$B$8,Timesheet!$A$5:$A$3004,"&lt;="&amp;Settings!$B$9))</f>
        <v/>
      </c>
      <c r="H188" s="25" t="str">
        <f aca="false">IF($A188="","",IF(D188="Monthly",MAX(0,Settings!$B$11-E188),0))</f>
        <v/>
      </c>
      <c r="I188" s="26" t="str">
        <f aca="false">IF($A188="","",N(INDEX(Workers!$L$5:$L$2004,MATCH($A188,Workers!$A$5:$A$2004,0))))</f>
        <v/>
      </c>
      <c r="J188" s="26" t="str">
        <f aca="false">IF($A188="","",N(INDEX(Workers!$M$5:$M$2004,MATCH($A188,Workers!$A$5:$A$2004,0))))</f>
        <v/>
      </c>
      <c r="K188" s="26" t="str">
        <f aca="false">IF($A188="","",IF(D188="Monthly",ROUND(MAX(0,(I188+J188)-(I188+J188)/Settings!$B$10*H188),2),0))</f>
        <v/>
      </c>
      <c r="L188" s="26" t="str">
        <f aca="false">IF($A188="","",IF(D188="Hourly",ROUND(F188*N(INDEX(Workers!$N$5:$N$2004,MATCH($A188,Workers!$A$5:$A$2004,0))),2),0))</f>
        <v/>
      </c>
      <c r="M188" s="26" t="str">
        <f aca="false">IF($A188="","",ROUND(G188*IF(D188="Hourly",N(INDEX(Workers!$N$5:$N$2004,MATCH($A188,Workers!$A$5:$A$2004,0))),I188/Settings!$B$10/Settings!$B$12)*Settings!$B$13,2))</f>
        <v/>
      </c>
      <c r="N188" s="26" t="str">
        <f aca="false">IF($A188="","",K188+L188+M188)</f>
        <v/>
      </c>
      <c r="O188" s="26" t="str">
        <f aca="false">IF($A188="","",SUMIFS(Deductions!$D$5:$D$2000,Deductions!$B$5:$B$2000,$A188,Deductions!$C$5:$C$2000,"Advance",Deductions!$E$5:$E$2000,"&gt;="&amp;Settings!$B$8,Deductions!$E$5:$E$2000,"&lt;="&amp;Settings!$B$9))</f>
        <v/>
      </c>
      <c r="P188" s="26" t="str">
        <f aca="false">IF($A188="","",SUMIFS(Deductions!$D$5:$D$2000,Deductions!$B$5:$B$2000,$A188,Deductions!$E$5:$E$2000,"&gt;="&amp;Settings!$B$8,Deductions!$E$5:$E$2000,"&lt;="&amp;Settings!$B$9)-O188)</f>
        <v/>
      </c>
      <c r="Q188" s="26" t="str">
        <f aca="false">IF($A188="","",O188+P188)</f>
        <v/>
      </c>
      <c r="R188" s="23" t="str">
        <f aca="false">IF($A188="","",N188-Q188)</f>
        <v/>
      </c>
      <c r="S188" s="24" t="str">
        <f aca="false">IF($A188="","",INDEX(Workers!$O$5:$O$2004,MATCH($A188,Workers!$A$5:$A$2004,0))&amp;"")</f>
        <v/>
      </c>
      <c r="T188" s="24" t="str">
        <f aca="false">IF($A188="","",INDEX(Workers!$P$5:$P$2004,MATCH($A188,Workers!$A$5:$A$2004,0))&amp;"")</f>
        <v/>
      </c>
      <c r="U188" s="24" t="str">
        <f aca="false">IF($A188="","",INDEX(Workers!$H$5:$H$2004,MATCH($A188,Workers!$A$5:$A$2004,0))&amp;"")</f>
        <v/>
      </c>
    </row>
    <row r="189" customFormat="false" ht="15" hidden="false" customHeight="false" outlineLevel="0" collapsed="false">
      <c r="A189" s="24" t="str">
        <f aca="false">IFERROR(INDEX(Workers!$A$5:$A$2004,MATCH(ROW()-4,Workers!$U$5:$U$2004,0)),"")</f>
        <v/>
      </c>
      <c r="B189" s="24" t="str">
        <f aca="false">IF($A189="","",INDEX(Workers!$B$5:$B$2004,MATCH($A189,Workers!$A$5:$A$2004,0)))</f>
        <v/>
      </c>
      <c r="C189" s="24" t="str">
        <f aca="false">IF($A189="","",INDEX(Workers!$E$5:$E$2004,MATCH($A189,Workers!$A$5:$A$2004,0)))</f>
        <v/>
      </c>
      <c r="D189" s="24" t="str">
        <f aca="false">IF($A189="","",INDEX(Workers!$K$5:$K$2004,MATCH($A189,Workers!$A$5:$A$2004,0)))</f>
        <v/>
      </c>
      <c r="E189" s="25" t="str">
        <f aca="false">IF($A189="","",SUMIFS(Timesheet!$E$5:$E$3004,Timesheet!$D$5:$D$3004,$A189,Timesheet!$A$5:$A$3004,"&gt;="&amp;Settings!$B$8,Timesheet!$A$5:$A$3004,"&lt;="&amp;Settings!$B$9))</f>
        <v/>
      </c>
      <c r="F189" s="25" t="str">
        <f aca="false">IF($A189="","",SUMIFS(Timesheet!$F$5:$F$3004,Timesheet!$D$5:$D$3004,$A189,Timesheet!$A$5:$A$3004,"&gt;="&amp;Settings!$B$8,Timesheet!$A$5:$A$3004,"&lt;="&amp;Settings!$B$9))</f>
        <v/>
      </c>
      <c r="G189" s="25" t="str">
        <f aca="false">IF($A189="","",SUMIFS(Timesheet!$G$5:$G$3004,Timesheet!$D$5:$D$3004,$A189,Timesheet!$A$5:$A$3004,"&gt;="&amp;Settings!$B$8,Timesheet!$A$5:$A$3004,"&lt;="&amp;Settings!$B$9))</f>
        <v/>
      </c>
      <c r="H189" s="25" t="str">
        <f aca="false">IF($A189="","",IF(D189="Monthly",MAX(0,Settings!$B$11-E189),0))</f>
        <v/>
      </c>
      <c r="I189" s="26" t="str">
        <f aca="false">IF($A189="","",N(INDEX(Workers!$L$5:$L$2004,MATCH($A189,Workers!$A$5:$A$2004,0))))</f>
        <v/>
      </c>
      <c r="J189" s="26" t="str">
        <f aca="false">IF($A189="","",N(INDEX(Workers!$M$5:$M$2004,MATCH($A189,Workers!$A$5:$A$2004,0))))</f>
        <v/>
      </c>
      <c r="K189" s="26" t="str">
        <f aca="false">IF($A189="","",IF(D189="Monthly",ROUND(MAX(0,(I189+J189)-(I189+J189)/Settings!$B$10*H189),2),0))</f>
        <v/>
      </c>
      <c r="L189" s="26" t="str">
        <f aca="false">IF($A189="","",IF(D189="Hourly",ROUND(F189*N(INDEX(Workers!$N$5:$N$2004,MATCH($A189,Workers!$A$5:$A$2004,0))),2),0))</f>
        <v/>
      </c>
      <c r="M189" s="26" t="str">
        <f aca="false">IF($A189="","",ROUND(G189*IF(D189="Hourly",N(INDEX(Workers!$N$5:$N$2004,MATCH($A189,Workers!$A$5:$A$2004,0))),I189/Settings!$B$10/Settings!$B$12)*Settings!$B$13,2))</f>
        <v/>
      </c>
      <c r="N189" s="26" t="str">
        <f aca="false">IF($A189="","",K189+L189+M189)</f>
        <v/>
      </c>
      <c r="O189" s="26" t="str">
        <f aca="false">IF($A189="","",SUMIFS(Deductions!$D$5:$D$2000,Deductions!$B$5:$B$2000,$A189,Deductions!$C$5:$C$2000,"Advance",Deductions!$E$5:$E$2000,"&gt;="&amp;Settings!$B$8,Deductions!$E$5:$E$2000,"&lt;="&amp;Settings!$B$9))</f>
        <v/>
      </c>
      <c r="P189" s="26" t="str">
        <f aca="false">IF($A189="","",SUMIFS(Deductions!$D$5:$D$2000,Deductions!$B$5:$B$2000,$A189,Deductions!$E$5:$E$2000,"&gt;="&amp;Settings!$B$8,Deductions!$E$5:$E$2000,"&lt;="&amp;Settings!$B$9)-O189)</f>
        <v/>
      </c>
      <c r="Q189" s="26" t="str">
        <f aca="false">IF($A189="","",O189+P189)</f>
        <v/>
      </c>
      <c r="R189" s="23" t="str">
        <f aca="false">IF($A189="","",N189-Q189)</f>
        <v/>
      </c>
      <c r="S189" s="24" t="str">
        <f aca="false">IF($A189="","",INDEX(Workers!$O$5:$O$2004,MATCH($A189,Workers!$A$5:$A$2004,0))&amp;"")</f>
        <v/>
      </c>
      <c r="T189" s="24" t="str">
        <f aca="false">IF($A189="","",INDEX(Workers!$P$5:$P$2004,MATCH($A189,Workers!$A$5:$A$2004,0))&amp;"")</f>
        <v/>
      </c>
      <c r="U189" s="24" t="str">
        <f aca="false">IF($A189="","",INDEX(Workers!$H$5:$H$2004,MATCH($A189,Workers!$A$5:$A$2004,0))&amp;"")</f>
        <v/>
      </c>
    </row>
    <row r="190" customFormat="false" ht="15" hidden="false" customHeight="false" outlineLevel="0" collapsed="false">
      <c r="A190" s="24" t="str">
        <f aca="false">IFERROR(INDEX(Workers!$A$5:$A$2004,MATCH(ROW()-4,Workers!$U$5:$U$2004,0)),"")</f>
        <v/>
      </c>
      <c r="B190" s="24" t="str">
        <f aca="false">IF($A190="","",INDEX(Workers!$B$5:$B$2004,MATCH($A190,Workers!$A$5:$A$2004,0)))</f>
        <v/>
      </c>
      <c r="C190" s="24" t="str">
        <f aca="false">IF($A190="","",INDEX(Workers!$E$5:$E$2004,MATCH($A190,Workers!$A$5:$A$2004,0)))</f>
        <v/>
      </c>
      <c r="D190" s="24" t="str">
        <f aca="false">IF($A190="","",INDEX(Workers!$K$5:$K$2004,MATCH($A190,Workers!$A$5:$A$2004,0)))</f>
        <v/>
      </c>
      <c r="E190" s="25" t="str">
        <f aca="false">IF($A190="","",SUMIFS(Timesheet!$E$5:$E$3004,Timesheet!$D$5:$D$3004,$A190,Timesheet!$A$5:$A$3004,"&gt;="&amp;Settings!$B$8,Timesheet!$A$5:$A$3004,"&lt;="&amp;Settings!$B$9))</f>
        <v/>
      </c>
      <c r="F190" s="25" t="str">
        <f aca="false">IF($A190="","",SUMIFS(Timesheet!$F$5:$F$3004,Timesheet!$D$5:$D$3004,$A190,Timesheet!$A$5:$A$3004,"&gt;="&amp;Settings!$B$8,Timesheet!$A$5:$A$3004,"&lt;="&amp;Settings!$B$9))</f>
        <v/>
      </c>
      <c r="G190" s="25" t="str">
        <f aca="false">IF($A190="","",SUMIFS(Timesheet!$G$5:$G$3004,Timesheet!$D$5:$D$3004,$A190,Timesheet!$A$5:$A$3004,"&gt;="&amp;Settings!$B$8,Timesheet!$A$5:$A$3004,"&lt;="&amp;Settings!$B$9))</f>
        <v/>
      </c>
      <c r="H190" s="25" t="str">
        <f aca="false">IF($A190="","",IF(D190="Monthly",MAX(0,Settings!$B$11-E190),0))</f>
        <v/>
      </c>
      <c r="I190" s="26" t="str">
        <f aca="false">IF($A190="","",N(INDEX(Workers!$L$5:$L$2004,MATCH($A190,Workers!$A$5:$A$2004,0))))</f>
        <v/>
      </c>
      <c r="J190" s="26" t="str">
        <f aca="false">IF($A190="","",N(INDEX(Workers!$M$5:$M$2004,MATCH($A190,Workers!$A$5:$A$2004,0))))</f>
        <v/>
      </c>
      <c r="K190" s="26" t="str">
        <f aca="false">IF($A190="","",IF(D190="Monthly",ROUND(MAX(0,(I190+J190)-(I190+J190)/Settings!$B$10*H190),2),0))</f>
        <v/>
      </c>
      <c r="L190" s="26" t="str">
        <f aca="false">IF($A190="","",IF(D190="Hourly",ROUND(F190*N(INDEX(Workers!$N$5:$N$2004,MATCH($A190,Workers!$A$5:$A$2004,0))),2),0))</f>
        <v/>
      </c>
      <c r="M190" s="26" t="str">
        <f aca="false">IF($A190="","",ROUND(G190*IF(D190="Hourly",N(INDEX(Workers!$N$5:$N$2004,MATCH($A190,Workers!$A$5:$A$2004,0))),I190/Settings!$B$10/Settings!$B$12)*Settings!$B$13,2))</f>
        <v/>
      </c>
      <c r="N190" s="26" t="str">
        <f aca="false">IF($A190="","",K190+L190+M190)</f>
        <v/>
      </c>
      <c r="O190" s="26" t="str">
        <f aca="false">IF($A190="","",SUMIFS(Deductions!$D$5:$D$2000,Deductions!$B$5:$B$2000,$A190,Deductions!$C$5:$C$2000,"Advance",Deductions!$E$5:$E$2000,"&gt;="&amp;Settings!$B$8,Deductions!$E$5:$E$2000,"&lt;="&amp;Settings!$B$9))</f>
        <v/>
      </c>
      <c r="P190" s="26" t="str">
        <f aca="false">IF($A190="","",SUMIFS(Deductions!$D$5:$D$2000,Deductions!$B$5:$B$2000,$A190,Deductions!$E$5:$E$2000,"&gt;="&amp;Settings!$B$8,Deductions!$E$5:$E$2000,"&lt;="&amp;Settings!$B$9)-O190)</f>
        <v/>
      </c>
      <c r="Q190" s="26" t="str">
        <f aca="false">IF($A190="","",O190+P190)</f>
        <v/>
      </c>
      <c r="R190" s="23" t="str">
        <f aca="false">IF($A190="","",N190-Q190)</f>
        <v/>
      </c>
      <c r="S190" s="24" t="str">
        <f aca="false">IF($A190="","",INDEX(Workers!$O$5:$O$2004,MATCH($A190,Workers!$A$5:$A$2004,0))&amp;"")</f>
        <v/>
      </c>
      <c r="T190" s="24" t="str">
        <f aca="false">IF($A190="","",INDEX(Workers!$P$5:$P$2004,MATCH($A190,Workers!$A$5:$A$2004,0))&amp;"")</f>
        <v/>
      </c>
      <c r="U190" s="24" t="str">
        <f aca="false">IF($A190="","",INDEX(Workers!$H$5:$H$2004,MATCH($A190,Workers!$A$5:$A$2004,0))&amp;"")</f>
        <v/>
      </c>
    </row>
    <row r="191" customFormat="false" ht="15" hidden="false" customHeight="false" outlineLevel="0" collapsed="false">
      <c r="A191" s="24" t="str">
        <f aca="false">IFERROR(INDEX(Workers!$A$5:$A$2004,MATCH(ROW()-4,Workers!$U$5:$U$2004,0)),"")</f>
        <v/>
      </c>
      <c r="B191" s="24" t="str">
        <f aca="false">IF($A191="","",INDEX(Workers!$B$5:$B$2004,MATCH($A191,Workers!$A$5:$A$2004,0)))</f>
        <v/>
      </c>
      <c r="C191" s="24" t="str">
        <f aca="false">IF($A191="","",INDEX(Workers!$E$5:$E$2004,MATCH($A191,Workers!$A$5:$A$2004,0)))</f>
        <v/>
      </c>
      <c r="D191" s="24" t="str">
        <f aca="false">IF($A191="","",INDEX(Workers!$K$5:$K$2004,MATCH($A191,Workers!$A$5:$A$2004,0)))</f>
        <v/>
      </c>
      <c r="E191" s="25" t="str">
        <f aca="false">IF($A191="","",SUMIFS(Timesheet!$E$5:$E$3004,Timesheet!$D$5:$D$3004,$A191,Timesheet!$A$5:$A$3004,"&gt;="&amp;Settings!$B$8,Timesheet!$A$5:$A$3004,"&lt;="&amp;Settings!$B$9))</f>
        <v/>
      </c>
      <c r="F191" s="25" t="str">
        <f aca="false">IF($A191="","",SUMIFS(Timesheet!$F$5:$F$3004,Timesheet!$D$5:$D$3004,$A191,Timesheet!$A$5:$A$3004,"&gt;="&amp;Settings!$B$8,Timesheet!$A$5:$A$3004,"&lt;="&amp;Settings!$B$9))</f>
        <v/>
      </c>
      <c r="G191" s="25" t="str">
        <f aca="false">IF($A191="","",SUMIFS(Timesheet!$G$5:$G$3004,Timesheet!$D$5:$D$3004,$A191,Timesheet!$A$5:$A$3004,"&gt;="&amp;Settings!$B$8,Timesheet!$A$5:$A$3004,"&lt;="&amp;Settings!$B$9))</f>
        <v/>
      </c>
      <c r="H191" s="25" t="str">
        <f aca="false">IF($A191="","",IF(D191="Monthly",MAX(0,Settings!$B$11-E191),0))</f>
        <v/>
      </c>
      <c r="I191" s="26" t="str">
        <f aca="false">IF($A191="","",N(INDEX(Workers!$L$5:$L$2004,MATCH($A191,Workers!$A$5:$A$2004,0))))</f>
        <v/>
      </c>
      <c r="J191" s="26" t="str">
        <f aca="false">IF($A191="","",N(INDEX(Workers!$M$5:$M$2004,MATCH($A191,Workers!$A$5:$A$2004,0))))</f>
        <v/>
      </c>
      <c r="K191" s="26" t="str">
        <f aca="false">IF($A191="","",IF(D191="Monthly",ROUND(MAX(0,(I191+J191)-(I191+J191)/Settings!$B$10*H191),2),0))</f>
        <v/>
      </c>
      <c r="L191" s="26" t="str">
        <f aca="false">IF($A191="","",IF(D191="Hourly",ROUND(F191*N(INDEX(Workers!$N$5:$N$2004,MATCH($A191,Workers!$A$5:$A$2004,0))),2),0))</f>
        <v/>
      </c>
      <c r="M191" s="26" t="str">
        <f aca="false">IF($A191="","",ROUND(G191*IF(D191="Hourly",N(INDEX(Workers!$N$5:$N$2004,MATCH($A191,Workers!$A$5:$A$2004,0))),I191/Settings!$B$10/Settings!$B$12)*Settings!$B$13,2))</f>
        <v/>
      </c>
      <c r="N191" s="26" t="str">
        <f aca="false">IF($A191="","",K191+L191+M191)</f>
        <v/>
      </c>
      <c r="O191" s="26" t="str">
        <f aca="false">IF($A191="","",SUMIFS(Deductions!$D$5:$D$2000,Deductions!$B$5:$B$2000,$A191,Deductions!$C$5:$C$2000,"Advance",Deductions!$E$5:$E$2000,"&gt;="&amp;Settings!$B$8,Deductions!$E$5:$E$2000,"&lt;="&amp;Settings!$B$9))</f>
        <v/>
      </c>
      <c r="P191" s="26" t="str">
        <f aca="false">IF($A191="","",SUMIFS(Deductions!$D$5:$D$2000,Deductions!$B$5:$B$2000,$A191,Deductions!$E$5:$E$2000,"&gt;="&amp;Settings!$B$8,Deductions!$E$5:$E$2000,"&lt;="&amp;Settings!$B$9)-O191)</f>
        <v/>
      </c>
      <c r="Q191" s="26" t="str">
        <f aca="false">IF($A191="","",O191+P191)</f>
        <v/>
      </c>
      <c r="R191" s="23" t="str">
        <f aca="false">IF($A191="","",N191-Q191)</f>
        <v/>
      </c>
      <c r="S191" s="24" t="str">
        <f aca="false">IF($A191="","",INDEX(Workers!$O$5:$O$2004,MATCH($A191,Workers!$A$5:$A$2004,0))&amp;"")</f>
        <v/>
      </c>
      <c r="T191" s="24" t="str">
        <f aca="false">IF($A191="","",INDEX(Workers!$P$5:$P$2004,MATCH($A191,Workers!$A$5:$A$2004,0))&amp;"")</f>
        <v/>
      </c>
      <c r="U191" s="24" t="str">
        <f aca="false">IF($A191="","",INDEX(Workers!$H$5:$H$2004,MATCH($A191,Workers!$A$5:$A$2004,0))&amp;"")</f>
        <v/>
      </c>
    </row>
    <row r="192" customFormat="false" ht="15" hidden="false" customHeight="false" outlineLevel="0" collapsed="false">
      <c r="A192" s="24" t="str">
        <f aca="false">IFERROR(INDEX(Workers!$A$5:$A$2004,MATCH(ROW()-4,Workers!$U$5:$U$2004,0)),"")</f>
        <v/>
      </c>
      <c r="B192" s="24" t="str">
        <f aca="false">IF($A192="","",INDEX(Workers!$B$5:$B$2004,MATCH($A192,Workers!$A$5:$A$2004,0)))</f>
        <v/>
      </c>
      <c r="C192" s="24" t="str">
        <f aca="false">IF($A192="","",INDEX(Workers!$E$5:$E$2004,MATCH($A192,Workers!$A$5:$A$2004,0)))</f>
        <v/>
      </c>
      <c r="D192" s="24" t="str">
        <f aca="false">IF($A192="","",INDEX(Workers!$K$5:$K$2004,MATCH($A192,Workers!$A$5:$A$2004,0)))</f>
        <v/>
      </c>
      <c r="E192" s="25" t="str">
        <f aca="false">IF($A192="","",SUMIFS(Timesheet!$E$5:$E$3004,Timesheet!$D$5:$D$3004,$A192,Timesheet!$A$5:$A$3004,"&gt;="&amp;Settings!$B$8,Timesheet!$A$5:$A$3004,"&lt;="&amp;Settings!$B$9))</f>
        <v/>
      </c>
      <c r="F192" s="25" t="str">
        <f aca="false">IF($A192="","",SUMIFS(Timesheet!$F$5:$F$3004,Timesheet!$D$5:$D$3004,$A192,Timesheet!$A$5:$A$3004,"&gt;="&amp;Settings!$B$8,Timesheet!$A$5:$A$3004,"&lt;="&amp;Settings!$B$9))</f>
        <v/>
      </c>
      <c r="G192" s="25" t="str">
        <f aca="false">IF($A192="","",SUMIFS(Timesheet!$G$5:$G$3004,Timesheet!$D$5:$D$3004,$A192,Timesheet!$A$5:$A$3004,"&gt;="&amp;Settings!$B$8,Timesheet!$A$5:$A$3004,"&lt;="&amp;Settings!$B$9))</f>
        <v/>
      </c>
      <c r="H192" s="25" t="str">
        <f aca="false">IF($A192="","",IF(D192="Monthly",MAX(0,Settings!$B$11-E192),0))</f>
        <v/>
      </c>
      <c r="I192" s="26" t="str">
        <f aca="false">IF($A192="","",N(INDEX(Workers!$L$5:$L$2004,MATCH($A192,Workers!$A$5:$A$2004,0))))</f>
        <v/>
      </c>
      <c r="J192" s="26" t="str">
        <f aca="false">IF($A192="","",N(INDEX(Workers!$M$5:$M$2004,MATCH($A192,Workers!$A$5:$A$2004,0))))</f>
        <v/>
      </c>
      <c r="K192" s="26" t="str">
        <f aca="false">IF($A192="","",IF(D192="Monthly",ROUND(MAX(0,(I192+J192)-(I192+J192)/Settings!$B$10*H192),2),0))</f>
        <v/>
      </c>
      <c r="L192" s="26" t="str">
        <f aca="false">IF($A192="","",IF(D192="Hourly",ROUND(F192*N(INDEX(Workers!$N$5:$N$2004,MATCH($A192,Workers!$A$5:$A$2004,0))),2),0))</f>
        <v/>
      </c>
      <c r="M192" s="26" t="str">
        <f aca="false">IF($A192="","",ROUND(G192*IF(D192="Hourly",N(INDEX(Workers!$N$5:$N$2004,MATCH($A192,Workers!$A$5:$A$2004,0))),I192/Settings!$B$10/Settings!$B$12)*Settings!$B$13,2))</f>
        <v/>
      </c>
      <c r="N192" s="26" t="str">
        <f aca="false">IF($A192="","",K192+L192+M192)</f>
        <v/>
      </c>
      <c r="O192" s="26" t="str">
        <f aca="false">IF($A192="","",SUMIFS(Deductions!$D$5:$D$2000,Deductions!$B$5:$B$2000,$A192,Deductions!$C$5:$C$2000,"Advance",Deductions!$E$5:$E$2000,"&gt;="&amp;Settings!$B$8,Deductions!$E$5:$E$2000,"&lt;="&amp;Settings!$B$9))</f>
        <v/>
      </c>
      <c r="P192" s="26" t="str">
        <f aca="false">IF($A192="","",SUMIFS(Deductions!$D$5:$D$2000,Deductions!$B$5:$B$2000,$A192,Deductions!$E$5:$E$2000,"&gt;="&amp;Settings!$B$8,Deductions!$E$5:$E$2000,"&lt;="&amp;Settings!$B$9)-O192)</f>
        <v/>
      </c>
      <c r="Q192" s="26" t="str">
        <f aca="false">IF($A192="","",O192+P192)</f>
        <v/>
      </c>
      <c r="R192" s="23" t="str">
        <f aca="false">IF($A192="","",N192-Q192)</f>
        <v/>
      </c>
      <c r="S192" s="24" t="str">
        <f aca="false">IF($A192="","",INDEX(Workers!$O$5:$O$2004,MATCH($A192,Workers!$A$5:$A$2004,0))&amp;"")</f>
        <v/>
      </c>
      <c r="T192" s="24" t="str">
        <f aca="false">IF($A192="","",INDEX(Workers!$P$5:$P$2004,MATCH($A192,Workers!$A$5:$A$2004,0))&amp;"")</f>
        <v/>
      </c>
      <c r="U192" s="24" t="str">
        <f aca="false">IF($A192="","",INDEX(Workers!$H$5:$H$2004,MATCH($A192,Workers!$A$5:$A$2004,0))&amp;"")</f>
        <v/>
      </c>
    </row>
    <row r="193" customFormat="false" ht="15" hidden="false" customHeight="false" outlineLevel="0" collapsed="false">
      <c r="A193" s="24" t="str">
        <f aca="false">IFERROR(INDEX(Workers!$A$5:$A$2004,MATCH(ROW()-4,Workers!$U$5:$U$2004,0)),"")</f>
        <v/>
      </c>
      <c r="B193" s="24" t="str">
        <f aca="false">IF($A193="","",INDEX(Workers!$B$5:$B$2004,MATCH($A193,Workers!$A$5:$A$2004,0)))</f>
        <v/>
      </c>
      <c r="C193" s="24" t="str">
        <f aca="false">IF($A193="","",INDEX(Workers!$E$5:$E$2004,MATCH($A193,Workers!$A$5:$A$2004,0)))</f>
        <v/>
      </c>
      <c r="D193" s="24" t="str">
        <f aca="false">IF($A193="","",INDEX(Workers!$K$5:$K$2004,MATCH($A193,Workers!$A$5:$A$2004,0)))</f>
        <v/>
      </c>
      <c r="E193" s="25" t="str">
        <f aca="false">IF($A193="","",SUMIFS(Timesheet!$E$5:$E$3004,Timesheet!$D$5:$D$3004,$A193,Timesheet!$A$5:$A$3004,"&gt;="&amp;Settings!$B$8,Timesheet!$A$5:$A$3004,"&lt;="&amp;Settings!$B$9))</f>
        <v/>
      </c>
      <c r="F193" s="25" t="str">
        <f aca="false">IF($A193="","",SUMIFS(Timesheet!$F$5:$F$3004,Timesheet!$D$5:$D$3004,$A193,Timesheet!$A$5:$A$3004,"&gt;="&amp;Settings!$B$8,Timesheet!$A$5:$A$3004,"&lt;="&amp;Settings!$B$9))</f>
        <v/>
      </c>
      <c r="G193" s="25" t="str">
        <f aca="false">IF($A193="","",SUMIFS(Timesheet!$G$5:$G$3004,Timesheet!$D$5:$D$3004,$A193,Timesheet!$A$5:$A$3004,"&gt;="&amp;Settings!$B$8,Timesheet!$A$5:$A$3004,"&lt;="&amp;Settings!$B$9))</f>
        <v/>
      </c>
      <c r="H193" s="25" t="str">
        <f aca="false">IF($A193="","",IF(D193="Monthly",MAX(0,Settings!$B$11-E193),0))</f>
        <v/>
      </c>
      <c r="I193" s="26" t="str">
        <f aca="false">IF($A193="","",N(INDEX(Workers!$L$5:$L$2004,MATCH($A193,Workers!$A$5:$A$2004,0))))</f>
        <v/>
      </c>
      <c r="J193" s="26" t="str">
        <f aca="false">IF($A193="","",N(INDEX(Workers!$M$5:$M$2004,MATCH($A193,Workers!$A$5:$A$2004,0))))</f>
        <v/>
      </c>
      <c r="K193" s="26" t="str">
        <f aca="false">IF($A193="","",IF(D193="Monthly",ROUND(MAX(0,(I193+J193)-(I193+J193)/Settings!$B$10*H193),2),0))</f>
        <v/>
      </c>
      <c r="L193" s="26" t="str">
        <f aca="false">IF($A193="","",IF(D193="Hourly",ROUND(F193*N(INDEX(Workers!$N$5:$N$2004,MATCH($A193,Workers!$A$5:$A$2004,0))),2),0))</f>
        <v/>
      </c>
      <c r="M193" s="26" t="str">
        <f aca="false">IF($A193="","",ROUND(G193*IF(D193="Hourly",N(INDEX(Workers!$N$5:$N$2004,MATCH($A193,Workers!$A$5:$A$2004,0))),I193/Settings!$B$10/Settings!$B$12)*Settings!$B$13,2))</f>
        <v/>
      </c>
      <c r="N193" s="26" t="str">
        <f aca="false">IF($A193="","",K193+L193+M193)</f>
        <v/>
      </c>
      <c r="O193" s="26" t="str">
        <f aca="false">IF($A193="","",SUMIFS(Deductions!$D$5:$D$2000,Deductions!$B$5:$B$2000,$A193,Deductions!$C$5:$C$2000,"Advance",Deductions!$E$5:$E$2000,"&gt;="&amp;Settings!$B$8,Deductions!$E$5:$E$2000,"&lt;="&amp;Settings!$B$9))</f>
        <v/>
      </c>
      <c r="P193" s="26" t="str">
        <f aca="false">IF($A193="","",SUMIFS(Deductions!$D$5:$D$2000,Deductions!$B$5:$B$2000,$A193,Deductions!$E$5:$E$2000,"&gt;="&amp;Settings!$B$8,Deductions!$E$5:$E$2000,"&lt;="&amp;Settings!$B$9)-O193)</f>
        <v/>
      </c>
      <c r="Q193" s="26" t="str">
        <f aca="false">IF($A193="","",O193+P193)</f>
        <v/>
      </c>
      <c r="R193" s="23" t="str">
        <f aca="false">IF($A193="","",N193-Q193)</f>
        <v/>
      </c>
      <c r="S193" s="24" t="str">
        <f aca="false">IF($A193="","",INDEX(Workers!$O$5:$O$2004,MATCH($A193,Workers!$A$5:$A$2004,0))&amp;"")</f>
        <v/>
      </c>
      <c r="T193" s="24" t="str">
        <f aca="false">IF($A193="","",INDEX(Workers!$P$5:$P$2004,MATCH($A193,Workers!$A$5:$A$2004,0))&amp;"")</f>
        <v/>
      </c>
      <c r="U193" s="24" t="str">
        <f aca="false">IF($A193="","",INDEX(Workers!$H$5:$H$2004,MATCH($A193,Workers!$A$5:$A$2004,0))&amp;"")</f>
        <v/>
      </c>
    </row>
    <row r="194" customFormat="false" ht="15" hidden="false" customHeight="false" outlineLevel="0" collapsed="false">
      <c r="A194" s="24" t="str">
        <f aca="false">IFERROR(INDEX(Workers!$A$5:$A$2004,MATCH(ROW()-4,Workers!$U$5:$U$2004,0)),"")</f>
        <v/>
      </c>
      <c r="B194" s="24" t="str">
        <f aca="false">IF($A194="","",INDEX(Workers!$B$5:$B$2004,MATCH($A194,Workers!$A$5:$A$2004,0)))</f>
        <v/>
      </c>
      <c r="C194" s="24" t="str">
        <f aca="false">IF($A194="","",INDEX(Workers!$E$5:$E$2004,MATCH($A194,Workers!$A$5:$A$2004,0)))</f>
        <v/>
      </c>
      <c r="D194" s="24" t="str">
        <f aca="false">IF($A194="","",INDEX(Workers!$K$5:$K$2004,MATCH($A194,Workers!$A$5:$A$2004,0)))</f>
        <v/>
      </c>
      <c r="E194" s="25" t="str">
        <f aca="false">IF($A194="","",SUMIFS(Timesheet!$E$5:$E$3004,Timesheet!$D$5:$D$3004,$A194,Timesheet!$A$5:$A$3004,"&gt;="&amp;Settings!$B$8,Timesheet!$A$5:$A$3004,"&lt;="&amp;Settings!$B$9))</f>
        <v/>
      </c>
      <c r="F194" s="25" t="str">
        <f aca="false">IF($A194="","",SUMIFS(Timesheet!$F$5:$F$3004,Timesheet!$D$5:$D$3004,$A194,Timesheet!$A$5:$A$3004,"&gt;="&amp;Settings!$B$8,Timesheet!$A$5:$A$3004,"&lt;="&amp;Settings!$B$9))</f>
        <v/>
      </c>
      <c r="G194" s="25" t="str">
        <f aca="false">IF($A194="","",SUMIFS(Timesheet!$G$5:$G$3004,Timesheet!$D$5:$D$3004,$A194,Timesheet!$A$5:$A$3004,"&gt;="&amp;Settings!$B$8,Timesheet!$A$5:$A$3004,"&lt;="&amp;Settings!$B$9))</f>
        <v/>
      </c>
      <c r="H194" s="25" t="str">
        <f aca="false">IF($A194="","",IF(D194="Monthly",MAX(0,Settings!$B$11-E194),0))</f>
        <v/>
      </c>
      <c r="I194" s="26" t="str">
        <f aca="false">IF($A194="","",N(INDEX(Workers!$L$5:$L$2004,MATCH($A194,Workers!$A$5:$A$2004,0))))</f>
        <v/>
      </c>
      <c r="J194" s="26" t="str">
        <f aca="false">IF($A194="","",N(INDEX(Workers!$M$5:$M$2004,MATCH($A194,Workers!$A$5:$A$2004,0))))</f>
        <v/>
      </c>
      <c r="K194" s="26" t="str">
        <f aca="false">IF($A194="","",IF(D194="Monthly",ROUND(MAX(0,(I194+J194)-(I194+J194)/Settings!$B$10*H194),2),0))</f>
        <v/>
      </c>
      <c r="L194" s="26" t="str">
        <f aca="false">IF($A194="","",IF(D194="Hourly",ROUND(F194*N(INDEX(Workers!$N$5:$N$2004,MATCH($A194,Workers!$A$5:$A$2004,0))),2),0))</f>
        <v/>
      </c>
      <c r="M194" s="26" t="str">
        <f aca="false">IF($A194="","",ROUND(G194*IF(D194="Hourly",N(INDEX(Workers!$N$5:$N$2004,MATCH($A194,Workers!$A$5:$A$2004,0))),I194/Settings!$B$10/Settings!$B$12)*Settings!$B$13,2))</f>
        <v/>
      </c>
      <c r="N194" s="26" t="str">
        <f aca="false">IF($A194="","",K194+L194+M194)</f>
        <v/>
      </c>
      <c r="O194" s="26" t="str">
        <f aca="false">IF($A194="","",SUMIFS(Deductions!$D$5:$D$2000,Deductions!$B$5:$B$2000,$A194,Deductions!$C$5:$C$2000,"Advance",Deductions!$E$5:$E$2000,"&gt;="&amp;Settings!$B$8,Deductions!$E$5:$E$2000,"&lt;="&amp;Settings!$B$9))</f>
        <v/>
      </c>
      <c r="P194" s="26" t="str">
        <f aca="false">IF($A194="","",SUMIFS(Deductions!$D$5:$D$2000,Deductions!$B$5:$B$2000,$A194,Deductions!$E$5:$E$2000,"&gt;="&amp;Settings!$B$8,Deductions!$E$5:$E$2000,"&lt;="&amp;Settings!$B$9)-O194)</f>
        <v/>
      </c>
      <c r="Q194" s="26" t="str">
        <f aca="false">IF($A194="","",O194+P194)</f>
        <v/>
      </c>
      <c r="R194" s="23" t="str">
        <f aca="false">IF($A194="","",N194-Q194)</f>
        <v/>
      </c>
      <c r="S194" s="24" t="str">
        <f aca="false">IF($A194="","",INDEX(Workers!$O$5:$O$2004,MATCH($A194,Workers!$A$5:$A$2004,0))&amp;"")</f>
        <v/>
      </c>
      <c r="T194" s="24" t="str">
        <f aca="false">IF($A194="","",INDEX(Workers!$P$5:$P$2004,MATCH($A194,Workers!$A$5:$A$2004,0))&amp;"")</f>
        <v/>
      </c>
      <c r="U194" s="24" t="str">
        <f aca="false">IF($A194="","",INDEX(Workers!$H$5:$H$2004,MATCH($A194,Workers!$A$5:$A$2004,0))&amp;"")</f>
        <v/>
      </c>
    </row>
    <row r="195" customFormat="false" ht="15" hidden="false" customHeight="false" outlineLevel="0" collapsed="false">
      <c r="A195" s="24" t="str">
        <f aca="false">IFERROR(INDEX(Workers!$A$5:$A$2004,MATCH(ROW()-4,Workers!$U$5:$U$2004,0)),"")</f>
        <v/>
      </c>
      <c r="B195" s="24" t="str">
        <f aca="false">IF($A195="","",INDEX(Workers!$B$5:$B$2004,MATCH($A195,Workers!$A$5:$A$2004,0)))</f>
        <v/>
      </c>
      <c r="C195" s="24" t="str">
        <f aca="false">IF($A195="","",INDEX(Workers!$E$5:$E$2004,MATCH($A195,Workers!$A$5:$A$2004,0)))</f>
        <v/>
      </c>
      <c r="D195" s="24" t="str">
        <f aca="false">IF($A195="","",INDEX(Workers!$K$5:$K$2004,MATCH($A195,Workers!$A$5:$A$2004,0)))</f>
        <v/>
      </c>
      <c r="E195" s="25" t="str">
        <f aca="false">IF($A195="","",SUMIFS(Timesheet!$E$5:$E$3004,Timesheet!$D$5:$D$3004,$A195,Timesheet!$A$5:$A$3004,"&gt;="&amp;Settings!$B$8,Timesheet!$A$5:$A$3004,"&lt;="&amp;Settings!$B$9))</f>
        <v/>
      </c>
      <c r="F195" s="25" t="str">
        <f aca="false">IF($A195="","",SUMIFS(Timesheet!$F$5:$F$3004,Timesheet!$D$5:$D$3004,$A195,Timesheet!$A$5:$A$3004,"&gt;="&amp;Settings!$B$8,Timesheet!$A$5:$A$3004,"&lt;="&amp;Settings!$B$9))</f>
        <v/>
      </c>
      <c r="G195" s="25" t="str">
        <f aca="false">IF($A195="","",SUMIFS(Timesheet!$G$5:$G$3004,Timesheet!$D$5:$D$3004,$A195,Timesheet!$A$5:$A$3004,"&gt;="&amp;Settings!$B$8,Timesheet!$A$5:$A$3004,"&lt;="&amp;Settings!$B$9))</f>
        <v/>
      </c>
      <c r="H195" s="25" t="str">
        <f aca="false">IF($A195="","",IF(D195="Monthly",MAX(0,Settings!$B$11-E195),0))</f>
        <v/>
      </c>
      <c r="I195" s="26" t="str">
        <f aca="false">IF($A195="","",N(INDEX(Workers!$L$5:$L$2004,MATCH($A195,Workers!$A$5:$A$2004,0))))</f>
        <v/>
      </c>
      <c r="J195" s="26" t="str">
        <f aca="false">IF($A195="","",N(INDEX(Workers!$M$5:$M$2004,MATCH($A195,Workers!$A$5:$A$2004,0))))</f>
        <v/>
      </c>
      <c r="K195" s="26" t="str">
        <f aca="false">IF($A195="","",IF(D195="Monthly",ROUND(MAX(0,(I195+J195)-(I195+J195)/Settings!$B$10*H195),2),0))</f>
        <v/>
      </c>
      <c r="L195" s="26" t="str">
        <f aca="false">IF($A195="","",IF(D195="Hourly",ROUND(F195*N(INDEX(Workers!$N$5:$N$2004,MATCH($A195,Workers!$A$5:$A$2004,0))),2),0))</f>
        <v/>
      </c>
      <c r="M195" s="26" t="str">
        <f aca="false">IF($A195="","",ROUND(G195*IF(D195="Hourly",N(INDEX(Workers!$N$5:$N$2004,MATCH($A195,Workers!$A$5:$A$2004,0))),I195/Settings!$B$10/Settings!$B$12)*Settings!$B$13,2))</f>
        <v/>
      </c>
      <c r="N195" s="26" t="str">
        <f aca="false">IF($A195="","",K195+L195+M195)</f>
        <v/>
      </c>
      <c r="O195" s="26" t="str">
        <f aca="false">IF($A195="","",SUMIFS(Deductions!$D$5:$D$2000,Deductions!$B$5:$B$2000,$A195,Deductions!$C$5:$C$2000,"Advance",Deductions!$E$5:$E$2000,"&gt;="&amp;Settings!$B$8,Deductions!$E$5:$E$2000,"&lt;="&amp;Settings!$B$9))</f>
        <v/>
      </c>
      <c r="P195" s="26" t="str">
        <f aca="false">IF($A195="","",SUMIFS(Deductions!$D$5:$D$2000,Deductions!$B$5:$B$2000,$A195,Deductions!$E$5:$E$2000,"&gt;="&amp;Settings!$B$8,Deductions!$E$5:$E$2000,"&lt;="&amp;Settings!$B$9)-O195)</f>
        <v/>
      </c>
      <c r="Q195" s="26" t="str">
        <f aca="false">IF($A195="","",O195+P195)</f>
        <v/>
      </c>
      <c r="R195" s="23" t="str">
        <f aca="false">IF($A195="","",N195-Q195)</f>
        <v/>
      </c>
      <c r="S195" s="24" t="str">
        <f aca="false">IF($A195="","",INDEX(Workers!$O$5:$O$2004,MATCH($A195,Workers!$A$5:$A$2004,0))&amp;"")</f>
        <v/>
      </c>
      <c r="T195" s="24" t="str">
        <f aca="false">IF($A195="","",INDEX(Workers!$P$5:$P$2004,MATCH($A195,Workers!$A$5:$A$2004,0))&amp;"")</f>
        <v/>
      </c>
      <c r="U195" s="24" t="str">
        <f aca="false">IF($A195="","",INDEX(Workers!$H$5:$H$2004,MATCH($A195,Workers!$A$5:$A$2004,0))&amp;"")</f>
        <v/>
      </c>
    </row>
    <row r="196" customFormat="false" ht="15" hidden="false" customHeight="false" outlineLevel="0" collapsed="false">
      <c r="A196" s="24" t="str">
        <f aca="false">IFERROR(INDEX(Workers!$A$5:$A$2004,MATCH(ROW()-4,Workers!$U$5:$U$2004,0)),"")</f>
        <v/>
      </c>
      <c r="B196" s="24" t="str">
        <f aca="false">IF($A196="","",INDEX(Workers!$B$5:$B$2004,MATCH($A196,Workers!$A$5:$A$2004,0)))</f>
        <v/>
      </c>
      <c r="C196" s="24" t="str">
        <f aca="false">IF($A196="","",INDEX(Workers!$E$5:$E$2004,MATCH($A196,Workers!$A$5:$A$2004,0)))</f>
        <v/>
      </c>
      <c r="D196" s="24" t="str">
        <f aca="false">IF($A196="","",INDEX(Workers!$K$5:$K$2004,MATCH($A196,Workers!$A$5:$A$2004,0)))</f>
        <v/>
      </c>
      <c r="E196" s="25" t="str">
        <f aca="false">IF($A196="","",SUMIFS(Timesheet!$E$5:$E$3004,Timesheet!$D$5:$D$3004,$A196,Timesheet!$A$5:$A$3004,"&gt;="&amp;Settings!$B$8,Timesheet!$A$5:$A$3004,"&lt;="&amp;Settings!$B$9))</f>
        <v/>
      </c>
      <c r="F196" s="25" t="str">
        <f aca="false">IF($A196="","",SUMIFS(Timesheet!$F$5:$F$3004,Timesheet!$D$5:$D$3004,$A196,Timesheet!$A$5:$A$3004,"&gt;="&amp;Settings!$B$8,Timesheet!$A$5:$A$3004,"&lt;="&amp;Settings!$B$9))</f>
        <v/>
      </c>
      <c r="G196" s="25" t="str">
        <f aca="false">IF($A196="","",SUMIFS(Timesheet!$G$5:$G$3004,Timesheet!$D$5:$D$3004,$A196,Timesheet!$A$5:$A$3004,"&gt;="&amp;Settings!$B$8,Timesheet!$A$5:$A$3004,"&lt;="&amp;Settings!$B$9))</f>
        <v/>
      </c>
      <c r="H196" s="25" t="str">
        <f aca="false">IF($A196="","",IF(D196="Monthly",MAX(0,Settings!$B$11-E196),0))</f>
        <v/>
      </c>
      <c r="I196" s="26" t="str">
        <f aca="false">IF($A196="","",N(INDEX(Workers!$L$5:$L$2004,MATCH($A196,Workers!$A$5:$A$2004,0))))</f>
        <v/>
      </c>
      <c r="J196" s="26" t="str">
        <f aca="false">IF($A196="","",N(INDEX(Workers!$M$5:$M$2004,MATCH($A196,Workers!$A$5:$A$2004,0))))</f>
        <v/>
      </c>
      <c r="K196" s="26" t="str">
        <f aca="false">IF($A196="","",IF(D196="Monthly",ROUND(MAX(0,(I196+J196)-(I196+J196)/Settings!$B$10*H196),2),0))</f>
        <v/>
      </c>
      <c r="L196" s="26" t="str">
        <f aca="false">IF($A196="","",IF(D196="Hourly",ROUND(F196*N(INDEX(Workers!$N$5:$N$2004,MATCH($A196,Workers!$A$5:$A$2004,0))),2),0))</f>
        <v/>
      </c>
      <c r="M196" s="26" t="str">
        <f aca="false">IF($A196="","",ROUND(G196*IF(D196="Hourly",N(INDEX(Workers!$N$5:$N$2004,MATCH($A196,Workers!$A$5:$A$2004,0))),I196/Settings!$B$10/Settings!$B$12)*Settings!$B$13,2))</f>
        <v/>
      </c>
      <c r="N196" s="26" t="str">
        <f aca="false">IF($A196="","",K196+L196+M196)</f>
        <v/>
      </c>
      <c r="O196" s="26" t="str">
        <f aca="false">IF($A196="","",SUMIFS(Deductions!$D$5:$D$2000,Deductions!$B$5:$B$2000,$A196,Deductions!$C$5:$C$2000,"Advance",Deductions!$E$5:$E$2000,"&gt;="&amp;Settings!$B$8,Deductions!$E$5:$E$2000,"&lt;="&amp;Settings!$B$9))</f>
        <v/>
      </c>
      <c r="P196" s="26" t="str">
        <f aca="false">IF($A196="","",SUMIFS(Deductions!$D$5:$D$2000,Deductions!$B$5:$B$2000,$A196,Deductions!$E$5:$E$2000,"&gt;="&amp;Settings!$B$8,Deductions!$E$5:$E$2000,"&lt;="&amp;Settings!$B$9)-O196)</f>
        <v/>
      </c>
      <c r="Q196" s="26" t="str">
        <f aca="false">IF($A196="","",O196+P196)</f>
        <v/>
      </c>
      <c r="R196" s="23" t="str">
        <f aca="false">IF($A196="","",N196-Q196)</f>
        <v/>
      </c>
      <c r="S196" s="24" t="str">
        <f aca="false">IF($A196="","",INDEX(Workers!$O$5:$O$2004,MATCH($A196,Workers!$A$5:$A$2004,0))&amp;"")</f>
        <v/>
      </c>
      <c r="T196" s="24" t="str">
        <f aca="false">IF($A196="","",INDEX(Workers!$P$5:$P$2004,MATCH($A196,Workers!$A$5:$A$2004,0))&amp;"")</f>
        <v/>
      </c>
      <c r="U196" s="24" t="str">
        <f aca="false">IF($A196="","",INDEX(Workers!$H$5:$H$2004,MATCH($A196,Workers!$A$5:$A$2004,0))&amp;"")</f>
        <v/>
      </c>
    </row>
    <row r="197" customFormat="false" ht="15" hidden="false" customHeight="false" outlineLevel="0" collapsed="false">
      <c r="A197" s="24" t="str">
        <f aca="false">IFERROR(INDEX(Workers!$A$5:$A$2004,MATCH(ROW()-4,Workers!$U$5:$U$2004,0)),"")</f>
        <v/>
      </c>
      <c r="B197" s="24" t="str">
        <f aca="false">IF($A197="","",INDEX(Workers!$B$5:$B$2004,MATCH($A197,Workers!$A$5:$A$2004,0)))</f>
        <v/>
      </c>
      <c r="C197" s="24" t="str">
        <f aca="false">IF($A197="","",INDEX(Workers!$E$5:$E$2004,MATCH($A197,Workers!$A$5:$A$2004,0)))</f>
        <v/>
      </c>
      <c r="D197" s="24" t="str">
        <f aca="false">IF($A197="","",INDEX(Workers!$K$5:$K$2004,MATCH($A197,Workers!$A$5:$A$2004,0)))</f>
        <v/>
      </c>
      <c r="E197" s="25" t="str">
        <f aca="false">IF($A197="","",SUMIFS(Timesheet!$E$5:$E$3004,Timesheet!$D$5:$D$3004,$A197,Timesheet!$A$5:$A$3004,"&gt;="&amp;Settings!$B$8,Timesheet!$A$5:$A$3004,"&lt;="&amp;Settings!$B$9))</f>
        <v/>
      </c>
      <c r="F197" s="25" t="str">
        <f aca="false">IF($A197="","",SUMIFS(Timesheet!$F$5:$F$3004,Timesheet!$D$5:$D$3004,$A197,Timesheet!$A$5:$A$3004,"&gt;="&amp;Settings!$B$8,Timesheet!$A$5:$A$3004,"&lt;="&amp;Settings!$B$9))</f>
        <v/>
      </c>
      <c r="G197" s="25" t="str">
        <f aca="false">IF($A197="","",SUMIFS(Timesheet!$G$5:$G$3004,Timesheet!$D$5:$D$3004,$A197,Timesheet!$A$5:$A$3004,"&gt;="&amp;Settings!$B$8,Timesheet!$A$5:$A$3004,"&lt;="&amp;Settings!$B$9))</f>
        <v/>
      </c>
      <c r="H197" s="25" t="str">
        <f aca="false">IF($A197="","",IF(D197="Monthly",MAX(0,Settings!$B$11-E197),0))</f>
        <v/>
      </c>
      <c r="I197" s="26" t="str">
        <f aca="false">IF($A197="","",N(INDEX(Workers!$L$5:$L$2004,MATCH($A197,Workers!$A$5:$A$2004,0))))</f>
        <v/>
      </c>
      <c r="J197" s="26" t="str">
        <f aca="false">IF($A197="","",N(INDEX(Workers!$M$5:$M$2004,MATCH($A197,Workers!$A$5:$A$2004,0))))</f>
        <v/>
      </c>
      <c r="K197" s="26" t="str">
        <f aca="false">IF($A197="","",IF(D197="Monthly",ROUND(MAX(0,(I197+J197)-(I197+J197)/Settings!$B$10*H197),2),0))</f>
        <v/>
      </c>
      <c r="L197" s="26" t="str">
        <f aca="false">IF($A197="","",IF(D197="Hourly",ROUND(F197*N(INDEX(Workers!$N$5:$N$2004,MATCH($A197,Workers!$A$5:$A$2004,0))),2),0))</f>
        <v/>
      </c>
      <c r="M197" s="26" t="str">
        <f aca="false">IF($A197="","",ROUND(G197*IF(D197="Hourly",N(INDEX(Workers!$N$5:$N$2004,MATCH($A197,Workers!$A$5:$A$2004,0))),I197/Settings!$B$10/Settings!$B$12)*Settings!$B$13,2))</f>
        <v/>
      </c>
      <c r="N197" s="26" t="str">
        <f aca="false">IF($A197="","",K197+L197+M197)</f>
        <v/>
      </c>
      <c r="O197" s="26" t="str">
        <f aca="false">IF($A197="","",SUMIFS(Deductions!$D$5:$D$2000,Deductions!$B$5:$B$2000,$A197,Deductions!$C$5:$C$2000,"Advance",Deductions!$E$5:$E$2000,"&gt;="&amp;Settings!$B$8,Deductions!$E$5:$E$2000,"&lt;="&amp;Settings!$B$9))</f>
        <v/>
      </c>
      <c r="P197" s="26" t="str">
        <f aca="false">IF($A197="","",SUMIFS(Deductions!$D$5:$D$2000,Deductions!$B$5:$B$2000,$A197,Deductions!$E$5:$E$2000,"&gt;="&amp;Settings!$B$8,Deductions!$E$5:$E$2000,"&lt;="&amp;Settings!$B$9)-O197)</f>
        <v/>
      </c>
      <c r="Q197" s="26" t="str">
        <f aca="false">IF($A197="","",O197+P197)</f>
        <v/>
      </c>
      <c r="R197" s="23" t="str">
        <f aca="false">IF($A197="","",N197-Q197)</f>
        <v/>
      </c>
      <c r="S197" s="24" t="str">
        <f aca="false">IF($A197="","",INDEX(Workers!$O$5:$O$2004,MATCH($A197,Workers!$A$5:$A$2004,0))&amp;"")</f>
        <v/>
      </c>
      <c r="T197" s="24" t="str">
        <f aca="false">IF($A197="","",INDEX(Workers!$P$5:$P$2004,MATCH($A197,Workers!$A$5:$A$2004,0))&amp;"")</f>
        <v/>
      </c>
      <c r="U197" s="24" t="str">
        <f aca="false">IF($A197="","",INDEX(Workers!$H$5:$H$2004,MATCH($A197,Workers!$A$5:$A$2004,0))&amp;"")</f>
        <v/>
      </c>
    </row>
    <row r="198" customFormat="false" ht="15" hidden="false" customHeight="false" outlineLevel="0" collapsed="false">
      <c r="A198" s="24" t="str">
        <f aca="false">IFERROR(INDEX(Workers!$A$5:$A$2004,MATCH(ROW()-4,Workers!$U$5:$U$2004,0)),"")</f>
        <v/>
      </c>
      <c r="B198" s="24" t="str">
        <f aca="false">IF($A198="","",INDEX(Workers!$B$5:$B$2004,MATCH($A198,Workers!$A$5:$A$2004,0)))</f>
        <v/>
      </c>
      <c r="C198" s="24" t="str">
        <f aca="false">IF($A198="","",INDEX(Workers!$E$5:$E$2004,MATCH($A198,Workers!$A$5:$A$2004,0)))</f>
        <v/>
      </c>
      <c r="D198" s="24" t="str">
        <f aca="false">IF($A198="","",INDEX(Workers!$K$5:$K$2004,MATCH($A198,Workers!$A$5:$A$2004,0)))</f>
        <v/>
      </c>
      <c r="E198" s="25" t="str">
        <f aca="false">IF($A198="","",SUMIFS(Timesheet!$E$5:$E$3004,Timesheet!$D$5:$D$3004,$A198,Timesheet!$A$5:$A$3004,"&gt;="&amp;Settings!$B$8,Timesheet!$A$5:$A$3004,"&lt;="&amp;Settings!$B$9))</f>
        <v/>
      </c>
      <c r="F198" s="25" t="str">
        <f aca="false">IF($A198="","",SUMIFS(Timesheet!$F$5:$F$3004,Timesheet!$D$5:$D$3004,$A198,Timesheet!$A$5:$A$3004,"&gt;="&amp;Settings!$B$8,Timesheet!$A$5:$A$3004,"&lt;="&amp;Settings!$B$9))</f>
        <v/>
      </c>
      <c r="G198" s="25" t="str">
        <f aca="false">IF($A198="","",SUMIFS(Timesheet!$G$5:$G$3004,Timesheet!$D$5:$D$3004,$A198,Timesheet!$A$5:$A$3004,"&gt;="&amp;Settings!$B$8,Timesheet!$A$5:$A$3004,"&lt;="&amp;Settings!$B$9))</f>
        <v/>
      </c>
      <c r="H198" s="25" t="str">
        <f aca="false">IF($A198="","",IF(D198="Monthly",MAX(0,Settings!$B$11-E198),0))</f>
        <v/>
      </c>
      <c r="I198" s="26" t="str">
        <f aca="false">IF($A198="","",N(INDEX(Workers!$L$5:$L$2004,MATCH($A198,Workers!$A$5:$A$2004,0))))</f>
        <v/>
      </c>
      <c r="J198" s="26" t="str">
        <f aca="false">IF($A198="","",N(INDEX(Workers!$M$5:$M$2004,MATCH($A198,Workers!$A$5:$A$2004,0))))</f>
        <v/>
      </c>
      <c r="K198" s="26" t="str">
        <f aca="false">IF($A198="","",IF(D198="Monthly",ROUND(MAX(0,(I198+J198)-(I198+J198)/Settings!$B$10*H198),2),0))</f>
        <v/>
      </c>
      <c r="L198" s="26" t="str">
        <f aca="false">IF($A198="","",IF(D198="Hourly",ROUND(F198*N(INDEX(Workers!$N$5:$N$2004,MATCH($A198,Workers!$A$5:$A$2004,0))),2),0))</f>
        <v/>
      </c>
      <c r="M198" s="26" t="str">
        <f aca="false">IF($A198="","",ROUND(G198*IF(D198="Hourly",N(INDEX(Workers!$N$5:$N$2004,MATCH($A198,Workers!$A$5:$A$2004,0))),I198/Settings!$B$10/Settings!$B$12)*Settings!$B$13,2))</f>
        <v/>
      </c>
      <c r="N198" s="26" t="str">
        <f aca="false">IF($A198="","",K198+L198+M198)</f>
        <v/>
      </c>
      <c r="O198" s="26" t="str">
        <f aca="false">IF($A198="","",SUMIFS(Deductions!$D$5:$D$2000,Deductions!$B$5:$B$2000,$A198,Deductions!$C$5:$C$2000,"Advance",Deductions!$E$5:$E$2000,"&gt;="&amp;Settings!$B$8,Deductions!$E$5:$E$2000,"&lt;="&amp;Settings!$B$9))</f>
        <v/>
      </c>
      <c r="P198" s="26" t="str">
        <f aca="false">IF($A198="","",SUMIFS(Deductions!$D$5:$D$2000,Deductions!$B$5:$B$2000,$A198,Deductions!$E$5:$E$2000,"&gt;="&amp;Settings!$B$8,Deductions!$E$5:$E$2000,"&lt;="&amp;Settings!$B$9)-O198)</f>
        <v/>
      </c>
      <c r="Q198" s="26" t="str">
        <f aca="false">IF($A198="","",O198+P198)</f>
        <v/>
      </c>
      <c r="R198" s="23" t="str">
        <f aca="false">IF($A198="","",N198-Q198)</f>
        <v/>
      </c>
      <c r="S198" s="24" t="str">
        <f aca="false">IF($A198="","",INDEX(Workers!$O$5:$O$2004,MATCH($A198,Workers!$A$5:$A$2004,0))&amp;"")</f>
        <v/>
      </c>
      <c r="T198" s="24" t="str">
        <f aca="false">IF($A198="","",INDEX(Workers!$P$5:$P$2004,MATCH($A198,Workers!$A$5:$A$2004,0))&amp;"")</f>
        <v/>
      </c>
      <c r="U198" s="24" t="str">
        <f aca="false">IF($A198="","",INDEX(Workers!$H$5:$H$2004,MATCH($A198,Workers!$A$5:$A$2004,0))&amp;"")</f>
        <v/>
      </c>
    </row>
    <row r="199" customFormat="false" ht="15" hidden="false" customHeight="false" outlineLevel="0" collapsed="false">
      <c r="A199" s="24" t="str">
        <f aca="false">IFERROR(INDEX(Workers!$A$5:$A$2004,MATCH(ROW()-4,Workers!$U$5:$U$2004,0)),"")</f>
        <v/>
      </c>
      <c r="B199" s="24" t="str">
        <f aca="false">IF($A199="","",INDEX(Workers!$B$5:$B$2004,MATCH($A199,Workers!$A$5:$A$2004,0)))</f>
        <v/>
      </c>
      <c r="C199" s="24" t="str">
        <f aca="false">IF($A199="","",INDEX(Workers!$E$5:$E$2004,MATCH($A199,Workers!$A$5:$A$2004,0)))</f>
        <v/>
      </c>
      <c r="D199" s="24" t="str">
        <f aca="false">IF($A199="","",INDEX(Workers!$K$5:$K$2004,MATCH($A199,Workers!$A$5:$A$2004,0)))</f>
        <v/>
      </c>
      <c r="E199" s="25" t="str">
        <f aca="false">IF($A199="","",SUMIFS(Timesheet!$E$5:$E$3004,Timesheet!$D$5:$D$3004,$A199,Timesheet!$A$5:$A$3004,"&gt;="&amp;Settings!$B$8,Timesheet!$A$5:$A$3004,"&lt;="&amp;Settings!$B$9))</f>
        <v/>
      </c>
      <c r="F199" s="25" t="str">
        <f aca="false">IF($A199="","",SUMIFS(Timesheet!$F$5:$F$3004,Timesheet!$D$5:$D$3004,$A199,Timesheet!$A$5:$A$3004,"&gt;="&amp;Settings!$B$8,Timesheet!$A$5:$A$3004,"&lt;="&amp;Settings!$B$9))</f>
        <v/>
      </c>
      <c r="G199" s="25" t="str">
        <f aca="false">IF($A199="","",SUMIFS(Timesheet!$G$5:$G$3004,Timesheet!$D$5:$D$3004,$A199,Timesheet!$A$5:$A$3004,"&gt;="&amp;Settings!$B$8,Timesheet!$A$5:$A$3004,"&lt;="&amp;Settings!$B$9))</f>
        <v/>
      </c>
      <c r="H199" s="25" t="str">
        <f aca="false">IF($A199="","",IF(D199="Monthly",MAX(0,Settings!$B$11-E199),0))</f>
        <v/>
      </c>
      <c r="I199" s="26" t="str">
        <f aca="false">IF($A199="","",N(INDEX(Workers!$L$5:$L$2004,MATCH($A199,Workers!$A$5:$A$2004,0))))</f>
        <v/>
      </c>
      <c r="J199" s="26" t="str">
        <f aca="false">IF($A199="","",N(INDEX(Workers!$M$5:$M$2004,MATCH($A199,Workers!$A$5:$A$2004,0))))</f>
        <v/>
      </c>
      <c r="K199" s="26" t="str">
        <f aca="false">IF($A199="","",IF(D199="Monthly",ROUND(MAX(0,(I199+J199)-(I199+J199)/Settings!$B$10*H199),2),0))</f>
        <v/>
      </c>
      <c r="L199" s="26" t="str">
        <f aca="false">IF($A199="","",IF(D199="Hourly",ROUND(F199*N(INDEX(Workers!$N$5:$N$2004,MATCH($A199,Workers!$A$5:$A$2004,0))),2),0))</f>
        <v/>
      </c>
      <c r="M199" s="26" t="str">
        <f aca="false">IF($A199="","",ROUND(G199*IF(D199="Hourly",N(INDEX(Workers!$N$5:$N$2004,MATCH($A199,Workers!$A$5:$A$2004,0))),I199/Settings!$B$10/Settings!$B$12)*Settings!$B$13,2))</f>
        <v/>
      </c>
      <c r="N199" s="26" t="str">
        <f aca="false">IF($A199="","",K199+L199+M199)</f>
        <v/>
      </c>
      <c r="O199" s="26" t="str">
        <f aca="false">IF($A199="","",SUMIFS(Deductions!$D$5:$D$2000,Deductions!$B$5:$B$2000,$A199,Deductions!$C$5:$C$2000,"Advance",Deductions!$E$5:$E$2000,"&gt;="&amp;Settings!$B$8,Deductions!$E$5:$E$2000,"&lt;="&amp;Settings!$B$9))</f>
        <v/>
      </c>
      <c r="P199" s="26" t="str">
        <f aca="false">IF($A199="","",SUMIFS(Deductions!$D$5:$D$2000,Deductions!$B$5:$B$2000,$A199,Deductions!$E$5:$E$2000,"&gt;="&amp;Settings!$B$8,Deductions!$E$5:$E$2000,"&lt;="&amp;Settings!$B$9)-O199)</f>
        <v/>
      </c>
      <c r="Q199" s="26" t="str">
        <f aca="false">IF($A199="","",O199+P199)</f>
        <v/>
      </c>
      <c r="R199" s="23" t="str">
        <f aca="false">IF($A199="","",N199-Q199)</f>
        <v/>
      </c>
      <c r="S199" s="24" t="str">
        <f aca="false">IF($A199="","",INDEX(Workers!$O$5:$O$2004,MATCH($A199,Workers!$A$5:$A$2004,0))&amp;"")</f>
        <v/>
      </c>
      <c r="T199" s="24" t="str">
        <f aca="false">IF($A199="","",INDEX(Workers!$P$5:$P$2004,MATCH($A199,Workers!$A$5:$A$2004,0))&amp;"")</f>
        <v/>
      </c>
      <c r="U199" s="24" t="str">
        <f aca="false">IF($A199="","",INDEX(Workers!$H$5:$H$2004,MATCH($A199,Workers!$A$5:$A$2004,0))&amp;"")</f>
        <v/>
      </c>
    </row>
    <row r="200" customFormat="false" ht="15" hidden="false" customHeight="false" outlineLevel="0" collapsed="false">
      <c r="A200" s="24" t="str">
        <f aca="false">IFERROR(INDEX(Workers!$A$5:$A$2004,MATCH(ROW()-4,Workers!$U$5:$U$2004,0)),"")</f>
        <v/>
      </c>
      <c r="B200" s="24" t="str">
        <f aca="false">IF($A200="","",INDEX(Workers!$B$5:$B$2004,MATCH($A200,Workers!$A$5:$A$2004,0)))</f>
        <v/>
      </c>
      <c r="C200" s="24" t="str">
        <f aca="false">IF($A200="","",INDEX(Workers!$E$5:$E$2004,MATCH($A200,Workers!$A$5:$A$2004,0)))</f>
        <v/>
      </c>
      <c r="D200" s="24" t="str">
        <f aca="false">IF($A200="","",INDEX(Workers!$K$5:$K$2004,MATCH($A200,Workers!$A$5:$A$2004,0)))</f>
        <v/>
      </c>
      <c r="E200" s="25" t="str">
        <f aca="false">IF($A200="","",SUMIFS(Timesheet!$E$5:$E$3004,Timesheet!$D$5:$D$3004,$A200,Timesheet!$A$5:$A$3004,"&gt;="&amp;Settings!$B$8,Timesheet!$A$5:$A$3004,"&lt;="&amp;Settings!$B$9))</f>
        <v/>
      </c>
      <c r="F200" s="25" t="str">
        <f aca="false">IF($A200="","",SUMIFS(Timesheet!$F$5:$F$3004,Timesheet!$D$5:$D$3004,$A200,Timesheet!$A$5:$A$3004,"&gt;="&amp;Settings!$B$8,Timesheet!$A$5:$A$3004,"&lt;="&amp;Settings!$B$9))</f>
        <v/>
      </c>
      <c r="G200" s="25" t="str">
        <f aca="false">IF($A200="","",SUMIFS(Timesheet!$G$5:$G$3004,Timesheet!$D$5:$D$3004,$A200,Timesheet!$A$5:$A$3004,"&gt;="&amp;Settings!$B$8,Timesheet!$A$5:$A$3004,"&lt;="&amp;Settings!$B$9))</f>
        <v/>
      </c>
      <c r="H200" s="25" t="str">
        <f aca="false">IF($A200="","",IF(D200="Monthly",MAX(0,Settings!$B$11-E200),0))</f>
        <v/>
      </c>
      <c r="I200" s="26" t="str">
        <f aca="false">IF($A200="","",N(INDEX(Workers!$L$5:$L$2004,MATCH($A200,Workers!$A$5:$A$2004,0))))</f>
        <v/>
      </c>
      <c r="J200" s="26" t="str">
        <f aca="false">IF($A200="","",N(INDEX(Workers!$M$5:$M$2004,MATCH($A200,Workers!$A$5:$A$2004,0))))</f>
        <v/>
      </c>
      <c r="K200" s="26" t="str">
        <f aca="false">IF($A200="","",IF(D200="Monthly",ROUND(MAX(0,(I200+J200)-(I200+J200)/Settings!$B$10*H200),2),0))</f>
        <v/>
      </c>
      <c r="L200" s="26" t="str">
        <f aca="false">IF($A200="","",IF(D200="Hourly",ROUND(F200*N(INDEX(Workers!$N$5:$N$2004,MATCH($A200,Workers!$A$5:$A$2004,0))),2),0))</f>
        <v/>
      </c>
      <c r="M200" s="26" t="str">
        <f aca="false">IF($A200="","",ROUND(G200*IF(D200="Hourly",N(INDEX(Workers!$N$5:$N$2004,MATCH($A200,Workers!$A$5:$A$2004,0))),I200/Settings!$B$10/Settings!$B$12)*Settings!$B$13,2))</f>
        <v/>
      </c>
      <c r="N200" s="26" t="str">
        <f aca="false">IF($A200="","",K200+L200+M200)</f>
        <v/>
      </c>
      <c r="O200" s="26" t="str">
        <f aca="false">IF($A200="","",SUMIFS(Deductions!$D$5:$D$2000,Deductions!$B$5:$B$2000,$A200,Deductions!$C$5:$C$2000,"Advance",Deductions!$E$5:$E$2000,"&gt;="&amp;Settings!$B$8,Deductions!$E$5:$E$2000,"&lt;="&amp;Settings!$B$9))</f>
        <v/>
      </c>
      <c r="P200" s="26" t="str">
        <f aca="false">IF($A200="","",SUMIFS(Deductions!$D$5:$D$2000,Deductions!$B$5:$B$2000,$A200,Deductions!$E$5:$E$2000,"&gt;="&amp;Settings!$B$8,Deductions!$E$5:$E$2000,"&lt;="&amp;Settings!$B$9)-O200)</f>
        <v/>
      </c>
      <c r="Q200" s="26" t="str">
        <f aca="false">IF($A200="","",O200+P200)</f>
        <v/>
      </c>
      <c r="R200" s="23" t="str">
        <f aca="false">IF($A200="","",N200-Q200)</f>
        <v/>
      </c>
      <c r="S200" s="24" t="str">
        <f aca="false">IF($A200="","",INDEX(Workers!$O$5:$O$2004,MATCH($A200,Workers!$A$5:$A$2004,0))&amp;"")</f>
        <v/>
      </c>
      <c r="T200" s="24" t="str">
        <f aca="false">IF($A200="","",INDEX(Workers!$P$5:$P$2004,MATCH($A200,Workers!$A$5:$A$2004,0))&amp;"")</f>
        <v/>
      </c>
      <c r="U200" s="24" t="str">
        <f aca="false">IF($A200="","",INDEX(Workers!$H$5:$H$2004,MATCH($A200,Workers!$A$5:$A$2004,0))&amp;"")</f>
        <v/>
      </c>
    </row>
    <row r="201" customFormat="false" ht="15" hidden="false" customHeight="false" outlineLevel="0" collapsed="false">
      <c r="A201" s="24" t="str">
        <f aca="false">IFERROR(INDEX(Workers!$A$5:$A$2004,MATCH(ROW()-4,Workers!$U$5:$U$2004,0)),"")</f>
        <v/>
      </c>
      <c r="B201" s="24" t="str">
        <f aca="false">IF($A201="","",INDEX(Workers!$B$5:$B$2004,MATCH($A201,Workers!$A$5:$A$2004,0)))</f>
        <v/>
      </c>
      <c r="C201" s="24" t="str">
        <f aca="false">IF($A201="","",INDEX(Workers!$E$5:$E$2004,MATCH($A201,Workers!$A$5:$A$2004,0)))</f>
        <v/>
      </c>
      <c r="D201" s="24" t="str">
        <f aca="false">IF($A201="","",INDEX(Workers!$K$5:$K$2004,MATCH($A201,Workers!$A$5:$A$2004,0)))</f>
        <v/>
      </c>
      <c r="E201" s="25" t="str">
        <f aca="false">IF($A201="","",SUMIFS(Timesheet!$E$5:$E$3004,Timesheet!$D$5:$D$3004,$A201,Timesheet!$A$5:$A$3004,"&gt;="&amp;Settings!$B$8,Timesheet!$A$5:$A$3004,"&lt;="&amp;Settings!$B$9))</f>
        <v/>
      </c>
      <c r="F201" s="25" t="str">
        <f aca="false">IF($A201="","",SUMIFS(Timesheet!$F$5:$F$3004,Timesheet!$D$5:$D$3004,$A201,Timesheet!$A$5:$A$3004,"&gt;="&amp;Settings!$B$8,Timesheet!$A$5:$A$3004,"&lt;="&amp;Settings!$B$9))</f>
        <v/>
      </c>
      <c r="G201" s="25" t="str">
        <f aca="false">IF($A201="","",SUMIFS(Timesheet!$G$5:$G$3004,Timesheet!$D$5:$D$3004,$A201,Timesheet!$A$5:$A$3004,"&gt;="&amp;Settings!$B$8,Timesheet!$A$5:$A$3004,"&lt;="&amp;Settings!$B$9))</f>
        <v/>
      </c>
      <c r="H201" s="25" t="str">
        <f aca="false">IF($A201="","",IF(D201="Monthly",MAX(0,Settings!$B$11-E201),0))</f>
        <v/>
      </c>
      <c r="I201" s="26" t="str">
        <f aca="false">IF($A201="","",N(INDEX(Workers!$L$5:$L$2004,MATCH($A201,Workers!$A$5:$A$2004,0))))</f>
        <v/>
      </c>
      <c r="J201" s="26" t="str">
        <f aca="false">IF($A201="","",N(INDEX(Workers!$M$5:$M$2004,MATCH($A201,Workers!$A$5:$A$2004,0))))</f>
        <v/>
      </c>
      <c r="K201" s="26" t="str">
        <f aca="false">IF($A201="","",IF(D201="Monthly",ROUND(MAX(0,(I201+J201)-(I201+J201)/Settings!$B$10*H201),2),0))</f>
        <v/>
      </c>
      <c r="L201" s="26" t="str">
        <f aca="false">IF($A201="","",IF(D201="Hourly",ROUND(F201*N(INDEX(Workers!$N$5:$N$2004,MATCH($A201,Workers!$A$5:$A$2004,0))),2),0))</f>
        <v/>
      </c>
      <c r="M201" s="26" t="str">
        <f aca="false">IF($A201="","",ROUND(G201*IF(D201="Hourly",N(INDEX(Workers!$N$5:$N$2004,MATCH($A201,Workers!$A$5:$A$2004,0))),I201/Settings!$B$10/Settings!$B$12)*Settings!$B$13,2))</f>
        <v/>
      </c>
      <c r="N201" s="26" t="str">
        <f aca="false">IF($A201="","",K201+L201+M201)</f>
        <v/>
      </c>
      <c r="O201" s="26" t="str">
        <f aca="false">IF($A201="","",SUMIFS(Deductions!$D$5:$D$2000,Deductions!$B$5:$B$2000,$A201,Deductions!$C$5:$C$2000,"Advance",Deductions!$E$5:$E$2000,"&gt;="&amp;Settings!$B$8,Deductions!$E$5:$E$2000,"&lt;="&amp;Settings!$B$9))</f>
        <v/>
      </c>
      <c r="P201" s="26" t="str">
        <f aca="false">IF($A201="","",SUMIFS(Deductions!$D$5:$D$2000,Deductions!$B$5:$B$2000,$A201,Deductions!$E$5:$E$2000,"&gt;="&amp;Settings!$B$8,Deductions!$E$5:$E$2000,"&lt;="&amp;Settings!$B$9)-O201)</f>
        <v/>
      </c>
      <c r="Q201" s="26" t="str">
        <f aca="false">IF($A201="","",O201+P201)</f>
        <v/>
      </c>
      <c r="R201" s="23" t="str">
        <f aca="false">IF($A201="","",N201-Q201)</f>
        <v/>
      </c>
      <c r="S201" s="24" t="str">
        <f aca="false">IF($A201="","",INDEX(Workers!$O$5:$O$2004,MATCH($A201,Workers!$A$5:$A$2004,0))&amp;"")</f>
        <v/>
      </c>
      <c r="T201" s="24" t="str">
        <f aca="false">IF($A201="","",INDEX(Workers!$P$5:$P$2004,MATCH($A201,Workers!$A$5:$A$2004,0))&amp;"")</f>
        <v/>
      </c>
      <c r="U201" s="24" t="str">
        <f aca="false">IF($A201="","",INDEX(Workers!$H$5:$H$2004,MATCH($A201,Workers!$A$5:$A$2004,0))&amp;"")</f>
        <v/>
      </c>
    </row>
    <row r="202" customFormat="false" ht="15" hidden="false" customHeight="false" outlineLevel="0" collapsed="false">
      <c r="A202" s="24" t="str">
        <f aca="false">IFERROR(INDEX(Workers!$A$5:$A$2004,MATCH(ROW()-4,Workers!$U$5:$U$2004,0)),"")</f>
        <v/>
      </c>
      <c r="B202" s="24" t="str">
        <f aca="false">IF($A202="","",INDEX(Workers!$B$5:$B$2004,MATCH($A202,Workers!$A$5:$A$2004,0)))</f>
        <v/>
      </c>
      <c r="C202" s="24" t="str">
        <f aca="false">IF($A202="","",INDEX(Workers!$E$5:$E$2004,MATCH($A202,Workers!$A$5:$A$2004,0)))</f>
        <v/>
      </c>
      <c r="D202" s="24" t="str">
        <f aca="false">IF($A202="","",INDEX(Workers!$K$5:$K$2004,MATCH($A202,Workers!$A$5:$A$2004,0)))</f>
        <v/>
      </c>
      <c r="E202" s="25" t="str">
        <f aca="false">IF($A202="","",SUMIFS(Timesheet!$E$5:$E$3004,Timesheet!$D$5:$D$3004,$A202,Timesheet!$A$5:$A$3004,"&gt;="&amp;Settings!$B$8,Timesheet!$A$5:$A$3004,"&lt;="&amp;Settings!$B$9))</f>
        <v/>
      </c>
      <c r="F202" s="25" t="str">
        <f aca="false">IF($A202="","",SUMIFS(Timesheet!$F$5:$F$3004,Timesheet!$D$5:$D$3004,$A202,Timesheet!$A$5:$A$3004,"&gt;="&amp;Settings!$B$8,Timesheet!$A$5:$A$3004,"&lt;="&amp;Settings!$B$9))</f>
        <v/>
      </c>
      <c r="G202" s="25" t="str">
        <f aca="false">IF($A202="","",SUMIFS(Timesheet!$G$5:$G$3004,Timesheet!$D$5:$D$3004,$A202,Timesheet!$A$5:$A$3004,"&gt;="&amp;Settings!$B$8,Timesheet!$A$5:$A$3004,"&lt;="&amp;Settings!$B$9))</f>
        <v/>
      </c>
      <c r="H202" s="25" t="str">
        <f aca="false">IF($A202="","",IF(D202="Monthly",MAX(0,Settings!$B$11-E202),0))</f>
        <v/>
      </c>
      <c r="I202" s="26" t="str">
        <f aca="false">IF($A202="","",N(INDEX(Workers!$L$5:$L$2004,MATCH($A202,Workers!$A$5:$A$2004,0))))</f>
        <v/>
      </c>
      <c r="J202" s="26" t="str">
        <f aca="false">IF($A202="","",N(INDEX(Workers!$M$5:$M$2004,MATCH($A202,Workers!$A$5:$A$2004,0))))</f>
        <v/>
      </c>
      <c r="K202" s="26" t="str">
        <f aca="false">IF($A202="","",IF(D202="Monthly",ROUND(MAX(0,(I202+J202)-(I202+J202)/Settings!$B$10*H202),2),0))</f>
        <v/>
      </c>
      <c r="L202" s="26" t="str">
        <f aca="false">IF($A202="","",IF(D202="Hourly",ROUND(F202*N(INDEX(Workers!$N$5:$N$2004,MATCH($A202,Workers!$A$5:$A$2004,0))),2),0))</f>
        <v/>
      </c>
      <c r="M202" s="26" t="str">
        <f aca="false">IF($A202="","",ROUND(G202*IF(D202="Hourly",N(INDEX(Workers!$N$5:$N$2004,MATCH($A202,Workers!$A$5:$A$2004,0))),I202/Settings!$B$10/Settings!$B$12)*Settings!$B$13,2))</f>
        <v/>
      </c>
      <c r="N202" s="26" t="str">
        <f aca="false">IF($A202="","",K202+L202+M202)</f>
        <v/>
      </c>
      <c r="O202" s="26" t="str">
        <f aca="false">IF($A202="","",SUMIFS(Deductions!$D$5:$D$2000,Deductions!$B$5:$B$2000,$A202,Deductions!$C$5:$C$2000,"Advance",Deductions!$E$5:$E$2000,"&gt;="&amp;Settings!$B$8,Deductions!$E$5:$E$2000,"&lt;="&amp;Settings!$B$9))</f>
        <v/>
      </c>
      <c r="P202" s="26" t="str">
        <f aca="false">IF($A202="","",SUMIFS(Deductions!$D$5:$D$2000,Deductions!$B$5:$B$2000,$A202,Deductions!$E$5:$E$2000,"&gt;="&amp;Settings!$B$8,Deductions!$E$5:$E$2000,"&lt;="&amp;Settings!$B$9)-O202)</f>
        <v/>
      </c>
      <c r="Q202" s="26" t="str">
        <f aca="false">IF($A202="","",O202+P202)</f>
        <v/>
      </c>
      <c r="R202" s="23" t="str">
        <f aca="false">IF($A202="","",N202-Q202)</f>
        <v/>
      </c>
      <c r="S202" s="24" t="str">
        <f aca="false">IF($A202="","",INDEX(Workers!$O$5:$O$2004,MATCH($A202,Workers!$A$5:$A$2004,0))&amp;"")</f>
        <v/>
      </c>
      <c r="T202" s="24" t="str">
        <f aca="false">IF($A202="","",INDEX(Workers!$P$5:$P$2004,MATCH($A202,Workers!$A$5:$A$2004,0))&amp;"")</f>
        <v/>
      </c>
      <c r="U202" s="24" t="str">
        <f aca="false">IF($A202="","",INDEX(Workers!$H$5:$H$2004,MATCH($A202,Workers!$A$5:$A$2004,0))&amp;"")</f>
        <v/>
      </c>
    </row>
    <row r="203" customFormat="false" ht="15" hidden="false" customHeight="false" outlineLevel="0" collapsed="false">
      <c r="A203" s="24" t="str">
        <f aca="false">IFERROR(INDEX(Workers!$A$5:$A$2004,MATCH(ROW()-4,Workers!$U$5:$U$2004,0)),"")</f>
        <v/>
      </c>
      <c r="B203" s="24" t="str">
        <f aca="false">IF($A203="","",INDEX(Workers!$B$5:$B$2004,MATCH($A203,Workers!$A$5:$A$2004,0)))</f>
        <v/>
      </c>
      <c r="C203" s="24" t="str">
        <f aca="false">IF($A203="","",INDEX(Workers!$E$5:$E$2004,MATCH($A203,Workers!$A$5:$A$2004,0)))</f>
        <v/>
      </c>
      <c r="D203" s="24" t="str">
        <f aca="false">IF($A203="","",INDEX(Workers!$K$5:$K$2004,MATCH($A203,Workers!$A$5:$A$2004,0)))</f>
        <v/>
      </c>
      <c r="E203" s="25" t="str">
        <f aca="false">IF($A203="","",SUMIFS(Timesheet!$E$5:$E$3004,Timesheet!$D$5:$D$3004,$A203,Timesheet!$A$5:$A$3004,"&gt;="&amp;Settings!$B$8,Timesheet!$A$5:$A$3004,"&lt;="&amp;Settings!$B$9))</f>
        <v/>
      </c>
      <c r="F203" s="25" t="str">
        <f aca="false">IF($A203="","",SUMIFS(Timesheet!$F$5:$F$3004,Timesheet!$D$5:$D$3004,$A203,Timesheet!$A$5:$A$3004,"&gt;="&amp;Settings!$B$8,Timesheet!$A$5:$A$3004,"&lt;="&amp;Settings!$B$9))</f>
        <v/>
      </c>
      <c r="G203" s="25" t="str">
        <f aca="false">IF($A203="","",SUMIFS(Timesheet!$G$5:$G$3004,Timesheet!$D$5:$D$3004,$A203,Timesheet!$A$5:$A$3004,"&gt;="&amp;Settings!$B$8,Timesheet!$A$5:$A$3004,"&lt;="&amp;Settings!$B$9))</f>
        <v/>
      </c>
      <c r="H203" s="25" t="str">
        <f aca="false">IF($A203="","",IF(D203="Monthly",MAX(0,Settings!$B$11-E203),0))</f>
        <v/>
      </c>
      <c r="I203" s="26" t="str">
        <f aca="false">IF($A203="","",N(INDEX(Workers!$L$5:$L$2004,MATCH($A203,Workers!$A$5:$A$2004,0))))</f>
        <v/>
      </c>
      <c r="J203" s="26" t="str">
        <f aca="false">IF($A203="","",N(INDEX(Workers!$M$5:$M$2004,MATCH($A203,Workers!$A$5:$A$2004,0))))</f>
        <v/>
      </c>
      <c r="K203" s="26" t="str">
        <f aca="false">IF($A203="","",IF(D203="Monthly",ROUND(MAX(0,(I203+J203)-(I203+J203)/Settings!$B$10*H203),2),0))</f>
        <v/>
      </c>
      <c r="L203" s="26" t="str">
        <f aca="false">IF($A203="","",IF(D203="Hourly",ROUND(F203*N(INDEX(Workers!$N$5:$N$2004,MATCH($A203,Workers!$A$5:$A$2004,0))),2),0))</f>
        <v/>
      </c>
      <c r="M203" s="26" t="str">
        <f aca="false">IF($A203="","",ROUND(G203*IF(D203="Hourly",N(INDEX(Workers!$N$5:$N$2004,MATCH($A203,Workers!$A$5:$A$2004,0))),I203/Settings!$B$10/Settings!$B$12)*Settings!$B$13,2))</f>
        <v/>
      </c>
      <c r="N203" s="26" t="str">
        <f aca="false">IF($A203="","",K203+L203+M203)</f>
        <v/>
      </c>
      <c r="O203" s="26" t="str">
        <f aca="false">IF($A203="","",SUMIFS(Deductions!$D$5:$D$2000,Deductions!$B$5:$B$2000,$A203,Deductions!$C$5:$C$2000,"Advance",Deductions!$E$5:$E$2000,"&gt;="&amp;Settings!$B$8,Deductions!$E$5:$E$2000,"&lt;="&amp;Settings!$B$9))</f>
        <v/>
      </c>
      <c r="P203" s="26" t="str">
        <f aca="false">IF($A203="","",SUMIFS(Deductions!$D$5:$D$2000,Deductions!$B$5:$B$2000,$A203,Deductions!$E$5:$E$2000,"&gt;="&amp;Settings!$B$8,Deductions!$E$5:$E$2000,"&lt;="&amp;Settings!$B$9)-O203)</f>
        <v/>
      </c>
      <c r="Q203" s="26" t="str">
        <f aca="false">IF($A203="","",O203+P203)</f>
        <v/>
      </c>
      <c r="R203" s="23" t="str">
        <f aca="false">IF($A203="","",N203-Q203)</f>
        <v/>
      </c>
      <c r="S203" s="24" t="str">
        <f aca="false">IF($A203="","",INDEX(Workers!$O$5:$O$2004,MATCH($A203,Workers!$A$5:$A$2004,0))&amp;"")</f>
        <v/>
      </c>
      <c r="T203" s="24" t="str">
        <f aca="false">IF($A203="","",INDEX(Workers!$P$5:$P$2004,MATCH($A203,Workers!$A$5:$A$2004,0))&amp;"")</f>
        <v/>
      </c>
      <c r="U203" s="24" t="str">
        <f aca="false">IF($A203="","",INDEX(Workers!$H$5:$H$2004,MATCH($A203,Workers!$A$5:$A$2004,0))&amp;"")</f>
        <v/>
      </c>
    </row>
    <row r="204" customFormat="false" ht="15" hidden="false" customHeight="false" outlineLevel="0" collapsed="false">
      <c r="A204" s="24" t="str">
        <f aca="false">IFERROR(INDEX(Workers!$A$5:$A$2004,MATCH(ROW()-4,Workers!$U$5:$U$2004,0)),"")</f>
        <v/>
      </c>
      <c r="B204" s="24" t="str">
        <f aca="false">IF($A204="","",INDEX(Workers!$B$5:$B$2004,MATCH($A204,Workers!$A$5:$A$2004,0)))</f>
        <v/>
      </c>
      <c r="C204" s="24" t="str">
        <f aca="false">IF($A204="","",INDEX(Workers!$E$5:$E$2004,MATCH($A204,Workers!$A$5:$A$2004,0)))</f>
        <v/>
      </c>
      <c r="D204" s="24" t="str">
        <f aca="false">IF($A204="","",INDEX(Workers!$K$5:$K$2004,MATCH($A204,Workers!$A$5:$A$2004,0)))</f>
        <v/>
      </c>
      <c r="E204" s="25" t="str">
        <f aca="false">IF($A204="","",SUMIFS(Timesheet!$E$5:$E$3004,Timesheet!$D$5:$D$3004,$A204,Timesheet!$A$5:$A$3004,"&gt;="&amp;Settings!$B$8,Timesheet!$A$5:$A$3004,"&lt;="&amp;Settings!$B$9))</f>
        <v/>
      </c>
      <c r="F204" s="25" t="str">
        <f aca="false">IF($A204="","",SUMIFS(Timesheet!$F$5:$F$3004,Timesheet!$D$5:$D$3004,$A204,Timesheet!$A$5:$A$3004,"&gt;="&amp;Settings!$B$8,Timesheet!$A$5:$A$3004,"&lt;="&amp;Settings!$B$9))</f>
        <v/>
      </c>
      <c r="G204" s="25" t="str">
        <f aca="false">IF($A204="","",SUMIFS(Timesheet!$G$5:$G$3004,Timesheet!$D$5:$D$3004,$A204,Timesheet!$A$5:$A$3004,"&gt;="&amp;Settings!$B$8,Timesheet!$A$5:$A$3004,"&lt;="&amp;Settings!$B$9))</f>
        <v/>
      </c>
      <c r="H204" s="25" t="str">
        <f aca="false">IF($A204="","",IF(D204="Monthly",MAX(0,Settings!$B$11-E204),0))</f>
        <v/>
      </c>
      <c r="I204" s="26" t="str">
        <f aca="false">IF($A204="","",N(INDEX(Workers!$L$5:$L$2004,MATCH($A204,Workers!$A$5:$A$2004,0))))</f>
        <v/>
      </c>
      <c r="J204" s="26" t="str">
        <f aca="false">IF($A204="","",N(INDEX(Workers!$M$5:$M$2004,MATCH($A204,Workers!$A$5:$A$2004,0))))</f>
        <v/>
      </c>
      <c r="K204" s="26" t="str">
        <f aca="false">IF($A204="","",IF(D204="Monthly",ROUND(MAX(0,(I204+J204)-(I204+J204)/Settings!$B$10*H204),2),0))</f>
        <v/>
      </c>
      <c r="L204" s="26" t="str">
        <f aca="false">IF($A204="","",IF(D204="Hourly",ROUND(F204*N(INDEX(Workers!$N$5:$N$2004,MATCH($A204,Workers!$A$5:$A$2004,0))),2),0))</f>
        <v/>
      </c>
      <c r="M204" s="26" t="str">
        <f aca="false">IF($A204="","",ROUND(G204*IF(D204="Hourly",N(INDEX(Workers!$N$5:$N$2004,MATCH($A204,Workers!$A$5:$A$2004,0))),I204/Settings!$B$10/Settings!$B$12)*Settings!$B$13,2))</f>
        <v/>
      </c>
      <c r="N204" s="26" t="str">
        <f aca="false">IF($A204="","",K204+L204+M204)</f>
        <v/>
      </c>
      <c r="O204" s="26" t="str">
        <f aca="false">IF($A204="","",SUMIFS(Deductions!$D$5:$D$2000,Deductions!$B$5:$B$2000,$A204,Deductions!$C$5:$C$2000,"Advance",Deductions!$E$5:$E$2000,"&gt;="&amp;Settings!$B$8,Deductions!$E$5:$E$2000,"&lt;="&amp;Settings!$B$9))</f>
        <v/>
      </c>
      <c r="P204" s="26" t="str">
        <f aca="false">IF($A204="","",SUMIFS(Deductions!$D$5:$D$2000,Deductions!$B$5:$B$2000,$A204,Deductions!$E$5:$E$2000,"&gt;="&amp;Settings!$B$8,Deductions!$E$5:$E$2000,"&lt;="&amp;Settings!$B$9)-O204)</f>
        <v/>
      </c>
      <c r="Q204" s="26" t="str">
        <f aca="false">IF($A204="","",O204+P204)</f>
        <v/>
      </c>
      <c r="R204" s="23" t="str">
        <f aca="false">IF($A204="","",N204-Q204)</f>
        <v/>
      </c>
      <c r="S204" s="24" t="str">
        <f aca="false">IF($A204="","",INDEX(Workers!$O$5:$O$2004,MATCH($A204,Workers!$A$5:$A$2004,0))&amp;"")</f>
        <v/>
      </c>
      <c r="T204" s="24" t="str">
        <f aca="false">IF($A204="","",INDEX(Workers!$P$5:$P$2004,MATCH($A204,Workers!$A$5:$A$2004,0))&amp;"")</f>
        <v/>
      </c>
      <c r="U204" s="24" t="str">
        <f aca="false">IF($A204="","",INDEX(Workers!$H$5:$H$2004,MATCH($A204,Workers!$A$5:$A$2004,0))&amp;"")</f>
        <v/>
      </c>
    </row>
    <row r="205" customFormat="false" ht="15" hidden="false" customHeight="false" outlineLevel="0" collapsed="false">
      <c r="A205" s="24" t="str">
        <f aca="false">IFERROR(INDEX(Workers!$A$5:$A$2004,MATCH(ROW()-4,Workers!$U$5:$U$2004,0)),"")</f>
        <v/>
      </c>
      <c r="B205" s="24" t="str">
        <f aca="false">IF($A205="","",INDEX(Workers!$B$5:$B$2004,MATCH($A205,Workers!$A$5:$A$2004,0)))</f>
        <v/>
      </c>
      <c r="C205" s="24" t="str">
        <f aca="false">IF($A205="","",INDEX(Workers!$E$5:$E$2004,MATCH($A205,Workers!$A$5:$A$2004,0)))</f>
        <v/>
      </c>
      <c r="D205" s="24" t="str">
        <f aca="false">IF($A205="","",INDEX(Workers!$K$5:$K$2004,MATCH($A205,Workers!$A$5:$A$2004,0)))</f>
        <v/>
      </c>
      <c r="E205" s="25" t="str">
        <f aca="false">IF($A205="","",SUMIFS(Timesheet!$E$5:$E$3004,Timesheet!$D$5:$D$3004,$A205,Timesheet!$A$5:$A$3004,"&gt;="&amp;Settings!$B$8,Timesheet!$A$5:$A$3004,"&lt;="&amp;Settings!$B$9))</f>
        <v/>
      </c>
      <c r="F205" s="25" t="str">
        <f aca="false">IF($A205="","",SUMIFS(Timesheet!$F$5:$F$3004,Timesheet!$D$5:$D$3004,$A205,Timesheet!$A$5:$A$3004,"&gt;="&amp;Settings!$B$8,Timesheet!$A$5:$A$3004,"&lt;="&amp;Settings!$B$9))</f>
        <v/>
      </c>
      <c r="G205" s="25" t="str">
        <f aca="false">IF($A205="","",SUMIFS(Timesheet!$G$5:$G$3004,Timesheet!$D$5:$D$3004,$A205,Timesheet!$A$5:$A$3004,"&gt;="&amp;Settings!$B$8,Timesheet!$A$5:$A$3004,"&lt;="&amp;Settings!$B$9))</f>
        <v/>
      </c>
      <c r="H205" s="25" t="str">
        <f aca="false">IF($A205="","",IF(D205="Monthly",MAX(0,Settings!$B$11-E205),0))</f>
        <v/>
      </c>
      <c r="I205" s="26" t="str">
        <f aca="false">IF($A205="","",N(INDEX(Workers!$L$5:$L$2004,MATCH($A205,Workers!$A$5:$A$2004,0))))</f>
        <v/>
      </c>
      <c r="J205" s="26" t="str">
        <f aca="false">IF($A205="","",N(INDEX(Workers!$M$5:$M$2004,MATCH($A205,Workers!$A$5:$A$2004,0))))</f>
        <v/>
      </c>
      <c r="K205" s="26" t="str">
        <f aca="false">IF($A205="","",IF(D205="Monthly",ROUND(MAX(0,(I205+J205)-(I205+J205)/Settings!$B$10*H205),2),0))</f>
        <v/>
      </c>
      <c r="L205" s="26" t="str">
        <f aca="false">IF($A205="","",IF(D205="Hourly",ROUND(F205*N(INDEX(Workers!$N$5:$N$2004,MATCH($A205,Workers!$A$5:$A$2004,0))),2),0))</f>
        <v/>
      </c>
      <c r="M205" s="26" t="str">
        <f aca="false">IF($A205="","",ROUND(G205*IF(D205="Hourly",N(INDEX(Workers!$N$5:$N$2004,MATCH($A205,Workers!$A$5:$A$2004,0))),I205/Settings!$B$10/Settings!$B$12)*Settings!$B$13,2))</f>
        <v/>
      </c>
      <c r="N205" s="26" t="str">
        <f aca="false">IF($A205="","",K205+L205+M205)</f>
        <v/>
      </c>
      <c r="O205" s="26" t="str">
        <f aca="false">IF($A205="","",SUMIFS(Deductions!$D$5:$D$2000,Deductions!$B$5:$B$2000,$A205,Deductions!$C$5:$C$2000,"Advance",Deductions!$E$5:$E$2000,"&gt;="&amp;Settings!$B$8,Deductions!$E$5:$E$2000,"&lt;="&amp;Settings!$B$9))</f>
        <v/>
      </c>
      <c r="P205" s="26" t="str">
        <f aca="false">IF($A205="","",SUMIFS(Deductions!$D$5:$D$2000,Deductions!$B$5:$B$2000,$A205,Deductions!$E$5:$E$2000,"&gt;="&amp;Settings!$B$8,Deductions!$E$5:$E$2000,"&lt;="&amp;Settings!$B$9)-O205)</f>
        <v/>
      </c>
      <c r="Q205" s="26" t="str">
        <f aca="false">IF($A205="","",O205+P205)</f>
        <v/>
      </c>
      <c r="R205" s="23" t="str">
        <f aca="false">IF($A205="","",N205-Q205)</f>
        <v/>
      </c>
      <c r="S205" s="24" t="str">
        <f aca="false">IF($A205="","",INDEX(Workers!$O$5:$O$2004,MATCH($A205,Workers!$A$5:$A$2004,0))&amp;"")</f>
        <v/>
      </c>
      <c r="T205" s="24" t="str">
        <f aca="false">IF($A205="","",INDEX(Workers!$P$5:$P$2004,MATCH($A205,Workers!$A$5:$A$2004,0))&amp;"")</f>
        <v/>
      </c>
      <c r="U205" s="24" t="str">
        <f aca="false">IF($A205="","",INDEX(Workers!$H$5:$H$2004,MATCH($A205,Workers!$A$5:$A$2004,0))&amp;"")</f>
        <v/>
      </c>
    </row>
    <row r="206" customFormat="false" ht="15" hidden="false" customHeight="false" outlineLevel="0" collapsed="false">
      <c r="A206" s="24" t="str">
        <f aca="false">IFERROR(INDEX(Workers!$A$5:$A$2004,MATCH(ROW()-4,Workers!$U$5:$U$2004,0)),"")</f>
        <v/>
      </c>
      <c r="B206" s="24" t="str">
        <f aca="false">IF($A206="","",INDEX(Workers!$B$5:$B$2004,MATCH($A206,Workers!$A$5:$A$2004,0)))</f>
        <v/>
      </c>
      <c r="C206" s="24" t="str">
        <f aca="false">IF($A206="","",INDEX(Workers!$E$5:$E$2004,MATCH($A206,Workers!$A$5:$A$2004,0)))</f>
        <v/>
      </c>
      <c r="D206" s="24" t="str">
        <f aca="false">IF($A206="","",INDEX(Workers!$K$5:$K$2004,MATCH($A206,Workers!$A$5:$A$2004,0)))</f>
        <v/>
      </c>
      <c r="E206" s="25" t="str">
        <f aca="false">IF($A206="","",SUMIFS(Timesheet!$E$5:$E$3004,Timesheet!$D$5:$D$3004,$A206,Timesheet!$A$5:$A$3004,"&gt;="&amp;Settings!$B$8,Timesheet!$A$5:$A$3004,"&lt;="&amp;Settings!$B$9))</f>
        <v/>
      </c>
      <c r="F206" s="25" t="str">
        <f aca="false">IF($A206="","",SUMIFS(Timesheet!$F$5:$F$3004,Timesheet!$D$5:$D$3004,$A206,Timesheet!$A$5:$A$3004,"&gt;="&amp;Settings!$B$8,Timesheet!$A$5:$A$3004,"&lt;="&amp;Settings!$B$9))</f>
        <v/>
      </c>
      <c r="G206" s="25" t="str">
        <f aca="false">IF($A206="","",SUMIFS(Timesheet!$G$5:$G$3004,Timesheet!$D$5:$D$3004,$A206,Timesheet!$A$5:$A$3004,"&gt;="&amp;Settings!$B$8,Timesheet!$A$5:$A$3004,"&lt;="&amp;Settings!$B$9))</f>
        <v/>
      </c>
      <c r="H206" s="25" t="str">
        <f aca="false">IF($A206="","",IF(D206="Monthly",MAX(0,Settings!$B$11-E206),0))</f>
        <v/>
      </c>
      <c r="I206" s="26" t="str">
        <f aca="false">IF($A206="","",N(INDEX(Workers!$L$5:$L$2004,MATCH($A206,Workers!$A$5:$A$2004,0))))</f>
        <v/>
      </c>
      <c r="J206" s="26" t="str">
        <f aca="false">IF($A206="","",N(INDEX(Workers!$M$5:$M$2004,MATCH($A206,Workers!$A$5:$A$2004,0))))</f>
        <v/>
      </c>
      <c r="K206" s="26" t="str">
        <f aca="false">IF($A206="","",IF(D206="Monthly",ROUND(MAX(0,(I206+J206)-(I206+J206)/Settings!$B$10*H206),2),0))</f>
        <v/>
      </c>
      <c r="L206" s="26" t="str">
        <f aca="false">IF($A206="","",IF(D206="Hourly",ROUND(F206*N(INDEX(Workers!$N$5:$N$2004,MATCH($A206,Workers!$A$5:$A$2004,0))),2),0))</f>
        <v/>
      </c>
      <c r="M206" s="26" t="str">
        <f aca="false">IF($A206="","",ROUND(G206*IF(D206="Hourly",N(INDEX(Workers!$N$5:$N$2004,MATCH($A206,Workers!$A$5:$A$2004,0))),I206/Settings!$B$10/Settings!$B$12)*Settings!$B$13,2))</f>
        <v/>
      </c>
      <c r="N206" s="26" t="str">
        <f aca="false">IF($A206="","",K206+L206+M206)</f>
        <v/>
      </c>
      <c r="O206" s="26" t="str">
        <f aca="false">IF($A206="","",SUMIFS(Deductions!$D$5:$D$2000,Deductions!$B$5:$B$2000,$A206,Deductions!$C$5:$C$2000,"Advance",Deductions!$E$5:$E$2000,"&gt;="&amp;Settings!$B$8,Deductions!$E$5:$E$2000,"&lt;="&amp;Settings!$B$9))</f>
        <v/>
      </c>
      <c r="P206" s="26" t="str">
        <f aca="false">IF($A206="","",SUMIFS(Deductions!$D$5:$D$2000,Deductions!$B$5:$B$2000,$A206,Deductions!$E$5:$E$2000,"&gt;="&amp;Settings!$B$8,Deductions!$E$5:$E$2000,"&lt;="&amp;Settings!$B$9)-O206)</f>
        <v/>
      </c>
      <c r="Q206" s="26" t="str">
        <f aca="false">IF($A206="","",O206+P206)</f>
        <v/>
      </c>
      <c r="R206" s="23" t="str">
        <f aca="false">IF($A206="","",N206-Q206)</f>
        <v/>
      </c>
      <c r="S206" s="24" t="str">
        <f aca="false">IF($A206="","",INDEX(Workers!$O$5:$O$2004,MATCH($A206,Workers!$A$5:$A$2004,0))&amp;"")</f>
        <v/>
      </c>
      <c r="T206" s="24" t="str">
        <f aca="false">IF($A206="","",INDEX(Workers!$P$5:$P$2004,MATCH($A206,Workers!$A$5:$A$2004,0))&amp;"")</f>
        <v/>
      </c>
      <c r="U206" s="24" t="str">
        <f aca="false">IF($A206="","",INDEX(Workers!$H$5:$H$2004,MATCH($A206,Workers!$A$5:$A$2004,0))&amp;"")</f>
        <v/>
      </c>
    </row>
    <row r="207" customFormat="false" ht="15" hidden="false" customHeight="false" outlineLevel="0" collapsed="false">
      <c r="A207" s="24" t="str">
        <f aca="false">IFERROR(INDEX(Workers!$A$5:$A$2004,MATCH(ROW()-4,Workers!$U$5:$U$2004,0)),"")</f>
        <v/>
      </c>
      <c r="B207" s="24" t="str">
        <f aca="false">IF($A207="","",INDEX(Workers!$B$5:$B$2004,MATCH($A207,Workers!$A$5:$A$2004,0)))</f>
        <v/>
      </c>
      <c r="C207" s="24" t="str">
        <f aca="false">IF($A207="","",INDEX(Workers!$E$5:$E$2004,MATCH($A207,Workers!$A$5:$A$2004,0)))</f>
        <v/>
      </c>
      <c r="D207" s="24" t="str">
        <f aca="false">IF($A207="","",INDEX(Workers!$K$5:$K$2004,MATCH($A207,Workers!$A$5:$A$2004,0)))</f>
        <v/>
      </c>
      <c r="E207" s="25" t="str">
        <f aca="false">IF($A207="","",SUMIFS(Timesheet!$E$5:$E$3004,Timesheet!$D$5:$D$3004,$A207,Timesheet!$A$5:$A$3004,"&gt;="&amp;Settings!$B$8,Timesheet!$A$5:$A$3004,"&lt;="&amp;Settings!$B$9))</f>
        <v/>
      </c>
      <c r="F207" s="25" t="str">
        <f aca="false">IF($A207="","",SUMIFS(Timesheet!$F$5:$F$3004,Timesheet!$D$5:$D$3004,$A207,Timesheet!$A$5:$A$3004,"&gt;="&amp;Settings!$B$8,Timesheet!$A$5:$A$3004,"&lt;="&amp;Settings!$B$9))</f>
        <v/>
      </c>
      <c r="G207" s="25" t="str">
        <f aca="false">IF($A207="","",SUMIFS(Timesheet!$G$5:$G$3004,Timesheet!$D$5:$D$3004,$A207,Timesheet!$A$5:$A$3004,"&gt;="&amp;Settings!$B$8,Timesheet!$A$5:$A$3004,"&lt;="&amp;Settings!$B$9))</f>
        <v/>
      </c>
      <c r="H207" s="25" t="str">
        <f aca="false">IF($A207="","",IF(D207="Monthly",MAX(0,Settings!$B$11-E207),0))</f>
        <v/>
      </c>
      <c r="I207" s="26" t="str">
        <f aca="false">IF($A207="","",N(INDEX(Workers!$L$5:$L$2004,MATCH($A207,Workers!$A$5:$A$2004,0))))</f>
        <v/>
      </c>
      <c r="J207" s="26" t="str">
        <f aca="false">IF($A207="","",N(INDEX(Workers!$M$5:$M$2004,MATCH($A207,Workers!$A$5:$A$2004,0))))</f>
        <v/>
      </c>
      <c r="K207" s="26" t="str">
        <f aca="false">IF($A207="","",IF(D207="Monthly",ROUND(MAX(0,(I207+J207)-(I207+J207)/Settings!$B$10*H207),2),0))</f>
        <v/>
      </c>
      <c r="L207" s="26" t="str">
        <f aca="false">IF($A207="","",IF(D207="Hourly",ROUND(F207*N(INDEX(Workers!$N$5:$N$2004,MATCH($A207,Workers!$A$5:$A$2004,0))),2),0))</f>
        <v/>
      </c>
      <c r="M207" s="26" t="str">
        <f aca="false">IF($A207="","",ROUND(G207*IF(D207="Hourly",N(INDEX(Workers!$N$5:$N$2004,MATCH($A207,Workers!$A$5:$A$2004,0))),I207/Settings!$B$10/Settings!$B$12)*Settings!$B$13,2))</f>
        <v/>
      </c>
      <c r="N207" s="26" t="str">
        <f aca="false">IF($A207="","",K207+L207+M207)</f>
        <v/>
      </c>
      <c r="O207" s="26" t="str">
        <f aca="false">IF($A207="","",SUMIFS(Deductions!$D$5:$D$2000,Deductions!$B$5:$B$2000,$A207,Deductions!$C$5:$C$2000,"Advance",Deductions!$E$5:$E$2000,"&gt;="&amp;Settings!$B$8,Deductions!$E$5:$E$2000,"&lt;="&amp;Settings!$B$9))</f>
        <v/>
      </c>
      <c r="P207" s="26" t="str">
        <f aca="false">IF($A207="","",SUMIFS(Deductions!$D$5:$D$2000,Deductions!$B$5:$B$2000,$A207,Deductions!$E$5:$E$2000,"&gt;="&amp;Settings!$B$8,Deductions!$E$5:$E$2000,"&lt;="&amp;Settings!$B$9)-O207)</f>
        <v/>
      </c>
      <c r="Q207" s="26" t="str">
        <f aca="false">IF($A207="","",O207+P207)</f>
        <v/>
      </c>
      <c r="R207" s="23" t="str">
        <f aca="false">IF($A207="","",N207-Q207)</f>
        <v/>
      </c>
      <c r="S207" s="24" t="str">
        <f aca="false">IF($A207="","",INDEX(Workers!$O$5:$O$2004,MATCH($A207,Workers!$A$5:$A$2004,0))&amp;"")</f>
        <v/>
      </c>
      <c r="T207" s="24" t="str">
        <f aca="false">IF($A207="","",INDEX(Workers!$P$5:$P$2004,MATCH($A207,Workers!$A$5:$A$2004,0))&amp;"")</f>
        <v/>
      </c>
      <c r="U207" s="24" t="str">
        <f aca="false">IF($A207="","",INDEX(Workers!$H$5:$H$2004,MATCH($A207,Workers!$A$5:$A$2004,0))&amp;"")</f>
        <v/>
      </c>
    </row>
    <row r="208" customFormat="false" ht="15" hidden="false" customHeight="false" outlineLevel="0" collapsed="false">
      <c r="A208" s="24" t="str">
        <f aca="false">IFERROR(INDEX(Workers!$A$5:$A$2004,MATCH(ROW()-4,Workers!$U$5:$U$2004,0)),"")</f>
        <v/>
      </c>
      <c r="B208" s="24" t="str">
        <f aca="false">IF($A208="","",INDEX(Workers!$B$5:$B$2004,MATCH($A208,Workers!$A$5:$A$2004,0)))</f>
        <v/>
      </c>
      <c r="C208" s="24" t="str">
        <f aca="false">IF($A208="","",INDEX(Workers!$E$5:$E$2004,MATCH($A208,Workers!$A$5:$A$2004,0)))</f>
        <v/>
      </c>
      <c r="D208" s="24" t="str">
        <f aca="false">IF($A208="","",INDEX(Workers!$K$5:$K$2004,MATCH($A208,Workers!$A$5:$A$2004,0)))</f>
        <v/>
      </c>
      <c r="E208" s="25" t="str">
        <f aca="false">IF($A208="","",SUMIFS(Timesheet!$E$5:$E$3004,Timesheet!$D$5:$D$3004,$A208,Timesheet!$A$5:$A$3004,"&gt;="&amp;Settings!$B$8,Timesheet!$A$5:$A$3004,"&lt;="&amp;Settings!$B$9))</f>
        <v/>
      </c>
      <c r="F208" s="25" t="str">
        <f aca="false">IF($A208="","",SUMIFS(Timesheet!$F$5:$F$3004,Timesheet!$D$5:$D$3004,$A208,Timesheet!$A$5:$A$3004,"&gt;="&amp;Settings!$B$8,Timesheet!$A$5:$A$3004,"&lt;="&amp;Settings!$B$9))</f>
        <v/>
      </c>
      <c r="G208" s="25" t="str">
        <f aca="false">IF($A208="","",SUMIFS(Timesheet!$G$5:$G$3004,Timesheet!$D$5:$D$3004,$A208,Timesheet!$A$5:$A$3004,"&gt;="&amp;Settings!$B$8,Timesheet!$A$5:$A$3004,"&lt;="&amp;Settings!$B$9))</f>
        <v/>
      </c>
      <c r="H208" s="25" t="str">
        <f aca="false">IF($A208="","",IF(D208="Monthly",MAX(0,Settings!$B$11-E208),0))</f>
        <v/>
      </c>
      <c r="I208" s="26" t="str">
        <f aca="false">IF($A208="","",N(INDEX(Workers!$L$5:$L$2004,MATCH($A208,Workers!$A$5:$A$2004,0))))</f>
        <v/>
      </c>
      <c r="J208" s="26" t="str">
        <f aca="false">IF($A208="","",N(INDEX(Workers!$M$5:$M$2004,MATCH($A208,Workers!$A$5:$A$2004,0))))</f>
        <v/>
      </c>
      <c r="K208" s="26" t="str">
        <f aca="false">IF($A208="","",IF(D208="Monthly",ROUND(MAX(0,(I208+J208)-(I208+J208)/Settings!$B$10*H208),2),0))</f>
        <v/>
      </c>
      <c r="L208" s="26" t="str">
        <f aca="false">IF($A208="","",IF(D208="Hourly",ROUND(F208*N(INDEX(Workers!$N$5:$N$2004,MATCH($A208,Workers!$A$5:$A$2004,0))),2),0))</f>
        <v/>
      </c>
      <c r="M208" s="26" t="str">
        <f aca="false">IF($A208="","",ROUND(G208*IF(D208="Hourly",N(INDEX(Workers!$N$5:$N$2004,MATCH($A208,Workers!$A$5:$A$2004,0))),I208/Settings!$B$10/Settings!$B$12)*Settings!$B$13,2))</f>
        <v/>
      </c>
      <c r="N208" s="26" t="str">
        <f aca="false">IF($A208="","",K208+L208+M208)</f>
        <v/>
      </c>
      <c r="O208" s="26" t="str">
        <f aca="false">IF($A208="","",SUMIFS(Deductions!$D$5:$D$2000,Deductions!$B$5:$B$2000,$A208,Deductions!$C$5:$C$2000,"Advance",Deductions!$E$5:$E$2000,"&gt;="&amp;Settings!$B$8,Deductions!$E$5:$E$2000,"&lt;="&amp;Settings!$B$9))</f>
        <v/>
      </c>
      <c r="P208" s="26" t="str">
        <f aca="false">IF($A208="","",SUMIFS(Deductions!$D$5:$D$2000,Deductions!$B$5:$B$2000,$A208,Deductions!$E$5:$E$2000,"&gt;="&amp;Settings!$B$8,Deductions!$E$5:$E$2000,"&lt;="&amp;Settings!$B$9)-O208)</f>
        <v/>
      </c>
      <c r="Q208" s="26" t="str">
        <f aca="false">IF($A208="","",O208+P208)</f>
        <v/>
      </c>
      <c r="R208" s="23" t="str">
        <f aca="false">IF($A208="","",N208-Q208)</f>
        <v/>
      </c>
      <c r="S208" s="24" t="str">
        <f aca="false">IF($A208="","",INDEX(Workers!$O$5:$O$2004,MATCH($A208,Workers!$A$5:$A$2004,0))&amp;"")</f>
        <v/>
      </c>
      <c r="T208" s="24" t="str">
        <f aca="false">IF($A208="","",INDEX(Workers!$P$5:$P$2004,MATCH($A208,Workers!$A$5:$A$2004,0))&amp;"")</f>
        <v/>
      </c>
      <c r="U208" s="24" t="str">
        <f aca="false">IF($A208="","",INDEX(Workers!$H$5:$H$2004,MATCH($A208,Workers!$A$5:$A$2004,0))&amp;"")</f>
        <v/>
      </c>
    </row>
    <row r="209" customFormat="false" ht="15" hidden="false" customHeight="false" outlineLevel="0" collapsed="false">
      <c r="A209" s="24" t="str">
        <f aca="false">IFERROR(INDEX(Workers!$A$5:$A$2004,MATCH(ROW()-4,Workers!$U$5:$U$2004,0)),"")</f>
        <v/>
      </c>
      <c r="B209" s="24" t="str">
        <f aca="false">IF($A209="","",INDEX(Workers!$B$5:$B$2004,MATCH($A209,Workers!$A$5:$A$2004,0)))</f>
        <v/>
      </c>
      <c r="C209" s="24" t="str">
        <f aca="false">IF($A209="","",INDEX(Workers!$E$5:$E$2004,MATCH($A209,Workers!$A$5:$A$2004,0)))</f>
        <v/>
      </c>
      <c r="D209" s="24" t="str">
        <f aca="false">IF($A209="","",INDEX(Workers!$K$5:$K$2004,MATCH($A209,Workers!$A$5:$A$2004,0)))</f>
        <v/>
      </c>
      <c r="E209" s="25" t="str">
        <f aca="false">IF($A209="","",SUMIFS(Timesheet!$E$5:$E$3004,Timesheet!$D$5:$D$3004,$A209,Timesheet!$A$5:$A$3004,"&gt;="&amp;Settings!$B$8,Timesheet!$A$5:$A$3004,"&lt;="&amp;Settings!$B$9))</f>
        <v/>
      </c>
      <c r="F209" s="25" t="str">
        <f aca="false">IF($A209="","",SUMIFS(Timesheet!$F$5:$F$3004,Timesheet!$D$5:$D$3004,$A209,Timesheet!$A$5:$A$3004,"&gt;="&amp;Settings!$B$8,Timesheet!$A$5:$A$3004,"&lt;="&amp;Settings!$B$9))</f>
        <v/>
      </c>
      <c r="G209" s="25" t="str">
        <f aca="false">IF($A209="","",SUMIFS(Timesheet!$G$5:$G$3004,Timesheet!$D$5:$D$3004,$A209,Timesheet!$A$5:$A$3004,"&gt;="&amp;Settings!$B$8,Timesheet!$A$5:$A$3004,"&lt;="&amp;Settings!$B$9))</f>
        <v/>
      </c>
      <c r="H209" s="25" t="str">
        <f aca="false">IF($A209="","",IF(D209="Monthly",MAX(0,Settings!$B$11-E209),0))</f>
        <v/>
      </c>
      <c r="I209" s="26" t="str">
        <f aca="false">IF($A209="","",N(INDEX(Workers!$L$5:$L$2004,MATCH($A209,Workers!$A$5:$A$2004,0))))</f>
        <v/>
      </c>
      <c r="J209" s="26" t="str">
        <f aca="false">IF($A209="","",N(INDEX(Workers!$M$5:$M$2004,MATCH($A209,Workers!$A$5:$A$2004,0))))</f>
        <v/>
      </c>
      <c r="K209" s="26" t="str">
        <f aca="false">IF($A209="","",IF(D209="Monthly",ROUND(MAX(0,(I209+J209)-(I209+J209)/Settings!$B$10*H209),2),0))</f>
        <v/>
      </c>
      <c r="L209" s="26" t="str">
        <f aca="false">IF($A209="","",IF(D209="Hourly",ROUND(F209*N(INDEX(Workers!$N$5:$N$2004,MATCH($A209,Workers!$A$5:$A$2004,0))),2),0))</f>
        <v/>
      </c>
      <c r="M209" s="26" t="str">
        <f aca="false">IF($A209="","",ROUND(G209*IF(D209="Hourly",N(INDEX(Workers!$N$5:$N$2004,MATCH($A209,Workers!$A$5:$A$2004,0))),I209/Settings!$B$10/Settings!$B$12)*Settings!$B$13,2))</f>
        <v/>
      </c>
      <c r="N209" s="26" t="str">
        <f aca="false">IF($A209="","",K209+L209+M209)</f>
        <v/>
      </c>
      <c r="O209" s="26" t="str">
        <f aca="false">IF($A209="","",SUMIFS(Deductions!$D$5:$D$2000,Deductions!$B$5:$B$2000,$A209,Deductions!$C$5:$C$2000,"Advance",Deductions!$E$5:$E$2000,"&gt;="&amp;Settings!$B$8,Deductions!$E$5:$E$2000,"&lt;="&amp;Settings!$B$9))</f>
        <v/>
      </c>
      <c r="P209" s="26" t="str">
        <f aca="false">IF($A209="","",SUMIFS(Deductions!$D$5:$D$2000,Deductions!$B$5:$B$2000,$A209,Deductions!$E$5:$E$2000,"&gt;="&amp;Settings!$B$8,Deductions!$E$5:$E$2000,"&lt;="&amp;Settings!$B$9)-O209)</f>
        <v/>
      </c>
      <c r="Q209" s="26" t="str">
        <f aca="false">IF($A209="","",O209+P209)</f>
        <v/>
      </c>
      <c r="R209" s="23" t="str">
        <f aca="false">IF($A209="","",N209-Q209)</f>
        <v/>
      </c>
      <c r="S209" s="24" t="str">
        <f aca="false">IF($A209="","",INDEX(Workers!$O$5:$O$2004,MATCH($A209,Workers!$A$5:$A$2004,0))&amp;"")</f>
        <v/>
      </c>
      <c r="T209" s="24" t="str">
        <f aca="false">IF($A209="","",INDEX(Workers!$P$5:$P$2004,MATCH($A209,Workers!$A$5:$A$2004,0))&amp;"")</f>
        <v/>
      </c>
      <c r="U209" s="24" t="str">
        <f aca="false">IF($A209="","",INDEX(Workers!$H$5:$H$2004,MATCH($A209,Workers!$A$5:$A$2004,0))&amp;"")</f>
        <v/>
      </c>
    </row>
    <row r="210" customFormat="false" ht="15" hidden="false" customHeight="false" outlineLevel="0" collapsed="false">
      <c r="A210" s="24" t="str">
        <f aca="false">IFERROR(INDEX(Workers!$A$5:$A$2004,MATCH(ROW()-4,Workers!$U$5:$U$2004,0)),"")</f>
        <v/>
      </c>
      <c r="B210" s="24" t="str">
        <f aca="false">IF($A210="","",INDEX(Workers!$B$5:$B$2004,MATCH($A210,Workers!$A$5:$A$2004,0)))</f>
        <v/>
      </c>
      <c r="C210" s="24" t="str">
        <f aca="false">IF($A210="","",INDEX(Workers!$E$5:$E$2004,MATCH($A210,Workers!$A$5:$A$2004,0)))</f>
        <v/>
      </c>
      <c r="D210" s="24" t="str">
        <f aca="false">IF($A210="","",INDEX(Workers!$K$5:$K$2004,MATCH($A210,Workers!$A$5:$A$2004,0)))</f>
        <v/>
      </c>
      <c r="E210" s="25" t="str">
        <f aca="false">IF($A210="","",SUMIFS(Timesheet!$E$5:$E$3004,Timesheet!$D$5:$D$3004,$A210,Timesheet!$A$5:$A$3004,"&gt;="&amp;Settings!$B$8,Timesheet!$A$5:$A$3004,"&lt;="&amp;Settings!$B$9))</f>
        <v/>
      </c>
      <c r="F210" s="25" t="str">
        <f aca="false">IF($A210="","",SUMIFS(Timesheet!$F$5:$F$3004,Timesheet!$D$5:$D$3004,$A210,Timesheet!$A$5:$A$3004,"&gt;="&amp;Settings!$B$8,Timesheet!$A$5:$A$3004,"&lt;="&amp;Settings!$B$9))</f>
        <v/>
      </c>
      <c r="G210" s="25" t="str">
        <f aca="false">IF($A210="","",SUMIFS(Timesheet!$G$5:$G$3004,Timesheet!$D$5:$D$3004,$A210,Timesheet!$A$5:$A$3004,"&gt;="&amp;Settings!$B$8,Timesheet!$A$5:$A$3004,"&lt;="&amp;Settings!$B$9))</f>
        <v/>
      </c>
      <c r="H210" s="25" t="str">
        <f aca="false">IF($A210="","",IF(D210="Monthly",MAX(0,Settings!$B$11-E210),0))</f>
        <v/>
      </c>
      <c r="I210" s="26" t="str">
        <f aca="false">IF($A210="","",N(INDEX(Workers!$L$5:$L$2004,MATCH($A210,Workers!$A$5:$A$2004,0))))</f>
        <v/>
      </c>
      <c r="J210" s="26" t="str">
        <f aca="false">IF($A210="","",N(INDEX(Workers!$M$5:$M$2004,MATCH($A210,Workers!$A$5:$A$2004,0))))</f>
        <v/>
      </c>
      <c r="K210" s="26" t="str">
        <f aca="false">IF($A210="","",IF(D210="Monthly",ROUND(MAX(0,(I210+J210)-(I210+J210)/Settings!$B$10*H210),2),0))</f>
        <v/>
      </c>
      <c r="L210" s="26" t="str">
        <f aca="false">IF($A210="","",IF(D210="Hourly",ROUND(F210*N(INDEX(Workers!$N$5:$N$2004,MATCH($A210,Workers!$A$5:$A$2004,0))),2),0))</f>
        <v/>
      </c>
      <c r="M210" s="26" t="str">
        <f aca="false">IF($A210="","",ROUND(G210*IF(D210="Hourly",N(INDEX(Workers!$N$5:$N$2004,MATCH($A210,Workers!$A$5:$A$2004,0))),I210/Settings!$B$10/Settings!$B$12)*Settings!$B$13,2))</f>
        <v/>
      </c>
      <c r="N210" s="26" t="str">
        <f aca="false">IF($A210="","",K210+L210+M210)</f>
        <v/>
      </c>
      <c r="O210" s="26" t="str">
        <f aca="false">IF($A210="","",SUMIFS(Deductions!$D$5:$D$2000,Deductions!$B$5:$B$2000,$A210,Deductions!$C$5:$C$2000,"Advance",Deductions!$E$5:$E$2000,"&gt;="&amp;Settings!$B$8,Deductions!$E$5:$E$2000,"&lt;="&amp;Settings!$B$9))</f>
        <v/>
      </c>
      <c r="P210" s="26" t="str">
        <f aca="false">IF($A210="","",SUMIFS(Deductions!$D$5:$D$2000,Deductions!$B$5:$B$2000,$A210,Deductions!$E$5:$E$2000,"&gt;="&amp;Settings!$B$8,Deductions!$E$5:$E$2000,"&lt;="&amp;Settings!$B$9)-O210)</f>
        <v/>
      </c>
      <c r="Q210" s="26" t="str">
        <f aca="false">IF($A210="","",O210+P210)</f>
        <v/>
      </c>
      <c r="R210" s="23" t="str">
        <f aca="false">IF($A210="","",N210-Q210)</f>
        <v/>
      </c>
      <c r="S210" s="24" t="str">
        <f aca="false">IF($A210="","",INDEX(Workers!$O$5:$O$2004,MATCH($A210,Workers!$A$5:$A$2004,0))&amp;"")</f>
        <v/>
      </c>
      <c r="T210" s="24" t="str">
        <f aca="false">IF($A210="","",INDEX(Workers!$P$5:$P$2004,MATCH($A210,Workers!$A$5:$A$2004,0))&amp;"")</f>
        <v/>
      </c>
      <c r="U210" s="24" t="str">
        <f aca="false">IF($A210="","",INDEX(Workers!$H$5:$H$2004,MATCH($A210,Workers!$A$5:$A$2004,0))&amp;"")</f>
        <v/>
      </c>
    </row>
    <row r="211" customFormat="false" ht="15" hidden="false" customHeight="false" outlineLevel="0" collapsed="false">
      <c r="A211" s="24" t="str">
        <f aca="false">IFERROR(INDEX(Workers!$A$5:$A$2004,MATCH(ROW()-4,Workers!$U$5:$U$2004,0)),"")</f>
        <v/>
      </c>
      <c r="B211" s="24" t="str">
        <f aca="false">IF($A211="","",INDEX(Workers!$B$5:$B$2004,MATCH($A211,Workers!$A$5:$A$2004,0)))</f>
        <v/>
      </c>
      <c r="C211" s="24" t="str">
        <f aca="false">IF($A211="","",INDEX(Workers!$E$5:$E$2004,MATCH($A211,Workers!$A$5:$A$2004,0)))</f>
        <v/>
      </c>
      <c r="D211" s="24" t="str">
        <f aca="false">IF($A211="","",INDEX(Workers!$K$5:$K$2004,MATCH($A211,Workers!$A$5:$A$2004,0)))</f>
        <v/>
      </c>
      <c r="E211" s="25" t="str">
        <f aca="false">IF($A211="","",SUMIFS(Timesheet!$E$5:$E$3004,Timesheet!$D$5:$D$3004,$A211,Timesheet!$A$5:$A$3004,"&gt;="&amp;Settings!$B$8,Timesheet!$A$5:$A$3004,"&lt;="&amp;Settings!$B$9))</f>
        <v/>
      </c>
      <c r="F211" s="25" t="str">
        <f aca="false">IF($A211="","",SUMIFS(Timesheet!$F$5:$F$3004,Timesheet!$D$5:$D$3004,$A211,Timesheet!$A$5:$A$3004,"&gt;="&amp;Settings!$B$8,Timesheet!$A$5:$A$3004,"&lt;="&amp;Settings!$B$9))</f>
        <v/>
      </c>
      <c r="G211" s="25" t="str">
        <f aca="false">IF($A211="","",SUMIFS(Timesheet!$G$5:$G$3004,Timesheet!$D$5:$D$3004,$A211,Timesheet!$A$5:$A$3004,"&gt;="&amp;Settings!$B$8,Timesheet!$A$5:$A$3004,"&lt;="&amp;Settings!$B$9))</f>
        <v/>
      </c>
      <c r="H211" s="25" t="str">
        <f aca="false">IF($A211="","",IF(D211="Monthly",MAX(0,Settings!$B$11-E211),0))</f>
        <v/>
      </c>
      <c r="I211" s="26" t="str">
        <f aca="false">IF($A211="","",N(INDEX(Workers!$L$5:$L$2004,MATCH($A211,Workers!$A$5:$A$2004,0))))</f>
        <v/>
      </c>
      <c r="J211" s="26" t="str">
        <f aca="false">IF($A211="","",N(INDEX(Workers!$M$5:$M$2004,MATCH($A211,Workers!$A$5:$A$2004,0))))</f>
        <v/>
      </c>
      <c r="K211" s="26" t="str">
        <f aca="false">IF($A211="","",IF(D211="Monthly",ROUND(MAX(0,(I211+J211)-(I211+J211)/Settings!$B$10*H211),2),0))</f>
        <v/>
      </c>
      <c r="L211" s="26" t="str">
        <f aca="false">IF($A211="","",IF(D211="Hourly",ROUND(F211*N(INDEX(Workers!$N$5:$N$2004,MATCH($A211,Workers!$A$5:$A$2004,0))),2),0))</f>
        <v/>
      </c>
      <c r="M211" s="26" t="str">
        <f aca="false">IF($A211="","",ROUND(G211*IF(D211="Hourly",N(INDEX(Workers!$N$5:$N$2004,MATCH($A211,Workers!$A$5:$A$2004,0))),I211/Settings!$B$10/Settings!$B$12)*Settings!$B$13,2))</f>
        <v/>
      </c>
      <c r="N211" s="26" t="str">
        <f aca="false">IF($A211="","",K211+L211+M211)</f>
        <v/>
      </c>
      <c r="O211" s="26" t="str">
        <f aca="false">IF($A211="","",SUMIFS(Deductions!$D$5:$D$2000,Deductions!$B$5:$B$2000,$A211,Deductions!$C$5:$C$2000,"Advance",Deductions!$E$5:$E$2000,"&gt;="&amp;Settings!$B$8,Deductions!$E$5:$E$2000,"&lt;="&amp;Settings!$B$9))</f>
        <v/>
      </c>
      <c r="P211" s="26" t="str">
        <f aca="false">IF($A211="","",SUMIFS(Deductions!$D$5:$D$2000,Deductions!$B$5:$B$2000,$A211,Deductions!$E$5:$E$2000,"&gt;="&amp;Settings!$B$8,Deductions!$E$5:$E$2000,"&lt;="&amp;Settings!$B$9)-O211)</f>
        <v/>
      </c>
      <c r="Q211" s="26" t="str">
        <f aca="false">IF($A211="","",O211+P211)</f>
        <v/>
      </c>
      <c r="R211" s="23" t="str">
        <f aca="false">IF($A211="","",N211-Q211)</f>
        <v/>
      </c>
      <c r="S211" s="24" t="str">
        <f aca="false">IF($A211="","",INDEX(Workers!$O$5:$O$2004,MATCH($A211,Workers!$A$5:$A$2004,0))&amp;"")</f>
        <v/>
      </c>
      <c r="T211" s="24" t="str">
        <f aca="false">IF($A211="","",INDEX(Workers!$P$5:$P$2004,MATCH($A211,Workers!$A$5:$A$2004,0))&amp;"")</f>
        <v/>
      </c>
      <c r="U211" s="24" t="str">
        <f aca="false">IF($A211="","",INDEX(Workers!$H$5:$H$2004,MATCH($A211,Workers!$A$5:$A$2004,0))&amp;"")</f>
        <v/>
      </c>
    </row>
    <row r="212" customFormat="false" ht="15" hidden="false" customHeight="false" outlineLevel="0" collapsed="false">
      <c r="A212" s="24" t="str">
        <f aca="false">IFERROR(INDEX(Workers!$A$5:$A$2004,MATCH(ROW()-4,Workers!$U$5:$U$2004,0)),"")</f>
        <v/>
      </c>
      <c r="B212" s="24" t="str">
        <f aca="false">IF($A212="","",INDEX(Workers!$B$5:$B$2004,MATCH($A212,Workers!$A$5:$A$2004,0)))</f>
        <v/>
      </c>
      <c r="C212" s="24" t="str">
        <f aca="false">IF($A212="","",INDEX(Workers!$E$5:$E$2004,MATCH($A212,Workers!$A$5:$A$2004,0)))</f>
        <v/>
      </c>
      <c r="D212" s="24" t="str">
        <f aca="false">IF($A212="","",INDEX(Workers!$K$5:$K$2004,MATCH($A212,Workers!$A$5:$A$2004,0)))</f>
        <v/>
      </c>
      <c r="E212" s="25" t="str">
        <f aca="false">IF($A212="","",SUMIFS(Timesheet!$E$5:$E$3004,Timesheet!$D$5:$D$3004,$A212,Timesheet!$A$5:$A$3004,"&gt;="&amp;Settings!$B$8,Timesheet!$A$5:$A$3004,"&lt;="&amp;Settings!$B$9))</f>
        <v/>
      </c>
      <c r="F212" s="25" t="str">
        <f aca="false">IF($A212="","",SUMIFS(Timesheet!$F$5:$F$3004,Timesheet!$D$5:$D$3004,$A212,Timesheet!$A$5:$A$3004,"&gt;="&amp;Settings!$B$8,Timesheet!$A$5:$A$3004,"&lt;="&amp;Settings!$B$9))</f>
        <v/>
      </c>
      <c r="G212" s="25" t="str">
        <f aca="false">IF($A212="","",SUMIFS(Timesheet!$G$5:$G$3004,Timesheet!$D$5:$D$3004,$A212,Timesheet!$A$5:$A$3004,"&gt;="&amp;Settings!$B$8,Timesheet!$A$5:$A$3004,"&lt;="&amp;Settings!$B$9))</f>
        <v/>
      </c>
      <c r="H212" s="25" t="str">
        <f aca="false">IF($A212="","",IF(D212="Monthly",MAX(0,Settings!$B$11-E212),0))</f>
        <v/>
      </c>
      <c r="I212" s="26" t="str">
        <f aca="false">IF($A212="","",N(INDEX(Workers!$L$5:$L$2004,MATCH($A212,Workers!$A$5:$A$2004,0))))</f>
        <v/>
      </c>
      <c r="J212" s="26" t="str">
        <f aca="false">IF($A212="","",N(INDEX(Workers!$M$5:$M$2004,MATCH($A212,Workers!$A$5:$A$2004,0))))</f>
        <v/>
      </c>
      <c r="K212" s="26" t="str">
        <f aca="false">IF($A212="","",IF(D212="Monthly",ROUND(MAX(0,(I212+J212)-(I212+J212)/Settings!$B$10*H212),2),0))</f>
        <v/>
      </c>
      <c r="L212" s="26" t="str">
        <f aca="false">IF($A212="","",IF(D212="Hourly",ROUND(F212*N(INDEX(Workers!$N$5:$N$2004,MATCH($A212,Workers!$A$5:$A$2004,0))),2),0))</f>
        <v/>
      </c>
      <c r="M212" s="26" t="str">
        <f aca="false">IF($A212="","",ROUND(G212*IF(D212="Hourly",N(INDEX(Workers!$N$5:$N$2004,MATCH($A212,Workers!$A$5:$A$2004,0))),I212/Settings!$B$10/Settings!$B$12)*Settings!$B$13,2))</f>
        <v/>
      </c>
      <c r="N212" s="26" t="str">
        <f aca="false">IF($A212="","",K212+L212+M212)</f>
        <v/>
      </c>
      <c r="O212" s="26" t="str">
        <f aca="false">IF($A212="","",SUMIFS(Deductions!$D$5:$D$2000,Deductions!$B$5:$B$2000,$A212,Deductions!$C$5:$C$2000,"Advance",Deductions!$E$5:$E$2000,"&gt;="&amp;Settings!$B$8,Deductions!$E$5:$E$2000,"&lt;="&amp;Settings!$B$9))</f>
        <v/>
      </c>
      <c r="P212" s="26" t="str">
        <f aca="false">IF($A212="","",SUMIFS(Deductions!$D$5:$D$2000,Deductions!$B$5:$B$2000,$A212,Deductions!$E$5:$E$2000,"&gt;="&amp;Settings!$B$8,Deductions!$E$5:$E$2000,"&lt;="&amp;Settings!$B$9)-O212)</f>
        <v/>
      </c>
      <c r="Q212" s="26" t="str">
        <f aca="false">IF($A212="","",O212+P212)</f>
        <v/>
      </c>
      <c r="R212" s="23" t="str">
        <f aca="false">IF($A212="","",N212-Q212)</f>
        <v/>
      </c>
      <c r="S212" s="24" t="str">
        <f aca="false">IF($A212="","",INDEX(Workers!$O$5:$O$2004,MATCH($A212,Workers!$A$5:$A$2004,0))&amp;"")</f>
        <v/>
      </c>
      <c r="T212" s="24" t="str">
        <f aca="false">IF($A212="","",INDEX(Workers!$P$5:$P$2004,MATCH($A212,Workers!$A$5:$A$2004,0))&amp;"")</f>
        <v/>
      </c>
      <c r="U212" s="24" t="str">
        <f aca="false">IF($A212="","",INDEX(Workers!$H$5:$H$2004,MATCH($A212,Workers!$A$5:$A$2004,0))&amp;"")</f>
        <v/>
      </c>
    </row>
    <row r="213" customFormat="false" ht="15" hidden="false" customHeight="false" outlineLevel="0" collapsed="false">
      <c r="A213" s="24" t="str">
        <f aca="false">IFERROR(INDEX(Workers!$A$5:$A$2004,MATCH(ROW()-4,Workers!$U$5:$U$2004,0)),"")</f>
        <v/>
      </c>
      <c r="B213" s="24" t="str">
        <f aca="false">IF($A213="","",INDEX(Workers!$B$5:$B$2004,MATCH($A213,Workers!$A$5:$A$2004,0)))</f>
        <v/>
      </c>
      <c r="C213" s="24" t="str">
        <f aca="false">IF($A213="","",INDEX(Workers!$E$5:$E$2004,MATCH($A213,Workers!$A$5:$A$2004,0)))</f>
        <v/>
      </c>
      <c r="D213" s="24" t="str">
        <f aca="false">IF($A213="","",INDEX(Workers!$K$5:$K$2004,MATCH($A213,Workers!$A$5:$A$2004,0)))</f>
        <v/>
      </c>
      <c r="E213" s="25" t="str">
        <f aca="false">IF($A213="","",SUMIFS(Timesheet!$E$5:$E$3004,Timesheet!$D$5:$D$3004,$A213,Timesheet!$A$5:$A$3004,"&gt;="&amp;Settings!$B$8,Timesheet!$A$5:$A$3004,"&lt;="&amp;Settings!$B$9))</f>
        <v/>
      </c>
      <c r="F213" s="25" t="str">
        <f aca="false">IF($A213="","",SUMIFS(Timesheet!$F$5:$F$3004,Timesheet!$D$5:$D$3004,$A213,Timesheet!$A$5:$A$3004,"&gt;="&amp;Settings!$B$8,Timesheet!$A$5:$A$3004,"&lt;="&amp;Settings!$B$9))</f>
        <v/>
      </c>
      <c r="G213" s="25" t="str">
        <f aca="false">IF($A213="","",SUMIFS(Timesheet!$G$5:$G$3004,Timesheet!$D$5:$D$3004,$A213,Timesheet!$A$5:$A$3004,"&gt;="&amp;Settings!$B$8,Timesheet!$A$5:$A$3004,"&lt;="&amp;Settings!$B$9))</f>
        <v/>
      </c>
      <c r="H213" s="25" t="str">
        <f aca="false">IF($A213="","",IF(D213="Monthly",MAX(0,Settings!$B$11-E213),0))</f>
        <v/>
      </c>
      <c r="I213" s="26" t="str">
        <f aca="false">IF($A213="","",N(INDEX(Workers!$L$5:$L$2004,MATCH($A213,Workers!$A$5:$A$2004,0))))</f>
        <v/>
      </c>
      <c r="J213" s="26" t="str">
        <f aca="false">IF($A213="","",N(INDEX(Workers!$M$5:$M$2004,MATCH($A213,Workers!$A$5:$A$2004,0))))</f>
        <v/>
      </c>
      <c r="K213" s="26" t="str">
        <f aca="false">IF($A213="","",IF(D213="Monthly",ROUND(MAX(0,(I213+J213)-(I213+J213)/Settings!$B$10*H213),2),0))</f>
        <v/>
      </c>
      <c r="L213" s="26" t="str">
        <f aca="false">IF($A213="","",IF(D213="Hourly",ROUND(F213*N(INDEX(Workers!$N$5:$N$2004,MATCH($A213,Workers!$A$5:$A$2004,0))),2),0))</f>
        <v/>
      </c>
      <c r="M213" s="26" t="str">
        <f aca="false">IF($A213="","",ROUND(G213*IF(D213="Hourly",N(INDEX(Workers!$N$5:$N$2004,MATCH($A213,Workers!$A$5:$A$2004,0))),I213/Settings!$B$10/Settings!$B$12)*Settings!$B$13,2))</f>
        <v/>
      </c>
      <c r="N213" s="26" t="str">
        <f aca="false">IF($A213="","",K213+L213+M213)</f>
        <v/>
      </c>
      <c r="O213" s="26" t="str">
        <f aca="false">IF($A213="","",SUMIFS(Deductions!$D$5:$D$2000,Deductions!$B$5:$B$2000,$A213,Deductions!$C$5:$C$2000,"Advance",Deductions!$E$5:$E$2000,"&gt;="&amp;Settings!$B$8,Deductions!$E$5:$E$2000,"&lt;="&amp;Settings!$B$9))</f>
        <v/>
      </c>
      <c r="P213" s="26" t="str">
        <f aca="false">IF($A213="","",SUMIFS(Deductions!$D$5:$D$2000,Deductions!$B$5:$B$2000,$A213,Deductions!$E$5:$E$2000,"&gt;="&amp;Settings!$B$8,Deductions!$E$5:$E$2000,"&lt;="&amp;Settings!$B$9)-O213)</f>
        <v/>
      </c>
      <c r="Q213" s="26" t="str">
        <f aca="false">IF($A213="","",O213+P213)</f>
        <v/>
      </c>
      <c r="R213" s="23" t="str">
        <f aca="false">IF($A213="","",N213-Q213)</f>
        <v/>
      </c>
      <c r="S213" s="24" t="str">
        <f aca="false">IF($A213="","",INDEX(Workers!$O$5:$O$2004,MATCH($A213,Workers!$A$5:$A$2004,0))&amp;"")</f>
        <v/>
      </c>
      <c r="T213" s="24" t="str">
        <f aca="false">IF($A213="","",INDEX(Workers!$P$5:$P$2004,MATCH($A213,Workers!$A$5:$A$2004,0))&amp;"")</f>
        <v/>
      </c>
      <c r="U213" s="24" t="str">
        <f aca="false">IF($A213="","",INDEX(Workers!$H$5:$H$2004,MATCH($A213,Workers!$A$5:$A$2004,0))&amp;"")</f>
        <v/>
      </c>
    </row>
    <row r="214" customFormat="false" ht="15" hidden="false" customHeight="false" outlineLevel="0" collapsed="false">
      <c r="A214" s="24" t="str">
        <f aca="false">IFERROR(INDEX(Workers!$A$5:$A$2004,MATCH(ROW()-4,Workers!$U$5:$U$2004,0)),"")</f>
        <v/>
      </c>
      <c r="B214" s="24" t="str">
        <f aca="false">IF($A214="","",INDEX(Workers!$B$5:$B$2004,MATCH($A214,Workers!$A$5:$A$2004,0)))</f>
        <v/>
      </c>
      <c r="C214" s="24" t="str">
        <f aca="false">IF($A214="","",INDEX(Workers!$E$5:$E$2004,MATCH($A214,Workers!$A$5:$A$2004,0)))</f>
        <v/>
      </c>
      <c r="D214" s="24" t="str">
        <f aca="false">IF($A214="","",INDEX(Workers!$K$5:$K$2004,MATCH($A214,Workers!$A$5:$A$2004,0)))</f>
        <v/>
      </c>
      <c r="E214" s="25" t="str">
        <f aca="false">IF($A214="","",SUMIFS(Timesheet!$E$5:$E$3004,Timesheet!$D$5:$D$3004,$A214,Timesheet!$A$5:$A$3004,"&gt;="&amp;Settings!$B$8,Timesheet!$A$5:$A$3004,"&lt;="&amp;Settings!$B$9))</f>
        <v/>
      </c>
      <c r="F214" s="25" t="str">
        <f aca="false">IF($A214="","",SUMIFS(Timesheet!$F$5:$F$3004,Timesheet!$D$5:$D$3004,$A214,Timesheet!$A$5:$A$3004,"&gt;="&amp;Settings!$B$8,Timesheet!$A$5:$A$3004,"&lt;="&amp;Settings!$B$9))</f>
        <v/>
      </c>
      <c r="G214" s="25" t="str">
        <f aca="false">IF($A214="","",SUMIFS(Timesheet!$G$5:$G$3004,Timesheet!$D$5:$D$3004,$A214,Timesheet!$A$5:$A$3004,"&gt;="&amp;Settings!$B$8,Timesheet!$A$5:$A$3004,"&lt;="&amp;Settings!$B$9))</f>
        <v/>
      </c>
      <c r="H214" s="25" t="str">
        <f aca="false">IF($A214="","",IF(D214="Monthly",MAX(0,Settings!$B$11-E214),0))</f>
        <v/>
      </c>
      <c r="I214" s="26" t="str">
        <f aca="false">IF($A214="","",N(INDEX(Workers!$L$5:$L$2004,MATCH($A214,Workers!$A$5:$A$2004,0))))</f>
        <v/>
      </c>
      <c r="J214" s="26" t="str">
        <f aca="false">IF($A214="","",N(INDEX(Workers!$M$5:$M$2004,MATCH($A214,Workers!$A$5:$A$2004,0))))</f>
        <v/>
      </c>
      <c r="K214" s="26" t="str">
        <f aca="false">IF($A214="","",IF(D214="Monthly",ROUND(MAX(0,(I214+J214)-(I214+J214)/Settings!$B$10*H214),2),0))</f>
        <v/>
      </c>
      <c r="L214" s="26" t="str">
        <f aca="false">IF($A214="","",IF(D214="Hourly",ROUND(F214*N(INDEX(Workers!$N$5:$N$2004,MATCH($A214,Workers!$A$5:$A$2004,0))),2),0))</f>
        <v/>
      </c>
      <c r="M214" s="26" t="str">
        <f aca="false">IF($A214="","",ROUND(G214*IF(D214="Hourly",N(INDEX(Workers!$N$5:$N$2004,MATCH($A214,Workers!$A$5:$A$2004,0))),I214/Settings!$B$10/Settings!$B$12)*Settings!$B$13,2))</f>
        <v/>
      </c>
      <c r="N214" s="26" t="str">
        <f aca="false">IF($A214="","",K214+L214+M214)</f>
        <v/>
      </c>
      <c r="O214" s="26" t="str">
        <f aca="false">IF($A214="","",SUMIFS(Deductions!$D$5:$D$2000,Deductions!$B$5:$B$2000,$A214,Deductions!$C$5:$C$2000,"Advance",Deductions!$E$5:$E$2000,"&gt;="&amp;Settings!$B$8,Deductions!$E$5:$E$2000,"&lt;="&amp;Settings!$B$9))</f>
        <v/>
      </c>
      <c r="P214" s="26" t="str">
        <f aca="false">IF($A214="","",SUMIFS(Deductions!$D$5:$D$2000,Deductions!$B$5:$B$2000,$A214,Deductions!$E$5:$E$2000,"&gt;="&amp;Settings!$B$8,Deductions!$E$5:$E$2000,"&lt;="&amp;Settings!$B$9)-O214)</f>
        <v/>
      </c>
      <c r="Q214" s="26" t="str">
        <f aca="false">IF($A214="","",O214+P214)</f>
        <v/>
      </c>
      <c r="R214" s="23" t="str">
        <f aca="false">IF($A214="","",N214-Q214)</f>
        <v/>
      </c>
      <c r="S214" s="24" t="str">
        <f aca="false">IF($A214="","",INDEX(Workers!$O$5:$O$2004,MATCH($A214,Workers!$A$5:$A$2004,0))&amp;"")</f>
        <v/>
      </c>
      <c r="T214" s="24" t="str">
        <f aca="false">IF($A214="","",INDEX(Workers!$P$5:$P$2004,MATCH($A214,Workers!$A$5:$A$2004,0))&amp;"")</f>
        <v/>
      </c>
      <c r="U214" s="24" t="str">
        <f aca="false">IF($A214="","",INDEX(Workers!$H$5:$H$2004,MATCH($A214,Workers!$A$5:$A$2004,0))&amp;"")</f>
        <v/>
      </c>
    </row>
    <row r="215" customFormat="false" ht="15" hidden="false" customHeight="false" outlineLevel="0" collapsed="false">
      <c r="A215" s="24" t="str">
        <f aca="false">IFERROR(INDEX(Workers!$A$5:$A$2004,MATCH(ROW()-4,Workers!$U$5:$U$2004,0)),"")</f>
        <v/>
      </c>
      <c r="B215" s="24" t="str">
        <f aca="false">IF($A215="","",INDEX(Workers!$B$5:$B$2004,MATCH($A215,Workers!$A$5:$A$2004,0)))</f>
        <v/>
      </c>
      <c r="C215" s="24" t="str">
        <f aca="false">IF($A215="","",INDEX(Workers!$E$5:$E$2004,MATCH($A215,Workers!$A$5:$A$2004,0)))</f>
        <v/>
      </c>
      <c r="D215" s="24" t="str">
        <f aca="false">IF($A215="","",INDEX(Workers!$K$5:$K$2004,MATCH($A215,Workers!$A$5:$A$2004,0)))</f>
        <v/>
      </c>
      <c r="E215" s="25" t="str">
        <f aca="false">IF($A215="","",SUMIFS(Timesheet!$E$5:$E$3004,Timesheet!$D$5:$D$3004,$A215,Timesheet!$A$5:$A$3004,"&gt;="&amp;Settings!$B$8,Timesheet!$A$5:$A$3004,"&lt;="&amp;Settings!$B$9))</f>
        <v/>
      </c>
      <c r="F215" s="25" t="str">
        <f aca="false">IF($A215="","",SUMIFS(Timesheet!$F$5:$F$3004,Timesheet!$D$5:$D$3004,$A215,Timesheet!$A$5:$A$3004,"&gt;="&amp;Settings!$B$8,Timesheet!$A$5:$A$3004,"&lt;="&amp;Settings!$B$9))</f>
        <v/>
      </c>
      <c r="G215" s="25" t="str">
        <f aca="false">IF($A215="","",SUMIFS(Timesheet!$G$5:$G$3004,Timesheet!$D$5:$D$3004,$A215,Timesheet!$A$5:$A$3004,"&gt;="&amp;Settings!$B$8,Timesheet!$A$5:$A$3004,"&lt;="&amp;Settings!$B$9))</f>
        <v/>
      </c>
      <c r="H215" s="25" t="str">
        <f aca="false">IF($A215="","",IF(D215="Monthly",MAX(0,Settings!$B$11-E215),0))</f>
        <v/>
      </c>
      <c r="I215" s="26" t="str">
        <f aca="false">IF($A215="","",N(INDEX(Workers!$L$5:$L$2004,MATCH($A215,Workers!$A$5:$A$2004,0))))</f>
        <v/>
      </c>
      <c r="J215" s="26" t="str">
        <f aca="false">IF($A215="","",N(INDEX(Workers!$M$5:$M$2004,MATCH($A215,Workers!$A$5:$A$2004,0))))</f>
        <v/>
      </c>
      <c r="K215" s="26" t="str">
        <f aca="false">IF($A215="","",IF(D215="Monthly",ROUND(MAX(0,(I215+J215)-(I215+J215)/Settings!$B$10*H215),2),0))</f>
        <v/>
      </c>
      <c r="L215" s="26" t="str">
        <f aca="false">IF($A215="","",IF(D215="Hourly",ROUND(F215*N(INDEX(Workers!$N$5:$N$2004,MATCH($A215,Workers!$A$5:$A$2004,0))),2),0))</f>
        <v/>
      </c>
      <c r="M215" s="26" t="str">
        <f aca="false">IF($A215="","",ROUND(G215*IF(D215="Hourly",N(INDEX(Workers!$N$5:$N$2004,MATCH($A215,Workers!$A$5:$A$2004,0))),I215/Settings!$B$10/Settings!$B$12)*Settings!$B$13,2))</f>
        <v/>
      </c>
      <c r="N215" s="26" t="str">
        <f aca="false">IF($A215="","",K215+L215+M215)</f>
        <v/>
      </c>
      <c r="O215" s="26" t="str">
        <f aca="false">IF($A215="","",SUMIFS(Deductions!$D$5:$D$2000,Deductions!$B$5:$B$2000,$A215,Deductions!$C$5:$C$2000,"Advance",Deductions!$E$5:$E$2000,"&gt;="&amp;Settings!$B$8,Deductions!$E$5:$E$2000,"&lt;="&amp;Settings!$B$9))</f>
        <v/>
      </c>
      <c r="P215" s="26" t="str">
        <f aca="false">IF($A215="","",SUMIFS(Deductions!$D$5:$D$2000,Deductions!$B$5:$B$2000,$A215,Deductions!$E$5:$E$2000,"&gt;="&amp;Settings!$B$8,Deductions!$E$5:$E$2000,"&lt;="&amp;Settings!$B$9)-O215)</f>
        <v/>
      </c>
      <c r="Q215" s="26" t="str">
        <f aca="false">IF($A215="","",O215+P215)</f>
        <v/>
      </c>
      <c r="R215" s="23" t="str">
        <f aca="false">IF($A215="","",N215-Q215)</f>
        <v/>
      </c>
      <c r="S215" s="24" t="str">
        <f aca="false">IF($A215="","",INDEX(Workers!$O$5:$O$2004,MATCH($A215,Workers!$A$5:$A$2004,0))&amp;"")</f>
        <v/>
      </c>
      <c r="T215" s="24" t="str">
        <f aca="false">IF($A215="","",INDEX(Workers!$P$5:$P$2004,MATCH($A215,Workers!$A$5:$A$2004,0))&amp;"")</f>
        <v/>
      </c>
      <c r="U215" s="24" t="str">
        <f aca="false">IF($A215="","",INDEX(Workers!$H$5:$H$2004,MATCH($A215,Workers!$A$5:$A$2004,0))&amp;"")</f>
        <v/>
      </c>
    </row>
    <row r="216" customFormat="false" ht="15" hidden="false" customHeight="false" outlineLevel="0" collapsed="false">
      <c r="A216" s="24" t="str">
        <f aca="false">IFERROR(INDEX(Workers!$A$5:$A$2004,MATCH(ROW()-4,Workers!$U$5:$U$2004,0)),"")</f>
        <v/>
      </c>
      <c r="B216" s="24" t="str">
        <f aca="false">IF($A216="","",INDEX(Workers!$B$5:$B$2004,MATCH($A216,Workers!$A$5:$A$2004,0)))</f>
        <v/>
      </c>
      <c r="C216" s="24" t="str">
        <f aca="false">IF($A216="","",INDEX(Workers!$E$5:$E$2004,MATCH($A216,Workers!$A$5:$A$2004,0)))</f>
        <v/>
      </c>
      <c r="D216" s="24" t="str">
        <f aca="false">IF($A216="","",INDEX(Workers!$K$5:$K$2004,MATCH($A216,Workers!$A$5:$A$2004,0)))</f>
        <v/>
      </c>
      <c r="E216" s="25" t="str">
        <f aca="false">IF($A216="","",SUMIFS(Timesheet!$E$5:$E$3004,Timesheet!$D$5:$D$3004,$A216,Timesheet!$A$5:$A$3004,"&gt;="&amp;Settings!$B$8,Timesheet!$A$5:$A$3004,"&lt;="&amp;Settings!$B$9))</f>
        <v/>
      </c>
      <c r="F216" s="25" t="str">
        <f aca="false">IF($A216="","",SUMIFS(Timesheet!$F$5:$F$3004,Timesheet!$D$5:$D$3004,$A216,Timesheet!$A$5:$A$3004,"&gt;="&amp;Settings!$B$8,Timesheet!$A$5:$A$3004,"&lt;="&amp;Settings!$B$9))</f>
        <v/>
      </c>
      <c r="G216" s="25" t="str">
        <f aca="false">IF($A216="","",SUMIFS(Timesheet!$G$5:$G$3004,Timesheet!$D$5:$D$3004,$A216,Timesheet!$A$5:$A$3004,"&gt;="&amp;Settings!$B$8,Timesheet!$A$5:$A$3004,"&lt;="&amp;Settings!$B$9))</f>
        <v/>
      </c>
      <c r="H216" s="25" t="str">
        <f aca="false">IF($A216="","",IF(D216="Monthly",MAX(0,Settings!$B$11-E216),0))</f>
        <v/>
      </c>
      <c r="I216" s="26" t="str">
        <f aca="false">IF($A216="","",N(INDEX(Workers!$L$5:$L$2004,MATCH($A216,Workers!$A$5:$A$2004,0))))</f>
        <v/>
      </c>
      <c r="J216" s="26" t="str">
        <f aca="false">IF($A216="","",N(INDEX(Workers!$M$5:$M$2004,MATCH($A216,Workers!$A$5:$A$2004,0))))</f>
        <v/>
      </c>
      <c r="K216" s="26" t="str">
        <f aca="false">IF($A216="","",IF(D216="Monthly",ROUND(MAX(0,(I216+J216)-(I216+J216)/Settings!$B$10*H216),2),0))</f>
        <v/>
      </c>
      <c r="L216" s="26" t="str">
        <f aca="false">IF($A216="","",IF(D216="Hourly",ROUND(F216*N(INDEX(Workers!$N$5:$N$2004,MATCH($A216,Workers!$A$5:$A$2004,0))),2),0))</f>
        <v/>
      </c>
      <c r="M216" s="26" t="str">
        <f aca="false">IF($A216="","",ROUND(G216*IF(D216="Hourly",N(INDEX(Workers!$N$5:$N$2004,MATCH($A216,Workers!$A$5:$A$2004,0))),I216/Settings!$B$10/Settings!$B$12)*Settings!$B$13,2))</f>
        <v/>
      </c>
      <c r="N216" s="26" t="str">
        <f aca="false">IF($A216="","",K216+L216+M216)</f>
        <v/>
      </c>
      <c r="O216" s="26" t="str">
        <f aca="false">IF($A216="","",SUMIFS(Deductions!$D$5:$D$2000,Deductions!$B$5:$B$2000,$A216,Deductions!$C$5:$C$2000,"Advance",Deductions!$E$5:$E$2000,"&gt;="&amp;Settings!$B$8,Deductions!$E$5:$E$2000,"&lt;="&amp;Settings!$B$9))</f>
        <v/>
      </c>
      <c r="P216" s="26" t="str">
        <f aca="false">IF($A216="","",SUMIFS(Deductions!$D$5:$D$2000,Deductions!$B$5:$B$2000,$A216,Deductions!$E$5:$E$2000,"&gt;="&amp;Settings!$B$8,Deductions!$E$5:$E$2000,"&lt;="&amp;Settings!$B$9)-O216)</f>
        <v/>
      </c>
      <c r="Q216" s="26" t="str">
        <f aca="false">IF($A216="","",O216+P216)</f>
        <v/>
      </c>
      <c r="R216" s="23" t="str">
        <f aca="false">IF($A216="","",N216-Q216)</f>
        <v/>
      </c>
      <c r="S216" s="24" t="str">
        <f aca="false">IF($A216="","",INDEX(Workers!$O$5:$O$2004,MATCH($A216,Workers!$A$5:$A$2004,0))&amp;"")</f>
        <v/>
      </c>
      <c r="T216" s="24" t="str">
        <f aca="false">IF($A216="","",INDEX(Workers!$P$5:$P$2004,MATCH($A216,Workers!$A$5:$A$2004,0))&amp;"")</f>
        <v/>
      </c>
      <c r="U216" s="24" t="str">
        <f aca="false">IF($A216="","",INDEX(Workers!$H$5:$H$2004,MATCH($A216,Workers!$A$5:$A$2004,0))&amp;"")</f>
        <v/>
      </c>
    </row>
    <row r="217" customFormat="false" ht="15" hidden="false" customHeight="false" outlineLevel="0" collapsed="false">
      <c r="A217" s="24" t="str">
        <f aca="false">IFERROR(INDEX(Workers!$A$5:$A$2004,MATCH(ROW()-4,Workers!$U$5:$U$2004,0)),"")</f>
        <v/>
      </c>
      <c r="B217" s="24" t="str">
        <f aca="false">IF($A217="","",INDEX(Workers!$B$5:$B$2004,MATCH($A217,Workers!$A$5:$A$2004,0)))</f>
        <v/>
      </c>
      <c r="C217" s="24" t="str">
        <f aca="false">IF($A217="","",INDEX(Workers!$E$5:$E$2004,MATCH($A217,Workers!$A$5:$A$2004,0)))</f>
        <v/>
      </c>
      <c r="D217" s="24" t="str">
        <f aca="false">IF($A217="","",INDEX(Workers!$K$5:$K$2004,MATCH($A217,Workers!$A$5:$A$2004,0)))</f>
        <v/>
      </c>
      <c r="E217" s="25" t="str">
        <f aca="false">IF($A217="","",SUMIFS(Timesheet!$E$5:$E$3004,Timesheet!$D$5:$D$3004,$A217,Timesheet!$A$5:$A$3004,"&gt;="&amp;Settings!$B$8,Timesheet!$A$5:$A$3004,"&lt;="&amp;Settings!$B$9))</f>
        <v/>
      </c>
      <c r="F217" s="25" t="str">
        <f aca="false">IF($A217="","",SUMIFS(Timesheet!$F$5:$F$3004,Timesheet!$D$5:$D$3004,$A217,Timesheet!$A$5:$A$3004,"&gt;="&amp;Settings!$B$8,Timesheet!$A$5:$A$3004,"&lt;="&amp;Settings!$B$9))</f>
        <v/>
      </c>
      <c r="G217" s="25" t="str">
        <f aca="false">IF($A217="","",SUMIFS(Timesheet!$G$5:$G$3004,Timesheet!$D$5:$D$3004,$A217,Timesheet!$A$5:$A$3004,"&gt;="&amp;Settings!$B$8,Timesheet!$A$5:$A$3004,"&lt;="&amp;Settings!$B$9))</f>
        <v/>
      </c>
      <c r="H217" s="25" t="str">
        <f aca="false">IF($A217="","",IF(D217="Monthly",MAX(0,Settings!$B$11-E217),0))</f>
        <v/>
      </c>
      <c r="I217" s="26" t="str">
        <f aca="false">IF($A217="","",N(INDEX(Workers!$L$5:$L$2004,MATCH($A217,Workers!$A$5:$A$2004,0))))</f>
        <v/>
      </c>
      <c r="J217" s="26" t="str">
        <f aca="false">IF($A217="","",N(INDEX(Workers!$M$5:$M$2004,MATCH($A217,Workers!$A$5:$A$2004,0))))</f>
        <v/>
      </c>
      <c r="K217" s="26" t="str">
        <f aca="false">IF($A217="","",IF(D217="Monthly",ROUND(MAX(0,(I217+J217)-(I217+J217)/Settings!$B$10*H217),2),0))</f>
        <v/>
      </c>
      <c r="L217" s="26" t="str">
        <f aca="false">IF($A217="","",IF(D217="Hourly",ROUND(F217*N(INDEX(Workers!$N$5:$N$2004,MATCH($A217,Workers!$A$5:$A$2004,0))),2),0))</f>
        <v/>
      </c>
      <c r="M217" s="26" t="str">
        <f aca="false">IF($A217="","",ROUND(G217*IF(D217="Hourly",N(INDEX(Workers!$N$5:$N$2004,MATCH($A217,Workers!$A$5:$A$2004,0))),I217/Settings!$B$10/Settings!$B$12)*Settings!$B$13,2))</f>
        <v/>
      </c>
      <c r="N217" s="26" t="str">
        <f aca="false">IF($A217="","",K217+L217+M217)</f>
        <v/>
      </c>
      <c r="O217" s="26" t="str">
        <f aca="false">IF($A217="","",SUMIFS(Deductions!$D$5:$D$2000,Deductions!$B$5:$B$2000,$A217,Deductions!$C$5:$C$2000,"Advance",Deductions!$E$5:$E$2000,"&gt;="&amp;Settings!$B$8,Deductions!$E$5:$E$2000,"&lt;="&amp;Settings!$B$9))</f>
        <v/>
      </c>
      <c r="P217" s="26" t="str">
        <f aca="false">IF($A217="","",SUMIFS(Deductions!$D$5:$D$2000,Deductions!$B$5:$B$2000,$A217,Deductions!$E$5:$E$2000,"&gt;="&amp;Settings!$B$8,Deductions!$E$5:$E$2000,"&lt;="&amp;Settings!$B$9)-O217)</f>
        <v/>
      </c>
      <c r="Q217" s="26" t="str">
        <f aca="false">IF($A217="","",O217+P217)</f>
        <v/>
      </c>
      <c r="R217" s="23" t="str">
        <f aca="false">IF($A217="","",N217-Q217)</f>
        <v/>
      </c>
      <c r="S217" s="24" t="str">
        <f aca="false">IF($A217="","",INDEX(Workers!$O$5:$O$2004,MATCH($A217,Workers!$A$5:$A$2004,0))&amp;"")</f>
        <v/>
      </c>
      <c r="T217" s="24" t="str">
        <f aca="false">IF($A217="","",INDEX(Workers!$P$5:$P$2004,MATCH($A217,Workers!$A$5:$A$2004,0))&amp;"")</f>
        <v/>
      </c>
      <c r="U217" s="24" t="str">
        <f aca="false">IF($A217="","",INDEX(Workers!$H$5:$H$2004,MATCH($A217,Workers!$A$5:$A$2004,0))&amp;"")</f>
        <v/>
      </c>
    </row>
    <row r="218" customFormat="false" ht="15" hidden="false" customHeight="false" outlineLevel="0" collapsed="false">
      <c r="A218" s="24" t="str">
        <f aca="false">IFERROR(INDEX(Workers!$A$5:$A$2004,MATCH(ROW()-4,Workers!$U$5:$U$2004,0)),"")</f>
        <v/>
      </c>
      <c r="B218" s="24" t="str">
        <f aca="false">IF($A218="","",INDEX(Workers!$B$5:$B$2004,MATCH($A218,Workers!$A$5:$A$2004,0)))</f>
        <v/>
      </c>
      <c r="C218" s="24" t="str">
        <f aca="false">IF($A218="","",INDEX(Workers!$E$5:$E$2004,MATCH($A218,Workers!$A$5:$A$2004,0)))</f>
        <v/>
      </c>
      <c r="D218" s="24" t="str">
        <f aca="false">IF($A218="","",INDEX(Workers!$K$5:$K$2004,MATCH($A218,Workers!$A$5:$A$2004,0)))</f>
        <v/>
      </c>
      <c r="E218" s="25" t="str">
        <f aca="false">IF($A218="","",SUMIFS(Timesheet!$E$5:$E$3004,Timesheet!$D$5:$D$3004,$A218,Timesheet!$A$5:$A$3004,"&gt;="&amp;Settings!$B$8,Timesheet!$A$5:$A$3004,"&lt;="&amp;Settings!$B$9))</f>
        <v/>
      </c>
      <c r="F218" s="25" t="str">
        <f aca="false">IF($A218="","",SUMIFS(Timesheet!$F$5:$F$3004,Timesheet!$D$5:$D$3004,$A218,Timesheet!$A$5:$A$3004,"&gt;="&amp;Settings!$B$8,Timesheet!$A$5:$A$3004,"&lt;="&amp;Settings!$B$9))</f>
        <v/>
      </c>
      <c r="G218" s="25" t="str">
        <f aca="false">IF($A218="","",SUMIFS(Timesheet!$G$5:$G$3004,Timesheet!$D$5:$D$3004,$A218,Timesheet!$A$5:$A$3004,"&gt;="&amp;Settings!$B$8,Timesheet!$A$5:$A$3004,"&lt;="&amp;Settings!$B$9))</f>
        <v/>
      </c>
      <c r="H218" s="25" t="str">
        <f aca="false">IF($A218="","",IF(D218="Monthly",MAX(0,Settings!$B$11-E218),0))</f>
        <v/>
      </c>
      <c r="I218" s="26" t="str">
        <f aca="false">IF($A218="","",N(INDEX(Workers!$L$5:$L$2004,MATCH($A218,Workers!$A$5:$A$2004,0))))</f>
        <v/>
      </c>
      <c r="J218" s="26" t="str">
        <f aca="false">IF($A218="","",N(INDEX(Workers!$M$5:$M$2004,MATCH($A218,Workers!$A$5:$A$2004,0))))</f>
        <v/>
      </c>
      <c r="K218" s="26" t="str">
        <f aca="false">IF($A218="","",IF(D218="Monthly",ROUND(MAX(0,(I218+J218)-(I218+J218)/Settings!$B$10*H218),2),0))</f>
        <v/>
      </c>
      <c r="L218" s="26" t="str">
        <f aca="false">IF($A218="","",IF(D218="Hourly",ROUND(F218*N(INDEX(Workers!$N$5:$N$2004,MATCH($A218,Workers!$A$5:$A$2004,0))),2),0))</f>
        <v/>
      </c>
      <c r="M218" s="26" t="str">
        <f aca="false">IF($A218="","",ROUND(G218*IF(D218="Hourly",N(INDEX(Workers!$N$5:$N$2004,MATCH($A218,Workers!$A$5:$A$2004,0))),I218/Settings!$B$10/Settings!$B$12)*Settings!$B$13,2))</f>
        <v/>
      </c>
      <c r="N218" s="26" t="str">
        <f aca="false">IF($A218="","",K218+L218+M218)</f>
        <v/>
      </c>
      <c r="O218" s="26" t="str">
        <f aca="false">IF($A218="","",SUMIFS(Deductions!$D$5:$D$2000,Deductions!$B$5:$B$2000,$A218,Deductions!$C$5:$C$2000,"Advance",Deductions!$E$5:$E$2000,"&gt;="&amp;Settings!$B$8,Deductions!$E$5:$E$2000,"&lt;="&amp;Settings!$B$9))</f>
        <v/>
      </c>
      <c r="P218" s="26" t="str">
        <f aca="false">IF($A218="","",SUMIFS(Deductions!$D$5:$D$2000,Deductions!$B$5:$B$2000,$A218,Deductions!$E$5:$E$2000,"&gt;="&amp;Settings!$B$8,Deductions!$E$5:$E$2000,"&lt;="&amp;Settings!$B$9)-O218)</f>
        <v/>
      </c>
      <c r="Q218" s="26" t="str">
        <f aca="false">IF($A218="","",O218+P218)</f>
        <v/>
      </c>
      <c r="R218" s="23" t="str">
        <f aca="false">IF($A218="","",N218-Q218)</f>
        <v/>
      </c>
      <c r="S218" s="24" t="str">
        <f aca="false">IF($A218="","",INDEX(Workers!$O$5:$O$2004,MATCH($A218,Workers!$A$5:$A$2004,0))&amp;"")</f>
        <v/>
      </c>
      <c r="T218" s="24" t="str">
        <f aca="false">IF($A218="","",INDEX(Workers!$P$5:$P$2004,MATCH($A218,Workers!$A$5:$A$2004,0))&amp;"")</f>
        <v/>
      </c>
      <c r="U218" s="24" t="str">
        <f aca="false">IF($A218="","",INDEX(Workers!$H$5:$H$2004,MATCH($A218,Workers!$A$5:$A$2004,0))&amp;"")</f>
        <v/>
      </c>
    </row>
    <row r="219" customFormat="false" ht="15" hidden="false" customHeight="false" outlineLevel="0" collapsed="false">
      <c r="A219" s="24" t="str">
        <f aca="false">IFERROR(INDEX(Workers!$A$5:$A$2004,MATCH(ROW()-4,Workers!$U$5:$U$2004,0)),"")</f>
        <v/>
      </c>
      <c r="B219" s="24" t="str">
        <f aca="false">IF($A219="","",INDEX(Workers!$B$5:$B$2004,MATCH($A219,Workers!$A$5:$A$2004,0)))</f>
        <v/>
      </c>
      <c r="C219" s="24" t="str">
        <f aca="false">IF($A219="","",INDEX(Workers!$E$5:$E$2004,MATCH($A219,Workers!$A$5:$A$2004,0)))</f>
        <v/>
      </c>
      <c r="D219" s="24" t="str">
        <f aca="false">IF($A219="","",INDEX(Workers!$K$5:$K$2004,MATCH($A219,Workers!$A$5:$A$2004,0)))</f>
        <v/>
      </c>
      <c r="E219" s="25" t="str">
        <f aca="false">IF($A219="","",SUMIFS(Timesheet!$E$5:$E$3004,Timesheet!$D$5:$D$3004,$A219,Timesheet!$A$5:$A$3004,"&gt;="&amp;Settings!$B$8,Timesheet!$A$5:$A$3004,"&lt;="&amp;Settings!$B$9))</f>
        <v/>
      </c>
      <c r="F219" s="25" t="str">
        <f aca="false">IF($A219="","",SUMIFS(Timesheet!$F$5:$F$3004,Timesheet!$D$5:$D$3004,$A219,Timesheet!$A$5:$A$3004,"&gt;="&amp;Settings!$B$8,Timesheet!$A$5:$A$3004,"&lt;="&amp;Settings!$B$9))</f>
        <v/>
      </c>
      <c r="G219" s="25" t="str">
        <f aca="false">IF($A219="","",SUMIFS(Timesheet!$G$5:$G$3004,Timesheet!$D$5:$D$3004,$A219,Timesheet!$A$5:$A$3004,"&gt;="&amp;Settings!$B$8,Timesheet!$A$5:$A$3004,"&lt;="&amp;Settings!$B$9))</f>
        <v/>
      </c>
      <c r="H219" s="25" t="str">
        <f aca="false">IF($A219="","",IF(D219="Monthly",MAX(0,Settings!$B$11-E219),0))</f>
        <v/>
      </c>
      <c r="I219" s="26" t="str">
        <f aca="false">IF($A219="","",N(INDEX(Workers!$L$5:$L$2004,MATCH($A219,Workers!$A$5:$A$2004,0))))</f>
        <v/>
      </c>
      <c r="J219" s="26" t="str">
        <f aca="false">IF($A219="","",N(INDEX(Workers!$M$5:$M$2004,MATCH($A219,Workers!$A$5:$A$2004,0))))</f>
        <v/>
      </c>
      <c r="K219" s="26" t="str">
        <f aca="false">IF($A219="","",IF(D219="Monthly",ROUND(MAX(0,(I219+J219)-(I219+J219)/Settings!$B$10*H219),2),0))</f>
        <v/>
      </c>
      <c r="L219" s="26" t="str">
        <f aca="false">IF($A219="","",IF(D219="Hourly",ROUND(F219*N(INDEX(Workers!$N$5:$N$2004,MATCH($A219,Workers!$A$5:$A$2004,0))),2),0))</f>
        <v/>
      </c>
      <c r="M219" s="26" t="str">
        <f aca="false">IF($A219="","",ROUND(G219*IF(D219="Hourly",N(INDEX(Workers!$N$5:$N$2004,MATCH($A219,Workers!$A$5:$A$2004,0))),I219/Settings!$B$10/Settings!$B$12)*Settings!$B$13,2))</f>
        <v/>
      </c>
      <c r="N219" s="26" t="str">
        <f aca="false">IF($A219="","",K219+L219+M219)</f>
        <v/>
      </c>
      <c r="O219" s="26" t="str">
        <f aca="false">IF($A219="","",SUMIFS(Deductions!$D$5:$D$2000,Deductions!$B$5:$B$2000,$A219,Deductions!$C$5:$C$2000,"Advance",Deductions!$E$5:$E$2000,"&gt;="&amp;Settings!$B$8,Deductions!$E$5:$E$2000,"&lt;="&amp;Settings!$B$9))</f>
        <v/>
      </c>
      <c r="P219" s="26" t="str">
        <f aca="false">IF($A219="","",SUMIFS(Deductions!$D$5:$D$2000,Deductions!$B$5:$B$2000,$A219,Deductions!$E$5:$E$2000,"&gt;="&amp;Settings!$B$8,Deductions!$E$5:$E$2000,"&lt;="&amp;Settings!$B$9)-O219)</f>
        <v/>
      </c>
      <c r="Q219" s="26" t="str">
        <f aca="false">IF($A219="","",O219+P219)</f>
        <v/>
      </c>
      <c r="R219" s="23" t="str">
        <f aca="false">IF($A219="","",N219-Q219)</f>
        <v/>
      </c>
      <c r="S219" s="24" t="str">
        <f aca="false">IF($A219="","",INDEX(Workers!$O$5:$O$2004,MATCH($A219,Workers!$A$5:$A$2004,0))&amp;"")</f>
        <v/>
      </c>
      <c r="T219" s="24" t="str">
        <f aca="false">IF($A219="","",INDEX(Workers!$P$5:$P$2004,MATCH($A219,Workers!$A$5:$A$2004,0))&amp;"")</f>
        <v/>
      </c>
      <c r="U219" s="24" t="str">
        <f aca="false">IF($A219="","",INDEX(Workers!$H$5:$H$2004,MATCH($A219,Workers!$A$5:$A$2004,0))&amp;"")</f>
        <v/>
      </c>
    </row>
    <row r="220" customFormat="false" ht="15" hidden="false" customHeight="false" outlineLevel="0" collapsed="false">
      <c r="A220" s="24" t="str">
        <f aca="false">IFERROR(INDEX(Workers!$A$5:$A$2004,MATCH(ROW()-4,Workers!$U$5:$U$2004,0)),"")</f>
        <v/>
      </c>
      <c r="B220" s="24" t="str">
        <f aca="false">IF($A220="","",INDEX(Workers!$B$5:$B$2004,MATCH($A220,Workers!$A$5:$A$2004,0)))</f>
        <v/>
      </c>
      <c r="C220" s="24" t="str">
        <f aca="false">IF($A220="","",INDEX(Workers!$E$5:$E$2004,MATCH($A220,Workers!$A$5:$A$2004,0)))</f>
        <v/>
      </c>
      <c r="D220" s="24" t="str">
        <f aca="false">IF($A220="","",INDEX(Workers!$K$5:$K$2004,MATCH($A220,Workers!$A$5:$A$2004,0)))</f>
        <v/>
      </c>
      <c r="E220" s="25" t="str">
        <f aca="false">IF($A220="","",SUMIFS(Timesheet!$E$5:$E$3004,Timesheet!$D$5:$D$3004,$A220,Timesheet!$A$5:$A$3004,"&gt;="&amp;Settings!$B$8,Timesheet!$A$5:$A$3004,"&lt;="&amp;Settings!$B$9))</f>
        <v/>
      </c>
      <c r="F220" s="25" t="str">
        <f aca="false">IF($A220="","",SUMIFS(Timesheet!$F$5:$F$3004,Timesheet!$D$5:$D$3004,$A220,Timesheet!$A$5:$A$3004,"&gt;="&amp;Settings!$B$8,Timesheet!$A$5:$A$3004,"&lt;="&amp;Settings!$B$9))</f>
        <v/>
      </c>
      <c r="G220" s="25" t="str">
        <f aca="false">IF($A220="","",SUMIFS(Timesheet!$G$5:$G$3004,Timesheet!$D$5:$D$3004,$A220,Timesheet!$A$5:$A$3004,"&gt;="&amp;Settings!$B$8,Timesheet!$A$5:$A$3004,"&lt;="&amp;Settings!$B$9))</f>
        <v/>
      </c>
      <c r="H220" s="25" t="str">
        <f aca="false">IF($A220="","",IF(D220="Monthly",MAX(0,Settings!$B$11-E220),0))</f>
        <v/>
      </c>
      <c r="I220" s="26" t="str">
        <f aca="false">IF($A220="","",N(INDEX(Workers!$L$5:$L$2004,MATCH($A220,Workers!$A$5:$A$2004,0))))</f>
        <v/>
      </c>
      <c r="J220" s="26" t="str">
        <f aca="false">IF($A220="","",N(INDEX(Workers!$M$5:$M$2004,MATCH($A220,Workers!$A$5:$A$2004,0))))</f>
        <v/>
      </c>
      <c r="K220" s="26" t="str">
        <f aca="false">IF($A220="","",IF(D220="Monthly",ROUND(MAX(0,(I220+J220)-(I220+J220)/Settings!$B$10*H220),2),0))</f>
        <v/>
      </c>
      <c r="L220" s="26" t="str">
        <f aca="false">IF($A220="","",IF(D220="Hourly",ROUND(F220*N(INDEX(Workers!$N$5:$N$2004,MATCH($A220,Workers!$A$5:$A$2004,0))),2),0))</f>
        <v/>
      </c>
      <c r="M220" s="26" t="str">
        <f aca="false">IF($A220="","",ROUND(G220*IF(D220="Hourly",N(INDEX(Workers!$N$5:$N$2004,MATCH($A220,Workers!$A$5:$A$2004,0))),I220/Settings!$B$10/Settings!$B$12)*Settings!$B$13,2))</f>
        <v/>
      </c>
      <c r="N220" s="26" t="str">
        <f aca="false">IF($A220="","",K220+L220+M220)</f>
        <v/>
      </c>
      <c r="O220" s="26" t="str">
        <f aca="false">IF($A220="","",SUMIFS(Deductions!$D$5:$D$2000,Deductions!$B$5:$B$2000,$A220,Deductions!$C$5:$C$2000,"Advance",Deductions!$E$5:$E$2000,"&gt;="&amp;Settings!$B$8,Deductions!$E$5:$E$2000,"&lt;="&amp;Settings!$B$9))</f>
        <v/>
      </c>
      <c r="P220" s="26" t="str">
        <f aca="false">IF($A220="","",SUMIFS(Deductions!$D$5:$D$2000,Deductions!$B$5:$B$2000,$A220,Deductions!$E$5:$E$2000,"&gt;="&amp;Settings!$B$8,Deductions!$E$5:$E$2000,"&lt;="&amp;Settings!$B$9)-O220)</f>
        <v/>
      </c>
      <c r="Q220" s="26" t="str">
        <f aca="false">IF($A220="","",O220+P220)</f>
        <v/>
      </c>
      <c r="R220" s="23" t="str">
        <f aca="false">IF($A220="","",N220-Q220)</f>
        <v/>
      </c>
      <c r="S220" s="24" t="str">
        <f aca="false">IF($A220="","",INDEX(Workers!$O$5:$O$2004,MATCH($A220,Workers!$A$5:$A$2004,0))&amp;"")</f>
        <v/>
      </c>
      <c r="T220" s="24" t="str">
        <f aca="false">IF($A220="","",INDEX(Workers!$P$5:$P$2004,MATCH($A220,Workers!$A$5:$A$2004,0))&amp;"")</f>
        <v/>
      </c>
      <c r="U220" s="24" t="str">
        <f aca="false">IF($A220="","",INDEX(Workers!$H$5:$H$2004,MATCH($A220,Workers!$A$5:$A$2004,0))&amp;"")</f>
        <v/>
      </c>
    </row>
    <row r="221" customFormat="false" ht="15" hidden="false" customHeight="false" outlineLevel="0" collapsed="false">
      <c r="A221" s="24" t="str">
        <f aca="false">IFERROR(INDEX(Workers!$A$5:$A$2004,MATCH(ROW()-4,Workers!$U$5:$U$2004,0)),"")</f>
        <v/>
      </c>
      <c r="B221" s="24" t="str">
        <f aca="false">IF($A221="","",INDEX(Workers!$B$5:$B$2004,MATCH($A221,Workers!$A$5:$A$2004,0)))</f>
        <v/>
      </c>
      <c r="C221" s="24" t="str">
        <f aca="false">IF($A221="","",INDEX(Workers!$E$5:$E$2004,MATCH($A221,Workers!$A$5:$A$2004,0)))</f>
        <v/>
      </c>
      <c r="D221" s="24" t="str">
        <f aca="false">IF($A221="","",INDEX(Workers!$K$5:$K$2004,MATCH($A221,Workers!$A$5:$A$2004,0)))</f>
        <v/>
      </c>
      <c r="E221" s="25" t="str">
        <f aca="false">IF($A221="","",SUMIFS(Timesheet!$E$5:$E$3004,Timesheet!$D$5:$D$3004,$A221,Timesheet!$A$5:$A$3004,"&gt;="&amp;Settings!$B$8,Timesheet!$A$5:$A$3004,"&lt;="&amp;Settings!$B$9))</f>
        <v/>
      </c>
      <c r="F221" s="25" t="str">
        <f aca="false">IF($A221="","",SUMIFS(Timesheet!$F$5:$F$3004,Timesheet!$D$5:$D$3004,$A221,Timesheet!$A$5:$A$3004,"&gt;="&amp;Settings!$B$8,Timesheet!$A$5:$A$3004,"&lt;="&amp;Settings!$B$9))</f>
        <v/>
      </c>
      <c r="G221" s="25" t="str">
        <f aca="false">IF($A221="","",SUMIFS(Timesheet!$G$5:$G$3004,Timesheet!$D$5:$D$3004,$A221,Timesheet!$A$5:$A$3004,"&gt;="&amp;Settings!$B$8,Timesheet!$A$5:$A$3004,"&lt;="&amp;Settings!$B$9))</f>
        <v/>
      </c>
      <c r="H221" s="25" t="str">
        <f aca="false">IF($A221="","",IF(D221="Monthly",MAX(0,Settings!$B$11-E221),0))</f>
        <v/>
      </c>
      <c r="I221" s="26" t="str">
        <f aca="false">IF($A221="","",N(INDEX(Workers!$L$5:$L$2004,MATCH($A221,Workers!$A$5:$A$2004,0))))</f>
        <v/>
      </c>
      <c r="J221" s="26" t="str">
        <f aca="false">IF($A221="","",N(INDEX(Workers!$M$5:$M$2004,MATCH($A221,Workers!$A$5:$A$2004,0))))</f>
        <v/>
      </c>
      <c r="K221" s="26" t="str">
        <f aca="false">IF($A221="","",IF(D221="Monthly",ROUND(MAX(0,(I221+J221)-(I221+J221)/Settings!$B$10*H221),2),0))</f>
        <v/>
      </c>
      <c r="L221" s="26" t="str">
        <f aca="false">IF($A221="","",IF(D221="Hourly",ROUND(F221*N(INDEX(Workers!$N$5:$N$2004,MATCH($A221,Workers!$A$5:$A$2004,0))),2),0))</f>
        <v/>
      </c>
      <c r="M221" s="26" t="str">
        <f aca="false">IF($A221="","",ROUND(G221*IF(D221="Hourly",N(INDEX(Workers!$N$5:$N$2004,MATCH($A221,Workers!$A$5:$A$2004,0))),I221/Settings!$B$10/Settings!$B$12)*Settings!$B$13,2))</f>
        <v/>
      </c>
      <c r="N221" s="26" t="str">
        <f aca="false">IF($A221="","",K221+L221+M221)</f>
        <v/>
      </c>
      <c r="O221" s="26" t="str">
        <f aca="false">IF($A221="","",SUMIFS(Deductions!$D$5:$D$2000,Deductions!$B$5:$B$2000,$A221,Deductions!$C$5:$C$2000,"Advance",Deductions!$E$5:$E$2000,"&gt;="&amp;Settings!$B$8,Deductions!$E$5:$E$2000,"&lt;="&amp;Settings!$B$9))</f>
        <v/>
      </c>
      <c r="P221" s="26" t="str">
        <f aca="false">IF($A221="","",SUMIFS(Deductions!$D$5:$D$2000,Deductions!$B$5:$B$2000,$A221,Deductions!$E$5:$E$2000,"&gt;="&amp;Settings!$B$8,Deductions!$E$5:$E$2000,"&lt;="&amp;Settings!$B$9)-O221)</f>
        <v/>
      </c>
      <c r="Q221" s="26" t="str">
        <f aca="false">IF($A221="","",O221+P221)</f>
        <v/>
      </c>
      <c r="R221" s="23" t="str">
        <f aca="false">IF($A221="","",N221-Q221)</f>
        <v/>
      </c>
      <c r="S221" s="24" t="str">
        <f aca="false">IF($A221="","",INDEX(Workers!$O$5:$O$2004,MATCH($A221,Workers!$A$5:$A$2004,0))&amp;"")</f>
        <v/>
      </c>
      <c r="T221" s="24" t="str">
        <f aca="false">IF($A221="","",INDEX(Workers!$P$5:$P$2004,MATCH($A221,Workers!$A$5:$A$2004,0))&amp;"")</f>
        <v/>
      </c>
      <c r="U221" s="24" t="str">
        <f aca="false">IF($A221="","",INDEX(Workers!$H$5:$H$2004,MATCH($A221,Workers!$A$5:$A$2004,0))&amp;"")</f>
        <v/>
      </c>
    </row>
    <row r="222" customFormat="false" ht="15" hidden="false" customHeight="false" outlineLevel="0" collapsed="false">
      <c r="A222" s="24" t="str">
        <f aca="false">IFERROR(INDEX(Workers!$A$5:$A$2004,MATCH(ROW()-4,Workers!$U$5:$U$2004,0)),"")</f>
        <v/>
      </c>
      <c r="B222" s="24" t="str">
        <f aca="false">IF($A222="","",INDEX(Workers!$B$5:$B$2004,MATCH($A222,Workers!$A$5:$A$2004,0)))</f>
        <v/>
      </c>
      <c r="C222" s="24" t="str">
        <f aca="false">IF($A222="","",INDEX(Workers!$E$5:$E$2004,MATCH($A222,Workers!$A$5:$A$2004,0)))</f>
        <v/>
      </c>
      <c r="D222" s="24" t="str">
        <f aca="false">IF($A222="","",INDEX(Workers!$K$5:$K$2004,MATCH($A222,Workers!$A$5:$A$2004,0)))</f>
        <v/>
      </c>
      <c r="E222" s="25" t="str">
        <f aca="false">IF($A222="","",SUMIFS(Timesheet!$E$5:$E$3004,Timesheet!$D$5:$D$3004,$A222,Timesheet!$A$5:$A$3004,"&gt;="&amp;Settings!$B$8,Timesheet!$A$5:$A$3004,"&lt;="&amp;Settings!$B$9))</f>
        <v/>
      </c>
      <c r="F222" s="25" t="str">
        <f aca="false">IF($A222="","",SUMIFS(Timesheet!$F$5:$F$3004,Timesheet!$D$5:$D$3004,$A222,Timesheet!$A$5:$A$3004,"&gt;="&amp;Settings!$B$8,Timesheet!$A$5:$A$3004,"&lt;="&amp;Settings!$B$9))</f>
        <v/>
      </c>
      <c r="G222" s="25" t="str">
        <f aca="false">IF($A222="","",SUMIFS(Timesheet!$G$5:$G$3004,Timesheet!$D$5:$D$3004,$A222,Timesheet!$A$5:$A$3004,"&gt;="&amp;Settings!$B$8,Timesheet!$A$5:$A$3004,"&lt;="&amp;Settings!$B$9))</f>
        <v/>
      </c>
      <c r="H222" s="25" t="str">
        <f aca="false">IF($A222="","",IF(D222="Monthly",MAX(0,Settings!$B$11-E222),0))</f>
        <v/>
      </c>
      <c r="I222" s="26" t="str">
        <f aca="false">IF($A222="","",N(INDEX(Workers!$L$5:$L$2004,MATCH($A222,Workers!$A$5:$A$2004,0))))</f>
        <v/>
      </c>
      <c r="J222" s="26" t="str">
        <f aca="false">IF($A222="","",N(INDEX(Workers!$M$5:$M$2004,MATCH($A222,Workers!$A$5:$A$2004,0))))</f>
        <v/>
      </c>
      <c r="K222" s="26" t="str">
        <f aca="false">IF($A222="","",IF(D222="Monthly",ROUND(MAX(0,(I222+J222)-(I222+J222)/Settings!$B$10*H222),2),0))</f>
        <v/>
      </c>
      <c r="L222" s="26" t="str">
        <f aca="false">IF($A222="","",IF(D222="Hourly",ROUND(F222*N(INDEX(Workers!$N$5:$N$2004,MATCH($A222,Workers!$A$5:$A$2004,0))),2),0))</f>
        <v/>
      </c>
      <c r="M222" s="26" t="str">
        <f aca="false">IF($A222="","",ROUND(G222*IF(D222="Hourly",N(INDEX(Workers!$N$5:$N$2004,MATCH($A222,Workers!$A$5:$A$2004,0))),I222/Settings!$B$10/Settings!$B$12)*Settings!$B$13,2))</f>
        <v/>
      </c>
      <c r="N222" s="26" t="str">
        <f aca="false">IF($A222="","",K222+L222+M222)</f>
        <v/>
      </c>
      <c r="O222" s="26" t="str">
        <f aca="false">IF($A222="","",SUMIFS(Deductions!$D$5:$D$2000,Deductions!$B$5:$B$2000,$A222,Deductions!$C$5:$C$2000,"Advance",Deductions!$E$5:$E$2000,"&gt;="&amp;Settings!$B$8,Deductions!$E$5:$E$2000,"&lt;="&amp;Settings!$B$9))</f>
        <v/>
      </c>
      <c r="P222" s="26" t="str">
        <f aca="false">IF($A222="","",SUMIFS(Deductions!$D$5:$D$2000,Deductions!$B$5:$B$2000,$A222,Deductions!$E$5:$E$2000,"&gt;="&amp;Settings!$B$8,Deductions!$E$5:$E$2000,"&lt;="&amp;Settings!$B$9)-O222)</f>
        <v/>
      </c>
      <c r="Q222" s="26" t="str">
        <f aca="false">IF($A222="","",O222+P222)</f>
        <v/>
      </c>
      <c r="R222" s="23" t="str">
        <f aca="false">IF($A222="","",N222-Q222)</f>
        <v/>
      </c>
      <c r="S222" s="24" t="str">
        <f aca="false">IF($A222="","",INDEX(Workers!$O$5:$O$2004,MATCH($A222,Workers!$A$5:$A$2004,0))&amp;"")</f>
        <v/>
      </c>
      <c r="T222" s="24" t="str">
        <f aca="false">IF($A222="","",INDEX(Workers!$P$5:$P$2004,MATCH($A222,Workers!$A$5:$A$2004,0))&amp;"")</f>
        <v/>
      </c>
      <c r="U222" s="24" t="str">
        <f aca="false">IF($A222="","",INDEX(Workers!$H$5:$H$2004,MATCH($A222,Workers!$A$5:$A$2004,0))&amp;"")</f>
        <v/>
      </c>
    </row>
    <row r="223" customFormat="false" ht="15" hidden="false" customHeight="false" outlineLevel="0" collapsed="false">
      <c r="A223" s="24" t="str">
        <f aca="false">IFERROR(INDEX(Workers!$A$5:$A$2004,MATCH(ROW()-4,Workers!$U$5:$U$2004,0)),"")</f>
        <v/>
      </c>
      <c r="B223" s="24" t="str">
        <f aca="false">IF($A223="","",INDEX(Workers!$B$5:$B$2004,MATCH($A223,Workers!$A$5:$A$2004,0)))</f>
        <v/>
      </c>
      <c r="C223" s="24" t="str">
        <f aca="false">IF($A223="","",INDEX(Workers!$E$5:$E$2004,MATCH($A223,Workers!$A$5:$A$2004,0)))</f>
        <v/>
      </c>
      <c r="D223" s="24" t="str">
        <f aca="false">IF($A223="","",INDEX(Workers!$K$5:$K$2004,MATCH($A223,Workers!$A$5:$A$2004,0)))</f>
        <v/>
      </c>
      <c r="E223" s="25" t="str">
        <f aca="false">IF($A223="","",SUMIFS(Timesheet!$E$5:$E$3004,Timesheet!$D$5:$D$3004,$A223,Timesheet!$A$5:$A$3004,"&gt;="&amp;Settings!$B$8,Timesheet!$A$5:$A$3004,"&lt;="&amp;Settings!$B$9))</f>
        <v/>
      </c>
      <c r="F223" s="25" t="str">
        <f aca="false">IF($A223="","",SUMIFS(Timesheet!$F$5:$F$3004,Timesheet!$D$5:$D$3004,$A223,Timesheet!$A$5:$A$3004,"&gt;="&amp;Settings!$B$8,Timesheet!$A$5:$A$3004,"&lt;="&amp;Settings!$B$9))</f>
        <v/>
      </c>
      <c r="G223" s="25" t="str">
        <f aca="false">IF($A223="","",SUMIFS(Timesheet!$G$5:$G$3004,Timesheet!$D$5:$D$3004,$A223,Timesheet!$A$5:$A$3004,"&gt;="&amp;Settings!$B$8,Timesheet!$A$5:$A$3004,"&lt;="&amp;Settings!$B$9))</f>
        <v/>
      </c>
      <c r="H223" s="25" t="str">
        <f aca="false">IF($A223="","",IF(D223="Monthly",MAX(0,Settings!$B$11-E223),0))</f>
        <v/>
      </c>
      <c r="I223" s="26" t="str">
        <f aca="false">IF($A223="","",N(INDEX(Workers!$L$5:$L$2004,MATCH($A223,Workers!$A$5:$A$2004,0))))</f>
        <v/>
      </c>
      <c r="J223" s="26" t="str">
        <f aca="false">IF($A223="","",N(INDEX(Workers!$M$5:$M$2004,MATCH($A223,Workers!$A$5:$A$2004,0))))</f>
        <v/>
      </c>
      <c r="K223" s="26" t="str">
        <f aca="false">IF($A223="","",IF(D223="Monthly",ROUND(MAX(0,(I223+J223)-(I223+J223)/Settings!$B$10*H223),2),0))</f>
        <v/>
      </c>
      <c r="L223" s="26" t="str">
        <f aca="false">IF($A223="","",IF(D223="Hourly",ROUND(F223*N(INDEX(Workers!$N$5:$N$2004,MATCH($A223,Workers!$A$5:$A$2004,0))),2),0))</f>
        <v/>
      </c>
      <c r="M223" s="26" t="str">
        <f aca="false">IF($A223="","",ROUND(G223*IF(D223="Hourly",N(INDEX(Workers!$N$5:$N$2004,MATCH($A223,Workers!$A$5:$A$2004,0))),I223/Settings!$B$10/Settings!$B$12)*Settings!$B$13,2))</f>
        <v/>
      </c>
      <c r="N223" s="26" t="str">
        <f aca="false">IF($A223="","",K223+L223+M223)</f>
        <v/>
      </c>
      <c r="O223" s="26" t="str">
        <f aca="false">IF($A223="","",SUMIFS(Deductions!$D$5:$D$2000,Deductions!$B$5:$B$2000,$A223,Deductions!$C$5:$C$2000,"Advance",Deductions!$E$5:$E$2000,"&gt;="&amp;Settings!$B$8,Deductions!$E$5:$E$2000,"&lt;="&amp;Settings!$B$9))</f>
        <v/>
      </c>
      <c r="P223" s="26" t="str">
        <f aca="false">IF($A223="","",SUMIFS(Deductions!$D$5:$D$2000,Deductions!$B$5:$B$2000,$A223,Deductions!$E$5:$E$2000,"&gt;="&amp;Settings!$B$8,Deductions!$E$5:$E$2000,"&lt;="&amp;Settings!$B$9)-O223)</f>
        <v/>
      </c>
      <c r="Q223" s="26" t="str">
        <f aca="false">IF($A223="","",O223+P223)</f>
        <v/>
      </c>
      <c r="R223" s="23" t="str">
        <f aca="false">IF($A223="","",N223-Q223)</f>
        <v/>
      </c>
      <c r="S223" s="24" t="str">
        <f aca="false">IF($A223="","",INDEX(Workers!$O$5:$O$2004,MATCH($A223,Workers!$A$5:$A$2004,0))&amp;"")</f>
        <v/>
      </c>
      <c r="T223" s="24" t="str">
        <f aca="false">IF($A223="","",INDEX(Workers!$P$5:$P$2004,MATCH($A223,Workers!$A$5:$A$2004,0))&amp;"")</f>
        <v/>
      </c>
      <c r="U223" s="24" t="str">
        <f aca="false">IF($A223="","",INDEX(Workers!$H$5:$H$2004,MATCH($A223,Workers!$A$5:$A$2004,0))&amp;"")</f>
        <v/>
      </c>
    </row>
    <row r="224" customFormat="false" ht="15" hidden="false" customHeight="false" outlineLevel="0" collapsed="false">
      <c r="A224" s="24" t="str">
        <f aca="false">IFERROR(INDEX(Workers!$A$5:$A$2004,MATCH(ROW()-4,Workers!$U$5:$U$2004,0)),"")</f>
        <v/>
      </c>
      <c r="B224" s="24" t="str">
        <f aca="false">IF($A224="","",INDEX(Workers!$B$5:$B$2004,MATCH($A224,Workers!$A$5:$A$2004,0)))</f>
        <v/>
      </c>
      <c r="C224" s="24" t="str">
        <f aca="false">IF($A224="","",INDEX(Workers!$E$5:$E$2004,MATCH($A224,Workers!$A$5:$A$2004,0)))</f>
        <v/>
      </c>
      <c r="D224" s="24" t="str">
        <f aca="false">IF($A224="","",INDEX(Workers!$K$5:$K$2004,MATCH($A224,Workers!$A$5:$A$2004,0)))</f>
        <v/>
      </c>
      <c r="E224" s="25" t="str">
        <f aca="false">IF($A224="","",SUMIFS(Timesheet!$E$5:$E$3004,Timesheet!$D$5:$D$3004,$A224,Timesheet!$A$5:$A$3004,"&gt;="&amp;Settings!$B$8,Timesheet!$A$5:$A$3004,"&lt;="&amp;Settings!$B$9))</f>
        <v/>
      </c>
      <c r="F224" s="25" t="str">
        <f aca="false">IF($A224="","",SUMIFS(Timesheet!$F$5:$F$3004,Timesheet!$D$5:$D$3004,$A224,Timesheet!$A$5:$A$3004,"&gt;="&amp;Settings!$B$8,Timesheet!$A$5:$A$3004,"&lt;="&amp;Settings!$B$9))</f>
        <v/>
      </c>
      <c r="G224" s="25" t="str">
        <f aca="false">IF($A224="","",SUMIFS(Timesheet!$G$5:$G$3004,Timesheet!$D$5:$D$3004,$A224,Timesheet!$A$5:$A$3004,"&gt;="&amp;Settings!$B$8,Timesheet!$A$5:$A$3004,"&lt;="&amp;Settings!$B$9))</f>
        <v/>
      </c>
      <c r="H224" s="25" t="str">
        <f aca="false">IF($A224="","",IF(D224="Monthly",MAX(0,Settings!$B$11-E224),0))</f>
        <v/>
      </c>
      <c r="I224" s="26" t="str">
        <f aca="false">IF($A224="","",N(INDEX(Workers!$L$5:$L$2004,MATCH($A224,Workers!$A$5:$A$2004,0))))</f>
        <v/>
      </c>
      <c r="J224" s="26" t="str">
        <f aca="false">IF($A224="","",N(INDEX(Workers!$M$5:$M$2004,MATCH($A224,Workers!$A$5:$A$2004,0))))</f>
        <v/>
      </c>
      <c r="K224" s="26" t="str">
        <f aca="false">IF($A224="","",IF(D224="Monthly",ROUND(MAX(0,(I224+J224)-(I224+J224)/Settings!$B$10*H224),2),0))</f>
        <v/>
      </c>
      <c r="L224" s="26" t="str">
        <f aca="false">IF($A224="","",IF(D224="Hourly",ROUND(F224*N(INDEX(Workers!$N$5:$N$2004,MATCH($A224,Workers!$A$5:$A$2004,0))),2),0))</f>
        <v/>
      </c>
      <c r="M224" s="26" t="str">
        <f aca="false">IF($A224="","",ROUND(G224*IF(D224="Hourly",N(INDEX(Workers!$N$5:$N$2004,MATCH($A224,Workers!$A$5:$A$2004,0))),I224/Settings!$B$10/Settings!$B$12)*Settings!$B$13,2))</f>
        <v/>
      </c>
      <c r="N224" s="26" t="str">
        <f aca="false">IF($A224="","",K224+L224+M224)</f>
        <v/>
      </c>
      <c r="O224" s="26" t="str">
        <f aca="false">IF($A224="","",SUMIFS(Deductions!$D$5:$D$2000,Deductions!$B$5:$B$2000,$A224,Deductions!$C$5:$C$2000,"Advance",Deductions!$E$5:$E$2000,"&gt;="&amp;Settings!$B$8,Deductions!$E$5:$E$2000,"&lt;="&amp;Settings!$B$9))</f>
        <v/>
      </c>
      <c r="P224" s="26" t="str">
        <f aca="false">IF($A224="","",SUMIFS(Deductions!$D$5:$D$2000,Deductions!$B$5:$B$2000,$A224,Deductions!$E$5:$E$2000,"&gt;="&amp;Settings!$B$8,Deductions!$E$5:$E$2000,"&lt;="&amp;Settings!$B$9)-O224)</f>
        <v/>
      </c>
      <c r="Q224" s="26" t="str">
        <f aca="false">IF($A224="","",O224+P224)</f>
        <v/>
      </c>
      <c r="R224" s="23" t="str">
        <f aca="false">IF($A224="","",N224-Q224)</f>
        <v/>
      </c>
      <c r="S224" s="24" t="str">
        <f aca="false">IF($A224="","",INDEX(Workers!$O$5:$O$2004,MATCH($A224,Workers!$A$5:$A$2004,0))&amp;"")</f>
        <v/>
      </c>
      <c r="T224" s="24" t="str">
        <f aca="false">IF($A224="","",INDEX(Workers!$P$5:$P$2004,MATCH($A224,Workers!$A$5:$A$2004,0))&amp;"")</f>
        <v/>
      </c>
      <c r="U224" s="24" t="str">
        <f aca="false">IF($A224="","",INDEX(Workers!$H$5:$H$2004,MATCH($A224,Workers!$A$5:$A$2004,0))&amp;"")</f>
        <v/>
      </c>
    </row>
    <row r="225" customFormat="false" ht="15" hidden="false" customHeight="false" outlineLevel="0" collapsed="false">
      <c r="A225" s="24" t="str">
        <f aca="false">IFERROR(INDEX(Workers!$A$5:$A$2004,MATCH(ROW()-4,Workers!$U$5:$U$2004,0)),"")</f>
        <v/>
      </c>
      <c r="B225" s="24" t="str">
        <f aca="false">IF($A225="","",INDEX(Workers!$B$5:$B$2004,MATCH($A225,Workers!$A$5:$A$2004,0)))</f>
        <v/>
      </c>
      <c r="C225" s="24" t="str">
        <f aca="false">IF($A225="","",INDEX(Workers!$E$5:$E$2004,MATCH($A225,Workers!$A$5:$A$2004,0)))</f>
        <v/>
      </c>
      <c r="D225" s="24" t="str">
        <f aca="false">IF($A225="","",INDEX(Workers!$K$5:$K$2004,MATCH($A225,Workers!$A$5:$A$2004,0)))</f>
        <v/>
      </c>
      <c r="E225" s="25" t="str">
        <f aca="false">IF($A225="","",SUMIFS(Timesheet!$E$5:$E$3004,Timesheet!$D$5:$D$3004,$A225,Timesheet!$A$5:$A$3004,"&gt;="&amp;Settings!$B$8,Timesheet!$A$5:$A$3004,"&lt;="&amp;Settings!$B$9))</f>
        <v/>
      </c>
      <c r="F225" s="25" t="str">
        <f aca="false">IF($A225="","",SUMIFS(Timesheet!$F$5:$F$3004,Timesheet!$D$5:$D$3004,$A225,Timesheet!$A$5:$A$3004,"&gt;="&amp;Settings!$B$8,Timesheet!$A$5:$A$3004,"&lt;="&amp;Settings!$B$9))</f>
        <v/>
      </c>
      <c r="G225" s="25" t="str">
        <f aca="false">IF($A225="","",SUMIFS(Timesheet!$G$5:$G$3004,Timesheet!$D$5:$D$3004,$A225,Timesheet!$A$5:$A$3004,"&gt;="&amp;Settings!$B$8,Timesheet!$A$5:$A$3004,"&lt;="&amp;Settings!$B$9))</f>
        <v/>
      </c>
      <c r="H225" s="25" t="str">
        <f aca="false">IF($A225="","",IF(D225="Monthly",MAX(0,Settings!$B$11-E225),0))</f>
        <v/>
      </c>
      <c r="I225" s="26" t="str">
        <f aca="false">IF($A225="","",N(INDEX(Workers!$L$5:$L$2004,MATCH($A225,Workers!$A$5:$A$2004,0))))</f>
        <v/>
      </c>
      <c r="J225" s="26" t="str">
        <f aca="false">IF($A225="","",N(INDEX(Workers!$M$5:$M$2004,MATCH($A225,Workers!$A$5:$A$2004,0))))</f>
        <v/>
      </c>
      <c r="K225" s="26" t="str">
        <f aca="false">IF($A225="","",IF(D225="Monthly",ROUND(MAX(0,(I225+J225)-(I225+J225)/Settings!$B$10*H225),2),0))</f>
        <v/>
      </c>
      <c r="L225" s="26" t="str">
        <f aca="false">IF($A225="","",IF(D225="Hourly",ROUND(F225*N(INDEX(Workers!$N$5:$N$2004,MATCH($A225,Workers!$A$5:$A$2004,0))),2),0))</f>
        <v/>
      </c>
      <c r="M225" s="26" t="str">
        <f aca="false">IF($A225="","",ROUND(G225*IF(D225="Hourly",N(INDEX(Workers!$N$5:$N$2004,MATCH($A225,Workers!$A$5:$A$2004,0))),I225/Settings!$B$10/Settings!$B$12)*Settings!$B$13,2))</f>
        <v/>
      </c>
      <c r="N225" s="26" t="str">
        <f aca="false">IF($A225="","",K225+L225+M225)</f>
        <v/>
      </c>
      <c r="O225" s="26" t="str">
        <f aca="false">IF($A225="","",SUMIFS(Deductions!$D$5:$D$2000,Deductions!$B$5:$B$2000,$A225,Deductions!$C$5:$C$2000,"Advance",Deductions!$E$5:$E$2000,"&gt;="&amp;Settings!$B$8,Deductions!$E$5:$E$2000,"&lt;="&amp;Settings!$B$9))</f>
        <v/>
      </c>
      <c r="P225" s="26" t="str">
        <f aca="false">IF($A225="","",SUMIFS(Deductions!$D$5:$D$2000,Deductions!$B$5:$B$2000,$A225,Deductions!$E$5:$E$2000,"&gt;="&amp;Settings!$B$8,Deductions!$E$5:$E$2000,"&lt;="&amp;Settings!$B$9)-O225)</f>
        <v/>
      </c>
      <c r="Q225" s="26" t="str">
        <f aca="false">IF($A225="","",O225+P225)</f>
        <v/>
      </c>
      <c r="R225" s="23" t="str">
        <f aca="false">IF($A225="","",N225-Q225)</f>
        <v/>
      </c>
      <c r="S225" s="24" t="str">
        <f aca="false">IF($A225="","",INDEX(Workers!$O$5:$O$2004,MATCH($A225,Workers!$A$5:$A$2004,0))&amp;"")</f>
        <v/>
      </c>
      <c r="T225" s="24" t="str">
        <f aca="false">IF($A225="","",INDEX(Workers!$P$5:$P$2004,MATCH($A225,Workers!$A$5:$A$2004,0))&amp;"")</f>
        <v/>
      </c>
      <c r="U225" s="24" t="str">
        <f aca="false">IF($A225="","",INDEX(Workers!$H$5:$H$2004,MATCH($A225,Workers!$A$5:$A$2004,0))&amp;"")</f>
        <v/>
      </c>
    </row>
    <row r="226" customFormat="false" ht="15" hidden="false" customHeight="false" outlineLevel="0" collapsed="false">
      <c r="A226" s="24" t="str">
        <f aca="false">IFERROR(INDEX(Workers!$A$5:$A$2004,MATCH(ROW()-4,Workers!$U$5:$U$2004,0)),"")</f>
        <v/>
      </c>
      <c r="B226" s="24" t="str">
        <f aca="false">IF($A226="","",INDEX(Workers!$B$5:$B$2004,MATCH($A226,Workers!$A$5:$A$2004,0)))</f>
        <v/>
      </c>
      <c r="C226" s="24" t="str">
        <f aca="false">IF($A226="","",INDEX(Workers!$E$5:$E$2004,MATCH($A226,Workers!$A$5:$A$2004,0)))</f>
        <v/>
      </c>
      <c r="D226" s="24" t="str">
        <f aca="false">IF($A226="","",INDEX(Workers!$K$5:$K$2004,MATCH($A226,Workers!$A$5:$A$2004,0)))</f>
        <v/>
      </c>
      <c r="E226" s="25" t="str">
        <f aca="false">IF($A226="","",SUMIFS(Timesheet!$E$5:$E$3004,Timesheet!$D$5:$D$3004,$A226,Timesheet!$A$5:$A$3004,"&gt;="&amp;Settings!$B$8,Timesheet!$A$5:$A$3004,"&lt;="&amp;Settings!$B$9))</f>
        <v/>
      </c>
      <c r="F226" s="25" t="str">
        <f aca="false">IF($A226="","",SUMIFS(Timesheet!$F$5:$F$3004,Timesheet!$D$5:$D$3004,$A226,Timesheet!$A$5:$A$3004,"&gt;="&amp;Settings!$B$8,Timesheet!$A$5:$A$3004,"&lt;="&amp;Settings!$B$9))</f>
        <v/>
      </c>
      <c r="G226" s="25" t="str">
        <f aca="false">IF($A226="","",SUMIFS(Timesheet!$G$5:$G$3004,Timesheet!$D$5:$D$3004,$A226,Timesheet!$A$5:$A$3004,"&gt;="&amp;Settings!$B$8,Timesheet!$A$5:$A$3004,"&lt;="&amp;Settings!$B$9))</f>
        <v/>
      </c>
      <c r="H226" s="25" t="str">
        <f aca="false">IF($A226="","",IF(D226="Monthly",MAX(0,Settings!$B$11-E226),0))</f>
        <v/>
      </c>
      <c r="I226" s="26" t="str">
        <f aca="false">IF($A226="","",N(INDEX(Workers!$L$5:$L$2004,MATCH($A226,Workers!$A$5:$A$2004,0))))</f>
        <v/>
      </c>
      <c r="J226" s="26" t="str">
        <f aca="false">IF($A226="","",N(INDEX(Workers!$M$5:$M$2004,MATCH($A226,Workers!$A$5:$A$2004,0))))</f>
        <v/>
      </c>
      <c r="K226" s="26" t="str">
        <f aca="false">IF($A226="","",IF(D226="Monthly",ROUND(MAX(0,(I226+J226)-(I226+J226)/Settings!$B$10*H226),2),0))</f>
        <v/>
      </c>
      <c r="L226" s="26" t="str">
        <f aca="false">IF($A226="","",IF(D226="Hourly",ROUND(F226*N(INDEX(Workers!$N$5:$N$2004,MATCH($A226,Workers!$A$5:$A$2004,0))),2),0))</f>
        <v/>
      </c>
      <c r="M226" s="26" t="str">
        <f aca="false">IF($A226="","",ROUND(G226*IF(D226="Hourly",N(INDEX(Workers!$N$5:$N$2004,MATCH($A226,Workers!$A$5:$A$2004,0))),I226/Settings!$B$10/Settings!$B$12)*Settings!$B$13,2))</f>
        <v/>
      </c>
      <c r="N226" s="26" t="str">
        <f aca="false">IF($A226="","",K226+L226+M226)</f>
        <v/>
      </c>
      <c r="O226" s="26" t="str">
        <f aca="false">IF($A226="","",SUMIFS(Deductions!$D$5:$D$2000,Deductions!$B$5:$B$2000,$A226,Deductions!$C$5:$C$2000,"Advance",Deductions!$E$5:$E$2000,"&gt;="&amp;Settings!$B$8,Deductions!$E$5:$E$2000,"&lt;="&amp;Settings!$B$9))</f>
        <v/>
      </c>
      <c r="P226" s="26" t="str">
        <f aca="false">IF($A226="","",SUMIFS(Deductions!$D$5:$D$2000,Deductions!$B$5:$B$2000,$A226,Deductions!$E$5:$E$2000,"&gt;="&amp;Settings!$B$8,Deductions!$E$5:$E$2000,"&lt;="&amp;Settings!$B$9)-O226)</f>
        <v/>
      </c>
      <c r="Q226" s="26" t="str">
        <f aca="false">IF($A226="","",O226+P226)</f>
        <v/>
      </c>
      <c r="R226" s="23" t="str">
        <f aca="false">IF($A226="","",N226-Q226)</f>
        <v/>
      </c>
      <c r="S226" s="24" t="str">
        <f aca="false">IF($A226="","",INDEX(Workers!$O$5:$O$2004,MATCH($A226,Workers!$A$5:$A$2004,0))&amp;"")</f>
        <v/>
      </c>
      <c r="T226" s="24" t="str">
        <f aca="false">IF($A226="","",INDEX(Workers!$P$5:$P$2004,MATCH($A226,Workers!$A$5:$A$2004,0))&amp;"")</f>
        <v/>
      </c>
      <c r="U226" s="24" t="str">
        <f aca="false">IF($A226="","",INDEX(Workers!$H$5:$H$2004,MATCH($A226,Workers!$A$5:$A$2004,0))&amp;"")</f>
        <v/>
      </c>
    </row>
    <row r="227" customFormat="false" ht="15" hidden="false" customHeight="false" outlineLevel="0" collapsed="false">
      <c r="A227" s="24" t="str">
        <f aca="false">IFERROR(INDEX(Workers!$A$5:$A$2004,MATCH(ROW()-4,Workers!$U$5:$U$2004,0)),"")</f>
        <v/>
      </c>
      <c r="B227" s="24" t="str">
        <f aca="false">IF($A227="","",INDEX(Workers!$B$5:$B$2004,MATCH($A227,Workers!$A$5:$A$2004,0)))</f>
        <v/>
      </c>
      <c r="C227" s="24" t="str">
        <f aca="false">IF($A227="","",INDEX(Workers!$E$5:$E$2004,MATCH($A227,Workers!$A$5:$A$2004,0)))</f>
        <v/>
      </c>
      <c r="D227" s="24" t="str">
        <f aca="false">IF($A227="","",INDEX(Workers!$K$5:$K$2004,MATCH($A227,Workers!$A$5:$A$2004,0)))</f>
        <v/>
      </c>
      <c r="E227" s="25" t="str">
        <f aca="false">IF($A227="","",SUMIFS(Timesheet!$E$5:$E$3004,Timesheet!$D$5:$D$3004,$A227,Timesheet!$A$5:$A$3004,"&gt;="&amp;Settings!$B$8,Timesheet!$A$5:$A$3004,"&lt;="&amp;Settings!$B$9))</f>
        <v/>
      </c>
      <c r="F227" s="25" t="str">
        <f aca="false">IF($A227="","",SUMIFS(Timesheet!$F$5:$F$3004,Timesheet!$D$5:$D$3004,$A227,Timesheet!$A$5:$A$3004,"&gt;="&amp;Settings!$B$8,Timesheet!$A$5:$A$3004,"&lt;="&amp;Settings!$B$9))</f>
        <v/>
      </c>
      <c r="G227" s="25" t="str">
        <f aca="false">IF($A227="","",SUMIFS(Timesheet!$G$5:$G$3004,Timesheet!$D$5:$D$3004,$A227,Timesheet!$A$5:$A$3004,"&gt;="&amp;Settings!$B$8,Timesheet!$A$5:$A$3004,"&lt;="&amp;Settings!$B$9))</f>
        <v/>
      </c>
      <c r="H227" s="25" t="str">
        <f aca="false">IF($A227="","",IF(D227="Monthly",MAX(0,Settings!$B$11-E227),0))</f>
        <v/>
      </c>
      <c r="I227" s="26" t="str">
        <f aca="false">IF($A227="","",N(INDEX(Workers!$L$5:$L$2004,MATCH($A227,Workers!$A$5:$A$2004,0))))</f>
        <v/>
      </c>
      <c r="J227" s="26" t="str">
        <f aca="false">IF($A227="","",N(INDEX(Workers!$M$5:$M$2004,MATCH($A227,Workers!$A$5:$A$2004,0))))</f>
        <v/>
      </c>
      <c r="K227" s="26" t="str">
        <f aca="false">IF($A227="","",IF(D227="Monthly",ROUND(MAX(0,(I227+J227)-(I227+J227)/Settings!$B$10*H227),2),0))</f>
        <v/>
      </c>
      <c r="L227" s="26" t="str">
        <f aca="false">IF($A227="","",IF(D227="Hourly",ROUND(F227*N(INDEX(Workers!$N$5:$N$2004,MATCH($A227,Workers!$A$5:$A$2004,0))),2),0))</f>
        <v/>
      </c>
      <c r="M227" s="26" t="str">
        <f aca="false">IF($A227="","",ROUND(G227*IF(D227="Hourly",N(INDEX(Workers!$N$5:$N$2004,MATCH($A227,Workers!$A$5:$A$2004,0))),I227/Settings!$B$10/Settings!$B$12)*Settings!$B$13,2))</f>
        <v/>
      </c>
      <c r="N227" s="26" t="str">
        <f aca="false">IF($A227="","",K227+L227+M227)</f>
        <v/>
      </c>
      <c r="O227" s="26" t="str">
        <f aca="false">IF($A227="","",SUMIFS(Deductions!$D$5:$D$2000,Deductions!$B$5:$B$2000,$A227,Deductions!$C$5:$C$2000,"Advance",Deductions!$E$5:$E$2000,"&gt;="&amp;Settings!$B$8,Deductions!$E$5:$E$2000,"&lt;="&amp;Settings!$B$9))</f>
        <v/>
      </c>
      <c r="P227" s="26" t="str">
        <f aca="false">IF($A227="","",SUMIFS(Deductions!$D$5:$D$2000,Deductions!$B$5:$B$2000,$A227,Deductions!$E$5:$E$2000,"&gt;="&amp;Settings!$B$8,Deductions!$E$5:$E$2000,"&lt;="&amp;Settings!$B$9)-O227)</f>
        <v/>
      </c>
      <c r="Q227" s="26" t="str">
        <f aca="false">IF($A227="","",O227+P227)</f>
        <v/>
      </c>
      <c r="R227" s="23" t="str">
        <f aca="false">IF($A227="","",N227-Q227)</f>
        <v/>
      </c>
      <c r="S227" s="24" t="str">
        <f aca="false">IF($A227="","",INDEX(Workers!$O$5:$O$2004,MATCH($A227,Workers!$A$5:$A$2004,0))&amp;"")</f>
        <v/>
      </c>
      <c r="T227" s="24" t="str">
        <f aca="false">IF($A227="","",INDEX(Workers!$P$5:$P$2004,MATCH($A227,Workers!$A$5:$A$2004,0))&amp;"")</f>
        <v/>
      </c>
      <c r="U227" s="24" t="str">
        <f aca="false">IF($A227="","",INDEX(Workers!$H$5:$H$2004,MATCH($A227,Workers!$A$5:$A$2004,0))&amp;"")</f>
        <v/>
      </c>
    </row>
    <row r="228" customFormat="false" ht="15" hidden="false" customHeight="false" outlineLevel="0" collapsed="false">
      <c r="A228" s="24" t="str">
        <f aca="false">IFERROR(INDEX(Workers!$A$5:$A$2004,MATCH(ROW()-4,Workers!$U$5:$U$2004,0)),"")</f>
        <v/>
      </c>
      <c r="B228" s="24" t="str">
        <f aca="false">IF($A228="","",INDEX(Workers!$B$5:$B$2004,MATCH($A228,Workers!$A$5:$A$2004,0)))</f>
        <v/>
      </c>
      <c r="C228" s="24" t="str">
        <f aca="false">IF($A228="","",INDEX(Workers!$E$5:$E$2004,MATCH($A228,Workers!$A$5:$A$2004,0)))</f>
        <v/>
      </c>
      <c r="D228" s="24" t="str">
        <f aca="false">IF($A228="","",INDEX(Workers!$K$5:$K$2004,MATCH($A228,Workers!$A$5:$A$2004,0)))</f>
        <v/>
      </c>
      <c r="E228" s="25" t="str">
        <f aca="false">IF($A228="","",SUMIFS(Timesheet!$E$5:$E$3004,Timesheet!$D$5:$D$3004,$A228,Timesheet!$A$5:$A$3004,"&gt;="&amp;Settings!$B$8,Timesheet!$A$5:$A$3004,"&lt;="&amp;Settings!$B$9))</f>
        <v/>
      </c>
      <c r="F228" s="25" t="str">
        <f aca="false">IF($A228="","",SUMIFS(Timesheet!$F$5:$F$3004,Timesheet!$D$5:$D$3004,$A228,Timesheet!$A$5:$A$3004,"&gt;="&amp;Settings!$B$8,Timesheet!$A$5:$A$3004,"&lt;="&amp;Settings!$B$9))</f>
        <v/>
      </c>
      <c r="G228" s="25" t="str">
        <f aca="false">IF($A228="","",SUMIFS(Timesheet!$G$5:$G$3004,Timesheet!$D$5:$D$3004,$A228,Timesheet!$A$5:$A$3004,"&gt;="&amp;Settings!$B$8,Timesheet!$A$5:$A$3004,"&lt;="&amp;Settings!$B$9))</f>
        <v/>
      </c>
      <c r="H228" s="25" t="str">
        <f aca="false">IF($A228="","",IF(D228="Monthly",MAX(0,Settings!$B$11-E228),0))</f>
        <v/>
      </c>
      <c r="I228" s="26" t="str">
        <f aca="false">IF($A228="","",N(INDEX(Workers!$L$5:$L$2004,MATCH($A228,Workers!$A$5:$A$2004,0))))</f>
        <v/>
      </c>
      <c r="J228" s="26" t="str">
        <f aca="false">IF($A228="","",N(INDEX(Workers!$M$5:$M$2004,MATCH($A228,Workers!$A$5:$A$2004,0))))</f>
        <v/>
      </c>
      <c r="K228" s="26" t="str">
        <f aca="false">IF($A228="","",IF(D228="Monthly",ROUND(MAX(0,(I228+J228)-(I228+J228)/Settings!$B$10*H228),2),0))</f>
        <v/>
      </c>
      <c r="L228" s="26" t="str">
        <f aca="false">IF($A228="","",IF(D228="Hourly",ROUND(F228*N(INDEX(Workers!$N$5:$N$2004,MATCH($A228,Workers!$A$5:$A$2004,0))),2),0))</f>
        <v/>
      </c>
      <c r="M228" s="26" t="str">
        <f aca="false">IF($A228="","",ROUND(G228*IF(D228="Hourly",N(INDEX(Workers!$N$5:$N$2004,MATCH($A228,Workers!$A$5:$A$2004,0))),I228/Settings!$B$10/Settings!$B$12)*Settings!$B$13,2))</f>
        <v/>
      </c>
      <c r="N228" s="26" t="str">
        <f aca="false">IF($A228="","",K228+L228+M228)</f>
        <v/>
      </c>
      <c r="O228" s="26" t="str">
        <f aca="false">IF($A228="","",SUMIFS(Deductions!$D$5:$D$2000,Deductions!$B$5:$B$2000,$A228,Deductions!$C$5:$C$2000,"Advance",Deductions!$E$5:$E$2000,"&gt;="&amp;Settings!$B$8,Deductions!$E$5:$E$2000,"&lt;="&amp;Settings!$B$9))</f>
        <v/>
      </c>
      <c r="P228" s="26" t="str">
        <f aca="false">IF($A228="","",SUMIFS(Deductions!$D$5:$D$2000,Deductions!$B$5:$B$2000,$A228,Deductions!$E$5:$E$2000,"&gt;="&amp;Settings!$B$8,Deductions!$E$5:$E$2000,"&lt;="&amp;Settings!$B$9)-O228)</f>
        <v/>
      </c>
      <c r="Q228" s="26" t="str">
        <f aca="false">IF($A228="","",O228+P228)</f>
        <v/>
      </c>
      <c r="R228" s="23" t="str">
        <f aca="false">IF($A228="","",N228-Q228)</f>
        <v/>
      </c>
      <c r="S228" s="24" t="str">
        <f aca="false">IF($A228="","",INDEX(Workers!$O$5:$O$2004,MATCH($A228,Workers!$A$5:$A$2004,0))&amp;"")</f>
        <v/>
      </c>
      <c r="T228" s="24" t="str">
        <f aca="false">IF($A228="","",INDEX(Workers!$P$5:$P$2004,MATCH($A228,Workers!$A$5:$A$2004,0))&amp;"")</f>
        <v/>
      </c>
      <c r="U228" s="24" t="str">
        <f aca="false">IF($A228="","",INDEX(Workers!$H$5:$H$2004,MATCH($A228,Workers!$A$5:$A$2004,0))&amp;"")</f>
        <v/>
      </c>
    </row>
    <row r="229" customFormat="false" ht="15" hidden="false" customHeight="false" outlineLevel="0" collapsed="false">
      <c r="A229" s="24" t="str">
        <f aca="false">IFERROR(INDEX(Workers!$A$5:$A$2004,MATCH(ROW()-4,Workers!$U$5:$U$2004,0)),"")</f>
        <v/>
      </c>
      <c r="B229" s="24" t="str">
        <f aca="false">IF($A229="","",INDEX(Workers!$B$5:$B$2004,MATCH($A229,Workers!$A$5:$A$2004,0)))</f>
        <v/>
      </c>
      <c r="C229" s="24" t="str">
        <f aca="false">IF($A229="","",INDEX(Workers!$E$5:$E$2004,MATCH($A229,Workers!$A$5:$A$2004,0)))</f>
        <v/>
      </c>
      <c r="D229" s="24" t="str">
        <f aca="false">IF($A229="","",INDEX(Workers!$K$5:$K$2004,MATCH($A229,Workers!$A$5:$A$2004,0)))</f>
        <v/>
      </c>
      <c r="E229" s="25" t="str">
        <f aca="false">IF($A229="","",SUMIFS(Timesheet!$E$5:$E$3004,Timesheet!$D$5:$D$3004,$A229,Timesheet!$A$5:$A$3004,"&gt;="&amp;Settings!$B$8,Timesheet!$A$5:$A$3004,"&lt;="&amp;Settings!$B$9))</f>
        <v/>
      </c>
      <c r="F229" s="25" t="str">
        <f aca="false">IF($A229="","",SUMIFS(Timesheet!$F$5:$F$3004,Timesheet!$D$5:$D$3004,$A229,Timesheet!$A$5:$A$3004,"&gt;="&amp;Settings!$B$8,Timesheet!$A$5:$A$3004,"&lt;="&amp;Settings!$B$9))</f>
        <v/>
      </c>
      <c r="G229" s="25" t="str">
        <f aca="false">IF($A229="","",SUMIFS(Timesheet!$G$5:$G$3004,Timesheet!$D$5:$D$3004,$A229,Timesheet!$A$5:$A$3004,"&gt;="&amp;Settings!$B$8,Timesheet!$A$5:$A$3004,"&lt;="&amp;Settings!$B$9))</f>
        <v/>
      </c>
      <c r="H229" s="25" t="str">
        <f aca="false">IF($A229="","",IF(D229="Monthly",MAX(0,Settings!$B$11-E229),0))</f>
        <v/>
      </c>
      <c r="I229" s="26" t="str">
        <f aca="false">IF($A229="","",N(INDEX(Workers!$L$5:$L$2004,MATCH($A229,Workers!$A$5:$A$2004,0))))</f>
        <v/>
      </c>
      <c r="J229" s="26" t="str">
        <f aca="false">IF($A229="","",N(INDEX(Workers!$M$5:$M$2004,MATCH($A229,Workers!$A$5:$A$2004,0))))</f>
        <v/>
      </c>
      <c r="K229" s="26" t="str">
        <f aca="false">IF($A229="","",IF(D229="Monthly",ROUND(MAX(0,(I229+J229)-(I229+J229)/Settings!$B$10*H229),2),0))</f>
        <v/>
      </c>
      <c r="L229" s="26" t="str">
        <f aca="false">IF($A229="","",IF(D229="Hourly",ROUND(F229*N(INDEX(Workers!$N$5:$N$2004,MATCH($A229,Workers!$A$5:$A$2004,0))),2),0))</f>
        <v/>
      </c>
      <c r="M229" s="26" t="str">
        <f aca="false">IF($A229="","",ROUND(G229*IF(D229="Hourly",N(INDEX(Workers!$N$5:$N$2004,MATCH($A229,Workers!$A$5:$A$2004,0))),I229/Settings!$B$10/Settings!$B$12)*Settings!$B$13,2))</f>
        <v/>
      </c>
      <c r="N229" s="26" t="str">
        <f aca="false">IF($A229="","",K229+L229+M229)</f>
        <v/>
      </c>
      <c r="O229" s="26" t="str">
        <f aca="false">IF($A229="","",SUMIFS(Deductions!$D$5:$D$2000,Deductions!$B$5:$B$2000,$A229,Deductions!$C$5:$C$2000,"Advance",Deductions!$E$5:$E$2000,"&gt;="&amp;Settings!$B$8,Deductions!$E$5:$E$2000,"&lt;="&amp;Settings!$B$9))</f>
        <v/>
      </c>
      <c r="P229" s="26" t="str">
        <f aca="false">IF($A229="","",SUMIFS(Deductions!$D$5:$D$2000,Deductions!$B$5:$B$2000,$A229,Deductions!$E$5:$E$2000,"&gt;="&amp;Settings!$B$8,Deductions!$E$5:$E$2000,"&lt;="&amp;Settings!$B$9)-O229)</f>
        <v/>
      </c>
      <c r="Q229" s="26" t="str">
        <f aca="false">IF($A229="","",O229+P229)</f>
        <v/>
      </c>
      <c r="R229" s="23" t="str">
        <f aca="false">IF($A229="","",N229-Q229)</f>
        <v/>
      </c>
      <c r="S229" s="24" t="str">
        <f aca="false">IF($A229="","",INDEX(Workers!$O$5:$O$2004,MATCH($A229,Workers!$A$5:$A$2004,0))&amp;"")</f>
        <v/>
      </c>
      <c r="T229" s="24" t="str">
        <f aca="false">IF($A229="","",INDEX(Workers!$P$5:$P$2004,MATCH($A229,Workers!$A$5:$A$2004,0))&amp;"")</f>
        <v/>
      </c>
      <c r="U229" s="24" t="str">
        <f aca="false">IF($A229="","",INDEX(Workers!$H$5:$H$2004,MATCH($A229,Workers!$A$5:$A$2004,0))&amp;"")</f>
        <v/>
      </c>
    </row>
    <row r="230" customFormat="false" ht="15" hidden="false" customHeight="false" outlineLevel="0" collapsed="false">
      <c r="A230" s="24" t="str">
        <f aca="false">IFERROR(INDEX(Workers!$A$5:$A$2004,MATCH(ROW()-4,Workers!$U$5:$U$2004,0)),"")</f>
        <v/>
      </c>
      <c r="B230" s="24" t="str">
        <f aca="false">IF($A230="","",INDEX(Workers!$B$5:$B$2004,MATCH($A230,Workers!$A$5:$A$2004,0)))</f>
        <v/>
      </c>
      <c r="C230" s="24" t="str">
        <f aca="false">IF($A230="","",INDEX(Workers!$E$5:$E$2004,MATCH($A230,Workers!$A$5:$A$2004,0)))</f>
        <v/>
      </c>
      <c r="D230" s="24" t="str">
        <f aca="false">IF($A230="","",INDEX(Workers!$K$5:$K$2004,MATCH($A230,Workers!$A$5:$A$2004,0)))</f>
        <v/>
      </c>
      <c r="E230" s="25" t="str">
        <f aca="false">IF($A230="","",SUMIFS(Timesheet!$E$5:$E$3004,Timesheet!$D$5:$D$3004,$A230,Timesheet!$A$5:$A$3004,"&gt;="&amp;Settings!$B$8,Timesheet!$A$5:$A$3004,"&lt;="&amp;Settings!$B$9))</f>
        <v/>
      </c>
      <c r="F230" s="25" t="str">
        <f aca="false">IF($A230="","",SUMIFS(Timesheet!$F$5:$F$3004,Timesheet!$D$5:$D$3004,$A230,Timesheet!$A$5:$A$3004,"&gt;="&amp;Settings!$B$8,Timesheet!$A$5:$A$3004,"&lt;="&amp;Settings!$B$9))</f>
        <v/>
      </c>
      <c r="G230" s="25" t="str">
        <f aca="false">IF($A230="","",SUMIFS(Timesheet!$G$5:$G$3004,Timesheet!$D$5:$D$3004,$A230,Timesheet!$A$5:$A$3004,"&gt;="&amp;Settings!$B$8,Timesheet!$A$5:$A$3004,"&lt;="&amp;Settings!$B$9))</f>
        <v/>
      </c>
      <c r="H230" s="25" t="str">
        <f aca="false">IF($A230="","",IF(D230="Monthly",MAX(0,Settings!$B$11-E230),0))</f>
        <v/>
      </c>
      <c r="I230" s="26" t="str">
        <f aca="false">IF($A230="","",N(INDEX(Workers!$L$5:$L$2004,MATCH($A230,Workers!$A$5:$A$2004,0))))</f>
        <v/>
      </c>
      <c r="J230" s="26" t="str">
        <f aca="false">IF($A230="","",N(INDEX(Workers!$M$5:$M$2004,MATCH($A230,Workers!$A$5:$A$2004,0))))</f>
        <v/>
      </c>
      <c r="K230" s="26" t="str">
        <f aca="false">IF($A230="","",IF(D230="Monthly",ROUND(MAX(0,(I230+J230)-(I230+J230)/Settings!$B$10*H230),2),0))</f>
        <v/>
      </c>
      <c r="L230" s="26" t="str">
        <f aca="false">IF($A230="","",IF(D230="Hourly",ROUND(F230*N(INDEX(Workers!$N$5:$N$2004,MATCH($A230,Workers!$A$5:$A$2004,0))),2),0))</f>
        <v/>
      </c>
      <c r="M230" s="26" t="str">
        <f aca="false">IF($A230="","",ROUND(G230*IF(D230="Hourly",N(INDEX(Workers!$N$5:$N$2004,MATCH($A230,Workers!$A$5:$A$2004,0))),I230/Settings!$B$10/Settings!$B$12)*Settings!$B$13,2))</f>
        <v/>
      </c>
      <c r="N230" s="26" t="str">
        <f aca="false">IF($A230="","",K230+L230+M230)</f>
        <v/>
      </c>
      <c r="O230" s="26" t="str">
        <f aca="false">IF($A230="","",SUMIFS(Deductions!$D$5:$D$2000,Deductions!$B$5:$B$2000,$A230,Deductions!$C$5:$C$2000,"Advance",Deductions!$E$5:$E$2000,"&gt;="&amp;Settings!$B$8,Deductions!$E$5:$E$2000,"&lt;="&amp;Settings!$B$9))</f>
        <v/>
      </c>
      <c r="P230" s="26" t="str">
        <f aca="false">IF($A230="","",SUMIFS(Deductions!$D$5:$D$2000,Deductions!$B$5:$B$2000,$A230,Deductions!$E$5:$E$2000,"&gt;="&amp;Settings!$B$8,Deductions!$E$5:$E$2000,"&lt;="&amp;Settings!$B$9)-O230)</f>
        <v/>
      </c>
      <c r="Q230" s="26" t="str">
        <f aca="false">IF($A230="","",O230+P230)</f>
        <v/>
      </c>
      <c r="R230" s="23" t="str">
        <f aca="false">IF($A230="","",N230-Q230)</f>
        <v/>
      </c>
      <c r="S230" s="24" t="str">
        <f aca="false">IF($A230="","",INDEX(Workers!$O$5:$O$2004,MATCH($A230,Workers!$A$5:$A$2004,0))&amp;"")</f>
        <v/>
      </c>
      <c r="T230" s="24" t="str">
        <f aca="false">IF($A230="","",INDEX(Workers!$P$5:$P$2004,MATCH($A230,Workers!$A$5:$A$2004,0))&amp;"")</f>
        <v/>
      </c>
      <c r="U230" s="24" t="str">
        <f aca="false">IF($A230="","",INDEX(Workers!$H$5:$H$2004,MATCH($A230,Workers!$A$5:$A$2004,0))&amp;"")</f>
        <v/>
      </c>
    </row>
    <row r="231" customFormat="false" ht="15" hidden="false" customHeight="false" outlineLevel="0" collapsed="false">
      <c r="A231" s="24" t="str">
        <f aca="false">IFERROR(INDEX(Workers!$A$5:$A$2004,MATCH(ROW()-4,Workers!$U$5:$U$2004,0)),"")</f>
        <v/>
      </c>
      <c r="B231" s="24" t="str">
        <f aca="false">IF($A231="","",INDEX(Workers!$B$5:$B$2004,MATCH($A231,Workers!$A$5:$A$2004,0)))</f>
        <v/>
      </c>
      <c r="C231" s="24" t="str">
        <f aca="false">IF($A231="","",INDEX(Workers!$E$5:$E$2004,MATCH($A231,Workers!$A$5:$A$2004,0)))</f>
        <v/>
      </c>
      <c r="D231" s="24" t="str">
        <f aca="false">IF($A231="","",INDEX(Workers!$K$5:$K$2004,MATCH($A231,Workers!$A$5:$A$2004,0)))</f>
        <v/>
      </c>
      <c r="E231" s="25" t="str">
        <f aca="false">IF($A231="","",SUMIFS(Timesheet!$E$5:$E$3004,Timesheet!$D$5:$D$3004,$A231,Timesheet!$A$5:$A$3004,"&gt;="&amp;Settings!$B$8,Timesheet!$A$5:$A$3004,"&lt;="&amp;Settings!$B$9))</f>
        <v/>
      </c>
      <c r="F231" s="25" t="str">
        <f aca="false">IF($A231="","",SUMIFS(Timesheet!$F$5:$F$3004,Timesheet!$D$5:$D$3004,$A231,Timesheet!$A$5:$A$3004,"&gt;="&amp;Settings!$B$8,Timesheet!$A$5:$A$3004,"&lt;="&amp;Settings!$B$9))</f>
        <v/>
      </c>
      <c r="G231" s="25" t="str">
        <f aca="false">IF($A231="","",SUMIFS(Timesheet!$G$5:$G$3004,Timesheet!$D$5:$D$3004,$A231,Timesheet!$A$5:$A$3004,"&gt;="&amp;Settings!$B$8,Timesheet!$A$5:$A$3004,"&lt;="&amp;Settings!$B$9))</f>
        <v/>
      </c>
      <c r="H231" s="25" t="str">
        <f aca="false">IF($A231="","",IF(D231="Monthly",MAX(0,Settings!$B$11-E231),0))</f>
        <v/>
      </c>
      <c r="I231" s="26" t="str">
        <f aca="false">IF($A231="","",N(INDEX(Workers!$L$5:$L$2004,MATCH($A231,Workers!$A$5:$A$2004,0))))</f>
        <v/>
      </c>
      <c r="J231" s="26" t="str">
        <f aca="false">IF($A231="","",N(INDEX(Workers!$M$5:$M$2004,MATCH($A231,Workers!$A$5:$A$2004,0))))</f>
        <v/>
      </c>
      <c r="K231" s="26" t="str">
        <f aca="false">IF($A231="","",IF(D231="Monthly",ROUND(MAX(0,(I231+J231)-(I231+J231)/Settings!$B$10*H231),2),0))</f>
        <v/>
      </c>
      <c r="L231" s="26" t="str">
        <f aca="false">IF($A231="","",IF(D231="Hourly",ROUND(F231*N(INDEX(Workers!$N$5:$N$2004,MATCH($A231,Workers!$A$5:$A$2004,0))),2),0))</f>
        <v/>
      </c>
      <c r="M231" s="26" t="str">
        <f aca="false">IF($A231="","",ROUND(G231*IF(D231="Hourly",N(INDEX(Workers!$N$5:$N$2004,MATCH($A231,Workers!$A$5:$A$2004,0))),I231/Settings!$B$10/Settings!$B$12)*Settings!$B$13,2))</f>
        <v/>
      </c>
      <c r="N231" s="26" t="str">
        <f aca="false">IF($A231="","",K231+L231+M231)</f>
        <v/>
      </c>
      <c r="O231" s="26" t="str">
        <f aca="false">IF($A231="","",SUMIFS(Deductions!$D$5:$D$2000,Deductions!$B$5:$B$2000,$A231,Deductions!$C$5:$C$2000,"Advance",Deductions!$E$5:$E$2000,"&gt;="&amp;Settings!$B$8,Deductions!$E$5:$E$2000,"&lt;="&amp;Settings!$B$9))</f>
        <v/>
      </c>
      <c r="P231" s="26" t="str">
        <f aca="false">IF($A231="","",SUMIFS(Deductions!$D$5:$D$2000,Deductions!$B$5:$B$2000,$A231,Deductions!$E$5:$E$2000,"&gt;="&amp;Settings!$B$8,Deductions!$E$5:$E$2000,"&lt;="&amp;Settings!$B$9)-O231)</f>
        <v/>
      </c>
      <c r="Q231" s="26" t="str">
        <f aca="false">IF($A231="","",O231+P231)</f>
        <v/>
      </c>
      <c r="R231" s="23" t="str">
        <f aca="false">IF($A231="","",N231-Q231)</f>
        <v/>
      </c>
      <c r="S231" s="24" t="str">
        <f aca="false">IF($A231="","",INDEX(Workers!$O$5:$O$2004,MATCH($A231,Workers!$A$5:$A$2004,0))&amp;"")</f>
        <v/>
      </c>
      <c r="T231" s="24" t="str">
        <f aca="false">IF($A231="","",INDEX(Workers!$P$5:$P$2004,MATCH($A231,Workers!$A$5:$A$2004,0))&amp;"")</f>
        <v/>
      </c>
      <c r="U231" s="24" t="str">
        <f aca="false">IF($A231="","",INDEX(Workers!$H$5:$H$2004,MATCH($A231,Workers!$A$5:$A$2004,0))&amp;"")</f>
        <v/>
      </c>
    </row>
    <row r="232" customFormat="false" ht="15" hidden="false" customHeight="false" outlineLevel="0" collapsed="false">
      <c r="A232" s="24" t="str">
        <f aca="false">IFERROR(INDEX(Workers!$A$5:$A$2004,MATCH(ROW()-4,Workers!$U$5:$U$2004,0)),"")</f>
        <v/>
      </c>
      <c r="B232" s="24" t="str">
        <f aca="false">IF($A232="","",INDEX(Workers!$B$5:$B$2004,MATCH($A232,Workers!$A$5:$A$2004,0)))</f>
        <v/>
      </c>
      <c r="C232" s="24" t="str">
        <f aca="false">IF($A232="","",INDEX(Workers!$E$5:$E$2004,MATCH($A232,Workers!$A$5:$A$2004,0)))</f>
        <v/>
      </c>
      <c r="D232" s="24" t="str">
        <f aca="false">IF($A232="","",INDEX(Workers!$K$5:$K$2004,MATCH($A232,Workers!$A$5:$A$2004,0)))</f>
        <v/>
      </c>
      <c r="E232" s="25" t="str">
        <f aca="false">IF($A232="","",SUMIFS(Timesheet!$E$5:$E$3004,Timesheet!$D$5:$D$3004,$A232,Timesheet!$A$5:$A$3004,"&gt;="&amp;Settings!$B$8,Timesheet!$A$5:$A$3004,"&lt;="&amp;Settings!$B$9))</f>
        <v/>
      </c>
      <c r="F232" s="25" t="str">
        <f aca="false">IF($A232="","",SUMIFS(Timesheet!$F$5:$F$3004,Timesheet!$D$5:$D$3004,$A232,Timesheet!$A$5:$A$3004,"&gt;="&amp;Settings!$B$8,Timesheet!$A$5:$A$3004,"&lt;="&amp;Settings!$B$9))</f>
        <v/>
      </c>
      <c r="G232" s="25" t="str">
        <f aca="false">IF($A232="","",SUMIFS(Timesheet!$G$5:$G$3004,Timesheet!$D$5:$D$3004,$A232,Timesheet!$A$5:$A$3004,"&gt;="&amp;Settings!$B$8,Timesheet!$A$5:$A$3004,"&lt;="&amp;Settings!$B$9))</f>
        <v/>
      </c>
      <c r="H232" s="25" t="str">
        <f aca="false">IF($A232="","",IF(D232="Monthly",MAX(0,Settings!$B$11-E232),0))</f>
        <v/>
      </c>
      <c r="I232" s="26" t="str">
        <f aca="false">IF($A232="","",N(INDEX(Workers!$L$5:$L$2004,MATCH($A232,Workers!$A$5:$A$2004,0))))</f>
        <v/>
      </c>
      <c r="J232" s="26" t="str">
        <f aca="false">IF($A232="","",N(INDEX(Workers!$M$5:$M$2004,MATCH($A232,Workers!$A$5:$A$2004,0))))</f>
        <v/>
      </c>
      <c r="K232" s="26" t="str">
        <f aca="false">IF($A232="","",IF(D232="Monthly",ROUND(MAX(0,(I232+J232)-(I232+J232)/Settings!$B$10*H232),2),0))</f>
        <v/>
      </c>
      <c r="L232" s="26" t="str">
        <f aca="false">IF($A232="","",IF(D232="Hourly",ROUND(F232*N(INDEX(Workers!$N$5:$N$2004,MATCH($A232,Workers!$A$5:$A$2004,0))),2),0))</f>
        <v/>
      </c>
      <c r="M232" s="26" t="str">
        <f aca="false">IF($A232="","",ROUND(G232*IF(D232="Hourly",N(INDEX(Workers!$N$5:$N$2004,MATCH($A232,Workers!$A$5:$A$2004,0))),I232/Settings!$B$10/Settings!$B$12)*Settings!$B$13,2))</f>
        <v/>
      </c>
      <c r="N232" s="26" t="str">
        <f aca="false">IF($A232="","",K232+L232+M232)</f>
        <v/>
      </c>
      <c r="O232" s="26" t="str">
        <f aca="false">IF($A232="","",SUMIFS(Deductions!$D$5:$D$2000,Deductions!$B$5:$B$2000,$A232,Deductions!$C$5:$C$2000,"Advance",Deductions!$E$5:$E$2000,"&gt;="&amp;Settings!$B$8,Deductions!$E$5:$E$2000,"&lt;="&amp;Settings!$B$9))</f>
        <v/>
      </c>
      <c r="P232" s="26" t="str">
        <f aca="false">IF($A232="","",SUMIFS(Deductions!$D$5:$D$2000,Deductions!$B$5:$B$2000,$A232,Deductions!$E$5:$E$2000,"&gt;="&amp;Settings!$B$8,Deductions!$E$5:$E$2000,"&lt;="&amp;Settings!$B$9)-O232)</f>
        <v/>
      </c>
      <c r="Q232" s="26" t="str">
        <f aca="false">IF($A232="","",O232+P232)</f>
        <v/>
      </c>
      <c r="R232" s="23" t="str">
        <f aca="false">IF($A232="","",N232-Q232)</f>
        <v/>
      </c>
      <c r="S232" s="24" t="str">
        <f aca="false">IF($A232="","",INDEX(Workers!$O$5:$O$2004,MATCH($A232,Workers!$A$5:$A$2004,0))&amp;"")</f>
        <v/>
      </c>
      <c r="T232" s="24" t="str">
        <f aca="false">IF($A232="","",INDEX(Workers!$P$5:$P$2004,MATCH($A232,Workers!$A$5:$A$2004,0))&amp;"")</f>
        <v/>
      </c>
      <c r="U232" s="24" t="str">
        <f aca="false">IF($A232="","",INDEX(Workers!$H$5:$H$2004,MATCH($A232,Workers!$A$5:$A$2004,0))&amp;"")</f>
        <v/>
      </c>
    </row>
    <row r="233" customFormat="false" ht="15" hidden="false" customHeight="false" outlineLevel="0" collapsed="false">
      <c r="A233" s="24" t="str">
        <f aca="false">IFERROR(INDEX(Workers!$A$5:$A$2004,MATCH(ROW()-4,Workers!$U$5:$U$2004,0)),"")</f>
        <v/>
      </c>
      <c r="B233" s="24" t="str">
        <f aca="false">IF($A233="","",INDEX(Workers!$B$5:$B$2004,MATCH($A233,Workers!$A$5:$A$2004,0)))</f>
        <v/>
      </c>
      <c r="C233" s="24" t="str">
        <f aca="false">IF($A233="","",INDEX(Workers!$E$5:$E$2004,MATCH($A233,Workers!$A$5:$A$2004,0)))</f>
        <v/>
      </c>
      <c r="D233" s="24" t="str">
        <f aca="false">IF($A233="","",INDEX(Workers!$K$5:$K$2004,MATCH($A233,Workers!$A$5:$A$2004,0)))</f>
        <v/>
      </c>
      <c r="E233" s="25" t="str">
        <f aca="false">IF($A233="","",SUMIFS(Timesheet!$E$5:$E$3004,Timesheet!$D$5:$D$3004,$A233,Timesheet!$A$5:$A$3004,"&gt;="&amp;Settings!$B$8,Timesheet!$A$5:$A$3004,"&lt;="&amp;Settings!$B$9))</f>
        <v/>
      </c>
      <c r="F233" s="25" t="str">
        <f aca="false">IF($A233="","",SUMIFS(Timesheet!$F$5:$F$3004,Timesheet!$D$5:$D$3004,$A233,Timesheet!$A$5:$A$3004,"&gt;="&amp;Settings!$B$8,Timesheet!$A$5:$A$3004,"&lt;="&amp;Settings!$B$9))</f>
        <v/>
      </c>
      <c r="G233" s="25" t="str">
        <f aca="false">IF($A233="","",SUMIFS(Timesheet!$G$5:$G$3004,Timesheet!$D$5:$D$3004,$A233,Timesheet!$A$5:$A$3004,"&gt;="&amp;Settings!$B$8,Timesheet!$A$5:$A$3004,"&lt;="&amp;Settings!$B$9))</f>
        <v/>
      </c>
      <c r="H233" s="25" t="str">
        <f aca="false">IF($A233="","",IF(D233="Monthly",MAX(0,Settings!$B$11-E233),0))</f>
        <v/>
      </c>
      <c r="I233" s="26" t="str">
        <f aca="false">IF($A233="","",N(INDEX(Workers!$L$5:$L$2004,MATCH($A233,Workers!$A$5:$A$2004,0))))</f>
        <v/>
      </c>
      <c r="J233" s="26" t="str">
        <f aca="false">IF($A233="","",N(INDEX(Workers!$M$5:$M$2004,MATCH($A233,Workers!$A$5:$A$2004,0))))</f>
        <v/>
      </c>
      <c r="K233" s="26" t="str">
        <f aca="false">IF($A233="","",IF(D233="Monthly",ROUND(MAX(0,(I233+J233)-(I233+J233)/Settings!$B$10*H233),2),0))</f>
        <v/>
      </c>
      <c r="L233" s="26" t="str">
        <f aca="false">IF($A233="","",IF(D233="Hourly",ROUND(F233*N(INDEX(Workers!$N$5:$N$2004,MATCH($A233,Workers!$A$5:$A$2004,0))),2),0))</f>
        <v/>
      </c>
      <c r="M233" s="26" t="str">
        <f aca="false">IF($A233="","",ROUND(G233*IF(D233="Hourly",N(INDEX(Workers!$N$5:$N$2004,MATCH($A233,Workers!$A$5:$A$2004,0))),I233/Settings!$B$10/Settings!$B$12)*Settings!$B$13,2))</f>
        <v/>
      </c>
      <c r="N233" s="26" t="str">
        <f aca="false">IF($A233="","",K233+L233+M233)</f>
        <v/>
      </c>
      <c r="O233" s="26" t="str">
        <f aca="false">IF($A233="","",SUMIFS(Deductions!$D$5:$D$2000,Deductions!$B$5:$B$2000,$A233,Deductions!$C$5:$C$2000,"Advance",Deductions!$E$5:$E$2000,"&gt;="&amp;Settings!$B$8,Deductions!$E$5:$E$2000,"&lt;="&amp;Settings!$B$9))</f>
        <v/>
      </c>
      <c r="P233" s="26" t="str">
        <f aca="false">IF($A233="","",SUMIFS(Deductions!$D$5:$D$2000,Deductions!$B$5:$B$2000,$A233,Deductions!$E$5:$E$2000,"&gt;="&amp;Settings!$B$8,Deductions!$E$5:$E$2000,"&lt;="&amp;Settings!$B$9)-O233)</f>
        <v/>
      </c>
      <c r="Q233" s="26" t="str">
        <f aca="false">IF($A233="","",O233+P233)</f>
        <v/>
      </c>
      <c r="R233" s="23" t="str">
        <f aca="false">IF($A233="","",N233-Q233)</f>
        <v/>
      </c>
      <c r="S233" s="24" t="str">
        <f aca="false">IF($A233="","",INDEX(Workers!$O$5:$O$2004,MATCH($A233,Workers!$A$5:$A$2004,0))&amp;"")</f>
        <v/>
      </c>
      <c r="T233" s="24" t="str">
        <f aca="false">IF($A233="","",INDEX(Workers!$P$5:$P$2004,MATCH($A233,Workers!$A$5:$A$2004,0))&amp;"")</f>
        <v/>
      </c>
      <c r="U233" s="24" t="str">
        <f aca="false">IF($A233="","",INDEX(Workers!$H$5:$H$2004,MATCH($A233,Workers!$A$5:$A$2004,0))&amp;"")</f>
        <v/>
      </c>
    </row>
    <row r="234" customFormat="false" ht="15" hidden="false" customHeight="false" outlineLevel="0" collapsed="false">
      <c r="A234" s="24" t="str">
        <f aca="false">IFERROR(INDEX(Workers!$A$5:$A$2004,MATCH(ROW()-4,Workers!$U$5:$U$2004,0)),"")</f>
        <v/>
      </c>
      <c r="B234" s="24" t="str">
        <f aca="false">IF($A234="","",INDEX(Workers!$B$5:$B$2004,MATCH($A234,Workers!$A$5:$A$2004,0)))</f>
        <v/>
      </c>
      <c r="C234" s="24" t="str">
        <f aca="false">IF($A234="","",INDEX(Workers!$E$5:$E$2004,MATCH($A234,Workers!$A$5:$A$2004,0)))</f>
        <v/>
      </c>
      <c r="D234" s="24" t="str">
        <f aca="false">IF($A234="","",INDEX(Workers!$K$5:$K$2004,MATCH($A234,Workers!$A$5:$A$2004,0)))</f>
        <v/>
      </c>
      <c r="E234" s="25" t="str">
        <f aca="false">IF($A234="","",SUMIFS(Timesheet!$E$5:$E$3004,Timesheet!$D$5:$D$3004,$A234,Timesheet!$A$5:$A$3004,"&gt;="&amp;Settings!$B$8,Timesheet!$A$5:$A$3004,"&lt;="&amp;Settings!$B$9))</f>
        <v/>
      </c>
      <c r="F234" s="25" t="str">
        <f aca="false">IF($A234="","",SUMIFS(Timesheet!$F$5:$F$3004,Timesheet!$D$5:$D$3004,$A234,Timesheet!$A$5:$A$3004,"&gt;="&amp;Settings!$B$8,Timesheet!$A$5:$A$3004,"&lt;="&amp;Settings!$B$9))</f>
        <v/>
      </c>
      <c r="G234" s="25" t="str">
        <f aca="false">IF($A234="","",SUMIFS(Timesheet!$G$5:$G$3004,Timesheet!$D$5:$D$3004,$A234,Timesheet!$A$5:$A$3004,"&gt;="&amp;Settings!$B$8,Timesheet!$A$5:$A$3004,"&lt;="&amp;Settings!$B$9))</f>
        <v/>
      </c>
      <c r="H234" s="25" t="str">
        <f aca="false">IF($A234="","",IF(D234="Monthly",MAX(0,Settings!$B$11-E234),0))</f>
        <v/>
      </c>
      <c r="I234" s="26" t="str">
        <f aca="false">IF($A234="","",N(INDEX(Workers!$L$5:$L$2004,MATCH($A234,Workers!$A$5:$A$2004,0))))</f>
        <v/>
      </c>
      <c r="J234" s="26" t="str">
        <f aca="false">IF($A234="","",N(INDEX(Workers!$M$5:$M$2004,MATCH($A234,Workers!$A$5:$A$2004,0))))</f>
        <v/>
      </c>
      <c r="K234" s="26" t="str">
        <f aca="false">IF($A234="","",IF(D234="Monthly",ROUND(MAX(0,(I234+J234)-(I234+J234)/Settings!$B$10*H234),2),0))</f>
        <v/>
      </c>
      <c r="L234" s="26" t="str">
        <f aca="false">IF($A234="","",IF(D234="Hourly",ROUND(F234*N(INDEX(Workers!$N$5:$N$2004,MATCH($A234,Workers!$A$5:$A$2004,0))),2),0))</f>
        <v/>
      </c>
      <c r="M234" s="26" t="str">
        <f aca="false">IF($A234="","",ROUND(G234*IF(D234="Hourly",N(INDEX(Workers!$N$5:$N$2004,MATCH($A234,Workers!$A$5:$A$2004,0))),I234/Settings!$B$10/Settings!$B$12)*Settings!$B$13,2))</f>
        <v/>
      </c>
      <c r="N234" s="26" t="str">
        <f aca="false">IF($A234="","",K234+L234+M234)</f>
        <v/>
      </c>
      <c r="O234" s="26" t="str">
        <f aca="false">IF($A234="","",SUMIFS(Deductions!$D$5:$D$2000,Deductions!$B$5:$B$2000,$A234,Deductions!$C$5:$C$2000,"Advance",Deductions!$E$5:$E$2000,"&gt;="&amp;Settings!$B$8,Deductions!$E$5:$E$2000,"&lt;="&amp;Settings!$B$9))</f>
        <v/>
      </c>
      <c r="P234" s="26" t="str">
        <f aca="false">IF($A234="","",SUMIFS(Deductions!$D$5:$D$2000,Deductions!$B$5:$B$2000,$A234,Deductions!$E$5:$E$2000,"&gt;="&amp;Settings!$B$8,Deductions!$E$5:$E$2000,"&lt;="&amp;Settings!$B$9)-O234)</f>
        <v/>
      </c>
      <c r="Q234" s="26" t="str">
        <f aca="false">IF($A234="","",O234+P234)</f>
        <v/>
      </c>
      <c r="R234" s="23" t="str">
        <f aca="false">IF($A234="","",N234-Q234)</f>
        <v/>
      </c>
      <c r="S234" s="24" t="str">
        <f aca="false">IF($A234="","",INDEX(Workers!$O$5:$O$2004,MATCH($A234,Workers!$A$5:$A$2004,0))&amp;"")</f>
        <v/>
      </c>
      <c r="T234" s="24" t="str">
        <f aca="false">IF($A234="","",INDEX(Workers!$P$5:$P$2004,MATCH($A234,Workers!$A$5:$A$2004,0))&amp;"")</f>
        <v/>
      </c>
      <c r="U234" s="24" t="str">
        <f aca="false">IF($A234="","",INDEX(Workers!$H$5:$H$2004,MATCH($A234,Workers!$A$5:$A$2004,0))&amp;"")</f>
        <v/>
      </c>
    </row>
    <row r="235" customFormat="false" ht="15" hidden="false" customHeight="false" outlineLevel="0" collapsed="false">
      <c r="A235" s="24" t="str">
        <f aca="false">IFERROR(INDEX(Workers!$A$5:$A$2004,MATCH(ROW()-4,Workers!$U$5:$U$2004,0)),"")</f>
        <v/>
      </c>
      <c r="B235" s="24" t="str">
        <f aca="false">IF($A235="","",INDEX(Workers!$B$5:$B$2004,MATCH($A235,Workers!$A$5:$A$2004,0)))</f>
        <v/>
      </c>
      <c r="C235" s="24" t="str">
        <f aca="false">IF($A235="","",INDEX(Workers!$E$5:$E$2004,MATCH($A235,Workers!$A$5:$A$2004,0)))</f>
        <v/>
      </c>
      <c r="D235" s="24" t="str">
        <f aca="false">IF($A235="","",INDEX(Workers!$K$5:$K$2004,MATCH($A235,Workers!$A$5:$A$2004,0)))</f>
        <v/>
      </c>
      <c r="E235" s="25" t="str">
        <f aca="false">IF($A235="","",SUMIFS(Timesheet!$E$5:$E$3004,Timesheet!$D$5:$D$3004,$A235,Timesheet!$A$5:$A$3004,"&gt;="&amp;Settings!$B$8,Timesheet!$A$5:$A$3004,"&lt;="&amp;Settings!$B$9))</f>
        <v/>
      </c>
      <c r="F235" s="25" t="str">
        <f aca="false">IF($A235="","",SUMIFS(Timesheet!$F$5:$F$3004,Timesheet!$D$5:$D$3004,$A235,Timesheet!$A$5:$A$3004,"&gt;="&amp;Settings!$B$8,Timesheet!$A$5:$A$3004,"&lt;="&amp;Settings!$B$9))</f>
        <v/>
      </c>
      <c r="G235" s="25" t="str">
        <f aca="false">IF($A235="","",SUMIFS(Timesheet!$G$5:$G$3004,Timesheet!$D$5:$D$3004,$A235,Timesheet!$A$5:$A$3004,"&gt;="&amp;Settings!$B$8,Timesheet!$A$5:$A$3004,"&lt;="&amp;Settings!$B$9))</f>
        <v/>
      </c>
      <c r="H235" s="25" t="str">
        <f aca="false">IF($A235="","",IF(D235="Monthly",MAX(0,Settings!$B$11-E235),0))</f>
        <v/>
      </c>
      <c r="I235" s="26" t="str">
        <f aca="false">IF($A235="","",N(INDEX(Workers!$L$5:$L$2004,MATCH($A235,Workers!$A$5:$A$2004,0))))</f>
        <v/>
      </c>
      <c r="J235" s="26" t="str">
        <f aca="false">IF($A235="","",N(INDEX(Workers!$M$5:$M$2004,MATCH($A235,Workers!$A$5:$A$2004,0))))</f>
        <v/>
      </c>
      <c r="K235" s="26" t="str">
        <f aca="false">IF($A235="","",IF(D235="Monthly",ROUND(MAX(0,(I235+J235)-(I235+J235)/Settings!$B$10*H235),2),0))</f>
        <v/>
      </c>
      <c r="L235" s="26" t="str">
        <f aca="false">IF($A235="","",IF(D235="Hourly",ROUND(F235*N(INDEX(Workers!$N$5:$N$2004,MATCH($A235,Workers!$A$5:$A$2004,0))),2),0))</f>
        <v/>
      </c>
      <c r="M235" s="26" t="str">
        <f aca="false">IF($A235="","",ROUND(G235*IF(D235="Hourly",N(INDEX(Workers!$N$5:$N$2004,MATCH($A235,Workers!$A$5:$A$2004,0))),I235/Settings!$B$10/Settings!$B$12)*Settings!$B$13,2))</f>
        <v/>
      </c>
      <c r="N235" s="26" t="str">
        <f aca="false">IF($A235="","",K235+L235+M235)</f>
        <v/>
      </c>
      <c r="O235" s="26" t="str">
        <f aca="false">IF($A235="","",SUMIFS(Deductions!$D$5:$D$2000,Deductions!$B$5:$B$2000,$A235,Deductions!$C$5:$C$2000,"Advance",Deductions!$E$5:$E$2000,"&gt;="&amp;Settings!$B$8,Deductions!$E$5:$E$2000,"&lt;="&amp;Settings!$B$9))</f>
        <v/>
      </c>
      <c r="P235" s="26" t="str">
        <f aca="false">IF($A235="","",SUMIFS(Deductions!$D$5:$D$2000,Deductions!$B$5:$B$2000,$A235,Deductions!$E$5:$E$2000,"&gt;="&amp;Settings!$B$8,Deductions!$E$5:$E$2000,"&lt;="&amp;Settings!$B$9)-O235)</f>
        <v/>
      </c>
      <c r="Q235" s="26" t="str">
        <f aca="false">IF($A235="","",O235+P235)</f>
        <v/>
      </c>
      <c r="R235" s="23" t="str">
        <f aca="false">IF($A235="","",N235-Q235)</f>
        <v/>
      </c>
      <c r="S235" s="24" t="str">
        <f aca="false">IF($A235="","",INDEX(Workers!$O$5:$O$2004,MATCH($A235,Workers!$A$5:$A$2004,0))&amp;"")</f>
        <v/>
      </c>
      <c r="T235" s="24" t="str">
        <f aca="false">IF($A235="","",INDEX(Workers!$P$5:$P$2004,MATCH($A235,Workers!$A$5:$A$2004,0))&amp;"")</f>
        <v/>
      </c>
      <c r="U235" s="24" t="str">
        <f aca="false">IF($A235="","",INDEX(Workers!$H$5:$H$2004,MATCH($A235,Workers!$A$5:$A$2004,0))&amp;"")</f>
        <v/>
      </c>
    </row>
    <row r="236" customFormat="false" ht="15" hidden="false" customHeight="false" outlineLevel="0" collapsed="false">
      <c r="A236" s="24" t="str">
        <f aca="false">IFERROR(INDEX(Workers!$A$5:$A$2004,MATCH(ROW()-4,Workers!$U$5:$U$2004,0)),"")</f>
        <v/>
      </c>
      <c r="B236" s="24" t="str">
        <f aca="false">IF($A236="","",INDEX(Workers!$B$5:$B$2004,MATCH($A236,Workers!$A$5:$A$2004,0)))</f>
        <v/>
      </c>
      <c r="C236" s="24" t="str">
        <f aca="false">IF($A236="","",INDEX(Workers!$E$5:$E$2004,MATCH($A236,Workers!$A$5:$A$2004,0)))</f>
        <v/>
      </c>
      <c r="D236" s="24" t="str">
        <f aca="false">IF($A236="","",INDEX(Workers!$K$5:$K$2004,MATCH($A236,Workers!$A$5:$A$2004,0)))</f>
        <v/>
      </c>
      <c r="E236" s="25" t="str">
        <f aca="false">IF($A236="","",SUMIFS(Timesheet!$E$5:$E$3004,Timesheet!$D$5:$D$3004,$A236,Timesheet!$A$5:$A$3004,"&gt;="&amp;Settings!$B$8,Timesheet!$A$5:$A$3004,"&lt;="&amp;Settings!$B$9))</f>
        <v/>
      </c>
      <c r="F236" s="25" t="str">
        <f aca="false">IF($A236="","",SUMIFS(Timesheet!$F$5:$F$3004,Timesheet!$D$5:$D$3004,$A236,Timesheet!$A$5:$A$3004,"&gt;="&amp;Settings!$B$8,Timesheet!$A$5:$A$3004,"&lt;="&amp;Settings!$B$9))</f>
        <v/>
      </c>
      <c r="G236" s="25" t="str">
        <f aca="false">IF($A236="","",SUMIFS(Timesheet!$G$5:$G$3004,Timesheet!$D$5:$D$3004,$A236,Timesheet!$A$5:$A$3004,"&gt;="&amp;Settings!$B$8,Timesheet!$A$5:$A$3004,"&lt;="&amp;Settings!$B$9))</f>
        <v/>
      </c>
      <c r="H236" s="25" t="str">
        <f aca="false">IF($A236="","",IF(D236="Monthly",MAX(0,Settings!$B$11-E236),0))</f>
        <v/>
      </c>
      <c r="I236" s="26" t="str">
        <f aca="false">IF($A236="","",N(INDEX(Workers!$L$5:$L$2004,MATCH($A236,Workers!$A$5:$A$2004,0))))</f>
        <v/>
      </c>
      <c r="J236" s="26" t="str">
        <f aca="false">IF($A236="","",N(INDEX(Workers!$M$5:$M$2004,MATCH($A236,Workers!$A$5:$A$2004,0))))</f>
        <v/>
      </c>
      <c r="K236" s="26" t="str">
        <f aca="false">IF($A236="","",IF(D236="Monthly",ROUND(MAX(0,(I236+J236)-(I236+J236)/Settings!$B$10*H236),2),0))</f>
        <v/>
      </c>
      <c r="L236" s="26" t="str">
        <f aca="false">IF($A236="","",IF(D236="Hourly",ROUND(F236*N(INDEX(Workers!$N$5:$N$2004,MATCH($A236,Workers!$A$5:$A$2004,0))),2),0))</f>
        <v/>
      </c>
      <c r="M236" s="26" t="str">
        <f aca="false">IF($A236="","",ROUND(G236*IF(D236="Hourly",N(INDEX(Workers!$N$5:$N$2004,MATCH($A236,Workers!$A$5:$A$2004,0))),I236/Settings!$B$10/Settings!$B$12)*Settings!$B$13,2))</f>
        <v/>
      </c>
      <c r="N236" s="26" t="str">
        <f aca="false">IF($A236="","",K236+L236+M236)</f>
        <v/>
      </c>
      <c r="O236" s="26" t="str">
        <f aca="false">IF($A236="","",SUMIFS(Deductions!$D$5:$D$2000,Deductions!$B$5:$B$2000,$A236,Deductions!$C$5:$C$2000,"Advance",Deductions!$E$5:$E$2000,"&gt;="&amp;Settings!$B$8,Deductions!$E$5:$E$2000,"&lt;="&amp;Settings!$B$9))</f>
        <v/>
      </c>
      <c r="P236" s="26" t="str">
        <f aca="false">IF($A236="","",SUMIFS(Deductions!$D$5:$D$2000,Deductions!$B$5:$B$2000,$A236,Deductions!$E$5:$E$2000,"&gt;="&amp;Settings!$B$8,Deductions!$E$5:$E$2000,"&lt;="&amp;Settings!$B$9)-O236)</f>
        <v/>
      </c>
      <c r="Q236" s="26" t="str">
        <f aca="false">IF($A236="","",O236+P236)</f>
        <v/>
      </c>
      <c r="R236" s="23" t="str">
        <f aca="false">IF($A236="","",N236-Q236)</f>
        <v/>
      </c>
      <c r="S236" s="24" t="str">
        <f aca="false">IF($A236="","",INDEX(Workers!$O$5:$O$2004,MATCH($A236,Workers!$A$5:$A$2004,0))&amp;"")</f>
        <v/>
      </c>
      <c r="T236" s="24" t="str">
        <f aca="false">IF($A236="","",INDEX(Workers!$P$5:$P$2004,MATCH($A236,Workers!$A$5:$A$2004,0))&amp;"")</f>
        <v/>
      </c>
      <c r="U236" s="24" t="str">
        <f aca="false">IF($A236="","",INDEX(Workers!$H$5:$H$2004,MATCH($A236,Workers!$A$5:$A$2004,0))&amp;"")</f>
        <v/>
      </c>
    </row>
    <row r="237" customFormat="false" ht="15" hidden="false" customHeight="false" outlineLevel="0" collapsed="false">
      <c r="A237" s="24" t="str">
        <f aca="false">IFERROR(INDEX(Workers!$A$5:$A$2004,MATCH(ROW()-4,Workers!$U$5:$U$2004,0)),"")</f>
        <v/>
      </c>
      <c r="B237" s="24" t="str">
        <f aca="false">IF($A237="","",INDEX(Workers!$B$5:$B$2004,MATCH($A237,Workers!$A$5:$A$2004,0)))</f>
        <v/>
      </c>
      <c r="C237" s="24" t="str">
        <f aca="false">IF($A237="","",INDEX(Workers!$E$5:$E$2004,MATCH($A237,Workers!$A$5:$A$2004,0)))</f>
        <v/>
      </c>
      <c r="D237" s="24" t="str">
        <f aca="false">IF($A237="","",INDEX(Workers!$K$5:$K$2004,MATCH($A237,Workers!$A$5:$A$2004,0)))</f>
        <v/>
      </c>
      <c r="E237" s="25" t="str">
        <f aca="false">IF($A237="","",SUMIFS(Timesheet!$E$5:$E$3004,Timesheet!$D$5:$D$3004,$A237,Timesheet!$A$5:$A$3004,"&gt;="&amp;Settings!$B$8,Timesheet!$A$5:$A$3004,"&lt;="&amp;Settings!$B$9))</f>
        <v/>
      </c>
      <c r="F237" s="25" t="str">
        <f aca="false">IF($A237="","",SUMIFS(Timesheet!$F$5:$F$3004,Timesheet!$D$5:$D$3004,$A237,Timesheet!$A$5:$A$3004,"&gt;="&amp;Settings!$B$8,Timesheet!$A$5:$A$3004,"&lt;="&amp;Settings!$B$9))</f>
        <v/>
      </c>
      <c r="G237" s="25" t="str">
        <f aca="false">IF($A237="","",SUMIFS(Timesheet!$G$5:$G$3004,Timesheet!$D$5:$D$3004,$A237,Timesheet!$A$5:$A$3004,"&gt;="&amp;Settings!$B$8,Timesheet!$A$5:$A$3004,"&lt;="&amp;Settings!$B$9))</f>
        <v/>
      </c>
      <c r="H237" s="25" t="str">
        <f aca="false">IF($A237="","",IF(D237="Monthly",MAX(0,Settings!$B$11-E237),0))</f>
        <v/>
      </c>
      <c r="I237" s="26" t="str">
        <f aca="false">IF($A237="","",N(INDEX(Workers!$L$5:$L$2004,MATCH($A237,Workers!$A$5:$A$2004,0))))</f>
        <v/>
      </c>
      <c r="J237" s="26" t="str">
        <f aca="false">IF($A237="","",N(INDEX(Workers!$M$5:$M$2004,MATCH($A237,Workers!$A$5:$A$2004,0))))</f>
        <v/>
      </c>
      <c r="K237" s="26" t="str">
        <f aca="false">IF($A237="","",IF(D237="Monthly",ROUND(MAX(0,(I237+J237)-(I237+J237)/Settings!$B$10*H237),2),0))</f>
        <v/>
      </c>
      <c r="L237" s="26" t="str">
        <f aca="false">IF($A237="","",IF(D237="Hourly",ROUND(F237*N(INDEX(Workers!$N$5:$N$2004,MATCH($A237,Workers!$A$5:$A$2004,0))),2),0))</f>
        <v/>
      </c>
      <c r="M237" s="26" t="str">
        <f aca="false">IF($A237="","",ROUND(G237*IF(D237="Hourly",N(INDEX(Workers!$N$5:$N$2004,MATCH($A237,Workers!$A$5:$A$2004,0))),I237/Settings!$B$10/Settings!$B$12)*Settings!$B$13,2))</f>
        <v/>
      </c>
      <c r="N237" s="26" t="str">
        <f aca="false">IF($A237="","",K237+L237+M237)</f>
        <v/>
      </c>
      <c r="O237" s="26" t="str">
        <f aca="false">IF($A237="","",SUMIFS(Deductions!$D$5:$D$2000,Deductions!$B$5:$B$2000,$A237,Deductions!$C$5:$C$2000,"Advance",Deductions!$E$5:$E$2000,"&gt;="&amp;Settings!$B$8,Deductions!$E$5:$E$2000,"&lt;="&amp;Settings!$B$9))</f>
        <v/>
      </c>
      <c r="P237" s="26" t="str">
        <f aca="false">IF($A237="","",SUMIFS(Deductions!$D$5:$D$2000,Deductions!$B$5:$B$2000,$A237,Deductions!$E$5:$E$2000,"&gt;="&amp;Settings!$B$8,Deductions!$E$5:$E$2000,"&lt;="&amp;Settings!$B$9)-O237)</f>
        <v/>
      </c>
      <c r="Q237" s="26" t="str">
        <f aca="false">IF($A237="","",O237+P237)</f>
        <v/>
      </c>
      <c r="R237" s="23" t="str">
        <f aca="false">IF($A237="","",N237-Q237)</f>
        <v/>
      </c>
      <c r="S237" s="24" t="str">
        <f aca="false">IF($A237="","",INDEX(Workers!$O$5:$O$2004,MATCH($A237,Workers!$A$5:$A$2004,0))&amp;"")</f>
        <v/>
      </c>
      <c r="T237" s="24" t="str">
        <f aca="false">IF($A237="","",INDEX(Workers!$P$5:$P$2004,MATCH($A237,Workers!$A$5:$A$2004,0))&amp;"")</f>
        <v/>
      </c>
      <c r="U237" s="24" t="str">
        <f aca="false">IF($A237="","",INDEX(Workers!$H$5:$H$2004,MATCH($A237,Workers!$A$5:$A$2004,0))&amp;"")</f>
        <v/>
      </c>
    </row>
    <row r="238" customFormat="false" ht="15" hidden="false" customHeight="false" outlineLevel="0" collapsed="false">
      <c r="A238" s="24" t="str">
        <f aca="false">IFERROR(INDEX(Workers!$A$5:$A$2004,MATCH(ROW()-4,Workers!$U$5:$U$2004,0)),"")</f>
        <v/>
      </c>
      <c r="B238" s="24" t="str">
        <f aca="false">IF($A238="","",INDEX(Workers!$B$5:$B$2004,MATCH($A238,Workers!$A$5:$A$2004,0)))</f>
        <v/>
      </c>
      <c r="C238" s="24" t="str">
        <f aca="false">IF($A238="","",INDEX(Workers!$E$5:$E$2004,MATCH($A238,Workers!$A$5:$A$2004,0)))</f>
        <v/>
      </c>
      <c r="D238" s="24" t="str">
        <f aca="false">IF($A238="","",INDEX(Workers!$K$5:$K$2004,MATCH($A238,Workers!$A$5:$A$2004,0)))</f>
        <v/>
      </c>
      <c r="E238" s="25" t="str">
        <f aca="false">IF($A238="","",SUMIFS(Timesheet!$E$5:$E$3004,Timesheet!$D$5:$D$3004,$A238,Timesheet!$A$5:$A$3004,"&gt;="&amp;Settings!$B$8,Timesheet!$A$5:$A$3004,"&lt;="&amp;Settings!$B$9))</f>
        <v/>
      </c>
      <c r="F238" s="25" t="str">
        <f aca="false">IF($A238="","",SUMIFS(Timesheet!$F$5:$F$3004,Timesheet!$D$5:$D$3004,$A238,Timesheet!$A$5:$A$3004,"&gt;="&amp;Settings!$B$8,Timesheet!$A$5:$A$3004,"&lt;="&amp;Settings!$B$9))</f>
        <v/>
      </c>
      <c r="G238" s="25" t="str">
        <f aca="false">IF($A238="","",SUMIFS(Timesheet!$G$5:$G$3004,Timesheet!$D$5:$D$3004,$A238,Timesheet!$A$5:$A$3004,"&gt;="&amp;Settings!$B$8,Timesheet!$A$5:$A$3004,"&lt;="&amp;Settings!$B$9))</f>
        <v/>
      </c>
      <c r="H238" s="25" t="str">
        <f aca="false">IF($A238="","",IF(D238="Monthly",MAX(0,Settings!$B$11-E238),0))</f>
        <v/>
      </c>
      <c r="I238" s="26" t="str">
        <f aca="false">IF($A238="","",N(INDEX(Workers!$L$5:$L$2004,MATCH($A238,Workers!$A$5:$A$2004,0))))</f>
        <v/>
      </c>
      <c r="J238" s="26" t="str">
        <f aca="false">IF($A238="","",N(INDEX(Workers!$M$5:$M$2004,MATCH($A238,Workers!$A$5:$A$2004,0))))</f>
        <v/>
      </c>
      <c r="K238" s="26" t="str">
        <f aca="false">IF($A238="","",IF(D238="Monthly",ROUND(MAX(0,(I238+J238)-(I238+J238)/Settings!$B$10*H238),2),0))</f>
        <v/>
      </c>
      <c r="L238" s="26" t="str">
        <f aca="false">IF($A238="","",IF(D238="Hourly",ROUND(F238*N(INDEX(Workers!$N$5:$N$2004,MATCH($A238,Workers!$A$5:$A$2004,0))),2),0))</f>
        <v/>
      </c>
      <c r="M238" s="26" t="str">
        <f aca="false">IF($A238="","",ROUND(G238*IF(D238="Hourly",N(INDEX(Workers!$N$5:$N$2004,MATCH($A238,Workers!$A$5:$A$2004,0))),I238/Settings!$B$10/Settings!$B$12)*Settings!$B$13,2))</f>
        <v/>
      </c>
      <c r="N238" s="26" t="str">
        <f aca="false">IF($A238="","",K238+L238+M238)</f>
        <v/>
      </c>
      <c r="O238" s="26" t="str">
        <f aca="false">IF($A238="","",SUMIFS(Deductions!$D$5:$D$2000,Deductions!$B$5:$B$2000,$A238,Deductions!$C$5:$C$2000,"Advance",Deductions!$E$5:$E$2000,"&gt;="&amp;Settings!$B$8,Deductions!$E$5:$E$2000,"&lt;="&amp;Settings!$B$9))</f>
        <v/>
      </c>
      <c r="P238" s="26" t="str">
        <f aca="false">IF($A238="","",SUMIFS(Deductions!$D$5:$D$2000,Deductions!$B$5:$B$2000,$A238,Deductions!$E$5:$E$2000,"&gt;="&amp;Settings!$B$8,Deductions!$E$5:$E$2000,"&lt;="&amp;Settings!$B$9)-O238)</f>
        <v/>
      </c>
      <c r="Q238" s="26" t="str">
        <f aca="false">IF($A238="","",O238+P238)</f>
        <v/>
      </c>
      <c r="R238" s="23" t="str">
        <f aca="false">IF($A238="","",N238-Q238)</f>
        <v/>
      </c>
      <c r="S238" s="24" t="str">
        <f aca="false">IF($A238="","",INDEX(Workers!$O$5:$O$2004,MATCH($A238,Workers!$A$5:$A$2004,0))&amp;"")</f>
        <v/>
      </c>
      <c r="T238" s="24" t="str">
        <f aca="false">IF($A238="","",INDEX(Workers!$P$5:$P$2004,MATCH($A238,Workers!$A$5:$A$2004,0))&amp;"")</f>
        <v/>
      </c>
      <c r="U238" s="24" t="str">
        <f aca="false">IF($A238="","",INDEX(Workers!$H$5:$H$2004,MATCH($A238,Workers!$A$5:$A$2004,0))&amp;"")</f>
        <v/>
      </c>
    </row>
    <row r="239" customFormat="false" ht="15" hidden="false" customHeight="false" outlineLevel="0" collapsed="false">
      <c r="A239" s="24" t="str">
        <f aca="false">IFERROR(INDEX(Workers!$A$5:$A$2004,MATCH(ROW()-4,Workers!$U$5:$U$2004,0)),"")</f>
        <v/>
      </c>
      <c r="B239" s="24" t="str">
        <f aca="false">IF($A239="","",INDEX(Workers!$B$5:$B$2004,MATCH($A239,Workers!$A$5:$A$2004,0)))</f>
        <v/>
      </c>
      <c r="C239" s="24" t="str">
        <f aca="false">IF($A239="","",INDEX(Workers!$E$5:$E$2004,MATCH($A239,Workers!$A$5:$A$2004,0)))</f>
        <v/>
      </c>
      <c r="D239" s="24" t="str">
        <f aca="false">IF($A239="","",INDEX(Workers!$K$5:$K$2004,MATCH($A239,Workers!$A$5:$A$2004,0)))</f>
        <v/>
      </c>
      <c r="E239" s="25" t="str">
        <f aca="false">IF($A239="","",SUMIFS(Timesheet!$E$5:$E$3004,Timesheet!$D$5:$D$3004,$A239,Timesheet!$A$5:$A$3004,"&gt;="&amp;Settings!$B$8,Timesheet!$A$5:$A$3004,"&lt;="&amp;Settings!$B$9))</f>
        <v/>
      </c>
      <c r="F239" s="25" t="str">
        <f aca="false">IF($A239="","",SUMIFS(Timesheet!$F$5:$F$3004,Timesheet!$D$5:$D$3004,$A239,Timesheet!$A$5:$A$3004,"&gt;="&amp;Settings!$B$8,Timesheet!$A$5:$A$3004,"&lt;="&amp;Settings!$B$9))</f>
        <v/>
      </c>
      <c r="G239" s="25" t="str">
        <f aca="false">IF($A239="","",SUMIFS(Timesheet!$G$5:$G$3004,Timesheet!$D$5:$D$3004,$A239,Timesheet!$A$5:$A$3004,"&gt;="&amp;Settings!$B$8,Timesheet!$A$5:$A$3004,"&lt;="&amp;Settings!$B$9))</f>
        <v/>
      </c>
      <c r="H239" s="25" t="str">
        <f aca="false">IF($A239="","",IF(D239="Monthly",MAX(0,Settings!$B$11-E239),0))</f>
        <v/>
      </c>
      <c r="I239" s="26" t="str">
        <f aca="false">IF($A239="","",N(INDEX(Workers!$L$5:$L$2004,MATCH($A239,Workers!$A$5:$A$2004,0))))</f>
        <v/>
      </c>
      <c r="J239" s="26" t="str">
        <f aca="false">IF($A239="","",N(INDEX(Workers!$M$5:$M$2004,MATCH($A239,Workers!$A$5:$A$2004,0))))</f>
        <v/>
      </c>
      <c r="K239" s="26" t="str">
        <f aca="false">IF($A239="","",IF(D239="Monthly",ROUND(MAX(0,(I239+J239)-(I239+J239)/Settings!$B$10*H239),2),0))</f>
        <v/>
      </c>
      <c r="L239" s="26" t="str">
        <f aca="false">IF($A239="","",IF(D239="Hourly",ROUND(F239*N(INDEX(Workers!$N$5:$N$2004,MATCH($A239,Workers!$A$5:$A$2004,0))),2),0))</f>
        <v/>
      </c>
      <c r="M239" s="26" t="str">
        <f aca="false">IF($A239="","",ROUND(G239*IF(D239="Hourly",N(INDEX(Workers!$N$5:$N$2004,MATCH($A239,Workers!$A$5:$A$2004,0))),I239/Settings!$B$10/Settings!$B$12)*Settings!$B$13,2))</f>
        <v/>
      </c>
      <c r="N239" s="26" t="str">
        <f aca="false">IF($A239="","",K239+L239+M239)</f>
        <v/>
      </c>
      <c r="O239" s="26" t="str">
        <f aca="false">IF($A239="","",SUMIFS(Deductions!$D$5:$D$2000,Deductions!$B$5:$B$2000,$A239,Deductions!$C$5:$C$2000,"Advance",Deductions!$E$5:$E$2000,"&gt;="&amp;Settings!$B$8,Deductions!$E$5:$E$2000,"&lt;="&amp;Settings!$B$9))</f>
        <v/>
      </c>
      <c r="P239" s="26" t="str">
        <f aca="false">IF($A239="","",SUMIFS(Deductions!$D$5:$D$2000,Deductions!$B$5:$B$2000,$A239,Deductions!$E$5:$E$2000,"&gt;="&amp;Settings!$B$8,Deductions!$E$5:$E$2000,"&lt;="&amp;Settings!$B$9)-O239)</f>
        <v/>
      </c>
      <c r="Q239" s="26" t="str">
        <f aca="false">IF($A239="","",O239+P239)</f>
        <v/>
      </c>
      <c r="R239" s="23" t="str">
        <f aca="false">IF($A239="","",N239-Q239)</f>
        <v/>
      </c>
      <c r="S239" s="24" t="str">
        <f aca="false">IF($A239="","",INDEX(Workers!$O$5:$O$2004,MATCH($A239,Workers!$A$5:$A$2004,0))&amp;"")</f>
        <v/>
      </c>
      <c r="T239" s="24" t="str">
        <f aca="false">IF($A239="","",INDEX(Workers!$P$5:$P$2004,MATCH($A239,Workers!$A$5:$A$2004,0))&amp;"")</f>
        <v/>
      </c>
      <c r="U239" s="24" t="str">
        <f aca="false">IF($A239="","",INDEX(Workers!$H$5:$H$2004,MATCH($A239,Workers!$A$5:$A$2004,0))&amp;"")</f>
        <v/>
      </c>
    </row>
    <row r="240" customFormat="false" ht="15" hidden="false" customHeight="false" outlineLevel="0" collapsed="false">
      <c r="A240" s="24" t="str">
        <f aca="false">IFERROR(INDEX(Workers!$A$5:$A$2004,MATCH(ROW()-4,Workers!$U$5:$U$2004,0)),"")</f>
        <v/>
      </c>
      <c r="B240" s="24" t="str">
        <f aca="false">IF($A240="","",INDEX(Workers!$B$5:$B$2004,MATCH($A240,Workers!$A$5:$A$2004,0)))</f>
        <v/>
      </c>
      <c r="C240" s="24" t="str">
        <f aca="false">IF($A240="","",INDEX(Workers!$E$5:$E$2004,MATCH($A240,Workers!$A$5:$A$2004,0)))</f>
        <v/>
      </c>
      <c r="D240" s="24" t="str">
        <f aca="false">IF($A240="","",INDEX(Workers!$K$5:$K$2004,MATCH($A240,Workers!$A$5:$A$2004,0)))</f>
        <v/>
      </c>
      <c r="E240" s="25" t="str">
        <f aca="false">IF($A240="","",SUMIFS(Timesheet!$E$5:$E$3004,Timesheet!$D$5:$D$3004,$A240,Timesheet!$A$5:$A$3004,"&gt;="&amp;Settings!$B$8,Timesheet!$A$5:$A$3004,"&lt;="&amp;Settings!$B$9))</f>
        <v/>
      </c>
      <c r="F240" s="25" t="str">
        <f aca="false">IF($A240="","",SUMIFS(Timesheet!$F$5:$F$3004,Timesheet!$D$5:$D$3004,$A240,Timesheet!$A$5:$A$3004,"&gt;="&amp;Settings!$B$8,Timesheet!$A$5:$A$3004,"&lt;="&amp;Settings!$B$9))</f>
        <v/>
      </c>
      <c r="G240" s="25" t="str">
        <f aca="false">IF($A240="","",SUMIFS(Timesheet!$G$5:$G$3004,Timesheet!$D$5:$D$3004,$A240,Timesheet!$A$5:$A$3004,"&gt;="&amp;Settings!$B$8,Timesheet!$A$5:$A$3004,"&lt;="&amp;Settings!$B$9))</f>
        <v/>
      </c>
      <c r="H240" s="25" t="str">
        <f aca="false">IF($A240="","",IF(D240="Monthly",MAX(0,Settings!$B$11-E240),0))</f>
        <v/>
      </c>
      <c r="I240" s="26" t="str">
        <f aca="false">IF($A240="","",N(INDEX(Workers!$L$5:$L$2004,MATCH($A240,Workers!$A$5:$A$2004,0))))</f>
        <v/>
      </c>
      <c r="J240" s="26" t="str">
        <f aca="false">IF($A240="","",N(INDEX(Workers!$M$5:$M$2004,MATCH($A240,Workers!$A$5:$A$2004,0))))</f>
        <v/>
      </c>
      <c r="K240" s="26" t="str">
        <f aca="false">IF($A240="","",IF(D240="Monthly",ROUND(MAX(0,(I240+J240)-(I240+J240)/Settings!$B$10*H240),2),0))</f>
        <v/>
      </c>
      <c r="L240" s="26" t="str">
        <f aca="false">IF($A240="","",IF(D240="Hourly",ROUND(F240*N(INDEX(Workers!$N$5:$N$2004,MATCH($A240,Workers!$A$5:$A$2004,0))),2),0))</f>
        <v/>
      </c>
      <c r="M240" s="26" t="str">
        <f aca="false">IF($A240="","",ROUND(G240*IF(D240="Hourly",N(INDEX(Workers!$N$5:$N$2004,MATCH($A240,Workers!$A$5:$A$2004,0))),I240/Settings!$B$10/Settings!$B$12)*Settings!$B$13,2))</f>
        <v/>
      </c>
      <c r="N240" s="26" t="str">
        <f aca="false">IF($A240="","",K240+L240+M240)</f>
        <v/>
      </c>
      <c r="O240" s="26" t="str">
        <f aca="false">IF($A240="","",SUMIFS(Deductions!$D$5:$D$2000,Deductions!$B$5:$B$2000,$A240,Deductions!$C$5:$C$2000,"Advance",Deductions!$E$5:$E$2000,"&gt;="&amp;Settings!$B$8,Deductions!$E$5:$E$2000,"&lt;="&amp;Settings!$B$9))</f>
        <v/>
      </c>
      <c r="P240" s="26" t="str">
        <f aca="false">IF($A240="","",SUMIFS(Deductions!$D$5:$D$2000,Deductions!$B$5:$B$2000,$A240,Deductions!$E$5:$E$2000,"&gt;="&amp;Settings!$B$8,Deductions!$E$5:$E$2000,"&lt;="&amp;Settings!$B$9)-O240)</f>
        <v/>
      </c>
      <c r="Q240" s="26" t="str">
        <f aca="false">IF($A240="","",O240+P240)</f>
        <v/>
      </c>
      <c r="R240" s="23" t="str">
        <f aca="false">IF($A240="","",N240-Q240)</f>
        <v/>
      </c>
      <c r="S240" s="24" t="str">
        <f aca="false">IF($A240="","",INDEX(Workers!$O$5:$O$2004,MATCH($A240,Workers!$A$5:$A$2004,0))&amp;"")</f>
        <v/>
      </c>
      <c r="T240" s="24" t="str">
        <f aca="false">IF($A240="","",INDEX(Workers!$P$5:$P$2004,MATCH($A240,Workers!$A$5:$A$2004,0))&amp;"")</f>
        <v/>
      </c>
      <c r="U240" s="24" t="str">
        <f aca="false">IF($A240="","",INDEX(Workers!$H$5:$H$2004,MATCH($A240,Workers!$A$5:$A$2004,0))&amp;"")</f>
        <v/>
      </c>
    </row>
    <row r="241" customFormat="false" ht="15" hidden="false" customHeight="false" outlineLevel="0" collapsed="false">
      <c r="A241" s="24" t="str">
        <f aca="false">IFERROR(INDEX(Workers!$A$5:$A$2004,MATCH(ROW()-4,Workers!$U$5:$U$2004,0)),"")</f>
        <v/>
      </c>
      <c r="B241" s="24" t="str">
        <f aca="false">IF($A241="","",INDEX(Workers!$B$5:$B$2004,MATCH($A241,Workers!$A$5:$A$2004,0)))</f>
        <v/>
      </c>
      <c r="C241" s="24" t="str">
        <f aca="false">IF($A241="","",INDEX(Workers!$E$5:$E$2004,MATCH($A241,Workers!$A$5:$A$2004,0)))</f>
        <v/>
      </c>
      <c r="D241" s="24" t="str">
        <f aca="false">IF($A241="","",INDEX(Workers!$K$5:$K$2004,MATCH($A241,Workers!$A$5:$A$2004,0)))</f>
        <v/>
      </c>
      <c r="E241" s="25" t="str">
        <f aca="false">IF($A241="","",SUMIFS(Timesheet!$E$5:$E$3004,Timesheet!$D$5:$D$3004,$A241,Timesheet!$A$5:$A$3004,"&gt;="&amp;Settings!$B$8,Timesheet!$A$5:$A$3004,"&lt;="&amp;Settings!$B$9))</f>
        <v/>
      </c>
      <c r="F241" s="25" t="str">
        <f aca="false">IF($A241="","",SUMIFS(Timesheet!$F$5:$F$3004,Timesheet!$D$5:$D$3004,$A241,Timesheet!$A$5:$A$3004,"&gt;="&amp;Settings!$B$8,Timesheet!$A$5:$A$3004,"&lt;="&amp;Settings!$B$9))</f>
        <v/>
      </c>
      <c r="G241" s="25" t="str">
        <f aca="false">IF($A241="","",SUMIFS(Timesheet!$G$5:$G$3004,Timesheet!$D$5:$D$3004,$A241,Timesheet!$A$5:$A$3004,"&gt;="&amp;Settings!$B$8,Timesheet!$A$5:$A$3004,"&lt;="&amp;Settings!$B$9))</f>
        <v/>
      </c>
      <c r="H241" s="25" t="str">
        <f aca="false">IF($A241="","",IF(D241="Monthly",MAX(0,Settings!$B$11-E241),0))</f>
        <v/>
      </c>
      <c r="I241" s="26" t="str">
        <f aca="false">IF($A241="","",N(INDEX(Workers!$L$5:$L$2004,MATCH($A241,Workers!$A$5:$A$2004,0))))</f>
        <v/>
      </c>
      <c r="J241" s="26" t="str">
        <f aca="false">IF($A241="","",N(INDEX(Workers!$M$5:$M$2004,MATCH($A241,Workers!$A$5:$A$2004,0))))</f>
        <v/>
      </c>
      <c r="K241" s="26" t="str">
        <f aca="false">IF($A241="","",IF(D241="Monthly",ROUND(MAX(0,(I241+J241)-(I241+J241)/Settings!$B$10*H241),2),0))</f>
        <v/>
      </c>
      <c r="L241" s="26" t="str">
        <f aca="false">IF($A241="","",IF(D241="Hourly",ROUND(F241*N(INDEX(Workers!$N$5:$N$2004,MATCH($A241,Workers!$A$5:$A$2004,0))),2),0))</f>
        <v/>
      </c>
      <c r="M241" s="26" t="str">
        <f aca="false">IF($A241="","",ROUND(G241*IF(D241="Hourly",N(INDEX(Workers!$N$5:$N$2004,MATCH($A241,Workers!$A$5:$A$2004,0))),I241/Settings!$B$10/Settings!$B$12)*Settings!$B$13,2))</f>
        <v/>
      </c>
      <c r="N241" s="26" t="str">
        <f aca="false">IF($A241="","",K241+L241+M241)</f>
        <v/>
      </c>
      <c r="O241" s="26" t="str">
        <f aca="false">IF($A241="","",SUMIFS(Deductions!$D$5:$D$2000,Deductions!$B$5:$B$2000,$A241,Deductions!$C$5:$C$2000,"Advance",Deductions!$E$5:$E$2000,"&gt;="&amp;Settings!$B$8,Deductions!$E$5:$E$2000,"&lt;="&amp;Settings!$B$9))</f>
        <v/>
      </c>
      <c r="P241" s="26" t="str">
        <f aca="false">IF($A241="","",SUMIFS(Deductions!$D$5:$D$2000,Deductions!$B$5:$B$2000,$A241,Deductions!$E$5:$E$2000,"&gt;="&amp;Settings!$B$8,Deductions!$E$5:$E$2000,"&lt;="&amp;Settings!$B$9)-O241)</f>
        <v/>
      </c>
      <c r="Q241" s="26" t="str">
        <f aca="false">IF($A241="","",O241+P241)</f>
        <v/>
      </c>
      <c r="R241" s="23" t="str">
        <f aca="false">IF($A241="","",N241-Q241)</f>
        <v/>
      </c>
      <c r="S241" s="24" t="str">
        <f aca="false">IF($A241="","",INDEX(Workers!$O$5:$O$2004,MATCH($A241,Workers!$A$5:$A$2004,0))&amp;"")</f>
        <v/>
      </c>
      <c r="T241" s="24" t="str">
        <f aca="false">IF($A241="","",INDEX(Workers!$P$5:$P$2004,MATCH($A241,Workers!$A$5:$A$2004,0))&amp;"")</f>
        <v/>
      </c>
      <c r="U241" s="24" t="str">
        <f aca="false">IF($A241="","",INDEX(Workers!$H$5:$H$2004,MATCH($A241,Workers!$A$5:$A$2004,0))&amp;"")</f>
        <v/>
      </c>
    </row>
    <row r="242" customFormat="false" ht="15" hidden="false" customHeight="false" outlineLevel="0" collapsed="false">
      <c r="A242" s="24" t="str">
        <f aca="false">IFERROR(INDEX(Workers!$A$5:$A$2004,MATCH(ROW()-4,Workers!$U$5:$U$2004,0)),"")</f>
        <v/>
      </c>
      <c r="B242" s="24" t="str">
        <f aca="false">IF($A242="","",INDEX(Workers!$B$5:$B$2004,MATCH($A242,Workers!$A$5:$A$2004,0)))</f>
        <v/>
      </c>
      <c r="C242" s="24" t="str">
        <f aca="false">IF($A242="","",INDEX(Workers!$E$5:$E$2004,MATCH($A242,Workers!$A$5:$A$2004,0)))</f>
        <v/>
      </c>
      <c r="D242" s="24" t="str">
        <f aca="false">IF($A242="","",INDEX(Workers!$K$5:$K$2004,MATCH($A242,Workers!$A$5:$A$2004,0)))</f>
        <v/>
      </c>
      <c r="E242" s="25" t="str">
        <f aca="false">IF($A242="","",SUMIFS(Timesheet!$E$5:$E$3004,Timesheet!$D$5:$D$3004,$A242,Timesheet!$A$5:$A$3004,"&gt;="&amp;Settings!$B$8,Timesheet!$A$5:$A$3004,"&lt;="&amp;Settings!$B$9))</f>
        <v/>
      </c>
      <c r="F242" s="25" t="str">
        <f aca="false">IF($A242="","",SUMIFS(Timesheet!$F$5:$F$3004,Timesheet!$D$5:$D$3004,$A242,Timesheet!$A$5:$A$3004,"&gt;="&amp;Settings!$B$8,Timesheet!$A$5:$A$3004,"&lt;="&amp;Settings!$B$9))</f>
        <v/>
      </c>
      <c r="G242" s="25" t="str">
        <f aca="false">IF($A242="","",SUMIFS(Timesheet!$G$5:$G$3004,Timesheet!$D$5:$D$3004,$A242,Timesheet!$A$5:$A$3004,"&gt;="&amp;Settings!$B$8,Timesheet!$A$5:$A$3004,"&lt;="&amp;Settings!$B$9))</f>
        <v/>
      </c>
      <c r="H242" s="25" t="str">
        <f aca="false">IF($A242="","",IF(D242="Monthly",MAX(0,Settings!$B$11-E242),0))</f>
        <v/>
      </c>
      <c r="I242" s="26" t="str">
        <f aca="false">IF($A242="","",N(INDEX(Workers!$L$5:$L$2004,MATCH($A242,Workers!$A$5:$A$2004,0))))</f>
        <v/>
      </c>
      <c r="J242" s="26" t="str">
        <f aca="false">IF($A242="","",N(INDEX(Workers!$M$5:$M$2004,MATCH($A242,Workers!$A$5:$A$2004,0))))</f>
        <v/>
      </c>
      <c r="K242" s="26" t="str">
        <f aca="false">IF($A242="","",IF(D242="Monthly",ROUND(MAX(0,(I242+J242)-(I242+J242)/Settings!$B$10*H242),2),0))</f>
        <v/>
      </c>
      <c r="L242" s="26" t="str">
        <f aca="false">IF($A242="","",IF(D242="Hourly",ROUND(F242*N(INDEX(Workers!$N$5:$N$2004,MATCH($A242,Workers!$A$5:$A$2004,0))),2),0))</f>
        <v/>
      </c>
      <c r="M242" s="26" t="str">
        <f aca="false">IF($A242="","",ROUND(G242*IF(D242="Hourly",N(INDEX(Workers!$N$5:$N$2004,MATCH($A242,Workers!$A$5:$A$2004,0))),I242/Settings!$B$10/Settings!$B$12)*Settings!$B$13,2))</f>
        <v/>
      </c>
      <c r="N242" s="26" t="str">
        <f aca="false">IF($A242="","",K242+L242+M242)</f>
        <v/>
      </c>
      <c r="O242" s="26" t="str">
        <f aca="false">IF($A242="","",SUMIFS(Deductions!$D$5:$D$2000,Deductions!$B$5:$B$2000,$A242,Deductions!$C$5:$C$2000,"Advance",Deductions!$E$5:$E$2000,"&gt;="&amp;Settings!$B$8,Deductions!$E$5:$E$2000,"&lt;="&amp;Settings!$B$9))</f>
        <v/>
      </c>
      <c r="P242" s="26" t="str">
        <f aca="false">IF($A242="","",SUMIFS(Deductions!$D$5:$D$2000,Deductions!$B$5:$B$2000,$A242,Deductions!$E$5:$E$2000,"&gt;="&amp;Settings!$B$8,Deductions!$E$5:$E$2000,"&lt;="&amp;Settings!$B$9)-O242)</f>
        <v/>
      </c>
      <c r="Q242" s="26" t="str">
        <f aca="false">IF($A242="","",O242+P242)</f>
        <v/>
      </c>
      <c r="R242" s="23" t="str">
        <f aca="false">IF($A242="","",N242-Q242)</f>
        <v/>
      </c>
      <c r="S242" s="24" t="str">
        <f aca="false">IF($A242="","",INDEX(Workers!$O$5:$O$2004,MATCH($A242,Workers!$A$5:$A$2004,0))&amp;"")</f>
        <v/>
      </c>
      <c r="T242" s="24" t="str">
        <f aca="false">IF($A242="","",INDEX(Workers!$P$5:$P$2004,MATCH($A242,Workers!$A$5:$A$2004,0))&amp;"")</f>
        <v/>
      </c>
      <c r="U242" s="24" t="str">
        <f aca="false">IF($A242="","",INDEX(Workers!$H$5:$H$2004,MATCH($A242,Workers!$A$5:$A$2004,0))&amp;"")</f>
        <v/>
      </c>
    </row>
    <row r="243" customFormat="false" ht="15" hidden="false" customHeight="false" outlineLevel="0" collapsed="false">
      <c r="A243" s="24" t="str">
        <f aca="false">IFERROR(INDEX(Workers!$A$5:$A$2004,MATCH(ROW()-4,Workers!$U$5:$U$2004,0)),"")</f>
        <v/>
      </c>
      <c r="B243" s="24" t="str">
        <f aca="false">IF($A243="","",INDEX(Workers!$B$5:$B$2004,MATCH($A243,Workers!$A$5:$A$2004,0)))</f>
        <v/>
      </c>
      <c r="C243" s="24" t="str">
        <f aca="false">IF($A243="","",INDEX(Workers!$E$5:$E$2004,MATCH($A243,Workers!$A$5:$A$2004,0)))</f>
        <v/>
      </c>
      <c r="D243" s="24" t="str">
        <f aca="false">IF($A243="","",INDEX(Workers!$K$5:$K$2004,MATCH($A243,Workers!$A$5:$A$2004,0)))</f>
        <v/>
      </c>
      <c r="E243" s="25" t="str">
        <f aca="false">IF($A243="","",SUMIFS(Timesheet!$E$5:$E$3004,Timesheet!$D$5:$D$3004,$A243,Timesheet!$A$5:$A$3004,"&gt;="&amp;Settings!$B$8,Timesheet!$A$5:$A$3004,"&lt;="&amp;Settings!$B$9))</f>
        <v/>
      </c>
      <c r="F243" s="25" t="str">
        <f aca="false">IF($A243="","",SUMIFS(Timesheet!$F$5:$F$3004,Timesheet!$D$5:$D$3004,$A243,Timesheet!$A$5:$A$3004,"&gt;="&amp;Settings!$B$8,Timesheet!$A$5:$A$3004,"&lt;="&amp;Settings!$B$9))</f>
        <v/>
      </c>
      <c r="G243" s="25" t="str">
        <f aca="false">IF($A243="","",SUMIFS(Timesheet!$G$5:$G$3004,Timesheet!$D$5:$D$3004,$A243,Timesheet!$A$5:$A$3004,"&gt;="&amp;Settings!$B$8,Timesheet!$A$5:$A$3004,"&lt;="&amp;Settings!$B$9))</f>
        <v/>
      </c>
      <c r="H243" s="25" t="str">
        <f aca="false">IF($A243="","",IF(D243="Monthly",MAX(0,Settings!$B$11-E243),0))</f>
        <v/>
      </c>
      <c r="I243" s="26" t="str">
        <f aca="false">IF($A243="","",N(INDEX(Workers!$L$5:$L$2004,MATCH($A243,Workers!$A$5:$A$2004,0))))</f>
        <v/>
      </c>
      <c r="J243" s="26" t="str">
        <f aca="false">IF($A243="","",N(INDEX(Workers!$M$5:$M$2004,MATCH($A243,Workers!$A$5:$A$2004,0))))</f>
        <v/>
      </c>
      <c r="K243" s="26" t="str">
        <f aca="false">IF($A243="","",IF(D243="Monthly",ROUND(MAX(0,(I243+J243)-(I243+J243)/Settings!$B$10*H243),2),0))</f>
        <v/>
      </c>
      <c r="L243" s="26" t="str">
        <f aca="false">IF($A243="","",IF(D243="Hourly",ROUND(F243*N(INDEX(Workers!$N$5:$N$2004,MATCH($A243,Workers!$A$5:$A$2004,0))),2),0))</f>
        <v/>
      </c>
      <c r="M243" s="26" t="str">
        <f aca="false">IF($A243="","",ROUND(G243*IF(D243="Hourly",N(INDEX(Workers!$N$5:$N$2004,MATCH($A243,Workers!$A$5:$A$2004,0))),I243/Settings!$B$10/Settings!$B$12)*Settings!$B$13,2))</f>
        <v/>
      </c>
      <c r="N243" s="26" t="str">
        <f aca="false">IF($A243="","",K243+L243+M243)</f>
        <v/>
      </c>
      <c r="O243" s="26" t="str">
        <f aca="false">IF($A243="","",SUMIFS(Deductions!$D$5:$D$2000,Deductions!$B$5:$B$2000,$A243,Deductions!$C$5:$C$2000,"Advance",Deductions!$E$5:$E$2000,"&gt;="&amp;Settings!$B$8,Deductions!$E$5:$E$2000,"&lt;="&amp;Settings!$B$9))</f>
        <v/>
      </c>
      <c r="P243" s="26" t="str">
        <f aca="false">IF($A243="","",SUMIFS(Deductions!$D$5:$D$2000,Deductions!$B$5:$B$2000,$A243,Deductions!$E$5:$E$2000,"&gt;="&amp;Settings!$B$8,Deductions!$E$5:$E$2000,"&lt;="&amp;Settings!$B$9)-O243)</f>
        <v/>
      </c>
      <c r="Q243" s="26" t="str">
        <f aca="false">IF($A243="","",O243+P243)</f>
        <v/>
      </c>
      <c r="R243" s="23" t="str">
        <f aca="false">IF($A243="","",N243-Q243)</f>
        <v/>
      </c>
      <c r="S243" s="24" t="str">
        <f aca="false">IF($A243="","",INDEX(Workers!$O$5:$O$2004,MATCH($A243,Workers!$A$5:$A$2004,0))&amp;"")</f>
        <v/>
      </c>
      <c r="T243" s="24" t="str">
        <f aca="false">IF($A243="","",INDEX(Workers!$P$5:$P$2004,MATCH($A243,Workers!$A$5:$A$2004,0))&amp;"")</f>
        <v/>
      </c>
      <c r="U243" s="24" t="str">
        <f aca="false">IF($A243="","",INDEX(Workers!$H$5:$H$2004,MATCH($A243,Workers!$A$5:$A$2004,0))&amp;"")</f>
        <v/>
      </c>
    </row>
    <row r="244" customFormat="false" ht="15" hidden="false" customHeight="false" outlineLevel="0" collapsed="false">
      <c r="A244" s="24" t="str">
        <f aca="false">IFERROR(INDEX(Workers!$A$5:$A$2004,MATCH(ROW()-4,Workers!$U$5:$U$2004,0)),"")</f>
        <v/>
      </c>
      <c r="B244" s="24" t="str">
        <f aca="false">IF($A244="","",INDEX(Workers!$B$5:$B$2004,MATCH($A244,Workers!$A$5:$A$2004,0)))</f>
        <v/>
      </c>
      <c r="C244" s="24" t="str">
        <f aca="false">IF($A244="","",INDEX(Workers!$E$5:$E$2004,MATCH($A244,Workers!$A$5:$A$2004,0)))</f>
        <v/>
      </c>
      <c r="D244" s="24" t="str">
        <f aca="false">IF($A244="","",INDEX(Workers!$K$5:$K$2004,MATCH($A244,Workers!$A$5:$A$2004,0)))</f>
        <v/>
      </c>
      <c r="E244" s="25" t="str">
        <f aca="false">IF($A244="","",SUMIFS(Timesheet!$E$5:$E$3004,Timesheet!$D$5:$D$3004,$A244,Timesheet!$A$5:$A$3004,"&gt;="&amp;Settings!$B$8,Timesheet!$A$5:$A$3004,"&lt;="&amp;Settings!$B$9))</f>
        <v/>
      </c>
      <c r="F244" s="25" t="str">
        <f aca="false">IF($A244="","",SUMIFS(Timesheet!$F$5:$F$3004,Timesheet!$D$5:$D$3004,$A244,Timesheet!$A$5:$A$3004,"&gt;="&amp;Settings!$B$8,Timesheet!$A$5:$A$3004,"&lt;="&amp;Settings!$B$9))</f>
        <v/>
      </c>
      <c r="G244" s="25" t="str">
        <f aca="false">IF($A244="","",SUMIFS(Timesheet!$G$5:$G$3004,Timesheet!$D$5:$D$3004,$A244,Timesheet!$A$5:$A$3004,"&gt;="&amp;Settings!$B$8,Timesheet!$A$5:$A$3004,"&lt;="&amp;Settings!$B$9))</f>
        <v/>
      </c>
      <c r="H244" s="25" t="str">
        <f aca="false">IF($A244="","",IF(D244="Monthly",MAX(0,Settings!$B$11-E244),0))</f>
        <v/>
      </c>
      <c r="I244" s="26" t="str">
        <f aca="false">IF($A244="","",N(INDEX(Workers!$L$5:$L$2004,MATCH($A244,Workers!$A$5:$A$2004,0))))</f>
        <v/>
      </c>
      <c r="J244" s="26" t="str">
        <f aca="false">IF($A244="","",N(INDEX(Workers!$M$5:$M$2004,MATCH($A244,Workers!$A$5:$A$2004,0))))</f>
        <v/>
      </c>
      <c r="K244" s="26" t="str">
        <f aca="false">IF($A244="","",IF(D244="Monthly",ROUND(MAX(0,(I244+J244)-(I244+J244)/Settings!$B$10*H244),2),0))</f>
        <v/>
      </c>
      <c r="L244" s="26" t="str">
        <f aca="false">IF($A244="","",IF(D244="Hourly",ROUND(F244*N(INDEX(Workers!$N$5:$N$2004,MATCH($A244,Workers!$A$5:$A$2004,0))),2),0))</f>
        <v/>
      </c>
      <c r="M244" s="26" t="str">
        <f aca="false">IF($A244="","",ROUND(G244*IF(D244="Hourly",N(INDEX(Workers!$N$5:$N$2004,MATCH($A244,Workers!$A$5:$A$2004,0))),I244/Settings!$B$10/Settings!$B$12)*Settings!$B$13,2))</f>
        <v/>
      </c>
      <c r="N244" s="26" t="str">
        <f aca="false">IF($A244="","",K244+L244+M244)</f>
        <v/>
      </c>
      <c r="O244" s="26" t="str">
        <f aca="false">IF($A244="","",SUMIFS(Deductions!$D$5:$D$2000,Deductions!$B$5:$B$2000,$A244,Deductions!$C$5:$C$2000,"Advance",Deductions!$E$5:$E$2000,"&gt;="&amp;Settings!$B$8,Deductions!$E$5:$E$2000,"&lt;="&amp;Settings!$B$9))</f>
        <v/>
      </c>
      <c r="P244" s="26" t="str">
        <f aca="false">IF($A244="","",SUMIFS(Deductions!$D$5:$D$2000,Deductions!$B$5:$B$2000,$A244,Deductions!$E$5:$E$2000,"&gt;="&amp;Settings!$B$8,Deductions!$E$5:$E$2000,"&lt;="&amp;Settings!$B$9)-O244)</f>
        <v/>
      </c>
      <c r="Q244" s="26" t="str">
        <f aca="false">IF($A244="","",O244+P244)</f>
        <v/>
      </c>
      <c r="R244" s="23" t="str">
        <f aca="false">IF($A244="","",N244-Q244)</f>
        <v/>
      </c>
      <c r="S244" s="24" t="str">
        <f aca="false">IF($A244="","",INDEX(Workers!$O$5:$O$2004,MATCH($A244,Workers!$A$5:$A$2004,0))&amp;"")</f>
        <v/>
      </c>
      <c r="T244" s="24" t="str">
        <f aca="false">IF($A244="","",INDEX(Workers!$P$5:$P$2004,MATCH($A244,Workers!$A$5:$A$2004,0))&amp;"")</f>
        <v/>
      </c>
      <c r="U244" s="24" t="str">
        <f aca="false">IF($A244="","",INDEX(Workers!$H$5:$H$2004,MATCH($A244,Workers!$A$5:$A$2004,0))&amp;"")</f>
        <v/>
      </c>
    </row>
    <row r="245" customFormat="false" ht="15" hidden="false" customHeight="false" outlineLevel="0" collapsed="false">
      <c r="A245" s="24" t="str">
        <f aca="false">IFERROR(INDEX(Workers!$A$5:$A$2004,MATCH(ROW()-4,Workers!$U$5:$U$2004,0)),"")</f>
        <v/>
      </c>
      <c r="B245" s="24" t="str">
        <f aca="false">IF($A245="","",INDEX(Workers!$B$5:$B$2004,MATCH($A245,Workers!$A$5:$A$2004,0)))</f>
        <v/>
      </c>
      <c r="C245" s="24" t="str">
        <f aca="false">IF($A245="","",INDEX(Workers!$E$5:$E$2004,MATCH($A245,Workers!$A$5:$A$2004,0)))</f>
        <v/>
      </c>
      <c r="D245" s="24" t="str">
        <f aca="false">IF($A245="","",INDEX(Workers!$K$5:$K$2004,MATCH($A245,Workers!$A$5:$A$2004,0)))</f>
        <v/>
      </c>
      <c r="E245" s="25" t="str">
        <f aca="false">IF($A245="","",SUMIFS(Timesheet!$E$5:$E$3004,Timesheet!$D$5:$D$3004,$A245,Timesheet!$A$5:$A$3004,"&gt;="&amp;Settings!$B$8,Timesheet!$A$5:$A$3004,"&lt;="&amp;Settings!$B$9))</f>
        <v/>
      </c>
      <c r="F245" s="25" t="str">
        <f aca="false">IF($A245="","",SUMIFS(Timesheet!$F$5:$F$3004,Timesheet!$D$5:$D$3004,$A245,Timesheet!$A$5:$A$3004,"&gt;="&amp;Settings!$B$8,Timesheet!$A$5:$A$3004,"&lt;="&amp;Settings!$B$9))</f>
        <v/>
      </c>
      <c r="G245" s="25" t="str">
        <f aca="false">IF($A245="","",SUMIFS(Timesheet!$G$5:$G$3004,Timesheet!$D$5:$D$3004,$A245,Timesheet!$A$5:$A$3004,"&gt;="&amp;Settings!$B$8,Timesheet!$A$5:$A$3004,"&lt;="&amp;Settings!$B$9))</f>
        <v/>
      </c>
      <c r="H245" s="25" t="str">
        <f aca="false">IF($A245="","",IF(D245="Monthly",MAX(0,Settings!$B$11-E245),0))</f>
        <v/>
      </c>
      <c r="I245" s="26" t="str">
        <f aca="false">IF($A245="","",N(INDEX(Workers!$L$5:$L$2004,MATCH($A245,Workers!$A$5:$A$2004,0))))</f>
        <v/>
      </c>
      <c r="J245" s="26" t="str">
        <f aca="false">IF($A245="","",N(INDEX(Workers!$M$5:$M$2004,MATCH($A245,Workers!$A$5:$A$2004,0))))</f>
        <v/>
      </c>
      <c r="K245" s="26" t="str">
        <f aca="false">IF($A245="","",IF(D245="Monthly",ROUND(MAX(0,(I245+J245)-(I245+J245)/Settings!$B$10*H245),2),0))</f>
        <v/>
      </c>
      <c r="L245" s="26" t="str">
        <f aca="false">IF($A245="","",IF(D245="Hourly",ROUND(F245*N(INDEX(Workers!$N$5:$N$2004,MATCH($A245,Workers!$A$5:$A$2004,0))),2),0))</f>
        <v/>
      </c>
      <c r="M245" s="26" t="str">
        <f aca="false">IF($A245="","",ROUND(G245*IF(D245="Hourly",N(INDEX(Workers!$N$5:$N$2004,MATCH($A245,Workers!$A$5:$A$2004,0))),I245/Settings!$B$10/Settings!$B$12)*Settings!$B$13,2))</f>
        <v/>
      </c>
      <c r="N245" s="26" t="str">
        <f aca="false">IF($A245="","",K245+L245+M245)</f>
        <v/>
      </c>
      <c r="O245" s="26" t="str">
        <f aca="false">IF($A245="","",SUMIFS(Deductions!$D$5:$D$2000,Deductions!$B$5:$B$2000,$A245,Deductions!$C$5:$C$2000,"Advance",Deductions!$E$5:$E$2000,"&gt;="&amp;Settings!$B$8,Deductions!$E$5:$E$2000,"&lt;="&amp;Settings!$B$9))</f>
        <v/>
      </c>
      <c r="P245" s="26" t="str">
        <f aca="false">IF($A245="","",SUMIFS(Deductions!$D$5:$D$2000,Deductions!$B$5:$B$2000,$A245,Deductions!$E$5:$E$2000,"&gt;="&amp;Settings!$B$8,Deductions!$E$5:$E$2000,"&lt;="&amp;Settings!$B$9)-O245)</f>
        <v/>
      </c>
      <c r="Q245" s="26" t="str">
        <f aca="false">IF($A245="","",O245+P245)</f>
        <v/>
      </c>
      <c r="R245" s="23" t="str">
        <f aca="false">IF($A245="","",N245-Q245)</f>
        <v/>
      </c>
      <c r="S245" s="24" t="str">
        <f aca="false">IF($A245="","",INDEX(Workers!$O$5:$O$2004,MATCH($A245,Workers!$A$5:$A$2004,0))&amp;"")</f>
        <v/>
      </c>
      <c r="T245" s="24" t="str">
        <f aca="false">IF($A245="","",INDEX(Workers!$P$5:$P$2004,MATCH($A245,Workers!$A$5:$A$2004,0))&amp;"")</f>
        <v/>
      </c>
      <c r="U245" s="24" t="str">
        <f aca="false">IF($A245="","",INDEX(Workers!$H$5:$H$2004,MATCH($A245,Workers!$A$5:$A$2004,0))&amp;"")</f>
        <v/>
      </c>
    </row>
    <row r="246" customFormat="false" ht="15" hidden="false" customHeight="false" outlineLevel="0" collapsed="false">
      <c r="A246" s="24" t="str">
        <f aca="false">IFERROR(INDEX(Workers!$A$5:$A$2004,MATCH(ROW()-4,Workers!$U$5:$U$2004,0)),"")</f>
        <v/>
      </c>
      <c r="B246" s="24" t="str">
        <f aca="false">IF($A246="","",INDEX(Workers!$B$5:$B$2004,MATCH($A246,Workers!$A$5:$A$2004,0)))</f>
        <v/>
      </c>
      <c r="C246" s="24" t="str">
        <f aca="false">IF($A246="","",INDEX(Workers!$E$5:$E$2004,MATCH($A246,Workers!$A$5:$A$2004,0)))</f>
        <v/>
      </c>
      <c r="D246" s="24" t="str">
        <f aca="false">IF($A246="","",INDEX(Workers!$K$5:$K$2004,MATCH($A246,Workers!$A$5:$A$2004,0)))</f>
        <v/>
      </c>
      <c r="E246" s="25" t="str">
        <f aca="false">IF($A246="","",SUMIFS(Timesheet!$E$5:$E$3004,Timesheet!$D$5:$D$3004,$A246,Timesheet!$A$5:$A$3004,"&gt;="&amp;Settings!$B$8,Timesheet!$A$5:$A$3004,"&lt;="&amp;Settings!$B$9))</f>
        <v/>
      </c>
      <c r="F246" s="25" t="str">
        <f aca="false">IF($A246="","",SUMIFS(Timesheet!$F$5:$F$3004,Timesheet!$D$5:$D$3004,$A246,Timesheet!$A$5:$A$3004,"&gt;="&amp;Settings!$B$8,Timesheet!$A$5:$A$3004,"&lt;="&amp;Settings!$B$9))</f>
        <v/>
      </c>
      <c r="G246" s="25" t="str">
        <f aca="false">IF($A246="","",SUMIFS(Timesheet!$G$5:$G$3004,Timesheet!$D$5:$D$3004,$A246,Timesheet!$A$5:$A$3004,"&gt;="&amp;Settings!$B$8,Timesheet!$A$5:$A$3004,"&lt;="&amp;Settings!$B$9))</f>
        <v/>
      </c>
      <c r="H246" s="25" t="str">
        <f aca="false">IF($A246="","",IF(D246="Monthly",MAX(0,Settings!$B$11-E246),0))</f>
        <v/>
      </c>
      <c r="I246" s="26" t="str">
        <f aca="false">IF($A246="","",N(INDEX(Workers!$L$5:$L$2004,MATCH($A246,Workers!$A$5:$A$2004,0))))</f>
        <v/>
      </c>
      <c r="J246" s="26" t="str">
        <f aca="false">IF($A246="","",N(INDEX(Workers!$M$5:$M$2004,MATCH($A246,Workers!$A$5:$A$2004,0))))</f>
        <v/>
      </c>
      <c r="K246" s="26" t="str">
        <f aca="false">IF($A246="","",IF(D246="Monthly",ROUND(MAX(0,(I246+J246)-(I246+J246)/Settings!$B$10*H246),2),0))</f>
        <v/>
      </c>
      <c r="L246" s="26" t="str">
        <f aca="false">IF($A246="","",IF(D246="Hourly",ROUND(F246*N(INDEX(Workers!$N$5:$N$2004,MATCH($A246,Workers!$A$5:$A$2004,0))),2),0))</f>
        <v/>
      </c>
      <c r="M246" s="26" t="str">
        <f aca="false">IF($A246="","",ROUND(G246*IF(D246="Hourly",N(INDEX(Workers!$N$5:$N$2004,MATCH($A246,Workers!$A$5:$A$2004,0))),I246/Settings!$B$10/Settings!$B$12)*Settings!$B$13,2))</f>
        <v/>
      </c>
      <c r="N246" s="26" t="str">
        <f aca="false">IF($A246="","",K246+L246+M246)</f>
        <v/>
      </c>
      <c r="O246" s="26" t="str">
        <f aca="false">IF($A246="","",SUMIFS(Deductions!$D$5:$D$2000,Deductions!$B$5:$B$2000,$A246,Deductions!$C$5:$C$2000,"Advance",Deductions!$E$5:$E$2000,"&gt;="&amp;Settings!$B$8,Deductions!$E$5:$E$2000,"&lt;="&amp;Settings!$B$9))</f>
        <v/>
      </c>
      <c r="P246" s="26" t="str">
        <f aca="false">IF($A246="","",SUMIFS(Deductions!$D$5:$D$2000,Deductions!$B$5:$B$2000,$A246,Deductions!$E$5:$E$2000,"&gt;="&amp;Settings!$B$8,Deductions!$E$5:$E$2000,"&lt;="&amp;Settings!$B$9)-O246)</f>
        <v/>
      </c>
      <c r="Q246" s="26" t="str">
        <f aca="false">IF($A246="","",O246+P246)</f>
        <v/>
      </c>
      <c r="R246" s="23" t="str">
        <f aca="false">IF($A246="","",N246-Q246)</f>
        <v/>
      </c>
      <c r="S246" s="24" t="str">
        <f aca="false">IF($A246="","",INDEX(Workers!$O$5:$O$2004,MATCH($A246,Workers!$A$5:$A$2004,0))&amp;"")</f>
        <v/>
      </c>
      <c r="T246" s="24" t="str">
        <f aca="false">IF($A246="","",INDEX(Workers!$P$5:$P$2004,MATCH($A246,Workers!$A$5:$A$2004,0))&amp;"")</f>
        <v/>
      </c>
      <c r="U246" s="24" t="str">
        <f aca="false">IF($A246="","",INDEX(Workers!$H$5:$H$2004,MATCH($A246,Workers!$A$5:$A$2004,0))&amp;"")</f>
        <v/>
      </c>
    </row>
    <row r="247" customFormat="false" ht="15" hidden="false" customHeight="false" outlineLevel="0" collapsed="false">
      <c r="A247" s="24" t="str">
        <f aca="false">IFERROR(INDEX(Workers!$A$5:$A$2004,MATCH(ROW()-4,Workers!$U$5:$U$2004,0)),"")</f>
        <v/>
      </c>
      <c r="B247" s="24" t="str">
        <f aca="false">IF($A247="","",INDEX(Workers!$B$5:$B$2004,MATCH($A247,Workers!$A$5:$A$2004,0)))</f>
        <v/>
      </c>
      <c r="C247" s="24" t="str">
        <f aca="false">IF($A247="","",INDEX(Workers!$E$5:$E$2004,MATCH($A247,Workers!$A$5:$A$2004,0)))</f>
        <v/>
      </c>
      <c r="D247" s="24" t="str">
        <f aca="false">IF($A247="","",INDEX(Workers!$K$5:$K$2004,MATCH($A247,Workers!$A$5:$A$2004,0)))</f>
        <v/>
      </c>
      <c r="E247" s="25" t="str">
        <f aca="false">IF($A247="","",SUMIFS(Timesheet!$E$5:$E$3004,Timesheet!$D$5:$D$3004,$A247,Timesheet!$A$5:$A$3004,"&gt;="&amp;Settings!$B$8,Timesheet!$A$5:$A$3004,"&lt;="&amp;Settings!$B$9))</f>
        <v/>
      </c>
      <c r="F247" s="25" t="str">
        <f aca="false">IF($A247="","",SUMIFS(Timesheet!$F$5:$F$3004,Timesheet!$D$5:$D$3004,$A247,Timesheet!$A$5:$A$3004,"&gt;="&amp;Settings!$B$8,Timesheet!$A$5:$A$3004,"&lt;="&amp;Settings!$B$9))</f>
        <v/>
      </c>
      <c r="G247" s="25" t="str">
        <f aca="false">IF($A247="","",SUMIFS(Timesheet!$G$5:$G$3004,Timesheet!$D$5:$D$3004,$A247,Timesheet!$A$5:$A$3004,"&gt;="&amp;Settings!$B$8,Timesheet!$A$5:$A$3004,"&lt;="&amp;Settings!$B$9))</f>
        <v/>
      </c>
      <c r="H247" s="25" t="str">
        <f aca="false">IF($A247="","",IF(D247="Monthly",MAX(0,Settings!$B$11-E247),0))</f>
        <v/>
      </c>
      <c r="I247" s="26" t="str">
        <f aca="false">IF($A247="","",N(INDEX(Workers!$L$5:$L$2004,MATCH($A247,Workers!$A$5:$A$2004,0))))</f>
        <v/>
      </c>
      <c r="J247" s="26" t="str">
        <f aca="false">IF($A247="","",N(INDEX(Workers!$M$5:$M$2004,MATCH($A247,Workers!$A$5:$A$2004,0))))</f>
        <v/>
      </c>
      <c r="K247" s="26" t="str">
        <f aca="false">IF($A247="","",IF(D247="Monthly",ROUND(MAX(0,(I247+J247)-(I247+J247)/Settings!$B$10*H247),2),0))</f>
        <v/>
      </c>
      <c r="L247" s="26" t="str">
        <f aca="false">IF($A247="","",IF(D247="Hourly",ROUND(F247*N(INDEX(Workers!$N$5:$N$2004,MATCH($A247,Workers!$A$5:$A$2004,0))),2),0))</f>
        <v/>
      </c>
      <c r="M247" s="26" t="str">
        <f aca="false">IF($A247="","",ROUND(G247*IF(D247="Hourly",N(INDEX(Workers!$N$5:$N$2004,MATCH($A247,Workers!$A$5:$A$2004,0))),I247/Settings!$B$10/Settings!$B$12)*Settings!$B$13,2))</f>
        <v/>
      </c>
      <c r="N247" s="26" t="str">
        <f aca="false">IF($A247="","",K247+L247+M247)</f>
        <v/>
      </c>
      <c r="O247" s="26" t="str">
        <f aca="false">IF($A247="","",SUMIFS(Deductions!$D$5:$D$2000,Deductions!$B$5:$B$2000,$A247,Deductions!$C$5:$C$2000,"Advance",Deductions!$E$5:$E$2000,"&gt;="&amp;Settings!$B$8,Deductions!$E$5:$E$2000,"&lt;="&amp;Settings!$B$9))</f>
        <v/>
      </c>
      <c r="P247" s="26" t="str">
        <f aca="false">IF($A247="","",SUMIFS(Deductions!$D$5:$D$2000,Deductions!$B$5:$B$2000,$A247,Deductions!$E$5:$E$2000,"&gt;="&amp;Settings!$B$8,Deductions!$E$5:$E$2000,"&lt;="&amp;Settings!$B$9)-O247)</f>
        <v/>
      </c>
      <c r="Q247" s="26" t="str">
        <f aca="false">IF($A247="","",O247+P247)</f>
        <v/>
      </c>
      <c r="R247" s="23" t="str">
        <f aca="false">IF($A247="","",N247-Q247)</f>
        <v/>
      </c>
      <c r="S247" s="24" t="str">
        <f aca="false">IF($A247="","",INDEX(Workers!$O$5:$O$2004,MATCH($A247,Workers!$A$5:$A$2004,0))&amp;"")</f>
        <v/>
      </c>
      <c r="T247" s="24" t="str">
        <f aca="false">IF($A247="","",INDEX(Workers!$P$5:$P$2004,MATCH($A247,Workers!$A$5:$A$2004,0))&amp;"")</f>
        <v/>
      </c>
      <c r="U247" s="24" t="str">
        <f aca="false">IF($A247="","",INDEX(Workers!$H$5:$H$2004,MATCH($A247,Workers!$A$5:$A$2004,0))&amp;"")</f>
        <v/>
      </c>
    </row>
    <row r="248" customFormat="false" ht="15" hidden="false" customHeight="false" outlineLevel="0" collapsed="false">
      <c r="A248" s="24" t="str">
        <f aca="false">IFERROR(INDEX(Workers!$A$5:$A$2004,MATCH(ROW()-4,Workers!$U$5:$U$2004,0)),"")</f>
        <v/>
      </c>
      <c r="B248" s="24" t="str">
        <f aca="false">IF($A248="","",INDEX(Workers!$B$5:$B$2004,MATCH($A248,Workers!$A$5:$A$2004,0)))</f>
        <v/>
      </c>
      <c r="C248" s="24" t="str">
        <f aca="false">IF($A248="","",INDEX(Workers!$E$5:$E$2004,MATCH($A248,Workers!$A$5:$A$2004,0)))</f>
        <v/>
      </c>
      <c r="D248" s="24" t="str">
        <f aca="false">IF($A248="","",INDEX(Workers!$K$5:$K$2004,MATCH($A248,Workers!$A$5:$A$2004,0)))</f>
        <v/>
      </c>
      <c r="E248" s="25" t="str">
        <f aca="false">IF($A248="","",SUMIFS(Timesheet!$E$5:$E$3004,Timesheet!$D$5:$D$3004,$A248,Timesheet!$A$5:$A$3004,"&gt;="&amp;Settings!$B$8,Timesheet!$A$5:$A$3004,"&lt;="&amp;Settings!$B$9))</f>
        <v/>
      </c>
      <c r="F248" s="25" t="str">
        <f aca="false">IF($A248="","",SUMIFS(Timesheet!$F$5:$F$3004,Timesheet!$D$5:$D$3004,$A248,Timesheet!$A$5:$A$3004,"&gt;="&amp;Settings!$B$8,Timesheet!$A$5:$A$3004,"&lt;="&amp;Settings!$B$9))</f>
        <v/>
      </c>
      <c r="G248" s="25" t="str">
        <f aca="false">IF($A248="","",SUMIFS(Timesheet!$G$5:$G$3004,Timesheet!$D$5:$D$3004,$A248,Timesheet!$A$5:$A$3004,"&gt;="&amp;Settings!$B$8,Timesheet!$A$5:$A$3004,"&lt;="&amp;Settings!$B$9))</f>
        <v/>
      </c>
      <c r="H248" s="25" t="str">
        <f aca="false">IF($A248="","",IF(D248="Monthly",MAX(0,Settings!$B$11-E248),0))</f>
        <v/>
      </c>
      <c r="I248" s="26" t="str">
        <f aca="false">IF($A248="","",N(INDEX(Workers!$L$5:$L$2004,MATCH($A248,Workers!$A$5:$A$2004,0))))</f>
        <v/>
      </c>
      <c r="J248" s="26" t="str">
        <f aca="false">IF($A248="","",N(INDEX(Workers!$M$5:$M$2004,MATCH($A248,Workers!$A$5:$A$2004,0))))</f>
        <v/>
      </c>
      <c r="K248" s="26" t="str">
        <f aca="false">IF($A248="","",IF(D248="Monthly",ROUND(MAX(0,(I248+J248)-(I248+J248)/Settings!$B$10*H248),2),0))</f>
        <v/>
      </c>
      <c r="L248" s="26" t="str">
        <f aca="false">IF($A248="","",IF(D248="Hourly",ROUND(F248*N(INDEX(Workers!$N$5:$N$2004,MATCH($A248,Workers!$A$5:$A$2004,0))),2),0))</f>
        <v/>
      </c>
      <c r="M248" s="26" t="str">
        <f aca="false">IF($A248="","",ROUND(G248*IF(D248="Hourly",N(INDEX(Workers!$N$5:$N$2004,MATCH($A248,Workers!$A$5:$A$2004,0))),I248/Settings!$B$10/Settings!$B$12)*Settings!$B$13,2))</f>
        <v/>
      </c>
      <c r="N248" s="26" t="str">
        <f aca="false">IF($A248="","",K248+L248+M248)</f>
        <v/>
      </c>
      <c r="O248" s="26" t="str">
        <f aca="false">IF($A248="","",SUMIFS(Deductions!$D$5:$D$2000,Deductions!$B$5:$B$2000,$A248,Deductions!$C$5:$C$2000,"Advance",Deductions!$E$5:$E$2000,"&gt;="&amp;Settings!$B$8,Deductions!$E$5:$E$2000,"&lt;="&amp;Settings!$B$9))</f>
        <v/>
      </c>
      <c r="P248" s="26" t="str">
        <f aca="false">IF($A248="","",SUMIFS(Deductions!$D$5:$D$2000,Deductions!$B$5:$B$2000,$A248,Deductions!$E$5:$E$2000,"&gt;="&amp;Settings!$B$8,Deductions!$E$5:$E$2000,"&lt;="&amp;Settings!$B$9)-O248)</f>
        <v/>
      </c>
      <c r="Q248" s="26" t="str">
        <f aca="false">IF($A248="","",O248+P248)</f>
        <v/>
      </c>
      <c r="R248" s="23" t="str">
        <f aca="false">IF($A248="","",N248-Q248)</f>
        <v/>
      </c>
      <c r="S248" s="24" t="str">
        <f aca="false">IF($A248="","",INDEX(Workers!$O$5:$O$2004,MATCH($A248,Workers!$A$5:$A$2004,0))&amp;"")</f>
        <v/>
      </c>
      <c r="T248" s="24" t="str">
        <f aca="false">IF($A248="","",INDEX(Workers!$P$5:$P$2004,MATCH($A248,Workers!$A$5:$A$2004,0))&amp;"")</f>
        <v/>
      </c>
      <c r="U248" s="24" t="str">
        <f aca="false">IF($A248="","",INDEX(Workers!$H$5:$H$2004,MATCH($A248,Workers!$A$5:$A$2004,0))&amp;"")</f>
        <v/>
      </c>
    </row>
    <row r="249" customFormat="false" ht="15" hidden="false" customHeight="false" outlineLevel="0" collapsed="false">
      <c r="A249" s="24" t="str">
        <f aca="false">IFERROR(INDEX(Workers!$A$5:$A$2004,MATCH(ROW()-4,Workers!$U$5:$U$2004,0)),"")</f>
        <v/>
      </c>
      <c r="B249" s="24" t="str">
        <f aca="false">IF($A249="","",INDEX(Workers!$B$5:$B$2004,MATCH($A249,Workers!$A$5:$A$2004,0)))</f>
        <v/>
      </c>
      <c r="C249" s="24" t="str">
        <f aca="false">IF($A249="","",INDEX(Workers!$E$5:$E$2004,MATCH($A249,Workers!$A$5:$A$2004,0)))</f>
        <v/>
      </c>
      <c r="D249" s="24" t="str">
        <f aca="false">IF($A249="","",INDEX(Workers!$K$5:$K$2004,MATCH($A249,Workers!$A$5:$A$2004,0)))</f>
        <v/>
      </c>
      <c r="E249" s="25" t="str">
        <f aca="false">IF($A249="","",SUMIFS(Timesheet!$E$5:$E$3004,Timesheet!$D$5:$D$3004,$A249,Timesheet!$A$5:$A$3004,"&gt;="&amp;Settings!$B$8,Timesheet!$A$5:$A$3004,"&lt;="&amp;Settings!$B$9))</f>
        <v/>
      </c>
      <c r="F249" s="25" t="str">
        <f aca="false">IF($A249="","",SUMIFS(Timesheet!$F$5:$F$3004,Timesheet!$D$5:$D$3004,$A249,Timesheet!$A$5:$A$3004,"&gt;="&amp;Settings!$B$8,Timesheet!$A$5:$A$3004,"&lt;="&amp;Settings!$B$9))</f>
        <v/>
      </c>
      <c r="G249" s="25" t="str">
        <f aca="false">IF($A249="","",SUMIFS(Timesheet!$G$5:$G$3004,Timesheet!$D$5:$D$3004,$A249,Timesheet!$A$5:$A$3004,"&gt;="&amp;Settings!$B$8,Timesheet!$A$5:$A$3004,"&lt;="&amp;Settings!$B$9))</f>
        <v/>
      </c>
      <c r="H249" s="25" t="str">
        <f aca="false">IF($A249="","",IF(D249="Monthly",MAX(0,Settings!$B$11-E249),0))</f>
        <v/>
      </c>
      <c r="I249" s="26" t="str">
        <f aca="false">IF($A249="","",N(INDEX(Workers!$L$5:$L$2004,MATCH($A249,Workers!$A$5:$A$2004,0))))</f>
        <v/>
      </c>
      <c r="J249" s="26" t="str">
        <f aca="false">IF($A249="","",N(INDEX(Workers!$M$5:$M$2004,MATCH($A249,Workers!$A$5:$A$2004,0))))</f>
        <v/>
      </c>
      <c r="K249" s="26" t="str">
        <f aca="false">IF($A249="","",IF(D249="Monthly",ROUND(MAX(0,(I249+J249)-(I249+J249)/Settings!$B$10*H249),2),0))</f>
        <v/>
      </c>
      <c r="L249" s="26" t="str">
        <f aca="false">IF($A249="","",IF(D249="Hourly",ROUND(F249*N(INDEX(Workers!$N$5:$N$2004,MATCH($A249,Workers!$A$5:$A$2004,0))),2),0))</f>
        <v/>
      </c>
      <c r="M249" s="26" t="str">
        <f aca="false">IF($A249="","",ROUND(G249*IF(D249="Hourly",N(INDEX(Workers!$N$5:$N$2004,MATCH($A249,Workers!$A$5:$A$2004,0))),I249/Settings!$B$10/Settings!$B$12)*Settings!$B$13,2))</f>
        <v/>
      </c>
      <c r="N249" s="26" t="str">
        <f aca="false">IF($A249="","",K249+L249+M249)</f>
        <v/>
      </c>
      <c r="O249" s="26" t="str">
        <f aca="false">IF($A249="","",SUMIFS(Deductions!$D$5:$D$2000,Deductions!$B$5:$B$2000,$A249,Deductions!$C$5:$C$2000,"Advance",Deductions!$E$5:$E$2000,"&gt;="&amp;Settings!$B$8,Deductions!$E$5:$E$2000,"&lt;="&amp;Settings!$B$9))</f>
        <v/>
      </c>
      <c r="P249" s="26" t="str">
        <f aca="false">IF($A249="","",SUMIFS(Deductions!$D$5:$D$2000,Deductions!$B$5:$B$2000,$A249,Deductions!$E$5:$E$2000,"&gt;="&amp;Settings!$B$8,Deductions!$E$5:$E$2000,"&lt;="&amp;Settings!$B$9)-O249)</f>
        <v/>
      </c>
      <c r="Q249" s="26" t="str">
        <f aca="false">IF($A249="","",O249+P249)</f>
        <v/>
      </c>
      <c r="R249" s="23" t="str">
        <f aca="false">IF($A249="","",N249-Q249)</f>
        <v/>
      </c>
      <c r="S249" s="24" t="str">
        <f aca="false">IF($A249="","",INDEX(Workers!$O$5:$O$2004,MATCH($A249,Workers!$A$5:$A$2004,0))&amp;"")</f>
        <v/>
      </c>
      <c r="T249" s="24" t="str">
        <f aca="false">IF($A249="","",INDEX(Workers!$P$5:$P$2004,MATCH($A249,Workers!$A$5:$A$2004,0))&amp;"")</f>
        <v/>
      </c>
      <c r="U249" s="24" t="str">
        <f aca="false">IF($A249="","",INDEX(Workers!$H$5:$H$2004,MATCH($A249,Workers!$A$5:$A$2004,0))&amp;"")</f>
        <v/>
      </c>
    </row>
    <row r="250" customFormat="false" ht="15" hidden="false" customHeight="false" outlineLevel="0" collapsed="false">
      <c r="A250" s="24" t="str">
        <f aca="false">IFERROR(INDEX(Workers!$A$5:$A$2004,MATCH(ROW()-4,Workers!$U$5:$U$2004,0)),"")</f>
        <v/>
      </c>
      <c r="B250" s="24" t="str">
        <f aca="false">IF($A250="","",INDEX(Workers!$B$5:$B$2004,MATCH($A250,Workers!$A$5:$A$2004,0)))</f>
        <v/>
      </c>
      <c r="C250" s="24" t="str">
        <f aca="false">IF($A250="","",INDEX(Workers!$E$5:$E$2004,MATCH($A250,Workers!$A$5:$A$2004,0)))</f>
        <v/>
      </c>
      <c r="D250" s="24" t="str">
        <f aca="false">IF($A250="","",INDEX(Workers!$K$5:$K$2004,MATCH($A250,Workers!$A$5:$A$2004,0)))</f>
        <v/>
      </c>
      <c r="E250" s="25" t="str">
        <f aca="false">IF($A250="","",SUMIFS(Timesheet!$E$5:$E$3004,Timesheet!$D$5:$D$3004,$A250,Timesheet!$A$5:$A$3004,"&gt;="&amp;Settings!$B$8,Timesheet!$A$5:$A$3004,"&lt;="&amp;Settings!$B$9))</f>
        <v/>
      </c>
      <c r="F250" s="25" t="str">
        <f aca="false">IF($A250="","",SUMIFS(Timesheet!$F$5:$F$3004,Timesheet!$D$5:$D$3004,$A250,Timesheet!$A$5:$A$3004,"&gt;="&amp;Settings!$B$8,Timesheet!$A$5:$A$3004,"&lt;="&amp;Settings!$B$9))</f>
        <v/>
      </c>
      <c r="G250" s="25" t="str">
        <f aca="false">IF($A250="","",SUMIFS(Timesheet!$G$5:$G$3004,Timesheet!$D$5:$D$3004,$A250,Timesheet!$A$5:$A$3004,"&gt;="&amp;Settings!$B$8,Timesheet!$A$5:$A$3004,"&lt;="&amp;Settings!$B$9))</f>
        <v/>
      </c>
      <c r="H250" s="25" t="str">
        <f aca="false">IF($A250="","",IF(D250="Monthly",MAX(0,Settings!$B$11-E250),0))</f>
        <v/>
      </c>
      <c r="I250" s="26" t="str">
        <f aca="false">IF($A250="","",N(INDEX(Workers!$L$5:$L$2004,MATCH($A250,Workers!$A$5:$A$2004,0))))</f>
        <v/>
      </c>
      <c r="J250" s="26" t="str">
        <f aca="false">IF($A250="","",N(INDEX(Workers!$M$5:$M$2004,MATCH($A250,Workers!$A$5:$A$2004,0))))</f>
        <v/>
      </c>
      <c r="K250" s="26" t="str">
        <f aca="false">IF($A250="","",IF(D250="Monthly",ROUND(MAX(0,(I250+J250)-(I250+J250)/Settings!$B$10*H250),2),0))</f>
        <v/>
      </c>
      <c r="L250" s="26" t="str">
        <f aca="false">IF($A250="","",IF(D250="Hourly",ROUND(F250*N(INDEX(Workers!$N$5:$N$2004,MATCH($A250,Workers!$A$5:$A$2004,0))),2),0))</f>
        <v/>
      </c>
      <c r="M250" s="26" t="str">
        <f aca="false">IF($A250="","",ROUND(G250*IF(D250="Hourly",N(INDEX(Workers!$N$5:$N$2004,MATCH($A250,Workers!$A$5:$A$2004,0))),I250/Settings!$B$10/Settings!$B$12)*Settings!$B$13,2))</f>
        <v/>
      </c>
      <c r="N250" s="26" t="str">
        <f aca="false">IF($A250="","",K250+L250+M250)</f>
        <v/>
      </c>
      <c r="O250" s="26" t="str">
        <f aca="false">IF($A250="","",SUMIFS(Deductions!$D$5:$D$2000,Deductions!$B$5:$B$2000,$A250,Deductions!$C$5:$C$2000,"Advance",Deductions!$E$5:$E$2000,"&gt;="&amp;Settings!$B$8,Deductions!$E$5:$E$2000,"&lt;="&amp;Settings!$B$9))</f>
        <v/>
      </c>
      <c r="P250" s="26" t="str">
        <f aca="false">IF($A250="","",SUMIFS(Deductions!$D$5:$D$2000,Deductions!$B$5:$B$2000,$A250,Deductions!$E$5:$E$2000,"&gt;="&amp;Settings!$B$8,Deductions!$E$5:$E$2000,"&lt;="&amp;Settings!$B$9)-O250)</f>
        <v/>
      </c>
      <c r="Q250" s="26" t="str">
        <f aca="false">IF($A250="","",O250+P250)</f>
        <v/>
      </c>
      <c r="R250" s="23" t="str">
        <f aca="false">IF($A250="","",N250-Q250)</f>
        <v/>
      </c>
      <c r="S250" s="24" t="str">
        <f aca="false">IF($A250="","",INDEX(Workers!$O$5:$O$2004,MATCH($A250,Workers!$A$5:$A$2004,0))&amp;"")</f>
        <v/>
      </c>
      <c r="T250" s="24" t="str">
        <f aca="false">IF($A250="","",INDEX(Workers!$P$5:$P$2004,MATCH($A250,Workers!$A$5:$A$2004,0))&amp;"")</f>
        <v/>
      </c>
      <c r="U250" s="24" t="str">
        <f aca="false">IF($A250="","",INDEX(Workers!$H$5:$H$2004,MATCH($A250,Workers!$A$5:$A$2004,0))&amp;"")</f>
        <v/>
      </c>
    </row>
    <row r="251" customFormat="false" ht="15" hidden="false" customHeight="false" outlineLevel="0" collapsed="false">
      <c r="A251" s="24" t="str">
        <f aca="false">IFERROR(INDEX(Workers!$A$5:$A$2004,MATCH(ROW()-4,Workers!$U$5:$U$2004,0)),"")</f>
        <v/>
      </c>
      <c r="B251" s="24" t="str">
        <f aca="false">IF($A251="","",INDEX(Workers!$B$5:$B$2004,MATCH($A251,Workers!$A$5:$A$2004,0)))</f>
        <v/>
      </c>
      <c r="C251" s="24" t="str">
        <f aca="false">IF($A251="","",INDEX(Workers!$E$5:$E$2004,MATCH($A251,Workers!$A$5:$A$2004,0)))</f>
        <v/>
      </c>
      <c r="D251" s="24" t="str">
        <f aca="false">IF($A251="","",INDEX(Workers!$K$5:$K$2004,MATCH($A251,Workers!$A$5:$A$2004,0)))</f>
        <v/>
      </c>
      <c r="E251" s="25" t="str">
        <f aca="false">IF($A251="","",SUMIFS(Timesheet!$E$5:$E$3004,Timesheet!$D$5:$D$3004,$A251,Timesheet!$A$5:$A$3004,"&gt;="&amp;Settings!$B$8,Timesheet!$A$5:$A$3004,"&lt;="&amp;Settings!$B$9))</f>
        <v/>
      </c>
      <c r="F251" s="25" t="str">
        <f aca="false">IF($A251="","",SUMIFS(Timesheet!$F$5:$F$3004,Timesheet!$D$5:$D$3004,$A251,Timesheet!$A$5:$A$3004,"&gt;="&amp;Settings!$B$8,Timesheet!$A$5:$A$3004,"&lt;="&amp;Settings!$B$9))</f>
        <v/>
      </c>
      <c r="G251" s="25" t="str">
        <f aca="false">IF($A251="","",SUMIFS(Timesheet!$G$5:$G$3004,Timesheet!$D$5:$D$3004,$A251,Timesheet!$A$5:$A$3004,"&gt;="&amp;Settings!$B$8,Timesheet!$A$5:$A$3004,"&lt;="&amp;Settings!$B$9))</f>
        <v/>
      </c>
      <c r="H251" s="25" t="str">
        <f aca="false">IF($A251="","",IF(D251="Monthly",MAX(0,Settings!$B$11-E251),0))</f>
        <v/>
      </c>
      <c r="I251" s="26" t="str">
        <f aca="false">IF($A251="","",N(INDEX(Workers!$L$5:$L$2004,MATCH($A251,Workers!$A$5:$A$2004,0))))</f>
        <v/>
      </c>
      <c r="J251" s="26" t="str">
        <f aca="false">IF($A251="","",N(INDEX(Workers!$M$5:$M$2004,MATCH($A251,Workers!$A$5:$A$2004,0))))</f>
        <v/>
      </c>
      <c r="K251" s="26" t="str">
        <f aca="false">IF($A251="","",IF(D251="Monthly",ROUND(MAX(0,(I251+J251)-(I251+J251)/Settings!$B$10*H251),2),0))</f>
        <v/>
      </c>
      <c r="L251" s="26" t="str">
        <f aca="false">IF($A251="","",IF(D251="Hourly",ROUND(F251*N(INDEX(Workers!$N$5:$N$2004,MATCH($A251,Workers!$A$5:$A$2004,0))),2),0))</f>
        <v/>
      </c>
      <c r="M251" s="26" t="str">
        <f aca="false">IF($A251="","",ROUND(G251*IF(D251="Hourly",N(INDEX(Workers!$N$5:$N$2004,MATCH($A251,Workers!$A$5:$A$2004,0))),I251/Settings!$B$10/Settings!$B$12)*Settings!$B$13,2))</f>
        <v/>
      </c>
      <c r="N251" s="26" t="str">
        <f aca="false">IF($A251="","",K251+L251+M251)</f>
        <v/>
      </c>
      <c r="O251" s="26" t="str">
        <f aca="false">IF($A251="","",SUMIFS(Deductions!$D$5:$D$2000,Deductions!$B$5:$B$2000,$A251,Deductions!$C$5:$C$2000,"Advance",Deductions!$E$5:$E$2000,"&gt;="&amp;Settings!$B$8,Deductions!$E$5:$E$2000,"&lt;="&amp;Settings!$B$9))</f>
        <v/>
      </c>
      <c r="P251" s="26" t="str">
        <f aca="false">IF($A251="","",SUMIFS(Deductions!$D$5:$D$2000,Deductions!$B$5:$B$2000,$A251,Deductions!$E$5:$E$2000,"&gt;="&amp;Settings!$B$8,Deductions!$E$5:$E$2000,"&lt;="&amp;Settings!$B$9)-O251)</f>
        <v/>
      </c>
      <c r="Q251" s="26" t="str">
        <f aca="false">IF($A251="","",O251+P251)</f>
        <v/>
      </c>
      <c r="R251" s="23" t="str">
        <f aca="false">IF($A251="","",N251-Q251)</f>
        <v/>
      </c>
      <c r="S251" s="24" t="str">
        <f aca="false">IF($A251="","",INDEX(Workers!$O$5:$O$2004,MATCH($A251,Workers!$A$5:$A$2004,0))&amp;"")</f>
        <v/>
      </c>
      <c r="T251" s="24" t="str">
        <f aca="false">IF($A251="","",INDEX(Workers!$P$5:$P$2004,MATCH($A251,Workers!$A$5:$A$2004,0))&amp;"")</f>
        <v/>
      </c>
      <c r="U251" s="24" t="str">
        <f aca="false">IF($A251="","",INDEX(Workers!$H$5:$H$2004,MATCH($A251,Workers!$A$5:$A$2004,0))&amp;"")</f>
        <v/>
      </c>
    </row>
    <row r="252" customFormat="false" ht="15" hidden="false" customHeight="false" outlineLevel="0" collapsed="false">
      <c r="A252" s="24" t="str">
        <f aca="false">IFERROR(INDEX(Workers!$A$5:$A$2004,MATCH(ROW()-4,Workers!$U$5:$U$2004,0)),"")</f>
        <v/>
      </c>
      <c r="B252" s="24" t="str">
        <f aca="false">IF($A252="","",INDEX(Workers!$B$5:$B$2004,MATCH($A252,Workers!$A$5:$A$2004,0)))</f>
        <v/>
      </c>
      <c r="C252" s="24" t="str">
        <f aca="false">IF($A252="","",INDEX(Workers!$E$5:$E$2004,MATCH($A252,Workers!$A$5:$A$2004,0)))</f>
        <v/>
      </c>
      <c r="D252" s="24" t="str">
        <f aca="false">IF($A252="","",INDEX(Workers!$K$5:$K$2004,MATCH($A252,Workers!$A$5:$A$2004,0)))</f>
        <v/>
      </c>
      <c r="E252" s="25" t="str">
        <f aca="false">IF($A252="","",SUMIFS(Timesheet!$E$5:$E$3004,Timesheet!$D$5:$D$3004,$A252,Timesheet!$A$5:$A$3004,"&gt;="&amp;Settings!$B$8,Timesheet!$A$5:$A$3004,"&lt;="&amp;Settings!$B$9))</f>
        <v/>
      </c>
      <c r="F252" s="25" t="str">
        <f aca="false">IF($A252="","",SUMIFS(Timesheet!$F$5:$F$3004,Timesheet!$D$5:$D$3004,$A252,Timesheet!$A$5:$A$3004,"&gt;="&amp;Settings!$B$8,Timesheet!$A$5:$A$3004,"&lt;="&amp;Settings!$B$9))</f>
        <v/>
      </c>
      <c r="G252" s="25" t="str">
        <f aca="false">IF($A252="","",SUMIFS(Timesheet!$G$5:$G$3004,Timesheet!$D$5:$D$3004,$A252,Timesheet!$A$5:$A$3004,"&gt;="&amp;Settings!$B$8,Timesheet!$A$5:$A$3004,"&lt;="&amp;Settings!$B$9))</f>
        <v/>
      </c>
      <c r="H252" s="25" t="str">
        <f aca="false">IF($A252="","",IF(D252="Monthly",MAX(0,Settings!$B$11-E252),0))</f>
        <v/>
      </c>
      <c r="I252" s="26" t="str">
        <f aca="false">IF($A252="","",N(INDEX(Workers!$L$5:$L$2004,MATCH($A252,Workers!$A$5:$A$2004,0))))</f>
        <v/>
      </c>
      <c r="J252" s="26" t="str">
        <f aca="false">IF($A252="","",N(INDEX(Workers!$M$5:$M$2004,MATCH($A252,Workers!$A$5:$A$2004,0))))</f>
        <v/>
      </c>
      <c r="K252" s="26" t="str">
        <f aca="false">IF($A252="","",IF(D252="Monthly",ROUND(MAX(0,(I252+J252)-(I252+J252)/Settings!$B$10*H252),2),0))</f>
        <v/>
      </c>
      <c r="L252" s="26" t="str">
        <f aca="false">IF($A252="","",IF(D252="Hourly",ROUND(F252*N(INDEX(Workers!$N$5:$N$2004,MATCH($A252,Workers!$A$5:$A$2004,0))),2),0))</f>
        <v/>
      </c>
      <c r="M252" s="26" t="str">
        <f aca="false">IF($A252="","",ROUND(G252*IF(D252="Hourly",N(INDEX(Workers!$N$5:$N$2004,MATCH($A252,Workers!$A$5:$A$2004,0))),I252/Settings!$B$10/Settings!$B$12)*Settings!$B$13,2))</f>
        <v/>
      </c>
      <c r="N252" s="26" t="str">
        <f aca="false">IF($A252="","",K252+L252+M252)</f>
        <v/>
      </c>
      <c r="O252" s="26" t="str">
        <f aca="false">IF($A252="","",SUMIFS(Deductions!$D$5:$D$2000,Deductions!$B$5:$B$2000,$A252,Deductions!$C$5:$C$2000,"Advance",Deductions!$E$5:$E$2000,"&gt;="&amp;Settings!$B$8,Deductions!$E$5:$E$2000,"&lt;="&amp;Settings!$B$9))</f>
        <v/>
      </c>
      <c r="P252" s="26" t="str">
        <f aca="false">IF($A252="","",SUMIFS(Deductions!$D$5:$D$2000,Deductions!$B$5:$B$2000,$A252,Deductions!$E$5:$E$2000,"&gt;="&amp;Settings!$B$8,Deductions!$E$5:$E$2000,"&lt;="&amp;Settings!$B$9)-O252)</f>
        <v/>
      </c>
      <c r="Q252" s="26" t="str">
        <f aca="false">IF($A252="","",O252+P252)</f>
        <v/>
      </c>
      <c r="R252" s="23" t="str">
        <f aca="false">IF($A252="","",N252-Q252)</f>
        <v/>
      </c>
      <c r="S252" s="24" t="str">
        <f aca="false">IF($A252="","",INDEX(Workers!$O$5:$O$2004,MATCH($A252,Workers!$A$5:$A$2004,0))&amp;"")</f>
        <v/>
      </c>
      <c r="T252" s="24" t="str">
        <f aca="false">IF($A252="","",INDEX(Workers!$P$5:$P$2004,MATCH($A252,Workers!$A$5:$A$2004,0))&amp;"")</f>
        <v/>
      </c>
      <c r="U252" s="24" t="str">
        <f aca="false">IF($A252="","",INDEX(Workers!$H$5:$H$2004,MATCH($A252,Workers!$A$5:$A$2004,0))&amp;"")</f>
        <v/>
      </c>
    </row>
    <row r="253" customFormat="false" ht="15" hidden="false" customHeight="false" outlineLevel="0" collapsed="false">
      <c r="A253" s="24" t="str">
        <f aca="false">IFERROR(INDEX(Workers!$A$5:$A$2004,MATCH(ROW()-4,Workers!$U$5:$U$2004,0)),"")</f>
        <v/>
      </c>
      <c r="B253" s="24" t="str">
        <f aca="false">IF($A253="","",INDEX(Workers!$B$5:$B$2004,MATCH($A253,Workers!$A$5:$A$2004,0)))</f>
        <v/>
      </c>
      <c r="C253" s="24" t="str">
        <f aca="false">IF($A253="","",INDEX(Workers!$E$5:$E$2004,MATCH($A253,Workers!$A$5:$A$2004,0)))</f>
        <v/>
      </c>
      <c r="D253" s="24" t="str">
        <f aca="false">IF($A253="","",INDEX(Workers!$K$5:$K$2004,MATCH($A253,Workers!$A$5:$A$2004,0)))</f>
        <v/>
      </c>
      <c r="E253" s="25" t="str">
        <f aca="false">IF($A253="","",SUMIFS(Timesheet!$E$5:$E$3004,Timesheet!$D$5:$D$3004,$A253,Timesheet!$A$5:$A$3004,"&gt;="&amp;Settings!$B$8,Timesheet!$A$5:$A$3004,"&lt;="&amp;Settings!$B$9))</f>
        <v/>
      </c>
      <c r="F253" s="25" t="str">
        <f aca="false">IF($A253="","",SUMIFS(Timesheet!$F$5:$F$3004,Timesheet!$D$5:$D$3004,$A253,Timesheet!$A$5:$A$3004,"&gt;="&amp;Settings!$B$8,Timesheet!$A$5:$A$3004,"&lt;="&amp;Settings!$B$9))</f>
        <v/>
      </c>
      <c r="G253" s="25" t="str">
        <f aca="false">IF($A253="","",SUMIFS(Timesheet!$G$5:$G$3004,Timesheet!$D$5:$D$3004,$A253,Timesheet!$A$5:$A$3004,"&gt;="&amp;Settings!$B$8,Timesheet!$A$5:$A$3004,"&lt;="&amp;Settings!$B$9))</f>
        <v/>
      </c>
      <c r="H253" s="25" t="str">
        <f aca="false">IF($A253="","",IF(D253="Monthly",MAX(0,Settings!$B$11-E253),0))</f>
        <v/>
      </c>
      <c r="I253" s="26" t="str">
        <f aca="false">IF($A253="","",N(INDEX(Workers!$L$5:$L$2004,MATCH($A253,Workers!$A$5:$A$2004,0))))</f>
        <v/>
      </c>
      <c r="J253" s="26" t="str">
        <f aca="false">IF($A253="","",N(INDEX(Workers!$M$5:$M$2004,MATCH($A253,Workers!$A$5:$A$2004,0))))</f>
        <v/>
      </c>
      <c r="K253" s="26" t="str">
        <f aca="false">IF($A253="","",IF(D253="Monthly",ROUND(MAX(0,(I253+J253)-(I253+J253)/Settings!$B$10*H253),2),0))</f>
        <v/>
      </c>
      <c r="L253" s="26" t="str">
        <f aca="false">IF($A253="","",IF(D253="Hourly",ROUND(F253*N(INDEX(Workers!$N$5:$N$2004,MATCH($A253,Workers!$A$5:$A$2004,0))),2),0))</f>
        <v/>
      </c>
      <c r="M253" s="26" t="str">
        <f aca="false">IF($A253="","",ROUND(G253*IF(D253="Hourly",N(INDEX(Workers!$N$5:$N$2004,MATCH($A253,Workers!$A$5:$A$2004,0))),I253/Settings!$B$10/Settings!$B$12)*Settings!$B$13,2))</f>
        <v/>
      </c>
      <c r="N253" s="26" t="str">
        <f aca="false">IF($A253="","",K253+L253+M253)</f>
        <v/>
      </c>
      <c r="O253" s="26" t="str">
        <f aca="false">IF($A253="","",SUMIFS(Deductions!$D$5:$D$2000,Deductions!$B$5:$B$2000,$A253,Deductions!$C$5:$C$2000,"Advance",Deductions!$E$5:$E$2000,"&gt;="&amp;Settings!$B$8,Deductions!$E$5:$E$2000,"&lt;="&amp;Settings!$B$9))</f>
        <v/>
      </c>
      <c r="P253" s="26" t="str">
        <f aca="false">IF($A253="","",SUMIFS(Deductions!$D$5:$D$2000,Deductions!$B$5:$B$2000,$A253,Deductions!$E$5:$E$2000,"&gt;="&amp;Settings!$B$8,Deductions!$E$5:$E$2000,"&lt;="&amp;Settings!$B$9)-O253)</f>
        <v/>
      </c>
      <c r="Q253" s="26" t="str">
        <f aca="false">IF($A253="","",O253+P253)</f>
        <v/>
      </c>
      <c r="R253" s="23" t="str">
        <f aca="false">IF($A253="","",N253-Q253)</f>
        <v/>
      </c>
      <c r="S253" s="24" t="str">
        <f aca="false">IF($A253="","",INDEX(Workers!$O$5:$O$2004,MATCH($A253,Workers!$A$5:$A$2004,0))&amp;"")</f>
        <v/>
      </c>
      <c r="T253" s="24" t="str">
        <f aca="false">IF($A253="","",INDEX(Workers!$P$5:$P$2004,MATCH($A253,Workers!$A$5:$A$2004,0))&amp;"")</f>
        <v/>
      </c>
      <c r="U253" s="24" t="str">
        <f aca="false">IF($A253="","",INDEX(Workers!$H$5:$H$2004,MATCH($A253,Workers!$A$5:$A$2004,0))&amp;"")</f>
        <v/>
      </c>
    </row>
    <row r="254" customFormat="false" ht="15" hidden="false" customHeight="false" outlineLevel="0" collapsed="false">
      <c r="A254" s="24" t="str">
        <f aca="false">IFERROR(INDEX(Workers!$A$5:$A$2004,MATCH(ROW()-4,Workers!$U$5:$U$2004,0)),"")</f>
        <v/>
      </c>
      <c r="B254" s="24" t="str">
        <f aca="false">IF($A254="","",INDEX(Workers!$B$5:$B$2004,MATCH($A254,Workers!$A$5:$A$2004,0)))</f>
        <v/>
      </c>
      <c r="C254" s="24" t="str">
        <f aca="false">IF($A254="","",INDEX(Workers!$E$5:$E$2004,MATCH($A254,Workers!$A$5:$A$2004,0)))</f>
        <v/>
      </c>
      <c r="D254" s="24" t="str">
        <f aca="false">IF($A254="","",INDEX(Workers!$K$5:$K$2004,MATCH($A254,Workers!$A$5:$A$2004,0)))</f>
        <v/>
      </c>
      <c r="E254" s="25" t="str">
        <f aca="false">IF($A254="","",SUMIFS(Timesheet!$E$5:$E$3004,Timesheet!$D$5:$D$3004,$A254,Timesheet!$A$5:$A$3004,"&gt;="&amp;Settings!$B$8,Timesheet!$A$5:$A$3004,"&lt;="&amp;Settings!$B$9))</f>
        <v/>
      </c>
      <c r="F254" s="25" t="str">
        <f aca="false">IF($A254="","",SUMIFS(Timesheet!$F$5:$F$3004,Timesheet!$D$5:$D$3004,$A254,Timesheet!$A$5:$A$3004,"&gt;="&amp;Settings!$B$8,Timesheet!$A$5:$A$3004,"&lt;="&amp;Settings!$B$9))</f>
        <v/>
      </c>
      <c r="G254" s="25" t="str">
        <f aca="false">IF($A254="","",SUMIFS(Timesheet!$G$5:$G$3004,Timesheet!$D$5:$D$3004,$A254,Timesheet!$A$5:$A$3004,"&gt;="&amp;Settings!$B$8,Timesheet!$A$5:$A$3004,"&lt;="&amp;Settings!$B$9))</f>
        <v/>
      </c>
      <c r="H254" s="25" t="str">
        <f aca="false">IF($A254="","",IF(D254="Monthly",MAX(0,Settings!$B$11-E254),0))</f>
        <v/>
      </c>
      <c r="I254" s="26" t="str">
        <f aca="false">IF($A254="","",N(INDEX(Workers!$L$5:$L$2004,MATCH($A254,Workers!$A$5:$A$2004,0))))</f>
        <v/>
      </c>
      <c r="J254" s="26" t="str">
        <f aca="false">IF($A254="","",N(INDEX(Workers!$M$5:$M$2004,MATCH($A254,Workers!$A$5:$A$2004,0))))</f>
        <v/>
      </c>
      <c r="K254" s="26" t="str">
        <f aca="false">IF($A254="","",IF(D254="Monthly",ROUND(MAX(0,(I254+J254)-(I254+J254)/Settings!$B$10*H254),2),0))</f>
        <v/>
      </c>
      <c r="L254" s="26" t="str">
        <f aca="false">IF($A254="","",IF(D254="Hourly",ROUND(F254*N(INDEX(Workers!$N$5:$N$2004,MATCH($A254,Workers!$A$5:$A$2004,0))),2),0))</f>
        <v/>
      </c>
      <c r="M254" s="26" t="str">
        <f aca="false">IF($A254="","",ROUND(G254*IF(D254="Hourly",N(INDEX(Workers!$N$5:$N$2004,MATCH($A254,Workers!$A$5:$A$2004,0))),I254/Settings!$B$10/Settings!$B$12)*Settings!$B$13,2))</f>
        <v/>
      </c>
      <c r="N254" s="26" t="str">
        <f aca="false">IF($A254="","",K254+L254+M254)</f>
        <v/>
      </c>
      <c r="O254" s="26" t="str">
        <f aca="false">IF($A254="","",SUMIFS(Deductions!$D$5:$D$2000,Deductions!$B$5:$B$2000,$A254,Deductions!$C$5:$C$2000,"Advance",Deductions!$E$5:$E$2000,"&gt;="&amp;Settings!$B$8,Deductions!$E$5:$E$2000,"&lt;="&amp;Settings!$B$9))</f>
        <v/>
      </c>
      <c r="P254" s="26" t="str">
        <f aca="false">IF($A254="","",SUMIFS(Deductions!$D$5:$D$2000,Deductions!$B$5:$B$2000,$A254,Deductions!$E$5:$E$2000,"&gt;="&amp;Settings!$B$8,Deductions!$E$5:$E$2000,"&lt;="&amp;Settings!$B$9)-O254)</f>
        <v/>
      </c>
      <c r="Q254" s="26" t="str">
        <f aca="false">IF($A254="","",O254+P254)</f>
        <v/>
      </c>
      <c r="R254" s="23" t="str">
        <f aca="false">IF($A254="","",N254-Q254)</f>
        <v/>
      </c>
      <c r="S254" s="24" t="str">
        <f aca="false">IF($A254="","",INDEX(Workers!$O$5:$O$2004,MATCH($A254,Workers!$A$5:$A$2004,0))&amp;"")</f>
        <v/>
      </c>
      <c r="T254" s="24" t="str">
        <f aca="false">IF($A254="","",INDEX(Workers!$P$5:$P$2004,MATCH($A254,Workers!$A$5:$A$2004,0))&amp;"")</f>
        <v/>
      </c>
      <c r="U254" s="24" t="str">
        <f aca="false">IF($A254="","",INDEX(Workers!$H$5:$H$2004,MATCH($A254,Workers!$A$5:$A$2004,0))&amp;"")</f>
        <v/>
      </c>
    </row>
    <row r="255" customFormat="false" ht="15" hidden="false" customHeight="false" outlineLevel="0" collapsed="false">
      <c r="A255" s="24" t="str">
        <f aca="false">IFERROR(INDEX(Workers!$A$5:$A$2004,MATCH(ROW()-4,Workers!$U$5:$U$2004,0)),"")</f>
        <v/>
      </c>
      <c r="B255" s="24" t="str">
        <f aca="false">IF($A255="","",INDEX(Workers!$B$5:$B$2004,MATCH($A255,Workers!$A$5:$A$2004,0)))</f>
        <v/>
      </c>
      <c r="C255" s="24" t="str">
        <f aca="false">IF($A255="","",INDEX(Workers!$E$5:$E$2004,MATCH($A255,Workers!$A$5:$A$2004,0)))</f>
        <v/>
      </c>
      <c r="D255" s="24" t="str">
        <f aca="false">IF($A255="","",INDEX(Workers!$K$5:$K$2004,MATCH($A255,Workers!$A$5:$A$2004,0)))</f>
        <v/>
      </c>
      <c r="E255" s="25" t="str">
        <f aca="false">IF($A255="","",SUMIFS(Timesheet!$E$5:$E$3004,Timesheet!$D$5:$D$3004,$A255,Timesheet!$A$5:$A$3004,"&gt;="&amp;Settings!$B$8,Timesheet!$A$5:$A$3004,"&lt;="&amp;Settings!$B$9))</f>
        <v/>
      </c>
      <c r="F255" s="25" t="str">
        <f aca="false">IF($A255="","",SUMIFS(Timesheet!$F$5:$F$3004,Timesheet!$D$5:$D$3004,$A255,Timesheet!$A$5:$A$3004,"&gt;="&amp;Settings!$B$8,Timesheet!$A$5:$A$3004,"&lt;="&amp;Settings!$B$9))</f>
        <v/>
      </c>
      <c r="G255" s="25" t="str">
        <f aca="false">IF($A255="","",SUMIFS(Timesheet!$G$5:$G$3004,Timesheet!$D$5:$D$3004,$A255,Timesheet!$A$5:$A$3004,"&gt;="&amp;Settings!$B$8,Timesheet!$A$5:$A$3004,"&lt;="&amp;Settings!$B$9))</f>
        <v/>
      </c>
      <c r="H255" s="25" t="str">
        <f aca="false">IF($A255="","",IF(D255="Monthly",MAX(0,Settings!$B$11-E255),0))</f>
        <v/>
      </c>
      <c r="I255" s="26" t="str">
        <f aca="false">IF($A255="","",N(INDEX(Workers!$L$5:$L$2004,MATCH($A255,Workers!$A$5:$A$2004,0))))</f>
        <v/>
      </c>
      <c r="J255" s="26" t="str">
        <f aca="false">IF($A255="","",N(INDEX(Workers!$M$5:$M$2004,MATCH($A255,Workers!$A$5:$A$2004,0))))</f>
        <v/>
      </c>
      <c r="K255" s="26" t="str">
        <f aca="false">IF($A255="","",IF(D255="Monthly",ROUND(MAX(0,(I255+J255)-(I255+J255)/Settings!$B$10*H255),2),0))</f>
        <v/>
      </c>
      <c r="L255" s="26" t="str">
        <f aca="false">IF($A255="","",IF(D255="Hourly",ROUND(F255*N(INDEX(Workers!$N$5:$N$2004,MATCH($A255,Workers!$A$5:$A$2004,0))),2),0))</f>
        <v/>
      </c>
      <c r="M255" s="26" t="str">
        <f aca="false">IF($A255="","",ROUND(G255*IF(D255="Hourly",N(INDEX(Workers!$N$5:$N$2004,MATCH($A255,Workers!$A$5:$A$2004,0))),I255/Settings!$B$10/Settings!$B$12)*Settings!$B$13,2))</f>
        <v/>
      </c>
      <c r="N255" s="26" t="str">
        <f aca="false">IF($A255="","",K255+L255+M255)</f>
        <v/>
      </c>
      <c r="O255" s="26" t="str">
        <f aca="false">IF($A255="","",SUMIFS(Deductions!$D$5:$D$2000,Deductions!$B$5:$B$2000,$A255,Deductions!$C$5:$C$2000,"Advance",Deductions!$E$5:$E$2000,"&gt;="&amp;Settings!$B$8,Deductions!$E$5:$E$2000,"&lt;="&amp;Settings!$B$9))</f>
        <v/>
      </c>
      <c r="P255" s="26" t="str">
        <f aca="false">IF($A255="","",SUMIFS(Deductions!$D$5:$D$2000,Deductions!$B$5:$B$2000,$A255,Deductions!$E$5:$E$2000,"&gt;="&amp;Settings!$B$8,Deductions!$E$5:$E$2000,"&lt;="&amp;Settings!$B$9)-O255)</f>
        <v/>
      </c>
      <c r="Q255" s="26" t="str">
        <f aca="false">IF($A255="","",O255+P255)</f>
        <v/>
      </c>
      <c r="R255" s="23" t="str">
        <f aca="false">IF($A255="","",N255-Q255)</f>
        <v/>
      </c>
      <c r="S255" s="24" t="str">
        <f aca="false">IF($A255="","",INDEX(Workers!$O$5:$O$2004,MATCH($A255,Workers!$A$5:$A$2004,0))&amp;"")</f>
        <v/>
      </c>
      <c r="T255" s="24" t="str">
        <f aca="false">IF($A255="","",INDEX(Workers!$P$5:$P$2004,MATCH($A255,Workers!$A$5:$A$2004,0))&amp;"")</f>
        <v/>
      </c>
      <c r="U255" s="24" t="str">
        <f aca="false">IF($A255="","",INDEX(Workers!$H$5:$H$2004,MATCH($A255,Workers!$A$5:$A$2004,0))&amp;"")</f>
        <v/>
      </c>
    </row>
    <row r="256" customFormat="false" ht="15" hidden="false" customHeight="false" outlineLevel="0" collapsed="false">
      <c r="A256" s="24" t="str">
        <f aca="false">IFERROR(INDEX(Workers!$A$5:$A$2004,MATCH(ROW()-4,Workers!$U$5:$U$2004,0)),"")</f>
        <v/>
      </c>
      <c r="B256" s="24" t="str">
        <f aca="false">IF($A256="","",INDEX(Workers!$B$5:$B$2004,MATCH($A256,Workers!$A$5:$A$2004,0)))</f>
        <v/>
      </c>
      <c r="C256" s="24" t="str">
        <f aca="false">IF($A256="","",INDEX(Workers!$E$5:$E$2004,MATCH($A256,Workers!$A$5:$A$2004,0)))</f>
        <v/>
      </c>
      <c r="D256" s="24" t="str">
        <f aca="false">IF($A256="","",INDEX(Workers!$K$5:$K$2004,MATCH($A256,Workers!$A$5:$A$2004,0)))</f>
        <v/>
      </c>
      <c r="E256" s="25" t="str">
        <f aca="false">IF($A256="","",SUMIFS(Timesheet!$E$5:$E$3004,Timesheet!$D$5:$D$3004,$A256,Timesheet!$A$5:$A$3004,"&gt;="&amp;Settings!$B$8,Timesheet!$A$5:$A$3004,"&lt;="&amp;Settings!$B$9))</f>
        <v/>
      </c>
      <c r="F256" s="25" t="str">
        <f aca="false">IF($A256="","",SUMIFS(Timesheet!$F$5:$F$3004,Timesheet!$D$5:$D$3004,$A256,Timesheet!$A$5:$A$3004,"&gt;="&amp;Settings!$B$8,Timesheet!$A$5:$A$3004,"&lt;="&amp;Settings!$B$9))</f>
        <v/>
      </c>
      <c r="G256" s="25" t="str">
        <f aca="false">IF($A256="","",SUMIFS(Timesheet!$G$5:$G$3004,Timesheet!$D$5:$D$3004,$A256,Timesheet!$A$5:$A$3004,"&gt;="&amp;Settings!$B$8,Timesheet!$A$5:$A$3004,"&lt;="&amp;Settings!$B$9))</f>
        <v/>
      </c>
      <c r="H256" s="25" t="str">
        <f aca="false">IF($A256="","",IF(D256="Monthly",MAX(0,Settings!$B$11-E256),0))</f>
        <v/>
      </c>
      <c r="I256" s="26" t="str">
        <f aca="false">IF($A256="","",N(INDEX(Workers!$L$5:$L$2004,MATCH($A256,Workers!$A$5:$A$2004,0))))</f>
        <v/>
      </c>
      <c r="J256" s="26" t="str">
        <f aca="false">IF($A256="","",N(INDEX(Workers!$M$5:$M$2004,MATCH($A256,Workers!$A$5:$A$2004,0))))</f>
        <v/>
      </c>
      <c r="K256" s="26" t="str">
        <f aca="false">IF($A256="","",IF(D256="Monthly",ROUND(MAX(0,(I256+J256)-(I256+J256)/Settings!$B$10*H256),2),0))</f>
        <v/>
      </c>
      <c r="L256" s="26" t="str">
        <f aca="false">IF($A256="","",IF(D256="Hourly",ROUND(F256*N(INDEX(Workers!$N$5:$N$2004,MATCH($A256,Workers!$A$5:$A$2004,0))),2),0))</f>
        <v/>
      </c>
      <c r="M256" s="26" t="str">
        <f aca="false">IF($A256="","",ROUND(G256*IF(D256="Hourly",N(INDEX(Workers!$N$5:$N$2004,MATCH($A256,Workers!$A$5:$A$2004,0))),I256/Settings!$B$10/Settings!$B$12)*Settings!$B$13,2))</f>
        <v/>
      </c>
      <c r="N256" s="26" t="str">
        <f aca="false">IF($A256="","",K256+L256+M256)</f>
        <v/>
      </c>
      <c r="O256" s="26" t="str">
        <f aca="false">IF($A256="","",SUMIFS(Deductions!$D$5:$D$2000,Deductions!$B$5:$B$2000,$A256,Deductions!$C$5:$C$2000,"Advance",Deductions!$E$5:$E$2000,"&gt;="&amp;Settings!$B$8,Deductions!$E$5:$E$2000,"&lt;="&amp;Settings!$B$9))</f>
        <v/>
      </c>
      <c r="P256" s="26" t="str">
        <f aca="false">IF($A256="","",SUMIFS(Deductions!$D$5:$D$2000,Deductions!$B$5:$B$2000,$A256,Deductions!$E$5:$E$2000,"&gt;="&amp;Settings!$B$8,Deductions!$E$5:$E$2000,"&lt;="&amp;Settings!$B$9)-O256)</f>
        <v/>
      </c>
      <c r="Q256" s="26" t="str">
        <f aca="false">IF($A256="","",O256+P256)</f>
        <v/>
      </c>
      <c r="R256" s="23" t="str">
        <f aca="false">IF($A256="","",N256-Q256)</f>
        <v/>
      </c>
      <c r="S256" s="24" t="str">
        <f aca="false">IF($A256="","",INDEX(Workers!$O$5:$O$2004,MATCH($A256,Workers!$A$5:$A$2004,0))&amp;"")</f>
        <v/>
      </c>
      <c r="T256" s="24" t="str">
        <f aca="false">IF($A256="","",INDEX(Workers!$P$5:$P$2004,MATCH($A256,Workers!$A$5:$A$2004,0))&amp;"")</f>
        <v/>
      </c>
      <c r="U256" s="24" t="str">
        <f aca="false">IF($A256="","",INDEX(Workers!$H$5:$H$2004,MATCH($A256,Workers!$A$5:$A$2004,0))&amp;"")</f>
        <v/>
      </c>
    </row>
    <row r="257" customFormat="false" ht="15" hidden="false" customHeight="false" outlineLevel="0" collapsed="false">
      <c r="A257" s="24" t="str">
        <f aca="false">IFERROR(INDEX(Workers!$A$5:$A$2004,MATCH(ROW()-4,Workers!$U$5:$U$2004,0)),"")</f>
        <v/>
      </c>
      <c r="B257" s="24" t="str">
        <f aca="false">IF($A257="","",INDEX(Workers!$B$5:$B$2004,MATCH($A257,Workers!$A$5:$A$2004,0)))</f>
        <v/>
      </c>
      <c r="C257" s="24" t="str">
        <f aca="false">IF($A257="","",INDEX(Workers!$E$5:$E$2004,MATCH($A257,Workers!$A$5:$A$2004,0)))</f>
        <v/>
      </c>
      <c r="D257" s="24" t="str">
        <f aca="false">IF($A257="","",INDEX(Workers!$K$5:$K$2004,MATCH($A257,Workers!$A$5:$A$2004,0)))</f>
        <v/>
      </c>
      <c r="E257" s="25" t="str">
        <f aca="false">IF($A257="","",SUMIFS(Timesheet!$E$5:$E$3004,Timesheet!$D$5:$D$3004,$A257,Timesheet!$A$5:$A$3004,"&gt;="&amp;Settings!$B$8,Timesheet!$A$5:$A$3004,"&lt;="&amp;Settings!$B$9))</f>
        <v/>
      </c>
      <c r="F257" s="25" t="str">
        <f aca="false">IF($A257="","",SUMIFS(Timesheet!$F$5:$F$3004,Timesheet!$D$5:$D$3004,$A257,Timesheet!$A$5:$A$3004,"&gt;="&amp;Settings!$B$8,Timesheet!$A$5:$A$3004,"&lt;="&amp;Settings!$B$9))</f>
        <v/>
      </c>
      <c r="G257" s="25" t="str">
        <f aca="false">IF($A257="","",SUMIFS(Timesheet!$G$5:$G$3004,Timesheet!$D$5:$D$3004,$A257,Timesheet!$A$5:$A$3004,"&gt;="&amp;Settings!$B$8,Timesheet!$A$5:$A$3004,"&lt;="&amp;Settings!$B$9))</f>
        <v/>
      </c>
      <c r="H257" s="25" t="str">
        <f aca="false">IF($A257="","",IF(D257="Monthly",MAX(0,Settings!$B$11-E257),0))</f>
        <v/>
      </c>
      <c r="I257" s="26" t="str">
        <f aca="false">IF($A257="","",N(INDEX(Workers!$L$5:$L$2004,MATCH($A257,Workers!$A$5:$A$2004,0))))</f>
        <v/>
      </c>
      <c r="J257" s="26" t="str">
        <f aca="false">IF($A257="","",N(INDEX(Workers!$M$5:$M$2004,MATCH($A257,Workers!$A$5:$A$2004,0))))</f>
        <v/>
      </c>
      <c r="K257" s="26" t="str">
        <f aca="false">IF($A257="","",IF(D257="Monthly",ROUND(MAX(0,(I257+J257)-(I257+J257)/Settings!$B$10*H257),2),0))</f>
        <v/>
      </c>
      <c r="L257" s="26" t="str">
        <f aca="false">IF($A257="","",IF(D257="Hourly",ROUND(F257*N(INDEX(Workers!$N$5:$N$2004,MATCH($A257,Workers!$A$5:$A$2004,0))),2),0))</f>
        <v/>
      </c>
      <c r="M257" s="26" t="str">
        <f aca="false">IF($A257="","",ROUND(G257*IF(D257="Hourly",N(INDEX(Workers!$N$5:$N$2004,MATCH($A257,Workers!$A$5:$A$2004,0))),I257/Settings!$B$10/Settings!$B$12)*Settings!$B$13,2))</f>
        <v/>
      </c>
      <c r="N257" s="26" t="str">
        <f aca="false">IF($A257="","",K257+L257+M257)</f>
        <v/>
      </c>
      <c r="O257" s="26" t="str">
        <f aca="false">IF($A257="","",SUMIFS(Deductions!$D$5:$D$2000,Deductions!$B$5:$B$2000,$A257,Deductions!$C$5:$C$2000,"Advance",Deductions!$E$5:$E$2000,"&gt;="&amp;Settings!$B$8,Deductions!$E$5:$E$2000,"&lt;="&amp;Settings!$B$9))</f>
        <v/>
      </c>
      <c r="P257" s="26" t="str">
        <f aca="false">IF($A257="","",SUMIFS(Deductions!$D$5:$D$2000,Deductions!$B$5:$B$2000,$A257,Deductions!$E$5:$E$2000,"&gt;="&amp;Settings!$B$8,Deductions!$E$5:$E$2000,"&lt;="&amp;Settings!$B$9)-O257)</f>
        <v/>
      </c>
      <c r="Q257" s="26" t="str">
        <f aca="false">IF($A257="","",O257+P257)</f>
        <v/>
      </c>
      <c r="R257" s="23" t="str">
        <f aca="false">IF($A257="","",N257-Q257)</f>
        <v/>
      </c>
      <c r="S257" s="24" t="str">
        <f aca="false">IF($A257="","",INDEX(Workers!$O$5:$O$2004,MATCH($A257,Workers!$A$5:$A$2004,0))&amp;"")</f>
        <v/>
      </c>
      <c r="T257" s="24" t="str">
        <f aca="false">IF($A257="","",INDEX(Workers!$P$5:$P$2004,MATCH($A257,Workers!$A$5:$A$2004,0))&amp;"")</f>
        <v/>
      </c>
      <c r="U257" s="24" t="str">
        <f aca="false">IF($A257="","",INDEX(Workers!$H$5:$H$2004,MATCH($A257,Workers!$A$5:$A$2004,0))&amp;"")</f>
        <v/>
      </c>
    </row>
    <row r="258" customFormat="false" ht="15" hidden="false" customHeight="false" outlineLevel="0" collapsed="false">
      <c r="A258" s="24" t="str">
        <f aca="false">IFERROR(INDEX(Workers!$A$5:$A$2004,MATCH(ROW()-4,Workers!$U$5:$U$2004,0)),"")</f>
        <v/>
      </c>
      <c r="B258" s="24" t="str">
        <f aca="false">IF($A258="","",INDEX(Workers!$B$5:$B$2004,MATCH($A258,Workers!$A$5:$A$2004,0)))</f>
        <v/>
      </c>
      <c r="C258" s="24" t="str">
        <f aca="false">IF($A258="","",INDEX(Workers!$E$5:$E$2004,MATCH($A258,Workers!$A$5:$A$2004,0)))</f>
        <v/>
      </c>
      <c r="D258" s="24" t="str">
        <f aca="false">IF($A258="","",INDEX(Workers!$K$5:$K$2004,MATCH($A258,Workers!$A$5:$A$2004,0)))</f>
        <v/>
      </c>
      <c r="E258" s="25" t="str">
        <f aca="false">IF($A258="","",SUMIFS(Timesheet!$E$5:$E$3004,Timesheet!$D$5:$D$3004,$A258,Timesheet!$A$5:$A$3004,"&gt;="&amp;Settings!$B$8,Timesheet!$A$5:$A$3004,"&lt;="&amp;Settings!$B$9))</f>
        <v/>
      </c>
      <c r="F258" s="25" t="str">
        <f aca="false">IF($A258="","",SUMIFS(Timesheet!$F$5:$F$3004,Timesheet!$D$5:$D$3004,$A258,Timesheet!$A$5:$A$3004,"&gt;="&amp;Settings!$B$8,Timesheet!$A$5:$A$3004,"&lt;="&amp;Settings!$B$9))</f>
        <v/>
      </c>
      <c r="G258" s="25" t="str">
        <f aca="false">IF($A258="","",SUMIFS(Timesheet!$G$5:$G$3004,Timesheet!$D$5:$D$3004,$A258,Timesheet!$A$5:$A$3004,"&gt;="&amp;Settings!$B$8,Timesheet!$A$5:$A$3004,"&lt;="&amp;Settings!$B$9))</f>
        <v/>
      </c>
      <c r="H258" s="25" t="str">
        <f aca="false">IF($A258="","",IF(D258="Monthly",MAX(0,Settings!$B$11-E258),0))</f>
        <v/>
      </c>
      <c r="I258" s="26" t="str">
        <f aca="false">IF($A258="","",N(INDEX(Workers!$L$5:$L$2004,MATCH($A258,Workers!$A$5:$A$2004,0))))</f>
        <v/>
      </c>
      <c r="J258" s="26" t="str">
        <f aca="false">IF($A258="","",N(INDEX(Workers!$M$5:$M$2004,MATCH($A258,Workers!$A$5:$A$2004,0))))</f>
        <v/>
      </c>
      <c r="K258" s="26" t="str">
        <f aca="false">IF($A258="","",IF(D258="Monthly",ROUND(MAX(0,(I258+J258)-(I258+J258)/Settings!$B$10*H258),2),0))</f>
        <v/>
      </c>
      <c r="L258" s="26" t="str">
        <f aca="false">IF($A258="","",IF(D258="Hourly",ROUND(F258*N(INDEX(Workers!$N$5:$N$2004,MATCH($A258,Workers!$A$5:$A$2004,0))),2),0))</f>
        <v/>
      </c>
      <c r="M258" s="26" t="str">
        <f aca="false">IF($A258="","",ROUND(G258*IF(D258="Hourly",N(INDEX(Workers!$N$5:$N$2004,MATCH($A258,Workers!$A$5:$A$2004,0))),I258/Settings!$B$10/Settings!$B$12)*Settings!$B$13,2))</f>
        <v/>
      </c>
      <c r="N258" s="26" t="str">
        <f aca="false">IF($A258="","",K258+L258+M258)</f>
        <v/>
      </c>
      <c r="O258" s="26" t="str">
        <f aca="false">IF($A258="","",SUMIFS(Deductions!$D$5:$D$2000,Deductions!$B$5:$B$2000,$A258,Deductions!$C$5:$C$2000,"Advance",Deductions!$E$5:$E$2000,"&gt;="&amp;Settings!$B$8,Deductions!$E$5:$E$2000,"&lt;="&amp;Settings!$B$9))</f>
        <v/>
      </c>
      <c r="P258" s="26" t="str">
        <f aca="false">IF($A258="","",SUMIFS(Deductions!$D$5:$D$2000,Deductions!$B$5:$B$2000,$A258,Deductions!$E$5:$E$2000,"&gt;="&amp;Settings!$B$8,Deductions!$E$5:$E$2000,"&lt;="&amp;Settings!$B$9)-O258)</f>
        <v/>
      </c>
      <c r="Q258" s="26" t="str">
        <f aca="false">IF($A258="","",O258+P258)</f>
        <v/>
      </c>
      <c r="R258" s="23" t="str">
        <f aca="false">IF($A258="","",N258-Q258)</f>
        <v/>
      </c>
      <c r="S258" s="24" t="str">
        <f aca="false">IF($A258="","",INDEX(Workers!$O$5:$O$2004,MATCH($A258,Workers!$A$5:$A$2004,0))&amp;"")</f>
        <v/>
      </c>
      <c r="T258" s="24" t="str">
        <f aca="false">IF($A258="","",INDEX(Workers!$P$5:$P$2004,MATCH($A258,Workers!$A$5:$A$2004,0))&amp;"")</f>
        <v/>
      </c>
      <c r="U258" s="24" t="str">
        <f aca="false">IF($A258="","",INDEX(Workers!$H$5:$H$2004,MATCH($A258,Workers!$A$5:$A$2004,0))&amp;"")</f>
        <v/>
      </c>
    </row>
    <row r="259" customFormat="false" ht="15" hidden="false" customHeight="false" outlineLevel="0" collapsed="false">
      <c r="A259" s="24" t="str">
        <f aca="false">IFERROR(INDEX(Workers!$A$5:$A$2004,MATCH(ROW()-4,Workers!$U$5:$U$2004,0)),"")</f>
        <v/>
      </c>
      <c r="B259" s="24" t="str">
        <f aca="false">IF($A259="","",INDEX(Workers!$B$5:$B$2004,MATCH($A259,Workers!$A$5:$A$2004,0)))</f>
        <v/>
      </c>
      <c r="C259" s="24" t="str">
        <f aca="false">IF($A259="","",INDEX(Workers!$E$5:$E$2004,MATCH($A259,Workers!$A$5:$A$2004,0)))</f>
        <v/>
      </c>
      <c r="D259" s="24" t="str">
        <f aca="false">IF($A259="","",INDEX(Workers!$K$5:$K$2004,MATCH($A259,Workers!$A$5:$A$2004,0)))</f>
        <v/>
      </c>
      <c r="E259" s="25" t="str">
        <f aca="false">IF($A259="","",SUMIFS(Timesheet!$E$5:$E$3004,Timesheet!$D$5:$D$3004,$A259,Timesheet!$A$5:$A$3004,"&gt;="&amp;Settings!$B$8,Timesheet!$A$5:$A$3004,"&lt;="&amp;Settings!$B$9))</f>
        <v/>
      </c>
      <c r="F259" s="25" t="str">
        <f aca="false">IF($A259="","",SUMIFS(Timesheet!$F$5:$F$3004,Timesheet!$D$5:$D$3004,$A259,Timesheet!$A$5:$A$3004,"&gt;="&amp;Settings!$B$8,Timesheet!$A$5:$A$3004,"&lt;="&amp;Settings!$B$9))</f>
        <v/>
      </c>
      <c r="G259" s="25" t="str">
        <f aca="false">IF($A259="","",SUMIFS(Timesheet!$G$5:$G$3004,Timesheet!$D$5:$D$3004,$A259,Timesheet!$A$5:$A$3004,"&gt;="&amp;Settings!$B$8,Timesheet!$A$5:$A$3004,"&lt;="&amp;Settings!$B$9))</f>
        <v/>
      </c>
      <c r="H259" s="25" t="str">
        <f aca="false">IF($A259="","",IF(D259="Monthly",MAX(0,Settings!$B$11-E259),0))</f>
        <v/>
      </c>
      <c r="I259" s="26" t="str">
        <f aca="false">IF($A259="","",N(INDEX(Workers!$L$5:$L$2004,MATCH($A259,Workers!$A$5:$A$2004,0))))</f>
        <v/>
      </c>
      <c r="J259" s="26" t="str">
        <f aca="false">IF($A259="","",N(INDEX(Workers!$M$5:$M$2004,MATCH($A259,Workers!$A$5:$A$2004,0))))</f>
        <v/>
      </c>
      <c r="K259" s="26" t="str">
        <f aca="false">IF($A259="","",IF(D259="Monthly",ROUND(MAX(0,(I259+J259)-(I259+J259)/Settings!$B$10*H259),2),0))</f>
        <v/>
      </c>
      <c r="L259" s="26" t="str">
        <f aca="false">IF($A259="","",IF(D259="Hourly",ROUND(F259*N(INDEX(Workers!$N$5:$N$2004,MATCH($A259,Workers!$A$5:$A$2004,0))),2),0))</f>
        <v/>
      </c>
      <c r="M259" s="26" t="str">
        <f aca="false">IF($A259="","",ROUND(G259*IF(D259="Hourly",N(INDEX(Workers!$N$5:$N$2004,MATCH($A259,Workers!$A$5:$A$2004,0))),I259/Settings!$B$10/Settings!$B$12)*Settings!$B$13,2))</f>
        <v/>
      </c>
      <c r="N259" s="26" t="str">
        <f aca="false">IF($A259="","",K259+L259+M259)</f>
        <v/>
      </c>
      <c r="O259" s="26" t="str">
        <f aca="false">IF($A259="","",SUMIFS(Deductions!$D$5:$D$2000,Deductions!$B$5:$B$2000,$A259,Deductions!$C$5:$C$2000,"Advance",Deductions!$E$5:$E$2000,"&gt;="&amp;Settings!$B$8,Deductions!$E$5:$E$2000,"&lt;="&amp;Settings!$B$9))</f>
        <v/>
      </c>
      <c r="P259" s="26" t="str">
        <f aca="false">IF($A259="","",SUMIFS(Deductions!$D$5:$D$2000,Deductions!$B$5:$B$2000,$A259,Deductions!$E$5:$E$2000,"&gt;="&amp;Settings!$B$8,Deductions!$E$5:$E$2000,"&lt;="&amp;Settings!$B$9)-O259)</f>
        <v/>
      </c>
      <c r="Q259" s="26" t="str">
        <f aca="false">IF($A259="","",O259+P259)</f>
        <v/>
      </c>
      <c r="R259" s="23" t="str">
        <f aca="false">IF($A259="","",N259-Q259)</f>
        <v/>
      </c>
      <c r="S259" s="24" t="str">
        <f aca="false">IF($A259="","",INDEX(Workers!$O$5:$O$2004,MATCH($A259,Workers!$A$5:$A$2004,0))&amp;"")</f>
        <v/>
      </c>
      <c r="T259" s="24" t="str">
        <f aca="false">IF($A259="","",INDEX(Workers!$P$5:$P$2004,MATCH($A259,Workers!$A$5:$A$2004,0))&amp;"")</f>
        <v/>
      </c>
      <c r="U259" s="24" t="str">
        <f aca="false">IF($A259="","",INDEX(Workers!$H$5:$H$2004,MATCH($A259,Workers!$A$5:$A$2004,0))&amp;"")</f>
        <v/>
      </c>
    </row>
    <row r="260" customFormat="false" ht="15" hidden="false" customHeight="false" outlineLevel="0" collapsed="false">
      <c r="A260" s="24" t="str">
        <f aca="false">IFERROR(INDEX(Workers!$A$5:$A$2004,MATCH(ROW()-4,Workers!$U$5:$U$2004,0)),"")</f>
        <v/>
      </c>
      <c r="B260" s="24" t="str">
        <f aca="false">IF($A260="","",INDEX(Workers!$B$5:$B$2004,MATCH($A260,Workers!$A$5:$A$2004,0)))</f>
        <v/>
      </c>
      <c r="C260" s="24" t="str">
        <f aca="false">IF($A260="","",INDEX(Workers!$E$5:$E$2004,MATCH($A260,Workers!$A$5:$A$2004,0)))</f>
        <v/>
      </c>
      <c r="D260" s="24" t="str">
        <f aca="false">IF($A260="","",INDEX(Workers!$K$5:$K$2004,MATCH($A260,Workers!$A$5:$A$2004,0)))</f>
        <v/>
      </c>
      <c r="E260" s="25" t="str">
        <f aca="false">IF($A260="","",SUMIFS(Timesheet!$E$5:$E$3004,Timesheet!$D$5:$D$3004,$A260,Timesheet!$A$5:$A$3004,"&gt;="&amp;Settings!$B$8,Timesheet!$A$5:$A$3004,"&lt;="&amp;Settings!$B$9))</f>
        <v/>
      </c>
      <c r="F260" s="25" t="str">
        <f aca="false">IF($A260="","",SUMIFS(Timesheet!$F$5:$F$3004,Timesheet!$D$5:$D$3004,$A260,Timesheet!$A$5:$A$3004,"&gt;="&amp;Settings!$B$8,Timesheet!$A$5:$A$3004,"&lt;="&amp;Settings!$B$9))</f>
        <v/>
      </c>
      <c r="G260" s="25" t="str">
        <f aca="false">IF($A260="","",SUMIFS(Timesheet!$G$5:$G$3004,Timesheet!$D$5:$D$3004,$A260,Timesheet!$A$5:$A$3004,"&gt;="&amp;Settings!$B$8,Timesheet!$A$5:$A$3004,"&lt;="&amp;Settings!$B$9))</f>
        <v/>
      </c>
      <c r="H260" s="25" t="str">
        <f aca="false">IF($A260="","",IF(D260="Monthly",MAX(0,Settings!$B$11-E260),0))</f>
        <v/>
      </c>
      <c r="I260" s="26" t="str">
        <f aca="false">IF($A260="","",N(INDEX(Workers!$L$5:$L$2004,MATCH($A260,Workers!$A$5:$A$2004,0))))</f>
        <v/>
      </c>
      <c r="J260" s="26" t="str">
        <f aca="false">IF($A260="","",N(INDEX(Workers!$M$5:$M$2004,MATCH($A260,Workers!$A$5:$A$2004,0))))</f>
        <v/>
      </c>
      <c r="K260" s="26" t="str">
        <f aca="false">IF($A260="","",IF(D260="Monthly",ROUND(MAX(0,(I260+J260)-(I260+J260)/Settings!$B$10*H260),2),0))</f>
        <v/>
      </c>
      <c r="L260" s="26" t="str">
        <f aca="false">IF($A260="","",IF(D260="Hourly",ROUND(F260*N(INDEX(Workers!$N$5:$N$2004,MATCH($A260,Workers!$A$5:$A$2004,0))),2),0))</f>
        <v/>
      </c>
      <c r="M260" s="26" t="str">
        <f aca="false">IF($A260="","",ROUND(G260*IF(D260="Hourly",N(INDEX(Workers!$N$5:$N$2004,MATCH($A260,Workers!$A$5:$A$2004,0))),I260/Settings!$B$10/Settings!$B$12)*Settings!$B$13,2))</f>
        <v/>
      </c>
      <c r="N260" s="26" t="str">
        <f aca="false">IF($A260="","",K260+L260+M260)</f>
        <v/>
      </c>
      <c r="O260" s="26" t="str">
        <f aca="false">IF($A260="","",SUMIFS(Deductions!$D$5:$D$2000,Deductions!$B$5:$B$2000,$A260,Deductions!$C$5:$C$2000,"Advance",Deductions!$E$5:$E$2000,"&gt;="&amp;Settings!$B$8,Deductions!$E$5:$E$2000,"&lt;="&amp;Settings!$B$9))</f>
        <v/>
      </c>
      <c r="P260" s="26" t="str">
        <f aca="false">IF($A260="","",SUMIFS(Deductions!$D$5:$D$2000,Deductions!$B$5:$B$2000,$A260,Deductions!$E$5:$E$2000,"&gt;="&amp;Settings!$B$8,Deductions!$E$5:$E$2000,"&lt;="&amp;Settings!$B$9)-O260)</f>
        <v/>
      </c>
      <c r="Q260" s="26" t="str">
        <f aca="false">IF($A260="","",O260+P260)</f>
        <v/>
      </c>
      <c r="R260" s="23" t="str">
        <f aca="false">IF($A260="","",N260-Q260)</f>
        <v/>
      </c>
      <c r="S260" s="24" t="str">
        <f aca="false">IF($A260="","",INDEX(Workers!$O$5:$O$2004,MATCH($A260,Workers!$A$5:$A$2004,0))&amp;"")</f>
        <v/>
      </c>
      <c r="T260" s="24" t="str">
        <f aca="false">IF($A260="","",INDEX(Workers!$P$5:$P$2004,MATCH($A260,Workers!$A$5:$A$2004,0))&amp;"")</f>
        <v/>
      </c>
      <c r="U260" s="24" t="str">
        <f aca="false">IF($A260="","",INDEX(Workers!$H$5:$H$2004,MATCH($A260,Workers!$A$5:$A$2004,0))&amp;"")</f>
        <v/>
      </c>
    </row>
    <row r="261" customFormat="false" ht="15" hidden="false" customHeight="false" outlineLevel="0" collapsed="false">
      <c r="A261" s="24" t="str">
        <f aca="false">IFERROR(INDEX(Workers!$A$5:$A$2004,MATCH(ROW()-4,Workers!$U$5:$U$2004,0)),"")</f>
        <v/>
      </c>
      <c r="B261" s="24" t="str">
        <f aca="false">IF($A261="","",INDEX(Workers!$B$5:$B$2004,MATCH($A261,Workers!$A$5:$A$2004,0)))</f>
        <v/>
      </c>
      <c r="C261" s="24" t="str">
        <f aca="false">IF($A261="","",INDEX(Workers!$E$5:$E$2004,MATCH($A261,Workers!$A$5:$A$2004,0)))</f>
        <v/>
      </c>
      <c r="D261" s="24" t="str">
        <f aca="false">IF($A261="","",INDEX(Workers!$K$5:$K$2004,MATCH($A261,Workers!$A$5:$A$2004,0)))</f>
        <v/>
      </c>
      <c r="E261" s="25" t="str">
        <f aca="false">IF($A261="","",SUMIFS(Timesheet!$E$5:$E$3004,Timesheet!$D$5:$D$3004,$A261,Timesheet!$A$5:$A$3004,"&gt;="&amp;Settings!$B$8,Timesheet!$A$5:$A$3004,"&lt;="&amp;Settings!$B$9))</f>
        <v/>
      </c>
      <c r="F261" s="25" t="str">
        <f aca="false">IF($A261="","",SUMIFS(Timesheet!$F$5:$F$3004,Timesheet!$D$5:$D$3004,$A261,Timesheet!$A$5:$A$3004,"&gt;="&amp;Settings!$B$8,Timesheet!$A$5:$A$3004,"&lt;="&amp;Settings!$B$9))</f>
        <v/>
      </c>
      <c r="G261" s="25" t="str">
        <f aca="false">IF($A261="","",SUMIFS(Timesheet!$G$5:$G$3004,Timesheet!$D$5:$D$3004,$A261,Timesheet!$A$5:$A$3004,"&gt;="&amp;Settings!$B$8,Timesheet!$A$5:$A$3004,"&lt;="&amp;Settings!$B$9))</f>
        <v/>
      </c>
      <c r="H261" s="25" t="str">
        <f aca="false">IF($A261="","",IF(D261="Monthly",MAX(0,Settings!$B$11-E261),0))</f>
        <v/>
      </c>
      <c r="I261" s="26" t="str">
        <f aca="false">IF($A261="","",N(INDEX(Workers!$L$5:$L$2004,MATCH($A261,Workers!$A$5:$A$2004,0))))</f>
        <v/>
      </c>
      <c r="J261" s="26" t="str">
        <f aca="false">IF($A261="","",N(INDEX(Workers!$M$5:$M$2004,MATCH($A261,Workers!$A$5:$A$2004,0))))</f>
        <v/>
      </c>
      <c r="K261" s="26" t="str">
        <f aca="false">IF($A261="","",IF(D261="Monthly",ROUND(MAX(0,(I261+J261)-(I261+J261)/Settings!$B$10*H261),2),0))</f>
        <v/>
      </c>
      <c r="L261" s="26" t="str">
        <f aca="false">IF($A261="","",IF(D261="Hourly",ROUND(F261*N(INDEX(Workers!$N$5:$N$2004,MATCH($A261,Workers!$A$5:$A$2004,0))),2),0))</f>
        <v/>
      </c>
      <c r="M261" s="26" t="str">
        <f aca="false">IF($A261="","",ROUND(G261*IF(D261="Hourly",N(INDEX(Workers!$N$5:$N$2004,MATCH($A261,Workers!$A$5:$A$2004,0))),I261/Settings!$B$10/Settings!$B$12)*Settings!$B$13,2))</f>
        <v/>
      </c>
      <c r="N261" s="26" t="str">
        <f aca="false">IF($A261="","",K261+L261+M261)</f>
        <v/>
      </c>
      <c r="O261" s="26" t="str">
        <f aca="false">IF($A261="","",SUMIFS(Deductions!$D$5:$D$2000,Deductions!$B$5:$B$2000,$A261,Deductions!$C$5:$C$2000,"Advance",Deductions!$E$5:$E$2000,"&gt;="&amp;Settings!$B$8,Deductions!$E$5:$E$2000,"&lt;="&amp;Settings!$B$9))</f>
        <v/>
      </c>
      <c r="P261" s="26" t="str">
        <f aca="false">IF($A261="","",SUMIFS(Deductions!$D$5:$D$2000,Deductions!$B$5:$B$2000,$A261,Deductions!$E$5:$E$2000,"&gt;="&amp;Settings!$B$8,Deductions!$E$5:$E$2000,"&lt;="&amp;Settings!$B$9)-O261)</f>
        <v/>
      </c>
      <c r="Q261" s="26" t="str">
        <f aca="false">IF($A261="","",O261+P261)</f>
        <v/>
      </c>
      <c r="R261" s="23" t="str">
        <f aca="false">IF($A261="","",N261-Q261)</f>
        <v/>
      </c>
      <c r="S261" s="24" t="str">
        <f aca="false">IF($A261="","",INDEX(Workers!$O$5:$O$2004,MATCH($A261,Workers!$A$5:$A$2004,0))&amp;"")</f>
        <v/>
      </c>
      <c r="T261" s="24" t="str">
        <f aca="false">IF($A261="","",INDEX(Workers!$P$5:$P$2004,MATCH($A261,Workers!$A$5:$A$2004,0))&amp;"")</f>
        <v/>
      </c>
      <c r="U261" s="24" t="str">
        <f aca="false">IF($A261="","",INDEX(Workers!$H$5:$H$2004,MATCH($A261,Workers!$A$5:$A$2004,0))&amp;"")</f>
        <v/>
      </c>
    </row>
    <row r="262" customFormat="false" ht="15" hidden="false" customHeight="false" outlineLevel="0" collapsed="false">
      <c r="A262" s="24" t="str">
        <f aca="false">IFERROR(INDEX(Workers!$A$5:$A$2004,MATCH(ROW()-4,Workers!$U$5:$U$2004,0)),"")</f>
        <v/>
      </c>
      <c r="B262" s="24" t="str">
        <f aca="false">IF($A262="","",INDEX(Workers!$B$5:$B$2004,MATCH($A262,Workers!$A$5:$A$2004,0)))</f>
        <v/>
      </c>
      <c r="C262" s="24" t="str">
        <f aca="false">IF($A262="","",INDEX(Workers!$E$5:$E$2004,MATCH($A262,Workers!$A$5:$A$2004,0)))</f>
        <v/>
      </c>
      <c r="D262" s="24" t="str">
        <f aca="false">IF($A262="","",INDEX(Workers!$K$5:$K$2004,MATCH($A262,Workers!$A$5:$A$2004,0)))</f>
        <v/>
      </c>
      <c r="E262" s="25" t="str">
        <f aca="false">IF($A262="","",SUMIFS(Timesheet!$E$5:$E$3004,Timesheet!$D$5:$D$3004,$A262,Timesheet!$A$5:$A$3004,"&gt;="&amp;Settings!$B$8,Timesheet!$A$5:$A$3004,"&lt;="&amp;Settings!$B$9))</f>
        <v/>
      </c>
      <c r="F262" s="25" t="str">
        <f aca="false">IF($A262="","",SUMIFS(Timesheet!$F$5:$F$3004,Timesheet!$D$5:$D$3004,$A262,Timesheet!$A$5:$A$3004,"&gt;="&amp;Settings!$B$8,Timesheet!$A$5:$A$3004,"&lt;="&amp;Settings!$B$9))</f>
        <v/>
      </c>
      <c r="G262" s="25" t="str">
        <f aca="false">IF($A262="","",SUMIFS(Timesheet!$G$5:$G$3004,Timesheet!$D$5:$D$3004,$A262,Timesheet!$A$5:$A$3004,"&gt;="&amp;Settings!$B$8,Timesheet!$A$5:$A$3004,"&lt;="&amp;Settings!$B$9))</f>
        <v/>
      </c>
      <c r="H262" s="25" t="str">
        <f aca="false">IF($A262="","",IF(D262="Monthly",MAX(0,Settings!$B$11-E262),0))</f>
        <v/>
      </c>
      <c r="I262" s="26" t="str">
        <f aca="false">IF($A262="","",N(INDEX(Workers!$L$5:$L$2004,MATCH($A262,Workers!$A$5:$A$2004,0))))</f>
        <v/>
      </c>
      <c r="J262" s="26" t="str">
        <f aca="false">IF($A262="","",N(INDEX(Workers!$M$5:$M$2004,MATCH($A262,Workers!$A$5:$A$2004,0))))</f>
        <v/>
      </c>
      <c r="K262" s="26" t="str">
        <f aca="false">IF($A262="","",IF(D262="Monthly",ROUND(MAX(0,(I262+J262)-(I262+J262)/Settings!$B$10*H262),2),0))</f>
        <v/>
      </c>
      <c r="L262" s="26" t="str">
        <f aca="false">IF($A262="","",IF(D262="Hourly",ROUND(F262*N(INDEX(Workers!$N$5:$N$2004,MATCH($A262,Workers!$A$5:$A$2004,0))),2),0))</f>
        <v/>
      </c>
      <c r="M262" s="26" t="str">
        <f aca="false">IF($A262="","",ROUND(G262*IF(D262="Hourly",N(INDEX(Workers!$N$5:$N$2004,MATCH($A262,Workers!$A$5:$A$2004,0))),I262/Settings!$B$10/Settings!$B$12)*Settings!$B$13,2))</f>
        <v/>
      </c>
      <c r="N262" s="26" t="str">
        <f aca="false">IF($A262="","",K262+L262+M262)</f>
        <v/>
      </c>
      <c r="O262" s="26" t="str">
        <f aca="false">IF($A262="","",SUMIFS(Deductions!$D$5:$D$2000,Deductions!$B$5:$B$2000,$A262,Deductions!$C$5:$C$2000,"Advance",Deductions!$E$5:$E$2000,"&gt;="&amp;Settings!$B$8,Deductions!$E$5:$E$2000,"&lt;="&amp;Settings!$B$9))</f>
        <v/>
      </c>
      <c r="P262" s="26" t="str">
        <f aca="false">IF($A262="","",SUMIFS(Deductions!$D$5:$D$2000,Deductions!$B$5:$B$2000,$A262,Deductions!$E$5:$E$2000,"&gt;="&amp;Settings!$B$8,Deductions!$E$5:$E$2000,"&lt;="&amp;Settings!$B$9)-O262)</f>
        <v/>
      </c>
      <c r="Q262" s="26" t="str">
        <f aca="false">IF($A262="","",O262+P262)</f>
        <v/>
      </c>
      <c r="R262" s="23" t="str">
        <f aca="false">IF($A262="","",N262-Q262)</f>
        <v/>
      </c>
      <c r="S262" s="24" t="str">
        <f aca="false">IF($A262="","",INDEX(Workers!$O$5:$O$2004,MATCH($A262,Workers!$A$5:$A$2004,0))&amp;"")</f>
        <v/>
      </c>
      <c r="T262" s="24" t="str">
        <f aca="false">IF($A262="","",INDEX(Workers!$P$5:$P$2004,MATCH($A262,Workers!$A$5:$A$2004,0))&amp;"")</f>
        <v/>
      </c>
      <c r="U262" s="24" t="str">
        <f aca="false">IF($A262="","",INDEX(Workers!$H$5:$H$2004,MATCH($A262,Workers!$A$5:$A$2004,0))&amp;"")</f>
        <v/>
      </c>
    </row>
    <row r="263" customFormat="false" ht="15" hidden="false" customHeight="false" outlineLevel="0" collapsed="false">
      <c r="A263" s="24" t="str">
        <f aca="false">IFERROR(INDEX(Workers!$A$5:$A$2004,MATCH(ROW()-4,Workers!$U$5:$U$2004,0)),"")</f>
        <v/>
      </c>
      <c r="B263" s="24" t="str">
        <f aca="false">IF($A263="","",INDEX(Workers!$B$5:$B$2004,MATCH($A263,Workers!$A$5:$A$2004,0)))</f>
        <v/>
      </c>
      <c r="C263" s="24" t="str">
        <f aca="false">IF($A263="","",INDEX(Workers!$E$5:$E$2004,MATCH($A263,Workers!$A$5:$A$2004,0)))</f>
        <v/>
      </c>
      <c r="D263" s="24" t="str">
        <f aca="false">IF($A263="","",INDEX(Workers!$K$5:$K$2004,MATCH($A263,Workers!$A$5:$A$2004,0)))</f>
        <v/>
      </c>
      <c r="E263" s="25" t="str">
        <f aca="false">IF($A263="","",SUMIFS(Timesheet!$E$5:$E$3004,Timesheet!$D$5:$D$3004,$A263,Timesheet!$A$5:$A$3004,"&gt;="&amp;Settings!$B$8,Timesheet!$A$5:$A$3004,"&lt;="&amp;Settings!$B$9))</f>
        <v/>
      </c>
      <c r="F263" s="25" t="str">
        <f aca="false">IF($A263="","",SUMIFS(Timesheet!$F$5:$F$3004,Timesheet!$D$5:$D$3004,$A263,Timesheet!$A$5:$A$3004,"&gt;="&amp;Settings!$B$8,Timesheet!$A$5:$A$3004,"&lt;="&amp;Settings!$B$9))</f>
        <v/>
      </c>
      <c r="G263" s="25" t="str">
        <f aca="false">IF($A263="","",SUMIFS(Timesheet!$G$5:$G$3004,Timesheet!$D$5:$D$3004,$A263,Timesheet!$A$5:$A$3004,"&gt;="&amp;Settings!$B$8,Timesheet!$A$5:$A$3004,"&lt;="&amp;Settings!$B$9))</f>
        <v/>
      </c>
      <c r="H263" s="25" t="str">
        <f aca="false">IF($A263="","",IF(D263="Monthly",MAX(0,Settings!$B$11-E263),0))</f>
        <v/>
      </c>
      <c r="I263" s="26" t="str">
        <f aca="false">IF($A263="","",N(INDEX(Workers!$L$5:$L$2004,MATCH($A263,Workers!$A$5:$A$2004,0))))</f>
        <v/>
      </c>
      <c r="J263" s="26" t="str">
        <f aca="false">IF($A263="","",N(INDEX(Workers!$M$5:$M$2004,MATCH($A263,Workers!$A$5:$A$2004,0))))</f>
        <v/>
      </c>
      <c r="K263" s="26" t="str">
        <f aca="false">IF($A263="","",IF(D263="Monthly",ROUND(MAX(0,(I263+J263)-(I263+J263)/Settings!$B$10*H263),2),0))</f>
        <v/>
      </c>
      <c r="L263" s="26" t="str">
        <f aca="false">IF($A263="","",IF(D263="Hourly",ROUND(F263*N(INDEX(Workers!$N$5:$N$2004,MATCH($A263,Workers!$A$5:$A$2004,0))),2),0))</f>
        <v/>
      </c>
      <c r="M263" s="26" t="str">
        <f aca="false">IF($A263="","",ROUND(G263*IF(D263="Hourly",N(INDEX(Workers!$N$5:$N$2004,MATCH($A263,Workers!$A$5:$A$2004,0))),I263/Settings!$B$10/Settings!$B$12)*Settings!$B$13,2))</f>
        <v/>
      </c>
      <c r="N263" s="26" t="str">
        <f aca="false">IF($A263="","",K263+L263+M263)</f>
        <v/>
      </c>
      <c r="O263" s="26" t="str">
        <f aca="false">IF($A263="","",SUMIFS(Deductions!$D$5:$D$2000,Deductions!$B$5:$B$2000,$A263,Deductions!$C$5:$C$2000,"Advance",Deductions!$E$5:$E$2000,"&gt;="&amp;Settings!$B$8,Deductions!$E$5:$E$2000,"&lt;="&amp;Settings!$B$9))</f>
        <v/>
      </c>
      <c r="P263" s="26" t="str">
        <f aca="false">IF($A263="","",SUMIFS(Deductions!$D$5:$D$2000,Deductions!$B$5:$B$2000,$A263,Deductions!$E$5:$E$2000,"&gt;="&amp;Settings!$B$8,Deductions!$E$5:$E$2000,"&lt;="&amp;Settings!$B$9)-O263)</f>
        <v/>
      </c>
      <c r="Q263" s="26" t="str">
        <f aca="false">IF($A263="","",O263+P263)</f>
        <v/>
      </c>
      <c r="R263" s="23" t="str">
        <f aca="false">IF($A263="","",N263-Q263)</f>
        <v/>
      </c>
      <c r="S263" s="24" t="str">
        <f aca="false">IF($A263="","",INDEX(Workers!$O$5:$O$2004,MATCH($A263,Workers!$A$5:$A$2004,0))&amp;"")</f>
        <v/>
      </c>
      <c r="T263" s="24" t="str">
        <f aca="false">IF($A263="","",INDEX(Workers!$P$5:$P$2004,MATCH($A263,Workers!$A$5:$A$2004,0))&amp;"")</f>
        <v/>
      </c>
      <c r="U263" s="24" t="str">
        <f aca="false">IF($A263="","",INDEX(Workers!$H$5:$H$2004,MATCH($A263,Workers!$A$5:$A$2004,0))&amp;"")</f>
        <v/>
      </c>
    </row>
    <row r="264" customFormat="false" ht="15" hidden="false" customHeight="false" outlineLevel="0" collapsed="false">
      <c r="A264" s="24" t="str">
        <f aca="false">IFERROR(INDEX(Workers!$A$5:$A$2004,MATCH(ROW()-4,Workers!$U$5:$U$2004,0)),"")</f>
        <v/>
      </c>
      <c r="B264" s="24" t="str">
        <f aca="false">IF($A264="","",INDEX(Workers!$B$5:$B$2004,MATCH($A264,Workers!$A$5:$A$2004,0)))</f>
        <v/>
      </c>
      <c r="C264" s="24" t="str">
        <f aca="false">IF($A264="","",INDEX(Workers!$E$5:$E$2004,MATCH($A264,Workers!$A$5:$A$2004,0)))</f>
        <v/>
      </c>
      <c r="D264" s="24" t="str">
        <f aca="false">IF($A264="","",INDEX(Workers!$K$5:$K$2004,MATCH($A264,Workers!$A$5:$A$2004,0)))</f>
        <v/>
      </c>
      <c r="E264" s="25" t="str">
        <f aca="false">IF($A264="","",SUMIFS(Timesheet!$E$5:$E$3004,Timesheet!$D$5:$D$3004,$A264,Timesheet!$A$5:$A$3004,"&gt;="&amp;Settings!$B$8,Timesheet!$A$5:$A$3004,"&lt;="&amp;Settings!$B$9))</f>
        <v/>
      </c>
      <c r="F264" s="25" t="str">
        <f aca="false">IF($A264="","",SUMIFS(Timesheet!$F$5:$F$3004,Timesheet!$D$5:$D$3004,$A264,Timesheet!$A$5:$A$3004,"&gt;="&amp;Settings!$B$8,Timesheet!$A$5:$A$3004,"&lt;="&amp;Settings!$B$9))</f>
        <v/>
      </c>
      <c r="G264" s="25" t="str">
        <f aca="false">IF($A264="","",SUMIFS(Timesheet!$G$5:$G$3004,Timesheet!$D$5:$D$3004,$A264,Timesheet!$A$5:$A$3004,"&gt;="&amp;Settings!$B$8,Timesheet!$A$5:$A$3004,"&lt;="&amp;Settings!$B$9))</f>
        <v/>
      </c>
      <c r="H264" s="25" t="str">
        <f aca="false">IF($A264="","",IF(D264="Monthly",MAX(0,Settings!$B$11-E264),0))</f>
        <v/>
      </c>
      <c r="I264" s="26" t="str">
        <f aca="false">IF($A264="","",N(INDEX(Workers!$L$5:$L$2004,MATCH($A264,Workers!$A$5:$A$2004,0))))</f>
        <v/>
      </c>
      <c r="J264" s="26" t="str">
        <f aca="false">IF($A264="","",N(INDEX(Workers!$M$5:$M$2004,MATCH($A264,Workers!$A$5:$A$2004,0))))</f>
        <v/>
      </c>
      <c r="K264" s="26" t="str">
        <f aca="false">IF($A264="","",IF(D264="Monthly",ROUND(MAX(0,(I264+J264)-(I264+J264)/Settings!$B$10*H264),2),0))</f>
        <v/>
      </c>
      <c r="L264" s="26" t="str">
        <f aca="false">IF($A264="","",IF(D264="Hourly",ROUND(F264*N(INDEX(Workers!$N$5:$N$2004,MATCH($A264,Workers!$A$5:$A$2004,0))),2),0))</f>
        <v/>
      </c>
      <c r="M264" s="26" t="str">
        <f aca="false">IF($A264="","",ROUND(G264*IF(D264="Hourly",N(INDEX(Workers!$N$5:$N$2004,MATCH($A264,Workers!$A$5:$A$2004,0))),I264/Settings!$B$10/Settings!$B$12)*Settings!$B$13,2))</f>
        <v/>
      </c>
      <c r="N264" s="26" t="str">
        <f aca="false">IF($A264="","",K264+L264+M264)</f>
        <v/>
      </c>
      <c r="O264" s="26" t="str">
        <f aca="false">IF($A264="","",SUMIFS(Deductions!$D$5:$D$2000,Deductions!$B$5:$B$2000,$A264,Deductions!$C$5:$C$2000,"Advance",Deductions!$E$5:$E$2000,"&gt;="&amp;Settings!$B$8,Deductions!$E$5:$E$2000,"&lt;="&amp;Settings!$B$9))</f>
        <v/>
      </c>
      <c r="P264" s="26" t="str">
        <f aca="false">IF($A264="","",SUMIFS(Deductions!$D$5:$D$2000,Deductions!$B$5:$B$2000,$A264,Deductions!$E$5:$E$2000,"&gt;="&amp;Settings!$B$8,Deductions!$E$5:$E$2000,"&lt;="&amp;Settings!$B$9)-O264)</f>
        <v/>
      </c>
      <c r="Q264" s="26" t="str">
        <f aca="false">IF($A264="","",O264+P264)</f>
        <v/>
      </c>
      <c r="R264" s="23" t="str">
        <f aca="false">IF($A264="","",N264-Q264)</f>
        <v/>
      </c>
      <c r="S264" s="24" t="str">
        <f aca="false">IF($A264="","",INDEX(Workers!$O$5:$O$2004,MATCH($A264,Workers!$A$5:$A$2004,0))&amp;"")</f>
        <v/>
      </c>
      <c r="T264" s="24" t="str">
        <f aca="false">IF($A264="","",INDEX(Workers!$P$5:$P$2004,MATCH($A264,Workers!$A$5:$A$2004,0))&amp;"")</f>
        <v/>
      </c>
      <c r="U264" s="24" t="str">
        <f aca="false">IF($A264="","",INDEX(Workers!$H$5:$H$2004,MATCH($A264,Workers!$A$5:$A$2004,0))&amp;"")</f>
        <v/>
      </c>
    </row>
    <row r="265" customFormat="false" ht="15" hidden="false" customHeight="false" outlineLevel="0" collapsed="false">
      <c r="A265" s="24" t="str">
        <f aca="false">IFERROR(INDEX(Workers!$A$5:$A$2004,MATCH(ROW()-4,Workers!$U$5:$U$2004,0)),"")</f>
        <v/>
      </c>
      <c r="B265" s="24" t="str">
        <f aca="false">IF($A265="","",INDEX(Workers!$B$5:$B$2004,MATCH($A265,Workers!$A$5:$A$2004,0)))</f>
        <v/>
      </c>
      <c r="C265" s="24" t="str">
        <f aca="false">IF($A265="","",INDEX(Workers!$E$5:$E$2004,MATCH($A265,Workers!$A$5:$A$2004,0)))</f>
        <v/>
      </c>
      <c r="D265" s="24" t="str">
        <f aca="false">IF($A265="","",INDEX(Workers!$K$5:$K$2004,MATCH($A265,Workers!$A$5:$A$2004,0)))</f>
        <v/>
      </c>
      <c r="E265" s="25" t="str">
        <f aca="false">IF($A265="","",SUMIFS(Timesheet!$E$5:$E$3004,Timesheet!$D$5:$D$3004,$A265,Timesheet!$A$5:$A$3004,"&gt;="&amp;Settings!$B$8,Timesheet!$A$5:$A$3004,"&lt;="&amp;Settings!$B$9))</f>
        <v/>
      </c>
      <c r="F265" s="25" t="str">
        <f aca="false">IF($A265="","",SUMIFS(Timesheet!$F$5:$F$3004,Timesheet!$D$5:$D$3004,$A265,Timesheet!$A$5:$A$3004,"&gt;="&amp;Settings!$B$8,Timesheet!$A$5:$A$3004,"&lt;="&amp;Settings!$B$9))</f>
        <v/>
      </c>
      <c r="G265" s="25" t="str">
        <f aca="false">IF($A265="","",SUMIFS(Timesheet!$G$5:$G$3004,Timesheet!$D$5:$D$3004,$A265,Timesheet!$A$5:$A$3004,"&gt;="&amp;Settings!$B$8,Timesheet!$A$5:$A$3004,"&lt;="&amp;Settings!$B$9))</f>
        <v/>
      </c>
      <c r="H265" s="25" t="str">
        <f aca="false">IF($A265="","",IF(D265="Monthly",MAX(0,Settings!$B$11-E265),0))</f>
        <v/>
      </c>
      <c r="I265" s="26" t="str">
        <f aca="false">IF($A265="","",N(INDEX(Workers!$L$5:$L$2004,MATCH($A265,Workers!$A$5:$A$2004,0))))</f>
        <v/>
      </c>
      <c r="J265" s="26" t="str">
        <f aca="false">IF($A265="","",N(INDEX(Workers!$M$5:$M$2004,MATCH($A265,Workers!$A$5:$A$2004,0))))</f>
        <v/>
      </c>
      <c r="K265" s="26" t="str">
        <f aca="false">IF($A265="","",IF(D265="Monthly",ROUND(MAX(0,(I265+J265)-(I265+J265)/Settings!$B$10*H265),2),0))</f>
        <v/>
      </c>
      <c r="L265" s="26" t="str">
        <f aca="false">IF($A265="","",IF(D265="Hourly",ROUND(F265*N(INDEX(Workers!$N$5:$N$2004,MATCH($A265,Workers!$A$5:$A$2004,0))),2),0))</f>
        <v/>
      </c>
      <c r="M265" s="26" t="str">
        <f aca="false">IF($A265="","",ROUND(G265*IF(D265="Hourly",N(INDEX(Workers!$N$5:$N$2004,MATCH($A265,Workers!$A$5:$A$2004,0))),I265/Settings!$B$10/Settings!$B$12)*Settings!$B$13,2))</f>
        <v/>
      </c>
      <c r="N265" s="26" t="str">
        <f aca="false">IF($A265="","",K265+L265+M265)</f>
        <v/>
      </c>
      <c r="O265" s="26" t="str">
        <f aca="false">IF($A265="","",SUMIFS(Deductions!$D$5:$D$2000,Deductions!$B$5:$B$2000,$A265,Deductions!$C$5:$C$2000,"Advance",Deductions!$E$5:$E$2000,"&gt;="&amp;Settings!$B$8,Deductions!$E$5:$E$2000,"&lt;="&amp;Settings!$B$9))</f>
        <v/>
      </c>
      <c r="P265" s="26" t="str">
        <f aca="false">IF($A265="","",SUMIFS(Deductions!$D$5:$D$2000,Deductions!$B$5:$B$2000,$A265,Deductions!$E$5:$E$2000,"&gt;="&amp;Settings!$B$8,Deductions!$E$5:$E$2000,"&lt;="&amp;Settings!$B$9)-O265)</f>
        <v/>
      </c>
      <c r="Q265" s="26" t="str">
        <f aca="false">IF($A265="","",O265+P265)</f>
        <v/>
      </c>
      <c r="R265" s="23" t="str">
        <f aca="false">IF($A265="","",N265-Q265)</f>
        <v/>
      </c>
      <c r="S265" s="24" t="str">
        <f aca="false">IF($A265="","",INDEX(Workers!$O$5:$O$2004,MATCH($A265,Workers!$A$5:$A$2004,0))&amp;"")</f>
        <v/>
      </c>
      <c r="T265" s="24" t="str">
        <f aca="false">IF($A265="","",INDEX(Workers!$P$5:$P$2004,MATCH($A265,Workers!$A$5:$A$2004,0))&amp;"")</f>
        <v/>
      </c>
      <c r="U265" s="24" t="str">
        <f aca="false">IF($A265="","",INDEX(Workers!$H$5:$H$2004,MATCH($A265,Workers!$A$5:$A$2004,0))&amp;"")</f>
        <v/>
      </c>
    </row>
    <row r="266" customFormat="false" ht="15" hidden="false" customHeight="false" outlineLevel="0" collapsed="false">
      <c r="A266" s="24" t="str">
        <f aca="false">IFERROR(INDEX(Workers!$A$5:$A$2004,MATCH(ROW()-4,Workers!$U$5:$U$2004,0)),"")</f>
        <v/>
      </c>
      <c r="B266" s="24" t="str">
        <f aca="false">IF($A266="","",INDEX(Workers!$B$5:$B$2004,MATCH($A266,Workers!$A$5:$A$2004,0)))</f>
        <v/>
      </c>
      <c r="C266" s="24" t="str">
        <f aca="false">IF($A266="","",INDEX(Workers!$E$5:$E$2004,MATCH($A266,Workers!$A$5:$A$2004,0)))</f>
        <v/>
      </c>
      <c r="D266" s="24" t="str">
        <f aca="false">IF($A266="","",INDEX(Workers!$K$5:$K$2004,MATCH($A266,Workers!$A$5:$A$2004,0)))</f>
        <v/>
      </c>
      <c r="E266" s="25" t="str">
        <f aca="false">IF($A266="","",SUMIFS(Timesheet!$E$5:$E$3004,Timesheet!$D$5:$D$3004,$A266,Timesheet!$A$5:$A$3004,"&gt;="&amp;Settings!$B$8,Timesheet!$A$5:$A$3004,"&lt;="&amp;Settings!$B$9))</f>
        <v/>
      </c>
      <c r="F266" s="25" t="str">
        <f aca="false">IF($A266="","",SUMIFS(Timesheet!$F$5:$F$3004,Timesheet!$D$5:$D$3004,$A266,Timesheet!$A$5:$A$3004,"&gt;="&amp;Settings!$B$8,Timesheet!$A$5:$A$3004,"&lt;="&amp;Settings!$B$9))</f>
        <v/>
      </c>
      <c r="G266" s="25" t="str">
        <f aca="false">IF($A266="","",SUMIFS(Timesheet!$G$5:$G$3004,Timesheet!$D$5:$D$3004,$A266,Timesheet!$A$5:$A$3004,"&gt;="&amp;Settings!$B$8,Timesheet!$A$5:$A$3004,"&lt;="&amp;Settings!$B$9))</f>
        <v/>
      </c>
      <c r="H266" s="25" t="str">
        <f aca="false">IF($A266="","",IF(D266="Monthly",MAX(0,Settings!$B$11-E266),0))</f>
        <v/>
      </c>
      <c r="I266" s="26" t="str">
        <f aca="false">IF($A266="","",N(INDEX(Workers!$L$5:$L$2004,MATCH($A266,Workers!$A$5:$A$2004,0))))</f>
        <v/>
      </c>
      <c r="J266" s="26" t="str">
        <f aca="false">IF($A266="","",N(INDEX(Workers!$M$5:$M$2004,MATCH($A266,Workers!$A$5:$A$2004,0))))</f>
        <v/>
      </c>
      <c r="K266" s="26" t="str">
        <f aca="false">IF($A266="","",IF(D266="Monthly",ROUND(MAX(0,(I266+J266)-(I266+J266)/Settings!$B$10*H266),2),0))</f>
        <v/>
      </c>
      <c r="L266" s="26" t="str">
        <f aca="false">IF($A266="","",IF(D266="Hourly",ROUND(F266*N(INDEX(Workers!$N$5:$N$2004,MATCH($A266,Workers!$A$5:$A$2004,0))),2),0))</f>
        <v/>
      </c>
      <c r="M266" s="26" t="str">
        <f aca="false">IF($A266="","",ROUND(G266*IF(D266="Hourly",N(INDEX(Workers!$N$5:$N$2004,MATCH($A266,Workers!$A$5:$A$2004,0))),I266/Settings!$B$10/Settings!$B$12)*Settings!$B$13,2))</f>
        <v/>
      </c>
      <c r="N266" s="26" t="str">
        <f aca="false">IF($A266="","",K266+L266+M266)</f>
        <v/>
      </c>
      <c r="O266" s="26" t="str">
        <f aca="false">IF($A266="","",SUMIFS(Deductions!$D$5:$D$2000,Deductions!$B$5:$B$2000,$A266,Deductions!$C$5:$C$2000,"Advance",Deductions!$E$5:$E$2000,"&gt;="&amp;Settings!$B$8,Deductions!$E$5:$E$2000,"&lt;="&amp;Settings!$B$9))</f>
        <v/>
      </c>
      <c r="P266" s="26" t="str">
        <f aca="false">IF($A266="","",SUMIFS(Deductions!$D$5:$D$2000,Deductions!$B$5:$B$2000,$A266,Deductions!$E$5:$E$2000,"&gt;="&amp;Settings!$B$8,Deductions!$E$5:$E$2000,"&lt;="&amp;Settings!$B$9)-O266)</f>
        <v/>
      </c>
      <c r="Q266" s="26" t="str">
        <f aca="false">IF($A266="","",O266+P266)</f>
        <v/>
      </c>
      <c r="R266" s="23" t="str">
        <f aca="false">IF($A266="","",N266-Q266)</f>
        <v/>
      </c>
      <c r="S266" s="24" t="str">
        <f aca="false">IF($A266="","",INDEX(Workers!$O$5:$O$2004,MATCH($A266,Workers!$A$5:$A$2004,0))&amp;"")</f>
        <v/>
      </c>
      <c r="T266" s="24" t="str">
        <f aca="false">IF($A266="","",INDEX(Workers!$P$5:$P$2004,MATCH($A266,Workers!$A$5:$A$2004,0))&amp;"")</f>
        <v/>
      </c>
      <c r="U266" s="24" t="str">
        <f aca="false">IF($A266="","",INDEX(Workers!$H$5:$H$2004,MATCH($A266,Workers!$A$5:$A$2004,0))&amp;"")</f>
        <v/>
      </c>
    </row>
    <row r="267" customFormat="false" ht="15" hidden="false" customHeight="false" outlineLevel="0" collapsed="false">
      <c r="A267" s="24" t="str">
        <f aca="false">IFERROR(INDEX(Workers!$A$5:$A$2004,MATCH(ROW()-4,Workers!$U$5:$U$2004,0)),"")</f>
        <v/>
      </c>
      <c r="B267" s="24" t="str">
        <f aca="false">IF($A267="","",INDEX(Workers!$B$5:$B$2004,MATCH($A267,Workers!$A$5:$A$2004,0)))</f>
        <v/>
      </c>
      <c r="C267" s="24" t="str">
        <f aca="false">IF($A267="","",INDEX(Workers!$E$5:$E$2004,MATCH($A267,Workers!$A$5:$A$2004,0)))</f>
        <v/>
      </c>
      <c r="D267" s="24" t="str">
        <f aca="false">IF($A267="","",INDEX(Workers!$K$5:$K$2004,MATCH($A267,Workers!$A$5:$A$2004,0)))</f>
        <v/>
      </c>
      <c r="E267" s="25" t="str">
        <f aca="false">IF($A267="","",SUMIFS(Timesheet!$E$5:$E$3004,Timesheet!$D$5:$D$3004,$A267,Timesheet!$A$5:$A$3004,"&gt;="&amp;Settings!$B$8,Timesheet!$A$5:$A$3004,"&lt;="&amp;Settings!$B$9))</f>
        <v/>
      </c>
      <c r="F267" s="25" t="str">
        <f aca="false">IF($A267="","",SUMIFS(Timesheet!$F$5:$F$3004,Timesheet!$D$5:$D$3004,$A267,Timesheet!$A$5:$A$3004,"&gt;="&amp;Settings!$B$8,Timesheet!$A$5:$A$3004,"&lt;="&amp;Settings!$B$9))</f>
        <v/>
      </c>
      <c r="G267" s="25" t="str">
        <f aca="false">IF($A267="","",SUMIFS(Timesheet!$G$5:$G$3004,Timesheet!$D$5:$D$3004,$A267,Timesheet!$A$5:$A$3004,"&gt;="&amp;Settings!$B$8,Timesheet!$A$5:$A$3004,"&lt;="&amp;Settings!$B$9))</f>
        <v/>
      </c>
      <c r="H267" s="25" t="str">
        <f aca="false">IF($A267="","",IF(D267="Monthly",MAX(0,Settings!$B$11-E267),0))</f>
        <v/>
      </c>
      <c r="I267" s="26" t="str">
        <f aca="false">IF($A267="","",N(INDEX(Workers!$L$5:$L$2004,MATCH($A267,Workers!$A$5:$A$2004,0))))</f>
        <v/>
      </c>
      <c r="J267" s="26" t="str">
        <f aca="false">IF($A267="","",N(INDEX(Workers!$M$5:$M$2004,MATCH($A267,Workers!$A$5:$A$2004,0))))</f>
        <v/>
      </c>
      <c r="K267" s="26" t="str">
        <f aca="false">IF($A267="","",IF(D267="Monthly",ROUND(MAX(0,(I267+J267)-(I267+J267)/Settings!$B$10*H267),2),0))</f>
        <v/>
      </c>
      <c r="L267" s="26" t="str">
        <f aca="false">IF($A267="","",IF(D267="Hourly",ROUND(F267*N(INDEX(Workers!$N$5:$N$2004,MATCH($A267,Workers!$A$5:$A$2004,0))),2),0))</f>
        <v/>
      </c>
      <c r="M267" s="26" t="str">
        <f aca="false">IF($A267="","",ROUND(G267*IF(D267="Hourly",N(INDEX(Workers!$N$5:$N$2004,MATCH($A267,Workers!$A$5:$A$2004,0))),I267/Settings!$B$10/Settings!$B$12)*Settings!$B$13,2))</f>
        <v/>
      </c>
      <c r="N267" s="26" t="str">
        <f aca="false">IF($A267="","",K267+L267+M267)</f>
        <v/>
      </c>
      <c r="O267" s="26" t="str">
        <f aca="false">IF($A267="","",SUMIFS(Deductions!$D$5:$D$2000,Deductions!$B$5:$B$2000,$A267,Deductions!$C$5:$C$2000,"Advance",Deductions!$E$5:$E$2000,"&gt;="&amp;Settings!$B$8,Deductions!$E$5:$E$2000,"&lt;="&amp;Settings!$B$9))</f>
        <v/>
      </c>
      <c r="P267" s="26" t="str">
        <f aca="false">IF($A267="","",SUMIFS(Deductions!$D$5:$D$2000,Deductions!$B$5:$B$2000,$A267,Deductions!$E$5:$E$2000,"&gt;="&amp;Settings!$B$8,Deductions!$E$5:$E$2000,"&lt;="&amp;Settings!$B$9)-O267)</f>
        <v/>
      </c>
      <c r="Q267" s="26" t="str">
        <f aca="false">IF($A267="","",O267+P267)</f>
        <v/>
      </c>
      <c r="R267" s="23" t="str">
        <f aca="false">IF($A267="","",N267-Q267)</f>
        <v/>
      </c>
      <c r="S267" s="24" t="str">
        <f aca="false">IF($A267="","",INDEX(Workers!$O$5:$O$2004,MATCH($A267,Workers!$A$5:$A$2004,0))&amp;"")</f>
        <v/>
      </c>
      <c r="T267" s="24" t="str">
        <f aca="false">IF($A267="","",INDEX(Workers!$P$5:$P$2004,MATCH($A267,Workers!$A$5:$A$2004,0))&amp;"")</f>
        <v/>
      </c>
      <c r="U267" s="24" t="str">
        <f aca="false">IF($A267="","",INDEX(Workers!$H$5:$H$2004,MATCH($A267,Workers!$A$5:$A$2004,0))&amp;"")</f>
        <v/>
      </c>
    </row>
    <row r="268" customFormat="false" ht="15" hidden="false" customHeight="false" outlineLevel="0" collapsed="false">
      <c r="A268" s="24" t="str">
        <f aca="false">IFERROR(INDEX(Workers!$A$5:$A$2004,MATCH(ROW()-4,Workers!$U$5:$U$2004,0)),"")</f>
        <v/>
      </c>
      <c r="B268" s="24" t="str">
        <f aca="false">IF($A268="","",INDEX(Workers!$B$5:$B$2004,MATCH($A268,Workers!$A$5:$A$2004,0)))</f>
        <v/>
      </c>
      <c r="C268" s="24" t="str">
        <f aca="false">IF($A268="","",INDEX(Workers!$E$5:$E$2004,MATCH($A268,Workers!$A$5:$A$2004,0)))</f>
        <v/>
      </c>
      <c r="D268" s="24" t="str">
        <f aca="false">IF($A268="","",INDEX(Workers!$K$5:$K$2004,MATCH($A268,Workers!$A$5:$A$2004,0)))</f>
        <v/>
      </c>
      <c r="E268" s="25" t="str">
        <f aca="false">IF($A268="","",SUMIFS(Timesheet!$E$5:$E$3004,Timesheet!$D$5:$D$3004,$A268,Timesheet!$A$5:$A$3004,"&gt;="&amp;Settings!$B$8,Timesheet!$A$5:$A$3004,"&lt;="&amp;Settings!$B$9))</f>
        <v/>
      </c>
      <c r="F268" s="25" t="str">
        <f aca="false">IF($A268="","",SUMIFS(Timesheet!$F$5:$F$3004,Timesheet!$D$5:$D$3004,$A268,Timesheet!$A$5:$A$3004,"&gt;="&amp;Settings!$B$8,Timesheet!$A$5:$A$3004,"&lt;="&amp;Settings!$B$9))</f>
        <v/>
      </c>
      <c r="G268" s="25" t="str">
        <f aca="false">IF($A268="","",SUMIFS(Timesheet!$G$5:$G$3004,Timesheet!$D$5:$D$3004,$A268,Timesheet!$A$5:$A$3004,"&gt;="&amp;Settings!$B$8,Timesheet!$A$5:$A$3004,"&lt;="&amp;Settings!$B$9))</f>
        <v/>
      </c>
      <c r="H268" s="25" t="str">
        <f aca="false">IF($A268="","",IF(D268="Monthly",MAX(0,Settings!$B$11-E268),0))</f>
        <v/>
      </c>
      <c r="I268" s="26" t="str">
        <f aca="false">IF($A268="","",N(INDEX(Workers!$L$5:$L$2004,MATCH($A268,Workers!$A$5:$A$2004,0))))</f>
        <v/>
      </c>
      <c r="J268" s="26" t="str">
        <f aca="false">IF($A268="","",N(INDEX(Workers!$M$5:$M$2004,MATCH($A268,Workers!$A$5:$A$2004,0))))</f>
        <v/>
      </c>
      <c r="K268" s="26" t="str">
        <f aca="false">IF($A268="","",IF(D268="Monthly",ROUND(MAX(0,(I268+J268)-(I268+J268)/Settings!$B$10*H268),2),0))</f>
        <v/>
      </c>
      <c r="L268" s="26" t="str">
        <f aca="false">IF($A268="","",IF(D268="Hourly",ROUND(F268*N(INDEX(Workers!$N$5:$N$2004,MATCH($A268,Workers!$A$5:$A$2004,0))),2),0))</f>
        <v/>
      </c>
      <c r="M268" s="26" t="str">
        <f aca="false">IF($A268="","",ROUND(G268*IF(D268="Hourly",N(INDEX(Workers!$N$5:$N$2004,MATCH($A268,Workers!$A$5:$A$2004,0))),I268/Settings!$B$10/Settings!$B$12)*Settings!$B$13,2))</f>
        <v/>
      </c>
      <c r="N268" s="26" t="str">
        <f aca="false">IF($A268="","",K268+L268+M268)</f>
        <v/>
      </c>
      <c r="O268" s="26" t="str">
        <f aca="false">IF($A268="","",SUMIFS(Deductions!$D$5:$D$2000,Deductions!$B$5:$B$2000,$A268,Deductions!$C$5:$C$2000,"Advance",Deductions!$E$5:$E$2000,"&gt;="&amp;Settings!$B$8,Deductions!$E$5:$E$2000,"&lt;="&amp;Settings!$B$9))</f>
        <v/>
      </c>
      <c r="P268" s="26" t="str">
        <f aca="false">IF($A268="","",SUMIFS(Deductions!$D$5:$D$2000,Deductions!$B$5:$B$2000,$A268,Deductions!$E$5:$E$2000,"&gt;="&amp;Settings!$B$8,Deductions!$E$5:$E$2000,"&lt;="&amp;Settings!$B$9)-O268)</f>
        <v/>
      </c>
      <c r="Q268" s="26" t="str">
        <f aca="false">IF($A268="","",O268+P268)</f>
        <v/>
      </c>
      <c r="R268" s="23" t="str">
        <f aca="false">IF($A268="","",N268-Q268)</f>
        <v/>
      </c>
      <c r="S268" s="24" t="str">
        <f aca="false">IF($A268="","",INDEX(Workers!$O$5:$O$2004,MATCH($A268,Workers!$A$5:$A$2004,0))&amp;"")</f>
        <v/>
      </c>
      <c r="T268" s="24" t="str">
        <f aca="false">IF($A268="","",INDEX(Workers!$P$5:$P$2004,MATCH($A268,Workers!$A$5:$A$2004,0))&amp;"")</f>
        <v/>
      </c>
      <c r="U268" s="24" t="str">
        <f aca="false">IF($A268="","",INDEX(Workers!$H$5:$H$2004,MATCH($A268,Workers!$A$5:$A$2004,0))&amp;"")</f>
        <v/>
      </c>
    </row>
    <row r="269" customFormat="false" ht="15" hidden="false" customHeight="false" outlineLevel="0" collapsed="false">
      <c r="A269" s="24" t="str">
        <f aca="false">IFERROR(INDEX(Workers!$A$5:$A$2004,MATCH(ROW()-4,Workers!$U$5:$U$2004,0)),"")</f>
        <v/>
      </c>
      <c r="B269" s="24" t="str">
        <f aca="false">IF($A269="","",INDEX(Workers!$B$5:$B$2004,MATCH($A269,Workers!$A$5:$A$2004,0)))</f>
        <v/>
      </c>
      <c r="C269" s="24" t="str">
        <f aca="false">IF($A269="","",INDEX(Workers!$E$5:$E$2004,MATCH($A269,Workers!$A$5:$A$2004,0)))</f>
        <v/>
      </c>
      <c r="D269" s="24" t="str">
        <f aca="false">IF($A269="","",INDEX(Workers!$K$5:$K$2004,MATCH($A269,Workers!$A$5:$A$2004,0)))</f>
        <v/>
      </c>
      <c r="E269" s="25" t="str">
        <f aca="false">IF($A269="","",SUMIFS(Timesheet!$E$5:$E$3004,Timesheet!$D$5:$D$3004,$A269,Timesheet!$A$5:$A$3004,"&gt;="&amp;Settings!$B$8,Timesheet!$A$5:$A$3004,"&lt;="&amp;Settings!$B$9))</f>
        <v/>
      </c>
      <c r="F269" s="25" t="str">
        <f aca="false">IF($A269="","",SUMIFS(Timesheet!$F$5:$F$3004,Timesheet!$D$5:$D$3004,$A269,Timesheet!$A$5:$A$3004,"&gt;="&amp;Settings!$B$8,Timesheet!$A$5:$A$3004,"&lt;="&amp;Settings!$B$9))</f>
        <v/>
      </c>
      <c r="G269" s="25" t="str">
        <f aca="false">IF($A269="","",SUMIFS(Timesheet!$G$5:$G$3004,Timesheet!$D$5:$D$3004,$A269,Timesheet!$A$5:$A$3004,"&gt;="&amp;Settings!$B$8,Timesheet!$A$5:$A$3004,"&lt;="&amp;Settings!$B$9))</f>
        <v/>
      </c>
      <c r="H269" s="25" t="str">
        <f aca="false">IF($A269="","",IF(D269="Monthly",MAX(0,Settings!$B$11-E269),0))</f>
        <v/>
      </c>
      <c r="I269" s="26" t="str">
        <f aca="false">IF($A269="","",N(INDEX(Workers!$L$5:$L$2004,MATCH($A269,Workers!$A$5:$A$2004,0))))</f>
        <v/>
      </c>
      <c r="J269" s="26" t="str">
        <f aca="false">IF($A269="","",N(INDEX(Workers!$M$5:$M$2004,MATCH($A269,Workers!$A$5:$A$2004,0))))</f>
        <v/>
      </c>
      <c r="K269" s="26" t="str">
        <f aca="false">IF($A269="","",IF(D269="Monthly",ROUND(MAX(0,(I269+J269)-(I269+J269)/Settings!$B$10*H269),2),0))</f>
        <v/>
      </c>
      <c r="L269" s="26" t="str">
        <f aca="false">IF($A269="","",IF(D269="Hourly",ROUND(F269*N(INDEX(Workers!$N$5:$N$2004,MATCH($A269,Workers!$A$5:$A$2004,0))),2),0))</f>
        <v/>
      </c>
      <c r="M269" s="26" t="str">
        <f aca="false">IF($A269="","",ROUND(G269*IF(D269="Hourly",N(INDEX(Workers!$N$5:$N$2004,MATCH($A269,Workers!$A$5:$A$2004,0))),I269/Settings!$B$10/Settings!$B$12)*Settings!$B$13,2))</f>
        <v/>
      </c>
      <c r="N269" s="26" t="str">
        <f aca="false">IF($A269="","",K269+L269+M269)</f>
        <v/>
      </c>
      <c r="O269" s="26" t="str">
        <f aca="false">IF($A269="","",SUMIFS(Deductions!$D$5:$D$2000,Deductions!$B$5:$B$2000,$A269,Deductions!$C$5:$C$2000,"Advance",Deductions!$E$5:$E$2000,"&gt;="&amp;Settings!$B$8,Deductions!$E$5:$E$2000,"&lt;="&amp;Settings!$B$9))</f>
        <v/>
      </c>
      <c r="P269" s="26" t="str">
        <f aca="false">IF($A269="","",SUMIFS(Deductions!$D$5:$D$2000,Deductions!$B$5:$B$2000,$A269,Deductions!$E$5:$E$2000,"&gt;="&amp;Settings!$B$8,Deductions!$E$5:$E$2000,"&lt;="&amp;Settings!$B$9)-O269)</f>
        <v/>
      </c>
      <c r="Q269" s="26" t="str">
        <f aca="false">IF($A269="","",O269+P269)</f>
        <v/>
      </c>
      <c r="R269" s="23" t="str">
        <f aca="false">IF($A269="","",N269-Q269)</f>
        <v/>
      </c>
      <c r="S269" s="24" t="str">
        <f aca="false">IF($A269="","",INDEX(Workers!$O$5:$O$2004,MATCH($A269,Workers!$A$5:$A$2004,0))&amp;"")</f>
        <v/>
      </c>
      <c r="T269" s="24" t="str">
        <f aca="false">IF($A269="","",INDEX(Workers!$P$5:$P$2004,MATCH($A269,Workers!$A$5:$A$2004,0))&amp;"")</f>
        <v/>
      </c>
      <c r="U269" s="24" t="str">
        <f aca="false">IF($A269="","",INDEX(Workers!$H$5:$H$2004,MATCH($A269,Workers!$A$5:$A$2004,0))&amp;"")</f>
        <v/>
      </c>
    </row>
    <row r="270" customFormat="false" ht="15" hidden="false" customHeight="false" outlineLevel="0" collapsed="false">
      <c r="A270" s="24" t="str">
        <f aca="false">IFERROR(INDEX(Workers!$A$5:$A$2004,MATCH(ROW()-4,Workers!$U$5:$U$2004,0)),"")</f>
        <v/>
      </c>
      <c r="B270" s="24" t="str">
        <f aca="false">IF($A270="","",INDEX(Workers!$B$5:$B$2004,MATCH($A270,Workers!$A$5:$A$2004,0)))</f>
        <v/>
      </c>
      <c r="C270" s="24" t="str">
        <f aca="false">IF($A270="","",INDEX(Workers!$E$5:$E$2004,MATCH($A270,Workers!$A$5:$A$2004,0)))</f>
        <v/>
      </c>
      <c r="D270" s="24" t="str">
        <f aca="false">IF($A270="","",INDEX(Workers!$K$5:$K$2004,MATCH($A270,Workers!$A$5:$A$2004,0)))</f>
        <v/>
      </c>
      <c r="E270" s="25" t="str">
        <f aca="false">IF($A270="","",SUMIFS(Timesheet!$E$5:$E$3004,Timesheet!$D$5:$D$3004,$A270,Timesheet!$A$5:$A$3004,"&gt;="&amp;Settings!$B$8,Timesheet!$A$5:$A$3004,"&lt;="&amp;Settings!$B$9))</f>
        <v/>
      </c>
      <c r="F270" s="25" t="str">
        <f aca="false">IF($A270="","",SUMIFS(Timesheet!$F$5:$F$3004,Timesheet!$D$5:$D$3004,$A270,Timesheet!$A$5:$A$3004,"&gt;="&amp;Settings!$B$8,Timesheet!$A$5:$A$3004,"&lt;="&amp;Settings!$B$9))</f>
        <v/>
      </c>
      <c r="G270" s="25" t="str">
        <f aca="false">IF($A270="","",SUMIFS(Timesheet!$G$5:$G$3004,Timesheet!$D$5:$D$3004,$A270,Timesheet!$A$5:$A$3004,"&gt;="&amp;Settings!$B$8,Timesheet!$A$5:$A$3004,"&lt;="&amp;Settings!$B$9))</f>
        <v/>
      </c>
      <c r="H270" s="25" t="str">
        <f aca="false">IF($A270="","",IF(D270="Monthly",MAX(0,Settings!$B$11-E270),0))</f>
        <v/>
      </c>
      <c r="I270" s="26" t="str">
        <f aca="false">IF($A270="","",N(INDEX(Workers!$L$5:$L$2004,MATCH($A270,Workers!$A$5:$A$2004,0))))</f>
        <v/>
      </c>
      <c r="J270" s="26" t="str">
        <f aca="false">IF($A270="","",N(INDEX(Workers!$M$5:$M$2004,MATCH($A270,Workers!$A$5:$A$2004,0))))</f>
        <v/>
      </c>
      <c r="K270" s="26" t="str">
        <f aca="false">IF($A270="","",IF(D270="Monthly",ROUND(MAX(0,(I270+J270)-(I270+J270)/Settings!$B$10*H270),2),0))</f>
        <v/>
      </c>
      <c r="L270" s="26" t="str">
        <f aca="false">IF($A270="","",IF(D270="Hourly",ROUND(F270*N(INDEX(Workers!$N$5:$N$2004,MATCH($A270,Workers!$A$5:$A$2004,0))),2),0))</f>
        <v/>
      </c>
      <c r="M270" s="26" t="str">
        <f aca="false">IF($A270="","",ROUND(G270*IF(D270="Hourly",N(INDEX(Workers!$N$5:$N$2004,MATCH($A270,Workers!$A$5:$A$2004,0))),I270/Settings!$B$10/Settings!$B$12)*Settings!$B$13,2))</f>
        <v/>
      </c>
      <c r="N270" s="26" t="str">
        <f aca="false">IF($A270="","",K270+L270+M270)</f>
        <v/>
      </c>
      <c r="O270" s="26" t="str">
        <f aca="false">IF($A270="","",SUMIFS(Deductions!$D$5:$D$2000,Deductions!$B$5:$B$2000,$A270,Deductions!$C$5:$C$2000,"Advance",Deductions!$E$5:$E$2000,"&gt;="&amp;Settings!$B$8,Deductions!$E$5:$E$2000,"&lt;="&amp;Settings!$B$9))</f>
        <v/>
      </c>
      <c r="P270" s="26" t="str">
        <f aca="false">IF($A270="","",SUMIFS(Deductions!$D$5:$D$2000,Deductions!$B$5:$B$2000,$A270,Deductions!$E$5:$E$2000,"&gt;="&amp;Settings!$B$8,Deductions!$E$5:$E$2000,"&lt;="&amp;Settings!$B$9)-O270)</f>
        <v/>
      </c>
      <c r="Q270" s="26" t="str">
        <f aca="false">IF($A270="","",O270+P270)</f>
        <v/>
      </c>
      <c r="R270" s="23" t="str">
        <f aca="false">IF($A270="","",N270-Q270)</f>
        <v/>
      </c>
      <c r="S270" s="24" t="str">
        <f aca="false">IF($A270="","",INDEX(Workers!$O$5:$O$2004,MATCH($A270,Workers!$A$5:$A$2004,0))&amp;"")</f>
        <v/>
      </c>
      <c r="T270" s="24" t="str">
        <f aca="false">IF($A270="","",INDEX(Workers!$P$5:$P$2004,MATCH($A270,Workers!$A$5:$A$2004,0))&amp;"")</f>
        <v/>
      </c>
      <c r="U270" s="24" t="str">
        <f aca="false">IF($A270="","",INDEX(Workers!$H$5:$H$2004,MATCH($A270,Workers!$A$5:$A$2004,0))&amp;"")</f>
        <v/>
      </c>
    </row>
    <row r="271" customFormat="false" ht="15" hidden="false" customHeight="false" outlineLevel="0" collapsed="false">
      <c r="A271" s="24" t="str">
        <f aca="false">IFERROR(INDEX(Workers!$A$5:$A$2004,MATCH(ROW()-4,Workers!$U$5:$U$2004,0)),"")</f>
        <v/>
      </c>
      <c r="B271" s="24" t="str">
        <f aca="false">IF($A271="","",INDEX(Workers!$B$5:$B$2004,MATCH($A271,Workers!$A$5:$A$2004,0)))</f>
        <v/>
      </c>
      <c r="C271" s="24" t="str">
        <f aca="false">IF($A271="","",INDEX(Workers!$E$5:$E$2004,MATCH($A271,Workers!$A$5:$A$2004,0)))</f>
        <v/>
      </c>
      <c r="D271" s="24" t="str">
        <f aca="false">IF($A271="","",INDEX(Workers!$K$5:$K$2004,MATCH($A271,Workers!$A$5:$A$2004,0)))</f>
        <v/>
      </c>
      <c r="E271" s="25" t="str">
        <f aca="false">IF($A271="","",SUMIFS(Timesheet!$E$5:$E$3004,Timesheet!$D$5:$D$3004,$A271,Timesheet!$A$5:$A$3004,"&gt;="&amp;Settings!$B$8,Timesheet!$A$5:$A$3004,"&lt;="&amp;Settings!$B$9))</f>
        <v/>
      </c>
      <c r="F271" s="25" t="str">
        <f aca="false">IF($A271="","",SUMIFS(Timesheet!$F$5:$F$3004,Timesheet!$D$5:$D$3004,$A271,Timesheet!$A$5:$A$3004,"&gt;="&amp;Settings!$B$8,Timesheet!$A$5:$A$3004,"&lt;="&amp;Settings!$B$9))</f>
        <v/>
      </c>
      <c r="G271" s="25" t="str">
        <f aca="false">IF($A271="","",SUMIFS(Timesheet!$G$5:$G$3004,Timesheet!$D$5:$D$3004,$A271,Timesheet!$A$5:$A$3004,"&gt;="&amp;Settings!$B$8,Timesheet!$A$5:$A$3004,"&lt;="&amp;Settings!$B$9))</f>
        <v/>
      </c>
      <c r="H271" s="25" t="str">
        <f aca="false">IF($A271="","",IF(D271="Monthly",MAX(0,Settings!$B$11-E271),0))</f>
        <v/>
      </c>
      <c r="I271" s="26" t="str">
        <f aca="false">IF($A271="","",N(INDEX(Workers!$L$5:$L$2004,MATCH($A271,Workers!$A$5:$A$2004,0))))</f>
        <v/>
      </c>
      <c r="J271" s="26" t="str">
        <f aca="false">IF($A271="","",N(INDEX(Workers!$M$5:$M$2004,MATCH($A271,Workers!$A$5:$A$2004,0))))</f>
        <v/>
      </c>
      <c r="K271" s="26" t="str">
        <f aca="false">IF($A271="","",IF(D271="Monthly",ROUND(MAX(0,(I271+J271)-(I271+J271)/Settings!$B$10*H271),2),0))</f>
        <v/>
      </c>
      <c r="L271" s="26" t="str">
        <f aca="false">IF($A271="","",IF(D271="Hourly",ROUND(F271*N(INDEX(Workers!$N$5:$N$2004,MATCH($A271,Workers!$A$5:$A$2004,0))),2),0))</f>
        <v/>
      </c>
      <c r="M271" s="26" t="str">
        <f aca="false">IF($A271="","",ROUND(G271*IF(D271="Hourly",N(INDEX(Workers!$N$5:$N$2004,MATCH($A271,Workers!$A$5:$A$2004,0))),I271/Settings!$B$10/Settings!$B$12)*Settings!$B$13,2))</f>
        <v/>
      </c>
      <c r="N271" s="26" t="str">
        <f aca="false">IF($A271="","",K271+L271+M271)</f>
        <v/>
      </c>
      <c r="O271" s="26" t="str">
        <f aca="false">IF($A271="","",SUMIFS(Deductions!$D$5:$D$2000,Deductions!$B$5:$B$2000,$A271,Deductions!$C$5:$C$2000,"Advance",Deductions!$E$5:$E$2000,"&gt;="&amp;Settings!$B$8,Deductions!$E$5:$E$2000,"&lt;="&amp;Settings!$B$9))</f>
        <v/>
      </c>
      <c r="P271" s="26" t="str">
        <f aca="false">IF($A271="","",SUMIFS(Deductions!$D$5:$D$2000,Deductions!$B$5:$B$2000,$A271,Deductions!$E$5:$E$2000,"&gt;="&amp;Settings!$B$8,Deductions!$E$5:$E$2000,"&lt;="&amp;Settings!$B$9)-O271)</f>
        <v/>
      </c>
      <c r="Q271" s="26" t="str">
        <f aca="false">IF($A271="","",O271+P271)</f>
        <v/>
      </c>
      <c r="R271" s="23" t="str">
        <f aca="false">IF($A271="","",N271-Q271)</f>
        <v/>
      </c>
      <c r="S271" s="24" t="str">
        <f aca="false">IF($A271="","",INDEX(Workers!$O$5:$O$2004,MATCH($A271,Workers!$A$5:$A$2004,0))&amp;"")</f>
        <v/>
      </c>
      <c r="T271" s="24" t="str">
        <f aca="false">IF($A271="","",INDEX(Workers!$P$5:$P$2004,MATCH($A271,Workers!$A$5:$A$2004,0))&amp;"")</f>
        <v/>
      </c>
      <c r="U271" s="24" t="str">
        <f aca="false">IF($A271="","",INDEX(Workers!$H$5:$H$2004,MATCH($A271,Workers!$A$5:$A$2004,0))&amp;"")</f>
        <v/>
      </c>
    </row>
    <row r="272" customFormat="false" ht="15" hidden="false" customHeight="false" outlineLevel="0" collapsed="false">
      <c r="A272" s="24" t="str">
        <f aca="false">IFERROR(INDEX(Workers!$A$5:$A$2004,MATCH(ROW()-4,Workers!$U$5:$U$2004,0)),"")</f>
        <v/>
      </c>
      <c r="B272" s="24" t="str">
        <f aca="false">IF($A272="","",INDEX(Workers!$B$5:$B$2004,MATCH($A272,Workers!$A$5:$A$2004,0)))</f>
        <v/>
      </c>
      <c r="C272" s="24" t="str">
        <f aca="false">IF($A272="","",INDEX(Workers!$E$5:$E$2004,MATCH($A272,Workers!$A$5:$A$2004,0)))</f>
        <v/>
      </c>
      <c r="D272" s="24" t="str">
        <f aca="false">IF($A272="","",INDEX(Workers!$K$5:$K$2004,MATCH($A272,Workers!$A$5:$A$2004,0)))</f>
        <v/>
      </c>
      <c r="E272" s="25" t="str">
        <f aca="false">IF($A272="","",SUMIFS(Timesheet!$E$5:$E$3004,Timesheet!$D$5:$D$3004,$A272,Timesheet!$A$5:$A$3004,"&gt;="&amp;Settings!$B$8,Timesheet!$A$5:$A$3004,"&lt;="&amp;Settings!$B$9))</f>
        <v/>
      </c>
      <c r="F272" s="25" t="str">
        <f aca="false">IF($A272="","",SUMIFS(Timesheet!$F$5:$F$3004,Timesheet!$D$5:$D$3004,$A272,Timesheet!$A$5:$A$3004,"&gt;="&amp;Settings!$B$8,Timesheet!$A$5:$A$3004,"&lt;="&amp;Settings!$B$9))</f>
        <v/>
      </c>
      <c r="G272" s="25" t="str">
        <f aca="false">IF($A272="","",SUMIFS(Timesheet!$G$5:$G$3004,Timesheet!$D$5:$D$3004,$A272,Timesheet!$A$5:$A$3004,"&gt;="&amp;Settings!$B$8,Timesheet!$A$5:$A$3004,"&lt;="&amp;Settings!$B$9))</f>
        <v/>
      </c>
      <c r="H272" s="25" t="str">
        <f aca="false">IF($A272="","",IF(D272="Monthly",MAX(0,Settings!$B$11-E272),0))</f>
        <v/>
      </c>
      <c r="I272" s="26" t="str">
        <f aca="false">IF($A272="","",N(INDEX(Workers!$L$5:$L$2004,MATCH($A272,Workers!$A$5:$A$2004,0))))</f>
        <v/>
      </c>
      <c r="J272" s="26" t="str">
        <f aca="false">IF($A272="","",N(INDEX(Workers!$M$5:$M$2004,MATCH($A272,Workers!$A$5:$A$2004,0))))</f>
        <v/>
      </c>
      <c r="K272" s="26" t="str">
        <f aca="false">IF($A272="","",IF(D272="Monthly",ROUND(MAX(0,(I272+J272)-(I272+J272)/Settings!$B$10*H272),2),0))</f>
        <v/>
      </c>
      <c r="L272" s="26" t="str">
        <f aca="false">IF($A272="","",IF(D272="Hourly",ROUND(F272*N(INDEX(Workers!$N$5:$N$2004,MATCH($A272,Workers!$A$5:$A$2004,0))),2),0))</f>
        <v/>
      </c>
      <c r="M272" s="26" t="str">
        <f aca="false">IF($A272="","",ROUND(G272*IF(D272="Hourly",N(INDEX(Workers!$N$5:$N$2004,MATCH($A272,Workers!$A$5:$A$2004,0))),I272/Settings!$B$10/Settings!$B$12)*Settings!$B$13,2))</f>
        <v/>
      </c>
      <c r="N272" s="26" t="str">
        <f aca="false">IF($A272="","",K272+L272+M272)</f>
        <v/>
      </c>
      <c r="O272" s="26" t="str">
        <f aca="false">IF($A272="","",SUMIFS(Deductions!$D$5:$D$2000,Deductions!$B$5:$B$2000,$A272,Deductions!$C$5:$C$2000,"Advance",Deductions!$E$5:$E$2000,"&gt;="&amp;Settings!$B$8,Deductions!$E$5:$E$2000,"&lt;="&amp;Settings!$B$9))</f>
        <v/>
      </c>
      <c r="P272" s="26" t="str">
        <f aca="false">IF($A272="","",SUMIFS(Deductions!$D$5:$D$2000,Deductions!$B$5:$B$2000,$A272,Deductions!$E$5:$E$2000,"&gt;="&amp;Settings!$B$8,Deductions!$E$5:$E$2000,"&lt;="&amp;Settings!$B$9)-O272)</f>
        <v/>
      </c>
      <c r="Q272" s="26" t="str">
        <f aca="false">IF($A272="","",O272+P272)</f>
        <v/>
      </c>
      <c r="R272" s="23" t="str">
        <f aca="false">IF($A272="","",N272-Q272)</f>
        <v/>
      </c>
      <c r="S272" s="24" t="str">
        <f aca="false">IF($A272="","",INDEX(Workers!$O$5:$O$2004,MATCH($A272,Workers!$A$5:$A$2004,0))&amp;"")</f>
        <v/>
      </c>
      <c r="T272" s="24" t="str">
        <f aca="false">IF($A272="","",INDEX(Workers!$P$5:$P$2004,MATCH($A272,Workers!$A$5:$A$2004,0))&amp;"")</f>
        <v/>
      </c>
      <c r="U272" s="24" t="str">
        <f aca="false">IF($A272="","",INDEX(Workers!$H$5:$H$2004,MATCH($A272,Workers!$A$5:$A$2004,0))&amp;"")</f>
        <v/>
      </c>
    </row>
    <row r="273" customFormat="false" ht="15" hidden="false" customHeight="false" outlineLevel="0" collapsed="false">
      <c r="A273" s="24" t="str">
        <f aca="false">IFERROR(INDEX(Workers!$A$5:$A$2004,MATCH(ROW()-4,Workers!$U$5:$U$2004,0)),"")</f>
        <v/>
      </c>
      <c r="B273" s="24" t="str">
        <f aca="false">IF($A273="","",INDEX(Workers!$B$5:$B$2004,MATCH($A273,Workers!$A$5:$A$2004,0)))</f>
        <v/>
      </c>
      <c r="C273" s="24" t="str">
        <f aca="false">IF($A273="","",INDEX(Workers!$E$5:$E$2004,MATCH($A273,Workers!$A$5:$A$2004,0)))</f>
        <v/>
      </c>
      <c r="D273" s="24" t="str">
        <f aca="false">IF($A273="","",INDEX(Workers!$K$5:$K$2004,MATCH($A273,Workers!$A$5:$A$2004,0)))</f>
        <v/>
      </c>
      <c r="E273" s="25" t="str">
        <f aca="false">IF($A273="","",SUMIFS(Timesheet!$E$5:$E$3004,Timesheet!$D$5:$D$3004,$A273,Timesheet!$A$5:$A$3004,"&gt;="&amp;Settings!$B$8,Timesheet!$A$5:$A$3004,"&lt;="&amp;Settings!$B$9))</f>
        <v/>
      </c>
      <c r="F273" s="25" t="str">
        <f aca="false">IF($A273="","",SUMIFS(Timesheet!$F$5:$F$3004,Timesheet!$D$5:$D$3004,$A273,Timesheet!$A$5:$A$3004,"&gt;="&amp;Settings!$B$8,Timesheet!$A$5:$A$3004,"&lt;="&amp;Settings!$B$9))</f>
        <v/>
      </c>
      <c r="G273" s="25" t="str">
        <f aca="false">IF($A273="","",SUMIFS(Timesheet!$G$5:$G$3004,Timesheet!$D$5:$D$3004,$A273,Timesheet!$A$5:$A$3004,"&gt;="&amp;Settings!$B$8,Timesheet!$A$5:$A$3004,"&lt;="&amp;Settings!$B$9))</f>
        <v/>
      </c>
      <c r="H273" s="25" t="str">
        <f aca="false">IF($A273="","",IF(D273="Monthly",MAX(0,Settings!$B$11-E273),0))</f>
        <v/>
      </c>
      <c r="I273" s="26" t="str">
        <f aca="false">IF($A273="","",N(INDEX(Workers!$L$5:$L$2004,MATCH($A273,Workers!$A$5:$A$2004,0))))</f>
        <v/>
      </c>
      <c r="J273" s="26" t="str">
        <f aca="false">IF($A273="","",N(INDEX(Workers!$M$5:$M$2004,MATCH($A273,Workers!$A$5:$A$2004,0))))</f>
        <v/>
      </c>
      <c r="K273" s="26" t="str">
        <f aca="false">IF($A273="","",IF(D273="Monthly",ROUND(MAX(0,(I273+J273)-(I273+J273)/Settings!$B$10*H273),2),0))</f>
        <v/>
      </c>
      <c r="L273" s="26" t="str">
        <f aca="false">IF($A273="","",IF(D273="Hourly",ROUND(F273*N(INDEX(Workers!$N$5:$N$2004,MATCH($A273,Workers!$A$5:$A$2004,0))),2),0))</f>
        <v/>
      </c>
      <c r="M273" s="26" t="str">
        <f aca="false">IF($A273="","",ROUND(G273*IF(D273="Hourly",N(INDEX(Workers!$N$5:$N$2004,MATCH($A273,Workers!$A$5:$A$2004,0))),I273/Settings!$B$10/Settings!$B$12)*Settings!$B$13,2))</f>
        <v/>
      </c>
      <c r="N273" s="26" t="str">
        <f aca="false">IF($A273="","",K273+L273+M273)</f>
        <v/>
      </c>
      <c r="O273" s="26" t="str">
        <f aca="false">IF($A273="","",SUMIFS(Deductions!$D$5:$D$2000,Deductions!$B$5:$B$2000,$A273,Deductions!$C$5:$C$2000,"Advance",Deductions!$E$5:$E$2000,"&gt;="&amp;Settings!$B$8,Deductions!$E$5:$E$2000,"&lt;="&amp;Settings!$B$9))</f>
        <v/>
      </c>
      <c r="P273" s="26" t="str">
        <f aca="false">IF($A273="","",SUMIFS(Deductions!$D$5:$D$2000,Deductions!$B$5:$B$2000,$A273,Deductions!$E$5:$E$2000,"&gt;="&amp;Settings!$B$8,Deductions!$E$5:$E$2000,"&lt;="&amp;Settings!$B$9)-O273)</f>
        <v/>
      </c>
      <c r="Q273" s="26" t="str">
        <f aca="false">IF($A273="","",O273+P273)</f>
        <v/>
      </c>
      <c r="R273" s="23" t="str">
        <f aca="false">IF($A273="","",N273-Q273)</f>
        <v/>
      </c>
      <c r="S273" s="24" t="str">
        <f aca="false">IF($A273="","",INDEX(Workers!$O$5:$O$2004,MATCH($A273,Workers!$A$5:$A$2004,0))&amp;"")</f>
        <v/>
      </c>
      <c r="T273" s="24" t="str">
        <f aca="false">IF($A273="","",INDEX(Workers!$P$5:$P$2004,MATCH($A273,Workers!$A$5:$A$2004,0))&amp;"")</f>
        <v/>
      </c>
      <c r="U273" s="24" t="str">
        <f aca="false">IF($A273="","",INDEX(Workers!$H$5:$H$2004,MATCH($A273,Workers!$A$5:$A$2004,0))&amp;"")</f>
        <v/>
      </c>
    </row>
    <row r="274" customFormat="false" ht="15" hidden="false" customHeight="false" outlineLevel="0" collapsed="false">
      <c r="A274" s="24" t="str">
        <f aca="false">IFERROR(INDEX(Workers!$A$5:$A$2004,MATCH(ROW()-4,Workers!$U$5:$U$2004,0)),"")</f>
        <v/>
      </c>
      <c r="B274" s="24" t="str">
        <f aca="false">IF($A274="","",INDEX(Workers!$B$5:$B$2004,MATCH($A274,Workers!$A$5:$A$2004,0)))</f>
        <v/>
      </c>
      <c r="C274" s="24" t="str">
        <f aca="false">IF($A274="","",INDEX(Workers!$E$5:$E$2004,MATCH($A274,Workers!$A$5:$A$2004,0)))</f>
        <v/>
      </c>
      <c r="D274" s="24" t="str">
        <f aca="false">IF($A274="","",INDEX(Workers!$K$5:$K$2004,MATCH($A274,Workers!$A$5:$A$2004,0)))</f>
        <v/>
      </c>
      <c r="E274" s="25" t="str">
        <f aca="false">IF($A274="","",SUMIFS(Timesheet!$E$5:$E$3004,Timesheet!$D$5:$D$3004,$A274,Timesheet!$A$5:$A$3004,"&gt;="&amp;Settings!$B$8,Timesheet!$A$5:$A$3004,"&lt;="&amp;Settings!$B$9))</f>
        <v/>
      </c>
      <c r="F274" s="25" t="str">
        <f aca="false">IF($A274="","",SUMIFS(Timesheet!$F$5:$F$3004,Timesheet!$D$5:$D$3004,$A274,Timesheet!$A$5:$A$3004,"&gt;="&amp;Settings!$B$8,Timesheet!$A$5:$A$3004,"&lt;="&amp;Settings!$B$9))</f>
        <v/>
      </c>
      <c r="G274" s="25" t="str">
        <f aca="false">IF($A274="","",SUMIFS(Timesheet!$G$5:$G$3004,Timesheet!$D$5:$D$3004,$A274,Timesheet!$A$5:$A$3004,"&gt;="&amp;Settings!$B$8,Timesheet!$A$5:$A$3004,"&lt;="&amp;Settings!$B$9))</f>
        <v/>
      </c>
      <c r="H274" s="25" t="str">
        <f aca="false">IF($A274="","",IF(D274="Monthly",MAX(0,Settings!$B$11-E274),0))</f>
        <v/>
      </c>
      <c r="I274" s="26" t="str">
        <f aca="false">IF($A274="","",N(INDEX(Workers!$L$5:$L$2004,MATCH($A274,Workers!$A$5:$A$2004,0))))</f>
        <v/>
      </c>
      <c r="J274" s="26" t="str">
        <f aca="false">IF($A274="","",N(INDEX(Workers!$M$5:$M$2004,MATCH($A274,Workers!$A$5:$A$2004,0))))</f>
        <v/>
      </c>
      <c r="K274" s="26" t="str">
        <f aca="false">IF($A274="","",IF(D274="Monthly",ROUND(MAX(0,(I274+J274)-(I274+J274)/Settings!$B$10*H274),2),0))</f>
        <v/>
      </c>
      <c r="L274" s="26" t="str">
        <f aca="false">IF($A274="","",IF(D274="Hourly",ROUND(F274*N(INDEX(Workers!$N$5:$N$2004,MATCH($A274,Workers!$A$5:$A$2004,0))),2),0))</f>
        <v/>
      </c>
      <c r="M274" s="26" t="str">
        <f aca="false">IF($A274="","",ROUND(G274*IF(D274="Hourly",N(INDEX(Workers!$N$5:$N$2004,MATCH($A274,Workers!$A$5:$A$2004,0))),I274/Settings!$B$10/Settings!$B$12)*Settings!$B$13,2))</f>
        <v/>
      </c>
      <c r="N274" s="26" t="str">
        <f aca="false">IF($A274="","",K274+L274+M274)</f>
        <v/>
      </c>
      <c r="O274" s="26" t="str">
        <f aca="false">IF($A274="","",SUMIFS(Deductions!$D$5:$D$2000,Deductions!$B$5:$B$2000,$A274,Deductions!$C$5:$C$2000,"Advance",Deductions!$E$5:$E$2000,"&gt;="&amp;Settings!$B$8,Deductions!$E$5:$E$2000,"&lt;="&amp;Settings!$B$9))</f>
        <v/>
      </c>
      <c r="P274" s="26" t="str">
        <f aca="false">IF($A274="","",SUMIFS(Deductions!$D$5:$D$2000,Deductions!$B$5:$B$2000,$A274,Deductions!$E$5:$E$2000,"&gt;="&amp;Settings!$B$8,Deductions!$E$5:$E$2000,"&lt;="&amp;Settings!$B$9)-O274)</f>
        <v/>
      </c>
      <c r="Q274" s="26" t="str">
        <f aca="false">IF($A274="","",O274+P274)</f>
        <v/>
      </c>
      <c r="R274" s="23" t="str">
        <f aca="false">IF($A274="","",N274-Q274)</f>
        <v/>
      </c>
      <c r="S274" s="24" t="str">
        <f aca="false">IF($A274="","",INDEX(Workers!$O$5:$O$2004,MATCH($A274,Workers!$A$5:$A$2004,0))&amp;"")</f>
        <v/>
      </c>
      <c r="T274" s="24" t="str">
        <f aca="false">IF($A274="","",INDEX(Workers!$P$5:$P$2004,MATCH($A274,Workers!$A$5:$A$2004,0))&amp;"")</f>
        <v/>
      </c>
      <c r="U274" s="24" t="str">
        <f aca="false">IF($A274="","",INDEX(Workers!$H$5:$H$2004,MATCH($A274,Workers!$A$5:$A$2004,0))&amp;"")</f>
        <v/>
      </c>
    </row>
    <row r="275" customFormat="false" ht="15" hidden="false" customHeight="false" outlineLevel="0" collapsed="false">
      <c r="A275" s="24" t="str">
        <f aca="false">IFERROR(INDEX(Workers!$A$5:$A$2004,MATCH(ROW()-4,Workers!$U$5:$U$2004,0)),"")</f>
        <v/>
      </c>
      <c r="B275" s="24" t="str">
        <f aca="false">IF($A275="","",INDEX(Workers!$B$5:$B$2004,MATCH($A275,Workers!$A$5:$A$2004,0)))</f>
        <v/>
      </c>
      <c r="C275" s="24" t="str">
        <f aca="false">IF($A275="","",INDEX(Workers!$E$5:$E$2004,MATCH($A275,Workers!$A$5:$A$2004,0)))</f>
        <v/>
      </c>
      <c r="D275" s="24" t="str">
        <f aca="false">IF($A275="","",INDEX(Workers!$K$5:$K$2004,MATCH($A275,Workers!$A$5:$A$2004,0)))</f>
        <v/>
      </c>
      <c r="E275" s="25" t="str">
        <f aca="false">IF($A275="","",SUMIFS(Timesheet!$E$5:$E$3004,Timesheet!$D$5:$D$3004,$A275,Timesheet!$A$5:$A$3004,"&gt;="&amp;Settings!$B$8,Timesheet!$A$5:$A$3004,"&lt;="&amp;Settings!$B$9))</f>
        <v/>
      </c>
      <c r="F275" s="25" t="str">
        <f aca="false">IF($A275="","",SUMIFS(Timesheet!$F$5:$F$3004,Timesheet!$D$5:$D$3004,$A275,Timesheet!$A$5:$A$3004,"&gt;="&amp;Settings!$B$8,Timesheet!$A$5:$A$3004,"&lt;="&amp;Settings!$B$9))</f>
        <v/>
      </c>
      <c r="G275" s="25" t="str">
        <f aca="false">IF($A275="","",SUMIFS(Timesheet!$G$5:$G$3004,Timesheet!$D$5:$D$3004,$A275,Timesheet!$A$5:$A$3004,"&gt;="&amp;Settings!$B$8,Timesheet!$A$5:$A$3004,"&lt;="&amp;Settings!$B$9))</f>
        <v/>
      </c>
      <c r="H275" s="25" t="str">
        <f aca="false">IF($A275="","",IF(D275="Monthly",MAX(0,Settings!$B$11-E275),0))</f>
        <v/>
      </c>
      <c r="I275" s="26" t="str">
        <f aca="false">IF($A275="","",N(INDEX(Workers!$L$5:$L$2004,MATCH($A275,Workers!$A$5:$A$2004,0))))</f>
        <v/>
      </c>
      <c r="J275" s="26" t="str">
        <f aca="false">IF($A275="","",N(INDEX(Workers!$M$5:$M$2004,MATCH($A275,Workers!$A$5:$A$2004,0))))</f>
        <v/>
      </c>
      <c r="K275" s="26" t="str">
        <f aca="false">IF($A275="","",IF(D275="Monthly",ROUND(MAX(0,(I275+J275)-(I275+J275)/Settings!$B$10*H275),2),0))</f>
        <v/>
      </c>
      <c r="L275" s="26" t="str">
        <f aca="false">IF($A275="","",IF(D275="Hourly",ROUND(F275*N(INDEX(Workers!$N$5:$N$2004,MATCH($A275,Workers!$A$5:$A$2004,0))),2),0))</f>
        <v/>
      </c>
      <c r="M275" s="26" t="str">
        <f aca="false">IF($A275="","",ROUND(G275*IF(D275="Hourly",N(INDEX(Workers!$N$5:$N$2004,MATCH($A275,Workers!$A$5:$A$2004,0))),I275/Settings!$B$10/Settings!$B$12)*Settings!$B$13,2))</f>
        <v/>
      </c>
      <c r="N275" s="26" t="str">
        <f aca="false">IF($A275="","",K275+L275+M275)</f>
        <v/>
      </c>
      <c r="O275" s="26" t="str">
        <f aca="false">IF($A275="","",SUMIFS(Deductions!$D$5:$D$2000,Deductions!$B$5:$B$2000,$A275,Deductions!$C$5:$C$2000,"Advance",Deductions!$E$5:$E$2000,"&gt;="&amp;Settings!$B$8,Deductions!$E$5:$E$2000,"&lt;="&amp;Settings!$B$9))</f>
        <v/>
      </c>
      <c r="P275" s="26" t="str">
        <f aca="false">IF($A275="","",SUMIFS(Deductions!$D$5:$D$2000,Deductions!$B$5:$B$2000,$A275,Deductions!$E$5:$E$2000,"&gt;="&amp;Settings!$B$8,Deductions!$E$5:$E$2000,"&lt;="&amp;Settings!$B$9)-O275)</f>
        <v/>
      </c>
      <c r="Q275" s="26" t="str">
        <f aca="false">IF($A275="","",O275+P275)</f>
        <v/>
      </c>
      <c r="R275" s="23" t="str">
        <f aca="false">IF($A275="","",N275-Q275)</f>
        <v/>
      </c>
      <c r="S275" s="24" t="str">
        <f aca="false">IF($A275="","",INDEX(Workers!$O$5:$O$2004,MATCH($A275,Workers!$A$5:$A$2004,0))&amp;"")</f>
        <v/>
      </c>
      <c r="T275" s="24" t="str">
        <f aca="false">IF($A275="","",INDEX(Workers!$P$5:$P$2004,MATCH($A275,Workers!$A$5:$A$2004,0))&amp;"")</f>
        <v/>
      </c>
      <c r="U275" s="24" t="str">
        <f aca="false">IF($A275="","",INDEX(Workers!$H$5:$H$2004,MATCH($A275,Workers!$A$5:$A$2004,0))&amp;"")</f>
        <v/>
      </c>
    </row>
    <row r="276" customFormat="false" ht="15" hidden="false" customHeight="false" outlineLevel="0" collapsed="false">
      <c r="A276" s="24" t="str">
        <f aca="false">IFERROR(INDEX(Workers!$A$5:$A$2004,MATCH(ROW()-4,Workers!$U$5:$U$2004,0)),"")</f>
        <v/>
      </c>
      <c r="B276" s="24" t="str">
        <f aca="false">IF($A276="","",INDEX(Workers!$B$5:$B$2004,MATCH($A276,Workers!$A$5:$A$2004,0)))</f>
        <v/>
      </c>
      <c r="C276" s="24" t="str">
        <f aca="false">IF($A276="","",INDEX(Workers!$E$5:$E$2004,MATCH($A276,Workers!$A$5:$A$2004,0)))</f>
        <v/>
      </c>
      <c r="D276" s="24" t="str">
        <f aca="false">IF($A276="","",INDEX(Workers!$K$5:$K$2004,MATCH($A276,Workers!$A$5:$A$2004,0)))</f>
        <v/>
      </c>
      <c r="E276" s="25" t="str">
        <f aca="false">IF($A276="","",SUMIFS(Timesheet!$E$5:$E$3004,Timesheet!$D$5:$D$3004,$A276,Timesheet!$A$5:$A$3004,"&gt;="&amp;Settings!$B$8,Timesheet!$A$5:$A$3004,"&lt;="&amp;Settings!$B$9))</f>
        <v/>
      </c>
      <c r="F276" s="25" t="str">
        <f aca="false">IF($A276="","",SUMIFS(Timesheet!$F$5:$F$3004,Timesheet!$D$5:$D$3004,$A276,Timesheet!$A$5:$A$3004,"&gt;="&amp;Settings!$B$8,Timesheet!$A$5:$A$3004,"&lt;="&amp;Settings!$B$9))</f>
        <v/>
      </c>
      <c r="G276" s="25" t="str">
        <f aca="false">IF($A276="","",SUMIFS(Timesheet!$G$5:$G$3004,Timesheet!$D$5:$D$3004,$A276,Timesheet!$A$5:$A$3004,"&gt;="&amp;Settings!$B$8,Timesheet!$A$5:$A$3004,"&lt;="&amp;Settings!$B$9))</f>
        <v/>
      </c>
      <c r="H276" s="25" t="str">
        <f aca="false">IF($A276="","",IF(D276="Monthly",MAX(0,Settings!$B$11-E276),0))</f>
        <v/>
      </c>
      <c r="I276" s="26" t="str">
        <f aca="false">IF($A276="","",N(INDEX(Workers!$L$5:$L$2004,MATCH($A276,Workers!$A$5:$A$2004,0))))</f>
        <v/>
      </c>
      <c r="J276" s="26" t="str">
        <f aca="false">IF($A276="","",N(INDEX(Workers!$M$5:$M$2004,MATCH($A276,Workers!$A$5:$A$2004,0))))</f>
        <v/>
      </c>
      <c r="K276" s="26" t="str">
        <f aca="false">IF($A276="","",IF(D276="Monthly",ROUND(MAX(0,(I276+J276)-(I276+J276)/Settings!$B$10*H276),2),0))</f>
        <v/>
      </c>
      <c r="L276" s="26" t="str">
        <f aca="false">IF($A276="","",IF(D276="Hourly",ROUND(F276*N(INDEX(Workers!$N$5:$N$2004,MATCH($A276,Workers!$A$5:$A$2004,0))),2),0))</f>
        <v/>
      </c>
      <c r="M276" s="26" t="str">
        <f aca="false">IF($A276="","",ROUND(G276*IF(D276="Hourly",N(INDEX(Workers!$N$5:$N$2004,MATCH($A276,Workers!$A$5:$A$2004,0))),I276/Settings!$B$10/Settings!$B$12)*Settings!$B$13,2))</f>
        <v/>
      </c>
      <c r="N276" s="26" t="str">
        <f aca="false">IF($A276="","",K276+L276+M276)</f>
        <v/>
      </c>
      <c r="O276" s="26" t="str">
        <f aca="false">IF($A276="","",SUMIFS(Deductions!$D$5:$D$2000,Deductions!$B$5:$B$2000,$A276,Deductions!$C$5:$C$2000,"Advance",Deductions!$E$5:$E$2000,"&gt;="&amp;Settings!$B$8,Deductions!$E$5:$E$2000,"&lt;="&amp;Settings!$B$9))</f>
        <v/>
      </c>
      <c r="P276" s="26" t="str">
        <f aca="false">IF($A276="","",SUMIFS(Deductions!$D$5:$D$2000,Deductions!$B$5:$B$2000,$A276,Deductions!$E$5:$E$2000,"&gt;="&amp;Settings!$B$8,Deductions!$E$5:$E$2000,"&lt;="&amp;Settings!$B$9)-O276)</f>
        <v/>
      </c>
      <c r="Q276" s="26" t="str">
        <f aca="false">IF($A276="","",O276+P276)</f>
        <v/>
      </c>
      <c r="R276" s="23" t="str">
        <f aca="false">IF($A276="","",N276-Q276)</f>
        <v/>
      </c>
      <c r="S276" s="24" t="str">
        <f aca="false">IF($A276="","",INDEX(Workers!$O$5:$O$2004,MATCH($A276,Workers!$A$5:$A$2004,0))&amp;"")</f>
        <v/>
      </c>
      <c r="T276" s="24" t="str">
        <f aca="false">IF($A276="","",INDEX(Workers!$P$5:$P$2004,MATCH($A276,Workers!$A$5:$A$2004,0))&amp;"")</f>
        <v/>
      </c>
      <c r="U276" s="24" t="str">
        <f aca="false">IF($A276="","",INDEX(Workers!$H$5:$H$2004,MATCH($A276,Workers!$A$5:$A$2004,0))&amp;"")</f>
        <v/>
      </c>
    </row>
    <row r="277" customFormat="false" ht="15" hidden="false" customHeight="false" outlineLevel="0" collapsed="false">
      <c r="A277" s="24" t="str">
        <f aca="false">IFERROR(INDEX(Workers!$A$5:$A$2004,MATCH(ROW()-4,Workers!$U$5:$U$2004,0)),"")</f>
        <v/>
      </c>
      <c r="B277" s="24" t="str">
        <f aca="false">IF($A277="","",INDEX(Workers!$B$5:$B$2004,MATCH($A277,Workers!$A$5:$A$2004,0)))</f>
        <v/>
      </c>
      <c r="C277" s="24" t="str">
        <f aca="false">IF($A277="","",INDEX(Workers!$E$5:$E$2004,MATCH($A277,Workers!$A$5:$A$2004,0)))</f>
        <v/>
      </c>
      <c r="D277" s="24" t="str">
        <f aca="false">IF($A277="","",INDEX(Workers!$K$5:$K$2004,MATCH($A277,Workers!$A$5:$A$2004,0)))</f>
        <v/>
      </c>
      <c r="E277" s="25" t="str">
        <f aca="false">IF($A277="","",SUMIFS(Timesheet!$E$5:$E$3004,Timesheet!$D$5:$D$3004,$A277,Timesheet!$A$5:$A$3004,"&gt;="&amp;Settings!$B$8,Timesheet!$A$5:$A$3004,"&lt;="&amp;Settings!$B$9))</f>
        <v/>
      </c>
      <c r="F277" s="25" t="str">
        <f aca="false">IF($A277="","",SUMIFS(Timesheet!$F$5:$F$3004,Timesheet!$D$5:$D$3004,$A277,Timesheet!$A$5:$A$3004,"&gt;="&amp;Settings!$B$8,Timesheet!$A$5:$A$3004,"&lt;="&amp;Settings!$B$9))</f>
        <v/>
      </c>
      <c r="G277" s="25" t="str">
        <f aca="false">IF($A277="","",SUMIFS(Timesheet!$G$5:$G$3004,Timesheet!$D$5:$D$3004,$A277,Timesheet!$A$5:$A$3004,"&gt;="&amp;Settings!$B$8,Timesheet!$A$5:$A$3004,"&lt;="&amp;Settings!$B$9))</f>
        <v/>
      </c>
      <c r="H277" s="25" t="str">
        <f aca="false">IF($A277="","",IF(D277="Monthly",MAX(0,Settings!$B$11-E277),0))</f>
        <v/>
      </c>
      <c r="I277" s="26" t="str">
        <f aca="false">IF($A277="","",N(INDEX(Workers!$L$5:$L$2004,MATCH($A277,Workers!$A$5:$A$2004,0))))</f>
        <v/>
      </c>
      <c r="J277" s="26" t="str">
        <f aca="false">IF($A277="","",N(INDEX(Workers!$M$5:$M$2004,MATCH($A277,Workers!$A$5:$A$2004,0))))</f>
        <v/>
      </c>
      <c r="K277" s="26" t="str">
        <f aca="false">IF($A277="","",IF(D277="Monthly",ROUND(MAX(0,(I277+J277)-(I277+J277)/Settings!$B$10*H277),2),0))</f>
        <v/>
      </c>
      <c r="L277" s="26" t="str">
        <f aca="false">IF($A277="","",IF(D277="Hourly",ROUND(F277*N(INDEX(Workers!$N$5:$N$2004,MATCH($A277,Workers!$A$5:$A$2004,0))),2),0))</f>
        <v/>
      </c>
      <c r="M277" s="26" t="str">
        <f aca="false">IF($A277="","",ROUND(G277*IF(D277="Hourly",N(INDEX(Workers!$N$5:$N$2004,MATCH($A277,Workers!$A$5:$A$2004,0))),I277/Settings!$B$10/Settings!$B$12)*Settings!$B$13,2))</f>
        <v/>
      </c>
      <c r="N277" s="26" t="str">
        <f aca="false">IF($A277="","",K277+L277+M277)</f>
        <v/>
      </c>
      <c r="O277" s="26" t="str">
        <f aca="false">IF($A277="","",SUMIFS(Deductions!$D$5:$D$2000,Deductions!$B$5:$B$2000,$A277,Deductions!$C$5:$C$2000,"Advance",Deductions!$E$5:$E$2000,"&gt;="&amp;Settings!$B$8,Deductions!$E$5:$E$2000,"&lt;="&amp;Settings!$B$9))</f>
        <v/>
      </c>
      <c r="P277" s="26" t="str">
        <f aca="false">IF($A277="","",SUMIFS(Deductions!$D$5:$D$2000,Deductions!$B$5:$B$2000,$A277,Deductions!$E$5:$E$2000,"&gt;="&amp;Settings!$B$8,Deductions!$E$5:$E$2000,"&lt;="&amp;Settings!$B$9)-O277)</f>
        <v/>
      </c>
      <c r="Q277" s="26" t="str">
        <f aca="false">IF($A277="","",O277+P277)</f>
        <v/>
      </c>
      <c r="R277" s="23" t="str">
        <f aca="false">IF($A277="","",N277-Q277)</f>
        <v/>
      </c>
      <c r="S277" s="24" t="str">
        <f aca="false">IF($A277="","",INDEX(Workers!$O$5:$O$2004,MATCH($A277,Workers!$A$5:$A$2004,0))&amp;"")</f>
        <v/>
      </c>
      <c r="T277" s="24" t="str">
        <f aca="false">IF($A277="","",INDEX(Workers!$P$5:$P$2004,MATCH($A277,Workers!$A$5:$A$2004,0))&amp;"")</f>
        <v/>
      </c>
      <c r="U277" s="24" t="str">
        <f aca="false">IF($A277="","",INDEX(Workers!$H$5:$H$2004,MATCH($A277,Workers!$A$5:$A$2004,0))&amp;"")</f>
        <v/>
      </c>
    </row>
    <row r="278" customFormat="false" ht="15" hidden="false" customHeight="false" outlineLevel="0" collapsed="false">
      <c r="A278" s="24" t="str">
        <f aca="false">IFERROR(INDEX(Workers!$A$5:$A$2004,MATCH(ROW()-4,Workers!$U$5:$U$2004,0)),"")</f>
        <v/>
      </c>
      <c r="B278" s="24" t="str">
        <f aca="false">IF($A278="","",INDEX(Workers!$B$5:$B$2004,MATCH($A278,Workers!$A$5:$A$2004,0)))</f>
        <v/>
      </c>
      <c r="C278" s="24" t="str">
        <f aca="false">IF($A278="","",INDEX(Workers!$E$5:$E$2004,MATCH($A278,Workers!$A$5:$A$2004,0)))</f>
        <v/>
      </c>
      <c r="D278" s="24" t="str">
        <f aca="false">IF($A278="","",INDEX(Workers!$K$5:$K$2004,MATCH($A278,Workers!$A$5:$A$2004,0)))</f>
        <v/>
      </c>
      <c r="E278" s="25" t="str">
        <f aca="false">IF($A278="","",SUMIFS(Timesheet!$E$5:$E$3004,Timesheet!$D$5:$D$3004,$A278,Timesheet!$A$5:$A$3004,"&gt;="&amp;Settings!$B$8,Timesheet!$A$5:$A$3004,"&lt;="&amp;Settings!$B$9))</f>
        <v/>
      </c>
      <c r="F278" s="25" t="str">
        <f aca="false">IF($A278="","",SUMIFS(Timesheet!$F$5:$F$3004,Timesheet!$D$5:$D$3004,$A278,Timesheet!$A$5:$A$3004,"&gt;="&amp;Settings!$B$8,Timesheet!$A$5:$A$3004,"&lt;="&amp;Settings!$B$9))</f>
        <v/>
      </c>
      <c r="G278" s="25" t="str">
        <f aca="false">IF($A278="","",SUMIFS(Timesheet!$G$5:$G$3004,Timesheet!$D$5:$D$3004,$A278,Timesheet!$A$5:$A$3004,"&gt;="&amp;Settings!$B$8,Timesheet!$A$5:$A$3004,"&lt;="&amp;Settings!$B$9))</f>
        <v/>
      </c>
      <c r="H278" s="25" t="str">
        <f aca="false">IF($A278="","",IF(D278="Monthly",MAX(0,Settings!$B$11-E278),0))</f>
        <v/>
      </c>
      <c r="I278" s="26" t="str">
        <f aca="false">IF($A278="","",N(INDEX(Workers!$L$5:$L$2004,MATCH($A278,Workers!$A$5:$A$2004,0))))</f>
        <v/>
      </c>
      <c r="J278" s="26" t="str">
        <f aca="false">IF($A278="","",N(INDEX(Workers!$M$5:$M$2004,MATCH($A278,Workers!$A$5:$A$2004,0))))</f>
        <v/>
      </c>
      <c r="K278" s="26" t="str">
        <f aca="false">IF($A278="","",IF(D278="Monthly",ROUND(MAX(0,(I278+J278)-(I278+J278)/Settings!$B$10*H278),2),0))</f>
        <v/>
      </c>
      <c r="L278" s="26" t="str">
        <f aca="false">IF($A278="","",IF(D278="Hourly",ROUND(F278*N(INDEX(Workers!$N$5:$N$2004,MATCH($A278,Workers!$A$5:$A$2004,0))),2),0))</f>
        <v/>
      </c>
      <c r="M278" s="26" t="str">
        <f aca="false">IF($A278="","",ROUND(G278*IF(D278="Hourly",N(INDEX(Workers!$N$5:$N$2004,MATCH($A278,Workers!$A$5:$A$2004,0))),I278/Settings!$B$10/Settings!$B$12)*Settings!$B$13,2))</f>
        <v/>
      </c>
      <c r="N278" s="26" t="str">
        <f aca="false">IF($A278="","",K278+L278+M278)</f>
        <v/>
      </c>
      <c r="O278" s="26" t="str">
        <f aca="false">IF($A278="","",SUMIFS(Deductions!$D$5:$D$2000,Deductions!$B$5:$B$2000,$A278,Deductions!$C$5:$C$2000,"Advance",Deductions!$E$5:$E$2000,"&gt;="&amp;Settings!$B$8,Deductions!$E$5:$E$2000,"&lt;="&amp;Settings!$B$9))</f>
        <v/>
      </c>
      <c r="P278" s="26" t="str">
        <f aca="false">IF($A278="","",SUMIFS(Deductions!$D$5:$D$2000,Deductions!$B$5:$B$2000,$A278,Deductions!$E$5:$E$2000,"&gt;="&amp;Settings!$B$8,Deductions!$E$5:$E$2000,"&lt;="&amp;Settings!$B$9)-O278)</f>
        <v/>
      </c>
      <c r="Q278" s="26" t="str">
        <f aca="false">IF($A278="","",O278+P278)</f>
        <v/>
      </c>
      <c r="R278" s="23" t="str">
        <f aca="false">IF($A278="","",N278-Q278)</f>
        <v/>
      </c>
      <c r="S278" s="24" t="str">
        <f aca="false">IF($A278="","",INDEX(Workers!$O$5:$O$2004,MATCH($A278,Workers!$A$5:$A$2004,0))&amp;"")</f>
        <v/>
      </c>
      <c r="T278" s="24" t="str">
        <f aca="false">IF($A278="","",INDEX(Workers!$P$5:$P$2004,MATCH($A278,Workers!$A$5:$A$2004,0))&amp;"")</f>
        <v/>
      </c>
      <c r="U278" s="24" t="str">
        <f aca="false">IF($A278="","",INDEX(Workers!$H$5:$H$2004,MATCH($A278,Workers!$A$5:$A$2004,0))&amp;"")</f>
        <v/>
      </c>
    </row>
    <row r="279" customFormat="false" ht="15" hidden="false" customHeight="false" outlineLevel="0" collapsed="false">
      <c r="A279" s="24" t="str">
        <f aca="false">IFERROR(INDEX(Workers!$A$5:$A$2004,MATCH(ROW()-4,Workers!$U$5:$U$2004,0)),"")</f>
        <v/>
      </c>
      <c r="B279" s="24" t="str">
        <f aca="false">IF($A279="","",INDEX(Workers!$B$5:$B$2004,MATCH($A279,Workers!$A$5:$A$2004,0)))</f>
        <v/>
      </c>
      <c r="C279" s="24" t="str">
        <f aca="false">IF($A279="","",INDEX(Workers!$E$5:$E$2004,MATCH($A279,Workers!$A$5:$A$2004,0)))</f>
        <v/>
      </c>
      <c r="D279" s="24" t="str">
        <f aca="false">IF($A279="","",INDEX(Workers!$K$5:$K$2004,MATCH($A279,Workers!$A$5:$A$2004,0)))</f>
        <v/>
      </c>
      <c r="E279" s="25" t="str">
        <f aca="false">IF($A279="","",SUMIFS(Timesheet!$E$5:$E$3004,Timesheet!$D$5:$D$3004,$A279,Timesheet!$A$5:$A$3004,"&gt;="&amp;Settings!$B$8,Timesheet!$A$5:$A$3004,"&lt;="&amp;Settings!$B$9))</f>
        <v/>
      </c>
      <c r="F279" s="25" t="str">
        <f aca="false">IF($A279="","",SUMIFS(Timesheet!$F$5:$F$3004,Timesheet!$D$5:$D$3004,$A279,Timesheet!$A$5:$A$3004,"&gt;="&amp;Settings!$B$8,Timesheet!$A$5:$A$3004,"&lt;="&amp;Settings!$B$9))</f>
        <v/>
      </c>
      <c r="G279" s="25" t="str">
        <f aca="false">IF($A279="","",SUMIFS(Timesheet!$G$5:$G$3004,Timesheet!$D$5:$D$3004,$A279,Timesheet!$A$5:$A$3004,"&gt;="&amp;Settings!$B$8,Timesheet!$A$5:$A$3004,"&lt;="&amp;Settings!$B$9))</f>
        <v/>
      </c>
      <c r="H279" s="25" t="str">
        <f aca="false">IF($A279="","",IF(D279="Monthly",MAX(0,Settings!$B$11-E279),0))</f>
        <v/>
      </c>
      <c r="I279" s="26" t="str">
        <f aca="false">IF($A279="","",N(INDEX(Workers!$L$5:$L$2004,MATCH($A279,Workers!$A$5:$A$2004,0))))</f>
        <v/>
      </c>
      <c r="J279" s="26" t="str">
        <f aca="false">IF($A279="","",N(INDEX(Workers!$M$5:$M$2004,MATCH($A279,Workers!$A$5:$A$2004,0))))</f>
        <v/>
      </c>
      <c r="K279" s="26" t="str">
        <f aca="false">IF($A279="","",IF(D279="Monthly",ROUND(MAX(0,(I279+J279)-(I279+J279)/Settings!$B$10*H279),2),0))</f>
        <v/>
      </c>
      <c r="L279" s="26" t="str">
        <f aca="false">IF($A279="","",IF(D279="Hourly",ROUND(F279*N(INDEX(Workers!$N$5:$N$2004,MATCH($A279,Workers!$A$5:$A$2004,0))),2),0))</f>
        <v/>
      </c>
      <c r="M279" s="26" t="str">
        <f aca="false">IF($A279="","",ROUND(G279*IF(D279="Hourly",N(INDEX(Workers!$N$5:$N$2004,MATCH($A279,Workers!$A$5:$A$2004,0))),I279/Settings!$B$10/Settings!$B$12)*Settings!$B$13,2))</f>
        <v/>
      </c>
      <c r="N279" s="26" t="str">
        <f aca="false">IF($A279="","",K279+L279+M279)</f>
        <v/>
      </c>
      <c r="O279" s="26" t="str">
        <f aca="false">IF($A279="","",SUMIFS(Deductions!$D$5:$D$2000,Deductions!$B$5:$B$2000,$A279,Deductions!$C$5:$C$2000,"Advance",Deductions!$E$5:$E$2000,"&gt;="&amp;Settings!$B$8,Deductions!$E$5:$E$2000,"&lt;="&amp;Settings!$B$9))</f>
        <v/>
      </c>
      <c r="P279" s="26" t="str">
        <f aca="false">IF($A279="","",SUMIFS(Deductions!$D$5:$D$2000,Deductions!$B$5:$B$2000,$A279,Deductions!$E$5:$E$2000,"&gt;="&amp;Settings!$B$8,Deductions!$E$5:$E$2000,"&lt;="&amp;Settings!$B$9)-O279)</f>
        <v/>
      </c>
      <c r="Q279" s="26" t="str">
        <f aca="false">IF($A279="","",O279+P279)</f>
        <v/>
      </c>
      <c r="R279" s="23" t="str">
        <f aca="false">IF($A279="","",N279-Q279)</f>
        <v/>
      </c>
      <c r="S279" s="24" t="str">
        <f aca="false">IF($A279="","",INDEX(Workers!$O$5:$O$2004,MATCH($A279,Workers!$A$5:$A$2004,0))&amp;"")</f>
        <v/>
      </c>
      <c r="T279" s="24" t="str">
        <f aca="false">IF($A279="","",INDEX(Workers!$P$5:$P$2004,MATCH($A279,Workers!$A$5:$A$2004,0))&amp;"")</f>
        <v/>
      </c>
      <c r="U279" s="24" t="str">
        <f aca="false">IF($A279="","",INDEX(Workers!$H$5:$H$2004,MATCH($A279,Workers!$A$5:$A$2004,0))&amp;"")</f>
        <v/>
      </c>
    </row>
    <row r="280" customFormat="false" ht="15" hidden="false" customHeight="false" outlineLevel="0" collapsed="false">
      <c r="A280" s="24" t="str">
        <f aca="false">IFERROR(INDEX(Workers!$A$5:$A$2004,MATCH(ROW()-4,Workers!$U$5:$U$2004,0)),"")</f>
        <v/>
      </c>
      <c r="B280" s="24" t="str">
        <f aca="false">IF($A280="","",INDEX(Workers!$B$5:$B$2004,MATCH($A280,Workers!$A$5:$A$2004,0)))</f>
        <v/>
      </c>
      <c r="C280" s="24" t="str">
        <f aca="false">IF($A280="","",INDEX(Workers!$E$5:$E$2004,MATCH($A280,Workers!$A$5:$A$2004,0)))</f>
        <v/>
      </c>
      <c r="D280" s="24" t="str">
        <f aca="false">IF($A280="","",INDEX(Workers!$K$5:$K$2004,MATCH($A280,Workers!$A$5:$A$2004,0)))</f>
        <v/>
      </c>
      <c r="E280" s="25" t="str">
        <f aca="false">IF($A280="","",SUMIFS(Timesheet!$E$5:$E$3004,Timesheet!$D$5:$D$3004,$A280,Timesheet!$A$5:$A$3004,"&gt;="&amp;Settings!$B$8,Timesheet!$A$5:$A$3004,"&lt;="&amp;Settings!$B$9))</f>
        <v/>
      </c>
      <c r="F280" s="25" t="str">
        <f aca="false">IF($A280="","",SUMIFS(Timesheet!$F$5:$F$3004,Timesheet!$D$5:$D$3004,$A280,Timesheet!$A$5:$A$3004,"&gt;="&amp;Settings!$B$8,Timesheet!$A$5:$A$3004,"&lt;="&amp;Settings!$B$9))</f>
        <v/>
      </c>
      <c r="G280" s="25" t="str">
        <f aca="false">IF($A280="","",SUMIFS(Timesheet!$G$5:$G$3004,Timesheet!$D$5:$D$3004,$A280,Timesheet!$A$5:$A$3004,"&gt;="&amp;Settings!$B$8,Timesheet!$A$5:$A$3004,"&lt;="&amp;Settings!$B$9))</f>
        <v/>
      </c>
      <c r="H280" s="25" t="str">
        <f aca="false">IF($A280="","",IF(D280="Monthly",MAX(0,Settings!$B$11-E280),0))</f>
        <v/>
      </c>
      <c r="I280" s="26" t="str">
        <f aca="false">IF($A280="","",N(INDEX(Workers!$L$5:$L$2004,MATCH($A280,Workers!$A$5:$A$2004,0))))</f>
        <v/>
      </c>
      <c r="J280" s="26" t="str">
        <f aca="false">IF($A280="","",N(INDEX(Workers!$M$5:$M$2004,MATCH($A280,Workers!$A$5:$A$2004,0))))</f>
        <v/>
      </c>
      <c r="K280" s="26" t="str">
        <f aca="false">IF($A280="","",IF(D280="Monthly",ROUND(MAX(0,(I280+J280)-(I280+J280)/Settings!$B$10*H280),2),0))</f>
        <v/>
      </c>
      <c r="L280" s="26" t="str">
        <f aca="false">IF($A280="","",IF(D280="Hourly",ROUND(F280*N(INDEX(Workers!$N$5:$N$2004,MATCH($A280,Workers!$A$5:$A$2004,0))),2),0))</f>
        <v/>
      </c>
      <c r="M280" s="26" t="str">
        <f aca="false">IF($A280="","",ROUND(G280*IF(D280="Hourly",N(INDEX(Workers!$N$5:$N$2004,MATCH($A280,Workers!$A$5:$A$2004,0))),I280/Settings!$B$10/Settings!$B$12)*Settings!$B$13,2))</f>
        <v/>
      </c>
      <c r="N280" s="26" t="str">
        <f aca="false">IF($A280="","",K280+L280+M280)</f>
        <v/>
      </c>
      <c r="O280" s="26" t="str">
        <f aca="false">IF($A280="","",SUMIFS(Deductions!$D$5:$D$2000,Deductions!$B$5:$B$2000,$A280,Deductions!$C$5:$C$2000,"Advance",Deductions!$E$5:$E$2000,"&gt;="&amp;Settings!$B$8,Deductions!$E$5:$E$2000,"&lt;="&amp;Settings!$B$9))</f>
        <v/>
      </c>
      <c r="P280" s="26" t="str">
        <f aca="false">IF($A280="","",SUMIFS(Deductions!$D$5:$D$2000,Deductions!$B$5:$B$2000,$A280,Deductions!$E$5:$E$2000,"&gt;="&amp;Settings!$B$8,Deductions!$E$5:$E$2000,"&lt;="&amp;Settings!$B$9)-O280)</f>
        <v/>
      </c>
      <c r="Q280" s="26" t="str">
        <f aca="false">IF($A280="","",O280+P280)</f>
        <v/>
      </c>
      <c r="R280" s="23" t="str">
        <f aca="false">IF($A280="","",N280-Q280)</f>
        <v/>
      </c>
      <c r="S280" s="24" t="str">
        <f aca="false">IF($A280="","",INDEX(Workers!$O$5:$O$2004,MATCH($A280,Workers!$A$5:$A$2004,0))&amp;"")</f>
        <v/>
      </c>
      <c r="T280" s="24" t="str">
        <f aca="false">IF($A280="","",INDEX(Workers!$P$5:$P$2004,MATCH($A280,Workers!$A$5:$A$2004,0))&amp;"")</f>
        <v/>
      </c>
      <c r="U280" s="24" t="str">
        <f aca="false">IF($A280="","",INDEX(Workers!$H$5:$H$2004,MATCH($A280,Workers!$A$5:$A$2004,0))&amp;"")</f>
        <v/>
      </c>
    </row>
    <row r="281" customFormat="false" ht="15" hidden="false" customHeight="false" outlineLevel="0" collapsed="false">
      <c r="A281" s="24" t="str">
        <f aca="false">IFERROR(INDEX(Workers!$A$5:$A$2004,MATCH(ROW()-4,Workers!$U$5:$U$2004,0)),"")</f>
        <v/>
      </c>
      <c r="B281" s="24" t="str">
        <f aca="false">IF($A281="","",INDEX(Workers!$B$5:$B$2004,MATCH($A281,Workers!$A$5:$A$2004,0)))</f>
        <v/>
      </c>
      <c r="C281" s="24" t="str">
        <f aca="false">IF($A281="","",INDEX(Workers!$E$5:$E$2004,MATCH($A281,Workers!$A$5:$A$2004,0)))</f>
        <v/>
      </c>
      <c r="D281" s="24" t="str">
        <f aca="false">IF($A281="","",INDEX(Workers!$K$5:$K$2004,MATCH($A281,Workers!$A$5:$A$2004,0)))</f>
        <v/>
      </c>
      <c r="E281" s="25" t="str">
        <f aca="false">IF($A281="","",SUMIFS(Timesheet!$E$5:$E$3004,Timesheet!$D$5:$D$3004,$A281,Timesheet!$A$5:$A$3004,"&gt;="&amp;Settings!$B$8,Timesheet!$A$5:$A$3004,"&lt;="&amp;Settings!$B$9))</f>
        <v/>
      </c>
      <c r="F281" s="25" t="str">
        <f aca="false">IF($A281="","",SUMIFS(Timesheet!$F$5:$F$3004,Timesheet!$D$5:$D$3004,$A281,Timesheet!$A$5:$A$3004,"&gt;="&amp;Settings!$B$8,Timesheet!$A$5:$A$3004,"&lt;="&amp;Settings!$B$9))</f>
        <v/>
      </c>
      <c r="G281" s="25" t="str">
        <f aca="false">IF($A281="","",SUMIFS(Timesheet!$G$5:$G$3004,Timesheet!$D$5:$D$3004,$A281,Timesheet!$A$5:$A$3004,"&gt;="&amp;Settings!$B$8,Timesheet!$A$5:$A$3004,"&lt;="&amp;Settings!$B$9))</f>
        <v/>
      </c>
      <c r="H281" s="25" t="str">
        <f aca="false">IF($A281="","",IF(D281="Monthly",MAX(0,Settings!$B$11-E281),0))</f>
        <v/>
      </c>
      <c r="I281" s="26" t="str">
        <f aca="false">IF($A281="","",N(INDEX(Workers!$L$5:$L$2004,MATCH($A281,Workers!$A$5:$A$2004,0))))</f>
        <v/>
      </c>
      <c r="J281" s="26" t="str">
        <f aca="false">IF($A281="","",N(INDEX(Workers!$M$5:$M$2004,MATCH($A281,Workers!$A$5:$A$2004,0))))</f>
        <v/>
      </c>
      <c r="K281" s="26" t="str">
        <f aca="false">IF($A281="","",IF(D281="Monthly",ROUND(MAX(0,(I281+J281)-(I281+J281)/Settings!$B$10*H281),2),0))</f>
        <v/>
      </c>
      <c r="L281" s="26" t="str">
        <f aca="false">IF($A281="","",IF(D281="Hourly",ROUND(F281*N(INDEX(Workers!$N$5:$N$2004,MATCH($A281,Workers!$A$5:$A$2004,0))),2),0))</f>
        <v/>
      </c>
      <c r="M281" s="26" t="str">
        <f aca="false">IF($A281="","",ROUND(G281*IF(D281="Hourly",N(INDEX(Workers!$N$5:$N$2004,MATCH($A281,Workers!$A$5:$A$2004,0))),I281/Settings!$B$10/Settings!$B$12)*Settings!$B$13,2))</f>
        <v/>
      </c>
      <c r="N281" s="26" t="str">
        <f aca="false">IF($A281="","",K281+L281+M281)</f>
        <v/>
      </c>
      <c r="O281" s="26" t="str">
        <f aca="false">IF($A281="","",SUMIFS(Deductions!$D$5:$D$2000,Deductions!$B$5:$B$2000,$A281,Deductions!$C$5:$C$2000,"Advance",Deductions!$E$5:$E$2000,"&gt;="&amp;Settings!$B$8,Deductions!$E$5:$E$2000,"&lt;="&amp;Settings!$B$9))</f>
        <v/>
      </c>
      <c r="P281" s="26" t="str">
        <f aca="false">IF($A281="","",SUMIFS(Deductions!$D$5:$D$2000,Deductions!$B$5:$B$2000,$A281,Deductions!$E$5:$E$2000,"&gt;="&amp;Settings!$B$8,Deductions!$E$5:$E$2000,"&lt;="&amp;Settings!$B$9)-O281)</f>
        <v/>
      </c>
      <c r="Q281" s="26" t="str">
        <f aca="false">IF($A281="","",O281+P281)</f>
        <v/>
      </c>
      <c r="R281" s="23" t="str">
        <f aca="false">IF($A281="","",N281-Q281)</f>
        <v/>
      </c>
      <c r="S281" s="24" t="str">
        <f aca="false">IF($A281="","",INDEX(Workers!$O$5:$O$2004,MATCH($A281,Workers!$A$5:$A$2004,0))&amp;"")</f>
        <v/>
      </c>
      <c r="T281" s="24" t="str">
        <f aca="false">IF($A281="","",INDEX(Workers!$P$5:$P$2004,MATCH($A281,Workers!$A$5:$A$2004,0))&amp;"")</f>
        <v/>
      </c>
      <c r="U281" s="24" t="str">
        <f aca="false">IF($A281="","",INDEX(Workers!$H$5:$H$2004,MATCH($A281,Workers!$A$5:$A$2004,0))&amp;"")</f>
        <v/>
      </c>
    </row>
    <row r="282" customFormat="false" ht="15" hidden="false" customHeight="false" outlineLevel="0" collapsed="false">
      <c r="A282" s="24" t="str">
        <f aca="false">IFERROR(INDEX(Workers!$A$5:$A$2004,MATCH(ROW()-4,Workers!$U$5:$U$2004,0)),"")</f>
        <v/>
      </c>
      <c r="B282" s="24" t="str">
        <f aca="false">IF($A282="","",INDEX(Workers!$B$5:$B$2004,MATCH($A282,Workers!$A$5:$A$2004,0)))</f>
        <v/>
      </c>
      <c r="C282" s="24" t="str">
        <f aca="false">IF($A282="","",INDEX(Workers!$E$5:$E$2004,MATCH($A282,Workers!$A$5:$A$2004,0)))</f>
        <v/>
      </c>
      <c r="D282" s="24" t="str">
        <f aca="false">IF($A282="","",INDEX(Workers!$K$5:$K$2004,MATCH($A282,Workers!$A$5:$A$2004,0)))</f>
        <v/>
      </c>
      <c r="E282" s="25" t="str">
        <f aca="false">IF($A282="","",SUMIFS(Timesheet!$E$5:$E$3004,Timesheet!$D$5:$D$3004,$A282,Timesheet!$A$5:$A$3004,"&gt;="&amp;Settings!$B$8,Timesheet!$A$5:$A$3004,"&lt;="&amp;Settings!$B$9))</f>
        <v/>
      </c>
      <c r="F282" s="25" t="str">
        <f aca="false">IF($A282="","",SUMIFS(Timesheet!$F$5:$F$3004,Timesheet!$D$5:$D$3004,$A282,Timesheet!$A$5:$A$3004,"&gt;="&amp;Settings!$B$8,Timesheet!$A$5:$A$3004,"&lt;="&amp;Settings!$B$9))</f>
        <v/>
      </c>
      <c r="G282" s="25" t="str">
        <f aca="false">IF($A282="","",SUMIFS(Timesheet!$G$5:$G$3004,Timesheet!$D$5:$D$3004,$A282,Timesheet!$A$5:$A$3004,"&gt;="&amp;Settings!$B$8,Timesheet!$A$5:$A$3004,"&lt;="&amp;Settings!$B$9))</f>
        <v/>
      </c>
      <c r="H282" s="25" t="str">
        <f aca="false">IF($A282="","",IF(D282="Monthly",MAX(0,Settings!$B$11-E282),0))</f>
        <v/>
      </c>
      <c r="I282" s="26" t="str">
        <f aca="false">IF($A282="","",N(INDEX(Workers!$L$5:$L$2004,MATCH($A282,Workers!$A$5:$A$2004,0))))</f>
        <v/>
      </c>
      <c r="J282" s="26" t="str">
        <f aca="false">IF($A282="","",N(INDEX(Workers!$M$5:$M$2004,MATCH($A282,Workers!$A$5:$A$2004,0))))</f>
        <v/>
      </c>
      <c r="K282" s="26" t="str">
        <f aca="false">IF($A282="","",IF(D282="Monthly",ROUND(MAX(0,(I282+J282)-(I282+J282)/Settings!$B$10*H282),2),0))</f>
        <v/>
      </c>
      <c r="L282" s="26" t="str">
        <f aca="false">IF($A282="","",IF(D282="Hourly",ROUND(F282*N(INDEX(Workers!$N$5:$N$2004,MATCH($A282,Workers!$A$5:$A$2004,0))),2),0))</f>
        <v/>
      </c>
      <c r="M282" s="26" t="str">
        <f aca="false">IF($A282="","",ROUND(G282*IF(D282="Hourly",N(INDEX(Workers!$N$5:$N$2004,MATCH($A282,Workers!$A$5:$A$2004,0))),I282/Settings!$B$10/Settings!$B$12)*Settings!$B$13,2))</f>
        <v/>
      </c>
      <c r="N282" s="26" t="str">
        <f aca="false">IF($A282="","",K282+L282+M282)</f>
        <v/>
      </c>
      <c r="O282" s="26" t="str">
        <f aca="false">IF($A282="","",SUMIFS(Deductions!$D$5:$D$2000,Deductions!$B$5:$B$2000,$A282,Deductions!$C$5:$C$2000,"Advance",Deductions!$E$5:$E$2000,"&gt;="&amp;Settings!$B$8,Deductions!$E$5:$E$2000,"&lt;="&amp;Settings!$B$9))</f>
        <v/>
      </c>
      <c r="P282" s="26" t="str">
        <f aca="false">IF($A282="","",SUMIFS(Deductions!$D$5:$D$2000,Deductions!$B$5:$B$2000,$A282,Deductions!$E$5:$E$2000,"&gt;="&amp;Settings!$B$8,Deductions!$E$5:$E$2000,"&lt;="&amp;Settings!$B$9)-O282)</f>
        <v/>
      </c>
      <c r="Q282" s="26" t="str">
        <f aca="false">IF($A282="","",O282+P282)</f>
        <v/>
      </c>
      <c r="R282" s="23" t="str">
        <f aca="false">IF($A282="","",N282-Q282)</f>
        <v/>
      </c>
      <c r="S282" s="24" t="str">
        <f aca="false">IF($A282="","",INDEX(Workers!$O$5:$O$2004,MATCH($A282,Workers!$A$5:$A$2004,0))&amp;"")</f>
        <v/>
      </c>
      <c r="T282" s="24" t="str">
        <f aca="false">IF($A282="","",INDEX(Workers!$P$5:$P$2004,MATCH($A282,Workers!$A$5:$A$2004,0))&amp;"")</f>
        <v/>
      </c>
      <c r="U282" s="24" t="str">
        <f aca="false">IF($A282="","",INDEX(Workers!$H$5:$H$2004,MATCH($A282,Workers!$A$5:$A$2004,0))&amp;"")</f>
        <v/>
      </c>
    </row>
    <row r="283" customFormat="false" ht="15" hidden="false" customHeight="false" outlineLevel="0" collapsed="false">
      <c r="A283" s="24" t="str">
        <f aca="false">IFERROR(INDEX(Workers!$A$5:$A$2004,MATCH(ROW()-4,Workers!$U$5:$U$2004,0)),"")</f>
        <v/>
      </c>
      <c r="B283" s="24" t="str">
        <f aca="false">IF($A283="","",INDEX(Workers!$B$5:$B$2004,MATCH($A283,Workers!$A$5:$A$2004,0)))</f>
        <v/>
      </c>
      <c r="C283" s="24" t="str">
        <f aca="false">IF($A283="","",INDEX(Workers!$E$5:$E$2004,MATCH($A283,Workers!$A$5:$A$2004,0)))</f>
        <v/>
      </c>
      <c r="D283" s="24" t="str">
        <f aca="false">IF($A283="","",INDEX(Workers!$K$5:$K$2004,MATCH($A283,Workers!$A$5:$A$2004,0)))</f>
        <v/>
      </c>
      <c r="E283" s="25" t="str">
        <f aca="false">IF($A283="","",SUMIFS(Timesheet!$E$5:$E$3004,Timesheet!$D$5:$D$3004,$A283,Timesheet!$A$5:$A$3004,"&gt;="&amp;Settings!$B$8,Timesheet!$A$5:$A$3004,"&lt;="&amp;Settings!$B$9))</f>
        <v/>
      </c>
      <c r="F283" s="25" t="str">
        <f aca="false">IF($A283="","",SUMIFS(Timesheet!$F$5:$F$3004,Timesheet!$D$5:$D$3004,$A283,Timesheet!$A$5:$A$3004,"&gt;="&amp;Settings!$B$8,Timesheet!$A$5:$A$3004,"&lt;="&amp;Settings!$B$9))</f>
        <v/>
      </c>
      <c r="G283" s="25" t="str">
        <f aca="false">IF($A283="","",SUMIFS(Timesheet!$G$5:$G$3004,Timesheet!$D$5:$D$3004,$A283,Timesheet!$A$5:$A$3004,"&gt;="&amp;Settings!$B$8,Timesheet!$A$5:$A$3004,"&lt;="&amp;Settings!$B$9))</f>
        <v/>
      </c>
      <c r="H283" s="25" t="str">
        <f aca="false">IF($A283="","",IF(D283="Monthly",MAX(0,Settings!$B$11-E283),0))</f>
        <v/>
      </c>
      <c r="I283" s="26" t="str">
        <f aca="false">IF($A283="","",N(INDEX(Workers!$L$5:$L$2004,MATCH($A283,Workers!$A$5:$A$2004,0))))</f>
        <v/>
      </c>
      <c r="J283" s="26" t="str">
        <f aca="false">IF($A283="","",N(INDEX(Workers!$M$5:$M$2004,MATCH($A283,Workers!$A$5:$A$2004,0))))</f>
        <v/>
      </c>
      <c r="K283" s="26" t="str">
        <f aca="false">IF($A283="","",IF(D283="Monthly",ROUND(MAX(0,(I283+J283)-(I283+J283)/Settings!$B$10*H283),2),0))</f>
        <v/>
      </c>
      <c r="L283" s="26" t="str">
        <f aca="false">IF($A283="","",IF(D283="Hourly",ROUND(F283*N(INDEX(Workers!$N$5:$N$2004,MATCH($A283,Workers!$A$5:$A$2004,0))),2),0))</f>
        <v/>
      </c>
      <c r="M283" s="26" t="str">
        <f aca="false">IF($A283="","",ROUND(G283*IF(D283="Hourly",N(INDEX(Workers!$N$5:$N$2004,MATCH($A283,Workers!$A$5:$A$2004,0))),I283/Settings!$B$10/Settings!$B$12)*Settings!$B$13,2))</f>
        <v/>
      </c>
      <c r="N283" s="26" t="str">
        <f aca="false">IF($A283="","",K283+L283+M283)</f>
        <v/>
      </c>
      <c r="O283" s="26" t="str">
        <f aca="false">IF($A283="","",SUMIFS(Deductions!$D$5:$D$2000,Deductions!$B$5:$B$2000,$A283,Deductions!$C$5:$C$2000,"Advance",Deductions!$E$5:$E$2000,"&gt;="&amp;Settings!$B$8,Deductions!$E$5:$E$2000,"&lt;="&amp;Settings!$B$9))</f>
        <v/>
      </c>
      <c r="P283" s="26" t="str">
        <f aca="false">IF($A283="","",SUMIFS(Deductions!$D$5:$D$2000,Deductions!$B$5:$B$2000,$A283,Deductions!$E$5:$E$2000,"&gt;="&amp;Settings!$B$8,Deductions!$E$5:$E$2000,"&lt;="&amp;Settings!$B$9)-O283)</f>
        <v/>
      </c>
      <c r="Q283" s="26" t="str">
        <f aca="false">IF($A283="","",O283+P283)</f>
        <v/>
      </c>
      <c r="R283" s="23" t="str">
        <f aca="false">IF($A283="","",N283-Q283)</f>
        <v/>
      </c>
      <c r="S283" s="24" t="str">
        <f aca="false">IF($A283="","",INDEX(Workers!$O$5:$O$2004,MATCH($A283,Workers!$A$5:$A$2004,0))&amp;"")</f>
        <v/>
      </c>
      <c r="T283" s="24" t="str">
        <f aca="false">IF($A283="","",INDEX(Workers!$P$5:$P$2004,MATCH($A283,Workers!$A$5:$A$2004,0))&amp;"")</f>
        <v/>
      </c>
      <c r="U283" s="24" t="str">
        <f aca="false">IF($A283="","",INDEX(Workers!$H$5:$H$2004,MATCH($A283,Workers!$A$5:$A$2004,0))&amp;"")</f>
        <v/>
      </c>
    </row>
    <row r="284" customFormat="false" ht="15" hidden="false" customHeight="false" outlineLevel="0" collapsed="false">
      <c r="A284" s="24" t="str">
        <f aca="false">IFERROR(INDEX(Workers!$A$5:$A$2004,MATCH(ROW()-4,Workers!$U$5:$U$2004,0)),"")</f>
        <v/>
      </c>
      <c r="B284" s="24" t="str">
        <f aca="false">IF($A284="","",INDEX(Workers!$B$5:$B$2004,MATCH($A284,Workers!$A$5:$A$2004,0)))</f>
        <v/>
      </c>
      <c r="C284" s="24" t="str">
        <f aca="false">IF($A284="","",INDEX(Workers!$E$5:$E$2004,MATCH($A284,Workers!$A$5:$A$2004,0)))</f>
        <v/>
      </c>
      <c r="D284" s="24" t="str">
        <f aca="false">IF($A284="","",INDEX(Workers!$K$5:$K$2004,MATCH($A284,Workers!$A$5:$A$2004,0)))</f>
        <v/>
      </c>
      <c r="E284" s="25" t="str">
        <f aca="false">IF($A284="","",SUMIFS(Timesheet!$E$5:$E$3004,Timesheet!$D$5:$D$3004,$A284,Timesheet!$A$5:$A$3004,"&gt;="&amp;Settings!$B$8,Timesheet!$A$5:$A$3004,"&lt;="&amp;Settings!$B$9))</f>
        <v/>
      </c>
      <c r="F284" s="25" t="str">
        <f aca="false">IF($A284="","",SUMIFS(Timesheet!$F$5:$F$3004,Timesheet!$D$5:$D$3004,$A284,Timesheet!$A$5:$A$3004,"&gt;="&amp;Settings!$B$8,Timesheet!$A$5:$A$3004,"&lt;="&amp;Settings!$B$9))</f>
        <v/>
      </c>
      <c r="G284" s="25" t="str">
        <f aca="false">IF($A284="","",SUMIFS(Timesheet!$G$5:$G$3004,Timesheet!$D$5:$D$3004,$A284,Timesheet!$A$5:$A$3004,"&gt;="&amp;Settings!$B$8,Timesheet!$A$5:$A$3004,"&lt;="&amp;Settings!$B$9))</f>
        <v/>
      </c>
      <c r="H284" s="25" t="str">
        <f aca="false">IF($A284="","",IF(D284="Monthly",MAX(0,Settings!$B$11-E284),0))</f>
        <v/>
      </c>
      <c r="I284" s="26" t="str">
        <f aca="false">IF($A284="","",N(INDEX(Workers!$L$5:$L$2004,MATCH($A284,Workers!$A$5:$A$2004,0))))</f>
        <v/>
      </c>
      <c r="J284" s="26" t="str">
        <f aca="false">IF($A284="","",N(INDEX(Workers!$M$5:$M$2004,MATCH($A284,Workers!$A$5:$A$2004,0))))</f>
        <v/>
      </c>
      <c r="K284" s="26" t="str">
        <f aca="false">IF($A284="","",IF(D284="Monthly",ROUND(MAX(0,(I284+J284)-(I284+J284)/Settings!$B$10*H284),2),0))</f>
        <v/>
      </c>
      <c r="L284" s="26" t="str">
        <f aca="false">IF($A284="","",IF(D284="Hourly",ROUND(F284*N(INDEX(Workers!$N$5:$N$2004,MATCH($A284,Workers!$A$5:$A$2004,0))),2),0))</f>
        <v/>
      </c>
      <c r="M284" s="26" t="str">
        <f aca="false">IF($A284="","",ROUND(G284*IF(D284="Hourly",N(INDEX(Workers!$N$5:$N$2004,MATCH($A284,Workers!$A$5:$A$2004,0))),I284/Settings!$B$10/Settings!$B$12)*Settings!$B$13,2))</f>
        <v/>
      </c>
      <c r="N284" s="26" t="str">
        <f aca="false">IF($A284="","",K284+L284+M284)</f>
        <v/>
      </c>
      <c r="O284" s="26" t="str">
        <f aca="false">IF($A284="","",SUMIFS(Deductions!$D$5:$D$2000,Deductions!$B$5:$B$2000,$A284,Deductions!$C$5:$C$2000,"Advance",Deductions!$E$5:$E$2000,"&gt;="&amp;Settings!$B$8,Deductions!$E$5:$E$2000,"&lt;="&amp;Settings!$B$9))</f>
        <v/>
      </c>
      <c r="P284" s="26" t="str">
        <f aca="false">IF($A284="","",SUMIFS(Deductions!$D$5:$D$2000,Deductions!$B$5:$B$2000,$A284,Deductions!$E$5:$E$2000,"&gt;="&amp;Settings!$B$8,Deductions!$E$5:$E$2000,"&lt;="&amp;Settings!$B$9)-O284)</f>
        <v/>
      </c>
      <c r="Q284" s="26" t="str">
        <f aca="false">IF($A284="","",O284+P284)</f>
        <v/>
      </c>
      <c r="R284" s="23" t="str">
        <f aca="false">IF($A284="","",N284-Q284)</f>
        <v/>
      </c>
      <c r="S284" s="24" t="str">
        <f aca="false">IF($A284="","",INDEX(Workers!$O$5:$O$2004,MATCH($A284,Workers!$A$5:$A$2004,0))&amp;"")</f>
        <v/>
      </c>
      <c r="T284" s="24" t="str">
        <f aca="false">IF($A284="","",INDEX(Workers!$P$5:$P$2004,MATCH($A284,Workers!$A$5:$A$2004,0))&amp;"")</f>
        <v/>
      </c>
      <c r="U284" s="24" t="str">
        <f aca="false">IF($A284="","",INDEX(Workers!$H$5:$H$2004,MATCH($A284,Workers!$A$5:$A$2004,0))&amp;"")</f>
        <v/>
      </c>
    </row>
    <row r="285" customFormat="false" ht="15" hidden="false" customHeight="false" outlineLevel="0" collapsed="false">
      <c r="A285" s="24" t="str">
        <f aca="false">IFERROR(INDEX(Workers!$A$5:$A$2004,MATCH(ROW()-4,Workers!$U$5:$U$2004,0)),"")</f>
        <v/>
      </c>
      <c r="B285" s="24" t="str">
        <f aca="false">IF($A285="","",INDEX(Workers!$B$5:$B$2004,MATCH($A285,Workers!$A$5:$A$2004,0)))</f>
        <v/>
      </c>
      <c r="C285" s="24" t="str">
        <f aca="false">IF($A285="","",INDEX(Workers!$E$5:$E$2004,MATCH($A285,Workers!$A$5:$A$2004,0)))</f>
        <v/>
      </c>
      <c r="D285" s="24" t="str">
        <f aca="false">IF($A285="","",INDEX(Workers!$K$5:$K$2004,MATCH($A285,Workers!$A$5:$A$2004,0)))</f>
        <v/>
      </c>
      <c r="E285" s="25" t="str">
        <f aca="false">IF($A285="","",SUMIFS(Timesheet!$E$5:$E$3004,Timesheet!$D$5:$D$3004,$A285,Timesheet!$A$5:$A$3004,"&gt;="&amp;Settings!$B$8,Timesheet!$A$5:$A$3004,"&lt;="&amp;Settings!$B$9))</f>
        <v/>
      </c>
      <c r="F285" s="25" t="str">
        <f aca="false">IF($A285="","",SUMIFS(Timesheet!$F$5:$F$3004,Timesheet!$D$5:$D$3004,$A285,Timesheet!$A$5:$A$3004,"&gt;="&amp;Settings!$B$8,Timesheet!$A$5:$A$3004,"&lt;="&amp;Settings!$B$9))</f>
        <v/>
      </c>
      <c r="G285" s="25" t="str">
        <f aca="false">IF($A285="","",SUMIFS(Timesheet!$G$5:$G$3004,Timesheet!$D$5:$D$3004,$A285,Timesheet!$A$5:$A$3004,"&gt;="&amp;Settings!$B$8,Timesheet!$A$5:$A$3004,"&lt;="&amp;Settings!$B$9))</f>
        <v/>
      </c>
      <c r="H285" s="25" t="str">
        <f aca="false">IF($A285="","",IF(D285="Monthly",MAX(0,Settings!$B$11-E285),0))</f>
        <v/>
      </c>
      <c r="I285" s="26" t="str">
        <f aca="false">IF($A285="","",N(INDEX(Workers!$L$5:$L$2004,MATCH($A285,Workers!$A$5:$A$2004,0))))</f>
        <v/>
      </c>
      <c r="J285" s="26" t="str">
        <f aca="false">IF($A285="","",N(INDEX(Workers!$M$5:$M$2004,MATCH($A285,Workers!$A$5:$A$2004,0))))</f>
        <v/>
      </c>
      <c r="K285" s="26" t="str">
        <f aca="false">IF($A285="","",IF(D285="Monthly",ROUND(MAX(0,(I285+J285)-(I285+J285)/Settings!$B$10*H285),2),0))</f>
        <v/>
      </c>
      <c r="L285" s="26" t="str">
        <f aca="false">IF($A285="","",IF(D285="Hourly",ROUND(F285*N(INDEX(Workers!$N$5:$N$2004,MATCH($A285,Workers!$A$5:$A$2004,0))),2),0))</f>
        <v/>
      </c>
      <c r="M285" s="26" t="str">
        <f aca="false">IF($A285="","",ROUND(G285*IF(D285="Hourly",N(INDEX(Workers!$N$5:$N$2004,MATCH($A285,Workers!$A$5:$A$2004,0))),I285/Settings!$B$10/Settings!$B$12)*Settings!$B$13,2))</f>
        <v/>
      </c>
      <c r="N285" s="26" t="str">
        <f aca="false">IF($A285="","",K285+L285+M285)</f>
        <v/>
      </c>
      <c r="O285" s="26" t="str">
        <f aca="false">IF($A285="","",SUMIFS(Deductions!$D$5:$D$2000,Deductions!$B$5:$B$2000,$A285,Deductions!$C$5:$C$2000,"Advance",Deductions!$E$5:$E$2000,"&gt;="&amp;Settings!$B$8,Deductions!$E$5:$E$2000,"&lt;="&amp;Settings!$B$9))</f>
        <v/>
      </c>
      <c r="P285" s="26" t="str">
        <f aca="false">IF($A285="","",SUMIFS(Deductions!$D$5:$D$2000,Deductions!$B$5:$B$2000,$A285,Deductions!$E$5:$E$2000,"&gt;="&amp;Settings!$B$8,Deductions!$E$5:$E$2000,"&lt;="&amp;Settings!$B$9)-O285)</f>
        <v/>
      </c>
      <c r="Q285" s="26" t="str">
        <f aca="false">IF($A285="","",O285+P285)</f>
        <v/>
      </c>
      <c r="R285" s="23" t="str">
        <f aca="false">IF($A285="","",N285-Q285)</f>
        <v/>
      </c>
      <c r="S285" s="24" t="str">
        <f aca="false">IF($A285="","",INDEX(Workers!$O$5:$O$2004,MATCH($A285,Workers!$A$5:$A$2004,0))&amp;"")</f>
        <v/>
      </c>
      <c r="T285" s="24" t="str">
        <f aca="false">IF($A285="","",INDEX(Workers!$P$5:$P$2004,MATCH($A285,Workers!$A$5:$A$2004,0))&amp;"")</f>
        <v/>
      </c>
      <c r="U285" s="24" t="str">
        <f aca="false">IF($A285="","",INDEX(Workers!$H$5:$H$2004,MATCH($A285,Workers!$A$5:$A$2004,0))&amp;"")</f>
        <v/>
      </c>
    </row>
    <row r="286" customFormat="false" ht="15" hidden="false" customHeight="false" outlineLevel="0" collapsed="false">
      <c r="A286" s="24" t="str">
        <f aca="false">IFERROR(INDEX(Workers!$A$5:$A$2004,MATCH(ROW()-4,Workers!$U$5:$U$2004,0)),"")</f>
        <v/>
      </c>
      <c r="B286" s="24" t="str">
        <f aca="false">IF($A286="","",INDEX(Workers!$B$5:$B$2004,MATCH($A286,Workers!$A$5:$A$2004,0)))</f>
        <v/>
      </c>
      <c r="C286" s="24" t="str">
        <f aca="false">IF($A286="","",INDEX(Workers!$E$5:$E$2004,MATCH($A286,Workers!$A$5:$A$2004,0)))</f>
        <v/>
      </c>
      <c r="D286" s="24" t="str">
        <f aca="false">IF($A286="","",INDEX(Workers!$K$5:$K$2004,MATCH($A286,Workers!$A$5:$A$2004,0)))</f>
        <v/>
      </c>
      <c r="E286" s="25" t="str">
        <f aca="false">IF($A286="","",SUMIFS(Timesheet!$E$5:$E$3004,Timesheet!$D$5:$D$3004,$A286,Timesheet!$A$5:$A$3004,"&gt;="&amp;Settings!$B$8,Timesheet!$A$5:$A$3004,"&lt;="&amp;Settings!$B$9))</f>
        <v/>
      </c>
      <c r="F286" s="25" t="str">
        <f aca="false">IF($A286="","",SUMIFS(Timesheet!$F$5:$F$3004,Timesheet!$D$5:$D$3004,$A286,Timesheet!$A$5:$A$3004,"&gt;="&amp;Settings!$B$8,Timesheet!$A$5:$A$3004,"&lt;="&amp;Settings!$B$9))</f>
        <v/>
      </c>
      <c r="G286" s="25" t="str">
        <f aca="false">IF($A286="","",SUMIFS(Timesheet!$G$5:$G$3004,Timesheet!$D$5:$D$3004,$A286,Timesheet!$A$5:$A$3004,"&gt;="&amp;Settings!$B$8,Timesheet!$A$5:$A$3004,"&lt;="&amp;Settings!$B$9))</f>
        <v/>
      </c>
      <c r="H286" s="25" t="str">
        <f aca="false">IF($A286="","",IF(D286="Monthly",MAX(0,Settings!$B$11-E286),0))</f>
        <v/>
      </c>
      <c r="I286" s="26" t="str">
        <f aca="false">IF($A286="","",N(INDEX(Workers!$L$5:$L$2004,MATCH($A286,Workers!$A$5:$A$2004,0))))</f>
        <v/>
      </c>
      <c r="J286" s="26" t="str">
        <f aca="false">IF($A286="","",N(INDEX(Workers!$M$5:$M$2004,MATCH($A286,Workers!$A$5:$A$2004,0))))</f>
        <v/>
      </c>
      <c r="K286" s="26" t="str">
        <f aca="false">IF($A286="","",IF(D286="Monthly",ROUND(MAX(0,(I286+J286)-(I286+J286)/Settings!$B$10*H286),2),0))</f>
        <v/>
      </c>
      <c r="L286" s="26" t="str">
        <f aca="false">IF($A286="","",IF(D286="Hourly",ROUND(F286*N(INDEX(Workers!$N$5:$N$2004,MATCH($A286,Workers!$A$5:$A$2004,0))),2),0))</f>
        <v/>
      </c>
      <c r="M286" s="26" t="str">
        <f aca="false">IF($A286="","",ROUND(G286*IF(D286="Hourly",N(INDEX(Workers!$N$5:$N$2004,MATCH($A286,Workers!$A$5:$A$2004,0))),I286/Settings!$B$10/Settings!$B$12)*Settings!$B$13,2))</f>
        <v/>
      </c>
      <c r="N286" s="26" t="str">
        <f aca="false">IF($A286="","",K286+L286+M286)</f>
        <v/>
      </c>
      <c r="O286" s="26" t="str">
        <f aca="false">IF($A286="","",SUMIFS(Deductions!$D$5:$D$2000,Deductions!$B$5:$B$2000,$A286,Deductions!$C$5:$C$2000,"Advance",Deductions!$E$5:$E$2000,"&gt;="&amp;Settings!$B$8,Deductions!$E$5:$E$2000,"&lt;="&amp;Settings!$B$9))</f>
        <v/>
      </c>
      <c r="P286" s="26" t="str">
        <f aca="false">IF($A286="","",SUMIFS(Deductions!$D$5:$D$2000,Deductions!$B$5:$B$2000,$A286,Deductions!$E$5:$E$2000,"&gt;="&amp;Settings!$B$8,Deductions!$E$5:$E$2000,"&lt;="&amp;Settings!$B$9)-O286)</f>
        <v/>
      </c>
      <c r="Q286" s="26" t="str">
        <f aca="false">IF($A286="","",O286+P286)</f>
        <v/>
      </c>
      <c r="R286" s="23" t="str">
        <f aca="false">IF($A286="","",N286-Q286)</f>
        <v/>
      </c>
      <c r="S286" s="24" t="str">
        <f aca="false">IF($A286="","",INDEX(Workers!$O$5:$O$2004,MATCH($A286,Workers!$A$5:$A$2004,0))&amp;"")</f>
        <v/>
      </c>
      <c r="T286" s="24" t="str">
        <f aca="false">IF($A286="","",INDEX(Workers!$P$5:$P$2004,MATCH($A286,Workers!$A$5:$A$2004,0))&amp;"")</f>
        <v/>
      </c>
      <c r="U286" s="24" t="str">
        <f aca="false">IF($A286="","",INDEX(Workers!$H$5:$H$2004,MATCH($A286,Workers!$A$5:$A$2004,0))&amp;"")</f>
        <v/>
      </c>
    </row>
    <row r="287" customFormat="false" ht="15" hidden="false" customHeight="false" outlineLevel="0" collapsed="false">
      <c r="A287" s="24" t="str">
        <f aca="false">IFERROR(INDEX(Workers!$A$5:$A$2004,MATCH(ROW()-4,Workers!$U$5:$U$2004,0)),"")</f>
        <v/>
      </c>
      <c r="B287" s="24" t="str">
        <f aca="false">IF($A287="","",INDEX(Workers!$B$5:$B$2004,MATCH($A287,Workers!$A$5:$A$2004,0)))</f>
        <v/>
      </c>
      <c r="C287" s="24" t="str">
        <f aca="false">IF($A287="","",INDEX(Workers!$E$5:$E$2004,MATCH($A287,Workers!$A$5:$A$2004,0)))</f>
        <v/>
      </c>
      <c r="D287" s="24" t="str">
        <f aca="false">IF($A287="","",INDEX(Workers!$K$5:$K$2004,MATCH($A287,Workers!$A$5:$A$2004,0)))</f>
        <v/>
      </c>
      <c r="E287" s="25" t="str">
        <f aca="false">IF($A287="","",SUMIFS(Timesheet!$E$5:$E$3004,Timesheet!$D$5:$D$3004,$A287,Timesheet!$A$5:$A$3004,"&gt;="&amp;Settings!$B$8,Timesheet!$A$5:$A$3004,"&lt;="&amp;Settings!$B$9))</f>
        <v/>
      </c>
      <c r="F287" s="25" t="str">
        <f aca="false">IF($A287="","",SUMIFS(Timesheet!$F$5:$F$3004,Timesheet!$D$5:$D$3004,$A287,Timesheet!$A$5:$A$3004,"&gt;="&amp;Settings!$B$8,Timesheet!$A$5:$A$3004,"&lt;="&amp;Settings!$B$9))</f>
        <v/>
      </c>
      <c r="G287" s="25" t="str">
        <f aca="false">IF($A287="","",SUMIFS(Timesheet!$G$5:$G$3004,Timesheet!$D$5:$D$3004,$A287,Timesheet!$A$5:$A$3004,"&gt;="&amp;Settings!$B$8,Timesheet!$A$5:$A$3004,"&lt;="&amp;Settings!$B$9))</f>
        <v/>
      </c>
      <c r="H287" s="25" t="str">
        <f aca="false">IF($A287="","",IF(D287="Monthly",MAX(0,Settings!$B$11-E287),0))</f>
        <v/>
      </c>
      <c r="I287" s="26" t="str">
        <f aca="false">IF($A287="","",N(INDEX(Workers!$L$5:$L$2004,MATCH($A287,Workers!$A$5:$A$2004,0))))</f>
        <v/>
      </c>
      <c r="J287" s="26" t="str">
        <f aca="false">IF($A287="","",N(INDEX(Workers!$M$5:$M$2004,MATCH($A287,Workers!$A$5:$A$2004,0))))</f>
        <v/>
      </c>
      <c r="K287" s="26" t="str">
        <f aca="false">IF($A287="","",IF(D287="Monthly",ROUND(MAX(0,(I287+J287)-(I287+J287)/Settings!$B$10*H287),2),0))</f>
        <v/>
      </c>
      <c r="L287" s="26" t="str">
        <f aca="false">IF($A287="","",IF(D287="Hourly",ROUND(F287*N(INDEX(Workers!$N$5:$N$2004,MATCH($A287,Workers!$A$5:$A$2004,0))),2),0))</f>
        <v/>
      </c>
      <c r="M287" s="26" t="str">
        <f aca="false">IF($A287="","",ROUND(G287*IF(D287="Hourly",N(INDEX(Workers!$N$5:$N$2004,MATCH($A287,Workers!$A$5:$A$2004,0))),I287/Settings!$B$10/Settings!$B$12)*Settings!$B$13,2))</f>
        <v/>
      </c>
      <c r="N287" s="26" t="str">
        <f aca="false">IF($A287="","",K287+L287+M287)</f>
        <v/>
      </c>
      <c r="O287" s="26" t="str">
        <f aca="false">IF($A287="","",SUMIFS(Deductions!$D$5:$D$2000,Deductions!$B$5:$B$2000,$A287,Deductions!$C$5:$C$2000,"Advance",Deductions!$E$5:$E$2000,"&gt;="&amp;Settings!$B$8,Deductions!$E$5:$E$2000,"&lt;="&amp;Settings!$B$9))</f>
        <v/>
      </c>
      <c r="P287" s="26" t="str">
        <f aca="false">IF($A287="","",SUMIFS(Deductions!$D$5:$D$2000,Deductions!$B$5:$B$2000,$A287,Deductions!$E$5:$E$2000,"&gt;="&amp;Settings!$B$8,Deductions!$E$5:$E$2000,"&lt;="&amp;Settings!$B$9)-O287)</f>
        <v/>
      </c>
      <c r="Q287" s="26" t="str">
        <f aca="false">IF($A287="","",O287+P287)</f>
        <v/>
      </c>
      <c r="R287" s="23" t="str">
        <f aca="false">IF($A287="","",N287-Q287)</f>
        <v/>
      </c>
      <c r="S287" s="24" t="str">
        <f aca="false">IF($A287="","",INDEX(Workers!$O$5:$O$2004,MATCH($A287,Workers!$A$5:$A$2004,0))&amp;"")</f>
        <v/>
      </c>
      <c r="T287" s="24" t="str">
        <f aca="false">IF($A287="","",INDEX(Workers!$P$5:$P$2004,MATCH($A287,Workers!$A$5:$A$2004,0))&amp;"")</f>
        <v/>
      </c>
      <c r="U287" s="24" t="str">
        <f aca="false">IF($A287="","",INDEX(Workers!$H$5:$H$2004,MATCH($A287,Workers!$A$5:$A$2004,0))&amp;"")</f>
        <v/>
      </c>
    </row>
    <row r="288" customFormat="false" ht="15" hidden="false" customHeight="false" outlineLevel="0" collapsed="false">
      <c r="A288" s="24" t="str">
        <f aca="false">IFERROR(INDEX(Workers!$A$5:$A$2004,MATCH(ROW()-4,Workers!$U$5:$U$2004,0)),"")</f>
        <v/>
      </c>
      <c r="B288" s="24" t="str">
        <f aca="false">IF($A288="","",INDEX(Workers!$B$5:$B$2004,MATCH($A288,Workers!$A$5:$A$2004,0)))</f>
        <v/>
      </c>
      <c r="C288" s="24" t="str">
        <f aca="false">IF($A288="","",INDEX(Workers!$E$5:$E$2004,MATCH($A288,Workers!$A$5:$A$2004,0)))</f>
        <v/>
      </c>
      <c r="D288" s="24" t="str">
        <f aca="false">IF($A288="","",INDEX(Workers!$K$5:$K$2004,MATCH($A288,Workers!$A$5:$A$2004,0)))</f>
        <v/>
      </c>
      <c r="E288" s="25" t="str">
        <f aca="false">IF($A288="","",SUMIFS(Timesheet!$E$5:$E$3004,Timesheet!$D$5:$D$3004,$A288,Timesheet!$A$5:$A$3004,"&gt;="&amp;Settings!$B$8,Timesheet!$A$5:$A$3004,"&lt;="&amp;Settings!$B$9))</f>
        <v/>
      </c>
      <c r="F288" s="25" t="str">
        <f aca="false">IF($A288="","",SUMIFS(Timesheet!$F$5:$F$3004,Timesheet!$D$5:$D$3004,$A288,Timesheet!$A$5:$A$3004,"&gt;="&amp;Settings!$B$8,Timesheet!$A$5:$A$3004,"&lt;="&amp;Settings!$B$9))</f>
        <v/>
      </c>
      <c r="G288" s="25" t="str">
        <f aca="false">IF($A288="","",SUMIFS(Timesheet!$G$5:$G$3004,Timesheet!$D$5:$D$3004,$A288,Timesheet!$A$5:$A$3004,"&gt;="&amp;Settings!$B$8,Timesheet!$A$5:$A$3004,"&lt;="&amp;Settings!$B$9))</f>
        <v/>
      </c>
      <c r="H288" s="25" t="str">
        <f aca="false">IF($A288="","",IF(D288="Monthly",MAX(0,Settings!$B$11-E288),0))</f>
        <v/>
      </c>
      <c r="I288" s="26" t="str">
        <f aca="false">IF($A288="","",N(INDEX(Workers!$L$5:$L$2004,MATCH($A288,Workers!$A$5:$A$2004,0))))</f>
        <v/>
      </c>
      <c r="J288" s="26" t="str">
        <f aca="false">IF($A288="","",N(INDEX(Workers!$M$5:$M$2004,MATCH($A288,Workers!$A$5:$A$2004,0))))</f>
        <v/>
      </c>
      <c r="K288" s="26" t="str">
        <f aca="false">IF($A288="","",IF(D288="Monthly",ROUND(MAX(0,(I288+J288)-(I288+J288)/Settings!$B$10*H288),2),0))</f>
        <v/>
      </c>
      <c r="L288" s="26" t="str">
        <f aca="false">IF($A288="","",IF(D288="Hourly",ROUND(F288*N(INDEX(Workers!$N$5:$N$2004,MATCH($A288,Workers!$A$5:$A$2004,0))),2),0))</f>
        <v/>
      </c>
      <c r="M288" s="26" t="str">
        <f aca="false">IF($A288="","",ROUND(G288*IF(D288="Hourly",N(INDEX(Workers!$N$5:$N$2004,MATCH($A288,Workers!$A$5:$A$2004,0))),I288/Settings!$B$10/Settings!$B$12)*Settings!$B$13,2))</f>
        <v/>
      </c>
      <c r="N288" s="26" t="str">
        <f aca="false">IF($A288="","",K288+L288+M288)</f>
        <v/>
      </c>
      <c r="O288" s="26" t="str">
        <f aca="false">IF($A288="","",SUMIFS(Deductions!$D$5:$D$2000,Deductions!$B$5:$B$2000,$A288,Deductions!$C$5:$C$2000,"Advance",Deductions!$E$5:$E$2000,"&gt;="&amp;Settings!$B$8,Deductions!$E$5:$E$2000,"&lt;="&amp;Settings!$B$9))</f>
        <v/>
      </c>
      <c r="P288" s="26" t="str">
        <f aca="false">IF($A288="","",SUMIFS(Deductions!$D$5:$D$2000,Deductions!$B$5:$B$2000,$A288,Deductions!$E$5:$E$2000,"&gt;="&amp;Settings!$B$8,Deductions!$E$5:$E$2000,"&lt;="&amp;Settings!$B$9)-O288)</f>
        <v/>
      </c>
      <c r="Q288" s="26" t="str">
        <f aca="false">IF($A288="","",O288+P288)</f>
        <v/>
      </c>
      <c r="R288" s="23" t="str">
        <f aca="false">IF($A288="","",N288-Q288)</f>
        <v/>
      </c>
      <c r="S288" s="24" t="str">
        <f aca="false">IF($A288="","",INDEX(Workers!$O$5:$O$2004,MATCH($A288,Workers!$A$5:$A$2004,0))&amp;"")</f>
        <v/>
      </c>
      <c r="T288" s="24" t="str">
        <f aca="false">IF($A288="","",INDEX(Workers!$P$5:$P$2004,MATCH($A288,Workers!$A$5:$A$2004,0))&amp;"")</f>
        <v/>
      </c>
      <c r="U288" s="24" t="str">
        <f aca="false">IF($A288="","",INDEX(Workers!$H$5:$H$2004,MATCH($A288,Workers!$A$5:$A$2004,0))&amp;"")</f>
        <v/>
      </c>
    </row>
    <row r="289" customFormat="false" ht="15" hidden="false" customHeight="false" outlineLevel="0" collapsed="false">
      <c r="A289" s="24" t="str">
        <f aca="false">IFERROR(INDEX(Workers!$A$5:$A$2004,MATCH(ROW()-4,Workers!$U$5:$U$2004,0)),"")</f>
        <v/>
      </c>
      <c r="B289" s="24" t="str">
        <f aca="false">IF($A289="","",INDEX(Workers!$B$5:$B$2004,MATCH($A289,Workers!$A$5:$A$2004,0)))</f>
        <v/>
      </c>
      <c r="C289" s="24" t="str">
        <f aca="false">IF($A289="","",INDEX(Workers!$E$5:$E$2004,MATCH($A289,Workers!$A$5:$A$2004,0)))</f>
        <v/>
      </c>
      <c r="D289" s="24" t="str">
        <f aca="false">IF($A289="","",INDEX(Workers!$K$5:$K$2004,MATCH($A289,Workers!$A$5:$A$2004,0)))</f>
        <v/>
      </c>
      <c r="E289" s="25" t="str">
        <f aca="false">IF($A289="","",SUMIFS(Timesheet!$E$5:$E$3004,Timesheet!$D$5:$D$3004,$A289,Timesheet!$A$5:$A$3004,"&gt;="&amp;Settings!$B$8,Timesheet!$A$5:$A$3004,"&lt;="&amp;Settings!$B$9))</f>
        <v/>
      </c>
      <c r="F289" s="25" t="str">
        <f aca="false">IF($A289="","",SUMIFS(Timesheet!$F$5:$F$3004,Timesheet!$D$5:$D$3004,$A289,Timesheet!$A$5:$A$3004,"&gt;="&amp;Settings!$B$8,Timesheet!$A$5:$A$3004,"&lt;="&amp;Settings!$B$9))</f>
        <v/>
      </c>
      <c r="G289" s="25" t="str">
        <f aca="false">IF($A289="","",SUMIFS(Timesheet!$G$5:$G$3004,Timesheet!$D$5:$D$3004,$A289,Timesheet!$A$5:$A$3004,"&gt;="&amp;Settings!$B$8,Timesheet!$A$5:$A$3004,"&lt;="&amp;Settings!$B$9))</f>
        <v/>
      </c>
      <c r="H289" s="25" t="str">
        <f aca="false">IF($A289="","",IF(D289="Monthly",MAX(0,Settings!$B$11-E289),0))</f>
        <v/>
      </c>
      <c r="I289" s="26" t="str">
        <f aca="false">IF($A289="","",N(INDEX(Workers!$L$5:$L$2004,MATCH($A289,Workers!$A$5:$A$2004,0))))</f>
        <v/>
      </c>
      <c r="J289" s="26" t="str">
        <f aca="false">IF($A289="","",N(INDEX(Workers!$M$5:$M$2004,MATCH($A289,Workers!$A$5:$A$2004,0))))</f>
        <v/>
      </c>
      <c r="K289" s="26" t="str">
        <f aca="false">IF($A289="","",IF(D289="Monthly",ROUND(MAX(0,(I289+J289)-(I289+J289)/Settings!$B$10*H289),2),0))</f>
        <v/>
      </c>
      <c r="L289" s="26" t="str">
        <f aca="false">IF($A289="","",IF(D289="Hourly",ROUND(F289*N(INDEX(Workers!$N$5:$N$2004,MATCH($A289,Workers!$A$5:$A$2004,0))),2),0))</f>
        <v/>
      </c>
      <c r="M289" s="26" t="str">
        <f aca="false">IF($A289="","",ROUND(G289*IF(D289="Hourly",N(INDEX(Workers!$N$5:$N$2004,MATCH($A289,Workers!$A$5:$A$2004,0))),I289/Settings!$B$10/Settings!$B$12)*Settings!$B$13,2))</f>
        <v/>
      </c>
      <c r="N289" s="26" t="str">
        <f aca="false">IF($A289="","",K289+L289+M289)</f>
        <v/>
      </c>
      <c r="O289" s="26" t="str">
        <f aca="false">IF($A289="","",SUMIFS(Deductions!$D$5:$D$2000,Deductions!$B$5:$B$2000,$A289,Deductions!$C$5:$C$2000,"Advance",Deductions!$E$5:$E$2000,"&gt;="&amp;Settings!$B$8,Deductions!$E$5:$E$2000,"&lt;="&amp;Settings!$B$9))</f>
        <v/>
      </c>
      <c r="P289" s="26" t="str">
        <f aca="false">IF($A289="","",SUMIFS(Deductions!$D$5:$D$2000,Deductions!$B$5:$B$2000,$A289,Deductions!$E$5:$E$2000,"&gt;="&amp;Settings!$B$8,Deductions!$E$5:$E$2000,"&lt;="&amp;Settings!$B$9)-O289)</f>
        <v/>
      </c>
      <c r="Q289" s="26" t="str">
        <f aca="false">IF($A289="","",O289+P289)</f>
        <v/>
      </c>
      <c r="R289" s="23" t="str">
        <f aca="false">IF($A289="","",N289-Q289)</f>
        <v/>
      </c>
      <c r="S289" s="24" t="str">
        <f aca="false">IF($A289="","",INDEX(Workers!$O$5:$O$2004,MATCH($A289,Workers!$A$5:$A$2004,0))&amp;"")</f>
        <v/>
      </c>
      <c r="T289" s="24" t="str">
        <f aca="false">IF($A289="","",INDEX(Workers!$P$5:$P$2004,MATCH($A289,Workers!$A$5:$A$2004,0))&amp;"")</f>
        <v/>
      </c>
      <c r="U289" s="24" t="str">
        <f aca="false">IF($A289="","",INDEX(Workers!$H$5:$H$2004,MATCH($A289,Workers!$A$5:$A$2004,0))&amp;"")</f>
        <v/>
      </c>
    </row>
    <row r="290" customFormat="false" ht="15" hidden="false" customHeight="false" outlineLevel="0" collapsed="false">
      <c r="A290" s="24" t="str">
        <f aca="false">IFERROR(INDEX(Workers!$A$5:$A$2004,MATCH(ROW()-4,Workers!$U$5:$U$2004,0)),"")</f>
        <v/>
      </c>
      <c r="B290" s="24" t="str">
        <f aca="false">IF($A290="","",INDEX(Workers!$B$5:$B$2004,MATCH($A290,Workers!$A$5:$A$2004,0)))</f>
        <v/>
      </c>
      <c r="C290" s="24" t="str">
        <f aca="false">IF($A290="","",INDEX(Workers!$E$5:$E$2004,MATCH($A290,Workers!$A$5:$A$2004,0)))</f>
        <v/>
      </c>
      <c r="D290" s="24" t="str">
        <f aca="false">IF($A290="","",INDEX(Workers!$K$5:$K$2004,MATCH($A290,Workers!$A$5:$A$2004,0)))</f>
        <v/>
      </c>
      <c r="E290" s="25" t="str">
        <f aca="false">IF($A290="","",SUMIFS(Timesheet!$E$5:$E$3004,Timesheet!$D$5:$D$3004,$A290,Timesheet!$A$5:$A$3004,"&gt;="&amp;Settings!$B$8,Timesheet!$A$5:$A$3004,"&lt;="&amp;Settings!$B$9))</f>
        <v/>
      </c>
      <c r="F290" s="25" t="str">
        <f aca="false">IF($A290="","",SUMIFS(Timesheet!$F$5:$F$3004,Timesheet!$D$5:$D$3004,$A290,Timesheet!$A$5:$A$3004,"&gt;="&amp;Settings!$B$8,Timesheet!$A$5:$A$3004,"&lt;="&amp;Settings!$B$9))</f>
        <v/>
      </c>
      <c r="G290" s="25" t="str">
        <f aca="false">IF($A290="","",SUMIFS(Timesheet!$G$5:$G$3004,Timesheet!$D$5:$D$3004,$A290,Timesheet!$A$5:$A$3004,"&gt;="&amp;Settings!$B$8,Timesheet!$A$5:$A$3004,"&lt;="&amp;Settings!$B$9))</f>
        <v/>
      </c>
      <c r="H290" s="25" t="str">
        <f aca="false">IF($A290="","",IF(D290="Monthly",MAX(0,Settings!$B$11-E290),0))</f>
        <v/>
      </c>
      <c r="I290" s="26" t="str">
        <f aca="false">IF($A290="","",N(INDEX(Workers!$L$5:$L$2004,MATCH($A290,Workers!$A$5:$A$2004,0))))</f>
        <v/>
      </c>
      <c r="J290" s="26" t="str">
        <f aca="false">IF($A290="","",N(INDEX(Workers!$M$5:$M$2004,MATCH($A290,Workers!$A$5:$A$2004,0))))</f>
        <v/>
      </c>
      <c r="K290" s="26" t="str">
        <f aca="false">IF($A290="","",IF(D290="Monthly",ROUND(MAX(0,(I290+J290)-(I290+J290)/Settings!$B$10*H290),2),0))</f>
        <v/>
      </c>
      <c r="L290" s="26" t="str">
        <f aca="false">IF($A290="","",IF(D290="Hourly",ROUND(F290*N(INDEX(Workers!$N$5:$N$2004,MATCH($A290,Workers!$A$5:$A$2004,0))),2),0))</f>
        <v/>
      </c>
      <c r="M290" s="26" t="str">
        <f aca="false">IF($A290="","",ROUND(G290*IF(D290="Hourly",N(INDEX(Workers!$N$5:$N$2004,MATCH($A290,Workers!$A$5:$A$2004,0))),I290/Settings!$B$10/Settings!$B$12)*Settings!$B$13,2))</f>
        <v/>
      </c>
      <c r="N290" s="26" t="str">
        <f aca="false">IF($A290="","",K290+L290+M290)</f>
        <v/>
      </c>
      <c r="O290" s="26" t="str">
        <f aca="false">IF($A290="","",SUMIFS(Deductions!$D$5:$D$2000,Deductions!$B$5:$B$2000,$A290,Deductions!$C$5:$C$2000,"Advance",Deductions!$E$5:$E$2000,"&gt;="&amp;Settings!$B$8,Deductions!$E$5:$E$2000,"&lt;="&amp;Settings!$B$9))</f>
        <v/>
      </c>
      <c r="P290" s="26" t="str">
        <f aca="false">IF($A290="","",SUMIFS(Deductions!$D$5:$D$2000,Deductions!$B$5:$B$2000,$A290,Deductions!$E$5:$E$2000,"&gt;="&amp;Settings!$B$8,Deductions!$E$5:$E$2000,"&lt;="&amp;Settings!$B$9)-O290)</f>
        <v/>
      </c>
      <c r="Q290" s="26" t="str">
        <f aca="false">IF($A290="","",O290+P290)</f>
        <v/>
      </c>
      <c r="R290" s="23" t="str">
        <f aca="false">IF($A290="","",N290-Q290)</f>
        <v/>
      </c>
      <c r="S290" s="24" t="str">
        <f aca="false">IF($A290="","",INDEX(Workers!$O$5:$O$2004,MATCH($A290,Workers!$A$5:$A$2004,0))&amp;"")</f>
        <v/>
      </c>
      <c r="T290" s="24" t="str">
        <f aca="false">IF($A290="","",INDEX(Workers!$P$5:$P$2004,MATCH($A290,Workers!$A$5:$A$2004,0))&amp;"")</f>
        <v/>
      </c>
      <c r="U290" s="24" t="str">
        <f aca="false">IF($A290="","",INDEX(Workers!$H$5:$H$2004,MATCH($A290,Workers!$A$5:$A$2004,0))&amp;"")</f>
        <v/>
      </c>
    </row>
    <row r="291" customFormat="false" ht="15" hidden="false" customHeight="false" outlineLevel="0" collapsed="false">
      <c r="A291" s="24" t="str">
        <f aca="false">IFERROR(INDEX(Workers!$A$5:$A$2004,MATCH(ROW()-4,Workers!$U$5:$U$2004,0)),"")</f>
        <v/>
      </c>
      <c r="B291" s="24" t="str">
        <f aca="false">IF($A291="","",INDEX(Workers!$B$5:$B$2004,MATCH($A291,Workers!$A$5:$A$2004,0)))</f>
        <v/>
      </c>
      <c r="C291" s="24" t="str">
        <f aca="false">IF($A291="","",INDEX(Workers!$E$5:$E$2004,MATCH($A291,Workers!$A$5:$A$2004,0)))</f>
        <v/>
      </c>
      <c r="D291" s="24" t="str">
        <f aca="false">IF($A291="","",INDEX(Workers!$K$5:$K$2004,MATCH($A291,Workers!$A$5:$A$2004,0)))</f>
        <v/>
      </c>
      <c r="E291" s="25" t="str">
        <f aca="false">IF($A291="","",SUMIFS(Timesheet!$E$5:$E$3004,Timesheet!$D$5:$D$3004,$A291,Timesheet!$A$5:$A$3004,"&gt;="&amp;Settings!$B$8,Timesheet!$A$5:$A$3004,"&lt;="&amp;Settings!$B$9))</f>
        <v/>
      </c>
      <c r="F291" s="25" t="str">
        <f aca="false">IF($A291="","",SUMIFS(Timesheet!$F$5:$F$3004,Timesheet!$D$5:$D$3004,$A291,Timesheet!$A$5:$A$3004,"&gt;="&amp;Settings!$B$8,Timesheet!$A$5:$A$3004,"&lt;="&amp;Settings!$B$9))</f>
        <v/>
      </c>
      <c r="G291" s="25" t="str">
        <f aca="false">IF($A291="","",SUMIFS(Timesheet!$G$5:$G$3004,Timesheet!$D$5:$D$3004,$A291,Timesheet!$A$5:$A$3004,"&gt;="&amp;Settings!$B$8,Timesheet!$A$5:$A$3004,"&lt;="&amp;Settings!$B$9))</f>
        <v/>
      </c>
      <c r="H291" s="25" t="str">
        <f aca="false">IF($A291="","",IF(D291="Monthly",MAX(0,Settings!$B$11-E291),0))</f>
        <v/>
      </c>
      <c r="I291" s="26" t="str">
        <f aca="false">IF($A291="","",N(INDEX(Workers!$L$5:$L$2004,MATCH($A291,Workers!$A$5:$A$2004,0))))</f>
        <v/>
      </c>
      <c r="J291" s="26" t="str">
        <f aca="false">IF($A291="","",N(INDEX(Workers!$M$5:$M$2004,MATCH($A291,Workers!$A$5:$A$2004,0))))</f>
        <v/>
      </c>
      <c r="K291" s="26" t="str">
        <f aca="false">IF($A291="","",IF(D291="Monthly",ROUND(MAX(0,(I291+J291)-(I291+J291)/Settings!$B$10*H291),2),0))</f>
        <v/>
      </c>
      <c r="L291" s="26" t="str">
        <f aca="false">IF($A291="","",IF(D291="Hourly",ROUND(F291*N(INDEX(Workers!$N$5:$N$2004,MATCH($A291,Workers!$A$5:$A$2004,0))),2),0))</f>
        <v/>
      </c>
      <c r="M291" s="26" t="str">
        <f aca="false">IF($A291="","",ROUND(G291*IF(D291="Hourly",N(INDEX(Workers!$N$5:$N$2004,MATCH($A291,Workers!$A$5:$A$2004,0))),I291/Settings!$B$10/Settings!$B$12)*Settings!$B$13,2))</f>
        <v/>
      </c>
      <c r="N291" s="26" t="str">
        <f aca="false">IF($A291="","",K291+L291+M291)</f>
        <v/>
      </c>
      <c r="O291" s="26" t="str">
        <f aca="false">IF($A291="","",SUMIFS(Deductions!$D$5:$D$2000,Deductions!$B$5:$B$2000,$A291,Deductions!$C$5:$C$2000,"Advance",Deductions!$E$5:$E$2000,"&gt;="&amp;Settings!$B$8,Deductions!$E$5:$E$2000,"&lt;="&amp;Settings!$B$9))</f>
        <v/>
      </c>
      <c r="P291" s="26" t="str">
        <f aca="false">IF($A291="","",SUMIFS(Deductions!$D$5:$D$2000,Deductions!$B$5:$B$2000,$A291,Deductions!$E$5:$E$2000,"&gt;="&amp;Settings!$B$8,Deductions!$E$5:$E$2000,"&lt;="&amp;Settings!$B$9)-O291)</f>
        <v/>
      </c>
      <c r="Q291" s="26" t="str">
        <f aca="false">IF($A291="","",O291+P291)</f>
        <v/>
      </c>
      <c r="R291" s="23" t="str">
        <f aca="false">IF($A291="","",N291-Q291)</f>
        <v/>
      </c>
      <c r="S291" s="24" t="str">
        <f aca="false">IF($A291="","",INDEX(Workers!$O$5:$O$2004,MATCH($A291,Workers!$A$5:$A$2004,0))&amp;"")</f>
        <v/>
      </c>
      <c r="T291" s="24" t="str">
        <f aca="false">IF($A291="","",INDEX(Workers!$P$5:$P$2004,MATCH($A291,Workers!$A$5:$A$2004,0))&amp;"")</f>
        <v/>
      </c>
      <c r="U291" s="24" t="str">
        <f aca="false">IF($A291="","",INDEX(Workers!$H$5:$H$2004,MATCH($A291,Workers!$A$5:$A$2004,0))&amp;"")</f>
        <v/>
      </c>
    </row>
    <row r="292" customFormat="false" ht="15" hidden="false" customHeight="false" outlineLevel="0" collapsed="false">
      <c r="A292" s="24" t="str">
        <f aca="false">IFERROR(INDEX(Workers!$A$5:$A$2004,MATCH(ROW()-4,Workers!$U$5:$U$2004,0)),"")</f>
        <v/>
      </c>
      <c r="B292" s="24" t="str">
        <f aca="false">IF($A292="","",INDEX(Workers!$B$5:$B$2004,MATCH($A292,Workers!$A$5:$A$2004,0)))</f>
        <v/>
      </c>
      <c r="C292" s="24" t="str">
        <f aca="false">IF($A292="","",INDEX(Workers!$E$5:$E$2004,MATCH($A292,Workers!$A$5:$A$2004,0)))</f>
        <v/>
      </c>
      <c r="D292" s="24" t="str">
        <f aca="false">IF($A292="","",INDEX(Workers!$K$5:$K$2004,MATCH($A292,Workers!$A$5:$A$2004,0)))</f>
        <v/>
      </c>
      <c r="E292" s="25" t="str">
        <f aca="false">IF($A292="","",SUMIFS(Timesheet!$E$5:$E$3004,Timesheet!$D$5:$D$3004,$A292,Timesheet!$A$5:$A$3004,"&gt;="&amp;Settings!$B$8,Timesheet!$A$5:$A$3004,"&lt;="&amp;Settings!$B$9))</f>
        <v/>
      </c>
      <c r="F292" s="25" t="str">
        <f aca="false">IF($A292="","",SUMIFS(Timesheet!$F$5:$F$3004,Timesheet!$D$5:$D$3004,$A292,Timesheet!$A$5:$A$3004,"&gt;="&amp;Settings!$B$8,Timesheet!$A$5:$A$3004,"&lt;="&amp;Settings!$B$9))</f>
        <v/>
      </c>
      <c r="G292" s="25" t="str">
        <f aca="false">IF($A292="","",SUMIFS(Timesheet!$G$5:$G$3004,Timesheet!$D$5:$D$3004,$A292,Timesheet!$A$5:$A$3004,"&gt;="&amp;Settings!$B$8,Timesheet!$A$5:$A$3004,"&lt;="&amp;Settings!$B$9))</f>
        <v/>
      </c>
      <c r="H292" s="25" t="str">
        <f aca="false">IF($A292="","",IF(D292="Monthly",MAX(0,Settings!$B$11-E292),0))</f>
        <v/>
      </c>
      <c r="I292" s="26" t="str">
        <f aca="false">IF($A292="","",N(INDEX(Workers!$L$5:$L$2004,MATCH($A292,Workers!$A$5:$A$2004,0))))</f>
        <v/>
      </c>
      <c r="J292" s="26" t="str">
        <f aca="false">IF($A292="","",N(INDEX(Workers!$M$5:$M$2004,MATCH($A292,Workers!$A$5:$A$2004,0))))</f>
        <v/>
      </c>
      <c r="K292" s="26" t="str">
        <f aca="false">IF($A292="","",IF(D292="Monthly",ROUND(MAX(0,(I292+J292)-(I292+J292)/Settings!$B$10*H292),2),0))</f>
        <v/>
      </c>
      <c r="L292" s="26" t="str">
        <f aca="false">IF($A292="","",IF(D292="Hourly",ROUND(F292*N(INDEX(Workers!$N$5:$N$2004,MATCH($A292,Workers!$A$5:$A$2004,0))),2),0))</f>
        <v/>
      </c>
      <c r="M292" s="26" t="str">
        <f aca="false">IF($A292="","",ROUND(G292*IF(D292="Hourly",N(INDEX(Workers!$N$5:$N$2004,MATCH($A292,Workers!$A$5:$A$2004,0))),I292/Settings!$B$10/Settings!$B$12)*Settings!$B$13,2))</f>
        <v/>
      </c>
      <c r="N292" s="26" t="str">
        <f aca="false">IF($A292="","",K292+L292+M292)</f>
        <v/>
      </c>
      <c r="O292" s="26" t="str">
        <f aca="false">IF($A292="","",SUMIFS(Deductions!$D$5:$D$2000,Deductions!$B$5:$B$2000,$A292,Deductions!$C$5:$C$2000,"Advance",Deductions!$E$5:$E$2000,"&gt;="&amp;Settings!$B$8,Deductions!$E$5:$E$2000,"&lt;="&amp;Settings!$B$9))</f>
        <v/>
      </c>
      <c r="P292" s="26" t="str">
        <f aca="false">IF($A292="","",SUMIFS(Deductions!$D$5:$D$2000,Deductions!$B$5:$B$2000,$A292,Deductions!$E$5:$E$2000,"&gt;="&amp;Settings!$B$8,Deductions!$E$5:$E$2000,"&lt;="&amp;Settings!$B$9)-O292)</f>
        <v/>
      </c>
      <c r="Q292" s="26" t="str">
        <f aca="false">IF($A292="","",O292+P292)</f>
        <v/>
      </c>
      <c r="R292" s="23" t="str">
        <f aca="false">IF($A292="","",N292-Q292)</f>
        <v/>
      </c>
      <c r="S292" s="24" t="str">
        <f aca="false">IF($A292="","",INDEX(Workers!$O$5:$O$2004,MATCH($A292,Workers!$A$5:$A$2004,0))&amp;"")</f>
        <v/>
      </c>
      <c r="T292" s="24" t="str">
        <f aca="false">IF($A292="","",INDEX(Workers!$P$5:$P$2004,MATCH($A292,Workers!$A$5:$A$2004,0))&amp;"")</f>
        <v/>
      </c>
      <c r="U292" s="24" t="str">
        <f aca="false">IF($A292="","",INDEX(Workers!$H$5:$H$2004,MATCH($A292,Workers!$A$5:$A$2004,0))&amp;"")</f>
        <v/>
      </c>
    </row>
    <row r="293" customFormat="false" ht="15" hidden="false" customHeight="false" outlineLevel="0" collapsed="false">
      <c r="A293" s="24" t="str">
        <f aca="false">IFERROR(INDEX(Workers!$A$5:$A$2004,MATCH(ROW()-4,Workers!$U$5:$U$2004,0)),"")</f>
        <v/>
      </c>
      <c r="B293" s="24" t="str">
        <f aca="false">IF($A293="","",INDEX(Workers!$B$5:$B$2004,MATCH($A293,Workers!$A$5:$A$2004,0)))</f>
        <v/>
      </c>
      <c r="C293" s="24" t="str">
        <f aca="false">IF($A293="","",INDEX(Workers!$E$5:$E$2004,MATCH($A293,Workers!$A$5:$A$2004,0)))</f>
        <v/>
      </c>
      <c r="D293" s="24" t="str">
        <f aca="false">IF($A293="","",INDEX(Workers!$K$5:$K$2004,MATCH($A293,Workers!$A$5:$A$2004,0)))</f>
        <v/>
      </c>
      <c r="E293" s="25" t="str">
        <f aca="false">IF($A293="","",SUMIFS(Timesheet!$E$5:$E$3004,Timesheet!$D$5:$D$3004,$A293,Timesheet!$A$5:$A$3004,"&gt;="&amp;Settings!$B$8,Timesheet!$A$5:$A$3004,"&lt;="&amp;Settings!$B$9))</f>
        <v/>
      </c>
      <c r="F293" s="25" t="str">
        <f aca="false">IF($A293="","",SUMIFS(Timesheet!$F$5:$F$3004,Timesheet!$D$5:$D$3004,$A293,Timesheet!$A$5:$A$3004,"&gt;="&amp;Settings!$B$8,Timesheet!$A$5:$A$3004,"&lt;="&amp;Settings!$B$9))</f>
        <v/>
      </c>
      <c r="G293" s="25" t="str">
        <f aca="false">IF($A293="","",SUMIFS(Timesheet!$G$5:$G$3004,Timesheet!$D$5:$D$3004,$A293,Timesheet!$A$5:$A$3004,"&gt;="&amp;Settings!$B$8,Timesheet!$A$5:$A$3004,"&lt;="&amp;Settings!$B$9))</f>
        <v/>
      </c>
      <c r="H293" s="25" t="str">
        <f aca="false">IF($A293="","",IF(D293="Monthly",MAX(0,Settings!$B$11-E293),0))</f>
        <v/>
      </c>
      <c r="I293" s="26" t="str">
        <f aca="false">IF($A293="","",N(INDEX(Workers!$L$5:$L$2004,MATCH($A293,Workers!$A$5:$A$2004,0))))</f>
        <v/>
      </c>
      <c r="J293" s="26" t="str">
        <f aca="false">IF($A293="","",N(INDEX(Workers!$M$5:$M$2004,MATCH($A293,Workers!$A$5:$A$2004,0))))</f>
        <v/>
      </c>
      <c r="K293" s="26" t="str">
        <f aca="false">IF($A293="","",IF(D293="Monthly",ROUND(MAX(0,(I293+J293)-(I293+J293)/Settings!$B$10*H293),2),0))</f>
        <v/>
      </c>
      <c r="L293" s="26" t="str">
        <f aca="false">IF($A293="","",IF(D293="Hourly",ROUND(F293*N(INDEX(Workers!$N$5:$N$2004,MATCH($A293,Workers!$A$5:$A$2004,0))),2),0))</f>
        <v/>
      </c>
      <c r="M293" s="26" t="str">
        <f aca="false">IF($A293="","",ROUND(G293*IF(D293="Hourly",N(INDEX(Workers!$N$5:$N$2004,MATCH($A293,Workers!$A$5:$A$2004,0))),I293/Settings!$B$10/Settings!$B$12)*Settings!$B$13,2))</f>
        <v/>
      </c>
      <c r="N293" s="26" t="str">
        <f aca="false">IF($A293="","",K293+L293+M293)</f>
        <v/>
      </c>
      <c r="O293" s="26" t="str">
        <f aca="false">IF($A293="","",SUMIFS(Deductions!$D$5:$D$2000,Deductions!$B$5:$B$2000,$A293,Deductions!$C$5:$C$2000,"Advance",Deductions!$E$5:$E$2000,"&gt;="&amp;Settings!$B$8,Deductions!$E$5:$E$2000,"&lt;="&amp;Settings!$B$9))</f>
        <v/>
      </c>
      <c r="P293" s="26" t="str">
        <f aca="false">IF($A293="","",SUMIFS(Deductions!$D$5:$D$2000,Deductions!$B$5:$B$2000,$A293,Deductions!$E$5:$E$2000,"&gt;="&amp;Settings!$B$8,Deductions!$E$5:$E$2000,"&lt;="&amp;Settings!$B$9)-O293)</f>
        <v/>
      </c>
      <c r="Q293" s="26" t="str">
        <f aca="false">IF($A293="","",O293+P293)</f>
        <v/>
      </c>
      <c r="R293" s="23" t="str">
        <f aca="false">IF($A293="","",N293-Q293)</f>
        <v/>
      </c>
      <c r="S293" s="24" t="str">
        <f aca="false">IF($A293="","",INDEX(Workers!$O$5:$O$2004,MATCH($A293,Workers!$A$5:$A$2004,0))&amp;"")</f>
        <v/>
      </c>
      <c r="T293" s="24" t="str">
        <f aca="false">IF($A293="","",INDEX(Workers!$P$5:$P$2004,MATCH($A293,Workers!$A$5:$A$2004,0))&amp;"")</f>
        <v/>
      </c>
      <c r="U293" s="24" t="str">
        <f aca="false">IF($A293="","",INDEX(Workers!$H$5:$H$2004,MATCH($A293,Workers!$A$5:$A$2004,0))&amp;"")</f>
        <v/>
      </c>
    </row>
    <row r="294" customFormat="false" ht="15" hidden="false" customHeight="false" outlineLevel="0" collapsed="false">
      <c r="A294" s="24" t="str">
        <f aca="false">IFERROR(INDEX(Workers!$A$5:$A$2004,MATCH(ROW()-4,Workers!$U$5:$U$2004,0)),"")</f>
        <v/>
      </c>
      <c r="B294" s="24" t="str">
        <f aca="false">IF($A294="","",INDEX(Workers!$B$5:$B$2004,MATCH($A294,Workers!$A$5:$A$2004,0)))</f>
        <v/>
      </c>
      <c r="C294" s="24" t="str">
        <f aca="false">IF($A294="","",INDEX(Workers!$E$5:$E$2004,MATCH($A294,Workers!$A$5:$A$2004,0)))</f>
        <v/>
      </c>
      <c r="D294" s="24" t="str">
        <f aca="false">IF($A294="","",INDEX(Workers!$K$5:$K$2004,MATCH($A294,Workers!$A$5:$A$2004,0)))</f>
        <v/>
      </c>
      <c r="E294" s="25" t="str">
        <f aca="false">IF($A294="","",SUMIFS(Timesheet!$E$5:$E$3004,Timesheet!$D$5:$D$3004,$A294,Timesheet!$A$5:$A$3004,"&gt;="&amp;Settings!$B$8,Timesheet!$A$5:$A$3004,"&lt;="&amp;Settings!$B$9))</f>
        <v/>
      </c>
      <c r="F294" s="25" t="str">
        <f aca="false">IF($A294="","",SUMIFS(Timesheet!$F$5:$F$3004,Timesheet!$D$5:$D$3004,$A294,Timesheet!$A$5:$A$3004,"&gt;="&amp;Settings!$B$8,Timesheet!$A$5:$A$3004,"&lt;="&amp;Settings!$B$9))</f>
        <v/>
      </c>
      <c r="G294" s="25" t="str">
        <f aca="false">IF($A294="","",SUMIFS(Timesheet!$G$5:$G$3004,Timesheet!$D$5:$D$3004,$A294,Timesheet!$A$5:$A$3004,"&gt;="&amp;Settings!$B$8,Timesheet!$A$5:$A$3004,"&lt;="&amp;Settings!$B$9))</f>
        <v/>
      </c>
      <c r="H294" s="25" t="str">
        <f aca="false">IF($A294="","",IF(D294="Monthly",MAX(0,Settings!$B$11-E294),0))</f>
        <v/>
      </c>
      <c r="I294" s="26" t="str">
        <f aca="false">IF($A294="","",N(INDEX(Workers!$L$5:$L$2004,MATCH($A294,Workers!$A$5:$A$2004,0))))</f>
        <v/>
      </c>
      <c r="J294" s="26" t="str">
        <f aca="false">IF($A294="","",N(INDEX(Workers!$M$5:$M$2004,MATCH($A294,Workers!$A$5:$A$2004,0))))</f>
        <v/>
      </c>
      <c r="K294" s="26" t="str">
        <f aca="false">IF($A294="","",IF(D294="Monthly",ROUND(MAX(0,(I294+J294)-(I294+J294)/Settings!$B$10*H294),2),0))</f>
        <v/>
      </c>
      <c r="L294" s="26" t="str">
        <f aca="false">IF($A294="","",IF(D294="Hourly",ROUND(F294*N(INDEX(Workers!$N$5:$N$2004,MATCH($A294,Workers!$A$5:$A$2004,0))),2),0))</f>
        <v/>
      </c>
      <c r="M294" s="26" t="str">
        <f aca="false">IF($A294="","",ROUND(G294*IF(D294="Hourly",N(INDEX(Workers!$N$5:$N$2004,MATCH($A294,Workers!$A$5:$A$2004,0))),I294/Settings!$B$10/Settings!$B$12)*Settings!$B$13,2))</f>
        <v/>
      </c>
      <c r="N294" s="26" t="str">
        <f aca="false">IF($A294="","",K294+L294+M294)</f>
        <v/>
      </c>
      <c r="O294" s="26" t="str">
        <f aca="false">IF($A294="","",SUMIFS(Deductions!$D$5:$D$2000,Deductions!$B$5:$B$2000,$A294,Deductions!$C$5:$C$2000,"Advance",Deductions!$E$5:$E$2000,"&gt;="&amp;Settings!$B$8,Deductions!$E$5:$E$2000,"&lt;="&amp;Settings!$B$9))</f>
        <v/>
      </c>
      <c r="P294" s="26" t="str">
        <f aca="false">IF($A294="","",SUMIFS(Deductions!$D$5:$D$2000,Deductions!$B$5:$B$2000,$A294,Deductions!$E$5:$E$2000,"&gt;="&amp;Settings!$B$8,Deductions!$E$5:$E$2000,"&lt;="&amp;Settings!$B$9)-O294)</f>
        <v/>
      </c>
      <c r="Q294" s="26" t="str">
        <f aca="false">IF($A294="","",O294+P294)</f>
        <v/>
      </c>
      <c r="R294" s="23" t="str">
        <f aca="false">IF($A294="","",N294-Q294)</f>
        <v/>
      </c>
      <c r="S294" s="24" t="str">
        <f aca="false">IF($A294="","",INDEX(Workers!$O$5:$O$2004,MATCH($A294,Workers!$A$5:$A$2004,0))&amp;"")</f>
        <v/>
      </c>
      <c r="T294" s="24" t="str">
        <f aca="false">IF($A294="","",INDEX(Workers!$P$5:$P$2004,MATCH($A294,Workers!$A$5:$A$2004,0))&amp;"")</f>
        <v/>
      </c>
      <c r="U294" s="24" t="str">
        <f aca="false">IF($A294="","",INDEX(Workers!$H$5:$H$2004,MATCH($A294,Workers!$A$5:$A$2004,0))&amp;"")</f>
        <v/>
      </c>
    </row>
    <row r="295" customFormat="false" ht="15" hidden="false" customHeight="false" outlineLevel="0" collapsed="false">
      <c r="A295" s="24" t="str">
        <f aca="false">IFERROR(INDEX(Workers!$A$5:$A$2004,MATCH(ROW()-4,Workers!$U$5:$U$2004,0)),"")</f>
        <v/>
      </c>
      <c r="B295" s="24" t="str">
        <f aca="false">IF($A295="","",INDEX(Workers!$B$5:$B$2004,MATCH($A295,Workers!$A$5:$A$2004,0)))</f>
        <v/>
      </c>
      <c r="C295" s="24" t="str">
        <f aca="false">IF($A295="","",INDEX(Workers!$E$5:$E$2004,MATCH($A295,Workers!$A$5:$A$2004,0)))</f>
        <v/>
      </c>
      <c r="D295" s="24" t="str">
        <f aca="false">IF($A295="","",INDEX(Workers!$K$5:$K$2004,MATCH($A295,Workers!$A$5:$A$2004,0)))</f>
        <v/>
      </c>
      <c r="E295" s="25" t="str">
        <f aca="false">IF($A295="","",SUMIFS(Timesheet!$E$5:$E$3004,Timesheet!$D$5:$D$3004,$A295,Timesheet!$A$5:$A$3004,"&gt;="&amp;Settings!$B$8,Timesheet!$A$5:$A$3004,"&lt;="&amp;Settings!$B$9))</f>
        <v/>
      </c>
      <c r="F295" s="25" t="str">
        <f aca="false">IF($A295="","",SUMIFS(Timesheet!$F$5:$F$3004,Timesheet!$D$5:$D$3004,$A295,Timesheet!$A$5:$A$3004,"&gt;="&amp;Settings!$B$8,Timesheet!$A$5:$A$3004,"&lt;="&amp;Settings!$B$9))</f>
        <v/>
      </c>
      <c r="G295" s="25" t="str">
        <f aca="false">IF($A295="","",SUMIFS(Timesheet!$G$5:$G$3004,Timesheet!$D$5:$D$3004,$A295,Timesheet!$A$5:$A$3004,"&gt;="&amp;Settings!$B$8,Timesheet!$A$5:$A$3004,"&lt;="&amp;Settings!$B$9))</f>
        <v/>
      </c>
      <c r="H295" s="25" t="str">
        <f aca="false">IF($A295="","",IF(D295="Monthly",MAX(0,Settings!$B$11-E295),0))</f>
        <v/>
      </c>
      <c r="I295" s="26" t="str">
        <f aca="false">IF($A295="","",N(INDEX(Workers!$L$5:$L$2004,MATCH($A295,Workers!$A$5:$A$2004,0))))</f>
        <v/>
      </c>
      <c r="J295" s="26" t="str">
        <f aca="false">IF($A295="","",N(INDEX(Workers!$M$5:$M$2004,MATCH($A295,Workers!$A$5:$A$2004,0))))</f>
        <v/>
      </c>
      <c r="K295" s="26" t="str">
        <f aca="false">IF($A295="","",IF(D295="Monthly",ROUND(MAX(0,(I295+J295)-(I295+J295)/Settings!$B$10*H295),2),0))</f>
        <v/>
      </c>
      <c r="L295" s="26" t="str">
        <f aca="false">IF($A295="","",IF(D295="Hourly",ROUND(F295*N(INDEX(Workers!$N$5:$N$2004,MATCH($A295,Workers!$A$5:$A$2004,0))),2),0))</f>
        <v/>
      </c>
      <c r="M295" s="26" t="str">
        <f aca="false">IF($A295="","",ROUND(G295*IF(D295="Hourly",N(INDEX(Workers!$N$5:$N$2004,MATCH($A295,Workers!$A$5:$A$2004,0))),I295/Settings!$B$10/Settings!$B$12)*Settings!$B$13,2))</f>
        <v/>
      </c>
      <c r="N295" s="26" t="str">
        <f aca="false">IF($A295="","",K295+L295+M295)</f>
        <v/>
      </c>
      <c r="O295" s="26" t="str">
        <f aca="false">IF($A295="","",SUMIFS(Deductions!$D$5:$D$2000,Deductions!$B$5:$B$2000,$A295,Deductions!$C$5:$C$2000,"Advance",Deductions!$E$5:$E$2000,"&gt;="&amp;Settings!$B$8,Deductions!$E$5:$E$2000,"&lt;="&amp;Settings!$B$9))</f>
        <v/>
      </c>
      <c r="P295" s="26" t="str">
        <f aca="false">IF($A295="","",SUMIFS(Deductions!$D$5:$D$2000,Deductions!$B$5:$B$2000,$A295,Deductions!$E$5:$E$2000,"&gt;="&amp;Settings!$B$8,Deductions!$E$5:$E$2000,"&lt;="&amp;Settings!$B$9)-O295)</f>
        <v/>
      </c>
      <c r="Q295" s="26" t="str">
        <f aca="false">IF($A295="","",O295+P295)</f>
        <v/>
      </c>
      <c r="R295" s="23" t="str">
        <f aca="false">IF($A295="","",N295-Q295)</f>
        <v/>
      </c>
      <c r="S295" s="24" t="str">
        <f aca="false">IF($A295="","",INDEX(Workers!$O$5:$O$2004,MATCH($A295,Workers!$A$5:$A$2004,0))&amp;"")</f>
        <v/>
      </c>
      <c r="T295" s="24" t="str">
        <f aca="false">IF($A295="","",INDEX(Workers!$P$5:$P$2004,MATCH($A295,Workers!$A$5:$A$2004,0))&amp;"")</f>
        <v/>
      </c>
      <c r="U295" s="24" t="str">
        <f aca="false">IF($A295="","",INDEX(Workers!$H$5:$H$2004,MATCH($A295,Workers!$A$5:$A$2004,0))&amp;"")</f>
        <v/>
      </c>
    </row>
    <row r="296" customFormat="false" ht="15" hidden="false" customHeight="false" outlineLevel="0" collapsed="false">
      <c r="A296" s="24" t="str">
        <f aca="false">IFERROR(INDEX(Workers!$A$5:$A$2004,MATCH(ROW()-4,Workers!$U$5:$U$2004,0)),"")</f>
        <v/>
      </c>
      <c r="B296" s="24" t="str">
        <f aca="false">IF($A296="","",INDEX(Workers!$B$5:$B$2004,MATCH($A296,Workers!$A$5:$A$2004,0)))</f>
        <v/>
      </c>
      <c r="C296" s="24" t="str">
        <f aca="false">IF($A296="","",INDEX(Workers!$E$5:$E$2004,MATCH($A296,Workers!$A$5:$A$2004,0)))</f>
        <v/>
      </c>
      <c r="D296" s="24" t="str">
        <f aca="false">IF($A296="","",INDEX(Workers!$K$5:$K$2004,MATCH($A296,Workers!$A$5:$A$2004,0)))</f>
        <v/>
      </c>
      <c r="E296" s="25" t="str">
        <f aca="false">IF($A296="","",SUMIFS(Timesheet!$E$5:$E$3004,Timesheet!$D$5:$D$3004,$A296,Timesheet!$A$5:$A$3004,"&gt;="&amp;Settings!$B$8,Timesheet!$A$5:$A$3004,"&lt;="&amp;Settings!$B$9))</f>
        <v/>
      </c>
      <c r="F296" s="25" t="str">
        <f aca="false">IF($A296="","",SUMIFS(Timesheet!$F$5:$F$3004,Timesheet!$D$5:$D$3004,$A296,Timesheet!$A$5:$A$3004,"&gt;="&amp;Settings!$B$8,Timesheet!$A$5:$A$3004,"&lt;="&amp;Settings!$B$9))</f>
        <v/>
      </c>
      <c r="G296" s="25" t="str">
        <f aca="false">IF($A296="","",SUMIFS(Timesheet!$G$5:$G$3004,Timesheet!$D$5:$D$3004,$A296,Timesheet!$A$5:$A$3004,"&gt;="&amp;Settings!$B$8,Timesheet!$A$5:$A$3004,"&lt;="&amp;Settings!$B$9))</f>
        <v/>
      </c>
      <c r="H296" s="25" t="str">
        <f aca="false">IF($A296="","",IF(D296="Monthly",MAX(0,Settings!$B$11-E296),0))</f>
        <v/>
      </c>
      <c r="I296" s="26" t="str">
        <f aca="false">IF($A296="","",N(INDEX(Workers!$L$5:$L$2004,MATCH($A296,Workers!$A$5:$A$2004,0))))</f>
        <v/>
      </c>
      <c r="J296" s="26" t="str">
        <f aca="false">IF($A296="","",N(INDEX(Workers!$M$5:$M$2004,MATCH($A296,Workers!$A$5:$A$2004,0))))</f>
        <v/>
      </c>
      <c r="K296" s="26" t="str">
        <f aca="false">IF($A296="","",IF(D296="Monthly",ROUND(MAX(0,(I296+J296)-(I296+J296)/Settings!$B$10*H296),2),0))</f>
        <v/>
      </c>
      <c r="L296" s="26" t="str">
        <f aca="false">IF($A296="","",IF(D296="Hourly",ROUND(F296*N(INDEX(Workers!$N$5:$N$2004,MATCH($A296,Workers!$A$5:$A$2004,0))),2),0))</f>
        <v/>
      </c>
      <c r="M296" s="26" t="str">
        <f aca="false">IF($A296="","",ROUND(G296*IF(D296="Hourly",N(INDEX(Workers!$N$5:$N$2004,MATCH($A296,Workers!$A$5:$A$2004,0))),I296/Settings!$B$10/Settings!$B$12)*Settings!$B$13,2))</f>
        <v/>
      </c>
      <c r="N296" s="26" t="str">
        <f aca="false">IF($A296="","",K296+L296+M296)</f>
        <v/>
      </c>
      <c r="O296" s="26" t="str">
        <f aca="false">IF($A296="","",SUMIFS(Deductions!$D$5:$D$2000,Deductions!$B$5:$B$2000,$A296,Deductions!$C$5:$C$2000,"Advance",Deductions!$E$5:$E$2000,"&gt;="&amp;Settings!$B$8,Deductions!$E$5:$E$2000,"&lt;="&amp;Settings!$B$9))</f>
        <v/>
      </c>
      <c r="P296" s="26" t="str">
        <f aca="false">IF($A296="","",SUMIFS(Deductions!$D$5:$D$2000,Deductions!$B$5:$B$2000,$A296,Deductions!$E$5:$E$2000,"&gt;="&amp;Settings!$B$8,Deductions!$E$5:$E$2000,"&lt;="&amp;Settings!$B$9)-O296)</f>
        <v/>
      </c>
      <c r="Q296" s="26" t="str">
        <f aca="false">IF($A296="","",O296+P296)</f>
        <v/>
      </c>
      <c r="R296" s="23" t="str">
        <f aca="false">IF($A296="","",N296-Q296)</f>
        <v/>
      </c>
      <c r="S296" s="24" t="str">
        <f aca="false">IF($A296="","",INDEX(Workers!$O$5:$O$2004,MATCH($A296,Workers!$A$5:$A$2004,0))&amp;"")</f>
        <v/>
      </c>
      <c r="T296" s="24" t="str">
        <f aca="false">IF($A296="","",INDEX(Workers!$P$5:$P$2004,MATCH($A296,Workers!$A$5:$A$2004,0))&amp;"")</f>
        <v/>
      </c>
      <c r="U296" s="24" t="str">
        <f aca="false">IF($A296="","",INDEX(Workers!$H$5:$H$2004,MATCH($A296,Workers!$A$5:$A$2004,0))&amp;"")</f>
        <v/>
      </c>
    </row>
    <row r="297" customFormat="false" ht="15" hidden="false" customHeight="false" outlineLevel="0" collapsed="false">
      <c r="A297" s="24" t="str">
        <f aca="false">IFERROR(INDEX(Workers!$A$5:$A$2004,MATCH(ROW()-4,Workers!$U$5:$U$2004,0)),"")</f>
        <v/>
      </c>
      <c r="B297" s="24" t="str">
        <f aca="false">IF($A297="","",INDEX(Workers!$B$5:$B$2004,MATCH($A297,Workers!$A$5:$A$2004,0)))</f>
        <v/>
      </c>
      <c r="C297" s="24" t="str">
        <f aca="false">IF($A297="","",INDEX(Workers!$E$5:$E$2004,MATCH($A297,Workers!$A$5:$A$2004,0)))</f>
        <v/>
      </c>
      <c r="D297" s="24" t="str">
        <f aca="false">IF($A297="","",INDEX(Workers!$K$5:$K$2004,MATCH($A297,Workers!$A$5:$A$2004,0)))</f>
        <v/>
      </c>
      <c r="E297" s="25" t="str">
        <f aca="false">IF($A297="","",SUMIFS(Timesheet!$E$5:$E$3004,Timesheet!$D$5:$D$3004,$A297,Timesheet!$A$5:$A$3004,"&gt;="&amp;Settings!$B$8,Timesheet!$A$5:$A$3004,"&lt;="&amp;Settings!$B$9))</f>
        <v/>
      </c>
      <c r="F297" s="25" t="str">
        <f aca="false">IF($A297="","",SUMIFS(Timesheet!$F$5:$F$3004,Timesheet!$D$5:$D$3004,$A297,Timesheet!$A$5:$A$3004,"&gt;="&amp;Settings!$B$8,Timesheet!$A$5:$A$3004,"&lt;="&amp;Settings!$B$9))</f>
        <v/>
      </c>
      <c r="G297" s="25" t="str">
        <f aca="false">IF($A297="","",SUMIFS(Timesheet!$G$5:$G$3004,Timesheet!$D$5:$D$3004,$A297,Timesheet!$A$5:$A$3004,"&gt;="&amp;Settings!$B$8,Timesheet!$A$5:$A$3004,"&lt;="&amp;Settings!$B$9))</f>
        <v/>
      </c>
      <c r="H297" s="25" t="str">
        <f aca="false">IF($A297="","",IF(D297="Monthly",MAX(0,Settings!$B$11-E297),0))</f>
        <v/>
      </c>
      <c r="I297" s="26" t="str">
        <f aca="false">IF($A297="","",N(INDEX(Workers!$L$5:$L$2004,MATCH($A297,Workers!$A$5:$A$2004,0))))</f>
        <v/>
      </c>
      <c r="J297" s="26" t="str">
        <f aca="false">IF($A297="","",N(INDEX(Workers!$M$5:$M$2004,MATCH($A297,Workers!$A$5:$A$2004,0))))</f>
        <v/>
      </c>
      <c r="K297" s="26" t="str">
        <f aca="false">IF($A297="","",IF(D297="Monthly",ROUND(MAX(0,(I297+J297)-(I297+J297)/Settings!$B$10*H297),2),0))</f>
        <v/>
      </c>
      <c r="L297" s="26" t="str">
        <f aca="false">IF($A297="","",IF(D297="Hourly",ROUND(F297*N(INDEX(Workers!$N$5:$N$2004,MATCH($A297,Workers!$A$5:$A$2004,0))),2),0))</f>
        <v/>
      </c>
      <c r="M297" s="26" t="str">
        <f aca="false">IF($A297="","",ROUND(G297*IF(D297="Hourly",N(INDEX(Workers!$N$5:$N$2004,MATCH($A297,Workers!$A$5:$A$2004,0))),I297/Settings!$B$10/Settings!$B$12)*Settings!$B$13,2))</f>
        <v/>
      </c>
      <c r="N297" s="26" t="str">
        <f aca="false">IF($A297="","",K297+L297+M297)</f>
        <v/>
      </c>
      <c r="O297" s="26" t="str">
        <f aca="false">IF($A297="","",SUMIFS(Deductions!$D$5:$D$2000,Deductions!$B$5:$B$2000,$A297,Deductions!$C$5:$C$2000,"Advance",Deductions!$E$5:$E$2000,"&gt;="&amp;Settings!$B$8,Deductions!$E$5:$E$2000,"&lt;="&amp;Settings!$B$9))</f>
        <v/>
      </c>
      <c r="P297" s="26" t="str">
        <f aca="false">IF($A297="","",SUMIFS(Deductions!$D$5:$D$2000,Deductions!$B$5:$B$2000,$A297,Deductions!$E$5:$E$2000,"&gt;="&amp;Settings!$B$8,Deductions!$E$5:$E$2000,"&lt;="&amp;Settings!$B$9)-O297)</f>
        <v/>
      </c>
      <c r="Q297" s="26" t="str">
        <f aca="false">IF($A297="","",O297+P297)</f>
        <v/>
      </c>
      <c r="R297" s="23" t="str">
        <f aca="false">IF($A297="","",N297-Q297)</f>
        <v/>
      </c>
      <c r="S297" s="24" t="str">
        <f aca="false">IF($A297="","",INDEX(Workers!$O$5:$O$2004,MATCH($A297,Workers!$A$5:$A$2004,0))&amp;"")</f>
        <v/>
      </c>
      <c r="T297" s="24" t="str">
        <f aca="false">IF($A297="","",INDEX(Workers!$P$5:$P$2004,MATCH($A297,Workers!$A$5:$A$2004,0))&amp;"")</f>
        <v/>
      </c>
      <c r="U297" s="24" t="str">
        <f aca="false">IF($A297="","",INDEX(Workers!$H$5:$H$2004,MATCH($A297,Workers!$A$5:$A$2004,0))&amp;"")</f>
        <v/>
      </c>
    </row>
    <row r="298" customFormat="false" ht="15" hidden="false" customHeight="false" outlineLevel="0" collapsed="false">
      <c r="A298" s="24" t="str">
        <f aca="false">IFERROR(INDEX(Workers!$A$5:$A$2004,MATCH(ROW()-4,Workers!$U$5:$U$2004,0)),"")</f>
        <v/>
      </c>
      <c r="B298" s="24" t="str">
        <f aca="false">IF($A298="","",INDEX(Workers!$B$5:$B$2004,MATCH($A298,Workers!$A$5:$A$2004,0)))</f>
        <v/>
      </c>
      <c r="C298" s="24" t="str">
        <f aca="false">IF($A298="","",INDEX(Workers!$E$5:$E$2004,MATCH($A298,Workers!$A$5:$A$2004,0)))</f>
        <v/>
      </c>
      <c r="D298" s="24" t="str">
        <f aca="false">IF($A298="","",INDEX(Workers!$K$5:$K$2004,MATCH($A298,Workers!$A$5:$A$2004,0)))</f>
        <v/>
      </c>
      <c r="E298" s="25" t="str">
        <f aca="false">IF($A298="","",SUMIFS(Timesheet!$E$5:$E$3004,Timesheet!$D$5:$D$3004,$A298,Timesheet!$A$5:$A$3004,"&gt;="&amp;Settings!$B$8,Timesheet!$A$5:$A$3004,"&lt;="&amp;Settings!$B$9))</f>
        <v/>
      </c>
      <c r="F298" s="25" t="str">
        <f aca="false">IF($A298="","",SUMIFS(Timesheet!$F$5:$F$3004,Timesheet!$D$5:$D$3004,$A298,Timesheet!$A$5:$A$3004,"&gt;="&amp;Settings!$B$8,Timesheet!$A$5:$A$3004,"&lt;="&amp;Settings!$B$9))</f>
        <v/>
      </c>
      <c r="G298" s="25" t="str">
        <f aca="false">IF($A298="","",SUMIFS(Timesheet!$G$5:$G$3004,Timesheet!$D$5:$D$3004,$A298,Timesheet!$A$5:$A$3004,"&gt;="&amp;Settings!$B$8,Timesheet!$A$5:$A$3004,"&lt;="&amp;Settings!$B$9))</f>
        <v/>
      </c>
      <c r="H298" s="25" t="str">
        <f aca="false">IF($A298="","",IF(D298="Monthly",MAX(0,Settings!$B$11-E298),0))</f>
        <v/>
      </c>
      <c r="I298" s="26" t="str">
        <f aca="false">IF($A298="","",N(INDEX(Workers!$L$5:$L$2004,MATCH($A298,Workers!$A$5:$A$2004,0))))</f>
        <v/>
      </c>
      <c r="J298" s="26" t="str">
        <f aca="false">IF($A298="","",N(INDEX(Workers!$M$5:$M$2004,MATCH($A298,Workers!$A$5:$A$2004,0))))</f>
        <v/>
      </c>
      <c r="K298" s="26" t="str">
        <f aca="false">IF($A298="","",IF(D298="Monthly",ROUND(MAX(0,(I298+J298)-(I298+J298)/Settings!$B$10*H298),2),0))</f>
        <v/>
      </c>
      <c r="L298" s="26" t="str">
        <f aca="false">IF($A298="","",IF(D298="Hourly",ROUND(F298*N(INDEX(Workers!$N$5:$N$2004,MATCH($A298,Workers!$A$5:$A$2004,0))),2),0))</f>
        <v/>
      </c>
      <c r="M298" s="26" t="str">
        <f aca="false">IF($A298="","",ROUND(G298*IF(D298="Hourly",N(INDEX(Workers!$N$5:$N$2004,MATCH($A298,Workers!$A$5:$A$2004,0))),I298/Settings!$B$10/Settings!$B$12)*Settings!$B$13,2))</f>
        <v/>
      </c>
      <c r="N298" s="26" t="str">
        <f aca="false">IF($A298="","",K298+L298+M298)</f>
        <v/>
      </c>
      <c r="O298" s="26" t="str">
        <f aca="false">IF($A298="","",SUMIFS(Deductions!$D$5:$D$2000,Deductions!$B$5:$B$2000,$A298,Deductions!$C$5:$C$2000,"Advance",Deductions!$E$5:$E$2000,"&gt;="&amp;Settings!$B$8,Deductions!$E$5:$E$2000,"&lt;="&amp;Settings!$B$9))</f>
        <v/>
      </c>
      <c r="P298" s="26" t="str">
        <f aca="false">IF($A298="","",SUMIFS(Deductions!$D$5:$D$2000,Deductions!$B$5:$B$2000,$A298,Deductions!$E$5:$E$2000,"&gt;="&amp;Settings!$B$8,Deductions!$E$5:$E$2000,"&lt;="&amp;Settings!$B$9)-O298)</f>
        <v/>
      </c>
      <c r="Q298" s="26" t="str">
        <f aca="false">IF($A298="","",O298+P298)</f>
        <v/>
      </c>
      <c r="R298" s="23" t="str">
        <f aca="false">IF($A298="","",N298-Q298)</f>
        <v/>
      </c>
      <c r="S298" s="24" t="str">
        <f aca="false">IF($A298="","",INDEX(Workers!$O$5:$O$2004,MATCH($A298,Workers!$A$5:$A$2004,0))&amp;"")</f>
        <v/>
      </c>
      <c r="T298" s="24" t="str">
        <f aca="false">IF($A298="","",INDEX(Workers!$P$5:$P$2004,MATCH($A298,Workers!$A$5:$A$2004,0))&amp;"")</f>
        <v/>
      </c>
      <c r="U298" s="24" t="str">
        <f aca="false">IF($A298="","",INDEX(Workers!$H$5:$H$2004,MATCH($A298,Workers!$A$5:$A$2004,0))&amp;"")</f>
        <v/>
      </c>
    </row>
    <row r="299" customFormat="false" ht="15" hidden="false" customHeight="false" outlineLevel="0" collapsed="false">
      <c r="A299" s="24" t="str">
        <f aca="false">IFERROR(INDEX(Workers!$A$5:$A$2004,MATCH(ROW()-4,Workers!$U$5:$U$2004,0)),"")</f>
        <v/>
      </c>
      <c r="B299" s="24" t="str">
        <f aca="false">IF($A299="","",INDEX(Workers!$B$5:$B$2004,MATCH($A299,Workers!$A$5:$A$2004,0)))</f>
        <v/>
      </c>
      <c r="C299" s="24" t="str">
        <f aca="false">IF($A299="","",INDEX(Workers!$E$5:$E$2004,MATCH($A299,Workers!$A$5:$A$2004,0)))</f>
        <v/>
      </c>
      <c r="D299" s="24" t="str">
        <f aca="false">IF($A299="","",INDEX(Workers!$K$5:$K$2004,MATCH($A299,Workers!$A$5:$A$2004,0)))</f>
        <v/>
      </c>
      <c r="E299" s="25" t="str">
        <f aca="false">IF($A299="","",SUMIFS(Timesheet!$E$5:$E$3004,Timesheet!$D$5:$D$3004,$A299,Timesheet!$A$5:$A$3004,"&gt;="&amp;Settings!$B$8,Timesheet!$A$5:$A$3004,"&lt;="&amp;Settings!$B$9))</f>
        <v/>
      </c>
      <c r="F299" s="25" t="str">
        <f aca="false">IF($A299="","",SUMIFS(Timesheet!$F$5:$F$3004,Timesheet!$D$5:$D$3004,$A299,Timesheet!$A$5:$A$3004,"&gt;="&amp;Settings!$B$8,Timesheet!$A$5:$A$3004,"&lt;="&amp;Settings!$B$9))</f>
        <v/>
      </c>
      <c r="G299" s="25" t="str">
        <f aca="false">IF($A299="","",SUMIFS(Timesheet!$G$5:$G$3004,Timesheet!$D$5:$D$3004,$A299,Timesheet!$A$5:$A$3004,"&gt;="&amp;Settings!$B$8,Timesheet!$A$5:$A$3004,"&lt;="&amp;Settings!$B$9))</f>
        <v/>
      </c>
      <c r="H299" s="25" t="str">
        <f aca="false">IF($A299="","",IF(D299="Monthly",MAX(0,Settings!$B$11-E299),0))</f>
        <v/>
      </c>
      <c r="I299" s="26" t="str">
        <f aca="false">IF($A299="","",N(INDEX(Workers!$L$5:$L$2004,MATCH($A299,Workers!$A$5:$A$2004,0))))</f>
        <v/>
      </c>
      <c r="J299" s="26" t="str">
        <f aca="false">IF($A299="","",N(INDEX(Workers!$M$5:$M$2004,MATCH($A299,Workers!$A$5:$A$2004,0))))</f>
        <v/>
      </c>
      <c r="K299" s="26" t="str">
        <f aca="false">IF($A299="","",IF(D299="Monthly",ROUND(MAX(0,(I299+J299)-(I299+J299)/Settings!$B$10*H299),2),0))</f>
        <v/>
      </c>
      <c r="L299" s="26" t="str">
        <f aca="false">IF($A299="","",IF(D299="Hourly",ROUND(F299*N(INDEX(Workers!$N$5:$N$2004,MATCH($A299,Workers!$A$5:$A$2004,0))),2),0))</f>
        <v/>
      </c>
      <c r="M299" s="26" t="str">
        <f aca="false">IF($A299="","",ROUND(G299*IF(D299="Hourly",N(INDEX(Workers!$N$5:$N$2004,MATCH($A299,Workers!$A$5:$A$2004,0))),I299/Settings!$B$10/Settings!$B$12)*Settings!$B$13,2))</f>
        <v/>
      </c>
      <c r="N299" s="26" t="str">
        <f aca="false">IF($A299="","",K299+L299+M299)</f>
        <v/>
      </c>
      <c r="O299" s="26" t="str">
        <f aca="false">IF($A299="","",SUMIFS(Deductions!$D$5:$D$2000,Deductions!$B$5:$B$2000,$A299,Deductions!$C$5:$C$2000,"Advance",Deductions!$E$5:$E$2000,"&gt;="&amp;Settings!$B$8,Deductions!$E$5:$E$2000,"&lt;="&amp;Settings!$B$9))</f>
        <v/>
      </c>
      <c r="P299" s="26" t="str">
        <f aca="false">IF($A299="","",SUMIFS(Deductions!$D$5:$D$2000,Deductions!$B$5:$B$2000,$A299,Deductions!$E$5:$E$2000,"&gt;="&amp;Settings!$B$8,Deductions!$E$5:$E$2000,"&lt;="&amp;Settings!$B$9)-O299)</f>
        <v/>
      </c>
      <c r="Q299" s="26" t="str">
        <f aca="false">IF($A299="","",O299+P299)</f>
        <v/>
      </c>
      <c r="R299" s="23" t="str">
        <f aca="false">IF($A299="","",N299-Q299)</f>
        <v/>
      </c>
      <c r="S299" s="24" t="str">
        <f aca="false">IF($A299="","",INDEX(Workers!$O$5:$O$2004,MATCH($A299,Workers!$A$5:$A$2004,0))&amp;"")</f>
        <v/>
      </c>
      <c r="T299" s="24" t="str">
        <f aca="false">IF($A299="","",INDEX(Workers!$P$5:$P$2004,MATCH($A299,Workers!$A$5:$A$2004,0))&amp;"")</f>
        <v/>
      </c>
      <c r="U299" s="24" t="str">
        <f aca="false">IF($A299="","",INDEX(Workers!$H$5:$H$2004,MATCH($A299,Workers!$A$5:$A$2004,0))&amp;"")</f>
        <v/>
      </c>
    </row>
    <row r="300" customFormat="false" ht="15" hidden="false" customHeight="false" outlineLevel="0" collapsed="false">
      <c r="A300" s="24" t="str">
        <f aca="false">IFERROR(INDEX(Workers!$A$5:$A$2004,MATCH(ROW()-4,Workers!$U$5:$U$2004,0)),"")</f>
        <v/>
      </c>
      <c r="B300" s="24" t="str">
        <f aca="false">IF($A300="","",INDEX(Workers!$B$5:$B$2004,MATCH($A300,Workers!$A$5:$A$2004,0)))</f>
        <v/>
      </c>
      <c r="C300" s="24" t="str">
        <f aca="false">IF($A300="","",INDEX(Workers!$E$5:$E$2004,MATCH($A300,Workers!$A$5:$A$2004,0)))</f>
        <v/>
      </c>
      <c r="D300" s="24" t="str">
        <f aca="false">IF($A300="","",INDEX(Workers!$K$5:$K$2004,MATCH($A300,Workers!$A$5:$A$2004,0)))</f>
        <v/>
      </c>
      <c r="E300" s="25" t="str">
        <f aca="false">IF($A300="","",SUMIFS(Timesheet!$E$5:$E$3004,Timesheet!$D$5:$D$3004,$A300,Timesheet!$A$5:$A$3004,"&gt;="&amp;Settings!$B$8,Timesheet!$A$5:$A$3004,"&lt;="&amp;Settings!$B$9))</f>
        <v/>
      </c>
      <c r="F300" s="25" t="str">
        <f aca="false">IF($A300="","",SUMIFS(Timesheet!$F$5:$F$3004,Timesheet!$D$5:$D$3004,$A300,Timesheet!$A$5:$A$3004,"&gt;="&amp;Settings!$B$8,Timesheet!$A$5:$A$3004,"&lt;="&amp;Settings!$B$9))</f>
        <v/>
      </c>
      <c r="G300" s="25" t="str">
        <f aca="false">IF($A300="","",SUMIFS(Timesheet!$G$5:$G$3004,Timesheet!$D$5:$D$3004,$A300,Timesheet!$A$5:$A$3004,"&gt;="&amp;Settings!$B$8,Timesheet!$A$5:$A$3004,"&lt;="&amp;Settings!$B$9))</f>
        <v/>
      </c>
      <c r="H300" s="25" t="str">
        <f aca="false">IF($A300="","",IF(D300="Monthly",MAX(0,Settings!$B$11-E300),0))</f>
        <v/>
      </c>
      <c r="I300" s="26" t="str">
        <f aca="false">IF($A300="","",N(INDEX(Workers!$L$5:$L$2004,MATCH($A300,Workers!$A$5:$A$2004,0))))</f>
        <v/>
      </c>
      <c r="J300" s="26" t="str">
        <f aca="false">IF($A300="","",N(INDEX(Workers!$M$5:$M$2004,MATCH($A300,Workers!$A$5:$A$2004,0))))</f>
        <v/>
      </c>
      <c r="K300" s="26" t="str">
        <f aca="false">IF($A300="","",IF(D300="Monthly",ROUND(MAX(0,(I300+J300)-(I300+J300)/Settings!$B$10*H300),2),0))</f>
        <v/>
      </c>
      <c r="L300" s="26" t="str">
        <f aca="false">IF($A300="","",IF(D300="Hourly",ROUND(F300*N(INDEX(Workers!$N$5:$N$2004,MATCH($A300,Workers!$A$5:$A$2004,0))),2),0))</f>
        <v/>
      </c>
      <c r="M300" s="26" t="str">
        <f aca="false">IF($A300="","",ROUND(G300*IF(D300="Hourly",N(INDEX(Workers!$N$5:$N$2004,MATCH($A300,Workers!$A$5:$A$2004,0))),I300/Settings!$B$10/Settings!$B$12)*Settings!$B$13,2))</f>
        <v/>
      </c>
      <c r="N300" s="26" t="str">
        <f aca="false">IF($A300="","",K300+L300+M300)</f>
        <v/>
      </c>
      <c r="O300" s="26" t="str">
        <f aca="false">IF($A300="","",SUMIFS(Deductions!$D$5:$D$2000,Deductions!$B$5:$B$2000,$A300,Deductions!$C$5:$C$2000,"Advance",Deductions!$E$5:$E$2000,"&gt;="&amp;Settings!$B$8,Deductions!$E$5:$E$2000,"&lt;="&amp;Settings!$B$9))</f>
        <v/>
      </c>
      <c r="P300" s="26" t="str">
        <f aca="false">IF($A300="","",SUMIFS(Deductions!$D$5:$D$2000,Deductions!$B$5:$B$2000,$A300,Deductions!$E$5:$E$2000,"&gt;="&amp;Settings!$B$8,Deductions!$E$5:$E$2000,"&lt;="&amp;Settings!$B$9)-O300)</f>
        <v/>
      </c>
      <c r="Q300" s="26" t="str">
        <f aca="false">IF($A300="","",O300+P300)</f>
        <v/>
      </c>
      <c r="R300" s="23" t="str">
        <f aca="false">IF($A300="","",N300-Q300)</f>
        <v/>
      </c>
      <c r="S300" s="24" t="str">
        <f aca="false">IF($A300="","",INDEX(Workers!$O$5:$O$2004,MATCH($A300,Workers!$A$5:$A$2004,0))&amp;"")</f>
        <v/>
      </c>
      <c r="T300" s="24" t="str">
        <f aca="false">IF($A300="","",INDEX(Workers!$P$5:$P$2004,MATCH($A300,Workers!$A$5:$A$2004,0))&amp;"")</f>
        <v/>
      </c>
      <c r="U300" s="24" t="str">
        <f aca="false">IF($A300="","",INDEX(Workers!$H$5:$H$2004,MATCH($A300,Workers!$A$5:$A$2004,0))&amp;"")</f>
        <v/>
      </c>
    </row>
    <row r="301" customFormat="false" ht="15" hidden="false" customHeight="false" outlineLevel="0" collapsed="false">
      <c r="A301" s="24" t="str">
        <f aca="false">IFERROR(INDEX(Workers!$A$5:$A$2004,MATCH(ROW()-4,Workers!$U$5:$U$2004,0)),"")</f>
        <v/>
      </c>
      <c r="B301" s="24" t="str">
        <f aca="false">IF($A301="","",INDEX(Workers!$B$5:$B$2004,MATCH($A301,Workers!$A$5:$A$2004,0)))</f>
        <v/>
      </c>
      <c r="C301" s="24" t="str">
        <f aca="false">IF($A301="","",INDEX(Workers!$E$5:$E$2004,MATCH($A301,Workers!$A$5:$A$2004,0)))</f>
        <v/>
      </c>
      <c r="D301" s="24" t="str">
        <f aca="false">IF($A301="","",INDEX(Workers!$K$5:$K$2004,MATCH($A301,Workers!$A$5:$A$2004,0)))</f>
        <v/>
      </c>
      <c r="E301" s="25" t="str">
        <f aca="false">IF($A301="","",SUMIFS(Timesheet!$E$5:$E$3004,Timesheet!$D$5:$D$3004,$A301,Timesheet!$A$5:$A$3004,"&gt;="&amp;Settings!$B$8,Timesheet!$A$5:$A$3004,"&lt;="&amp;Settings!$B$9))</f>
        <v/>
      </c>
      <c r="F301" s="25" t="str">
        <f aca="false">IF($A301="","",SUMIFS(Timesheet!$F$5:$F$3004,Timesheet!$D$5:$D$3004,$A301,Timesheet!$A$5:$A$3004,"&gt;="&amp;Settings!$B$8,Timesheet!$A$5:$A$3004,"&lt;="&amp;Settings!$B$9))</f>
        <v/>
      </c>
      <c r="G301" s="25" t="str">
        <f aca="false">IF($A301="","",SUMIFS(Timesheet!$G$5:$G$3004,Timesheet!$D$5:$D$3004,$A301,Timesheet!$A$5:$A$3004,"&gt;="&amp;Settings!$B$8,Timesheet!$A$5:$A$3004,"&lt;="&amp;Settings!$B$9))</f>
        <v/>
      </c>
      <c r="H301" s="25" t="str">
        <f aca="false">IF($A301="","",IF(D301="Monthly",MAX(0,Settings!$B$11-E301),0))</f>
        <v/>
      </c>
      <c r="I301" s="26" t="str">
        <f aca="false">IF($A301="","",N(INDEX(Workers!$L$5:$L$2004,MATCH($A301,Workers!$A$5:$A$2004,0))))</f>
        <v/>
      </c>
      <c r="J301" s="26" t="str">
        <f aca="false">IF($A301="","",N(INDEX(Workers!$M$5:$M$2004,MATCH($A301,Workers!$A$5:$A$2004,0))))</f>
        <v/>
      </c>
      <c r="K301" s="26" t="str">
        <f aca="false">IF($A301="","",IF(D301="Monthly",ROUND(MAX(0,(I301+J301)-(I301+J301)/Settings!$B$10*H301),2),0))</f>
        <v/>
      </c>
      <c r="L301" s="26" t="str">
        <f aca="false">IF($A301="","",IF(D301="Hourly",ROUND(F301*N(INDEX(Workers!$N$5:$N$2004,MATCH($A301,Workers!$A$5:$A$2004,0))),2),0))</f>
        <v/>
      </c>
      <c r="M301" s="26" t="str">
        <f aca="false">IF($A301="","",ROUND(G301*IF(D301="Hourly",N(INDEX(Workers!$N$5:$N$2004,MATCH($A301,Workers!$A$5:$A$2004,0))),I301/Settings!$B$10/Settings!$B$12)*Settings!$B$13,2))</f>
        <v/>
      </c>
      <c r="N301" s="26" t="str">
        <f aca="false">IF($A301="","",K301+L301+M301)</f>
        <v/>
      </c>
      <c r="O301" s="26" t="str">
        <f aca="false">IF($A301="","",SUMIFS(Deductions!$D$5:$D$2000,Deductions!$B$5:$B$2000,$A301,Deductions!$C$5:$C$2000,"Advance",Deductions!$E$5:$E$2000,"&gt;="&amp;Settings!$B$8,Deductions!$E$5:$E$2000,"&lt;="&amp;Settings!$B$9))</f>
        <v/>
      </c>
      <c r="P301" s="26" t="str">
        <f aca="false">IF($A301="","",SUMIFS(Deductions!$D$5:$D$2000,Deductions!$B$5:$B$2000,$A301,Deductions!$E$5:$E$2000,"&gt;="&amp;Settings!$B$8,Deductions!$E$5:$E$2000,"&lt;="&amp;Settings!$B$9)-O301)</f>
        <v/>
      </c>
      <c r="Q301" s="26" t="str">
        <f aca="false">IF($A301="","",O301+P301)</f>
        <v/>
      </c>
      <c r="R301" s="23" t="str">
        <f aca="false">IF($A301="","",N301-Q301)</f>
        <v/>
      </c>
      <c r="S301" s="24" t="str">
        <f aca="false">IF($A301="","",INDEX(Workers!$O$5:$O$2004,MATCH($A301,Workers!$A$5:$A$2004,0))&amp;"")</f>
        <v/>
      </c>
      <c r="T301" s="24" t="str">
        <f aca="false">IF($A301="","",INDEX(Workers!$P$5:$P$2004,MATCH($A301,Workers!$A$5:$A$2004,0))&amp;"")</f>
        <v/>
      </c>
      <c r="U301" s="24" t="str">
        <f aca="false">IF($A301="","",INDEX(Workers!$H$5:$H$2004,MATCH($A301,Workers!$A$5:$A$2004,0))&amp;"")</f>
        <v/>
      </c>
    </row>
    <row r="302" customFormat="false" ht="15" hidden="false" customHeight="false" outlineLevel="0" collapsed="false">
      <c r="A302" s="24" t="str">
        <f aca="false">IFERROR(INDEX(Workers!$A$5:$A$2004,MATCH(ROW()-4,Workers!$U$5:$U$2004,0)),"")</f>
        <v/>
      </c>
      <c r="B302" s="24" t="str">
        <f aca="false">IF($A302="","",INDEX(Workers!$B$5:$B$2004,MATCH($A302,Workers!$A$5:$A$2004,0)))</f>
        <v/>
      </c>
      <c r="C302" s="24" t="str">
        <f aca="false">IF($A302="","",INDEX(Workers!$E$5:$E$2004,MATCH($A302,Workers!$A$5:$A$2004,0)))</f>
        <v/>
      </c>
      <c r="D302" s="24" t="str">
        <f aca="false">IF($A302="","",INDEX(Workers!$K$5:$K$2004,MATCH($A302,Workers!$A$5:$A$2004,0)))</f>
        <v/>
      </c>
      <c r="E302" s="25" t="str">
        <f aca="false">IF($A302="","",SUMIFS(Timesheet!$E$5:$E$3004,Timesheet!$D$5:$D$3004,$A302,Timesheet!$A$5:$A$3004,"&gt;="&amp;Settings!$B$8,Timesheet!$A$5:$A$3004,"&lt;="&amp;Settings!$B$9))</f>
        <v/>
      </c>
      <c r="F302" s="25" t="str">
        <f aca="false">IF($A302="","",SUMIFS(Timesheet!$F$5:$F$3004,Timesheet!$D$5:$D$3004,$A302,Timesheet!$A$5:$A$3004,"&gt;="&amp;Settings!$B$8,Timesheet!$A$5:$A$3004,"&lt;="&amp;Settings!$B$9))</f>
        <v/>
      </c>
      <c r="G302" s="25" t="str">
        <f aca="false">IF($A302="","",SUMIFS(Timesheet!$G$5:$G$3004,Timesheet!$D$5:$D$3004,$A302,Timesheet!$A$5:$A$3004,"&gt;="&amp;Settings!$B$8,Timesheet!$A$5:$A$3004,"&lt;="&amp;Settings!$B$9))</f>
        <v/>
      </c>
      <c r="H302" s="25" t="str">
        <f aca="false">IF($A302="","",IF(D302="Monthly",MAX(0,Settings!$B$11-E302),0))</f>
        <v/>
      </c>
      <c r="I302" s="26" t="str">
        <f aca="false">IF($A302="","",N(INDEX(Workers!$L$5:$L$2004,MATCH($A302,Workers!$A$5:$A$2004,0))))</f>
        <v/>
      </c>
      <c r="J302" s="26" t="str">
        <f aca="false">IF($A302="","",N(INDEX(Workers!$M$5:$M$2004,MATCH($A302,Workers!$A$5:$A$2004,0))))</f>
        <v/>
      </c>
      <c r="K302" s="26" t="str">
        <f aca="false">IF($A302="","",IF(D302="Monthly",ROUND(MAX(0,(I302+J302)-(I302+J302)/Settings!$B$10*H302),2),0))</f>
        <v/>
      </c>
      <c r="L302" s="26" t="str">
        <f aca="false">IF($A302="","",IF(D302="Hourly",ROUND(F302*N(INDEX(Workers!$N$5:$N$2004,MATCH($A302,Workers!$A$5:$A$2004,0))),2),0))</f>
        <v/>
      </c>
      <c r="M302" s="26" t="str">
        <f aca="false">IF($A302="","",ROUND(G302*IF(D302="Hourly",N(INDEX(Workers!$N$5:$N$2004,MATCH($A302,Workers!$A$5:$A$2004,0))),I302/Settings!$B$10/Settings!$B$12)*Settings!$B$13,2))</f>
        <v/>
      </c>
      <c r="N302" s="26" t="str">
        <f aca="false">IF($A302="","",K302+L302+M302)</f>
        <v/>
      </c>
      <c r="O302" s="26" t="str">
        <f aca="false">IF($A302="","",SUMIFS(Deductions!$D$5:$D$2000,Deductions!$B$5:$B$2000,$A302,Deductions!$C$5:$C$2000,"Advance",Deductions!$E$5:$E$2000,"&gt;="&amp;Settings!$B$8,Deductions!$E$5:$E$2000,"&lt;="&amp;Settings!$B$9))</f>
        <v/>
      </c>
      <c r="P302" s="26" t="str">
        <f aca="false">IF($A302="","",SUMIFS(Deductions!$D$5:$D$2000,Deductions!$B$5:$B$2000,$A302,Deductions!$E$5:$E$2000,"&gt;="&amp;Settings!$B$8,Deductions!$E$5:$E$2000,"&lt;="&amp;Settings!$B$9)-O302)</f>
        <v/>
      </c>
      <c r="Q302" s="26" t="str">
        <f aca="false">IF($A302="","",O302+P302)</f>
        <v/>
      </c>
      <c r="R302" s="23" t="str">
        <f aca="false">IF($A302="","",N302-Q302)</f>
        <v/>
      </c>
      <c r="S302" s="24" t="str">
        <f aca="false">IF($A302="","",INDEX(Workers!$O$5:$O$2004,MATCH($A302,Workers!$A$5:$A$2004,0))&amp;"")</f>
        <v/>
      </c>
      <c r="T302" s="24" t="str">
        <f aca="false">IF($A302="","",INDEX(Workers!$P$5:$P$2004,MATCH($A302,Workers!$A$5:$A$2004,0))&amp;"")</f>
        <v/>
      </c>
      <c r="U302" s="24" t="str">
        <f aca="false">IF($A302="","",INDEX(Workers!$H$5:$H$2004,MATCH($A302,Workers!$A$5:$A$2004,0))&amp;"")</f>
        <v/>
      </c>
    </row>
    <row r="303" customFormat="false" ht="15" hidden="false" customHeight="false" outlineLevel="0" collapsed="false">
      <c r="A303" s="24" t="str">
        <f aca="false">IFERROR(INDEX(Workers!$A$5:$A$2004,MATCH(ROW()-4,Workers!$U$5:$U$2004,0)),"")</f>
        <v/>
      </c>
      <c r="B303" s="24" t="str">
        <f aca="false">IF($A303="","",INDEX(Workers!$B$5:$B$2004,MATCH($A303,Workers!$A$5:$A$2004,0)))</f>
        <v/>
      </c>
      <c r="C303" s="24" t="str">
        <f aca="false">IF($A303="","",INDEX(Workers!$E$5:$E$2004,MATCH($A303,Workers!$A$5:$A$2004,0)))</f>
        <v/>
      </c>
      <c r="D303" s="24" t="str">
        <f aca="false">IF($A303="","",INDEX(Workers!$K$5:$K$2004,MATCH($A303,Workers!$A$5:$A$2004,0)))</f>
        <v/>
      </c>
      <c r="E303" s="25" t="str">
        <f aca="false">IF($A303="","",SUMIFS(Timesheet!$E$5:$E$3004,Timesheet!$D$5:$D$3004,$A303,Timesheet!$A$5:$A$3004,"&gt;="&amp;Settings!$B$8,Timesheet!$A$5:$A$3004,"&lt;="&amp;Settings!$B$9))</f>
        <v/>
      </c>
      <c r="F303" s="25" t="str">
        <f aca="false">IF($A303="","",SUMIFS(Timesheet!$F$5:$F$3004,Timesheet!$D$5:$D$3004,$A303,Timesheet!$A$5:$A$3004,"&gt;="&amp;Settings!$B$8,Timesheet!$A$5:$A$3004,"&lt;="&amp;Settings!$B$9))</f>
        <v/>
      </c>
      <c r="G303" s="25" t="str">
        <f aca="false">IF($A303="","",SUMIFS(Timesheet!$G$5:$G$3004,Timesheet!$D$5:$D$3004,$A303,Timesheet!$A$5:$A$3004,"&gt;="&amp;Settings!$B$8,Timesheet!$A$5:$A$3004,"&lt;="&amp;Settings!$B$9))</f>
        <v/>
      </c>
      <c r="H303" s="25" t="str">
        <f aca="false">IF($A303="","",IF(D303="Monthly",MAX(0,Settings!$B$11-E303),0))</f>
        <v/>
      </c>
      <c r="I303" s="26" t="str">
        <f aca="false">IF($A303="","",N(INDEX(Workers!$L$5:$L$2004,MATCH($A303,Workers!$A$5:$A$2004,0))))</f>
        <v/>
      </c>
      <c r="J303" s="26" t="str">
        <f aca="false">IF($A303="","",N(INDEX(Workers!$M$5:$M$2004,MATCH($A303,Workers!$A$5:$A$2004,0))))</f>
        <v/>
      </c>
      <c r="K303" s="26" t="str">
        <f aca="false">IF($A303="","",IF(D303="Monthly",ROUND(MAX(0,(I303+J303)-(I303+J303)/Settings!$B$10*H303),2),0))</f>
        <v/>
      </c>
      <c r="L303" s="26" t="str">
        <f aca="false">IF($A303="","",IF(D303="Hourly",ROUND(F303*N(INDEX(Workers!$N$5:$N$2004,MATCH($A303,Workers!$A$5:$A$2004,0))),2),0))</f>
        <v/>
      </c>
      <c r="M303" s="26" t="str">
        <f aca="false">IF($A303="","",ROUND(G303*IF(D303="Hourly",N(INDEX(Workers!$N$5:$N$2004,MATCH($A303,Workers!$A$5:$A$2004,0))),I303/Settings!$B$10/Settings!$B$12)*Settings!$B$13,2))</f>
        <v/>
      </c>
      <c r="N303" s="26" t="str">
        <f aca="false">IF($A303="","",K303+L303+M303)</f>
        <v/>
      </c>
      <c r="O303" s="26" t="str">
        <f aca="false">IF($A303="","",SUMIFS(Deductions!$D$5:$D$2000,Deductions!$B$5:$B$2000,$A303,Deductions!$C$5:$C$2000,"Advance",Deductions!$E$5:$E$2000,"&gt;="&amp;Settings!$B$8,Deductions!$E$5:$E$2000,"&lt;="&amp;Settings!$B$9))</f>
        <v/>
      </c>
      <c r="P303" s="26" t="str">
        <f aca="false">IF($A303="","",SUMIFS(Deductions!$D$5:$D$2000,Deductions!$B$5:$B$2000,$A303,Deductions!$E$5:$E$2000,"&gt;="&amp;Settings!$B$8,Deductions!$E$5:$E$2000,"&lt;="&amp;Settings!$B$9)-O303)</f>
        <v/>
      </c>
      <c r="Q303" s="26" t="str">
        <f aca="false">IF($A303="","",O303+P303)</f>
        <v/>
      </c>
      <c r="R303" s="23" t="str">
        <f aca="false">IF($A303="","",N303-Q303)</f>
        <v/>
      </c>
      <c r="S303" s="24" t="str">
        <f aca="false">IF($A303="","",INDEX(Workers!$O$5:$O$2004,MATCH($A303,Workers!$A$5:$A$2004,0))&amp;"")</f>
        <v/>
      </c>
      <c r="T303" s="24" t="str">
        <f aca="false">IF($A303="","",INDEX(Workers!$P$5:$P$2004,MATCH($A303,Workers!$A$5:$A$2004,0))&amp;"")</f>
        <v/>
      </c>
      <c r="U303" s="24" t="str">
        <f aca="false">IF($A303="","",INDEX(Workers!$H$5:$H$2004,MATCH($A303,Workers!$A$5:$A$2004,0))&amp;"")</f>
        <v/>
      </c>
    </row>
    <row r="304" customFormat="false" ht="15" hidden="false" customHeight="false" outlineLevel="0" collapsed="false">
      <c r="A304" s="24" t="str">
        <f aca="false">IFERROR(INDEX(Workers!$A$5:$A$2004,MATCH(ROW()-4,Workers!$U$5:$U$2004,0)),"")</f>
        <v/>
      </c>
      <c r="B304" s="24" t="str">
        <f aca="false">IF($A304="","",INDEX(Workers!$B$5:$B$2004,MATCH($A304,Workers!$A$5:$A$2004,0)))</f>
        <v/>
      </c>
      <c r="C304" s="24" t="str">
        <f aca="false">IF($A304="","",INDEX(Workers!$E$5:$E$2004,MATCH($A304,Workers!$A$5:$A$2004,0)))</f>
        <v/>
      </c>
      <c r="D304" s="24" t="str">
        <f aca="false">IF($A304="","",INDEX(Workers!$K$5:$K$2004,MATCH($A304,Workers!$A$5:$A$2004,0)))</f>
        <v/>
      </c>
      <c r="E304" s="25" t="str">
        <f aca="false">IF($A304="","",SUMIFS(Timesheet!$E$5:$E$3004,Timesheet!$D$5:$D$3004,$A304,Timesheet!$A$5:$A$3004,"&gt;="&amp;Settings!$B$8,Timesheet!$A$5:$A$3004,"&lt;="&amp;Settings!$B$9))</f>
        <v/>
      </c>
      <c r="F304" s="25" t="str">
        <f aca="false">IF($A304="","",SUMIFS(Timesheet!$F$5:$F$3004,Timesheet!$D$5:$D$3004,$A304,Timesheet!$A$5:$A$3004,"&gt;="&amp;Settings!$B$8,Timesheet!$A$5:$A$3004,"&lt;="&amp;Settings!$B$9))</f>
        <v/>
      </c>
      <c r="G304" s="25" t="str">
        <f aca="false">IF($A304="","",SUMIFS(Timesheet!$G$5:$G$3004,Timesheet!$D$5:$D$3004,$A304,Timesheet!$A$5:$A$3004,"&gt;="&amp;Settings!$B$8,Timesheet!$A$5:$A$3004,"&lt;="&amp;Settings!$B$9))</f>
        <v/>
      </c>
      <c r="H304" s="25" t="str">
        <f aca="false">IF($A304="","",IF(D304="Monthly",MAX(0,Settings!$B$11-E304),0))</f>
        <v/>
      </c>
      <c r="I304" s="26" t="str">
        <f aca="false">IF($A304="","",N(INDEX(Workers!$L$5:$L$2004,MATCH($A304,Workers!$A$5:$A$2004,0))))</f>
        <v/>
      </c>
      <c r="J304" s="26" t="str">
        <f aca="false">IF($A304="","",N(INDEX(Workers!$M$5:$M$2004,MATCH($A304,Workers!$A$5:$A$2004,0))))</f>
        <v/>
      </c>
      <c r="K304" s="26" t="str">
        <f aca="false">IF($A304="","",IF(D304="Monthly",ROUND(MAX(0,(I304+J304)-(I304+J304)/Settings!$B$10*H304),2),0))</f>
        <v/>
      </c>
      <c r="L304" s="26" t="str">
        <f aca="false">IF($A304="","",IF(D304="Hourly",ROUND(F304*N(INDEX(Workers!$N$5:$N$2004,MATCH($A304,Workers!$A$5:$A$2004,0))),2),0))</f>
        <v/>
      </c>
      <c r="M304" s="26" t="str">
        <f aca="false">IF($A304="","",ROUND(G304*IF(D304="Hourly",N(INDEX(Workers!$N$5:$N$2004,MATCH($A304,Workers!$A$5:$A$2004,0))),I304/Settings!$B$10/Settings!$B$12)*Settings!$B$13,2))</f>
        <v/>
      </c>
      <c r="N304" s="26" t="str">
        <f aca="false">IF($A304="","",K304+L304+M304)</f>
        <v/>
      </c>
      <c r="O304" s="26" t="str">
        <f aca="false">IF($A304="","",SUMIFS(Deductions!$D$5:$D$2000,Deductions!$B$5:$B$2000,$A304,Deductions!$C$5:$C$2000,"Advance",Deductions!$E$5:$E$2000,"&gt;="&amp;Settings!$B$8,Deductions!$E$5:$E$2000,"&lt;="&amp;Settings!$B$9))</f>
        <v/>
      </c>
      <c r="P304" s="26" t="str">
        <f aca="false">IF($A304="","",SUMIFS(Deductions!$D$5:$D$2000,Deductions!$B$5:$B$2000,$A304,Deductions!$E$5:$E$2000,"&gt;="&amp;Settings!$B$8,Deductions!$E$5:$E$2000,"&lt;="&amp;Settings!$B$9)-O304)</f>
        <v/>
      </c>
      <c r="Q304" s="26" t="str">
        <f aca="false">IF($A304="","",O304+P304)</f>
        <v/>
      </c>
      <c r="R304" s="23" t="str">
        <f aca="false">IF($A304="","",N304-Q304)</f>
        <v/>
      </c>
      <c r="S304" s="24" t="str">
        <f aca="false">IF($A304="","",INDEX(Workers!$O$5:$O$2004,MATCH($A304,Workers!$A$5:$A$2004,0))&amp;"")</f>
        <v/>
      </c>
      <c r="T304" s="24" t="str">
        <f aca="false">IF($A304="","",INDEX(Workers!$P$5:$P$2004,MATCH($A304,Workers!$A$5:$A$2004,0))&amp;"")</f>
        <v/>
      </c>
      <c r="U304" s="24" t="str">
        <f aca="false">IF($A304="","",INDEX(Workers!$H$5:$H$2004,MATCH($A304,Workers!$A$5:$A$2004,0))&amp;"")</f>
        <v/>
      </c>
    </row>
    <row r="305" customFormat="false" ht="15" hidden="false" customHeight="false" outlineLevel="0" collapsed="false">
      <c r="A305" s="24" t="str">
        <f aca="false">IFERROR(INDEX(Workers!$A$5:$A$2004,MATCH(ROW()-4,Workers!$U$5:$U$2004,0)),"")</f>
        <v/>
      </c>
      <c r="B305" s="24" t="str">
        <f aca="false">IF($A305="","",INDEX(Workers!$B$5:$B$2004,MATCH($A305,Workers!$A$5:$A$2004,0)))</f>
        <v/>
      </c>
      <c r="C305" s="24" t="str">
        <f aca="false">IF($A305="","",INDEX(Workers!$E$5:$E$2004,MATCH($A305,Workers!$A$5:$A$2004,0)))</f>
        <v/>
      </c>
      <c r="D305" s="24" t="str">
        <f aca="false">IF($A305="","",INDEX(Workers!$K$5:$K$2004,MATCH($A305,Workers!$A$5:$A$2004,0)))</f>
        <v/>
      </c>
      <c r="E305" s="25" t="str">
        <f aca="false">IF($A305="","",SUMIFS(Timesheet!$E$5:$E$3004,Timesheet!$D$5:$D$3004,$A305,Timesheet!$A$5:$A$3004,"&gt;="&amp;Settings!$B$8,Timesheet!$A$5:$A$3004,"&lt;="&amp;Settings!$B$9))</f>
        <v/>
      </c>
      <c r="F305" s="25" t="str">
        <f aca="false">IF($A305="","",SUMIFS(Timesheet!$F$5:$F$3004,Timesheet!$D$5:$D$3004,$A305,Timesheet!$A$5:$A$3004,"&gt;="&amp;Settings!$B$8,Timesheet!$A$5:$A$3004,"&lt;="&amp;Settings!$B$9))</f>
        <v/>
      </c>
      <c r="G305" s="25" t="str">
        <f aca="false">IF($A305="","",SUMIFS(Timesheet!$G$5:$G$3004,Timesheet!$D$5:$D$3004,$A305,Timesheet!$A$5:$A$3004,"&gt;="&amp;Settings!$B$8,Timesheet!$A$5:$A$3004,"&lt;="&amp;Settings!$B$9))</f>
        <v/>
      </c>
      <c r="H305" s="25" t="str">
        <f aca="false">IF($A305="","",IF(D305="Monthly",MAX(0,Settings!$B$11-E305),0))</f>
        <v/>
      </c>
      <c r="I305" s="26" t="str">
        <f aca="false">IF($A305="","",N(INDEX(Workers!$L$5:$L$2004,MATCH($A305,Workers!$A$5:$A$2004,0))))</f>
        <v/>
      </c>
      <c r="J305" s="26" t="str">
        <f aca="false">IF($A305="","",N(INDEX(Workers!$M$5:$M$2004,MATCH($A305,Workers!$A$5:$A$2004,0))))</f>
        <v/>
      </c>
      <c r="K305" s="26" t="str">
        <f aca="false">IF($A305="","",IF(D305="Monthly",ROUND(MAX(0,(I305+J305)-(I305+J305)/Settings!$B$10*H305),2),0))</f>
        <v/>
      </c>
      <c r="L305" s="26" t="str">
        <f aca="false">IF($A305="","",IF(D305="Hourly",ROUND(F305*N(INDEX(Workers!$N$5:$N$2004,MATCH($A305,Workers!$A$5:$A$2004,0))),2),0))</f>
        <v/>
      </c>
      <c r="M305" s="26" t="str">
        <f aca="false">IF($A305="","",ROUND(G305*IF(D305="Hourly",N(INDEX(Workers!$N$5:$N$2004,MATCH($A305,Workers!$A$5:$A$2004,0))),I305/Settings!$B$10/Settings!$B$12)*Settings!$B$13,2))</f>
        <v/>
      </c>
      <c r="N305" s="26" t="str">
        <f aca="false">IF($A305="","",K305+L305+M305)</f>
        <v/>
      </c>
      <c r="O305" s="26" t="str">
        <f aca="false">IF($A305="","",SUMIFS(Deductions!$D$5:$D$2000,Deductions!$B$5:$B$2000,$A305,Deductions!$C$5:$C$2000,"Advance",Deductions!$E$5:$E$2000,"&gt;="&amp;Settings!$B$8,Deductions!$E$5:$E$2000,"&lt;="&amp;Settings!$B$9))</f>
        <v/>
      </c>
      <c r="P305" s="26" t="str">
        <f aca="false">IF($A305="","",SUMIFS(Deductions!$D$5:$D$2000,Deductions!$B$5:$B$2000,$A305,Deductions!$E$5:$E$2000,"&gt;="&amp;Settings!$B$8,Deductions!$E$5:$E$2000,"&lt;="&amp;Settings!$B$9)-O305)</f>
        <v/>
      </c>
      <c r="Q305" s="26" t="str">
        <f aca="false">IF($A305="","",O305+P305)</f>
        <v/>
      </c>
      <c r="R305" s="23" t="str">
        <f aca="false">IF($A305="","",N305-Q305)</f>
        <v/>
      </c>
      <c r="S305" s="24" t="str">
        <f aca="false">IF($A305="","",INDEX(Workers!$O$5:$O$2004,MATCH($A305,Workers!$A$5:$A$2004,0))&amp;"")</f>
        <v/>
      </c>
      <c r="T305" s="24" t="str">
        <f aca="false">IF($A305="","",INDEX(Workers!$P$5:$P$2004,MATCH($A305,Workers!$A$5:$A$2004,0))&amp;"")</f>
        <v/>
      </c>
      <c r="U305" s="24" t="str">
        <f aca="false">IF($A305="","",INDEX(Workers!$H$5:$H$2004,MATCH($A305,Workers!$A$5:$A$2004,0))&amp;"")</f>
        <v/>
      </c>
    </row>
    <row r="306" customFormat="false" ht="15" hidden="false" customHeight="false" outlineLevel="0" collapsed="false">
      <c r="A306" s="24" t="str">
        <f aca="false">IFERROR(INDEX(Workers!$A$5:$A$2004,MATCH(ROW()-4,Workers!$U$5:$U$2004,0)),"")</f>
        <v/>
      </c>
      <c r="B306" s="24" t="str">
        <f aca="false">IF($A306="","",INDEX(Workers!$B$5:$B$2004,MATCH($A306,Workers!$A$5:$A$2004,0)))</f>
        <v/>
      </c>
      <c r="C306" s="24" t="str">
        <f aca="false">IF($A306="","",INDEX(Workers!$E$5:$E$2004,MATCH($A306,Workers!$A$5:$A$2004,0)))</f>
        <v/>
      </c>
      <c r="D306" s="24" t="str">
        <f aca="false">IF($A306="","",INDEX(Workers!$K$5:$K$2004,MATCH($A306,Workers!$A$5:$A$2004,0)))</f>
        <v/>
      </c>
      <c r="E306" s="25" t="str">
        <f aca="false">IF($A306="","",SUMIFS(Timesheet!$E$5:$E$3004,Timesheet!$D$5:$D$3004,$A306,Timesheet!$A$5:$A$3004,"&gt;="&amp;Settings!$B$8,Timesheet!$A$5:$A$3004,"&lt;="&amp;Settings!$B$9))</f>
        <v/>
      </c>
      <c r="F306" s="25" t="str">
        <f aca="false">IF($A306="","",SUMIFS(Timesheet!$F$5:$F$3004,Timesheet!$D$5:$D$3004,$A306,Timesheet!$A$5:$A$3004,"&gt;="&amp;Settings!$B$8,Timesheet!$A$5:$A$3004,"&lt;="&amp;Settings!$B$9))</f>
        <v/>
      </c>
      <c r="G306" s="25" t="str">
        <f aca="false">IF($A306="","",SUMIFS(Timesheet!$G$5:$G$3004,Timesheet!$D$5:$D$3004,$A306,Timesheet!$A$5:$A$3004,"&gt;="&amp;Settings!$B$8,Timesheet!$A$5:$A$3004,"&lt;="&amp;Settings!$B$9))</f>
        <v/>
      </c>
      <c r="H306" s="25" t="str">
        <f aca="false">IF($A306="","",IF(D306="Monthly",MAX(0,Settings!$B$11-E306),0))</f>
        <v/>
      </c>
      <c r="I306" s="26" t="str">
        <f aca="false">IF($A306="","",N(INDEX(Workers!$L$5:$L$2004,MATCH($A306,Workers!$A$5:$A$2004,0))))</f>
        <v/>
      </c>
      <c r="J306" s="26" t="str">
        <f aca="false">IF($A306="","",N(INDEX(Workers!$M$5:$M$2004,MATCH($A306,Workers!$A$5:$A$2004,0))))</f>
        <v/>
      </c>
      <c r="K306" s="26" t="str">
        <f aca="false">IF($A306="","",IF(D306="Monthly",ROUND(MAX(0,(I306+J306)-(I306+J306)/Settings!$B$10*H306),2),0))</f>
        <v/>
      </c>
      <c r="L306" s="26" t="str">
        <f aca="false">IF($A306="","",IF(D306="Hourly",ROUND(F306*N(INDEX(Workers!$N$5:$N$2004,MATCH($A306,Workers!$A$5:$A$2004,0))),2),0))</f>
        <v/>
      </c>
      <c r="M306" s="26" t="str">
        <f aca="false">IF($A306="","",ROUND(G306*IF(D306="Hourly",N(INDEX(Workers!$N$5:$N$2004,MATCH($A306,Workers!$A$5:$A$2004,0))),I306/Settings!$B$10/Settings!$B$12)*Settings!$B$13,2))</f>
        <v/>
      </c>
      <c r="N306" s="26" t="str">
        <f aca="false">IF($A306="","",K306+L306+M306)</f>
        <v/>
      </c>
      <c r="O306" s="26" t="str">
        <f aca="false">IF($A306="","",SUMIFS(Deductions!$D$5:$D$2000,Deductions!$B$5:$B$2000,$A306,Deductions!$C$5:$C$2000,"Advance",Deductions!$E$5:$E$2000,"&gt;="&amp;Settings!$B$8,Deductions!$E$5:$E$2000,"&lt;="&amp;Settings!$B$9))</f>
        <v/>
      </c>
      <c r="P306" s="26" t="str">
        <f aca="false">IF($A306="","",SUMIFS(Deductions!$D$5:$D$2000,Deductions!$B$5:$B$2000,$A306,Deductions!$E$5:$E$2000,"&gt;="&amp;Settings!$B$8,Deductions!$E$5:$E$2000,"&lt;="&amp;Settings!$B$9)-O306)</f>
        <v/>
      </c>
      <c r="Q306" s="26" t="str">
        <f aca="false">IF($A306="","",O306+P306)</f>
        <v/>
      </c>
      <c r="R306" s="23" t="str">
        <f aca="false">IF($A306="","",N306-Q306)</f>
        <v/>
      </c>
      <c r="S306" s="24" t="str">
        <f aca="false">IF($A306="","",INDEX(Workers!$O$5:$O$2004,MATCH($A306,Workers!$A$5:$A$2004,0))&amp;"")</f>
        <v/>
      </c>
      <c r="T306" s="24" t="str">
        <f aca="false">IF($A306="","",INDEX(Workers!$P$5:$P$2004,MATCH($A306,Workers!$A$5:$A$2004,0))&amp;"")</f>
        <v/>
      </c>
      <c r="U306" s="24" t="str">
        <f aca="false">IF($A306="","",INDEX(Workers!$H$5:$H$2004,MATCH($A306,Workers!$A$5:$A$2004,0))&amp;"")</f>
        <v/>
      </c>
    </row>
    <row r="307" customFormat="false" ht="15" hidden="false" customHeight="false" outlineLevel="0" collapsed="false">
      <c r="A307" s="24" t="str">
        <f aca="false">IFERROR(INDEX(Workers!$A$5:$A$2004,MATCH(ROW()-4,Workers!$U$5:$U$2004,0)),"")</f>
        <v/>
      </c>
      <c r="B307" s="24" t="str">
        <f aca="false">IF($A307="","",INDEX(Workers!$B$5:$B$2004,MATCH($A307,Workers!$A$5:$A$2004,0)))</f>
        <v/>
      </c>
      <c r="C307" s="24" t="str">
        <f aca="false">IF($A307="","",INDEX(Workers!$E$5:$E$2004,MATCH($A307,Workers!$A$5:$A$2004,0)))</f>
        <v/>
      </c>
      <c r="D307" s="24" t="str">
        <f aca="false">IF($A307="","",INDEX(Workers!$K$5:$K$2004,MATCH($A307,Workers!$A$5:$A$2004,0)))</f>
        <v/>
      </c>
      <c r="E307" s="25" t="str">
        <f aca="false">IF($A307="","",SUMIFS(Timesheet!$E$5:$E$3004,Timesheet!$D$5:$D$3004,$A307,Timesheet!$A$5:$A$3004,"&gt;="&amp;Settings!$B$8,Timesheet!$A$5:$A$3004,"&lt;="&amp;Settings!$B$9))</f>
        <v/>
      </c>
      <c r="F307" s="25" t="str">
        <f aca="false">IF($A307="","",SUMIFS(Timesheet!$F$5:$F$3004,Timesheet!$D$5:$D$3004,$A307,Timesheet!$A$5:$A$3004,"&gt;="&amp;Settings!$B$8,Timesheet!$A$5:$A$3004,"&lt;="&amp;Settings!$B$9))</f>
        <v/>
      </c>
      <c r="G307" s="25" t="str">
        <f aca="false">IF($A307="","",SUMIFS(Timesheet!$G$5:$G$3004,Timesheet!$D$5:$D$3004,$A307,Timesheet!$A$5:$A$3004,"&gt;="&amp;Settings!$B$8,Timesheet!$A$5:$A$3004,"&lt;="&amp;Settings!$B$9))</f>
        <v/>
      </c>
      <c r="H307" s="25" t="str">
        <f aca="false">IF($A307="","",IF(D307="Monthly",MAX(0,Settings!$B$11-E307),0))</f>
        <v/>
      </c>
      <c r="I307" s="26" t="str">
        <f aca="false">IF($A307="","",N(INDEX(Workers!$L$5:$L$2004,MATCH($A307,Workers!$A$5:$A$2004,0))))</f>
        <v/>
      </c>
      <c r="J307" s="26" t="str">
        <f aca="false">IF($A307="","",N(INDEX(Workers!$M$5:$M$2004,MATCH($A307,Workers!$A$5:$A$2004,0))))</f>
        <v/>
      </c>
      <c r="K307" s="26" t="str">
        <f aca="false">IF($A307="","",IF(D307="Monthly",ROUND(MAX(0,(I307+J307)-(I307+J307)/Settings!$B$10*H307),2),0))</f>
        <v/>
      </c>
      <c r="L307" s="26" t="str">
        <f aca="false">IF($A307="","",IF(D307="Hourly",ROUND(F307*N(INDEX(Workers!$N$5:$N$2004,MATCH($A307,Workers!$A$5:$A$2004,0))),2),0))</f>
        <v/>
      </c>
      <c r="M307" s="26" t="str">
        <f aca="false">IF($A307="","",ROUND(G307*IF(D307="Hourly",N(INDEX(Workers!$N$5:$N$2004,MATCH($A307,Workers!$A$5:$A$2004,0))),I307/Settings!$B$10/Settings!$B$12)*Settings!$B$13,2))</f>
        <v/>
      </c>
      <c r="N307" s="26" t="str">
        <f aca="false">IF($A307="","",K307+L307+M307)</f>
        <v/>
      </c>
      <c r="O307" s="26" t="str">
        <f aca="false">IF($A307="","",SUMIFS(Deductions!$D$5:$D$2000,Deductions!$B$5:$B$2000,$A307,Deductions!$C$5:$C$2000,"Advance",Deductions!$E$5:$E$2000,"&gt;="&amp;Settings!$B$8,Deductions!$E$5:$E$2000,"&lt;="&amp;Settings!$B$9))</f>
        <v/>
      </c>
      <c r="P307" s="26" t="str">
        <f aca="false">IF($A307="","",SUMIFS(Deductions!$D$5:$D$2000,Deductions!$B$5:$B$2000,$A307,Deductions!$E$5:$E$2000,"&gt;="&amp;Settings!$B$8,Deductions!$E$5:$E$2000,"&lt;="&amp;Settings!$B$9)-O307)</f>
        <v/>
      </c>
      <c r="Q307" s="26" t="str">
        <f aca="false">IF($A307="","",O307+P307)</f>
        <v/>
      </c>
      <c r="R307" s="23" t="str">
        <f aca="false">IF($A307="","",N307-Q307)</f>
        <v/>
      </c>
      <c r="S307" s="24" t="str">
        <f aca="false">IF($A307="","",INDEX(Workers!$O$5:$O$2004,MATCH($A307,Workers!$A$5:$A$2004,0))&amp;"")</f>
        <v/>
      </c>
      <c r="T307" s="24" t="str">
        <f aca="false">IF($A307="","",INDEX(Workers!$P$5:$P$2004,MATCH($A307,Workers!$A$5:$A$2004,0))&amp;"")</f>
        <v/>
      </c>
      <c r="U307" s="24" t="str">
        <f aca="false">IF($A307="","",INDEX(Workers!$H$5:$H$2004,MATCH($A307,Workers!$A$5:$A$2004,0))&amp;"")</f>
        <v/>
      </c>
    </row>
    <row r="308" customFormat="false" ht="15" hidden="false" customHeight="false" outlineLevel="0" collapsed="false">
      <c r="A308" s="24" t="str">
        <f aca="false">IFERROR(INDEX(Workers!$A$5:$A$2004,MATCH(ROW()-4,Workers!$U$5:$U$2004,0)),"")</f>
        <v/>
      </c>
      <c r="B308" s="24" t="str">
        <f aca="false">IF($A308="","",INDEX(Workers!$B$5:$B$2004,MATCH($A308,Workers!$A$5:$A$2004,0)))</f>
        <v/>
      </c>
      <c r="C308" s="24" t="str">
        <f aca="false">IF($A308="","",INDEX(Workers!$E$5:$E$2004,MATCH($A308,Workers!$A$5:$A$2004,0)))</f>
        <v/>
      </c>
      <c r="D308" s="24" t="str">
        <f aca="false">IF($A308="","",INDEX(Workers!$K$5:$K$2004,MATCH($A308,Workers!$A$5:$A$2004,0)))</f>
        <v/>
      </c>
      <c r="E308" s="25" t="str">
        <f aca="false">IF($A308="","",SUMIFS(Timesheet!$E$5:$E$3004,Timesheet!$D$5:$D$3004,$A308,Timesheet!$A$5:$A$3004,"&gt;="&amp;Settings!$B$8,Timesheet!$A$5:$A$3004,"&lt;="&amp;Settings!$B$9))</f>
        <v/>
      </c>
      <c r="F308" s="25" t="str">
        <f aca="false">IF($A308="","",SUMIFS(Timesheet!$F$5:$F$3004,Timesheet!$D$5:$D$3004,$A308,Timesheet!$A$5:$A$3004,"&gt;="&amp;Settings!$B$8,Timesheet!$A$5:$A$3004,"&lt;="&amp;Settings!$B$9))</f>
        <v/>
      </c>
      <c r="G308" s="25" t="str">
        <f aca="false">IF($A308="","",SUMIFS(Timesheet!$G$5:$G$3004,Timesheet!$D$5:$D$3004,$A308,Timesheet!$A$5:$A$3004,"&gt;="&amp;Settings!$B$8,Timesheet!$A$5:$A$3004,"&lt;="&amp;Settings!$B$9))</f>
        <v/>
      </c>
      <c r="H308" s="25" t="str">
        <f aca="false">IF($A308="","",IF(D308="Monthly",MAX(0,Settings!$B$11-E308),0))</f>
        <v/>
      </c>
      <c r="I308" s="26" t="str">
        <f aca="false">IF($A308="","",N(INDEX(Workers!$L$5:$L$2004,MATCH($A308,Workers!$A$5:$A$2004,0))))</f>
        <v/>
      </c>
      <c r="J308" s="26" t="str">
        <f aca="false">IF($A308="","",N(INDEX(Workers!$M$5:$M$2004,MATCH($A308,Workers!$A$5:$A$2004,0))))</f>
        <v/>
      </c>
      <c r="K308" s="26" t="str">
        <f aca="false">IF($A308="","",IF(D308="Monthly",ROUND(MAX(0,(I308+J308)-(I308+J308)/Settings!$B$10*H308),2),0))</f>
        <v/>
      </c>
      <c r="L308" s="26" t="str">
        <f aca="false">IF($A308="","",IF(D308="Hourly",ROUND(F308*N(INDEX(Workers!$N$5:$N$2004,MATCH($A308,Workers!$A$5:$A$2004,0))),2),0))</f>
        <v/>
      </c>
      <c r="M308" s="26" t="str">
        <f aca="false">IF($A308="","",ROUND(G308*IF(D308="Hourly",N(INDEX(Workers!$N$5:$N$2004,MATCH($A308,Workers!$A$5:$A$2004,0))),I308/Settings!$B$10/Settings!$B$12)*Settings!$B$13,2))</f>
        <v/>
      </c>
      <c r="N308" s="26" t="str">
        <f aca="false">IF($A308="","",K308+L308+M308)</f>
        <v/>
      </c>
      <c r="O308" s="26" t="str">
        <f aca="false">IF($A308="","",SUMIFS(Deductions!$D$5:$D$2000,Deductions!$B$5:$B$2000,$A308,Deductions!$C$5:$C$2000,"Advance",Deductions!$E$5:$E$2000,"&gt;="&amp;Settings!$B$8,Deductions!$E$5:$E$2000,"&lt;="&amp;Settings!$B$9))</f>
        <v/>
      </c>
      <c r="P308" s="26" t="str">
        <f aca="false">IF($A308="","",SUMIFS(Deductions!$D$5:$D$2000,Deductions!$B$5:$B$2000,$A308,Deductions!$E$5:$E$2000,"&gt;="&amp;Settings!$B$8,Deductions!$E$5:$E$2000,"&lt;="&amp;Settings!$B$9)-O308)</f>
        <v/>
      </c>
      <c r="Q308" s="26" t="str">
        <f aca="false">IF($A308="","",O308+P308)</f>
        <v/>
      </c>
      <c r="R308" s="23" t="str">
        <f aca="false">IF($A308="","",N308-Q308)</f>
        <v/>
      </c>
      <c r="S308" s="24" t="str">
        <f aca="false">IF($A308="","",INDEX(Workers!$O$5:$O$2004,MATCH($A308,Workers!$A$5:$A$2004,0))&amp;"")</f>
        <v/>
      </c>
      <c r="T308" s="24" t="str">
        <f aca="false">IF($A308="","",INDEX(Workers!$P$5:$P$2004,MATCH($A308,Workers!$A$5:$A$2004,0))&amp;"")</f>
        <v/>
      </c>
      <c r="U308" s="24" t="str">
        <f aca="false">IF($A308="","",INDEX(Workers!$H$5:$H$2004,MATCH($A308,Workers!$A$5:$A$2004,0))&amp;"")</f>
        <v/>
      </c>
    </row>
    <row r="309" customFormat="false" ht="15" hidden="false" customHeight="false" outlineLevel="0" collapsed="false">
      <c r="A309" s="24" t="str">
        <f aca="false">IFERROR(INDEX(Workers!$A$5:$A$2004,MATCH(ROW()-4,Workers!$U$5:$U$2004,0)),"")</f>
        <v/>
      </c>
      <c r="B309" s="24" t="str">
        <f aca="false">IF($A309="","",INDEX(Workers!$B$5:$B$2004,MATCH($A309,Workers!$A$5:$A$2004,0)))</f>
        <v/>
      </c>
      <c r="C309" s="24" t="str">
        <f aca="false">IF($A309="","",INDEX(Workers!$E$5:$E$2004,MATCH($A309,Workers!$A$5:$A$2004,0)))</f>
        <v/>
      </c>
      <c r="D309" s="24" t="str">
        <f aca="false">IF($A309="","",INDEX(Workers!$K$5:$K$2004,MATCH($A309,Workers!$A$5:$A$2004,0)))</f>
        <v/>
      </c>
      <c r="E309" s="25" t="str">
        <f aca="false">IF($A309="","",SUMIFS(Timesheet!$E$5:$E$3004,Timesheet!$D$5:$D$3004,$A309,Timesheet!$A$5:$A$3004,"&gt;="&amp;Settings!$B$8,Timesheet!$A$5:$A$3004,"&lt;="&amp;Settings!$B$9))</f>
        <v/>
      </c>
      <c r="F309" s="25" t="str">
        <f aca="false">IF($A309="","",SUMIFS(Timesheet!$F$5:$F$3004,Timesheet!$D$5:$D$3004,$A309,Timesheet!$A$5:$A$3004,"&gt;="&amp;Settings!$B$8,Timesheet!$A$5:$A$3004,"&lt;="&amp;Settings!$B$9))</f>
        <v/>
      </c>
      <c r="G309" s="25" t="str">
        <f aca="false">IF($A309="","",SUMIFS(Timesheet!$G$5:$G$3004,Timesheet!$D$5:$D$3004,$A309,Timesheet!$A$5:$A$3004,"&gt;="&amp;Settings!$B$8,Timesheet!$A$5:$A$3004,"&lt;="&amp;Settings!$B$9))</f>
        <v/>
      </c>
      <c r="H309" s="25" t="str">
        <f aca="false">IF($A309="","",IF(D309="Monthly",MAX(0,Settings!$B$11-E309),0))</f>
        <v/>
      </c>
      <c r="I309" s="26" t="str">
        <f aca="false">IF($A309="","",N(INDEX(Workers!$L$5:$L$2004,MATCH($A309,Workers!$A$5:$A$2004,0))))</f>
        <v/>
      </c>
      <c r="J309" s="26" t="str">
        <f aca="false">IF($A309="","",N(INDEX(Workers!$M$5:$M$2004,MATCH($A309,Workers!$A$5:$A$2004,0))))</f>
        <v/>
      </c>
      <c r="K309" s="26" t="str">
        <f aca="false">IF($A309="","",IF(D309="Monthly",ROUND(MAX(0,(I309+J309)-(I309+J309)/Settings!$B$10*H309),2),0))</f>
        <v/>
      </c>
      <c r="L309" s="26" t="str">
        <f aca="false">IF($A309="","",IF(D309="Hourly",ROUND(F309*N(INDEX(Workers!$N$5:$N$2004,MATCH($A309,Workers!$A$5:$A$2004,0))),2),0))</f>
        <v/>
      </c>
      <c r="M309" s="26" t="str">
        <f aca="false">IF($A309="","",ROUND(G309*IF(D309="Hourly",N(INDEX(Workers!$N$5:$N$2004,MATCH($A309,Workers!$A$5:$A$2004,0))),I309/Settings!$B$10/Settings!$B$12)*Settings!$B$13,2))</f>
        <v/>
      </c>
      <c r="N309" s="26" t="str">
        <f aca="false">IF($A309="","",K309+L309+M309)</f>
        <v/>
      </c>
      <c r="O309" s="26" t="str">
        <f aca="false">IF($A309="","",SUMIFS(Deductions!$D$5:$D$2000,Deductions!$B$5:$B$2000,$A309,Deductions!$C$5:$C$2000,"Advance",Deductions!$E$5:$E$2000,"&gt;="&amp;Settings!$B$8,Deductions!$E$5:$E$2000,"&lt;="&amp;Settings!$B$9))</f>
        <v/>
      </c>
      <c r="P309" s="26" t="str">
        <f aca="false">IF($A309="","",SUMIFS(Deductions!$D$5:$D$2000,Deductions!$B$5:$B$2000,$A309,Deductions!$E$5:$E$2000,"&gt;="&amp;Settings!$B$8,Deductions!$E$5:$E$2000,"&lt;="&amp;Settings!$B$9)-O309)</f>
        <v/>
      </c>
      <c r="Q309" s="26" t="str">
        <f aca="false">IF($A309="","",O309+P309)</f>
        <v/>
      </c>
      <c r="R309" s="23" t="str">
        <f aca="false">IF($A309="","",N309-Q309)</f>
        <v/>
      </c>
      <c r="S309" s="24" t="str">
        <f aca="false">IF($A309="","",INDEX(Workers!$O$5:$O$2004,MATCH($A309,Workers!$A$5:$A$2004,0))&amp;"")</f>
        <v/>
      </c>
      <c r="T309" s="24" t="str">
        <f aca="false">IF($A309="","",INDEX(Workers!$P$5:$P$2004,MATCH($A309,Workers!$A$5:$A$2004,0))&amp;"")</f>
        <v/>
      </c>
      <c r="U309" s="24" t="str">
        <f aca="false">IF($A309="","",INDEX(Workers!$H$5:$H$2004,MATCH($A309,Workers!$A$5:$A$2004,0))&amp;"")</f>
        <v/>
      </c>
    </row>
    <row r="310" customFormat="false" ht="15" hidden="false" customHeight="false" outlineLevel="0" collapsed="false">
      <c r="A310" s="24" t="str">
        <f aca="false">IFERROR(INDEX(Workers!$A$5:$A$2004,MATCH(ROW()-4,Workers!$U$5:$U$2004,0)),"")</f>
        <v/>
      </c>
      <c r="B310" s="24" t="str">
        <f aca="false">IF($A310="","",INDEX(Workers!$B$5:$B$2004,MATCH($A310,Workers!$A$5:$A$2004,0)))</f>
        <v/>
      </c>
      <c r="C310" s="24" t="str">
        <f aca="false">IF($A310="","",INDEX(Workers!$E$5:$E$2004,MATCH($A310,Workers!$A$5:$A$2004,0)))</f>
        <v/>
      </c>
      <c r="D310" s="24" t="str">
        <f aca="false">IF($A310="","",INDEX(Workers!$K$5:$K$2004,MATCH($A310,Workers!$A$5:$A$2004,0)))</f>
        <v/>
      </c>
      <c r="E310" s="25" t="str">
        <f aca="false">IF($A310="","",SUMIFS(Timesheet!$E$5:$E$3004,Timesheet!$D$5:$D$3004,$A310,Timesheet!$A$5:$A$3004,"&gt;="&amp;Settings!$B$8,Timesheet!$A$5:$A$3004,"&lt;="&amp;Settings!$B$9))</f>
        <v/>
      </c>
      <c r="F310" s="25" t="str">
        <f aca="false">IF($A310="","",SUMIFS(Timesheet!$F$5:$F$3004,Timesheet!$D$5:$D$3004,$A310,Timesheet!$A$5:$A$3004,"&gt;="&amp;Settings!$B$8,Timesheet!$A$5:$A$3004,"&lt;="&amp;Settings!$B$9))</f>
        <v/>
      </c>
      <c r="G310" s="25" t="str">
        <f aca="false">IF($A310="","",SUMIFS(Timesheet!$G$5:$G$3004,Timesheet!$D$5:$D$3004,$A310,Timesheet!$A$5:$A$3004,"&gt;="&amp;Settings!$B$8,Timesheet!$A$5:$A$3004,"&lt;="&amp;Settings!$B$9))</f>
        <v/>
      </c>
      <c r="H310" s="25" t="str">
        <f aca="false">IF($A310="","",IF(D310="Monthly",MAX(0,Settings!$B$11-E310),0))</f>
        <v/>
      </c>
      <c r="I310" s="26" t="str">
        <f aca="false">IF($A310="","",N(INDEX(Workers!$L$5:$L$2004,MATCH($A310,Workers!$A$5:$A$2004,0))))</f>
        <v/>
      </c>
      <c r="J310" s="26" t="str">
        <f aca="false">IF($A310="","",N(INDEX(Workers!$M$5:$M$2004,MATCH($A310,Workers!$A$5:$A$2004,0))))</f>
        <v/>
      </c>
      <c r="K310" s="26" t="str">
        <f aca="false">IF($A310="","",IF(D310="Monthly",ROUND(MAX(0,(I310+J310)-(I310+J310)/Settings!$B$10*H310),2),0))</f>
        <v/>
      </c>
      <c r="L310" s="26" t="str">
        <f aca="false">IF($A310="","",IF(D310="Hourly",ROUND(F310*N(INDEX(Workers!$N$5:$N$2004,MATCH($A310,Workers!$A$5:$A$2004,0))),2),0))</f>
        <v/>
      </c>
      <c r="M310" s="26" t="str">
        <f aca="false">IF($A310="","",ROUND(G310*IF(D310="Hourly",N(INDEX(Workers!$N$5:$N$2004,MATCH($A310,Workers!$A$5:$A$2004,0))),I310/Settings!$B$10/Settings!$B$12)*Settings!$B$13,2))</f>
        <v/>
      </c>
      <c r="N310" s="26" t="str">
        <f aca="false">IF($A310="","",K310+L310+M310)</f>
        <v/>
      </c>
      <c r="O310" s="26" t="str">
        <f aca="false">IF($A310="","",SUMIFS(Deductions!$D$5:$D$2000,Deductions!$B$5:$B$2000,$A310,Deductions!$C$5:$C$2000,"Advance",Deductions!$E$5:$E$2000,"&gt;="&amp;Settings!$B$8,Deductions!$E$5:$E$2000,"&lt;="&amp;Settings!$B$9))</f>
        <v/>
      </c>
      <c r="P310" s="26" t="str">
        <f aca="false">IF($A310="","",SUMIFS(Deductions!$D$5:$D$2000,Deductions!$B$5:$B$2000,$A310,Deductions!$E$5:$E$2000,"&gt;="&amp;Settings!$B$8,Deductions!$E$5:$E$2000,"&lt;="&amp;Settings!$B$9)-O310)</f>
        <v/>
      </c>
      <c r="Q310" s="26" t="str">
        <f aca="false">IF($A310="","",O310+P310)</f>
        <v/>
      </c>
      <c r="R310" s="23" t="str">
        <f aca="false">IF($A310="","",N310-Q310)</f>
        <v/>
      </c>
      <c r="S310" s="24" t="str">
        <f aca="false">IF($A310="","",INDEX(Workers!$O$5:$O$2004,MATCH($A310,Workers!$A$5:$A$2004,0))&amp;"")</f>
        <v/>
      </c>
      <c r="T310" s="24" t="str">
        <f aca="false">IF($A310="","",INDEX(Workers!$P$5:$P$2004,MATCH($A310,Workers!$A$5:$A$2004,0))&amp;"")</f>
        <v/>
      </c>
      <c r="U310" s="24" t="str">
        <f aca="false">IF($A310="","",INDEX(Workers!$H$5:$H$2004,MATCH($A310,Workers!$A$5:$A$2004,0))&amp;"")</f>
        <v/>
      </c>
    </row>
    <row r="311" customFormat="false" ht="15" hidden="false" customHeight="false" outlineLevel="0" collapsed="false">
      <c r="A311" s="24" t="str">
        <f aca="false">IFERROR(INDEX(Workers!$A$5:$A$2004,MATCH(ROW()-4,Workers!$U$5:$U$2004,0)),"")</f>
        <v/>
      </c>
      <c r="B311" s="24" t="str">
        <f aca="false">IF($A311="","",INDEX(Workers!$B$5:$B$2004,MATCH($A311,Workers!$A$5:$A$2004,0)))</f>
        <v/>
      </c>
      <c r="C311" s="24" t="str">
        <f aca="false">IF($A311="","",INDEX(Workers!$E$5:$E$2004,MATCH($A311,Workers!$A$5:$A$2004,0)))</f>
        <v/>
      </c>
      <c r="D311" s="24" t="str">
        <f aca="false">IF($A311="","",INDEX(Workers!$K$5:$K$2004,MATCH($A311,Workers!$A$5:$A$2004,0)))</f>
        <v/>
      </c>
      <c r="E311" s="25" t="str">
        <f aca="false">IF($A311="","",SUMIFS(Timesheet!$E$5:$E$3004,Timesheet!$D$5:$D$3004,$A311,Timesheet!$A$5:$A$3004,"&gt;="&amp;Settings!$B$8,Timesheet!$A$5:$A$3004,"&lt;="&amp;Settings!$B$9))</f>
        <v/>
      </c>
      <c r="F311" s="25" t="str">
        <f aca="false">IF($A311="","",SUMIFS(Timesheet!$F$5:$F$3004,Timesheet!$D$5:$D$3004,$A311,Timesheet!$A$5:$A$3004,"&gt;="&amp;Settings!$B$8,Timesheet!$A$5:$A$3004,"&lt;="&amp;Settings!$B$9))</f>
        <v/>
      </c>
      <c r="G311" s="25" t="str">
        <f aca="false">IF($A311="","",SUMIFS(Timesheet!$G$5:$G$3004,Timesheet!$D$5:$D$3004,$A311,Timesheet!$A$5:$A$3004,"&gt;="&amp;Settings!$B$8,Timesheet!$A$5:$A$3004,"&lt;="&amp;Settings!$B$9))</f>
        <v/>
      </c>
      <c r="H311" s="25" t="str">
        <f aca="false">IF($A311="","",IF(D311="Monthly",MAX(0,Settings!$B$11-E311),0))</f>
        <v/>
      </c>
      <c r="I311" s="26" t="str">
        <f aca="false">IF($A311="","",N(INDEX(Workers!$L$5:$L$2004,MATCH($A311,Workers!$A$5:$A$2004,0))))</f>
        <v/>
      </c>
      <c r="J311" s="26" t="str">
        <f aca="false">IF($A311="","",N(INDEX(Workers!$M$5:$M$2004,MATCH($A311,Workers!$A$5:$A$2004,0))))</f>
        <v/>
      </c>
      <c r="K311" s="26" t="str">
        <f aca="false">IF($A311="","",IF(D311="Monthly",ROUND(MAX(0,(I311+J311)-(I311+J311)/Settings!$B$10*H311),2),0))</f>
        <v/>
      </c>
      <c r="L311" s="26" t="str">
        <f aca="false">IF($A311="","",IF(D311="Hourly",ROUND(F311*N(INDEX(Workers!$N$5:$N$2004,MATCH($A311,Workers!$A$5:$A$2004,0))),2),0))</f>
        <v/>
      </c>
      <c r="M311" s="26" t="str">
        <f aca="false">IF($A311="","",ROUND(G311*IF(D311="Hourly",N(INDEX(Workers!$N$5:$N$2004,MATCH($A311,Workers!$A$5:$A$2004,0))),I311/Settings!$B$10/Settings!$B$12)*Settings!$B$13,2))</f>
        <v/>
      </c>
      <c r="N311" s="26" t="str">
        <f aca="false">IF($A311="","",K311+L311+M311)</f>
        <v/>
      </c>
      <c r="O311" s="26" t="str">
        <f aca="false">IF($A311="","",SUMIFS(Deductions!$D$5:$D$2000,Deductions!$B$5:$B$2000,$A311,Deductions!$C$5:$C$2000,"Advance",Deductions!$E$5:$E$2000,"&gt;="&amp;Settings!$B$8,Deductions!$E$5:$E$2000,"&lt;="&amp;Settings!$B$9))</f>
        <v/>
      </c>
      <c r="P311" s="26" t="str">
        <f aca="false">IF($A311="","",SUMIFS(Deductions!$D$5:$D$2000,Deductions!$B$5:$B$2000,$A311,Deductions!$E$5:$E$2000,"&gt;="&amp;Settings!$B$8,Deductions!$E$5:$E$2000,"&lt;="&amp;Settings!$B$9)-O311)</f>
        <v/>
      </c>
      <c r="Q311" s="26" t="str">
        <f aca="false">IF($A311="","",O311+P311)</f>
        <v/>
      </c>
      <c r="R311" s="23" t="str">
        <f aca="false">IF($A311="","",N311-Q311)</f>
        <v/>
      </c>
      <c r="S311" s="24" t="str">
        <f aca="false">IF($A311="","",INDEX(Workers!$O$5:$O$2004,MATCH($A311,Workers!$A$5:$A$2004,0))&amp;"")</f>
        <v/>
      </c>
      <c r="T311" s="24" t="str">
        <f aca="false">IF($A311="","",INDEX(Workers!$P$5:$P$2004,MATCH($A311,Workers!$A$5:$A$2004,0))&amp;"")</f>
        <v/>
      </c>
      <c r="U311" s="24" t="str">
        <f aca="false">IF($A311="","",INDEX(Workers!$H$5:$H$2004,MATCH($A311,Workers!$A$5:$A$2004,0))&amp;"")</f>
        <v/>
      </c>
    </row>
    <row r="312" customFormat="false" ht="15" hidden="false" customHeight="false" outlineLevel="0" collapsed="false">
      <c r="A312" s="24" t="str">
        <f aca="false">IFERROR(INDEX(Workers!$A$5:$A$2004,MATCH(ROW()-4,Workers!$U$5:$U$2004,0)),"")</f>
        <v/>
      </c>
      <c r="B312" s="24" t="str">
        <f aca="false">IF($A312="","",INDEX(Workers!$B$5:$B$2004,MATCH($A312,Workers!$A$5:$A$2004,0)))</f>
        <v/>
      </c>
      <c r="C312" s="24" t="str">
        <f aca="false">IF($A312="","",INDEX(Workers!$E$5:$E$2004,MATCH($A312,Workers!$A$5:$A$2004,0)))</f>
        <v/>
      </c>
      <c r="D312" s="24" t="str">
        <f aca="false">IF($A312="","",INDEX(Workers!$K$5:$K$2004,MATCH($A312,Workers!$A$5:$A$2004,0)))</f>
        <v/>
      </c>
      <c r="E312" s="25" t="str">
        <f aca="false">IF($A312="","",SUMIFS(Timesheet!$E$5:$E$3004,Timesheet!$D$5:$D$3004,$A312,Timesheet!$A$5:$A$3004,"&gt;="&amp;Settings!$B$8,Timesheet!$A$5:$A$3004,"&lt;="&amp;Settings!$B$9))</f>
        <v/>
      </c>
      <c r="F312" s="25" t="str">
        <f aca="false">IF($A312="","",SUMIFS(Timesheet!$F$5:$F$3004,Timesheet!$D$5:$D$3004,$A312,Timesheet!$A$5:$A$3004,"&gt;="&amp;Settings!$B$8,Timesheet!$A$5:$A$3004,"&lt;="&amp;Settings!$B$9))</f>
        <v/>
      </c>
      <c r="G312" s="25" t="str">
        <f aca="false">IF($A312="","",SUMIFS(Timesheet!$G$5:$G$3004,Timesheet!$D$5:$D$3004,$A312,Timesheet!$A$5:$A$3004,"&gt;="&amp;Settings!$B$8,Timesheet!$A$5:$A$3004,"&lt;="&amp;Settings!$B$9))</f>
        <v/>
      </c>
      <c r="H312" s="25" t="str">
        <f aca="false">IF($A312="","",IF(D312="Monthly",MAX(0,Settings!$B$11-E312),0))</f>
        <v/>
      </c>
      <c r="I312" s="26" t="str">
        <f aca="false">IF($A312="","",N(INDEX(Workers!$L$5:$L$2004,MATCH($A312,Workers!$A$5:$A$2004,0))))</f>
        <v/>
      </c>
      <c r="J312" s="26" t="str">
        <f aca="false">IF($A312="","",N(INDEX(Workers!$M$5:$M$2004,MATCH($A312,Workers!$A$5:$A$2004,0))))</f>
        <v/>
      </c>
      <c r="K312" s="26" t="str">
        <f aca="false">IF($A312="","",IF(D312="Monthly",ROUND(MAX(0,(I312+J312)-(I312+J312)/Settings!$B$10*H312),2),0))</f>
        <v/>
      </c>
      <c r="L312" s="26" t="str">
        <f aca="false">IF($A312="","",IF(D312="Hourly",ROUND(F312*N(INDEX(Workers!$N$5:$N$2004,MATCH($A312,Workers!$A$5:$A$2004,0))),2),0))</f>
        <v/>
      </c>
      <c r="M312" s="26" t="str">
        <f aca="false">IF($A312="","",ROUND(G312*IF(D312="Hourly",N(INDEX(Workers!$N$5:$N$2004,MATCH($A312,Workers!$A$5:$A$2004,0))),I312/Settings!$B$10/Settings!$B$12)*Settings!$B$13,2))</f>
        <v/>
      </c>
      <c r="N312" s="26" t="str">
        <f aca="false">IF($A312="","",K312+L312+M312)</f>
        <v/>
      </c>
      <c r="O312" s="26" t="str">
        <f aca="false">IF($A312="","",SUMIFS(Deductions!$D$5:$D$2000,Deductions!$B$5:$B$2000,$A312,Deductions!$C$5:$C$2000,"Advance",Deductions!$E$5:$E$2000,"&gt;="&amp;Settings!$B$8,Deductions!$E$5:$E$2000,"&lt;="&amp;Settings!$B$9))</f>
        <v/>
      </c>
      <c r="P312" s="26" t="str">
        <f aca="false">IF($A312="","",SUMIFS(Deductions!$D$5:$D$2000,Deductions!$B$5:$B$2000,$A312,Deductions!$E$5:$E$2000,"&gt;="&amp;Settings!$B$8,Deductions!$E$5:$E$2000,"&lt;="&amp;Settings!$B$9)-O312)</f>
        <v/>
      </c>
      <c r="Q312" s="26" t="str">
        <f aca="false">IF($A312="","",O312+P312)</f>
        <v/>
      </c>
      <c r="R312" s="23" t="str">
        <f aca="false">IF($A312="","",N312-Q312)</f>
        <v/>
      </c>
      <c r="S312" s="24" t="str">
        <f aca="false">IF($A312="","",INDEX(Workers!$O$5:$O$2004,MATCH($A312,Workers!$A$5:$A$2004,0))&amp;"")</f>
        <v/>
      </c>
      <c r="T312" s="24" t="str">
        <f aca="false">IF($A312="","",INDEX(Workers!$P$5:$P$2004,MATCH($A312,Workers!$A$5:$A$2004,0))&amp;"")</f>
        <v/>
      </c>
      <c r="U312" s="24" t="str">
        <f aca="false">IF($A312="","",INDEX(Workers!$H$5:$H$2004,MATCH($A312,Workers!$A$5:$A$2004,0))&amp;"")</f>
        <v/>
      </c>
    </row>
    <row r="313" customFormat="false" ht="15" hidden="false" customHeight="false" outlineLevel="0" collapsed="false">
      <c r="A313" s="24" t="str">
        <f aca="false">IFERROR(INDEX(Workers!$A$5:$A$2004,MATCH(ROW()-4,Workers!$U$5:$U$2004,0)),"")</f>
        <v/>
      </c>
      <c r="B313" s="24" t="str">
        <f aca="false">IF($A313="","",INDEX(Workers!$B$5:$B$2004,MATCH($A313,Workers!$A$5:$A$2004,0)))</f>
        <v/>
      </c>
      <c r="C313" s="24" t="str">
        <f aca="false">IF($A313="","",INDEX(Workers!$E$5:$E$2004,MATCH($A313,Workers!$A$5:$A$2004,0)))</f>
        <v/>
      </c>
      <c r="D313" s="24" t="str">
        <f aca="false">IF($A313="","",INDEX(Workers!$K$5:$K$2004,MATCH($A313,Workers!$A$5:$A$2004,0)))</f>
        <v/>
      </c>
      <c r="E313" s="25" t="str">
        <f aca="false">IF($A313="","",SUMIFS(Timesheet!$E$5:$E$3004,Timesheet!$D$5:$D$3004,$A313,Timesheet!$A$5:$A$3004,"&gt;="&amp;Settings!$B$8,Timesheet!$A$5:$A$3004,"&lt;="&amp;Settings!$B$9))</f>
        <v/>
      </c>
      <c r="F313" s="25" t="str">
        <f aca="false">IF($A313="","",SUMIFS(Timesheet!$F$5:$F$3004,Timesheet!$D$5:$D$3004,$A313,Timesheet!$A$5:$A$3004,"&gt;="&amp;Settings!$B$8,Timesheet!$A$5:$A$3004,"&lt;="&amp;Settings!$B$9))</f>
        <v/>
      </c>
      <c r="G313" s="25" t="str">
        <f aca="false">IF($A313="","",SUMIFS(Timesheet!$G$5:$G$3004,Timesheet!$D$5:$D$3004,$A313,Timesheet!$A$5:$A$3004,"&gt;="&amp;Settings!$B$8,Timesheet!$A$5:$A$3004,"&lt;="&amp;Settings!$B$9))</f>
        <v/>
      </c>
      <c r="H313" s="25" t="str">
        <f aca="false">IF($A313="","",IF(D313="Monthly",MAX(0,Settings!$B$11-E313),0))</f>
        <v/>
      </c>
      <c r="I313" s="26" t="str">
        <f aca="false">IF($A313="","",N(INDEX(Workers!$L$5:$L$2004,MATCH($A313,Workers!$A$5:$A$2004,0))))</f>
        <v/>
      </c>
      <c r="J313" s="26" t="str">
        <f aca="false">IF($A313="","",N(INDEX(Workers!$M$5:$M$2004,MATCH($A313,Workers!$A$5:$A$2004,0))))</f>
        <v/>
      </c>
      <c r="K313" s="26" t="str">
        <f aca="false">IF($A313="","",IF(D313="Monthly",ROUND(MAX(0,(I313+J313)-(I313+J313)/Settings!$B$10*H313),2),0))</f>
        <v/>
      </c>
      <c r="L313" s="26" t="str">
        <f aca="false">IF($A313="","",IF(D313="Hourly",ROUND(F313*N(INDEX(Workers!$N$5:$N$2004,MATCH($A313,Workers!$A$5:$A$2004,0))),2),0))</f>
        <v/>
      </c>
      <c r="M313" s="26" t="str">
        <f aca="false">IF($A313="","",ROUND(G313*IF(D313="Hourly",N(INDEX(Workers!$N$5:$N$2004,MATCH($A313,Workers!$A$5:$A$2004,0))),I313/Settings!$B$10/Settings!$B$12)*Settings!$B$13,2))</f>
        <v/>
      </c>
      <c r="N313" s="26" t="str">
        <f aca="false">IF($A313="","",K313+L313+M313)</f>
        <v/>
      </c>
      <c r="O313" s="26" t="str">
        <f aca="false">IF($A313="","",SUMIFS(Deductions!$D$5:$D$2000,Deductions!$B$5:$B$2000,$A313,Deductions!$C$5:$C$2000,"Advance",Deductions!$E$5:$E$2000,"&gt;="&amp;Settings!$B$8,Deductions!$E$5:$E$2000,"&lt;="&amp;Settings!$B$9))</f>
        <v/>
      </c>
      <c r="P313" s="26" t="str">
        <f aca="false">IF($A313="","",SUMIFS(Deductions!$D$5:$D$2000,Deductions!$B$5:$B$2000,$A313,Deductions!$E$5:$E$2000,"&gt;="&amp;Settings!$B$8,Deductions!$E$5:$E$2000,"&lt;="&amp;Settings!$B$9)-O313)</f>
        <v/>
      </c>
      <c r="Q313" s="26" t="str">
        <f aca="false">IF($A313="","",O313+P313)</f>
        <v/>
      </c>
      <c r="R313" s="23" t="str">
        <f aca="false">IF($A313="","",N313-Q313)</f>
        <v/>
      </c>
      <c r="S313" s="24" t="str">
        <f aca="false">IF($A313="","",INDEX(Workers!$O$5:$O$2004,MATCH($A313,Workers!$A$5:$A$2004,0))&amp;"")</f>
        <v/>
      </c>
      <c r="T313" s="24" t="str">
        <f aca="false">IF($A313="","",INDEX(Workers!$P$5:$P$2004,MATCH($A313,Workers!$A$5:$A$2004,0))&amp;"")</f>
        <v/>
      </c>
      <c r="U313" s="24" t="str">
        <f aca="false">IF($A313="","",INDEX(Workers!$H$5:$H$2004,MATCH($A313,Workers!$A$5:$A$2004,0))&amp;"")</f>
        <v/>
      </c>
    </row>
    <row r="314" customFormat="false" ht="15" hidden="false" customHeight="false" outlineLevel="0" collapsed="false">
      <c r="A314" s="24" t="str">
        <f aca="false">IFERROR(INDEX(Workers!$A$5:$A$2004,MATCH(ROW()-4,Workers!$U$5:$U$2004,0)),"")</f>
        <v/>
      </c>
      <c r="B314" s="24" t="str">
        <f aca="false">IF($A314="","",INDEX(Workers!$B$5:$B$2004,MATCH($A314,Workers!$A$5:$A$2004,0)))</f>
        <v/>
      </c>
      <c r="C314" s="24" t="str">
        <f aca="false">IF($A314="","",INDEX(Workers!$E$5:$E$2004,MATCH($A314,Workers!$A$5:$A$2004,0)))</f>
        <v/>
      </c>
      <c r="D314" s="24" t="str">
        <f aca="false">IF($A314="","",INDEX(Workers!$K$5:$K$2004,MATCH($A314,Workers!$A$5:$A$2004,0)))</f>
        <v/>
      </c>
      <c r="E314" s="25" t="str">
        <f aca="false">IF($A314="","",SUMIFS(Timesheet!$E$5:$E$3004,Timesheet!$D$5:$D$3004,$A314,Timesheet!$A$5:$A$3004,"&gt;="&amp;Settings!$B$8,Timesheet!$A$5:$A$3004,"&lt;="&amp;Settings!$B$9))</f>
        <v/>
      </c>
      <c r="F314" s="25" t="str">
        <f aca="false">IF($A314="","",SUMIFS(Timesheet!$F$5:$F$3004,Timesheet!$D$5:$D$3004,$A314,Timesheet!$A$5:$A$3004,"&gt;="&amp;Settings!$B$8,Timesheet!$A$5:$A$3004,"&lt;="&amp;Settings!$B$9))</f>
        <v/>
      </c>
      <c r="G314" s="25" t="str">
        <f aca="false">IF($A314="","",SUMIFS(Timesheet!$G$5:$G$3004,Timesheet!$D$5:$D$3004,$A314,Timesheet!$A$5:$A$3004,"&gt;="&amp;Settings!$B$8,Timesheet!$A$5:$A$3004,"&lt;="&amp;Settings!$B$9))</f>
        <v/>
      </c>
      <c r="H314" s="25" t="str">
        <f aca="false">IF($A314="","",IF(D314="Monthly",MAX(0,Settings!$B$11-E314),0))</f>
        <v/>
      </c>
      <c r="I314" s="26" t="str">
        <f aca="false">IF($A314="","",N(INDEX(Workers!$L$5:$L$2004,MATCH($A314,Workers!$A$5:$A$2004,0))))</f>
        <v/>
      </c>
      <c r="J314" s="26" t="str">
        <f aca="false">IF($A314="","",N(INDEX(Workers!$M$5:$M$2004,MATCH($A314,Workers!$A$5:$A$2004,0))))</f>
        <v/>
      </c>
      <c r="K314" s="26" t="str">
        <f aca="false">IF($A314="","",IF(D314="Monthly",ROUND(MAX(0,(I314+J314)-(I314+J314)/Settings!$B$10*H314),2),0))</f>
        <v/>
      </c>
      <c r="L314" s="26" t="str">
        <f aca="false">IF($A314="","",IF(D314="Hourly",ROUND(F314*N(INDEX(Workers!$N$5:$N$2004,MATCH($A314,Workers!$A$5:$A$2004,0))),2),0))</f>
        <v/>
      </c>
      <c r="M314" s="26" t="str">
        <f aca="false">IF($A314="","",ROUND(G314*IF(D314="Hourly",N(INDEX(Workers!$N$5:$N$2004,MATCH($A314,Workers!$A$5:$A$2004,0))),I314/Settings!$B$10/Settings!$B$12)*Settings!$B$13,2))</f>
        <v/>
      </c>
      <c r="N314" s="26" t="str">
        <f aca="false">IF($A314="","",K314+L314+M314)</f>
        <v/>
      </c>
      <c r="O314" s="26" t="str">
        <f aca="false">IF($A314="","",SUMIFS(Deductions!$D$5:$D$2000,Deductions!$B$5:$B$2000,$A314,Deductions!$C$5:$C$2000,"Advance",Deductions!$E$5:$E$2000,"&gt;="&amp;Settings!$B$8,Deductions!$E$5:$E$2000,"&lt;="&amp;Settings!$B$9))</f>
        <v/>
      </c>
      <c r="P314" s="26" t="str">
        <f aca="false">IF($A314="","",SUMIFS(Deductions!$D$5:$D$2000,Deductions!$B$5:$B$2000,$A314,Deductions!$E$5:$E$2000,"&gt;="&amp;Settings!$B$8,Deductions!$E$5:$E$2000,"&lt;="&amp;Settings!$B$9)-O314)</f>
        <v/>
      </c>
      <c r="Q314" s="26" t="str">
        <f aca="false">IF($A314="","",O314+P314)</f>
        <v/>
      </c>
      <c r="R314" s="23" t="str">
        <f aca="false">IF($A314="","",N314-Q314)</f>
        <v/>
      </c>
      <c r="S314" s="24" t="str">
        <f aca="false">IF($A314="","",INDEX(Workers!$O$5:$O$2004,MATCH($A314,Workers!$A$5:$A$2004,0))&amp;"")</f>
        <v/>
      </c>
      <c r="T314" s="24" t="str">
        <f aca="false">IF($A314="","",INDEX(Workers!$P$5:$P$2004,MATCH($A314,Workers!$A$5:$A$2004,0))&amp;"")</f>
        <v/>
      </c>
      <c r="U314" s="24" t="str">
        <f aca="false">IF($A314="","",INDEX(Workers!$H$5:$H$2004,MATCH($A314,Workers!$A$5:$A$2004,0))&amp;"")</f>
        <v/>
      </c>
    </row>
    <row r="315" customFormat="false" ht="15" hidden="false" customHeight="false" outlineLevel="0" collapsed="false">
      <c r="A315" s="24" t="str">
        <f aca="false">IFERROR(INDEX(Workers!$A$5:$A$2004,MATCH(ROW()-4,Workers!$U$5:$U$2004,0)),"")</f>
        <v/>
      </c>
      <c r="B315" s="24" t="str">
        <f aca="false">IF($A315="","",INDEX(Workers!$B$5:$B$2004,MATCH($A315,Workers!$A$5:$A$2004,0)))</f>
        <v/>
      </c>
      <c r="C315" s="24" t="str">
        <f aca="false">IF($A315="","",INDEX(Workers!$E$5:$E$2004,MATCH($A315,Workers!$A$5:$A$2004,0)))</f>
        <v/>
      </c>
      <c r="D315" s="24" t="str">
        <f aca="false">IF($A315="","",INDEX(Workers!$K$5:$K$2004,MATCH($A315,Workers!$A$5:$A$2004,0)))</f>
        <v/>
      </c>
      <c r="E315" s="25" t="str">
        <f aca="false">IF($A315="","",SUMIFS(Timesheet!$E$5:$E$3004,Timesheet!$D$5:$D$3004,$A315,Timesheet!$A$5:$A$3004,"&gt;="&amp;Settings!$B$8,Timesheet!$A$5:$A$3004,"&lt;="&amp;Settings!$B$9))</f>
        <v/>
      </c>
      <c r="F315" s="25" t="str">
        <f aca="false">IF($A315="","",SUMIFS(Timesheet!$F$5:$F$3004,Timesheet!$D$5:$D$3004,$A315,Timesheet!$A$5:$A$3004,"&gt;="&amp;Settings!$B$8,Timesheet!$A$5:$A$3004,"&lt;="&amp;Settings!$B$9))</f>
        <v/>
      </c>
      <c r="G315" s="25" t="str">
        <f aca="false">IF($A315="","",SUMIFS(Timesheet!$G$5:$G$3004,Timesheet!$D$5:$D$3004,$A315,Timesheet!$A$5:$A$3004,"&gt;="&amp;Settings!$B$8,Timesheet!$A$5:$A$3004,"&lt;="&amp;Settings!$B$9))</f>
        <v/>
      </c>
      <c r="H315" s="25" t="str">
        <f aca="false">IF($A315="","",IF(D315="Monthly",MAX(0,Settings!$B$11-E315),0))</f>
        <v/>
      </c>
      <c r="I315" s="26" t="str">
        <f aca="false">IF($A315="","",N(INDEX(Workers!$L$5:$L$2004,MATCH($A315,Workers!$A$5:$A$2004,0))))</f>
        <v/>
      </c>
      <c r="J315" s="26" t="str">
        <f aca="false">IF($A315="","",N(INDEX(Workers!$M$5:$M$2004,MATCH($A315,Workers!$A$5:$A$2004,0))))</f>
        <v/>
      </c>
      <c r="K315" s="26" t="str">
        <f aca="false">IF($A315="","",IF(D315="Monthly",ROUND(MAX(0,(I315+J315)-(I315+J315)/Settings!$B$10*H315),2),0))</f>
        <v/>
      </c>
      <c r="L315" s="26" t="str">
        <f aca="false">IF($A315="","",IF(D315="Hourly",ROUND(F315*N(INDEX(Workers!$N$5:$N$2004,MATCH($A315,Workers!$A$5:$A$2004,0))),2),0))</f>
        <v/>
      </c>
      <c r="M315" s="26" t="str">
        <f aca="false">IF($A315="","",ROUND(G315*IF(D315="Hourly",N(INDEX(Workers!$N$5:$N$2004,MATCH($A315,Workers!$A$5:$A$2004,0))),I315/Settings!$B$10/Settings!$B$12)*Settings!$B$13,2))</f>
        <v/>
      </c>
      <c r="N315" s="26" t="str">
        <f aca="false">IF($A315="","",K315+L315+M315)</f>
        <v/>
      </c>
      <c r="O315" s="26" t="str">
        <f aca="false">IF($A315="","",SUMIFS(Deductions!$D$5:$D$2000,Deductions!$B$5:$B$2000,$A315,Deductions!$C$5:$C$2000,"Advance",Deductions!$E$5:$E$2000,"&gt;="&amp;Settings!$B$8,Deductions!$E$5:$E$2000,"&lt;="&amp;Settings!$B$9))</f>
        <v/>
      </c>
      <c r="P315" s="26" t="str">
        <f aca="false">IF($A315="","",SUMIFS(Deductions!$D$5:$D$2000,Deductions!$B$5:$B$2000,$A315,Deductions!$E$5:$E$2000,"&gt;="&amp;Settings!$B$8,Deductions!$E$5:$E$2000,"&lt;="&amp;Settings!$B$9)-O315)</f>
        <v/>
      </c>
      <c r="Q315" s="26" t="str">
        <f aca="false">IF($A315="","",O315+P315)</f>
        <v/>
      </c>
      <c r="R315" s="23" t="str">
        <f aca="false">IF($A315="","",N315-Q315)</f>
        <v/>
      </c>
      <c r="S315" s="24" t="str">
        <f aca="false">IF($A315="","",INDEX(Workers!$O$5:$O$2004,MATCH($A315,Workers!$A$5:$A$2004,0))&amp;"")</f>
        <v/>
      </c>
      <c r="T315" s="24" t="str">
        <f aca="false">IF($A315="","",INDEX(Workers!$P$5:$P$2004,MATCH($A315,Workers!$A$5:$A$2004,0))&amp;"")</f>
        <v/>
      </c>
      <c r="U315" s="24" t="str">
        <f aca="false">IF($A315="","",INDEX(Workers!$H$5:$H$2004,MATCH($A315,Workers!$A$5:$A$2004,0))&amp;"")</f>
        <v/>
      </c>
    </row>
    <row r="316" customFormat="false" ht="15" hidden="false" customHeight="false" outlineLevel="0" collapsed="false">
      <c r="A316" s="24" t="str">
        <f aca="false">IFERROR(INDEX(Workers!$A$5:$A$2004,MATCH(ROW()-4,Workers!$U$5:$U$2004,0)),"")</f>
        <v/>
      </c>
      <c r="B316" s="24" t="str">
        <f aca="false">IF($A316="","",INDEX(Workers!$B$5:$B$2004,MATCH($A316,Workers!$A$5:$A$2004,0)))</f>
        <v/>
      </c>
      <c r="C316" s="24" t="str">
        <f aca="false">IF($A316="","",INDEX(Workers!$E$5:$E$2004,MATCH($A316,Workers!$A$5:$A$2004,0)))</f>
        <v/>
      </c>
      <c r="D316" s="24" t="str">
        <f aca="false">IF($A316="","",INDEX(Workers!$K$5:$K$2004,MATCH($A316,Workers!$A$5:$A$2004,0)))</f>
        <v/>
      </c>
      <c r="E316" s="25" t="str">
        <f aca="false">IF($A316="","",SUMIFS(Timesheet!$E$5:$E$3004,Timesheet!$D$5:$D$3004,$A316,Timesheet!$A$5:$A$3004,"&gt;="&amp;Settings!$B$8,Timesheet!$A$5:$A$3004,"&lt;="&amp;Settings!$B$9))</f>
        <v/>
      </c>
      <c r="F316" s="25" t="str">
        <f aca="false">IF($A316="","",SUMIFS(Timesheet!$F$5:$F$3004,Timesheet!$D$5:$D$3004,$A316,Timesheet!$A$5:$A$3004,"&gt;="&amp;Settings!$B$8,Timesheet!$A$5:$A$3004,"&lt;="&amp;Settings!$B$9))</f>
        <v/>
      </c>
      <c r="G316" s="25" t="str">
        <f aca="false">IF($A316="","",SUMIFS(Timesheet!$G$5:$G$3004,Timesheet!$D$5:$D$3004,$A316,Timesheet!$A$5:$A$3004,"&gt;="&amp;Settings!$B$8,Timesheet!$A$5:$A$3004,"&lt;="&amp;Settings!$B$9))</f>
        <v/>
      </c>
      <c r="H316" s="25" t="str">
        <f aca="false">IF($A316="","",IF(D316="Monthly",MAX(0,Settings!$B$11-E316),0))</f>
        <v/>
      </c>
      <c r="I316" s="26" t="str">
        <f aca="false">IF($A316="","",N(INDEX(Workers!$L$5:$L$2004,MATCH($A316,Workers!$A$5:$A$2004,0))))</f>
        <v/>
      </c>
      <c r="J316" s="26" t="str">
        <f aca="false">IF($A316="","",N(INDEX(Workers!$M$5:$M$2004,MATCH($A316,Workers!$A$5:$A$2004,0))))</f>
        <v/>
      </c>
      <c r="K316" s="26" t="str">
        <f aca="false">IF($A316="","",IF(D316="Monthly",ROUND(MAX(0,(I316+J316)-(I316+J316)/Settings!$B$10*H316),2),0))</f>
        <v/>
      </c>
      <c r="L316" s="26" t="str">
        <f aca="false">IF($A316="","",IF(D316="Hourly",ROUND(F316*N(INDEX(Workers!$N$5:$N$2004,MATCH($A316,Workers!$A$5:$A$2004,0))),2),0))</f>
        <v/>
      </c>
      <c r="M316" s="26" t="str">
        <f aca="false">IF($A316="","",ROUND(G316*IF(D316="Hourly",N(INDEX(Workers!$N$5:$N$2004,MATCH($A316,Workers!$A$5:$A$2004,0))),I316/Settings!$B$10/Settings!$B$12)*Settings!$B$13,2))</f>
        <v/>
      </c>
      <c r="N316" s="26" t="str">
        <f aca="false">IF($A316="","",K316+L316+M316)</f>
        <v/>
      </c>
      <c r="O316" s="26" t="str">
        <f aca="false">IF($A316="","",SUMIFS(Deductions!$D$5:$D$2000,Deductions!$B$5:$B$2000,$A316,Deductions!$C$5:$C$2000,"Advance",Deductions!$E$5:$E$2000,"&gt;="&amp;Settings!$B$8,Deductions!$E$5:$E$2000,"&lt;="&amp;Settings!$B$9))</f>
        <v/>
      </c>
      <c r="P316" s="26" t="str">
        <f aca="false">IF($A316="","",SUMIFS(Deductions!$D$5:$D$2000,Deductions!$B$5:$B$2000,$A316,Deductions!$E$5:$E$2000,"&gt;="&amp;Settings!$B$8,Deductions!$E$5:$E$2000,"&lt;="&amp;Settings!$B$9)-O316)</f>
        <v/>
      </c>
      <c r="Q316" s="26" t="str">
        <f aca="false">IF($A316="","",O316+P316)</f>
        <v/>
      </c>
      <c r="R316" s="23" t="str">
        <f aca="false">IF($A316="","",N316-Q316)</f>
        <v/>
      </c>
      <c r="S316" s="24" t="str">
        <f aca="false">IF($A316="","",INDEX(Workers!$O$5:$O$2004,MATCH($A316,Workers!$A$5:$A$2004,0))&amp;"")</f>
        <v/>
      </c>
      <c r="T316" s="24" t="str">
        <f aca="false">IF($A316="","",INDEX(Workers!$P$5:$P$2004,MATCH($A316,Workers!$A$5:$A$2004,0))&amp;"")</f>
        <v/>
      </c>
      <c r="U316" s="24" t="str">
        <f aca="false">IF($A316="","",INDEX(Workers!$H$5:$H$2004,MATCH($A316,Workers!$A$5:$A$2004,0))&amp;"")</f>
        <v/>
      </c>
    </row>
    <row r="317" customFormat="false" ht="15" hidden="false" customHeight="false" outlineLevel="0" collapsed="false">
      <c r="A317" s="24" t="str">
        <f aca="false">IFERROR(INDEX(Workers!$A$5:$A$2004,MATCH(ROW()-4,Workers!$U$5:$U$2004,0)),"")</f>
        <v/>
      </c>
      <c r="B317" s="24" t="str">
        <f aca="false">IF($A317="","",INDEX(Workers!$B$5:$B$2004,MATCH($A317,Workers!$A$5:$A$2004,0)))</f>
        <v/>
      </c>
      <c r="C317" s="24" t="str">
        <f aca="false">IF($A317="","",INDEX(Workers!$E$5:$E$2004,MATCH($A317,Workers!$A$5:$A$2004,0)))</f>
        <v/>
      </c>
      <c r="D317" s="24" t="str">
        <f aca="false">IF($A317="","",INDEX(Workers!$K$5:$K$2004,MATCH($A317,Workers!$A$5:$A$2004,0)))</f>
        <v/>
      </c>
      <c r="E317" s="25" t="str">
        <f aca="false">IF($A317="","",SUMIFS(Timesheet!$E$5:$E$3004,Timesheet!$D$5:$D$3004,$A317,Timesheet!$A$5:$A$3004,"&gt;="&amp;Settings!$B$8,Timesheet!$A$5:$A$3004,"&lt;="&amp;Settings!$B$9))</f>
        <v/>
      </c>
      <c r="F317" s="25" t="str">
        <f aca="false">IF($A317="","",SUMIFS(Timesheet!$F$5:$F$3004,Timesheet!$D$5:$D$3004,$A317,Timesheet!$A$5:$A$3004,"&gt;="&amp;Settings!$B$8,Timesheet!$A$5:$A$3004,"&lt;="&amp;Settings!$B$9))</f>
        <v/>
      </c>
      <c r="G317" s="25" t="str">
        <f aca="false">IF($A317="","",SUMIFS(Timesheet!$G$5:$G$3004,Timesheet!$D$5:$D$3004,$A317,Timesheet!$A$5:$A$3004,"&gt;="&amp;Settings!$B$8,Timesheet!$A$5:$A$3004,"&lt;="&amp;Settings!$B$9))</f>
        <v/>
      </c>
      <c r="H317" s="25" t="str">
        <f aca="false">IF($A317="","",IF(D317="Monthly",MAX(0,Settings!$B$11-E317),0))</f>
        <v/>
      </c>
      <c r="I317" s="26" t="str">
        <f aca="false">IF($A317="","",N(INDEX(Workers!$L$5:$L$2004,MATCH($A317,Workers!$A$5:$A$2004,0))))</f>
        <v/>
      </c>
      <c r="J317" s="26" t="str">
        <f aca="false">IF($A317="","",N(INDEX(Workers!$M$5:$M$2004,MATCH($A317,Workers!$A$5:$A$2004,0))))</f>
        <v/>
      </c>
      <c r="K317" s="26" t="str">
        <f aca="false">IF($A317="","",IF(D317="Monthly",ROUND(MAX(0,(I317+J317)-(I317+J317)/Settings!$B$10*H317),2),0))</f>
        <v/>
      </c>
      <c r="L317" s="26" t="str">
        <f aca="false">IF($A317="","",IF(D317="Hourly",ROUND(F317*N(INDEX(Workers!$N$5:$N$2004,MATCH($A317,Workers!$A$5:$A$2004,0))),2),0))</f>
        <v/>
      </c>
      <c r="M317" s="26" t="str">
        <f aca="false">IF($A317="","",ROUND(G317*IF(D317="Hourly",N(INDEX(Workers!$N$5:$N$2004,MATCH($A317,Workers!$A$5:$A$2004,0))),I317/Settings!$B$10/Settings!$B$12)*Settings!$B$13,2))</f>
        <v/>
      </c>
      <c r="N317" s="26" t="str">
        <f aca="false">IF($A317="","",K317+L317+M317)</f>
        <v/>
      </c>
      <c r="O317" s="26" t="str">
        <f aca="false">IF($A317="","",SUMIFS(Deductions!$D$5:$D$2000,Deductions!$B$5:$B$2000,$A317,Deductions!$C$5:$C$2000,"Advance",Deductions!$E$5:$E$2000,"&gt;="&amp;Settings!$B$8,Deductions!$E$5:$E$2000,"&lt;="&amp;Settings!$B$9))</f>
        <v/>
      </c>
      <c r="P317" s="26" t="str">
        <f aca="false">IF($A317="","",SUMIFS(Deductions!$D$5:$D$2000,Deductions!$B$5:$B$2000,$A317,Deductions!$E$5:$E$2000,"&gt;="&amp;Settings!$B$8,Deductions!$E$5:$E$2000,"&lt;="&amp;Settings!$B$9)-O317)</f>
        <v/>
      </c>
      <c r="Q317" s="26" t="str">
        <f aca="false">IF($A317="","",O317+P317)</f>
        <v/>
      </c>
      <c r="R317" s="23" t="str">
        <f aca="false">IF($A317="","",N317-Q317)</f>
        <v/>
      </c>
      <c r="S317" s="24" t="str">
        <f aca="false">IF($A317="","",INDEX(Workers!$O$5:$O$2004,MATCH($A317,Workers!$A$5:$A$2004,0))&amp;"")</f>
        <v/>
      </c>
      <c r="T317" s="24" t="str">
        <f aca="false">IF($A317="","",INDEX(Workers!$P$5:$P$2004,MATCH($A317,Workers!$A$5:$A$2004,0))&amp;"")</f>
        <v/>
      </c>
      <c r="U317" s="24" t="str">
        <f aca="false">IF($A317="","",INDEX(Workers!$H$5:$H$2004,MATCH($A317,Workers!$A$5:$A$2004,0))&amp;"")</f>
        <v/>
      </c>
    </row>
    <row r="318" customFormat="false" ht="15" hidden="false" customHeight="false" outlineLevel="0" collapsed="false">
      <c r="A318" s="24" t="str">
        <f aca="false">IFERROR(INDEX(Workers!$A$5:$A$2004,MATCH(ROW()-4,Workers!$U$5:$U$2004,0)),"")</f>
        <v/>
      </c>
      <c r="B318" s="24" t="str">
        <f aca="false">IF($A318="","",INDEX(Workers!$B$5:$B$2004,MATCH($A318,Workers!$A$5:$A$2004,0)))</f>
        <v/>
      </c>
      <c r="C318" s="24" t="str">
        <f aca="false">IF($A318="","",INDEX(Workers!$E$5:$E$2004,MATCH($A318,Workers!$A$5:$A$2004,0)))</f>
        <v/>
      </c>
      <c r="D318" s="24" t="str">
        <f aca="false">IF($A318="","",INDEX(Workers!$K$5:$K$2004,MATCH($A318,Workers!$A$5:$A$2004,0)))</f>
        <v/>
      </c>
      <c r="E318" s="25" t="str">
        <f aca="false">IF($A318="","",SUMIFS(Timesheet!$E$5:$E$3004,Timesheet!$D$5:$D$3004,$A318,Timesheet!$A$5:$A$3004,"&gt;="&amp;Settings!$B$8,Timesheet!$A$5:$A$3004,"&lt;="&amp;Settings!$B$9))</f>
        <v/>
      </c>
      <c r="F318" s="25" t="str">
        <f aca="false">IF($A318="","",SUMIFS(Timesheet!$F$5:$F$3004,Timesheet!$D$5:$D$3004,$A318,Timesheet!$A$5:$A$3004,"&gt;="&amp;Settings!$B$8,Timesheet!$A$5:$A$3004,"&lt;="&amp;Settings!$B$9))</f>
        <v/>
      </c>
      <c r="G318" s="25" t="str">
        <f aca="false">IF($A318="","",SUMIFS(Timesheet!$G$5:$G$3004,Timesheet!$D$5:$D$3004,$A318,Timesheet!$A$5:$A$3004,"&gt;="&amp;Settings!$B$8,Timesheet!$A$5:$A$3004,"&lt;="&amp;Settings!$B$9))</f>
        <v/>
      </c>
      <c r="H318" s="25" t="str">
        <f aca="false">IF($A318="","",IF(D318="Monthly",MAX(0,Settings!$B$11-E318),0))</f>
        <v/>
      </c>
      <c r="I318" s="26" t="str">
        <f aca="false">IF($A318="","",N(INDEX(Workers!$L$5:$L$2004,MATCH($A318,Workers!$A$5:$A$2004,0))))</f>
        <v/>
      </c>
      <c r="J318" s="26" t="str">
        <f aca="false">IF($A318="","",N(INDEX(Workers!$M$5:$M$2004,MATCH($A318,Workers!$A$5:$A$2004,0))))</f>
        <v/>
      </c>
      <c r="K318" s="26" t="str">
        <f aca="false">IF($A318="","",IF(D318="Monthly",ROUND(MAX(0,(I318+J318)-(I318+J318)/Settings!$B$10*H318),2),0))</f>
        <v/>
      </c>
      <c r="L318" s="26" t="str">
        <f aca="false">IF($A318="","",IF(D318="Hourly",ROUND(F318*N(INDEX(Workers!$N$5:$N$2004,MATCH($A318,Workers!$A$5:$A$2004,0))),2),0))</f>
        <v/>
      </c>
      <c r="M318" s="26" t="str">
        <f aca="false">IF($A318="","",ROUND(G318*IF(D318="Hourly",N(INDEX(Workers!$N$5:$N$2004,MATCH($A318,Workers!$A$5:$A$2004,0))),I318/Settings!$B$10/Settings!$B$12)*Settings!$B$13,2))</f>
        <v/>
      </c>
      <c r="N318" s="26" t="str">
        <f aca="false">IF($A318="","",K318+L318+M318)</f>
        <v/>
      </c>
      <c r="O318" s="26" t="str">
        <f aca="false">IF($A318="","",SUMIFS(Deductions!$D$5:$D$2000,Deductions!$B$5:$B$2000,$A318,Deductions!$C$5:$C$2000,"Advance",Deductions!$E$5:$E$2000,"&gt;="&amp;Settings!$B$8,Deductions!$E$5:$E$2000,"&lt;="&amp;Settings!$B$9))</f>
        <v/>
      </c>
      <c r="P318" s="26" t="str">
        <f aca="false">IF($A318="","",SUMIFS(Deductions!$D$5:$D$2000,Deductions!$B$5:$B$2000,$A318,Deductions!$E$5:$E$2000,"&gt;="&amp;Settings!$B$8,Deductions!$E$5:$E$2000,"&lt;="&amp;Settings!$B$9)-O318)</f>
        <v/>
      </c>
      <c r="Q318" s="26" t="str">
        <f aca="false">IF($A318="","",O318+P318)</f>
        <v/>
      </c>
      <c r="R318" s="23" t="str">
        <f aca="false">IF($A318="","",N318-Q318)</f>
        <v/>
      </c>
      <c r="S318" s="24" t="str">
        <f aca="false">IF($A318="","",INDEX(Workers!$O$5:$O$2004,MATCH($A318,Workers!$A$5:$A$2004,0))&amp;"")</f>
        <v/>
      </c>
      <c r="T318" s="24" t="str">
        <f aca="false">IF($A318="","",INDEX(Workers!$P$5:$P$2004,MATCH($A318,Workers!$A$5:$A$2004,0))&amp;"")</f>
        <v/>
      </c>
      <c r="U318" s="24" t="str">
        <f aca="false">IF($A318="","",INDEX(Workers!$H$5:$H$2004,MATCH($A318,Workers!$A$5:$A$2004,0))&amp;"")</f>
        <v/>
      </c>
    </row>
    <row r="319" customFormat="false" ht="15" hidden="false" customHeight="false" outlineLevel="0" collapsed="false">
      <c r="A319" s="24" t="str">
        <f aca="false">IFERROR(INDEX(Workers!$A$5:$A$2004,MATCH(ROW()-4,Workers!$U$5:$U$2004,0)),"")</f>
        <v/>
      </c>
      <c r="B319" s="24" t="str">
        <f aca="false">IF($A319="","",INDEX(Workers!$B$5:$B$2004,MATCH($A319,Workers!$A$5:$A$2004,0)))</f>
        <v/>
      </c>
      <c r="C319" s="24" t="str">
        <f aca="false">IF($A319="","",INDEX(Workers!$E$5:$E$2004,MATCH($A319,Workers!$A$5:$A$2004,0)))</f>
        <v/>
      </c>
      <c r="D319" s="24" t="str">
        <f aca="false">IF($A319="","",INDEX(Workers!$K$5:$K$2004,MATCH($A319,Workers!$A$5:$A$2004,0)))</f>
        <v/>
      </c>
      <c r="E319" s="25" t="str">
        <f aca="false">IF($A319="","",SUMIFS(Timesheet!$E$5:$E$3004,Timesheet!$D$5:$D$3004,$A319,Timesheet!$A$5:$A$3004,"&gt;="&amp;Settings!$B$8,Timesheet!$A$5:$A$3004,"&lt;="&amp;Settings!$B$9))</f>
        <v/>
      </c>
      <c r="F319" s="25" t="str">
        <f aca="false">IF($A319="","",SUMIFS(Timesheet!$F$5:$F$3004,Timesheet!$D$5:$D$3004,$A319,Timesheet!$A$5:$A$3004,"&gt;="&amp;Settings!$B$8,Timesheet!$A$5:$A$3004,"&lt;="&amp;Settings!$B$9))</f>
        <v/>
      </c>
      <c r="G319" s="25" t="str">
        <f aca="false">IF($A319="","",SUMIFS(Timesheet!$G$5:$G$3004,Timesheet!$D$5:$D$3004,$A319,Timesheet!$A$5:$A$3004,"&gt;="&amp;Settings!$B$8,Timesheet!$A$5:$A$3004,"&lt;="&amp;Settings!$B$9))</f>
        <v/>
      </c>
      <c r="H319" s="25" t="str">
        <f aca="false">IF($A319="","",IF(D319="Monthly",MAX(0,Settings!$B$11-E319),0))</f>
        <v/>
      </c>
      <c r="I319" s="26" t="str">
        <f aca="false">IF($A319="","",N(INDEX(Workers!$L$5:$L$2004,MATCH($A319,Workers!$A$5:$A$2004,0))))</f>
        <v/>
      </c>
      <c r="J319" s="26" t="str">
        <f aca="false">IF($A319="","",N(INDEX(Workers!$M$5:$M$2004,MATCH($A319,Workers!$A$5:$A$2004,0))))</f>
        <v/>
      </c>
      <c r="K319" s="26" t="str">
        <f aca="false">IF($A319="","",IF(D319="Monthly",ROUND(MAX(0,(I319+J319)-(I319+J319)/Settings!$B$10*H319),2),0))</f>
        <v/>
      </c>
      <c r="L319" s="26" t="str">
        <f aca="false">IF($A319="","",IF(D319="Hourly",ROUND(F319*N(INDEX(Workers!$N$5:$N$2004,MATCH($A319,Workers!$A$5:$A$2004,0))),2),0))</f>
        <v/>
      </c>
      <c r="M319" s="26" t="str">
        <f aca="false">IF($A319="","",ROUND(G319*IF(D319="Hourly",N(INDEX(Workers!$N$5:$N$2004,MATCH($A319,Workers!$A$5:$A$2004,0))),I319/Settings!$B$10/Settings!$B$12)*Settings!$B$13,2))</f>
        <v/>
      </c>
      <c r="N319" s="26" t="str">
        <f aca="false">IF($A319="","",K319+L319+M319)</f>
        <v/>
      </c>
      <c r="O319" s="26" t="str">
        <f aca="false">IF($A319="","",SUMIFS(Deductions!$D$5:$D$2000,Deductions!$B$5:$B$2000,$A319,Deductions!$C$5:$C$2000,"Advance",Deductions!$E$5:$E$2000,"&gt;="&amp;Settings!$B$8,Deductions!$E$5:$E$2000,"&lt;="&amp;Settings!$B$9))</f>
        <v/>
      </c>
      <c r="P319" s="26" t="str">
        <f aca="false">IF($A319="","",SUMIFS(Deductions!$D$5:$D$2000,Deductions!$B$5:$B$2000,$A319,Deductions!$E$5:$E$2000,"&gt;="&amp;Settings!$B$8,Deductions!$E$5:$E$2000,"&lt;="&amp;Settings!$B$9)-O319)</f>
        <v/>
      </c>
      <c r="Q319" s="26" t="str">
        <f aca="false">IF($A319="","",O319+P319)</f>
        <v/>
      </c>
      <c r="R319" s="23" t="str">
        <f aca="false">IF($A319="","",N319-Q319)</f>
        <v/>
      </c>
      <c r="S319" s="24" t="str">
        <f aca="false">IF($A319="","",INDEX(Workers!$O$5:$O$2004,MATCH($A319,Workers!$A$5:$A$2004,0))&amp;"")</f>
        <v/>
      </c>
      <c r="T319" s="24" t="str">
        <f aca="false">IF($A319="","",INDEX(Workers!$P$5:$P$2004,MATCH($A319,Workers!$A$5:$A$2004,0))&amp;"")</f>
        <v/>
      </c>
      <c r="U319" s="24" t="str">
        <f aca="false">IF($A319="","",INDEX(Workers!$H$5:$H$2004,MATCH($A319,Workers!$A$5:$A$2004,0))&amp;"")</f>
        <v/>
      </c>
    </row>
    <row r="320" customFormat="false" ht="15" hidden="false" customHeight="false" outlineLevel="0" collapsed="false">
      <c r="A320" s="24" t="str">
        <f aca="false">IFERROR(INDEX(Workers!$A$5:$A$2004,MATCH(ROW()-4,Workers!$U$5:$U$2004,0)),"")</f>
        <v/>
      </c>
      <c r="B320" s="24" t="str">
        <f aca="false">IF($A320="","",INDEX(Workers!$B$5:$B$2004,MATCH($A320,Workers!$A$5:$A$2004,0)))</f>
        <v/>
      </c>
      <c r="C320" s="24" t="str">
        <f aca="false">IF($A320="","",INDEX(Workers!$E$5:$E$2004,MATCH($A320,Workers!$A$5:$A$2004,0)))</f>
        <v/>
      </c>
      <c r="D320" s="24" t="str">
        <f aca="false">IF($A320="","",INDEX(Workers!$K$5:$K$2004,MATCH($A320,Workers!$A$5:$A$2004,0)))</f>
        <v/>
      </c>
      <c r="E320" s="25" t="str">
        <f aca="false">IF($A320="","",SUMIFS(Timesheet!$E$5:$E$3004,Timesheet!$D$5:$D$3004,$A320,Timesheet!$A$5:$A$3004,"&gt;="&amp;Settings!$B$8,Timesheet!$A$5:$A$3004,"&lt;="&amp;Settings!$B$9))</f>
        <v/>
      </c>
      <c r="F320" s="25" t="str">
        <f aca="false">IF($A320="","",SUMIFS(Timesheet!$F$5:$F$3004,Timesheet!$D$5:$D$3004,$A320,Timesheet!$A$5:$A$3004,"&gt;="&amp;Settings!$B$8,Timesheet!$A$5:$A$3004,"&lt;="&amp;Settings!$B$9))</f>
        <v/>
      </c>
      <c r="G320" s="25" t="str">
        <f aca="false">IF($A320="","",SUMIFS(Timesheet!$G$5:$G$3004,Timesheet!$D$5:$D$3004,$A320,Timesheet!$A$5:$A$3004,"&gt;="&amp;Settings!$B$8,Timesheet!$A$5:$A$3004,"&lt;="&amp;Settings!$B$9))</f>
        <v/>
      </c>
      <c r="H320" s="25" t="str">
        <f aca="false">IF($A320="","",IF(D320="Monthly",MAX(0,Settings!$B$11-E320),0))</f>
        <v/>
      </c>
      <c r="I320" s="26" t="str">
        <f aca="false">IF($A320="","",N(INDEX(Workers!$L$5:$L$2004,MATCH($A320,Workers!$A$5:$A$2004,0))))</f>
        <v/>
      </c>
      <c r="J320" s="26" t="str">
        <f aca="false">IF($A320="","",N(INDEX(Workers!$M$5:$M$2004,MATCH($A320,Workers!$A$5:$A$2004,0))))</f>
        <v/>
      </c>
      <c r="K320" s="26" t="str">
        <f aca="false">IF($A320="","",IF(D320="Monthly",ROUND(MAX(0,(I320+J320)-(I320+J320)/Settings!$B$10*H320),2),0))</f>
        <v/>
      </c>
      <c r="L320" s="26" t="str">
        <f aca="false">IF($A320="","",IF(D320="Hourly",ROUND(F320*N(INDEX(Workers!$N$5:$N$2004,MATCH($A320,Workers!$A$5:$A$2004,0))),2),0))</f>
        <v/>
      </c>
      <c r="M320" s="26" t="str">
        <f aca="false">IF($A320="","",ROUND(G320*IF(D320="Hourly",N(INDEX(Workers!$N$5:$N$2004,MATCH($A320,Workers!$A$5:$A$2004,0))),I320/Settings!$B$10/Settings!$B$12)*Settings!$B$13,2))</f>
        <v/>
      </c>
      <c r="N320" s="26" t="str">
        <f aca="false">IF($A320="","",K320+L320+M320)</f>
        <v/>
      </c>
      <c r="O320" s="26" t="str">
        <f aca="false">IF($A320="","",SUMIFS(Deductions!$D$5:$D$2000,Deductions!$B$5:$B$2000,$A320,Deductions!$C$5:$C$2000,"Advance",Deductions!$E$5:$E$2000,"&gt;="&amp;Settings!$B$8,Deductions!$E$5:$E$2000,"&lt;="&amp;Settings!$B$9))</f>
        <v/>
      </c>
      <c r="P320" s="26" t="str">
        <f aca="false">IF($A320="","",SUMIFS(Deductions!$D$5:$D$2000,Deductions!$B$5:$B$2000,$A320,Deductions!$E$5:$E$2000,"&gt;="&amp;Settings!$B$8,Deductions!$E$5:$E$2000,"&lt;="&amp;Settings!$B$9)-O320)</f>
        <v/>
      </c>
      <c r="Q320" s="26" t="str">
        <f aca="false">IF($A320="","",O320+P320)</f>
        <v/>
      </c>
      <c r="R320" s="23" t="str">
        <f aca="false">IF($A320="","",N320-Q320)</f>
        <v/>
      </c>
      <c r="S320" s="24" t="str">
        <f aca="false">IF($A320="","",INDEX(Workers!$O$5:$O$2004,MATCH($A320,Workers!$A$5:$A$2004,0))&amp;"")</f>
        <v/>
      </c>
      <c r="T320" s="24" t="str">
        <f aca="false">IF($A320="","",INDEX(Workers!$P$5:$P$2004,MATCH($A320,Workers!$A$5:$A$2004,0))&amp;"")</f>
        <v/>
      </c>
      <c r="U320" s="24" t="str">
        <f aca="false">IF($A320="","",INDEX(Workers!$H$5:$H$2004,MATCH($A320,Workers!$A$5:$A$2004,0))&amp;"")</f>
        <v/>
      </c>
    </row>
    <row r="321" customFormat="false" ht="15" hidden="false" customHeight="false" outlineLevel="0" collapsed="false">
      <c r="A321" s="24" t="str">
        <f aca="false">IFERROR(INDEX(Workers!$A$5:$A$2004,MATCH(ROW()-4,Workers!$U$5:$U$2004,0)),"")</f>
        <v/>
      </c>
      <c r="B321" s="24" t="str">
        <f aca="false">IF($A321="","",INDEX(Workers!$B$5:$B$2004,MATCH($A321,Workers!$A$5:$A$2004,0)))</f>
        <v/>
      </c>
      <c r="C321" s="24" t="str">
        <f aca="false">IF($A321="","",INDEX(Workers!$E$5:$E$2004,MATCH($A321,Workers!$A$5:$A$2004,0)))</f>
        <v/>
      </c>
      <c r="D321" s="24" t="str">
        <f aca="false">IF($A321="","",INDEX(Workers!$K$5:$K$2004,MATCH($A321,Workers!$A$5:$A$2004,0)))</f>
        <v/>
      </c>
      <c r="E321" s="25" t="str">
        <f aca="false">IF($A321="","",SUMIFS(Timesheet!$E$5:$E$3004,Timesheet!$D$5:$D$3004,$A321,Timesheet!$A$5:$A$3004,"&gt;="&amp;Settings!$B$8,Timesheet!$A$5:$A$3004,"&lt;="&amp;Settings!$B$9))</f>
        <v/>
      </c>
      <c r="F321" s="25" t="str">
        <f aca="false">IF($A321="","",SUMIFS(Timesheet!$F$5:$F$3004,Timesheet!$D$5:$D$3004,$A321,Timesheet!$A$5:$A$3004,"&gt;="&amp;Settings!$B$8,Timesheet!$A$5:$A$3004,"&lt;="&amp;Settings!$B$9))</f>
        <v/>
      </c>
      <c r="G321" s="25" t="str">
        <f aca="false">IF($A321="","",SUMIFS(Timesheet!$G$5:$G$3004,Timesheet!$D$5:$D$3004,$A321,Timesheet!$A$5:$A$3004,"&gt;="&amp;Settings!$B$8,Timesheet!$A$5:$A$3004,"&lt;="&amp;Settings!$B$9))</f>
        <v/>
      </c>
      <c r="H321" s="25" t="str">
        <f aca="false">IF($A321="","",IF(D321="Monthly",MAX(0,Settings!$B$11-E321),0))</f>
        <v/>
      </c>
      <c r="I321" s="26" t="str">
        <f aca="false">IF($A321="","",N(INDEX(Workers!$L$5:$L$2004,MATCH($A321,Workers!$A$5:$A$2004,0))))</f>
        <v/>
      </c>
      <c r="J321" s="26" t="str">
        <f aca="false">IF($A321="","",N(INDEX(Workers!$M$5:$M$2004,MATCH($A321,Workers!$A$5:$A$2004,0))))</f>
        <v/>
      </c>
      <c r="K321" s="26" t="str">
        <f aca="false">IF($A321="","",IF(D321="Monthly",ROUND(MAX(0,(I321+J321)-(I321+J321)/Settings!$B$10*H321),2),0))</f>
        <v/>
      </c>
      <c r="L321" s="26" t="str">
        <f aca="false">IF($A321="","",IF(D321="Hourly",ROUND(F321*N(INDEX(Workers!$N$5:$N$2004,MATCH($A321,Workers!$A$5:$A$2004,0))),2),0))</f>
        <v/>
      </c>
      <c r="M321" s="26" t="str">
        <f aca="false">IF($A321="","",ROUND(G321*IF(D321="Hourly",N(INDEX(Workers!$N$5:$N$2004,MATCH($A321,Workers!$A$5:$A$2004,0))),I321/Settings!$B$10/Settings!$B$12)*Settings!$B$13,2))</f>
        <v/>
      </c>
      <c r="N321" s="26" t="str">
        <f aca="false">IF($A321="","",K321+L321+M321)</f>
        <v/>
      </c>
      <c r="O321" s="26" t="str">
        <f aca="false">IF($A321="","",SUMIFS(Deductions!$D$5:$D$2000,Deductions!$B$5:$B$2000,$A321,Deductions!$C$5:$C$2000,"Advance",Deductions!$E$5:$E$2000,"&gt;="&amp;Settings!$B$8,Deductions!$E$5:$E$2000,"&lt;="&amp;Settings!$B$9))</f>
        <v/>
      </c>
      <c r="P321" s="26" t="str">
        <f aca="false">IF($A321="","",SUMIFS(Deductions!$D$5:$D$2000,Deductions!$B$5:$B$2000,$A321,Deductions!$E$5:$E$2000,"&gt;="&amp;Settings!$B$8,Deductions!$E$5:$E$2000,"&lt;="&amp;Settings!$B$9)-O321)</f>
        <v/>
      </c>
      <c r="Q321" s="26" t="str">
        <f aca="false">IF($A321="","",O321+P321)</f>
        <v/>
      </c>
      <c r="R321" s="23" t="str">
        <f aca="false">IF($A321="","",N321-Q321)</f>
        <v/>
      </c>
      <c r="S321" s="24" t="str">
        <f aca="false">IF($A321="","",INDEX(Workers!$O$5:$O$2004,MATCH($A321,Workers!$A$5:$A$2004,0))&amp;"")</f>
        <v/>
      </c>
      <c r="T321" s="24" t="str">
        <f aca="false">IF($A321="","",INDEX(Workers!$P$5:$P$2004,MATCH($A321,Workers!$A$5:$A$2004,0))&amp;"")</f>
        <v/>
      </c>
      <c r="U321" s="24" t="str">
        <f aca="false">IF($A321="","",INDEX(Workers!$H$5:$H$2004,MATCH($A321,Workers!$A$5:$A$2004,0))&amp;"")</f>
        <v/>
      </c>
    </row>
    <row r="322" customFormat="false" ht="15" hidden="false" customHeight="false" outlineLevel="0" collapsed="false">
      <c r="A322" s="24" t="str">
        <f aca="false">IFERROR(INDEX(Workers!$A$5:$A$2004,MATCH(ROW()-4,Workers!$U$5:$U$2004,0)),"")</f>
        <v/>
      </c>
      <c r="B322" s="24" t="str">
        <f aca="false">IF($A322="","",INDEX(Workers!$B$5:$B$2004,MATCH($A322,Workers!$A$5:$A$2004,0)))</f>
        <v/>
      </c>
      <c r="C322" s="24" t="str">
        <f aca="false">IF($A322="","",INDEX(Workers!$E$5:$E$2004,MATCH($A322,Workers!$A$5:$A$2004,0)))</f>
        <v/>
      </c>
      <c r="D322" s="24" t="str">
        <f aca="false">IF($A322="","",INDEX(Workers!$K$5:$K$2004,MATCH($A322,Workers!$A$5:$A$2004,0)))</f>
        <v/>
      </c>
      <c r="E322" s="25" t="str">
        <f aca="false">IF($A322="","",SUMIFS(Timesheet!$E$5:$E$3004,Timesheet!$D$5:$D$3004,$A322,Timesheet!$A$5:$A$3004,"&gt;="&amp;Settings!$B$8,Timesheet!$A$5:$A$3004,"&lt;="&amp;Settings!$B$9))</f>
        <v/>
      </c>
      <c r="F322" s="25" t="str">
        <f aca="false">IF($A322="","",SUMIFS(Timesheet!$F$5:$F$3004,Timesheet!$D$5:$D$3004,$A322,Timesheet!$A$5:$A$3004,"&gt;="&amp;Settings!$B$8,Timesheet!$A$5:$A$3004,"&lt;="&amp;Settings!$B$9))</f>
        <v/>
      </c>
      <c r="G322" s="25" t="str">
        <f aca="false">IF($A322="","",SUMIFS(Timesheet!$G$5:$G$3004,Timesheet!$D$5:$D$3004,$A322,Timesheet!$A$5:$A$3004,"&gt;="&amp;Settings!$B$8,Timesheet!$A$5:$A$3004,"&lt;="&amp;Settings!$B$9))</f>
        <v/>
      </c>
      <c r="H322" s="25" t="str">
        <f aca="false">IF($A322="","",IF(D322="Monthly",MAX(0,Settings!$B$11-E322),0))</f>
        <v/>
      </c>
      <c r="I322" s="26" t="str">
        <f aca="false">IF($A322="","",N(INDEX(Workers!$L$5:$L$2004,MATCH($A322,Workers!$A$5:$A$2004,0))))</f>
        <v/>
      </c>
      <c r="J322" s="26" t="str">
        <f aca="false">IF($A322="","",N(INDEX(Workers!$M$5:$M$2004,MATCH($A322,Workers!$A$5:$A$2004,0))))</f>
        <v/>
      </c>
      <c r="K322" s="26" t="str">
        <f aca="false">IF($A322="","",IF(D322="Monthly",ROUND(MAX(0,(I322+J322)-(I322+J322)/Settings!$B$10*H322),2),0))</f>
        <v/>
      </c>
      <c r="L322" s="26" t="str">
        <f aca="false">IF($A322="","",IF(D322="Hourly",ROUND(F322*N(INDEX(Workers!$N$5:$N$2004,MATCH($A322,Workers!$A$5:$A$2004,0))),2),0))</f>
        <v/>
      </c>
      <c r="M322" s="26" t="str">
        <f aca="false">IF($A322="","",ROUND(G322*IF(D322="Hourly",N(INDEX(Workers!$N$5:$N$2004,MATCH($A322,Workers!$A$5:$A$2004,0))),I322/Settings!$B$10/Settings!$B$12)*Settings!$B$13,2))</f>
        <v/>
      </c>
      <c r="N322" s="26" t="str">
        <f aca="false">IF($A322="","",K322+L322+M322)</f>
        <v/>
      </c>
      <c r="O322" s="26" t="str">
        <f aca="false">IF($A322="","",SUMIFS(Deductions!$D$5:$D$2000,Deductions!$B$5:$B$2000,$A322,Deductions!$C$5:$C$2000,"Advance",Deductions!$E$5:$E$2000,"&gt;="&amp;Settings!$B$8,Deductions!$E$5:$E$2000,"&lt;="&amp;Settings!$B$9))</f>
        <v/>
      </c>
      <c r="P322" s="26" t="str">
        <f aca="false">IF($A322="","",SUMIFS(Deductions!$D$5:$D$2000,Deductions!$B$5:$B$2000,$A322,Deductions!$E$5:$E$2000,"&gt;="&amp;Settings!$B$8,Deductions!$E$5:$E$2000,"&lt;="&amp;Settings!$B$9)-O322)</f>
        <v/>
      </c>
      <c r="Q322" s="26" t="str">
        <f aca="false">IF($A322="","",O322+P322)</f>
        <v/>
      </c>
      <c r="R322" s="23" t="str">
        <f aca="false">IF($A322="","",N322-Q322)</f>
        <v/>
      </c>
      <c r="S322" s="24" t="str">
        <f aca="false">IF($A322="","",INDEX(Workers!$O$5:$O$2004,MATCH($A322,Workers!$A$5:$A$2004,0))&amp;"")</f>
        <v/>
      </c>
      <c r="T322" s="24" t="str">
        <f aca="false">IF($A322="","",INDEX(Workers!$P$5:$P$2004,MATCH($A322,Workers!$A$5:$A$2004,0))&amp;"")</f>
        <v/>
      </c>
      <c r="U322" s="24" t="str">
        <f aca="false">IF($A322="","",INDEX(Workers!$H$5:$H$2004,MATCH($A322,Workers!$A$5:$A$2004,0))&amp;"")</f>
        <v/>
      </c>
    </row>
    <row r="323" customFormat="false" ht="15" hidden="false" customHeight="false" outlineLevel="0" collapsed="false">
      <c r="A323" s="24" t="str">
        <f aca="false">IFERROR(INDEX(Workers!$A$5:$A$2004,MATCH(ROW()-4,Workers!$U$5:$U$2004,0)),"")</f>
        <v/>
      </c>
      <c r="B323" s="24" t="str">
        <f aca="false">IF($A323="","",INDEX(Workers!$B$5:$B$2004,MATCH($A323,Workers!$A$5:$A$2004,0)))</f>
        <v/>
      </c>
      <c r="C323" s="24" t="str">
        <f aca="false">IF($A323="","",INDEX(Workers!$E$5:$E$2004,MATCH($A323,Workers!$A$5:$A$2004,0)))</f>
        <v/>
      </c>
      <c r="D323" s="24" t="str">
        <f aca="false">IF($A323="","",INDEX(Workers!$K$5:$K$2004,MATCH($A323,Workers!$A$5:$A$2004,0)))</f>
        <v/>
      </c>
      <c r="E323" s="25" t="str">
        <f aca="false">IF($A323="","",SUMIFS(Timesheet!$E$5:$E$3004,Timesheet!$D$5:$D$3004,$A323,Timesheet!$A$5:$A$3004,"&gt;="&amp;Settings!$B$8,Timesheet!$A$5:$A$3004,"&lt;="&amp;Settings!$B$9))</f>
        <v/>
      </c>
      <c r="F323" s="25" t="str">
        <f aca="false">IF($A323="","",SUMIFS(Timesheet!$F$5:$F$3004,Timesheet!$D$5:$D$3004,$A323,Timesheet!$A$5:$A$3004,"&gt;="&amp;Settings!$B$8,Timesheet!$A$5:$A$3004,"&lt;="&amp;Settings!$B$9))</f>
        <v/>
      </c>
      <c r="G323" s="25" t="str">
        <f aca="false">IF($A323="","",SUMIFS(Timesheet!$G$5:$G$3004,Timesheet!$D$5:$D$3004,$A323,Timesheet!$A$5:$A$3004,"&gt;="&amp;Settings!$B$8,Timesheet!$A$5:$A$3004,"&lt;="&amp;Settings!$B$9))</f>
        <v/>
      </c>
      <c r="H323" s="25" t="str">
        <f aca="false">IF($A323="","",IF(D323="Monthly",MAX(0,Settings!$B$11-E323),0))</f>
        <v/>
      </c>
      <c r="I323" s="26" t="str">
        <f aca="false">IF($A323="","",N(INDEX(Workers!$L$5:$L$2004,MATCH($A323,Workers!$A$5:$A$2004,0))))</f>
        <v/>
      </c>
      <c r="J323" s="26" t="str">
        <f aca="false">IF($A323="","",N(INDEX(Workers!$M$5:$M$2004,MATCH($A323,Workers!$A$5:$A$2004,0))))</f>
        <v/>
      </c>
      <c r="K323" s="26" t="str">
        <f aca="false">IF($A323="","",IF(D323="Monthly",ROUND(MAX(0,(I323+J323)-(I323+J323)/Settings!$B$10*H323),2),0))</f>
        <v/>
      </c>
      <c r="L323" s="26" t="str">
        <f aca="false">IF($A323="","",IF(D323="Hourly",ROUND(F323*N(INDEX(Workers!$N$5:$N$2004,MATCH($A323,Workers!$A$5:$A$2004,0))),2),0))</f>
        <v/>
      </c>
      <c r="M323" s="26" t="str">
        <f aca="false">IF($A323="","",ROUND(G323*IF(D323="Hourly",N(INDEX(Workers!$N$5:$N$2004,MATCH($A323,Workers!$A$5:$A$2004,0))),I323/Settings!$B$10/Settings!$B$12)*Settings!$B$13,2))</f>
        <v/>
      </c>
      <c r="N323" s="26" t="str">
        <f aca="false">IF($A323="","",K323+L323+M323)</f>
        <v/>
      </c>
      <c r="O323" s="26" t="str">
        <f aca="false">IF($A323="","",SUMIFS(Deductions!$D$5:$D$2000,Deductions!$B$5:$B$2000,$A323,Deductions!$C$5:$C$2000,"Advance",Deductions!$E$5:$E$2000,"&gt;="&amp;Settings!$B$8,Deductions!$E$5:$E$2000,"&lt;="&amp;Settings!$B$9))</f>
        <v/>
      </c>
      <c r="P323" s="26" t="str">
        <f aca="false">IF($A323="","",SUMIFS(Deductions!$D$5:$D$2000,Deductions!$B$5:$B$2000,$A323,Deductions!$E$5:$E$2000,"&gt;="&amp;Settings!$B$8,Deductions!$E$5:$E$2000,"&lt;="&amp;Settings!$B$9)-O323)</f>
        <v/>
      </c>
      <c r="Q323" s="26" t="str">
        <f aca="false">IF($A323="","",O323+P323)</f>
        <v/>
      </c>
      <c r="R323" s="23" t="str">
        <f aca="false">IF($A323="","",N323-Q323)</f>
        <v/>
      </c>
      <c r="S323" s="24" t="str">
        <f aca="false">IF($A323="","",INDEX(Workers!$O$5:$O$2004,MATCH($A323,Workers!$A$5:$A$2004,0))&amp;"")</f>
        <v/>
      </c>
      <c r="T323" s="24" t="str">
        <f aca="false">IF($A323="","",INDEX(Workers!$P$5:$P$2004,MATCH($A323,Workers!$A$5:$A$2004,0))&amp;"")</f>
        <v/>
      </c>
      <c r="U323" s="24" t="str">
        <f aca="false">IF($A323="","",INDEX(Workers!$H$5:$H$2004,MATCH($A323,Workers!$A$5:$A$2004,0))&amp;"")</f>
        <v/>
      </c>
    </row>
    <row r="324" customFormat="false" ht="15" hidden="false" customHeight="false" outlineLevel="0" collapsed="false">
      <c r="A324" s="24" t="str">
        <f aca="false">IFERROR(INDEX(Workers!$A$5:$A$2004,MATCH(ROW()-4,Workers!$U$5:$U$2004,0)),"")</f>
        <v/>
      </c>
      <c r="B324" s="24" t="str">
        <f aca="false">IF($A324="","",INDEX(Workers!$B$5:$B$2004,MATCH($A324,Workers!$A$5:$A$2004,0)))</f>
        <v/>
      </c>
      <c r="C324" s="24" t="str">
        <f aca="false">IF($A324="","",INDEX(Workers!$E$5:$E$2004,MATCH($A324,Workers!$A$5:$A$2004,0)))</f>
        <v/>
      </c>
      <c r="D324" s="24" t="str">
        <f aca="false">IF($A324="","",INDEX(Workers!$K$5:$K$2004,MATCH($A324,Workers!$A$5:$A$2004,0)))</f>
        <v/>
      </c>
      <c r="E324" s="25" t="str">
        <f aca="false">IF($A324="","",SUMIFS(Timesheet!$E$5:$E$3004,Timesheet!$D$5:$D$3004,$A324,Timesheet!$A$5:$A$3004,"&gt;="&amp;Settings!$B$8,Timesheet!$A$5:$A$3004,"&lt;="&amp;Settings!$B$9))</f>
        <v/>
      </c>
      <c r="F324" s="25" t="str">
        <f aca="false">IF($A324="","",SUMIFS(Timesheet!$F$5:$F$3004,Timesheet!$D$5:$D$3004,$A324,Timesheet!$A$5:$A$3004,"&gt;="&amp;Settings!$B$8,Timesheet!$A$5:$A$3004,"&lt;="&amp;Settings!$B$9))</f>
        <v/>
      </c>
      <c r="G324" s="25" t="str">
        <f aca="false">IF($A324="","",SUMIFS(Timesheet!$G$5:$G$3004,Timesheet!$D$5:$D$3004,$A324,Timesheet!$A$5:$A$3004,"&gt;="&amp;Settings!$B$8,Timesheet!$A$5:$A$3004,"&lt;="&amp;Settings!$B$9))</f>
        <v/>
      </c>
      <c r="H324" s="25" t="str">
        <f aca="false">IF($A324="","",IF(D324="Monthly",MAX(0,Settings!$B$11-E324),0))</f>
        <v/>
      </c>
      <c r="I324" s="26" t="str">
        <f aca="false">IF($A324="","",N(INDEX(Workers!$L$5:$L$2004,MATCH($A324,Workers!$A$5:$A$2004,0))))</f>
        <v/>
      </c>
      <c r="J324" s="26" t="str">
        <f aca="false">IF($A324="","",N(INDEX(Workers!$M$5:$M$2004,MATCH($A324,Workers!$A$5:$A$2004,0))))</f>
        <v/>
      </c>
      <c r="K324" s="26" t="str">
        <f aca="false">IF($A324="","",IF(D324="Monthly",ROUND(MAX(0,(I324+J324)-(I324+J324)/Settings!$B$10*H324),2),0))</f>
        <v/>
      </c>
      <c r="L324" s="26" t="str">
        <f aca="false">IF($A324="","",IF(D324="Hourly",ROUND(F324*N(INDEX(Workers!$N$5:$N$2004,MATCH($A324,Workers!$A$5:$A$2004,0))),2),0))</f>
        <v/>
      </c>
      <c r="M324" s="26" t="str">
        <f aca="false">IF($A324="","",ROUND(G324*IF(D324="Hourly",N(INDEX(Workers!$N$5:$N$2004,MATCH($A324,Workers!$A$5:$A$2004,0))),I324/Settings!$B$10/Settings!$B$12)*Settings!$B$13,2))</f>
        <v/>
      </c>
      <c r="N324" s="26" t="str">
        <f aca="false">IF($A324="","",K324+L324+M324)</f>
        <v/>
      </c>
      <c r="O324" s="26" t="str">
        <f aca="false">IF($A324="","",SUMIFS(Deductions!$D$5:$D$2000,Deductions!$B$5:$B$2000,$A324,Deductions!$C$5:$C$2000,"Advance",Deductions!$E$5:$E$2000,"&gt;="&amp;Settings!$B$8,Deductions!$E$5:$E$2000,"&lt;="&amp;Settings!$B$9))</f>
        <v/>
      </c>
      <c r="P324" s="26" t="str">
        <f aca="false">IF($A324="","",SUMIFS(Deductions!$D$5:$D$2000,Deductions!$B$5:$B$2000,$A324,Deductions!$E$5:$E$2000,"&gt;="&amp;Settings!$B$8,Deductions!$E$5:$E$2000,"&lt;="&amp;Settings!$B$9)-O324)</f>
        <v/>
      </c>
      <c r="Q324" s="26" t="str">
        <f aca="false">IF($A324="","",O324+P324)</f>
        <v/>
      </c>
      <c r="R324" s="23" t="str">
        <f aca="false">IF($A324="","",N324-Q324)</f>
        <v/>
      </c>
      <c r="S324" s="24" t="str">
        <f aca="false">IF($A324="","",INDEX(Workers!$O$5:$O$2004,MATCH($A324,Workers!$A$5:$A$2004,0))&amp;"")</f>
        <v/>
      </c>
      <c r="T324" s="24" t="str">
        <f aca="false">IF($A324="","",INDEX(Workers!$P$5:$P$2004,MATCH($A324,Workers!$A$5:$A$2004,0))&amp;"")</f>
        <v/>
      </c>
      <c r="U324" s="24" t="str">
        <f aca="false">IF($A324="","",INDEX(Workers!$H$5:$H$2004,MATCH($A324,Workers!$A$5:$A$2004,0))&amp;"")</f>
        <v/>
      </c>
    </row>
    <row r="325" customFormat="false" ht="15" hidden="false" customHeight="false" outlineLevel="0" collapsed="false">
      <c r="A325" s="24" t="str">
        <f aca="false">IFERROR(INDEX(Workers!$A$5:$A$2004,MATCH(ROW()-4,Workers!$U$5:$U$2004,0)),"")</f>
        <v/>
      </c>
      <c r="B325" s="24" t="str">
        <f aca="false">IF($A325="","",INDEX(Workers!$B$5:$B$2004,MATCH($A325,Workers!$A$5:$A$2004,0)))</f>
        <v/>
      </c>
      <c r="C325" s="24" t="str">
        <f aca="false">IF($A325="","",INDEX(Workers!$E$5:$E$2004,MATCH($A325,Workers!$A$5:$A$2004,0)))</f>
        <v/>
      </c>
      <c r="D325" s="24" t="str">
        <f aca="false">IF($A325="","",INDEX(Workers!$K$5:$K$2004,MATCH($A325,Workers!$A$5:$A$2004,0)))</f>
        <v/>
      </c>
      <c r="E325" s="25" t="str">
        <f aca="false">IF($A325="","",SUMIFS(Timesheet!$E$5:$E$3004,Timesheet!$D$5:$D$3004,$A325,Timesheet!$A$5:$A$3004,"&gt;="&amp;Settings!$B$8,Timesheet!$A$5:$A$3004,"&lt;="&amp;Settings!$B$9))</f>
        <v/>
      </c>
      <c r="F325" s="25" t="str">
        <f aca="false">IF($A325="","",SUMIFS(Timesheet!$F$5:$F$3004,Timesheet!$D$5:$D$3004,$A325,Timesheet!$A$5:$A$3004,"&gt;="&amp;Settings!$B$8,Timesheet!$A$5:$A$3004,"&lt;="&amp;Settings!$B$9))</f>
        <v/>
      </c>
      <c r="G325" s="25" t="str">
        <f aca="false">IF($A325="","",SUMIFS(Timesheet!$G$5:$G$3004,Timesheet!$D$5:$D$3004,$A325,Timesheet!$A$5:$A$3004,"&gt;="&amp;Settings!$B$8,Timesheet!$A$5:$A$3004,"&lt;="&amp;Settings!$B$9))</f>
        <v/>
      </c>
      <c r="H325" s="25" t="str">
        <f aca="false">IF($A325="","",IF(D325="Monthly",MAX(0,Settings!$B$11-E325),0))</f>
        <v/>
      </c>
      <c r="I325" s="26" t="str">
        <f aca="false">IF($A325="","",N(INDEX(Workers!$L$5:$L$2004,MATCH($A325,Workers!$A$5:$A$2004,0))))</f>
        <v/>
      </c>
      <c r="J325" s="26" t="str">
        <f aca="false">IF($A325="","",N(INDEX(Workers!$M$5:$M$2004,MATCH($A325,Workers!$A$5:$A$2004,0))))</f>
        <v/>
      </c>
      <c r="K325" s="26" t="str">
        <f aca="false">IF($A325="","",IF(D325="Monthly",ROUND(MAX(0,(I325+J325)-(I325+J325)/Settings!$B$10*H325),2),0))</f>
        <v/>
      </c>
      <c r="L325" s="26" t="str">
        <f aca="false">IF($A325="","",IF(D325="Hourly",ROUND(F325*N(INDEX(Workers!$N$5:$N$2004,MATCH($A325,Workers!$A$5:$A$2004,0))),2),0))</f>
        <v/>
      </c>
      <c r="M325" s="26" t="str">
        <f aca="false">IF($A325="","",ROUND(G325*IF(D325="Hourly",N(INDEX(Workers!$N$5:$N$2004,MATCH($A325,Workers!$A$5:$A$2004,0))),I325/Settings!$B$10/Settings!$B$12)*Settings!$B$13,2))</f>
        <v/>
      </c>
      <c r="N325" s="26" t="str">
        <f aca="false">IF($A325="","",K325+L325+M325)</f>
        <v/>
      </c>
      <c r="O325" s="26" t="str">
        <f aca="false">IF($A325="","",SUMIFS(Deductions!$D$5:$D$2000,Deductions!$B$5:$B$2000,$A325,Deductions!$C$5:$C$2000,"Advance",Deductions!$E$5:$E$2000,"&gt;="&amp;Settings!$B$8,Deductions!$E$5:$E$2000,"&lt;="&amp;Settings!$B$9))</f>
        <v/>
      </c>
      <c r="P325" s="26" t="str">
        <f aca="false">IF($A325="","",SUMIFS(Deductions!$D$5:$D$2000,Deductions!$B$5:$B$2000,$A325,Deductions!$E$5:$E$2000,"&gt;="&amp;Settings!$B$8,Deductions!$E$5:$E$2000,"&lt;="&amp;Settings!$B$9)-O325)</f>
        <v/>
      </c>
      <c r="Q325" s="26" t="str">
        <f aca="false">IF($A325="","",O325+P325)</f>
        <v/>
      </c>
      <c r="R325" s="23" t="str">
        <f aca="false">IF($A325="","",N325-Q325)</f>
        <v/>
      </c>
      <c r="S325" s="24" t="str">
        <f aca="false">IF($A325="","",INDEX(Workers!$O$5:$O$2004,MATCH($A325,Workers!$A$5:$A$2004,0))&amp;"")</f>
        <v/>
      </c>
      <c r="T325" s="24" t="str">
        <f aca="false">IF($A325="","",INDEX(Workers!$P$5:$P$2004,MATCH($A325,Workers!$A$5:$A$2004,0))&amp;"")</f>
        <v/>
      </c>
      <c r="U325" s="24" t="str">
        <f aca="false">IF($A325="","",INDEX(Workers!$H$5:$H$2004,MATCH($A325,Workers!$A$5:$A$2004,0))&amp;"")</f>
        <v/>
      </c>
    </row>
    <row r="326" customFormat="false" ht="15" hidden="false" customHeight="false" outlineLevel="0" collapsed="false">
      <c r="A326" s="24" t="str">
        <f aca="false">IFERROR(INDEX(Workers!$A$5:$A$2004,MATCH(ROW()-4,Workers!$U$5:$U$2004,0)),"")</f>
        <v/>
      </c>
      <c r="B326" s="24" t="str">
        <f aca="false">IF($A326="","",INDEX(Workers!$B$5:$B$2004,MATCH($A326,Workers!$A$5:$A$2004,0)))</f>
        <v/>
      </c>
      <c r="C326" s="24" t="str">
        <f aca="false">IF($A326="","",INDEX(Workers!$E$5:$E$2004,MATCH($A326,Workers!$A$5:$A$2004,0)))</f>
        <v/>
      </c>
      <c r="D326" s="24" t="str">
        <f aca="false">IF($A326="","",INDEX(Workers!$K$5:$K$2004,MATCH($A326,Workers!$A$5:$A$2004,0)))</f>
        <v/>
      </c>
      <c r="E326" s="25" t="str">
        <f aca="false">IF($A326="","",SUMIFS(Timesheet!$E$5:$E$3004,Timesheet!$D$5:$D$3004,$A326,Timesheet!$A$5:$A$3004,"&gt;="&amp;Settings!$B$8,Timesheet!$A$5:$A$3004,"&lt;="&amp;Settings!$B$9))</f>
        <v/>
      </c>
      <c r="F326" s="25" t="str">
        <f aca="false">IF($A326="","",SUMIFS(Timesheet!$F$5:$F$3004,Timesheet!$D$5:$D$3004,$A326,Timesheet!$A$5:$A$3004,"&gt;="&amp;Settings!$B$8,Timesheet!$A$5:$A$3004,"&lt;="&amp;Settings!$B$9))</f>
        <v/>
      </c>
      <c r="G326" s="25" t="str">
        <f aca="false">IF($A326="","",SUMIFS(Timesheet!$G$5:$G$3004,Timesheet!$D$5:$D$3004,$A326,Timesheet!$A$5:$A$3004,"&gt;="&amp;Settings!$B$8,Timesheet!$A$5:$A$3004,"&lt;="&amp;Settings!$B$9))</f>
        <v/>
      </c>
      <c r="H326" s="25" t="str">
        <f aca="false">IF($A326="","",IF(D326="Monthly",MAX(0,Settings!$B$11-E326),0))</f>
        <v/>
      </c>
      <c r="I326" s="26" t="str">
        <f aca="false">IF($A326="","",N(INDEX(Workers!$L$5:$L$2004,MATCH($A326,Workers!$A$5:$A$2004,0))))</f>
        <v/>
      </c>
      <c r="J326" s="26" t="str">
        <f aca="false">IF($A326="","",N(INDEX(Workers!$M$5:$M$2004,MATCH($A326,Workers!$A$5:$A$2004,0))))</f>
        <v/>
      </c>
      <c r="K326" s="26" t="str">
        <f aca="false">IF($A326="","",IF(D326="Monthly",ROUND(MAX(0,(I326+J326)-(I326+J326)/Settings!$B$10*H326),2),0))</f>
        <v/>
      </c>
      <c r="L326" s="26" t="str">
        <f aca="false">IF($A326="","",IF(D326="Hourly",ROUND(F326*N(INDEX(Workers!$N$5:$N$2004,MATCH($A326,Workers!$A$5:$A$2004,0))),2),0))</f>
        <v/>
      </c>
      <c r="M326" s="26" t="str">
        <f aca="false">IF($A326="","",ROUND(G326*IF(D326="Hourly",N(INDEX(Workers!$N$5:$N$2004,MATCH($A326,Workers!$A$5:$A$2004,0))),I326/Settings!$B$10/Settings!$B$12)*Settings!$B$13,2))</f>
        <v/>
      </c>
      <c r="N326" s="26" t="str">
        <f aca="false">IF($A326="","",K326+L326+M326)</f>
        <v/>
      </c>
      <c r="O326" s="26" t="str">
        <f aca="false">IF($A326="","",SUMIFS(Deductions!$D$5:$D$2000,Deductions!$B$5:$B$2000,$A326,Deductions!$C$5:$C$2000,"Advance",Deductions!$E$5:$E$2000,"&gt;="&amp;Settings!$B$8,Deductions!$E$5:$E$2000,"&lt;="&amp;Settings!$B$9))</f>
        <v/>
      </c>
      <c r="P326" s="26" t="str">
        <f aca="false">IF($A326="","",SUMIFS(Deductions!$D$5:$D$2000,Deductions!$B$5:$B$2000,$A326,Deductions!$E$5:$E$2000,"&gt;="&amp;Settings!$B$8,Deductions!$E$5:$E$2000,"&lt;="&amp;Settings!$B$9)-O326)</f>
        <v/>
      </c>
      <c r="Q326" s="26" t="str">
        <f aca="false">IF($A326="","",O326+P326)</f>
        <v/>
      </c>
      <c r="R326" s="23" t="str">
        <f aca="false">IF($A326="","",N326-Q326)</f>
        <v/>
      </c>
      <c r="S326" s="24" t="str">
        <f aca="false">IF($A326="","",INDEX(Workers!$O$5:$O$2004,MATCH($A326,Workers!$A$5:$A$2004,0))&amp;"")</f>
        <v/>
      </c>
      <c r="T326" s="24" t="str">
        <f aca="false">IF($A326="","",INDEX(Workers!$P$5:$P$2004,MATCH($A326,Workers!$A$5:$A$2004,0))&amp;"")</f>
        <v/>
      </c>
      <c r="U326" s="24" t="str">
        <f aca="false">IF($A326="","",INDEX(Workers!$H$5:$H$2004,MATCH($A326,Workers!$A$5:$A$2004,0))&amp;"")</f>
        <v/>
      </c>
    </row>
    <row r="327" customFormat="false" ht="15" hidden="false" customHeight="false" outlineLevel="0" collapsed="false">
      <c r="A327" s="24" t="str">
        <f aca="false">IFERROR(INDEX(Workers!$A$5:$A$2004,MATCH(ROW()-4,Workers!$U$5:$U$2004,0)),"")</f>
        <v/>
      </c>
      <c r="B327" s="24" t="str">
        <f aca="false">IF($A327="","",INDEX(Workers!$B$5:$B$2004,MATCH($A327,Workers!$A$5:$A$2004,0)))</f>
        <v/>
      </c>
      <c r="C327" s="24" t="str">
        <f aca="false">IF($A327="","",INDEX(Workers!$E$5:$E$2004,MATCH($A327,Workers!$A$5:$A$2004,0)))</f>
        <v/>
      </c>
      <c r="D327" s="24" t="str">
        <f aca="false">IF($A327="","",INDEX(Workers!$K$5:$K$2004,MATCH($A327,Workers!$A$5:$A$2004,0)))</f>
        <v/>
      </c>
      <c r="E327" s="25" t="str">
        <f aca="false">IF($A327="","",SUMIFS(Timesheet!$E$5:$E$3004,Timesheet!$D$5:$D$3004,$A327,Timesheet!$A$5:$A$3004,"&gt;="&amp;Settings!$B$8,Timesheet!$A$5:$A$3004,"&lt;="&amp;Settings!$B$9))</f>
        <v/>
      </c>
      <c r="F327" s="25" t="str">
        <f aca="false">IF($A327="","",SUMIFS(Timesheet!$F$5:$F$3004,Timesheet!$D$5:$D$3004,$A327,Timesheet!$A$5:$A$3004,"&gt;="&amp;Settings!$B$8,Timesheet!$A$5:$A$3004,"&lt;="&amp;Settings!$B$9))</f>
        <v/>
      </c>
      <c r="G327" s="25" t="str">
        <f aca="false">IF($A327="","",SUMIFS(Timesheet!$G$5:$G$3004,Timesheet!$D$5:$D$3004,$A327,Timesheet!$A$5:$A$3004,"&gt;="&amp;Settings!$B$8,Timesheet!$A$5:$A$3004,"&lt;="&amp;Settings!$B$9))</f>
        <v/>
      </c>
      <c r="H327" s="25" t="str">
        <f aca="false">IF($A327="","",IF(D327="Monthly",MAX(0,Settings!$B$11-E327),0))</f>
        <v/>
      </c>
      <c r="I327" s="26" t="str">
        <f aca="false">IF($A327="","",N(INDEX(Workers!$L$5:$L$2004,MATCH($A327,Workers!$A$5:$A$2004,0))))</f>
        <v/>
      </c>
      <c r="J327" s="26" t="str">
        <f aca="false">IF($A327="","",N(INDEX(Workers!$M$5:$M$2004,MATCH($A327,Workers!$A$5:$A$2004,0))))</f>
        <v/>
      </c>
      <c r="K327" s="26" t="str">
        <f aca="false">IF($A327="","",IF(D327="Monthly",ROUND(MAX(0,(I327+J327)-(I327+J327)/Settings!$B$10*H327),2),0))</f>
        <v/>
      </c>
      <c r="L327" s="26" t="str">
        <f aca="false">IF($A327="","",IF(D327="Hourly",ROUND(F327*N(INDEX(Workers!$N$5:$N$2004,MATCH($A327,Workers!$A$5:$A$2004,0))),2),0))</f>
        <v/>
      </c>
      <c r="M327" s="26" t="str">
        <f aca="false">IF($A327="","",ROUND(G327*IF(D327="Hourly",N(INDEX(Workers!$N$5:$N$2004,MATCH($A327,Workers!$A$5:$A$2004,0))),I327/Settings!$B$10/Settings!$B$12)*Settings!$B$13,2))</f>
        <v/>
      </c>
      <c r="N327" s="26" t="str">
        <f aca="false">IF($A327="","",K327+L327+M327)</f>
        <v/>
      </c>
      <c r="O327" s="26" t="str">
        <f aca="false">IF($A327="","",SUMIFS(Deductions!$D$5:$D$2000,Deductions!$B$5:$B$2000,$A327,Deductions!$C$5:$C$2000,"Advance",Deductions!$E$5:$E$2000,"&gt;="&amp;Settings!$B$8,Deductions!$E$5:$E$2000,"&lt;="&amp;Settings!$B$9))</f>
        <v/>
      </c>
      <c r="P327" s="26" t="str">
        <f aca="false">IF($A327="","",SUMIFS(Deductions!$D$5:$D$2000,Deductions!$B$5:$B$2000,$A327,Deductions!$E$5:$E$2000,"&gt;="&amp;Settings!$B$8,Deductions!$E$5:$E$2000,"&lt;="&amp;Settings!$B$9)-O327)</f>
        <v/>
      </c>
      <c r="Q327" s="26" t="str">
        <f aca="false">IF($A327="","",O327+P327)</f>
        <v/>
      </c>
      <c r="R327" s="23" t="str">
        <f aca="false">IF($A327="","",N327-Q327)</f>
        <v/>
      </c>
      <c r="S327" s="24" t="str">
        <f aca="false">IF($A327="","",INDEX(Workers!$O$5:$O$2004,MATCH($A327,Workers!$A$5:$A$2004,0))&amp;"")</f>
        <v/>
      </c>
      <c r="T327" s="24" t="str">
        <f aca="false">IF($A327="","",INDEX(Workers!$P$5:$P$2004,MATCH($A327,Workers!$A$5:$A$2004,0))&amp;"")</f>
        <v/>
      </c>
      <c r="U327" s="24" t="str">
        <f aca="false">IF($A327="","",INDEX(Workers!$H$5:$H$2004,MATCH($A327,Workers!$A$5:$A$2004,0))&amp;"")</f>
        <v/>
      </c>
    </row>
    <row r="328" customFormat="false" ht="15" hidden="false" customHeight="false" outlineLevel="0" collapsed="false">
      <c r="A328" s="24" t="str">
        <f aca="false">IFERROR(INDEX(Workers!$A$5:$A$2004,MATCH(ROW()-4,Workers!$U$5:$U$2004,0)),"")</f>
        <v/>
      </c>
      <c r="B328" s="24" t="str">
        <f aca="false">IF($A328="","",INDEX(Workers!$B$5:$B$2004,MATCH($A328,Workers!$A$5:$A$2004,0)))</f>
        <v/>
      </c>
      <c r="C328" s="24" t="str">
        <f aca="false">IF($A328="","",INDEX(Workers!$E$5:$E$2004,MATCH($A328,Workers!$A$5:$A$2004,0)))</f>
        <v/>
      </c>
      <c r="D328" s="24" t="str">
        <f aca="false">IF($A328="","",INDEX(Workers!$K$5:$K$2004,MATCH($A328,Workers!$A$5:$A$2004,0)))</f>
        <v/>
      </c>
      <c r="E328" s="25" t="str">
        <f aca="false">IF($A328="","",SUMIFS(Timesheet!$E$5:$E$3004,Timesheet!$D$5:$D$3004,$A328,Timesheet!$A$5:$A$3004,"&gt;="&amp;Settings!$B$8,Timesheet!$A$5:$A$3004,"&lt;="&amp;Settings!$B$9))</f>
        <v/>
      </c>
      <c r="F328" s="25" t="str">
        <f aca="false">IF($A328="","",SUMIFS(Timesheet!$F$5:$F$3004,Timesheet!$D$5:$D$3004,$A328,Timesheet!$A$5:$A$3004,"&gt;="&amp;Settings!$B$8,Timesheet!$A$5:$A$3004,"&lt;="&amp;Settings!$B$9))</f>
        <v/>
      </c>
      <c r="G328" s="25" t="str">
        <f aca="false">IF($A328="","",SUMIFS(Timesheet!$G$5:$G$3004,Timesheet!$D$5:$D$3004,$A328,Timesheet!$A$5:$A$3004,"&gt;="&amp;Settings!$B$8,Timesheet!$A$5:$A$3004,"&lt;="&amp;Settings!$B$9))</f>
        <v/>
      </c>
      <c r="H328" s="25" t="str">
        <f aca="false">IF($A328="","",IF(D328="Monthly",MAX(0,Settings!$B$11-E328),0))</f>
        <v/>
      </c>
      <c r="I328" s="26" t="str">
        <f aca="false">IF($A328="","",N(INDEX(Workers!$L$5:$L$2004,MATCH($A328,Workers!$A$5:$A$2004,0))))</f>
        <v/>
      </c>
      <c r="J328" s="26" t="str">
        <f aca="false">IF($A328="","",N(INDEX(Workers!$M$5:$M$2004,MATCH($A328,Workers!$A$5:$A$2004,0))))</f>
        <v/>
      </c>
      <c r="K328" s="26" t="str">
        <f aca="false">IF($A328="","",IF(D328="Monthly",ROUND(MAX(0,(I328+J328)-(I328+J328)/Settings!$B$10*H328),2),0))</f>
        <v/>
      </c>
      <c r="L328" s="26" t="str">
        <f aca="false">IF($A328="","",IF(D328="Hourly",ROUND(F328*N(INDEX(Workers!$N$5:$N$2004,MATCH($A328,Workers!$A$5:$A$2004,0))),2),0))</f>
        <v/>
      </c>
      <c r="M328" s="26" t="str">
        <f aca="false">IF($A328="","",ROUND(G328*IF(D328="Hourly",N(INDEX(Workers!$N$5:$N$2004,MATCH($A328,Workers!$A$5:$A$2004,0))),I328/Settings!$B$10/Settings!$B$12)*Settings!$B$13,2))</f>
        <v/>
      </c>
      <c r="N328" s="26" t="str">
        <f aca="false">IF($A328="","",K328+L328+M328)</f>
        <v/>
      </c>
      <c r="O328" s="26" t="str">
        <f aca="false">IF($A328="","",SUMIFS(Deductions!$D$5:$D$2000,Deductions!$B$5:$B$2000,$A328,Deductions!$C$5:$C$2000,"Advance",Deductions!$E$5:$E$2000,"&gt;="&amp;Settings!$B$8,Deductions!$E$5:$E$2000,"&lt;="&amp;Settings!$B$9))</f>
        <v/>
      </c>
      <c r="P328" s="26" t="str">
        <f aca="false">IF($A328="","",SUMIFS(Deductions!$D$5:$D$2000,Deductions!$B$5:$B$2000,$A328,Deductions!$E$5:$E$2000,"&gt;="&amp;Settings!$B$8,Deductions!$E$5:$E$2000,"&lt;="&amp;Settings!$B$9)-O328)</f>
        <v/>
      </c>
      <c r="Q328" s="26" t="str">
        <f aca="false">IF($A328="","",O328+P328)</f>
        <v/>
      </c>
      <c r="R328" s="23" t="str">
        <f aca="false">IF($A328="","",N328-Q328)</f>
        <v/>
      </c>
      <c r="S328" s="24" t="str">
        <f aca="false">IF($A328="","",INDEX(Workers!$O$5:$O$2004,MATCH($A328,Workers!$A$5:$A$2004,0))&amp;"")</f>
        <v/>
      </c>
      <c r="T328" s="24" t="str">
        <f aca="false">IF($A328="","",INDEX(Workers!$P$5:$P$2004,MATCH($A328,Workers!$A$5:$A$2004,0))&amp;"")</f>
        <v/>
      </c>
      <c r="U328" s="24" t="str">
        <f aca="false">IF($A328="","",INDEX(Workers!$H$5:$H$2004,MATCH($A328,Workers!$A$5:$A$2004,0))&amp;"")</f>
        <v/>
      </c>
    </row>
    <row r="329" customFormat="false" ht="15" hidden="false" customHeight="false" outlineLevel="0" collapsed="false">
      <c r="A329" s="24" t="str">
        <f aca="false">IFERROR(INDEX(Workers!$A$5:$A$2004,MATCH(ROW()-4,Workers!$U$5:$U$2004,0)),"")</f>
        <v/>
      </c>
      <c r="B329" s="24" t="str">
        <f aca="false">IF($A329="","",INDEX(Workers!$B$5:$B$2004,MATCH($A329,Workers!$A$5:$A$2004,0)))</f>
        <v/>
      </c>
      <c r="C329" s="24" t="str">
        <f aca="false">IF($A329="","",INDEX(Workers!$E$5:$E$2004,MATCH($A329,Workers!$A$5:$A$2004,0)))</f>
        <v/>
      </c>
      <c r="D329" s="24" t="str">
        <f aca="false">IF($A329="","",INDEX(Workers!$K$5:$K$2004,MATCH($A329,Workers!$A$5:$A$2004,0)))</f>
        <v/>
      </c>
      <c r="E329" s="25" t="str">
        <f aca="false">IF($A329="","",SUMIFS(Timesheet!$E$5:$E$3004,Timesheet!$D$5:$D$3004,$A329,Timesheet!$A$5:$A$3004,"&gt;="&amp;Settings!$B$8,Timesheet!$A$5:$A$3004,"&lt;="&amp;Settings!$B$9))</f>
        <v/>
      </c>
      <c r="F329" s="25" t="str">
        <f aca="false">IF($A329="","",SUMIFS(Timesheet!$F$5:$F$3004,Timesheet!$D$5:$D$3004,$A329,Timesheet!$A$5:$A$3004,"&gt;="&amp;Settings!$B$8,Timesheet!$A$5:$A$3004,"&lt;="&amp;Settings!$B$9))</f>
        <v/>
      </c>
      <c r="G329" s="25" t="str">
        <f aca="false">IF($A329="","",SUMIFS(Timesheet!$G$5:$G$3004,Timesheet!$D$5:$D$3004,$A329,Timesheet!$A$5:$A$3004,"&gt;="&amp;Settings!$B$8,Timesheet!$A$5:$A$3004,"&lt;="&amp;Settings!$B$9))</f>
        <v/>
      </c>
      <c r="H329" s="25" t="str">
        <f aca="false">IF($A329="","",IF(D329="Monthly",MAX(0,Settings!$B$11-E329),0))</f>
        <v/>
      </c>
      <c r="I329" s="26" t="str">
        <f aca="false">IF($A329="","",N(INDEX(Workers!$L$5:$L$2004,MATCH($A329,Workers!$A$5:$A$2004,0))))</f>
        <v/>
      </c>
      <c r="J329" s="26" t="str">
        <f aca="false">IF($A329="","",N(INDEX(Workers!$M$5:$M$2004,MATCH($A329,Workers!$A$5:$A$2004,0))))</f>
        <v/>
      </c>
      <c r="K329" s="26" t="str">
        <f aca="false">IF($A329="","",IF(D329="Monthly",ROUND(MAX(0,(I329+J329)-(I329+J329)/Settings!$B$10*H329),2),0))</f>
        <v/>
      </c>
      <c r="L329" s="26" t="str">
        <f aca="false">IF($A329="","",IF(D329="Hourly",ROUND(F329*N(INDEX(Workers!$N$5:$N$2004,MATCH($A329,Workers!$A$5:$A$2004,0))),2),0))</f>
        <v/>
      </c>
      <c r="M329" s="26" t="str">
        <f aca="false">IF($A329="","",ROUND(G329*IF(D329="Hourly",N(INDEX(Workers!$N$5:$N$2004,MATCH($A329,Workers!$A$5:$A$2004,0))),I329/Settings!$B$10/Settings!$B$12)*Settings!$B$13,2))</f>
        <v/>
      </c>
      <c r="N329" s="26" t="str">
        <f aca="false">IF($A329="","",K329+L329+M329)</f>
        <v/>
      </c>
      <c r="O329" s="26" t="str">
        <f aca="false">IF($A329="","",SUMIFS(Deductions!$D$5:$D$2000,Deductions!$B$5:$B$2000,$A329,Deductions!$C$5:$C$2000,"Advance",Deductions!$E$5:$E$2000,"&gt;="&amp;Settings!$B$8,Deductions!$E$5:$E$2000,"&lt;="&amp;Settings!$B$9))</f>
        <v/>
      </c>
      <c r="P329" s="26" t="str">
        <f aca="false">IF($A329="","",SUMIFS(Deductions!$D$5:$D$2000,Deductions!$B$5:$B$2000,$A329,Deductions!$E$5:$E$2000,"&gt;="&amp;Settings!$B$8,Deductions!$E$5:$E$2000,"&lt;="&amp;Settings!$B$9)-O329)</f>
        <v/>
      </c>
      <c r="Q329" s="26" t="str">
        <f aca="false">IF($A329="","",O329+P329)</f>
        <v/>
      </c>
      <c r="R329" s="23" t="str">
        <f aca="false">IF($A329="","",N329-Q329)</f>
        <v/>
      </c>
      <c r="S329" s="24" t="str">
        <f aca="false">IF($A329="","",INDEX(Workers!$O$5:$O$2004,MATCH($A329,Workers!$A$5:$A$2004,0))&amp;"")</f>
        <v/>
      </c>
      <c r="T329" s="24" t="str">
        <f aca="false">IF($A329="","",INDEX(Workers!$P$5:$P$2004,MATCH($A329,Workers!$A$5:$A$2004,0))&amp;"")</f>
        <v/>
      </c>
      <c r="U329" s="24" t="str">
        <f aca="false">IF($A329="","",INDEX(Workers!$H$5:$H$2004,MATCH($A329,Workers!$A$5:$A$2004,0))&amp;"")</f>
        <v/>
      </c>
    </row>
    <row r="330" customFormat="false" ht="15" hidden="false" customHeight="false" outlineLevel="0" collapsed="false">
      <c r="A330" s="24" t="str">
        <f aca="false">IFERROR(INDEX(Workers!$A$5:$A$2004,MATCH(ROW()-4,Workers!$U$5:$U$2004,0)),"")</f>
        <v/>
      </c>
      <c r="B330" s="24" t="str">
        <f aca="false">IF($A330="","",INDEX(Workers!$B$5:$B$2004,MATCH($A330,Workers!$A$5:$A$2004,0)))</f>
        <v/>
      </c>
      <c r="C330" s="24" t="str">
        <f aca="false">IF($A330="","",INDEX(Workers!$E$5:$E$2004,MATCH($A330,Workers!$A$5:$A$2004,0)))</f>
        <v/>
      </c>
      <c r="D330" s="24" t="str">
        <f aca="false">IF($A330="","",INDEX(Workers!$K$5:$K$2004,MATCH($A330,Workers!$A$5:$A$2004,0)))</f>
        <v/>
      </c>
      <c r="E330" s="25" t="str">
        <f aca="false">IF($A330="","",SUMIFS(Timesheet!$E$5:$E$3004,Timesheet!$D$5:$D$3004,$A330,Timesheet!$A$5:$A$3004,"&gt;="&amp;Settings!$B$8,Timesheet!$A$5:$A$3004,"&lt;="&amp;Settings!$B$9))</f>
        <v/>
      </c>
      <c r="F330" s="25" t="str">
        <f aca="false">IF($A330="","",SUMIFS(Timesheet!$F$5:$F$3004,Timesheet!$D$5:$D$3004,$A330,Timesheet!$A$5:$A$3004,"&gt;="&amp;Settings!$B$8,Timesheet!$A$5:$A$3004,"&lt;="&amp;Settings!$B$9))</f>
        <v/>
      </c>
      <c r="G330" s="25" t="str">
        <f aca="false">IF($A330="","",SUMIFS(Timesheet!$G$5:$G$3004,Timesheet!$D$5:$D$3004,$A330,Timesheet!$A$5:$A$3004,"&gt;="&amp;Settings!$B$8,Timesheet!$A$5:$A$3004,"&lt;="&amp;Settings!$B$9))</f>
        <v/>
      </c>
      <c r="H330" s="25" t="str">
        <f aca="false">IF($A330="","",IF(D330="Monthly",MAX(0,Settings!$B$11-E330),0))</f>
        <v/>
      </c>
      <c r="I330" s="26" t="str">
        <f aca="false">IF($A330="","",N(INDEX(Workers!$L$5:$L$2004,MATCH($A330,Workers!$A$5:$A$2004,0))))</f>
        <v/>
      </c>
      <c r="J330" s="26" t="str">
        <f aca="false">IF($A330="","",N(INDEX(Workers!$M$5:$M$2004,MATCH($A330,Workers!$A$5:$A$2004,0))))</f>
        <v/>
      </c>
      <c r="K330" s="26" t="str">
        <f aca="false">IF($A330="","",IF(D330="Monthly",ROUND(MAX(0,(I330+J330)-(I330+J330)/Settings!$B$10*H330),2),0))</f>
        <v/>
      </c>
      <c r="L330" s="26" t="str">
        <f aca="false">IF($A330="","",IF(D330="Hourly",ROUND(F330*N(INDEX(Workers!$N$5:$N$2004,MATCH($A330,Workers!$A$5:$A$2004,0))),2),0))</f>
        <v/>
      </c>
      <c r="M330" s="26" t="str">
        <f aca="false">IF($A330="","",ROUND(G330*IF(D330="Hourly",N(INDEX(Workers!$N$5:$N$2004,MATCH($A330,Workers!$A$5:$A$2004,0))),I330/Settings!$B$10/Settings!$B$12)*Settings!$B$13,2))</f>
        <v/>
      </c>
      <c r="N330" s="26" t="str">
        <f aca="false">IF($A330="","",K330+L330+M330)</f>
        <v/>
      </c>
      <c r="O330" s="26" t="str">
        <f aca="false">IF($A330="","",SUMIFS(Deductions!$D$5:$D$2000,Deductions!$B$5:$B$2000,$A330,Deductions!$C$5:$C$2000,"Advance",Deductions!$E$5:$E$2000,"&gt;="&amp;Settings!$B$8,Deductions!$E$5:$E$2000,"&lt;="&amp;Settings!$B$9))</f>
        <v/>
      </c>
      <c r="P330" s="26" t="str">
        <f aca="false">IF($A330="","",SUMIFS(Deductions!$D$5:$D$2000,Deductions!$B$5:$B$2000,$A330,Deductions!$E$5:$E$2000,"&gt;="&amp;Settings!$B$8,Deductions!$E$5:$E$2000,"&lt;="&amp;Settings!$B$9)-O330)</f>
        <v/>
      </c>
      <c r="Q330" s="26" t="str">
        <f aca="false">IF($A330="","",O330+P330)</f>
        <v/>
      </c>
      <c r="R330" s="23" t="str">
        <f aca="false">IF($A330="","",N330-Q330)</f>
        <v/>
      </c>
      <c r="S330" s="24" t="str">
        <f aca="false">IF($A330="","",INDEX(Workers!$O$5:$O$2004,MATCH($A330,Workers!$A$5:$A$2004,0))&amp;"")</f>
        <v/>
      </c>
      <c r="T330" s="24" t="str">
        <f aca="false">IF($A330="","",INDEX(Workers!$P$5:$P$2004,MATCH($A330,Workers!$A$5:$A$2004,0))&amp;"")</f>
        <v/>
      </c>
      <c r="U330" s="24" t="str">
        <f aca="false">IF($A330="","",INDEX(Workers!$H$5:$H$2004,MATCH($A330,Workers!$A$5:$A$2004,0))&amp;"")</f>
        <v/>
      </c>
    </row>
    <row r="331" customFormat="false" ht="15" hidden="false" customHeight="false" outlineLevel="0" collapsed="false">
      <c r="A331" s="24" t="str">
        <f aca="false">IFERROR(INDEX(Workers!$A$5:$A$2004,MATCH(ROW()-4,Workers!$U$5:$U$2004,0)),"")</f>
        <v/>
      </c>
      <c r="B331" s="24" t="str">
        <f aca="false">IF($A331="","",INDEX(Workers!$B$5:$B$2004,MATCH($A331,Workers!$A$5:$A$2004,0)))</f>
        <v/>
      </c>
      <c r="C331" s="24" t="str">
        <f aca="false">IF($A331="","",INDEX(Workers!$E$5:$E$2004,MATCH($A331,Workers!$A$5:$A$2004,0)))</f>
        <v/>
      </c>
      <c r="D331" s="24" t="str">
        <f aca="false">IF($A331="","",INDEX(Workers!$K$5:$K$2004,MATCH($A331,Workers!$A$5:$A$2004,0)))</f>
        <v/>
      </c>
      <c r="E331" s="25" t="str">
        <f aca="false">IF($A331="","",SUMIFS(Timesheet!$E$5:$E$3004,Timesheet!$D$5:$D$3004,$A331,Timesheet!$A$5:$A$3004,"&gt;="&amp;Settings!$B$8,Timesheet!$A$5:$A$3004,"&lt;="&amp;Settings!$B$9))</f>
        <v/>
      </c>
      <c r="F331" s="25" t="str">
        <f aca="false">IF($A331="","",SUMIFS(Timesheet!$F$5:$F$3004,Timesheet!$D$5:$D$3004,$A331,Timesheet!$A$5:$A$3004,"&gt;="&amp;Settings!$B$8,Timesheet!$A$5:$A$3004,"&lt;="&amp;Settings!$B$9))</f>
        <v/>
      </c>
      <c r="G331" s="25" t="str">
        <f aca="false">IF($A331="","",SUMIFS(Timesheet!$G$5:$G$3004,Timesheet!$D$5:$D$3004,$A331,Timesheet!$A$5:$A$3004,"&gt;="&amp;Settings!$B$8,Timesheet!$A$5:$A$3004,"&lt;="&amp;Settings!$B$9))</f>
        <v/>
      </c>
      <c r="H331" s="25" t="str">
        <f aca="false">IF($A331="","",IF(D331="Monthly",MAX(0,Settings!$B$11-E331),0))</f>
        <v/>
      </c>
      <c r="I331" s="26" t="str">
        <f aca="false">IF($A331="","",N(INDEX(Workers!$L$5:$L$2004,MATCH($A331,Workers!$A$5:$A$2004,0))))</f>
        <v/>
      </c>
      <c r="J331" s="26" t="str">
        <f aca="false">IF($A331="","",N(INDEX(Workers!$M$5:$M$2004,MATCH($A331,Workers!$A$5:$A$2004,0))))</f>
        <v/>
      </c>
      <c r="K331" s="26" t="str">
        <f aca="false">IF($A331="","",IF(D331="Monthly",ROUND(MAX(0,(I331+J331)-(I331+J331)/Settings!$B$10*H331),2),0))</f>
        <v/>
      </c>
      <c r="L331" s="26" t="str">
        <f aca="false">IF($A331="","",IF(D331="Hourly",ROUND(F331*N(INDEX(Workers!$N$5:$N$2004,MATCH($A331,Workers!$A$5:$A$2004,0))),2),0))</f>
        <v/>
      </c>
      <c r="M331" s="26" t="str">
        <f aca="false">IF($A331="","",ROUND(G331*IF(D331="Hourly",N(INDEX(Workers!$N$5:$N$2004,MATCH($A331,Workers!$A$5:$A$2004,0))),I331/Settings!$B$10/Settings!$B$12)*Settings!$B$13,2))</f>
        <v/>
      </c>
      <c r="N331" s="26" t="str">
        <f aca="false">IF($A331="","",K331+L331+M331)</f>
        <v/>
      </c>
      <c r="O331" s="26" t="str">
        <f aca="false">IF($A331="","",SUMIFS(Deductions!$D$5:$D$2000,Deductions!$B$5:$B$2000,$A331,Deductions!$C$5:$C$2000,"Advance",Deductions!$E$5:$E$2000,"&gt;="&amp;Settings!$B$8,Deductions!$E$5:$E$2000,"&lt;="&amp;Settings!$B$9))</f>
        <v/>
      </c>
      <c r="P331" s="26" t="str">
        <f aca="false">IF($A331="","",SUMIFS(Deductions!$D$5:$D$2000,Deductions!$B$5:$B$2000,$A331,Deductions!$E$5:$E$2000,"&gt;="&amp;Settings!$B$8,Deductions!$E$5:$E$2000,"&lt;="&amp;Settings!$B$9)-O331)</f>
        <v/>
      </c>
      <c r="Q331" s="26" t="str">
        <f aca="false">IF($A331="","",O331+P331)</f>
        <v/>
      </c>
      <c r="R331" s="23" t="str">
        <f aca="false">IF($A331="","",N331-Q331)</f>
        <v/>
      </c>
      <c r="S331" s="24" t="str">
        <f aca="false">IF($A331="","",INDEX(Workers!$O$5:$O$2004,MATCH($A331,Workers!$A$5:$A$2004,0))&amp;"")</f>
        <v/>
      </c>
      <c r="T331" s="24" t="str">
        <f aca="false">IF($A331="","",INDEX(Workers!$P$5:$P$2004,MATCH($A331,Workers!$A$5:$A$2004,0))&amp;"")</f>
        <v/>
      </c>
      <c r="U331" s="24" t="str">
        <f aca="false">IF($A331="","",INDEX(Workers!$H$5:$H$2004,MATCH($A331,Workers!$A$5:$A$2004,0))&amp;"")</f>
        <v/>
      </c>
    </row>
    <row r="332" customFormat="false" ht="15" hidden="false" customHeight="false" outlineLevel="0" collapsed="false">
      <c r="A332" s="24" t="str">
        <f aca="false">IFERROR(INDEX(Workers!$A$5:$A$2004,MATCH(ROW()-4,Workers!$U$5:$U$2004,0)),"")</f>
        <v/>
      </c>
      <c r="B332" s="24" t="str">
        <f aca="false">IF($A332="","",INDEX(Workers!$B$5:$B$2004,MATCH($A332,Workers!$A$5:$A$2004,0)))</f>
        <v/>
      </c>
      <c r="C332" s="24" t="str">
        <f aca="false">IF($A332="","",INDEX(Workers!$E$5:$E$2004,MATCH($A332,Workers!$A$5:$A$2004,0)))</f>
        <v/>
      </c>
      <c r="D332" s="24" t="str">
        <f aca="false">IF($A332="","",INDEX(Workers!$K$5:$K$2004,MATCH($A332,Workers!$A$5:$A$2004,0)))</f>
        <v/>
      </c>
      <c r="E332" s="25" t="str">
        <f aca="false">IF($A332="","",SUMIFS(Timesheet!$E$5:$E$3004,Timesheet!$D$5:$D$3004,$A332,Timesheet!$A$5:$A$3004,"&gt;="&amp;Settings!$B$8,Timesheet!$A$5:$A$3004,"&lt;="&amp;Settings!$B$9))</f>
        <v/>
      </c>
      <c r="F332" s="25" t="str">
        <f aca="false">IF($A332="","",SUMIFS(Timesheet!$F$5:$F$3004,Timesheet!$D$5:$D$3004,$A332,Timesheet!$A$5:$A$3004,"&gt;="&amp;Settings!$B$8,Timesheet!$A$5:$A$3004,"&lt;="&amp;Settings!$B$9))</f>
        <v/>
      </c>
      <c r="G332" s="25" t="str">
        <f aca="false">IF($A332="","",SUMIFS(Timesheet!$G$5:$G$3004,Timesheet!$D$5:$D$3004,$A332,Timesheet!$A$5:$A$3004,"&gt;="&amp;Settings!$B$8,Timesheet!$A$5:$A$3004,"&lt;="&amp;Settings!$B$9))</f>
        <v/>
      </c>
      <c r="H332" s="25" t="str">
        <f aca="false">IF($A332="","",IF(D332="Monthly",MAX(0,Settings!$B$11-E332),0))</f>
        <v/>
      </c>
      <c r="I332" s="26" t="str">
        <f aca="false">IF($A332="","",N(INDEX(Workers!$L$5:$L$2004,MATCH($A332,Workers!$A$5:$A$2004,0))))</f>
        <v/>
      </c>
      <c r="J332" s="26" t="str">
        <f aca="false">IF($A332="","",N(INDEX(Workers!$M$5:$M$2004,MATCH($A332,Workers!$A$5:$A$2004,0))))</f>
        <v/>
      </c>
      <c r="K332" s="26" t="str">
        <f aca="false">IF($A332="","",IF(D332="Monthly",ROUND(MAX(0,(I332+J332)-(I332+J332)/Settings!$B$10*H332),2),0))</f>
        <v/>
      </c>
      <c r="L332" s="26" t="str">
        <f aca="false">IF($A332="","",IF(D332="Hourly",ROUND(F332*N(INDEX(Workers!$N$5:$N$2004,MATCH($A332,Workers!$A$5:$A$2004,0))),2),0))</f>
        <v/>
      </c>
      <c r="M332" s="26" t="str">
        <f aca="false">IF($A332="","",ROUND(G332*IF(D332="Hourly",N(INDEX(Workers!$N$5:$N$2004,MATCH($A332,Workers!$A$5:$A$2004,0))),I332/Settings!$B$10/Settings!$B$12)*Settings!$B$13,2))</f>
        <v/>
      </c>
      <c r="N332" s="26" t="str">
        <f aca="false">IF($A332="","",K332+L332+M332)</f>
        <v/>
      </c>
      <c r="O332" s="26" t="str">
        <f aca="false">IF($A332="","",SUMIFS(Deductions!$D$5:$D$2000,Deductions!$B$5:$B$2000,$A332,Deductions!$C$5:$C$2000,"Advance",Deductions!$E$5:$E$2000,"&gt;="&amp;Settings!$B$8,Deductions!$E$5:$E$2000,"&lt;="&amp;Settings!$B$9))</f>
        <v/>
      </c>
      <c r="P332" s="26" t="str">
        <f aca="false">IF($A332="","",SUMIFS(Deductions!$D$5:$D$2000,Deductions!$B$5:$B$2000,$A332,Deductions!$E$5:$E$2000,"&gt;="&amp;Settings!$B$8,Deductions!$E$5:$E$2000,"&lt;="&amp;Settings!$B$9)-O332)</f>
        <v/>
      </c>
      <c r="Q332" s="26" t="str">
        <f aca="false">IF($A332="","",O332+P332)</f>
        <v/>
      </c>
      <c r="R332" s="23" t="str">
        <f aca="false">IF($A332="","",N332-Q332)</f>
        <v/>
      </c>
      <c r="S332" s="24" t="str">
        <f aca="false">IF($A332="","",INDEX(Workers!$O$5:$O$2004,MATCH($A332,Workers!$A$5:$A$2004,0))&amp;"")</f>
        <v/>
      </c>
      <c r="T332" s="24" t="str">
        <f aca="false">IF($A332="","",INDEX(Workers!$P$5:$P$2004,MATCH($A332,Workers!$A$5:$A$2004,0))&amp;"")</f>
        <v/>
      </c>
      <c r="U332" s="24" t="str">
        <f aca="false">IF($A332="","",INDEX(Workers!$H$5:$H$2004,MATCH($A332,Workers!$A$5:$A$2004,0))&amp;"")</f>
        <v/>
      </c>
    </row>
    <row r="333" customFormat="false" ht="15" hidden="false" customHeight="false" outlineLevel="0" collapsed="false">
      <c r="A333" s="24" t="str">
        <f aca="false">IFERROR(INDEX(Workers!$A$5:$A$2004,MATCH(ROW()-4,Workers!$U$5:$U$2004,0)),"")</f>
        <v/>
      </c>
      <c r="B333" s="24" t="str">
        <f aca="false">IF($A333="","",INDEX(Workers!$B$5:$B$2004,MATCH($A333,Workers!$A$5:$A$2004,0)))</f>
        <v/>
      </c>
      <c r="C333" s="24" t="str">
        <f aca="false">IF($A333="","",INDEX(Workers!$E$5:$E$2004,MATCH($A333,Workers!$A$5:$A$2004,0)))</f>
        <v/>
      </c>
      <c r="D333" s="24" t="str">
        <f aca="false">IF($A333="","",INDEX(Workers!$K$5:$K$2004,MATCH($A333,Workers!$A$5:$A$2004,0)))</f>
        <v/>
      </c>
      <c r="E333" s="25" t="str">
        <f aca="false">IF($A333="","",SUMIFS(Timesheet!$E$5:$E$3004,Timesheet!$D$5:$D$3004,$A333,Timesheet!$A$5:$A$3004,"&gt;="&amp;Settings!$B$8,Timesheet!$A$5:$A$3004,"&lt;="&amp;Settings!$B$9))</f>
        <v/>
      </c>
      <c r="F333" s="25" t="str">
        <f aca="false">IF($A333="","",SUMIFS(Timesheet!$F$5:$F$3004,Timesheet!$D$5:$D$3004,$A333,Timesheet!$A$5:$A$3004,"&gt;="&amp;Settings!$B$8,Timesheet!$A$5:$A$3004,"&lt;="&amp;Settings!$B$9))</f>
        <v/>
      </c>
      <c r="G333" s="25" t="str">
        <f aca="false">IF($A333="","",SUMIFS(Timesheet!$G$5:$G$3004,Timesheet!$D$5:$D$3004,$A333,Timesheet!$A$5:$A$3004,"&gt;="&amp;Settings!$B$8,Timesheet!$A$5:$A$3004,"&lt;="&amp;Settings!$B$9))</f>
        <v/>
      </c>
      <c r="H333" s="25" t="str">
        <f aca="false">IF($A333="","",IF(D333="Monthly",MAX(0,Settings!$B$11-E333),0))</f>
        <v/>
      </c>
      <c r="I333" s="26" t="str">
        <f aca="false">IF($A333="","",N(INDEX(Workers!$L$5:$L$2004,MATCH($A333,Workers!$A$5:$A$2004,0))))</f>
        <v/>
      </c>
      <c r="J333" s="26" t="str">
        <f aca="false">IF($A333="","",N(INDEX(Workers!$M$5:$M$2004,MATCH($A333,Workers!$A$5:$A$2004,0))))</f>
        <v/>
      </c>
      <c r="K333" s="26" t="str">
        <f aca="false">IF($A333="","",IF(D333="Monthly",ROUND(MAX(0,(I333+J333)-(I333+J333)/Settings!$B$10*H333),2),0))</f>
        <v/>
      </c>
      <c r="L333" s="26" t="str">
        <f aca="false">IF($A333="","",IF(D333="Hourly",ROUND(F333*N(INDEX(Workers!$N$5:$N$2004,MATCH($A333,Workers!$A$5:$A$2004,0))),2),0))</f>
        <v/>
      </c>
      <c r="M333" s="26" t="str">
        <f aca="false">IF($A333="","",ROUND(G333*IF(D333="Hourly",N(INDEX(Workers!$N$5:$N$2004,MATCH($A333,Workers!$A$5:$A$2004,0))),I333/Settings!$B$10/Settings!$B$12)*Settings!$B$13,2))</f>
        <v/>
      </c>
      <c r="N333" s="26" t="str">
        <f aca="false">IF($A333="","",K333+L333+M333)</f>
        <v/>
      </c>
      <c r="O333" s="26" t="str">
        <f aca="false">IF($A333="","",SUMIFS(Deductions!$D$5:$D$2000,Deductions!$B$5:$B$2000,$A333,Deductions!$C$5:$C$2000,"Advance",Deductions!$E$5:$E$2000,"&gt;="&amp;Settings!$B$8,Deductions!$E$5:$E$2000,"&lt;="&amp;Settings!$B$9))</f>
        <v/>
      </c>
      <c r="P333" s="26" t="str">
        <f aca="false">IF($A333="","",SUMIFS(Deductions!$D$5:$D$2000,Deductions!$B$5:$B$2000,$A333,Deductions!$E$5:$E$2000,"&gt;="&amp;Settings!$B$8,Deductions!$E$5:$E$2000,"&lt;="&amp;Settings!$B$9)-O333)</f>
        <v/>
      </c>
      <c r="Q333" s="26" t="str">
        <f aca="false">IF($A333="","",O333+P333)</f>
        <v/>
      </c>
      <c r="R333" s="23" t="str">
        <f aca="false">IF($A333="","",N333-Q333)</f>
        <v/>
      </c>
      <c r="S333" s="24" t="str">
        <f aca="false">IF($A333="","",INDEX(Workers!$O$5:$O$2004,MATCH($A333,Workers!$A$5:$A$2004,0))&amp;"")</f>
        <v/>
      </c>
      <c r="T333" s="24" t="str">
        <f aca="false">IF($A333="","",INDEX(Workers!$P$5:$P$2004,MATCH($A333,Workers!$A$5:$A$2004,0))&amp;"")</f>
        <v/>
      </c>
      <c r="U333" s="24" t="str">
        <f aca="false">IF($A333="","",INDEX(Workers!$H$5:$H$2004,MATCH($A333,Workers!$A$5:$A$2004,0))&amp;"")</f>
        <v/>
      </c>
    </row>
    <row r="334" customFormat="false" ht="15" hidden="false" customHeight="false" outlineLevel="0" collapsed="false">
      <c r="A334" s="24" t="str">
        <f aca="false">IFERROR(INDEX(Workers!$A$5:$A$2004,MATCH(ROW()-4,Workers!$U$5:$U$2004,0)),"")</f>
        <v/>
      </c>
      <c r="B334" s="24" t="str">
        <f aca="false">IF($A334="","",INDEX(Workers!$B$5:$B$2004,MATCH($A334,Workers!$A$5:$A$2004,0)))</f>
        <v/>
      </c>
      <c r="C334" s="24" t="str">
        <f aca="false">IF($A334="","",INDEX(Workers!$E$5:$E$2004,MATCH($A334,Workers!$A$5:$A$2004,0)))</f>
        <v/>
      </c>
      <c r="D334" s="24" t="str">
        <f aca="false">IF($A334="","",INDEX(Workers!$K$5:$K$2004,MATCH($A334,Workers!$A$5:$A$2004,0)))</f>
        <v/>
      </c>
      <c r="E334" s="25" t="str">
        <f aca="false">IF($A334="","",SUMIFS(Timesheet!$E$5:$E$3004,Timesheet!$D$5:$D$3004,$A334,Timesheet!$A$5:$A$3004,"&gt;="&amp;Settings!$B$8,Timesheet!$A$5:$A$3004,"&lt;="&amp;Settings!$B$9))</f>
        <v/>
      </c>
      <c r="F334" s="25" t="str">
        <f aca="false">IF($A334="","",SUMIFS(Timesheet!$F$5:$F$3004,Timesheet!$D$5:$D$3004,$A334,Timesheet!$A$5:$A$3004,"&gt;="&amp;Settings!$B$8,Timesheet!$A$5:$A$3004,"&lt;="&amp;Settings!$B$9))</f>
        <v/>
      </c>
      <c r="G334" s="25" t="str">
        <f aca="false">IF($A334="","",SUMIFS(Timesheet!$G$5:$G$3004,Timesheet!$D$5:$D$3004,$A334,Timesheet!$A$5:$A$3004,"&gt;="&amp;Settings!$B$8,Timesheet!$A$5:$A$3004,"&lt;="&amp;Settings!$B$9))</f>
        <v/>
      </c>
      <c r="H334" s="25" t="str">
        <f aca="false">IF($A334="","",IF(D334="Monthly",MAX(0,Settings!$B$11-E334),0))</f>
        <v/>
      </c>
      <c r="I334" s="26" t="str">
        <f aca="false">IF($A334="","",N(INDEX(Workers!$L$5:$L$2004,MATCH($A334,Workers!$A$5:$A$2004,0))))</f>
        <v/>
      </c>
      <c r="J334" s="26" t="str">
        <f aca="false">IF($A334="","",N(INDEX(Workers!$M$5:$M$2004,MATCH($A334,Workers!$A$5:$A$2004,0))))</f>
        <v/>
      </c>
      <c r="K334" s="26" t="str">
        <f aca="false">IF($A334="","",IF(D334="Monthly",ROUND(MAX(0,(I334+J334)-(I334+J334)/Settings!$B$10*H334),2),0))</f>
        <v/>
      </c>
      <c r="L334" s="26" t="str">
        <f aca="false">IF($A334="","",IF(D334="Hourly",ROUND(F334*N(INDEX(Workers!$N$5:$N$2004,MATCH($A334,Workers!$A$5:$A$2004,0))),2),0))</f>
        <v/>
      </c>
      <c r="M334" s="26" t="str">
        <f aca="false">IF($A334="","",ROUND(G334*IF(D334="Hourly",N(INDEX(Workers!$N$5:$N$2004,MATCH($A334,Workers!$A$5:$A$2004,0))),I334/Settings!$B$10/Settings!$B$12)*Settings!$B$13,2))</f>
        <v/>
      </c>
      <c r="N334" s="26" t="str">
        <f aca="false">IF($A334="","",K334+L334+M334)</f>
        <v/>
      </c>
      <c r="O334" s="26" t="str">
        <f aca="false">IF($A334="","",SUMIFS(Deductions!$D$5:$D$2000,Deductions!$B$5:$B$2000,$A334,Deductions!$C$5:$C$2000,"Advance",Deductions!$E$5:$E$2000,"&gt;="&amp;Settings!$B$8,Deductions!$E$5:$E$2000,"&lt;="&amp;Settings!$B$9))</f>
        <v/>
      </c>
      <c r="P334" s="26" t="str">
        <f aca="false">IF($A334="","",SUMIFS(Deductions!$D$5:$D$2000,Deductions!$B$5:$B$2000,$A334,Deductions!$E$5:$E$2000,"&gt;="&amp;Settings!$B$8,Deductions!$E$5:$E$2000,"&lt;="&amp;Settings!$B$9)-O334)</f>
        <v/>
      </c>
      <c r="Q334" s="26" t="str">
        <f aca="false">IF($A334="","",O334+P334)</f>
        <v/>
      </c>
      <c r="R334" s="23" t="str">
        <f aca="false">IF($A334="","",N334-Q334)</f>
        <v/>
      </c>
      <c r="S334" s="24" t="str">
        <f aca="false">IF($A334="","",INDEX(Workers!$O$5:$O$2004,MATCH($A334,Workers!$A$5:$A$2004,0))&amp;"")</f>
        <v/>
      </c>
      <c r="T334" s="24" t="str">
        <f aca="false">IF($A334="","",INDEX(Workers!$P$5:$P$2004,MATCH($A334,Workers!$A$5:$A$2004,0))&amp;"")</f>
        <v/>
      </c>
      <c r="U334" s="24" t="str">
        <f aca="false">IF($A334="","",INDEX(Workers!$H$5:$H$2004,MATCH($A334,Workers!$A$5:$A$2004,0))&amp;"")</f>
        <v/>
      </c>
    </row>
    <row r="335" customFormat="false" ht="15" hidden="false" customHeight="false" outlineLevel="0" collapsed="false">
      <c r="A335" s="24" t="str">
        <f aca="false">IFERROR(INDEX(Workers!$A$5:$A$2004,MATCH(ROW()-4,Workers!$U$5:$U$2004,0)),"")</f>
        <v/>
      </c>
      <c r="B335" s="24" t="str">
        <f aca="false">IF($A335="","",INDEX(Workers!$B$5:$B$2004,MATCH($A335,Workers!$A$5:$A$2004,0)))</f>
        <v/>
      </c>
      <c r="C335" s="24" t="str">
        <f aca="false">IF($A335="","",INDEX(Workers!$E$5:$E$2004,MATCH($A335,Workers!$A$5:$A$2004,0)))</f>
        <v/>
      </c>
      <c r="D335" s="24" t="str">
        <f aca="false">IF($A335="","",INDEX(Workers!$K$5:$K$2004,MATCH($A335,Workers!$A$5:$A$2004,0)))</f>
        <v/>
      </c>
      <c r="E335" s="25" t="str">
        <f aca="false">IF($A335="","",SUMIFS(Timesheet!$E$5:$E$3004,Timesheet!$D$5:$D$3004,$A335,Timesheet!$A$5:$A$3004,"&gt;="&amp;Settings!$B$8,Timesheet!$A$5:$A$3004,"&lt;="&amp;Settings!$B$9))</f>
        <v/>
      </c>
      <c r="F335" s="25" t="str">
        <f aca="false">IF($A335="","",SUMIFS(Timesheet!$F$5:$F$3004,Timesheet!$D$5:$D$3004,$A335,Timesheet!$A$5:$A$3004,"&gt;="&amp;Settings!$B$8,Timesheet!$A$5:$A$3004,"&lt;="&amp;Settings!$B$9))</f>
        <v/>
      </c>
      <c r="G335" s="25" t="str">
        <f aca="false">IF($A335="","",SUMIFS(Timesheet!$G$5:$G$3004,Timesheet!$D$5:$D$3004,$A335,Timesheet!$A$5:$A$3004,"&gt;="&amp;Settings!$B$8,Timesheet!$A$5:$A$3004,"&lt;="&amp;Settings!$B$9))</f>
        <v/>
      </c>
      <c r="H335" s="25" t="str">
        <f aca="false">IF($A335="","",IF(D335="Monthly",MAX(0,Settings!$B$11-E335),0))</f>
        <v/>
      </c>
      <c r="I335" s="26" t="str">
        <f aca="false">IF($A335="","",N(INDEX(Workers!$L$5:$L$2004,MATCH($A335,Workers!$A$5:$A$2004,0))))</f>
        <v/>
      </c>
      <c r="J335" s="26" t="str">
        <f aca="false">IF($A335="","",N(INDEX(Workers!$M$5:$M$2004,MATCH($A335,Workers!$A$5:$A$2004,0))))</f>
        <v/>
      </c>
      <c r="K335" s="26" t="str">
        <f aca="false">IF($A335="","",IF(D335="Monthly",ROUND(MAX(0,(I335+J335)-(I335+J335)/Settings!$B$10*H335),2),0))</f>
        <v/>
      </c>
      <c r="L335" s="26" t="str">
        <f aca="false">IF($A335="","",IF(D335="Hourly",ROUND(F335*N(INDEX(Workers!$N$5:$N$2004,MATCH($A335,Workers!$A$5:$A$2004,0))),2),0))</f>
        <v/>
      </c>
      <c r="M335" s="26" t="str">
        <f aca="false">IF($A335="","",ROUND(G335*IF(D335="Hourly",N(INDEX(Workers!$N$5:$N$2004,MATCH($A335,Workers!$A$5:$A$2004,0))),I335/Settings!$B$10/Settings!$B$12)*Settings!$B$13,2))</f>
        <v/>
      </c>
      <c r="N335" s="26" t="str">
        <f aca="false">IF($A335="","",K335+L335+M335)</f>
        <v/>
      </c>
      <c r="O335" s="26" t="str">
        <f aca="false">IF($A335="","",SUMIFS(Deductions!$D$5:$D$2000,Deductions!$B$5:$B$2000,$A335,Deductions!$C$5:$C$2000,"Advance",Deductions!$E$5:$E$2000,"&gt;="&amp;Settings!$B$8,Deductions!$E$5:$E$2000,"&lt;="&amp;Settings!$B$9))</f>
        <v/>
      </c>
      <c r="P335" s="26" t="str">
        <f aca="false">IF($A335="","",SUMIFS(Deductions!$D$5:$D$2000,Deductions!$B$5:$B$2000,$A335,Deductions!$E$5:$E$2000,"&gt;="&amp;Settings!$B$8,Deductions!$E$5:$E$2000,"&lt;="&amp;Settings!$B$9)-O335)</f>
        <v/>
      </c>
      <c r="Q335" s="26" t="str">
        <f aca="false">IF($A335="","",O335+P335)</f>
        <v/>
      </c>
      <c r="R335" s="23" t="str">
        <f aca="false">IF($A335="","",N335-Q335)</f>
        <v/>
      </c>
      <c r="S335" s="24" t="str">
        <f aca="false">IF($A335="","",INDEX(Workers!$O$5:$O$2004,MATCH($A335,Workers!$A$5:$A$2004,0))&amp;"")</f>
        <v/>
      </c>
      <c r="T335" s="24" t="str">
        <f aca="false">IF($A335="","",INDEX(Workers!$P$5:$P$2004,MATCH($A335,Workers!$A$5:$A$2004,0))&amp;"")</f>
        <v/>
      </c>
      <c r="U335" s="24" t="str">
        <f aca="false">IF($A335="","",INDEX(Workers!$H$5:$H$2004,MATCH($A335,Workers!$A$5:$A$2004,0))&amp;"")</f>
        <v/>
      </c>
    </row>
    <row r="336" customFormat="false" ht="15" hidden="false" customHeight="false" outlineLevel="0" collapsed="false">
      <c r="A336" s="24" t="str">
        <f aca="false">IFERROR(INDEX(Workers!$A$5:$A$2004,MATCH(ROW()-4,Workers!$U$5:$U$2004,0)),"")</f>
        <v/>
      </c>
      <c r="B336" s="24" t="str">
        <f aca="false">IF($A336="","",INDEX(Workers!$B$5:$B$2004,MATCH($A336,Workers!$A$5:$A$2004,0)))</f>
        <v/>
      </c>
      <c r="C336" s="24" t="str">
        <f aca="false">IF($A336="","",INDEX(Workers!$E$5:$E$2004,MATCH($A336,Workers!$A$5:$A$2004,0)))</f>
        <v/>
      </c>
      <c r="D336" s="24" t="str">
        <f aca="false">IF($A336="","",INDEX(Workers!$K$5:$K$2004,MATCH($A336,Workers!$A$5:$A$2004,0)))</f>
        <v/>
      </c>
      <c r="E336" s="25" t="str">
        <f aca="false">IF($A336="","",SUMIFS(Timesheet!$E$5:$E$3004,Timesheet!$D$5:$D$3004,$A336,Timesheet!$A$5:$A$3004,"&gt;="&amp;Settings!$B$8,Timesheet!$A$5:$A$3004,"&lt;="&amp;Settings!$B$9))</f>
        <v/>
      </c>
      <c r="F336" s="25" t="str">
        <f aca="false">IF($A336="","",SUMIFS(Timesheet!$F$5:$F$3004,Timesheet!$D$5:$D$3004,$A336,Timesheet!$A$5:$A$3004,"&gt;="&amp;Settings!$B$8,Timesheet!$A$5:$A$3004,"&lt;="&amp;Settings!$B$9))</f>
        <v/>
      </c>
      <c r="G336" s="25" t="str">
        <f aca="false">IF($A336="","",SUMIFS(Timesheet!$G$5:$G$3004,Timesheet!$D$5:$D$3004,$A336,Timesheet!$A$5:$A$3004,"&gt;="&amp;Settings!$B$8,Timesheet!$A$5:$A$3004,"&lt;="&amp;Settings!$B$9))</f>
        <v/>
      </c>
      <c r="H336" s="25" t="str">
        <f aca="false">IF($A336="","",IF(D336="Monthly",MAX(0,Settings!$B$11-E336),0))</f>
        <v/>
      </c>
      <c r="I336" s="26" t="str">
        <f aca="false">IF($A336="","",N(INDEX(Workers!$L$5:$L$2004,MATCH($A336,Workers!$A$5:$A$2004,0))))</f>
        <v/>
      </c>
      <c r="J336" s="26" t="str">
        <f aca="false">IF($A336="","",N(INDEX(Workers!$M$5:$M$2004,MATCH($A336,Workers!$A$5:$A$2004,0))))</f>
        <v/>
      </c>
      <c r="K336" s="26" t="str">
        <f aca="false">IF($A336="","",IF(D336="Monthly",ROUND(MAX(0,(I336+J336)-(I336+J336)/Settings!$B$10*H336),2),0))</f>
        <v/>
      </c>
      <c r="L336" s="26" t="str">
        <f aca="false">IF($A336="","",IF(D336="Hourly",ROUND(F336*N(INDEX(Workers!$N$5:$N$2004,MATCH($A336,Workers!$A$5:$A$2004,0))),2),0))</f>
        <v/>
      </c>
      <c r="M336" s="26" t="str">
        <f aca="false">IF($A336="","",ROUND(G336*IF(D336="Hourly",N(INDEX(Workers!$N$5:$N$2004,MATCH($A336,Workers!$A$5:$A$2004,0))),I336/Settings!$B$10/Settings!$B$12)*Settings!$B$13,2))</f>
        <v/>
      </c>
      <c r="N336" s="26" t="str">
        <f aca="false">IF($A336="","",K336+L336+M336)</f>
        <v/>
      </c>
      <c r="O336" s="26" t="str">
        <f aca="false">IF($A336="","",SUMIFS(Deductions!$D$5:$D$2000,Deductions!$B$5:$B$2000,$A336,Deductions!$C$5:$C$2000,"Advance",Deductions!$E$5:$E$2000,"&gt;="&amp;Settings!$B$8,Deductions!$E$5:$E$2000,"&lt;="&amp;Settings!$B$9))</f>
        <v/>
      </c>
      <c r="P336" s="26" t="str">
        <f aca="false">IF($A336="","",SUMIFS(Deductions!$D$5:$D$2000,Deductions!$B$5:$B$2000,$A336,Deductions!$E$5:$E$2000,"&gt;="&amp;Settings!$B$8,Deductions!$E$5:$E$2000,"&lt;="&amp;Settings!$B$9)-O336)</f>
        <v/>
      </c>
      <c r="Q336" s="26" t="str">
        <f aca="false">IF($A336="","",O336+P336)</f>
        <v/>
      </c>
      <c r="R336" s="23" t="str">
        <f aca="false">IF($A336="","",N336-Q336)</f>
        <v/>
      </c>
      <c r="S336" s="24" t="str">
        <f aca="false">IF($A336="","",INDEX(Workers!$O$5:$O$2004,MATCH($A336,Workers!$A$5:$A$2004,0))&amp;"")</f>
        <v/>
      </c>
      <c r="T336" s="24" t="str">
        <f aca="false">IF($A336="","",INDEX(Workers!$P$5:$P$2004,MATCH($A336,Workers!$A$5:$A$2004,0))&amp;"")</f>
        <v/>
      </c>
      <c r="U336" s="24" t="str">
        <f aca="false">IF($A336="","",INDEX(Workers!$H$5:$H$2004,MATCH($A336,Workers!$A$5:$A$2004,0))&amp;"")</f>
        <v/>
      </c>
    </row>
    <row r="337" customFormat="false" ht="15" hidden="false" customHeight="false" outlineLevel="0" collapsed="false">
      <c r="A337" s="24" t="str">
        <f aca="false">IFERROR(INDEX(Workers!$A$5:$A$2004,MATCH(ROW()-4,Workers!$U$5:$U$2004,0)),"")</f>
        <v/>
      </c>
      <c r="B337" s="24" t="str">
        <f aca="false">IF($A337="","",INDEX(Workers!$B$5:$B$2004,MATCH($A337,Workers!$A$5:$A$2004,0)))</f>
        <v/>
      </c>
      <c r="C337" s="24" t="str">
        <f aca="false">IF($A337="","",INDEX(Workers!$E$5:$E$2004,MATCH($A337,Workers!$A$5:$A$2004,0)))</f>
        <v/>
      </c>
      <c r="D337" s="24" t="str">
        <f aca="false">IF($A337="","",INDEX(Workers!$K$5:$K$2004,MATCH($A337,Workers!$A$5:$A$2004,0)))</f>
        <v/>
      </c>
      <c r="E337" s="25" t="str">
        <f aca="false">IF($A337="","",SUMIFS(Timesheet!$E$5:$E$3004,Timesheet!$D$5:$D$3004,$A337,Timesheet!$A$5:$A$3004,"&gt;="&amp;Settings!$B$8,Timesheet!$A$5:$A$3004,"&lt;="&amp;Settings!$B$9))</f>
        <v/>
      </c>
      <c r="F337" s="25" t="str">
        <f aca="false">IF($A337="","",SUMIFS(Timesheet!$F$5:$F$3004,Timesheet!$D$5:$D$3004,$A337,Timesheet!$A$5:$A$3004,"&gt;="&amp;Settings!$B$8,Timesheet!$A$5:$A$3004,"&lt;="&amp;Settings!$B$9))</f>
        <v/>
      </c>
      <c r="G337" s="25" t="str">
        <f aca="false">IF($A337="","",SUMIFS(Timesheet!$G$5:$G$3004,Timesheet!$D$5:$D$3004,$A337,Timesheet!$A$5:$A$3004,"&gt;="&amp;Settings!$B$8,Timesheet!$A$5:$A$3004,"&lt;="&amp;Settings!$B$9))</f>
        <v/>
      </c>
      <c r="H337" s="25" t="str">
        <f aca="false">IF($A337="","",IF(D337="Monthly",MAX(0,Settings!$B$11-E337),0))</f>
        <v/>
      </c>
      <c r="I337" s="26" t="str">
        <f aca="false">IF($A337="","",N(INDEX(Workers!$L$5:$L$2004,MATCH($A337,Workers!$A$5:$A$2004,0))))</f>
        <v/>
      </c>
      <c r="J337" s="26" t="str">
        <f aca="false">IF($A337="","",N(INDEX(Workers!$M$5:$M$2004,MATCH($A337,Workers!$A$5:$A$2004,0))))</f>
        <v/>
      </c>
      <c r="K337" s="26" t="str">
        <f aca="false">IF($A337="","",IF(D337="Monthly",ROUND(MAX(0,(I337+J337)-(I337+J337)/Settings!$B$10*H337),2),0))</f>
        <v/>
      </c>
      <c r="L337" s="26" t="str">
        <f aca="false">IF($A337="","",IF(D337="Hourly",ROUND(F337*N(INDEX(Workers!$N$5:$N$2004,MATCH($A337,Workers!$A$5:$A$2004,0))),2),0))</f>
        <v/>
      </c>
      <c r="M337" s="26" t="str">
        <f aca="false">IF($A337="","",ROUND(G337*IF(D337="Hourly",N(INDEX(Workers!$N$5:$N$2004,MATCH($A337,Workers!$A$5:$A$2004,0))),I337/Settings!$B$10/Settings!$B$12)*Settings!$B$13,2))</f>
        <v/>
      </c>
      <c r="N337" s="26" t="str">
        <f aca="false">IF($A337="","",K337+L337+M337)</f>
        <v/>
      </c>
      <c r="O337" s="26" t="str">
        <f aca="false">IF($A337="","",SUMIFS(Deductions!$D$5:$D$2000,Deductions!$B$5:$B$2000,$A337,Deductions!$C$5:$C$2000,"Advance",Deductions!$E$5:$E$2000,"&gt;="&amp;Settings!$B$8,Deductions!$E$5:$E$2000,"&lt;="&amp;Settings!$B$9))</f>
        <v/>
      </c>
      <c r="P337" s="26" t="str">
        <f aca="false">IF($A337="","",SUMIFS(Deductions!$D$5:$D$2000,Deductions!$B$5:$B$2000,$A337,Deductions!$E$5:$E$2000,"&gt;="&amp;Settings!$B$8,Deductions!$E$5:$E$2000,"&lt;="&amp;Settings!$B$9)-O337)</f>
        <v/>
      </c>
      <c r="Q337" s="26" t="str">
        <f aca="false">IF($A337="","",O337+P337)</f>
        <v/>
      </c>
      <c r="R337" s="23" t="str">
        <f aca="false">IF($A337="","",N337-Q337)</f>
        <v/>
      </c>
      <c r="S337" s="24" t="str">
        <f aca="false">IF($A337="","",INDEX(Workers!$O$5:$O$2004,MATCH($A337,Workers!$A$5:$A$2004,0))&amp;"")</f>
        <v/>
      </c>
      <c r="T337" s="24" t="str">
        <f aca="false">IF($A337="","",INDEX(Workers!$P$5:$P$2004,MATCH($A337,Workers!$A$5:$A$2004,0))&amp;"")</f>
        <v/>
      </c>
      <c r="U337" s="24" t="str">
        <f aca="false">IF($A337="","",INDEX(Workers!$H$5:$H$2004,MATCH($A337,Workers!$A$5:$A$2004,0))&amp;"")</f>
        <v/>
      </c>
    </row>
    <row r="338" customFormat="false" ht="15" hidden="false" customHeight="false" outlineLevel="0" collapsed="false">
      <c r="A338" s="24" t="str">
        <f aca="false">IFERROR(INDEX(Workers!$A$5:$A$2004,MATCH(ROW()-4,Workers!$U$5:$U$2004,0)),"")</f>
        <v/>
      </c>
      <c r="B338" s="24" t="str">
        <f aca="false">IF($A338="","",INDEX(Workers!$B$5:$B$2004,MATCH($A338,Workers!$A$5:$A$2004,0)))</f>
        <v/>
      </c>
      <c r="C338" s="24" t="str">
        <f aca="false">IF($A338="","",INDEX(Workers!$E$5:$E$2004,MATCH($A338,Workers!$A$5:$A$2004,0)))</f>
        <v/>
      </c>
      <c r="D338" s="24" t="str">
        <f aca="false">IF($A338="","",INDEX(Workers!$K$5:$K$2004,MATCH($A338,Workers!$A$5:$A$2004,0)))</f>
        <v/>
      </c>
      <c r="E338" s="25" t="str">
        <f aca="false">IF($A338="","",SUMIFS(Timesheet!$E$5:$E$3004,Timesheet!$D$5:$D$3004,$A338,Timesheet!$A$5:$A$3004,"&gt;="&amp;Settings!$B$8,Timesheet!$A$5:$A$3004,"&lt;="&amp;Settings!$B$9))</f>
        <v/>
      </c>
      <c r="F338" s="25" t="str">
        <f aca="false">IF($A338="","",SUMIFS(Timesheet!$F$5:$F$3004,Timesheet!$D$5:$D$3004,$A338,Timesheet!$A$5:$A$3004,"&gt;="&amp;Settings!$B$8,Timesheet!$A$5:$A$3004,"&lt;="&amp;Settings!$B$9))</f>
        <v/>
      </c>
      <c r="G338" s="25" t="str">
        <f aca="false">IF($A338="","",SUMIFS(Timesheet!$G$5:$G$3004,Timesheet!$D$5:$D$3004,$A338,Timesheet!$A$5:$A$3004,"&gt;="&amp;Settings!$B$8,Timesheet!$A$5:$A$3004,"&lt;="&amp;Settings!$B$9))</f>
        <v/>
      </c>
      <c r="H338" s="25" t="str">
        <f aca="false">IF($A338="","",IF(D338="Monthly",MAX(0,Settings!$B$11-E338),0))</f>
        <v/>
      </c>
      <c r="I338" s="26" t="str">
        <f aca="false">IF($A338="","",N(INDEX(Workers!$L$5:$L$2004,MATCH($A338,Workers!$A$5:$A$2004,0))))</f>
        <v/>
      </c>
      <c r="J338" s="26" t="str">
        <f aca="false">IF($A338="","",N(INDEX(Workers!$M$5:$M$2004,MATCH($A338,Workers!$A$5:$A$2004,0))))</f>
        <v/>
      </c>
      <c r="K338" s="26" t="str">
        <f aca="false">IF($A338="","",IF(D338="Monthly",ROUND(MAX(0,(I338+J338)-(I338+J338)/Settings!$B$10*H338),2),0))</f>
        <v/>
      </c>
      <c r="L338" s="26" t="str">
        <f aca="false">IF($A338="","",IF(D338="Hourly",ROUND(F338*N(INDEX(Workers!$N$5:$N$2004,MATCH($A338,Workers!$A$5:$A$2004,0))),2),0))</f>
        <v/>
      </c>
      <c r="M338" s="26" t="str">
        <f aca="false">IF($A338="","",ROUND(G338*IF(D338="Hourly",N(INDEX(Workers!$N$5:$N$2004,MATCH($A338,Workers!$A$5:$A$2004,0))),I338/Settings!$B$10/Settings!$B$12)*Settings!$B$13,2))</f>
        <v/>
      </c>
      <c r="N338" s="26" t="str">
        <f aca="false">IF($A338="","",K338+L338+M338)</f>
        <v/>
      </c>
      <c r="O338" s="26" t="str">
        <f aca="false">IF($A338="","",SUMIFS(Deductions!$D$5:$D$2000,Deductions!$B$5:$B$2000,$A338,Deductions!$C$5:$C$2000,"Advance",Deductions!$E$5:$E$2000,"&gt;="&amp;Settings!$B$8,Deductions!$E$5:$E$2000,"&lt;="&amp;Settings!$B$9))</f>
        <v/>
      </c>
      <c r="P338" s="26" t="str">
        <f aca="false">IF($A338="","",SUMIFS(Deductions!$D$5:$D$2000,Deductions!$B$5:$B$2000,$A338,Deductions!$E$5:$E$2000,"&gt;="&amp;Settings!$B$8,Deductions!$E$5:$E$2000,"&lt;="&amp;Settings!$B$9)-O338)</f>
        <v/>
      </c>
      <c r="Q338" s="26" t="str">
        <f aca="false">IF($A338="","",O338+P338)</f>
        <v/>
      </c>
      <c r="R338" s="23" t="str">
        <f aca="false">IF($A338="","",N338-Q338)</f>
        <v/>
      </c>
      <c r="S338" s="24" t="str">
        <f aca="false">IF($A338="","",INDEX(Workers!$O$5:$O$2004,MATCH($A338,Workers!$A$5:$A$2004,0))&amp;"")</f>
        <v/>
      </c>
      <c r="T338" s="24" t="str">
        <f aca="false">IF($A338="","",INDEX(Workers!$P$5:$P$2004,MATCH($A338,Workers!$A$5:$A$2004,0))&amp;"")</f>
        <v/>
      </c>
      <c r="U338" s="24" t="str">
        <f aca="false">IF($A338="","",INDEX(Workers!$H$5:$H$2004,MATCH($A338,Workers!$A$5:$A$2004,0))&amp;"")</f>
        <v/>
      </c>
    </row>
    <row r="339" customFormat="false" ht="15" hidden="false" customHeight="false" outlineLevel="0" collapsed="false">
      <c r="A339" s="24" t="str">
        <f aca="false">IFERROR(INDEX(Workers!$A$5:$A$2004,MATCH(ROW()-4,Workers!$U$5:$U$2004,0)),"")</f>
        <v/>
      </c>
      <c r="B339" s="24" t="str">
        <f aca="false">IF($A339="","",INDEX(Workers!$B$5:$B$2004,MATCH($A339,Workers!$A$5:$A$2004,0)))</f>
        <v/>
      </c>
      <c r="C339" s="24" t="str">
        <f aca="false">IF($A339="","",INDEX(Workers!$E$5:$E$2004,MATCH($A339,Workers!$A$5:$A$2004,0)))</f>
        <v/>
      </c>
      <c r="D339" s="24" t="str">
        <f aca="false">IF($A339="","",INDEX(Workers!$K$5:$K$2004,MATCH($A339,Workers!$A$5:$A$2004,0)))</f>
        <v/>
      </c>
      <c r="E339" s="25" t="str">
        <f aca="false">IF($A339="","",SUMIFS(Timesheet!$E$5:$E$3004,Timesheet!$D$5:$D$3004,$A339,Timesheet!$A$5:$A$3004,"&gt;="&amp;Settings!$B$8,Timesheet!$A$5:$A$3004,"&lt;="&amp;Settings!$B$9))</f>
        <v/>
      </c>
      <c r="F339" s="25" t="str">
        <f aca="false">IF($A339="","",SUMIFS(Timesheet!$F$5:$F$3004,Timesheet!$D$5:$D$3004,$A339,Timesheet!$A$5:$A$3004,"&gt;="&amp;Settings!$B$8,Timesheet!$A$5:$A$3004,"&lt;="&amp;Settings!$B$9))</f>
        <v/>
      </c>
      <c r="G339" s="25" t="str">
        <f aca="false">IF($A339="","",SUMIFS(Timesheet!$G$5:$G$3004,Timesheet!$D$5:$D$3004,$A339,Timesheet!$A$5:$A$3004,"&gt;="&amp;Settings!$B$8,Timesheet!$A$5:$A$3004,"&lt;="&amp;Settings!$B$9))</f>
        <v/>
      </c>
      <c r="H339" s="25" t="str">
        <f aca="false">IF($A339="","",IF(D339="Monthly",MAX(0,Settings!$B$11-E339),0))</f>
        <v/>
      </c>
      <c r="I339" s="26" t="str">
        <f aca="false">IF($A339="","",N(INDEX(Workers!$L$5:$L$2004,MATCH($A339,Workers!$A$5:$A$2004,0))))</f>
        <v/>
      </c>
      <c r="J339" s="26" t="str">
        <f aca="false">IF($A339="","",N(INDEX(Workers!$M$5:$M$2004,MATCH($A339,Workers!$A$5:$A$2004,0))))</f>
        <v/>
      </c>
      <c r="K339" s="26" t="str">
        <f aca="false">IF($A339="","",IF(D339="Monthly",ROUND(MAX(0,(I339+J339)-(I339+J339)/Settings!$B$10*H339),2),0))</f>
        <v/>
      </c>
      <c r="L339" s="26" t="str">
        <f aca="false">IF($A339="","",IF(D339="Hourly",ROUND(F339*N(INDEX(Workers!$N$5:$N$2004,MATCH($A339,Workers!$A$5:$A$2004,0))),2),0))</f>
        <v/>
      </c>
      <c r="M339" s="26" t="str">
        <f aca="false">IF($A339="","",ROUND(G339*IF(D339="Hourly",N(INDEX(Workers!$N$5:$N$2004,MATCH($A339,Workers!$A$5:$A$2004,0))),I339/Settings!$B$10/Settings!$B$12)*Settings!$B$13,2))</f>
        <v/>
      </c>
      <c r="N339" s="26" t="str">
        <f aca="false">IF($A339="","",K339+L339+M339)</f>
        <v/>
      </c>
      <c r="O339" s="26" t="str">
        <f aca="false">IF($A339="","",SUMIFS(Deductions!$D$5:$D$2000,Deductions!$B$5:$B$2000,$A339,Deductions!$C$5:$C$2000,"Advance",Deductions!$E$5:$E$2000,"&gt;="&amp;Settings!$B$8,Deductions!$E$5:$E$2000,"&lt;="&amp;Settings!$B$9))</f>
        <v/>
      </c>
      <c r="P339" s="26" t="str">
        <f aca="false">IF($A339="","",SUMIFS(Deductions!$D$5:$D$2000,Deductions!$B$5:$B$2000,$A339,Deductions!$E$5:$E$2000,"&gt;="&amp;Settings!$B$8,Deductions!$E$5:$E$2000,"&lt;="&amp;Settings!$B$9)-O339)</f>
        <v/>
      </c>
      <c r="Q339" s="26" t="str">
        <f aca="false">IF($A339="","",O339+P339)</f>
        <v/>
      </c>
      <c r="R339" s="23" t="str">
        <f aca="false">IF($A339="","",N339-Q339)</f>
        <v/>
      </c>
      <c r="S339" s="24" t="str">
        <f aca="false">IF($A339="","",INDEX(Workers!$O$5:$O$2004,MATCH($A339,Workers!$A$5:$A$2004,0))&amp;"")</f>
        <v/>
      </c>
      <c r="T339" s="24" t="str">
        <f aca="false">IF($A339="","",INDEX(Workers!$P$5:$P$2004,MATCH($A339,Workers!$A$5:$A$2004,0))&amp;"")</f>
        <v/>
      </c>
      <c r="U339" s="24" t="str">
        <f aca="false">IF($A339="","",INDEX(Workers!$H$5:$H$2004,MATCH($A339,Workers!$A$5:$A$2004,0))&amp;"")</f>
        <v/>
      </c>
    </row>
    <row r="340" customFormat="false" ht="15" hidden="false" customHeight="false" outlineLevel="0" collapsed="false">
      <c r="A340" s="24" t="str">
        <f aca="false">IFERROR(INDEX(Workers!$A$5:$A$2004,MATCH(ROW()-4,Workers!$U$5:$U$2004,0)),"")</f>
        <v/>
      </c>
      <c r="B340" s="24" t="str">
        <f aca="false">IF($A340="","",INDEX(Workers!$B$5:$B$2004,MATCH($A340,Workers!$A$5:$A$2004,0)))</f>
        <v/>
      </c>
      <c r="C340" s="24" t="str">
        <f aca="false">IF($A340="","",INDEX(Workers!$E$5:$E$2004,MATCH($A340,Workers!$A$5:$A$2004,0)))</f>
        <v/>
      </c>
      <c r="D340" s="24" t="str">
        <f aca="false">IF($A340="","",INDEX(Workers!$K$5:$K$2004,MATCH($A340,Workers!$A$5:$A$2004,0)))</f>
        <v/>
      </c>
      <c r="E340" s="25" t="str">
        <f aca="false">IF($A340="","",SUMIFS(Timesheet!$E$5:$E$3004,Timesheet!$D$5:$D$3004,$A340,Timesheet!$A$5:$A$3004,"&gt;="&amp;Settings!$B$8,Timesheet!$A$5:$A$3004,"&lt;="&amp;Settings!$B$9))</f>
        <v/>
      </c>
      <c r="F340" s="25" t="str">
        <f aca="false">IF($A340="","",SUMIFS(Timesheet!$F$5:$F$3004,Timesheet!$D$5:$D$3004,$A340,Timesheet!$A$5:$A$3004,"&gt;="&amp;Settings!$B$8,Timesheet!$A$5:$A$3004,"&lt;="&amp;Settings!$B$9))</f>
        <v/>
      </c>
      <c r="G340" s="25" t="str">
        <f aca="false">IF($A340="","",SUMIFS(Timesheet!$G$5:$G$3004,Timesheet!$D$5:$D$3004,$A340,Timesheet!$A$5:$A$3004,"&gt;="&amp;Settings!$B$8,Timesheet!$A$5:$A$3004,"&lt;="&amp;Settings!$B$9))</f>
        <v/>
      </c>
      <c r="H340" s="25" t="str">
        <f aca="false">IF($A340="","",IF(D340="Monthly",MAX(0,Settings!$B$11-E340),0))</f>
        <v/>
      </c>
      <c r="I340" s="26" t="str">
        <f aca="false">IF($A340="","",N(INDEX(Workers!$L$5:$L$2004,MATCH($A340,Workers!$A$5:$A$2004,0))))</f>
        <v/>
      </c>
      <c r="J340" s="26" t="str">
        <f aca="false">IF($A340="","",N(INDEX(Workers!$M$5:$M$2004,MATCH($A340,Workers!$A$5:$A$2004,0))))</f>
        <v/>
      </c>
      <c r="K340" s="26" t="str">
        <f aca="false">IF($A340="","",IF(D340="Monthly",ROUND(MAX(0,(I340+J340)-(I340+J340)/Settings!$B$10*H340),2),0))</f>
        <v/>
      </c>
      <c r="L340" s="26" t="str">
        <f aca="false">IF($A340="","",IF(D340="Hourly",ROUND(F340*N(INDEX(Workers!$N$5:$N$2004,MATCH($A340,Workers!$A$5:$A$2004,0))),2),0))</f>
        <v/>
      </c>
      <c r="M340" s="26" t="str">
        <f aca="false">IF($A340="","",ROUND(G340*IF(D340="Hourly",N(INDEX(Workers!$N$5:$N$2004,MATCH($A340,Workers!$A$5:$A$2004,0))),I340/Settings!$B$10/Settings!$B$12)*Settings!$B$13,2))</f>
        <v/>
      </c>
      <c r="N340" s="26" t="str">
        <f aca="false">IF($A340="","",K340+L340+M340)</f>
        <v/>
      </c>
      <c r="O340" s="26" t="str">
        <f aca="false">IF($A340="","",SUMIFS(Deductions!$D$5:$D$2000,Deductions!$B$5:$B$2000,$A340,Deductions!$C$5:$C$2000,"Advance",Deductions!$E$5:$E$2000,"&gt;="&amp;Settings!$B$8,Deductions!$E$5:$E$2000,"&lt;="&amp;Settings!$B$9))</f>
        <v/>
      </c>
      <c r="P340" s="26" t="str">
        <f aca="false">IF($A340="","",SUMIFS(Deductions!$D$5:$D$2000,Deductions!$B$5:$B$2000,$A340,Deductions!$E$5:$E$2000,"&gt;="&amp;Settings!$B$8,Deductions!$E$5:$E$2000,"&lt;="&amp;Settings!$B$9)-O340)</f>
        <v/>
      </c>
      <c r="Q340" s="26" t="str">
        <f aca="false">IF($A340="","",O340+P340)</f>
        <v/>
      </c>
      <c r="R340" s="23" t="str">
        <f aca="false">IF($A340="","",N340-Q340)</f>
        <v/>
      </c>
      <c r="S340" s="24" t="str">
        <f aca="false">IF($A340="","",INDEX(Workers!$O$5:$O$2004,MATCH($A340,Workers!$A$5:$A$2004,0))&amp;"")</f>
        <v/>
      </c>
      <c r="T340" s="24" t="str">
        <f aca="false">IF($A340="","",INDEX(Workers!$P$5:$P$2004,MATCH($A340,Workers!$A$5:$A$2004,0))&amp;"")</f>
        <v/>
      </c>
      <c r="U340" s="24" t="str">
        <f aca="false">IF($A340="","",INDEX(Workers!$H$5:$H$2004,MATCH($A340,Workers!$A$5:$A$2004,0))&amp;"")</f>
        <v/>
      </c>
    </row>
    <row r="341" customFormat="false" ht="15" hidden="false" customHeight="false" outlineLevel="0" collapsed="false">
      <c r="A341" s="24" t="str">
        <f aca="false">IFERROR(INDEX(Workers!$A$5:$A$2004,MATCH(ROW()-4,Workers!$U$5:$U$2004,0)),"")</f>
        <v/>
      </c>
      <c r="B341" s="24" t="str">
        <f aca="false">IF($A341="","",INDEX(Workers!$B$5:$B$2004,MATCH($A341,Workers!$A$5:$A$2004,0)))</f>
        <v/>
      </c>
      <c r="C341" s="24" t="str">
        <f aca="false">IF($A341="","",INDEX(Workers!$E$5:$E$2004,MATCH($A341,Workers!$A$5:$A$2004,0)))</f>
        <v/>
      </c>
      <c r="D341" s="24" t="str">
        <f aca="false">IF($A341="","",INDEX(Workers!$K$5:$K$2004,MATCH($A341,Workers!$A$5:$A$2004,0)))</f>
        <v/>
      </c>
      <c r="E341" s="25" t="str">
        <f aca="false">IF($A341="","",SUMIFS(Timesheet!$E$5:$E$3004,Timesheet!$D$5:$D$3004,$A341,Timesheet!$A$5:$A$3004,"&gt;="&amp;Settings!$B$8,Timesheet!$A$5:$A$3004,"&lt;="&amp;Settings!$B$9))</f>
        <v/>
      </c>
      <c r="F341" s="25" t="str">
        <f aca="false">IF($A341="","",SUMIFS(Timesheet!$F$5:$F$3004,Timesheet!$D$5:$D$3004,$A341,Timesheet!$A$5:$A$3004,"&gt;="&amp;Settings!$B$8,Timesheet!$A$5:$A$3004,"&lt;="&amp;Settings!$B$9))</f>
        <v/>
      </c>
      <c r="G341" s="25" t="str">
        <f aca="false">IF($A341="","",SUMIFS(Timesheet!$G$5:$G$3004,Timesheet!$D$5:$D$3004,$A341,Timesheet!$A$5:$A$3004,"&gt;="&amp;Settings!$B$8,Timesheet!$A$5:$A$3004,"&lt;="&amp;Settings!$B$9))</f>
        <v/>
      </c>
      <c r="H341" s="25" t="str">
        <f aca="false">IF($A341="","",IF(D341="Monthly",MAX(0,Settings!$B$11-E341),0))</f>
        <v/>
      </c>
      <c r="I341" s="26" t="str">
        <f aca="false">IF($A341="","",N(INDEX(Workers!$L$5:$L$2004,MATCH($A341,Workers!$A$5:$A$2004,0))))</f>
        <v/>
      </c>
      <c r="J341" s="26" t="str">
        <f aca="false">IF($A341="","",N(INDEX(Workers!$M$5:$M$2004,MATCH($A341,Workers!$A$5:$A$2004,0))))</f>
        <v/>
      </c>
      <c r="K341" s="26" t="str">
        <f aca="false">IF($A341="","",IF(D341="Monthly",ROUND(MAX(0,(I341+J341)-(I341+J341)/Settings!$B$10*H341),2),0))</f>
        <v/>
      </c>
      <c r="L341" s="26" t="str">
        <f aca="false">IF($A341="","",IF(D341="Hourly",ROUND(F341*N(INDEX(Workers!$N$5:$N$2004,MATCH($A341,Workers!$A$5:$A$2004,0))),2),0))</f>
        <v/>
      </c>
      <c r="M341" s="26" t="str">
        <f aca="false">IF($A341="","",ROUND(G341*IF(D341="Hourly",N(INDEX(Workers!$N$5:$N$2004,MATCH($A341,Workers!$A$5:$A$2004,0))),I341/Settings!$B$10/Settings!$B$12)*Settings!$B$13,2))</f>
        <v/>
      </c>
      <c r="N341" s="26" t="str">
        <f aca="false">IF($A341="","",K341+L341+M341)</f>
        <v/>
      </c>
      <c r="O341" s="26" t="str">
        <f aca="false">IF($A341="","",SUMIFS(Deductions!$D$5:$D$2000,Deductions!$B$5:$B$2000,$A341,Deductions!$C$5:$C$2000,"Advance",Deductions!$E$5:$E$2000,"&gt;="&amp;Settings!$B$8,Deductions!$E$5:$E$2000,"&lt;="&amp;Settings!$B$9))</f>
        <v/>
      </c>
      <c r="P341" s="26" t="str">
        <f aca="false">IF($A341="","",SUMIFS(Deductions!$D$5:$D$2000,Deductions!$B$5:$B$2000,$A341,Deductions!$E$5:$E$2000,"&gt;="&amp;Settings!$B$8,Deductions!$E$5:$E$2000,"&lt;="&amp;Settings!$B$9)-O341)</f>
        <v/>
      </c>
      <c r="Q341" s="26" t="str">
        <f aca="false">IF($A341="","",O341+P341)</f>
        <v/>
      </c>
      <c r="R341" s="23" t="str">
        <f aca="false">IF($A341="","",N341-Q341)</f>
        <v/>
      </c>
      <c r="S341" s="24" t="str">
        <f aca="false">IF($A341="","",INDEX(Workers!$O$5:$O$2004,MATCH($A341,Workers!$A$5:$A$2004,0))&amp;"")</f>
        <v/>
      </c>
      <c r="T341" s="24" t="str">
        <f aca="false">IF($A341="","",INDEX(Workers!$P$5:$P$2004,MATCH($A341,Workers!$A$5:$A$2004,0))&amp;"")</f>
        <v/>
      </c>
      <c r="U341" s="24" t="str">
        <f aca="false">IF($A341="","",INDEX(Workers!$H$5:$H$2004,MATCH($A341,Workers!$A$5:$A$2004,0))&amp;"")</f>
        <v/>
      </c>
    </row>
    <row r="342" customFormat="false" ht="15" hidden="false" customHeight="false" outlineLevel="0" collapsed="false">
      <c r="A342" s="24" t="str">
        <f aca="false">IFERROR(INDEX(Workers!$A$5:$A$2004,MATCH(ROW()-4,Workers!$U$5:$U$2004,0)),"")</f>
        <v/>
      </c>
      <c r="B342" s="24" t="str">
        <f aca="false">IF($A342="","",INDEX(Workers!$B$5:$B$2004,MATCH($A342,Workers!$A$5:$A$2004,0)))</f>
        <v/>
      </c>
      <c r="C342" s="24" t="str">
        <f aca="false">IF($A342="","",INDEX(Workers!$E$5:$E$2004,MATCH($A342,Workers!$A$5:$A$2004,0)))</f>
        <v/>
      </c>
      <c r="D342" s="24" t="str">
        <f aca="false">IF($A342="","",INDEX(Workers!$K$5:$K$2004,MATCH($A342,Workers!$A$5:$A$2004,0)))</f>
        <v/>
      </c>
      <c r="E342" s="25" t="str">
        <f aca="false">IF($A342="","",SUMIFS(Timesheet!$E$5:$E$3004,Timesheet!$D$5:$D$3004,$A342,Timesheet!$A$5:$A$3004,"&gt;="&amp;Settings!$B$8,Timesheet!$A$5:$A$3004,"&lt;="&amp;Settings!$B$9))</f>
        <v/>
      </c>
      <c r="F342" s="25" t="str">
        <f aca="false">IF($A342="","",SUMIFS(Timesheet!$F$5:$F$3004,Timesheet!$D$5:$D$3004,$A342,Timesheet!$A$5:$A$3004,"&gt;="&amp;Settings!$B$8,Timesheet!$A$5:$A$3004,"&lt;="&amp;Settings!$B$9))</f>
        <v/>
      </c>
      <c r="G342" s="25" t="str">
        <f aca="false">IF($A342="","",SUMIFS(Timesheet!$G$5:$G$3004,Timesheet!$D$5:$D$3004,$A342,Timesheet!$A$5:$A$3004,"&gt;="&amp;Settings!$B$8,Timesheet!$A$5:$A$3004,"&lt;="&amp;Settings!$B$9))</f>
        <v/>
      </c>
      <c r="H342" s="25" t="str">
        <f aca="false">IF($A342="","",IF(D342="Monthly",MAX(0,Settings!$B$11-E342),0))</f>
        <v/>
      </c>
      <c r="I342" s="26" t="str">
        <f aca="false">IF($A342="","",N(INDEX(Workers!$L$5:$L$2004,MATCH($A342,Workers!$A$5:$A$2004,0))))</f>
        <v/>
      </c>
      <c r="J342" s="26" t="str">
        <f aca="false">IF($A342="","",N(INDEX(Workers!$M$5:$M$2004,MATCH($A342,Workers!$A$5:$A$2004,0))))</f>
        <v/>
      </c>
      <c r="K342" s="26" t="str">
        <f aca="false">IF($A342="","",IF(D342="Monthly",ROUND(MAX(0,(I342+J342)-(I342+J342)/Settings!$B$10*H342),2),0))</f>
        <v/>
      </c>
      <c r="L342" s="26" t="str">
        <f aca="false">IF($A342="","",IF(D342="Hourly",ROUND(F342*N(INDEX(Workers!$N$5:$N$2004,MATCH($A342,Workers!$A$5:$A$2004,0))),2),0))</f>
        <v/>
      </c>
      <c r="M342" s="26" t="str">
        <f aca="false">IF($A342="","",ROUND(G342*IF(D342="Hourly",N(INDEX(Workers!$N$5:$N$2004,MATCH($A342,Workers!$A$5:$A$2004,0))),I342/Settings!$B$10/Settings!$B$12)*Settings!$B$13,2))</f>
        <v/>
      </c>
      <c r="N342" s="26" t="str">
        <f aca="false">IF($A342="","",K342+L342+M342)</f>
        <v/>
      </c>
      <c r="O342" s="26" t="str">
        <f aca="false">IF($A342="","",SUMIFS(Deductions!$D$5:$D$2000,Deductions!$B$5:$B$2000,$A342,Deductions!$C$5:$C$2000,"Advance",Deductions!$E$5:$E$2000,"&gt;="&amp;Settings!$B$8,Deductions!$E$5:$E$2000,"&lt;="&amp;Settings!$B$9))</f>
        <v/>
      </c>
      <c r="P342" s="26" t="str">
        <f aca="false">IF($A342="","",SUMIFS(Deductions!$D$5:$D$2000,Deductions!$B$5:$B$2000,$A342,Deductions!$E$5:$E$2000,"&gt;="&amp;Settings!$B$8,Deductions!$E$5:$E$2000,"&lt;="&amp;Settings!$B$9)-O342)</f>
        <v/>
      </c>
      <c r="Q342" s="26" t="str">
        <f aca="false">IF($A342="","",O342+P342)</f>
        <v/>
      </c>
      <c r="R342" s="23" t="str">
        <f aca="false">IF($A342="","",N342-Q342)</f>
        <v/>
      </c>
      <c r="S342" s="24" t="str">
        <f aca="false">IF($A342="","",INDEX(Workers!$O$5:$O$2004,MATCH($A342,Workers!$A$5:$A$2004,0))&amp;"")</f>
        <v/>
      </c>
      <c r="T342" s="24" t="str">
        <f aca="false">IF($A342="","",INDEX(Workers!$P$5:$P$2004,MATCH($A342,Workers!$A$5:$A$2004,0))&amp;"")</f>
        <v/>
      </c>
      <c r="U342" s="24" t="str">
        <f aca="false">IF($A342="","",INDEX(Workers!$H$5:$H$2004,MATCH($A342,Workers!$A$5:$A$2004,0))&amp;"")</f>
        <v/>
      </c>
    </row>
    <row r="343" customFormat="false" ht="15" hidden="false" customHeight="false" outlineLevel="0" collapsed="false">
      <c r="A343" s="24" t="str">
        <f aca="false">IFERROR(INDEX(Workers!$A$5:$A$2004,MATCH(ROW()-4,Workers!$U$5:$U$2004,0)),"")</f>
        <v/>
      </c>
      <c r="B343" s="24" t="str">
        <f aca="false">IF($A343="","",INDEX(Workers!$B$5:$B$2004,MATCH($A343,Workers!$A$5:$A$2004,0)))</f>
        <v/>
      </c>
      <c r="C343" s="24" t="str">
        <f aca="false">IF($A343="","",INDEX(Workers!$E$5:$E$2004,MATCH($A343,Workers!$A$5:$A$2004,0)))</f>
        <v/>
      </c>
      <c r="D343" s="24" t="str">
        <f aca="false">IF($A343="","",INDEX(Workers!$K$5:$K$2004,MATCH($A343,Workers!$A$5:$A$2004,0)))</f>
        <v/>
      </c>
      <c r="E343" s="25" t="str">
        <f aca="false">IF($A343="","",SUMIFS(Timesheet!$E$5:$E$3004,Timesheet!$D$5:$D$3004,$A343,Timesheet!$A$5:$A$3004,"&gt;="&amp;Settings!$B$8,Timesheet!$A$5:$A$3004,"&lt;="&amp;Settings!$B$9))</f>
        <v/>
      </c>
      <c r="F343" s="25" t="str">
        <f aca="false">IF($A343="","",SUMIFS(Timesheet!$F$5:$F$3004,Timesheet!$D$5:$D$3004,$A343,Timesheet!$A$5:$A$3004,"&gt;="&amp;Settings!$B$8,Timesheet!$A$5:$A$3004,"&lt;="&amp;Settings!$B$9))</f>
        <v/>
      </c>
      <c r="G343" s="25" t="str">
        <f aca="false">IF($A343="","",SUMIFS(Timesheet!$G$5:$G$3004,Timesheet!$D$5:$D$3004,$A343,Timesheet!$A$5:$A$3004,"&gt;="&amp;Settings!$B$8,Timesheet!$A$5:$A$3004,"&lt;="&amp;Settings!$B$9))</f>
        <v/>
      </c>
      <c r="H343" s="25" t="str">
        <f aca="false">IF($A343="","",IF(D343="Monthly",MAX(0,Settings!$B$11-E343),0))</f>
        <v/>
      </c>
      <c r="I343" s="26" t="str">
        <f aca="false">IF($A343="","",N(INDEX(Workers!$L$5:$L$2004,MATCH($A343,Workers!$A$5:$A$2004,0))))</f>
        <v/>
      </c>
      <c r="J343" s="26" t="str">
        <f aca="false">IF($A343="","",N(INDEX(Workers!$M$5:$M$2004,MATCH($A343,Workers!$A$5:$A$2004,0))))</f>
        <v/>
      </c>
      <c r="K343" s="26" t="str">
        <f aca="false">IF($A343="","",IF(D343="Monthly",ROUND(MAX(0,(I343+J343)-(I343+J343)/Settings!$B$10*H343),2),0))</f>
        <v/>
      </c>
      <c r="L343" s="26" t="str">
        <f aca="false">IF($A343="","",IF(D343="Hourly",ROUND(F343*N(INDEX(Workers!$N$5:$N$2004,MATCH($A343,Workers!$A$5:$A$2004,0))),2),0))</f>
        <v/>
      </c>
      <c r="M343" s="26" t="str">
        <f aca="false">IF($A343="","",ROUND(G343*IF(D343="Hourly",N(INDEX(Workers!$N$5:$N$2004,MATCH($A343,Workers!$A$5:$A$2004,0))),I343/Settings!$B$10/Settings!$B$12)*Settings!$B$13,2))</f>
        <v/>
      </c>
      <c r="N343" s="26" t="str">
        <f aca="false">IF($A343="","",K343+L343+M343)</f>
        <v/>
      </c>
      <c r="O343" s="26" t="str">
        <f aca="false">IF($A343="","",SUMIFS(Deductions!$D$5:$D$2000,Deductions!$B$5:$B$2000,$A343,Deductions!$C$5:$C$2000,"Advance",Deductions!$E$5:$E$2000,"&gt;="&amp;Settings!$B$8,Deductions!$E$5:$E$2000,"&lt;="&amp;Settings!$B$9))</f>
        <v/>
      </c>
      <c r="P343" s="26" t="str">
        <f aca="false">IF($A343="","",SUMIFS(Deductions!$D$5:$D$2000,Deductions!$B$5:$B$2000,$A343,Deductions!$E$5:$E$2000,"&gt;="&amp;Settings!$B$8,Deductions!$E$5:$E$2000,"&lt;="&amp;Settings!$B$9)-O343)</f>
        <v/>
      </c>
      <c r="Q343" s="26" t="str">
        <f aca="false">IF($A343="","",O343+P343)</f>
        <v/>
      </c>
      <c r="R343" s="23" t="str">
        <f aca="false">IF($A343="","",N343-Q343)</f>
        <v/>
      </c>
      <c r="S343" s="24" t="str">
        <f aca="false">IF($A343="","",INDEX(Workers!$O$5:$O$2004,MATCH($A343,Workers!$A$5:$A$2004,0))&amp;"")</f>
        <v/>
      </c>
      <c r="T343" s="24" t="str">
        <f aca="false">IF($A343="","",INDEX(Workers!$P$5:$P$2004,MATCH($A343,Workers!$A$5:$A$2004,0))&amp;"")</f>
        <v/>
      </c>
      <c r="U343" s="24" t="str">
        <f aca="false">IF($A343="","",INDEX(Workers!$H$5:$H$2004,MATCH($A343,Workers!$A$5:$A$2004,0))&amp;"")</f>
        <v/>
      </c>
    </row>
    <row r="344" customFormat="false" ht="15" hidden="false" customHeight="false" outlineLevel="0" collapsed="false">
      <c r="A344" s="24" t="str">
        <f aca="false">IFERROR(INDEX(Workers!$A$5:$A$2004,MATCH(ROW()-4,Workers!$U$5:$U$2004,0)),"")</f>
        <v/>
      </c>
      <c r="B344" s="24" t="str">
        <f aca="false">IF($A344="","",INDEX(Workers!$B$5:$B$2004,MATCH($A344,Workers!$A$5:$A$2004,0)))</f>
        <v/>
      </c>
      <c r="C344" s="24" t="str">
        <f aca="false">IF($A344="","",INDEX(Workers!$E$5:$E$2004,MATCH($A344,Workers!$A$5:$A$2004,0)))</f>
        <v/>
      </c>
      <c r="D344" s="24" t="str">
        <f aca="false">IF($A344="","",INDEX(Workers!$K$5:$K$2004,MATCH($A344,Workers!$A$5:$A$2004,0)))</f>
        <v/>
      </c>
      <c r="E344" s="25" t="str">
        <f aca="false">IF($A344="","",SUMIFS(Timesheet!$E$5:$E$3004,Timesheet!$D$5:$D$3004,$A344,Timesheet!$A$5:$A$3004,"&gt;="&amp;Settings!$B$8,Timesheet!$A$5:$A$3004,"&lt;="&amp;Settings!$B$9))</f>
        <v/>
      </c>
      <c r="F344" s="25" t="str">
        <f aca="false">IF($A344="","",SUMIFS(Timesheet!$F$5:$F$3004,Timesheet!$D$5:$D$3004,$A344,Timesheet!$A$5:$A$3004,"&gt;="&amp;Settings!$B$8,Timesheet!$A$5:$A$3004,"&lt;="&amp;Settings!$B$9))</f>
        <v/>
      </c>
      <c r="G344" s="25" t="str">
        <f aca="false">IF($A344="","",SUMIFS(Timesheet!$G$5:$G$3004,Timesheet!$D$5:$D$3004,$A344,Timesheet!$A$5:$A$3004,"&gt;="&amp;Settings!$B$8,Timesheet!$A$5:$A$3004,"&lt;="&amp;Settings!$B$9))</f>
        <v/>
      </c>
      <c r="H344" s="25" t="str">
        <f aca="false">IF($A344="","",IF(D344="Monthly",MAX(0,Settings!$B$11-E344),0))</f>
        <v/>
      </c>
      <c r="I344" s="26" t="str">
        <f aca="false">IF($A344="","",N(INDEX(Workers!$L$5:$L$2004,MATCH($A344,Workers!$A$5:$A$2004,0))))</f>
        <v/>
      </c>
      <c r="J344" s="26" t="str">
        <f aca="false">IF($A344="","",N(INDEX(Workers!$M$5:$M$2004,MATCH($A344,Workers!$A$5:$A$2004,0))))</f>
        <v/>
      </c>
      <c r="K344" s="26" t="str">
        <f aca="false">IF($A344="","",IF(D344="Monthly",ROUND(MAX(0,(I344+J344)-(I344+J344)/Settings!$B$10*H344),2),0))</f>
        <v/>
      </c>
      <c r="L344" s="26" t="str">
        <f aca="false">IF($A344="","",IF(D344="Hourly",ROUND(F344*N(INDEX(Workers!$N$5:$N$2004,MATCH($A344,Workers!$A$5:$A$2004,0))),2),0))</f>
        <v/>
      </c>
      <c r="M344" s="26" t="str">
        <f aca="false">IF($A344="","",ROUND(G344*IF(D344="Hourly",N(INDEX(Workers!$N$5:$N$2004,MATCH($A344,Workers!$A$5:$A$2004,0))),I344/Settings!$B$10/Settings!$B$12)*Settings!$B$13,2))</f>
        <v/>
      </c>
      <c r="N344" s="26" t="str">
        <f aca="false">IF($A344="","",K344+L344+M344)</f>
        <v/>
      </c>
      <c r="O344" s="26" t="str">
        <f aca="false">IF($A344="","",SUMIFS(Deductions!$D$5:$D$2000,Deductions!$B$5:$B$2000,$A344,Deductions!$C$5:$C$2000,"Advance",Deductions!$E$5:$E$2000,"&gt;="&amp;Settings!$B$8,Deductions!$E$5:$E$2000,"&lt;="&amp;Settings!$B$9))</f>
        <v/>
      </c>
      <c r="P344" s="26" t="str">
        <f aca="false">IF($A344="","",SUMIFS(Deductions!$D$5:$D$2000,Deductions!$B$5:$B$2000,$A344,Deductions!$E$5:$E$2000,"&gt;="&amp;Settings!$B$8,Deductions!$E$5:$E$2000,"&lt;="&amp;Settings!$B$9)-O344)</f>
        <v/>
      </c>
      <c r="Q344" s="26" t="str">
        <f aca="false">IF($A344="","",O344+P344)</f>
        <v/>
      </c>
      <c r="R344" s="23" t="str">
        <f aca="false">IF($A344="","",N344-Q344)</f>
        <v/>
      </c>
      <c r="S344" s="24" t="str">
        <f aca="false">IF($A344="","",INDEX(Workers!$O$5:$O$2004,MATCH($A344,Workers!$A$5:$A$2004,0))&amp;"")</f>
        <v/>
      </c>
      <c r="T344" s="24" t="str">
        <f aca="false">IF($A344="","",INDEX(Workers!$P$5:$P$2004,MATCH($A344,Workers!$A$5:$A$2004,0))&amp;"")</f>
        <v/>
      </c>
      <c r="U344" s="24" t="str">
        <f aca="false">IF($A344="","",INDEX(Workers!$H$5:$H$2004,MATCH($A344,Workers!$A$5:$A$2004,0))&amp;"")</f>
        <v/>
      </c>
    </row>
    <row r="345" customFormat="false" ht="15" hidden="false" customHeight="false" outlineLevel="0" collapsed="false">
      <c r="A345" s="24" t="str">
        <f aca="false">IFERROR(INDEX(Workers!$A$5:$A$2004,MATCH(ROW()-4,Workers!$U$5:$U$2004,0)),"")</f>
        <v/>
      </c>
      <c r="B345" s="24" t="str">
        <f aca="false">IF($A345="","",INDEX(Workers!$B$5:$B$2004,MATCH($A345,Workers!$A$5:$A$2004,0)))</f>
        <v/>
      </c>
      <c r="C345" s="24" t="str">
        <f aca="false">IF($A345="","",INDEX(Workers!$E$5:$E$2004,MATCH($A345,Workers!$A$5:$A$2004,0)))</f>
        <v/>
      </c>
      <c r="D345" s="24" t="str">
        <f aca="false">IF($A345="","",INDEX(Workers!$K$5:$K$2004,MATCH($A345,Workers!$A$5:$A$2004,0)))</f>
        <v/>
      </c>
      <c r="E345" s="25" t="str">
        <f aca="false">IF($A345="","",SUMIFS(Timesheet!$E$5:$E$3004,Timesheet!$D$5:$D$3004,$A345,Timesheet!$A$5:$A$3004,"&gt;="&amp;Settings!$B$8,Timesheet!$A$5:$A$3004,"&lt;="&amp;Settings!$B$9))</f>
        <v/>
      </c>
      <c r="F345" s="25" t="str">
        <f aca="false">IF($A345="","",SUMIFS(Timesheet!$F$5:$F$3004,Timesheet!$D$5:$D$3004,$A345,Timesheet!$A$5:$A$3004,"&gt;="&amp;Settings!$B$8,Timesheet!$A$5:$A$3004,"&lt;="&amp;Settings!$B$9))</f>
        <v/>
      </c>
      <c r="G345" s="25" t="str">
        <f aca="false">IF($A345="","",SUMIFS(Timesheet!$G$5:$G$3004,Timesheet!$D$5:$D$3004,$A345,Timesheet!$A$5:$A$3004,"&gt;="&amp;Settings!$B$8,Timesheet!$A$5:$A$3004,"&lt;="&amp;Settings!$B$9))</f>
        <v/>
      </c>
      <c r="H345" s="25" t="str">
        <f aca="false">IF($A345="","",IF(D345="Monthly",MAX(0,Settings!$B$11-E345),0))</f>
        <v/>
      </c>
      <c r="I345" s="26" t="str">
        <f aca="false">IF($A345="","",N(INDEX(Workers!$L$5:$L$2004,MATCH($A345,Workers!$A$5:$A$2004,0))))</f>
        <v/>
      </c>
      <c r="J345" s="26" t="str">
        <f aca="false">IF($A345="","",N(INDEX(Workers!$M$5:$M$2004,MATCH($A345,Workers!$A$5:$A$2004,0))))</f>
        <v/>
      </c>
      <c r="K345" s="26" t="str">
        <f aca="false">IF($A345="","",IF(D345="Monthly",ROUND(MAX(0,(I345+J345)-(I345+J345)/Settings!$B$10*H345),2),0))</f>
        <v/>
      </c>
      <c r="L345" s="26" t="str">
        <f aca="false">IF($A345="","",IF(D345="Hourly",ROUND(F345*N(INDEX(Workers!$N$5:$N$2004,MATCH($A345,Workers!$A$5:$A$2004,0))),2),0))</f>
        <v/>
      </c>
      <c r="M345" s="26" t="str">
        <f aca="false">IF($A345="","",ROUND(G345*IF(D345="Hourly",N(INDEX(Workers!$N$5:$N$2004,MATCH($A345,Workers!$A$5:$A$2004,0))),I345/Settings!$B$10/Settings!$B$12)*Settings!$B$13,2))</f>
        <v/>
      </c>
      <c r="N345" s="26" t="str">
        <f aca="false">IF($A345="","",K345+L345+M345)</f>
        <v/>
      </c>
      <c r="O345" s="26" t="str">
        <f aca="false">IF($A345="","",SUMIFS(Deductions!$D$5:$D$2000,Deductions!$B$5:$B$2000,$A345,Deductions!$C$5:$C$2000,"Advance",Deductions!$E$5:$E$2000,"&gt;="&amp;Settings!$B$8,Deductions!$E$5:$E$2000,"&lt;="&amp;Settings!$B$9))</f>
        <v/>
      </c>
      <c r="P345" s="26" t="str">
        <f aca="false">IF($A345="","",SUMIFS(Deductions!$D$5:$D$2000,Deductions!$B$5:$B$2000,$A345,Deductions!$E$5:$E$2000,"&gt;="&amp;Settings!$B$8,Deductions!$E$5:$E$2000,"&lt;="&amp;Settings!$B$9)-O345)</f>
        <v/>
      </c>
      <c r="Q345" s="26" t="str">
        <f aca="false">IF($A345="","",O345+P345)</f>
        <v/>
      </c>
      <c r="R345" s="23" t="str">
        <f aca="false">IF($A345="","",N345-Q345)</f>
        <v/>
      </c>
      <c r="S345" s="24" t="str">
        <f aca="false">IF($A345="","",INDEX(Workers!$O$5:$O$2004,MATCH($A345,Workers!$A$5:$A$2004,0))&amp;"")</f>
        <v/>
      </c>
      <c r="T345" s="24" t="str">
        <f aca="false">IF($A345="","",INDEX(Workers!$P$5:$P$2004,MATCH($A345,Workers!$A$5:$A$2004,0))&amp;"")</f>
        <v/>
      </c>
      <c r="U345" s="24" t="str">
        <f aca="false">IF($A345="","",INDEX(Workers!$H$5:$H$2004,MATCH($A345,Workers!$A$5:$A$2004,0))&amp;"")</f>
        <v/>
      </c>
    </row>
    <row r="346" customFormat="false" ht="15" hidden="false" customHeight="false" outlineLevel="0" collapsed="false">
      <c r="A346" s="24" t="str">
        <f aca="false">IFERROR(INDEX(Workers!$A$5:$A$2004,MATCH(ROW()-4,Workers!$U$5:$U$2004,0)),"")</f>
        <v/>
      </c>
      <c r="B346" s="24" t="str">
        <f aca="false">IF($A346="","",INDEX(Workers!$B$5:$B$2004,MATCH($A346,Workers!$A$5:$A$2004,0)))</f>
        <v/>
      </c>
      <c r="C346" s="24" t="str">
        <f aca="false">IF($A346="","",INDEX(Workers!$E$5:$E$2004,MATCH($A346,Workers!$A$5:$A$2004,0)))</f>
        <v/>
      </c>
      <c r="D346" s="24" t="str">
        <f aca="false">IF($A346="","",INDEX(Workers!$K$5:$K$2004,MATCH($A346,Workers!$A$5:$A$2004,0)))</f>
        <v/>
      </c>
      <c r="E346" s="25" t="str">
        <f aca="false">IF($A346="","",SUMIFS(Timesheet!$E$5:$E$3004,Timesheet!$D$5:$D$3004,$A346,Timesheet!$A$5:$A$3004,"&gt;="&amp;Settings!$B$8,Timesheet!$A$5:$A$3004,"&lt;="&amp;Settings!$B$9))</f>
        <v/>
      </c>
      <c r="F346" s="25" t="str">
        <f aca="false">IF($A346="","",SUMIFS(Timesheet!$F$5:$F$3004,Timesheet!$D$5:$D$3004,$A346,Timesheet!$A$5:$A$3004,"&gt;="&amp;Settings!$B$8,Timesheet!$A$5:$A$3004,"&lt;="&amp;Settings!$B$9))</f>
        <v/>
      </c>
      <c r="G346" s="25" t="str">
        <f aca="false">IF($A346="","",SUMIFS(Timesheet!$G$5:$G$3004,Timesheet!$D$5:$D$3004,$A346,Timesheet!$A$5:$A$3004,"&gt;="&amp;Settings!$B$8,Timesheet!$A$5:$A$3004,"&lt;="&amp;Settings!$B$9))</f>
        <v/>
      </c>
      <c r="H346" s="25" t="str">
        <f aca="false">IF($A346="","",IF(D346="Monthly",MAX(0,Settings!$B$11-E346),0))</f>
        <v/>
      </c>
      <c r="I346" s="26" t="str">
        <f aca="false">IF($A346="","",N(INDEX(Workers!$L$5:$L$2004,MATCH($A346,Workers!$A$5:$A$2004,0))))</f>
        <v/>
      </c>
      <c r="J346" s="26" t="str">
        <f aca="false">IF($A346="","",N(INDEX(Workers!$M$5:$M$2004,MATCH($A346,Workers!$A$5:$A$2004,0))))</f>
        <v/>
      </c>
      <c r="K346" s="26" t="str">
        <f aca="false">IF($A346="","",IF(D346="Monthly",ROUND(MAX(0,(I346+J346)-(I346+J346)/Settings!$B$10*H346),2),0))</f>
        <v/>
      </c>
      <c r="L346" s="26" t="str">
        <f aca="false">IF($A346="","",IF(D346="Hourly",ROUND(F346*N(INDEX(Workers!$N$5:$N$2004,MATCH($A346,Workers!$A$5:$A$2004,0))),2),0))</f>
        <v/>
      </c>
      <c r="M346" s="26" t="str">
        <f aca="false">IF($A346="","",ROUND(G346*IF(D346="Hourly",N(INDEX(Workers!$N$5:$N$2004,MATCH($A346,Workers!$A$5:$A$2004,0))),I346/Settings!$B$10/Settings!$B$12)*Settings!$B$13,2))</f>
        <v/>
      </c>
      <c r="N346" s="26" t="str">
        <f aca="false">IF($A346="","",K346+L346+M346)</f>
        <v/>
      </c>
      <c r="O346" s="26" t="str">
        <f aca="false">IF($A346="","",SUMIFS(Deductions!$D$5:$D$2000,Deductions!$B$5:$B$2000,$A346,Deductions!$C$5:$C$2000,"Advance",Deductions!$E$5:$E$2000,"&gt;="&amp;Settings!$B$8,Deductions!$E$5:$E$2000,"&lt;="&amp;Settings!$B$9))</f>
        <v/>
      </c>
      <c r="P346" s="26" t="str">
        <f aca="false">IF($A346="","",SUMIFS(Deductions!$D$5:$D$2000,Deductions!$B$5:$B$2000,$A346,Deductions!$E$5:$E$2000,"&gt;="&amp;Settings!$B$8,Deductions!$E$5:$E$2000,"&lt;="&amp;Settings!$B$9)-O346)</f>
        <v/>
      </c>
      <c r="Q346" s="26" t="str">
        <f aca="false">IF($A346="","",O346+P346)</f>
        <v/>
      </c>
      <c r="R346" s="23" t="str">
        <f aca="false">IF($A346="","",N346-Q346)</f>
        <v/>
      </c>
      <c r="S346" s="24" t="str">
        <f aca="false">IF($A346="","",INDEX(Workers!$O$5:$O$2004,MATCH($A346,Workers!$A$5:$A$2004,0))&amp;"")</f>
        <v/>
      </c>
      <c r="T346" s="24" t="str">
        <f aca="false">IF($A346="","",INDEX(Workers!$P$5:$P$2004,MATCH($A346,Workers!$A$5:$A$2004,0))&amp;"")</f>
        <v/>
      </c>
      <c r="U346" s="24" t="str">
        <f aca="false">IF($A346="","",INDEX(Workers!$H$5:$H$2004,MATCH($A346,Workers!$A$5:$A$2004,0))&amp;"")</f>
        <v/>
      </c>
    </row>
    <row r="347" customFormat="false" ht="15" hidden="false" customHeight="false" outlineLevel="0" collapsed="false">
      <c r="A347" s="24" t="str">
        <f aca="false">IFERROR(INDEX(Workers!$A$5:$A$2004,MATCH(ROW()-4,Workers!$U$5:$U$2004,0)),"")</f>
        <v/>
      </c>
      <c r="B347" s="24" t="str">
        <f aca="false">IF($A347="","",INDEX(Workers!$B$5:$B$2004,MATCH($A347,Workers!$A$5:$A$2004,0)))</f>
        <v/>
      </c>
      <c r="C347" s="24" t="str">
        <f aca="false">IF($A347="","",INDEX(Workers!$E$5:$E$2004,MATCH($A347,Workers!$A$5:$A$2004,0)))</f>
        <v/>
      </c>
      <c r="D347" s="24" t="str">
        <f aca="false">IF($A347="","",INDEX(Workers!$K$5:$K$2004,MATCH($A347,Workers!$A$5:$A$2004,0)))</f>
        <v/>
      </c>
      <c r="E347" s="25" t="str">
        <f aca="false">IF($A347="","",SUMIFS(Timesheet!$E$5:$E$3004,Timesheet!$D$5:$D$3004,$A347,Timesheet!$A$5:$A$3004,"&gt;="&amp;Settings!$B$8,Timesheet!$A$5:$A$3004,"&lt;="&amp;Settings!$B$9))</f>
        <v/>
      </c>
      <c r="F347" s="25" t="str">
        <f aca="false">IF($A347="","",SUMIFS(Timesheet!$F$5:$F$3004,Timesheet!$D$5:$D$3004,$A347,Timesheet!$A$5:$A$3004,"&gt;="&amp;Settings!$B$8,Timesheet!$A$5:$A$3004,"&lt;="&amp;Settings!$B$9))</f>
        <v/>
      </c>
      <c r="G347" s="25" t="str">
        <f aca="false">IF($A347="","",SUMIFS(Timesheet!$G$5:$G$3004,Timesheet!$D$5:$D$3004,$A347,Timesheet!$A$5:$A$3004,"&gt;="&amp;Settings!$B$8,Timesheet!$A$5:$A$3004,"&lt;="&amp;Settings!$B$9))</f>
        <v/>
      </c>
      <c r="H347" s="25" t="str">
        <f aca="false">IF($A347="","",IF(D347="Monthly",MAX(0,Settings!$B$11-E347),0))</f>
        <v/>
      </c>
      <c r="I347" s="26" t="str">
        <f aca="false">IF($A347="","",N(INDEX(Workers!$L$5:$L$2004,MATCH($A347,Workers!$A$5:$A$2004,0))))</f>
        <v/>
      </c>
      <c r="J347" s="26" t="str">
        <f aca="false">IF($A347="","",N(INDEX(Workers!$M$5:$M$2004,MATCH($A347,Workers!$A$5:$A$2004,0))))</f>
        <v/>
      </c>
      <c r="K347" s="26" t="str">
        <f aca="false">IF($A347="","",IF(D347="Monthly",ROUND(MAX(0,(I347+J347)-(I347+J347)/Settings!$B$10*H347),2),0))</f>
        <v/>
      </c>
      <c r="L347" s="26" t="str">
        <f aca="false">IF($A347="","",IF(D347="Hourly",ROUND(F347*N(INDEX(Workers!$N$5:$N$2004,MATCH($A347,Workers!$A$5:$A$2004,0))),2),0))</f>
        <v/>
      </c>
      <c r="M347" s="26" t="str">
        <f aca="false">IF($A347="","",ROUND(G347*IF(D347="Hourly",N(INDEX(Workers!$N$5:$N$2004,MATCH($A347,Workers!$A$5:$A$2004,0))),I347/Settings!$B$10/Settings!$B$12)*Settings!$B$13,2))</f>
        <v/>
      </c>
      <c r="N347" s="26" t="str">
        <f aca="false">IF($A347="","",K347+L347+M347)</f>
        <v/>
      </c>
      <c r="O347" s="26" t="str">
        <f aca="false">IF($A347="","",SUMIFS(Deductions!$D$5:$D$2000,Deductions!$B$5:$B$2000,$A347,Deductions!$C$5:$C$2000,"Advance",Deductions!$E$5:$E$2000,"&gt;="&amp;Settings!$B$8,Deductions!$E$5:$E$2000,"&lt;="&amp;Settings!$B$9))</f>
        <v/>
      </c>
      <c r="P347" s="26" t="str">
        <f aca="false">IF($A347="","",SUMIFS(Deductions!$D$5:$D$2000,Deductions!$B$5:$B$2000,$A347,Deductions!$E$5:$E$2000,"&gt;="&amp;Settings!$B$8,Deductions!$E$5:$E$2000,"&lt;="&amp;Settings!$B$9)-O347)</f>
        <v/>
      </c>
      <c r="Q347" s="26" t="str">
        <f aca="false">IF($A347="","",O347+P347)</f>
        <v/>
      </c>
      <c r="R347" s="23" t="str">
        <f aca="false">IF($A347="","",N347-Q347)</f>
        <v/>
      </c>
      <c r="S347" s="24" t="str">
        <f aca="false">IF($A347="","",INDEX(Workers!$O$5:$O$2004,MATCH($A347,Workers!$A$5:$A$2004,0))&amp;"")</f>
        <v/>
      </c>
      <c r="T347" s="24" t="str">
        <f aca="false">IF($A347="","",INDEX(Workers!$P$5:$P$2004,MATCH($A347,Workers!$A$5:$A$2004,0))&amp;"")</f>
        <v/>
      </c>
      <c r="U347" s="24" t="str">
        <f aca="false">IF($A347="","",INDEX(Workers!$H$5:$H$2004,MATCH($A347,Workers!$A$5:$A$2004,0))&amp;"")</f>
        <v/>
      </c>
    </row>
    <row r="348" customFormat="false" ht="15" hidden="false" customHeight="false" outlineLevel="0" collapsed="false">
      <c r="A348" s="24" t="str">
        <f aca="false">IFERROR(INDEX(Workers!$A$5:$A$2004,MATCH(ROW()-4,Workers!$U$5:$U$2004,0)),"")</f>
        <v/>
      </c>
      <c r="B348" s="24" t="str">
        <f aca="false">IF($A348="","",INDEX(Workers!$B$5:$B$2004,MATCH($A348,Workers!$A$5:$A$2004,0)))</f>
        <v/>
      </c>
      <c r="C348" s="24" t="str">
        <f aca="false">IF($A348="","",INDEX(Workers!$E$5:$E$2004,MATCH($A348,Workers!$A$5:$A$2004,0)))</f>
        <v/>
      </c>
      <c r="D348" s="24" t="str">
        <f aca="false">IF($A348="","",INDEX(Workers!$K$5:$K$2004,MATCH($A348,Workers!$A$5:$A$2004,0)))</f>
        <v/>
      </c>
      <c r="E348" s="25" t="str">
        <f aca="false">IF($A348="","",SUMIFS(Timesheet!$E$5:$E$3004,Timesheet!$D$5:$D$3004,$A348,Timesheet!$A$5:$A$3004,"&gt;="&amp;Settings!$B$8,Timesheet!$A$5:$A$3004,"&lt;="&amp;Settings!$B$9))</f>
        <v/>
      </c>
      <c r="F348" s="25" t="str">
        <f aca="false">IF($A348="","",SUMIFS(Timesheet!$F$5:$F$3004,Timesheet!$D$5:$D$3004,$A348,Timesheet!$A$5:$A$3004,"&gt;="&amp;Settings!$B$8,Timesheet!$A$5:$A$3004,"&lt;="&amp;Settings!$B$9))</f>
        <v/>
      </c>
      <c r="G348" s="25" t="str">
        <f aca="false">IF($A348="","",SUMIFS(Timesheet!$G$5:$G$3004,Timesheet!$D$5:$D$3004,$A348,Timesheet!$A$5:$A$3004,"&gt;="&amp;Settings!$B$8,Timesheet!$A$5:$A$3004,"&lt;="&amp;Settings!$B$9))</f>
        <v/>
      </c>
      <c r="H348" s="25" t="str">
        <f aca="false">IF($A348="","",IF(D348="Monthly",MAX(0,Settings!$B$11-E348),0))</f>
        <v/>
      </c>
      <c r="I348" s="26" t="str">
        <f aca="false">IF($A348="","",N(INDEX(Workers!$L$5:$L$2004,MATCH($A348,Workers!$A$5:$A$2004,0))))</f>
        <v/>
      </c>
      <c r="J348" s="26" t="str">
        <f aca="false">IF($A348="","",N(INDEX(Workers!$M$5:$M$2004,MATCH($A348,Workers!$A$5:$A$2004,0))))</f>
        <v/>
      </c>
      <c r="K348" s="26" t="str">
        <f aca="false">IF($A348="","",IF(D348="Monthly",ROUND(MAX(0,(I348+J348)-(I348+J348)/Settings!$B$10*H348),2),0))</f>
        <v/>
      </c>
      <c r="L348" s="26" t="str">
        <f aca="false">IF($A348="","",IF(D348="Hourly",ROUND(F348*N(INDEX(Workers!$N$5:$N$2004,MATCH($A348,Workers!$A$5:$A$2004,0))),2),0))</f>
        <v/>
      </c>
      <c r="M348" s="26" t="str">
        <f aca="false">IF($A348="","",ROUND(G348*IF(D348="Hourly",N(INDEX(Workers!$N$5:$N$2004,MATCH($A348,Workers!$A$5:$A$2004,0))),I348/Settings!$B$10/Settings!$B$12)*Settings!$B$13,2))</f>
        <v/>
      </c>
      <c r="N348" s="26" t="str">
        <f aca="false">IF($A348="","",K348+L348+M348)</f>
        <v/>
      </c>
      <c r="O348" s="26" t="str">
        <f aca="false">IF($A348="","",SUMIFS(Deductions!$D$5:$D$2000,Deductions!$B$5:$B$2000,$A348,Deductions!$C$5:$C$2000,"Advance",Deductions!$E$5:$E$2000,"&gt;="&amp;Settings!$B$8,Deductions!$E$5:$E$2000,"&lt;="&amp;Settings!$B$9))</f>
        <v/>
      </c>
      <c r="P348" s="26" t="str">
        <f aca="false">IF($A348="","",SUMIFS(Deductions!$D$5:$D$2000,Deductions!$B$5:$B$2000,$A348,Deductions!$E$5:$E$2000,"&gt;="&amp;Settings!$B$8,Deductions!$E$5:$E$2000,"&lt;="&amp;Settings!$B$9)-O348)</f>
        <v/>
      </c>
      <c r="Q348" s="26" t="str">
        <f aca="false">IF($A348="","",O348+P348)</f>
        <v/>
      </c>
      <c r="R348" s="23" t="str">
        <f aca="false">IF($A348="","",N348-Q348)</f>
        <v/>
      </c>
      <c r="S348" s="24" t="str">
        <f aca="false">IF($A348="","",INDEX(Workers!$O$5:$O$2004,MATCH($A348,Workers!$A$5:$A$2004,0))&amp;"")</f>
        <v/>
      </c>
      <c r="T348" s="24" t="str">
        <f aca="false">IF($A348="","",INDEX(Workers!$P$5:$P$2004,MATCH($A348,Workers!$A$5:$A$2004,0))&amp;"")</f>
        <v/>
      </c>
      <c r="U348" s="24" t="str">
        <f aca="false">IF($A348="","",INDEX(Workers!$H$5:$H$2004,MATCH($A348,Workers!$A$5:$A$2004,0))&amp;"")</f>
        <v/>
      </c>
    </row>
    <row r="349" customFormat="false" ht="15" hidden="false" customHeight="false" outlineLevel="0" collapsed="false">
      <c r="A349" s="24" t="str">
        <f aca="false">IFERROR(INDEX(Workers!$A$5:$A$2004,MATCH(ROW()-4,Workers!$U$5:$U$2004,0)),"")</f>
        <v/>
      </c>
      <c r="B349" s="24" t="str">
        <f aca="false">IF($A349="","",INDEX(Workers!$B$5:$B$2004,MATCH($A349,Workers!$A$5:$A$2004,0)))</f>
        <v/>
      </c>
      <c r="C349" s="24" t="str">
        <f aca="false">IF($A349="","",INDEX(Workers!$E$5:$E$2004,MATCH($A349,Workers!$A$5:$A$2004,0)))</f>
        <v/>
      </c>
      <c r="D349" s="24" t="str">
        <f aca="false">IF($A349="","",INDEX(Workers!$K$5:$K$2004,MATCH($A349,Workers!$A$5:$A$2004,0)))</f>
        <v/>
      </c>
      <c r="E349" s="25" t="str">
        <f aca="false">IF($A349="","",SUMIFS(Timesheet!$E$5:$E$3004,Timesheet!$D$5:$D$3004,$A349,Timesheet!$A$5:$A$3004,"&gt;="&amp;Settings!$B$8,Timesheet!$A$5:$A$3004,"&lt;="&amp;Settings!$B$9))</f>
        <v/>
      </c>
      <c r="F349" s="25" t="str">
        <f aca="false">IF($A349="","",SUMIFS(Timesheet!$F$5:$F$3004,Timesheet!$D$5:$D$3004,$A349,Timesheet!$A$5:$A$3004,"&gt;="&amp;Settings!$B$8,Timesheet!$A$5:$A$3004,"&lt;="&amp;Settings!$B$9))</f>
        <v/>
      </c>
      <c r="G349" s="25" t="str">
        <f aca="false">IF($A349="","",SUMIFS(Timesheet!$G$5:$G$3004,Timesheet!$D$5:$D$3004,$A349,Timesheet!$A$5:$A$3004,"&gt;="&amp;Settings!$B$8,Timesheet!$A$5:$A$3004,"&lt;="&amp;Settings!$B$9))</f>
        <v/>
      </c>
      <c r="H349" s="25" t="str">
        <f aca="false">IF($A349="","",IF(D349="Monthly",MAX(0,Settings!$B$11-E349),0))</f>
        <v/>
      </c>
      <c r="I349" s="26" t="str">
        <f aca="false">IF($A349="","",N(INDEX(Workers!$L$5:$L$2004,MATCH($A349,Workers!$A$5:$A$2004,0))))</f>
        <v/>
      </c>
      <c r="J349" s="26" t="str">
        <f aca="false">IF($A349="","",N(INDEX(Workers!$M$5:$M$2004,MATCH($A349,Workers!$A$5:$A$2004,0))))</f>
        <v/>
      </c>
      <c r="K349" s="26" t="str">
        <f aca="false">IF($A349="","",IF(D349="Monthly",ROUND(MAX(0,(I349+J349)-(I349+J349)/Settings!$B$10*H349),2),0))</f>
        <v/>
      </c>
      <c r="L349" s="26" t="str">
        <f aca="false">IF($A349="","",IF(D349="Hourly",ROUND(F349*N(INDEX(Workers!$N$5:$N$2004,MATCH($A349,Workers!$A$5:$A$2004,0))),2),0))</f>
        <v/>
      </c>
      <c r="M349" s="26" t="str">
        <f aca="false">IF($A349="","",ROUND(G349*IF(D349="Hourly",N(INDEX(Workers!$N$5:$N$2004,MATCH($A349,Workers!$A$5:$A$2004,0))),I349/Settings!$B$10/Settings!$B$12)*Settings!$B$13,2))</f>
        <v/>
      </c>
      <c r="N349" s="26" t="str">
        <f aca="false">IF($A349="","",K349+L349+M349)</f>
        <v/>
      </c>
      <c r="O349" s="26" t="str">
        <f aca="false">IF($A349="","",SUMIFS(Deductions!$D$5:$D$2000,Deductions!$B$5:$B$2000,$A349,Deductions!$C$5:$C$2000,"Advance",Deductions!$E$5:$E$2000,"&gt;="&amp;Settings!$B$8,Deductions!$E$5:$E$2000,"&lt;="&amp;Settings!$B$9))</f>
        <v/>
      </c>
      <c r="P349" s="26" t="str">
        <f aca="false">IF($A349="","",SUMIFS(Deductions!$D$5:$D$2000,Deductions!$B$5:$B$2000,$A349,Deductions!$E$5:$E$2000,"&gt;="&amp;Settings!$B$8,Deductions!$E$5:$E$2000,"&lt;="&amp;Settings!$B$9)-O349)</f>
        <v/>
      </c>
      <c r="Q349" s="26" t="str">
        <f aca="false">IF($A349="","",O349+P349)</f>
        <v/>
      </c>
      <c r="R349" s="23" t="str">
        <f aca="false">IF($A349="","",N349-Q349)</f>
        <v/>
      </c>
      <c r="S349" s="24" t="str">
        <f aca="false">IF($A349="","",INDEX(Workers!$O$5:$O$2004,MATCH($A349,Workers!$A$5:$A$2004,0))&amp;"")</f>
        <v/>
      </c>
      <c r="T349" s="24" t="str">
        <f aca="false">IF($A349="","",INDEX(Workers!$P$5:$P$2004,MATCH($A349,Workers!$A$5:$A$2004,0))&amp;"")</f>
        <v/>
      </c>
      <c r="U349" s="24" t="str">
        <f aca="false">IF($A349="","",INDEX(Workers!$H$5:$H$2004,MATCH($A349,Workers!$A$5:$A$2004,0))&amp;"")</f>
        <v/>
      </c>
    </row>
    <row r="350" customFormat="false" ht="15" hidden="false" customHeight="false" outlineLevel="0" collapsed="false">
      <c r="A350" s="24" t="str">
        <f aca="false">IFERROR(INDEX(Workers!$A$5:$A$2004,MATCH(ROW()-4,Workers!$U$5:$U$2004,0)),"")</f>
        <v/>
      </c>
      <c r="B350" s="24" t="str">
        <f aca="false">IF($A350="","",INDEX(Workers!$B$5:$B$2004,MATCH($A350,Workers!$A$5:$A$2004,0)))</f>
        <v/>
      </c>
      <c r="C350" s="24" t="str">
        <f aca="false">IF($A350="","",INDEX(Workers!$E$5:$E$2004,MATCH($A350,Workers!$A$5:$A$2004,0)))</f>
        <v/>
      </c>
      <c r="D350" s="24" t="str">
        <f aca="false">IF($A350="","",INDEX(Workers!$K$5:$K$2004,MATCH($A350,Workers!$A$5:$A$2004,0)))</f>
        <v/>
      </c>
      <c r="E350" s="25" t="str">
        <f aca="false">IF($A350="","",SUMIFS(Timesheet!$E$5:$E$3004,Timesheet!$D$5:$D$3004,$A350,Timesheet!$A$5:$A$3004,"&gt;="&amp;Settings!$B$8,Timesheet!$A$5:$A$3004,"&lt;="&amp;Settings!$B$9))</f>
        <v/>
      </c>
      <c r="F350" s="25" t="str">
        <f aca="false">IF($A350="","",SUMIFS(Timesheet!$F$5:$F$3004,Timesheet!$D$5:$D$3004,$A350,Timesheet!$A$5:$A$3004,"&gt;="&amp;Settings!$B$8,Timesheet!$A$5:$A$3004,"&lt;="&amp;Settings!$B$9))</f>
        <v/>
      </c>
      <c r="G350" s="25" t="str">
        <f aca="false">IF($A350="","",SUMIFS(Timesheet!$G$5:$G$3004,Timesheet!$D$5:$D$3004,$A350,Timesheet!$A$5:$A$3004,"&gt;="&amp;Settings!$B$8,Timesheet!$A$5:$A$3004,"&lt;="&amp;Settings!$B$9))</f>
        <v/>
      </c>
      <c r="H350" s="25" t="str">
        <f aca="false">IF($A350="","",IF(D350="Monthly",MAX(0,Settings!$B$11-E350),0))</f>
        <v/>
      </c>
      <c r="I350" s="26" t="str">
        <f aca="false">IF($A350="","",N(INDEX(Workers!$L$5:$L$2004,MATCH($A350,Workers!$A$5:$A$2004,0))))</f>
        <v/>
      </c>
      <c r="J350" s="26" t="str">
        <f aca="false">IF($A350="","",N(INDEX(Workers!$M$5:$M$2004,MATCH($A350,Workers!$A$5:$A$2004,0))))</f>
        <v/>
      </c>
      <c r="K350" s="26" t="str">
        <f aca="false">IF($A350="","",IF(D350="Monthly",ROUND(MAX(0,(I350+J350)-(I350+J350)/Settings!$B$10*H350),2),0))</f>
        <v/>
      </c>
      <c r="L350" s="26" t="str">
        <f aca="false">IF($A350="","",IF(D350="Hourly",ROUND(F350*N(INDEX(Workers!$N$5:$N$2004,MATCH($A350,Workers!$A$5:$A$2004,0))),2),0))</f>
        <v/>
      </c>
      <c r="M350" s="26" t="str">
        <f aca="false">IF($A350="","",ROUND(G350*IF(D350="Hourly",N(INDEX(Workers!$N$5:$N$2004,MATCH($A350,Workers!$A$5:$A$2004,0))),I350/Settings!$B$10/Settings!$B$12)*Settings!$B$13,2))</f>
        <v/>
      </c>
      <c r="N350" s="26" t="str">
        <f aca="false">IF($A350="","",K350+L350+M350)</f>
        <v/>
      </c>
      <c r="O350" s="26" t="str">
        <f aca="false">IF($A350="","",SUMIFS(Deductions!$D$5:$D$2000,Deductions!$B$5:$B$2000,$A350,Deductions!$C$5:$C$2000,"Advance",Deductions!$E$5:$E$2000,"&gt;="&amp;Settings!$B$8,Deductions!$E$5:$E$2000,"&lt;="&amp;Settings!$B$9))</f>
        <v/>
      </c>
      <c r="P350" s="26" t="str">
        <f aca="false">IF($A350="","",SUMIFS(Deductions!$D$5:$D$2000,Deductions!$B$5:$B$2000,$A350,Deductions!$E$5:$E$2000,"&gt;="&amp;Settings!$B$8,Deductions!$E$5:$E$2000,"&lt;="&amp;Settings!$B$9)-O350)</f>
        <v/>
      </c>
      <c r="Q350" s="26" t="str">
        <f aca="false">IF($A350="","",O350+P350)</f>
        <v/>
      </c>
      <c r="R350" s="23" t="str">
        <f aca="false">IF($A350="","",N350-Q350)</f>
        <v/>
      </c>
      <c r="S350" s="24" t="str">
        <f aca="false">IF($A350="","",INDEX(Workers!$O$5:$O$2004,MATCH($A350,Workers!$A$5:$A$2004,0))&amp;"")</f>
        <v/>
      </c>
      <c r="T350" s="24" t="str">
        <f aca="false">IF($A350="","",INDEX(Workers!$P$5:$P$2004,MATCH($A350,Workers!$A$5:$A$2004,0))&amp;"")</f>
        <v/>
      </c>
      <c r="U350" s="24" t="str">
        <f aca="false">IF($A350="","",INDEX(Workers!$H$5:$H$2004,MATCH($A350,Workers!$A$5:$A$2004,0))&amp;"")</f>
        <v/>
      </c>
    </row>
    <row r="351" customFormat="false" ht="15" hidden="false" customHeight="false" outlineLevel="0" collapsed="false">
      <c r="A351" s="24" t="str">
        <f aca="false">IFERROR(INDEX(Workers!$A$5:$A$2004,MATCH(ROW()-4,Workers!$U$5:$U$2004,0)),"")</f>
        <v/>
      </c>
      <c r="B351" s="24" t="str">
        <f aca="false">IF($A351="","",INDEX(Workers!$B$5:$B$2004,MATCH($A351,Workers!$A$5:$A$2004,0)))</f>
        <v/>
      </c>
      <c r="C351" s="24" t="str">
        <f aca="false">IF($A351="","",INDEX(Workers!$E$5:$E$2004,MATCH($A351,Workers!$A$5:$A$2004,0)))</f>
        <v/>
      </c>
      <c r="D351" s="24" t="str">
        <f aca="false">IF($A351="","",INDEX(Workers!$K$5:$K$2004,MATCH($A351,Workers!$A$5:$A$2004,0)))</f>
        <v/>
      </c>
      <c r="E351" s="25" t="str">
        <f aca="false">IF($A351="","",SUMIFS(Timesheet!$E$5:$E$3004,Timesheet!$D$5:$D$3004,$A351,Timesheet!$A$5:$A$3004,"&gt;="&amp;Settings!$B$8,Timesheet!$A$5:$A$3004,"&lt;="&amp;Settings!$B$9))</f>
        <v/>
      </c>
      <c r="F351" s="25" t="str">
        <f aca="false">IF($A351="","",SUMIFS(Timesheet!$F$5:$F$3004,Timesheet!$D$5:$D$3004,$A351,Timesheet!$A$5:$A$3004,"&gt;="&amp;Settings!$B$8,Timesheet!$A$5:$A$3004,"&lt;="&amp;Settings!$B$9))</f>
        <v/>
      </c>
      <c r="G351" s="25" t="str">
        <f aca="false">IF($A351="","",SUMIFS(Timesheet!$G$5:$G$3004,Timesheet!$D$5:$D$3004,$A351,Timesheet!$A$5:$A$3004,"&gt;="&amp;Settings!$B$8,Timesheet!$A$5:$A$3004,"&lt;="&amp;Settings!$B$9))</f>
        <v/>
      </c>
      <c r="H351" s="25" t="str">
        <f aca="false">IF($A351="","",IF(D351="Monthly",MAX(0,Settings!$B$11-E351),0))</f>
        <v/>
      </c>
      <c r="I351" s="26" t="str">
        <f aca="false">IF($A351="","",N(INDEX(Workers!$L$5:$L$2004,MATCH($A351,Workers!$A$5:$A$2004,0))))</f>
        <v/>
      </c>
      <c r="J351" s="26" t="str">
        <f aca="false">IF($A351="","",N(INDEX(Workers!$M$5:$M$2004,MATCH($A351,Workers!$A$5:$A$2004,0))))</f>
        <v/>
      </c>
      <c r="K351" s="26" t="str">
        <f aca="false">IF($A351="","",IF(D351="Monthly",ROUND(MAX(0,(I351+J351)-(I351+J351)/Settings!$B$10*H351),2),0))</f>
        <v/>
      </c>
      <c r="L351" s="26" t="str">
        <f aca="false">IF($A351="","",IF(D351="Hourly",ROUND(F351*N(INDEX(Workers!$N$5:$N$2004,MATCH($A351,Workers!$A$5:$A$2004,0))),2),0))</f>
        <v/>
      </c>
      <c r="M351" s="26" t="str">
        <f aca="false">IF($A351="","",ROUND(G351*IF(D351="Hourly",N(INDEX(Workers!$N$5:$N$2004,MATCH($A351,Workers!$A$5:$A$2004,0))),I351/Settings!$B$10/Settings!$B$12)*Settings!$B$13,2))</f>
        <v/>
      </c>
      <c r="N351" s="26" t="str">
        <f aca="false">IF($A351="","",K351+L351+M351)</f>
        <v/>
      </c>
      <c r="O351" s="26" t="str">
        <f aca="false">IF($A351="","",SUMIFS(Deductions!$D$5:$D$2000,Deductions!$B$5:$B$2000,$A351,Deductions!$C$5:$C$2000,"Advance",Deductions!$E$5:$E$2000,"&gt;="&amp;Settings!$B$8,Deductions!$E$5:$E$2000,"&lt;="&amp;Settings!$B$9))</f>
        <v/>
      </c>
      <c r="P351" s="26" t="str">
        <f aca="false">IF($A351="","",SUMIFS(Deductions!$D$5:$D$2000,Deductions!$B$5:$B$2000,$A351,Deductions!$E$5:$E$2000,"&gt;="&amp;Settings!$B$8,Deductions!$E$5:$E$2000,"&lt;="&amp;Settings!$B$9)-O351)</f>
        <v/>
      </c>
      <c r="Q351" s="26" t="str">
        <f aca="false">IF($A351="","",O351+P351)</f>
        <v/>
      </c>
      <c r="R351" s="23" t="str">
        <f aca="false">IF($A351="","",N351-Q351)</f>
        <v/>
      </c>
      <c r="S351" s="24" t="str">
        <f aca="false">IF($A351="","",INDEX(Workers!$O$5:$O$2004,MATCH($A351,Workers!$A$5:$A$2004,0))&amp;"")</f>
        <v/>
      </c>
      <c r="T351" s="24" t="str">
        <f aca="false">IF($A351="","",INDEX(Workers!$P$5:$P$2004,MATCH($A351,Workers!$A$5:$A$2004,0))&amp;"")</f>
        <v/>
      </c>
      <c r="U351" s="24" t="str">
        <f aca="false">IF($A351="","",INDEX(Workers!$H$5:$H$2004,MATCH($A351,Workers!$A$5:$A$2004,0))&amp;"")</f>
        <v/>
      </c>
    </row>
    <row r="352" customFormat="false" ht="15" hidden="false" customHeight="false" outlineLevel="0" collapsed="false">
      <c r="A352" s="24" t="str">
        <f aca="false">IFERROR(INDEX(Workers!$A$5:$A$2004,MATCH(ROW()-4,Workers!$U$5:$U$2004,0)),"")</f>
        <v/>
      </c>
      <c r="B352" s="24" t="str">
        <f aca="false">IF($A352="","",INDEX(Workers!$B$5:$B$2004,MATCH($A352,Workers!$A$5:$A$2004,0)))</f>
        <v/>
      </c>
      <c r="C352" s="24" t="str">
        <f aca="false">IF($A352="","",INDEX(Workers!$E$5:$E$2004,MATCH($A352,Workers!$A$5:$A$2004,0)))</f>
        <v/>
      </c>
      <c r="D352" s="24" t="str">
        <f aca="false">IF($A352="","",INDEX(Workers!$K$5:$K$2004,MATCH($A352,Workers!$A$5:$A$2004,0)))</f>
        <v/>
      </c>
      <c r="E352" s="25" t="str">
        <f aca="false">IF($A352="","",SUMIFS(Timesheet!$E$5:$E$3004,Timesheet!$D$5:$D$3004,$A352,Timesheet!$A$5:$A$3004,"&gt;="&amp;Settings!$B$8,Timesheet!$A$5:$A$3004,"&lt;="&amp;Settings!$B$9))</f>
        <v/>
      </c>
      <c r="F352" s="25" t="str">
        <f aca="false">IF($A352="","",SUMIFS(Timesheet!$F$5:$F$3004,Timesheet!$D$5:$D$3004,$A352,Timesheet!$A$5:$A$3004,"&gt;="&amp;Settings!$B$8,Timesheet!$A$5:$A$3004,"&lt;="&amp;Settings!$B$9))</f>
        <v/>
      </c>
      <c r="G352" s="25" t="str">
        <f aca="false">IF($A352="","",SUMIFS(Timesheet!$G$5:$G$3004,Timesheet!$D$5:$D$3004,$A352,Timesheet!$A$5:$A$3004,"&gt;="&amp;Settings!$B$8,Timesheet!$A$5:$A$3004,"&lt;="&amp;Settings!$B$9))</f>
        <v/>
      </c>
      <c r="H352" s="25" t="str">
        <f aca="false">IF($A352="","",IF(D352="Monthly",MAX(0,Settings!$B$11-E352),0))</f>
        <v/>
      </c>
      <c r="I352" s="26" t="str">
        <f aca="false">IF($A352="","",N(INDEX(Workers!$L$5:$L$2004,MATCH($A352,Workers!$A$5:$A$2004,0))))</f>
        <v/>
      </c>
      <c r="J352" s="26" t="str">
        <f aca="false">IF($A352="","",N(INDEX(Workers!$M$5:$M$2004,MATCH($A352,Workers!$A$5:$A$2004,0))))</f>
        <v/>
      </c>
      <c r="K352" s="26" t="str">
        <f aca="false">IF($A352="","",IF(D352="Monthly",ROUND(MAX(0,(I352+J352)-(I352+J352)/Settings!$B$10*H352),2),0))</f>
        <v/>
      </c>
      <c r="L352" s="26" t="str">
        <f aca="false">IF($A352="","",IF(D352="Hourly",ROUND(F352*N(INDEX(Workers!$N$5:$N$2004,MATCH($A352,Workers!$A$5:$A$2004,0))),2),0))</f>
        <v/>
      </c>
      <c r="M352" s="26" t="str">
        <f aca="false">IF($A352="","",ROUND(G352*IF(D352="Hourly",N(INDEX(Workers!$N$5:$N$2004,MATCH($A352,Workers!$A$5:$A$2004,0))),I352/Settings!$B$10/Settings!$B$12)*Settings!$B$13,2))</f>
        <v/>
      </c>
      <c r="N352" s="26" t="str">
        <f aca="false">IF($A352="","",K352+L352+M352)</f>
        <v/>
      </c>
      <c r="O352" s="26" t="str">
        <f aca="false">IF($A352="","",SUMIFS(Deductions!$D$5:$D$2000,Deductions!$B$5:$B$2000,$A352,Deductions!$C$5:$C$2000,"Advance",Deductions!$E$5:$E$2000,"&gt;="&amp;Settings!$B$8,Deductions!$E$5:$E$2000,"&lt;="&amp;Settings!$B$9))</f>
        <v/>
      </c>
      <c r="P352" s="26" t="str">
        <f aca="false">IF($A352="","",SUMIFS(Deductions!$D$5:$D$2000,Deductions!$B$5:$B$2000,$A352,Deductions!$E$5:$E$2000,"&gt;="&amp;Settings!$B$8,Deductions!$E$5:$E$2000,"&lt;="&amp;Settings!$B$9)-O352)</f>
        <v/>
      </c>
      <c r="Q352" s="26" t="str">
        <f aca="false">IF($A352="","",O352+P352)</f>
        <v/>
      </c>
      <c r="R352" s="23" t="str">
        <f aca="false">IF($A352="","",N352-Q352)</f>
        <v/>
      </c>
      <c r="S352" s="24" t="str">
        <f aca="false">IF($A352="","",INDEX(Workers!$O$5:$O$2004,MATCH($A352,Workers!$A$5:$A$2004,0))&amp;"")</f>
        <v/>
      </c>
      <c r="T352" s="24" t="str">
        <f aca="false">IF($A352="","",INDEX(Workers!$P$5:$P$2004,MATCH($A352,Workers!$A$5:$A$2004,0))&amp;"")</f>
        <v/>
      </c>
      <c r="U352" s="24" t="str">
        <f aca="false">IF($A352="","",INDEX(Workers!$H$5:$H$2004,MATCH($A352,Workers!$A$5:$A$2004,0))&amp;"")</f>
        <v/>
      </c>
    </row>
    <row r="353" customFormat="false" ht="15" hidden="false" customHeight="false" outlineLevel="0" collapsed="false">
      <c r="A353" s="24" t="str">
        <f aca="false">IFERROR(INDEX(Workers!$A$5:$A$2004,MATCH(ROW()-4,Workers!$U$5:$U$2004,0)),"")</f>
        <v/>
      </c>
      <c r="B353" s="24" t="str">
        <f aca="false">IF($A353="","",INDEX(Workers!$B$5:$B$2004,MATCH($A353,Workers!$A$5:$A$2004,0)))</f>
        <v/>
      </c>
      <c r="C353" s="24" t="str">
        <f aca="false">IF($A353="","",INDEX(Workers!$E$5:$E$2004,MATCH($A353,Workers!$A$5:$A$2004,0)))</f>
        <v/>
      </c>
      <c r="D353" s="24" t="str">
        <f aca="false">IF($A353="","",INDEX(Workers!$K$5:$K$2004,MATCH($A353,Workers!$A$5:$A$2004,0)))</f>
        <v/>
      </c>
      <c r="E353" s="25" t="str">
        <f aca="false">IF($A353="","",SUMIFS(Timesheet!$E$5:$E$3004,Timesheet!$D$5:$D$3004,$A353,Timesheet!$A$5:$A$3004,"&gt;="&amp;Settings!$B$8,Timesheet!$A$5:$A$3004,"&lt;="&amp;Settings!$B$9))</f>
        <v/>
      </c>
      <c r="F353" s="25" t="str">
        <f aca="false">IF($A353="","",SUMIFS(Timesheet!$F$5:$F$3004,Timesheet!$D$5:$D$3004,$A353,Timesheet!$A$5:$A$3004,"&gt;="&amp;Settings!$B$8,Timesheet!$A$5:$A$3004,"&lt;="&amp;Settings!$B$9))</f>
        <v/>
      </c>
      <c r="G353" s="25" t="str">
        <f aca="false">IF($A353="","",SUMIFS(Timesheet!$G$5:$G$3004,Timesheet!$D$5:$D$3004,$A353,Timesheet!$A$5:$A$3004,"&gt;="&amp;Settings!$B$8,Timesheet!$A$5:$A$3004,"&lt;="&amp;Settings!$B$9))</f>
        <v/>
      </c>
      <c r="H353" s="25" t="str">
        <f aca="false">IF($A353="","",IF(D353="Monthly",MAX(0,Settings!$B$11-E353),0))</f>
        <v/>
      </c>
      <c r="I353" s="26" t="str">
        <f aca="false">IF($A353="","",N(INDEX(Workers!$L$5:$L$2004,MATCH($A353,Workers!$A$5:$A$2004,0))))</f>
        <v/>
      </c>
      <c r="J353" s="26" t="str">
        <f aca="false">IF($A353="","",N(INDEX(Workers!$M$5:$M$2004,MATCH($A353,Workers!$A$5:$A$2004,0))))</f>
        <v/>
      </c>
      <c r="K353" s="26" t="str">
        <f aca="false">IF($A353="","",IF(D353="Monthly",ROUND(MAX(0,(I353+J353)-(I353+J353)/Settings!$B$10*H353),2),0))</f>
        <v/>
      </c>
      <c r="L353" s="26" t="str">
        <f aca="false">IF($A353="","",IF(D353="Hourly",ROUND(F353*N(INDEX(Workers!$N$5:$N$2004,MATCH($A353,Workers!$A$5:$A$2004,0))),2),0))</f>
        <v/>
      </c>
      <c r="M353" s="26" t="str">
        <f aca="false">IF($A353="","",ROUND(G353*IF(D353="Hourly",N(INDEX(Workers!$N$5:$N$2004,MATCH($A353,Workers!$A$5:$A$2004,0))),I353/Settings!$B$10/Settings!$B$12)*Settings!$B$13,2))</f>
        <v/>
      </c>
      <c r="N353" s="26" t="str">
        <f aca="false">IF($A353="","",K353+L353+M353)</f>
        <v/>
      </c>
      <c r="O353" s="26" t="str">
        <f aca="false">IF($A353="","",SUMIFS(Deductions!$D$5:$D$2000,Deductions!$B$5:$B$2000,$A353,Deductions!$C$5:$C$2000,"Advance",Deductions!$E$5:$E$2000,"&gt;="&amp;Settings!$B$8,Deductions!$E$5:$E$2000,"&lt;="&amp;Settings!$B$9))</f>
        <v/>
      </c>
      <c r="P353" s="26" t="str">
        <f aca="false">IF($A353="","",SUMIFS(Deductions!$D$5:$D$2000,Deductions!$B$5:$B$2000,$A353,Deductions!$E$5:$E$2000,"&gt;="&amp;Settings!$B$8,Deductions!$E$5:$E$2000,"&lt;="&amp;Settings!$B$9)-O353)</f>
        <v/>
      </c>
      <c r="Q353" s="26" t="str">
        <f aca="false">IF($A353="","",O353+P353)</f>
        <v/>
      </c>
      <c r="R353" s="23" t="str">
        <f aca="false">IF($A353="","",N353-Q353)</f>
        <v/>
      </c>
      <c r="S353" s="24" t="str">
        <f aca="false">IF($A353="","",INDEX(Workers!$O$5:$O$2004,MATCH($A353,Workers!$A$5:$A$2004,0))&amp;"")</f>
        <v/>
      </c>
      <c r="T353" s="24" t="str">
        <f aca="false">IF($A353="","",INDEX(Workers!$P$5:$P$2004,MATCH($A353,Workers!$A$5:$A$2004,0))&amp;"")</f>
        <v/>
      </c>
      <c r="U353" s="24" t="str">
        <f aca="false">IF($A353="","",INDEX(Workers!$H$5:$H$2004,MATCH($A353,Workers!$A$5:$A$2004,0))&amp;"")</f>
        <v/>
      </c>
    </row>
    <row r="354" customFormat="false" ht="15" hidden="false" customHeight="false" outlineLevel="0" collapsed="false">
      <c r="A354" s="24" t="str">
        <f aca="false">IFERROR(INDEX(Workers!$A$5:$A$2004,MATCH(ROW()-4,Workers!$U$5:$U$2004,0)),"")</f>
        <v/>
      </c>
      <c r="B354" s="24" t="str">
        <f aca="false">IF($A354="","",INDEX(Workers!$B$5:$B$2004,MATCH($A354,Workers!$A$5:$A$2004,0)))</f>
        <v/>
      </c>
      <c r="C354" s="24" t="str">
        <f aca="false">IF($A354="","",INDEX(Workers!$E$5:$E$2004,MATCH($A354,Workers!$A$5:$A$2004,0)))</f>
        <v/>
      </c>
      <c r="D354" s="24" t="str">
        <f aca="false">IF($A354="","",INDEX(Workers!$K$5:$K$2004,MATCH($A354,Workers!$A$5:$A$2004,0)))</f>
        <v/>
      </c>
      <c r="E354" s="25" t="str">
        <f aca="false">IF($A354="","",SUMIFS(Timesheet!$E$5:$E$3004,Timesheet!$D$5:$D$3004,$A354,Timesheet!$A$5:$A$3004,"&gt;="&amp;Settings!$B$8,Timesheet!$A$5:$A$3004,"&lt;="&amp;Settings!$B$9))</f>
        <v/>
      </c>
      <c r="F354" s="25" t="str">
        <f aca="false">IF($A354="","",SUMIFS(Timesheet!$F$5:$F$3004,Timesheet!$D$5:$D$3004,$A354,Timesheet!$A$5:$A$3004,"&gt;="&amp;Settings!$B$8,Timesheet!$A$5:$A$3004,"&lt;="&amp;Settings!$B$9))</f>
        <v/>
      </c>
      <c r="G354" s="25" t="str">
        <f aca="false">IF($A354="","",SUMIFS(Timesheet!$G$5:$G$3004,Timesheet!$D$5:$D$3004,$A354,Timesheet!$A$5:$A$3004,"&gt;="&amp;Settings!$B$8,Timesheet!$A$5:$A$3004,"&lt;="&amp;Settings!$B$9))</f>
        <v/>
      </c>
      <c r="H354" s="25" t="str">
        <f aca="false">IF($A354="","",IF(D354="Monthly",MAX(0,Settings!$B$11-E354),0))</f>
        <v/>
      </c>
      <c r="I354" s="26" t="str">
        <f aca="false">IF($A354="","",N(INDEX(Workers!$L$5:$L$2004,MATCH($A354,Workers!$A$5:$A$2004,0))))</f>
        <v/>
      </c>
      <c r="J354" s="26" t="str">
        <f aca="false">IF($A354="","",N(INDEX(Workers!$M$5:$M$2004,MATCH($A354,Workers!$A$5:$A$2004,0))))</f>
        <v/>
      </c>
      <c r="K354" s="26" t="str">
        <f aca="false">IF($A354="","",IF(D354="Monthly",ROUND(MAX(0,(I354+J354)-(I354+J354)/Settings!$B$10*H354),2),0))</f>
        <v/>
      </c>
      <c r="L354" s="26" t="str">
        <f aca="false">IF($A354="","",IF(D354="Hourly",ROUND(F354*N(INDEX(Workers!$N$5:$N$2004,MATCH($A354,Workers!$A$5:$A$2004,0))),2),0))</f>
        <v/>
      </c>
      <c r="M354" s="26" t="str">
        <f aca="false">IF($A354="","",ROUND(G354*IF(D354="Hourly",N(INDEX(Workers!$N$5:$N$2004,MATCH($A354,Workers!$A$5:$A$2004,0))),I354/Settings!$B$10/Settings!$B$12)*Settings!$B$13,2))</f>
        <v/>
      </c>
      <c r="N354" s="26" t="str">
        <f aca="false">IF($A354="","",K354+L354+M354)</f>
        <v/>
      </c>
      <c r="O354" s="26" t="str">
        <f aca="false">IF($A354="","",SUMIFS(Deductions!$D$5:$D$2000,Deductions!$B$5:$B$2000,$A354,Deductions!$C$5:$C$2000,"Advance",Deductions!$E$5:$E$2000,"&gt;="&amp;Settings!$B$8,Deductions!$E$5:$E$2000,"&lt;="&amp;Settings!$B$9))</f>
        <v/>
      </c>
      <c r="P354" s="26" t="str">
        <f aca="false">IF($A354="","",SUMIFS(Deductions!$D$5:$D$2000,Deductions!$B$5:$B$2000,$A354,Deductions!$E$5:$E$2000,"&gt;="&amp;Settings!$B$8,Deductions!$E$5:$E$2000,"&lt;="&amp;Settings!$B$9)-O354)</f>
        <v/>
      </c>
      <c r="Q354" s="26" t="str">
        <f aca="false">IF($A354="","",O354+P354)</f>
        <v/>
      </c>
      <c r="R354" s="23" t="str">
        <f aca="false">IF($A354="","",N354-Q354)</f>
        <v/>
      </c>
      <c r="S354" s="24" t="str">
        <f aca="false">IF($A354="","",INDEX(Workers!$O$5:$O$2004,MATCH($A354,Workers!$A$5:$A$2004,0))&amp;"")</f>
        <v/>
      </c>
      <c r="T354" s="24" t="str">
        <f aca="false">IF($A354="","",INDEX(Workers!$P$5:$P$2004,MATCH($A354,Workers!$A$5:$A$2004,0))&amp;"")</f>
        <v/>
      </c>
      <c r="U354" s="24" t="str">
        <f aca="false">IF($A354="","",INDEX(Workers!$H$5:$H$2004,MATCH($A354,Workers!$A$5:$A$2004,0))&amp;"")</f>
        <v/>
      </c>
    </row>
    <row r="355" customFormat="false" ht="15" hidden="false" customHeight="false" outlineLevel="0" collapsed="false">
      <c r="A355" s="24" t="str">
        <f aca="false">IFERROR(INDEX(Workers!$A$5:$A$2004,MATCH(ROW()-4,Workers!$U$5:$U$2004,0)),"")</f>
        <v/>
      </c>
      <c r="B355" s="24" t="str">
        <f aca="false">IF($A355="","",INDEX(Workers!$B$5:$B$2004,MATCH($A355,Workers!$A$5:$A$2004,0)))</f>
        <v/>
      </c>
      <c r="C355" s="24" t="str">
        <f aca="false">IF($A355="","",INDEX(Workers!$E$5:$E$2004,MATCH($A355,Workers!$A$5:$A$2004,0)))</f>
        <v/>
      </c>
      <c r="D355" s="24" t="str">
        <f aca="false">IF($A355="","",INDEX(Workers!$K$5:$K$2004,MATCH($A355,Workers!$A$5:$A$2004,0)))</f>
        <v/>
      </c>
      <c r="E355" s="25" t="str">
        <f aca="false">IF($A355="","",SUMIFS(Timesheet!$E$5:$E$3004,Timesheet!$D$5:$D$3004,$A355,Timesheet!$A$5:$A$3004,"&gt;="&amp;Settings!$B$8,Timesheet!$A$5:$A$3004,"&lt;="&amp;Settings!$B$9))</f>
        <v/>
      </c>
      <c r="F355" s="25" t="str">
        <f aca="false">IF($A355="","",SUMIFS(Timesheet!$F$5:$F$3004,Timesheet!$D$5:$D$3004,$A355,Timesheet!$A$5:$A$3004,"&gt;="&amp;Settings!$B$8,Timesheet!$A$5:$A$3004,"&lt;="&amp;Settings!$B$9))</f>
        <v/>
      </c>
      <c r="G355" s="25" t="str">
        <f aca="false">IF($A355="","",SUMIFS(Timesheet!$G$5:$G$3004,Timesheet!$D$5:$D$3004,$A355,Timesheet!$A$5:$A$3004,"&gt;="&amp;Settings!$B$8,Timesheet!$A$5:$A$3004,"&lt;="&amp;Settings!$B$9))</f>
        <v/>
      </c>
      <c r="H355" s="25" t="str">
        <f aca="false">IF($A355="","",IF(D355="Monthly",MAX(0,Settings!$B$11-E355),0))</f>
        <v/>
      </c>
      <c r="I355" s="26" t="str">
        <f aca="false">IF($A355="","",N(INDEX(Workers!$L$5:$L$2004,MATCH($A355,Workers!$A$5:$A$2004,0))))</f>
        <v/>
      </c>
      <c r="J355" s="26" t="str">
        <f aca="false">IF($A355="","",N(INDEX(Workers!$M$5:$M$2004,MATCH($A355,Workers!$A$5:$A$2004,0))))</f>
        <v/>
      </c>
      <c r="K355" s="26" t="str">
        <f aca="false">IF($A355="","",IF(D355="Monthly",ROUND(MAX(0,(I355+J355)-(I355+J355)/Settings!$B$10*H355),2),0))</f>
        <v/>
      </c>
      <c r="L355" s="26" t="str">
        <f aca="false">IF($A355="","",IF(D355="Hourly",ROUND(F355*N(INDEX(Workers!$N$5:$N$2004,MATCH($A355,Workers!$A$5:$A$2004,0))),2),0))</f>
        <v/>
      </c>
      <c r="M355" s="26" t="str">
        <f aca="false">IF($A355="","",ROUND(G355*IF(D355="Hourly",N(INDEX(Workers!$N$5:$N$2004,MATCH($A355,Workers!$A$5:$A$2004,0))),I355/Settings!$B$10/Settings!$B$12)*Settings!$B$13,2))</f>
        <v/>
      </c>
      <c r="N355" s="26" t="str">
        <f aca="false">IF($A355="","",K355+L355+M355)</f>
        <v/>
      </c>
      <c r="O355" s="26" t="str">
        <f aca="false">IF($A355="","",SUMIFS(Deductions!$D$5:$D$2000,Deductions!$B$5:$B$2000,$A355,Deductions!$C$5:$C$2000,"Advance",Deductions!$E$5:$E$2000,"&gt;="&amp;Settings!$B$8,Deductions!$E$5:$E$2000,"&lt;="&amp;Settings!$B$9))</f>
        <v/>
      </c>
      <c r="P355" s="26" t="str">
        <f aca="false">IF($A355="","",SUMIFS(Deductions!$D$5:$D$2000,Deductions!$B$5:$B$2000,$A355,Deductions!$E$5:$E$2000,"&gt;="&amp;Settings!$B$8,Deductions!$E$5:$E$2000,"&lt;="&amp;Settings!$B$9)-O355)</f>
        <v/>
      </c>
      <c r="Q355" s="26" t="str">
        <f aca="false">IF($A355="","",O355+P355)</f>
        <v/>
      </c>
      <c r="R355" s="23" t="str">
        <f aca="false">IF($A355="","",N355-Q355)</f>
        <v/>
      </c>
      <c r="S355" s="24" t="str">
        <f aca="false">IF($A355="","",INDEX(Workers!$O$5:$O$2004,MATCH($A355,Workers!$A$5:$A$2004,0))&amp;"")</f>
        <v/>
      </c>
      <c r="T355" s="24" t="str">
        <f aca="false">IF($A355="","",INDEX(Workers!$P$5:$P$2004,MATCH($A355,Workers!$A$5:$A$2004,0))&amp;"")</f>
        <v/>
      </c>
      <c r="U355" s="24" t="str">
        <f aca="false">IF($A355="","",INDEX(Workers!$H$5:$H$2004,MATCH($A355,Workers!$A$5:$A$2004,0))&amp;"")</f>
        <v/>
      </c>
    </row>
    <row r="356" customFormat="false" ht="15" hidden="false" customHeight="false" outlineLevel="0" collapsed="false">
      <c r="A356" s="24" t="str">
        <f aca="false">IFERROR(INDEX(Workers!$A$5:$A$2004,MATCH(ROW()-4,Workers!$U$5:$U$2004,0)),"")</f>
        <v/>
      </c>
      <c r="B356" s="24" t="str">
        <f aca="false">IF($A356="","",INDEX(Workers!$B$5:$B$2004,MATCH($A356,Workers!$A$5:$A$2004,0)))</f>
        <v/>
      </c>
      <c r="C356" s="24" t="str">
        <f aca="false">IF($A356="","",INDEX(Workers!$E$5:$E$2004,MATCH($A356,Workers!$A$5:$A$2004,0)))</f>
        <v/>
      </c>
      <c r="D356" s="24" t="str">
        <f aca="false">IF($A356="","",INDEX(Workers!$K$5:$K$2004,MATCH($A356,Workers!$A$5:$A$2004,0)))</f>
        <v/>
      </c>
      <c r="E356" s="25" t="str">
        <f aca="false">IF($A356="","",SUMIFS(Timesheet!$E$5:$E$3004,Timesheet!$D$5:$D$3004,$A356,Timesheet!$A$5:$A$3004,"&gt;="&amp;Settings!$B$8,Timesheet!$A$5:$A$3004,"&lt;="&amp;Settings!$B$9))</f>
        <v/>
      </c>
      <c r="F356" s="25" t="str">
        <f aca="false">IF($A356="","",SUMIFS(Timesheet!$F$5:$F$3004,Timesheet!$D$5:$D$3004,$A356,Timesheet!$A$5:$A$3004,"&gt;="&amp;Settings!$B$8,Timesheet!$A$5:$A$3004,"&lt;="&amp;Settings!$B$9))</f>
        <v/>
      </c>
      <c r="G356" s="25" t="str">
        <f aca="false">IF($A356="","",SUMIFS(Timesheet!$G$5:$G$3004,Timesheet!$D$5:$D$3004,$A356,Timesheet!$A$5:$A$3004,"&gt;="&amp;Settings!$B$8,Timesheet!$A$5:$A$3004,"&lt;="&amp;Settings!$B$9))</f>
        <v/>
      </c>
      <c r="H356" s="25" t="str">
        <f aca="false">IF($A356="","",IF(D356="Monthly",MAX(0,Settings!$B$11-E356),0))</f>
        <v/>
      </c>
      <c r="I356" s="26" t="str">
        <f aca="false">IF($A356="","",N(INDEX(Workers!$L$5:$L$2004,MATCH($A356,Workers!$A$5:$A$2004,0))))</f>
        <v/>
      </c>
      <c r="J356" s="26" t="str">
        <f aca="false">IF($A356="","",N(INDEX(Workers!$M$5:$M$2004,MATCH($A356,Workers!$A$5:$A$2004,0))))</f>
        <v/>
      </c>
      <c r="K356" s="26" t="str">
        <f aca="false">IF($A356="","",IF(D356="Monthly",ROUND(MAX(0,(I356+J356)-(I356+J356)/Settings!$B$10*H356),2),0))</f>
        <v/>
      </c>
      <c r="L356" s="26" t="str">
        <f aca="false">IF($A356="","",IF(D356="Hourly",ROUND(F356*N(INDEX(Workers!$N$5:$N$2004,MATCH($A356,Workers!$A$5:$A$2004,0))),2),0))</f>
        <v/>
      </c>
      <c r="M356" s="26" t="str">
        <f aca="false">IF($A356="","",ROUND(G356*IF(D356="Hourly",N(INDEX(Workers!$N$5:$N$2004,MATCH($A356,Workers!$A$5:$A$2004,0))),I356/Settings!$B$10/Settings!$B$12)*Settings!$B$13,2))</f>
        <v/>
      </c>
      <c r="N356" s="26" t="str">
        <f aca="false">IF($A356="","",K356+L356+M356)</f>
        <v/>
      </c>
      <c r="O356" s="26" t="str">
        <f aca="false">IF($A356="","",SUMIFS(Deductions!$D$5:$D$2000,Deductions!$B$5:$B$2000,$A356,Deductions!$C$5:$C$2000,"Advance",Deductions!$E$5:$E$2000,"&gt;="&amp;Settings!$B$8,Deductions!$E$5:$E$2000,"&lt;="&amp;Settings!$B$9))</f>
        <v/>
      </c>
      <c r="P356" s="26" t="str">
        <f aca="false">IF($A356="","",SUMIFS(Deductions!$D$5:$D$2000,Deductions!$B$5:$B$2000,$A356,Deductions!$E$5:$E$2000,"&gt;="&amp;Settings!$B$8,Deductions!$E$5:$E$2000,"&lt;="&amp;Settings!$B$9)-O356)</f>
        <v/>
      </c>
      <c r="Q356" s="26" t="str">
        <f aca="false">IF($A356="","",O356+P356)</f>
        <v/>
      </c>
      <c r="R356" s="23" t="str">
        <f aca="false">IF($A356="","",N356-Q356)</f>
        <v/>
      </c>
      <c r="S356" s="24" t="str">
        <f aca="false">IF($A356="","",INDEX(Workers!$O$5:$O$2004,MATCH($A356,Workers!$A$5:$A$2004,0))&amp;"")</f>
        <v/>
      </c>
      <c r="T356" s="24" t="str">
        <f aca="false">IF($A356="","",INDEX(Workers!$P$5:$P$2004,MATCH($A356,Workers!$A$5:$A$2004,0))&amp;"")</f>
        <v/>
      </c>
      <c r="U356" s="24" t="str">
        <f aca="false">IF($A356="","",INDEX(Workers!$H$5:$H$2004,MATCH($A356,Workers!$A$5:$A$2004,0))&amp;"")</f>
        <v/>
      </c>
    </row>
    <row r="357" customFormat="false" ht="15" hidden="false" customHeight="false" outlineLevel="0" collapsed="false">
      <c r="A357" s="24" t="str">
        <f aca="false">IFERROR(INDEX(Workers!$A$5:$A$2004,MATCH(ROW()-4,Workers!$U$5:$U$2004,0)),"")</f>
        <v/>
      </c>
      <c r="B357" s="24" t="str">
        <f aca="false">IF($A357="","",INDEX(Workers!$B$5:$B$2004,MATCH($A357,Workers!$A$5:$A$2004,0)))</f>
        <v/>
      </c>
      <c r="C357" s="24" t="str">
        <f aca="false">IF($A357="","",INDEX(Workers!$E$5:$E$2004,MATCH($A357,Workers!$A$5:$A$2004,0)))</f>
        <v/>
      </c>
      <c r="D357" s="24" t="str">
        <f aca="false">IF($A357="","",INDEX(Workers!$K$5:$K$2004,MATCH($A357,Workers!$A$5:$A$2004,0)))</f>
        <v/>
      </c>
      <c r="E357" s="25" t="str">
        <f aca="false">IF($A357="","",SUMIFS(Timesheet!$E$5:$E$3004,Timesheet!$D$5:$D$3004,$A357,Timesheet!$A$5:$A$3004,"&gt;="&amp;Settings!$B$8,Timesheet!$A$5:$A$3004,"&lt;="&amp;Settings!$B$9))</f>
        <v/>
      </c>
      <c r="F357" s="25" t="str">
        <f aca="false">IF($A357="","",SUMIFS(Timesheet!$F$5:$F$3004,Timesheet!$D$5:$D$3004,$A357,Timesheet!$A$5:$A$3004,"&gt;="&amp;Settings!$B$8,Timesheet!$A$5:$A$3004,"&lt;="&amp;Settings!$B$9))</f>
        <v/>
      </c>
      <c r="G357" s="25" t="str">
        <f aca="false">IF($A357="","",SUMIFS(Timesheet!$G$5:$G$3004,Timesheet!$D$5:$D$3004,$A357,Timesheet!$A$5:$A$3004,"&gt;="&amp;Settings!$B$8,Timesheet!$A$5:$A$3004,"&lt;="&amp;Settings!$B$9))</f>
        <v/>
      </c>
      <c r="H357" s="25" t="str">
        <f aca="false">IF($A357="","",IF(D357="Monthly",MAX(0,Settings!$B$11-E357),0))</f>
        <v/>
      </c>
      <c r="I357" s="26" t="str">
        <f aca="false">IF($A357="","",N(INDEX(Workers!$L$5:$L$2004,MATCH($A357,Workers!$A$5:$A$2004,0))))</f>
        <v/>
      </c>
      <c r="J357" s="26" t="str">
        <f aca="false">IF($A357="","",N(INDEX(Workers!$M$5:$M$2004,MATCH($A357,Workers!$A$5:$A$2004,0))))</f>
        <v/>
      </c>
      <c r="K357" s="26" t="str">
        <f aca="false">IF($A357="","",IF(D357="Monthly",ROUND(MAX(0,(I357+J357)-(I357+J357)/Settings!$B$10*H357),2),0))</f>
        <v/>
      </c>
      <c r="L357" s="26" t="str">
        <f aca="false">IF($A357="","",IF(D357="Hourly",ROUND(F357*N(INDEX(Workers!$N$5:$N$2004,MATCH($A357,Workers!$A$5:$A$2004,0))),2),0))</f>
        <v/>
      </c>
      <c r="M357" s="26" t="str">
        <f aca="false">IF($A357="","",ROUND(G357*IF(D357="Hourly",N(INDEX(Workers!$N$5:$N$2004,MATCH($A357,Workers!$A$5:$A$2004,0))),I357/Settings!$B$10/Settings!$B$12)*Settings!$B$13,2))</f>
        <v/>
      </c>
      <c r="N357" s="26" t="str">
        <f aca="false">IF($A357="","",K357+L357+M357)</f>
        <v/>
      </c>
      <c r="O357" s="26" t="str">
        <f aca="false">IF($A357="","",SUMIFS(Deductions!$D$5:$D$2000,Deductions!$B$5:$B$2000,$A357,Deductions!$C$5:$C$2000,"Advance",Deductions!$E$5:$E$2000,"&gt;="&amp;Settings!$B$8,Deductions!$E$5:$E$2000,"&lt;="&amp;Settings!$B$9))</f>
        <v/>
      </c>
      <c r="P357" s="26" t="str">
        <f aca="false">IF($A357="","",SUMIFS(Deductions!$D$5:$D$2000,Deductions!$B$5:$B$2000,$A357,Deductions!$E$5:$E$2000,"&gt;="&amp;Settings!$B$8,Deductions!$E$5:$E$2000,"&lt;="&amp;Settings!$B$9)-O357)</f>
        <v/>
      </c>
      <c r="Q357" s="26" t="str">
        <f aca="false">IF($A357="","",O357+P357)</f>
        <v/>
      </c>
      <c r="R357" s="23" t="str">
        <f aca="false">IF($A357="","",N357-Q357)</f>
        <v/>
      </c>
      <c r="S357" s="24" t="str">
        <f aca="false">IF($A357="","",INDEX(Workers!$O$5:$O$2004,MATCH($A357,Workers!$A$5:$A$2004,0))&amp;"")</f>
        <v/>
      </c>
      <c r="T357" s="24" t="str">
        <f aca="false">IF($A357="","",INDEX(Workers!$P$5:$P$2004,MATCH($A357,Workers!$A$5:$A$2004,0))&amp;"")</f>
        <v/>
      </c>
      <c r="U357" s="24" t="str">
        <f aca="false">IF($A357="","",INDEX(Workers!$H$5:$H$2004,MATCH($A357,Workers!$A$5:$A$2004,0))&amp;"")</f>
        <v/>
      </c>
    </row>
    <row r="358" customFormat="false" ht="15" hidden="false" customHeight="false" outlineLevel="0" collapsed="false">
      <c r="A358" s="24" t="str">
        <f aca="false">IFERROR(INDEX(Workers!$A$5:$A$2004,MATCH(ROW()-4,Workers!$U$5:$U$2004,0)),"")</f>
        <v/>
      </c>
      <c r="B358" s="24" t="str">
        <f aca="false">IF($A358="","",INDEX(Workers!$B$5:$B$2004,MATCH($A358,Workers!$A$5:$A$2004,0)))</f>
        <v/>
      </c>
      <c r="C358" s="24" t="str">
        <f aca="false">IF($A358="","",INDEX(Workers!$E$5:$E$2004,MATCH($A358,Workers!$A$5:$A$2004,0)))</f>
        <v/>
      </c>
      <c r="D358" s="24" t="str">
        <f aca="false">IF($A358="","",INDEX(Workers!$K$5:$K$2004,MATCH($A358,Workers!$A$5:$A$2004,0)))</f>
        <v/>
      </c>
      <c r="E358" s="25" t="str">
        <f aca="false">IF($A358="","",SUMIFS(Timesheet!$E$5:$E$3004,Timesheet!$D$5:$D$3004,$A358,Timesheet!$A$5:$A$3004,"&gt;="&amp;Settings!$B$8,Timesheet!$A$5:$A$3004,"&lt;="&amp;Settings!$B$9))</f>
        <v/>
      </c>
      <c r="F358" s="25" t="str">
        <f aca="false">IF($A358="","",SUMIFS(Timesheet!$F$5:$F$3004,Timesheet!$D$5:$D$3004,$A358,Timesheet!$A$5:$A$3004,"&gt;="&amp;Settings!$B$8,Timesheet!$A$5:$A$3004,"&lt;="&amp;Settings!$B$9))</f>
        <v/>
      </c>
      <c r="G358" s="25" t="str">
        <f aca="false">IF($A358="","",SUMIFS(Timesheet!$G$5:$G$3004,Timesheet!$D$5:$D$3004,$A358,Timesheet!$A$5:$A$3004,"&gt;="&amp;Settings!$B$8,Timesheet!$A$5:$A$3004,"&lt;="&amp;Settings!$B$9))</f>
        <v/>
      </c>
      <c r="H358" s="25" t="str">
        <f aca="false">IF($A358="","",IF(D358="Monthly",MAX(0,Settings!$B$11-E358),0))</f>
        <v/>
      </c>
      <c r="I358" s="26" t="str">
        <f aca="false">IF($A358="","",N(INDEX(Workers!$L$5:$L$2004,MATCH($A358,Workers!$A$5:$A$2004,0))))</f>
        <v/>
      </c>
      <c r="J358" s="26" t="str">
        <f aca="false">IF($A358="","",N(INDEX(Workers!$M$5:$M$2004,MATCH($A358,Workers!$A$5:$A$2004,0))))</f>
        <v/>
      </c>
      <c r="K358" s="26" t="str">
        <f aca="false">IF($A358="","",IF(D358="Monthly",ROUND(MAX(0,(I358+J358)-(I358+J358)/Settings!$B$10*H358),2),0))</f>
        <v/>
      </c>
      <c r="L358" s="26" t="str">
        <f aca="false">IF($A358="","",IF(D358="Hourly",ROUND(F358*N(INDEX(Workers!$N$5:$N$2004,MATCH($A358,Workers!$A$5:$A$2004,0))),2),0))</f>
        <v/>
      </c>
      <c r="M358" s="26" t="str">
        <f aca="false">IF($A358="","",ROUND(G358*IF(D358="Hourly",N(INDEX(Workers!$N$5:$N$2004,MATCH($A358,Workers!$A$5:$A$2004,0))),I358/Settings!$B$10/Settings!$B$12)*Settings!$B$13,2))</f>
        <v/>
      </c>
      <c r="N358" s="26" t="str">
        <f aca="false">IF($A358="","",K358+L358+M358)</f>
        <v/>
      </c>
      <c r="O358" s="26" t="str">
        <f aca="false">IF($A358="","",SUMIFS(Deductions!$D$5:$D$2000,Deductions!$B$5:$B$2000,$A358,Deductions!$C$5:$C$2000,"Advance",Deductions!$E$5:$E$2000,"&gt;="&amp;Settings!$B$8,Deductions!$E$5:$E$2000,"&lt;="&amp;Settings!$B$9))</f>
        <v/>
      </c>
      <c r="P358" s="26" t="str">
        <f aca="false">IF($A358="","",SUMIFS(Deductions!$D$5:$D$2000,Deductions!$B$5:$B$2000,$A358,Deductions!$E$5:$E$2000,"&gt;="&amp;Settings!$B$8,Deductions!$E$5:$E$2000,"&lt;="&amp;Settings!$B$9)-O358)</f>
        <v/>
      </c>
      <c r="Q358" s="26" t="str">
        <f aca="false">IF($A358="","",O358+P358)</f>
        <v/>
      </c>
      <c r="R358" s="23" t="str">
        <f aca="false">IF($A358="","",N358-Q358)</f>
        <v/>
      </c>
      <c r="S358" s="24" t="str">
        <f aca="false">IF($A358="","",INDEX(Workers!$O$5:$O$2004,MATCH($A358,Workers!$A$5:$A$2004,0))&amp;"")</f>
        <v/>
      </c>
      <c r="T358" s="24" t="str">
        <f aca="false">IF($A358="","",INDEX(Workers!$P$5:$P$2004,MATCH($A358,Workers!$A$5:$A$2004,0))&amp;"")</f>
        <v/>
      </c>
      <c r="U358" s="24" t="str">
        <f aca="false">IF($A358="","",INDEX(Workers!$H$5:$H$2004,MATCH($A358,Workers!$A$5:$A$2004,0))&amp;"")</f>
        <v/>
      </c>
    </row>
    <row r="359" customFormat="false" ht="15" hidden="false" customHeight="false" outlineLevel="0" collapsed="false">
      <c r="A359" s="24" t="str">
        <f aca="false">IFERROR(INDEX(Workers!$A$5:$A$2004,MATCH(ROW()-4,Workers!$U$5:$U$2004,0)),"")</f>
        <v/>
      </c>
      <c r="B359" s="24" t="str">
        <f aca="false">IF($A359="","",INDEX(Workers!$B$5:$B$2004,MATCH($A359,Workers!$A$5:$A$2004,0)))</f>
        <v/>
      </c>
      <c r="C359" s="24" t="str">
        <f aca="false">IF($A359="","",INDEX(Workers!$E$5:$E$2004,MATCH($A359,Workers!$A$5:$A$2004,0)))</f>
        <v/>
      </c>
      <c r="D359" s="24" t="str">
        <f aca="false">IF($A359="","",INDEX(Workers!$K$5:$K$2004,MATCH($A359,Workers!$A$5:$A$2004,0)))</f>
        <v/>
      </c>
      <c r="E359" s="25" t="str">
        <f aca="false">IF($A359="","",SUMIFS(Timesheet!$E$5:$E$3004,Timesheet!$D$5:$D$3004,$A359,Timesheet!$A$5:$A$3004,"&gt;="&amp;Settings!$B$8,Timesheet!$A$5:$A$3004,"&lt;="&amp;Settings!$B$9))</f>
        <v/>
      </c>
      <c r="F359" s="25" t="str">
        <f aca="false">IF($A359="","",SUMIFS(Timesheet!$F$5:$F$3004,Timesheet!$D$5:$D$3004,$A359,Timesheet!$A$5:$A$3004,"&gt;="&amp;Settings!$B$8,Timesheet!$A$5:$A$3004,"&lt;="&amp;Settings!$B$9))</f>
        <v/>
      </c>
      <c r="G359" s="25" t="str">
        <f aca="false">IF($A359="","",SUMIFS(Timesheet!$G$5:$G$3004,Timesheet!$D$5:$D$3004,$A359,Timesheet!$A$5:$A$3004,"&gt;="&amp;Settings!$B$8,Timesheet!$A$5:$A$3004,"&lt;="&amp;Settings!$B$9))</f>
        <v/>
      </c>
      <c r="H359" s="25" t="str">
        <f aca="false">IF($A359="","",IF(D359="Monthly",MAX(0,Settings!$B$11-E359),0))</f>
        <v/>
      </c>
      <c r="I359" s="26" t="str">
        <f aca="false">IF($A359="","",N(INDEX(Workers!$L$5:$L$2004,MATCH($A359,Workers!$A$5:$A$2004,0))))</f>
        <v/>
      </c>
      <c r="J359" s="26" t="str">
        <f aca="false">IF($A359="","",N(INDEX(Workers!$M$5:$M$2004,MATCH($A359,Workers!$A$5:$A$2004,0))))</f>
        <v/>
      </c>
      <c r="K359" s="26" t="str">
        <f aca="false">IF($A359="","",IF(D359="Monthly",ROUND(MAX(0,(I359+J359)-(I359+J359)/Settings!$B$10*H359),2),0))</f>
        <v/>
      </c>
      <c r="L359" s="26" t="str">
        <f aca="false">IF($A359="","",IF(D359="Hourly",ROUND(F359*N(INDEX(Workers!$N$5:$N$2004,MATCH($A359,Workers!$A$5:$A$2004,0))),2),0))</f>
        <v/>
      </c>
      <c r="M359" s="26" t="str">
        <f aca="false">IF($A359="","",ROUND(G359*IF(D359="Hourly",N(INDEX(Workers!$N$5:$N$2004,MATCH($A359,Workers!$A$5:$A$2004,0))),I359/Settings!$B$10/Settings!$B$12)*Settings!$B$13,2))</f>
        <v/>
      </c>
      <c r="N359" s="26" t="str">
        <f aca="false">IF($A359="","",K359+L359+M359)</f>
        <v/>
      </c>
      <c r="O359" s="26" t="str">
        <f aca="false">IF($A359="","",SUMIFS(Deductions!$D$5:$D$2000,Deductions!$B$5:$B$2000,$A359,Deductions!$C$5:$C$2000,"Advance",Deductions!$E$5:$E$2000,"&gt;="&amp;Settings!$B$8,Deductions!$E$5:$E$2000,"&lt;="&amp;Settings!$B$9))</f>
        <v/>
      </c>
      <c r="P359" s="26" t="str">
        <f aca="false">IF($A359="","",SUMIFS(Deductions!$D$5:$D$2000,Deductions!$B$5:$B$2000,$A359,Deductions!$E$5:$E$2000,"&gt;="&amp;Settings!$B$8,Deductions!$E$5:$E$2000,"&lt;="&amp;Settings!$B$9)-O359)</f>
        <v/>
      </c>
      <c r="Q359" s="26" t="str">
        <f aca="false">IF($A359="","",O359+P359)</f>
        <v/>
      </c>
      <c r="R359" s="23" t="str">
        <f aca="false">IF($A359="","",N359-Q359)</f>
        <v/>
      </c>
      <c r="S359" s="24" t="str">
        <f aca="false">IF($A359="","",INDEX(Workers!$O$5:$O$2004,MATCH($A359,Workers!$A$5:$A$2004,0))&amp;"")</f>
        <v/>
      </c>
      <c r="T359" s="24" t="str">
        <f aca="false">IF($A359="","",INDEX(Workers!$P$5:$P$2004,MATCH($A359,Workers!$A$5:$A$2004,0))&amp;"")</f>
        <v/>
      </c>
      <c r="U359" s="24" t="str">
        <f aca="false">IF($A359="","",INDEX(Workers!$H$5:$H$2004,MATCH($A359,Workers!$A$5:$A$2004,0))&amp;"")</f>
        <v/>
      </c>
    </row>
    <row r="360" customFormat="false" ht="15" hidden="false" customHeight="false" outlineLevel="0" collapsed="false">
      <c r="A360" s="24" t="str">
        <f aca="false">IFERROR(INDEX(Workers!$A$5:$A$2004,MATCH(ROW()-4,Workers!$U$5:$U$2004,0)),"")</f>
        <v/>
      </c>
      <c r="B360" s="24" t="str">
        <f aca="false">IF($A360="","",INDEX(Workers!$B$5:$B$2004,MATCH($A360,Workers!$A$5:$A$2004,0)))</f>
        <v/>
      </c>
      <c r="C360" s="24" t="str">
        <f aca="false">IF($A360="","",INDEX(Workers!$E$5:$E$2004,MATCH($A360,Workers!$A$5:$A$2004,0)))</f>
        <v/>
      </c>
      <c r="D360" s="24" t="str">
        <f aca="false">IF($A360="","",INDEX(Workers!$K$5:$K$2004,MATCH($A360,Workers!$A$5:$A$2004,0)))</f>
        <v/>
      </c>
      <c r="E360" s="25" t="str">
        <f aca="false">IF($A360="","",SUMIFS(Timesheet!$E$5:$E$3004,Timesheet!$D$5:$D$3004,$A360,Timesheet!$A$5:$A$3004,"&gt;="&amp;Settings!$B$8,Timesheet!$A$5:$A$3004,"&lt;="&amp;Settings!$B$9))</f>
        <v/>
      </c>
      <c r="F360" s="25" t="str">
        <f aca="false">IF($A360="","",SUMIFS(Timesheet!$F$5:$F$3004,Timesheet!$D$5:$D$3004,$A360,Timesheet!$A$5:$A$3004,"&gt;="&amp;Settings!$B$8,Timesheet!$A$5:$A$3004,"&lt;="&amp;Settings!$B$9))</f>
        <v/>
      </c>
      <c r="G360" s="25" t="str">
        <f aca="false">IF($A360="","",SUMIFS(Timesheet!$G$5:$G$3004,Timesheet!$D$5:$D$3004,$A360,Timesheet!$A$5:$A$3004,"&gt;="&amp;Settings!$B$8,Timesheet!$A$5:$A$3004,"&lt;="&amp;Settings!$B$9))</f>
        <v/>
      </c>
      <c r="H360" s="25" t="str">
        <f aca="false">IF($A360="","",IF(D360="Monthly",MAX(0,Settings!$B$11-E360),0))</f>
        <v/>
      </c>
      <c r="I360" s="26" t="str">
        <f aca="false">IF($A360="","",N(INDEX(Workers!$L$5:$L$2004,MATCH($A360,Workers!$A$5:$A$2004,0))))</f>
        <v/>
      </c>
      <c r="J360" s="26" t="str">
        <f aca="false">IF($A360="","",N(INDEX(Workers!$M$5:$M$2004,MATCH($A360,Workers!$A$5:$A$2004,0))))</f>
        <v/>
      </c>
      <c r="K360" s="26" t="str">
        <f aca="false">IF($A360="","",IF(D360="Monthly",ROUND(MAX(0,(I360+J360)-(I360+J360)/Settings!$B$10*H360),2),0))</f>
        <v/>
      </c>
      <c r="L360" s="26" t="str">
        <f aca="false">IF($A360="","",IF(D360="Hourly",ROUND(F360*N(INDEX(Workers!$N$5:$N$2004,MATCH($A360,Workers!$A$5:$A$2004,0))),2),0))</f>
        <v/>
      </c>
      <c r="M360" s="26" t="str">
        <f aca="false">IF($A360="","",ROUND(G360*IF(D360="Hourly",N(INDEX(Workers!$N$5:$N$2004,MATCH($A360,Workers!$A$5:$A$2004,0))),I360/Settings!$B$10/Settings!$B$12)*Settings!$B$13,2))</f>
        <v/>
      </c>
      <c r="N360" s="26" t="str">
        <f aca="false">IF($A360="","",K360+L360+M360)</f>
        <v/>
      </c>
      <c r="O360" s="26" t="str">
        <f aca="false">IF($A360="","",SUMIFS(Deductions!$D$5:$D$2000,Deductions!$B$5:$B$2000,$A360,Deductions!$C$5:$C$2000,"Advance",Deductions!$E$5:$E$2000,"&gt;="&amp;Settings!$B$8,Deductions!$E$5:$E$2000,"&lt;="&amp;Settings!$B$9))</f>
        <v/>
      </c>
      <c r="P360" s="26" t="str">
        <f aca="false">IF($A360="","",SUMIFS(Deductions!$D$5:$D$2000,Deductions!$B$5:$B$2000,$A360,Deductions!$E$5:$E$2000,"&gt;="&amp;Settings!$B$8,Deductions!$E$5:$E$2000,"&lt;="&amp;Settings!$B$9)-O360)</f>
        <v/>
      </c>
      <c r="Q360" s="26" t="str">
        <f aca="false">IF($A360="","",O360+P360)</f>
        <v/>
      </c>
      <c r="R360" s="23" t="str">
        <f aca="false">IF($A360="","",N360-Q360)</f>
        <v/>
      </c>
      <c r="S360" s="24" t="str">
        <f aca="false">IF($A360="","",INDEX(Workers!$O$5:$O$2004,MATCH($A360,Workers!$A$5:$A$2004,0))&amp;"")</f>
        <v/>
      </c>
      <c r="T360" s="24" t="str">
        <f aca="false">IF($A360="","",INDEX(Workers!$P$5:$P$2004,MATCH($A360,Workers!$A$5:$A$2004,0))&amp;"")</f>
        <v/>
      </c>
      <c r="U360" s="24" t="str">
        <f aca="false">IF($A360="","",INDEX(Workers!$H$5:$H$2004,MATCH($A360,Workers!$A$5:$A$2004,0))&amp;"")</f>
        <v/>
      </c>
    </row>
    <row r="361" customFormat="false" ht="15" hidden="false" customHeight="false" outlineLevel="0" collapsed="false">
      <c r="A361" s="24" t="str">
        <f aca="false">IFERROR(INDEX(Workers!$A$5:$A$2004,MATCH(ROW()-4,Workers!$U$5:$U$2004,0)),"")</f>
        <v/>
      </c>
      <c r="B361" s="24" t="str">
        <f aca="false">IF($A361="","",INDEX(Workers!$B$5:$B$2004,MATCH($A361,Workers!$A$5:$A$2004,0)))</f>
        <v/>
      </c>
      <c r="C361" s="24" t="str">
        <f aca="false">IF($A361="","",INDEX(Workers!$E$5:$E$2004,MATCH($A361,Workers!$A$5:$A$2004,0)))</f>
        <v/>
      </c>
      <c r="D361" s="24" t="str">
        <f aca="false">IF($A361="","",INDEX(Workers!$K$5:$K$2004,MATCH($A361,Workers!$A$5:$A$2004,0)))</f>
        <v/>
      </c>
      <c r="E361" s="25" t="str">
        <f aca="false">IF($A361="","",SUMIFS(Timesheet!$E$5:$E$3004,Timesheet!$D$5:$D$3004,$A361,Timesheet!$A$5:$A$3004,"&gt;="&amp;Settings!$B$8,Timesheet!$A$5:$A$3004,"&lt;="&amp;Settings!$B$9))</f>
        <v/>
      </c>
      <c r="F361" s="25" t="str">
        <f aca="false">IF($A361="","",SUMIFS(Timesheet!$F$5:$F$3004,Timesheet!$D$5:$D$3004,$A361,Timesheet!$A$5:$A$3004,"&gt;="&amp;Settings!$B$8,Timesheet!$A$5:$A$3004,"&lt;="&amp;Settings!$B$9))</f>
        <v/>
      </c>
      <c r="G361" s="25" t="str">
        <f aca="false">IF($A361="","",SUMIFS(Timesheet!$G$5:$G$3004,Timesheet!$D$5:$D$3004,$A361,Timesheet!$A$5:$A$3004,"&gt;="&amp;Settings!$B$8,Timesheet!$A$5:$A$3004,"&lt;="&amp;Settings!$B$9))</f>
        <v/>
      </c>
      <c r="H361" s="25" t="str">
        <f aca="false">IF($A361="","",IF(D361="Monthly",MAX(0,Settings!$B$11-E361),0))</f>
        <v/>
      </c>
      <c r="I361" s="26" t="str">
        <f aca="false">IF($A361="","",N(INDEX(Workers!$L$5:$L$2004,MATCH($A361,Workers!$A$5:$A$2004,0))))</f>
        <v/>
      </c>
      <c r="J361" s="26" t="str">
        <f aca="false">IF($A361="","",N(INDEX(Workers!$M$5:$M$2004,MATCH($A361,Workers!$A$5:$A$2004,0))))</f>
        <v/>
      </c>
      <c r="K361" s="26" t="str">
        <f aca="false">IF($A361="","",IF(D361="Monthly",ROUND(MAX(0,(I361+J361)-(I361+J361)/Settings!$B$10*H361),2),0))</f>
        <v/>
      </c>
      <c r="L361" s="26" t="str">
        <f aca="false">IF($A361="","",IF(D361="Hourly",ROUND(F361*N(INDEX(Workers!$N$5:$N$2004,MATCH($A361,Workers!$A$5:$A$2004,0))),2),0))</f>
        <v/>
      </c>
      <c r="M361" s="26" t="str">
        <f aca="false">IF($A361="","",ROUND(G361*IF(D361="Hourly",N(INDEX(Workers!$N$5:$N$2004,MATCH($A361,Workers!$A$5:$A$2004,0))),I361/Settings!$B$10/Settings!$B$12)*Settings!$B$13,2))</f>
        <v/>
      </c>
      <c r="N361" s="26" t="str">
        <f aca="false">IF($A361="","",K361+L361+M361)</f>
        <v/>
      </c>
      <c r="O361" s="26" t="str">
        <f aca="false">IF($A361="","",SUMIFS(Deductions!$D$5:$D$2000,Deductions!$B$5:$B$2000,$A361,Deductions!$C$5:$C$2000,"Advance",Deductions!$E$5:$E$2000,"&gt;="&amp;Settings!$B$8,Deductions!$E$5:$E$2000,"&lt;="&amp;Settings!$B$9))</f>
        <v/>
      </c>
      <c r="P361" s="26" t="str">
        <f aca="false">IF($A361="","",SUMIFS(Deductions!$D$5:$D$2000,Deductions!$B$5:$B$2000,$A361,Deductions!$E$5:$E$2000,"&gt;="&amp;Settings!$B$8,Deductions!$E$5:$E$2000,"&lt;="&amp;Settings!$B$9)-O361)</f>
        <v/>
      </c>
      <c r="Q361" s="26" t="str">
        <f aca="false">IF($A361="","",O361+P361)</f>
        <v/>
      </c>
      <c r="R361" s="23" t="str">
        <f aca="false">IF($A361="","",N361-Q361)</f>
        <v/>
      </c>
      <c r="S361" s="24" t="str">
        <f aca="false">IF($A361="","",INDEX(Workers!$O$5:$O$2004,MATCH($A361,Workers!$A$5:$A$2004,0))&amp;"")</f>
        <v/>
      </c>
      <c r="T361" s="24" t="str">
        <f aca="false">IF($A361="","",INDEX(Workers!$P$5:$P$2004,MATCH($A361,Workers!$A$5:$A$2004,0))&amp;"")</f>
        <v/>
      </c>
      <c r="U361" s="24" t="str">
        <f aca="false">IF($A361="","",INDEX(Workers!$H$5:$H$2004,MATCH($A361,Workers!$A$5:$A$2004,0))&amp;"")</f>
        <v/>
      </c>
    </row>
    <row r="362" customFormat="false" ht="15" hidden="false" customHeight="false" outlineLevel="0" collapsed="false">
      <c r="A362" s="24" t="str">
        <f aca="false">IFERROR(INDEX(Workers!$A$5:$A$2004,MATCH(ROW()-4,Workers!$U$5:$U$2004,0)),"")</f>
        <v/>
      </c>
      <c r="B362" s="24" t="str">
        <f aca="false">IF($A362="","",INDEX(Workers!$B$5:$B$2004,MATCH($A362,Workers!$A$5:$A$2004,0)))</f>
        <v/>
      </c>
      <c r="C362" s="24" t="str">
        <f aca="false">IF($A362="","",INDEX(Workers!$E$5:$E$2004,MATCH($A362,Workers!$A$5:$A$2004,0)))</f>
        <v/>
      </c>
      <c r="D362" s="24" t="str">
        <f aca="false">IF($A362="","",INDEX(Workers!$K$5:$K$2004,MATCH($A362,Workers!$A$5:$A$2004,0)))</f>
        <v/>
      </c>
      <c r="E362" s="25" t="str">
        <f aca="false">IF($A362="","",SUMIFS(Timesheet!$E$5:$E$3004,Timesheet!$D$5:$D$3004,$A362,Timesheet!$A$5:$A$3004,"&gt;="&amp;Settings!$B$8,Timesheet!$A$5:$A$3004,"&lt;="&amp;Settings!$B$9))</f>
        <v/>
      </c>
      <c r="F362" s="25" t="str">
        <f aca="false">IF($A362="","",SUMIFS(Timesheet!$F$5:$F$3004,Timesheet!$D$5:$D$3004,$A362,Timesheet!$A$5:$A$3004,"&gt;="&amp;Settings!$B$8,Timesheet!$A$5:$A$3004,"&lt;="&amp;Settings!$B$9))</f>
        <v/>
      </c>
      <c r="G362" s="25" t="str">
        <f aca="false">IF($A362="","",SUMIFS(Timesheet!$G$5:$G$3004,Timesheet!$D$5:$D$3004,$A362,Timesheet!$A$5:$A$3004,"&gt;="&amp;Settings!$B$8,Timesheet!$A$5:$A$3004,"&lt;="&amp;Settings!$B$9))</f>
        <v/>
      </c>
      <c r="H362" s="25" t="str">
        <f aca="false">IF($A362="","",IF(D362="Monthly",MAX(0,Settings!$B$11-E362),0))</f>
        <v/>
      </c>
      <c r="I362" s="26" t="str">
        <f aca="false">IF($A362="","",N(INDEX(Workers!$L$5:$L$2004,MATCH($A362,Workers!$A$5:$A$2004,0))))</f>
        <v/>
      </c>
      <c r="J362" s="26" t="str">
        <f aca="false">IF($A362="","",N(INDEX(Workers!$M$5:$M$2004,MATCH($A362,Workers!$A$5:$A$2004,0))))</f>
        <v/>
      </c>
      <c r="K362" s="26" t="str">
        <f aca="false">IF($A362="","",IF(D362="Monthly",ROUND(MAX(0,(I362+J362)-(I362+J362)/Settings!$B$10*H362),2),0))</f>
        <v/>
      </c>
      <c r="L362" s="26" t="str">
        <f aca="false">IF($A362="","",IF(D362="Hourly",ROUND(F362*N(INDEX(Workers!$N$5:$N$2004,MATCH($A362,Workers!$A$5:$A$2004,0))),2),0))</f>
        <v/>
      </c>
      <c r="M362" s="26" t="str">
        <f aca="false">IF($A362="","",ROUND(G362*IF(D362="Hourly",N(INDEX(Workers!$N$5:$N$2004,MATCH($A362,Workers!$A$5:$A$2004,0))),I362/Settings!$B$10/Settings!$B$12)*Settings!$B$13,2))</f>
        <v/>
      </c>
      <c r="N362" s="26" t="str">
        <f aca="false">IF($A362="","",K362+L362+M362)</f>
        <v/>
      </c>
      <c r="O362" s="26" t="str">
        <f aca="false">IF($A362="","",SUMIFS(Deductions!$D$5:$D$2000,Deductions!$B$5:$B$2000,$A362,Deductions!$C$5:$C$2000,"Advance",Deductions!$E$5:$E$2000,"&gt;="&amp;Settings!$B$8,Deductions!$E$5:$E$2000,"&lt;="&amp;Settings!$B$9))</f>
        <v/>
      </c>
      <c r="P362" s="26" t="str">
        <f aca="false">IF($A362="","",SUMIFS(Deductions!$D$5:$D$2000,Deductions!$B$5:$B$2000,$A362,Deductions!$E$5:$E$2000,"&gt;="&amp;Settings!$B$8,Deductions!$E$5:$E$2000,"&lt;="&amp;Settings!$B$9)-O362)</f>
        <v/>
      </c>
      <c r="Q362" s="26" t="str">
        <f aca="false">IF($A362="","",O362+P362)</f>
        <v/>
      </c>
      <c r="R362" s="23" t="str">
        <f aca="false">IF($A362="","",N362-Q362)</f>
        <v/>
      </c>
      <c r="S362" s="24" t="str">
        <f aca="false">IF($A362="","",INDEX(Workers!$O$5:$O$2004,MATCH($A362,Workers!$A$5:$A$2004,0))&amp;"")</f>
        <v/>
      </c>
      <c r="T362" s="24" t="str">
        <f aca="false">IF($A362="","",INDEX(Workers!$P$5:$P$2004,MATCH($A362,Workers!$A$5:$A$2004,0))&amp;"")</f>
        <v/>
      </c>
      <c r="U362" s="24" t="str">
        <f aca="false">IF($A362="","",INDEX(Workers!$H$5:$H$2004,MATCH($A362,Workers!$A$5:$A$2004,0))&amp;"")</f>
        <v/>
      </c>
    </row>
    <row r="363" customFormat="false" ht="15" hidden="false" customHeight="false" outlineLevel="0" collapsed="false">
      <c r="A363" s="24" t="str">
        <f aca="false">IFERROR(INDEX(Workers!$A$5:$A$2004,MATCH(ROW()-4,Workers!$U$5:$U$2004,0)),"")</f>
        <v/>
      </c>
      <c r="B363" s="24" t="str">
        <f aca="false">IF($A363="","",INDEX(Workers!$B$5:$B$2004,MATCH($A363,Workers!$A$5:$A$2004,0)))</f>
        <v/>
      </c>
      <c r="C363" s="24" t="str">
        <f aca="false">IF($A363="","",INDEX(Workers!$E$5:$E$2004,MATCH($A363,Workers!$A$5:$A$2004,0)))</f>
        <v/>
      </c>
      <c r="D363" s="24" t="str">
        <f aca="false">IF($A363="","",INDEX(Workers!$K$5:$K$2004,MATCH($A363,Workers!$A$5:$A$2004,0)))</f>
        <v/>
      </c>
      <c r="E363" s="25" t="str">
        <f aca="false">IF($A363="","",SUMIFS(Timesheet!$E$5:$E$3004,Timesheet!$D$5:$D$3004,$A363,Timesheet!$A$5:$A$3004,"&gt;="&amp;Settings!$B$8,Timesheet!$A$5:$A$3004,"&lt;="&amp;Settings!$B$9))</f>
        <v/>
      </c>
      <c r="F363" s="25" t="str">
        <f aca="false">IF($A363="","",SUMIFS(Timesheet!$F$5:$F$3004,Timesheet!$D$5:$D$3004,$A363,Timesheet!$A$5:$A$3004,"&gt;="&amp;Settings!$B$8,Timesheet!$A$5:$A$3004,"&lt;="&amp;Settings!$B$9))</f>
        <v/>
      </c>
      <c r="G363" s="25" t="str">
        <f aca="false">IF($A363="","",SUMIFS(Timesheet!$G$5:$G$3004,Timesheet!$D$5:$D$3004,$A363,Timesheet!$A$5:$A$3004,"&gt;="&amp;Settings!$B$8,Timesheet!$A$5:$A$3004,"&lt;="&amp;Settings!$B$9))</f>
        <v/>
      </c>
      <c r="H363" s="25" t="str">
        <f aca="false">IF($A363="","",IF(D363="Monthly",MAX(0,Settings!$B$11-E363),0))</f>
        <v/>
      </c>
      <c r="I363" s="26" t="str">
        <f aca="false">IF($A363="","",N(INDEX(Workers!$L$5:$L$2004,MATCH($A363,Workers!$A$5:$A$2004,0))))</f>
        <v/>
      </c>
      <c r="J363" s="26" t="str">
        <f aca="false">IF($A363="","",N(INDEX(Workers!$M$5:$M$2004,MATCH($A363,Workers!$A$5:$A$2004,0))))</f>
        <v/>
      </c>
      <c r="K363" s="26" t="str">
        <f aca="false">IF($A363="","",IF(D363="Monthly",ROUND(MAX(0,(I363+J363)-(I363+J363)/Settings!$B$10*H363),2),0))</f>
        <v/>
      </c>
      <c r="L363" s="26" t="str">
        <f aca="false">IF($A363="","",IF(D363="Hourly",ROUND(F363*N(INDEX(Workers!$N$5:$N$2004,MATCH($A363,Workers!$A$5:$A$2004,0))),2),0))</f>
        <v/>
      </c>
      <c r="M363" s="26" t="str">
        <f aca="false">IF($A363="","",ROUND(G363*IF(D363="Hourly",N(INDEX(Workers!$N$5:$N$2004,MATCH($A363,Workers!$A$5:$A$2004,0))),I363/Settings!$B$10/Settings!$B$12)*Settings!$B$13,2))</f>
        <v/>
      </c>
      <c r="N363" s="26" t="str">
        <f aca="false">IF($A363="","",K363+L363+M363)</f>
        <v/>
      </c>
      <c r="O363" s="26" t="str">
        <f aca="false">IF($A363="","",SUMIFS(Deductions!$D$5:$D$2000,Deductions!$B$5:$B$2000,$A363,Deductions!$C$5:$C$2000,"Advance",Deductions!$E$5:$E$2000,"&gt;="&amp;Settings!$B$8,Deductions!$E$5:$E$2000,"&lt;="&amp;Settings!$B$9))</f>
        <v/>
      </c>
      <c r="P363" s="26" t="str">
        <f aca="false">IF($A363="","",SUMIFS(Deductions!$D$5:$D$2000,Deductions!$B$5:$B$2000,$A363,Deductions!$E$5:$E$2000,"&gt;="&amp;Settings!$B$8,Deductions!$E$5:$E$2000,"&lt;="&amp;Settings!$B$9)-O363)</f>
        <v/>
      </c>
      <c r="Q363" s="26" t="str">
        <f aca="false">IF($A363="","",O363+P363)</f>
        <v/>
      </c>
      <c r="R363" s="23" t="str">
        <f aca="false">IF($A363="","",N363-Q363)</f>
        <v/>
      </c>
      <c r="S363" s="24" t="str">
        <f aca="false">IF($A363="","",INDEX(Workers!$O$5:$O$2004,MATCH($A363,Workers!$A$5:$A$2004,0))&amp;"")</f>
        <v/>
      </c>
      <c r="T363" s="24" t="str">
        <f aca="false">IF($A363="","",INDEX(Workers!$P$5:$P$2004,MATCH($A363,Workers!$A$5:$A$2004,0))&amp;"")</f>
        <v/>
      </c>
      <c r="U363" s="24" t="str">
        <f aca="false">IF($A363="","",INDEX(Workers!$H$5:$H$2004,MATCH($A363,Workers!$A$5:$A$2004,0))&amp;"")</f>
        <v/>
      </c>
    </row>
    <row r="364" customFormat="false" ht="15" hidden="false" customHeight="false" outlineLevel="0" collapsed="false">
      <c r="A364" s="24" t="str">
        <f aca="false">IFERROR(INDEX(Workers!$A$5:$A$2004,MATCH(ROW()-4,Workers!$U$5:$U$2004,0)),"")</f>
        <v/>
      </c>
      <c r="B364" s="24" t="str">
        <f aca="false">IF($A364="","",INDEX(Workers!$B$5:$B$2004,MATCH($A364,Workers!$A$5:$A$2004,0)))</f>
        <v/>
      </c>
      <c r="C364" s="24" t="str">
        <f aca="false">IF($A364="","",INDEX(Workers!$E$5:$E$2004,MATCH($A364,Workers!$A$5:$A$2004,0)))</f>
        <v/>
      </c>
      <c r="D364" s="24" t="str">
        <f aca="false">IF($A364="","",INDEX(Workers!$K$5:$K$2004,MATCH($A364,Workers!$A$5:$A$2004,0)))</f>
        <v/>
      </c>
      <c r="E364" s="25" t="str">
        <f aca="false">IF($A364="","",SUMIFS(Timesheet!$E$5:$E$3004,Timesheet!$D$5:$D$3004,$A364,Timesheet!$A$5:$A$3004,"&gt;="&amp;Settings!$B$8,Timesheet!$A$5:$A$3004,"&lt;="&amp;Settings!$B$9))</f>
        <v/>
      </c>
      <c r="F364" s="25" t="str">
        <f aca="false">IF($A364="","",SUMIFS(Timesheet!$F$5:$F$3004,Timesheet!$D$5:$D$3004,$A364,Timesheet!$A$5:$A$3004,"&gt;="&amp;Settings!$B$8,Timesheet!$A$5:$A$3004,"&lt;="&amp;Settings!$B$9))</f>
        <v/>
      </c>
      <c r="G364" s="25" t="str">
        <f aca="false">IF($A364="","",SUMIFS(Timesheet!$G$5:$G$3004,Timesheet!$D$5:$D$3004,$A364,Timesheet!$A$5:$A$3004,"&gt;="&amp;Settings!$B$8,Timesheet!$A$5:$A$3004,"&lt;="&amp;Settings!$B$9))</f>
        <v/>
      </c>
      <c r="H364" s="25" t="str">
        <f aca="false">IF($A364="","",IF(D364="Monthly",MAX(0,Settings!$B$11-E364),0))</f>
        <v/>
      </c>
      <c r="I364" s="26" t="str">
        <f aca="false">IF($A364="","",N(INDEX(Workers!$L$5:$L$2004,MATCH($A364,Workers!$A$5:$A$2004,0))))</f>
        <v/>
      </c>
      <c r="J364" s="26" t="str">
        <f aca="false">IF($A364="","",N(INDEX(Workers!$M$5:$M$2004,MATCH($A364,Workers!$A$5:$A$2004,0))))</f>
        <v/>
      </c>
      <c r="K364" s="26" t="str">
        <f aca="false">IF($A364="","",IF(D364="Monthly",ROUND(MAX(0,(I364+J364)-(I364+J364)/Settings!$B$10*H364),2),0))</f>
        <v/>
      </c>
      <c r="L364" s="26" t="str">
        <f aca="false">IF($A364="","",IF(D364="Hourly",ROUND(F364*N(INDEX(Workers!$N$5:$N$2004,MATCH($A364,Workers!$A$5:$A$2004,0))),2),0))</f>
        <v/>
      </c>
      <c r="M364" s="26" t="str">
        <f aca="false">IF($A364="","",ROUND(G364*IF(D364="Hourly",N(INDEX(Workers!$N$5:$N$2004,MATCH($A364,Workers!$A$5:$A$2004,0))),I364/Settings!$B$10/Settings!$B$12)*Settings!$B$13,2))</f>
        <v/>
      </c>
      <c r="N364" s="26" t="str">
        <f aca="false">IF($A364="","",K364+L364+M364)</f>
        <v/>
      </c>
      <c r="O364" s="26" t="str">
        <f aca="false">IF($A364="","",SUMIFS(Deductions!$D$5:$D$2000,Deductions!$B$5:$B$2000,$A364,Deductions!$C$5:$C$2000,"Advance",Deductions!$E$5:$E$2000,"&gt;="&amp;Settings!$B$8,Deductions!$E$5:$E$2000,"&lt;="&amp;Settings!$B$9))</f>
        <v/>
      </c>
      <c r="P364" s="26" t="str">
        <f aca="false">IF($A364="","",SUMIFS(Deductions!$D$5:$D$2000,Deductions!$B$5:$B$2000,$A364,Deductions!$E$5:$E$2000,"&gt;="&amp;Settings!$B$8,Deductions!$E$5:$E$2000,"&lt;="&amp;Settings!$B$9)-O364)</f>
        <v/>
      </c>
      <c r="Q364" s="26" t="str">
        <f aca="false">IF($A364="","",O364+P364)</f>
        <v/>
      </c>
      <c r="R364" s="23" t="str">
        <f aca="false">IF($A364="","",N364-Q364)</f>
        <v/>
      </c>
      <c r="S364" s="24" t="str">
        <f aca="false">IF($A364="","",INDEX(Workers!$O$5:$O$2004,MATCH($A364,Workers!$A$5:$A$2004,0))&amp;"")</f>
        <v/>
      </c>
      <c r="T364" s="24" t="str">
        <f aca="false">IF($A364="","",INDEX(Workers!$P$5:$P$2004,MATCH($A364,Workers!$A$5:$A$2004,0))&amp;"")</f>
        <v/>
      </c>
      <c r="U364" s="24" t="str">
        <f aca="false">IF($A364="","",INDEX(Workers!$H$5:$H$2004,MATCH($A364,Workers!$A$5:$A$2004,0))&amp;"")</f>
        <v/>
      </c>
    </row>
    <row r="365" customFormat="false" ht="15" hidden="false" customHeight="false" outlineLevel="0" collapsed="false">
      <c r="A365" s="24" t="str">
        <f aca="false">IFERROR(INDEX(Workers!$A$5:$A$2004,MATCH(ROW()-4,Workers!$U$5:$U$2004,0)),"")</f>
        <v/>
      </c>
      <c r="B365" s="24" t="str">
        <f aca="false">IF($A365="","",INDEX(Workers!$B$5:$B$2004,MATCH($A365,Workers!$A$5:$A$2004,0)))</f>
        <v/>
      </c>
      <c r="C365" s="24" t="str">
        <f aca="false">IF($A365="","",INDEX(Workers!$E$5:$E$2004,MATCH($A365,Workers!$A$5:$A$2004,0)))</f>
        <v/>
      </c>
      <c r="D365" s="24" t="str">
        <f aca="false">IF($A365="","",INDEX(Workers!$K$5:$K$2004,MATCH($A365,Workers!$A$5:$A$2004,0)))</f>
        <v/>
      </c>
      <c r="E365" s="25" t="str">
        <f aca="false">IF($A365="","",SUMIFS(Timesheet!$E$5:$E$3004,Timesheet!$D$5:$D$3004,$A365,Timesheet!$A$5:$A$3004,"&gt;="&amp;Settings!$B$8,Timesheet!$A$5:$A$3004,"&lt;="&amp;Settings!$B$9))</f>
        <v/>
      </c>
      <c r="F365" s="25" t="str">
        <f aca="false">IF($A365="","",SUMIFS(Timesheet!$F$5:$F$3004,Timesheet!$D$5:$D$3004,$A365,Timesheet!$A$5:$A$3004,"&gt;="&amp;Settings!$B$8,Timesheet!$A$5:$A$3004,"&lt;="&amp;Settings!$B$9))</f>
        <v/>
      </c>
      <c r="G365" s="25" t="str">
        <f aca="false">IF($A365="","",SUMIFS(Timesheet!$G$5:$G$3004,Timesheet!$D$5:$D$3004,$A365,Timesheet!$A$5:$A$3004,"&gt;="&amp;Settings!$B$8,Timesheet!$A$5:$A$3004,"&lt;="&amp;Settings!$B$9))</f>
        <v/>
      </c>
      <c r="H365" s="25" t="str">
        <f aca="false">IF($A365="","",IF(D365="Monthly",MAX(0,Settings!$B$11-E365),0))</f>
        <v/>
      </c>
      <c r="I365" s="26" t="str">
        <f aca="false">IF($A365="","",N(INDEX(Workers!$L$5:$L$2004,MATCH($A365,Workers!$A$5:$A$2004,0))))</f>
        <v/>
      </c>
      <c r="J365" s="26" t="str">
        <f aca="false">IF($A365="","",N(INDEX(Workers!$M$5:$M$2004,MATCH($A365,Workers!$A$5:$A$2004,0))))</f>
        <v/>
      </c>
      <c r="K365" s="26" t="str">
        <f aca="false">IF($A365="","",IF(D365="Monthly",ROUND(MAX(0,(I365+J365)-(I365+J365)/Settings!$B$10*H365),2),0))</f>
        <v/>
      </c>
      <c r="L365" s="26" t="str">
        <f aca="false">IF($A365="","",IF(D365="Hourly",ROUND(F365*N(INDEX(Workers!$N$5:$N$2004,MATCH($A365,Workers!$A$5:$A$2004,0))),2),0))</f>
        <v/>
      </c>
      <c r="M365" s="26" t="str">
        <f aca="false">IF($A365="","",ROUND(G365*IF(D365="Hourly",N(INDEX(Workers!$N$5:$N$2004,MATCH($A365,Workers!$A$5:$A$2004,0))),I365/Settings!$B$10/Settings!$B$12)*Settings!$B$13,2))</f>
        <v/>
      </c>
      <c r="N365" s="26" t="str">
        <f aca="false">IF($A365="","",K365+L365+M365)</f>
        <v/>
      </c>
      <c r="O365" s="26" t="str">
        <f aca="false">IF($A365="","",SUMIFS(Deductions!$D$5:$D$2000,Deductions!$B$5:$B$2000,$A365,Deductions!$C$5:$C$2000,"Advance",Deductions!$E$5:$E$2000,"&gt;="&amp;Settings!$B$8,Deductions!$E$5:$E$2000,"&lt;="&amp;Settings!$B$9))</f>
        <v/>
      </c>
      <c r="P365" s="26" t="str">
        <f aca="false">IF($A365="","",SUMIFS(Deductions!$D$5:$D$2000,Deductions!$B$5:$B$2000,$A365,Deductions!$E$5:$E$2000,"&gt;="&amp;Settings!$B$8,Deductions!$E$5:$E$2000,"&lt;="&amp;Settings!$B$9)-O365)</f>
        <v/>
      </c>
      <c r="Q365" s="26" t="str">
        <f aca="false">IF($A365="","",O365+P365)</f>
        <v/>
      </c>
      <c r="R365" s="23" t="str">
        <f aca="false">IF($A365="","",N365-Q365)</f>
        <v/>
      </c>
      <c r="S365" s="24" t="str">
        <f aca="false">IF($A365="","",INDEX(Workers!$O$5:$O$2004,MATCH($A365,Workers!$A$5:$A$2004,0))&amp;"")</f>
        <v/>
      </c>
      <c r="T365" s="24" t="str">
        <f aca="false">IF($A365="","",INDEX(Workers!$P$5:$P$2004,MATCH($A365,Workers!$A$5:$A$2004,0))&amp;"")</f>
        <v/>
      </c>
      <c r="U365" s="24" t="str">
        <f aca="false">IF($A365="","",INDEX(Workers!$H$5:$H$2004,MATCH($A365,Workers!$A$5:$A$2004,0))&amp;"")</f>
        <v/>
      </c>
    </row>
    <row r="366" customFormat="false" ht="15" hidden="false" customHeight="false" outlineLevel="0" collapsed="false">
      <c r="A366" s="24" t="str">
        <f aca="false">IFERROR(INDEX(Workers!$A$5:$A$2004,MATCH(ROW()-4,Workers!$U$5:$U$2004,0)),"")</f>
        <v/>
      </c>
      <c r="B366" s="24" t="str">
        <f aca="false">IF($A366="","",INDEX(Workers!$B$5:$B$2004,MATCH($A366,Workers!$A$5:$A$2004,0)))</f>
        <v/>
      </c>
      <c r="C366" s="24" t="str">
        <f aca="false">IF($A366="","",INDEX(Workers!$E$5:$E$2004,MATCH($A366,Workers!$A$5:$A$2004,0)))</f>
        <v/>
      </c>
      <c r="D366" s="24" t="str">
        <f aca="false">IF($A366="","",INDEX(Workers!$K$5:$K$2004,MATCH($A366,Workers!$A$5:$A$2004,0)))</f>
        <v/>
      </c>
      <c r="E366" s="25" t="str">
        <f aca="false">IF($A366="","",SUMIFS(Timesheet!$E$5:$E$3004,Timesheet!$D$5:$D$3004,$A366,Timesheet!$A$5:$A$3004,"&gt;="&amp;Settings!$B$8,Timesheet!$A$5:$A$3004,"&lt;="&amp;Settings!$B$9))</f>
        <v/>
      </c>
      <c r="F366" s="25" t="str">
        <f aca="false">IF($A366="","",SUMIFS(Timesheet!$F$5:$F$3004,Timesheet!$D$5:$D$3004,$A366,Timesheet!$A$5:$A$3004,"&gt;="&amp;Settings!$B$8,Timesheet!$A$5:$A$3004,"&lt;="&amp;Settings!$B$9))</f>
        <v/>
      </c>
      <c r="G366" s="25" t="str">
        <f aca="false">IF($A366="","",SUMIFS(Timesheet!$G$5:$G$3004,Timesheet!$D$5:$D$3004,$A366,Timesheet!$A$5:$A$3004,"&gt;="&amp;Settings!$B$8,Timesheet!$A$5:$A$3004,"&lt;="&amp;Settings!$B$9))</f>
        <v/>
      </c>
      <c r="H366" s="25" t="str">
        <f aca="false">IF($A366="","",IF(D366="Monthly",MAX(0,Settings!$B$11-E366),0))</f>
        <v/>
      </c>
      <c r="I366" s="26" t="str">
        <f aca="false">IF($A366="","",N(INDEX(Workers!$L$5:$L$2004,MATCH($A366,Workers!$A$5:$A$2004,0))))</f>
        <v/>
      </c>
      <c r="J366" s="26" t="str">
        <f aca="false">IF($A366="","",N(INDEX(Workers!$M$5:$M$2004,MATCH($A366,Workers!$A$5:$A$2004,0))))</f>
        <v/>
      </c>
      <c r="K366" s="26" t="str">
        <f aca="false">IF($A366="","",IF(D366="Monthly",ROUND(MAX(0,(I366+J366)-(I366+J366)/Settings!$B$10*H366),2),0))</f>
        <v/>
      </c>
      <c r="L366" s="26" t="str">
        <f aca="false">IF($A366="","",IF(D366="Hourly",ROUND(F366*N(INDEX(Workers!$N$5:$N$2004,MATCH($A366,Workers!$A$5:$A$2004,0))),2),0))</f>
        <v/>
      </c>
      <c r="M366" s="26" t="str">
        <f aca="false">IF($A366="","",ROUND(G366*IF(D366="Hourly",N(INDEX(Workers!$N$5:$N$2004,MATCH($A366,Workers!$A$5:$A$2004,0))),I366/Settings!$B$10/Settings!$B$12)*Settings!$B$13,2))</f>
        <v/>
      </c>
      <c r="N366" s="26" t="str">
        <f aca="false">IF($A366="","",K366+L366+M366)</f>
        <v/>
      </c>
      <c r="O366" s="26" t="str">
        <f aca="false">IF($A366="","",SUMIFS(Deductions!$D$5:$D$2000,Deductions!$B$5:$B$2000,$A366,Deductions!$C$5:$C$2000,"Advance",Deductions!$E$5:$E$2000,"&gt;="&amp;Settings!$B$8,Deductions!$E$5:$E$2000,"&lt;="&amp;Settings!$B$9))</f>
        <v/>
      </c>
      <c r="P366" s="26" t="str">
        <f aca="false">IF($A366="","",SUMIFS(Deductions!$D$5:$D$2000,Deductions!$B$5:$B$2000,$A366,Deductions!$E$5:$E$2000,"&gt;="&amp;Settings!$B$8,Deductions!$E$5:$E$2000,"&lt;="&amp;Settings!$B$9)-O366)</f>
        <v/>
      </c>
      <c r="Q366" s="26" t="str">
        <f aca="false">IF($A366="","",O366+P366)</f>
        <v/>
      </c>
      <c r="R366" s="23" t="str">
        <f aca="false">IF($A366="","",N366-Q366)</f>
        <v/>
      </c>
      <c r="S366" s="24" t="str">
        <f aca="false">IF($A366="","",INDEX(Workers!$O$5:$O$2004,MATCH($A366,Workers!$A$5:$A$2004,0))&amp;"")</f>
        <v/>
      </c>
      <c r="T366" s="24" t="str">
        <f aca="false">IF($A366="","",INDEX(Workers!$P$5:$P$2004,MATCH($A366,Workers!$A$5:$A$2004,0))&amp;"")</f>
        <v/>
      </c>
      <c r="U366" s="24" t="str">
        <f aca="false">IF($A366="","",INDEX(Workers!$H$5:$H$2004,MATCH($A366,Workers!$A$5:$A$2004,0))&amp;"")</f>
        <v/>
      </c>
    </row>
    <row r="367" customFormat="false" ht="15" hidden="false" customHeight="false" outlineLevel="0" collapsed="false">
      <c r="A367" s="24" t="str">
        <f aca="false">IFERROR(INDEX(Workers!$A$5:$A$2004,MATCH(ROW()-4,Workers!$U$5:$U$2004,0)),"")</f>
        <v/>
      </c>
      <c r="B367" s="24" t="str">
        <f aca="false">IF($A367="","",INDEX(Workers!$B$5:$B$2004,MATCH($A367,Workers!$A$5:$A$2004,0)))</f>
        <v/>
      </c>
      <c r="C367" s="24" t="str">
        <f aca="false">IF($A367="","",INDEX(Workers!$E$5:$E$2004,MATCH($A367,Workers!$A$5:$A$2004,0)))</f>
        <v/>
      </c>
      <c r="D367" s="24" t="str">
        <f aca="false">IF($A367="","",INDEX(Workers!$K$5:$K$2004,MATCH($A367,Workers!$A$5:$A$2004,0)))</f>
        <v/>
      </c>
      <c r="E367" s="25" t="str">
        <f aca="false">IF($A367="","",SUMIFS(Timesheet!$E$5:$E$3004,Timesheet!$D$5:$D$3004,$A367,Timesheet!$A$5:$A$3004,"&gt;="&amp;Settings!$B$8,Timesheet!$A$5:$A$3004,"&lt;="&amp;Settings!$B$9))</f>
        <v/>
      </c>
      <c r="F367" s="25" t="str">
        <f aca="false">IF($A367="","",SUMIFS(Timesheet!$F$5:$F$3004,Timesheet!$D$5:$D$3004,$A367,Timesheet!$A$5:$A$3004,"&gt;="&amp;Settings!$B$8,Timesheet!$A$5:$A$3004,"&lt;="&amp;Settings!$B$9))</f>
        <v/>
      </c>
      <c r="G367" s="25" t="str">
        <f aca="false">IF($A367="","",SUMIFS(Timesheet!$G$5:$G$3004,Timesheet!$D$5:$D$3004,$A367,Timesheet!$A$5:$A$3004,"&gt;="&amp;Settings!$B$8,Timesheet!$A$5:$A$3004,"&lt;="&amp;Settings!$B$9))</f>
        <v/>
      </c>
      <c r="H367" s="25" t="str">
        <f aca="false">IF($A367="","",IF(D367="Monthly",MAX(0,Settings!$B$11-E367),0))</f>
        <v/>
      </c>
      <c r="I367" s="26" t="str">
        <f aca="false">IF($A367="","",N(INDEX(Workers!$L$5:$L$2004,MATCH($A367,Workers!$A$5:$A$2004,0))))</f>
        <v/>
      </c>
      <c r="J367" s="26" t="str">
        <f aca="false">IF($A367="","",N(INDEX(Workers!$M$5:$M$2004,MATCH($A367,Workers!$A$5:$A$2004,0))))</f>
        <v/>
      </c>
      <c r="K367" s="26" t="str">
        <f aca="false">IF($A367="","",IF(D367="Monthly",ROUND(MAX(0,(I367+J367)-(I367+J367)/Settings!$B$10*H367),2),0))</f>
        <v/>
      </c>
      <c r="L367" s="26" t="str">
        <f aca="false">IF($A367="","",IF(D367="Hourly",ROUND(F367*N(INDEX(Workers!$N$5:$N$2004,MATCH($A367,Workers!$A$5:$A$2004,0))),2),0))</f>
        <v/>
      </c>
      <c r="M367" s="26" t="str">
        <f aca="false">IF($A367="","",ROUND(G367*IF(D367="Hourly",N(INDEX(Workers!$N$5:$N$2004,MATCH($A367,Workers!$A$5:$A$2004,0))),I367/Settings!$B$10/Settings!$B$12)*Settings!$B$13,2))</f>
        <v/>
      </c>
      <c r="N367" s="26" t="str">
        <f aca="false">IF($A367="","",K367+L367+M367)</f>
        <v/>
      </c>
      <c r="O367" s="26" t="str">
        <f aca="false">IF($A367="","",SUMIFS(Deductions!$D$5:$D$2000,Deductions!$B$5:$B$2000,$A367,Deductions!$C$5:$C$2000,"Advance",Deductions!$E$5:$E$2000,"&gt;="&amp;Settings!$B$8,Deductions!$E$5:$E$2000,"&lt;="&amp;Settings!$B$9))</f>
        <v/>
      </c>
      <c r="P367" s="26" t="str">
        <f aca="false">IF($A367="","",SUMIFS(Deductions!$D$5:$D$2000,Deductions!$B$5:$B$2000,$A367,Deductions!$E$5:$E$2000,"&gt;="&amp;Settings!$B$8,Deductions!$E$5:$E$2000,"&lt;="&amp;Settings!$B$9)-O367)</f>
        <v/>
      </c>
      <c r="Q367" s="26" t="str">
        <f aca="false">IF($A367="","",O367+P367)</f>
        <v/>
      </c>
      <c r="R367" s="23" t="str">
        <f aca="false">IF($A367="","",N367-Q367)</f>
        <v/>
      </c>
      <c r="S367" s="24" t="str">
        <f aca="false">IF($A367="","",INDEX(Workers!$O$5:$O$2004,MATCH($A367,Workers!$A$5:$A$2004,0))&amp;"")</f>
        <v/>
      </c>
      <c r="T367" s="24" t="str">
        <f aca="false">IF($A367="","",INDEX(Workers!$P$5:$P$2004,MATCH($A367,Workers!$A$5:$A$2004,0))&amp;"")</f>
        <v/>
      </c>
      <c r="U367" s="24" t="str">
        <f aca="false">IF($A367="","",INDEX(Workers!$H$5:$H$2004,MATCH($A367,Workers!$A$5:$A$2004,0))&amp;"")</f>
        <v/>
      </c>
    </row>
    <row r="368" customFormat="false" ht="15" hidden="false" customHeight="false" outlineLevel="0" collapsed="false">
      <c r="A368" s="24" t="str">
        <f aca="false">IFERROR(INDEX(Workers!$A$5:$A$2004,MATCH(ROW()-4,Workers!$U$5:$U$2004,0)),"")</f>
        <v/>
      </c>
      <c r="B368" s="24" t="str">
        <f aca="false">IF($A368="","",INDEX(Workers!$B$5:$B$2004,MATCH($A368,Workers!$A$5:$A$2004,0)))</f>
        <v/>
      </c>
      <c r="C368" s="24" t="str">
        <f aca="false">IF($A368="","",INDEX(Workers!$E$5:$E$2004,MATCH($A368,Workers!$A$5:$A$2004,0)))</f>
        <v/>
      </c>
      <c r="D368" s="24" t="str">
        <f aca="false">IF($A368="","",INDEX(Workers!$K$5:$K$2004,MATCH($A368,Workers!$A$5:$A$2004,0)))</f>
        <v/>
      </c>
      <c r="E368" s="25" t="str">
        <f aca="false">IF($A368="","",SUMIFS(Timesheet!$E$5:$E$3004,Timesheet!$D$5:$D$3004,$A368,Timesheet!$A$5:$A$3004,"&gt;="&amp;Settings!$B$8,Timesheet!$A$5:$A$3004,"&lt;="&amp;Settings!$B$9))</f>
        <v/>
      </c>
      <c r="F368" s="25" t="str">
        <f aca="false">IF($A368="","",SUMIFS(Timesheet!$F$5:$F$3004,Timesheet!$D$5:$D$3004,$A368,Timesheet!$A$5:$A$3004,"&gt;="&amp;Settings!$B$8,Timesheet!$A$5:$A$3004,"&lt;="&amp;Settings!$B$9))</f>
        <v/>
      </c>
      <c r="G368" s="25" t="str">
        <f aca="false">IF($A368="","",SUMIFS(Timesheet!$G$5:$G$3004,Timesheet!$D$5:$D$3004,$A368,Timesheet!$A$5:$A$3004,"&gt;="&amp;Settings!$B$8,Timesheet!$A$5:$A$3004,"&lt;="&amp;Settings!$B$9))</f>
        <v/>
      </c>
      <c r="H368" s="25" t="str">
        <f aca="false">IF($A368="","",IF(D368="Monthly",MAX(0,Settings!$B$11-E368),0))</f>
        <v/>
      </c>
      <c r="I368" s="26" t="str">
        <f aca="false">IF($A368="","",N(INDEX(Workers!$L$5:$L$2004,MATCH($A368,Workers!$A$5:$A$2004,0))))</f>
        <v/>
      </c>
      <c r="J368" s="26" t="str">
        <f aca="false">IF($A368="","",N(INDEX(Workers!$M$5:$M$2004,MATCH($A368,Workers!$A$5:$A$2004,0))))</f>
        <v/>
      </c>
      <c r="K368" s="26" t="str">
        <f aca="false">IF($A368="","",IF(D368="Monthly",ROUND(MAX(0,(I368+J368)-(I368+J368)/Settings!$B$10*H368),2),0))</f>
        <v/>
      </c>
      <c r="L368" s="26" t="str">
        <f aca="false">IF($A368="","",IF(D368="Hourly",ROUND(F368*N(INDEX(Workers!$N$5:$N$2004,MATCH($A368,Workers!$A$5:$A$2004,0))),2),0))</f>
        <v/>
      </c>
      <c r="M368" s="26" t="str">
        <f aca="false">IF($A368="","",ROUND(G368*IF(D368="Hourly",N(INDEX(Workers!$N$5:$N$2004,MATCH($A368,Workers!$A$5:$A$2004,0))),I368/Settings!$B$10/Settings!$B$12)*Settings!$B$13,2))</f>
        <v/>
      </c>
      <c r="N368" s="26" t="str">
        <f aca="false">IF($A368="","",K368+L368+M368)</f>
        <v/>
      </c>
      <c r="O368" s="26" t="str">
        <f aca="false">IF($A368="","",SUMIFS(Deductions!$D$5:$D$2000,Deductions!$B$5:$B$2000,$A368,Deductions!$C$5:$C$2000,"Advance",Deductions!$E$5:$E$2000,"&gt;="&amp;Settings!$B$8,Deductions!$E$5:$E$2000,"&lt;="&amp;Settings!$B$9))</f>
        <v/>
      </c>
      <c r="P368" s="26" t="str">
        <f aca="false">IF($A368="","",SUMIFS(Deductions!$D$5:$D$2000,Deductions!$B$5:$B$2000,$A368,Deductions!$E$5:$E$2000,"&gt;="&amp;Settings!$B$8,Deductions!$E$5:$E$2000,"&lt;="&amp;Settings!$B$9)-O368)</f>
        <v/>
      </c>
      <c r="Q368" s="26" t="str">
        <f aca="false">IF($A368="","",O368+P368)</f>
        <v/>
      </c>
      <c r="R368" s="23" t="str">
        <f aca="false">IF($A368="","",N368-Q368)</f>
        <v/>
      </c>
      <c r="S368" s="24" t="str">
        <f aca="false">IF($A368="","",INDEX(Workers!$O$5:$O$2004,MATCH($A368,Workers!$A$5:$A$2004,0))&amp;"")</f>
        <v/>
      </c>
      <c r="T368" s="24" t="str">
        <f aca="false">IF($A368="","",INDEX(Workers!$P$5:$P$2004,MATCH($A368,Workers!$A$5:$A$2004,0))&amp;"")</f>
        <v/>
      </c>
      <c r="U368" s="24" t="str">
        <f aca="false">IF($A368="","",INDEX(Workers!$H$5:$H$2004,MATCH($A368,Workers!$A$5:$A$2004,0))&amp;"")</f>
        <v/>
      </c>
    </row>
    <row r="369" customFormat="false" ht="15" hidden="false" customHeight="false" outlineLevel="0" collapsed="false">
      <c r="A369" s="24" t="str">
        <f aca="false">IFERROR(INDEX(Workers!$A$5:$A$2004,MATCH(ROW()-4,Workers!$U$5:$U$2004,0)),"")</f>
        <v/>
      </c>
      <c r="B369" s="24" t="str">
        <f aca="false">IF($A369="","",INDEX(Workers!$B$5:$B$2004,MATCH($A369,Workers!$A$5:$A$2004,0)))</f>
        <v/>
      </c>
      <c r="C369" s="24" t="str">
        <f aca="false">IF($A369="","",INDEX(Workers!$E$5:$E$2004,MATCH($A369,Workers!$A$5:$A$2004,0)))</f>
        <v/>
      </c>
      <c r="D369" s="24" t="str">
        <f aca="false">IF($A369="","",INDEX(Workers!$K$5:$K$2004,MATCH($A369,Workers!$A$5:$A$2004,0)))</f>
        <v/>
      </c>
      <c r="E369" s="25" t="str">
        <f aca="false">IF($A369="","",SUMIFS(Timesheet!$E$5:$E$3004,Timesheet!$D$5:$D$3004,$A369,Timesheet!$A$5:$A$3004,"&gt;="&amp;Settings!$B$8,Timesheet!$A$5:$A$3004,"&lt;="&amp;Settings!$B$9))</f>
        <v/>
      </c>
      <c r="F369" s="25" t="str">
        <f aca="false">IF($A369="","",SUMIFS(Timesheet!$F$5:$F$3004,Timesheet!$D$5:$D$3004,$A369,Timesheet!$A$5:$A$3004,"&gt;="&amp;Settings!$B$8,Timesheet!$A$5:$A$3004,"&lt;="&amp;Settings!$B$9))</f>
        <v/>
      </c>
      <c r="G369" s="25" t="str">
        <f aca="false">IF($A369="","",SUMIFS(Timesheet!$G$5:$G$3004,Timesheet!$D$5:$D$3004,$A369,Timesheet!$A$5:$A$3004,"&gt;="&amp;Settings!$B$8,Timesheet!$A$5:$A$3004,"&lt;="&amp;Settings!$B$9))</f>
        <v/>
      </c>
      <c r="H369" s="25" t="str">
        <f aca="false">IF($A369="","",IF(D369="Monthly",MAX(0,Settings!$B$11-E369),0))</f>
        <v/>
      </c>
      <c r="I369" s="26" t="str">
        <f aca="false">IF($A369="","",N(INDEX(Workers!$L$5:$L$2004,MATCH($A369,Workers!$A$5:$A$2004,0))))</f>
        <v/>
      </c>
      <c r="J369" s="26" t="str">
        <f aca="false">IF($A369="","",N(INDEX(Workers!$M$5:$M$2004,MATCH($A369,Workers!$A$5:$A$2004,0))))</f>
        <v/>
      </c>
      <c r="K369" s="26" t="str">
        <f aca="false">IF($A369="","",IF(D369="Monthly",ROUND(MAX(0,(I369+J369)-(I369+J369)/Settings!$B$10*H369),2),0))</f>
        <v/>
      </c>
      <c r="L369" s="26" t="str">
        <f aca="false">IF($A369="","",IF(D369="Hourly",ROUND(F369*N(INDEX(Workers!$N$5:$N$2004,MATCH($A369,Workers!$A$5:$A$2004,0))),2),0))</f>
        <v/>
      </c>
      <c r="M369" s="26" t="str">
        <f aca="false">IF($A369="","",ROUND(G369*IF(D369="Hourly",N(INDEX(Workers!$N$5:$N$2004,MATCH($A369,Workers!$A$5:$A$2004,0))),I369/Settings!$B$10/Settings!$B$12)*Settings!$B$13,2))</f>
        <v/>
      </c>
      <c r="N369" s="26" t="str">
        <f aca="false">IF($A369="","",K369+L369+M369)</f>
        <v/>
      </c>
      <c r="O369" s="26" t="str">
        <f aca="false">IF($A369="","",SUMIFS(Deductions!$D$5:$D$2000,Deductions!$B$5:$B$2000,$A369,Deductions!$C$5:$C$2000,"Advance",Deductions!$E$5:$E$2000,"&gt;="&amp;Settings!$B$8,Deductions!$E$5:$E$2000,"&lt;="&amp;Settings!$B$9))</f>
        <v/>
      </c>
      <c r="P369" s="26" t="str">
        <f aca="false">IF($A369="","",SUMIFS(Deductions!$D$5:$D$2000,Deductions!$B$5:$B$2000,$A369,Deductions!$E$5:$E$2000,"&gt;="&amp;Settings!$B$8,Deductions!$E$5:$E$2000,"&lt;="&amp;Settings!$B$9)-O369)</f>
        <v/>
      </c>
      <c r="Q369" s="26" t="str">
        <f aca="false">IF($A369="","",O369+P369)</f>
        <v/>
      </c>
      <c r="R369" s="23" t="str">
        <f aca="false">IF($A369="","",N369-Q369)</f>
        <v/>
      </c>
      <c r="S369" s="24" t="str">
        <f aca="false">IF($A369="","",INDEX(Workers!$O$5:$O$2004,MATCH($A369,Workers!$A$5:$A$2004,0))&amp;"")</f>
        <v/>
      </c>
      <c r="T369" s="24" t="str">
        <f aca="false">IF($A369="","",INDEX(Workers!$P$5:$P$2004,MATCH($A369,Workers!$A$5:$A$2004,0))&amp;"")</f>
        <v/>
      </c>
      <c r="U369" s="24" t="str">
        <f aca="false">IF($A369="","",INDEX(Workers!$H$5:$H$2004,MATCH($A369,Workers!$A$5:$A$2004,0))&amp;"")</f>
        <v/>
      </c>
    </row>
    <row r="370" customFormat="false" ht="15" hidden="false" customHeight="false" outlineLevel="0" collapsed="false">
      <c r="A370" s="24" t="str">
        <f aca="false">IFERROR(INDEX(Workers!$A$5:$A$2004,MATCH(ROW()-4,Workers!$U$5:$U$2004,0)),"")</f>
        <v/>
      </c>
      <c r="B370" s="24" t="str">
        <f aca="false">IF($A370="","",INDEX(Workers!$B$5:$B$2004,MATCH($A370,Workers!$A$5:$A$2004,0)))</f>
        <v/>
      </c>
      <c r="C370" s="24" t="str">
        <f aca="false">IF($A370="","",INDEX(Workers!$E$5:$E$2004,MATCH($A370,Workers!$A$5:$A$2004,0)))</f>
        <v/>
      </c>
      <c r="D370" s="24" t="str">
        <f aca="false">IF($A370="","",INDEX(Workers!$K$5:$K$2004,MATCH($A370,Workers!$A$5:$A$2004,0)))</f>
        <v/>
      </c>
      <c r="E370" s="25" t="str">
        <f aca="false">IF($A370="","",SUMIFS(Timesheet!$E$5:$E$3004,Timesheet!$D$5:$D$3004,$A370,Timesheet!$A$5:$A$3004,"&gt;="&amp;Settings!$B$8,Timesheet!$A$5:$A$3004,"&lt;="&amp;Settings!$B$9))</f>
        <v/>
      </c>
      <c r="F370" s="25" t="str">
        <f aca="false">IF($A370="","",SUMIFS(Timesheet!$F$5:$F$3004,Timesheet!$D$5:$D$3004,$A370,Timesheet!$A$5:$A$3004,"&gt;="&amp;Settings!$B$8,Timesheet!$A$5:$A$3004,"&lt;="&amp;Settings!$B$9))</f>
        <v/>
      </c>
      <c r="G370" s="25" t="str">
        <f aca="false">IF($A370="","",SUMIFS(Timesheet!$G$5:$G$3004,Timesheet!$D$5:$D$3004,$A370,Timesheet!$A$5:$A$3004,"&gt;="&amp;Settings!$B$8,Timesheet!$A$5:$A$3004,"&lt;="&amp;Settings!$B$9))</f>
        <v/>
      </c>
      <c r="H370" s="25" t="str">
        <f aca="false">IF($A370="","",IF(D370="Monthly",MAX(0,Settings!$B$11-E370),0))</f>
        <v/>
      </c>
      <c r="I370" s="26" t="str">
        <f aca="false">IF($A370="","",N(INDEX(Workers!$L$5:$L$2004,MATCH($A370,Workers!$A$5:$A$2004,0))))</f>
        <v/>
      </c>
      <c r="J370" s="26" t="str">
        <f aca="false">IF($A370="","",N(INDEX(Workers!$M$5:$M$2004,MATCH($A370,Workers!$A$5:$A$2004,0))))</f>
        <v/>
      </c>
      <c r="K370" s="26" t="str">
        <f aca="false">IF($A370="","",IF(D370="Monthly",ROUND(MAX(0,(I370+J370)-(I370+J370)/Settings!$B$10*H370),2),0))</f>
        <v/>
      </c>
      <c r="L370" s="26" t="str">
        <f aca="false">IF($A370="","",IF(D370="Hourly",ROUND(F370*N(INDEX(Workers!$N$5:$N$2004,MATCH($A370,Workers!$A$5:$A$2004,0))),2),0))</f>
        <v/>
      </c>
      <c r="M370" s="26" t="str">
        <f aca="false">IF($A370="","",ROUND(G370*IF(D370="Hourly",N(INDEX(Workers!$N$5:$N$2004,MATCH($A370,Workers!$A$5:$A$2004,0))),I370/Settings!$B$10/Settings!$B$12)*Settings!$B$13,2))</f>
        <v/>
      </c>
      <c r="N370" s="26" t="str">
        <f aca="false">IF($A370="","",K370+L370+M370)</f>
        <v/>
      </c>
      <c r="O370" s="26" t="str">
        <f aca="false">IF($A370="","",SUMIFS(Deductions!$D$5:$D$2000,Deductions!$B$5:$B$2000,$A370,Deductions!$C$5:$C$2000,"Advance",Deductions!$E$5:$E$2000,"&gt;="&amp;Settings!$B$8,Deductions!$E$5:$E$2000,"&lt;="&amp;Settings!$B$9))</f>
        <v/>
      </c>
      <c r="P370" s="26" t="str">
        <f aca="false">IF($A370="","",SUMIFS(Deductions!$D$5:$D$2000,Deductions!$B$5:$B$2000,$A370,Deductions!$E$5:$E$2000,"&gt;="&amp;Settings!$B$8,Deductions!$E$5:$E$2000,"&lt;="&amp;Settings!$B$9)-O370)</f>
        <v/>
      </c>
      <c r="Q370" s="26" t="str">
        <f aca="false">IF($A370="","",O370+P370)</f>
        <v/>
      </c>
      <c r="R370" s="23" t="str">
        <f aca="false">IF($A370="","",N370-Q370)</f>
        <v/>
      </c>
      <c r="S370" s="24" t="str">
        <f aca="false">IF($A370="","",INDEX(Workers!$O$5:$O$2004,MATCH($A370,Workers!$A$5:$A$2004,0))&amp;"")</f>
        <v/>
      </c>
      <c r="T370" s="24" t="str">
        <f aca="false">IF($A370="","",INDEX(Workers!$P$5:$P$2004,MATCH($A370,Workers!$A$5:$A$2004,0))&amp;"")</f>
        <v/>
      </c>
      <c r="U370" s="24" t="str">
        <f aca="false">IF($A370="","",INDEX(Workers!$H$5:$H$2004,MATCH($A370,Workers!$A$5:$A$2004,0))&amp;"")</f>
        <v/>
      </c>
    </row>
    <row r="371" customFormat="false" ht="15" hidden="false" customHeight="false" outlineLevel="0" collapsed="false">
      <c r="A371" s="24" t="str">
        <f aca="false">IFERROR(INDEX(Workers!$A$5:$A$2004,MATCH(ROW()-4,Workers!$U$5:$U$2004,0)),"")</f>
        <v/>
      </c>
      <c r="B371" s="24" t="str">
        <f aca="false">IF($A371="","",INDEX(Workers!$B$5:$B$2004,MATCH($A371,Workers!$A$5:$A$2004,0)))</f>
        <v/>
      </c>
      <c r="C371" s="24" t="str">
        <f aca="false">IF($A371="","",INDEX(Workers!$E$5:$E$2004,MATCH($A371,Workers!$A$5:$A$2004,0)))</f>
        <v/>
      </c>
      <c r="D371" s="24" t="str">
        <f aca="false">IF($A371="","",INDEX(Workers!$K$5:$K$2004,MATCH($A371,Workers!$A$5:$A$2004,0)))</f>
        <v/>
      </c>
      <c r="E371" s="25" t="str">
        <f aca="false">IF($A371="","",SUMIFS(Timesheet!$E$5:$E$3004,Timesheet!$D$5:$D$3004,$A371,Timesheet!$A$5:$A$3004,"&gt;="&amp;Settings!$B$8,Timesheet!$A$5:$A$3004,"&lt;="&amp;Settings!$B$9))</f>
        <v/>
      </c>
      <c r="F371" s="25" t="str">
        <f aca="false">IF($A371="","",SUMIFS(Timesheet!$F$5:$F$3004,Timesheet!$D$5:$D$3004,$A371,Timesheet!$A$5:$A$3004,"&gt;="&amp;Settings!$B$8,Timesheet!$A$5:$A$3004,"&lt;="&amp;Settings!$B$9))</f>
        <v/>
      </c>
      <c r="G371" s="25" t="str">
        <f aca="false">IF($A371="","",SUMIFS(Timesheet!$G$5:$G$3004,Timesheet!$D$5:$D$3004,$A371,Timesheet!$A$5:$A$3004,"&gt;="&amp;Settings!$B$8,Timesheet!$A$5:$A$3004,"&lt;="&amp;Settings!$B$9))</f>
        <v/>
      </c>
      <c r="H371" s="25" t="str">
        <f aca="false">IF($A371="","",IF(D371="Monthly",MAX(0,Settings!$B$11-E371),0))</f>
        <v/>
      </c>
      <c r="I371" s="26" t="str">
        <f aca="false">IF($A371="","",N(INDEX(Workers!$L$5:$L$2004,MATCH($A371,Workers!$A$5:$A$2004,0))))</f>
        <v/>
      </c>
      <c r="J371" s="26" t="str">
        <f aca="false">IF($A371="","",N(INDEX(Workers!$M$5:$M$2004,MATCH($A371,Workers!$A$5:$A$2004,0))))</f>
        <v/>
      </c>
      <c r="K371" s="26" t="str">
        <f aca="false">IF($A371="","",IF(D371="Monthly",ROUND(MAX(0,(I371+J371)-(I371+J371)/Settings!$B$10*H371),2),0))</f>
        <v/>
      </c>
      <c r="L371" s="26" t="str">
        <f aca="false">IF($A371="","",IF(D371="Hourly",ROUND(F371*N(INDEX(Workers!$N$5:$N$2004,MATCH($A371,Workers!$A$5:$A$2004,0))),2),0))</f>
        <v/>
      </c>
      <c r="M371" s="26" t="str">
        <f aca="false">IF($A371="","",ROUND(G371*IF(D371="Hourly",N(INDEX(Workers!$N$5:$N$2004,MATCH($A371,Workers!$A$5:$A$2004,0))),I371/Settings!$B$10/Settings!$B$12)*Settings!$B$13,2))</f>
        <v/>
      </c>
      <c r="N371" s="26" t="str">
        <f aca="false">IF($A371="","",K371+L371+M371)</f>
        <v/>
      </c>
      <c r="O371" s="26" t="str">
        <f aca="false">IF($A371="","",SUMIFS(Deductions!$D$5:$D$2000,Deductions!$B$5:$B$2000,$A371,Deductions!$C$5:$C$2000,"Advance",Deductions!$E$5:$E$2000,"&gt;="&amp;Settings!$B$8,Deductions!$E$5:$E$2000,"&lt;="&amp;Settings!$B$9))</f>
        <v/>
      </c>
      <c r="P371" s="26" t="str">
        <f aca="false">IF($A371="","",SUMIFS(Deductions!$D$5:$D$2000,Deductions!$B$5:$B$2000,$A371,Deductions!$E$5:$E$2000,"&gt;="&amp;Settings!$B$8,Deductions!$E$5:$E$2000,"&lt;="&amp;Settings!$B$9)-O371)</f>
        <v/>
      </c>
      <c r="Q371" s="26" t="str">
        <f aca="false">IF($A371="","",O371+P371)</f>
        <v/>
      </c>
      <c r="R371" s="23" t="str">
        <f aca="false">IF($A371="","",N371-Q371)</f>
        <v/>
      </c>
      <c r="S371" s="24" t="str">
        <f aca="false">IF($A371="","",INDEX(Workers!$O$5:$O$2004,MATCH($A371,Workers!$A$5:$A$2004,0))&amp;"")</f>
        <v/>
      </c>
      <c r="T371" s="24" t="str">
        <f aca="false">IF($A371="","",INDEX(Workers!$P$5:$P$2004,MATCH($A371,Workers!$A$5:$A$2004,0))&amp;"")</f>
        <v/>
      </c>
      <c r="U371" s="24" t="str">
        <f aca="false">IF($A371="","",INDEX(Workers!$H$5:$H$2004,MATCH($A371,Workers!$A$5:$A$2004,0))&amp;"")</f>
        <v/>
      </c>
    </row>
    <row r="372" customFormat="false" ht="15" hidden="false" customHeight="false" outlineLevel="0" collapsed="false">
      <c r="A372" s="24" t="str">
        <f aca="false">IFERROR(INDEX(Workers!$A$5:$A$2004,MATCH(ROW()-4,Workers!$U$5:$U$2004,0)),"")</f>
        <v/>
      </c>
      <c r="B372" s="24" t="str">
        <f aca="false">IF($A372="","",INDEX(Workers!$B$5:$B$2004,MATCH($A372,Workers!$A$5:$A$2004,0)))</f>
        <v/>
      </c>
      <c r="C372" s="24" t="str">
        <f aca="false">IF($A372="","",INDEX(Workers!$E$5:$E$2004,MATCH($A372,Workers!$A$5:$A$2004,0)))</f>
        <v/>
      </c>
      <c r="D372" s="24" t="str">
        <f aca="false">IF($A372="","",INDEX(Workers!$K$5:$K$2004,MATCH($A372,Workers!$A$5:$A$2004,0)))</f>
        <v/>
      </c>
      <c r="E372" s="25" t="str">
        <f aca="false">IF($A372="","",SUMIFS(Timesheet!$E$5:$E$3004,Timesheet!$D$5:$D$3004,$A372,Timesheet!$A$5:$A$3004,"&gt;="&amp;Settings!$B$8,Timesheet!$A$5:$A$3004,"&lt;="&amp;Settings!$B$9))</f>
        <v/>
      </c>
      <c r="F372" s="25" t="str">
        <f aca="false">IF($A372="","",SUMIFS(Timesheet!$F$5:$F$3004,Timesheet!$D$5:$D$3004,$A372,Timesheet!$A$5:$A$3004,"&gt;="&amp;Settings!$B$8,Timesheet!$A$5:$A$3004,"&lt;="&amp;Settings!$B$9))</f>
        <v/>
      </c>
      <c r="G372" s="25" t="str">
        <f aca="false">IF($A372="","",SUMIFS(Timesheet!$G$5:$G$3004,Timesheet!$D$5:$D$3004,$A372,Timesheet!$A$5:$A$3004,"&gt;="&amp;Settings!$B$8,Timesheet!$A$5:$A$3004,"&lt;="&amp;Settings!$B$9))</f>
        <v/>
      </c>
      <c r="H372" s="25" t="str">
        <f aca="false">IF($A372="","",IF(D372="Monthly",MAX(0,Settings!$B$11-E372),0))</f>
        <v/>
      </c>
      <c r="I372" s="26" t="str">
        <f aca="false">IF($A372="","",N(INDEX(Workers!$L$5:$L$2004,MATCH($A372,Workers!$A$5:$A$2004,0))))</f>
        <v/>
      </c>
      <c r="J372" s="26" t="str">
        <f aca="false">IF($A372="","",N(INDEX(Workers!$M$5:$M$2004,MATCH($A372,Workers!$A$5:$A$2004,0))))</f>
        <v/>
      </c>
      <c r="K372" s="26" t="str">
        <f aca="false">IF($A372="","",IF(D372="Monthly",ROUND(MAX(0,(I372+J372)-(I372+J372)/Settings!$B$10*H372),2),0))</f>
        <v/>
      </c>
      <c r="L372" s="26" t="str">
        <f aca="false">IF($A372="","",IF(D372="Hourly",ROUND(F372*N(INDEX(Workers!$N$5:$N$2004,MATCH($A372,Workers!$A$5:$A$2004,0))),2),0))</f>
        <v/>
      </c>
      <c r="M372" s="26" t="str">
        <f aca="false">IF($A372="","",ROUND(G372*IF(D372="Hourly",N(INDEX(Workers!$N$5:$N$2004,MATCH($A372,Workers!$A$5:$A$2004,0))),I372/Settings!$B$10/Settings!$B$12)*Settings!$B$13,2))</f>
        <v/>
      </c>
      <c r="N372" s="26" t="str">
        <f aca="false">IF($A372="","",K372+L372+M372)</f>
        <v/>
      </c>
      <c r="O372" s="26" t="str">
        <f aca="false">IF($A372="","",SUMIFS(Deductions!$D$5:$D$2000,Deductions!$B$5:$B$2000,$A372,Deductions!$C$5:$C$2000,"Advance",Deductions!$E$5:$E$2000,"&gt;="&amp;Settings!$B$8,Deductions!$E$5:$E$2000,"&lt;="&amp;Settings!$B$9))</f>
        <v/>
      </c>
      <c r="P372" s="26" t="str">
        <f aca="false">IF($A372="","",SUMIFS(Deductions!$D$5:$D$2000,Deductions!$B$5:$B$2000,$A372,Deductions!$E$5:$E$2000,"&gt;="&amp;Settings!$B$8,Deductions!$E$5:$E$2000,"&lt;="&amp;Settings!$B$9)-O372)</f>
        <v/>
      </c>
      <c r="Q372" s="26" t="str">
        <f aca="false">IF($A372="","",O372+P372)</f>
        <v/>
      </c>
      <c r="R372" s="23" t="str">
        <f aca="false">IF($A372="","",N372-Q372)</f>
        <v/>
      </c>
      <c r="S372" s="24" t="str">
        <f aca="false">IF($A372="","",INDEX(Workers!$O$5:$O$2004,MATCH($A372,Workers!$A$5:$A$2004,0))&amp;"")</f>
        <v/>
      </c>
      <c r="T372" s="24" t="str">
        <f aca="false">IF($A372="","",INDEX(Workers!$P$5:$P$2004,MATCH($A372,Workers!$A$5:$A$2004,0))&amp;"")</f>
        <v/>
      </c>
      <c r="U372" s="24" t="str">
        <f aca="false">IF($A372="","",INDEX(Workers!$H$5:$H$2004,MATCH($A372,Workers!$A$5:$A$2004,0))&amp;"")</f>
        <v/>
      </c>
    </row>
    <row r="373" customFormat="false" ht="15" hidden="false" customHeight="false" outlineLevel="0" collapsed="false">
      <c r="A373" s="24" t="str">
        <f aca="false">IFERROR(INDEX(Workers!$A$5:$A$2004,MATCH(ROW()-4,Workers!$U$5:$U$2004,0)),"")</f>
        <v/>
      </c>
      <c r="B373" s="24" t="str">
        <f aca="false">IF($A373="","",INDEX(Workers!$B$5:$B$2004,MATCH($A373,Workers!$A$5:$A$2004,0)))</f>
        <v/>
      </c>
      <c r="C373" s="24" t="str">
        <f aca="false">IF($A373="","",INDEX(Workers!$E$5:$E$2004,MATCH($A373,Workers!$A$5:$A$2004,0)))</f>
        <v/>
      </c>
      <c r="D373" s="24" t="str">
        <f aca="false">IF($A373="","",INDEX(Workers!$K$5:$K$2004,MATCH($A373,Workers!$A$5:$A$2004,0)))</f>
        <v/>
      </c>
      <c r="E373" s="25" t="str">
        <f aca="false">IF($A373="","",SUMIFS(Timesheet!$E$5:$E$3004,Timesheet!$D$5:$D$3004,$A373,Timesheet!$A$5:$A$3004,"&gt;="&amp;Settings!$B$8,Timesheet!$A$5:$A$3004,"&lt;="&amp;Settings!$B$9))</f>
        <v/>
      </c>
      <c r="F373" s="25" t="str">
        <f aca="false">IF($A373="","",SUMIFS(Timesheet!$F$5:$F$3004,Timesheet!$D$5:$D$3004,$A373,Timesheet!$A$5:$A$3004,"&gt;="&amp;Settings!$B$8,Timesheet!$A$5:$A$3004,"&lt;="&amp;Settings!$B$9))</f>
        <v/>
      </c>
      <c r="G373" s="25" t="str">
        <f aca="false">IF($A373="","",SUMIFS(Timesheet!$G$5:$G$3004,Timesheet!$D$5:$D$3004,$A373,Timesheet!$A$5:$A$3004,"&gt;="&amp;Settings!$B$8,Timesheet!$A$5:$A$3004,"&lt;="&amp;Settings!$B$9))</f>
        <v/>
      </c>
      <c r="H373" s="25" t="str">
        <f aca="false">IF($A373="","",IF(D373="Monthly",MAX(0,Settings!$B$11-E373),0))</f>
        <v/>
      </c>
      <c r="I373" s="26" t="str">
        <f aca="false">IF($A373="","",N(INDEX(Workers!$L$5:$L$2004,MATCH($A373,Workers!$A$5:$A$2004,0))))</f>
        <v/>
      </c>
      <c r="J373" s="26" t="str">
        <f aca="false">IF($A373="","",N(INDEX(Workers!$M$5:$M$2004,MATCH($A373,Workers!$A$5:$A$2004,0))))</f>
        <v/>
      </c>
      <c r="K373" s="26" t="str">
        <f aca="false">IF($A373="","",IF(D373="Monthly",ROUND(MAX(0,(I373+J373)-(I373+J373)/Settings!$B$10*H373),2),0))</f>
        <v/>
      </c>
      <c r="L373" s="26" t="str">
        <f aca="false">IF($A373="","",IF(D373="Hourly",ROUND(F373*N(INDEX(Workers!$N$5:$N$2004,MATCH($A373,Workers!$A$5:$A$2004,0))),2),0))</f>
        <v/>
      </c>
      <c r="M373" s="26" t="str">
        <f aca="false">IF($A373="","",ROUND(G373*IF(D373="Hourly",N(INDEX(Workers!$N$5:$N$2004,MATCH($A373,Workers!$A$5:$A$2004,0))),I373/Settings!$B$10/Settings!$B$12)*Settings!$B$13,2))</f>
        <v/>
      </c>
      <c r="N373" s="26" t="str">
        <f aca="false">IF($A373="","",K373+L373+M373)</f>
        <v/>
      </c>
      <c r="O373" s="26" t="str">
        <f aca="false">IF($A373="","",SUMIFS(Deductions!$D$5:$D$2000,Deductions!$B$5:$B$2000,$A373,Deductions!$C$5:$C$2000,"Advance",Deductions!$E$5:$E$2000,"&gt;="&amp;Settings!$B$8,Deductions!$E$5:$E$2000,"&lt;="&amp;Settings!$B$9))</f>
        <v/>
      </c>
      <c r="P373" s="26" t="str">
        <f aca="false">IF($A373="","",SUMIFS(Deductions!$D$5:$D$2000,Deductions!$B$5:$B$2000,$A373,Deductions!$E$5:$E$2000,"&gt;="&amp;Settings!$B$8,Deductions!$E$5:$E$2000,"&lt;="&amp;Settings!$B$9)-O373)</f>
        <v/>
      </c>
      <c r="Q373" s="26" t="str">
        <f aca="false">IF($A373="","",O373+P373)</f>
        <v/>
      </c>
      <c r="R373" s="23" t="str">
        <f aca="false">IF($A373="","",N373-Q373)</f>
        <v/>
      </c>
      <c r="S373" s="24" t="str">
        <f aca="false">IF($A373="","",INDEX(Workers!$O$5:$O$2004,MATCH($A373,Workers!$A$5:$A$2004,0))&amp;"")</f>
        <v/>
      </c>
      <c r="T373" s="24" t="str">
        <f aca="false">IF($A373="","",INDEX(Workers!$P$5:$P$2004,MATCH($A373,Workers!$A$5:$A$2004,0))&amp;"")</f>
        <v/>
      </c>
      <c r="U373" s="24" t="str">
        <f aca="false">IF($A373="","",INDEX(Workers!$H$5:$H$2004,MATCH($A373,Workers!$A$5:$A$2004,0))&amp;"")</f>
        <v/>
      </c>
    </row>
    <row r="374" customFormat="false" ht="15" hidden="false" customHeight="false" outlineLevel="0" collapsed="false">
      <c r="A374" s="24" t="str">
        <f aca="false">IFERROR(INDEX(Workers!$A$5:$A$2004,MATCH(ROW()-4,Workers!$U$5:$U$2004,0)),"")</f>
        <v/>
      </c>
      <c r="B374" s="24" t="str">
        <f aca="false">IF($A374="","",INDEX(Workers!$B$5:$B$2004,MATCH($A374,Workers!$A$5:$A$2004,0)))</f>
        <v/>
      </c>
      <c r="C374" s="24" t="str">
        <f aca="false">IF($A374="","",INDEX(Workers!$E$5:$E$2004,MATCH($A374,Workers!$A$5:$A$2004,0)))</f>
        <v/>
      </c>
      <c r="D374" s="24" t="str">
        <f aca="false">IF($A374="","",INDEX(Workers!$K$5:$K$2004,MATCH($A374,Workers!$A$5:$A$2004,0)))</f>
        <v/>
      </c>
      <c r="E374" s="25" t="str">
        <f aca="false">IF($A374="","",SUMIFS(Timesheet!$E$5:$E$3004,Timesheet!$D$5:$D$3004,$A374,Timesheet!$A$5:$A$3004,"&gt;="&amp;Settings!$B$8,Timesheet!$A$5:$A$3004,"&lt;="&amp;Settings!$B$9))</f>
        <v/>
      </c>
      <c r="F374" s="25" t="str">
        <f aca="false">IF($A374="","",SUMIFS(Timesheet!$F$5:$F$3004,Timesheet!$D$5:$D$3004,$A374,Timesheet!$A$5:$A$3004,"&gt;="&amp;Settings!$B$8,Timesheet!$A$5:$A$3004,"&lt;="&amp;Settings!$B$9))</f>
        <v/>
      </c>
      <c r="G374" s="25" t="str">
        <f aca="false">IF($A374="","",SUMIFS(Timesheet!$G$5:$G$3004,Timesheet!$D$5:$D$3004,$A374,Timesheet!$A$5:$A$3004,"&gt;="&amp;Settings!$B$8,Timesheet!$A$5:$A$3004,"&lt;="&amp;Settings!$B$9))</f>
        <v/>
      </c>
      <c r="H374" s="25" t="str">
        <f aca="false">IF($A374="","",IF(D374="Monthly",MAX(0,Settings!$B$11-E374),0))</f>
        <v/>
      </c>
      <c r="I374" s="26" t="str">
        <f aca="false">IF($A374="","",N(INDEX(Workers!$L$5:$L$2004,MATCH($A374,Workers!$A$5:$A$2004,0))))</f>
        <v/>
      </c>
      <c r="J374" s="26" t="str">
        <f aca="false">IF($A374="","",N(INDEX(Workers!$M$5:$M$2004,MATCH($A374,Workers!$A$5:$A$2004,0))))</f>
        <v/>
      </c>
      <c r="K374" s="26" t="str">
        <f aca="false">IF($A374="","",IF(D374="Monthly",ROUND(MAX(0,(I374+J374)-(I374+J374)/Settings!$B$10*H374),2),0))</f>
        <v/>
      </c>
      <c r="L374" s="26" t="str">
        <f aca="false">IF($A374="","",IF(D374="Hourly",ROUND(F374*N(INDEX(Workers!$N$5:$N$2004,MATCH($A374,Workers!$A$5:$A$2004,0))),2),0))</f>
        <v/>
      </c>
      <c r="M374" s="26" t="str">
        <f aca="false">IF($A374="","",ROUND(G374*IF(D374="Hourly",N(INDEX(Workers!$N$5:$N$2004,MATCH($A374,Workers!$A$5:$A$2004,0))),I374/Settings!$B$10/Settings!$B$12)*Settings!$B$13,2))</f>
        <v/>
      </c>
      <c r="N374" s="26" t="str">
        <f aca="false">IF($A374="","",K374+L374+M374)</f>
        <v/>
      </c>
      <c r="O374" s="26" t="str">
        <f aca="false">IF($A374="","",SUMIFS(Deductions!$D$5:$D$2000,Deductions!$B$5:$B$2000,$A374,Deductions!$C$5:$C$2000,"Advance",Deductions!$E$5:$E$2000,"&gt;="&amp;Settings!$B$8,Deductions!$E$5:$E$2000,"&lt;="&amp;Settings!$B$9))</f>
        <v/>
      </c>
      <c r="P374" s="26" t="str">
        <f aca="false">IF($A374="","",SUMIFS(Deductions!$D$5:$D$2000,Deductions!$B$5:$B$2000,$A374,Deductions!$E$5:$E$2000,"&gt;="&amp;Settings!$B$8,Deductions!$E$5:$E$2000,"&lt;="&amp;Settings!$B$9)-O374)</f>
        <v/>
      </c>
      <c r="Q374" s="26" t="str">
        <f aca="false">IF($A374="","",O374+P374)</f>
        <v/>
      </c>
      <c r="R374" s="23" t="str">
        <f aca="false">IF($A374="","",N374-Q374)</f>
        <v/>
      </c>
      <c r="S374" s="24" t="str">
        <f aca="false">IF($A374="","",INDEX(Workers!$O$5:$O$2004,MATCH($A374,Workers!$A$5:$A$2004,0))&amp;"")</f>
        <v/>
      </c>
      <c r="T374" s="24" t="str">
        <f aca="false">IF($A374="","",INDEX(Workers!$P$5:$P$2004,MATCH($A374,Workers!$A$5:$A$2004,0))&amp;"")</f>
        <v/>
      </c>
      <c r="U374" s="24" t="str">
        <f aca="false">IF($A374="","",INDEX(Workers!$H$5:$H$2004,MATCH($A374,Workers!$A$5:$A$2004,0))&amp;"")</f>
        <v/>
      </c>
    </row>
    <row r="375" customFormat="false" ht="15" hidden="false" customHeight="false" outlineLevel="0" collapsed="false">
      <c r="A375" s="24" t="str">
        <f aca="false">IFERROR(INDEX(Workers!$A$5:$A$2004,MATCH(ROW()-4,Workers!$U$5:$U$2004,0)),"")</f>
        <v/>
      </c>
      <c r="B375" s="24" t="str">
        <f aca="false">IF($A375="","",INDEX(Workers!$B$5:$B$2004,MATCH($A375,Workers!$A$5:$A$2004,0)))</f>
        <v/>
      </c>
      <c r="C375" s="24" t="str">
        <f aca="false">IF($A375="","",INDEX(Workers!$E$5:$E$2004,MATCH($A375,Workers!$A$5:$A$2004,0)))</f>
        <v/>
      </c>
      <c r="D375" s="24" t="str">
        <f aca="false">IF($A375="","",INDEX(Workers!$K$5:$K$2004,MATCH($A375,Workers!$A$5:$A$2004,0)))</f>
        <v/>
      </c>
      <c r="E375" s="25" t="str">
        <f aca="false">IF($A375="","",SUMIFS(Timesheet!$E$5:$E$3004,Timesheet!$D$5:$D$3004,$A375,Timesheet!$A$5:$A$3004,"&gt;="&amp;Settings!$B$8,Timesheet!$A$5:$A$3004,"&lt;="&amp;Settings!$B$9))</f>
        <v/>
      </c>
      <c r="F375" s="25" t="str">
        <f aca="false">IF($A375="","",SUMIFS(Timesheet!$F$5:$F$3004,Timesheet!$D$5:$D$3004,$A375,Timesheet!$A$5:$A$3004,"&gt;="&amp;Settings!$B$8,Timesheet!$A$5:$A$3004,"&lt;="&amp;Settings!$B$9))</f>
        <v/>
      </c>
      <c r="G375" s="25" t="str">
        <f aca="false">IF($A375="","",SUMIFS(Timesheet!$G$5:$G$3004,Timesheet!$D$5:$D$3004,$A375,Timesheet!$A$5:$A$3004,"&gt;="&amp;Settings!$B$8,Timesheet!$A$5:$A$3004,"&lt;="&amp;Settings!$B$9))</f>
        <v/>
      </c>
      <c r="H375" s="25" t="str">
        <f aca="false">IF($A375="","",IF(D375="Monthly",MAX(0,Settings!$B$11-E375),0))</f>
        <v/>
      </c>
      <c r="I375" s="26" t="str">
        <f aca="false">IF($A375="","",N(INDEX(Workers!$L$5:$L$2004,MATCH($A375,Workers!$A$5:$A$2004,0))))</f>
        <v/>
      </c>
      <c r="J375" s="26" t="str">
        <f aca="false">IF($A375="","",N(INDEX(Workers!$M$5:$M$2004,MATCH($A375,Workers!$A$5:$A$2004,0))))</f>
        <v/>
      </c>
      <c r="K375" s="26" t="str">
        <f aca="false">IF($A375="","",IF(D375="Monthly",ROUND(MAX(0,(I375+J375)-(I375+J375)/Settings!$B$10*H375),2),0))</f>
        <v/>
      </c>
      <c r="L375" s="26" t="str">
        <f aca="false">IF($A375="","",IF(D375="Hourly",ROUND(F375*N(INDEX(Workers!$N$5:$N$2004,MATCH($A375,Workers!$A$5:$A$2004,0))),2),0))</f>
        <v/>
      </c>
      <c r="M375" s="26" t="str">
        <f aca="false">IF($A375="","",ROUND(G375*IF(D375="Hourly",N(INDEX(Workers!$N$5:$N$2004,MATCH($A375,Workers!$A$5:$A$2004,0))),I375/Settings!$B$10/Settings!$B$12)*Settings!$B$13,2))</f>
        <v/>
      </c>
      <c r="N375" s="26" t="str">
        <f aca="false">IF($A375="","",K375+L375+M375)</f>
        <v/>
      </c>
      <c r="O375" s="26" t="str">
        <f aca="false">IF($A375="","",SUMIFS(Deductions!$D$5:$D$2000,Deductions!$B$5:$B$2000,$A375,Deductions!$C$5:$C$2000,"Advance",Deductions!$E$5:$E$2000,"&gt;="&amp;Settings!$B$8,Deductions!$E$5:$E$2000,"&lt;="&amp;Settings!$B$9))</f>
        <v/>
      </c>
      <c r="P375" s="26" t="str">
        <f aca="false">IF($A375="","",SUMIFS(Deductions!$D$5:$D$2000,Deductions!$B$5:$B$2000,$A375,Deductions!$E$5:$E$2000,"&gt;="&amp;Settings!$B$8,Deductions!$E$5:$E$2000,"&lt;="&amp;Settings!$B$9)-O375)</f>
        <v/>
      </c>
      <c r="Q375" s="26" t="str">
        <f aca="false">IF($A375="","",O375+P375)</f>
        <v/>
      </c>
      <c r="R375" s="23" t="str">
        <f aca="false">IF($A375="","",N375-Q375)</f>
        <v/>
      </c>
      <c r="S375" s="24" t="str">
        <f aca="false">IF($A375="","",INDEX(Workers!$O$5:$O$2004,MATCH($A375,Workers!$A$5:$A$2004,0))&amp;"")</f>
        <v/>
      </c>
      <c r="T375" s="24" t="str">
        <f aca="false">IF($A375="","",INDEX(Workers!$P$5:$P$2004,MATCH($A375,Workers!$A$5:$A$2004,0))&amp;"")</f>
        <v/>
      </c>
      <c r="U375" s="24" t="str">
        <f aca="false">IF($A375="","",INDEX(Workers!$H$5:$H$2004,MATCH($A375,Workers!$A$5:$A$2004,0))&amp;"")</f>
        <v/>
      </c>
    </row>
    <row r="376" customFormat="false" ht="15" hidden="false" customHeight="false" outlineLevel="0" collapsed="false">
      <c r="A376" s="24" t="str">
        <f aca="false">IFERROR(INDEX(Workers!$A$5:$A$2004,MATCH(ROW()-4,Workers!$U$5:$U$2004,0)),"")</f>
        <v/>
      </c>
      <c r="B376" s="24" t="str">
        <f aca="false">IF($A376="","",INDEX(Workers!$B$5:$B$2004,MATCH($A376,Workers!$A$5:$A$2004,0)))</f>
        <v/>
      </c>
      <c r="C376" s="24" t="str">
        <f aca="false">IF($A376="","",INDEX(Workers!$E$5:$E$2004,MATCH($A376,Workers!$A$5:$A$2004,0)))</f>
        <v/>
      </c>
      <c r="D376" s="24" t="str">
        <f aca="false">IF($A376="","",INDEX(Workers!$K$5:$K$2004,MATCH($A376,Workers!$A$5:$A$2004,0)))</f>
        <v/>
      </c>
      <c r="E376" s="25" t="str">
        <f aca="false">IF($A376="","",SUMIFS(Timesheet!$E$5:$E$3004,Timesheet!$D$5:$D$3004,$A376,Timesheet!$A$5:$A$3004,"&gt;="&amp;Settings!$B$8,Timesheet!$A$5:$A$3004,"&lt;="&amp;Settings!$B$9))</f>
        <v/>
      </c>
      <c r="F376" s="25" t="str">
        <f aca="false">IF($A376="","",SUMIFS(Timesheet!$F$5:$F$3004,Timesheet!$D$5:$D$3004,$A376,Timesheet!$A$5:$A$3004,"&gt;="&amp;Settings!$B$8,Timesheet!$A$5:$A$3004,"&lt;="&amp;Settings!$B$9))</f>
        <v/>
      </c>
      <c r="G376" s="25" t="str">
        <f aca="false">IF($A376="","",SUMIFS(Timesheet!$G$5:$G$3004,Timesheet!$D$5:$D$3004,$A376,Timesheet!$A$5:$A$3004,"&gt;="&amp;Settings!$B$8,Timesheet!$A$5:$A$3004,"&lt;="&amp;Settings!$B$9))</f>
        <v/>
      </c>
      <c r="H376" s="25" t="str">
        <f aca="false">IF($A376="","",IF(D376="Monthly",MAX(0,Settings!$B$11-E376),0))</f>
        <v/>
      </c>
      <c r="I376" s="26" t="str">
        <f aca="false">IF($A376="","",N(INDEX(Workers!$L$5:$L$2004,MATCH($A376,Workers!$A$5:$A$2004,0))))</f>
        <v/>
      </c>
      <c r="J376" s="26" t="str">
        <f aca="false">IF($A376="","",N(INDEX(Workers!$M$5:$M$2004,MATCH($A376,Workers!$A$5:$A$2004,0))))</f>
        <v/>
      </c>
      <c r="K376" s="26" t="str">
        <f aca="false">IF($A376="","",IF(D376="Monthly",ROUND(MAX(0,(I376+J376)-(I376+J376)/Settings!$B$10*H376),2),0))</f>
        <v/>
      </c>
      <c r="L376" s="26" t="str">
        <f aca="false">IF($A376="","",IF(D376="Hourly",ROUND(F376*N(INDEX(Workers!$N$5:$N$2004,MATCH($A376,Workers!$A$5:$A$2004,0))),2),0))</f>
        <v/>
      </c>
      <c r="M376" s="26" t="str">
        <f aca="false">IF($A376="","",ROUND(G376*IF(D376="Hourly",N(INDEX(Workers!$N$5:$N$2004,MATCH($A376,Workers!$A$5:$A$2004,0))),I376/Settings!$B$10/Settings!$B$12)*Settings!$B$13,2))</f>
        <v/>
      </c>
      <c r="N376" s="26" t="str">
        <f aca="false">IF($A376="","",K376+L376+M376)</f>
        <v/>
      </c>
      <c r="O376" s="26" t="str">
        <f aca="false">IF($A376="","",SUMIFS(Deductions!$D$5:$D$2000,Deductions!$B$5:$B$2000,$A376,Deductions!$C$5:$C$2000,"Advance",Deductions!$E$5:$E$2000,"&gt;="&amp;Settings!$B$8,Deductions!$E$5:$E$2000,"&lt;="&amp;Settings!$B$9))</f>
        <v/>
      </c>
      <c r="P376" s="26" t="str">
        <f aca="false">IF($A376="","",SUMIFS(Deductions!$D$5:$D$2000,Deductions!$B$5:$B$2000,$A376,Deductions!$E$5:$E$2000,"&gt;="&amp;Settings!$B$8,Deductions!$E$5:$E$2000,"&lt;="&amp;Settings!$B$9)-O376)</f>
        <v/>
      </c>
      <c r="Q376" s="26" t="str">
        <f aca="false">IF($A376="","",O376+P376)</f>
        <v/>
      </c>
      <c r="R376" s="23" t="str">
        <f aca="false">IF($A376="","",N376-Q376)</f>
        <v/>
      </c>
      <c r="S376" s="24" t="str">
        <f aca="false">IF($A376="","",INDEX(Workers!$O$5:$O$2004,MATCH($A376,Workers!$A$5:$A$2004,0))&amp;"")</f>
        <v/>
      </c>
      <c r="T376" s="24" t="str">
        <f aca="false">IF($A376="","",INDEX(Workers!$P$5:$P$2004,MATCH($A376,Workers!$A$5:$A$2004,0))&amp;"")</f>
        <v/>
      </c>
      <c r="U376" s="24" t="str">
        <f aca="false">IF($A376="","",INDEX(Workers!$H$5:$H$2004,MATCH($A376,Workers!$A$5:$A$2004,0))&amp;"")</f>
        <v/>
      </c>
    </row>
    <row r="377" customFormat="false" ht="15" hidden="false" customHeight="false" outlineLevel="0" collapsed="false">
      <c r="A377" s="24" t="str">
        <f aca="false">IFERROR(INDEX(Workers!$A$5:$A$2004,MATCH(ROW()-4,Workers!$U$5:$U$2004,0)),"")</f>
        <v/>
      </c>
      <c r="B377" s="24" t="str">
        <f aca="false">IF($A377="","",INDEX(Workers!$B$5:$B$2004,MATCH($A377,Workers!$A$5:$A$2004,0)))</f>
        <v/>
      </c>
      <c r="C377" s="24" t="str">
        <f aca="false">IF($A377="","",INDEX(Workers!$E$5:$E$2004,MATCH($A377,Workers!$A$5:$A$2004,0)))</f>
        <v/>
      </c>
      <c r="D377" s="24" t="str">
        <f aca="false">IF($A377="","",INDEX(Workers!$K$5:$K$2004,MATCH($A377,Workers!$A$5:$A$2004,0)))</f>
        <v/>
      </c>
      <c r="E377" s="25" t="str">
        <f aca="false">IF($A377="","",SUMIFS(Timesheet!$E$5:$E$3004,Timesheet!$D$5:$D$3004,$A377,Timesheet!$A$5:$A$3004,"&gt;="&amp;Settings!$B$8,Timesheet!$A$5:$A$3004,"&lt;="&amp;Settings!$B$9))</f>
        <v/>
      </c>
      <c r="F377" s="25" t="str">
        <f aca="false">IF($A377="","",SUMIFS(Timesheet!$F$5:$F$3004,Timesheet!$D$5:$D$3004,$A377,Timesheet!$A$5:$A$3004,"&gt;="&amp;Settings!$B$8,Timesheet!$A$5:$A$3004,"&lt;="&amp;Settings!$B$9))</f>
        <v/>
      </c>
      <c r="G377" s="25" t="str">
        <f aca="false">IF($A377="","",SUMIFS(Timesheet!$G$5:$G$3004,Timesheet!$D$5:$D$3004,$A377,Timesheet!$A$5:$A$3004,"&gt;="&amp;Settings!$B$8,Timesheet!$A$5:$A$3004,"&lt;="&amp;Settings!$B$9))</f>
        <v/>
      </c>
      <c r="H377" s="25" t="str">
        <f aca="false">IF($A377="","",IF(D377="Monthly",MAX(0,Settings!$B$11-E377),0))</f>
        <v/>
      </c>
      <c r="I377" s="26" t="str">
        <f aca="false">IF($A377="","",N(INDEX(Workers!$L$5:$L$2004,MATCH($A377,Workers!$A$5:$A$2004,0))))</f>
        <v/>
      </c>
      <c r="J377" s="26" t="str">
        <f aca="false">IF($A377="","",N(INDEX(Workers!$M$5:$M$2004,MATCH($A377,Workers!$A$5:$A$2004,0))))</f>
        <v/>
      </c>
      <c r="K377" s="26" t="str">
        <f aca="false">IF($A377="","",IF(D377="Monthly",ROUND(MAX(0,(I377+J377)-(I377+J377)/Settings!$B$10*H377),2),0))</f>
        <v/>
      </c>
      <c r="L377" s="26" t="str">
        <f aca="false">IF($A377="","",IF(D377="Hourly",ROUND(F377*N(INDEX(Workers!$N$5:$N$2004,MATCH($A377,Workers!$A$5:$A$2004,0))),2),0))</f>
        <v/>
      </c>
      <c r="M377" s="26" t="str">
        <f aca="false">IF($A377="","",ROUND(G377*IF(D377="Hourly",N(INDEX(Workers!$N$5:$N$2004,MATCH($A377,Workers!$A$5:$A$2004,0))),I377/Settings!$B$10/Settings!$B$12)*Settings!$B$13,2))</f>
        <v/>
      </c>
      <c r="N377" s="26" t="str">
        <f aca="false">IF($A377="","",K377+L377+M377)</f>
        <v/>
      </c>
      <c r="O377" s="26" t="str">
        <f aca="false">IF($A377="","",SUMIFS(Deductions!$D$5:$D$2000,Deductions!$B$5:$B$2000,$A377,Deductions!$C$5:$C$2000,"Advance",Deductions!$E$5:$E$2000,"&gt;="&amp;Settings!$B$8,Deductions!$E$5:$E$2000,"&lt;="&amp;Settings!$B$9))</f>
        <v/>
      </c>
      <c r="P377" s="26" t="str">
        <f aca="false">IF($A377="","",SUMIFS(Deductions!$D$5:$D$2000,Deductions!$B$5:$B$2000,$A377,Deductions!$E$5:$E$2000,"&gt;="&amp;Settings!$B$8,Deductions!$E$5:$E$2000,"&lt;="&amp;Settings!$B$9)-O377)</f>
        <v/>
      </c>
      <c r="Q377" s="26" t="str">
        <f aca="false">IF($A377="","",O377+P377)</f>
        <v/>
      </c>
      <c r="R377" s="23" t="str">
        <f aca="false">IF($A377="","",N377-Q377)</f>
        <v/>
      </c>
      <c r="S377" s="24" t="str">
        <f aca="false">IF($A377="","",INDEX(Workers!$O$5:$O$2004,MATCH($A377,Workers!$A$5:$A$2004,0))&amp;"")</f>
        <v/>
      </c>
      <c r="T377" s="24" t="str">
        <f aca="false">IF($A377="","",INDEX(Workers!$P$5:$P$2004,MATCH($A377,Workers!$A$5:$A$2004,0))&amp;"")</f>
        <v/>
      </c>
      <c r="U377" s="24" t="str">
        <f aca="false">IF($A377="","",INDEX(Workers!$H$5:$H$2004,MATCH($A377,Workers!$A$5:$A$2004,0))&amp;"")</f>
        <v/>
      </c>
    </row>
    <row r="378" customFormat="false" ht="15" hidden="false" customHeight="false" outlineLevel="0" collapsed="false">
      <c r="A378" s="24" t="str">
        <f aca="false">IFERROR(INDEX(Workers!$A$5:$A$2004,MATCH(ROW()-4,Workers!$U$5:$U$2004,0)),"")</f>
        <v/>
      </c>
      <c r="B378" s="24" t="str">
        <f aca="false">IF($A378="","",INDEX(Workers!$B$5:$B$2004,MATCH($A378,Workers!$A$5:$A$2004,0)))</f>
        <v/>
      </c>
      <c r="C378" s="24" t="str">
        <f aca="false">IF($A378="","",INDEX(Workers!$E$5:$E$2004,MATCH($A378,Workers!$A$5:$A$2004,0)))</f>
        <v/>
      </c>
      <c r="D378" s="24" t="str">
        <f aca="false">IF($A378="","",INDEX(Workers!$K$5:$K$2004,MATCH($A378,Workers!$A$5:$A$2004,0)))</f>
        <v/>
      </c>
      <c r="E378" s="25" t="str">
        <f aca="false">IF($A378="","",SUMIFS(Timesheet!$E$5:$E$3004,Timesheet!$D$5:$D$3004,$A378,Timesheet!$A$5:$A$3004,"&gt;="&amp;Settings!$B$8,Timesheet!$A$5:$A$3004,"&lt;="&amp;Settings!$B$9))</f>
        <v/>
      </c>
      <c r="F378" s="25" t="str">
        <f aca="false">IF($A378="","",SUMIFS(Timesheet!$F$5:$F$3004,Timesheet!$D$5:$D$3004,$A378,Timesheet!$A$5:$A$3004,"&gt;="&amp;Settings!$B$8,Timesheet!$A$5:$A$3004,"&lt;="&amp;Settings!$B$9))</f>
        <v/>
      </c>
      <c r="G378" s="25" t="str">
        <f aca="false">IF($A378="","",SUMIFS(Timesheet!$G$5:$G$3004,Timesheet!$D$5:$D$3004,$A378,Timesheet!$A$5:$A$3004,"&gt;="&amp;Settings!$B$8,Timesheet!$A$5:$A$3004,"&lt;="&amp;Settings!$B$9))</f>
        <v/>
      </c>
      <c r="H378" s="25" t="str">
        <f aca="false">IF($A378="","",IF(D378="Monthly",MAX(0,Settings!$B$11-E378),0))</f>
        <v/>
      </c>
      <c r="I378" s="26" t="str">
        <f aca="false">IF($A378="","",N(INDEX(Workers!$L$5:$L$2004,MATCH($A378,Workers!$A$5:$A$2004,0))))</f>
        <v/>
      </c>
      <c r="J378" s="26" t="str">
        <f aca="false">IF($A378="","",N(INDEX(Workers!$M$5:$M$2004,MATCH($A378,Workers!$A$5:$A$2004,0))))</f>
        <v/>
      </c>
      <c r="K378" s="26" t="str">
        <f aca="false">IF($A378="","",IF(D378="Monthly",ROUND(MAX(0,(I378+J378)-(I378+J378)/Settings!$B$10*H378),2),0))</f>
        <v/>
      </c>
      <c r="L378" s="26" t="str">
        <f aca="false">IF($A378="","",IF(D378="Hourly",ROUND(F378*N(INDEX(Workers!$N$5:$N$2004,MATCH($A378,Workers!$A$5:$A$2004,0))),2),0))</f>
        <v/>
      </c>
      <c r="M378" s="26" t="str">
        <f aca="false">IF($A378="","",ROUND(G378*IF(D378="Hourly",N(INDEX(Workers!$N$5:$N$2004,MATCH($A378,Workers!$A$5:$A$2004,0))),I378/Settings!$B$10/Settings!$B$12)*Settings!$B$13,2))</f>
        <v/>
      </c>
      <c r="N378" s="26" t="str">
        <f aca="false">IF($A378="","",K378+L378+M378)</f>
        <v/>
      </c>
      <c r="O378" s="26" t="str">
        <f aca="false">IF($A378="","",SUMIFS(Deductions!$D$5:$D$2000,Deductions!$B$5:$B$2000,$A378,Deductions!$C$5:$C$2000,"Advance",Deductions!$E$5:$E$2000,"&gt;="&amp;Settings!$B$8,Deductions!$E$5:$E$2000,"&lt;="&amp;Settings!$B$9))</f>
        <v/>
      </c>
      <c r="P378" s="26" t="str">
        <f aca="false">IF($A378="","",SUMIFS(Deductions!$D$5:$D$2000,Deductions!$B$5:$B$2000,$A378,Deductions!$E$5:$E$2000,"&gt;="&amp;Settings!$B$8,Deductions!$E$5:$E$2000,"&lt;="&amp;Settings!$B$9)-O378)</f>
        <v/>
      </c>
      <c r="Q378" s="26" t="str">
        <f aca="false">IF($A378="","",O378+P378)</f>
        <v/>
      </c>
      <c r="R378" s="23" t="str">
        <f aca="false">IF($A378="","",N378-Q378)</f>
        <v/>
      </c>
      <c r="S378" s="24" t="str">
        <f aca="false">IF($A378="","",INDEX(Workers!$O$5:$O$2004,MATCH($A378,Workers!$A$5:$A$2004,0))&amp;"")</f>
        <v/>
      </c>
      <c r="T378" s="24" t="str">
        <f aca="false">IF($A378="","",INDEX(Workers!$P$5:$P$2004,MATCH($A378,Workers!$A$5:$A$2004,0))&amp;"")</f>
        <v/>
      </c>
      <c r="U378" s="24" t="str">
        <f aca="false">IF($A378="","",INDEX(Workers!$H$5:$H$2004,MATCH($A378,Workers!$A$5:$A$2004,0))&amp;"")</f>
        <v/>
      </c>
    </row>
    <row r="379" customFormat="false" ht="15" hidden="false" customHeight="false" outlineLevel="0" collapsed="false">
      <c r="A379" s="24" t="str">
        <f aca="false">IFERROR(INDEX(Workers!$A$5:$A$2004,MATCH(ROW()-4,Workers!$U$5:$U$2004,0)),"")</f>
        <v/>
      </c>
      <c r="B379" s="24" t="str">
        <f aca="false">IF($A379="","",INDEX(Workers!$B$5:$B$2004,MATCH($A379,Workers!$A$5:$A$2004,0)))</f>
        <v/>
      </c>
      <c r="C379" s="24" t="str">
        <f aca="false">IF($A379="","",INDEX(Workers!$E$5:$E$2004,MATCH($A379,Workers!$A$5:$A$2004,0)))</f>
        <v/>
      </c>
      <c r="D379" s="24" t="str">
        <f aca="false">IF($A379="","",INDEX(Workers!$K$5:$K$2004,MATCH($A379,Workers!$A$5:$A$2004,0)))</f>
        <v/>
      </c>
      <c r="E379" s="25" t="str">
        <f aca="false">IF($A379="","",SUMIFS(Timesheet!$E$5:$E$3004,Timesheet!$D$5:$D$3004,$A379,Timesheet!$A$5:$A$3004,"&gt;="&amp;Settings!$B$8,Timesheet!$A$5:$A$3004,"&lt;="&amp;Settings!$B$9))</f>
        <v/>
      </c>
      <c r="F379" s="25" t="str">
        <f aca="false">IF($A379="","",SUMIFS(Timesheet!$F$5:$F$3004,Timesheet!$D$5:$D$3004,$A379,Timesheet!$A$5:$A$3004,"&gt;="&amp;Settings!$B$8,Timesheet!$A$5:$A$3004,"&lt;="&amp;Settings!$B$9))</f>
        <v/>
      </c>
      <c r="G379" s="25" t="str">
        <f aca="false">IF($A379="","",SUMIFS(Timesheet!$G$5:$G$3004,Timesheet!$D$5:$D$3004,$A379,Timesheet!$A$5:$A$3004,"&gt;="&amp;Settings!$B$8,Timesheet!$A$5:$A$3004,"&lt;="&amp;Settings!$B$9))</f>
        <v/>
      </c>
      <c r="H379" s="25" t="str">
        <f aca="false">IF($A379="","",IF(D379="Monthly",MAX(0,Settings!$B$11-E379),0))</f>
        <v/>
      </c>
      <c r="I379" s="26" t="str">
        <f aca="false">IF($A379="","",N(INDEX(Workers!$L$5:$L$2004,MATCH($A379,Workers!$A$5:$A$2004,0))))</f>
        <v/>
      </c>
      <c r="J379" s="26" t="str">
        <f aca="false">IF($A379="","",N(INDEX(Workers!$M$5:$M$2004,MATCH($A379,Workers!$A$5:$A$2004,0))))</f>
        <v/>
      </c>
      <c r="K379" s="26" t="str">
        <f aca="false">IF($A379="","",IF(D379="Monthly",ROUND(MAX(0,(I379+J379)-(I379+J379)/Settings!$B$10*H379),2),0))</f>
        <v/>
      </c>
      <c r="L379" s="26" t="str">
        <f aca="false">IF($A379="","",IF(D379="Hourly",ROUND(F379*N(INDEX(Workers!$N$5:$N$2004,MATCH($A379,Workers!$A$5:$A$2004,0))),2),0))</f>
        <v/>
      </c>
      <c r="M379" s="26" t="str">
        <f aca="false">IF($A379="","",ROUND(G379*IF(D379="Hourly",N(INDEX(Workers!$N$5:$N$2004,MATCH($A379,Workers!$A$5:$A$2004,0))),I379/Settings!$B$10/Settings!$B$12)*Settings!$B$13,2))</f>
        <v/>
      </c>
      <c r="N379" s="26" t="str">
        <f aca="false">IF($A379="","",K379+L379+M379)</f>
        <v/>
      </c>
      <c r="O379" s="26" t="str">
        <f aca="false">IF($A379="","",SUMIFS(Deductions!$D$5:$D$2000,Deductions!$B$5:$B$2000,$A379,Deductions!$C$5:$C$2000,"Advance",Deductions!$E$5:$E$2000,"&gt;="&amp;Settings!$B$8,Deductions!$E$5:$E$2000,"&lt;="&amp;Settings!$B$9))</f>
        <v/>
      </c>
      <c r="P379" s="26" t="str">
        <f aca="false">IF($A379="","",SUMIFS(Deductions!$D$5:$D$2000,Deductions!$B$5:$B$2000,$A379,Deductions!$E$5:$E$2000,"&gt;="&amp;Settings!$B$8,Deductions!$E$5:$E$2000,"&lt;="&amp;Settings!$B$9)-O379)</f>
        <v/>
      </c>
      <c r="Q379" s="26" t="str">
        <f aca="false">IF($A379="","",O379+P379)</f>
        <v/>
      </c>
      <c r="R379" s="23" t="str">
        <f aca="false">IF($A379="","",N379-Q379)</f>
        <v/>
      </c>
      <c r="S379" s="24" t="str">
        <f aca="false">IF($A379="","",INDEX(Workers!$O$5:$O$2004,MATCH($A379,Workers!$A$5:$A$2004,0))&amp;"")</f>
        <v/>
      </c>
      <c r="T379" s="24" t="str">
        <f aca="false">IF($A379="","",INDEX(Workers!$P$5:$P$2004,MATCH($A379,Workers!$A$5:$A$2004,0))&amp;"")</f>
        <v/>
      </c>
      <c r="U379" s="24" t="str">
        <f aca="false">IF($A379="","",INDEX(Workers!$H$5:$H$2004,MATCH($A379,Workers!$A$5:$A$2004,0))&amp;"")</f>
        <v/>
      </c>
    </row>
    <row r="380" customFormat="false" ht="15" hidden="false" customHeight="false" outlineLevel="0" collapsed="false">
      <c r="A380" s="24" t="str">
        <f aca="false">IFERROR(INDEX(Workers!$A$5:$A$2004,MATCH(ROW()-4,Workers!$U$5:$U$2004,0)),"")</f>
        <v/>
      </c>
      <c r="B380" s="24" t="str">
        <f aca="false">IF($A380="","",INDEX(Workers!$B$5:$B$2004,MATCH($A380,Workers!$A$5:$A$2004,0)))</f>
        <v/>
      </c>
      <c r="C380" s="24" t="str">
        <f aca="false">IF($A380="","",INDEX(Workers!$E$5:$E$2004,MATCH($A380,Workers!$A$5:$A$2004,0)))</f>
        <v/>
      </c>
      <c r="D380" s="24" t="str">
        <f aca="false">IF($A380="","",INDEX(Workers!$K$5:$K$2004,MATCH($A380,Workers!$A$5:$A$2004,0)))</f>
        <v/>
      </c>
      <c r="E380" s="25" t="str">
        <f aca="false">IF($A380="","",SUMIFS(Timesheet!$E$5:$E$3004,Timesheet!$D$5:$D$3004,$A380,Timesheet!$A$5:$A$3004,"&gt;="&amp;Settings!$B$8,Timesheet!$A$5:$A$3004,"&lt;="&amp;Settings!$B$9))</f>
        <v/>
      </c>
      <c r="F380" s="25" t="str">
        <f aca="false">IF($A380="","",SUMIFS(Timesheet!$F$5:$F$3004,Timesheet!$D$5:$D$3004,$A380,Timesheet!$A$5:$A$3004,"&gt;="&amp;Settings!$B$8,Timesheet!$A$5:$A$3004,"&lt;="&amp;Settings!$B$9))</f>
        <v/>
      </c>
      <c r="G380" s="25" t="str">
        <f aca="false">IF($A380="","",SUMIFS(Timesheet!$G$5:$G$3004,Timesheet!$D$5:$D$3004,$A380,Timesheet!$A$5:$A$3004,"&gt;="&amp;Settings!$B$8,Timesheet!$A$5:$A$3004,"&lt;="&amp;Settings!$B$9))</f>
        <v/>
      </c>
      <c r="H380" s="25" t="str">
        <f aca="false">IF($A380="","",IF(D380="Monthly",MAX(0,Settings!$B$11-E380),0))</f>
        <v/>
      </c>
      <c r="I380" s="26" t="str">
        <f aca="false">IF($A380="","",N(INDEX(Workers!$L$5:$L$2004,MATCH($A380,Workers!$A$5:$A$2004,0))))</f>
        <v/>
      </c>
      <c r="J380" s="26" t="str">
        <f aca="false">IF($A380="","",N(INDEX(Workers!$M$5:$M$2004,MATCH($A380,Workers!$A$5:$A$2004,0))))</f>
        <v/>
      </c>
      <c r="K380" s="26" t="str">
        <f aca="false">IF($A380="","",IF(D380="Monthly",ROUND(MAX(0,(I380+J380)-(I380+J380)/Settings!$B$10*H380),2),0))</f>
        <v/>
      </c>
      <c r="L380" s="26" t="str">
        <f aca="false">IF($A380="","",IF(D380="Hourly",ROUND(F380*N(INDEX(Workers!$N$5:$N$2004,MATCH($A380,Workers!$A$5:$A$2004,0))),2),0))</f>
        <v/>
      </c>
      <c r="M380" s="26" t="str">
        <f aca="false">IF($A380="","",ROUND(G380*IF(D380="Hourly",N(INDEX(Workers!$N$5:$N$2004,MATCH($A380,Workers!$A$5:$A$2004,0))),I380/Settings!$B$10/Settings!$B$12)*Settings!$B$13,2))</f>
        <v/>
      </c>
      <c r="N380" s="26" t="str">
        <f aca="false">IF($A380="","",K380+L380+M380)</f>
        <v/>
      </c>
      <c r="O380" s="26" t="str">
        <f aca="false">IF($A380="","",SUMIFS(Deductions!$D$5:$D$2000,Deductions!$B$5:$B$2000,$A380,Deductions!$C$5:$C$2000,"Advance",Deductions!$E$5:$E$2000,"&gt;="&amp;Settings!$B$8,Deductions!$E$5:$E$2000,"&lt;="&amp;Settings!$B$9))</f>
        <v/>
      </c>
      <c r="P380" s="26" t="str">
        <f aca="false">IF($A380="","",SUMIFS(Deductions!$D$5:$D$2000,Deductions!$B$5:$B$2000,$A380,Deductions!$E$5:$E$2000,"&gt;="&amp;Settings!$B$8,Deductions!$E$5:$E$2000,"&lt;="&amp;Settings!$B$9)-O380)</f>
        <v/>
      </c>
      <c r="Q380" s="26" t="str">
        <f aca="false">IF($A380="","",O380+P380)</f>
        <v/>
      </c>
      <c r="R380" s="23" t="str">
        <f aca="false">IF($A380="","",N380-Q380)</f>
        <v/>
      </c>
      <c r="S380" s="24" t="str">
        <f aca="false">IF($A380="","",INDEX(Workers!$O$5:$O$2004,MATCH($A380,Workers!$A$5:$A$2004,0))&amp;"")</f>
        <v/>
      </c>
      <c r="T380" s="24" t="str">
        <f aca="false">IF($A380="","",INDEX(Workers!$P$5:$P$2004,MATCH($A380,Workers!$A$5:$A$2004,0))&amp;"")</f>
        <v/>
      </c>
      <c r="U380" s="24" t="str">
        <f aca="false">IF($A380="","",INDEX(Workers!$H$5:$H$2004,MATCH($A380,Workers!$A$5:$A$2004,0))&amp;"")</f>
        <v/>
      </c>
    </row>
    <row r="381" customFormat="false" ht="15" hidden="false" customHeight="false" outlineLevel="0" collapsed="false">
      <c r="A381" s="24" t="str">
        <f aca="false">IFERROR(INDEX(Workers!$A$5:$A$2004,MATCH(ROW()-4,Workers!$U$5:$U$2004,0)),"")</f>
        <v/>
      </c>
      <c r="B381" s="24" t="str">
        <f aca="false">IF($A381="","",INDEX(Workers!$B$5:$B$2004,MATCH($A381,Workers!$A$5:$A$2004,0)))</f>
        <v/>
      </c>
      <c r="C381" s="24" t="str">
        <f aca="false">IF($A381="","",INDEX(Workers!$E$5:$E$2004,MATCH($A381,Workers!$A$5:$A$2004,0)))</f>
        <v/>
      </c>
      <c r="D381" s="24" t="str">
        <f aca="false">IF($A381="","",INDEX(Workers!$K$5:$K$2004,MATCH($A381,Workers!$A$5:$A$2004,0)))</f>
        <v/>
      </c>
      <c r="E381" s="25" t="str">
        <f aca="false">IF($A381="","",SUMIFS(Timesheet!$E$5:$E$3004,Timesheet!$D$5:$D$3004,$A381,Timesheet!$A$5:$A$3004,"&gt;="&amp;Settings!$B$8,Timesheet!$A$5:$A$3004,"&lt;="&amp;Settings!$B$9))</f>
        <v/>
      </c>
      <c r="F381" s="25" t="str">
        <f aca="false">IF($A381="","",SUMIFS(Timesheet!$F$5:$F$3004,Timesheet!$D$5:$D$3004,$A381,Timesheet!$A$5:$A$3004,"&gt;="&amp;Settings!$B$8,Timesheet!$A$5:$A$3004,"&lt;="&amp;Settings!$B$9))</f>
        <v/>
      </c>
      <c r="G381" s="25" t="str">
        <f aca="false">IF($A381="","",SUMIFS(Timesheet!$G$5:$G$3004,Timesheet!$D$5:$D$3004,$A381,Timesheet!$A$5:$A$3004,"&gt;="&amp;Settings!$B$8,Timesheet!$A$5:$A$3004,"&lt;="&amp;Settings!$B$9))</f>
        <v/>
      </c>
      <c r="H381" s="25" t="str">
        <f aca="false">IF($A381="","",IF(D381="Monthly",MAX(0,Settings!$B$11-E381),0))</f>
        <v/>
      </c>
      <c r="I381" s="26" t="str">
        <f aca="false">IF($A381="","",N(INDEX(Workers!$L$5:$L$2004,MATCH($A381,Workers!$A$5:$A$2004,0))))</f>
        <v/>
      </c>
      <c r="J381" s="26" t="str">
        <f aca="false">IF($A381="","",N(INDEX(Workers!$M$5:$M$2004,MATCH($A381,Workers!$A$5:$A$2004,0))))</f>
        <v/>
      </c>
      <c r="K381" s="26" t="str">
        <f aca="false">IF($A381="","",IF(D381="Monthly",ROUND(MAX(0,(I381+J381)-(I381+J381)/Settings!$B$10*H381),2),0))</f>
        <v/>
      </c>
      <c r="L381" s="26" t="str">
        <f aca="false">IF($A381="","",IF(D381="Hourly",ROUND(F381*N(INDEX(Workers!$N$5:$N$2004,MATCH($A381,Workers!$A$5:$A$2004,0))),2),0))</f>
        <v/>
      </c>
      <c r="M381" s="26" t="str">
        <f aca="false">IF($A381="","",ROUND(G381*IF(D381="Hourly",N(INDEX(Workers!$N$5:$N$2004,MATCH($A381,Workers!$A$5:$A$2004,0))),I381/Settings!$B$10/Settings!$B$12)*Settings!$B$13,2))</f>
        <v/>
      </c>
      <c r="N381" s="26" t="str">
        <f aca="false">IF($A381="","",K381+L381+M381)</f>
        <v/>
      </c>
      <c r="O381" s="26" t="str">
        <f aca="false">IF($A381="","",SUMIFS(Deductions!$D$5:$D$2000,Deductions!$B$5:$B$2000,$A381,Deductions!$C$5:$C$2000,"Advance",Deductions!$E$5:$E$2000,"&gt;="&amp;Settings!$B$8,Deductions!$E$5:$E$2000,"&lt;="&amp;Settings!$B$9))</f>
        <v/>
      </c>
      <c r="P381" s="26" t="str">
        <f aca="false">IF($A381="","",SUMIFS(Deductions!$D$5:$D$2000,Deductions!$B$5:$B$2000,$A381,Deductions!$E$5:$E$2000,"&gt;="&amp;Settings!$B$8,Deductions!$E$5:$E$2000,"&lt;="&amp;Settings!$B$9)-O381)</f>
        <v/>
      </c>
      <c r="Q381" s="26" t="str">
        <f aca="false">IF($A381="","",O381+P381)</f>
        <v/>
      </c>
      <c r="R381" s="23" t="str">
        <f aca="false">IF($A381="","",N381-Q381)</f>
        <v/>
      </c>
      <c r="S381" s="24" t="str">
        <f aca="false">IF($A381="","",INDEX(Workers!$O$5:$O$2004,MATCH($A381,Workers!$A$5:$A$2004,0))&amp;"")</f>
        <v/>
      </c>
      <c r="T381" s="24" t="str">
        <f aca="false">IF($A381="","",INDEX(Workers!$P$5:$P$2004,MATCH($A381,Workers!$A$5:$A$2004,0))&amp;"")</f>
        <v/>
      </c>
      <c r="U381" s="24" t="str">
        <f aca="false">IF($A381="","",INDEX(Workers!$H$5:$H$2004,MATCH($A381,Workers!$A$5:$A$2004,0))&amp;"")</f>
        <v/>
      </c>
    </row>
    <row r="382" customFormat="false" ht="15" hidden="false" customHeight="false" outlineLevel="0" collapsed="false">
      <c r="A382" s="24" t="str">
        <f aca="false">IFERROR(INDEX(Workers!$A$5:$A$2004,MATCH(ROW()-4,Workers!$U$5:$U$2004,0)),"")</f>
        <v/>
      </c>
      <c r="B382" s="24" t="str">
        <f aca="false">IF($A382="","",INDEX(Workers!$B$5:$B$2004,MATCH($A382,Workers!$A$5:$A$2004,0)))</f>
        <v/>
      </c>
      <c r="C382" s="24" t="str">
        <f aca="false">IF($A382="","",INDEX(Workers!$E$5:$E$2004,MATCH($A382,Workers!$A$5:$A$2004,0)))</f>
        <v/>
      </c>
      <c r="D382" s="24" t="str">
        <f aca="false">IF($A382="","",INDEX(Workers!$K$5:$K$2004,MATCH($A382,Workers!$A$5:$A$2004,0)))</f>
        <v/>
      </c>
      <c r="E382" s="25" t="str">
        <f aca="false">IF($A382="","",SUMIFS(Timesheet!$E$5:$E$3004,Timesheet!$D$5:$D$3004,$A382,Timesheet!$A$5:$A$3004,"&gt;="&amp;Settings!$B$8,Timesheet!$A$5:$A$3004,"&lt;="&amp;Settings!$B$9))</f>
        <v/>
      </c>
      <c r="F382" s="25" t="str">
        <f aca="false">IF($A382="","",SUMIFS(Timesheet!$F$5:$F$3004,Timesheet!$D$5:$D$3004,$A382,Timesheet!$A$5:$A$3004,"&gt;="&amp;Settings!$B$8,Timesheet!$A$5:$A$3004,"&lt;="&amp;Settings!$B$9))</f>
        <v/>
      </c>
      <c r="G382" s="25" t="str">
        <f aca="false">IF($A382="","",SUMIFS(Timesheet!$G$5:$G$3004,Timesheet!$D$5:$D$3004,$A382,Timesheet!$A$5:$A$3004,"&gt;="&amp;Settings!$B$8,Timesheet!$A$5:$A$3004,"&lt;="&amp;Settings!$B$9))</f>
        <v/>
      </c>
      <c r="H382" s="25" t="str">
        <f aca="false">IF($A382="","",IF(D382="Monthly",MAX(0,Settings!$B$11-E382),0))</f>
        <v/>
      </c>
      <c r="I382" s="26" t="str">
        <f aca="false">IF($A382="","",N(INDEX(Workers!$L$5:$L$2004,MATCH($A382,Workers!$A$5:$A$2004,0))))</f>
        <v/>
      </c>
      <c r="J382" s="26" t="str">
        <f aca="false">IF($A382="","",N(INDEX(Workers!$M$5:$M$2004,MATCH($A382,Workers!$A$5:$A$2004,0))))</f>
        <v/>
      </c>
      <c r="K382" s="26" t="str">
        <f aca="false">IF($A382="","",IF(D382="Monthly",ROUND(MAX(0,(I382+J382)-(I382+J382)/Settings!$B$10*H382),2),0))</f>
        <v/>
      </c>
      <c r="L382" s="26" t="str">
        <f aca="false">IF($A382="","",IF(D382="Hourly",ROUND(F382*N(INDEX(Workers!$N$5:$N$2004,MATCH($A382,Workers!$A$5:$A$2004,0))),2),0))</f>
        <v/>
      </c>
      <c r="M382" s="26" t="str">
        <f aca="false">IF($A382="","",ROUND(G382*IF(D382="Hourly",N(INDEX(Workers!$N$5:$N$2004,MATCH($A382,Workers!$A$5:$A$2004,0))),I382/Settings!$B$10/Settings!$B$12)*Settings!$B$13,2))</f>
        <v/>
      </c>
      <c r="N382" s="26" t="str">
        <f aca="false">IF($A382="","",K382+L382+M382)</f>
        <v/>
      </c>
      <c r="O382" s="26" t="str">
        <f aca="false">IF($A382="","",SUMIFS(Deductions!$D$5:$D$2000,Deductions!$B$5:$B$2000,$A382,Deductions!$C$5:$C$2000,"Advance",Deductions!$E$5:$E$2000,"&gt;="&amp;Settings!$B$8,Deductions!$E$5:$E$2000,"&lt;="&amp;Settings!$B$9))</f>
        <v/>
      </c>
      <c r="P382" s="26" t="str">
        <f aca="false">IF($A382="","",SUMIFS(Deductions!$D$5:$D$2000,Deductions!$B$5:$B$2000,$A382,Deductions!$E$5:$E$2000,"&gt;="&amp;Settings!$B$8,Deductions!$E$5:$E$2000,"&lt;="&amp;Settings!$B$9)-O382)</f>
        <v/>
      </c>
      <c r="Q382" s="26" t="str">
        <f aca="false">IF($A382="","",O382+P382)</f>
        <v/>
      </c>
      <c r="R382" s="23" t="str">
        <f aca="false">IF($A382="","",N382-Q382)</f>
        <v/>
      </c>
      <c r="S382" s="24" t="str">
        <f aca="false">IF($A382="","",INDEX(Workers!$O$5:$O$2004,MATCH($A382,Workers!$A$5:$A$2004,0))&amp;"")</f>
        <v/>
      </c>
      <c r="T382" s="24" t="str">
        <f aca="false">IF($A382="","",INDEX(Workers!$P$5:$P$2004,MATCH($A382,Workers!$A$5:$A$2004,0))&amp;"")</f>
        <v/>
      </c>
      <c r="U382" s="24" t="str">
        <f aca="false">IF($A382="","",INDEX(Workers!$H$5:$H$2004,MATCH($A382,Workers!$A$5:$A$2004,0))&amp;"")</f>
        <v/>
      </c>
    </row>
    <row r="383" customFormat="false" ht="15" hidden="false" customHeight="false" outlineLevel="0" collapsed="false">
      <c r="A383" s="24" t="str">
        <f aca="false">IFERROR(INDEX(Workers!$A$5:$A$2004,MATCH(ROW()-4,Workers!$U$5:$U$2004,0)),"")</f>
        <v/>
      </c>
      <c r="B383" s="24" t="str">
        <f aca="false">IF($A383="","",INDEX(Workers!$B$5:$B$2004,MATCH($A383,Workers!$A$5:$A$2004,0)))</f>
        <v/>
      </c>
      <c r="C383" s="24" t="str">
        <f aca="false">IF($A383="","",INDEX(Workers!$E$5:$E$2004,MATCH($A383,Workers!$A$5:$A$2004,0)))</f>
        <v/>
      </c>
      <c r="D383" s="24" t="str">
        <f aca="false">IF($A383="","",INDEX(Workers!$K$5:$K$2004,MATCH($A383,Workers!$A$5:$A$2004,0)))</f>
        <v/>
      </c>
      <c r="E383" s="25" t="str">
        <f aca="false">IF($A383="","",SUMIFS(Timesheet!$E$5:$E$3004,Timesheet!$D$5:$D$3004,$A383,Timesheet!$A$5:$A$3004,"&gt;="&amp;Settings!$B$8,Timesheet!$A$5:$A$3004,"&lt;="&amp;Settings!$B$9))</f>
        <v/>
      </c>
      <c r="F383" s="25" t="str">
        <f aca="false">IF($A383="","",SUMIFS(Timesheet!$F$5:$F$3004,Timesheet!$D$5:$D$3004,$A383,Timesheet!$A$5:$A$3004,"&gt;="&amp;Settings!$B$8,Timesheet!$A$5:$A$3004,"&lt;="&amp;Settings!$B$9))</f>
        <v/>
      </c>
      <c r="G383" s="25" t="str">
        <f aca="false">IF($A383="","",SUMIFS(Timesheet!$G$5:$G$3004,Timesheet!$D$5:$D$3004,$A383,Timesheet!$A$5:$A$3004,"&gt;="&amp;Settings!$B$8,Timesheet!$A$5:$A$3004,"&lt;="&amp;Settings!$B$9))</f>
        <v/>
      </c>
      <c r="H383" s="25" t="str">
        <f aca="false">IF($A383="","",IF(D383="Monthly",MAX(0,Settings!$B$11-E383),0))</f>
        <v/>
      </c>
      <c r="I383" s="26" t="str">
        <f aca="false">IF($A383="","",N(INDEX(Workers!$L$5:$L$2004,MATCH($A383,Workers!$A$5:$A$2004,0))))</f>
        <v/>
      </c>
      <c r="J383" s="26" t="str">
        <f aca="false">IF($A383="","",N(INDEX(Workers!$M$5:$M$2004,MATCH($A383,Workers!$A$5:$A$2004,0))))</f>
        <v/>
      </c>
      <c r="K383" s="26" t="str">
        <f aca="false">IF($A383="","",IF(D383="Monthly",ROUND(MAX(0,(I383+J383)-(I383+J383)/Settings!$B$10*H383),2),0))</f>
        <v/>
      </c>
      <c r="L383" s="26" t="str">
        <f aca="false">IF($A383="","",IF(D383="Hourly",ROUND(F383*N(INDEX(Workers!$N$5:$N$2004,MATCH($A383,Workers!$A$5:$A$2004,0))),2),0))</f>
        <v/>
      </c>
      <c r="M383" s="26" t="str">
        <f aca="false">IF($A383="","",ROUND(G383*IF(D383="Hourly",N(INDEX(Workers!$N$5:$N$2004,MATCH($A383,Workers!$A$5:$A$2004,0))),I383/Settings!$B$10/Settings!$B$12)*Settings!$B$13,2))</f>
        <v/>
      </c>
      <c r="N383" s="26" t="str">
        <f aca="false">IF($A383="","",K383+L383+M383)</f>
        <v/>
      </c>
      <c r="O383" s="26" t="str">
        <f aca="false">IF($A383="","",SUMIFS(Deductions!$D$5:$D$2000,Deductions!$B$5:$B$2000,$A383,Deductions!$C$5:$C$2000,"Advance",Deductions!$E$5:$E$2000,"&gt;="&amp;Settings!$B$8,Deductions!$E$5:$E$2000,"&lt;="&amp;Settings!$B$9))</f>
        <v/>
      </c>
      <c r="P383" s="26" t="str">
        <f aca="false">IF($A383="","",SUMIFS(Deductions!$D$5:$D$2000,Deductions!$B$5:$B$2000,$A383,Deductions!$E$5:$E$2000,"&gt;="&amp;Settings!$B$8,Deductions!$E$5:$E$2000,"&lt;="&amp;Settings!$B$9)-O383)</f>
        <v/>
      </c>
      <c r="Q383" s="26" t="str">
        <f aca="false">IF($A383="","",O383+P383)</f>
        <v/>
      </c>
      <c r="R383" s="23" t="str">
        <f aca="false">IF($A383="","",N383-Q383)</f>
        <v/>
      </c>
      <c r="S383" s="24" t="str">
        <f aca="false">IF($A383="","",INDEX(Workers!$O$5:$O$2004,MATCH($A383,Workers!$A$5:$A$2004,0))&amp;"")</f>
        <v/>
      </c>
      <c r="T383" s="24" t="str">
        <f aca="false">IF($A383="","",INDEX(Workers!$P$5:$P$2004,MATCH($A383,Workers!$A$5:$A$2004,0))&amp;"")</f>
        <v/>
      </c>
      <c r="U383" s="24" t="str">
        <f aca="false">IF($A383="","",INDEX(Workers!$H$5:$H$2004,MATCH($A383,Workers!$A$5:$A$2004,0))&amp;"")</f>
        <v/>
      </c>
    </row>
    <row r="384" customFormat="false" ht="15" hidden="false" customHeight="false" outlineLevel="0" collapsed="false">
      <c r="A384" s="24" t="str">
        <f aca="false">IFERROR(INDEX(Workers!$A$5:$A$2004,MATCH(ROW()-4,Workers!$U$5:$U$2004,0)),"")</f>
        <v/>
      </c>
      <c r="B384" s="24" t="str">
        <f aca="false">IF($A384="","",INDEX(Workers!$B$5:$B$2004,MATCH($A384,Workers!$A$5:$A$2004,0)))</f>
        <v/>
      </c>
      <c r="C384" s="24" t="str">
        <f aca="false">IF($A384="","",INDEX(Workers!$E$5:$E$2004,MATCH($A384,Workers!$A$5:$A$2004,0)))</f>
        <v/>
      </c>
      <c r="D384" s="24" t="str">
        <f aca="false">IF($A384="","",INDEX(Workers!$K$5:$K$2004,MATCH($A384,Workers!$A$5:$A$2004,0)))</f>
        <v/>
      </c>
      <c r="E384" s="25" t="str">
        <f aca="false">IF($A384="","",SUMIFS(Timesheet!$E$5:$E$3004,Timesheet!$D$5:$D$3004,$A384,Timesheet!$A$5:$A$3004,"&gt;="&amp;Settings!$B$8,Timesheet!$A$5:$A$3004,"&lt;="&amp;Settings!$B$9))</f>
        <v/>
      </c>
      <c r="F384" s="25" t="str">
        <f aca="false">IF($A384="","",SUMIFS(Timesheet!$F$5:$F$3004,Timesheet!$D$5:$D$3004,$A384,Timesheet!$A$5:$A$3004,"&gt;="&amp;Settings!$B$8,Timesheet!$A$5:$A$3004,"&lt;="&amp;Settings!$B$9))</f>
        <v/>
      </c>
      <c r="G384" s="25" t="str">
        <f aca="false">IF($A384="","",SUMIFS(Timesheet!$G$5:$G$3004,Timesheet!$D$5:$D$3004,$A384,Timesheet!$A$5:$A$3004,"&gt;="&amp;Settings!$B$8,Timesheet!$A$5:$A$3004,"&lt;="&amp;Settings!$B$9))</f>
        <v/>
      </c>
      <c r="H384" s="25" t="str">
        <f aca="false">IF($A384="","",IF(D384="Monthly",MAX(0,Settings!$B$11-E384),0))</f>
        <v/>
      </c>
      <c r="I384" s="26" t="str">
        <f aca="false">IF($A384="","",N(INDEX(Workers!$L$5:$L$2004,MATCH($A384,Workers!$A$5:$A$2004,0))))</f>
        <v/>
      </c>
      <c r="J384" s="26" t="str">
        <f aca="false">IF($A384="","",N(INDEX(Workers!$M$5:$M$2004,MATCH($A384,Workers!$A$5:$A$2004,0))))</f>
        <v/>
      </c>
      <c r="K384" s="26" t="str">
        <f aca="false">IF($A384="","",IF(D384="Monthly",ROUND(MAX(0,(I384+J384)-(I384+J384)/Settings!$B$10*H384),2),0))</f>
        <v/>
      </c>
      <c r="L384" s="26" t="str">
        <f aca="false">IF($A384="","",IF(D384="Hourly",ROUND(F384*N(INDEX(Workers!$N$5:$N$2004,MATCH($A384,Workers!$A$5:$A$2004,0))),2),0))</f>
        <v/>
      </c>
      <c r="M384" s="26" t="str">
        <f aca="false">IF($A384="","",ROUND(G384*IF(D384="Hourly",N(INDEX(Workers!$N$5:$N$2004,MATCH($A384,Workers!$A$5:$A$2004,0))),I384/Settings!$B$10/Settings!$B$12)*Settings!$B$13,2))</f>
        <v/>
      </c>
      <c r="N384" s="26" t="str">
        <f aca="false">IF($A384="","",K384+L384+M384)</f>
        <v/>
      </c>
      <c r="O384" s="26" t="str">
        <f aca="false">IF($A384="","",SUMIFS(Deductions!$D$5:$D$2000,Deductions!$B$5:$B$2000,$A384,Deductions!$C$5:$C$2000,"Advance",Deductions!$E$5:$E$2000,"&gt;="&amp;Settings!$B$8,Deductions!$E$5:$E$2000,"&lt;="&amp;Settings!$B$9))</f>
        <v/>
      </c>
      <c r="P384" s="26" t="str">
        <f aca="false">IF($A384="","",SUMIFS(Deductions!$D$5:$D$2000,Deductions!$B$5:$B$2000,$A384,Deductions!$E$5:$E$2000,"&gt;="&amp;Settings!$B$8,Deductions!$E$5:$E$2000,"&lt;="&amp;Settings!$B$9)-O384)</f>
        <v/>
      </c>
      <c r="Q384" s="26" t="str">
        <f aca="false">IF($A384="","",O384+P384)</f>
        <v/>
      </c>
      <c r="R384" s="23" t="str">
        <f aca="false">IF($A384="","",N384-Q384)</f>
        <v/>
      </c>
      <c r="S384" s="24" t="str">
        <f aca="false">IF($A384="","",INDEX(Workers!$O$5:$O$2004,MATCH($A384,Workers!$A$5:$A$2004,0))&amp;"")</f>
        <v/>
      </c>
      <c r="T384" s="24" t="str">
        <f aca="false">IF($A384="","",INDEX(Workers!$P$5:$P$2004,MATCH($A384,Workers!$A$5:$A$2004,0))&amp;"")</f>
        <v/>
      </c>
      <c r="U384" s="24" t="str">
        <f aca="false">IF($A384="","",INDEX(Workers!$H$5:$H$2004,MATCH($A384,Workers!$A$5:$A$2004,0))&amp;"")</f>
        <v/>
      </c>
    </row>
    <row r="385" customFormat="false" ht="15" hidden="false" customHeight="false" outlineLevel="0" collapsed="false">
      <c r="A385" s="24" t="str">
        <f aca="false">IFERROR(INDEX(Workers!$A$5:$A$2004,MATCH(ROW()-4,Workers!$U$5:$U$2004,0)),"")</f>
        <v/>
      </c>
      <c r="B385" s="24" t="str">
        <f aca="false">IF($A385="","",INDEX(Workers!$B$5:$B$2004,MATCH($A385,Workers!$A$5:$A$2004,0)))</f>
        <v/>
      </c>
      <c r="C385" s="24" t="str">
        <f aca="false">IF($A385="","",INDEX(Workers!$E$5:$E$2004,MATCH($A385,Workers!$A$5:$A$2004,0)))</f>
        <v/>
      </c>
      <c r="D385" s="24" t="str">
        <f aca="false">IF($A385="","",INDEX(Workers!$K$5:$K$2004,MATCH($A385,Workers!$A$5:$A$2004,0)))</f>
        <v/>
      </c>
      <c r="E385" s="25" t="str">
        <f aca="false">IF($A385="","",SUMIFS(Timesheet!$E$5:$E$3004,Timesheet!$D$5:$D$3004,$A385,Timesheet!$A$5:$A$3004,"&gt;="&amp;Settings!$B$8,Timesheet!$A$5:$A$3004,"&lt;="&amp;Settings!$B$9))</f>
        <v/>
      </c>
      <c r="F385" s="25" t="str">
        <f aca="false">IF($A385="","",SUMIFS(Timesheet!$F$5:$F$3004,Timesheet!$D$5:$D$3004,$A385,Timesheet!$A$5:$A$3004,"&gt;="&amp;Settings!$B$8,Timesheet!$A$5:$A$3004,"&lt;="&amp;Settings!$B$9))</f>
        <v/>
      </c>
      <c r="G385" s="25" t="str">
        <f aca="false">IF($A385="","",SUMIFS(Timesheet!$G$5:$G$3004,Timesheet!$D$5:$D$3004,$A385,Timesheet!$A$5:$A$3004,"&gt;="&amp;Settings!$B$8,Timesheet!$A$5:$A$3004,"&lt;="&amp;Settings!$B$9))</f>
        <v/>
      </c>
      <c r="H385" s="25" t="str">
        <f aca="false">IF($A385="","",IF(D385="Monthly",MAX(0,Settings!$B$11-E385),0))</f>
        <v/>
      </c>
      <c r="I385" s="26" t="str">
        <f aca="false">IF($A385="","",N(INDEX(Workers!$L$5:$L$2004,MATCH($A385,Workers!$A$5:$A$2004,0))))</f>
        <v/>
      </c>
      <c r="J385" s="26" t="str">
        <f aca="false">IF($A385="","",N(INDEX(Workers!$M$5:$M$2004,MATCH($A385,Workers!$A$5:$A$2004,0))))</f>
        <v/>
      </c>
      <c r="K385" s="26" t="str">
        <f aca="false">IF($A385="","",IF(D385="Monthly",ROUND(MAX(0,(I385+J385)-(I385+J385)/Settings!$B$10*H385),2),0))</f>
        <v/>
      </c>
      <c r="L385" s="26" t="str">
        <f aca="false">IF($A385="","",IF(D385="Hourly",ROUND(F385*N(INDEX(Workers!$N$5:$N$2004,MATCH($A385,Workers!$A$5:$A$2004,0))),2),0))</f>
        <v/>
      </c>
      <c r="M385" s="26" t="str">
        <f aca="false">IF($A385="","",ROUND(G385*IF(D385="Hourly",N(INDEX(Workers!$N$5:$N$2004,MATCH($A385,Workers!$A$5:$A$2004,0))),I385/Settings!$B$10/Settings!$B$12)*Settings!$B$13,2))</f>
        <v/>
      </c>
      <c r="N385" s="26" t="str">
        <f aca="false">IF($A385="","",K385+L385+M385)</f>
        <v/>
      </c>
      <c r="O385" s="26" t="str">
        <f aca="false">IF($A385="","",SUMIFS(Deductions!$D$5:$D$2000,Deductions!$B$5:$B$2000,$A385,Deductions!$C$5:$C$2000,"Advance",Deductions!$E$5:$E$2000,"&gt;="&amp;Settings!$B$8,Deductions!$E$5:$E$2000,"&lt;="&amp;Settings!$B$9))</f>
        <v/>
      </c>
      <c r="P385" s="26" t="str">
        <f aca="false">IF($A385="","",SUMIFS(Deductions!$D$5:$D$2000,Deductions!$B$5:$B$2000,$A385,Deductions!$E$5:$E$2000,"&gt;="&amp;Settings!$B$8,Deductions!$E$5:$E$2000,"&lt;="&amp;Settings!$B$9)-O385)</f>
        <v/>
      </c>
      <c r="Q385" s="26" t="str">
        <f aca="false">IF($A385="","",O385+P385)</f>
        <v/>
      </c>
      <c r="R385" s="23" t="str">
        <f aca="false">IF($A385="","",N385-Q385)</f>
        <v/>
      </c>
      <c r="S385" s="24" t="str">
        <f aca="false">IF($A385="","",INDEX(Workers!$O$5:$O$2004,MATCH($A385,Workers!$A$5:$A$2004,0))&amp;"")</f>
        <v/>
      </c>
      <c r="T385" s="24" t="str">
        <f aca="false">IF($A385="","",INDEX(Workers!$P$5:$P$2004,MATCH($A385,Workers!$A$5:$A$2004,0))&amp;"")</f>
        <v/>
      </c>
      <c r="U385" s="24" t="str">
        <f aca="false">IF($A385="","",INDEX(Workers!$H$5:$H$2004,MATCH($A385,Workers!$A$5:$A$2004,0))&amp;"")</f>
        <v/>
      </c>
    </row>
    <row r="386" customFormat="false" ht="15" hidden="false" customHeight="false" outlineLevel="0" collapsed="false">
      <c r="A386" s="24" t="str">
        <f aca="false">IFERROR(INDEX(Workers!$A$5:$A$2004,MATCH(ROW()-4,Workers!$U$5:$U$2004,0)),"")</f>
        <v/>
      </c>
      <c r="B386" s="24" t="str">
        <f aca="false">IF($A386="","",INDEX(Workers!$B$5:$B$2004,MATCH($A386,Workers!$A$5:$A$2004,0)))</f>
        <v/>
      </c>
      <c r="C386" s="24" t="str">
        <f aca="false">IF($A386="","",INDEX(Workers!$E$5:$E$2004,MATCH($A386,Workers!$A$5:$A$2004,0)))</f>
        <v/>
      </c>
      <c r="D386" s="24" t="str">
        <f aca="false">IF($A386="","",INDEX(Workers!$K$5:$K$2004,MATCH($A386,Workers!$A$5:$A$2004,0)))</f>
        <v/>
      </c>
      <c r="E386" s="25" t="str">
        <f aca="false">IF($A386="","",SUMIFS(Timesheet!$E$5:$E$3004,Timesheet!$D$5:$D$3004,$A386,Timesheet!$A$5:$A$3004,"&gt;="&amp;Settings!$B$8,Timesheet!$A$5:$A$3004,"&lt;="&amp;Settings!$B$9))</f>
        <v/>
      </c>
      <c r="F386" s="25" t="str">
        <f aca="false">IF($A386="","",SUMIFS(Timesheet!$F$5:$F$3004,Timesheet!$D$5:$D$3004,$A386,Timesheet!$A$5:$A$3004,"&gt;="&amp;Settings!$B$8,Timesheet!$A$5:$A$3004,"&lt;="&amp;Settings!$B$9))</f>
        <v/>
      </c>
      <c r="G386" s="25" t="str">
        <f aca="false">IF($A386="","",SUMIFS(Timesheet!$G$5:$G$3004,Timesheet!$D$5:$D$3004,$A386,Timesheet!$A$5:$A$3004,"&gt;="&amp;Settings!$B$8,Timesheet!$A$5:$A$3004,"&lt;="&amp;Settings!$B$9))</f>
        <v/>
      </c>
      <c r="H386" s="25" t="str">
        <f aca="false">IF($A386="","",IF(D386="Monthly",MAX(0,Settings!$B$11-E386),0))</f>
        <v/>
      </c>
      <c r="I386" s="26" t="str">
        <f aca="false">IF($A386="","",N(INDEX(Workers!$L$5:$L$2004,MATCH($A386,Workers!$A$5:$A$2004,0))))</f>
        <v/>
      </c>
      <c r="J386" s="26" t="str">
        <f aca="false">IF($A386="","",N(INDEX(Workers!$M$5:$M$2004,MATCH($A386,Workers!$A$5:$A$2004,0))))</f>
        <v/>
      </c>
      <c r="K386" s="26" t="str">
        <f aca="false">IF($A386="","",IF(D386="Monthly",ROUND(MAX(0,(I386+J386)-(I386+J386)/Settings!$B$10*H386),2),0))</f>
        <v/>
      </c>
      <c r="L386" s="26" t="str">
        <f aca="false">IF($A386="","",IF(D386="Hourly",ROUND(F386*N(INDEX(Workers!$N$5:$N$2004,MATCH($A386,Workers!$A$5:$A$2004,0))),2),0))</f>
        <v/>
      </c>
      <c r="M386" s="26" t="str">
        <f aca="false">IF($A386="","",ROUND(G386*IF(D386="Hourly",N(INDEX(Workers!$N$5:$N$2004,MATCH($A386,Workers!$A$5:$A$2004,0))),I386/Settings!$B$10/Settings!$B$12)*Settings!$B$13,2))</f>
        <v/>
      </c>
      <c r="N386" s="26" t="str">
        <f aca="false">IF($A386="","",K386+L386+M386)</f>
        <v/>
      </c>
      <c r="O386" s="26" t="str">
        <f aca="false">IF($A386="","",SUMIFS(Deductions!$D$5:$D$2000,Deductions!$B$5:$B$2000,$A386,Deductions!$C$5:$C$2000,"Advance",Deductions!$E$5:$E$2000,"&gt;="&amp;Settings!$B$8,Deductions!$E$5:$E$2000,"&lt;="&amp;Settings!$B$9))</f>
        <v/>
      </c>
      <c r="P386" s="26" t="str">
        <f aca="false">IF($A386="","",SUMIFS(Deductions!$D$5:$D$2000,Deductions!$B$5:$B$2000,$A386,Deductions!$E$5:$E$2000,"&gt;="&amp;Settings!$B$8,Deductions!$E$5:$E$2000,"&lt;="&amp;Settings!$B$9)-O386)</f>
        <v/>
      </c>
      <c r="Q386" s="26" t="str">
        <f aca="false">IF($A386="","",O386+P386)</f>
        <v/>
      </c>
      <c r="R386" s="23" t="str">
        <f aca="false">IF($A386="","",N386-Q386)</f>
        <v/>
      </c>
      <c r="S386" s="24" t="str">
        <f aca="false">IF($A386="","",INDEX(Workers!$O$5:$O$2004,MATCH($A386,Workers!$A$5:$A$2004,0))&amp;"")</f>
        <v/>
      </c>
      <c r="T386" s="24" t="str">
        <f aca="false">IF($A386="","",INDEX(Workers!$P$5:$P$2004,MATCH($A386,Workers!$A$5:$A$2004,0))&amp;"")</f>
        <v/>
      </c>
      <c r="U386" s="24" t="str">
        <f aca="false">IF($A386="","",INDEX(Workers!$H$5:$H$2004,MATCH($A386,Workers!$A$5:$A$2004,0))&amp;"")</f>
        <v/>
      </c>
    </row>
    <row r="387" customFormat="false" ht="15" hidden="false" customHeight="false" outlineLevel="0" collapsed="false">
      <c r="A387" s="24" t="str">
        <f aca="false">IFERROR(INDEX(Workers!$A$5:$A$2004,MATCH(ROW()-4,Workers!$U$5:$U$2004,0)),"")</f>
        <v/>
      </c>
      <c r="B387" s="24" t="str">
        <f aca="false">IF($A387="","",INDEX(Workers!$B$5:$B$2004,MATCH($A387,Workers!$A$5:$A$2004,0)))</f>
        <v/>
      </c>
      <c r="C387" s="24" t="str">
        <f aca="false">IF($A387="","",INDEX(Workers!$E$5:$E$2004,MATCH($A387,Workers!$A$5:$A$2004,0)))</f>
        <v/>
      </c>
      <c r="D387" s="24" t="str">
        <f aca="false">IF($A387="","",INDEX(Workers!$K$5:$K$2004,MATCH($A387,Workers!$A$5:$A$2004,0)))</f>
        <v/>
      </c>
      <c r="E387" s="25" t="str">
        <f aca="false">IF($A387="","",SUMIFS(Timesheet!$E$5:$E$3004,Timesheet!$D$5:$D$3004,$A387,Timesheet!$A$5:$A$3004,"&gt;="&amp;Settings!$B$8,Timesheet!$A$5:$A$3004,"&lt;="&amp;Settings!$B$9))</f>
        <v/>
      </c>
      <c r="F387" s="25" t="str">
        <f aca="false">IF($A387="","",SUMIFS(Timesheet!$F$5:$F$3004,Timesheet!$D$5:$D$3004,$A387,Timesheet!$A$5:$A$3004,"&gt;="&amp;Settings!$B$8,Timesheet!$A$5:$A$3004,"&lt;="&amp;Settings!$B$9))</f>
        <v/>
      </c>
      <c r="G387" s="25" t="str">
        <f aca="false">IF($A387="","",SUMIFS(Timesheet!$G$5:$G$3004,Timesheet!$D$5:$D$3004,$A387,Timesheet!$A$5:$A$3004,"&gt;="&amp;Settings!$B$8,Timesheet!$A$5:$A$3004,"&lt;="&amp;Settings!$B$9))</f>
        <v/>
      </c>
      <c r="H387" s="25" t="str">
        <f aca="false">IF($A387="","",IF(D387="Monthly",MAX(0,Settings!$B$11-E387),0))</f>
        <v/>
      </c>
      <c r="I387" s="26" t="str">
        <f aca="false">IF($A387="","",N(INDEX(Workers!$L$5:$L$2004,MATCH($A387,Workers!$A$5:$A$2004,0))))</f>
        <v/>
      </c>
      <c r="J387" s="26" t="str">
        <f aca="false">IF($A387="","",N(INDEX(Workers!$M$5:$M$2004,MATCH($A387,Workers!$A$5:$A$2004,0))))</f>
        <v/>
      </c>
      <c r="K387" s="26" t="str">
        <f aca="false">IF($A387="","",IF(D387="Monthly",ROUND(MAX(0,(I387+J387)-(I387+J387)/Settings!$B$10*H387),2),0))</f>
        <v/>
      </c>
      <c r="L387" s="26" t="str">
        <f aca="false">IF($A387="","",IF(D387="Hourly",ROUND(F387*N(INDEX(Workers!$N$5:$N$2004,MATCH($A387,Workers!$A$5:$A$2004,0))),2),0))</f>
        <v/>
      </c>
      <c r="M387" s="26" t="str">
        <f aca="false">IF($A387="","",ROUND(G387*IF(D387="Hourly",N(INDEX(Workers!$N$5:$N$2004,MATCH($A387,Workers!$A$5:$A$2004,0))),I387/Settings!$B$10/Settings!$B$12)*Settings!$B$13,2))</f>
        <v/>
      </c>
      <c r="N387" s="26" t="str">
        <f aca="false">IF($A387="","",K387+L387+M387)</f>
        <v/>
      </c>
      <c r="O387" s="26" t="str">
        <f aca="false">IF($A387="","",SUMIFS(Deductions!$D$5:$D$2000,Deductions!$B$5:$B$2000,$A387,Deductions!$C$5:$C$2000,"Advance",Deductions!$E$5:$E$2000,"&gt;="&amp;Settings!$B$8,Deductions!$E$5:$E$2000,"&lt;="&amp;Settings!$B$9))</f>
        <v/>
      </c>
      <c r="P387" s="26" t="str">
        <f aca="false">IF($A387="","",SUMIFS(Deductions!$D$5:$D$2000,Deductions!$B$5:$B$2000,$A387,Deductions!$E$5:$E$2000,"&gt;="&amp;Settings!$B$8,Deductions!$E$5:$E$2000,"&lt;="&amp;Settings!$B$9)-O387)</f>
        <v/>
      </c>
      <c r="Q387" s="26" t="str">
        <f aca="false">IF($A387="","",O387+P387)</f>
        <v/>
      </c>
      <c r="R387" s="23" t="str">
        <f aca="false">IF($A387="","",N387-Q387)</f>
        <v/>
      </c>
      <c r="S387" s="24" t="str">
        <f aca="false">IF($A387="","",INDEX(Workers!$O$5:$O$2004,MATCH($A387,Workers!$A$5:$A$2004,0))&amp;"")</f>
        <v/>
      </c>
      <c r="T387" s="24" t="str">
        <f aca="false">IF($A387="","",INDEX(Workers!$P$5:$P$2004,MATCH($A387,Workers!$A$5:$A$2004,0))&amp;"")</f>
        <v/>
      </c>
      <c r="U387" s="24" t="str">
        <f aca="false">IF($A387="","",INDEX(Workers!$H$5:$H$2004,MATCH($A387,Workers!$A$5:$A$2004,0))&amp;"")</f>
        <v/>
      </c>
    </row>
    <row r="388" customFormat="false" ht="15" hidden="false" customHeight="false" outlineLevel="0" collapsed="false">
      <c r="A388" s="24" t="str">
        <f aca="false">IFERROR(INDEX(Workers!$A$5:$A$2004,MATCH(ROW()-4,Workers!$U$5:$U$2004,0)),"")</f>
        <v/>
      </c>
      <c r="B388" s="24" t="str">
        <f aca="false">IF($A388="","",INDEX(Workers!$B$5:$B$2004,MATCH($A388,Workers!$A$5:$A$2004,0)))</f>
        <v/>
      </c>
      <c r="C388" s="24" t="str">
        <f aca="false">IF($A388="","",INDEX(Workers!$E$5:$E$2004,MATCH($A388,Workers!$A$5:$A$2004,0)))</f>
        <v/>
      </c>
      <c r="D388" s="24" t="str">
        <f aca="false">IF($A388="","",INDEX(Workers!$K$5:$K$2004,MATCH($A388,Workers!$A$5:$A$2004,0)))</f>
        <v/>
      </c>
      <c r="E388" s="25" t="str">
        <f aca="false">IF($A388="","",SUMIFS(Timesheet!$E$5:$E$3004,Timesheet!$D$5:$D$3004,$A388,Timesheet!$A$5:$A$3004,"&gt;="&amp;Settings!$B$8,Timesheet!$A$5:$A$3004,"&lt;="&amp;Settings!$B$9))</f>
        <v/>
      </c>
      <c r="F388" s="25" t="str">
        <f aca="false">IF($A388="","",SUMIFS(Timesheet!$F$5:$F$3004,Timesheet!$D$5:$D$3004,$A388,Timesheet!$A$5:$A$3004,"&gt;="&amp;Settings!$B$8,Timesheet!$A$5:$A$3004,"&lt;="&amp;Settings!$B$9))</f>
        <v/>
      </c>
      <c r="G388" s="25" t="str">
        <f aca="false">IF($A388="","",SUMIFS(Timesheet!$G$5:$G$3004,Timesheet!$D$5:$D$3004,$A388,Timesheet!$A$5:$A$3004,"&gt;="&amp;Settings!$B$8,Timesheet!$A$5:$A$3004,"&lt;="&amp;Settings!$B$9))</f>
        <v/>
      </c>
      <c r="H388" s="25" t="str">
        <f aca="false">IF($A388="","",IF(D388="Monthly",MAX(0,Settings!$B$11-E388),0))</f>
        <v/>
      </c>
      <c r="I388" s="26" t="str">
        <f aca="false">IF($A388="","",N(INDEX(Workers!$L$5:$L$2004,MATCH($A388,Workers!$A$5:$A$2004,0))))</f>
        <v/>
      </c>
      <c r="J388" s="26" t="str">
        <f aca="false">IF($A388="","",N(INDEX(Workers!$M$5:$M$2004,MATCH($A388,Workers!$A$5:$A$2004,0))))</f>
        <v/>
      </c>
      <c r="K388" s="26" t="str">
        <f aca="false">IF($A388="","",IF(D388="Monthly",ROUND(MAX(0,(I388+J388)-(I388+J388)/Settings!$B$10*H388),2),0))</f>
        <v/>
      </c>
      <c r="L388" s="26" t="str">
        <f aca="false">IF($A388="","",IF(D388="Hourly",ROUND(F388*N(INDEX(Workers!$N$5:$N$2004,MATCH($A388,Workers!$A$5:$A$2004,0))),2),0))</f>
        <v/>
      </c>
      <c r="M388" s="26" t="str">
        <f aca="false">IF($A388="","",ROUND(G388*IF(D388="Hourly",N(INDEX(Workers!$N$5:$N$2004,MATCH($A388,Workers!$A$5:$A$2004,0))),I388/Settings!$B$10/Settings!$B$12)*Settings!$B$13,2))</f>
        <v/>
      </c>
      <c r="N388" s="26" t="str">
        <f aca="false">IF($A388="","",K388+L388+M388)</f>
        <v/>
      </c>
      <c r="O388" s="26" t="str">
        <f aca="false">IF($A388="","",SUMIFS(Deductions!$D$5:$D$2000,Deductions!$B$5:$B$2000,$A388,Deductions!$C$5:$C$2000,"Advance",Deductions!$E$5:$E$2000,"&gt;="&amp;Settings!$B$8,Deductions!$E$5:$E$2000,"&lt;="&amp;Settings!$B$9))</f>
        <v/>
      </c>
      <c r="P388" s="26" t="str">
        <f aca="false">IF($A388="","",SUMIFS(Deductions!$D$5:$D$2000,Deductions!$B$5:$B$2000,$A388,Deductions!$E$5:$E$2000,"&gt;="&amp;Settings!$B$8,Deductions!$E$5:$E$2000,"&lt;="&amp;Settings!$B$9)-O388)</f>
        <v/>
      </c>
      <c r="Q388" s="26" t="str">
        <f aca="false">IF($A388="","",O388+P388)</f>
        <v/>
      </c>
      <c r="R388" s="23" t="str">
        <f aca="false">IF($A388="","",N388-Q388)</f>
        <v/>
      </c>
      <c r="S388" s="24" t="str">
        <f aca="false">IF($A388="","",INDEX(Workers!$O$5:$O$2004,MATCH($A388,Workers!$A$5:$A$2004,0))&amp;"")</f>
        <v/>
      </c>
      <c r="T388" s="24" t="str">
        <f aca="false">IF($A388="","",INDEX(Workers!$P$5:$P$2004,MATCH($A388,Workers!$A$5:$A$2004,0))&amp;"")</f>
        <v/>
      </c>
      <c r="U388" s="24" t="str">
        <f aca="false">IF($A388="","",INDEX(Workers!$H$5:$H$2004,MATCH($A388,Workers!$A$5:$A$2004,0))&amp;"")</f>
        <v/>
      </c>
    </row>
    <row r="389" customFormat="false" ht="15" hidden="false" customHeight="false" outlineLevel="0" collapsed="false">
      <c r="A389" s="24" t="str">
        <f aca="false">IFERROR(INDEX(Workers!$A$5:$A$2004,MATCH(ROW()-4,Workers!$U$5:$U$2004,0)),"")</f>
        <v/>
      </c>
      <c r="B389" s="24" t="str">
        <f aca="false">IF($A389="","",INDEX(Workers!$B$5:$B$2004,MATCH($A389,Workers!$A$5:$A$2004,0)))</f>
        <v/>
      </c>
      <c r="C389" s="24" t="str">
        <f aca="false">IF($A389="","",INDEX(Workers!$E$5:$E$2004,MATCH($A389,Workers!$A$5:$A$2004,0)))</f>
        <v/>
      </c>
      <c r="D389" s="24" t="str">
        <f aca="false">IF($A389="","",INDEX(Workers!$K$5:$K$2004,MATCH($A389,Workers!$A$5:$A$2004,0)))</f>
        <v/>
      </c>
      <c r="E389" s="25" t="str">
        <f aca="false">IF($A389="","",SUMIFS(Timesheet!$E$5:$E$3004,Timesheet!$D$5:$D$3004,$A389,Timesheet!$A$5:$A$3004,"&gt;="&amp;Settings!$B$8,Timesheet!$A$5:$A$3004,"&lt;="&amp;Settings!$B$9))</f>
        <v/>
      </c>
      <c r="F389" s="25" t="str">
        <f aca="false">IF($A389="","",SUMIFS(Timesheet!$F$5:$F$3004,Timesheet!$D$5:$D$3004,$A389,Timesheet!$A$5:$A$3004,"&gt;="&amp;Settings!$B$8,Timesheet!$A$5:$A$3004,"&lt;="&amp;Settings!$B$9))</f>
        <v/>
      </c>
      <c r="G389" s="25" t="str">
        <f aca="false">IF($A389="","",SUMIFS(Timesheet!$G$5:$G$3004,Timesheet!$D$5:$D$3004,$A389,Timesheet!$A$5:$A$3004,"&gt;="&amp;Settings!$B$8,Timesheet!$A$5:$A$3004,"&lt;="&amp;Settings!$B$9))</f>
        <v/>
      </c>
      <c r="H389" s="25" t="str">
        <f aca="false">IF($A389="","",IF(D389="Monthly",MAX(0,Settings!$B$11-E389),0))</f>
        <v/>
      </c>
      <c r="I389" s="26" t="str">
        <f aca="false">IF($A389="","",N(INDEX(Workers!$L$5:$L$2004,MATCH($A389,Workers!$A$5:$A$2004,0))))</f>
        <v/>
      </c>
      <c r="J389" s="26" t="str">
        <f aca="false">IF($A389="","",N(INDEX(Workers!$M$5:$M$2004,MATCH($A389,Workers!$A$5:$A$2004,0))))</f>
        <v/>
      </c>
      <c r="K389" s="26" t="str">
        <f aca="false">IF($A389="","",IF(D389="Monthly",ROUND(MAX(0,(I389+J389)-(I389+J389)/Settings!$B$10*H389),2),0))</f>
        <v/>
      </c>
      <c r="L389" s="26" t="str">
        <f aca="false">IF($A389="","",IF(D389="Hourly",ROUND(F389*N(INDEX(Workers!$N$5:$N$2004,MATCH($A389,Workers!$A$5:$A$2004,0))),2),0))</f>
        <v/>
      </c>
      <c r="M389" s="26" t="str">
        <f aca="false">IF($A389="","",ROUND(G389*IF(D389="Hourly",N(INDEX(Workers!$N$5:$N$2004,MATCH($A389,Workers!$A$5:$A$2004,0))),I389/Settings!$B$10/Settings!$B$12)*Settings!$B$13,2))</f>
        <v/>
      </c>
      <c r="N389" s="26" t="str">
        <f aca="false">IF($A389="","",K389+L389+M389)</f>
        <v/>
      </c>
      <c r="O389" s="26" t="str">
        <f aca="false">IF($A389="","",SUMIFS(Deductions!$D$5:$D$2000,Deductions!$B$5:$B$2000,$A389,Deductions!$C$5:$C$2000,"Advance",Deductions!$E$5:$E$2000,"&gt;="&amp;Settings!$B$8,Deductions!$E$5:$E$2000,"&lt;="&amp;Settings!$B$9))</f>
        <v/>
      </c>
      <c r="P389" s="26" t="str">
        <f aca="false">IF($A389="","",SUMIFS(Deductions!$D$5:$D$2000,Deductions!$B$5:$B$2000,$A389,Deductions!$E$5:$E$2000,"&gt;="&amp;Settings!$B$8,Deductions!$E$5:$E$2000,"&lt;="&amp;Settings!$B$9)-O389)</f>
        <v/>
      </c>
      <c r="Q389" s="26" t="str">
        <f aca="false">IF($A389="","",O389+P389)</f>
        <v/>
      </c>
      <c r="R389" s="23" t="str">
        <f aca="false">IF($A389="","",N389-Q389)</f>
        <v/>
      </c>
      <c r="S389" s="24" t="str">
        <f aca="false">IF($A389="","",INDEX(Workers!$O$5:$O$2004,MATCH($A389,Workers!$A$5:$A$2004,0))&amp;"")</f>
        <v/>
      </c>
      <c r="T389" s="24" t="str">
        <f aca="false">IF($A389="","",INDEX(Workers!$P$5:$P$2004,MATCH($A389,Workers!$A$5:$A$2004,0))&amp;"")</f>
        <v/>
      </c>
      <c r="U389" s="24" t="str">
        <f aca="false">IF($A389="","",INDEX(Workers!$H$5:$H$2004,MATCH($A389,Workers!$A$5:$A$2004,0))&amp;"")</f>
        <v/>
      </c>
    </row>
    <row r="390" customFormat="false" ht="15" hidden="false" customHeight="false" outlineLevel="0" collapsed="false">
      <c r="A390" s="24" t="str">
        <f aca="false">IFERROR(INDEX(Workers!$A$5:$A$2004,MATCH(ROW()-4,Workers!$U$5:$U$2004,0)),"")</f>
        <v/>
      </c>
      <c r="B390" s="24" t="str">
        <f aca="false">IF($A390="","",INDEX(Workers!$B$5:$B$2004,MATCH($A390,Workers!$A$5:$A$2004,0)))</f>
        <v/>
      </c>
      <c r="C390" s="24" t="str">
        <f aca="false">IF($A390="","",INDEX(Workers!$E$5:$E$2004,MATCH($A390,Workers!$A$5:$A$2004,0)))</f>
        <v/>
      </c>
      <c r="D390" s="24" t="str">
        <f aca="false">IF($A390="","",INDEX(Workers!$K$5:$K$2004,MATCH($A390,Workers!$A$5:$A$2004,0)))</f>
        <v/>
      </c>
      <c r="E390" s="25" t="str">
        <f aca="false">IF($A390="","",SUMIFS(Timesheet!$E$5:$E$3004,Timesheet!$D$5:$D$3004,$A390,Timesheet!$A$5:$A$3004,"&gt;="&amp;Settings!$B$8,Timesheet!$A$5:$A$3004,"&lt;="&amp;Settings!$B$9))</f>
        <v/>
      </c>
      <c r="F390" s="25" t="str">
        <f aca="false">IF($A390="","",SUMIFS(Timesheet!$F$5:$F$3004,Timesheet!$D$5:$D$3004,$A390,Timesheet!$A$5:$A$3004,"&gt;="&amp;Settings!$B$8,Timesheet!$A$5:$A$3004,"&lt;="&amp;Settings!$B$9))</f>
        <v/>
      </c>
      <c r="G390" s="25" t="str">
        <f aca="false">IF($A390="","",SUMIFS(Timesheet!$G$5:$G$3004,Timesheet!$D$5:$D$3004,$A390,Timesheet!$A$5:$A$3004,"&gt;="&amp;Settings!$B$8,Timesheet!$A$5:$A$3004,"&lt;="&amp;Settings!$B$9))</f>
        <v/>
      </c>
      <c r="H390" s="25" t="str">
        <f aca="false">IF($A390="","",IF(D390="Monthly",MAX(0,Settings!$B$11-E390),0))</f>
        <v/>
      </c>
      <c r="I390" s="26" t="str">
        <f aca="false">IF($A390="","",N(INDEX(Workers!$L$5:$L$2004,MATCH($A390,Workers!$A$5:$A$2004,0))))</f>
        <v/>
      </c>
      <c r="J390" s="26" t="str">
        <f aca="false">IF($A390="","",N(INDEX(Workers!$M$5:$M$2004,MATCH($A390,Workers!$A$5:$A$2004,0))))</f>
        <v/>
      </c>
      <c r="K390" s="26" t="str">
        <f aca="false">IF($A390="","",IF(D390="Monthly",ROUND(MAX(0,(I390+J390)-(I390+J390)/Settings!$B$10*H390),2),0))</f>
        <v/>
      </c>
      <c r="L390" s="26" t="str">
        <f aca="false">IF($A390="","",IF(D390="Hourly",ROUND(F390*N(INDEX(Workers!$N$5:$N$2004,MATCH($A390,Workers!$A$5:$A$2004,0))),2),0))</f>
        <v/>
      </c>
      <c r="M390" s="26" t="str">
        <f aca="false">IF($A390="","",ROUND(G390*IF(D390="Hourly",N(INDEX(Workers!$N$5:$N$2004,MATCH($A390,Workers!$A$5:$A$2004,0))),I390/Settings!$B$10/Settings!$B$12)*Settings!$B$13,2))</f>
        <v/>
      </c>
      <c r="N390" s="26" t="str">
        <f aca="false">IF($A390="","",K390+L390+M390)</f>
        <v/>
      </c>
      <c r="O390" s="26" t="str">
        <f aca="false">IF($A390="","",SUMIFS(Deductions!$D$5:$D$2000,Deductions!$B$5:$B$2000,$A390,Deductions!$C$5:$C$2000,"Advance",Deductions!$E$5:$E$2000,"&gt;="&amp;Settings!$B$8,Deductions!$E$5:$E$2000,"&lt;="&amp;Settings!$B$9))</f>
        <v/>
      </c>
      <c r="P390" s="26" t="str">
        <f aca="false">IF($A390="","",SUMIFS(Deductions!$D$5:$D$2000,Deductions!$B$5:$B$2000,$A390,Deductions!$E$5:$E$2000,"&gt;="&amp;Settings!$B$8,Deductions!$E$5:$E$2000,"&lt;="&amp;Settings!$B$9)-O390)</f>
        <v/>
      </c>
      <c r="Q390" s="26" t="str">
        <f aca="false">IF($A390="","",O390+P390)</f>
        <v/>
      </c>
      <c r="R390" s="23" t="str">
        <f aca="false">IF($A390="","",N390-Q390)</f>
        <v/>
      </c>
      <c r="S390" s="24" t="str">
        <f aca="false">IF($A390="","",INDEX(Workers!$O$5:$O$2004,MATCH($A390,Workers!$A$5:$A$2004,0))&amp;"")</f>
        <v/>
      </c>
      <c r="T390" s="24" t="str">
        <f aca="false">IF($A390="","",INDEX(Workers!$P$5:$P$2004,MATCH($A390,Workers!$A$5:$A$2004,0))&amp;"")</f>
        <v/>
      </c>
      <c r="U390" s="24" t="str">
        <f aca="false">IF($A390="","",INDEX(Workers!$H$5:$H$2004,MATCH($A390,Workers!$A$5:$A$2004,0))&amp;"")</f>
        <v/>
      </c>
    </row>
    <row r="391" customFormat="false" ht="15" hidden="false" customHeight="false" outlineLevel="0" collapsed="false">
      <c r="A391" s="24" t="str">
        <f aca="false">IFERROR(INDEX(Workers!$A$5:$A$2004,MATCH(ROW()-4,Workers!$U$5:$U$2004,0)),"")</f>
        <v/>
      </c>
      <c r="B391" s="24" t="str">
        <f aca="false">IF($A391="","",INDEX(Workers!$B$5:$B$2004,MATCH($A391,Workers!$A$5:$A$2004,0)))</f>
        <v/>
      </c>
      <c r="C391" s="24" t="str">
        <f aca="false">IF($A391="","",INDEX(Workers!$E$5:$E$2004,MATCH($A391,Workers!$A$5:$A$2004,0)))</f>
        <v/>
      </c>
      <c r="D391" s="24" t="str">
        <f aca="false">IF($A391="","",INDEX(Workers!$K$5:$K$2004,MATCH($A391,Workers!$A$5:$A$2004,0)))</f>
        <v/>
      </c>
      <c r="E391" s="25" t="str">
        <f aca="false">IF($A391="","",SUMIFS(Timesheet!$E$5:$E$3004,Timesheet!$D$5:$D$3004,$A391,Timesheet!$A$5:$A$3004,"&gt;="&amp;Settings!$B$8,Timesheet!$A$5:$A$3004,"&lt;="&amp;Settings!$B$9))</f>
        <v/>
      </c>
      <c r="F391" s="25" t="str">
        <f aca="false">IF($A391="","",SUMIFS(Timesheet!$F$5:$F$3004,Timesheet!$D$5:$D$3004,$A391,Timesheet!$A$5:$A$3004,"&gt;="&amp;Settings!$B$8,Timesheet!$A$5:$A$3004,"&lt;="&amp;Settings!$B$9))</f>
        <v/>
      </c>
      <c r="G391" s="25" t="str">
        <f aca="false">IF($A391="","",SUMIFS(Timesheet!$G$5:$G$3004,Timesheet!$D$5:$D$3004,$A391,Timesheet!$A$5:$A$3004,"&gt;="&amp;Settings!$B$8,Timesheet!$A$5:$A$3004,"&lt;="&amp;Settings!$B$9))</f>
        <v/>
      </c>
      <c r="H391" s="25" t="str">
        <f aca="false">IF($A391="","",IF(D391="Monthly",MAX(0,Settings!$B$11-E391),0))</f>
        <v/>
      </c>
      <c r="I391" s="26" t="str">
        <f aca="false">IF($A391="","",N(INDEX(Workers!$L$5:$L$2004,MATCH($A391,Workers!$A$5:$A$2004,0))))</f>
        <v/>
      </c>
      <c r="J391" s="26" t="str">
        <f aca="false">IF($A391="","",N(INDEX(Workers!$M$5:$M$2004,MATCH($A391,Workers!$A$5:$A$2004,0))))</f>
        <v/>
      </c>
      <c r="K391" s="26" t="str">
        <f aca="false">IF($A391="","",IF(D391="Monthly",ROUND(MAX(0,(I391+J391)-(I391+J391)/Settings!$B$10*H391),2),0))</f>
        <v/>
      </c>
      <c r="L391" s="26" t="str">
        <f aca="false">IF($A391="","",IF(D391="Hourly",ROUND(F391*N(INDEX(Workers!$N$5:$N$2004,MATCH($A391,Workers!$A$5:$A$2004,0))),2),0))</f>
        <v/>
      </c>
      <c r="M391" s="26" t="str">
        <f aca="false">IF($A391="","",ROUND(G391*IF(D391="Hourly",N(INDEX(Workers!$N$5:$N$2004,MATCH($A391,Workers!$A$5:$A$2004,0))),I391/Settings!$B$10/Settings!$B$12)*Settings!$B$13,2))</f>
        <v/>
      </c>
      <c r="N391" s="26" t="str">
        <f aca="false">IF($A391="","",K391+L391+M391)</f>
        <v/>
      </c>
      <c r="O391" s="26" t="str">
        <f aca="false">IF($A391="","",SUMIFS(Deductions!$D$5:$D$2000,Deductions!$B$5:$B$2000,$A391,Deductions!$C$5:$C$2000,"Advance",Deductions!$E$5:$E$2000,"&gt;="&amp;Settings!$B$8,Deductions!$E$5:$E$2000,"&lt;="&amp;Settings!$B$9))</f>
        <v/>
      </c>
      <c r="P391" s="26" t="str">
        <f aca="false">IF($A391="","",SUMIFS(Deductions!$D$5:$D$2000,Deductions!$B$5:$B$2000,$A391,Deductions!$E$5:$E$2000,"&gt;="&amp;Settings!$B$8,Deductions!$E$5:$E$2000,"&lt;="&amp;Settings!$B$9)-O391)</f>
        <v/>
      </c>
      <c r="Q391" s="26" t="str">
        <f aca="false">IF($A391="","",O391+P391)</f>
        <v/>
      </c>
      <c r="R391" s="23" t="str">
        <f aca="false">IF($A391="","",N391-Q391)</f>
        <v/>
      </c>
      <c r="S391" s="24" t="str">
        <f aca="false">IF($A391="","",INDEX(Workers!$O$5:$O$2004,MATCH($A391,Workers!$A$5:$A$2004,0))&amp;"")</f>
        <v/>
      </c>
      <c r="T391" s="24" t="str">
        <f aca="false">IF($A391="","",INDEX(Workers!$P$5:$P$2004,MATCH($A391,Workers!$A$5:$A$2004,0))&amp;"")</f>
        <v/>
      </c>
      <c r="U391" s="24" t="str">
        <f aca="false">IF($A391="","",INDEX(Workers!$H$5:$H$2004,MATCH($A391,Workers!$A$5:$A$2004,0))&amp;"")</f>
        <v/>
      </c>
    </row>
    <row r="392" customFormat="false" ht="15" hidden="false" customHeight="false" outlineLevel="0" collapsed="false">
      <c r="A392" s="24" t="str">
        <f aca="false">IFERROR(INDEX(Workers!$A$5:$A$2004,MATCH(ROW()-4,Workers!$U$5:$U$2004,0)),"")</f>
        <v/>
      </c>
      <c r="B392" s="24" t="str">
        <f aca="false">IF($A392="","",INDEX(Workers!$B$5:$B$2004,MATCH($A392,Workers!$A$5:$A$2004,0)))</f>
        <v/>
      </c>
      <c r="C392" s="24" t="str">
        <f aca="false">IF($A392="","",INDEX(Workers!$E$5:$E$2004,MATCH($A392,Workers!$A$5:$A$2004,0)))</f>
        <v/>
      </c>
      <c r="D392" s="24" t="str">
        <f aca="false">IF($A392="","",INDEX(Workers!$K$5:$K$2004,MATCH($A392,Workers!$A$5:$A$2004,0)))</f>
        <v/>
      </c>
      <c r="E392" s="25" t="str">
        <f aca="false">IF($A392="","",SUMIFS(Timesheet!$E$5:$E$3004,Timesheet!$D$5:$D$3004,$A392,Timesheet!$A$5:$A$3004,"&gt;="&amp;Settings!$B$8,Timesheet!$A$5:$A$3004,"&lt;="&amp;Settings!$B$9))</f>
        <v/>
      </c>
      <c r="F392" s="25" t="str">
        <f aca="false">IF($A392="","",SUMIFS(Timesheet!$F$5:$F$3004,Timesheet!$D$5:$D$3004,$A392,Timesheet!$A$5:$A$3004,"&gt;="&amp;Settings!$B$8,Timesheet!$A$5:$A$3004,"&lt;="&amp;Settings!$B$9))</f>
        <v/>
      </c>
      <c r="G392" s="25" t="str">
        <f aca="false">IF($A392="","",SUMIFS(Timesheet!$G$5:$G$3004,Timesheet!$D$5:$D$3004,$A392,Timesheet!$A$5:$A$3004,"&gt;="&amp;Settings!$B$8,Timesheet!$A$5:$A$3004,"&lt;="&amp;Settings!$B$9))</f>
        <v/>
      </c>
      <c r="H392" s="25" t="str">
        <f aca="false">IF($A392="","",IF(D392="Monthly",MAX(0,Settings!$B$11-E392),0))</f>
        <v/>
      </c>
      <c r="I392" s="26" t="str">
        <f aca="false">IF($A392="","",N(INDEX(Workers!$L$5:$L$2004,MATCH($A392,Workers!$A$5:$A$2004,0))))</f>
        <v/>
      </c>
      <c r="J392" s="26" t="str">
        <f aca="false">IF($A392="","",N(INDEX(Workers!$M$5:$M$2004,MATCH($A392,Workers!$A$5:$A$2004,0))))</f>
        <v/>
      </c>
      <c r="K392" s="26" t="str">
        <f aca="false">IF($A392="","",IF(D392="Monthly",ROUND(MAX(0,(I392+J392)-(I392+J392)/Settings!$B$10*H392),2),0))</f>
        <v/>
      </c>
      <c r="L392" s="26" t="str">
        <f aca="false">IF($A392="","",IF(D392="Hourly",ROUND(F392*N(INDEX(Workers!$N$5:$N$2004,MATCH($A392,Workers!$A$5:$A$2004,0))),2),0))</f>
        <v/>
      </c>
      <c r="M392" s="26" t="str">
        <f aca="false">IF($A392="","",ROUND(G392*IF(D392="Hourly",N(INDEX(Workers!$N$5:$N$2004,MATCH($A392,Workers!$A$5:$A$2004,0))),I392/Settings!$B$10/Settings!$B$12)*Settings!$B$13,2))</f>
        <v/>
      </c>
      <c r="N392" s="26" t="str">
        <f aca="false">IF($A392="","",K392+L392+M392)</f>
        <v/>
      </c>
      <c r="O392" s="26" t="str">
        <f aca="false">IF($A392="","",SUMIFS(Deductions!$D$5:$D$2000,Deductions!$B$5:$B$2000,$A392,Deductions!$C$5:$C$2000,"Advance",Deductions!$E$5:$E$2000,"&gt;="&amp;Settings!$B$8,Deductions!$E$5:$E$2000,"&lt;="&amp;Settings!$B$9))</f>
        <v/>
      </c>
      <c r="P392" s="26" t="str">
        <f aca="false">IF($A392="","",SUMIFS(Deductions!$D$5:$D$2000,Deductions!$B$5:$B$2000,$A392,Deductions!$E$5:$E$2000,"&gt;="&amp;Settings!$B$8,Deductions!$E$5:$E$2000,"&lt;="&amp;Settings!$B$9)-O392)</f>
        <v/>
      </c>
      <c r="Q392" s="26" t="str">
        <f aca="false">IF($A392="","",O392+P392)</f>
        <v/>
      </c>
      <c r="R392" s="23" t="str">
        <f aca="false">IF($A392="","",N392-Q392)</f>
        <v/>
      </c>
      <c r="S392" s="24" t="str">
        <f aca="false">IF($A392="","",INDEX(Workers!$O$5:$O$2004,MATCH($A392,Workers!$A$5:$A$2004,0))&amp;"")</f>
        <v/>
      </c>
      <c r="T392" s="24" t="str">
        <f aca="false">IF($A392="","",INDEX(Workers!$P$5:$P$2004,MATCH($A392,Workers!$A$5:$A$2004,0))&amp;"")</f>
        <v/>
      </c>
      <c r="U392" s="24" t="str">
        <f aca="false">IF($A392="","",INDEX(Workers!$H$5:$H$2004,MATCH($A392,Workers!$A$5:$A$2004,0))&amp;"")</f>
        <v/>
      </c>
    </row>
    <row r="393" customFormat="false" ht="15" hidden="false" customHeight="false" outlineLevel="0" collapsed="false">
      <c r="A393" s="24" t="str">
        <f aca="false">IFERROR(INDEX(Workers!$A$5:$A$2004,MATCH(ROW()-4,Workers!$U$5:$U$2004,0)),"")</f>
        <v/>
      </c>
      <c r="B393" s="24" t="str">
        <f aca="false">IF($A393="","",INDEX(Workers!$B$5:$B$2004,MATCH($A393,Workers!$A$5:$A$2004,0)))</f>
        <v/>
      </c>
      <c r="C393" s="24" t="str">
        <f aca="false">IF($A393="","",INDEX(Workers!$E$5:$E$2004,MATCH($A393,Workers!$A$5:$A$2004,0)))</f>
        <v/>
      </c>
      <c r="D393" s="24" t="str">
        <f aca="false">IF($A393="","",INDEX(Workers!$K$5:$K$2004,MATCH($A393,Workers!$A$5:$A$2004,0)))</f>
        <v/>
      </c>
      <c r="E393" s="25" t="str">
        <f aca="false">IF($A393="","",SUMIFS(Timesheet!$E$5:$E$3004,Timesheet!$D$5:$D$3004,$A393,Timesheet!$A$5:$A$3004,"&gt;="&amp;Settings!$B$8,Timesheet!$A$5:$A$3004,"&lt;="&amp;Settings!$B$9))</f>
        <v/>
      </c>
      <c r="F393" s="25" t="str">
        <f aca="false">IF($A393="","",SUMIFS(Timesheet!$F$5:$F$3004,Timesheet!$D$5:$D$3004,$A393,Timesheet!$A$5:$A$3004,"&gt;="&amp;Settings!$B$8,Timesheet!$A$5:$A$3004,"&lt;="&amp;Settings!$B$9))</f>
        <v/>
      </c>
      <c r="G393" s="25" t="str">
        <f aca="false">IF($A393="","",SUMIFS(Timesheet!$G$5:$G$3004,Timesheet!$D$5:$D$3004,$A393,Timesheet!$A$5:$A$3004,"&gt;="&amp;Settings!$B$8,Timesheet!$A$5:$A$3004,"&lt;="&amp;Settings!$B$9))</f>
        <v/>
      </c>
      <c r="H393" s="25" t="str">
        <f aca="false">IF($A393="","",IF(D393="Monthly",MAX(0,Settings!$B$11-E393),0))</f>
        <v/>
      </c>
      <c r="I393" s="26" t="str">
        <f aca="false">IF($A393="","",N(INDEX(Workers!$L$5:$L$2004,MATCH($A393,Workers!$A$5:$A$2004,0))))</f>
        <v/>
      </c>
      <c r="J393" s="26" t="str">
        <f aca="false">IF($A393="","",N(INDEX(Workers!$M$5:$M$2004,MATCH($A393,Workers!$A$5:$A$2004,0))))</f>
        <v/>
      </c>
      <c r="K393" s="26" t="str">
        <f aca="false">IF($A393="","",IF(D393="Monthly",ROUND(MAX(0,(I393+J393)-(I393+J393)/Settings!$B$10*H393),2),0))</f>
        <v/>
      </c>
      <c r="L393" s="26" t="str">
        <f aca="false">IF($A393="","",IF(D393="Hourly",ROUND(F393*N(INDEX(Workers!$N$5:$N$2004,MATCH($A393,Workers!$A$5:$A$2004,0))),2),0))</f>
        <v/>
      </c>
      <c r="M393" s="26" t="str">
        <f aca="false">IF($A393="","",ROUND(G393*IF(D393="Hourly",N(INDEX(Workers!$N$5:$N$2004,MATCH($A393,Workers!$A$5:$A$2004,0))),I393/Settings!$B$10/Settings!$B$12)*Settings!$B$13,2))</f>
        <v/>
      </c>
      <c r="N393" s="26" t="str">
        <f aca="false">IF($A393="","",K393+L393+M393)</f>
        <v/>
      </c>
      <c r="O393" s="26" t="str">
        <f aca="false">IF($A393="","",SUMIFS(Deductions!$D$5:$D$2000,Deductions!$B$5:$B$2000,$A393,Deductions!$C$5:$C$2000,"Advance",Deductions!$E$5:$E$2000,"&gt;="&amp;Settings!$B$8,Deductions!$E$5:$E$2000,"&lt;="&amp;Settings!$B$9))</f>
        <v/>
      </c>
      <c r="P393" s="26" t="str">
        <f aca="false">IF($A393="","",SUMIFS(Deductions!$D$5:$D$2000,Deductions!$B$5:$B$2000,$A393,Deductions!$E$5:$E$2000,"&gt;="&amp;Settings!$B$8,Deductions!$E$5:$E$2000,"&lt;="&amp;Settings!$B$9)-O393)</f>
        <v/>
      </c>
      <c r="Q393" s="26" t="str">
        <f aca="false">IF($A393="","",O393+P393)</f>
        <v/>
      </c>
      <c r="R393" s="23" t="str">
        <f aca="false">IF($A393="","",N393-Q393)</f>
        <v/>
      </c>
      <c r="S393" s="24" t="str">
        <f aca="false">IF($A393="","",INDEX(Workers!$O$5:$O$2004,MATCH($A393,Workers!$A$5:$A$2004,0))&amp;"")</f>
        <v/>
      </c>
      <c r="T393" s="24" t="str">
        <f aca="false">IF($A393="","",INDEX(Workers!$P$5:$P$2004,MATCH($A393,Workers!$A$5:$A$2004,0))&amp;"")</f>
        <v/>
      </c>
      <c r="U393" s="24" t="str">
        <f aca="false">IF($A393="","",INDEX(Workers!$H$5:$H$2004,MATCH($A393,Workers!$A$5:$A$2004,0))&amp;"")</f>
        <v/>
      </c>
    </row>
    <row r="394" customFormat="false" ht="15" hidden="false" customHeight="false" outlineLevel="0" collapsed="false">
      <c r="A394" s="24" t="str">
        <f aca="false">IFERROR(INDEX(Workers!$A$5:$A$2004,MATCH(ROW()-4,Workers!$U$5:$U$2004,0)),"")</f>
        <v/>
      </c>
      <c r="B394" s="24" t="str">
        <f aca="false">IF($A394="","",INDEX(Workers!$B$5:$B$2004,MATCH($A394,Workers!$A$5:$A$2004,0)))</f>
        <v/>
      </c>
      <c r="C394" s="24" t="str">
        <f aca="false">IF($A394="","",INDEX(Workers!$E$5:$E$2004,MATCH($A394,Workers!$A$5:$A$2004,0)))</f>
        <v/>
      </c>
      <c r="D394" s="24" t="str">
        <f aca="false">IF($A394="","",INDEX(Workers!$K$5:$K$2004,MATCH($A394,Workers!$A$5:$A$2004,0)))</f>
        <v/>
      </c>
      <c r="E394" s="25" t="str">
        <f aca="false">IF($A394="","",SUMIFS(Timesheet!$E$5:$E$3004,Timesheet!$D$5:$D$3004,$A394,Timesheet!$A$5:$A$3004,"&gt;="&amp;Settings!$B$8,Timesheet!$A$5:$A$3004,"&lt;="&amp;Settings!$B$9))</f>
        <v/>
      </c>
      <c r="F394" s="25" t="str">
        <f aca="false">IF($A394="","",SUMIFS(Timesheet!$F$5:$F$3004,Timesheet!$D$5:$D$3004,$A394,Timesheet!$A$5:$A$3004,"&gt;="&amp;Settings!$B$8,Timesheet!$A$5:$A$3004,"&lt;="&amp;Settings!$B$9))</f>
        <v/>
      </c>
      <c r="G394" s="25" t="str">
        <f aca="false">IF($A394="","",SUMIFS(Timesheet!$G$5:$G$3004,Timesheet!$D$5:$D$3004,$A394,Timesheet!$A$5:$A$3004,"&gt;="&amp;Settings!$B$8,Timesheet!$A$5:$A$3004,"&lt;="&amp;Settings!$B$9))</f>
        <v/>
      </c>
      <c r="H394" s="25" t="str">
        <f aca="false">IF($A394="","",IF(D394="Monthly",MAX(0,Settings!$B$11-E394),0))</f>
        <v/>
      </c>
      <c r="I394" s="26" t="str">
        <f aca="false">IF($A394="","",N(INDEX(Workers!$L$5:$L$2004,MATCH($A394,Workers!$A$5:$A$2004,0))))</f>
        <v/>
      </c>
      <c r="J394" s="26" t="str">
        <f aca="false">IF($A394="","",N(INDEX(Workers!$M$5:$M$2004,MATCH($A394,Workers!$A$5:$A$2004,0))))</f>
        <v/>
      </c>
      <c r="K394" s="26" t="str">
        <f aca="false">IF($A394="","",IF(D394="Monthly",ROUND(MAX(0,(I394+J394)-(I394+J394)/Settings!$B$10*H394),2),0))</f>
        <v/>
      </c>
      <c r="L394" s="26" t="str">
        <f aca="false">IF($A394="","",IF(D394="Hourly",ROUND(F394*N(INDEX(Workers!$N$5:$N$2004,MATCH($A394,Workers!$A$5:$A$2004,0))),2),0))</f>
        <v/>
      </c>
      <c r="M394" s="26" t="str">
        <f aca="false">IF($A394="","",ROUND(G394*IF(D394="Hourly",N(INDEX(Workers!$N$5:$N$2004,MATCH($A394,Workers!$A$5:$A$2004,0))),I394/Settings!$B$10/Settings!$B$12)*Settings!$B$13,2))</f>
        <v/>
      </c>
      <c r="N394" s="26" t="str">
        <f aca="false">IF($A394="","",K394+L394+M394)</f>
        <v/>
      </c>
      <c r="O394" s="26" t="str">
        <f aca="false">IF($A394="","",SUMIFS(Deductions!$D$5:$D$2000,Deductions!$B$5:$B$2000,$A394,Deductions!$C$5:$C$2000,"Advance",Deductions!$E$5:$E$2000,"&gt;="&amp;Settings!$B$8,Deductions!$E$5:$E$2000,"&lt;="&amp;Settings!$B$9))</f>
        <v/>
      </c>
      <c r="P394" s="26" t="str">
        <f aca="false">IF($A394="","",SUMIFS(Deductions!$D$5:$D$2000,Deductions!$B$5:$B$2000,$A394,Deductions!$E$5:$E$2000,"&gt;="&amp;Settings!$B$8,Deductions!$E$5:$E$2000,"&lt;="&amp;Settings!$B$9)-O394)</f>
        <v/>
      </c>
      <c r="Q394" s="26" t="str">
        <f aca="false">IF($A394="","",O394+P394)</f>
        <v/>
      </c>
      <c r="R394" s="23" t="str">
        <f aca="false">IF($A394="","",N394-Q394)</f>
        <v/>
      </c>
      <c r="S394" s="24" t="str">
        <f aca="false">IF($A394="","",INDEX(Workers!$O$5:$O$2004,MATCH($A394,Workers!$A$5:$A$2004,0))&amp;"")</f>
        <v/>
      </c>
      <c r="T394" s="24" t="str">
        <f aca="false">IF($A394="","",INDEX(Workers!$P$5:$P$2004,MATCH($A394,Workers!$A$5:$A$2004,0))&amp;"")</f>
        <v/>
      </c>
      <c r="U394" s="24" t="str">
        <f aca="false">IF($A394="","",INDEX(Workers!$H$5:$H$2004,MATCH($A394,Workers!$A$5:$A$2004,0))&amp;"")</f>
        <v/>
      </c>
    </row>
    <row r="395" customFormat="false" ht="15" hidden="false" customHeight="false" outlineLevel="0" collapsed="false">
      <c r="A395" s="24" t="str">
        <f aca="false">IFERROR(INDEX(Workers!$A$5:$A$2004,MATCH(ROW()-4,Workers!$U$5:$U$2004,0)),"")</f>
        <v/>
      </c>
      <c r="B395" s="24" t="str">
        <f aca="false">IF($A395="","",INDEX(Workers!$B$5:$B$2004,MATCH($A395,Workers!$A$5:$A$2004,0)))</f>
        <v/>
      </c>
      <c r="C395" s="24" t="str">
        <f aca="false">IF($A395="","",INDEX(Workers!$E$5:$E$2004,MATCH($A395,Workers!$A$5:$A$2004,0)))</f>
        <v/>
      </c>
      <c r="D395" s="24" t="str">
        <f aca="false">IF($A395="","",INDEX(Workers!$K$5:$K$2004,MATCH($A395,Workers!$A$5:$A$2004,0)))</f>
        <v/>
      </c>
      <c r="E395" s="25" t="str">
        <f aca="false">IF($A395="","",SUMIFS(Timesheet!$E$5:$E$3004,Timesheet!$D$5:$D$3004,$A395,Timesheet!$A$5:$A$3004,"&gt;="&amp;Settings!$B$8,Timesheet!$A$5:$A$3004,"&lt;="&amp;Settings!$B$9))</f>
        <v/>
      </c>
      <c r="F395" s="25" t="str">
        <f aca="false">IF($A395="","",SUMIFS(Timesheet!$F$5:$F$3004,Timesheet!$D$5:$D$3004,$A395,Timesheet!$A$5:$A$3004,"&gt;="&amp;Settings!$B$8,Timesheet!$A$5:$A$3004,"&lt;="&amp;Settings!$B$9))</f>
        <v/>
      </c>
      <c r="G395" s="25" t="str">
        <f aca="false">IF($A395="","",SUMIFS(Timesheet!$G$5:$G$3004,Timesheet!$D$5:$D$3004,$A395,Timesheet!$A$5:$A$3004,"&gt;="&amp;Settings!$B$8,Timesheet!$A$5:$A$3004,"&lt;="&amp;Settings!$B$9))</f>
        <v/>
      </c>
      <c r="H395" s="25" t="str">
        <f aca="false">IF($A395="","",IF(D395="Monthly",MAX(0,Settings!$B$11-E395),0))</f>
        <v/>
      </c>
      <c r="I395" s="26" t="str">
        <f aca="false">IF($A395="","",N(INDEX(Workers!$L$5:$L$2004,MATCH($A395,Workers!$A$5:$A$2004,0))))</f>
        <v/>
      </c>
      <c r="J395" s="26" t="str">
        <f aca="false">IF($A395="","",N(INDEX(Workers!$M$5:$M$2004,MATCH($A395,Workers!$A$5:$A$2004,0))))</f>
        <v/>
      </c>
      <c r="K395" s="26" t="str">
        <f aca="false">IF($A395="","",IF(D395="Monthly",ROUND(MAX(0,(I395+J395)-(I395+J395)/Settings!$B$10*H395),2),0))</f>
        <v/>
      </c>
      <c r="L395" s="26" t="str">
        <f aca="false">IF($A395="","",IF(D395="Hourly",ROUND(F395*N(INDEX(Workers!$N$5:$N$2004,MATCH($A395,Workers!$A$5:$A$2004,0))),2),0))</f>
        <v/>
      </c>
      <c r="M395" s="26" t="str">
        <f aca="false">IF($A395="","",ROUND(G395*IF(D395="Hourly",N(INDEX(Workers!$N$5:$N$2004,MATCH($A395,Workers!$A$5:$A$2004,0))),I395/Settings!$B$10/Settings!$B$12)*Settings!$B$13,2))</f>
        <v/>
      </c>
      <c r="N395" s="26" t="str">
        <f aca="false">IF($A395="","",K395+L395+M395)</f>
        <v/>
      </c>
      <c r="O395" s="26" t="str">
        <f aca="false">IF($A395="","",SUMIFS(Deductions!$D$5:$D$2000,Deductions!$B$5:$B$2000,$A395,Deductions!$C$5:$C$2000,"Advance",Deductions!$E$5:$E$2000,"&gt;="&amp;Settings!$B$8,Deductions!$E$5:$E$2000,"&lt;="&amp;Settings!$B$9))</f>
        <v/>
      </c>
      <c r="P395" s="26" t="str">
        <f aca="false">IF($A395="","",SUMIFS(Deductions!$D$5:$D$2000,Deductions!$B$5:$B$2000,$A395,Deductions!$E$5:$E$2000,"&gt;="&amp;Settings!$B$8,Deductions!$E$5:$E$2000,"&lt;="&amp;Settings!$B$9)-O395)</f>
        <v/>
      </c>
      <c r="Q395" s="26" t="str">
        <f aca="false">IF($A395="","",O395+P395)</f>
        <v/>
      </c>
      <c r="R395" s="23" t="str">
        <f aca="false">IF($A395="","",N395-Q395)</f>
        <v/>
      </c>
      <c r="S395" s="24" t="str">
        <f aca="false">IF($A395="","",INDEX(Workers!$O$5:$O$2004,MATCH($A395,Workers!$A$5:$A$2004,0))&amp;"")</f>
        <v/>
      </c>
      <c r="T395" s="24" t="str">
        <f aca="false">IF($A395="","",INDEX(Workers!$P$5:$P$2004,MATCH($A395,Workers!$A$5:$A$2004,0))&amp;"")</f>
        <v/>
      </c>
      <c r="U395" s="24" t="str">
        <f aca="false">IF($A395="","",INDEX(Workers!$H$5:$H$2004,MATCH($A395,Workers!$A$5:$A$2004,0))&amp;"")</f>
        <v/>
      </c>
    </row>
    <row r="396" customFormat="false" ht="15" hidden="false" customHeight="false" outlineLevel="0" collapsed="false">
      <c r="A396" s="24" t="str">
        <f aca="false">IFERROR(INDEX(Workers!$A$5:$A$2004,MATCH(ROW()-4,Workers!$U$5:$U$2004,0)),"")</f>
        <v/>
      </c>
      <c r="B396" s="24" t="str">
        <f aca="false">IF($A396="","",INDEX(Workers!$B$5:$B$2004,MATCH($A396,Workers!$A$5:$A$2004,0)))</f>
        <v/>
      </c>
      <c r="C396" s="24" t="str">
        <f aca="false">IF($A396="","",INDEX(Workers!$E$5:$E$2004,MATCH($A396,Workers!$A$5:$A$2004,0)))</f>
        <v/>
      </c>
      <c r="D396" s="24" t="str">
        <f aca="false">IF($A396="","",INDEX(Workers!$K$5:$K$2004,MATCH($A396,Workers!$A$5:$A$2004,0)))</f>
        <v/>
      </c>
      <c r="E396" s="25" t="str">
        <f aca="false">IF($A396="","",SUMIFS(Timesheet!$E$5:$E$3004,Timesheet!$D$5:$D$3004,$A396,Timesheet!$A$5:$A$3004,"&gt;="&amp;Settings!$B$8,Timesheet!$A$5:$A$3004,"&lt;="&amp;Settings!$B$9))</f>
        <v/>
      </c>
      <c r="F396" s="25" t="str">
        <f aca="false">IF($A396="","",SUMIFS(Timesheet!$F$5:$F$3004,Timesheet!$D$5:$D$3004,$A396,Timesheet!$A$5:$A$3004,"&gt;="&amp;Settings!$B$8,Timesheet!$A$5:$A$3004,"&lt;="&amp;Settings!$B$9))</f>
        <v/>
      </c>
      <c r="G396" s="25" t="str">
        <f aca="false">IF($A396="","",SUMIFS(Timesheet!$G$5:$G$3004,Timesheet!$D$5:$D$3004,$A396,Timesheet!$A$5:$A$3004,"&gt;="&amp;Settings!$B$8,Timesheet!$A$5:$A$3004,"&lt;="&amp;Settings!$B$9))</f>
        <v/>
      </c>
      <c r="H396" s="25" t="str">
        <f aca="false">IF($A396="","",IF(D396="Monthly",MAX(0,Settings!$B$11-E396),0))</f>
        <v/>
      </c>
      <c r="I396" s="26" t="str">
        <f aca="false">IF($A396="","",N(INDEX(Workers!$L$5:$L$2004,MATCH($A396,Workers!$A$5:$A$2004,0))))</f>
        <v/>
      </c>
      <c r="J396" s="26" t="str">
        <f aca="false">IF($A396="","",N(INDEX(Workers!$M$5:$M$2004,MATCH($A396,Workers!$A$5:$A$2004,0))))</f>
        <v/>
      </c>
      <c r="K396" s="26" t="str">
        <f aca="false">IF($A396="","",IF(D396="Monthly",ROUND(MAX(0,(I396+J396)-(I396+J396)/Settings!$B$10*H396),2),0))</f>
        <v/>
      </c>
      <c r="L396" s="26" t="str">
        <f aca="false">IF($A396="","",IF(D396="Hourly",ROUND(F396*N(INDEX(Workers!$N$5:$N$2004,MATCH($A396,Workers!$A$5:$A$2004,0))),2),0))</f>
        <v/>
      </c>
      <c r="M396" s="26" t="str">
        <f aca="false">IF($A396="","",ROUND(G396*IF(D396="Hourly",N(INDEX(Workers!$N$5:$N$2004,MATCH($A396,Workers!$A$5:$A$2004,0))),I396/Settings!$B$10/Settings!$B$12)*Settings!$B$13,2))</f>
        <v/>
      </c>
      <c r="N396" s="26" t="str">
        <f aca="false">IF($A396="","",K396+L396+M396)</f>
        <v/>
      </c>
      <c r="O396" s="26" t="str">
        <f aca="false">IF($A396="","",SUMIFS(Deductions!$D$5:$D$2000,Deductions!$B$5:$B$2000,$A396,Deductions!$C$5:$C$2000,"Advance",Deductions!$E$5:$E$2000,"&gt;="&amp;Settings!$B$8,Deductions!$E$5:$E$2000,"&lt;="&amp;Settings!$B$9))</f>
        <v/>
      </c>
      <c r="P396" s="26" t="str">
        <f aca="false">IF($A396="","",SUMIFS(Deductions!$D$5:$D$2000,Deductions!$B$5:$B$2000,$A396,Deductions!$E$5:$E$2000,"&gt;="&amp;Settings!$B$8,Deductions!$E$5:$E$2000,"&lt;="&amp;Settings!$B$9)-O396)</f>
        <v/>
      </c>
      <c r="Q396" s="26" t="str">
        <f aca="false">IF($A396="","",O396+P396)</f>
        <v/>
      </c>
      <c r="R396" s="23" t="str">
        <f aca="false">IF($A396="","",N396-Q396)</f>
        <v/>
      </c>
      <c r="S396" s="24" t="str">
        <f aca="false">IF($A396="","",INDEX(Workers!$O$5:$O$2004,MATCH($A396,Workers!$A$5:$A$2004,0))&amp;"")</f>
        <v/>
      </c>
      <c r="T396" s="24" t="str">
        <f aca="false">IF($A396="","",INDEX(Workers!$P$5:$P$2004,MATCH($A396,Workers!$A$5:$A$2004,0))&amp;"")</f>
        <v/>
      </c>
      <c r="U396" s="24" t="str">
        <f aca="false">IF($A396="","",INDEX(Workers!$H$5:$H$2004,MATCH($A396,Workers!$A$5:$A$2004,0))&amp;"")</f>
        <v/>
      </c>
    </row>
    <row r="397" customFormat="false" ht="15" hidden="false" customHeight="false" outlineLevel="0" collapsed="false">
      <c r="A397" s="24" t="str">
        <f aca="false">IFERROR(INDEX(Workers!$A$5:$A$2004,MATCH(ROW()-4,Workers!$U$5:$U$2004,0)),"")</f>
        <v/>
      </c>
      <c r="B397" s="24" t="str">
        <f aca="false">IF($A397="","",INDEX(Workers!$B$5:$B$2004,MATCH($A397,Workers!$A$5:$A$2004,0)))</f>
        <v/>
      </c>
      <c r="C397" s="24" t="str">
        <f aca="false">IF($A397="","",INDEX(Workers!$E$5:$E$2004,MATCH($A397,Workers!$A$5:$A$2004,0)))</f>
        <v/>
      </c>
      <c r="D397" s="24" t="str">
        <f aca="false">IF($A397="","",INDEX(Workers!$K$5:$K$2004,MATCH($A397,Workers!$A$5:$A$2004,0)))</f>
        <v/>
      </c>
      <c r="E397" s="25" t="str">
        <f aca="false">IF($A397="","",SUMIFS(Timesheet!$E$5:$E$3004,Timesheet!$D$5:$D$3004,$A397,Timesheet!$A$5:$A$3004,"&gt;="&amp;Settings!$B$8,Timesheet!$A$5:$A$3004,"&lt;="&amp;Settings!$B$9))</f>
        <v/>
      </c>
      <c r="F397" s="25" t="str">
        <f aca="false">IF($A397="","",SUMIFS(Timesheet!$F$5:$F$3004,Timesheet!$D$5:$D$3004,$A397,Timesheet!$A$5:$A$3004,"&gt;="&amp;Settings!$B$8,Timesheet!$A$5:$A$3004,"&lt;="&amp;Settings!$B$9))</f>
        <v/>
      </c>
      <c r="G397" s="25" t="str">
        <f aca="false">IF($A397="","",SUMIFS(Timesheet!$G$5:$G$3004,Timesheet!$D$5:$D$3004,$A397,Timesheet!$A$5:$A$3004,"&gt;="&amp;Settings!$B$8,Timesheet!$A$5:$A$3004,"&lt;="&amp;Settings!$B$9))</f>
        <v/>
      </c>
      <c r="H397" s="25" t="str">
        <f aca="false">IF($A397="","",IF(D397="Monthly",MAX(0,Settings!$B$11-E397),0))</f>
        <v/>
      </c>
      <c r="I397" s="26" t="str">
        <f aca="false">IF($A397="","",N(INDEX(Workers!$L$5:$L$2004,MATCH($A397,Workers!$A$5:$A$2004,0))))</f>
        <v/>
      </c>
      <c r="J397" s="26" t="str">
        <f aca="false">IF($A397="","",N(INDEX(Workers!$M$5:$M$2004,MATCH($A397,Workers!$A$5:$A$2004,0))))</f>
        <v/>
      </c>
      <c r="K397" s="26" t="str">
        <f aca="false">IF($A397="","",IF(D397="Monthly",ROUND(MAX(0,(I397+J397)-(I397+J397)/Settings!$B$10*H397),2),0))</f>
        <v/>
      </c>
      <c r="L397" s="26" t="str">
        <f aca="false">IF($A397="","",IF(D397="Hourly",ROUND(F397*N(INDEX(Workers!$N$5:$N$2004,MATCH($A397,Workers!$A$5:$A$2004,0))),2),0))</f>
        <v/>
      </c>
      <c r="M397" s="26" t="str">
        <f aca="false">IF($A397="","",ROUND(G397*IF(D397="Hourly",N(INDEX(Workers!$N$5:$N$2004,MATCH($A397,Workers!$A$5:$A$2004,0))),I397/Settings!$B$10/Settings!$B$12)*Settings!$B$13,2))</f>
        <v/>
      </c>
      <c r="N397" s="26" t="str">
        <f aca="false">IF($A397="","",K397+L397+M397)</f>
        <v/>
      </c>
      <c r="O397" s="26" t="str">
        <f aca="false">IF($A397="","",SUMIFS(Deductions!$D$5:$D$2000,Deductions!$B$5:$B$2000,$A397,Deductions!$C$5:$C$2000,"Advance",Deductions!$E$5:$E$2000,"&gt;="&amp;Settings!$B$8,Deductions!$E$5:$E$2000,"&lt;="&amp;Settings!$B$9))</f>
        <v/>
      </c>
      <c r="P397" s="26" t="str">
        <f aca="false">IF($A397="","",SUMIFS(Deductions!$D$5:$D$2000,Deductions!$B$5:$B$2000,$A397,Deductions!$E$5:$E$2000,"&gt;="&amp;Settings!$B$8,Deductions!$E$5:$E$2000,"&lt;="&amp;Settings!$B$9)-O397)</f>
        <v/>
      </c>
      <c r="Q397" s="26" t="str">
        <f aca="false">IF($A397="","",O397+P397)</f>
        <v/>
      </c>
      <c r="R397" s="23" t="str">
        <f aca="false">IF($A397="","",N397-Q397)</f>
        <v/>
      </c>
      <c r="S397" s="24" t="str">
        <f aca="false">IF($A397="","",INDEX(Workers!$O$5:$O$2004,MATCH($A397,Workers!$A$5:$A$2004,0))&amp;"")</f>
        <v/>
      </c>
      <c r="T397" s="24" t="str">
        <f aca="false">IF($A397="","",INDEX(Workers!$P$5:$P$2004,MATCH($A397,Workers!$A$5:$A$2004,0))&amp;"")</f>
        <v/>
      </c>
      <c r="U397" s="24" t="str">
        <f aca="false">IF($A397="","",INDEX(Workers!$H$5:$H$2004,MATCH($A397,Workers!$A$5:$A$2004,0))&amp;"")</f>
        <v/>
      </c>
    </row>
    <row r="398" customFormat="false" ht="15" hidden="false" customHeight="false" outlineLevel="0" collapsed="false">
      <c r="A398" s="24" t="str">
        <f aca="false">IFERROR(INDEX(Workers!$A$5:$A$2004,MATCH(ROW()-4,Workers!$U$5:$U$2004,0)),"")</f>
        <v/>
      </c>
      <c r="B398" s="24" t="str">
        <f aca="false">IF($A398="","",INDEX(Workers!$B$5:$B$2004,MATCH($A398,Workers!$A$5:$A$2004,0)))</f>
        <v/>
      </c>
      <c r="C398" s="24" t="str">
        <f aca="false">IF($A398="","",INDEX(Workers!$E$5:$E$2004,MATCH($A398,Workers!$A$5:$A$2004,0)))</f>
        <v/>
      </c>
      <c r="D398" s="24" t="str">
        <f aca="false">IF($A398="","",INDEX(Workers!$K$5:$K$2004,MATCH($A398,Workers!$A$5:$A$2004,0)))</f>
        <v/>
      </c>
      <c r="E398" s="25" t="str">
        <f aca="false">IF($A398="","",SUMIFS(Timesheet!$E$5:$E$3004,Timesheet!$D$5:$D$3004,$A398,Timesheet!$A$5:$A$3004,"&gt;="&amp;Settings!$B$8,Timesheet!$A$5:$A$3004,"&lt;="&amp;Settings!$B$9))</f>
        <v/>
      </c>
      <c r="F398" s="25" t="str">
        <f aca="false">IF($A398="","",SUMIFS(Timesheet!$F$5:$F$3004,Timesheet!$D$5:$D$3004,$A398,Timesheet!$A$5:$A$3004,"&gt;="&amp;Settings!$B$8,Timesheet!$A$5:$A$3004,"&lt;="&amp;Settings!$B$9))</f>
        <v/>
      </c>
      <c r="G398" s="25" t="str">
        <f aca="false">IF($A398="","",SUMIFS(Timesheet!$G$5:$G$3004,Timesheet!$D$5:$D$3004,$A398,Timesheet!$A$5:$A$3004,"&gt;="&amp;Settings!$B$8,Timesheet!$A$5:$A$3004,"&lt;="&amp;Settings!$B$9))</f>
        <v/>
      </c>
      <c r="H398" s="25" t="str">
        <f aca="false">IF($A398="","",IF(D398="Monthly",MAX(0,Settings!$B$11-E398),0))</f>
        <v/>
      </c>
      <c r="I398" s="26" t="str">
        <f aca="false">IF($A398="","",N(INDEX(Workers!$L$5:$L$2004,MATCH($A398,Workers!$A$5:$A$2004,0))))</f>
        <v/>
      </c>
      <c r="J398" s="26" t="str">
        <f aca="false">IF($A398="","",N(INDEX(Workers!$M$5:$M$2004,MATCH($A398,Workers!$A$5:$A$2004,0))))</f>
        <v/>
      </c>
      <c r="K398" s="26" t="str">
        <f aca="false">IF($A398="","",IF(D398="Monthly",ROUND(MAX(0,(I398+J398)-(I398+J398)/Settings!$B$10*H398),2),0))</f>
        <v/>
      </c>
      <c r="L398" s="26" t="str">
        <f aca="false">IF($A398="","",IF(D398="Hourly",ROUND(F398*N(INDEX(Workers!$N$5:$N$2004,MATCH($A398,Workers!$A$5:$A$2004,0))),2),0))</f>
        <v/>
      </c>
      <c r="M398" s="26" t="str">
        <f aca="false">IF($A398="","",ROUND(G398*IF(D398="Hourly",N(INDEX(Workers!$N$5:$N$2004,MATCH($A398,Workers!$A$5:$A$2004,0))),I398/Settings!$B$10/Settings!$B$12)*Settings!$B$13,2))</f>
        <v/>
      </c>
      <c r="N398" s="26" t="str">
        <f aca="false">IF($A398="","",K398+L398+M398)</f>
        <v/>
      </c>
      <c r="O398" s="26" t="str">
        <f aca="false">IF($A398="","",SUMIFS(Deductions!$D$5:$D$2000,Deductions!$B$5:$B$2000,$A398,Deductions!$C$5:$C$2000,"Advance",Deductions!$E$5:$E$2000,"&gt;="&amp;Settings!$B$8,Deductions!$E$5:$E$2000,"&lt;="&amp;Settings!$B$9))</f>
        <v/>
      </c>
      <c r="P398" s="26" t="str">
        <f aca="false">IF($A398="","",SUMIFS(Deductions!$D$5:$D$2000,Deductions!$B$5:$B$2000,$A398,Deductions!$E$5:$E$2000,"&gt;="&amp;Settings!$B$8,Deductions!$E$5:$E$2000,"&lt;="&amp;Settings!$B$9)-O398)</f>
        <v/>
      </c>
      <c r="Q398" s="26" t="str">
        <f aca="false">IF($A398="","",O398+P398)</f>
        <v/>
      </c>
      <c r="R398" s="23" t="str">
        <f aca="false">IF($A398="","",N398-Q398)</f>
        <v/>
      </c>
      <c r="S398" s="24" t="str">
        <f aca="false">IF($A398="","",INDEX(Workers!$O$5:$O$2004,MATCH($A398,Workers!$A$5:$A$2004,0))&amp;"")</f>
        <v/>
      </c>
      <c r="T398" s="24" t="str">
        <f aca="false">IF($A398="","",INDEX(Workers!$P$5:$P$2004,MATCH($A398,Workers!$A$5:$A$2004,0))&amp;"")</f>
        <v/>
      </c>
      <c r="U398" s="24" t="str">
        <f aca="false">IF($A398="","",INDEX(Workers!$H$5:$H$2004,MATCH($A398,Workers!$A$5:$A$2004,0))&amp;"")</f>
        <v/>
      </c>
    </row>
    <row r="399" customFormat="false" ht="15" hidden="false" customHeight="false" outlineLevel="0" collapsed="false">
      <c r="A399" s="24" t="str">
        <f aca="false">IFERROR(INDEX(Workers!$A$5:$A$2004,MATCH(ROW()-4,Workers!$U$5:$U$2004,0)),"")</f>
        <v/>
      </c>
      <c r="B399" s="24" t="str">
        <f aca="false">IF($A399="","",INDEX(Workers!$B$5:$B$2004,MATCH($A399,Workers!$A$5:$A$2004,0)))</f>
        <v/>
      </c>
      <c r="C399" s="24" t="str">
        <f aca="false">IF($A399="","",INDEX(Workers!$E$5:$E$2004,MATCH($A399,Workers!$A$5:$A$2004,0)))</f>
        <v/>
      </c>
      <c r="D399" s="24" t="str">
        <f aca="false">IF($A399="","",INDEX(Workers!$K$5:$K$2004,MATCH($A399,Workers!$A$5:$A$2004,0)))</f>
        <v/>
      </c>
      <c r="E399" s="25" t="str">
        <f aca="false">IF($A399="","",SUMIFS(Timesheet!$E$5:$E$3004,Timesheet!$D$5:$D$3004,$A399,Timesheet!$A$5:$A$3004,"&gt;="&amp;Settings!$B$8,Timesheet!$A$5:$A$3004,"&lt;="&amp;Settings!$B$9))</f>
        <v/>
      </c>
      <c r="F399" s="25" t="str">
        <f aca="false">IF($A399="","",SUMIFS(Timesheet!$F$5:$F$3004,Timesheet!$D$5:$D$3004,$A399,Timesheet!$A$5:$A$3004,"&gt;="&amp;Settings!$B$8,Timesheet!$A$5:$A$3004,"&lt;="&amp;Settings!$B$9))</f>
        <v/>
      </c>
      <c r="G399" s="25" t="str">
        <f aca="false">IF($A399="","",SUMIFS(Timesheet!$G$5:$G$3004,Timesheet!$D$5:$D$3004,$A399,Timesheet!$A$5:$A$3004,"&gt;="&amp;Settings!$B$8,Timesheet!$A$5:$A$3004,"&lt;="&amp;Settings!$B$9))</f>
        <v/>
      </c>
      <c r="H399" s="25" t="str">
        <f aca="false">IF($A399="","",IF(D399="Monthly",MAX(0,Settings!$B$11-E399),0))</f>
        <v/>
      </c>
      <c r="I399" s="26" t="str">
        <f aca="false">IF($A399="","",N(INDEX(Workers!$L$5:$L$2004,MATCH($A399,Workers!$A$5:$A$2004,0))))</f>
        <v/>
      </c>
      <c r="J399" s="26" t="str">
        <f aca="false">IF($A399="","",N(INDEX(Workers!$M$5:$M$2004,MATCH($A399,Workers!$A$5:$A$2004,0))))</f>
        <v/>
      </c>
      <c r="K399" s="26" t="str">
        <f aca="false">IF($A399="","",IF(D399="Monthly",ROUND(MAX(0,(I399+J399)-(I399+J399)/Settings!$B$10*H399),2),0))</f>
        <v/>
      </c>
      <c r="L399" s="26" t="str">
        <f aca="false">IF($A399="","",IF(D399="Hourly",ROUND(F399*N(INDEX(Workers!$N$5:$N$2004,MATCH($A399,Workers!$A$5:$A$2004,0))),2),0))</f>
        <v/>
      </c>
      <c r="M399" s="26" t="str">
        <f aca="false">IF($A399="","",ROUND(G399*IF(D399="Hourly",N(INDEX(Workers!$N$5:$N$2004,MATCH($A399,Workers!$A$5:$A$2004,0))),I399/Settings!$B$10/Settings!$B$12)*Settings!$B$13,2))</f>
        <v/>
      </c>
      <c r="N399" s="26" t="str">
        <f aca="false">IF($A399="","",K399+L399+M399)</f>
        <v/>
      </c>
      <c r="O399" s="26" t="str">
        <f aca="false">IF($A399="","",SUMIFS(Deductions!$D$5:$D$2000,Deductions!$B$5:$B$2000,$A399,Deductions!$C$5:$C$2000,"Advance",Deductions!$E$5:$E$2000,"&gt;="&amp;Settings!$B$8,Deductions!$E$5:$E$2000,"&lt;="&amp;Settings!$B$9))</f>
        <v/>
      </c>
      <c r="P399" s="26" t="str">
        <f aca="false">IF($A399="","",SUMIFS(Deductions!$D$5:$D$2000,Deductions!$B$5:$B$2000,$A399,Deductions!$E$5:$E$2000,"&gt;="&amp;Settings!$B$8,Deductions!$E$5:$E$2000,"&lt;="&amp;Settings!$B$9)-O399)</f>
        <v/>
      </c>
      <c r="Q399" s="26" t="str">
        <f aca="false">IF($A399="","",O399+P399)</f>
        <v/>
      </c>
      <c r="R399" s="23" t="str">
        <f aca="false">IF($A399="","",N399-Q399)</f>
        <v/>
      </c>
      <c r="S399" s="24" t="str">
        <f aca="false">IF($A399="","",INDEX(Workers!$O$5:$O$2004,MATCH($A399,Workers!$A$5:$A$2004,0))&amp;"")</f>
        <v/>
      </c>
      <c r="T399" s="24" t="str">
        <f aca="false">IF($A399="","",INDEX(Workers!$P$5:$P$2004,MATCH($A399,Workers!$A$5:$A$2004,0))&amp;"")</f>
        <v/>
      </c>
      <c r="U399" s="24" t="str">
        <f aca="false">IF($A399="","",INDEX(Workers!$H$5:$H$2004,MATCH($A399,Workers!$A$5:$A$2004,0))&amp;"")</f>
        <v/>
      </c>
    </row>
    <row r="400" customFormat="false" ht="15" hidden="false" customHeight="false" outlineLevel="0" collapsed="false">
      <c r="A400" s="24" t="str">
        <f aca="false">IFERROR(INDEX(Workers!$A$5:$A$2004,MATCH(ROW()-4,Workers!$U$5:$U$2004,0)),"")</f>
        <v/>
      </c>
      <c r="B400" s="24" t="str">
        <f aca="false">IF($A400="","",INDEX(Workers!$B$5:$B$2004,MATCH($A400,Workers!$A$5:$A$2004,0)))</f>
        <v/>
      </c>
      <c r="C400" s="24" t="str">
        <f aca="false">IF($A400="","",INDEX(Workers!$E$5:$E$2004,MATCH($A400,Workers!$A$5:$A$2004,0)))</f>
        <v/>
      </c>
      <c r="D400" s="24" t="str">
        <f aca="false">IF($A400="","",INDEX(Workers!$K$5:$K$2004,MATCH($A400,Workers!$A$5:$A$2004,0)))</f>
        <v/>
      </c>
      <c r="E400" s="25" t="str">
        <f aca="false">IF($A400="","",SUMIFS(Timesheet!$E$5:$E$3004,Timesheet!$D$5:$D$3004,$A400,Timesheet!$A$5:$A$3004,"&gt;="&amp;Settings!$B$8,Timesheet!$A$5:$A$3004,"&lt;="&amp;Settings!$B$9))</f>
        <v/>
      </c>
      <c r="F400" s="25" t="str">
        <f aca="false">IF($A400="","",SUMIFS(Timesheet!$F$5:$F$3004,Timesheet!$D$5:$D$3004,$A400,Timesheet!$A$5:$A$3004,"&gt;="&amp;Settings!$B$8,Timesheet!$A$5:$A$3004,"&lt;="&amp;Settings!$B$9))</f>
        <v/>
      </c>
      <c r="G400" s="25" t="str">
        <f aca="false">IF($A400="","",SUMIFS(Timesheet!$G$5:$G$3004,Timesheet!$D$5:$D$3004,$A400,Timesheet!$A$5:$A$3004,"&gt;="&amp;Settings!$B$8,Timesheet!$A$5:$A$3004,"&lt;="&amp;Settings!$B$9))</f>
        <v/>
      </c>
      <c r="H400" s="25" t="str">
        <f aca="false">IF($A400="","",IF(D400="Monthly",MAX(0,Settings!$B$11-E400),0))</f>
        <v/>
      </c>
      <c r="I400" s="26" t="str">
        <f aca="false">IF($A400="","",N(INDEX(Workers!$L$5:$L$2004,MATCH($A400,Workers!$A$5:$A$2004,0))))</f>
        <v/>
      </c>
      <c r="J400" s="26" t="str">
        <f aca="false">IF($A400="","",N(INDEX(Workers!$M$5:$M$2004,MATCH($A400,Workers!$A$5:$A$2004,0))))</f>
        <v/>
      </c>
      <c r="K400" s="26" t="str">
        <f aca="false">IF($A400="","",IF(D400="Monthly",ROUND(MAX(0,(I400+J400)-(I400+J400)/Settings!$B$10*H400),2),0))</f>
        <v/>
      </c>
      <c r="L400" s="26" t="str">
        <f aca="false">IF($A400="","",IF(D400="Hourly",ROUND(F400*N(INDEX(Workers!$N$5:$N$2004,MATCH($A400,Workers!$A$5:$A$2004,0))),2),0))</f>
        <v/>
      </c>
      <c r="M400" s="26" t="str">
        <f aca="false">IF($A400="","",ROUND(G400*IF(D400="Hourly",N(INDEX(Workers!$N$5:$N$2004,MATCH($A400,Workers!$A$5:$A$2004,0))),I400/Settings!$B$10/Settings!$B$12)*Settings!$B$13,2))</f>
        <v/>
      </c>
      <c r="N400" s="26" t="str">
        <f aca="false">IF($A400="","",K400+L400+M400)</f>
        <v/>
      </c>
      <c r="O400" s="26" t="str">
        <f aca="false">IF($A400="","",SUMIFS(Deductions!$D$5:$D$2000,Deductions!$B$5:$B$2000,$A400,Deductions!$C$5:$C$2000,"Advance",Deductions!$E$5:$E$2000,"&gt;="&amp;Settings!$B$8,Deductions!$E$5:$E$2000,"&lt;="&amp;Settings!$B$9))</f>
        <v/>
      </c>
      <c r="P400" s="26" t="str">
        <f aca="false">IF($A400="","",SUMIFS(Deductions!$D$5:$D$2000,Deductions!$B$5:$B$2000,$A400,Deductions!$E$5:$E$2000,"&gt;="&amp;Settings!$B$8,Deductions!$E$5:$E$2000,"&lt;="&amp;Settings!$B$9)-O400)</f>
        <v/>
      </c>
      <c r="Q400" s="26" t="str">
        <f aca="false">IF($A400="","",O400+P400)</f>
        <v/>
      </c>
      <c r="R400" s="23" t="str">
        <f aca="false">IF($A400="","",N400-Q400)</f>
        <v/>
      </c>
      <c r="S400" s="24" t="str">
        <f aca="false">IF($A400="","",INDEX(Workers!$O$5:$O$2004,MATCH($A400,Workers!$A$5:$A$2004,0))&amp;"")</f>
        <v/>
      </c>
      <c r="T400" s="24" t="str">
        <f aca="false">IF($A400="","",INDEX(Workers!$P$5:$P$2004,MATCH($A400,Workers!$A$5:$A$2004,0))&amp;"")</f>
        <v/>
      </c>
      <c r="U400" s="24" t="str">
        <f aca="false">IF($A400="","",INDEX(Workers!$H$5:$H$2004,MATCH($A400,Workers!$A$5:$A$2004,0))&amp;"")</f>
        <v/>
      </c>
    </row>
    <row r="401" customFormat="false" ht="15" hidden="false" customHeight="false" outlineLevel="0" collapsed="false">
      <c r="A401" s="24" t="str">
        <f aca="false">IFERROR(INDEX(Workers!$A$5:$A$2004,MATCH(ROW()-4,Workers!$U$5:$U$2004,0)),"")</f>
        <v/>
      </c>
      <c r="B401" s="24" t="str">
        <f aca="false">IF($A401="","",INDEX(Workers!$B$5:$B$2004,MATCH($A401,Workers!$A$5:$A$2004,0)))</f>
        <v/>
      </c>
      <c r="C401" s="24" t="str">
        <f aca="false">IF($A401="","",INDEX(Workers!$E$5:$E$2004,MATCH($A401,Workers!$A$5:$A$2004,0)))</f>
        <v/>
      </c>
      <c r="D401" s="24" t="str">
        <f aca="false">IF($A401="","",INDEX(Workers!$K$5:$K$2004,MATCH($A401,Workers!$A$5:$A$2004,0)))</f>
        <v/>
      </c>
      <c r="E401" s="25" t="str">
        <f aca="false">IF($A401="","",SUMIFS(Timesheet!$E$5:$E$3004,Timesheet!$D$5:$D$3004,$A401,Timesheet!$A$5:$A$3004,"&gt;="&amp;Settings!$B$8,Timesheet!$A$5:$A$3004,"&lt;="&amp;Settings!$B$9))</f>
        <v/>
      </c>
      <c r="F401" s="25" t="str">
        <f aca="false">IF($A401="","",SUMIFS(Timesheet!$F$5:$F$3004,Timesheet!$D$5:$D$3004,$A401,Timesheet!$A$5:$A$3004,"&gt;="&amp;Settings!$B$8,Timesheet!$A$5:$A$3004,"&lt;="&amp;Settings!$B$9))</f>
        <v/>
      </c>
      <c r="G401" s="25" t="str">
        <f aca="false">IF($A401="","",SUMIFS(Timesheet!$G$5:$G$3004,Timesheet!$D$5:$D$3004,$A401,Timesheet!$A$5:$A$3004,"&gt;="&amp;Settings!$B$8,Timesheet!$A$5:$A$3004,"&lt;="&amp;Settings!$B$9))</f>
        <v/>
      </c>
      <c r="H401" s="25" t="str">
        <f aca="false">IF($A401="","",IF(D401="Monthly",MAX(0,Settings!$B$11-E401),0))</f>
        <v/>
      </c>
      <c r="I401" s="26" t="str">
        <f aca="false">IF($A401="","",N(INDEX(Workers!$L$5:$L$2004,MATCH($A401,Workers!$A$5:$A$2004,0))))</f>
        <v/>
      </c>
      <c r="J401" s="26" t="str">
        <f aca="false">IF($A401="","",N(INDEX(Workers!$M$5:$M$2004,MATCH($A401,Workers!$A$5:$A$2004,0))))</f>
        <v/>
      </c>
      <c r="K401" s="26" t="str">
        <f aca="false">IF($A401="","",IF(D401="Monthly",ROUND(MAX(0,(I401+J401)-(I401+J401)/Settings!$B$10*H401),2),0))</f>
        <v/>
      </c>
      <c r="L401" s="26" t="str">
        <f aca="false">IF($A401="","",IF(D401="Hourly",ROUND(F401*N(INDEX(Workers!$N$5:$N$2004,MATCH($A401,Workers!$A$5:$A$2004,0))),2),0))</f>
        <v/>
      </c>
      <c r="M401" s="26" t="str">
        <f aca="false">IF($A401="","",ROUND(G401*IF(D401="Hourly",N(INDEX(Workers!$N$5:$N$2004,MATCH($A401,Workers!$A$5:$A$2004,0))),I401/Settings!$B$10/Settings!$B$12)*Settings!$B$13,2))</f>
        <v/>
      </c>
      <c r="N401" s="26" t="str">
        <f aca="false">IF($A401="","",K401+L401+M401)</f>
        <v/>
      </c>
      <c r="O401" s="26" t="str">
        <f aca="false">IF($A401="","",SUMIFS(Deductions!$D$5:$D$2000,Deductions!$B$5:$B$2000,$A401,Deductions!$C$5:$C$2000,"Advance",Deductions!$E$5:$E$2000,"&gt;="&amp;Settings!$B$8,Deductions!$E$5:$E$2000,"&lt;="&amp;Settings!$B$9))</f>
        <v/>
      </c>
      <c r="P401" s="26" t="str">
        <f aca="false">IF($A401="","",SUMIFS(Deductions!$D$5:$D$2000,Deductions!$B$5:$B$2000,$A401,Deductions!$E$5:$E$2000,"&gt;="&amp;Settings!$B$8,Deductions!$E$5:$E$2000,"&lt;="&amp;Settings!$B$9)-O401)</f>
        <v/>
      </c>
      <c r="Q401" s="26" t="str">
        <f aca="false">IF($A401="","",O401+P401)</f>
        <v/>
      </c>
      <c r="R401" s="23" t="str">
        <f aca="false">IF($A401="","",N401-Q401)</f>
        <v/>
      </c>
      <c r="S401" s="24" t="str">
        <f aca="false">IF($A401="","",INDEX(Workers!$O$5:$O$2004,MATCH($A401,Workers!$A$5:$A$2004,0))&amp;"")</f>
        <v/>
      </c>
      <c r="T401" s="24" t="str">
        <f aca="false">IF($A401="","",INDEX(Workers!$P$5:$P$2004,MATCH($A401,Workers!$A$5:$A$2004,0))&amp;"")</f>
        <v/>
      </c>
      <c r="U401" s="24" t="str">
        <f aca="false">IF($A401="","",INDEX(Workers!$H$5:$H$2004,MATCH($A401,Workers!$A$5:$A$2004,0))&amp;"")</f>
        <v/>
      </c>
    </row>
    <row r="402" customFormat="false" ht="15" hidden="false" customHeight="false" outlineLevel="0" collapsed="false">
      <c r="A402" s="24" t="str">
        <f aca="false">IFERROR(INDEX(Workers!$A$5:$A$2004,MATCH(ROW()-4,Workers!$U$5:$U$2004,0)),"")</f>
        <v/>
      </c>
      <c r="B402" s="24" t="str">
        <f aca="false">IF($A402="","",INDEX(Workers!$B$5:$B$2004,MATCH($A402,Workers!$A$5:$A$2004,0)))</f>
        <v/>
      </c>
      <c r="C402" s="24" t="str">
        <f aca="false">IF($A402="","",INDEX(Workers!$E$5:$E$2004,MATCH($A402,Workers!$A$5:$A$2004,0)))</f>
        <v/>
      </c>
      <c r="D402" s="24" t="str">
        <f aca="false">IF($A402="","",INDEX(Workers!$K$5:$K$2004,MATCH($A402,Workers!$A$5:$A$2004,0)))</f>
        <v/>
      </c>
      <c r="E402" s="25" t="str">
        <f aca="false">IF($A402="","",SUMIFS(Timesheet!$E$5:$E$3004,Timesheet!$D$5:$D$3004,$A402,Timesheet!$A$5:$A$3004,"&gt;="&amp;Settings!$B$8,Timesheet!$A$5:$A$3004,"&lt;="&amp;Settings!$B$9))</f>
        <v/>
      </c>
      <c r="F402" s="25" t="str">
        <f aca="false">IF($A402="","",SUMIFS(Timesheet!$F$5:$F$3004,Timesheet!$D$5:$D$3004,$A402,Timesheet!$A$5:$A$3004,"&gt;="&amp;Settings!$B$8,Timesheet!$A$5:$A$3004,"&lt;="&amp;Settings!$B$9))</f>
        <v/>
      </c>
      <c r="G402" s="25" t="str">
        <f aca="false">IF($A402="","",SUMIFS(Timesheet!$G$5:$G$3004,Timesheet!$D$5:$D$3004,$A402,Timesheet!$A$5:$A$3004,"&gt;="&amp;Settings!$B$8,Timesheet!$A$5:$A$3004,"&lt;="&amp;Settings!$B$9))</f>
        <v/>
      </c>
      <c r="H402" s="25" t="str">
        <f aca="false">IF($A402="","",IF(D402="Monthly",MAX(0,Settings!$B$11-E402),0))</f>
        <v/>
      </c>
      <c r="I402" s="26" t="str">
        <f aca="false">IF($A402="","",N(INDEX(Workers!$L$5:$L$2004,MATCH($A402,Workers!$A$5:$A$2004,0))))</f>
        <v/>
      </c>
      <c r="J402" s="26" t="str">
        <f aca="false">IF($A402="","",N(INDEX(Workers!$M$5:$M$2004,MATCH($A402,Workers!$A$5:$A$2004,0))))</f>
        <v/>
      </c>
      <c r="K402" s="26" t="str">
        <f aca="false">IF($A402="","",IF(D402="Monthly",ROUND(MAX(0,(I402+J402)-(I402+J402)/Settings!$B$10*H402),2),0))</f>
        <v/>
      </c>
      <c r="L402" s="26" t="str">
        <f aca="false">IF($A402="","",IF(D402="Hourly",ROUND(F402*N(INDEX(Workers!$N$5:$N$2004,MATCH($A402,Workers!$A$5:$A$2004,0))),2),0))</f>
        <v/>
      </c>
      <c r="M402" s="26" t="str">
        <f aca="false">IF($A402="","",ROUND(G402*IF(D402="Hourly",N(INDEX(Workers!$N$5:$N$2004,MATCH($A402,Workers!$A$5:$A$2004,0))),I402/Settings!$B$10/Settings!$B$12)*Settings!$B$13,2))</f>
        <v/>
      </c>
      <c r="N402" s="26" t="str">
        <f aca="false">IF($A402="","",K402+L402+M402)</f>
        <v/>
      </c>
      <c r="O402" s="26" t="str">
        <f aca="false">IF($A402="","",SUMIFS(Deductions!$D$5:$D$2000,Deductions!$B$5:$B$2000,$A402,Deductions!$C$5:$C$2000,"Advance",Deductions!$E$5:$E$2000,"&gt;="&amp;Settings!$B$8,Deductions!$E$5:$E$2000,"&lt;="&amp;Settings!$B$9))</f>
        <v/>
      </c>
      <c r="P402" s="26" t="str">
        <f aca="false">IF($A402="","",SUMIFS(Deductions!$D$5:$D$2000,Deductions!$B$5:$B$2000,$A402,Deductions!$E$5:$E$2000,"&gt;="&amp;Settings!$B$8,Deductions!$E$5:$E$2000,"&lt;="&amp;Settings!$B$9)-O402)</f>
        <v/>
      </c>
      <c r="Q402" s="26" t="str">
        <f aca="false">IF($A402="","",O402+P402)</f>
        <v/>
      </c>
      <c r="R402" s="23" t="str">
        <f aca="false">IF($A402="","",N402-Q402)</f>
        <v/>
      </c>
      <c r="S402" s="24" t="str">
        <f aca="false">IF($A402="","",INDEX(Workers!$O$5:$O$2004,MATCH($A402,Workers!$A$5:$A$2004,0))&amp;"")</f>
        <v/>
      </c>
      <c r="T402" s="24" t="str">
        <f aca="false">IF($A402="","",INDEX(Workers!$P$5:$P$2004,MATCH($A402,Workers!$A$5:$A$2004,0))&amp;"")</f>
        <v/>
      </c>
      <c r="U402" s="24" t="str">
        <f aca="false">IF($A402="","",INDEX(Workers!$H$5:$H$2004,MATCH($A402,Workers!$A$5:$A$2004,0))&amp;"")</f>
        <v/>
      </c>
    </row>
    <row r="403" customFormat="false" ht="15" hidden="false" customHeight="false" outlineLevel="0" collapsed="false">
      <c r="A403" s="24" t="str">
        <f aca="false">IFERROR(INDEX(Workers!$A$5:$A$2004,MATCH(ROW()-4,Workers!$U$5:$U$2004,0)),"")</f>
        <v/>
      </c>
      <c r="B403" s="24" t="str">
        <f aca="false">IF($A403="","",INDEX(Workers!$B$5:$B$2004,MATCH($A403,Workers!$A$5:$A$2004,0)))</f>
        <v/>
      </c>
      <c r="C403" s="24" t="str">
        <f aca="false">IF($A403="","",INDEX(Workers!$E$5:$E$2004,MATCH($A403,Workers!$A$5:$A$2004,0)))</f>
        <v/>
      </c>
      <c r="D403" s="24" t="str">
        <f aca="false">IF($A403="","",INDEX(Workers!$K$5:$K$2004,MATCH($A403,Workers!$A$5:$A$2004,0)))</f>
        <v/>
      </c>
      <c r="E403" s="25" t="str">
        <f aca="false">IF($A403="","",SUMIFS(Timesheet!$E$5:$E$3004,Timesheet!$D$5:$D$3004,$A403,Timesheet!$A$5:$A$3004,"&gt;="&amp;Settings!$B$8,Timesheet!$A$5:$A$3004,"&lt;="&amp;Settings!$B$9))</f>
        <v/>
      </c>
      <c r="F403" s="25" t="str">
        <f aca="false">IF($A403="","",SUMIFS(Timesheet!$F$5:$F$3004,Timesheet!$D$5:$D$3004,$A403,Timesheet!$A$5:$A$3004,"&gt;="&amp;Settings!$B$8,Timesheet!$A$5:$A$3004,"&lt;="&amp;Settings!$B$9))</f>
        <v/>
      </c>
      <c r="G403" s="25" t="str">
        <f aca="false">IF($A403="","",SUMIFS(Timesheet!$G$5:$G$3004,Timesheet!$D$5:$D$3004,$A403,Timesheet!$A$5:$A$3004,"&gt;="&amp;Settings!$B$8,Timesheet!$A$5:$A$3004,"&lt;="&amp;Settings!$B$9))</f>
        <v/>
      </c>
      <c r="H403" s="25" t="str">
        <f aca="false">IF($A403="","",IF(D403="Monthly",MAX(0,Settings!$B$11-E403),0))</f>
        <v/>
      </c>
      <c r="I403" s="26" t="str">
        <f aca="false">IF($A403="","",N(INDEX(Workers!$L$5:$L$2004,MATCH($A403,Workers!$A$5:$A$2004,0))))</f>
        <v/>
      </c>
      <c r="J403" s="26" t="str">
        <f aca="false">IF($A403="","",N(INDEX(Workers!$M$5:$M$2004,MATCH($A403,Workers!$A$5:$A$2004,0))))</f>
        <v/>
      </c>
      <c r="K403" s="26" t="str">
        <f aca="false">IF($A403="","",IF(D403="Monthly",ROUND(MAX(0,(I403+J403)-(I403+J403)/Settings!$B$10*H403),2),0))</f>
        <v/>
      </c>
      <c r="L403" s="26" t="str">
        <f aca="false">IF($A403="","",IF(D403="Hourly",ROUND(F403*N(INDEX(Workers!$N$5:$N$2004,MATCH($A403,Workers!$A$5:$A$2004,0))),2),0))</f>
        <v/>
      </c>
      <c r="M403" s="26" t="str">
        <f aca="false">IF($A403="","",ROUND(G403*IF(D403="Hourly",N(INDEX(Workers!$N$5:$N$2004,MATCH($A403,Workers!$A$5:$A$2004,0))),I403/Settings!$B$10/Settings!$B$12)*Settings!$B$13,2))</f>
        <v/>
      </c>
      <c r="N403" s="26" t="str">
        <f aca="false">IF($A403="","",K403+L403+M403)</f>
        <v/>
      </c>
      <c r="O403" s="26" t="str">
        <f aca="false">IF($A403="","",SUMIFS(Deductions!$D$5:$D$2000,Deductions!$B$5:$B$2000,$A403,Deductions!$C$5:$C$2000,"Advance",Deductions!$E$5:$E$2000,"&gt;="&amp;Settings!$B$8,Deductions!$E$5:$E$2000,"&lt;="&amp;Settings!$B$9))</f>
        <v/>
      </c>
      <c r="P403" s="26" t="str">
        <f aca="false">IF($A403="","",SUMIFS(Deductions!$D$5:$D$2000,Deductions!$B$5:$B$2000,$A403,Deductions!$E$5:$E$2000,"&gt;="&amp;Settings!$B$8,Deductions!$E$5:$E$2000,"&lt;="&amp;Settings!$B$9)-O403)</f>
        <v/>
      </c>
      <c r="Q403" s="26" t="str">
        <f aca="false">IF($A403="","",O403+P403)</f>
        <v/>
      </c>
      <c r="R403" s="23" t="str">
        <f aca="false">IF($A403="","",N403-Q403)</f>
        <v/>
      </c>
      <c r="S403" s="24" t="str">
        <f aca="false">IF($A403="","",INDEX(Workers!$O$5:$O$2004,MATCH($A403,Workers!$A$5:$A$2004,0))&amp;"")</f>
        <v/>
      </c>
      <c r="T403" s="24" t="str">
        <f aca="false">IF($A403="","",INDEX(Workers!$P$5:$P$2004,MATCH($A403,Workers!$A$5:$A$2004,0))&amp;"")</f>
        <v/>
      </c>
      <c r="U403" s="24" t="str">
        <f aca="false">IF($A403="","",INDEX(Workers!$H$5:$H$2004,MATCH($A403,Workers!$A$5:$A$2004,0))&amp;"")</f>
        <v/>
      </c>
    </row>
    <row r="404" customFormat="false" ht="15" hidden="false" customHeight="false" outlineLevel="0" collapsed="false">
      <c r="A404" s="24" t="str">
        <f aca="false">IFERROR(INDEX(Workers!$A$5:$A$2004,MATCH(ROW()-4,Workers!$U$5:$U$2004,0)),"")</f>
        <v/>
      </c>
      <c r="B404" s="24" t="str">
        <f aca="false">IF($A404="","",INDEX(Workers!$B$5:$B$2004,MATCH($A404,Workers!$A$5:$A$2004,0)))</f>
        <v/>
      </c>
      <c r="C404" s="24" t="str">
        <f aca="false">IF($A404="","",INDEX(Workers!$E$5:$E$2004,MATCH($A404,Workers!$A$5:$A$2004,0)))</f>
        <v/>
      </c>
      <c r="D404" s="24" t="str">
        <f aca="false">IF($A404="","",INDEX(Workers!$K$5:$K$2004,MATCH($A404,Workers!$A$5:$A$2004,0)))</f>
        <v/>
      </c>
      <c r="E404" s="25" t="str">
        <f aca="false">IF($A404="","",SUMIFS(Timesheet!$E$5:$E$3004,Timesheet!$D$5:$D$3004,$A404,Timesheet!$A$5:$A$3004,"&gt;="&amp;Settings!$B$8,Timesheet!$A$5:$A$3004,"&lt;="&amp;Settings!$B$9))</f>
        <v/>
      </c>
      <c r="F404" s="25" t="str">
        <f aca="false">IF($A404="","",SUMIFS(Timesheet!$F$5:$F$3004,Timesheet!$D$5:$D$3004,$A404,Timesheet!$A$5:$A$3004,"&gt;="&amp;Settings!$B$8,Timesheet!$A$5:$A$3004,"&lt;="&amp;Settings!$B$9))</f>
        <v/>
      </c>
      <c r="G404" s="25" t="str">
        <f aca="false">IF($A404="","",SUMIFS(Timesheet!$G$5:$G$3004,Timesheet!$D$5:$D$3004,$A404,Timesheet!$A$5:$A$3004,"&gt;="&amp;Settings!$B$8,Timesheet!$A$5:$A$3004,"&lt;="&amp;Settings!$B$9))</f>
        <v/>
      </c>
      <c r="H404" s="25" t="str">
        <f aca="false">IF($A404="","",IF(D404="Monthly",MAX(0,Settings!$B$11-E404),0))</f>
        <v/>
      </c>
      <c r="I404" s="26" t="str">
        <f aca="false">IF($A404="","",N(INDEX(Workers!$L$5:$L$2004,MATCH($A404,Workers!$A$5:$A$2004,0))))</f>
        <v/>
      </c>
      <c r="J404" s="26" t="str">
        <f aca="false">IF($A404="","",N(INDEX(Workers!$M$5:$M$2004,MATCH($A404,Workers!$A$5:$A$2004,0))))</f>
        <v/>
      </c>
      <c r="K404" s="26" t="str">
        <f aca="false">IF($A404="","",IF(D404="Monthly",ROUND(MAX(0,(I404+J404)-(I404+J404)/Settings!$B$10*H404),2),0))</f>
        <v/>
      </c>
      <c r="L404" s="26" t="str">
        <f aca="false">IF($A404="","",IF(D404="Hourly",ROUND(F404*N(INDEX(Workers!$N$5:$N$2004,MATCH($A404,Workers!$A$5:$A$2004,0))),2),0))</f>
        <v/>
      </c>
      <c r="M404" s="26" t="str">
        <f aca="false">IF($A404="","",ROUND(G404*IF(D404="Hourly",N(INDEX(Workers!$N$5:$N$2004,MATCH($A404,Workers!$A$5:$A$2004,0))),I404/Settings!$B$10/Settings!$B$12)*Settings!$B$13,2))</f>
        <v/>
      </c>
      <c r="N404" s="26" t="str">
        <f aca="false">IF($A404="","",K404+L404+M404)</f>
        <v/>
      </c>
      <c r="O404" s="26" t="str">
        <f aca="false">IF($A404="","",SUMIFS(Deductions!$D$5:$D$2000,Deductions!$B$5:$B$2000,$A404,Deductions!$C$5:$C$2000,"Advance",Deductions!$E$5:$E$2000,"&gt;="&amp;Settings!$B$8,Deductions!$E$5:$E$2000,"&lt;="&amp;Settings!$B$9))</f>
        <v/>
      </c>
      <c r="P404" s="26" t="str">
        <f aca="false">IF($A404="","",SUMIFS(Deductions!$D$5:$D$2000,Deductions!$B$5:$B$2000,$A404,Deductions!$E$5:$E$2000,"&gt;="&amp;Settings!$B$8,Deductions!$E$5:$E$2000,"&lt;="&amp;Settings!$B$9)-O404)</f>
        <v/>
      </c>
      <c r="Q404" s="26" t="str">
        <f aca="false">IF($A404="","",O404+P404)</f>
        <v/>
      </c>
      <c r="R404" s="23" t="str">
        <f aca="false">IF($A404="","",N404-Q404)</f>
        <v/>
      </c>
      <c r="S404" s="24" t="str">
        <f aca="false">IF($A404="","",INDEX(Workers!$O$5:$O$2004,MATCH($A404,Workers!$A$5:$A$2004,0))&amp;"")</f>
        <v/>
      </c>
      <c r="T404" s="24" t="str">
        <f aca="false">IF($A404="","",INDEX(Workers!$P$5:$P$2004,MATCH($A404,Workers!$A$5:$A$2004,0))&amp;"")</f>
        <v/>
      </c>
      <c r="U404" s="24" t="str">
        <f aca="false">IF($A404="","",INDEX(Workers!$H$5:$H$2004,MATCH($A404,Workers!$A$5:$A$2004,0))&amp;"")</f>
        <v/>
      </c>
    </row>
    <row r="405" customFormat="false" ht="15" hidden="false" customHeight="false" outlineLevel="0" collapsed="false">
      <c r="A405" s="24" t="str">
        <f aca="false">IFERROR(INDEX(Workers!$A$5:$A$2004,MATCH(ROW()-4,Workers!$U$5:$U$2004,0)),"")</f>
        <v/>
      </c>
      <c r="B405" s="24" t="str">
        <f aca="false">IF($A405="","",INDEX(Workers!$B$5:$B$2004,MATCH($A405,Workers!$A$5:$A$2004,0)))</f>
        <v/>
      </c>
      <c r="C405" s="24" t="str">
        <f aca="false">IF($A405="","",INDEX(Workers!$E$5:$E$2004,MATCH($A405,Workers!$A$5:$A$2004,0)))</f>
        <v/>
      </c>
      <c r="D405" s="24" t="str">
        <f aca="false">IF($A405="","",INDEX(Workers!$K$5:$K$2004,MATCH($A405,Workers!$A$5:$A$2004,0)))</f>
        <v/>
      </c>
      <c r="E405" s="25" t="str">
        <f aca="false">IF($A405="","",SUMIFS(Timesheet!$E$5:$E$3004,Timesheet!$D$5:$D$3004,$A405,Timesheet!$A$5:$A$3004,"&gt;="&amp;Settings!$B$8,Timesheet!$A$5:$A$3004,"&lt;="&amp;Settings!$B$9))</f>
        <v/>
      </c>
      <c r="F405" s="25" t="str">
        <f aca="false">IF($A405="","",SUMIFS(Timesheet!$F$5:$F$3004,Timesheet!$D$5:$D$3004,$A405,Timesheet!$A$5:$A$3004,"&gt;="&amp;Settings!$B$8,Timesheet!$A$5:$A$3004,"&lt;="&amp;Settings!$B$9))</f>
        <v/>
      </c>
      <c r="G405" s="25" t="str">
        <f aca="false">IF($A405="","",SUMIFS(Timesheet!$G$5:$G$3004,Timesheet!$D$5:$D$3004,$A405,Timesheet!$A$5:$A$3004,"&gt;="&amp;Settings!$B$8,Timesheet!$A$5:$A$3004,"&lt;="&amp;Settings!$B$9))</f>
        <v/>
      </c>
      <c r="H405" s="25" t="str">
        <f aca="false">IF($A405="","",IF(D405="Monthly",MAX(0,Settings!$B$11-E405),0))</f>
        <v/>
      </c>
      <c r="I405" s="26" t="str">
        <f aca="false">IF($A405="","",N(INDEX(Workers!$L$5:$L$2004,MATCH($A405,Workers!$A$5:$A$2004,0))))</f>
        <v/>
      </c>
      <c r="J405" s="26" t="str">
        <f aca="false">IF($A405="","",N(INDEX(Workers!$M$5:$M$2004,MATCH($A405,Workers!$A$5:$A$2004,0))))</f>
        <v/>
      </c>
      <c r="K405" s="26" t="str">
        <f aca="false">IF($A405="","",IF(D405="Monthly",ROUND(MAX(0,(I405+J405)-(I405+J405)/Settings!$B$10*H405),2),0))</f>
        <v/>
      </c>
      <c r="L405" s="26" t="str">
        <f aca="false">IF($A405="","",IF(D405="Hourly",ROUND(F405*N(INDEX(Workers!$N$5:$N$2004,MATCH($A405,Workers!$A$5:$A$2004,0))),2),0))</f>
        <v/>
      </c>
      <c r="M405" s="26" t="str">
        <f aca="false">IF($A405="","",ROUND(G405*IF(D405="Hourly",N(INDEX(Workers!$N$5:$N$2004,MATCH($A405,Workers!$A$5:$A$2004,0))),I405/Settings!$B$10/Settings!$B$12)*Settings!$B$13,2))</f>
        <v/>
      </c>
      <c r="N405" s="26" t="str">
        <f aca="false">IF($A405="","",K405+L405+M405)</f>
        <v/>
      </c>
      <c r="O405" s="26" t="str">
        <f aca="false">IF($A405="","",SUMIFS(Deductions!$D$5:$D$2000,Deductions!$B$5:$B$2000,$A405,Deductions!$C$5:$C$2000,"Advance",Deductions!$E$5:$E$2000,"&gt;="&amp;Settings!$B$8,Deductions!$E$5:$E$2000,"&lt;="&amp;Settings!$B$9))</f>
        <v/>
      </c>
      <c r="P405" s="26" t="str">
        <f aca="false">IF($A405="","",SUMIFS(Deductions!$D$5:$D$2000,Deductions!$B$5:$B$2000,$A405,Deductions!$E$5:$E$2000,"&gt;="&amp;Settings!$B$8,Deductions!$E$5:$E$2000,"&lt;="&amp;Settings!$B$9)-O405)</f>
        <v/>
      </c>
      <c r="Q405" s="26" t="str">
        <f aca="false">IF($A405="","",O405+P405)</f>
        <v/>
      </c>
      <c r="R405" s="23" t="str">
        <f aca="false">IF($A405="","",N405-Q405)</f>
        <v/>
      </c>
      <c r="S405" s="24" t="str">
        <f aca="false">IF($A405="","",INDEX(Workers!$O$5:$O$2004,MATCH($A405,Workers!$A$5:$A$2004,0))&amp;"")</f>
        <v/>
      </c>
      <c r="T405" s="24" t="str">
        <f aca="false">IF($A405="","",INDEX(Workers!$P$5:$P$2004,MATCH($A405,Workers!$A$5:$A$2004,0))&amp;"")</f>
        <v/>
      </c>
      <c r="U405" s="24" t="str">
        <f aca="false">IF($A405="","",INDEX(Workers!$H$5:$H$2004,MATCH($A405,Workers!$A$5:$A$2004,0))&amp;"")</f>
        <v/>
      </c>
    </row>
    <row r="406" customFormat="false" ht="15" hidden="false" customHeight="false" outlineLevel="0" collapsed="false">
      <c r="A406" s="24" t="str">
        <f aca="false">IFERROR(INDEX(Workers!$A$5:$A$2004,MATCH(ROW()-4,Workers!$U$5:$U$2004,0)),"")</f>
        <v/>
      </c>
      <c r="B406" s="24" t="str">
        <f aca="false">IF($A406="","",INDEX(Workers!$B$5:$B$2004,MATCH($A406,Workers!$A$5:$A$2004,0)))</f>
        <v/>
      </c>
      <c r="C406" s="24" t="str">
        <f aca="false">IF($A406="","",INDEX(Workers!$E$5:$E$2004,MATCH($A406,Workers!$A$5:$A$2004,0)))</f>
        <v/>
      </c>
      <c r="D406" s="24" t="str">
        <f aca="false">IF($A406="","",INDEX(Workers!$K$5:$K$2004,MATCH($A406,Workers!$A$5:$A$2004,0)))</f>
        <v/>
      </c>
      <c r="E406" s="25" t="str">
        <f aca="false">IF($A406="","",SUMIFS(Timesheet!$E$5:$E$3004,Timesheet!$D$5:$D$3004,$A406,Timesheet!$A$5:$A$3004,"&gt;="&amp;Settings!$B$8,Timesheet!$A$5:$A$3004,"&lt;="&amp;Settings!$B$9))</f>
        <v/>
      </c>
      <c r="F406" s="25" t="str">
        <f aca="false">IF($A406="","",SUMIFS(Timesheet!$F$5:$F$3004,Timesheet!$D$5:$D$3004,$A406,Timesheet!$A$5:$A$3004,"&gt;="&amp;Settings!$B$8,Timesheet!$A$5:$A$3004,"&lt;="&amp;Settings!$B$9))</f>
        <v/>
      </c>
      <c r="G406" s="25" t="str">
        <f aca="false">IF($A406="","",SUMIFS(Timesheet!$G$5:$G$3004,Timesheet!$D$5:$D$3004,$A406,Timesheet!$A$5:$A$3004,"&gt;="&amp;Settings!$B$8,Timesheet!$A$5:$A$3004,"&lt;="&amp;Settings!$B$9))</f>
        <v/>
      </c>
      <c r="H406" s="25" t="str">
        <f aca="false">IF($A406="","",IF(D406="Monthly",MAX(0,Settings!$B$11-E406),0))</f>
        <v/>
      </c>
      <c r="I406" s="26" t="str">
        <f aca="false">IF($A406="","",N(INDEX(Workers!$L$5:$L$2004,MATCH($A406,Workers!$A$5:$A$2004,0))))</f>
        <v/>
      </c>
      <c r="J406" s="26" t="str">
        <f aca="false">IF($A406="","",N(INDEX(Workers!$M$5:$M$2004,MATCH($A406,Workers!$A$5:$A$2004,0))))</f>
        <v/>
      </c>
      <c r="K406" s="26" t="str">
        <f aca="false">IF($A406="","",IF(D406="Monthly",ROUND(MAX(0,(I406+J406)-(I406+J406)/Settings!$B$10*H406),2),0))</f>
        <v/>
      </c>
      <c r="L406" s="26" t="str">
        <f aca="false">IF($A406="","",IF(D406="Hourly",ROUND(F406*N(INDEX(Workers!$N$5:$N$2004,MATCH($A406,Workers!$A$5:$A$2004,0))),2),0))</f>
        <v/>
      </c>
      <c r="M406" s="26" t="str">
        <f aca="false">IF($A406="","",ROUND(G406*IF(D406="Hourly",N(INDEX(Workers!$N$5:$N$2004,MATCH($A406,Workers!$A$5:$A$2004,0))),I406/Settings!$B$10/Settings!$B$12)*Settings!$B$13,2))</f>
        <v/>
      </c>
      <c r="N406" s="26" t="str">
        <f aca="false">IF($A406="","",K406+L406+M406)</f>
        <v/>
      </c>
      <c r="O406" s="26" t="str">
        <f aca="false">IF($A406="","",SUMIFS(Deductions!$D$5:$D$2000,Deductions!$B$5:$B$2000,$A406,Deductions!$C$5:$C$2000,"Advance",Deductions!$E$5:$E$2000,"&gt;="&amp;Settings!$B$8,Deductions!$E$5:$E$2000,"&lt;="&amp;Settings!$B$9))</f>
        <v/>
      </c>
      <c r="P406" s="26" t="str">
        <f aca="false">IF($A406="","",SUMIFS(Deductions!$D$5:$D$2000,Deductions!$B$5:$B$2000,$A406,Deductions!$E$5:$E$2000,"&gt;="&amp;Settings!$B$8,Deductions!$E$5:$E$2000,"&lt;="&amp;Settings!$B$9)-O406)</f>
        <v/>
      </c>
      <c r="Q406" s="26" t="str">
        <f aca="false">IF($A406="","",O406+P406)</f>
        <v/>
      </c>
      <c r="R406" s="23" t="str">
        <f aca="false">IF($A406="","",N406-Q406)</f>
        <v/>
      </c>
      <c r="S406" s="24" t="str">
        <f aca="false">IF($A406="","",INDEX(Workers!$O$5:$O$2004,MATCH($A406,Workers!$A$5:$A$2004,0))&amp;"")</f>
        <v/>
      </c>
      <c r="T406" s="24" t="str">
        <f aca="false">IF($A406="","",INDEX(Workers!$P$5:$P$2004,MATCH($A406,Workers!$A$5:$A$2004,0))&amp;"")</f>
        <v/>
      </c>
      <c r="U406" s="24" t="str">
        <f aca="false">IF($A406="","",INDEX(Workers!$H$5:$H$2004,MATCH($A406,Workers!$A$5:$A$2004,0))&amp;"")</f>
        <v/>
      </c>
    </row>
    <row r="407" customFormat="false" ht="15" hidden="false" customHeight="false" outlineLevel="0" collapsed="false">
      <c r="A407" s="24" t="str">
        <f aca="false">IFERROR(INDEX(Workers!$A$5:$A$2004,MATCH(ROW()-4,Workers!$U$5:$U$2004,0)),"")</f>
        <v/>
      </c>
      <c r="B407" s="24" t="str">
        <f aca="false">IF($A407="","",INDEX(Workers!$B$5:$B$2004,MATCH($A407,Workers!$A$5:$A$2004,0)))</f>
        <v/>
      </c>
      <c r="C407" s="24" t="str">
        <f aca="false">IF($A407="","",INDEX(Workers!$E$5:$E$2004,MATCH($A407,Workers!$A$5:$A$2004,0)))</f>
        <v/>
      </c>
      <c r="D407" s="24" t="str">
        <f aca="false">IF($A407="","",INDEX(Workers!$K$5:$K$2004,MATCH($A407,Workers!$A$5:$A$2004,0)))</f>
        <v/>
      </c>
      <c r="E407" s="25" t="str">
        <f aca="false">IF($A407="","",SUMIFS(Timesheet!$E$5:$E$3004,Timesheet!$D$5:$D$3004,$A407,Timesheet!$A$5:$A$3004,"&gt;="&amp;Settings!$B$8,Timesheet!$A$5:$A$3004,"&lt;="&amp;Settings!$B$9))</f>
        <v/>
      </c>
      <c r="F407" s="25" t="str">
        <f aca="false">IF($A407="","",SUMIFS(Timesheet!$F$5:$F$3004,Timesheet!$D$5:$D$3004,$A407,Timesheet!$A$5:$A$3004,"&gt;="&amp;Settings!$B$8,Timesheet!$A$5:$A$3004,"&lt;="&amp;Settings!$B$9))</f>
        <v/>
      </c>
      <c r="G407" s="25" t="str">
        <f aca="false">IF($A407="","",SUMIFS(Timesheet!$G$5:$G$3004,Timesheet!$D$5:$D$3004,$A407,Timesheet!$A$5:$A$3004,"&gt;="&amp;Settings!$B$8,Timesheet!$A$5:$A$3004,"&lt;="&amp;Settings!$B$9))</f>
        <v/>
      </c>
      <c r="H407" s="25" t="str">
        <f aca="false">IF($A407="","",IF(D407="Monthly",MAX(0,Settings!$B$11-E407),0))</f>
        <v/>
      </c>
      <c r="I407" s="26" t="str">
        <f aca="false">IF($A407="","",N(INDEX(Workers!$L$5:$L$2004,MATCH($A407,Workers!$A$5:$A$2004,0))))</f>
        <v/>
      </c>
      <c r="J407" s="26" t="str">
        <f aca="false">IF($A407="","",N(INDEX(Workers!$M$5:$M$2004,MATCH($A407,Workers!$A$5:$A$2004,0))))</f>
        <v/>
      </c>
      <c r="K407" s="26" t="str">
        <f aca="false">IF($A407="","",IF(D407="Monthly",ROUND(MAX(0,(I407+J407)-(I407+J407)/Settings!$B$10*H407),2),0))</f>
        <v/>
      </c>
      <c r="L407" s="26" t="str">
        <f aca="false">IF($A407="","",IF(D407="Hourly",ROUND(F407*N(INDEX(Workers!$N$5:$N$2004,MATCH($A407,Workers!$A$5:$A$2004,0))),2),0))</f>
        <v/>
      </c>
      <c r="M407" s="26" t="str">
        <f aca="false">IF($A407="","",ROUND(G407*IF(D407="Hourly",N(INDEX(Workers!$N$5:$N$2004,MATCH($A407,Workers!$A$5:$A$2004,0))),I407/Settings!$B$10/Settings!$B$12)*Settings!$B$13,2))</f>
        <v/>
      </c>
      <c r="N407" s="26" t="str">
        <f aca="false">IF($A407="","",K407+L407+M407)</f>
        <v/>
      </c>
      <c r="O407" s="26" t="str">
        <f aca="false">IF($A407="","",SUMIFS(Deductions!$D$5:$D$2000,Deductions!$B$5:$B$2000,$A407,Deductions!$C$5:$C$2000,"Advance",Deductions!$E$5:$E$2000,"&gt;="&amp;Settings!$B$8,Deductions!$E$5:$E$2000,"&lt;="&amp;Settings!$B$9))</f>
        <v/>
      </c>
      <c r="P407" s="26" t="str">
        <f aca="false">IF($A407="","",SUMIFS(Deductions!$D$5:$D$2000,Deductions!$B$5:$B$2000,$A407,Deductions!$E$5:$E$2000,"&gt;="&amp;Settings!$B$8,Deductions!$E$5:$E$2000,"&lt;="&amp;Settings!$B$9)-O407)</f>
        <v/>
      </c>
      <c r="Q407" s="26" t="str">
        <f aca="false">IF($A407="","",O407+P407)</f>
        <v/>
      </c>
      <c r="R407" s="23" t="str">
        <f aca="false">IF($A407="","",N407-Q407)</f>
        <v/>
      </c>
      <c r="S407" s="24" t="str">
        <f aca="false">IF($A407="","",INDEX(Workers!$O$5:$O$2004,MATCH($A407,Workers!$A$5:$A$2004,0))&amp;"")</f>
        <v/>
      </c>
      <c r="T407" s="24" t="str">
        <f aca="false">IF($A407="","",INDEX(Workers!$P$5:$P$2004,MATCH($A407,Workers!$A$5:$A$2004,0))&amp;"")</f>
        <v/>
      </c>
      <c r="U407" s="24" t="str">
        <f aca="false">IF($A407="","",INDEX(Workers!$H$5:$H$2004,MATCH($A407,Workers!$A$5:$A$2004,0))&amp;"")</f>
        <v/>
      </c>
    </row>
    <row r="408" customFormat="false" ht="15" hidden="false" customHeight="false" outlineLevel="0" collapsed="false">
      <c r="A408" s="24" t="str">
        <f aca="false">IFERROR(INDEX(Workers!$A$5:$A$2004,MATCH(ROW()-4,Workers!$U$5:$U$2004,0)),"")</f>
        <v/>
      </c>
      <c r="B408" s="24" t="str">
        <f aca="false">IF($A408="","",INDEX(Workers!$B$5:$B$2004,MATCH($A408,Workers!$A$5:$A$2004,0)))</f>
        <v/>
      </c>
      <c r="C408" s="24" t="str">
        <f aca="false">IF($A408="","",INDEX(Workers!$E$5:$E$2004,MATCH($A408,Workers!$A$5:$A$2004,0)))</f>
        <v/>
      </c>
      <c r="D408" s="24" t="str">
        <f aca="false">IF($A408="","",INDEX(Workers!$K$5:$K$2004,MATCH($A408,Workers!$A$5:$A$2004,0)))</f>
        <v/>
      </c>
      <c r="E408" s="25" t="str">
        <f aca="false">IF($A408="","",SUMIFS(Timesheet!$E$5:$E$3004,Timesheet!$D$5:$D$3004,$A408,Timesheet!$A$5:$A$3004,"&gt;="&amp;Settings!$B$8,Timesheet!$A$5:$A$3004,"&lt;="&amp;Settings!$B$9))</f>
        <v/>
      </c>
      <c r="F408" s="25" t="str">
        <f aca="false">IF($A408="","",SUMIFS(Timesheet!$F$5:$F$3004,Timesheet!$D$5:$D$3004,$A408,Timesheet!$A$5:$A$3004,"&gt;="&amp;Settings!$B$8,Timesheet!$A$5:$A$3004,"&lt;="&amp;Settings!$B$9))</f>
        <v/>
      </c>
      <c r="G408" s="25" t="str">
        <f aca="false">IF($A408="","",SUMIFS(Timesheet!$G$5:$G$3004,Timesheet!$D$5:$D$3004,$A408,Timesheet!$A$5:$A$3004,"&gt;="&amp;Settings!$B$8,Timesheet!$A$5:$A$3004,"&lt;="&amp;Settings!$B$9))</f>
        <v/>
      </c>
      <c r="H408" s="25" t="str">
        <f aca="false">IF($A408="","",IF(D408="Monthly",MAX(0,Settings!$B$11-E408),0))</f>
        <v/>
      </c>
      <c r="I408" s="26" t="str">
        <f aca="false">IF($A408="","",N(INDEX(Workers!$L$5:$L$2004,MATCH($A408,Workers!$A$5:$A$2004,0))))</f>
        <v/>
      </c>
      <c r="J408" s="26" t="str">
        <f aca="false">IF($A408="","",N(INDEX(Workers!$M$5:$M$2004,MATCH($A408,Workers!$A$5:$A$2004,0))))</f>
        <v/>
      </c>
      <c r="K408" s="26" t="str">
        <f aca="false">IF($A408="","",IF(D408="Monthly",ROUND(MAX(0,(I408+J408)-(I408+J408)/Settings!$B$10*H408),2),0))</f>
        <v/>
      </c>
      <c r="L408" s="26" t="str">
        <f aca="false">IF($A408="","",IF(D408="Hourly",ROUND(F408*N(INDEX(Workers!$N$5:$N$2004,MATCH($A408,Workers!$A$5:$A$2004,0))),2),0))</f>
        <v/>
      </c>
      <c r="M408" s="26" t="str">
        <f aca="false">IF($A408="","",ROUND(G408*IF(D408="Hourly",N(INDEX(Workers!$N$5:$N$2004,MATCH($A408,Workers!$A$5:$A$2004,0))),I408/Settings!$B$10/Settings!$B$12)*Settings!$B$13,2))</f>
        <v/>
      </c>
      <c r="N408" s="26" t="str">
        <f aca="false">IF($A408="","",K408+L408+M408)</f>
        <v/>
      </c>
      <c r="O408" s="26" t="str">
        <f aca="false">IF($A408="","",SUMIFS(Deductions!$D$5:$D$2000,Deductions!$B$5:$B$2000,$A408,Deductions!$C$5:$C$2000,"Advance",Deductions!$E$5:$E$2000,"&gt;="&amp;Settings!$B$8,Deductions!$E$5:$E$2000,"&lt;="&amp;Settings!$B$9))</f>
        <v/>
      </c>
      <c r="P408" s="26" t="str">
        <f aca="false">IF($A408="","",SUMIFS(Deductions!$D$5:$D$2000,Deductions!$B$5:$B$2000,$A408,Deductions!$E$5:$E$2000,"&gt;="&amp;Settings!$B$8,Deductions!$E$5:$E$2000,"&lt;="&amp;Settings!$B$9)-O408)</f>
        <v/>
      </c>
      <c r="Q408" s="26" t="str">
        <f aca="false">IF($A408="","",O408+P408)</f>
        <v/>
      </c>
      <c r="R408" s="23" t="str">
        <f aca="false">IF($A408="","",N408-Q408)</f>
        <v/>
      </c>
      <c r="S408" s="24" t="str">
        <f aca="false">IF($A408="","",INDEX(Workers!$O$5:$O$2004,MATCH($A408,Workers!$A$5:$A$2004,0))&amp;"")</f>
        <v/>
      </c>
      <c r="T408" s="24" t="str">
        <f aca="false">IF($A408="","",INDEX(Workers!$P$5:$P$2004,MATCH($A408,Workers!$A$5:$A$2004,0))&amp;"")</f>
        <v/>
      </c>
      <c r="U408" s="24" t="str">
        <f aca="false">IF($A408="","",INDEX(Workers!$H$5:$H$2004,MATCH($A408,Workers!$A$5:$A$2004,0))&amp;"")</f>
        <v/>
      </c>
    </row>
    <row r="409" customFormat="false" ht="15" hidden="false" customHeight="false" outlineLevel="0" collapsed="false">
      <c r="A409" s="24" t="str">
        <f aca="false">IFERROR(INDEX(Workers!$A$5:$A$2004,MATCH(ROW()-4,Workers!$U$5:$U$2004,0)),"")</f>
        <v/>
      </c>
      <c r="B409" s="24" t="str">
        <f aca="false">IF($A409="","",INDEX(Workers!$B$5:$B$2004,MATCH($A409,Workers!$A$5:$A$2004,0)))</f>
        <v/>
      </c>
      <c r="C409" s="24" t="str">
        <f aca="false">IF($A409="","",INDEX(Workers!$E$5:$E$2004,MATCH($A409,Workers!$A$5:$A$2004,0)))</f>
        <v/>
      </c>
      <c r="D409" s="24" t="str">
        <f aca="false">IF($A409="","",INDEX(Workers!$K$5:$K$2004,MATCH($A409,Workers!$A$5:$A$2004,0)))</f>
        <v/>
      </c>
      <c r="E409" s="25" t="str">
        <f aca="false">IF($A409="","",SUMIFS(Timesheet!$E$5:$E$3004,Timesheet!$D$5:$D$3004,$A409,Timesheet!$A$5:$A$3004,"&gt;="&amp;Settings!$B$8,Timesheet!$A$5:$A$3004,"&lt;="&amp;Settings!$B$9))</f>
        <v/>
      </c>
      <c r="F409" s="25" t="str">
        <f aca="false">IF($A409="","",SUMIFS(Timesheet!$F$5:$F$3004,Timesheet!$D$5:$D$3004,$A409,Timesheet!$A$5:$A$3004,"&gt;="&amp;Settings!$B$8,Timesheet!$A$5:$A$3004,"&lt;="&amp;Settings!$B$9))</f>
        <v/>
      </c>
      <c r="G409" s="25" t="str">
        <f aca="false">IF($A409="","",SUMIFS(Timesheet!$G$5:$G$3004,Timesheet!$D$5:$D$3004,$A409,Timesheet!$A$5:$A$3004,"&gt;="&amp;Settings!$B$8,Timesheet!$A$5:$A$3004,"&lt;="&amp;Settings!$B$9))</f>
        <v/>
      </c>
      <c r="H409" s="25" t="str">
        <f aca="false">IF($A409="","",IF(D409="Monthly",MAX(0,Settings!$B$11-E409),0))</f>
        <v/>
      </c>
      <c r="I409" s="26" t="str">
        <f aca="false">IF($A409="","",N(INDEX(Workers!$L$5:$L$2004,MATCH($A409,Workers!$A$5:$A$2004,0))))</f>
        <v/>
      </c>
      <c r="J409" s="26" t="str">
        <f aca="false">IF($A409="","",N(INDEX(Workers!$M$5:$M$2004,MATCH($A409,Workers!$A$5:$A$2004,0))))</f>
        <v/>
      </c>
      <c r="K409" s="26" t="str">
        <f aca="false">IF($A409="","",IF(D409="Monthly",ROUND(MAX(0,(I409+J409)-(I409+J409)/Settings!$B$10*H409),2),0))</f>
        <v/>
      </c>
      <c r="L409" s="26" t="str">
        <f aca="false">IF($A409="","",IF(D409="Hourly",ROUND(F409*N(INDEX(Workers!$N$5:$N$2004,MATCH($A409,Workers!$A$5:$A$2004,0))),2),0))</f>
        <v/>
      </c>
      <c r="M409" s="26" t="str">
        <f aca="false">IF($A409="","",ROUND(G409*IF(D409="Hourly",N(INDEX(Workers!$N$5:$N$2004,MATCH($A409,Workers!$A$5:$A$2004,0))),I409/Settings!$B$10/Settings!$B$12)*Settings!$B$13,2))</f>
        <v/>
      </c>
      <c r="N409" s="26" t="str">
        <f aca="false">IF($A409="","",K409+L409+M409)</f>
        <v/>
      </c>
      <c r="O409" s="26" t="str">
        <f aca="false">IF($A409="","",SUMIFS(Deductions!$D$5:$D$2000,Deductions!$B$5:$B$2000,$A409,Deductions!$C$5:$C$2000,"Advance",Deductions!$E$5:$E$2000,"&gt;="&amp;Settings!$B$8,Deductions!$E$5:$E$2000,"&lt;="&amp;Settings!$B$9))</f>
        <v/>
      </c>
      <c r="P409" s="26" t="str">
        <f aca="false">IF($A409="","",SUMIFS(Deductions!$D$5:$D$2000,Deductions!$B$5:$B$2000,$A409,Deductions!$E$5:$E$2000,"&gt;="&amp;Settings!$B$8,Deductions!$E$5:$E$2000,"&lt;="&amp;Settings!$B$9)-O409)</f>
        <v/>
      </c>
      <c r="Q409" s="26" t="str">
        <f aca="false">IF($A409="","",O409+P409)</f>
        <v/>
      </c>
      <c r="R409" s="23" t="str">
        <f aca="false">IF($A409="","",N409-Q409)</f>
        <v/>
      </c>
      <c r="S409" s="24" t="str">
        <f aca="false">IF($A409="","",INDEX(Workers!$O$5:$O$2004,MATCH($A409,Workers!$A$5:$A$2004,0))&amp;"")</f>
        <v/>
      </c>
      <c r="T409" s="24" t="str">
        <f aca="false">IF($A409="","",INDEX(Workers!$P$5:$P$2004,MATCH($A409,Workers!$A$5:$A$2004,0))&amp;"")</f>
        <v/>
      </c>
      <c r="U409" s="24" t="str">
        <f aca="false">IF($A409="","",INDEX(Workers!$H$5:$H$2004,MATCH($A409,Workers!$A$5:$A$2004,0))&amp;"")</f>
        <v/>
      </c>
    </row>
    <row r="410" customFormat="false" ht="15" hidden="false" customHeight="false" outlineLevel="0" collapsed="false">
      <c r="A410" s="24" t="str">
        <f aca="false">IFERROR(INDEX(Workers!$A$5:$A$2004,MATCH(ROW()-4,Workers!$U$5:$U$2004,0)),"")</f>
        <v/>
      </c>
      <c r="B410" s="24" t="str">
        <f aca="false">IF($A410="","",INDEX(Workers!$B$5:$B$2004,MATCH($A410,Workers!$A$5:$A$2004,0)))</f>
        <v/>
      </c>
      <c r="C410" s="24" t="str">
        <f aca="false">IF($A410="","",INDEX(Workers!$E$5:$E$2004,MATCH($A410,Workers!$A$5:$A$2004,0)))</f>
        <v/>
      </c>
      <c r="D410" s="24" t="str">
        <f aca="false">IF($A410="","",INDEX(Workers!$K$5:$K$2004,MATCH($A410,Workers!$A$5:$A$2004,0)))</f>
        <v/>
      </c>
      <c r="E410" s="25" t="str">
        <f aca="false">IF($A410="","",SUMIFS(Timesheet!$E$5:$E$3004,Timesheet!$D$5:$D$3004,$A410,Timesheet!$A$5:$A$3004,"&gt;="&amp;Settings!$B$8,Timesheet!$A$5:$A$3004,"&lt;="&amp;Settings!$B$9))</f>
        <v/>
      </c>
      <c r="F410" s="25" t="str">
        <f aca="false">IF($A410="","",SUMIFS(Timesheet!$F$5:$F$3004,Timesheet!$D$5:$D$3004,$A410,Timesheet!$A$5:$A$3004,"&gt;="&amp;Settings!$B$8,Timesheet!$A$5:$A$3004,"&lt;="&amp;Settings!$B$9))</f>
        <v/>
      </c>
      <c r="G410" s="25" t="str">
        <f aca="false">IF($A410="","",SUMIFS(Timesheet!$G$5:$G$3004,Timesheet!$D$5:$D$3004,$A410,Timesheet!$A$5:$A$3004,"&gt;="&amp;Settings!$B$8,Timesheet!$A$5:$A$3004,"&lt;="&amp;Settings!$B$9))</f>
        <v/>
      </c>
      <c r="H410" s="25" t="str">
        <f aca="false">IF($A410="","",IF(D410="Monthly",MAX(0,Settings!$B$11-E410),0))</f>
        <v/>
      </c>
      <c r="I410" s="26" t="str">
        <f aca="false">IF($A410="","",N(INDEX(Workers!$L$5:$L$2004,MATCH($A410,Workers!$A$5:$A$2004,0))))</f>
        <v/>
      </c>
      <c r="J410" s="26" t="str">
        <f aca="false">IF($A410="","",N(INDEX(Workers!$M$5:$M$2004,MATCH($A410,Workers!$A$5:$A$2004,0))))</f>
        <v/>
      </c>
      <c r="K410" s="26" t="str">
        <f aca="false">IF($A410="","",IF(D410="Monthly",ROUND(MAX(0,(I410+J410)-(I410+J410)/Settings!$B$10*H410),2),0))</f>
        <v/>
      </c>
      <c r="L410" s="26" t="str">
        <f aca="false">IF($A410="","",IF(D410="Hourly",ROUND(F410*N(INDEX(Workers!$N$5:$N$2004,MATCH($A410,Workers!$A$5:$A$2004,0))),2),0))</f>
        <v/>
      </c>
      <c r="M410" s="26" t="str">
        <f aca="false">IF($A410="","",ROUND(G410*IF(D410="Hourly",N(INDEX(Workers!$N$5:$N$2004,MATCH($A410,Workers!$A$5:$A$2004,0))),I410/Settings!$B$10/Settings!$B$12)*Settings!$B$13,2))</f>
        <v/>
      </c>
      <c r="N410" s="26" t="str">
        <f aca="false">IF($A410="","",K410+L410+M410)</f>
        <v/>
      </c>
      <c r="O410" s="26" t="str">
        <f aca="false">IF($A410="","",SUMIFS(Deductions!$D$5:$D$2000,Deductions!$B$5:$B$2000,$A410,Deductions!$C$5:$C$2000,"Advance",Deductions!$E$5:$E$2000,"&gt;="&amp;Settings!$B$8,Deductions!$E$5:$E$2000,"&lt;="&amp;Settings!$B$9))</f>
        <v/>
      </c>
      <c r="P410" s="26" t="str">
        <f aca="false">IF($A410="","",SUMIFS(Deductions!$D$5:$D$2000,Deductions!$B$5:$B$2000,$A410,Deductions!$E$5:$E$2000,"&gt;="&amp;Settings!$B$8,Deductions!$E$5:$E$2000,"&lt;="&amp;Settings!$B$9)-O410)</f>
        <v/>
      </c>
      <c r="Q410" s="26" t="str">
        <f aca="false">IF($A410="","",O410+P410)</f>
        <v/>
      </c>
      <c r="R410" s="23" t="str">
        <f aca="false">IF($A410="","",N410-Q410)</f>
        <v/>
      </c>
      <c r="S410" s="24" t="str">
        <f aca="false">IF($A410="","",INDEX(Workers!$O$5:$O$2004,MATCH($A410,Workers!$A$5:$A$2004,0))&amp;"")</f>
        <v/>
      </c>
      <c r="T410" s="24" t="str">
        <f aca="false">IF($A410="","",INDEX(Workers!$P$5:$P$2004,MATCH($A410,Workers!$A$5:$A$2004,0))&amp;"")</f>
        <v/>
      </c>
      <c r="U410" s="24" t="str">
        <f aca="false">IF($A410="","",INDEX(Workers!$H$5:$H$2004,MATCH($A410,Workers!$A$5:$A$2004,0))&amp;"")</f>
        <v/>
      </c>
    </row>
    <row r="411" customFormat="false" ht="15" hidden="false" customHeight="false" outlineLevel="0" collapsed="false">
      <c r="A411" s="24" t="str">
        <f aca="false">IFERROR(INDEX(Workers!$A$5:$A$2004,MATCH(ROW()-4,Workers!$U$5:$U$2004,0)),"")</f>
        <v/>
      </c>
      <c r="B411" s="24" t="str">
        <f aca="false">IF($A411="","",INDEX(Workers!$B$5:$B$2004,MATCH($A411,Workers!$A$5:$A$2004,0)))</f>
        <v/>
      </c>
      <c r="C411" s="24" t="str">
        <f aca="false">IF($A411="","",INDEX(Workers!$E$5:$E$2004,MATCH($A411,Workers!$A$5:$A$2004,0)))</f>
        <v/>
      </c>
      <c r="D411" s="24" t="str">
        <f aca="false">IF($A411="","",INDEX(Workers!$K$5:$K$2004,MATCH($A411,Workers!$A$5:$A$2004,0)))</f>
        <v/>
      </c>
      <c r="E411" s="25" t="str">
        <f aca="false">IF($A411="","",SUMIFS(Timesheet!$E$5:$E$3004,Timesheet!$D$5:$D$3004,$A411,Timesheet!$A$5:$A$3004,"&gt;="&amp;Settings!$B$8,Timesheet!$A$5:$A$3004,"&lt;="&amp;Settings!$B$9))</f>
        <v/>
      </c>
      <c r="F411" s="25" t="str">
        <f aca="false">IF($A411="","",SUMIFS(Timesheet!$F$5:$F$3004,Timesheet!$D$5:$D$3004,$A411,Timesheet!$A$5:$A$3004,"&gt;="&amp;Settings!$B$8,Timesheet!$A$5:$A$3004,"&lt;="&amp;Settings!$B$9))</f>
        <v/>
      </c>
      <c r="G411" s="25" t="str">
        <f aca="false">IF($A411="","",SUMIFS(Timesheet!$G$5:$G$3004,Timesheet!$D$5:$D$3004,$A411,Timesheet!$A$5:$A$3004,"&gt;="&amp;Settings!$B$8,Timesheet!$A$5:$A$3004,"&lt;="&amp;Settings!$B$9))</f>
        <v/>
      </c>
      <c r="H411" s="25" t="str">
        <f aca="false">IF($A411="","",IF(D411="Monthly",MAX(0,Settings!$B$11-E411),0))</f>
        <v/>
      </c>
      <c r="I411" s="26" t="str">
        <f aca="false">IF($A411="","",N(INDEX(Workers!$L$5:$L$2004,MATCH($A411,Workers!$A$5:$A$2004,0))))</f>
        <v/>
      </c>
      <c r="J411" s="26" t="str">
        <f aca="false">IF($A411="","",N(INDEX(Workers!$M$5:$M$2004,MATCH($A411,Workers!$A$5:$A$2004,0))))</f>
        <v/>
      </c>
      <c r="K411" s="26" t="str">
        <f aca="false">IF($A411="","",IF(D411="Monthly",ROUND(MAX(0,(I411+J411)-(I411+J411)/Settings!$B$10*H411),2),0))</f>
        <v/>
      </c>
      <c r="L411" s="26" t="str">
        <f aca="false">IF($A411="","",IF(D411="Hourly",ROUND(F411*N(INDEX(Workers!$N$5:$N$2004,MATCH($A411,Workers!$A$5:$A$2004,0))),2),0))</f>
        <v/>
      </c>
      <c r="M411" s="26" t="str">
        <f aca="false">IF($A411="","",ROUND(G411*IF(D411="Hourly",N(INDEX(Workers!$N$5:$N$2004,MATCH($A411,Workers!$A$5:$A$2004,0))),I411/Settings!$B$10/Settings!$B$12)*Settings!$B$13,2))</f>
        <v/>
      </c>
      <c r="N411" s="26" t="str">
        <f aca="false">IF($A411="","",K411+L411+M411)</f>
        <v/>
      </c>
      <c r="O411" s="26" t="str">
        <f aca="false">IF($A411="","",SUMIFS(Deductions!$D$5:$D$2000,Deductions!$B$5:$B$2000,$A411,Deductions!$C$5:$C$2000,"Advance",Deductions!$E$5:$E$2000,"&gt;="&amp;Settings!$B$8,Deductions!$E$5:$E$2000,"&lt;="&amp;Settings!$B$9))</f>
        <v/>
      </c>
      <c r="P411" s="26" t="str">
        <f aca="false">IF($A411="","",SUMIFS(Deductions!$D$5:$D$2000,Deductions!$B$5:$B$2000,$A411,Deductions!$E$5:$E$2000,"&gt;="&amp;Settings!$B$8,Deductions!$E$5:$E$2000,"&lt;="&amp;Settings!$B$9)-O411)</f>
        <v/>
      </c>
      <c r="Q411" s="26" t="str">
        <f aca="false">IF($A411="","",O411+P411)</f>
        <v/>
      </c>
      <c r="R411" s="23" t="str">
        <f aca="false">IF($A411="","",N411-Q411)</f>
        <v/>
      </c>
      <c r="S411" s="24" t="str">
        <f aca="false">IF($A411="","",INDEX(Workers!$O$5:$O$2004,MATCH($A411,Workers!$A$5:$A$2004,0))&amp;"")</f>
        <v/>
      </c>
      <c r="T411" s="24" t="str">
        <f aca="false">IF($A411="","",INDEX(Workers!$P$5:$P$2004,MATCH($A411,Workers!$A$5:$A$2004,0))&amp;"")</f>
        <v/>
      </c>
      <c r="U411" s="24" t="str">
        <f aca="false">IF($A411="","",INDEX(Workers!$H$5:$H$2004,MATCH($A411,Workers!$A$5:$A$2004,0))&amp;"")</f>
        <v/>
      </c>
    </row>
    <row r="412" customFormat="false" ht="15" hidden="false" customHeight="false" outlineLevel="0" collapsed="false">
      <c r="A412" s="24" t="str">
        <f aca="false">IFERROR(INDEX(Workers!$A$5:$A$2004,MATCH(ROW()-4,Workers!$U$5:$U$2004,0)),"")</f>
        <v/>
      </c>
      <c r="B412" s="24" t="str">
        <f aca="false">IF($A412="","",INDEX(Workers!$B$5:$B$2004,MATCH($A412,Workers!$A$5:$A$2004,0)))</f>
        <v/>
      </c>
      <c r="C412" s="24" t="str">
        <f aca="false">IF($A412="","",INDEX(Workers!$E$5:$E$2004,MATCH($A412,Workers!$A$5:$A$2004,0)))</f>
        <v/>
      </c>
      <c r="D412" s="24" t="str">
        <f aca="false">IF($A412="","",INDEX(Workers!$K$5:$K$2004,MATCH($A412,Workers!$A$5:$A$2004,0)))</f>
        <v/>
      </c>
      <c r="E412" s="25" t="str">
        <f aca="false">IF($A412="","",SUMIFS(Timesheet!$E$5:$E$3004,Timesheet!$D$5:$D$3004,$A412,Timesheet!$A$5:$A$3004,"&gt;="&amp;Settings!$B$8,Timesheet!$A$5:$A$3004,"&lt;="&amp;Settings!$B$9))</f>
        <v/>
      </c>
      <c r="F412" s="25" t="str">
        <f aca="false">IF($A412="","",SUMIFS(Timesheet!$F$5:$F$3004,Timesheet!$D$5:$D$3004,$A412,Timesheet!$A$5:$A$3004,"&gt;="&amp;Settings!$B$8,Timesheet!$A$5:$A$3004,"&lt;="&amp;Settings!$B$9))</f>
        <v/>
      </c>
      <c r="G412" s="25" t="str">
        <f aca="false">IF($A412="","",SUMIFS(Timesheet!$G$5:$G$3004,Timesheet!$D$5:$D$3004,$A412,Timesheet!$A$5:$A$3004,"&gt;="&amp;Settings!$B$8,Timesheet!$A$5:$A$3004,"&lt;="&amp;Settings!$B$9))</f>
        <v/>
      </c>
      <c r="H412" s="25" t="str">
        <f aca="false">IF($A412="","",IF(D412="Monthly",MAX(0,Settings!$B$11-E412),0))</f>
        <v/>
      </c>
      <c r="I412" s="26" t="str">
        <f aca="false">IF($A412="","",N(INDEX(Workers!$L$5:$L$2004,MATCH($A412,Workers!$A$5:$A$2004,0))))</f>
        <v/>
      </c>
      <c r="J412" s="26" t="str">
        <f aca="false">IF($A412="","",N(INDEX(Workers!$M$5:$M$2004,MATCH($A412,Workers!$A$5:$A$2004,0))))</f>
        <v/>
      </c>
      <c r="K412" s="26" t="str">
        <f aca="false">IF($A412="","",IF(D412="Monthly",ROUND(MAX(0,(I412+J412)-(I412+J412)/Settings!$B$10*H412),2),0))</f>
        <v/>
      </c>
      <c r="L412" s="26" t="str">
        <f aca="false">IF($A412="","",IF(D412="Hourly",ROUND(F412*N(INDEX(Workers!$N$5:$N$2004,MATCH($A412,Workers!$A$5:$A$2004,0))),2),0))</f>
        <v/>
      </c>
      <c r="M412" s="26" t="str">
        <f aca="false">IF($A412="","",ROUND(G412*IF(D412="Hourly",N(INDEX(Workers!$N$5:$N$2004,MATCH($A412,Workers!$A$5:$A$2004,0))),I412/Settings!$B$10/Settings!$B$12)*Settings!$B$13,2))</f>
        <v/>
      </c>
      <c r="N412" s="26" t="str">
        <f aca="false">IF($A412="","",K412+L412+M412)</f>
        <v/>
      </c>
      <c r="O412" s="26" t="str">
        <f aca="false">IF($A412="","",SUMIFS(Deductions!$D$5:$D$2000,Deductions!$B$5:$B$2000,$A412,Deductions!$C$5:$C$2000,"Advance",Deductions!$E$5:$E$2000,"&gt;="&amp;Settings!$B$8,Deductions!$E$5:$E$2000,"&lt;="&amp;Settings!$B$9))</f>
        <v/>
      </c>
      <c r="P412" s="26" t="str">
        <f aca="false">IF($A412="","",SUMIFS(Deductions!$D$5:$D$2000,Deductions!$B$5:$B$2000,$A412,Deductions!$E$5:$E$2000,"&gt;="&amp;Settings!$B$8,Deductions!$E$5:$E$2000,"&lt;="&amp;Settings!$B$9)-O412)</f>
        <v/>
      </c>
      <c r="Q412" s="26" t="str">
        <f aca="false">IF($A412="","",O412+P412)</f>
        <v/>
      </c>
      <c r="R412" s="23" t="str">
        <f aca="false">IF($A412="","",N412-Q412)</f>
        <v/>
      </c>
      <c r="S412" s="24" t="str">
        <f aca="false">IF($A412="","",INDEX(Workers!$O$5:$O$2004,MATCH($A412,Workers!$A$5:$A$2004,0))&amp;"")</f>
        <v/>
      </c>
      <c r="T412" s="24" t="str">
        <f aca="false">IF($A412="","",INDEX(Workers!$P$5:$P$2004,MATCH($A412,Workers!$A$5:$A$2004,0))&amp;"")</f>
        <v/>
      </c>
      <c r="U412" s="24" t="str">
        <f aca="false">IF($A412="","",INDEX(Workers!$H$5:$H$2004,MATCH($A412,Workers!$A$5:$A$2004,0))&amp;"")</f>
        <v/>
      </c>
    </row>
    <row r="413" customFormat="false" ht="15" hidden="false" customHeight="false" outlineLevel="0" collapsed="false">
      <c r="A413" s="24" t="str">
        <f aca="false">IFERROR(INDEX(Workers!$A$5:$A$2004,MATCH(ROW()-4,Workers!$U$5:$U$2004,0)),"")</f>
        <v/>
      </c>
      <c r="B413" s="24" t="str">
        <f aca="false">IF($A413="","",INDEX(Workers!$B$5:$B$2004,MATCH($A413,Workers!$A$5:$A$2004,0)))</f>
        <v/>
      </c>
      <c r="C413" s="24" t="str">
        <f aca="false">IF($A413="","",INDEX(Workers!$E$5:$E$2004,MATCH($A413,Workers!$A$5:$A$2004,0)))</f>
        <v/>
      </c>
      <c r="D413" s="24" t="str">
        <f aca="false">IF($A413="","",INDEX(Workers!$K$5:$K$2004,MATCH($A413,Workers!$A$5:$A$2004,0)))</f>
        <v/>
      </c>
      <c r="E413" s="25" t="str">
        <f aca="false">IF($A413="","",SUMIFS(Timesheet!$E$5:$E$3004,Timesheet!$D$5:$D$3004,$A413,Timesheet!$A$5:$A$3004,"&gt;="&amp;Settings!$B$8,Timesheet!$A$5:$A$3004,"&lt;="&amp;Settings!$B$9))</f>
        <v/>
      </c>
      <c r="F413" s="25" t="str">
        <f aca="false">IF($A413="","",SUMIFS(Timesheet!$F$5:$F$3004,Timesheet!$D$5:$D$3004,$A413,Timesheet!$A$5:$A$3004,"&gt;="&amp;Settings!$B$8,Timesheet!$A$5:$A$3004,"&lt;="&amp;Settings!$B$9))</f>
        <v/>
      </c>
      <c r="G413" s="25" t="str">
        <f aca="false">IF($A413="","",SUMIFS(Timesheet!$G$5:$G$3004,Timesheet!$D$5:$D$3004,$A413,Timesheet!$A$5:$A$3004,"&gt;="&amp;Settings!$B$8,Timesheet!$A$5:$A$3004,"&lt;="&amp;Settings!$B$9))</f>
        <v/>
      </c>
      <c r="H413" s="25" t="str">
        <f aca="false">IF($A413="","",IF(D413="Monthly",MAX(0,Settings!$B$11-E413),0))</f>
        <v/>
      </c>
      <c r="I413" s="26" t="str">
        <f aca="false">IF($A413="","",N(INDEX(Workers!$L$5:$L$2004,MATCH($A413,Workers!$A$5:$A$2004,0))))</f>
        <v/>
      </c>
      <c r="J413" s="26" t="str">
        <f aca="false">IF($A413="","",N(INDEX(Workers!$M$5:$M$2004,MATCH($A413,Workers!$A$5:$A$2004,0))))</f>
        <v/>
      </c>
      <c r="K413" s="26" t="str">
        <f aca="false">IF($A413="","",IF(D413="Monthly",ROUND(MAX(0,(I413+J413)-(I413+J413)/Settings!$B$10*H413),2),0))</f>
        <v/>
      </c>
      <c r="L413" s="26" t="str">
        <f aca="false">IF($A413="","",IF(D413="Hourly",ROUND(F413*N(INDEX(Workers!$N$5:$N$2004,MATCH($A413,Workers!$A$5:$A$2004,0))),2),0))</f>
        <v/>
      </c>
      <c r="M413" s="26" t="str">
        <f aca="false">IF($A413="","",ROUND(G413*IF(D413="Hourly",N(INDEX(Workers!$N$5:$N$2004,MATCH($A413,Workers!$A$5:$A$2004,0))),I413/Settings!$B$10/Settings!$B$12)*Settings!$B$13,2))</f>
        <v/>
      </c>
      <c r="N413" s="26" t="str">
        <f aca="false">IF($A413="","",K413+L413+M413)</f>
        <v/>
      </c>
      <c r="O413" s="26" t="str">
        <f aca="false">IF($A413="","",SUMIFS(Deductions!$D$5:$D$2000,Deductions!$B$5:$B$2000,$A413,Deductions!$C$5:$C$2000,"Advance",Deductions!$E$5:$E$2000,"&gt;="&amp;Settings!$B$8,Deductions!$E$5:$E$2000,"&lt;="&amp;Settings!$B$9))</f>
        <v/>
      </c>
      <c r="P413" s="26" t="str">
        <f aca="false">IF($A413="","",SUMIFS(Deductions!$D$5:$D$2000,Deductions!$B$5:$B$2000,$A413,Deductions!$E$5:$E$2000,"&gt;="&amp;Settings!$B$8,Deductions!$E$5:$E$2000,"&lt;="&amp;Settings!$B$9)-O413)</f>
        <v/>
      </c>
      <c r="Q413" s="26" t="str">
        <f aca="false">IF($A413="","",O413+P413)</f>
        <v/>
      </c>
      <c r="R413" s="23" t="str">
        <f aca="false">IF($A413="","",N413-Q413)</f>
        <v/>
      </c>
      <c r="S413" s="24" t="str">
        <f aca="false">IF($A413="","",INDEX(Workers!$O$5:$O$2004,MATCH($A413,Workers!$A$5:$A$2004,0))&amp;"")</f>
        <v/>
      </c>
      <c r="T413" s="24" t="str">
        <f aca="false">IF($A413="","",INDEX(Workers!$P$5:$P$2004,MATCH($A413,Workers!$A$5:$A$2004,0))&amp;"")</f>
        <v/>
      </c>
      <c r="U413" s="24" t="str">
        <f aca="false">IF($A413="","",INDEX(Workers!$H$5:$H$2004,MATCH($A413,Workers!$A$5:$A$2004,0))&amp;"")</f>
        <v/>
      </c>
    </row>
    <row r="414" customFormat="false" ht="15" hidden="false" customHeight="false" outlineLevel="0" collapsed="false">
      <c r="A414" s="24" t="str">
        <f aca="false">IFERROR(INDEX(Workers!$A$5:$A$2004,MATCH(ROW()-4,Workers!$U$5:$U$2004,0)),"")</f>
        <v/>
      </c>
      <c r="B414" s="24" t="str">
        <f aca="false">IF($A414="","",INDEX(Workers!$B$5:$B$2004,MATCH($A414,Workers!$A$5:$A$2004,0)))</f>
        <v/>
      </c>
      <c r="C414" s="24" t="str">
        <f aca="false">IF($A414="","",INDEX(Workers!$E$5:$E$2004,MATCH($A414,Workers!$A$5:$A$2004,0)))</f>
        <v/>
      </c>
      <c r="D414" s="24" t="str">
        <f aca="false">IF($A414="","",INDEX(Workers!$K$5:$K$2004,MATCH($A414,Workers!$A$5:$A$2004,0)))</f>
        <v/>
      </c>
      <c r="E414" s="25" t="str">
        <f aca="false">IF($A414="","",SUMIFS(Timesheet!$E$5:$E$3004,Timesheet!$D$5:$D$3004,$A414,Timesheet!$A$5:$A$3004,"&gt;="&amp;Settings!$B$8,Timesheet!$A$5:$A$3004,"&lt;="&amp;Settings!$B$9))</f>
        <v/>
      </c>
      <c r="F414" s="25" t="str">
        <f aca="false">IF($A414="","",SUMIFS(Timesheet!$F$5:$F$3004,Timesheet!$D$5:$D$3004,$A414,Timesheet!$A$5:$A$3004,"&gt;="&amp;Settings!$B$8,Timesheet!$A$5:$A$3004,"&lt;="&amp;Settings!$B$9))</f>
        <v/>
      </c>
      <c r="G414" s="25" t="str">
        <f aca="false">IF($A414="","",SUMIFS(Timesheet!$G$5:$G$3004,Timesheet!$D$5:$D$3004,$A414,Timesheet!$A$5:$A$3004,"&gt;="&amp;Settings!$B$8,Timesheet!$A$5:$A$3004,"&lt;="&amp;Settings!$B$9))</f>
        <v/>
      </c>
      <c r="H414" s="25" t="str">
        <f aca="false">IF($A414="","",IF(D414="Monthly",MAX(0,Settings!$B$11-E414),0))</f>
        <v/>
      </c>
      <c r="I414" s="26" t="str">
        <f aca="false">IF($A414="","",N(INDEX(Workers!$L$5:$L$2004,MATCH($A414,Workers!$A$5:$A$2004,0))))</f>
        <v/>
      </c>
      <c r="J414" s="26" t="str">
        <f aca="false">IF($A414="","",N(INDEX(Workers!$M$5:$M$2004,MATCH($A414,Workers!$A$5:$A$2004,0))))</f>
        <v/>
      </c>
      <c r="K414" s="26" t="str">
        <f aca="false">IF($A414="","",IF(D414="Monthly",ROUND(MAX(0,(I414+J414)-(I414+J414)/Settings!$B$10*H414),2),0))</f>
        <v/>
      </c>
      <c r="L414" s="26" t="str">
        <f aca="false">IF($A414="","",IF(D414="Hourly",ROUND(F414*N(INDEX(Workers!$N$5:$N$2004,MATCH($A414,Workers!$A$5:$A$2004,0))),2),0))</f>
        <v/>
      </c>
      <c r="M414" s="26" t="str">
        <f aca="false">IF($A414="","",ROUND(G414*IF(D414="Hourly",N(INDEX(Workers!$N$5:$N$2004,MATCH($A414,Workers!$A$5:$A$2004,0))),I414/Settings!$B$10/Settings!$B$12)*Settings!$B$13,2))</f>
        <v/>
      </c>
      <c r="N414" s="26" t="str">
        <f aca="false">IF($A414="","",K414+L414+M414)</f>
        <v/>
      </c>
      <c r="O414" s="26" t="str">
        <f aca="false">IF($A414="","",SUMIFS(Deductions!$D$5:$D$2000,Deductions!$B$5:$B$2000,$A414,Deductions!$C$5:$C$2000,"Advance",Deductions!$E$5:$E$2000,"&gt;="&amp;Settings!$B$8,Deductions!$E$5:$E$2000,"&lt;="&amp;Settings!$B$9))</f>
        <v/>
      </c>
      <c r="P414" s="26" t="str">
        <f aca="false">IF($A414="","",SUMIFS(Deductions!$D$5:$D$2000,Deductions!$B$5:$B$2000,$A414,Deductions!$E$5:$E$2000,"&gt;="&amp;Settings!$B$8,Deductions!$E$5:$E$2000,"&lt;="&amp;Settings!$B$9)-O414)</f>
        <v/>
      </c>
      <c r="Q414" s="26" t="str">
        <f aca="false">IF($A414="","",O414+P414)</f>
        <v/>
      </c>
      <c r="R414" s="23" t="str">
        <f aca="false">IF($A414="","",N414-Q414)</f>
        <v/>
      </c>
      <c r="S414" s="24" t="str">
        <f aca="false">IF($A414="","",INDEX(Workers!$O$5:$O$2004,MATCH($A414,Workers!$A$5:$A$2004,0))&amp;"")</f>
        <v/>
      </c>
      <c r="T414" s="24" t="str">
        <f aca="false">IF($A414="","",INDEX(Workers!$P$5:$P$2004,MATCH($A414,Workers!$A$5:$A$2004,0))&amp;"")</f>
        <v/>
      </c>
      <c r="U414" s="24" t="str">
        <f aca="false">IF($A414="","",INDEX(Workers!$H$5:$H$2004,MATCH($A414,Workers!$A$5:$A$2004,0))&amp;"")</f>
        <v/>
      </c>
    </row>
    <row r="415" customFormat="false" ht="15" hidden="false" customHeight="false" outlineLevel="0" collapsed="false">
      <c r="A415" s="24" t="str">
        <f aca="false">IFERROR(INDEX(Workers!$A$5:$A$2004,MATCH(ROW()-4,Workers!$U$5:$U$2004,0)),"")</f>
        <v/>
      </c>
      <c r="B415" s="24" t="str">
        <f aca="false">IF($A415="","",INDEX(Workers!$B$5:$B$2004,MATCH($A415,Workers!$A$5:$A$2004,0)))</f>
        <v/>
      </c>
      <c r="C415" s="24" t="str">
        <f aca="false">IF($A415="","",INDEX(Workers!$E$5:$E$2004,MATCH($A415,Workers!$A$5:$A$2004,0)))</f>
        <v/>
      </c>
      <c r="D415" s="24" t="str">
        <f aca="false">IF($A415="","",INDEX(Workers!$K$5:$K$2004,MATCH($A415,Workers!$A$5:$A$2004,0)))</f>
        <v/>
      </c>
      <c r="E415" s="25" t="str">
        <f aca="false">IF($A415="","",SUMIFS(Timesheet!$E$5:$E$3004,Timesheet!$D$5:$D$3004,$A415,Timesheet!$A$5:$A$3004,"&gt;="&amp;Settings!$B$8,Timesheet!$A$5:$A$3004,"&lt;="&amp;Settings!$B$9))</f>
        <v/>
      </c>
      <c r="F415" s="25" t="str">
        <f aca="false">IF($A415="","",SUMIFS(Timesheet!$F$5:$F$3004,Timesheet!$D$5:$D$3004,$A415,Timesheet!$A$5:$A$3004,"&gt;="&amp;Settings!$B$8,Timesheet!$A$5:$A$3004,"&lt;="&amp;Settings!$B$9))</f>
        <v/>
      </c>
      <c r="G415" s="25" t="str">
        <f aca="false">IF($A415="","",SUMIFS(Timesheet!$G$5:$G$3004,Timesheet!$D$5:$D$3004,$A415,Timesheet!$A$5:$A$3004,"&gt;="&amp;Settings!$B$8,Timesheet!$A$5:$A$3004,"&lt;="&amp;Settings!$B$9))</f>
        <v/>
      </c>
      <c r="H415" s="25" t="str">
        <f aca="false">IF($A415="","",IF(D415="Monthly",MAX(0,Settings!$B$11-E415),0))</f>
        <v/>
      </c>
      <c r="I415" s="26" t="str">
        <f aca="false">IF($A415="","",N(INDEX(Workers!$L$5:$L$2004,MATCH($A415,Workers!$A$5:$A$2004,0))))</f>
        <v/>
      </c>
      <c r="J415" s="26" t="str">
        <f aca="false">IF($A415="","",N(INDEX(Workers!$M$5:$M$2004,MATCH($A415,Workers!$A$5:$A$2004,0))))</f>
        <v/>
      </c>
      <c r="K415" s="26" t="str">
        <f aca="false">IF($A415="","",IF(D415="Monthly",ROUND(MAX(0,(I415+J415)-(I415+J415)/Settings!$B$10*H415),2),0))</f>
        <v/>
      </c>
      <c r="L415" s="26" t="str">
        <f aca="false">IF($A415="","",IF(D415="Hourly",ROUND(F415*N(INDEX(Workers!$N$5:$N$2004,MATCH($A415,Workers!$A$5:$A$2004,0))),2),0))</f>
        <v/>
      </c>
      <c r="M415" s="26" t="str">
        <f aca="false">IF($A415="","",ROUND(G415*IF(D415="Hourly",N(INDEX(Workers!$N$5:$N$2004,MATCH($A415,Workers!$A$5:$A$2004,0))),I415/Settings!$B$10/Settings!$B$12)*Settings!$B$13,2))</f>
        <v/>
      </c>
      <c r="N415" s="26" t="str">
        <f aca="false">IF($A415="","",K415+L415+M415)</f>
        <v/>
      </c>
      <c r="O415" s="26" t="str">
        <f aca="false">IF($A415="","",SUMIFS(Deductions!$D$5:$D$2000,Deductions!$B$5:$B$2000,$A415,Deductions!$C$5:$C$2000,"Advance",Deductions!$E$5:$E$2000,"&gt;="&amp;Settings!$B$8,Deductions!$E$5:$E$2000,"&lt;="&amp;Settings!$B$9))</f>
        <v/>
      </c>
      <c r="P415" s="26" t="str">
        <f aca="false">IF($A415="","",SUMIFS(Deductions!$D$5:$D$2000,Deductions!$B$5:$B$2000,$A415,Deductions!$E$5:$E$2000,"&gt;="&amp;Settings!$B$8,Deductions!$E$5:$E$2000,"&lt;="&amp;Settings!$B$9)-O415)</f>
        <v/>
      </c>
      <c r="Q415" s="26" t="str">
        <f aca="false">IF($A415="","",O415+P415)</f>
        <v/>
      </c>
      <c r="R415" s="23" t="str">
        <f aca="false">IF($A415="","",N415-Q415)</f>
        <v/>
      </c>
      <c r="S415" s="24" t="str">
        <f aca="false">IF($A415="","",INDEX(Workers!$O$5:$O$2004,MATCH($A415,Workers!$A$5:$A$2004,0))&amp;"")</f>
        <v/>
      </c>
      <c r="T415" s="24" t="str">
        <f aca="false">IF($A415="","",INDEX(Workers!$P$5:$P$2004,MATCH($A415,Workers!$A$5:$A$2004,0))&amp;"")</f>
        <v/>
      </c>
      <c r="U415" s="24" t="str">
        <f aca="false">IF($A415="","",INDEX(Workers!$H$5:$H$2004,MATCH($A415,Workers!$A$5:$A$2004,0))&amp;"")</f>
        <v/>
      </c>
    </row>
    <row r="416" customFormat="false" ht="15" hidden="false" customHeight="false" outlineLevel="0" collapsed="false">
      <c r="A416" s="24" t="str">
        <f aca="false">IFERROR(INDEX(Workers!$A$5:$A$2004,MATCH(ROW()-4,Workers!$U$5:$U$2004,0)),"")</f>
        <v/>
      </c>
      <c r="B416" s="24" t="str">
        <f aca="false">IF($A416="","",INDEX(Workers!$B$5:$B$2004,MATCH($A416,Workers!$A$5:$A$2004,0)))</f>
        <v/>
      </c>
      <c r="C416" s="24" t="str">
        <f aca="false">IF($A416="","",INDEX(Workers!$E$5:$E$2004,MATCH($A416,Workers!$A$5:$A$2004,0)))</f>
        <v/>
      </c>
      <c r="D416" s="24" t="str">
        <f aca="false">IF($A416="","",INDEX(Workers!$K$5:$K$2004,MATCH($A416,Workers!$A$5:$A$2004,0)))</f>
        <v/>
      </c>
      <c r="E416" s="25" t="str">
        <f aca="false">IF($A416="","",SUMIFS(Timesheet!$E$5:$E$3004,Timesheet!$D$5:$D$3004,$A416,Timesheet!$A$5:$A$3004,"&gt;="&amp;Settings!$B$8,Timesheet!$A$5:$A$3004,"&lt;="&amp;Settings!$B$9))</f>
        <v/>
      </c>
      <c r="F416" s="25" t="str">
        <f aca="false">IF($A416="","",SUMIFS(Timesheet!$F$5:$F$3004,Timesheet!$D$5:$D$3004,$A416,Timesheet!$A$5:$A$3004,"&gt;="&amp;Settings!$B$8,Timesheet!$A$5:$A$3004,"&lt;="&amp;Settings!$B$9))</f>
        <v/>
      </c>
      <c r="G416" s="25" t="str">
        <f aca="false">IF($A416="","",SUMIFS(Timesheet!$G$5:$G$3004,Timesheet!$D$5:$D$3004,$A416,Timesheet!$A$5:$A$3004,"&gt;="&amp;Settings!$B$8,Timesheet!$A$5:$A$3004,"&lt;="&amp;Settings!$B$9))</f>
        <v/>
      </c>
      <c r="H416" s="25" t="str">
        <f aca="false">IF($A416="","",IF(D416="Monthly",MAX(0,Settings!$B$11-E416),0))</f>
        <v/>
      </c>
      <c r="I416" s="26" t="str">
        <f aca="false">IF($A416="","",N(INDEX(Workers!$L$5:$L$2004,MATCH($A416,Workers!$A$5:$A$2004,0))))</f>
        <v/>
      </c>
      <c r="J416" s="26" t="str">
        <f aca="false">IF($A416="","",N(INDEX(Workers!$M$5:$M$2004,MATCH($A416,Workers!$A$5:$A$2004,0))))</f>
        <v/>
      </c>
      <c r="K416" s="26" t="str">
        <f aca="false">IF($A416="","",IF(D416="Monthly",ROUND(MAX(0,(I416+J416)-(I416+J416)/Settings!$B$10*H416),2),0))</f>
        <v/>
      </c>
      <c r="L416" s="26" t="str">
        <f aca="false">IF($A416="","",IF(D416="Hourly",ROUND(F416*N(INDEX(Workers!$N$5:$N$2004,MATCH($A416,Workers!$A$5:$A$2004,0))),2),0))</f>
        <v/>
      </c>
      <c r="M416" s="26" t="str">
        <f aca="false">IF($A416="","",ROUND(G416*IF(D416="Hourly",N(INDEX(Workers!$N$5:$N$2004,MATCH($A416,Workers!$A$5:$A$2004,0))),I416/Settings!$B$10/Settings!$B$12)*Settings!$B$13,2))</f>
        <v/>
      </c>
      <c r="N416" s="26" t="str">
        <f aca="false">IF($A416="","",K416+L416+M416)</f>
        <v/>
      </c>
      <c r="O416" s="26" t="str">
        <f aca="false">IF($A416="","",SUMIFS(Deductions!$D$5:$D$2000,Deductions!$B$5:$B$2000,$A416,Deductions!$C$5:$C$2000,"Advance",Deductions!$E$5:$E$2000,"&gt;="&amp;Settings!$B$8,Deductions!$E$5:$E$2000,"&lt;="&amp;Settings!$B$9))</f>
        <v/>
      </c>
      <c r="P416" s="26" t="str">
        <f aca="false">IF($A416="","",SUMIFS(Deductions!$D$5:$D$2000,Deductions!$B$5:$B$2000,$A416,Deductions!$E$5:$E$2000,"&gt;="&amp;Settings!$B$8,Deductions!$E$5:$E$2000,"&lt;="&amp;Settings!$B$9)-O416)</f>
        <v/>
      </c>
      <c r="Q416" s="26" t="str">
        <f aca="false">IF($A416="","",O416+P416)</f>
        <v/>
      </c>
      <c r="R416" s="23" t="str">
        <f aca="false">IF($A416="","",N416-Q416)</f>
        <v/>
      </c>
      <c r="S416" s="24" t="str">
        <f aca="false">IF($A416="","",INDEX(Workers!$O$5:$O$2004,MATCH($A416,Workers!$A$5:$A$2004,0))&amp;"")</f>
        <v/>
      </c>
      <c r="T416" s="24" t="str">
        <f aca="false">IF($A416="","",INDEX(Workers!$P$5:$P$2004,MATCH($A416,Workers!$A$5:$A$2004,0))&amp;"")</f>
        <v/>
      </c>
      <c r="U416" s="24" t="str">
        <f aca="false">IF($A416="","",INDEX(Workers!$H$5:$H$2004,MATCH($A416,Workers!$A$5:$A$2004,0))&amp;"")</f>
        <v/>
      </c>
    </row>
    <row r="417" customFormat="false" ht="15" hidden="false" customHeight="false" outlineLevel="0" collapsed="false">
      <c r="A417" s="24" t="str">
        <f aca="false">IFERROR(INDEX(Workers!$A$5:$A$2004,MATCH(ROW()-4,Workers!$U$5:$U$2004,0)),"")</f>
        <v/>
      </c>
      <c r="B417" s="24" t="str">
        <f aca="false">IF($A417="","",INDEX(Workers!$B$5:$B$2004,MATCH($A417,Workers!$A$5:$A$2004,0)))</f>
        <v/>
      </c>
      <c r="C417" s="24" t="str">
        <f aca="false">IF($A417="","",INDEX(Workers!$E$5:$E$2004,MATCH($A417,Workers!$A$5:$A$2004,0)))</f>
        <v/>
      </c>
      <c r="D417" s="24" t="str">
        <f aca="false">IF($A417="","",INDEX(Workers!$K$5:$K$2004,MATCH($A417,Workers!$A$5:$A$2004,0)))</f>
        <v/>
      </c>
      <c r="E417" s="25" t="str">
        <f aca="false">IF($A417="","",SUMIFS(Timesheet!$E$5:$E$3004,Timesheet!$D$5:$D$3004,$A417,Timesheet!$A$5:$A$3004,"&gt;="&amp;Settings!$B$8,Timesheet!$A$5:$A$3004,"&lt;="&amp;Settings!$B$9))</f>
        <v/>
      </c>
      <c r="F417" s="25" t="str">
        <f aca="false">IF($A417="","",SUMIFS(Timesheet!$F$5:$F$3004,Timesheet!$D$5:$D$3004,$A417,Timesheet!$A$5:$A$3004,"&gt;="&amp;Settings!$B$8,Timesheet!$A$5:$A$3004,"&lt;="&amp;Settings!$B$9))</f>
        <v/>
      </c>
      <c r="G417" s="25" t="str">
        <f aca="false">IF($A417="","",SUMIFS(Timesheet!$G$5:$G$3004,Timesheet!$D$5:$D$3004,$A417,Timesheet!$A$5:$A$3004,"&gt;="&amp;Settings!$B$8,Timesheet!$A$5:$A$3004,"&lt;="&amp;Settings!$B$9))</f>
        <v/>
      </c>
      <c r="H417" s="25" t="str">
        <f aca="false">IF($A417="","",IF(D417="Monthly",MAX(0,Settings!$B$11-E417),0))</f>
        <v/>
      </c>
      <c r="I417" s="26" t="str">
        <f aca="false">IF($A417="","",N(INDEX(Workers!$L$5:$L$2004,MATCH($A417,Workers!$A$5:$A$2004,0))))</f>
        <v/>
      </c>
      <c r="J417" s="26" t="str">
        <f aca="false">IF($A417="","",N(INDEX(Workers!$M$5:$M$2004,MATCH($A417,Workers!$A$5:$A$2004,0))))</f>
        <v/>
      </c>
      <c r="K417" s="26" t="str">
        <f aca="false">IF($A417="","",IF(D417="Monthly",ROUND(MAX(0,(I417+J417)-(I417+J417)/Settings!$B$10*H417),2),0))</f>
        <v/>
      </c>
      <c r="L417" s="26" t="str">
        <f aca="false">IF($A417="","",IF(D417="Hourly",ROUND(F417*N(INDEX(Workers!$N$5:$N$2004,MATCH($A417,Workers!$A$5:$A$2004,0))),2),0))</f>
        <v/>
      </c>
      <c r="M417" s="26" t="str">
        <f aca="false">IF($A417="","",ROUND(G417*IF(D417="Hourly",N(INDEX(Workers!$N$5:$N$2004,MATCH($A417,Workers!$A$5:$A$2004,0))),I417/Settings!$B$10/Settings!$B$12)*Settings!$B$13,2))</f>
        <v/>
      </c>
      <c r="N417" s="26" t="str">
        <f aca="false">IF($A417="","",K417+L417+M417)</f>
        <v/>
      </c>
      <c r="O417" s="26" t="str">
        <f aca="false">IF($A417="","",SUMIFS(Deductions!$D$5:$D$2000,Deductions!$B$5:$B$2000,$A417,Deductions!$C$5:$C$2000,"Advance",Deductions!$E$5:$E$2000,"&gt;="&amp;Settings!$B$8,Deductions!$E$5:$E$2000,"&lt;="&amp;Settings!$B$9))</f>
        <v/>
      </c>
      <c r="P417" s="26" t="str">
        <f aca="false">IF($A417="","",SUMIFS(Deductions!$D$5:$D$2000,Deductions!$B$5:$B$2000,$A417,Deductions!$E$5:$E$2000,"&gt;="&amp;Settings!$B$8,Deductions!$E$5:$E$2000,"&lt;="&amp;Settings!$B$9)-O417)</f>
        <v/>
      </c>
      <c r="Q417" s="26" t="str">
        <f aca="false">IF($A417="","",O417+P417)</f>
        <v/>
      </c>
      <c r="R417" s="23" t="str">
        <f aca="false">IF($A417="","",N417-Q417)</f>
        <v/>
      </c>
      <c r="S417" s="24" t="str">
        <f aca="false">IF($A417="","",INDEX(Workers!$O$5:$O$2004,MATCH($A417,Workers!$A$5:$A$2004,0))&amp;"")</f>
        <v/>
      </c>
      <c r="T417" s="24" t="str">
        <f aca="false">IF($A417="","",INDEX(Workers!$P$5:$P$2004,MATCH($A417,Workers!$A$5:$A$2004,0))&amp;"")</f>
        <v/>
      </c>
      <c r="U417" s="24" t="str">
        <f aca="false">IF($A417="","",INDEX(Workers!$H$5:$H$2004,MATCH($A417,Workers!$A$5:$A$2004,0))&amp;"")</f>
        <v/>
      </c>
    </row>
    <row r="418" customFormat="false" ht="15" hidden="false" customHeight="false" outlineLevel="0" collapsed="false">
      <c r="A418" s="24" t="str">
        <f aca="false">IFERROR(INDEX(Workers!$A$5:$A$2004,MATCH(ROW()-4,Workers!$U$5:$U$2004,0)),"")</f>
        <v/>
      </c>
      <c r="B418" s="24" t="str">
        <f aca="false">IF($A418="","",INDEX(Workers!$B$5:$B$2004,MATCH($A418,Workers!$A$5:$A$2004,0)))</f>
        <v/>
      </c>
      <c r="C418" s="24" t="str">
        <f aca="false">IF($A418="","",INDEX(Workers!$E$5:$E$2004,MATCH($A418,Workers!$A$5:$A$2004,0)))</f>
        <v/>
      </c>
      <c r="D418" s="24" t="str">
        <f aca="false">IF($A418="","",INDEX(Workers!$K$5:$K$2004,MATCH($A418,Workers!$A$5:$A$2004,0)))</f>
        <v/>
      </c>
      <c r="E418" s="25" t="str">
        <f aca="false">IF($A418="","",SUMIFS(Timesheet!$E$5:$E$3004,Timesheet!$D$5:$D$3004,$A418,Timesheet!$A$5:$A$3004,"&gt;="&amp;Settings!$B$8,Timesheet!$A$5:$A$3004,"&lt;="&amp;Settings!$B$9))</f>
        <v/>
      </c>
      <c r="F418" s="25" t="str">
        <f aca="false">IF($A418="","",SUMIFS(Timesheet!$F$5:$F$3004,Timesheet!$D$5:$D$3004,$A418,Timesheet!$A$5:$A$3004,"&gt;="&amp;Settings!$B$8,Timesheet!$A$5:$A$3004,"&lt;="&amp;Settings!$B$9))</f>
        <v/>
      </c>
      <c r="G418" s="25" t="str">
        <f aca="false">IF($A418="","",SUMIFS(Timesheet!$G$5:$G$3004,Timesheet!$D$5:$D$3004,$A418,Timesheet!$A$5:$A$3004,"&gt;="&amp;Settings!$B$8,Timesheet!$A$5:$A$3004,"&lt;="&amp;Settings!$B$9))</f>
        <v/>
      </c>
      <c r="H418" s="25" t="str">
        <f aca="false">IF($A418="","",IF(D418="Monthly",MAX(0,Settings!$B$11-E418),0))</f>
        <v/>
      </c>
      <c r="I418" s="26" t="str">
        <f aca="false">IF($A418="","",N(INDEX(Workers!$L$5:$L$2004,MATCH($A418,Workers!$A$5:$A$2004,0))))</f>
        <v/>
      </c>
      <c r="J418" s="26" t="str">
        <f aca="false">IF($A418="","",N(INDEX(Workers!$M$5:$M$2004,MATCH($A418,Workers!$A$5:$A$2004,0))))</f>
        <v/>
      </c>
      <c r="K418" s="26" t="str">
        <f aca="false">IF($A418="","",IF(D418="Monthly",ROUND(MAX(0,(I418+J418)-(I418+J418)/Settings!$B$10*H418),2),0))</f>
        <v/>
      </c>
      <c r="L418" s="26" t="str">
        <f aca="false">IF($A418="","",IF(D418="Hourly",ROUND(F418*N(INDEX(Workers!$N$5:$N$2004,MATCH($A418,Workers!$A$5:$A$2004,0))),2),0))</f>
        <v/>
      </c>
      <c r="M418" s="26" t="str">
        <f aca="false">IF($A418="","",ROUND(G418*IF(D418="Hourly",N(INDEX(Workers!$N$5:$N$2004,MATCH($A418,Workers!$A$5:$A$2004,0))),I418/Settings!$B$10/Settings!$B$12)*Settings!$B$13,2))</f>
        <v/>
      </c>
      <c r="N418" s="26" t="str">
        <f aca="false">IF($A418="","",K418+L418+M418)</f>
        <v/>
      </c>
      <c r="O418" s="26" t="str">
        <f aca="false">IF($A418="","",SUMIFS(Deductions!$D$5:$D$2000,Deductions!$B$5:$B$2000,$A418,Deductions!$C$5:$C$2000,"Advance",Deductions!$E$5:$E$2000,"&gt;="&amp;Settings!$B$8,Deductions!$E$5:$E$2000,"&lt;="&amp;Settings!$B$9))</f>
        <v/>
      </c>
      <c r="P418" s="26" t="str">
        <f aca="false">IF($A418="","",SUMIFS(Deductions!$D$5:$D$2000,Deductions!$B$5:$B$2000,$A418,Deductions!$E$5:$E$2000,"&gt;="&amp;Settings!$B$8,Deductions!$E$5:$E$2000,"&lt;="&amp;Settings!$B$9)-O418)</f>
        <v/>
      </c>
      <c r="Q418" s="26" t="str">
        <f aca="false">IF($A418="","",O418+P418)</f>
        <v/>
      </c>
      <c r="R418" s="23" t="str">
        <f aca="false">IF($A418="","",N418-Q418)</f>
        <v/>
      </c>
      <c r="S418" s="24" t="str">
        <f aca="false">IF($A418="","",INDEX(Workers!$O$5:$O$2004,MATCH($A418,Workers!$A$5:$A$2004,0))&amp;"")</f>
        <v/>
      </c>
      <c r="T418" s="24" t="str">
        <f aca="false">IF($A418="","",INDEX(Workers!$P$5:$P$2004,MATCH($A418,Workers!$A$5:$A$2004,0))&amp;"")</f>
        <v/>
      </c>
      <c r="U418" s="24" t="str">
        <f aca="false">IF($A418="","",INDEX(Workers!$H$5:$H$2004,MATCH($A418,Workers!$A$5:$A$2004,0))&amp;"")</f>
        <v/>
      </c>
    </row>
    <row r="419" customFormat="false" ht="15" hidden="false" customHeight="false" outlineLevel="0" collapsed="false">
      <c r="A419" s="24" t="str">
        <f aca="false">IFERROR(INDEX(Workers!$A$5:$A$2004,MATCH(ROW()-4,Workers!$U$5:$U$2004,0)),"")</f>
        <v/>
      </c>
      <c r="B419" s="24" t="str">
        <f aca="false">IF($A419="","",INDEX(Workers!$B$5:$B$2004,MATCH($A419,Workers!$A$5:$A$2004,0)))</f>
        <v/>
      </c>
      <c r="C419" s="24" t="str">
        <f aca="false">IF($A419="","",INDEX(Workers!$E$5:$E$2004,MATCH($A419,Workers!$A$5:$A$2004,0)))</f>
        <v/>
      </c>
      <c r="D419" s="24" t="str">
        <f aca="false">IF($A419="","",INDEX(Workers!$K$5:$K$2004,MATCH($A419,Workers!$A$5:$A$2004,0)))</f>
        <v/>
      </c>
      <c r="E419" s="25" t="str">
        <f aca="false">IF($A419="","",SUMIFS(Timesheet!$E$5:$E$3004,Timesheet!$D$5:$D$3004,$A419,Timesheet!$A$5:$A$3004,"&gt;="&amp;Settings!$B$8,Timesheet!$A$5:$A$3004,"&lt;="&amp;Settings!$B$9))</f>
        <v/>
      </c>
      <c r="F419" s="25" t="str">
        <f aca="false">IF($A419="","",SUMIFS(Timesheet!$F$5:$F$3004,Timesheet!$D$5:$D$3004,$A419,Timesheet!$A$5:$A$3004,"&gt;="&amp;Settings!$B$8,Timesheet!$A$5:$A$3004,"&lt;="&amp;Settings!$B$9))</f>
        <v/>
      </c>
      <c r="G419" s="25" t="str">
        <f aca="false">IF($A419="","",SUMIFS(Timesheet!$G$5:$G$3004,Timesheet!$D$5:$D$3004,$A419,Timesheet!$A$5:$A$3004,"&gt;="&amp;Settings!$B$8,Timesheet!$A$5:$A$3004,"&lt;="&amp;Settings!$B$9))</f>
        <v/>
      </c>
      <c r="H419" s="25" t="str">
        <f aca="false">IF($A419="","",IF(D419="Monthly",MAX(0,Settings!$B$11-E419),0))</f>
        <v/>
      </c>
      <c r="I419" s="26" t="str">
        <f aca="false">IF($A419="","",N(INDEX(Workers!$L$5:$L$2004,MATCH($A419,Workers!$A$5:$A$2004,0))))</f>
        <v/>
      </c>
      <c r="J419" s="26" t="str">
        <f aca="false">IF($A419="","",N(INDEX(Workers!$M$5:$M$2004,MATCH($A419,Workers!$A$5:$A$2004,0))))</f>
        <v/>
      </c>
      <c r="K419" s="26" t="str">
        <f aca="false">IF($A419="","",IF(D419="Monthly",ROUND(MAX(0,(I419+J419)-(I419+J419)/Settings!$B$10*H419),2),0))</f>
        <v/>
      </c>
      <c r="L419" s="26" t="str">
        <f aca="false">IF($A419="","",IF(D419="Hourly",ROUND(F419*N(INDEX(Workers!$N$5:$N$2004,MATCH($A419,Workers!$A$5:$A$2004,0))),2),0))</f>
        <v/>
      </c>
      <c r="M419" s="26" t="str">
        <f aca="false">IF($A419="","",ROUND(G419*IF(D419="Hourly",N(INDEX(Workers!$N$5:$N$2004,MATCH($A419,Workers!$A$5:$A$2004,0))),I419/Settings!$B$10/Settings!$B$12)*Settings!$B$13,2))</f>
        <v/>
      </c>
      <c r="N419" s="26" t="str">
        <f aca="false">IF($A419="","",K419+L419+M419)</f>
        <v/>
      </c>
      <c r="O419" s="26" t="str">
        <f aca="false">IF($A419="","",SUMIFS(Deductions!$D$5:$D$2000,Deductions!$B$5:$B$2000,$A419,Deductions!$C$5:$C$2000,"Advance",Deductions!$E$5:$E$2000,"&gt;="&amp;Settings!$B$8,Deductions!$E$5:$E$2000,"&lt;="&amp;Settings!$B$9))</f>
        <v/>
      </c>
      <c r="P419" s="26" t="str">
        <f aca="false">IF($A419="","",SUMIFS(Deductions!$D$5:$D$2000,Deductions!$B$5:$B$2000,$A419,Deductions!$E$5:$E$2000,"&gt;="&amp;Settings!$B$8,Deductions!$E$5:$E$2000,"&lt;="&amp;Settings!$B$9)-O419)</f>
        <v/>
      </c>
      <c r="Q419" s="26" t="str">
        <f aca="false">IF($A419="","",O419+P419)</f>
        <v/>
      </c>
      <c r="R419" s="23" t="str">
        <f aca="false">IF($A419="","",N419-Q419)</f>
        <v/>
      </c>
      <c r="S419" s="24" t="str">
        <f aca="false">IF($A419="","",INDEX(Workers!$O$5:$O$2004,MATCH($A419,Workers!$A$5:$A$2004,0))&amp;"")</f>
        <v/>
      </c>
      <c r="T419" s="24" t="str">
        <f aca="false">IF($A419="","",INDEX(Workers!$P$5:$P$2004,MATCH($A419,Workers!$A$5:$A$2004,0))&amp;"")</f>
        <v/>
      </c>
      <c r="U419" s="24" t="str">
        <f aca="false">IF($A419="","",INDEX(Workers!$H$5:$H$2004,MATCH($A419,Workers!$A$5:$A$2004,0))&amp;"")</f>
        <v/>
      </c>
    </row>
    <row r="420" customFormat="false" ht="15" hidden="false" customHeight="false" outlineLevel="0" collapsed="false">
      <c r="A420" s="24" t="str">
        <f aca="false">IFERROR(INDEX(Workers!$A$5:$A$2004,MATCH(ROW()-4,Workers!$U$5:$U$2004,0)),"")</f>
        <v/>
      </c>
      <c r="B420" s="24" t="str">
        <f aca="false">IF($A420="","",INDEX(Workers!$B$5:$B$2004,MATCH($A420,Workers!$A$5:$A$2004,0)))</f>
        <v/>
      </c>
      <c r="C420" s="24" t="str">
        <f aca="false">IF($A420="","",INDEX(Workers!$E$5:$E$2004,MATCH($A420,Workers!$A$5:$A$2004,0)))</f>
        <v/>
      </c>
      <c r="D420" s="24" t="str">
        <f aca="false">IF($A420="","",INDEX(Workers!$K$5:$K$2004,MATCH($A420,Workers!$A$5:$A$2004,0)))</f>
        <v/>
      </c>
      <c r="E420" s="25" t="str">
        <f aca="false">IF($A420="","",SUMIFS(Timesheet!$E$5:$E$3004,Timesheet!$D$5:$D$3004,$A420,Timesheet!$A$5:$A$3004,"&gt;="&amp;Settings!$B$8,Timesheet!$A$5:$A$3004,"&lt;="&amp;Settings!$B$9))</f>
        <v/>
      </c>
      <c r="F420" s="25" t="str">
        <f aca="false">IF($A420="","",SUMIFS(Timesheet!$F$5:$F$3004,Timesheet!$D$5:$D$3004,$A420,Timesheet!$A$5:$A$3004,"&gt;="&amp;Settings!$B$8,Timesheet!$A$5:$A$3004,"&lt;="&amp;Settings!$B$9))</f>
        <v/>
      </c>
      <c r="G420" s="25" t="str">
        <f aca="false">IF($A420="","",SUMIFS(Timesheet!$G$5:$G$3004,Timesheet!$D$5:$D$3004,$A420,Timesheet!$A$5:$A$3004,"&gt;="&amp;Settings!$B$8,Timesheet!$A$5:$A$3004,"&lt;="&amp;Settings!$B$9))</f>
        <v/>
      </c>
      <c r="H420" s="25" t="str">
        <f aca="false">IF($A420="","",IF(D420="Monthly",MAX(0,Settings!$B$11-E420),0))</f>
        <v/>
      </c>
      <c r="I420" s="26" t="str">
        <f aca="false">IF($A420="","",N(INDEX(Workers!$L$5:$L$2004,MATCH($A420,Workers!$A$5:$A$2004,0))))</f>
        <v/>
      </c>
      <c r="J420" s="26" t="str">
        <f aca="false">IF($A420="","",N(INDEX(Workers!$M$5:$M$2004,MATCH($A420,Workers!$A$5:$A$2004,0))))</f>
        <v/>
      </c>
      <c r="K420" s="26" t="str">
        <f aca="false">IF($A420="","",IF(D420="Monthly",ROUND(MAX(0,(I420+J420)-(I420+J420)/Settings!$B$10*H420),2),0))</f>
        <v/>
      </c>
      <c r="L420" s="26" t="str">
        <f aca="false">IF($A420="","",IF(D420="Hourly",ROUND(F420*N(INDEX(Workers!$N$5:$N$2004,MATCH($A420,Workers!$A$5:$A$2004,0))),2),0))</f>
        <v/>
      </c>
      <c r="M420" s="26" t="str">
        <f aca="false">IF($A420="","",ROUND(G420*IF(D420="Hourly",N(INDEX(Workers!$N$5:$N$2004,MATCH($A420,Workers!$A$5:$A$2004,0))),I420/Settings!$B$10/Settings!$B$12)*Settings!$B$13,2))</f>
        <v/>
      </c>
      <c r="N420" s="26" t="str">
        <f aca="false">IF($A420="","",K420+L420+M420)</f>
        <v/>
      </c>
      <c r="O420" s="26" t="str">
        <f aca="false">IF($A420="","",SUMIFS(Deductions!$D$5:$D$2000,Deductions!$B$5:$B$2000,$A420,Deductions!$C$5:$C$2000,"Advance",Deductions!$E$5:$E$2000,"&gt;="&amp;Settings!$B$8,Deductions!$E$5:$E$2000,"&lt;="&amp;Settings!$B$9))</f>
        <v/>
      </c>
      <c r="P420" s="26" t="str">
        <f aca="false">IF($A420="","",SUMIFS(Deductions!$D$5:$D$2000,Deductions!$B$5:$B$2000,$A420,Deductions!$E$5:$E$2000,"&gt;="&amp;Settings!$B$8,Deductions!$E$5:$E$2000,"&lt;="&amp;Settings!$B$9)-O420)</f>
        <v/>
      </c>
      <c r="Q420" s="26" t="str">
        <f aca="false">IF($A420="","",O420+P420)</f>
        <v/>
      </c>
      <c r="R420" s="23" t="str">
        <f aca="false">IF($A420="","",N420-Q420)</f>
        <v/>
      </c>
      <c r="S420" s="24" t="str">
        <f aca="false">IF($A420="","",INDEX(Workers!$O$5:$O$2004,MATCH($A420,Workers!$A$5:$A$2004,0))&amp;"")</f>
        <v/>
      </c>
      <c r="T420" s="24" t="str">
        <f aca="false">IF($A420="","",INDEX(Workers!$P$5:$P$2004,MATCH($A420,Workers!$A$5:$A$2004,0))&amp;"")</f>
        <v/>
      </c>
      <c r="U420" s="24" t="str">
        <f aca="false">IF($A420="","",INDEX(Workers!$H$5:$H$2004,MATCH($A420,Workers!$A$5:$A$2004,0))&amp;"")</f>
        <v/>
      </c>
    </row>
    <row r="421" customFormat="false" ht="15" hidden="false" customHeight="false" outlineLevel="0" collapsed="false">
      <c r="A421" s="24" t="str">
        <f aca="false">IFERROR(INDEX(Workers!$A$5:$A$2004,MATCH(ROW()-4,Workers!$U$5:$U$2004,0)),"")</f>
        <v/>
      </c>
      <c r="B421" s="24" t="str">
        <f aca="false">IF($A421="","",INDEX(Workers!$B$5:$B$2004,MATCH($A421,Workers!$A$5:$A$2004,0)))</f>
        <v/>
      </c>
      <c r="C421" s="24" t="str">
        <f aca="false">IF($A421="","",INDEX(Workers!$E$5:$E$2004,MATCH($A421,Workers!$A$5:$A$2004,0)))</f>
        <v/>
      </c>
      <c r="D421" s="24" t="str">
        <f aca="false">IF($A421="","",INDEX(Workers!$K$5:$K$2004,MATCH($A421,Workers!$A$5:$A$2004,0)))</f>
        <v/>
      </c>
      <c r="E421" s="25" t="str">
        <f aca="false">IF($A421="","",SUMIFS(Timesheet!$E$5:$E$3004,Timesheet!$D$5:$D$3004,$A421,Timesheet!$A$5:$A$3004,"&gt;="&amp;Settings!$B$8,Timesheet!$A$5:$A$3004,"&lt;="&amp;Settings!$B$9))</f>
        <v/>
      </c>
      <c r="F421" s="25" t="str">
        <f aca="false">IF($A421="","",SUMIFS(Timesheet!$F$5:$F$3004,Timesheet!$D$5:$D$3004,$A421,Timesheet!$A$5:$A$3004,"&gt;="&amp;Settings!$B$8,Timesheet!$A$5:$A$3004,"&lt;="&amp;Settings!$B$9))</f>
        <v/>
      </c>
      <c r="G421" s="25" t="str">
        <f aca="false">IF($A421="","",SUMIFS(Timesheet!$G$5:$G$3004,Timesheet!$D$5:$D$3004,$A421,Timesheet!$A$5:$A$3004,"&gt;="&amp;Settings!$B$8,Timesheet!$A$5:$A$3004,"&lt;="&amp;Settings!$B$9))</f>
        <v/>
      </c>
      <c r="H421" s="25" t="str">
        <f aca="false">IF($A421="","",IF(D421="Monthly",MAX(0,Settings!$B$11-E421),0))</f>
        <v/>
      </c>
      <c r="I421" s="26" t="str">
        <f aca="false">IF($A421="","",N(INDEX(Workers!$L$5:$L$2004,MATCH($A421,Workers!$A$5:$A$2004,0))))</f>
        <v/>
      </c>
      <c r="J421" s="26" t="str">
        <f aca="false">IF($A421="","",N(INDEX(Workers!$M$5:$M$2004,MATCH($A421,Workers!$A$5:$A$2004,0))))</f>
        <v/>
      </c>
      <c r="K421" s="26" t="str">
        <f aca="false">IF($A421="","",IF(D421="Monthly",ROUND(MAX(0,(I421+J421)-(I421+J421)/Settings!$B$10*H421),2),0))</f>
        <v/>
      </c>
      <c r="L421" s="26" t="str">
        <f aca="false">IF($A421="","",IF(D421="Hourly",ROUND(F421*N(INDEX(Workers!$N$5:$N$2004,MATCH($A421,Workers!$A$5:$A$2004,0))),2),0))</f>
        <v/>
      </c>
      <c r="M421" s="26" t="str">
        <f aca="false">IF($A421="","",ROUND(G421*IF(D421="Hourly",N(INDEX(Workers!$N$5:$N$2004,MATCH($A421,Workers!$A$5:$A$2004,0))),I421/Settings!$B$10/Settings!$B$12)*Settings!$B$13,2))</f>
        <v/>
      </c>
      <c r="N421" s="26" t="str">
        <f aca="false">IF($A421="","",K421+L421+M421)</f>
        <v/>
      </c>
      <c r="O421" s="26" t="str">
        <f aca="false">IF($A421="","",SUMIFS(Deductions!$D$5:$D$2000,Deductions!$B$5:$B$2000,$A421,Deductions!$C$5:$C$2000,"Advance",Deductions!$E$5:$E$2000,"&gt;="&amp;Settings!$B$8,Deductions!$E$5:$E$2000,"&lt;="&amp;Settings!$B$9))</f>
        <v/>
      </c>
      <c r="P421" s="26" t="str">
        <f aca="false">IF($A421="","",SUMIFS(Deductions!$D$5:$D$2000,Deductions!$B$5:$B$2000,$A421,Deductions!$E$5:$E$2000,"&gt;="&amp;Settings!$B$8,Deductions!$E$5:$E$2000,"&lt;="&amp;Settings!$B$9)-O421)</f>
        <v/>
      </c>
      <c r="Q421" s="26" t="str">
        <f aca="false">IF($A421="","",O421+P421)</f>
        <v/>
      </c>
      <c r="R421" s="23" t="str">
        <f aca="false">IF($A421="","",N421-Q421)</f>
        <v/>
      </c>
      <c r="S421" s="24" t="str">
        <f aca="false">IF($A421="","",INDEX(Workers!$O$5:$O$2004,MATCH($A421,Workers!$A$5:$A$2004,0))&amp;"")</f>
        <v/>
      </c>
      <c r="T421" s="24" t="str">
        <f aca="false">IF($A421="","",INDEX(Workers!$P$5:$P$2004,MATCH($A421,Workers!$A$5:$A$2004,0))&amp;"")</f>
        <v/>
      </c>
      <c r="U421" s="24" t="str">
        <f aca="false">IF($A421="","",INDEX(Workers!$H$5:$H$2004,MATCH($A421,Workers!$A$5:$A$2004,0))&amp;"")</f>
        <v/>
      </c>
    </row>
    <row r="422" customFormat="false" ht="15" hidden="false" customHeight="false" outlineLevel="0" collapsed="false">
      <c r="A422" s="24" t="str">
        <f aca="false">IFERROR(INDEX(Workers!$A$5:$A$2004,MATCH(ROW()-4,Workers!$U$5:$U$2004,0)),"")</f>
        <v/>
      </c>
      <c r="B422" s="24" t="str">
        <f aca="false">IF($A422="","",INDEX(Workers!$B$5:$B$2004,MATCH($A422,Workers!$A$5:$A$2004,0)))</f>
        <v/>
      </c>
      <c r="C422" s="24" t="str">
        <f aca="false">IF($A422="","",INDEX(Workers!$E$5:$E$2004,MATCH($A422,Workers!$A$5:$A$2004,0)))</f>
        <v/>
      </c>
      <c r="D422" s="24" t="str">
        <f aca="false">IF($A422="","",INDEX(Workers!$K$5:$K$2004,MATCH($A422,Workers!$A$5:$A$2004,0)))</f>
        <v/>
      </c>
      <c r="E422" s="25" t="str">
        <f aca="false">IF($A422="","",SUMIFS(Timesheet!$E$5:$E$3004,Timesheet!$D$5:$D$3004,$A422,Timesheet!$A$5:$A$3004,"&gt;="&amp;Settings!$B$8,Timesheet!$A$5:$A$3004,"&lt;="&amp;Settings!$B$9))</f>
        <v/>
      </c>
      <c r="F422" s="25" t="str">
        <f aca="false">IF($A422="","",SUMIFS(Timesheet!$F$5:$F$3004,Timesheet!$D$5:$D$3004,$A422,Timesheet!$A$5:$A$3004,"&gt;="&amp;Settings!$B$8,Timesheet!$A$5:$A$3004,"&lt;="&amp;Settings!$B$9))</f>
        <v/>
      </c>
      <c r="G422" s="25" t="str">
        <f aca="false">IF($A422="","",SUMIFS(Timesheet!$G$5:$G$3004,Timesheet!$D$5:$D$3004,$A422,Timesheet!$A$5:$A$3004,"&gt;="&amp;Settings!$B$8,Timesheet!$A$5:$A$3004,"&lt;="&amp;Settings!$B$9))</f>
        <v/>
      </c>
      <c r="H422" s="25" t="str">
        <f aca="false">IF($A422="","",IF(D422="Monthly",MAX(0,Settings!$B$11-E422),0))</f>
        <v/>
      </c>
      <c r="I422" s="26" t="str">
        <f aca="false">IF($A422="","",N(INDEX(Workers!$L$5:$L$2004,MATCH($A422,Workers!$A$5:$A$2004,0))))</f>
        <v/>
      </c>
      <c r="J422" s="26" t="str">
        <f aca="false">IF($A422="","",N(INDEX(Workers!$M$5:$M$2004,MATCH($A422,Workers!$A$5:$A$2004,0))))</f>
        <v/>
      </c>
      <c r="K422" s="26" t="str">
        <f aca="false">IF($A422="","",IF(D422="Monthly",ROUND(MAX(0,(I422+J422)-(I422+J422)/Settings!$B$10*H422),2),0))</f>
        <v/>
      </c>
      <c r="L422" s="26" t="str">
        <f aca="false">IF($A422="","",IF(D422="Hourly",ROUND(F422*N(INDEX(Workers!$N$5:$N$2004,MATCH($A422,Workers!$A$5:$A$2004,0))),2),0))</f>
        <v/>
      </c>
      <c r="M422" s="26" t="str">
        <f aca="false">IF($A422="","",ROUND(G422*IF(D422="Hourly",N(INDEX(Workers!$N$5:$N$2004,MATCH($A422,Workers!$A$5:$A$2004,0))),I422/Settings!$B$10/Settings!$B$12)*Settings!$B$13,2))</f>
        <v/>
      </c>
      <c r="N422" s="26" t="str">
        <f aca="false">IF($A422="","",K422+L422+M422)</f>
        <v/>
      </c>
      <c r="O422" s="26" t="str">
        <f aca="false">IF($A422="","",SUMIFS(Deductions!$D$5:$D$2000,Deductions!$B$5:$B$2000,$A422,Deductions!$C$5:$C$2000,"Advance",Deductions!$E$5:$E$2000,"&gt;="&amp;Settings!$B$8,Deductions!$E$5:$E$2000,"&lt;="&amp;Settings!$B$9))</f>
        <v/>
      </c>
      <c r="P422" s="26" t="str">
        <f aca="false">IF($A422="","",SUMIFS(Deductions!$D$5:$D$2000,Deductions!$B$5:$B$2000,$A422,Deductions!$E$5:$E$2000,"&gt;="&amp;Settings!$B$8,Deductions!$E$5:$E$2000,"&lt;="&amp;Settings!$B$9)-O422)</f>
        <v/>
      </c>
      <c r="Q422" s="26" t="str">
        <f aca="false">IF($A422="","",O422+P422)</f>
        <v/>
      </c>
      <c r="R422" s="23" t="str">
        <f aca="false">IF($A422="","",N422-Q422)</f>
        <v/>
      </c>
      <c r="S422" s="24" t="str">
        <f aca="false">IF($A422="","",INDEX(Workers!$O$5:$O$2004,MATCH($A422,Workers!$A$5:$A$2004,0))&amp;"")</f>
        <v/>
      </c>
      <c r="T422" s="24" t="str">
        <f aca="false">IF($A422="","",INDEX(Workers!$P$5:$P$2004,MATCH($A422,Workers!$A$5:$A$2004,0))&amp;"")</f>
        <v/>
      </c>
      <c r="U422" s="24" t="str">
        <f aca="false">IF($A422="","",INDEX(Workers!$H$5:$H$2004,MATCH($A422,Workers!$A$5:$A$2004,0))&amp;"")</f>
        <v/>
      </c>
    </row>
    <row r="423" customFormat="false" ht="15" hidden="false" customHeight="false" outlineLevel="0" collapsed="false">
      <c r="A423" s="24" t="str">
        <f aca="false">IFERROR(INDEX(Workers!$A$5:$A$2004,MATCH(ROW()-4,Workers!$U$5:$U$2004,0)),"")</f>
        <v/>
      </c>
      <c r="B423" s="24" t="str">
        <f aca="false">IF($A423="","",INDEX(Workers!$B$5:$B$2004,MATCH($A423,Workers!$A$5:$A$2004,0)))</f>
        <v/>
      </c>
      <c r="C423" s="24" t="str">
        <f aca="false">IF($A423="","",INDEX(Workers!$E$5:$E$2004,MATCH($A423,Workers!$A$5:$A$2004,0)))</f>
        <v/>
      </c>
      <c r="D423" s="24" t="str">
        <f aca="false">IF($A423="","",INDEX(Workers!$K$5:$K$2004,MATCH($A423,Workers!$A$5:$A$2004,0)))</f>
        <v/>
      </c>
      <c r="E423" s="25" t="str">
        <f aca="false">IF($A423="","",SUMIFS(Timesheet!$E$5:$E$3004,Timesheet!$D$5:$D$3004,$A423,Timesheet!$A$5:$A$3004,"&gt;="&amp;Settings!$B$8,Timesheet!$A$5:$A$3004,"&lt;="&amp;Settings!$B$9))</f>
        <v/>
      </c>
      <c r="F423" s="25" t="str">
        <f aca="false">IF($A423="","",SUMIFS(Timesheet!$F$5:$F$3004,Timesheet!$D$5:$D$3004,$A423,Timesheet!$A$5:$A$3004,"&gt;="&amp;Settings!$B$8,Timesheet!$A$5:$A$3004,"&lt;="&amp;Settings!$B$9))</f>
        <v/>
      </c>
      <c r="G423" s="25" t="str">
        <f aca="false">IF($A423="","",SUMIFS(Timesheet!$G$5:$G$3004,Timesheet!$D$5:$D$3004,$A423,Timesheet!$A$5:$A$3004,"&gt;="&amp;Settings!$B$8,Timesheet!$A$5:$A$3004,"&lt;="&amp;Settings!$B$9))</f>
        <v/>
      </c>
      <c r="H423" s="25" t="str">
        <f aca="false">IF($A423="","",IF(D423="Monthly",MAX(0,Settings!$B$11-E423),0))</f>
        <v/>
      </c>
      <c r="I423" s="26" t="str">
        <f aca="false">IF($A423="","",N(INDEX(Workers!$L$5:$L$2004,MATCH($A423,Workers!$A$5:$A$2004,0))))</f>
        <v/>
      </c>
      <c r="J423" s="26" t="str">
        <f aca="false">IF($A423="","",N(INDEX(Workers!$M$5:$M$2004,MATCH($A423,Workers!$A$5:$A$2004,0))))</f>
        <v/>
      </c>
      <c r="K423" s="26" t="str">
        <f aca="false">IF($A423="","",IF(D423="Monthly",ROUND(MAX(0,(I423+J423)-(I423+J423)/Settings!$B$10*H423),2),0))</f>
        <v/>
      </c>
      <c r="L423" s="26" t="str">
        <f aca="false">IF($A423="","",IF(D423="Hourly",ROUND(F423*N(INDEX(Workers!$N$5:$N$2004,MATCH($A423,Workers!$A$5:$A$2004,0))),2),0))</f>
        <v/>
      </c>
      <c r="M423" s="26" t="str">
        <f aca="false">IF($A423="","",ROUND(G423*IF(D423="Hourly",N(INDEX(Workers!$N$5:$N$2004,MATCH($A423,Workers!$A$5:$A$2004,0))),I423/Settings!$B$10/Settings!$B$12)*Settings!$B$13,2))</f>
        <v/>
      </c>
      <c r="N423" s="26" t="str">
        <f aca="false">IF($A423="","",K423+L423+M423)</f>
        <v/>
      </c>
      <c r="O423" s="26" t="str">
        <f aca="false">IF($A423="","",SUMIFS(Deductions!$D$5:$D$2000,Deductions!$B$5:$B$2000,$A423,Deductions!$C$5:$C$2000,"Advance",Deductions!$E$5:$E$2000,"&gt;="&amp;Settings!$B$8,Deductions!$E$5:$E$2000,"&lt;="&amp;Settings!$B$9))</f>
        <v/>
      </c>
      <c r="P423" s="26" t="str">
        <f aca="false">IF($A423="","",SUMIFS(Deductions!$D$5:$D$2000,Deductions!$B$5:$B$2000,$A423,Deductions!$E$5:$E$2000,"&gt;="&amp;Settings!$B$8,Deductions!$E$5:$E$2000,"&lt;="&amp;Settings!$B$9)-O423)</f>
        <v/>
      </c>
      <c r="Q423" s="26" t="str">
        <f aca="false">IF($A423="","",O423+P423)</f>
        <v/>
      </c>
      <c r="R423" s="23" t="str">
        <f aca="false">IF($A423="","",N423-Q423)</f>
        <v/>
      </c>
      <c r="S423" s="24" t="str">
        <f aca="false">IF($A423="","",INDEX(Workers!$O$5:$O$2004,MATCH($A423,Workers!$A$5:$A$2004,0))&amp;"")</f>
        <v/>
      </c>
      <c r="T423" s="24" t="str">
        <f aca="false">IF($A423="","",INDEX(Workers!$P$5:$P$2004,MATCH($A423,Workers!$A$5:$A$2004,0))&amp;"")</f>
        <v/>
      </c>
      <c r="U423" s="24" t="str">
        <f aca="false">IF($A423="","",INDEX(Workers!$H$5:$H$2004,MATCH($A423,Workers!$A$5:$A$2004,0))&amp;"")</f>
        <v/>
      </c>
    </row>
    <row r="424" customFormat="false" ht="15" hidden="false" customHeight="false" outlineLevel="0" collapsed="false">
      <c r="A424" s="24" t="str">
        <f aca="false">IFERROR(INDEX(Workers!$A$5:$A$2004,MATCH(ROW()-4,Workers!$U$5:$U$2004,0)),"")</f>
        <v/>
      </c>
      <c r="B424" s="24" t="str">
        <f aca="false">IF($A424="","",INDEX(Workers!$B$5:$B$2004,MATCH($A424,Workers!$A$5:$A$2004,0)))</f>
        <v/>
      </c>
      <c r="C424" s="24" t="str">
        <f aca="false">IF($A424="","",INDEX(Workers!$E$5:$E$2004,MATCH($A424,Workers!$A$5:$A$2004,0)))</f>
        <v/>
      </c>
      <c r="D424" s="24" t="str">
        <f aca="false">IF($A424="","",INDEX(Workers!$K$5:$K$2004,MATCH($A424,Workers!$A$5:$A$2004,0)))</f>
        <v/>
      </c>
      <c r="E424" s="25" t="str">
        <f aca="false">IF($A424="","",SUMIFS(Timesheet!$E$5:$E$3004,Timesheet!$D$5:$D$3004,$A424,Timesheet!$A$5:$A$3004,"&gt;="&amp;Settings!$B$8,Timesheet!$A$5:$A$3004,"&lt;="&amp;Settings!$B$9))</f>
        <v/>
      </c>
      <c r="F424" s="25" t="str">
        <f aca="false">IF($A424="","",SUMIFS(Timesheet!$F$5:$F$3004,Timesheet!$D$5:$D$3004,$A424,Timesheet!$A$5:$A$3004,"&gt;="&amp;Settings!$B$8,Timesheet!$A$5:$A$3004,"&lt;="&amp;Settings!$B$9))</f>
        <v/>
      </c>
      <c r="G424" s="25" t="str">
        <f aca="false">IF($A424="","",SUMIFS(Timesheet!$G$5:$G$3004,Timesheet!$D$5:$D$3004,$A424,Timesheet!$A$5:$A$3004,"&gt;="&amp;Settings!$B$8,Timesheet!$A$5:$A$3004,"&lt;="&amp;Settings!$B$9))</f>
        <v/>
      </c>
      <c r="H424" s="25" t="str">
        <f aca="false">IF($A424="","",IF(D424="Monthly",MAX(0,Settings!$B$11-E424),0))</f>
        <v/>
      </c>
      <c r="I424" s="26" t="str">
        <f aca="false">IF($A424="","",N(INDEX(Workers!$L$5:$L$2004,MATCH($A424,Workers!$A$5:$A$2004,0))))</f>
        <v/>
      </c>
      <c r="J424" s="26" t="str">
        <f aca="false">IF($A424="","",N(INDEX(Workers!$M$5:$M$2004,MATCH($A424,Workers!$A$5:$A$2004,0))))</f>
        <v/>
      </c>
      <c r="K424" s="26" t="str">
        <f aca="false">IF($A424="","",IF(D424="Monthly",ROUND(MAX(0,(I424+J424)-(I424+J424)/Settings!$B$10*H424),2),0))</f>
        <v/>
      </c>
      <c r="L424" s="26" t="str">
        <f aca="false">IF($A424="","",IF(D424="Hourly",ROUND(F424*N(INDEX(Workers!$N$5:$N$2004,MATCH($A424,Workers!$A$5:$A$2004,0))),2),0))</f>
        <v/>
      </c>
      <c r="M424" s="26" t="str">
        <f aca="false">IF($A424="","",ROUND(G424*IF(D424="Hourly",N(INDEX(Workers!$N$5:$N$2004,MATCH($A424,Workers!$A$5:$A$2004,0))),I424/Settings!$B$10/Settings!$B$12)*Settings!$B$13,2))</f>
        <v/>
      </c>
      <c r="N424" s="26" t="str">
        <f aca="false">IF($A424="","",K424+L424+M424)</f>
        <v/>
      </c>
      <c r="O424" s="26" t="str">
        <f aca="false">IF($A424="","",SUMIFS(Deductions!$D$5:$D$2000,Deductions!$B$5:$B$2000,$A424,Deductions!$C$5:$C$2000,"Advance",Deductions!$E$5:$E$2000,"&gt;="&amp;Settings!$B$8,Deductions!$E$5:$E$2000,"&lt;="&amp;Settings!$B$9))</f>
        <v/>
      </c>
      <c r="P424" s="26" t="str">
        <f aca="false">IF($A424="","",SUMIFS(Deductions!$D$5:$D$2000,Deductions!$B$5:$B$2000,$A424,Deductions!$E$5:$E$2000,"&gt;="&amp;Settings!$B$8,Deductions!$E$5:$E$2000,"&lt;="&amp;Settings!$B$9)-O424)</f>
        <v/>
      </c>
      <c r="Q424" s="26" t="str">
        <f aca="false">IF($A424="","",O424+P424)</f>
        <v/>
      </c>
      <c r="R424" s="23" t="str">
        <f aca="false">IF($A424="","",N424-Q424)</f>
        <v/>
      </c>
      <c r="S424" s="24" t="str">
        <f aca="false">IF($A424="","",INDEX(Workers!$O$5:$O$2004,MATCH($A424,Workers!$A$5:$A$2004,0))&amp;"")</f>
        <v/>
      </c>
      <c r="T424" s="24" t="str">
        <f aca="false">IF($A424="","",INDEX(Workers!$P$5:$P$2004,MATCH($A424,Workers!$A$5:$A$2004,0))&amp;"")</f>
        <v/>
      </c>
      <c r="U424" s="24" t="str">
        <f aca="false">IF($A424="","",INDEX(Workers!$H$5:$H$2004,MATCH($A424,Workers!$A$5:$A$2004,0))&amp;"")</f>
        <v/>
      </c>
    </row>
    <row r="425" customFormat="false" ht="15" hidden="false" customHeight="false" outlineLevel="0" collapsed="false">
      <c r="A425" s="24" t="str">
        <f aca="false">IFERROR(INDEX(Workers!$A$5:$A$2004,MATCH(ROW()-4,Workers!$U$5:$U$2004,0)),"")</f>
        <v/>
      </c>
      <c r="B425" s="24" t="str">
        <f aca="false">IF($A425="","",INDEX(Workers!$B$5:$B$2004,MATCH($A425,Workers!$A$5:$A$2004,0)))</f>
        <v/>
      </c>
      <c r="C425" s="24" t="str">
        <f aca="false">IF($A425="","",INDEX(Workers!$E$5:$E$2004,MATCH($A425,Workers!$A$5:$A$2004,0)))</f>
        <v/>
      </c>
      <c r="D425" s="24" t="str">
        <f aca="false">IF($A425="","",INDEX(Workers!$K$5:$K$2004,MATCH($A425,Workers!$A$5:$A$2004,0)))</f>
        <v/>
      </c>
      <c r="E425" s="25" t="str">
        <f aca="false">IF($A425="","",SUMIFS(Timesheet!$E$5:$E$3004,Timesheet!$D$5:$D$3004,$A425,Timesheet!$A$5:$A$3004,"&gt;="&amp;Settings!$B$8,Timesheet!$A$5:$A$3004,"&lt;="&amp;Settings!$B$9))</f>
        <v/>
      </c>
      <c r="F425" s="25" t="str">
        <f aca="false">IF($A425="","",SUMIFS(Timesheet!$F$5:$F$3004,Timesheet!$D$5:$D$3004,$A425,Timesheet!$A$5:$A$3004,"&gt;="&amp;Settings!$B$8,Timesheet!$A$5:$A$3004,"&lt;="&amp;Settings!$B$9))</f>
        <v/>
      </c>
      <c r="G425" s="25" t="str">
        <f aca="false">IF($A425="","",SUMIFS(Timesheet!$G$5:$G$3004,Timesheet!$D$5:$D$3004,$A425,Timesheet!$A$5:$A$3004,"&gt;="&amp;Settings!$B$8,Timesheet!$A$5:$A$3004,"&lt;="&amp;Settings!$B$9))</f>
        <v/>
      </c>
      <c r="H425" s="25" t="str">
        <f aca="false">IF($A425="","",IF(D425="Monthly",MAX(0,Settings!$B$11-E425),0))</f>
        <v/>
      </c>
      <c r="I425" s="26" t="str">
        <f aca="false">IF($A425="","",N(INDEX(Workers!$L$5:$L$2004,MATCH($A425,Workers!$A$5:$A$2004,0))))</f>
        <v/>
      </c>
      <c r="J425" s="26" t="str">
        <f aca="false">IF($A425="","",N(INDEX(Workers!$M$5:$M$2004,MATCH($A425,Workers!$A$5:$A$2004,0))))</f>
        <v/>
      </c>
      <c r="K425" s="26" t="str">
        <f aca="false">IF($A425="","",IF(D425="Monthly",ROUND(MAX(0,(I425+J425)-(I425+J425)/Settings!$B$10*H425),2),0))</f>
        <v/>
      </c>
      <c r="L425" s="26" t="str">
        <f aca="false">IF($A425="","",IF(D425="Hourly",ROUND(F425*N(INDEX(Workers!$N$5:$N$2004,MATCH($A425,Workers!$A$5:$A$2004,0))),2),0))</f>
        <v/>
      </c>
      <c r="M425" s="26" t="str">
        <f aca="false">IF($A425="","",ROUND(G425*IF(D425="Hourly",N(INDEX(Workers!$N$5:$N$2004,MATCH($A425,Workers!$A$5:$A$2004,0))),I425/Settings!$B$10/Settings!$B$12)*Settings!$B$13,2))</f>
        <v/>
      </c>
      <c r="N425" s="26" t="str">
        <f aca="false">IF($A425="","",K425+L425+M425)</f>
        <v/>
      </c>
      <c r="O425" s="26" t="str">
        <f aca="false">IF($A425="","",SUMIFS(Deductions!$D$5:$D$2000,Deductions!$B$5:$B$2000,$A425,Deductions!$C$5:$C$2000,"Advance",Deductions!$E$5:$E$2000,"&gt;="&amp;Settings!$B$8,Deductions!$E$5:$E$2000,"&lt;="&amp;Settings!$B$9))</f>
        <v/>
      </c>
      <c r="P425" s="26" t="str">
        <f aca="false">IF($A425="","",SUMIFS(Deductions!$D$5:$D$2000,Deductions!$B$5:$B$2000,$A425,Deductions!$E$5:$E$2000,"&gt;="&amp;Settings!$B$8,Deductions!$E$5:$E$2000,"&lt;="&amp;Settings!$B$9)-O425)</f>
        <v/>
      </c>
      <c r="Q425" s="26" t="str">
        <f aca="false">IF($A425="","",O425+P425)</f>
        <v/>
      </c>
      <c r="R425" s="23" t="str">
        <f aca="false">IF($A425="","",N425-Q425)</f>
        <v/>
      </c>
      <c r="S425" s="24" t="str">
        <f aca="false">IF($A425="","",INDEX(Workers!$O$5:$O$2004,MATCH($A425,Workers!$A$5:$A$2004,0))&amp;"")</f>
        <v/>
      </c>
      <c r="T425" s="24" t="str">
        <f aca="false">IF($A425="","",INDEX(Workers!$P$5:$P$2004,MATCH($A425,Workers!$A$5:$A$2004,0))&amp;"")</f>
        <v/>
      </c>
      <c r="U425" s="24" t="str">
        <f aca="false">IF($A425="","",INDEX(Workers!$H$5:$H$2004,MATCH($A425,Workers!$A$5:$A$2004,0))&amp;"")</f>
        <v/>
      </c>
    </row>
    <row r="426" customFormat="false" ht="15" hidden="false" customHeight="false" outlineLevel="0" collapsed="false">
      <c r="A426" s="24" t="str">
        <f aca="false">IFERROR(INDEX(Workers!$A$5:$A$2004,MATCH(ROW()-4,Workers!$U$5:$U$2004,0)),"")</f>
        <v/>
      </c>
      <c r="B426" s="24" t="str">
        <f aca="false">IF($A426="","",INDEX(Workers!$B$5:$B$2004,MATCH($A426,Workers!$A$5:$A$2004,0)))</f>
        <v/>
      </c>
      <c r="C426" s="24" t="str">
        <f aca="false">IF($A426="","",INDEX(Workers!$E$5:$E$2004,MATCH($A426,Workers!$A$5:$A$2004,0)))</f>
        <v/>
      </c>
      <c r="D426" s="24" t="str">
        <f aca="false">IF($A426="","",INDEX(Workers!$K$5:$K$2004,MATCH($A426,Workers!$A$5:$A$2004,0)))</f>
        <v/>
      </c>
      <c r="E426" s="25" t="str">
        <f aca="false">IF($A426="","",SUMIFS(Timesheet!$E$5:$E$3004,Timesheet!$D$5:$D$3004,$A426,Timesheet!$A$5:$A$3004,"&gt;="&amp;Settings!$B$8,Timesheet!$A$5:$A$3004,"&lt;="&amp;Settings!$B$9))</f>
        <v/>
      </c>
      <c r="F426" s="25" t="str">
        <f aca="false">IF($A426="","",SUMIFS(Timesheet!$F$5:$F$3004,Timesheet!$D$5:$D$3004,$A426,Timesheet!$A$5:$A$3004,"&gt;="&amp;Settings!$B$8,Timesheet!$A$5:$A$3004,"&lt;="&amp;Settings!$B$9))</f>
        <v/>
      </c>
      <c r="G426" s="25" t="str">
        <f aca="false">IF($A426="","",SUMIFS(Timesheet!$G$5:$G$3004,Timesheet!$D$5:$D$3004,$A426,Timesheet!$A$5:$A$3004,"&gt;="&amp;Settings!$B$8,Timesheet!$A$5:$A$3004,"&lt;="&amp;Settings!$B$9))</f>
        <v/>
      </c>
      <c r="H426" s="25" t="str">
        <f aca="false">IF($A426="","",IF(D426="Monthly",MAX(0,Settings!$B$11-E426),0))</f>
        <v/>
      </c>
      <c r="I426" s="26" t="str">
        <f aca="false">IF($A426="","",N(INDEX(Workers!$L$5:$L$2004,MATCH($A426,Workers!$A$5:$A$2004,0))))</f>
        <v/>
      </c>
      <c r="J426" s="26" t="str">
        <f aca="false">IF($A426="","",N(INDEX(Workers!$M$5:$M$2004,MATCH($A426,Workers!$A$5:$A$2004,0))))</f>
        <v/>
      </c>
      <c r="K426" s="26" t="str">
        <f aca="false">IF($A426="","",IF(D426="Monthly",ROUND(MAX(0,(I426+J426)-(I426+J426)/Settings!$B$10*H426),2),0))</f>
        <v/>
      </c>
      <c r="L426" s="26" t="str">
        <f aca="false">IF($A426="","",IF(D426="Hourly",ROUND(F426*N(INDEX(Workers!$N$5:$N$2004,MATCH($A426,Workers!$A$5:$A$2004,0))),2),0))</f>
        <v/>
      </c>
      <c r="M426" s="26" t="str">
        <f aca="false">IF($A426="","",ROUND(G426*IF(D426="Hourly",N(INDEX(Workers!$N$5:$N$2004,MATCH($A426,Workers!$A$5:$A$2004,0))),I426/Settings!$B$10/Settings!$B$12)*Settings!$B$13,2))</f>
        <v/>
      </c>
      <c r="N426" s="26" t="str">
        <f aca="false">IF($A426="","",K426+L426+M426)</f>
        <v/>
      </c>
      <c r="O426" s="26" t="str">
        <f aca="false">IF($A426="","",SUMIFS(Deductions!$D$5:$D$2000,Deductions!$B$5:$B$2000,$A426,Deductions!$C$5:$C$2000,"Advance",Deductions!$E$5:$E$2000,"&gt;="&amp;Settings!$B$8,Deductions!$E$5:$E$2000,"&lt;="&amp;Settings!$B$9))</f>
        <v/>
      </c>
      <c r="P426" s="26" t="str">
        <f aca="false">IF($A426="","",SUMIFS(Deductions!$D$5:$D$2000,Deductions!$B$5:$B$2000,$A426,Deductions!$E$5:$E$2000,"&gt;="&amp;Settings!$B$8,Deductions!$E$5:$E$2000,"&lt;="&amp;Settings!$B$9)-O426)</f>
        <v/>
      </c>
      <c r="Q426" s="26" t="str">
        <f aca="false">IF($A426="","",O426+P426)</f>
        <v/>
      </c>
      <c r="R426" s="23" t="str">
        <f aca="false">IF($A426="","",N426-Q426)</f>
        <v/>
      </c>
      <c r="S426" s="24" t="str">
        <f aca="false">IF($A426="","",INDEX(Workers!$O$5:$O$2004,MATCH($A426,Workers!$A$5:$A$2004,0))&amp;"")</f>
        <v/>
      </c>
      <c r="T426" s="24" t="str">
        <f aca="false">IF($A426="","",INDEX(Workers!$P$5:$P$2004,MATCH($A426,Workers!$A$5:$A$2004,0))&amp;"")</f>
        <v/>
      </c>
      <c r="U426" s="24" t="str">
        <f aca="false">IF($A426="","",INDEX(Workers!$H$5:$H$2004,MATCH($A426,Workers!$A$5:$A$2004,0))&amp;"")</f>
        <v/>
      </c>
    </row>
    <row r="427" customFormat="false" ht="15" hidden="false" customHeight="false" outlineLevel="0" collapsed="false">
      <c r="A427" s="24" t="str">
        <f aca="false">IFERROR(INDEX(Workers!$A$5:$A$2004,MATCH(ROW()-4,Workers!$U$5:$U$2004,0)),"")</f>
        <v/>
      </c>
      <c r="B427" s="24" t="str">
        <f aca="false">IF($A427="","",INDEX(Workers!$B$5:$B$2004,MATCH($A427,Workers!$A$5:$A$2004,0)))</f>
        <v/>
      </c>
      <c r="C427" s="24" t="str">
        <f aca="false">IF($A427="","",INDEX(Workers!$E$5:$E$2004,MATCH($A427,Workers!$A$5:$A$2004,0)))</f>
        <v/>
      </c>
      <c r="D427" s="24" t="str">
        <f aca="false">IF($A427="","",INDEX(Workers!$K$5:$K$2004,MATCH($A427,Workers!$A$5:$A$2004,0)))</f>
        <v/>
      </c>
      <c r="E427" s="25" t="str">
        <f aca="false">IF($A427="","",SUMIFS(Timesheet!$E$5:$E$3004,Timesheet!$D$5:$D$3004,$A427,Timesheet!$A$5:$A$3004,"&gt;="&amp;Settings!$B$8,Timesheet!$A$5:$A$3004,"&lt;="&amp;Settings!$B$9))</f>
        <v/>
      </c>
      <c r="F427" s="25" t="str">
        <f aca="false">IF($A427="","",SUMIFS(Timesheet!$F$5:$F$3004,Timesheet!$D$5:$D$3004,$A427,Timesheet!$A$5:$A$3004,"&gt;="&amp;Settings!$B$8,Timesheet!$A$5:$A$3004,"&lt;="&amp;Settings!$B$9))</f>
        <v/>
      </c>
      <c r="G427" s="25" t="str">
        <f aca="false">IF($A427="","",SUMIFS(Timesheet!$G$5:$G$3004,Timesheet!$D$5:$D$3004,$A427,Timesheet!$A$5:$A$3004,"&gt;="&amp;Settings!$B$8,Timesheet!$A$5:$A$3004,"&lt;="&amp;Settings!$B$9))</f>
        <v/>
      </c>
      <c r="H427" s="25" t="str">
        <f aca="false">IF($A427="","",IF(D427="Monthly",MAX(0,Settings!$B$11-E427),0))</f>
        <v/>
      </c>
      <c r="I427" s="26" t="str">
        <f aca="false">IF($A427="","",N(INDEX(Workers!$L$5:$L$2004,MATCH($A427,Workers!$A$5:$A$2004,0))))</f>
        <v/>
      </c>
      <c r="J427" s="26" t="str">
        <f aca="false">IF($A427="","",N(INDEX(Workers!$M$5:$M$2004,MATCH($A427,Workers!$A$5:$A$2004,0))))</f>
        <v/>
      </c>
      <c r="K427" s="26" t="str">
        <f aca="false">IF($A427="","",IF(D427="Monthly",ROUND(MAX(0,(I427+J427)-(I427+J427)/Settings!$B$10*H427),2),0))</f>
        <v/>
      </c>
      <c r="L427" s="26" t="str">
        <f aca="false">IF($A427="","",IF(D427="Hourly",ROUND(F427*N(INDEX(Workers!$N$5:$N$2004,MATCH($A427,Workers!$A$5:$A$2004,0))),2),0))</f>
        <v/>
      </c>
      <c r="M427" s="26" t="str">
        <f aca="false">IF($A427="","",ROUND(G427*IF(D427="Hourly",N(INDEX(Workers!$N$5:$N$2004,MATCH($A427,Workers!$A$5:$A$2004,0))),I427/Settings!$B$10/Settings!$B$12)*Settings!$B$13,2))</f>
        <v/>
      </c>
      <c r="N427" s="26" t="str">
        <f aca="false">IF($A427="","",K427+L427+M427)</f>
        <v/>
      </c>
      <c r="O427" s="26" t="str">
        <f aca="false">IF($A427="","",SUMIFS(Deductions!$D$5:$D$2000,Deductions!$B$5:$B$2000,$A427,Deductions!$C$5:$C$2000,"Advance",Deductions!$E$5:$E$2000,"&gt;="&amp;Settings!$B$8,Deductions!$E$5:$E$2000,"&lt;="&amp;Settings!$B$9))</f>
        <v/>
      </c>
      <c r="P427" s="26" t="str">
        <f aca="false">IF($A427="","",SUMIFS(Deductions!$D$5:$D$2000,Deductions!$B$5:$B$2000,$A427,Deductions!$E$5:$E$2000,"&gt;="&amp;Settings!$B$8,Deductions!$E$5:$E$2000,"&lt;="&amp;Settings!$B$9)-O427)</f>
        <v/>
      </c>
      <c r="Q427" s="26" t="str">
        <f aca="false">IF($A427="","",O427+P427)</f>
        <v/>
      </c>
      <c r="R427" s="23" t="str">
        <f aca="false">IF($A427="","",N427-Q427)</f>
        <v/>
      </c>
      <c r="S427" s="24" t="str">
        <f aca="false">IF($A427="","",INDEX(Workers!$O$5:$O$2004,MATCH($A427,Workers!$A$5:$A$2004,0))&amp;"")</f>
        <v/>
      </c>
      <c r="T427" s="24" t="str">
        <f aca="false">IF($A427="","",INDEX(Workers!$P$5:$P$2004,MATCH($A427,Workers!$A$5:$A$2004,0))&amp;"")</f>
        <v/>
      </c>
      <c r="U427" s="24" t="str">
        <f aca="false">IF($A427="","",INDEX(Workers!$H$5:$H$2004,MATCH($A427,Workers!$A$5:$A$2004,0))&amp;"")</f>
        <v/>
      </c>
    </row>
    <row r="428" customFormat="false" ht="15" hidden="false" customHeight="false" outlineLevel="0" collapsed="false">
      <c r="A428" s="24" t="str">
        <f aca="false">IFERROR(INDEX(Workers!$A$5:$A$2004,MATCH(ROW()-4,Workers!$U$5:$U$2004,0)),"")</f>
        <v/>
      </c>
      <c r="B428" s="24" t="str">
        <f aca="false">IF($A428="","",INDEX(Workers!$B$5:$B$2004,MATCH($A428,Workers!$A$5:$A$2004,0)))</f>
        <v/>
      </c>
      <c r="C428" s="24" t="str">
        <f aca="false">IF($A428="","",INDEX(Workers!$E$5:$E$2004,MATCH($A428,Workers!$A$5:$A$2004,0)))</f>
        <v/>
      </c>
      <c r="D428" s="24" t="str">
        <f aca="false">IF($A428="","",INDEX(Workers!$K$5:$K$2004,MATCH($A428,Workers!$A$5:$A$2004,0)))</f>
        <v/>
      </c>
      <c r="E428" s="25" t="str">
        <f aca="false">IF($A428="","",SUMIFS(Timesheet!$E$5:$E$3004,Timesheet!$D$5:$D$3004,$A428,Timesheet!$A$5:$A$3004,"&gt;="&amp;Settings!$B$8,Timesheet!$A$5:$A$3004,"&lt;="&amp;Settings!$B$9))</f>
        <v/>
      </c>
      <c r="F428" s="25" t="str">
        <f aca="false">IF($A428="","",SUMIFS(Timesheet!$F$5:$F$3004,Timesheet!$D$5:$D$3004,$A428,Timesheet!$A$5:$A$3004,"&gt;="&amp;Settings!$B$8,Timesheet!$A$5:$A$3004,"&lt;="&amp;Settings!$B$9))</f>
        <v/>
      </c>
      <c r="G428" s="25" t="str">
        <f aca="false">IF($A428="","",SUMIFS(Timesheet!$G$5:$G$3004,Timesheet!$D$5:$D$3004,$A428,Timesheet!$A$5:$A$3004,"&gt;="&amp;Settings!$B$8,Timesheet!$A$5:$A$3004,"&lt;="&amp;Settings!$B$9))</f>
        <v/>
      </c>
      <c r="H428" s="25" t="str">
        <f aca="false">IF($A428="","",IF(D428="Monthly",MAX(0,Settings!$B$11-E428),0))</f>
        <v/>
      </c>
      <c r="I428" s="26" t="str">
        <f aca="false">IF($A428="","",N(INDEX(Workers!$L$5:$L$2004,MATCH($A428,Workers!$A$5:$A$2004,0))))</f>
        <v/>
      </c>
      <c r="J428" s="26" t="str">
        <f aca="false">IF($A428="","",N(INDEX(Workers!$M$5:$M$2004,MATCH($A428,Workers!$A$5:$A$2004,0))))</f>
        <v/>
      </c>
      <c r="K428" s="26" t="str">
        <f aca="false">IF($A428="","",IF(D428="Monthly",ROUND(MAX(0,(I428+J428)-(I428+J428)/Settings!$B$10*H428),2),0))</f>
        <v/>
      </c>
      <c r="L428" s="26" t="str">
        <f aca="false">IF($A428="","",IF(D428="Hourly",ROUND(F428*N(INDEX(Workers!$N$5:$N$2004,MATCH($A428,Workers!$A$5:$A$2004,0))),2),0))</f>
        <v/>
      </c>
      <c r="M428" s="26" t="str">
        <f aca="false">IF($A428="","",ROUND(G428*IF(D428="Hourly",N(INDEX(Workers!$N$5:$N$2004,MATCH($A428,Workers!$A$5:$A$2004,0))),I428/Settings!$B$10/Settings!$B$12)*Settings!$B$13,2))</f>
        <v/>
      </c>
      <c r="N428" s="26" t="str">
        <f aca="false">IF($A428="","",K428+L428+M428)</f>
        <v/>
      </c>
      <c r="O428" s="26" t="str">
        <f aca="false">IF($A428="","",SUMIFS(Deductions!$D$5:$D$2000,Deductions!$B$5:$B$2000,$A428,Deductions!$C$5:$C$2000,"Advance",Deductions!$E$5:$E$2000,"&gt;="&amp;Settings!$B$8,Deductions!$E$5:$E$2000,"&lt;="&amp;Settings!$B$9))</f>
        <v/>
      </c>
      <c r="P428" s="26" t="str">
        <f aca="false">IF($A428="","",SUMIFS(Deductions!$D$5:$D$2000,Deductions!$B$5:$B$2000,$A428,Deductions!$E$5:$E$2000,"&gt;="&amp;Settings!$B$8,Deductions!$E$5:$E$2000,"&lt;="&amp;Settings!$B$9)-O428)</f>
        <v/>
      </c>
      <c r="Q428" s="26" t="str">
        <f aca="false">IF($A428="","",O428+P428)</f>
        <v/>
      </c>
      <c r="R428" s="23" t="str">
        <f aca="false">IF($A428="","",N428-Q428)</f>
        <v/>
      </c>
      <c r="S428" s="24" t="str">
        <f aca="false">IF($A428="","",INDEX(Workers!$O$5:$O$2004,MATCH($A428,Workers!$A$5:$A$2004,0))&amp;"")</f>
        <v/>
      </c>
      <c r="T428" s="24" t="str">
        <f aca="false">IF($A428="","",INDEX(Workers!$P$5:$P$2004,MATCH($A428,Workers!$A$5:$A$2004,0))&amp;"")</f>
        <v/>
      </c>
      <c r="U428" s="24" t="str">
        <f aca="false">IF($A428="","",INDEX(Workers!$H$5:$H$2004,MATCH($A428,Workers!$A$5:$A$2004,0))&amp;"")</f>
        <v/>
      </c>
    </row>
    <row r="429" customFormat="false" ht="15" hidden="false" customHeight="false" outlineLevel="0" collapsed="false">
      <c r="A429" s="24" t="str">
        <f aca="false">IFERROR(INDEX(Workers!$A$5:$A$2004,MATCH(ROW()-4,Workers!$U$5:$U$2004,0)),"")</f>
        <v/>
      </c>
      <c r="B429" s="24" t="str">
        <f aca="false">IF($A429="","",INDEX(Workers!$B$5:$B$2004,MATCH($A429,Workers!$A$5:$A$2004,0)))</f>
        <v/>
      </c>
      <c r="C429" s="24" t="str">
        <f aca="false">IF($A429="","",INDEX(Workers!$E$5:$E$2004,MATCH($A429,Workers!$A$5:$A$2004,0)))</f>
        <v/>
      </c>
      <c r="D429" s="24" t="str">
        <f aca="false">IF($A429="","",INDEX(Workers!$K$5:$K$2004,MATCH($A429,Workers!$A$5:$A$2004,0)))</f>
        <v/>
      </c>
      <c r="E429" s="25" t="str">
        <f aca="false">IF($A429="","",SUMIFS(Timesheet!$E$5:$E$3004,Timesheet!$D$5:$D$3004,$A429,Timesheet!$A$5:$A$3004,"&gt;="&amp;Settings!$B$8,Timesheet!$A$5:$A$3004,"&lt;="&amp;Settings!$B$9))</f>
        <v/>
      </c>
      <c r="F429" s="25" t="str">
        <f aca="false">IF($A429="","",SUMIFS(Timesheet!$F$5:$F$3004,Timesheet!$D$5:$D$3004,$A429,Timesheet!$A$5:$A$3004,"&gt;="&amp;Settings!$B$8,Timesheet!$A$5:$A$3004,"&lt;="&amp;Settings!$B$9))</f>
        <v/>
      </c>
      <c r="G429" s="25" t="str">
        <f aca="false">IF($A429="","",SUMIFS(Timesheet!$G$5:$G$3004,Timesheet!$D$5:$D$3004,$A429,Timesheet!$A$5:$A$3004,"&gt;="&amp;Settings!$B$8,Timesheet!$A$5:$A$3004,"&lt;="&amp;Settings!$B$9))</f>
        <v/>
      </c>
      <c r="H429" s="25" t="str">
        <f aca="false">IF($A429="","",IF(D429="Monthly",MAX(0,Settings!$B$11-E429),0))</f>
        <v/>
      </c>
      <c r="I429" s="26" t="str">
        <f aca="false">IF($A429="","",N(INDEX(Workers!$L$5:$L$2004,MATCH($A429,Workers!$A$5:$A$2004,0))))</f>
        <v/>
      </c>
      <c r="J429" s="26" t="str">
        <f aca="false">IF($A429="","",N(INDEX(Workers!$M$5:$M$2004,MATCH($A429,Workers!$A$5:$A$2004,0))))</f>
        <v/>
      </c>
      <c r="K429" s="26" t="str">
        <f aca="false">IF($A429="","",IF(D429="Monthly",ROUND(MAX(0,(I429+J429)-(I429+J429)/Settings!$B$10*H429),2),0))</f>
        <v/>
      </c>
      <c r="L429" s="26" t="str">
        <f aca="false">IF($A429="","",IF(D429="Hourly",ROUND(F429*N(INDEX(Workers!$N$5:$N$2004,MATCH($A429,Workers!$A$5:$A$2004,0))),2),0))</f>
        <v/>
      </c>
      <c r="M429" s="26" t="str">
        <f aca="false">IF($A429="","",ROUND(G429*IF(D429="Hourly",N(INDEX(Workers!$N$5:$N$2004,MATCH($A429,Workers!$A$5:$A$2004,0))),I429/Settings!$B$10/Settings!$B$12)*Settings!$B$13,2))</f>
        <v/>
      </c>
      <c r="N429" s="26" t="str">
        <f aca="false">IF($A429="","",K429+L429+M429)</f>
        <v/>
      </c>
      <c r="O429" s="26" t="str">
        <f aca="false">IF($A429="","",SUMIFS(Deductions!$D$5:$D$2000,Deductions!$B$5:$B$2000,$A429,Deductions!$C$5:$C$2000,"Advance",Deductions!$E$5:$E$2000,"&gt;="&amp;Settings!$B$8,Deductions!$E$5:$E$2000,"&lt;="&amp;Settings!$B$9))</f>
        <v/>
      </c>
      <c r="P429" s="26" t="str">
        <f aca="false">IF($A429="","",SUMIFS(Deductions!$D$5:$D$2000,Deductions!$B$5:$B$2000,$A429,Deductions!$E$5:$E$2000,"&gt;="&amp;Settings!$B$8,Deductions!$E$5:$E$2000,"&lt;="&amp;Settings!$B$9)-O429)</f>
        <v/>
      </c>
      <c r="Q429" s="26" t="str">
        <f aca="false">IF($A429="","",O429+P429)</f>
        <v/>
      </c>
      <c r="R429" s="23" t="str">
        <f aca="false">IF($A429="","",N429-Q429)</f>
        <v/>
      </c>
      <c r="S429" s="24" t="str">
        <f aca="false">IF($A429="","",INDEX(Workers!$O$5:$O$2004,MATCH($A429,Workers!$A$5:$A$2004,0))&amp;"")</f>
        <v/>
      </c>
      <c r="T429" s="24" t="str">
        <f aca="false">IF($A429="","",INDEX(Workers!$P$5:$P$2004,MATCH($A429,Workers!$A$5:$A$2004,0))&amp;"")</f>
        <v/>
      </c>
      <c r="U429" s="24" t="str">
        <f aca="false">IF($A429="","",INDEX(Workers!$H$5:$H$2004,MATCH($A429,Workers!$A$5:$A$2004,0))&amp;"")</f>
        <v/>
      </c>
    </row>
    <row r="430" customFormat="false" ht="15" hidden="false" customHeight="false" outlineLevel="0" collapsed="false">
      <c r="A430" s="24" t="str">
        <f aca="false">IFERROR(INDEX(Workers!$A$5:$A$2004,MATCH(ROW()-4,Workers!$U$5:$U$2004,0)),"")</f>
        <v/>
      </c>
      <c r="B430" s="24" t="str">
        <f aca="false">IF($A430="","",INDEX(Workers!$B$5:$B$2004,MATCH($A430,Workers!$A$5:$A$2004,0)))</f>
        <v/>
      </c>
      <c r="C430" s="24" t="str">
        <f aca="false">IF($A430="","",INDEX(Workers!$E$5:$E$2004,MATCH($A430,Workers!$A$5:$A$2004,0)))</f>
        <v/>
      </c>
      <c r="D430" s="24" t="str">
        <f aca="false">IF($A430="","",INDEX(Workers!$K$5:$K$2004,MATCH($A430,Workers!$A$5:$A$2004,0)))</f>
        <v/>
      </c>
      <c r="E430" s="25" t="str">
        <f aca="false">IF($A430="","",SUMIFS(Timesheet!$E$5:$E$3004,Timesheet!$D$5:$D$3004,$A430,Timesheet!$A$5:$A$3004,"&gt;="&amp;Settings!$B$8,Timesheet!$A$5:$A$3004,"&lt;="&amp;Settings!$B$9))</f>
        <v/>
      </c>
      <c r="F430" s="25" t="str">
        <f aca="false">IF($A430="","",SUMIFS(Timesheet!$F$5:$F$3004,Timesheet!$D$5:$D$3004,$A430,Timesheet!$A$5:$A$3004,"&gt;="&amp;Settings!$B$8,Timesheet!$A$5:$A$3004,"&lt;="&amp;Settings!$B$9))</f>
        <v/>
      </c>
      <c r="G430" s="25" t="str">
        <f aca="false">IF($A430="","",SUMIFS(Timesheet!$G$5:$G$3004,Timesheet!$D$5:$D$3004,$A430,Timesheet!$A$5:$A$3004,"&gt;="&amp;Settings!$B$8,Timesheet!$A$5:$A$3004,"&lt;="&amp;Settings!$B$9))</f>
        <v/>
      </c>
      <c r="H430" s="25" t="str">
        <f aca="false">IF($A430="","",IF(D430="Monthly",MAX(0,Settings!$B$11-E430),0))</f>
        <v/>
      </c>
      <c r="I430" s="26" t="str">
        <f aca="false">IF($A430="","",N(INDEX(Workers!$L$5:$L$2004,MATCH($A430,Workers!$A$5:$A$2004,0))))</f>
        <v/>
      </c>
      <c r="J430" s="26" t="str">
        <f aca="false">IF($A430="","",N(INDEX(Workers!$M$5:$M$2004,MATCH($A430,Workers!$A$5:$A$2004,0))))</f>
        <v/>
      </c>
      <c r="K430" s="26" t="str">
        <f aca="false">IF($A430="","",IF(D430="Monthly",ROUND(MAX(0,(I430+J430)-(I430+J430)/Settings!$B$10*H430),2),0))</f>
        <v/>
      </c>
      <c r="L430" s="26" t="str">
        <f aca="false">IF($A430="","",IF(D430="Hourly",ROUND(F430*N(INDEX(Workers!$N$5:$N$2004,MATCH($A430,Workers!$A$5:$A$2004,0))),2),0))</f>
        <v/>
      </c>
      <c r="M430" s="26" t="str">
        <f aca="false">IF($A430="","",ROUND(G430*IF(D430="Hourly",N(INDEX(Workers!$N$5:$N$2004,MATCH($A430,Workers!$A$5:$A$2004,0))),I430/Settings!$B$10/Settings!$B$12)*Settings!$B$13,2))</f>
        <v/>
      </c>
      <c r="N430" s="26" t="str">
        <f aca="false">IF($A430="","",K430+L430+M430)</f>
        <v/>
      </c>
      <c r="O430" s="26" t="str">
        <f aca="false">IF($A430="","",SUMIFS(Deductions!$D$5:$D$2000,Deductions!$B$5:$B$2000,$A430,Deductions!$C$5:$C$2000,"Advance",Deductions!$E$5:$E$2000,"&gt;="&amp;Settings!$B$8,Deductions!$E$5:$E$2000,"&lt;="&amp;Settings!$B$9))</f>
        <v/>
      </c>
      <c r="P430" s="26" t="str">
        <f aca="false">IF($A430="","",SUMIFS(Deductions!$D$5:$D$2000,Deductions!$B$5:$B$2000,$A430,Deductions!$E$5:$E$2000,"&gt;="&amp;Settings!$B$8,Deductions!$E$5:$E$2000,"&lt;="&amp;Settings!$B$9)-O430)</f>
        <v/>
      </c>
      <c r="Q430" s="26" t="str">
        <f aca="false">IF($A430="","",O430+P430)</f>
        <v/>
      </c>
      <c r="R430" s="23" t="str">
        <f aca="false">IF($A430="","",N430-Q430)</f>
        <v/>
      </c>
      <c r="S430" s="24" t="str">
        <f aca="false">IF($A430="","",INDEX(Workers!$O$5:$O$2004,MATCH($A430,Workers!$A$5:$A$2004,0))&amp;"")</f>
        <v/>
      </c>
      <c r="T430" s="24" t="str">
        <f aca="false">IF($A430="","",INDEX(Workers!$P$5:$P$2004,MATCH($A430,Workers!$A$5:$A$2004,0))&amp;"")</f>
        <v/>
      </c>
      <c r="U430" s="24" t="str">
        <f aca="false">IF($A430="","",INDEX(Workers!$H$5:$H$2004,MATCH($A430,Workers!$A$5:$A$2004,0))&amp;"")</f>
        <v/>
      </c>
    </row>
    <row r="431" customFormat="false" ht="15" hidden="false" customHeight="false" outlineLevel="0" collapsed="false">
      <c r="A431" s="24" t="str">
        <f aca="false">IFERROR(INDEX(Workers!$A$5:$A$2004,MATCH(ROW()-4,Workers!$U$5:$U$2004,0)),"")</f>
        <v/>
      </c>
      <c r="B431" s="24" t="str">
        <f aca="false">IF($A431="","",INDEX(Workers!$B$5:$B$2004,MATCH($A431,Workers!$A$5:$A$2004,0)))</f>
        <v/>
      </c>
      <c r="C431" s="24" t="str">
        <f aca="false">IF($A431="","",INDEX(Workers!$E$5:$E$2004,MATCH($A431,Workers!$A$5:$A$2004,0)))</f>
        <v/>
      </c>
      <c r="D431" s="24" t="str">
        <f aca="false">IF($A431="","",INDEX(Workers!$K$5:$K$2004,MATCH($A431,Workers!$A$5:$A$2004,0)))</f>
        <v/>
      </c>
      <c r="E431" s="25" t="str">
        <f aca="false">IF($A431="","",SUMIFS(Timesheet!$E$5:$E$3004,Timesheet!$D$5:$D$3004,$A431,Timesheet!$A$5:$A$3004,"&gt;="&amp;Settings!$B$8,Timesheet!$A$5:$A$3004,"&lt;="&amp;Settings!$B$9))</f>
        <v/>
      </c>
      <c r="F431" s="25" t="str">
        <f aca="false">IF($A431="","",SUMIFS(Timesheet!$F$5:$F$3004,Timesheet!$D$5:$D$3004,$A431,Timesheet!$A$5:$A$3004,"&gt;="&amp;Settings!$B$8,Timesheet!$A$5:$A$3004,"&lt;="&amp;Settings!$B$9))</f>
        <v/>
      </c>
      <c r="G431" s="25" t="str">
        <f aca="false">IF($A431="","",SUMIFS(Timesheet!$G$5:$G$3004,Timesheet!$D$5:$D$3004,$A431,Timesheet!$A$5:$A$3004,"&gt;="&amp;Settings!$B$8,Timesheet!$A$5:$A$3004,"&lt;="&amp;Settings!$B$9))</f>
        <v/>
      </c>
      <c r="H431" s="25" t="str">
        <f aca="false">IF($A431="","",IF(D431="Monthly",MAX(0,Settings!$B$11-E431),0))</f>
        <v/>
      </c>
      <c r="I431" s="26" t="str">
        <f aca="false">IF($A431="","",N(INDEX(Workers!$L$5:$L$2004,MATCH($A431,Workers!$A$5:$A$2004,0))))</f>
        <v/>
      </c>
      <c r="J431" s="26" t="str">
        <f aca="false">IF($A431="","",N(INDEX(Workers!$M$5:$M$2004,MATCH($A431,Workers!$A$5:$A$2004,0))))</f>
        <v/>
      </c>
      <c r="K431" s="26" t="str">
        <f aca="false">IF($A431="","",IF(D431="Monthly",ROUND(MAX(0,(I431+J431)-(I431+J431)/Settings!$B$10*H431),2),0))</f>
        <v/>
      </c>
      <c r="L431" s="26" t="str">
        <f aca="false">IF($A431="","",IF(D431="Hourly",ROUND(F431*N(INDEX(Workers!$N$5:$N$2004,MATCH($A431,Workers!$A$5:$A$2004,0))),2),0))</f>
        <v/>
      </c>
      <c r="M431" s="26" t="str">
        <f aca="false">IF($A431="","",ROUND(G431*IF(D431="Hourly",N(INDEX(Workers!$N$5:$N$2004,MATCH($A431,Workers!$A$5:$A$2004,0))),I431/Settings!$B$10/Settings!$B$12)*Settings!$B$13,2))</f>
        <v/>
      </c>
      <c r="N431" s="26" t="str">
        <f aca="false">IF($A431="","",K431+L431+M431)</f>
        <v/>
      </c>
      <c r="O431" s="26" t="str">
        <f aca="false">IF($A431="","",SUMIFS(Deductions!$D$5:$D$2000,Deductions!$B$5:$B$2000,$A431,Deductions!$C$5:$C$2000,"Advance",Deductions!$E$5:$E$2000,"&gt;="&amp;Settings!$B$8,Deductions!$E$5:$E$2000,"&lt;="&amp;Settings!$B$9))</f>
        <v/>
      </c>
      <c r="P431" s="26" t="str">
        <f aca="false">IF($A431="","",SUMIFS(Deductions!$D$5:$D$2000,Deductions!$B$5:$B$2000,$A431,Deductions!$E$5:$E$2000,"&gt;="&amp;Settings!$B$8,Deductions!$E$5:$E$2000,"&lt;="&amp;Settings!$B$9)-O431)</f>
        <v/>
      </c>
      <c r="Q431" s="26" t="str">
        <f aca="false">IF($A431="","",O431+P431)</f>
        <v/>
      </c>
      <c r="R431" s="23" t="str">
        <f aca="false">IF($A431="","",N431-Q431)</f>
        <v/>
      </c>
      <c r="S431" s="24" t="str">
        <f aca="false">IF($A431="","",INDEX(Workers!$O$5:$O$2004,MATCH($A431,Workers!$A$5:$A$2004,0))&amp;"")</f>
        <v/>
      </c>
      <c r="T431" s="24" t="str">
        <f aca="false">IF($A431="","",INDEX(Workers!$P$5:$P$2004,MATCH($A431,Workers!$A$5:$A$2004,0))&amp;"")</f>
        <v/>
      </c>
      <c r="U431" s="24" t="str">
        <f aca="false">IF($A431="","",INDEX(Workers!$H$5:$H$2004,MATCH($A431,Workers!$A$5:$A$2004,0))&amp;"")</f>
        <v/>
      </c>
    </row>
    <row r="432" customFormat="false" ht="15" hidden="false" customHeight="false" outlineLevel="0" collapsed="false">
      <c r="A432" s="24" t="str">
        <f aca="false">IFERROR(INDEX(Workers!$A$5:$A$2004,MATCH(ROW()-4,Workers!$U$5:$U$2004,0)),"")</f>
        <v/>
      </c>
      <c r="B432" s="24" t="str">
        <f aca="false">IF($A432="","",INDEX(Workers!$B$5:$B$2004,MATCH($A432,Workers!$A$5:$A$2004,0)))</f>
        <v/>
      </c>
      <c r="C432" s="24" t="str">
        <f aca="false">IF($A432="","",INDEX(Workers!$E$5:$E$2004,MATCH($A432,Workers!$A$5:$A$2004,0)))</f>
        <v/>
      </c>
      <c r="D432" s="24" t="str">
        <f aca="false">IF($A432="","",INDEX(Workers!$K$5:$K$2004,MATCH($A432,Workers!$A$5:$A$2004,0)))</f>
        <v/>
      </c>
      <c r="E432" s="25" t="str">
        <f aca="false">IF($A432="","",SUMIFS(Timesheet!$E$5:$E$3004,Timesheet!$D$5:$D$3004,$A432,Timesheet!$A$5:$A$3004,"&gt;="&amp;Settings!$B$8,Timesheet!$A$5:$A$3004,"&lt;="&amp;Settings!$B$9))</f>
        <v/>
      </c>
      <c r="F432" s="25" t="str">
        <f aca="false">IF($A432="","",SUMIFS(Timesheet!$F$5:$F$3004,Timesheet!$D$5:$D$3004,$A432,Timesheet!$A$5:$A$3004,"&gt;="&amp;Settings!$B$8,Timesheet!$A$5:$A$3004,"&lt;="&amp;Settings!$B$9))</f>
        <v/>
      </c>
      <c r="G432" s="25" t="str">
        <f aca="false">IF($A432="","",SUMIFS(Timesheet!$G$5:$G$3004,Timesheet!$D$5:$D$3004,$A432,Timesheet!$A$5:$A$3004,"&gt;="&amp;Settings!$B$8,Timesheet!$A$5:$A$3004,"&lt;="&amp;Settings!$B$9))</f>
        <v/>
      </c>
      <c r="H432" s="25" t="str">
        <f aca="false">IF($A432="","",IF(D432="Monthly",MAX(0,Settings!$B$11-E432),0))</f>
        <v/>
      </c>
      <c r="I432" s="26" t="str">
        <f aca="false">IF($A432="","",N(INDEX(Workers!$L$5:$L$2004,MATCH($A432,Workers!$A$5:$A$2004,0))))</f>
        <v/>
      </c>
      <c r="J432" s="26" t="str">
        <f aca="false">IF($A432="","",N(INDEX(Workers!$M$5:$M$2004,MATCH($A432,Workers!$A$5:$A$2004,0))))</f>
        <v/>
      </c>
      <c r="K432" s="26" t="str">
        <f aca="false">IF($A432="","",IF(D432="Monthly",ROUND(MAX(0,(I432+J432)-(I432+J432)/Settings!$B$10*H432),2),0))</f>
        <v/>
      </c>
      <c r="L432" s="26" t="str">
        <f aca="false">IF($A432="","",IF(D432="Hourly",ROUND(F432*N(INDEX(Workers!$N$5:$N$2004,MATCH($A432,Workers!$A$5:$A$2004,0))),2),0))</f>
        <v/>
      </c>
      <c r="M432" s="26" t="str">
        <f aca="false">IF($A432="","",ROUND(G432*IF(D432="Hourly",N(INDEX(Workers!$N$5:$N$2004,MATCH($A432,Workers!$A$5:$A$2004,0))),I432/Settings!$B$10/Settings!$B$12)*Settings!$B$13,2))</f>
        <v/>
      </c>
      <c r="N432" s="26" t="str">
        <f aca="false">IF($A432="","",K432+L432+M432)</f>
        <v/>
      </c>
      <c r="O432" s="26" t="str">
        <f aca="false">IF($A432="","",SUMIFS(Deductions!$D$5:$D$2000,Deductions!$B$5:$B$2000,$A432,Deductions!$C$5:$C$2000,"Advance",Deductions!$E$5:$E$2000,"&gt;="&amp;Settings!$B$8,Deductions!$E$5:$E$2000,"&lt;="&amp;Settings!$B$9))</f>
        <v/>
      </c>
      <c r="P432" s="26" t="str">
        <f aca="false">IF($A432="","",SUMIFS(Deductions!$D$5:$D$2000,Deductions!$B$5:$B$2000,$A432,Deductions!$E$5:$E$2000,"&gt;="&amp;Settings!$B$8,Deductions!$E$5:$E$2000,"&lt;="&amp;Settings!$B$9)-O432)</f>
        <v/>
      </c>
      <c r="Q432" s="26" t="str">
        <f aca="false">IF($A432="","",O432+P432)</f>
        <v/>
      </c>
      <c r="R432" s="23" t="str">
        <f aca="false">IF($A432="","",N432-Q432)</f>
        <v/>
      </c>
      <c r="S432" s="24" t="str">
        <f aca="false">IF($A432="","",INDEX(Workers!$O$5:$O$2004,MATCH($A432,Workers!$A$5:$A$2004,0))&amp;"")</f>
        <v/>
      </c>
      <c r="T432" s="24" t="str">
        <f aca="false">IF($A432="","",INDEX(Workers!$P$5:$P$2004,MATCH($A432,Workers!$A$5:$A$2004,0))&amp;"")</f>
        <v/>
      </c>
      <c r="U432" s="24" t="str">
        <f aca="false">IF($A432="","",INDEX(Workers!$H$5:$H$2004,MATCH($A432,Workers!$A$5:$A$2004,0))&amp;"")</f>
        <v/>
      </c>
    </row>
    <row r="433" customFormat="false" ht="15" hidden="false" customHeight="false" outlineLevel="0" collapsed="false">
      <c r="A433" s="24" t="str">
        <f aca="false">IFERROR(INDEX(Workers!$A$5:$A$2004,MATCH(ROW()-4,Workers!$U$5:$U$2004,0)),"")</f>
        <v/>
      </c>
      <c r="B433" s="24" t="str">
        <f aca="false">IF($A433="","",INDEX(Workers!$B$5:$B$2004,MATCH($A433,Workers!$A$5:$A$2004,0)))</f>
        <v/>
      </c>
      <c r="C433" s="24" t="str">
        <f aca="false">IF($A433="","",INDEX(Workers!$E$5:$E$2004,MATCH($A433,Workers!$A$5:$A$2004,0)))</f>
        <v/>
      </c>
      <c r="D433" s="24" t="str">
        <f aca="false">IF($A433="","",INDEX(Workers!$K$5:$K$2004,MATCH($A433,Workers!$A$5:$A$2004,0)))</f>
        <v/>
      </c>
      <c r="E433" s="25" t="str">
        <f aca="false">IF($A433="","",SUMIFS(Timesheet!$E$5:$E$3004,Timesheet!$D$5:$D$3004,$A433,Timesheet!$A$5:$A$3004,"&gt;="&amp;Settings!$B$8,Timesheet!$A$5:$A$3004,"&lt;="&amp;Settings!$B$9))</f>
        <v/>
      </c>
      <c r="F433" s="25" t="str">
        <f aca="false">IF($A433="","",SUMIFS(Timesheet!$F$5:$F$3004,Timesheet!$D$5:$D$3004,$A433,Timesheet!$A$5:$A$3004,"&gt;="&amp;Settings!$B$8,Timesheet!$A$5:$A$3004,"&lt;="&amp;Settings!$B$9))</f>
        <v/>
      </c>
      <c r="G433" s="25" t="str">
        <f aca="false">IF($A433="","",SUMIFS(Timesheet!$G$5:$G$3004,Timesheet!$D$5:$D$3004,$A433,Timesheet!$A$5:$A$3004,"&gt;="&amp;Settings!$B$8,Timesheet!$A$5:$A$3004,"&lt;="&amp;Settings!$B$9))</f>
        <v/>
      </c>
      <c r="H433" s="25" t="str">
        <f aca="false">IF($A433="","",IF(D433="Monthly",MAX(0,Settings!$B$11-E433),0))</f>
        <v/>
      </c>
      <c r="I433" s="26" t="str">
        <f aca="false">IF($A433="","",N(INDEX(Workers!$L$5:$L$2004,MATCH($A433,Workers!$A$5:$A$2004,0))))</f>
        <v/>
      </c>
      <c r="J433" s="26" t="str">
        <f aca="false">IF($A433="","",N(INDEX(Workers!$M$5:$M$2004,MATCH($A433,Workers!$A$5:$A$2004,0))))</f>
        <v/>
      </c>
      <c r="K433" s="26" t="str">
        <f aca="false">IF($A433="","",IF(D433="Monthly",ROUND(MAX(0,(I433+J433)-(I433+J433)/Settings!$B$10*H433),2),0))</f>
        <v/>
      </c>
      <c r="L433" s="26" t="str">
        <f aca="false">IF($A433="","",IF(D433="Hourly",ROUND(F433*N(INDEX(Workers!$N$5:$N$2004,MATCH($A433,Workers!$A$5:$A$2004,0))),2),0))</f>
        <v/>
      </c>
      <c r="M433" s="26" t="str">
        <f aca="false">IF($A433="","",ROUND(G433*IF(D433="Hourly",N(INDEX(Workers!$N$5:$N$2004,MATCH($A433,Workers!$A$5:$A$2004,0))),I433/Settings!$B$10/Settings!$B$12)*Settings!$B$13,2))</f>
        <v/>
      </c>
      <c r="N433" s="26" t="str">
        <f aca="false">IF($A433="","",K433+L433+M433)</f>
        <v/>
      </c>
      <c r="O433" s="26" t="str">
        <f aca="false">IF($A433="","",SUMIFS(Deductions!$D$5:$D$2000,Deductions!$B$5:$B$2000,$A433,Deductions!$C$5:$C$2000,"Advance",Deductions!$E$5:$E$2000,"&gt;="&amp;Settings!$B$8,Deductions!$E$5:$E$2000,"&lt;="&amp;Settings!$B$9))</f>
        <v/>
      </c>
      <c r="P433" s="26" t="str">
        <f aca="false">IF($A433="","",SUMIFS(Deductions!$D$5:$D$2000,Deductions!$B$5:$B$2000,$A433,Deductions!$E$5:$E$2000,"&gt;="&amp;Settings!$B$8,Deductions!$E$5:$E$2000,"&lt;="&amp;Settings!$B$9)-O433)</f>
        <v/>
      </c>
      <c r="Q433" s="26" t="str">
        <f aca="false">IF($A433="","",O433+P433)</f>
        <v/>
      </c>
      <c r="R433" s="23" t="str">
        <f aca="false">IF($A433="","",N433-Q433)</f>
        <v/>
      </c>
      <c r="S433" s="24" t="str">
        <f aca="false">IF($A433="","",INDEX(Workers!$O$5:$O$2004,MATCH($A433,Workers!$A$5:$A$2004,0))&amp;"")</f>
        <v/>
      </c>
      <c r="T433" s="24" t="str">
        <f aca="false">IF($A433="","",INDEX(Workers!$P$5:$P$2004,MATCH($A433,Workers!$A$5:$A$2004,0))&amp;"")</f>
        <v/>
      </c>
      <c r="U433" s="24" t="str">
        <f aca="false">IF($A433="","",INDEX(Workers!$H$5:$H$2004,MATCH($A433,Workers!$A$5:$A$2004,0))&amp;"")</f>
        <v/>
      </c>
    </row>
    <row r="434" customFormat="false" ht="15" hidden="false" customHeight="false" outlineLevel="0" collapsed="false">
      <c r="A434" s="24" t="str">
        <f aca="false">IFERROR(INDEX(Workers!$A$5:$A$2004,MATCH(ROW()-4,Workers!$U$5:$U$2004,0)),"")</f>
        <v/>
      </c>
      <c r="B434" s="24" t="str">
        <f aca="false">IF($A434="","",INDEX(Workers!$B$5:$B$2004,MATCH($A434,Workers!$A$5:$A$2004,0)))</f>
        <v/>
      </c>
      <c r="C434" s="24" t="str">
        <f aca="false">IF($A434="","",INDEX(Workers!$E$5:$E$2004,MATCH($A434,Workers!$A$5:$A$2004,0)))</f>
        <v/>
      </c>
      <c r="D434" s="24" t="str">
        <f aca="false">IF($A434="","",INDEX(Workers!$K$5:$K$2004,MATCH($A434,Workers!$A$5:$A$2004,0)))</f>
        <v/>
      </c>
      <c r="E434" s="25" t="str">
        <f aca="false">IF($A434="","",SUMIFS(Timesheet!$E$5:$E$3004,Timesheet!$D$5:$D$3004,$A434,Timesheet!$A$5:$A$3004,"&gt;="&amp;Settings!$B$8,Timesheet!$A$5:$A$3004,"&lt;="&amp;Settings!$B$9))</f>
        <v/>
      </c>
      <c r="F434" s="25" t="str">
        <f aca="false">IF($A434="","",SUMIFS(Timesheet!$F$5:$F$3004,Timesheet!$D$5:$D$3004,$A434,Timesheet!$A$5:$A$3004,"&gt;="&amp;Settings!$B$8,Timesheet!$A$5:$A$3004,"&lt;="&amp;Settings!$B$9))</f>
        <v/>
      </c>
      <c r="G434" s="25" t="str">
        <f aca="false">IF($A434="","",SUMIFS(Timesheet!$G$5:$G$3004,Timesheet!$D$5:$D$3004,$A434,Timesheet!$A$5:$A$3004,"&gt;="&amp;Settings!$B$8,Timesheet!$A$5:$A$3004,"&lt;="&amp;Settings!$B$9))</f>
        <v/>
      </c>
      <c r="H434" s="25" t="str">
        <f aca="false">IF($A434="","",IF(D434="Monthly",MAX(0,Settings!$B$11-E434),0))</f>
        <v/>
      </c>
      <c r="I434" s="26" t="str">
        <f aca="false">IF($A434="","",N(INDEX(Workers!$L$5:$L$2004,MATCH($A434,Workers!$A$5:$A$2004,0))))</f>
        <v/>
      </c>
      <c r="J434" s="26" t="str">
        <f aca="false">IF($A434="","",N(INDEX(Workers!$M$5:$M$2004,MATCH($A434,Workers!$A$5:$A$2004,0))))</f>
        <v/>
      </c>
      <c r="K434" s="26" t="str">
        <f aca="false">IF($A434="","",IF(D434="Monthly",ROUND(MAX(0,(I434+J434)-(I434+J434)/Settings!$B$10*H434),2),0))</f>
        <v/>
      </c>
      <c r="L434" s="26" t="str">
        <f aca="false">IF($A434="","",IF(D434="Hourly",ROUND(F434*N(INDEX(Workers!$N$5:$N$2004,MATCH($A434,Workers!$A$5:$A$2004,0))),2),0))</f>
        <v/>
      </c>
      <c r="M434" s="26" t="str">
        <f aca="false">IF($A434="","",ROUND(G434*IF(D434="Hourly",N(INDEX(Workers!$N$5:$N$2004,MATCH($A434,Workers!$A$5:$A$2004,0))),I434/Settings!$B$10/Settings!$B$12)*Settings!$B$13,2))</f>
        <v/>
      </c>
      <c r="N434" s="26" t="str">
        <f aca="false">IF($A434="","",K434+L434+M434)</f>
        <v/>
      </c>
      <c r="O434" s="26" t="str">
        <f aca="false">IF($A434="","",SUMIFS(Deductions!$D$5:$D$2000,Deductions!$B$5:$B$2000,$A434,Deductions!$C$5:$C$2000,"Advance",Deductions!$E$5:$E$2000,"&gt;="&amp;Settings!$B$8,Deductions!$E$5:$E$2000,"&lt;="&amp;Settings!$B$9))</f>
        <v/>
      </c>
      <c r="P434" s="26" t="str">
        <f aca="false">IF($A434="","",SUMIFS(Deductions!$D$5:$D$2000,Deductions!$B$5:$B$2000,$A434,Deductions!$E$5:$E$2000,"&gt;="&amp;Settings!$B$8,Deductions!$E$5:$E$2000,"&lt;="&amp;Settings!$B$9)-O434)</f>
        <v/>
      </c>
      <c r="Q434" s="26" t="str">
        <f aca="false">IF($A434="","",O434+P434)</f>
        <v/>
      </c>
      <c r="R434" s="23" t="str">
        <f aca="false">IF($A434="","",N434-Q434)</f>
        <v/>
      </c>
      <c r="S434" s="24" t="str">
        <f aca="false">IF($A434="","",INDEX(Workers!$O$5:$O$2004,MATCH($A434,Workers!$A$5:$A$2004,0))&amp;"")</f>
        <v/>
      </c>
      <c r="T434" s="24" t="str">
        <f aca="false">IF($A434="","",INDEX(Workers!$P$5:$P$2004,MATCH($A434,Workers!$A$5:$A$2004,0))&amp;"")</f>
        <v/>
      </c>
      <c r="U434" s="24" t="str">
        <f aca="false">IF($A434="","",INDEX(Workers!$H$5:$H$2004,MATCH($A434,Workers!$A$5:$A$2004,0))&amp;"")</f>
        <v/>
      </c>
    </row>
    <row r="435" customFormat="false" ht="15" hidden="false" customHeight="false" outlineLevel="0" collapsed="false">
      <c r="A435" s="24" t="str">
        <f aca="false">IFERROR(INDEX(Workers!$A$5:$A$2004,MATCH(ROW()-4,Workers!$U$5:$U$2004,0)),"")</f>
        <v/>
      </c>
      <c r="B435" s="24" t="str">
        <f aca="false">IF($A435="","",INDEX(Workers!$B$5:$B$2004,MATCH($A435,Workers!$A$5:$A$2004,0)))</f>
        <v/>
      </c>
      <c r="C435" s="24" t="str">
        <f aca="false">IF($A435="","",INDEX(Workers!$E$5:$E$2004,MATCH($A435,Workers!$A$5:$A$2004,0)))</f>
        <v/>
      </c>
      <c r="D435" s="24" t="str">
        <f aca="false">IF($A435="","",INDEX(Workers!$K$5:$K$2004,MATCH($A435,Workers!$A$5:$A$2004,0)))</f>
        <v/>
      </c>
      <c r="E435" s="25" t="str">
        <f aca="false">IF($A435="","",SUMIFS(Timesheet!$E$5:$E$3004,Timesheet!$D$5:$D$3004,$A435,Timesheet!$A$5:$A$3004,"&gt;="&amp;Settings!$B$8,Timesheet!$A$5:$A$3004,"&lt;="&amp;Settings!$B$9))</f>
        <v/>
      </c>
      <c r="F435" s="25" t="str">
        <f aca="false">IF($A435="","",SUMIFS(Timesheet!$F$5:$F$3004,Timesheet!$D$5:$D$3004,$A435,Timesheet!$A$5:$A$3004,"&gt;="&amp;Settings!$B$8,Timesheet!$A$5:$A$3004,"&lt;="&amp;Settings!$B$9))</f>
        <v/>
      </c>
      <c r="G435" s="25" t="str">
        <f aca="false">IF($A435="","",SUMIFS(Timesheet!$G$5:$G$3004,Timesheet!$D$5:$D$3004,$A435,Timesheet!$A$5:$A$3004,"&gt;="&amp;Settings!$B$8,Timesheet!$A$5:$A$3004,"&lt;="&amp;Settings!$B$9))</f>
        <v/>
      </c>
      <c r="H435" s="25" t="str">
        <f aca="false">IF($A435="","",IF(D435="Monthly",MAX(0,Settings!$B$11-E435),0))</f>
        <v/>
      </c>
      <c r="I435" s="26" t="str">
        <f aca="false">IF($A435="","",N(INDEX(Workers!$L$5:$L$2004,MATCH($A435,Workers!$A$5:$A$2004,0))))</f>
        <v/>
      </c>
      <c r="J435" s="26" t="str">
        <f aca="false">IF($A435="","",N(INDEX(Workers!$M$5:$M$2004,MATCH($A435,Workers!$A$5:$A$2004,0))))</f>
        <v/>
      </c>
      <c r="K435" s="26" t="str">
        <f aca="false">IF($A435="","",IF(D435="Monthly",ROUND(MAX(0,(I435+J435)-(I435+J435)/Settings!$B$10*H435),2),0))</f>
        <v/>
      </c>
      <c r="L435" s="26" t="str">
        <f aca="false">IF($A435="","",IF(D435="Hourly",ROUND(F435*N(INDEX(Workers!$N$5:$N$2004,MATCH($A435,Workers!$A$5:$A$2004,0))),2),0))</f>
        <v/>
      </c>
      <c r="M435" s="26" t="str">
        <f aca="false">IF($A435="","",ROUND(G435*IF(D435="Hourly",N(INDEX(Workers!$N$5:$N$2004,MATCH($A435,Workers!$A$5:$A$2004,0))),I435/Settings!$B$10/Settings!$B$12)*Settings!$B$13,2))</f>
        <v/>
      </c>
      <c r="N435" s="26" t="str">
        <f aca="false">IF($A435="","",K435+L435+M435)</f>
        <v/>
      </c>
      <c r="O435" s="26" t="str">
        <f aca="false">IF($A435="","",SUMIFS(Deductions!$D$5:$D$2000,Deductions!$B$5:$B$2000,$A435,Deductions!$C$5:$C$2000,"Advance",Deductions!$E$5:$E$2000,"&gt;="&amp;Settings!$B$8,Deductions!$E$5:$E$2000,"&lt;="&amp;Settings!$B$9))</f>
        <v/>
      </c>
      <c r="P435" s="26" t="str">
        <f aca="false">IF($A435="","",SUMIFS(Deductions!$D$5:$D$2000,Deductions!$B$5:$B$2000,$A435,Deductions!$E$5:$E$2000,"&gt;="&amp;Settings!$B$8,Deductions!$E$5:$E$2000,"&lt;="&amp;Settings!$B$9)-O435)</f>
        <v/>
      </c>
      <c r="Q435" s="26" t="str">
        <f aca="false">IF($A435="","",O435+P435)</f>
        <v/>
      </c>
      <c r="R435" s="23" t="str">
        <f aca="false">IF($A435="","",N435-Q435)</f>
        <v/>
      </c>
      <c r="S435" s="24" t="str">
        <f aca="false">IF($A435="","",INDEX(Workers!$O$5:$O$2004,MATCH($A435,Workers!$A$5:$A$2004,0))&amp;"")</f>
        <v/>
      </c>
      <c r="T435" s="24" t="str">
        <f aca="false">IF($A435="","",INDEX(Workers!$P$5:$P$2004,MATCH($A435,Workers!$A$5:$A$2004,0))&amp;"")</f>
        <v/>
      </c>
      <c r="U435" s="24" t="str">
        <f aca="false">IF($A435="","",INDEX(Workers!$H$5:$H$2004,MATCH($A435,Workers!$A$5:$A$2004,0))&amp;"")</f>
        <v/>
      </c>
    </row>
    <row r="436" customFormat="false" ht="15" hidden="false" customHeight="false" outlineLevel="0" collapsed="false">
      <c r="A436" s="24" t="str">
        <f aca="false">IFERROR(INDEX(Workers!$A$5:$A$2004,MATCH(ROW()-4,Workers!$U$5:$U$2004,0)),"")</f>
        <v/>
      </c>
      <c r="B436" s="24" t="str">
        <f aca="false">IF($A436="","",INDEX(Workers!$B$5:$B$2004,MATCH($A436,Workers!$A$5:$A$2004,0)))</f>
        <v/>
      </c>
      <c r="C436" s="24" t="str">
        <f aca="false">IF($A436="","",INDEX(Workers!$E$5:$E$2004,MATCH($A436,Workers!$A$5:$A$2004,0)))</f>
        <v/>
      </c>
      <c r="D436" s="24" t="str">
        <f aca="false">IF($A436="","",INDEX(Workers!$K$5:$K$2004,MATCH($A436,Workers!$A$5:$A$2004,0)))</f>
        <v/>
      </c>
      <c r="E436" s="25" t="str">
        <f aca="false">IF($A436="","",SUMIFS(Timesheet!$E$5:$E$3004,Timesheet!$D$5:$D$3004,$A436,Timesheet!$A$5:$A$3004,"&gt;="&amp;Settings!$B$8,Timesheet!$A$5:$A$3004,"&lt;="&amp;Settings!$B$9))</f>
        <v/>
      </c>
      <c r="F436" s="25" t="str">
        <f aca="false">IF($A436="","",SUMIFS(Timesheet!$F$5:$F$3004,Timesheet!$D$5:$D$3004,$A436,Timesheet!$A$5:$A$3004,"&gt;="&amp;Settings!$B$8,Timesheet!$A$5:$A$3004,"&lt;="&amp;Settings!$B$9))</f>
        <v/>
      </c>
      <c r="G436" s="25" t="str">
        <f aca="false">IF($A436="","",SUMIFS(Timesheet!$G$5:$G$3004,Timesheet!$D$5:$D$3004,$A436,Timesheet!$A$5:$A$3004,"&gt;="&amp;Settings!$B$8,Timesheet!$A$5:$A$3004,"&lt;="&amp;Settings!$B$9))</f>
        <v/>
      </c>
      <c r="H436" s="25" t="str">
        <f aca="false">IF($A436="","",IF(D436="Monthly",MAX(0,Settings!$B$11-E436),0))</f>
        <v/>
      </c>
      <c r="I436" s="26" t="str">
        <f aca="false">IF($A436="","",N(INDEX(Workers!$L$5:$L$2004,MATCH($A436,Workers!$A$5:$A$2004,0))))</f>
        <v/>
      </c>
      <c r="J436" s="26" t="str">
        <f aca="false">IF($A436="","",N(INDEX(Workers!$M$5:$M$2004,MATCH($A436,Workers!$A$5:$A$2004,0))))</f>
        <v/>
      </c>
      <c r="K436" s="26" t="str">
        <f aca="false">IF($A436="","",IF(D436="Monthly",ROUND(MAX(0,(I436+J436)-(I436+J436)/Settings!$B$10*H436),2),0))</f>
        <v/>
      </c>
      <c r="L436" s="26" t="str">
        <f aca="false">IF($A436="","",IF(D436="Hourly",ROUND(F436*N(INDEX(Workers!$N$5:$N$2004,MATCH($A436,Workers!$A$5:$A$2004,0))),2),0))</f>
        <v/>
      </c>
      <c r="M436" s="26" t="str">
        <f aca="false">IF($A436="","",ROUND(G436*IF(D436="Hourly",N(INDEX(Workers!$N$5:$N$2004,MATCH($A436,Workers!$A$5:$A$2004,0))),I436/Settings!$B$10/Settings!$B$12)*Settings!$B$13,2))</f>
        <v/>
      </c>
      <c r="N436" s="26" t="str">
        <f aca="false">IF($A436="","",K436+L436+M436)</f>
        <v/>
      </c>
      <c r="O436" s="26" t="str">
        <f aca="false">IF($A436="","",SUMIFS(Deductions!$D$5:$D$2000,Deductions!$B$5:$B$2000,$A436,Deductions!$C$5:$C$2000,"Advance",Deductions!$E$5:$E$2000,"&gt;="&amp;Settings!$B$8,Deductions!$E$5:$E$2000,"&lt;="&amp;Settings!$B$9))</f>
        <v/>
      </c>
      <c r="P436" s="26" t="str">
        <f aca="false">IF($A436="","",SUMIFS(Deductions!$D$5:$D$2000,Deductions!$B$5:$B$2000,$A436,Deductions!$E$5:$E$2000,"&gt;="&amp;Settings!$B$8,Deductions!$E$5:$E$2000,"&lt;="&amp;Settings!$B$9)-O436)</f>
        <v/>
      </c>
      <c r="Q436" s="26" t="str">
        <f aca="false">IF($A436="","",O436+P436)</f>
        <v/>
      </c>
      <c r="R436" s="23" t="str">
        <f aca="false">IF($A436="","",N436-Q436)</f>
        <v/>
      </c>
      <c r="S436" s="24" t="str">
        <f aca="false">IF($A436="","",INDEX(Workers!$O$5:$O$2004,MATCH($A436,Workers!$A$5:$A$2004,0))&amp;"")</f>
        <v/>
      </c>
      <c r="T436" s="24" t="str">
        <f aca="false">IF($A436="","",INDEX(Workers!$P$5:$P$2004,MATCH($A436,Workers!$A$5:$A$2004,0))&amp;"")</f>
        <v/>
      </c>
      <c r="U436" s="24" t="str">
        <f aca="false">IF($A436="","",INDEX(Workers!$H$5:$H$2004,MATCH($A436,Workers!$A$5:$A$2004,0))&amp;"")</f>
        <v/>
      </c>
    </row>
    <row r="437" customFormat="false" ht="15" hidden="false" customHeight="false" outlineLevel="0" collapsed="false">
      <c r="A437" s="24" t="str">
        <f aca="false">IFERROR(INDEX(Workers!$A$5:$A$2004,MATCH(ROW()-4,Workers!$U$5:$U$2004,0)),"")</f>
        <v/>
      </c>
      <c r="B437" s="24" t="str">
        <f aca="false">IF($A437="","",INDEX(Workers!$B$5:$B$2004,MATCH($A437,Workers!$A$5:$A$2004,0)))</f>
        <v/>
      </c>
      <c r="C437" s="24" t="str">
        <f aca="false">IF($A437="","",INDEX(Workers!$E$5:$E$2004,MATCH($A437,Workers!$A$5:$A$2004,0)))</f>
        <v/>
      </c>
      <c r="D437" s="24" t="str">
        <f aca="false">IF($A437="","",INDEX(Workers!$K$5:$K$2004,MATCH($A437,Workers!$A$5:$A$2004,0)))</f>
        <v/>
      </c>
      <c r="E437" s="25" t="str">
        <f aca="false">IF($A437="","",SUMIFS(Timesheet!$E$5:$E$3004,Timesheet!$D$5:$D$3004,$A437,Timesheet!$A$5:$A$3004,"&gt;="&amp;Settings!$B$8,Timesheet!$A$5:$A$3004,"&lt;="&amp;Settings!$B$9))</f>
        <v/>
      </c>
      <c r="F437" s="25" t="str">
        <f aca="false">IF($A437="","",SUMIFS(Timesheet!$F$5:$F$3004,Timesheet!$D$5:$D$3004,$A437,Timesheet!$A$5:$A$3004,"&gt;="&amp;Settings!$B$8,Timesheet!$A$5:$A$3004,"&lt;="&amp;Settings!$B$9))</f>
        <v/>
      </c>
      <c r="G437" s="25" t="str">
        <f aca="false">IF($A437="","",SUMIFS(Timesheet!$G$5:$G$3004,Timesheet!$D$5:$D$3004,$A437,Timesheet!$A$5:$A$3004,"&gt;="&amp;Settings!$B$8,Timesheet!$A$5:$A$3004,"&lt;="&amp;Settings!$B$9))</f>
        <v/>
      </c>
      <c r="H437" s="25" t="str">
        <f aca="false">IF($A437="","",IF(D437="Monthly",MAX(0,Settings!$B$11-E437),0))</f>
        <v/>
      </c>
      <c r="I437" s="26" t="str">
        <f aca="false">IF($A437="","",N(INDEX(Workers!$L$5:$L$2004,MATCH($A437,Workers!$A$5:$A$2004,0))))</f>
        <v/>
      </c>
      <c r="J437" s="26" t="str">
        <f aca="false">IF($A437="","",N(INDEX(Workers!$M$5:$M$2004,MATCH($A437,Workers!$A$5:$A$2004,0))))</f>
        <v/>
      </c>
      <c r="K437" s="26" t="str">
        <f aca="false">IF($A437="","",IF(D437="Monthly",ROUND(MAX(0,(I437+J437)-(I437+J437)/Settings!$B$10*H437),2),0))</f>
        <v/>
      </c>
      <c r="L437" s="26" t="str">
        <f aca="false">IF($A437="","",IF(D437="Hourly",ROUND(F437*N(INDEX(Workers!$N$5:$N$2004,MATCH($A437,Workers!$A$5:$A$2004,0))),2),0))</f>
        <v/>
      </c>
      <c r="M437" s="26" t="str">
        <f aca="false">IF($A437="","",ROUND(G437*IF(D437="Hourly",N(INDEX(Workers!$N$5:$N$2004,MATCH($A437,Workers!$A$5:$A$2004,0))),I437/Settings!$B$10/Settings!$B$12)*Settings!$B$13,2))</f>
        <v/>
      </c>
      <c r="N437" s="26" t="str">
        <f aca="false">IF($A437="","",K437+L437+M437)</f>
        <v/>
      </c>
      <c r="O437" s="26" t="str">
        <f aca="false">IF($A437="","",SUMIFS(Deductions!$D$5:$D$2000,Deductions!$B$5:$B$2000,$A437,Deductions!$C$5:$C$2000,"Advance",Deductions!$E$5:$E$2000,"&gt;="&amp;Settings!$B$8,Deductions!$E$5:$E$2000,"&lt;="&amp;Settings!$B$9))</f>
        <v/>
      </c>
      <c r="P437" s="26" t="str">
        <f aca="false">IF($A437="","",SUMIFS(Deductions!$D$5:$D$2000,Deductions!$B$5:$B$2000,$A437,Deductions!$E$5:$E$2000,"&gt;="&amp;Settings!$B$8,Deductions!$E$5:$E$2000,"&lt;="&amp;Settings!$B$9)-O437)</f>
        <v/>
      </c>
      <c r="Q437" s="26" t="str">
        <f aca="false">IF($A437="","",O437+P437)</f>
        <v/>
      </c>
      <c r="R437" s="23" t="str">
        <f aca="false">IF($A437="","",N437-Q437)</f>
        <v/>
      </c>
      <c r="S437" s="24" t="str">
        <f aca="false">IF($A437="","",INDEX(Workers!$O$5:$O$2004,MATCH($A437,Workers!$A$5:$A$2004,0))&amp;"")</f>
        <v/>
      </c>
      <c r="T437" s="24" t="str">
        <f aca="false">IF($A437="","",INDEX(Workers!$P$5:$P$2004,MATCH($A437,Workers!$A$5:$A$2004,0))&amp;"")</f>
        <v/>
      </c>
      <c r="U437" s="24" t="str">
        <f aca="false">IF($A437="","",INDEX(Workers!$H$5:$H$2004,MATCH($A437,Workers!$A$5:$A$2004,0))&amp;"")</f>
        <v/>
      </c>
    </row>
    <row r="438" customFormat="false" ht="15" hidden="false" customHeight="false" outlineLevel="0" collapsed="false">
      <c r="A438" s="24" t="str">
        <f aca="false">IFERROR(INDEX(Workers!$A$5:$A$2004,MATCH(ROW()-4,Workers!$U$5:$U$2004,0)),"")</f>
        <v/>
      </c>
      <c r="B438" s="24" t="str">
        <f aca="false">IF($A438="","",INDEX(Workers!$B$5:$B$2004,MATCH($A438,Workers!$A$5:$A$2004,0)))</f>
        <v/>
      </c>
      <c r="C438" s="24" t="str">
        <f aca="false">IF($A438="","",INDEX(Workers!$E$5:$E$2004,MATCH($A438,Workers!$A$5:$A$2004,0)))</f>
        <v/>
      </c>
      <c r="D438" s="24" t="str">
        <f aca="false">IF($A438="","",INDEX(Workers!$K$5:$K$2004,MATCH($A438,Workers!$A$5:$A$2004,0)))</f>
        <v/>
      </c>
      <c r="E438" s="25" t="str">
        <f aca="false">IF($A438="","",SUMIFS(Timesheet!$E$5:$E$3004,Timesheet!$D$5:$D$3004,$A438,Timesheet!$A$5:$A$3004,"&gt;="&amp;Settings!$B$8,Timesheet!$A$5:$A$3004,"&lt;="&amp;Settings!$B$9))</f>
        <v/>
      </c>
      <c r="F438" s="25" t="str">
        <f aca="false">IF($A438="","",SUMIFS(Timesheet!$F$5:$F$3004,Timesheet!$D$5:$D$3004,$A438,Timesheet!$A$5:$A$3004,"&gt;="&amp;Settings!$B$8,Timesheet!$A$5:$A$3004,"&lt;="&amp;Settings!$B$9))</f>
        <v/>
      </c>
      <c r="G438" s="25" t="str">
        <f aca="false">IF($A438="","",SUMIFS(Timesheet!$G$5:$G$3004,Timesheet!$D$5:$D$3004,$A438,Timesheet!$A$5:$A$3004,"&gt;="&amp;Settings!$B$8,Timesheet!$A$5:$A$3004,"&lt;="&amp;Settings!$B$9))</f>
        <v/>
      </c>
      <c r="H438" s="25" t="str">
        <f aca="false">IF($A438="","",IF(D438="Monthly",MAX(0,Settings!$B$11-E438),0))</f>
        <v/>
      </c>
      <c r="I438" s="26" t="str">
        <f aca="false">IF($A438="","",N(INDEX(Workers!$L$5:$L$2004,MATCH($A438,Workers!$A$5:$A$2004,0))))</f>
        <v/>
      </c>
      <c r="J438" s="26" t="str">
        <f aca="false">IF($A438="","",N(INDEX(Workers!$M$5:$M$2004,MATCH($A438,Workers!$A$5:$A$2004,0))))</f>
        <v/>
      </c>
      <c r="K438" s="26" t="str">
        <f aca="false">IF($A438="","",IF(D438="Monthly",ROUND(MAX(0,(I438+J438)-(I438+J438)/Settings!$B$10*H438),2),0))</f>
        <v/>
      </c>
      <c r="L438" s="26" t="str">
        <f aca="false">IF($A438="","",IF(D438="Hourly",ROUND(F438*N(INDEX(Workers!$N$5:$N$2004,MATCH($A438,Workers!$A$5:$A$2004,0))),2),0))</f>
        <v/>
      </c>
      <c r="M438" s="26" t="str">
        <f aca="false">IF($A438="","",ROUND(G438*IF(D438="Hourly",N(INDEX(Workers!$N$5:$N$2004,MATCH($A438,Workers!$A$5:$A$2004,0))),I438/Settings!$B$10/Settings!$B$12)*Settings!$B$13,2))</f>
        <v/>
      </c>
      <c r="N438" s="26" t="str">
        <f aca="false">IF($A438="","",K438+L438+M438)</f>
        <v/>
      </c>
      <c r="O438" s="26" t="str">
        <f aca="false">IF($A438="","",SUMIFS(Deductions!$D$5:$D$2000,Deductions!$B$5:$B$2000,$A438,Deductions!$C$5:$C$2000,"Advance",Deductions!$E$5:$E$2000,"&gt;="&amp;Settings!$B$8,Deductions!$E$5:$E$2000,"&lt;="&amp;Settings!$B$9))</f>
        <v/>
      </c>
      <c r="P438" s="26" t="str">
        <f aca="false">IF($A438="","",SUMIFS(Deductions!$D$5:$D$2000,Deductions!$B$5:$B$2000,$A438,Deductions!$E$5:$E$2000,"&gt;="&amp;Settings!$B$8,Deductions!$E$5:$E$2000,"&lt;="&amp;Settings!$B$9)-O438)</f>
        <v/>
      </c>
      <c r="Q438" s="26" t="str">
        <f aca="false">IF($A438="","",O438+P438)</f>
        <v/>
      </c>
      <c r="R438" s="23" t="str">
        <f aca="false">IF($A438="","",N438-Q438)</f>
        <v/>
      </c>
      <c r="S438" s="24" t="str">
        <f aca="false">IF($A438="","",INDEX(Workers!$O$5:$O$2004,MATCH($A438,Workers!$A$5:$A$2004,0))&amp;"")</f>
        <v/>
      </c>
      <c r="T438" s="24" t="str">
        <f aca="false">IF($A438="","",INDEX(Workers!$P$5:$P$2004,MATCH($A438,Workers!$A$5:$A$2004,0))&amp;"")</f>
        <v/>
      </c>
      <c r="U438" s="24" t="str">
        <f aca="false">IF($A438="","",INDEX(Workers!$H$5:$H$2004,MATCH($A438,Workers!$A$5:$A$2004,0))&amp;"")</f>
        <v/>
      </c>
    </row>
    <row r="439" customFormat="false" ht="15" hidden="false" customHeight="false" outlineLevel="0" collapsed="false">
      <c r="A439" s="24" t="str">
        <f aca="false">IFERROR(INDEX(Workers!$A$5:$A$2004,MATCH(ROW()-4,Workers!$U$5:$U$2004,0)),"")</f>
        <v/>
      </c>
      <c r="B439" s="24" t="str">
        <f aca="false">IF($A439="","",INDEX(Workers!$B$5:$B$2004,MATCH($A439,Workers!$A$5:$A$2004,0)))</f>
        <v/>
      </c>
      <c r="C439" s="24" t="str">
        <f aca="false">IF($A439="","",INDEX(Workers!$E$5:$E$2004,MATCH($A439,Workers!$A$5:$A$2004,0)))</f>
        <v/>
      </c>
      <c r="D439" s="24" t="str">
        <f aca="false">IF($A439="","",INDEX(Workers!$K$5:$K$2004,MATCH($A439,Workers!$A$5:$A$2004,0)))</f>
        <v/>
      </c>
      <c r="E439" s="25" t="str">
        <f aca="false">IF($A439="","",SUMIFS(Timesheet!$E$5:$E$3004,Timesheet!$D$5:$D$3004,$A439,Timesheet!$A$5:$A$3004,"&gt;="&amp;Settings!$B$8,Timesheet!$A$5:$A$3004,"&lt;="&amp;Settings!$B$9))</f>
        <v/>
      </c>
      <c r="F439" s="25" t="str">
        <f aca="false">IF($A439="","",SUMIFS(Timesheet!$F$5:$F$3004,Timesheet!$D$5:$D$3004,$A439,Timesheet!$A$5:$A$3004,"&gt;="&amp;Settings!$B$8,Timesheet!$A$5:$A$3004,"&lt;="&amp;Settings!$B$9))</f>
        <v/>
      </c>
      <c r="G439" s="25" t="str">
        <f aca="false">IF($A439="","",SUMIFS(Timesheet!$G$5:$G$3004,Timesheet!$D$5:$D$3004,$A439,Timesheet!$A$5:$A$3004,"&gt;="&amp;Settings!$B$8,Timesheet!$A$5:$A$3004,"&lt;="&amp;Settings!$B$9))</f>
        <v/>
      </c>
      <c r="H439" s="25" t="str">
        <f aca="false">IF($A439="","",IF(D439="Monthly",MAX(0,Settings!$B$11-E439),0))</f>
        <v/>
      </c>
      <c r="I439" s="26" t="str">
        <f aca="false">IF($A439="","",N(INDEX(Workers!$L$5:$L$2004,MATCH($A439,Workers!$A$5:$A$2004,0))))</f>
        <v/>
      </c>
      <c r="J439" s="26" t="str">
        <f aca="false">IF($A439="","",N(INDEX(Workers!$M$5:$M$2004,MATCH($A439,Workers!$A$5:$A$2004,0))))</f>
        <v/>
      </c>
      <c r="K439" s="26" t="str">
        <f aca="false">IF($A439="","",IF(D439="Monthly",ROUND(MAX(0,(I439+J439)-(I439+J439)/Settings!$B$10*H439),2),0))</f>
        <v/>
      </c>
      <c r="L439" s="26" t="str">
        <f aca="false">IF($A439="","",IF(D439="Hourly",ROUND(F439*N(INDEX(Workers!$N$5:$N$2004,MATCH($A439,Workers!$A$5:$A$2004,0))),2),0))</f>
        <v/>
      </c>
      <c r="M439" s="26" t="str">
        <f aca="false">IF($A439="","",ROUND(G439*IF(D439="Hourly",N(INDEX(Workers!$N$5:$N$2004,MATCH($A439,Workers!$A$5:$A$2004,0))),I439/Settings!$B$10/Settings!$B$12)*Settings!$B$13,2))</f>
        <v/>
      </c>
      <c r="N439" s="26" t="str">
        <f aca="false">IF($A439="","",K439+L439+M439)</f>
        <v/>
      </c>
      <c r="O439" s="26" t="str">
        <f aca="false">IF($A439="","",SUMIFS(Deductions!$D$5:$D$2000,Deductions!$B$5:$B$2000,$A439,Deductions!$C$5:$C$2000,"Advance",Deductions!$E$5:$E$2000,"&gt;="&amp;Settings!$B$8,Deductions!$E$5:$E$2000,"&lt;="&amp;Settings!$B$9))</f>
        <v/>
      </c>
      <c r="P439" s="26" t="str">
        <f aca="false">IF($A439="","",SUMIFS(Deductions!$D$5:$D$2000,Deductions!$B$5:$B$2000,$A439,Deductions!$E$5:$E$2000,"&gt;="&amp;Settings!$B$8,Deductions!$E$5:$E$2000,"&lt;="&amp;Settings!$B$9)-O439)</f>
        <v/>
      </c>
      <c r="Q439" s="26" t="str">
        <f aca="false">IF($A439="","",O439+P439)</f>
        <v/>
      </c>
      <c r="R439" s="23" t="str">
        <f aca="false">IF($A439="","",N439-Q439)</f>
        <v/>
      </c>
      <c r="S439" s="24" t="str">
        <f aca="false">IF($A439="","",INDEX(Workers!$O$5:$O$2004,MATCH($A439,Workers!$A$5:$A$2004,0))&amp;"")</f>
        <v/>
      </c>
      <c r="T439" s="24" t="str">
        <f aca="false">IF($A439="","",INDEX(Workers!$P$5:$P$2004,MATCH($A439,Workers!$A$5:$A$2004,0))&amp;"")</f>
        <v/>
      </c>
      <c r="U439" s="24" t="str">
        <f aca="false">IF($A439="","",INDEX(Workers!$H$5:$H$2004,MATCH($A439,Workers!$A$5:$A$2004,0))&amp;"")</f>
        <v/>
      </c>
    </row>
    <row r="440" customFormat="false" ht="15" hidden="false" customHeight="false" outlineLevel="0" collapsed="false">
      <c r="A440" s="24" t="str">
        <f aca="false">IFERROR(INDEX(Workers!$A$5:$A$2004,MATCH(ROW()-4,Workers!$U$5:$U$2004,0)),"")</f>
        <v/>
      </c>
      <c r="B440" s="24" t="str">
        <f aca="false">IF($A440="","",INDEX(Workers!$B$5:$B$2004,MATCH($A440,Workers!$A$5:$A$2004,0)))</f>
        <v/>
      </c>
      <c r="C440" s="24" t="str">
        <f aca="false">IF($A440="","",INDEX(Workers!$E$5:$E$2004,MATCH($A440,Workers!$A$5:$A$2004,0)))</f>
        <v/>
      </c>
      <c r="D440" s="24" t="str">
        <f aca="false">IF($A440="","",INDEX(Workers!$K$5:$K$2004,MATCH($A440,Workers!$A$5:$A$2004,0)))</f>
        <v/>
      </c>
      <c r="E440" s="25" t="str">
        <f aca="false">IF($A440="","",SUMIFS(Timesheet!$E$5:$E$3004,Timesheet!$D$5:$D$3004,$A440,Timesheet!$A$5:$A$3004,"&gt;="&amp;Settings!$B$8,Timesheet!$A$5:$A$3004,"&lt;="&amp;Settings!$B$9))</f>
        <v/>
      </c>
      <c r="F440" s="25" t="str">
        <f aca="false">IF($A440="","",SUMIFS(Timesheet!$F$5:$F$3004,Timesheet!$D$5:$D$3004,$A440,Timesheet!$A$5:$A$3004,"&gt;="&amp;Settings!$B$8,Timesheet!$A$5:$A$3004,"&lt;="&amp;Settings!$B$9))</f>
        <v/>
      </c>
      <c r="G440" s="25" t="str">
        <f aca="false">IF($A440="","",SUMIFS(Timesheet!$G$5:$G$3004,Timesheet!$D$5:$D$3004,$A440,Timesheet!$A$5:$A$3004,"&gt;="&amp;Settings!$B$8,Timesheet!$A$5:$A$3004,"&lt;="&amp;Settings!$B$9))</f>
        <v/>
      </c>
      <c r="H440" s="25" t="str">
        <f aca="false">IF($A440="","",IF(D440="Monthly",MAX(0,Settings!$B$11-E440),0))</f>
        <v/>
      </c>
      <c r="I440" s="26" t="str">
        <f aca="false">IF($A440="","",N(INDEX(Workers!$L$5:$L$2004,MATCH($A440,Workers!$A$5:$A$2004,0))))</f>
        <v/>
      </c>
      <c r="J440" s="26" t="str">
        <f aca="false">IF($A440="","",N(INDEX(Workers!$M$5:$M$2004,MATCH($A440,Workers!$A$5:$A$2004,0))))</f>
        <v/>
      </c>
      <c r="K440" s="26" t="str">
        <f aca="false">IF($A440="","",IF(D440="Monthly",ROUND(MAX(0,(I440+J440)-(I440+J440)/Settings!$B$10*H440),2),0))</f>
        <v/>
      </c>
      <c r="L440" s="26" t="str">
        <f aca="false">IF($A440="","",IF(D440="Hourly",ROUND(F440*N(INDEX(Workers!$N$5:$N$2004,MATCH($A440,Workers!$A$5:$A$2004,0))),2),0))</f>
        <v/>
      </c>
      <c r="M440" s="26" t="str">
        <f aca="false">IF($A440="","",ROUND(G440*IF(D440="Hourly",N(INDEX(Workers!$N$5:$N$2004,MATCH($A440,Workers!$A$5:$A$2004,0))),I440/Settings!$B$10/Settings!$B$12)*Settings!$B$13,2))</f>
        <v/>
      </c>
      <c r="N440" s="26" t="str">
        <f aca="false">IF($A440="","",K440+L440+M440)</f>
        <v/>
      </c>
      <c r="O440" s="26" t="str">
        <f aca="false">IF($A440="","",SUMIFS(Deductions!$D$5:$D$2000,Deductions!$B$5:$B$2000,$A440,Deductions!$C$5:$C$2000,"Advance",Deductions!$E$5:$E$2000,"&gt;="&amp;Settings!$B$8,Deductions!$E$5:$E$2000,"&lt;="&amp;Settings!$B$9))</f>
        <v/>
      </c>
      <c r="P440" s="26" t="str">
        <f aca="false">IF($A440="","",SUMIFS(Deductions!$D$5:$D$2000,Deductions!$B$5:$B$2000,$A440,Deductions!$E$5:$E$2000,"&gt;="&amp;Settings!$B$8,Deductions!$E$5:$E$2000,"&lt;="&amp;Settings!$B$9)-O440)</f>
        <v/>
      </c>
      <c r="Q440" s="26" t="str">
        <f aca="false">IF($A440="","",O440+P440)</f>
        <v/>
      </c>
      <c r="R440" s="23" t="str">
        <f aca="false">IF($A440="","",N440-Q440)</f>
        <v/>
      </c>
      <c r="S440" s="24" t="str">
        <f aca="false">IF($A440="","",INDEX(Workers!$O$5:$O$2004,MATCH($A440,Workers!$A$5:$A$2004,0))&amp;"")</f>
        <v/>
      </c>
      <c r="T440" s="24" t="str">
        <f aca="false">IF($A440="","",INDEX(Workers!$P$5:$P$2004,MATCH($A440,Workers!$A$5:$A$2004,0))&amp;"")</f>
        <v/>
      </c>
      <c r="U440" s="24" t="str">
        <f aca="false">IF($A440="","",INDEX(Workers!$H$5:$H$2004,MATCH($A440,Workers!$A$5:$A$2004,0))&amp;"")</f>
        <v/>
      </c>
    </row>
    <row r="441" customFormat="false" ht="15" hidden="false" customHeight="false" outlineLevel="0" collapsed="false">
      <c r="A441" s="24" t="str">
        <f aca="false">IFERROR(INDEX(Workers!$A$5:$A$2004,MATCH(ROW()-4,Workers!$U$5:$U$2004,0)),"")</f>
        <v/>
      </c>
      <c r="B441" s="24" t="str">
        <f aca="false">IF($A441="","",INDEX(Workers!$B$5:$B$2004,MATCH($A441,Workers!$A$5:$A$2004,0)))</f>
        <v/>
      </c>
      <c r="C441" s="24" t="str">
        <f aca="false">IF($A441="","",INDEX(Workers!$E$5:$E$2004,MATCH($A441,Workers!$A$5:$A$2004,0)))</f>
        <v/>
      </c>
      <c r="D441" s="24" t="str">
        <f aca="false">IF($A441="","",INDEX(Workers!$K$5:$K$2004,MATCH($A441,Workers!$A$5:$A$2004,0)))</f>
        <v/>
      </c>
      <c r="E441" s="25" t="str">
        <f aca="false">IF($A441="","",SUMIFS(Timesheet!$E$5:$E$3004,Timesheet!$D$5:$D$3004,$A441,Timesheet!$A$5:$A$3004,"&gt;="&amp;Settings!$B$8,Timesheet!$A$5:$A$3004,"&lt;="&amp;Settings!$B$9))</f>
        <v/>
      </c>
      <c r="F441" s="25" t="str">
        <f aca="false">IF($A441="","",SUMIFS(Timesheet!$F$5:$F$3004,Timesheet!$D$5:$D$3004,$A441,Timesheet!$A$5:$A$3004,"&gt;="&amp;Settings!$B$8,Timesheet!$A$5:$A$3004,"&lt;="&amp;Settings!$B$9))</f>
        <v/>
      </c>
      <c r="G441" s="25" t="str">
        <f aca="false">IF($A441="","",SUMIFS(Timesheet!$G$5:$G$3004,Timesheet!$D$5:$D$3004,$A441,Timesheet!$A$5:$A$3004,"&gt;="&amp;Settings!$B$8,Timesheet!$A$5:$A$3004,"&lt;="&amp;Settings!$B$9))</f>
        <v/>
      </c>
      <c r="H441" s="25" t="str">
        <f aca="false">IF($A441="","",IF(D441="Monthly",MAX(0,Settings!$B$11-E441),0))</f>
        <v/>
      </c>
      <c r="I441" s="26" t="str">
        <f aca="false">IF($A441="","",N(INDEX(Workers!$L$5:$L$2004,MATCH($A441,Workers!$A$5:$A$2004,0))))</f>
        <v/>
      </c>
      <c r="J441" s="26" t="str">
        <f aca="false">IF($A441="","",N(INDEX(Workers!$M$5:$M$2004,MATCH($A441,Workers!$A$5:$A$2004,0))))</f>
        <v/>
      </c>
      <c r="K441" s="26" t="str">
        <f aca="false">IF($A441="","",IF(D441="Monthly",ROUND(MAX(0,(I441+J441)-(I441+J441)/Settings!$B$10*H441),2),0))</f>
        <v/>
      </c>
      <c r="L441" s="26" t="str">
        <f aca="false">IF($A441="","",IF(D441="Hourly",ROUND(F441*N(INDEX(Workers!$N$5:$N$2004,MATCH($A441,Workers!$A$5:$A$2004,0))),2),0))</f>
        <v/>
      </c>
      <c r="M441" s="26" t="str">
        <f aca="false">IF($A441="","",ROUND(G441*IF(D441="Hourly",N(INDEX(Workers!$N$5:$N$2004,MATCH($A441,Workers!$A$5:$A$2004,0))),I441/Settings!$B$10/Settings!$B$12)*Settings!$B$13,2))</f>
        <v/>
      </c>
      <c r="N441" s="26" t="str">
        <f aca="false">IF($A441="","",K441+L441+M441)</f>
        <v/>
      </c>
      <c r="O441" s="26" t="str">
        <f aca="false">IF($A441="","",SUMIFS(Deductions!$D$5:$D$2000,Deductions!$B$5:$B$2000,$A441,Deductions!$C$5:$C$2000,"Advance",Deductions!$E$5:$E$2000,"&gt;="&amp;Settings!$B$8,Deductions!$E$5:$E$2000,"&lt;="&amp;Settings!$B$9))</f>
        <v/>
      </c>
      <c r="P441" s="26" t="str">
        <f aca="false">IF($A441="","",SUMIFS(Deductions!$D$5:$D$2000,Deductions!$B$5:$B$2000,$A441,Deductions!$E$5:$E$2000,"&gt;="&amp;Settings!$B$8,Deductions!$E$5:$E$2000,"&lt;="&amp;Settings!$B$9)-O441)</f>
        <v/>
      </c>
      <c r="Q441" s="26" t="str">
        <f aca="false">IF($A441="","",O441+P441)</f>
        <v/>
      </c>
      <c r="R441" s="23" t="str">
        <f aca="false">IF($A441="","",N441-Q441)</f>
        <v/>
      </c>
      <c r="S441" s="24" t="str">
        <f aca="false">IF($A441="","",INDEX(Workers!$O$5:$O$2004,MATCH($A441,Workers!$A$5:$A$2004,0))&amp;"")</f>
        <v/>
      </c>
      <c r="T441" s="24" t="str">
        <f aca="false">IF($A441="","",INDEX(Workers!$P$5:$P$2004,MATCH($A441,Workers!$A$5:$A$2004,0))&amp;"")</f>
        <v/>
      </c>
      <c r="U441" s="24" t="str">
        <f aca="false">IF($A441="","",INDEX(Workers!$H$5:$H$2004,MATCH($A441,Workers!$A$5:$A$2004,0))&amp;"")</f>
        <v/>
      </c>
    </row>
    <row r="442" customFormat="false" ht="15" hidden="false" customHeight="false" outlineLevel="0" collapsed="false">
      <c r="A442" s="24" t="str">
        <f aca="false">IFERROR(INDEX(Workers!$A$5:$A$2004,MATCH(ROW()-4,Workers!$U$5:$U$2004,0)),"")</f>
        <v/>
      </c>
      <c r="B442" s="24" t="str">
        <f aca="false">IF($A442="","",INDEX(Workers!$B$5:$B$2004,MATCH($A442,Workers!$A$5:$A$2004,0)))</f>
        <v/>
      </c>
      <c r="C442" s="24" t="str">
        <f aca="false">IF($A442="","",INDEX(Workers!$E$5:$E$2004,MATCH($A442,Workers!$A$5:$A$2004,0)))</f>
        <v/>
      </c>
      <c r="D442" s="24" t="str">
        <f aca="false">IF($A442="","",INDEX(Workers!$K$5:$K$2004,MATCH($A442,Workers!$A$5:$A$2004,0)))</f>
        <v/>
      </c>
      <c r="E442" s="25" t="str">
        <f aca="false">IF($A442="","",SUMIFS(Timesheet!$E$5:$E$3004,Timesheet!$D$5:$D$3004,$A442,Timesheet!$A$5:$A$3004,"&gt;="&amp;Settings!$B$8,Timesheet!$A$5:$A$3004,"&lt;="&amp;Settings!$B$9))</f>
        <v/>
      </c>
      <c r="F442" s="25" t="str">
        <f aca="false">IF($A442="","",SUMIFS(Timesheet!$F$5:$F$3004,Timesheet!$D$5:$D$3004,$A442,Timesheet!$A$5:$A$3004,"&gt;="&amp;Settings!$B$8,Timesheet!$A$5:$A$3004,"&lt;="&amp;Settings!$B$9))</f>
        <v/>
      </c>
      <c r="G442" s="25" t="str">
        <f aca="false">IF($A442="","",SUMIFS(Timesheet!$G$5:$G$3004,Timesheet!$D$5:$D$3004,$A442,Timesheet!$A$5:$A$3004,"&gt;="&amp;Settings!$B$8,Timesheet!$A$5:$A$3004,"&lt;="&amp;Settings!$B$9))</f>
        <v/>
      </c>
      <c r="H442" s="25" t="str">
        <f aca="false">IF($A442="","",IF(D442="Monthly",MAX(0,Settings!$B$11-E442),0))</f>
        <v/>
      </c>
      <c r="I442" s="26" t="str">
        <f aca="false">IF($A442="","",N(INDEX(Workers!$L$5:$L$2004,MATCH($A442,Workers!$A$5:$A$2004,0))))</f>
        <v/>
      </c>
      <c r="J442" s="26" t="str">
        <f aca="false">IF($A442="","",N(INDEX(Workers!$M$5:$M$2004,MATCH($A442,Workers!$A$5:$A$2004,0))))</f>
        <v/>
      </c>
      <c r="K442" s="26" t="str">
        <f aca="false">IF($A442="","",IF(D442="Monthly",ROUND(MAX(0,(I442+J442)-(I442+J442)/Settings!$B$10*H442),2),0))</f>
        <v/>
      </c>
      <c r="L442" s="26" t="str">
        <f aca="false">IF($A442="","",IF(D442="Hourly",ROUND(F442*N(INDEX(Workers!$N$5:$N$2004,MATCH($A442,Workers!$A$5:$A$2004,0))),2),0))</f>
        <v/>
      </c>
      <c r="M442" s="26" t="str">
        <f aca="false">IF($A442="","",ROUND(G442*IF(D442="Hourly",N(INDEX(Workers!$N$5:$N$2004,MATCH($A442,Workers!$A$5:$A$2004,0))),I442/Settings!$B$10/Settings!$B$12)*Settings!$B$13,2))</f>
        <v/>
      </c>
      <c r="N442" s="26" t="str">
        <f aca="false">IF($A442="","",K442+L442+M442)</f>
        <v/>
      </c>
      <c r="O442" s="26" t="str">
        <f aca="false">IF($A442="","",SUMIFS(Deductions!$D$5:$D$2000,Deductions!$B$5:$B$2000,$A442,Deductions!$C$5:$C$2000,"Advance",Deductions!$E$5:$E$2000,"&gt;="&amp;Settings!$B$8,Deductions!$E$5:$E$2000,"&lt;="&amp;Settings!$B$9))</f>
        <v/>
      </c>
      <c r="P442" s="26" t="str">
        <f aca="false">IF($A442="","",SUMIFS(Deductions!$D$5:$D$2000,Deductions!$B$5:$B$2000,$A442,Deductions!$E$5:$E$2000,"&gt;="&amp;Settings!$B$8,Deductions!$E$5:$E$2000,"&lt;="&amp;Settings!$B$9)-O442)</f>
        <v/>
      </c>
      <c r="Q442" s="26" t="str">
        <f aca="false">IF($A442="","",O442+P442)</f>
        <v/>
      </c>
      <c r="R442" s="23" t="str">
        <f aca="false">IF($A442="","",N442-Q442)</f>
        <v/>
      </c>
      <c r="S442" s="24" t="str">
        <f aca="false">IF($A442="","",INDEX(Workers!$O$5:$O$2004,MATCH($A442,Workers!$A$5:$A$2004,0))&amp;"")</f>
        <v/>
      </c>
      <c r="T442" s="24" t="str">
        <f aca="false">IF($A442="","",INDEX(Workers!$P$5:$P$2004,MATCH($A442,Workers!$A$5:$A$2004,0))&amp;"")</f>
        <v/>
      </c>
      <c r="U442" s="24" t="str">
        <f aca="false">IF($A442="","",INDEX(Workers!$H$5:$H$2004,MATCH($A442,Workers!$A$5:$A$2004,0))&amp;"")</f>
        <v/>
      </c>
    </row>
    <row r="443" customFormat="false" ht="15" hidden="false" customHeight="false" outlineLevel="0" collapsed="false">
      <c r="A443" s="24" t="str">
        <f aca="false">IFERROR(INDEX(Workers!$A$5:$A$2004,MATCH(ROW()-4,Workers!$U$5:$U$2004,0)),"")</f>
        <v/>
      </c>
      <c r="B443" s="24" t="str">
        <f aca="false">IF($A443="","",INDEX(Workers!$B$5:$B$2004,MATCH($A443,Workers!$A$5:$A$2004,0)))</f>
        <v/>
      </c>
      <c r="C443" s="24" t="str">
        <f aca="false">IF($A443="","",INDEX(Workers!$E$5:$E$2004,MATCH($A443,Workers!$A$5:$A$2004,0)))</f>
        <v/>
      </c>
      <c r="D443" s="24" t="str">
        <f aca="false">IF($A443="","",INDEX(Workers!$K$5:$K$2004,MATCH($A443,Workers!$A$5:$A$2004,0)))</f>
        <v/>
      </c>
      <c r="E443" s="25" t="str">
        <f aca="false">IF($A443="","",SUMIFS(Timesheet!$E$5:$E$3004,Timesheet!$D$5:$D$3004,$A443,Timesheet!$A$5:$A$3004,"&gt;="&amp;Settings!$B$8,Timesheet!$A$5:$A$3004,"&lt;="&amp;Settings!$B$9))</f>
        <v/>
      </c>
      <c r="F443" s="25" t="str">
        <f aca="false">IF($A443="","",SUMIFS(Timesheet!$F$5:$F$3004,Timesheet!$D$5:$D$3004,$A443,Timesheet!$A$5:$A$3004,"&gt;="&amp;Settings!$B$8,Timesheet!$A$5:$A$3004,"&lt;="&amp;Settings!$B$9))</f>
        <v/>
      </c>
      <c r="G443" s="25" t="str">
        <f aca="false">IF($A443="","",SUMIFS(Timesheet!$G$5:$G$3004,Timesheet!$D$5:$D$3004,$A443,Timesheet!$A$5:$A$3004,"&gt;="&amp;Settings!$B$8,Timesheet!$A$5:$A$3004,"&lt;="&amp;Settings!$B$9))</f>
        <v/>
      </c>
      <c r="H443" s="25" t="str">
        <f aca="false">IF($A443="","",IF(D443="Monthly",MAX(0,Settings!$B$11-E443),0))</f>
        <v/>
      </c>
      <c r="I443" s="26" t="str">
        <f aca="false">IF($A443="","",N(INDEX(Workers!$L$5:$L$2004,MATCH($A443,Workers!$A$5:$A$2004,0))))</f>
        <v/>
      </c>
      <c r="J443" s="26" t="str">
        <f aca="false">IF($A443="","",N(INDEX(Workers!$M$5:$M$2004,MATCH($A443,Workers!$A$5:$A$2004,0))))</f>
        <v/>
      </c>
      <c r="K443" s="26" t="str">
        <f aca="false">IF($A443="","",IF(D443="Monthly",ROUND(MAX(0,(I443+J443)-(I443+J443)/Settings!$B$10*H443),2),0))</f>
        <v/>
      </c>
      <c r="L443" s="26" t="str">
        <f aca="false">IF($A443="","",IF(D443="Hourly",ROUND(F443*N(INDEX(Workers!$N$5:$N$2004,MATCH($A443,Workers!$A$5:$A$2004,0))),2),0))</f>
        <v/>
      </c>
      <c r="M443" s="26" t="str">
        <f aca="false">IF($A443="","",ROUND(G443*IF(D443="Hourly",N(INDEX(Workers!$N$5:$N$2004,MATCH($A443,Workers!$A$5:$A$2004,0))),I443/Settings!$B$10/Settings!$B$12)*Settings!$B$13,2))</f>
        <v/>
      </c>
      <c r="N443" s="26" t="str">
        <f aca="false">IF($A443="","",K443+L443+M443)</f>
        <v/>
      </c>
      <c r="O443" s="26" t="str">
        <f aca="false">IF($A443="","",SUMIFS(Deductions!$D$5:$D$2000,Deductions!$B$5:$B$2000,$A443,Deductions!$C$5:$C$2000,"Advance",Deductions!$E$5:$E$2000,"&gt;="&amp;Settings!$B$8,Deductions!$E$5:$E$2000,"&lt;="&amp;Settings!$B$9))</f>
        <v/>
      </c>
      <c r="P443" s="26" t="str">
        <f aca="false">IF($A443="","",SUMIFS(Deductions!$D$5:$D$2000,Deductions!$B$5:$B$2000,$A443,Deductions!$E$5:$E$2000,"&gt;="&amp;Settings!$B$8,Deductions!$E$5:$E$2000,"&lt;="&amp;Settings!$B$9)-O443)</f>
        <v/>
      </c>
      <c r="Q443" s="26" t="str">
        <f aca="false">IF($A443="","",O443+P443)</f>
        <v/>
      </c>
      <c r="R443" s="23" t="str">
        <f aca="false">IF($A443="","",N443-Q443)</f>
        <v/>
      </c>
      <c r="S443" s="24" t="str">
        <f aca="false">IF($A443="","",INDEX(Workers!$O$5:$O$2004,MATCH($A443,Workers!$A$5:$A$2004,0))&amp;"")</f>
        <v/>
      </c>
      <c r="T443" s="24" t="str">
        <f aca="false">IF($A443="","",INDEX(Workers!$P$5:$P$2004,MATCH($A443,Workers!$A$5:$A$2004,0))&amp;"")</f>
        <v/>
      </c>
      <c r="U443" s="24" t="str">
        <f aca="false">IF($A443="","",INDEX(Workers!$H$5:$H$2004,MATCH($A443,Workers!$A$5:$A$2004,0))&amp;"")</f>
        <v/>
      </c>
    </row>
    <row r="444" customFormat="false" ht="15" hidden="false" customHeight="false" outlineLevel="0" collapsed="false">
      <c r="A444" s="24" t="str">
        <f aca="false">IFERROR(INDEX(Workers!$A$5:$A$2004,MATCH(ROW()-4,Workers!$U$5:$U$2004,0)),"")</f>
        <v/>
      </c>
      <c r="B444" s="24" t="str">
        <f aca="false">IF($A444="","",INDEX(Workers!$B$5:$B$2004,MATCH($A444,Workers!$A$5:$A$2004,0)))</f>
        <v/>
      </c>
      <c r="C444" s="24" t="str">
        <f aca="false">IF($A444="","",INDEX(Workers!$E$5:$E$2004,MATCH($A444,Workers!$A$5:$A$2004,0)))</f>
        <v/>
      </c>
      <c r="D444" s="24" t="str">
        <f aca="false">IF($A444="","",INDEX(Workers!$K$5:$K$2004,MATCH($A444,Workers!$A$5:$A$2004,0)))</f>
        <v/>
      </c>
      <c r="E444" s="25" t="str">
        <f aca="false">IF($A444="","",SUMIFS(Timesheet!$E$5:$E$3004,Timesheet!$D$5:$D$3004,$A444,Timesheet!$A$5:$A$3004,"&gt;="&amp;Settings!$B$8,Timesheet!$A$5:$A$3004,"&lt;="&amp;Settings!$B$9))</f>
        <v/>
      </c>
      <c r="F444" s="25" t="str">
        <f aca="false">IF($A444="","",SUMIFS(Timesheet!$F$5:$F$3004,Timesheet!$D$5:$D$3004,$A444,Timesheet!$A$5:$A$3004,"&gt;="&amp;Settings!$B$8,Timesheet!$A$5:$A$3004,"&lt;="&amp;Settings!$B$9))</f>
        <v/>
      </c>
      <c r="G444" s="25" t="str">
        <f aca="false">IF($A444="","",SUMIFS(Timesheet!$G$5:$G$3004,Timesheet!$D$5:$D$3004,$A444,Timesheet!$A$5:$A$3004,"&gt;="&amp;Settings!$B$8,Timesheet!$A$5:$A$3004,"&lt;="&amp;Settings!$B$9))</f>
        <v/>
      </c>
      <c r="H444" s="25" t="str">
        <f aca="false">IF($A444="","",IF(D444="Monthly",MAX(0,Settings!$B$11-E444),0))</f>
        <v/>
      </c>
      <c r="I444" s="26" t="str">
        <f aca="false">IF($A444="","",N(INDEX(Workers!$L$5:$L$2004,MATCH($A444,Workers!$A$5:$A$2004,0))))</f>
        <v/>
      </c>
      <c r="J444" s="26" t="str">
        <f aca="false">IF($A444="","",N(INDEX(Workers!$M$5:$M$2004,MATCH($A444,Workers!$A$5:$A$2004,0))))</f>
        <v/>
      </c>
      <c r="K444" s="26" t="str">
        <f aca="false">IF($A444="","",IF(D444="Monthly",ROUND(MAX(0,(I444+J444)-(I444+J444)/Settings!$B$10*H444),2),0))</f>
        <v/>
      </c>
      <c r="L444" s="26" t="str">
        <f aca="false">IF($A444="","",IF(D444="Hourly",ROUND(F444*N(INDEX(Workers!$N$5:$N$2004,MATCH($A444,Workers!$A$5:$A$2004,0))),2),0))</f>
        <v/>
      </c>
      <c r="M444" s="26" t="str">
        <f aca="false">IF($A444="","",ROUND(G444*IF(D444="Hourly",N(INDEX(Workers!$N$5:$N$2004,MATCH($A444,Workers!$A$5:$A$2004,0))),I444/Settings!$B$10/Settings!$B$12)*Settings!$B$13,2))</f>
        <v/>
      </c>
      <c r="N444" s="26" t="str">
        <f aca="false">IF($A444="","",K444+L444+M444)</f>
        <v/>
      </c>
      <c r="O444" s="26" t="str">
        <f aca="false">IF($A444="","",SUMIFS(Deductions!$D$5:$D$2000,Deductions!$B$5:$B$2000,$A444,Deductions!$C$5:$C$2000,"Advance",Deductions!$E$5:$E$2000,"&gt;="&amp;Settings!$B$8,Deductions!$E$5:$E$2000,"&lt;="&amp;Settings!$B$9))</f>
        <v/>
      </c>
      <c r="P444" s="26" t="str">
        <f aca="false">IF($A444="","",SUMIFS(Deductions!$D$5:$D$2000,Deductions!$B$5:$B$2000,$A444,Deductions!$E$5:$E$2000,"&gt;="&amp;Settings!$B$8,Deductions!$E$5:$E$2000,"&lt;="&amp;Settings!$B$9)-O444)</f>
        <v/>
      </c>
      <c r="Q444" s="26" t="str">
        <f aca="false">IF($A444="","",O444+P444)</f>
        <v/>
      </c>
      <c r="R444" s="23" t="str">
        <f aca="false">IF($A444="","",N444-Q444)</f>
        <v/>
      </c>
      <c r="S444" s="24" t="str">
        <f aca="false">IF($A444="","",INDEX(Workers!$O$5:$O$2004,MATCH($A444,Workers!$A$5:$A$2004,0))&amp;"")</f>
        <v/>
      </c>
      <c r="T444" s="24" t="str">
        <f aca="false">IF($A444="","",INDEX(Workers!$P$5:$P$2004,MATCH($A444,Workers!$A$5:$A$2004,0))&amp;"")</f>
        <v/>
      </c>
      <c r="U444" s="24" t="str">
        <f aca="false">IF($A444="","",INDEX(Workers!$H$5:$H$2004,MATCH($A444,Workers!$A$5:$A$2004,0))&amp;"")</f>
        <v/>
      </c>
    </row>
    <row r="445" customFormat="false" ht="15" hidden="false" customHeight="false" outlineLevel="0" collapsed="false">
      <c r="A445" s="24" t="str">
        <f aca="false">IFERROR(INDEX(Workers!$A$5:$A$2004,MATCH(ROW()-4,Workers!$U$5:$U$2004,0)),"")</f>
        <v/>
      </c>
      <c r="B445" s="24" t="str">
        <f aca="false">IF($A445="","",INDEX(Workers!$B$5:$B$2004,MATCH($A445,Workers!$A$5:$A$2004,0)))</f>
        <v/>
      </c>
      <c r="C445" s="24" t="str">
        <f aca="false">IF($A445="","",INDEX(Workers!$E$5:$E$2004,MATCH($A445,Workers!$A$5:$A$2004,0)))</f>
        <v/>
      </c>
      <c r="D445" s="24" t="str">
        <f aca="false">IF($A445="","",INDEX(Workers!$K$5:$K$2004,MATCH($A445,Workers!$A$5:$A$2004,0)))</f>
        <v/>
      </c>
      <c r="E445" s="25" t="str">
        <f aca="false">IF($A445="","",SUMIFS(Timesheet!$E$5:$E$3004,Timesheet!$D$5:$D$3004,$A445,Timesheet!$A$5:$A$3004,"&gt;="&amp;Settings!$B$8,Timesheet!$A$5:$A$3004,"&lt;="&amp;Settings!$B$9))</f>
        <v/>
      </c>
      <c r="F445" s="25" t="str">
        <f aca="false">IF($A445="","",SUMIFS(Timesheet!$F$5:$F$3004,Timesheet!$D$5:$D$3004,$A445,Timesheet!$A$5:$A$3004,"&gt;="&amp;Settings!$B$8,Timesheet!$A$5:$A$3004,"&lt;="&amp;Settings!$B$9))</f>
        <v/>
      </c>
      <c r="G445" s="25" t="str">
        <f aca="false">IF($A445="","",SUMIFS(Timesheet!$G$5:$G$3004,Timesheet!$D$5:$D$3004,$A445,Timesheet!$A$5:$A$3004,"&gt;="&amp;Settings!$B$8,Timesheet!$A$5:$A$3004,"&lt;="&amp;Settings!$B$9))</f>
        <v/>
      </c>
      <c r="H445" s="25" t="str">
        <f aca="false">IF($A445="","",IF(D445="Monthly",MAX(0,Settings!$B$11-E445),0))</f>
        <v/>
      </c>
      <c r="I445" s="26" t="str">
        <f aca="false">IF($A445="","",N(INDEX(Workers!$L$5:$L$2004,MATCH($A445,Workers!$A$5:$A$2004,0))))</f>
        <v/>
      </c>
      <c r="J445" s="26" t="str">
        <f aca="false">IF($A445="","",N(INDEX(Workers!$M$5:$M$2004,MATCH($A445,Workers!$A$5:$A$2004,0))))</f>
        <v/>
      </c>
      <c r="K445" s="26" t="str">
        <f aca="false">IF($A445="","",IF(D445="Monthly",ROUND(MAX(0,(I445+J445)-(I445+J445)/Settings!$B$10*H445),2),0))</f>
        <v/>
      </c>
      <c r="L445" s="26" t="str">
        <f aca="false">IF($A445="","",IF(D445="Hourly",ROUND(F445*N(INDEX(Workers!$N$5:$N$2004,MATCH($A445,Workers!$A$5:$A$2004,0))),2),0))</f>
        <v/>
      </c>
      <c r="M445" s="26" t="str">
        <f aca="false">IF($A445="","",ROUND(G445*IF(D445="Hourly",N(INDEX(Workers!$N$5:$N$2004,MATCH($A445,Workers!$A$5:$A$2004,0))),I445/Settings!$B$10/Settings!$B$12)*Settings!$B$13,2))</f>
        <v/>
      </c>
      <c r="N445" s="26" t="str">
        <f aca="false">IF($A445="","",K445+L445+M445)</f>
        <v/>
      </c>
      <c r="O445" s="26" t="str">
        <f aca="false">IF($A445="","",SUMIFS(Deductions!$D$5:$D$2000,Deductions!$B$5:$B$2000,$A445,Deductions!$C$5:$C$2000,"Advance",Deductions!$E$5:$E$2000,"&gt;="&amp;Settings!$B$8,Deductions!$E$5:$E$2000,"&lt;="&amp;Settings!$B$9))</f>
        <v/>
      </c>
      <c r="P445" s="26" t="str">
        <f aca="false">IF($A445="","",SUMIFS(Deductions!$D$5:$D$2000,Deductions!$B$5:$B$2000,$A445,Deductions!$E$5:$E$2000,"&gt;="&amp;Settings!$B$8,Deductions!$E$5:$E$2000,"&lt;="&amp;Settings!$B$9)-O445)</f>
        <v/>
      </c>
      <c r="Q445" s="26" t="str">
        <f aca="false">IF($A445="","",O445+P445)</f>
        <v/>
      </c>
      <c r="R445" s="23" t="str">
        <f aca="false">IF($A445="","",N445-Q445)</f>
        <v/>
      </c>
      <c r="S445" s="24" t="str">
        <f aca="false">IF($A445="","",INDEX(Workers!$O$5:$O$2004,MATCH($A445,Workers!$A$5:$A$2004,0))&amp;"")</f>
        <v/>
      </c>
      <c r="T445" s="24" t="str">
        <f aca="false">IF($A445="","",INDEX(Workers!$P$5:$P$2004,MATCH($A445,Workers!$A$5:$A$2004,0))&amp;"")</f>
        <v/>
      </c>
      <c r="U445" s="24" t="str">
        <f aca="false">IF($A445="","",INDEX(Workers!$H$5:$H$2004,MATCH($A445,Workers!$A$5:$A$2004,0))&amp;"")</f>
        <v/>
      </c>
    </row>
    <row r="446" customFormat="false" ht="15" hidden="false" customHeight="false" outlineLevel="0" collapsed="false">
      <c r="A446" s="24" t="str">
        <f aca="false">IFERROR(INDEX(Workers!$A$5:$A$2004,MATCH(ROW()-4,Workers!$U$5:$U$2004,0)),"")</f>
        <v/>
      </c>
      <c r="B446" s="24" t="str">
        <f aca="false">IF($A446="","",INDEX(Workers!$B$5:$B$2004,MATCH($A446,Workers!$A$5:$A$2004,0)))</f>
        <v/>
      </c>
      <c r="C446" s="24" t="str">
        <f aca="false">IF($A446="","",INDEX(Workers!$E$5:$E$2004,MATCH($A446,Workers!$A$5:$A$2004,0)))</f>
        <v/>
      </c>
      <c r="D446" s="24" t="str">
        <f aca="false">IF($A446="","",INDEX(Workers!$K$5:$K$2004,MATCH($A446,Workers!$A$5:$A$2004,0)))</f>
        <v/>
      </c>
      <c r="E446" s="25" t="str">
        <f aca="false">IF($A446="","",SUMIFS(Timesheet!$E$5:$E$3004,Timesheet!$D$5:$D$3004,$A446,Timesheet!$A$5:$A$3004,"&gt;="&amp;Settings!$B$8,Timesheet!$A$5:$A$3004,"&lt;="&amp;Settings!$B$9))</f>
        <v/>
      </c>
      <c r="F446" s="25" t="str">
        <f aca="false">IF($A446="","",SUMIFS(Timesheet!$F$5:$F$3004,Timesheet!$D$5:$D$3004,$A446,Timesheet!$A$5:$A$3004,"&gt;="&amp;Settings!$B$8,Timesheet!$A$5:$A$3004,"&lt;="&amp;Settings!$B$9))</f>
        <v/>
      </c>
      <c r="G446" s="25" t="str">
        <f aca="false">IF($A446="","",SUMIFS(Timesheet!$G$5:$G$3004,Timesheet!$D$5:$D$3004,$A446,Timesheet!$A$5:$A$3004,"&gt;="&amp;Settings!$B$8,Timesheet!$A$5:$A$3004,"&lt;="&amp;Settings!$B$9))</f>
        <v/>
      </c>
      <c r="H446" s="25" t="str">
        <f aca="false">IF($A446="","",IF(D446="Monthly",MAX(0,Settings!$B$11-E446),0))</f>
        <v/>
      </c>
      <c r="I446" s="26" t="str">
        <f aca="false">IF($A446="","",N(INDEX(Workers!$L$5:$L$2004,MATCH($A446,Workers!$A$5:$A$2004,0))))</f>
        <v/>
      </c>
      <c r="J446" s="26" t="str">
        <f aca="false">IF($A446="","",N(INDEX(Workers!$M$5:$M$2004,MATCH($A446,Workers!$A$5:$A$2004,0))))</f>
        <v/>
      </c>
      <c r="K446" s="26" t="str">
        <f aca="false">IF($A446="","",IF(D446="Monthly",ROUND(MAX(0,(I446+J446)-(I446+J446)/Settings!$B$10*H446),2),0))</f>
        <v/>
      </c>
      <c r="L446" s="26" t="str">
        <f aca="false">IF($A446="","",IF(D446="Hourly",ROUND(F446*N(INDEX(Workers!$N$5:$N$2004,MATCH($A446,Workers!$A$5:$A$2004,0))),2),0))</f>
        <v/>
      </c>
      <c r="M446" s="26" t="str">
        <f aca="false">IF($A446="","",ROUND(G446*IF(D446="Hourly",N(INDEX(Workers!$N$5:$N$2004,MATCH($A446,Workers!$A$5:$A$2004,0))),I446/Settings!$B$10/Settings!$B$12)*Settings!$B$13,2))</f>
        <v/>
      </c>
      <c r="N446" s="26" t="str">
        <f aca="false">IF($A446="","",K446+L446+M446)</f>
        <v/>
      </c>
      <c r="O446" s="26" t="str">
        <f aca="false">IF($A446="","",SUMIFS(Deductions!$D$5:$D$2000,Deductions!$B$5:$B$2000,$A446,Deductions!$C$5:$C$2000,"Advance",Deductions!$E$5:$E$2000,"&gt;="&amp;Settings!$B$8,Deductions!$E$5:$E$2000,"&lt;="&amp;Settings!$B$9))</f>
        <v/>
      </c>
      <c r="P446" s="26" t="str">
        <f aca="false">IF($A446="","",SUMIFS(Deductions!$D$5:$D$2000,Deductions!$B$5:$B$2000,$A446,Deductions!$E$5:$E$2000,"&gt;="&amp;Settings!$B$8,Deductions!$E$5:$E$2000,"&lt;="&amp;Settings!$B$9)-O446)</f>
        <v/>
      </c>
      <c r="Q446" s="26" t="str">
        <f aca="false">IF($A446="","",O446+P446)</f>
        <v/>
      </c>
      <c r="R446" s="23" t="str">
        <f aca="false">IF($A446="","",N446-Q446)</f>
        <v/>
      </c>
      <c r="S446" s="24" t="str">
        <f aca="false">IF($A446="","",INDEX(Workers!$O$5:$O$2004,MATCH($A446,Workers!$A$5:$A$2004,0))&amp;"")</f>
        <v/>
      </c>
      <c r="T446" s="24" t="str">
        <f aca="false">IF($A446="","",INDEX(Workers!$P$5:$P$2004,MATCH($A446,Workers!$A$5:$A$2004,0))&amp;"")</f>
        <v/>
      </c>
      <c r="U446" s="24" t="str">
        <f aca="false">IF($A446="","",INDEX(Workers!$H$5:$H$2004,MATCH($A446,Workers!$A$5:$A$2004,0))&amp;"")</f>
        <v/>
      </c>
    </row>
    <row r="447" customFormat="false" ht="15" hidden="false" customHeight="false" outlineLevel="0" collapsed="false">
      <c r="A447" s="24" t="str">
        <f aca="false">IFERROR(INDEX(Workers!$A$5:$A$2004,MATCH(ROW()-4,Workers!$U$5:$U$2004,0)),"")</f>
        <v/>
      </c>
      <c r="B447" s="24" t="str">
        <f aca="false">IF($A447="","",INDEX(Workers!$B$5:$B$2004,MATCH($A447,Workers!$A$5:$A$2004,0)))</f>
        <v/>
      </c>
      <c r="C447" s="24" t="str">
        <f aca="false">IF($A447="","",INDEX(Workers!$E$5:$E$2004,MATCH($A447,Workers!$A$5:$A$2004,0)))</f>
        <v/>
      </c>
      <c r="D447" s="24" t="str">
        <f aca="false">IF($A447="","",INDEX(Workers!$K$5:$K$2004,MATCH($A447,Workers!$A$5:$A$2004,0)))</f>
        <v/>
      </c>
      <c r="E447" s="25" t="str">
        <f aca="false">IF($A447="","",SUMIFS(Timesheet!$E$5:$E$3004,Timesheet!$D$5:$D$3004,$A447,Timesheet!$A$5:$A$3004,"&gt;="&amp;Settings!$B$8,Timesheet!$A$5:$A$3004,"&lt;="&amp;Settings!$B$9))</f>
        <v/>
      </c>
      <c r="F447" s="25" t="str">
        <f aca="false">IF($A447="","",SUMIFS(Timesheet!$F$5:$F$3004,Timesheet!$D$5:$D$3004,$A447,Timesheet!$A$5:$A$3004,"&gt;="&amp;Settings!$B$8,Timesheet!$A$5:$A$3004,"&lt;="&amp;Settings!$B$9))</f>
        <v/>
      </c>
      <c r="G447" s="25" t="str">
        <f aca="false">IF($A447="","",SUMIFS(Timesheet!$G$5:$G$3004,Timesheet!$D$5:$D$3004,$A447,Timesheet!$A$5:$A$3004,"&gt;="&amp;Settings!$B$8,Timesheet!$A$5:$A$3004,"&lt;="&amp;Settings!$B$9))</f>
        <v/>
      </c>
      <c r="H447" s="25" t="str">
        <f aca="false">IF($A447="","",IF(D447="Monthly",MAX(0,Settings!$B$11-E447),0))</f>
        <v/>
      </c>
      <c r="I447" s="26" t="str">
        <f aca="false">IF($A447="","",N(INDEX(Workers!$L$5:$L$2004,MATCH($A447,Workers!$A$5:$A$2004,0))))</f>
        <v/>
      </c>
      <c r="J447" s="26" t="str">
        <f aca="false">IF($A447="","",N(INDEX(Workers!$M$5:$M$2004,MATCH($A447,Workers!$A$5:$A$2004,0))))</f>
        <v/>
      </c>
      <c r="K447" s="26" t="str">
        <f aca="false">IF($A447="","",IF(D447="Monthly",ROUND(MAX(0,(I447+J447)-(I447+J447)/Settings!$B$10*H447),2),0))</f>
        <v/>
      </c>
      <c r="L447" s="26" t="str">
        <f aca="false">IF($A447="","",IF(D447="Hourly",ROUND(F447*N(INDEX(Workers!$N$5:$N$2004,MATCH($A447,Workers!$A$5:$A$2004,0))),2),0))</f>
        <v/>
      </c>
      <c r="M447" s="26" t="str">
        <f aca="false">IF($A447="","",ROUND(G447*IF(D447="Hourly",N(INDEX(Workers!$N$5:$N$2004,MATCH($A447,Workers!$A$5:$A$2004,0))),I447/Settings!$B$10/Settings!$B$12)*Settings!$B$13,2))</f>
        <v/>
      </c>
      <c r="N447" s="26" t="str">
        <f aca="false">IF($A447="","",K447+L447+M447)</f>
        <v/>
      </c>
      <c r="O447" s="26" t="str">
        <f aca="false">IF($A447="","",SUMIFS(Deductions!$D$5:$D$2000,Deductions!$B$5:$B$2000,$A447,Deductions!$C$5:$C$2000,"Advance",Deductions!$E$5:$E$2000,"&gt;="&amp;Settings!$B$8,Deductions!$E$5:$E$2000,"&lt;="&amp;Settings!$B$9))</f>
        <v/>
      </c>
      <c r="P447" s="26" t="str">
        <f aca="false">IF($A447="","",SUMIFS(Deductions!$D$5:$D$2000,Deductions!$B$5:$B$2000,$A447,Deductions!$E$5:$E$2000,"&gt;="&amp;Settings!$B$8,Deductions!$E$5:$E$2000,"&lt;="&amp;Settings!$B$9)-O447)</f>
        <v/>
      </c>
      <c r="Q447" s="26" t="str">
        <f aca="false">IF($A447="","",O447+P447)</f>
        <v/>
      </c>
      <c r="R447" s="23" t="str">
        <f aca="false">IF($A447="","",N447-Q447)</f>
        <v/>
      </c>
      <c r="S447" s="24" t="str">
        <f aca="false">IF($A447="","",INDEX(Workers!$O$5:$O$2004,MATCH($A447,Workers!$A$5:$A$2004,0))&amp;"")</f>
        <v/>
      </c>
      <c r="T447" s="24" t="str">
        <f aca="false">IF($A447="","",INDEX(Workers!$P$5:$P$2004,MATCH($A447,Workers!$A$5:$A$2004,0))&amp;"")</f>
        <v/>
      </c>
      <c r="U447" s="24" t="str">
        <f aca="false">IF($A447="","",INDEX(Workers!$H$5:$H$2004,MATCH($A447,Workers!$A$5:$A$2004,0))&amp;"")</f>
        <v/>
      </c>
    </row>
    <row r="448" customFormat="false" ht="15" hidden="false" customHeight="false" outlineLevel="0" collapsed="false">
      <c r="A448" s="24" t="str">
        <f aca="false">IFERROR(INDEX(Workers!$A$5:$A$2004,MATCH(ROW()-4,Workers!$U$5:$U$2004,0)),"")</f>
        <v/>
      </c>
      <c r="B448" s="24" t="str">
        <f aca="false">IF($A448="","",INDEX(Workers!$B$5:$B$2004,MATCH($A448,Workers!$A$5:$A$2004,0)))</f>
        <v/>
      </c>
      <c r="C448" s="24" t="str">
        <f aca="false">IF($A448="","",INDEX(Workers!$E$5:$E$2004,MATCH($A448,Workers!$A$5:$A$2004,0)))</f>
        <v/>
      </c>
      <c r="D448" s="24" t="str">
        <f aca="false">IF($A448="","",INDEX(Workers!$K$5:$K$2004,MATCH($A448,Workers!$A$5:$A$2004,0)))</f>
        <v/>
      </c>
      <c r="E448" s="25" t="str">
        <f aca="false">IF($A448="","",SUMIFS(Timesheet!$E$5:$E$3004,Timesheet!$D$5:$D$3004,$A448,Timesheet!$A$5:$A$3004,"&gt;="&amp;Settings!$B$8,Timesheet!$A$5:$A$3004,"&lt;="&amp;Settings!$B$9))</f>
        <v/>
      </c>
      <c r="F448" s="25" t="str">
        <f aca="false">IF($A448="","",SUMIFS(Timesheet!$F$5:$F$3004,Timesheet!$D$5:$D$3004,$A448,Timesheet!$A$5:$A$3004,"&gt;="&amp;Settings!$B$8,Timesheet!$A$5:$A$3004,"&lt;="&amp;Settings!$B$9))</f>
        <v/>
      </c>
      <c r="G448" s="25" t="str">
        <f aca="false">IF($A448="","",SUMIFS(Timesheet!$G$5:$G$3004,Timesheet!$D$5:$D$3004,$A448,Timesheet!$A$5:$A$3004,"&gt;="&amp;Settings!$B$8,Timesheet!$A$5:$A$3004,"&lt;="&amp;Settings!$B$9))</f>
        <v/>
      </c>
      <c r="H448" s="25" t="str">
        <f aca="false">IF($A448="","",IF(D448="Monthly",MAX(0,Settings!$B$11-E448),0))</f>
        <v/>
      </c>
      <c r="I448" s="26" t="str">
        <f aca="false">IF($A448="","",N(INDEX(Workers!$L$5:$L$2004,MATCH($A448,Workers!$A$5:$A$2004,0))))</f>
        <v/>
      </c>
      <c r="J448" s="26" t="str">
        <f aca="false">IF($A448="","",N(INDEX(Workers!$M$5:$M$2004,MATCH($A448,Workers!$A$5:$A$2004,0))))</f>
        <v/>
      </c>
      <c r="K448" s="26" t="str">
        <f aca="false">IF($A448="","",IF(D448="Monthly",ROUND(MAX(0,(I448+J448)-(I448+J448)/Settings!$B$10*H448),2),0))</f>
        <v/>
      </c>
      <c r="L448" s="26" t="str">
        <f aca="false">IF($A448="","",IF(D448="Hourly",ROUND(F448*N(INDEX(Workers!$N$5:$N$2004,MATCH($A448,Workers!$A$5:$A$2004,0))),2),0))</f>
        <v/>
      </c>
      <c r="M448" s="26" t="str">
        <f aca="false">IF($A448="","",ROUND(G448*IF(D448="Hourly",N(INDEX(Workers!$N$5:$N$2004,MATCH($A448,Workers!$A$5:$A$2004,0))),I448/Settings!$B$10/Settings!$B$12)*Settings!$B$13,2))</f>
        <v/>
      </c>
      <c r="N448" s="26" t="str">
        <f aca="false">IF($A448="","",K448+L448+M448)</f>
        <v/>
      </c>
      <c r="O448" s="26" t="str">
        <f aca="false">IF($A448="","",SUMIFS(Deductions!$D$5:$D$2000,Deductions!$B$5:$B$2000,$A448,Deductions!$C$5:$C$2000,"Advance",Deductions!$E$5:$E$2000,"&gt;="&amp;Settings!$B$8,Deductions!$E$5:$E$2000,"&lt;="&amp;Settings!$B$9))</f>
        <v/>
      </c>
      <c r="P448" s="26" t="str">
        <f aca="false">IF($A448="","",SUMIFS(Deductions!$D$5:$D$2000,Deductions!$B$5:$B$2000,$A448,Deductions!$E$5:$E$2000,"&gt;="&amp;Settings!$B$8,Deductions!$E$5:$E$2000,"&lt;="&amp;Settings!$B$9)-O448)</f>
        <v/>
      </c>
      <c r="Q448" s="26" t="str">
        <f aca="false">IF($A448="","",O448+P448)</f>
        <v/>
      </c>
      <c r="R448" s="23" t="str">
        <f aca="false">IF($A448="","",N448-Q448)</f>
        <v/>
      </c>
      <c r="S448" s="24" t="str">
        <f aca="false">IF($A448="","",INDEX(Workers!$O$5:$O$2004,MATCH($A448,Workers!$A$5:$A$2004,0))&amp;"")</f>
        <v/>
      </c>
      <c r="T448" s="24" t="str">
        <f aca="false">IF($A448="","",INDEX(Workers!$P$5:$P$2004,MATCH($A448,Workers!$A$5:$A$2004,0))&amp;"")</f>
        <v/>
      </c>
      <c r="U448" s="24" t="str">
        <f aca="false">IF($A448="","",INDEX(Workers!$H$5:$H$2004,MATCH($A448,Workers!$A$5:$A$2004,0))&amp;"")</f>
        <v/>
      </c>
    </row>
    <row r="449" customFormat="false" ht="15" hidden="false" customHeight="false" outlineLevel="0" collapsed="false">
      <c r="A449" s="24" t="str">
        <f aca="false">IFERROR(INDEX(Workers!$A$5:$A$2004,MATCH(ROW()-4,Workers!$U$5:$U$2004,0)),"")</f>
        <v/>
      </c>
      <c r="B449" s="24" t="str">
        <f aca="false">IF($A449="","",INDEX(Workers!$B$5:$B$2004,MATCH($A449,Workers!$A$5:$A$2004,0)))</f>
        <v/>
      </c>
      <c r="C449" s="24" t="str">
        <f aca="false">IF($A449="","",INDEX(Workers!$E$5:$E$2004,MATCH($A449,Workers!$A$5:$A$2004,0)))</f>
        <v/>
      </c>
      <c r="D449" s="24" t="str">
        <f aca="false">IF($A449="","",INDEX(Workers!$K$5:$K$2004,MATCH($A449,Workers!$A$5:$A$2004,0)))</f>
        <v/>
      </c>
      <c r="E449" s="25" t="str">
        <f aca="false">IF($A449="","",SUMIFS(Timesheet!$E$5:$E$3004,Timesheet!$D$5:$D$3004,$A449,Timesheet!$A$5:$A$3004,"&gt;="&amp;Settings!$B$8,Timesheet!$A$5:$A$3004,"&lt;="&amp;Settings!$B$9))</f>
        <v/>
      </c>
      <c r="F449" s="25" t="str">
        <f aca="false">IF($A449="","",SUMIFS(Timesheet!$F$5:$F$3004,Timesheet!$D$5:$D$3004,$A449,Timesheet!$A$5:$A$3004,"&gt;="&amp;Settings!$B$8,Timesheet!$A$5:$A$3004,"&lt;="&amp;Settings!$B$9))</f>
        <v/>
      </c>
      <c r="G449" s="25" t="str">
        <f aca="false">IF($A449="","",SUMIFS(Timesheet!$G$5:$G$3004,Timesheet!$D$5:$D$3004,$A449,Timesheet!$A$5:$A$3004,"&gt;="&amp;Settings!$B$8,Timesheet!$A$5:$A$3004,"&lt;="&amp;Settings!$B$9))</f>
        <v/>
      </c>
      <c r="H449" s="25" t="str">
        <f aca="false">IF($A449="","",IF(D449="Monthly",MAX(0,Settings!$B$11-E449),0))</f>
        <v/>
      </c>
      <c r="I449" s="26" t="str">
        <f aca="false">IF($A449="","",N(INDEX(Workers!$L$5:$L$2004,MATCH($A449,Workers!$A$5:$A$2004,0))))</f>
        <v/>
      </c>
      <c r="J449" s="26" t="str">
        <f aca="false">IF($A449="","",N(INDEX(Workers!$M$5:$M$2004,MATCH($A449,Workers!$A$5:$A$2004,0))))</f>
        <v/>
      </c>
      <c r="K449" s="26" t="str">
        <f aca="false">IF($A449="","",IF(D449="Monthly",ROUND(MAX(0,(I449+J449)-(I449+J449)/Settings!$B$10*H449),2),0))</f>
        <v/>
      </c>
      <c r="L449" s="26" t="str">
        <f aca="false">IF($A449="","",IF(D449="Hourly",ROUND(F449*N(INDEX(Workers!$N$5:$N$2004,MATCH($A449,Workers!$A$5:$A$2004,0))),2),0))</f>
        <v/>
      </c>
      <c r="M449" s="26" t="str">
        <f aca="false">IF($A449="","",ROUND(G449*IF(D449="Hourly",N(INDEX(Workers!$N$5:$N$2004,MATCH($A449,Workers!$A$5:$A$2004,0))),I449/Settings!$B$10/Settings!$B$12)*Settings!$B$13,2))</f>
        <v/>
      </c>
      <c r="N449" s="26" t="str">
        <f aca="false">IF($A449="","",K449+L449+M449)</f>
        <v/>
      </c>
      <c r="O449" s="26" t="str">
        <f aca="false">IF($A449="","",SUMIFS(Deductions!$D$5:$D$2000,Deductions!$B$5:$B$2000,$A449,Deductions!$C$5:$C$2000,"Advance",Deductions!$E$5:$E$2000,"&gt;="&amp;Settings!$B$8,Deductions!$E$5:$E$2000,"&lt;="&amp;Settings!$B$9))</f>
        <v/>
      </c>
      <c r="P449" s="26" t="str">
        <f aca="false">IF($A449="","",SUMIFS(Deductions!$D$5:$D$2000,Deductions!$B$5:$B$2000,$A449,Deductions!$E$5:$E$2000,"&gt;="&amp;Settings!$B$8,Deductions!$E$5:$E$2000,"&lt;="&amp;Settings!$B$9)-O449)</f>
        <v/>
      </c>
      <c r="Q449" s="26" t="str">
        <f aca="false">IF($A449="","",O449+P449)</f>
        <v/>
      </c>
      <c r="R449" s="23" t="str">
        <f aca="false">IF($A449="","",N449-Q449)</f>
        <v/>
      </c>
      <c r="S449" s="24" t="str">
        <f aca="false">IF($A449="","",INDEX(Workers!$O$5:$O$2004,MATCH($A449,Workers!$A$5:$A$2004,0))&amp;"")</f>
        <v/>
      </c>
      <c r="T449" s="24" t="str">
        <f aca="false">IF($A449="","",INDEX(Workers!$P$5:$P$2004,MATCH($A449,Workers!$A$5:$A$2004,0))&amp;"")</f>
        <v/>
      </c>
      <c r="U449" s="24" t="str">
        <f aca="false">IF($A449="","",INDEX(Workers!$H$5:$H$2004,MATCH($A449,Workers!$A$5:$A$2004,0))&amp;"")</f>
        <v/>
      </c>
    </row>
    <row r="450" customFormat="false" ht="15" hidden="false" customHeight="false" outlineLevel="0" collapsed="false">
      <c r="A450" s="24" t="str">
        <f aca="false">IFERROR(INDEX(Workers!$A$5:$A$2004,MATCH(ROW()-4,Workers!$U$5:$U$2004,0)),"")</f>
        <v/>
      </c>
      <c r="B450" s="24" t="str">
        <f aca="false">IF($A450="","",INDEX(Workers!$B$5:$B$2004,MATCH($A450,Workers!$A$5:$A$2004,0)))</f>
        <v/>
      </c>
      <c r="C450" s="24" t="str">
        <f aca="false">IF($A450="","",INDEX(Workers!$E$5:$E$2004,MATCH($A450,Workers!$A$5:$A$2004,0)))</f>
        <v/>
      </c>
      <c r="D450" s="24" t="str">
        <f aca="false">IF($A450="","",INDEX(Workers!$K$5:$K$2004,MATCH($A450,Workers!$A$5:$A$2004,0)))</f>
        <v/>
      </c>
      <c r="E450" s="25" t="str">
        <f aca="false">IF($A450="","",SUMIFS(Timesheet!$E$5:$E$3004,Timesheet!$D$5:$D$3004,$A450,Timesheet!$A$5:$A$3004,"&gt;="&amp;Settings!$B$8,Timesheet!$A$5:$A$3004,"&lt;="&amp;Settings!$B$9))</f>
        <v/>
      </c>
      <c r="F450" s="25" t="str">
        <f aca="false">IF($A450="","",SUMIFS(Timesheet!$F$5:$F$3004,Timesheet!$D$5:$D$3004,$A450,Timesheet!$A$5:$A$3004,"&gt;="&amp;Settings!$B$8,Timesheet!$A$5:$A$3004,"&lt;="&amp;Settings!$B$9))</f>
        <v/>
      </c>
      <c r="G450" s="25" t="str">
        <f aca="false">IF($A450="","",SUMIFS(Timesheet!$G$5:$G$3004,Timesheet!$D$5:$D$3004,$A450,Timesheet!$A$5:$A$3004,"&gt;="&amp;Settings!$B$8,Timesheet!$A$5:$A$3004,"&lt;="&amp;Settings!$B$9))</f>
        <v/>
      </c>
      <c r="H450" s="25" t="str">
        <f aca="false">IF($A450="","",IF(D450="Monthly",MAX(0,Settings!$B$11-E450),0))</f>
        <v/>
      </c>
      <c r="I450" s="26" t="str">
        <f aca="false">IF($A450="","",N(INDEX(Workers!$L$5:$L$2004,MATCH($A450,Workers!$A$5:$A$2004,0))))</f>
        <v/>
      </c>
      <c r="J450" s="26" t="str">
        <f aca="false">IF($A450="","",N(INDEX(Workers!$M$5:$M$2004,MATCH($A450,Workers!$A$5:$A$2004,0))))</f>
        <v/>
      </c>
      <c r="K450" s="26" t="str">
        <f aca="false">IF($A450="","",IF(D450="Monthly",ROUND(MAX(0,(I450+J450)-(I450+J450)/Settings!$B$10*H450),2),0))</f>
        <v/>
      </c>
      <c r="L450" s="26" t="str">
        <f aca="false">IF($A450="","",IF(D450="Hourly",ROUND(F450*N(INDEX(Workers!$N$5:$N$2004,MATCH($A450,Workers!$A$5:$A$2004,0))),2),0))</f>
        <v/>
      </c>
      <c r="M450" s="26" t="str">
        <f aca="false">IF($A450="","",ROUND(G450*IF(D450="Hourly",N(INDEX(Workers!$N$5:$N$2004,MATCH($A450,Workers!$A$5:$A$2004,0))),I450/Settings!$B$10/Settings!$B$12)*Settings!$B$13,2))</f>
        <v/>
      </c>
      <c r="N450" s="26" t="str">
        <f aca="false">IF($A450="","",K450+L450+M450)</f>
        <v/>
      </c>
      <c r="O450" s="26" t="str">
        <f aca="false">IF($A450="","",SUMIFS(Deductions!$D$5:$D$2000,Deductions!$B$5:$B$2000,$A450,Deductions!$C$5:$C$2000,"Advance",Deductions!$E$5:$E$2000,"&gt;="&amp;Settings!$B$8,Deductions!$E$5:$E$2000,"&lt;="&amp;Settings!$B$9))</f>
        <v/>
      </c>
      <c r="P450" s="26" t="str">
        <f aca="false">IF($A450="","",SUMIFS(Deductions!$D$5:$D$2000,Deductions!$B$5:$B$2000,$A450,Deductions!$E$5:$E$2000,"&gt;="&amp;Settings!$B$8,Deductions!$E$5:$E$2000,"&lt;="&amp;Settings!$B$9)-O450)</f>
        <v/>
      </c>
      <c r="Q450" s="26" t="str">
        <f aca="false">IF($A450="","",O450+P450)</f>
        <v/>
      </c>
      <c r="R450" s="23" t="str">
        <f aca="false">IF($A450="","",N450-Q450)</f>
        <v/>
      </c>
      <c r="S450" s="24" t="str">
        <f aca="false">IF($A450="","",INDEX(Workers!$O$5:$O$2004,MATCH($A450,Workers!$A$5:$A$2004,0))&amp;"")</f>
        <v/>
      </c>
      <c r="T450" s="24" t="str">
        <f aca="false">IF($A450="","",INDEX(Workers!$P$5:$P$2004,MATCH($A450,Workers!$A$5:$A$2004,0))&amp;"")</f>
        <v/>
      </c>
      <c r="U450" s="24" t="str">
        <f aca="false">IF($A450="","",INDEX(Workers!$H$5:$H$2004,MATCH($A450,Workers!$A$5:$A$2004,0))&amp;"")</f>
        <v/>
      </c>
    </row>
    <row r="451" customFormat="false" ht="15" hidden="false" customHeight="false" outlineLevel="0" collapsed="false">
      <c r="A451" s="24" t="str">
        <f aca="false">IFERROR(INDEX(Workers!$A$5:$A$2004,MATCH(ROW()-4,Workers!$U$5:$U$2004,0)),"")</f>
        <v/>
      </c>
      <c r="B451" s="24" t="str">
        <f aca="false">IF($A451="","",INDEX(Workers!$B$5:$B$2004,MATCH($A451,Workers!$A$5:$A$2004,0)))</f>
        <v/>
      </c>
      <c r="C451" s="24" t="str">
        <f aca="false">IF($A451="","",INDEX(Workers!$E$5:$E$2004,MATCH($A451,Workers!$A$5:$A$2004,0)))</f>
        <v/>
      </c>
      <c r="D451" s="24" t="str">
        <f aca="false">IF($A451="","",INDEX(Workers!$K$5:$K$2004,MATCH($A451,Workers!$A$5:$A$2004,0)))</f>
        <v/>
      </c>
      <c r="E451" s="25" t="str">
        <f aca="false">IF($A451="","",SUMIFS(Timesheet!$E$5:$E$3004,Timesheet!$D$5:$D$3004,$A451,Timesheet!$A$5:$A$3004,"&gt;="&amp;Settings!$B$8,Timesheet!$A$5:$A$3004,"&lt;="&amp;Settings!$B$9))</f>
        <v/>
      </c>
      <c r="F451" s="25" t="str">
        <f aca="false">IF($A451="","",SUMIFS(Timesheet!$F$5:$F$3004,Timesheet!$D$5:$D$3004,$A451,Timesheet!$A$5:$A$3004,"&gt;="&amp;Settings!$B$8,Timesheet!$A$5:$A$3004,"&lt;="&amp;Settings!$B$9))</f>
        <v/>
      </c>
      <c r="G451" s="25" t="str">
        <f aca="false">IF($A451="","",SUMIFS(Timesheet!$G$5:$G$3004,Timesheet!$D$5:$D$3004,$A451,Timesheet!$A$5:$A$3004,"&gt;="&amp;Settings!$B$8,Timesheet!$A$5:$A$3004,"&lt;="&amp;Settings!$B$9))</f>
        <v/>
      </c>
      <c r="H451" s="25" t="str">
        <f aca="false">IF($A451="","",IF(D451="Monthly",MAX(0,Settings!$B$11-E451),0))</f>
        <v/>
      </c>
      <c r="I451" s="26" t="str">
        <f aca="false">IF($A451="","",N(INDEX(Workers!$L$5:$L$2004,MATCH($A451,Workers!$A$5:$A$2004,0))))</f>
        <v/>
      </c>
      <c r="J451" s="26" t="str">
        <f aca="false">IF($A451="","",N(INDEX(Workers!$M$5:$M$2004,MATCH($A451,Workers!$A$5:$A$2004,0))))</f>
        <v/>
      </c>
      <c r="K451" s="26" t="str">
        <f aca="false">IF($A451="","",IF(D451="Monthly",ROUND(MAX(0,(I451+J451)-(I451+J451)/Settings!$B$10*H451),2),0))</f>
        <v/>
      </c>
      <c r="L451" s="26" t="str">
        <f aca="false">IF($A451="","",IF(D451="Hourly",ROUND(F451*N(INDEX(Workers!$N$5:$N$2004,MATCH($A451,Workers!$A$5:$A$2004,0))),2),0))</f>
        <v/>
      </c>
      <c r="M451" s="26" t="str">
        <f aca="false">IF($A451="","",ROUND(G451*IF(D451="Hourly",N(INDEX(Workers!$N$5:$N$2004,MATCH($A451,Workers!$A$5:$A$2004,0))),I451/Settings!$B$10/Settings!$B$12)*Settings!$B$13,2))</f>
        <v/>
      </c>
      <c r="N451" s="26" t="str">
        <f aca="false">IF($A451="","",K451+L451+M451)</f>
        <v/>
      </c>
      <c r="O451" s="26" t="str">
        <f aca="false">IF($A451="","",SUMIFS(Deductions!$D$5:$D$2000,Deductions!$B$5:$B$2000,$A451,Deductions!$C$5:$C$2000,"Advance",Deductions!$E$5:$E$2000,"&gt;="&amp;Settings!$B$8,Deductions!$E$5:$E$2000,"&lt;="&amp;Settings!$B$9))</f>
        <v/>
      </c>
      <c r="P451" s="26" t="str">
        <f aca="false">IF($A451="","",SUMIFS(Deductions!$D$5:$D$2000,Deductions!$B$5:$B$2000,$A451,Deductions!$E$5:$E$2000,"&gt;="&amp;Settings!$B$8,Deductions!$E$5:$E$2000,"&lt;="&amp;Settings!$B$9)-O451)</f>
        <v/>
      </c>
      <c r="Q451" s="26" t="str">
        <f aca="false">IF($A451="","",O451+P451)</f>
        <v/>
      </c>
      <c r="R451" s="23" t="str">
        <f aca="false">IF($A451="","",N451-Q451)</f>
        <v/>
      </c>
      <c r="S451" s="24" t="str">
        <f aca="false">IF($A451="","",INDEX(Workers!$O$5:$O$2004,MATCH($A451,Workers!$A$5:$A$2004,0))&amp;"")</f>
        <v/>
      </c>
      <c r="T451" s="24" t="str">
        <f aca="false">IF($A451="","",INDEX(Workers!$P$5:$P$2004,MATCH($A451,Workers!$A$5:$A$2004,0))&amp;"")</f>
        <v/>
      </c>
      <c r="U451" s="24" t="str">
        <f aca="false">IF($A451="","",INDEX(Workers!$H$5:$H$2004,MATCH($A451,Workers!$A$5:$A$2004,0))&amp;"")</f>
        <v/>
      </c>
    </row>
    <row r="452" customFormat="false" ht="15" hidden="false" customHeight="false" outlineLevel="0" collapsed="false">
      <c r="A452" s="24" t="str">
        <f aca="false">IFERROR(INDEX(Workers!$A$5:$A$2004,MATCH(ROW()-4,Workers!$U$5:$U$2004,0)),"")</f>
        <v/>
      </c>
      <c r="B452" s="24" t="str">
        <f aca="false">IF($A452="","",INDEX(Workers!$B$5:$B$2004,MATCH($A452,Workers!$A$5:$A$2004,0)))</f>
        <v/>
      </c>
      <c r="C452" s="24" t="str">
        <f aca="false">IF($A452="","",INDEX(Workers!$E$5:$E$2004,MATCH($A452,Workers!$A$5:$A$2004,0)))</f>
        <v/>
      </c>
      <c r="D452" s="24" t="str">
        <f aca="false">IF($A452="","",INDEX(Workers!$K$5:$K$2004,MATCH($A452,Workers!$A$5:$A$2004,0)))</f>
        <v/>
      </c>
      <c r="E452" s="25" t="str">
        <f aca="false">IF($A452="","",SUMIFS(Timesheet!$E$5:$E$3004,Timesheet!$D$5:$D$3004,$A452,Timesheet!$A$5:$A$3004,"&gt;="&amp;Settings!$B$8,Timesheet!$A$5:$A$3004,"&lt;="&amp;Settings!$B$9))</f>
        <v/>
      </c>
      <c r="F452" s="25" t="str">
        <f aca="false">IF($A452="","",SUMIFS(Timesheet!$F$5:$F$3004,Timesheet!$D$5:$D$3004,$A452,Timesheet!$A$5:$A$3004,"&gt;="&amp;Settings!$B$8,Timesheet!$A$5:$A$3004,"&lt;="&amp;Settings!$B$9))</f>
        <v/>
      </c>
      <c r="G452" s="25" t="str">
        <f aca="false">IF($A452="","",SUMIFS(Timesheet!$G$5:$G$3004,Timesheet!$D$5:$D$3004,$A452,Timesheet!$A$5:$A$3004,"&gt;="&amp;Settings!$B$8,Timesheet!$A$5:$A$3004,"&lt;="&amp;Settings!$B$9))</f>
        <v/>
      </c>
      <c r="H452" s="25" t="str">
        <f aca="false">IF($A452="","",IF(D452="Monthly",MAX(0,Settings!$B$11-E452),0))</f>
        <v/>
      </c>
      <c r="I452" s="26" t="str">
        <f aca="false">IF($A452="","",N(INDEX(Workers!$L$5:$L$2004,MATCH($A452,Workers!$A$5:$A$2004,0))))</f>
        <v/>
      </c>
      <c r="J452" s="26" t="str">
        <f aca="false">IF($A452="","",N(INDEX(Workers!$M$5:$M$2004,MATCH($A452,Workers!$A$5:$A$2004,0))))</f>
        <v/>
      </c>
      <c r="K452" s="26" t="str">
        <f aca="false">IF($A452="","",IF(D452="Monthly",ROUND(MAX(0,(I452+J452)-(I452+J452)/Settings!$B$10*H452),2),0))</f>
        <v/>
      </c>
      <c r="L452" s="26" t="str">
        <f aca="false">IF($A452="","",IF(D452="Hourly",ROUND(F452*N(INDEX(Workers!$N$5:$N$2004,MATCH($A452,Workers!$A$5:$A$2004,0))),2),0))</f>
        <v/>
      </c>
      <c r="M452" s="26" t="str">
        <f aca="false">IF($A452="","",ROUND(G452*IF(D452="Hourly",N(INDEX(Workers!$N$5:$N$2004,MATCH($A452,Workers!$A$5:$A$2004,0))),I452/Settings!$B$10/Settings!$B$12)*Settings!$B$13,2))</f>
        <v/>
      </c>
      <c r="N452" s="26" t="str">
        <f aca="false">IF($A452="","",K452+L452+M452)</f>
        <v/>
      </c>
      <c r="O452" s="26" t="str">
        <f aca="false">IF($A452="","",SUMIFS(Deductions!$D$5:$D$2000,Deductions!$B$5:$B$2000,$A452,Deductions!$C$5:$C$2000,"Advance",Deductions!$E$5:$E$2000,"&gt;="&amp;Settings!$B$8,Deductions!$E$5:$E$2000,"&lt;="&amp;Settings!$B$9))</f>
        <v/>
      </c>
      <c r="P452" s="26" t="str">
        <f aca="false">IF($A452="","",SUMIFS(Deductions!$D$5:$D$2000,Deductions!$B$5:$B$2000,$A452,Deductions!$E$5:$E$2000,"&gt;="&amp;Settings!$B$8,Deductions!$E$5:$E$2000,"&lt;="&amp;Settings!$B$9)-O452)</f>
        <v/>
      </c>
      <c r="Q452" s="26" t="str">
        <f aca="false">IF($A452="","",O452+P452)</f>
        <v/>
      </c>
      <c r="R452" s="23" t="str">
        <f aca="false">IF($A452="","",N452-Q452)</f>
        <v/>
      </c>
      <c r="S452" s="24" t="str">
        <f aca="false">IF($A452="","",INDEX(Workers!$O$5:$O$2004,MATCH($A452,Workers!$A$5:$A$2004,0))&amp;"")</f>
        <v/>
      </c>
      <c r="T452" s="24" t="str">
        <f aca="false">IF($A452="","",INDEX(Workers!$P$5:$P$2004,MATCH($A452,Workers!$A$5:$A$2004,0))&amp;"")</f>
        <v/>
      </c>
      <c r="U452" s="24" t="str">
        <f aca="false">IF($A452="","",INDEX(Workers!$H$5:$H$2004,MATCH($A452,Workers!$A$5:$A$2004,0))&amp;"")</f>
        <v/>
      </c>
    </row>
    <row r="453" customFormat="false" ht="15" hidden="false" customHeight="false" outlineLevel="0" collapsed="false">
      <c r="A453" s="24" t="str">
        <f aca="false">IFERROR(INDEX(Workers!$A$5:$A$2004,MATCH(ROW()-4,Workers!$U$5:$U$2004,0)),"")</f>
        <v/>
      </c>
      <c r="B453" s="24" t="str">
        <f aca="false">IF($A453="","",INDEX(Workers!$B$5:$B$2004,MATCH($A453,Workers!$A$5:$A$2004,0)))</f>
        <v/>
      </c>
      <c r="C453" s="24" t="str">
        <f aca="false">IF($A453="","",INDEX(Workers!$E$5:$E$2004,MATCH($A453,Workers!$A$5:$A$2004,0)))</f>
        <v/>
      </c>
      <c r="D453" s="24" t="str">
        <f aca="false">IF($A453="","",INDEX(Workers!$K$5:$K$2004,MATCH($A453,Workers!$A$5:$A$2004,0)))</f>
        <v/>
      </c>
      <c r="E453" s="25" t="str">
        <f aca="false">IF($A453="","",SUMIFS(Timesheet!$E$5:$E$3004,Timesheet!$D$5:$D$3004,$A453,Timesheet!$A$5:$A$3004,"&gt;="&amp;Settings!$B$8,Timesheet!$A$5:$A$3004,"&lt;="&amp;Settings!$B$9))</f>
        <v/>
      </c>
      <c r="F453" s="25" t="str">
        <f aca="false">IF($A453="","",SUMIFS(Timesheet!$F$5:$F$3004,Timesheet!$D$5:$D$3004,$A453,Timesheet!$A$5:$A$3004,"&gt;="&amp;Settings!$B$8,Timesheet!$A$5:$A$3004,"&lt;="&amp;Settings!$B$9))</f>
        <v/>
      </c>
      <c r="G453" s="25" t="str">
        <f aca="false">IF($A453="","",SUMIFS(Timesheet!$G$5:$G$3004,Timesheet!$D$5:$D$3004,$A453,Timesheet!$A$5:$A$3004,"&gt;="&amp;Settings!$B$8,Timesheet!$A$5:$A$3004,"&lt;="&amp;Settings!$B$9))</f>
        <v/>
      </c>
      <c r="H453" s="25" t="str">
        <f aca="false">IF($A453="","",IF(D453="Monthly",MAX(0,Settings!$B$11-E453),0))</f>
        <v/>
      </c>
      <c r="I453" s="26" t="str">
        <f aca="false">IF($A453="","",N(INDEX(Workers!$L$5:$L$2004,MATCH($A453,Workers!$A$5:$A$2004,0))))</f>
        <v/>
      </c>
      <c r="J453" s="26" t="str">
        <f aca="false">IF($A453="","",N(INDEX(Workers!$M$5:$M$2004,MATCH($A453,Workers!$A$5:$A$2004,0))))</f>
        <v/>
      </c>
      <c r="K453" s="26" t="str">
        <f aca="false">IF($A453="","",IF(D453="Monthly",ROUND(MAX(0,(I453+J453)-(I453+J453)/Settings!$B$10*H453),2),0))</f>
        <v/>
      </c>
      <c r="L453" s="26" t="str">
        <f aca="false">IF($A453="","",IF(D453="Hourly",ROUND(F453*N(INDEX(Workers!$N$5:$N$2004,MATCH($A453,Workers!$A$5:$A$2004,0))),2),0))</f>
        <v/>
      </c>
      <c r="M453" s="26" t="str">
        <f aca="false">IF($A453="","",ROUND(G453*IF(D453="Hourly",N(INDEX(Workers!$N$5:$N$2004,MATCH($A453,Workers!$A$5:$A$2004,0))),I453/Settings!$B$10/Settings!$B$12)*Settings!$B$13,2))</f>
        <v/>
      </c>
      <c r="N453" s="26" t="str">
        <f aca="false">IF($A453="","",K453+L453+M453)</f>
        <v/>
      </c>
      <c r="O453" s="26" t="str">
        <f aca="false">IF($A453="","",SUMIFS(Deductions!$D$5:$D$2000,Deductions!$B$5:$B$2000,$A453,Deductions!$C$5:$C$2000,"Advance",Deductions!$E$5:$E$2000,"&gt;="&amp;Settings!$B$8,Deductions!$E$5:$E$2000,"&lt;="&amp;Settings!$B$9))</f>
        <v/>
      </c>
      <c r="P453" s="26" t="str">
        <f aca="false">IF($A453="","",SUMIFS(Deductions!$D$5:$D$2000,Deductions!$B$5:$B$2000,$A453,Deductions!$E$5:$E$2000,"&gt;="&amp;Settings!$B$8,Deductions!$E$5:$E$2000,"&lt;="&amp;Settings!$B$9)-O453)</f>
        <v/>
      </c>
      <c r="Q453" s="26" t="str">
        <f aca="false">IF($A453="","",O453+P453)</f>
        <v/>
      </c>
      <c r="R453" s="23" t="str">
        <f aca="false">IF($A453="","",N453-Q453)</f>
        <v/>
      </c>
      <c r="S453" s="24" t="str">
        <f aca="false">IF($A453="","",INDEX(Workers!$O$5:$O$2004,MATCH($A453,Workers!$A$5:$A$2004,0))&amp;"")</f>
        <v/>
      </c>
      <c r="T453" s="24" t="str">
        <f aca="false">IF($A453="","",INDEX(Workers!$P$5:$P$2004,MATCH($A453,Workers!$A$5:$A$2004,0))&amp;"")</f>
        <v/>
      </c>
      <c r="U453" s="24" t="str">
        <f aca="false">IF($A453="","",INDEX(Workers!$H$5:$H$2004,MATCH($A453,Workers!$A$5:$A$2004,0))&amp;"")</f>
        <v/>
      </c>
    </row>
    <row r="454" customFormat="false" ht="15" hidden="false" customHeight="false" outlineLevel="0" collapsed="false">
      <c r="A454" s="24" t="str">
        <f aca="false">IFERROR(INDEX(Workers!$A$5:$A$2004,MATCH(ROW()-4,Workers!$U$5:$U$2004,0)),"")</f>
        <v/>
      </c>
      <c r="B454" s="24" t="str">
        <f aca="false">IF($A454="","",INDEX(Workers!$B$5:$B$2004,MATCH($A454,Workers!$A$5:$A$2004,0)))</f>
        <v/>
      </c>
      <c r="C454" s="24" t="str">
        <f aca="false">IF($A454="","",INDEX(Workers!$E$5:$E$2004,MATCH($A454,Workers!$A$5:$A$2004,0)))</f>
        <v/>
      </c>
      <c r="D454" s="24" t="str">
        <f aca="false">IF($A454="","",INDEX(Workers!$K$5:$K$2004,MATCH($A454,Workers!$A$5:$A$2004,0)))</f>
        <v/>
      </c>
      <c r="E454" s="25" t="str">
        <f aca="false">IF($A454="","",SUMIFS(Timesheet!$E$5:$E$3004,Timesheet!$D$5:$D$3004,$A454,Timesheet!$A$5:$A$3004,"&gt;="&amp;Settings!$B$8,Timesheet!$A$5:$A$3004,"&lt;="&amp;Settings!$B$9))</f>
        <v/>
      </c>
      <c r="F454" s="25" t="str">
        <f aca="false">IF($A454="","",SUMIFS(Timesheet!$F$5:$F$3004,Timesheet!$D$5:$D$3004,$A454,Timesheet!$A$5:$A$3004,"&gt;="&amp;Settings!$B$8,Timesheet!$A$5:$A$3004,"&lt;="&amp;Settings!$B$9))</f>
        <v/>
      </c>
      <c r="G454" s="25" t="str">
        <f aca="false">IF($A454="","",SUMIFS(Timesheet!$G$5:$G$3004,Timesheet!$D$5:$D$3004,$A454,Timesheet!$A$5:$A$3004,"&gt;="&amp;Settings!$B$8,Timesheet!$A$5:$A$3004,"&lt;="&amp;Settings!$B$9))</f>
        <v/>
      </c>
      <c r="H454" s="25" t="str">
        <f aca="false">IF($A454="","",IF(D454="Monthly",MAX(0,Settings!$B$11-E454),0))</f>
        <v/>
      </c>
      <c r="I454" s="26" t="str">
        <f aca="false">IF($A454="","",N(INDEX(Workers!$L$5:$L$2004,MATCH($A454,Workers!$A$5:$A$2004,0))))</f>
        <v/>
      </c>
      <c r="J454" s="26" t="str">
        <f aca="false">IF($A454="","",N(INDEX(Workers!$M$5:$M$2004,MATCH($A454,Workers!$A$5:$A$2004,0))))</f>
        <v/>
      </c>
      <c r="K454" s="26" t="str">
        <f aca="false">IF($A454="","",IF(D454="Monthly",ROUND(MAX(0,(I454+J454)-(I454+J454)/Settings!$B$10*H454),2),0))</f>
        <v/>
      </c>
      <c r="L454" s="26" t="str">
        <f aca="false">IF($A454="","",IF(D454="Hourly",ROUND(F454*N(INDEX(Workers!$N$5:$N$2004,MATCH($A454,Workers!$A$5:$A$2004,0))),2),0))</f>
        <v/>
      </c>
      <c r="M454" s="26" t="str">
        <f aca="false">IF($A454="","",ROUND(G454*IF(D454="Hourly",N(INDEX(Workers!$N$5:$N$2004,MATCH($A454,Workers!$A$5:$A$2004,0))),I454/Settings!$B$10/Settings!$B$12)*Settings!$B$13,2))</f>
        <v/>
      </c>
      <c r="N454" s="26" t="str">
        <f aca="false">IF($A454="","",K454+L454+M454)</f>
        <v/>
      </c>
      <c r="O454" s="26" t="str">
        <f aca="false">IF($A454="","",SUMIFS(Deductions!$D$5:$D$2000,Deductions!$B$5:$B$2000,$A454,Deductions!$C$5:$C$2000,"Advance",Deductions!$E$5:$E$2000,"&gt;="&amp;Settings!$B$8,Deductions!$E$5:$E$2000,"&lt;="&amp;Settings!$B$9))</f>
        <v/>
      </c>
      <c r="P454" s="26" t="str">
        <f aca="false">IF($A454="","",SUMIFS(Deductions!$D$5:$D$2000,Deductions!$B$5:$B$2000,$A454,Deductions!$E$5:$E$2000,"&gt;="&amp;Settings!$B$8,Deductions!$E$5:$E$2000,"&lt;="&amp;Settings!$B$9)-O454)</f>
        <v/>
      </c>
      <c r="Q454" s="26" t="str">
        <f aca="false">IF($A454="","",O454+P454)</f>
        <v/>
      </c>
      <c r="R454" s="23" t="str">
        <f aca="false">IF($A454="","",N454-Q454)</f>
        <v/>
      </c>
      <c r="S454" s="24" t="str">
        <f aca="false">IF($A454="","",INDEX(Workers!$O$5:$O$2004,MATCH($A454,Workers!$A$5:$A$2004,0))&amp;"")</f>
        <v/>
      </c>
      <c r="T454" s="24" t="str">
        <f aca="false">IF($A454="","",INDEX(Workers!$P$5:$P$2004,MATCH($A454,Workers!$A$5:$A$2004,0))&amp;"")</f>
        <v/>
      </c>
      <c r="U454" s="24" t="str">
        <f aca="false">IF($A454="","",INDEX(Workers!$H$5:$H$2004,MATCH($A454,Workers!$A$5:$A$2004,0))&amp;"")</f>
        <v/>
      </c>
    </row>
    <row r="455" customFormat="false" ht="15" hidden="false" customHeight="false" outlineLevel="0" collapsed="false">
      <c r="A455" s="24" t="str">
        <f aca="false">IFERROR(INDEX(Workers!$A$5:$A$2004,MATCH(ROW()-4,Workers!$U$5:$U$2004,0)),"")</f>
        <v/>
      </c>
      <c r="B455" s="24" t="str">
        <f aca="false">IF($A455="","",INDEX(Workers!$B$5:$B$2004,MATCH($A455,Workers!$A$5:$A$2004,0)))</f>
        <v/>
      </c>
      <c r="C455" s="24" t="str">
        <f aca="false">IF($A455="","",INDEX(Workers!$E$5:$E$2004,MATCH($A455,Workers!$A$5:$A$2004,0)))</f>
        <v/>
      </c>
      <c r="D455" s="24" t="str">
        <f aca="false">IF($A455="","",INDEX(Workers!$K$5:$K$2004,MATCH($A455,Workers!$A$5:$A$2004,0)))</f>
        <v/>
      </c>
      <c r="E455" s="25" t="str">
        <f aca="false">IF($A455="","",SUMIFS(Timesheet!$E$5:$E$3004,Timesheet!$D$5:$D$3004,$A455,Timesheet!$A$5:$A$3004,"&gt;="&amp;Settings!$B$8,Timesheet!$A$5:$A$3004,"&lt;="&amp;Settings!$B$9))</f>
        <v/>
      </c>
      <c r="F455" s="25" t="str">
        <f aca="false">IF($A455="","",SUMIFS(Timesheet!$F$5:$F$3004,Timesheet!$D$5:$D$3004,$A455,Timesheet!$A$5:$A$3004,"&gt;="&amp;Settings!$B$8,Timesheet!$A$5:$A$3004,"&lt;="&amp;Settings!$B$9))</f>
        <v/>
      </c>
      <c r="G455" s="25" t="str">
        <f aca="false">IF($A455="","",SUMIFS(Timesheet!$G$5:$G$3004,Timesheet!$D$5:$D$3004,$A455,Timesheet!$A$5:$A$3004,"&gt;="&amp;Settings!$B$8,Timesheet!$A$5:$A$3004,"&lt;="&amp;Settings!$B$9))</f>
        <v/>
      </c>
      <c r="H455" s="25" t="str">
        <f aca="false">IF($A455="","",IF(D455="Monthly",MAX(0,Settings!$B$11-E455),0))</f>
        <v/>
      </c>
      <c r="I455" s="26" t="str">
        <f aca="false">IF($A455="","",N(INDEX(Workers!$L$5:$L$2004,MATCH($A455,Workers!$A$5:$A$2004,0))))</f>
        <v/>
      </c>
      <c r="J455" s="26" t="str">
        <f aca="false">IF($A455="","",N(INDEX(Workers!$M$5:$M$2004,MATCH($A455,Workers!$A$5:$A$2004,0))))</f>
        <v/>
      </c>
      <c r="K455" s="26" t="str">
        <f aca="false">IF($A455="","",IF(D455="Monthly",ROUND(MAX(0,(I455+J455)-(I455+J455)/Settings!$B$10*H455),2),0))</f>
        <v/>
      </c>
      <c r="L455" s="26" t="str">
        <f aca="false">IF($A455="","",IF(D455="Hourly",ROUND(F455*N(INDEX(Workers!$N$5:$N$2004,MATCH($A455,Workers!$A$5:$A$2004,0))),2),0))</f>
        <v/>
      </c>
      <c r="M455" s="26" t="str">
        <f aca="false">IF($A455="","",ROUND(G455*IF(D455="Hourly",N(INDEX(Workers!$N$5:$N$2004,MATCH($A455,Workers!$A$5:$A$2004,0))),I455/Settings!$B$10/Settings!$B$12)*Settings!$B$13,2))</f>
        <v/>
      </c>
      <c r="N455" s="26" t="str">
        <f aca="false">IF($A455="","",K455+L455+M455)</f>
        <v/>
      </c>
      <c r="O455" s="26" t="str">
        <f aca="false">IF($A455="","",SUMIFS(Deductions!$D$5:$D$2000,Deductions!$B$5:$B$2000,$A455,Deductions!$C$5:$C$2000,"Advance",Deductions!$E$5:$E$2000,"&gt;="&amp;Settings!$B$8,Deductions!$E$5:$E$2000,"&lt;="&amp;Settings!$B$9))</f>
        <v/>
      </c>
      <c r="P455" s="26" t="str">
        <f aca="false">IF($A455="","",SUMIFS(Deductions!$D$5:$D$2000,Deductions!$B$5:$B$2000,$A455,Deductions!$E$5:$E$2000,"&gt;="&amp;Settings!$B$8,Deductions!$E$5:$E$2000,"&lt;="&amp;Settings!$B$9)-O455)</f>
        <v/>
      </c>
      <c r="Q455" s="26" t="str">
        <f aca="false">IF($A455="","",O455+P455)</f>
        <v/>
      </c>
      <c r="R455" s="23" t="str">
        <f aca="false">IF($A455="","",N455-Q455)</f>
        <v/>
      </c>
      <c r="S455" s="24" t="str">
        <f aca="false">IF($A455="","",INDEX(Workers!$O$5:$O$2004,MATCH($A455,Workers!$A$5:$A$2004,0))&amp;"")</f>
        <v/>
      </c>
      <c r="T455" s="24" t="str">
        <f aca="false">IF($A455="","",INDEX(Workers!$P$5:$P$2004,MATCH($A455,Workers!$A$5:$A$2004,0))&amp;"")</f>
        <v/>
      </c>
      <c r="U455" s="24" t="str">
        <f aca="false">IF($A455="","",INDEX(Workers!$H$5:$H$2004,MATCH($A455,Workers!$A$5:$A$2004,0))&amp;"")</f>
        <v/>
      </c>
    </row>
    <row r="456" customFormat="false" ht="15" hidden="false" customHeight="false" outlineLevel="0" collapsed="false">
      <c r="A456" s="24" t="str">
        <f aca="false">IFERROR(INDEX(Workers!$A$5:$A$2004,MATCH(ROW()-4,Workers!$U$5:$U$2004,0)),"")</f>
        <v/>
      </c>
      <c r="B456" s="24" t="str">
        <f aca="false">IF($A456="","",INDEX(Workers!$B$5:$B$2004,MATCH($A456,Workers!$A$5:$A$2004,0)))</f>
        <v/>
      </c>
      <c r="C456" s="24" t="str">
        <f aca="false">IF($A456="","",INDEX(Workers!$E$5:$E$2004,MATCH($A456,Workers!$A$5:$A$2004,0)))</f>
        <v/>
      </c>
      <c r="D456" s="24" t="str">
        <f aca="false">IF($A456="","",INDEX(Workers!$K$5:$K$2004,MATCH($A456,Workers!$A$5:$A$2004,0)))</f>
        <v/>
      </c>
      <c r="E456" s="25" t="str">
        <f aca="false">IF($A456="","",SUMIFS(Timesheet!$E$5:$E$3004,Timesheet!$D$5:$D$3004,$A456,Timesheet!$A$5:$A$3004,"&gt;="&amp;Settings!$B$8,Timesheet!$A$5:$A$3004,"&lt;="&amp;Settings!$B$9))</f>
        <v/>
      </c>
      <c r="F456" s="25" t="str">
        <f aca="false">IF($A456="","",SUMIFS(Timesheet!$F$5:$F$3004,Timesheet!$D$5:$D$3004,$A456,Timesheet!$A$5:$A$3004,"&gt;="&amp;Settings!$B$8,Timesheet!$A$5:$A$3004,"&lt;="&amp;Settings!$B$9))</f>
        <v/>
      </c>
      <c r="G456" s="25" t="str">
        <f aca="false">IF($A456="","",SUMIFS(Timesheet!$G$5:$G$3004,Timesheet!$D$5:$D$3004,$A456,Timesheet!$A$5:$A$3004,"&gt;="&amp;Settings!$B$8,Timesheet!$A$5:$A$3004,"&lt;="&amp;Settings!$B$9))</f>
        <v/>
      </c>
      <c r="H456" s="25" t="str">
        <f aca="false">IF($A456="","",IF(D456="Monthly",MAX(0,Settings!$B$11-E456),0))</f>
        <v/>
      </c>
      <c r="I456" s="26" t="str">
        <f aca="false">IF($A456="","",N(INDEX(Workers!$L$5:$L$2004,MATCH($A456,Workers!$A$5:$A$2004,0))))</f>
        <v/>
      </c>
      <c r="J456" s="26" t="str">
        <f aca="false">IF($A456="","",N(INDEX(Workers!$M$5:$M$2004,MATCH($A456,Workers!$A$5:$A$2004,0))))</f>
        <v/>
      </c>
      <c r="K456" s="26" t="str">
        <f aca="false">IF($A456="","",IF(D456="Monthly",ROUND(MAX(0,(I456+J456)-(I456+J456)/Settings!$B$10*H456),2),0))</f>
        <v/>
      </c>
      <c r="L456" s="26" t="str">
        <f aca="false">IF($A456="","",IF(D456="Hourly",ROUND(F456*N(INDEX(Workers!$N$5:$N$2004,MATCH($A456,Workers!$A$5:$A$2004,0))),2),0))</f>
        <v/>
      </c>
      <c r="M456" s="26" t="str">
        <f aca="false">IF($A456="","",ROUND(G456*IF(D456="Hourly",N(INDEX(Workers!$N$5:$N$2004,MATCH($A456,Workers!$A$5:$A$2004,0))),I456/Settings!$B$10/Settings!$B$12)*Settings!$B$13,2))</f>
        <v/>
      </c>
      <c r="N456" s="26" t="str">
        <f aca="false">IF($A456="","",K456+L456+M456)</f>
        <v/>
      </c>
      <c r="O456" s="26" t="str">
        <f aca="false">IF($A456="","",SUMIFS(Deductions!$D$5:$D$2000,Deductions!$B$5:$B$2000,$A456,Deductions!$C$5:$C$2000,"Advance",Deductions!$E$5:$E$2000,"&gt;="&amp;Settings!$B$8,Deductions!$E$5:$E$2000,"&lt;="&amp;Settings!$B$9))</f>
        <v/>
      </c>
      <c r="P456" s="26" t="str">
        <f aca="false">IF($A456="","",SUMIFS(Deductions!$D$5:$D$2000,Deductions!$B$5:$B$2000,$A456,Deductions!$E$5:$E$2000,"&gt;="&amp;Settings!$B$8,Deductions!$E$5:$E$2000,"&lt;="&amp;Settings!$B$9)-O456)</f>
        <v/>
      </c>
      <c r="Q456" s="26" t="str">
        <f aca="false">IF($A456="","",O456+P456)</f>
        <v/>
      </c>
      <c r="R456" s="23" t="str">
        <f aca="false">IF($A456="","",N456-Q456)</f>
        <v/>
      </c>
      <c r="S456" s="24" t="str">
        <f aca="false">IF($A456="","",INDEX(Workers!$O$5:$O$2004,MATCH($A456,Workers!$A$5:$A$2004,0))&amp;"")</f>
        <v/>
      </c>
      <c r="T456" s="24" t="str">
        <f aca="false">IF($A456="","",INDEX(Workers!$P$5:$P$2004,MATCH($A456,Workers!$A$5:$A$2004,0))&amp;"")</f>
        <v/>
      </c>
      <c r="U456" s="24" t="str">
        <f aca="false">IF($A456="","",INDEX(Workers!$H$5:$H$2004,MATCH($A456,Workers!$A$5:$A$2004,0))&amp;"")</f>
        <v/>
      </c>
    </row>
    <row r="457" customFormat="false" ht="15" hidden="false" customHeight="false" outlineLevel="0" collapsed="false">
      <c r="A457" s="24" t="str">
        <f aca="false">IFERROR(INDEX(Workers!$A$5:$A$2004,MATCH(ROW()-4,Workers!$U$5:$U$2004,0)),"")</f>
        <v/>
      </c>
      <c r="B457" s="24" t="str">
        <f aca="false">IF($A457="","",INDEX(Workers!$B$5:$B$2004,MATCH($A457,Workers!$A$5:$A$2004,0)))</f>
        <v/>
      </c>
      <c r="C457" s="24" t="str">
        <f aca="false">IF($A457="","",INDEX(Workers!$E$5:$E$2004,MATCH($A457,Workers!$A$5:$A$2004,0)))</f>
        <v/>
      </c>
      <c r="D457" s="24" t="str">
        <f aca="false">IF($A457="","",INDEX(Workers!$K$5:$K$2004,MATCH($A457,Workers!$A$5:$A$2004,0)))</f>
        <v/>
      </c>
      <c r="E457" s="25" t="str">
        <f aca="false">IF($A457="","",SUMIFS(Timesheet!$E$5:$E$3004,Timesheet!$D$5:$D$3004,$A457,Timesheet!$A$5:$A$3004,"&gt;="&amp;Settings!$B$8,Timesheet!$A$5:$A$3004,"&lt;="&amp;Settings!$B$9))</f>
        <v/>
      </c>
      <c r="F457" s="25" t="str">
        <f aca="false">IF($A457="","",SUMIFS(Timesheet!$F$5:$F$3004,Timesheet!$D$5:$D$3004,$A457,Timesheet!$A$5:$A$3004,"&gt;="&amp;Settings!$B$8,Timesheet!$A$5:$A$3004,"&lt;="&amp;Settings!$B$9))</f>
        <v/>
      </c>
      <c r="G457" s="25" t="str">
        <f aca="false">IF($A457="","",SUMIFS(Timesheet!$G$5:$G$3004,Timesheet!$D$5:$D$3004,$A457,Timesheet!$A$5:$A$3004,"&gt;="&amp;Settings!$B$8,Timesheet!$A$5:$A$3004,"&lt;="&amp;Settings!$B$9))</f>
        <v/>
      </c>
      <c r="H457" s="25" t="str">
        <f aca="false">IF($A457="","",IF(D457="Monthly",MAX(0,Settings!$B$11-E457),0))</f>
        <v/>
      </c>
      <c r="I457" s="26" t="str">
        <f aca="false">IF($A457="","",N(INDEX(Workers!$L$5:$L$2004,MATCH($A457,Workers!$A$5:$A$2004,0))))</f>
        <v/>
      </c>
      <c r="J457" s="26" t="str">
        <f aca="false">IF($A457="","",N(INDEX(Workers!$M$5:$M$2004,MATCH($A457,Workers!$A$5:$A$2004,0))))</f>
        <v/>
      </c>
      <c r="K457" s="26" t="str">
        <f aca="false">IF($A457="","",IF(D457="Monthly",ROUND(MAX(0,(I457+J457)-(I457+J457)/Settings!$B$10*H457),2),0))</f>
        <v/>
      </c>
      <c r="L457" s="26" t="str">
        <f aca="false">IF($A457="","",IF(D457="Hourly",ROUND(F457*N(INDEX(Workers!$N$5:$N$2004,MATCH($A457,Workers!$A$5:$A$2004,0))),2),0))</f>
        <v/>
      </c>
      <c r="M457" s="26" t="str">
        <f aca="false">IF($A457="","",ROUND(G457*IF(D457="Hourly",N(INDEX(Workers!$N$5:$N$2004,MATCH($A457,Workers!$A$5:$A$2004,0))),I457/Settings!$B$10/Settings!$B$12)*Settings!$B$13,2))</f>
        <v/>
      </c>
      <c r="N457" s="26" t="str">
        <f aca="false">IF($A457="","",K457+L457+M457)</f>
        <v/>
      </c>
      <c r="O457" s="26" t="str">
        <f aca="false">IF($A457="","",SUMIFS(Deductions!$D$5:$D$2000,Deductions!$B$5:$B$2000,$A457,Deductions!$C$5:$C$2000,"Advance",Deductions!$E$5:$E$2000,"&gt;="&amp;Settings!$B$8,Deductions!$E$5:$E$2000,"&lt;="&amp;Settings!$B$9))</f>
        <v/>
      </c>
      <c r="P457" s="26" t="str">
        <f aca="false">IF($A457="","",SUMIFS(Deductions!$D$5:$D$2000,Deductions!$B$5:$B$2000,$A457,Deductions!$E$5:$E$2000,"&gt;="&amp;Settings!$B$8,Deductions!$E$5:$E$2000,"&lt;="&amp;Settings!$B$9)-O457)</f>
        <v/>
      </c>
      <c r="Q457" s="26" t="str">
        <f aca="false">IF($A457="","",O457+P457)</f>
        <v/>
      </c>
      <c r="R457" s="23" t="str">
        <f aca="false">IF($A457="","",N457-Q457)</f>
        <v/>
      </c>
      <c r="S457" s="24" t="str">
        <f aca="false">IF($A457="","",INDEX(Workers!$O$5:$O$2004,MATCH($A457,Workers!$A$5:$A$2004,0))&amp;"")</f>
        <v/>
      </c>
      <c r="T457" s="24" t="str">
        <f aca="false">IF($A457="","",INDEX(Workers!$P$5:$P$2004,MATCH($A457,Workers!$A$5:$A$2004,0))&amp;"")</f>
        <v/>
      </c>
      <c r="U457" s="24" t="str">
        <f aca="false">IF($A457="","",INDEX(Workers!$H$5:$H$2004,MATCH($A457,Workers!$A$5:$A$2004,0))&amp;"")</f>
        <v/>
      </c>
    </row>
    <row r="458" customFormat="false" ht="15" hidden="false" customHeight="false" outlineLevel="0" collapsed="false">
      <c r="A458" s="24" t="str">
        <f aca="false">IFERROR(INDEX(Workers!$A$5:$A$2004,MATCH(ROW()-4,Workers!$U$5:$U$2004,0)),"")</f>
        <v/>
      </c>
      <c r="B458" s="24" t="str">
        <f aca="false">IF($A458="","",INDEX(Workers!$B$5:$B$2004,MATCH($A458,Workers!$A$5:$A$2004,0)))</f>
        <v/>
      </c>
      <c r="C458" s="24" t="str">
        <f aca="false">IF($A458="","",INDEX(Workers!$E$5:$E$2004,MATCH($A458,Workers!$A$5:$A$2004,0)))</f>
        <v/>
      </c>
      <c r="D458" s="24" t="str">
        <f aca="false">IF($A458="","",INDEX(Workers!$K$5:$K$2004,MATCH($A458,Workers!$A$5:$A$2004,0)))</f>
        <v/>
      </c>
      <c r="E458" s="25" t="str">
        <f aca="false">IF($A458="","",SUMIFS(Timesheet!$E$5:$E$3004,Timesheet!$D$5:$D$3004,$A458,Timesheet!$A$5:$A$3004,"&gt;="&amp;Settings!$B$8,Timesheet!$A$5:$A$3004,"&lt;="&amp;Settings!$B$9))</f>
        <v/>
      </c>
      <c r="F458" s="25" t="str">
        <f aca="false">IF($A458="","",SUMIFS(Timesheet!$F$5:$F$3004,Timesheet!$D$5:$D$3004,$A458,Timesheet!$A$5:$A$3004,"&gt;="&amp;Settings!$B$8,Timesheet!$A$5:$A$3004,"&lt;="&amp;Settings!$B$9))</f>
        <v/>
      </c>
      <c r="G458" s="25" t="str">
        <f aca="false">IF($A458="","",SUMIFS(Timesheet!$G$5:$G$3004,Timesheet!$D$5:$D$3004,$A458,Timesheet!$A$5:$A$3004,"&gt;="&amp;Settings!$B$8,Timesheet!$A$5:$A$3004,"&lt;="&amp;Settings!$B$9))</f>
        <v/>
      </c>
      <c r="H458" s="25" t="str">
        <f aca="false">IF($A458="","",IF(D458="Monthly",MAX(0,Settings!$B$11-E458),0))</f>
        <v/>
      </c>
      <c r="I458" s="26" t="str">
        <f aca="false">IF($A458="","",N(INDEX(Workers!$L$5:$L$2004,MATCH($A458,Workers!$A$5:$A$2004,0))))</f>
        <v/>
      </c>
      <c r="J458" s="26" t="str">
        <f aca="false">IF($A458="","",N(INDEX(Workers!$M$5:$M$2004,MATCH($A458,Workers!$A$5:$A$2004,0))))</f>
        <v/>
      </c>
      <c r="K458" s="26" t="str">
        <f aca="false">IF($A458="","",IF(D458="Monthly",ROUND(MAX(0,(I458+J458)-(I458+J458)/Settings!$B$10*H458),2),0))</f>
        <v/>
      </c>
      <c r="L458" s="26" t="str">
        <f aca="false">IF($A458="","",IF(D458="Hourly",ROUND(F458*N(INDEX(Workers!$N$5:$N$2004,MATCH($A458,Workers!$A$5:$A$2004,0))),2),0))</f>
        <v/>
      </c>
      <c r="M458" s="26" t="str">
        <f aca="false">IF($A458="","",ROUND(G458*IF(D458="Hourly",N(INDEX(Workers!$N$5:$N$2004,MATCH($A458,Workers!$A$5:$A$2004,0))),I458/Settings!$B$10/Settings!$B$12)*Settings!$B$13,2))</f>
        <v/>
      </c>
      <c r="N458" s="26" t="str">
        <f aca="false">IF($A458="","",K458+L458+M458)</f>
        <v/>
      </c>
      <c r="O458" s="26" t="str">
        <f aca="false">IF($A458="","",SUMIFS(Deductions!$D$5:$D$2000,Deductions!$B$5:$B$2000,$A458,Deductions!$C$5:$C$2000,"Advance",Deductions!$E$5:$E$2000,"&gt;="&amp;Settings!$B$8,Deductions!$E$5:$E$2000,"&lt;="&amp;Settings!$B$9))</f>
        <v/>
      </c>
      <c r="P458" s="26" t="str">
        <f aca="false">IF($A458="","",SUMIFS(Deductions!$D$5:$D$2000,Deductions!$B$5:$B$2000,$A458,Deductions!$E$5:$E$2000,"&gt;="&amp;Settings!$B$8,Deductions!$E$5:$E$2000,"&lt;="&amp;Settings!$B$9)-O458)</f>
        <v/>
      </c>
      <c r="Q458" s="26" t="str">
        <f aca="false">IF($A458="","",O458+P458)</f>
        <v/>
      </c>
      <c r="R458" s="23" t="str">
        <f aca="false">IF($A458="","",N458-Q458)</f>
        <v/>
      </c>
      <c r="S458" s="24" t="str">
        <f aca="false">IF($A458="","",INDEX(Workers!$O$5:$O$2004,MATCH($A458,Workers!$A$5:$A$2004,0))&amp;"")</f>
        <v/>
      </c>
      <c r="T458" s="24" t="str">
        <f aca="false">IF($A458="","",INDEX(Workers!$P$5:$P$2004,MATCH($A458,Workers!$A$5:$A$2004,0))&amp;"")</f>
        <v/>
      </c>
      <c r="U458" s="24" t="str">
        <f aca="false">IF($A458="","",INDEX(Workers!$H$5:$H$2004,MATCH($A458,Workers!$A$5:$A$2004,0))&amp;"")</f>
        <v/>
      </c>
    </row>
    <row r="459" customFormat="false" ht="15" hidden="false" customHeight="false" outlineLevel="0" collapsed="false">
      <c r="A459" s="24" t="str">
        <f aca="false">IFERROR(INDEX(Workers!$A$5:$A$2004,MATCH(ROW()-4,Workers!$U$5:$U$2004,0)),"")</f>
        <v/>
      </c>
      <c r="B459" s="24" t="str">
        <f aca="false">IF($A459="","",INDEX(Workers!$B$5:$B$2004,MATCH($A459,Workers!$A$5:$A$2004,0)))</f>
        <v/>
      </c>
      <c r="C459" s="24" t="str">
        <f aca="false">IF($A459="","",INDEX(Workers!$E$5:$E$2004,MATCH($A459,Workers!$A$5:$A$2004,0)))</f>
        <v/>
      </c>
      <c r="D459" s="24" t="str">
        <f aca="false">IF($A459="","",INDEX(Workers!$K$5:$K$2004,MATCH($A459,Workers!$A$5:$A$2004,0)))</f>
        <v/>
      </c>
      <c r="E459" s="25" t="str">
        <f aca="false">IF($A459="","",SUMIFS(Timesheet!$E$5:$E$3004,Timesheet!$D$5:$D$3004,$A459,Timesheet!$A$5:$A$3004,"&gt;="&amp;Settings!$B$8,Timesheet!$A$5:$A$3004,"&lt;="&amp;Settings!$B$9))</f>
        <v/>
      </c>
      <c r="F459" s="25" t="str">
        <f aca="false">IF($A459="","",SUMIFS(Timesheet!$F$5:$F$3004,Timesheet!$D$5:$D$3004,$A459,Timesheet!$A$5:$A$3004,"&gt;="&amp;Settings!$B$8,Timesheet!$A$5:$A$3004,"&lt;="&amp;Settings!$B$9))</f>
        <v/>
      </c>
      <c r="G459" s="25" t="str">
        <f aca="false">IF($A459="","",SUMIFS(Timesheet!$G$5:$G$3004,Timesheet!$D$5:$D$3004,$A459,Timesheet!$A$5:$A$3004,"&gt;="&amp;Settings!$B$8,Timesheet!$A$5:$A$3004,"&lt;="&amp;Settings!$B$9))</f>
        <v/>
      </c>
      <c r="H459" s="25" t="str">
        <f aca="false">IF($A459="","",IF(D459="Monthly",MAX(0,Settings!$B$11-E459),0))</f>
        <v/>
      </c>
      <c r="I459" s="26" t="str">
        <f aca="false">IF($A459="","",N(INDEX(Workers!$L$5:$L$2004,MATCH($A459,Workers!$A$5:$A$2004,0))))</f>
        <v/>
      </c>
      <c r="J459" s="26" t="str">
        <f aca="false">IF($A459="","",N(INDEX(Workers!$M$5:$M$2004,MATCH($A459,Workers!$A$5:$A$2004,0))))</f>
        <v/>
      </c>
      <c r="K459" s="26" t="str">
        <f aca="false">IF($A459="","",IF(D459="Monthly",ROUND(MAX(0,(I459+J459)-(I459+J459)/Settings!$B$10*H459),2),0))</f>
        <v/>
      </c>
      <c r="L459" s="26" t="str">
        <f aca="false">IF($A459="","",IF(D459="Hourly",ROUND(F459*N(INDEX(Workers!$N$5:$N$2004,MATCH($A459,Workers!$A$5:$A$2004,0))),2),0))</f>
        <v/>
      </c>
      <c r="M459" s="26" t="str">
        <f aca="false">IF($A459="","",ROUND(G459*IF(D459="Hourly",N(INDEX(Workers!$N$5:$N$2004,MATCH($A459,Workers!$A$5:$A$2004,0))),I459/Settings!$B$10/Settings!$B$12)*Settings!$B$13,2))</f>
        <v/>
      </c>
      <c r="N459" s="26" t="str">
        <f aca="false">IF($A459="","",K459+L459+M459)</f>
        <v/>
      </c>
      <c r="O459" s="26" t="str">
        <f aca="false">IF($A459="","",SUMIFS(Deductions!$D$5:$D$2000,Deductions!$B$5:$B$2000,$A459,Deductions!$C$5:$C$2000,"Advance",Deductions!$E$5:$E$2000,"&gt;="&amp;Settings!$B$8,Deductions!$E$5:$E$2000,"&lt;="&amp;Settings!$B$9))</f>
        <v/>
      </c>
      <c r="P459" s="26" t="str">
        <f aca="false">IF($A459="","",SUMIFS(Deductions!$D$5:$D$2000,Deductions!$B$5:$B$2000,$A459,Deductions!$E$5:$E$2000,"&gt;="&amp;Settings!$B$8,Deductions!$E$5:$E$2000,"&lt;="&amp;Settings!$B$9)-O459)</f>
        <v/>
      </c>
      <c r="Q459" s="26" t="str">
        <f aca="false">IF($A459="","",O459+P459)</f>
        <v/>
      </c>
      <c r="R459" s="23" t="str">
        <f aca="false">IF($A459="","",N459-Q459)</f>
        <v/>
      </c>
      <c r="S459" s="24" t="str">
        <f aca="false">IF($A459="","",INDEX(Workers!$O$5:$O$2004,MATCH($A459,Workers!$A$5:$A$2004,0))&amp;"")</f>
        <v/>
      </c>
      <c r="T459" s="24" t="str">
        <f aca="false">IF($A459="","",INDEX(Workers!$P$5:$P$2004,MATCH($A459,Workers!$A$5:$A$2004,0))&amp;"")</f>
        <v/>
      </c>
      <c r="U459" s="24" t="str">
        <f aca="false">IF($A459="","",INDEX(Workers!$H$5:$H$2004,MATCH($A459,Workers!$A$5:$A$2004,0))&amp;"")</f>
        <v/>
      </c>
    </row>
    <row r="460" customFormat="false" ht="15" hidden="false" customHeight="false" outlineLevel="0" collapsed="false">
      <c r="A460" s="24" t="str">
        <f aca="false">IFERROR(INDEX(Workers!$A$5:$A$2004,MATCH(ROW()-4,Workers!$U$5:$U$2004,0)),"")</f>
        <v/>
      </c>
      <c r="B460" s="24" t="str">
        <f aca="false">IF($A460="","",INDEX(Workers!$B$5:$B$2004,MATCH($A460,Workers!$A$5:$A$2004,0)))</f>
        <v/>
      </c>
      <c r="C460" s="24" t="str">
        <f aca="false">IF($A460="","",INDEX(Workers!$E$5:$E$2004,MATCH($A460,Workers!$A$5:$A$2004,0)))</f>
        <v/>
      </c>
      <c r="D460" s="24" t="str">
        <f aca="false">IF($A460="","",INDEX(Workers!$K$5:$K$2004,MATCH($A460,Workers!$A$5:$A$2004,0)))</f>
        <v/>
      </c>
      <c r="E460" s="25" t="str">
        <f aca="false">IF($A460="","",SUMIFS(Timesheet!$E$5:$E$3004,Timesheet!$D$5:$D$3004,$A460,Timesheet!$A$5:$A$3004,"&gt;="&amp;Settings!$B$8,Timesheet!$A$5:$A$3004,"&lt;="&amp;Settings!$B$9))</f>
        <v/>
      </c>
      <c r="F460" s="25" t="str">
        <f aca="false">IF($A460="","",SUMIFS(Timesheet!$F$5:$F$3004,Timesheet!$D$5:$D$3004,$A460,Timesheet!$A$5:$A$3004,"&gt;="&amp;Settings!$B$8,Timesheet!$A$5:$A$3004,"&lt;="&amp;Settings!$B$9))</f>
        <v/>
      </c>
      <c r="G460" s="25" t="str">
        <f aca="false">IF($A460="","",SUMIFS(Timesheet!$G$5:$G$3004,Timesheet!$D$5:$D$3004,$A460,Timesheet!$A$5:$A$3004,"&gt;="&amp;Settings!$B$8,Timesheet!$A$5:$A$3004,"&lt;="&amp;Settings!$B$9))</f>
        <v/>
      </c>
      <c r="H460" s="25" t="str">
        <f aca="false">IF($A460="","",IF(D460="Monthly",MAX(0,Settings!$B$11-E460),0))</f>
        <v/>
      </c>
      <c r="I460" s="26" t="str">
        <f aca="false">IF($A460="","",N(INDEX(Workers!$L$5:$L$2004,MATCH($A460,Workers!$A$5:$A$2004,0))))</f>
        <v/>
      </c>
      <c r="J460" s="26" t="str">
        <f aca="false">IF($A460="","",N(INDEX(Workers!$M$5:$M$2004,MATCH($A460,Workers!$A$5:$A$2004,0))))</f>
        <v/>
      </c>
      <c r="K460" s="26" t="str">
        <f aca="false">IF($A460="","",IF(D460="Monthly",ROUND(MAX(0,(I460+J460)-(I460+J460)/Settings!$B$10*H460),2),0))</f>
        <v/>
      </c>
      <c r="L460" s="26" t="str">
        <f aca="false">IF($A460="","",IF(D460="Hourly",ROUND(F460*N(INDEX(Workers!$N$5:$N$2004,MATCH($A460,Workers!$A$5:$A$2004,0))),2),0))</f>
        <v/>
      </c>
      <c r="M460" s="26" t="str">
        <f aca="false">IF($A460="","",ROUND(G460*IF(D460="Hourly",N(INDEX(Workers!$N$5:$N$2004,MATCH($A460,Workers!$A$5:$A$2004,0))),I460/Settings!$B$10/Settings!$B$12)*Settings!$B$13,2))</f>
        <v/>
      </c>
      <c r="N460" s="26" t="str">
        <f aca="false">IF($A460="","",K460+L460+M460)</f>
        <v/>
      </c>
      <c r="O460" s="26" t="str">
        <f aca="false">IF($A460="","",SUMIFS(Deductions!$D$5:$D$2000,Deductions!$B$5:$B$2000,$A460,Deductions!$C$5:$C$2000,"Advance",Deductions!$E$5:$E$2000,"&gt;="&amp;Settings!$B$8,Deductions!$E$5:$E$2000,"&lt;="&amp;Settings!$B$9))</f>
        <v/>
      </c>
      <c r="P460" s="26" t="str">
        <f aca="false">IF($A460="","",SUMIFS(Deductions!$D$5:$D$2000,Deductions!$B$5:$B$2000,$A460,Deductions!$E$5:$E$2000,"&gt;="&amp;Settings!$B$8,Deductions!$E$5:$E$2000,"&lt;="&amp;Settings!$B$9)-O460)</f>
        <v/>
      </c>
      <c r="Q460" s="26" t="str">
        <f aca="false">IF($A460="","",O460+P460)</f>
        <v/>
      </c>
      <c r="R460" s="23" t="str">
        <f aca="false">IF($A460="","",N460-Q460)</f>
        <v/>
      </c>
      <c r="S460" s="24" t="str">
        <f aca="false">IF($A460="","",INDEX(Workers!$O$5:$O$2004,MATCH($A460,Workers!$A$5:$A$2004,0))&amp;"")</f>
        <v/>
      </c>
      <c r="T460" s="24" t="str">
        <f aca="false">IF($A460="","",INDEX(Workers!$P$5:$P$2004,MATCH($A460,Workers!$A$5:$A$2004,0))&amp;"")</f>
        <v/>
      </c>
      <c r="U460" s="24" t="str">
        <f aca="false">IF($A460="","",INDEX(Workers!$H$5:$H$2004,MATCH($A460,Workers!$A$5:$A$2004,0))&amp;"")</f>
        <v/>
      </c>
    </row>
    <row r="461" customFormat="false" ht="15" hidden="false" customHeight="false" outlineLevel="0" collapsed="false">
      <c r="A461" s="24" t="str">
        <f aca="false">IFERROR(INDEX(Workers!$A$5:$A$2004,MATCH(ROW()-4,Workers!$U$5:$U$2004,0)),"")</f>
        <v/>
      </c>
      <c r="B461" s="24" t="str">
        <f aca="false">IF($A461="","",INDEX(Workers!$B$5:$B$2004,MATCH($A461,Workers!$A$5:$A$2004,0)))</f>
        <v/>
      </c>
      <c r="C461" s="24" t="str">
        <f aca="false">IF($A461="","",INDEX(Workers!$E$5:$E$2004,MATCH($A461,Workers!$A$5:$A$2004,0)))</f>
        <v/>
      </c>
      <c r="D461" s="24" t="str">
        <f aca="false">IF($A461="","",INDEX(Workers!$K$5:$K$2004,MATCH($A461,Workers!$A$5:$A$2004,0)))</f>
        <v/>
      </c>
      <c r="E461" s="25" t="str">
        <f aca="false">IF($A461="","",SUMIFS(Timesheet!$E$5:$E$3004,Timesheet!$D$5:$D$3004,$A461,Timesheet!$A$5:$A$3004,"&gt;="&amp;Settings!$B$8,Timesheet!$A$5:$A$3004,"&lt;="&amp;Settings!$B$9))</f>
        <v/>
      </c>
      <c r="F461" s="25" t="str">
        <f aca="false">IF($A461="","",SUMIFS(Timesheet!$F$5:$F$3004,Timesheet!$D$5:$D$3004,$A461,Timesheet!$A$5:$A$3004,"&gt;="&amp;Settings!$B$8,Timesheet!$A$5:$A$3004,"&lt;="&amp;Settings!$B$9))</f>
        <v/>
      </c>
      <c r="G461" s="25" t="str">
        <f aca="false">IF($A461="","",SUMIFS(Timesheet!$G$5:$G$3004,Timesheet!$D$5:$D$3004,$A461,Timesheet!$A$5:$A$3004,"&gt;="&amp;Settings!$B$8,Timesheet!$A$5:$A$3004,"&lt;="&amp;Settings!$B$9))</f>
        <v/>
      </c>
      <c r="H461" s="25" t="str">
        <f aca="false">IF($A461="","",IF(D461="Monthly",MAX(0,Settings!$B$11-E461),0))</f>
        <v/>
      </c>
      <c r="I461" s="26" t="str">
        <f aca="false">IF($A461="","",N(INDEX(Workers!$L$5:$L$2004,MATCH($A461,Workers!$A$5:$A$2004,0))))</f>
        <v/>
      </c>
      <c r="J461" s="26" t="str">
        <f aca="false">IF($A461="","",N(INDEX(Workers!$M$5:$M$2004,MATCH($A461,Workers!$A$5:$A$2004,0))))</f>
        <v/>
      </c>
      <c r="K461" s="26" t="str">
        <f aca="false">IF($A461="","",IF(D461="Monthly",ROUND(MAX(0,(I461+J461)-(I461+J461)/Settings!$B$10*H461),2),0))</f>
        <v/>
      </c>
      <c r="L461" s="26" t="str">
        <f aca="false">IF($A461="","",IF(D461="Hourly",ROUND(F461*N(INDEX(Workers!$N$5:$N$2004,MATCH($A461,Workers!$A$5:$A$2004,0))),2),0))</f>
        <v/>
      </c>
      <c r="M461" s="26" t="str">
        <f aca="false">IF($A461="","",ROUND(G461*IF(D461="Hourly",N(INDEX(Workers!$N$5:$N$2004,MATCH($A461,Workers!$A$5:$A$2004,0))),I461/Settings!$B$10/Settings!$B$12)*Settings!$B$13,2))</f>
        <v/>
      </c>
      <c r="N461" s="26" t="str">
        <f aca="false">IF($A461="","",K461+L461+M461)</f>
        <v/>
      </c>
      <c r="O461" s="26" t="str">
        <f aca="false">IF($A461="","",SUMIFS(Deductions!$D$5:$D$2000,Deductions!$B$5:$B$2000,$A461,Deductions!$C$5:$C$2000,"Advance",Deductions!$E$5:$E$2000,"&gt;="&amp;Settings!$B$8,Deductions!$E$5:$E$2000,"&lt;="&amp;Settings!$B$9))</f>
        <v/>
      </c>
      <c r="P461" s="26" t="str">
        <f aca="false">IF($A461="","",SUMIFS(Deductions!$D$5:$D$2000,Deductions!$B$5:$B$2000,$A461,Deductions!$E$5:$E$2000,"&gt;="&amp;Settings!$B$8,Deductions!$E$5:$E$2000,"&lt;="&amp;Settings!$B$9)-O461)</f>
        <v/>
      </c>
      <c r="Q461" s="26" t="str">
        <f aca="false">IF($A461="","",O461+P461)</f>
        <v/>
      </c>
      <c r="R461" s="23" t="str">
        <f aca="false">IF($A461="","",N461-Q461)</f>
        <v/>
      </c>
      <c r="S461" s="24" t="str">
        <f aca="false">IF($A461="","",INDEX(Workers!$O$5:$O$2004,MATCH($A461,Workers!$A$5:$A$2004,0))&amp;"")</f>
        <v/>
      </c>
      <c r="T461" s="24" t="str">
        <f aca="false">IF($A461="","",INDEX(Workers!$P$5:$P$2004,MATCH($A461,Workers!$A$5:$A$2004,0))&amp;"")</f>
        <v/>
      </c>
      <c r="U461" s="24" t="str">
        <f aca="false">IF($A461="","",INDEX(Workers!$H$5:$H$2004,MATCH($A461,Workers!$A$5:$A$2004,0))&amp;"")</f>
        <v/>
      </c>
    </row>
    <row r="462" customFormat="false" ht="15" hidden="false" customHeight="false" outlineLevel="0" collapsed="false">
      <c r="A462" s="24" t="str">
        <f aca="false">IFERROR(INDEX(Workers!$A$5:$A$2004,MATCH(ROW()-4,Workers!$U$5:$U$2004,0)),"")</f>
        <v/>
      </c>
      <c r="B462" s="24" t="str">
        <f aca="false">IF($A462="","",INDEX(Workers!$B$5:$B$2004,MATCH($A462,Workers!$A$5:$A$2004,0)))</f>
        <v/>
      </c>
      <c r="C462" s="24" t="str">
        <f aca="false">IF($A462="","",INDEX(Workers!$E$5:$E$2004,MATCH($A462,Workers!$A$5:$A$2004,0)))</f>
        <v/>
      </c>
      <c r="D462" s="24" t="str">
        <f aca="false">IF($A462="","",INDEX(Workers!$K$5:$K$2004,MATCH($A462,Workers!$A$5:$A$2004,0)))</f>
        <v/>
      </c>
      <c r="E462" s="25" t="str">
        <f aca="false">IF($A462="","",SUMIFS(Timesheet!$E$5:$E$3004,Timesheet!$D$5:$D$3004,$A462,Timesheet!$A$5:$A$3004,"&gt;="&amp;Settings!$B$8,Timesheet!$A$5:$A$3004,"&lt;="&amp;Settings!$B$9))</f>
        <v/>
      </c>
      <c r="F462" s="25" t="str">
        <f aca="false">IF($A462="","",SUMIFS(Timesheet!$F$5:$F$3004,Timesheet!$D$5:$D$3004,$A462,Timesheet!$A$5:$A$3004,"&gt;="&amp;Settings!$B$8,Timesheet!$A$5:$A$3004,"&lt;="&amp;Settings!$B$9))</f>
        <v/>
      </c>
      <c r="G462" s="25" t="str">
        <f aca="false">IF($A462="","",SUMIFS(Timesheet!$G$5:$G$3004,Timesheet!$D$5:$D$3004,$A462,Timesheet!$A$5:$A$3004,"&gt;="&amp;Settings!$B$8,Timesheet!$A$5:$A$3004,"&lt;="&amp;Settings!$B$9))</f>
        <v/>
      </c>
      <c r="H462" s="25" t="str">
        <f aca="false">IF($A462="","",IF(D462="Monthly",MAX(0,Settings!$B$11-E462),0))</f>
        <v/>
      </c>
      <c r="I462" s="26" t="str">
        <f aca="false">IF($A462="","",N(INDEX(Workers!$L$5:$L$2004,MATCH($A462,Workers!$A$5:$A$2004,0))))</f>
        <v/>
      </c>
      <c r="J462" s="26" t="str">
        <f aca="false">IF($A462="","",N(INDEX(Workers!$M$5:$M$2004,MATCH($A462,Workers!$A$5:$A$2004,0))))</f>
        <v/>
      </c>
      <c r="K462" s="26" t="str">
        <f aca="false">IF($A462="","",IF(D462="Monthly",ROUND(MAX(0,(I462+J462)-(I462+J462)/Settings!$B$10*H462),2),0))</f>
        <v/>
      </c>
      <c r="L462" s="26" t="str">
        <f aca="false">IF($A462="","",IF(D462="Hourly",ROUND(F462*N(INDEX(Workers!$N$5:$N$2004,MATCH($A462,Workers!$A$5:$A$2004,0))),2),0))</f>
        <v/>
      </c>
      <c r="M462" s="26" t="str">
        <f aca="false">IF($A462="","",ROUND(G462*IF(D462="Hourly",N(INDEX(Workers!$N$5:$N$2004,MATCH($A462,Workers!$A$5:$A$2004,0))),I462/Settings!$B$10/Settings!$B$12)*Settings!$B$13,2))</f>
        <v/>
      </c>
      <c r="N462" s="26" t="str">
        <f aca="false">IF($A462="","",K462+L462+M462)</f>
        <v/>
      </c>
      <c r="O462" s="26" t="str">
        <f aca="false">IF($A462="","",SUMIFS(Deductions!$D$5:$D$2000,Deductions!$B$5:$B$2000,$A462,Deductions!$C$5:$C$2000,"Advance",Deductions!$E$5:$E$2000,"&gt;="&amp;Settings!$B$8,Deductions!$E$5:$E$2000,"&lt;="&amp;Settings!$B$9))</f>
        <v/>
      </c>
      <c r="P462" s="26" t="str">
        <f aca="false">IF($A462="","",SUMIFS(Deductions!$D$5:$D$2000,Deductions!$B$5:$B$2000,$A462,Deductions!$E$5:$E$2000,"&gt;="&amp;Settings!$B$8,Deductions!$E$5:$E$2000,"&lt;="&amp;Settings!$B$9)-O462)</f>
        <v/>
      </c>
      <c r="Q462" s="26" t="str">
        <f aca="false">IF($A462="","",O462+P462)</f>
        <v/>
      </c>
      <c r="R462" s="23" t="str">
        <f aca="false">IF($A462="","",N462-Q462)</f>
        <v/>
      </c>
      <c r="S462" s="24" t="str">
        <f aca="false">IF($A462="","",INDEX(Workers!$O$5:$O$2004,MATCH($A462,Workers!$A$5:$A$2004,0))&amp;"")</f>
        <v/>
      </c>
      <c r="T462" s="24" t="str">
        <f aca="false">IF($A462="","",INDEX(Workers!$P$5:$P$2004,MATCH($A462,Workers!$A$5:$A$2004,0))&amp;"")</f>
        <v/>
      </c>
      <c r="U462" s="24" t="str">
        <f aca="false">IF($A462="","",INDEX(Workers!$H$5:$H$2004,MATCH($A462,Workers!$A$5:$A$2004,0))&amp;"")</f>
        <v/>
      </c>
    </row>
    <row r="463" customFormat="false" ht="15" hidden="false" customHeight="false" outlineLevel="0" collapsed="false">
      <c r="A463" s="24" t="str">
        <f aca="false">IFERROR(INDEX(Workers!$A$5:$A$2004,MATCH(ROW()-4,Workers!$U$5:$U$2004,0)),"")</f>
        <v/>
      </c>
      <c r="B463" s="24" t="str">
        <f aca="false">IF($A463="","",INDEX(Workers!$B$5:$B$2004,MATCH($A463,Workers!$A$5:$A$2004,0)))</f>
        <v/>
      </c>
      <c r="C463" s="24" t="str">
        <f aca="false">IF($A463="","",INDEX(Workers!$E$5:$E$2004,MATCH($A463,Workers!$A$5:$A$2004,0)))</f>
        <v/>
      </c>
      <c r="D463" s="24" t="str">
        <f aca="false">IF($A463="","",INDEX(Workers!$K$5:$K$2004,MATCH($A463,Workers!$A$5:$A$2004,0)))</f>
        <v/>
      </c>
      <c r="E463" s="25" t="str">
        <f aca="false">IF($A463="","",SUMIFS(Timesheet!$E$5:$E$3004,Timesheet!$D$5:$D$3004,$A463,Timesheet!$A$5:$A$3004,"&gt;="&amp;Settings!$B$8,Timesheet!$A$5:$A$3004,"&lt;="&amp;Settings!$B$9))</f>
        <v/>
      </c>
      <c r="F463" s="25" t="str">
        <f aca="false">IF($A463="","",SUMIFS(Timesheet!$F$5:$F$3004,Timesheet!$D$5:$D$3004,$A463,Timesheet!$A$5:$A$3004,"&gt;="&amp;Settings!$B$8,Timesheet!$A$5:$A$3004,"&lt;="&amp;Settings!$B$9))</f>
        <v/>
      </c>
      <c r="G463" s="25" t="str">
        <f aca="false">IF($A463="","",SUMIFS(Timesheet!$G$5:$G$3004,Timesheet!$D$5:$D$3004,$A463,Timesheet!$A$5:$A$3004,"&gt;="&amp;Settings!$B$8,Timesheet!$A$5:$A$3004,"&lt;="&amp;Settings!$B$9))</f>
        <v/>
      </c>
      <c r="H463" s="25" t="str">
        <f aca="false">IF($A463="","",IF(D463="Monthly",MAX(0,Settings!$B$11-E463),0))</f>
        <v/>
      </c>
      <c r="I463" s="26" t="str">
        <f aca="false">IF($A463="","",N(INDEX(Workers!$L$5:$L$2004,MATCH($A463,Workers!$A$5:$A$2004,0))))</f>
        <v/>
      </c>
      <c r="J463" s="26" t="str">
        <f aca="false">IF($A463="","",N(INDEX(Workers!$M$5:$M$2004,MATCH($A463,Workers!$A$5:$A$2004,0))))</f>
        <v/>
      </c>
      <c r="K463" s="26" t="str">
        <f aca="false">IF($A463="","",IF(D463="Monthly",ROUND(MAX(0,(I463+J463)-(I463+J463)/Settings!$B$10*H463),2),0))</f>
        <v/>
      </c>
      <c r="L463" s="26" t="str">
        <f aca="false">IF($A463="","",IF(D463="Hourly",ROUND(F463*N(INDEX(Workers!$N$5:$N$2004,MATCH($A463,Workers!$A$5:$A$2004,0))),2),0))</f>
        <v/>
      </c>
      <c r="M463" s="26" t="str">
        <f aca="false">IF($A463="","",ROUND(G463*IF(D463="Hourly",N(INDEX(Workers!$N$5:$N$2004,MATCH($A463,Workers!$A$5:$A$2004,0))),I463/Settings!$B$10/Settings!$B$12)*Settings!$B$13,2))</f>
        <v/>
      </c>
      <c r="N463" s="26" t="str">
        <f aca="false">IF($A463="","",K463+L463+M463)</f>
        <v/>
      </c>
      <c r="O463" s="26" t="str">
        <f aca="false">IF($A463="","",SUMIFS(Deductions!$D$5:$D$2000,Deductions!$B$5:$B$2000,$A463,Deductions!$C$5:$C$2000,"Advance",Deductions!$E$5:$E$2000,"&gt;="&amp;Settings!$B$8,Deductions!$E$5:$E$2000,"&lt;="&amp;Settings!$B$9))</f>
        <v/>
      </c>
      <c r="P463" s="26" t="str">
        <f aca="false">IF($A463="","",SUMIFS(Deductions!$D$5:$D$2000,Deductions!$B$5:$B$2000,$A463,Deductions!$E$5:$E$2000,"&gt;="&amp;Settings!$B$8,Deductions!$E$5:$E$2000,"&lt;="&amp;Settings!$B$9)-O463)</f>
        <v/>
      </c>
      <c r="Q463" s="26" t="str">
        <f aca="false">IF($A463="","",O463+P463)</f>
        <v/>
      </c>
      <c r="R463" s="23" t="str">
        <f aca="false">IF($A463="","",N463-Q463)</f>
        <v/>
      </c>
      <c r="S463" s="24" t="str">
        <f aca="false">IF($A463="","",INDEX(Workers!$O$5:$O$2004,MATCH($A463,Workers!$A$5:$A$2004,0))&amp;"")</f>
        <v/>
      </c>
      <c r="T463" s="24" t="str">
        <f aca="false">IF($A463="","",INDEX(Workers!$P$5:$P$2004,MATCH($A463,Workers!$A$5:$A$2004,0))&amp;"")</f>
        <v/>
      </c>
      <c r="U463" s="24" t="str">
        <f aca="false">IF($A463="","",INDEX(Workers!$H$5:$H$2004,MATCH($A463,Workers!$A$5:$A$2004,0))&amp;"")</f>
        <v/>
      </c>
    </row>
    <row r="464" customFormat="false" ht="15" hidden="false" customHeight="false" outlineLevel="0" collapsed="false">
      <c r="A464" s="24" t="str">
        <f aca="false">IFERROR(INDEX(Workers!$A$5:$A$2004,MATCH(ROW()-4,Workers!$U$5:$U$2004,0)),"")</f>
        <v/>
      </c>
      <c r="B464" s="24" t="str">
        <f aca="false">IF($A464="","",INDEX(Workers!$B$5:$B$2004,MATCH($A464,Workers!$A$5:$A$2004,0)))</f>
        <v/>
      </c>
      <c r="C464" s="24" t="str">
        <f aca="false">IF($A464="","",INDEX(Workers!$E$5:$E$2004,MATCH($A464,Workers!$A$5:$A$2004,0)))</f>
        <v/>
      </c>
      <c r="D464" s="24" t="str">
        <f aca="false">IF($A464="","",INDEX(Workers!$K$5:$K$2004,MATCH($A464,Workers!$A$5:$A$2004,0)))</f>
        <v/>
      </c>
      <c r="E464" s="25" t="str">
        <f aca="false">IF($A464="","",SUMIFS(Timesheet!$E$5:$E$3004,Timesheet!$D$5:$D$3004,$A464,Timesheet!$A$5:$A$3004,"&gt;="&amp;Settings!$B$8,Timesheet!$A$5:$A$3004,"&lt;="&amp;Settings!$B$9))</f>
        <v/>
      </c>
      <c r="F464" s="25" t="str">
        <f aca="false">IF($A464="","",SUMIFS(Timesheet!$F$5:$F$3004,Timesheet!$D$5:$D$3004,$A464,Timesheet!$A$5:$A$3004,"&gt;="&amp;Settings!$B$8,Timesheet!$A$5:$A$3004,"&lt;="&amp;Settings!$B$9))</f>
        <v/>
      </c>
      <c r="G464" s="25" t="str">
        <f aca="false">IF($A464="","",SUMIFS(Timesheet!$G$5:$G$3004,Timesheet!$D$5:$D$3004,$A464,Timesheet!$A$5:$A$3004,"&gt;="&amp;Settings!$B$8,Timesheet!$A$5:$A$3004,"&lt;="&amp;Settings!$B$9))</f>
        <v/>
      </c>
      <c r="H464" s="25" t="str">
        <f aca="false">IF($A464="","",IF(D464="Monthly",MAX(0,Settings!$B$11-E464),0))</f>
        <v/>
      </c>
      <c r="I464" s="26" t="str">
        <f aca="false">IF($A464="","",N(INDEX(Workers!$L$5:$L$2004,MATCH($A464,Workers!$A$5:$A$2004,0))))</f>
        <v/>
      </c>
      <c r="J464" s="26" t="str">
        <f aca="false">IF($A464="","",N(INDEX(Workers!$M$5:$M$2004,MATCH($A464,Workers!$A$5:$A$2004,0))))</f>
        <v/>
      </c>
      <c r="K464" s="26" t="str">
        <f aca="false">IF($A464="","",IF(D464="Monthly",ROUND(MAX(0,(I464+J464)-(I464+J464)/Settings!$B$10*H464),2),0))</f>
        <v/>
      </c>
      <c r="L464" s="26" t="str">
        <f aca="false">IF($A464="","",IF(D464="Hourly",ROUND(F464*N(INDEX(Workers!$N$5:$N$2004,MATCH($A464,Workers!$A$5:$A$2004,0))),2),0))</f>
        <v/>
      </c>
      <c r="M464" s="26" t="str">
        <f aca="false">IF($A464="","",ROUND(G464*IF(D464="Hourly",N(INDEX(Workers!$N$5:$N$2004,MATCH($A464,Workers!$A$5:$A$2004,0))),I464/Settings!$B$10/Settings!$B$12)*Settings!$B$13,2))</f>
        <v/>
      </c>
      <c r="N464" s="26" t="str">
        <f aca="false">IF($A464="","",K464+L464+M464)</f>
        <v/>
      </c>
      <c r="O464" s="26" t="str">
        <f aca="false">IF($A464="","",SUMIFS(Deductions!$D$5:$D$2000,Deductions!$B$5:$B$2000,$A464,Deductions!$C$5:$C$2000,"Advance",Deductions!$E$5:$E$2000,"&gt;="&amp;Settings!$B$8,Deductions!$E$5:$E$2000,"&lt;="&amp;Settings!$B$9))</f>
        <v/>
      </c>
      <c r="P464" s="26" t="str">
        <f aca="false">IF($A464="","",SUMIFS(Deductions!$D$5:$D$2000,Deductions!$B$5:$B$2000,$A464,Deductions!$E$5:$E$2000,"&gt;="&amp;Settings!$B$8,Deductions!$E$5:$E$2000,"&lt;="&amp;Settings!$B$9)-O464)</f>
        <v/>
      </c>
      <c r="Q464" s="26" t="str">
        <f aca="false">IF($A464="","",O464+P464)</f>
        <v/>
      </c>
      <c r="R464" s="23" t="str">
        <f aca="false">IF($A464="","",N464-Q464)</f>
        <v/>
      </c>
      <c r="S464" s="24" t="str">
        <f aca="false">IF($A464="","",INDEX(Workers!$O$5:$O$2004,MATCH($A464,Workers!$A$5:$A$2004,0))&amp;"")</f>
        <v/>
      </c>
      <c r="T464" s="24" t="str">
        <f aca="false">IF($A464="","",INDEX(Workers!$P$5:$P$2004,MATCH($A464,Workers!$A$5:$A$2004,0))&amp;"")</f>
        <v/>
      </c>
      <c r="U464" s="24" t="str">
        <f aca="false">IF($A464="","",INDEX(Workers!$H$5:$H$2004,MATCH($A464,Workers!$A$5:$A$2004,0))&amp;"")</f>
        <v/>
      </c>
    </row>
    <row r="465" customFormat="false" ht="15" hidden="false" customHeight="false" outlineLevel="0" collapsed="false">
      <c r="A465" s="24" t="str">
        <f aca="false">IFERROR(INDEX(Workers!$A$5:$A$2004,MATCH(ROW()-4,Workers!$U$5:$U$2004,0)),"")</f>
        <v/>
      </c>
      <c r="B465" s="24" t="str">
        <f aca="false">IF($A465="","",INDEX(Workers!$B$5:$B$2004,MATCH($A465,Workers!$A$5:$A$2004,0)))</f>
        <v/>
      </c>
      <c r="C465" s="24" t="str">
        <f aca="false">IF($A465="","",INDEX(Workers!$E$5:$E$2004,MATCH($A465,Workers!$A$5:$A$2004,0)))</f>
        <v/>
      </c>
      <c r="D465" s="24" t="str">
        <f aca="false">IF($A465="","",INDEX(Workers!$K$5:$K$2004,MATCH($A465,Workers!$A$5:$A$2004,0)))</f>
        <v/>
      </c>
      <c r="E465" s="25" t="str">
        <f aca="false">IF($A465="","",SUMIFS(Timesheet!$E$5:$E$3004,Timesheet!$D$5:$D$3004,$A465,Timesheet!$A$5:$A$3004,"&gt;="&amp;Settings!$B$8,Timesheet!$A$5:$A$3004,"&lt;="&amp;Settings!$B$9))</f>
        <v/>
      </c>
      <c r="F465" s="25" t="str">
        <f aca="false">IF($A465="","",SUMIFS(Timesheet!$F$5:$F$3004,Timesheet!$D$5:$D$3004,$A465,Timesheet!$A$5:$A$3004,"&gt;="&amp;Settings!$B$8,Timesheet!$A$5:$A$3004,"&lt;="&amp;Settings!$B$9))</f>
        <v/>
      </c>
      <c r="G465" s="25" t="str">
        <f aca="false">IF($A465="","",SUMIFS(Timesheet!$G$5:$G$3004,Timesheet!$D$5:$D$3004,$A465,Timesheet!$A$5:$A$3004,"&gt;="&amp;Settings!$B$8,Timesheet!$A$5:$A$3004,"&lt;="&amp;Settings!$B$9))</f>
        <v/>
      </c>
      <c r="H465" s="25" t="str">
        <f aca="false">IF($A465="","",IF(D465="Monthly",MAX(0,Settings!$B$11-E465),0))</f>
        <v/>
      </c>
      <c r="I465" s="26" t="str">
        <f aca="false">IF($A465="","",N(INDEX(Workers!$L$5:$L$2004,MATCH($A465,Workers!$A$5:$A$2004,0))))</f>
        <v/>
      </c>
      <c r="J465" s="26" t="str">
        <f aca="false">IF($A465="","",N(INDEX(Workers!$M$5:$M$2004,MATCH($A465,Workers!$A$5:$A$2004,0))))</f>
        <v/>
      </c>
      <c r="K465" s="26" t="str">
        <f aca="false">IF($A465="","",IF(D465="Monthly",ROUND(MAX(0,(I465+J465)-(I465+J465)/Settings!$B$10*H465),2),0))</f>
        <v/>
      </c>
      <c r="L465" s="26" t="str">
        <f aca="false">IF($A465="","",IF(D465="Hourly",ROUND(F465*N(INDEX(Workers!$N$5:$N$2004,MATCH($A465,Workers!$A$5:$A$2004,0))),2),0))</f>
        <v/>
      </c>
      <c r="M465" s="26" t="str">
        <f aca="false">IF($A465="","",ROUND(G465*IF(D465="Hourly",N(INDEX(Workers!$N$5:$N$2004,MATCH($A465,Workers!$A$5:$A$2004,0))),I465/Settings!$B$10/Settings!$B$12)*Settings!$B$13,2))</f>
        <v/>
      </c>
      <c r="N465" s="26" t="str">
        <f aca="false">IF($A465="","",K465+L465+M465)</f>
        <v/>
      </c>
      <c r="O465" s="26" t="str">
        <f aca="false">IF($A465="","",SUMIFS(Deductions!$D$5:$D$2000,Deductions!$B$5:$B$2000,$A465,Deductions!$C$5:$C$2000,"Advance",Deductions!$E$5:$E$2000,"&gt;="&amp;Settings!$B$8,Deductions!$E$5:$E$2000,"&lt;="&amp;Settings!$B$9))</f>
        <v/>
      </c>
      <c r="P465" s="26" t="str">
        <f aca="false">IF($A465="","",SUMIFS(Deductions!$D$5:$D$2000,Deductions!$B$5:$B$2000,$A465,Deductions!$E$5:$E$2000,"&gt;="&amp;Settings!$B$8,Deductions!$E$5:$E$2000,"&lt;="&amp;Settings!$B$9)-O465)</f>
        <v/>
      </c>
      <c r="Q465" s="26" t="str">
        <f aca="false">IF($A465="","",O465+P465)</f>
        <v/>
      </c>
      <c r="R465" s="23" t="str">
        <f aca="false">IF($A465="","",N465-Q465)</f>
        <v/>
      </c>
      <c r="S465" s="24" t="str">
        <f aca="false">IF($A465="","",INDEX(Workers!$O$5:$O$2004,MATCH($A465,Workers!$A$5:$A$2004,0))&amp;"")</f>
        <v/>
      </c>
      <c r="T465" s="24" t="str">
        <f aca="false">IF($A465="","",INDEX(Workers!$P$5:$P$2004,MATCH($A465,Workers!$A$5:$A$2004,0))&amp;"")</f>
        <v/>
      </c>
      <c r="U465" s="24" t="str">
        <f aca="false">IF($A465="","",INDEX(Workers!$H$5:$H$2004,MATCH($A465,Workers!$A$5:$A$2004,0))&amp;"")</f>
        <v/>
      </c>
    </row>
    <row r="466" customFormat="false" ht="15" hidden="false" customHeight="false" outlineLevel="0" collapsed="false">
      <c r="A466" s="24" t="str">
        <f aca="false">IFERROR(INDEX(Workers!$A$5:$A$2004,MATCH(ROW()-4,Workers!$U$5:$U$2004,0)),"")</f>
        <v/>
      </c>
      <c r="B466" s="24" t="str">
        <f aca="false">IF($A466="","",INDEX(Workers!$B$5:$B$2004,MATCH($A466,Workers!$A$5:$A$2004,0)))</f>
        <v/>
      </c>
      <c r="C466" s="24" t="str">
        <f aca="false">IF($A466="","",INDEX(Workers!$E$5:$E$2004,MATCH($A466,Workers!$A$5:$A$2004,0)))</f>
        <v/>
      </c>
      <c r="D466" s="24" t="str">
        <f aca="false">IF($A466="","",INDEX(Workers!$K$5:$K$2004,MATCH($A466,Workers!$A$5:$A$2004,0)))</f>
        <v/>
      </c>
      <c r="E466" s="25" t="str">
        <f aca="false">IF($A466="","",SUMIFS(Timesheet!$E$5:$E$3004,Timesheet!$D$5:$D$3004,$A466,Timesheet!$A$5:$A$3004,"&gt;="&amp;Settings!$B$8,Timesheet!$A$5:$A$3004,"&lt;="&amp;Settings!$B$9))</f>
        <v/>
      </c>
      <c r="F466" s="25" t="str">
        <f aca="false">IF($A466="","",SUMIFS(Timesheet!$F$5:$F$3004,Timesheet!$D$5:$D$3004,$A466,Timesheet!$A$5:$A$3004,"&gt;="&amp;Settings!$B$8,Timesheet!$A$5:$A$3004,"&lt;="&amp;Settings!$B$9))</f>
        <v/>
      </c>
      <c r="G466" s="25" t="str">
        <f aca="false">IF($A466="","",SUMIFS(Timesheet!$G$5:$G$3004,Timesheet!$D$5:$D$3004,$A466,Timesheet!$A$5:$A$3004,"&gt;="&amp;Settings!$B$8,Timesheet!$A$5:$A$3004,"&lt;="&amp;Settings!$B$9))</f>
        <v/>
      </c>
      <c r="H466" s="25" t="str">
        <f aca="false">IF($A466="","",IF(D466="Monthly",MAX(0,Settings!$B$11-E466),0))</f>
        <v/>
      </c>
      <c r="I466" s="26" t="str">
        <f aca="false">IF($A466="","",N(INDEX(Workers!$L$5:$L$2004,MATCH($A466,Workers!$A$5:$A$2004,0))))</f>
        <v/>
      </c>
      <c r="J466" s="26" t="str">
        <f aca="false">IF($A466="","",N(INDEX(Workers!$M$5:$M$2004,MATCH($A466,Workers!$A$5:$A$2004,0))))</f>
        <v/>
      </c>
      <c r="K466" s="26" t="str">
        <f aca="false">IF($A466="","",IF(D466="Monthly",ROUND(MAX(0,(I466+J466)-(I466+J466)/Settings!$B$10*H466),2),0))</f>
        <v/>
      </c>
      <c r="L466" s="26" t="str">
        <f aca="false">IF($A466="","",IF(D466="Hourly",ROUND(F466*N(INDEX(Workers!$N$5:$N$2004,MATCH($A466,Workers!$A$5:$A$2004,0))),2),0))</f>
        <v/>
      </c>
      <c r="M466" s="26" t="str">
        <f aca="false">IF($A466="","",ROUND(G466*IF(D466="Hourly",N(INDEX(Workers!$N$5:$N$2004,MATCH($A466,Workers!$A$5:$A$2004,0))),I466/Settings!$B$10/Settings!$B$12)*Settings!$B$13,2))</f>
        <v/>
      </c>
      <c r="N466" s="26" t="str">
        <f aca="false">IF($A466="","",K466+L466+M466)</f>
        <v/>
      </c>
      <c r="O466" s="26" t="str">
        <f aca="false">IF($A466="","",SUMIFS(Deductions!$D$5:$D$2000,Deductions!$B$5:$B$2000,$A466,Deductions!$C$5:$C$2000,"Advance",Deductions!$E$5:$E$2000,"&gt;="&amp;Settings!$B$8,Deductions!$E$5:$E$2000,"&lt;="&amp;Settings!$B$9))</f>
        <v/>
      </c>
      <c r="P466" s="26" t="str">
        <f aca="false">IF($A466="","",SUMIFS(Deductions!$D$5:$D$2000,Deductions!$B$5:$B$2000,$A466,Deductions!$E$5:$E$2000,"&gt;="&amp;Settings!$B$8,Deductions!$E$5:$E$2000,"&lt;="&amp;Settings!$B$9)-O466)</f>
        <v/>
      </c>
      <c r="Q466" s="26" t="str">
        <f aca="false">IF($A466="","",O466+P466)</f>
        <v/>
      </c>
      <c r="R466" s="23" t="str">
        <f aca="false">IF($A466="","",N466-Q466)</f>
        <v/>
      </c>
      <c r="S466" s="24" t="str">
        <f aca="false">IF($A466="","",INDEX(Workers!$O$5:$O$2004,MATCH($A466,Workers!$A$5:$A$2004,0))&amp;"")</f>
        <v/>
      </c>
      <c r="T466" s="24" t="str">
        <f aca="false">IF($A466="","",INDEX(Workers!$P$5:$P$2004,MATCH($A466,Workers!$A$5:$A$2004,0))&amp;"")</f>
        <v/>
      </c>
      <c r="U466" s="24" t="str">
        <f aca="false">IF($A466="","",INDEX(Workers!$H$5:$H$2004,MATCH($A466,Workers!$A$5:$A$2004,0))&amp;"")</f>
        <v/>
      </c>
    </row>
    <row r="467" customFormat="false" ht="15" hidden="false" customHeight="false" outlineLevel="0" collapsed="false">
      <c r="A467" s="24" t="str">
        <f aca="false">IFERROR(INDEX(Workers!$A$5:$A$2004,MATCH(ROW()-4,Workers!$U$5:$U$2004,0)),"")</f>
        <v/>
      </c>
      <c r="B467" s="24" t="str">
        <f aca="false">IF($A467="","",INDEX(Workers!$B$5:$B$2004,MATCH($A467,Workers!$A$5:$A$2004,0)))</f>
        <v/>
      </c>
      <c r="C467" s="24" t="str">
        <f aca="false">IF($A467="","",INDEX(Workers!$E$5:$E$2004,MATCH($A467,Workers!$A$5:$A$2004,0)))</f>
        <v/>
      </c>
      <c r="D467" s="24" t="str">
        <f aca="false">IF($A467="","",INDEX(Workers!$K$5:$K$2004,MATCH($A467,Workers!$A$5:$A$2004,0)))</f>
        <v/>
      </c>
      <c r="E467" s="25" t="str">
        <f aca="false">IF($A467="","",SUMIFS(Timesheet!$E$5:$E$3004,Timesheet!$D$5:$D$3004,$A467,Timesheet!$A$5:$A$3004,"&gt;="&amp;Settings!$B$8,Timesheet!$A$5:$A$3004,"&lt;="&amp;Settings!$B$9))</f>
        <v/>
      </c>
      <c r="F467" s="25" t="str">
        <f aca="false">IF($A467="","",SUMIFS(Timesheet!$F$5:$F$3004,Timesheet!$D$5:$D$3004,$A467,Timesheet!$A$5:$A$3004,"&gt;="&amp;Settings!$B$8,Timesheet!$A$5:$A$3004,"&lt;="&amp;Settings!$B$9))</f>
        <v/>
      </c>
      <c r="G467" s="25" t="str">
        <f aca="false">IF($A467="","",SUMIFS(Timesheet!$G$5:$G$3004,Timesheet!$D$5:$D$3004,$A467,Timesheet!$A$5:$A$3004,"&gt;="&amp;Settings!$B$8,Timesheet!$A$5:$A$3004,"&lt;="&amp;Settings!$B$9))</f>
        <v/>
      </c>
      <c r="H467" s="25" t="str">
        <f aca="false">IF($A467="","",IF(D467="Monthly",MAX(0,Settings!$B$11-E467),0))</f>
        <v/>
      </c>
      <c r="I467" s="26" t="str">
        <f aca="false">IF($A467="","",N(INDEX(Workers!$L$5:$L$2004,MATCH($A467,Workers!$A$5:$A$2004,0))))</f>
        <v/>
      </c>
      <c r="J467" s="26" t="str">
        <f aca="false">IF($A467="","",N(INDEX(Workers!$M$5:$M$2004,MATCH($A467,Workers!$A$5:$A$2004,0))))</f>
        <v/>
      </c>
      <c r="K467" s="26" t="str">
        <f aca="false">IF($A467="","",IF(D467="Monthly",ROUND(MAX(0,(I467+J467)-(I467+J467)/Settings!$B$10*H467),2),0))</f>
        <v/>
      </c>
      <c r="L467" s="26" t="str">
        <f aca="false">IF($A467="","",IF(D467="Hourly",ROUND(F467*N(INDEX(Workers!$N$5:$N$2004,MATCH($A467,Workers!$A$5:$A$2004,0))),2),0))</f>
        <v/>
      </c>
      <c r="M467" s="26" t="str">
        <f aca="false">IF($A467="","",ROUND(G467*IF(D467="Hourly",N(INDEX(Workers!$N$5:$N$2004,MATCH($A467,Workers!$A$5:$A$2004,0))),I467/Settings!$B$10/Settings!$B$12)*Settings!$B$13,2))</f>
        <v/>
      </c>
      <c r="N467" s="26" t="str">
        <f aca="false">IF($A467="","",K467+L467+M467)</f>
        <v/>
      </c>
      <c r="O467" s="26" t="str">
        <f aca="false">IF($A467="","",SUMIFS(Deductions!$D$5:$D$2000,Deductions!$B$5:$B$2000,$A467,Deductions!$C$5:$C$2000,"Advance",Deductions!$E$5:$E$2000,"&gt;="&amp;Settings!$B$8,Deductions!$E$5:$E$2000,"&lt;="&amp;Settings!$B$9))</f>
        <v/>
      </c>
      <c r="P467" s="26" t="str">
        <f aca="false">IF($A467="","",SUMIFS(Deductions!$D$5:$D$2000,Deductions!$B$5:$B$2000,$A467,Deductions!$E$5:$E$2000,"&gt;="&amp;Settings!$B$8,Deductions!$E$5:$E$2000,"&lt;="&amp;Settings!$B$9)-O467)</f>
        <v/>
      </c>
      <c r="Q467" s="26" t="str">
        <f aca="false">IF($A467="","",O467+P467)</f>
        <v/>
      </c>
      <c r="R467" s="23" t="str">
        <f aca="false">IF($A467="","",N467-Q467)</f>
        <v/>
      </c>
      <c r="S467" s="24" t="str">
        <f aca="false">IF($A467="","",INDEX(Workers!$O$5:$O$2004,MATCH($A467,Workers!$A$5:$A$2004,0))&amp;"")</f>
        <v/>
      </c>
      <c r="T467" s="24" t="str">
        <f aca="false">IF($A467="","",INDEX(Workers!$P$5:$P$2004,MATCH($A467,Workers!$A$5:$A$2004,0))&amp;"")</f>
        <v/>
      </c>
      <c r="U467" s="24" t="str">
        <f aca="false">IF($A467="","",INDEX(Workers!$H$5:$H$2004,MATCH($A467,Workers!$A$5:$A$2004,0))&amp;"")</f>
        <v/>
      </c>
    </row>
    <row r="468" customFormat="false" ht="15" hidden="false" customHeight="false" outlineLevel="0" collapsed="false">
      <c r="A468" s="24" t="str">
        <f aca="false">IFERROR(INDEX(Workers!$A$5:$A$2004,MATCH(ROW()-4,Workers!$U$5:$U$2004,0)),"")</f>
        <v/>
      </c>
      <c r="B468" s="24" t="str">
        <f aca="false">IF($A468="","",INDEX(Workers!$B$5:$B$2004,MATCH($A468,Workers!$A$5:$A$2004,0)))</f>
        <v/>
      </c>
      <c r="C468" s="24" t="str">
        <f aca="false">IF($A468="","",INDEX(Workers!$E$5:$E$2004,MATCH($A468,Workers!$A$5:$A$2004,0)))</f>
        <v/>
      </c>
      <c r="D468" s="24" t="str">
        <f aca="false">IF($A468="","",INDEX(Workers!$K$5:$K$2004,MATCH($A468,Workers!$A$5:$A$2004,0)))</f>
        <v/>
      </c>
      <c r="E468" s="25" t="str">
        <f aca="false">IF($A468="","",SUMIFS(Timesheet!$E$5:$E$3004,Timesheet!$D$5:$D$3004,$A468,Timesheet!$A$5:$A$3004,"&gt;="&amp;Settings!$B$8,Timesheet!$A$5:$A$3004,"&lt;="&amp;Settings!$B$9))</f>
        <v/>
      </c>
      <c r="F468" s="25" t="str">
        <f aca="false">IF($A468="","",SUMIFS(Timesheet!$F$5:$F$3004,Timesheet!$D$5:$D$3004,$A468,Timesheet!$A$5:$A$3004,"&gt;="&amp;Settings!$B$8,Timesheet!$A$5:$A$3004,"&lt;="&amp;Settings!$B$9))</f>
        <v/>
      </c>
      <c r="G468" s="25" t="str">
        <f aca="false">IF($A468="","",SUMIFS(Timesheet!$G$5:$G$3004,Timesheet!$D$5:$D$3004,$A468,Timesheet!$A$5:$A$3004,"&gt;="&amp;Settings!$B$8,Timesheet!$A$5:$A$3004,"&lt;="&amp;Settings!$B$9))</f>
        <v/>
      </c>
      <c r="H468" s="25" t="str">
        <f aca="false">IF($A468="","",IF(D468="Monthly",MAX(0,Settings!$B$11-E468),0))</f>
        <v/>
      </c>
      <c r="I468" s="26" t="str">
        <f aca="false">IF($A468="","",N(INDEX(Workers!$L$5:$L$2004,MATCH($A468,Workers!$A$5:$A$2004,0))))</f>
        <v/>
      </c>
      <c r="J468" s="26" t="str">
        <f aca="false">IF($A468="","",N(INDEX(Workers!$M$5:$M$2004,MATCH($A468,Workers!$A$5:$A$2004,0))))</f>
        <v/>
      </c>
      <c r="K468" s="26" t="str">
        <f aca="false">IF($A468="","",IF(D468="Monthly",ROUND(MAX(0,(I468+J468)-(I468+J468)/Settings!$B$10*H468),2),0))</f>
        <v/>
      </c>
      <c r="L468" s="26" t="str">
        <f aca="false">IF($A468="","",IF(D468="Hourly",ROUND(F468*N(INDEX(Workers!$N$5:$N$2004,MATCH($A468,Workers!$A$5:$A$2004,0))),2),0))</f>
        <v/>
      </c>
      <c r="M468" s="26" t="str">
        <f aca="false">IF($A468="","",ROUND(G468*IF(D468="Hourly",N(INDEX(Workers!$N$5:$N$2004,MATCH($A468,Workers!$A$5:$A$2004,0))),I468/Settings!$B$10/Settings!$B$12)*Settings!$B$13,2))</f>
        <v/>
      </c>
      <c r="N468" s="26" t="str">
        <f aca="false">IF($A468="","",K468+L468+M468)</f>
        <v/>
      </c>
      <c r="O468" s="26" t="str">
        <f aca="false">IF($A468="","",SUMIFS(Deductions!$D$5:$D$2000,Deductions!$B$5:$B$2000,$A468,Deductions!$C$5:$C$2000,"Advance",Deductions!$E$5:$E$2000,"&gt;="&amp;Settings!$B$8,Deductions!$E$5:$E$2000,"&lt;="&amp;Settings!$B$9))</f>
        <v/>
      </c>
      <c r="P468" s="26" t="str">
        <f aca="false">IF($A468="","",SUMIFS(Deductions!$D$5:$D$2000,Deductions!$B$5:$B$2000,$A468,Deductions!$E$5:$E$2000,"&gt;="&amp;Settings!$B$8,Deductions!$E$5:$E$2000,"&lt;="&amp;Settings!$B$9)-O468)</f>
        <v/>
      </c>
      <c r="Q468" s="26" t="str">
        <f aca="false">IF($A468="","",O468+P468)</f>
        <v/>
      </c>
      <c r="R468" s="23" t="str">
        <f aca="false">IF($A468="","",N468-Q468)</f>
        <v/>
      </c>
      <c r="S468" s="24" t="str">
        <f aca="false">IF($A468="","",INDEX(Workers!$O$5:$O$2004,MATCH($A468,Workers!$A$5:$A$2004,0))&amp;"")</f>
        <v/>
      </c>
      <c r="T468" s="24" t="str">
        <f aca="false">IF($A468="","",INDEX(Workers!$P$5:$P$2004,MATCH($A468,Workers!$A$5:$A$2004,0))&amp;"")</f>
        <v/>
      </c>
      <c r="U468" s="24" t="str">
        <f aca="false">IF($A468="","",INDEX(Workers!$H$5:$H$2004,MATCH($A468,Workers!$A$5:$A$2004,0))&amp;"")</f>
        <v/>
      </c>
    </row>
    <row r="469" customFormat="false" ht="15" hidden="false" customHeight="false" outlineLevel="0" collapsed="false">
      <c r="A469" s="24" t="str">
        <f aca="false">IFERROR(INDEX(Workers!$A$5:$A$2004,MATCH(ROW()-4,Workers!$U$5:$U$2004,0)),"")</f>
        <v/>
      </c>
      <c r="B469" s="24" t="str">
        <f aca="false">IF($A469="","",INDEX(Workers!$B$5:$B$2004,MATCH($A469,Workers!$A$5:$A$2004,0)))</f>
        <v/>
      </c>
      <c r="C469" s="24" t="str">
        <f aca="false">IF($A469="","",INDEX(Workers!$E$5:$E$2004,MATCH($A469,Workers!$A$5:$A$2004,0)))</f>
        <v/>
      </c>
      <c r="D469" s="24" t="str">
        <f aca="false">IF($A469="","",INDEX(Workers!$K$5:$K$2004,MATCH($A469,Workers!$A$5:$A$2004,0)))</f>
        <v/>
      </c>
      <c r="E469" s="25" t="str">
        <f aca="false">IF($A469="","",SUMIFS(Timesheet!$E$5:$E$3004,Timesheet!$D$5:$D$3004,$A469,Timesheet!$A$5:$A$3004,"&gt;="&amp;Settings!$B$8,Timesheet!$A$5:$A$3004,"&lt;="&amp;Settings!$B$9))</f>
        <v/>
      </c>
      <c r="F469" s="25" t="str">
        <f aca="false">IF($A469="","",SUMIFS(Timesheet!$F$5:$F$3004,Timesheet!$D$5:$D$3004,$A469,Timesheet!$A$5:$A$3004,"&gt;="&amp;Settings!$B$8,Timesheet!$A$5:$A$3004,"&lt;="&amp;Settings!$B$9))</f>
        <v/>
      </c>
      <c r="G469" s="25" t="str">
        <f aca="false">IF($A469="","",SUMIFS(Timesheet!$G$5:$G$3004,Timesheet!$D$5:$D$3004,$A469,Timesheet!$A$5:$A$3004,"&gt;="&amp;Settings!$B$8,Timesheet!$A$5:$A$3004,"&lt;="&amp;Settings!$B$9))</f>
        <v/>
      </c>
      <c r="H469" s="25" t="str">
        <f aca="false">IF($A469="","",IF(D469="Monthly",MAX(0,Settings!$B$11-E469),0))</f>
        <v/>
      </c>
      <c r="I469" s="26" t="str">
        <f aca="false">IF($A469="","",N(INDEX(Workers!$L$5:$L$2004,MATCH($A469,Workers!$A$5:$A$2004,0))))</f>
        <v/>
      </c>
      <c r="J469" s="26" t="str">
        <f aca="false">IF($A469="","",N(INDEX(Workers!$M$5:$M$2004,MATCH($A469,Workers!$A$5:$A$2004,0))))</f>
        <v/>
      </c>
      <c r="K469" s="26" t="str">
        <f aca="false">IF($A469="","",IF(D469="Monthly",ROUND(MAX(0,(I469+J469)-(I469+J469)/Settings!$B$10*H469),2),0))</f>
        <v/>
      </c>
      <c r="L469" s="26" t="str">
        <f aca="false">IF($A469="","",IF(D469="Hourly",ROUND(F469*N(INDEX(Workers!$N$5:$N$2004,MATCH($A469,Workers!$A$5:$A$2004,0))),2),0))</f>
        <v/>
      </c>
      <c r="M469" s="26" t="str">
        <f aca="false">IF($A469="","",ROUND(G469*IF(D469="Hourly",N(INDEX(Workers!$N$5:$N$2004,MATCH($A469,Workers!$A$5:$A$2004,0))),I469/Settings!$B$10/Settings!$B$12)*Settings!$B$13,2))</f>
        <v/>
      </c>
      <c r="N469" s="26" t="str">
        <f aca="false">IF($A469="","",K469+L469+M469)</f>
        <v/>
      </c>
      <c r="O469" s="26" t="str">
        <f aca="false">IF($A469="","",SUMIFS(Deductions!$D$5:$D$2000,Deductions!$B$5:$B$2000,$A469,Deductions!$C$5:$C$2000,"Advance",Deductions!$E$5:$E$2000,"&gt;="&amp;Settings!$B$8,Deductions!$E$5:$E$2000,"&lt;="&amp;Settings!$B$9))</f>
        <v/>
      </c>
      <c r="P469" s="26" t="str">
        <f aca="false">IF($A469="","",SUMIFS(Deductions!$D$5:$D$2000,Deductions!$B$5:$B$2000,$A469,Deductions!$E$5:$E$2000,"&gt;="&amp;Settings!$B$8,Deductions!$E$5:$E$2000,"&lt;="&amp;Settings!$B$9)-O469)</f>
        <v/>
      </c>
      <c r="Q469" s="26" t="str">
        <f aca="false">IF($A469="","",O469+P469)</f>
        <v/>
      </c>
      <c r="R469" s="23" t="str">
        <f aca="false">IF($A469="","",N469-Q469)</f>
        <v/>
      </c>
      <c r="S469" s="24" t="str">
        <f aca="false">IF($A469="","",INDEX(Workers!$O$5:$O$2004,MATCH($A469,Workers!$A$5:$A$2004,0))&amp;"")</f>
        <v/>
      </c>
      <c r="T469" s="24" t="str">
        <f aca="false">IF($A469="","",INDEX(Workers!$P$5:$P$2004,MATCH($A469,Workers!$A$5:$A$2004,0))&amp;"")</f>
        <v/>
      </c>
      <c r="U469" s="24" t="str">
        <f aca="false">IF($A469="","",INDEX(Workers!$H$5:$H$2004,MATCH($A469,Workers!$A$5:$A$2004,0))&amp;"")</f>
        <v/>
      </c>
    </row>
    <row r="470" customFormat="false" ht="15" hidden="false" customHeight="false" outlineLevel="0" collapsed="false">
      <c r="A470" s="24" t="str">
        <f aca="false">IFERROR(INDEX(Workers!$A$5:$A$2004,MATCH(ROW()-4,Workers!$U$5:$U$2004,0)),"")</f>
        <v/>
      </c>
      <c r="B470" s="24" t="str">
        <f aca="false">IF($A470="","",INDEX(Workers!$B$5:$B$2004,MATCH($A470,Workers!$A$5:$A$2004,0)))</f>
        <v/>
      </c>
      <c r="C470" s="24" t="str">
        <f aca="false">IF($A470="","",INDEX(Workers!$E$5:$E$2004,MATCH($A470,Workers!$A$5:$A$2004,0)))</f>
        <v/>
      </c>
      <c r="D470" s="24" t="str">
        <f aca="false">IF($A470="","",INDEX(Workers!$K$5:$K$2004,MATCH($A470,Workers!$A$5:$A$2004,0)))</f>
        <v/>
      </c>
      <c r="E470" s="25" t="str">
        <f aca="false">IF($A470="","",SUMIFS(Timesheet!$E$5:$E$3004,Timesheet!$D$5:$D$3004,$A470,Timesheet!$A$5:$A$3004,"&gt;="&amp;Settings!$B$8,Timesheet!$A$5:$A$3004,"&lt;="&amp;Settings!$B$9))</f>
        <v/>
      </c>
      <c r="F470" s="25" t="str">
        <f aca="false">IF($A470="","",SUMIFS(Timesheet!$F$5:$F$3004,Timesheet!$D$5:$D$3004,$A470,Timesheet!$A$5:$A$3004,"&gt;="&amp;Settings!$B$8,Timesheet!$A$5:$A$3004,"&lt;="&amp;Settings!$B$9))</f>
        <v/>
      </c>
      <c r="G470" s="25" t="str">
        <f aca="false">IF($A470="","",SUMIFS(Timesheet!$G$5:$G$3004,Timesheet!$D$5:$D$3004,$A470,Timesheet!$A$5:$A$3004,"&gt;="&amp;Settings!$B$8,Timesheet!$A$5:$A$3004,"&lt;="&amp;Settings!$B$9))</f>
        <v/>
      </c>
      <c r="H470" s="25" t="str">
        <f aca="false">IF($A470="","",IF(D470="Monthly",MAX(0,Settings!$B$11-E470),0))</f>
        <v/>
      </c>
      <c r="I470" s="26" t="str">
        <f aca="false">IF($A470="","",N(INDEX(Workers!$L$5:$L$2004,MATCH($A470,Workers!$A$5:$A$2004,0))))</f>
        <v/>
      </c>
      <c r="J470" s="26" t="str">
        <f aca="false">IF($A470="","",N(INDEX(Workers!$M$5:$M$2004,MATCH($A470,Workers!$A$5:$A$2004,0))))</f>
        <v/>
      </c>
      <c r="K470" s="26" t="str">
        <f aca="false">IF($A470="","",IF(D470="Monthly",ROUND(MAX(0,(I470+J470)-(I470+J470)/Settings!$B$10*H470),2),0))</f>
        <v/>
      </c>
      <c r="L470" s="26" t="str">
        <f aca="false">IF($A470="","",IF(D470="Hourly",ROUND(F470*N(INDEX(Workers!$N$5:$N$2004,MATCH($A470,Workers!$A$5:$A$2004,0))),2),0))</f>
        <v/>
      </c>
      <c r="M470" s="26" t="str">
        <f aca="false">IF($A470="","",ROUND(G470*IF(D470="Hourly",N(INDEX(Workers!$N$5:$N$2004,MATCH($A470,Workers!$A$5:$A$2004,0))),I470/Settings!$B$10/Settings!$B$12)*Settings!$B$13,2))</f>
        <v/>
      </c>
      <c r="N470" s="26" t="str">
        <f aca="false">IF($A470="","",K470+L470+M470)</f>
        <v/>
      </c>
      <c r="O470" s="26" t="str">
        <f aca="false">IF($A470="","",SUMIFS(Deductions!$D$5:$D$2000,Deductions!$B$5:$B$2000,$A470,Deductions!$C$5:$C$2000,"Advance",Deductions!$E$5:$E$2000,"&gt;="&amp;Settings!$B$8,Deductions!$E$5:$E$2000,"&lt;="&amp;Settings!$B$9))</f>
        <v/>
      </c>
      <c r="P470" s="26" t="str">
        <f aca="false">IF($A470="","",SUMIFS(Deductions!$D$5:$D$2000,Deductions!$B$5:$B$2000,$A470,Deductions!$E$5:$E$2000,"&gt;="&amp;Settings!$B$8,Deductions!$E$5:$E$2000,"&lt;="&amp;Settings!$B$9)-O470)</f>
        <v/>
      </c>
      <c r="Q470" s="26" t="str">
        <f aca="false">IF($A470="","",O470+P470)</f>
        <v/>
      </c>
      <c r="R470" s="23" t="str">
        <f aca="false">IF($A470="","",N470-Q470)</f>
        <v/>
      </c>
      <c r="S470" s="24" t="str">
        <f aca="false">IF($A470="","",INDEX(Workers!$O$5:$O$2004,MATCH($A470,Workers!$A$5:$A$2004,0))&amp;"")</f>
        <v/>
      </c>
      <c r="T470" s="24" t="str">
        <f aca="false">IF($A470="","",INDEX(Workers!$P$5:$P$2004,MATCH($A470,Workers!$A$5:$A$2004,0))&amp;"")</f>
        <v/>
      </c>
      <c r="U470" s="24" t="str">
        <f aca="false">IF($A470="","",INDEX(Workers!$H$5:$H$2004,MATCH($A470,Workers!$A$5:$A$2004,0))&amp;"")</f>
        <v/>
      </c>
    </row>
    <row r="471" customFormat="false" ht="15" hidden="false" customHeight="false" outlineLevel="0" collapsed="false">
      <c r="A471" s="24" t="str">
        <f aca="false">IFERROR(INDEX(Workers!$A$5:$A$2004,MATCH(ROW()-4,Workers!$U$5:$U$2004,0)),"")</f>
        <v/>
      </c>
      <c r="B471" s="24" t="str">
        <f aca="false">IF($A471="","",INDEX(Workers!$B$5:$B$2004,MATCH($A471,Workers!$A$5:$A$2004,0)))</f>
        <v/>
      </c>
      <c r="C471" s="24" t="str">
        <f aca="false">IF($A471="","",INDEX(Workers!$E$5:$E$2004,MATCH($A471,Workers!$A$5:$A$2004,0)))</f>
        <v/>
      </c>
      <c r="D471" s="24" t="str">
        <f aca="false">IF($A471="","",INDEX(Workers!$K$5:$K$2004,MATCH($A471,Workers!$A$5:$A$2004,0)))</f>
        <v/>
      </c>
      <c r="E471" s="25" t="str">
        <f aca="false">IF($A471="","",SUMIFS(Timesheet!$E$5:$E$3004,Timesheet!$D$5:$D$3004,$A471,Timesheet!$A$5:$A$3004,"&gt;="&amp;Settings!$B$8,Timesheet!$A$5:$A$3004,"&lt;="&amp;Settings!$B$9))</f>
        <v/>
      </c>
      <c r="F471" s="25" t="str">
        <f aca="false">IF($A471="","",SUMIFS(Timesheet!$F$5:$F$3004,Timesheet!$D$5:$D$3004,$A471,Timesheet!$A$5:$A$3004,"&gt;="&amp;Settings!$B$8,Timesheet!$A$5:$A$3004,"&lt;="&amp;Settings!$B$9))</f>
        <v/>
      </c>
      <c r="G471" s="25" t="str">
        <f aca="false">IF($A471="","",SUMIFS(Timesheet!$G$5:$G$3004,Timesheet!$D$5:$D$3004,$A471,Timesheet!$A$5:$A$3004,"&gt;="&amp;Settings!$B$8,Timesheet!$A$5:$A$3004,"&lt;="&amp;Settings!$B$9))</f>
        <v/>
      </c>
      <c r="H471" s="25" t="str">
        <f aca="false">IF($A471="","",IF(D471="Monthly",MAX(0,Settings!$B$11-E471),0))</f>
        <v/>
      </c>
      <c r="I471" s="26" t="str">
        <f aca="false">IF($A471="","",N(INDEX(Workers!$L$5:$L$2004,MATCH($A471,Workers!$A$5:$A$2004,0))))</f>
        <v/>
      </c>
      <c r="J471" s="26" t="str">
        <f aca="false">IF($A471="","",N(INDEX(Workers!$M$5:$M$2004,MATCH($A471,Workers!$A$5:$A$2004,0))))</f>
        <v/>
      </c>
      <c r="K471" s="26" t="str">
        <f aca="false">IF($A471="","",IF(D471="Monthly",ROUND(MAX(0,(I471+J471)-(I471+J471)/Settings!$B$10*H471),2),0))</f>
        <v/>
      </c>
      <c r="L471" s="26" t="str">
        <f aca="false">IF($A471="","",IF(D471="Hourly",ROUND(F471*N(INDEX(Workers!$N$5:$N$2004,MATCH($A471,Workers!$A$5:$A$2004,0))),2),0))</f>
        <v/>
      </c>
      <c r="M471" s="26" t="str">
        <f aca="false">IF($A471="","",ROUND(G471*IF(D471="Hourly",N(INDEX(Workers!$N$5:$N$2004,MATCH($A471,Workers!$A$5:$A$2004,0))),I471/Settings!$B$10/Settings!$B$12)*Settings!$B$13,2))</f>
        <v/>
      </c>
      <c r="N471" s="26" t="str">
        <f aca="false">IF($A471="","",K471+L471+M471)</f>
        <v/>
      </c>
      <c r="O471" s="26" t="str">
        <f aca="false">IF($A471="","",SUMIFS(Deductions!$D$5:$D$2000,Deductions!$B$5:$B$2000,$A471,Deductions!$C$5:$C$2000,"Advance",Deductions!$E$5:$E$2000,"&gt;="&amp;Settings!$B$8,Deductions!$E$5:$E$2000,"&lt;="&amp;Settings!$B$9))</f>
        <v/>
      </c>
      <c r="P471" s="26" t="str">
        <f aca="false">IF($A471="","",SUMIFS(Deductions!$D$5:$D$2000,Deductions!$B$5:$B$2000,$A471,Deductions!$E$5:$E$2000,"&gt;="&amp;Settings!$B$8,Deductions!$E$5:$E$2000,"&lt;="&amp;Settings!$B$9)-O471)</f>
        <v/>
      </c>
      <c r="Q471" s="26" t="str">
        <f aca="false">IF($A471="","",O471+P471)</f>
        <v/>
      </c>
      <c r="R471" s="23" t="str">
        <f aca="false">IF($A471="","",N471-Q471)</f>
        <v/>
      </c>
      <c r="S471" s="24" t="str">
        <f aca="false">IF($A471="","",INDEX(Workers!$O$5:$O$2004,MATCH($A471,Workers!$A$5:$A$2004,0))&amp;"")</f>
        <v/>
      </c>
      <c r="T471" s="24" t="str">
        <f aca="false">IF($A471="","",INDEX(Workers!$P$5:$P$2004,MATCH($A471,Workers!$A$5:$A$2004,0))&amp;"")</f>
        <v/>
      </c>
      <c r="U471" s="24" t="str">
        <f aca="false">IF($A471="","",INDEX(Workers!$H$5:$H$2004,MATCH($A471,Workers!$A$5:$A$2004,0))&amp;"")</f>
        <v/>
      </c>
    </row>
    <row r="472" customFormat="false" ht="15" hidden="false" customHeight="false" outlineLevel="0" collapsed="false">
      <c r="A472" s="24" t="str">
        <f aca="false">IFERROR(INDEX(Workers!$A$5:$A$2004,MATCH(ROW()-4,Workers!$U$5:$U$2004,0)),"")</f>
        <v/>
      </c>
      <c r="B472" s="24" t="str">
        <f aca="false">IF($A472="","",INDEX(Workers!$B$5:$B$2004,MATCH($A472,Workers!$A$5:$A$2004,0)))</f>
        <v/>
      </c>
      <c r="C472" s="24" t="str">
        <f aca="false">IF($A472="","",INDEX(Workers!$E$5:$E$2004,MATCH($A472,Workers!$A$5:$A$2004,0)))</f>
        <v/>
      </c>
      <c r="D472" s="24" t="str">
        <f aca="false">IF($A472="","",INDEX(Workers!$K$5:$K$2004,MATCH($A472,Workers!$A$5:$A$2004,0)))</f>
        <v/>
      </c>
      <c r="E472" s="25" t="str">
        <f aca="false">IF($A472="","",SUMIFS(Timesheet!$E$5:$E$3004,Timesheet!$D$5:$D$3004,$A472,Timesheet!$A$5:$A$3004,"&gt;="&amp;Settings!$B$8,Timesheet!$A$5:$A$3004,"&lt;="&amp;Settings!$B$9))</f>
        <v/>
      </c>
      <c r="F472" s="25" t="str">
        <f aca="false">IF($A472="","",SUMIFS(Timesheet!$F$5:$F$3004,Timesheet!$D$5:$D$3004,$A472,Timesheet!$A$5:$A$3004,"&gt;="&amp;Settings!$B$8,Timesheet!$A$5:$A$3004,"&lt;="&amp;Settings!$B$9))</f>
        <v/>
      </c>
      <c r="G472" s="25" t="str">
        <f aca="false">IF($A472="","",SUMIFS(Timesheet!$G$5:$G$3004,Timesheet!$D$5:$D$3004,$A472,Timesheet!$A$5:$A$3004,"&gt;="&amp;Settings!$B$8,Timesheet!$A$5:$A$3004,"&lt;="&amp;Settings!$B$9))</f>
        <v/>
      </c>
      <c r="H472" s="25" t="str">
        <f aca="false">IF($A472="","",IF(D472="Monthly",MAX(0,Settings!$B$11-E472),0))</f>
        <v/>
      </c>
      <c r="I472" s="26" t="str">
        <f aca="false">IF($A472="","",N(INDEX(Workers!$L$5:$L$2004,MATCH($A472,Workers!$A$5:$A$2004,0))))</f>
        <v/>
      </c>
      <c r="J472" s="26" t="str">
        <f aca="false">IF($A472="","",N(INDEX(Workers!$M$5:$M$2004,MATCH($A472,Workers!$A$5:$A$2004,0))))</f>
        <v/>
      </c>
      <c r="K472" s="26" t="str">
        <f aca="false">IF($A472="","",IF(D472="Monthly",ROUND(MAX(0,(I472+J472)-(I472+J472)/Settings!$B$10*H472),2),0))</f>
        <v/>
      </c>
      <c r="L472" s="26" t="str">
        <f aca="false">IF($A472="","",IF(D472="Hourly",ROUND(F472*N(INDEX(Workers!$N$5:$N$2004,MATCH($A472,Workers!$A$5:$A$2004,0))),2),0))</f>
        <v/>
      </c>
      <c r="M472" s="26" t="str">
        <f aca="false">IF($A472="","",ROUND(G472*IF(D472="Hourly",N(INDEX(Workers!$N$5:$N$2004,MATCH($A472,Workers!$A$5:$A$2004,0))),I472/Settings!$B$10/Settings!$B$12)*Settings!$B$13,2))</f>
        <v/>
      </c>
      <c r="N472" s="26" t="str">
        <f aca="false">IF($A472="","",K472+L472+M472)</f>
        <v/>
      </c>
      <c r="O472" s="26" t="str">
        <f aca="false">IF($A472="","",SUMIFS(Deductions!$D$5:$D$2000,Deductions!$B$5:$B$2000,$A472,Deductions!$C$5:$C$2000,"Advance",Deductions!$E$5:$E$2000,"&gt;="&amp;Settings!$B$8,Deductions!$E$5:$E$2000,"&lt;="&amp;Settings!$B$9))</f>
        <v/>
      </c>
      <c r="P472" s="26" t="str">
        <f aca="false">IF($A472="","",SUMIFS(Deductions!$D$5:$D$2000,Deductions!$B$5:$B$2000,$A472,Deductions!$E$5:$E$2000,"&gt;="&amp;Settings!$B$8,Deductions!$E$5:$E$2000,"&lt;="&amp;Settings!$B$9)-O472)</f>
        <v/>
      </c>
      <c r="Q472" s="26" t="str">
        <f aca="false">IF($A472="","",O472+P472)</f>
        <v/>
      </c>
      <c r="R472" s="23" t="str">
        <f aca="false">IF($A472="","",N472-Q472)</f>
        <v/>
      </c>
      <c r="S472" s="24" t="str">
        <f aca="false">IF($A472="","",INDEX(Workers!$O$5:$O$2004,MATCH($A472,Workers!$A$5:$A$2004,0))&amp;"")</f>
        <v/>
      </c>
      <c r="T472" s="24" t="str">
        <f aca="false">IF($A472="","",INDEX(Workers!$P$5:$P$2004,MATCH($A472,Workers!$A$5:$A$2004,0))&amp;"")</f>
        <v/>
      </c>
      <c r="U472" s="24" t="str">
        <f aca="false">IF($A472="","",INDEX(Workers!$H$5:$H$2004,MATCH($A472,Workers!$A$5:$A$2004,0))&amp;"")</f>
        <v/>
      </c>
    </row>
    <row r="473" customFormat="false" ht="15" hidden="false" customHeight="false" outlineLevel="0" collapsed="false">
      <c r="A473" s="24" t="str">
        <f aca="false">IFERROR(INDEX(Workers!$A$5:$A$2004,MATCH(ROW()-4,Workers!$U$5:$U$2004,0)),"")</f>
        <v/>
      </c>
      <c r="B473" s="24" t="str">
        <f aca="false">IF($A473="","",INDEX(Workers!$B$5:$B$2004,MATCH($A473,Workers!$A$5:$A$2004,0)))</f>
        <v/>
      </c>
      <c r="C473" s="24" t="str">
        <f aca="false">IF($A473="","",INDEX(Workers!$E$5:$E$2004,MATCH($A473,Workers!$A$5:$A$2004,0)))</f>
        <v/>
      </c>
      <c r="D473" s="24" t="str">
        <f aca="false">IF($A473="","",INDEX(Workers!$K$5:$K$2004,MATCH($A473,Workers!$A$5:$A$2004,0)))</f>
        <v/>
      </c>
      <c r="E473" s="25" t="str">
        <f aca="false">IF($A473="","",SUMIFS(Timesheet!$E$5:$E$3004,Timesheet!$D$5:$D$3004,$A473,Timesheet!$A$5:$A$3004,"&gt;="&amp;Settings!$B$8,Timesheet!$A$5:$A$3004,"&lt;="&amp;Settings!$B$9))</f>
        <v/>
      </c>
      <c r="F473" s="25" t="str">
        <f aca="false">IF($A473="","",SUMIFS(Timesheet!$F$5:$F$3004,Timesheet!$D$5:$D$3004,$A473,Timesheet!$A$5:$A$3004,"&gt;="&amp;Settings!$B$8,Timesheet!$A$5:$A$3004,"&lt;="&amp;Settings!$B$9))</f>
        <v/>
      </c>
      <c r="G473" s="25" t="str">
        <f aca="false">IF($A473="","",SUMIFS(Timesheet!$G$5:$G$3004,Timesheet!$D$5:$D$3004,$A473,Timesheet!$A$5:$A$3004,"&gt;="&amp;Settings!$B$8,Timesheet!$A$5:$A$3004,"&lt;="&amp;Settings!$B$9))</f>
        <v/>
      </c>
      <c r="H473" s="25" t="str">
        <f aca="false">IF($A473="","",IF(D473="Monthly",MAX(0,Settings!$B$11-E473),0))</f>
        <v/>
      </c>
      <c r="I473" s="26" t="str">
        <f aca="false">IF($A473="","",N(INDEX(Workers!$L$5:$L$2004,MATCH($A473,Workers!$A$5:$A$2004,0))))</f>
        <v/>
      </c>
      <c r="J473" s="26" t="str">
        <f aca="false">IF($A473="","",N(INDEX(Workers!$M$5:$M$2004,MATCH($A473,Workers!$A$5:$A$2004,0))))</f>
        <v/>
      </c>
      <c r="K473" s="26" t="str">
        <f aca="false">IF($A473="","",IF(D473="Monthly",ROUND(MAX(0,(I473+J473)-(I473+J473)/Settings!$B$10*H473),2),0))</f>
        <v/>
      </c>
      <c r="L473" s="26" t="str">
        <f aca="false">IF($A473="","",IF(D473="Hourly",ROUND(F473*N(INDEX(Workers!$N$5:$N$2004,MATCH($A473,Workers!$A$5:$A$2004,0))),2),0))</f>
        <v/>
      </c>
      <c r="M473" s="26" t="str">
        <f aca="false">IF($A473="","",ROUND(G473*IF(D473="Hourly",N(INDEX(Workers!$N$5:$N$2004,MATCH($A473,Workers!$A$5:$A$2004,0))),I473/Settings!$B$10/Settings!$B$12)*Settings!$B$13,2))</f>
        <v/>
      </c>
      <c r="N473" s="26" t="str">
        <f aca="false">IF($A473="","",K473+L473+M473)</f>
        <v/>
      </c>
      <c r="O473" s="26" t="str">
        <f aca="false">IF($A473="","",SUMIFS(Deductions!$D$5:$D$2000,Deductions!$B$5:$B$2000,$A473,Deductions!$C$5:$C$2000,"Advance",Deductions!$E$5:$E$2000,"&gt;="&amp;Settings!$B$8,Deductions!$E$5:$E$2000,"&lt;="&amp;Settings!$B$9))</f>
        <v/>
      </c>
      <c r="P473" s="26" t="str">
        <f aca="false">IF($A473="","",SUMIFS(Deductions!$D$5:$D$2000,Deductions!$B$5:$B$2000,$A473,Deductions!$E$5:$E$2000,"&gt;="&amp;Settings!$B$8,Deductions!$E$5:$E$2000,"&lt;="&amp;Settings!$B$9)-O473)</f>
        <v/>
      </c>
      <c r="Q473" s="26" t="str">
        <f aca="false">IF($A473="","",O473+P473)</f>
        <v/>
      </c>
      <c r="R473" s="23" t="str">
        <f aca="false">IF($A473="","",N473-Q473)</f>
        <v/>
      </c>
      <c r="S473" s="24" t="str">
        <f aca="false">IF($A473="","",INDEX(Workers!$O$5:$O$2004,MATCH($A473,Workers!$A$5:$A$2004,0))&amp;"")</f>
        <v/>
      </c>
      <c r="T473" s="24" t="str">
        <f aca="false">IF($A473="","",INDEX(Workers!$P$5:$P$2004,MATCH($A473,Workers!$A$5:$A$2004,0))&amp;"")</f>
        <v/>
      </c>
      <c r="U473" s="24" t="str">
        <f aca="false">IF($A473="","",INDEX(Workers!$H$5:$H$2004,MATCH($A473,Workers!$A$5:$A$2004,0))&amp;"")</f>
        <v/>
      </c>
    </row>
    <row r="474" customFormat="false" ht="15" hidden="false" customHeight="false" outlineLevel="0" collapsed="false">
      <c r="A474" s="24" t="str">
        <f aca="false">IFERROR(INDEX(Workers!$A$5:$A$2004,MATCH(ROW()-4,Workers!$U$5:$U$2004,0)),"")</f>
        <v/>
      </c>
      <c r="B474" s="24" t="str">
        <f aca="false">IF($A474="","",INDEX(Workers!$B$5:$B$2004,MATCH($A474,Workers!$A$5:$A$2004,0)))</f>
        <v/>
      </c>
      <c r="C474" s="24" t="str">
        <f aca="false">IF($A474="","",INDEX(Workers!$E$5:$E$2004,MATCH($A474,Workers!$A$5:$A$2004,0)))</f>
        <v/>
      </c>
      <c r="D474" s="24" t="str">
        <f aca="false">IF($A474="","",INDEX(Workers!$K$5:$K$2004,MATCH($A474,Workers!$A$5:$A$2004,0)))</f>
        <v/>
      </c>
      <c r="E474" s="25" t="str">
        <f aca="false">IF($A474="","",SUMIFS(Timesheet!$E$5:$E$3004,Timesheet!$D$5:$D$3004,$A474,Timesheet!$A$5:$A$3004,"&gt;="&amp;Settings!$B$8,Timesheet!$A$5:$A$3004,"&lt;="&amp;Settings!$B$9))</f>
        <v/>
      </c>
      <c r="F474" s="25" t="str">
        <f aca="false">IF($A474="","",SUMIFS(Timesheet!$F$5:$F$3004,Timesheet!$D$5:$D$3004,$A474,Timesheet!$A$5:$A$3004,"&gt;="&amp;Settings!$B$8,Timesheet!$A$5:$A$3004,"&lt;="&amp;Settings!$B$9))</f>
        <v/>
      </c>
      <c r="G474" s="25" t="str">
        <f aca="false">IF($A474="","",SUMIFS(Timesheet!$G$5:$G$3004,Timesheet!$D$5:$D$3004,$A474,Timesheet!$A$5:$A$3004,"&gt;="&amp;Settings!$B$8,Timesheet!$A$5:$A$3004,"&lt;="&amp;Settings!$B$9))</f>
        <v/>
      </c>
      <c r="H474" s="25" t="str">
        <f aca="false">IF($A474="","",IF(D474="Monthly",MAX(0,Settings!$B$11-E474),0))</f>
        <v/>
      </c>
      <c r="I474" s="26" t="str">
        <f aca="false">IF($A474="","",N(INDEX(Workers!$L$5:$L$2004,MATCH($A474,Workers!$A$5:$A$2004,0))))</f>
        <v/>
      </c>
      <c r="J474" s="26" t="str">
        <f aca="false">IF($A474="","",N(INDEX(Workers!$M$5:$M$2004,MATCH($A474,Workers!$A$5:$A$2004,0))))</f>
        <v/>
      </c>
      <c r="K474" s="26" t="str">
        <f aca="false">IF($A474="","",IF(D474="Monthly",ROUND(MAX(0,(I474+J474)-(I474+J474)/Settings!$B$10*H474),2),0))</f>
        <v/>
      </c>
      <c r="L474" s="26" t="str">
        <f aca="false">IF($A474="","",IF(D474="Hourly",ROUND(F474*N(INDEX(Workers!$N$5:$N$2004,MATCH($A474,Workers!$A$5:$A$2004,0))),2),0))</f>
        <v/>
      </c>
      <c r="M474" s="26" t="str">
        <f aca="false">IF($A474="","",ROUND(G474*IF(D474="Hourly",N(INDEX(Workers!$N$5:$N$2004,MATCH($A474,Workers!$A$5:$A$2004,0))),I474/Settings!$B$10/Settings!$B$12)*Settings!$B$13,2))</f>
        <v/>
      </c>
      <c r="N474" s="26" t="str">
        <f aca="false">IF($A474="","",K474+L474+M474)</f>
        <v/>
      </c>
      <c r="O474" s="26" t="str">
        <f aca="false">IF($A474="","",SUMIFS(Deductions!$D$5:$D$2000,Deductions!$B$5:$B$2000,$A474,Deductions!$C$5:$C$2000,"Advance",Deductions!$E$5:$E$2000,"&gt;="&amp;Settings!$B$8,Deductions!$E$5:$E$2000,"&lt;="&amp;Settings!$B$9))</f>
        <v/>
      </c>
      <c r="P474" s="26" t="str">
        <f aca="false">IF($A474="","",SUMIFS(Deductions!$D$5:$D$2000,Deductions!$B$5:$B$2000,$A474,Deductions!$E$5:$E$2000,"&gt;="&amp;Settings!$B$8,Deductions!$E$5:$E$2000,"&lt;="&amp;Settings!$B$9)-O474)</f>
        <v/>
      </c>
      <c r="Q474" s="26" t="str">
        <f aca="false">IF($A474="","",O474+P474)</f>
        <v/>
      </c>
      <c r="R474" s="23" t="str">
        <f aca="false">IF($A474="","",N474-Q474)</f>
        <v/>
      </c>
      <c r="S474" s="24" t="str">
        <f aca="false">IF($A474="","",INDEX(Workers!$O$5:$O$2004,MATCH($A474,Workers!$A$5:$A$2004,0))&amp;"")</f>
        <v/>
      </c>
      <c r="T474" s="24" t="str">
        <f aca="false">IF($A474="","",INDEX(Workers!$P$5:$P$2004,MATCH($A474,Workers!$A$5:$A$2004,0))&amp;"")</f>
        <v/>
      </c>
      <c r="U474" s="24" t="str">
        <f aca="false">IF($A474="","",INDEX(Workers!$H$5:$H$2004,MATCH($A474,Workers!$A$5:$A$2004,0))&amp;"")</f>
        <v/>
      </c>
    </row>
    <row r="475" customFormat="false" ht="15" hidden="false" customHeight="false" outlineLevel="0" collapsed="false">
      <c r="A475" s="24" t="str">
        <f aca="false">IFERROR(INDEX(Workers!$A$5:$A$2004,MATCH(ROW()-4,Workers!$U$5:$U$2004,0)),"")</f>
        <v/>
      </c>
      <c r="B475" s="24" t="str">
        <f aca="false">IF($A475="","",INDEX(Workers!$B$5:$B$2004,MATCH($A475,Workers!$A$5:$A$2004,0)))</f>
        <v/>
      </c>
      <c r="C475" s="24" t="str">
        <f aca="false">IF($A475="","",INDEX(Workers!$E$5:$E$2004,MATCH($A475,Workers!$A$5:$A$2004,0)))</f>
        <v/>
      </c>
      <c r="D475" s="24" t="str">
        <f aca="false">IF($A475="","",INDEX(Workers!$K$5:$K$2004,MATCH($A475,Workers!$A$5:$A$2004,0)))</f>
        <v/>
      </c>
      <c r="E475" s="25" t="str">
        <f aca="false">IF($A475="","",SUMIFS(Timesheet!$E$5:$E$3004,Timesheet!$D$5:$D$3004,$A475,Timesheet!$A$5:$A$3004,"&gt;="&amp;Settings!$B$8,Timesheet!$A$5:$A$3004,"&lt;="&amp;Settings!$B$9))</f>
        <v/>
      </c>
      <c r="F475" s="25" t="str">
        <f aca="false">IF($A475="","",SUMIFS(Timesheet!$F$5:$F$3004,Timesheet!$D$5:$D$3004,$A475,Timesheet!$A$5:$A$3004,"&gt;="&amp;Settings!$B$8,Timesheet!$A$5:$A$3004,"&lt;="&amp;Settings!$B$9))</f>
        <v/>
      </c>
      <c r="G475" s="25" t="str">
        <f aca="false">IF($A475="","",SUMIFS(Timesheet!$G$5:$G$3004,Timesheet!$D$5:$D$3004,$A475,Timesheet!$A$5:$A$3004,"&gt;="&amp;Settings!$B$8,Timesheet!$A$5:$A$3004,"&lt;="&amp;Settings!$B$9))</f>
        <v/>
      </c>
      <c r="H475" s="25" t="str">
        <f aca="false">IF($A475="","",IF(D475="Monthly",MAX(0,Settings!$B$11-E475),0))</f>
        <v/>
      </c>
      <c r="I475" s="26" t="str">
        <f aca="false">IF($A475="","",N(INDEX(Workers!$L$5:$L$2004,MATCH($A475,Workers!$A$5:$A$2004,0))))</f>
        <v/>
      </c>
      <c r="J475" s="26" t="str">
        <f aca="false">IF($A475="","",N(INDEX(Workers!$M$5:$M$2004,MATCH($A475,Workers!$A$5:$A$2004,0))))</f>
        <v/>
      </c>
      <c r="K475" s="26" t="str">
        <f aca="false">IF($A475="","",IF(D475="Monthly",ROUND(MAX(0,(I475+J475)-(I475+J475)/Settings!$B$10*H475),2),0))</f>
        <v/>
      </c>
      <c r="L475" s="26" t="str">
        <f aca="false">IF($A475="","",IF(D475="Hourly",ROUND(F475*N(INDEX(Workers!$N$5:$N$2004,MATCH($A475,Workers!$A$5:$A$2004,0))),2),0))</f>
        <v/>
      </c>
      <c r="M475" s="26" t="str">
        <f aca="false">IF($A475="","",ROUND(G475*IF(D475="Hourly",N(INDEX(Workers!$N$5:$N$2004,MATCH($A475,Workers!$A$5:$A$2004,0))),I475/Settings!$B$10/Settings!$B$12)*Settings!$B$13,2))</f>
        <v/>
      </c>
      <c r="N475" s="26" t="str">
        <f aca="false">IF($A475="","",K475+L475+M475)</f>
        <v/>
      </c>
      <c r="O475" s="26" t="str">
        <f aca="false">IF($A475="","",SUMIFS(Deductions!$D$5:$D$2000,Deductions!$B$5:$B$2000,$A475,Deductions!$C$5:$C$2000,"Advance",Deductions!$E$5:$E$2000,"&gt;="&amp;Settings!$B$8,Deductions!$E$5:$E$2000,"&lt;="&amp;Settings!$B$9))</f>
        <v/>
      </c>
      <c r="P475" s="26" t="str">
        <f aca="false">IF($A475="","",SUMIFS(Deductions!$D$5:$D$2000,Deductions!$B$5:$B$2000,$A475,Deductions!$E$5:$E$2000,"&gt;="&amp;Settings!$B$8,Deductions!$E$5:$E$2000,"&lt;="&amp;Settings!$B$9)-O475)</f>
        <v/>
      </c>
      <c r="Q475" s="26" t="str">
        <f aca="false">IF($A475="","",O475+P475)</f>
        <v/>
      </c>
      <c r="R475" s="23" t="str">
        <f aca="false">IF($A475="","",N475-Q475)</f>
        <v/>
      </c>
      <c r="S475" s="24" t="str">
        <f aca="false">IF($A475="","",INDEX(Workers!$O$5:$O$2004,MATCH($A475,Workers!$A$5:$A$2004,0))&amp;"")</f>
        <v/>
      </c>
      <c r="T475" s="24" t="str">
        <f aca="false">IF($A475="","",INDEX(Workers!$P$5:$P$2004,MATCH($A475,Workers!$A$5:$A$2004,0))&amp;"")</f>
        <v/>
      </c>
      <c r="U475" s="24" t="str">
        <f aca="false">IF($A475="","",INDEX(Workers!$H$5:$H$2004,MATCH($A475,Workers!$A$5:$A$2004,0))&amp;"")</f>
        <v/>
      </c>
    </row>
    <row r="476" customFormat="false" ht="15" hidden="false" customHeight="false" outlineLevel="0" collapsed="false">
      <c r="A476" s="24" t="str">
        <f aca="false">IFERROR(INDEX(Workers!$A$5:$A$2004,MATCH(ROW()-4,Workers!$U$5:$U$2004,0)),"")</f>
        <v/>
      </c>
      <c r="B476" s="24" t="str">
        <f aca="false">IF($A476="","",INDEX(Workers!$B$5:$B$2004,MATCH($A476,Workers!$A$5:$A$2004,0)))</f>
        <v/>
      </c>
      <c r="C476" s="24" t="str">
        <f aca="false">IF($A476="","",INDEX(Workers!$E$5:$E$2004,MATCH($A476,Workers!$A$5:$A$2004,0)))</f>
        <v/>
      </c>
      <c r="D476" s="24" t="str">
        <f aca="false">IF($A476="","",INDEX(Workers!$K$5:$K$2004,MATCH($A476,Workers!$A$5:$A$2004,0)))</f>
        <v/>
      </c>
      <c r="E476" s="25" t="str">
        <f aca="false">IF($A476="","",SUMIFS(Timesheet!$E$5:$E$3004,Timesheet!$D$5:$D$3004,$A476,Timesheet!$A$5:$A$3004,"&gt;="&amp;Settings!$B$8,Timesheet!$A$5:$A$3004,"&lt;="&amp;Settings!$B$9))</f>
        <v/>
      </c>
      <c r="F476" s="25" t="str">
        <f aca="false">IF($A476="","",SUMIFS(Timesheet!$F$5:$F$3004,Timesheet!$D$5:$D$3004,$A476,Timesheet!$A$5:$A$3004,"&gt;="&amp;Settings!$B$8,Timesheet!$A$5:$A$3004,"&lt;="&amp;Settings!$B$9))</f>
        <v/>
      </c>
      <c r="G476" s="25" t="str">
        <f aca="false">IF($A476="","",SUMIFS(Timesheet!$G$5:$G$3004,Timesheet!$D$5:$D$3004,$A476,Timesheet!$A$5:$A$3004,"&gt;="&amp;Settings!$B$8,Timesheet!$A$5:$A$3004,"&lt;="&amp;Settings!$B$9))</f>
        <v/>
      </c>
      <c r="H476" s="25" t="str">
        <f aca="false">IF($A476="","",IF(D476="Monthly",MAX(0,Settings!$B$11-E476),0))</f>
        <v/>
      </c>
      <c r="I476" s="26" t="str">
        <f aca="false">IF($A476="","",N(INDEX(Workers!$L$5:$L$2004,MATCH($A476,Workers!$A$5:$A$2004,0))))</f>
        <v/>
      </c>
      <c r="J476" s="26" t="str">
        <f aca="false">IF($A476="","",N(INDEX(Workers!$M$5:$M$2004,MATCH($A476,Workers!$A$5:$A$2004,0))))</f>
        <v/>
      </c>
      <c r="K476" s="26" t="str">
        <f aca="false">IF($A476="","",IF(D476="Monthly",ROUND(MAX(0,(I476+J476)-(I476+J476)/Settings!$B$10*H476),2),0))</f>
        <v/>
      </c>
      <c r="L476" s="26" t="str">
        <f aca="false">IF($A476="","",IF(D476="Hourly",ROUND(F476*N(INDEX(Workers!$N$5:$N$2004,MATCH($A476,Workers!$A$5:$A$2004,0))),2),0))</f>
        <v/>
      </c>
      <c r="M476" s="26" t="str">
        <f aca="false">IF($A476="","",ROUND(G476*IF(D476="Hourly",N(INDEX(Workers!$N$5:$N$2004,MATCH($A476,Workers!$A$5:$A$2004,0))),I476/Settings!$B$10/Settings!$B$12)*Settings!$B$13,2))</f>
        <v/>
      </c>
      <c r="N476" s="26" t="str">
        <f aca="false">IF($A476="","",K476+L476+M476)</f>
        <v/>
      </c>
      <c r="O476" s="26" t="str">
        <f aca="false">IF($A476="","",SUMIFS(Deductions!$D$5:$D$2000,Deductions!$B$5:$B$2000,$A476,Deductions!$C$5:$C$2000,"Advance",Deductions!$E$5:$E$2000,"&gt;="&amp;Settings!$B$8,Deductions!$E$5:$E$2000,"&lt;="&amp;Settings!$B$9))</f>
        <v/>
      </c>
      <c r="P476" s="26" t="str">
        <f aca="false">IF($A476="","",SUMIFS(Deductions!$D$5:$D$2000,Deductions!$B$5:$B$2000,$A476,Deductions!$E$5:$E$2000,"&gt;="&amp;Settings!$B$8,Deductions!$E$5:$E$2000,"&lt;="&amp;Settings!$B$9)-O476)</f>
        <v/>
      </c>
      <c r="Q476" s="26" t="str">
        <f aca="false">IF($A476="","",O476+P476)</f>
        <v/>
      </c>
      <c r="R476" s="23" t="str">
        <f aca="false">IF($A476="","",N476-Q476)</f>
        <v/>
      </c>
      <c r="S476" s="24" t="str">
        <f aca="false">IF($A476="","",INDEX(Workers!$O$5:$O$2004,MATCH($A476,Workers!$A$5:$A$2004,0))&amp;"")</f>
        <v/>
      </c>
      <c r="T476" s="24" t="str">
        <f aca="false">IF($A476="","",INDEX(Workers!$P$5:$P$2004,MATCH($A476,Workers!$A$5:$A$2004,0))&amp;"")</f>
        <v/>
      </c>
      <c r="U476" s="24" t="str">
        <f aca="false">IF($A476="","",INDEX(Workers!$H$5:$H$2004,MATCH($A476,Workers!$A$5:$A$2004,0))&amp;"")</f>
        <v/>
      </c>
    </row>
    <row r="477" customFormat="false" ht="15" hidden="false" customHeight="false" outlineLevel="0" collapsed="false">
      <c r="A477" s="24" t="str">
        <f aca="false">IFERROR(INDEX(Workers!$A$5:$A$2004,MATCH(ROW()-4,Workers!$U$5:$U$2004,0)),"")</f>
        <v/>
      </c>
      <c r="B477" s="24" t="str">
        <f aca="false">IF($A477="","",INDEX(Workers!$B$5:$B$2004,MATCH($A477,Workers!$A$5:$A$2004,0)))</f>
        <v/>
      </c>
      <c r="C477" s="24" t="str">
        <f aca="false">IF($A477="","",INDEX(Workers!$E$5:$E$2004,MATCH($A477,Workers!$A$5:$A$2004,0)))</f>
        <v/>
      </c>
      <c r="D477" s="24" t="str">
        <f aca="false">IF($A477="","",INDEX(Workers!$K$5:$K$2004,MATCH($A477,Workers!$A$5:$A$2004,0)))</f>
        <v/>
      </c>
      <c r="E477" s="25" t="str">
        <f aca="false">IF($A477="","",SUMIFS(Timesheet!$E$5:$E$3004,Timesheet!$D$5:$D$3004,$A477,Timesheet!$A$5:$A$3004,"&gt;="&amp;Settings!$B$8,Timesheet!$A$5:$A$3004,"&lt;="&amp;Settings!$B$9))</f>
        <v/>
      </c>
      <c r="F477" s="25" t="str">
        <f aca="false">IF($A477="","",SUMIFS(Timesheet!$F$5:$F$3004,Timesheet!$D$5:$D$3004,$A477,Timesheet!$A$5:$A$3004,"&gt;="&amp;Settings!$B$8,Timesheet!$A$5:$A$3004,"&lt;="&amp;Settings!$B$9))</f>
        <v/>
      </c>
      <c r="G477" s="25" t="str">
        <f aca="false">IF($A477="","",SUMIFS(Timesheet!$G$5:$G$3004,Timesheet!$D$5:$D$3004,$A477,Timesheet!$A$5:$A$3004,"&gt;="&amp;Settings!$B$8,Timesheet!$A$5:$A$3004,"&lt;="&amp;Settings!$B$9))</f>
        <v/>
      </c>
      <c r="H477" s="25" t="str">
        <f aca="false">IF($A477="","",IF(D477="Monthly",MAX(0,Settings!$B$11-E477),0))</f>
        <v/>
      </c>
      <c r="I477" s="26" t="str">
        <f aca="false">IF($A477="","",N(INDEX(Workers!$L$5:$L$2004,MATCH($A477,Workers!$A$5:$A$2004,0))))</f>
        <v/>
      </c>
      <c r="J477" s="26" t="str">
        <f aca="false">IF($A477="","",N(INDEX(Workers!$M$5:$M$2004,MATCH($A477,Workers!$A$5:$A$2004,0))))</f>
        <v/>
      </c>
      <c r="K477" s="26" t="str">
        <f aca="false">IF($A477="","",IF(D477="Monthly",ROUND(MAX(0,(I477+J477)-(I477+J477)/Settings!$B$10*H477),2),0))</f>
        <v/>
      </c>
      <c r="L477" s="26" t="str">
        <f aca="false">IF($A477="","",IF(D477="Hourly",ROUND(F477*N(INDEX(Workers!$N$5:$N$2004,MATCH($A477,Workers!$A$5:$A$2004,0))),2),0))</f>
        <v/>
      </c>
      <c r="M477" s="26" t="str">
        <f aca="false">IF($A477="","",ROUND(G477*IF(D477="Hourly",N(INDEX(Workers!$N$5:$N$2004,MATCH($A477,Workers!$A$5:$A$2004,0))),I477/Settings!$B$10/Settings!$B$12)*Settings!$B$13,2))</f>
        <v/>
      </c>
      <c r="N477" s="26" t="str">
        <f aca="false">IF($A477="","",K477+L477+M477)</f>
        <v/>
      </c>
      <c r="O477" s="26" t="str">
        <f aca="false">IF($A477="","",SUMIFS(Deductions!$D$5:$D$2000,Deductions!$B$5:$B$2000,$A477,Deductions!$C$5:$C$2000,"Advance",Deductions!$E$5:$E$2000,"&gt;="&amp;Settings!$B$8,Deductions!$E$5:$E$2000,"&lt;="&amp;Settings!$B$9))</f>
        <v/>
      </c>
      <c r="P477" s="26" t="str">
        <f aca="false">IF($A477="","",SUMIFS(Deductions!$D$5:$D$2000,Deductions!$B$5:$B$2000,$A477,Deductions!$E$5:$E$2000,"&gt;="&amp;Settings!$B$8,Deductions!$E$5:$E$2000,"&lt;="&amp;Settings!$B$9)-O477)</f>
        <v/>
      </c>
      <c r="Q477" s="26" t="str">
        <f aca="false">IF($A477="","",O477+P477)</f>
        <v/>
      </c>
      <c r="R477" s="23" t="str">
        <f aca="false">IF($A477="","",N477-Q477)</f>
        <v/>
      </c>
      <c r="S477" s="24" t="str">
        <f aca="false">IF($A477="","",INDEX(Workers!$O$5:$O$2004,MATCH($A477,Workers!$A$5:$A$2004,0))&amp;"")</f>
        <v/>
      </c>
      <c r="T477" s="24" t="str">
        <f aca="false">IF($A477="","",INDEX(Workers!$P$5:$P$2004,MATCH($A477,Workers!$A$5:$A$2004,0))&amp;"")</f>
        <v/>
      </c>
      <c r="U477" s="24" t="str">
        <f aca="false">IF($A477="","",INDEX(Workers!$H$5:$H$2004,MATCH($A477,Workers!$A$5:$A$2004,0))&amp;"")</f>
        <v/>
      </c>
    </row>
    <row r="478" customFormat="false" ht="15" hidden="false" customHeight="false" outlineLevel="0" collapsed="false">
      <c r="A478" s="24" t="str">
        <f aca="false">IFERROR(INDEX(Workers!$A$5:$A$2004,MATCH(ROW()-4,Workers!$U$5:$U$2004,0)),"")</f>
        <v/>
      </c>
      <c r="B478" s="24" t="str">
        <f aca="false">IF($A478="","",INDEX(Workers!$B$5:$B$2004,MATCH($A478,Workers!$A$5:$A$2004,0)))</f>
        <v/>
      </c>
      <c r="C478" s="24" t="str">
        <f aca="false">IF($A478="","",INDEX(Workers!$E$5:$E$2004,MATCH($A478,Workers!$A$5:$A$2004,0)))</f>
        <v/>
      </c>
      <c r="D478" s="24" t="str">
        <f aca="false">IF($A478="","",INDEX(Workers!$K$5:$K$2004,MATCH($A478,Workers!$A$5:$A$2004,0)))</f>
        <v/>
      </c>
      <c r="E478" s="25" t="str">
        <f aca="false">IF($A478="","",SUMIFS(Timesheet!$E$5:$E$3004,Timesheet!$D$5:$D$3004,$A478,Timesheet!$A$5:$A$3004,"&gt;="&amp;Settings!$B$8,Timesheet!$A$5:$A$3004,"&lt;="&amp;Settings!$B$9))</f>
        <v/>
      </c>
      <c r="F478" s="25" t="str">
        <f aca="false">IF($A478="","",SUMIFS(Timesheet!$F$5:$F$3004,Timesheet!$D$5:$D$3004,$A478,Timesheet!$A$5:$A$3004,"&gt;="&amp;Settings!$B$8,Timesheet!$A$5:$A$3004,"&lt;="&amp;Settings!$B$9))</f>
        <v/>
      </c>
      <c r="G478" s="25" t="str">
        <f aca="false">IF($A478="","",SUMIFS(Timesheet!$G$5:$G$3004,Timesheet!$D$5:$D$3004,$A478,Timesheet!$A$5:$A$3004,"&gt;="&amp;Settings!$B$8,Timesheet!$A$5:$A$3004,"&lt;="&amp;Settings!$B$9))</f>
        <v/>
      </c>
      <c r="H478" s="25" t="str">
        <f aca="false">IF($A478="","",IF(D478="Monthly",MAX(0,Settings!$B$11-E478),0))</f>
        <v/>
      </c>
      <c r="I478" s="26" t="str">
        <f aca="false">IF($A478="","",N(INDEX(Workers!$L$5:$L$2004,MATCH($A478,Workers!$A$5:$A$2004,0))))</f>
        <v/>
      </c>
      <c r="J478" s="26" t="str">
        <f aca="false">IF($A478="","",N(INDEX(Workers!$M$5:$M$2004,MATCH($A478,Workers!$A$5:$A$2004,0))))</f>
        <v/>
      </c>
      <c r="K478" s="26" t="str">
        <f aca="false">IF($A478="","",IF(D478="Monthly",ROUND(MAX(0,(I478+J478)-(I478+J478)/Settings!$B$10*H478),2),0))</f>
        <v/>
      </c>
      <c r="L478" s="26" t="str">
        <f aca="false">IF($A478="","",IF(D478="Hourly",ROUND(F478*N(INDEX(Workers!$N$5:$N$2004,MATCH($A478,Workers!$A$5:$A$2004,0))),2),0))</f>
        <v/>
      </c>
      <c r="M478" s="26" t="str">
        <f aca="false">IF($A478="","",ROUND(G478*IF(D478="Hourly",N(INDEX(Workers!$N$5:$N$2004,MATCH($A478,Workers!$A$5:$A$2004,0))),I478/Settings!$B$10/Settings!$B$12)*Settings!$B$13,2))</f>
        <v/>
      </c>
      <c r="N478" s="26" t="str">
        <f aca="false">IF($A478="","",K478+L478+M478)</f>
        <v/>
      </c>
      <c r="O478" s="26" t="str">
        <f aca="false">IF($A478="","",SUMIFS(Deductions!$D$5:$D$2000,Deductions!$B$5:$B$2000,$A478,Deductions!$C$5:$C$2000,"Advance",Deductions!$E$5:$E$2000,"&gt;="&amp;Settings!$B$8,Deductions!$E$5:$E$2000,"&lt;="&amp;Settings!$B$9))</f>
        <v/>
      </c>
      <c r="P478" s="26" t="str">
        <f aca="false">IF($A478="","",SUMIFS(Deductions!$D$5:$D$2000,Deductions!$B$5:$B$2000,$A478,Deductions!$E$5:$E$2000,"&gt;="&amp;Settings!$B$8,Deductions!$E$5:$E$2000,"&lt;="&amp;Settings!$B$9)-O478)</f>
        <v/>
      </c>
      <c r="Q478" s="26" t="str">
        <f aca="false">IF($A478="","",O478+P478)</f>
        <v/>
      </c>
      <c r="R478" s="23" t="str">
        <f aca="false">IF($A478="","",N478-Q478)</f>
        <v/>
      </c>
      <c r="S478" s="24" t="str">
        <f aca="false">IF($A478="","",INDEX(Workers!$O$5:$O$2004,MATCH($A478,Workers!$A$5:$A$2004,0))&amp;"")</f>
        <v/>
      </c>
      <c r="T478" s="24" t="str">
        <f aca="false">IF($A478="","",INDEX(Workers!$P$5:$P$2004,MATCH($A478,Workers!$A$5:$A$2004,0))&amp;"")</f>
        <v/>
      </c>
      <c r="U478" s="24" t="str">
        <f aca="false">IF($A478="","",INDEX(Workers!$H$5:$H$2004,MATCH($A478,Workers!$A$5:$A$2004,0))&amp;"")</f>
        <v/>
      </c>
    </row>
    <row r="479" customFormat="false" ht="15" hidden="false" customHeight="false" outlineLevel="0" collapsed="false">
      <c r="A479" s="24" t="str">
        <f aca="false">IFERROR(INDEX(Workers!$A$5:$A$2004,MATCH(ROW()-4,Workers!$U$5:$U$2004,0)),"")</f>
        <v/>
      </c>
      <c r="B479" s="24" t="str">
        <f aca="false">IF($A479="","",INDEX(Workers!$B$5:$B$2004,MATCH($A479,Workers!$A$5:$A$2004,0)))</f>
        <v/>
      </c>
      <c r="C479" s="24" t="str">
        <f aca="false">IF($A479="","",INDEX(Workers!$E$5:$E$2004,MATCH($A479,Workers!$A$5:$A$2004,0)))</f>
        <v/>
      </c>
      <c r="D479" s="24" t="str">
        <f aca="false">IF($A479="","",INDEX(Workers!$K$5:$K$2004,MATCH($A479,Workers!$A$5:$A$2004,0)))</f>
        <v/>
      </c>
      <c r="E479" s="25" t="str">
        <f aca="false">IF($A479="","",SUMIFS(Timesheet!$E$5:$E$3004,Timesheet!$D$5:$D$3004,$A479,Timesheet!$A$5:$A$3004,"&gt;="&amp;Settings!$B$8,Timesheet!$A$5:$A$3004,"&lt;="&amp;Settings!$B$9))</f>
        <v/>
      </c>
      <c r="F479" s="25" t="str">
        <f aca="false">IF($A479="","",SUMIFS(Timesheet!$F$5:$F$3004,Timesheet!$D$5:$D$3004,$A479,Timesheet!$A$5:$A$3004,"&gt;="&amp;Settings!$B$8,Timesheet!$A$5:$A$3004,"&lt;="&amp;Settings!$B$9))</f>
        <v/>
      </c>
      <c r="G479" s="25" t="str">
        <f aca="false">IF($A479="","",SUMIFS(Timesheet!$G$5:$G$3004,Timesheet!$D$5:$D$3004,$A479,Timesheet!$A$5:$A$3004,"&gt;="&amp;Settings!$B$8,Timesheet!$A$5:$A$3004,"&lt;="&amp;Settings!$B$9))</f>
        <v/>
      </c>
      <c r="H479" s="25" t="str">
        <f aca="false">IF($A479="","",IF(D479="Monthly",MAX(0,Settings!$B$11-E479),0))</f>
        <v/>
      </c>
      <c r="I479" s="26" t="str">
        <f aca="false">IF($A479="","",N(INDEX(Workers!$L$5:$L$2004,MATCH($A479,Workers!$A$5:$A$2004,0))))</f>
        <v/>
      </c>
      <c r="J479" s="26" t="str">
        <f aca="false">IF($A479="","",N(INDEX(Workers!$M$5:$M$2004,MATCH($A479,Workers!$A$5:$A$2004,0))))</f>
        <v/>
      </c>
      <c r="K479" s="26" t="str">
        <f aca="false">IF($A479="","",IF(D479="Monthly",ROUND(MAX(0,(I479+J479)-(I479+J479)/Settings!$B$10*H479),2),0))</f>
        <v/>
      </c>
      <c r="L479" s="26" t="str">
        <f aca="false">IF($A479="","",IF(D479="Hourly",ROUND(F479*N(INDEX(Workers!$N$5:$N$2004,MATCH($A479,Workers!$A$5:$A$2004,0))),2),0))</f>
        <v/>
      </c>
      <c r="M479" s="26" t="str">
        <f aca="false">IF($A479="","",ROUND(G479*IF(D479="Hourly",N(INDEX(Workers!$N$5:$N$2004,MATCH($A479,Workers!$A$5:$A$2004,0))),I479/Settings!$B$10/Settings!$B$12)*Settings!$B$13,2))</f>
        <v/>
      </c>
      <c r="N479" s="26" t="str">
        <f aca="false">IF($A479="","",K479+L479+M479)</f>
        <v/>
      </c>
      <c r="O479" s="26" t="str">
        <f aca="false">IF($A479="","",SUMIFS(Deductions!$D$5:$D$2000,Deductions!$B$5:$B$2000,$A479,Deductions!$C$5:$C$2000,"Advance",Deductions!$E$5:$E$2000,"&gt;="&amp;Settings!$B$8,Deductions!$E$5:$E$2000,"&lt;="&amp;Settings!$B$9))</f>
        <v/>
      </c>
      <c r="P479" s="26" t="str">
        <f aca="false">IF($A479="","",SUMIFS(Deductions!$D$5:$D$2000,Deductions!$B$5:$B$2000,$A479,Deductions!$E$5:$E$2000,"&gt;="&amp;Settings!$B$8,Deductions!$E$5:$E$2000,"&lt;="&amp;Settings!$B$9)-O479)</f>
        <v/>
      </c>
      <c r="Q479" s="26" t="str">
        <f aca="false">IF($A479="","",O479+P479)</f>
        <v/>
      </c>
      <c r="R479" s="23" t="str">
        <f aca="false">IF($A479="","",N479-Q479)</f>
        <v/>
      </c>
      <c r="S479" s="24" t="str">
        <f aca="false">IF($A479="","",INDEX(Workers!$O$5:$O$2004,MATCH($A479,Workers!$A$5:$A$2004,0))&amp;"")</f>
        <v/>
      </c>
      <c r="T479" s="24" t="str">
        <f aca="false">IF($A479="","",INDEX(Workers!$P$5:$P$2004,MATCH($A479,Workers!$A$5:$A$2004,0))&amp;"")</f>
        <v/>
      </c>
      <c r="U479" s="24" t="str">
        <f aca="false">IF($A479="","",INDEX(Workers!$H$5:$H$2004,MATCH($A479,Workers!$A$5:$A$2004,0))&amp;"")</f>
        <v/>
      </c>
    </row>
    <row r="480" customFormat="false" ht="15" hidden="false" customHeight="false" outlineLevel="0" collapsed="false">
      <c r="A480" s="24" t="str">
        <f aca="false">IFERROR(INDEX(Workers!$A$5:$A$2004,MATCH(ROW()-4,Workers!$U$5:$U$2004,0)),"")</f>
        <v/>
      </c>
      <c r="B480" s="24" t="str">
        <f aca="false">IF($A480="","",INDEX(Workers!$B$5:$B$2004,MATCH($A480,Workers!$A$5:$A$2004,0)))</f>
        <v/>
      </c>
      <c r="C480" s="24" t="str">
        <f aca="false">IF($A480="","",INDEX(Workers!$E$5:$E$2004,MATCH($A480,Workers!$A$5:$A$2004,0)))</f>
        <v/>
      </c>
      <c r="D480" s="24" t="str">
        <f aca="false">IF($A480="","",INDEX(Workers!$K$5:$K$2004,MATCH($A480,Workers!$A$5:$A$2004,0)))</f>
        <v/>
      </c>
      <c r="E480" s="25" t="str">
        <f aca="false">IF($A480="","",SUMIFS(Timesheet!$E$5:$E$3004,Timesheet!$D$5:$D$3004,$A480,Timesheet!$A$5:$A$3004,"&gt;="&amp;Settings!$B$8,Timesheet!$A$5:$A$3004,"&lt;="&amp;Settings!$B$9))</f>
        <v/>
      </c>
      <c r="F480" s="25" t="str">
        <f aca="false">IF($A480="","",SUMIFS(Timesheet!$F$5:$F$3004,Timesheet!$D$5:$D$3004,$A480,Timesheet!$A$5:$A$3004,"&gt;="&amp;Settings!$B$8,Timesheet!$A$5:$A$3004,"&lt;="&amp;Settings!$B$9))</f>
        <v/>
      </c>
      <c r="G480" s="25" t="str">
        <f aca="false">IF($A480="","",SUMIFS(Timesheet!$G$5:$G$3004,Timesheet!$D$5:$D$3004,$A480,Timesheet!$A$5:$A$3004,"&gt;="&amp;Settings!$B$8,Timesheet!$A$5:$A$3004,"&lt;="&amp;Settings!$B$9))</f>
        <v/>
      </c>
      <c r="H480" s="25" t="str">
        <f aca="false">IF($A480="","",IF(D480="Monthly",MAX(0,Settings!$B$11-E480),0))</f>
        <v/>
      </c>
      <c r="I480" s="26" t="str">
        <f aca="false">IF($A480="","",N(INDEX(Workers!$L$5:$L$2004,MATCH($A480,Workers!$A$5:$A$2004,0))))</f>
        <v/>
      </c>
      <c r="J480" s="26" t="str">
        <f aca="false">IF($A480="","",N(INDEX(Workers!$M$5:$M$2004,MATCH($A480,Workers!$A$5:$A$2004,0))))</f>
        <v/>
      </c>
      <c r="K480" s="26" t="str">
        <f aca="false">IF($A480="","",IF(D480="Monthly",ROUND(MAX(0,(I480+J480)-(I480+J480)/Settings!$B$10*H480),2),0))</f>
        <v/>
      </c>
      <c r="L480" s="26" t="str">
        <f aca="false">IF($A480="","",IF(D480="Hourly",ROUND(F480*N(INDEX(Workers!$N$5:$N$2004,MATCH($A480,Workers!$A$5:$A$2004,0))),2),0))</f>
        <v/>
      </c>
      <c r="M480" s="26" t="str">
        <f aca="false">IF($A480="","",ROUND(G480*IF(D480="Hourly",N(INDEX(Workers!$N$5:$N$2004,MATCH($A480,Workers!$A$5:$A$2004,0))),I480/Settings!$B$10/Settings!$B$12)*Settings!$B$13,2))</f>
        <v/>
      </c>
      <c r="N480" s="26" t="str">
        <f aca="false">IF($A480="","",K480+L480+M480)</f>
        <v/>
      </c>
      <c r="O480" s="26" t="str">
        <f aca="false">IF($A480="","",SUMIFS(Deductions!$D$5:$D$2000,Deductions!$B$5:$B$2000,$A480,Deductions!$C$5:$C$2000,"Advance",Deductions!$E$5:$E$2000,"&gt;="&amp;Settings!$B$8,Deductions!$E$5:$E$2000,"&lt;="&amp;Settings!$B$9))</f>
        <v/>
      </c>
      <c r="P480" s="26" t="str">
        <f aca="false">IF($A480="","",SUMIFS(Deductions!$D$5:$D$2000,Deductions!$B$5:$B$2000,$A480,Deductions!$E$5:$E$2000,"&gt;="&amp;Settings!$B$8,Deductions!$E$5:$E$2000,"&lt;="&amp;Settings!$B$9)-O480)</f>
        <v/>
      </c>
      <c r="Q480" s="26" t="str">
        <f aca="false">IF($A480="","",O480+P480)</f>
        <v/>
      </c>
      <c r="R480" s="23" t="str">
        <f aca="false">IF($A480="","",N480-Q480)</f>
        <v/>
      </c>
      <c r="S480" s="24" t="str">
        <f aca="false">IF($A480="","",INDEX(Workers!$O$5:$O$2004,MATCH($A480,Workers!$A$5:$A$2004,0))&amp;"")</f>
        <v/>
      </c>
      <c r="T480" s="24" t="str">
        <f aca="false">IF($A480="","",INDEX(Workers!$P$5:$P$2004,MATCH($A480,Workers!$A$5:$A$2004,0))&amp;"")</f>
        <v/>
      </c>
      <c r="U480" s="24" t="str">
        <f aca="false">IF($A480="","",INDEX(Workers!$H$5:$H$2004,MATCH($A480,Workers!$A$5:$A$2004,0))&amp;"")</f>
        <v/>
      </c>
    </row>
    <row r="481" customFormat="false" ht="15" hidden="false" customHeight="false" outlineLevel="0" collapsed="false">
      <c r="A481" s="24" t="str">
        <f aca="false">IFERROR(INDEX(Workers!$A$5:$A$2004,MATCH(ROW()-4,Workers!$U$5:$U$2004,0)),"")</f>
        <v/>
      </c>
      <c r="B481" s="24" t="str">
        <f aca="false">IF($A481="","",INDEX(Workers!$B$5:$B$2004,MATCH($A481,Workers!$A$5:$A$2004,0)))</f>
        <v/>
      </c>
      <c r="C481" s="24" t="str">
        <f aca="false">IF($A481="","",INDEX(Workers!$E$5:$E$2004,MATCH($A481,Workers!$A$5:$A$2004,0)))</f>
        <v/>
      </c>
      <c r="D481" s="24" t="str">
        <f aca="false">IF($A481="","",INDEX(Workers!$K$5:$K$2004,MATCH($A481,Workers!$A$5:$A$2004,0)))</f>
        <v/>
      </c>
      <c r="E481" s="25" t="str">
        <f aca="false">IF($A481="","",SUMIFS(Timesheet!$E$5:$E$3004,Timesheet!$D$5:$D$3004,$A481,Timesheet!$A$5:$A$3004,"&gt;="&amp;Settings!$B$8,Timesheet!$A$5:$A$3004,"&lt;="&amp;Settings!$B$9))</f>
        <v/>
      </c>
      <c r="F481" s="25" t="str">
        <f aca="false">IF($A481="","",SUMIFS(Timesheet!$F$5:$F$3004,Timesheet!$D$5:$D$3004,$A481,Timesheet!$A$5:$A$3004,"&gt;="&amp;Settings!$B$8,Timesheet!$A$5:$A$3004,"&lt;="&amp;Settings!$B$9))</f>
        <v/>
      </c>
      <c r="G481" s="25" t="str">
        <f aca="false">IF($A481="","",SUMIFS(Timesheet!$G$5:$G$3004,Timesheet!$D$5:$D$3004,$A481,Timesheet!$A$5:$A$3004,"&gt;="&amp;Settings!$B$8,Timesheet!$A$5:$A$3004,"&lt;="&amp;Settings!$B$9))</f>
        <v/>
      </c>
      <c r="H481" s="25" t="str">
        <f aca="false">IF($A481="","",IF(D481="Monthly",MAX(0,Settings!$B$11-E481),0))</f>
        <v/>
      </c>
      <c r="I481" s="26" t="str">
        <f aca="false">IF($A481="","",N(INDEX(Workers!$L$5:$L$2004,MATCH($A481,Workers!$A$5:$A$2004,0))))</f>
        <v/>
      </c>
      <c r="J481" s="26" t="str">
        <f aca="false">IF($A481="","",N(INDEX(Workers!$M$5:$M$2004,MATCH($A481,Workers!$A$5:$A$2004,0))))</f>
        <v/>
      </c>
      <c r="K481" s="26" t="str">
        <f aca="false">IF($A481="","",IF(D481="Monthly",ROUND(MAX(0,(I481+J481)-(I481+J481)/Settings!$B$10*H481),2),0))</f>
        <v/>
      </c>
      <c r="L481" s="26" t="str">
        <f aca="false">IF($A481="","",IF(D481="Hourly",ROUND(F481*N(INDEX(Workers!$N$5:$N$2004,MATCH($A481,Workers!$A$5:$A$2004,0))),2),0))</f>
        <v/>
      </c>
      <c r="M481" s="26" t="str">
        <f aca="false">IF($A481="","",ROUND(G481*IF(D481="Hourly",N(INDEX(Workers!$N$5:$N$2004,MATCH($A481,Workers!$A$5:$A$2004,0))),I481/Settings!$B$10/Settings!$B$12)*Settings!$B$13,2))</f>
        <v/>
      </c>
      <c r="N481" s="26" t="str">
        <f aca="false">IF($A481="","",K481+L481+M481)</f>
        <v/>
      </c>
      <c r="O481" s="26" t="str">
        <f aca="false">IF($A481="","",SUMIFS(Deductions!$D$5:$D$2000,Deductions!$B$5:$B$2000,$A481,Deductions!$C$5:$C$2000,"Advance",Deductions!$E$5:$E$2000,"&gt;="&amp;Settings!$B$8,Deductions!$E$5:$E$2000,"&lt;="&amp;Settings!$B$9))</f>
        <v/>
      </c>
      <c r="P481" s="26" t="str">
        <f aca="false">IF($A481="","",SUMIFS(Deductions!$D$5:$D$2000,Deductions!$B$5:$B$2000,$A481,Deductions!$E$5:$E$2000,"&gt;="&amp;Settings!$B$8,Deductions!$E$5:$E$2000,"&lt;="&amp;Settings!$B$9)-O481)</f>
        <v/>
      </c>
      <c r="Q481" s="26" t="str">
        <f aca="false">IF($A481="","",O481+P481)</f>
        <v/>
      </c>
      <c r="R481" s="23" t="str">
        <f aca="false">IF($A481="","",N481-Q481)</f>
        <v/>
      </c>
      <c r="S481" s="24" t="str">
        <f aca="false">IF($A481="","",INDEX(Workers!$O$5:$O$2004,MATCH($A481,Workers!$A$5:$A$2004,0))&amp;"")</f>
        <v/>
      </c>
      <c r="T481" s="24" t="str">
        <f aca="false">IF($A481="","",INDEX(Workers!$P$5:$P$2004,MATCH($A481,Workers!$A$5:$A$2004,0))&amp;"")</f>
        <v/>
      </c>
      <c r="U481" s="24" t="str">
        <f aca="false">IF($A481="","",INDEX(Workers!$H$5:$H$2004,MATCH($A481,Workers!$A$5:$A$2004,0))&amp;"")</f>
        <v/>
      </c>
    </row>
    <row r="482" customFormat="false" ht="15" hidden="false" customHeight="false" outlineLevel="0" collapsed="false">
      <c r="A482" s="24" t="str">
        <f aca="false">IFERROR(INDEX(Workers!$A$5:$A$2004,MATCH(ROW()-4,Workers!$U$5:$U$2004,0)),"")</f>
        <v/>
      </c>
      <c r="B482" s="24" t="str">
        <f aca="false">IF($A482="","",INDEX(Workers!$B$5:$B$2004,MATCH($A482,Workers!$A$5:$A$2004,0)))</f>
        <v/>
      </c>
      <c r="C482" s="24" t="str">
        <f aca="false">IF($A482="","",INDEX(Workers!$E$5:$E$2004,MATCH($A482,Workers!$A$5:$A$2004,0)))</f>
        <v/>
      </c>
      <c r="D482" s="24" t="str">
        <f aca="false">IF($A482="","",INDEX(Workers!$K$5:$K$2004,MATCH($A482,Workers!$A$5:$A$2004,0)))</f>
        <v/>
      </c>
      <c r="E482" s="25" t="str">
        <f aca="false">IF($A482="","",SUMIFS(Timesheet!$E$5:$E$3004,Timesheet!$D$5:$D$3004,$A482,Timesheet!$A$5:$A$3004,"&gt;="&amp;Settings!$B$8,Timesheet!$A$5:$A$3004,"&lt;="&amp;Settings!$B$9))</f>
        <v/>
      </c>
      <c r="F482" s="25" t="str">
        <f aca="false">IF($A482="","",SUMIFS(Timesheet!$F$5:$F$3004,Timesheet!$D$5:$D$3004,$A482,Timesheet!$A$5:$A$3004,"&gt;="&amp;Settings!$B$8,Timesheet!$A$5:$A$3004,"&lt;="&amp;Settings!$B$9))</f>
        <v/>
      </c>
      <c r="G482" s="25" t="str">
        <f aca="false">IF($A482="","",SUMIFS(Timesheet!$G$5:$G$3004,Timesheet!$D$5:$D$3004,$A482,Timesheet!$A$5:$A$3004,"&gt;="&amp;Settings!$B$8,Timesheet!$A$5:$A$3004,"&lt;="&amp;Settings!$B$9))</f>
        <v/>
      </c>
      <c r="H482" s="25" t="str">
        <f aca="false">IF($A482="","",IF(D482="Monthly",MAX(0,Settings!$B$11-E482),0))</f>
        <v/>
      </c>
      <c r="I482" s="26" t="str">
        <f aca="false">IF($A482="","",N(INDEX(Workers!$L$5:$L$2004,MATCH($A482,Workers!$A$5:$A$2004,0))))</f>
        <v/>
      </c>
      <c r="J482" s="26" t="str">
        <f aca="false">IF($A482="","",N(INDEX(Workers!$M$5:$M$2004,MATCH($A482,Workers!$A$5:$A$2004,0))))</f>
        <v/>
      </c>
      <c r="K482" s="26" t="str">
        <f aca="false">IF($A482="","",IF(D482="Monthly",ROUND(MAX(0,(I482+J482)-(I482+J482)/Settings!$B$10*H482),2),0))</f>
        <v/>
      </c>
      <c r="L482" s="26" t="str">
        <f aca="false">IF($A482="","",IF(D482="Hourly",ROUND(F482*N(INDEX(Workers!$N$5:$N$2004,MATCH($A482,Workers!$A$5:$A$2004,0))),2),0))</f>
        <v/>
      </c>
      <c r="M482" s="26" t="str">
        <f aca="false">IF($A482="","",ROUND(G482*IF(D482="Hourly",N(INDEX(Workers!$N$5:$N$2004,MATCH($A482,Workers!$A$5:$A$2004,0))),I482/Settings!$B$10/Settings!$B$12)*Settings!$B$13,2))</f>
        <v/>
      </c>
      <c r="N482" s="26" t="str">
        <f aca="false">IF($A482="","",K482+L482+M482)</f>
        <v/>
      </c>
      <c r="O482" s="26" t="str">
        <f aca="false">IF($A482="","",SUMIFS(Deductions!$D$5:$D$2000,Deductions!$B$5:$B$2000,$A482,Deductions!$C$5:$C$2000,"Advance",Deductions!$E$5:$E$2000,"&gt;="&amp;Settings!$B$8,Deductions!$E$5:$E$2000,"&lt;="&amp;Settings!$B$9))</f>
        <v/>
      </c>
      <c r="P482" s="26" t="str">
        <f aca="false">IF($A482="","",SUMIFS(Deductions!$D$5:$D$2000,Deductions!$B$5:$B$2000,$A482,Deductions!$E$5:$E$2000,"&gt;="&amp;Settings!$B$8,Deductions!$E$5:$E$2000,"&lt;="&amp;Settings!$B$9)-O482)</f>
        <v/>
      </c>
      <c r="Q482" s="26" t="str">
        <f aca="false">IF($A482="","",O482+P482)</f>
        <v/>
      </c>
      <c r="R482" s="23" t="str">
        <f aca="false">IF($A482="","",N482-Q482)</f>
        <v/>
      </c>
      <c r="S482" s="24" t="str">
        <f aca="false">IF($A482="","",INDEX(Workers!$O$5:$O$2004,MATCH($A482,Workers!$A$5:$A$2004,0))&amp;"")</f>
        <v/>
      </c>
      <c r="T482" s="24" t="str">
        <f aca="false">IF($A482="","",INDEX(Workers!$P$5:$P$2004,MATCH($A482,Workers!$A$5:$A$2004,0))&amp;"")</f>
        <v/>
      </c>
      <c r="U482" s="24" t="str">
        <f aca="false">IF($A482="","",INDEX(Workers!$H$5:$H$2004,MATCH($A482,Workers!$A$5:$A$2004,0))&amp;"")</f>
        <v/>
      </c>
    </row>
    <row r="483" customFormat="false" ht="15" hidden="false" customHeight="false" outlineLevel="0" collapsed="false">
      <c r="A483" s="24" t="str">
        <f aca="false">IFERROR(INDEX(Workers!$A$5:$A$2004,MATCH(ROW()-4,Workers!$U$5:$U$2004,0)),"")</f>
        <v/>
      </c>
      <c r="B483" s="24" t="str">
        <f aca="false">IF($A483="","",INDEX(Workers!$B$5:$B$2004,MATCH($A483,Workers!$A$5:$A$2004,0)))</f>
        <v/>
      </c>
      <c r="C483" s="24" t="str">
        <f aca="false">IF($A483="","",INDEX(Workers!$E$5:$E$2004,MATCH($A483,Workers!$A$5:$A$2004,0)))</f>
        <v/>
      </c>
      <c r="D483" s="24" t="str">
        <f aca="false">IF($A483="","",INDEX(Workers!$K$5:$K$2004,MATCH($A483,Workers!$A$5:$A$2004,0)))</f>
        <v/>
      </c>
      <c r="E483" s="25" t="str">
        <f aca="false">IF($A483="","",SUMIFS(Timesheet!$E$5:$E$3004,Timesheet!$D$5:$D$3004,$A483,Timesheet!$A$5:$A$3004,"&gt;="&amp;Settings!$B$8,Timesheet!$A$5:$A$3004,"&lt;="&amp;Settings!$B$9))</f>
        <v/>
      </c>
      <c r="F483" s="25" t="str">
        <f aca="false">IF($A483="","",SUMIFS(Timesheet!$F$5:$F$3004,Timesheet!$D$5:$D$3004,$A483,Timesheet!$A$5:$A$3004,"&gt;="&amp;Settings!$B$8,Timesheet!$A$5:$A$3004,"&lt;="&amp;Settings!$B$9))</f>
        <v/>
      </c>
      <c r="G483" s="25" t="str">
        <f aca="false">IF($A483="","",SUMIFS(Timesheet!$G$5:$G$3004,Timesheet!$D$5:$D$3004,$A483,Timesheet!$A$5:$A$3004,"&gt;="&amp;Settings!$B$8,Timesheet!$A$5:$A$3004,"&lt;="&amp;Settings!$B$9))</f>
        <v/>
      </c>
      <c r="H483" s="25" t="str">
        <f aca="false">IF($A483="","",IF(D483="Monthly",MAX(0,Settings!$B$11-E483),0))</f>
        <v/>
      </c>
      <c r="I483" s="26" t="str">
        <f aca="false">IF($A483="","",N(INDEX(Workers!$L$5:$L$2004,MATCH($A483,Workers!$A$5:$A$2004,0))))</f>
        <v/>
      </c>
      <c r="J483" s="26" t="str">
        <f aca="false">IF($A483="","",N(INDEX(Workers!$M$5:$M$2004,MATCH($A483,Workers!$A$5:$A$2004,0))))</f>
        <v/>
      </c>
      <c r="K483" s="26" t="str">
        <f aca="false">IF($A483="","",IF(D483="Monthly",ROUND(MAX(0,(I483+J483)-(I483+J483)/Settings!$B$10*H483),2),0))</f>
        <v/>
      </c>
      <c r="L483" s="26" t="str">
        <f aca="false">IF($A483="","",IF(D483="Hourly",ROUND(F483*N(INDEX(Workers!$N$5:$N$2004,MATCH($A483,Workers!$A$5:$A$2004,0))),2),0))</f>
        <v/>
      </c>
      <c r="M483" s="26" t="str">
        <f aca="false">IF($A483="","",ROUND(G483*IF(D483="Hourly",N(INDEX(Workers!$N$5:$N$2004,MATCH($A483,Workers!$A$5:$A$2004,0))),I483/Settings!$B$10/Settings!$B$12)*Settings!$B$13,2))</f>
        <v/>
      </c>
      <c r="N483" s="26" t="str">
        <f aca="false">IF($A483="","",K483+L483+M483)</f>
        <v/>
      </c>
      <c r="O483" s="26" t="str">
        <f aca="false">IF($A483="","",SUMIFS(Deductions!$D$5:$D$2000,Deductions!$B$5:$B$2000,$A483,Deductions!$C$5:$C$2000,"Advance",Deductions!$E$5:$E$2000,"&gt;="&amp;Settings!$B$8,Deductions!$E$5:$E$2000,"&lt;="&amp;Settings!$B$9))</f>
        <v/>
      </c>
      <c r="P483" s="26" t="str">
        <f aca="false">IF($A483="","",SUMIFS(Deductions!$D$5:$D$2000,Deductions!$B$5:$B$2000,$A483,Deductions!$E$5:$E$2000,"&gt;="&amp;Settings!$B$8,Deductions!$E$5:$E$2000,"&lt;="&amp;Settings!$B$9)-O483)</f>
        <v/>
      </c>
      <c r="Q483" s="26" t="str">
        <f aca="false">IF($A483="","",O483+P483)</f>
        <v/>
      </c>
      <c r="R483" s="23" t="str">
        <f aca="false">IF($A483="","",N483-Q483)</f>
        <v/>
      </c>
      <c r="S483" s="24" t="str">
        <f aca="false">IF($A483="","",INDEX(Workers!$O$5:$O$2004,MATCH($A483,Workers!$A$5:$A$2004,0))&amp;"")</f>
        <v/>
      </c>
      <c r="T483" s="24" t="str">
        <f aca="false">IF($A483="","",INDEX(Workers!$P$5:$P$2004,MATCH($A483,Workers!$A$5:$A$2004,0))&amp;"")</f>
        <v/>
      </c>
      <c r="U483" s="24" t="str">
        <f aca="false">IF($A483="","",INDEX(Workers!$H$5:$H$2004,MATCH($A483,Workers!$A$5:$A$2004,0))&amp;"")</f>
        <v/>
      </c>
    </row>
    <row r="484" customFormat="false" ht="15" hidden="false" customHeight="false" outlineLevel="0" collapsed="false">
      <c r="A484" s="24" t="str">
        <f aca="false">IFERROR(INDEX(Workers!$A$5:$A$2004,MATCH(ROW()-4,Workers!$U$5:$U$2004,0)),"")</f>
        <v/>
      </c>
      <c r="B484" s="24" t="str">
        <f aca="false">IF($A484="","",INDEX(Workers!$B$5:$B$2004,MATCH($A484,Workers!$A$5:$A$2004,0)))</f>
        <v/>
      </c>
      <c r="C484" s="24" t="str">
        <f aca="false">IF($A484="","",INDEX(Workers!$E$5:$E$2004,MATCH($A484,Workers!$A$5:$A$2004,0)))</f>
        <v/>
      </c>
      <c r="D484" s="24" t="str">
        <f aca="false">IF($A484="","",INDEX(Workers!$K$5:$K$2004,MATCH($A484,Workers!$A$5:$A$2004,0)))</f>
        <v/>
      </c>
      <c r="E484" s="25" t="str">
        <f aca="false">IF($A484="","",SUMIFS(Timesheet!$E$5:$E$3004,Timesheet!$D$5:$D$3004,$A484,Timesheet!$A$5:$A$3004,"&gt;="&amp;Settings!$B$8,Timesheet!$A$5:$A$3004,"&lt;="&amp;Settings!$B$9))</f>
        <v/>
      </c>
      <c r="F484" s="25" t="str">
        <f aca="false">IF($A484="","",SUMIFS(Timesheet!$F$5:$F$3004,Timesheet!$D$5:$D$3004,$A484,Timesheet!$A$5:$A$3004,"&gt;="&amp;Settings!$B$8,Timesheet!$A$5:$A$3004,"&lt;="&amp;Settings!$B$9))</f>
        <v/>
      </c>
      <c r="G484" s="25" t="str">
        <f aca="false">IF($A484="","",SUMIFS(Timesheet!$G$5:$G$3004,Timesheet!$D$5:$D$3004,$A484,Timesheet!$A$5:$A$3004,"&gt;="&amp;Settings!$B$8,Timesheet!$A$5:$A$3004,"&lt;="&amp;Settings!$B$9))</f>
        <v/>
      </c>
      <c r="H484" s="25" t="str">
        <f aca="false">IF($A484="","",IF(D484="Monthly",MAX(0,Settings!$B$11-E484),0))</f>
        <v/>
      </c>
      <c r="I484" s="26" t="str">
        <f aca="false">IF($A484="","",N(INDEX(Workers!$L$5:$L$2004,MATCH($A484,Workers!$A$5:$A$2004,0))))</f>
        <v/>
      </c>
      <c r="J484" s="26" t="str">
        <f aca="false">IF($A484="","",N(INDEX(Workers!$M$5:$M$2004,MATCH($A484,Workers!$A$5:$A$2004,0))))</f>
        <v/>
      </c>
      <c r="K484" s="26" t="str">
        <f aca="false">IF($A484="","",IF(D484="Monthly",ROUND(MAX(0,(I484+J484)-(I484+J484)/Settings!$B$10*H484),2),0))</f>
        <v/>
      </c>
      <c r="L484" s="26" t="str">
        <f aca="false">IF($A484="","",IF(D484="Hourly",ROUND(F484*N(INDEX(Workers!$N$5:$N$2004,MATCH($A484,Workers!$A$5:$A$2004,0))),2),0))</f>
        <v/>
      </c>
      <c r="M484" s="26" t="str">
        <f aca="false">IF($A484="","",ROUND(G484*IF(D484="Hourly",N(INDEX(Workers!$N$5:$N$2004,MATCH($A484,Workers!$A$5:$A$2004,0))),I484/Settings!$B$10/Settings!$B$12)*Settings!$B$13,2))</f>
        <v/>
      </c>
      <c r="N484" s="26" t="str">
        <f aca="false">IF($A484="","",K484+L484+M484)</f>
        <v/>
      </c>
      <c r="O484" s="26" t="str">
        <f aca="false">IF($A484="","",SUMIFS(Deductions!$D$5:$D$2000,Deductions!$B$5:$B$2000,$A484,Deductions!$C$5:$C$2000,"Advance",Deductions!$E$5:$E$2000,"&gt;="&amp;Settings!$B$8,Deductions!$E$5:$E$2000,"&lt;="&amp;Settings!$B$9))</f>
        <v/>
      </c>
      <c r="P484" s="26" t="str">
        <f aca="false">IF($A484="","",SUMIFS(Deductions!$D$5:$D$2000,Deductions!$B$5:$B$2000,$A484,Deductions!$E$5:$E$2000,"&gt;="&amp;Settings!$B$8,Deductions!$E$5:$E$2000,"&lt;="&amp;Settings!$B$9)-O484)</f>
        <v/>
      </c>
      <c r="Q484" s="26" t="str">
        <f aca="false">IF($A484="","",O484+P484)</f>
        <v/>
      </c>
      <c r="R484" s="23" t="str">
        <f aca="false">IF($A484="","",N484-Q484)</f>
        <v/>
      </c>
      <c r="S484" s="24" t="str">
        <f aca="false">IF($A484="","",INDEX(Workers!$O$5:$O$2004,MATCH($A484,Workers!$A$5:$A$2004,0))&amp;"")</f>
        <v/>
      </c>
      <c r="T484" s="24" t="str">
        <f aca="false">IF($A484="","",INDEX(Workers!$P$5:$P$2004,MATCH($A484,Workers!$A$5:$A$2004,0))&amp;"")</f>
        <v/>
      </c>
      <c r="U484" s="24" t="str">
        <f aca="false">IF($A484="","",INDEX(Workers!$H$5:$H$2004,MATCH($A484,Workers!$A$5:$A$2004,0))&amp;"")</f>
        <v/>
      </c>
    </row>
    <row r="485" customFormat="false" ht="15" hidden="false" customHeight="false" outlineLevel="0" collapsed="false">
      <c r="A485" s="24" t="str">
        <f aca="false">IFERROR(INDEX(Workers!$A$5:$A$2004,MATCH(ROW()-4,Workers!$U$5:$U$2004,0)),"")</f>
        <v/>
      </c>
      <c r="B485" s="24" t="str">
        <f aca="false">IF($A485="","",INDEX(Workers!$B$5:$B$2004,MATCH($A485,Workers!$A$5:$A$2004,0)))</f>
        <v/>
      </c>
      <c r="C485" s="24" t="str">
        <f aca="false">IF($A485="","",INDEX(Workers!$E$5:$E$2004,MATCH($A485,Workers!$A$5:$A$2004,0)))</f>
        <v/>
      </c>
      <c r="D485" s="24" t="str">
        <f aca="false">IF($A485="","",INDEX(Workers!$K$5:$K$2004,MATCH($A485,Workers!$A$5:$A$2004,0)))</f>
        <v/>
      </c>
      <c r="E485" s="25" t="str">
        <f aca="false">IF($A485="","",SUMIFS(Timesheet!$E$5:$E$3004,Timesheet!$D$5:$D$3004,$A485,Timesheet!$A$5:$A$3004,"&gt;="&amp;Settings!$B$8,Timesheet!$A$5:$A$3004,"&lt;="&amp;Settings!$B$9))</f>
        <v/>
      </c>
      <c r="F485" s="25" t="str">
        <f aca="false">IF($A485="","",SUMIFS(Timesheet!$F$5:$F$3004,Timesheet!$D$5:$D$3004,$A485,Timesheet!$A$5:$A$3004,"&gt;="&amp;Settings!$B$8,Timesheet!$A$5:$A$3004,"&lt;="&amp;Settings!$B$9))</f>
        <v/>
      </c>
      <c r="G485" s="25" t="str">
        <f aca="false">IF($A485="","",SUMIFS(Timesheet!$G$5:$G$3004,Timesheet!$D$5:$D$3004,$A485,Timesheet!$A$5:$A$3004,"&gt;="&amp;Settings!$B$8,Timesheet!$A$5:$A$3004,"&lt;="&amp;Settings!$B$9))</f>
        <v/>
      </c>
      <c r="H485" s="25" t="str">
        <f aca="false">IF($A485="","",IF(D485="Monthly",MAX(0,Settings!$B$11-E485),0))</f>
        <v/>
      </c>
      <c r="I485" s="26" t="str">
        <f aca="false">IF($A485="","",N(INDEX(Workers!$L$5:$L$2004,MATCH($A485,Workers!$A$5:$A$2004,0))))</f>
        <v/>
      </c>
      <c r="J485" s="26" t="str">
        <f aca="false">IF($A485="","",N(INDEX(Workers!$M$5:$M$2004,MATCH($A485,Workers!$A$5:$A$2004,0))))</f>
        <v/>
      </c>
      <c r="K485" s="26" t="str">
        <f aca="false">IF($A485="","",IF(D485="Monthly",ROUND(MAX(0,(I485+J485)-(I485+J485)/Settings!$B$10*H485),2),0))</f>
        <v/>
      </c>
      <c r="L485" s="26" t="str">
        <f aca="false">IF($A485="","",IF(D485="Hourly",ROUND(F485*N(INDEX(Workers!$N$5:$N$2004,MATCH($A485,Workers!$A$5:$A$2004,0))),2),0))</f>
        <v/>
      </c>
      <c r="M485" s="26" t="str">
        <f aca="false">IF($A485="","",ROUND(G485*IF(D485="Hourly",N(INDEX(Workers!$N$5:$N$2004,MATCH($A485,Workers!$A$5:$A$2004,0))),I485/Settings!$B$10/Settings!$B$12)*Settings!$B$13,2))</f>
        <v/>
      </c>
      <c r="N485" s="26" t="str">
        <f aca="false">IF($A485="","",K485+L485+M485)</f>
        <v/>
      </c>
      <c r="O485" s="26" t="str">
        <f aca="false">IF($A485="","",SUMIFS(Deductions!$D$5:$D$2000,Deductions!$B$5:$B$2000,$A485,Deductions!$C$5:$C$2000,"Advance",Deductions!$E$5:$E$2000,"&gt;="&amp;Settings!$B$8,Deductions!$E$5:$E$2000,"&lt;="&amp;Settings!$B$9))</f>
        <v/>
      </c>
      <c r="P485" s="26" t="str">
        <f aca="false">IF($A485="","",SUMIFS(Deductions!$D$5:$D$2000,Deductions!$B$5:$B$2000,$A485,Deductions!$E$5:$E$2000,"&gt;="&amp;Settings!$B$8,Deductions!$E$5:$E$2000,"&lt;="&amp;Settings!$B$9)-O485)</f>
        <v/>
      </c>
      <c r="Q485" s="26" t="str">
        <f aca="false">IF($A485="","",O485+P485)</f>
        <v/>
      </c>
      <c r="R485" s="23" t="str">
        <f aca="false">IF($A485="","",N485-Q485)</f>
        <v/>
      </c>
      <c r="S485" s="24" t="str">
        <f aca="false">IF($A485="","",INDEX(Workers!$O$5:$O$2004,MATCH($A485,Workers!$A$5:$A$2004,0))&amp;"")</f>
        <v/>
      </c>
      <c r="T485" s="24" t="str">
        <f aca="false">IF($A485="","",INDEX(Workers!$P$5:$P$2004,MATCH($A485,Workers!$A$5:$A$2004,0))&amp;"")</f>
        <v/>
      </c>
      <c r="U485" s="24" t="str">
        <f aca="false">IF($A485="","",INDEX(Workers!$H$5:$H$2004,MATCH($A485,Workers!$A$5:$A$2004,0))&amp;"")</f>
        <v/>
      </c>
    </row>
    <row r="486" customFormat="false" ht="15" hidden="false" customHeight="false" outlineLevel="0" collapsed="false">
      <c r="A486" s="24" t="str">
        <f aca="false">IFERROR(INDEX(Workers!$A$5:$A$2004,MATCH(ROW()-4,Workers!$U$5:$U$2004,0)),"")</f>
        <v/>
      </c>
      <c r="B486" s="24" t="str">
        <f aca="false">IF($A486="","",INDEX(Workers!$B$5:$B$2004,MATCH($A486,Workers!$A$5:$A$2004,0)))</f>
        <v/>
      </c>
      <c r="C486" s="24" t="str">
        <f aca="false">IF($A486="","",INDEX(Workers!$E$5:$E$2004,MATCH($A486,Workers!$A$5:$A$2004,0)))</f>
        <v/>
      </c>
      <c r="D486" s="24" t="str">
        <f aca="false">IF($A486="","",INDEX(Workers!$K$5:$K$2004,MATCH($A486,Workers!$A$5:$A$2004,0)))</f>
        <v/>
      </c>
      <c r="E486" s="25" t="str">
        <f aca="false">IF($A486="","",SUMIFS(Timesheet!$E$5:$E$3004,Timesheet!$D$5:$D$3004,$A486,Timesheet!$A$5:$A$3004,"&gt;="&amp;Settings!$B$8,Timesheet!$A$5:$A$3004,"&lt;="&amp;Settings!$B$9))</f>
        <v/>
      </c>
      <c r="F486" s="25" t="str">
        <f aca="false">IF($A486="","",SUMIFS(Timesheet!$F$5:$F$3004,Timesheet!$D$5:$D$3004,$A486,Timesheet!$A$5:$A$3004,"&gt;="&amp;Settings!$B$8,Timesheet!$A$5:$A$3004,"&lt;="&amp;Settings!$B$9))</f>
        <v/>
      </c>
      <c r="G486" s="25" t="str">
        <f aca="false">IF($A486="","",SUMIFS(Timesheet!$G$5:$G$3004,Timesheet!$D$5:$D$3004,$A486,Timesheet!$A$5:$A$3004,"&gt;="&amp;Settings!$B$8,Timesheet!$A$5:$A$3004,"&lt;="&amp;Settings!$B$9))</f>
        <v/>
      </c>
      <c r="H486" s="25" t="str">
        <f aca="false">IF($A486="","",IF(D486="Monthly",MAX(0,Settings!$B$11-E486),0))</f>
        <v/>
      </c>
      <c r="I486" s="26" t="str">
        <f aca="false">IF($A486="","",N(INDEX(Workers!$L$5:$L$2004,MATCH($A486,Workers!$A$5:$A$2004,0))))</f>
        <v/>
      </c>
      <c r="J486" s="26" t="str">
        <f aca="false">IF($A486="","",N(INDEX(Workers!$M$5:$M$2004,MATCH($A486,Workers!$A$5:$A$2004,0))))</f>
        <v/>
      </c>
      <c r="K486" s="26" t="str">
        <f aca="false">IF($A486="","",IF(D486="Monthly",ROUND(MAX(0,(I486+J486)-(I486+J486)/Settings!$B$10*H486),2),0))</f>
        <v/>
      </c>
      <c r="L486" s="26" t="str">
        <f aca="false">IF($A486="","",IF(D486="Hourly",ROUND(F486*N(INDEX(Workers!$N$5:$N$2004,MATCH($A486,Workers!$A$5:$A$2004,0))),2),0))</f>
        <v/>
      </c>
      <c r="M486" s="26" t="str">
        <f aca="false">IF($A486="","",ROUND(G486*IF(D486="Hourly",N(INDEX(Workers!$N$5:$N$2004,MATCH($A486,Workers!$A$5:$A$2004,0))),I486/Settings!$B$10/Settings!$B$12)*Settings!$B$13,2))</f>
        <v/>
      </c>
      <c r="N486" s="26" t="str">
        <f aca="false">IF($A486="","",K486+L486+M486)</f>
        <v/>
      </c>
      <c r="O486" s="26" t="str">
        <f aca="false">IF($A486="","",SUMIFS(Deductions!$D$5:$D$2000,Deductions!$B$5:$B$2000,$A486,Deductions!$C$5:$C$2000,"Advance",Deductions!$E$5:$E$2000,"&gt;="&amp;Settings!$B$8,Deductions!$E$5:$E$2000,"&lt;="&amp;Settings!$B$9))</f>
        <v/>
      </c>
      <c r="P486" s="26" t="str">
        <f aca="false">IF($A486="","",SUMIFS(Deductions!$D$5:$D$2000,Deductions!$B$5:$B$2000,$A486,Deductions!$E$5:$E$2000,"&gt;="&amp;Settings!$B$8,Deductions!$E$5:$E$2000,"&lt;="&amp;Settings!$B$9)-O486)</f>
        <v/>
      </c>
      <c r="Q486" s="26" t="str">
        <f aca="false">IF($A486="","",O486+P486)</f>
        <v/>
      </c>
      <c r="R486" s="23" t="str">
        <f aca="false">IF($A486="","",N486-Q486)</f>
        <v/>
      </c>
      <c r="S486" s="24" t="str">
        <f aca="false">IF($A486="","",INDEX(Workers!$O$5:$O$2004,MATCH($A486,Workers!$A$5:$A$2004,0))&amp;"")</f>
        <v/>
      </c>
      <c r="T486" s="24" t="str">
        <f aca="false">IF($A486="","",INDEX(Workers!$P$5:$P$2004,MATCH($A486,Workers!$A$5:$A$2004,0))&amp;"")</f>
        <v/>
      </c>
      <c r="U486" s="24" t="str">
        <f aca="false">IF($A486="","",INDEX(Workers!$H$5:$H$2004,MATCH($A486,Workers!$A$5:$A$2004,0))&amp;"")</f>
        <v/>
      </c>
    </row>
    <row r="487" customFormat="false" ht="15" hidden="false" customHeight="false" outlineLevel="0" collapsed="false">
      <c r="A487" s="24" t="str">
        <f aca="false">IFERROR(INDEX(Workers!$A$5:$A$2004,MATCH(ROW()-4,Workers!$U$5:$U$2004,0)),"")</f>
        <v/>
      </c>
      <c r="B487" s="24" t="str">
        <f aca="false">IF($A487="","",INDEX(Workers!$B$5:$B$2004,MATCH($A487,Workers!$A$5:$A$2004,0)))</f>
        <v/>
      </c>
      <c r="C487" s="24" t="str">
        <f aca="false">IF($A487="","",INDEX(Workers!$E$5:$E$2004,MATCH($A487,Workers!$A$5:$A$2004,0)))</f>
        <v/>
      </c>
      <c r="D487" s="24" t="str">
        <f aca="false">IF($A487="","",INDEX(Workers!$K$5:$K$2004,MATCH($A487,Workers!$A$5:$A$2004,0)))</f>
        <v/>
      </c>
      <c r="E487" s="25" t="str">
        <f aca="false">IF($A487="","",SUMIFS(Timesheet!$E$5:$E$3004,Timesheet!$D$5:$D$3004,$A487,Timesheet!$A$5:$A$3004,"&gt;="&amp;Settings!$B$8,Timesheet!$A$5:$A$3004,"&lt;="&amp;Settings!$B$9))</f>
        <v/>
      </c>
      <c r="F487" s="25" t="str">
        <f aca="false">IF($A487="","",SUMIFS(Timesheet!$F$5:$F$3004,Timesheet!$D$5:$D$3004,$A487,Timesheet!$A$5:$A$3004,"&gt;="&amp;Settings!$B$8,Timesheet!$A$5:$A$3004,"&lt;="&amp;Settings!$B$9))</f>
        <v/>
      </c>
      <c r="G487" s="25" t="str">
        <f aca="false">IF($A487="","",SUMIFS(Timesheet!$G$5:$G$3004,Timesheet!$D$5:$D$3004,$A487,Timesheet!$A$5:$A$3004,"&gt;="&amp;Settings!$B$8,Timesheet!$A$5:$A$3004,"&lt;="&amp;Settings!$B$9))</f>
        <v/>
      </c>
      <c r="H487" s="25" t="str">
        <f aca="false">IF($A487="","",IF(D487="Monthly",MAX(0,Settings!$B$11-E487),0))</f>
        <v/>
      </c>
      <c r="I487" s="26" t="str">
        <f aca="false">IF($A487="","",N(INDEX(Workers!$L$5:$L$2004,MATCH($A487,Workers!$A$5:$A$2004,0))))</f>
        <v/>
      </c>
      <c r="J487" s="26" t="str">
        <f aca="false">IF($A487="","",N(INDEX(Workers!$M$5:$M$2004,MATCH($A487,Workers!$A$5:$A$2004,0))))</f>
        <v/>
      </c>
      <c r="K487" s="26" t="str">
        <f aca="false">IF($A487="","",IF(D487="Monthly",ROUND(MAX(0,(I487+J487)-(I487+J487)/Settings!$B$10*H487),2),0))</f>
        <v/>
      </c>
      <c r="L487" s="26" t="str">
        <f aca="false">IF($A487="","",IF(D487="Hourly",ROUND(F487*N(INDEX(Workers!$N$5:$N$2004,MATCH($A487,Workers!$A$5:$A$2004,0))),2),0))</f>
        <v/>
      </c>
      <c r="M487" s="26" t="str">
        <f aca="false">IF($A487="","",ROUND(G487*IF(D487="Hourly",N(INDEX(Workers!$N$5:$N$2004,MATCH($A487,Workers!$A$5:$A$2004,0))),I487/Settings!$B$10/Settings!$B$12)*Settings!$B$13,2))</f>
        <v/>
      </c>
      <c r="N487" s="26" t="str">
        <f aca="false">IF($A487="","",K487+L487+M487)</f>
        <v/>
      </c>
      <c r="O487" s="26" t="str">
        <f aca="false">IF($A487="","",SUMIFS(Deductions!$D$5:$D$2000,Deductions!$B$5:$B$2000,$A487,Deductions!$C$5:$C$2000,"Advance",Deductions!$E$5:$E$2000,"&gt;="&amp;Settings!$B$8,Deductions!$E$5:$E$2000,"&lt;="&amp;Settings!$B$9))</f>
        <v/>
      </c>
      <c r="P487" s="26" t="str">
        <f aca="false">IF($A487="","",SUMIFS(Deductions!$D$5:$D$2000,Deductions!$B$5:$B$2000,$A487,Deductions!$E$5:$E$2000,"&gt;="&amp;Settings!$B$8,Deductions!$E$5:$E$2000,"&lt;="&amp;Settings!$B$9)-O487)</f>
        <v/>
      </c>
      <c r="Q487" s="26" t="str">
        <f aca="false">IF($A487="","",O487+P487)</f>
        <v/>
      </c>
      <c r="R487" s="23" t="str">
        <f aca="false">IF($A487="","",N487-Q487)</f>
        <v/>
      </c>
      <c r="S487" s="24" t="str">
        <f aca="false">IF($A487="","",INDEX(Workers!$O$5:$O$2004,MATCH($A487,Workers!$A$5:$A$2004,0))&amp;"")</f>
        <v/>
      </c>
      <c r="T487" s="24" t="str">
        <f aca="false">IF($A487="","",INDEX(Workers!$P$5:$P$2004,MATCH($A487,Workers!$A$5:$A$2004,0))&amp;"")</f>
        <v/>
      </c>
      <c r="U487" s="24" t="str">
        <f aca="false">IF($A487="","",INDEX(Workers!$H$5:$H$2004,MATCH($A487,Workers!$A$5:$A$2004,0))&amp;"")</f>
        <v/>
      </c>
    </row>
    <row r="488" customFormat="false" ht="15" hidden="false" customHeight="false" outlineLevel="0" collapsed="false">
      <c r="A488" s="24" t="str">
        <f aca="false">IFERROR(INDEX(Workers!$A$5:$A$2004,MATCH(ROW()-4,Workers!$U$5:$U$2004,0)),"")</f>
        <v/>
      </c>
      <c r="B488" s="24" t="str">
        <f aca="false">IF($A488="","",INDEX(Workers!$B$5:$B$2004,MATCH($A488,Workers!$A$5:$A$2004,0)))</f>
        <v/>
      </c>
      <c r="C488" s="24" t="str">
        <f aca="false">IF($A488="","",INDEX(Workers!$E$5:$E$2004,MATCH($A488,Workers!$A$5:$A$2004,0)))</f>
        <v/>
      </c>
      <c r="D488" s="24" t="str">
        <f aca="false">IF($A488="","",INDEX(Workers!$K$5:$K$2004,MATCH($A488,Workers!$A$5:$A$2004,0)))</f>
        <v/>
      </c>
      <c r="E488" s="25" t="str">
        <f aca="false">IF($A488="","",SUMIFS(Timesheet!$E$5:$E$3004,Timesheet!$D$5:$D$3004,$A488,Timesheet!$A$5:$A$3004,"&gt;="&amp;Settings!$B$8,Timesheet!$A$5:$A$3004,"&lt;="&amp;Settings!$B$9))</f>
        <v/>
      </c>
      <c r="F488" s="25" t="str">
        <f aca="false">IF($A488="","",SUMIFS(Timesheet!$F$5:$F$3004,Timesheet!$D$5:$D$3004,$A488,Timesheet!$A$5:$A$3004,"&gt;="&amp;Settings!$B$8,Timesheet!$A$5:$A$3004,"&lt;="&amp;Settings!$B$9))</f>
        <v/>
      </c>
      <c r="G488" s="25" t="str">
        <f aca="false">IF($A488="","",SUMIFS(Timesheet!$G$5:$G$3004,Timesheet!$D$5:$D$3004,$A488,Timesheet!$A$5:$A$3004,"&gt;="&amp;Settings!$B$8,Timesheet!$A$5:$A$3004,"&lt;="&amp;Settings!$B$9))</f>
        <v/>
      </c>
      <c r="H488" s="25" t="str">
        <f aca="false">IF($A488="","",IF(D488="Monthly",MAX(0,Settings!$B$11-E488),0))</f>
        <v/>
      </c>
      <c r="I488" s="26" t="str">
        <f aca="false">IF($A488="","",N(INDEX(Workers!$L$5:$L$2004,MATCH($A488,Workers!$A$5:$A$2004,0))))</f>
        <v/>
      </c>
      <c r="J488" s="26" t="str">
        <f aca="false">IF($A488="","",N(INDEX(Workers!$M$5:$M$2004,MATCH($A488,Workers!$A$5:$A$2004,0))))</f>
        <v/>
      </c>
      <c r="K488" s="26" t="str">
        <f aca="false">IF($A488="","",IF(D488="Monthly",ROUND(MAX(0,(I488+J488)-(I488+J488)/Settings!$B$10*H488),2),0))</f>
        <v/>
      </c>
      <c r="L488" s="26" t="str">
        <f aca="false">IF($A488="","",IF(D488="Hourly",ROUND(F488*N(INDEX(Workers!$N$5:$N$2004,MATCH($A488,Workers!$A$5:$A$2004,0))),2),0))</f>
        <v/>
      </c>
      <c r="M488" s="26" t="str">
        <f aca="false">IF($A488="","",ROUND(G488*IF(D488="Hourly",N(INDEX(Workers!$N$5:$N$2004,MATCH($A488,Workers!$A$5:$A$2004,0))),I488/Settings!$B$10/Settings!$B$12)*Settings!$B$13,2))</f>
        <v/>
      </c>
      <c r="N488" s="26" t="str">
        <f aca="false">IF($A488="","",K488+L488+M488)</f>
        <v/>
      </c>
      <c r="O488" s="26" t="str">
        <f aca="false">IF($A488="","",SUMIFS(Deductions!$D$5:$D$2000,Deductions!$B$5:$B$2000,$A488,Deductions!$C$5:$C$2000,"Advance",Deductions!$E$5:$E$2000,"&gt;="&amp;Settings!$B$8,Deductions!$E$5:$E$2000,"&lt;="&amp;Settings!$B$9))</f>
        <v/>
      </c>
      <c r="P488" s="26" t="str">
        <f aca="false">IF($A488="","",SUMIFS(Deductions!$D$5:$D$2000,Deductions!$B$5:$B$2000,$A488,Deductions!$E$5:$E$2000,"&gt;="&amp;Settings!$B$8,Deductions!$E$5:$E$2000,"&lt;="&amp;Settings!$B$9)-O488)</f>
        <v/>
      </c>
      <c r="Q488" s="26" t="str">
        <f aca="false">IF($A488="","",O488+P488)</f>
        <v/>
      </c>
      <c r="R488" s="23" t="str">
        <f aca="false">IF($A488="","",N488-Q488)</f>
        <v/>
      </c>
      <c r="S488" s="24" t="str">
        <f aca="false">IF($A488="","",INDEX(Workers!$O$5:$O$2004,MATCH($A488,Workers!$A$5:$A$2004,0))&amp;"")</f>
        <v/>
      </c>
      <c r="T488" s="24" t="str">
        <f aca="false">IF($A488="","",INDEX(Workers!$P$5:$P$2004,MATCH($A488,Workers!$A$5:$A$2004,0))&amp;"")</f>
        <v/>
      </c>
      <c r="U488" s="24" t="str">
        <f aca="false">IF($A488="","",INDEX(Workers!$H$5:$H$2004,MATCH($A488,Workers!$A$5:$A$2004,0))&amp;"")</f>
        <v/>
      </c>
    </row>
    <row r="489" customFormat="false" ht="15" hidden="false" customHeight="false" outlineLevel="0" collapsed="false">
      <c r="A489" s="24" t="str">
        <f aca="false">IFERROR(INDEX(Workers!$A$5:$A$2004,MATCH(ROW()-4,Workers!$U$5:$U$2004,0)),"")</f>
        <v/>
      </c>
      <c r="B489" s="24" t="str">
        <f aca="false">IF($A489="","",INDEX(Workers!$B$5:$B$2004,MATCH($A489,Workers!$A$5:$A$2004,0)))</f>
        <v/>
      </c>
      <c r="C489" s="24" t="str">
        <f aca="false">IF($A489="","",INDEX(Workers!$E$5:$E$2004,MATCH($A489,Workers!$A$5:$A$2004,0)))</f>
        <v/>
      </c>
      <c r="D489" s="24" t="str">
        <f aca="false">IF($A489="","",INDEX(Workers!$K$5:$K$2004,MATCH($A489,Workers!$A$5:$A$2004,0)))</f>
        <v/>
      </c>
      <c r="E489" s="25" t="str">
        <f aca="false">IF($A489="","",SUMIFS(Timesheet!$E$5:$E$3004,Timesheet!$D$5:$D$3004,$A489,Timesheet!$A$5:$A$3004,"&gt;="&amp;Settings!$B$8,Timesheet!$A$5:$A$3004,"&lt;="&amp;Settings!$B$9))</f>
        <v/>
      </c>
      <c r="F489" s="25" t="str">
        <f aca="false">IF($A489="","",SUMIFS(Timesheet!$F$5:$F$3004,Timesheet!$D$5:$D$3004,$A489,Timesheet!$A$5:$A$3004,"&gt;="&amp;Settings!$B$8,Timesheet!$A$5:$A$3004,"&lt;="&amp;Settings!$B$9))</f>
        <v/>
      </c>
      <c r="G489" s="25" t="str">
        <f aca="false">IF($A489="","",SUMIFS(Timesheet!$G$5:$G$3004,Timesheet!$D$5:$D$3004,$A489,Timesheet!$A$5:$A$3004,"&gt;="&amp;Settings!$B$8,Timesheet!$A$5:$A$3004,"&lt;="&amp;Settings!$B$9))</f>
        <v/>
      </c>
      <c r="H489" s="25" t="str">
        <f aca="false">IF($A489="","",IF(D489="Monthly",MAX(0,Settings!$B$11-E489),0))</f>
        <v/>
      </c>
      <c r="I489" s="26" t="str">
        <f aca="false">IF($A489="","",N(INDEX(Workers!$L$5:$L$2004,MATCH($A489,Workers!$A$5:$A$2004,0))))</f>
        <v/>
      </c>
      <c r="J489" s="26" t="str">
        <f aca="false">IF($A489="","",N(INDEX(Workers!$M$5:$M$2004,MATCH($A489,Workers!$A$5:$A$2004,0))))</f>
        <v/>
      </c>
      <c r="K489" s="26" t="str">
        <f aca="false">IF($A489="","",IF(D489="Monthly",ROUND(MAX(0,(I489+J489)-(I489+J489)/Settings!$B$10*H489),2),0))</f>
        <v/>
      </c>
      <c r="L489" s="26" t="str">
        <f aca="false">IF($A489="","",IF(D489="Hourly",ROUND(F489*N(INDEX(Workers!$N$5:$N$2004,MATCH($A489,Workers!$A$5:$A$2004,0))),2),0))</f>
        <v/>
      </c>
      <c r="M489" s="26" t="str">
        <f aca="false">IF($A489="","",ROUND(G489*IF(D489="Hourly",N(INDEX(Workers!$N$5:$N$2004,MATCH($A489,Workers!$A$5:$A$2004,0))),I489/Settings!$B$10/Settings!$B$12)*Settings!$B$13,2))</f>
        <v/>
      </c>
      <c r="N489" s="26" t="str">
        <f aca="false">IF($A489="","",K489+L489+M489)</f>
        <v/>
      </c>
      <c r="O489" s="26" t="str">
        <f aca="false">IF($A489="","",SUMIFS(Deductions!$D$5:$D$2000,Deductions!$B$5:$B$2000,$A489,Deductions!$C$5:$C$2000,"Advance",Deductions!$E$5:$E$2000,"&gt;="&amp;Settings!$B$8,Deductions!$E$5:$E$2000,"&lt;="&amp;Settings!$B$9))</f>
        <v/>
      </c>
      <c r="P489" s="26" t="str">
        <f aca="false">IF($A489="","",SUMIFS(Deductions!$D$5:$D$2000,Deductions!$B$5:$B$2000,$A489,Deductions!$E$5:$E$2000,"&gt;="&amp;Settings!$B$8,Deductions!$E$5:$E$2000,"&lt;="&amp;Settings!$B$9)-O489)</f>
        <v/>
      </c>
      <c r="Q489" s="26" t="str">
        <f aca="false">IF($A489="","",O489+P489)</f>
        <v/>
      </c>
      <c r="R489" s="23" t="str">
        <f aca="false">IF($A489="","",N489-Q489)</f>
        <v/>
      </c>
      <c r="S489" s="24" t="str">
        <f aca="false">IF($A489="","",INDEX(Workers!$O$5:$O$2004,MATCH($A489,Workers!$A$5:$A$2004,0))&amp;"")</f>
        <v/>
      </c>
      <c r="T489" s="24" t="str">
        <f aca="false">IF($A489="","",INDEX(Workers!$P$5:$P$2004,MATCH($A489,Workers!$A$5:$A$2004,0))&amp;"")</f>
        <v/>
      </c>
      <c r="U489" s="24" t="str">
        <f aca="false">IF($A489="","",INDEX(Workers!$H$5:$H$2004,MATCH($A489,Workers!$A$5:$A$2004,0))&amp;"")</f>
        <v/>
      </c>
    </row>
    <row r="490" customFormat="false" ht="15" hidden="false" customHeight="false" outlineLevel="0" collapsed="false">
      <c r="A490" s="24" t="str">
        <f aca="false">IFERROR(INDEX(Workers!$A$5:$A$2004,MATCH(ROW()-4,Workers!$U$5:$U$2004,0)),"")</f>
        <v/>
      </c>
      <c r="B490" s="24" t="str">
        <f aca="false">IF($A490="","",INDEX(Workers!$B$5:$B$2004,MATCH($A490,Workers!$A$5:$A$2004,0)))</f>
        <v/>
      </c>
      <c r="C490" s="24" t="str">
        <f aca="false">IF($A490="","",INDEX(Workers!$E$5:$E$2004,MATCH($A490,Workers!$A$5:$A$2004,0)))</f>
        <v/>
      </c>
      <c r="D490" s="24" t="str">
        <f aca="false">IF($A490="","",INDEX(Workers!$K$5:$K$2004,MATCH($A490,Workers!$A$5:$A$2004,0)))</f>
        <v/>
      </c>
      <c r="E490" s="25" t="str">
        <f aca="false">IF($A490="","",SUMIFS(Timesheet!$E$5:$E$3004,Timesheet!$D$5:$D$3004,$A490,Timesheet!$A$5:$A$3004,"&gt;="&amp;Settings!$B$8,Timesheet!$A$5:$A$3004,"&lt;="&amp;Settings!$B$9))</f>
        <v/>
      </c>
      <c r="F490" s="25" t="str">
        <f aca="false">IF($A490="","",SUMIFS(Timesheet!$F$5:$F$3004,Timesheet!$D$5:$D$3004,$A490,Timesheet!$A$5:$A$3004,"&gt;="&amp;Settings!$B$8,Timesheet!$A$5:$A$3004,"&lt;="&amp;Settings!$B$9))</f>
        <v/>
      </c>
      <c r="G490" s="25" t="str">
        <f aca="false">IF($A490="","",SUMIFS(Timesheet!$G$5:$G$3004,Timesheet!$D$5:$D$3004,$A490,Timesheet!$A$5:$A$3004,"&gt;="&amp;Settings!$B$8,Timesheet!$A$5:$A$3004,"&lt;="&amp;Settings!$B$9))</f>
        <v/>
      </c>
      <c r="H490" s="25" t="str">
        <f aca="false">IF($A490="","",IF(D490="Monthly",MAX(0,Settings!$B$11-E490),0))</f>
        <v/>
      </c>
      <c r="I490" s="26" t="str">
        <f aca="false">IF($A490="","",N(INDEX(Workers!$L$5:$L$2004,MATCH($A490,Workers!$A$5:$A$2004,0))))</f>
        <v/>
      </c>
      <c r="J490" s="26" t="str">
        <f aca="false">IF($A490="","",N(INDEX(Workers!$M$5:$M$2004,MATCH($A490,Workers!$A$5:$A$2004,0))))</f>
        <v/>
      </c>
      <c r="K490" s="26" t="str">
        <f aca="false">IF($A490="","",IF(D490="Monthly",ROUND(MAX(0,(I490+J490)-(I490+J490)/Settings!$B$10*H490),2),0))</f>
        <v/>
      </c>
      <c r="L490" s="26" t="str">
        <f aca="false">IF($A490="","",IF(D490="Hourly",ROUND(F490*N(INDEX(Workers!$N$5:$N$2004,MATCH($A490,Workers!$A$5:$A$2004,0))),2),0))</f>
        <v/>
      </c>
      <c r="M490" s="26" t="str">
        <f aca="false">IF($A490="","",ROUND(G490*IF(D490="Hourly",N(INDEX(Workers!$N$5:$N$2004,MATCH($A490,Workers!$A$5:$A$2004,0))),I490/Settings!$B$10/Settings!$B$12)*Settings!$B$13,2))</f>
        <v/>
      </c>
      <c r="N490" s="26" t="str">
        <f aca="false">IF($A490="","",K490+L490+M490)</f>
        <v/>
      </c>
      <c r="O490" s="26" t="str">
        <f aca="false">IF($A490="","",SUMIFS(Deductions!$D$5:$D$2000,Deductions!$B$5:$B$2000,$A490,Deductions!$C$5:$C$2000,"Advance",Deductions!$E$5:$E$2000,"&gt;="&amp;Settings!$B$8,Deductions!$E$5:$E$2000,"&lt;="&amp;Settings!$B$9))</f>
        <v/>
      </c>
      <c r="P490" s="26" t="str">
        <f aca="false">IF($A490="","",SUMIFS(Deductions!$D$5:$D$2000,Deductions!$B$5:$B$2000,$A490,Deductions!$E$5:$E$2000,"&gt;="&amp;Settings!$B$8,Deductions!$E$5:$E$2000,"&lt;="&amp;Settings!$B$9)-O490)</f>
        <v/>
      </c>
      <c r="Q490" s="26" t="str">
        <f aca="false">IF($A490="","",O490+P490)</f>
        <v/>
      </c>
      <c r="R490" s="23" t="str">
        <f aca="false">IF($A490="","",N490-Q490)</f>
        <v/>
      </c>
      <c r="S490" s="24" t="str">
        <f aca="false">IF($A490="","",INDEX(Workers!$O$5:$O$2004,MATCH($A490,Workers!$A$5:$A$2004,0))&amp;"")</f>
        <v/>
      </c>
      <c r="T490" s="24" t="str">
        <f aca="false">IF($A490="","",INDEX(Workers!$P$5:$P$2004,MATCH($A490,Workers!$A$5:$A$2004,0))&amp;"")</f>
        <v/>
      </c>
      <c r="U490" s="24" t="str">
        <f aca="false">IF($A490="","",INDEX(Workers!$H$5:$H$2004,MATCH($A490,Workers!$A$5:$A$2004,0))&amp;"")</f>
        <v/>
      </c>
    </row>
    <row r="491" customFormat="false" ht="15" hidden="false" customHeight="false" outlineLevel="0" collapsed="false">
      <c r="A491" s="24" t="str">
        <f aca="false">IFERROR(INDEX(Workers!$A$5:$A$2004,MATCH(ROW()-4,Workers!$U$5:$U$2004,0)),"")</f>
        <v/>
      </c>
      <c r="B491" s="24" t="str">
        <f aca="false">IF($A491="","",INDEX(Workers!$B$5:$B$2004,MATCH($A491,Workers!$A$5:$A$2004,0)))</f>
        <v/>
      </c>
      <c r="C491" s="24" t="str">
        <f aca="false">IF($A491="","",INDEX(Workers!$E$5:$E$2004,MATCH($A491,Workers!$A$5:$A$2004,0)))</f>
        <v/>
      </c>
      <c r="D491" s="24" t="str">
        <f aca="false">IF($A491="","",INDEX(Workers!$K$5:$K$2004,MATCH($A491,Workers!$A$5:$A$2004,0)))</f>
        <v/>
      </c>
      <c r="E491" s="25" t="str">
        <f aca="false">IF($A491="","",SUMIFS(Timesheet!$E$5:$E$3004,Timesheet!$D$5:$D$3004,$A491,Timesheet!$A$5:$A$3004,"&gt;="&amp;Settings!$B$8,Timesheet!$A$5:$A$3004,"&lt;="&amp;Settings!$B$9))</f>
        <v/>
      </c>
      <c r="F491" s="25" t="str">
        <f aca="false">IF($A491="","",SUMIFS(Timesheet!$F$5:$F$3004,Timesheet!$D$5:$D$3004,$A491,Timesheet!$A$5:$A$3004,"&gt;="&amp;Settings!$B$8,Timesheet!$A$5:$A$3004,"&lt;="&amp;Settings!$B$9))</f>
        <v/>
      </c>
      <c r="G491" s="25" t="str">
        <f aca="false">IF($A491="","",SUMIFS(Timesheet!$G$5:$G$3004,Timesheet!$D$5:$D$3004,$A491,Timesheet!$A$5:$A$3004,"&gt;="&amp;Settings!$B$8,Timesheet!$A$5:$A$3004,"&lt;="&amp;Settings!$B$9))</f>
        <v/>
      </c>
      <c r="H491" s="25" t="str">
        <f aca="false">IF($A491="","",IF(D491="Monthly",MAX(0,Settings!$B$11-E491),0))</f>
        <v/>
      </c>
      <c r="I491" s="26" t="str">
        <f aca="false">IF($A491="","",N(INDEX(Workers!$L$5:$L$2004,MATCH($A491,Workers!$A$5:$A$2004,0))))</f>
        <v/>
      </c>
      <c r="J491" s="26" t="str">
        <f aca="false">IF($A491="","",N(INDEX(Workers!$M$5:$M$2004,MATCH($A491,Workers!$A$5:$A$2004,0))))</f>
        <v/>
      </c>
      <c r="K491" s="26" t="str">
        <f aca="false">IF($A491="","",IF(D491="Monthly",ROUND(MAX(0,(I491+J491)-(I491+J491)/Settings!$B$10*H491),2),0))</f>
        <v/>
      </c>
      <c r="L491" s="26" t="str">
        <f aca="false">IF($A491="","",IF(D491="Hourly",ROUND(F491*N(INDEX(Workers!$N$5:$N$2004,MATCH($A491,Workers!$A$5:$A$2004,0))),2),0))</f>
        <v/>
      </c>
      <c r="M491" s="26" t="str">
        <f aca="false">IF($A491="","",ROUND(G491*IF(D491="Hourly",N(INDEX(Workers!$N$5:$N$2004,MATCH($A491,Workers!$A$5:$A$2004,0))),I491/Settings!$B$10/Settings!$B$12)*Settings!$B$13,2))</f>
        <v/>
      </c>
      <c r="N491" s="26" t="str">
        <f aca="false">IF($A491="","",K491+L491+M491)</f>
        <v/>
      </c>
      <c r="O491" s="26" t="str">
        <f aca="false">IF($A491="","",SUMIFS(Deductions!$D$5:$D$2000,Deductions!$B$5:$B$2000,$A491,Deductions!$C$5:$C$2000,"Advance",Deductions!$E$5:$E$2000,"&gt;="&amp;Settings!$B$8,Deductions!$E$5:$E$2000,"&lt;="&amp;Settings!$B$9))</f>
        <v/>
      </c>
      <c r="P491" s="26" t="str">
        <f aca="false">IF($A491="","",SUMIFS(Deductions!$D$5:$D$2000,Deductions!$B$5:$B$2000,$A491,Deductions!$E$5:$E$2000,"&gt;="&amp;Settings!$B$8,Deductions!$E$5:$E$2000,"&lt;="&amp;Settings!$B$9)-O491)</f>
        <v/>
      </c>
      <c r="Q491" s="26" t="str">
        <f aca="false">IF($A491="","",O491+P491)</f>
        <v/>
      </c>
      <c r="R491" s="23" t="str">
        <f aca="false">IF($A491="","",N491-Q491)</f>
        <v/>
      </c>
      <c r="S491" s="24" t="str">
        <f aca="false">IF($A491="","",INDEX(Workers!$O$5:$O$2004,MATCH($A491,Workers!$A$5:$A$2004,0))&amp;"")</f>
        <v/>
      </c>
      <c r="T491" s="24" t="str">
        <f aca="false">IF($A491="","",INDEX(Workers!$P$5:$P$2004,MATCH($A491,Workers!$A$5:$A$2004,0))&amp;"")</f>
        <v/>
      </c>
      <c r="U491" s="24" t="str">
        <f aca="false">IF($A491="","",INDEX(Workers!$H$5:$H$2004,MATCH($A491,Workers!$A$5:$A$2004,0))&amp;"")</f>
        <v/>
      </c>
    </row>
    <row r="492" customFormat="false" ht="15" hidden="false" customHeight="false" outlineLevel="0" collapsed="false">
      <c r="A492" s="24" t="str">
        <f aca="false">IFERROR(INDEX(Workers!$A$5:$A$2004,MATCH(ROW()-4,Workers!$U$5:$U$2004,0)),"")</f>
        <v/>
      </c>
      <c r="B492" s="24" t="str">
        <f aca="false">IF($A492="","",INDEX(Workers!$B$5:$B$2004,MATCH($A492,Workers!$A$5:$A$2004,0)))</f>
        <v/>
      </c>
      <c r="C492" s="24" t="str">
        <f aca="false">IF($A492="","",INDEX(Workers!$E$5:$E$2004,MATCH($A492,Workers!$A$5:$A$2004,0)))</f>
        <v/>
      </c>
      <c r="D492" s="24" t="str">
        <f aca="false">IF($A492="","",INDEX(Workers!$K$5:$K$2004,MATCH($A492,Workers!$A$5:$A$2004,0)))</f>
        <v/>
      </c>
      <c r="E492" s="25" t="str">
        <f aca="false">IF($A492="","",SUMIFS(Timesheet!$E$5:$E$3004,Timesheet!$D$5:$D$3004,$A492,Timesheet!$A$5:$A$3004,"&gt;="&amp;Settings!$B$8,Timesheet!$A$5:$A$3004,"&lt;="&amp;Settings!$B$9))</f>
        <v/>
      </c>
      <c r="F492" s="25" t="str">
        <f aca="false">IF($A492="","",SUMIFS(Timesheet!$F$5:$F$3004,Timesheet!$D$5:$D$3004,$A492,Timesheet!$A$5:$A$3004,"&gt;="&amp;Settings!$B$8,Timesheet!$A$5:$A$3004,"&lt;="&amp;Settings!$B$9))</f>
        <v/>
      </c>
      <c r="G492" s="25" t="str">
        <f aca="false">IF($A492="","",SUMIFS(Timesheet!$G$5:$G$3004,Timesheet!$D$5:$D$3004,$A492,Timesheet!$A$5:$A$3004,"&gt;="&amp;Settings!$B$8,Timesheet!$A$5:$A$3004,"&lt;="&amp;Settings!$B$9))</f>
        <v/>
      </c>
      <c r="H492" s="25" t="str">
        <f aca="false">IF($A492="","",IF(D492="Monthly",MAX(0,Settings!$B$11-E492),0))</f>
        <v/>
      </c>
      <c r="I492" s="26" t="str">
        <f aca="false">IF($A492="","",N(INDEX(Workers!$L$5:$L$2004,MATCH($A492,Workers!$A$5:$A$2004,0))))</f>
        <v/>
      </c>
      <c r="J492" s="26" t="str">
        <f aca="false">IF($A492="","",N(INDEX(Workers!$M$5:$M$2004,MATCH($A492,Workers!$A$5:$A$2004,0))))</f>
        <v/>
      </c>
      <c r="K492" s="26" t="str">
        <f aca="false">IF($A492="","",IF(D492="Monthly",ROUND(MAX(0,(I492+J492)-(I492+J492)/Settings!$B$10*H492),2),0))</f>
        <v/>
      </c>
      <c r="L492" s="26" t="str">
        <f aca="false">IF($A492="","",IF(D492="Hourly",ROUND(F492*N(INDEX(Workers!$N$5:$N$2004,MATCH($A492,Workers!$A$5:$A$2004,0))),2),0))</f>
        <v/>
      </c>
      <c r="M492" s="26" t="str">
        <f aca="false">IF($A492="","",ROUND(G492*IF(D492="Hourly",N(INDEX(Workers!$N$5:$N$2004,MATCH($A492,Workers!$A$5:$A$2004,0))),I492/Settings!$B$10/Settings!$B$12)*Settings!$B$13,2))</f>
        <v/>
      </c>
      <c r="N492" s="26" t="str">
        <f aca="false">IF($A492="","",K492+L492+M492)</f>
        <v/>
      </c>
      <c r="O492" s="26" t="str">
        <f aca="false">IF($A492="","",SUMIFS(Deductions!$D$5:$D$2000,Deductions!$B$5:$B$2000,$A492,Deductions!$C$5:$C$2000,"Advance",Deductions!$E$5:$E$2000,"&gt;="&amp;Settings!$B$8,Deductions!$E$5:$E$2000,"&lt;="&amp;Settings!$B$9))</f>
        <v/>
      </c>
      <c r="P492" s="26" t="str">
        <f aca="false">IF($A492="","",SUMIFS(Deductions!$D$5:$D$2000,Deductions!$B$5:$B$2000,$A492,Deductions!$E$5:$E$2000,"&gt;="&amp;Settings!$B$8,Deductions!$E$5:$E$2000,"&lt;="&amp;Settings!$B$9)-O492)</f>
        <v/>
      </c>
      <c r="Q492" s="26" t="str">
        <f aca="false">IF($A492="","",O492+P492)</f>
        <v/>
      </c>
      <c r="R492" s="23" t="str">
        <f aca="false">IF($A492="","",N492-Q492)</f>
        <v/>
      </c>
      <c r="S492" s="24" t="str">
        <f aca="false">IF($A492="","",INDEX(Workers!$O$5:$O$2004,MATCH($A492,Workers!$A$5:$A$2004,0))&amp;"")</f>
        <v/>
      </c>
      <c r="T492" s="24" t="str">
        <f aca="false">IF($A492="","",INDEX(Workers!$P$5:$P$2004,MATCH($A492,Workers!$A$5:$A$2004,0))&amp;"")</f>
        <v/>
      </c>
      <c r="U492" s="24" t="str">
        <f aca="false">IF($A492="","",INDEX(Workers!$H$5:$H$2004,MATCH($A492,Workers!$A$5:$A$2004,0))&amp;"")</f>
        <v/>
      </c>
    </row>
    <row r="493" customFormat="false" ht="15" hidden="false" customHeight="false" outlineLevel="0" collapsed="false">
      <c r="A493" s="24" t="str">
        <f aca="false">IFERROR(INDEX(Workers!$A$5:$A$2004,MATCH(ROW()-4,Workers!$U$5:$U$2004,0)),"")</f>
        <v/>
      </c>
      <c r="B493" s="24" t="str">
        <f aca="false">IF($A493="","",INDEX(Workers!$B$5:$B$2004,MATCH($A493,Workers!$A$5:$A$2004,0)))</f>
        <v/>
      </c>
      <c r="C493" s="24" t="str">
        <f aca="false">IF($A493="","",INDEX(Workers!$E$5:$E$2004,MATCH($A493,Workers!$A$5:$A$2004,0)))</f>
        <v/>
      </c>
      <c r="D493" s="24" t="str">
        <f aca="false">IF($A493="","",INDEX(Workers!$K$5:$K$2004,MATCH($A493,Workers!$A$5:$A$2004,0)))</f>
        <v/>
      </c>
      <c r="E493" s="25" t="str">
        <f aca="false">IF($A493="","",SUMIFS(Timesheet!$E$5:$E$3004,Timesheet!$D$5:$D$3004,$A493,Timesheet!$A$5:$A$3004,"&gt;="&amp;Settings!$B$8,Timesheet!$A$5:$A$3004,"&lt;="&amp;Settings!$B$9))</f>
        <v/>
      </c>
      <c r="F493" s="25" t="str">
        <f aca="false">IF($A493="","",SUMIFS(Timesheet!$F$5:$F$3004,Timesheet!$D$5:$D$3004,$A493,Timesheet!$A$5:$A$3004,"&gt;="&amp;Settings!$B$8,Timesheet!$A$5:$A$3004,"&lt;="&amp;Settings!$B$9))</f>
        <v/>
      </c>
      <c r="G493" s="25" t="str">
        <f aca="false">IF($A493="","",SUMIFS(Timesheet!$G$5:$G$3004,Timesheet!$D$5:$D$3004,$A493,Timesheet!$A$5:$A$3004,"&gt;="&amp;Settings!$B$8,Timesheet!$A$5:$A$3004,"&lt;="&amp;Settings!$B$9))</f>
        <v/>
      </c>
      <c r="H493" s="25" t="str">
        <f aca="false">IF($A493="","",IF(D493="Monthly",MAX(0,Settings!$B$11-E493),0))</f>
        <v/>
      </c>
      <c r="I493" s="26" t="str">
        <f aca="false">IF($A493="","",N(INDEX(Workers!$L$5:$L$2004,MATCH($A493,Workers!$A$5:$A$2004,0))))</f>
        <v/>
      </c>
      <c r="J493" s="26" t="str">
        <f aca="false">IF($A493="","",N(INDEX(Workers!$M$5:$M$2004,MATCH($A493,Workers!$A$5:$A$2004,0))))</f>
        <v/>
      </c>
      <c r="K493" s="26" t="str">
        <f aca="false">IF($A493="","",IF(D493="Monthly",ROUND(MAX(0,(I493+J493)-(I493+J493)/Settings!$B$10*H493),2),0))</f>
        <v/>
      </c>
      <c r="L493" s="26" t="str">
        <f aca="false">IF($A493="","",IF(D493="Hourly",ROUND(F493*N(INDEX(Workers!$N$5:$N$2004,MATCH($A493,Workers!$A$5:$A$2004,0))),2),0))</f>
        <v/>
      </c>
      <c r="M493" s="26" t="str">
        <f aca="false">IF($A493="","",ROUND(G493*IF(D493="Hourly",N(INDEX(Workers!$N$5:$N$2004,MATCH($A493,Workers!$A$5:$A$2004,0))),I493/Settings!$B$10/Settings!$B$12)*Settings!$B$13,2))</f>
        <v/>
      </c>
      <c r="N493" s="26" t="str">
        <f aca="false">IF($A493="","",K493+L493+M493)</f>
        <v/>
      </c>
      <c r="O493" s="26" t="str">
        <f aca="false">IF($A493="","",SUMIFS(Deductions!$D$5:$D$2000,Deductions!$B$5:$B$2000,$A493,Deductions!$C$5:$C$2000,"Advance",Deductions!$E$5:$E$2000,"&gt;="&amp;Settings!$B$8,Deductions!$E$5:$E$2000,"&lt;="&amp;Settings!$B$9))</f>
        <v/>
      </c>
      <c r="P493" s="26" t="str">
        <f aca="false">IF($A493="","",SUMIFS(Deductions!$D$5:$D$2000,Deductions!$B$5:$B$2000,$A493,Deductions!$E$5:$E$2000,"&gt;="&amp;Settings!$B$8,Deductions!$E$5:$E$2000,"&lt;="&amp;Settings!$B$9)-O493)</f>
        <v/>
      </c>
      <c r="Q493" s="26" t="str">
        <f aca="false">IF($A493="","",O493+P493)</f>
        <v/>
      </c>
      <c r="R493" s="23" t="str">
        <f aca="false">IF($A493="","",N493-Q493)</f>
        <v/>
      </c>
      <c r="S493" s="24" t="str">
        <f aca="false">IF($A493="","",INDEX(Workers!$O$5:$O$2004,MATCH($A493,Workers!$A$5:$A$2004,0))&amp;"")</f>
        <v/>
      </c>
      <c r="T493" s="24" t="str">
        <f aca="false">IF($A493="","",INDEX(Workers!$P$5:$P$2004,MATCH($A493,Workers!$A$5:$A$2004,0))&amp;"")</f>
        <v/>
      </c>
      <c r="U493" s="24" t="str">
        <f aca="false">IF($A493="","",INDEX(Workers!$H$5:$H$2004,MATCH($A493,Workers!$A$5:$A$2004,0))&amp;"")</f>
        <v/>
      </c>
    </row>
    <row r="494" customFormat="false" ht="15" hidden="false" customHeight="false" outlineLevel="0" collapsed="false">
      <c r="A494" s="24" t="str">
        <f aca="false">IFERROR(INDEX(Workers!$A$5:$A$2004,MATCH(ROW()-4,Workers!$U$5:$U$2004,0)),"")</f>
        <v/>
      </c>
      <c r="B494" s="24" t="str">
        <f aca="false">IF($A494="","",INDEX(Workers!$B$5:$B$2004,MATCH($A494,Workers!$A$5:$A$2004,0)))</f>
        <v/>
      </c>
      <c r="C494" s="24" t="str">
        <f aca="false">IF($A494="","",INDEX(Workers!$E$5:$E$2004,MATCH($A494,Workers!$A$5:$A$2004,0)))</f>
        <v/>
      </c>
      <c r="D494" s="24" t="str">
        <f aca="false">IF($A494="","",INDEX(Workers!$K$5:$K$2004,MATCH($A494,Workers!$A$5:$A$2004,0)))</f>
        <v/>
      </c>
      <c r="E494" s="25" t="str">
        <f aca="false">IF($A494="","",SUMIFS(Timesheet!$E$5:$E$3004,Timesheet!$D$5:$D$3004,$A494,Timesheet!$A$5:$A$3004,"&gt;="&amp;Settings!$B$8,Timesheet!$A$5:$A$3004,"&lt;="&amp;Settings!$B$9))</f>
        <v/>
      </c>
      <c r="F494" s="25" t="str">
        <f aca="false">IF($A494="","",SUMIFS(Timesheet!$F$5:$F$3004,Timesheet!$D$5:$D$3004,$A494,Timesheet!$A$5:$A$3004,"&gt;="&amp;Settings!$B$8,Timesheet!$A$5:$A$3004,"&lt;="&amp;Settings!$B$9))</f>
        <v/>
      </c>
      <c r="G494" s="25" t="str">
        <f aca="false">IF($A494="","",SUMIFS(Timesheet!$G$5:$G$3004,Timesheet!$D$5:$D$3004,$A494,Timesheet!$A$5:$A$3004,"&gt;="&amp;Settings!$B$8,Timesheet!$A$5:$A$3004,"&lt;="&amp;Settings!$B$9))</f>
        <v/>
      </c>
      <c r="H494" s="25" t="str">
        <f aca="false">IF($A494="","",IF(D494="Monthly",MAX(0,Settings!$B$11-E494),0))</f>
        <v/>
      </c>
      <c r="I494" s="26" t="str">
        <f aca="false">IF($A494="","",N(INDEX(Workers!$L$5:$L$2004,MATCH($A494,Workers!$A$5:$A$2004,0))))</f>
        <v/>
      </c>
      <c r="J494" s="26" t="str">
        <f aca="false">IF($A494="","",N(INDEX(Workers!$M$5:$M$2004,MATCH($A494,Workers!$A$5:$A$2004,0))))</f>
        <v/>
      </c>
      <c r="K494" s="26" t="str">
        <f aca="false">IF($A494="","",IF(D494="Monthly",ROUND(MAX(0,(I494+J494)-(I494+J494)/Settings!$B$10*H494),2),0))</f>
        <v/>
      </c>
      <c r="L494" s="26" t="str">
        <f aca="false">IF($A494="","",IF(D494="Hourly",ROUND(F494*N(INDEX(Workers!$N$5:$N$2004,MATCH($A494,Workers!$A$5:$A$2004,0))),2),0))</f>
        <v/>
      </c>
      <c r="M494" s="26" t="str">
        <f aca="false">IF($A494="","",ROUND(G494*IF(D494="Hourly",N(INDEX(Workers!$N$5:$N$2004,MATCH($A494,Workers!$A$5:$A$2004,0))),I494/Settings!$B$10/Settings!$B$12)*Settings!$B$13,2))</f>
        <v/>
      </c>
      <c r="N494" s="26" t="str">
        <f aca="false">IF($A494="","",K494+L494+M494)</f>
        <v/>
      </c>
      <c r="O494" s="26" t="str">
        <f aca="false">IF($A494="","",SUMIFS(Deductions!$D$5:$D$2000,Deductions!$B$5:$B$2000,$A494,Deductions!$C$5:$C$2000,"Advance",Deductions!$E$5:$E$2000,"&gt;="&amp;Settings!$B$8,Deductions!$E$5:$E$2000,"&lt;="&amp;Settings!$B$9))</f>
        <v/>
      </c>
      <c r="P494" s="26" t="str">
        <f aca="false">IF($A494="","",SUMIFS(Deductions!$D$5:$D$2000,Deductions!$B$5:$B$2000,$A494,Deductions!$E$5:$E$2000,"&gt;="&amp;Settings!$B$8,Deductions!$E$5:$E$2000,"&lt;="&amp;Settings!$B$9)-O494)</f>
        <v/>
      </c>
      <c r="Q494" s="26" t="str">
        <f aca="false">IF($A494="","",O494+P494)</f>
        <v/>
      </c>
      <c r="R494" s="23" t="str">
        <f aca="false">IF($A494="","",N494-Q494)</f>
        <v/>
      </c>
      <c r="S494" s="24" t="str">
        <f aca="false">IF($A494="","",INDEX(Workers!$O$5:$O$2004,MATCH($A494,Workers!$A$5:$A$2004,0))&amp;"")</f>
        <v/>
      </c>
      <c r="T494" s="24" t="str">
        <f aca="false">IF($A494="","",INDEX(Workers!$P$5:$P$2004,MATCH($A494,Workers!$A$5:$A$2004,0))&amp;"")</f>
        <v/>
      </c>
      <c r="U494" s="24" t="str">
        <f aca="false">IF($A494="","",INDEX(Workers!$H$5:$H$2004,MATCH($A494,Workers!$A$5:$A$2004,0))&amp;"")</f>
        <v/>
      </c>
    </row>
    <row r="495" customFormat="false" ht="15" hidden="false" customHeight="false" outlineLevel="0" collapsed="false">
      <c r="A495" s="24" t="str">
        <f aca="false">IFERROR(INDEX(Workers!$A$5:$A$2004,MATCH(ROW()-4,Workers!$U$5:$U$2004,0)),"")</f>
        <v/>
      </c>
      <c r="B495" s="24" t="str">
        <f aca="false">IF($A495="","",INDEX(Workers!$B$5:$B$2004,MATCH($A495,Workers!$A$5:$A$2004,0)))</f>
        <v/>
      </c>
      <c r="C495" s="24" t="str">
        <f aca="false">IF($A495="","",INDEX(Workers!$E$5:$E$2004,MATCH($A495,Workers!$A$5:$A$2004,0)))</f>
        <v/>
      </c>
      <c r="D495" s="24" t="str">
        <f aca="false">IF($A495="","",INDEX(Workers!$K$5:$K$2004,MATCH($A495,Workers!$A$5:$A$2004,0)))</f>
        <v/>
      </c>
      <c r="E495" s="25" t="str">
        <f aca="false">IF($A495="","",SUMIFS(Timesheet!$E$5:$E$3004,Timesheet!$D$5:$D$3004,$A495,Timesheet!$A$5:$A$3004,"&gt;="&amp;Settings!$B$8,Timesheet!$A$5:$A$3004,"&lt;="&amp;Settings!$B$9))</f>
        <v/>
      </c>
      <c r="F495" s="25" t="str">
        <f aca="false">IF($A495="","",SUMIFS(Timesheet!$F$5:$F$3004,Timesheet!$D$5:$D$3004,$A495,Timesheet!$A$5:$A$3004,"&gt;="&amp;Settings!$B$8,Timesheet!$A$5:$A$3004,"&lt;="&amp;Settings!$B$9))</f>
        <v/>
      </c>
      <c r="G495" s="25" t="str">
        <f aca="false">IF($A495="","",SUMIFS(Timesheet!$G$5:$G$3004,Timesheet!$D$5:$D$3004,$A495,Timesheet!$A$5:$A$3004,"&gt;="&amp;Settings!$B$8,Timesheet!$A$5:$A$3004,"&lt;="&amp;Settings!$B$9))</f>
        <v/>
      </c>
      <c r="H495" s="25" t="str">
        <f aca="false">IF($A495="","",IF(D495="Monthly",MAX(0,Settings!$B$11-E495),0))</f>
        <v/>
      </c>
      <c r="I495" s="26" t="str">
        <f aca="false">IF($A495="","",N(INDEX(Workers!$L$5:$L$2004,MATCH($A495,Workers!$A$5:$A$2004,0))))</f>
        <v/>
      </c>
      <c r="J495" s="26" t="str">
        <f aca="false">IF($A495="","",N(INDEX(Workers!$M$5:$M$2004,MATCH($A495,Workers!$A$5:$A$2004,0))))</f>
        <v/>
      </c>
      <c r="K495" s="26" t="str">
        <f aca="false">IF($A495="","",IF(D495="Monthly",ROUND(MAX(0,(I495+J495)-(I495+J495)/Settings!$B$10*H495),2),0))</f>
        <v/>
      </c>
      <c r="L495" s="26" t="str">
        <f aca="false">IF($A495="","",IF(D495="Hourly",ROUND(F495*N(INDEX(Workers!$N$5:$N$2004,MATCH($A495,Workers!$A$5:$A$2004,0))),2),0))</f>
        <v/>
      </c>
      <c r="M495" s="26" t="str">
        <f aca="false">IF($A495="","",ROUND(G495*IF(D495="Hourly",N(INDEX(Workers!$N$5:$N$2004,MATCH($A495,Workers!$A$5:$A$2004,0))),I495/Settings!$B$10/Settings!$B$12)*Settings!$B$13,2))</f>
        <v/>
      </c>
      <c r="N495" s="26" t="str">
        <f aca="false">IF($A495="","",K495+L495+M495)</f>
        <v/>
      </c>
      <c r="O495" s="26" t="str">
        <f aca="false">IF($A495="","",SUMIFS(Deductions!$D$5:$D$2000,Deductions!$B$5:$B$2000,$A495,Deductions!$C$5:$C$2000,"Advance",Deductions!$E$5:$E$2000,"&gt;="&amp;Settings!$B$8,Deductions!$E$5:$E$2000,"&lt;="&amp;Settings!$B$9))</f>
        <v/>
      </c>
      <c r="P495" s="26" t="str">
        <f aca="false">IF($A495="","",SUMIFS(Deductions!$D$5:$D$2000,Deductions!$B$5:$B$2000,$A495,Deductions!$E$5:$E$2000,"&gt;="&amp;Settings!$B$8,Deductions!$E$5:$E$2000,"&lt;="&amp;Settings!$B$9)-O495)</f>
        <v/>
      </c>
      <c r="Q495" s="26" t="str">
        <f aca="false">IF($A495="","",O495+P495)</f>
        <v/>
      </c>
      <c r="R495" s="23" t="str">
        <f aca="false">IF($A495="","",N495-Q495)</f>
        <v/>
      </c>
      <c r="S495" s="24" t="str">
        <f aca="false">IF($A495="","",INDEX(Workers!$O$5:$O$2004,MATCH($A495,Workers!$A$5:$A$2004,0))&amp;"")</f>
        <v/>
      </c>
      <c r="T495" s="24" t="str">
        <f aca="false">IF($A495="","",INDEX(Workers!$P$5:$P$2004,MATCH($A495,Workers!$A$5:$A$2004,0))&amp;"")</f>
        <v/>
      </c>
      <c r="U495" s="24" t="str">
        <f aca="false">IF($A495="","",INDEX(Workers!$H$5:$H$2004,MATCH($A495,Workers!$A$5:$A$2004,0))&amp;"")</f>
        <v/>
      </c>
    </row>
    <row r="496" customFormat="false" ht="15" hidden="false" customHeight="false" outlineLevel="0" collapsed="false">
      <c r="A496" s="24" t="str">
        <f aca="false">IFERROR(INDEX(Workers!$A$5:$A$2004,MATCH(ROW()-4,Workers!$U$5:$U$2004,0)),"")</f>
        <v/>
      </c>
      <c r="B496" s="24" t="str">
        <f aca="false">IF($A496="","",INDEX(Workers!$B$5:$B$2004,MATCH($A496,Workers!$A$5:$A$2004,0)))</f>
        <v/>
      </c>
      <c r="C496" s="24" t="str">
        <f aca="false">IF($A496="","",INDEX(Workers!$E$5:$E$2004,MATCH($A496,Workers!$A$5:$A$2004,0)))</f>
        <v/>
      </c>
      <c r="D496" s="24" t="str">
        <f aca="false">IF($A496="","",INDEX(Workers!$K$5:$K$2004,MATCH($A496,Workers!$A$5:$A$2004,0)))</f>
        <v/>
      </c>
      <c r="E496" s="25" t="str">
        <f aca="false">IF($A496="","",SUMIFS(Timesheet!$E$5:$E$3004,Timesheet!$D$5:$D$3004,$A496,Timesheet!$A$5:$A$3004,"&gt;="&amp;Settings!$B$8,Timesheet!$A$5:$A$3004,"&lt;="&amp;Settings!$B$9))</f>
        <v/>
      </c>
      <c r="F496" s="25" t="str">
        <f aca="false">IF($A496="","",SUMIFS(Timesheet!$F$5:$F$3004,Timesheet!$D$5:$D$3004,$A496,Timesheet!$A$5:$A$3004,"&gt;="&amp;Settings!$B$8,Timesheet!$A$5:$A$3004,"&lt;="&amp;Settings!$B$9))</f>
        <v/>
      </c>
      <c r="G496" s="25" t="str">
        <f aca="false">IF($A496="","",SUMIFS(Timesheet!$G$5:$G$3004,Timesheet!$D$5:$D$3004,$A496,Timesheet!$A$5:$A$3004,"&gt;="&amp;Settings!$B$8,Timesheet!$A$5:$A$3004,"&lt;="&amp;Settings!$B$9))</f>
        <v/>
      </c>
      <c r="H496" s="25" t="str">
        <f aca="false">IF($A496="","",IF(D496="Monthly",MAX(0,Settings!$B$11-E496),0))</f>
        <v/>
      </c>
      <c r="I496" s="26" t="str">
        <f aca="false">IF($A496="","",N(INDEX(Workers!$L$5:$L$2004,MATCH($A496,Workers!$A$5:$A$2004,0))))</f>
        <v/>
      </c>
      <c r="J496" s="26" t="str">
        <f aca="false">IF($A496="","",N(INDEX(Workers!$M$5:$M$2004,MATCH($A496,Workers!$A$5:$A$2004,0))))</f>
        <v/>
      </c>
      <c r="K496" s="26" t="str">
        <f aca="false">IF($A496="","",IF(D496="Monthly",ROUND(MAX(0,(I496+J496)-(I496+J496)/Settings!$B$10*H496),2),0))</f>
        <v/>
      </c>
      <c r="L496" s="26" t="str">
        <f aca="false">IF($A496="","",IF(D496="Hourly",ROUND(F496*N(INDEX(Workers!$N$5:$N$2004,MATCH($A496,Workers!$A$5:$A$2004,0))),2),0))</f>
        <v/>
      </c>
      <c r="M496" s="26" t="str">
        <f aca="false">IF($A496="","",ROUND(G496*IF(D496="Hourly",N(INDEX(Workers!$N$5:$N$2004,MATCH($A496,Workers!$A$5:$A$2004,0))),I496/Settings!$B$10/Settings!$B$12)*Settings!$B$13,2))</f>
        <v/>
      </c>
      <c r="N496" s="26" t="str">
        <f aca="false">IF($A496="","",K496+L496+M496)</f>
        <v/>
      </c>
      <c r="O496" s="26" t="str">
        <f aca="false">IF($A496="","",SUMIFS(Deductions!$D$5:$D$2000,Deductions!$B$5:$B$2000,$A496,Deductions!$C$5:$C$2000,"Advance",Deductions!$E$5:$E$2000,"&gt;="&amp;Settings!$B$8,Deductions!$E$5:$E$2000,"&lt;="&amp;Settings!$B$9))</f>
        <v/>
      </c>
      <c r="P496" s="26" t="str">
        <f aca="false">IF($A496="","",SUMIFS(Deductions!$D$5:$D$2000,Deductions!$B$5:$B$2000,$A496,Deductions!$E$5:$E$2000,"&gt;="&amp;Settings!$B$8,Deductions!$E$5:$E$2000,"&lt;="&amp;Settings!$B$9)-O496)</f>
        <v/>
      </c>
      <c r="Q496" s="26" t="str">
        <f aca="false">IF($A496="","",O496+P496)</f>
        <v/>
      </c>
      <c r="R496" s="23" t="str">
        <f aca="false">IF($A496="","",N496-Q496)</f>
        <v/>
      </c>
      <c r="S496" s="24" t="str">
        <f aca="false">IF($A496="","",INDEX(Workers!$O$5:$O$2004,MATCH($A496,Workers!$A$5:$A$2004,0))&amp;"")</f>
        <v/>
      </c>
      <c r="T496" s="24" t="str">
        <f aca="false">IF($A496="","",INDEX(Workers!$P$5:$P$2004,MATCH($A496,Workers!$A$5:$A$2004,0))&amp;"")</f>
        <v/>
      </c>
      <c r="U496" s="24" t="str">
        <f aca="false">IF($A496="","",INDEX(Workers!$H$5:$H$2004,MATCH($A496,Workers!$A$5:$A$2004,0))&amp;"")</f>
        <v/>
      </c>
    </row>
    <row r="497" customFormat="false" ht="15" hidden="false" customHeight="false" outlineLevel="0" collapsed="false">
      <c r="A497" s="24" t="str">
        <f aca="false">IFERROR(INDEX(Workers!$A$5:$A$2004,MATCH(ROW()-4,Workers!$U$5:$U$2004,0)),"")</f>
        <v/>
      </c>
      <c r="B497" s="24" t="str">
        <f aca="false">IF($A497="","",INDEX(Workers!$B$5:$B$2004,MATCH($A497,Workers!$A$5:$A$2004,0)))</f>
        <v/>
      </c>
      <c r="C497" s="24" t="str">
        <f aca="false">IF($A497="","",INDEX(Workers!$E$5:$E$2004,MATCH($A497,Workers!$A$5:$A$2004,0)))</f>
        <v/>
      </c>
      <c r="D497" s="24" t="str">
        <f aca="false">IF($A497="","",INDEX(Workers!$K$5:$K$2004,MATCH($A497,Workers!$A$5:$A$2004,0)))</f>
        <v/>
      </c>
      <c r="E497" s="25" t="str">
        <f aca="false">IF($A497="","",SUMIFS(Timesheet!$E$5:$E$3004,Timesheet!$D$5:$D$3004,$A497,Timesheet!$A$5:$A$3004,"&gt;="&amp;Settings!$B$8,Timesheet!$A$5:$A$3004,"&lt;="&amp;Settings!$B$9))</f>
        <v/>
      </c>
      <c r="F497" s="25" t="str">
        <f aca="false">IF($A497="","",SUMIFS(Timesheet!$F$5:$F$3004,Timesheet!$D$5:$D$3004,$A497,Timesheet!$A$5:$A$3004,"&gt;="&amp;Settings!$B$8,Timesheet!$A$5:$A$3004,"&lt;="&amp;Settings!$B$9))</f>
        <v/>
      </c>
      <c r="G497" s="25" t="str">
        <f aca="false">IF($A497="","",SUMIFS(Timesheet!$G$5:$G$3004,Timesheet!$D$5:$D$3004,$A497,Timesheet!$A$5:$A$3004,"&gt;="&amp;Settings!$B$8,Timesheet!$A$5:$A$3004,"&lt;="&amp;Settings!$B$9))</f>
        <v/>
      </c>
      <c r="H497" s="25" t="str">
        <f aca="false">IF($A497="","",IF(D497="Monthly",MAX(0,Settings!$B$11-E497),0))</f>
        <v/>
      </c>
      <c r="I497" s="26" t="str">
        <f aca="false">IF($A497="","",N(INDEX(Workers!$L$5:$L$2004,MATCH($A497,Workers!$A$5:$A$2004,0))))</f>
        <v/>
      </c>
      <c r="J497" s="26" t="str">
        <f aca="false">IF($A497="","",N(INDEX(Workers!$M$5:$M$2004,MATCH($A497,Workers!$A$5:$A$2004,0))))</f>
        <v/>
      </c>
      <c r="K497" s="26" t="str">
        <f aca="false">IF($A497="","",IF(D497="Monthly",ROUND(MAX(0,(I497+J497)-(I497+J497)/Settings!$B$10*H497),2),0))</f>
        <v/>
      </c>
      <c r="L497" s="26" t="str">
        <f aca="false">IF($A497="","",IF(D497="Hourly",ROUND(F497*N(INDEX(Workers!$N$5:$N$2004,MATCH($A497,Workers!$A$5:$A$2004,0))),2),0))</f>
        <v/>
      </c>
      <c r="M497" s="26" t="str">
        <f aca="false">IF($A497="","",ROUND(G497*IF(D497="Hourly",N(INDEX(Workers!$N$5:$N$2004,MATCH($A497,Workers!$A$5:$A$2004,0))),I497/Settings!$B$10/Settings!$B$12)*Settings!$B$13,2))</f>
        <v/>
      </c>
      <c r="N497" s="26" t="str">
        <f aca="false">IF($A497="","",K497+L497+M497)</f>
        <v/>
      </c>
      <c r="O497" s="26" t="str">
        <f aca="false">IF($A497="","",SUMIFS(Deductions!$D$5:$D$2000,Deductions!$B$5:$B$2000,$A497,Deductions!$C$5:$C$2000,"Advance",Deductions!$E$5:$E$2000,"&gt;="&amp;Settings!$B$8,Deductions!$E$5:$E$2000,"&lt;="&amp;Settings!$B$9))</f>
        <v/>
      </c>
      <c r="P497" s="26" t="str">
        <f aca="false">IF($A497="","",SUMIFS(Deductions!$D$5:$D$2000,Deductions!$B$5:$B$2000,$A497,Deductions!$E$5:$E$2000,"&gt;="&amp;Settings!$B$8,Deductions!$E$5:$E$2000,"&lt;="&amp;Settings!$B$9)-O497)</f>
        <v/>
      </c>
      <c r="Q497" s="26" t="str">
        <f aca="false">IF($A497="","",O497+P497)</f>
        <v/>
      </c>
      <c r="R497" s="23" t="str">
        <f aca="false">IF($A497="","",N497-Q497)</f>
        <v/>
      </c>
      <c r="S497" s="24" t="str">
        <f aca="false">IF($A497="","",INDEX(Workers!$O$5:$O$2004,MATCH($A497,Workers!$A$5:$A$2004,0))&amp;"")</f>
        <v/>
      </c>
      <c r="T497" s="24" t="str">
        <f aca="false">IF($A497="","",INDEX(Workers!$P$5:$P$2004,MATCH($A497,Workers!$A$5:$A$2004,0))&amp;"")</f>
        <v/>
      </c>
      <c r="U497" s="24" t="str">
        <f aca="false">IF($A497="","",INDEX(Workers!$H$5:$H$2004,MATCH($A497,Workers!$A$5:$A$2004,0))&amp;"")</f>
        <v/>
      </c>
    </row>
    <row r="498" customFormat="false" ht="15" hidden="false" customHeight="false" outlineLevel="0" collapsed="false">
      <c r="A498" s="24" t="str">
        <f aca="false">IFERROR(INDEX(Workers!$A$5:$A$2004,MATCH(ROW()-4,Workers!$U$5:$U$2004,0)),"")</f>
        <v/>
      </c>
      <c r="B498" s="24" t="str">
        <f aca="false">IF($A498="","",INDEX(Workers!$B$5:$B$2004,MATCH($A498,Workers!$A$5:$A$2004,0)))</f>
        <v/>
      </c>
      <c r="C498" s="24" t="str">
        <f aca="false">IF($A498="","",INDEX(Workers!$E$5:$E$2004,MATCH($A498,Workers!$A$5:$A$2004,0)))</f>
        <v/>
      </c>
      <c r="D498" s="24" t="str">
        <f aca="false">IF($A498="","",INDEX(Workers!$K$5:$K$2004,MATCH($A498,Workers!$A$5:$A$2004,0)))</f>
        <v/>
      </c>
      <c r="E498" s="25" t="str">
        <f aca="false">IF($A498="","",SUMIFS(Timesheet!$E$5:$E$3004,Timesheet!$D$5:$D$3004,$A498,Timesheet!$A$5:$A$3004,"&gt;="&amp;Settings!$B$8,Timesheet!$A$5:$A$3004,"&lt;="&amp;Settings!$B$9))</f>
        <v/>
      </c>
      <c r="F498" s="25" t="str">
        <f aca="false">IF($A498="","",SUMIFS(Timesheet!$F$5:$F$3004,Timesheet!$D$5:$D$3004,$A498,Timesheet!$A$5:$A$3004,"&gt;="&amp;Settings!$B$8,Timesheet!$A$5:$A$3004,"&lt;="&amp;Settings!$B$9))</f>
        <v/>
      </c>
      <c r="G498" s="25" t="str">
        <f aca="false">IF($A498="","",SUMIFS(Timesheet!$G$5:$G$3004,Timesheet!$D$5:$D$3004,$A498,Timesheet!$A$5:$A$3004,"&gt;="&amp;Settings!$B$8,Timesheet!$A$5:$A$3004,"&lt;="&amp;Settings!$B$9))</f>
        <v/>
      </c>
      <c r="H498" s="25" t="str">
        <f aca="false">IF($A498="","",IF(D498="Monthly",MAX(0,Settings!$B$11-E498),0))</f>
        <v/>
      </c>
      <c r="I498" s="26" t="str">
        <f aca="false">IF($A498="","",N(INDEX(Workers!$L$5:$L$2004,MATCH($A498,Workers!$A$5:$A$2004,0))))</f>
        <v/>
      </c>
      <c r="J498" s="26" t="str">
        <f aca="false">IF($A498="","",N(INDEX(Workers!$M$5:$M$2004,MATCH($A498,Workers!$A$5:$A$2004,0))))</f>
        <v/>
      </c>
      <c r="K498" s="26" t="str">
        <f aca="false">IF($A498="","",IF(D498="Monthly",ROUND(MAX(0,(I498+J498)-(I498+J498)/Settings!$B$10*H498),2),0))</f>
        <v/>
      </c>
      <c r="L498" s="26" t="str">
        <f aca="false">IF($A498="","",IF(D498="Hourly",ROUND(F498*N(INDEX(Workers!$N$5:$N$2004,MATCH($A498,Workers!$A$5:$A$2004,0))),2),0))</f>
        <v/>
      </c>
      <c r="M498" s="26" t="str">
        <f aca="false">IF($A498="","",ROUND(G498*IF(D498="Hourly",N(INDEX(Workers!$N$5:$N$2004,MATCH($A498,Workers!$A$5:$A$2004,0))),I498/Settings!$B$10/Settings!$B$12)*Settings!$B$13,2))</f>
        <v/>
      </c>
      <c r="N498" s="26" t="str">
        <f aca="false">IF($A498="","",K498+L498+M498)</f>
        <v/>
      </c>
      <c r="O498" s="26" t="str">
        <f aca="false">IF($A498="","",SUMIFS(Deductions!$D$5:$D$2000,Deductions!$B$5:$B$2000,$A498,Deductions!$C$5:$C$2000,"Advance",Deductions!$E$5:$E$2000,"&gt;="&amp;Settings!$B$8,Deductions!$E$5:$E$2000,"&lt;="&amp;Settings!$B$9))</f>
        <v/>
      </c>
      <c r="P498" s="26" t="str">
        <f aca="false">IF($A498="","",SUMIFS(Deductions!$D$5:$D$2000,Deductions!$B$5:$B$2000,$A498,Deductions!$E$5:$E$2000,"&gt;="&amp;Settings!$B$8,Deductions!$E$5:$E$2000,"&lt;="&amp;Settings!$B$9)-O498)</f>
        <v/>
      </c>
      <c r="Q498" s="26" t="str">
        <f aca="false">IF($A498="","",O498+P498)</f>
        <v/>
      </c>
      <c r="R498" s="23" t="str">
        <f aca="false">IF($A498="","",N498-Q498)</f>
        <v/>
      </c>
      <c r="S498" s="24" t="str">
        <f aca="false">IF($A498="","",INDEX(Workers!$O$5:$O$2004,MATCH($A498,Workers!$A$5:$A$2004,0))&amp;"")</f>
        <v/>
      </c>
      <c r="T498" s="24" t="str">
        <f aca="false">IF($A498="","",INDEX(Workers!$P$5:$P$2004,MATCH($A498,Workers!$A$5:$A$2004,0))&amp;"")</f>
        <v/>
      </c>
      <c r="U498" s="24" t="str">
        <f aca="false">IF($A498="","",INDEX(Workers!$H$5:$H$2004,MATCH($A498,Workers!$A$5:$A$2004,0))&amp;"")</f>
        <v/>
      </c>
    </row>
    <row r="499" customFormat="false" ht="15" hidden="false" customHeight="false" outlineLevel="0" collapsed="false">
      <c r="A499" s="24" t="str">
        <f aca="false">IFERROR(INDEX(Workers!$A$5:$A$2004,MATCH(ROW()-4,Workers!$U$5:$U$2004,0)),"")</f>
        <v/>
      </c>
      <c r="B499" s="24" t="str">
        <f aca="false">IF($A499="","",INDEX(Workers!$B$5:$B$2004,MATCH($A499,Workers!$A$5:$A$2004,0)))</f>
        <v/>
      </c>
      <c r="C499" s="24" t="str">
        <f aca="false">IF($A499="","",INDEX(Workers!$E$5:$E$2004,MATCH($A499,Workers!$A$5:$A$2004,0)))</f>
        <v/>
      </c>
      <c r="D499" s="24" t="str">
        <f aca="false">IF($A499="","",INDEX(Workers!$K$5:$K$2004,MATCH($A499,Workers!$A$5:$A$2004,0)))</f>
        <v/>
      </c>
      <c r="E499" s="25" t="str">
        <f aca="false">IF($A499="","",SUMIFS(Timesheet!$E$5:$E$3004,Timesheet!$D$5:$D$3004,$A499,Timesheet!$A$5:$A$3004,"&gt;="&amp;Settings!$B$8,Timesheet!$A$5:$A$3004,"&lt;="&amp;Settings!$B$9))</f>
        <v/>
      </c>
      <c r="F499" s="25" t="str">
        <f aca="false">IF($A499="","",SUMIFS(Timesheet!$F$5:$F$3004,Timesheet!$D$5:$D$3004,$A499,Timesheet!$A$5:$A$3004,"&gt;="&amp;Settings!$B$8,Timesheet!$A$5:$A$3004,"&lt;="&amp;Settings!$B$9))</f>
        <v/>
      </c>
      <c r="G499" s="25" t="str">
        <f aca="false">IF($A499="","",SUMIFS(Timesheet!$G$5:$G$3004,Timesheet!$D$5:$D$3004,$A499,Timesheet!$A$5:$A$3004,"&gt;="&amp;Settings!$B$8,Timesheet!$A$5:$A$3004,"&lt;="&amp;Settings!$B$9))</f>
        <v/>
      </c>
      <c r="H499" s="25" t="str">
        <f aca="false">IF($A499="","",IF(D499="Monthly",MAX(0,Settings!$B$11-E499),0))</f>
        <v/>
      </c>
      <c r="I499" s="26" t="str">
        <f aca="false">IF($A499="","",N(INDEX(Workers!$L$5:$L$2004,MATCH($A499,Workers!$A$5:$A$2004,0))))</f>
        <v/>
      </c>
      <c r="J499" s="26" t="str">
        <f aca="false">IF($A499="","",N(INDEX(Workers!$M$5:$M$2004,MATCH($A499,Workers!$A$5:$A$2004,0))))</f>
        <v/>
      </c>
      <c r="K499" s="26" t="str">
        <f aca="false">IF($A499="","",IF(D499="Monthly",ROUND(MAX(0,(I499+J499)-(I499+J499)/Settings!$B$10*H499),2),0))</f>
        <v/>
      </c>
      <c r="L499" s="26" t="str">
        <f aca="false">IF($A499="","",IF(D499="Hourly",ROUND(F499*N(INDEX(Workers!$N$5:$N$2004,MATCH($A499,Workers!$A$5:$A$2004,0))),2),0))</f>
        <v/>
      </c>
      <c r="M499" s="26" t="str">
        <f aca="false">IF($A499="","",ROUND(G499*IF(D499="Hourly",N(INDEX(Workers!$N$5:$N$2004,MATCH($A499,Workers!$A$5:$A$2004,0))),I499/Settings!$B$10/Settings!$B$12)*Settings!$B$13,2))</f>
        <v/>
      </c>
      <c r="N499" s="26" t="str">
        <f aca="false">IF($A499="","",K499+L499+M499)</f>
        <v/>
      </c>
      <c r="O499" s="26" t="str">
        <f aca="false">IF($A499="","",SUMIFS(Deductions!$D$5:$D$2000,Deductions!$B$5:$B$2000,$A499,Deductions!$C$5:$C$2000,"Advance",Deductions!$E$5:$E$2000,"&gt;="&amp;Settings!$B$8,Deductions!$E$5:$E$2000,"&lt;="&amp;Settings!$B$9))</f>
        <v/>
      </c>
      <c r="P499" s="26" t="str">
        <f aca="false">IF($A499="","",SUMIFS(Deductions!$D$5:$D$2000,Deductions!$B$5:$B$2000,$A499,Deductions!$E$5:$E$2000,"&gt;="&amp;Settings!$B$8,Deductions!$E$5:$E$2000,"&lt;="&amp;Settings!$B$9)-O499)</f>
        <v/>
      </c>
      <c r="Q499" s="26" t="str">
        <f aca="false">IF($A499="","",O499+P499)</f>
        <v/>
      </c>
      <c r="R499" s="23" t="str">
        <f aca="false">IF($A499="","",N499-Q499)</f>
        <v/>
      </c>
      <c r="S499" s="24" t="str">
        <f aca="false">IF($A499="","",INDEX(Workers!$O$5:$O$2004,MATCH($A499,Workers!$A$5:$A$2004,0))&amp;"")</f>
        <v/>
      </c>
      <c r="T499" s="24" t="str">
        <f aca="false">IF($A499="","",INDEX(Workers!$P$5:$P$2004,MATCH($A499,Workers!$A$5:$A$2004,0))&amp;"")</f>
        <v/>
      </c>
      <c r="U499" s="24" t="str">
        <f aca="false">IF($A499="","",INDEX(Workers!$H$5:$H$2004,MATCH($A499,Workers!$A$5:$A$2004,0))&amp;"")</f>
        <v/>
      </c>
    </row>
    <row r="500" customFormat="false" ht="15" hidden="false" customHeight="false" outlineLevel="0" collapsed="false">
      <c r="A500" s="24" t="str">
        <f aca="false">IFERROR(INDEX(Workers!$A$5:$A$2004,MATCH(ROW()-4,Workers!$U$5:$U$2004,0)),"")</f>
        <v/>
      </c>
      <c r="B500" s="24" t="str">
        <f aca="false">IF($A500="","",INDEX(Workers!$B$5:$B$2004,MATCH($A500,Workers!$A$5:$A$2004,0)))</f>
        <v/>
      </c>
      <c r="C500" s="24" t="str">
        <f aca="false">IF($A500="","",INDEX(Workers!$E$5:$E$2004,MATCH($A500,Workers!$A$5:$A$2004,0)))</f>
        <v/>
      </c>
      <c r="D500" s="24" t="str">
        <f aca="false">IF($A500="","",INDEX(Workers!$K$5:$K$2004,MATCH($A500,Workers!$A$5:$A$2004,0)))</f>
        <v/>
      </c>
      <c r="E500" s="25" t="str">
        <f aca="false">IF($A500="","",SUMIFS(Timesheet!$E$5:$E$3004,Timesheet!$D$5:$D$3004,$A500,Timesheet!$A$5:$A$3004,"&gt;="&amp;Settings!$B$8,Timesheet!$A$5:$A$3004,"&lt;="&amp;Settings!$B$9))</f>
        <v/>
      </c>
      <c r="F500" s="25" t="str">
        <f aca="false">IF($A500="","",SUMIFS(Timesheet!$F$5:$F$3004,Timesheet!$D$5:$D$3004,$A500,Timesheet!$A$5:$A$3004,"&gt;="&amp;Settings!$B$8,Timesheet!$A$5:$A$3004,"&lt;="&amp;Settings!$B$9))</f>
        <v/>
      </c>
      <c r="G500" s="25" t="str">
        <f aca="false">IF($A500="","",SUMIFS(Timesheet!$G$5:$G$3004,Timesheet!$D$5:$D$3004,$A500,Timesheet!$A$5:$A$3004,"&gt;="&amp;Settings!$B$8,Timesheet!$A$5:$A$3004,"&lt;="&amp;Settings!$B$9))</f>
        <v/>
      </c>
      <c r="H500" s="25" t="str">
        <f aca="false">IF($A500="","",IF(D500="Monthly",MAX(0,Settings!$B$11-E500),0))</f>
        <v/>
      </c>
      <c r="I500" s="26" t="str">
        <f aca="false">IF($A500="","",N(INDEX(Workers!$L$5:$L$2004,MATCH($A500,Workers!$A$5:$A$2004,0))))</f>
        <v/>
      </c>
      <c r="J500" s="26" t="str">
        <f aca="false">IF($A500="","",N(INDEX(Workers!$M$5:$M$2004,MATCH($A500,Workers!$A$5:$A$2004,0))))</f>
        <v/>
      </c>
      <c r="K500" s="26" t="str">
        <f aca="false">IF($A500="","",IF(D500="Monthly",ROUND(MAX(0,(I500+J500)-(I500+J500)/Settings!$B$10*H500),2),0))</f>
        <v/>
      </c>
      <c r="L500" s="26" t="str">
        <f aca="false">IF($A500="","",IF(D500="Hourly",ROUND(F500*N(INDEX(Workers!$N$5:$N$2004,MATCH($A500,Workers!$A$5:$A$2004,0))),2),0))</f>
        <v/>
      </c>
      <c r="M500" s="26" t="str">
        <f aca="false">IF($A500="","",ROUND(G500*IF(D500="Hourly",N(INDEX(Workers!$N$5:$N$2004,MATCH($A500,Workers!$A$5:$A$2004,0))),I500/Settings!$B$10/Settings!$B$12)*Settings!$B$13,2))</f>
        <v/>
      </c>
      <c r="N500" s="26" t="str">
        <f aca="false">IF($A500="","",K500+L500+M500)</f>
        <v/>
      </c>
      <c r="O500" s="26" t="str">
        <f aca="false">IF($A500="","",SUMIFS(Deductions!$D$5:$D$2000,Deductions!$B$5:$B$2000,$A500,Deductions!$C$5:$C$2000,"Advance",Deductions!$E$5:$E$2000,"&gt;="&amp;Settings!$B$8,Deductions!$E$5:$E$2000,"&lt;="&amp;Settings!$B$9))</f>
        <v/>
      </c>
      <c r="P500" s="26" t="str">
        <f aca="false">IF($A500="","",SUMIFS(Deductions!$D$5:$D$2000,Deductions!$B$5:$B$2000,$A500,Deductions!$E$5:$E$2000,"&gt;="&amp;Settings!$B$8,Deductions!$E$5:$E$2000,"&lt;="&amp;Settings!$B$9)-O500)</f>
        <v/>
      </c>
      <c r="Q500" s="26" t="str">
        <f aca="false">IF($A500="","",O500+P500)</f>
        <v/>
      </c>
      <c r="R500" s="23" t="str">
        <f aca="false">IF($A500="","",N500-Q500)</f>
        <v/>
      </c>
      <c r="S500" s="24" t="str">
        <f aca="false">IF($A500="","",INDEX(Workers!$O$5:$O$2004,MATCH($A500,Workers!$A$5:$A$2004,0))&amp;"")</f>
        <v/>
      </c>
      <c r="T500" s="24" t="str">
        <f aca="false">IF($A500="","",INDEX(Workers!$P$5:$P$2004,MATCH($A500,Workers!$A$5:$A$2004,0))&amp;"")</f>
        <v/>
      </c>
      <c r="U500" s="24" t="str">
        <f aca="false">IF($A500="","",INDEX(Workers!$H$5:$H$2004,MATCH($A500,Workers!$A$5:$A$2004,0))&amp;"")</f>
        <v/>
      </c>
    </row>
    <row r="501" customFormat="false" ht="15" hidden="false" customHeight="false" outlineLevel="0" collapsed="false">
      <c r="A501" s="24" t="str">
        <f aca="false">IFERROR(INDEX(Workers!$A$5:$A$2004,MATCH(ROW()-4,Workers!$U$5:$U$2004,0)),"")</f>
        <v/>
      </c>
      <c r="B501" s="24" t="str">
        <f aca="false">IF($A501="","",INDEX(Workers!$B$5:$B$2004,MATCH($A501,Workers!$A$5:$A$2004,0)))</f>
        <v/>
      </c>
      <c r="C501" s="24" t="str">
        <f aca="false">IF($A501="","",INDEX(Workers!$E$5:$E$2004,MATCH($A501,Workers!$A$5:$A$2004,0)))</f>
        <v/>
      </c>
      <c r="D501" s="24" t="str">
        <f aca="false">IF($A501="","",INDEX(Workers!$K$5:$K$2004,MATCH($A501,Workers!$A$5:$A$2004,0)))</f>
        <v/>
      </c>
      <c r="E501" s="25" t="str">
        <f aca="false">IF($A501="","",SUMIFS(Timesheet!$E$5:$E$3004,Timesheet!$D$5:$D$3004,$A501,Timesheet!$A$5:$A$3004,"&gt;="&amp;Settings!$B$8,Timesheet!$A$5:$A$3004,"&lt;="&amp;Settings!$B$9))</f>
        <v/>
      </c>
      <c r="F501" s="25" t="str">
        <f aca="false">IF($A501="","",SUMIFS(Timesheet!$F$5:$F$3004,Timesheet!$D$5:$D$3004,$A501,Timesheet!$A$5:$A$3004,"&gt;="&amp;Settings!$B$8,Timesheet!$A$5:$A$3004,"&lt;="&amp;Settings!$B$9))</f>
        <v/>
      </c>
      <c r="G501" s="25" t="str">
        <f aca="false">IF($A501="","",SUMIFS(Timesheet!$G$5:$G$3004,Timesheet!$D$5:$D$3004,$A501,Timesheet!$A$5:$A$3004,"&gt;="&amp;Settings!$B$8,Timesheet!$A$5:$A$3004,"&lt;="&amp;Settings!$B$9))</f>
        <v/>
      </c>
      <c r="H501" s="25" t="str">
        <f aca="false">IF($A501="","",IF(D501="Monthly",MAX(0,Settings!$B$11-E501),0))</f>
        <v/>
      </c>
      <c r="I501" s="26" t="str">
        <f aca="false">IF($A501="","",N(INDEX(Workers!$L$5:$L$2004,MATCH($A501,Workers!$A$5:$A$2004,0))))</f>
        <v/>
      </c>
      <c r="J501" s="26" t="str">
        <f aca="false">IF($A501="","",N(INDEX(Workers!$M$5:$M$2004,MATCH($A501,Workers!$A$5:$A$2004,0))))</f>
        <v/>
      </c>
      <c r="K501" s="26" t="str">
        <f aca="false">IF($A501="","",IF(D501="Monthly",ROUND(MAX(0,(I501+J501)-(I501+J501)/Settings!$B$10*H501),2),0))</f>
        <v/>
      </c>
      <c r="L501" s="26" t="str">
        <f aca="false">IF($A501="","",IF(D501="Hourly",ROUND(F501*N(INDEX(Workers!$N$5:$N$2004,MATCH($A501,Workers!$A$5:$A$2004,0))),2),0))</f>
        <v/>
      </c>
      <c r="M501" s="26" t="str">
        <f aca="false">IF($A501="","",ROUND(G501*IF(D501="Hourly",N(INDEX(Workers!$N$5:$N$2004,MATCH($A501,Workers!$A$5:$A$2004,0))),I501/Settings!$B$10/Settings!$B$12)*Settings!$B$13,2))</f>
        <v/>
      </c>
      <c r="N501" s="26" t="str">
        <f aca="false">IF($A501="","",K501+L501+M501)</f>
        <v/>
      </c>
      <c r="O501" s="26" t="str">
        <f aca="false">IF($A501="","",SUMIFS(Deductions!$D$5:$D$2000,Deductions!$B$5:$B$2000,$A501,Deductions!$C$5:$C$2000,"Advance",Deductions!$E$5:$E$2000,"&gt;="&amp;Settings!$B$8,Deductions!$E$5:$E$2000,"&lt;="&amp;Settings!$B$9))</f>
        <v/>
      </c>
      <c r="P501" s="26" t="str">
        <f aca="false">IF($A501="","",SUMIFS(Deductions!$D$5:$D$2000,Deductions!$B$5:$B$2000,$A501,Deductions!$E$5:$E$2000,"&gt;="&amp;Settings!$B$8,Deductions!$E$5:$E$2000,"&lt;="&amp;Settings!$B$9)-O501)</f>
        <v/>
      </c>
      <c r="Q501" s="26" t="str">
        <f aca="false">IF($A501="","",O501+P501)</f>
        <v/>
      </c>
      <c r="R501" s="23" t="str">
        <f aca="false">IF($A501="","",N501-Q501)</f>
        <v/>
      </c>
      <c r="S501" s="24" t="str">
        <f aca="false">IF($A501="","",INDEX(Workers!$O$5:$O$2004,MATCH($A501,Workers!$A$5:$A$2004,0))&amp;"")</f>
        <v/>
      </c>
      <c r="T501" s="24" t="str">
        <f aca="false">IF($A501="","",INDEX(Workers!$P$5:$P$2004,MATCH($A501,Workers!$A$5:$A$2004,0))&amp;"")</f>
        <v/>
      </c>
      <c r="U501" s="24" t="str">
        <f aca="false">IF($A501="","",INDEX(Workers!$H$5:$H$2004,MATCH($A501,Workers!$A$5:$A$2004,0))&amp;"")</f>
        <v/>
      </c>
    </row>
    <row r="502" customFormat="false" ht="15" hidden="false" customHeight="false" outlineLevel="0" collapsed="false">
      <c r="A502" s="24" t="str">
        <f aca="false">IFERROR(INDEX(Workers!$A$5:$A$2004,MATCH(ROW()-4,Workers!$U$5:$U$2004,0)),"")</f>
        <v/>
      </c>
      <c r="B502" s="24" t="str">
        <f aca="false">IF($A502="","",INDEX(Workers!$B$5:$B$2004,MATCH($A502,Workers!$A$5:$A$2004,0)))</f>
        <v/>
      </c>
      <c r="C502" s="24" t="str">
        <f aca="false">IF($A502="","",INDEX(Workers!$E$5:$E$2004,MATCH($A502,Workers!$A$5:$A$2004,0)))</f>
        <v/>
      </c>
      <c r="D502" s="24" t="str">
        <f aca="false">IF($A502="","",INDEX(Workers!$K$5:$K$2004,MATCH($A502,Workers!$A$5:$A$2004,0)))</f>
        <v/>
      </c>
      <c r="E502" s="25" t="str">
        <f aca="false">IF($A502="","",SUMIFS(Timesheet!$E$5:$E$3004,Timesheet!$D$5:$D$3004,$A502,Timesheet!$A$5:$A$3004,"&gt;="&amp;Settings!$B$8,Timesheet!$A$5:$A$3004,"&lt;="&amp;Settings!$B$9))</f>
        <v/>
      </c>
      <c r="F502" s="25" t="str">
        <f aca="false">IF($A502="","",SUMIFS(Timesheet!$F$5:$F$3004,Timesheet!$D$5:$D$3004,$A502,Timesheet!$A$5:$A$3004,"&gt;="&amp;Settings!$B$8,Timesheet!$A$5:$A$3004,"&lt;="&amp;Settings!$B$9))</f>
        <v/>
      </c>
      <c r="G502" s="25" t="str">
        <f aca="false">IF($A502="","",SUMIFS(Timesheet!$G$5:$G$3004,Timesheet!$D$5:$D$3004,$A502,Timesheet!$A$5:$A$3004,"&gt;="&amp;Settings!$B$8,Timesheet!$A$5:$A$3004,"&lt;="&amp;Settings!$B$9))</f>
        <v/>
      </c>
      <c r="H502" s="25" t="str">
        <f aca="false">IF($A502="","",IF(D502="Monthly",MAX(0,Settings!$B$11-E502),0))</f>
        <v/>
      </c>
      <c r="I502" s="26" t="str">
        <f aca="false">IF($A502="","",N(INDEX(Workers!$L$5:$L$2004,MATCH($A502,Workers!$A$5:$A$2004,0))))</f>
        <v/>
      </c>
      <c r="J502" s="26" t="str">
        <f aca="false">IF($A502="","",N(INDEX(Workers!$M$5:$M$2004,MATCH($A502,Workers!$A$5:$A$2004,0))))</f>
        <v/>
      </c>
      <c r="K502" s="26" t="str">
        <f aca="false">IF($A502="","",IF(D502="Monthly",ROUND(MAX(0,(I502+J502)-(I502+J502)/Settings!$B$10*H502),2),0))</f>
        <v/>
      </c>
      <c r="L502" s="26" t="str">
        <f aca="false">IF($A502="","",IF(D502="Hourly",ROUND(F502*N(INDEX(Workers!$N$5:$N$2004,MATCH($A502,Workers!$A$5:$A$2004,0))),2),0))</f>
        <v/>
      </c>
      <c r="M502" s="26" t="str">
        <f aca="false">IF($A502="","",ROUND(G502*IF(D502="Hourly",N(INDEX(Workers!$N$5:$N$2004,MATCH($A502,Workers!$A$5:$A$2004,0))),I502/Settings!$B$10/Settings!$B$12)*Settings!$B$13,2))</f>
        <v/>
      </c>
      <c r="N502" s="26" t="str">
        <f aca="false">IF($A502="","",K502+L502+M502)</f>
        <v/>
      </c>
      <c r="O502" s="26" t="str">
        <f aca="false">IF($A502="","",SUMIFS(Deductions!$D$5:$D$2000,Deductions!$B$5:$B$2000,$A502,Deductions!$C$5:$C$2000,"Advance",Deductions!$E$5:$E$2000,"&gt;="&amp;Settings!$B$8,Deductions!$E$5:$E$2000,"&lt;="&amp;Settings!$B$9))</f>
        <v/>
      </c>
      <c r="P502" s="26" t="str">
        <f aca="false">IF($A502="","",SUMIFS(Deductions!$D$5:$D$2000,Deductions!$B$5:$B$2000,$A502,Deductions!$E$5:$E$2000,"&gt;="&amp;Settings!$B$8,Deductions!$E$5:$E$2000,"&lt;="&amp;Settings!$B$9)-O502)</f>
        <v/>
      </c>
      <c r="Q502" s="26" t="str">
        <f aca="false">IF($A502="","",O502+P502)</f>
        <v/>
      </c>
      <c r="R502" s="23" t="str">
        <f aca="false">IF($A502="","",N502-Q502)</f>
        <v/>
      </c>
      <c r="S502" s="24" t="str">
        <f aca="false">IF($A502="","",INDEX(Workers!$O$5:$O$2004,MATCH($A502,Workers!$A$5:$A$2004,0))&amp;"")</f>
        <v/>
      </c>
      <c r="T502" s="24" t="str">
        <f aca="false">IF($A502="","",INDEX(Workers!$P$5:$P$2004,MATCH($A502,Workers!$A$5:$A$2004,0))&amp;"")</f>
        <v/>
      </c>
      <c r="U502" s="24" t="str">
        <f aca="false">IF($A502="","",INDEX(Workers!$H$5:$H$2004,MATCH($A502,Workers!$A$5:$A$2004,0))&amp;"")</f>
        <v/>
      </c>
    </row>
    <row r="503" customFormat="false" ht="15" hidden="false" customHeight="false" outlineLevel="0" collapsed="false">
      <c r="A503" s="24" t="str">
        <f aca="false">IFERROR(INDEX(Workers!$A$5:$A$2004,MATCH(ROW()-4,Workers!$U$5:$U$2004,0)),"")</f>
        <v/>
      </c>
      <c r="B503" s="24" t="str">
        <f aca="false">IF($A503="","",INDEX(Workers!$B$5:$B$2004,MATCH($A503,Workers!$A$5:$A$2004,0)))</f>
        <v/>
      </c>
      <c r="C503" s="24" t="str">
        <f aca="false">IF($A503="","",INDEX(Workers!$E$5:$E$2004,MATCH($A503,Workers!$A$5:$A$2004,0)))</f>
        <v/>
      </c>
      <c r="D503" s="24" t="str">
        <f aca="false">IF($A503="","",INDEX(Workers!$K$5:$K$2004,MATCH($A503,Workers!$A$5:$A$2004,0)))</f>
        <v/>
      </c>
      <c r="E503" s="25" t="str">
        <f aca="false">IF($A503="","",SUMIFS(Timesheet!$E$5:$E$3004,Timesheet!$D$5:$D$3004,$A503,Timesheet!$A$5:$A$3004,"&gt;="&amp;Settings!$B$8,Timesheet!$A$5:$A$3004,"&lt;="&amp;Settings!$B$9))</f>
        <v/>
      </c>
      <c r="F503" s="25" t="str">
        <f aca="false">IF($A503="","",SUMIFS(Timesheet!$F$5:$F$3004,Timesheet!$D$5:$D$3004,$A503,Timesheet!$A$5:$A$3004,"&gt;="&amp;Settings!$B$8,Timesheet!$A$5:$A$3004,"&lt;="&amp;Settings!$B$9))</f>
        <v/>
      </c>
      <c r="G503" s="25" t="str">
        <f aca="false">IF($A503="","",SUMIFS(Timesheet!$G$5:$G$3004,Timesheet!$D$5:$D$3004,$A503,Timesheet!$A$5:$A$3004,"&gt;="&amp;Settings!$B$8,Timesheet!$A$5:$A$3004,"&lt;="&amp;Settings!$B$9))</f>
        <v/>
      </c>
      <c r="H503" s="25" t="str">
        <f aca="false">IF($A503="","",IF(D503="Monthly",MAX(0,Settings!$B$11-E503),0))</f>
        <v/>
      </c>
      <c r="I503" s="26" t="str">
        <f aca="false">IF($A503="","",N(INDEX(Workers!$L$5:$L$2004,MATCH($A503,Workers!$A$5:$A$2004,0))))</f>
        <v/>
      </c>
      <c r="J503" s="26" t="str">
        <f aca="false">IF($A503="","",N(INDEX(Workers!$M$5:$M$2004,MATCH($A503,Workers!$A$5:$A$2004,0))))</f>
        <v/>
      </c>
      <c r="K503" s="26" t="str">
        <f aca="false">IF($A503="","",IF(D503="Monthly",ROUND(MAX(0,(I503+J503)-(I503+J503)/Settings!$B$10*H503),2),0))</f>
        <v/>
      </c>
      <c r="L503" s="26" t="str">
        <f aca="false">IF($A503="","",IF(D503="Hourly",ROUND(F503*N(INDEX(Workers!$N$5:$N$2004,MATCH($A503,Workers!$A$5:$A$2004,0))),2),0))</f>
        <v/>
      </c>
      <c r="M503" s="26" t="str">
        <f aca="false">IF($A503="","",ROUND(G503*IF(D503="Hourly",N(INDEX(Workers!$N$5:$N$2004,MATCH($A503,Workers!$A$5:$A$2004,0))),I503/Settings!$B$10/Settings!$B$12)*Settings!$B$13,2))</f>
        <v/>
      </c>
      <c r="N503" s="26" t="str">
        <f aca="false">IF($A503="","",K503+L503+M503)</f>
        <v/>
      </c>
      <c r="O503" s="26" t="str">
        <f aca="false">IF($A503="","",SUMIFS(Deductions!$D$5:$D$2000,Deductions!$B$5:$B$2000,$A503,Deductions!$C$5:$C$2000,"Advance",Deductions!$E$5:$E$2000,"&gt;="&amp;Settings!$B$8,Deductions!$E$5:$E$2000,"&lt;="&amp;Settings!$B$9))</f>
        <v/>
      </c>
      <c r="P503" s="26" t="str">
        <f aca="false">IF($A503="","",SUMIFS(Deductions!$D$5:$D$2000,Deductions!$B$5:$B$2000,$A503,Deductions!$E$5:$E$2000,"&gt;="&amp;Settings!$B$8,Deductions!$E$5:$E$2000,"&lt;="&amp;Settings!$B$9)-O503)</f>
        <v/>
      </c>
      <c r="Q503" s="26" t="str">
        <f aca="false">IF($A503="","",O503+P503)</f>
        <v/>
      </c>
      <c r="R503" s="23" t="str">
        <f aca="false">IF($A503="","",N503-Q503)</f>
        <v/>
      </c>
      <c r="S503" s="24" t="str">
        <f aca="false">IF($A503="","",INDEX(Workers!$O$5:$O$2004,MATCH($A503,Workers!$A$5:$A$2004,0))&amp;"")</f>
        <v/>
      </c>
      <c r="T503" s="24" t="str">
        <f aca="false">IF($A503="","",INDEX(Workers!$P$5:$P$2004,MATCH($A503,Workers!$A$5:$A$2004,0))&amp;"")</f>
        <v/>
      </c>
      <c r="U503" s="24" t="str">
        <f aca="false">IF($A503="","",INDEX(Workers!$H$5:$H$2004,MATCH($A503,Workers!$A$5:$A$2004,0))&amp;"")</f>
        <v/>
      </c>
    </row>
    <row r="504" customFormat="false" ht="15" hidden="false" customHeight="false" outlineLevel="0" collapsed="false">
      <c r="A504" s="24" t="str">
        <f aca="false">IFERROR(INDEX(Workers!$A$5:$A$2004,MATCH(ROW()-4,Workers!$U$5:$U$2004,0)),"")</f>
        <v/>
      </c>
      <c r="B504" s="24" t="str">
        <f aca="false">IF($A504="","",INDEX(Workers!$B$5:$B$2004,MATCH($A504,Workers!$A$5:$A$2004,0)))</f>
        <v/>
      </c>
      <c r="C504" s="24" t="str">
        <f aca="false">IF($A504="","",INDEX(Workers!$E$5:$E$2004,MATCH($A504,Workers!$A$5:$A$2004,0)))</f>
        <v/>
      </c>
      <c r="D504" s="24" t="str">
        <f aca="false">IF($A504="","",INDEX(Workers!$K$5:$K$2004,MATCH($A504,Workers!$A$5:$A$2004,0)))</f>
        <v/>
      </c>
      <c r="E504" s="25" t="str">
        <f aca="false">IF($A504="","",SUMIFS(Timesheet!$E$5:$E$3004,Timesheet!$D$5:$D$3004,$A504,Timesheet!$A$5:$A$3004,"&gt;="&amp;Settings!$B$8,Timesheet!$A$5:$A$3004,"&lt;="&amp;Settings!$B$9))</f>
        <v/>
      </c>
      <c r="F504" s="25" t="str">
        <f aca="false">IF($A504="","",SUMIFS(Timesheet!$F$5:$F$3004,Timesheet!$D$5:$D$3004,$A504,Timesheet!$A$5:$A$3004,"&gt;="&amp;Settings!$B$8,Timesheet!$A$5:$A$3004,"&lt;="&amp;Settings!$B$9))</f>
        <v/>
      </c>
      <c r="G504" s="25" t="str">
        <f aca="false">IF($A504="","",SUMIFS(Timesheet!$G$5:$G$3004,Timesheet!$D$5:$D$3004,$A504,Timesheet!$A$5:$A$3004,"&gt;="&amp;Settings!$B$8,Timesheet!$A$5:$A$3004,"&lt;="&amp;Settings!$B$9))</f>
        <v/>
      </c>
      <c r="H504" s="25" t="str">
        <f aca="false">IF($A504="","",IF(D504="Monthly",MAX(0,Settings!$B$11-E504),0))</f>
        <v/>
      </c>
      <c r="I504" s="26" t="str">
        <f aca="false">IF($A504="","",N(INDEX(Workers!$L$5:$L$2004,MATCH($A504,Workers!$A$5:$A$2004,0))))</f>
        <v/>
      </c>
      <c r="J504" s="26" t="str">
        <f aca="false">IF($A504="","",N(INDEX(Workers!$M$5:$M$2004,MATCH($A504,Workers!$A$5:$A$2004,0))))</f>
        <v/>
      </c>
      <c r="K504" s="26" t="str">
        <f aca="false">IF($A504="","",IF(D504="Monthly",ROUND(MAX(0,(I504+J504)-(I504+J504)/Settings!$B$10*H504),2),0))</f>
        <v/>
      </c>
      <c r="L504" s="26" t="str">
        <f aca="false">IF($A504="","",IF(D504="Hourly",ROUND(F504*N(INDEX(Workers!$N$5:$N$2004,MATCH($A504,Workers!$A$5:$A$2004,0))),2),0))</f>
        <v/>
      </c>
      <c r="M504" s="26" t="str">
        <f aca="false">IF($A504="","",ROUND(G504*IF(D504="Hourly",N(INDEX(Workers!$N$5:$N$2004,MATCH($A504,Workers!$A$5:$A$2004,0))),I504/Settings!$B$10/Settings!$B$12)*Settings!$B$13,2))</f>
        <v/>
      </c>
      <c r="N504" s="26" t="str">
        <f aca="false">IF($A504="","",K504+L504+M504)</f>
        <v/>
      </c>
      <c r="O504" s="26" t="str">
        <f aca="false">IF($A504="","",SUMIFS(Deductions!$D$5:$D$2000,Deductions!$B$5:$B$2000,$A504,Deductions!$C$5:$C$2000,"Advance",Deductions!$E$5:$E$2000,"&gt;="&amp;Settings!$B$8,Deductions!$E$5:$E$2000,"&lt;="&amp;Settings!$B$9))</f>
        <v/>
      </c>
      <c r="P504" s="26" t="str">
        <f aca="false">IF($A504="","",SUMIFS(Deductions!$D$5:$D$2000,Deductions!$B$5:$B$2000,$A504,Deductions!$E$5:$E$2000,"&gt;="&amp;Settings!$B$8,Deductions!$E$5:$E$2000,"&lt;="&amp;Settings!$B$9)-O504)</f>
        <v/>
      </c>
      <c r="Q504" s="26" t="str">
        <f aca="false">IF($A504="","",O504+P504)</f>
        <v/>
      </c>
      <c r="R504" s="23" t="str">
        <f aca="false">IF($A504="","",N504-Q504)</f>
        <v/>
      </c>
      <c r="S504" s="24" t="str">
        <f aca="false">IF($A504="","",INDEX(Workers!$O$5:$O$2004,MATCH($A504,Workers!$A$5:$A$2004,0))&amp;"")</f>
        <v/>
      </c>
      <c r="T504" s="24" t="str">
        <f aca="false">IF($A504="","",INDEX(Workers!$P$5:$P$2004,MATCH($A504,Workers!$A$5:$A$2004,0))&amp;"")</f>
        <v/>
      </c>
      <c r="U504" s="24" t="str">
        <f aca="false">IF($A504="","",INDEX(Workers!$H$5:$H$2004,MATCH($A504,Workers!$A$5:$A$2004,0))&amp;"")</f>
        <v/>
      </c>
    </row>
    <row r="505" customFormat="false" ht="15" hidden="false" customHeight="false" outlineLevel="0" collapsed="false">
      <c r="A505" s="24" t="str">
        <f aca="false">IFERROR(INDEX(Workers!$A$5:$A$2004,MATCH(ROW()-4,Workers!$U$5:$U$2004,0)),"")</f>
        <v/>
      </c>
      <c r="B505" s="24" t="str">
        <f aca="false">IF($A505="","",INDEX(Workers!$B$5:$B$2004,MATCH($A505,Workers!$A$5:$A$2004,0)))</f>
        <v/>
      </c>
      <c r="C505" s="24" t="str">
        <f aca="false">IF($A505="","",INDEX(Workers!$E$5:$E$2004,MATCH($A505,Workers!$A$5:$A$2004,0)))</f>
        <v/>
      </c>
      <c r="D505" s="24" t="str">
        <f aca="false">IF($A505="","",INDEX(Workers!$K$5:$K$2004,MATCH($A505,Workers!$A$5:$A$2004,0)))</f>
        <v/>
      </c>
      <c r="E505" s="25" t="str">
        <f aca="false">IF($A505="","",SUMIFS(Timesheet!$E$5:$E$3004,Timesheet!$D$5:$D$3004,$A505,Timesheet!$A$5:$A$3004,"&gt;="&amp;Settings!$B$8,Timesheet!$A$5:$A$3004,"&lt;="&amp;Settings!$B$9))</f>
        <v/>
      </c>
      <c r="F505" s="25" t="str">
        <f aca="false">IF($A505="","",SUMIFS(Timesheet!$F$5:$F$3004,Timesheet!$D$5:$D$3004,$A505,Timesheet!$A$5:$A$3004,"&gt;="&amp;Settings!$B$8,Timesheet!$A$5:$A$3004,"&lt;="&amp;Settings!$B$9))</f>
        <v/>
      </c>
      <c r="G505" s="25" t="str">
        <f aca="false">IF($A505="","",SUMIFS(Timesheet!$G$5:$G$3004,Timesheet!$D$5:$D$3004,$A505,Timesheet!$A$5:$A$3004,"&gt;="&amp;Settings!$B$8,Timesheet!$A$5:$A$3004,"&lt;="&amp;Settings!$B$9))</f>
        <v/>
      </c>
      <c r="H505" s="25" t="str">
        <f aca="false">IF($A505="","",IF(D505="Monthly",MAX(0,Settings!$B$11-E505),0))</f>
        <v/>
      </c>
      <c r="I505" s="26" t="str">
        <f aca="false">IF($A505="","",N(INDEX(Workers!$L$5:$L$2004,MATCH($A505,Workers!$A$5:$A$2004,0))))</f>
        <v/>
      </c>
      <c r="J505" s="26" t="str">
        <f aca="false">IF($A505="","",N(INDEX(Workers!$M$5:$M$2004,MATCH($A505,Workers!$A$5:$A$2004,0))))</f>
        <v/>
      </c>
      <c r="K505" s="26" t="str">
        <f aca="false">IF($A505="","",IF(D505="Monthly",ROUND(MAX(0,(I505+J505)-(I505+J505)/Settings!$B$10*H505),2),0))</f>
        <v/>
      </c>
      <c r="L505" s="26" t="str">
        <f aca="false">IF($A505="","",IF(D505="Hourly",ROUND(F505*N(INDEX(Workers!$N$5:$N$2004,MATCH($A505,Workers!$A$5:$A$2004,0))),2),0))</f>
        <v/>
      </c>
      <c r="M505" s="26" t="str">
        <f aca="false">IF($A505="","",ROUND(G505*IF(D505="Hourly",N(INDEX(Workers!$N$5:$N$2004,MATCH($A505,Workers!$A$5:$A$2004,0))),I505/Settings!$B$10/Settings!$B$12)*Settings!$B$13,2))</f>
        <v/>
      </c>
      <c r="N505" s="26" t="str">
        <f aca="false">IF($A505="","",K505+L505+M505)</f>
        <v/>
      </c>
      <c r="O505" s="26" t="str">
        <f aca="false">IF($A505="","",SUMIFS(Deductions!$D$5:$D$2000,Deductions!$B$5:$B$2000,$A505,Deductions!$C$5:$C$2000,"Advance",Deductions!$E$5:$E$2000,"&gt;="&amp;Settings!$B$8,Deductions!$E$5:$E$2000,"&lt;="&amp;Settings!$B$9))</f>
        <v/>
      </c>
      <c r="P505" s="26" t="str">
        <f aca="false">IF($A505="","",SUMIFS(Deductions!$D$5:$D$2000,Deductions!$B$5:$B$2000,$A505,Deductions!$E$5:$E$2000,"&gt;="&amp;Settings!$B$8,Deductions!$E$5:$E$2000,"&lt;="&amp;Settings!$B$9)-O505)</f>
        <v/>
      </c>
      <c r="Q505" s="26" t="str">
        <f aca="false">IF($A505="","",O505+P505)</f>
        <v/>
      </c>
      <c r="R505" s="23" t="str">
        <f aca="false">IF($A505="","",N505-Q505)</f>
        <v/>
      </c>
      <c r="S505" s="24" t="str">
        <f aca="false">IF($A505="","",INDEX(Workers!$O$5:$O$2004,MATCH($A505,Workers!$A$5:$A$2004,0))&amp;"")</f>
        <v/>
      </c>
      <c r="T505" s="24" t="str">
        <f aca="false">IF($A505="","",INDEX(Workers!$P$5:$P$2004,MATCH($A505,Workers!$A$5:$A$2004,0))&amp;"")</f>
        <v/>
      </c>
      <c r="U505" s="24" t="str">
        <f aca="false">IF($A505="","",INDEX(Workers!$H$5:$H$2004,MATCH($A505,Workers!$A$5:$A$2004,0))&amp;"")</f>
        <v/>
      </c>
    </row>
    <row r="506" customFormat="false" ht="15" hidden="false" customHeight="false" outlineLevel="0" collapsed="false">
      <c r="A506" s="24" t="str">
        <f aca="false">IFERROR(INDEX(Workers!$A$5:$A$2004,MATCH(ROW()-4,Workers!$U$5:$U$2004,0)),"")</f>
        <v/>
      </c>
      <c r="B506" s="24" t="str">
        <f aca="false">IF($A506="","",INDEX(Workers!$B$5:$B$2004,MATCH($A506,Workers!$A$5:$A$2004,0)))</f>
        <v/>
      </c>
      <c r="C506" s="24" t="str">
        <f aca="false">IF($A506="","",INDEX(Workers!$E$5:$E$2004,MATCH($A506,Workers!$A$5:$A$2004,0)))</f>
        <v/>
      </c>
      <c r="D506" s="24" t="str">
        <f aca="false">IF($A506="","",INDEX(Workers!$K$5:$K$2004,MATCH($A506,Workers!$A$5:$A$2004,0)))</f>
        <v/>
      </c>
      <c r="E506" s="25" t="str">
        <f aca="false">IF($A506="","",SUMIFS(Timesheet!$E$5:$E$3004,Timesheet!$D$5:$D$3004,$A506,Timesheet!$A$5:$A$3004,"&gt;="&amp;Settings!$B$8,Timesheet!$A$5:$A$3004,"&lt;="&amp;Settings!$B$9))</f>
        <v/>
      </c>
      <c r="F506" s="25" t="str">
        <f aca="false">IF($A506="","",SUMIFS(Timesheet!$F$5:$F$3004,Timesheet!$D$5:$D$3004,$A506,Timesheet!$A$5:$A$3004,"&gt;="&amp;Settings!$B$8,Timesheet!$A$5:$A$3004,"&lt;="&amp;Settings!$B$9))</f>
        <v/>
      </c>
      <c r="G506" s="25" t="str">
        <f aca="false">IF($A506="","",SUMIFS(Timesheet!$G$5:$G$3004,Timesheet!$D$5:$D$3004,$A506,Timesheet!$A$5:$A$3004,"&gt;="&amp;Settings!$B$8,Timesheet!$A$5:$A$3004,"&lt;="&amp;Settings!$B$9))</f>
        <v/>
      </c>
      <c r="H506" s="25" t="str">
        <f aca="false">IF($A506="","",IF(D506="Monthly",MAX(0,Settings!$B$11-E506),0))</f>
        <v/>
      </c>
      <c r="I506" s="26" t="str">
        <f aca="false">IF($A506="","",N(INDEX(Workers!$L$5:$L$2004,MATCH($A506,Workers!$A$5:$A$2004,0))))</f>
        <v/>
      </c>
      <c r="J506" s="26" t="str">
        <f aca="false">IF($A506="","",N(INDEX(Workers!$M$5:$M$2004,MATCH($A506,Workers!$A$5:$A$2004,0))))</f>
        <v/>
      </c>
      <c r="K506" s="26" t="str">
        <f aca="false">IF($A506="","",IF(D506="Monthly",ROUND(MAX(0,(I506+J506)-(I506+J506)/Settings!$B$10*H506),2),0))</f>
        <v/>
      </c>
      <c r="L506" s="26" t="str">
        <f aca="false">IF($A506="","",IF(D506="Hourly",ROUND(F506*N(INDEX(Workers!$N$5:$N$2004,MATCH($A506,Workers!$A$5:$A$2004,0))),2),0))</f>
        <v/>
      </c>
      <c r="M506" s="26" t="str">
        <f aca="false">IF($A506="","",ROUND(G506*IF(D506="Hourly",N(INDEX(Workers!$N$5:$N$2004,MATCH($A506,Workers!$A$5:$A$2004,0))),I506/Settings!$B$10/Settings!$B$12)*Settings!$B$13,2))</f>
        <v/>
      </c>
      <c r="N506" s="26" t="str">
        <f aca="false">IF($A506="","",K506+L506+M506)</f>
        <v/>
      </c>
      <c r="O506" s="26" t="str">
        <f aca="false">IF($A506="","",SUMIFS(Deductions!$D$5:$D$2000,Deductions!$B$5:$B$2000,$A506,Deductions!$C$5:$C$2000,"Advance",Deductions!$E$5:$E$2000,"&gt;="&amp;Settings!$B$8,Deductions!$E$5:$E$2000,"&lt;="&amp;Settings!$B$9))</f>
        <v/>
      </c>
      <c r="P506" s="26" t="str">
        <f aca="false">IF($A506="","",SUMIFS(Deductions!$D$5:$D$2000,Deductions!$B$5:$B$2000,$A506,Deductions!$E$5:$E$2000,"&gt;="&amp;Settings!$B$8,Deductions!$E$5:$E$2000,"&lt;="&amp;Settings!$B$9)-O506)</f>
        <v/>
      </c>
      <c r="Q506" s="26" t="str">
        <f aca="false">IF($A506="","",O506+P506)</f>
        <v/>
      </c>
      <c r="R506" s="23" t="str">
        <f aca="false">IF($A506="","",N506-Q506)</f>
        <v/>
      </c>
      <c r="S506" s="24" t="str">
        <f aca="false">IF($A506="","",INDEX(Workers!$O$5:$O$2004,MATCH($A506,Workers!$A$5:$A$2004,0))&amp;"")</f>
        <v/>
      </c>
      <c r="T506" s="24" t="str">
        <f aca="false">IF($A506="","",INDEX(Workers!$P$5:$P$2004,MATCH($A506,Workers!$A$5:$A$2004,0))&amp;"")</f>
        <v/>
      </c>
      <c r="U506" s="24" t="str">
        <f aca="false">IF($A506="","",INDEX(Workers!$H$5:$H$2004,MATCH($A506,Workers!$A$5:$A$2004,0))&amp;"")</f>
        <v/>
      </c>
    </row>
    <row r="507" customFormat="false" ht="15" hidden="false" customHeight="false" outlineLevel="0" collapsed="false">
      <c r="A507" s="24" t="str">
        <f aca="false">IFERROR(INDEX(Workers!$A$5:$A$2004,MATCH(ROW()-4,Workers!$U$5:$U$2004,0)),"")</f>
        <v/>
      </c>
      <c r="B507" s="24" t="str">
        <f aca="false">IF($A507="","",INDEX(Workers!$B$5:$B$2004,MATCH($A507,Workers!$A$5:$A$2004,0)))</f>
        <v/>
      </c>
      <c r="C507" s="24" t="str">
        <f aca="false">IF($A507="","",INDEX(Workers!$E$5:$E$2004,MATCH($A507,Workers!$A$5:$A$2004,0)))</f>
        <v/>
      </c>
      <c r="D507" s="24" t="str">
        <f aca="false">IF($A507="","",INDEX(Workers!$K$5:$K$2004,MATCH($A507,Workers!$A$5:$A$2004,0)))</f>
        <v/>
      </c>
      <c r="E507" s="25" t="str">
        <f aca="false">IF($A507="","",SUMIFS(Timesheet!$E$5:$E$3004,Timesheet!$D$5:$D$3004,$A507,Timesheet!$A$5:$A$3004,"&gt;="&amp;Settings!$B$8,Timesheet!$A$5:$A$3004,"&lt;="&amp;Settings!$B$9))</f>
        <v/>
      </c>
      <c r="F507" s="25" t="str">
        <f aca="false">IF($A507="","",SUMIFS(Timesheet!$F$5:$F$3004,Timesheet!$D$5:$D$3004,$A507,Timesheet!$A$5:$A$3004,"&gt;="&amp;Settings!$B$8,Timesheet!$A$5:$A$3004,"&lt;="&amp;Settings!$B$9))</f>
        <v/>
      </c>
      <c r="G507" s="25" t="str">
        <f aca="false">IF($A507="","",SUMIFS(Timesheet!$G$5:$G$3004,Timesheet!$D$5:$D$3004,$A507,Timesheet!$A$5:$A$3004,"&gt;="&amp;Settings!$B$8,Timesheet!$A$5:$A$3004,"&lt;="&amp;Settings!$B$9))</f>
        <v/>
      </c>
      <c r="H507" s="25" t="str">
        <f aca="false">IF($A507="","",IF(D507="Monthly",MAX(0,Settings!$B$11-E507),0))</f>
        <v/>
      </c>
      <c r="I507" s="26" t="str">
        <f aca="false">IF($A507="","",N(INDEX(Workers!$L$5:$L$2004,MATCH($A507,Workers!$A$5:$A$2004,0))))</f>
        <v/>
      </c>
      <c r="J507" s="26" t="str">
        <f aca="false">IF($A507="","",N(INDEX(Workers!$M$5:$M$2004,MATCH($A507,Workers!$A$5:$A$2004,0))))</f>
        <v/>
      </c>
      <c r="K507" s="26" t="str">
        <f aca="false">IF($A507="","",IF(D507="Monthly",ROUND(MAX(0,(I507+J507)-(I507+J507)/Settings!$B$10*H507),2),0))</f>
        <v/>
      </c>
      <c r="L507" s="26" t="str">
        <f aca="false">IF($A507="","",IF(D507="Hourly",ROUND(F507*N(INDEX(Workers!$N$5:$N$2004,MATCH($A507,Workers!$A$5:$A$2004,0))),2),0))</f>
        <v/>
      </c>
      <c r="M507" s="26" t="str">
        <f aca="false">IF($A507="","",ROUND(G507*IF(D507="Hourly",N(INDEX(Workers!$N$5:$N$2004,MATCH($A507,Workers!$A$5:$A$2004,0))),I507/Settings!$B$10/Settings!$B$12)*Settings!$B$13,2))</f>
        <v/>
      </c>
      <c r="N507" s="26" t="str">
        <f aca="false">IF($A507="","",K507+L507+M507)</f>
        <v/>
      </c>
      <c r="O507" s="26" t="str">
        <f aca="false">IF($A507="","",SUMIFS(Deductions!$D$5:$D$2000,Deductions!$B$5:$B$2000,$A507,Deductions!$C$5:$C$2000,"Advance",Deductions!$E$5:$E$2000,"&gt;="&amp;Settings!$B$8,Deductions!$E$5:$E$2000,"&lt;="&amp;Settings!$B$9))</f>
        <v/>
      </c>
      <c r="P507" s="26" t="str">
        <f aca="false">IF($A507="","",SUMIFS(Deductions!$D$5:$D$2000,Deductions!$B$5:$B$2000,$A507,Deductions!$E$5:$E$2000,"&gt;="&amp;Settings!$B$8,Deductions!$E$5:$E$2000,"&lt;="&amp;Settings!$B$9)-O507)</f>
        <v/>
      </c>
      <c r="Q507" s="26" t="str">
        <f aca="false">IF($A507="","",O507+P507)</f>
        <v/>
      </c>
      <c r="R507" s="23" t="str">
        <f aca="false">IF($A507="","",N507-Q507)</f>
        <v/>
      </c>
      <c r="S507" s="24" t="str">
        <f aca="false">IF($A507="","",INDEX(Workers!$O$5:$O$2004,MATCH($A507,Workers!$A$5:$A$2004,0))&amp;"")</f>
        <v/>
      </c>
      <c r="T507" s="24" t="str">
        <f aca="false">IF($A507="","",INDEX(Workers!$P$5:$P$2004,MATCH($A507,Workers!$A$5:$A$2004,0))&amp;"")</f>
        <v/>
      </c>
      <c r="U507" s="24" t="str">
        <f aca="false">IF($A507="","",INDEX(Workers!$H$5:$H$2004,MATCH($A507,Workers!$A$5:$A$2004,0))&amp;"")</f>
        <v/>
      </c>
    </row>
    <row r="508" customFormat="false" ht="15" hidden="false" customHeight="false" outlineLevel="0" collapsed="false">
      <c r="A508" s="24" t="str">
        <f aca="false">IFERROR(INDEX(Workers!$A$5:$A$2004,MATCH(ROW()-4,Workers!$U$5:$U$2004,0)),"")</f>
        <v/>
      </c>
      <c r="B508" s="24" t="str">
        <f aca="false">IF($A508="","",INDEX(Workers!$B$5:$B$2004,MATCH($A508,Workers!$A$5:$A$2004,0)))</f>
        <v/>
      </c>
      <c r="C508" s="24" t="str">
        <f aca="false">IF($A508="","",INDEX(Workers!$E$5:$E$2004,MATCH($A508,Workers!$A$5:$A$2004,0)))</f>
        <v/>
      </c>
      <c r="D508" s="24" t="str">
        <f aca="false">IF($A508="","",INDEX(Workers!$K$5:$K$2004,MATCH($A508,Workers!$A$5:$A$2004,0)))</f>
        <v/>
      </c>
      <c r="E508" s="25" t="str">
        <f aca="false">IF($A508="","",SUMIFS(Timesheet!$E$5:$E$3004,Timesheet!$D$5:$D$3004,$A508,Timesheet!$A$5:$A$3004,"&gt;="&amp;Settings!$B$8,Timesheet!$A$5:$A$3004,"&lt;="&amp;Settings!$B$9))</f>
        <v/>
      </c>
      <c r="F508" s="25" t="str">
        <f aca="false">IF($A508="","",SUMIFS(Timesheet!$F$5:$F$3004,Timesheet!$D$5:$D$3004,$A508,Timesheet!$A$5:$A$3004,"&gt;="&amp;Settings!$B$8,Timesheet!$A$5:$A$3004,"&lt;="&amp;Settings!$B$9))</f>
        <v/>
      </c>
      <c r="G508" s="25" t="str">
        <f aca="false">IF($A508="","",SUMIFS(Timesheet!$G$5:$G$3004,Timesheet!$D$5:$D$3004,$A508,Timesheet!$A$5:$A$3004,"&gt;="&amp;Settings!$B$8,Timesheet!$A$5:$A$3004,"&lt;="&amp;Settings!$B$9))</f>
        <v/>
      </c>
      <c r="H508" s="25" t="str">
        <f aca="false">IF($A508="","",IF(D508="Monthly",MAX(0,Settings!$B$11-E508),0))</f>
        <v/>
      </c>
      <c r="I508" s="26" t="str">
        <f aca="false">IF($A508="","",N(INDEX(Workers!$L$5:$L$2004,MATCH($A508,Workers!$A$5:$A$2004,0))))</f>
        <v/>
      </c>
      <c r="J508" s="26" t="str">
        <f aca="false">IF($A508="","",N(INDEX(Workers!$M$5:$M$2004,MATCH($A508,Workers!$A$5:$A$2004,0))))</f>
        <v/>
      </c>
      <c r="K508" s="26" t="str">
        <f aca="false">IF($A508="","",IF(D508="Monthly",ROUND(MAX(0,(I508+J508)-(I508+J508)/Settings!$B$10*H508),2),0))</f>
        <v/>
      </c>
      <c r="L508" s="26" t="str">
        <f aca="false">IF($A508="","",IF(D508="Hourly",ROUND(F508*N(INDEX(Workers!$N$5:$N$2004,MATCH($A508,Workers!$A$5:$A$2004,0))),2),0))</f>
        <v/>
      </c>
      <c r="M508" s="26" t="str">
        <f aca="false">IF($A508="","",ROUND(G508*IF(D508="Hourly",N(INDEX(Workers!$N$5:$N$2004,MATCH($A508,Workers!$A$5:$A$2004,0))),I508/Settings!$B$10/Settings!$B$12)*Settings!$B$13,2))</f>
        <v/>
      </c>
      <c r="N508" s="26" t="str">
        <f aca="false">IF($A508="","",K508+L508+M508)</f>
        <v/>
      </c>
      <c r="O508" s="26" t="str">
        <f aca="false">IF($A508="","",SUMIFS(Deductions!$D$5:$D$2000,Deductions!$B$5:$B$2000,$A508,Deductions!$C$5:$C$2000,"Advance",Deductions!$E$5:$E$2000,"&gt;="&amp;Settings!$B$8,Deductions!$E$5:$E$2000,"&lt;="&amp;Settings!$B$9))</f>
        <v/>
      </c>
      <c r="P508" s="26" t="str">
        <f aca="false">IF($A508="","",SUMIFS(Deductions!$D$5:$D$2000,Deductions!$B$5:$B$2000,$A508,Deductions!$E$5:$E$2000,"&gt;="&amp;Settings!$B$8,Deductions!$E$5:$E$2000,"&lt;="&amp;Settings!$B$9)-O508)</f>
        <v/>
      </c>
      <c r="Q508" s="26" t="str">
        <f aca="false">IF($A508="","",O508+P508)</f>
        <v/>
      </c>
      <c r="R508" s="23" t="str">
        <f aca="false">IF($A508="","",N508-Q508)</f>
        <v/>
      </c>
      <c r="S508" s="24" t="str">
        <f aca="false">IF($A508="","",INDEX(Workers!$O$5:$O$2004,MATCH($A508,Workers!$A$5:$A$2004,0))&amp;"")</f>
        <v/>
      </c>
      <c r="T508" s="24" t="str">
        <f aca="false">IF($A508="","",INDEX(Workers!$P$5:$P$2004,MATCH($A508,Workers!$A$5:$A$2004,0))&amp;"")</f>
        <v/>
      </c>
      <c r="U508" s="24" t="str">
        <f aca="false">IF($A508="","",INDEX(Workers!$H$5:$H$2004,MATCH($A508,Workers!$A$5:$A$2004,0))&amp;"")</f>
        <v/>
      </c>
    </row>
    <row r="509" customFormat="false" ht="15" hidden="false" customHeight="false" outlineLevel="0" collapsed="false">
      <c r="A509" s="24" t="str">
        <f aca="false">IFERROR(INDEX(Workers!$A$5:$A$2004,MATCH(ROW()-4,Workers!$U$5:$U$2004,0)),"")</f>
        <v/>
      </c>
      <c r="B509" s="24" t="str">
        <f aca="false">IF($A509="","",INDEX(Workers!$B$5:$B$2004,MATCH($A509,Workers!$A$5:$A$2004,0)))</f>
        <v/>
      </c>
      <c r="C509" s="24" t="str">
        <f aca="false">IF($A509="","",INDEX(Workers!$E$5:$E$2004,MATCH($A509,Workers!$A$5:$A$2004,0)))</f>
        <v/>
      </c>
      <c r="D509" s="24" t="str">
        <f aca="false">IF($A509="","",INDEX(Workers!$K$5:$K$2004,MATCH($A509,Workers!$A$5:$A$2004,0)))</f>
        <v/>
      </c>
      <c r="E509" s="25" t="str">
        <f aca="false">IF($A509="","",SUMIFS(Timesheet!$E$5:$E$3004,Timesheet!$D$5:$D$3004,$A509,Timesheet!$A$5:$A$3004,"&gt;="&amp;Settings!$B$8,Timesheet!$A$5:$A$3004,"&lt;="&amp;Settings!$B$9))</f>
        <v/>
      </c>
      <c r="F509" s="25" t="str">
        <f aca="false">IF($A509="","",SUMIFS(Timesheet!$F$5:$F$3004,Timesheet!$D$5:$D$3004,$A509,Timesheet!$A$5:$A$3004,"&gt;="&amp;Settings!$B$8,Timesheet!$A$5:$A$3004,"&lt;="&amp;Settings!$B$9))</f>
        <v/>
      </c>
      <c r="G509" s="25" t="str">
        <f aca="false">IF($A509="","",SUMIFS(Timesheet!$G$5:$G$3004,Timesheet!$D$5:$D$3004,$A509,Timesheet!$A$5:$A$3004,"&gt;="&amp;Settings!$B$8,Timesheet!$A$5:$A$3004,"&lt;="&amp;Settings!$B$9))</f>
        <v/>
      </c>
      <c r="H509" s="25" t="str">
        <f aca="false">IF($A509="","",IF(D509="Monthly",MAX(0,Settings!$B$11-E509),0))</f>
        <v/>
      </c>
      <c r="I509" s="26" t="str">
        <f aca="false">IF($A509="","",N(INDEX(Workers!$L$5:$L$2004,MATCH($A509,Workers!$A$5:$A$2004,0))))</f>
        <v/>
      </c>
      <c r="J509" s="26" t="str">
        <f aca="false">IF($A509="","",N(INDEX(Workers!$M$5:$M$2004,MATCH($A509,Workers!$A$5:$A$2004,0))))</f>
        <v/>
      </c>
      <c r="K509" s="26" t="str">
        <f aca="false">IF($A509="","",IF(D509="Monthly",ROUND(MAX(0,(I509+J509)-(I509+J509)/Settings!$B$10*H509),2),0))</f>
        <v/>
      </c>
      <c r="L509" s="26" t="str">
        <f aca="false">IF($A509="","",IF(D509="Hourly",ROUND(F509*N(INDEX(Workers!$N$5:$N$2004,MATCH($A509,Workers!$A$5:$A$2004,0))),2),0))</f>
        <v/>
      </c>
      <c r="M509" s="26" t="str">
        <f aca="false">IF($A509="","",ROUND(G509*IF(D509="Hourly",N(INDEX(Workers!$N$5:$N$2004,MATCH($A509,Workers!$A$5:$A$2004,0))),I509/Settings!$B$10/Settings!$B$12)*Settings!$B$13,2))</f>
        <v/>
      </c>
      <c r="N509" s="26" t="str">
        <f aca="false">IF($A509="","",K509+L509+M509)</f>
        <v/>
      </c>
      <c r="O509" s="26" t="str">
        <f aca="false">IF($A509="","",SUMIFS(Deductions!$D$5:$D$2000,Deductions!$B$5:$B$2000,$A509,Deductions!$C$5:$C$2000,"Advance",Deductions!$E$5:$E$2000,"&gt;="&amp;Settings!$B$8,Deductions!$E$5:$E$2000,"&lt;="&amp;Settings!$B$9))</f>
        <v/>
      </c>
      <c r="P509" s="26" t="str">
        <f aca="false">IF($A509="","",SUMIFS(Deductions!$D$5:$D$2000,Deductions!$B$5:$B$2000,$A509,Deductions!$E$5:$E$2000,"&gt;="&amp;Settings!$B$8,Deductions!$E$5:$E$2000,"&lt;="&amp;Settings!$B$9)-O509)</f>
        <v/>
      </c>
      <c r="Q509" s="26" t="str">
        <f aca="false">IF($A509="","",O509+P509)</f>
        <v/>
      </c>
      <c r="R509" s="23" t="str">
        <f aca="false">IF($A509="","",N509-Q509)</f>
        <v/>
      </c>
      <c r="S509" s="24" t="str">
        <f aca="false">IF($A509="","",INDEX(Workers!$O$5:$O$2004,MATCH($A509,Workers!$A$5:$A$2004,0))&amp;"")</f>
        <v/>
      </c>
      <c r="T509" s="24" t="str">
        <f aca="false">IF($A509="","",INDEX(Workers!$P$5:$P$2004,MATCH($A509,Workers!$A$5:$A$2004,0))&amp;"")</f>
        <v/>
      </c>
      <c r="U509" s="24" t="str">
        <f aca="false">IF($A509="","",INDEX(Workers!$H$5:$H$2004,MATCH($A509,Workers!$A$5:$A$2004,0))&amp;"")</f>
        <v/>
      </c>
    </row>
    <row r="510" customFormat="false" ht="15" hidden="false" customHeight="false" outlineLevel="0" collapsed="false">
      <c r="A510" s="24" t="str">
        <f aca="false">IFERROR(INDEX(Workers!$A$5:$A$2004,MATCH(ROW()-4,Workers!$U$5:$U$2004,0)),"")</f>
        <v/>
      </c>
      <c r="B510" s="24" t="str">
        <f aca="false">IF($A510="","",INDEX(Workers!$B$5:$B$2004,MATCH($A510,Workers!$A$5:$A$2004,0)))</f>
        <v/>
      </c>
      <c r="C510" s="24" t="str">
        <f aca="false">IF($A510="","",INDEX(Workers!$E$5:$E$2004,MATCH($A510,Workers!$A$5:$A$2004,0)))</f>
        <v/>
      </c>
      <c r="D510" s="24" t="str">
        <f aca="false">IF($A510="","",INDEX(Workers!$K$5:$K$2004,MATCH($A510,Workers!$A$5:$A$2004,0)))</f>
        <v/>
      </c>
      <c r="E510" s="25" t="str">
        <f aca="false">IF($A510="","",SUMIFS(Timesheet!$E$5:$E$3004,Timesheet!$D$5:$D$3004,$A510,Timesheet!$A$5:$A$3004,"&gt;="&amp;Settings!$B$8,Timesheet!$A$5:$A$3004,"&lt;="&amp;Settings!$B$9))</f>
        <v/>
      </c>
      <c r="F510" s="25" t="str">
        <f aca="false">IF($A510="","",SUMIFS(Timesheet!$F$5:$F$3004,Timesheet!$D$5:$D$3004,$A510,Timesheet!$A$5:$A$3004,"&gt;="&amp;Settings!$B$8,Timesheet!$A$5:$A$3004,"&lt;="&amp;Settings!$B$9))</f>
        <v/>
      </c>
      <c r="G510" s="25" t="str">
        <f aca="false">IF($A510="","",SUMIFS(Timesheet!$G$5:$G$3004,Timesheet!$D$5:$D$3004,$A510,Timesheet!$A$5:$A$3004,"&gt;="&amp;Settings!$B$8,Timesheet!$A$5:$A$3004,"&lt;="&amp;Settings!$B$9))</f>
        <v/>
      </c>
      <c r="H510" s="25" t="str">
        <f aca="false">IF($A510="","",IF(D510="Monthly",MAX(0,Settings!$B$11-E510),0))</f>
        <v/>
      </c>
      <c r="I510" s="26" t="str">
        <f aca="false">IF($A510="","",N(INDEX(Workers!$L$5:$L$2004,MATCH($A510,Workers!$A$5:$A$2004,0))))</f>
        <v/>
      </c>
      <c r="J510" s="26" t="str">
        <f aca="false">IF($A510="","",N(INDEX(Workers!$M$5:$M$2004,MATCH($A510,Workers!$A$5:$A$2004,0))))</f>
        <v/>
      </c>
      <c r="K510" s="26" t="str">
        <f aca="false">IF($A510="","",IF(D510="Monthly",ROUND(MAX(0,(I510+J510)-(I510+J510)/Settings!$B$10*H510),2),0))</f>
        <v/>
      </c>
      <c r="L510" s="26" t="str">
        <f aca="false">IF($A510="","",IF(D510="Hourly",ROUND(F510*N(INDEX(Workers!$N$5:$N$2004,MATCH($A510,Workers!$A$5:$A$2004,0))),2),0))</f>
        <v/>
      </c>
      <c r="M510" s="26" t="str">
        <f aca="false">IF($A510="","",ROUND(G510*IF(D510="Hourly",N(INDEX(Workers!$N$5:$N$2004,MATCH($A510,Workers!$A$5:$A$2004,0))),I510/Settings!$B$10/Settings!$B$12)*Settings!$B$13,2))</f>
        <v/>
      </c>
      <c r="N510" s="26" t="str">
        <f aca="false">IF($A510="","",K510+L510+M510)</f>
        <v/>
      </c>
      <c r="O510" s="26" t="str">
        <f aca="false">IF($A510="","",SUMIFS(Deductions!$D$5:$D$2000,Deductions!$B$5:$B$2000,$A510,Deductions!$C$5:$C$2000,"Advance",Deductions!$E$5:$E$2000,"&gt;="&amp;Settings!$B$8,Deductions!$E$5:$E$2000,"&lt;="&amp;Settings!$B$9))</f>
        <v/>
      </c>
      <c r="P510" s="26" t="str">
        <f aca="false">IF($A510="","",SUMIFS(Deductions!$D$5:$D$2000,Deductions!$B$5:$B$2000,$A510,Deductions!$E$5:$E$2000,"&gt;="&amp;Settings!$B$8,Deductions!$E$5:$E$2000,"&lt;="&amp;Settings!$B$9)-O510)</f>
        <v/>
      </c>
      <c r="Q510" s="26" t="str">
        <f aca="false">IF($A510="","",O510+P510)</f>
        <v/>
      </c>
      <c r="R510" s="23" t="str">
        <f aca="false">IF($A510="","",N510-Q510)</f>
        <v/>
      </c>
      <c r="S510" s="24" t="str">
        <f aca="false">IF($A510="","",INDEX(Workers!$O$5:$O$2004,MATCH($A510,Workers!$A$5:$A$2004,0))&amp;"")</f>
        <v/>
      </c>
      <c r="T510" s="24" t="str">
        <f aca="false">IF($A510="","",INDEX(Workers!$P$5:$P$2004,MATCH($A510,Workers!$A$5:$A$2004,0))&amp;"")</f>
        <v/>
      </c>
      <c r="U510" s="24" t="str">
        <f aca="false">IF($A510="","",INDEX(Workers!$H$5:$H$2004,MATCH($A510,Workers!$A$5:$A$2004,0))&amp;"")</f>
        <v/>
      </c>
    </row>
    <row r="511" customFormat="false" ht="15" hidden="false" customHeight="false" outlineLevel="0" collapsed="false">
      <c r="A511" s="24" t="str">
        <f aca="false">IFERROR(INDEX(Workers!$A$5:$A$2004,MATCH(ROW()-4,Workers!$U$5:$U$2004,0)),"")</f>
        <v/>
      </c>
      <c r="B511" s="24" t="str">
        <f aca="false">IF($A511="","",INDEX(Workers!$B$5:$B$2004,MATCH($A511,Workers!$A$5:$A$2004,0)))</f>
        <v/>
      </c>
      <c r="C511" s="24" t="str">
        <f aca="false">IF($A511="","",INDEX(Workers!$E$5:$E$2004,MATCH($A511,Workers!$A$5:$A$2004,0)))</f>
        <v/>
      </c>
      <c r="D511" s="24" t="str">
        <f aca="false">IF($A511="","",INDEX(Workers!$K$5:$K$2004,MATCH($A511,Workers!$A$5:$A$2004,0)))</f>
        <v/>
      </c>
      <c r="E511" s="25" t="str">
        <f aca="false">IF($A511="","",SUMIFS(Timesheet!$E$5:$E$3004,Timesheet!$D$5:$D$3004,$A511,Timesheet!$A$5:$A$3004,"&gt;="&amp;Settings!$B$8,Timesheet!$A$5:$A$3004,"&lt;="&amp;Settings!$B$9))</f>
        <v/>
      </c>
      <c r="F511" s="25" t="str">
        <f aca="false">IF($A511="","",SUMIFS(Timesheet!$F$5:$F$3004,Timesheet!$D$5:$D$3004,$A511,Timesheet!$A$5:$A$3004,"&gt;="&amp;Settings!$B$8,Timesheet!$A$5:$A$3004,"&lt;="&amp;Settings!$B$9))</f>
        <v/>
      </c>
      <c r="G511" s="25" t="str">
        <f aca="false">IF($A511="","",SUMIFS(Timesheet!$G$5:$G$3004,Timesheet!$D$5:$D$3004,$A511,Timesheet!$A$5:$A$3004,"&gt;="&amp;Settings!$B$8,Timesheet!$A$5:$A$3004,"&lt;="&amp;Settings!$B$9))</f>
        <v/>
      </c>
      <c r="H511" s="25" t="str">
        <f aca="false">IF($A511="","",IF(D511="Monthly",MAX(0,Settings!$B$11-E511),0))</f>
        <v/>
      </c>
      <c r="I511" s="26" t="str">
        <f aca="false">IF($A511="","",N(INDEX(Workers!$L$5:$L$2004,MATCH($A511,Workers!$A$5:$A$2004,0))))</f>
        <v/>
      </c>
      <c r="J511" s="26" t="str">
        <f aca="false">IF($A511="","",N(INDEX(Workers!$M$5:$M$2004,MATCH($A511,Workers!$A$5:$A$2004,0))))</f>
        <v/>
      </c>
      <c r="K511" s="26" t="str">
        <f aca="false">IF($A511="","",IF(D511="Monthly",ROUND(MAX(0,(I511+J511)-(I511+J511)/Settings!$B$10*H511),2),0))</f>
        <v/>
      </c>
      <c r="L511" s="26" t="str">
        <f aca="false">IF($A511="","",IF(D511="Hourly",ROUND(F511*N(INDEX(Workers!$N$5:$N$2004,MATCH($A511,Workers!$A$5:$A$2004,0))),2),0))</f>
        <v/>
      </c>
      <c r="M511" s="26" t="str">
        <f aca="false">IF($A511="","",ROUND(G511*IF(D511="Hourly",N(INDEX(Workers!$N$5:$N$2004,MATCH($A511,Workers!$A$5:$A$2004,0))),I511/Settings!$B$10/Settings!$B$12)*Settings!$B$13,2))</f>
        <v/>
      </c>
      <c r="N511" s="26" t="str">
        <f aca="false">IF($A511="","",K511+L511+M511)</f>
        <v/>
      </c>
      <c r="O511" s="26" t="str">
        <f aca="false">IF($A511="","",SUMIFS(Deductions!$D$5:$D$2000,Deductions!$B$5:$B$2000,$A511,Deductions!$C$5:$C$2000,"Advance",Deductions!$E$5:$E$2000,"&gt;="&amp;Settings!$B$8,Deductions!$E$5:$E$2000,"&lt;="&amp;Settings!$B$9))</f>
        <v/>
      </c>
      <c r="P511" s="26" t="str">
        <f aca="false">IF($A511="","",SUMIFS(Deductions!$D$5:$D$2000,Deductions!$B$5:$B$2000,$A511,Deductions!$E$5:$E$2000,"&gt;="&amp;Settings!$B$8,Deductions!$E$5:$E$2000,"&lt;="&amp;Settings!$B$9)-O511)</f>
        <v/>
      </c>
      <c r="Q511" s="26" t="str">
        <f aca="false">IF($A511="","",O511+P511)</f>
        <v/>
      </c>
      <c r="R511" s="23" t="str">
        <f aca="false">IF($A511="","",N511-Q511)</f>
        <v/>
      </c>
      <c r="S511" s="24" t="str">
        <f aca="false">IF($A511="","",INDEX(Workers!$O$5:$O$2004,MATCH($A511,Workers!$A$5:$A$2004,0))&amp;"")</f>
        <v/>
      </c>
      <c r="T511" s="24" t="str">
        <f aca="false">IF($A511="","",INDEX(Workers!$P$5:$P$2004,MATCH($A511,Workers!$A$5:$A$2004,0))&amp;"")</f>
        <v/>
      </c>
      <c r="U511" s="24" t="str">
        <f aca="false">IF($A511="","",INDEX(Workers!$H$5:$H$2004,MATCH($A511,Workers!$A$5:$A$2004,0))&amp;"")</f>
        <v/>
      </c>
    </row>
    <row r="512" customFormat="false" ht="15" hidden="false" customHeight="false" outlineLevel="0" collapsed="false">
      <c r="A512" s="24" t="str">
        <f aca="false">IFERROR(INDEX(Workers!$A$5:$A$2004,MATCH(ROW()-4,Workers!$U$5:$U$2004,0)),"")</f>
        <v/>
      </c>
      <c r="B512" s="24" t="str">
        <f aca="false">IF($A512="","",INDEX(Workers!$B$5:$B$2004,MATCH($A512,Workers!$A$5:$A$2004,0)))</f>
        <v/>
      </c>
      <c r="C512" s="24" t="str">
        <f aca="false">IF($A512="","",INDEX(Workers!$E$5:$E$2004,MATCH($A512,Workers!$A$5:$A$2004,0)))</f>
        <v/>
      </c>
      <c r="D512" s="24" t="str">
        <f aca="false">IF($A512="","",INDEX(Workers!$K$5:$K$2004,MATCH($A512,Workers!$A$5:$A$2004,0)))</f>
        <v/>
      </c>
      <c r="E512" s="25" t="str">
        <f aca="false">IF($A512="","",SUMIFS(Timesheet!$E$5:$E$3004,Timesheet!$D$5:$D$3004,$A512,Timesheet!$A$5:$A$3004,"&gt;="&amp;Settings!$B$8,Timesheet!$A$5:$A$3004,"&lt;="&amp;Settings!$B$9))</f>
        <v/>
      </c>
      <c r="F512" s="25" t="str">
        <f aca="false">IF($A512="","",SUMIFS(Timesheet!$F$5:$F$3004,Timesheet!$D$5:$D$3004,$A512,Timesheet!$A$5:$A$3004,"&gt;="&amp;Settings!$B$8,Timesheet!$A$5:$A$3004,"&lt;="&amp;Settings!$B$9))</f>
        <v/>
      </c>
      <c r="G512" s="25" t="str">
        <f aca="false">IF($A512="","",SUMIFS(Timesheet!$G$5:$G$3004,Timesheet!$D$5:$D$3004,$A512,Timesheet!$A$5:$A$3004,"&gt;="&amp;Settings!$B$8,Timesheet!$A$5:$A$3004,"&lt;="&amp;Settings!$B$9))</f>
        <v/>
      </c>
      <c r="H512" s="25" t="str">
        <f aca="false">IF($A512="","",IF(D512="Monthly",MAX(0,Settings!$B$11-E512),0))</f>
        <v/>
      </c>
      <c r="I512" s="26" t="str">
        <f aca="false">IF($A512="","",N(INDEX(Workers!$L$5:$L$2004,MATCH($A512,Workers!$A$5:$A$2004,0))))</f>
        <v/>
      </c>
      <c r="J512" s="26" t="str">
        <f aca="false">IF($A512="","",N(INDEX(Workers!$M$5:$M$2004,MATCH($A512,Workers!$A$5:$A$2004,0))))</f>
        <v/>
      </c>
      <c r="K512" s="26" t="str">
        <f aca="false">IF($A512="","",IF(D512="Monthly",ROUND(MAX(0,(I512+J512)-(I512+J512)/Settings!$B$10*H512),2),0))</f>
        <v/>
      </c>
      <c r="L512" s="26" t="str">
        <f aca="false">IF($A512="","",IF(D512="Hourly",ROUND(F512*N(INDEX(Workers!$N$5:$N$2004,MATCH($A512,Workers!$A$5:$A$2004,0))),2),0))</f>
        <v/>
      </c>
      <c r="M512" s="26" t="str">
        <f aca="false">IF($A512="","",ROUND(G512*IF(D512="Hourly",N(INDEX(Workers!$N$5:$N$2004,MATCH($A512,Workers!$A$5:$A$2004,0))),I512/Settings!$B$10/Settings!$B$12)*Settings!$B$13,2))</f>
        <v/>
      </c>
      <c r="N512" s="26" t="str">
        <f aca="false">IF($A512="","",K512+L512+M512)</f>
        <v/>
      </c>
      <c r="O512" s="26" t="str">
        <f aca="false">IF($A512="","",SUMIFS(Deductions!$D$5:$D$2000,Deductions!$B$5:$B$2000,$A512,Deductions!$C$5:$C$2000,"Advance",Deductions!$E$5:$E$2000,"&gt;="&amp;Settings!$B$8,Deductions!$E$5:$E$2000,"&lt;="&amp;Settings!$B$9))</f>
        <v/>
      </c>
      <c r="P512" s="26" t="str">
        <f aca="false">IF($A512="","",SUMIFS(Deductions!$D$5:$D$2000,Deductions!$B$5:$B$2000,$A512,Deductions!$E$5:$E$2000,"&gt;="&amp;Settings!$B$8,Deductions!$E$5:$E$2000,"&lt;="&amp;Settings!$B$9)-O512)</f>
        <v/>
      </c>
      <c r="Q512" s="26" t="str">
        <f aca="false">IF($A512="","",O512+P512)</f>
        <v/>
      </c>
      <c r="R512" s="23" t="str">
        <f aca="false">IF($A512="","",N512-Q512)</f>
        <v/>
      </c>
      <c r="S512" s="24" t="str">
        <f aca="false">IF($A512="","",INDEX(Workers!$O$5:$O$2004,MATCH($A512,Workers!$A$5:$A$2004,0))&amp;"")</f>
        <v/>
      </c>
      <c r="T512" s="24" t="str">
        <f aca="false">IF($A512="","",INDEX(Workers!$P$5:$P$2004,MATCH($A512,Workers!$A$5:$A$2004,0))&amp;"")</f>
        <v/>
      </c>
      <c r="U512" s="24" t="str">
        <f aca="false">IF($A512="","",INDEX(Workers!$H$5:$H$2004,MATCH($A512,Workers!$A$5:$A$2004,0))&amp;"")</f>
        <v/>
      </c>
    </row>
    <row r="513" customFormat="false" ht="15" hidden="false" customHeight="false" outlineLevel="0" collapsed="false">
      <c r="A513" s="24" t="str">
        <f aca="false">IFERROR(INDEX(Workers!$A$5:$A$2004,MATCH(ROW()-4,Workers!$U$5:$U$2004,0)),"")</f>
        <v/>
      </c>
      <c r="B513" s="24" t="str">
        <f aca="false">IF($A513="","",INDEX(Workers!$B$5:$B$2004,MATCH($A513,Workers!$A$5:$A$2004,0)))</f>
        <v/>
      </c>
      <c r="C513" s="24" t="str">
        <f aca="false">IF($A513="","",INDEX(Workers!$E$5:$E$2004,MATCH($A513,Workers!$A$5:$A$2004,0)))</f>
        <v/>
      </c>
      <c r="D513" s="24" t="str">
        <f aca="false">IF($A513="","",INDEX(Workers!$K$5:$K$2004,MATCH($A513,Workers!$A$5:$A$2004,0)))</f>
        <v/>
      </c>
      <c r="E513" s="25" t="str">
        <f aca="false">IF($A513="","",SUMIFS(Timesheet!$E$5:$E$3004,Timesheet!$D$5:$D$3004,$A513,Timesheet!$A$5:$A$3004,"&gt;="&amp;Settings!$B$8,Timesheet!$A$5:$A$3004,"&lt;="&amp;Settings!$B$9))</f>
        <v/>
      </c>
      <c r="F513" s="25" t="str">
        <f aca="false">IF($A513="","",SUMIFS(Timesheet!$F$5:$F$3004,Timesheet!$D$5:$D$3004,$A513,Timesheet!$A$5:$A$3004,"&gt;="&amp;Settings!$B$8,Timesheet!$A$5:$A$3004,"&lt;="&amp;Settings!$B$9))</f>
        <v/>
      </c>
      <c r="G513" s="25" t="str">
        <f aca="false">IF($A513="","",SUMIFS(Timesheet!$G$5:$G$3004,Timesheet!$D$5:$D$3004,$A513,Timesheet!$A$5:$A$3004,"&gt;="&amp;Settings!$B$8,Timesheet!$A$5:$A$3004,"&lt;="&amp;Settings!$B$9))</f>
        <v/>
      </c>
      <c r="H513" s="25" t="str">
        <f aca="false">IF($A513="","",IF(D513="Monthly",MAX(0,Settings!$B$11-E513),0))</f>
        <v/>
      </c>
      <c r="I513" s="26" t="str">
        <f aca="false">IF($A513="","",N(INDEX(Workers!$L$5:$L$2004,MATCH($A513,Workers!$A$5:$A$2004,0))))</f>
        <v/>
      </c>
      <c r="J513" s="26" t="str">
        <f aca="false">IF($A513="","",N(INDEX(Workers!$M$5:$M$2004,MATCH($A513,Workers!$A$5:$A$2004,0))))</f>
        <v/>
      </c>
      <c r="K513" s="26" t="str">
        <f aca="false">IF($A513="","",IF(D513="Monthly",ROUND(MAX(0,(I513+J513)-(I513+J513)/Settings!$B$10*H513),2),0))</f>
        <v/>
      </c>
      <c r="L513" s="26" t="str">
        <f aca="false">IF($A513="","",IF(D513="Hourly",ROUND(F513*N(INDEX(Workers!$N$5:$N$2004,MATCH($A513,Workers!$A$5:$A$2004,0))),2),0))</f>
        <v/>
      </c>
      <c r="M513" s="26" t="str">
        <f aca="false">IF($A513="","",ROUND(G513*IF(D513="Hourly",N(INDEX(Workers!$N$5:$N$2004,MATCH($A513,Workers!$A$5:$A$2004,0))),I513/Settings!$B$10/Settings!$B$12)*Settings!$B$13,2))</f>
        <v/>
      </c>
      <c r="N513" s="26" t="str">
        <f aca="false">IF($A513="","",K513+L513+M513)</f>
        <v/>
      </c>
      <c r="O513" s="26" t="str">
        <f aca="false">IF($A513="","",SUMIFS(Deductions!$D$5:$D$2000,Deductions!$B$5:$B$2000,$A513,Deductions!$C$5:$C$2000,"Advance",Deductions!$E$5:$E$2000,"&gt;="&amp;Settings!$B$8,Deductions!$E$5:$E$2000,"&lt;="&amp;Settings!$B$9))</f>
        <v/>
      </c>
      <c r="P513" s="26" t="str">
        <f aca="false">IF($A513="","",SUMIFS(Deductions!$D$5:$D$2000,Deductions!$B$5:$B$2000,$A513,Deductions!$E$5:$E$2000,"&gt;="&amp;Settings!$B$8,Deductions!$E$5:$E$2000,"&lt;="&amp;Settings!$B$9)-O513)</f>
        <v/>
      </c>
      <c r="Q513" s="26" t="str">
        <f aca="false">IF($A513="","",O513+P513)</f>
        <v/>
      </c>
      <c r="R513" s="23" t="str">
        <f aca="false">IF($A513="","",N513-Q513)</f>
        <v/>
      </c>
      <c r="S513" s="24" t="str">
        <f aca="false">IF($A513="","",INDEX(Workers!$O$5:$O$2004,MATCH($A513,Workers!$A$5:$A$2004,0))&amp;"")</f>
        <v/>
      </c>
      <c r="T513" s="24" t="str">
        <f aca="false">IF($A513="","",INDEX(Workers!$P$5:$P$2004,MATCH($A513,Workers!$A$5:$A$2004,0))&amp;"")</f>
        <v/>
      </c>
      <c r="U513" s="24" t="str">
        <f aca="false">IF($A513="","",INDEX(Workers!$H$5:$H$2004,MATCH($A513,Workers!$A$5:$A$2004,0))&amp;"")</f>
        <v/>
      </c>
    </row>
    <row r="514" customFormat="false" ht="15" hidden="false" customHeight="false" outlineLevel="0" collapsed="false">
      <c r="A514" s="24" t="str">
        <f aca="false">IFERROR(INDEX(Workers!$A$5:$A$2004,MATCH(ROW()-4,Workers!$U$5:$U$2004,0)),"")</f>
        <v/>
      </c>
      <c r="B514" s="24" t="str">
        <f aca="false">IF($A514="","",INDEX(Workers!$B$5:$B$2004,MATCH($A514,Workers!$A$5:$A$2004,0)))</f>
        <v/>
      </c>
      <c r="C514" s="24" t="str">
        <f aca="false">IF($A514="","",INDEX(Workers!$E$5:$E$2004,MATCH($A514,Workers!$A$5:$A$2004,0)))</f>
        <v/>
      </c>
      <c r="D514" s="24" t="str">
        <f aca="false">IF($A514="","",INDEX(Workers!$K$5:$K$2004,MATCH($A514,Workers!$A$5:$A$2004,0)))</f>
        <v/>
      </c>
      <c r="E514" s="25" t="str">
        <f aca="false">IF($A514="","",SUMIFS(Timesheet!$E$5:$E$3004,Timesheet!$D$5:$D$3004,$A514,Timesheet!$A$5:$A$3004,"&gt;="&amp;Settings!$B$8,Timesheet!$A$5:$A$3004,"&lt;="&amp;Settings!$B$9))</f>
        <v/>
      </c>
      <c r="F514" s="25" t="str">
        <f aca="false">IF($A514="","",SUMIFS(Timesheet!$F$5:$F$3004,Timesheet!$D$5:$D$3004,$A514,Timesheet!$A$5:$A$3004,"&gt;="&amp;Settings!$B$8,Timesheet!$A$5:$A$3004,"&lt;="&amp;Settings!$B$9))</f>
        <v/>
      </c>
      <c r="G514" s="25" t="str">
        <f aca="false">IF($A514="","",SUMIFS(Timesheet!$G$5:$G$3004,Timesheet!$D$5:$D$3004,$A514,Timesheet!$A$5:$A$3004,"&gt;="&amp;Settings!$B$8,Timesheet!$A$5:$A$3004,"&lt;="&amp;Settings!$B$9))</f>
        <v/>
      </c>
      <c r="H514" s="25" t="str">
        <f aca="false">IF($A514="","",IF(D514="Monthly",MAX(0,Settings!$B$11-E514),0))</f>
        <v/>
      </c>
      <c r="I514" s="26" t="str">
        <f aca="false">IF($A514="","",N(INDEX(Workers!$L$5:$L$2004,MATCH($A514,Workers!$A$5:$A$2004,0))))</f>
        <v/>
      </c>
      <c r="J514" s="26" t="str">
        <f aca="false">IF($A514="","",N(INDEX(Workers!$M$5:$M$2004,MATCH($A514,Workers!$A$5:$A$2004,0))))</f>
        <v/>
      </c>
      <c r="K514" s="26" t="str">
        <f aca="false">IF($A514="","",IF(D514="Monthly",ROUND(MAX(0,(I514+J514)-(I514+J514)/Settings!$B$10*H514),2),0))</f>
        <v/>
      </c>
      <c r="L514" s="26" t="str">
        <f aca="false">IF($A514="","",IF(D514="Hourly",ROUND(F514*N(INDEX(Workers!$N$5:$N$2004,MATCH($A514,Workers!$A$5:$A$2004,0))),2),0))</f>
        <v/>
      </c>
      <c r="M514" s="26" t="str">
        <f aca="false">IF($A514="","",ROUND(G514*IF(D514="Hourly",N(INDEX(Workers!$N$5:$N$2004,MATCH($A514,Workers!$A$5:$A$2004,0))),I514/Settings!$B$10/Settings!$B$12)*Settings!$B$13,2))</f>
        <v/>
      </c>
      <c r="N514" s="26" t="str">
        <f aca="false">IF($A514="","",K514+L514+M514)</f>
        <v/>
      </c>
      <c r="O514" s="26" t="str">
        <f aca="false">IF($A514="","",SUMIFS(Deductions!$D$5:$D$2000,Deductions!$B$5:$B$2000,$A514,Deductions!$C$5:$C$2000,"Advance",Deductions!$E$5:$E$2000,"&gt;="&amp;Settings!$B$8,Deductions!$E$5:$E$2000,"&lt;="&amp;Settings!$B$9))</f>
        <v/>
      </c>
      <c r="P514" s="26" t="str">
        <f aca="false">IF($A514="","",SUMIFS(Deductions!$D$5:$D$2000,Deductions!$B$5:$B$2000,$A514,Deductions!$E$5:$E$2000,"&gt;="&amp;Settings!$B$8,Deductions!$E$5:$E$2000,"&lt;="&amp;Settings!$B$9)-O514)</f>
        <v/>
      </c>
      <c r="Q514" s="26" t="str">
        <f aca="false">IF($A514="","",O514+P514)</f>
        <v/>
      </c>
      <c r="R514" s="23" t="str">
        <f aca="false">IF($A514="","",N514-Q514)</f>
        <v/>
      </c>
      <c r="S514" s="24" t="str">
        <f aca="false">IF($A514="","",INDEX(Workers!$O$5:$O$2004,MATCH($A514,Workers!$A$5:$A$2004,0))&amp;"")</f>
        <v/>
      </c>
      <c r="T514" s="24" t="str">
        <f aca="false">IF($A514="","",INDEX(Workers!$P$5:$P$2004,MATCH($A514,Workers!$A$5:$A$2004,0))&amp;"")</f>
        <v/>
      </c>
      <c r="U514" s="24" t="str">
        <f aca="false">IF($A514="","",INDEX(Workers!$H$5:$H$2004,MATCH($A514,Workers!$A$5:$A$2004,0))&amp;"")</f>
        <v/>
      </c>
    </row>
    <row r="515" customFormat="false" ht="15" hidden="false" customHeight="false" outlineLevel="0" collapsed="false">
      <c r="A515" s="24" t="str">
        <f aca="false">IFERROR(INDEX(Workers!$A$5:$A$2004,MATCH(ROW()-4,Workers!$U$5:$U$2004,0)),"")</f>
        <v/>
      </c>
      <c r="B515" s="24" t="str">
        <f aca="false">IF($A515="","",INDEX(Workers!$B$5:$B$2004,MATCH($A515,Workers!$A$5:$A$2004,0)))</f>
        <v/>
      </c>
      <c r="C515" s="24" t="str">
        <f aca="false">IF($A515="","",INDEX(Workers!$E$5:$E$2004,MATCH($A515,Workers!$A$5:$A$2004,0)))</f>
        <v/>
      </c>
      <c r="D515" s="24" t="str">
        <f aca="false">IF($A515="","",INDEX(Workers!$K$5:$K$2004,MATCH($A515,Workers!$A$5:$A$2004,0)))</f>
        <v/>
      </c>
      <c r="E515" s="25" t="str">
        <f aca="false">IF($A515="","",SUMIFS(Timesheet!$E$5:$E$3004,Timesheet!$D$5:$D$3004,$A515,Timesheet!$A$5:$A$3004,"&gt;="&amp;Settings!$B$8,Timesheet!$A$5:$A$3004,"&lt;="&amp;Settings!$B$9))</f>
        <v/>
      </c>
      <c r="F515" s="25" t="str">
        <f aca="false">IF($A515="","",SUMIFS(Timesheet!$F$5:$F$3004,Timesheet!$D$5:$D$3004,$A515,Timesheet!$A$5:$A$3004,"&gt;="&amp;Settings!$B$8,Timesheet!$A$5:$A$3004,"&lt;="&amp;Settings!$B$9))</f>
        <v/>
      </c>
      <c r="G515" s="25" t="str">
        <f aca="false">IF($A515="","",SUMIFS(Timesheet!$G$5:$G$3004,Timesheet!$D$5:$D$3004,$A515,Timesheet!$A$5:$A$3004,"&gt;="&amp;Settings!$B$8,Timesheet!$A$5:$A$3004,"&lt;="&amp;Settings!$B$9))</f>
        <v/>
      </c>
      <c r="H515" s="25" t="str">
        <f aca="false">IF($A515="","",IF(D515="Monthly",MAX(0,Settings!$B$11-E515),0))</f>
        <v/>
      </c>
      <c r="I515" s="26" t="str">
        <f aca="false">IF($A515="","",N(INDEX(Workers!$L$5:$L$2004,MATCH($A515,Workers!$A$5:$A$2004,0))))</f>
        <v/>
      </c>
      <c r="J515" s="26" t="str">
        <f aca="false">IF($A515="","",N(INDEX(Workers!$M$5:$M$2004,MATCH($A515,Workers!$A$5:$A$2004,0))))</f>
        <v/>
      </c>
      <c r="K515" s="26" t="str">
        <f aca="false">IF($A515="","",IF(D515="Monthly",ROUND(MAX(0,(I515+J515)-(I515+J515)/Settings!$B$10*H515),2),0))</f>
        <v/>
      </c>
      <c r="L515" s="26" t="str">
        <f aca="false">IF($A515="","",IF(D515="Hourly",ROUND(F515*N(INDEX(Workers!$N$5:$N$2004,MATCH($A515,Workers!$A$5:$A$2004,0))),2),0))</f>
        <v/>
      </c>
      <c r="M515" s="26" t="str">
        <f aca="false">IF($A515="","",ROUND(G515*IF(D515="Hourly",N(INDEX(Workers!$N$5:$N$2004,MATCH($A515,Workers!$A$5:$A$2004,0))),I515/Settings!$B$10/Settings!$B$12)*Settings!$B$13,2))</f>
        <v/>
      </c>
      <c r="N515" s="26" t="str">
        <f aca="false">IF($A515="","",K515+L515+M515)</f>
        <v/>
      </c>
      <c r="O515" s="26" t="str">
        <f aca="false">IF($A515="","",SUMIFS(Deductions!$D$5:$D$2000,Deductions!$B$5:$B$2000,$A515,Deductions!$C$5:$C$2000,"Advance",Deductions!$E$5:$E$2000,"&gt;="&amp;Settings!$B$8,Deductions!$E$5:$E$2000,"&lt;="&amp;Settings!$B$9))</f>
        <v/>
      </c>
      <c r="P515" s="26" t="str">
        <f aca="false">IF($A515="","",SUMIFS(Deductions!$D$5:$D$2000,Deductions!$B$5:$B$2000,$A515,Deductions!$E$5:$E$2000,"&gt;="&amp;Settings!$B$8,Deductions!$E$5:$E$2000,"&lt;="&amp;Settings!$B$9)-O515)</f>
        <v/>
      </c>
      <c r="Q515" s="26" t="str">
        <f aca="false">IF($A515="","",O515+P515)</f>
        <v/>
      </c>
      <c r="R515" s="23" t="str">
        <f aca="false">IF($A515="","",N515-Q515)</f>
        <v/>
      </c>
      <c r="S515" s="24" t="str">
        <f aca="false">IF($A515="","",INDEX(Workers!$O$5:$O$2004,MATCH($A515,Workers!$A$5:$A$2004,0))&amp;"")</f>
        <v/>
      </c>
      <c r="T515" s="24" t="str">
        <f aca="false">IF($A515="","",INDEX(Workers!$P$5:$P$2004,MATCH($A515,Workers!$A$5:$A$2004,0))&amp;"")</f>
        <v/>
      </c>
      <c r="U515" s="24" t="str">
        <f aca="false">IF($A515="","",INDEX(Workers!$H$5:$H$2004,MATCH($A515,Workers!$A$5:$A$2004,0))&amp;"")</f>
        <v/>
      </c>
    </row>
    <row r="516" customFormat="false" ht="15" hidden="false" customHeight="false" outlineLevel="0" collapsed="false">
      <c r="A516" s="24" t="str">
        <f aca="false">IFERROR(INDEX(Workers!$A$5:$A$2004,MATCH(ROW()-4,Workers!$U$5:$U$2004,0)),"")</f>
        <v/>
      </c>
      <c r="B516" s="24" t="str">
        <f aca="false">IF($A516="","",INDEX(Workers!$B$5:$B$2004,MATCH($A516,Workers!$A$5:$A$2004,0)))</f>
        <v/>
      </c>
      <c r="C516" s="24" t="str">
        <f aca="false">IF($A516="","",INDEX(Workers!$E$5:$E$2004,MATCH($A516,Workers!$A$5:$A$2004,0)))</f>
        <v/>
      </c>
      <c r="D516" s="24" t="str">
        <f aca="false">IF($A516="","",INDEX(Workers!$K$5:$K$2004,MATCH($A516,Workers!$A$5:$A$2004,0)))</f>
        <v/>
      </c>
      <c r="E516" s="25" t="str">
        <f aca="false">IF($A516="","",SUMIFS(Timesheet!$E$5:$E$3004,Timesheet!$D$5:$D$3004,$A516,Timesheet!$A$5:$A$3004,"&gt;="&amp;Settings!$B$8,Timesheet!$A$5:$A$3004,"&lt;="&amp;Settings!$B$9))</f>
        <v/>
      </c>
      <c r="F516" s="25" t="str">
        <f aca="false">IF($A516="","",SUMIFS(Timesheet!$F$5:$F$3004,Timesheet!$D$5:$D$3004,$A516,Timesheet!$A$5:$A$3004,"&gt;="&amp;Settings!$B$8,Timesheet!$A$5:$A$3004,"&lt;="&amp;Settings!$B$9))</f>
        <v/>
      </c>
      <c r="G516" s="25" t="str">
        <f aca="false">IF($A516="","",SUMIFS(Timesheet!$G$5:$G$3004,Timesheet!$D$5:$D$3004,$A516,Timesheet!$A$5:$A$3004,"&gt;="&amp;Settings!$B$8,Timesheet!$A$5:$A$3004,"&lt;="&amp;Settings!$B$9))</f>
        <v/>
      </c>
      <c r="H516" s="25" t="str">
        <f aca="false">IF($A516="","",IF(D516="Monthly",MAX(0,Settings!$B$11-E516),0))</f>
        <v/>
      </c>
      <c r="I516" s="26" t="str">
        <f aca="false">IF($A516="","",N(INDEX(Workers!$L$5:$L$2004,MATCH($A516,Workers!$A$5:$A$2004,0))))</f>
        <v/>
      </c>
      <c r="J516" s="26" t="str">
        <f aca="false">IF($A516="","",N(INDEX(Workers!$M$5:$M$2004,MATCH($A516,Workers!$A$5:$A$2004,0))))</f>
        <v/>
      </c>
      <c r="K516" s="26" t="str">
        <f aca="false">IF($A516="","",IF(D516="Monthly",ROUND(MAX(0,(I516+J516)-(I516+J516)/Settings!$B$10*H516),2),0))</f>
        <v/>
      </c>
      <c r="L516" s="26" t="str">
        <f aca="false">IF($A516="","",IF(D516="Hourly",ROUND(F516*N(INDEX(Workers!$N$5:$N$2004,MATCH($A516,Workers!$A$5:$A$2004,0))),2),0))</f>
        <v/>
      </c>
      <c r="M516" s="26" t="str">
        <f aca="false">IF($A516="","",ROUND(G516*IF(D516="Hourly",N(INDEX(Workers!$N$5:$N$2004,MATCH($A516,Workers!$A$5:$A$2004,0))),I516/Settings!$B$10/Settings!$B$12)*Settings!$B$13,2))</f>
        <v/>
      </c>
      <c r="N516" s="26" t="str">
        <f aca="false">IF($A516="","",K516+L516+M516)</f>
        <v/>
      </c>
      <c r="O516" s="26" t="str">
        <f aca="false">IF($A516="","",SUMIFS(Deductions!$D$5:$D$2000,Deductions!$B$5:$B$2000,$A516,Deductions!$C$5:$C$2000,"Advance",Deductions!$E$5:$E$2000,"&gt;="&amp;Settings!$B$8,Deductions!$E$5:$E$2000,"&lt;="&amp;Settings!$B$9))</f>
        <v/>
      </c>
      <c r="P516" s="26" t="str">
        <f aca="false">IF($A516="","",SUMIFS(Deductions!$D$5:$D$2000,Deductions!$B$5:$B$2000,$A516,Deductions!$E$5:$E$2000,"&gt;="&amp;Settings!$B$8,Deductions!$E$5:$E$2000,"&lt;="&amp;Settings!$B$9)-O516)</f>
        <v/>
      </c>
      <c r="Q516" s="26" t="str">
        <f aca="false">IF($A516="","",O516+P516)</f>
        <v/>
      </c>
      <c r="R516" s="23" t="str">
        <f aca="false">IF($A516="","",N516-Q516)</f>
        <v/>
      </c>
      <c r="S516" s="24" t="str">
        <f aca="false">IF($A516="","",INDEX(Workers!$O$5:$O$2004,MATCH($A516,Workers!$A$5:$A$2004,0))&amp;"")</f>
        <v/>
      </c>
      <c r="T516" s="24" t="str">
        <f aca="false">IF($A516="","",INDEX(Workers!$P$5:$P$2004,MATCH($A516,Workers!$A$5:$A$2004,0))&amp;"")</f>
        <v/>
      </c>
      <c r="U516" s="24" t="str">
        <f aca="false">IF($A516="","",INDEX(Workers!$H$5:$H$2004,MATCH($A516,Workers!$A$5:$A$2004,0))&amp;"")</f>
        <v/>
      </c>
    </row>
    <row r="517" customFormat="false" ht="15" hidden="false" customHeight="false" outlineLevel="0" collapsed="false">
      <c r="A517" s="24" t="str">
        <f aca="false">IFERROR(INDEX(Workers!$A$5:$A$2004,MATCH(ROW()-4,Workers!$U$5:$U$2004,0)),"")</f>
        <v/>
      </c>
      <c r="B517" s="24" t="str">
        <f aca="false">IF($A517="","",INDEX(Workers!$B$5:$B$2004,MATCH($A517,Workers!$A$5:$A$2004,0)))</f>
        <v/>
      </c>
      <c r="C517" s="24" t="str">
        <f aca="false">IF($A517="","",INDEX(Workers!$E$5:$E$2004,MATCH($A517,Workers!$A$5:$A$2004,0)))</f>
        <v/>
      </c>
      <c r="D517" s="24" t="str">
        <f aca="false">IF($A517="","",INDEX(Workers!$K$5:$K$2004,MATCH($A517,Workers!$A$5:$A$2004,0)))</f>
        <v/>
      </c>
      <c r="E517" s="25" t="str">
        <f aca="false">IF($A517="","",SUMIFS(Timesheet!$E$5:$E$3004,Timesheet!$D$5:$D$3004,$A517,Timesheet!$A$5:$A$3004,"&gt;="&amp;Settings!$B$8,Timesheet!$A$5:$A$3004,"&lt;="&amp;Settings!$B$9))</f>
        <v/>
      </c>
      <c r="F517" s="25" t="str">
        <f aca="false">IF($A517="","",SUMIFS(Timesheet!$F$5:$F$3004,Timesheet!$D$5:$D$3004,$A517,Timesheet!$A$5:$A$3004,"&gt;="&amp;Settings!$B$8,Timesheet!$A$5:$A$3004,"&lt;="&amp;Settings!$B$9))</f>
        <v/>
      </c>
      <c r="G517" s="25" t="str">
        <f aca="false">IF($A517="","",SUMIFS(Timesheet!$G$5:$G$3004,Timesheet!$D$5:$D$3004,$A517,Timesheet!$A$5:$A$3004,"&gt;="&amp;Settings!$B$8,Timesheet!$A$5:$A$3004,"&lt;="&amp;Settings!$B$9))</f>
        <v/>
      </c>
      <c r="H517" s="25" t="str">
        <f aca="false">IF($A517="","",IF(D517="Monthly",MAX(0,Settings!$B$11-E517),0))</f>
        <v/>
      </c>
      <c r="I517" s="26" t="str">
        <f aca="false">IF($A517="","",N(INDEX(Workers!$L$5:$L$2004,MATCH($A517,Workers!$A$5:$A$2004,0))))</f>
        <v/>
      </c>
      <c r="J517" s="26" t="str">
        <f aca="false">IF($A517="","",N(INDEX(Workers!$M$5:$M$2004,MATCH($A517,Workers!$A$5:$A$2004,0))))</f>
        <v/>
      </c>
      <c r="K517" s="26" t="str">
        <f aca="false">IF($A517="","",IF(D517="Monthly",ROUND(MAX(0,(I517+J517)-(I517+J517)/Settings!$B$10*H517),2),0))</f>
        <v/>
      </c>
      <c r="L517" s="26" t="str">
        <f aca="false">IF($A517="","",IF(D517="Hourly",ROUND(F517*N(INDEX(Workers!$N$5:$N$2004,MATCH($A517,Workers!$A$5:$A$2004,0))),2),0))</f>
        <v/>
      </c>
      <c r="M517" s="26" t="str">
        <f aca="false">IF($A517="","",ROUND(G517*IF(D517="Hourly",N(INDEX(Workers!$N$5:$N$2004,MATCH($A517,Workers!$A$5:$A$2004,0))),I517/Settings!$B$10/Settings!$B$12)*Settings!$B$13,2))</f>
        <v/>
      </c>
      <c r="N517" s="26" t="str">
        <f aca="false">IF($A517="","",K517+L517+M517)</f>
        <v/>
      </c>
      <c r="O517" s="26" t="str">
        <f aca="false">IF($A517="","",SUMIFS(Deductions!$D$5:$D$2000,Deductions!$B$5:$B$2000,$A517,Deductions!$C$5:$C$2000,"Advance",Deductions!$E$5:$E$2000,"&gt;="&amp;Settings!$B$8,Deductions!$E$5:$E$2000,"&lt;="&amp;Settings!$B$9))</f>
        <v/>
      </c>
      <c r="P517" s="26" t="str">
        <f aca="false">IF($A517="","",SUMIFS(Deductions!$D$5:$D$2000,Deductions!$B$5:$B$2000,$A517,Deductions!$E$5:$E$2000,"&gt;="&amp;Settings!$B$8,Deductions!$E$5:$E$2000,"&lt;="&amp;Settings!$B$9)-O517)</f>
        <v/>
      </c>
      <c r="Q517" s="26" t="str">
        <f aca="false">IF($A517="","",O517+P517)</f>
        <v/>
      </c>
      <c r="R517" s="23" t="str">
        <f aca="false">IF($A517="","",N517-Q517)</f>
        <v/>
      </c>
      <c r="S517" s="24" t="str">
        <f aca="false">IF($A517="","",INDEX(Workers!$O$5:$O$2004,MATCH($A517,Workers!$A$5:$A$2004,0))&amp;"")</f>
        <v/>
      </c>
      <c r="T517" s="24" t="str">
        <f aca="false">IF($A517="","",INDEX(Workers!$P$5:$P$2004,MATCH($A517,Workers!$A$5:$A$2004,0))&amp;"")</f>
        <v/>
      </c>
      <c r="U517" s="24" t="str">
        <f aca="false">IF($A517="","",INDEX(Workers!$H$5:$H$2004,MATCH($A517,Workers!$A$5:$A$2004,0))&amp;"")</f>
        <v/>
      </c>
    </row>
    <row r="518" customFormat="false" ht="15" hidden="false" customHeight="false" outlineLevel="0" collapsed="false">
      <c r="A518" s="24" t="str">
        <f aca="false">IFERROR(INDEX(Workers!$A$5:$A$2004,MATCH(ROW()-4,Workers!$U$5:$U$2004,0)),"")</f>
        <v/>
      </c>
      <c r="B518" s="24" t="str">
        <f aca="false">IF($A518="","",INDEX(Workers!$B$5:$B$2004,MATCH($A518,Workers!$A$5:$A$2004,0)))</f>
        <v/>
      </c>
      <c r="C518" s="24" t="str">
        <f aca="false">IF($A518="","",INDEX(Workers!$E$5:$E$2004,MATCH($A518,Workers!$A$5:$A$2004,0)))</f>
        <v/>
      </c>
      <c r="D518" s="24" t="str">
        <f aca="false">IF($A518="","",INDEX(Workers!$K$5:$K$2004,MATCH($A518,Workers!$A$5:$A$2004,0)))</f>
        <v/>
      </c>
      <c r="E518" s="25" t="str">
        <f aca="false">IF($A518="","",SUMIFS(Timesheet!$E$5:$E$3004,Timesheet!$D$5:$D$3004,$A518,Timesheet!$A$5:$A$3004,"&gt;="&amp;Settings!$B$8,Timesheet!$A$5:$A$3004,"&lt;="&amp;Settings!$B$9))</f>
        <v/>
      </c>
      <c r="F518" s="25" t="str">
        <f aca="false">IF($A518="","",SUMIFS(Timesheet!$F$5:$F$3004,Timesheet!$D$5:$D$3004,$A518,Timesheet!$A$5:$A$3004,"&gt;="&amp;Settings!$B$8,Timesheet!$A$5:$A$3004,"&lt;="&amp;Settings!$B$9))</f>
        <v/>
      </c>
      <c r="G518" s="25" t="str">
        <f aca="false">IF($A518="","",SUMIFS(Timesheet!$G$5:$G$3004,Timesheet!$D$5:$D$3004,$A518,Timesheet!$A$5:$A$3004,"&gt;="&amp;Settings!$B$8,Timesheet!$A$5:$A$3004,"&lt;="&amp;Settings!$B$9))</f>
        <v/>
      </c>
      <c r="H518" s="25" t="str">
        <f aca="false">IF($A518="","",IF(D518="Monthly",MAX(0,Settings!$B$11-E518),0))</f>
        <v/>
      </c>
      <c r="I518" s="26" t="str">
        <f aca="false">IF($A518="","",N(INDEX(Workers!$L$5:$L$2004,MATCH($A518,Workers!$A$5:$A$2004,0))))</f>
        <v/>
      </c>
      <c r="J518" s="26" t="str">
        <f aca="false">IF($A518="","",N(INDEX(Workers!$M$5:$M$2004,MATCH($A518,Workers!$A$5:$A$2004,0))))</f>
        <v/>
      </c>
      <c r="K518" s="26" t="str">
        <f aca="false">IF($A518="","",IF(D518="Monthly",ROUND(MAX(0,(I518+J518)-(I518+J518)/Settings!$B$10*H518),2),0))</f>
        <v/>
      </c>
      <c r="L518" s="26" t="str">
        <f aca="false">IF($A518="","",IF(D518="Hourly",ROUND(F518*N(INDEX(Workers!$N$5:$N$2004,MATCH($A518,Workers!$A$5:$A$2004,0))),2),0))</f>
        <v/>
      </c>
      <c r="M518" s="26" t="str">
        <f aca="false">IF($A518="","",ROUND(G518*IF(D518="Hourly",N(INDEX(Workers!$N$5:$N$2004,MATCH($A518,Workers!$A$5:$A$2004,0))),I518/Settings!$B$10/Settings!$B$12)*Settings!$B$13,2))</f>
        <v/>
      </c>
      <c r="N518" s="26" t="str">
        <f aca="false">IF($A518="","",K518+L518+M518)</f>
        <v/>
      </c>
      <c r="O518" s="26" t="str">
        <f aca="false">IF($A518="","",SUMIFS(Deductions!$D$5:$D$2000,Deductions!$B$5:$B$2000,$A518,Deductions!$C$5:$C$2000,"Advance",Deductions!$E$5:$E$2000,"&gt;="&amp;Settings!$B$8,Deductions!$E$5:$E$2000,"&lt;="&amp;Settings!$B$9))</f>
        <v/>
      </c>
      <c r="P518" s="26" t="str">
        <f aca="false">IF($A518="","",SUMIFS(Deductions!$D$5:$D$2000,Deductions!$B$5:$B$2000,$A518,Deductions!$E$5:$E$2000,"&gt;="&amp;Settings!$B$8,Deductions!$E$5:$E$2000,"&lt;="&amp;Settings!$B$9)-O518)</f>
        <v/>
      </c>
      <c r="Q518" s="26" t="str">
        <f aca="false">IF($A518="","",O518+P518)</f>
        <v/>
      </c>
      <c r="R518" s="23" t="str">
        <f aca="false">IF($A518="","",N518-Q518)</f>
        <v/>
      </c>
      <c r="S518" s="24" t="str">
        <f aca="false">IF($A518="","",INDEX(Workers!$O$5:$O$2004,MATCH($A518,Workers!$A$5:$A$2004,0))&amp;"")</f>
        <v/>
      </c>
      <c r="T518" s="24" t="str">
        <f aca="false">IF($A518="","",INDEX(Workers!$P$5:$P$2004,MATCH($A518,Workers!$A$5:$A$2004,0))&amp;"")</f>
        <v/>
      </c>
      <c r="U518" s="24" t="str">
        <f aca="false">IF($A518="","",INDEX(Workers!$H$5:$H$2004,MATCH($A518,Workers!$A$5:$A$2004,0))&amp;"")</f>
        <v/>
      </c>
    </row>
    <row r="519" customFormat="false" ht="15" hidden="false" customHeight="false" outlineLevel="0" collapsed="false">
      <c r="A519" s="24" t="str">
        <f aca="false">IFERROR(INDEX(Workers!$A$5:$A$2004,MATCH(ROW()-4,Workers!$U$5:$U$2004,0)),"")</f>
        <v/>
      </c>
      <c r="B519" s="24" t="str">
        <f aca="false">IF($A519="","",INDEX(Workers!$B$5:$B$2004,MATCH($A519,Workers!$A$5:$A$2004,0)))</f>
        <v/>
      </c>
      <c r="C519" s="24" t="str">
        <f aca="false">IF($A519="","",INDEX(Workers!$E$5:$E$2004,MATCH($A519,Workers!$A$5:$A$2004,0)))</f>
        <v/>
      </c>
      <c r="D519" s="24" t="str">
        <f aca="false">IF($A519="","",INDEX(Workers!$K$5:$K$2004,MATCH($A519,Workers!$A$5:$A$2004,0)))</f>
        <v/>
      </c>
      <c r="E519" s="25" t="str">
        <f aca="false">IF($A519="","",SUMIFS(Timesheet!$E$5:$E$3004,Timesheet!$D$5:$D$3004,$A519,Timesheet!$A$5:$A$3004,"&gt;="&amp;Settings!$B$8,Timesheet!$A$5:$A$3004,"&lt;="&amp;Settings!$B$9))</f>
        <v/>
      </c>
      <c r="F519" s="25" t="str">
        <f aca="false">IF($A519="","",SUMIFS(Timesheet!$F$5:$F$3004,Timesheet!$D$5:$D$3004,$A519,Timesheet!$A$5:$A$3004,"&gt;="&amp;Settings!$B$8,Timesheet!$A$5:$A$3004,"&lt;="&amp;Settings!$B$9))</f>
        <v/>
      </c>
      <c r="G519" s="25" t="str">
        <f aca="false">IF($A519="","",SUMIFS(Timesheet!$G$5:$G$3004,Timesheet!$D$5:$D$3004,$A519,Timesheet!$A$5:$A$3004,"&gt;="&amp;Settings!$B$8,Timesheet!$A$5:$A$3004,"&lt;="&amp;Settings!$B$9))</f>
        <v/>
      </c>
      <c r="H519" s="25" t="str">
        <f aca="false">IF($A519="","",IF(D519="Monthly",MAX(0,Settings!$B$11-E519),0))</f>
        <v/>
      </c>
      <c r="I519" s="26" t="str">
        <f aca="false">IF($A519="","",N(INDEX(Workers!$L$5:$L$2004,MATCH($A519,Workers!$A$5:$A$2004,0))))</f>
        <v/>
      </c>
      <c r="J519" s="26" t="str">
        <f aca="false">IF($A519="","",N(INDEX(Workers!$M$5:$M$2004,MATCH($A519,Workers!$A$5:$A$2004,0))))</f>
        <v/>
      </c>
      <c r="K519" s="26" t="str">
        <f aca="false">IF($A519="","",IF(D519="Monthly",ROUND(MAX(0,(I519+J519)-(I519+J519)/Settings!$B$10*H519),2),0))</f>
        <v/>
      </c>
      <c r="L519" s="26" t="str">
        <f aca="false">IF($A519="","",IF(D519="Hourly",ROUND(F519*N(INDEX(Workers!$N$5:$N$2004,MATCH($A519,Workers!$A$5:$A$2004,0))),2),0))</f>
        <v/>
      </c>
      <c r="M519" s="26" t="str">
        <f aca="false">IF($A519="","",ROUND(G519*IF(D519="Hourly",N(INDEX(Workers!$N$5:$N$2004,MATCH($A519,Workers!$A$5:$A$2004,0))),I519/Settings!$B$10/Settings!$B$12)*Settings!$B$13,2))</f>
        <v/>
      </c>
      <c r="N519" s="26" t="str">
        <f aca="false">IF($A519="","",K519+L519+M519)</f>
        <v/>
      </c>
      <c r="O519" s="26" t="str">
        <f aca="false">IF($A519="","",SUMIFS(Deductions!$D$5:$D$2000,Deductions!$B$5:$B$2000,$A519,Deductions!$C$5:$C$2000,"Advance",Deductions!$E$5:$E$2000,"&gt;="&amp;Settings!$B$8,Deductions!$E$5:$E$2000,"&lt;="&amp;Settings!$B$9))</f>
        <v/>
      </c>
      <c r="P519" s="26" t="str">
        <f aca="false">IF($A519="","",SUMIFS(Deductions!$D$5:$D$2000,Deductions!$B$5:$B$2000,$A519,Deductions!$E$5:$E$2000,"&gt;="&amp;Settings!$B$8,Deductions!$E$5:$E$2000,"&lt;="&amp;Settings!$B$9)-O519)</f>
        <v/>
      </c>
      <c r="Q519" s="26" t="str">
        <f aca="false">IF($A519="","",O519+P519)</f>
        <v/>
      </c>
      <c r="R519" s="23" t="str">
        <f aca="false">IF($A519="","",N519-Q519)</f>
        <v/>
      </c>
      <c r="S519" s="24" t="str">
        <f aca="false">IF($A519="","",INDEX(Workers!$O$5:$O$2004,MATCH($A519,Workers!$A$5:$A$2004,0))&amp;"")</f>
        <v/>
      </c>
      <c r="T519" s="24" t="str">
        <f aca="false">IF($A519="","",INDEX(Workers!$P$5:$P$2004,MATCH($A519,Workers!$A$5:$A$2004,0))&amp;"")</f>
        <v/>
      </c>
      <c r="U519" s="24" t="str">
        <f aca="false">IF($A519="","",INDEX(Workers!$H$5:$H$2004,MATCH($A519,Workers!$A$5:$A$2004,0))&amp;"")</f>
        <v/>
      </c>
    </row>
    <row r="520" customFormat="false" ht="15" hidden="false" customHeight="false" outlineLevel="0" collapsed="false">
      <c r="A520" s="24" t="str">
        <f aca="false">IFERROR(INDEX(Workers!$A$5:$A$2004,MATCH(ROW()-4,Workers!$U$5:$U$2004,0)),"")</f>
        <v/>
      </c>
      <c r="B520" s="24" t="str">
        <f aca="false">IF($A520="","",INDEX(Workers!$B$5:$B$2004,MATCH($A520,Workers!$A$5:$A$2004,0)))</f>
        <v/>
      </c>
      <c r="C520" s="24" t="str">
        <f aca="false">IF($A520="","",INDEX(Workers!$E$5:$E$2004,MATCH($A520,Workers!$A$5:$A$2004,0)))</f>
        <v/>
      </c>
      <c r="D520" s="24" t="str">
        <f aca="false">IF($A520="","",INDEX(Workers!$K$5:$K$2004,MATCH($A520,Workers!$A$5:$A$2004,0)))</f>
        <v/>
      </c>
      <c r="E520" s="25" t="str">
        <f aca="false">IF($A520="","",SUMIFS(Timesheet!$E$5:$E$3004,Timesheet!$D$5:$D$3004,$A520,Timesheet!$A$5:$A$3004,"&gt;="&amp;Settings!$B$8,Timesheet!$A$5:$A$3004,"&lt;="&amp;Settings!$B$9))</f>
        <v/>
      </c>
      <c r="F520" s="25" t="str">
        <f aca="false">IF($A520="","",SUMIFS(Timesheet!$F$5:$F$3004,Timesheet!$D$5:$D$3004,$A520,Timesheet!$A$5:$A$3004,"&gt;="&amp;Settings!$B$8,Timesheet!$A$5:$A$3004,"&lt;="&amp;Settings!$B$9))</f>
        <v/>
      </c>
      <c r="G520" s="25" t="str">
        <f aca="false">IF($A520="","",SUMIFS(Timesheet!$G$5:$G$3004,Timesheet!$D$5:$D$3004,$A520,Timesheet!$A$5:$A$3004,"&gt;="&amp;Settings!$B$8,Timesheet!$A$5:$A$3004,"&lt;="&amp;Settings!$B$9))</f>
        <v/>
      </c>
      <c r="H520" s="25" t="str">
        <f aca="false">IF($A520="","",IF(D520="Monthly",MAX(0,Settings!$B$11-E520),0))</f>
        <v/>
      </c>
      <c r="I520" s="26" t="str">
        <f aca="false">IF($A520="","",N(INDEX(Workers!$L$5:$L$2004,MATCH($A520,Workers!$A$5:$A$2004,0))))</f>
        <v/>
      </c>
      <c r="J520" s="26" t="str">
        <f aca="false">IF($A520="","",N(INDEX(Workers!$M$5:$M$2004,MATCH($A520,Workers!$A$5:$A$2004,0))))</f>
        <v/>
      </c>
      <c r="K520" s="26" t="str">
        <f aca="false">IF($A520="","",IF(D520="Monthly",ROUND(MAX(0,(I520+J520)-(I520+J520)/Settings!$B$10*H520),2),0))</f>
        <v/>
      </c>
      <c r="L520" s="26" t="str">
        <f aca="false">IF($A520="","",IF(D520="Hourly",ROUND(F520*N(INDEX(Workers!$N$5:$N$2004,MATCH($A520,Workers!$A$5:$A$2004,0))),2),0))</f>
        <v/>
      </c>
      <c r="M520" s="26" t="str">
        <f aca="false">IF($A520="","",ROUND(G520*IF(D520="Hourly",N(INDEX(Workers!$N$5:$N$2004,MATCH($A520,Workers!$A$5:$A$2004,0))),I520/Settings!$B$10/Settings!$B$12)*Settings!$B$13,2))</f>
        <v/>
      </c>
      <c r="N520" s="26" t="str">
        <f aca="false">IF($A520="","",K520+L520+M520)</f>
        <v/>
      </c>
      <c r="O520" s="26" t="str">
        <f aca="false">IF($A520="","",SUMIFS(Deductions!$D$5:$D$2000,Deductions!$B$5:$B$2000,$A520,Deductions!$C$5:$C$2000,"Advance",Deductions!$E$5:$E$2000,"&gt;="&amp;Settings!$B$8,Deductions!$E$5:$E$2000,"&lt;="&amp;Settings!$B$9))</f>
        <v/>
      </c>
      <c r="P520" s="26" t="str">
        <f aca="false">IF($A520="","",SUMIFS(Deductions!$D$5:$D$2000,Deductions!$B$5:$B$2000,$A520,Deductions!$E$5:$E$2000,"&gt;="&amp;Settings!$B$8,Deductions!$E$5:$E$2000,"&lt;="&amp;Settings!$B$9)-O520)</f>
        <v/>
      </c>
      <c r="Q520" s="26" t="str">
        <f aca="false">IF($A520="","",O520+P520)</f>
        <v/>
      </c>
      <c r="R520" s="23" t="str">
        <f aca="false">IF($A520="","",N520-Q520)</f>
        <v/>
      </c>
      <c r="S520" s="24" t="str">
        <f aca="false">IF($A520="","",INDEX(Workers!$O$5:$O$2004,MATCH($A520,Workers!$A$5:$A$2004,0))&amp;"")</f>
        <v/>
      </c>
      <c r="T520" s="24" t="str">
        <f aca="false">IF($A520="","",INDEX(Workers!$P$5:$P$2004,MATCH($A520,Workers!$A$5:$A$2004,0))&amp;"")</f>
        <v/>
      </c>
      <c r="U520" s="24" t="str">
        <f aca="false">IF($A520="","",INDEX(Workers!$H$5:$H$2004,MATCH($A520,Workers!$A$5:$A$2004,0))&amp;"")</f>
        <v/>
      </c>
    </row>
    <row r="521" customFormat="false" ht="15" hidden="false" customHeight="false" outlineLevel="0" collapsed="false">
      <c r="A521" s="24" t="str">
        <f aca="false">IFERROR(INDEX(Workers!$A$5:$A$2004,MATCH(ROW()-4,Workers!$U$5:$U$2004,0)),"")</f>
        <v/>
      </c>
      <c r="B521" s="24" t="str">
        <f aca="false">IF($A521="","",INDEX(Workers!$B$5:$B$2004,MATCH($A521,Workers!$A$5:$A$2004,0)))</f>
        <v/>
      </c>
      <c r="C521" s="24" t="str">
        <f aca="false">IF($A521="","",INDEX(Workers!$E$5:$E$2004,MATCH($A521,Workers!$A$5:$A$2004,0)))</f>
        <v/>
      </c>
      <c r="D521" s="24" t="str">
        <f aca="false">IF($A521="","",INDEX(Workers!$K$5:$K$2004,MATCH($A521,Workers!$A$5:$A$2004,0)))</f>
        <v/>
      </c>
      <c r="E521" s="25" t="str">
        <f aca="false">IF($A521="","",SUMIFS(Timesheet!$E$5:$E$3004,Timesheet!$D$5:$D$3004,$A521,Timesheet!$A$5:$A$3004,"&gt;="&amp;Settings!$B$8,Timesheet!$A$5:$A$3004,"&lt;="&amp;Settings!$B$9))</f>
        <v/>
      </c>
      <c r="F521" s="25" t="str">
        <f aca="false">IF($A521="","",SUMIFS(Timesheet!$F$5:$F$3004,Timesheet!$D$5:$D$3004,$A521,Timesheet!$A$5:$A$3004,"&gt;="&amp;Settings!$B$8,Timesheet!$A$5:$A$3004,"&lt;="&amp;Settings!$B$9))</f>
        <v/>
      </c>
      <c r="G521" s="25" t="str">
        <f aca="false">IF($A521="","",SUMIFS(Timesheet!$G$5:$G$3004,Timesheet!$D$5:$D$3004,$A521,Timesheet!$A$5:$A$3004,"&gt;="&amp;Settings!$B$8,Timesheet!$A$5:$A$3004,"&lt;="&amp;Settings!$B$9))</f>
        <v/>
      </c>
      <c r="H521" s="25" t="str">
        <f aca="false">IF($A521="","",IF(D521="Monthly",MAX(0,Settings!$B$11-E521),0))</f>
        <v/>
      </c>
      <c r="I521" s="26" t="str">
        <f aca="false">IF($A521="","",N(INDEX(Workers!$L$5:$L$2004,MATCH($A521,Workers!$A$5:$A$2004,0))))</f>
        <v/>
      </c>
      <c r="J521" s="26" t="str">
        <f aca="false">IF($A521="","",N(INDEX(Workers!$M$5:$M$2004,MATCH($A521,Workers!$A$5:$A$2004,0))))</f>
        <v/>
      </c>
      <c r="K521" s="26" t="str">
        <f aca="false">IF($A521="","",IF(D521="Monthly",ROUND(MAX(0,(I521+J521)-(I521+J521)/Settings!$B$10*H521),2),0))</f>
        <v/>
      </c>
      <c r="L521" s="26" t="str">
        <f aca="false">IF($A521="","",IF(D521="Hourly",ROUND(F521*N(INDEX(Workers!$N$5:$N$2004,MATCH($A521,Workers!$A$5:$A$2004,0))),2),0))</f>
        <v/>
      </c>
      <c r="M521" s="26" t="str">
        <f aca="false">IF($A521="","",ROUND(G521*IF(D521="Hourly",N(INDEX(Workers!$N$5:$N$2004,MATCH($A521,Workers!$A$5:$A$2004,0))),I521/Settings!$B$10/Settings!$B$12)*Settings!$B$13,2))</f>
        <v/>
      </c>
      <c r="N521" s="26" t="str">
        <f aca="false">IF($A521="","",K521+L521+M521)</f>
        <v/>
      </c>
      <c r="O521" s="26" t="str">
        <f aca="false">IF($A521="","",SUMIFS(Deductions!$D$5:$D$2000,Deductions!$B$5:$B$2000,$A521,Deductions!$C$5:$C$2000,"Advance",Deductions!$E$5:$E$2000,"&gt;="&amp;Settings!$B$8,Deductions!$E$5:$E$2000,"&lt;="&amp;Settings!$B$9))</f>
        <v/>
      </c>
      <c r="P521" s="26" t="str">
        <f aca="false">IF($A521="","",SUMIFS(Deductions!$D$5:$D$2000,Deductions!$B$5:$B$2000,$A521,Deductions!$E$5:$E$2000,"&gt;="&amp;Settings!$B$8,Deductions!$E$5:$E$2000,"&lt;="&amp;Settings!$B$9)-O521)</f>
        <v/>
      </c>
      <c r="Q521" s="26" t="str">
        <f aca="false">IF($A521="","",O521+P521)</f>
        <v/>
      </c>
      <c r="R521" s="23" t="str">
        <f aca="false">IF($A521="","",N521-Q521)</f>
        <v/>
      </c>
      <c r="S521" s="24" t="str">
        <f aca="false">IF($A521="","",INDEX(Workers!$O$5:$O$2004,MATCH($A521,Workers!$A$5:$A$2004,0))&amp;"")</f>
        <v/>
      </c>
      <c r="T521" s="24" t="str">
        <f aca="false">IF($A521="","",INDEX(Workers!$P$5:$P$2004,MATCH($A521,Workers!$A$5:$A$2004,0))&amp;"")</f>
        <v/>
      </c>
      <c r="U521" s="24" t="str">
        <f aca="false">IF($A521="","",INDEX(Workers!$H$5:$H$2004,MATCH($A521,Workers!$A$5:$A$2004,0))&amp;"")</f>
        <v/>
      </c>
    </row>
    <row r="522" customFormat="false" ht="15" hidden="false" customHeight="false" outlineLevel="0" collapsed="false">
      <c r="A522" s="24" t="str">
        <f aca="false">IFERROR(INDEX(Workers!$A$5:$A$2004,MATCH(ROW()-4,Workers!$U$5:$U$2004,0)),"")</f>
        <v/>
      </c>
      <c r="B522" s="24" t="str">
        <f aca="false">IF($A522="","",INDEX(Workers!$B$5:$B$2004,MATCH($A522,Workers!$A$5:$A$2004,0)))</f>
        <v/>
      </c>
      <c r="C522" s="24" t="str">
        <f aca="false">IF($A522="","",INDEX(Workers!$E$5:$E$2004,MATCH($A522,Workers!$A$5:$A$2004,0)))</f>
        <v/>
      </c>
      <c r="D522" s="24" t="str">
        <f aca="false">IF($A522="","",INDEX(Workers!$K$5:$K$2004,MATCH($A522,Workers!$A$5:$A$2004,0)))</f>
        <v/>
      </c>
      <c r="E522" s="25" t="str">
        <f aca="false">IF($A522="","",SUMIFS(Timesheet!$E$5:$E$3004,Timesheet!$D$5:$D$3004,$A522,Timesheet!$A$5:$A$3004,"&gt;="&amp;Settings!$B$8,Timesheet!$A$5:$A$3004,"&lt;="&amp;Settings!$B$9))</f>
        <v/>
      </c>
      <c r="F522" s="25" t="str">
        <f aca="false">IF($A522="","",SUMIFS(Timesheet!$F$5:$F$3004,Timesheet!$D$5:$D$3004,$A522,Timesheet!$A$5:$A$3004,"&gt;="&amp;Settings!$B$8,Timesheet!$A$5:$A$3004,"&lt;="&amp;Settings!$B$9))</f>
        <v/>
      </c>
      <c r="G522" s="25" t="str">
        <f aca="false">IF($A522="","",SUMIFS(Timesheet!$G$5:$G$3004,Timesheet!$D$5:$D$3004,$A522,Timesheet!$A$5:$A$3004,"&gt;="&amp;Settings!$B$8,Timesheet!$A$5:$A$3004,"&lt;="&amp;Settings!$B$9))</f>
        <v/>
      </c>
      <c r="H522" s="25" t="str">
        <f aca="false">IF($A522="","",IF(D522="Monthly",MAX(0,Settings!$B$11-E522),0))</f>
        <v/>
      </c>
      <c r="I522" s="26" t="str">
        <f aca="false">IF($A522="","",N(INDEX(Workers!$L$5:$L$2004,MATCH($A522,Workers!$A$5:$A$2004,0))))</f>
        <v/>
      </c>
      <c r="J522" s="26" t="str">
        <f aca="false">IF($A522="","",N(INDEX(Workers!$M$5:$M$2004,MATCH($A522,Workers!$A$5:$A$2004,0))))</f>
        <v/>
      </c>
      <c r="K522" s="26" t="str">
        <f aca="false">IF($A522="","",IF(D522="Monthly",ROUND(MAX(0,(I522+J522)-(I522+J522)/Settings!$B$10*H522),2),0))</f>
        <v/>
      </c>
      <c r="L522" s="26" t="str">
        <f aca="false">IF($A522="","",IF(D522="Hourly",ROUND(F522*N(INDEX(Workers!$N$5:$N$2004,MATCH($A522,Workers!$A$5:$A$2004,0))),2),0))</f>
        <v/>
      </c>
      <c r="M522" s="26" t="str">
        <f aca="false">IF($A522="","",ROUND(G522*IF(D522="Hourly",N(INDEX(Workers!$N$5:$N$2004,MATCH($A522,Workers!$A$5:$A$2004,0))),I522/Settings!$B$10/Settings!$B$12)*Settings!$B$13,2))</f>
        <v/>
      </c>
      <c r="N522" s="26" t="str">
        <f aca="false">IF($A522="","",K522+L522+M522)</f>
        <v/>
      </c>
      <c r="O522" s="26" t="str">
        <f aca="false">IF($A522="","",SUMIFS(Deductions!$D$5:$D$2000,Deductions!$B$5:$B$2000,$A522,Deductions!$C$5:$C$2000,"Advance",Deductions!$E$5:$E$2000,"&gt;="&amp;Settings!$B$8,Deductions!$E$5:$E$2000,"&lt;="&amp;Settings!$B$9))</f>
        <v/>
      </c>
      <c r="P522" s="26" t="str">
        <f aca="false">IF($A522="","",SUMIFS(Deductions!$D$5:$D$2000,Deductions!$B$5:$B$2000,$A522,Deductions!$E$5:$E$2000,"&gt;="&amp;Settings!$B$8,Deductions!$E$5:$E$2000,"&lt;="&amp;Settings!$B$9)-O522)</f>
        <v/>
      </c>
      <c r="Q522" s="26" t="str">
        <f aca="false">IF($A522="","",O522+P522)</f>
        <v/>
      </c>
      <c r="R522" s="23" t="str">
        <f aca="false">IF($A522="","",N522-Q522)</f>
        <v/>
      </c>
      <c r="S522" s="24" t="str">
        <f aca="false">IF($A522="","",INDEX(Workers!$O$5:$O$2004,MATCH($A522,Workers!$A$5:$A$2004,0))&amp;"")</f>
        <v/>
      </c>
      <c r="T522" s="24" t="str">
        <f aca="false">IF($A522="","",INDEX(Workers!$P$5:$P$2004,MATCH($A522,Workers!$A$5:$A$2004,0))&amp;"")</f>
        <v/>
      </c>
      <c r="U522" s="24" t="str">
        <f aca="false">IF($A522="","",INDEX(Workers!$H$5:$H$2004,MATCH($A522,Workers!$A$5:$A$2004,0))&amp;"")</f>
        <v/>
      </c>
    </row>
    <row r="523" customFormat="false" ht="15" hidden="false" customHeight="false" outlineLevel="0" collapsed="false">
      <c r="A523" s="24" t="str">
        <f aca="false">IFERROR(INDEX(Workers!$A$5:$A$2004,MATCH(ROW()-4,Workers!$U$5:$U$2004,0)),"")</f>
        <v/>
      </c>
      <c r="B523" s="24" t="str">
        <f aca="false">IF($A523="","",INDEX(Workers!$B$5:$B$2004,MATCH($A523,Workers!$A$5:$A$2004,0)))</f>
        <v/>
      </c>
      <c r="C523" s="24" t="str">
        <f aca="false">IF($A523="","",INDEX(Workers!$E$5:$E$2004,MATCH($A523,Workers!$A$5:$A$2004,0)))</f>
        <v/>
      </c>
      <c r="D523" s="24" t="str">
        <f aca="false">IF($A523="","",INDEX(Workers!$K$5:$K$2004,MATCH($A523,Workers!$A$5:$A$2004,0)))</f>
        <v/>
      </c>
      <c r="E523" s="25" t="str">
        <f aca="false">IF($A523="","",SUMIFS(Timesheet!$E$5:$E$3004,Timesheet!$D$5:$D$3004,$A523,Timesheet!$A$5:$A$3004,"&gt;="&amp;Settings!$B$8,Timesheet!$A$5:$A$3004,"&lt;="&amp;Settings!$B$9))</f>
        <v/>
      </c>
      <c r="F523" s="25" t="str">
        <f aca="false">IF($A523="","",SUMIFS(Timesheet!$F$5:$F$3004,Timesheet!$D$5:$D$3004,$A523,Timesheet!$A$5:$A$3004,"&gt;="&amp;Settings!$B$8,Timesheet!$A$5:$A$3004,"&lt;="&amp;Settings!$B$9))</f>
        <v/>
      </c>
      <c r="G523" s="25" t="str">
        <f aca="false">IF($A523="","",SUMIFS(Timesheet!$G$5:$G$3004,Timesheet!$D$5:$D$3004,$A523,Timesheet!$A$5:$A$3004,"&gt;="&amp;Settings!$B$8,Timesheet!$A$5:$A$3004,"&lt;="&amp;Settings!$B$9))</f>
        <v/>
      </c>
      <c r="H523" s="25" t="str">
        <f aca="false">IF($A523="","",IF(D523="Monthly",MAX(0,Settings!$B$11-E523),0))</f>
        <v/>
      </c>
      <c r="I523" s="26" t="str">
        <f aca="false">IF($A523="","",N(INDEX(Workers!$L$5:$L$2004,MATCH($A523,Workers!$A$5:$A$2004,0))))</f>
        <v/>
      </c>
      <c r="J523" s="26" t="str">
        <f aca="false">IF($A523="","",N(INDEX(Workers!$M$5:$M$2004,MATCH($A523,Workers!$A$5:$A$2004,0))))</f>
        <v/>
      </c>
      <c r="K523" s="26" t="str">
        <f aca="false">IF($A523="","",IF(D523="Monthly",ROUND(MAX(0,(I523+J523)-(I523+J523)/Settings!$B$10*H523),2),0))</f>
        <v/>
      </c>
      <c r="L523" s="26" t="str">
        <f aca="false">IF($A523="","",IF(D523="Hourly",ROUND(F523*N(INDEX(Workers!$N$5:$N$2004,MATCH($A523,Workers!$A$5:$A$2004,0))),2),0))</f>
        <v/>
      </c>
      <c r="M523" s="26" t="str">
        <f aca="false">IF($A523="","",ROUND(G523*IF(D523="Hourly",N(INDEX(Workers!$N$5:$N$2004,MATCH($A523,Workers!$A$5:$A$2004,0))),I523/Settings!$B$10/Settings!$B$12)*Settings!$B$13,2))</f>
        <v/>
      </c>
      <c r="N523" s="26" t="str">
        <f aca="false">IF($A523="","",K523+L523+M523)</f>
        <v/>
      </c>
      <c r="O523" s="26" t="str">
        <f aca="false">IF($A523="","",SUMIFS(Deductions!$D$5:$D$2000,Deductions!$B$5:$B$2000,$A523,Deductions!$C$5:$C$2000,"Advance",Deductions!$E$5:$E$2000,"&gt;="&amp;Settings!$B$8,Deductions!$E$5:$E$2000,"&lt;="&amp;Settings!$B$9))</f>
        <v/>
      </c>
      <c r="P523" s="26" t="str">
        <f aca="false">IF($A523="","",SUMIFS(Deductions!$D$5:$D$2000,Deductions!$B$5:$B$2000,$A523,Deductions!$E$5:$E$2000,"&gt;="&amp;Settings!$B$8,Deductions!$E$5:$E$2000,"&lt;="&amp;Settings!$B$9)-O523)</f>
        <v/>
      </c>
      <c r="Q523" s="26" t="str">
        <f aca="false">IF($A523="","",O523+P523)</f>
        <v/>
      </c>
      <c r="R523" s="23" t="str">
        <f aca="false">IF($A523="","",N523-Q523)</f>
        <v/>
      </c>
      <c r="S523" s="24" t="str">
        <f aca="false">IF($A523="","",INDEX(Workers!$O$5:$O$2004,MATCH($A523,Workers!$A$5:$A$2004,0))&amp;"")</f>
        <v/>
      </c>
      <c r="T523" s="24" t="str">
        <f aca="false">IF($A523="","",INDEX(Workers!$P$5:$P$2004,MATCH($A523,Workers!$A$5:$A$2004,0))&amp;"")</f>
        <v/>
      </c>
      <c r="U523" s="24" t="str">
        <f aca="false">IF($A523="","",INDEX(Workers!$H$5:$H$2004,MATCH($A523,Workers!$A$5:$A$2004,0))&amp;"")</f>
        <v/>
      </c>
    </row>
    <row r="524" customFormat="false" ht="15" hidden="false" customHeight="false" outlineLevel="0" collapsed="false">
      <c r="A524" s="24" t="str">
        <f aca="false">IFERROR(INDEX(Workers!$A$5:$A$2004,MATCH(ROW()-4,Workers!$U$5:$U$2004,0)),"")</f>
        <v/>
      </c>
      <c r="B524" s="24" t="str">
        <f aca="false">IF($A524="","",INDEX(Workers!$B$5:$B$2004,MATCH($A524,Workers!$A$5:$A$2004,0)))</f>
        <v/>
      </c>
      <c r="C524" s="24" t="str">
        <f aca="false">IF($A524="","",INDEX(Workers!$E$5:$E$2004,MATCH($A524,Workers!$A$5:$A$2004,0)))</f>
        <v/>
      </c>
      <c r="D524" s="24" t="str">
        <f aca="false">IF($A524="","",INDEX(Workers!$K$5:$K$2004,MATCH($A524,Workers!$A$5:$A$2004,0)))</f>
        <v/>
      </c>
      <c r="E524" s="25" t="str">
        <f aca="false">IF($A524="","",SUMIFS(Timesheet!$E$5:$E$3004,Timesheet!$D$5:$D$3004,$A524,Timesheet!$A$5:$A$3004,"&gt;="&amp;Settings!$B$8,Timesheet!$A$5:$A$3004,"&lt;="&amp;Settings!$B$9))</f>
        <v/>
      </c>
      <c r="F524" s="25" t="str">
        <f aca="false">IF($A524="","",SUMIFS(Timesheet!$F$5:$F$3004,Timesheet!$D$5:$D$3004,$A524,Timesheet!$A$5:$A$3004,"&gt;="&amp;Settings!$B$8,Timesheet!$A$5:$A$3004,"&lt;="&amp;Settings!$B$9))</f>
        <v/>
      </c>
      <c r="G524" s="25" t="str">
        <f aca="false">IF($A524="","",SUMIFS(Timesheet!$G$5:$G$3004,Timesheet!$D$5:$D$3004,$A524,Timesheet!$A$5:$A$3004,"&gt;="&amp;Settings!$B$8,Timesheet!$A$5:$A$3004,"&lt;="&amp;Settings!$B$9))</f>
        <v/>
      </c>
      <c r="H524" s="25" t="str">
        <f aca="false">IF($A524="","",IF(D524="Monthly",MAX(0,Settings!$B$11-E524),0))</f>
        <v/>
      </c>
      <c r="I524" s="26" t="str">
        <f aca="false">IF($A524="","",N(INDEX(Workers!$L$5:$L$2004,MATCH($A524,Workers!$A$5:$A$2004,0))))</f>
        <v/>
      </c>
      <c r="J524" s="26" t="str">
        <f aca="false">IF($A524="","",N(INDEX(Workers!$M$5:$M$2004,MATCH($A524,Workers!$A$5:$A$2004,0))))</f>
        <v/>
      </c>
      <c r="K524" s="26" t="str">
        <f aca="false">IF($A524="","",IF(D524="Monthly",ROUND(MAX(0,(I524+J524)-(I524+J524)/Settings!$B$10*H524),2),0))</f>
        <v/>
      </c>
      <c r="L524" s="26" t="str">
        <f aca="false">IF($A524="","",IF(D524="Hourly",ROUND(F524*N(INDEX(Workers!$N$5:$N$2004,MATCH($A524,Workers!$A$5:$A$2004,0))),2),0))</f>
        <v/>
      </c>
      <c r="M524" s="26" t="str">
        <f aca="false">IF($A524="","",ROUND(G524*IF(D524="Hourly",N(INDEX(Workers!$N$5:$N$2004,MATCH($A524,Workers!$A$5:$A$2004,0))),I524/Settings!$B$10/Settings!$B$12)*Settings!$B$13,2))</f>
        <v/>
      </c>
      <c r="N524" s="26" t="str">
        <f aca="false">IF($A524="","",K524+L524+M524)</f>
        <v/>
      </c>
      <c r="O524" s="26" t="str">
        <f aca="false">IF($A524="","",SUMIFS(Deductions!$D$5:$D$2000,Deductions!$B$5:$B$2000,$A524,Deductions!$C$5:$C$2000,"Advance",Deductions!$E$5:$E$2000,"&gt;="&amp;Settings!$B$8,Deductions!$E$5:$E$2000,"&lt;="&amp;Settings!$B$9))</f>
        <v/>
      </c>
      <c r="P524" s="26" t="str">
        <f aca="false">IF($A524="","",SUMIFS(Deductions!$D$5:$D$2000,Deductions!$B$5:$B$2000,$A524,Deductions!$E$5:$E$2000,"&gt;="&amp;Settings!$B$8,Deductions!$E$5:$E$2000,"&lt;="&amp;Settings!$B$9)-O524)</f>
        <v/>
      </c>
      <c r="Q524" s="26" t="str">
        <f aca="false">IF($A524="","",O524+P524)</f>
        <v/>
      </c>
      <c r="R524" s="23" t="str">
        <f aca="false">IF($A524="","",N524-Q524)</f>
        <v/>
      </c>
      <c r="S524" s="24" t="str">
        <f aca="false">IF($A524="","",INDEX(Workers!$O$5:$O$2004,MATCH($A524,Workers!$A$5:$A$2004,0))&amp;"")</f>
        <v/>
      </c>
      <c r="T524" s="24" t="str">
        <f aca="false">IF($A524="","",INDEX(Workers!$P$5:$P$2004,MATCH($A524,Workers!$A$5:$A$2004,0))&amp;"")</f>
        <v/>
      </c>
      <c r="U524" s="24" t="str">
        <f aca="false">IF($A524="","",INDEX(Workers!$H$5:$H$2004,MATCH($A524,Workers!$A$5:$A$2004,0))&amp;"")</f>
        <v/>
      </c>
    </row>
    <row r="525" customFormat="false" ht="15" hidden="false" customHeight="false" outlineLevel="0" collapsed="false">
      <c r="A525" s="24" t="str">
        <f aca="false">IFERROR(INDEX(Workers!$A$5:$A$2004,MATCH(ROW()-4,Workers!$U$5:$U$2004,0)),"")</f>
        <v/>
      </c>
      <c r="B525" s="24" t="str">
        <f aca="false">IF($A525="","",INDEX(Workers!$B$5:$B$2004,MATCH($A525,Workers!$A$5:$A$2004,0)))</f>
        <v/>
      </c>
      <c r="C525" s="24" t="str">
        <f aca="false">IF($A525="","",INDEX(Workers!$E$5:$E$2004,MATCH($A525,Workers!$A$5:$A$2004,0)))</f>
        <v/>
      </c>
      <c r="D525" s="24" t="str">
        <f aca="false">IF($A525="","",INDEX(Workers!$K$5:$K$2004,MATCH($A525,Workers!$A$5:$A$2004,0)))</f>
        <v/>
      </c>
      <c r="E525" s="25" t="str">
        <f aca="false">IF($A525="","",SUMIFS(Timesheet!$E$5:$E$3004,Timesheet!$D$5:$D$3004,$A525,Timesheet!$A$5:$A$3004,"&gt;="&amp;Settings!$B$8,Timesheet!$A$5:$A$3004,"&lt;="&amp;Settings!$B$9))</f>
        <v/>
      </c>
      <c r="F525" s="25" t="str">
        <f aca="false">IF($A525="","",SUMIFS(Timesheet!$F$5:$F$3004,Timesheet!$D$5:$D$3004,$A525,Timesheet!$A$5:$A$3004,"&gt;="&amp;Settings!$B$8,Timesheet!$A$5:$A$3004,"&lt;="&amp;Settings!$B$9))</f>
        <v/>
      </c>
      <c r="G525" s="25" t="str">
        <f aca="false">IF($A525="","",SUMIFS(Timesheet!$G$5:$G$3004,Timesheet!$D$5:$D$3004,$A525,Timesheet!$A$5:$A$3004,"&gt;="&amp;Settings!$B$8,Timesheet!$A$5:$A$3004,"&lt;="&amp;Settings!$B$9))</f>
        <v/>
      </c>
      <c r="H525" s="25" t="str">
        <f aca="false">IF($A525="","",IF(D525="Monthly",MAX(0,Settings!$B$11-E525),0))</f>
        <v/>
      </c>
      <c r="I525" s="26" t="str">
        <f aca="false">IF($A525="","",N(INDEX(Workers!$L$5:$L$2004,MATCH($A525,Workers!$A$5:$A$2004,0))))</f>
        <v/>
      </c>
      <c r="J525" s="26" t="str">
        <f aca="false">IF($A525="","",N(INDEX(Workers!$M$5:$M$2004,MATCH($A525,Workers!$A$5:$A$2004,0))))</f>
        <v/>
      </c>
      <c r="K525" s="26" t="str">
        <f aca="false">IF($A525="","",IF(D525="Monthly",ROUND(MAX(0,(I525+J525)-(I525+J525)/Settings!$B$10*H525),2),0))</f>
        <v/>
      </c>
      <c r="L525" s="26" t="str">
        <f aca="false">IF($A525="","",IF(D525="Hourly",ROUND(F525*N(INDEX(Workers!$N$5:$N$2004,MATCH($A525,Workers!$A$5:$A$2004,0))),2),0))</f>
        <v/>
      </c>
      <c r="M525" s="26" t="str">
        <f aca="false">IF($A525="","",ROUND(G525*IF(D525="Hourly",N(INDEX(Workers!$N$5:$N$2004,MATCH($A525,Workers!$A$5:$A$2004,0))),I525/Settings!$B$10/Settings!$B$12)*Settings!$B$13,2))</f>
        <v/>
      </c>
      <c r="N525" s="26" t="str">
        <f aca="false">IF($A525="","",K525+L525+M525)</f>
        <v/>
      </c>
      <c r="O525" s="26" t="str">
        <f aca="false">IF($A525="","",SUMIFS(Deductions!$D$5:$D$2000,Deductions!$B$5:$B$2000,$A525,Deductions!$C$5:$C$2000,"Advance",Deductions!$E$5:$E$2000,"&gt;="&amp;Settings!$B$8,Deductions!$E$5:$E$2000,"&lt;="&amp;Settings!$B$9))</f>
        <v/>
      </c>
      <c r="P525" s="26" t="str">
        <f aca="false">IF($A525="","",SUMIFS(Deductions!$D$5:$D$2000,Deductions!$B$5:$B$2000,$A525,Deductions!$E$5:$E$2000,"&gt;="&amp;Settings!$B$8,Deductions!$E$5:$E$2000,"&lt;="&amp;Settings!$B$9)-O525)</f>
        <v/>
      </c>
      <c r="Q525" s="26" t="str">
        <f aca="false">IF($A525="","",O525+P525)</f>
        <v/>
      </c>
      <c r="R525" s="23" t="str">
        <f aca="false">IF($A525="","",N525-Q525)</f>
        <v/>
      </c>
      <c r="S525" s="24" t="str">
        <f aca="false">IF($A525="","",INDEX(Workers!$O$5:$O$2004,MATCH($A525,Workers!$A$5:$A$2004,0))&amp;"")</f>
        <v/>
      </c>
      <c r="T525" s="24" t="str">
        <f aca="false">IF($A525="","",INDEX(Workers!$P$5:$P$2004,MATCH($A525,Workers!$A$5:$A$2004,0))&amp;"")</f>
        <v/>
      </c>
      <c r="U525" s="24" t="str">
        <f aca="false">IF($A525="","",INDEX(Workers!$H$5:$H$2004,MATCH($A525,Workers!$A$5:$A$2004,0))&amp;"")</f>
        <v/>
      </c>
    </row>
    <row r="526" customFormat="false" ht="15" hidden="false" customHeight="false" outlineLevel="0" collapsed="false">
      <c r="A526" s="24" t="str">
        <f aca="false">IFERROR(INDEX(Workers!$A$5:$A$2004,MATCH(ROW()-4,Workers!$U$5:$U$2004,0)),"")</f>
        <v/>
      </c>
      <c r="B526" s="24" t="str">
        <f aca="false">IF($A526="","",INDEX(Workers!$B$5:$B$2004,MATCH($A526,Workers!$A$5:$A$2004,0)))</f>
        <v/>
      </c>
      <c r="C526" s="24" t="str">
        <f aca="false">IF($A526="","",INDEX(Workers!$E$5:$E$2004,MATCH($A526,Workers!$A$5:$A$2004,0)))</f>
        <v/>
      </c>
      <c r="D526" s="24" t="str">
        <f aca="false">IF($A526="","",INDEX(Workers!$K$5:$K$2004,MATCH($A526,Workers!$A$5:$A$2004,0)))</f>
        <v/>
      </c>
      <c r="E526" s="25" t="str">
        <f aca="false">IF($A526="","",SUMIFS(Timesheet!$E$5:$E$3004,Timesheet!$D$5:$D$3004,$A526,Timesheet!$A$5:$A$3004,"&gt;="&amp;Settings!$B$8,Timesheet!$A$5:$A$3004,"&lt;="&amp;Settings!$B$9))</f>
        <v/>
      </c>
      <c r="F526" s="25" t="str">
        <f aca="false">IF($A526="","",SUMIFS(Timesheet!$F$5:$F$3004,Timesheet!$D$5:$D$3004,$A526,Timesheet!$A$5:$A$3004,"&gt;="&amp;Settings!$B$8,Timesheet!$A$5:$A$3004,"&lt;="&amp;Settings!$B$9))</f>
        <v/>
      </c>
      <c r="G526" s="25" t="str">
        <f aca="false">IF($A526="","",SUMIFS(Timesheet!$G$5:$G$3004,Timesheet!$D$5:$D$3004,$A526,Timesheet!$A$5:$A$3004,"&gt;="&amp;Settings!$B$8,Timesheet!$A$5:$A$3004,"&lt;="&amp;Settings!$B$9))</f>
        <v/>
      </c>
      <c r="H526" s="25" t="str">
        <f aca="false">IF($A526="","",IF(D526="Monthly",MAX(0,Settings!$B$11-E526),0))</f>
        <v/>
      </c>
      <c r="I526" s="26" t="str">
        <f aca="false">IF($A526="","",N(INDEX(Workers!$L$5:$L$2004,MATCH($A526,Workers!$A$5:$A$2004,0))))</f>
        <v/>
      </c>
      <c r="J526" s="26" t="str">
        <f aca="false">IF($A526="","",N(INDEX(Workers!$M$5:$M$2004,MATCH($A526,Workers!$A$5:$A$2004,0))))</f>
        <v/>
      </c>
      <c r="K526" s="26" t="str">
        <f aca="false">IF($A526="","",IF(D526="Monthly",ROUND(MAX(0,(I526+J526)-(I526+J526)/Settings!$B$10*H526),2),0))</f>
        <v/>
      </c>
      <c r="L526" s="26" t="str">
        <f aca="false">IF($A526="","",IF(D526="Hourly",ROUND(F526*N(INDEX(Workers!$N$5:$N$2004,MATCH($A526,Workers!$A$5:$A$2004,0))),2),0))</f>
        <v/>
      </c>
      <c r="M526" s="26" t="str">
        <f aca="false">IF($A526="","",ROUND(G526*IF(D526="Hourly",N(INDEX(Workers!$N$5:$N$2004,MATCH($A526,Workers!$A$5:$A$2004,0))),I526/Settings!$B$10/Settings!$B$12)*Settings!$B$13,2))</f>
        <v/>
      </c>
      <c r="N526" s="26" t="str">
        <f aca="false">IF($A526="","",K526+L526+M526)</f>
        <v/>
      </c>
      <c r="O526" s="26" t="str">
        <f aca="false">IF($A526="","",SUMIFS(Deductions!$D$5:$D$2000,Deductions!$B$5:$B$2000,$A526,Deductions!$C$5:$C$2000,"Advance",Deductions!$E$5:$E$2000,"&gt;="&amp;Settings!$B$8,Deductions!$E$5:$E$2000,"&lt;="&amp;Settings!$B$9))</f>
        <v/>
      </c>
      <c r="P526" s="26" t="str">
        <f aca="false">IF($A526="","",SUMIFS(Deductions!$D$5:$D$2000,Deductions!$B$5:$B$2000,$A526,Deductions!$E$5:$E$2000,"&gt;="&amp;Settings!$B$8,Deductions!$E$5:$E$2000,"&lt;="&amp;Settings!$B$9)-O526)</f>
        <v/>
      </c>
      <c r="Q526" s="26" t="str">
        <f aca="false">IF($A526="","",O526+P526)</f>
        <v/>
      </c>
      <c r="R526" s="23" t="str">
        <f aca="false">IF($A526="","",N526-Q526)</f>
        <v/>
      </c>
      <c r="S526" s="24" t="str">
        <f aca="false">IF($A526="","",INDEX(Workers!$O$5:$O$2004,MATCH($A526,Workers!$A$5:$A$2004,0))&amp;"")</f>
        <v/>
      </c>
      <c r="T526" s="24" t="str">
        <f aca="false">IF($A526="","",INDEX(Workers!$P$5:$P$2004,MATCH($A526,Workers!$A$5:$A$2004,0))&amp;"")</f>
        <v/>
      </c>
      <c r="U526" s="24" t="str">
        <f aca="false">IF($A526="","",INDEX(Workers!$H$5:$H$2004,MATCH($A526,Workers!$A$5:$A$2004,0))&amp;"")</f>
        <v/>
      </c>
    </row>
    <row r="527" customFormat="false" ht="15" hidden="false" customHeight="false" outlineLevel="0" collapsed="false">
      <c r="A527" s="24" t="str">
        <f aca="false">IFERROR(INDEX(Workers!$A$5:$A$2004,MATCH(ROW()-4,Workers!$U$5:$U$2004,0)),"")</f>
        <v/>
      </c>
      <c r="B527" s="24" t="str">
        <f aca="false">IF($A527="","",INDEX(Workers!$B$5:$B$2004,MATCH($A527,Workers!$A$5:$A$2004,0)))</f>
        <v/>
      </c>
      <c r="C527" s="24" t="str">
        <f aca="false">IF($A527="","",INDEX(Workers!$E$5:$E$2004,MATCH($A527,Workers!$A$5:$A$2004,0)))</f>
        <v/>
      </c>
      <c r="D527" s="24" t="str">
        <f aca="false">IF($A527="","",INDEX(Workers!$K$5:$K$2004,MATCH($A527,Workers!$A$5:$A$2004,0)))</f>
        <v/>
      </c>
      <c r="E527" s="25" t="str">
        <f aca="false">IF($A527="","",SUMIFS(Timesheet!$E$5:$E$3004,Timesheet!$D$5:$D$3004,$A527,Timesheet!$A$5:$A$3004,"&gt;="&amp;Settings!$B$8,Timesheet!$A$5:$A$3004,"&lt;="&amp;Settings!$B$9))</f>
        <v/>
      </c>
      <c r="F527" s="25" t="str">
        <f aca="false">IF($A527="","",SUMIFS(Timesheet!$F$5:$F$3004,Timesheet!$D$5:$D$3004,$A527,Timesheet!$A$5:$A$3004,"&gt;="&amp;Settings!$B$8,Timesheet!$A$5:$A$3004,"&lt;="&amp;Settings!$B$9))</f>
        <v/>
      </c>
      <c r="G527" s="25" t="str">
        <f aca="false">IF($A527="","",SUMIFS(Timesheet!$G$5:$G$3004,Timesheet!$D$5:$D$3004,$A527,Timesheet!$A$5:$A$3004,"&gt;="&amp;Settings!$B$8,Timesheet!$A$5:$A$3004,"&lt;="&amp;Settings!$B$9))</f>
        <v/>
      </c>
      <c r="H527" s="25" t="str">
        <f aca="false">IF($A527="","",IF(D527="Monthly",MAX(0,Settings!$B$11-E527),0))</f>
        <v/>
      </c>
      <c r="I527" s="26" t="str">
        <f aca="false">IF($A527="","",N(INDEX(Workers!$L$5:$L$2004,MATCH($A527,Workers!$A$5:$A$2004,0))))</f>
        <v/>
      </c>
      <c r="J527" s="26" t="str">
        <f aca="false">IF($A527="","",N(INDEX(Workers!$M$5:$M$2004,MATCH($A527,Workers!$A$5:$A$2004,0))))</f>
        <v/>
      </c>
      <c r="K527" s="26" t="str">
        <f aca="false">IF($A527="","",IF(D527="Monthly",ROUND(MAX(0,(I527+J527)-(I527+J527)/Settings!$B$10*H527),2),0))</f>
        <v/>
      </c>
      <c r="L527" s="26" t="str">
        <f aca="false">IF($A527="","",IF(D527="Hourly",ROUND(F527*N(INDEX(Workers!$N$5:$N$2004,MATCH($A527,Workers!$A$5:$A$2004,0))),2),0))</f>
        <v/>
      </c>
      <c r="M527" s="26" t="str">
        <f aca="false">IF($A527="","",ROUND(G527*IF(D527="Hourly",N(INDEX(Workers!$N$5:$N$2004,MATCH($A527,Workers!$A$5:$A$2004,0))),I527/Settings!$B$10/Settings!$B$12)*Settings!$B$13,2))</f>
        <v/>
      </c>
      <c r="N527" s="26" t="str">
        <f aca="false">IF($A527="","",K527+L527+M527)</f>
        <v/>
      </c>
      <c r="O527" s="26" t="str">
        <f aca="false">IF($A527="","",SUMIFS(Deductions!$D$5:$D$2000,Deductions!$B$5:$B$2000,$A527,Deductions!$C$5:$C$2000,"Advance",Deductions!$E$5:$E$2000,"&gt;="&amp;Settings!$B$8,Deductions!$E$5:$E$2000,"&lt;="&amp;Settings!$B$9))</f>
        <v/>
      </c>
      <c r="P527" s="26" t="str">
        <f aca="false">IF($A527="","",SUMIFS(Deductions!$D$5:$D$2000,Deductions!$B$5:$B$2000,$A527,Deductions!$E$5:$E$2000,"&gt;="&amp;Settings!$B$8,Deductions!$E$5:$E$2000,"&lt;="&amp;Settings!$B$9)-O527)</f>
        <v/>
      </c>
      <c r="Q527" s="26" t="str">
        <f aca="false">IF($A527="","",O527+P527)</f>
        <v/>
      </c>
      <c r="R527" s="23" t="str">
        <f aca="false">IF($A527="","",N527-Q527)</f>
        <v/>
      </c>
      <c r="S527" s="24" t="str">
        <f aca="false">IF($A527="","",INDEX(Workers!$O$5:$O$2004,MATCH($A527,Workers!$A$5:$A$2004,0))&amp;"")</f>
        <v/>
      </c>
      <c r="T527" s="24" t="str">
        <f aca="false">IF($A527="","",INDEX(Workers!$P$5:$P$2004,MATCH($A527,Workers!$A$5:$A$2004,0))&amp;"")</f>
        <v/>
      </c>
      <c r="U527" s="24" t="str">
        <f aca="false">IF($A527="","",INDEX(Workers!$H$5:$H$2004,MATCH($A527,Workers!$A$5:$A$2004,0))&amp;"")</f>
        <v/>
      </c>
    </row>
    <row r="528" customFormat="false" ht="15" hidden="false" customHeight="false" outlineLevel="0" collapsed="false">
      <c r="A528" s="24" t="str">
        <f aca="false">IFERROR(INDEX(Workers!$A$5:$A$2004,MATCH(ROW()-4,Workers!$U$5:$U$2004,0)),"")</f>
        <v/>
      </c>
      <c r="B528" s="24" t="str">
        <f aca="false">IF($A528="","",INDEX(Workers!$B$5:$B$2004,MATCH($A528,Workers!$A$5:$A$2004,0)))</f>
        <v/>
      </c>
      <c r="C528" s="24" t="str">
        <f aca="false">IF($A528="","",INDEX(Workers!$E$5:$E$2004,MATCH($A528,Workers!$A$5:$A$2004,0)))</f>
        <v/>
      </c>
      <c r="D528" s="24" t="str">
        <f aca="false">IF($A528="","",INDEX(Workers!$K$5:$K$2004,MATCH($A528,Workers!$A$5:$A$2004,0)))</f>
        <v/>
      </c>
      <c r="E528" s="25" t="str">
        <f aca="false">IF($A528="","",SUMIFS(Timesheet!$E$5:$E$3004,Timesheet!$D$5:$D$3004,$A528,Timesheet!$A$5:$A$3004,"&gt;="&amp;Settings!$B$8,Timesheet!$A$5:$A$3004,"&lt;="&amp;Settings!$B$9))</f>
        <v/>
      </c>
      <c r="F528" s="25" t="str">
        <f aca="false">IF($A528="","",SUMIFS(Timesheet!$F$5:$F$3004,Timesheet!$D$5:$D$3004,$A528,Timesheet!$A$5:$A$3004,"&gt;="&amp;Settings!$B$8,Timesheet!$A$5:$A$3004,"&lt;="&amp;Settings!$B$9))</f>
        <v/>
      </c>
      <c r="G528" s="25" t="str">
        <f aca="false">IF($A528="","",SUMIFS(Timesheet!$G$5:$G$3004,Timesheet!$D$5:$D$3004,$A528,Timesheet!$A$5:$A$3004,"&gt;="&amp;Settings!$B$8,Timesheet!$A$5:$A$3004,"&lt;="&amp;Settings!$B$9))</f>
        <v/>
      </c>
      <c r="H528" s="25" t="str">
        <f aca="false">IF($A528="","",IF(D528="Monthly",MAX(0,Settings!$B$11-E528),0))</f>
        <v/>
      </c>
      <c r="I528" s="26" t="str">
        <f aca="false">IF($A528="","",N(INDEX(Workers!$L$5:$L$2004,MATCH($A528,Workers!$A$5:$A$2004,0))))</f>
        <v/>
      </c>
      <c r="J528" s="26" t="str">
        <f aca="false">IF($A528="","",N(INDEX(Workers!$M$5:$M$2004,MATCH($A528,Workers!$A$5:$A$2004,0))))</f>
        <v/>
      </c>
      <c r="K528" s="26" t="str">
        <f aca="false">IF($A528="","",IF(D528="Monthly",ROUND(MAX(0,(I528+J528)-(I528+J528)/Settings!$B$10*H528),2),0))</f>
        <v/>
      </c>
      <c r="L528" s="26" t="str">
        <f aca="false">IF($A528="","",IF(D528="Hourly",ROUND(F528*N(INDEX(Workers!$N$5:$N$2004,MATCH($A528,Workers!$A$5:$A$2004,0))),2),0))</f>
        <v/>
      </c>
      <c r="M528" s="26" t="str">
        <f aca="false">IF($A528="","",ROUND(G528*IF(D528="Hourly",N(INDEX(Workers!$N$5:$N$2004,MATCH($A528,Workers!$A$5:$A$2004,0))),I528/Settings!$B$10/Settings!$B$12)*Settings!$B$13,2))</f>
        <v/>
      </c>
      <c r="N528" s="26" t="str">
        <f aca="false">IF($A528="","",K528+L528+M528)</f>
        <v/>
      </c>
      <c r="O528" s="26" t="str">
        <f aca="false">IF($A528="","",SUMIFS(Deductions!$D$5:$D$2000,Deductions!$B$5:$B$2000,$A528,Deductions!$C$5:$C$2000,"Advance",Deductions!$E$5:$E$2000,"&gt;="&amp;Settings!$B$8,Deductions!$E$5:$E$2000,"&lt;="&amp;Settings!$B$9))</f>
        <v/>
      </c>
      <c r="P528" s="26" t="str">
        <f aca="false">IF($A528="","",SUMIFS(Deductions!$D$5:$D$2000,Deductions!$B$5:$B$2000,$A528,Deductions!$E$5:$E$2000,"&gt;="&amp;Settings!$B$8,Deductions!$E$5:$E$2000,"&lt;="&amp;Settings!$B$9)-O528)</f>
        <v/>
      </c>
      <c r="Q528" s="26" t="str">
        <f aca="false">IF($A528="","",O528+P528)</f>
        <v/>
      </c>
      <c r="R528" s="23" t="str">
        <f aca="false">IF($A528="","",N528-Q528)</f>
        <v/>
      </c>
      <c r="S528" s="24" t="str">
        <f aca="false">IF($A528="","",INDEX(Workers!$O$5:$O$2004,MATCH($A528,Workers!$A$5:$A$2004,0))&amp;"")</f>
        <v/>
      </c>
      <c r="T528" s="24" t="str">
        <f aca="false">IF($A528="","",INDEX(Workers!$P$5:$P$2004,MATCH($A528,Workers!$A$5:$A$2004,0))&amp;"")</f>
        <v/>
      </c>
      <c r="U528" s="24" t="str">
        <f aca="false">IF($A528="","",INDEX(Workers!$H$5:$H$2004,MATCH($A528,Workers!$A$5:$A$2004,0))&amp;"")</f>
        <v/>
      </c>
    </row>
    <row r="529" customFormat="false" ht="15" hidden="false" customHeight="false" outlineLevel="0" collapsed="false">
      <c r="A529" s="24" t="str">
        <f aca="false">IFERROR(INDEX(Workers!$A$5:$A$2004,MATCH(ROW()-4,Workers!$U$5:$U$2004,0)),"")</f>
        <v/>
      </c>
      <c r="B529" s="24" t="str">
        <f aca="false">IF($A529="","",INDEX(Workers!$B$5:$B$2004,MATCH($A529,Workers!$A$5:$A$2004,0)))</f>
        <v/>
      </c>
      <c r="C529" s="24" t="str">
        <f aca="false">IF($A529="","",INDEX(Workers!$E$5:$E$2004,MATCH($A529,Workers!$A$5:$A$2004,0)))</f>
        <v/>
      </c>
      <c r="D529" s="24" t="str">
        <f aca="false">IF($A529="","",INDEX(Workers!$K$5:$K$2004,MATCH($A529,Workers!$A$5:$A$2004,0)))</f>
        <v/>
      </c>
      <c r="E529" s="25" t="str">
        <f aca="false">IF($A529="","",SUMIFS(Timesheet!$E$5:$E$3004,Timesheet!$D$5:$D$3004,$A529,Timesheet!$A$5:$A$3004,"&gt;="&amp;Settings!$B$8,Timesheet!$A$5:$A$3004,"&lt;="&amp;Settings!$B$9))</f>
        <v/>
      </c>
      <c r="F529" s="25" t="str">
        <f aca="false">IF($A529="","",SUMIFS(Timesheet!$F$5:$F$3004,Timesheet!$D$5:$D$3004,$A529,Timesheet!$A$5:$A$3004,"&gt;="&amp;Settings!$B$8,Timesheet!$A$5:$A$3004,"&lt;="&amp;Settings!$B$9))</f>
        <v/>
      </c>
      <c r="G529" s="25" t="str">
        <f aca="false">IF($A529="","",SUMIFS(Timesheet!$G$5:$G$3004,Timesheet!$D$5:$D$3004,$A529,Timesheet!$A$5:$A$3004,"&gt;="&amp;Settings!$B$8,Timesheet!$A$5:$A$3004,"&lt;="&amp;Settings!$B$9))</f>
        <v/>
      </c>
      <c r="H529" s="25" t="str">
        <f aca="false">IF($A529="","",IF(D529="Monthly",MAX(0,Settings!$B$11-E529),0))</f>
        <v/>
      </c>
      <c r="I529" s="26" t="str">
        <f aca="false">IF($A529="","",N(INDEX(Workers!$L$5:$L$2004,MATCH($A529,Workers!$A$5:$A$2004,0))))</f>
        <v/>
      </c>
      <c r="J529" s="26" t="str">
        <f aca="false">IF($A529="","",N(INDEX(Workers!$M$5:$M$2004,MATCH($A529,Workers!$A$5:$A$2004,0))))</f>
        <v/>
      </c>
      <c r="K529" s="26" t="str">
        <f aca="false">IF($A529="","",IF(D529="Monthly",ROUND(MAX(0,(I529+J529)-(I529+J529)/Settings!$B$10*H529),2),0))</f>
        <v/>
      </c>
      <c r="L529" s="26" t="str">
        <f aca="false">IF($A529="","",IF(D529="Hourly",ROUND(F529*N(INDEX(Workers!$N$5:$N$2004,MATCH($A529,Workers!$A$5:$A$2004,0))),2),0))</f>
        <v/>
      </c>
      <c r="M529" s="26" t="str">
        <f aca="false">IF($A529="","",ROUND(G529*IF(D529="Hourly",N(INDEX(Workers!$N$5:$N$2004,MATCH($A529,Workers!$A$5:$A$2004,0))),I529/Settings!$B$10/Settings!$B$12)*Settings!$B$13,2))</f>
        <v/>
      </c>
      <c r="N529" s="26" t="str">
        <f aca="false">IF($A529="","",K529+L529+M529)</f>
        <v/>
      </c>
      <c r="O529" s="26" t="str">
        <f aca="false">IF($A529="","",SUMIFS(Deductions!$D$5:$D$2000,Deductions!$B$5:$B$2000,$A529,Deductions!$C$5:$C$2000,"Advance",Deductions!$E$5:$E$2000,"&gt;="&amp;Settings!$B$8,Deductions!$E$5:$E$2000,"&lt;="&amp;Settings!$B$9))</f>
        <v/>
      </c>
      <c r="P529" s="26" t="str">
        <f aca="false">IF($A529="","",SUMIFS(Deductions!$D$5:$D$2000,Deductions!$B$5:$B$2000,$A529,Deductions!$E$5:$E$2000,"&gt;="&amp;Settings!$B$8,Deductions!$E$5:$E$2000,"&lt;="&amp;Settings!$B$9)-O529)</f>
        <v/>
      </c>
      <c r="Q529" s="26" t="str">
        <f aca="false">IF($A529="","",O529+P529)</f>
        <v/>
      </c>
      <c r="R529" s="23" t="str">
        <f aca="false">IF($A529="","",N529-Q529)</f>
        <v/>
      </c>
      <c r="S529" s="24" t="str">
        <f aca="false">IF($A529="","",INDEX(Workers!$O$5:$O$2004,MATCH($A529,Workers!$A$5:$A$2004,0))&amp;"")</f>
        <v/>
      </c>
      <c r="T529" s="24" t="str">
        <f aca="false">IF($A529="","",INDEX(Workers!$P$5:$P$2004,MATCH($A529,Workers!$A$5:$A$2004,0))&amp;"")</f>
        <v/>
      </c>
      <c r="U529" s="24" t="str">
        <f aca="false">IF($A529="","",INDEX(Workers!$H$5:$H$2004,MATCH($A529,Workers!$A$5:$A$2004,0))&amp;"")</f>
        <v/>
      </c>
    </row>
    <row r="530" customFormat="false" ht="15" hidden="false" customHeight="false" outlineLevel="0" collapsed="false">
      <c r="A530" s="24" t="str">
        <f aca="false">IFERROR(INDEX(Workers!$A$5:$A$2004,MATCH(ROW()-4,Workers!$U$5:$U$2004,0)),"")</f>
        <v/>
      </c>
      <c r="B530" s="24" t="str">
        <f aca="false">IF($A530="","",INDEX(Workers!$B$5:$B$2004,MATCH($A530,Workers!$A$5:$A$2004,0)))</f>
        <v/>
      </c>
      <c r="C530" s="24" t="str">
        <f aca="false">IF($A530="","",INDEX(Workers!$E$5:$E$2004,MATCH($A530,Workers!$A$5:$A$2004,0)))</f>
        <v/>
      </c>
      <c r="D530" s="24" t="str">
        <f aca="false">IF($A530="","",INDEX(Workers!$K$5:$K$2004,MATCH($A530,Workers!$A$5:$A$2004,0)))</f>
        <v/>
      </c>
      <c r="E530" s="25" t="str">
        <f aca="false">IF($A530="","",SUMIFS(Timesheet!$E$5:$E$3004,Timesheet!$D$5:$D$3004,$A530,Timesheet!$A$5:$A$3004,"&gt;="&amp;Settings!$B$8,Timesheet!$A$5:$A$3004,"&lt;="&amp;Settings!$B$9))</f>
        <v/>
      </c>
      <c r="F530" s="25" t="str">
        <f aca="false">IF($A530="","",SUMIFS(Timesheet!$F$5:$F$3004,Timesheet!$D$5:$D$3004,$A530,Timesheet!$A$5:$A$3004,"&gt;="&amp;Settings!$B$8,Timesheet!$A$5:$A$3004,"&lt;="&amp;Settings!$B$9))</f>
        <v/>
      </c>
      <c r="G530" s="25" t="str">
        <f aca="false">IF($A530="","",SUMIFS(Timesheet!$G$5:$G$3004,Timesheet!$D$5:$D$3004,$A530,Timesheet!$A$5:$A$3004,"&gt;="&amp;Settings!$B$8,Timesheet!$A$5:$A$3004,"&lt;="&amp;Settings!$B$9))</f>
        <v/>
      </c>
      <c r="H530" s="25" t="str">
        <f aca="false">IF($A530="","",IF(D530="Monthly",MAX(0,Settings!$B$11-E530),0))</f>
        <v/>
      </c>
      <c r="I530" s="26" t="str">
        <f aca="false">IF($A530="","",N(INDEX(Workers!$L$5:$L$2004,MATCH($A530,Workers!$A$5:$A$2004,0))))</f>
        <v/>
      </c>
      <c r="J530" s="26" t="str">
        <f aca="false">IF($A530="","",N(INDEX(Workers!$M$5:$M$2004,MATCH($A530,Workers!$A$5:$A$2004,0))))</f>
        <v/>
      </c>
      <c r="K530" s="26" t="str">
        <f aca="false">IF($A530="","",IF(D530="Monthly",ROUND(MAX(0,(I530+J530)-(I530+J530)/Settings!$B$10*H530),2),0))</f>
        <v/>
      </c>
      <c r="L530" s="26" t="str">
        <f aca="false">IF($A530="","",IF(D530="Hourly",ROUND(F530*N(INDEX(Workers!$N$5:$N$2004,MATCH($A530,Workers!$A$5:$A$2004,0))),2),0))</f>
        <v/>
      </c>
      <c r="M530" s="26" t="str">
        <f aca="false">IF($A530="","",ROUND(G530*IF(D530="Hourly",N(INDEX(Workers!$N$5:$N$2004,MATCH($A530,Workers!$A$5:$A$2004,0))),I530/Settings!$B$10/Settings!$B$12)*Settings!$B$13,2))</f>
        <v/>
      </c>
      <c r="N530" s="26" t="str">
        <f aca="false">IF($A530="","",K530+L530+M530)</f>
        <v/>
      </c>
      <c r="O530" s="26" t="str">
        <f aca="false">IF($A530="","",SUMIFS(Deductions!$D$5:$D$2000,Deductions!$B$5:$B$2000,$A530,Deductions!$C$5:$C$2000,"Advance",Deductions!$E$5:$E$2000,"&gt;="&amp;Settings!$B$8,Deductions!$E$5:$E$2000,"&lt;="&amp;Settings!$B$9))</f>
        <v/>
      </c>
      <c r="P530" s="26" t="str">
        <f aca="false">IF($A530="","",SUMIFS(Deductions!$D$5:$D$2000,Deductions!$B$5:$B$2000,$A530,Deductions!$E$5:$E$2000,"&gt;="&amp;Settings!$B$8,Deductions!$E$5:$E$2000,"&lt;="&amp;Settings!$B$9)-O530)</f>
        <v/>
      </c>
      <c r="Q530" s="26" t="str">
        <f aca="false">IF($A530="","",O530+P530)</f>
        <v/>
      </c>
      <c r="R530" s="23" t="str">
        <f aca="false">IF($A530="","",N530-Q530)</f>
        <v/>
      </c>
      <c r="S530" s="24" t="str">
        <f aca="false">IF($A530="","",INDEX(Workers!$O$5:$O$2004,MATCH($A530,Workers!$A$5:$A$2004,0))&amp;"")</f>
        <v/>
      </c>
      <c r="T530" s="24" t="str">
        <f aca="false">IF($A530="","",INDEX(Workers!$P$5:$P$2004,MATCH($A530,Workers!$A$5:$A$2004,0))&amp;"")</f>
        <v/>
      </c>
      <c r="U530" s="24" t="str">
        <f aca="false">IF($A530="","",INDEX(Workers!$H$5:$H$2004,MATCH($A530,Workers!$A$5:$A$2004,0))&amp;"")</f>
        <v/>
      </c>
    </row>
    <row r="531" customFormat="false" ht="15" hidden="false" customHeight="false" outlineLevel="0" collapsed="false">
      <c r="A531" s="24" t="str">
        <f aca="false">IFERROR(INDEX(Workers!$A$5:$A$2004,MATCH(ROW()-4,Workers!$U$5:$U$2004,0)),"")</f>
        <v/>
      </c>
      <c r="B531" s="24" t="str">
        <f aca="false">IF($A531="","",INDEX(Workers!$B$5:$B$2004,MATCH($A531,Workers!$A$5:$A$2004,0)))</f>
        <v/>
      </c>
      <c r="C531" s="24" t="str">
        <f aca="false">IF($A531="","",INDEX(Workers!$E$5:$E$2004,MATCH($A531,Workers!$A$5:$A$2004,0)))</f>
        <v/>
      </c>
      <c r="D531" s="24" t="str">
        <f aca="false">IF($A531="","",INDEX(Workers!$K$5:$K$2004,MATCH($A531,Workers!$A$5:$A$2004,0)))</f>
        <v/>
      </c>
      <c r="E531" s="25" t="str">
        <f aca="false">IF($A531="","",SUMIFS(Timesheet!$E$5:$E$3004,Timesheet!$D$5:$D$3004,$A531,Timesheet!$A$5:$A$3004,"&gt;="&amp;Settings!$B$8,Timesheet!$A$5:$A$3004,"&lt;="&amp;Settings!$B$9))</f>
        <v/>
      </c>
      <c r="F531" s="25" t="str">
        <f aca="false">IF($A531="","",SUMIFS(Timesheet!$F$5:$F$3004,Timesheet!$D$5:$D$3004,$A531,Timesheet!$A$5:$A$3004,"&gt;="&amp;Settings!$B$8,Timesheet!$A$5:$A$3004,"&lt;="&amp;Settings!$B$9))</f>
        <v/>
      </c>
      <c r="G531" s="25" t="str">
        <f aca="false">IF($A531="","",SUMIFS(Timesheet!$G$5:$G$3004,Timesheet!$D$5:$D$3004,$A531,Timesheet!$A$5:$A$3004,"&gt;="&amp;Settings!$B$8,Timesheet!$A$5:$A$3004,"&lt;="&amp;Settings!$B$9))</f>
        <v/>
      </c>
      <c r="H531" s="25" t="str">
        <f aca="false">IF($A531="","",IF(D531="Monthly",MAX(0,Settings!$B$11-E531),0))</f>
        <v/>
      </c>
      <c r="I531" s="26" t="str">
        <f aca="false">IF($A531="","",N(INDEX(Workers!$L$5:$L$2004,MATCH($A531,Workers!$A$5:$A$2004,0))))</f>
        <v/>
      </c>
      <c r="J531" s="26" t="str">
        <f aca="false">IF($A531="","",N(INDEX(Workers!$M$5:$M$2004,MATCH($A531,Workers!$A$5:$A$2004,0))))</f>
        <v/>
      </c>
      <c r="K531" s="26" t="str">
        <f aca="false">IF($A531="","",IF(D531="Monthly",ROUND(MAX(0,(I531+J531)-(I531+J531)/Settings!$B$10*H531),2),0))</f>
        <v/>
      </c>
      <c r="L531" s="26" t="str">
        <f aca="false">IF($A531="","",IF(D531="Hourly",ROUND(F531*N(INDEX(Workers!$N$5:$N$2004,MATCH($A531,Workers!$A$5:$A$2004,0))),2),0))</f>
        <v/>
      </c>
      <c r="M531" s="26" t="str">
        <f aca="false">IF($A531="","",ROUND(G531*IF(D531="Hourly",N(INDEX(Workers!$N$5:$N$2004,MATCH($A531,Workers!$A$5:$A$2004,0))),I531/Settings!$B$10/Settings!$B$12)*Settings!$B$13,2))</f>
        <v/>
      </c>
      <c r="N531" s="26" t="str">
        <f aca="false">IF($A531="","",K531+L531+M531)</f>
        <v/>
      </c>
      <c r="O531" s="26" t="str">
        <f aca="false">IF($A531="","",SUMIFS(Deductions!$D$5:$D$2000,Deductions!$B$5:$B$2000,$A531,Deductions!$C$5:$C$2000,"Advance",Deductions!$E$5:$E$2000,"&gt;="&amp;Settings!$B$8,Deductions!$E$5:$E$2000,"&lt;="&amp;Settings!$B$9))</f>
        <v/>
      </c>
      <c r="P531" s="26" t="str">
        <f aca="false">IF($A531="","",SUMIFS(Deductions!$D$5:$D$2000,Deductions!$B$5:$B$2000,$A531,Deductions!$E$5:$E$2000,"&gt;="&amp;Settings!$B$8,Deductions!$E$5:$E$2000,"&lt;="&amp;Settings!$B$9)-O531)</f>
        <v/>
      </c>
      <c r="Q531" s="26" t="str">
        <f aca="false">IF($A531="","",O531+P531)</f>
        <v/>
      </c>
      <c r="R531" s="23" t="str">
        <f aca="false">IF($A531="","",N531-Q531)</f>
        <v/>
      </c>
      <c r="S531" s="24" t="str">
        <f aca="false">IF($A531="","",INDEX(Workers!$O$5:$O$2004,MATCH($A531,Workers!$A$5:$A$2004,0))&amp;"")</f>
        <v/>
      </c>
      <c r="T531" s="24" t="str">
        <f aca="false">IF($A531="","",INDEX(Workers!$P$5:$P$2004,MATCH($A531,Workers!$A$5:$A$2004,0))&amp;"")</f>
        <v/>
      </c>
      <c r="U531" s="24" t="str">
        <f aca="false">IF($A531="","",INDEX(Workers!$H$5:$H$2004,MATCH($A531,Workers!$A$5:$A$2004,0))&amp;"")</f>
        <v/>
      </c>
    </row>
    <row r="532" customFormat="false" ht="15" hidden="false" customHeight="false" outlineLevel="0" collapsed="false">
      <c r="A532" s="24" t="str">
        <f aca="false">IFERROR(INDEX(Workers!$A$5:$A$2004,MATCH(ROW()-4,Workers!$U$5:$U$2004,0)),"")</f>
        <v/>
      </c>
      <c r="B532" s="24" t="str">
        <f aca="false">IF($A532="","",INDEX(Workers!$B$5:$B$2004,MATCH($A532,Workers!$A$5:$A$2004,0)))</f>
        <v/>
      </c>
      <c r="C532" s="24" t="str">
        <f aca="false">IF($A532="","",INDEX(Workers!$E$5:$E$2004,MATCH($A532,Workers!$A$5:$A$2004,0)))</f>
        <v/>
      </c>
      <c r="D532" s="24" t="str">
        <f aca="false">IF($A532="","",INDEX(Workers!$K$5:$K$2004,MATCH($A532,Workers!$A$5:$A$2004,0)))</f>
        <v/>
      </c>
      <c r="E532" s="25" t="str">
        <f aca="false">IF($A532="","",SUMIFS(Timesheet!$E$5:$E$3004,Timesheet!$D$5:$D$3004,$A532,Timesheet!$A$5:$A$3004,"&gt;="&amp;Settings!$B$8,Timesheet!$A$5:$A$3004,"&lt;="&amp;Settings!$B$9))</f>
        <v/>
      </c>
      <c r="F532" s="25" t="str">
        <f aca="false">IF($A532="","",SUMIFS(Timesheet!$F$5:$F$3004,Timesheet!$D$5:$D$3004,$A532,Timesheet!$A$5:$A$3004,"&gt;="&amp;Settings!$B$8,Timesheet!$A$5:$A$3004,"&lt;="&amp;Settings!$B$9))</f>
        <v/>
      </c>
      <c r="G532" s="25" t="str">
        <f aca="false">IF($A532="","",SUMIFS(Timesheet!$G$5:$G$3004,Timesheet!$D$5:$D$3004,$A532,Timesheet!$A$5:$A$3004,"&gt;="&amp;Settings!$B$8,Timesheet!$A$5:$A$3004,"&lt;="&amp;Settings!$B$9))</f>
        <v/>
      </c>
      <c r="H532" s="25" t="str">
        <f aca="false">IF($A532="","",IF(D532="Monthly",MAX(0,Settings!$B$11-E532),0))</f>
        <v/>
      </c>
      <c r="I532" s="26" t="str">
        <f aca="false">IF($A532="","",N(INDEX(Workers!$L$5:$L$2004,MATCH($A532,Workers!$A$5:$A$2004,0))))</f>
        <v/>
      </c>
      <c r="J532" s="26" t="str">
        <f aca="false">IF($A532="","",N(INDEX(Workers!$M$5:$M$2004,MATCH($A532,Workers!$A$5:$A$2004,0))))</f>
        <v/>
      </c>
      <c r="K532" s="26" t="str">
        <f aca="false">IF($A532="","",IF(D532="Monthly",ROUND(MAX(0,(I532+J532)-(I532+J532)/Settings!$B$10*H532),2),0))</f>
        <v/>
      </c>
      <c r="L532" s="26" t="str">
        <f aca="false">IF($A532="","",IF(D532="Hourly",ROUND(F532*N(INDEX(Workers!$N$5:$N$2004,MATCH($A532,Workers!$A$5:$A$2004,0))),2),0))</f>
        <v/>
      </c>
      <c r="M532" s="26" t="str">
        <f aca="false">IF($A532="","",ROUND(G532*IF(D532="Hourly",N(INDEX(Workers!$N$5:$N$2004,MATCH($A532,Workers!$A$5:$A$2004,0))),I532/Settings!$B$10/Settings!$B$12)*Settings!$B$13,2))</f>
        <v/>
      </c>
      <c r="N532" s="26" t="str">
        <f aca="false">IF($A532="","",K532+L532+M532)</f>
        <v/>
      </c>
      <c r="O532" s="26" t="str">
        <f aca="false">IF($A532="","",SUMIFS(Deductions!$D$5:$D$2000,Deductions!$B$5:$B$2000,$A532,Deductions!$C$5:$C$2000,"Advance",Deductions!$E$5:$E$2000,"&gt;="&amp;Settings!$B$8,Deductions!$E$5:$E$2000,"&lt;="&amp;Settings!$B$9))</f>
        <v/>
      </c>
      <c r="P532" s="26" t="str">
        <f aca="false">IF($A532="","",SUMIFS(Deductions!$D$5:$D$2000,Deductions!$B$5:$B$2000,$A532,Deductions!$E$5:$E$2000,"&gt;="&amp;Settings!$B$8,Deductions!$E$5:$E$2000,"&lt;="&amp;Settings!$B$9)-O532)</f>
        <v/>
      </c>
      <c r="Q532" s="26" t="str">
        <f aca="false">IF($A532="","",O532+P532)</f>
        <v/>
      </c>
      <c r="R532" s="23" t="str">
        <f aca="false">IF($A532="","",N532-Q532)</f>
        <v/>
      </c>
      <c r="S532" s="24" t="str">
        <f aca="false">IF($A532="","",INDEX(Workers!$O$5:$O$2004,MATCH($A532,Workers!$A$5:$A$2004,0))&amp;"")</f>
        <v/>
      </c>
      <c r="T532" s="24" t="str">
        <f aca="false">IF($A532="","",INDEX(Workers!$P$5:$P$2004,MATCH($A532,Workers!$A$5:$A$2004,0))&amp;"")</f>
        <v/>
      </c>
      <c r="U532" s="24" t="str">
        <f aca="false">IF($A532="","",INDEX(Workers!$H$5:$H$2004,MATCH($A532,Workers!$A$5:$A$2004,0))&amp;"")</f>
        <v/>
      </c>
    </row>
    <row r="533" customFormat="false" ht="15" hidden="false" customHeight="false" outlineLevel="0" collapsed="false">
      <c r="A533" s="24" t="str">
        <f aca="false">IFERROR(INDEX(Workers!$A$5:$A$2004,MATCH(ROW()-4,Workers!$U$5:$U$2004,0)),"")</f>
        <v/>
      </c>
      <c r="B533" s="24" t="str">
        <f aca="false">IF($A533="","",INDEX(Workers!$B$5:$B$2004,MATCH($A533,Workers!$A$5:$A$2004,0)))</f>
        <v/>
      </c>
      <c r="C533" s="24" t="str">
        <f aca="false">IF($A533="","",INDEX(Workers!$E$5:$E$2004,MATCH($A533,Workers!$A$5:$A$2004,0)))</f>
        <v/>
      </c>
      <c r="D533" s="24" t="str">
        <f aca="false">IF($A533="","",INDEX(Workers!$K$5:$K$2004,MATCH($A533,Workers!$A$5:$A$2004,0)))</f>
        <v/>
      </c>
      <c r="E533" s="25" t="str">
        <f aca="false">IF($A533="","",SUMIFS(Timesheet!$E$5:$E$3004,Timesheet!$D$5:$D$3004,$A533,Timesheet!$A$5:$A$3004,"&gt;="&amp;Settings!$B$8,Timesheet!$A$5:$A$3004,"&lt;="&amp;Settings!$B$9))</f>
        <v/>
      </c>
      <c r="F533" s="25" t="str">
        <f aca="false">IF($A533="","",SUMIFS(Timesheet!$F$5:$F$3004,Timesheet!$D$5:$D$3004,$A533,Timesheet!$A$5:$A$3004,"&gt;="&amp;Settings!$B$8,Timesheet!$A$5:$A$3004,"&lt;="&amp;Settings!$B$9))</f>
        <v/>
      </c>
      <c r="G533" s="25" t="str">
        <f aca="false">IF($A533="","",SUMIFS(Timesheet!$G$5:$G$3004,Timesheet!$D$5:$D$3004,$A533,Timesheet!$A$5:$A$3004,"&gt;="&amp;Settings!$B$8,Timesheet!$A$5:$A$3004,"&lt;="&amp;Settings!$B$9))</f>
        <v/>
      </c>
      <c r="H533" s="25" t="str">
        <f aca="false">IF($A533="","",IF(D533="Monthly",MAX(0,Settings!$B$11-E533),0))</f>
        <v/>
      </c>
      <c r="I533" s="26" t="str">
        <f aca="false">IF($A533="","",N(INDEX(Workers!$L$5:$L$2004,MATCH($A533,Workers!$A$5:$A$2004,0))))</f>
        <v/>
      </c>
      <c r="J533" s="26" t="str">
        <f aca="false">IF($A533="","",N(INDEX(Workers!$M$5:$M$2004,MATCH($A533,Workers!$A$5:$A$2004,0))))</f>
        <v/>
      </c>
      <c r="K533" s="26" t="str">
        <f aca="false">IF($A533="","",IF(D533="Monthly",ROUND(MAX(0,(I533+J533)-(I533+J533)/Settings!$B$10*H533),2),0))</f>
        <v/>
      </c>
      <c r="L533" s="26" t="str">
        <f aca="false">IF($A533="","",IF(D533="Hourly",ROUND(F533*N(INDEX(Workers!$N$5:$N$2004,MATCH($A533,Workers!$A$5:$A$2004,0))),2),0))</f>
        <v/>
      </c>
      <c r="M533" s="26" t="str">
        <f aca="false">IF($A533="","",ROUND(G533*IF(D533="Hourly",N(INDEX(Workers!$N$5:$N$2004,MATCH($A533,Workers!$A$5:$A$2004,0))),I533/Settings!$B$10/Settings!$B$12)*Settings!$B$13,2))</f>
        <v/>
      </c>
      <c r="N533" s="26" t="str">
        <f aca="false">IF($A533="","",K533+L533+M533)</f>
        <v/>
      </c>
      <c r="O533" s="26" t="str">
        <f aca="false">IF($A533="","",SUMIFS(Deductions!$D$5:$D$2000,Deductions!$B$5:$B$2000,$A533,Deductions!$C$5:$C$2000,"Advance",Deductions!$E$5:$E$2000,"&gt;="&amp;Settings!$B$8,Deductions!$E$5:$E$2000,"&lt;="&amp;Settings!$B$9))</f>
        <v/>
      </c>
      <c r="P533" s="26" t="str">
        <f aca="false">IF($A533="","",SUMIFS(Deductions!$D$5:$D$2000,Deductions!$B$5:$B$2000,$A533,Deductions!$E$5:$E$2000,"&gt;="&amp;Settings!$B$8,Deductions!$E$5:$E$2000,"&lt;="&amp;Settings!$B$9)-O533)</f>
        <v/>
      </c>
      <c r="Q533" s="26" t="str">
        <f aca="false">IF($A533="","",O533+P533)</f>
        <v/>
      </c>
      <c r="R533" s="23" t="str">
        <f aca="false">IF($A533="","",N533-Q533)</f>
        <v/>
      </c>
      <c r="S533" s="24" t="str">
        <f aca="false">IF($A533="","",INDEX(Workers!$O$5:$O$2004,MATCH($A533,Workers!$A$5:$A$2004,0))&amp;"")</f>
        <v/>
      </c>
      <c r="T533" s="24" t="str">
        <f aca="false">IF($A533="","",INDEX(Workers!$P$5:$P$2004,MATCH($A533,Workers!$A$5:$A$2004,0))&amp;"")</f>
        <v/>
      </c>
      <c r="U533" s="24" t="str">
        <f aca="false">IF($A533="","",INDEX(Workers!$H$5:$H$2004,MATCH($A533,Workers!$A$5:$A$2004,0))&amp;"")</f>
        <v/>
      </c>
    </row>
    <row r="534" customFormat="false" ht="15" hidden="false" customHeight="false" outlineLevel="0" collapsed="false">
      <c r="A534" s="24" t="str">
        <f aca="false">IFERROR(INDEX(Workers!$A$5:$A$2004,MATCH(ROW()-4,Workers!$U$5:$U$2004,0)),"")</f>
        <v/>
      </c>
      <c r="B534" s="24" t="str">
        <f aca="false">IF($A534="","",INDEX(Workers!$B$5:$B$2004,MATCH($A534,Workers!$A$5:$A$2004,0)))</f>
        <v/>
      </c>
      <c r="C534" s="24" t="str">
        <f aca="false">IF($A534="","",INDEX(Workers!$E$5:$E$2004,MATCH($A534,Workers!$A$5:$A$2004,0)))</f>
        <v/>
      </c>
      <c r="D534" s="24" t="str">
        <f aca="false">IF($A534="","",INDEX(Workers!$K$5:$K$2004,MATCH($A534,Workers!$A$5:$A$2004,0)))</f>
        <v/>
      </c>
      <c r="E534" s="25" t="str">
        <f aca="false">IF($A534="","",SUMIFS(Timesheet!$E$5:$E$3004,Timesheet!$D$5:$D$3004,$A534,Timesheet!$A$5:$A$3004,"&gt;="&amp;Settings!$B$8,Timesheet!$A$5:$A$3004,"&lt;="&amp;Settings!$B$9))</f>
        <v/>
      </c>
      <c r="F534" s="25" t="str">
        <f aca="false">IF($A534="","",SUMIFS(Timesheet!$F$5:$F$3004,Timesheet!$D$5:$D$3004,$A534,Timesheet!$A$5:$A$3004,"&gt;="&amp;Settings!$B$8,Timesheet!$A$5:$A$3004,"&lt;="&amp;Settings!$B$9))</f>
        <v/>
      </c>
      <c r="G534" s="25" t="str">
        <f aca="false">IF($A534="","",SUMIFS(Timesheet!$G$5:$G$3004,Timesheet!$D$5:$D$3004,$A534,Timesheet!$A$5:$A$3004,"&gt;="&amp;Settings!$B$8,Timesheet!$A$5:$A$3004,"&lt;="&amp;Settings!$B$9))</f>
        <v/>
      </c>
      <c r="H534" s="25" t="str">
        <f aca="false">IF($A534="","",IF(D534="Monthly",MAX(0,Settings!$B$11-E534),0))</f>
        <v/>
      </c>
      <c r="I534" s="26" t="str">
        <f aca="false">IF($A534="","",N(INDEX(Workers!$L$5:$L$2004,MATCH($A534,Workers!$A$5:$A$2004,0))))</f>
        <v/>
      </c>
      <c r="J534" s="26" t="str">
        <f aca="false">IF($A534="","",N(INDEX(Workers!$M$5:$M$2004,MATCH($A534,Workers!$A$5:$A$2004,0))))</f>
        <v/>
      </c>
      <c r="K534" s="26" t="str">
        <f aca="false">IF($A534="","",IF(D534="Monthly",ROUND(MAX(0,(I534+J534)-(I534+J534)/Settings!$B$10*H534),2),0))</f>
        <v/>
      </c>
      <c r="L534" s="26" t="str">
        <f aca="false">IF($A534="","",IF(D534="Hourly",ROUND(F534*N(INDEX(Workers!$N$5:$N$2004,MATCH($A534,Workers!$A$5:$A$2004,0))),2),0))</f>
        <v/>
      </c>
      <c r="M534" s="26" t="str">
        <f aca="false">IF($A534="","",ROUND(G534*IF(D534="Hourly",N(INDEX(Workers!$N$5:$N$2004,MATCH($A534,Workers!$A$5:$A$2004,0))),I534/Settings!$B$10/Settings!$B$12)*Settings!$B$13,2))</f>
        <v/>
      </c>
      <c r="N534" s="26" t="str">
        <f aca="false">IF($A534="","",K534+L534+M534)</f>
        <v/>
      </c>
      <c r="O534" s="26" t="str">
        <f aca="false">IF($A534="","",SUMIFS(Deductions!$D$5:$D$2000,Deductions!$B$5:$B$2000,$A534,Deductions!$C$5:$C$2000,"Advance",Deductions!$E$5:$E$2000,"&gt;="&amp;Settings!$B$8,Deductions!$E$5:$E$2000,"&lt;="&amp;Settings!$B$9))</f>
        <v/>
      </c>
      <c r="P534" s="26" t="str">
        <f aca="false">IF($A534="","",SUMIFS(Deductions!$D$5:$D$2000,Deductions!$B$5:$B$2000,$A534,Deductions!$E$5:$E$2000,"&gt;="&amp;Settings!$B$8,Deductions!$E$5:$E$2000,"&lt;="&amp;Settings!$B$9)-O534)</f>
        <v/>
      </c>
      <c r="Q534" s="26" t="str">
        <f aca="false">IF($A534="","",O534+P534)</f>
        <v/>
      </c>
      <c r="R534" s="23" t="str">
        <f aca="false">IF($A534="","",N534-Q534)</f>
        <v/>
      </c>
      <c r="S534" s="24" t="str">
        <f aca="false">IF($A534="","",INDEX(Workers!$O$5:$O$2004,MATCH($A534,Workers!$A$5:$A$2004,0))&amp;"")</f>
        <v/>
      </c>
      <c r="T534" s="24" t="str">
        <f aca="false">IF($A534="","",INDEX(Workers!$P$5:$P$2004,MATCH($A534,Workers!$A$5:$A$2004,0))&amp;"")</f>
        <v/>
      </c>
      <c r="U534" s="24" t="str">
        <f aca="false">IF($A534="","",INDEX(Workers!$H$5:$H$2004,MATCH($A534,Workers!$A$5:$A$2004,0))&amp;"")</f>
        <v/>
      </c>
    </row>
    <row r="535" customFormat="false" ht="15" hidden="false" customHeight="false" outlineLevel="0" collapsed="false">
      <c r="A535" s="24" t="str">
        <f aca="false">IFERROR(INDEX(Workers!$A$5:$A$2004,MATCH(ROW()-4,Workers!$U$5:$U$2004,0)),"")</f>
        <v/>
      </c>
      <c r="B535" s="24" t="str">
        <f aca="false">IF($A535="","",INDEX(Workers!$B$5:$B$2004,MATCH($A535,Workers!$A$5:$A$2004,0)))</f>
        <v/>
      </c>
      <c r="C535" s="24" t="str">
        <f aca="false">IF($A535="","",INDEX(Workers!$E$5:$E$2004,MATCH($A535,Workers!$A$5:$A$2004,0)))</f>
        <v/>
      </c>
      <c r="D535" s="24" t="str">
        <f aca="false">IF($A535="","",INDEX(Workers!$K$5:$K$2004,MATCH($A535,Workers!$A$5:$A$2004,0)))</f>
        <v/>
      </c>
      <c r="E535" s="25" t="str">
        <f aca="false">IF($A535="","",SUMIFS(Timesheet!$E$5:$E$3004,Timesheet!$D$5:$D$3004,$A535,Timesheet!$A$5:$A$3004,"&gt;="&amp;Settings!$B$8,Timesheet!$A$5:$A$3004,"&lt;="&amp;Settings!$B$9))</f>
        <v/>
      </c>
      <c r="F535" s="25" t="str">
        <f aca="false">IF($A535="","",SUMIFS(Timesheet!$F$5:$F$3004,Timesheet!$D$5:$D$3004,$A535,Timesheet!$A$5:$A$3004,"&gt;="&amp;Settings!$B$8,Timesheet!$A$5:$A$3004,"&lt;="&amp;Settings!$B$9))</f>
        <v/>
      </c>
      <c r="G535" s="25" t="str">
        <f aca="false">IF($A535="","",SUMIFS(Timesheet!$G$5:$G$3004,Timesheet!$D$5:$D$3004,$A535,Timesheet!$A$5:$A$3004,"&gt;="&amp;Settings!$B$8,Timesheet!$A$5:$A$3004,"&lt;="&amp;Settings!$B$9))</f>
        <v/>
      </c>
      <c r="H535" s="25" t="str">
        <f aca="false">IF($A535="","",IF(D535="Monthly",MAX(0,Settings!$B$11-E535),0))</f>
        <v/>
      </c>
      <c r="I535" s="26" t="str">
        <f aca="false">IF($A535="","",N(INDEX(Workers!$L$5:$L$2004,MATCH($A535,Workers!$A$5:$A$2004,0))))</f>
        <v/>
      </c>
      <c r="J535" s="26" t="str">
        <f aca="false">IF($A535="","",N(INDEX(Workers!$M$5:$M$2004,MATCH($A535,Workers!$A$5:$A$2004,0))))</f>
        <v/>
      </c>
      <c r="K535" s="26" t="str">
        <f aca="false">IF($A535="","",IF(D535="Monthly",ROUND(MAX(0,(I535+J535)-(I535+J535)/Settings!$B$10*H535),2),0))</f>
        <v/>
      </c>
      <c r="L535" s="26" t="str">
        <f aca="false">IF($A535="","",IF(D535="Hourly",ROUND(F535*N(INDEX(Workers!$N$5:$N$2004,MATCH($A535,Workers!$A$5:$A$2004,0))),2),0))</f>
        <v/>
      </c>
      <c r="M535" s="26" t="str">
        <f aca="false">IF($A535="","",ROUND(G535*IF(D535="Hourly",N(INDEX(Workers!$N$5:$N$2004,MATCH($A535,Workers!$A$5:$A$2004,0))),I535/Settings!$B$10/Settings!$B$12)*Settings!$B$13,2))</f>
        <v/>
      </c>
      <c r="N535" s="26" t="str">
        <f aca="false">IF($A535="","",K535+L535+M535)</f>
        <v/>
      </c>
      <c r="O535" s="26" t="str">
        <f aca="false">IF($A535="","",SUMIFS(Deductions!$D$5:$D$2000,Deductions!$B$5:$B$2000,$A535,Deductions!$C$5:$C$2000,"Advance",Deductions!$E$5:$E$2000,"&gt;="&amp;Settings!$B$8,Deductions!$E$5:$E$2000,"&lt;="&amp;Settings!$B$9))</f>
        <v/>
      </c>
      <c r="P535" s="26" t="str">
        <f aca="false">IF($A535="","",SUMIFS(Deductions!$D$5:$D$2000,Deductions!$B$5:$B$2000,$A535,Deductions!$E$5:$E$2000,"&gt;="&amp;Settings!$B$8,Deductions!$E$5:$E$2000,"&lt;="&amp;Settings!$B$9)-O535)</f>
        <v/>
      </c>
      <c r="Q535" s="26" t="str">
        <f aca="false">IF($A535="","",O535+P535)</f>
        <v/>
      </c>
      <c r="R535" s="23" t="str">
        <f aca="false">IF($A535="","",N535-Q535)</f>
        <v/>
      </c>
      <c r="S535" s="24" t="str">
        <f aca="false">IF($A535="","",INDEX(Workers!$O$5:$O$2004,MATCH($A535,Workers!$A$5:$A$2004,0))&amp;"")</f>
        <v/>
      </c>
      <c r="T535" s="24" t="str">
        <f aca="false">IF($A535="","",INDEX(Workers!$P$5:$P$2004,MATCH($A535,Workers!$A$5:$A$2004,0))&amp;"")</f>
        <v/>
      </c>
      <c r="U535" s="24" t="str">
        <f aca="false">IF($A535="","",INDEX(Workers!$H$5:$H$2004,MATCH($A535,Workers!$A$5:$A$2004,0))&amp;"")</f>
        <v/>
      </c>
    </row>
    <row r="536" customFormat="false" ht="15" hidden="false" customHeight="false" outlineLevel="0" collapsed="false">
      <c r="A536" s="24" t="str">
        <f aca="false">IFERROR(INDEX(Workers!$A$5:$A$2004,MATCH(ROW()-4,Workers!$U$5:$U$2004,0)),"")</f>
        <v/>
      </c>
      <c r="B536" s="24" t="str">
        <f aca="false">IF($A536="","",INDEX(Workers!$B$5:$B$2004,MATCH($A536,Workers!$A$5:$A$2004,0)))</f>
        <v/>
      </c>
      <c r="C536" s="24" t="str">
        <f aca="false">IF($A536="","",INDEX(Workers!$E$5:$E$2004,MATCH($A536,Workers!$A$5:$A$2004,0)))</f>
        <v/>
      </c>
      <c r="D536" s="24" t="str">
        <f aca="false">IF($A536="","",INDEX(Workers!$K$5:$K$2004,MATCH($A536,Workers!$A$5:$A$2004,0)))</f>
        <v/>
      </c>
      <c r="E536" s="25" t="str">
        <f aca="false">IF($A536="","",SUMIFS(Timesheet!$E$5:$E$3004,Timesheet!$D$5:$D$3004,$A536,Timesheet!$A$5:$A$3004,"&gt;="&amp;Settings!$B$8,Timesheet!$A$5:$A$3004,"&lt;="&amp;Settings!$B$9))</f>
        <v/>
      </c>
      <c r="F536" s="25" t="str">
        <f aca="false">IF($A536="","",SUMIFS(Timesheet!$F$5:$F$3004,Timesheet!$D$5:$D$3004,$A536,Timesheet!$A$5:$A$3004,"&gt;="&amp;Settings!$B$8,Timesheet!$A$5:$A$3004,"&lt;="&amp;Settings!$B$9))</f>
        <v/>
      </c>
      <c r="G536" s="25" t="str">
        <f aca="false">IF($A536="","",SUMIFS(Timesheet!$G$5:$G$3004,Timesheet!$D$5:$D$3004,$A536,Timesheet!$A$5:$A$3004,"&gt;="&amp;Settings!$B$8,Timesheet!$A$5:$A$3004,"&lt;="&amp;Settings!$B$9))</f>
        <v/>
      </c>
      <c r="H536" s="25" t="str">
        <f aca="false">IF($A536="","",IF(D536="Monthly",MAX(0,Settings!$B$11-E536),0))</f>
        <v/>
      </c>
      <c r="I536" s="26" t="str">
        <f aca="false">IF($A536="","",N(INDEX(Workers!$L$5:$L$2004,MATCH($A536,Workers!$A$5:$A$2004,0))))</f>
        <v/>
      </c>
      <c r="J536" s="26" t="str">
        <f aca="false">IF($A536="","",N(INDEX(Workers!$M$5:$M$2004,MATCH($A536,Workers!$A$5:$A$2004,0))))</f>
        <v/>
      </c>
      <c r="K536" s="26" t="str">
        <f aca="false">IF($A536="","",IF(D536="Monthly",ROUND(MAX(0,(I536+J536)-(I536+J536)/Settings!$B$10*H536),2),0))</f>
        <v/>
      </c>
      <c r="L536" s="26" t="str">
        <f aca="false">IF($A536="","",IF(D536="Hourly",ROUND(F536*N(INDEX(Workers!$N$5:$N$2004,MATCH($A536,Workers!$A$5:$A$2004,0))),2),0))</f>
        <v/>
      </c>
      <c r="M536" s="26" t="str">
        <f aca="false">IF($A536="","",ROUND(G536*IF(D536="Hourly",N(INDEX(Workers!$N$5:$N$2004,MATCH($A536,Workers!$A$5:$A$2004,0))),I536/Settings!$B$10/Settings!$B$12)*Settings!$B$13,2))</f>
        <v/>
      </c>
      <c r="N536" s="26" t="str">
        <f aca="false">IF($A536="","",K536+L536+M536)</f>
        <v/>
      </c>
      <c r="O536" s="26" t="str">
        <f aca="false">IF($A536="","",SUMIFS(Deductions!$D$5:$D$2000,Deductions!$B$5:$B$2000,$A536,Deductions!$C$5:$C$2000,"Advance",Deductions!$E$5:$E$2000,"&gt;="&amp;Settings!$B$8,Deductions!$E$5:$E$2000,"&lt;="&amp;Settings!$B$9))</f>
        <v/>
      </c>
      <c r="P536" s="26" t="str">
        <f aca="false">IF($A536="","",SUMIFS(Deductions!$D$5:$D$2000,Deductions!$B$5:$B$2000,$A536,Deductions!$E$5:$E$2000,"&gt;="&amp;Settings!$B$8,Deductions!$E$5:$E$2000,"&lt;="&amp;Settings!$B$9)-O536)</f>
        <v/>
      </c>
      <c r="Q536" s="26" t="str">
        <f aca="false">IF($A536="","",O536+P536)</f>
        <v/>
      </c>
      <c r="R536" s="23" t="str">
        <f aca="false">IF($A536="","",N536-Q536)</f>
        <v/>
      </c>
      <c r="S536" s="24" t="str">
        <f aca="false">IF($A536="","",INDEX(Workers!$O$5:$O$2004,MATCH($A536,Workers!$A$5:$A$2004,0))&amp;"")</f>
        <v/>
      </c>
      <c r="T536" s="24" t="str">
        <f aca="false">IF($A536="","",INDEX(Workers!$P$5:$P$2004,MATCH($A536,Workers!$A$5:$A$2004,0))&amp;"")</f>
        <v/>
      </c>
      <c r="U536" s="24" t="str">
        <f aca="false">IF($A536="","",INDEX(Workers!$H$5:$H$2004,MATCH($A536,Workers!$A$5:$A$2004,0))&amp;"")</f>
        <v/>
      </c>
    </row>
    <row r="537" customFormat="false" ht="15" hidden="false" customHeight="false" outlineLevel="0" collapsed="false">
      <c r="A537" s="24" t="str">
        <f aca="false">IFERROR(INDEX(Workers!$A$5:$A$2004,MATCH(ROW()-4,Workers!$U$5:$U$2004,0)),"")</f>
        <v/>
      </c>
      <c r="B537" s="24" t="str">
        <f aca="false">IF($A537="","",INDEX(Workers!$B$5:$B$2004,MATCH($A537,Workers!$A$5:$A$2004,0)))</f>
        <v/>
      </c>
      <c r="C537" s="24" t="str">
        <f aca="false">IF($A537="","",INDEX(Workers!$E$5:$E$2004,MATCH($A537,Workers!$A$5:$A$2004,0)))</f>
        <v/>
      </c>
      <c r="D537" s="24" t="str">
        <f aca="false">IF($A537="","",INDEX(Workers!$K$5:$K$2004,MATCH($A537,Workers!$A$5:$A$2004,0)))</f>
        <v/>
      </c>
      <c r="E537" s="25" t="str">
        <f aca="false">IF($A537="","",SUMIFS(Timesheet!$E$5:$E$3004,Timesheet!$D$5:$D$3004,$A537,Timesheet!$A$5:$A$3004,"&gt;="&amp;Settings!$B$8,Timesheet!$A$5:$A$3004,"&lt;="&amp;Settings!$B$9))</f>
        <v/>
      </c>
      <c r="F537" s="25" t="str">
        <f aca="false">IF($A537="","",SUMIFS(Timesheet!$F$5:$F$3004,Timesheet!$D$5:$D$3004,$A537,Timesheet!$A$5:$A$3004,"&gt;="&amp;Settings!$B$8,Timesheet!$A$5:$A$3004,"&lt;="&amp;Settings!$B$9))</f>
        <v/>
      </c>
      <c r="G537" s="25" t="str">
        <f aca="false">IF($A537="","",SUMIFS(Timesheet!$G$5:$G$3004,Timesheet!$D$5:$D$3004,$A537,Timesheet!$A$5:$A$3004,"&gt;="&amp;Settings!$B$8,Timesheet!$A$5:$A$3004,"&lt;="&amp;Settings!$B$9))</f>
        <v/>
      </c>
      <c r="H537" s="25" t="str">
        <f aca="false">IF($A537="","",IF(D537="Monthly",MAX(0,Settings!$B$11-E537),0))</f>
        <v/>
      </c>
      <c r="I537" s="26" t="str">
        <f aca="false">IF($A537="","",N(INDEX(Workers!$L$5:$L$2004,MATCH($A537,Workers!$A$5:$A$2004,0))))</f>
        <v/>
      </c>
      <c r="J537" s="26" t="str">
        <f aca="false">IF($A537="","",N(INDEX(Workers!$M$5:$M$2004,MATCH($A537,Workers!$A$5:$A$2004,0))))</f>
        <v/>
      </c>
      <c r="K537" s="26" t="str">
        <f aca="false">IF($A537="","",IF(D537="Monthly",ROUND(MAX(0,(I537+J537)-(I537+J537)/Settings!$B$10*H537),2),0))</f>
        <v/>
      </c>
      <c r="L537" s="26" t="str">
        <f aca="false">IF($A537="","",IF(D537="Hourly",ROUND(F537*N(INDEX(Workers!$N$5:$N$2004,MATCH($A537,Workers!$A$5:$A$2004,0))),2),0))</f>
        <v/>
      </c>
      <c r="M537" s="26" t="str">
        <f aca="false">IF($A537="","",ROUND(G537*IF(D537="Hourly",N(INDEX(Workers!$N$5:$N$2004,MATCH($A537,Workers!$A$5:$A$2004,0))),I537/Settings!$B$10/Settings!$B$12)*Settings!$B$13,2))</f>
        <v/>
      </c>
      <c r="N537" s="26" t="str">
        <f aca="false">IF($A537="","",K537+L537+M537)</f>
        <v/>
      </c>
      <c r="O537" s="26" t="str">
        <f aca="false">IF($A537="","",SUMIFS(Deductions!$D$5:$D$2000,Deductions!$B$5:$B$2000,$A537,Deductions!$C$5:$C$2000,"Advance",Deductions!$E$5:$E$2000,"&gt;="&amp;Settings!$B$8,Deductions!$E$5:$E$2000,"&lt;="&amp;Settings!$B$9))</f>
        <v/>
      </c>
      <c r="P537" s="26" t="str">
        <f aca="false">IF($A537="","",SUMIFS(Deductions!$D$5:$D$2000,Deductions!$B$5:$B$2000,$A537,Deductions!$E$5:$E$2000,"&gt;="&amp;Settings!$B$8,Deductions!$E$5:$E$2000,"&lt;="&amp;Settings!$B$9)-O537)</f>
        <v/>
      </c>
      <c r="Q537" s="26" t="str">
        <f aca="false">IF($A537="","",O537+P537)</f>
        <v/>
      </c>
      <c r="R537" s="23" t="str">
        <f aca="false">IF($A537="","",N537-Q537)</f>
        <v/>
      </c>
      <c r="S537" s="24" t="str">
        <f aca="false">IF($A537="","",INDEX(Workers!$O$5:$O$2004,MATCH($A537,Workers!$A$5:$A$2004,0))&amp;"")</f>
        <v/>
      </c>
      <c r="T537" s="24" t="str">
        <f aca="false">IF($A537="","",INDEX(Workers!$P$5:$P$2004,MATCH($A537,Workers!$A$5:$A$2004,0))&amp;"")</f>
        <v/>
      </c>
      <c r="U537" s="24" t="str">
        <f aca="false">IF($A537="","",INDEX(Workers!$H$5:$H$2004,MATCH($A537,Workers!$A$5:$A$2004,0))&amp;"")</f>
        <v/>
      </c>
    </row>
    <row r="538" customFormat="false" ht="15" hidden="false" customHeight="false" outlineLevel="0" collapsed="false">
      <c r="A538" s="24" t="str">
        <f aca="false">IFERROR(INDEX(Workers!$A$5:$A$2004,MATCH(ROW()-4,Workers!$U$5:$U$2004,0)),"")</f>
        <v/>
      </c>
      <c r="B538" s="24" t="str">
        <f aca="false">IF($A538="","",INDEX(Workers!$B$5:$B$2004,MATCH($A538,Workers!$A$5:$A$2004,0)))</f>
        <v/>
      </c>
      <c r="C538" s="24" t="str">
        <f aca="false">IF($A538="","",INDEX(Workers!$E$5:$E$2004,MATCH($A538,Workers!$A$5:$A$2004,0)))</f>
        <v/>
      </c>
      <c r="D538" s="24" t="str">
        <f aca="false">IF($A538="","",INDEX(Workers!$K$5:$K$2004,MATCH($A538,Workers!$A$5:$A$2004,0)))</f>
        <v/>
      </c>
      <c r="E538" s="25" t="str">
        <f aca="false">IF($A538="","",SUMIFS(Timesheet!$E$5:$E$3004,Timesheet!$D$5:$D$3004,$A538,Timesheet!$A$5:$A$3004,"&gt;="&amp;Settings!$B$8,Timesheet!$A$5:$A$3004,"&lt;="&amp;Settings!$B$9))</f>
        <v/>
      </c>
      <c r="F538" s="25" t="str">
        <f aca="false">IF($A538="","",SUMIFS(Timesheet!$F$5:$F$3004,Timesheet!$D$5:$D$3004,$A538,Timesheet!$A$5:$A$3004,"&gt;="&amp;Settings!$B$8,Timesheet!$A$5:$A$3004,"&lt;="&amp;Settings!$B$9))</f>
        <v/>
      </c>
      <c r="G538" s="25" t="str">
        <f aca="false">IF($A538="","",SUMIFS(Timesheet!$G$5:$G$3004,Timesheet!$D$5:$D$3004,$A538,Timesheet!$A$5:$A$3004,"&gt;="&amp;Settings!$B$8,Timesheet!$A$5:$A$3004,"&lt;="&amp;Settings!$B$9))</f>
        <v/>
      </c>
      <c r="H538" s="25" t="str">
        <f aca="false">IF($A538="","",IF(D538="Monthly",MAX(0,Settings!$B$11-E538),0))</f>
        <v/>
      </c>
      <c r="I538" s="26" t="str">
        <f aca="false">IF($A538="","",N(INDEX(Workers!$L$5:$L$2004,MATCH($A538,Workers!$A$5:$A$2004,0))))</f>
        <v/>
      </c>
      <c r="J538" s="26" t="str">
        <f aca="false">IF($A538="","",N(INDEX(Workers!$M$5:$M$2004,MATCH($A538,Workers!$A$5:$A$2004,0))))</f>
        <v/>
      </c>
      <c r="K538" s="26" t="str">
        <f aca="false">IF($A538="","",IF(D538="Monthly",ROUND(MAX(0,(I538+J538)-(I538+J538)/Settings!$B$10*H538),2),0))</f>
        <v/>
      </c>
      <c r="L538" s="26" t="str">
        <f aca="false">IF($A538="","",IF(D538="Hourly",ROUND(F538*N(INDEX(Workers!$N$5:$N$2004,MATCH($A538,Workers!$A$5:$A$2004,0))),2),0))</f>
        <v/>
      </c>
      <c r="M538" s="26" t="str">
        <f aca="false">IF($A538="","",ROUND(G538*IF(D538="Hourly",N(INDEX(Workers!$N$5:$N$2004,MATCH($A538,Workers!$A$5:$A$2004,0))),I538/Settings!$B$10/Settings!$B$12)*Settings!$B$13,2))</f>
        <v/>
      </c>
      <c r="N538" s="26" t="str">
        <f aca="false">IF($A538="","",K538+L538+M538)</f>
        <v/>
      </c>
      <c r="O538" s="26" t="str">
        <f aca="false">IF($A538="","",SUMIFS(Deductions!$D$5:$D$2000,Deductions!$B$5:$B$2000,$A538,Deductions!$C$5:$C$2000,"Advance",Deductions!$E$5:$E$2000,"&gt;="&amp;Settings!$B$8,Deductions!$E$5:$E$2000,"&lt;="&amp;Settings!$B$9))</f>
        <v/>
      </c>
      <c r="P538" s="26" t="str">
        <f aca="false">IF($A538="","",SUMIFS(Deductions!$D$5:$D$2000,Deductions!$B$5:$B$2000,$A538,Deductions!$E$5:$E$2000,"&gt;="&amp;Settings!$B$8,Deductions!$E$5:$E$2000,"&lt;="&amp;Settings!$B$9)-O538)</f>
        <v/>
      </c>
      <c r="Q538" s="26" t="str">
        <f aca="false">IF($A538="","",O538+P538)</f>
        <v/>
      </c>
      <c r="R538" s="23" t="str">
        <f aca="false">IF($A538="","",N538-Q538)</f>
        <v/>
      </c>
      <c r="S538" s="24" t="str">
        <f aca="false">IF($A538="","",INDEX(Workers!$O$5:$O$2004,MATCH($A538,Workers!$A$5:$A$2004,0))&amp;"")</f>
        <v/>
      </c>
      <c r="T538" s="24" t="str">
        <f aca="false">IF($A538="","",INDEX(Workers!$P$5:$P$2004,MATCH($A538,Workers!$A$5:$A$2004,0))&amp;"")</f>
        <v/>
      </c>
      <c r="U538" s="24" t="str">
        <f aca="false">IF($A538="","",INDEX(Workers!$H$5:$H$2004,MATCH($A538,Workers!$A$5:$A$2004,0))&amp;"")</f>
        <v/>
      </c>
    </row>
    <row r="539" customFormat="false" ht="15" hidden="false" customHeight="false" outlineLevel="0" collapsed="false">
      <c r="A539" s="24" t="str">
        <f aca="false">IFERROR(INDEX(Workers!$A$5:$A$2004,MATCH(ROW()-4,Workers!$U$5:$U$2004,0)),"")</f>
        <v/>
      </c>
      <c r="B539" s="24" t="str">
        <f aca="false">IF($A539="","",INDEX(Workers!$B$5:$B$2004,MATCH($A539,Workers!$A$5:$A$2004,0)))</f>
        <v/>
      </c>
      <c r="C539" s="24" t="str">
        <f aca="false">IF($A539="","",INDEX(Workers!$E$5:$E$2004,MATCH($A539,Workers!$A$5:$A$2004,0)))</f>
        <v/>
      </c>
      <c r="D539" s="24" t="str">
        <f aca="false">IF($A539="","",INDEX(Workers!$K$5:$K$2004,MATCH($A539,Workers!$A$5:$A$2004,0)))</f>
        <v/>
      </c>
      <c r="E539" s="25" t="str">
        <f aca="false">IF($A539="","",SUMIFS(Timesheet!$E$5:$E$3004,Timesheet!$D$5:$D$3004,$A539,Timesheet!$A$5:$A$3004,"&gt;="&amp;Settings!$B$8,Timesheet!$A$5:$A$3004,"&lt;="&amp;Settings!$B$9))</f>
        <v/>
      </c>
      <c r="F539" s="25" t="str">
        <f aca="false">IF($A539="","",SUMIFS(Timesheet!$F$5:$F$3004,Timesheet!$D$5:$D$3004,$A539,Timesheet!$A$5:$A$3004,"&gt;="&amp;Settings!$B$8,Timesheet!$A$5:$A$3004,"&lt;="&amp;Settings!$B$9))</f>
        <v/>
      </c>
      <c r="G539" s="25" t="str">
        <f aca="false">IF($A539="","",SUMIFS(Timesheet!$G$5:$G$3004,Timesheet!$D$5:$D$3004,$A539,Timesheet!$A$5:$A$3004,"&gt;="&amp;Settings!$B$8,Timesheet!$A$5:$A$3004,"&lt;="&amp;Settings!$B$9))</f>
        <v/>
      </c>
      <c r="H539" s="25" t="str">
        <f aca="false">IF($A539="","",IF(D539="Monthly",MAX(0,Settings!$B$11-E539),0))</f>
        <v/>
      </c>
      <c r="I539" s="26" t="str">
        <f aca="false">IF($A539="","",N(INDEX(Workers!$L$5:$L$2004,MATCH($A539,Workers!$A$5:$A$2004,0))))</f>
        <v/>
      </c>
      <c r="J539" s="26" t="str">
        <f aca="false">IF($A539="","",N(INDEX(Workers!$M$5:$M$2004,MATCH($A539,Workers!$A$5:$A$2004,0))))</f>
        <v/>
      </c>
      <c r="K539" s="26" t="str">
        <f aca="false">IF($A539="","",IF(D539="Monthly",ROUND(MAX(0,(I539+J539)-(I539+J539)/Settings!$B$10*H539),2),0))</f>
        <v/>
      </c>
      <c r="L539" s="26" t="str">
        <f aca="false">IF($A539="","",IF(D539="Hourly",ROUND(F539*N(INDEX(Workers!$N$5:$N$2004,MATCH($A539,Workers!$A$5:$A$2004,0))),2),0))</f>
        <v/>
      </c>
      <c r="M539" s="26" t="str">
        <f aca="false">IF($A539="","",ROUND(G539*IF(D539="Hourly",N(INDEX(Workers!$N$5:$N$2004,MATCH($A539,Workers!$A$5:$A$2004,0))),I539/Settings!$B$10/Settings!$B$12)*Settings!$B$13,2))</f>
        <v/>
      </c>
      <c r="N539" s="26" t="str">
        <f aca="false">IF($A539="","",K539+L539+M539)</f>
        <v/>
      </c>
      <c r="O539" s="26" t="str">
        <f aca="false">IF($A539="","",SUMIFS(Deductions!$D$5:$D$2000,Deductions!$B$5:$B$2000,$A539,Deductions!$C$5:$C$2000,"Advance",Deductions!$E$5:$E$2000,"&gt;="&amp;Settings!$B$8,Deductions!$E$5:$E$2000,"&lt;="&amp;Settings!$B$9))</f>
        <v/>
      </c>
      <c r="P539" s="26" t="str">
        <f aca="false">IF($A539="","",SUMIFS(Deductions!$D$5:$D$2000,Deductions!$B$5:$B$2000,$A539,Deductions!$E$5:$E$2000,"&gt;="&amp;Settings!$B$8,Deductions!$E$5:$E$2000,"&lt;="&amp;Settings!$B$9)-O539)</f>
        <v/>
      </c>
      <c r="Q539" s="26" t="str">
        <f aca="false">IF($A539="","",O539+P539)</f>
        <v/>
      </c>
      <c r="R539" s="23" t="str">
        <f aca="false">IF($A539="","",N539-Q539)</f>
        <v/>
      </c>
      <c r="S539" s="24" t="str">
        <f aca="false">IF($A539="","",INDEX(Workers!$O$5:$O$2004,MATCH($A539,Workers!$A$5:$A$2004,0))&amp;"")</f>
        <v/>
      </c>
      <c r="T539" s="24" t="str">
        <f aca="false">IF($A539="","",INDEX(Workers!$P$5:$P$2004,MATCH($A539,Workers!$A$5:$A$2004,0))&amp;"")</f>
        <v/>
      </c>
      <c r="U539" s="24" t="str">
        <f aca="false">IF($A539="","",INDEX(Workers!$H$5:$H$2004,MATCH($A539,Workers!$A$5:$A$2004,0))&amp;"")</f>
        <v/>
      </c>
    </row>
    <row r="540" customFormat="false" ht="15" hidden="false" customHeight="false" outlineLevel="0" collapsed="false">
      <c r="A540" s="24" t="str">
        <f aca="false">IFERROR(INDEX(Workers!$A$5:$A$2004,MATCH(ROW()-4,Workers!$U$5:$U$2004,0)),"")</f>
        <v/>
      </c>
      <c r="B540" s="24" t="str">
        <f aca="false">IF($A540="","",INDEX(Workers!$B$5:$B$2004,MATCH($A540,Workers!$A$5:$A$2004,0)))</f>
        <v/>
      </c>
      <c r="C540" s="24" t="str">
        <f aca="false">IF($A540="","",INDEX(Workers!$E$5:$E$2004,MATCH($A540,Workers!$A$5:$A$2004,0)))</f>
        <v/>
      </c>
      <c r="D540" s="24" t="str">
        <f aca="false">IF($A540="","",INDEX(Workers!$K$5:$K$2004,MATCH($A540,Workers!$A$5:$A$2004,0)))</f>
        <v/>
      </c>
      <c r="E540" s="25" t="str">
        <f aca="false">IF($A540="","",SUMIFS(Timesheet!$E$5:$E$3004,Timesheet!$D$5:$D$3004,$A540,Timesheet!$A$5:$A$3004,"&gt;="&amp;Settings!$B$8,Timesheet!$A$5:$A$3004,"&lt;="&amp;Settings!$B$9))</f>
        <v/>
      </c>
      <c r="F540" s="25" t="str">
        <f aca="false">IF($A540="","",SUMIFS(Timesheet!$F$5:$F$3004,Timesheet!$D$5:$D$3004,$A540,Timesheet!$A$5:$A$3004,"&gt;="&amp;Settings!$B$8,Timesheet!$A$5:$A$3004,"&lt;="&amp;Settings!$B$9))</f>
        <v/>
      </c>
      <c r="G540" s="25" t="str">
        <f aca="false">IF($A540="","",SUMIFS(Timesheet!$G$5:$G$3004,Timesheet!$D$5:$D$3004,$A540,Timesheet!$A$5:$A$3004,"&gt;="&amp;Settings!$B$8,Timesheet!$A$5:$A$3004,"&lt;="&amp;Settings!$B$9))</f>
        <v/>
      </c>
      <c r="H540" s="25" t="str">
        <f aca="false">IF($A540="","",IF(D540="Monthly",MAX(0,Settings!$B$11-E540),0))</f>
        <v/>
      </c>
      <c r="I540" s="26" t="str">
        <f aca="false">IF($A540="","",N(INDEX(Workers!$L$5:$L$2004,MATCH($A540,Workers!$A$5:$A$2004,0))))</f>
        <v/>
      </c>
      <c r="J540" s="26" t="str">
        <f aca="false">IF($A540="","",N(INDEX(Workers!$M$5:$M$2004,MATCH($A540,Workers!$A$5:$A$2004,0))))</f>
        <v/>
      </c>
      <c r="K540" s="26" t="str">
        <f aca="false">IF($A540="","",IF(D540="Monthly",ROUND(MAX(0,(I540+J540)-(I540+J540)/Settings!$B$10*H540),2),0))</f>
        <v/>
      </c>
      <c r="L540" s="26" t="str">
        <f aca="false">IF($A540="","",IF(D540="Hourly",ROUND(F540*N(INDEX(Workers!$N$5:$N$2004,MATCH($A540,Workers!$A$5:$A$2004,0))),2),0))</f>
        <v/>
      </c>
      <c r="M540" s="26" t="str">
        <f aca="false">IF($A540="","",ROUND(G540*IF(D540="Hourly",N(INDEX(Workers!$N$5:$N$2004,MATCH($A540,Workers!$A$5:$A$2004,0))),I540/Settings!$B$10/Settings!$B$12)*Settings!$B$13,2))</f>
        <v/>
      </c>
      <c r="N540" s="26" t="str">
        <f aca="false">IF($A540="","",K540+L540+M540)</f>
        <v/>
      </c>
      <c r="O540" s="26" t="str">
        <f aca="false">IF($A540="","",SUMIFS(Deductions!$D$5:$D$2000,Deductions!$B$5:$B$2000,$A540,Deductions!$C$5:$C$2000,"Advance",Deductions!$E$5:$E$2000,"&gt;="&amp;Settings!$B$8,Deductions!$E$5:$E$2000,"&lt;="&amp;Settings!$B$9))</f>
        <v/>
      </c>
      <c r="P540" s="26" t="str">
        <f aca="false">IF($A540="","",SUMIFS(Deductions!$D$5:$D$2000,Deductions!$B$5:$B$2000,$A540,Deductions!$E$5:$E$2000,"&gt;="&amp;Settings!$B$8,Deductions!$E$5:$E$2000,"&lt;="&amp;Settings!$B$9)-O540)</f>
        <v/>
      </c>
      <c r="Q540" s="26" t="str">
        <f aca="false">IF($A540="","",O540+P540)</f>
        <v/>
      </c>
      <c r="R540" s="23" t="str">
        <f aca="false">IF($A540="","",N540-Q540)</f>
        <v/>
      </c>
      <c r="S540" s="24" t="str">
        <f aca="false">IF($A540="","",INDEX(Workers!$O$5:$O$2004,MATCH($A540,Workers!$A$5:$A$2004,0))&amp;"")</f>
        <v/>
      </c>
      <c r="T540" s="24" t="str">
        <f aca="false">IF($A540="","",INDEX(Workers!$P$5:$P$2004,MATCH($A540,Workers!$A$5:$A$2004,0))&amp;"")</f>
        <v/>
      </c>
      <c r="U540" s="24" t="str">
        <f aca="false">IF($A540="","",INDEX(Workers!$H$5:$H$2004,MATCH($A540,Workers!$A$5:$A$2004,0))&amp;"")</f>
        <v/>
      </c>
    </row>
    <row r="541" customFormat="false" ht="15" hidden="false" customHeight="false" outlineLevel="0" collapsed="false">
      <c r="A541" s="24" t="str">
        <f aca="false">IFERROR(INDEX(Workers!$A$5:$A$2004,MATCH(ROW()-4,Workers!$U$5:$U$2004,0)),"")</f>
        <v/>
      </c>
      <c r="B541" s="24" t="str">
        <f aca="false">IF($A541="","",INDEX(Workers!$B$5:$B$2004,MATCH($A541,Workers!$A$5:$A$2004,0)))</f>
        <v/>
      </c>
      <c r="C541" s="24" t="str">
        <f aca="false">IF($A541="","",INDEX(Workers!$E$5:$E$2004,MATCH($A541,Workers!$A$5:$A$2004,0)))</f>
        <v/>
      </c>
      <c r="D541" s="24" t="str">
        <f aca="false">IF($A541="","",INDEX(Workers!$K$5:$K$2004,MATCH($A541,Workers!$A$5:$A$2004,0)))</f>
        <v/>
      </c>
      <c r="E541" s="25" t="str">
        <f aca="false">IF($A541="","",SUMIFS(Timesheet!$E$5:$E$3004,Timesheet!$D$5:$D$3004,$A541,Timesheet!$A$5:$A$3004,"&gt;="&amp;Settings!$B$8,Timesheet!$A$5:$A$3004,"&lt;="&amp;Settings!$B$9))</f>
        <v/>
      </c>
      <c r="F541" s="25" t="str">
        <f aca="false">IF($A541="","",SUMIFS(Timesheet!$F$5:$F$3004,Timesheet!$D$5:$D$3004,$A541,Timesheet!$A$5:$A$3004,"&gt;="&amp;Settings!$B$8,Timesheet!$A$5:$A$3004,"&lt;="&amp;Settings!$B$9))</f>
        <v/>
      </c>
      <c r="G541" s="25" t="str">
        <f aca="false">IF($A541="","",SUMIFS(Timesheet!$G$5:$G$3004,Timesheet!$D$5:$D$3004,$A541,Timesheet!$A$5:$A$3004,"&gt;="&amp;Settings!$B$8,Timesheet!$A$5:$A$3004,"&lt;="&amp;Settings!$B$9))</f>
        <v/>
      </c>
      <c r="H541" s="25" t="str">
        <f aca="false">IF($A541="","",IF(D541="Monthly",MAX(0,Settings!$B$11-E541),0))</f>
        <v/>
      </c>
      <c r="I541" s="26" t="str">
        <f aca="false">IF($A541="","",N(INDEX(Workers!$L$5:$L$2004,MATCH($A541,Workers!$A$5:$A$2004,0))))</f>
        <v/>
      </c>
      <c r="J541" s="26" t="str">
        <f aca="false">IF($A541="","",N(INDEX(Workers!$M$5:$M$2004,MATCH($A541,Workers!$A$5:$A$2004,0))))</f>
        <v/>
      </c>
      <c r="K541" s="26" t="str">
        <f aca="false">IF($A541="","",IF(D541="Monthly",ROUND(MAX(0,(I541+J541)-(I541+J541)/Settings!$B$10*H541),2),0))</f>
        <v/>
      </c>
      <c r="L541" s="26" t="str">
        <f aca="false">IF($A541="","",IF(D541="Hourly",ROUND(F541*N(INDEX(Workers!$N$5:$N$2004,MATCH($A541,Workers!$A$5:$A$2004,0))),2),0))</f>
        <v/>
      </c>
      <c r="M541" s="26" t="str">
        <f aca="false">IF($A541="","",ROUND(G541*IF(D541="Hourly",N(INDEX(Workers!$N$5:$N$2004,MATCH($A541,Workers!$A$5:$A$2004,0))),I541/Settings!$B$10/Settings!$B$12)*Settings!$B$13,2))</f>
        <v/>
      </c>
      <c r="N541" s="26" t="str">
        <f aca="false">IF($A541="","",K541+L541+M541)</f>
        <v/>
      </c>
      <c r="O541" s="26" t="str">
        <f aca="false">IF($A541="","",SUMIFS(Deductions!$D$5:$D$2000,Deductions!$B$5:$B$2000,$A541,Deductions!$C$5:$C$2000,"Advance",Deductions!$E$5:$E$2000,"&gt;="&amp;Settings!$B$8,Deductions!$E$5:$E$2000,"&lt;="&amp;Settings!$B$9))</f>
        <v/>
      </c>
      <c r="P541" s="26" t="str">
        <f aca="false">IF($A541="","",SUMIFS(Deductions!$D$5:$D$2000,Deductions!$B$5:$B$2000,$A541,Deductions!$E$5:$E$2000,"&gt;="&amp;Settings!$B$8,Deductions!$E$5:$E$2000,"&lt;="&amp;Settings!$B$9)-O541)</f>
        <v/>
      </c>
      <c r="Q541" s="26" t="str">
        <f aca="false">IF($A541="","",O541+P541)</f>
        <v/>
      </c>
      <c r="R541" s="23" t="str">
        <f aca="false">IF($A541="","",N541-Q541)</f>
        <v/>
      </c>
      <c r="S541" s="24" t="str">
        <f aca="false">IF($A541="","",INDEX(Workers!$O$5:$O$2004,MATCH($A541,Workers!$A$5:$A$2004,0))&amp;"")</f>
        <v/>
      </c>
      <c r="T541" s="24" t="str">
        <f aca="false">IF($A541="","",INDEX(Workers!$P$5:$P$2004,MATCH($A541,Workers!$A$5:$A$2004,0))&amp;"")</f>
        <v/>
      </c>
      <c r="U541" s="24" t="str">
        <f aca="false">IF($A541="","",INDEX(Workers!$H$5:$H$2004,MATCH($A541,Workers!$A$5:$A$2004,0))&amp;"")</f>
        <v/>
      </c>
    </row>
    <row r="542" customFormat="false" ht="15" hidden="false" customHeight="false" outlineLevel="0" collapsed="false">
      <c r="A542" s="24" t="str">
        <f aca="false">IFERROR(INDEX(Workers!$A$5:$A$2004,MATCH(ROW()-4,Workers!$U$5:$U$2004,0)),"")</f>
        <v/>
      </c>
      <c r="B542" s="24" t="str">
        <f aca="false">IF($A542="","",INDEX(Workers!$B$5:$B$2004,MATCH($A542,Workers!$A$5:$A$2004,0)))</f>
        <v/>
      </c>
      <c r="C542" s="24" t="str">
        <f aca="false">IF($A542="","",INDEX(Workers!$E$5:$E$2004,MATCH($A542,Workers!$A$5:$A$2004,0)))</f>
        <v/>
      </c>
      <c r="D542" s="24" t="str">
        <f aca="false">IF($A542="","",INDEX(Workers!$K$5:$K$2004,MATCH($A542,Workers!$A$5:$A$2004,0)))</f>
        <v/>
      </c>
      <c r="E542" s="25" t="str">
        <f aca="false">IF($A542="","",SUMIFS(Timesheet!$E$5:$E$3004,Timesheet!$D$5:$D$3004,$A542,Timesheet!$A$5:$A$3004,"&gt;="&amp;Settings!$B$8,Timesheet!$A$5:$A$3004,"&lt;="&amp;Settings!$B$9))</f>
        <v/>
      </c>
      <c r="F542" s="25" t="str">
        <f aca="false">IF($A542="","",SUMIFS(Timesheet!$F$5:$F$3004,Timesheet!$D$5:$D$3004,$A542,Timesheet!$A$5:$A$3004,"&gt;="&amp;Settings!$B$8,Timesheet!$A$5:$A$3004,"&lt;="&amp;Settings!$B$9))</f>
        <v/>
      </c>
      <c r="G542" s="25" t="str">
        <f aca="false">IF($A542="","",SUMIFS(Timesheet!$G$5:$G$3004,Timesheet!$D$5:$D$3004,$A542,Timesheet!$A$5:$A$3004,"&gt;="&amp;Settings!$B$8,Timesheet!$A$5:$A$3004,"&lt;="&amp;Settings!$B$9))</f>
        <v/>
      </c>
      <c r="H542" s="25" t="str">
        <f aca="false">IF($A542="","",IF(D542="Monthly",MAX(0,Settings!$B$11-E542),0))</f>
        <v/>
      </c>
      <c r="I542" s="26" t="str">
        <f aca="false">IF($A542="","",N(INDEX(Workers!$L$5:$L$2004,MATCH($A542,Workers!$A$5:$A$2004,0))))</f>
        <v/>
      </c>
      <c r="J542" s="26" t="str">
        <f aca="false">IF($A542="","",N(INDEX(Workers!$M$5:$M$2004,MATCH($A542,Workers!$A$5:$A$2004,0))))</f>
        <v/>
      </c>
      <c r="K542" s="26" t="str">
        <f aca="false">IF($A542="","",IF(D542="Monthly",ROUND(MAX(0,(I542+J542)-(I542+J542)/Settings!$B$10*H542),2),0))</f>
        <v/>
      </c>
      <c r="L542" s="26" t="str">
        <f aca="false">IF($A542="","",IF(D542="Hourly",ROUND(F542*N(INDEX(Workers!$N$5:$N$2004,MATCH($A542,Workers!$A$5:$A$2004,0))),2),0))</f>
        <v/>
      </c>
      <c r="M542" s="26" t="str">
        <f aca="false">IF($A542="","",ROUND(G542*IF(D542="Hourly",N(INDEX(Workers!$N$5:$N$2004,MATCH($A542,Workers!$A$5:$A$2004,0))),I542/Settings!$B$10/Settings!$B$12)*Settings!$B$13,2))</f>
        <v/>
      </c>
      <c r="N542" s="26" t="str">
        <f aca="false">IF($A542="","",K542+L542+M542)</f>
        <v/>
      </c>
      <c r="O542" s="26" t="str">
        <f aca="false">IF($A542="","",SUMIFS(Deductions!$D$5:$D$2000,Deductions!$B$5:$B$2000,$A542,Deductions!$C$5:$C$2000,"Advance",Deductions!$E$5:$E$2000,"&gt;="&amp;Settings!$B$8,Deductions!$E$5:$E$2000,"&lt;="&amp;Settings!$B$9))</f>
        <v/>
      </c>
      <c r="P542" s="26" t="str">
        <f aca="false">IF($A542="","",SUMIFS(Deductions!$D$5:$D$2000,Deductions!$B$5:$B$2000,$A542,Deductions!$E$5:$E$2000,"&gt;="&amp;Settings!$B$8,Deductions!$E$5:$E$2000,"&lt;="&amp;Settings!$B$9)-O542)</f>
        <v/>
      </c>
      <c r="Q542" s="26" t="str">
        <f aca="false">IF($A542="","",O542+P542)</f>
        <v/>
      </c>
      <c r="R542" s="23" t="str">
        <f aca="false">IF($A542="","",N542-Q542)</f>
        <v/>
      </c>
      <c r="S542" s="24" t="str">
        <f aca="false">IF($A542="","",INDEX(Workers!$O$5:$O$2004,MATCH($A542,Workers!$A$5:$A$2004,0))&amp;"")</f>
        <v/>
      </c>
      <c r="T542" s="24" t="str">
        <f aca="false">IF($A542="","",INDEX(Workers!$P$5:$P$2004,MATCH($A542,Workers!$A$5:$A$2004,0))&amp;"")</f>
        <v/>
      </c>
      <c r="U542" s="24" t="str">
        <f aca="false">IF($A542="","",INDEX(Workers!$H$5:$H$2004,MATCH($A542,Workers!$A$5:$A$2004,0))&amp;"")</f>
        <v/>
      </c>
    </row>
    <row r="543" customFormat="false" ht="15" hidden="false" customHeight="false" outlineLevel="0" collapsed="false">
      <c r="A543" s="24" t="str">
        <f aca="false">IFERROR(INDEX(Workers!$A$5:$A$2004,MATCH(ROW()-4,Workers!$U$5:$U$2004,0)),"")</f>
        <v/>
      </c>
      <c r="B543" s="24" t="str">
        <f aca="false">IF($A543="","",INDEX(Workers!$B$5:$B$2004,MATCH($A543,Workers!$A$5:$A$2004,0)))</f>
        <v/>
      </c>
      <c r="C543" s="24" t="str">
        <f aca="false">IF($A543="","",INDEX(Workers!$E$5:$E$2004,MATCH($A543,Workers!$A$5:$A$2004,0)))</f>
        <v/>
      </c>
      <c r="D543" s="24" t="str">
        <f aca="false">IF($A543="","",INDEX(Workers!$K$5:$K$2004,MATCH($A543,Workers!$A$5:$A$2004,0)))</f>
        <v/>
      </c>
      <c r="E543" s="25" t="str">
        <f aca="false">IF($A543="","",SUMIFS(Timesheet!$E$5:$E$3004,Timesheet!$D$5:$D$3004,$A543,Timesheet!$A$5:$A$3004,"&gt;="&amp;Settings!$B$8,Timesheet!$A$5:$A$3004,"&lt;="&amp;Settings!$B$9))</f>
        <v/>
      </c>
      <c r="F543" s="25" t="str">
        <f aca="false">IF($A543="","",SUMIFS(Timesheet!$F$5:$F$3004,Timesheet!$D$5:$D$3004,$A543,Timesheet!$A$5:$A$3004,"&gt;="&amp;Settings!$B$8,Timesheet!$A$5:$A$3004,"&lt;="&amp;Settings!$B$9))</f>
        <v/>
      </c>
      <c r="G543" s="25" t="str">
        <f aca="false">IF($A543="","",SUMIFS(Timesheet!$G$5:$G$3004,Timesheet!$D$5:$D$3004,$A543,Timesheet!$A$5:$A$3004,"&gt;="&amp;Settings!$B$8,Timesheet!$A$5:$A$3004,"&lt;="&amp;Settings!$B$9))</f>
        <v/>
      </c>
      <c r="H543" s="25" t="str">
        <f aca="false">IF($A543="","",IF(D543="Monthly",MAX(0,Settings!$B$11-E543),0))</f>
        <v/>
      </c>
      <c r="I543" s="26" t="str">
        <f aca="false">IF($A543="","",N(INDEX(Workers!$L$5:$L$2004,MATCH($A543,Workers!$A$5:$A$2004,0))))</f>
        <v/>
      </c>
      <c r="J543" s="26" t="str">
        <f aca="false">IF($A543="","",N(INDEX(Workers!$M$5:$M$2004,MATCH($A543,Workers!$A$5:$A$2004,0))))</f>
        <v/>
      </c>
      <c r="K543" s="26" t="str">
        <f aca="false">IF($A543="","",IF(D543="Monthly",ROUND(MAX(0,(I543+J543)-(I543+J543)/Settings!$B$10*H543),2),0))</f>
        <v/>
      </c>
      <c r="L543" s="26" t="str">
        <f aca="false">IF($A543="","",IF(D543="Hourly",ROUND(F543*N(INDEX(Workers!$N$5:$N$2004,MATCH($A543,Workers!$A$5:$A$2004,0))),2),0))</f>
        <v/>
      </c>
      <c r="M543" s="26" t="str">
        <f aca="false">IF($A543="","",ROUND(G543*IF(D543="Hourly",N(INDEX(Workers!$N$5:$N$2004,MATCH($A543,Workers!$A$5:$A$2004,0))),I543/Settings!$B$10/Settings!$B$12)*Settings!$B$13,2))</f>
        <v/>
      </c>
      <c r="N543" s="26" t="str">
        <f aca="false">IF($A543="","",K543+L543+M543)</f>
        <v/>
      </c>
      <c r="O543" s="26" t="str">
        <f aca="false">IF($A543="","",SUMIFS(Deductions!$D$5:$D$2000,Deductions!$B$5:$B$2000,$A543,Deductions!$C$5:$C$2000,"Advance",Deductions!$E$5:$E$2000,"&gt;="&amp;Settings!$B$8,Deductions!$E$5:$E$2000,"&lt;="&amp;Settings!$B$9))</f>
        <v/>
      </c>
      <c r="P543" s="26" t="str">
        <f aca="false">IF($A543="","",SUMIFS(Deductions!$D$5:$D$2000,Deductions!$B$5:$B$2000,$A543,Deductions!$E$5:$E$2000,"&gt;="&amp;Settings!$B$8,Deductions!$E$5:$E$2000,"&lt;="&amp;Settings!$B$9)-O543)</f>
        <v/>
      </c>
      <c r="Q543" s="26" t="str">
        <f aca="false">IF($A543="","",O543+P543)</f>
        <v/>
      </c>
      <c r="R543" s="23" t="str">
        <f aca="false">IF($A543="","",N543-Q543)</f>
        <v/>
      </c>
      <c r="S543" s="24" t="str">
        <f aca="false">IF($A543="","",INDEX(Workers!$O$5:$O$2004,MATCH($A543,Workers!$A$5:$A$2004,0))&amp;"")</f>
        <v/>
      </c>
      <c r="T543" s="24" t="str">
        <f aca="false">IF($A543="","",INDEX(Workers!$P$5:$P$2004,MATCH($A543,Workers!$A$5:$A$2004,0))&amp;"")</f>
        <v/>
      </c>
      <c r="U543" s="24" t="str">
        <f aca="false">IF($A543="","",INDEX(Workers!$H$5:$H$2004,MATCH($A543,Workers!$A$5:$A$2004,0))&amp;"")</f>
        <v/>
      </c>
    </row>
    <row r="544" customFormat="false" ht="15" hidden="false" customHeight="false" outlineLevel="0" collapsed="false">
      <c r="A544" s="24" t="str">
        <f aca="false">IFERROR(INDEX(Workers!$A$5:$A$2004,MATCH(ROW()-4,Workers!$U$5:$U$2004,0)),"")</f>
        <v/>
      </c>
      <c r="B544" s="24" t="str">
        <f aca="false">IF($A544="","",INDEX(Workers!$B$5:$B$2004,MATCH($A544,Workers!$A$5:$A$2004,0)))</f>
        <v/>
      </c>
      <c r="C544" s="24" t="str">
        <f aca="false">IF($A544="","",INDEX(Workers!$E$5:$E$2004,MATCH($A544,Workers!$A$5:$A$2004,0)))</f>
        <v/>
      </c>
      <c r="D544" s="24" t="str">
        <f aca="false">IF($A544="","",INDEX(Workers!$K$5:$K$2004,MATCH($A544,Workers!$A$5:$A$2004,0)))</f>
        <v/>
      </c>
      <c r="E544" s="25" t="str">
        <f aca="false">IF($A544="","",SUMIFS(Timesheet!$E$5:$E$3004,Timesheet!$D$5:$D$3004,$A544,Timesheet!$A$5:$A$3004,"&gt;="&amp;Settings!$B$8,Timesheet!$A$5:$A$3004,"&lt;="&amp;Settings!$B$9))</f>
        <v/>
      </c>
      <c r="F544" s="25" t="str">
        <f aca="false">IF($A544="","",SUMIFS(Timesheet!$F$5:$F$3004,Timesheet!$D$5:$D$3004,$A544,Timesheet!$A$5:$A$3004,"&gt;="&amp;Settings!$B$8,Timesheet!$A$5:$A$3004,"&lt;="&amp;Settings!$B$9))</f>
        <v/>
      </c>
      <c r="G544" s="25" t="str">
        <f aca="false">IF($A544="","",SUMIFS(Timesheet!$G$5:$G$3004,Timesheet!$D$5:$D$3004,$A544,Timesheet!$A$5:$A$3004,"&gt;="&amp;Settings!$B$8,Timesheet!$A$5:$A$3004,"&lt;="&amp;Settings!$B$9))</f>
        <v/>
      </c>
      <c r="H544" s="25" t="str">
        <f aca="false">IF($A544="","",IF(D544="Monthly",MAX(0,Settings!$B$11-E544),0))</f>
        <v/>
      </c>
      <c r="I544" s="26" t="str">
        <f aca="false">IF($A544="","",N(INDEX(Workers!$L$5:$L$2004,MATCH($A544,Workers!$A$5:$A$2004,0))))</f>
        <v/>
      </c>
      <c r="J544" s="26" t="str">
        <f aca="false">IF($A544="","",N(INDEX(Workers!$M$5:$M$2004,MATCH($A544,Workers!$A$5:$A$2004,0))))</f>
        <v/>
      </c>
      <c r="K544" s="26" t="str">
        <f aca="false">IF($A544="","",IF(D544="Monthly",ROUND(MAX(0,(I544+J544)-(I544+J544)/Settings!$B$10*H544),2),0))</f>
        <v/>
      </c>
      <c r="L544" s="26" t="str">
        <f aca="false">IF($A544="","",IF(D544="Hourly",ROUND(F544*N(INDEX(Workers!$N$5:$N$2004,MATCH($A544,Workers!$A$5:$A$2004,0))),2),0))</f>
        <v/>
      </c>
      <c r="M544" s="26" t="str">
        <f aca="false">IF($A544="","",ROUND(G544*IF(D544="Hourly",N(INDEX(Workers!$N$5:$N$2004,MATCH($A544,Workers!$A$5:$A$2004,0))),I544/Settings!$B$10/Settings!$B$12)*Settings!$B$13,2))</f>
        <v/>
      </c>
      <c r="N544" s="26" t="str">
        <f aca="false">IF($A544="","",K544+L544+M544)</f>
        <v/>
      </c>
      <c r="O544" s="26" t="str">
        <f aca="false">IF($A544="","",SUMIFS(Deductions!$D$5:$D$2000,Deductions!$B$5:$B$2000,$A544,Deductions!$C$5:$C$2000,"Advance",Deductions!$E$5:$E$2000,"&gt;="&amp;Settings!$B$8,Deductions!$E$5:$E$2000,"&lt;="&amp;Settings!$B$9))</f>
        <v/>
      </c>
      <c r="P544" s="26" t="str">
        <f aca="false">IF($A544="","",SUMIFS(Deductions!$D$5:$D$2000,Deductions!$B$5:$B$2000,$A544,Deductions!$E$5:$E$2000,"&gt;="&amp;Settings!$B$8,Deductions!$E$5:$E$2000,"&lt;="&amp;Settings!$B$9)-O544)</f>
        <v/>
      </c>
      <c r="Q544" s="26" t="str">
        <f aca="false">IF($A544="","",O544+P544)</f>
        <v/>
      </c>
      <c r="R544" s="23" t="str">
        <f aca="false">IF($A544="","",N544-Q544)</f>
        <v/>
      </c>
      <c r="S544" s="24" t="str">
        <f aca="false">IF($A544="","",INDEX(Workers!$O$5:$O$2004,MATCH($A544,Workers!$A$5:$A$2004,0))&amp;"")</f>
        <v/>
      </c>
      <c r="T544" s="24" t="str">
        <f aca="false">IF($A544="","",INDEX(Workers!$P$5:$P$2004,MATCH($A544,Workers!$A$5:$A$2004,0))&amp;"")</f>
        <v/>
      </c>
      <c r="U544" s="24" t="str">
        <f aca="false">IF($A544="","",INDEX(Workers!$H$5:$H$2004,MATCH($A544,Workers!$A$5:$A$2004,0))&amp;"")</f>
        <v/>
      </c>
    </row>
    <row r="545" customFormat="false" ht="15" hidden="false" customHeight="false" outlineLevel="0" collapsed="false">
      <c r="A545" s="24" t="str">
        <f aca="false">IFERROR(INDEX(Workers!$A$5:$A$2004,MATCH(ROW()-4,Workers!$U$5:$U$2004,0)),"")</f>
        <v/>
      </c>
      <c r="B545" s="24" t="str">
        <f aca="false">IF($A545="","",INDEX(Workers!$B$5:$B$2004,MATCH($A545,Workers!$A$5:$A$2004,0)))</f>
        <v/>
      </c>
      <c r="C545" s="24" t="str">
        <f aca="false">IF($A545="","",INDEX(Workers!$E$5:$E$2004,MATCH($A545,Workers!$A$5:$A$2004,0)))</f>
        <v/>
      </c>
      <c r="D545" s="24" t="str">
        <f aca="false">IF($A545="","",INDEX(Workers!$K$5:$K$2004,MATCH($A545,Workers!$A$5:$A$2004,0)))</f>
        <v/>
      </c>
      <c r="E545" s="25" t="str">
        <f aca="false">IF($A545="","",SUMIFS(Timesheet!$E$5:$E$3004,Timesheet!$D$5:$D$3004,$A545,Timesheet!$A$5:$A$3004,"&gt;="&amp;Settings!$B$8,Timesheet!$A$5:$A$3004,"&lt;="&amp;Settings!$B$9))</f>
        <v/>
      </c>
      <c r="F545" s="25" t="str">
        <f aca="false">IF($A545="","",SUMIFS(Timesheet!$F$5:$F$3004,Timesheet!$D$5:$D$3004,$A545,Timesheet!$A$5:$A$3004,"&gt;="&amp;Settings!$B$8,Timesheet!$A$5:$A$3004,"&lt;="&amp;Settings!$B$9))</f>
        <v/>
      </c>
      <c r="G545" s="25" t="str">
        <f aca="false">IF($A545="","",SUMIFS(Timesheet!$G$5:$G$3004,Timesheet!$D$5:$D$3004,$A545,Timesheet!$A$5:$A$3004,"&gt;="&amp;Settings!$B$8,Timesheet!$A$5:$A$3004,"&lt;="&amp;Settings!$B$9))</f>
        <v/>
      </c>
      <c r="H545" s="25" t="str">
        <f aca="false">IF($A545="","",IF(D545="Monthly",MAX(0,Settings!$B$11-E545),0))</f>
        <v/>
      </c>
      <c r="I545" s="26" t="str">
        <f aca="false">IF($A545="","",N(INDEX(Workers!$L$5:$L$2004,MATCH($A545,Workers!$A$5:$A$2004,0))))</f>
        <v/>
      </c>
      <c r="J545" s="26" t="str">
        <f aca="false">IF($A545="","",N(INDEX(Workers!$M$5:$M$2004,MATCH($A545,Workers!$A$5:$A$2004,0))))</f>
        <v/>
      </c>
      <c r="K545" s="26" t="str">
        <f aca="false">IF($A545="","",IF(D545="Monthly",ROUND(MAX(0,(I545+J545)-(I545+J545)/Settings!$B$10*H545),2),0))</f>
        <v/>
      </c>
      <c r="L545" s="26" t="str">
        <f aca="false">IF($A545="","",IF(D545="Hourly",ROUND(F545*N(INDEX(Workers!$N$5:$N$2004,MATCH($A545,Workers!$A$5:$A$2004,0))),2),0))</f>
        <v/>
      </c>
      <c r="M545" s="26" t="str">
        <f aca="false">IF($A545="","",ROUND(G545*IF(D545="Hourly",N(INDEX(Workers!$N$5:$N$2004,MATCH($A545,Workers!$A$5:$A$2004,0))),I545/Settings!$B$10/Settings!$B$12)*Settings!$B$13,2))</f>
        <v/>
      </c>
      <c r="N545" s="26" t="str">
        <f aca="false">IF($A545="","",K545+L545+M545)</f>
        <v/>
      </c>
      <c r="O545" s="26" t="str">
        <f aca="false">IF($A545="","",SUMIFS(Deductions!$D$5:$D$2000,Deductions!$B$5:$B$2000,$A545,Deductions!$C$5:$C$2000,"Advance",Deductions!$E$5:$E$2000,"&gt;="&amp;Settings!$B$8,Deductions!$E$5:$E$2000,"&lt;="&amp;Settings!$B$9))</f>
        <v/>
      </c>
      <c r="P545" s="26" t="str">
        <f aca="false">IF($A545="","",SUMIFS(Deductions!$D$5:$D$2000,Deductions!$B$5:$B$2000,$A545,Deductions!$E$5:$E$2000,"&gt;="&amp;Settings!$B$8,Deductions!$E$5:$E$2000,"&lt;="&amp;Settings!$B$9)-O545)</f>
        <v/>
      </c>
      <c r="Q545" s="26" t="str">
        <f aca="false">IF($A545="","",O545+P545)</f>
        <v/>
      </c>
      <c r="R545" s="23" t="str">
        <f aca="false">IF($A545="","",N545-Q545)</f>
        <v/>
      </c>
      <c r="S545" s="24" t="str">
        <f aca="false">IF($A545="","",INDEX(Workers!$O$5:$O$2004,MATCH($A545,Workers!$A$5:$A$2004,0))&amp;"")</f>
        <v/>
      </c>
      <c r="T545" s="24" t="str">
        <f aca="false">IF($A545="","",INDEX(Workers!$P$5:$P$2004,MATCH($A545,Workers!$A$5:$A$2004,0))&amp;"")</f>
        <v/>
      </c>
      <c r="U545" s="24" t="str">
        <f aca="false">IF($A545="","",INDEX(Workers!$H$5:$H$2004,MATCH($A545,Workers!$A$5:$A$2004,0))&amp;"")</f>
        <v/>
      </c>
    </row>
    <row r="546" customFormat="false" ht="15" hidden="false" customHeight="false" outlineLevel="0" collapsed="false">
      <c r="A546" s="24" t="str">
        <f aca="false">IFERROR(INDEX(Workers!$A$5:$A$2004,MATCH(ROW()-4,Workers!$U$5:$U$2004,0)),"")</f>
        <v/>
      </c>
      <c r="B546" s="24" t="str">
        <f aca="false">IF($A546="","",INDEX(Workers!$B$5:$B$2004,MATCH($A546,Workers!$A$5:$A$2004,0)))</f>
        <v/>
      </c>
      <c r="C546" s="24" t="str">
        <f aca="false">IF($A546="","",INDEX(Workers!$E$5:$E$2004,MATCH($A546,Workers!$A$5:$A$2004,0)))</f>
        <v/>
      </c>
      <c r="D546" s="24" t="str">
        <f aca="false">IF($A546="","",INDEX(Workers!$K$5:$K$2004,MATCH($A546,Workers!$A$5:$A$2004,0)))</f>
        <v/>
      </c>
      <c r="E546" s="25" t="str">
        <f aca="false">IF($A546="","",SUMIFS(Timesheet!$E$5:$E$3004,Timesheet!$D$5:$D$3004,$A546,Timesheet!$A$5:$A$3004,"&gt;="&amp;Settings!$B$8,Timesheet!$A$5:$A$3004,"&lt;="&amp;Settings!$B$9))</f>
        <v/>
      </c>
      <c r="F546" s="25" t="str">
        <f aca="false">IF($A546="","",SUMIFS(Timesheet!$F$5:$F$3004,Timesheet!$D$5:$D$3004,$A546,Timesheet!$A$5:$A$3004,"&gt;="&amp;Settings!$B$8,Timesheet!$A$5:$A$3004,"&lt;="&amp;Settings!$B$9))</f>
        <v/>
      </c>
      <c r="G546" s="25" t="str">
        <f aca="false">IF($A546="","",SUMIFS(Timesheet!$G$5:$G$3004,Timesheet!$D$5:$D$3004,$A546,Timesheet!$A$5:$A$3004,"&gt;="&amp;Settings!$B$8,Timesheet!$A$5:$A$3004,"&lt;="&amp;Settings!$B$9))</f>
        <v/>
      </c>
      <c r="H546" s="25" t="str">
        <f aca="false">IF($A546="","",IF(D546="Monthly",MAX(0,Settings!$B$11-E546),0))</f>
        <v/>
      </c>
      <c r="I546" s="26" t="str">
        <f aca="false">IF($A546="","",N(INDEX(Workers!$L$5:$L$2004,MATCH($A546,Workers!$A$5:$A$2004,0))))</f>
        <v/>
      </c>
      <c r="J546" s="26" t="str">
        <f aca="false">IF($A546="","",N(INDEX(Workers!$M$5:$M$2004,MATCH($A546,Workers!$A$5:$A$2004,0))))</f>
        <v/>
      </c>
      <c r="K546" s="26" t="str">
        <f aca="false">IF($A546="","",IF(D546="Monthly",ROUND(MAX(0,(I546+J546)-(I546+J546)/Settings!$B$10*H546),2),0))</f>
        <v/>
      </c>
      <c r="L546" s="26" t="str">
        <f aca="false">IF($A546="","",IF(D546="Hourly",ROUND(F546*N(INDEX(Workers!$N$5:$N$2004,MATCH($A546,Workers!$A$5:$A$2004,0))),2),0))</f>
        <v/>
      </c>
      <c r="M546" s="26" t="str">
        <f aca="false">IF($A546="","",ROUND(G546*IF(D546="Hourly",N(INDEX(Workers!$N$5:$N$2004,MATCH($A546,Workers!$A$5:$A$2004,0))),I546/Settings!$B$10/Settings!$B$12)*Settings!$B$13,2))</f>
        <v/>
      </c>
      <c r="N546" s="26" t="str">
        <f aca="false">IF($A546="","",K546+L546+M546)</f>
        <v/>
      </c>
      <c r="O546" s="26" t="str">
        <f aca="false">IF($A546="","",SUMIFS(Deductions!$D$5:$D$2000,Deductions!$B$5:$B$2000,$A546,Deductions!$C$5:$C$2000,"Advance",Deductions!$E$5:$E$2000,"&gt;="&amp;Settings!$B$8,Deductions!$E$5:$E$2000,"&lt;="&amp;Settings!$B$9))</f>
        <v/>
      </c>
      <c r="P546" s="26" t="str">
        <f aca="false">IF($A546="","",SUMIFS(Deductions!$D$5:$D$2000,Deductions!$B$5:$B$2000,$A546,Deductions!$E$5:$E$2000,"&gt;="&amp;Settings!$B$8,Deductions!$E$5:$E$2000,"&lt;="&amp;Settings!$B$9)-O546)</f>
        <v/>
      </c>
      <c r="Q546" s="26" t="str">
        <f aca="false">IF($A546="","",O546+P546)</f>
        <v/>
      </c>
      <c r="R546" s="23" t="str">
        <f aca="false">IF($A546="","",N546-Q546)</f>
        <v/>
      </c>
      <c r="S546" s="24" t="str">
        <f aca="false">IF($A546="","",INDEX(Workers!$O$5:$O$2004,MATCH($A546,Workers!$A$5:$A$2004,0))&amp;"")</f>
        <v/>
      </c>
      <c r="T546" s="24" t="str">
        <f aca="false">IF($A546="","",INDEX(Workers!$P$5:$P$2004,MATCH($A546,Workers!$A$5:$A$2004,0))&amp;"")</f>
        <v/>
      </c>
      <c r="U546" s="24" t="str">
        <f aca="false">IF($A546="","",INDEX(Workers!$H$5:$H$2004,MATCH($A546,Workers!$A$5:$A$2004,0))&amp;"")</f>
        <v/>
      </c>
    </row>
    <row r="547" customFormat="false" ht="15" hidden="false" customHeight="false" outlineLevel="0" collapsed="false">
      <c r="A547" s="24" t="str">
        <f aca="false">IFERROR(INDEX(Workers!$A$5:$A$2004,MATCH(ROW()-4,Workers!$U$5:$U$2004,0)),"")</f>
        <v/>
      </c>
      <c r="B547" s="24" t="str">
        <f aca="false">IF($A547="","",INDEX(Workers!$B$5:$B$2004,MATCH($A547,Workers!$A$5:$A$2004,0)))</f>
        <v/>
      </c>
      <c r="C547" s="24" t="str">
        <f aca="false">IF($A547="","",INDEX(Workers!$E$5:$E$2004,MATCH($A547,Workers!$A$5:$A$2004,0)))</f>
        <v/>
      </c>
      <c r="D547" s="24" t="str">
        <f aca="false">IF($A547="","",INDEX(Workers!$K$5:$K$2004,MATCH($A547,Workers!$A$5:$A$2004,0)))</f>
        <v/>
      </c>
      <c r="E547" s="25" t="str">
        <f aca="false">IF($A547="","",SUMIFS(Timesheet!$E$5:$E$3004,Timesheet!$D$5:$D$3004,$A547,Timesheet!$A$5:$A$3004,"&gt;="&amp;Settings!$B$8,Timesheet!$A$5:$A$3004,"&lt;="&amp;Settings!$B$9))</f>
        <v/>
      </c>
      <c r="F547" s="25" t="str">
        <f aca="false">IF($A547="","",SUMIFS(Timesheet!$F$5:$F$3004,Timesheet!$D$5:$D$3004,$A547,Timesheet!$A$5:$A$3004,"&gt;="&amp;Settings!$B$8,Timesheet!$A$5:$A$3004,"&lt;="&amp;Settings!$B$9))</f>
        <v/>
      </c>
      <c r="G547" s="25" t="str">
        <f aca="false">IF($A547="","",SUMIFS(Timesheet!$G$5:$G$3004,Timesheet!$D$5:$D$3004,$A547,Timesheet!$A$5:$A$3004,"&gt;="&amp;Settings!$B$8,Timesheet!$A$5:$A$3004,"&lt;="&amp;Settings!$B$9))</f>
        <v/>
      </c>
      <c r="H547" s="25" t="str">
        <f aca="false">IF($A547="","",IF(D547="Monthly",MAX(0,Settings!$B$11-E547),0))</f>
        <v/>
      </c>
      <c r="I547" s="26" t="str">
        <f aca="false">IF($A547="","",N(INDEX(Workers!$L$5:$L$2004,MATCH($A547,Workers!$A$5:$A$2004,0))))</f>
        <v/>
      </c>
      <c r="J547" s="26" t="str">
        <f aca="false">IF($A547="","",N(INDEX(Workers!$M$5:$M$2004,MATCH($A547,Workers!$A$5:$A$2004,0))))</f>
        <v/>
      </c>
      <c r="K547" s="26" t="str">
        <f aca="false">IF($A547="","",IF(D547="Monthly",ROUND(MAX(0,(I547+J547)-(I547+J547)/Settings!$B$10*H547),2),0))</f>
        <v/>
      </c>
      <c r="L547" s="26" t="str">
        <f aca="false">IF($A547="","",IF(D547="Hourly",ROUND(F547*N(INDEX(Workers!$N$5:$N$2004,MATCH($A547,Workers!$A$5:$A$2004,0))),2),0))</f>
        <v/>
      </c>
      <c r="M547" s="26" t="str">
        <f aca="false">IF($A547="","",ROUND(G547*IF(D547="Hourly",N(INDEX(Workers!$N$5:$N$2004,MATCH($A547,Workers!$A$5:$A$2004,0))),I547/Settings!$B$10/Settings!$B$12)*Settings!$B$13,2))</f>
        <v/>
      </c>
      <c r="N547" s="26" t="str">
        <f aca="false">IF($A547="","",K547+L547+M547)</f>
        <v/>
      </c>
      <c r="O547" s="26" t="str">
        <f aca="false">IF($A547="","",SUMIFS(Deductions!$D$5:$D$2000,Deductions!$B$5:$B$2000,$A547,Deductions!$C$5:$C$2000,"Advance",Deductions!$E$5:$E$2000,"&gt;="&amp;Settings!$B$8,Deductions!$E$5:$E$2000,"&lt;="&amp;Settings!$B$9))</f>
        <v/>
      </c>
      <c r="P547" s="26" t="str">
        <f aca="false">IF($A547="","",SUMIFS(Deductions!$D$5:$D$2000,Deductions!$B$5:$B$2000,$A547,Deductions!$E$5:$E$2000,"&gt;="&amp;Settings!$B$8,Deductions!$E$5:$E$2000,"&lt;="&amp;Settings!$B$9)-O547)</f>
        <v/>
      </c>
      <c r="Q547" s="26" t="str">
        <f aca="false">IF($A547="","",O547+P547)</f>
        <v/>
      </c>
      <c r="R547" s="23" t="str">
        <f aca="false">IF($A547="","",N547-Q547)</f>
        <v/>
      </c>
      <c r="S547" s="24" t="str">
        <f aca="false">IF($A547="","",INDEX(Workers!$O$5:$O$2004,MATCH($A547,Workers!$A$5:$A$2004,0))&amp;"")</f>
        <v/>
      </c>
      <c r="T547" s="24" t="str">
        <f aca="false">IF($A547="","",INDEX(Workers!$P$5:$P$2004,MATCH($A547,Workers!$A$5:$A$2004,0))&amp;"")</f>
        <v/>
      </c>
      <c r="U547" s="24" t="str">
        <f aca="false">IF($A547="","",INDEX(Workers!$H$5:$H$2004,MATCH($A547,Workers!$A$5:$A$2004,0))&amp;"")</f>
        <v/>
      </c>
    </row>
    <row r="548" customFormat="false" ht="15" hidden="false" customHeight="false" outlineLevel="0" collapsed="false">
      <c r="A548" s="24" t="str">
        <f aca="false">IFERROR(INDEX(Workers!$A$5:$A$2004,MATCH(ROW()-4,Workers!$U$5:$U$2004,0)),"")</f>
        <v/>
      </c>
      <c r="B548" s="24" t="str">
        <f aca="false">IF($A548="","",INDEX(Workers!$B$5:$B$2004,MATCH($A548,Workers!$A$5:$A$2004,0)))</f>
        <v/>
      </c>
      <c r="C548" s="24" t="str">
        <f aca="false">IF($A548="","",INDEX(Workers!$E$5:$E$2004,MATCH($A548,Workers!$A$5:$A$2004,0)))</f>
        <v/>
      </c>
      <c r="D548" s="24" t="str">
        <f aca="false">IF($A548="","",INDEX(Workers!$K$5:$K$2004,MATCH($A548,Workers!$A$5:$A$2004,0)))</f>
        <v/>
      </c>
      <c r="E548" s="25" t="str">
        <f aca="false">IF($A548="","",SUMIFS(Timesheet!$E$5:$E$3004,Timesheet!$D$5:$D$3004,$A548,Timesheet!$A$5:$A$3004,"&gt;="&amp;Settings!$B$8,Timesheet!$A$5:$A$3004,"&lt;="&amp;Settings!$B$9))</f>
        <v/>
      </c>
      <c r="F548" s="25" t="str">
        <f aca="false">IF($A548="","",SUMIFS(Timesheet!$F$5:$F$3004,Timesheet!$D$5:$D$3004,$A548,Timesheet!$A$5:$A$3004,"&gt;="&amp;Settings!$B$8,Timesheet!$A$5:$A$3004,"&lt;="&amp;Settings!$B$9))</f>
        <v/>
      </c>
      <c r="G548" s="25" t="str">
        <f aca="false">IF($A548="","",SUMIFS(Timesheet!$G$5:$G$3004,Timesheet!$D$5:$D$3004,$A548,Timesheet!$A$5:$A$3004,"&gt;="&amp;Settings!$B$8,Timesheet!$A$5:$A$3004,"&lt;="&amp;Settings!$B$9))</f>
        <v/>
      </c>
      <c r="H548" s="25" t="str">
        <f aca="false">IF($A548="","",IF(D548="Monthly",MAX(0,Settings!$B$11-E548),0))</f>
        <v/>
      </c>
      <c r="I548" s="26" t="str">
        <f aca="false">IF($A548="","",N(INDEX(Workers!$L$5:$L$2004,MATCH($A548,Workers!$A$5:$A$2004,0))))</f>
        <v/>
      </c>
      <c r="J548" s="26" t="str">
        <f aca="false">IF($A548="","",N(INDEX(Workers!$M$5:$M$2004,MATCH($A548,Workers!$A$5:$A$2004,0))))</f>
        <v/>
      </c>
      <c r="K548" s="26" t="str">
        <f aca="false">IF($A548="","",IF(D548="Monthly",ROUND(MAX(0,(I548+J548)-(I548+J548)/Settings!$B$10*H548),2),0))</f>
        <v/>
      </c>
      <c r="L548" s="26" t="str">
        <f aca="false">IF($A548="","",IF(D548="Hourly",ROUND(F548*N(INDEX(Workers!$N$5:$N$2004,MATCH($A548,Workers!$A$5:$A$2004,0))),2),0))</f>
        <v/>
      </c>
      <c r="M548" s="26" t="str">
        <f aca="false">IF($A548="","",ROUND(G548*IF(D548="Hourly",N(INDEX(Workers!$N$5:$N$2004,MATCH($A548,Workers!$A$5:$A$2004,0))),I548/Settings!$B$10/Settings!$B$12)*Settings!$B$13,2))</f>
        <v/>
      </c>
      <c r="N548" s="26" t="str">
        <f aca="false">IF($A548="","",K548+L548+M548)</f>
        <v/>
      </c>
      <c r="O548" s="26" t="str">
        <f aca="false">IF($A548="","",SUMIFS(Deductions!$D$5:$D$2000,Deductions!$B$5:$B$2000,$A548,Deductions!$C$5:$C$2000,"Advance",Deductions!$E$5:$E$2000,"&gt;="&amp;Settings!$B$8,Deductions!$E$5:$E$2000,"&lt;="&amp;Settings!$B$9))</f>
        <v/>
      </c>
      <c r="P548" s="26" t="str">
        <f aca="false">IF($A548="","",SUMIFS(Deductions!$D$5:$D$2000,Deductions!$B$5:$B$2000,$A548,Deductions!$E$5:$E$2000,"&gt;="&amp;Settings!$B$8,Deductions!$E$5:$E$2000,"&lt;="&amp;Settings!$B$9)-O548)</f>
        <v/>
      </c>
      <c r="Q548" s="26" t="str">
        <f aca="false">IF($A548="","",O548+P548)</f>
        <v/>
      </c>
      <c r="R548" s="23" t="str">
        <f aca="false">IF($A548="","",N548-Q548)</f>
        <v/>
      </c>
      <c r="S548" s="24" t="str">
        <f aca="false">IF($A548="","",INDEX(Workers!$O$5:$O$2004,MATCH($A548,Workers!$A$5:$A$2004,0))&amp;"")</f>
        <v/>
      </c>
      <c r="T548" s="24" t="str">
        <f aca="false">IF($A548="","",INDEX(Workers!$P$5:$P$2004,MATCH($A548,Workers!$A$5:$A$2004,0))&amp;"")</f>
        <v/>
      </c>
      <c r="U548" s="24" t="str">
        <f aca="false">IF($A548="","",INDEX(Workers!$H$5:$H$2004,MATCH($A548,Workers!$A$5:$A$2004,0))&amp;"")</f>
        <v/>
      </c>
    </row>
    <row r="549" customFormat="false" ht="15" hidden="false" customHeight="false" outlineLevel="0" collapsed="false">
      <c r="A549" s="24" t="str">
        <f aca="false">IFERROR(INDEX(Workers!$A$5:$A$2004,MATCH(ROW()-4,Workers!$U$5:$U$2004,0)),"")</f>
        <v/>
      </c>
      <c r="B549" s="24" t="str">
        <f aca="false">IF($A549="","",INDEX(Workers!$B$5:$B$2004,MATCH($A549,Workers!$A$5:$A$2004,0)))</f>
        <v/>
      </c>
      <c r="C549" s="24" t="str">
        <f aca="false">IF($A549="","",INDEX(Workers!$E$5:$E$2004,MATCH($A549,Workers!$A$5:$A$2004,0)))</f>
        <v/>
      </c>
      <c r="D549" s="24" t="str">
        <f aca="false">IF($A549="","",INDEX(Workers!$K$5:$K$2004,MATCH($A549,Workers!$A$5:$A$2004,0)))</f>
        <v/>
      </c>
      <c r="E549" s="25" t="str">
        <f aca="false">IF($A549="","",SUMIFS(Timesheet!$E$5:$E$3004,Timesheet!$D$5:$D$3004,$A549,Timesheet!$A$5:$A$3004,"&gt;="&amp;Settings!$B$8,Timesheet!$A$5:$A$3004,"&lt;="&amp;Settings!$B$9))</f>
        <v/>
      </c>
      <c r="F549" s="25" t="str">
        <f aca="false">IF($A549="","",SUMIFS(Timesheet!$F$5:$F$3004,Timesheet!$D$5:$D$3004,$A549,Timesheet!$A$5:$A$3004,"&gt;="&amp;Settings!$B$8,Timesheet!$A$5:$A$3004,"&lt;="&amp;Settings!$B$9))</f>
        <v/>
      </c>
      <c r="G549" s="25" t="str">
        <f aca="false">IF($A549="","",SUMIFS(Timesheet!$G$5:$G$3004,Timesheet!$D$5:$D$3004,$A549,Timesheet!$A$5:$A$3004,"&gt;="&amp;Settings!$B$8,Timesheet!$A$5:$A$3004,"&lt;="&amp;Settings!$B$9))</f>
        <v/>
      </c>
      <c r="H549" s="25" t="str">
        <f aca="false">IF($A549="","",IF(D549="Monthly",MAX(0,Settings!$B$11-E549),0))</f>
        <v/>
      </c>
      <c r="I549" s="26" t="str">
        <f aca="false">IF($A549="","",N(INDEX(Workers!$L$5:$L$2004,MATCH($A549,Workers!$A$5:$A$2004,0))))</f>
        <v/>
      </c>
      <c r="J549" s="26" t="str">
        <f aca="false">IF($A549="","",N(INDEX(Workers!$M$5:$M$2004,MATCH($A549,Workers!$A$5:$A$2004,0))))</f>
        <v/>
      </c>
      <c r="K549" s="26" t="str">
        <f aca="false">IF($A549="","",IF(D549="Monthly",ROUND(MAX(0,(I549+J549)-(I549+J549)/Settings!$B$10*H549),2),0))</f>
        <v/>
      </c>
      <c r="L549" s="26" t="str">
        <f aca="false">IF($A549="","",IF(D549="Hourly",ROUND(F549*N(INDEX(Workers!$N$5:$N$2004,MATCH($A549,Workers!$A$5:$A$2004,0))),2),0))</f>
        <v/>
      </c>
      <c r="M549" s="26" t="str">
        <f aca="false">IF($A549="","",ROUND(G549*IF(D549="Hourly",N(INDEX(Workers!$N$5:$N$2004,MATCH($A549,Workers!$A$5:$A$2004,0))),I549/Settings!$B$10/Settings!$B$12)*Settings!$B$13,2))</f>
        <v/>
      </c>
      <c r="N549" s="26" t="str">
        <f aca="false">IF($A549="","",K549+L549+M549)</f>
        <v/>
      </c>
      <c r="O549" s="26" t="str">
        <f aca="false">IF($A549="","",SUMIFS(Deductions!$D$5:$D$2000,Deductions!$B$5:$B$2000,$A549,Deductions!$C$5:$C$2000,"Advance",Deductions!$E$5:$E$2000,"&gt;="&amp;Settings!$B$8,Deductions!$E$5:$E$2000,"&lt;="&amp;Settings!$B$9))</f>
        <v/>
      </c>
      <c r="P549" s="26" t="str">
        <f aca="false">IF($A549="","",SUMIFS(Deductions!$D$5:$D$2000,Deductions!$B$5:$B$2000,$A549,Deductions!$E$5:$E$2000,"&gt;="&amp;Settings!$B$8,Deductions!$E$5:$E$2000,"&lt;="&amp;Settings!$B$9)-O549)</f>
        <v/>
      </c>
      <c r="Q549" s="26" t="str">
        <f aca="false">IF($A549="","",O549+P549)</f>
        <v/>
      </c>
      <c r="R549" s="23" t="str">
        <f aca="false">IF($A549="","",N549-Q549)</f>
        <v/>
      </c>
      <c r="S549" s="24" t="str">
        <f aca="false">IF($A549="","",INDEX(Workers!$O$5:$O$2004,MATCH($A549,Workers!$A$5:$A$2004,0))&amp;"")</f>
        <v/>
      </c>
      <c r="T549" s="24" t="str">
        <f aca="false">IF($A549="","",INDEX(Workers!$P$5:$P$2004,MATCH($A549,Workers!$A$5:$A$2004,0))&amp;"")</f>
        <v/>
      </c>
      <c r="U549" s="24" t="str">
        <f aca="false">IF($A549="","",INDEX(Workers!$H$5:$H$2004,MATCH($A549,Workers!$A$5:$A$2004,0))&amp;"")</f>
        <v/>
      </c>
    </row>
    <row r="550" customFormat="false" ht="15" hidden="false" customHeight="false" outlineLevel="0" collapsed="false">
      <c r="A550" s="24" t="str">
        <f aca="false">IFERROR(INDEX(Workers!$A$5:$A$2004,MATCH(ROW()-4,Workers!$U$5:$U$2004,0)),"")</f>
        <v/>
      </c>
      <c r="B550" s="24" t="str">
        <f aca="false">IF($A550="","",INDEX(Workers!$B$5:$B$2004,MATCH($A550,Workers!$A$5:$A$2004,0)))</f>
        <v/>
      </c>
      <c r="C550" s="24" t="str">
        <f aca="false">IF($A550="","",INDEX(Workers!$E$5:$E$2004,MATCH($A550,Workers!$A$5:$A$2004,0)))</f>
        <v/>
      </c>
      <c r="D550" s="24" t="str">
        <f aca="false">IF($A550="","",INDEX(Workers!$K$5:$K$2004,MATCH($A550,Workers!$A$5:$A$2004,0)))</f>
        <v/>
      </c>
      <c r="E550" s="25" t="str">
        <f aca="false">IF($A550="","",SUMIFS(Timesheet!$E$5:$E$3004,Timesheet!$D$5:$D$3004,$A550,Timesheet!$A$5:$A$3004,"&gt;="&amp;Settings!$B$8,Timesheet!$A$5:$A$3004,"&lt;="&amp;Settings!$B$9))</f>
        <v/>
      </c>
      <c r="F550" s="25" t="str">
        <f aca="false">IF($A550="","",SUMIFS(Timesheet!$F$5:$F$3004,Timesheet!$D$5:$D$3004,$A550,Timesheet!$A$5:$A$3004,"&gt;="&amp;Settings!$B$8,Timesheet!$A$5:$A$3004,"&lt;="&amp;Settings!$B$9))</f>
        <v/>
      </c>
      <c r="G550" s="25" t="str">
        <f aca="false">IF($A550="","",SUMIFS(Timesheet!$G$5:$G$3004,Timesheet!$D$5:$D$3004,$A550,Timesheet!$A$5:$A$3004,"&gt;="&amp;Settings!$B$8,Timesheet!$A$5:$A$3004,"&lt;="&amp;Settings!$B$9))</f>
        <v/>
      </c>
      <c r="H550" s="25" t="str">
        <f aca="false">IF($A550="","",IF(D550="Monthly",MAX(0,Settings!$B$11-E550),0))</f>
        <v/>
      </c>
      <c r="I550" s="26" t="str">
        <f aca="false">IF($A550="","",N(INDEX(Workers!$L$5:$L$2004,MATCH($A550,Workers!$A$5:$A$2004,0))))</f>
        <v/>
      </c>
      <c r="J550" s="26" t="str">
        <f aca="false">IF($A550="","",N(INDEX(Workers!$M$5:$M$2004,MATCH($A550,Workers!$A$5:$A$2004,0))))</f>
        <v/>
      </c>
      <c r="K550" s="26" t="str">
        <f aca="false">IF($A550="","",IF(D550="Monthly",ROUND(MAX(0,(I550+J550)-(I550+J550)/Settings!$B$10*H550),2),0))</f>
        <v/>
      </c>
      <c r="L550" s="26" t="str">
        <f aca="false">IF($A550="","",IF(D550="Hourly",ROUND(F550*N(INDEX(Workers!$N$5:$N$2004,MATCH($A550,Workers!$A$5:$A$2004,0))),2),0))</f>
        <v/>
      </c>
      <c r="M550" s="26" t="str">
        <f aca="false">IF($A550="","",ROUND(G550*IF(D550="Hourly",N(INDEX(Workers!$N$5:$N$2004,MATCH($A550,Workers!$A$5:$A$2004,0))),I550/Settings!$B$10/Settings!$B$12)*Settings!$B$13,2))</f>
        <v/>
      </c>
      <c r="N550" s="26" t="str">
        <f aca="false">IF($A550="","",K550+L550+M550)</f>
        <v/>
      </c>
      <c r="O550" s="26" t="str">
        <f aca="false">IF($A550="","",SUMIFS(Deductions!$D$5:$D$2000,Deductions!$B$5:$B$2000,$A550,Deductions!$C$5:$C$2000,"Advance",Deductions!$E$5:$E$2000,"&gt;="&amp;Settings!$B$8,Deductions!$E$5:$E$2000,"&lt;="&amp;Settings!$B$9))</f>
        <v/>
      </c>
      <c r="P550" s="26" t="str">
        <f aca="false">IF($A550="","",SUMIFS(Deductions!$D$5:$D$2000,Deductions!$B$5:$B$2000,$A550,Deductions!$E$5:$E$2000,"&gt;="&amp;Settings!$B$8,Deductions!$E$5:$E$2000,"&lt;="&amp;Settings!$B$9)-O550)</f>
        <v/>
      </c>
      <c r="Q550" s="26" t="str">
        <f aca="false">IF($A550="","",O550+P550)</f>
        <v/>
      </c>
      <c r="R550" s="23" t="str">
        <f aca="false">IF($A550="","",N550-Q550)</f>
        <v/>
      </c>
      <c r="S550" s="24" t="str">
        <f aca="false">IF($A550="","",INDEX(Workers!$O$5:$O$2004,MATCH($A550,Workers!$A$5:$A$2004,0))&amp;"")</f>
        <v/>
      </c>
      <c r="T550" s="24" t="str">
        <f aca="false">IF($A550="","",INDEX(Workers!$P$5:$P$2004,MATCH($A550,Workers!$A$5:$A$2004,0))&amp;"")</f>
        <v/>
      </c>
      <c r="U550" s="24" t="str">
        <f aca="false">IF($A550="","",INDEX(Workers!$H$5:$H$2004,MATCH($A550,Workers!$A$5:$A$2004,0))&amp;"")</f>
        <v/>
      </c>
    </row>
    <row r="551" customFormat="false" ht="15" hidden="false" customHeight="false" outlineLevel="0" collapsed="false">
      <c r="A551" s="24" t="str">
        <f aca="false">IFERROR(INDEX(Workers!$A$5:$A$2004,MATCH(ROW()-4,Workers!$U$5:$U$2004,0)),"")</f>
        <v/>
      </c>
      <c r="B551" s="24" t="str">
        <f aca="false">IF($A551="","",INDEX(Workers!$B$5:$B$2004,MATCH($A551,Workers!$A$5:$A$2004,0)))</f>
        <v/>
      </c>
      <c r="C551" s="24" t="str">
        <f aca="false">IF($A551="","",INDEX(Workers!$E$5:$E$2004,MATCH($A551,Workers!$A$5:$A$2004,0)))</f>
        <v/>
      </c>
      <c r="D551" s="24" t="str">
        <f aca="false">IF($A551="","",INDEX(Workers!$K$5:$K$2004,MATCH($A551,Workers!$A$5:$A$2004,0)))</f>
        <v/>
      </c>
      <c r="E551" s="25" t="str">
        <f aca="false">IF($A551="","",SUMIFS(Timesheet!$E$5:$E$3004,Timesheet!$D$5:$D$3004,$A551,Timesheet!$A$5:$A$3004,"&gt;="&amp;Settings!$B$8,Timesheet!$A$5:$A$3004,"&lt;="&amp;Settings!$B$9))</f>
        <v/>
      </c>
      <c r="F551" s="25" t="str">
        <f aca="false">IF($A551="","",SUMIFS(Timesheet!$F$5:$F$3004,Timesheet!$D$5:$D$3004,$A551,Timesheet!$A$5:$A$3004,"&gt;="&amp;Settings!$B$8,Timesheet!$A$5:$A$3004,"&lt;="&amp;Settings!$B$9))</f>
        <v/>
      </c>
      <c r="G551" s="25" t="str">
        <f aca="false">IF($A551="","",SUMIFS(Timesheet!$G$5:$G$3004,Timesheet!$D$5:$D$3004,$A551,Timesheet!$A$5:$A$3004,"&gt;="&amp;Settings!$B$8,Timesheet!$A$5:$A$3004,"&lt;="&amp;Settings!$B$9))</f>
        <v/>
      </c>
      <c r="H551" s="25" t="str">
        <f aca="false">IF($A551="","",IF(D551="Monthly",MAX(0,Settings!$B$11-E551),0))</f>
        <v/>
      </c>
      <c r="I551" s="26" t="str">
        <f aca="false">IF($A551="","",N(INDEX(Workers!$L$5:$L$2004,MATCH($A551,Workers!$A$5:$A$2004,0))))</f>
        <v/>
      </c>
      <c r="J551" s="26" t="str">
        <f aca="false">IF($A551="","",N(INDEX(Workers!$M$5:$M$2004,MATCH($A551,Workers!$A$5:$A$2004,0))))</f>
        <v/>
      </c>
      <c r="K551" s="26" t="str">
        <f aca="false">IF($A551="","",IF(D551="Monthly",ROUND(MAX(0,(I551+J551)-(I551+J551)/Settings!$B$10*H551),2),0))</f>
        <v/>
      </c>
      <c r="L551" s="26" t="str">
        <f aca="false">IF($A551="","",IF(D551="Hourly",ROUND(F551*N(INDEX(Workers!$N$5:$N$2004,MATCH($A551,Workers!$A$5:$A$2004,0))),2),0))</f>
        <v/>
      </c>
      <c r="M551" s="26" t="str">
        <f aca="false">IF($A551="","",ROUND(G551*IF(D551="Hourly",N(INDEX(Workers!$N$5:$N$2004,MATCH($A551,Workers!$A$5:$A$2004,0))),I551/Settings!$B$10/Settings!$B$12)*Settings!$B$13,2))</f>
        <v/>
      </c>
      <c r="N551" s="26" t="str">
        <f aca="false">IF($A551="","",K551+L551+M551)</f>
        <v/>
      </c>
      <c r="O551" s="26" t="str">
        <f aca="false">IF($A551="","",SUMIFS(Deductions!$D$5:$D$2000,Deductions!$B$5:$B$2000,$A551,Deductions!$C$5:$C$2000,"Advance",Deductions!$E$5:$E$2000,"&gt;="&amp;Settings!$B$8,Deductions!$E$5:$E$2000,"&lt;="&amp;Settings!$B$9))</f>
        <v/>
      </c>
      <c r="P551" s="26" t="str">
        <f aca="false">IF($A551="","",SUMIFS(Deductions!$D$5:$D$2000,Deductions!$B$5:$B$2000,$A551,Deductions!$E$5:$E$2000,"&gt;="&amp;Settings!$B$8,Deductions!$E$5:$E$2000,"&lt;="&amp;Settings!$B$9)-O551)</f>
        <v/>
      </c>
      <c r="Q551" s="26" t="str">
        <f aca="false">IF($A551="","",O551+P551)</f>
        <v/>
      </c>
      <c r="R551" s="23" t="str">
        <f aca="false">IF($A551="","",N551-Q551)</f>
        <v/>
      </c>
      <c r="S551" s="24" t="str">
        <f aca="false">IF($A551="","",INDEX(Workers!$O$5:$O$2004,MATCH($A551,Workers!$A$5:$A$2004,0))&amp;"")</f>
        <v/>
      </c>
      <c r="T551" s="24" t="str">
        <f aca="false">IF($A551="","",INDEX(Workers!$P$5:$P$2004,MATCH($A551,Workers!$A$5:$A$2004,0))&amp;"")</f>
        <v/>
      </c>
      <c r="U551" s="24" t="str">
        <f aca="false">IF($A551="","",INDEX(Workers!$H$5:$H$2004,MATCH($A551,Workers!$A$5:$A$2004,0))&amp;"")</f>
        <v/>
      </c>
    </row>
    <row r="552" customFormat="false" ht="15" hidden="false" customHeight="false" outlineLevel="0" collapsed="false">
      <c r="A552" s="24" t="str">
        <f aca="false">IFERROR(INDEX(Workers!$A$5:$A$2004,MATCH(ROW()-4,Workers!$U$5:$U$2004,0)),"")</f>
        <v/>
      </c>
      <c r="B552" s="24" t="str">
        <f aca="false">IF($A552="","",INDEX(Workers!$B$5:$B$2004,MATCH($A552,Workers!$A$5:$A$2004,0)))</f>
        <v/>
      </c>
      <c r="C552" s="24" t="str">
        <f aca="false">IF($A552="","",INDEX(Workers!$E$5:$E$2004,MATCH($A552,Workers!$A$5:$A$2004,0)))</f>
        <v/>
      </c>
      <c r="D552" s="24" t="str">
        <f aca="false">IF($A552="","",INDEX(Workers!$K$5:$K$2004,MATCH($A552,Workers!$A$5:$A$2004,0)))</f>
        <v/>
      </c>
      <c r="E552" s="25" t="str">
        <f aca="false">IF($A552="","",SUMIFS(Timesheet!$E$5:$E$3004,Timesheet!$D$5:$D$3004,$A552,Timesheet!$A$5:$A$3004,"&gt;="&amp;Settings!$B$8,Timesheet!$A$5:$A$3004,"&lt;="&amp;Settings!$B$9))</f>
        <v/>
      </c>
      <c r="F552" s="25" t="str">
        <f aca="false">IF($A552="","",SUMIFS(Timesheet!$F$5:$F$3004,Timesheet!$D$5:$D$3004,$A552,Timesheet!$A$5:$A$3004,"&gt;="&amp;Settings!$B$8,Timesheet!$A$5:$A$3004,"&lt;="&amp;Settings!$B$9))</f>
        <v/>
      </c>
      <c r="G552" s="25" t="str">
        <f aca="false">IF($A552="","",SUMIFS(Timesheet!$G$5:$G$3004,Timesheet!$D$5:$D$3004,$A552,Timesheet!$A$5:$A$3004,"&gt;="&amp;Settings!$B$8,Timesheet!$A$5:$A$3004,"&lt;="&amp;Settings!$B$9))</f>
        <v/>
      </c>
      <c r="H552" s="25" t="str">
        <f aca="false">IF($A552="","",IF(D552="Monthly",MAX(0,Settings!$B$11-E552),0))</f>
        <v/>
      </c>
      <c r="I552" s="26" t="str">
        <f aca="false">IF($A552="","",N(INDEX(Workers!$L$5:$L$2004,MATCH($A552,Workers!$A$5:$A$2004,0))))</f>
        <v/>
      </c>
      <c r="J552" s="26" t="str">
        <f aca="false">IF($A552="","",N(INDEX(Workers!$M$5:$M$2004,MATCH($A552,Workers!$A$5:$A$2004,0))))</f>
        <v/>
      </c>
      <c r="K552" s="26" t="str">
        <f aca="false">IF($A552="","",IF(D552="Monthly",ROUND(MAX(0,(I552+J552)-(I552+J552)/Settings!$B$10*H552),2),0))</f>
        <v/>
      </c>
      <c r="L552" s="26" t="str">
        <f aca="false">IF($A552="","",IF(D552="Hourly",ROUND(F552*N(INDEX(Workers!$N$5:$N$2004,MATCH($A552,Workers!$A$5:$A$2004,0))),2),0))</f>
        <v/>
      </c>
      <c r="M552" s="26" t="str">
        <f aca="false">IF($A552="","",ROUND(G552*IF(D552="Hourly",N(INDEX(Workers!$N$5:$N$2004,MATCH($A552,Workers!$A$5:$A$2004,0))),I552/Settings!$B$10/Settings!$B$12)*Settings!$B$13,2))</f>
        <v/>
      </c>
      <c r="N552" s="26" t="str">
        <f aca="false">IF($A552="","",K552+L552+M552)</f>
        <v/>
      </c>
      <c r="O552" s="26" t="str">
        <f aca="false">IF($A552="","",SUMIFS(Deductions!$D$5:$D$2000,Deductions!$B$5:$B$2000,$A552,Deductions!$C$5:$C$2000,"Advance",Deductions!$E$5:$E$2000,"&gt;="&amp;Settings!$B$8,Deductions!$E$5:$E$2000,"&lt;="&amp;Settings!$B$9))</f>
        <v/>
      </c>
      <c r="P552" s="26" t="str">
        <f aca="false">IF($A552="","",SUMIFS(Deductions!$D$5:$D$2000,Deductions!$B$5:$B$2000,$A552,Deductions!$E$5:$E$2000,"&gt;="&amp;Settings!$B$8,Deductions!$E$5:$E$2000,"&lt;="&amp;Settings!$B$9)-O552)</f>
        <v/>
      </c>
      <c r="Q552" s="26" t="str">
        <f aca="false">IF($A552="","",O552+P552)</f>
        <v/>
      </c>
      <c r="R552" s="23" t="str">
        <f aca="false">IF($A552="","",N552-Q552)</f>
        <v/>
      </c>
      <c r="S552" s="24" t="str">
        <f aca="false">IF($A552="","",INDEX(Workers!$O$5:$O$2004,MATCH($A552,Workers!$A$5:$A$2004,0))&amp;"")</f>
        <v/>
      </c>
      <c r="T552" s="24" t="str">
        <f aca="false">IF($A552="","",INDEX(Workers!$P$5:$P$2004,MATCH($A552,Workers!$A$5:$A$2004,0))&amp;"")</f>
        <v/>
      </c>
      <c r="U552" s="24" t="str">
        <f aca="false">IF($A552="","",INDEX(Workers!$H$5:$H$2004,MATCH($A552,Workers!$A$5:$A$2004,0))&amp;"")</f>
        <v/>
      </c>
    </row>
    <row r="553" customFormat="false" ht="15" hidden="false" customHeight="false" outlineLevel="0" collapsed="false">
      <c r="A553" s="24" t="str">
        <f aca="false">IFERROR(INDEX(Workers!$A$5:$A$2004,MATCH(ROW()-4,Workers!$U$5:$U$2004,0)),"")</f>
        <v/>
      </c>
      <c r="B553" s="24" t="str">
        <f aca="false">IF($A553="","",INDEX(Workers!$B$5:$B$2004,MATCH($A553,Workers!$A$5:$A$2004,0)))</f>
        <v/>
      </c>
      <c r="C553" s="24" t="str">
        <f aca="false">IF($A553="","",INDEX(Workers!$E$5:$E$2004,MATCH($A553,Workers!$A$5:$A$2004,0)))</f>
        <v/>
      </c>
      <c r="D553" s="24" t="str">
        <f aca="false">IF($A553="","",INDEX(Workers!$K$5:$K$2004,MATCH($A553,Workers!$A$5:$A$2004,0)))</f>
        <v/>
      </c>
      <c r="E553" s="25" t="str">
        <f aca="false">IF($A553="","",SUMIFS(Timesheet!$E$5:$E$3004,Timesheet!$D$5:$D$3004,$A553,Timesheet!$A$5:$A$3004,"&gt;="&amp;Settings!$B$8,Timesheet!$A$5:$A$3004,"&lt;="&amp;Settings!$B$9))</f>
        <v/>
      </c>
      <c r="F553" s="25" t="str">
        <f aca="false">IF($A553="","",SUMIFS(Timesheet!$F$5:$F$3004,Timesheet!$D$5:$D$3004,$A553,Timesheet!$A$5:$A$3004,"&gt;="&amp;Settings!$B$8,Timesheet!$A$5:$A$3004,"&lt;="&amp;Settings!$B$9))</f>
        <v/>
      </c>
      <c r="G553" s="25" t="str">
        <f aca="false">IF($A553="","",SUMIFS(Timesheet!$G$5:$G$3004,Timesheet!$D$5:$D$3004,$A553,Timesheet!$A$5:$A$3004,"&gt;="&amp;Settings!$B$8,Timesheet!$A$5:$A$3004,"&lt;="&amp;Settings!$B$9))</f>
        <v/>
      </c>
      <c r="H553" s="25" t="str">
        <f aca="false">IF($A553="","",IF(D553="Monthly",MAX(0,Settings!$B$11-E553),0))</f>
        <v/>
      </c>
      <c r="I553" s="26" t="str">
        <f aca="false">IF($A553="","",N(INDEX(Workers!$L$5:$L$2004,MATCH($A553,Workers!$A$5:$A$2004,0))))</f>
        <v/>
      </c>
      <c r="J553" s="26" t="str">
        <f aca="false">IF($A553="","",N(INDEX(Workers!$M$5:$M$2004,MATCH($A553,Workers!$A$5:$A$2004,0))))</f>
        <v/>
      </c>
      <c r="K553" s="26" t="str">
        <f aca="false">IF($A553="","",IF(D553="Monthly",ROUND(MAX(0,(I553+J553)-(I553+J553)/Settings!$B$10*H553),2),0))</f>
        <v/>
      </c>
      <c r="L553" s="26" t="str">
        <f aca="false">IF($A553="","",IF(D553="Hourly",ROUND(F553*N(INDEX(Workers!$N$5:$N$2004,MATCH($A553,Workers!$A$5:$A$2004,0))),2),0))</f>
        <v/>
      </c>
      <c r="M553" s="26" t="str">
        <f aca="false">IF($A553="","",ROUND(G553*IF(D553="Hourly",N(INDEX(Workers!$N$5:$N$2004,MATCH($A553,Workers!$A$5:$A$2004,0))),I553/Settings!$B$10/Settings!$B$12)*Settings!$B$13,2))</f>
        <v/>
      </c>
      <c r="N553" s="26" t="str">
        <f aca="false">IF($A553="","",K553+L553+M553)</f>
        <v/>
      </c>
      <c r="O553" s="26" t="str">
        <f aca="false">IF($A553="","",SUMIFS(Deductions!$D$5:$D$2000,Deductions!$B$5:$B$2000,$A553,Deductions!$C$5:$C$2000,"Advance",Deductions!$E$5:$E$2000,"&gt;="&amp;Settings!$B$8,Deductions!$E$5:$E$2000,"&lt;="&amp;Settings!$B$9))</f>
        <v/>
      </c>
      <c r="P553" s="26" t="str">
        <f aca="false">IF($A553="","",SUMIFS(Deductions!$D$5:$D$2000,Deductions!$B$5:$B$2000,$A553,Deductions!$E$5:$E$2000,"&gt;="&amp;Settings!$B$8,Deductions!$E$5:$E$2000,"&lt;="&amp;Settings!$B$9)-O553)</f>
        <v/>
      </c>
      <c r="Q553" s="26" t="str">
        <f aca="false">IF($A553="","",O553+P553)</f>
        <v/>
      </c>
      <c r="R553" s="23" t="str">
        <f aca="false">IF($A553="","",N553-Q553)</f>
        <v/>
      </c>
      <c r="S553" s="24" t="str">
        <f aca="false">IF($A553="","",INDEX(Workers!$O$5:$O$2004,MATCH($A553,Workers!$A$5:$A$2004,0))&amp;"")</f>
        <v/>
      </c>
      <c r="T553" s="24" t="str">
        <f aca="false">IF($A553="","",INDEX(Workers!$P$5:$P$2004,MATCH($A553,Workers!$A$5:$A$2004,0))&amp;"")</f>
        <v/>
      </c>
      <c r="U553" s="24" t="str">
        <f aca="false">IF($A553="","",INDEX(Workers!$H$5:$H$2004,MATCH($A553,Workers!$A$5:$A$2004,0))&amp;"")</f>
        <v/>
      </c>
    </row>
    <row r="554" customFormat="false" ht="15" hidden="false" customHeight="false" outlineLevel="0" collapsed="false">
      <c r="A554" s="24" t="str">
        <f aca="false">IFERROR(INDEX(Workers!$A$5:$A$2004,MATCH(ROW()-4,Workers!$U$5:$U$2004,0)),"")</f>
        <v/>
      </c>
      <c r="B554" s="24" t="str">
        <f aca="false">IF($A554="","",INDEX(Workers!$B$5:$B$2004,MATCH($A554,Workers!$A$5:$A$2004,0)))</f>
        <v/>
      </c>
      <c r="C554" s="24" t="str">
        <f aca="false">IF($A554="","",INDEX(Workers!$E$5:$E$2004,MATCH($A554,Workers!$A$5:$A$2004,0)))</f>
        <v/>
      </c>
      <c r="D554" s="24" t="str">
        <f aca="false">IF($A554="","",INDEX(Workers!$K$5:$K$2004,MATCH($A554,Workers!$A$5:$A$2004,0)))</f>
        <v/>
      </c>
      <c r="E554" s="25" t="str">
        <f aca="false">IF($A554="","",SUMIFS(Timesheet!$E$5:$E$3004,Timesheet!$D$5:$D$3004,$A554,Timesheet!$A$5:$A$3004,"&gt;="&amp;Settings!$B$8,Timesheet!$A$5:$A$3004,"&lt;="&amp;Settings!$B$9))</f>
        <v/>
      </c>
      <c r="F554" s="25" t="str">
        <f aca="false">IF($A554="","",SUMIFS(Timesheet!$F$5:$F$3004,Timesheet!$D$5:$D$3004,$A554,Timesheet!$A$5:$A$3004,"&gt;="&amp;Settings!$B$8,Timesheet!$A$5:$A$3004,"&lt;="&amp;Settings!$B$9))</f>
        <v/>
      </c>
      <c r="G554" s="25" t="str">
        <f aca="false">IF($A554="","",SUMIFS(Timesheet!$G$5:$G$3004,Timesheet!$D$5:$D$3004,$A554,Timesheet!$A$5:$A$3004,"&gt;="&amp;Settings!$B$8,Timesheet!$A$5:$A$3004,"&lt;="&amp;Settings!$B$9))</f>
        <v/>
      </c>
      <c r="H554" s="25" t="str">
        <f aca="false">IF($A554="","",IF(D554="Monthly",MAX(0,Settings!$B$11-E554),0))</f>
        <v/>
      </c>
      <c r="I554" s="26" t="str">
        <f aca="false">IF($A554="","",N(INDEX(Workers!$L$5:$L$2004,MATCH($A554,Workers!$A$5:$A$2004,0))))</f>
        <v/>
      </c>
      <c r="J554" s="26" t="str">
        <f aca="false">IF($A554="","",N(INDEX(Workers!$M$5:$M$2004,MATCH($A554,Workers!$A$5:$A$2004,0))))</f>
        <v/>
      </c>
      <c r="K554" s="26" t="str">
        <f aca="false">IF($A554="","",IF(D554="Monthly",ROUND(MAX(0,(I554+J554)-(I554+J554)/Settings!$B$10*H554),2),0))</f>
        <v/>
      </c>
      <c r="L554" s="26" t="str">
        <f aca="false">IF($A554="","",IF(D554="Hourly",ROUND(F554*N(INDEX(Workers!$N$5:$N$2004,MATCH($A554,Workers!$A$5:$A$2004,0))),2),0))</f>
        <v/>
      </c>
      <c r="M554" s="26" t="str">
        <f aca="false">IF($A554="","",ROUND(G554*IF(D554="Hourly",N(INDEX(Workers!$N$5:$N$2004,MATCH($A554,Workers!$A$5:$A$2004,0))),I554/Settings!$B$10/Settings!$B$12)*Settings!$B$13,2))</f>
        <v/>
      </c>
      <c r="N554" s="26" t="str">
        <f aca="false">IF($A554="","",K554+L554+M554)</f>
        <v/>
      </c>
      <c r="O554" s="26" t="str">
        <f aca="false">IF($A554="","",SUMIFS(Deductions!$D$5:$D$2000,Deductions!$B$5:$B$2000,$A554,Deductions!$C$5:$C$2000,"Advance",Deductions!$E$5:$E$2000,"&gt;="&amp;Settings!$B$8,Deductions!$E$5:$E$2000,"&lt;="&amp;Settings!$B$9))</f>
        <v/>
      </c>
      <c r="P554" s="26" t="str">
        <f aca="false">IF($A554="","",SUMIFS(Deductions!$D$5:$D$2000,Deductions!$B$5:$B$2000,$A554,Deductions!$E$5:$E$2000,"&gt;="&amp;Settings!$B$8,Deductions!$E$5:$E$2000,"&lt;="&amp;Settings!$B$9)-O554)</f>
        <v/>
      </c>
      <c r="Q554" s="26" t="str">
        <f aca="false">IF($A554="","",O554+P554)</f>
        <v/>
      </c>
      <c r="R554" s="23" t="str">
        <f aca="false">IF($A554="","",N554-Q554)</f>
        <v/>
      </c>
      <c r="S554" s="24" t="str">
        <f aca="false">IF($A554="","",INDEX(Workers!$O$5:$O$2004,MATCH($A554,Workers!$A$5:$A$2004,0))&amp;"")</f>
        <v/>
      </c>
      <c r="T554" s="24" t="str">
        <f aca="false">IF($A554="","",INDEX(Workers!$P$5:$P$2004,MATCH($A554,Workers!$A$5:$A$2004,0))&amp;"")</f>
        <v/>
      </c>
      <c r="U554" s="24" t="str">
        <f aca="false">IF($A554="","",INDEX(Workers!$H$5:$H$2004,MATCH($A554,Workers!$A$5:$A$2004,0))&amp;"")</f>
        <v/>
      </c>
    </row>
    <row r="555" customFormat="false" ht="15" hidden="false" customHeight="false" outlineLevel="0" collapsed="false">
      <c r="A555" s="24" t="str">
        <f aca="false">IFERROR(INDEX(Workers!$A$5:$A$2004,MATCH(ROW()-4,Workers!$U$5:$U$2004,0)),"")</f>
        <v/>
      </c>
      <c r="B555" s="24" t="str">
        <f aca="false">IF($A555="","",INDEX(Workers!$B$5:$B$2004,MATCH($A555,Workers!$A$5:$A$2004,0)))</f>
        <v/>
      </c>
      <c r="C555" s="24" t="str">
        <f aca="false">IF($A555="","",INDEX(Workers!$E$5:$E$2004,MATCH($A555,Workers!$A$5:$A$2004,0)))</f>
        <v/>
      </c>
      <c r="D555" s="24" t="str">
        <f aca="false">IF($A555="","",INDEX(Workers!$K$5:$K$2004,MATCH($A555,Workers!$A$5:$A$2004,0)))</f>
        <v/>
      </c>
      <c r="E555" s="25" t="str">
        <f aca="false">IF($A555="","",SUMIFS(Timesheet!$E$5:$E$3004,Timesheet!$D$5:$D$3004,$A555,Timesheet!$A$5:$A$3004,"&gt;="&amp;Settings!$B$8,Timesheet!$A$5:$A$3004,"&lt;="&amp;Settings!$B$9))</f>
        <v/>
      </c>
      <c r="F555" s="25" t="str">
        <f aca="false">IF($A555="","",SUMIFS(Timesheet!$F$5:$F$3004,Timesheet!$D$5:$D$3004,$A555,Timesheet!$A$5:$A$3004,"&gt;="&amp;Settings!$B$8,Timesheet!$A$5:$A$3004,"&lt;="&amp;Settings!$B$9))</f>
        <v/>
      </c>
      <c r="G555" s="25" t="str">
        <f aca="false">IF($A555="","",SUMIFS(Timesheet!$G$5:$G$3004,Timesheet!$D$5:$D$3004,$A555,Timesheet!$A$5:$A$3004,"&gt;="&amp;Settings!$B$8,Timesheet!$A$5:$A$3004,"&lt;="&amp;Settings!$B$9))</f>
        <v/>
      </c>
      <c r="H555" s="25" t="str">
        <f aca="false">IF($A555="","",IF(D555="Monthly",MAX(0,Settings!$B$11-E555),0))</f>
        <v/>
      </c>
      <c r="I555" s="26" t="str">
        <f aca="false">IF($A555="","",N(INDEX(Workers!$L$5:$L$2004,MATCH($A555,Workers!$A$5:$A$2004,0))))</f>
        <v/>
      </c>
      <c r="J555" s="26" t="str">
        <f aca="false">IF($A555="","",N(INDEX(Workers!$M$5:$M$2004,MATCH($A555,Workers!$A$5:$A$2004,0))))</f>
        <v/>
      </c>
      <c r="K555" s="26" t="str">
        <f aca="false">IF($A555="","",IF(D555="Monthly",ROUND(MAX(0,(I555+J555)-(I555+J555)/Settings!$B$10*H555),2),0))</f>
        <v/>
      </c>
      <c r="L555" s="26" t="str">
        <f aca="false">IF($A555="","",IF(D555="Hourly",ROUND(F555*N(INDEX(Workers!$N$5:$N$2004,MATCH($A555,Workers!$A$5:$A$2004,0))),2),0))</f>
        <v/>
      </c>
      <c r="M555" s="26" t="str">
        <f aca="false">IF($A555="","",ROUND(G555*IF(D555="Hourly",N(INDEX(Workers!$N$5:$N$2004,MATCH($A555,Workers!$A$5:$A$2004,0))),I555/Settings!$B$10/Settings!$B$12)*Settings!$B$13,2))</f>
        <v/>
      </c>
      <c r="N555" s="26" t="str">
        <f aca="false">IF($A555="","",K555+L555+M555)</f>
        <v/>
      </c>
      <c r="O555" s="26" t="str">
        <f aca="false">IF($A555="","",SUMIFS(Deductions!$D$5:$D$2000,Deductions!$B$5:$B$2000,$A555,Deductions!$C$5:$C$2000,"Advance",Deductions!$E$5:$E$2000,"&gt;="&amp;Settings!$B$8,Deductions!$E$5:$E$2000,"&lt;="&amp;Settings!$B$9))</f>
        <v/>
      </c>
      <c r="P555" s="26" t="str">
        <f aca="false">IF($A555="","",SUMIFS(Deductions!$D$5:$D$2000,Deductions!$B$5:$B$2000,$A555,Deductions!$E$5:$E$2000,"&gt;="&amp;Settings!$B$8,Deductions!$E$5:$E$2000,"&lt;="&amp;Settings!$B$9)-O555)</f>
        <v/>
      </c>
      <c r="Q555" s="26" t="str">
        <f aca="false">IF($A555="","",O555+P555)</f>
        <v/>
      </c>
      <c r="R555" s="23" t="str">
        <f aca="false">IF($A555="","",N555-Q555)</f>
        <v/>
      </c>
      <c r="S555" s="24" t="str">
        <f aca="false">IF($A555="","",INDEX(Workers!$O$5:$O$2004,MATCH($A555,Workers!$A$5:$A$2004,0))&amp;"")</f>
        <v/>
      </c>
      <c r="T555" s="24" t="str">
        <f aca="false">IF($A555="","",INDEX(Workers!$P$5:$P$2004,MATCH($A555,Workers!$A$5:$A$2004,0))&amp;"")</f>
        <v/>
      </c>
      <c r="U555" s="24" t="str">
        <f aca="false">IF($A555="","",INDEX(Workers!$H$5:$H$2004,MATCH($A555,Workers!$A$5:$A$2004,0))&amp;"")</f>
        <v/>
      </c>
    </row>
    <row r="556" customFormat="false" ht="15" hidden="false" customHeight="false" outlineLevel="0" collapsed="false">
      <c r="A556" s="24" t="str">
        <f aca="false">IFERROR(INDEX(Workers!$A$5:$A$2004,MATCH(ROW()-4,Workers!$U$5:$U$2004,0)),"")</f>
        <v/>
      </c>
      <c r="B556" s="24" t="str">
        <f aca="false">IF($A556="","",INDEX(Workers!$B$5:$B$2004,MATCH($A556,Workers!$A$5:$A$2004,0)))</f>
        <v/>
      </c>
      <c r="C556" s="24" t="str">
        <f aca="false">IF($A556="","",INDEX(Workers!$E$5:$E$2004,MATCH($A556,Workers!$A$5:$A$2004,0)))</f>
        <v/>
      </c>
      <c r="D556" s="24" t="str">
        <f aca="false">IF($A556="","",INDEX(Workers!$K$5:$K$2004,MATCH($A556,Workers!$A$5:$A$2004,0)))</f>
        <v/>
      </c>
      <c r="E556" s="25" t="str">
        <f aca="false">IF($A556="","",SUMIFS(Timesheet!$E$5:$E$3004,Timesheet!$D$5:$D$3004,$A556,Timesheet!$A$5:$A$3004,"&gt;="&amp;Settings!$B$8,Timesheet!$A$5:$A$3004,"&lt;="&amp;Settings!$B$9))</f>
        <v/>
      </c>
      <c r="F556" s="25" t="str">
        <f aca="false">IF($A556="","",SUMIFS(Timesheet!$F$5:$F$3004,Timesheet!$D$5:$D$3004,$A556,Timesheet!$A$5:$A$3004,"&gt;="&amp;Settings!$B$8,Timesheet!$A$5:$A$3004,"&lt;="&amp;Settings!$B$9))</f>
        <v/>
      </c>
      <c r="G556" s="25" t="str">
        <f aca="false">IF($A556="","",SUMIFS(Timesheet!$G$5:$G$3004,Timesheet!$D$5:$D$3004,$A556,Timesheet!$A$5:$A$3004,"&gt;="&amp;Settings!$B$8,Timesheet!$A$5:$A$3004,"&lt;="&amp;Settings!$B$9))</f>
        <v/>
      </c>
      <c r="H556" s="25" t="str">
        <f aca="false">IF($A556="","",IF(D556="Monthly",MAX(0,Settings!$B$11-E556),0))</f>
        <v/>
      </c>
      <c r="I556" s="26" t="str">
        <f aca="false">IF($A556="","",N(INDEX(Workers!$L$5:$L$2004,MATCH($A556,Workers!$A$5:$A$2004,0))))</f>
        <v/>
      </c>
      <c r="J556" s="26" t="str">
        <f aca="false">IF($A556="","",N(INDEX(Workers!$M$5:$M$2004,MATCH($A556,Workers!$A$5:$A$2004,0))))</f>
        <v/>
      </c>
      <c r="K556" s="26" t="str">
        <f aca="false">IF($A556="","",IF(D556="Monthly",ROUND(MAX(0,(I556+J556)-(I556+J556)/Settings!$B$10*H556),2),0))</f>
        <v/>
      </c>
      <c r="L556" s="26" t="str">
        <f aca="false">IF($A556="","",IF(D556="Hourly",ROUND(F556*N(INDEX(Workers!$N$5:$N$2004,MATCH($A556,Workers!$A$5:$A$2004,0))),2),0))</f>
        <v/>
      </c>
      <c r="M556" s="26" t="str">
        <f aca="false">IF($A556="","",ROUND(G556*IF(D556="Hourly",N(INDEX(Workers!$N$5:$N$2004,MATCH($A556,Workers!$A$5:$A$2004,0))),I556/Settings!$B$10/Settings!$B$12)*Settings!$B$13,2))</f>
        <v/>
      </c>
      <c r="N556" s="26" t="str">
        <f aca="false">IF($A556="","",K556+L556+M556)</f>
        <v/>
      </c>
      <c r="O556" s="26" t="str">
        <f aca="false">IF($A556="","",SUMIFS(Deductions!$D$5:$D$2000,Deductions!$B$5:$B$2000,$A556,Deductions!$C$5:$C$2000,"Advance",Deductions!$E$5:$E$2000,"&gt;="&amp;Settings!$B$8,Deductions!$E$5:$E$2000,"&lt;="&amp;Settings!$B$9))</f>
        <v/>
      </c>
      <c r="P556" s="26" t="str">
        <f aca="false">IF($A556="","",SUMIFS(Deductions!$D$5:$D$2000,Deductions!$B$5:$B$2000,$A556,Deductions!$E$5:$E$2000,"&gt;="&amp;Settings!$B$8,Deductions!$E$5:$E$2000,"&lt;="&amp;Settings!$B$9)-O556)</f>
        <v/>
      </c>
      <c r="Q556" s="26" t="str">
        <f aca="false">IF($A556="","",O556+P556)</f>
        <v/>
      </c>
      <c r="R556" s="23" t="str">
        <f aca="false">IF($A556="","",N556-Q556)</f>
        <v/>
      </c>
      <c r="S556" s="24" t="str">
        <f aca="false">IF($A556="","",INDEX(Workers!$O$5:$O$2004,MATCH($A556,Workers!$A$5:$A$2004,0))&amp;"")</f>
        <v/>
      </c>
      <c r="T556" s="24" t="str">
        <f aca="false">IF($A556="","",INDEX(Workers!$P$5:$P$2004,MATCH($A556,Workers!$A$5:$A$2004,0))&amp;"")</f>
        <v/>
      </c>
      <c r="U556" s="24" t="str">
        <f aca="false">IF($A556="","",INDEX(Workers!$H$5:$H$2004,MATCH($A556,Workers!$A$5:$A$2004,0))&amp;"")</f>
        <v/>
      </c>
    </row>
    <row r="557" customFormat="false" ht="15" hidden="false" customHeight="false" outlineLevel="0" collapsed="false">
      <c r="A557" s="24" t="str">
        <f aca="false">IFERROR(INDEX(Workers!$A$5:$A$2004,MATCH(ROW()-4,Workers!$U$5:$U$2004,0)),"")</f>
        <v/>
      </c>
      <c r="B557" s="24" t="str">
        <f aca="false">IF($A557="","",INDEX(Workers!$B$5:$B$2004,MATCH($A557,Workers!$A$5:$A$2004,0)))</f>
        <v/>
      </c>
      <c r="C557" s="24" t="str">
        <f aca="false">IF($A557="","",INDEX(Workers!$E$5:$E$2004,MATCH($A557,Workers!$A$5:$A$2004,0)))</f>
        <v/>
      </c>
      <c r="D557" s="24" t="str">
        <f aca="false">IF($A557="","",INDEX(Workers!$K$5:$K$2004,MATCH($A557,Workers!$A$5:$A$2004,0)))</f>
        <v/>
      </c>
      <c r="E557" s="25" t="str">
        <f aca="false">IF($A557="","",SUMIFS(Timesheet!$E$5:$E$3004,Timesheet!$D$5:$D$3004,$A557,Timesheet!$A$5:$A$3004,"&gt;="&amp;Settings!$B$8,Timesheet!$A$5:$A$3004,"&lt;="&amp;Settings!$B$9))</f>
        <v/>
      </c>
      <c r="F557" s="25" t="str">
        <f aca="false">IF($A557="","",SUMIFS(Timesheet!$F$5:$F$3004,Timesheet!$D$5:$D$3004,$A557,Timesheet!$A$5:$A$3004,"&gt;="&amp;Settings!$B$8,Timesheet!$A$5:$A$3004,"&lt;="&amp;Settings!$B$9))</f>
        <v/>
      </c>
      <c r="G557" s="25" t="str">
        <f aca="false">IF($A557="","",SUMIFS(Timesheet!$G$5:$G$3004,Timesheet!$D$5:$D$3004,$A557,Timesheet!$A$5:$A$3004,"&gt;="&amp;Settings!$B$8,Timesheet!$A$5:$A$3004,"&lt;="&amp;Settings!$B$9))</f>
        <v/>
      </c>
      <c r="H557" s="25" t="str">
        <f aca="false">IF($A557="","",IF(D557="Monthly",MAX(0,Settings!$B$11-E557),0))</f>
        <v/>
      </c>
      <c r="I557" s="26" t="str">
        <f aca="false">IF($A557="","",N(INDEX(Workers!$L$5:$L$2004,MATCH($A557,Workers!$A$5:$A$2004,0))))</f>
        <v/>
      </c>
      <c r="J557" s="26" t="str">
        <f aca="false">IF($A557="","",N(INDEX(Workers!$M$5:$M$2004,MATCH($A557,Workers!$A$5:$A$2004,0))))</f>
        <v/>
      </c>
      <c r="K557" s="26" t="str">
        <f aca="false">IF($A557="","",IF(D557="Monthly",ROUND(MAX(0,(I557+J557)-(I557+J557)/Settings!$B$10*H557),2),0))</f>
        <v/>
      </c>
      <c r="L557" s="26" t="str">
        <f aca="false">IF($A557="","",IF(D557="Hourly",ROUND(F557*N(INDEX(Workers!$N$5:$N$2004,MATCH($A557,Workers!$A$5:$A$2004,0))),2),0))</f>
        <v/>
      </c>
      <c r="M557" s="26" t="str">
        <f aca="false">IF($A557="","",ROUND(G557*IF(D557="Hourly",N(INDEX(Workers!$N$5:$N$2004,MATCH($A557,Workers!$A$5:$A$2004,0))),I557/Settings!$B$10/Settings!$B$12)*Settings!$B$13,2))</f>
        <v/>
      </c>
      <c r="N557" s="26" t="str">
        <f aca="false">IF($A557="","",K557+L557+M557)</f>
        <v/>
      </c>
      <c r="O557" s="26" t="str">
        <f aca="false">IF($A557="","",SUMIFS(Deductions!$D$5:$D$2000,Deductions!$B$5:$B$2000,$A557,Deductions!$C$5:$C$2000,"Advance",Deductions!$E$5:$E$2000,"&gt;="&amp;Settings!$B$8,Deductions!$E$5:$E$2000,"&lt;="&amp;Settings!$B$9))</f>
        <v/>
      </c>
      <c r="P557" s="26" t="str">
        <f aca="false">IF($A557="","",SUMIFS(Deductions!$D$5:$D$2000,Deductions!$B$5:$B$2000,$A557,Deductions!$E$5:$E$2000,"&gt;="&amp;Settings!$B$8,Deductions!$E$5:$E$2000,"&lt;="&amp;Settings!$B$9)-O557)</f>
        <v/>
      </c>
      <c r="Q557" s="26" t="str">
        <f aca="false">IF($A557="","",O557+P557)</f>
        <v/>
      </c>
      <c r="R557" s="23" t="str">
        <f aca="false">IF($A557="","",N557-Q557)</f>
        <v/>
      </c>
      <c r="S557" s="24" t="str">
        <f aca="false">IF($A557="","",INDEX(Workers!$O$5:$O$2004,MATCH($A557,Workers!$A$5:$A$2004,0))&amp;"")</f>
        <v/>
      </c>
      <c r="T557" s="24" t="str">
        <f aca="false">IF($A557="","",INDEX(Workers!$P$5:$P$2004,MATCH($A557,Workers!$A$5:$A$2004,0))&amp;"")</f>
        <v/>
      </c>
      <c r="U557" s="24" t="str">
        <f aca="false">IF($A557="","",INDEX(Workers!$H$5:$H$2004,MATCH($A557,Workers!$A$5:$A$2004,0))&amp;"")</f>
        <v/>
      </c>
    </row>
    <row r="558" customFormat="false" ht="15" hidden="false" customHeight="false" outlineLevel="0" collapsed="false">
      <c r="A558" s="24" t="str">
        <f aca="false">IFERROR(INDEX(Workers!$A$5:$A$2004,MATCH(ROW()-4,Workers!$U$5:$U$2004,0)),"")</f>
        <v/>
      </c>
      <c r="B558" s="24" t="str">
        <f aca="false">IF($A558="","",INDEX(Workers!$B$5:$B$2004,MATCH($A558,Workers!$A$5:$A$2004,0)))</f>
        <v/>
      </c>
      <c r="C558" s="24" t="str">
        <f aca="false">IF($A558="","",INDEX(Workers!$E$5:$E$2004,MATCH($A558,Workers!$A$5:$A$2004,0)))</f>
        <v/>
      </c>
      <c r="D558" s="24" t="str">
        <f aca="false">IF($A558="","",INDEX(Workers!$K$5:$K$2004,MATCH($A558,Workers!$A$5:$A$2004,0)))</f>
        <v/>
      </c>
      <c r="E558" s="25" t="str">
        <f aca="false">IF($A558="","",SUMIFS(Timesheet!$E$5:$E$3004,Timesheet!$D$5:$D$3004,$A558,Timesheet!$A$5:$A$3004,"&gt;="&amp;Settings!$B$8,Timesheet!$A$5:$A$3004,"&lt;="&amp;Settings!$B$9))</f>
        <v/>
      </c>
      <c r="F558" s="25" t="str">
        <f aca="false">IF($A558="","",SUMIFS(Timesheet!$F$5:$F$3004,Timesheet!$D$5:$D$3004,$A558,Timesheet!$A$5:$A$3004,"&gt;="&amp;Settings!$B$8,Timesheet!$A$5:$A$3004,"&lt;="&amp;Settings!$B$9))</f>
        <v/>
      </c>
      <c r="G558" s="25" t="str">
        <f aca="false">IF($A558="","",SUMIFS(Timesheet!$G$5:$G$3004,Timesheet!$D$5:$D$3004,$A558,Timesheet!$A$5:$A$3004,"&gt;="&amp;Settings!$B$8,Timesheet!$A$5:$A$3004,"&lt;="&amp;Settings!$B$9))</f>
        <v/>
      </c>
      <c r="H558" s="25" t="str">
        <f aca="false">IF($A558="","",IF(D558="Monthly",MAX(0,Settings!$B$11-E558),0))</f>
        <v/>
      </c>
      <c r="I558" s="26" t="str">
        <f aca="false">IF($A558="","",N(INDEX(Workers!$L$5:$L$2004,MATCH($A558,Workers!$A$5:$A$2004,0))))</f>
        <v/>
      </c>
      <c r="J558" s="26" t="str">
        <f aca="false">IF($A558="","",N(INDEX(Workers!$M$5:$M$2004,MATCH($A558,Workers!$A$5:$A$2004,0))))</f>
        <v/>
      </c>
      <c r="K558" s="26" t="str">
        <f aca="false">IF($A558="","",IF(D558="Monthly",ROUND(MAX(0,(I558+J558)-(I558+J558)/Settings!$B$10*H558),2),0))</f>
        <v/>
      </c>
      <c r="L558" s="26" t="str">
        <f aca="false">IF($A558="","",IF(D558="Hourly",ROUND(F558*N(INDEX(Workers!$N$5:$N$2004,MATCH($A558,Workers!$A$5:$A$2004,0))),2),0))</f>
        <v/>
      </c>
      <c r="M558" s="26" t="str">
        <f aca="false">IF($A558="","",ROUND(G558*IF(D558="Hourly",N(INDEX(Workers!$N$5:$N$2004,MATCH($A558,Workers!$A$5:$A$2004,0))),I558/Settings!$B$10/Settings!$B$12)*Settings!$B$13,2))</f>
        <v/>
      </c>
      <c r="N558" s="26" t="str">
        <f aca="false">IF($A558="","",K558+L558+M558)</f>
        <v/>
      </c>
      <c r="O558" s="26" t="str">
        <f aca="false">IF($A558="","",SUMIFS(Deductions!$D$5:$D$2000,Deductions!$B$5:$B$2000,$A558,Deductions!$C$5:$C$2000,"Advance",Deductions!$E$5:$E$2000,"&gt;="&amp;Settings!$B$8,Deductions!$E$5:$E$2000,"&lt;="&amp;Settings!$B$9))</f>
        <v/>
      </c>
      <c r="P558" s="26" t="str">
        <f aca="false">IF($A558="","",SUMIFS(Deductions!$D$5:$D$2000,Deductions!$B$5:$B$2000,$A558,Deductions!$E$5:$E$2000,"&gt;="&amp;Settings!$B$8,Deductions!$E$5:$E$2000,"&lt;="&amp;Settings!$B$9)-O558)</f>
        <v/>
      </c>
      <c r="Q558" s="26" t="str">
        <f aca="false">IF($A558="","",O558+P558)</f>
        <v/>
      </c>
      <c r="R558" s="23" t="str">
        <f aca="false">IF($A558="","",N558-Q558)</f>
        <v/>
      </c>
      <c r="S558" s="24" t="str">
        <f aca="false">IF($A558="","",INDEX(Workers!$O$5:$O$2004,MATCH($A558,Workers!$A$5:$A$2004,0))&amp;"")</f>
        <v/>
      </c>
      <c r="T558" s="24" t="str">
        <f aca="false">IF($A558="","",INDEX(Workers!$P$5:$P$2004,MATCH($A558,Workers!$A$5:$A$2004,0))&amp;"")</f>
        <v/>
      </c>
      <c r="U558" s="24" t="str">
        <f aca="false">IF($A558="","",INDEX(Workers!$H$5:$H$2004,MATCH($A558,Workers!$A$5:$A$2004,0))&amp;"")</f>
        <v/>
      </c>
    </row>
    <row r="559" customFormat="false" ht="15" hidden="false" customHeight="false" outlineLevel="0" collapsed="false">
      <c r="A559" s="24" t="str">
        <f aca="false">IFERROR(INDEX(Workers!$A$5:$A$2004,MATCH(ROW()-4,Workers!$U$5:$U$2004,0)),"")</f>
        <v/>
      </c>
      <c r="B559" s="24" t="str">
        <f aca="false">IF($A559="","",INDEX(Workers!$B$5:$B$2004,MATCH($A559,Workers!$A$5:$A$2004,0)))</f>
        <v/>
      </c>
      <c r="C559" s="24" t="str">
        <f aca="false">IF($A559="","",INDEX(Workers!$E$5:$E$2004,MATCH($A559,Workers!$A$5:$A$2004,0)))</f>
        <v/>
      </c>
      <c r="D559" s="24" t="str">
        <f aca="false">IF($A559="","",INDEX(Workers!$K$5:$K$2004,MATCH($A559,Workers!$A$5:$A$2004,0)))</f>
        <v/>
      </c>
      <c r="E559" s="25" t="str">
        <f aca="false">IF($A559="","",SUMIFS(Timesheet!$E$5:$E$3004,Timesheet!$D$5:$D$3004,$A559,Timesheet!$A$5:$A$3004,"&gt;="&amp;Settings!$B$8,Timesheet!$A$5:$A$3004,"&lt;="&amp;Settings!$B$9))</f>
        <v/>
      </c>
      <c r="F559" s="25" t="str">
        <f aca="false">IF($A559="","",SUMIFS(Timesheet!$F$5:$F$3004,Timesheet!$D$5:$D$3004,$A559,Timesheet!$A$5:$A$3004,"&gt;="&amp;Settings!$B$8,Timesheet!$A$5:$A$3004,"&lt;="&amp;Settings!$B$9))</f>
        <v/>
      </c>
      <c r="G559" s="25" t="str">
        <f aca="false">IF($A559="","",SUMIFS(Timesheet!$G$5:$G$3004,Timesheet!$D$5:$D$3004,$A559,Timesheet!$A$5:$A$3004,"&gt;="&amp;Settings!$B$8,Timesheet!$A$5:$A$3004,"&lt;="&amp;Settings!$B$9))</f>
        <v/>
      </c>
      <c r="H559" s="25" t="str">
        <f aca="false">IF($A559="","",IF(D559="Monthly",MAX(0,Settings!$B$11-E559),0))</f>
        <v/>
      </c>
      <c r="I559" s="26" t="str">
        <f aca="false">IF($A559="","",N(INDEX(Workers!$L$5:$L$2004,MATCH($A559,Workers!$A$5:$A$2004,0))))</f>
        <v/>
      </c>
      <c r="J559" s="26" t="str">
        <f aca="false">IF($A559="","",N(INDEX(Workers!$M$5:$M$2004,MATCH($A559,Workers!$A$5:$A$2004,0))))</f>
        <v/>
      </c>
      <c r="K559" s="26" t="str">
        <f aca="false">IF($A559="","",IF(D559="Monthly",ROUND(MAX(0,(I559+J559)-(I559+J559)/Settings!$B$10*H559),2),0))</f>
        <v/>
      </c>
      <c r="L559" s="26" t="str">
        <f aca="false">IF($A559="","",IF(D559="Hourly",ROUND(F559*N(INDEX(Workers!$N$5:$N$2004,MATCH($A559,Workers!$A$5:$A$2004,0))),2),0))</f>
        <v/>
      </c>
      <c r="M559" s="26" t="str">
        <f aca="false">IF($A559="","",ROUND(G559*IF(D559="Hourly",N(INDEX(Workers!$N$5:$N$2004,MATCH($A559,Workers!$A$5:$A$2004,0))),I559/Settings!$B$10/Settings!$B$12)*Settings!$B$13,2))</f>
        <v/>
      </c>
      <c r="N559" s="26" t="str">
        <f aca="false">IF($A559="","",K559+L559+M559)</f>
        <v/>
      </c>
      <c r="O559" s="26" t="str">
        <f aca="false">IF($A559="","",SUMIFS(Deductions!$D$5:$D$2000,Deductions!$B$5:$B$2000,$A559,Deductions!$C$5:$C$2000,"Advance",Deductions!$E$5:$E$2000,"&gt;="&amp;Settings!$B$8,Deductions!$E$5:$E$2000,"&lt;="&amp;Settings!$B$9))</f>
        <v/>
      </c>
      <c r="P559" s="26" t="str">
        <f aca="false">IF($A559="","",SUMIFS(Deductions!$D$5:$D$2000,Deductions!$B$5:$B$2000,$A559,Deductions!$E$5:$E$2000,"&gt;="&amp;Settings!$B$8,Deductions!$E$5:$E$2000,"&lt;="&amp;Settings!$B$9)-O559)</f>
        <v/>
      </c>
      <c r="Q559" s="26" t="str">
        <f aca="false">IF($A559="","",O559+P559)</f>
        <v/>
      </c>
      <c r="R559" s="23" t="str">
        <f aca="false">IF($A559="","",N559-Q559)</f>
        <v/>
      </c>
      <c r="S559" s="24" t="str">
        <f aca="false">IF($A559="","",INDEX(Workers!$O$5:$O$2004,MATCH($A559,Workers!$A$5:$A$2004,0))&amp;"")</f>
        <v/>
      </c>
      <c r="T559" s="24" t="str">
        <f aca="false">IF($A559="","",INDEX(Workers!$P$5:$P$2004,MATCH($A559,Workers!$A$5:$A$2004,0))&amp;"")</f>
        <v/>
      </c>
      <c r="U559" s="24" t="str">
        <f aca="false">IF($A559="","",INDEX(Workers!$H$5:$H$2004,MATCH($A559,Workers!$A$5:$A$2004,0))&amp;"")</f>
        <v/>
      </c>
    </row>
    <row r="560" customFormat="false" ht="15" hidden="false" customHeight="false" outlineLevel="0" collapsed="false">
      <c r="A560" s="24" t="str">
        <f aca="false">IFERROR(INDEX(Workers!$A$5:$A$2004,MATCH(ROW()-4,Workers!$U$5:$U$2004,0)),"")</f>
        <v/>
      </c>
      <c r="B560" s="24" t="str">
        <f aca="false">IF($A560="","",INDEX(Workers!$B$5:$B$2004,MATCH($A560,Workers!$A$5:$A$2004,0)))</f>
        <v/>
      </c>
      <c r="C560" s="24" t="str">
        <f aca="false">IF($A560="","",INDEX(Workers!$E$5:$E$2004,MATCH($A560,Workers!$A$5:$A$2004,0)))</f>
        <v/>
      </c>
      <c r="D560" s="24" t="str">
        <f aca="false">IF($A560="","",INDEX(Workers!$K$5:$K$2004,MATCH($A560,Workers!$A$5:$A$2004,0)))</f>
        <v/>
      </c>
      <c r="E560" s="25" t="str">
        <f aca="false">IF($A560="","",SUMIFS(Timesheet!$E$5:$E$3004,Timesheet!$D$5:$D$3004,$A560,Timesheet!$A$5:$A$3004,"&gt;="&amp;Settings!$B$8,Timesheet!$A$5:$A$3004,"&lt;="&amp;Settings!$B$9))</f>
        <v/>
      </c>
      <c r="F560" s="25" t="str">
        <f aca="false">IF($A560="","",SUMIFS(Timesheet!$F$5:$F$3004,Timesheet!$D$5:$D$3004,$A560,Timesheet!$A$5:$A$3004,"&gt;="&amp;Settings!$B$8,Timesheet!$A$5:$A$3004,"&lt;="&amp;Settings!$B$9))</f>
        <v/>
      </c>
      <c r="G560" s="25" t="str">
        <f aca="false">IF($A560="","",SUMIFS(Timesheet!$G$5:$G$3004,Timesheet!$D$5:$D$3004,$A560,Timesheet!$A$5:$A$3004,"&gt;="&amp;Settings!$B$8,Timesheet!$A$5:$A$3004,"&lt;="&amp;Settings!$B$9))</f>
        <v/>
      </c>
      <c r="H560" s="25" t="str">
        <f aca="false">IF($A560="","",IF(D560="Monthly",MAX(0,Settings!$B$11-E560),0))</f>
        <v/>
      </c>
      <c r="I560" s="26" t="str">
        <f aca="false">IF($A560="","",N(INDEX(Workers!$L$5:$L$2004,MATCH($A560,Workers!$A$5:$A$2004,0))))</f>
        <v/>
      </c>
      <c r="J560" s="26" t="str">
        <f aca="false">IF($A560="","",N(INDEX(Workers!$M$5:$M$2004,MATCH($A560,Workers!$A$5:$A$2004,0))))</f>
        <v/>
      </c>
      <c r="K560" s="26" t="str">
        <f aca="false">IF($A560="","",IF(D560="Monthly",ROUND(MAX(0,(I560+J560)-(I560+J560)/Settings!$B$10*H560),2),0))</f>
        <v/>
      </c>
      <c r="L560" s="26" t="str">
        <f aca="false">IF($A560="","",IF(D560="Hourly",ROUND(F560*N(INDEX(Workers!$N$5:$N$2004,MATCH($A560,Workers!$A$5:$A$2004,0))),2),0))</f>
        <v/>
      </c>
      <c r="M560" s="26" t="str">
        <f aca="false">IF($A560="","",ROUND(G560*IF(D560="Hourly",N(INDEX(Workers!$N$5:$N$2004,MATCH($A560,Workers!$A$5:$A$2004,0))),I560/Settings!$B$10/Settings!$B$12)*Settings!$B$13,2))</f>
        <v/>
      </c>
      <c r="N560" s="26" t="str">
        <f aca="false">IF($A560="","",K560+L560+M560)</f>
        <v/>
      </c>
      <c r="O560" s="26" t="str">
        <f aca="false">IF($A560="","",SUMIFS(Deductions!$D$5:$D$2000,Deductions!$B$5:$B$2000,$A560,Deductions!$C$5:$C$2000,"Advance",Deductions!$E$5:$E$2000,"&gt;="&amp;Settings!$B$8,Deductions!$E$5:$E$2000,"&lt;="&amp;Settings!$B$9))</f>
        <v/>
      </c>
      <c r="P560" s="26" t="str">
        <f aca="false">IF($A560="","",SUMIFS(Deductions!$D$5:$D$2000,Deductions!$B$5:$B$2000,$A560,Deductions!$E$5:$E$2000,"&gt;="&amp;Settings!$B$8,Deductions!$E$5:$E$2000,"&lt;="&amp;Settings!$B$9)-O560)</f>
        <v/>
      </c>
      <c r="Q560" s="26" t="str">
        <f aca="false">IF($A560="","",O560+P560)</f>
        <v/>
      </c>
      <c r="R560" s="23" t="str">
        <f aca="false">IF($A560="","",N560-Q560)</f>
        <v/>
      </c>
      <c r="S560" s="24" t="str">
        <f aca="false">IF($A560="","",INDEX(Workers!$O$5:$O$2004,MATCH($A560,Workers!$A$5:$A$2004,0))&amp;"")</f>
        <v/>
      </c>
      <c r="T560" s="24" t="str">
        <f aca="false">IF($A560="","",INDEX(Workers!$P$5:$P$2004,MATCH($A560,Workers!$A$5:$A$2004,0))&amp;"")</f>
        <v/>
      </c>
      <c r="U560" s="24" t="str">
        <f aca="false">IF($A560="","",INDEX(Workers!$H$5:$H$2004,MATCH($A560,Workers!$A$5:$A$2004,0))&amp;"")</f>
        <v/>
      </c>
    </row>
    <row r="561" customFormat="false" ht="15" hidden="false" customHeight="false" outlineLevel="0" collapsed="false">
      <c r="A561" s="24" t="str">
        <f aca="false">IFERROR(INDEX(Workers!$A$5:$A$2004,MATCH(ROW()-4,Workers!$U$5:$U$2004,0)),"")</f>
        <v/>
      </c>
      <c r="B561" s="24" t="str">
        <f aca="false">IF($A561="","",INDEX(Workers!$B$5:$B$2004,MATCH($A561,Workers!$A$5:$A$2004,0)))</f>
        <v/>
      </c>
      <c r="C561" s="24" t="str">
        <f aca="false">IF($A561="","",INDEX(Workers!$E$5:$E$2004,MATCH($A561,Workers!$A$5:$A$2004,0)))</f>
        <v/>
      </c>
      <c r="D561" s="24" t="str">
        <f aca="false">IF($A561="","",INDEX(Workers!$K$5:$K$2004,MATCH($A561,Workers!$A$5:$A$2004,0)))</f>
        <v/>
      </c>
      <c r="E561" s="25" t="str">
        <f aca="false">IF($A561="","",SUMIFS(Timesheet!$E$5:$E$3004,Timesheet!$D$5:$D$3004,$A561,Timesheet!$A$5:$A$3004,"&gt;="&amp;Settings!$B$8,Timesheet!$A$5:$A$3004,"&lt;="&amp;Settings!$B$9))</f>
        <v/>
      </c>
      <c r="F561" s="25" t="str">
        <f aca="false">IF($A561="","",SUMIFS(Timesheet!$F$5:$F$3004,Timesheet!$D$5:$D$3004,$A561,Timesheet!$A$5:$A$3004,"&gt;="&amp;Settings!$B$8,Timesheet!$A$5:$A$3004,"&lt;="&amp;Settings!$B$9))</f>
        <v/>
      </c>
      <c r="G561" s="25" t="str">
        <f aca="false">IF($A561="","",SUMIFS(Timesheet!$G$5:$G$3004,Timesheet!$D$5:$D$3004,$A561,Timesheet!$A$5:$A$3004,"&gt;="&amp;Settings!$B$8,Timesheet!$A$5:$A$3004,"&lt;="&amp;Settings!$B$9))</f>
        <v/>
      </c>
      <c r="H561" s="25" t="str">
        <f aca="false">IF($A561="","",IF(D561="Monthly",MAX(0,Settings!$B$11-E561),0))</f>
        <v/>
      </c>
      <c r="I561" s="26" t="str">
        <f aca="false">IF($A561="","",N(INDEX(Workers!$L$5:$L$2004,MATCH($A561,Workers!$A$5:$A$2004,0))))</f>
        <v/>
      </c>
      <c r="J561" s="26" t="str">
        <f aca="false">IF($A561="","",N(INDEX(Workers!$M$5:$M$2004,MATCH($A561,Workers!$A$5:$A$2004,0))))</f>
        <v/>
      </c>
      <c r="K561" s="26" t="str">
        <f aca="false">IF($A561="","",IF(D561="Monthly",ROUND(MAX(0,(I561+J561)-(I561+J561)/Settings!$B$10*H561),2),0))</f>
        <v/>
      </c>
      <c r="L561" s="26" t="str">
        <f aca="false">IF($A561="","",IF(D561="Hourly",ROUND(F561*N(INDEX(Workers!$N$5:$N$2004,MATCH($A561,Workers!$A$5:$A$2004,0))),2),0))</f>
        <v/>
      </c>
      <c r="M561" s="26" t="str">
        <f aca="false">IF($A561="","",ROUND(G561*IF(D561="Hourly",N(INDEX(Workers!$N$5:$N$2004,MATCH($A561,Workers!$A$5:$A$2004,0))),I561/Settings!$B$10/Settings!$B$12)*Settings!$B$13,2))</f>
        <v/>
      </c>
      <c r="N561" s="26" t="str">
        <f aca="false">IF($A561="","",K561+L561+M561)</f>
        <v/>
      </c>
      <c r="O561" s="26" t="str">
        <f aca="false">IF($A561="","",SUMIFS(Deductions!$D$5:$D$2000,Deductions!$B$5:$B$2000,$A561,Deductions!$C$5:$C$2000,"Advance",Deductions!$E$5:$E$2000,"&gt;="&amp;Settings!$B$8,Deductions!$E$5:$E$2000,"&lt;="&amp;Settings!$B$9))</f>
        <v/>
      </c>
      <c r="P561" s="26" t="str">
        <f aca="false">IF($A561="","",SUMIFS(Deductions!$D$5:$D$2000,Deductions!$B$5:$B$2000,$A561,Deductions!$E$5:$E$2000,"&gt;="&amp;Settings!$B$8,Deductions!$E$5:$E$2000,"&lt;="&amp;Settings!$B$9)-O561)</f>
        <v/>
      </c>
      <c r="Q561" s="26" t="str">
        <f aca="false">IF($A561="","",O561+P561)</f>
        <v/>
      </c>
      <c r="R561" s="23" t="str">
        <f aca="false">IF($A561="","",N561-Q561)</f>
        <v/>
      </c>
      <c r="S561" s="24" t="str">
        <f aca="false">IF($A561="","",INDEX(Workers!$O$5:$O$2004,MATCH($A561,Workers!$A$5:$A$2004,0))&amp;"")</f>
        <v/>
      </c>
      <c r="T561" s="24" t="str">
        <f aca="false">IF($A561="","",INDEX(Workers!$P$5:$P$2004,MATCH($A561,Workers!$A$5:$A$2004,0))&amp;"")</f>
        <v/>
      </c>
      <c r="U561" s="24" t="str">
        <f aca="false">IF($A561="","",INDEX(Workers!$H$5:$H$2004,MATCH($A561,Workers!$A$5:$A$2004,0))&amp;"")</f>
        <v/>
      </c>
    </row>
    <row r="562" customFormat="false" ht="15" hidden="false" customHeight="false" outlineLevel="0" collapsed="false">
      <c r="A562" s="24" t="str">
        <f aca="false">IFERROR(INDEX(Workers!$A$5:$A$2004,MATCH(ROW()-4,Workers!$U$5:$U$2004,0)),"")</f>
        <v/>
      </c>
      <c r="B562" s="24" t="str">
        <f aca="false">IF($A562="","",INDEX(Workers!$B$5:$B$2004,MATCH($A562,Workers!$A$5:$A$2004,0)))</f>
        <v/>
      </c>
      <c r="C562" s="24" t="str">
        <f aca="false">IF($A562="","",INDEX(Workers!$E$5:$E$2004,MATCH($A562,Workers!$A$5:$A$2004,0)))</f>
        <v/>
      </c>
      <c r="D562" s="24" t="str">
        <f aca="false">IF($A562="","",INDEX(Workers!$K$5:$K$2004,MATCH($A562,Workers!$A$5:$A$2004,0)))</f>
        <v/>
      </c>
      <c r="E562" s="25" t="str">
        <f aca="false">IF($A562="","",SUMIFS(Timesheet!$E$5:$E$3004,Timesheet!$D$5:$D$3004,$A562,Timesheet!$A$5:$A$3004,"&gt;="&amp;Settings!$B$8,Timesheet!$A$5:$A$3004,"&lt;="&amp;Settings!$B$9))</f>
        <v/>
      </c>
      <c r="F562" s="25" t="str">
        <f aca="false">IF($A562="","",SUMIFS(Timesheet!$F$5:$F$3004,Timesheet!$D$5:$D$3004,$A562,Timesheet!$A$5:$A$3004,"&gt;="&amp;Settings!$B$8,Timesheet!$A$5:$A$3004,"&lt;="&amp;Settings!$B$9))</f>
        <v/>
      </c>
      <c r="G562" s="25" t="str">
        <f aca="false">IF($A562="","",SUMIFS(Timesheet!$G$5:$G$3004,Timesheet!$D$5:$D$3004,$A562,Timesheet!$A$5:$A$3004,"&gt;="&amp;Settings!$B$8,Timesheet!$A$5:$A$3004,"&lt;="&amp;Settings!$B$9))</f>
        <v/>
      </c>
      <c r="H562" s="25" t="str">
        <f aca="false">IF($A562="","",IF(D562="Monthly",MAX(0,Settings!$B$11-E562),0))</f>
        <v/>
      </c>
      <c r="I562" s="26" t="str">
        <f aca="false">IF($A562="","",N(INDEX(Workers!$L$5:$L$2004,MATCH($A562,Workers!$A$5:$A$2004,0))))</f>
        <v/>
      </c>
      <c r="J562" s="26" t="str">
        <f aca="false">IF($A562="","",N(INDEX(Workers!$M$5:$M$2004,MATCH($A562,Workers!$A$5:$A$2004,0))))</f>
        <v/>
      </c>
      <c r="K562" s="26" t="str">
        <f aca="false">IF($A562="","",IF(D562="Monthly",ROUND(MAX(0,(I562+J562)-(I562+J562)/Settings!$B$10*H562),2),0))</f>
        <v/>
      </c>
      <c r="L562" s="26" t="str">
        <f aca="false">IF($A562="","",IF(D562="Hourly",ROUND(F562*N(INDEX(Workers!$N$5:$N$2004,MATCH($A562,Workers!$A$5:$A$2004,0))),2),0))</f>
        <v/>
      </c>
      <c r="M562" s="26" t="str">
        <f aca="false">IF($A562="","",ROUND(G562*IF(D562="Hourly",N(INDEX(Workers!$N$5:$N$2004,MATCH($A562,Workers!$A$5:$A$2004,0))),I562/Settings!$B$10/Settings!$B$12)*Settings!$B$13,2))</f>
        <v/>
      </c>
      <c r="N562" s="26" t="str">
        <f aca="false">IF($A562="","",K562+L562+M562)</f>
        <v/>
      </c>
      <c r="O562" s="26" t="str">
        <f aca="false">IF($A562="","",SUMIFS(Deductions!$D$5:$D$2000,Deductions!$B$5:$B$2000,$A562,Deductions!$C$5:$C$2000,"Advance",Deductions!$E$5:$E$2000,"&gt;="&amp;Settings!$B$8,Deductions!$E$5:$E$2000,"&lt;="&amp;Settings!$B$9))</f>
        <v/>
      </c>
      <c r="P562" s="26" t="str">
        <f aca="false">IF($A562="","",SUMIFS(Deductions!$D$5:$D$2000,Deductions!$B$5:$B$2000,$A562,Deductions!$E$5:$E$2000,"&gt;="&amp;Settings!$B$8,Deductions!$E$5:$E$2000,"&lt;="&amp;Settings!$B$9)-O562)</f>
        <v/>
      </c>
      <c r="Q562" s="26" t="str">
        <f aca="false">IF($A562="","",O562+P562)</f>
        <v/>
      </c>
      <c r="R562" s="23" t="str">
        <f aca="false">IF($A562="","",N562-Q562)</f>
        <v/>
      </c>
      <c r="S562" s="24" t="str">
        <f aca="false">IF($A562="","",INDEX(Workers!$O$5:$O$2004,MATCH($A562,Workers!$A$5:$A$2004,0))&amp;"")</f>
        <v/>
      </c>
      <c r="T562" s="24" t="str">
        <f aca="false">IF($A562="","",INDEX(Workers!$P$5:$P$2004,MATCH($A562,Workers!$A$5:$A$2004,0))&amp;"")</f>
        <v/>
      </c>
      <c r="U562" s="24" t="str">
        <f aca="false">IF($A562="","",INDEX(Workers!$H$5:$H$2004,MATCH($A562,Workers!$A$5:$A$2004,0))&amp;"")</f>
        <v/>
      </c>
    </row>
    <row r="563" customFormat="false" ht="15" hidden="false" customHeight="false" outlineLevel="0" collapsed="false">
      <c r="A563" s="24" t="str">
        <f aca="false">IFERROR(INDEX(Workers!$A$5:$A$2004,MATCH(ROW()-4,Workers!$U$5:$U$2004,0)),"")</f>
        <v/>
      </c>
      <c r="B563" s="24" t="str">
        <f aca="false">IF($A563="","",INDEX(Workers!$B$5:$B$2004,MATCH($A563,Workers!$A$5:$A$2004,0)))</f>
        <v/>
      </c>
      <c r="C563" s="24" t="str">
        <f aca="false">IF($A563="","",INDEX(Workers!$E$5:$E$2004,MATCH($A563,Workers!$A$5:$A$2004,0)))</f>
        <v/>
      </c>
      <c r="D563" s="24" t="str">
        <f aca="false">IF($A563="","",INDEX(Workers!$K$5:$K$2004,MATCH($A563,Workers!$A$5:$A$2004,0)))</f>
        <v/>
      </c>
      <c r="E563" s="25" t="str">
        <f aca="false">IF($A563="","",SUMIFS(Timesheet!$E$5:$E$3004,Timesheet!$D$5:$D$3004,$A563,Timesheet!$A$5:$A$3004,"&gt;="&amp;Settings!$B$8,Timesheet!$A$5:$A$3004,"&lt;="&amp;Settings!$B$9))</f>
        <v/>
      </c>
      <c r="F563" s="25" t="str">
        <f aca="false">IF($A563="","",SUMIFS(Timesheet!$F$5:$F$3004,Timesheet!$D$5:$D$3004,$A563,Timesheet!$A$5:$A$3004,"&gt;="&amp;Settings!$B$8,Timesheet!$A$5:$A$3004,"&lt;="&amp;Settings!$B$9))</f>
        <v/>
      </c>
      <c r="G563" s="25" t="str">
        <f aca="false">IF($A563="","",SUMIFS(Timesheet!$G$5:$G$3004,Timesheet!$D$5:$D$3004,$A563,Timesheet!$A$5:$A$3004,"&gt;="&amp;Settings!$B$8,Timesheet!$A$5:$A$3004,"&lt;="&amp;Settings!$B$9))</f>
        <v/>
      </c>
      <c r="H563" s="25" t="str">
        <f aca="false">IF($A563="","",IF(D563="Monthly",MAX(0,Settings!$B$11-E563),0))</f>
        <v/>
      </c>
      <c r="I563" s="26" t="str">
        <f aca="false">IF($A563="","",N(INDEX(Workers!$L$5:$L$2004,MATCH($A563,Workers!$A$5:$A$2004,0))))</f>
        <v/>
      </c>
      <c r="J563" s="26" t="str">
        <f aca="false">IF($A563="","",N(INDEX(Workers!$M$5:$M$2004,MATCH($A563,Workers!$A$5:$A$2004,0))))</f>
        <v/>
      </c>
      <c r="K563" s="26" t="str">
        <f aca="false">IF($A563="","",IF(D563="Monthly",ROUND(MAX(0,(I563+J563)-(I563+J563)/Settings!$B$10*H563),2),0))</f>
        <v/>
      </c>
      <c r="L563" s="26" t="str">
        <f aca="false">IF($A563="","",IF(D563="Hourly",ROUND(F563*N(INDEX(Workers!$N$5:$N$2004,MATCH($A563,Workers!$A$5:$A$2004,0))),2),0))</f>
        <v/>
      </c>
      <c r="M563" s="26" t="str">
        <f aca="false">IF($A563="","",ROUND(G563*IF(D563="Hourly",N(INDEX(Workers!$N$5:$N$2004,MATCH($A563,Workers!$A$5:$A$2004,0))),I563/Settings!$B$10/Settings!$B$12)*Settings!$B$13,2))</f>
        <v/>
      </c>
      <c r="N563" s="26" t="str">
        <f aca="false">IF($A563="","",K563+L563+M563)</f>
        <v/>
      </c>
      <c r="O563" s="26" t="str">
        <f aca="false">IF($A563="","",SUMIFS(Deductions!$D$5:$D$2000,Deductions!$B$5:$B$2000,$A563,Deductions!$C$5:$C$2000,"Advance",Deductions!$E$5:$E$2000,"&gt;="&amp;Settings!$B$8,Deductions!$E$5:$E$2000,"&lt;="&amp;Settings!$B$9))</f>
        <v/>
      </c>
      <c r="P563" s="26" t="str">
        <f aca="false">IF($A563="","",SUMIFS(Deductions!$D$5:$D$2000,Deductions!$B$5:$B$2000,$A563,Deductions!$E$5:$E$2000,"&gt;="&amp;Settings!$B$8,Deductions!$E$5:$E$2000,"&lt;="&amp;Settings!$B$9)-O563)</f>
        <v/>
      </c>
      <c r="Q563" s="26" t="str">
        <f aca="false">IF($A563="","",O563+P563)</f>
        <v/>
      </c>
      <c r="R563" s="23" t="str">
        <f aca="false">IF($A563="","",N563-Q563)</f>
        <v/>
      </c>
      <c r="S563" s="24" t="str">
        <f aca="false">IF($A563="","",INDEX(Workers!$O$5:$O$2004,MATCH($A563,Workers!$A$5:$A$2004,0))&amp;"")</f>
        <v/>
      </c>
      <c r="T563" s="24" t="str">
        <f aca="false">IF($A563="","",INDEX(Workers!$P$5:$P$2004,MATCH($A563,Workers!$A$5:$A$2004,0))&amp;"")</f>
        <v/>
      </c>
      <c r="U563" s="24" t="str">
        <f aca="false">IF($A563="","",INDEX(Workers!$H$5:$H$2004,MATCH($A563,Workers!$A$5:$A$2004,0))&amp;"")</f>
        <v/>
      </c>
    </row>
    <row r="564" customFormat="false" ht="15" hidden="false" customHeight="false" outlineLevel="0" collapsed="false">
      <c r="A564" s="24" t="str">
        <f aca="false">IFERROR(INDEX(Workers!$A$5:$A$2004,MATCH(ROW()-4,Workers!$U$5:$U$2004,0)),"")</f>
        <v/>
      </c>
      <c r="B564" s="24" t="str">
        <f aca="false">IF($A564="","",INDEX(Workers!$B$5:$B$2004,MATCH($A564,Workers!$A$5:$A$2004,0)))</f>
        <v/>
      </c>
      <c r="C564" s="24" t="str">
        <f aca="false">IF($A564="","",INDEX(Workers!$E$5:$E$2004,MATCH($A564,Workers!$A$5:$A$2004,0)))</f>
        <v/>
      </c>
      <c r="D564" s="24" t="str">
        <f aca="false">IF($A564="","",INDEX(Workers!$K$5:$K$2004,MATCH($A564,Workers!$A$5:$A$2004,0)))</f>
        <v/>
      </c>
      <c r="E564" s="25" t="str">
        <f aca="false">IF($A564="","",SUMIFS(Timesheet!$E$5:$E$3004,Timesheet!$D$5:$D$3004,$A564,Timesheet!$A$5:$A$3004,"&gt;="&amp;Settings!$B$8,Timesheet!$A$5:$A$3004,"&lt;="&amp;Settings!$B$9))</f>
        <v/>
      </c>
      <c r="F564" s="25" t="str">
        <f aca="false">IF($A564="","",SUMIFS(Timesheet!$F$5:$F$3004,Timesheet!$D$5:$D$3004,$A564,Timesheet!$A$5:$A$3004,"&gt;="&amp;Settings!$B$8,Timesheet!$A$5:$A$3004,"&lt;="&amp;Settings!$B$9))</f>
        <v/>
      </c>
      <c r="G564" s="25" t="str">
        <f aca="false">IF($A564="","",SUMIFS(Timesheet!$G$5:$G$3004,Timesheet!$D$5:$D$3004,$A564,Timesheet!$A$5:$A$3004,"&gt;="&amp;Settings!$B$8,Timesheet!$A$5:$A$3004,"&lt;="&amp;Settings!$B$9))</f>
        <v/>
      </c>
      <c r="H564" s="25" t="str">
        <f aca="false">IF($A564="","",IF(D564="Monthly",MAX(0,Settings!$B$11-E564),0))</f>
        <v/>
      </c>
      <c r="I564" s="26" t="str">
        <f aca="false">IF($A564="","",N(INDEX(Workers!$L$5:$L$2004,MATCH($A564,Workers!$A$5:$A$2004,0))))</f>
        <v/>
      </c>
      <c r="J564" s="26" t="str">
        <f aca="false">IF($A564="","",N(INDEX(Workers!$M$5:$M$2004,MATCH($A564,Workers!$A$5:$A$2004,0))))</f>
        <v/>
      </c>
      <c r="K564" s="26" t="str">
        <f aca="false">IF($A564="","",IF(D564="Monthly",ROUND(MAX(0,(I564+J564)-(I564+J564)/Settings!$B$10*H564),2),0))</f>
        <v/>
      </c>
      <c r="L564" s="26" t="str">
        <f aca="false">IF($A564="","",IF(D564="Hourly",ROUND(F564*N(INDEX(Workers!$N$5:$N$2004,MATCH($A564,Workers!$A$5:$A$2004,0))),2),0))</f>
        <v/>
      </c>
      <c r="M564" s="26" t="str">
        <f aca="false">IF($A564="","",ROUND(G564*IF(D564="Hourly",N(INDEX(Workers!$N$5:$N$2004,MATCH($A564,Workers!$A$5:$A$2004,0))),I564/Settings!$B$10/Settings!$B$12)*Settings!$B$13,2))</f>
        <v/>
      </c>
      <c r="N564" s="26" t="str">
        <f aca="false">IF($A564="","",K564+L564+M564)</f>
        <v/>
      </c>
      <c r="O564" s="26" t="str">
        <f aca="false">IF($A564="","",SUMIFS(Deductions!$D$5:$D$2000,Deductions!$B$5:$B$2000,$A564,Deductions!$C$5:$C$2000,"Advance",Deductions!$E$5:$E$2000,"&gt;="&amp;Settings!$B$8,Deductions!$E$5:$E$2000,"&lt;="&amp;Settings!$B$9))</f>
        <v/>
      </c>
      <c r="P564" s="26" t="str">
        <f aca="false">IF($A564="","",SUMIFS(Deductions!$D$5:$D$2000,Deductions!$B$5:$B$2000,$A564,Deductions!$E$5:$E$2000,"&gt;="&amp;Settings!$B$8,Deductions!$E$5:$E$2000,"&lt;="&amp;Settings!$B$9)-O564)</f>
        <v/>
      </c>
      <c r="Q564" s="26" t="str">
        <f aca="false">IF($A564="","",O564+P564)</f>
        <v/>
      </c>
      <c r="R564" s="23" t="str">
        <f aca="false">IF($A564="","",N564-Q564)</f>
        <v/>
      </c>
      <c r="S564" s="24" t="str">
        <f aca="false">IF($A564="","",INDEX(Workers!$O$5:$O$2004,MATCH($A564,Workers!$A$5:$A$2004,0))&amp;"")</f>
        <v/>
      </c>
      <c r="T564" s="24" t="str">
        <f aca="false">IF($A564="","",INDEX(Workers!$P$5:$P$2004,MATCH($A564,Workers!$A$5:$A$2004,0))&amp;"")</f>
        <v/>
      </c>
      <c r="U564" s="24" t="str">
        <f aca="false">IF($A564="","",INDEX(Workers!$H$5:$H$2004,MATCH($A564,Workers!$A$5:$A$2004,0))&amp;"")</f>
        <v/>
      </c>
    </row>
    <row r="565" customFormat="false" ht="15" hidden="false" customHeight="false" outlineLevel="0" collapsed="false">
      <c r="A565" s="24" t="str">
        <f aca="false">IFERROR(INDEX(Workers!$A$5:$A$2004,MATCH(ROW()-4,Workers!$U$5:$U$2004,0)),"")</f>
        <v/>
      </c>
      <c r="B565" s="24" t="str">
        <f aca="false">IF($A565="","",INDEX(Workers!$B$5:$B$2004,MATCH($A565,Workers!$A$5:$A$2004,0)))</f>
        <v/>
      </c>
      <c r="C565" s="24" t="str">
        <f aca="false">IF($A565="","",INDEX(Workers!$E$5:$E$2004,MATCH($A565,Workers!$A$5:$A$2004,0)))</f>
        <v/>
      </c>
      <c r="D565" s="24" t="str">
        <f aca="false">IF($A565="","",INDEX(Workers!$K$5:$K$2004,MATCH($A565,Workers!$A$5:$A$2004,0)))</f>
        <v/>
      </c>
      <c r="E565" s="25" t="str">
        <f aca="false">IF($A565="","",SUMIFS(Timesheet!$E$5:$E$3004,Timesheet!$D$5:$D$3004,$A565,Timesheet!$A$5:$A$3004,"&gt;="&amp;Settings!$B$8,Timesheet!$A$5:$A$3004,"&lt;="&amp;Settings!$B$9))</f>
        <v/>
      </c>
      <c r="F565" s="25" t="str">
        <f aca="false">IF($A565="","",SUMIFS(Timesheet!$F$5:$F$3004,Timesheet!$D$5:$D$3004,$A565,Timesheet!$A$5:$A$3004,"&gt;="&amp;Settings!$B$8,Timesheet!$A$5:$A$3004,"&lt;="&amp;Settings!$B$9))</f>
        <v/>
      </c>
      <c r="G565" s="25" t="str">
        <f aca="false">IF($A565="","",SUMIFS(Timesheet!$G$5:$G$3004,Timesheet!$D$5:$D$3004,$A565,Timesheet!$A$5:$A$3004,"&gt;="&amp;Settings!$B$8,Timesheet!$A$5:$A$3004,"&lt;="&amp;Settings!$B$9))</f>
        <v/>
      </c>
      <c r="H565" s="25" t="str">
        <f aca="false">IF($A565="","",IF(D565="Monthly",MAX(0,Settings!$B$11-E565),0))</f>
        <v/>
      </c>
      <c r="I565" s="26" t="str">
        <f aca="false">IF($A565="","",N(INDEX(Workers!$L$5:$L$2004,MATCH($A565,Workers!$A$5:$A$2004,0))))</f>
        <v/>
      </c>
      <c r="J565" s="26" t="str">
        <f aca="false">IF($A565="","",N(INDEX(Workers!$M$5:$M$2004,MATCH($A565,Workers!$A$5:$A$2004,0))))</f>
        <v/>
      </c>
      <c r="K565" s="26" t="str">
        <f aca="false">IF($A565="","",IF(D565="Monthly",ROUND(MAX(0,(I565+J565)-(I565+J565)/Settings!$B$10*H565),2),0))</f>
        <v/>
      </c>
      <c r="L565" s="26" t="str">
        <f aca="false">IF($A565="","",IF(D565="Hourly",ROUND(F565*N(INDEX(Workers!$N$5:$N$2004,MATCH($A565,Workers!$A$5:$A$2004,0))),2),0))</f>
        <v/>
      </c>
      <c r="M565" s="26" t="str">
        <f aca="false">IF($A565="","",ROUND(G565*IF(D565="Hourly",N(INDEX(Workers!$N$5:$N$2004,MATCH($A565,Workers!$A$5:$A$2004,0))),I565/Settings!$B$10/Settings!$B$12)*Settings!$B$13,2))</f>
        <v/>
      </c>
      <c r="N565" s="26" t="str">
        <f aca="false">IF($A565="","",K565+L565+M565)</f>
        <v/>
      </c>
      <c r="O565" s="26" t="str">
        <f aca="false">IF($A565="","",SUMIFS(Deductions!$D$5:$D$2000,Deductions!$B$5:$B$2000,$A565,Deductions!$C$5:$C$2000,"Advance",Deductions!$E$5:$E$2000,"&gt;="&amp;Settings!$B$8,Deductions!$E$5:$E$2000,"&lt;="&amp;Settings!$B$9))</f>
        <v/>
      </c>
      <c r="P565" s="26" t="str">
        <f aca="false">IF($A565="","",SUMIFS(Deductions!$D$5:$D$2000,Deductions!$B$5:$B$2000,$A565,Deductions!$E$5:$E$2000,"&gt;="&amp;Settings!$B$8,Deductions!$E$5:$E$2000,"&lt;="&amp;Settings!$B$9)-O565)</f>
        <v/>
      </c>
      <c r="Q565" s="26" t="str">
        <f aca="false">IF($A565="","",O565+P565)</f>
        <v/>
      </c>
      <c r="R565" s="23" t="str">
        <f aca="false">IF($A565="","",N565-Q565)</f>
        <v/>
      </c>
      <c r="S565" s="24" t="str">
        <f aca="false">IF($A565="","",INDEX(Workers!$O$5:$O$2004,MATCH($A565,Workers!$A$5:$A$2004,0))&amp;"")</f>
        <v/>
      </c>
      <c r="T565" s="24" t="str">
        <f aca="false">IF($A565="","",INDEX(Workers!$P$5:$P$2004,MATCH($A565,Workers!$A$5:$A$2004,0))&amp;"")</f>
        <v/>
      </c>
      <c r="U565" s="24" t="str">
        <f aca="false">IF($A565="","",INDEX(Workers!$H$5:$H$2004,MATCH($A565,Workers!$A$5:$A$2004,0))&amp;"")</f>
        <v/>
      </c>
    </row>
    <row r="566" customFormat="false" ht="15" hidden="false" customHeight="false" outlineLevel="0" collapsed="false">
      <c r="A566" s="24" t="str">
        <f aca="false">IFERROR(INDEX(Workers!$A$5:$A$2004,MATCH(ROW()-4,Workers!$U$5:$U$2004,0)),"")</f>
        <v/>
      </c>
      <c r="B566" s="24" t="str">
        <f aca="false">IF($A566="","",INDEX(Workers!$B$5:$B$2004,MATCH($A566,Workers!$A$5:$A$2004,0)))</f>
        <v/>
      </c>
      <c r="C566" s="24" t="str">
        <f aca="false">IF($A566="","",INDEX(Workers!$E$5:$E$2004,MATCH($A566,Workers!$A$5:$A$2004,0)))</f>
        <v/>
      </c>
      <c r="D566" s="24" t="str">
        <f aca="false">IF($A566="","",INDEX(Workers!$K$5:$K$2004,MATCH($A566,Workers!$A$5:$A$2004,0)))</f>
        <v/>
      </c>
      <c r="E566" s="25" t="str">
        <f aca="false">IF($A566="","",SUMIFS(Timesheet!$E$5:$E$3004,Timesheet!$D$5:$D$3004,$A566,Timesheet!$A$5:$A$3004,"&gt;="&amp;Settings!$B$8,Timesheet!$A$5:$A$3004,"&lt;="&amp;Settings!$B$9))</f>
        <v/>
      </c>
      <c r="F566" s="25" t="str">
        <f aca="false">IF($A566="","",SUMIFS(Timesheet!$F$5:$F$3004,Timesheet!$D$5:$D$3004,$A566,Timesheet!$A$5:$A$3004,"&gt;="&amp;Settings!$B$8,Timesheet!$A$5:$A$3004,"&lt;="&amp;Settings!$B$9))</f>
        <v/>
      </c>
      <c r="G566" s="25" t="str">
        <f aca="false">IF($A566="","",SUMIFS(Timesheet!$G$5:$G$3004,Timesheet!$D$5:$D$3004,$A566,Timesheet!$A$5:$A$3004,"&gt;="&amp;Settings!$B$8,Timesheet!$A$5:$A$3004,"&lt;="&amp;Settings!$B$9))</f>
        <v/>
      </c>
      <c r="H566" s="25" t="str">
        <f aca="false">IF($A566="","",IF(D566="Monthly",MAX(0,Settings!$B$11-E566),0))</f>
        <v/>
      </c>
      <c r="I566" s="26" t="str">
        <f aca="false">IF($A566="","",N(INDEX(Workers!$L$5:$L$2004,MATCH($A566,Workers!$A$5:$A$2004,0))))</f>
        <v/>
      </c>
      <c r="J566" s="26" t="str">
        <f aca="false">IF($A566="","",N(INDEX(Workers!$M$5:$M$2004,MATCH($A566,Workers!$A$5:$A$2004,0))))</f>
        <v/>
      </c>
      <c r="K566" s="26" t="str">
        <f aca="false">IF($A566="","",IF(D566="Monthly",ROUND(MAX(0,(I566+J566)-(I566+J566)/Settings!$B$10*H566),2),0))</f>
        <v/>
      </c>
      <c r="L566" s="26" t="str">
        <f aca="false">IF($A566="","",IF(D566="Hourly",ROUND(F566*N(INDEX(Workers!$N$5:$N$2004,MATCH($A566,Workers!$A$5:$A$2004,0))),2),0))</f>
        <v/>
      </c>
      <c r="M566" s="26" t="str">
        <f aca="false">IF($A566="","",ROUND(G566*IF(D566="Hourly",N(INDEX(Workers!$N$5:$N$2004,MATCH($A566,Workers!$A$5:$A$2004,0))),I566/Settings!$B$10/Settings!$B$12)*Settings!$B$13,2))</f>
        <v/>
      </c>
      <c r="N566" s="26" t="str">
        <f aca="false">IF($A566="","",K566+L566+M566)</f>
        <v/>
      </c>
      <c r="O566" s="26" t="str">
        <f aca="false">IF($A566="","",SUMIFS(Deductions!$D$5:$D$2000,Deductions!$B$5:$B$2000,$A566,Deductions!$C$5:$C$2000,"Advance",Deductions!$E$5:$E$2000,"&gt;="&amp;Settings!$B$8,Deductions!$E$5:$E$2000,"&lt;="&amp;Settings!$B$9))</f>
        <v/>
      </c>
      <c r="P566" s="26" t="str">
        <f aca="false">IF($A566="","",SUMIFS(Deductions!$D$5:$D$2000,Deductions!$B$5:$B$2000,$A566,Deductions!$E$5:$E$2000,"&gt;="&amp;Settings!$B$8,Deductions!$E$5:$E$2000,"&lt;="&amp;Settings!$B$9)-O566)</f>
        <v/>
      </c>
      <c r="Q566" s="26" t="str">
        <f aca="false">IF($A566="","",O566+P566)</f>
        <v/>
      </c>
      <c r="R566" s="23" t="str">
        <f aca="false">IF($A566="","",N566-Q566)</f>
        <v/>
      </c>
      <c r="S566" s="24" t="str">
        <f aca="false">IF($A566="","",INDEX(Workers!$O$5:$O$2004,MATCH($A566,Workers!$A$5:$A$2004,0))&amp;"")</f>
        <v/>
      </c>
      <c r="T566" s="24" t="str">
        <f aca="false">IF($A566="","",INDEX(Workers!$P$5:$P$2004,MATCH($A566,Workers!$A$5:$A$2004,0))&amp;"")</f>
        <v/>
      </c>
      <c r="U566" s="24" t="str">
        <f aca="false">IF($A566="","",INDEX(Workers!$H$5:$H$2004,MATCH($A566,Workers!$A$5:$A$2004,0))&amp;"")</f>
        <v/>
      </c>
    </row>
    <row r="567" customFormat="false" ht="15" hidden="false" customHeight="false" outlineLevel="0" collapsed="false">
      <c r="A567" s="24" t="str">
        <f aca="false">IFERROR(INDEX(Workers!$A$5:$A$2004,MATCH(ROW()-4,Workers!$U$5:$U$2004,0)),"")</f>
        <v/>
      </c>
      <c r="B567" s="24" t="str">
        <f aca="false">IF($A567="","",INDEX(Workers!$B$5:$B$2004,MATCH($A567,Workers!$A$5:$A$2004,0)))</f>
        <v/>
      </c>
      <c r="C567" s="24" t="str">
        <f aca="false">IF($A567="","",INDEX(Workers!$E$5:$E$2004,MATCH($A567,Workers!$A$5:$A$2004,0)))</f>
        <v/>
      </c>
      <c r="D567" s="24" t="str">
        <f aca="false">IF($A567="","",INDEX(Workers!$K$5:$K$2004,MATCH($A567,Workers!$A$5:$A$2004,0)))</f>
        <v/>
      </c>
      <c r="E567" s="25" t="str">
        <f aca="false">IF($A567="","",SUMIFS(Timesheet!$E$5:$E$3004,Timesheet!$D$5:$D$3004,$A567,Timesheet!$A$5:$A$3004,"&gt;="&amp;Settings!$B$8,Timesheet!$A$5:$A$3004,"&lt;="&amp;Settings!$B$9))</f>
        <v/>
      </c>
      <c r="F567" s="25" t="str">
        <f aca="false">IF($A567="","",SUMIFS(Timesheet!$F$5:$F$3004,Timesheet!$D$5:$D$3004,$A567,Timesheet!$A$5:$A$3004,"&gt;="&amp;Settings!$B$8,Timesheet!$A$5:$A$3004,"&lt;="&amp;Settings!$B$9))</f>
        <v/>
      </c>
      <c r="G567" s="25" t="str">
        <f aca="false">IF($A567="","",SUMIFS(Timesheet!$G$5:$G$3004,Timesheet!$D$5:$D$3004,$A567,Timesheet!$A$5:$A$3004,"&gt;="&amp;Settings!$B$8,Timesheet!$A$5:$A$3004,"&lt;="&amp;Settings!$B$9))</f>
        <v/>
      </c>
      <c r="H567" s="25" t="str">
        <f aca="false">IF($A567="","",IF(D567="Monthly",MAX(0,Settings!$B$11-E567),0))</f>
        <v/>
      </c>
      <c r="I567" s="26" t="str">
        <f aca="false">IF($A567="","",N(INDEX(Workers!$L$5:$L$2004,MATCH($A567,Workers!$A$5:$A$2004,0))))</f>
        <v/>
      </c>
      <c r="J567" s="26" t="str">
        <f aca="false">IF($A567="","",N(INDEX(Workers!$M$5:$M$2004,MATCH($A567,Workers!$A$5:$A$2004,0))))</f>
        <v/>
      </c>
      <c r="K567" s="26" t="str">
        <f aca="false">IF($A567="","",IF(D567="Monthly",ROUND(MAX(0,(I567+J567)-(I567+J567)/Settings!$B$10*H567),2),0))</f>
        <v/>
      </c>
      <c r="L567" s="26" t="str">
        <f aca="false">IF($A567="","",IF(D567="Hourly",ROUND(F567*N(INDEX(Workers!$N$5:$N$2004,MATCH($A567,Workers!$A$5:$A$2004,0))),2),0))</f>
        <v/>
      </c>
      <c r="M567" s="26" t="str">
        <f aca="false">IF($A567="","",ROUND(G567*IF(D567="Hourly",N(INDEX(Workers!$N$5:$N$2004,MATCH($A567,Workers!$A$5:$A$2004,0))),I567/Settings!$B$10/Settings!$B$12)*Settings!$B$13,2))</f>
        <v/>
      </c>
      <c r="N567" s="26" t="str">
        <f aca="false">IF($A567="","",K567+L567+M567)</f>
        <v/>
      </c>
      <c r="O567" s="26" t="str">
        <f aca="false">IF($A567="","",SUMIFS(Deductions!$D$5:$D$2000,Deductions!$B$5:$B$2000,$A567,Deductions!$C$5:$C$2000,"Advance",Deductions!$E$5:$E$2000,"&gt;="&amp;Settings!$B$8,Deductions!$E$5:$E$2000,"&lt;="&amp;Settings!$B$9))</f>
        <v/>
      </c>
      <c r="P567" s="26" t="str">
        <f aca="false">IF($A567="","",SUMIFS(Deductions!$D$5:$D$2000,Deductions!$B$5:$B$2000,$A567,Deductions!$E$5:$E$2000,"&gt;="&amp;Settings!$B$8,Deductions!$E$5:$E$2000,"&lt;="&amp;Settings!$B$9)-O567)</f>
        <v/>
      </c>
      <c r="Q567" s="26" t="str">
        <f aca="false">IF($A567="","",O567+P567)</f>
        <v/>
      </c>
      <c r="R567" s="23" t="str">
        <f aca="false">IF($A567="","",N567-Q567)</f>
        <v/>
      </c>
      <c r="S567" s="24" t="str">
        <f aca="false">IF($A567="","",INDEX(Workers!$O$5:$O$2004,MATCH($A567,Workers!$A$5:$A$2004,0))&amp;"")</f>
        <v/>
      </c>
      <c r="T567" s="24" t="str">
        <f aca="false">IF($A567="","",INDEX(Workers!$P$5:$P$2004,MATCH($A567,Workers!$A$5:$A$2004,0))&amp;"")</f>
        <v/>
      </c>
      <c r="U567" s="24" t="str">
        <f aca="false">IF($A567="","",INDEX(Workers!$H$5:$H$2004,MATCH($A567,Workers!$A$5:$A$2004,0))&amp;"")</f>
        <v/>
      </c>
    </row>
    <row r="568" customFormat="false" ht="15" hidden="false" customHeight="false" outlineLevel="0" collapsed="false">
      <c r="A568" s="24" t="str">
        <f aca="false">IFERROR(INDEX(Workers!$A$5:$A$2004,MATCH(ROW()-4,Workers!$U$5:$U$2004,0)),"")</f>
        <v/>
      </c>
      <c r="B568" s="24" t="str">
        <f aca="false">IF($A568="","",INDEX(Workers!$B$5:$B$2004,MATCH($A568,Workers!$A$5:$A$2004,0)))</f>
        <v/>
      </c>
      <c r="C568" s="24" t="str">
        <f aca="false">IF($A568="","",INDEX(Workers!$E$5:$E$2004,MATCH($A568,Workers!$A$5:$A$2004,0)))</f>
        <v/>
      </c>
      <c r="D568" s="24" t="str">
        <f aca="false">IF($A568="","",INDEX(Workers!$K$5:$K$2004,MATCH($A568,Workers!$A$5:$A$2004,0)))</f>
        <v/>
      </c>
      <c r="E568" s="25" t="str">
        <f aca="false">IF($A568="","",SUMIFS(Timesheet!$E$5:$E$3004,Timesheet!$D$5:$D$3004,$A568,Timesheet!$A$5:$A$3004,"&gt;="&amp;Settings!$B$8,Timesheet!$A$5:$A$3004,"&lt;="&amp;Settings!$B$9))</f>
        <v/>
      </c>
      <c r="F568" s="25" t="str">
        <f aca="false">IF($A568="","",SUMIFS(Timesheet!$F$5:$F$3004,Timesheet!$D$5:$D$3004,$A568,Timesheet!$A$5:$A$3004,"&gt;="&amp;Settings!$B$8,Timesheet!$A$5:$A$3004,"&lt;="&amp;Settings!$B$9))</f>
        <v/>
      </c>
      <c r="G568" s="25" t="str">
        <f aca="false">IF($A568="","",SUMIFS(Timesheet!$G$5:$G$3004,Timesheet!$D$5:$D$3004,$A568,Timesheet!$A$5:$A$3004,"&gt;="&amp;Settings!$B$8,Timesheet!$A$5:$A$3004,"&lt;="&amp;Settings!$B$9))</f>
        <v/>
      </c>
      <c r="H568" s="25" t="str">
        <f aca="false">IF($A568="","",IF(D568="Monthly",MAX(0,Settings!$B$11-E568),0))</f>
        <v/>
      </c>
      <c r="I568" s="26" t="str">
        <f aca="false">IF($A568="","",N(INDEX(Workers!$L$5:$L$2004,MATCH($A568,Workers!$A$5:$A$2004,0))))</f>
        <v/>
      </c>
      <c r="J568" s="26" t="str">
        <f aca="false">IF($A568="","",N(INDEX(Workers!$M$5:$M$2004,MATCH($A568,Workers!$A$5:$A$2004,0))))</f>
        <v/>
      </c>
      <c r="K568" s="26" t="str">
        <f aca="false">IF($A568="","",IF(D568="Monthly",ROUND(MAX(0,(I568+J568)-(I568+J568)/Settings!$B$10*H568),2),0))</f>
        <v/>
      </c>
      <c r="L568" s="26" t="str">
        <f aca="false">IF($A568="","",IF(D568="Hourly",ROUND(F568*N(INDEX(Workers!$N$5:$N$2004,MATCH($A568,Workers!$A$5:$A$2004,0))),2),0))</f>
        <v/>
      </c>
      <c r="M568" s="26" t="str">
        <f aca="false">IF($A568="","",ROUND(G568*IF(D568="Hourly",N(INDEX(Workers!$N$5:$N$2004,MATCH($A568,Workers!$A$5:$A$2004,0))),I568/Settings!$B$10/Settings!$B$12)*Settings!$B$13,2))</f>
        <v/>
      </c>
      <c r="N568" s="26" t="str">
        <f aca="false">IF($A568="","",K568+L568+M568)</f>
        <v/>
      </c>
      <c r="O568" s="26" t="str">
        <f aca="false">IF($A568="","",SUMIFS(Deductions!$D$5:$D$2000,Deductions!$B$5:$B$2000,$A568,Deductions!$C$5:$C$2000,"Advance",Deductions!$E$5:$E$2000,"&gt;="&amp;Settings!$B$8,Deductions!$E$5:$E$2000,"&lt;="&amp;Settings!$B$9))</f>
        <v/>
      </c>
      <c r="P568" s="26" t="str">
        <f aca="false">IF($A568="","",SUMIFS(Deductions!$D$5:$D$2000,Deductions!$B$5:$B$2000,$A568,Deductions!$E$5:$E$2000,"&gt;="&amp;Settings!$B$8,Deductions!$E$5:$E$2000,"&lt;="&amp;Settings!$B$9)-O568)</f>
        <v/>
      </c>
      <c r="Q568" s="26" t="str">
        <f aca="false">IF($A568="","",O568+P568)</f>
        <v/>
      </c>
      <c r="R568" s="23" t="str">
        <f aca="false">IF($A568="","",N568-Q568)</f>
        <v/>
      </c>
      <c r="S568" s="24" t="str">
        <f aca="false">IF($A568="","",INDEX(Workers!$O$5:$O$2004,MATCH($A568,Workers!$A$5:$A$2004,0))&amp;"")</f>
        <v/>
      </c>
      <c r="T568" s="24" t="str">
        <f aca="false">IF($A568="","",INDEX(Workers!$P$5:$P$2004,MATCH($A568,Workers!$A$5:$A$2004,0))&amp;"")</f>
        <v/>
      </c>
      <c r="U568" s="24" t="str">
        <f aca="false">IF($A568="","",INDEX(Workers!$H$5:$H$2004,MATCH($A568,Workers!$A$5:$A$2004,0))&amp;"")</f>
        <v/>
      </c>
    </row>
    <row r="569" customFormat="false" ht="15" hidden="false" customHeight="false" outlineLevel="0" collapsed="false">
      <c r="A569" s="24" t="str">
        <f aca="false">IFERROR(INDEX(Workers!$A$5:$A$2004,MATCH(ROW()-4,Workers!$U$5:$U$2004,0)),"")</f>
        <v/>
      </c>
      <c r="B569" s="24" t="str">
        <f aca="false">IF($A569="","",INDEX(Workers!$B$5:$B$2004,MATCH($A569,Workers!$A$5:$A$2004,0)))</f>
        <v/>
      </c>
      <c r="C569" s="24" t="str">
        <f aca="false">IF($A569="","",INDEX(Workers!$E$5:$E$2004,MATCH($A569,Workers!$A$5:$A$2004,0)))</f>
        <v/>
      </c>
      <c r="D569" s="24" t="str">
        <f aca="false">IF($A569="","",INDEX(Workers!$K$5:$K$2004,MATCH($A569,Workers!$A$5:$A$2004,0)))</f>
        <v/>
      </c>
      <c r="E569" s="25" t="str">
        <f aca="false">IF($A569="","",SUMIFS(Timesheet!$E$5:$E$3004,Timesheet!$D$5:$D$3004,$A569,Timesheet!$A$5:$A$3004,"&gt;="&amp;Settings!$B$8,Timesheet!$A$5:$A$3004,"&lt;="&amp;Settings!$B$9))</f>
        <v/>
      </c>
      <c r="F569" s="25" t="str">
        <f aca="false">IF($A569="","",SUMIFS(Timesheet!$F$5:$F$3004,Timesheet!$D$5:$D$3004,$A569,Timesheet!$A$5:$A$3004,"&gt;="&amp;Settings!$B$8,Timesheet!$A$5:$A$3004,"&lt;="&amp;Settings!$B$9))</f>
        <v/>
      </c>
      <c r="G569" s="25" t="str">
        <f aca="false">IF($A569="","",SUMIFS(Timesheet!$G$5:$G$3004,Timesheet!$D$5:$D$3004,$A569,Timesheet!$A$5:$A$3004,"&gt;="&amp;Settings!$B$8,Timesheet!$A$5:$A$3004,"&lt;="&amp;Settings!$B$9))</f>
        <v/>
      </c>
      <c r="H569" s="25" t="str">
        <f aca="false">IF($A569="","",IF(D569="Monthly",MAX(0,Settings!$B$11-E569),0))</f>
        <v/>
      </c>
      <c r="I569" s="26" t="str">
        <f aca="false">IF($A569="","",N(INDEX(Workers!$L$5:$L$2004,MATCH($A569,Workers!$A$5:$A$2004,0))))</f>
        <v/>
      </c>
      <c r="J569" s="26" t="str">
        <f aca="false">IF($A569="","",N(INDEX(Workers!$M$5:$M$2004,MATCH($A569,Workers!$A$5:$A$2004,0))))</f>
        <v/>
      </c>
      <c r="K569" s="26" t="str">
        <f aca="false">IF($A569="","",IF(D569="Monthly",ROUND(MAX(0,(I569+J569)-(I569+J569)/Settings!$B$10*H569),2),0))</f>
        <v/>
      </c>
      <c r="L569" s="26" t="str">
        <f aca="false">IF($A569="","",IF(D569="Hourly",ROUND(F569*N(INDEX(Workers!$N$5:$N$2004,MATCH($A569,Workers!$A$5:$A$2004,0))),2),0))</f>
        <v/>
      </c>
      <c r="M569" s="26" t="str">
        <f aca="false">IF($A569="","",ROUND(G569*IF(D569="Hourly",N(INDEX(Workers!$N$5:$N$2004,MATCH($A569,Workers!$A$5:$A$2004,0))),I569/Settings!$B$10/Settings!$B$12)*Settings!$B$13,2))</f>
        <v/>
      </c>
      <c r="N569" s="26" t="str">
        <f aca="false">IF($A569="","",K569+L569+M569)</f>
        <v/>
      </c>
      <c r="O569" s="26" t="str">
        <f aca="false">IF($A569="","",SUMIFS(Deductions!$D$5:$D$2000,Deductions!$B$5:$B$2000,$A569,Deductions!$C$5:$C$2000,"Advance",Deductions!$E$5:$E$2000,"&gt;="&amp;Settings!$B$8,Deductions!$E$5:$E$2000,"&lt;="&amp;Settings!$B$9))</f>
        <v/>
      </c>
      <c r="P569" s="26" t="str">
        <f aca="false">IF($A569="","",SUMIFS(Deductions!$D$5:$D$2000,Deductions!$B$5:$B$2000,$A569,Deductions!$E$5:$E$2000,"&gt;="&amp;Settings!$B$8,Deductions!$E$5:$E$2000,"&lt;="&amp;Settings!$B$9)-O569)</f>
        <v/>
      </c>
      <c r="Q569" s="26" t="str">
        <f aca="false">IF($A569="","",O569+P569)</f>
        <v/>
      </c>
      <c r="R569" s="23" t="str">
        <f aca="false">IF($A569="","",N569-Q569)</f>
        <v/>
      </c>
      <c r="S569" s="24" t="str">
        <f aca="false">IF($A569="","",INDEX(Workers!$O$5:$O$2004,MATCH($A569,Workers!$A$5:$A$2004,0))&amp;"")</f>
        <v/>
      </c>
      <c r="T569" s="24" t="str">
        <f aca="false">IF($A569="","",INDEX(Workers!$P$5:$P$2004,MATCH($A569,Workers!$A$5:$A$2004,0))&amp;"")</f>
        <v/>
      </c>
      <c r="U569" s="24" t="str">
        <f aca="false">IF($A569="","",INDEX(Workers!$H$5:$H$2004,MATCH($A569,Workers!$A$5:$A$2004,0))&amp;"")</f>
        <v/>
      </c>
    </row>
    <row r="570" customFormat="false" ht="15" hidden="false" customHeight="false" outlineLevel="0" collapsed="false">
      <c r="A570" s="24" t="str">
        <f aca="false">IFERROR(INDEX(Workers!$A$5:$A$2004,MATCH(ROW()-4,Workers!$U$5:$U$2004,0)),"")</f>
        <v/>
      </c>
      <c r="B570" s="24" t="str">
        <f aca="false">IF($A570="","",INDEX(Workers!$B$5:$B$2004,MATCH($A570,Workers!$A$5:$A$2004,0)))</f>
        <v/>
      </c>
      <c r="C570" s="24" t="str">
        <f aca="false">IF($A570="","",INDEX(Workers!$E$5:$E$2004,MATCH($A570,Workers!$A$5:$A$2004,0)))</f>
        <v/>
      </c>
      <c r="D570" s="24" t="str">
        <f aca="false">IF($A570="","",INDEX(Workers!$K$5:$K$2004,MATCH($A570,Workers!$A$5:$A$2004,0)))</f>
        <v/>
      </c>
      <c r="E570" s="25" t="str">
        <f aca="false">IF($A570="","",SUMIFS(Timesheet!$E$5:$E$3004,Timesheet!$D$5:$D$3004,$A570,Timesheet!$A$5:$A$3004,"&gt;="&amp;Settings!$B$8,Timesheet!$A$5:$A$3004,"&lt;="&amp;Settings!$B$9))</f>
        <v/>
      </c>
      <c r="F570" s="25" t="str">
        <f aca="false">IF($A570="","",SUMIFS(Timesheet!$F$5:$F$3004,Timesheet!$D$5:$D$3004,$A570,Timesheet!$A$5:$A$3004,"&gt;="&amp;Settings!$B$8,Timesheet!$A$5:$A$3004,"&lt;="&amp;Settings!$B$9))</f>
        <v/>
      </c>
      <c r="G570" s="25" t="str">
        <f aca="false">IF($A570="","",SUMIFS(Timesheet!$G$5:$G$3004,Timesheet!$D$5:$D$3004,$A570,Timesheet!$A$5:$A$3004,"&gt;="&amp;Settings!$B$8,Timesheet!$A$5:$A$3004,"&lt;="&amp;Settings!$B$9))</f>
        <v/>
      </c>
      <c r="H570" s="25" t="str">
        <f aca="false">IF($A570="","",IF(D570="Monthly",MAX(0,Settings!$B$11-E570),0))</f>
        <v/>
      </c>
      <c r="I570" s="26" t="str">
        <f aca="false">IF($A570="","",N(INDEX(Workers!$L$5:$L$2004,MATCH($A570,Workers!$A$5:$A$2004,0))))</f>
        <v/>
      </c>
      <c r="J570" s="26" t="str">
        <f aca="false">IF($A570="","",N(INDEX(Workers!$M$5:$M$2004,MATCH($A570,Workers!$A$5:$A$2004,0))))</f>
        <v/>
      </c>
      <c r="K570" s="26" t="str">
        <f aca="false">IF($A570="","",IF(D570="Monthly",ROUND(MAX(0,(I570+J570)-(I570+J570)/Settings!$B$10*H570),2),0))</f>
        <v/>
      </c>
      <c r="L570" s="26" t="str">
        <f aca="false">IF($A570="","",IF(D570="Hourly",ROUND(F570*N(INDEX(Workers!$N$5:$N$2004,MATCH($A570,Workers!$A$5:$A$2004,0))),2),0))</f>
        <v/>
      </c>
      <c r="M570" s="26" t="str">
        <f aca="false">IF($A570="","",ROUND(G570*IF(D570="Hourly",N(INDEX(Workers!$N$5:$N$2004,MATCH($A570,Workers!$A$5:$A$2004,0))),I570/Settings!$B$10/Settings!$B$12)*Settings!$B$13,2))</f>
        <v/>
      </c>
      <c r="N570" s="26" t="str">
        <f aca="false">IF($A570="","",K570+L570+M570)</f>
        <v/>
      </c>
      <c r="O570" s="26" t="str">
        <f aca="false">IF($A570="","",SUMIFS(Deductions!$D$5:$D$2000,Deductions!$B$5:$B$2000,$A570,Deductions!$C$5:$C$2000,"Advance",Deductions!$E$5:$E$2000,"&gt;="&amp;Settings!$B$8,Deductions!$E$5:$E$2000,"&lt;="&amp;Settings!$B$9))</f>
        <v/>
      </c>
      <c r="P570" s="26" t="str">
        <f aca="false">IF($A570="","",SUMIFS(Deductions!$D$5:$D$2000,Deductions!$B$5:$B$2000,$A570,Deductions!$E$5:$E$2000,"&gt;="&amp;Settings!$B$8,Deductions!$E$5:$E$2000,"&lt;="&amp;Settings!$B$9)-O570)</f>
        <v/>
      </c>
      <c r="Q570" s="26" t="str">
        <f aca="false">IF($A570="","",O570+P570)</f>
        <v/>
      </c>
      <c r="R570" s="23" t="str">
        <f aca="false">IF($A570="","",N570-Q570)</f>
        <v/>
      </c>
      <c r="S570" s="24" t="str">
        <f aca="false">IF($A570="","",INDEX(Workers!$O$5:$O$2004,MATCH($A570,Workers!$A$5:$A$2004,0))&amp;"")</f>
        <v/>
      </c>
      <c r="T570" s="24" t="str">
        <f aca="false">IF($A570="","",INDEX(Workers!$P$5:$P$2004,MATCH($A570,Workers!$A$5:$A$2004,0))&amp;"")</f>
        <v/>
      </c>
      <c r="U570" s="24" t="str">
        <f aca="false">IF($A570="","",INDEX(Workers!$H$5:$H$2004,MATCH($A570,Workers!$A$5:$A$2004,0))&amp;"")</f>
        <v/>
      </c>
    </row>
    <row r="571" customFormat="false" ht="15" hidden="false" customHeight="false" outlineLevel="0" collapsed="false">
      <c r="A571" s="24" t="str">
        <f aca="false">IFERROR(INDEX(Workers!$A$5:$A$2004,MATCH(ROW()-4,Workers!$U$5:$U$2004,0)),"")</f>
        <v/>
      </c>
      <c r="B571" s="24" t="str">
        <f aca="false">IF($A571="","",INDEX(Workers!$B$5:$B$2004,MATCH($A571,Workers!$A$5:$A$2004,0)))</f>
        <v/>
      </c>
      <c r="C571" s="24" t="str">
        <f aca="false">IF($A571="","",INDEX(Workers!$E$5:$E$2004,MATCH($A571,Workers!$A$5:$A$2004,0)))</f>
        <v/>
      </c>
      <c r="D571" s="24" t="str">
        <f aca="false">IF($A571="","",INDEX(Workers!$K$5:$K$2004,MATCH($A571,Workers!$A$5:$A$2004,0)))</f>
        <v/>
      </c>
      <c r="E571" s="25" t="str">
        <f aca="false">IF($A571="","",SUMIFS(Timesheet!$E$5:$E$3004,Timesheet!$D$5:$D$3004,$A571,Timesheet!$A$5:$A$3004,"&gt;="&amp;Settings!$B$8,Timesheet!$A$5:$A$3004,"&lt;="&amp;Settings!$B$9))</f>
        <v/>
      </c>
      <c r="F571" s="25" t="str">
        <f aca="false">IF($A571="","",SUMIFS(Timesheet!$F$5:$F$3004,Timesheet!$D$5:$D$3004,$A571,Timesheet!$A$5:$A$3004,"&gt;="&amp;Settings!$B$8,Timesheet!$A$5:$A$3004,"&lt;="&amp;Settings!$B$9))</f>
        <v/>
      </c>
      <c r="G571" s="25" t="str">
        <f aca="false">IF($A571="","",SUMIFS(Timesheet!$G$5:$G$3004,Timesheet!$D$5:$D$3004,$A571,Timesheet!$A$5:$A$3004,"&gt;="&amp;Settings!$B$8,Timesheet!$A$5:$A$3004,"&lt;="&amp;Settings!$B$9))</f>
        <v/>
      </c>
      <c r="H571" s="25" t="str">
        <f aca="false">IF($A571="","",IF(D571="Monthly",MAX(0,Settings!$B$11-E571),0))</f>
        <v/>
      </c>
      <c r="I571" s="26" t="str">
        <f aca="false">IF($A571="","",N(INDEX(Workers!$L$5:$L$2004,MATCH($A571,Workers!$A$5:$A$2004,0))))</f>
        <v/>
      </c>
      <c r="J571" s="26" t="str">
        <f aca="false">IF($A571="","",N(INDEX(Workers!$M$5:$M$2004,MATCH($A571,Workers!$A$5:$A$2004,0))))</f>
        <v/>
      </c>
      <c r="K571" s="26" t="str">
        <f aca="false">IF($A571="","",IF(D571="Monthly",ROUND(MAX(0,(I571+J571)-(I571+J571)/Settings!$B$10*H571),2),0))</f>
        <v/>
      </c>
      <c r="L571" s="26" t="str">
        <f aca="false">IF($A571="","",IF(D571="Hourly",ROUND(F571*N(INDEX(Workers!$N$5:$N$2004,MATCH($A571,Workers!$A$5:$A$2004,0))),2),0))</f>
        <v/>
      </c>
      <c r="M571" s="26" t="str">
        <f aca="false">IF($A571="","",ROUND(G571*IF(D571="Hourly",N(INDEX(Workers!$N$5:$N$2004,MATCH($A571,Workers!$A$5:$A$2004,0))),I571/Settings!$B$10/Settings!$B$12)*Settings!$B$13,2))</f>
        <v/>
      </c>
      <c r="N571" s="26" t="str">
        <f aca="false">IF($A571="","",K571+L571+M571)</f>
        <v/>
      </c>
      <c r="O571" s="26" t="str">
        <f aca="false">IF($A571="","",SUMIFS(Deductions!$D$5:$D$2000,Deductions!$B$5:$B$2000,$A571,Deductions!$C$5:$C$2000,"Advance",Deductions!$E$5:$E$2000,"&gt;="&amp;Settings!$B$8,Deductions!$E$5:$E$2000,"&lt;="&amp;Settings!$B$9))</f>
        <v/>
      </c>
      <c r="P571" s="26" t="str">
        <f aca="false">IF($A571="","",SUMIFS(Deductions!$D$5:$D$2000,Deductions!$B$5:$B$2000,$A571,Deductions!$E$5:$E$2000,"&gt;="&amp;Settings!$B$8,Deductions!$E$5:$E$2000,"&lt;="&amp;Settings!$B$9)-O571)</f>
        <v/>
      </c>
      <c r="Q571" s="26" t="str">
        <f aca="false">IF($A571="","",O571+P571)</f>
        <v/>
      </c>
      <c r="R571" s="23" t="str">
        <f aca="false">IF($A571="","",N571-Q571)</f>
        <v/>
      </c>
      <c r="S571" s="24" t="str">
        <f aca="false">IF($A571="","",INDEX(Workers!$O$5:$O$2004,MATCH($A571,Workers!$A$5:$A$2004,0))&amp;"")</f>
        <v/>
      </c>
      <c r="T571" s="24" t="str">
        <f aca="false">IF($A571="","",INDEX(Workers!$P$5:$P$2004,MATCH($A571,Workers!$A$5:$A$2004,0))&amp;"")</f>
        <v/>
      </c>
      <c r="U571" s="24" t="str">
        <f aca="false">IF($A571="","",INDEX(Workers!$H$5:$H$2004,MATCH($A571,Workers!$A$5:$A$2004,0))&amp;"")</f>
        <v/>
      </c>
    </row>
    <row r="572" customFormat="false" ht="15" hidden="false" customHeight="false" outlineLevel="0" collapsed="false">
      <c r="A572" s="24" t="str">
        <f aca="false">IFERROR(INDEX(Workers!$A$5:$A$2004,MATCH(ROW()-4,Workers!$U$5:$U$2004,0)),"")</f>
        <v/>
      </c>
      <c r="B572" s="24" t="str">
        <f aca="false">IF($A572="","",INDEX(Workers!$B$5:$B$2004,MATCH($A572,Workers!$A$5:$A$2004,0)))</f>
        <v/>
      </c>
      <c r="C572" s="24" t="str">
        <f aca="false">IF($A572="","",INDEX(Workers!$E$5:$E$2004,MATCH($A572,Workers!$A$5:$A$2004,0)))</f>
        <v/>
      </c>
      <c r="D572" s="24" t="str">
        <f aca="false">IF($A572="","",INDEX(Workers!$K$5:$K$2004,MATCH($A572,Workers!$A$5:$A$2004,0)))</f>
        <v/>
      </c>
      <c r="E572" s="25" t="str">
        <f aca="false">IF($A572="","",SUMIFS(Timesheet!$E$5:$E$3004,Timesheet!$D$5:$D$3004,$A572,Timesheet!$A$5:$A$3004,"&gt;="&amp;Settings!$B$8,Timesheet!$A$5:$A$3004,"&lt;="&amp;Settings!$B$9))</f>
        <v/>
      </c>
      <c r="F572" s="25" t="str">
        <f aca="false">IF($A572="","",SUMIFS(Timesheet!$F$5:$F$3004,Timesheet!$D$5:$D$3004,$A572,Timesheet!$A$5:$A$3004,"&gt;="&amp;Settings!$B$8,Timesheet!$A$5:$A$3004,"&lt;="&amp;Settings!$B$9))</f>
        <v/>
      </c>
      <c r="G572" s="25" t="str">
        <f aca="false">IF($A572="","",SUMIFS(Timesheet!$G$5:$G$3004,Timesheet!$D$5:$D$3004,$A572,Timesheet!$A$5:$A$3004,"&gt;="&amp;Settings!$B$8,Timesheet!$A$5:$A$3004,"&lt;="&amp;Settings!$B$9))</f>
        <v/>
      </c>
      <c r="H572" s="25" t="str">
        <f aca="false">IF($A572="","",IF(D572="Monthly",MAX(0,Settings!$B$11-E572),0))</f>
        <v/>
      </c>
      <c r="I572" s="26" t="str">
        <f aca="false">IF($A572="","",N(INDEX(Workers!$L$5:$L$2004,MATCH($A572,Workers!$A$5:$A$2004,0))))</f>
        <v/>
      </c>
      <c r="J572" s="26" t="str">
        <f aca="false">IF($A572="","",N(INDEX(Workers!$M$5:$M$2004,MATCH($A572,Workers!$A$5:$A$2004,0))))</f>
        <v/>
      </c>
      <c r="K572" s="26" t="str">
        <f aca="false">IF($A572="","",IF(D572="Monthly",ROUND(MAX(0,(I572+J572)-(I572+J572)/Settings!$B$10*H572),2),0))</f>
        <v/>
      </c>
      <c r="L572" s="26" t="str">
        <f aca="false">IF($A572="","",IF(D572="Hourly",ROUND(F572*N(INDEX(Workers!$N$5:$N$2004,MATCH($A572,Workers!$A$5:$A$2004,0))),2),0))</f>
        <v/>
      </c>
      <c r="M572" s="26" t="str">
        <f aca="false">IF($A572="","",ROUND(G572*IF(D572="Hourly",N(INDEX(Workers!$N$5:$N$2004,MATCH($A572,Workers!$A$5:$A$2004,0))),I572/Settings!$B$10/Settings!$B$12)*Settings!$B$13,2))</f>
        <v/>
      </c>
      <c r="N572" s="26" t="str">
        <f aca="false">IF($A572="","",K572+L572+M572)</f>
        <v/>
      </c>
      <c r="O572" s="26" t="str">
        <f aca="false">IF($A572="","",SUMIFS(Deductions!$D$5:$D$2000,Deductions!$B$5:$B$2000,$A572,Deductions!$C$5:$C$2000,"Advance",Deductions!$E$5:$E$2000,"&gt;="&amp;Settings!$B$8,Deductions!$E$5:$E$2000,"&lt;="&amp;Settings!$B$9))</f>
        <v/>
      </c>
      <c r="P572" s="26" t="str">
        <f aca="false">IF($A572="","",SUMIFS(Deductions!$D$5:$D$2000,Deductions!$B$5:$B$2000,$A572,Deductions!$E$5:$E$2000,"&gt;="&amp;Settings!$B$8,Deductions!$E$5:$E$2000,"&lt;="&amp;Settings!$B$9)-O572)</f>
        <v/>
      </c>
      <c r="Q572" s="26" t="str">
        <f aca="false">IF($A572="","",O572+P572)</f>
        <v/>
      </c>
      <c r="R572" s="23" t="str">
        <f aca="false">IF($A572="","",N572-Q572)</f>
        <v/>
      </c>
      <c r="S572" s="24" t="str">
        <f aca="false">IF($A572="","",INDEX(Workers!$O$5:$O$2004,MATCH($A572,Workers!$A$5:$A$2004,0))&amp;"")</f>
        <v/>
      </c>
      <c r="T572" s="24" t="str">
        <f aca="false">IF($A572="","",INDEX(Workers!$P$5:$P$2004,MATCH($A572,Workers!$A$5:$A$2004,0))&amp;"")</f>
        <v/>
      </c>
      <c r="U572" s="24" t="str">
        <f aca="false">IF($A572="","",INDEX(Workers!$H$5:$H$2004,MATCH($A572,Workers!$A$5:$A$2004,0))&amp;"")</f>
        <v/>
      </c>
    </row>
    <row r="573" customFormat="false" ht="15" hidden="false" customHeight="false" outlineLevel="0" collapsed="false">
      <c r="A573" s="24" t="str">
        <f aca="false">IFERROR(INDEX(Workers!$A$5:$A$2004,MATCH(ROW()-4,Workers!$U$5:$U$2004,0)),"")</f>
        <v/>
      </c>
      <c r="B573" s="24" t="str">
        <f aca="false">IF($A573="","",INDEX(Workers!$B$5:$B$2004,MATCH($A573,Workers!$A$5:$A$2004,0)))</f>
        <v/>
      </c>
      <c r="C573" s="24" t="str">
        <f aca="false">IF($A573="","",INDEX(Workers!$E$5:$E$2004,MATCH($A573,Workers!$A$5:$A$2004,0)))</f>
        <v/>
      </c>
      <c r="D573" s="24" t="str">
        <f aca="false">IF($A573="","",INDEX(Workers!$K$5:$K$2004,MATCH($A573,Workers!$A$5:$A$2004,0)))</f>
        <v/>
      </c>
      <c r="E573" s="25" t="str">
        <f aca="false">IF($A573="","",SUMIFS(Timesheet!$E$5:$E$3004,Timesheet!$D$5:$D$3004,$A573,Timesheet!$A$5:$A$3004,"&gt;="&amp;Settings!$B$8,Timesheet!$A$5:$A$3004,"&lt;="&amp;Settings!$B$9))</f>
        <v/>
      </c>
      <c r="F573" s="25" t="str">
        <f aca="false">IF($A573="","",SUMIFS(Timesheet!$F$5:$F$3004,Timesheet!$D$5:$D$3004,$A573,Timesheet!$A$5:$A$3004,"&gt;="&amp;Settings!$B$8,Timesheet!$A$5:$A$3004,"&lt;="&amp;Settings!$B$9))</f>
        <v/>
      </c>
      <c r="G573" s="25" t="str">
        <f aca="false">IF($A573="","",SUMIFS(Timesheet!$G$5:$G$3004,Timesheet!$D$5:$D$3004,$A573,Timesheet!$A$5:$A$3004,"&gt;="&amp;Settings!$B$8,Timesheet!$A$5:$A$3004,"&lt;="&amp;Settings!$B$9))</f>
        <v/>
      </c>
      <c r="H573" s="25" t="str">
        <f aca="false">IF($A573="","",IF(D573="Monthly",MAX(0,Settings!$B$11-E573),0))</f>
        <v/>
      </c>
      <c r="I573" s="26" t="str">
        <f aca="false">IF($A573="","",N(INDEX(Workers!$L$5:$L$2004,MATCH($A573,Workers!$A$5:$A$2004,0))))</f>
        <v/>
      </c>
      <c r="J573" s="26" t="str">
        <f aca="false">IF($A573="","",N(INDEX(Workers!$M$5:$M$2004,MATCH($A573,Workers!$A$5:$A$2004,0))))</f>
        <v/>
      </c>
      <c r="K573" s="26" t="str">
        <f aca="false">IF($A573="","",IF(D573="Monthly",ROUND(MAX(0,(I573+J573)-(I573+J573)/Settings!$B$10*H573),2),0))</f>
        <v/>
      </c>
      <c r="L573" s="26" t="str">
        <f aca="false">IF($A573="","",IF(D573="Hourly",ROUND(F573*N(INDEX(Workers!$N$5:$N$2004,MATCH($A573,Workers!$A$5:$A$2004,0))),2),0))</f>
        <v/>
      </c>
      <c r="M573" s="26" t="str">
        <f aca="false">IF($A573="","",ROUND(G573*IF(D573="Hourly",N(INDEX(Workers!$N$5:$N$2004,MATCH($A573,Workers!$A$5:$A$2004,0))),I573/Settings!$B$10/Settings!$B$12)*Settings!$B$13,2))</f>
        <v/>
      </c>
      <c r="N573" s="26" t="str">
        <f aca="false">IF($A573="","",K573+L573+M573)</f>
        <v/>
      </c>
      <c r="O573" s="26" t="str">
        <f aca="false">IF($A573="","",SUMIFS(Deductions!$D$5:$D$2000,Deductions!$B$5:$B$2000,$A573,Deductions!$C$5:$C$2000,"Advance",Deductions!$E$5:$E$2000,"&gt;="&amp;Settings!$B$8,Deductions!$E$5:$E$2000,"&lt;="&amp;Settings!$B$9))</f>
        <v/>
      </c>
      <c r="P573" s="26" t="str">
        <f aca="false">IF($A573="","",SUMIFS(Deductions!$D$5:$D$2000,Deductions!$B$5:$B$2000,$A573,Deductions!$E$5:$E$2000,"&gt;="&amp;Settings!$B$8,Deductions!$E$5:$E$2000,"&lt;="&amp;Settings!$B$9)-O573)</f>
        <v/>
      </c>
      <c r="Q573" s="26" t="str">
        <f aca="false">IF($A573="","",O573+P573)</f>
        <v/>
      </c>
      <c r="R573" s="23" t="str">
        <f aca="false">IF($A573="","",N573-Q573)</f>
        <v/>
      </c>
      <c r="S573" s="24" t="str">
        <f aca="false">IF($A573="","",INDEX(Workers!$O$5:$O$2004,MATCH($A573,Workers!$A$5:$A$2004,0))&amp;"")</f>
        <v/>
      </c>
      <c r="T573" s="24" t="str">
        <f aca="false">IF($A573="","",INDEX(Workers!$P$5:$P$2004,MATCH($A573,Workers!$A$5:$A$2004,0))&amp;"")</f>
        <v/>
      </c>
      <c r="U573" s="24" t="str">
        <f aca="false">IF($A573="","",INDEX(Workers!$H$5:$H$2004,MATCH($A573,Workers!$A$5:$A$2004,0))&amp;"")</f>
        <v/>
      </c>
    </row>
    <row r="574" customFormat="false" ht="15" hidden="false" customHeight="false" outlineLevel="0" collapsed="false">
      <c r="A574" s="24" t="str">
        <f aca="false">IFERROR(INDEX(Workers!$A$5:$A$2004,MATCH(ROW()-4,Workers!$U$5:$U$2004,0)),"")</f>
        <v/>
      </c>
      <c r="B574" s="24" t="str">
        <f aca="false">IF($A574="","",INDEX(Workers!$B$5:$B$2004,MATCH($A574,Workers!$A$5:$A$2004,0)))</f>
        <v/>
      </c>
      <c r="C574" s="24" t="str">
        <f aca="false">IF($A574="","",INDEX(Workers!$E$5:$E$2004,MATCH($A574,Workers!$A$5:$A$2004,0)))</f>
        <v/>
      </c>
      <c r="D574" s="24" t="str">
        <f aca="false">IF($A574="","",INDEX(Workers!$K$5:$K$2004,MATCH($A574,Workers!$A$5:$A$2004,0)))</f>
        <v/>
      </c>
      <c r="E574" s="25" t="str">
        <f aca="false">IF($A574="","",SUMIFS(Timesheet!$E$5:$E$3004,Timesheet!$D$5:$D$3004,$A574,Timesheet!$A$5:$A$3004,"&gt;="&amp;Settings!$B$8,Timesheet!$A$5:$A$3004,"&lt;="&amp;Settings!$B$9))</f>
        <v/>
      </c>
      <c r="F574" s="25" t="str">
        <f aca="false">IF($A574="","",SUMIFS(Timesheet!$F$5:$F$3004,Timesheet!$D$5:$D$3004,$A574,Timesheet!$A$5:$A$3004,"&gt;="&amp;Settings!$B$8,Timesheet!$A$5:$A$3004,"&lt;="&amp;Settings!$B$9))</f>
        <v/>
      </c>
      <c r="G574" s="25" t="str">
        <f aca="false">IF($A574="","",SUMIFS(Timesheet!$G$5:$G$3004,Timesheet!$D$5:$D$3004,$A574,Timesheet!$A$5:$A$3004,"&gt;="&amp;Settings!$B$8,Timesheet!$A$5:$A$3004,"&lt;="&amp;Settings!$B$9))</f>
        <v/>
      </c>
      <c r="H574" s="25" t="str">
        <f aca="false">IF($A574="","",IF(D574="Monthly",MAX(0,Settings!$B$11-E574),0))</f>
        <v/>
      </c>
      <c r="I574" s="26" t="str">
        <f aca="false">IF($A574="","",N(INDEX(Workers!$L$5:$L$2004,MATCH($A574,Workers!$A$5:$A$2004,0))))</f>
        <v/>
      </c>
      <c r="J574" s="26" t="str">
        <f aca="false">IF($A574="","",N(INDEX(Workers!$M$5:$M$2004,MATCH($A574,Workers!$A$5:$A$2004,0))))</f>
        <v/>
      </c>
      <c r="K574" s="26" t="str">
        <f aca="false">IF($A574="","",IF(D574="Monthly",ROUND(MAX(0,(I574+J574)-(I574+J574)/Settings!$B$10*H574),2),0))</f>
        <v/>
      </c>
      <c r="L574" s="26" t="str">
        <f aca="false">IF($A574="","",IF(D574="Hourly",ROUND(F574*N(INDEX(Workers!$N$5:$N$2004,MATCH($A574,Workers!$A$5:$A$2004,0))),2),0))</f>
        <v/>
      </c>
      <c r="M574" s="26" t="str">
        <f aca="false">IF($A574="","",ROUND(G574*IF(D574="Hourly",N(INDEX(Workers!$N$5:$N$2004,MATCH($A574,Workers!$A$5:$A$2004,0))),I574/Settings!$B$10/Settings!$B$12)*Settings!$B$13,2))</f>
        <v/>
      </c>
      <c r="N574" s="26" t="str">
        <f aca="false">IF($A574="","",K574+L574+M574)</f>
        <v/>
      </c>
      <c r="O574" s="26" t="str">
        <f aca="false">IF($A574="","",SUMIFS(Deductions!$D$5:$D$2000,Deductions!$B$5:$B$2000,$A574,Deductions!$C$5:$C$2000,"Advance",Deductions!$E$5:$E$2000,"&gt;="&amp;Settings!$B$8,Deductions!$E$5:$E$2000,"&lt;="&amp;Settings!$B$9))</f>
        <v/>
      </c>
      <c r="P574" s="26" t="str">
        <f aca="false">IF($A574="","",SUMIFS(Deductions!$D$5:$D$2000,Deductions!$B$5:$B$2000,$A574,Deductions!$E$5:$E$2000,"&gt;="&amp;Settings!$B$8,Deductions!$E$5:$E$2000,"&lt;="&amp;Settings!$B$9)-O574)</f>
        <v/>
      </c>
      <c r="Q574" s="26" t="str">
        <f aca="false">IF($A574="","",O574+P574)</f>
        <v/>
      </c>
      <c r="R574" s="23" t="str">
        <f aca="false">IF($A574="","",N574-Q574)</f>
        <v/>
      </c>
      <c r="S574" s="24" t="str">
        <f aca="false">IF($A574="","",INDEX(Workers!$O$5:$O$2004,MATCH($A574,Workers!$A$5:$A$2004,0))&amp;"")</f>
        <v/>
      </c>
      <c r="T574" s="24" t="str">
        <f aca="false">IF($A574="","",INDEX(Workers!$P$5:$P$2004,MATCH($A574,Workers!$A$5:$A$2004,0))&amp;"")</f>
        <v/>
      </c>
      <c r="U574" s="24" t="str">
        <f aca="false">IF($A574="","",INDEX(Workers!$H$5:$H$2004,MATCH($A574,Workers!$A$5:$A$2004,0))&amp;"")</f>
        <v/>
      </c>
    </row>
    <row r="575" customFormat="false" ht="15" hidden="false" customHeight="false" outlineLevel="0" collapsed="false">
      <c r="A575" s="24" t="str">
        <f aca="false">IFERROR(INDEX(Workers!$A$5:$A$2004,MATCH(ROW()-4,Workers!$U$5:$U$2004,0)),"")</f>
        <v/>
      </c>
      <c r="B575" s="24" t="str">
        <f aca="false">IF($A575="","",INDEX(Workers!$B$5:$B$2004,MATCH($A575,Workers!$A$5:$A$2004,0)))</f>
        <v/>
      </c>
      <c r="C575" s="24" t="str">
        <f aca="false">IF($A575="","",INDEX(Workers!$E$5:$E$2004,MATCH($A575,Workers!$A$5:$A$2004,0)))</f>
        <v/>
      </c>
      <c r="D575" s="24" t="str">
        <f aca="false">IF($A575="","",INDEX(Workers!$K$5:$K$2004,MATCH($A575,Workers!$A$5:$A$2004,0)))</f>
        <v/>
      </c>
      <c r="E575" s="25" t="str">
        <f aca="false">IF($A575="","",SUMIFS(Timesheet!$E$5:$E$3004,Timesheet!$D$5:$D$3004,$A575,Timesheet!$A$5:$A$3004,"&gt;="&amp;Settings!$B$8,Timesheet!$A$5:$A$3004,"&lt;="&amp;Settings!$B$9))</f>
        <v/>
      </c>
      <c r="F575" s="25" t="str">
        <f aca="false">IF($A575="","",SUMIFS(Timesheet!$F$5:$F$3004,Timesheet!$D$5:$D$3004,$A575,Timesheet!$A$5:$A$3004,"&gt;="&amp;Settings!$B$8,Timesheet!$A$5:$A$3004,"&lt;="&amp;Settings!$B$9))</f>
        <v/>
      </c>
      <c r="G575" s="25" t="str">
        <f aca="false">IF($A575="","",SUMIFS(Timesheet!$G$5:$G$3004,Timesheet!$D$5:$D$3004,$A575,Timesheet!$A$5:$A$3004,"&gt;="&amp;Settings!$B$8,Timesheet!$A$5:$A$3004,"&lt;="&amp;Settings!$B$9))</f>
        <v/>
      </c>
      <c r="H575" s="25" t="str">
        <f aca="false">IF($A575="","",IF(D575="Monthly",MAX(0,Settings!$B$11-E575),0))</f>
        <v/>
      </c>
      <c r="I575" s="26" t="str">
        <f aca="false">IF($A575="","",N(INDEX(Workers!$L$5:$L$2004,MATCH($A575,Workers!$A$5:$A$2004,0))))</f>
        <v/>
      </c>
      <c r="J575" s="26" t="str">
        <f aca="false">IF($A575="","",N(INDEX(Workers!$M$5:$M$2004,MATCH($A575,Workers!$A$5:$A$2004,0))))</f>
        <v/>
      </c>
      <c r="K575" s="26" t="str">
        <f aca="false">IF($A575="","",IF(D575="Monthly",ROUND(MAX(0,(I575+J575)-(I575+J575)/Settings!$B$10*H575),2),0))</f>
        <v/>
      </c>
      <c r="L575" s="26" t="str">
        <f aca="false">IF($A575="","",IF(D575="Hourly",ROUND(F575*N(INDEX(Workers!$N$5:$N$2004,MATCH($A575,Workers!$A$5:$A$2004,0))),2),0))</f>
        <v/>
      </c>
      <c r="M575" s="26" t="str">
        <f aca="false">IF($A575="","",ROUND(G575*IF(D575="Hourly",N(INDEX(Workers!$N$5:$N$2004,MATCH($A575,Workers!$A$5:$A$2004,0))),I575/Settings!$B$10/Settings!$B$12)*Settings!$B$13,2))</f>
        <v/>
      </c>
      <c r="N575" s="26" t="str">
        <f aca="false">IF($A575="","",K575+L575+M575)</f>
        <v/>
      </c>
      <c r="O575" s="26" t="str">
        <f aca="false">IF($A575="","",SUMIFS(Deductions!$D$5:$D$2000,Deductions!$B$5:$B$2000,$A575,Deductions!$C$5:$C$2000,"Advance",Deductions!$E$5:$E$2000,"&gt;="&amp;Settings!$B$8,Deductions!$E$5:$E$2000,"&lt;="&amp;Settings!$B$9))</f>
        <v/>
      </c>
      <c r="P575" s="26" t="str">
        <f aca="false">IF($A575="","",SUMIFS(Deductions!$D$5:$D$2000,Deductions!$B$5:$B$2000,$A575,Deductions!$E$5:$E$2000,"&gt;="&amp;Settings!$B$8,Deductions!$E$5:$E$2000,"&lt;="&amp;Settings!$B$9)-O575)</f>
        <v/>
      </c>
      <c r="Q575" s="26" t="str">
        <f aca="false">IF($A575="","",O575+P575)</f>
        <v/>
      </c>
      <c r="R575" s="23" t="str">
        <f aca="false">IF($A575="","",N575-Q575)</f>
        <v/>
      </c>
      <c r="S575" s="24" t="str">
        <f aca="false">IF($A575="","",INDEX(Workers!$O$5:$O$2004,MATCH($A575,Workers!$A$5:$A$2004,0))&amp;"")</f>
        <v/>
      </c>
      <c r="T575" s="24" t="str">
        <f aca="false">IF($A575="","",INDEX(Workers!$P$5:$P$2004,MATCH($A575,Workers!$A$5:$A$2004,0))&amp;"")</f>
        <v/>
      </c>
      <c r="U575" s="24" t="str">
        <f aca="false">IF($A575="","",INDEX(Workers!$H$5:$H$2004,MATCH($A575,Workers!$A$5:$A$2004,0))&amp;"")</f>
        <v/>
      </c>
    </row>
    <row r="576" customFormat="false" ht="15" hidden="false" customHeight="false" outlineLevel="0" collapsed="false">
      <c r="A576" s="24" t="str">
        <f aca="false">IFERROR(INDEX(Workers!$A$5:$A$2004,MATCH(ROW()-4,Workers!$U$5:$U$2004,0)),"")</f>
        <v/>
      </c>
      <c r="B576" s="24" t="str">
        <f aca="false">IF($A576="","",INDEX(Workers!$B$5:$B$2004,MATCH($A576,Workers!$A$5:$A$2004,0)))</f>
        <v/>
      </c>
      <c r="C576" s="24" t="str">
        <f aca="false">IF($A576="","",INDEX(Workers!$E$5:$E$2004,MATCH($A576,Workers!$A$5:$A$2004,0)))</f>
        <v/>
      </c>
      <c r="D576" s="24" t="str">
        <f aca="false">IF($A576="","",INDEX(Workers!$K$5:$K$2004,MATCH($A576,Workers!$A$5:$A$2004,0)))</f>
        <v/>
      </c>
      <c r="E576" s="25" t="str">
        <f aca="false">IF($A576="","",SUMIFS(Timesheet!$E$5:$E$3004,Timesheet!$D$5:$D$3004,$A576,Timesheet!$A$5:$A$3004,"&gt;="&amp;Settings!$B$8,Timesheet!$A$5:$A$3004,"&lt;="&amp;Settings!$B$9))</f>
        <v/>
      </c>
      <c r="F576" s="25" t="str">
        <f aca="false">IF($A576="","",SUMIFS(Timesheet!$F$5:$F$3004,Timesheet!$D$5:$D$3004,$A576,Timesheet!$A$5:$A$3004,"&gt;="&amp;Settings!$B$8,Timesheet!$A$5:$A$3004,"&lt;="&amp;Settings!$B$9))</f>
        <v/>
      </c>
      <c r="G576" s="25" t="str">
        <f aca="false">IF($A576="","",SUMIFS(Timesheet!$G$5:$G$3004,Timesheet!$D$5:$D$3004,$A576,Timesheet!$A$5:$A$3004,"&gt;="&amp;Settings!$B$8,Timesheet!$A$5:$A$3004,"&lt;="&amp;Settings!$B$9))</f>
        <v/>
      </c>
      <c r="H576" s="25" t="str">
        <f aca="false">IF($A576="","",IF(D576="Monthly",MAX(0,Settings!$B$11-E576),0))</f>
        <v/>
      </c>
      <c r="I576" s="26" t="str">
        <f aca="false">IF($A576="","",N(INDEX(Workers!$L$5:$L$2004,MATCH($A576,Workers!$A$5:$A$2004,0))))</f>
        <v/>
      </c>
      <c r="J576" s="26" t="str">
        <f aca="false">IF($A576="","",N(INDEX(Workers!$M$5:$M$2004,MATCH($A576,Workers!$A$5:$A$2004,0))))</f>
        <v/>
      </c>
      <c r="K576" s="26" t="str">
        <f aca="false">IF($A576="","",IF(D576="Monthly",ROUND(MAX(0,(I576+J576)-(I576+J576)/Settings!$B$10*H576),2),0))</f>
        <v/>
      </c>
      <c r="L576" s="26" t="str">
        <f aca="false">IF($A576="","",IF(D576="Hourly",ROUND(F576*N(INDEX(Workers!$N$5:$N$2004,MATCH($A576,Workers!$A$5:$A$2004,0))),2),0))</f>
        <v/>
      </c>
      <c r="M576" s="26" t="str">
        <f aca="false">IF($A576="","",ROUND(G576*IF(D576="Hourly",N(INDEX(Workers!$N$5:$N$2004,MATCH($A576,Workers!$A$5:$A$2004,0))),I576/Settings!$B$10/Settings!$B$12)*Settings!$B$13,2))</f>
        <v/>
      </c>
      <c r="N576" s="26" t="str">
        <f aca="false">IF($A576="","",K576+L576+M576)</f>
        <v/>
      </c>
      <c r="O576" s="26" t="str">
        <f aca="false">IF($A576="","",SUMIFS(Deductions!$D$5:$D$2000,Deductions!$B$5:$B$2000,$A576,Deductions!$C$5:$C$2000,"Advance",Deductions!$E$5:$E$2000,"&gt;="&amp;Settings!$B$8,Deductions!$E$5:$E$2000,"&lt;="&amp;Settings!$B$9))</f>
        <v/>
      </c>
      <c r="P576" s="26" t="str">
        <f aca="false">IF($A576="","",SUMIFS(Deductions!$D$5:$D$2000,Deductions!$B$5:$B$2000,$A576,Deductions!$E$5:$E$2000,"&gt;="&amp;Settings!$B$8,Deductions!$E$5:$E$2000,"&lt;="&amp;Settings!$B$9)-O576)</f>
        <v/>
      </c>
      <c r="Q576" s="26" t="str">
        <f aca="false">IF($A576="","",O576+P576)</f>
        <v/>
      </c>
      <c r="R576" s="23" t="str">
        <f aca="false">IF($A576="","",N576-Q576)</f>
        <v/>
      </c>
      <c r="S576" s="24" t="str">
        <f aca="false">IF($A576="","",INDEX(Workers!$O$5:$O$2004,MATCH($A576,Workers!$A$5:$A$2004,0))&amp;"")</f>
        <v/>
      </c>
      <c r="T576" s="24" t="str">
        <f aca="false">IF($A576="","",INDEX(Workers!$P$5:$P$2004,MATCH($A576,Workers!$A$5:$A$2004,0))&amp;"")</f>
        <v/>
      </c>
      <c r="U576" s="24" t="str">
        <f aca="false">IF($A576="","",INDEX(Workers!$H$5:$H$2004,MATCH($A576,Workers!$A$5:$A$2004,0))&amp;"")</f>
        <v/>
      </c>
    </row>
    <row r="577" customFormat="false" ht="15" hidden="false" customHeight="false" outlineLevel="0" collapsed="false">
      <c r="A577" s="24" t="str">
        <f aca="false">IFERROR(INDEX(Workers!$A$5:$A$2004,MATCH(ROW()-4,Workers!$U$5:$U$2004,0)),"")</f>
        <v/>
      </c>
      <c r="B577" s="24" t="str">
        <f aca="false">IF($A577="","",INDEX(Workers!$B$5:$B$2004,MATCH($A577,Workers!$A$5:$A$2004,0)))</f>
        <v/>
      </c>
      <c r="C577" s="24" t="str">
        <f aca="false">IF($A577="","",INDEX(Workers!$E$5:$E$2004,MATCH($A577,Workers!$A$5:$A$2004,0)))</f>
        <v/>
      </c>
      <c r="D577" s="24" t="str">
        <f aca="false">IF($A577="","",INDEX(Workers!$K$5:$K$2004,MATCH($A577,Workers!$A$5:$A$2004,0)))</f>
        <v/>
      </c>
      <c r="E577" s="25" t="str">
        <f aca="false">IF($A577="","",SUMIFS(Timesheet!$E$5:$E$3004,Timesheet!$D$5:$D$3004,$A577,Timesheet!$A$5:$A$3004,"&gt;="&amp;Settings!$B$8,Timesheet!$A$5:$A$3004,"&lt;="&amp;Settings!$B$9))</f>
        <v/>
      </c>
      <c r="F577" s="25" t="str">
        <f aca="false">IF($A577="","",SUMIFS(Timesheet!$F$5:$F$3004,Timesheet!$D$5:$D$3004,$A577,Timesheet!$A$5:$A$3004,"&gt;="&amp;Settings!$B$8,Timesheet!$A$5:$A$3004,"&lt;="&amp;Settings!$B$9))</f>
        <v/>
      </c>
      <c r="G577" s="25" t="str">
        <f aca="false">IF($A577="","",SUMIFS(Timesheet!$G$5:$G$3004,Timesheet!$D$5:$D$3004,$A577,Timesheet!$A$5:$A$3004,"&gt;="&amp;Settings!$B$8,Timesheet!$A$5:$A$3004,"&lt;="&amp;Settings!$B$9))</f>
        <v/>
      </c>
      <c r="H577" s="25" t="str">
        <f aca="false">IF($A577="","",IF(D577="Monthly",MAX(0,Settings!$B$11-E577),0))</f>
        <v/>
      </c>
      <c r="I577" s="26" t="str">
        <f aca="false">IF($A577="","",N(INDEX(Workers!$L$5:$L$2004,MATCH($A577,Workers!$A$5:$A$2004,0))))</f>
        <v/>
      </c>
      <c r="J577" s="26" t="str">
        <f aca="false">IF($A577="","",N(INDEX(Workers!$M$5:$M$2004,MATCH($A577,Workers!$A$5:$A$2004,0))))</f>
        <v/>
      </c>
      <c r="K577" s="26" t="str">
        <f aca="false">IF($A577="","",IF(D577="Monthly",ROUND(MAX(0,(I577+J577)-(I577+J577)/Settings!$B$10*H577),2),0))</f>
        <v/>
      </c>
      <c r="L577" s="26" t="str">
        <f aca="false">IF($A577="","",IF(D577="Hourly",ROUND(F577*N(INDEX(Workers!$N$5:$N$2004,MATCH($A577,Workers!$A$5:$A$2004,0))),2),0))</f>
        <v/>
      </c>
      <c r="M577" s="26" t="str">
        <f aca="false">IF($A577="","",ROUND(G577*IF(D577="Hourly",N(INDEX(Workers!$N$5:$N$2004,MATCH($A577,Workers!$A$5:$A$2004,0))),I577/Settings!$B$10/Settings!$B$12)*Settings!$B$13,2))</f>
        <v/>
      </c>
      <c r="N577" s="26" t="str">
        <f aca="false">IF($A577="","",K577+L577+M577)</f>
        <v/>
      </c>
      <c r="O577" s="26" t="str">
        <f aca="false">IF($A577="","",SUMIFS(Deductions!$D$5:$D$2000,Deductions!$B$5:$B$2000,$A577,Deductions!$C$5:$C$2000,"Advance",Deductions!$E$5:$E$2000,"&gt;="&amp;Settings!$B$8,Deductions!$E$5:$E$2000,"&lt;="&amp;Settings!$B$9))</f>
        <v/>
      </c>
      <c r="P577" s="26" t="str">
        <f aca="false">IF($A577="","",SUMIFS(Deductions!$D$5:$D$2000,Deductions!$B$5:$B$2000,$A577,Deductions!$E$5:$E$2000,"&gt;="&amp;Settings!$B$8,Deductions!$E$5:$E$2000,"&lt;="&amp;Settings!$B$9)-O577)</f>
        <v/>
      </c>
      <c r="Q577" s="26" t="str">
        <f aca="false">IF($A577="","",O577+P577)</f>
        <v/>
      </c>
      <c r="R577" s="23" t="str">
        <f aca="false">IF($A577="","",N577-Q577)</f>
        <v/>
      </c>
      <c r="S577" s="24" t="str">
        <f aca="false">IF($A577="","",INDEX(Workers!$O$5:$O$2004,MATCH($A577,Workers!$A$5:$A$2004,0))&amp;"")</f>
        <v/>
      </c>
      <c r="T577" s="24" t="str">
        <f aca="false">IF($A577="","",INDEX(Workers!$P$5:$P$2004,MATCH($A577,Workers!$A$5:$A$2004,0))&amp;"")</f>
        <v/>
      </c>
      <c r="U577" s="24" t="str">
        <f aca="false">IF($A577="","",INDEX(Workers!$H$5:$H$2004,MATCH($A577,Workers!$A$5:$A$2004,0))&amp;"")</f>
        <v/>
      </c>
    </row>
    <row r="578" customFormat="false" ht="15" hidden="false" customHeight="false" outlineLevel="0" collapsed="false">
      <c r="A578" s="24" t="str">
        <f aca="false">IFERROR(INDEX(Workers!$A$5:$A$2004,MATCH(ROW()-4,Workers!$U$5:$U$2004,0)),"")</f>
        <v/>
      </c>
      <c r="B578" s="24" t="str">
        <f aca="false">IF($A578="","",INDEX(Workers!$B$5:$B$2004,MATCH($A578,Workers!$A$5:$A$2004,0)))</f>
        <v/>
      </c>
      <c r="C578" s="24" t="str">
        <f aca="false">IF($A578="","",INDEX(Workers!$E$5:$E$2004,MATCH($A578,Workers!$A$5:$A$2004,0)))</f>
        <v/>
      </c>
      <c r="D578" s="24" t="str">
        <f aca="false">IF($A578="","",INDEX(Workers!$K$5:$K$2004,MATCH($A578,Workers!$A$5:$A$2004,0)))</f>
        <v/>
      </c>
      <c r="E578" s="25" t="str">
        <f aca="false">IF($A578="","",SUMIFS(Timesheet!$E$5:$E$3004,Timesheet!$D$5:$D$3004,$A578,Timesheet!$A$5:$A$3004,"&gt;="&amp;Settings!$B$8,Timesheet!$A$5:$A$3004,"&lt;="&amp;Settings!$B$9))</f>
        <v/>
      </c>
      <c r="F578" s="25" t="str">
        <f aca="false">IF($A578="","",SUMIFS(Timesheet!$F$5:$F$3004,Timesheet!$D$5:$D$3004,$A578,Timesheet!$A$5:$A$3004,"&gt;="&amp;Settings!$B$8,Timesheet!$A$5:$A$3004,"&lt;="&amp;Settings!$B$9))</f>
        <v/>
      </c>
      <c r="G578" s="25" t="str">
        <f aca="false">IF($A578="","",SUMIFS(Timesheet!$G$5:$G$3004,Timesheet!$D$5:$D$3004,$A578,Timesheet!$A$5:$A$3004,"&gt;="&amp;Settings!$B$8,Timesheet!$A$5:$A$3004,"&lt;="&amp;Settings!$B$9))</f>
        <v/>
      </c>
      <c r="H578" s="25" t="str">
        <f aca="false">IF($A578="","",IF(D578="Monthly",MAX(0,Settings!$B$11-E578),0))</f>
        <v/>
      </c>
      <c r="I578" s="26" t="str">
        <f aca="false">IF($A578="","",N(INDEX(Workers!$L$5:$L$2004,MATCH($A578,Workers!$A$5:$A$2004,0))))</f>
        <v/>
      </c>
      <c r="J578" s="26" t="str">
        <f aca="false">IF($A578="","",N(INDEX(Workers!$M$5:$M$2004,MATCH($A578,Workers!$A$5:$A$2004,0))))</f>
        <v/>
      </c>
      <c r="K578" s="26" t="str">
        <f aca="false">IF($A578="","",IF(D578="Monthly",ROUND(MAX(0,(I578+J578)-(I578+J578)/Settings!$B$10*H578),2),0))</f>
        <v/>
      </c>
      <c r="L578" s="26" t="str">
        <f aca="false">IF($A578="","",IF(D578="Hourly",ROUND(F578*N(INDEX(Workers!$N$5:$N$2004,MATCH($A578,Workers!$A$5:$A$2004,0))),2),0))</f>
        <v/>
      </c>
      <c r="M578" s="26" t="str">
        <f aca="false">IF($A578="","",ROUND(G578*IF(D578="Hourly",N(INDEX(Workers!$N$5:$N$2004,MATCH($A578,Workers!$A$5:$A$2004,0))),I578/Settings!$B$10/Settings!$B$12)*Settings!$B$13,2))</f>
        <v/>
      </c>
      <c r="N578" s="26" t="str">
        <f aca="false">IF($A578="","",K578+L578+M578)</f>
        <v/>
      </c>
      <c r="O578" s="26" t="str">
        <f aca="false">IF($A578="","",SUMIFS(Deductions!$D$5:$D$2000,Deductions!$B$5:$B$2000,$A578,Deductions!$C$5:$C$2000,"Advance",Deductions!$E$5:$E$2000,"&gt;="&amp;Settings!$B$8,Deductions!$E$5:$E$2000,"&lt;="&amp;Settings!$B$9))</f>
        <v/>
      </c>
      <c r="P578" s="26" t="str">
        <f aca="false">IF($A578="","",SUMIFS(Deductions!$D$5:$D$2000,Deductions!$B$5:$B$2000,$A578,Deductions!$E$5:$E$2000,"&gt;="&amp;Settings!$B$8,Deductions!$E$5:$E$2000,"&lt;="&amp;Settings!$B$9)-O578)</f>
        <v/>
      </c>
      <c r="Q578" s="26" t="str">
        <f aca="false">IF($A578="","",O578+P578)</f>
        <v/>
      </c>
      <c r="R578" s="23" t="str">
        <f aca="false">IF($A578="","",N578-Q578)</f>
        <v/>
      </c>
      <c r="S578" s="24" t="str">
        <f aca="false">IF($A578="","",INDEX(Workers!$O$5:$O$2004,MATCH($A578,Workers!$A$5:$A$2004,0))&amp;"")</f>
        <v/>
      </c>
      <c r="T578" s="24" t="str">
        <f aca="false">IF($A578="","",INDEX(Workers!$P$5:$P$2004,MATCH($A578,Workers!$A$5:$A$2004,0))&amp;"")</f>
        <v/>
      </c>
      <c r="U578" s="24" t="str">
        <f aca="false">IF($A578="","",INDEX(Workers!$H$5:$H$2004,MATCH($A578,Workers!$A$5:$A$2004,0))&amp;"")</f>
        <v/>
      </c>
    </row>
    <row r="579" customFormat="false" ht="15" hidden="false" customHeight="false" outlineLevel="0" collapsed="false">
      <c r="A579" s="24" t="str">
        <f aca="false">IFERROR(INDEX(Workers!$A$5:$A$2004,MATCH(ROW()-4,Workers!$U$5:$U$2004,0)),"")</f>
        <v/>
      </c>
      <c r="B579" s="24" t="str">
        <f aca="false">IF($A579="","",INDEX(Workers!$B$5:$B$2004,MATCH($A579,Workers!$A$5:$A$2004,0)))</f>
        <v/>
      </c>
      <c r="C579" s="24" t="str">
        <f aca="false">IF($A579="","",INDEX(Workers!$E$5:$E$2004,MATCH($A579,Workers!$A$5:$A$2004,0)))</f>
        <v/>
      </c>
      <c r="D579" s="24" t="str">
        <f aca="false">IF($A579="","",INDEX(Workers!$K$5:$K$2004,MATCH($A579,Workers!$A$5:$A$2004,0)))</f>
        <v/>
      </c>
      <c r="E579" s="25" t="str">
        <f aca="false">IF($A579="","",SUMIFS(Timesheet!$E$5:$E$3004,Timesheet!$D$5:$D$3004,$A579,Timesheet!$A$5:$A$3004,"&gt;="&amp;Settings!$B$8,Timesheet!$A$5:$A$3004,"&lt;="&amp;Settings!$B$9))</f>
        <v/>
      </c>
      <c r="F579" s="25" t="str">
        <f aca="false">IF($A579="","",SUMIFS(Timesheet!$F$5:$F$3004,Timesheet!$D$5:$D$3004,$A579,Timesheet!$A$5:$A$3004,"&gt;="&amp;Settings!$B$8,Timesheet!$A$5:$A$3004,"&lt;="&amp;Settings!$B$9))</f>
        <v/>
      </c>
      <c r="G579" s="25" t="str">
        <f aca="false">IF($A579="","",SUMIFS(Timesheet!$G$5:$G$3004,Timesheet!$D$5:$D$3004,$A579,Timesheet!$A$5:$A$3004,"&gt;="&amp;Settings!$B$8,Timesheet!$A$5:$A$3004,"&lt;="&amp;Settings!$B$9))</f>
        <v/>
      </c>
      <c r="H579" s="25" t="str">
        <f aca="false">IF($A579="","",IF(D579="Monthly",MAX(0,Settings!$B$11-E579),0))</f>
        <v/>
      </c>
      <c r="I579" s="26" t="str">
        <f aca="false">IF($A579="","",N(INDEX(Workers!$L$5:$L$2004,MATCH($A579,Workers!$A$5:$A$2004,0))))</f>
        <v/>
      </c>
      <c r="J579" s="26" t="str">
        <f aca="false">IF($A579="","",N(INDEX(Workers!$M$5:$M$2004,MATCH($A579,Workers!$A$5:$A$2004,0))))</f>
        <v/>
      </c>
      <c r="K579" s="26" t="str">
        <f aca="false">IF($A579="","",IF(D579="Monthly",ROUND(MAX(0,(I579+J579)-(I579+J579)/Settings!$B$10*H579),2),0))</f>
        <v/>
      </c>
      <c r="L579" s="26" t="str">
        <f aca="false">IF($A579="","",IF(D579="Hourly",ROUND(F579*N(INDEX(Workers!$N$5:$N$2004,MATCH($A579,Workers!$A$5:$A$2004,0))),2),0))</f>
        <v/>
      </c>
      <c r="M579" s="26" t="str">
        <f aca="false">IF($A579="","",ROUND(G579*IF(D579="Hourly",N(INDEX(Workers!$N$5:$N$2004,MATCH($A579,Workers!$A$5:$A$2004,0))),I579/Settings!$B$10/Settings!$B$12)*Settings!$B$13,2))</f>
        <v/>
      </c>
      <c r="N579" s="26" t="str">
        <f aca="false">IF($A579="","",K579+L579+M579)</f>
        <v/>
      </c>
      <c r="O579" s="26" t="str">
        <f aca="false">IF($A579="","",SUMIFS(Deductions!$D$5:$D$2000,Deductions!$B$5:$B$2000,$A579,Deductions!$C$5:$C$2000,"Advance",Deductions!$E$5:$E$2000,"&gt;="&amp;Settings!$B$8,Deductions!$E$5:$E$2000,"&lt;="&amp;Settings!$B$9))</f>
        <v/>
      </c>
      <c r="P579" s="26" t="str">
        <f aca="false">IF($A579="","",SUMIFS(Deductions!$D$5:$D$2000,Deductions!$B$5:$B$2000,$A579,Deductions!$E$5:$E$2000,"&gt;="&amp;Settings!$B$8,Deductions!$E$5:$E$2000,"&lt;="&amp;Settings!$B$9)-O579)</f>
        <v/>
      </c>
      <c r="Q579" s="26" t="str">
        <f aca="false">IF($A579="","",O579+P579)</f>
        <v/>
      </c>
      <c r="R579" s="23" t="str">
        <f aca="false">IF($A579="","",N579-Q579)</f>
        <v/>
      </c>
      <c r="S579" s="24" t="str">
        <f aca="false">IF($A579="","",INDEX(Workers!$O$5:$O$2004,MATCH($A579,Workers!$A$5:$A$2004,0))&amp;"")</f>
        <v/>
      </c>
      <c r="T579" s="24" t="str">
        <f aca="false">IF($A579="","",INDEX(Workers!$P$5:$P$2004,MATCH($A579,Workers!$A$5:$A$2004,0))&amp;"")</f>
        <v/>
      </c>
      <c r="U579" s="24" t="str">
        <f aca="false">IF($A579="","",INDEX(Workers!$H$5:$H$2004,MATCH($A579,Workers!$A$5:$A$2004,0))&amp;"")</f>
        <v/>
      </c>
    </row>
    <row r="580" customFormat="false" ht="15" hidden="false" customHeight="false" outlineLevel="0" collapsed="false">
      <c r="A580" s="24" t="str">
        <f aca="false">IFERROR(INDEX(Workers!$A$5:$A$2004,MATCH(ROW()-4,Workers!$U$5:$U$2004,0)),"")</f>
        <v/>
      </c>
      <c r="B580" s="24" t="str">
        <f aca="false">IF($A580="","",INDEX(Workers!$B$5:$B$2004,MATCH($A580,Workers!$A$5:$A$2004,0)))</f>
        <v/>
      </c>
      <c r="C580" s="24" t="str">
        <f aca="false">IF($A580="","",INDEX(Workers!$E$5:$E$2004,MATCH($A580,Workers!$A$5:$A$2004,0)))</f>
        <v/>
      </c>
      <c r="D580" s="24" t="str">
        <f aca="false">IF($A580="","",INDEX(Workers!$K$5:$K$2004,MATCH($A580,Workers!$A$5:$A$2004,0)))</f>
        <v/>
      </c>
      <c r="E580" s="25" t="str">
        <f aca="false">IF($A580="","",SUMIFS(Timesheet!$E$5:$E$3004,Timesheet!$D$5:$D$3004,$A580,Timesheet!$A$5:$A$3004,"&gt;="&amp;Settings!$B$8,Timesheet!$A$5:$A$3004,"&lt;="&amp;Settings!$B$9))</f>
        <v/>
      </c>
      <c r="F580" s="25" t="str">
        <f aca="false">IF($A580="","",SUMIFS(Timesheet!$F$5:$F$3004,Timesheet!$D$5:$D$3004,$A580,Timesheet!$A$5:$A$3004,"&gt;="&amp;Settings!$B$8,Timesheet!$A$5:$A$3004,"&lt;="&amp;Settings!$B$9))</f>
        <v/>
      </c>
      <c r="G580" s="25" t="str">
        <f aca="false">IF($A580="","",SUMIFS(Timesheet!$G$5:$G$3004,Timesheet!$D$5:$D$3004,$A580,Timesheet!$A$5:$A$3004,"&gt;="&amp;Settings!$B$8,Timesheet!$A$5:$A$3004,"&lt;="&amp;Settings!$B$9))</f>
        <v/>
      </c>
      <c r="H580" s="25" t="str">
        <f aca="false">IF($A580="","",IF(D580="Monthly",MAX(0,Settings!$B$11-E580),0))</f>
        <v/>
      </c>
      <c r="I580" s="26" t="str">
        <f aca="false">IF($A580="","",N(INDEX(Workers!$L$5:$L$2004,MATCH($A580,Workers!$A$5:$A$2004,0))))</f>
        <v/>
      </c>
      <c r="J580" s="26" t="str">
        <f aca="false">IF($A580="","",N(INDEX(Workers!$M$5:$M$2004,MATCH($A580,Workers!$A$5:$A$2004,0))))</f>
        <v/>
      </c>
      <c r="K580" s="26" t="str">
        <f aca="false">IF($A580="","",IF(D580="Monthly",ROUND(MAX(0,(I580+J580)-(I580+J580)/Settings!$B$10*H580),2),0))</f>
        <v/>
      </c>
      <c r="L580" s="26" t="str">
        <f aca="false">IF($A580="","",IF(D580="Hourly",ROUND(F580*N(INDEX(Workers!$N$5:$N$2004,MATCH($A580,Workers!$A$5:$A$2004,0))),2),0))</f>
        <v/>
      </c>
      <c r="M580" s="26" t="str">
        <f aca="false">IF($A580="","",ROUND(G580*IF(D580="Hourly",N(INDEX(Workers!$N$5:$N$2004,MATCH($A580,Workers!$A$5:$A$2004,0))),I580/Settings!$B$10/Settings!$B$12)*Settings!$B$13,2))</f>
        <v/>
      </c>
      <c r="N580" s="26" t="str">
        <f aca="false">IF($A580="","",K580+L580+M580)</f>
        <v/>
      </c>
      <c r="O580" s="26" t="str">
        <f aca="false">IF($A580="","",SUMIFS(Deductions!$D$5:$D$2000,Deductions!$B$5:$B$2000,$A580,Deductions!$C$5:$C$2000,"Advance",Deductions!$E$5:$E$2000,"&gt;="&amp;Settings!$B$8,Deductions!$E$5:$E$2000,"&lt;="&amp;Settings!$B$9))</f>
        <v/>
      </c>
      <c r="P580" s="26" t="str">
        <f aca="false">IF($A580="","",SUMIFS(Deductions!$D$5:$D$2000,Deductions!$B$5:$B$2000,$A580,Deductions!$E$5:$E$2000,"&gt;="&amp;Settings!$B$8,Deductions!$E$5:$E$2000,"&lt;="&amp;Settings!$B$9)-O580)</f>
        <v/>
      </c>
      <c r="Q580" s="26" t="str">
        <f aca="false">IF($A580="","",O580+P580)</f>
        <v/>
      </c>
      <c r="R580" s="23" t="str">
        <f aca="false">IF($A580="","",N580-Q580)</f>
        <v/>
      </c>
      <c r="S580" s="24" t="str">
        <f aca="false">IF($A580="","",INDEX(Workers!$O$5:$O$2004,MATCH($A580,Workers!$A$5:$A$2004,0))&amp;"")</f>
        <v/>
      </c>
      <c r="T580" s="24" t="str">
        <f aca="false">IF($A580="","",INDEX(Workers!$P$5:$P$2004,MATCH($A580,Workers!$A$5:$A$2004,0))&amp;"")</f>
        <v/>
      </c>
      <c r="U580" s="24" t="str">
        <f aca="false">IF($A580="","",INDEX(Workers!$H$5:$H$2004,MATCH($A580,Workers!$A$5:$A$2004,0))&amp;"")</f>
        <v/>
      </c>
    </row>
    <row r="581" customFormat="false" ht="15" hidden="false" customHeight="false" outlineLevel="0" collapsed="false">
      <c r="A581" s="24" t="str">
        <f aca="false">IFERROR(INDEX(Workers!$A$5:$A$2004,MATCH(ROW()-4,Workers!$U$5:$U$2004,0)),"")</f>
        <v/>
      </c>
      <c r="B581" s="24" t="str">
        <f aca="false">IF($A581="","",INDEX(Workers!$B$5:$B$2004,MATCH($A581,Workers!$A$5:$A$2004,0)))</f>
        <v/>
      </c>
      <c r="C581" s="24" t="str">
        <f aca="false">IF($A581="","",INDEX(Workers!$E$5:$E$2004,MATCH($A581,Workers!$A$5:$A$2004,0)))</f>
        <v/>
      </c>
      <c r="D581" s="24" t="str">
        <f aca="false">IF($A581="","",INDEX(Workers!$K$5:$K$2004,MATCH($A581,Workers!$A$5:$A$2004,0)))</f>
        <v/>
      </c>
      <c r="E581" s="25" t="str">
        <f aca="false">IF($A581="","",SUMIFS(Timesheet!$E$5:$E$3004,Timesheet!$D$5:$D$3004,$A581,Timesheet!$A$5:$A$3004,"&gt;="&amp;Settings!$B$8,Timesheet!$A$5:$A$3004,"&lt;="&amp;Settings!$B$9))</f>
        <v/>
      </c>
      <c r="F581" s="25" t="str">
        <f aca="false">IF($A581="","",SUMIFS(Timesheet!$F$5:$F$3004,Timesheet!$D$5:$D$3004,$A581,Timesheet!$A$5:$A$3004,"&gt;="&amp;Settings!$B$8,Timesheet!$A$5:$A$3004,"&lt;="&amp;Settings!$B$9))</f>
        <v/>
      </c>
      <c r="G581" s="25" t="str">
        <f aca="false">IF($A581="","",SUMIFS(Timesheet!$G$5:$G$3004,Timesheet!$D$5:$D$3004,$A581,Timesheet!$A$5:$A$3004,"&gt;="&amp;Settings!$B$8,Timesheet!$A$5:$A$3004,"&lt;="&amp;Settings!$B$9))</f>
        <v/>
      </c>
      <c r="H581" s="25" t="str">
        <f aca="false">IF($A581="","",IF(D581="Monthly",MAX(0,Settings!$B$11-E581),0))</f>
        <v/>
      </c>
      <c r="I581" s="26" t="str">
        <f aca="false">IF($A581="","",N(INDEX(Workers!$L$5:$L$2004,MATCH($A581,Workers!$A$5:$A$2004,0))))</f>
        <v/>
      </c>
      <c r="J581" s="26" t="str">
        <f aca="false">IF($A581="","",N(INDEX(Workers!$M$5:$M$2004,MATCH($A581,Workers!$A$5:$A$2004,0))))</f>
        <v/>
      </c>
      <c r="K581" s="26" t="str">
        <f aca="false">IF($A581="","",IF(D581="Monthly",ROUND(MAX(0,(I581+J581)-(I581+J581)/Settings!$B$10*H581),2),0))</f>
        <v/>
      </c>
      <c r="L581" s="26" t="str">
        <f aca="false">IF($A581="","",IF(D581="Hourly",ROUND(F581*N(INDEX(Workers!$N$5:$N$2004,MATCH($A581,Workers!$A$5:$A$2004,0))),2),0))</f>
        <v/>
      </c>
      <c r="M581" s="26" t="str">
        <f aca="false">IF($A581="","",ROUND(G581*IF(D581="Hourly",N(INDEX(Workers!$N$5:$N$2004,MATCH($A581,Workers!$A$5:$A$2004,0))),I581/Settings!$B$10/Settings!$B$12)*Settings!$B$13,2))</f>
        <v/>
      </c>
      <c r="N581" s="26" t="str">
        <f aca="false">IF($A581="","",K581+L581+M581)</f>
        <v/>
      </c>
      <c r="O581" s="26" t="str">
        <f aca="false">IF($A581="","",SUMIFS(Deductions!$D$5:$D$2000,Deductions!$B$5:$B$2000,$A581,Deductions!$C$5:$C$2000,"Advance",Deductions!$E$5:$E$2000,"&gt;="&amp;Settings!$B$8,Deductions!$E$5:$E$2000,"&lt;="&amp;Settings!$B$9))</f>
        <v/>
      </c>
      <c r="P581" s="26" t="str">
        <f aca="false">IF($A581="","",SUMIFS(Deductions!$D$5:$D$2000,Deductions!$B$5:$B$2000,$A581,Deductions!$E$5:$E$2000,"&gt;="&amp;Settings!$B$8,Deductions!$E$5:$E$2000,"&lt;="&amp;Settings!$B$9)-O581)</f>
        <v/>
      </c>
      <c r="Q581" s="26" t="str">
        <f aca="false">IF($A581="","",O581+P581)</f>
        <v/>
      </c>
      <c r="R581" s="23" t="str">
        <f aca="false">IF($A581="","",N581-Q581)</f>
        <v/>
      </c>
      <c r="S581" s="24" t="str">
        <f aca="false">IF($A581="","",INDEX(Workers!$O$5:$O$2004,MATCH($A581,Workers!$A$5:$A$2004,0))&amp;"")</f>
        <v/>
      </c>
      <c r="T581" s="24" t="str">
        <f aca="false">IF($A581="","",INDEX(Workers!$P$5:$P$2004,MATCH($A581,Workers!$A$5:$A$2004,0))&amp;"")</f>
        <v/>
      </c>
      <c r="U581" s="24" t="str">
        <f aca="false">IF($A581="","",INDEX(Workers!$H$5:$H$2004,MATCH($A581,Workers!$A$5:$A$2004,0))&amp;"")</f>
        <v/>
      </c>
    </row>
    <row r="582" customFormat="false" ht="15" hidden="false" customHeight="false" outlineLevel="0" collapsed="false">
      <c r="A582" s="24" t="str">
        <f aca="false">IFERROR(INDEX(Workers!$A$5:$A$2004,MATCH(ROW()-4,Workers!$U$5:$U$2004,0)),"")</f>
        <v/>
      </c>
      <c r="B582" s="24" t="str">
        <f aca="false">IF($A582="","",INDEX(Workers!$B$5:$B$2004,MATCH($A582,Workers!$A$5:$A$2004,0)))</f>
        <v/>
      </c>
      <c r="C582" s="24" t="str">
        <f aca="false">IF($A582="","",INDEX(Workers!$E$5:$E$2004,MATCH($A582,Workers!$A$5:$A$2004,0)))</f>
        <v/>
      </c>
      <c r="D582" s="24" t="str">
        <f aca="false">IF($A582="","",INDEX(Workers!$K$5:$K$2004,MATCH($A582,Workers!$A$5:$A$2004,0)))</f>
        <v/>
      </c>
      <c r="E582" s="25" t="str">
        <f aca="false">IF($A582="","",SUMIFS(Timesheet!$E$5:$E$3004,Timesheet!$D$5:$D$3004,$A582,Timesheet!$A$5:$A$3004,"&gt;="&amp;Settings!$B$8,Timesheet!$A$5:$A$3004,"&lt;="&amp;Settings!$B$9))</f>
        <v/>
      </c>
      <c r="F582" s="25" t="str">
        <f aca="false">IF($A582="","",SUMIFS(Timesheet!$F$5:$F$3004,Timesheet!$D$5:$D$3004,$A582,Timesheet!$A$5:$A$3004,"&gt;="&amp;Settings!$B$8,Timesheet!$A$5:$A$3004,"&lt;="&amp;Settings!$B$9))</f>
        <v/>
      </c>
      <c r="G582" s="25" t="str">
        <f aca="false">IF($A582="","",SUMIFS(Timesheet!$G$5:$G$3004,Timesheet!$D$5:$D$3004,$A582,Timesheet!$A$5:$A$3004,"&gt;="&amp;Settings!$B$8,Timesheet!$A$5:$A$3004,"&lt;="&amp;Settings!$B$9))</f>
        <v/>
      </c>
      <c r="H582" s="25" t="str">
        <f aca="false">IF($A582="","",IF(D582="Monthly",MAX(0,Settings!$B$11-E582),0))</f>
        <v/>
      </c>
      <c r="I582" s="26" t="str">
        <f aca="false">IF($A582="","",N(INDEX(Workers!$L$5:$L$2004,MATCH($A582,Workers!$A$5:$A$2004,0))))</f>
        <v/>
      </c>
      <c r="J582" s="26" t="str">
        <f aca="false">IF($A582="","",N(INDEX(Workers!$M$5:$M$2004,MATCH($A582,Workers!$A$5:$A$2004,0))))</f>
        <v/>
      </c>
      <c r="K582" s="26" t="str">
        <f aca="false">IF($A582="","",IF(D582="Monthly",ROUND(MAX(0,(I582+J582)-(I582+J582)/Settings!$B$10*H582),2),0))</f>
        <v/>
      </c>
      <c r="L582" s="26" t="str">
        <f aca="false">IF($A582="","",IF(D582="Hourly",ROUND(F582*N(INDEX(Workers!$N$5:$N$2004,MATCH($A582,Workers!$A$5:$A$2004,0))),2),0))</f>
        <v/>
      </c>
      <c r="M582" s="26" t="str">
        <f aca="false">IF($A582="","",ROUND(G582*IF(D582="Hourly",N(INDEX(Workers!$N$5:$N$2004,MATCH($A582,Workers!$A$5:$A$2004,0))),I582/Settings!$B$10/Settings!$B$12)*Settings!$B$13,2))</f>
        <v/>
      </c>
      <c r="N582" s="26" t="str">
        <f aca="false">IF($A582="","",K582+L582+M582)</f>
        <v/>
      </c>
      <c r="O582" s="26" t="str">
        <f aca="false">IF($A582="","",SUMIFS(Deductions!$D$5:$D$2000,Deductions!$B$5:$B$2000,$A582,Deductions!$C$5:$C$2000,"Advance",Deductions!$E$5:$E$2000,"&gt;="&amp;Settings!$B$8,Deductions!$E$5:$E$2000,"&lt;="&amp;Settings!$B$9))</f>
        <v/>
      </c>
      <c r="P582" s="26" t="str">
        <f aca="false">IF($A582="","",SUMIFS(Deductions!$D$5:$D$2000,Deductions!$B$5:$B$2000,$A582,Deductions!$E$5:$E$2000,"&gt;="&amp;Settings!$B$8,Deductions!$E$5:$E$2000,"&lt;="&amp;Settings!$B$9)-O582)</f>
        <v/>
      </c>
      <c r="Q582" s="26" t="str">
        <f aca="false">IF($A582="","",O582+P582)</f>
        <v/>
      </c>
      <c r="R582" s="23" t="str">
        <f aca="false">IF($A582="","",N582-Q582)</f>
        <v/>
      </c>
      <c r="S582" s="24" t="str">
        <f aca="false">IF($A582="","",INDEX(Workers!$O$5:$O$2004,MATCH($A582,Workers!$A$5:$A$2004,0))&amp;"")</f>
        <v/>
      </c>
      <c r="T582" s="24" t="str">
        <f aca="false">IF($A582="","",INDEX(Workers!$P$5:$P$2004,MATCH($A582,Workers!$A$5:$A$2004,0))&amp;"")</f>
        <v/>
      </c>
      <c r="U582" s="24" t="str">
        <f aca="false">IF($A582="","",INDEX(Workers!$H$5:$H$2004,MATCH($A582,Workers!$A$5:$A$2004,0))&amp;"")</f>
        <v/>
      </c>
    </row>
    <row r="583" customFormat="false" ht="15" hidden="false" customHeight="false" outlineLevel="0" collapsed="false">
      <c r="A583" s="24" t="str">
        <f aca="false">IFERROR(INDEX(Workers!$A$5:$A$2004,MATCH(ROW()-4,Workers!$U$5:$U$2004,0)),"")</f>
        <v/>
      </c>
      <c r="B583" s="24" t="str">
        <f aca="false">IF($A583="","",INDEX(Workers!$B$5:$B$2004,MATCH($A583,Workers!$A$5:$A$2004,0)))</f>
        <v/>
      </c>
      <c r="C583" s="24" t="str">
        <f aca="false">IF($A583="","",INDEX(Workers!$E$5:$E$2004,MATCH($A583,Workers!$A$5:$A$2004,0)))</f>
        <v/>
      </c>
      <c r="D583" s="24" t="str">
        <f aca="false">IF($A583="","",INDEX(Workers!$K$5:$K$2004,MATCH($A583,Workers!$A$5:$A$2004,0)))</f>
        <v/>
      </c>
      <c r="E583" s="25" t="str">
        <f aca="false">IF($A583="","",SUMIFS(Timesheet!$E$5:$E$3004,Timesheet!$D$5:$D$3004,$A583,Timesheet!$A$5:$A$3004,"&gt;="&amp;Settings!$B$8,Timesheet!$A$5:$A$3004,"&lt;="&amp;Settings!$B$9))</f>
        <v/>
      </c>
      <c r="F583" s="25" t="str">
        <f aca="false">IF($A583="","",SUMIFS(Timesheet!$F$5:$F$3004,Timesheet!$D$5:$D$3004,$A583,Timesheet!$A$5:$A$3004,"&gt;="&amp;Settings!$B$8,Timesheet!$A$5:$A$3004,"&lt;="&amp;Settings!$B$9))</f>
        <v/>
      </c>
      <c r="G583" s="25" t="str">
        <f aca="false">IF($A583="","",SUMIFS(Timesheet!$G$5:$G$3004,Timesheet!$D$5:$D$3004,$A583,Timesheet!$A$5:$A$3004,"&gt;="&amp;Settings!$B$8,Timesheet!$A$5:$A$3004,"&lt;="&amp;Settings!$B$9))</f>
        <v/>
      </c>
      <c r="H583" s="25" t="str">
        <f aca="false">IF($A583="","",IF(D583="Monthly",MAX(0,Settings!$B$11-E583),0))</f>
        <v/>
      </c>
      <c r="I583" s="26" t="str">
        <f aca="false">IF($A583="","",N(INDEX(Workers!$L$5:$L$2004,MATCH($A583,Workers!$A$5:$A$2004,0))))</f>
        <v/>
      </c>
      <c r="J583" s="26" t="str">
        <f aca="false">IF($A583="","",N(INDEX(Workers!$M$5:$M$2004,MATCH($A583,Workers!$A$5:$A$2004,0))))</f>
        <v/>
      </c>
      <c r="K583" s="26" t="str">
        <f aca="false">IF($A583="","",IF(D583="Monthly",ROUND(MAX(0,(I583+J583)-(I583+J583)/Settings!$B$10*H583),2),0))</f>
        <v/>
      </c>
      <c r="L583" s="26" t="str">
        <f aca="false">IF($A583="","",IF(D583="Hourly",ROUND(F583*N(INDEX(Workers!$N$5:$N$2004,MATCH($A583,Workers!$A$5:$A$2004,0))),2),0))</f>
        <v/>
      </c>
      <c r="M583" s="26" t="str">
        <f aca="false">IF($A583="","",ROUND(G583*IF(D583="Hourly",N(INDEX(Workers!$N$5:$N$2004,MATCH($A583,Workers!$A$5:$A$2004,0))),I583/Settings!$B$10/Settings!$B$12)*Settings!$B$13,2))</f>
        <v/>
      </c>
      <c r="N583" s="26" t="str">
        <f aca="false">IF($A583="","",K583+L583+M583)</f>
        <v/>
      </c>
      <c r="O583" s="26" t="str">
        <f aca="false">IF($A583="","",SUMIFS(Deductions!$D$5:$D$2000,Deductions!$B$5:$B$2000,$A583,Deductions!$C$5:$C$2000,"Advance",Deductions!$E$5:$E$2000,"&gt;="&amp;Settings!$B$8,Deductions!$E$5:$E$2000,"&lt;="&amp;Settings!$B$9))</f>
        <v/>
      </c>
      <c r="P583" s="26" t="str">
        <f aca="false">IF($A583="","",SUMIFS(Deductions!$D$5:$D$2000,Deductions!$B$5:$B$2000,$A583,Deductions!$E$5:$E$2000,"&gt;="&amp;Settings!$B$8,Deductions!$E$5:$E$2000,"&lt;="&amp;Settings!$B$9)-O583)</f>
        <v/>
      </c>
      <c r="Q583" s="26" t="str">
        <f aca="false">IF($A583="","",O583+P583)</f>
        <v/>
      </c>
      <c r="R583" s="23" t="str">
        <f aca="false">IF($A583="","",N583-Q583)</f>
        <v/>
      </c>
      <c r="S583" s="24" t="str">
        <f aca="false">IF($A583="","",INDEX(Workers!$O$5:$O$2004,MATCH($A583,Workers!$A$5:$A$2004,0))&amp;"")</f>
        <v/>
      </c>
      <c r="T583" s="24" t="str">
        <f aca="false">IF($A583="","",INDEX(Workers!$P$5:$P$2004,MATCH($A583,Workers!$A$5:$A$2004,0))&amp;"")</f>
        <v/>
      </c>
      <c r="U583" s="24" t="str">
        <f aca="false">IF($A583="","",INDEX(Workers!$H$5:$H$2004,MATCH($A583,Workers!$A$5:$A$2004,0))&amp;"")</f>
        <v/>
      </c>
    </row>
    <row r="584" customFormat="false" ht="15" hidden="false" customHeight="false" outlineLevel="0" collapsed="false">
      <c r="A584" s="24" t="str">
        <f aca="false">IFERROR(INDEX(Workers!$A$5:$A$2004,MATCH(ROW()-4,Workers!$U$5:$U$2004,0)),"")</f>
        <v/>
      </c>
      <c r="B584" s="24" t="str">
        <f aca="false">IF($A584="","",INDEX(Workers!$B$5:$B$2004,MATCH($A584,Workers!$A$5:$A$2004,0)))</f>
        <v/>
      </c>
      <c r="C584" s="24" t="str">
        <f aca="false">IF($A584="","",INDEX(Workers!$E$5:$E$2004,MATCH($A584,Workers!$A$5:$A$2004,0)))</f>
        <v/>
      </c>
      <c r="D584" s="24" t="str">
        <f aca="false">IF($A584="","",INDEX(Workers!$K$5:$K$2004,MATCH($A584,Workers!$A$5:$A$2004,0)))</f>
        <v/>
      </c>
      <c r="E584" s="25" t="str">
        <f aca="false">IF($A584="","",SUMIFS(Timesheet!$E$5:$E$3004,Timesheet!$D$5:$D$3004,$A584,Timesheet!$A$5:$A$3004,"&gt;="&amp;Settings!$B$8,Timesheet!$A$5:$A$3004,"&lt;="&amp;Settings!$B$9))</f>
        <v/>
      </c>
      <c r="F584" s="25" t="str">
        <f aca="false">IF($A584="","",SUMIFS(Timesheet!$F$5:$F$3004,Timesheet!$D$5:$D$3004,$A584,Timesheet!$A$5:$A$3004,"&gt;="&amp;Settings!$B$8,Timesheet!$A$5:$A$3004,"&lt;="&amp;Settings!$B$9))</f>
        <v/>
      </c>
      <c r="G584" s="25" t="str">
        <f aca="false">IF($A584="","",SUMIFS(Timesheet!$G$5:$G$3004,Timesheet!$D$5:$D$3004,$A584,Timesheet!$A$5:$A$3004,"&gt;="&amp;Settings!$B$8,Timesheet!$A$5:$A$3004,"&lt;="&amp;Settings!$B$9))</f>
        <v/>
      </c>
      <c r="H584" s="25" t="str">
        <f aca="false">IF($A584="","",IF(D584="Monthly",MAX(0,Settings!$B$11-E584),0))</f>
        <v/>
      </c>
      <c r="I584" s="26" t="str">
        <f aca="false">IF($A584="","",N(INDEX(Workers!$L$5:$L$2004,MATCH($A584,Workers!$A$5:$A$2004,0))))</f>
        <v/>
      </c>
      <c r="J584" s="26" t="str">
        <f aca="false">IF($A584="","",N(INDEX(Workers!$M$5:$M$2004,MATCH($A584,Workers!$A$5:$A$2004,0))))</f>
        <v/>
      </c>
      <c r="K584" s="26" t="str">
        <f aca="false">IF($A584="","",IF(D584="Monthly",ROUND(MAX(0,(I584+J584)-(I584+J584)/Settings!$B$10*H584),2),0))</f>
        <v/>
      </c>
      <c r="L584" s="26" t="str">
        <f aca="false">IF($A584="","",IF(D584="Hourly",ROUND(F584*N(INDEX(Workers!$N$5:$N$2004,MATCH($A584,Workers!$A$5:$A$2004,0))),2),0))</f>
        <v/>
      </c>
      <c r="M584" s="26" t="str">
        <f aca="false">IF($A584="","",ROUND(G584*IF(D584="Hourly",N(INDEX(Workers!$N$5:$N$2004,MATCH($A584,Workers!$A$5:$A$2004,0))),I584/Settings!$B$10/Settings!$B$12)*Settings!$B$13,2))</f>
        <v/>
      </c>
      <c r="N584" s="26" t="str">
        <f aca="false">IF($A584="","",K584+L584+M584)</f>
        <v/>
      </c>
      <c r="O584" s="26" t="str">
        <f aca="false">IF($A584="","",SUMIFS(Deductions!$D$5:$D$2000,Deductions!$B$5:$B$2000,$A584,Deductions!$C$5:$C$2000,"Advance",Deductions!$E$5:$E$2000,"&gt;="&amp;Settings!$B$8,Deductions!$E$5:$E$2000,"&lt;="&amp;Settings!$B$9))</f>
        <v/>
      </c>
      <c r="P584" s="26" t="str">
        <f aca="false">IF($A584="","",SUMIFS(Deductions!$D$5:$D$2000,Deductions!$B$5:$B$2000,$A584,Deductions!$E$5:$E$2000,"&gt;="&amp;Settings!$B$8,Deductions!$E$5:$E$2000,"&lt;="&amp;Settings!$B$9)-O584)</f>
        <v/>
      </c>
      <c r="Q584" s="26" t="str">
        <f aca="false">IF($A584="","",O584+P584)</f>
        <v/>
      </c>
      <c r="R584" s="23" t="str">
        <f aca="false">IF($A584="","",N584-Q584)</f>
        <v/>
      </c>
      <c r="S584" s="24" t="str">
        <f aca="false">IF($A584="","",INDEX(Workers!$O$5:$O$2004,MATCH($A584,Workers!$A$5:$A$2004,0))&amp;"")</f>
        <v/>
      </c>
      <c r="T584" s="24" t="str">
        <f aca="false">IF($A584="","",INDEX(Workers!$P$5:$P$2004,MATCH($A584,Workers!$A$5:$A$2004,0))&amp;"")</f>
        <v/>
      </c>
      <c r="U584" s="24" t="str">
        <f aca="false">IF($A584="","",INDEX(Workers!$H$5:$H$2004,MATCH($A584,Workers!$A$5:$A$2004,0))&amp;"")</f>
        <v/>
      </c>
    </row>
    <row r="585" customFormat="false" ht="15" hidden="false" customHeight="false" outlineLevel="0" collapsed="false">
      <c r="A585" s="24" t="str">
        <f aca="false">IFERROR(INDEX(Workers!$A$5:$A$2004,MATCH(ROW()-4,Workers!$U$5:$U$2004,0)),"")</f>
        <v/>
      </c>
      <c r="B585" s="24" t="str">
        <f aca="false">IF($A585="","",INDEX(Workers!$B$5:$B$2004,MATCH($A585,Workers!$A$5:$A$2004,0)))</f>
        <v/>
      </c>
      <c r="C585" s="24" t="str">
        <f aca="false">IF($A585="","",INDEX(Workers!$E$5:$E$2004,MATCH($A585,Workers!$A$5:$A$2004,0)))</f>
        <v/>
      </c>
      <c r="D585" s="24" t="str">
        <f aca="false">IF($A585="","",INDEX(Workers!$K$5:$K$2004,MATCH($A585,Workers!$A$5:$A$2004,0)))</f>
        <v/>
      </c>
      <c r="E585" s="25" t="str">
        <f aca="false">IF($A585="","",SUMIFS(Timesheet!$E$5:$E$3004,Timesheet!$D$5:$D$3004,$A585,Timesheet!$A$5:$A$3004,"&gt;="&amp;Settings!$B$8,Timesheet!$A$5:$A$3004,"&lt;="&amp;Settings!$B$9))</f>
        <v/>
      </c>
      <c r="F585" s="25" t="str">
        <f aca="false">IF($A585="","",SUMIFS(Timesheet!$F$5:$F$3004,Timesheet!$D$5:$D$3004,$A585,Timesheet!$A$5:$A$3004,"&gt;="&amp;Settings!$B$8,Timesheet!$A$5:$A$3004,"&lt;="&amp;Settings!$B$9))</f>
        <v/>
      </c>
      <c r="G585" s="25" t="str">
        <f aca="false">IF($A585="","",SUMIFS(Timesheet!$G$5:$G$3004,Timesheet!$D$5:$D$3004,$A585,Timesheet!$A$5:$A$3004,"&gt;="&amp;Settings!$B$8,Timesheet!$A$5:$A$3004,"&lt;="&amp;Settings!$B$9))</f>
        <v/>
      </c>
      <c r="H585" s="25" t="str">
        <f aca="false">IF($A585="","",IF(D585="Monthly",MAX(0,Settings!$B$11-E585),0))</f>
        <v/>
      </c>
      <c r="I585" s="26" t="str">
        <f aca="false">IF($A585="","",N(INDEX(Workers!$L$5:$L$2004,MATCH($A585,Workers!$A$5:$A$2004,0))))</f>
        <v/>
      </c>
      <c r="J585" s="26" t="str">
        <f aca="false">IF($A585="","",N(INDEX(Workers!$M$5:$M$2004,MATCH($A585,Workers!$A$5:$A$2004,0))))</f>
        <v/>
      </c>
      <c r="K585" s="26" t="str">
        <f aca="false">IF($A585="","",IF(D585="Monthly",ROUND(MAX(0,(I585+J585)-(I585+J585)/Settings!$B$10*H585),2),0))</f>
        <v/>
      </c>
      <c r="L585" s="26" t="str">
        <f aca="false">IF($A585="","",IF(D585="Hourly",ROUND(F585*N(INDEX(Workers!$N$5:$N$2004,MATCH($A585,Workers!$A$5:$A$2004,0))),2),0))</f>
        <v/>
      </c>
      <c r="M585" s="26" t="str">
        <f aca="false">IF($A585="","",ROUND(G585*IF(D585="Hourly",N(INDEX(Workers!$N$5:$N$2004,MATCH($A585,Workers!$A$5:$A$2004,0))),I585/Settings!$B$10/Settings!$B$12)*Settings!$B$13,2))</f>
        <v/>
      </c>
      <c r="N585" s="26" t="str">
        <f aca="false">IF($A585="","",K585+L585+M585)</f>
        <v/>
      </c>
      <c r="O585" s="26" t="str">
        <f aca="false">IF($A585="","",SUMIFS(Deductions!$D$5:$D$2000,Deductions!$B$5:$B$2000,$A585,Deductions!$C$5:$C$2000,"Advance",Deductions!$E$5:$E$2000,"&gt;="&amp;Settings!$B$8,Deductions!$E$5:$E$2000,"&lt;="&amp;Settings!$B$9))</f>
        <v/>
      </c>
      <c r="P585" s="26" t="str">
        <f aca="false">IF($A585="","",SUMIFS(Deductions!$D$5:$D$2000,Deductions!$B$5:$B$2000,$A585,Deductions!$E$5:$E$2000,"&gt;="&amp;Settings!$B$8,Deductions!$E$5:$E$2000,"&lt;="&amp;Settings!$B$9)-O585)</f>
        <v/>
      </c>
      <c r="Q585" s="26" t="str">
        <f aca="false">IF($A585="","",O585+P585)</f>
        <v/>
      </c>
      <c r="R585" s="23" t="str">
        <f aca="false">IF($A585="","",N585-Q585)</f>
        <v/>
      </c>
      <c r="S585" s="24" t="str">
        <f aca="false">IF($A585="","",INDEX(Workers!$O$5:$O$2004,MATCH($A585,Workers!$A$5:$A$2004,0))&amp;"")</f>
        <v/>
      </c>
      <c r="T585" s="24" t="str">
        <f aca="false">IF($A585="","",INDEX(Workers!$P$5:$P$2004,MATCH($A585,Workers!$A$5:$A$2004,0))&amp;"")</f>
        <v/>
      </c>
      <c r="U585" s="24" t="str">
        <f aca="false">IF($A585="","",INDEX(Workers!$H$5:$H$2004,MATCH($A585,Workers!$A$5:$A$2004,0))&amp;"")</f>
        <v/>
      </c>
    </row>
    <row r="586" customFormat="false" ht="15" hidden="false" customHeight="false" outlineLevel="0" collapsed="false">
      <c r="A586" s="24" t="str">
        <f aca="false">IFERROR(INDEX(Workers!$A$5:$A$2004,MATCH(ROW()-4,Workers!$U$5:$U$2004,0)),"")</f>
        <v/>
      </c>
      <c r="B586" s="24" t="str">
        <f aca="false">IF($A586="","",INDEX(Workers!$B$5:$B$2004,MATCH($A586,Workers!$A$5:$A$2004,0)))</f>
        <v/>
      </c>
      <c r="C586" s="24" t="str">
        <f aca="false">IF($A586="","",INDEX(Workers!$E$5:$E$2004,MATCH($A586,Workers!$A$5:$A$2004,0)))</f>
        <v/>
      </c>
      <c r="D586" s="24" t="str">
        <f aca="false">IF($A586="","",INDEX(Workers!$K$5:$K$2004,MATCH($A586,Workers!$A$5:$A$2004,0)))</f>
        <v/>
      </c>
      <c r="E586" s="25" t="str">
        <f aca="false">IF($A586="","",SUMIFS(Timesheet!$E$5:$E$3004,Timesheet!$D$5:$D$3004,$A586,Timesheet!$A$5:$A$3004,"&gt;="&amp;Settings!$B$8,Timesheet!$A$5:$A$3004,"&lt;="&amp;Settings!$B$9))</f>
        <v/>
      </c>
      <c r="F586" s="25" t="str">
        <f aca="false">IF($A586="","",SUMIFS(Timesheet!$F$5:$F$3004,Timesheet!$D$5:$D$3004,$A586,Timesheet!$A$5:$A$3004,"&gt;="&amp;Settings!$B$8,Timesheet!$A$5:$A$3004,"&lt;="&amp;Settings!$B$9))</f>
        <v/>
      </c>
      <c r="G586" s="25" t="str">
        <f aca="false">IF($A586="","",SUMIFS(Timesheet!$G$5:$G$3004,Timesheet!$D$5:$D$3004,$A586,Timesheet!$A$5:$A$3004,"&gt;="&amp;Settings!$B$8,Timesheet!$A$5:$A$3004,"&lt;="&amp;Settings!$B$9))</f>
        <v/>
      </c>
      <c r="H586" s="25" t="str">
        <f aca="false">IF($A586="","",IF(D586="Monthly",MAX(0,Settings!$B$11-E586),0))</f>
        <v/>
      </c>
      <c r="I586" s="26" t="str">
        <f aca="false">IF($A586="","",N(INDEX(Workers!$L$5:$L$2004,MATCH($A586,Workers!$A$5:$A$2004,0))))</f>
        <v/>
      </c>
      <c r="J586" s="26" t="str">
        <f aca="false">IF($A586="","",N(INDEX(Workers!$M$5:$M$2004,MATCH($A586,Workers!$A$5:$A$2004,0))))</f>
        <v/>
      </c>
      <c r="K586" s="26" t="str">
        <f aca="false">IF($A586="","",IF(D586="Monthly",ROUND(MAX(0,(I586+J586)-(I586+J586)/Settings!$B$10*H586),2),0))</f>
        <v/>
      </c>
      <c r="L586" s="26" t="str">
        <f aca="false">IF($A586="","",IF(D586="Hourly",ROUND(F586*N(INDEX(Workers!$N$5:$N$2004,MATCH($A586,Workers!$A$5:$A$2004,0))),2),0))</f>
        <v/>
      </c>
      <c r="M586" s="26" t="str">
        <f aca="false">IF($A586="","",ROUND(G586*IF(D586="Hourly",N(INDEX(Workers!$N$5:$N$2004,MATCH($A586,Workers!$A$5:$A$2004,0))),I586/Settings!$B$10/Settings!$B$12)*Settings!$B$13,2))</f>
        <v/>
      </c>
      <c r="N586" s="26" t="str">
        <f aca="false">IF($A586="","",K586+L586+M586)</f>
        <v/>
      </c>
      <c r="O586" s="26" t="str">
        <f aca="false">IF($A586="","",SUMIFS(Deductions!$D$5:$D$2000,Deductions!$B$5:$B$2000,$A586,Deductions!$C$5:$C$2000,"Advance",Deductions!$E$5:$E$2000,"&gt;="&amp;Settings!$B$8,Deductions!$E$5:$E$2000,"&lt;="&amp;Settings!$B$9))</f>
        <v/>
      </c>
      <c r="P586" s="26" t="str">
        <f aca="false">IF($A586="","",SUMIFS(Deductions!$D$5:$D$2000,Deductions!$B$5:$B$2000,$A586,Deductions!$E$5:$E$2000,"&gt;="&amp;Settings!$B$8,Deductions!$E$5:$E$2000,"&lt;="&amp;Settings!$B$9)-O586)</f>
        <v/>
      </c>
      <c r="Q586" s="26" t="str">
        <f aca="false">IF($A586="","",O586+P586)</f>
        <v/>
      </c>
      <c r="R586" s="23" t="str">
        <f aca="false">IF($A586="","",N586-Q586)</f>
        <v/>
      </c>
      <c r="S586" s="24" t="str">
        <f aca="false">IF($A586="","",INDEX(Workers!$O$5:$O$2004,MATCH($A586,Workers!$A$5:$A$2004,0))&amp;"")</f>
        <v/>
      </c>
      <c r="T586" s="24" t="str">
        <f aca="false">IF($A586="","",INDEX(Workers!$P$5:$P$2004,MATCH($A586,Workers!$A$5:$A$2004,0))&amp;"")</f>
        <v/>
      </c>
      <c r="U586" s="24" t="str">
        <f aca="false">IF($A586="","",INDEX(Workers!$H$5:$H$2004,MATCH($A586,Workers!$A$5:$A$2004,0))&amp;"")</f>
        <v/>
      </c>
    </row>
    <row r="587" customFormat="false" ht="15" hidden="false" customHeight="false" outlineLevel="0" collapsed="false">
      <c r="A587" s="24" t="str">
        <f aca="false">IFERROR(INDEX(Workers!$A$5:$A$2004,MATCH(ROW()-4,Workers!$U$5:$U$2004,0)),"")</f>
        <v/>
      </c>
      <c r="B587" s="24" t="str">
        <f aca="false">IF($A587="","",INDEX(Workers!$B$5:$B$2004,MATCH($A587,Workers!$A$5:$A$2004,0)))</f>
        <v/>
      </c>
      <c r="C587" s="24" t="str">
        <f aca="false">IF($A587="","",INDEX(Workers!$E$5:$E$2004,MATCH($A587,Workers!$A$5:$A$2004,0)))</f>
        <v/>
      </c>
      <c r="D587" s="24" t="str">
        <f aca="false">IF($A587="","",INDEX(Workers!$K$5:$K$2004,MATCH($A587,Workers!$A$5:$A$2004,0)))</f>
        <v/>
      </c>
      <c r="E587" s="25" t="str">
        <f aca="false">IF($A587="","",SUMIFS(Timesheet!$E$5:$E$3004,Timesheet!$D$5:$D$3004,$A587,Timesheet!$A$5:$A$3004,"&gt;="&amp;Settings!$B$8,Timesheet!$A$5:$A$3004,"&lt;="&amp;Settings!$B$9))</f>
        <v/>
      </c>
      <c r="F587" s="25" t="str">
        <f aca="false">IF($A587="","",SUMIFS(Timesheet!$F$5:$F$3004,Timesheet!$D$5:$D$3004,$A587,Timesheet!$A$5:$A$3004,"&gt;="&amp;Settings!$B$8,Timesheet!$A$5:$A$3004,"&lt;="&amp;Settings!$B$9))</f>
        <v/>
      </c>
      <c r="G587" s="25" t="str">
        <f aca="false">IF($A587="","",SUMIFS(Timesheet!$G$5:$G$3004,Timesheet!$D$5:$D$3004,$A587,Timesheet!$A$5:$A$3004,"&gt;="&amp;Settings!$B$8,Timesheet!$A$5:$A$3004,"&lt;="&amp;Settings!$B$9))</f>
        <v/>
      </c>
      <c r="H587" s="25" t="str">
        <f aca="false">IF($A587="","",IF(D587="Monthly",MAX(0,Settings!$B$11-E587),0))</f>
        <v/>
      </c>
      <c r="I587" s="26" t="str">
        <f aca="false">IF($A587="","",N(INDEX(Workers!$L$5:$L$2004,MATCH($A587,Workers!$A$5:$A$2004,0))))</f>
        <v/>
      </c>
      <c r="J587" s="26" t="str">
        <f aca="false">IF($A587="","",N(INDEX(Workers!$M$5:$M$2004,MATCH($A587,Workers!$A$5:$A$2004,0))))</f>
        <v/>
      </c>
      <c r="K587" s="26" t="str">
        <f aca="false">IF($A587="","",IF(D587="Monthly",ROUND(MAX(0,(I587+J587)-(I587+J587)/Settings!$B$10*H587),2),0))</f>
        <v/>
      </c>
      <c r="L587" s="26" t="str">
        <f aca="false">IF($A587="","",IF(D587="Hourly",ROUND(F587*N(INDEX(Workers!$N$5:$N$2004,MATCH($A587,Workers!$A$5:$A$2004,0))),2),0))</f>
        <v/>
      </c>
      <c r="M587" s="26" t="str">
        <f aca="false">IF($A587="","",ROUND(G587*IF(D587="Hourly",N(INDEX(Workers!$N$5:$N$2004,MATCH($A587,Workers!$A$5:$A$2004,0))),I587/Settings!$B$10/Settings!$B$12)*Settings!$B$13,2))</f>
        <v/>
      </c>
      <c r="N587" s="26" t="str">
        <f aca="false">IF($A587="","",K587+L587+M587)</f>
        <v/>
      </c>
      <c r="O587" s="26" t="str">
        <f aca="false">IF($A587="","",SUMIFS(Deductions!$D$5:$D$2000,Deductions!$B$5:$B$2000,$A587,Deductions!$C$5:$C$2000,"Advance",Deductions!$E$5:$E$2000,"&gt;="&amp;Settings!$B$8,Deductions!$E$5:$E$2000,"&lt;="&amp;Settings!$B$9))</f>
        <v/>
      </c>
      <c r="P587" s="26" t="str">
        <f aca="false">IF($A587="","",SUMIFS(Deductions!$D$5:$D$2000,Deductions!$B$5:$B$2000,$A587,Deductions!$E$5:$E$2000,"&gt;="&amp;Settings!$B$8,Deductions!$E$5:$E$2000,"&lt;="&amp;Settings!$B$9)-O587)</f>
        <v/>
      </c>
      <c r="Q587" s="26" t="str">
        <f aca="false">IF($A587="","",O587+P587)</f>
        <v/>
      </c>
      <c r="R587" s="23" t="str">
        <f aca="false">IF($A587="","",N587-Q587)</f>
        <v/>
      </c>
      <c r="S587" s="24" t="str">
        <f aca="false">IF($A587="","",INDEX(Workers!$O$5:$O$2004,MATCH($A587,Workers!$A$5:$A$2004,0))&amp;"")</f>
        <v/>
      </c>
      <c r="T587" s="24" t="str">
        <f aca="false">IF($A587="","",INDEX(Workers!$P$5:$P$2004,MATCH($A587,Workers!$A$5:$A$2004,0))&amp;"")</f>
        <v/>
      </c>
      <c r="U587" s="24" t="str">
        <f aca="false">IF($A587="","",INDEX(Workers!$H$5:$H$2004,MATCH($A587,Workers!$A$5:$A$2004,0))&amp;"")</f>
        <v/>
      </c>
    </row>
    <row r="588" customFormat="false" ht="15" hidden="false" customHeight="false" outlineLevel="0" collapsed="false">
      <c r="A588" s="24" t="str">
        <f aca="false">IFERROR(INDEX(Workers!$A$5:$A$2004,MATCH(ROW()-4,Workers!$U$5:$U$2004,0)),"")</f>
        <v/>
      </c>
      <c r="B588" s="24" t="str">
        <f aca="false">IF($A588="","",INDEX(Workers!$B$5:$B$2004,MATCH($A588,Workers!$A$5:$A$2004,0)))</f>
        <v/>
      </c>
      <c r="C588" s="24" t="str">
        <f aca="false">IF($A588="","",INDEX(Workers!$E$5:$E$2004,MATCH($A588,Workers!$A$5:$A$2004,0)))</f>
        <v/>
      </c>
      <c r="D588" s="24" t="str">
        <f aca="false">IF($A588="","",INDEX(Workers!$K$5:$K$2004,MATCH($A588,Workers!$A$5:$A$2004,0)))</f>
        <v/>
      </c>
      <c r="E588" s="25" t="str">
        <f aca="false">IF($A588="","",SUMIFS(Timesheet!$E$5:$E$3004,Timesheet!$D$5:$D$3004,$A588,Timesheet!$A$5:$A$3004,"&gt;="&amp;Settings!$B$8,Timesheet!$A$5:$A$3004,"&lt;="&amp;Settings!$B$9))</f>
        <v/>
      </c>
      <c r="F588" s="25" t="str">
        <f aca="false">IF($A588="","",SUMIFS(Timesheet!$F$5:$F$3004,Timesheet!$D$5:$D$3004,$A588,Timesheet!$A$5:$A$3004,"&gt;="&amp;Settings!$B$8,Timesheet!$A$5:$A$3004,"&lt;="&amp;Settings!$B$9))</f>
        <v/>
      </c>
      <c r="G588" s="25" t="str">
        <f aca="false">IF($A588="","",SUMIFS(Timesheet!$G$5:$G$3004,Timesheet!$D$5:$D$3004,$A588,Timesheet!$A$5:$A$3004,"&gt;="&amp;Settings!$B$8,Timesheet!$A$5:$A$3004,"&lt;="&amp;Settings!$B$9))</f>
        <v/>
      </c>
      <c r="H588" s="25" t="str">
        <f aca="false">IF($A588="","",IF(D588="Monthly",MAX(0,Settings!$B$11-E588),0))</f>
        <v/>
      </c>
      <c r="I588" s="26" t="str">
        <f aca="false">IF($A588="","",N(INDEX(Workers!$L$5:$L$2004,MATCH($A588,Workers!$A$5:$A$2004,0))))</f>
        <v/>
      </c>
      <c r="J588" s="26" t="str">
        <f aca="false">IF($A588="","",N(INDEX(Workers!$M$5:$M$2004,MATCH($A588,Workers!$A$5:$A$2004,0))))</f>
        <v/>
      </c>
      <c r="K588" s="26" t="str">
        <f aca="false">IF($A588="","",IF(D588="Monthly",ROUND(MAX(0,(I588+J588)-(I588+J588)/Settings!$B$10*H588),2),0))</f>
        <v/>
      </c>
      <c r="L588" s="26" t="str">
        <f aca="false">IF($A588="","",IF(D588="Hourly",ROUND(F588*N(INDEX(Workers!$N$5:$N$2004,MATCH($A588,Workers!$A$5:$A$2004,0))),2),0))</f>
        <v/>
      </c>
      <c r="M588" s="26" t="str">
        <f aca="false">IF($A588="","",ROUND(G588*IF(D588="Hourly",N(INDEX(Workers!$N$5:$N$2004,MATCH($A588,Workers!$A$5:$A$2004,0))),I588/Settings!$B$10/Settings!$B$12)*Settings!$B$13,2))</f>
        <v/>
      </c>
      <c r="N588" s="26" t="str">
        <f aca="false">IF($A588="","",K588+L588+M588)</f>
        <v/>
      </c>
      <c r="O588" s="26" t="str">
        <f aca="false">IF($A588="","",SUMIFS(Deductions!$D$5:$D$2000,Deductions!$B$5:$B$2000,$A588,Deductions!$C$5:$C$2000,"Advance",Deductions!$E$5:$E$2000,"&gt;="&amp;Settings!$B$8,Deductions!$E$5:$E$2000,"&lt;="&amp;Settings!$B$9))</f>
        <v/>
      </c>
      <c r="P588" s="26" t="str">
        <f aca="false">IF($A588="","",SUMIFS(Deductions!$D$5:$D$2000,Deductions!$B$5:$B$2000,$A588,Deductions!$E$5:$E$2000,"&gt;="&amp;Settings!$B$8,Deductions!$E$5:$E$2000,"&lt;="&amp;Settings!$B$9)-O588)</f>
        <v/>
      </c>
      <c r="Q588" s="26" t="str">
        <f aca="false">IF($A588="","",O588+P588)</f>
        <v/>
      </c>
      <c r="R588" s="23" t="str">
        <f aca="false">IF($A588="","",N588-Q588)</f>
        <v/>
      </c>
      <c r="S588" s="24" t="str">
        <f aca="false">IF($A588="","",INDEX(Workers!$O$5:$O$2004,MATCH($A588,Workers!$A$5:$A$2004,0))&amp;"")</f>
        <v/>
      </c>
      <c r="T588" s="24" t="str">
        <f aca="false">IF($A588="","",INDEX(Workers!$P$5:$P$2004,MATCH($A588,Workers!$A$5:$A$2004,0))&amp;"")</f>
        <v/>
      </c>
      <c r="U588" s="24" t="str">
        <f aca="false">IF($A588="","",INDEX(Workers!$H$5:$H$2004,MATCH($A588,Workers!$A$5:$A$2004,0))&amp;"")</f>
        <v/>
      </c>
    </row>
    <row r="589" customFormat="false" ht="15" hidden="false" customHeight="false" outlineLevel="0" collapsed="false">
      <c r="A589" s="24" t="str">
        <f aca="false">IFERROR(INDEX(Workers!$A$5:$A$2004,MATCH(ROW()-4,Workers!$U$5:$U$2004,0)),"")</f>
        <v/>
      </c>
      <c r="B589" s="24" t="str">
        <f aca="false">IF($A589="","",INDEX(Workers!$B$5:$B$2004,MATCH($A589,Workers!$A$5:$A$2004,0)))</f>
        <v/>
      </c>
      <c r="C589" s="24" t="str">
        <f aca="false">IF($A589="","",INDEX(Workers!$E$5:$E$2004,MATCH($A589,Workers!$A$5:$A$2004,0)))</f>
        <v/>
      </c>
      <c r="D589" s="24" t="str">
        <f aca="false">IF($A589="","",INDEX(Workers!$K$5:$K$2004,MATCH($A589,Workers!$A$5:$A$2004,0)))</f>
        <v/>
      </c>
      <c r="E589" s="25" t="str">
        <f aca="false">IF($A589="","",SUMIFS(Timesheet!$E$5:$E$3004,Timesheet!$D$5:$D$3004,$A589,Timesheet!$A$5:$A$3004,"&gt;="&amp;Settings!$B$8,Timesheet!$A$5:$A$3004,"&lt;="&amp;Settings!$B$9))</f>
        <v/>
      </c>
      <c r="F589" s="25" t="str">
        <f aca="false">IF($A589="","",SUMIFS(Timesheet!$F$5:$F$3004,Timesheet!$D$5:$D$3004,$A589,Timesheet!$A$5:$A$3004,"&gt;="&amp;Settings!$B$8,Timesheet!$A$5:$A$3004,"&lt;="&amp;Settings!$B$9))</f>
        <v/>
      </c>
      <c r="G589" s="25" t="str">
        <f aca="false">IF($A589="","",SUMIFS(Timesheet!$G$5:$G$3004,Timesheet!$D$5:$D$3004,$A589,Timesheet!$A$5:$A$3004,"&gt;="&amp;Settings!$B$8,Timesheet!$A$5:$A$3004,"&lt;="&amp;Settings!$B$9))</f>
        <v/>
      </c>
      <c r="H589" s="25" t="str">
        <f aca="false">IF($A589="","",IF(D589="Monthly",MAX(0,Settings!$B$11-E589),0))</f>
        <v/>
      </c>
      <c r="I589" s="26" t="str">
        <f aca="false">IF($A589="","",N(INDEX(Workers!$L$5:$L$2004,MATCH($A589,Workers!$A$5:$A$2004,0))))</f>
        <v/>
      </c>
      <c r="J589" s="26" t="str">
        <f aca="false">IF($A589="","",N(INDEX(Workers!$M$5:$M$2004,MATCH($A589,Workers!$A$5:$A$2004,0))))</f>
        <v/>
      </c>
      <c r="K589" s="26" t="str">
        <f aca="false">IF($A589="","",IF(D589="Monthly",ROUND(MAX(0,(I589+J589)-(I589+J589)/Settings!$B$10*H589),2),0))</f>
        <v/>
      </c>
      <c r="L589" s="26" t="str">
        <f aca="false">IF($A589="","",IF(D589="Hourly",ROUND(F589*N(INDEX(Workers!$N$5:$N$2004,MATCH($A589,Workers!$A$5:$A$2004,0))),2),0))</f>
        <v/>
      </c>
      <c r="M589" s="26" t="str">
        <f aca="false">IF($A589="","",ROUND(G589*IF(D589="Hourly",N(INDEX(Workers!$N$5:$N$2004,MATCH($A589,Workers!$A$5:$A$2004,0))),I589/Settings!$B$10/Settings!$B$12)*Settings!$B$13,2))</f>
        <v/>
      </c>
      <c r="N589" s="26" t="str">
        <f aca="false">IF($A589="","",K589+L589+M589)</f>
        <v/>
      </c>
      <c r="O589" s="26" t="str">
        <f aca="false">IF($A589="","",SUMIFS(Deductions!$D$5:$D$2000,Deductions!$B$5:$B$2000,$A589,Deductions!$C$5:$C$2000,"Advance",Deductions!$E$5:$E$2000,"&gt;="&amp;Settings!$B$8,Deductions!$E$5:$E$2000,"&lt;="&amp;Settings!$B$9))</f>
        <v/>
      </c>
      <c r="P589" s="26" t="str">
        <f aca="false">IF($A589="","",SUMIFS(Deductions!$D$5:$D$2000,Deductions!$B$5:$B$2000,$A589,Deductions!$E$5:$E$2000,"&gt;="&amp;Settings!$B$8,Deductions!$E$5:$E$2000,"&lt;="&amp;Settings!$B$9)-O589)</f>
        <v/>
      </c>
      <c r="Q589" s="26" t="str">
        <f aca="false">IF($A589="","",O589+P589)</f>
        <v/>
      </c>
      <c r="R589" s="23" t="str">
        <f aca="false">IF($A589="","",N589-Q589)</f>
        <v/>
      </c>
      <c r="S589" s="24" t="str">
        <f aca="false">IF($A589="","",INDEX(Workers!$O$5:$O$2004,MATCH($A589,Workers!$A$5:$A$2004,0))&amp;"")</f>
        <v/>
      </c>
      <c r="T589" s="24" t="str">
        <f aca="false">IF($A589="","",INDEX(Workers!$P$5:$P$2004,MATCH($A589,Workers!$A$5:$A$2004,0))&amp;"")</f>
        <v/>
      </c>
      <c r="U589" s="24" t="str">
        <f aca="false">IF($A589="","",INDEX(Workers!$H$5:$H$2004,MATCH($A589,Workers!$A$5:$A$2004,0))&amp;"")</f>
        <v/>
      </c>
    </row>
    <row r="590" customFormat="false" ht="15" hidden="false" customHeight="false" outlineLevel="0" collapsed="false">
      <c r="A590" s="24" t="str">
        <f aca="false">IFERROR(INDEX(Workers!$A$5:$A$2004,MATCH(ROW()-4,Workers!$U$5:$U$2004,0)),"")</f>
        <v/>
      </c>
      <c r="B590" s="24" t="str">
        <f aca="false">IF($A590="","",INDEX(Workers!$B$5:$B$2004,MATCH($A590,Workers!$A$5:$A$2004,0)))</f>
        <v/>
      </c>
      <c r="C590" s="24" t="str">
        <f aca="false">IF($A590="","",INDEX(Workers!$E$5:$E$2004,MATCH($A590,Workers!$A$5:$A$2004,0)))</f>
        <v/>
      </c>
      <c r="D590" s="24" t="str">
        <f aca="false">IF($A590="","",INDEX(Workers!$K$5:$K$2004,MATCH($A590,Workers!$A$5:$A$2004,0)))</f>
        <v/>
      </c>
      <c r="E590" s="25" t="str">
        <f aca="false">IF($A590="","",SUMIFS(Timesheet!$E$5:$E$3004,Timesheet!$D$5:$D$3004,$A590,Timesheet!$A$5:$A$3004,"&gt;="&amp;Settings!$B$8,Timesheet!$A$5:$A$3004,"&lt;="&amp;Settings!$B$9))</f>
        <v/>
      </c>
      <c r="F590" s="25" t="str">
        <f aca="false">IF($A590="","",SUMIFS(Timesheet!$F$5:$F$3004,Timesheet!$D$5:$D$3004,$A590,Timesheet!$A$5:$A$3004,"&gt;="&amp;Settings!$B$8,Timesheet!$A$5:$A$3004,"&lt;="&amp;Settings!$B$9))</f>
        <v/>
      </c>
      <c r="G590" s="25" t="str">
        <f aca="false">IF($A590="","",SUMIFS(Timesheet!$G$5:$G$3004,Timesheet!$D$5:$D$3004,$A590,Timesheet!$A$5:$A$3004,"&gt;="&amp;Settings!$B$8,Timesheet!$A$5:$A$3004,"&lt;="&amp;Settings!$B$9))</f>
        <v/>
      </c>
      <c r="H590" s="25" t="str">
        <f aca="false">IF($A590="","",IF(D590="Monthly",MAX(0,Settings!$B$11-E590),0))</f>
        <v/>
      </c>
      <c r="I590" s="26" t="str">
        <f aca="false">IF($A590="","",N(INDEX(Workers!$L$5:$L$2004,MATCH($A590,Workers!$A$5:$A$2004,0))))</f>
        <v/>
      </c>
      <c r="J590" s="26" t="str">
        <f aca="false">IF($A590="","",N(INDEX(Workers!$M$5:$M$2004,MATCH($A590,Workers!$A$5:$A$2004,0))))</f>
        <v/>
      </c>
      <c r="K590" s="26" t="str">
        <f aca="false">IF($A590="","",IF(D590="Monthly",ROUND(MAX(0,(I590+J590)-(I590+J590)/Settings!$B$10*H590),2),0))</f>
        <v/>
      </c>
      <c r="L590" s="26" t="str">
        <f aca="false">IF($A590="","",IF(D590="Hourly",ROUND(F590*N(INDEX(Workers!$N$5:$N$2004,MATCH($A590,Workers!$A$5:$A$2004,0))),2),0))</f>
        <v/>
      </c>
      <c r="M590" s="26" t="str">
        <f aca="false">IF($A590="","",ROUND(G590*IF(D590="Hourly",N(INDEX(Workers!$N$5:$N$2004,MATCH($A590,Workers!$A$5:$A$2004,0))),I590/Settings!$B$10/Settings!$B$12)*Settings!$B$13,2))</f>
        <v/>
      </c>
      <c r="N590" s="26" t="str">
        <f aca="false">IF($A590="","",K590+L590+M590)</f>
        <v/>
      </c>
      <c r="O590" s="26" t="str">
        <f aca="false">IF($A590="","",SUMIFS(Deductions!$D$5:$D$2000,Deductions!$B$5:$B$2000,$A590,Deductions!$C$5:$C$2000,"Advance",Deductions!$E$5:$E$2000,"&gt;="&amp;Settings!$B$8,Deductions!$E$5:$E$2000,"&lt;="&amp;Settings!$B$9))</f>
        <v/>
      </c>
      <c r="P590" s="26" t="str">
        <f aca="false">IF($A590="","",SUMIFS(Deductions!$D$5:$D$2000,Deductions!$B$5:$B$2000,$A590,Deductions!$E$5:$E$2000,"&gt;="&amp;Settings!$B$8,Deductions!$E$5:$E$2000,"&lt;="&amp;Settings!$B$9)-O590)</f>
        <v/>
      </c>
      <c r="Q590" s="26" t="str">
        <f aca="false">IF($A590="","",O590+P590)</f>
        <v/>
      </c>
      <c r="R590" s="23" t="str">
        <f aca="false">IF($A590="","",N590-Q590)</f>
        <v/>
      </c>
      <c r="S590" s="24" t="str">
        <f aca="false">IF($A590="","",INDEX(Workers!$O$5:$O$2004,MATCH($A590,Workers!$A$5:$A$2004,0))&amp;"")</f>
        <v/>
      </c>
      <c r="T590" s="24" t="str">
        <f aca="false">IF($A590="","",INDEX(Workers!$P$5:$P$2004,MATCH($A590,Workers!$A$5:$A$2004,0))&amp;"")</f>
        <v/>
      </c>
      <c r="U590" s="24" t="str">
        <f aca="false">IF($A590="","",INDEX(Workers!$H$5:$H$2004,MATCH($A590,Workers!$A$5:$A$2004,0))&amp;"")</f>
        <v/>
      </c>
    </row>
    <row r="591" customFormat="false" ht="15" hidden="false" customHeight="false" outlineLevel="0" collapsed="false">
      <c r="A591" s="24" t="str">
        <f aca="false">IFERROR(INDEX(Workers!$A$5:$A$2004,MATCH(ROW()-4,Workers!$U$5:$U$2004,0)),"")</f>
        <v/>
      </c>
      <c r="B591" s="24" t="str">
        <f aca="false">IF($A591="","",INDEX(Workers!$B$5:$B$2004,MATCH($A591,Workers!$A$5:$A$2004,0)))</f>
        <v/>
      </c>
      <c r="C591" s="24" t="str">
        <f aca="false">IF($A591="","",INDEX(Workers!$E$5:$E$2004,MATCH($A591,Workers!$A$5:$A$2004,0)))</f>
        <v/>
      </c>
      <c r="D591" s="24" t="str">
        <f aca="false">IF($A591="","",INDEX(Workers!$K$5:$K$2004,MATCH($A591,Workers!$A$5:$A$2004,0)))</f>
        <v/>
      </c>
      <c r="E591" s="25" t="str">
        <f aca="false">IF($A591="","",SUMIFS(Timesheet!$E$5:$E$3004,Timesheet!$D$5:$D$3004,$A591,Timesheet!$A$5:$A$3004,"&gt;="&amp;Settings!$B$8,Timesheet!$A$5:$A$3004,"&lt;="&amp;Settings!$B$9))</f>
        <v/>
      </c>
      <c r="F591" s="25" t="str">
        <f aca="false">IF($A591="","",SUMIFS(Timesheet!$F$5:$F$3004,Timesheet!$D$5:$D$3004,$A591,Timesheet!$A$5:$A$3004,"&gt;="&amp;Settings!$B$8,Timesheet!$A$5:$A$3004,"&lt;="&amp;Settings!$B$9))</f>
        <v/>
      </c>
      <c r="G591" s="25" t="str">
        <f aca="false">IF($A591="","",SUMIFS(Timesheet!$G$5:$G$3004,Timesheet!$D$5:$D$3004,$A591,Timesheet!$A$5:$A$3004,"&gt;="&amp;Settings!$B$8,Timesheet!$A$5:$A$3004,"&lt;="&amp;Settings!$B$9))</f>
        <v/>
      </c>
      <c r="H591" s="25" t="str">
        <f aca="false">IF($A591="","",IF(D591="Monthly",MAX(0,Settings!$B$11-E591),0))</f>
        <v/>
      </c>
      <c r="I591" s="26" t="str">
        <f aca="false">IF($A591="","",N(INDEX(Workers!$L$5:$L$2004,MATCH($A591,Workers!$A$5:$A$2004,0))))</f>
        <v/>
      </c>
      <c r="J591" s="26" t="str">
        <f aca="false">IF($A591="","",N(INDEX(Workers!$M$5:$M$2004,MATCH($A591,Workers!$A$5:$A$2004,0))))</f>
        <v/>
      </c>
      <c r="K591" s="26" t="str">
        <f aca="false">IF($A591="","",IF(D591="Monthly",ROUND(MAX(0,(I591+J591)-(I591+J591)/Settings!$B$10*H591),2),0))</f>
        <v/>
      </c>
      <c r="L591" s="26" t="str">
        <f aca="false">IF($A591="","",IF(D591="Hourly",ROUND(F591*N(INDEX(Workers!$N$5:$N$2004,MATCH($A591,Workers!$A$5:$A$2004,0))),2),0))</f>
        <v/>
      </c>
      <c r="M591" s="26" t="str">
        <f aca="false">IF($A591="","",ROUND(G591*IF(D591="Hourly",N(INDEX(Workers!$N$5:$N$2004,MATCH($A591,Workers!$A$5:$A$2004,0))),I591/Settings!$B$10/Settings!$B$12)*Settings!$B$13,2))</f>
        <v/>
      </c>
      <c r="N591" s="26" t="str">
        <f aca="false">IF($A591="","",K591+L591+M591)</f>
        <v/>
      </c>
      <c r="O591" s="26" t="str">
        <f aca="false">IF($A591="","",SUMIFS(Deductions!$D$5:$D$2000,Deductions!$B$5:$B$2000,$A591,Deductions!$C$5:$C$2000,"Advance",Deductions!$E$5:$E$2000,"&gt;="&amp;Settings!$B$8,Deductions!$E$5:$E$2000,"&lt;="&amp;Settings!$B$9))</f>
        <v/>
      </c>
      <c r="P591" s="26" t="str">
        <f aca="false">IF($A591="","",SUMIFS(Deductions!$D$5:$D$2000,Deductions!$B$5:$B$2000,$A591,Deductions!$E$5:$E$2000,"&gt;="&amp;Settings!$B$8,Deductions!$E$5:$E$2000,"&lt;="&amp;Settings!$B$9)-O591)</f>
        <v/>
      </c>
      <c r="Q591" s="26" t="str">
        <f aca="false">IF($A591="","",O591+P591)</f>
        <v/>
      </c>
      <c r="R591" s="23" t="str">
        <f aca="false">IF($A591="","",N591-Q591)</f>
        <v/>
      </c>
      <c r="S591" s="24" t="str">
        <f aca="false">IF($A591="","",INDEX(Workers!$O$5:$O$2004,MATCH($A591,Workers!$A$5:$A$2004,0))&amp;"")</f>
        <v/>
      </c>
      <c r="T591" s="24" t="str">
        <f aca="false">IF($A591="","",INDEX(Workers!$P$5:$P$2004,MATCH($A591,Workers!$A$5:$A$2004,0))&amp;"")</f>
        <v/>
      </c>
      <c r="U591" s="24" t="str">
        <f aca="false">IF($A591="","",INDEX(Workers!$H$5:$H$2004,MATCH($A591,Workers!$A$5:$A$2004,0))&amp;"")</f>
        <v/>
      </c>
    </row>
    <row r="592" customFormat="false" ht="15" hidden="false" customHeight="false" outlineLevel="0" collapsed="false">
      <c r="A592" s="24" t="str">
        <f aca="false">IFERROR(INDEX(Workers!$A$5:$A$2004,MATCH(ROW()-4,Workers!$U$5:$U$2004,0)),"")</f>
        <v/>
      </c>
      <c r="B592" s="24" t="str">
        <f aca="false">IF($A592="","",INDEX(Workers!$B$5:$B$2004,MATCH($A592,Workers!$A$5:$A$2004,0)))</f>
        <v/>
      </c>
      <c r="C592" s="24" t="str">
        <f aca="false">IF($A592="","",INDEX(Workers!$E$5:$E$2004,MATCH($A592,Workers!$A$5:$A$2004,0)))</f>
        <v/>
      </c>
      <c r="D592" s="24" t="str">
        <f aca="false">IF($A592="","",INDEX(Workers!$K$5:$K$2004,MATCH($A592,Workers!$A$5:$A$2004,0)))</f>
        <v/>
      </c>
      <c r="E592" s="25" t="str">
        <f aca="false">IF($A592="","",SUMIFS(Timesheet!$E$5:$E$3004,Timesheet!$D$5:$D$3004,$A592,Timesheet!$A$5:$A$3004,"&gt;="&amp;Settings!$B$8,Timesheet!$A$5:$A$3004,"&lt;="&amp;Settings!$B$9))</f>
        <v/>
      </c>
      <c r="F592" s="25" t="str">
        <f aca="false">IF($A592="","",SUMIFS(Timesheet!$F$5:$F$3004,Timesheet!$D$5:$D$3004,$A592,Timesheet!$A$5:$A$3004,"&gt;="&amp;Settings!$B$8,Timesheet!$A$5:$A$3004,"&lt;="&amp;Settings!$B$9))</f>
        <v/>
      </c>
      <c r="G592" s="25" t="str">
        <f aca="false">IF($A592="","",SUMIFS(Timesheet!$G$5:$G$3004,Timesheet!$D$5:$D$3004,$A592,Timesheet!$A$5:$A$3004,"&gt;="&amp;Settings!$B$8,Timesheet!$A$5:$A$3004,"&lt;="&amp;Settings!$B$9))</f>
        <v/>
      </c>
      <c r="H592" s="25" t="str">
        <f aca="false">IF($A592="","",IF(D592="Monthly",MAX(0,Settings!$B$11-E592),0))</f>
        <v/>
      </c>
      <c r="I592" s="26" t="str">
        <f aca="false">IF($A592="","",N(INDEX(Workers!$L$5:$L$2004,MATCH($A592,Workers!$A$5:$A$2004,0))))</f>
        <v/>
      </c>
      <c r="J592" s="26" t="str">
        <f aca="false">IF($A592="","",N(INDEX(Workers!$M$5:$M$2004,MATCH($A592,Workers!$A$5:$A$2004,0))))</f>
        <v/>
      </c>
      <c r="K592" s="26" t="str">
        <f aca="false">IF($A592="","",IF(D592="Monthly",ROUND(MAX(0,(I592+J592)-(I592+J592)/Settings!$B$10*H592),2),0))</f>
        <v/>
      </c>
      <c r="L592" s="26" t="str">
        <f aca="false">IF($A592="","",IF(D592="Hourly",ROUND(F592*N(INDEX(Workers!$N$5:$N$2004,MATCH($A592,Workers!$A$5:$A$2004,0))),2),0))</f>
        <v/>
      </c>
      <c r="M592" s="26" t="str">
        <f aca="false">IF($A592="","",ROUND(G592*IF(D592="Hourly",N(INDEX(Workers!$N$5:$N$2004,MATCH($A592,Workers!$A$5:$A$2004,0))),I592/Settings!$B$10/Settings!$B$12)*Settings!$B$13,2))</f>
        <v/>
      </c>
      <c r="N592" s="26" t="str">
        <f aca="false">IF($A592="","",K592+L592+M592)</f>
        <v/>
      </c>
      <c r="O592" s="26" t="str">
        <f aca="false">IF($A592="","",SUMIFS(Deductions!$D$5:$D$2000,Deductions!$B$5:$B$2000,$A592,Deductions!$C$5:$C$2000,"Advance",Deductions!$E$5:$E$2000,"&gt;="&amp;Settings!$B$8,Deductions!$E$5:$E$2000,"&lt;="&amp;Settings!$B$9))</f>
        <v/>
      </c>
      <c r="P592" s="26" t="str">
        <f aca="false">IF($A592="","",SUMIFS(Deductions!$D$5:$D$2000,Deductions!$B$5:$B$2000,$A592,Deductions!$E$5:$E$2000,"&gt;="&amp;Settings!$B$8,Deductions!$E$5:$E$2000,"&lt;="&amp;Settings!$B$9)-O592)</f>
        <v/>
      </c>
      <c r="Q592" s="26" t="str">
        <f aca="false">IF($A592="","",O592+P592)</f>
        <v/>
      </c>
      <c r="R592" s="23" t="str">
        <f aca="false">IF($A592="","",N592-Q592)</f>
        <v/>
      </c>
      <c r="S592" s="24" t="str">
        <f aca="false">IF($A592="","",INDEX(Workers!$O$5:$O$2004,MATCH($A592,Workers!$A$5:$A$2004,0))&amp;"")</f>
        <v/>
      </c>
      <c r="T592" s="24" t="str">
        <f aca="false">IF($A592="","",INDEX(Workers!$P$5:$P$2004,MATCH($A592,Workers!$A$5:$A$2004,0))&amp;"")</f>
        <v/>
      </c>
      <c r="U592" s="24" t="str">
        <f aca="false">IF($A592="","",INDEX(Workers!$H$5:$H$2004,MATCH($A592,Workers!$A$5:$A$2004,0))&amp;"")</f>
        <v/>
      </c>
    </row>
    <row r="593" customFormat="false" ht="15" hidden="false" customHeight="false" outlineLevel="0" collapsed="false">
      <c r="A593" s="24" t="str">
        <f aca="false">IFERROR(INDEX(Workers!$A$5:$A$2004,MATCH(ROW()-4,Workers!$U$5:$U$2004,0)),"")</f>
        <v/>
      </c>
      <c r="B593" s="24" t="str">
        <f aca="false">IF($A593="","",INDEX(Workers!$B$5:$B$2004,MATCH($A593,Workers!$A$5:$A$2004,0)))</f>
        <v/>
      </c>
      <c r="C593" s="24" t="str">
        <f aca="false">IF($A593="","",INDEX(Workers!$E$5:$E$2004,MATCH($A593,Workers!$A$5:$A$2004,0)))</f>
        <v/>
      </c>
      <c r="D593" s="24" t="str">
        <f aca="false">IF($A593="","",INDEX(Workers!$K$5:$K$2004,MATCH($A593,Workers!$A$5:$A$2004,0)))</f>
        <v/>
      </c>
      <c r="E593" s="25" t="str">
        <f aca="false">IF($A593="","",SUMIFS(Timesheet!$E$5:$E$3004,Timesheet!$D$5:$D$3004,$A593,Timesheet!$A$5:$A$3004,"&gt;="&amp;Settings!$B$8,Timesheet!$A$5:$A$3004,"&lt;="&amp;Settings!$B$9))</f>
        <v/>
      </c>
      <c r="F593" s="25" t="str">
        <f aca="false">IF($A593="","",SUMIFS(Timesheet!$F$5:$F$3004,Timesheet!$D$5:$D$3004,$A593,Timesheet!$A$5:$A$3004,"&gt;="&amp;Settings!$B$8,Timesheet!$A$5:$A$3004,"&lt;="&amp;Settings!$B$9))</f>
        <v/>
      </c>
      <c r="G593" s="25" t="str">
        <f aca="false">IF($A593="","",SUMIFS(Timesheet!$G$5:$G$3004,Timesheet!$D$5:$D$3004,$A593,Timesheet!$A$5:$A$3004,"&gt;="&amp;Settings!$B$8,Timesheet!$A$5:$A$3004,"&lt;="&amp;Settings!$B$9))</f>
        <v/>
      </c>
      <c r="H593" s="25" t="str">
        <f aca="false">IF($A593="","",IF(D593="Monthly",MAX(0,Settings!$B$11-E593),0))</f>
        <v/>
      </c>
      <c r="I593" s="26" t="str">
        <f aca="false">IF($A593="","",N(INDEX(Workers!$L$5:$L$2004,MATCH($A593,Workers!$A$5:$A$2004,0))))</f>
        <v/>
      </c>
      <c r="J593" s="26" t="str">
        <f aca="false">IF($A593="","",N(INDEX(Workers!$M$5:$M$2004,MATCH($A593,Workers!$A$5:$A$2004,0))))</f>
        <v/>
      </c>
      <c r="K593" s="26" t="str">
        <f aca="false">IF($A593="","",IF(D593="Monthly",ROUND(MAX(0,(I593+J593)-(I593+J593)/Settings!$B$10*H593),2),0))</f>
        <v/>
      </c>
      <c r="L593" s="26" t="str">
        <f aca="false">IF($A593="","",IF(D593="Hourly",ROUND(F593*N(INDEX(Workers!$N$5:$N$2004,MATCH($A593,Workers!$A$5:$A$2004,0))),2),0))</f>
        <v/>
      </c>
      <c r="M593" s="26" t="str">
        <f aca="false">IF($A593="","",ROUND(G593*IF(D593="Hourly",N(INDEX(Workers!$N$5:$N$2004,MATCH($A593,Workers!$A$5:$A$2004,0))),I593/Settings!$B$10/Settings!$B$12)*Settings!$B$13,2))</f>
        <v/>
      </c>
      <c r="N593" s="26" t="str">
        <f aca="false">IF($A593="","",K593+L593+M593)</f>
        <v/>
      </c>
      <c r="O593" s="26" t="str">
        <f aca="false">IF($A593="","",SUMIFS(Deductions!$D$5:$D$2000,Deductions!$B$5:$B$2000,$A593,Deductions!$C$5:$C$2000,"Advance",Deductions!$E$5:$E$2000,"&gt;="&amp;Settings!$B$8,Deductions!$E$5:$E$2000,"&lt;="&amp;Settings!$B$9))</f>
        <v/>
      </c>
      <c r="P593" s="26" t="str">
        <f aca="false">IF($A593="","",SUMIFS(Deductions!$D$5:$D$2000,Deductions!$B$5:$B$2000,$A593,Deductions!$E$5:$E$2000,"&gt;="&amp;Settings!$B$8,Deductions!$E$5:$E$2000,"&lt;="&amp;Settings!$B$9)-O593)</f>
        <v/>
      </c>
      <c r="Q593" s="26" t="str">
        <f aca="false">IF($A593="","",O593+P593)</f>
        <v/>
      </c>
      <c r="R593" s="23" t="str">
        <f aca="false">IF($A593="","",N593-Q593)</f>
        <v/>
      </c>
      <c r="S593" s="24" t="str">
        <f aca="false">IF($A593="","",INDEX(Workers!$O$5:$O$2004,MATCH($A593,Workers!$A$5:$A$2004,0))&amp;"")</f>
        <v/>
      </c>
      <c r="T593" s="24" t="str">
        <f aca="false">IF($A593="","",INDEX(Workers!$P$5:$P$2004,MATCH($A593,Workers!$A$5:$A$2004,0))&amp;"")</f>
        <v/>
      </c>
      <c r="U593" s="24" t="str">
        <f aca="false">IF($A593="","",INDEX(Workers!$H$5:$H$2004,MATCH($A593,Workers!$A$5:$A$2004,0))&amp;"")</f>
        <v/>
      </c>
    </row>
    <row r="594" customFormat="false" ht="15" hidden="false" customHeight="false" outlineLevel="0" collapsed="false">
      <c r="A594" s="24" t="str">
        <f aca="false">IFERROR(INDEX(Workers!$A$5:$A$2004,MATCH(ROW()-4,Workers!$U$5:$U$2004,0)),"")</f>
        <v/>
      </c>
      <c r="B594" s="24" t="str">
        <f aca="false">IF($A594="","",INDEX(Workers!$B$5:$B$2004,MATCH($A594,Workers!$A$5:$A$2004,0)))</f>
        <v/>
      </c>
      <c r="C594" s="24" t="str">
        <f aca="false">IF($A594="","",INDEX(Workers!$E$5:$E$2004,MATCH($A594,Workers!$A$5:$A$2004,0)))</f>
        <v/>
      </c>
      <c r="D594" s="24" t="str">
        <f aca="false">IF($A594="","",INDEX(Workers!$K$5:$K$2004,MATCH($A594,Workers!$A$5:$A$2004,0)))</f>
        <v/>
      </c>
      <c r="E594" s="25" t="str">
        <f aca="false">IF($A594="","",SUMIFS(Timesheet!$E$5:$E$3004,Timesheet!$D$5:$D$3004,$A594,Timesheet!$A$5:$A$3004,"&gt;="&amp;Settings!$B$8,Timesheet!$A$5:$A$3004,"&lt;="&amp;Settings!$B$9))</f>
        <v/>
      </c>
      <c r="F594" s="25" t="str">
        <f aca="false">IF($A594="","",SUMIFS(Timesheet!$F$5:$F$3004,Timesheet!$D$5:$D$3004,$A594,Timesheet!$A$5:$A$3004,"&gt;="&amp;Settings!$B$8,Timesheet!$A$5:$A$3004,"&lt;="&amp;Settings!$B$9))</f>
        <v/>
      </c>
      <c r="G594" s="25" t="str">
        <f aca="false">IF($A594="","",SUMIFS(Timesheet!$G$5:$G$3004,Timesheet!$D$5:$D$3004,$A594,Timesheet!$A$5:$A$3004,"&gt;="&amp;Settings!$B$8,Timesheet!$A$5:$A$3004,"&lt;="&amp;Settings!$B$9))</f>
        <v/>
      </c>
      <c r="H594" s="25" t="str">
        <f aca="false">IF($A594="","",IF(D594="Monthly",MAX(0,Settings!$B$11-E594),0))</f>
        <v/>
      </c>
      <c r="I594" s="26" t="str">
        <f aca="false">IF($A594="","",N(INDEX(Workers!$L$5:$L$2004,MATCH($A594,Workers!$A$5:$A$2004,0))))</f>
        <v/>
      </c>
      <c r="J594" s="26" t="str">
        <f aca="false">IF($A594="","",N(INDEX(Workers!$M$5:$M$2004,MATCH($A594,Workers!$A$5:$A$2004,0))))</f>
        <v/>
      </c>
      <c r="K594" s="26" t="str">
        <f aca="false">IF($A594="","",IF(D594="Monthly",ROUND(MAX(0,(I594+J594)-(I594+J594)/Settings!$B$10*H594),2),0))</f>
        <v/>
      </c>
      <c r="L594" s="26" t="str">
        <f aca="false">IF($A594="","",IF(D594="Hourly",ROUND(F594*N(INDEX(Workers!$N$5:$N$2004,MATCH($A594,Workers!$A$5:$A$2004,0))),2),0))</f>
        <v/>
      </c>
      <c r="M594" s="26" t="str">
        <f aca="false">IF($A594="","",ROUND(G594*IF(D594="Hourly",N(INDEX(Workers!$N$5:$N$2004,MATCH($A594,Workers!$A$5:$A$2004,0))),I594/Settings!$B$10/Settings!$B$12)*Settings!$B$13,2))</f>
        <v/>
      </c>
      <c r="N594" s="26" t="str">
        <f aca="false">IF($A594="","",K594+L594+M594)</f>
        <v/>
      </c>
      <c r="O594" s="26" t="str">
        <f aca="false">IF($A594="","",SUMIFS(Deductions!$D$5:$D$2000,Deductions!$B$5:$B$2000,$A594,Deductions!$C$5:$C$2000,"Advance",Deductions!$E$5:$E$2000,"&gt;="&amp;Settings!$B$8,Deductions!$E$5:$E$2000,"&lt;="&amp;Settings!$B$9))</f>
        <v/>
      </c>
      <c r="P594" s="26" t="str">
        <f aca="false">IF($A594="","",SUMIFS(Deductions!$D$5:$D$2000,Deductions!$B$5:$B$2000,$A594,Deductions!$E$5:$E$2000,"&gt;="&amp;Settings!$B$8,Deductions!$E$5:$E$2000,"&lt;="&amp;Settings!$B$9)-O594)</f>
        <v/>
      </c>
      <c r="Q594" s="26" t="str">
        <f aca="false">IF($A594="","",O594+P594)</f>
        <v/>
      </c>
      <c r="R594" s="23" t="str">
        <f aca="false">IF($A594="","",N594-Q594)</f>
        <v/>
      </c>
      <c r="S594" s="24" t="str">
        <f aca="false">IF($A594="","",INDEX(Workers!$O$5:$O$2004,MATCH($A594,Workers!$A$5:$A$2004,0))&amp;"")</f>
        <v/>
      </c>
      <c r="T594" s="24" t="str">
        <f aca="false">IF($A594="","",INDEX(Workers!$P$5:$P$2004,MATCH($A594,Workers!$A$5:$A$2004,0))&amp;"")</f>
        <v/>
      </c>
      <c r="U594" s="24" t="str">
        <f aca="false">IF($A594="","",INDEX(Workers!$H$5:$H$2004,MATCH($A594,Workers!$A$5:$A$2004,0))&amp;"")</f>
        <v/>
      </c>
    </row>
    <row r="595" customFormat="false" ht="15" hidden="false" customHeight="false" outlineLevel="0" collapsed="false">
      <c r="A595" s="24" t="str">
        <f aca="false">IFERROR(INDEX(Workers!$A$5:$A$2004,MATCH(ROW()-4,Workers!$U$5:$U$2004,0)),"")</f>
        <v/>
      </c>
      <c r="B595" s="24" t="str">
        <f aca="false">IF($A595="","",INDEX(Workers!$B$5:$B$2004,MATCH($A595,Workers!$A$5:$A$2004,0)))</f>
        <v/>
      </c>
      <c r="C595" s="24" t="str">
        <f aca="false">IF($A595="","",INDEX(Workers!$E$5:$E$2004,MATCH($A595,Workers!$A$5:$A$2004,0)))</f>
        <v/>
      </c>
      <c r="D595" s="24" t="str">
        <f aca="false">IF($A595="","",INDEX(Workers!$K$5:$K$2004,MATCH($A595,Workers!$A$5:$A$2004,0)))</f>
        <v/>
      </c>
      <c r="E595" s="25" t="str">
        <f aca="false">IF($A595="","",SUMIFS(Timesheet!$E$5:$E$3004,Timesheet!$D$5:$D$3004,$A595,Timesheet!$A$5:$A$3004,"&gt;="&amp;Settings!$B$8,Timesheet!$A$5:$A$3004,"&lt;="&amp;Settings!$B$9))</f>
        <v/>
      </c>
      <c r="F595" s="25" t="str">
        <f aca="false">IF($A595="","",SUMIFS(Timesheet!$F$5:$F$3004,Timesheet!$D$5:$D$3004,$A595,Timesheet!$A$5:$A$3004,"&gt;="&amp;Settings!$B$8,Timesheet!$A$5:$A$3004,"&lt;="&amp;Settings!$B$9))</f>
        <v/>
      </c>
      <c r="G595" s="25" t="str">
        <f aca="false">IF($A595="","",SUMIFS(Timesheet!$G$5:$G$3004,Timesheet!$D$5:$D$3004,$A595,Timesheet!$A$5:$A$3004,"&gt;="&amp;Settings!$B$8,Timesheet!$A$5:$A$3004,"&lt;="&amp;Settings!$B$9))</f>
        <v/>
      </c>
      <c r="H595" s="25" t="str">
        <f aca="false">IF($A595="","",IF(D595="Monthly",MAX(0,Settings!$B$11-E595),0))</f>
        <v/>
      </c>
      <c r="I595" s="26" t="str">
        <f aca="false">IF($A595="","",N(INDEX(Workers!$L$5:$L$2004,MATCH($A595,Workers!$A$5:$A$2004,0))))</f>
        <v/>
      </c>
      <c r="J595" s="26" t="str">
        <f aca="false">IF($A595="","",N(INDEX(Workers!$M$5:$M$2004,MATCH($A595,Workers!$A$5:$A$2004,0))))</f>
        <v/>
      </c>
      <c r="K595" s="26" t="str">
        <f aca="false">IF($A595="","",IF(D595="Monthly",ROUND(MAX(0,(I595+J595)-(I595+J595)/Settings!$B$10*H595),2),0))</f>
        <v/>
      </c>
      <c r="L595" s="26" t="str">
        <f aca="false">IF($A595="","",IF(D595="Hourly",ROUND(F595*N(INDEX(Workers!$N$5:$N$2004,MATCH($A595,Workers!$A$5:$A$2004,0))),2),0))</f>
        <v/>
      </c>
      <c r="M595" s="26" t="str">
        <f aca="false">IF($A595="","",ROUND(G595*IF(D595="Hourly",N(INDEX(Workers!$N$5:$N$2004,MATCH($A595,Workers!$A$5:$A$2004,0))),I595/Settings!$B$10/Settings!$B$12)*Settings!$B$13,2))</f>
        <v/>
      </c>
      <c r="N595" s="26" t="str">
        <f aca="false">IF($A595="","",K595+L595+M595)</f>
        <v/>
      </c>
      <c r="O595" s="26" t="str">
        <f aca="false">IF($A595="","",SUMIFS(Deductions!$D$5:$D$2000,Deductions!$B$5:$B$2000,$A595,Deductions!$C$5:$C$2000,"Advance",Deductions!$E$5:$E$2000,"&gt;="&amp;Settings!$B$8,Deductions!$E$5:$E$2000,"&lt;="&amp;Settings!$B$9))</f>
        <v/>
      </c>
      <c r="P595" s="26" t="str">
        <f aca="false">IF($A595="","",SUMIFS(Deductions!$D$5:$D$2000,Deductions!$B$5:$B$2000,$A595,Deductions!$E$5:$E$2000,"&gt;="&amp;Settings!$B$8,Deductions!$E$5:$E$2000,"&lt;="&amp;Settings!$B$9)-O595)</f>
        <v/>
      </c>
      <c r="Q595" s="26" t="str">
        <f aca="false">IF($A595="","",O595+P595)</f>
        <v/>
      </c>
      <c r="R595" s="23" t="str">
        <f aca="false">IF($A595="","",N595-Q595)</f>
        <v/>
      </c>
      <c r="S595" s="24" t="str">
        <f aca="false">IF($A595="","",INDEX(Workers!$O$5:$O$2004,MATCH($A595,Workers!$A$5:$A$2004,0))&amp;"")</f>
        <v/>
      </c>
      <c r="T595" s="24" t="str">
        <f aca="false">IF($A595="","",INDEX(Workers!$P$5:$P$2004,MATCH($A595,Workers!$A$5:$A$2004,0))&amp;"")</f>
        <v/>
      </c>
      <c r="U595" s="24" t="str">
        <f aca="false">IF($A595="","",INDEX(Workers!$H$5:$H$2004,MATCH($A595,Workers!$A$5:$A$2004,0))&amp;"")</f>
        <v/>
      </c>
    </row>
    <row r="596" customFormat="false" ht="15" hidden="false" customHeight="false" outlineLevel="0" collapsed="false">
      <c r="A596" s="24" t="str">
        <f aca="false">IFERROR(INDEX(Workers!$A$5:$A$2004,MATCH(ROW()-4,Workers!$U$5:$U$2004,0)),"")</f>
        <v/>
      </c>
      <c r="B596" s="24" t="str">
        <f aca="false">IF($A596="","",INDEX(Workers!$B$5:$B$2004,MATCH($A596,Workers!$A$5:$A$2004,0)))</f>
        <v/>
      </c>
      <c r="C596" s="24" t="str">
        <f aca="false">IF($A596="","",INDEX(Workers!$E$5:$E$2004,MATCH($A596,Workers!$A$5:$A$2004,0)))</f>
        <v/>
      </c>
      <c r="D596" s="24" t="str">
        <f aca="false">IF($A596="","",INDEX(Workers!$K$5:$K$2004,MATCH($A596,Workers!$A$5:$A$2004,0)))</f>
        <v/>
      </c>
      <c r="E596" s="25" t="str">
        <f aca="false">IF($A596="","",SUMIFS(Timesheet!$E$5:$E$3004,Timesheet!$D$5:$D$3004,$A596,Timesheet!$A$5:$A$3004,"&gt;="&amp;Settings!$B$8,Timesheet!$A$5:$A$3004,"&lt;="&amp;Settings!$B$9))</f>
        <v/>
      </c>
      <c r="F596" s="25" t="str">
        <f aca="false">IF($A596="","",SUMIFS(Timesheet!$F$5:$F$3004,Timesheet!$D$5:$D$3004,$A596,Timesheet!$A$5:$A$3004,"&gt;="&amp;Settings!$B$8,Timesheet!$A$5:$A$3004,"&lt;="&amp;Settings!$B$9))</f>
        <v/>
      </c>
      <c r="G596" s="25" t="str">
        <f aca="false">IF($A596="","",SUMIFS(Timesheet!$G$5:$G$3004,Timesheet!$D$5:$D$3004,$A596,Timesheet!$A$5:$A$3004,"&gt;="&amp;Settings!$B$8,Timesheet!$A$5:$A$3004,"&lt;="&amp;Settings!$B$9))</f>
        <v/>
      </c>
      <c r="H596" s="25" t="str">
        <f aca="false">IF($A596="","",IF(D596="Monthly",MAX(0,Settings!$B$11-E596),0))</f>
        <v/>
      </c>
      <c r="I596" s="26" t="str">
        <f aca="false">IF($A596="","",N(INDEX(Workers!$L$5:$L$2004,MATCH($A596,Workers!$A$5:$A$2004,0))))</f>
        <v/>
      </c>
      <c r="J596" s="26" t="str">
        <f aca="false">IF($A596="","",N(INDEX(Workers!$M$5:$M$2004,MATCH($A596,Workers!$A$5:$A$2004,0))))</f>
        <v/>
      </c>
      <c r="K596" s="26" t="str">
        <f aca="false">IF($A596="","",IF(D596="Monthly",ROUND(MAX(0,(I596+J596)-(I596+J596)/Settings!$B$10*H596),2),0))</f>
        <v/>
      </c>
      <c r="L596" s="26" t="str">
        <f aca="false">IF($A596="","",IF(D596="Hourly",ROUND(F596*N(INDEX(Workers!$N$5:$N$2004,MATCH($A596,Workers!$A$5:$A$2004,0))),2),0))</f>
        <v/>
      </c>
      <c r="M596" s="26" t="str">
        <f aca="false">IF($A596="","",ROUND(G596*IF(D596="Hourly",N(INDEX(Workers!$N$5:$N$2004,MATCH($A596,Workers!$A$5:$A$2004,0))),I596/Settings!$B$10/Settings!$B$12)*Settings!$B$13,2))</f>
        <v/>
      </c>
      <c r="N596" s="26" t="str">
        <f aca="false">IF($A596="","",K596+L596+M596)</f>
        <v/>
      </c>
      <c r="O596" s="26" t="str">
        <f aca="false">IF($A596="","",SUMIFS(Deductions!$D$5:$D$2000,Deductions!$B$5:$B$2000,$A596,Deductions!$C$5:$C$2000,"Advance",Deductions!$E$5:$E$2000,"&gt;="&amp;Settings!$B$8,Deductions!$E$5:$E$2000,"&lt;="&amp;Settings!$B$9))</f>
        <v/>
      </c>
      <c r="P596" s="26" t="str">
        <f aca="false">IF($A596="","",SUMIFS(Deductions!$D$5:$D$2000,Deductions!$B$5:$B$2000,$A596,Deductions!$E$5:$E$2000,"&gt;="&amp;Settings!$B$8,Deductions!$E$5:$E$2000,"&lt;="&amp;Settings!$B$9)-O596)</f>
        <v/>
      </c>
      <c r="Q596" s="26" t="str">
        <f aca="false">IF($A596="","",O596+P596)</f>
        <v/>
      </c>
      <c r="R596" s="23" t="str">
        <f aca="false">IF($A596="","",N596-Q596)</f>
        <v/>
      </c>
      <c r="S596" s="24" t="str">
        <f aca="false">IF($A596="","",INDEX(Workers!$O$5:$O$2004,MATCH($A596,Workers!$A$5:$A$2004,0))&amp;"")</f>
        <v/>
      </c>
      <c r="T596" s="24" t="str">
        <f aca="false">IF($A596="","",INDEX(Workers!$P$5:$P$2004,MATCH($A596,Workers!$A$5:$A$2004,0))&amp;"")</f>
        <v/>
      </c>
      <c r="U596" s="24" t="str">
        <f aca="false">IF($A596="","",INDEX(Workers!$H$5:$H$2004,MATCH($A596,Workers!$A$5:$A$2004,0))&amp;"")</f>
        <v/>
      </c>
    </row>
    <row r="597" customFormat="false" ht="15" hidden="false" customHeight="false" outlineLevel="0" collapsed="false">
      <c r="A597" s="24" t="str">
        <f aca="false">IFERROR(INDEX(Workers!$A$5:$A$2004,MATCH(ROW()-4,Workers!$U$5:$U$2004,0)),"")</f>
        <v/>
      </c>
      <c r="B597" s="24" t="str">
        <f aca="false">IF($A597="","",INDEX(Workers!$B$5:$B$2004,MATCH($A597,Workers!$A$5:$A$2004,0)))</f>
        <v/>
      </c>
      <c r="C597" s="24" t="str">
        <f aca="false">IF($A597="","",INDEX(Workers!$E$5:$E$2004,MATCH($A597,Workers!$A$5:$A$2004,0)))</f>
        <v/>
      </c>
      <c r="D597" s="24" t="str">
        <f aca="false">IF($A597="","",INDEX(Workers!$K$5:$K$2004,MATCH($A597,Workers!$A$5:$A$2004,0)))</f>
        <v/>
      </c>
      <c r="E597" s="25" t="str">
        <f aca="false">IF($A597="","",SUMIFS(Timesheet!$E$5:$E$3004,Timesheet!$D$5:$D$3004,$A597,Timesheet!$A$5:$A$3004,"&gt;="&amp;Settings!$B$8,Timesheet!$A$5:$A$3004,"&lt;="&amp;Settings!$B$9))</f>
        <v/>
      </c>
      <c r="F597" s="25" t="str">
        <f aca="false">IF($A597="","",SUMIFS(Timesheet!$F$5:$F$3004,Timesheet!$D$5:$D$3004,$A597,Timesheet!$A$5:$A$3004,"&gt;="&amp;Settings!$B$8,Timesheet!$A$5:$A$3004,"&lt;="&amp;Settings!$B$9))</f>
        <v/>
      </c>
      <c r="G597" s="25" t="str">
        <f aca="false">IF($A597="","",SUMIFS(Timesheet!$G$5:$G$3004,Timesheet!$D$5:$D$3004,$A597,Timesheet!$A$5:$A$3004,"&gt;="&amp;Settings!$B$8,Timesheet!$A$5:$A$3004,"&lt;="&amp;Settings!$B$9))</f>
        <v/>
      </c>
      <c r="H597" s="25" t="str">
        <f aca="false">IF($A597="","",IF(D597="Monthly",MAX(0,Settings!$B$11-E597),0))</f>
        <v/>
      </c>
      <c r="I597" s="26" t="str">
        <f aca="false">IF($A597="","",N(INDEX(Workers!$L$5:$L$2004,MATCH($A597,Workers!$A$5:$A$2004,0))))</f>
        <v/>
      </c>
      <c r="J597" s="26" t="str">
        <f aca="false">IF($A597="","",N(INDEX(Workers!$M$5:$M$2004,MATCH($A597,Workers!$A$5:$A$2004,0))))</f>
        <v/>
      </c>
      <c r="K597" s="26" t="str">
        <f aca="false">IF($A597="","",IF(D597="Monthly",ROUND(MAX(0,(I597+J597)-(I597+J597)/Settings!$B$10*H597),2),0))</f>
        <v/>
      </c>
      <c r="L597" s="26" t="str">
        <f aca="false">IF($A597="","",IF(D597="Hourly",ROUND(F597*N(INDEX(Workers!$N$5:$N$2004,MATCH($A597,Workers!$A$5:$A$2004,0))),2),0))</f>
        <v/>
      </c>
      <c r="M597" s="26" t="str">
        <f aca="false">IF($A597="","",ROUND(G597*IF(D597="Hourly",N(INDEX(Workers!$N$5:$N$2004,MATCH($A597,Workers!$A$5:$A$2004,0))),I597/Settings!$B$10/Settings!$B$12)*Settings!$B$13,2))</f>
        <v/>
      </c>
      <c r="N597" s="26" t="str">
        <f aca="false">IF($A597="","",K597+L597+M597)</f>
        <v/>
      </c>
      <c r="O597" s="26" t="str">
        <f aca="false">IF($A597="","",SUMIFS(Deductions!$D$5:$D$2000,Deductions!$B$5:$B$2000,$A597,Deductions!$C$5:$C$2000,"Advance",Deductions!$E$5:$E$2000,"&gt;="&amp;Settings!$B$8,Deductions!$E$5:$E$2000,"&lt;="&amp;Settings!$B$9))</f>
        <v/>
      </c>
      <c r="P597" s="26" t="str">
        <f aca="false">IF($A597="","",SUMIFS(Deductions!$D$5:$D$2000,Deductions!$B$5:$B$2000,$A597,Deductions!$E$5:$E$2000,"&gt;="&amp;Settings!$B$8,Deductions!$E$5:$E$2000,"&lt;="&amp;Settings!$B$9)-O597)</f>
        <v/>
      </c>
      <c r="Q597" s="26" t="str">
        <f aca="false">IF($A597="","",O597+P597)</f>
        <v/>
      </c>
      <c r="R597" s="23" t="str">
        <f aca="false">IF($A597="","",N597-Q597)</f>
        <v/>
      </c>
      <c r="S597" s="24" t="str">
        <f aca="false">IF($A597="","",INDEX(Workers!$O$5:$O$2004,MATCH($A597,Workers!$A$5:$A$2004,0))&amp;"")</f>
        <v/>
      </c>
      <c r="T597" s="24" t="str">
        <f aca="false">IF($A597="","",INDEX(Workers!$P$5:$P$2004,MATCH($A597,Workers!$A$5:$A$2004,0))&amp;"")</f>
        <v/>
      </c>
      <c r="U597" s="24" t="str">
        <f aca="false">IF($A597="","",INDEX(Workers!$H$5:$H$2004,MATCH($A597,Workers!$A$5:$A$2004,0))&amp;"")</f>
        <v/>
      </c>
    </row>
    <row r="598" customFormat="false" ht="15" hidden="false" customHeight="false" outlineLevel="0" collapsed="false">
      <c r="A598" s="24" t="str">
        <f aca="false">IFERROR(INDEX(Workers!$A$5:$A$2004,MATCH(ROW()-4,Workers!$U$5:$U$2004,0)),"")</f>
        <v/>
      </c>
      <c r="B598" s="24" t="str">
        <f aca="false">IF($A598="","",INDEX(Workers!$B$5:$B$2004,MATCH($A598,Workers!$A$5:$A$2004,0)))</f>
        <v/>
      </c>
      <c r="C598" s="24" t="str">
        <f aca="false">IF($A598="","",INDEX(Workers!$E$5:$E$2004,MATCH($A598,Workers!$A$5:$A$2004,0)))</f>
        <v/>
      </c>
      <c r="D598" s="24" t="str">
        <f aca="false">IF($A598="","",INDEX(Workers!$K$5:$K$2004,MATCH($A598,Workers!$A$5:$A$2004,0)))</f>
        <v/>
      </c>
      <c r="E598" s="25" t="str">
        <f aca="false">IF($A598="","",SUMIFS(Timesheet!$E$5:$E$3004,Timesheet!$D$5:$D$3004,$A598,Timesheet!$A$5:$A$3004,"&gt;="&amp;Settings!$B$8,Timesheet!$A$5:$A$3004,"&lt;="&amp;Settings!$B$9))</f>
        <v/>
      </c>
      <c r="F598" s="25" t="str">
        <f aca="false">IF($A598="","",SUMIFS(Timesheet!$F$5:$F$3004,Timesheet!$D$5:$D$3004,$A598,Timesheet!$A$5:$A$3004,"&gt;="&amp;Settings!$B$8,Timesheet!$A$5:$A$3004,"&lt;="&amp;Settings!$B$9))</f>
        <v/>
      </c>
      <c r="G598" s="25" t="str">
        <f aca="false">IF($A598="","",SUMIFS(Timesheet!$G$5:$G$3004,Timesheet!$D$5:$D$3004,$A598,Timesheet!$A$5:$A$3004,"&gt;="&amp;Settings!$B$8,Timesheet!$A$5:$A$3004,"&lt;="&amp;Settings!$B$9))</f>
        <v/>
      </c>
      <c r="H598" s="25" t="str">
        <f aca="false">IF($A598="","",IF(D598="Monthly",MAX(0,Settings!$B$11-E598),0))</f>
        <v/>
      </c>
      <c r="I598" s="26" t="str">
        <f aca="false">IF($A598="","",N(INDEX(Workers!$L$5:$L$2004,MATCH($A598,Workers!$A$5:$A$2004,0))))</f>
        <v/>
      </c>
      <c r="J598" s="26" t="str">
        <f aca="false">IF($A598="","",N(INDEX(Workers!$M$5:$M$2004,MATCH($A598,Workers!$A$5:$A$2004,0))))</f>
        <v/>
      </c>
      <c r="K598" s="26" t="str">
        <f aca="false">IF($A598="","",IF(D598="Monthly",ROUND(MAX(0,(I598+J598)-(I598+J598)/Settings!$B$10*H598),2),0))</f>
        <v/>
      </c>
      <c r="L598" s="26" t="str">
        <f aca="false">IF($A598="","",IF(D598="Hourly",ROUND(F598*N(INDEX(Workers!$N$5:$N$2004,MATCH($A598,Workers!$A$5:$A$2004,0))),2),0))</f>
        <v/>
      </c>
      <c r="M598" s="26" t="str">
        <f aca="false">IF($A598="","",ROUND(G598*IF(D598="Hourly",N(INDEX(Workers!$N$5:$N$2004,MATCH($A598,Workers!$A$5:$A$2004,0))),I598/Settings!$B$10/Settings!$B$12)*Settings!$B$13,2))</f>
        <v/>
      </c>
      <c r="N598" s="26" t="str">
        <f aca="false">IF($A598="","",K598+L598+M598)</f>
        <v/>
      </c>
      <c r="O598" s="26" t="str">
        <f aca="false">IF($A598="","",SUMIFS(Deductions!$D$5:$D$2000,Deductions!$B$5:$B$2000,$A598,Deductions!$C$5:$C$2000,"Advance",Deductions!$E$5:$E$2000,"&gt;="&amp;Settings!$B$8,Deductions!$E$5:$E$2000,"&lt;="&amp;Settings!$B$9))</f>
        <v/>
      </c>
      <c r="P598" s="26" t="str">
        <f aca="false">IF($A598="","",SUMIFS(Deductions!$D$5:$D$2000,Deductions!$B$5:$B$2000,$A598,Deductions!$E$5:$E$2000,"&gt;="&amp;Settings!$B$8,Deductions!$E$5:$E$2000,"&lt;="&amp;Settings!$B$9)-O598)</f>
        <v/>
      </c>
      <c r="Q598" s="26" t="str">
        <f aca="false">IF($A598="","",O598+P598)</f>
        <v/>
      </c>
      <c r="R598" s="23" t="str">
        <f aca="false">IF($A598="","",N598-Q598)</f>
        <v/>
      </c>
      <c r="S598" s="24" t="str">
        <f aca="false">IF($A598="","",INDEX(Workers!$O$5:$O$2004,MATCH($A598,Workers!$A$5:$A$2004,0))&amp;"")</f>
        <v/>
      </c>
      <c r="T598" s="24" t="str">
        <f aca="false">IF($A598="","",INDEX(Workers!$P$5:$P$2004,MATCH($A598,Workers!$A$5:$A$2004,0))&amp;"")</f>
        <v/>
      </c>
      <c r="U598" s="24" t="str">
        <f aca="false">IF($A598="","",INDEX(Workers!$H$5:$H$2004,MATCH($A598,Workers!$A$5:$A$2004,0))&amp;"")</f>
        <v/>
      </c>
    </row>
    <row r="599" customFormat="false" ht="15" hidden="false" customHeight="false" outlineLevel="0" collapsed="false">
      <c r="A599" s="24" t="str">
        <f aca="false">IFERROR(INDEX(Workers!$A$5:$A$2004,MATCH(ROW()-4,Workers!$U$5:$U$2004,0)),"")</f>
        <v/>
      </c>
      <c r="B599" s="24" t="str">
        <f aca="false">IF($A599="","",INDEX(Workers!$B$5:$B$2004,MATCH($A599,Workers!$A$5:$A$2004,0)))</f>
        <v/>
      </c>
      <c r="C599" s="24" t="str">
        <f aca="false">IF($A599="","",INDEX(Workers!$E$5:$E$2004,MATCH($A599,Workers!$A$5:$A$2004,0)))</f>
        <v/>
      </c>
      <c r="D599" s="24" t="str">
        <f aca="false">IF($A599="","",INDEX(Workers!$K$5:$K$2004,MATCH($A599,Workers!$A$5:$A$2004,0)))</f>
        <v/>
      </c>
      <c r="E599" s="25" t="str">
        <f aca="false">IF($A599="","",SUMIFS(Timesheet!$E$5:$E$3004,Timesheet!$D$5:$D$3004,$A599,Timesheet!$A$5:$A$3004,"&gt;="&amp;Settings!$B$8,Timesheet!$A$5:$A$3004,"&lt;="&amp;Settings!$B$9))</f>
        <v/>
      </c>
      <c r="F599" s="25" t="str">
        <f aca="false">IF($A599="","",SUMIFS(Timesheet!$F$5:$F$3004,Timesheet!$D$5:$D$3004,$A599,Timesheet!$A$5:$A$3004,"&gt;="&amp;Settings!$B$8,Timesheet!$A$5:$A$3004,"&lt;="&amp;Settings!$B$9))</f>
        <v/>
      </c>
      <c r="G599" s="25" t="str">
        <f aca="false">IF($A599="","",SUMIFS(Timesheet!$G$5:$G$3004,Timesheet!$D$5:$D$3004,$A599,Timesheet!$A$5:$A$3004,"&gt;="&amp;Settings!$B$8,Timesheet!$A$5:$A$3004,"&lt;="&amp;Settings!$B$9))</f>
        <v/>
      </c>
      <c r="H599" s="25" t="str">
        <f aca="false">IF($A599="","",IF(D599="Monthly",MAX(0,Settings!$B$11-E599),0))</f>
        <v/>
      </c>
      <c r="I599" s="26" t="str">
        <f aca="false">IF($A599="","",N(INDEX(Workers!$L$5:$L$2004,MATCH($A599,Workers!$A$5:$A$2004,0))))</f>
        <v/>
      </c>
      <c r="J599" s="26" t="str">
        <f aca="false">IF($A599="","",N(INDEX(Workers!$M$5:$M$2004,MATCH($A599,Workers!$A$5:$A$2004,0))))</f>
        <v/>
      </c>
      <c r="K599" s="26" t="str">
        <f aca="false">IF($A599="","",IF(D599="Monthly",ROUND(MAX(0,(I599+J599)-(I599+J599)/Settings!$B$10*H599),2),0))</f>
        <v/>
      </c>
      <c r="L599" s="26" t="str">
        <f aca="false">IF($A599="","",IF(D599="Hourly",ROUND(F599*N(INDEX(Workers!$N$5:$N$2004,MATCH($A599,Workers!$A$5:$A$2004,0))),2),0))</f>
        <v/>
      </c>
      <c r="M599" s="26" t="str">
        <f aca="false">IF($A599="","",ROUND(G599*IF(D599="Hourly",N(INDEX(Workers!$N$5:$N$2004,MATCH($A599,Workers!$A$5:$A$2004,0))),I599/Settings!$B$10/Settings!$B$12)*Settings!$B$13,2))</f>
        <v/>
      </c>
      <c r="N599" s="26" t="str">
        <f aca="false">IF($A599="","",K599+L599+M599)</f>
        <v/>
      </c>
      <c r="O599" s="26" t="str">
        <f aca="false">IF($A599="","",SUMIFS(Deductions!$D$5:$D$2000,Deductions!$B$5:$B$2000,$A599,Deductions!$C$5:$C$2000,"Advance",Deductions!$E$5:$E$2000,"&gt;="&amp;Settings!$B$8,Deductions!$E$5:$E$2000,"&lt;="&amp;Settings!$B$9))</f>
        <v/>
      </c>
      <c r="P599" s="26" t="str">
        <f aca="false">IF($A599="","",SUMIFS(Deductions!$D$5:$D$2000,Deductions!$B$5:$B$2000,$A599,Deductions!$E$5:$E$2000,"&gt;="&amp;Settings!$B$8,Deductions!$E$5:$E$2000,"&lt;="&amp;Settings!$B$9)-O599)</f>
        <v/>
      </c>
      <c r="Q599" s="26" t="str">
        <f aca="false">IF($A599="","",O599+P599)</f>
        <v/>
      </c>
      <c r="R599" s="23" t="str">
        <f aca="false">IF($A599="","",N599-Q599)</f>
        <v/>
      </c>
      <c r="S599" s="24" t="str">
        <f aca="false">IF($A599="","",INDEX(Workers!$O$5:$O$2004,MATCH($A599,Workers!$A$5:$A$2004,0))&amp;"")</f>
        <v/>
      </c>
      <c r="T599" s="24" t="str">
        <f aca="false">IF($A599="","",INDEX(Workers!$P$5:$P$2004,MATCH($A599,Workers!$A$5:$A$2004,0))&amp;"")</f>
        <v/>
      </c>
      <c r="U599" s="24" t="str">
        <f aca="false">IF($A599="","",INDEX(Workers!$H$5:$H$2004,MATCH($A599,Workers!$A$5:$A$2004,0))&amp;"")</f>
        <v/>
      </c>
    </row>
    <row r="600" customFormat="false" ht="15" hidden="false" customHeight="false" outlineLevel="0" collapsed="false">
      <c r="A600" s="24" t="str">
        <f aca="false">IFERROR(INDEX(Workers!$A$5:$A$2004,MATCH(ROW()-4,Workers!$U$5:$U$2004,0)),"")</f>
        <v/>
      </c>
      <c r="B600" s="24" t="str">
        <f aca="false">IF($A600="","",INDEX(Workers!$B$5:$B$2004,MATCH($A600,Workers!$A$5:$A$2004,0)))</f>
        <v/>
      </c>
      <c r="C600" s="24" t="str">
        <f aca="false">IF($A600="","",INDEX(Workers!$E$5:$E$2004,MATCH($A600,Workers!$A$5:$A$2004,0)))</f>
        <v/>
      </c>
      <c r="D600" s="24" t="str">
        <f aca="false">IF($A600="","",INDEX(Workers!$K$5:$K$2004,MATCH($A600,Workers!$A$5:$A$2004,0)))</f>
        <v/>
      </c>
      <c r="E600" s="25" t="str">
        <f aca="false">IF($A600="","",SUMIFS(Timesheet!$E$5:$E$3004,Timesheet!$D$5:$D$3004,$A600,Timesheet!$A$5:$A$3004,"&gt;="&amp;Settings!$B$8,Timesheet!$A$5:$A$3004,"&lt;="&amp;Settings!$B$9))</f>
        <v/>
      </c>
      <c r="F600" s="25" t="str">
        <f aca="false">IF($A600="","",SUMIFS(Timesheet!$F$5:$F$3004,Timesheet!$D$5:$D$3004,$A600,Timesheet!$A$5:$A$3004,"&gt;="&amp;Settings!$B$8,Timesheet!$A$5:$A$3004,"&lt;="&amp;Settings!$B$9))</f>
        <v/>
      </c>
      <c r="G600" s="25" t="str">
        <f aca="false">IF($A600="","",SUMIFS(Timesheet!$G$5:$G$3004,Timesheet!$D$5:$D$3004,$A600,Timesheet!$A$5:$A$3004,"&gt;="&amp;Settings!$B$8,Timesheet!$A$5:$A$3004,"&lt;="&amp;Settings!$B$9))</f>
        <v/>
      </c>
      <c r="H600" s="25" t="str">
        <f aca="false">IF($A600="","",IF(D600="Monthly",MAX(0,Settings!$B$11-E600),0))</f>
        <v/>
      </c>
      <c r="I600" s="26" t="str">
        <f aca="false">IF($A600="","",N(INDEX(Workers!$L$5:$L$2004,MATCH($A600,Workers!$A$5:$A$2004,0))))</f>
        <v/>
      </c>
      <c r="J600" s="26" t="str">
        <f aca="false">IF($A600="","",N(INDEX(Workers!$M$5:$M$2004,MATCH($A600,Workers!$A$5:$A$2004,0))))</f>
        <v/>
      </c>
      <c r="K600" s="26" t="str">
        <f aca="false">IF($A600="","",IF(D600="Monthly",ROUND(MAX(0,(I600+J600)-(I600+J600)/Settings!$B$10*H600),2),0))</f>
        <v/>
      </c>
      <c r="L600" s="26" t="str">
        <f aca="false">IF($A600="","",IF(D600="Hourly",ROUND(F600*N(INDEX(Workers!$N$5:$N$2004,MATCH($A600,Workers!$A$5:$A$2004,0))),2),0))</f>
        <v/>
      </c>
      <c r="M600" s="26" t="str">
        <f aca="false">IF($A600="","",ROUND(G600*IF(D600="Hourly",N(INDEX(Workers!$N$5:$N$2004,MATCH($A600,Workers!$A$5:$A$2004,0))),I600/Settings!$B$10/Settings!$B$12)*Settings!$B$13,2))</f>
        <v/>
      </c>
      <c r="N600" s="26" t="str">
        <f aca="false">IF($A600="","",K600+L600+M600)</f>
        <v/>
      </c>
      <c r="O600" s="26" t="str">
        <f aca="false">IF($A600="","",SUMIFS(Deductions!$D$5:$D$2000,Deductions!$B$5:$B$2000,$A600,Deductions!$C$5:$C$2000,"Advance",Deductions!$E$5:$E$2000,"&gt;="&amp;Settings!$B$8,Deductions!$E$5:$E$2000,"&lt;="&amp;Settings!$B$9))</f>
        <v/>
      </c>
      <c r="P600" s="26" t="str">
        <f aca="false">IF($A600="","",SUMIFS(Deductions!$D$5:$D$2000,Deductions!$B$5:$B$2000,$A600,Deductions!$E$5:$E$2000,"&gt;="&amp;Settings!$B$8,Deductions!$E$5:$E$2000,"&lt;="&amp;Settings!$B$9)-O600)</f>
        <v/>
      </c>
      <c r="Q600" s="26" t="str">
        <f aca="false">IF($A600="","",O600+P600)</f>
        <v/>
      </c>
      <c r="R600" s="23" t="str">
        <f aca="false">IF($A600="","",N600-Q600)</f>
        <v/>
      </c>
      <c r="S600" s="24" t="str">
        <f aca="false">IF($A600="","",INDEX(Workers!$O$5:$O$2004,MATCH($A600,Workers!$A$5:$A$2004,0))&amp;"")</f>
        <v/>
      </c>
      <c r="T600" s="24" t="str">
        <f aca="false">IF($A600="","",INDEX(Workers!$P$5:$P$2004,MATCH($A600,Workers!$A$5:$A$2004,0))&amp;"")</f>
        <v/>
      </c>
      <c r="U600" s="24" t="str">
        <f aca="false">IF($A600="","",INDEX(Workers!$H$5:$H$2004,MATCH($A600,Workers!$A$5:$A$2004,0))&amp;"")</f>
        <v/>
      </c>
    </row>
    <row r="601" customFormat="false" ht="15" hidden="false" customHeight="false" outlineLevel="0" collapsed="false">
      <c r="A601" s="24" t="str">
        <f aca="false">IFERROR(INDEX(Workers!$A$5:$A$2004,MATCH(ROW()-4,Workers!$U$5:$U$2004,0)),"")</f>
        <v/>
      </c>
      <c r="B601" s="24" t="str">
        <f aca="false">IF($A601="","",INDEX(Workers!$B$5:$B$2004,MATCH($A601,Workers!$A$5:$A$2004,0)))</f>
        <v/>
      </c>
      <c r="C601" s="24" t="str">
        <f aca="false">IF($A601="","",INDEX(Workers!$E$5:$E$2004,MATCH($A601,Workers!$A$5:$A$2004,0)))</f>
        <v/>
      </c>
      <c r="D601" s="24" t="str">
        <f aca="false">IF($A601="","",INDEX(Workers!$K$5:$K$2004,MATCH($A601,Workers!$A$5:$A$2004,0)))</f>
        <v/>
      </c>
      <c r="E601" s="25" t="str">
        <f aca="false">IF($A601="","",SUMIFS(Timesheet!$E$5:$E$3004,Timesheet!$D$5:$D$3004,$A601,Timesheet!$A$5:$A$3004,"&gt;="&amp;Settings!$B$8,Timesheet!$A$5:$A$3004,"&lt;="&amp;Settings!$B$9))</f>
        <v/>
      </c>
      <c r="F601" s="25" t="str">
        <f aca="false">IF($A601="","",SUMIFS(Timesheet!$F$5:$F$3004,Timesheet!$D$5:$D$3004,$A601,Timesheet!$A$5:$A$3004,"&gt;="&amp;Settings!$B$8,Timesheet!$A$5:$A$3004,"&lt;="&amp;Settings!$B$9))</f>
        <v/>
      </c>
      <c r="G601" s="25" t="str">
        <f aca="false">IF($A601="","",SUMIFS(Timesheet!$G$5:$G$3004,Timesheet!$D$5:$D$3004,$A601,Timesheet!$A$5:$A$3004,"&gt;="&amp;Settings!$B$8,Timesheet!$A$5:$A$3004,"&lt;="&amp;Settings!$B$9))</f>
        <v/>
      </c>
      <c r="H601" s="25" t="str">
        <f aca="false">IF($A601="","",IF(D601="Monthly",MAX(0,Settings!$B$11-E601),0))</f>
        <v/>
      </c>
      <c r="I601" s="26" t="str">
        <f aca="false">IF($A601="","",N(INDEX(Workers!$L$5:$L$2004,MATCH($A601,Workers!$A$5:$A$2004,0))))</f>
        <v/>
      </c>
      <c r="J601" s="26" t="str">
        <f aca="false">IF($A601="","",N(INDEX(Workers!$M$5:$M$2004,MATCH($A601,Workers!$A$5:$A$2004,0))))</f>
        <v/>
      </c>
      <c r="K601" s="26" t="str">
        <f aca="false">IF($A601="","",IF(D601="Monthly",ROUND(MAX(0,(I601+J601)-(I601+J601)/Settings!$B$10*H601),2),0))</f>
        <v/>
      </c>
      <c r="L601" s="26" t="str">
        <f aca="false">IF($A601="","",IF(D601="Hourly",ROUND(F601*N(INDEX(Workers!$N$5:$N$2004,MATCH($A601,Workers!$A$5:$A$2004,0))),2),0))</f>
        <v/>
      </c>
      <c r="M601" s="26" t="str">
        <f aca="false">IF($A601="","",ROUND(G601*IF(D601="Hourly",N(INDEX(Workers!$N$5:$N$2004,MATCH($A601,Workers!$A$5:$A$2004,0))),I601/Settings!$B$10/Settings!$B$12)*Settings!$B$13,2))</f>
        <v/>
      </c>
      <c r="N601" s="26" t="str">
        <f aca="false">IF($A601="","",K601+L601+M601)</f>
        <v/>
      </c>
      <c r="O601" s="26" t="str">
        <f aca="false">IF($A601="","",SUMIFS(Deductions!$D$5:$D$2000,Deductions!$B$5:$B$2000,$A601,Deductions!$C$5:$C$2000,"Advance",Deductions!$E$5:$E$2000,"&gt;="&amp;Settings!$B$8,Deductions!$E$5:$E$2000,"&lt;="&amp;Settings!$B$9))</f>
        <v/>
      </c>
      <c r="P601" s="26" t="str">
        <f aca="false">IF($A601="","",SUMIFS(Deductions!$D$5:$D$2000,Deductions!$B$5:$B$2000,$A601,Deductions!$E$5:$E$2000,"&gt;="&amp;Settings!$B$8,Deductions!$E$5:$E$2000,"&lt;="&amp;Settings!$B$9)-O601)</f>
        <v/>
      </c>
      <c r="Q601" s="26" t="str">
        <f aca="false">IF($A601="","",O601+P601)</f>
        <v/>
      </c>
      <c r="R601" s="23" t="str">
        <f aca="false">IF($A601="","",N601-Q601)</f>
        <v/>
      </c>
      <c r="S601" s="24" t="str">
        <f aca="false">IF($A601="","",INDEX(Workers!$O$5:$O$2004,MATCH($A601,Workers!$A$5:$A$2004,0))&amp;"")</f>
        <v/>
      </c>
      <c r="T601" s="24" t="str">
        <f aca="false">IF($A601="","",INDEX(Workers!$P$5:$P$2004,MATCH($A601,Workers!$A$5:$A$2004,0))&amp;"")</f>
        <v/>
      </c>
      <c r="U601" s="24" t="str">
        <f aca="false">IF($A601="","",INDEX(Workers!$H$5:$H$2004,MATCH($A601,Workers!$A$5:$A$2004,0))&amp;"")</f>
        <v/>
      </c>
    </row>
    <row r="602" customFormat="false" ht="15" hidden="false" customHeight="false" outlineLevel="0" collapsed="false">
      <c r="A602" s="24" t="str">
        <f aca="false">IFERROR(INDEX(Workers!$A$5:$A$2004,MATCH(ROW()-4,Workers!$U$5:$U$2004,0)),"")</f>
        <v/>
      </c>
      <c r="B602" s="24" t="str">
        <f aca="false">IF($A602="","",INDEX(Workers!$B$5:$B$2004,MATCH($A602,Workers!$A$5:$A$2004,0)))</f>
        <v/>
      </c>
      <c r="C602" s="24" t="str">
        <f aca="false">IF($A602="","",INDEX(Workers!$E$5:$E$2004,MATCH($A602,Workers!$A$5:$A$2004,0)))</f>
        <v/>
      </c>
      <c r="D602" s="24" t="str">
        <f aca="false">IF($A602="","",INDEX(Workers!$K$5:$K$2004,MATCH($A602,Workers!$A$5:$A$2004,0)))</f>
        <v/>
      </c>
      <c r="E602" s="25" t="str">
        <f aca="false">IF($A602="","",SUMIFS(Timesheet!$E$5:$E$3004,Timesheet!$D$5:$D$3004,$A602,Timesheet!$A$5:$A$3004,"&gt;="&amp;Settings!$B$8,Timesheet!$A$5:$A$3004,"&lt;="&amp;Settings!$B$9))</f>
        <v/>
      </c>
      <c r="F602" s="25" t="str">
        <f aca="false">IF($A602="","",SUMIFS(Timesheet!$F$5:$F$3004,Timesheet!$D$5:$D$3004,$A602,Timesheet!$A$5:$A$3004,"&gt;="&amp;Settings!$B$8,Timesheet!$A$5:$A$3004,"&lt;="&amp;Settings!$B$9))</f>
        <v/>
      </c>
      <c r="G602" s="25" t="str">
        <f aca="false">IF($A602="","",SUMIFS(Timesheet!$G$5:$G$3004,Timesheet!$D$5:$D$3004,$A602,Timesheet!$A$5:$A$3004,"&gt;="&amp;Settings!$B$8,Timesheet!$A$5:$A$3004,"&lt;="&amp;Settings!$B$9))</f>
        <v/>
      </c>
      <c r="H602" s="25" t="str">
        <f aca="false">IF($A602="","",IF(D602="Monthly",MAX(0,Settings!$B$11-E602),0))</f>
        <v/>
      </c>
      <c r="I602" s="26" t="str">
        <f aca="false">IF($A602="","",N(INDEX(Workers!$L$5:$L$2004,MATCH($A602,Workers!$A$5:$A$2004,0))))</f>
        <v/>
      </c>
      <c r="J602" s="26" t="str">
        <f aca="false">IF($A602="","",N(INDEX(Workers!$M$5:$M$2004,MATCH($A602,Workers!$A$5:$A$2004,0))))</f>
        <v/>
      </c>
      <c r="K602" s="26" t="str">
        <f aca="false">IF($A602="","",IF(D602="Monthly",ROUND(MAX(0,(I602+J602)-(I602+J602)/Settings!$B$10*H602),2),0))</f>
        <v/>
      </c>
      <c r="L602" s="26" t="str">
        <f aca="false">IF($A602="","",IF(D602="Hourly",ROUND(F602*N(INDEX(Workers!$N$5:$N$2004,MATCH($A602,Workers!$A$5:$A$2004,0))),2),0))</f>
        <v/>
      </c>
      <c r="M602" s="26" t="str">
        <f aca="false">IF($A602="","",ROUND(G602*IF(D602="Hourly",N(INDEX(Workers!$N$5:$N$2004,MATCH($A602,Workers!$A$5:$A$2004,0))),I602/Settings!$B$10/Settings!$B$12)*Settings!$B$13,2))</f>
        <v/>
      </c>
      <c r="N602" s="26" t="str">
        <f aca="false">IF($A602="","",K602+L602+M602)</f>
        <v/>
      </c>
      <c r="O602" s="26" t="str">
        <f aca="false">IF($A602="","",SUMIFS(Deductions!$D$5:$D$2000,Deductions!$B$5:$B$2000,$A602,Deductions!$C$5:$C$2000,"Advance",Deductions!$E$5:$E$2000,"&gt;="&amp;Settings!$B$8,Deductions!$E$5:$E$2000,"&lt;="&amp;Settings!$B$9))</f>
        <v/>
      </c>
      <c r="P602" s="26" t="str">
        <f aca="false">IF($A602="","",SUMIFS(Deductions!$D$5:$D$2000,Deductions!$B$5:$B$2000,$A602,Deductions!$E$5:$E$2000,"&gt;="&amp;Settings!$B$8,Deductions!$E$5:$E$2000,"&lt;="&amp;Settings!$B$9)-O602)</f>
        <v/>
      </c>
      <c r="Q602" s="26" t="str">
        <f aca="false">IF($A602="","",O602+P602)</f>
        <v/>
      </c>
      <c r="R602" s="23" t="str">
        <f aca="false">IF($A602="","",N602-Q602)</f>
        <v/>
      </c>
      <c r="S602" s="24" t="str">
        <f aca="false">IF($A602="","",INDEX(Workers!$O$5:$O$2004,MATCH($A602,Workers!$A$5:$A$2004,0))&amp;"")</f>
        <v/>
      </c>
      <c r="T602" s="24" t="str">
        <f aca="false">IF($A602="","",INDEX(Workers!$P$5:$P$2004,MATCH($A602,Workers!$A$5:$A$2004,0))&amp;"")</f>
        <v/>
      </c>
      <c r="U602" s="24" t="str">
        <f aca="false">IF($A602="","",INDEX(Workers!$H$5:$H$2004,MATCH($A602,Workers!$A$5:$A$2004,0))&amp;"")</f>
        <v/>
      </c>
    </row>
    <row r="603" customFormat="false" ht="15" hidden="false" customHeight="false" outlineLevel="0" collapsed="false">
      <c r="A603" s="24" t="str">
        <f aca="false">IFERROR(INDEX(Workers!$A$5:$A$2004,MATCH(ROW()-4,Workers!$U$5:$U$2004,0)),"")</f>
        <v/>
      </c>
      <c r="B603" s="24" t="str">
        <f aca="false">IF($A603="","",INDEX(Workers!$B$5:$B$2004,MATCH($A603,Workers!$A$5:$A$2004,0)))</f>
        <v/>
      </c>
      <c r="C603" s="24" t="str">
        <f aca="false">IF($A603="","",INDEX(Workers!$E$5:$E$2004,MATCH($A603,Workers!$A$5:$A$2004,0)))</f>
        <v/>
      </c>
      <c r="D603" s="24" t="str">
        <f aca="false">IF($A603="","",INDEX(Workers!$K$5:$K$2004,MATCH($A603,Workers!$A$5:$A$2004,0)))</f>
        <v/>
      </c>
      <c r="E603" s="25" t="str">
        <f aca="false">IF($A603="","",SUMIFS(Timesheet!$E$5:$E$3004,Timesheet!$D$5:$D$3004,$A603,Timesheet!$A$5:$A$3004,"&gt;="&amp;Settings!$B$8,Timesheet!$A$5:$A$3004,"&lt;="&amp;Settings!$B$9))</f>
        <v/>
      </c>
      <c r="F603" s="25" t="str">
        <f aca="false">IF($A603="","",SUMIFS(Timesheet!$F$5:$F$3004,Timesheet!$D$5:$D$3004,$A603,Timesheet!$A$5:$A$3004,"&gt;="&amp;Settings!$B$8,Timesheet!$A$5:$A$3004,"&lt;="&amp;Settings!$B$9))</f>
        <v/>
      </c>
      <c r="G603" s="25" t="str">
        <f aca="false">IF($A603="","",SUMIFS(Timesheet!$G$5:$G$3004,Timesheet!$D$5:$D$3004,$A603,Timesheet!$A$5:$A$3004,"&gt;="&amp;Settings!$B$8,Timesheet!$A$5:$A$3004,"&lt;="&amp;Settings!$B$9))</f>
        <v/>
      </c>
      <c r="H603" s="25" t="str">
        <f aca="false">IF($A603="","",IF(D603="Monthly",MAX(0,Settings!$B$11-E603),0))</f>
        <v/>
      </c>
      <c r="I603" s="26" t="str">
        <f aca="false">IF($A603="","",N(INDEX(Workers!$L$5:$L$2004,MATCH($A603,Workers!$A$5:$A$2004,0))))</f>
        <v/>
      </c>
      <c r="J603" s="26" t="str">
        <f aca="false">IF($A603="","",N(INDEX(Workers!$M$5:$M$2004,MATCH($A603,Workers!$A$5:$A$2004,0))))</f>
        <v/>
      </c>
      <c r="K603" s="26" t="str">
        <f aca="false">IF($A603="","",IF(D603="Monthly",ROUND(MAX(0,(I603+J603)-(I603+J603)/Settings!$B$10*H603),2),0))</f>
        <v/>
      </c>
      <c r="L603" s="26" t="str">
        <f aca="false">IF($A603="","",IF(D603="Hourly",ROUND(F603*N(INDEX(Workers!$N$5:$N$2004,MATCH($A603,Workers!$A$5:$A$2004,0))),2),0))</f>
        <v/>
      </c>
      <c r="M603" s="26" t="str">
        <f aca="false">IF($A603="","",ROUND(G603*IF(D603="Hourly",N(INDEX(Workers!$N$5:$N$2004,MATCH($A603,Workers!$A$5:$A$2004,0))),I603/Settings!$B$10/Settings!$B$12)*Settings!$B$13,2))</f>
        <v/>
      </c>
      <c r="N603" s="26" t="str">
        <f aca="false">IF($A603="","",K603+L603+M603)</f>
        <v/>
      </c>
      <c r="O603" s="26" t="str">
        <f aca="false">IF($A603="","",SUMIFS(Deductions!$D$5:$D$2000,Deductions!$B$5:$B$2000,$A603,Deductions!$C$5:$C$2000,"Advance",Deductions!$E$5:$E$2000,"&gt;="&amp;Settings!$B$8,Deductions!$E$5:$E$2000,"&lt;="&amp;Settings!$B$9))</f>
        <v/>
      </c>
      <c r="P603" s="26" t="str">
        <f aca="false">IF($A603="","",SUMIFS(Deductions!$D$5:$D$2000,Deductions!$B$5:$B$2000,$A603,Deductions!$E$5:$E$2000,"&gt;="&amp;Settings!$B$8,Deductions!$E$5:$E$2000,"&lt;="&amp;Settings!$B$9)-O603)</f>
        <v/>
      </c>
      <c r="Q603" s="26" t="str">
        <f aca="false">IF($A603="","",O603+P603)</f>
        <v/>
      </c>
      <c r="R603" s="23" t="str">
        <f aca="false">IF($A603="","",N603-Q603)</f>
        <v/>
      </c>
      <c r="S603" s="24" t="str">
        <f aca="false">IF($A603="","",INDEX(Workers!$O$5:$O$2004,MATCH($A603,Workers!$A$5:$A$2004,0))&amp;"")</f>
        <v/>
      </c>
      <c r="T603" s="24" t="str">
        <f aca="false">IF($A603="","",INDEX(Workers!$P$5:$P$2004,MATCH($A603,Workers!$A$5:$A$2004,0))&amp;"")</f>
        <v/>
      </c>
      <c r="U603" s="24" t="str">
        <f aca="false">IF($A603="","",INDEX(Workers!$H$5:$H$2004,MATCH($A603,Workers!$A$5:$A$2004,0))&amp;"")</f>
        <v/>
      </c>
    </row>
    <row r="604" customFormat="false" ht="15" hidden="false" customHeight="false" outlineLevel="0" collapsed="false">
      <c r="A604" s="24" t="str">
        <f aca="false">IFERROR(INDEX(Workers!$A$5:$A$2004,MATCH(ROW()-4,Workers!$U$5:$U$2004,0)),"")</f>
        <v/>
      </c>
      <c r="B604" s="24" t="str">
        <f aca="false">IF($A604="","",INDEX(Workers!$B$5:$B$2004,MATCH($A604,Workers!$A$5:$A$2004,0)))</f>
        <v/>
      </c>
      <c r="C604" s="24" t="str">
        <f aca="false">IF($A604="","",INDEX(Workers!$E$5:$E$2004,MATCH($A604,Workers!$A$5:$A$2004,0)))</f>
        <v/>
      </c>
      <c r="D604" s="24" t="str">
        <f aca="false">IF($A604="","",INDEX(Workers!$K$5:$K$2004,MATCH($A604,Workers!$A$5:$A$2004,0)))</f>
        <v/>
      </c>
      <c r="E604" s="25" t="str">
        <f aca="false">IF($A604="","",SUMIFS(Timesheet!$E$5:$E$3004,Timesheet!$D$5:$D$3004,$A604,Timesheet!$A$5:$A$3004,"&gt;="&amp;Settings!$B$8,Timesheet!$A$5:$A$3004,"&lt;="&amp;Settings!$B$9))</f>
        <v/>
      </c>
      <c r="F604" s="25" t="str">
        <f aca="false">IF($A604="","",SUMIFS(Timesheet!$F$5:$F$3004,Timesheet!$D$5:$D$3004,$A604,Timesheet!$A$5:$A$3004,"&gt;="&amp;Settings!$B$8,Timesheet!$A$5:$A$3004,"&lt;="&amp;Settings!$B$9))</f>
        <v/>
      </c>
      <c r="G604" s="25" t="str">
        <f aca="false">IF($A604="","",SUMIFS(Timesheet!$G$5:$G$3004,Timesheet!$D$5:$D$3004,$A604,Timesheet!$A$5:$A$3004,"&gt;="&amp;Settings!$B$8,Timesheet!$A$5:$A$3004,"&lt;="&amp;Settings!$B$9))</f>
        <v/>
      </c>
      <c r="H604" s="25" t="str">
        <f aca="false">IF($A604="","",IF(D604="Monthly",MAX(0,Settings!$B$11-E604),0))</f>
        <v/>
      </c>
      <c r="I604" s="26" t="str">
        <f aca="false">IF($A604="","",N(INDEX(Workers!$L$5:$L$2004,MATCH($A604,Workers!$A$5:$A$2004,0))))</f>
        <v/>
      </c>
      <c r="J604" s="26" t="str">
        <f aca="false">IF($A604="","",N(INDEX(Workers!$M$5:$M$2004,MATCH($A604,Workers!$A$5:$A$2004,0))))</f>
        <v/>
      </c>
      <c r="K604" s="26" t="str">
        <f aca="false">IF($A604="","",IF(D604="Monthly",ROUND(MAX(0,(I604+J604)-(I604+J604)/Settings!$B$10*H604),2),0))</f>
        <v/>
      </c>
      <c r="L604" s="26" t="str">
        <f aca="false">IF($A604="","",IF(D604="Hourly",ROUND(F604*N(INDEX(Workers!$N$5:$N$2004,MATCH($A604,Workers!$A$5:$A$2004,0))),2),0))</f>
        <v/>
      </c>
      <c r="M604" s="26" t="str">
        <f aca="false">IF($A604="","",ROUND(G604*IF(D604="Hourly",N(INDEX(Workers!$N$5:$N$2004,MATCH($A604,Workers!$A$5:$A$2004,0))),I604/Settings!$B$10/Settings!$B$12)*Settings!$B$13,2))</f>
        <v/>
      </c>
      <c r="N604" s="26" t="str">
        <f aca="false">IF($A604="","",K604+L604+M604)</f>
        <v/>
      </c>
      <c r="O604" s="26" t="str">
        <f aca="false">IF($A604="","",SUMIFS(Deductions!$D$5:$D$2000,Deductions!$B$5:$B$2000,$A604,Deductions!$C$5:$C$2000,"Advance",Deductions!$E$5:$E$2000,"&gt;="&amp;Settings!$B$8,Deductions!$E$5:$E$2000,"&lt;="&amp;Settings!$B$9))</f>
        <v/>
      </c>
      <c r="P604" s="26" t="str">
        <f aca="false">IF($A604="","",SUMIFS(Deductions!$D$5:$D$2000,Deductions!$B$5:$B$2000,$A604,Deductions!$E$5:$E$2000,"&gt;="&amp;Settings!$B$8,Deductions!$E$5:$E$2000,"&lt;="&amp;Settings!$B$9)-O604)</f>
        <v/>
      </c>
      <c r="Q604" s="26" t="str">
        <f aca="false">IF($A604="","",O604+P604)</f>
        <v/>
      </c>
      <c r="R604" s="23" t="str">
        <f aca="false">IF($A604="","",N604-Q604)</f>
        <v/>
      </c>
      <c r="S604" s="24" t="str">
        <f aca="false">IF($A604="","",INDEX(Workers!$O$5:$O$2004,MATCH($A604,Workers!$A$5:$A$2004,0))&amp;"")</f>
        <v/>
      </c>
      <c r="T604" s="24" t="str">
        <f aca="false">IF($A604="","",INDEX(Workers!$P$5:$P$2004,MATCH($A604,Workers!$A$5:$A$2004,0))&amp;"")</f>
        <v/>
      </c>
      <c r="U604" s="24" t="str">
        <f aca="false">IF($A604="","",INDEX(Workers!$H$5:$H$2004,MATCH($A604,Workers!$A$5:$A$2004,0))&amp;"")</f>
        <v/>
      </c>
    </row>
    <row r="605" customFormat="false" ht="15" hidden="false" customHeight="false" outlineLevel="0" collapsed="false">
      <c r="A605" s="24" t="str">
        <f aca="false">IFERROR(INDEX(Workers!$A$5:$A$2004,MATCH(ROW()-4,Workers!$U$5:$U$2004,0)),"")</f>
        <v/>
      </c>
      <c r="B605" s="24" t="str">
        <f aca="false">IF($A605="","",INDEX(Workers!$B$5:$B$2004,MATCH($A605,Workers!$A$5:$A$2004,0)))</f>
        <v/>
      </c>
      <c r="C605" s="24" t="str">
        <f aca="false">IF($A605="","",INDEX(Workers!$E$5:$E$2004,MATCH($A605,Workers!$A$5:$A$2004,0)))</f>
        <v/>
      </c>
      <c r="D605" s="24" t="str">
        <f aca="false">IF($A605="","",INDEX(Workers!$K$5:$K$2004,MATCH($A605,Workers!$A$5:$A$2004,0)))</f>
        <v/>
      </c>
      <c r="E605" s="25" t="str">
        <f aca="false">IF($A605="","",SUMIFS(Timesheet!$E$5:$E$3004,Timesheet!$D$5:$D$3004,$A605,Timesheet!$A$5:$A$3004,"&gt;="&amp;Settings!$B$8,Timesheet!$A$5:$A$3004,"&lt;="&amp;Settings!$B$9))</f>
        <v/>
      </c>
      <c r="F605" s="25" t="str">
        <f aca="false">IF($A605="","",SUMIFS(Timesheet!$F$5:$F$3004,Timesheet!$D$5:$D$3004,$A605,Timesheet!$A$5:$A$3004,"&gt;="&amp;Settings!$B$8,Timesheet!$A$5:$A$3004,"&lt;="&amp;Settings!$B$9))</f>
        <v/>
      </c>
      <c r="G605" s="25" t="str">
        <f aca="false">IF($A605="","",SUMIFS(Timesheet!$G$5:$G$3004,Timesheet!$D$5:$D$3004,$A605,Timesheet!$A$5:$A$3004,"&gt;="&amp;Settings!$B$8,Timesheet!$A$5:$A$3004,"&lt;="&amp;Settings!$B$9))</f>
        <v/>
      </c>
      <c r="H605" s="25" t="str">
        <f aca="false">IF($A605="","",IF(D605="Monthly",MAX(0,Settings!$B$11-E605),0))</f>
        <v/>
      </c>
      <c r="I605" s="26" t="str">
        <f aca="false">IF($A605="","",N(INDEX(Workers!$L$5:$L$2004,MATCH($A605,Workers!$A$5:$A$2004,0))))</f>
        <v/>
      </c>
      <c r="J605" s="26" t="str">
        <f aca="false">IF($A605="","",N(INDEX(Workers!$M$5:$M$2004,MATCH($A605,Workers!$A$5:$A$2004,0))))</f>
        <v/>
      </c>
      <c r="K605" s="26" t="str">
        <f aca="false">IF($A605="","",IF(D605="Monthly",ROUND(MAX(0,(I605+J605)-(I605+J605)/Settings!$B$10*H605),2),0))</f>
        <v/>
      </c>
      <c r="L605" s="26" t="str">
        <f aca="false">IF($A605="","",IF(D605="Hourly",ROUND(F605*N(INDEX(Workers!$N$5:$N$2004,MATCH($A605,Workers!$A$5:$A$2004,0))),2),0))</f>
        <v/>
      </c>
      <c r="M605" s="26" t="str">
        <f aca="false">IF($A605="","",ROUND(G605*IF(D605="Hourly",N(INDEX(Workers!$N$5:$N$2004,MATCH($A605,Workers!$A$5:$A$2004,0))),I605/Settings!$B$10/Settings!$B$12)*Settings!$B$13,2))</f>
        <v/>
      </c>
      <c r="N605" s="26" t="str">
        <f aca="false">IF($A605="","",K605+L605+M605)</f>
        <v/>
      </c>
      <c r="O605" s="26" t="str">
        <f aca="false">IF($A605="","",SUMIFS(Deductions!$D$5:$D$2000,Deductions!$B$5:$B$2000,$A605,Deductions!$C$5:$C$2000,"Advance",Deductions!$E$5:$E$2000,"&gt;="&amp;Settings!$B$8,Deductions!$E$5:$E$2000,"&lt;="&amp;Settings!$B$9))</f>
        <v/>
      </c>
      <c r="P605" s="26" t="str">
        <f aca="false">IF($A605="","",SUMIFS(Deductions!$D$5:$D$2000,Deductions!$B$5:$B$2000,$A605,Deductions!$E$5:$E$2000,"&gt;="&amp;Settings!$B$8,Deductions!$E$5:$E$2000,"&lt;="&amp;Settings!$B$9)-O605)</f>
        <v/>
      </c>
      <c r="Q605" s="26" t="str">
        <f aca="false">IF($A605="","",O605+P605)</f>
        <v/>
      </c>
      <c r="R605" s="23" t="str">
        <f aca="false">IF($A605="","",N605-Q605)</f>
        <v/>
      </c>
      <c r="S605" s="24" t="str">
        <f aca="false">IF($A605="","",INDEX(Workers!$O$5:$O$2004,MATCH($A605,Workers!$A$5:$A$2004,0))&amp;"")</f>
        <v/>
      </c>
      <c r="T605" s="24" t="str">
        <f aca="false">IF($A605="","",INDEX(Workers!$P$5:$P$2004,MATCH($A605,Workers!$A$5:$A$2004,0))&amp;"")</f>
        <v/>
      </c>
      <c r="U605" s="24" t="str">
        <f aca="false">IF($A605="","",INDEX(Workers!$H$5:$H$2004,MATCH($A605,Workers!$A$5:$A$2004,0))&amp;"")</f>
        <v/>
      </c>
    </row>
    <row r="606" customFormat="false" ht="15" hidden="false" customHeight="false" outlineLevel="0" collapsed="false">
      <c r="A606" s="24" t="str">
        <f aca="false">IFERROR(INDEX(Workers!$A$5:$A$2004,MATCH(ROW()-4,Workers!$U$5:$U$2004,0)),"")</f>
        <v/>
      </c>
      <c r="B606" s="24" t="str">
        <f aca="false">IF($A606="","",INDEX(Workers!$B$5:$B$2004,MATCH($A606,Workers!$A$5:$A$2004,0)))</f>
        <v/>
      </c>
      <c r="C606" s="24" t="str">
        <f aca="false">IF($A606="","",INDEX(Workers!$E$5:$E$2004,MATCH($A606,Workers!$A$5:$A$2004,0)))</f>
        <v/>
      </c>
      <c r="D606" s="24" t="str">
        <f aca="false">IF($A606="","",INDEX(Workers!$K$5:$K$2004,MATCH($A606,Workers!$A$5:$A$2004,0)))</f>
        <v/>
      </c>
      <c r="E606" s="25" t="str">
        <f aca="false">IF($A606="","",SUMIFS(Timesheet!$E$5:$E$3004,Timesheet!$D$5:$D$3004,$A606,Timesheet!$A$5:$A$3004,"&gt;="&amp;Settings!$B$8,Timesheet!$A$5:$A$3004,"&lt;="&amp;Settings!$B$9))</f>
        <v/>
      </c>
      <c r="F606" s="25" t="str">
        <f aca="false">IF($A606="","",SUMIFS(Timesheet!$F$5:$F$3004,Timesheet!$D$5:$D$3004,$A606,Timesheet!$A$5:$A$3004,"&gt;="&amp;Settings!$B$8,Timesheet!$A$5:$A$3004,"&lt;="&amp;Settings!$B$9))</f>
        <v/>
      </c>
      <c r="G606" s="25" t="str">
        <f aca="false">IF($A606="","",SUMIFS(Timesheet!$G$5:$G$3004,Timesheet!$D$5:$D$3004,$A606,Timesheet!$A$5:$A$3004,"&gt;="&amp;Settings!$B$8,Timesheet!$A$5:$A$3004,"&lt;="&amp;Settings!$B$9))</f>
        <v/>
      </c>
      <c r="H606" s="25" t="str">
        <f aca="false">IF($A606="","",IF(D606="Monthly",MAX(0,Settings!$B$11-E606),0))</f>
        <v/>
      </c>
      <c r="I606" s="26" t="str">
        <f aca="false">IF($A606="","",N(INDEX(Workers!$L$5:$L$2004,MATCH($A606,Workers!$A$5:$A$2004,0))))</f>
        <v/>
      </c>
      <c r="J606" s="26" t="str">
        <f aca="false">IF($A606="","",N(INDEX(Workers!$M$5:$M$2004,MATCH($A606,Workers!$A$5:$A$2004,0))))</f>
        <v/>
      </c>
      <c r="K606" s="26" t="str">
        <f aca="false">IF($A606="","",IF(D606="Monthly",ROUND(MAX(0,(I606+J606)-(I606+J606)/Settings!$B$10*H606),2),0))</f>
        <v/>
      </c>
      <c r="L606" s="26" t="str">
        <f aca="false">IF($A606="","",IF(D606="Hourly",ROUND(F606*N(INDEX(Workers!$N$5:$N$2004,MATCH($A606,Workers!$A$5:$A$2004,0))),2),0))</f>
        <v/>
      </c>
      <c r="M606" s="26" t="str">
        <f aca="false">IF($A606="","",ROUND(G606*IF(D606="Hourly",N(INDEX(Workers!$N$5:$N$2004,MATCH($A606,Workers!$A$5:$A$2004,0))),I606/Settings!$B$10/Settings!$B$12)*Settings!$B$13,2))</f>
        <v/>
      </c>
      <c r="N606" s="26" t="str">
        <f aca="false">IF($A606="","",K606+L606+M606)</f>
        <v/>
      </c>
      <c r="O606" s="26" t="str">
        <f aca="false">IF($A606="","",SUMIFS(Deductions!$D$5:$D$2000,Deductions!$B$5:$B$2000,$A606,Deductions!$C$5:$C$2000,"Advance",Deductions!$E$5:$E$2000,"&gt;="&amp;Settings!$B$8,Deductions!$E$5:$E$2000,"&lt;="&amp;Settings!$B$9))</f>
        <v/>
      </c>
      <c r="P606" s="26" t="str">
        <f aca="false">IF($A606="","",SUMIFS(Deductions!$D$5:$D$2000,Deductions!$B$5:$B$2000,$A606,Deductions!$E$5:$E$2000,"&gt;="&amp;Settings!$B$8,Deductions!$E$5:$E$2000,"&lt;="&amp;Settings!$B$9)-O606)</f>
        <v/>
      </c>
      <c r="Q606" s="26" t="str">
        <f aca="false">IF($A606="","",O606+P606)</f>
        <v/>
      </c>
      <c r="R606" s="23" t="str">
        <f aca="false">IF($A606="","",N606-Q606)</f>
        <v/>
      </c>
      <c r="S606" s="24" t="str">
        <f aca="false">IF($A606="","",INDEX(Workers!$O$5:$O$2004,MATCH($A606,Workers!$A$5:$A$2004,0))&amp;"")</f>
        <v/>
      </c>
      <c r="T606" s="24" t="str">
        <f aca="false">IF($A606="","",INDEX(Workers!$P$5:$P$2004,MATCH($A606,Workers!$A$5:$A$2004,0))&amp;"")</f>
        <v/>
      </c>
      <c r="U606" s="24" t="str">
        <f aca="false">IF($A606="","",INDEX(Workers!$H$5:$H$2004,MATCH($A606,Workers!$A$5:$A$2004,0))&amp;"")</f>
        <v/>
      </c>
    </row>
    <row r="607" customFormat="false" ht="15" hidden="false" customHeight="false" outlineLevel="0" collapsed="false">
      <c r="A607" s="24" t="str">
        <f aca="false">IFERROR(INDEX(Workers!$A$5:$A$2004,MATCH(ROW()-4,Workers!$U$5:$U$2004,0)),"")</f>
        <v/>
      </c>
      <c r="B607" s="24" t="str">
        <f aca="false">IF($A607="","",INDEX(Workers!$B$5:$B$2004,MATCH($A607,Workers!$A$5:$A$2004,0)))</f>
        <v/>
      </c>
      <c r="C607" s="24" t="str">
        <f aca="false">IF($A607="","",INDEX(Workers!$E$5:$E$2004,MATCH($A607,Workers!$A$5:$A$2004,0)))</f>
        <v/>
      </c>
      <c r="D607" s="24" t="str">
        <f aca="false">IF($A607="","",INDEX(Workers!$K$5:$K$2004,MATCH($A607,Workers!$A$5:$A$2004,0)))</f>
        <v/>
      </c>
      <c r="E607" s="25" t="str">
        <f aca="false">IF($A607="","",SUMIFS(Timesheet!$E$5:$E$3004,Timesheet!$D$5:$D$3004,$A607,Timesheet!$A$5:$A$3004,"&gt;="&amp;Settings!$B$8,Timesheet!$A$5:$A$3004,"&lt;="&amp;Settings!$B$9))</f>
        <v/>
      </c>
      <c r="F607" s="25" t="str">
        <f aca="false">IF($A607="","",SUMIFS(Timesheet!$F$5:$F$3004,Timesheet!$D$5:$D$3004,$A607,Timesheet!$A$5:$A$3004,"&gt;="&amp;Settings!$B$8,Timesheet!$A$5:$A$3004,"&lt;="&amp;Settings!$B$9))</f>
        <v/>
      </c>
      <c r="G607" s="25" t="str">
        <f aca="false">IF($A607="","",SUMIFS(Timesheet!$G$5:$G$3004,Timesheet!$D$5:$D$3004,$A607,Timesheet!$A$5:$A$3004,"&gt;="&amp;Settings!$B$8,Timesheet!$A$5:$A$3004,"&lt;="&amp;Settings!$B$9))</f>
        <v/>
      </c>
      <c r="H607" s="25" t="str">
        <f aca="false">IF($A607="","",IF(D607="Monthly",MAX(0,Settings!$B$11-E607),0))</f>
        <v/>
      </c>
      <c r="I607" s="26" t="str">
        <f aca="false">IF($A607="","",N(INDEX(Workers!$L$5:$L$2004,MATCH($A607,Workers!$A$5:$A$2004,0))))</f>
        <v/>
      </c>
      <c r="J607" s="26" t="str">
        <f aca="false">IF($A607="","",N(INDEX(Workers!$M$5:$M$2004,MATCH($A607,Workers!$A$5:$A$2004,0))))</f>
        <v/>
      </c>
      <c r="K607" s="26" t="str">
        <f aca="false">IF($A607="","",IF(D607="Monthly",ROUND(MAX(0,(I607+J607)-(I607+J607)/Settings!$B$10*H607),2),0))</f>
        <v/>
      </c>
      <c r="L607" s="26" t="str">
        <f aca="false">IF($A607="","",IF(D607="Hourly",ROUND(F607*N(INDEX(Workers!$N$5:$N$2004,MATCH($A607,Workers!$A$5:$A$2004,0))),2),0))</f>
        <v/>
      </c>
      <c r="M607" s="26" t="str">
        <f aca="false">IF($A607="","",ROUND(G607*IF(D607="Hourly",N(INDEX(Workers!$N$5:$N$2004,MATCH($A607,Workers!$A$5:$A$2004,0))),I607/Settings!$B$10/Settings!$B$12)*Settings!$B$13,2))</f>
        <v/>
      </c>
      <c r="N607" s="26" t="str">
        <f aca="false">IF($A607="","",K607+L607+M607)</f>
        <v/>
      </c>
      <c r="O607" s="26" t="str">
        <f aca="false">IF($A607="","",SUMIFS(Deductions!$D$5:$D$2000,Deductions!$B$5:$B$2000,$A607,Deductions!$C$5:$C$2000,"Advance",Deductions!$E$5:$E$2000,"&gt;="&amp;Settings!$B$8,Deductions!$E$5:$E$2000,"&lt;="&amp;Settings!$B$9))</f>
        <v/>
      </c>
      <c r="P607" s="26" t="str">
        <f aca="false">IF($A607="","",SUMIFS(Deductions!$D$5:$D$2000,Deductions!$B$5:$B$2000,$A607,Deductions!$E$5:$E$2000,"&gt;="&amp;Settings!$B$8,Deductions!$E$5:$E$2000,"&lt;="&amp;Settings!$B$9)-O607)</f>
        <v/>
      </c>
      <c r="Q607" s="26" t="str">
        <f aca="false">IF($A607="","",O607+P607)</f>
        <v/>
      </c>
      <c r="R607" s="23" t="str">
        <f aca="false">IF($A607="","",N607-Q607)</f>
        <v/>
      </c>
      <c r="S607" s="24" t="str">
        <f aca="false">IF($A607="","",INDEX(Workers!$O$5:$O$2004,MATCH($A607,Workers!$A$5:$A$2004,0))&amp;"")</f>
        <v/>
      </c>
      <c r="T607" s="24" t="str">
        <f aca="false">IF($A607="","",INDEX(Workers!$P$5:$P$2004,MATCH($A607,Workers!$A$5:$A$2004,0))&amp;"")</f>
        <v/>
      </c>
      <c r="U607" s="24" t="str">
        <f aca="false">IF($A607="","",INDEX(Workers!$H$5:$H$2004,MATCH($A607,Workers!$A$5:$A$2004,0))&amp;"")</f>
        <v/>
      </c>
    </row>
    <row r="608" customFormat="false" ht="15" hidden="false" customHeight="false" outlineLevel="0" collapsed="false">
      <c r="A608" s="24" t="str">
        <f aca="false">IFERROR(INDEX(Workers!$A$5:$A$2004,MATCH(ROW()-4,Workers!$U$5:$U$2004,0)),"")</f>
        <v/>
      </c>
      <c r="B608" s="24" t="str">
        <f aca="false">IF($A608="","",INDEX(Workers!$B$5:$B$2004,MATCH($A608,Workers!$A$5:$A$2004,0)))</f>
        <v/>
      </c>
      <c r="C608" s="24" t="str">
        <f aca="false">IF($A608="","",INDEX(Workers!$E$5:$E$2004,MATCH($A608,Workers!$A$5:$A$2004,0)))</f>
        <v/>
      </c>
      <c r="D608" s="24" t="str">
        <f aca="false">IF($A608="","",INDEX(Workers!$K$5:$K$2004,MATCH($A608,Workers!$A$5:$A$2004,0)))</f>
        <v/>
      </c>
      <c r="E608" s="25" t="str">
        <f aca="false">IF($A608="","",SUMIFS(Timesheet!$E$5:$E$3004,Timesheet!$D$5:$D$3004,$A608,Timesheet!$A$5:$A$3004,"&gt;="&amp;Settings!$B$8,Timesheet!$A$5:$A$3004,"&lt;="&amp;Settings!$B$9))</f>
        <v/>
      </c>
      <c r="F608" s="25" t="str">
        <f aca="false">IF($A608="","",SUMIFS(Timesheet!$F$5:$F$3004,Timesheet!$D$5:$D$3004,$A608,Timesheet!$A$5:$A$3004,"&gt;="&amp;Settings!$B$8,Timesheet!$A$5:$A$3004,"&lt;="&amp;Settings!$B$9))</f>
        <v/>
      </c>
      <c r="G608" s="25" t="str">
        <f aca="false">IF($A608="","",SUMIFS(Timesheet!$G$5:$G$3004,Timesheet!$D$5:$D$3004,$A608,Timesheet!$A$5:$A$3004,"&gt;="&amp;Settings!$B$8,Timesheet!$A$5:$A$3004,"&lt;="&amp;Settings!$B$9))</f>
        <v/>
      </c>
      <c r="H608" s="25" t="str">
        <f aca="false">IF($A608="","",IF(D608="Monthly",MAX(0,Settings!$B$11-E608),0))</f>
        <v/>
      </c>
      <c r="I608" s="26" t="str">
        <f aca="false">IF($A608="","",N(INDEX(Workers!$L$5:$L$2004,MATCH($A608,Workers!$A$5:$A$2004,0))))</f>
        <v/>
      </c>
      <c r="J608" s="26" t="str">
        <f aca="false">IF($A608="","",N(INDEX(Workers!$M$5:$M$2004,MATCH($A608,Workers!$A$5:$A$2004,0))))</f>
        <v/>
      </c>
      <c r="K608" s="26" t="str">
        <f aca="false">IF($A608="","",IF(D608="Monthly",ROUND(MAX(0,(I608+J608)-(I608+J608)/Settings!$B$10*H608),2),0))</f>
        <v/>
      </c>
      <c r="L608" s="26" t="str">
        <f aca="false">IF($A608="","",IF(D608="Hourly",ROUND(F608*N(INDEX(Workers!$N$5:$N$2004,MATCH($A608,Workers!$A$5:$A$2004,0))),2),0))</f>
        <v/>
      </c>
      <c r="M608" s="26" t="str">
        <f aca="false">IF($A608="","",ROUND(G608*IF(D608="Hourly",N(INDEX(Workers!$N$5:$N$2004,MATCH($A608,Workers!$A$5:$A$2004,0))),I608/Settings!$B$10/Settings!$B$12)*Settings!$B$13,2))</f>
        <v/>
      </c>
      <c r="N608" s="26" t="str">
        <f aca="false">IF($A608="","",K608+L608+M608)</f>
        <v/>
      </c>
      <c r="O608" s="26" t="str">
        <f aca="false">IF($A608="","",SUMIFS(Deductions!$D$5:$D$2000,Deductions!$B$5:$B$2000,$A608,Deductions!$C$5:$C$2000,"Advance",Deductions!$E$5:$E$2000,"&gt;="&amp;Settings!$B$8,Deductions!$E$5:$E$2000,"&lt;="&amp;Settings!$B$9))</f>
        <v/>
      </c>
      <c r="P608" s="26" t="str">
        <f aca="false">IF($A608="","",SUMIFS(Deductions!$D$5:$D$2000,Deductions!$B$5:$B$2000,$A608,Deductions!$E$5:$E$2000,"&gt;="&amp;Settings!$B$8,Deductions!$E$5:$E$2000,"&lt;="&amp;Settings!$B$9)-O608)</f>
        <v/>
      </c>
      <c r="Q608" s="26" t="str">
        <f aca="false">IF($A608="","",O608+P608)</f>
        <v/>
      </c>
      <c r="R608" s="23" t="str">
        <f aca="false">IF($A608="","",N608-Q608)</f>
        <v/>
      </c>
      <c r="S608" s="24" t="str">
        <f aca="false">IF($A608="","",INDEX(Workers!$O$5:$O$2004,MATCH($A608,Workers!$A$5:$A$2004,0))&amp;"")</f>
        <v/>
      </c>
      <c r="T608" s="24" t="str">
        <f aca="false">IF($A608="","",INDEX(Workers!$P$5:$P$2004,MATCH($A608,Workers!$A$5:$A$2004,0))&amp;"")</f>
        <v/>
      </c>
      <c r="U608" s="24" t="str">
        <f aca="false">IF($A608="","",INDEX(Workers!$H$5:$H$2004,MATCH($A608,Workers!$A$5:$A$2004,0))&amp;"")</f>
        <v/>
      </c>
    </row>
    <row r="609" customFormat="false" ht="15" hidden="false" customHeight="false" outlineLevel="0" collapsed="false">
      <c r="A609" s="24" t="str">
        <f aca="false">IFERROR(INDEX(Workers!$A$5:$A$2004,MATCH(ROW()-4,Workers!$U$5:$U$2004,0)),"")</f>
        <v/>
      </c>
      <c r="B609" s="24" t="str">
        <f aca="false">IF($A609="","",INDEX(Workers!$B$5:$B$2004,MATCH($A609,Workers!$A$5:$A$2004,0)))</f>
        <v/>
      </c>
      <c r="C609" s="24" t="str">
        <f aca="false">IF($A609="","",INDEX(Workers!$E$5:$E$2004,MATCH($A609,Workers!$A$5:$A$2004,0)))</f>
        <v/>
      </c>
      <c r="D609" s="24" t="str">
        <f aca="false">IF($A609="","",INDEX(Workers!$K$5:$K$2004,MATCH($A609,Workers!$A$5:$A$2004,0)))</f>
        <v/>
      </c>
      <c r="E609" s="25" t="str">
        <f aca="false">IF($A609="","",SUMIFS(Timesheet!$E$5:$E$3004,Timesheet!$D$5:$D$3004,$A609,Timesheet!$A$5:$A$3004,"&gt;="&amp;Settings!$B$8,Timesheet!$A$5:$A$3004,"&lt;="&amp;Settings!$B$9))</f>
        <v/>
      </c>
      <c r="F609" s="25" t="str">
        <f aca="false">IF($A609="","",SUMIFS(Timesheet!$F$5:$F$3004,Timesheet!$D$5:$D$3004,$A609,Timesheet!$A$5:$A$3004,"&gt;="&amp;Settings!$B$8,Timesheet!$A$5:$A$3004,"&lt;="&amp;Settings!$B$9))</f>
        <v/>
      </c>
      <c r="G609" s="25" t="str">
        <f aca="false">IF($A609="","",SUMIFS(Timesheet!$G$5:$G$3004,Timesheet!$D$5:$D$3004,$A609,Timesheet!$A$5:$A$3004,"&gt;="&amp;Settings!$B$8,Timesheet!$A$5:$A$3004,"&lt;="&amp;Settings!$B$9))</f>
        <v/>
      </c>
      <c r="H609" s="25" t="str">
        <f aca="false">IF($A609="","",IF(D609="Monthly",MAX(0,Settings!$B$11-E609),0))</f>
        <v/>
      </c>
      <c r="I609" s="26" t="str">
        <f aca="false">IF($A609="","",N(INDEX(Workers!$L$5:$L$2004,MATCH($A609,Workers!$A$5:$A$2004,0))))</f>
        <v/>
      </c>
      <c r="J609" s="26" t="str">
        <f aca="false">IF($A609="","",N(INDEX(Workers!$M$5:$M$2004,MATCH($A609,Workers!$A$5:$A$2004,0))))</f>
        <v/>
      </c>
      <c r="K609" s="26" t="str">
        <f aca="false">IF($A609="","",IF(D609="Monthly",ROUND(MAX(0,(I609+J609)-(I609+J609)/Settings!$B$10*H609),2),0))</f>
        <v/>
      </c>
      <c r="L609" s="26" t="str">
        <f aca="false">IF($A609="","",IF(D609="Hourly",ROUND(F609*N(INDEX(Workers!$N$5:$N$2004,MATCH($A609,Workers!$A$5:$A$2004,0))),2),0))</f>
        <v/>
      </c>
      <c r="M609" s="26" t="str">
        <f aca="false">IF($A609="","",ROUND(G609*IF(D609="Hourly",N(INDEX(Workers!$N$5:$N$2004,MATCH($A609,Workers!$A$5:$A$2004,0))),I609/Settings!$B$10/Settings!$B$12)*Settings!$B$13,2))</f>
        <v/>
      </c>
      <c r="N609" s="26" t="str">
        <f aca="false">IF($A609="","",K609+L609+M609)</f>
        <v/>
      </c>
      <c r="O609" s="26" t="str">
        <f aca="false">IF($A609="","",SUMIFS(Deductions!$D$5:$D$2000,Deductions!$B$5:$B$2000,$A609,Deductions!$C$5:$C$2000,"Advance",Deductions!$E$5:$E$2000,"&gt;="&amp;Settings!$B$8,Deductions!$E$5:$E$2000,"&lt;="&amp;Settings!$B$9))</f>
        <v/>
      </c>
      <c r="P609" s="26" t="str">
        <f aca="false">IF($A609="","",SUMIFS(Deductions!$D$5:$D$2000,Deductions!$B$5:$B$2000,$A609,Deductions!$E$5:$E$2000,"&gt;="&amp;Settings!$B$8,Deductions!$E$5:$E$2000,"&lt;="&amp;Settings!$B$9)-O609)</f>
        <v/>
      </c>
      <c r="Q609" s="26" t="str">
        <f aca="false">IF($A609="","",O609+P609)</f>
        <v/>
      </c>
      <c r="R609" s="23" t="str">
        <f aca="false">IF($A609="","",N609-Q609)</f>
        <v/>
      </c>
      <c r="S609" s="24" t="str">
        <f aca="false">IF($A609="","",INDEX(Workers!$O$5:$O$2004,MATCH($A609,Workers!$A$5:$A$2004,0))&amp;"")</f>
        <v/>
      </c>
      <c r="T609" s="24" t="str">
        <f aca="false">IF($A609="","",INDEX(Workers!$P$5:$P$2004,MATCH($A609,Workers!$A$5:$A$2004,0))&amp;"")</f>
        <v/>
      </c>
      <c r="U609" s="24" t="str">
        <f aca="false">IF($A609="","",INDEX(Workers!$H$5:$H$2004,MATCH($A609,Workers!$A$5:$A$2004,0))&amp;"")</f>
        <v/>
      </c>
    </row>
    <row r="610" customFormat="false" ht="15" hidden="false" customHeight="false" outlineLevel="0" collapsed="false">
      <c r="A610" s="24" t="str">
        <f aca="false">IFERROR(INDEX(Workers!$A$5:$A$2004,MATCH(ROW()-4,Workers!$U$5:$U$2004,0)),"")</f>
        <v/>
      </c>
      <c r="B610" s="24" t="str">
        <f aca="false">IF($A610="","",INDEX(Workers!$B$5:$B$2004,MATCH($A610,Workers!$A$5:$A$2004,0)))</f>
        <v/>
      </c>
      <c r="C610" s="24" t="str">
        <f aca="false">IF($A610="","",INDEX(Workers!$E$5:$E$2004,MATCH($A610,Workers!$A$5:$A$2004,0)))</f>
        <v/>
      </c>
      <c r="D610" s="24" t="str">
        <f aca="false">IF($A610="","",INDEX(Workers!$K$5:$K$2004,MATCH($A610,Workers!$A$5:$A$2004,0)))</f>
        <v/>
      </c>
      <c r="E610" s="25" t="str">
        <f aca="false">IF($A610="","",SUMIFS(Timesheet!$E$5:$E$3004,Timesheet!$D$5:$D$3004,$A610,Timesheet!$A$5:$A$3004,"&gt;="&amp;Settings!$B$8,Timesheet!$A$5:$A$3004,"&lt;="&amp;Settings!$B$9))</f>
        <v/>
      </c>
      <c r="F610" s="25" t="str">
        <f aca="false">IF($A610="","",SUMIFS(Timesheet!$F$5:$F$3004,Timesheet!$D$5:$D$3004,$A610,Timesheet!$A$5:$A$3004,"&gt;="&amp;Settings!$B$8,Timesheet!$A$5:$A$3004,"&lt;="&amp;Settings!$B$9))</f>
        <v/>
      </c>
      <c r="G610" s="25" t="str">
        <f aca="false">IF($A610="","",SUMIFS(Timesheet!$G$5:$G$3004,Timesheet!$D$5:$D$3004,$A610,Timesheet!$A$5:$A$3004,"&gt;="&amp;Settings!$B$8,Timesheet!$A$5:$A$3004,"&lt;="&amp;Settings!$B$9))</f>
        <v/>
      </c>
      <c r="H610" s="25" t="str">
        <f aca="false">IF($A610="","",IF(D610="Monthly",MAX(0,Settings!$B$11-E610),0))</f>
        <v/>
      </c>
      <c r="I610" s="26" t="str">
        <f aca="false">IF($A610="","",N(INDEX(Workers!$L$5:$L$2004,MATCH($A610,Workers!$A$5:$A$2004,0))))</f>
        <v/>
      </c>
      <c r="J610" s="26" t="str">
        <f aca="false">IF($A610="","",N(INDEX(Workers!$M$5:$M$2004,MATCH($A610,Workers!$A$5:$A$2004,0))))</f>
        <v/>
      </c>
      <c r="K610" s="26" t="str">
        <f aca="false">IF($A610="","",IF(D610="Monthly",ROUND(MAX(0,(I610+J610)-(I610+J610)/Settings!$B$10*H610),2),0))</f>
        <v/>
      </c>
      <c r="L610" s="26" t="str">
        <f aca="false">IF($A610="","",IF(D610="Hourly",ROUND(F610*N(INDEX(Workers!$N$5:$N$2004,MATCH($A610,Workers!$A$5:$A$2004,0))),2),0))</f>
        <v/>
      </c>
      <c r="M610" s="26" t="str">
        <f aca="false">IF($A610="","",ROUND(G610*IF(D610="Hourly",N(INDEX(Workers!$N$5:$N$2004,MATCH($A610,Workers!$A$5:$A$2004,0))),I610/Settings!$B$10/Settings!$B$12)*Settings!$B$13,2))</f>
        <v/>
      </c>
      <c r="N610" s="26" t="str">
        <f aca="false">IF($A610="","",K610+L610+M610)</f>
        <v/>
      </c>
      <c r="O610" s="26" t="str">
        <f aca="false">IF($A610="","",SUMIFS(Deductions!$D$5:$D$2000,Deductions!$B$5:$B$2000,$A610,Deductions!$C$5:$C$2000,"Advance",Deductions!$E$5:$E$2000,"&gt;="&amp;Settings!$B$8,Deductions!$E$5:$E$2000,"&lt;="&amp;Settings!$B$9))</f>
        <v/>
      </c>
      <c r="P610" s="26" t="str">
        <f aca="false">IF($A610="","",SUMIFS(Deductions!$D$5:$D$2000,Deductions!$B$5:$B$2000,$A610,Deductions!$E$5:$E$2000,"&gt;="&amp;Settings!$B$8,Deductions!$E$5:$E$2000,"&lt;="&amp;Settings!$B$9)-O610)</f>
        <v/>
      </c>
      <c r="Q610" s="26" t="str">
        <f aca="false">IF($A610="","",O610+P610)</f>
        <v/>
      </c>
      <c r="R610" s="23" t="str">
        <f aca="false">IF($A610="","",N610-Q610)</f>
        <v/>
      </c>
      <c r="S610" s="24" t="str">
        <f aca="false">IF($A610="","",INDEX(Workers!$O$5:$O$2004,MATCH($A610,Workers!$A$5:$A$2004,0))&amp;"")</f>
        <v/>
      </c>
      <c r="T610" s="24" t="str">
        <f aca="false">IF($A610="","",INDEX(Workers!$P$5:$P$2004,MATCH($A610,Workers!$A$5:$A$2004,0))&amp;"")</f>
        <v/>
      </c>
      <c r="U610" s="24" t="str">
        <f aca="false">IF($A610="","",INDEX(Workers!$H$5:$H$2004,MATCH($A610,Workers!$A$5:$A$2004,0))&amp;"")</f>
        <v/>
      </c>
    </row>
    <row r="611" customFormat="false" ht="15" hidden="false" customHeight="false" outlineLevel="0" collapsed="false">
      <c r="A611" s="24" t="str">
        <f aca="false">IFERROR(INDEX(Workers!$A$5:$A$2004,MATCH(ROW()-4,Workers!$U$5:$U$2004,0)),"")</f>
        <v/>
      </c>
      <c r="B611" s="24" t="str">
        <f aca="false">IF($A611="","",INDEX(Workers!$B$5:$B$2004,MATCH($A611,Workers!$A$5:$A$2004,0)))</f>
        <v/>
      </c>
      <c r="C611" s="24" t="str">
        <f aca="false">IF($A611="","",INDEX(Workers!$E$5:$E$2004,MATCH($A611,Workers!$A$5:$A$2004,0)))</f>
        <v/>
      </c>
      <c r="D611" s="24" t="str">
        <f aca="false">IF($A611="","",INDEX(Workers!$K$5:$K$2004,MATCH($A611,Workers!$A$5:$A$2004,0)))</f>
        <v/>
      </c>
      <c r="E611" s="25" t="str">
        <f aca="false">IF($A611="","",SUMIFS(Timesheet!$E$5:$E$3004,Timesheet!$D$5:$D$3004,$A611,Timesheet!$A$5:$A$3004,"&gt;="&amp;Settings!$B$8,Timesheet!$A$5:$A$3004,"&lt;="&amp;Settings!$B$9))</f>
        <v/>
      </c>
      <c r="F611" s="25" t="str">
        <f aca="false">IF($A611="","",SUMIFS(Timesheet!$F$5:$F$3004,Timesheet!$D$5:$D$3004,$A611,Timesheet!$A$5:$A$3004,"&gt;="&amp;Settings!$B$8,Timesheet!$A$5:$A$3004,"&lt;="&amp;Settings!$B$9))</f>
        <v/>
      </c>
      <c r="G611" s="25" t="str">
        <f aca="false">IF($A611="","",SUMIFS(Timesheet!$G$5:$G$3004,Timesheet!$D$5:$D$3004,$A611,Timesheet!$A$5:$A$3004,"&gt;="&amp;Settings!$B$8,Timesheet!$A$5:$A$3004,"&lt;="&amp;Settings!$B$9))</f>
        <v/>
      </c>
      <c r="H611" s="25" t="str">
        <f aca="false">IF($A611="","",IF(D611="Monthly",MAX(0,Settings!$B$11-E611),0))</f>
        <v/>
      </c>
      <c r="I611" s="26" t="str">
        <f aca="false">IF($A611="","",N(INDEX(Workers!$L$5:$L$2004,MATCH($A611,Workers!$A$5:$A$2004,0))))</f>
        <v/>
      </c>
      <c r="J611" s="26" t="str">
        <f aca="false">IF($A611="","",N(INDEX(Workers!$M$5:$M$2004,MATCH($A611,Workers!$A$5:$A$2004,0))))</f>
        <v/>
      </c>
      <c r="K611" s="26" t="str">
        <f aca="false">IF($A611="","",IF(D611="Monthly",ROUND(MAX(0,(I611+J611)-(I611+J611)/Settings!$B$10*H611),2),0))</f>
        <v/>
      </c>
      <c r="L611" s="26" t="str">
        <f aca="false">IF($A611="","",IF(D611="Hourly",ROUND(F611*N(INDEX(Workers!$N$5:$N$2004,MATCH($A611,Workers!$A$5:$A$2004,0))),2),0))</f>
        <v/>
      </c>
      <c r="M611" s="26" t="str">
        <f aca="false">IF($A611="","",ROUND(G611*IF(D611="Hourly",N(INDEX(Workers!$N$5:$N$2004,MATCH($A611,Workers!$A$5:$A$2004,0))),I611/Settings!$B$10/Settings!$B$12)*Settings!$B$13,2))</f>
        <v/>
      </c>
      <c r="N611" s="26" t="str">
        <f aca="false">IF($A611="","",K611+L611+M611)</f>
        <v/>
      </c>
      <c r="O611" s="26" t="str">
        <f aca="false">IF($A611="","",SUMIFS(Deductions!$D$5:$D$2000,Deductions!$B$5:$B$2000,$A611,Deductions!$C$5:$C$2000,"Advance",Deductions!$E$5:$E$2000,"&gt;="&amp;Settings!$B$8,Deductions!$E$5:$E$2000,"&lt;="&amp;Settings!$B$9))</f>
        <v/>
      </c>
      <c r="P611" s="26" t="str">
        <f aca="false">IF($A611="","",SUMIFS(Deductions!$D$5:$D$2000,Deductions!$B$5:$B$2000,$A611,Deductions!$E$5:$E$2000,"&gt;="&amp;Settings!$B$8,Deductions!$E$5:$E$2000,"&lt;="&amp;Settings!$B$9)-O611)</f>
        <v/>
      </c>
      <c r="Q611" s="26" t="str">
        <f aca="false">IF($A611="","",O611+P611)</f>
        <v/>
      </c>
      <c r="R611" s="23" t="str">
        <f aca="false">IF($A611="","",N611-Q611)</f>
        <v/>
      </c>
      <c r="S611" s="24" t="str">
        <f aca="false">IF($A611="","",INDEX(Workers!$O$5:$O$2004,MATCH($A611,Workers!$A$5:$A$2004,0))&amp;"")</f>
        <v/>
      </c>
      <c r="T611" s="24" t="str">
        <f aca="false">IF($A611="","",INDEX(Workers!$P$5:$P$2004,MATCH($A611,Workers!$A$5:$A$2004,0))&amp;"")</f>
        <v/>
      </c>
      <c r="U611" s="24" t="str">
        <f aca="false">IF($A611="","",INDEX(Workers!$H$5:$H$2004,MATCH($A611,Workers!$A$5:$A$2004,0))&amp;"")</f>
        <v/>
      </c>
    </row>
    <row r="612" customFormat="false" ht="15" hidden="false" customHeight="false" outlineLevel="0" collapsed="false">
      <c r="A612" s="24" t="str">
        <f aca="false">IFERROR(INDEX(Workers!$A$5:$A$2004,MATCH(ROW()-4,Workers!$U$5:$U$2004,0)),"")</f>
        <v/>
      </c>
      <c r="B612" s="24" t="str">
        <f aca="false">IF($A612="","",INDEX(Workers!$B$5:$B$2004,MATCH($A612,Workers!$A$5:$A$2004,0)))</f>
        <v/>
      </c>
      <c r="C612" s="24" t="str">
        <f aca="false">IF($A612="","",INDEX(Workers!$E$5:$E$2004,MATCH($A612,Workers!$A$5:$A$2004,0)))</f>
        <v/>
      </c>
      <c r="D612" s="24" t="str">
        <f aca="false">IF($A612="","",INDEX(Workers!$K$5:$K$2004,MATCH($A612,Workers!$A$5:$A$2004,0)))</f>
        <v/>
      </c>
      <c r="E612" s="25" t="str">
        <f aca="false">IF($A612="","",SUMIFS(Timesheet!$E$5:$E$3004,Timesheet!$D$5:$D$3004,$A612,Timesheet!$A$5:$A$3004,"&gt;="&amp;Settings!$B$8,Timesheet!$A$5:$A$3004,"&lt;="&amp;Settings!$B$9))</f>
        <v/>
      </c>
      <c r="F612" s="25" t="str">
        <f aca="false">IF($A612="","",SUMIFS(Timesheet!$F$5:$F$3004,Timesheet!$D$5:$D$3004,$A612,Timesheet!$A$5:$A$3004,"&gt;="&amp;Settings!$B$8,Timesheet!$A$5:$A$3004,"&lt;="&amp;Settings!$B$9))</f>
        <v/>
      </c>
      <c r="G612" s="25" t="str">
        <f aca="false">IF($A612="","",SUMIFS(Timesheet!$G$5:$G$3004,Timesheet!$D$5:$D$3004,$A612,Timesheet!$A$5:$A$3004,"&gt;="&amp;Settings!$B$8,Timesheet!$A$5:$A$3004,"&lt;="&amp;Settings!$B$9))</f>
        <v/>
      </c>
      <c r="H612" s="25" t="str">
        <f aca="false">IF($A612="","",IF(D612="Monthly",MAX(0,Settings!$B$11-E612),0))</f>
        <v/>
      </c>
      <c r="I612" s="26" t="str">
        <f aca="false">IF($A612="","",N(INDEX(Workers!$L$5:$L$2004,MATCH($A612,Workers!$A$5:$A$2004,0))))</f>
        <v/>
      </c>
      <c r="J612" s="26" t="str">
        <f aca="false">IF($A612="","",N(INDEX(Workers!$M$5:$M$2004,MATCH($A612,Workers!$A$5:$A$2004,0))))</f>
        <v/>
      </c>
      <c r="K612" s="26" t="str">
        <f aca="false">IF($A612="","",IF(D612="Monthly",ROUND(MAX(0,(I612+J612)-(I612+J612)/Settings!$B$10*H612),2),0))</f>
        <v/>
      </c>
      <c r="L612" s="26" t="str">
        <f aca="false">IF($A612="","",IF(D612="Hourly",ROUND(F612*N(INDEX(Workers!$N$5:$N$2004,MATCH($A612,Workers!$A$5:$A$2004,0))),2),0))</f>
        <v/>
      </c>
      <c r="M612" s="26" t="str">
        <f aca="false">IF($A612="","",ROUND(G612*IF(D612="Hourly",N(INDEX(Workers!$N$5:$N$2004,MATCH($A612,Workers!$A$5:$A$2004,0))),I612/Settings!$B$10/Settings!$B$12)*Settings!$B$13,2))</f>
        <v/>
      </c>
      <c r="N612" s="26" t="str">
        <f aca="false">IF($A612="","",K612+L612+M612)</f>
        <v/>
      </c>
      <c r="O612" s="26" t="str">
        <f aca="false">IF($A612="","",SUMIFS(Deductions!$D$5:$D$2000,Deductions!$B$5:$B$2000,$A612,Deductions!$C$5:$C$2000,"Advance",Deductions!$E$5:$E$2000,"&gt;="&amp;Settings!$B$8,Deductions!$E$5:$E$2000,"&lt;="&amp;Settings!$B$9))</f>
        <v/>
      </c>
      <c r="P612" s="26" t="str">
        <f aca="false">IF($A612="","",SUMIFS(Deductions!$D$5:$D$2000,Deductions!$B$5:$B$2000,$A612,Deductions!$E$5:$E$2000,"&gt;="&amp;Settings!$B$8,Deductions!$E$5:$E$2000,"&lt;="&amp;Settings!$B$9)-O612)</f>
        <v/>
      </c>
      <c r="Q612" s="26" t="str">
        <f aca="false">IF($A612="","",O612+P612)</f>
        <v/>
      </c>
      <c r="R612" s="23" t="str">
        <f aca="false">IF($A612="","",N612-Q612)</f>
        <v/>
      </c>
      <c r="S612" s="24" t="str">
        <f aca="false">IF($A612="","",INDEX(Workers!$O$5:$O$2004,MATCH($A612,Workers!$A$5:$A$2004,0))&amp;"")</f>
        <v/>
      </c>
      <c r="T612" s="24" t="str">
        <f aca="false">IF($A612="","",INDEX(Workers!$P$5:$P$2004,MATCH($A612,Workers!$A$5:$A$2004,0))&amp;"")</f>
        <v/>
      </c>
      <c r="U612" s="24" t="str">
        <f aca="false">IF($A612="","",INDEX(Workers!$H$5:$H$2004,MATCH($A612,Workers!$A$5:$A$2004,0))&amp;"")</f>
        <v/>
      </c>
    </row>
    <row r="613" customFormat="false" ht="15" hidden="false" customHeight="false" outlineLevel="0" collapsed="false">
      <c r="A613" s="24" t="str">
        <f aca="false">IFERROR(INDEX(Workers!$A$5:$A$2004,MATCH(ROW()-4,Workers!$U$5:$U$2004,0)),"")</f>
        <v/>
      </c>
      <c r="B613" s="24" t="str">
        <f aca="false">IF($A613="","",INDEX(Workers!$B$5:$B$2004,MATCH($A613,Workers!$A$5:$A$2004,0)))</f>
        <v/>
      </c>
      <c r="C613" s="24" t="str">
        <f aca="false">IF($A613="","",INDEX(Workers!$E$5:$E$2004,MATCH($A613,Workers!$A$5:$A$2004,0)))</f>
        <v/>
      </c>
      <c r="D613" s="24" t="str">
        <f aca="false">IF($A613="","",INDEX(Workers!$K$5:$K$2004,MATCH($A613,Workers!$A$5:$A$2004,0)))</f>
        <v/>
      </c>
      <c r="E613" s="25" t="str">
        <f aca="false">IF($A613="","",SUMIFS(Timesheet!$E$5:$E$3004,Timesheet!$D$5:$D$3004,$A613,Timesheet!$A$5:$A$3004,"&gt;="&amp;Settings!$B$8,Timesheet!$A$5:$A$3004,"&lt;="&amp;Settings!$B$9))</f>
        <v/>
      </c>
      <c r="F613" s="25" t="str">
        <f aca="false">IF($A613="","",SUMIFS(Timesheet!$F$5:$F$3004,Timesheet!$D$5:$D$3004,$A613,Timesheet!$A$5:$A$3004,"&gt;="&amp;Settings!$B$8,Timesheet!$A$5:$A$3004,"&lt;="&amp;Settings!$B$9))</f>
        <v/>
      </c>
      <c r="G613" s="25" t="str">
        <f aca="false">IF($A613="","",SUMIFS(Timesheet!$G$5:$G$3004,Timesheet!$D$5:$D$3004,$A613,Timesheet!$A$5:$A$3004,"&gt;="&amp;Settings!$B$8,Timesheet!$A$5:$A$3004,"&lt;="&amp;Settings!$B$9))</f>
        <v/>
      </c>
      <c r="H613" s="25" t="str">
        <f aca="false">IF($A613="","",IF(D613="Monthly",MAX(0,Settings!$B$11-E613),0))</f>
        <v/>
      </c>
      <c r="I613" s="26" t="str">
        <f aca="false">IF($A613="","",N(INDEX(Workers!$L$5:$L$2004,MATCH($A613,Workers!$A$5:$A$2004,0))))</f>
        <v/>
      </c>
      <c r="J613" s="26" t="str">
        <f aca="false">IF($A613="","",N(INDEX(Workers!$M$5:$M$2004,MATCH($A613,Workers!$A$5:$A$2004,0))))</f>
        <v/>
      </c>
      <c r="K613" s="26" t="str">
        <f aca="false">IF($A613="","",IF(D613="Monthly",ROUND(MAX(0,(I613+J613)-(I613+J613)/Settings!$B$10*H613),2),0))</f>
        <v/>
      </c>
      <c r="L613" s="26" t="str">
        <f aca="false">IF($A613="","",IF(D613="Hourly",ROUND(F613*N(INDEX(Workers!$N$5:$N$2004,MATCH($A613,Workers!$A$5:$A$2004,0))),2),0))</f>
        <v/>
      </c>
      <c r="M613" s="26" t="str">
        <f aca="false">IF($A613="","",ROUND(G613*IF(D613="Hourly",N(INDEX(Workers!$N$5:$N$2004,MATCH($A613,Workers!$A$5:$A$2004,0))),I613/Settings!$B$10/Settings!$B$12)*Settings!$B$13,2))</f>
        <v/>
      </c>
      <c r="N613" s="26" t="str">
        <f aca="false">IF($A613="","",K613+L613+M613)</f>
        <v/>
      </c>
      <c r="O613" s="26" t="str">
        <f aca="false">IF($A613="","",SUMIFS(Deductions!$D$5:$D$2000,Deductions!$B$5:$B$2000,$A613,Deductions!$C$5:$C$2000,"Advance",Deductions!$E$5:$E$2000,"&gt;="&amp;Settings!$B$8,Deductions!$E$5:$E$2000,"&lt;="&amp;Settings!$B$9))</f>
        <v/>
      </c>
      <c r="P613" s="26" t="str">
        <f aca="false">IF($A613="","",SUMIFS(Deductions!$D$5:$D$2000,Deductions!$B$5:$B$2000,$A613,Deductions!$E$5:$E$2000,"&gt;="&amp;Settings!$B$8,Deductions!$E$5:$E$2000,"&lt;="&amp;Settings!$B$9)-O613)</f>
        <v/>
      </c>
      <c r="Q613" s="26" t="str">
        <f aca="false">IF($A613="","",O613+P613)</f>
        <v/>
      </c>
      <c r="R613" s="23" t="str">
        <f aca="false">IF($A613="","",N613-Q613)</f>
        <v/>
      </c>
      <c r="S613" s="24" t="str">
        <f aca="false">IF($A613="","",INDEX(Workers!$O$5:$O$2004,MATCH($A613,Workers!$A$5:$A$2004,0))&amp;"")</f>
        <v/>
      </c>
      <c r="T613" s="24" t="str">
        <f aca="false">IF($A613="","",INDEX(Workers!$P$5:$P$2004,MATCH($A613,Workers!$A$5:$A$2004,0))&amp;"")</f>
        <v/>
      </c>
      <c r="U613" s="24" t="str">
        <f aca="false">IF($A613="","",INDEX(Workers!$H$5:$H$2004,MATCH($A613,Workers!$A$5:$A$2004,0))&amp;"")</f>
        <v/>
      </c>
    </row>
    <row r="614" customFormat="false" ht="15" hidden="false" customHeight="false" outlineLevel="0" collapsed="false">
      <c r="A614" s="24" t="str">
        <f aca="false">IFERROR(INDEX(Workers!$A$5:$A$2004,MATCH(ROW()-4,Workers!$U$5:$U$2004,0)),"")</f>
        <v/>
      </c>
      <c r="B614" s="24" t="str">
        <f aca="false">IF($A614="","",INDEX(Workers!$B$5:$B$2004,MATCH($A614,Workers!$A$5:$A$2004,0)))</f>
        <v/>
      </c>
      <c r="C614" s="24" t="str">
        <f aca="false">IF($A614="","",INDEX(Workers!$E$5:$E$2004,MATCH($A614,Workers!$A$5:$A$2004,0)))</f>
        <v/>
      </c>
      <c r="D614" s="24" t="str">
        <f aca="false">IF($A614="","",INDEX(Workers!$K$5:$K$2004,MATCH($A614,Workers!$A$5:$A$2004,0)))</f>
        <v/>
      </c>
      <c r="E614" s="25" t="str">
        <f aca="false">IF($A614="","",SUMIFS(Timesheet!$E$5:$E$3004,Timesheet!$D$5:$D$3004,$A614,Timesheet!$A$5:$A$3004,"&gt;="&amp;Settings!$B$8,Timesheet!$A$5:$A$3004,"&lt;="&amp;Settings!$B$9))</f>
        <v/>
      </c>
      <c r="F614" s="25" t="str">
        <f aca="false">IF($A614="","",SUMIFS(Timesheet!$F$5:$F$3004,Timesheet!$D$5:$D$3004,$A614,Timesheet!$A$5:$A$3004,"&gt;="&amp;Settings!$B$8,Timesheet!$A$5:$A$3004,"&lt;="&amp;Settings!$B$9))</f>
        <v/>
      </c>
      <c r="G614" s="25" t="str">
        <f aca="false">IF($A614="","",SUMIFS(Timesheet!$G$5:$G$3004,Timesheet!$D$5:$D$3004,$A614,Timesheet!$A$5:$A$3004,"&gt;="&amp;Settings!$B$8,Timesheet!$A$5:$A$3004,"&lt;="&amp;Settings!$B$9))</f>
        <v/>
      </c>
      <c r="H614" s="25" t="str">
        <f aca="false">IF($A614="","",IF(D614="Monthly",MAX(0,Settings!$B$11-E614),0))</f>
        <v/>
      </c>
      <c r="I614" s="26" t="str">
        <f aca="false">IF($A614="","",N(INDEX(Workers!$L$5:$L$2004,MATCH($A614,Workers!$A$5:$A$2004,0))))</f>
        <v/>
      </c>
      <c r="J614" s="26" t="str">
        <f aca="false">IF($A614="","",N(INDEX(Workers!$M$5:$M$2004,MATCH($A614,Workers!$A$5:$A$2004,0))))</f>
        <v/>
      </c>
      <c r="K614" s="26" t="str">
        <f aca="false">IF($A614="","",IF(D614="Monthly",ROUND(MAX(0,(I614+J614)-(I614+J614)/Settings!$B$10*H614),2),0))</f>
        <v/>
      </c>
      <c r="L614" s="26" t="str">
        <f aca="false">IF($A614="","",IF(D614="Hourly",ROUND(F614*N(INDEX(Workers!$N$5:$N$2004,MATCH($A614,Workers!$A$5:$A$2004,0))),2),0))</f>
        <v/>
      </c>
      <c r="M614" s="26" t="str">
        <f aca="false">IF($A614="","",ROUND(G614*IF(D614="Hourly",N(INDEX(Workers!$N$5:$N$2004,MATCH($A614,Workers!$A$5:$A$2004,0))),I614/Settings!$B$10/Settings!$B$12)*Settings!$B$13,2))</f>
        <v/>
      </c>
      <c r="N614" s="26" t="str">
        <f aca="false">IF($A614="","",K614+L614+M614)</f>
        <v/>
      </c>
      <c r="O614" s="26" t="str">
        <f aca="false">IF($A614="","",SUMIFS(Deductions!$D$5:$D$2000,Deductions!$B$5:$B$2000,$A614,Deductions!$C$5:$C$2000,"Advance",Deductions!$E$5:$E$2000,"&gt;="&amp;Settings!$B$8,Deductions!$E$5:$E$2000,"&lt;="&amp;Settings!$B$9))</f>
        <v/>
      </c>
      <c r="P614" s="26" t="str">
        <f aca="false">IF($A614="","",SUMIFS(Deductions!$D$5:$D$2000,Deductions!$B$5:$B$2000,$A614,Deductions!$E$5:$E$2000,"&gt;="&amp;Settings!$B$8,Deductions!$E$5:$E$2000,"&lt;="&amp;Settings!$B$9)-O614)</f>
        <v/>
      </c>
      <c r="Q614" s="26" t="str">
        <f aca="false">IF($A614="","",O614+P614)</f>
        <v/>
      </c>
      <c r="R614" s="23" t="str">
        <f aca="false">IF($A614="","",N614-Q614)</f>
        <v/>
      </c>
      <c r="S614" s="24" t="str">
        <f aca="false">IF($A614="","",INDEX(Workers!$O$5:$O$2004,MATCH($A614,Workers!$A$5:$A$2004,0))&amp;"")</f>
        <v/>
      </c>
      <c r="T614" s="24" t="str">
        <f aca="false">IF($A614="","",INDEX(Workers!$P$5:$P$2004,MATCH($A614,Workers!$A$5:$A$2004,0))&amp;"")</f>
        <v/>
      </c>
      <c r="U614" s="24" t="str">
        <f aca="false">IF($A614="","",INDEX(Workers!$H$5:$H$2004,MATCH($A614,Workers!$A$5:$A$2004,0))&amp;"")</f>
        <v/>
      </c>
    </row>
    <row r="615" customFormat="false" ht="15" hidden="false" customHeight="false" outlineLevel="0" collapsed="false">
      <c r="A615" s="24" t="str">
        <f aca="false">IFERROR(INDEX(Workers!$A$5:$A$2004,MATCH(ROW()-4,Workers!$U$5:$U$2004,0)),"")</f>
        <v/>
      </c>
      <c r="B615" s="24" t="str">
        <f aca="false">IF($A615="","",INDEX(Workers!$B$5:$B$2004,MATCH($A615,Workers!$A$5:$A$2004,0)))</f>
        <v/>
      </c>
      <c r="C615" s="24" t="str">
        <f aca="false">IF($A615="","",INDEX(Workers!$E$5:$E$2004,MATCH($A615,Workers!$A$5:$A$2004,0)))</f>
        <v/>
      </c>
      <c r="D615" s="24" t="str">
        <f aca="false">IF($A615="","",INDEX(Workers!$K$5:$K$2004,MATCH($A615,Workers!$A$5:$A$2004,0)))</f>
        <v/>
      </c>
      <c r="E615" s="25" t="str">
        <f aca="false">IF($A615="","",SUMIFS(Timesheet!$E$5:$E$3004,Timesheet!$D$5:$D$3004,$A615,Timesheet!$A$5:$A$3004,"&gt;="&amp;Settings!$B$8,Timesheet!$A$5:$A$3004,"&lt;="&amp;Settings!$B$9))</f>
        <v/>
      </c>
      <c r="F615" s="25" t="str">
        <f aca="false">IF($A615="","",SUMIFS(Timesheet!$F$5:$F$3004,Timesheet!$D$5:$D$3004,$A615,Timesheet!$A$5:$A$3004,"&gt;="&amp;Settings!$B$8,Timesheet!$A$5:$A$3004,"&lt;="&amp;Settings!$B$9))</f>
        <v/>
      </c>
      <c r="G615" s="25" t="str">
        <f aca="false">IF($A615="","",SUMIFS(Timesheet!$G$5:$G$3004,Timesheet!$D$5:$D$3004,$A615,Timesheet!$A$5:$A$3004,"&gt;="&amp;Settings!$B$8,Timesheet!$A$5:$A$3004,"&lt;="&amp;Settings!$B$9))</f>
        <v/>
      </c>
      <c r="H615" s="25" t="str">
        <f aca="false">IF($A615="","",IF(D615="Monthly",MAX(0,Settings!$B$11-E615),0))</f>
        <v/>
      </c>
      <c r="I615" s="26" t="str">
        <f aca="false">IF($A615="","",N(INDEX(Workers!$L$5:$L$2004,MATCH($A615,Workers!$A$5:$A$2004,0))))</f>
        <v/>
      </c>
      <c r="J615" s="26" t="str">
        <f aca="false">IF($A615="","",N(INDEX(Workers!$M$5:$M$2004,MATCH($A615,Workers!$A$5:$A$2004,0))))</f>
        <v/>
      </c>
      <c r="K615" s="26" t="str">
        <f aca="false">IF($A615="","",IF(D615="Monthly",ROUND(MAX(0,(I615+J615)-(I615+J615)/Settings!$B$10*H615),2),0))</f>
        <v/>
      </c>
      <c r="L615" s="26" t="str">
        <f aca="false">IF($A615="","",IF(D615="Hourly",ROUND(F615*N(INDEX(Workers!$N$5:$N$2004,MATCH($A615,Workers!$A$5:$A$2004,0))),2),0))</f>
        <v/>
      </c>
      <c r="M615" s="26" t="str">
        <f aca="false">IF($A615="","",ROUND(G615*IF(D615="Hourly",N(INDEX(Workers!$N$5:$N$2004,MATCH($A615,Workers!$A$5:$A$2004,0))),I615/Settings!$B$10/Settings!$B$12)*Settings!$B$13,2))</f>
        <v/>
      </c>
      <c r="N615" s="26" t="str">
        <f aca="false">IF($A615="","",K615+L615+M615)</f>
        <v/>
      </c>
      <c r="O615" s="26" t="str">
        <f aca="false">IF($A615="","",SUMIFS(Deductions!$D$5:$D$2000,Deductions!$B$5:$B$2000,$A615,Deductions!$C$5:$C$2000,"Advance",Deductions!$E$5:$E$2000,"&gt;="&amp;Settings!$B$8,Deductions!$E$5:$E$2000,"&lt;="&amp;Settings!$B$9))</f>
        <v/>
      </c>
      <c r="P615" s="26" t="str">
        <f aca="false">IF($A615="","",SUMIFS(Deductions!$D$5:$D$2000,Deductions!$B$5:$B$2000,$A615,Deductions!$E$5:$E$2000,"&gt;="&amp;Settings!$B$8,Deductions!$E$5:$E$2000,"&lt;="&amp;Settings!$B$9)-O615)</f>
        <v/>
      </c>
      <c r="Q615" s="26" t="str">
        <f aca="false">IF($A615="","",O615+P615)</f>
        <v/>
      </c>
      <c r="R615" s="23" t="str">
        <f aca="false">IF($A615="","",N615-Q615)</f>
        <v/>
      </c>
      <c r="S615" s="24" t="str">
        <f aca="false">IF($A615="","",INDEX(Workers!$O$5:$O$2004,MATCH($A615,Workers!$A$5:$A$2004,0))&amp;"")</f>
        <v/>
      </c>
      <c r="T615" s="24" t="str">
        <f aca="false">IF($A615="","",INDEX(Workers!$P$5:$P$2004,MATCH($A615,Workers!$A$5:$A$2004,0))&amp;"")</f>
        <v/>
      </c>
      <c r="U615" s="24" t="str">
        <f aca="false">IF($A615="","",INDEX(Workers!$H$5:$H$2004,MATCH($A615,Workers!$A$5:$A$2004,0))&amp;"")</f>
        <v/>
      </c>
    </row>
    <row r="616" customFormat="false" ht="15" hidden="false" customHeight="false" outlineLevel="0" collapsed="false">
      <c r="A616" s="24" t="str">
        <f aca="false">IFERROR(INDEX(Workers!$A$5:$A$2004,MATCH(ROW()-4,Workers!$U$5:$U$2004,0)),"")</f>
        <v/>
      </c>
      <c r="B616" s="24" t="str">
        <f aca="false">IF($A616="","",INDEX(Workers!$B$5:$B$2004,MATCH($A616,Workers!$A$5:$A$2004,0)))</f>
        <v/>
      </c>
      <c r="C616" s="24" t="str">
        <f aca="false">IF($A616="","",INDEX(Workers!$E$5:$E$2004,MATCH($A616,Workers!$A$5:$A$2004,0)))</f>
        <v/>
      </c>
      <c r="D616" s="24" t="str">
        <f aca="false">IF($A616="","",INDEX(Workers!$K$5:$K$2004,MATCH($A616,Workers!$A$5:$A$2004,0)))</f>
        <v/>
      </c>
      <c r="E616" s="25" t="str">
        <f aca="false">IF($A616="","",SUMIFS(Timesheet!$E$5:$E$3004,Timesheet!$D$5:$D$3004,$A616,Timesheet!$A$5:$A$3004,"&gt;="&amp;Settings!$B$8,Timesheet!$A$5:$A$3004,"&lt;="&amp;Settings!$B$9))</f>
        <v/>
      </c>
      <c r="F616" s="25" t="str">
        <f aca="false">IF($A616="","",SUMIFS(Timesheet!$F$5:$F$3004,Timesheet!$D$5:$D$3004,$A616,Timesheet!$A$5:$A$3004,"&gt;="&amp;Settings!$B$8,Timesheet!$A$5:$A$3004,"&lt;="&amp;Settings!$B$9))</f>
        <v/>
      </c>
      <c r="G616" s="25" t="str">
        <f aca="false">IF($A616="","",SUMIFS(Timesheet!$G$5:$G$3004,Timesheet!$D$5:$D$3004,$A616,Timesheet!$A$5:$A$3004,"&gt;="&amp;Settings!$B$8,Timesheet!$A$5:$A$3004,"&lt;="&amp;Settings!$B$9))</f>
        <v/>
      </c>
      <c r="H616" s="25" t="str">
        <f aca="false">IF($A616="","",IF(D616="Monthly",MAX(0,Settings!$B$11-E616),0))</f>
        <v/>
      </c>
      <c r="I616" s="26" t="str">
        <f aca="false">IF($A616="","",N(INDEX(Workers!$L$5:$L$2004,MATCH($A616,Workers!$A$5:$A$2004,0))))</f>
        <v/>
      </c>
      <c r="J616" s="26" t="str">
        <f aca="false">IF($A616="","",N(INDEX(Workers!$M$5:$M$2004,MATCH($A616,Workers!$A$5:$A$2004,0))))</f>
        <v/>
      </c>
      <c r="K616" s="26" t="str">
        <f aca="false">IF($A616="","",IF(D616="Monthly",ROUND(MAX(0,(I616+J616)-(I616+J616)/Settings!$B$10*H616),2),0))</f>
        <v/>
      </c>
      <c r="L616" s="26" t="str">
        <f aca="false">IF($A616="","",IF(D616="Hourly",ROUND(F616*N(INDEX(Workers!$N$5:$N$2004,MATCH($A616,Workers!$A$5:$A$2004,0))),2),0))</f>
        <v/>
      </c>
      <c r="M616" s="26" t="str">
        <f aca="false">IF($A616="","",ROUND(G616*IF(D616="Hourly",N(INDEX(Workers!$N$5:$N$2004,MATCH($A616,Workers!$A$5:$A$2004,0))),I616/Settings!$B$10/Settings!$B$12)*Settings!$B$13,2))</f>
        <v/>
      </c>
      <c r="N616" s="26" t="str">
        <f aca="false">IF($A616="","",K616+L616+M616)</f>
        <v/>
      </c>
      <c r="O616" s="26" t="str">
        <f aca="false">IF($A616="","",SUMIFS(Deductions!$D$5:$D$2000,Deductions!$B$5:$B$2000,$A616,Deductions!$C$5:$C$2000,"Advance",Deductions!$E$5:$E$2000,"&gt;="&amp;Settings!$B$8,Deductions!$E$5:$E$2000,"&lt;="&amp;Settings!$B$9))</f>
        <v/>
      </c>
      <c r="P616" s="26" t="str">
        <f aca="false">IF($A616="","",SUMIFS(Deductions!$D$5:$D$2000,Deductions!$B$5:$B$2000,$A616,Deductions!$E$5:$E$2000,"&gt;="&amp;Settings!$B$8,Deductions!$E$5:$E$2000,"&lt;="&amp;Settings!$B$9)-O616)</f>
        <v/>
      </c>
      <c r="Q616" s="26" t="str">
        <f aca="false">IF($A616="","",O616+P616)</f>
        <v/>
      </c>
      <c r="R616" s="23" t="str">
        <f aca="false">IF($A616="","",N616-Q616)</f>
        <v/>
      </c>
      <c r="S616" s="24" t="str">
        <f aca="false">IF($A616="","",INDEX(Workers!$O$5:$O$2004,MATCH($A616,Workers!$A$5:$A$2004,0))&amp;"")</f>
        <v/>
      </c>
      <c r="T616" s="24" t="str">
        <f aca="false">IF($A616="","",INDEX(Workers!$P$5:$P$2004,MATCH($A616,Workers!$A$5:$A$2004,0))&amp;"")</f>
        <v/>
      </c>
      <c r="U616" s="24" t="str">
        <f aca="false">IF($A616="","",INDEX(Workers!$H$5:$H$2004,MATCH($A616,Workers!$A$5:$A$2004,0))&amp;"")</f>
        <v/>
      </c>
    </row>
    <row r="617" customFormat="false" ht="15" hidden="false" customHeight="false" outlineLevel="0" collapsed="false">
      <c r="A617" s="24" t="str">
        <f aca="false">IFERROR(INDEX(Workers!$A$5:$A$2004,MATCH(ROW()-4,Workers!$U$5:$U$2004,0)),"")</f>
        <v/>
      </c>
      <c r="B617" s="24" t="str">
        <f aca="false">IF($A617="","",INDEX(Workers!$B$5:$B$2004,MATCH($A617,Workers!$A$5:$A$2004,0)))</f>
        <v/>
      </c>
      <c r="C617" s="24" t="str">
        <f aca="false">IF($A617="","",INDEX(Workers!$E$5:$E$2004,MATCH($A617,Workers!$A$5:$A$2004,0)))</f>
        <v/>
      </c>
      <c r="D617" s="24" t="str">
        <f aca="false">IF($A617="","",INDEX(Workers!$K$5:$K$2004,MATCH($A617,Workers!$A$5:$A$2004,0)))</f>
        <v/>
      </c>
      <c r="E617" s="25" t="str">
        <f aca="false">IF($A617="","",SUMIFS(Timesheet!$E$5:$E$3004,Timesheet!$D$5:$D$3004,$A617,Timesheet!$A$5:$A$3004,"&gt;="&amp;Settings!$B$8,Timesheet!$A$5:$A$3004,"&lt;="&amp;Settings!$B$9))</f>
        <v/>
      </c>
      <c r="F617" s="25" t="str">
        <f aca="false">IF($A617="","",SUMIFS(Timesheet!$F$5:$F$3004,Timesheet!$D$5:$D$3004,$A617,Timesheet!$A$5:$A$3004,"&gt;="&amp;Settings!$B$8,Timesheet!$A$5:$A$3004,"&lt;="&amp;Settings!$B$9))</f>
        <v/>
      </c>
      <c r="G617" s="25" t="str">
        <f aca="false">IF($A617="","",SUMIFS(Timesheet!$G$5:$G$3004,Timesheet!$D$5:$D$3004,$A617,Timesheet!$A$5:$A$3004,"&gt;="&amp;Settings!$B$8,Timesheet!$A$5:$A$3004,"&lt;="&amp;Settings!$B$9))</f>
        <v/>
      </c>
      <c r="H617" s="25" t="str">
        <f aca="false">IF($A617="","",IF(D617="Monthly",MAX(0,Settings!$B$11-E617),0))</f>
        <v/>
      </c>
      <c r="I617" s="26" t="str">
        <f aca="false">IF($A617="","",N(INDEX(Workers!$L$5:$L$2004,MATCH($A617,Workers!$A$5:$A$2004,0))))</f>
        <v/>
      </c>
      <c r="J617" s="26" t="str">
        <f aca="false">IF($A617="","",N(INDEX(Workers!$M$5:$M$2004,MATCH($A617,Workers!$A$5:$A$2004,0))))</f>
        <v/>
      </c>
      <c r="K617" s="26" t="str">
        <f aca="false">IF($A617="","",IF(D617="Monthly",ROUND(MAX(0,(I617+J617)-(I617+J617)/Settings!$B$10*H617),2),0))</f>
        <v/>
      </c>
      <c r="L617" s="26" t="str">
        <f aca="false">IF($A617="","",IF(D617="Hourly",ROUND(F617*N(INDEX(Workers!$N$5:$N$2004,MATCH($A617,Workers!$A$5:$A$2004,0))),2),0))</f>
        <v/>
      </c>
      <c r="M617" s="26" t="str">
        <f aca="false">IF($A617="","",ROUND(G617*IF(D617="Hourly",N(INDEX(Workers!$N$5:$N$2004,MATCH($A617,Workers!$A$5:$A$2004,0))),I617/Settings!$B$10/Settings!$B$12)*Settings!$B$13,2))</f>
        <v/>
      </c>
      <c r="N617" s="26" t="str">
        <f aca="false">IF($A617="","",K617+L617+M617)</f>
        <v/>
      </c>
      <c r="O617" s="26" t="str">
        <f aca="false">IF($A617="","",SUMIFS(Deductions!$D$5:$D$2000,Deductions!$B$5:$B$2000,$A617,Deductions!$C$5:$C$2000,"Advance",Deductions!$E$5:$E$2000,"&gt;="&amp;Settings!$B$8,Deductions!$E$5:$E$2000,"&lt;="&amp;Settings!$B$9))</f>
        <v/>
      </c>
      <c r="P617" s="26" t="str">
        <f aca="false">IF($A617="","",SUMIFS(Deductions!$D$5:$D$2000,Deductions!$B$5:$B$2000,$A617,Deductions!$E$5:$E$2000,"&gt;="&amp;Settings!$B$8,Deductions!$E$5:$E$2000,"&lt;="&amp;Settings!$B$9)-O617)</f>
        <v/>
      </c>
      <c r="Q617" s="26" t="str">
        <f aca="false">IF($A617="","",O617+P617)</f>
        <v/>
      </c>
      <c r="R617" s="23" t="str">
        <f aca="false">IF($A617="","",N617-Q617)</f>
        <v/>
      </c>
      <c r="S617" s="24" t="str">
        <f aca="false">IF($A617="","",INDEX(Workers!$O$5:$O$2004,MATCH($A617,Workers!$A$5:$A$2004,0))&amp;"")</f>
        <v/>
      </c>
      <c r="T617" s="24" t="str">
        <f aca="false">IF($A617="","",INDEX(Workers!$P$5:$P$2004,MATCH($A617,Workers!$A$5:$A$2004,0))&amp;"")</f>
        <v/>
      </c>
      <c r="U617" s="24" t="str">
        <f aca="false">IF($A617="","",INDEX(Workers!$H$5:$H$2004,MATCH($A617,Workers!$A$5:$A$2004,0))&amp;"")</f>
        <v/>
      </c>
    </row>
    <row r="618" customFormat="false" ht="15" hidden="false" customHeight="false" outlineLevel="0" collapsed="false">
      <c r="A618" s="24" t="str">
        <f aca="false">IFERROR(INDEX(Workers!$A$5:$A$2004,MATCH(ROW()-4,Workers!$U$5:$U$2004,0)),"")</f>
        <v/>
      </c>
      <c r="B618" s="24" t="str">
        <f aca="false">IF($A618="","",INDEX(Workers!$B$5:$B$2004,MATCH($A618,Workers!$A$5:$A$2004,0)))</f>
        <v/>
      </c>
      <c r="C618" s="24" t="str">
        <f aca="false">IF($A618="","",INDEX(Workers!$E$5:$E$2004,MATCH($A618,Workers!$A$5:$A$2004,0)))</f>
        <v/>
      </c>
      <c r="D618" s="24" t="str">
        <f aca="false">IF($A618="","",INDEX(Workers!$K$5:$K$2004,MATCH($A618,Workers!$A$5:$A$2004,0)))</f>
        <v/>
      </c>
      <c r="E618" s="25" t="str">
        <f aca="false">IF($A618="","",SUMIFS(Timesheet!$E$5:$E$3004,Timesheet!$D$5:$D$3004,$A618,Timesheet!$A$5:$A$3004,"&gt;="&amp;Settings!$B$8,Timesheet!$A$5:$A$3004,"&lt;="&amp;Settings!$B$9))</f>
        <v/>
      </c>
      <c r="F618" s="25" t="str">
        <f aca="false">IF($A618="","",SUMIFS(Timesheet!$F$5:$F$3004,Timesheet!$D$5:$D$3004,$A618,Timesheet!$A$5:$A$3004,"&gt;="&amp;Settings!$B$8,Timesheet!$A$5:$A$3004,"&lt;="&amp;Settings!$B$9))</f>
        <v/>
      </c>
      <c r="G618" s="25" t="str">
        <f aca="false">IF($A618="","",SUMIFS(Timesheet!$G$5:$G$3004,Timesheet!$D$5:$D$3004,$A618,Timesheet!$A$5:$A$3004,"&gt;="&amp;Settings!$B$8,Timesheet!$A$5:$A$3004,"&lt;="&amp;Settings!$B$9))</f>
        <v/>
      </c>
      <c r="H618" s="25" t="str">
        <f aca="false">IF($A618="","",IF(D618="Monthly",MAX(0,Settings!$B$11-E618),0))</f>
        <v/>
      </c>
      <c r="I618" s="26" t="str">
        <f aca="false">IF($A618="","",N(INDEX(Workers!$L$5:$L$2004,MATCH($A618,Workers!$A$5:$A$2004,0))))</f>
        <v/>
      </c>
      <c r="J618" s="26" t="str">
        <f aca="false">IF($A618="","",N(INDEX(Workers!$M$5:$M$2004,MATCH($A618,Workers!$A$5:$A$2004,0))))</f>
        <v/>
      </c>
      <c r="K618" s="26" t="str">
        <f aca="false">IF($A618="","",IF(D618="Monthly",ROUND(MAX(0,(I618+J618)-(I618+J618)/Settings!$B$10*H618),2),0))</f>
        <v/>
      </c>
      <c r="L618" s="26" t="str">
        <f aca="false">IF($A618="","",IF(D618="Hourly",ROUND(F618*N(INDEX(Workers!$N$5:$N$2004,MATCH($A618,Workers!$A$5:$A$2004,0))),2),0))</f>
        <v/>
      </c>
      <c r="M618" s="26" t="str">
        <f aca="false">IF($A618="","",ROUND(G618*IF(D618="Hourly",N(INDEX(Workers!$N$5:$N$2004,MATCH($A618,Workers!$A$5:$A$2004,0))),I618/Settings!$B$10/Settings!$B$12)*Settings!$B$13,2))</f>
        <v/>
      </c>
      <c r="N618" s="26" t="str">
        <f aca="false">IF($A618="","",K618+L618+M618)</f>
        <v/>
      </c>
      <c r="O618" s="26" t="str">
        <f aca="false">IF($A618="","",SUMIFS(Deductions!$D$5:$D$2000,Deductions!$B$5:$B$2000,$A618,Deductions!$C$5:$C$2000,"Advance",Deductions!$E$5:$E$2000,"&gt;="&amp;Settings!$B$8,Deductions!$E$5:$E$2000,"&lt;="&amp;Settings!$B$9))</f>
        <v/>
      </c>
      <c r="P618" s="26" t="str">
        <f aca="false">IF($A618="","",SUMIFS(Deductions!$D$5:$D$2000,Deductions!$B$5:$B$2000,$A618,Deductions!$E$5:$E$2000,"&gt;="&amp;Settings!$B$8,Deductions!$E$5:$E$2000,"&lt;="&amp;Settings!$B$9)-O618)</f>
        <v/>
      </c>
      <c r="Q618" s="26" t="str">
        <f aca="false">IF($A618="","",O618+P618)</f>
        <v/>
      </c>
      <c r="R618" s="23" t="str">
        <f aca="false">IF($A618="","",N618-Q618)</f>
        <v/>
      </c>
      <c r="S618" s="24" t="str">
        <f aca="false">IF($A618="","",INDEX(Workers!$O$5:$O$2004,MATCH($A618,Workers!$A$5:$A$2004,0))&amp;"")</f>
        <v/>
      </c>
      <c r="T618" s="24" t="str">
        <f aca="false">IF($A618="","",INDEX(Workers!$P$5:$P$2004,MATCH($A618,Workers!$A$5:$A$2004,0))&amp;"")</f>
        <v/>
      </c>
      <c r="U618" s="24" t="str">
        <f aca="false">IF($A618="","",INDEX(Workers!$H$5:$H$2004,MATCH($A618,Workers!$A$5:$A$2004,0))&amp;"")</f>
        <v/>
      </c>
    </row>
    <row r="619" customFormat="false" ht="15" hidden="false" customHeight="false" outlineLevel="0" collapsed="false">
      <c r="A619" s="24" t="str">
        <f aca="false">IFERROR(INDEX(Workers!$A$5:$A$2004,MATCH(ROW()-4,Workers!$U$5:$U$2004,0)),"")</f>
        <v/>
      </c>
      <c r="B619" s="24" t="str">
        <f aca="false">IF($A619="","",INDEX(Workers!$B$5:$B$2004,MATCH($A619,Workers!$A$5:$A$2004,0)))</f>
        <v/>
      </c>
      <c r="C619" s="24" t="str">
        <f aca="false">IF($A619="","",INDEX(Workers!$E$5:$E$2004,MATCH($A619,Workers!$A$5:$A$2004,0)))</f>
        <v/>
      </c>
      <c r="D619" s="24" t="str">
        <f aca="false">IF($A619="","",INDEX(Workers!$K$5:$K$2004,MATCH($A619,Workers!$A$5:$A$2004,0)))</f>
        <v/>
      </c>
      <c r="E619" s="25" t="str">
        <f aca="false">IF($A619="","",SUMIFS(Timesheet!$E$5:$E$3004,Timesheet!$D$5:$D$3004,$A619,Timesheet!$A$5:$A$3004,"&gt;="&amp;Settings!$B$8,Timesheet!$A$5:$A$3004,"&lt;="&amp;Settings!$B$9))</f>
        <v/>
      </c>
      <c r="F619" s="25" t="str">
        <f aca="false">IF($A619="","",SUMIFS(Timesheet!$F$5:$F$3004,Timesheet!$D$5:$D$3004,$A619,Timesheet!$A$5:$A$3004,"&gt;="&amp;Settings!$B$8,Timesheet!$A$5:$A$3004,"&lt;="&amp;Settings!$B$9))</f>
        <v/>
      </c>
      <c r="G619" s="25" t="str">
        <f aca="false">IF($A619="","",SUMIFS(Timesheet!$G$5:$G$3004,Timesheet!$D$5:$D$3004,$A619,Timesheet!$A$5:$A$3004,"&gt;="&amp;Settings!$B$8,Timesheet!$A$5:$A$3004,"&lt;="&amp;Settings!$B$9))</f>
        <v/>
      </c>
      <c r="H619" s="25" t="str">
        <f aca="false">IF($A619="","",IF(D619="Monthly",MAX(0,Settings!$B$11-E619),0))</f>
        <v/>
      </c>
      <c r="I619" s="26" t="str">
        <f aca="false">IF($A619="","",N(INDEX(Workers!$L$5:$L$2004,MATCH($A619,Workers!$A$5:$A$2004,0))))</f>
        <v/>
      </c>
      <c r="J619" s="26" t="str">
        <f aca="false">IF($A619="","",N(INDEX(Workers!$M$5:$M$2004,MATCH($A619,Workers!$A$5:$A$2004,0))))</f>
        <v/>
      </c>
      <c r="K619" s="26" t="str">
        <f aca="false">IF($A619="","",IF(D619="Monthly",ROUND(MAX(0,(I619+J619)-(I619+J619)/Settings!$B$10*H619),2),0))</f>
        <v/>
      </c>
      <c r="L619" s="26" t="str">
        <f aca="false">IF($A619="","",IF(D619="Hourly",ROUND(F619*N(INDEX(Workers!$N$5:$N$2004,MATCH($A619,Workers!$A$5:$A$2004,0))),2),0))</f>
        <v/>
      </c>
      <c r="M619" s="26" t="str">
        <f aca="false">IF($A619="","",ROUND(G619*IF(D619="Hourly",N(INDEX(Workers!$N$5:$N$2004,MATCH($A619,Workers!$A$5:$A$2004,0))),I619/Settings!$B$10/Settings!$B$12)*Settings!$B$13,2))</f>
        <v/>
      </c>
      <c r="N619" s="26" t="str">
        <f aca="false">IF($A619="","",K619+L619+M619)</f>
        <v/>
      </c>
      <c r="O619" s="26" t="str">
        <f aca="false">IF($A619="","",SUMIFS(Deductions!$D$5:$D$2000,Deductions!$B$5:$B$2000,$A619,Deductions!$C$5:$C$2000,"Advance",Deductions!$E$5:$E$2000,"&gt;="&amp;Settings!$B$8,Deductions!$E$5:$E$2000,"&lt;="&amp;Settings!$B$9))</f>
        <v/>
      </c>
      <c r="P619" s="26" t="str">
        <f aca="false">IF($A619="","",SUMIFS(Deductions!$D$5:$D$2000,Deductions!$B$5:$B$2000,$A619,Deductions!$E$5:$E$2000,"&gt;="&amp;Settings!$B$8,Deductions!$E$5:$E$2000,"&lt;="&amp;Settings!$B$9)-O619)</f>
        <v/>
      </c>
      <c r="Q619" s="26" t="str">
        <f aca="false">IF($A619="","",O619+P619)</f>
        <v/>
      </c>
      <c r="R619" s="23" t="str">
        <f aca="false">IF($A619="","",N619-Q619)</f>
        <v/>
      </c>
      <c r="S619" s="24" t="str">
        <f aca="false">IF($A619="","",INDEX(Workers!$O$5:$O$2004,MATCH($A619,Workers!$A$5:$A$2004,0))&amp;"")</f>
        <v/>
      </c>
      <c r="T619" s="24" t="str">
        <f aca="false">IF($A619="","",INDEX(Workers!$P$5:$P$2004,MATCH($A619,Workers!$A$5:$A$2004,0))&amp;"")</f>
        <v/>
      </c>
      <c r="U619" s="24" t="str">
        <f aca="false">IF($A619="","",INDEX(Workers!$H$5:$H$2004,MATCH($A619,Workers!$A$5:$A$2004,0))&amp;"")</f>
        <v/>
      </c>
    </row>
    <row r="620" customFormat="false" ht="15" hidden="false" customHeight="false" outlineLevel="0" collapsed="false">
      <c r="A620" s="24" t="str">
        <f aca="false">IFERROR(INDEX(Workers!$A$5:$A$2004,MATCH(ROW()-4,Workers!$U$5:$U$2004,0)),"")</f>
        <v/>
      </c>
      <c r="B620" s="24" t="str">
        <f aca="false">IF($A620="","",INDEX(Workers!$B$5:$B$2004,MATCH($A620,Workers!$A$5:$A$2004,0)))</f>
        <v/>
      </c>
      <c r="C620" s="24" t="str">
        <f aca="false">IF($A620="","",INDEX(Workers!$E$5:$E$2004,MATCH($A620,Workers!$A$5:$A$2004,0)))</f>
        <v/>
      </c>
      <c r="D620" s="24" t="str">
        <f aca="false">IF($A620="","",INDEX(Workers!$K$5:$K$2004,MATCH($A620,Workers!$A$5:$A$2004,0)))</f>
        <v/>
      </c>
      <c r="E620" s="25" t="str">
        <f aca="false">IF($A620="","",SUMIFS(Timesheet!$E$5:$E$3004,Timesheet!$D$5:$D$3004,$A620,Timesheet!$A$5:$A$3004,"&gt;="&amp;Settings!$B$8,Timesheet!$A$5:$A$3004,"&lt;="&amp;Settings!$B$9))</f>
        <v/>
      </c>
      <c r="F620" s="25" t="str">
        <f aca="false">IF($A620="","",SUMIFS(Timesheet!$F$5:$F$3004,Timesheet!$D$5:$D$3004,$A620,Timesheet!$A$5:$A$3004,"&gt;="&amp;Settings!$B$8,Timesheet!$A$5:$A$3004,"&lt;="&amp;Settings!$B$9))</f>
        <v/>
      </c>
      <c r="G620" s="25" t="str">
        <f aca="false">IF($A620="","",SUMIFS(Timesheet!$G$5:$G$3004,Timesheet!$D$5:$D$3004,$A620,Timesheet!$A$5:$A$3004,"&gt;="&amp;Settings!$B$8,Timesheet!$A$5:$A$3004,"&lt;="&amp;Settings!$B$9))</f>
        <v/>
      </c>
      <c r="H620" s="25" t="str">
        <f aca="false">IF($A620="","",IF(D620="Monthly",MAX(0,Settings!$B$11-E620),0))</f>
        <v/>
      </c>
      <c r="I620" s="26" t="str">
        <f aca="false">IF($A620="","",N(INDEX(Workers!$L$5:$L$2004,MATCH($A620,Workers!$A$5:$A$2004,0))))</f>
        <v/>
      </c>
      <c r="J620" s="26" t="str">
        <f aca="false">IF($A620="","",N(INDEX(Workers!$M$5:$M$2004,MATCH($A620,Workers!$A$5:$A$2004,0))))</f>
        <v/>
      </c>
      <c r="K620" s="26" t="str">
        <f aca="false">IF($A620="","",IF(D620="Monthly",ROUND(MAX(0,(I620+J620)-(I620+J620)/Settings!$B$10*H620),2),0))</f>
        <v/>
      </c>
      <c r="L620" s="26" t="str">
        <f aca="false">IF($A620="","",IF(D620="Hourly",ROUND(F620*N(INDEX(Workers!$N$5:$N$2004,MATCH($A620,Workers!$A$5:$A$2004,0))),2),0))</f>
        <v/>
      </c>
      <c r="M620" s="26" t="str">
        <f aca="false">IF($A620="","",ROUND(G620*IF(D620="Hourly",N(INDEX(Workers!$N$5:$N$2004,MATCH($A620,Workers!$A$5:$A$2004,0))),I620/Settings!$B$10/Settings!$B$12)*Settings!$B$13,2))</f>
        <v/>
      </c>
      <c r="N620" s="26" t="str">
        <f aca="false">IF($A620="","",K620+L620+M620)</f>
        <v/>
      </c>
      <c r="O620" s="26" t="str">
        <f aca="false">IF($A620="","",SUMIFS(Deductions!$D$5:$D$2000,Deductions!$B$5:$B$2000,$A620,Deductions!$C$5:$C$2000,"Advance",Deductions!$E$5:$E$2000,"&gt;="&amp;Settings!$B$8,Deductions!$E$5:$E$2000,"&lt;="&amp;Settings!$B$9))</f>
        <v/>
      </c>
      <c r="P620" s="26" t="str">
        <f aca="false">IF($A620="","",SUMIFS(Deductions!$D$5:$D$2000,Deductions!$B$5:$B$2000,$A620,Deductions!$E$5:$E$2000,"&gt;="&amp;Settings!$B$8,Deductions!$E$5:$E$2000,"&lt;="&amp;Settings!$B$9)-O620)</f>
        <v/>
      </c>
      <c r="Q620" s="26" t="str">
        <f aca="false">IF($A620="","",O620+P620)</f>
        <v/>
      </c>
      <c r="R620" s="23" t="str">
        <f aca="false">IF($A620="","",N620-Q620)</f>
        <v/>
      </c>
      <c r="S620" s="24" t="str">
        <f aca="false">IF($A620="","",INDEX(Workers!$O$5:$O$2004,MATCH($A620,Workers!$A$5:$A$2004,0))&amp;"")</f>
        <v/>
      </c>
      <c r="T620" s="24" t="str">
        <f aca="false">IF($A620="","",INDEX(Workers!$P$5:$P$2004,MATCH($A620,Workers!$A$5:$A$2004,0))&amp;"")</f>
        <v/>
      </c>
      <c r="U620" s="24" t="str">
        <f aca="false">IF($A620="","",INDEX(Workers!$H$5:$H$2004,MATCH($A620,Workers!$A$5:$A$2004,0))&amp;"")</f>
        <v/>
      </c>
    </row>
    <row r="621" customFormat="false" ht="15" hidden="false" customHeight="false" outlineLevel="0" collapsed="false">
      <c r="A621" s="24" t="str">
        <f aca="false">IFERROR(INDEX(Workers!$A$5:$A$2004,MATCH(ROW()-4,Workers!$U$5:$U$2004,0)),"")</f>
        <v/>
      </c>
      <c r="B621" s="24" t="str">
        <f aca="false">IF($A621="","",INDEX(Workers!$B$5:$B$2004,MATCH($A621,Workers!$A$5:$A$2004,0)))</f>
        <v/>
      </c>
      <c r="C621" s="24" t="str">
        <f aca="false">IF($A621="","",INDEX(Workers!$E$5:$E$2004,MATCH($A621,Workers!$A$5:$A$2004,0)))</f>
        <v/>
      </c>
      <c r="D621" s="24" t="str">
        <f aca="false">IF($A621="","",INDEX(Workers!$K$5:$K$2004,MATCH($A621,Workers!$A$5:$A$2004,0)))</f>
        <v/>
      </c>
      <c r="E621" s="25" t="str">
        <f aca="false">IF($A621="","",SUMIFS(Timesheet!$E$5:$E$3004,Timesheet!$D$5:$D$3004,$A621,Timesheet!$A$5:$A$3004,"&gt;="&amp;Settings!$B$8,Timesheet!$A$5:$A$3004,"&lt;="&amp;Settings!$B$9))</f>
        <v/>
      </c>
      <c r="F621" s="25" t="str">
        <f aca="false">IF($A621="","",SUMIFS(Timesheet!$F$5:$F$3004,Timesheet!$D$5:$D$3004,$A621,Timesheet!$A$5:$A$3004,"&gt;="&amp;Settings!$B$8,Timesheet!$A$5:$A$3004,"&lt;="&amp;Settings!$B$9))</f>
        <v/>
      </c>
      <c r="G621" s="25" t="str">
        <f aca="false">IF($A621="","",SUMIFS(Timesheet!$G$5:$G$3004,Timesheet!$D$5:$D$3004,$A621,Timesheet!$A$5:$A$3004,"&gt;="&amp;Settings!$B$8,Timesheet!$A$5:$A$3004,"&lt;="&amp;Settings!$B$9))</f>
        <v/>
      </c>
      <c r="H621" s="25" t="str">
        <f aca="false">IF($A621="","",IF(D621="Monthly",MAX(0,Settings!$B$11-E621),0))</f>
        <v/>
      </c>
      <c r="I621" s="26" t="str">
        <f aca="false">IF($A621="","",N(INDEX(Workers!$L$5:$L$2004,MATCH($A621,Workers!$A$5:$A$2004,0))))</f>
        <v/>
      </c>
      <c r="J621" s="26" t="str">
        <f aca="false">IF($A621="","",N(INDEX(Workers!$M$5:$M$2004,MATCH($A621,Workers!$A$5:$A$2004,0))))</f>
        <v/>
      </c>
      <c r="K621" s="26" t="str">
        <f aca="false">IF($A621="","",IF(D621="Monthly",ROUND(MAX(0,(I621+J621)-(I621+J621)/Settings!$B$10*H621),2),0))</f>
        <v/>
      </c>
      <c r="L621" s="26" t="str">
        <f aca="false">IF($A621="","",IF(D621="Hourly",ROUND(F621*N(INDEX(Workers!$N$5:$N$2004,MATCH($A621,Workers!$A$5:$A$2004,0))),2),0))</f>
        <v/>
      </c>
      <c r="M621" s="26" t="str">
        <f aca="false">IF($A621="","",ROUND(G621*IF(D621="Hourly",N(INDEX(Workers!$N$5:$N$2004,MATCH($A621,Workers!$A$5:$A$2004,0))),I621/Settings!$B$10/Settings!$B$12)*Settings!$B$13,2))</f>
        <v/>
      </c>
      <c r="N621" s="26" t="str">
        <f aca="false">IF($A621="","",K621+L621+M621)</f>
        <v/>
      </c>
      <c r="O621" s="26" t="str">
        <f aca="false">IF($A621="","",SUMIFS(Deductions!$D$5:$D$2000,Deductions!$B$5:$B$2000,$A621,Deductions!$C$5:$C$2000,"Advance",Deductions!$E$5:$E$2000,"&gt;="&amp;Settings!$B$8,Deductions!$E$5:$E$2000,"&lt;="&amp;Settings!$B$9))</f>
        <v/>
      </c>
      <c r="P621" s="26" t="str">
        <f aca="false">IF($A621="","",SUMIFS(Deductions!$D$5:$D$2000,Deductions!$B$5:$B$2000,$A621,Deductions!$E$5:$E$2000,"&gt;="&amp;Settings!$B$8,Deductions!$E$5:$E$2000,"&lt;="&amp;Settings!$B$9)-O621)</f>
        <v/>
      </c>
      <c r="Q621" s="26" t="str">
        <f aca="false">IF($A621="","",O621+P621)</f>
        <v/>
      </c>
      <c r="R621" s="23" t="str">
        <f aca="false">IF($A621="","",N621-Q621)</f>
        <v/>
      </c>
      <c r="S621" s="24" t="str">
        <f aca="false">IF($A621="","",INDEX(Workers!$O$5:$O$2004,MATCH($A621,Workers!$A$5:$A$2004,0))&amp;"")</f>
        <v/>
      </c>
      <c r="T621" s="24" t="str">
        <f aca="false">IF($A621="","",INDEX(Workers!$P$5:$P$2004,MATCH($A621,Workers!$A$5:$A$2004,0))&amp;"")</f>
        <v/>
      </c>
      <c r="U621" s="24" t="str">
        <f aca="false">IF($A621="","",INDEX(Workers!$H$5:$H$2004,MATCH($A621,Workers!$A$5:$A$2004,0))&amp;"")</f>
        <v/>
      </c>
    </row>
    <row r="622" customFormat="false" ht="15" hidden="false" customHeight="false" outlineLevel="0" collapsed="false">
      <c r="A622" s="24" t="str">
        <f aca="false">IFERROR(INDEX(Workers!$A$5:$A$2004,MATCH(ROW()-4,Workers!$U$5:$U$2004,0)),"")</f>
        <v/>
      </c>
      <c r="B622" s="24" t="str">
        <f aca="false">IF($A622="","",INDEX(Workers!$B$5:$B$2004,MATCH($A622,Workers!$A$5:$A$2004,0)))</f>
        <v/>
      </c>
      <c r="C622" s="24" t="str">
        <f aca="false">IF($A622="","",INDEX(Workers!$E$5:$E$2004,MATCH($A622,Workers!$A$5:$A$2004,0)))</f>
        <v/>
      </c>
      <c r="D622" s="24" t="str">
        <f aca="false">IF($A622="","",INDEX(Workers!$K$5:$K$2004,MATCH($A622,Workers!$A$5:$A$2004,0)))</f>
        <v/>
      </c>
      <c r="E622" s="25" t="str">
        <f aca="false">IF($A622="","",SUMIFS(Timesheet!$E$5:$E$3004,Timesheet!$D$5:$D$3004,$A622,Timesheet!$A$5:$A$3004,"&gt;="&amp;Settings!$B$8,Timesheet!$A$5:$A$3004,"&lt;="&amp;Settings!$B$9))</f>
        <v/>
      </c>
      <c r="F622" s="25" t="str">
        <f aca="false">IF($A622="","",SUMIFS(Timesheet!$F$5:$F$3004,Timesheet!$D$5:$D$3004,$A622,Timesheet!$A$5:$A$3004,"&gt;="&amp;Settings!$B$8,Timesheet!$A$5:$A$3004,"&lt;="&amp;Settings!$B$9))</f>
        <v/>
      </c>
      <c r="G622" s="25" t="str">
        <f aca="false">IF($A622="","",SUMIFS(Timesheet!$G$5:$G$3004,Timesheet!$D$5:$D$3004,$A622,Timesheet!$A$5:$A$3004,"&gt;="&amp;Settings!$B$8,Timesheet!$A$5:$A$3004,"&lt;="&amp;Settings!$B$9))</f>
        <v/>
      </c>
      <c r="H622" s="25" t="str">
        <f aca="false">IF($A622="","",IF(D622="Monthly",MAX(0,Settings!$B$11-E622),0))</f>
        <v/>
      </c>
      <c r="I622" s="26" t="str">
        <f aca="false">IF($A622="","",N(INDEX(Workers!$L$5:$L$2004,MATCH($A622,Workers!$A$5:$A$2004,0))))</f>
        <v/>
      </c>
      <c r="J622" s="26" t="str">
        <f aca="false">IF($A622="","",N(INDEX(Workers!$M$5:$M$2004,MATCH($A622,Workers!$A$5:$A$2004,0))))</f>
        <v/>
      </c>
      <c r="K622" s="26" t="str">
        <f aca="false">IF($A622="","",IF(D622="Monthly",ROUND(MAX(0,(I622+J622)-(I622+J622)/Settings!$B$10*H622),2),0))</f>
        <v/>
      </c>
      <c r="L622" s="26" t="str">
        <f aca="false">IF($A622="","",IF(D622="Hourly",ROUND(F622*N(INDEX(Workers!$N$5:$N$2004,MATCH($A622,Workers!$A$5:$A$2004,0))),2),0))</f>
        <v/>
      </c>
      <c r="M622" s="26" t="str">
        <f aca="false">IF($A622="","",ROUND(G622*IF(D622="Hourly",N(INDEX(Workers!$N$5:$N$2004,MATCH($A622,Workers!$A$5:$A$2004,0))),I622/Settings!$B$10/Settings!$B$12)*Settings!$B$13,2))</f>
        <v/>
      </c>
      <c r="N622" s="26" t="str">
        <f aca="false">IF($A622="","",K622+L622+M622)</f>
        <v/>
      </c>
      <c r="O622" s="26" t="str">
        <f aca="false">IF($A622="","",SUMIFS(Deductions!$D$5:$D$2000,Deductions!$B$5:$B$2000,$A622,Deductions!$C$5:$C$2000,"Advance",Deductions!$E$5:$E$2000,"&gt;="&amp;Settings!$B$8,Deductions!$E$5:$E$2000,"&lt;="&amp;Settings!$B$9))</f>
        <v/>
      </c>
      <c r="P622" s="26" t="str">
        <f aca="false">IF($A622="","",SUMIFS(Deductions!$D$5:$D$2000,Deductions!$B$5:$B$2000,$A622,Deductions!$E$5:$E$2000,"&gt;="&amp;Settings!$B$8,Deductions!$E$5:$E$2000,"&lt;="&amp;Settings!$B$9)-O622)</f>
        <v/>
      </c>
      <c r="Q622" s="26" t="str">
        <f aca="false">IF($A622="","",O622+P622)</f>
        <v/>
      </c>
      <c r="R622" s="23" t="str">
        <f aca="false">IF($A622="","",N622-Q622)</f>
        <v/>
      </c>
      <c r="S622" s="24" t="str">
        <f aca="false">IF($A622="","",INDEX(Workers!$O$5:$O$2004,MATCH($A622,Workers!$A$5:$A$2004,0))&amp;"")</f>
        <v/>
      </c>
      <c r="T622" s="24" t="str">
        <f aca="false">IF($A622="","",INDEX(Workers!$P$5:$P$2004,MATCH($A622,Workers!$A$5:$A$2004,0))&amp;"")</f>
        <v/>
      </c>
      <c r="U622" s="24" t="str">
        <f aca="false">IF($A622="","",INDEX(Workers!$H$5:$H$2004,MATCH($A622,Workers!$A$5:$A$2004,0))&amp;"")</f>
        <v/>
      </c>
    </row>
    <row r="623" customFormat="false" ht="15" hidden="false" customHeight="false" outlineLevel="0" collapsed="false">
      <c r="A623" s="24" t="str">
        <f aca="false">IFERROR(INDEX(Workers!$A$5:$A$2004,MATCH(ROW()-4,Workers!$U$5:$U$2004,0)),"")</f>
        <v/>
      </c>
      <c r="B623" s="24" t="str">
        <f aca="false">IF($A623="","",INDEX(Workers!$B$5:$B$2004,MATCH($A623,Workers!$A$5:$A$2004,0)))</f>
        <v/>
      </c>
      <c r="C623" s="24" t="str">
        <f aca="false">IF($A623="","",INDEX(Workers!$E$5:$E$2004,MATCH($A623,Workers!$A$5:$A$2004,0)))</f>
        <v/>
      </c>
      <c r="D623" s="24" t="str">
        <f aca="false">IF($A623="","",INDEX(Workers!$K$5:$K$2004,MATCH($A623,Workers!$A$5:$A$2004,0)))</f>
        <v/>
      </c>
      <c r="E623" s="25" t="str">
        <f aca="false">IF($A623="","",SUMIFS(Timesheet!$E$5:$E$3004,Timesheet!$D$5:$D$3004,$A623,Timesheet!$A$5:$A$3004,"&gt;="&amp;Settings!$B$8,Timesheet!$A$5:$A$3004,"&lt;="&amp;Settings!$B$9))</f>
        <v/>
      </c>
      <c r="F623" s="25" t="str">
        <f aca="false">IF($A623="","",SUMIFS(Timesheet!$F$5:$F$3004,Timesheet!$D$5:$D$3004,$A623,Timesheet!$A$5:$A$3004,"&gt;="&amp;Settings!$B$8,Timesheet!$A$5:$A$3004,"&lt;="&amp;Settings!$B$9))</f>
        <v/>
      </c>
      <c r="G623" s="25" t="str">
        <f aca="false">IF($A623="","",SUMIFS(Timesheet!$G$5:$G$3004,Timesheet!$D$5:$D$3004,$A623,Timesheet!$A$5:$A$3004,"&gt;="&amp;Settings!$B$8,Timesheet!$A$5:$A$3004,"&lt;="&amp;Settings!$B$9))</f>
        <v/>
      </c>
      <c r="H623" s="25" t="str">
        <f aca="false">IF($A623="","",IF(D623="Monthly",MAX(0,Settings!$B$11-E623),0))</f>
        <v/>
      </c>
      <c r="I623" s="26" t="str">
        <f aca="false">IF($A623="","",N(INDEX(Workers!$L$5:$L$2004,MATCH($A623,Workers!$A$5:$A$2004,0))))</f>
        <v/>
      </c>
      <c r="J623" s="26" t="str">
        <f aca="false">IF($A623="","",N(INDEX(Workers!$M$5:$M$2004,MATCH($A623,Workers!$A$5:$A$2004,0))))</f>
        <v/>
      </c>
      <c r="K623" s="26" t="str">
        <f aca="false">IF($A623="","",IF(D623="Monthly",ROUND(MAX(0,(I623+J623)-(I623+J623)/Settings!$B$10*H623),2),0))</f>
        <v/>
      </c>
      <c r="L623" s="26" t="str">
        <f aca="false">IF($A623="","",IF(D623="Hourly",ROUND(F623*N(INDEX(Workers!$N$5:$N$2004,MATCH($A623,Workers!$A$5:$A$2004,0))),2),0))</f>
        <v/>
      </c>
      <c r="M623" s="26" t="str">
        <f aca="false">IF($A623="","",ROUND(G623*IF(D623="Hourly",N(INDEX(Workers!$N$5:$N$2004,MATCH($A623,Workers!$A$5:$A$2004,0))),I623/Settings!$B$10/Settings!$B$12)*Settings!$B$13,2))</f>
        <v/>
      </c>
      <c r="N623" s="26" t="str">
        <f aca="false">IF($A623="","",K623+L623+M623)</f>
        <v/>
      </c>
      <c r="O623" s="26" t="str">
        <f aca="false">IF($A623="","",SUMIFS(Deductions!$D$5:$D$2000,Deductions!$B$5:$B$2000,$A623,Deductions!$C$5:$C$2000,"Advance",Deductions!$E$5:$E$2000,"&gt;="&amp;Settings!$B$8,Deductions!$E$5:$E$2000,"&lt;="&amp;Settings!$B$9))</f>
        <v/>
      </c>
      <c r="P623" s="26" t="str">
        <f aca="false">IF($A623="","",SUMIFS(Deductions!$D$5:$D$2000,Deductions!$B$5:$B$2000,$A623,Deductions!$E$5:$E$2000,"&gt;="&amp;Settings!$B$8,Deductions!$E$5:$E$2000,"&lt;="&amp;Settings!$B$9)-O623)</f>
        <v/>
      </c>
      <c r="Q623" s="26" t="str">
        <f aca="false">IF($A623="","",O623+P623)</f>
        <v/>
      </c>
      <c r="R623" s="23" t="str">
        <f aca="false">IF($A623="","",N623-Q623)</f>
        <v/>
      </c>
      <c r="S623" s="24" t="str">
        <f aca="false">IF($A623="","",INDEX(Workers!$O$5:$O$2004,MATCH($A623,Workers!$A$5:$A$2004,0))&amp;"")</f>
        <v/>
      </c>
      <c r="T623" s="24" t="str">
        <f aca="false">IF($A623="","",INDEX(Workers!$P$5:$P$2004,MATCH($A623,Workers!$A$5:$A$2004,0))&amp;"")</f>
        <v/>
      </c>
      <c r="U623" s="24" t="str">
        <f aca="false">IF($A623="","",INDEX(Workers!$H$5:$H$2004,MATCH($A623,Workers!$A$5:$A$2004,0))&amp;"")</f>
        <v/>
      </c>
    </row>
    <row r="624" customFormat="false" ht="15" hidden="false" customHeight="false" outlineLevel="0" collapsed="false">
      <c r="A624" s="24" t="str">
        <f aca="false">IFERROR(INDEX(Workers!$A$5:$A$2004,MATCH(ROW()-4,Workers!$U$5:$U$2004,0)),"")</f>
        <v/>
      </c>
      <c r="B624" s="24" t="str">
        <f aca="false">IF($A624="","",INDEX(Workers!$B$5:$B$2004,MATCH($A624,Workers!$A$5:$A$2004,0)))</f>
        <v/>
      </c>
      <c r="C624" s="24" t="str">
        <f aca="false">IF($A624="","",INDEX(Workers!$E$5:$E$2004,MATCH($A624,Workers!$A$5:$A$2004,0)))</f>
        <v/>
      </c>
      <c r="D624" s="24" t="str">
        <f aca="false">IF($A624="","",INDEX(Workers!$K$5:$K$2004,MATCH($A624,Workers!$A$5:$A$2004,0)))</f>
        <v/>
      </c>
      <c r="E624" s="25" t="str">
        <f aca="false">IF($A624="","",SUMIFS(Timesheet!$E$5:$E$3004,Timesheet!$D$5:$D$3004,$A624,Timesheet!$A$5:$A$3004,"&gt;="&amp;Settings!$B$8,Timesheet!$A$5:$A$3004,"&lt;="&amp;Settings!$B$9))</f>
        <v/>
      </c>
      <c r="F624" s="25" t="str">
        <f aca="false">IF($A624="","",SUMIFS(Timesheet!$F$5:$F$3004,Timesheet!$D$5:$D$3004,$A624,Timesheet!$A$5:$A$3004,"&gt;="&amp;Settings!$B$8,Timesheet!$A$5:$A$3004,"&lt;="&amp;Settings!$B$9))</f>
        <v/>
      </c>
      <c r="G624" s="25" t="str">
        <f aca="false">IF($A624="","",SUMIFS(Timesheet!$G$5:$G$3004,Timesheet!$D$5:$D$3004,$A624,Timesheet!$A$5:$A$3004,"&gt;="&amp;Settings!$B$8,Timesheet!$A$5:$A$3004,"&lt;="&amp;Settings!$B$9))</f>
        <v/>
      </c>
      <c r="H624" s="25" t="str">
        <f aca="false">IF($A624="","",IF(D624="Monthly",MAX(0,Settings!$B$11-E624),0))</f>
        <v/>
      </c>
      <c r="I624" s="26" t="str">
        <f aca="false">IF($A624="","",N(INDEX(Workers!$L$5:$L$2004,MATCH($A624,Workers!$A$5:$A$2004,0))))</f>
        <v/>
      </c>
      <c r="J624" s="26" t="str">
        <f aca="false">IF($A624="","",N(INDEX(Workers!$M$5:$M$2004,MATCH($A624,Workers!$A$5:$A$2004,0))))</f>
        <v/>
      </c>
      <c r="K624" s="26" t="str">
        <f aca="false">IF($A624="","",IF(D624="Monthly",ROUND(MAX(0,(I624+J624)-(I624+J624)/Settings!$B$10*H624),2),0))</f>
        <v/>
      </c>
      <c r="L624" s="26" t="str">
        <f aca="false">IF($A624="","",IF(D624="Hourly",ROUND(F624*N(INDEX(Workers!$N$5:$N$2004,MATCH($A624,Workers!$A$5:$A$2004,0))),2),0))</f>
        <v/>
      </c>
      <c r="M624" s="26" t="str">
        <f aca="false">IF($A624="","",ROUND(G624*IF(D624="Hourly",N(INDEX(Workers!$N$5:$N$2004,MATCH($A624,Workers!$A$5:$A$2004,0))),I624/Settings!$B$10/Settings!$B$12)*Settings!$B$13,2))</f>
        <v/>
      </c>
      <c r="N624" s="26" t="str">
        <f aca="false">IF($A624="","",K624+L624+M624)</f>
        <v/>
      </c>
      <c r="O624" s="26" t="str">
        <f aca="false">IF($A624="","",SUMIFS(Deductions!$D$5:$D$2000,Deductions!$B$5:$B$2000,$A624,Deductions!$C$5:$C$2000,"Advance",Deductions!$E$5:$E$2000,"&gt;="&amp;Settings!$B$8,Deductions!$E$5:$E$2000,"&lt;="&amp;Settings!$B$9))</f>
        <v/>
      </c>
      <c r="P624" s="26" t="str">
        <f aca="false">IF($A624="","",SUMIFS(Deductions!$D$5:$D$2000,Deductions!$B$5:$B$2000,$A624,Deductions!$E$5:$E$2000,"&gt;="&amp;Settings!$B$8,Deductions!$E$5:$E$2000,"&lt;="&amp;Settings!$B$9)-O624)</f>
        <v/>
      </c>
      <c r="Q624" s="26" t="str">
        <f aca="false">IF($A624="","",O624+P624)</f>
        <v/>
      </c>
      <c r="R624" s="23" t="str">
        <f aca="false">IF($A624="","",N624-Q624)</f>
        <v/>
      </c>
      <c r="S624" s="24" t="str">
        <f aca="false">IF($A624="","",INDEX(Workers!$O$5:$O$2004,MATCH($A624,Workers!$A$5:$A$2004,0))&amp;"")</f>
        <v/>
      </c>
      <c r="T624" s="24" t="str">
        <f aca="false">IF($A624="","",INDEX(Workers!$P$5:$P$2004,MATCH($A624,Workers!$A$5:$A$2004,0))&amp;"")</f>
        <v/>
      </c>
      <c r="U624" s="24" t="str">
        <f aca="false">IF($A624="","",INDEX(Workers!$H$5:$H$2004,MATCH($A624,Workers!$A$5:$A$2004,0))&amp;"")</f>
        <v/>
      </c>
    </row>
    <row r="625" customFormat="false" ht="15" hidden="false" customHeight="false" outlineLevel="0" collapsed="false">
      <c r="A625" s="24" t="str">
        <f aca="false">IFERROR(INDEX(Workers!$A$5:$A$2004,MATCH(ROW()-4,Workers!$U$5:$U$2004,0)),"")</f>
        <v/>
      </c>
      <c r="B625" s="24" t="str">
        <f aca="false">IF($A625="","",INDEX(Workers!$B$5:$B$2004,MATCH($A625,Workers!$A$5:$A$2004,0)))</f>
        <v/>
      </c>
      <c r="C625" s="24" t="str">
        <f aca="false">IF($A625="","",INDEX(Workers!$E$5:$E$2004,MATCH($A625,Workers!$A$5:$A$2004,0)))</f>
        <v/>
      </c>
      <c r="D625" s="24" t="str">
        <f aca="false">IF($A625="","",INDEX(Workers!$K$5:$K$2004,MATCH($A625,Workers!$A$5:$A$2004,0)))</f>
        <v/>
      </c>
      <c r="E625" s="25" t="str">
        <f aca="false">IF($A625="","",SUMIFS(Timesheet!$E$5:$E$3004,Timesheet!$D$5:$D$3004,$A625,Timesheet!$A$5:$A$3004,"&gt;="&amp;Settings!$B$8,Timesheet!$A$5:$A$3004,"&lt;="&amp;Settings!$B$9))</f>
        <v/>
      </c>
      <c r="F625" s="25" t="str">
        <f aca="false">IF($A625="","",SUMIFS(Timesheet!$F$5:$F$3004,Timesheet!$D$5:$D$3004,$A625,Timesheet!$A$5:$A$3004,"&gt;="&amp;Settings!$B$8,Timesheet!$A$5:$A$3004,"&lt;="&amp;Settings!$B$9))</f>
        <v/>
      </c>
      <c r="G625" s="25" t="str">
        <f aca="false">IF($A625="","",SUMIFS(Timesheet!$G$5:$G$3004,Timesheet!$D$5:$D$3004,$A625,Timesheet!$A$5:$A$3004,"&gt;="&amp;Settings!$B$8,Timesheet!$A$5:$A$3004,"&lt;="&amp;Settings!$B$9))</f>
        <v/>
      </c>
      <c r="H625" s="25" t="str">
        <f aca="false">IF($A625="","",IF(D625="Monthly",MAX(0,Settings!$B$11-E625),0))</f>
        <v/>
      </c>
      <c r="I625" s="26" t="str">
        <f aca="false">IF($A625="","",N(INDEX(Workers!$L$5:$L$2004,MATCH($A625,Workers!$A$5:$A$2004,0))))</f>
        <v/>
      </c>
      <c r="J625" s="26" t="str">
        <f aca="false">IF($A625="","",N(INDEX(Workers!$M$5:$M$2004,MATCH($A625,Workers!$A$5:$A$2004,0))))</f>
        <v/>
      </c>
      <c r="K625" s="26" t="str">
        <f aca="false">IF($A625="","",IF(D625="Monthly",ROUND(MAX(0,(I625+J625)-(I625+J625)/Settings!$B$10*H625),2),0))</f>
        <v/>
      </c>
      <c r="L625" s="26" t="str">
        <f aca="false">IF($A625="","",IF(D625="Hourly",ROUND(F625*N(INDEX(Workers!$N$5:$N$2004,MATCH($A625,Workers!$A$5:$A$2004,0))),2),0))</f>
        <v/>
      </c>
      <c r="M625" s="26" t="str">
        <f aca="false">IF($A625="","",ROUND(G625*IF(D625="Hourly",N(INDEX(Workers!$N$5:$N$2004,MATCH($A625,Workers!$A$5:$A$2004,0))),I625/Settings!$B$10/Settings!$B$12)*Settings!$B$13,2))</f>
        <v/>
      </c>
      <c r="N625" s="26" t="str">
        <f aca="false">IF($A625="","",K625+L625+M625)</f>
        <v/>
      </c>
      <c r="O625" s="26" t="str">
        <f aca="false">IF($A625="","",SUMIFS(Deductions!$D$5:$D$2000,Deductions!$B$5:$B$2000,$A625,Deductions!$C$5:$C$2000,"Advance",Deductions!$E$5:$E$2000,"&gt;="&amp;Settings!$B$8,Deductions!$E$5:$E$2000,"&lt;="&amp;Settings!$B$9))</f>
        <v/>
      </c>
      <c r="P625" s="26" t="str">
        <f aca="false">IF($A625="","",SUMIFS(Deductions!$D$5:$D$2000,Deductions!$B$5:$B$2000,$A625,Deductions!$E$5:$E$2000,"&gt;="&amp;Settings!$B$8,Deductions!$E$5:$E$2000,"&lt;="&amp;Settings!$B$9)-O625)</f>
        <v/>
      </c>
      <c r="Q625" s="26" t="str">
        <f aca="false">IF($A625="","",O625+P625)</f>
        <v/>
      </c>
      <c r="R625" s="23" t="str">
        <f aca="false">IF($A625="","",N625-Q625)</f>
        <v/>
      </c>
      <c r="S625" s="24" t="str">
        <f aca="false">IF($A625="","",INDEX(Workers!$O$5:$O$2004,MATCH($A625,Workers!$A$5:$A$2004,0))&amp;"")</f>
        <v/>
      </c>
      <c r="T625" s="24" t="str">
        <f aca="false">IF($A625="","",INDEX(Workers!$P$5:$P$2004,MATCH($A625,Workers!$A$5:$A$2004,0))&amp;"")</f>
        <v/>
      </c>
      <c r="U625" s="24" t="str">
        <f aca="false">IF($A625="","",INDEX(Workers!$H$5:$H$2004,MATCH($A625,Workers!$A$5:$A$2004,0))&amp;"")</f>
        <v/>
      </c>
    </row>
    <row r="626" customFormat="false" ht="15" hidden="false" customHeight="false" outlineLevel="0" collapsed="false">
      <c r="A626" s="24" t="str">
        <f aca="false">IFERROR(INDEX(Workers!$A$5:$A$2004,MATCH(ROW()-4,Workers!$U$5:$U$2004,0)),"")</f>
        <v/>
      </c>
      <c r="B626" s="24" t="str">
        <f aca="false">IF($A626="","",INDEX(Workers!$B$5:$B$2004,MATCH($A626,Workers!$A$5:$A$2004,0)))</f>
        <v/>
      </c>
      <c r="C626" s="24" t="str">
        <f aca="false">IF($A626="","",INDEX(Workers!$E$5:$E$2004,MATCH($A626,Workers!$A$5:$A$2004,0)))</f>
        <v/>
      </c>
      <c r="D626" s="24" t="str">
        <f aca="false">IF($A626="","",INDEX(Workers!$K$5:$K$2004,MATCH($A626,Workers!$A$5:$A$2004,0)))</f>
        <v/>
      </c>
      <c r="E626" s="25" t="str">
        <f aca="false">IF($A626="","",SUMIFS(Timesheet!$E$5:$E$3004,Timesheet!$D$5:$D$3004,$A626,Timesheet!$A$5:$A$3004,"&gt;="&amp;Settings!$B$8,Timesheet!$A$5:$A$3004,"&lt;="&amp;Settings!$B$9))</f>
        <v/>
      </c>
      <c r="F626" s="25" t="str">
        <f aca="false">IF($A626="","",SUMIFS(Timesheet!$F$5:$F$3004,Timesheet!$D$5:$D$3004,$A626,Timesheet!$A$5:$A$3004,"&gt;="&amp;Settings!$B$8,Timesheet!$A$5:$A$3004,"&lt;="&amp;Settings!$B$9))</f>
        <v/>
      </c>
      <c r="G626" s="25" t="str">
        <f aca="false">IF($A626="","",SUMIFS(Timesheet!$G$5:$G$3004,Timesheet!$D$5:$D$3004,$A626,Timesheet!$A$5:$A$3004,"&gt;="&amp;Settings!$B$8,Timesheet!$A$5:$A$3004,"&lt;="&amp;Settings!$B$9))</f>
        <v/>
      </c>
      <c r="H626" s="25" t="str">
        <f aca="false">IF($A626="","",IF(D626="Monthly",MAX(0,Settings!$B$11-E626),0))</f>
        <v/>
      </c>
      <c r="I626" s="26" t="str">
        <f aca="false">IF($A626="","",N(INDEX(Workers!$L$5:$L$2004,MATCH($A626,Workers!$A$5:$A$2004,0))))</f>
        <v/>
      </c>
      <c r="J626" s="26" t="str">
        <f aca="false">IF($A626="","",N(INDEX(Workers!$M$5:$M$2004,MATCH($A626,Workers!$A$5:$A$2004,0))))</f>
        <v/>
      </c>
      <c r="K626" s="26" t="str">
        <f aca="false">IF($A626="","",IF(D626="Monthly",ROUND(MAX(0,(I626+J626)-(I626+J626)/Settings!$B$10*H626),2),0))</f>
        <v/>
      </c>
      <c r="L626" s="26" t="str">
        <f aca="false">IF($A626="","",IF(D626="Hourly",ROUND(F626*N(INDEX(Workers!$N$5:$N$2004,MATCH($A626,Workers!$A$5:$A$2004,0))),2),0))</f>
        <v/>
      </c>
      <c r="M626" s="26" t="str">
        <f aca="false">IF($A626="","",ROUND(G626*IF(D626="Hourly",N(INDEX(Workers!$N$5:$N$2004,MATCH($A626,Workers!$A$5:$A$2004,0))),I626/Settings!$B$10/Settings!$B$12)*Settings!$B$13,2))</f>
        <v/>
      </c>
      <c r="N626" s="26" t="str">
        <f aca="false">IF($A626="","",K626+L626+M626)</f>
        <v/>
      </c>
      <c r="O626" s="26" t="str">
        <f aca="false">IF($A626="","",SUMIFS(Deductions!$D$5:$D$2000,Deductions!$B$5:$B$2000,$A626,Deductions!$C$5:$C$2000,"Advance",Deductions!$E$5:$E$2000,"&gt;="&amp;Settings!$B$8,Deductions!$E$5:$E$2000,"&lt;="&amp;Settings!$B$9))</f>
        <v/>
      </c>
      <c r="P626" s="26" t="str">
        <f aca="false">IF($A626="","",SUMIFS(Deductions!$D$5:$D$2000,Deductions!$B$5:$B$2000,$A626,Deductions!$E$5:$E$2000,"&gt;="&amp;Settings!$B$8,Deductions!$E$5:$E$2000,"&lt;="&amp;Settings!$B$9)-O626)</f>
        <v/>
      </c>
      <c r="Q626" s="26" t="str">
        <f aca="false">IF($A626="","",O626+P626)</f>
        <v/>
      </c>
      <c r="R626" s="23" t="str">
        <f aca="false">IF($A626="","",N626-Q626)</f>
        <v/>
      </c>
      <c r="S626" s="24" t="str">
        <f aca="false">IF($A626="","",INDEX(Workers!$O$5:$O$2004,MATCH($A626,Workers!$A$5:$A$2004,0))&amp;"")</f>
        <v/>
      </c>
      <c r="T626" s="24" t="str">
        <f aca="false">IF($A626="","",INDEX(Workers!$P$5:$P$2004,MATCH($A626,Workers!$A$5:$A$2004,0))&amp;"")</f>
        <v/>
      </c>
      <c r="U626" s="24" t="str">
        <f aca="false">IF($A626="","",INDEX(Workers!$H$5:$H$2004,MATCH($A626,Workers!$A$5:$A$2004,0))&amp;"")</f>
        <v/>
      </c>
    </row>
    <row r="627" customFormat="false" ht="15" hidden="false" customHeight="false" outlineLevel="0" collapsed="false">
      <c r="A627" s="24" t="str">
        <f aca="false">IFERROR(INDEX(Workers!$A$5:$A$2004,MATCH(ROW()-4,Workers!$U$5:$U$2004,0)),"")</f>
        <v/>
      </c>
      <c r="B627" s="24" t="str">
        <f aca="false">IF($A627="","",INDEX(Workers!$B$5:$B$2004,MATCH($A627,Workers!$A$5:$A$2004,0)))</f>
        <v/>
      </c>
      <c r="C627" s="24" t="str">
        <f aca="false">IF($A627="","",INDEX(Workers!$E$5:$E$2004,MATCH($A627,Workers!$A$5:$A$2004,0)))</f>
        <v/>
      </c>
      <c r="D627" s="24" t="str">
        <f aca="false">IF($A627="","",INDEX(Workers!$K$5:$K$2004,MATCH($A627,Workers!$A$5:$A$2004,0)))</f>
        <v/>
      </c>
      <c r="E627" s="25" t="str">
        <f aca="false">IF($A627="","",SUMIFS(Timesheet!$E$5:$E$3004,Timesheet!$D$5:$D$3004,$A627,Timesheet!$A$5:$A$3004,"&gt;="&amp;Settings!$B$8,Timesheet!$A$5:$A$3004,"&lt;="&amp;Settings!$B$9))</f>
        <v/>
      </c>
      <c r="F627" s="25" t="str">
        <f aca="false">IF($A627="","",SUMIFS(Timesheet!$F$5:$F$3004,Timesheet!$D$5:$D$3004,$A627,Timesheet!$A$5:$A$3004,"&gt;="&amp;Settings!$B$8,Timesheet!$A$5:$A$3004,"&lt;="&amp;Settings!$B$9))</f>
        <v/>
      </c>
      <c r="G627" s="25" t="str">
        <f aca="false">IF($A627="","",SUMIFS(Timesheet!$G$5:$G$3004,Timesheet!$D$5:$D$3004,$A627,Timesheet!$A$5:$A$3004,"&gt;="&amp;Settings!$B$8,Timesheet!$A$5:$A$3004,"&lt;="&amp;Settings!$B$9))</f>
        <v/>
      </c>
      <c r="H627" s="25" t="str">
        <f aca="false">IF($A627="","",IF(D627="Monthly",MAX(0,Settings!$B$11-E627),0))</f>
        <v/>
      </c>
      <c r="I627" s="26" t="str">
        <f aca="false">IF($A627="","",N(INDEX(Workers!$L$5:$L$2004,MATCH($A627,Workers!$A$5:$A$2004,0))))</f>
        <v/>
      </c>
      <c r="J627" s="26" t="str">
        <f aca="false">IF($A627="","",N(INDEX(Workers!$M$5:$M$2004,MATCH($A627,Workers!$A$5:$A$2004,0))))</f>
        <v/>
      </c>
      <c r="K627" s="26" t="str">
        <f aca="false">IF($A627="","",IF(D627="Monthly",ROUND(MAX(0,(I627+J627)-(I627+J627)/Settings!$B$10*H627),2),0))</f>
        <v/>
      </c>
      <c r="L627" s="26" t="str">
        <f aca="false">IF($A627="","",IF(D627="Hourly",ROUND(F627*N(INDEX(Workers!$N$5:$N$2004,MATCH($A627,Workers!$A$5:$A$2004,0))),2),0))</f>
        <v/>
      </c>
      <c r="M627" s="26" t="str">
        <f aca="false">IF($A627="","",ROUND(G627*IF(D627="Hourly",N(INDEX(Workers!$N$5:$N$2004,MATCH($A627,Workers!$A$5:$A$2004,0))),I627/Settings!$B$10/Settings!$B$12)*Settings!$B$13,2))</f>
        <v/>
      </c>
      <c r="N627" s="26" t="str">
        <f aca="false">IF($A627="","",K627+L627+M627)</f>
        <v/>
      </c>
      <c r="O627" s="26" t="str">
        <f aca="false">IF($A627="","",SUMIFS(Deductions!$D$5:$D$2000,Deductions!$B$5:$B$2000,$A627,Deductions!$C$5:$C$2000,"Advance",Deductions!$E$5:$E$2000,"&gt;="&amp;Settings!$B$8,Deductions!$E$5:$E$2000,"&lt;="&amp;Settings!$B$9))</f>
        <v/>
      </c>
      <c r="P627" s="26" t="str">
        <f aca="false">IF($A627="","",SUMIFS(Deductions!$D$5:$D$2000,Deductions!$B$5:$B$2000,$A627,Deductions!$E$5:$E$2000,"&gt;="&amp;Settings!$B$8,Deductions!$E$5:$E$2000,"&lt;="&amp;Settings!$B$9)-O627)</f>
        <v/>
      </c>
      <c r="Q627" s="26" t="str">
        <f aca="false">IF($A627="","",O627+P627)</f>
        <v/>
      </c>
      <c r="R627" s="23" t="str">
        <f aca="false">IF($A627="","",N627-Q627)</f>
        <v/>
      </c>
      <c r="S627" s="24" t="str">
        <f aca="false">IF($A627="","",INDEX(Workers!$O$5:$O$2004,MATCH($A627,Workers!$A$5:$A$2004,0))&amp;"")</f>
        <v/>
      </c>
      <c r="T627" s="24" t="str">
        <f aca="false">IF($A627="","",INDEX(Workers!$P$5:$P$2004,MATCH($A627,Workers!$A$5:$A$2004,0))&amp;"")</f>
        <v/>
      </c>
      <c r="U627" s="24" t="str">
        <f aca="false">IF($A627="","",INDEX(Workers!$H$5:$H$2004,MATCH($A627,Workers!$A$5:$A$2004,0))&amp;"")</f>
        <v/>
      </c>
    </row>
    <row r="628" customFormat="false" ht="15" hidden="false" customHeight="false" outlineLevel="0" collapsed="false">
      <c r="A628" s="24" t="str">
        <f aca="false">IFERROR(INDEX(Workers!$A$5:$A$2004,MATCH(ROW()-4,Workers!$U$5:$U$2004,0)),"")</f>
        <v/>
      </c>
      <c r="B628" s="24" t="str">
        <f aca="false">IF($A628="","",INDEX(Workers!$B$5:$B$2004,MATCH($A628,Workers!$A$5:$A$2004,0)))</f>
        <v/>
      </c>
      <c r="C628" s="24" t="str">
        <f aca="false">IF($A628="","",INDEX(Workers!$E$5:$E$2004,MATCH($A628,Workers!$A$5:$A$2004,0)))</f>
        <v/>
      </c>
      <c r="D628" s="24" t="str">
        <f aca="false">IF($A628="","",INDEX(Workers!$K$5:$K$2004,MATCH($A628,Workers!$A$5:$A$2004,0)))</f>
        <v/>
      </c>
      <c r="E628" s="25" t="str">
        <f aca="false">IF($A628="","",SUMIFS(Timesheet!$E$5:$E$3004,Timesheet!$D$5:$D$3004,$A628,Timesheet!$A$5:$A$3004,"&gt;="&amp;Settings!$B$8,Timesheet!$A$5:$A$3004,"&lt;="&amp;Settings!$B$9))</f>
        <v/>
      </c>
      <c r="F628" s="25" t="str">
        <f aca="false">IF($A628="","",SUMIFS(Timesheet!$F$5:$F$3004,Timesheet!$D$5:$D$3004,$A628,Timesheet!$A$5:$A$3004,"&gt;="&amp;Settings!$B$8,Timesheet!$A$5:$A$3004,"&lt;="&amp;Settings!$B$9))</f>
        <v/>
      </c>
      <c r="G628" s="25" t="str">
        <f aca="false">IF($A628="","",SUMIFS(Timesheet!$G$5:$G$3004,Timesheet!$D$5:$D$3004,$A628,Timesheet!$A$5:$A$3004,"&gt;="&amp;Settings!$B$8,Timesheet!$A$5:$A$3004,"&lt;="&amp;Settings!$B$9))</f>
        <v/>
      </c>
      <c r="H628" s="25" t="str">
        <f aca="false">IF($A628="","",IF(D628="Monthly",MAX(0,Settings!$B$11-E628),0))</f>
        <v/>
      </c>
      <c r="I628" s="26" t="str">
        <f aca="false">IF($A628="","",N(INDEX(Workers!$L$5:$L$2004,MATCH($A628,Workers!$A$5:$A$2004,0))))</f>
        <v/>
      </c>
      <c r="J628" s="26" t="str">
        <f aca="false">IF($A628="","",N(INDEX(Workers!$M$5:$M$2004,MATCH($A628,Workers!$A$5:$A$2004,0))))</f>
        <v/>
      </c>
      <c r="K628" s="26" t="str">
        <f aca="false">IF($A628="","",IF(D628="Monthly",ROUND(MAX(0,(I628+J628)-(I628+J628)/Settings!$B$10*H628),2),0))</f>
        <v/>
      </c>
      <c r="L628" s="26" t="str">
        <f aca="false">IF($A628="","",IF(D628="Hourly",ROUND(F628*N(INDEX(Workers!$N$5:$N$2004,MATCH($A628,Workers!$A$5:$A$2004,0))),2),0))</f>
        <v/>
      </c>
      <c r="M628" s="26" t="str">
        <f aca="false">IF($A628="","",ROUND(G628*IF(D628="Hourly",N(INDEX(Workers!$N$5:$N$2004,MATCH($A628,Workers!$A$5:$A$2004,0))),I628/Settings!$B$10/Settings!$B$12)*Settings!$B$13,2))</f>
        <v/>
      </c>
      <c r="N628" s="26" t="str">
        <f aca="false">IF($A628="","",K628+L628+M628)</f>
        <v/>
      </c>
      <c r="O628" s="26" t="str">
        <f aca="false">IF($A628="","",SUMIFS(Deductions!$D$5:$D$2000,Deductions!$B$5:$B$2000,$A628,Deductions!$C$5:$C$2000,"Advance",Deductions!$E$5:$E$2000,"&gt;="&amp;Settings!$B$8,Deductions!$E$5:$E$2000,"&lt;="&amp;Settings!$B$9))</f>
        <v/>
      </c>
      <c r="P628" s="26" t="str">
        <f aca="false">IF($A628="","",SUMIFS(Deductions!$D$5:$D$2000,Deductions!$B$5:$B$2000,$A628,Deductions!$E$5:$E$2000,"&gt;="&amp;Settings!$B$8,Deductions!$E$5:$E$2000,"&lt;="&amp;Settings!$B$9)-O628)</f>
        <v/>
      </c>
      <c r="Q628" s="26" t="str">
        <f aca="false">IF($A628="","",O628+P628)</f>
        <v/>
      </c>
      <c r="R628" s="23" t="str">
        <f aca="false">IF($A628="","",N628-Q628)</f>
        <v/>
      </c>
      <c r="S628" s="24" t="str">
        <f aca="false">IF($A628="","",INDEX(Workers!$O$5:$O$2004,MATCH($A628,Workers!$A$5:$A$2004,0))&amp;"")</f>
        <v/>
      </c>
      <c r="T628" s="24" t="str">
        <f aca="false">IF($A628="","",INDEX(Workers!$P$5:$P$2004,MATCH($A628,Workers!$A$5:$A$2004,0))&amp;"")</f>
        <v/>
      </c>
      <c r="U628" s="24" t="str">
        <f aca="false">IF($A628="","",INDEX(Workers!$H$5:$H$2004,MATCH($A628,Workers!$A$5:$A$2004,0))&amp;"")</f>
        <v/>
      </c>
    </row>
    <row r="629" customFormat="false" ht="15" hidden="false" customHeight="false" outlineLevel="0" collapsed="false">
      <c r="A629" s="24" t="str">
        <f aca="false">IFERROR(INDEX(Workers!$A$5:$A$2004,MATCH(ROW()-4,Workers!$U$5:$U$2004,0)),"")</f>
        <v/>
      </c>
      <c r="B629" s="24" t="str">
        <f aca="false">IF($A629="","",INDEX(Workers!$B$5:$B$2004,MATCH($A629,Workers!$A$5:$A$2004,0)))</f>
        <v/>
      </c>
      <c r="C629" s="24" t="str">
        <f aca="false">IF($A629="","",INDEX(Workers!$E$5:$E$2004,MATCH($A629,Workers!$A$5:$A$2004,0)))</f>
        <v/>
      </c>
      <c r="D629" s="24" t="str">
        <f aca="false">IF($A629="","",INDEX(Workers!$K$5:$K$2004,MATCH($A629,Workers!$A$5:$A$2004,0)))</f>
        <v/>
      </c>
      <c r="E629" s="25" t="str">
        <f aca="false">IF($A629="","",SUMIFS(Timesheet!$E$5:$E$3004,Timesheet!$D$5:$D$3004,$A629,Timesheet!$A$5:$A$3004,"&gt;="&amp;Settings!$B$8,Timesheet!$A$5:$A$3004,"&lt;="&amp;Settings!$B$9))</f>
        <v/>
      </c>
      <c r="F629" s="25" t="str">
        <f aca="false">IF($A629="","",SUMIFS(Timesheet!$F$5:$F$3004,Timesheet!$D$5:$D$3004,$A629,Timesheet!$A$5:$A$3004,"&gt;="&amp;Settings!$B$8,Timesheet!$A$5:$A$3004,"&lt;="&amp;Settings!$B$9))</f>
        <v/>
      </c>
      <c r="G629" s="25" t="str">
        <f aca="false">IF($A629="","",SUMIFS(Timesheet!$G$5:$G$3004,Timesheet!$D$5:$D$3004,$A629,Timesheet!$A$5:$A$3004,"&gt;="&amp;Settings!$B$8,Timesheet!$A$5:$A$3004,"&lt;="&amp;Settings!$B$9))</f>
        <v/>
      </c>
      <c r="H629" s="25" t="str">
        <f aca="false">IF($A629="","",IF(D629="Monthly",MAX(0,Settings!$B$11-E629),0))</f>
        <v/>
      </c>
      <c r="I629" s="26" t="str">
        <f aca="false">IF($A629="","",N(INDEX(Workers!$L$5:$L$2004,MATCH($A629,Workers!$A$5:$A$2004,0))))</f>
        <v/>
      </c>
      <c r="J629" s="26" t="str">
        <f aca="false">IF($A629="","",N(INDEX(Workers!$M$5:$M$2004,MATCH($A629,Workers!$A$5:$A$2004,0))))</f>
        <v/>
      </c>
      <c r="K629" s="26" t="str">
        <f aca="false">IF($A629="","",IF(D629="Monthly",ROUND(MAX(0,(I629+J629)-(I629+J629)/Settings!$B$10*H629),2),0))</f>
        <v/>
      </c>
      <c r="L629" s="26" t="str">
        <f aca="false">IF($A629="","",IF(D629="Hourly",ROUND(F629*N(INDEX(Workers!$N$5:$N$2004,MATCH($A629,Workers!$A$5:$A$2004,0))),2),0))</f>
        <v/>
      </c>
      <c r="M629" s="26" t="str">
        <f aca="false">IF($A629="","",ROUND(G629*IF(D629="Hourly",N(INDEX(Workers!$N$5:$N$2004,MATCH($A629,Workers!$A$5:$A$2004,0))),I629/Settings!$B$10/Settings!$B$12)*Settings!$B$13,2))</f>
        <v/>
      </c>
      <c r="N629" s="26" t="str">
        <f aca="false">IF($A629="","",K629+L629+M629)</f>
        <v/>
      </c>
      <c r="O629" s="26" t="str">
        <f aca="false">IF($A629="","",SUMIFS(Deductions!$D$5:$D$2000,Deductions!$B$5:$B$2000,$A629,Deductions!$C$5:$C$2000,"Advance",Deductions!$E$5:$E$2000,"&gt;="&amp;Settings!$B$8,Deductions!$E$5:$E$2000,"&lt;="&amp;Settings!$B$9))</f>
        <v/>
      </c>
      <c r="P629" s="26" t="str">
        <f aca="false">IF($A629="","",SUMIFS(Deductions!$D$5:$D$2000,Deductions!$B$5:$B$2000,$A629,Deductions!$E$5:$E$2000,"&gt;="&amp;Settings!$B$8,Deductions!$E$5:$E$2000,"&lt;="&amp;Settings!$B$9)-O629)</f>
        <v/>
      </c>
      <c r="Q629" s="26" t="str">
        <f aca="false">IF($A629="","",O629+P629)</f>
        <v/>
      </c>
      <c r="R629" s="23" t="str">
        <f aca="false">IF($A629="","",N629-Q629)</f>
        <v/>
      </c>
      <c r="S629" s="24" t="str">
        <f aca="false">IF($A629="","",INDEX(Workers!$O$5:$O$2004,MATCH($A629,Workers!$A$5:$A$2004,0))&amp;"")</f>
        <v/>
      </c>
      <c r="T629" s="24" t="str">
        <f aca="false">IF($A629="","",INDEX(Workers!$P$5:$P$2004,MATCH($A629,Workers!$A$5:$A$2004,0))&amp;"")</f>
        <v/>
      </c>
      <c r="U629" s="24" t="str">
        <f aca="false">IF($A629="","",INDEX(Workers!$H$5:$H$2004,MATCH($A629,Workers!$A$5:$A$2004,0))&amp;"")</f>
        <v/>
      </c>
    </row>
    <row r="630" customFormat="false" ht="15" hidden="false" customHeight="false" outlineLevel="0" collapsed="false">
      <c r="A630" s="24" t="str">
        <f aca="false">IFERROR(INDEX(Workers!$A$5:$A$2004,MATCH(ROW()-4,Workers!$U$5:$U$2004,0)),"")</f>
        <v/>
      </c>
      <c r="B630" s="24" t="str">
        <f aca="false">IF($A630="","",INDEX(Workers!$B$5:$B$2004,MATCH($A630,Workers!$A$5:$A$2004,0)))</f>
        <v/>
      </c>
      <c r="C630" s="24" t="str">
        <f aca="false">IF($A630="","",INDEX(Workers!$E$5:$E$2004,MATCH($A630,Workers!$A$5:$A$2004,0)))</f>
        <v/>
      </c>
      <c r="D630" s="24" t="str">
        <f aca="false">IF($A630="","",INDEX(Workers!$K$5:$K$2004,MATCH($A630,Workers!$A$5:$A$2004,0)))</f>
        <v/>
      </c>
      <c r="E630" s="25" t="str">
        <f aca="false">IF($A630="","",SUMIFS(Timesheet!$E$5:$E$3004,Timesheet!$D$5:$D$3004,$A630,Timesheet!$A$5:$A$3004,"&gt;="&amp;Settings!$B$8,Timesheet!$A$5:$A$3004,"&lt;="&amp;Settings!$B$9))</f>
        <v/>
      </c>
      <c r="F630" s="25" t="str">
        <f aca="false">IF($A630="","",SUMIFS(Timesheet!$F$5:$F$3004,Timesheet!$D$5:$D$3004,$A630,Timesheet!$A$5:$A$3004,"&gt;="&amp;Settings!$B$8,Timesheet!$A$5:$A$3004,"&lt;="&amp;Settings!$B$9))</f>
        <v/>
      </c>
      <c r="G630" s="25" t="str">
        <f aca="false">IF($A630="","",SUMIFS(Timesheet!$G$5:$G$3004,Timesheet!$D$5:$D$3004,$A630,Timesheet!$A$5:$A$3004,"&gt;="&amp;Settings!$B$8,Timesheet!$A$5:$A$3004,"&lt;="&amp;Settings!$B$9))</f>
        <v/>
      </c>
      <c r="H630" s="25" t="str">
        <f aca="false">IF($A630="","",IF(D630="Monthly",MAX(0,Settings!$B$11-E630),0))</f>
        <v/>
      </c>
      <c r="I630" s="26" t="str">
        <f aca="false">IF($A630="","",N(INDEX(Workers!$L$5:$L$2004,MATCH($A630,Workers!$A$5:$A$2004,0))))</f>
        <v/>
      </c>
      <c r="J630" s="26" t="str">
        <f aca="false">IF($A630="","",N(INDEX(Workers!$M$5:$M$2004,MATCH($A630,Workers!$A$5:$A$2004,0))))</f>
        <v/>
      </c>
      <c r="K630" s="26" t="str">
        <f aca="false">IF($A630="","",IF(D630="Monthly",ROUND(MAX(0,(I630+J630)-(I630+J630)/Settings!$B$10*H630),2),0))</f>
        <v/>
      </c>
      <c r="L630" s="26" t="str">
        <f aca="false">IF($A630="","",IF(D630="Hourly",ROUND(F630*N(INDEX(Workers!$N$5:$N$2004,MATCH($A630,Workers!$A$5:$A$2004,0))),2),0))</f>
        <v/>
      </c>
      <c r="M630" s="26" t="str">
        <f aca="false">IF($A630="","",ROUND(G630*IF(D630="Hourly",N(INDEX(Workers!$N$5:$N$2004,MATCH($A630,Workers!$A$5:$A$2004,0))),I630/Settings!$B$10/Settings!$B$12)*Settings!$B$13,2))</f>
        <v/>
      </c>
      <c r="N630" s="26" t="str">
        <f aca="false">IF($A630="","",K630+L630+M630)</f>
        <v/>
      </c>
      <c r="O630" s="26" t="str">
        <f aca="false">IF($A630="","",SUMIFS(Deductions!$D$5:$D$2000,Deductions!$B$5:$B$2000,$A630,Deductions!$C$5:$C$2000,"Advance",Deductions!$E$5:$E$2000,"&gt;="&amp;Settings!$B$8,Deductions!$E$5:$E$2000,"&lt;="&amp;Settings!$B$9))</f>
        <v/>
      </c>
      <c r="P630" s="26" t="str">
        <f aca="false">IF($A630="","",SUMIFS(Deductions!$D$5:$D$2000,Deductions!$B$5:$B$2000,$A630,Deductions!$E$5:$E$2000,"&gt;="&amp;Settings!$B$8,Deductions!$E$5:$E$2000,"&lt;="&amp;Settings!$B$9)-O630)</f>
        <v/>
      </c>
      <c r="Q630" s="26" t="str">
        <f aca="false">IF($A630="","",O630+P630)</f>
        <v/>
      </c>
      <c r="R630" s="23" t="str">
        <f aca="false">IF($A630="","",N630-Q630)</f>
        <v/>
      </c>
      <c r="S630" s="24" t="str">
        <f aca="false">IF($A630="","",INDEX(Workers!$O$5:$O$2004,MATCH($A630,Workers!$A$5:$A$2004,0))&amp;"")</f>
        <v/>
      </c>
      <c r="T630" s="24" t="str">
        <f aca="false">IF($A630="","",INDEX(Workers!$P$5:$P$2004,MATCH($A630,Workers!$A$5:$A$2004,0))&amp;"")</f>
        <v/>
      </c>
      <c r="U630" s="24" t="str">
        <f aca="false">IF($A630="","",INDEX(Workers!$H$5:$H$2004,MATCH($A630,Workers!$A$5:$A$2004,0))&amp;"")</f>
        <v/>
      </c>
    </row>
    <row r="631" customFormat="false" ht="15" hidden="false" customHeight="false" outlineLevel="0" collapsed="false">
      <c r="A631" s="24" t="str">
        <f aca="false">IFERROR(INDEX(Workers!$A$5:$A$2004,MATCH(ROW()-4,Workers!$U$5:$U$2004,0)),"")</f>
        <v/>
      </c>
      <c r="B631" s="24" t="str">
        <f aca="false">IF($A631="","",INDEX(Workers!$B$5:$B$2004,MATCH($A631,Workers!$A$5:$A$2004,0)))</f>
        <v/>
      </c>
      <c r="C631" s="24" t="str">
        <f aca="false">IF($A631="","",INDEX(Workers!$E$5:$E$2004,MATCH($A631,Workers!$A$5:$A$2004,0)))</f>
        <v/>
      </c>
      <c r="D631" s="24" t="str">
        <f aca="false">IF($A631="","",INDEX(Workers!$K$5:$K$2004,MATCH($A631,Workers!$A$5:$A$2004,0)))</f>
        <v/>
      </c>
      <c r="E631" s="25" t="str">
        <f aca="false">IF($A631="","",SUMIFS(Timesheet!$E$5:$E$3004,Timesheet!$D$5:$D$3004,$A631,Timesheet!$A$5:$A$3004,"&gt;="&amp;Settings!$B$8,Timesheet!$A$5:$A$3004,"&lt;="&amp;Settings!$B$9))</f>
        <v/>
      </c>
      <c r="F631" s="25" t="str">
        <f aca="false">IF($A631="","",SUMIFS(Timesheet!$F$5:$F$3004,Timesheet!$D$5:$D$3004,$A631,Timesheet!$A$5:$A$3004,"&gt;="&amp;Settings!$B$8,Timesheet!$A$5:$A$3004,"&lt;="&amp;Settings!$B$9))</f>
        <v/>
      </c>
      <c r="G631" s="25" t="str">
        <f aca="false">IF($A631="","",SUMIFS(Timesheet!$G$5:$G$3004,Timesheet!$D$5:$D$3004,$A631,Timesheet!$A$5:$A$3004,"&gt;="&amp;Settings!$B$8,Timesheet!$A$5:$A$3004,"&lt;="&amp;Settings!$B$9))</f>
        <v/>
      </c>
      <c r="H631" s="25" t="str">
        <f aca="false">IF($A631="","",IF(D631="Monthly",MAX(0,Settings!$B$11-E631),0))</f>
        <v/>
      </c>
      <c r="I631" s="26" t="str">
        <f aca="false">IF($A631="","",N(INDEX(Workers!$L$5:$L$2004,MATCH($A631,Workers!$A$5:$A$2004,0))))</f>
        <v/>
      </c>
      <c r="J631" s="26" t="str">
        <f aca="false">IF($A631="","",N(INDEX(Workers!$M$5:$M$2004,MATCH($A631,Workers!$A$5:$A$2004,0))))</f>
        <v/>
      </c>
      <c r="K631" s="26" t="str">
        <f aca="false">IF($A631="","",IF(D631="Monthly",ROUND(MAX(0,(I631+J631)-(I631+J631)/Settings!$B$10*H631),2),0))</f>
        <v/>
      </c>
      <c r="L631" s="26" t="str">
        <f aca="false">IF($A631="","",IF(D631="Hourly",ROUND(F631*N(INDEX(Workers!$N$5:$N$2004,MATCH($A631,Workers!$A$5:$A$2004,0))),2),0))</f>
        <v/>
      </c>
      <c r="M631" s="26" t="str">
        <f aca="false">IF($A631="","",ROUND(G631*IF(D631="Hourly",N(INDEX(Workers!$N$5:$N$2004,MATCH($A631,Workers!$A$5:$A$2004,0))),I631/Settings!$B$10/Settings!$B$12)*Settings!$B$13,2))</f>
        <v/>
      </c>
      <c r="N631" s="26" t="str">
        <f aca="false">IF($A631="","",K631+L631+M631)</f>
        <v/>
      </c>
      <c r="O631" s="26" t="str">
        <f aca="false">IF($A631="","",SUMIFS(Deductions!$D$5:$D$2000,Deductions!$B$5:$B$2000,$A631,Deductions!$C$5:$C$2000,"Advance",Deductions!$E$5:$E$2000,"&gt;="&amp;Settings!$B$8,Deductions!$E$5:$E$2000,"&lt;="&amp;Settings!$B$9))</f>
        <v/>
      </c>
      <c r="P631" s="26" t="str">
        <f aca="false">IF($A631="","",SUMIFS(Deductions!$D$5:$D$2000,Deductions!$B$5:$B$2000,$A631,Deductions!$E$5:$E$2000,"&gt;="&amp;Settings!$B$8,Deductions!$E$5:$E$2000,"&lt;="&amp;Settings!$B$9)-O631)</f>
        <v/>
      </c>
      <c r="Q631" s="26" t="str">
        <f aca="false">IF($A631="","",O631+P631)</f>
        <v/>
      </c>
      <c r="R631" s="23" t="str">
        <f aca="false">IF($A631="","",N631-Q631)</f>
        <v/>
      </c>
      <c r="S631" s="24" t="str">
        <f aca="false">IF($A631="","",INDEX(Workers!$O$5:$O$2004,MATCH($A631,Workers!$A$5:$A$2004,0))&amp;"")</f>
        <v/>
      </c>
      <c r="T631" s="24" t="str">
        <f aca="false">IF($A631="","",INDEX(Workers!$P$5:$P$2004,MATCH($A631,Workers!$A$5:$A$2004,0))&amp;"")</f>
        <v/>
      </c>
      <c r="U631" s="24" t="str">
        <f aca="false">IF($A631="","",INDEX(Workers!$H$5:$H$2004,MATCH($A631,Workers!$A$5:$A$2004,0))&amp;"")</f>
        <v/>
      </c>
    </row>
    <row r="632" customFormat="false" ht="15" hidden="false" customHeight="false" outlineLevel="0" collapsed="false">
      <c r="A632" s="24" t="str">
        <f aca="false">IFERROR(INDEX(Workers!$A$5:$A$2004,MATCH(ROW()-4,Workers!$U$5:$U$2004,0)),"")</f>
        <v/>
      </c>
      <c r="B632" s="24" t="str">
        <f aca="false">IF($A632="","",INDEX(Workers!$B$5:$B$2004,MATCH($A632,Workers!$A$5:$A$2004,0)))</f>
        <v/>
      </c>
      <c r="C632" s="24" t="str">
        <f aca="false">IF($A632="","",INDEX(Workers!$E$5:$E$2004,MATCH($A632,Workers!$A$5:$A$2004,0)))</f>
        <v/>
      </c>
      <c r="D632" s="24" t="str">
        <f aca="false">IF($A632="","",INDEX(Workers!$K$5:$K$2004,MATCH($A632,Workers!$A$5:$A$2004,0)))</f>
        <v/>
      </c>
      <c r="E632" s="25" t="str">
        <f aca="false">IF($A632="","",SUMIFS(Timesheet!$E$5:$E$3004,Timesheet!$D$5:$D$3004,$A632,Timesheet!$A$5:$A$3004,"&gt;="&amp;Settings!$B$8,Timesheet!$A$5:$A$3004,"&lt;="&amp;Settings!$B$9))</f>
        <v/>
      </c>
      <c r="F632" s="25" t="str">
        <f aca="false">IF($A632="","",SUMIFS(Timesheet!$F$5:$F$3004,Timesheet!$D$5:$D$3004,$A632,Timesheet!$A$5:$A$3004,"&gt;="&amp;Settings!$B$8,Timesheet!$A$5:$A$3004,"&lt;="&amp;Settings!$B$9))</f>
        <v/>
      </c>
      <c r="G632" s="25" t="str">
        <f aca="false">IF($A632="","",SUMIFS(Timesheet!$G$5:$G$3004,Timesheet!$D$5:$D$3004,$A632,Timesheet!$A$5:$A$3004,"&gt;="&amp;Settings!$B$8,Timesheet!$A$5:$A$3004,"&lt;="&amp;Settings!$B$9))</f>
        <v/>
      </c>
      <c r="H632" s="25" t="str">
        <f aca="false">IF($A632="","",IF(D632="Monthly",MAX(0,Settings!$B$11-E632),0))</f>
        <v/>
      </c>
      <c r="I632" s="26" t="str">
        <f aca="false">IF($A632="","",N(INDEX(Workers!$L$5:$L$2004,MATCH($A632,Workers!$A$5:$A$2004,0))))</f>
        <v/>
      </c>
      <c r="J632" s="26" t="str">
        <f aca="false">IF($A632="","",N(INDEX(Workers!$M$5:$M$2004,MATCH($A632,Workers!$A$5:$A$2004,0))))</f>
        <v/>
      </c>
      <c r="K632" s="26" t="str">
        <f aca="false">IF($A632="","",IF(D632="Monthly",ROUND(MAX(0,(I632+J632)-(I632+J632)/Settings!$B$10*H632),2),0))</f>
        <v/>
      </c>
      <c r="L632" s="26" t="str">
        <f aca="false">IF($A632="","",IF(D632="Hourly",ROUND(F632*N(INDEX(Workers!$N$5:$N$2004,MATCH($A632,Workers!$A$5:$A$2004,0))),2),0))</f>
        <v/>
      </c>
      <c r="M632" s="26" t="str">
        <f aca="false">IF($A632="","",ROUND(G632*IF(D632="Hourly",N(INDEX(Workers!$N$5:$N$2004,MATCH($A632,Workers!$A$5:$A$2004,0))),I632/Settings!$B$10/Settings!$B$12)*Settings!$B$13,2))</f>
        <v/>
      </c>
      <c r="N632" s="26" t="str">
        <f aca="false">IF($A632="","",K632+L632+M632)</f>
        <v/>
      </c>
      <c r="O632" s="26" t="str">
        <f aca="false">IF($A632="","",SUMIFS(Deductions!$D$5:$D$2000,Deductions!$B$5:$B$2000,$A632,Deductions!$C$5:$C$2000,"Advance",Deductions!$E$5:$E$2000,"&gt;="&amp;Settings!$B$8,Deductions!$E$5:$E$2000,"&lt;="&amp;Settings!$B$9))</f>
        <v/>
      </c>
      <c r="P632" s="26" t="str">
        <f aca="false">IF($A632="","",SUMIFS(Deductions!$D$5:$D$2000,Deductions!$B$5:$B$2000,$A632,Deductions!$E$5:$E$2000,"&gt;="&amp;Settings!$B$8,Deductions!$E$5:$E$2000,"&lt;="&amp;Settings!$B$9)-O632)</f>
        <v/>
      </c>
      <c r="Q632" s="26" t="str">
        <f aca="false">IF($A632="","",O632+P632)</f>
        <v/>
      </c>
      <c r="R632" s="23" t="str">
        <f aca="false">IF($A632="","",N632-Q632)</f>
        <v/>
      </c>
      <c r="S632" s="24" t="str">
        <f aca="false">IF($A632="","",INDEX(Workers!$O$5:$O$2004,MATCH($A632,Workers!$A$5:$A$2004,0))&amp;"")</f>
        <v/>
      </c>
      <c r="T632" s="24" t="str">
        <f aca="false">IF($A632="","",INDEX(Workers!$P$5:$P$2004,MATCH($A632,Workers!$A$5:$A$2004,0))&amp;"")</f>
        <v/>
      </c>
      <c r="U632" s="24" t="str">
        <f aca="false">IF($A632="","",INDEX(Workers!$H$5:$H$2004,MATCH($A632,Workers!$A$5:$A$2004,0))&amp;"")</f>
        <v/>
      </c>
    </row>
    <row r="633" customFormat="false" ht="15" hidden="false" customHeight="false" outlineLevel="0" collapsed="false">
      <c r="A633" s="24" t="str">
        <f aca="false">IFERROR(INDEX(Workers!$A$5:$A$2004,MATCH(ROW()-4,Workers!$U$5:$U$2004,0)),"")</f>
        <v/>
      </c>
      <c r="B633" s="24" t="str">
        <f aca="false">IF($A633="","",INDEX(Workers!$B$5:$B$2004,MATCH($A633,Workers!$A$5:$A$2004,0)))</f>
        <v/>
      </c>
      <c r="C633" s="24" t="str">
        <f aca="false">IF($A633="","",INDEX(Workers!$E$5:$E$2004,MATCH($A633,Workers!$A$5:$A$2004,0)))</f>
        <v/>
      </c>
      <c r="D633" s="24" t="str">
        <f aca="false">IF($A633="","",INDEX(Workers!$K$5:$K$2004,MATCH($A633,Workers!$A$5:$A$2004,0)))</f>
        <v/>
      </c>
      <c r="E633" s="25" t="str">
        <f aca="false">IF($A633="","",SUMIFS(Timesheet!$E$5:$E$3004,Timesheet!$D$5:$D$3004,$A633,Timesheet!$A$5:$A$3004,"&gt;="&amp;Settings!$B$8,Timesheet!$A$5:$A$3004,"&lt;="&amp;Settings!$B$9))</f>
        <v/>
      </c>
      <c r="F633" s="25" t="str">
        <f aca="false">IF($A633="","",SUMIFS(Timesheet!$F$5:$F$3004,Timesheet!$D$5:$D$3004,$A633,Timesheet!$A$5:$A$3004,"&gt;="&amp;Settings!$B$8,Timesheet!$A$5:$A$3004,"&lt;="&amp;Settings!$B$9))</f>
        <v/>
      </c>
      <c r="G633" s="25" t="str">
        <f aca="false">IF($A633="","",SUMIFS(Timesheet!$G$5:$G$3004,Timesheet!$D$5:$D$3004,$A633,Timesheet!$A$5:$A$3004,"&gt;="&amp;Settings!$B$8,Timesheet!$A$5:$A$3004,"&lt;="&amp;Settings!$B$9))</f>
        <v/>
      </c>
      <c r="H633" s="25" t="str">
        <f aca="false">IF($A633="","",IF(D633="Monthly",MAX(0,Settings!$B$11-E633),0))</f>
        <v/>
      </c>
      <c r="I633" s="26" t="str">
        <f aca="false">IF($A633="","",N(INDEX(Workers!$L$5:$L$2004,MATCH($A633,Workers!$A$5:$A$2004,0))))</f>
        <v/>
      </c>
      <c r="J633" s="26" t="str">
        <f aca="false">IF($A633="","",N(INDEX(Workers!$M$5:$M$2004,MATCH($A633,Workers!$A$5:$A$2004,0))))</f>
        <v/>
      </c>
      <c r="K633" s="26" t="str">
        <f aca="false">IF($A633="","",IF(D633="Monthly",ROUND(MAX(0,(I633+J633)-(I633+J633)/Settings!$B$10*H633),2),0))</f>
        <v/>
      </c>
      <c r="L633" s="26" t="str">
        <f aca="false">IF($A633="","",IF(D633="Hourly",ROUND(F633*N(INDEX(Workers!$N$5:$N$2004,MATCH($A633,Workers!$A$5:$A$2004,0))),2),0))</f>
        <v/>
      </c>
      <c r="M633" s="26" t="str">
        <f aca="false">IF($A633="","",ROUND(G633*IF(D633="Hourly",N(INDEX(Workers!$N$5:$N$2004,MATCH($A633,Workers!$A$5:$A$2004,0))),I633/Settings!$B$10/Settings!$B$12)*Settings!$B$13,2))</f>
        <v/>
      </c>
      <c r="N633" s="26" t="str">
        <f aca="false">IF($A633="","",K633+L633+M633)</f>
        <v/>
      </c>
      <c r="O633" s="26" t="str">
        <f aca="false">IF($A633="","",SUMIFS(Deductions!$D$5:$D$2000,Deductions!$B$5:$B$2000,$A633,Deductions!$C$5:$C$2000,"Advance",Deductions!$E$5:$E$2000,"&gt;="&amp;Settings!$B$8,Deductions!$E$5:$E$2000,"&lt;="&amp;Settings!$B$9))</f>
        <v/>
      </c>
      <c r="P633" s="26" t="str">
        <f aca="false">IF($A633="","",SUMIFS(Deductions!$D$5:$D$2000,Deductions!$B$5:$B$2000,$A633,Deductions!$E$5:$E$2000,"&gt;="&amp;Settings!$B$8,Deductions!$E$5:$E$2000,"&lt;="&amp;Settings!$B$9)-O633)</f>
        <v/>
      </c>
      <c r="Q633" s="26" t="str">
        <f aca="false">IF($A633="","",O633+P633)</f>
        <v/>
      </c>
      <c r="R633" s="23" t="str">
        <f aca="false">IF($A633="","",N633-Q633)</f>
        <v/>
      </c>
      <c r="S633" s="24" t="str">
        <f aca="false">IF($A633="","",INDEX(Workers!$O$5:$O$2004,MATCH($A633,Workers!$A$5:$A$2004,0))&amp;"")</f>
        <v/>
      </c>
      <c r="T633" s="24" t="str">
        <f aca="false">IF($A633="","",INDEX(Workers!$P$5:$P$2004,MATCH($A633,Workers!$A$5:$A$2004,0))&amp;"")</f>
        <v/>
      </c>
      <c r="U633" s="24" t="str">
        <f aca="false">IF($A633="","",INDEX(Workers!$H$5:$H$2004,MATCH($A633,Workers!$A$5:$A$2004,0))&amp;"")</f>
        <v/>
      </c>
    </row>
    <row r="634" customFormat="false" ht="15" hidden="false" customHeight="false" outlineLevel="0" collapsed="false">
      <c r="A634" s="24" t="str">
        <f aca="false">IFERROR(INDEX(Workers!$A$5:$A$2004,MATCH(ROW()-4,Workers!$U$5:$U$2004,0)),"")</f>
        <v/>
      </c>
      <c r="B634" s="24" t="str">
        <f aca="false">IF($A634="","",INDEX(Workers!$B$5:$B$2004,MATCH($A634,Workers!$A$5:$A$2004,0)))</f>
        <v/>
      </c>
      <c r="C634" s="24" t="str">
        <f aca="false">IF($A634="","",INDEX(Workers!$E$5:$E$2004,MATCH($A634,Workers!$A$5:$A$2004,0)))</f>
        <v/>
      </c>
      <c r="D634" s="24" t="str">
        <f aca="false">IF($A634="","",INDEX(Workers!$K$5:$K$2004,MATCH($A634,Workers!$A$5:$A$2004,0)))</f>
        <v/>
      </c>
      <c r="E634" s="25" t="str">
        <f aca="false">IF($A634="","",SUMIFS(Timesheet!$E$5:$E$3004,Timesheet!$D$5:$D$3004,$A634,Timesheet!$A$5:$A$3004,"&gt;="&amp;Settings!$B$8,Timesheet!$A$5:$A$3004,"&lt;="&amp;Settings!$B$9))</f>
        <v/>
      </c>
      <c r="F634" s="25" t="str">
        <f aca="false">IF($A634="","",SUMIFS(Timesheet!$F$5:$F$3004,Timesheet!$D$5:$D$3004,$A634,Timesheet!$A$5:$A$3004,"&gt;="&amp;Settings!$B$8,Timesheet!$A$5:$A$3004,"&lt;="&amp;Settings!$B$9))</f>
        <v/>
      </c>
      <c r="G634" s="25" t="str">
        <f aca="false">IF($A634="","",SUMIFS(Timesheet!$G$5:$G$3004,Timesheet!$D$5:$D$3004,$A634,Timesheet!$A$5:$A$3004,"&gt;="&amp;Settings!$B$8,Timesheet!$A$5:$A$3004,"&lt;="&amp;Settings!$B$9))</f>
        <v/>
      </c>
      <c r="H634" s="25" t="str">
        <f aca="false">IF($A634="","",IF(D634="Monthly",MAX(0,Settings!$B$11-E634),0))</f>
        <v/>
      </c>
      <c r="I634" s="26" t="str">
        <f aca="false">IF($A634="","",N(INDEX(Workers!$L$5:$L$2004,MATCH($A634,Workers!$A$5:$A$2004,0))))</f>
        <v/>
      </c>
      <c r="J634" s="26" t="str">
        <f aca="false">IF($A634="","",N(INDEX(Workers!$M$5:$M$2004,MATCH($A634,Workers!$A$5:$A$2004,0))))</f>
        <v/>
      </c>
      <c r="K634" s="26" t="str">
        <f aca="false">IF($A634="","",IF(D634="Monthly",ROUND(MAX(0,(I634+J634)-(I634+J634)/Settings!$B$10*H634),2),0))</f>
        <v/>
      </c>
      <c r="L634" s="26" t="str">
        <f aca="false">IF($A634="","",IF(D634="Hourly",ROUND(F634*N(INDEX(Workers!$N$5:$N$2004,MATCH($A634,Workers!$A$5:$A$2004,0))),2),0))</f>
        <v/>
      </c>
      <c r="M634" s="26" t="str">
        <f aca="false">IF($A634="","",ROUND(G634*IF(D634="Hourly",N(INDEX(Workers!$N$5:$N$2004,MATCH($A634,Workers!$A$5:$A$2004,0))),I634/Settings!$B$10/Settings!$B$12)*Settings!$B$13,2))</f>
        <v/>
      </c>
      <c r="N634" s="26" t="str">
        <f aca="false">IF($A634="","",K634+L634+M634)</f>
        <v/>
      </c>
      <c r="O634" s="26" t="str">
        <f aca="false">IF($A634="","",SUMIFS(Deductions!$D$5:$D$2000,Deductions!$B$5:$B$2000,$A634,Deductions!$C$5:$C$2000,"Advance",Deductions!$E$5:$E$2000,"&gt;="&amp;Settings!$B$8,Deductions!$E$5:$E$2000,"&lt;="&amp;Settings!$B$9))</f>
        <v/>
      </c>
      <c r="P634" s="26" t="str">
        <f aca="false">IF($A634="","",SUMIFS(Deductions!$D$5:$D$2000,Deductions!$B$5:$B$2000,$A634,Deductions!$E$5:$E$2000,"&gt;="&amp;Settings!$B$8,Deductions!$E$5:$E$2000,"&lt;="&amp;Settings!$B$9)-O634)</f>
        <v/>
      </c>
      <c r="Q634" s="26" t="str">
        <f aca="false">IF($A634="","",O634+P634)</f>
        <v/>
      </c>
      <c r="R634" s="23" t="str">
        <f aca="false">IF($A634="","",N634-Q634)</f>
        <v/>
      </c>
      <c r="S634" s="24" t="str">
        <f aca="false">IF($A634="","",INDEX(Workers!$O$5:$O$2004,MATCH($A634,Workers!$A$5:$A$2004,0))&amp;"")</f>
        <v/>
      </c>
      <c r="T634" s="24" t="str">
        <f aca="false">IF($A634="","",INDEX(Workers!$P$5:$P$2004,MATCH($A634,Workers!$A$5:$A$2004,0))&amp;"")</f>
        <v/>
      </c>
      <c r="U634" s="24" t="str">
        <f aca="false">IF($A634="","",INDEX(Workers!$H$5:$H$2004,MATCH($A634,Workers!$A$5:$A$2004,0))&amp;"")</f>
        <v/>
      </c>
    </row>
    <row r="635" customFormat="false" ht="15" hidden="false" customHeight="false" outlineLevel="0" collapsed="false">
      <c r="A635" s="24" t="str">
        <f aca="false">IFERROR(INDEX(Workers!$A$5:$A$2004,MATCH(ROW()-4,Workers!$U$5:$U$2004,0)),"")</f>
        <v/>
      </c>
      <c r="B635" s="24" t="str">
        <f aca="false">IF($A635="","",INDEX(Workers!$B$5:$B$2004,MATCH($A635,Workers!$A$5:$A$2004,0)))</f>
        <v/>
      </c>
      <c r="C635" s="24" t="str">
        <f aca="false">IF($A635="","",INDEX(Workers!$E$5:$E$2004,MATCH($A635,Workers!$A$5:$A$2004,0)))</f>
        <v/>
      </c>
      <c r="D635" s="24" t="str">
        <f aca="false">IF($A635="","",INDEX(Workers!$K$5:$K$2004,MATCH($A635,Workers!$A$5:$A$2004,0)))</f>
        <v/>
      </c>
      <c r="E635" s="25" t="str">
        <f aca="false">IF($A635="","",SUMIFS(Timesheet!$E$5:$E$3004,Timesheet!$D$5:$D$3004,$A635,Timesheet!$A$5:$A$3004,"&gt;="&amp;Settings!$B$8,Timesheet!$A$5:$A$3004,"&lt;="&amp;Settings!$B$9))</f>
        <v/>
      </c>
      <c r="F635" s="25" t="str">
        <f aca="false">IF($A635="","",SUMIFS(Timesheet!$F$5:$F$3004,Timesheet!$D$5:$D$3004,$A635,Timesheet!$A$5:$A$3004,"&gt;="&amp;Settings!$B$8,Timesheet!$A$5:$A$3004,"&lt;="&amp;Settings!$B$9))</f>
        <v/>
      </c>
      <c r="G635" s="25" t="str">
        <f aca="false">IF($A635="","",SUMIFS(Timesheet!$G$5:$G$3004,Timesheet!$D$5:$D$3004,$A635,Timesheet!$A$5:$A$3004,"&gt;="&amp;Settings!$B$8,Timesheet!$A$5:$A$3004,"&lt;="&amp;Settings!$B$9))</f>
        <v/>
      </c>
      <c r="H635" s="25" t="str">
        <f aca="false">IF($A635="","",IF(D635="Monthly",MAX(0,Settings!$B$11-E635),0))</f>
        <v/>
      </c>
      <c r="I635" s="26" t="str">
        <f aca="false">IF($A635="","",N(INDEX(Workers!$L$5:$L$2004,MATCH($A635,Workers!$A$5:$A$2004,0))))</f>
        <v/>
      </c>
      <c r="J635" s="26" t="str">
        <f aca="false">IF($A635="","",N(INDEX(Workers!$M$5:$M$2004,MATCH($A635,Workers!$A$5:$A$2004,0))))</f>
        <v/>
      </c>
      <c r="K635" s="26" t="str">
        <f aca="false">IF($A635="","",IF(D635="Monthly",ROUND(MAX(0,(I635+J635)-(I635+J635)/Settings!$B$10*H635),2),0))</f>
        <v/>
      </c>
      <c r="L635" s="26" t="str">
        <f aca="false">IF($A635="","",IF(D635="Hourly",ROUND(F635*N(INDEX(Workers!$N$5:$N$2004,MATCH($A635,Workers!$A$5:$A$2004,0))),2),0))</f>
        <v/>
      </c>
      <c r="M635" s="26" t="str">
        <f aca="false">IF($A635="","",ROUND(G635*IF(D635="Hourly",N(INDEX(Workers!$N$5:$N$2004,MATCH($A635,Workers!$A$5:$A$2004,0))),I635/Settings!$B$10/Settings!$B$12)*Settings!$B$13,2))</f>
        <v/>
      </c>
      <c r="N635" s="26" t="str">
        <f aca="false">IF($A635="","",K635+L635+M635)</f>
        <v/>
      </c>
      <c r="O635" s="26" t="str">
        <f aca="false">IF($A635="","",SUMIFS(Deductions!$D$5:$D$2000,Deductions!$B$5:$B$2000,$A635,Deductions!$C$5:$C$2000,"Advance",Deductions!$E$5:$E$2000,"&gt;="&amp;Settings!$B$8,Deductions!$E$5:$E$2000,"&lt;="&amp;Settings!$B$9))</f>
        <v/>
      </c>
      <c r="P635" s="26" t="str">
        <f aca="false">IF($A635="","",SUMIFS(Deductions!$D$5:$D$2000,Deductions!$B$5:$B$2000,$A635,Deductions!$E$5:$E$2000,"&gt;="&amp;Settings!$B$8,Deductions!$E$5:$E$2000,"&lt;="&amp;Settings!$B$9)-O635)</f>
        <v/>
      </c>
      <c r="Q635" s="26" t="str">
        <f aca="false">IF($A635="","",O635+P635)</f>
        <v/>
      </c>
      <c r="R635" s="23" t="str">
        <f aca="false">IF($A635="","",N635-Q635)</f>
        <v/>
      </c>
      <c r="S635" s="24" t="str">
        <f aca="false">IF($A635="","",INDEX(Workers!$O$5:$O$2004,MATCH($A635,Workers!$A$5:$A$2004,0))&amp;"")</f>
        <v/>
      </c>
      <c r="T635" s="24" t="str">
        <f aca="false">IF($A635="","",INDEX(Workers!$P$5:$P$2004,MATCH($A635,Workers!$A$5:$A$2004,0))&amp;"")</f>
        <v/>
      </c>
      <c r="U635" s="24" t="str">
        <f aca="false">IF($A635="","",INDEX(Workers!$H$5:$H$2004,MATCH($A635,Workers!$A$5:$A$2004,0))&amp;"")</f>
        <v/>
      </c>
    </row>
    <row r="636" customFormat="false" ht="15" hidden="false" customHeight="false" outlineLevel="0" collapsed="false">
      <c r="A636" s="24" t="str">
        <f aca="false">IFERROR(INDEX(Workers!$A$5:$A$2004,MATCH(ROW()-4,Workers!$U$5:$U$2004,0)),"")</f>
        <v/>
      </c>
      <c r="B636" s="24" t="str">
        <f aca="false">IF($A636="","",INDEX(Workers!$B$5:$B$2004,MATCH($A636,Workers!$A$5:$A$2004,0)))</f>
        <v/>
      </c>
      <c r="C636" s="24" t="str">
        <f aca="false">IF($A636="","",INDEX(Workers!$E$5:$E$2004,MATCH($A636,Workers!$A$5:$A$2004,0)))</f>
        <v/>
      </c>
      <c r="D636" s="24" t="str">
        <f aca="false">IF($A636="","",INDEX(Workers!$K$5:$K$2004,MATCH($A636,Workers!$A$5:$A$2004,0)))</f>
        <v/>
      </c>
      <c r="E636" s="25" t="str">
        <f aca="false">IF($A636="","",SUMIFS(Timesheet!$E$5:$E$3004,Timesheet!$D$5:$D$3004,$A636,Timesheet!$A$5:$A$3004,"&gt;="&amp;Settings!$B$8,Timesheet!$A$5:$A$3004,"&lt;="&amp;Settings!$B$9))</f>
        <v/>
      </c>
      <c r="F636" s="25" t="str">
        <f aca="false">IF($A636="","",SUMIFS(Timesheet!$F$5:$F$3004,Timesheet!$D$5:$D$3004,$A636,Timesheet!$A$5:$A$3004,"&gt;="&amp;Settings!$B$8,Timesheet!$A$5:$A$3004,"&lt;="&amp;Settings!$B$9))</f>
        <v/>
      </c>
      <c r="G636" s="25" t="str">
        <f aca="false">IF($A636="","",SUMIFS(Timesheet!$G$5:$G$3004,Timesheet!$D$5:$D$3004,$A636,Timesheet!$A$5:$A$3004,"&gt;="&amp;Settings!$B$8,Timesheet!$A$5:$A$3004,"&lt;="&amp;Settings!$B$9))</f>
        <v/>
      </c>
      <c r="H636" s="25" t="str">
        <f aca="false">IF($A636="","",IF(D636="Monthly",MAX(0,Settings!$B$11-E636),0))</f>
        <v/>
      </c>
      <c r="I636" s="26" t="str">
        <f aca="false">IF($A636="","",N(INDEX(Workers!$L$5:$L$2004,MATCH($A636,Workers!$A$5:$A$2004,0))))</f>
        <v/>
      </c>
      <c r="J636" s="26" t="str">
        <f aca="false">IF($A636="","",N(INDEX(Workers!$M$5:$M$2004,MATCH($A636,Workers!$A$5:$A$2004,0))))</f>
        <v/>
      </c>
      <c r="K636" s="26" t="str">
        <f aca="false">IF($A636="","",IF(D636="Monthly",ROUND(MAX(0,(I636+J636)-(I636+J636)/Settings!$B$10*H636),2),0))</f>
        <v/>
      </c>
      <c r="L636" s="26" t="str">
        <f aca="false">IF($A636="","",IF(D636="Hourly",ROUND(F636*N(INDEX(Workers!$N$5:$N$2004,MATCH($A636,Workers!$A$5:$A$2004,0))),2),0))</f>
        <v/>
      </c>
      <c r="M636" s="26" t="str">
        <f aca="false">IF($A636="","",ROUND(G636*IF(D636="Hourly",N(INDEX(Workers!$N$5:$N$2004,MATCH($A636,Workers!$A$5:$A$2004,0))),I636/Settings!$B$10/Settings!$B$12)*Settings!$B$13,2))</f>
        <v/>
      </c>
      <c r="N636" s="26" t="str">
        <f aca="false">IF($A636="","",K636+L636+M636)</f>
        <v/>
      </c>
      <c r="O636" s="26" t="str">
        <f aca="false">IF($A636="","",SUMIFS(Deductions!$D$5:$D$2000,Deductions!$B$5:$B$2000,$A636,Deductions!$C$5:$C$2000,"Advance",Deductions!$E$5:$E$2000,"&gt;="&amp;Settings!$B$8,Deductions!$E$5:$E$2000,"&lt;="&amp;Settings!$B$9))</f>
        <v/>
      </c>
      <c r="P636" s="26" t="str">
        <f aca="false">IF($A636="","",SUMIFS(Deductions!$D$5:$D$2000,Deductions!$B$5:$B$2000,$A636,Deductions!$E$5:$E$2000,"&gt;="&amp;Settings!$B$8,Deductions!$E$5:$E$2000,"&lt;="&amp;Settings!$B$9)-O636)</f>
        <v/>
      </c>
      <c r="Q636" s="26" t="str">
        <f aca="false">IF($A636="","",O636+P636)</f>
        <v/>
      </c>
      <c r="R636" s="23" t="str">
        <f aca="false">IF($A636="","",N636-Q636)</f>
        <v/>
      </c>
      <c r="S636" s="24" t="str">
        <f aca="false">IF($A636="","",INDEX(Workers!$O$5:$O$2004,MATCH($A636,Workers!$A$5:$A$2004,0))&amp;"")</f>
        <v/>
      </c>
      <c r="T636" s="24" t="str">
        <f aca="false">IF($A636="","",INDEX(Workers!$P$5:$P$2004,MATCH($A636,Workers!$A$5:$A$2004,0))&amp;"")</f>
        <v/>
      </c>
      <c r="U636" s="24" t="str">
        <f aca="false">IF($A636="","",INDEX(Workers!$H$5:$H$2004,MATCH($A636,Workers!$A$5:$A$2004,0))&amp;"")</f>
        <v/>
      </c>
    </row>
    <row r="637" customFormat="false" ht="15" hidden="false" customHeight="false" outlineLevel="0" collapsed="false">
      <c r="A637" s="24" t="str">
        <f aca="false">IFERROR(INDEX(Workers!$A$5:$A$2004,MATCH(ROW()-4,Workers!$U$5:$U$2004,0)),"")</f>
        <v/>
      </c>
      <c r="B637" s="24" t="str">
        <f aca="false">IF($A637="","",INDEX(Workers!$B$5:$B$2004,MATCH($A637,Workers!$A$5:$A$2004,0)))</f>
        <v/>
      </c>
      <c r="C637" s="24" t="str">
        <f aca="false">IF($A637="","",INDEX(Workers!$E$5:$E$2004,MATCH($A637,Workers!$A$5:$A$2004,0)))</f>
        <v/>
      </c>
      <c r="D637" s="24" t="str">
        <f aca="false">IF($A637="","",INDEX(Workers!$K$5:$K$2004,MATCH($A637,Workers!$A$5:$A$2004,0)))</f>
        <v/>
      </c>
      <c r="E637" s="25" t="str">
        <f aca="false">IF($A637="","",SUMIFS(Timesheet!$E$5:$E$3004,Timesheet!$D$5:$D$3004,$A637,Timesheet!$A$5:$A$3004,"&gt;="&amp;Settings!$B$8,Timesheet!$A$5:$A$3004,"&lt;="&amp;Settings!$B$9))</f>
        <v/>
      </c>
      <c r="F637" s="25" t="str">
        <f aca="false">IF($A637="","",SUMIFS(Timesheet!$F$5:$F$3004,Timesheet!$D$5:$D$3004,$A637,Timesheet!$A$5:$A$3004,"&gt;="&amp;Settings!$B$8,Timesheet!$A$5:$A$3004,"&lt;="&amp;Settings!$B$9))</f>
        <v/>
      </c>
      <c r="G637" s="25" t="str">
        <f aca="false">IF($A637="","",SUMIFS(Timesheet!$G$5:$G$3004,Timesheet!$D$5:$D$3004,$A637,Timesheet!$A$5:$A$3004,"&gt;="&amp;Settings!$B$8,Timesheet!$A$5:$A$3004,"&lt;="&amp;Settings!$B$9))</f>
        <v/>
      </c>
      <c r="H637" s="25" t="str">
        <f aca="false">IF($A637="","",IF(D637="Monthly",MAX(0,Settings!$B$11-E637),0))</f>
        <v/>
      </c>
      <c r="I637" s="26" t="str">
        <f aca="false">IF($A637="","",N(INDEX(Workers!$L$5:$L$2004,MATCH($A637,Workers!$A$5:$A$2004,0))))</f>
        <v/>
      </c>
      <c r="J637" s="26" t="str">
        <f aca="false">IF($A637="","",N(INDEX(Workers!$M$5:$M$2004,MATCH($A637,Workers!$A$5:$A$2004,0))))</f>
        <v/>
      </c>
      <c r="K637" s="26" t="str">
        <f aca="false">IF($A637="","",IF(D637="Monthly",ROUND(MAX(0,(I637+J637)-(I637+J637)/Settings!$B$10*H637),2),0))</f>
        <v/>
      </c>
      <c r="L637" s="26" t="str">
        <f aca="false">IF($A637="","",IF(D637="Hourly",ROUND(F637*N(INDEX(Workers!$N$5:$N$2004,MATCH($A637,Workers!$A$5:$A$2004,0))),2),0))</f>
        <v/>
      </c>
      <c r="M637" s="26" t="str">
        <f aca="false">IF($A637="","",ROUND(G637*IF(D637="Hourly",N(INDEX(Workers!$N$5:$N$2004,MATCH($A637,Workers!$A$5:$A$2004,0))),I637/Settings!$B$10/Settings!$B$12)*Settings!$B$13,2))</f>
        <v/>
      </c>
      <c r="N637" s="26" t="str">
        <f aca="false">IF($A637="","",K637+L637+M637)</f>
        <v/>
      </c>
      <c r="O637" s="26" t="str">
        <f aca="false">IF($A637="","",SUMIFS(Deductions!$D$5:$D$2000,Deductions!$B$5:$B$2000,$A637,Deductions!$C$5:$C$2000,"Advance",Deductions!$E$5:$E$2000,"&gt;="&amp;Settings!$B$8,Deductions!$E$5:$E$2000,"&lt;="&amp;Settings!$B$9))</f>
        <v/>
      </c>
      <c r="P637" s="26" t="str">
        <f aca="false">IF($A637="","",SUMIFS(Deductions!$D$5:$D$2000,Deductions!$B$5:$B$2000,$A637,Deductions!$E$5:$E$2000,"&gt;="&amp;Settings!$B$8,Deductions!$E$5:$E$2000,"&lt;="&amp;Settings!$B$9)-O637)</f>
        <v/>
      </c>
      <c r="Q637" s="26" t="str">
        <f aca="false">IF($A637="","",O637+P637)</f>
        <v/>
      </c>
      <c r="R637" s="23" t="str">
        <f aca="false">IF($A637="","",N637-Q637)</f>
        <v/>
      </c>
      <c r="S637" s="24" t="str">
        <f aca="false">IF($A637="","",INDEX(Workers!$O$5:$O$2004,MATCH($A637,Workers!$A$5:$A$2004,0))&amp;"")</f>
        <v/>
      </c>
      <c r="T637" s="24" t="str">
        <f aca="false">IF($A637="","",INDEX(Workers!$P$5:$P$2004,MATCH($A637,Workers!$A$5:$A$2004,0))&amp;"")</f>
        <v/>
      </c>
      <c r="U637" s="24" t="str">
        <f aca="false">IF($A637="","",INDEX(Workers!$H$5:$H$2004,MATCH($A637,Workers!$A$5:$A$2004,0))&amp;"")</f>
        <v/>
      </c>
    </row>
    <row r="638" customFormat="false" ht="15" hidden="false" customHeight="false" outlineLevel="0" collapsed="false">
      <c r="A638" s="24" t="str">
        <f aca="false">IFERROR(INDEX(Workers!$A$5:$A$2004,MATCH(ROW()-4,Workers!$U$5:$U$2004,0)),"")</f>
        <v/>
      </c>
      <c r="B638" s="24" t="str">
        <f aca="false">IF($A638="","",INDEX(Workers!$B$5:$B$2004,MATCH($A638,Workers!$A$5:$A$2004,0)))</f>
        <v/>
      </c>
      <c r="C638" s="24" t="str">
        <f aca="false">IF($A638="","",INDEX(Workers!$E$5:$E$2004,MATCH($A638,Workers!$A$5:$A$2004,0)))</f>
        <v/>
      </c>
      <c r="D638" s="24" t="str">
        <f aca="false">IF($A638="","",INDEX(Workers!$K$5:$K$2004,MATCH($A638,Workers!$A$5:$A$2004,0)))</f>
        <v/>
      </c>
      <c r="E638" s="25" t="str">
        <f aca="false">IF($A638="","",SUMIFS(Timesheet!$E$5:$E$3004,Timesheet!$D$5:$D$3004,$A638,Timesheet!$A$5:$A$3004,"&gt;="&amp;Settings!$B$8,Timesheet!$A$5:$A$3004,"&lt;="&amp;Settings!$B$9))</f>
        <v/>
      </c>
      <c r="F638" s="25" t="str">
        <f aca="false">IF($A638="","",SUMIFS(Timesheet!$F$5:$F$3004,Timesheet!$D$5:$D$3004,$A638,Timesheet!$A$5:$A$3004,"&gt;="&amp;Settings!$B$8,Timesheet!$A$5:$A$3004,"&lt;="&amp;Settings!$B$9))</f>
        <v/>
      </c>
      <c r="G638" s="25" t="str">
        <f aca="false">IF($A638="","",SUMIFS(Timesheet!$G$5:$G$3004,Timesheet!$D$5:$D$3004,$A638,Timesheet!$A$5:$A$3004,"&gt;="&amp;Settings!$B$8,Timesheet!$A$5:$A$3004,"&lt;="&amp;Settings!$B$9))</f>
        <v/>
      </c>
      <c r="H638" s="25" t="str">
        <f aca="false">IF($A638="","",IF(D638="Monthly",MAX(0,Settings!$B$11-E638),0))</f>
        <v/>
      </c>
      <c r="I638" s="26" t="str">
        <f aca="false">IF($A638="","",N(INDEX(Workers!$L$5:$L$2004,MATCH($A638,Workers!$A$5:$A$2004,0))))</f>
        <v/>
      </c>
      <c r="J638" s="26" t="str">
        <f aca="false">IF($A638="","",N(INDEX(Workers!$M$5:$M$2004,MATCH($A638,Workers!$A$5:$A$2004,0))))</f>
        <v/>
      </c>
      <c r="K638" s="26" t="str">
        <f aca="false">IF($A638="","",IF(D638="Monthly",ROUND(MAX(0,(I638+J638)-(I638+J638)/Settings!$B$10*H638),2),0))</f>
        <v/>
      </c>
      <c r="L638" s="26" t="str">
        <f aca="false">IF($A638="","",IF(D638="Hourly",ROUND(F638*N(INDEX(Workers!$N$5:$N$2004,MATCH($A638,Workers!$A$5:$A$2004,0))),2),0))</f>
        <v/>
      </c>
      <c r="M638" s="26" t="str">
        <f aca="false">IF($A638="","",ROUND(G638*IF(D638="Hourly",N(INDEX(Workers!$N$5:$N$2004,MATCH($A638,Workers!$A$5:$A$2004,0))),I638/Settings!$B$10/Settings!$B$12)*Settings!$B$13,2))</f>
        <v/>
      </c>
      <c r="N638" s="26" t="str">
        <f aca="false">IF($A638="","",K638+L638+M638)</f>
        <v/>
      </c>
      <c r="O638" s="26" t="str">
        <f aca="false">IF($A638="","",SUMIFS(Deductions!$D$5:$D$2000,Deductions!$B$5:$B$2000,$A638,Deductions!$C$5:$C$2000,"Advance",Deductions!$E$5:$E$2000,"&gt;="&amp;Settings!$B$8,Deductions!$E$5:$E$2000,"&lt;="&amp;Settings!$B$9))</f>
        <v/>
      </c>
      <c r="P638" s="26" t="str">
        <f aca="false">IF($A638="","",SUMIFS(Deductions!$D$5:$D$2000,Deductions!$B$5:$B$2000,$A638,Deductions!$E$5:$E$2000,"&gt;="&amp;Settings!$B$8,Deductions!$E$5:$E$2000,"&lt;="&amp;Settings!$B$9)-O638)</f>
        <v/>
      </c>
      <c r="Q638" s="26" t="str">
        <f aca="false">IF($A638="","",O638+P638)</f>
        <v/>
      </c>
      <c r="R638" s="23" t="str">
        <f aca="false">IF($A638="","",N638-Q638)</f>
        <v/>
      </c>
      <c r="S638" s="24" t="str">
        <f aca="false">IF($A638="","",INDEX(Workers!$O$5:$O$2004,MATCH($A638,Workers!$A$5:$A$2004,0))&amp;"")</f>
        <v/>
      </c>
      <c r="T638" s="24" t="str">
        <f aca="false">IF($A638="","",INDEX(Workers!$P$5:$P$2004,MATCH($A638,Workers!$A$5:$A$2004,0))&amp;"")</f>
        <v/>
      </c>
      <c r="U638" s="24" t="str">
        <f aca="false">IF($A638="","",INDEX(Workers!$H$5:$H$2004,MATCH($A638,Workers!$A$5:$A$2004,0))&amp;"")</f>
        <v/>
      </c>
    </row>
    <row r="639" customFormat="false" ht="15" hidden="false" customHeight="false" outlineLevel="0" collapsed="false">
      <c r="A639" s="24" t="str">
        <f aca="false">IFERROR(INDEX(Workers!$A$5:$A$2004,MATCH(ROW()-4,Workers!$U$5:$U$2004,0)),"")</f>
        <v/>
      </c>
      <c r="B639" s="24" t="str">
        <f aca="false">IF($A639="","",INDEX(Workers!$B$5:$B$2004,MATCH($A639,Workers!$A$5:$A$2004,0)))</f>
        <v/>
      </c>
      <c r="C639" s="24" t="str">
        <f aca="false">IF($A639="","",INDEX(Workers!$E$5:$E$2004,MATCH($A639,Workers!$A$5:$A$2004,0)))</f>
        <v/>
      </c>
      <c r="D639" s="24" t="str">
        <f aca="false">IF($A639="","",INDEX(Workers!$K$5:$K$2004,MATCH($A639,Workers!$A$5:$A$2004,0)))</f>
        <v/>
      </c>
      <c r="E639" s="25" t="str">
        <f aca="false">IF($A639="","",SUMIFS(Timesheet!$E$5:$E$3004,Timesheet!$D$5:$D$3004,$A639,Timesheet!$A$5:$A$3004,"&gt;="&amp;Settings!$B$8,Timesheet!$A$5:$A$3004,"&lt;="&amp;Settings!$B$9))</f>
        <v/>
      </c>
      <c r="F639" s="25" t="str">
        <f aca="false">IF($A639="","",SUMIFS(Timesheet!$F$5:$F$3004,Timesheet!$D$5:$D$3004,$A639,Timesheet!$A$5:$A$3004,"&gt;="&amp;Settings!$B$8,Timesheet!$A$5:$A$3004,"&lt;="&amp;Settings!$B$9))</f>
        <v/>
      </c>
      <c r="G639" s="25" t="str">
        <f aca="false">IF($A639="","",SUMIFS(Timesheet!$G$5:$G$3004,Timesheet!$D$5:$D$3004,$A639,Timesheet!$A$5:$A$3004,"&gt;="&amp;Settings!$B$8,Timesheet!$A$5:$A$3004,"&lt;="&amp;Settings!$B$9))</f>
        <v/>
      </c>
      <c r="H639" s="25" t="str">
        <f aca="false">IF($A639="","",IF(D639="Monthly",MAX(0,Settings!$B$11-E639),0))</f>
        <v/>
      </c>
      <c r="I639" s="26" t="str">
        <f aca="false">IF($A639="","",N(INDEX(Workers!$L$5:$L$2004,MATCH($A639,Workers!$A$5:$A$2004,0))))</f>
        <v/>
      </c>
      <c r="J639" s="26" t="str">
        <f aca="false">IF($A639="","",N(INDEX(Workers!$M$5:$M$2004,MATCH($A639,Workers!$A$5:$A$2004,0))))</f>
        <v/>
      </c>
      <c r="K639" s="26" t="str">
        <f aca="false">IF($A639="","",IF(D639="Monthly",ROUND(MAX(0,(I639+J639)-(I639+J639)/Settings!$B$10*H639),2),0))</f>
        <v/>
      </c>
      <c r="L639" s="26" t="str">
        <f aca="false">IF($A639="","",IF(D639="Hourly",ROUND(F639*N(INDEX(Workers!$N$5:$N$2004,MATCH($A639,Workers!$A$5:$A$2004,0))),2),0))</f>
        <v/>
      </c>
      <c r="M639" s="26" t="str">
        <f aca="false">IF($A639="","",ROUND(G639*IF(D639="Hourly",N(INDEX(Workers!$N$5:$N$2004,MATCH($A639,Workers!$A$5:$A$2004,0))),I639/Settings!$B$10/Settings!$B$12)*Settings!$B$13,2))</f>
        <v/>
      </c>
      <c r="N639" s="26" t="str">
        <f aca="false">IF($A639="","",K639+L639+M639)</f>
        <v/>
      </c>
      <c r="O639" s="26" t="str">
        <f aca="false">IF($A639="","",SUMIFS(Deductions!$D$5:$D$2000,Deductions!$B$5:$B$2000,$A639,Deductions!$C$5:$C$2000,"Advance",Deductions!$E$5:$E$2000,"&gt;="&amp;Settings!$B$8,Deductions!$E$5:$E$2000,"&lt;="&amp;Settings!$B$9))</f>
        <v/>
      </c>
      <c r="P639" s="26" t="str">
        <f aca="false">IF($A639="","",SUMIFS(Deductions!$D$5:$D$2000,Deductions!$B$5:$B$2000,$A639,Deductions!$E$5:$E$2000,"&gt;="&amp;Settings!$B$8,Deductions!$E$5:$E$2000,"&lt;="&amp;Settings!$B$9)-O639)</f>
        <v/>
      </c>
      <c r="Q639" s="26" t="str">
        <f aca="false">IF($A639="","",O639+P639)</f>
        <v/>
      </c>
      <c r="R639" s="23" t="str">
        <f aca="false">IF($A639="","",N639-Q639)</f>
        <v/>
      </c>
      <c r="S639" s="24" t="str">
        <f aca="false">IF($A639="","",INDEX(Workers!$O$5:$O$2004,MATCH($A639,Workers!$A$5:$A$2004,0))&amp;"")</f>
        <v/>
      </c>
      <c r="T639" s="24" t="str">
        <f aca="false">IF($A639="","",INDEX(Workers!$P$5:$P$2004,MATCH($A639,Workers!$A$5:$A$2004,0))&amp;"")</f>
        <v/>
      </c>
      <c r="U639" s="24" t="str">
        <f aca="false">IF($A639="","",INDEX(Workers!$H$5:$H$2004,MATCH($A639,Workers!$A$5:$A$2004,0))&amp;"")</f>
        <v/>
      </c>
    </row>
    <row r="640" customFormat="false" ht="15" hidden="false" customHeight="false" outlineLevel="0" collapsed="false">
      <c r="A640" s="24" t="str">
        <f aca="false">IFERROR(INDEX(Workers!$A$5:$A$2004,MATCH(ROW()-4,Workers!$U$5:$U$2004,0)),"")</f>
        <v/>
      </c>
      <c r="B640" s="24" t="str">
        <f aca="false">IF($A640="","",INDEX(Workers!$B$5:$B$2004,MATCH($A640,Workers!$A$5:$A$2004,0)))</f>
        <v/>
      </c>
      <c r="C640" s="24" t="str">
        <f aca="false">IF($A640="","",INDEX(Workers!$E$5:$E$2004,MATCH($A640,Workers!$A$5:$A$2004,0)))</f>
        <v/>
      </c>
      <c r="D640" s="24" t="str">
        <f aca="false">IF($A640="","",INDEX(Workers!$K$5:$K$2004,MATCH($A640,Workers!$A$5:$A$2004,0)))</f>
        <v/>
      </c>
      <c r="E640" s="25" t="str">
        <f aca="false">IF($A640="","",SUMIFS(Timesheet!$E$5:$E$3004,Timesheet!$D$5:$D$3004,$A640,Timesheet!$A$5:$A$3004,"&gt;="&amp;Settings!$B$8,Timesheet!$A$5:$A$3004,"&lt;="&amp;Settings!$B$9))</f>
        <v/>
      </c>
      <c r="F640" s="25" t="str">
        <f aca="false">IF($A640="","",SUMIFS(Timesheet!$F$5:$F$3004,Timesheet!$D$5:$D$3004,$A640,Timesheet!$A$5:$A$3004,"&gt;="&amp;Settings!$B$8,Timesheet!$A$5:$A$3004,"&lt;="&amp;Settings!$B$9))</f>
        <v/>
      </c>
      <c r="G640" s="25" t="str">
        <f aca="false">IF($A640="","",SUMIFS(Timesheet!$G$5:$G$3004,Timesheet!$D$5:$D$3004,$A640,Timesheet!$A$5:$A$3004,"&gt;="&amp;Settings!$B$8,Timesheet!$A$5:$A$3004,"&lt;="&amp;Settings!$B$9))</f>
        <v/>
      </c>
      <c r="H640" s="25" t="str">
        <f aca="false">IF($A640="","",IF(D640="Monthly",MAX(0,Settings!$B$11-E640),0))</f>
        <v/>
      </c>
      <c r="I640" s="26" t="str">
        <f aca="false">IF($A640="","",N(INDEX(Workers!$L$5:$L$2004,MATCH($A640,Workers!$A$5:$A$2004,0))))</f>
        <v/>
      </c>
      <c r="J640" s="26" t="str">
        <f aca="false">IF($A640="","",N(INDEX(Workers!$M$5:$M$2004,MATCH($A640,Workers!$A$5:$A$2004,0))))</f>
        <v/>
      </c>
      <c r="K640" s="26" t="str">
        <f aca="false">IF($A640="","",IF(D640="Monthly",ROUND(MAX(0,(I640+J640)-(I640+J640)/Settings!$B$10*H640),2),0))</f>
        <v/>
      </c>
      <c r="L640" s="26" t="str">
        <f aca="false">IF($A640="","",IF(D640="Hourly",ROUND(F640*N(INDEX(Workers!$N$5:$N$2004,MATCH($A640,Workers!$A$5:$A$2004,0))),2),0))</f>
        <v/>
      </c>
      <c r="M640" s="26" t="str">
        <f aca="false">IF($A640="","",ROUND(G640*IF(D640="Hourly",N(INDEX(Workers!$N$5:$N$2004,MATCH($A640,Workers!$A$5:$A$2004,0))),I640/Settings!$B$10/Settings!$B$12)*Settings!$B$13,2))</f>
        <v/>
      </c>
      <c r="N640" s="26" t="str">
        <f aca="false">IF($A640="","",K640+L640+M640)</f>
        <v/>
      </c>
      <c r="O640" s="26" t="str">
        <f aca="false">IF($A640="","",SUMIFS(Deductions!$D$5:$D$2000,Deductions!$B$5:$B$2000,$A640,Deductions!$C$5:$C$2000,"Advance",Deductions!$E$5:$E$2000,"&gt;="&amp;Settings!$B$8,Deductions!$E$5:$E$2000,"&lt;="&amp;Settings!$B$9))</f>
        <v/>
      </c>
      <c r="P640" s="26" t="str">
        <f aca="false">IF($A640="","",SUMIFS(Deductions!$D$5:$D$2000,Deductions!$B$5:$B$2000,$A640,Deductions!$E$5:$E$2000,"&gt;="&amp;Settings!$B$8,Deductions!$E$5:$E$2000,"&lt;="&amp;Settings!$B$9)-O640)</f>
        <v/>
      </c>
      <c r="Q640" s="26" t="str">
        <f aca="false">IF($A640="","",O640+P640)</f>
        <v/>
      </c>
      <c r="R640" s="23" t="str">
        <f aca="false">IF($A640="","",N640-Q640)</f>
        <v/>
      </c>
      <c r="S640" s="24" t="str">
        <f aca="false">IF($A640="","",INDEX(Workers!$O$5:$O$2004,MATCH($A640,Workers!$A$5:$A$2004,0))&amp;"")</f>
        <v/>
      </c>
      <c r="T640" s="24" t="str">
        <f aca="false">IF($A640="","",INDEX(Workers!$P$5:$P$2004,MATCH($A640,Workers!$A$5:$A$2004,0))&amp;"")</f>
        <v/>
      </c>
      <c r="U640" s="24" t="str">
        <f aca="false">IF($A640="","",INDEX(Workers!$H$5:$H$2004,MATCH($A640,Workers!$A$5:$A$2004,0))&amp;"")</f>
        <v/>
      </c>
    </row>
    <row r="641" customFormat="false" ht="15" hidden="false" customHeight="false" outlineLevel="0" collapsed="false">
      <c r="A641" s="24" t="str">
        <f aca="false">IFERROR(INDEX(Workers!$A$5:$A$2004,MATCH(ROW()-4,Workers!$U$5:$U$2004,0)),"")</f>
        <v/>
      </c>
      <c r="B641" s="24" t="str">
        <f aca="false">IF($A641="","",INDEX(Workers!$B$5:$B$2004,MATCH($A641,Workers!$A$5:$A$2004,0)))</f>
        <v/>
      </c>
      <c r="C641" s="24" t="str">
        <f aca="false">IF($A641="","",INDEX(Workers!$E$5:$E$2004,MATCH($A641,Workers!$A$5:$A$2004,0)))</f>
        <v/>
      </c>
      <c r="D641" s="24" t="str">
        <f aca="false">IF($A641="","",INDEX(Workers!$K$5:$K$2004,MATCH($A641,Workers!$A$5:$A$2004,0)))</f>
        <v/>
      </c>
      <c r="E641" s="25" t="str">
        <f aca="false">IF($A641="","",SUMIFS(Timesheet!$E$5:$E$3004,Timesheet!$D$5:$D$3004,$A641,Timesheet!$A$5:$A$3004,"&gt;="&amp;Settings!$B$8,Timesheet!$A$5:$A$3004,"&lt;="&amp;Settings!$B$9))</f>
        <v/>
      </c>
      <c r="F641" s="25" t="str">
        <f aca="false">IF($A641="","",SUMIFS(Timesheet!$F$5:$F$3004,Timesheet!$D$5:$D$3004,$A641,Timesheet!$A$5:$A$3004,"&gt;="&amp;Settings!$B$8,Timesheet!$A$5:$A$3004,"&lt;="&amp;Settings!$B$9))</f>
        <v/>
      </c>
      <c r="G641" s="25" t="str">
        <f aca="false">IF($A641="","",SUMIFS(Timesheet!$G$5:$G$3004,Timesheet!$D$5:$D$3004,$A641,Timesheet!$A$5:$A$3004,"&gt;="&amp;Settings!$B$8,Timesheet!$A$5:$A$3004,"&lt;="&amp;Settings!$B$9))</f>
        <v/>
      </c>
      <c r="H641" s="25" t="str">
        <f aca="false">IF($A641="","",IF(D641="Monthly",MAX(0,Settings!$B$11-E641),0))</f>
        <v/>
      </c>
      <c r="I641" s="26" t="str">
        <f aca="false">IF($A641="","",N(INDEX(Workers!$L$5:$L$2004,MATCH($A641,Workers!$A$5:$A$2004,0))))</f>
        <v/>
      </c>
      <c r="J641" s="26" t="str">
        <f aca="false">IF($A641="","",N(INDEX(Workers!$M$5:$M$2004,MATCH($A641,Workers!$A$5:$A$2004,0))))</f>
        <v/>
      </c>
      <c r="K641" s="26" t="str">
        <f aca="false">IF($A641="","",IF(D641="Monthly",ROUND(MAX(0,(I641+J641)-(I641+J641)/Settings!$B$10*H641),2),0))</f>
        <v/>
      </c>
      <c r="L641" s="26" t="str">
        <f aca="false">IF($A641="","",IF(D641="Hourly",ROUND(F641*N(INDEX(Workers!$N$5:$N$2004,MATCH($A641,Workers!$A$5:$A$2004,0))),2),0))</f>
        <v/>
      </c>
      <c r="M641" s="26" t="str">
        <f aca="false">IF($A641="","",ROUND(G641*IF(D641="Hourly",N(INDEX(Workers!$N$5:$N$2004,MATCH($A641,Workers!$A$5:$A$2004,0))),I641/Settings!$B$10/Settings!$B$12)*Settings!$B$13,2))</f>
        <v/>
      </c>
      <c r="N641" s="26" t="str">
        <f aca="false">IF($A641="","",K641+L641+M641)</f>
        <v/>
      </c>
      <c r="O641" s="26" t="str">
        <f aca="false">IF($A641="","",SUMIFS(Deductions!$D$5:$D$2000,Deductions!$B$5:$B$2000,$A641,Deductions!$C$5:$C$2000,"Advance",Deductions!$E$5:$E$2000,"&gt;="&amp;Settings!$B$8,Deductions!$E$5:$E$2000,"&lt;="&amp;Settings!$B$9))</f>
        <v/>
      </c>
      <c r="P641" s="26" t="str">
        <f aca="false">IF($A641="","",SUMIFS(Deductions!$D$5:$D$2000,Deductions!$B$5:$B$2000,$A641,Deductions!$E$5:$E$2000,"&gt;="&amp;Settings!$B$8,Deductions!$E$5:$E$2000,"&lt;="&amp;Settings!$B$9)-O641)</f>
        <v/>
      </c>
      <c r="Q641" s="26" t="str">
        <f aca="false">IF($A641="","",O641+P641)</f>
        <v/>
      </c>
      <c r="R641" s="23" t="str">
        <f aca="false">IF($A641="","",N641-Q641)</f>
        <v/>
      </c>
      <c r="S641" s="24" t="str">
        <f aca="false">IF($A641="","",INDEX(Workers!$O$5:$O$2004,MATCH($A641,Workers!$A$5:$A$2004,0))&amp;"")</f>
        <v/>
      </c>
      <c r="T641" s="24" t="str">
        <f aca="false">IF($A641="","",INDEX(Workers!$P$5:$P$2004,MATCH($A641,Workers!$A$5:$A$2004,0))&amp;"")</f>
        <v/>
      </c>
      <c r="U641" s="24" t="str">
        <f aca="false">IF($A641="","",INDEX(Workers!$H$5:$H$2004,MATCH($A641,Workers!$A$5:$A$2004,0))&amp;"")</f>
        <v/>
      </c>
    </row>
    <row r="642" customFormat="false" ht="15" hidden="false" customHeight="false" outlineLevel="0" collapsed="false">
      <c r="A642" s="24" t="str">
        <f aca="false">IFERROR(INDEX(Workers!$A$5:$A$2004,MATCH(ROW()-4,Workers!$U$5:$U$2004,0)),"")</f>
        <v/>
      </c>
      <c r="B642" s="24" t="str">
        <f aca="false">IF($A642="","",INDEX(Workers!$B$5:$B$2004,MATCH($A642,Workers!$A$5:$A$2004,0)))</f>
        <v/>
      </c>
      <c r="C642" s="24" t="str">
        <f aca="false">IF($A642="","",INDEX(Workers!$E$5:$E$2004,MATCH($A642,Workers!$A$5:$A$2004,0)))</f>
        <v/>
      </c>
      <c r="D642" s="24" t="str">
        <f aca="false">IF($A642="","",INDEX(Workers!$K$5:$K$2004,MATCH($A642,Workers!$A$5:$A$2004,0)))</f>
        <v/>
      </c>
      <c r="E642" s="25" t="str">
        <f aca="false">IF($A642="","",SUMIFS(Timesheet!$E$5:$E$3004,Timesheet!$D$5:$D$3004,$A642,Timesheet!$A$5:$A$3004,"&gt;="&amp;Settings!$B$8,Timesheet!$A$5:$A$3004,"&lt;="&amp;Settings!$B$9))</f>
        <v/>
      </c>
      <c r="F642" s="25" t="str">
        <f aca="false">IF($A642="","",SUMIFS(Timesheet!$F$5:$F$3004,Timesheet!$D$5:$D$3004,$A642,Timesheet!$A$5:$A$3004,"&gt;="&amp;Settings!$B$8,Timesheet!$A$5:$A$3004,"&lt;="&amp;Settings!$B$9))</f>
        <v/>
      </c>
      <c r="G642" s="25" t="str">
        <f aca="false">IF($A642="","",SUMIFS(Timesheet!$G$5:$G$3004,Timesheet!$D$5:$D$3004,$A642,Timesheet!$A$5:$A$3004,"&gt;="&amp;Settings!$B$8,Timesheet!$A$5:$A$3004,"&lt;="&amp;Settings!$B$9))</f>
        <v/>
      </c>
      <c r="H642" s="25" t="str">
        <f aca="false">IF($A642="","",IF(D642="Monthly",MAX(0,Settings!$B$11-E642),0))</f>
        <v/>
      </c>
      <c r="I642" s="26" t="str">
        <f aca="false">IF($A642="","",N(INDEX(Workers!$L$5:$L$2004,MATCH($A642,Workers!$A$5:$A$2004,0))))</f>
        <v/>
      </c>
      <c r="J642" s="26" t="str">
        <f aca="false">IF($A642="","",N(INDEX(Workers!$M$5:$M$2004,MATCH($A642,Workers!$A$5:$A$2004,0))))</f>
        <v/>
      </c>
      <c r="K642" s="26" t="str">
        <f aca="false">IF($A642="","",IF(D642="Monthly",ROUND(MAX(0,(I642+J642)-(I642+J642)/Settings!$B$10*H642),2),0))</f>
        <v/>
      </c>
      <c r="L642" s="26" t="str">
        <f aca="false">IF($A642="","",IF(D642="Hourly",ROUND(F642*N(INDEX(Workers!$N$5:$N$2004,MATCH($A642,Workers!$A$5:$A$2004,0))),2),0))</f>
        <v/>
      </c>
      <c r="M642" s="26" t="str">
        <f aca="false">IF($A642="","",ROUND(G642*IF(D642="Hourly",N(INDEX(Workers!$N$5:$N$2004,MATCH($A642,Workers!$A$5:$A$2004,0))),I642/Settings!$B$10/Settings!$B$12)*Settings!$B$13,2))</f>
        <v/>
      </c>
      <c r="N642" s="26" t="str">
        <f aca="false">IF($A642="","",K642+L642+M642)</f>
        <v/>
      </c>
      <c r="O642" s="26" t="str">
        <f aca="false">IF($A642="","",SUMIFS(Deductions!$D$5:$D$2000,Deductions!$B$5:$B$2000,$A642,Deductions!$C$5:$C$2000,"Advance",Deductions!$E$5:$E$2000,"&gt;="&amp;Settings!$B$8,Deductions!$E$5:$E$2000,"&lt;="&amp;Settings!$B$9))</f>
        <v/>
      </c>
      <c r="P642" s="26" t="str">
        <f aca="false">IF($A642="","",SUMIFS(Deductions!$D$5:$D$2000,Deductions!$B$5:$B$2000,$A642,Deductions!$E$5:$E$2000,"&gt;="&amp;Settings!$B$8,Deductions!$E$5:$E$2000,"&lt;="&amp;Settings!$B$9)-O642)</f>
        <v/>
      </c>
      <c r="Q642" s="26" t="str">
        <f aca="false">IF($A642="","",O642+P642)</f>
        <v/>
      </c>
      <c r="R642" s="23" t="str">
        <f aca="false">IF($A642="","",N642-Q642)</f>
        <v/>
      </c>
      <c r="S642" s="24" t="str">
        <f aca="false">IF($A642="","",INDEX(Workers!$O$5:$O$2004,MATCH($A642,Workers!$A$5:$A$2004,0))&amp;"")</f>
        <v/>
      </c>
      <c r="T642" s="24" t="str">
        <f aca="false">IF($A642="","",INDEX(Workers!$P$5:$P$2004,MATCH($A642,Workers!$A$5:$A$2004,0))&amp;"")</f>
        <v/>
      </c>
      <c r="U642" s="24" t="str">
        <f aca="false">IF($A642="","",INDEX(Workers!$H$5:$H$2004,MATCH($A642,Workers!$A$5:$A$2004,0))&amp;"")</f>
        <v/>
      </c>
    </row>
    <row r="643" customFormat="false" ht="15" hidden="false" customHeight="false" outlineLevel="0" collapsed="false">
      <c r="A643" s="24" t="str">
        <f aca="false">IFERROR(INDEX(Workers!$A$5:$A$2004,MATCH(ROW()-4,Workers!$U$5:$U$2004,0)),"")</f>
        <v/>
      </c>
      <c r="B643" s="24" t="str">
        <f aca="false">IF($A643="","",INDEX(Workers!$B$5:$B$2004,MATCH($A643,Workers!$A$5:$A$2004,0)))</f>
        <v/>
      </c>
      <c r="C643" s="24" t="str">
        <f aca="false">IF($A643="","",INDEX(Workers!$E$5:$E$2004,MATCH($A643,Workers!$A$5:$A$2004,0)))</f>
        <v/>
      </c>
      <c r="D643" s="24" t="str">
        <f aca="false">IF($A643="","",INDEX(Workers!$K$5:$K$2004,MATCH($A643,Workers!$A$5:$A$2004,0)))</f>
        <v/>
      </c>
      <c r="E643" s="25" t="str">
        <f aca="false">IF($A643="","",SUMIFS(Timesheet!$E$5:$E$3004,Timesheet!$D$5:$D$3004,$A643,Timesheet!$A$5:$A$3004,"&gt;="&amp;Settings!$B$8,Timesheet!$A$5:$A$3004,"&lt;="&amp;Settings!$B$9))</f>
        <v/>
      </c>
      <c r="F643" s="25" t="str">
        <f aca="false">IF($A643="","",SUMIFS(Timesheet!$F$5:$F$3004,Timesheet!$D$5:$D$3004,$A643,Timesheet!$A$5:$A$3004,"&gt;="&amp;Settings!$B$8,Timesheet!$A$5:$A$3004,"&lt;="&amp;Settings!$B$9))</f>
        <v/>
      </c>
      <c r="G643" s="25" t="str">
        <f aca="false">IF($A643="","",SUMIFS(Timesheet!$G$5:$G$3004,Timesheet!$D$5:$D$3004,$A643,Timesheet!$A$5:$A$3004,"&gt;="&amp;Settings!$B$8,Timesheet!$A$5:$A$3004,"&lt;="&amp;Settings!$B$9))</f>
        <v/>
      </c>
      <c r="H643" s="25" t="str">
        <f aca="false">IF($A643="","",IF(D643="Monthly",MAX(0,Settings!$B$11-E643),0))</f>
        <v/>
      </c>
      <c r="I643" s="26" t="str">
        <f aca="false">IF($A643="","",N(INDEX(Workers!$L$5:$L$2004,MATCH($A643,Workers!$A$5:$A$2004,0))))</f>
        <v/>
      </c>
      <c r="J643" s="26" t="str">
        <f aca="false">IF($A643="","",N(INDEX(Workers!$M$5:$M$2004,MATCH($A643,Workers!$A$5:$A$2004,0))))</f>
        <v/>
      </c>
      <c r="K643" s="26" t="str">
        <f aca="false">IF($A643="","",IF(D643="Monthly",ROUND(MAX(0,(I643+J643)-(I643+J643)/Settings!$B$10*H643),2),0))</f>
        <v/>
      </c>
      <c r="L643" s="26" t="str">
        <f aca="false">IF($A643="","",IF(D643="Hourly",ROUND(F643*N(INDEX(Workers!$N$5:$N$2004,MATCH($A643,Workers!$A$5:$A$2004,0))),2),0))</f>
        <v/>
      </c>
      <c r="M643" s="26" t="str">
        <f aca="false">IF($A643="","",ROUND(G643*IF(D643="Hourly",N(INDEX(Workers!$N$5:$N$2004,MATCH($A643,Workers!$A$5:$A$2004,0))),I643/Settings!$B$10/Settings!$B$12)*Settings!$B$13,2))</f>
        <v/>
      </c>
      <c r="N643" s="26" t="str">
        <f aca="false">IF($A643="","",K643+L643+M643)</f>
        <v/>
      </c>
      <c r="O643" s="26" t="str">
        <f aca="false">IF($A643="","",SUMIFS(Deductions!$D$5:$D$2000,Deductions!$B$5:$B$2000,$A643,Deductions!$C$5:$C$2000,"Advance",Deductions!$E$5:$E$2000,"&gt;="&amp;Settings!$B$8,Deductions!$E$5:$E$2000,"&lt;="&amp;Settings!$B$9))</f>
        <v/>
      </c>
      <c r="P643" s="26" t="str">
        <f aca="false">IF($A643="","",SUMIFS(Deductions!$D$5:$D$2000,Deductions!$B$5:$B$2000,$A643,Deductions!$E$5:$E$2000,"&gt;="&amp;Settings!$B$8,Deductions!$E$5:$E$2000,"&lt;="&amp;Settings!$B$9)-O643)</f>
        <v/>
      </c>
      <c r="Q643" s="26" t="str">
        <f aca="false">IF($A643="","",O643+P643)</f>
        <v/>
      </c>
      <c r="R643" s="23" t="str">
        <f aca="false">IF($A643="","",N643-Q643)</f>
        <v/>
      </c>
      <c r="S643" s="24" t="str">
        <f aca="false">IF($A643="","",INDEX(Workers!$O$5:$O$2004,MATCH($A643,Workers!$A$5:$A$2004,0))&amp;"")</f>
        <v/>
      </c>
      <c r="T643" s="24" t="str">
        <f aca="false">IF($A643="","",INDEX(Workers!$P$5:$P$2004,MATCH($A643,Workers!$A$5:$A$2004,0))&amp;"")</f>
        <v/>
      </c>
      <c r="U643" s="24" t="str">
        <f aca="false">IF($A643="","",INDEX(Workers!$H$5:$H$2004,MATCH($A643,Workers!$A$5:$A$2004,0))&amp;"")</f>
        <v/>
      </c>
    </row>
    <row r="644" customFormat="false" ht="15" hidden="false" customHeight="false" outlineLevel="0" collapsed="false">
      <c r="A644" s="24" t="str">
        <f aca="false">IFERROR(INDEX(Workers!$A$5:$A$2004,MATCH(ROW()-4,Workers!$U$5:$U$2004,0)),"")</f>
        <v/>
      </c>
      <c r="B644" s="24" t="str">
        <f aca="false">IF($A644="","",INDEX(Workers!$B$5:$B$2004,MATCH($A644,Workers!$A$5:$A$2004,0)))</f>
        <v/>
      </c>
      <c r="C644" s="24" t="str">
        <f aca="false">IF($A644="","",INDEX(Workers!$E$5:$E$2004,MATCH($A644,Workers!$A$5:$A$2004,0)))</f>
        <v/>
      </c>
      <c r="D644" s="24" t="str">
        <f aca="false">IF($A644="","",INDEX(Workers!$K$5:$K$2004,MATCH($A644,Workers!$A$5:$A$2004,0)))</f>
        <v/>
      </c>
      <c r="E644" s="25" t="str">
        <f aca="false">IF($A644="","",SUMIFS(Timesheet!$E$5:$E$3004,Timesheet!$D$5:$D$3004,$A644,Timesheet!$A$5:$A$3004,"&gt;="&amp;Settings!$B$8,Timesheet!$A$5:$A$3004,"&lt;="&amp;Settings!$B$9))</f>
        <v/>
      </c>
      <c r="F644" s="25" t="str">
        <f aca="false">IF($A644="","",SUMIFS(Timesheet!$F$5:$F$3004,Timesheet!$D$5:$D$3004,$A644,Timesheet!$A$5:$A$3004,"&gt;="&amp;Settings!$B$8,Timesheet!$A$5:$A$3004,"&lt;="&amp;Settings!$B$9))</f>
        <v/>
      </c>
      <c r="G644" s="25" t="str">
        <f aca="false">IF($A644="","",SUMIFS(Timesheet!$G$5:$G$3004,Timesheet!$D$5:$D$3004,$A644,Timesheet!$A$5:$A$3004,"&gt;="&amp;Settings!$B$8,Timesheet!$A$5:$A$3004,"&lt;="&amp;Settings!$B$9))</f>
        <v/>
      </c>
      <c r="H644" s="25" t="str">
        <f aca="false">IF($A644="","",IF(D644="Monthly",MAX(0,Settings!$B$11-E644),0))</f>
        <v/>
      </c>
      <c r="I644" s="26" t="str">
        <f aca="false">IF($A644="","",N(INDEX(Workers!$L$5:$L$2004,MATCH($A644,Workers!$A$5:$A$2004,0))))</f>
        <v/>
      </c>
      <c r="J644" s="26" t="str">
        <f aca="false">IF($A644="","",N(INDEX(Workers!$M$5:$M$2004,MATCH($A644,Workers!$A$5:$A$2004,0))))</f>
        <v/>
      </c>
      <c r="K644" s="26" t="str">
        <f aca="false">IF($A644="","",IF(D644="Monthly",ROUND(MAX(0,(I644+J644)-(I644+J644)/Settings!$B$10*H644),2),0))</f>
        <v/>
      </c>
      <c r="L644" s="26" t="str">
        <f aca="false">IF($A644="","",IF(D644="Hourly",ROUND(F644*N(INDEX(Workers!$N$5:$N$2004,MATCH($A644,Workers!$A$5:$A$2004,0))),2),0))</f>
        <v/>
      </c>
      <c r="M644" s="26" t="str">
        <f aca="false">IF($A644="","",ROUND(G644*IF(D644="Hourly",N(INDEX(Workers!$N$5:$N$2004,MATCH($A644,Workers!$A$5:$A$2004,0))),I644/Settings!$B$10/Settings!$B$12)*Settings!$B$13,2))</f>
        <v/>
      </c>
      <c r="N644" s="26" t="str">
        <f aca="false">IF($A644="","",K644+L644+M644)</f>
        <v/>
      </c>
      <c r="O644" s="26" t="str">
        <f aca="false">IF($A644="","",SUMIFS(Deductions!$D$5:$D$2000,Deductions!$B$5:$B$2000,$A644,Deductions!$C$5:$C$2000,"Advance",Deductions!$E$5:$E$2000,"&gt;="&amp;Settings!$B$8,Deductions!$E$5:$E$2000,"&lt;="&amp;Settings!$B$9))</f>
        <v/>
      </c>
      <c r="P644" s="26" t="str">
        <f aca="false">IF($A644="","",SUMIFS(Deductions!$D$5:$D$2000,Deductions!$B$5:$B$2000,$A644,Deductions!$E$5:$E$2000,"&gt;="&amp;Settings!$B$8,Deductions!$E$5:$E$2000,"&lt;="&amp;Settings!$B$9)-O644)</f>
        <v/>
      </c>
      <c r="Q644" s="26" t="str">
        <f aca="false">IF($A644="","",O644+P644)</f>
        <v/>
      </c>
      <c r="R644" s="23" t="str">
        <f aca="false">IF($A644="","",N644-Q644)</f>
        <v/>
      </c>
      <c r="S644" s="24" t="str">
        <f aca="false">IF($A644="","",INDEX(Workers!$O$5:$O$2004,MATCH($A644,Workers!$A$5:$A$2004,0))&amp;"")</f>
        <v/>
      </c>
      <c r="T644" s="24" t="str">
        <f aca="false">IF($A644="","",INDEX(Workers!$P$5:$P$2004,MATCH($A644,Workers!$A$5:$A$2004,0))&amp;"")</f>
        <v/>
      </c>
      <c r="U644" s="24" t="str">
        <f aca="false">IF($A644="","",INDEX(Workers!$H$5:$H$2004,MATCH($A644,Workers!$A$5:$A$2004,0))&amp;"")</f>
        <v/>
      </c>
    </row>
    <row r="645" customFormat="false" ht="15" hidden="false" customHeight="false" outlineLevel="0" collapsed="false">
      <c r="A645" s="24" t="str">
        <f aca="false">IFERROR(INDEX(Workers!$A$5:$A$2004,MATCH(ROW()-4,Workers!$U$5:$U$2004,0)),"")</f>
        <v/>
      </c>
      <c r="B645" s="24" t="str">
        <f aca="false">IF($A645="","",INDEX(Workers!$B$5:$B$2004,MATCH($A645,Workers!$A$5:$A$2004,0)))</f>
        <v/>
      </c>
      <c r="C645" s="24" t="str">
        <f aca="false">IF($A645="","",INDEX(Workers!$E$5:$E$2004,MATCH($A645,Workers!$A$5:$A$2004,0)))</f>
        <v/>
      </c>
      <c r="D645" s="24" t="str">
        <f aca="false">IF($A645="","",INDEX(Workers!$K$5:$K$2004,MATCH($A645,Workers!$A$5:$A$2004,0)))</f>
        <v/>
      </c>
      <c r="E645" s="25" t="str">
        <f aca="false">IF($A645="","",SUMIFS(Timesheet!$E$5:$E$3004,Timesheet!$D$5:$D$3004,$A645,Timesheet!$A$5:$A$3004,"&gt;="&amp;Settings!$B$8,Timesheet!$A$5:$A$3004,"&lt;="&amp;Settings!$B$9))</f>
        <v/>
      </c>
      <c r="F645" s="25" t="str">
        <f aca="false">IF($A645="","",SUMIFS(Timesheet!$F$5:$F$3004,Timesheet!$D$5:$D$3004,$A645,Timesheet!$A$5:$A$3004,"&gt;="&amp;Settings!$B$8,Timesheet!$A$5:$A$3004,"&lt;="&amp;Settings!$B$9))</f>
        <v/>
      </c>
      <c r="G645" s="25" t="str">
        <f aca="false">IF($A645="","",SUMIFS(Timesheet!$G$5:$G$3004,Timesheet!$D$5:$D$3004,$A645,Timesheet!$A$5:$A$3004,"&gt;="&amp;Settings!$B$8,Timesheet!$A$5:$A$3004,"&lt;="&amp;Settings!$B$9))</f>
        <v/>
      </c>
      <c r="H645" s="25" t="str">
        <f aca="false">IF($A645="","",IF(D645="Monthly",MAX(0,Settings!$B$11-E645),0))</f>
        <v/>
      </c>
      <c r="I645" s="26" t="str">
        <f aca="false">IF($A645="","",N(INDEX(Workers!$L$5:$L$2004,MATCH($A645,Workers!$A$5:$A$2004,0))))</f>
        <v/>
      </c>
      <c r="J645" s="26" t="str">
        <f aca="false">IF($A645="","",N(INDEX(Workers!$M$5:$M$2004,MATCH($A645,Workers!$A$5:$A$2004,0))))</f>
        <v/>
      </c>
      <c r="K645" s="26" t="str">
        <f aca="false">IF($A645="","",IF(D645="Monthly",ROUND(MAX(0,(I645+J645)-(I645+J645)/Settings!$B$10*H645),2),0))</f>
        <v/>
      </c>
      <c r="L645" s="26" t="str">
        <f aca="false">IF($A645="","",IF(D645="Hourly",ROUND(F645*N(INDEX(Workers!$N$5:$N$2004,MATCH($A645,Workers!$A$5:$A$2004,0))),2),0))</f>
        <v/>
      </c>
      <c r="M645" s="26" t="str">
        <f aca="false">IF($A645="","",ROUND(G645*IF(D645="Hourly",N(INDEX(Workers!$N$5:$N$2004,MATCH($A645,Workers!$A$5:$A$2004,0))),I645/Settings!$B$10/Settings!$B$12)*Settings!$B$13,2))</f>
        <v/>
      </c>
      <c r="N645" s="26" t="str">
        <f aca="false">IF($A645="","",K645+L645+M645)</f>
        <v/>
      </c>
      <c r="O645" s="26" t="str">
        <f aca="false">IF($A645="","",SUMIFS(Deductions!$D$5:$D$2000,Deductions!$B$5:$B$2000,$A645,Deductions!$C$5:$C$2000,"Advance",Deductions!$E$5:$E$2000,"&gt;="&amp;Settings!$B$8,Deductions!$E$5:$E$2000,"&lt;="&amp;Settings!$B$9))</f>
        <v/>
      </c>
      <c r="P645" s="26" t="str">
        <f aca="false">IF($A645="","",SUMIFS(Deductions!$D$5:$D$2000,Deductions!$B$5:$B$2000,$A645,Deductions!$E$5:$E$2000,"&gt;="&amp;Settings!$B$8,Deductions!$E$5:$E$2000,"&lt;="&amp;Settings!$B$9)-O645)</f>
        <v/>
      </c>
      <c r="Q645" s="26" t="str">
        <f aca="false">IF($A645="","",O645+P645)</f>
        <v/>
      </c>
      <c r="R645" s="23" t="str">
        <f aca="false">IF($A645="","",N645-Q645)</f>
        <v/>
      </c>
      <c r="S645" s="24" t="str">
        <f aca="false">IF($A645="","",INDEX(Workers!$O$5:$O$2004,MATCH($A645,Workers!$A$5:$A$2004,0))&amp;"")</f>
        <v/>
      </c>
      <c r="T645" s="24" t="str">
        <f aca="false">IF($A645="","",INDEX(Workers!$P$5:$P$2004,MATCH($A645,Workers!$A$5:$A$2004,0))&amp;"")</f>
        <v/>
      </c>
      <c r="U645" s="24" t="str">
        <f aca="false">IF($A645="","",INDEX(Workers!$H$5:$H$2004,MATCH($A645,Workers!$A$5:$A$2004,0))&amp;"")</f>
        <v/>
      </c>
    </row>
    <row r="646" customFormat="false" ht="15" hidden="false" customHeight="false" outlineLevel="0" collapsed="false">
      <c r="A646" s="24" t="str">
        <f aca="false">IFERROR(INDEX(Workers!$A$5:$A$2004,MATCH(ROW()-4,Workers!$U$5:$U$2004,0)),"")</f>
        <v/>
      </c>
      <c r="B646" s="24" t="str">
        <f aca="false">IF($A646="","",INDEX(Workers!$B$5:$B$2004,MATCH($A646,Workers!$A$5:$A$2004,0)))</f>
        <v/>
      </c>
      <c r="C646" s="24" t="str">
        <f aca="false">IF($A646="","",INDEX(Workers!$E$5:$E$2004,MATCH($A646,Workers!$A$5:$A$2004,0)))</f>
        <v/>
      </c>
      <c r="D646" s="24" t="str">
        <f aca="false">IF($A646="","",INDEX(Workers!$K$5:$K$2004,MATCH($A646,Workers!$A$5:$A$2004,0)))</f>
        <v/>
      </c>
      <c r="E646" s="25" t="str">
        <f aca="false">IF($A646="","",SUMIFS(Timesheet!$E$5:$E$3004,Timesheet!$D$5:$D$3004,$A646,Timesheet!$A$5:$A$3004,"&gt;="&amp;Settings!$B$8,Timesheet!$A$5:$A$3004,"&lt;="&amp;Settings!$B$9))</f>
        <v/>
      </c>
      <c r="F646" s="25" t="str">
        <f aca="false">IF($A646="","",SUMIFS(Timesheet!$F$5:$F$3004,Timesheet!$D$5:$D$3004,$A646,Timesheet!$A$5:$A$3004,"&gt;="&amp;Settings!$B$8,Timesheet!$A$5:$A$3004,"&lt;="&amp;Settings!$B$9))</f>
        <v/>
      </c>
      <c r="G646" s="25" t="str">
        <f aca="false">IF($A646="","",SUMIFS(Timesheet!$G$5:$G$3004,Timesheet!$D$5:$D$3004,$A646,Timesheet!$A$5:$A$3004,"&gt;="&amp;Settings!$B$8,Timesheet!$A$5:$A$3004,"&lt;="&amp;Settings!$B$9))</f>
        <v/>
      </c>
      <c r="H646" s="25" t="str">
        <f aca="false">IF($A646="","",IF(D646="Monthly",MAX(0,Settings!$B$11-E646),0))</f>
        <v/>
      </c>
      <c r="I646" s="26" t="str">
        <f aca="false">IF($A646="","",N(INDEX(Workers!$L$5:$L$2004,MATCH($A646,Workers!$A$5:$A$2004,0))))</f>
        <v/>
      </c>
      <c r="J646" s="26" t="str">
        <f aca="false">IF($A646="","",N(INDEX(Workers!$M$5:$M$2004,MATCH($A646,Workers!$A$5:$A$2004,0))))</f>
        <v/>
      </c>
      <c r="K646" s="26" t="str">
        <f aca="false">IF($A646="","",IF(D646="Monthly",ROUND(MAX(0,(I646+J646)-(I646+J646)/Settings!$B$10*H646),2),0))</f>
        <v/>
      </c>
      <c r="L646" s="26" t="str">
        <f aca="false">IF($A646="","",IF(D646="Hourly",ROUND(F646*N(INDEX(Workers!$N$5:$N$2004,MATCH($A646,Workers!$A$5:$A$2004,0))),2),0))</f>
        <v/>
      </c>
      <c r="M646" s="26" t="str">
        <f aca="false">IF($A646="","",ROUND(G646*IF(D646="Hourly",N(INDEX(Workers!$N$5:$N$2004,MATCH($A646,Workers!$A$5:$A$2004,0))),I646/Settings!$B$10/Settings!$B$12)*Settings!$B$13,2))</f>
        <v/>
      </c>
      <c r="N646" s="26" t="str">
        <f aca="false">IF($A646="","",K646+L646+M646)</f>
        <v/>
      </c>
      <c r="O646" s="26" t="str">
        <f aca="false">IF($A646="","",SUMIFS(Deductions!$D$5:$D$2000,Deductions!$B$5:$B$2000,$A646,Deductions!$C$5:$C$2000,"Advance",Deductions!$E$5:$E$2000,"&gt;="&amp;Settings!$B$8,Deductions!$E$5:$E$2000,"&lt;="&amp;Settings!$B$9))</f>
        <v/>
      </c>
      <c r="P646" s="26" t="str">
        <f aca="false">IF($A646="","",SUMIFS(Deductions!$D$5:$D$2000,Deductions!$B$5:$B$2000,$A646,Deductions!$E$5:$E$2000,"&gt;="&amp;Settings!$B$8,Deductions!$E$5:$E$2000,"&lt;="&amp;Settings!$B$9)-O646)</f>
        <v/>
      </c>
      <c r="Q646" s="26" t="str">
        <f aca="false">IF($A646="","",O646+P646)</f>
        <v/>
      </c>
      <c r="R646" s="23" t="str">
        <f aca="false">IF($A646="","",N646-Q646)</f>
        <v/>
      </c>
      <c r="S646" s="24" t="str">
        <f aca="false">IF($A646="","",INDEX(Workers!$O$5:$O$2004,MATCH($A646,Workers!$A$5:$A$2004,0))&amp;"")</f>
        <v/>
      </c>
      <c r="T646" s="24" t="str">
        <f aca="false">IF($A646="","",INDEX(Workers!$P$5:$P$2004,MATCH($A646,Workers!$A$5:$A$2004,0))&amp;"")</f>
        <v/>
      </c>
      <c r="U646" s="24" t="str">
        <f aca="false">IF($A646="","",INDEX(Workers!$H$5:$H$2004,MATCH($A646,Workers!$A$5:$A$2004,0))&amp;"")</f>
        <v/>
      </c>
    </row>
    <row r="647" customFormat="false" ht="15" hidden="false" customHeight="false" outlineLevel="0" collapsed="false">
      <c r="A647" s="24" t="str">
        <f aca="false">IFERROR(INDEX(Workers!$A$5:$A$2004,MATCH(ROW()-4,Workers!$U$5:$U$2004,0)),"")</f>
        <v/>
      </c>
      <c r="B647" s="24" t="str">
        <f aca="false">IF($A647="","",INDEX(Workers!$B$5:$B$2004,MATCH($A647,Workers!$A$5:$A$2004,0)))</f>
        <v/>
      </c>
      <c r="C647" s="24" t="str">
        <f aca="false">IF($A647="","",INDEX(Workers!$E$5:$E$2004,MATCH($A647,Workers!$A$5:$A$2004,0)))</f>
        <v/>
      </c>
      <c r="D647" s="24" t="str">
        <f aca="false">IF($A647="","",INDEX(Workers!$K$5:$K$2004,MATCH($A647,Workers!$A$5:$A$2004,0)))</f>
        <v/>
      </c>
      <c r="E647" s="25" t="str">
        <f aca="false">IF($A647="","",SUMIFS(Timesheet!$E$5:$E$3004,Timesheet!$D$5:$D$3004,$A647,Timesheet!$A$5:$A$3004,"&gt;="&amp;Settings!$B$8,Timesheet!$A$5:$A$3004,"&lt;="&amp;Settings!$B$9))</f>
        <v/>
      </c>
      <c r="F647" s="25" t="str">
        <f aca="false">IF($A647="","",SUMIFS(Timesheet!$F$5:$F$3004,Timesheet!$D$5:$D$3004,$A647,Timesheet!$A$5:$A$3004,"&gt;="&amp;Settings!$B$8,Timesheet!$A$5:$A$3004,"&lt;="&amp;Settings!$B$9))</f>
        <v/>
      </c>
      <c r="G647" s="25" t="str">
        <f aca="false">IF($A647="","",SUMIFS(Timesheet!$G$5:$G$3004,Timesheet!$D$5:$D$3004,$A647,Timesheet!$A$5:$A$3004,"&gt;="&amp;Settings!$B$8,Timesheet!$A$5:$A$3004,"&lt;="&amp;Settings!$B$9))</f>
        <v/>
      </c>
      <c r="H647" s="25" t="str">
        <f aca="false">IF($A647="","",IF(D647="Monthly",MAX(0,Settings!$B$11-E647),0))</f>
        <v/>
      </c>
      <c r="I647" s="26" t="str">
        <f aca="false">IF($A647="","",N(INDEX(Workers!$L$5:$L$2004,MATCH($A647,Workers!$A$5:$A$2004,0))))</f>
        <v/>
      </c>
      <c r="J647" s="26" t="str">
        <f aca="false">IF($A647="","",N(INDEX(Workers!$M$5:$M$2004,MATCH($A647,Workers!$A$5:$A$2004,0))))</f>
        <v/>
      </c>
      <c r="K647" s="26" t="str">
        <f aca="false">IF($A647="","",IF(D647="Monthly",ROUND(MAX(0,(I647+J647)-(I647+J647)/Settings!$B$10*H647),2),0))</f>
        <v/>
      </c>
      <c r="L647" s="26" t="str">
        <f aca="false">IF($A647="","",IF(D647="Hourly",ROUND(F647*N(INDEX(Workers!$N$5:$N$2004,MATCH($A647,Workers!$A$5:$A$2004,0))),2),0))</f>
        <v/>
      </c>
      <c r="M647" s="26" t="str">
        <f aca="false">IF($A647="","",ROUND(G647*IF(D647="Hourly",N(INDEX(Workers!$N$5:$N$2004,MATCH($A647,Workers!$A$5:$A$2004,0))),I647/Settings!$B$10/Settings!$B$12)*Settings!$B$13,2))</f>
        <v/>
      </c>
      <c r="N647" s="26" t="str">
        <f aca="false">IF($A647="","",K647+L647+M647)</f>
        <v/>
      </c>
      <c r="O647" s="26" t="str">
        <f aca="false">IF($A647="","",SUMIFS(Deductions!$D$5:$D$2000,Deductions!$B$5:$B$2000,$A647,Deductions!$C$5:$C$2000,"Advance",Deductions!$E$5:$E$2000,"&gt;="&amp;Settings!$B$8,Deductions!$E$5:$E$2000,"&lt;="&amp;Settings!$B$9))</f>
        <v/>
      </c>
      <c r="P647" s="26" t="str">
        <f aca="false">IF($A647="","",SUMIFS(Deductions!$D$5:$D$2000,Deductions!$B$5:$B$2000,$A647,Deductions!$E$5:$E$2000,"&gt;="&amp;Settings!$B$8,Deductions!$E$5:$E$2000,"&lt;="&amp;Settings!$B$9)-O647)</f>
        <v/>
      </c>
      <c r="Q647" s="26" t="str">
        <f aca="false">IF($A647="","",O647+P647)</f>
        <v/>
      </c>
      <c r="R647" s="23" t="str">
        <f aca="false">IF($A647="","",N647-Q647)</f>
        <v/>
      </c>
      <c r="S647" s="24" t="str">
        <f aca="false">IF($A647="","",INDEX(Workers!$O$5:$O$2004,MATCH($A647,Workers!$A$5:$A$2004,0))&amp;"")</f>
        <v/>
      </c>
      <c r="T647" s="24" t="str">
        <f aca="false">IF($A647="","",INDEX(Workers!$P$5:$P$2004,MATCH($A647,Workers!$A$5:$A$2004,0))&amp;"")</f>
        <v/>
      </c>
      <c r="U647" s="24" t="str">
        <f aca="false">IF($A647="","",INDEX(Workers!$H$5:$H$2004,MATCH($A647,Workers!$A$5:$A$2004,0))&amp;"")</f>
        <v/>
      </c>
    </row>
    <row r="648" customFormat="false" ht="15" hidden="false" customHeight="false" outlineLevel="0" collapsed="false">
      <c r="A648" s="24" t="str">
        <f aca="false">IFERROR(INDEX(Workers!$A$5:$A$2004,MATCH(ROW()-4,Workers!$U$5:$U$2004,0)),"")</f>
        <v/>
      </c>
      <c r="B648" s="24" t="str">
        <f aca="false">IF($A648="","",INDEX(Workers!$B$5:$B$2004,MATCH($A648,Workers!$A$5:$A$2004,0)))</f>
        <v/>
      </c>
      <c r="C648" s="24" t="str">
        <f aca="false">IF($A648="","",INDEX(Workers!$E$5:$E$2004,MATCH($A648,Workers!$A$5:$A$2004,0)))</f>
        <v/>
      </c>
      <c r="D648" s="24" t="str">
        <f aca="false">IF($A648="","",INDEX(Workers!$K$5:$K$2004,MATCH($A648,Workers!$A$5:$A$2004,0)))</f>
        <v/>
      </c>
      <c r="E648" s="25" t="str">
        <f aca="false">IF($A648="","",SUMIFS(Timesheet!$E$5:$E$3004,Timesheet!$D$5:$D$3004,$A648,Timesheet!$A$5:$A$3004,"&gt;="&amp;Settings!$B$8,Timesheet!$A$5:$A$3004,"&lt;="&amp;Settings!$B$9))</f>
        <v/>
      </c>
      <c r="F648" s="25" t="str">
        <f aca="false">IF($A648="","",SUMIFS(Timesheet!$F$5:$F$3004,Timesheet!$D$5:$D$3004,$A648,Timesheet!$A$5:$A$3004,"&gt;="&amp;Settings!$B$8,Timesheet!$A$5:$A$3004,"&lt;="&amp;Settings!$B$9))</f>
        <v/>
      </c>
      <c r="G648" s="25" t="str">
        <f aca="false">IF($A648="","",SUMIFS(Timesheet!$G$5:$G$3004,Timesheet!$D$5:$D$3004,$A648,Timesheet!$A$5:$A$3004,"&gt;="&amp;Settings!$B$8,Timesheet!$A$5:$A$3004,"&lt;="&amp;Settings!$B$9))</f>
        <v/>
      </c>
      <c r="H648" s="25" t="str">
        <f aca="false">IF($A648="","",IF(D648="Monthly",MAX(0,Settings!$B$11-E648),0))</f>
        <v/>
      </c>
      <c r="I648" s="26" t="str">
        <f aca="false">IF($A648="","",N(INDEX(Workers!$L$5:$L$2004,MATCH($A648,Workers!$A$5:$A$2004,0))))</f>
        <v/>
      </c>
      <c r="J648" s="26" t="str">
        <f aca="false">IF($A648="","",N(INDEX(Workers!$M$5:$M$2004,MATCH($A648,Workers!$A$5:$A$2004,0))))</f>
        <v/>
      </c>
      <c r="K648" s="26" t="str">
        <f aca="false">IF($A648="","",IF(D648="Monthly",ROUND(MAX(0,(I648+J648)-(I648+J648)/Settings!$B$10*H648),2),0))</f>
        <v/>
      </c>
      <c r="L648" s="26" t="str">
        <f aca="false">IF($A648="","",IF(D648="Hourly",ROUND(F648*N(INDEX(Workers!$N$5:$N$2004,MATCH($A648,Workers!$A$5:$A$2004,0))),2),0))</f>
        <v/>
      </c>
      <c r="M648" s="26" t="str">
        <f aca="false">IF($A648="","",ROUND(G648*IF(D648="Hourly",N(INDEX(Workers!$N$5:$N$2004,MATCH($A648,Workers!$A$5:$A$2004,0))),I648/Settings!$B$10/Settings!$B$12)*Settings!$B$13,2))</f>
        <v/>
      </c>
      <c r="N648" s="26" t="str">
        <f aca="false">IF($A648="","",K648+L648+M648)</f>
        <v/>
      </c>
      <c r="O648" s="26" t="str">
        <f aca="false">IF($A648="","",SUMIFS(Deductions!$D$5:$D$2000,Deductions!$B$5:$B$2000,$A648,Deductions!$C$5:$C$2000,"Advance",Deductions!$E$5:$E$2000,"&gt;="&amp;Settings!$B$8,Deductions!$E$5:$E$2000,"&lt;="&amp;Settings!$B$9))</f>
        <v/>
      </c>
      <c r="P648" s="26" t="str">
        <f aca="false">IF($A648="","",SUMIFS(Deductions!$D$5:$D$2000,Deductions!$B$5:$B$2000,$A648,Deductions!$E$5:$E$2000,"&gt;="&amp;Settings!$B$8,Deductions!$E$5:$E$2000,"&lt;="&amp;Settings!$B$9)-O648)</f>
        <v/>
      </c>
      <c r="Q648" s="26" t="str">
        <f aca="false">IF($A648="","",O648+P648)</f>
        <v/>
      </c>
      <c r="R648" s="23" t="str">
        <f aca="false">IF($A648="","",N648-Q648)</f>
        <v/>
      </c>
      <c r="S648" s="24" t="str">
        <f aca="false">IF($A648="","",INDEX(Workers!$O$5:$O$2004,MATCH($A648,Workers!$A$5:$A$2004,0))&amp;"")</f>
        <v/>
      </c>
      <c r="T648" s="24" t="str">
        <f aca="false">IF($A648="","",INDEX(Workers!$P$5:$P$2004,MATCH($A648,Workers!$A$5:$A$2004,0))&amp;"")</f>
        <v/>
      </c>
      <c r="U648" s="24" t="str">
        <f aca="false">IF($A648="","",INDEX(Workers!$H$5:$H$2004,MATCH($A648,Workers!$A$5:$A$2004,0))&amp;"")</f>
        <v/>
      </c>
    </row>
    <row r="649" customFormat="false" ht="15" hidden="false" customHeight="false" outlineLevel="0" collapsed="false">
      <c r="A649" s="24" t="str">
        <f aca="false">IFERROR(INDEX(Workers!$A$5:$A$2004,MATCH(ROW()-4,Workers!$U$5:$U$2004,0)),"")</f>
        <v/>
      </c>
      <c r="B649" s="24" t="str">
        <f aca="false">IF($A649="","",INDEX(Workers!$B$5:$B$2004,MATCH($A649,Workers!$A$5:$A$2004,0)))</f>
        <v/>
      </c>
      <c r="C649" s="24" t="str">
        <f aca="false">IF($A649="","",INDEX(Workers!$E$5:$E$2004,MATCH($A649,Workers!$A$5:$A$2004,0)))</f>
        <v/>
      </c>
      <c r="D649" s="24" t="str">
        <f aca="false">IF($A649="","",INDEX(Workers!$K$5:$K$2004,MATCH($A649,Workers!$A$5:$A$2004,0)))</f>
        <v/>
      </c>
      <c r="E649" s="25" t="str">
        <f aca="false">IF($A649="","",SUMIFS(Timesheet!$E$5:$E$3004,Timesheet!$D$5:$D$3004,$A649,Timesheet!$A$5:$A$3004,"&gt;="&amp;Settings!$B$8,Timesheet!$A$5:$A$3004,"&lt;="&amp;Settings!$B$9))</f>
        <v/>
      </c>
      <c r="F649" s="25" t="str">
        <f aca="false">IF($A649="","",SUMIFS(Timesheet!$F$5:$F$3004,Timesheet!$D$5:$D$3004,$A649,Timesheet!$A$5:$A$3004,"&gt;="&amp;Settings!$B$8,Timesheet!$A$5:$A$3004,"&lt;="&amp;Settings!$B$9))</f>
        <v/>
      </c>
      <c r="G649" s="25" t="str">
        <f aca="false">IF($A649="","",SUMIFS(Timesheet!$G$5:$G$3004,Timesheet!$D$5:$D$3004,$A649,Timesheet!$A$5:$A$3004,"&gt;="&amp;Settings!$B$8,Timesheet!$A$5:$A$3004,"&lt;="&amp;Settings!$B$9))</f>
        <v/>
      </c>
      <c r="H649" s="25" t="str">
        <f aca="false">IF($A649="","",IF(D649="Monthly",MAX(0,Settings!$B$11-E649),0))</f>
        <v/>
      </c>
      <c r="I649" s="26" t="str">
        <f aca="false">IF($A649="","",N(INDEX(Workers!$L$5:$L$2004,MATCH($A649,Workers!$A$5:$A$2004,0))))</f>
        <v/>
      </c>
      <c r="J649" s="26" t="str">
        <f aca="false">IF($A649="","",N(INDEX(Workers!$M$5:$M$2004,MATCH($A649,Workers!$A$5:$A$2004,0))))</f>
        <v/>
      </c>
      <c r="K649" s="26" t="str">
        <f aca="false">IF($A649="","",IF(D649="Monthly",ROUND(MAX(0,(I649+J649)-(I649+J649)/Settings!$B$10*H649),2),0))</f>
        <v/>
      </c>
      <c r="L649" s="26" t="str">
        <f aca="false">IF($A649="","",IF(D649="Hourly",ROUND(F649*N(INDEX(Workers!$N$5:$N$2004,MATCH($A649,Workers!$A$5:$A$2004,0))),2),0))</f>
        <v/>
      </c>
      <c r="M649" s="26" t="str">
        <f aca="false">IF($A649="","",ROUND(G649*IF(D649="Hourly",N(INDEX(Workers!$N$5:$N$2004,MATCH($A649,Workers!$A$5:$A$2004,0))),I649/Settings!$B$10/Settings!$B$12)*Settings!$B$13,2))</f>
        <v/>
      </c>
      <c r="N649" s="26" t="str">
        <f aca="false">IF($A649="","",K649+L649+M649)</f>
        <v/>
      </c>
      <c r="O649" s="26" t="str">
        <f aca="false">IF($A649="","",SUMIFS(Deductions!$D$5:$D$2000,Deductions!$B$5:$B$2000,$A649,Deductions!$C$5:$C$2000,"Advance",Deductions!$E$5:$E$2000,"&gt;="&amp;Settings!$B$8,Deductions!$E$5:$E$2000,"&lt;="&amp;Settings!$B$9))</f>
        <v/>
      </c>
      <c r="P649" s="26" t="str">
        <f aca="false">IF($A649="","",SUMIFS(Deductions!$D$5:$D$2000,Deductions!$B$5:$B$2000,$A649,Deductions!$E$5:$E$2000,"&gt;="&amp;Settings!$B$8,Deductions!$E$5:$E$2000,"&lt;="&amp;Settings!$B$9)-O649)</f>
        <v/>
      </c>
      <c r="Q649" s="26" t="str">
        <f aca="false">IF($A649="","",O649+P649)</f>
        <v/>
      </c>
      <c r="R649" s="23" t="str">
        <f aca="false">IF($A649="","",N649-Q649)</f>
        <v/>
      </c>
      <c r="S649" s="24" t="str">
        <f aca="false">IF($A649="","",INDEX(Workers!$O$5:$O$2004,MATCH($A649,Workers!$A$5:$A$2004,0))&amp;"")</f>
        <v/>
      </c>
      <c r="T649" s="24" t="str">
        <f aca="false">IF($A649="","",INDEX(Workers!$P$5:$P$2004,MATCH($A649,Workers!$A$5:$A$2004,0))&amp;"")</f>
        <v/>
      </c>
      <c r="U649" s="24" t="str">
        <f aca="false">IF($A649="","",INDEX(Workers!$H$5:$H$2004,MATCH($A649,Workers!$A$5:$A$2004,0))&amp;"")</f>
        <v/>
      </c>
    </row>
    <row r="650" customFormat="false" ht="15" hidden="false" customHeight="false" outlineLevel="0" collapsed="false">
      <c r="A650" s="24" t="str">
        <f aca="false">IFERROR(INDEX(Workers!$A$5:$A$2004,MATCH(ROW()-4,Workers!$U$5:$U$2004,0)),"")</f>
        <v/>
      </c>
      <c r="B650" s="24" t="str">
        <f aca="false">IF($A650="","",INDEX(Workers!$B$5:$B$2004,MATCH($A650,Workers!$A$5:$A$2004,0)))</f>
        <v/>
      </c>
      <c r="C650" s="24" t="str">
        <f aca="false">IF($A650="","",INDEX(Workers!$E$5:$E$2004,MATCH($A650,Workers!$A$5:$A$2004,0)))</f>
        <v/>
      </c>
      <c r="D650" s="24" t="str">
        <f aca="false">IF($A650="","",INDEX(Workers!$K$5:$K$2004,MATCH($A650,Workers!$A$5:$A$2004,0)))</f>
        <v/>
      </c>
      <c r="E650" s="25" t="str">
        <f aca="false">IF($A650="","",SUMIFS(Timesheet!$E$5:$E$3004,Timesheet!$D$5:$D$3004,$A650,Timesheet!$A$5:$A$3004,"&gt;="&amp;Settings!$B$8,Timesheet!$A$5:$A$3004,"&lt;="&amp;Settings!$B$9))</f>
        <v/>
      </c>
      <c r="F650" s="25" t="str">
        <f aca="false">IF($A650="","",SUMIFS(Timesheet!$F$5:$F$3004,Timesheet!$D$5:$D$3004,$A650,Timesheet!$A$5:$A$3004,"&gt;="&amp;Settings!$B$8,Timesheet!$A$5:$A$3004,"&lt;="&amp;Settings!$B$9))</f>
        <v/>
      </c>
      <c r="G650" s="25" t="str">
        <f aca="false">IF($A650="","",SUMIFS(Timesheet!$G$5:$G$3004,Timesheet!$D$5:$D$3004,$A650,Timesheet!$A$5:$A$3004,"&gt;="&amp;Settings!$B$8,Timesheet!$A$5:$A$3004,"&lt;="&amp;Settings!$B$9))</f>
        <v/>
      </c>
      <c r="H650" s="25" t="str">
        <f aca="false">IF($A650="","",IF(D650="Monthly",MAX(0,Settings!$B$11-E650),0))</f>
        <v/>
      </c>
      <c r="I650" s="26" t="str">
        <f aca="false">IF($A650="","",N(INDEX(Workers!$L$5:$L$2004,MATCH($A650,Workers!$A$5:$A$2004,0))))</f>
        <v/>
      </c>
      <c r="J650" s="26" t="str">
        <f aca="false">IF($A650="","",N(INDEX(Workers!$M$5:$M$2004,MATCH($A650,Workers!$A$5:$A$2004,0))))</f>
        <v/>
      </c>
      <c r="K650" s="26" t="str">
        <f aca="false">IF($A650="","",IF(D650="Monthly",ROUND(MAX(0,(I650+J650)-(I650+J650)/Settings!$B$10*H650),2),0))</f>
        <v/>
      </c>
      <c r="L650" s="26" t="str">
        <f aca="false">IF($A650="","",IF(D650="Hourly",ROUND(F650*N(INDEX(Workers!$N$5:$N$2004,MATCH($A650,Workers!$A$5:$A$2004,0))),2),0))</f>
        <v/>
      </c>
      <c r="M650" s="26" t="str">
        <f aca="false">IF($A650="","",ROUND(G650*IF(D650="Hourly",N(INDEX(Workers!$N$5:$N$2004,MATCH($A650,Workers!$A$5:$A$2004,0))),I650/Settings!$B$10/Settings!$B$12)*Settings!$B$13,2))</f>
        <v/>
      </c>
      <c r="N650" s="26" t="str">
        <f aca="false">IF($A650="","",K650+L650+M650)</f>
        <v/>
      </c>
      <c r="O650" s="26" t="str">
        <f aca="false">IF($A650="","",SUMIFS(Deductions!$D$5:$D$2000,Deductions!$B$5:$B$2000,$A650,Deductions!$C$5:$C$2000,"Advance",Deductions!$E$5:$E$2000,"&gt;="&amp;Settings!$B$8,Deductions!$E$5:$E$2000,"&lt;="&amp;Settings!$B$9))</f>
        <v/>
      </c>
      <c r="P650" s="26" t="str">
        <f aca="false">IF($A650="","",SUMIFS(Deductions!$D$5:$D$2000,Deductions!$B$5:$B$2000,$A650,Deductions!$E$5:$E$2000,"&gt;="&amp;Settings!$B$8,Deductions!$E$5:$E$2000,"&lt;="&amp;Settings!$B$9)-O650)</f>
        <v/>
      </c>
      <c r="Q650" s="26" t="str">
        <f aca="false">IF($A650="","",O650+P650)</f>
        <v/>
      </c>
      <c r="R650" s="23" t="str">
        <f aca="false">IF($A650="","",N650-Q650)</f>
        <v/>
      </c>
      <c r="S650" s="24" t="str">
        <f aca="false">IF($A650="","",INDEX(Workers!$O$5:$O$2004,MATCH($A650,Workers!$A$5:$A$2004,0))&amp;"")</f>
        <v/>
      </c>
      <c r="T650" s="24" t="str">
        <f aca="false">IF($A650="","",INDEX(Workers!$P$5:$P$2004,MATCH($A650,Workers!$A$5:$A$2004,0))&amp;"")</f>
        <v/>
      </c>
      <c r="U650" s="24" t="str">
        <f aca="false">IF($A650="","",INDEX(Workers!$H$5:$H$2004,MATCH($A650,Workers!$A$5:$A$2004,0))&amp;"")</f>
        <v/>
      </c>
    </row>
    <row r="651" customFormat="false" ht="15" hidden="false" customHeight="false" outlineLevel="0" collapsed="false">
      <c r="A651" s="24" t="str">
        <f aca="false">IFERROR(INDEX(Workers!$A$5:$A$2004,MATCH(ROW()-4,Workers!$U$5:$U$2004,0)),"")</f>
        <v/>
      </c>
      <c r="B651" s="24" t="str">
        <f aca="false">IF($A651="","",INDEX(Workers!$B$5:$B$2004,MATCH($A651,Workers!$A$5:$A$2004,0)))</f>
        <v/>
      </c>
      <c r="C651" s="24" t="str">
        <f aca="false">IF($A651="","",INDEX(Workers!$E$5:$E$2004,MATCH($A651,Workers!$A$5:$A$2004,0)))</f>
        <v/>
      </c>
      <c r="D651" s="24" t="str">
        <f aca="false">IF($A651="","",INDEX(Workers!$K$5:$K$2004,MATCH($A651,Workers!$A$5:$A$2004,0)))</f>
        <v/>
      </c>
      <c r="E651" s="25" t="str">
        <f aca="false">IF($A651="","",SUMIFS(Timesheet!$E$5:$E$3004,Timesheet!$D$5:$D$3004,$A651,Timesheet!$A$5:$A$3004,"&gt;="&amp;Settings!$B$8,Timesheet!$A$5:$A$3004,"&lt;="&amp;Settings!$B$9))</f>
        <v/>
      </c>
      <c r="F651" s="25" t="str">
        <f aca="false">IF($A651="","",SUMIFS(Timesheet!$F$5:$F$3004,Timesheet!$D$5:$D$3004,$A651,Timesheet!$A$5:$A$3004,"&gt;="&amp;Settings!$B$8,Timesheet!$A$5:$A$3004,"&lt;="&amp;Settings!$B$9))</f>
        <v/>
      </c>
      <c r="G651" s="25" t="str">
        <f aca="false">IF($A651="","",SUMIFS(Timesheet!$G$5:$G$3004,Timesheet!$D$5:$D$3004,$A651,Timesheet!$A$5:$A$3004,"&gt;="&amp;Settings!$B$8,Timesheet!$A$5:$A$3004,"&lt;="&amp;Settings!$B$9))</f>
        <v/>
      </c>
      <c r="H651" s="25" t="str">
        <f aca="false">IF($A651="","",IF(D651="Monthly",MAX(0,Settings!$B$11-E651),0))</f>
        <v/>
      </c>
      <c r="I651" s="26" t="str">
        <f aca="false">IF($A651="","",N(INDEX(Workers!$L$5:$L$2004,MATCH($A651,Workers!$A$5:$A$2004,0))))</f>
        <v/>
      </c>
      <c r="J651" s="26" t="str">
        <f aca="false">IF($A651="","",N(INDEX(Workers!$M$5:$M$2004,MATCH($A651,Workers!$A$5:$A$2004,0))))</f>
        <v/>
      </c>
      <c r="K651" s="26" t="str">
        <f aca="false">IF($A651="","",IF(D651="Monthly",ROUND(MAX(0,(I651+J651)-(I651+J651)/Settings!$B$10*H651),2),0))</f>
        <v/>
      </c>
      <c r="L651" s="26" t="str">
        <f aca="false">IF($A651="","",IF(D651="Hourly",ROUND(F651*N(INDEX(Workers!$N$5:$N$2004,MATCH($A651,Workers!$A$5:$A$2004,0))),2),0))</f>
        <v/>
      </c>
      <c r="M651" s="26" t="str">
        <f aca="false">IF($A651="","",ROUND(G651*IF(D651="Hourly",N(INDEX(Workers!$N$5:$N$2004,MATCH($A651,Workers!$A$5:$A$2004,0))),I651/Settings!$B$10/Settings!$B$12)*Settings!$B$13,2))</f>
        <v/>
      </c>
      <c r="N651" s="26" t="str">
        <f aca="false">IF($A651="","",K651+L651+M651)</f>
        <v/>
      </c>
      <c r="O651" s="26" t="str">
        <f aca="false">IF($A651="","",SUMIFS(Deductions!$D$5:$D$2000,Deductions!$B$5:$B$2000,$A651,Deductions!$C$5:$C$2000,"Advance",Deductions!$E$5:$E$2000,"&gt;="&amp;Settings!$B$8,Deductions!$E$5:$E$2000,"&lt;="&amp;Settings!$B$9))</f>
        <v/>
      </c>
      <c r="P651" s="26" t="str">
        <f aca="false">IF($A651="","",SUMIFS(Deductions!$D$5:$D$2000,Deductions!$B$5:$B$2000,$A651,Deductions!$E$5:$E$2000,"&gt;="&amp;Settings!$B$8,Deductions!$E$5:$E$2000,"&lt;="&amp;Settings!$B$9)-O651)</f>
        <v/>
      </c>
      <c r="Q651" s="26" t="str">
        <f aca="false">IF($A651="","",O651+P651)</f>
        <v/>
      </c>
      <c r="R651" s="23" t="str">
        <f aca="false">IF($A651="","",N651-Q651)</f>
        <v/>
      </c>
      <c r="S651" s="24" t="str">
        <f aca="false">IF($A651="","",INDEX(Workers!$O$5:$O$2004,MATCH($A651,Workers!$A$5:$A$2004,0))&amp;"")</f>
        <v/>
      </c>
      <c r="T651" s="24" t="str">
        <f aca="false">IF($A651="","",INDEX(Workers!$P$5:$P$2004,MATCH($A651,Workers!$A$5:$A$2004,0))&amp;"")</f>
        <v/>
      </c>
      <c r="U651" s="24" t="str">
        <f aca="false">IF($A651="","",INDEX(Workers!$H$5:$H$2004,MATCH($A651,Workers!$A$5:$A$2004,0))&amp;"")</f>
        <v/>
      </c>
    </row>
    <row r="652" customFormat="false" ht="15" hidden="false" customHeight="false" outlineLevel="0" collapsed="false">
      <c r="A652" s="24" t="str">
        <f aca="false">IFERROR(INDEX(Workers!$A$5:$A$2004,MATCH(ROW()-4,Workers!$U$5:$U$2004,0)),"")</f>
        <v/>
      </c>
      <c r="B652" s="24" t="str">
        <f aca="false">IF($A652="","",INDEX(Workers!$B$5:$B$2004,MATCH($A652,Workers!$A$5:$A$2004,0)))</f>
        <v/>
      </c>
      <c r="C652" s="24" t="str">
        <f aca="false">IF($A652="","",INDEX(Workers!$E$5:$E$2004,MATCH($A652,Workers!$A$5:$A$2004,0)))</f>
        <v/>
      </c>
      <c r="D652" s="24" t="str">
        <f aca="false">IF($A652="","",INDEX(Workers!$K$5:$K$2004,MATCH($A652,Workers!$A$5:$A$2004,0)))</f>
        <v/>
      </c>
      <c r="E652" s="25" t="str">
        <f aca="false">IF($A652="","",SUMIFS(Timesheet!$E$5:$E$3004,Timesheet!$D$5:$D$3004,$A652,Timesheet!$A$5:$A$3004,"&gt;="&amp;Settings!$B$8,Timesheet!$A$5:$A$3004,"&lt;="&amp;Settings!$B$9))</f>
        <v/>
      </c>
      <c r="F652" s="25" t="str">
        <f aca="false">IF($A652="","",SUMIFS(Timesheet!$F$5:$F$3004,Timesheet!$D$5:$D$3004,$A652,Timesheet!$A$5:$A$3004,"&gt;="&amp;Settings!$B$8,Timesheet!$A$5:$A$3004,"&lt;="&amp;Settings!$B$9))</f>
        <v/>
      </c>
      <c r="G652" s="25" t="str">
        <f aca="false">IF($A652="","",SUMIFS(Timesheet!$G$5:$G$3004,Timesheet!$D$5:$D$3004,$A652,Timesheet!$A$5:$A$3004,"&gt;="&amp;Settings!$B$8,Timesheet!$A$5:$A$3004,"&lt;="&amp;Settings!$B$9))</f>
        <v/>
      </c>
      <c r="H652" s="25" t="str">
        <f aca="false">IF($A652="","",IF(D652="Monthly",MAX(0,Settings!$B$11-E652),0))</f>
        <v/>
      </c>
      <c r="I652" s="26" t="str">
        <f aca="false">IF($A652="","",N(INDEX(Workers!$L$5:$L$2004,MATCH($A652,Workers!$A$5:$A$2004,0))))</f>
        <v/>
      </c>
      <c r="J652" s="26" t="str">
        <f aca="false">IF($A652="","",N(INDEX(Workers!$M$5:$M$2004,MATCH($A652,Workers!$A$5:$A$2004,0))))</f>
        <v/>
      </c>
      <c r="K652" s="26" t="str">
        <f aca="false">IF($A652="","",IF(D652="Monthly",ROUND(MAX(0,(I652+J652)-(I652+J652)/Settings!$B$10*H652),2),0))</f>
        <v/>
      </c>
      <c r="L652" s="26" t="str">
        <f aca="false">IF($A652="","",IF(D652="Hourly",ROUND(F652*N(INDEX(Workers!$N$5:$N$2004,MATCH($A652,Workers!$A$5:$A$2004,0))),2),0))</f>
        <v/>
      </c>
      <c r="M652" s="26" t="str">
        <f aca="false">IF($A652="","",ROUND(G652*IF(D652="Hourly",N(INDEX(Workers!$N$5:$N$2004,MATCH($A652,Workers!$A$5:$A$2004,0))),I652/Settings!$B$10/Settings!$B$12)*Settings!$B$13,2))</f>
        <v/>
      </c>
      <c r="N652" s="26" t="str">
        <f aca="false">IF($A652="","",K652+L652+M652)</f>
        <v/>
      </c>
      <c r="O652" s="26" t="str">
        <f aca="false">IF($A652="","",SUMIFS(Deductions!$D$5:$D$2000,Deductions!$B$5:$B$2000,$A652,Deductions!$C$5:$C$2000,"Advance",Deductions!$E$5:$E$2000,"&gt;="&amp;Settings!$B$8,Deductions!$E$5:$E$2000,"&lt;="&amp;Settings!$B$9))</f>
        <v/>
      </c>
      <c r="P652" s="26" t="str">
        <f aca="false">IF($A652="","",SUMIFS(Deductions!$D$5:$D$2000,Deductions!$B$5:$B$2000,$A652,Deductions!$E$5:$E$2000,"&gt;="&amp;Settings!$B$8,Deductions!$E$5:$E$2000,"&lt;="&amp;Settings!$B$9)-O652)</f>
        <v/>
      </c>
      <c r="Q652" s="26" t="str">
        <f aca="false">IF($A652="","",O652+P652)</f>
        <v/>
      </c>
      <c r="R652" s="23" t="str">
        <f aca="false">IF($A652="","",N652-Q652)</f>
        <v/>
      </c>
      <c r="S652" s="24" t="str">
        <f aca="false">IF($A652="","",INDEX(Workers!$O$5:$O$2004,MATCH($A652,Workers!$A$5:$A$2004,0))&amp;"")</f>
        <v/>
      </c>
      <c r="T652" s="24" t="str">
        <f aca="false">IF($A652="","",INDEX(Workers!$P$5:$P$2004,MATCH($A652,Workers!$A$5:$A$2004,0))&amp;"")</f>
        <v/>
      </c>
      <c r="U652" s="24" t="str">
        <f aca="false">IF($A652="","",INDEX(Workers!$H$5:$H$2004,MATCH($A652,Workers!$A$5:$A$2004,0))&amp;"")</f>
        <v/>
      </c>
    </row>
    <row r="653" customFormat="false" ht="15" hidden="false" customHeight="false" outlineLevel="0" collapsed="false">
      <c r="A653" s="24" t="str">
        <f aca="false">IFERROR(INDEX(Workers!$A$5:$A$2004,MATCH(ROW()-4,Workers!$U$5:$U$2004,0)),"")</f>
        <v/>
      </c>
      <c r="B653" s="24" t="str">
        <f aca="false">IF($A653="","",INDEX(Workers!$B$5:$B$2004,MATCH($A653,Workers!$A$5:$A$2004,0)))</f>
        <v/>
      </c>
      <c r="C653" s="24" t="str">
        <f aca="false">IF($A653="","",INDEX(Workers!$E$5:$E$2004,MATCH($A653,Workers!$A$5:$A$2004,0)))</f>
        <v/>
      </c>
      <c r="D653" s="24" t="str">
        <f aca="false">IF($A653="","",INDEX(Workers!$K$5:$K$2004,MATCH($A653,Workers!$A$5:$A$2004,0)))</f>
        <v/>
      </c>
      <c r="E653" s="25" t="str">
        <f aca="false">IF($A653="","",SUMIFS(Timesheet!$E$5:$E$3004,Timesheet!$D$5:$D$3004,$A653,Timesheet!$A$5:$A$3004,"&gt;="&amp;Settings!$B$8,Timesheet!$A$5:$A$3004,"&lt;="&amp;Settings!$B$9))</f>
        <v/>
      </c>
      <c r="F653" s="25" t="str">
        <f aca="false">IF($A653="","",SUMIFS(Timesheet!$F$5:$F$3004,Timesheet!$D$5:$D$3004,$A653,Timesheet!$A$5:$A$3004,"&gt;="&amp;Settings!$B$8,Timesheet!$A$5:$A$3004,"&lt;="&amp;Settings!$B$9))</f>
        <v/>
      </c>
      <c r="G653" s="25" t="str">
        <f aca="false">IF($A653="","",SUMIFS(Timesheet!$G$5:$G$3004,Timesheet!$D$5:$D$3004,$A653,Timesheet!$A$5:$A$3004,"&gt;="&amp;Settings!$B$8,Timesheet!$A$5:$A$3004,"&lt;="&amp;Settings!$B$9))</f>
        <v/>
      </c>
      <c r="H653" s="25" t="str">
        <f aca="false">IF($A653="","",IF(D653="Monthly",MAX(0,Settings!$B$11-E653),0))</f>
        <v/>
      </c>
      <c r="I653" s="26" t="str">
        <f aca="false">IF($A653="","",N(INDEX(Workers!$L$5:$L$2004,MATCH($A653,Workers!$A$5:$A$2004,0))))</f>
        <v/>
      </c>
      <c r="J653" s="26" t="str">
        <f aca="false">IF($A653="","",N(INDEX(Workers!$M$5:$M$2004,MATCH($A653,Workers!$A$5:$A$2004,0))))</f>
        <v/>
      </c>
      <c r="K653" s="26" t="str">
        <f aca="false">IF($A653="","",IF(D653="Monthly",ROUND(MAX(0,(I653+J653)-(I653+J653)/Settings!$B$10*H653),2),0))</f>
        <v/>
      </c>
      <c r="L653" s="26" t="str">
        <f aca="false">IF($A653="","",IF(D653="Hourly",ROUND(F653*N(INDEX(Workers!$N$5:$N$2004,MATCH($A653,Workers!$A$5:$A$2004,0))),2),0))</f>
        <v/>
      </c>
      <c r="M653" s="26" t="str">
        <f aca="false">IF($A653="","",ROUND(G653*IF(D653="Hourly",N(INDEX(Workers!$N$5:$N$2004,MATCH($A653,Workers!$A$5:$A$2004,0))),I653/Settings!$B$10/Settings!$B$12)*Settings!$B$13,2))</f>
        <v/>
      </c>
      <c r="N653" s="26" t="str">
        <f aca="false">IF($A653="","",K653+L653+M653)</f>
        <v/>
      </c>
      <c r="O653" s="26" t="str">
        <f aca="false">IF($A653="","",SUMIFS(Deductions!$D$5:$D$2000,Deductions!$B$5:$B$2000,$A653,Deductions!$C$5:$C$2000,"Advance",Deductions!$E$5:$E$2000,"&gt;="&amp;Settings!$B$8,Deductions!$E$5:$E$2000,"&lt;="&amp;Settings!$B$9))</f>
        <v/>
      </c>
      <c r="P653" s="26" t="str">
        <f aca="false">IF($A653="","",SUMIFS(Deductions!$D$5:$D$2000,Deductions!$B$5:$B$2000,$A653,Deductions!$E$5:$E$2000,"&gt;="&amp;Settings!$B$8,Deductions!$E$5:$E$2000,"&lt;="&amp;Settings!$B$9)-O653)</f>
        <v/>
      </c>
      <c r="Q653" s="26" t="str">
        <f aca="false">IF($A653="","",O653+P653)</f>
        <v/>
      </c>
      <c r="R653" s="23" t="str">
        <f aca="false">IF($A653="","",N653-Q653)</f>
        <v/>
      </c>
      <c r="S653" s="24" t="str">
        <f aca="false">IF($A653="","",INDEX(Workers!$O$5:$O$2004,MATCH($A653,Workers!$A$5:$A$2004,0))&amp;"")</f>
        <v/>
      </c>
      <c r="T653" s="24" t="str">
        <f aca="false">IF($A653="","",INDEX(Workers!$P$5:$P$2004,MATCH($A653,Workers!$A$5:$A$2004,0))&amp;"")</f>
        <v/>
      </c>
      <c r="U653" s="24" t="str">
        <f aca="false">IF($A653="","",INDEX(Workers!$H$5:$H$2004,MATCH($A653,Workers!$A$5:$A$2004,0))&amp;"")</f>
        <v/>
      </c>
    </row>
    <row r="654" customFormat="false" ht="15" hidden="false" customHeight="false" outlineLevel="0" collapsed="false">
      <c r="A654" s="24" t="str">
        <f aca="false">IFERROR(INDEX(Workers!$A$5:$A$2004,MATCH(ROW()-4,Workers!$U$5:$U$2004,0)),"")</f>
        <v/>
      </c>
      <c r="B654" s="24" t="str">
        <f aca="false">IF($A654="","",INDEX(Workers!$B$5:$B$2004,MATCH($A654,Workers!$A$5:$A$2004,0)))</f>
        <v/>
      </c>
      <c r="C654" s="24" t="str">
        <f aca="false">IF($A654="","",INDEX(Workers!$E$5:$E$2004,MATCH($A654,Workers!$A$5:$A$2004,0)))</f>
        <v/>
      </c>
      <c r="D654" s="24" t="str">
        <f aca="false">IF($A654="","",INDEX(Workers!$K$5:$K$2004,MATCH($A654,Workers!$A$5:$A$2004,0)))</f>
        <v/>
      </c>
      <c r="E654" s="25" t="str">
        <f aca="false">IF($A654="","",SUMIFS(Timesheet!$E$5:$E$3004,Timesheet!$D$5:$D$3004,$A654,Timesheet!$A$5:$A$3004,"&gt;="&amp;Settings!$B$8,Timesheet!$A$5:$A$3004,"&lt;="&amp;Settings!$B$9))</f>
        <v/>
      </c>
      <c r="F654" s="25" t="str">
        <f aca="false">IF($A654="","",SUMIFS(Timesheet!$F$5:$F$3004,Timesheet!$D$5:$D$3004,$A654,Timesheet!$A$5:$A$3004,"&gt;="&amp;Settings!$B$8,Timesheet!$A$5:$A$3004,"&lt;="&amp;Settings!$B$9))</f>
        <v/>
      </c>
      <c r="G654" s="25" t="str">
        <f aca="false">IF($A654="","",SUMIFS(Timesheet!$G$5:$G$3004,Timesheet!$D$5:$D$3004,$A654,Timesheet!$A$5:$A$3004,"&gt;="&amp;Settings!$B$8,Timesheet!$A$5:$A$3004,"&lt;="&amp;Settings!$B$9))</f>
        <v/>
      </c>
      <c r="H654" s="25" t="str">
        <f aca="false">IF($A654="","",IF(D654="Monthly",MAX(0,Settings!$B$11-E654),0))</f>
        <v/>
      </c>
      <c r="I654" s="26" t="str">
        <f aca="false">IF($A654="","",N(INDEX(Workers!$L$5:$L$2004,MATCH($A654,Workers!$A$5:$A$2004,0))))</f>
        <v/>
      </c>
      <c r="J654" s="26" t="str">
        <f aca="false">IF($A654="","",N(INDEX(Workers!$M$5:$M$2004,MATCH($A654,Workers!$A$5:$A$2004,0))))</f>
        <v/>
      </c>
      <c r="K654" s="26" t="str">
        <f aca="false">IF($A654="","",IF(D654="Monthly",ROUND(MAX(0,(I654+J654)-(I654+J654)/Settings!$B$10*H654),2),0))</f>
        <v/>
      </c>
      <c r="L654" s="26" t="str">
        <f aca="false">IF($A654="","",IF(D654="Hourly",ROUND(F654*N(INDEX(Workers!$N$5:$N$2004,MATCH($A654,Workers!$A$5:$A$2004,0))),2),0))</f>
        <v/>
      </c>
      <c r="M654" s="26" t="str">
        <f aca="false">IF($A654="","",ROUND(G654*IF(D654="Hourly",N(INDEX(Workers!$N$5:$N$2004,MATCH($A654,Workers!$A$5:$A$2004,0))),I654/Settings!$B$10/Settings!$B$12)*Settings!$B$13,2))</f>
        <v/>
      </c>
      <c r="N654" s="26" t="str">
        <f aca="false">IF($A654="","",K654+L654+M654)</f>
        <v/>
      </c>
      <c r="O654" s="26" t="str">
        <f aca="false">IF($A654="","",SUMIFS(Deductions!$D$5:$D$2000,Deductions!$B$5:$B$2000,$A654,Deductions!$C$5:$C$2000,"Advance",Deductions!$E$5:$E$2000,"&gt;="&amp;Settings!$B$8,Deductions!$E$5:$E$2000,"&lt;="&amp;Settings!$B$9))</f>
        <v/>
      </c>
      <c r="P654" s="26" t="str">
        <f aca="false">IF($A654="","",SUMIFS(Deductions!$D$5:$D$2000,Deductions!$B$5:$B$2000,$A654,Deductions!$E$5:$E$2000,"&gt;="&amp;Settings!$B$8,Deductions!$E$5:$E$2000,"&lt;="&amp;Settings!$B$9)-O654)</f>
        <v/>
      </c>
      <c r="Q654" s="26" t="str">
        <f aca="false">IF($A654="","",O654+P654)</f>
        <v/>
      </c>
      <c r="R654" s="23" t="str">
        <f aca="false">IF($A654="","",N654-Q654)</f>
        <v/>
      </c>
      <c r="S654" s="24" t="str">
        <f aca="false">IF($A654="","",INDEX(Workers!$O$5:$O$2004,MATCH($A654,Workers!$A$5:$A$2004,0))&amp;"")</f>
        <v/>
      </c>
      <c r="T654" s="24" t="str">
        <f aca="false">IF($A654="","",INDEX(Workers!$P$5:$P$2004,MATCH($A654,Workers!$A$5:$A$2004,0))&amp;"")</f>
        <v/>
      </c>
      <c r="U654" s="24" t="str">
        <f aca="false">IF($A654="","",INDEX(Workers!$H$5:$H$2004,MATCH($A654,Workers!$A$5:$A$2004,0))&amp;"")</f>
        <v/>
      </c>
    </row>
    <row r="655" customFormat="false" ht="15" hidden="false" customHeight="false" outlineLevel="0" collapsed="false">
      <c r="A655" s="24" t="str">
        <f aca="false">IFERROR(INDEX(Workers!$A$5:$A$2004,MATCH(ROW()-4,Workers!$U$5:$U$2004,0)),"")</f>
        <v/>
      </c>
      <c r="B655" s="24" t="str">
        <f aca="false">IF($A655="","",INDEX(Workers!$B$5:$B$2004,MATCH($A655,Workers!$A$5:$A$2004,0)))</f>
        <v/>
      </c>
      <c r="C655" s="24" t="str">
        <f aca="false">IF($A655="","",INDEX(Workers!$E$5:$E$2004,MATCH($A655,Workers!$A$5:$A$2004,0)))</f>
        <v/>
      </c>
      <c r="D655" s="24" t="str">
        <f aca="false">IF($A655="","",INDEX(Workers!$K$5:$K$2004,MATCH($A655,Workers!$A$5:$A$2004,0)))</f>
        <v/>
      </c>
      <c r="E655" s="25" t="str">
        <f aca="false">IF($A655="","",SUMIFS(Timesheet!$E$5:$E$3004,Timesheet!$D$5:$D$3004,$A655,Timesheet!$A$5:$A$3004,"&gt;="&amp;Settings!$B$8,Timesheet!$A$5:$A$3004,"&lt;="&amp;Settings!$B$9))</f>
        <v/>
      </c>
      <c r="F655" s="25" t="str">
        <f aca="false">IF($A655="","",SUMIFS(Timesheet!$F$5:$F$3004,Timesheet!$D$5:$D$3004,$A655,Timesheet!$A$5:$A$3004,"&gt;="&amp;Settings!$B$8,Timesheet!$A$5:$A$3004,"&lt;="&amp;Settings!$B$9))</f>
        <v/>
      </c>
      <c r="G655" s="25" t="str">
        <f aca="false">IF($A655="","",SUMIFS(Timesheet!$G$5:$G$3004,Timesheet!$D$5:$D$3004,$A655,Timesheet!$A$5:$A$3004,"&gt;="&amp;Settings!$B$8,Timesheet!$A$5:$A$3004,"&lt;="&amp;Settings!$B$9))</f>
        <v/>
      </c>
      <c r="H655" s="25" t="str">
        <f aca="false">IF($A655="","",IF(D655="Monthly",MAX(0,Settings!$B$11-E655),0))</f>
        <v/>
      </c>
      <c r="I655" s="26" t="str">
        <f aca="false">IF($A655="","",N(INDEX(Workers!$L$5:$L$2004,MATCH($A655,Workers!$A$5:$A$2004,0))))</f>
        <v/>
      </c>
      <c r="J655" s="26" t="str">
        <f aca="false">IF($A655="","",N(INDEX(Workers!$M$5:$M$2004,MATCH($A655,Workers!$A$5:$A$2004,0))))</f>
        <v/>
      </c>
      <c r="K655" s="26" t="str">
        <f aca="false">IF($A655="","",IF(D655="Monthly",ROUND(MAX(0,(I655+J655)-(I655+J655)/Settings!$B$10*H655),2),0))</f>
        <v/>
      </c>
      <c r="L655" s="26" t="str">
        <f aca="false">IF($A655="","",IF(D655="Hourly",ROUND(F655*N(INDEX(Workers!$N$5:$N$2004,MATCH($A655,Workers!$A$5:$A$2004,0))),2),0))</f>
        <v/>
      </c>
      <c r="M655" s="26" t="str">
        <f aca="false">IF($A655="","",ROUND(G655*IF(D655="Hourly",N(INDEX(Workers!$N$5:$N$2004,MATCH($A655,Workers!$A$5:$A$2004,0))),I655/Settings!$B$10/Settings!$B$12)*Settings!$B$13,2))</f>
        <v/>
      </c>
      <c r="N655" s="26" t="str">
        <f aca="false">IF($A655="","",K655+L655+M655)</f>
        <v/>
      </c>
      <c r="O655" s="26" t="str">
        <f aca="false">IF($A655="","",SUMIFS(Deductions!$D$5:$D$2000,Deductions!$B$5:$B$2000,$A655,Deductions!$C$5:$C$2000,"Advance",Deductions!$E$5:$E$2000,"&gt;="&amp;Settings!$B$8,Deductions!$E$5:$E$2000,"&lt;="&amp;Settings!$B$9))</f>
        <v/>
      </c>
      <c r="P655" s="26" t="str">
        <f aca="false">IF($A655="","",SUMIFS(Deductions!$D$5:$D$2000,Deductions!$B$5:$B$2000,$A655,Deductions!$E$5:$E$2000,"&gt;="&amp;Settings!$B$8,Deductions!$E$5:$E$2000,"&lt;="&amp;Settings!$B$9)-O655)</f>
        <v/>
      </c>
      <c r="Q655" s="26" t="str">
        <f aca="false">IF($A655="","",O655+P655)</f>
        <v/>
      </c>
      <c r="R655" s="23" t="str">
        <f aca="false">IF($A655="","",N655-Q655)</f>
        <v/>
      </c>
      <c r="S655" s="24" t="str">
        <f aca="false">IF($A655="","",INDEX(Workers!$O$5:$O$2004,MATCH($A655,Workers!$A$5:$A$2004,0))&amp;"")</f>
        <v/>
      </c>
      <c r="T655" s="24" t="str">
        <f aca="false">IF($A655="","",INDEX(Workers!$P$5:$P$2004,MATCH($A655,Workers!$A$5:$A$2004,0))&amp;"")</f>
        <v/>
      </c>
      <c r="U655" s="24" t="str">
        <f aca="false">IF($A655="","",INDEX(Workers!$H$5:$H$2004,MATCH($A655,Workers!$A$5:$A$2004,0))&amp;"")</f>
        <v/>
      </c>
    </row>
    <row r="656" customFormat="false" ht="15" hidden="false" customHeight="false" outlineLevel="0" collapsed="false">
      <c r="A656" s="24" t="str">
        <f aca="false">IFERROR(INDEX(Workers!$A$5:$A$2004,MATCH(ROW()-4,Workers!$U$5:$U$2004,0)),"")</f>
        <v/>
      </c>
      <c r="B656" s="24" t="str">
        <f aca="false">IF($A656="","",INDEX(Workers!$B$5:$B$2004,MATCH($A656,Workers!$A$5:$A$2004,0)))</f>
        <v/>
      </c>
      <c r="C656" s="24" t="str">
        <f aca="false">IF($A656="","",INDEX(Workers!$E$5:$E$2004,MATCH($A656,Workers!$A$5:$A$2004,0)))</f>
        <v/>
      </c>
      <c r="D656" s="24" t="str">
        <f aca="false">IF($A656="","",INDEX(Workers!$K$5:$K$2004,MATCH($A656,Workers!$A$5:$A$2004,0)))</f>
        <v/>
      </c>
      <c r="E656" s="25" t="str">
        <f aca="false">IF($A656="","",SUMIFS(Timesheet!$E$5:$E$3004,Timesheet!$D$5:$D$3004,$A656,Timesheet!$A$5:$A$3004,"&gt;="&amp;Settings!$B$8,Timesheet!$A$5:$A$3004,"&lt;="&amp;Settings!$B$9))</f>
        <v/>
      </c>
      <c r="F656" s="25" t="str">
        <f aca="false">IF($A656="","",SUMIFS(Timesheet!$F$5:$F$3004,Timesheet!$D$5:$D$3004,$A656,Timesheet!$A$5:$A$3004,"&gt;="&amp;Settings!$B$8,Timesheet!$A$5:$A$3004,"&lt;="&amp;Settings!$B$9))</f>
        <v/>
      </c>
      <c r="G656" s="25" t="str">
        <f aca="false">IF($A656="","",SUMIFS(Timesheet!$G$5:$G$3004,Timesheet!$D$5:$D$3004,$A656,Timesheet!$A$5:$A$3004,"&gt;="&amp;Settings!$B$8,Timesheet!$A$5:$A$3004,"&lt;="&amp;Settings!$B$9))</f>
        <v/>
      </c>
      <c r="H656" s="25" t="str">
        <f aca="false">IF($A656="","",IF(D656="Monthly",MAX(0,Settings!$B$11-E656),0))</f>
        <v/>
      </c>
      <c r="I656" s="26" t="str">
        <f aca="false">IF($A656="","",N(INDEX(Workers!$L$5:$L$2004,MATCH($A656,Workers!$A$5:$A$2004,0))))</f>
        <v/>
      </c>
      <c r="J656" s="26" t="str">
        <f aca="false">IF($A656="","",N(INDEX(Workers!$M$5:$M$2004,MATCH($A656,Workers!$A$5:$A$2004,0))))</f>
        <v/>
      </c>
      <c r="K656" s="26" t="str">
        <f aca="false">IF($A656="","",IF(D656="Monthly",ROUND(MAX(0,(I656+J656)-(I656+J656)/Settings!$B$10*H656),2),0))</f>
        <v/>
      </c>
      <c r="L656" s="26" t="str">
        <f aca="false">IF($A656="","",IF(D656="Hourly",ROUND(F656*N(INDEX(Workers!$N$5:$N$2004,MATCH($A656,Workers!$A$5:$A$2004,0))),2),0))</f>
        <v/>
      </c>
      <c r="M656" s="26" t="str">
        <f aca="false">IF($A656="","",ROUND(G656*IF(D656="Hourly",N(INDEX(Workers!$N$5:$N$2004,MATCH($A656,Workers!$A$5:$A$2004,0))),I656/Settings!$B$10/Settings!$B$12)*Settings!$B$13,2))</f>
        <v/>
      </c>
      <c r="N656" s="26" t="str">
        <f aca="false">IF($A656="","",K656+L656+M656)</f>
        <v/>
      </c>
      <c r="O656" s="26" t="str">
        <f aca="false">IF($A656="","",SUMIFS(Deductions!$D$5:$D$2000,Deductions!$B$5:$B$2000,$A656,Deductions!$C$5:$C$2000,"Advance",Deductions!$E$5:$E$2000,"&gt;="&amp;Settings!$B$8,Deductions!$E$5:$E$2000,"&lt;="&amp;Settings!$B$9))</f>
        <v/>
      </c>
      <c r="P656" s="26" t="str">
        <f aca="false">IF($A656="","",SUMIFS(Deductions!$D$5:$D$2000,Deductions!$B$5:$B$2000,$A656,Deductions!$E$5:$E$2000,"&gt;="&amp;Settings!$B$8,Deductions!$E$5:$E$2000,"&lt;="&amp;Settings!$B$9)-O656)</f>
        <v/>
      </c>
      <c r="Q656" s="26" t="str">
        <f aca="false">IF($A656="","",O656+P656)</f>
        <v/>
      </c>
      <c r="R656" s="23" t="str">
        <f aca="false">IF($A656="","",N656-Q656)</f>
        <v/>
      </c>
      <c r="S656" s="24" t="str">
        <f aca="false">IF($A656="","",INDEX(Workers!$O$5:$O$2004,MATCH($A656,Workers!$A$5:$A$2004,0))&amp;"")</f>
        <v/>
      </c>
      <c r="T656" s="24" t="str">
        <f aca="false">IF($A656="","",INDEX(Workers!$P$5:$P$2004,MATCH($A656,Workers!$A$5:$A$2004,0))&amp;"")</f>
        <v/>
      </c>
      <c r="U656" s="24" t="str">
        <f aca="false">IF($A656="","",INDEX(Workers!$H$5:$H$2004,MATCH($A656,Workers!$A$5:$A$2004,0))&amp;"")</f>
        <v/>
      </c>
    </row>
    <row r="657" customFormat="false" ht="15" hidden="false" customHeight="false" outlineLevel="0" collapsed="false">
      <c r="A657" s="24" t="str">
        <f aca="false">IFERROR(INDEX(Workers!$A$5:$A$2004,MATCH(ROW()-4,Workers!$U$5:$U$2004,0)),"")</f>
        <v/>
      </c>
      <c r="B657" s="24" t="str">
        <f aca="false">IF($A657="","",INDEX(Workers!$B$5:$B$2004,MATCH($A657,Workers!$A$5:$A$2004,0)))</f>
        <v/>
      </c>
      <c r="C657" s="24" t="str">
        <f aca="false">IF($A657="","",INDEX(Workers!$E$5:$E$2004,MATCH($A657,Workers!$A$5:$A$2004,0)))</f>
        <v/>
      </c>
      <c r="D657" s="24" t="str">
        <f aca="false">IF($A657="","",INDEX(Workers!$K$5:$K$2004,MATCH($A657,Workers!$A$5:$A$2004,0)))</f>
        <v/>
      </c>
      <c r="E657" s="25" t="str">
        <f aca="false">IF($A657="","",SUMIFS(Timesheet!$E$5:$E$3004,Timesheet!$D$5:$D$3004,$A657,Timesheet!$A$5:$A$3004,"&gt;="&amp;Settings!$B$8,Timesheet!$A$5:$A$3004,"&lt;="&amp;Settings!$B$9))</f>
        <v/>
      </c>
      <c r="F657" s="25" t="str">
        <f aca="false">IF($A657="","",SUMIFS(Timesheet!$F$5:$F$3004,Timesheet!$D$5:$D$3004,$A657,Timesheet!$A$5:$A$3004,"&gt;="&amp;Settings!$B$8,Timesheet!$A$5:$A$3004,"&lt;="&amp;Settings!$B$9))</f>
        <v/>
      </c>
      <c r="G657" s="25" t="str">
        <f aca="false">IF($A657="","",SUMIFS(Timesheet!$G$5:$G$3004,Timesheet!$D$5:$D$3004,$A657,Timesheet!$A$5:$A$3004,"&gt;="&amp;Settings!$B$8,Timesheet!$A$5:$A$3004,"&lt;="&amp;Settings!$B$9))</f>
        <v/>
      </c>
      <c r="H657" s="25" t="str">
        <f aca="false">IF($A657="","",IF(D657="Monthly",MAX(0,Settings!$B$11-E657),0))</f>
        <v/>
      </c>
      <c r="I657" s="26" t="str">
        <f aca="false">IF($A657="","",N(INDEX(Workers!$L$5:$L$2004,MATCH($A657,Workers!$A$5:$A$2004,0))))</f>
        <v/>
      </c>
      <c r="J657" s="26" t="str">
        <f aca="false">IF($A657="","",N(INDEX(Workers!$M$5:$M$2004,MATCH($A657,Workers!$A$5:$A$2004,0))))</f>
        <v/>
      </c>
      <c r="K657" s="26" t="str">
        <f aca="false">IF($A657="","",IF(D657="Monthly",ROUND(MAX(0,(I657+J657)-(I657+J657)/Settings!$B$10*H657),2),0))</f>
        <v/>
      </c>
      <c r="L657" s="26" t="str">
        <f aca="false">IF($A657="","",IF(D657="Hourly",ROUND(F657*N(INDEX(Workers!$N$5:$N$2004,MATCH($A657,Workers!$A$5:$A$2004,0))),2),0))</f>
        <v/>
      </c>
      <c r="M657" s="26" t="str">
        <f aca="false">IF($A657="","",ROUND(G657*IF(D657="Hourly",N(INDEX(Workers!$N$5:$N$2004,MATCH($A657,Workers!$A$5:$A$2004,0))),I657/Settings!$B$10/Settings!$B$12)*Settings!$B$13,2))</f>
        <v/>
      </c>
      <c r="N657" s="26" t="str">
        <f aca="false">IF($A657="","",K657+L657+M657)</f>
        <v/>
      </c>
      <c r="O657" s="26" t="str">
        <f aca="false">IF($A657="","",SUMIFS(Deductions!$D$5:$D$2000,Deductions!$B$5:$B$2000,$A657,Deductions!$C$5:$C$2000,"Advance",Deductions!$E$5:$E$2000,"&gt;="&amp;Settings!$B$8,Deductions!$E$5:$E$2000,"&lt;="&amp;Settings!$B$9))</f>
        <v/>
      </c>
      <c r="P657" s="26" t="str">
        <f aca="false">IF($A657="","",SUMIFS(Deductions!$D$5:$D$2000,Deductions!$B$5:$B$2000,$A657,Deductions!$E$5:$E$2000,"&gt;="&amp;Settings!$B$8,Deductions!$E$5:$E$2000,"&lt;="&amp;Settings!$B$9)-O657)</f>
        <v/>
      </c>
      <c r="Q657" s="26" t="str">
        <f aca="false">IF($A657="","",O657+P657)</f>
        <v/>
      </c>
      <c r="R657" s="23" t="str">
        <f aca="false">IF($A657="","",N657-Q657)</f>
        <v/>
      </c>
      <c r="S657" s="24" t="str">
        <f aca="false">IF($A657="","",INDEX(Workers!$O$5:$O$2004,MATCH($A657,Workers!$A$5:$A$2004,0))&amp;"")</f>
        <v/>
      </c>
      <c r="T657" s="24" t="str">
        <f aca="false">IF($A657="","",INDEX(Workers!$P$5:$P$2004,MATCH($A657,Workers!$A$5:$A$2004,0))&amp;"")</f>
        <v/>
      </c>
      <c r="U657" s="24" t="str">
        <f aca="false">IF($A657="","",INDEX(Workers!$H$5:$H$2004,MATCH($A657,Workers!$A$5:$A$2004,0))&amp;"")</f>
        <v/>
      </c>
    </row>
    <row r="658" customFormat="false" ht="15" hidden="false" customHeight="false" outlineLevel="0" collapsed="false">
      <c r="A658" s="24" t="str">
        <f aca="false">IFERROR(INDEX(Workers!$A$5:$A$2004,MATCH(ROW()-4,Workers!$U$5:$U$2004,0)),"")</f>
        <v/>
      </c>
      <c r="B658" s="24" t="str">
        <f aca="false">IF($A658="","",INDEX(Workers!$B$5:$B$2004,MATCH($A658,Workers!$A$5:$A$2004,0)))</f>
        <v/>
      </c>
      <c r="C658" s="24" t="str">
        <f aca="false">IF($A658="","",INDEX(Workers!$E$5:$E$2004,MATCH($A658,Workers!$A$5:$A$2004,0)))</f>
        <v/>
      </c>
      <c r="D658" s="24" t="str">
        <f aca="false">IF($A658="","",INDEX(Workers!$K$5:$K$2004,MATCH($A658,Workers!$A$5:$A$2004,0)))</f>
        <v/>
      </c>
      <c r="E658" s="25" t="str">
        <f aca="false">IF($A658="","",SUMIFS(Timesheet!$E$5:$E$3004,Timesheet!$D$5:$D$3004,$A658,Timesheet!$A$5:$A$3004,"&gt;="&amp;Settings!$B$8,Timesheet!$A$5:$A$3004,"&lt;="&amp;Settings!$B$9))</f>
        <v/>
      </c>
      <c r="F658" s="25" t="str">
        <f aca="false">IF($A658="","",SUMIFS(Timesheet!$F$5:$F$3004,Timesheet!$D$5:$D$3004,$A658,Timesheet!$A$5:$A$3004,"&gt;="&amp;Settings!$B$8,Timesheet!$A$5:$A$3004,"&lt;="&amp;Settings!$B$9))</f>
        <v/>
      </c>
      <c r="G658" s="25" t="str">
        <f aca="false">IF($A658="","",SUMIFS(Timesheet!$G$5:$G$3004,Timesheet!$D$5:$D$3004,$A658,Timesheet!$A$5:$A$3004,"&gt;="&amp;Settings!$B$8,Timesheet!$A$5:$A$3004,"&lt;="&amp;Settings!$B$9))</f>
        <v/>
      </c>
      <c r="H658" s="25" t="str">
        <f aca="false">IF($A658="","",IF(D658="Monthly",MAX(0,Settings!$B$11-E658),0))</f>
        <v/>
      </c>
      <c r="I658" s="26" t="str">
        <f aca="false">IF($A658="","",N(INDEX(Workers!$L$5:$L$2004,MATCH($A658,Workers!$A$5:$A$2004,0))))</f>
        <v/>
      </c>
      <c r="J658" s="26" t="str">
        <f aca="false">IF($A658="","",N(INDEX(Workers!$M$5:$M$2004,MATCH($A658,Workers!$A$5:$A$2004,0))))</f>
        <v/>
      </c>
      <c r="K658" s="26" t="str">
        <f aca="false">IF($A658="","",IF(D658="Monthly",ROUND(MAX(0,(I658+J658)-(I658+J658)/Settings!$B$10*H658),2),0))</f>
        <v/>
      </c>
      <c r="L658" s="26" t="str">
        <f aca="false">IF($A658="","",IF(D658="Hourly",ROUND(F658*N(INDEX(Workers!$N$5:$N$2004,MATCH($A658,Workers!$A$5:$A$2004,0))),2),0))</f>
        <v/>
      </c>
      <c r="M658" s="26" t="str">
        <f aca="false">IF($A658="","",ROUND(G658*IF(D658="Hourly",N(INDEX(Workers!$N$5:$N$2004,MATCH($A658,Workers!$A$5:$A$2004,0))),I658/Settings!$B$10/Settings!$B$12)*Settings!$B$13,2))</f>
        <v/>
      </c>
      <c r="N658" s="26" t="str">
        <f aca="false">IF($A658="","",K658+L658+M658)</f>
        <v/>
      </c>
      <c r="O658" s="26" t="str">
        <f aca="false">IF($A658="","",SUMIFS(Deductions!$D$5:$D$2000,Deductions!$B$5:$B$2000,$A658,Deductions!$C$5:$C$2000,"Advance",Deductions!$E$5:$E$2000,"&gt;="&amp;Settings!$B$8,Deductions!$E$5:$E$2000,"&lt;="&amp;Settings!$B$9))</f>
        <v/>
      </c>
      <c r="P658" s="26" t="str">
        <f aca="false">IF($A658="","",SUMIFS(Deductions!$D$5:$D$2000,Deductions!$B$5:$B$2000,$A658,Deductions!$E$5:$E$2000,"&gt;="&amp;Settings!$B$8,Deductions!$E$5:$E$2000,"&lt;="&amp;Settings!$B$9)-O658)</f>
        <v/>
      </c>
      <c r="Q658" s="26" t="str">
        <f aca="false">IF($A658="","",O658+P658)</f>
        <v/>
      </c>
      <c r="R658" s="23" t="str">
        <f aca="false">IF($A658="","",N658-Q658)</f>
        <v/>
      </c>
      <c r="S658" s="24" t="str">
        <f aca="false">IF($A658="","",INDEX(Workers!$O$5:$O$2004,MATCH($A658,Workers!$A$5:$A$2004,0))&amp;"")</f>
        <v/>
      </c>
      <c r="T658" s="24" t="str">
        <f aca="false">IF($A658="","",INDEX(Workers!$P$5:$P$2004,MATCH($A658,Workers!$A$5:$A$2004,0))&amp;"")</f>
        <v/>
      </c>
      <c r="U658" s="24" t="str">
        <f aca="false">IF($A658="","",INDEX(Workers!$H$5:$H$2004,MATCH($A658,Workers!$A$5:$A$2004,0))&amp;"")</f>
        <v/>
      </c>
    </row>
    <row r="659" customFormat="false" ht="15" hidden="false" customHeight="false" outlineLevel="0" collapsed="false">
      <c r="A659" s="24" t="str">
        <f aca="false">IFERROR(INDEX(Workers!$A$5:$A$2004,MATCH(ROW()-4,Workers!$U$5:$U$2004,0)),"")</f>
        <v/>
      </c>
      <c r="B659" s="24" t="str">
        <f aca="false">IF($A659="","",INDEX(Workers!$B$5:$B$2004,MATCH($A659,Workers!$A$5:$A$2004,0)))</f>
        <v/>
      </c>
      <c r="C659" s="24" t="str">
        <f aca="false">IF($A659="","",INDEX(Workers!$E$5:$E$2004,MATCH($A659,Workers!$A$5:$A$2004,0)))</f>
        <v/>
      </c>
      <c r="D659" s="24" t="str">
        <f aca="false">IF($A659="","",INDEX(Workers!$K$5:$K$2004,MATCH($A659,Workers!$A$5:$A$2004,0)))</f>
        <v/>
      </c>
      <c r="E659" s="25" t="str">
        <f aca="false">IF($A659="","",SUMIFS(Timesheet!$E$5:$E$3004,Timesheet!$D$5:$D$3004,$A659,Timesheet!$A$5:$A$3004,"&gt;="&amp;Settings!$B$8,Timesheet!$A$5:$A$3004,"&lt;="&amp;Settings!$B$9))</f>
        <v/>
      </c>
      <c r="F659" s="25" t="str">
        <f aca="false">IF($A659="","",SUMIFS(Timesheet!$F$5:$F$3004,Timesheet!$D$5:$D$3004,$A659,Timesheet!$A$5:$A$3004,"&gt;="&amp;Settings!$B$8,Timesheet!$A$5:$A$3004,"&lt;="&amp;Settings!$B$9))</f>
        <v/>
      </c>
      <c r="G659" s="25" t="str">
        <f aca="false">IF($A659="","",SUMIFS(Timesheet!$G$5:$G$3004,Timesheet!$D$5:$D$3004,$A659,Timesheet!$A$5:$A$3004,"&gt;="&amp;Settings!$B$8,Timesheet!$A$5:$A$3004,"&lt;="&amp;Settings!$B$9))</f>
        <v/>
      </c>
      <c r="H659" s="25" t="str">
        <f aca="false">IF($A659="","",IF(D659="Monthly",MAX(0,Settings!$B$11-E659),0))</f>
        <v/>
      </c>
      <c r="I659" s="26" t="str">
        <f aca="false">IF($A659="","",N(INDEX(Workers!$L$5:$L$2004,MATCH($A659,Workers!$A$5:$A$2004,0))))</f>
        <v/>
      </c>
      <c r="J659" s="26" t="str">
        <f aca="false">IF($A659="","",N(INDEX(Workers!$M$5:$M$2004,MATCH($A659,Workers!$A$5:$A$2004,0))))</f>
        <v/>
      </c>
      <c r="K659" s="26" t="str">
        <f aca="false">IF($A659="","",IF(D659="Monthly",ROUND(MAX(0,(I659+J659)-(I659+J659)/Settings!$B$10*H659),2),0))</f>
        <v/>
      </c>
      <c r="L659" s="26" t="str">
        <f aca="false">IF($A659="","",IF(D659="Hourly",ROUND(F659*N(INDEX(Workers!$N$5:$N$2004,MATCH($A659,Workers!$A$5:$A$2004,0))),2),0))</f>
        <v/>
      </c>
      <c r="M659" s="26" t="str">
        <f aca="false">IF($A659="","",ROUND(G659*IF(D659="Hourly",N(INDEX(Workers!$N$5:$N$2004,MATCH($A659,Workers!$A$5:$A$2004,0))),I659/Settings!$B$10/Settings!$B$12)*Settings!$B$13,2))</f>
        <v/>
      </c>
      <c r="N659" s="26" t="str">
        <f aca="false">IF($A659="","",K659+L659+M659)</f>
        <v/>
      </c>
      <c r="O659" s="26" t="str">
        <f aca="false">IF($A659="","",SUMIFS(Deductions!$D$5:$D$2000,Deductions!$B$5:$B$2000,$A659,Deductions!$C$5:$C$2000,"Advance",Deductions!$E$5:$E$2000,"&gt;="&amp;Settings!$B$8,Deductions!$E$5:$E$2000,"&lt;="&amp;Settings!$B$9))</f>
        <v/>
      </c>
      <c r="P659" s="26" t="str">
        <f aca="false">IF($A659="","",SUMIFS(Deductions!$D$5:$D$2000,Deductions!$B$5:$B$2000,$A659,Deductions!$E$5:$E$2000,"&gt;="&amp;Settings!$B$8,Deductions!$E$5:$E$2000,"&lt;="&amp;Settings!$B$9)-O659)</f>
        <v/>
      </c>
      <c r="Q659" s="26" t="str">
        <f aca="false">IF($A659="","",O659+P659)</f>
        <v/>
      </c>
      <c r="R659" s="23" t="str">
        <f aca="false">IF($A659="","",N659-Q659)</f>
        <v/>
      </c>
      <c r="S659" s="24" t="str">
        <f aca="false">IF($A659="","",INDEX(Workers!$O$5:$O$2004,MATCH($A659,Workers!$A$5:$A$2004,0))&amp;"")</f>
        <v/>
      </c>
      <c r="T659" s="24" t="str">
        <f aca="false">IF($A659="","",INDEX(Workers!$P$5:$P$2004,MATCH($A659,Workers!$A$5:$A$2004,0))&amp;"")</f>
        <v/>
      </c>
      <c r="U659" s="24" t="str">
        <f aca="false">IF($A659="","",INDEX(Workers!$H$5:$H$2004,MATCH($A659,Workers!$A$5:$A$2004,0))&amp;"")</f>
        <v/>
      </c>
    </row>
    <row r="660" customFormat="false" ht="15" hidden="false" customHeight="false" outlineLevel="0" collapsed="false">
      <c r="A660" s="24" t="str">
        <f aca="false">IFERROR(INDEX(Workers!$A$5:$A$2004,MATCH(ROW()-4,Workers!$U$5:$U$2004,0)),"")</f>
        <v/>
      </c>
      <c r="B660" s="24" t="str">
        <f aca="false">IF($A660="","",INDEX(Workers!$B$5:$B$2004,MATCH($A660,Workers!$A$5:$A$2004,0)))</f>
        <v/>
      </c>
      <c r="C660" s="24" t="str">
        <f aca="false">IF($A660="","",INDEX(Workers!$E$5:$E$2004,MATCH($A660,Workers!$A$5:$A$2004,0)))</f>
        <v/>
      </c>
      <c r="D660" s="24" t="str">
        <f aca="false">IF($A660="","",INDEX(Workers!$K$5:$K$2004,MATCH($A660,Workers!$A$5:$A$2004,0)))</f>
        <v/>
      </c>
      <c r="E660" s="25" t="str">
        <f aca="false">IF($A660="","",SUMIFS(Timesheet!$E$5:$E$3004,Timesheet!$D$5:$D$3004,$A660,Timesheet!$A$5:$A$3004,"&gt;="&amp;Settings!$B$8,Timesheet!$A$5:$A$3004,"&lt;="&amp;Settings!$B$9))</f>
        <v/>
      </c>
      <c r="F660" s="25" t="str">
        <f aca="false">IF($A660="","",SUMIFS(Timesheet!$F$5:$F$3004,Timesheet!$D$5:$D$3004,$A660,Timesheet!$A$5:$A$3004,"&gt;="&amp;Settings!$B$8,Timesheet!$A$5:$A$3004,"&lt;="&amp;Settings!$B$9))</f>
        <v/>
      </c>
      <c r="G660" s="25" t="str">
        <f aca="false">IF($A660="","",SUMIFS(Timesheet!$G$5:$G$3004,Timesheet!$D$5:$D$3004,$A660,Timesheet!$A$5:$A$3004,"&gt;="&amp;Settings!$B$8,Timesheet!$A$5:$A$3004,"&lt;="&amp;Settings!$B$9))</f>
        <v/>
      </c>
      <c r="H660" s="25" t="str">
        <f aca="false">IF($A660="","",IF(D660="Monthly",MAX(0,Settings!$B$11-E660),0))</f>
        <v/>
      </c>
      <c r="I660" s="26" t="str">
        <f aca="false">IF($A660="","",N(INDEX(Workers!$L$5:$L$2004,MATCH($A660,Workers!$A$5:$A$2004,0))))</f>
        <v/>
      </c>
      <c r="J660" s="26" t="str">
        <f aca="false">IF($A660="","",N(INDEX(Workers!$M$5:$M$2004,MATCH($A660,Workers!$A$5:$A$2004,0))))</f>
        <v/>
      </c>
      <c r="K660" s="26" t="str">
        <f aca="false">IF($A660="","",IF(D660="Monthly",ROUND(MAX(0,(I660+J660)-(I660+J660)/Settings!$B$10*H660),2),0))</f>
        <v/>
      </c>
      <c r="L660" s="26" t="str">
        <f aca="false">IF($A660="","",IF(D660="Hourly",ROUND(F660*N(INDEX(Workers!$N$5:$N$2004,MATCH($A660,Workers!$A$5:$A$2004,0))),2),0))</f>
        <v/>
      </c>
      <c r="M660" s="26" t="str">
        <f aca="false">IF($A660="","",ROUND(G660*IF(D660="Hourly",N(INDEX(Workers!$N$5:$N$2004,MATCH($A660,Workers!$A$5:$A$2004,0))),I660/Settings!$B$10/Settings!$B$12)*Settings!$B$13,2))</f>
        <v/>
      </c>
      <c r="N660" s="26" t="str">
        <f aca="false">IF($A660="","",K660+L660+M660)</f>
        <v/>
      </c>
      <c r="O660" s="26" t="str">
        <f aca="false">IF($A660="","",SUMIFS(Deductions!$D$5:$D$2000,Deductions!$B$5:$B$2000,$A660,Deductions!$C$5:$C$2000,"Advance",Deductions!$E$5:$E$2000,"&gt;="&amp;Settings!$B$8,Deductions!$E$5:$E$2000,"&lt;="&amp;Settings!$B$9))</f>
        <v/>
      </c>
      <c r="P660" s="26" t="str">
        <f aca="false">IF($A660="","",SUMIFS(Deductions!$D$5:$D$2000,Deductions!$B$5:$B$2000,$A660,Deductions!$E$5:$E$2000,"&gt;="&amp;Settings!$B$8,Deductions!$E$5:$E$2000,"&lt;="&amp;Settings!$B$9)-O660)</f>
        <v/>
      </c>
      <c r="Q660" s="26" t="str">
        <f aca="false">IF($A660="","",O660+P660)</f>
        <v/>
      </c>
      <c r="R660" s="23" t="str">
        <f aca="false">IF($A660="","",N660-Q660)</f>
        <v/>
      </c>
      <c r="S660" s="24" t="str">
        <f aca="false">IF($A660="","",INDEX(Workers!$O$5:$O$2004,MATCH($A660,Workers!$A$5:$A$2004,0))&amp;"")</f>
        <v/>
      </c>
      <c r="T660" s="24" t="str">
        <f aca="false">IF($A660="","",INDEX(Workers!$P$5:$P$2004,MATCH($A660,Workers!$A$5:$A$2004,0))&amp;"")</f>
        <v/>
      </c>
      <c r="U660" s="24" t="str">
        <f aca="false">IF($A660="","",INDEX(Workers!$H$5:$H$2004,MATCH($A660,Workers!$A$5:$A$2004,0))&amp;"")</f>
        <v/>
      </c>
    </row>
    <row r="661" customFormat="false" ht="15" hidden="false" customHeight="false" outlineLevel="0" collapsed="false">
      <c r="A661" s="24" t="str">
        <f aca="false">IFERROR(INDEX(Workers!$A$5:$A$2004,MATCH(ROW()-4,Workers!$U$5:$U$2004,0)),"")</f>
        <v/>
      </c>
      <c r="B661" s="24" t="str">
        <f aca="false">IF($A661="","",INDEX(Workers!$B$5:$B$2004,MATCH($A661,Workers!$A$5:$A$2004,0)))</f>
        <v/>
      </c>
      <c r="C661" s="24" t="str">
        <f aca="false">IF($A661="","",INDEX(Workers!$E$5:$E$2004,MATCH($A661,Workers!$A$5:$A$2004,0)))</f>
        <v/>
      </c>
      <c r="D661" s="24" t="str">
        <f aca="false">IF($A661="","",INDEX(Workers!$K$5:$K$2004,MATCH($A661,Workers!$A$5:$A$2004,0)))</f>
        <v/>
      </c>
      <c r="E661" s="25" t="str">
        <f aca="false">IF($A661="","",SUMIFS(Timesheet!$E$5:$E$3004,Timesheet!$D$5:$D$3004,$A661,Timesheet!$A$5:$A$3004,"&gt;="&amp;Settings!$B$8,Timesheet!$A$5:$A$3004,"&lt;="&amp;Settings!$B$9))</f>
        <v/>
      </c>
      <c r="F661" s="25" t="str">
        <f aca="false">IF($A661="","",SUMIFS(Timesheet!$F$5:$F$3004,Timesheet!$D$5:$D$3004,$A661,Timesheet!$A$5:$A$3004,"&gt;="&amp;Settings!$B$8,Timesheet!$A$5:$A$3004,"&lt;="&amp;Settings!$B$9))</f>
        <v/>
      </c>
      <c r="G661" s="25" t="str">
        <f aca="false">IF($A661="","",SUMIFS(Timesheet!$G$5:$G$3004,Timesheet!$D$5:$D$3004,$A661,Timesheet!$A$5:$A$3004,"&gt;="&amp;Settings!$B$8,Timesheet!$A$5:$A$3004,"&lt;="&amp;Settings!$B$9))</f>
        <v/>
      </c>
      <c r="H661" s="25" t="str">
        <f aca="false">IF($A661="","",IF(D661="Monthly",MAX(0,Settings!$B$11-E661),0))</f>
        <v/>
      </c>
      <c r="I661" s="26" t="str">
        <f aca="false">IF($A661="","",N(INDEX(Workers!$L$5:$L$2004,MATCH($A661,Workers!$A$5:$A$2004,0))))</f>
        <v/>
      </c>
      <c r="J661" s="26" t="str">
        <f aca="false">IF($A661="","",N(INDEX(Workers!$M$5:$M$2004,MATCH($A661,Workers!$A$5:$A$2004,0))))</f>
        <v/>
      </c>
      <c r="K661" s="26" t="str">
        <f aca="false">IF($A661="","",IF(D661="Monthly",ROUND(MAX(0,(I661+J661)-(I661+J661)/Settings!$B$10*H661),2),0))</f>
        <v/>
      </c>
      <c r="L661" s="26" t="str">
        <f aca="false">IF($A661="","",IF(D661="Hourly",ROUND(F661*N(INDEX(Workers!$N$5:$N$2004,MATCH($A661,Workers!$A$5:$A$2004,0))),2),0))</f>
        <v/>
      </c>
      <c r="M661" s="26" t="str">
        <f aca="false">IF($A661="","",ROUND(G661*IF(D661="Hourly",N(INDEX(Workers!$N$5:$N$2004,MATCH($A661,Workers!$A$5:$A$2004,0))),I661/Settings!$B$10/Settings!$B$12)*Settings!$B$13,2))</f>
        <v/>
      </c>
      <c r="N661" s="26" t="str">
        <f aca="false">IF($A661="","",K661+L661+M661)</f>
        <v/>
      </c>
      <c r="O661" s="26" t="str">
        <f aca="false">IF($A661="","",SUMIFS(Deductions!$D$5:$D$2000,Deductions!$B$5:$B$2000,$A661,Deductions!$C$5:$C$2000,"Advance",Deductions!$E$5:$E$2000,"&gt;="&amp;Settings!$B$8,Deductions!$E$5:$E$2000,"&lt;="&amp;Settings!$B$9))</f>
        <v/>
      </c>
      <c r="P661" s="26" t="str">
        <f aca="false">IF($A661="","",SUMIFS(Deductions!$D$5:$D$2000,Deductions!$B$5:$B$2000,$A661,Deductions!$E$5:$E$2000,"&gt;="&amp;Settings!$B$8,Deductions!$E$5:$E$2000,"&lt;="&amp;Settings!$B$9)-O661)</f>
        <v/>
      </c>
      <c r="Q661" s="26" t="str">
        <f aca="false">IF($A661="","",O661+P661)</f>
        <v/>
      </c>
      <c r="R661" s="23" t="str">
        <f aca="false">IF($A661="","",N661-Q661)</f>
        <v/>
      </c>
      <c r="S661" s="24" t="str">
        <f aca="false">IF($A661="","",INDEX(Workers!$O$5:$O$2004,MATCH($A661,Workers!$A$5:$A$2004,0))&amp;"")</f>
        <v/>
      </c>
      <c r="T661" s="24" t="str">
        <f aca="false">IF($A661="","",INDEX(Workers!$P$5:$P$2004,MATCH($A661,Workers!$A$5:$A$2004,0))&amp;"")</f>
        <v/>
      </c>
      <c r="U661" s="24" t="str">
        <f aca="false">IF($A661="","",INDEX(Workers!$H$5:$H$2004,MATCH($A661,Workers!$A$5:$A$2004,0))&amp;"")</f>
        <v/>
      </c>
    </row>
    <row r="662" customFormat="false" ht="15" hidden="false" customHeight="false" outlineLevel="0" collapsed="false">
      <c r="A662" s="24" t="str">
        <f aca="false">IFERROR(INDEX(Workers!$A$5:$A$2004,MATCH(ROW()-4,Workers!$U$5:$U$2004,0)),"")</f>
        <v/>
      </c>
      <c r="B662" s="24" t="str">
        <f aca="false">IF($A662="","",INDEX(Workers!$B$5:$B$2004,MATCH($A662,Workers!$A$5:$A$2004,0)))</f>
        <v/>
      </c>
      <c r="C662" s="24" t="str">
        <f aca="false">IF($A662="","",INDEX(Workers!$E$5:$E$2004,MATCH($A662,Workers!$A$5:$A$2004,0)))</f>
        <v/>
      </c>
      <c r="D662" s="24" t="str">
        <f aca="false">IF($A662="","",INDEX(Workers!$K$5:$K$2004,MATCH($A662,Workers!$A$5:$A$2004,0)))</f>
        <v/>
      </c>
      <c r="E662" s="25" t="str">
        <f aca="false">IF($A662="","",SUMIFS(Timesheet!$E$5:$E$3004,Timesheet!$D$5:$D$3004,$A662,Timesheet!$A$5:$A$3004,"&gt;="&amp;Settings!$B$8,Timesheet!$A$5:$A$3004,"&lt;="&amp;Settings!$B$9))</f>
        <v/>
      </c>
      <c r="F662" s="25" t="str">
        <f aca="false">IF($A662="","",SUMIFS(Timesheet!$F$5:$F$3004,Timesheet!$D$5:$D$3004,$A662,Timesheet!$A$5:$A$3004,"&gt;="&amp;Settings!$B$8,Timesheet!$A$5:$A$3004,"&lt;="&amp;Settings!$B$9))</f>
        <v/>
      </c>
      <c r="G662" s="25" t="str">
        <f aca="false">IF($A662="","",SUMIFS(Timesheet!$G$5:$G$3004,Timesheet!$D$5:$D$3004,$A662,Timesheet!$A$5:$A$3004,"&gt;="&amp;Settings!$B$8,Timesheet!$A$5:$A$3004,"&lt;="&amp;Settings!$B$9))</f>
        <v/>
      </c>
      <c r="H662" s="25" t="str">
        <f aca="false">IF($A662="","",IF(D662="Monthly",MAX(0,Settings!$B$11-E662),0))</f>
        <v/>
      </c>
      <c r="I662" s="26" t="str">
        <f aca="false">IF($A662="","",N(INDEX(Workers!$L$5:$L$2004,MATCH($A662,Workers!$A$5:$A$2004,0))))</f>
        <v/>
      </c>
      <c r="J662" s="26" t="str">
        <f aca="false">IF($A662="","",N(INDEX(Workers!$M$5:$M$2004,MATCH($A662,Workers!$A$5:$A$2004,0))))</f>
        <v/>
      </c>
      <c r="K662" s="26" t="str">
        <f aca="false">IF($A662="","",IF(D662="Monthly",ROUND(MAX(0,(I662+J662)-(I662+J662)/Settings!$B$10*H662),2),0))</f>
        <v/>
      </c>
      <c r="L662" s="26" t="str">
        <f aca="false">IF($A662="","",IF(D662="Hourly",ROUND(F662*N(INDEX(Workers!$N$5:$N$2004,MATCH($A662,Workers!$A$5:$A$2004,0))),2),0))</f>
        <v/>
      </c>
      <c r="M662" s="26" t="str">
        <f aca="false">IF($A662="","",ROUND(G662*IF(D662="Hourly",N(INDEX(Workers!$N$5:$N$2004,MATCH($A662,Workers!$A$5:$A$2004,0))),I662/Settings!$B$10/Settings!$B$12)*Settings!$B$13,2))</f>
        <v/>
      </c>
      <c r="N662" s="26" t="str">
        <f aca="false">IF($A662="","",K662+L662+M662)</f>
        <v/>
      </c>
      <c r="O662" s="26" t="str">
        <f aca="false">IF($A662="","",SUMIFS(Deductions!$D$5:$D$2000,Deductions!$B$5:$B$2000,$A662,Deductions!$C$5:$C$2000,"Advance",Deductions!$E$5:$E$2000,"&gt;="&amp;Settings!$B$8,Deductions!$E$5:$E$2000,"&lt;="&amp;Settings!$B$9))</f>
        <v/>
      </c>
      <c r="P662" s="26" t="str">
        <f aca="false">IF($A662="","",SUMIFS(Deductions!$D$5:$D$2000,Deductions!$B$5:$B$2000,$A662,Deductions!$E$5:$E$2000,"&gt;="&amp;Settings!$B$8,Deductions!$E$5:$E$2000,"&lt;="&amp;Settings!$B$9)-O662)</f>
        <v/>
      </c>
      <c r="Q662" s="26" t="str">
        <f aca="false">IF($A662="","",O662+P662)</f>
        <v/>
      </c>
      <c r="R662" s="23" t="str">
        <f aca="false">IF($A662="","",N662-Q662)</f>
        <v/>
      </c>
      <c r="S662" s="24" t="str">
        <f aca="false">IF($A662="","",INDEX(Workers!$O$5:$O$2004,MATCH($A662,Workers!$A$5:$A$2004,0))&amp;"")</f>
        <v/>
      </c>
      <c r="T662" s="24" t="str">
        <f aca="false">IF($A662="","",INDEX(Workers!$P$5:$P$2004,MATCH($A662,Workers!$A$5:$A$2004,0))&amp;"")</f>
        <v/>
      </c>
      <c r="U662" s="24" t="str">
        <f aca="false">IF($A662="","",INDEX(Workers!$H$5:$H$2004,MATCH($A662,Workers!$A$5:$A$2004,0))&amp;"")</f>
        <v/>
      </c>
    </row>
    <row r="663" customFormat="false" ht="15" hidden="false" customHeight="false" outlineLevel="0" collapsed="false">
      <c r="A663" s="24" t="str">
        <f aca="false">IFERROR(INDEX(Workers!$A$5:$A$2004,MATCH(ROW()-4,Workers!$U$5:$U$2004,0)),"")</f>
        <v/>
      </c>
      <c r="B663" s="24" t="str">
        <f aca="false">IF($A663="","",INDEX(Workers!$B$5:$B$2004,MATCH($A663,Workers!$A$5:$A$2004,0)))</f>
        <v/>
      </c>
      <c r="C663" s="24" t="str">
        <f aca="false">IF($A663="","",INDEX(Workers!$E$5:$E$2004,MATCH($A663,Workers!$A$5:$A$2004,0)))</f>
        <v/>
      </c>
      <c r="D663" s="24" t="str">
        <f aca="false">IF($A663="","",INDEX(Workers!$K$5:$K$2004,MATCH($A663,Workers!$A$5:$A$2004,0)))</f>
        <v/>
      </c>
      <c r="E663" s="25" t="str">
        <f aca="false">IF($A663="","",SUMIFS(Timesheet!$E$5:$E$3004,Timesheet!$D$5:$D$3004,$A663,Timesheet!$A$5:$A$3004,"&gt;="&amp;Settings!$B$8,Timesheet!$A$5:$A$3004,"&lt;="&amp;Settings!$B$9))</f>
        <v/>
      </c>
      <c r="F663" s="25" t="str">
        <f aca="false">IF($A663="","",SUMIFS(Timesheet!$F$5:$F$3004,Timesheet!$D$5:$D$3004,$A663,Timesheet!$A$5:$A$3004,"&gt;="&amp;Settings!$B$8,Timesheet!$A$5:$A$3004,"&lt;="&amp;Settings!$B$9))</f>
        <v/>
      </c>
      <c r="G663" s="25" t="str">
        <f aca="false">IF($A663="","",SUMIFS(Timesheet!$G$5:$G$3004,Timesheet!$D$5:$D$3004,$A663,Timesheet!$A$5:$A$3004,"&gt;="&amp;Settings!$B$8,Timesheet!$A$5:$A$3004,"&lt;="&amp;Settings!$B$9))</f>
        <v/>
      </c>
      <c r="H663" s="25" t="str">
        <f aca="false">IF($A663="","",IF(D663="Monthly",MAX(0,Settings!$B$11-E663),0))</f>
        <v/>
      </c>
      <c r="I663" s="26" t="str">
        <f aca="false">IF($A663="","",N(INDEX(Workers!$L$5:$L$2004,MATCH($A663,Workers!$A$5:$A$2004,0))))</f>
        <v/>
      </c>
      <c r="J663" s="26" t="str">
        <f aca="false">IF($A663="","",N(INDEX(Workers!$M$5:$M$2004,MATCH($A663,Workers!$A$5:$A$2004,0))))</f>
        <v/>
      </c>
      <c r="K663" s="26" t="str">
        <f aca="false">IF($A663="","",IF(D663="Monthly",ROUND(MAX(0,(I663+J663)-(I663+J663)/Settings!$B$10*H663),2),0))</f>
        <v/>
      </c>
      <c r="L663" s="26" t="str">
        <f aca="false">IF($A663="","",IF(D663="Hourly",ROUND(F663*N(INDEX(Workers!$N$5:$N$2004,MATCH($A663,Workers!$A$5:$A$2004,0))),2),0))</f>
        <v/>
      </c>
      <c r="M663" s="26" t="str">
        <f aca="false">IF($A663="","",ROUND(G663*IF(D663="Hourly",N(INDEX(Workers!$N$5:$N$2004,MATCH($A663,Workers!$A$5:$A$2004,0))),I663/Settings!$B$10/Settings!$B$12)*Settings!$B$13,2))</f>
        <v/>
      </c>
      <c r="N663" s="26" t="str">
        <f aca="false">IF($A663="","",K663+L663+M663)</f>
        <v/>
      </c>
      <c r="O663" s="26" t="str">
        <f aca="false">IF($A663="","",SUMIFS(Deductions!$D$5:$D$2000,Deductions!$B$5:$B$2000,$A663,Deductions!$C$5:$C$2000,"Advance",Deductions!$E$5:$E$2000,"&gt;="&amp;Settings!$B$8,Deductions!$E$5:$E$2000,"&lt;="&amp;Settings!$B$9))</f>
        <v/>
      </c>
      <c r="P663" s="26" t="str">
        <f aca="false">IF($A663="","",SUMIFS(Deductions!$D$5:$D$2000,Deductions!$B$5:$B$2000,$A663,Deductions!$E$5:$E$2000,"&gt;="&amp;Settings!$B$8,Deductions!$E$5:$E$2000,"&lt;="&amp;Settings!$B$9)-O663)</f>
        <v/>
      </c>
      <c r="Q663" s="26" t="str">
        <f aca="false">IF($A663="","",O663+P663)</f>
        <v/>
      </c>
      <c r="R663" s="23" t="str">
        <f aca="false">IF($A663="","",N663-Q663)</f>
        <v/>
      </c>
      <c r="S663" s="24" t="str">
        <f aca="false">IF($A663="","",INDEX(Workers!$O$5:$O$2004,MATCH($A663,Workers!$A$5:$A$2004,0))&amp;"")</f>
        <v/>
      </c>
      <c r="T663" s="24" t="str">
        <f aca="false">IF($A663="","",INDEX(Workers!$P$5:$P$2004,MATCH($A663,Workers!$A$5:$A$2004,0))&amp;"")</f>
        <v/>
      </c>
      <c r="U663" s="24" t="str">
        <f aca="false">IF($A663="","",INDEX(Workers!$H$5:$H$2004,MATCH($A663,Workers!$A$5:$A$2004,0))&amp;"")</f>
        <v/>
      </c>
    </row>
    <row r="664" customFormat="false" ht="15" hidden="false" customHeight="false" outlineLevel="0" collapsed="false">
      <c r="A664" s="24" t="str">
        <f aca="false">IFERROR(INDEX(Workers!$A$5:$A$2004,MATCH(ROW()-4,Workers!$U$5:$U$2004,0)),"")</f>
        <v/>
      </c>
      <c r="B664" s="24" t="str">
        <f aca="false">IF($A664="","",INDEX(Workers!$B$5:$B$2004,MATCH($A664,Workers!$A$5:$A$2004,0)))</f>
        <v/>
      </c>
      <c r="C664" s="24" t="str">
        <f aca="false">IF($A664="","",INDEX(Workers!$E$5:$E$2004,MATCH($A664,Workers!$A$5:$A$2004,0)))</f>
        <v/>
      </c>
      <c r="D664" s="24" t="str">
        <f aca="false">IF($A664="","",INDEX(Workers!$K$5:$K$2004,MATCH($A664,Workers!$A$5:$A$2004,0)))</f>
        <v/>
      </c>
      <c r="E664" s="25" t="str">
        <f aca="false">IF($A664="","",SUMIFS(Timesheet!$E$5:$E$3004,Timesheet!$D$5:$D$3004,$A664,Timesheet!$A$5:$A$3004,"&gt;="&amp;Settings!$B$8,Timesheet!$A$5:$A$3004,"&lt;="&amp;Settings!$B$9))</f>
        <v/>
      </c>
      <c r="F664" s="25" t="str">
        <f aca="false">IF($A664="","",SUMIFS(Timesheet!$F$5:$F$3004,Timesheet!$D$5:$D$3004,$A664,Timesheet!$A$5:$A$3004,"&gt;="&amp;Settings!$B$8,Timesheet!$A$5:$A$3004,"&lt;="&amp;Settings!$B$9))</f>
        <v/>
      </c>
      <c r="G664" s="25" t="str">
        <f aca="false">IF($A664="","",SUMIFS(Timesheet!$G$5:$G$3004,Timesheet!$D$5:$D$3004,$A664,Timesheet!$A$5:$A$3004,"&gt;="&amp;Settings!$B$8,Timesheet!$A$5:$A$3004,"&lt;="&amp;Settings!$B$9))</f>
        <v/>
      </c>
      <c r="H664" s="25" t="str">
        <f aca="false">IF($A664="","",IF(D664="Monthly",MAX(0,Settings!$B$11-E664),0))</f>
        <v/>
      </c>
      <c r="I664" s="26" t="str">
        <f aca="false">IF($A664="","",N(INDEX(Workers!$L$5:$L$2004,MATCH($A664,Workers!$A$5:$A$2004,0))))</f>
        <v/>
      </c>
      <c r="J664" s="26" t="str">
        <f aca="false">IF($A664="","",N(INDEX(Workers!$M$5:$M$2004,MATCH($A664,Workers!$A$5:$A$2004,0))))</f>
        <v/>
      </c>
      <c r="K664" s="26" t="str">
        <f aca="false">IF($A664="","",IF(D664="Monthly",ROUND(MAX(0,(I664+J664)-(I664+J664)/Settings!$B$10*H664),2),0))</f>
        <v/>
      </c>
      <c r="L664" s="26" t="str">
        <f aca="false">IF($A664="","",IF(D664="Hourly",ROUND(F664*N(INDEX(Workers!$N$5:$N$2004,MATCH($A664,Workers!$A$5:$A$2004,0))),2),0))</f>
        <v/>
      </c>
      <c r="M664" s="26" t="str">
        <f aca="false">IF($A664="","",ROUND(G664*IF(D664="Hourly",N(INDEX(Workers!$N$5:$N$2004,MATCH($A664,Workers!$A$5:$A$2004,0))),I664/Settings!$B$10/Settings!$B$12)*Settings!$B$13,2))</f>
        <v/>
      </c>
      <c r="N664" s="26" t="str">
        <f aca="false">IF($A664="","",K664+L664+M664)</f>
        <v/>
      </c>
      <c r="O664" s="26" t="str">
        <f aca="false">IF($A664="","",SUMIFS(Deductions!$D$5:$D$2000,Deductions!$B$5:$B$2000,$A664,Deductions!$C$5:$C$2000,"Advance",Deductions!$E$5:$E$2000,"&gt;="&amp;Settings!$B$8,Deductions!$E$5:$E$2000,"&lt;="&amp;Settings!$B$9))</f>
        <v/>
      </c>
      <c r="P664" s="26" t="str">
        <f aca="false">IF($A664="","",SUMIFS(Deductions!$D$5:$D$2000,Deductions!$B$5:$B$2000,$A664,Deductions!$E$5:$E$2000,"&gt;="&amp;Settings!$B$8,Deductions!$E$5:$E$2000,"&lt;="&amp;Settings!$B$9)-O664)</f>
        <v/>
      </c>
      <c r="Q664" s="26" t="str">
        <f aca="false">IF($A664="","",O664+P664)</f>
        <v/>
      </c>
      <c r="R664" s="23" t="str">
        <f aca="false">IF($A664="","",N664-Q664)</f>
        <v/>
      </c>
      <c r="S664" s="24" t="str">
        <f aca="false">IF($A664="","",INDEX(Workers!$O$5:$O$2004,MATCH($A664,Workers!$A$5:$A$2004,0))&amp;"")</f>
        <v/>
      </c>
      <c r="T664" s="24" t="str">
        <f aca="false">IF($A664="","",INDEX(Workers!$P$5:$P$2004,MATCH($A664,Workers!$A$5:$A$2004,0))&amp;"")</f>
        <v/>
      </c>
      <c r="U664" s="24" t="str">
        <f aca="false">IF($A664="","",INDEX(Workers!$H$5:$H$2004,MATCH($A664,Workers!$A$5:$A$2004,0))&amp;"")</f>
        <v/>
      </c>
    </row>
    <row r="665" customFormat="false" ht="15" hidden="false" customHeight="false" outlineLevel="0" collapsed="false">
      <c r="A665" s="24" t="str">
        <f aca="false">IFERROR(INDEX(Workers!$A$5:$A$2004,MATCH(ROW()-4,Workers!$U$5:$U$2004,0)),"")</f>
        <v/>
      </c>
      <c r="B665" s="24" t="str">
        <f aca="false">IF($A665="","",INDEX(Workers!$B$5:$B$2004,MATCH($A665,Workers!$A$5:$A$2004,0)))</f>
        <v/>
      </c>
      <c r="C665" s="24" t="str">
        <f aca="false">IF($A665="","",INDEX(Workers!$E$5:$E$2004,MATCH($A665,Workers!$A$5:$A$2004,0)))</f>
        <v/>
      </c>
      <c r="D665" s="24" t="str">
        <f aca="false">IF($A665="","",INDEX(Workers!$K$5:$K$2004,MATCH($A665,Workers!$A$5:$A$2004,0)))</f>
        <v/>
      </c>
      <c r="E665" s="25" t="str">
        <f aca="false">IF($A665="","",SUMIFS(Timesheet!$E$5:$E$3004,Timesheet!$D$5:$D$3004,$A665,Timesheet!$A$5:$A$3004,"&gt;="&amp;Settings!$B$8,Timesheet!$A$5:$A$3004,"&lt;="&amp;Settings!$B$9))</f>
        <v/>
      </c>
      <c r="F665" s="25" t="str">
        <f aca="false">IF($A665="","",SUMIFS(Timesheet!$F$5:$F$3004,Timesheet!$D$5:$D$3004,$A665,Timesheet!$A$5:$A$3004,"&gt;="&amp;Settings!$B$8,Timesheet!$A$5:$A$3004,"&lt;="&amp;Settings!$B$9))</f>
        <v/>
      </c>
      <c r="G665" s="25" t="str">
        <f aca="false">IF($A665="","",SUMIFS(Timesheet!$G$5:$G$3004,Timesheet!$D$5:$D$3004,$A665,Timesheet!$A$5:$A$3004,"&gt;="&amp;Settings!$B$8,Timesheet!$A$5:$A$3004,"&lt;="&amp;Settings!$B$9))</f>
        <v/>
      </c>
      <c r="H665" s="25" t="str">
        <f aca="false">IF($A665="","",IF(D665="Monthly",MAX(0,Settings!$B$11-E665),0))</f>
        <v/>
      </c>
      <c r="I665" s="26" t="str">
        <f aca="false">IF($A665="","",N(INDEX(Workers!$L$5:$L$2004,MATCH($A665,Workers!$A$5:$A$2004,0))))</f>
        <v/>
      </c>
      <c r="J665" s="26" t="str">
        <f aca="false">IF($A665="","",N(INDEX(Workers!$M$5:$M$2004,MATCH($A665,Workers!$A$5:$A$2004,0))))</f>
        <v/>
      </c>
      <c r="K665" s="26" t="str">
        <f aca="false">IF($A665="","",IF(D665="Monthly",ROUND(MAX(0,(I665+J665)-(I665+J665)/Settings!$B$10*H665),2),0))</f>
        <v/>
      </c>
      <c r="L665" s="26" t="str">
        <f aca="false">IF($A665="","",IF(D665="Hourly",ROUND(F665*N(INDEX(Workers!$N$5:$N$2004,MATCH($A665,Workers!$A$5:$A$2004,0))),2),0))</f>
        <v/>
      </c>
      <c r="M665" s="26" t="str">
        <f aca="false">IF($A665="","",ROUND(G665*IF(D665="Hourly",N(INDEX(Workers!$N$5:$N$2004,MATCH($A665,Workers!$A$5:$A$2004,0))),I665/Settings!$B$10/Settings!$B$12)*Settings!$B$13,2))</f>
        <v/>
      </c>
      <c r="N665" s="26" t="str">
        <f aca="false">IF($A665="","",K665+L665+M665)</f>
        <v/>
      </c>
      <c r="O665" s="26" t="str">
        <f aca="false">IF($A665="","",SUMIFS(Deductions!$D$5:$D$2000,Deductions!$B$5:$B$2000,$A665,Deductions!$C$5:$C$2000,"Advance",Deductions!$E$5:$E$2000,"&gt;="&amp;Settings!$B$8,Deductions!$E$5:$E$2000,"&lt;="&amp;Settings!$B$9))</f>
        <v/>
      </c>
      <c r="P665" s="26" t="str">
        <f aca="false">IF($A665="","",SUMIFS(Deductions!$D$5:$D$2000,Deductions!$B$5:$B$2000,$A665,Deductions!$E$5:$E$2000,"&gt;="&amp;Settings!$B$8,Deductions!$E$5:$E$2000,"&lt;="&amp;Settings!$B$9)-O665)</f>
        <v/>
      </c>
      <c r="Q665" s="26" t="str">
        <f aca="false">IF($A665="","",O665+P665)</f>
        <v/>
      </c>
      <c r="R665" s="23" t="str">
        <f aca="false">IF($A665="","",N665-Q665)</f>
        <v/>
      </c>
      <c r="S665" s="24" t="str">
        <f aca="false">IF($A665="","",INDEX(Workers!$O$5:$O$2004,MATCH($A665,Workers!$A$5:$A$2004,0))&amp;"")</f>
        <v/>
      </c>
      <c r="T665" s="24" t="str">
        <f aca="false">IF($A665="","",INDEX(Workers!$P$5:$P$2004,MATCH($A665,Workers!$A$5:$A$2004,0))&amp;"")</f>
        <v/>
      </c>
      <c r="U665" s="24" t="str">
        <f aca="false">IF($A665="","",INDEX(Workers!$H$5:$H$2004,MATCH($A665,Workers!$A$5:$A$2004,0))&amp;"")</f>
        <v/>
      </c>
    </row>
    <row r="666" customFormat="false" ht="15" hidden="false" customHeight="false" outlineLevel="0" collapsed="false">
      <c r="A666" s="24" t="str">
        <f aca="false">IFERROR(INDEX(Workers!$A$5:$A$2004,MATCH(ROW()-4,Workers!$U$5:$U$2004,0)),"")</f>
        <v/>
      </c>
      <c r="B666" s="24" t="str">
        <f aca="false">IF($A666="","",INDEX(Workers!$B$5:$B$2004,MATCH($A666,Workers!$A$5:$A$2004,0)))</f>
        <v/>
      </c>
      <c r="C666" s="24" t="str">
        <f aca="false">IF($A666="","",INDEX(Workers!$E$5:$E$2004,MATCH($A666,Workers!$A$5:$A$2004,0)))</f>
        <v/>
      </c>
      <c r="D666" s="24" t="str">
        <f aca="false">IF($A666="","",INDEX(Workers!$K$5:$K$2004,MATCH($A666,Workers!$A$5:$A$2004,0)))</f>
        <v/>
      </c>
      <c r="E666" s="25" t="str">
        <f aca="false">IF($A666="","",SUMIFS(Timesheet!$E$5:$E$3004,Timesheet!$D$5:$D$3004,$A666,Timesheet!$A$5:$A$3004,"&gt;="&amp;Settings!$B$8,Timesheet!$A$5:$A$3004,"&lt;="&amp;Settings!$B$9))</f>
        <v/>
      </c>
      <c r="F666" s="25" t="str">
        <f aca="false">IF($A666="","",SUMIFS(Timesheet!$F$5:$F$3004,Timesheet!$D$5:$D$3004,$A666,Timesheet!$A$5:$A$3004,"&gt;="&amp;Settings!$B$8,Timesheet!$A$5:$A$3004,"&lt;="&amp;Settings!$B$9))</f>
        <v/>
      </c>
      <c r="G666" s="25" t="str">
        <f aca="false">IF($A666="","",SUMIFS(Timesheet!$G$5:$G$3004,Timesheet!$D$5:$D$3004,$A666,Timesheet!$A$5:$A$3004,"&gt;="&amp;Settings!$B$8,Timesheet!$A$5:$A$3004,"&lt;="&amp;Settings!$B$9))</f>
        <v/>
      </c>
      <c r="H666" s="25" t="str">
        <f aca="false">IF($A666="","",IF(D666="Monthly",MAX(0,Settings!$B$11-E666),0))</f>
        <v/>
      </c>
      <c r="I666" s="26" t="str">
        <f aca="false">IF($A666="","",N(INDEX(Workers!$L$5:$L$2004,MATCH($A666,Workers!$A$5:$A$2004,0))))</f>
        <v/>
      </c>
      <c r="J666" s="26" t="str">
        <f aca="false">IF($A666="","",N(INDEX(Workers!$M$5:$M$2004,MATCH($A666,Workers!$A$5:$A$2004,0))))</f>
        <v/>
      </c>
      <c r="K666" s="26" t="str">
        <f aca="false">IF($A666="","",IF(D666="Monthly",ROUND(MAX(0,(I666+J666)-(I666+J666)/Settings!$B$10*H666),2),0))</f>
        <v/>
      </c>
      <c r="L666" s="26" t="str">
        <f aca="false">IF($A666="","",IF(D666="Hourly",ROUND(F666*N(INDEX(Workers!$N$5:$N$2004,MATCH($A666,Workers!$A$5:$A$2004,0))),2),0))</f>
        <v/>
      </c>
      <c r="M666" s="26" t="str">
        <f aca="false">IF($A666="","",ROUND(G666*IF(D666="Hourly",N(INDEX(Workers!$N$5:$N$2004,MATCH($A666,Workers!$A$5:$A$2004,0))),I666/Settings!$B$10/Settings!$B$12)*Settings!$B$13,2))</f>
        <v/>
      </c>
      <c r="N666" s="26" t="str">
        <f aca="false">IF($A666="","",K666+L666+M666)</f>
        <v/>
      </c>
      <c r="O666" s="26" t="str">
        <f aca="false">IF($A666="","",SUMIFS(Deductions!$D$5:$D$2000,Deductions!$B$5:$B$2000,$A666,Deductions!$C$5:$C$2000,"Advance",Deductions!$E$5:$E$2000,"&gt;="&amp;Settings!$B$8,Deductions!$E$5:$E$2000,"&lt;="&amp;Settings!$B$9))</f>
        <v/>
      </c>
      <c r="P666" s="26" t="str">
        <f aca="false">IF($A666="","",SUMIFS(Deductions!$D$5:$D$2000,Deductions!$B$5:$B$2000,$A666,Deductions!$E$5:$E$2000,"&gt;="&amp;Settings!$B$8,Deductions!$E$5:$E$2000,"&lt;="&amp;Settings!$B$9)-O666)</f>
        <v/>
      </c>
      <c r="Q666" s="26" t="str">
        <f aca="false">IF($A666="","",O666+P666)</f>
        <v/>
      </c>
      <c r="R666" s="23" t="str">
        <f aca="false">IF($A666="","",N666-Q666)</f>
        <v/>
      </c>
      <c r="S666" s="24" t="str">
        <f aca="false">IF($A666="","",INDEX(Workers!$O$5:$O$2004,MATCH($A666,Workers!$A$5:$A$2004,0))&amp;"")</f>
        <v/>
      </c>
      <c r="T666" s="24" t="str">
        <f aca="false">IF($A666="","",INDEX(Workers!$P$5:$P$2004,MATCH($A666,Workers!$A$5:$A$2004,0))&amp;"")</f>
        <v/>
      </c>
      <c r="U666" s="24" t="str">
        <f aca="false">IF($A666="","",INDEX(Workers!$H$5:$H$2004,MATCH($A666,Workers!$A$5:$A$2004,0))&amp;"")</f>
        <v/>
      </c>
    </row>
    <row r="667" customFormat="false" ht="15" hidden="false" customHeight="false" outlineLevel="0" collapsed="false">
      <c r="A667" s="24" t="str">
        <f aca="false">IFERROR(INDEX(Workers!$A$5:$A$2004,MATCH(ROW()-4,Workers!$U$5:$U$2004,0)),"")</f>
        <v/>
      </c>
      <c r="B667" s="24" t="str">
        <f aca="false">IF($A667="","",INDEX(Workers!$B$5:$B$2004,MATCH($A667,Workers!$A$5:$A$2004,0)))</f>
        <v/>
      </c>
      <c r="C667" s="24" t="str">
        <f aca="false">IF($A667="","",INDEX(Workers!$E$5:$E$2004,MATCH($A667,Workers!$A$5:$A$2004,0)))</f>
        <v/>
      </c>
      <c r="D667" s="24" t="str">
        <f aca="false">IF($A667="","",INDEX(Workers!$K$5:$K$2004,MATCH($A667,Workers!$A$5:$A$2004,0)))</f>
        <v/>
      </c>
      <c r="E667" s="25" t="str">
        <f aca="false">IF($A667="","",SUMIFS(Timesheet!$E$5:$E$3004,Timesheet!$D$5:$D$3004,$A667,Timesheet!$A$5:$A$3004,"&gt;="&amp;Settings!$B$8,Timesheet!$A$5:$A$3004,"&lt;="&amp;Settings!$B$9))</f>
        <v/>
      </c>
      <c r="F667" s="25" t="str">
        <f aca="false">IF($A667="","",SUMIFS(Timesheet!$F$5:$F$3004,Timesheet!$D$5:$D$3004,$A667,Timesheet!$A$5:$A$3004,"&gt;="&amp;Settings!$B$8,Timesheet!$A$5:$A$3004,"&lt;="&amp;Settings!$B$9))</f>
        <v/>
      </c>
      <c r="G667" s="25" t="str">
        <f aca="false">IF($A667="","",SUMIFS(Timesheet!$G$5:$G$3004,Timesheet!$D$5:$D$3004,$A667,Timesheet!$A$5:$A$3004,"&gt;="&amp;Settings!$B$8,Timesheet!$A$5:$A$3004,"&lt;="&amp;Settings!$B$9))</f>
        <v/>
      </c>
      <c r="H667" s="25" t="str">
        <f aca="false">IF($A667="","",IF(D667="Monthly",MAX(0,Settings!$B$11-E667),0))</f>
        <v/>
      </c>
      <c r="I667" s="26" t="str">
        <f aca="false">IF($A667="","",N(INDEX(Workers!$L$5:$L$2004,MATCH($A667,Workers!$A$5:$A$2004,0))))</f>
        <v/>
      </c>
      <c r="J667" s="26" t="str">
        <f aca="false">IF($A667="","",N(INDEX(Workers!$M$5:$M$2004,MATCH($A667,Workers!$A$5:$A$2004,0))))</f>
        <v/>
      </c>
      <c r="K667" s="26" t="str">
        <f aca="false">IF($A667="","",IF(D667="Monthly",ROUND(MAX(0,(I667+J667)-(I667+J667)/Settings!$B$10*H667),2),0))</f>
        <v/>
      </c>
      <c r="L667" s="26" t="str">
        <f aca="false">IF($A667="","",IF(D667="Hourly",ROUND(F667*N(INDEX(Workers!$N$5:$N$2004,MATCH($A667,Workers!$A$5:$A$2004,0))),2),0))</f>
        <v/>
      </c>
      <c r="M667" s="26" t="str">
        <f aca="false">IF($A667="","",ROUND(G667*IF(D667="Hourly",N(INDEX(Workers!$N$5:$N$2004,MATCH($A667,Workers!$A$5:$A$2004,0))),I667/Settings!$B$10/Settings!$B$12)*Settings!$B$13,2))</f>
        <v/>
      </c>
      <c r="N667" s="26" t="str">
        <f aca="false">IF($A667="","",K667+L667+M667)</f>
        <v/>
      </c>
      <c r="O667" s="26" t="str">
        <f aca="false">IF($A667="","",SUMIFS(Deductions!$D$5:$D$2000,Deductions!$B$5:$B$2000,$A667,Deductions!$C$5:$C$2000,"Advance",Deductions!$E$5:$E$2000,"&gt;="&amp;Settings!$B$8,Deductions!$E$5:$E$2000,"&lt;="&amp;Settings!$B$9))</f>
        <v/>
      </c>
      <c r="P667" s="26" t="str">
        <f aca="false">IF($A667="","",SUMIFS(Deductions!$D$5:$D$2000,Deductions!$B$5:$B$2000,$A667,Deductions!$E$5:$E$2000,"&gt;="&amp;Settings!$B$8,Deductions!$E$5:$E$2000,"&lt;="&amp;Settings!$B$9)-O667)</f>
        <v/>
      </c>
      <c r="Q667" s="26" t="str">
        <f aca="false">IF($A667="","",O667+P667)</f>
        <v/>
      </c>
      <c r="R667" s="23" t="str">
        <f aca="false">IF($A667="","",N667-Q667)</f>
        <v/>
      </c>
      <c r="S667" s="24" t="str">
        <f aca="false">IF($A667="","",INDEX(Workers!$O$5:$O$2004,MATCH($A667,Workers!$A$5:$A$2004,0))&amp;"")</f>
        <v/>
      </c>
      <c r="T667" s="24" t="str">
        <f aca="false">IF($A667="","",INDEX(Workers!$P$5:$P$2004,MATCH($A667,Workers!$A$5:$A$2004,0))&amp;"")</f>
        <v/>
      </c>
      <c r="U667" s="24" t="str">
        <f aca="false">IF($A667="","",INDEX(Workers!$H$5:$H$2004,MATCH($A667,Workers!$A$5:$A$2004,0))&amp;"")</f>
        <v/>
      </c>
    </row>
    <row r="668" customFormat="false" ht="15" hidden="false" customHeight="false" outlineLevel="0" collapsed="false">
      <c r="A668" s="24" t="str">
        <f aca="false">IFERROR(INDEX(Workers!$A$5:$A$2004,MATCH(ROW()-4,Workers!$U$5:$U$2004,0)),"")</f>
        <v/>
      </c>
      <c r="B668" s="24" t="str">
        <f aca="false">IF($A668="","",INDEX(Workers!$B$5:$B$2004,MATCH($A668,Workers!$A$5:$A$2004,0)))</f>
        <v/>
      </c>
      <c r="C668" s="24" t="str">
        <f aca="false">IF($A668="","",INDEX(Workers!$E$5:$E$2004,MATCH($A668,Workers!$A$5:$A$2004,0)))</f>
        <v/>
      </c>
      <c r="D668" s="24" t="str">
        <f aca="false">IF($A668="","",INDEX(Workers!$K$5:$K$2004,MATCH($A668,Workers!$A$5:$A$2004,0)))</f>
        <v/>
      </c>
      <c r="E668" s="25" t="str">
        <f aca="false">IF($A668="","",SUMIFS(Timesheet!$E$5:$E$3004,Timesheet!$D$5:$D$3004,$A668,Timesheet!$A$5:$A$3004,"&gt;="&amp;Settings!$B$8,Timesheet!$A$5:$A$3004,"&lt;="&amp;Settings!$B$9))</f>
        <v/>
      </c>
      <c r="F668" s="25" t="str">
        <f aca="false">IF($A668="","",SUMIFS(Timesheet!$F$5:$F$3004,Timesheet!$D$5:$D$3004,$A668,Timesheet!$A$5:$A$3004,"&gt;="&amp;Settings!$B$8,Timesheet!$A$5:$A$3004,"&lt;="&amp;Settings!$B$9))</f>
        <v/>
      </c>
      <c r="G668" s="25" t="str">
        <f aca="false">IF($A668="","",SUMIFS(Timesheet!$G$5:$G$3004,Timesheet!$D$5:$D$3004,$A668,Timesheet!$A$5:$A$3004,"&gt;="&amp;Settings!$B$8,Timesheet!$A$5:$A$3004,"&lt;="&amp;Settings!$B$9))</f>
        <v/>
      </c>
      <c r="H668" s="25" t="str">
        <f aca="false">IF($A668="","",IF(D668="Monthly",MAX(0,Settings!$B$11-E668),0))</f>
        <v/>
      </c>
      <c r="I668" s="26" t="str">
        <f aca="false">IF($A668="","",N(INDEX(Workers!$L$5:$L$2004,MATCH($A668,Workers!$A$5:$A$2004,0))))</f>
        <v/>
      </c>
      <c r="J668" s="26" t="str">
        <f aca="false">IF($A668="","",N(INDEX(Workers!$M$5:$M$2004,MATCH($A668,Workers!$A$5:$A$2004,0))))</f>
        <v/>
      </c>
      <c r="K668" s="26" t="str">
        <f aca="false">IF($A668="","",IF(D668="Monthly",ROUND(MAX(0,(I668+J668)-(I668+J668)/Settings!$B$10*H668),2),0))</f>
        <v/>
      </c>
      <c r="L668" s="26" t="str">
        <f aca="false">IF($A668="","",IF(D668="Hourly",ROUND(F668*N(INDEX(Workers!$N$5:$N$2004,MATCH($A668,Workers!$A$5:$A$2004,0))),2),0))</f>
        <v/>
      </c>
      <c r="M668" s="26" t="str">
        <f aca="false">IF($A668="","",ROUND(G668*IF(D668="Hourly",N(INDEX(Workers!$N$5:$N$2004,MATCH($A668,Workers!$A$5:$A$2004,0))),I668/Settings!$B$10/Settings!$B$12)*Settings!$B$13,2))</f>
        <v/>
      </c>
      <c r="N668" s="26" t="str">
        <f aca="false">IF($A668="","",K668+L668+M668)</f>
        <v/>
      </c>
      <c r="O668" s="26" t="str">
        <f aca="false">IF($A668="","",SUMIFS(Deductions!$D$5:$D$2000,Deductions!$B$5:$B$2000,$A668,Deductions!$C$5:$C$2000,"Advance",Deductions!$E$5:$E$2000,"&gt;="&amp;Settings!$B$8,Deductions!$E$5:$E$2000,"&lt;="&amp;Settings!$B$9))</f>
        <v/>
      </c>
      <c r="P668" s="26" t="str">
        <f aca="false">IF($A668="","",SUMIFS(Deductions!$D$5:$D$2000,Deductions!$B$5:$B$2000,$A668,Deductions!$E$5:$E$2000,"&gt;="&amp;Settings!$B$8,Deductions!$E$5:$E$2000,"&lt;="&amp;Settings!$B$9)-O668)</f>
        <v/>
      </c>
      <c r="Q668" s="26" t="str">
        <f aca="false">IF($A668="","",O668+P668)</f>
        <v/>
      </c>
      <c r="R668" s="23" t="str">
        <f aca="false">IF($A668="","",N668-Q668)</f>
        <v/>
      </c>
      <c r="S668" s="24" t="str">
        <f aca="false">IF($A668="","",INDEX(Workers!$O$5:$O$2004,MATCH($A668,Workers!$A$5:$A$2004,0))&amp;"")</f>
        <v/>
      </c>
      <c r="T668" s="24" t="str">
        <f aca="false">IF($A668="","",INDEX(Workers!$P$5:$P$2004,MATCH($A668,Workers!$A$5:$A$2004,0))&amp;"")</f>
        <v/>
      </c>
      <c r="U668" s="24" t="str">
        <f aca="false">IF($A668="","",INDEX(Workers!$H$5:$H$2004,MATCH($A668,Workers!$A$5:$A$2004,0))&amp;"")</f>
        <v/>
      </c>
    </row>
    <row r="669" customFormat="false" ht="15" hidden="false" customHeight="false" outlineLevel="0" collapsed="false">
      <c r="A669" s="24" t="str">
        <f aca="false">IFERROR(INDEX(Workers!$A$5:$A$2004,MATCH(ROW()-4,Workers!$U$5:$U$2004,0)),"")</f>
        <v/>
      </c>
      <c r="B669" s="24" t="str">
        <f aca="false">IF($A669="","",INDEX(Workers!$B$5:$B$2004,MATCH($A669,Workers!$A$5:$A$2004,0)))</f>
        <v/>
      </c>
      <c r="C669" s="24" t="str">
        <f aca="false">IF($A669="","",INDEX(Workers!$E$5:$E$2004,MATCH($A669,Workers!$A$5:$A$2004,0)))</f>
        <v/>
      </c>
      <c r="D669" s="24" t="str">
        <f aca="false">IF($A669="","",INDEX(Workers!$K$5:$K$2004,MATCH($A669,Workers!$A$5:$A$2004,0)))</f>
        <v/>
      </c>
      <c r="E669" s="25" t="str">
        <f aca="false">IF($A669="","",SUMIFS(Timesheet!$E$5:$E$3004,Timesheet!$D$5:$D$3004,$A669,Timesheet!$A$5:$A$3004,"&gt;="&amp;Settings!$B$8,Timesheet!$A$5:$A$3004,"&lt;="&amp;Settings!$B$9))</f>
        <v/>
      </c>
      <c r="F669" s="25" t="str">
        <f aca="false">IF($A669="","",SUMIFS(Timesheet!$F$5:$F$3004,Timesheet!$D$5:$D$3004,$A669,Timesheet!$A$5:$A$3004,"&gt;="&amp;Settings!$B$8,Timesheet!$A$5:$A$3004,"&lt;="&amp;Settings!$B$9))</f>
        <v/>
      </c>
      <c r="G669" s="25" t="str">
        <f aca="false">IF($A669="","",SUMIFS(Timesheet!$G$5:$G$3004,Timesheet!$D$5:$D$3004,$A669,Timesheet!$A$5:$A$3004,"&gt;="&amp;Settings!$B$8,Timesheet!$A$5:$A$3004,"&lt;="&amp;Settings!$B$9))</f>
        <v/>
      </c>
      <c r="H669" s="25" t="str">
        <f aca="false">IF($A669="","",IF(D669="Monthly",MAX(0,Settings!$B$11-E669),0))</f>
        <v/>
      </c>
      <c r="I669" s="26" t="str">
        <f aca="false">IF($A669="","",N(INDEX(Workers!$L$5:$L$2004,MATCH($A669,Workers!$A$5:$A$2004,0))))</f>
        <v/>
      </c>
      <c r="J669" s="26" t="str">
        <f aca="false">IF($A669="","",N(INDEX(Workers!$M$5:$M$2004,MATCH($A669,Workers!$A$5:$A$2004,0))))</f>
        <v/>
      </c>
      <c r="K669" s="26" t="str">
        <f aca="false">IF($A669="","",IF(D669="Monthly",ROUND(MAX(0,(I669+J669)-(I669+J669)/Settings!$B$10*H669),2),0))</f>
        <v/>
      </c>
      <c r="L669" s="26" t="str">
        <f aca="false">IF($A669="","",IF(D669="Hourly",ROUND(F669*N(INDEX(Workers!$N$5:$N$2004,MATCH($A669,Workers!$A$5:$A$2004,0))),2),0))</f>
        <v/>
      </c>
      <c r="M669" s="26" t="str">
        <f aca="false">IF($A669="","",ROUND(G669*IF(D669="Hourly",N(INDEX(Workers!$N$5:$N$2004,MATCH($A669,Workers!$A$5:$A$2004,0))),I669/Settings!$B$10/Settings!$B$12)*Settings!$B$13,2))</f>
        <v/>
      </c>
      <c r="N669" s="26" t="str">
        <f aca="false">IF($A669="","",K669+L669+M669)</f>
        <v/>
      </c>
      <c r="O669" s="26" t="str">
        <f aca="false">IF($A669="","",SUMIFS(Deductions!$D$5:$D$2000,Deductions!$B$5:$B$2000,$A669,Deductions!$C$5:$C$2000,"Advance",Deductions!$E$5:$E$2000,"&gt;="&amp;Settings!$B$8,Deductions!$E$5:$E$2000,"&lt;="&amp;Settings!$B$9))</f>
        <v/>
      </c>
      <c r="P669" s="26" t="str">
        <f aca="false">IF($A669="","",SUMIFS(Deductions!$D$5:$D$2000,Deductions!$B$5:$B$2000,$A669,Deductions!$E$5:$E$2000,"&gt;="&amp;Settings!$B$8,Deductions!$E$5:$E$2000,"&lt;="&amp;Settings!$B$9)-O669)</f>
        <v/>
      </c>
      <c r="Q669" s="26" t="str">
        <f aca="false">IF($A669="","",O669+P669)</f>
        <v/>
      </c>
      <c r="R669" s="23" t="str">
        <f aca="false">IF($A669="","",N669-Q669)</f>
        <v/>
      </c>
      <c r="S669" s="24" t="str">
        <f aca="false">IF($A669="","",INDEX(Workers!$O$5:$O$2004,MATCH($A669,Workers!$A$5:$A$2004,0))&amp;"")</f>
        <v/>
      </c>
      <c r="T669" s="24" t="str">
        <f aca="false">IF($A669="","",INDEX(Workers!$P$5:$P$2004,MATCH($A669,Workers!$A$5:$A$2004,0))&amp;"")</f>
        <v/>
      </c>
      <c r="U669" s="24" t="str">
        <f aca="false">IF($A669="","",INDEX(Workers!$H$5:$H$2004,MATCH($A669,Workers!$A$5:$A$2004,0))&amp;"")</f>
        <v/>
      </c>
    </row>
    <row r="670" customFormat="false" ht="15" hidden="false" customHeight="false" outlineLevel="0" collapsed="false">
      <c r="A670" s="24" t="str">
        <f aca="false">IFERROR(INDEX(Workers!$A$5:$A$2004,MATCH(ROW()-4,Workers!$U$5:$U$2004,0)),"")</f>
        <v/>
      </c>
      <c r="B670" s="24" t="str">
        <f aca="false">IF($A670="","",INDEX(Workers!$B$5:$B$2004,MATCH($A670,Workers!$A$5:$A$2004,0)))</f>
        <v/>
      </c>
      <c r="C670" s="24" t="str">
        <f aca="false">IF($A670="","",INDEX(Workers!$E$5:$E$2004,MATCH($A670,Workers!$A$5:$A$2004,0)))</f>
        <v/>
      </c>
      <c r="D670" s="24" t="str">
        <f aca="false">IF($A670="","",INDEX(Workers!$K$5:$K$2004,MATCH($A670,Workers!$A$5:$A$2004,0)))</f>
        <v/>
      </c>
      <c r="E670" s="25" t="str">
        <f aca="false">IF($A670="","",SUMIFS(Timesheet!$E$5:$E$3004,Timesheet!$D$5:$D$3004,$A670,Timesheet!$A$5:$A$3004,"&gt;="&amp;Settings!$B$8,Timesheet!$A$5:$A$3004,"&lt;="&amp;Settings!$B$9))</f>
        <v/>
      </c>
      <c r="F670" s="25" t="str">
        <f aca="false">IF($A670="","",SUMIFS(Timesheet!$F$5:$F$3004,Timesheet!$D$5:$D$3004,$A670,Timesheet!$A$5:$A$3004,"&gt;="&amp;Settings!$B$8,Timesheet!$A$5:$A$3004,"&lt;="&amp;Settings!$B$9))</f>
        <v/>
      </c>
      <c r="G670" s="25" t="str">
        <f aca="false">IF($A670="","",SUMIFS(Timesheet!$G$5:$G$3004,Timesheet!$D$5:$D$3004,$A670,Timesheet!$A$5:$A$3004,"&gt;="&amp;Settings!$B$8,Timesheet!$A$5:$A$3004,"&lt;="&amp;Settings!$B$9))</f>
        <v/>
      </c>
      <c r="H670" s="25" t="str">
        <f aca="false">IF($A670="","",IF(D670="Monthly",MAX(0,Settings!$B$11-E670),0))</f>
        <v/>
      </c>
      <c r="I670" s="26" t="str">
        <f aca="false">IF($A670="","",N(INDEX(Workers!$L$5:$L$2004,MATCH($A670,Workers!$A$5:$A$2004,0))))</f>
        <v/>
      </c>
      <c r="J670" s="26" t="str">
        <f aca="false">IF($A670="","",N(INDEX(Workers!$M$5:$M$2004,MATCH($A670,Workers!$A$5:$A$2004,0))))</f>
        <v/>
      </c>
      <c r="K670" s="26" t="str">
        <f aca="false">IF($A670="","",IF(D670="Monthly",ROUND(MAX(0,(I670+J670)-(I670+J670)/Settings!$B$10*H670),2),0))</f>
        <v/>
      </c>
      <c r="L670" s="26" t="str">
        <f aca="false">IF($A670="","",IF(D670="Hourly",ROUND(F670*N(INDEX(Workers!$N$5:$N$2004,MATCH($A670,Workers!$A$5:$A$2004,0))),2),0))</f>
        <v/>
      </c>
      <c r="M670" s="26" t="str">
        <f aca="false">IF($A670="","",ROUND(G670*IF(D670="Hourly",N(INDEX(Workers!$N$5:$N$2004,MATCH($A670,Workers!$A$5:$A$2004,0))),I670/Settings!$B$10/Settings!$B$12)*Settings!$B$13,2))</f>
        <v/>
      </c>
      <c r="N670" s="26" t="str">
        <f aca="false">IF($A670="","",K670+L670+M670)</f>
        <v/>
      </c>
      <c r="O670" s="26" t="str">
        <f aca="false">IF($A670="","",SUMIFS(Deductions!$D$5:$D$2000,Deductions!$B$5:$B$2000,$A670,Deductions!$C$5:$C$2000,"Advance",Deductions!$E$5:$E$2000,"&gt;="&amp;Settings!$B$8,Deductions!$E$5:$E$2000,"&lt;="&amp;Settings!$B$9))</f>
        <v/>
      </c>
      <c r="P670" s="26" t="str">
        <f aca="false">IF($A670="","",SUMIFS(Deductions!$D$5:$D$2000,Deductions!$B$5:$B$2000,$A670,Deductions!$E$5:$E$2000,"&gt;="&amp;Settings!$B$8,Deductions!$E$5:$E$2000,"&lt;="&amp;Settings!$B$9)-O670)</f>
        <v/>
      </c>
      <c r="Q670" s="26" t="str">
        <f aca="false">IF($A670="","",O670+P670)</f>
        <v/>
      </c>
      <c r="R670" s="23" t="str">
        <f aca="false">IF($A670="","",N670-Q670)</f>
        <v/>
      </c>
      <c r="S670" s="24" t="str">
        <f aca="false">IF($A670="","",INDEX(Workers!$O$5:$O$2004,MATCH($A670,Workers!$A$5:$A$2004,0))&amp;"")</f>
        <v/>
      </c>
      <c r="T670" s="24" t="str">
        <f aca="false">IF($A670="","",INDEX(Workers!$P$5:$P$2004,MATCH($A670,Workers!$A$5:$A$2004,0))&amp;"")</f>
        <v/>
      </c>
      <c r="U670" s="24" t="str">
        <f aca="false">IF($A670="","",INDEX(Workers!$H$5:$H$2004,MATCH($A670,Workers!$A$5:$A$2004,0))&amp;"")</f>
        <v/>
      </c>
    </row>
    <row r="671" customFormat="false" ht="15" hidden="false" customHeight="false" outlineLevel="0" collapsed="false">
      <c r="A671" s="24" t="str">
        <f aca="false">IFERROR(INDEX(Workers!$A$5:$A$2004,MATCH(ROW()-4,Workers!$U$5:$U$2004,0)),"")</f>
        <v/>
      </c>
      <c r="B671" s="24" t="str">
        <f aca="false">IF($A671="","",INDEX(Workers!$B$5:$B$2004,MATCH($A671,Workers!$A$5:$A$2004,0)))</f>
        <v/>
      </c>
      <c r="C671" s="24" t="str">
        <f aca="false">IF($A671="","",INDEX(Workers!$E$5:$E$2004,MATCH($A671,Workers!$A$5:$A$2004,0)))</f>
        <v/>
      </c>
      <c r="D671" s="24" t="str">
        <f aca="false">IF($A671="","",INDEX(Workers!$K$5:$K$2004,MATCH($A671,Workers!$A$5:$A$2004,0)))</f>
        <v/>
      </c>
      <c r="E671" s="25" t="str">
        <f aca="false">IF($A671="","",SUMIFS(Timesheet!$E$5:$E$3004,Timesheet!$D$5:$D$3004,$A671,Timesheet!$A$5:$A$3004,"&gt;="&amp;Settings!$B$8,Timesheet!$A$5:$A$3004,"&lt;="&amp;Settings!$B$9))</f>
        <v/>
      </c>
      <c r="F671" s="25" t="str">
        <f aca="false">IF($A671="","",SUMIFS(Timesheet!$F$5:$F$3004,Timesheet!$D$5:$D$3004,$A671,Timesheet!$A$5:$A$3004,"&gt;="&amp;Settings!$B$8,Timesheet!$A$5:$A$3004,"&lt;="&amp;Settings!$B$9))</f>
        <v/>
      </c>
      <c r="G671" s="25" t="str">
        <f aca="false">IF($A671="","",SUMIFS(Timesheet!$G$5:$G$3004,Timesheet!$D$5:$D$3004,$A671,Timesheet!$A$5:$A$3004,"&gt;="&amp;Settings!$B$8,Timesheet!$A$5:$A$3004,"&lt;="&amp;Settings!$B$9))</f>
        <v/>
      </c>
      <c r="H671" s="25" t="str">
        <f aca="false">IF($A671="","",IF(D671="Monthly",MAX(0,Settings!$B$11-E671),0))</f>
        <v/>
      </c>
      <c r="I671" s="26" t="str">
        <f aca="false">IF($A671="","",N(INDEX(Workers!$L$5:$L$2004,MATCH($A671,Workers!$A$5:$A$2004,0))))</f>
        <v/>
      </c>
      <c r="J671" s="26" t="str">
        <f aca="false">IF($A671="","",N(INDEX(Workers!$M$5:$M$2004,MATCH($A671,Workers!$A$5:$A$2004,0))))</f>
        <v/>
      </c>
      <c r="K671" s="26" t="str">
        <f aca="false">IF($A671="","",IF(D671="Monthly",ROUND(MAX(0,(I671+J671)-(I671+J671)/Settings!$B$10*H671),2),0))</f>
        <v/>
      </c>
      <c r="L671" s="26" t="str">
        <f aca="false">IF($A671="","",IF(D671="Hourly",ROUND(F671*N(INDEX(Workers!$N$5:$N$2004,MATCH($A671,Workers!$A$5:$A$2004,0))),2),0))</f>
        <v/>
      </c>
      <c r="M671" s="26" t="str">
        <f aca="false">IF($A671="","",ROUND(G671*IF(D671="Hourly",N(INDEX(Workers!$N$5:$N$2004,MATCH($A671,Workers!$A$5:$A$2004,0))),I671/Settings!$B$10/Settings!$B$12)*Settings!$B$13,2))</f>
        <v/>
      </c>
      <c r="N671" s="26" t="str">
        <f aca="false">IF($A671="","",K671+L671+M671)</f>
        <v/>
      </c>
      <c r="O671" s="26" t="str">
        <f aca="false">IF($A671="","",SUMIFS(Deductions!$D$5:$D$2000,Deductions!$B$5:$B$2000,$A671,Deductions!$C$5:$C$2000,"Advance",Deductions!$E$5:$E$2000,"&gt;="&amp;Settings!$B$8,Deductions!$E$5:$E$2000,"&lt;="&amp;Settings!$B$9))</f>
        <v/>
      </c>
      <c r="P671" s="26" t="str">
        <f aca="false">IF($A671="","",SUMIFS(Deductions!$D$5:$D$2000,Deductions!$B$5:$B$2000,$A671,Deductions!$E$5:$E$2000,"&gt;="&amp;Settings!$B$8,Deductions!$E$5:$E$2000,"&lt;="&amp;Settings!$B$9)-O671)</f>
        <v/>
      </c>
      <c r="Q671" s="26" t="str">
        <f aca="false">IF($A671="","",O671+P671)</f>
        <v/>
      </c>
      <c r="R671" s="23" t="str">
        <f aca="false">IF($A671="","",N671-Q671)</f>
        <v/>
      </c>
      <c r="S671" s="24" t="str">
        <f aca="false">IF($A671="","",INDEX(Workers!$O$5:$O$2004,MATCH($A671,Workers!$A$5:$A$2004,0))&amp;"")</f>
        <v/>
      </c>
      <c r="T671" s="24" t="str">
        <f aca="false">IF($A671="","",INDEX(Workers!$P$5:$P$2004,MATCH($A671,Workers!$A$5:$A$2004,0))&amp;"")</f>
        <v/>
      </c>
      <c r="U671" s="24" t="str">
        <f aca="false">IF($A671="","",INDEX(Workers!$H$5:$H$2004,MATCH($A671,Workers!$A$5:$A$2004,0))&amp;"")</f>
        <v/>
      </c>
    </row>
    <row r="672" customFormat="false" ht="15" hidden="false" customHeight="false" outlineLevel="0" collapsed="false">
      <c r="A672" s="24" t="str">
        <f aca="false">IFERROR(INDEX(Workers!$A$5:$A$2004,MATCH(ROW()-4,Workers!$U$5:$U$2004,0)),"")</f>
        <v/>
      </c>
      <c r="B672" s="24" t="str">
        <f aca="false">IF($A672="","",INDEX(Workers!$B$5:$B$2004,MATCH($A672,Workers!$A$5:$A$2004,0)))</f>
        <v/>
      </c>
      <c r="C672" s="24" t="str">
        <f aca="false">IF($A672="","",INDEX(Workers!$E$5:$E$2004,MATCH($A672,Workers!$A$5:$A$2004,0)))</f>
        <v/>
      </c>
      <c r="D672" s="24" t="str">
        <f aca="false">IF($A672="","",INDEX(Workers!$K$5:$K$2004,MATCH($A672,Workers!$A$5:$A$2004,0)))</f>
        <v/>
      </c>
      <c r="E672" s="25" t="str">
        <f aca="false">IF($A672="","",SUMIFS(Timesheet!$E$5:$E$3004,Timesheet!$D$5:$D$3004,$A672,Timesheet!$A$5:$A$3004,"&gt;="&amp;Settings!$B$8,Timesheet!$A$5:$A$3004,"&lt;="&amp;Settings!$B$9))</f>
        <v/>
      </c>
      <c r="F672" s="25" t="str">
        <f aca="false">IF($A672="","",SUMIFS(Timesheet!$F$5:$F$3004,Timesheet!$D$5:$D$3004,$A672,Timesheet!$A$5:$A$3004,"&gt;="&amp;Settings!$B$8,Timesheet!$A$5:$A$3004,"&lt;="&amp;Settings!$B$9))</f>
        <v/>
      </c>
      <c r="G672" s="25" t="str">
        <f aca="false">IF($A672="","",SUMIFS(Timesheet!$G$5:$G$3004,Timesheet!$D$5:$D$3004,$A672,Timesheet!$A$5:$A$3004,"&gt;="&amp;Settings!$B$8,Timesheet!$A$5:$A$3004,"&lt;="&amp;Settings!$B$9))</f>
        <v/>
      </c>
      <c r="H672" s="25" t="str">
        <f aca="false">IF($A672="","",IF(D672="Monthly",MAX(0,Settings!$B$11-E672),0))</f>
        <v/>
      </c>
      <c r="I672" s="26" t="str">
        <f aca="false">IF($A672="","",N(INDEX(Workers!$L$5:$L$2004,MATCH($A672,Workers!$A$5:$A$2004,0))))</f>
        <v/>
      </c>
      <c r="J672" s="26" t="str">
        <f aca="false">IF($A672="","",N(INDEX(Workers!$M$5:$M$2004,MATCH($A672,Workers!$A$5:$A$2004,0))))</f>
        <v/>
      </c>
      <c r="K672" s="26" t="str">
        <f aca="false">IF($A672="","",IF(D672="Monthly",ROUND(MAX(0,(I672+J672)-(I672+J672)/Settings!$B$10*H672),2),0))</f>
        <v/>
      </c>
      <c r="L672" s="26" t="str">
        <f aca="false">IF($A672="","",IF(D672="Hourly",ROUND(F672*N(INDEX(Workers!$N$5:$N$2004,MATCH($A672,Workers!$A$5:$A$2004,0))),2),0))</f>
        <v/>
      </c>
      <c r="M672" s="26" t="str">
        <f aca="false">IF($A672="","",ROUND(G672*IF(D672="Hourly",N(INDEX(Workers!$N$5:$N$2004,MATCH($A672,Workers!$A$5:$A$2004,0))),I672/Settings!$B$10/Settings!$B$12)*Settings!$B$13,2))</f>
        <v/>
      </c>
      <c r="N672" s="26" t="str">
        <f aca="false">IF($A672="","",K672+L672+M672)</f>
        <v/>
      </c>
      <c r="O672" s="26" t="str">
        <f aca="false">IF($A672="","",SUMIFS(Deductions!$D$5:$D$2000,Deductions!$B$5:$B$2000,$A672,Deductions!$C$5:$C$2000,"Advance",Deductions!$E$5:$E$2000,"&gt;="&amp;Settings!$B$8,Deductions!$E$5:$E$2000,"&lt;="&amp;Settings!$B$9))</f>
        <v/>
      </c>
      <c r="P672" s="26" t="str">
        <f aca="false">IF($A672="","",SUMIFS(Deductions!$D$5:$D$2000,Deductions!$B$5:$B$2000,$A672,Deductions!$E$5:$E$2000,"&gt;="&amp;Settings!$B$8,Deductions!$E$5:$E$2000,"&lt;="&amp;Settings!$B$9)-O672)</f>
        <v/>
      </c>
      <c r="Q672" s="26" t="str">
        <f aca="false">IF($A672="","",O672+P672)</f>
        <v/>
      </c>
      <c r="R672" s="23" t="str">
        <f aca="false">IF($A672="","",N672-Q672)</f>
        <v/>
      </c>
      <c r="S672" s="24" t="str">
        <f aca="false">IF($A672="","",INDEX(Workers!$O$5:$O$2004,MATCH($A672,Workers!$A$5:$A$2004,0))&amp;"")</f>
        <v/>
      </c>
      <c r="T672" s="24" t="str">
        <f aca="false">IF($A672="","",INDEX(Workers!$P$5:$P$2004,MATCH($A672,Workers!$A$5:$A$2004,0))&amp;"")</f>
        <v/>
      </c>
      <c r="U672" s="24" t="str">
        <f aca="false">IF($A672="","",INDEX(Workers!$H$5:$H$2004,MATCH($A672,Workers!$A$5:$A$2004,0))&amp;"")</f>
        <v/>
      </c>
    </row>
    <row r="673" customFormat="false" ht="15" hidden="false" customHeight="false" outlineLevel="0" collapsed="false">
      <c r="A673" s="24" t="str">
        <f aca="false">IFERROR(INDEX(Workers!$A$5:$A$2004,MATCH(ROW()-4,Workers!$U$5:$U$2004,0)),"")</f>
        <v/>
      </c>
      <c r="B673" s="24" t="str">
        <f aca="false">IF($A673="","",INDEX(Workers!$B$5:$B$2004,MATCH($A673,Workers!$A$5:$A$2004,0)))</f>
        <v/>
      </c>
      <c r="C673" s="24" t="str">
        <f aca="false">IF($A673="","",INDEX(Workers!$E$5:$E$2004,MATCH($A673,Workers!$A$5:$A$2004,0)))</f>
        <v/>
      </c>
      <c r="D673" s="24" t="str">
        <f aca="false">IF($A673="","",INDEX(Workers!$K$5:$K$2004,MATCH($A673,Workers!$A$5:$A$2004,0)))</f>
        <v/>
      </c>
      <c r="E673" s="25" t="str">
        <f aca="false">IF($A673="","",SUMIFS(Timesheet!$E$5:$E$3004,Timesheet!$D$5:$D$3004,$A673,Timesheet!$A$5:$A$3004,"&gt;="&amp;Settings!$B$8,Timesheet!$A$5:$A$3004,"&lt;="&amp;Settings!$B$9))</f>
        <v/>
      </c>
      <c r="F673" s="25" t="str">
        <f aca="false">IF($A673="","",SUMIFS(Timesheet!$F$5:$F$3004,Timesheet!$D$5:$D$3004,$A673,Timesheet!$A$5:$A$3004,"&gt;="&amp;Settings!$B$8,Timesheet!$A$5:$A$3004,"&lt;="&amp;Settings!$B$9))</f>
        <v/>
      </c>
      <c r="G673" s="25" t="str">
        <f aca="false">IF($A673="","",SUMIFS(Timesheet!$G$5:$G$3004,Timesheet!$D$5:$D$3004,$A673,Timesheet!$A$5:$A$3004,"&gt;="&amp;Settings!$B$8,Timesheet!$A$5:$A$3004,"&lt;="&amp;Settings!$B$9))</f>
        <v/>
      </c>
      <c r="H673" s="25" t="str">
        <f aca="false">IF($A673="","",IF(D673="Monthly",MAX(0,Settings!$B$11-E673),0))</f>
        <v/>
      </c>
      <c r="I673" s="26" t="str">
        <f aca="false">IF($A673="","",N(INDEX(Workers!$L$5:$L$2004,MATCH($A673,Workers!$A$5:$A$2004,0))))</f>
        <v/>
      </c>
      <c r="J673" s="26" t="str">
        <f aca="false">IF($A673="","",N(INDEX(Workers!$M$5:$M$2004,MATCH($A673,Workers!$A$5:$A$2004,0))))</f>
        <v/>
      </c>
      <c r="K673" s="26" t="str">
        <f aca="false">IF($A673="","",IF(D673="Monthly",ROUND(MAX(0,(I673+J673)-(I673+J673)/Settings!$B$10*H673),2),0))</f>
        <v/>
      </c>
      <c r="L673" s="26" t="str">
        <f aca="false">IF($A673="","",IF(D673="Hourly",ROUND(F673*N(INDEX(Workers!$N$5:$N$2004,MATCH($A673,Workers!$A$5:$A$2004,0))),2),0))</f>
        <v/>
      </c>
      <c r="M673" s="26" t="str">
        <f aca="false">IF($A673="","",ROUND(G673*IF(D673="Hourly",N(INDEX(Workers!$N$5:$N$2004,MATCH($A673,Workers!$A$5:$A$2004,0))),I673/Settings!$B$10/Settings!$B$12)*Settings!$B$13,2))</f>
        <v/>
      </c>
      <c r="N673" s="26" t="str">
        <f aca="false">IF($A673="","",K673+L673+M673)</f>
        <v/>
      </c>
      <c r="O673" s="26" t="str">
        <f aca="false">IF($A673="","",SUMIFS(Deductions!$D$5:$D$2000,Deductions!$B$5:$B$2000,$A673,Deductions!$C$5:$C$2000,"Advance",Deductions!$E$5:$E$2000,"&gt;="&amp;Settings!$B$8,Deductions!$E$5:$E$2000,"&lt;="&amp;Settings!$B$9))</f>
        <v/>
      </c>
      <c r="P673" s="26" t="str">
        <f aca="false">IF($A673="","",SUMIFS(Deductions!$D$5:$D$2000,Deductions!$B$5:$B$2000,$A673,Deductions!$E$5:$E$2000,"&gt;="&amp;Settings!$B$8,Deductions!$E$5:$E$2000,"&lt;="&amp;Settings!$B$9)-O673)</f>
        <v/>
      </c>
      <c r="Q673" s="26" t="str">
        <f aca="false">IF($A673="","",O673+P673)</f>
        <v/>
      </c>
      <c r="R673" s="23" t="str">
        <f aca="false">IF($A673="","",N673-Q673)</f>
        <v/>
      </c>
      <c r="S673" s="24" t="str">
        <f aca="false">IF($A673="","",INDEX(Workers!$O$5:$O$2004,MATCH($A673,Workers!$A$5:$A$2004,0))&amp;"")</f>
        <v/>
      </c>
      <c r="T673" s="24" t="str">
        <f aca="false">IF($A673="","",INDEX(Workers!$P$5:$P$2004,MATCH($A673,Workers!$A$5:$A$2004,0))&amp;"")</f>
        <v/>
      </c>
      <c r="U673" s="24" t="str">
        <f aca="false">IF($A673="","",INDEX(Workers!$H$5:$H$2004,MATCH($A673,Workers!$A$5:$A$2004,0))&amp;"")</f>
        <v/>
      </c>
    </row>
    <row r="674" customFormat="false" ht="15" hidden="false" customHeight="false" outlineLevel="0" collapsed="false">
      <c r="A674" s="24" t="str">
        <f aca="false">IFERROR(INDEX(Workers!$A$5:$A$2004,MATCH(ROW()-4,Workers!$U$5:$U$2004,0)),"")</f>
        <v/>
      </c>
      <c r="B674" s="24" t="str">
        <f aca="false">IF($A674="","",INDEX(Workers!$B$5:$B$2004,MATCH($A674,Workers!$A$5:$A$2004,0)))</f>
        <v/>
      </c>
      <c r="C674" s="24" t="str">
        <f aca="false">IF($A674="","",INDEX(Workers!$E$5:$E$2004,MATCH($A674,Workers!$A$5:$A$2004,0)))</f>
        <v/>
      </c>
      <c r="D674" s="24" t="str">
        <f aca="false">IF($A674="","",INDEX(Workers!$K$5:$K$2004,MATCH($A674,Workers!$A$5:$A$2004,0)))</f>
        <v/>
      </c>
      <c r="E674" s="25" t="str">
        <f aca="false">IF($A674="","",SUMIFS(Timesheet!$E$5:$E$3004,Timesheet!$D$5:$D$3004,$A674,Timesheet!$A$5:$A$3004,"&gt;="&amp;Settings!$B$8,Timesheet!$A$5:$A$3004,"&lt;="&amp;Settings!$B$9))</f>
        <v/>
      </c>
      <c r="F674" s="25" t="str">
        <f aca="false">IF($A674="","",SUMIFS(Timesheet!$F$5:$F$3004,Timesheet!$D$5:$D$3004,$A674,Timesheet!$A$5:$A$3004,"&gt;="&amp;Settings!$B$8,Timesheet!$A$5:$A$3004,"&lt;="&amp;Settings!$B$9))</f>
        <v/>
      </c>
      <c r="G674" s="25" t="str">
        <f aca="false">IF($A674="","",SUMIFS(Timesheet!$G$5:$G$3004,Timesheet!$D$5:$D$3004,$A674,Timesheet!$A$5:$A$3004,"&gt;="&amp;Settings!$B$8,Timesheet!$A$5:$A$3004,"&lt;="&amp;Settings!$B$9))</f>
        <v/>
      </c>
      <c r="H674" s="25" t="str">
        <f aca="false">IF($A674="","",IF(D674="Monthly",MAX(0,Settings!$B$11-E674),0))</f>
        <v/>
      </c>
      <c r="I674" s="26" t="str">
        <f aca="false">IF($A674="","",N(INDEX(Workers!$L$5:$L$2004,MATCH($A674,Workers!$A$5:$A$2004,0))))</f>
        <v/>
      </c>
      <c r="J674" s="26" t="str">
        <f aca="false">IF($A674="","",N(INDEX(Workers!$M$5:$M$2004,MATCH($A674,Workers!$A$5:$A$2004,0))))</f>
        <v/>
      </c>
      <c r="K674" s="26" t="str">
        <f aca="false">IF($A674="","",IF(D674="Monthly",ROUND(MAX(0,(I674+J674)-(I674+J674)/Settings!$B$10*H674),2),0))</f>
        <v/>
      </c>
      <c r="L674" s="26" t="str">
        <f aca="false">IF($A674="","",IF(D674="Hourly",ROUND(F674*N(INDEX(Workers!$N$5:$N$2004,MATCH($A674,Workers!$A$5:$A$2004,0))),2),0))</f>
        <v/>
      </c>
      <c r="M674" s="26" t="str">
        <f aca="false">IF($A674="","",ROUND(G674*IF(D674="Hourly",N(INDEX(Workers!$N$5:$N$2004,MATCH($A674,Workers!$A$5:$A$2004,0))),I674/Settings!$B$10/Settings!$B$12)*Settings!$B$13,2))</f>
        <v/>
      </c>
      <c r="N674" s="26" t="str">
        <f aca="false">IF($A674="","",K674+L674+M674)</f>
        <v/>
      </c>
      <c r="O674" s="26" t="str">
        <f aca="false">IF($A674="","",SUMIFS(Deductions!$D$5:$D$2000,Deductions!$B$5:$B$2000,$A674,Deductions!$C$5:$C$2000,"Advance",Deductions!$E$5:$E$2000,"&gt;="&amp;Settings!$B$8,Deductions!$E$5:$E$2000,"&lt;="&amp;Settings!$B$9))</f>
        <v/>
      </c>
      <c r="P674" s="26" t="str">
        <f aca="false">IF($A674="","",SUMIFS(Deductions!$D$5:$D$2000,Deductions!$B$5:$B$2000,$A674,Deductions!$E$5:$E$2000,"&gt;="&amp;Settings!$B$8,Deductions!$E$5:$E$2000,"&lt;="&amp;Settings!$B$9)-O674)</f>
        <v/>
      </c>
      <c r="Q674" s="26" t="str">
        <f aca="false">IF($A674="","",O674+P674)</f>
        <v/>
      </c>
      <c r="R674" s="23" t="str">
        <f aca="false">IF($A674="","",N674-Q674)</f>
        <v/>
      </c>
      <c r="S674" s="24" t="str">
        <f aca="false">IF($A674="","",INDEX(Workers!$O$5:$O$2004,MATCH($A674,Workers!$A$5:$A$2004,0))&amp;"")</f>
        <v/>
      </c>
      <c r="T674" s="24" t="str">
        <f aca="false">IF($A674="","",INDEX(Workers!$P$5:$P$2004,MATCH($A674,Workers!$A$5:$A$2004,0))&amp;"")</f>
        <v/>
      </c>
      <c r="U674" s="24" t="str">
        <f aca="false">IF($A674="","",INDEX(Workers!$H$5:$H$2004,MATCH($A674,Workers!$A$5:$A$2004,0))&amp;"")</f>
        <v/>
      </c>
    </row>
    <row r="675" customFormat="false" ht="15" hidden="false" customHeight="false" outlineLevel="0" collapsed="false">
      <c r="A675" s="24" t="str">
        <f aca="false">IFERROR(INDEX(Workers!$A$5:$A$2004,MATCH(ROW()-4,Workers!$U$5:$U$2004,0)),"")</f>
        <v/>
      </c>
      <c r="B675" s="24" t="str">
        <f aca="false">IF($A675="","",INDEX(Workers!$B$5:$B$2004,MATCH($A675,Workers!$A$5:$A$2004,0)))</f>
        <v/>
      </c>
      <c r="C675" s="24" t="str">
        <f aca="false">IF($A675="","",INDEX(Workers!$E$5:$E$2004,MATCH($A675,Workers!$A$5:$A$2004,0)))</f>
        <v/>
      </c>
      <c r="D675" s="24" t="str">
        <f aca="false">IF($A675="","",INDEX(Workers!$K$5:$K$2004,MATCH($A675,Workers!$A$5:$A$2004,0)))</f>
        <v/>
      </c>
      <c r="E675" s="25" t="str">
        <f aca="false">IF($A675="","",SUMIFS(Timesheet!$E$5:$E$3004,Timesheet!$D$5:$D$3004,$A675,Timesheet!$A$5:$A$3004,"&gt;="&amp;Settings!$B$8,Timesheet!$A$5:$A$3004,"&lt;="&amp;Settings!$B$9))</f>
        <v/>
      </c>
      <c r="F675" s="25" t="str">
        <f aca="false">IF($A675="","",SUMIFS(Timesheet!$F$5:$F$3004,Timesheet!$D$5:$D$3004,$A675,Timesheet!$A$5:$A$3004,"&gt;="&amp;Settings!$B$8,Timesheet!$A$5:$A$3004,"&lt;="&amp;Settings!$B$9))</f>
        <v/>
      </c>
      <c r="G675" s="25" t="str">
        <f aca="false">IF($A675="","",SUMIFS(Timesheet!$G$5:$G$3004,Timesheet!$D$5:$D$3004,$A675,Timesheet!$A$5:$A$3004,"&gt;="&amp;Settings!$B$8,Timesheet!$A$5:$A$3004,"&lt;="&amp;Settings!$B$9))</f>
        <v/>
      </c>
      <c r="H675" s="25" t="str">
        <f aca="false">IF($A675="","",IF(D675="Monthly",MAX(0,Settings!$B$11-E675),0))</f>
        <v/>
      </c>
      <c r="I675" s="26" t="str">
        <f aca="false">IF($A675="","",N(INDEX(Workers!$L$5:$L$2004,MATCH($A675,Workers!$A$5:$A$2004,0))))</f>
        <v/>
      </c>
      <c r="J675" s="26" t="str">
        <f aca="false">IF($A675="","",N(INDEX(Workers!$M$5:$M$2004,MATCH($A675,Workers!$A$5:$A$2004,0))))</f>
        <v/>
      </c>
      <c r="K675" s="26" t="str">
        <f aca="false">IF($A675="","",IF(D675="Monthly",ROUND(MAX(0,(I675+J675)-(I675+J675)/Settings!$B$10*H675),2),0))</f>
        <v/>
      </c>
      <c r="L675" s="26" t="str">
        <f aca="false">IF($A675="","",IF(D675="Hourly",ROUND(F675*N(INDEX(Workers!$N$5:$N$2004,MATCH($A675,Workers!$A$5:$A$2004,0))),2),0))</f>
        <v/>
      </c>
      <c r="M675" s="26" t="str">
        <f aca="false">IF($A675="","",ROUND(G675*IF(D675="Hourly",N(INDEX(Workers!$N$5:$N$2004,MATCH($A675,Workers!$A$5:$A$2004,0))),I675/Settings!$B$10/Settings!$B$12)*Settings!$B$13,2))</f>
        <v/>
      </c>
      <c r="N675" s="26" t="str">
        <f aca="false">IF($A675="","",K675+L675+M675)</f>
        <v/>
      </c>
      <c r="O675" s="26" t="str">
        <f aca="false">IF($A675="","",SUMIFS(Deductions!$D$5:$D$2000,Deductions!$B$5:$B$2000,$A675,Deductions!$C$5:$C$2000,"Advance",Deductions!$E$5:$E$2000,"&gt;="&amp;Settings!$B$8,Deductions!$E$5:$E$2000,"&lt;="&amp;Settings!$B$9))</f>
        <v/>
      </c>
      <c r="P675" s="26" t="str">
        <f aca="false">IF($A675="","",SUMIFS(Deductions!$D$5:$D$2000,Deductions!$B$5:$B$2000,$A675,Deductions!$E$5:$E$2000,"&gt;="&amp;Settings!$B$8,Deductions!$E$5:$E$2000,"&lt;="&amp;Settings!$B$9)-O675)</f>
        <v/>
      </c>
      <c r="Q675" s="26" t="str">
        <f aca="false">IF($A675="","",O675+P675)</f>
        <v/>
      </c>
      <c r="R675" s="23" t="str">
        <f aca="false">IF($A675="","",N675-Q675)</f>
        <v/>
      </c>
      <c r="S675" s="24" t="str">
        <f aca="false">IF($A675="","",INDEX(Workers!$O$5:$O$2004,MATCH($A675,Workers!$A$5:$A$2004,0))&amp;"")</f>
        <v/>
      </c>
      <c r="T675" s="24" t="str">
        <f aca="false">IF($A675="","",INDEX(Workers!$P$5:$P$2004,MATCH($A675,Workers!$A$5:$A$2004,0))&amp;"")</f>
        <v/>
      </c>
      <c r="U675" s="24" t="str">
        <f aca="false">IF($A675="","",INDEX(Workers!$H$5:$H$2004,MATCH($A675,Workers!$A$5:$A$2004,0))&amp;"")</f>
        <v/>
      </c>
    </row>
    <row r="676" customFormat="false" ht="15" hidden="false" customHeight="false" outlineLevel="0" collapsed="false">
      <c r="A676" s="24" t="str">
        <f aca="false">IFERROR(INDEX(Workers!$A$5:$A$2004,MATCH(ROW()-4,Workers!$U$5:$U$2004,0)),"")</f>
        <v/>
      </c>
      <c r="B676" s="24" t="str">
        <f aca="false">IF($A676="","",INDEX(Workers!$B$5:$B$2004,MATCH($A676,Workers!$A$5:$A$2004,0)))</f>
        <v/>
      </c>
      <c r="C676" s="24" t="str">
        <f aca="false">IF($A676="","",INDEX(Workers!$E$5:$E$2004,MATCH($A676,Workers!$A$5:$A$2004,0)))</f>
        <v/>
      </c>
      <c r="D676" s="24" t="str">
        <f aca="false">IF($A676="","",INDEX(Workers!$K$5:$K$2004,MATCH($A676,Workers!$A$5:$A$2004,0)))</f>
        <v/>
      </c>
      <c r="E676" s="25" t="str">
        <f aca="false">IF($A676="","",SUMIFS(Timesheet!$E$5:$E$3004,Timesheet!$D$5:$D$3004,$A676,Timesheet!$A$5:$A$3004,"&gt;="&amp;Settings!$B$8,Timesheet!$A$5:$A$3004,"&lt;="&amp;Settings!$B$9))</f>
        <v/>
      </c>
      <c r="F676" s="25" t="str">
        <f aca="false">IF($A676="","",SUMIFS(Timesheet!$F$5:$F$3004,Timesheet!$D$5:$D$3004,$A676,Timesheet!$A$5:$A$3004,"&gt;="&amp;Settings!$B$8,Timesheet!$A$5:$A$3004,"&lt;="&amp;Settings!$B$9))</f>
        <v/>
      </c>
      <c r="G676" s="25" t="str">
        <f aca="false">IF($A676="","",SUMIFS(Timesheet!$G$5:$G$3004,Timesheet!$D$5:$D$3004,$A676,Timesheet!$A$5:$A$3004,"&gt;="&amp;Settings!$B$8,Timesheet!$A$5:$A$3004,"&lt;="&amp;Settings!$B$9))</f>
        <v/>
      </c>
      <c r="H676" s="25" t="str">
        <f aca="false">IF($A676="","",IF(D676="Monthly",MAX(0,Settings!$B$11-E676),0))</f>
        <v/>
      </c>
      <c r="I676" s="26" t="str">
        <f aca="false">IF($A676="","",N(INDEX(Workers!$L$5:$L$2004,MATCH($A676,Workers!$A$5:$A$2004,0))))</f>
        <v/>
      </c>
      <c r="J676" s="26" t="str">
        <f aca="false">IF($A676="","",N(INDEX(Workers!$M$5:$M$2004,MATCH($A676,Workers!$A$5:$A$2004,0))))</f>
        <v/>
      </c>
      <c r="K676" s="26" t="str">
        <f aca="false">IF($A676="","",IF(D676="Monthly",ROUND(MAX(0,(I676+J676)-(I676+J676)/Settings!$B$10*H676),2),0))</f>
        <v/>
      </c>
      <c r="L676" s="26" t="str">
        <f aca="false">IF($A676="","",IF(D676="Hourly",ROUND(F676*N(INDEX(Workers!$N$5:$N$2004,MATCH($A676,Workers!$A$5:$A$2004,0))),2),0))</f>
        <v/>
      </c>
      <c r="M676" s="26" t="str">
        <f aca="false">IF($A676="","",ROUND(G676*IF(D676="Hourly",N(INDEX(Workers!$N$5:$N$2004,MATCH($A676,Workers!$A$5:$A$2004,0))),I676/Settings!$B$10/Settings!$B$12)*Settings!$B$13,2))</f>
        <v/>
      </c>
      <c r="N676" s="26" t="str">
        <f aca="false">IF($A676="","",K676+L676+M676)</f>
        <v/>
      </c>
      <c r="O676" s="26" t="str">
        <f aca="false">IF($A676="","",SUMIFS(Deductions!$D$5:$D$2000,Deductions!$B$5:$B$2000,$A676,Deductions!$C$5:$C$2000,"Advance",Deductions!$E$5:$E$2000,"&gt;="&amp;Settings!$B$8,Deductions!$E$5:$E$2000,"&lt;="&amp;Settings!$B$9))</f>
        <v/>
      </c>
      <c r="P676" s="26" t="str">
        <f aca="false">IF($A676="","",SUMIFS(Deductions!$D$5:$D$2000,Deductions!$B$5:$B$2000,$A676,Deductions!$E$5:$E$2000,"&gt;="&amp;Settings!$B$8,Deductions!$E$5:$E$2000,"&lt;="&amp;Settings!$B$9)-O676)</f>
        <v/>
      </c>
      <c r="Q676" s="26" t="str">
        <f aca="false">IF($A676="","",O676+P676)</f>
        <v/>
      </c>
      <c r="R676" s="23" t="str">
        <f aca="false">IF($A676="","",N676-Q676)</f>
        <v/>
      </c>
      <c r="S676" s="24" t="str">
        <f aca="false">IF($A676="","",INDEX(Workers!$O$5:$O$2004,MATCH($A676,Workers!$A$5:$A$2004,0))&amp;"")</f>
        <v/>
      </c>
      <c r="T676" s="24" t="str">
        <f aca="false">IF($A676="","",INDEX(Workers!$P$5:$P$2004,MATCH($A676,Workers!$A$5:$A$2004,0))&amp;"")</f>
        <v/>
      </c>
      <c r="U676" s="24" t="str">
        <f aca="false">IF($A676="","",INDEX(Workers!$H$5:$H$2004,MATCH($A676,Workers!$A$5:$A$2004,0))&amp;"")</f>
        <v/>
      </c>
    </row>
    <row r="677" customFormat="false" ht="15" hidden="false" customHeight="false" outlineLevel="0" collapsed="false">
      <c r="A677" s="24" t="str">
        <f aca="false">IFERROR(INDEX(Workers!$A$5:$A$2004,MATCH(ROW()-4,Workers!$U$5:$U$2004,0)),"")</f>
        <v/>
      </c>
      <c r="B677" s="24" t="str">
        <f aca="false">IF($A677="","",INDEX(Workers!$B$5:$B$2004,MATCH($A677,Workers!$A$5:$A$2004,0)))</f>
        <v/>
      </c>
      <c r="C677" s="24" t="str">
        <f aca="false">IF($A677="","",INDEX(Workers!$E$5:$E$2004,MATCH($A677,Workers!$A$5:$A$2004,0)))</f>
        <v/>
      </c>
      <c r="D677" s="24" t="str">
        <f aca="false">IF($A677="","",INDEX(Workers!$K$5:$K$2004,MATCH($A677,Workers!$A$5:$A$2004,0)))</f>
        <v/>
      </c>
      <c r="E677" s="25" t="str">
        <f aca="false">IF($A677="","",SUMIFS(Timesheet!$E$5:$E$3004,Timesheet!$D$5:$D$3004,$A677,Timesheet!$A$5:$A$3004,"&gt;="&amp;Settings!$B$8,Timesheet!$A$5:$A$3004,"&lt;="&amp;Settings!$B$9))</f>
        <v/>
      </c>
      <c r="F677" s="25" t="str">
        <f aca="false">IF($A677="","",SUMIFS(Timesheet!$F$5:$F$3004,Timesheet!$D$5:$D$3004,$A677,Timesheet!$A$5:$A$3004,"&gt;="&amp;Settings!$B$8,Timesheet!$A$5:$A$3004,"&lt;="&amp;Settings!$B$9))</f>
        <v/>
      </c>
      <c r="G677" s="25" t="str">
        <f aca="false">IF($A677="","",SUMIFS(Timesheet!$G$5:$G$3004,Timesheet!$D$5:$D$3004,$A677,Timesheet!$A$5:$A$3004,"&gt;="&amp;Settings!$B$8,Timesheet!$A$5:$A$3004,"&lt;="&amp;Settings!$B$9))</f>
        <v/>
      </c>
      <c r="H677" s="25" t="str">
        <f aca="false">IF($A677="","",IF(D677="Monthly",MAX(0,Settings!$B$11-E677),0))</f>
        <v/>
      </c>
      <c r="I677" s="26" t="str">
        <f aca="false">IF($A677="","",N(INDEX(Workers!$L$5:$L$2004,MATCH($A677,Workers!$A$5:$A$2004,0))))</f>
        <v/>
      </c>
      <c r="J677" s="26" t="str">
        <f aca="false">IF($A677="","",N(INDEX(Workers!$M$5:$M$2004,MATCH($A677,Workers!$A$5:$A$2004,0))))</f>
        <v/>
      </c>
      <c r="K677" s="26" t="str">
        <f aca="false">IF($A677="","",IF(D677="Monthly",ROUND(MAX(0,(I677+J677)-(I677+J677)/Settings!$B$10*H677),2),0))</f>
        <v/>
      </c>
      <c r="L677" s="26" t="str">
        <f aca="false">IF($A677="","",IF(D677="Hourly",ROUND(F677*N(INDEX(Workers!$N$5:$N$2004,MATCH($A677,Workers!$A$5:$A$2004,0))),2),0))</f>
        <v/>
      </c>
      <c r="M677" s="26" t="str">
        <f aca="false">IF($A677="","",ROUND(G677*IF(D677="Hourly",N(INDEX(Workers!$N$5:$N$2004,MATCH($A677,Workers!$A$5:$A$2004,0))),I677/Settings!$B$10/Settings!$B$12)*Settings!$B$13,2))</f>
        <v/>
      </c>
      <c r="N677" s="26" t="str">
        <f aca="false">IF($A677="","",K677+L677+M677)</f>
        <v/>
      </c>
      <c r="O677" s="26" t="str">
        <f aca="false">IF($A677="","",SUMIFS(Deductions!$D$5:$D$2000,Deductions!$B$5:$B$2000,$A677,Deductions!$C$5:$C$2000,"Advance",Deductions!$E$5:$E$2000,"&gt;="&amp;Settings!$B$8,Deductions!$E$5:$E$2000,"&lt;="&amp;Settings!$B$9))</f>
        <v/>
      </c>
      <c r="P677" s="26" t="str">
        <f aca="false">IF($A677="","",SUMIFS(Deductions!$D$5:$D$2000,Deductions!$B$5:$B$2000,$A677,Deductions!$E$5:$E$2000,"&gt;="&amp;Settings!$B$8,Deductions!$E$5:$E$2000,"&lt;="&amp;Settings!$B$9)-O677)</f>
        <v/>
      </c>
      <c r="Q677" s="26" t="str">
        <f aca="false">IF($A677="","",O677+P677)</f>
        <v/>
      </c>
      <c r="R677" s="23" t="str">
        <f aca="false">IF($A677="","",N677-Q677)</f>
        <v/>
      </c>
      <c r="S677" s="24" t="str">
        <f aca="false">IF($A677="","",INDEX(Workers!$O$5:$O$2004,MATCH($A677,Workers!$A$5:$A$2004,0))&amp;"")</f>
        <v/>
      </c>
      <c r="T677" s="24" t="str">
        <f aca="false">IF($A677="","",INDEX(Workers!$P$5:$P$2004,MATCH($A677,Workers!$A$5:$A$2004,0))&amp;"")</f>
        <v/>
      </c>
      <c r="U677" s="24" t="str">
        <f aca="false">IF($A677="","",INDEX(Workers!$H$5:$H$2004,MATCH($A677,Workers!$A$5:$A$2004,0))&amp;"")</f>
        <v/>
      </c>
    </row>
    <row r="678" customFormat="false" ht="15" hidden="false" customHeight="false" outlineLevel="0" collapsed="false">
      <c r="A678" s="24" t="str">
        <f aca="false">IFERROR(INDEX(Workers!$A$5:$A$2004,MATCH(ROW()-4,Workers!$U$5:$U$2004,0)),"")</f>
        <v/>
      </c>
      <c r="B678" s="24" t="str">
        <f aca="false">IF($A678="","",INDEX(Workers!$B$5:$B$2004,MATCH($A678,Workers!$A$5:$A$2004,0)))</f>
        <v/>
      </c>
      <c r="C678" s="24" t="str">
        <f aca="false">IF($A678="","",INDEX(Workers!$E$5:$E$2004,MATCH($A678,Workers!$A$5:$A$2004,0)))</f>
        <v/>
      </c>
      <c r="D678" s="24" t="str">
        <f aca="false">IF($A678="","",INDEX(Workers!$K$5:$K$2004,MATCH($A678,Workers!$A$5:$A$2004,0)))</f>
        <v/>
      </c>
      <c r="E678" s="25" t="str">
        <f aca="false">IF($A678="","",SUMIFS(Timesheet!$E$5:$E$3004,Timesheet!$D$5:$D$3004,$A678,Timesheet!$A$5:$A$3004,"&gt;="&amp;Settings!$B$8,Timesheet!$A$5:$A$3004,"&lt;="&amp;Settings!$B$9))</f>
        <v/>
      </c>
      <c r="F678" s="25" t="str">
        <f aca="false">IF($A678="","",SUMIFS(Timesheet!$F$5:$F$3004,Timesheet!$D$5:$D$3004,$A678,Timesheet!$A$5:$A$3004,"&gt;="&amp;Settings!$B$8,Timesheet!$A$5:$A$3004,"&lt;="&amp;Settings!$B$9))</f>
        <v/>
      </c>
      <c r="G678" s="25" t="str">
        <f aca="false">IF($A678="","",SUMIFS(Timesheet!$G$5:$G$3004,Timesheet!$D$5:$D$3004,$A678,Timesheet!$A$5:$A$3004,"&gt;="&amp;Settings!$B$8,Timesheet!$A$5:$A$3004,"&lt;="&amp;Settings!$B$9))</f>
        <v/>
      </c>
      <c r="H678" s="25" t="str">
        <f aca="false">IF($A678="","",IF(D678="Monthly",MAX(0,Settings!$B$11-E678),0))</f>
        <v/>
      </c>
      <c r="I678" s="26" t="str">
        <f aca="false">IF($A678="","",N(INDEX(Workers!$L$5:$L$2004,MATCH($A678,Workers!$A$5:$A$2004,0))))</f>
        <v/>
      </c>
      <c r="J678" s="26" t="str">
        <f aca="false">IF($A678="","",N(INDEX(Workers!$M$5:$M$2004,MATCH($A678,Workers!$A$5:$A$2004,0))))</f>
        <v/>
      </c>
      <c r="K678" s="26" t="str">
        <f aca="false">IF($A678="","",IF(D678="Monthly",ROUND(MAX(0,(I678+J678)-(I678+J678)/Settings!$B$10*H678),2),0))</f>
        <v/>
      </c>
      <c r="L678" s="26" t="str">
        <f aca="false">IF($A678="","",IF(D678="Hourly",ROUND(F678*N(INDEX(Workers!$N$5:$N$2004,MATCH($A678,Workers!$A$5:$A$2004,0))),2),0))</f>
        <v/>
      </c>
      <c r="M678" s="26" t="str">
        <f aca="false">IF($A678="","",ROUND(G678*IF(D678="Hourly",N(INDEX(Workers!$N$5:$N$2004,MATCH($A678,Workers!$A$5:$A$2004,0))),I678/Settings!$B$10/Settings!$B$12)*Settings!$B$13,2))</f>
        <v/>
      </c>
      <c r="N678" s="26" t="str">
        <f aca="false">IF($A678="","",K678+L678+M678)</f>
        <v/>
      </c>
      <c r="O678" s="26" t="str">
        <f aca="false">IF($A678="","",SUMIFS(Deductions!$D$5:$D$2000,Deductions!$B$5:$B$2000,$A678,Deductions!$C$5:$C$2000,"Advance",Deductions!$E$5:$E$2000,"&gt;="&amp;Settings!$B$8,Deductions!$E$5:$E$2000,"&lt;="&amp;Settings!$B$9))</f>
        <v/>
      </c>
      <c r="P678" s="26" t="str">
        <f aca="false">IF($A678="","",SUMIFS(Deductions!$D$5:$D$2000,Deductions!$B$5:$B$2000,$A678,Deductions!$E$5:$E$2000,"&gt;="&amp;Settings!$B$8,Deductions!$E$5:$E$2000,"&lt;="&amp;Settings!$B$9)-O678)</f>
        <v/>
      </c>
      <c r="Q678" s="26" t="str">
        <f aca="false">IF($A678="","",O678+P678)</f>
        <v/>
      </c>
      <c r="R678" s="23" t="str">
        <f aca="false">IF($A678="","",N678-Q678)</f>
        <v/>
      </c>
      <c r="S678" s="24" t="str">
        <f aca="false">IF($A678="","",INDEX(Workers!$O$5:$O$2004,MATCH($A678,Workers!$A$5:$A$2004,0))&amp;"")</f>
        <v/>
      </c>
      <c r="T678" s="24" t="str">
        <f aca="false">IF($A678="","",INDEX(Workers!$P$5:$P$2004,MATCH($A678,Workers!$A$5:$A$2004,0))&amp;"")</f>
        <v/>
      </c>
      <c r="U678" s="24" t="str">
        <f aca="false">IF($A678="","",INDEX(Workers!$H$5:$H$2004,MATCH($A678,Workers!$A$5:$A$2004,0))&amp;"")</f>
        <v/>
      </c>
    </row>
    <row r="679" customFormat="false" ht="15" hidden="false" customHeight="false" outlineLevel="0" collapsed="false">
      <c r="A679" s="24" t="str">
        <f aca="false">IFERROR(INDEX(Workers!$A$5:$A$2004,MATCH(ROW()-4,Workers!$U$5:$U$2004,0)),"")</f>
        <v/>
      </c>
      <c r="B679" s="24" t="str">
        <f aca="false">IF($A679="","",INDEX(Workers!$B$5:$B$2004,MATCH($A679,Workers!$A$5:$A$2004,0)))</f>
        <v/>
      </c>
      <c r="C679" s="24" t="str">
        <f aca="false">IF($A679="","",INDEX(Workers!$E$5:$E$2004,MATCH($A679,Workers!$A$5:$A$2004,0)))</f>
        <v/>
      </c>
      <c r="D679" s="24" t="str">
        <f aca="false">IF($A679="","",INDEX(Workers!$K$5:$K$2004,MATCH($A679,Workers!$A$5:$A$2004,0)))</f>
        <v/>
      </c>
      <c r="E679" s="25" t="str">
        <f aca="false">IF($A679="","",SUMIFS(Timesheet!$E$5:$E$3004,Timesheet!$D$5:$D$3004,$A679,Timesheet!$A$5:$A$3004,"&gt;="&amp;Settings!$B$8,Timesheet!$A$5:$A$3004,"&lt;="&amp;Settings!$B$9))</f>
        <v/>
      </c>
      <c r="F679" s="25" t="str">
        <f aca="false">IF($A679="","",SUMIFS(Timesheet!$F$5:$F$3004,Timesheet!$D$5:$D$3004,$A679,Timesheet!$A$5:$A$3004,"&gt;="&amp;Settings!$B$8,Timesheet!$A$5:$A$3004,"&lt;="&amp;Settings!$B$9))</f>
        <v/>
      </c>
      <c r="G679" s="25" t="str">
        <f aca="false">IF($A679="","",SUMIFS(Timesheet!$G$5:$G$3004,Timesheet!$D$5:$D$3004,$A679,Timesheet!$A$5:$A$3004,"&gt;="&amp;Settings!$B$8,Timesheet!$A$5:$A$3004,"&lt;="&amp;Settings!$B$9))</f>
        <v/>
      </c>
      <c r="H679" s="25" t="str">
        <f aca="false">IF($A679="","",IF(D679="Monthly",MAX(0,Settings!$B$11-E679),0))</f>
        <v/>
      </c>
      <c r="I679" s="26" t="str">
        <f aca="false">IF($A679="","",N(INDEX(Workers!$L$5:$L$2004,MATCH($A679,Workers!$A$5:$A$2004,0))))</f>
        <v/>
      </c>
      <c r="J679" s="26" t="str">
        <f aca="false">IF($A679="","",N(INDEX(Workers!$M$5:$M$2004,MATCH($A679,Workers!$A$5:$A$2004,0))))</f>
        <v/>
      </c>
      <c r="K679" s="26" t="str">
        <f aca="false">IF($A679="","",IF(D679="Monthly",ROUND(MAX(0,(I679+J679)-(I679+J679)/Settings!$B$10*H679),2),0))</f>
        <v/>
      </c>
      <c r="L679" s="26" t="str">
        <f aca="false">IF($A679="","",IF(D679="Hourly",ROUND(F679*N(INDEX(Workers!$N$5:$N$2004,MATCH($A679,Workers!$A$5:$A$2004,0))),2),0))</f>
        <v/>
      </c>
      <c r="M679" s="26" t="str">
        <f aca="false">IF($A679="","",ROUND(G679*IF(D679="Hourly",N(INDEX(Workers!$N$5:$N$2004,MATCH($A679,Workers!$A$5:$A$2004,0))),I679/Settings!$B$10/Settings!$B$12)*Settings!$B$13,2))</f>
        <v/>
      </c>
      <c r="N679" s="26" t="str">
        <f aca="false">IF($A679="","",K679+L679+M679)</f>
        <v/>
      </c>
      <c r="O679" s="26" t="str">
        <f aca="false">IF($A679="","",SUMIFS(Deductions!$D$5:$D$2000,Deductions!$B$5:$B$2000,$A679,Deductions!$C$5:$C$2000,"Advance",Deductions!$E$5:$E$2000,"&gt;="&amp;Settings!$B$8,Deductions!$E$5:$E$2000,"&lt;="&amp;Settings!$B$9))</f>
        <v/>
      </c>
      <c r="P679" s="26" t="str">
        <f aca="false">IF($A679="","",SUMIFS(Deductions!$D$5:$D$2000,Deductions!$B$5:$B$2000,$A679,Deductions!$E$5:$E$2000,"&gt;="&amp;Settings!$B$8,Deductions!$E$5:$E$2000,"&lt;="&amp;Settings!$B$9)-O679)</f>
        <v/>
      </c>
      <c r="Q679" s="26" t="str">
        <f aca="false">IF($A679="","",O679+P679)</f>
        <v/>
      </c>
      <c r="R679" s="23" t="str">
        <f aca="false">IF($A679="","",N679-Q679)</f>
        <v/>
      </c>
      <c r="S679" s="24" t="str">
        <f aca="false">IF($A679="","",INDEX(Workers!$O$5:$O$2004,MATCH($A679,Workers!$A$5:$A$2004,0))&amp;"")</f>
        <v/>
      </c>
      <c r="T679" s="24" t="str">
        <f aca="false">IF($A679="","",INDEX(Workers!$P$5:$P$2004,MATCH($A679,Workers!$A$5:$A$2004,0))&amp;"")</f>
        <v/>
      </c>
      <c r="U679" s="24" t="str">
        <f aca="false">IF($A679="","",INDEX(Workers!$H$5:$H$2004,MATCH($A679,Workers!$A$5:$A$2004,0))&amp;"")</f>
        <v/>
      </c>
    </row>
    <row r="680" customFormat="false" ht="15" hidden="false" customHeight="false" outlineLevel="0" collapsed="false">
      <c r="A680" s="24" t="str">
        <f aca="false">IFERROR(INDEX(Workers!$A$5:$A$2004,MATCH(ROW()-4,Workers!$U$5:$U$2004,0)),"")</f>
        <v/>
      </c>
      <c r="B680" s="24" t="str">
        <f aca="false">IF($A680="","",INDEX(Workers!$B$5:$B$2004,MATCH($A680,Workers!$A$5:$A$2004,0)))</f>
        <v/>
      </c>
      <c r="C680" s="24" t="str">
        <f aca="false">IF($A680="","",INDEX(Workers!$E$5:$E$2004,MATCH($A680,Workers!$A$5:$A$2004,0)))</f>
        <v/>
      </c>
      <c r="D680" s="24" t="str">
        <f aca="false">IF($A680="","",INDEX(Workers!$K$5:$K$2004,MATCH($A680,Workers!$A$5:$A$2004,0)))</f>
        <v/>
      </c>
      <c r="E680" s="25" t="str">
        <f aca="false">IF($A680="","",SUMIFS(Timesheet!$E$5:$E$3004,Timesheet!$D$5:$D$3004,$A680,Timesheet!$A$5:$A$3004,"&gt;="&amp;Settings!$B$8,Timesheet!$A$5:$A$3004,"&lt;="&amp;Settings!$B$9))</f>
        <v/>
      </c>
      <c r="F680" s="25" t="str">
        <f aca="false">IF($A680="","",SUMIFS(Timesheet!$F$5:$F$3004,Timesheet!$D$5:$D$3004,$A680,Timesheet!$A$5:$A$3004,"&gt;="&amp;Settings!$B$8,Timesheet!$A$5:$A$3004,"&lt;="&amp;Settings!$B$9))</f>
        <v/>
      </c>
      <c r="G680" s="25" t="str">
        <f aca="false">IF($A680="","",SUMIFS(Timesheet!$G$5:$G$3004,Timesheet!$D$5:$D$3004,$A680,Timesheet!$A$5:$A$3004,"&gt;="&amp;Settings!$B$8,Timesheet!$A$5:$A$3004,"&lt;="&amp;Settings!$B$9))</f>
        <v/>
      </c>
      <c r="H680" s="25" t="str">
        <f aca="false">IF($A680="","",IF(D680="Monthly",MAX(0,Settings!$B$11-E680),0))</f>
        <v/>
      </c>
      <c r="I680" s="26" t="str">
        <f aca="false">IF($A680="","",N(INDEX(Workers!$L$5:$L$2004,MATCH($A680,Workers!$A$5:$A$2004,0))))</f>
        <v/>
      </c>
      <c r="J680" s="26" t="str">
        <f aca="false">IF($A680="","",N(INDEX(Workers!$M$5:$M$2004,MATCH($A680,Workers!$A$5:$A$2004,0))))</f>
        <v/>
      </c>
      <c r="K680" s="26" t="str">
        <f aca="false">IF($A680="","",IF(D680="Monthly",ROUND(MAX(0,(I680+J680)-(I680+J680)/Settings!$B$10*H680),2),0))</f>
        <v/>
      </c>
      <c r="L680" s="26" t="str">
        <f aca="false">IF($A680="","",IF(D680="Hourly",ROUND(F680*N(INDEX(Workers!$N$5:$N$2004,MATCH($A680,Workers!$A$5:$A$2004,0))),2),0))</f>
        <v/>
      </c>
      <c r="M680" s="26" t="str">
        <f aca="false">IF($A680="","",ROUND(G680*IF(D680="Hourly",N(INDEX(Workers!$N$5:$N$2004,MATCH($A680,Workers!$A$5:$A$2004,0))),I680/Settings!$B$10/Settings!$B$12)*Settings!$B$13,2))</f>
        <v/>
      </c>
      <c r="N680" s="26" t="str">
        <f aca="false">IF($A680="","",K680+L680+M680)</f>
        <v/>
      </c>
      <c r="O680" s="26" t="str">
        <f aca="false">IF($A680="","",SUMIFS(Deductions!$D$5:$D$2000,Deductions!$B$5:$B$2000,$A680,Deductions!$C$5:$C$2000,"Advance",Deductions!$E$5:$E$2000,"&gt;="&amp;Settings!$B$8,Deductions!$E$5:$E$2000,"&lt;="&amp;Settings!$B$9))</f>
        <v/>
      </c>
      <c r="P680" s="26" t="str">
        <f aca="false">IF($A680="","",SUMIFS(Deductions!$D$5:$D$2000,Deductions!$B$5:$B$2000,$A680,Deductions!$E$5:$E$2000,"&gt;="&amp;Settings!$B$8,Deductions!$E$5:$E$2000,"&lt;="&amp;Settings!$B$9)-O680)</f>
        <v/>
      </c>
      <c r="Q680" s="26" t="str">
        <f aca="false">IF($A680="","",O680+P680)</f>
        <v/>
      </c>
      <c r="R680" s="23" t="str">
        <f aca="false">IF($A680="","",N680-Q680)</f>
        <v/>
      </c>
      <c r="S680" s="24" t="str">
        <f aca="false">IF($A680="","",INDEX(Workers!$O$5:$O$2004,MATCH($A680,Workers!$A$5:$A$2004,0))&amp;"")</f>
        <v/>
      </c>
      <c r="T680" s="24" t="str">
        <f aca="false">IF($A680="","",INDEX(Workers!$P$5:$P$2004,MATCH($A680,Workers!$A$5:$A$2004,0))&amp;"")</f>
        <v/>
      </c>
      <c r="U680" s="24" t="str">
        <f aca="false">IF($A680="","",INDEX(Workers!$H$5:$H$2004,MATCH($A680,Workers!$A$5:$A$2004,0))&amp;"")</f>
        <v/>
      </c>
    </row>
    <row r="681" customFormat="false" ht="15" hidden="false" customHeight="false" outlineLevel="0" collapsed="false">
      <c r="A681" s="24" t="str">
        <f aca="false">IFERROR(INDEX(Workers!$A$5:$A$2004,MATCH(ROW()-4,Workers!$U$5:$U$2004,0)),"")</f>
        <v/>
      </c>
      <c r="B681" s="24" t="str">
        <f aca="false">IF($A681="","",INDEX(Workers!$B$5:$B$2004,MATCH($A681,Workers!$A$5:$A$2004,0)))</f>
        <v/>
      </c>
      <c r="C681" s="24" t="str">
        <f aca="false">IF($A681="","",INDEX(Workers!$E$5:$E$2004,MATCH($A681,Workers!$A$5:$A$2004,0)))</f>
        <v/>
      </c>
      <c r="D681" s="24" t="str">
        <f aca="false">IF($A681="","",INDEX(Workers!$K$5:$K$2004,MATCH($A681,Workers!$A$5:$A$2004,0)))</f>
        <v/>
      </c>
      <c r="E681" s="25" t="str">
        <f aca="false">IF($A681="","",SUMIFS(Timesheet!$E$5:$E$3004,Timesheet!$D$5:$D$3004,$A681,Timesheet!$A$5:$A$3004,"&gt;="&amp;Settings!$B$8,Timesheet!$A$5:$A$3004,"&lt;="&amp;Settings!$B$9))</f>
        <v/>
      </c>
      <c r="F681" s="25" t="str">
        <f aca="false">IF($A681="","",SUMIFS(Timesheet!$F$5:$F$3004,Timesheet!$D$5:$D$3004,$A681,Timesheet!$A$5:$A$3004,"&gt;="&amp;Settings!$B$8,Timesheet!$A$5:$A$3004,"&lt;="&amp;Settings!$B$9))</f>
        <v/>
      </c>
      <c r="G681" s="25" t="str">
        <f aca="false">IF($A681="","",SUMIFS(Timesheet!$G$5:$G$3004,Timesheet!$D$5:$D$3004,$A681,Timesheet!$A$5:$A$3004,"&gt;="&amp;Settings!$B$8,Timesheet!$A$5:$A$3004,"&lt;="&amp;Settings!$B$9))</f>
        <v/>
      </c>
      <c r="H681" s="25" t="str">
        <f aca="false">IF($A681="","",IF(D681="Monthly",MAX(0,Settings!$B$11-E681),0))</f>
        <v/>
      </c>
      <c r="I681" s="26" t="str">
        <f aca="false">IF($A681="","",N(INDEX(Workers!$L$5:$L$2004,MATCH($A681,Workers!$A$5:$A$2004,0))))</f>
        <v/>
      </c>
      <c r="J681" s="26" t="str">
        <f aca="false">IF($A681="","",N(INDEX(Workers!$M$5:$M$2004,MATCH($A681,Workers!$A$5:$A$2004,0))))</f>
        <v/>
      </c>
      <c r="K681" s="26" t="str">
        <f aca="false">IF($A681="","",IF(D681="Monthly",ROUND(MAX(0,(I681+J681)-(I681+J681)/Settings!$B$10*H681),2),0))</f>
        <v/>
      </c>
      <c r="L681" s="26" t="str">
        <f aca="false">IF($A681="","",IF(D681="Hourly",ROUND(F681*N(INDEX(Workers!$N$5:$N$2004,MATCH($A681,Workers!$A$5:$A$2004,0))),2),0))</f>
        <v/>
      </c>
      <c r="M681" s="26" t="str">
        <f aca="false">IF($A681="","",ROUND(G681*IF(D681="Hourly",N(INDEX(Workers!$N$5:$N$2004,MATCH($A681,Workers!$A$5:$A$2004,0))),I681/Settings!$B$10/Settings!$B$12)*Settings!$B$13,2))</f>
        <v/>
      </c>
      <c r="N681" s="26" t="str">
        <f aca="false">IF($A681="","",K681+L681+M681)</f>
        <v/>
      </c>
      <c r="O681" s="26" t="str">
        <f aca="false">IF($A681="","",SUMIFS(Deductions!$D$5:$D$2000,Deductions!$B$5:$B$2000,$A681,Deductions!$C$5:$C$2000,"Advance",Deductions!$E$5:$E$2000,"&gt;="&amp;Settings!$B$8,Deductions!$E$5:$E$2000,"&lt;="&amp;Settings!$B$9))</f>
        <v/>
      </c>
      <c r="P681" s="26" t="str">
        <f aca="false">IF($A681="","",SUMIFS(Deductions!$D$5:$D$2000,Deductions!$B$5:$B$2000,$A681,Deductions!$E$5:$E$2000,"&gt;="&amp;Settings!$B$8,Deductions!$E$5:$E$2000,"&lt;="&amp;Settings!$B$9)-O681)</f>
        <v/>
      </c>
      <c r="Q681" s="26" t="str">
        <f aca="false">IF($A681="","",O681+P681)</f>
        <v/>
      </c>
      <c r="R681" s="23" t="str">
        <f aca="false">IF($A681="","",N681-Q681)</f>
        <v/>
      </c>
      <c r="S681" s="24" t="str">
        <f aca="false">IF($A681="","",INDEX(Workers!$O$5:$O$2004,MATCH($A681,Workers!$A$5:$A$2004,0))&amp;"")</f>
        <v/>
      </c>
      <c r="T681" s="24" t="str">
        <f aca="false">IF($A681="","",INDEX(Workers!$P$5:$P$2004,MATCH($A681,Workers!$A$5:$A$2004,0))&amp;"")</f>
        <v/>
      </c>
      <c r="U681" s="24" t="str">
        <f aca="false">IF($A681="","",INDEX(Workers!$H$5:$H$2004,MATCH($A681,Workers!$A$5:$A$2004,0))&amp;"")</f>
        <v/>
      </c>
    </row>
    <row r="682" customFormat="false" ht="15" hidden="false" customHeight="false" outlineLevel="0" collapsed="false">
      <c r="A682" s="24" t="str">
        <f aca="false">IFERROR(INDEX(Workers!$A$5:$A$2004,MATCH(ROW()-4,Workers!$U$5:$U$2004,0)),"")</f>
        <v/>
      </c>
      <c r="B682" s="24" t="str">
        <f aca="false">IF($A682="","",INDEX(Workers!$B$5:$B$2004,MATCH($A682,Workers!$A$5:$A$2004,0)))</f>
        <v/>
      </c>
      <c r="C682" s="24" t="str">
        <f aca="false">IF($A682="","",INDEX(Workers!$E$5:$E$2004,MATCH($A682,Workers!$A$5:$A$2004,0)))</f>
        <v/>
      </c>
      <c r="D682" s="24" t="str">
        <f aca="false">IF($A682="","",INDEX(Workers!$K$5:$K$2004,MATCH($A682,Workers!$A$5:$A$2004,0)))</f>
        <v/>
      </c>
      <c r="E682" s="25" t="str">
        <f aca="false">IF($A682="","",SUMIFS(Timesheet!$E$5:$E$3004,Timesheet!$D$5:$D$3004,$A682,Timesheet!$A$5:$A$3004,"&gt;="&amp;Settings!$B$8,Timesheet!$A$5:$A$3004,"&lt;="&amp;Settings!$B$9))</f>
        <v/>
      </c>
      <c r="F682" s="25" t="str">
        <f aca="false">IF($A682="","",SUMIFS(Timesheet!$F$5:$F$3004,Timesheet!$D$5:$D$3004,$A682,Timesheet!$A$5:$A$3004,"&gt;="&amp;Settings!$B$8,Timesheet!$A$5:$A$3004,"&lt;="&amp;Settings!$B$9))</f>
        <v/>
      </c>
      <c r="G682" s="25" t="str">
        <f aca="false">IF($A682="","",SUMIFS(Timesheet!$G$5:$G$3004,Timesheet!$D$5:$D$3004,$A682,Timesheet!$A$5:$A$3004,"&gt;="&amp;Settings!$B$8,Timesheet!$A$5:$A$3004,"&lt;="&amp;Settings!$B$9))</f>
        <v/>
      </c>
      <c r="H682" s="25" t="str">
        <f aca="false">IF($A682="","",IF(D682="Monthly",MAX(0,Settings!$B$11-E682),0))</f>
        <v/>
      </c>
      <c r="I682" s="26" t="str">
        <f aca="false">IF($A682="","",N(INDEX(Workers!$L$5:$L$2004,MATCH($A682,Workers!$A$5:$A$2004,0))))</f>
        <v/>
      </c>
      <c r="J682" s="26" t="str">
        <f aca="false">IF($A682="","",N(INDEX(Workers!$M$5:$M$2004,MATCH($A682,Workers!$A$5:$A$2004,0))))</f>
        <v/>
      </c>
      <c r="K682" s="26" t="str">
        <f aca="false">IF($A682="","",IF(D682="Monthly",ROUND(MAX(0,(I682+J682)-(I682+J682)/Settings!$B$10*H682),2),0))</f>
        <v/>
      </c>
      <c r="L682" s="26" t="str">
        <f aca="false">IF($A682="","",IF(D682="Hourly",ROUND(F682*N(INDEX(Workers!$N$5:$N$2004,MATCH($A682,Workers!$A$5:$A$2004,0))),2),0))</f>
        <v/>
      </c>
      <c r="M682" s="26" t="str">
        <f aca="false">IF($A682="","",ROUND(G682*IF(D682="Hourly",N(INDEX(Workers!$N$5:$N$2004,MATCH($A682,Workers!$A$5:$A$2004,0))),I682/Settings!$B$10/Settings!$B$12)*Settings!$B$13,2))</f>
        <v/>
      </c>
      <c r="N682" s="26" t="str">
        <f aca="false">IF($A682="","",K682+L682+M682)</f>
        <v/>
      </c>
      <c r="O682" s="26" t="str">
        <f aca="false">IF($A682="","",SUMIFS(Deductions!$D$5:$D$2000,Deductions!$B$5:$B$2000,$A682,Deductions!$C$5:$C$2000,"Advance",Deductions!$E$5:$E$2000,"&gt;="&amp;Settings!$B$8,Deductions!$E$5:$E$2000,"&lt;="&amp;Settings!$B$9))</f>
        <v/>
      </c>
      <c r="P682" s="26" t="str">
        <f aca="false">IF($A682="","",SUMIFS(Deductions!$D$5:$D$2000,Deductions!$B$5:$B$2000,$A682,Deductions!$E$5:$E$2000,"&gt;="&amp;Settings!$B$8,Deductions!$E$5:$E$2000,"&lt;="&amp;Settings!$B$9)-O682)</f>
        <v/>
      </c>
      <c r="Q682" s="26" t="str">
        <f aca="false">IF($A682="","",O682+P682)</f>
        <v/>
      </c>
      <c r="R682" s="23" t="str">
        <f aca="false">IF($A682="","",N682-Q682)</f>
        <v/>
      </c>
      <c r="S682" s="24" t="str">
        <f aca="false">IF($A682="","",INDEX(Workers!$O$5:$O$2004,MATCH($A682,Workers!$A$5:$A$2004,0))&amp;"")</f>
        <v/>
      </c>
      <c r="T682" s="24" t="str">
        <f aca="false">IF($A682="","",INDEX(Workers!$P$5:$P$2004,MATCH($A682,Workers!$A$5:$A$2004,0))&amp;"")</f>
        <v/>
      </c>
      <c r="U682" s="24" t="str">
        <f aca="false">IF($A682="","",INDEX(Workers!$H$5:$H$2004,MATCH($A682,Workers!$A$5:$A$2004,0))&amp;"")</f>
        <v/>
      </c>
    </row>
    <row r="683" customFormat="false" ht="15" hidden="false" customHeight="false" outlineLevel="0" collapsed="false">
      <c r="A683" s="24" t="str">
        <f aca="false">IFERROR(INDEX(Workers!$A$5:$A$2004,MATCH(ROW()-4,Workers!$U$5:$U$2004,0)),"")</f>
        <v/>
      </c>
      <c r="B683" s="24" t="str">
        <f aca="false">IF($A683="","",INDEX(Workers!$B$5:$B$2004,MATCH($A683,Workers!$A$5:$A$2004,0)))</f>
        <v/>
      </c>
      <c r="C683" s="24" t="str">
        <f aca="false">IF($A683="","",INDEX(Workers!$E$5:$E$2004,MATCH($A683,Workers!$A$5:$A$2004,0)))</f>
        <v/>
      </c>
      <c r="D683" s="24" t="str">
        <f aca="false">IF($A683="","",INDEX(Workers!$K$5:$K$2004,MATCH($A683,Workers!$A$5:$A$2004,0)))</f>
        <v/>
      </c>
      <c r="E683" s="25" t="str">
        <f aca="false">IF($A683="","",SUMIFS(Timesheet!$E$5:$E$3004,Timesheet!$D$5:$D$3004,$A683,Timesheet!$A$5:$A$3004,"&gt;="&amp;Settings!$B$8,Timesheet!$A$5:$A$3004,"&lt;="&amp;Settings!$B$9))</f>
        <v/>
      </c>
      <c r="F683" s="25" t="str">
        <f aca="false">IF($A683="","",SUMIFS(Timesheet!$F$5:$F$3004,Timesheet!$D$5:$D$3004,$A683,Timesheet!$A$5:$A$3004,"&gt;="&amp;Settings!$B$8,Timesheet!$A$5:$A$3004,"&lt;="&amp;Settings!$B$9))</f>
        <v/>
      </c>
      <c r="G683" s="25" t="str">
        <f aca="false">IF($A683="","",SUMIFS(Timesheet!$G$5:$G$3004,Timesheet!$D$5:$D$3004,$A683,Timesheet!$A$5:$A$3004,"&gt;="&amp;Settings!$B$8,Timesheet!$A$5:$A$3004,"&lt;="&amp;Settings!$B$9))</f>
        <v/>
      </c>
      <c r="H683" s="25" t="str">
        <f aca="false">IF($A683="","",IF(D683="Monthly",MAX(0,Settings!$B$11-E683),0))</f>
        <v/>
      </c>
      <c r="I683" s="26" t="str">
        <f aca="false">IF($A683="","",N(INDEX(Workers!$L$5:$L$2004,MATCH($A683,Workers!$A$5:$A$2004,0))))</f>
        <v/>
      </c>
      <c r="J683" s="26" t="str">
        <f aca="false">IF($A683="","",N(INDEX(Workers!$M$5:$M$2004,MATCH($A683,Workers!$A$5:$A$2004,0))))</f>
        <v/>
      </c>
      <c r="K683" s="26" t="str">
        <f aca="false">IF($A683="","",IF(D683="Monthly",ROUND(MAX(0,(I683+J683)-(I683+J683)/Settings!$B$10*H683),2),0))</f>
        <v/>
      </c>
      <c r="L683" s="26" t="str">
        <f aca="false">IF($A683="","",IF(D683="Hourly",ROUND(F683*N(INDEX(Workers!$N$5:$N$2004,MATCH($A683,Workers!$A$5:$A$2004,0))),2),0))</f>
        <v/>
      </c>
      <c r="M683" s="26" t="str">
        <f aca="false">IF($A683="","",ROUND(G683*IF(D683="Hourly",N(INDEX(Workers!$N$5:$N$2004,MATCH($A683,Workers!$A$5:$A$2004,0))),I683/Settings!$B$10/Settings!$B$12)*Settings!$B$13,2))</f>
        <v/>
      </c>
      <c r="N683" s="26" t="str">
        <f aca="false">IF($A683="","",K683+L683+M683)</f>
        <v/>
      </c>
      <c r="O683" s="26" t="str">
        <f aca="false">IF($A683="","",SUMIFS(Deductions!$D$5:$D$2000,Deductions!$B$5:$B$2000,$A683,Deductions!$C$5:$C$2000,"Advance",Deductions!$E$5:$E$2000,"&gt;="&amp;Settings!$B$8,Deductions!$E$5:$E$2000,"&lt;="&amp;Settings!$B$9))</f>
        <v/>
      </c>
      <c r="P683" s="26" t="str">
        <f aca="false">IF($A683="","",SUMIFS(Deductions!$D$5:$D$2000,Deductions!$B$5:$B$2000,$A683,Deductions!$E$5:$E$2000,"&gt;="&amp;Settings!$B$8,Deductions!$E$5:$E$2000,"&lt;="&amp;Settings!$B$9)-O683)</f>
        <v/>
      </c>
      <c r="Q683" s="26" t="str">
        <f aca="false">IF($A683="","",O683+P683)</f>
        <v/>
      </c>
      <c r="R683" s="23" t="str">
        <f aca="false">IF($A683="","",N683-Q683)</f>
        <v/>
      </c>
      <c r="S683" s="24" t="str">
        <f aca="false">IF($A683="","",INDEX(Workers!$O$5:$O$2004,MATCH($A683,Workers!$A$5:$A$2004,0))&amp;"")</f>
        <v/>
      </c>
      <c r="T683" s="24" t="str">
        <f aca="false">IF($A683="","",INDEX(Workers!$P$5:$P$2004,MATCH($A683,Workers!$A$5:$A$2004,0))&amp;"")</f>
        <v/>
      </c>
      <c r="U683" s="24" t="str">
        <f aca="false">IF($A683="","",INDEX(Workers!$H$5:$H$2004,MATCH($A683,Workers!$A$5:$A$2004,0))&amp;"")</f>
        <v/>
      </c>
    </row>
    <row r="684" customFormat="false" ht="15" hidden="false" customHeight="false" outlineLevel="0" collapsed="false">
      <c r="A684" s="24" t="str">
        <f aca="false">IFERROR(INDEX(Workers!$A$5:$A$2004,MATCH(ROW()-4,Workers!$U$5:$U$2004,0)),"")</f>
        <v/>
      </c>
      <c r="B684" s="24" t="str">
        <f aca="false">IF($A684="","",INDEX(Workers!$B$5:$B$2004,MATCH($A684,Workers!$A$5:$A$2004,0)))</f>
        <v/>
      </c>
      <c r="C684" s="24" t="str">
        <f aca="false">IF($A684="","",INDEX(Workers!$E$5:$E$2004,MATCH($A684,Workers!$A$5:$A$2004,0)))</f>
        <v/>
      </c>
      <c r="D684" s="24" t="str">
        <f aca="false">IF($A684="","",INDEX(Workers!$K$5:$K$2004,MATCH($A684,Workers!$A$5:$A$2004,0)))</f>
        <v/>
      </c>
      <c r="E684" s="25" t="str">
        <f aca="false">IF($A684="","",SUMIFS(Timesheet!$E$5:$E$3004,Timesheet!$D$5:$D$3004,$A684,Timesheet!$A$5:$A$3004,"&gt;="&amp;Settings!$B$8,Timesheet!$A$5:$A$3004,"&lt;="&amp;Settings!$B$9))</f>
        <v/>
      </c>
      <c r="F684" s="25" t="str">
        <f aca="false">IF($A684="","",SUMIFS(Timesheet!$F$5:$F$3004,Timesheet!$D$5:$D$3004,$A684,Timesheet!$A$5:$A$3004,"&gt;="&amp;Settings!$B$8,Timesheet!$A$5:$A$3004,"&lt;="&amp;Settings!$B$9))</f>
        <v/>
      </c>
      <c r="G684" s="25" t="str">
        <f aca="false">IF($A684="","",SUMIFS(Timesheet!$G$5:$G$3004,Timesheet!$D$5:$D$3004,$A684,Timesheet!$A$5:$A$3004,"&gt;="&amp;Settings!$B$8,Timesheet!$A$5:$A$3004,"&lt;="&amp;Settings!$B$9))</f>
        <v/>
      </c>
      <c r="H684" s="25" t="str">
        <f aca="false">IF($A684="","",IF(D684="Monthly",MAX(0,Settings!$B$11-E684),0))</f>
        <v/>
      </c>
      <c r="I684" s="26" t="str">
        <f aca="false">IF($A684="","",N(INDEX(Workers!$L$5:$L$2004,MATCH($A684,Workers!$A$5:$A$2004,0))))</f>
        <v/>
      </c>
      <c r="J684" s="26" t="str">
        <f aca="false">IF($A684="","",N(INDEX(Workers!$M$5:$M$2004,MATCH($A684,Workers!$A$5:$A$2004,0))))</f>
        <v/>
      </c>
      <c r="K684" s="26" t="str">
        <f aca="false">IF($A684="","",IF(D684="Monthly",ROUND(MAX(0,(I684+J684)-(I684+J684)/Settings!$B$10*H684),2),0))</f>
        <v/>
      </c>
      <c r="L684" s="26" t="str">
        <f aca="false">IF($A684="","",IF(D684="Hourly",ROUND(F684*N(INDEX(Workers!$N$5:$N$2004,MATCH($A684,Workers!$A$5:$A$2004,0))),2),0))</f>
        <v/>
      </c>
      <c r="M684" s="26" t="str">
        <f aca="false">IF($A684="","",ROUND(G684*IF(D684="Hourly",N(INDEX(Workers!$N$5:$N$2004,MATCH($A684,Workers!$A$5:$A$2004,0))),I684/Settings!$B$10/Settings!$B$12)*Settings!$B$13,2))</f>
        <v/>
      </c>
      <c r="N684" s="26" t="str">
        <f aca="false">IF($A684="","",K684+L684+M684)</f>
        <v/>
      </c>
      <c r="O684" s="26" t="str">
        <f aca="false">IF($A684="","",SUMIFS(Deductions!$D$5:$D$2000,Deductions!$B$5:$B$2000,$A684,Deductions!$C$5:$C$2000,"Advance",Deductions!$E$5:$E$2000,"&gt;="&amp;Settings!$B$8,Deductions!$E$5:$E$2000,"&lt;="&amp;Settings!$B$9))</f>
        <v/>
      </c>
      <c r="P684" s="26" t="str">
        <f aca="false">IF($A684="","",SUMIFS(Deductions!$D$5:$D$2000,Deductions!$B$5:$B$2000,$A684,Deductions!$E$5:$E$2000,"&gt;="&amp;Settings!$B$8,Deductions!$E$5:$E$2000,"&lt;="&amp;Settings!$B$9)-O684)</f>
        <v/>
      </c>
      <c r="Q684" s="26" t="str">
        <f aca="false">IF($A684="","",O684+P684)</f>
        <v/>
      </c>
      <c r="R684" s="23" t="str">
        <f aca="false">IF($A684="","",N684-Q684)</f>
        <v/>
      </c>
      <c r="S684" s="24" t="str">
        <f aca="false">IF($A684="","",INDEX(Workers!$O$5:$O$2004,MATCH($A684,Workers!$A$5:$A$2004,0))&amp;"")</f>
        <v/>
      </c>
      <c r="T684" s="24" t="str">
        <f aca="false">IF($A684="","",INDEX(Workers!$P$5:$P$2004,MATCH($A684,Workers!$A$5:$A$2004,0))&amp;"")</f>
        <v/>
      </c>
      <c r="U684" s="24" t="str">
        <f aca="false">IF($A684="","",INDEX(Workers!$H$5:$H$2004,MATCH($A684,Workers!$A$5:$A$2004,0))&amp;"")</f>
        <v/>
      </c>
    </row>
    <row r="685" customFormat="false" ht="15" hidden="false" customHeight="false" outlineLevel="0" collapsed="false">
      <c r="A685" s="24" t="str">
        <f aca="false">IFERROR(INDEX(Workers!$A$5:$A$2004,MATCH(ROW()-4,Workers!$U$5:$U$2004,0)),"")</f>
        <v/>
      </c>
      <c r="B685" s="24" t="str">
        <f aca="false">IF($A685="","",INDEX(Workers!$B$5:$B$2004,MATCH($A685,Workers!$A$5:$A$2004,0)))</f>
        <v/>
      </c>
      <c r="C685" s="24" t="str">
        <f aca="false">IF($A685="","",INDEX(Workers!$E$5:$E$2004,MATCH($A685,Workers!$A$5:$A$2004,0)))</f>
        <v/>
      </c>
      <c r="D685" s="24" t="str">
        <f aca="false">IF($A685="","",INDEX(Workers!$K$5:$K$2004,MATCH($A685,Workers!$A$5:$A$2004,0)))</f>
        <v/>
      </c>
      <c r="E685" s="25" t="str">
        <f aca="false">IF($A685="","",SUMIFS(Timesheet!$E$5:$E$3004,Timesheet!$D$5:$D$3004,$A685,Timesheet!$A$5:$A$3004,"&gt;="&amp;Settings!$B$8,Timesheet!$A$5:$A$3004,"&lt;="&amp;Settings!$B$9))</f>
        <v/>
      </c>
      <c r="F685" s="25" t="str">
        <f aca="false">IF($A685="","",SUMIFS(Timesheet!$F$5:$F$3004,Timesheet!$D$5:$D$3004,$A685,Timesheet!$A$5:$A$3004,"&gt;="&amp;Settings!$B$8,Timesheet!$A$5:$A$3004,"&lt;="&amp;Settings!$B$9))</f>
        <v/>
      </c>
      <c r="G685" s="25" t="str">
        <f aca="false">IF($A685="","",SUMIFS(Timesheet!$G$5:$G$3004,Timesheet!$D$5:$D$3004,$A685,Timesheet!$A$5:$A$3004,"&gt;="&amp;Settings!$B$8,Timesheet!$A$5:$A$3004,"&lt;="&amp;Settings!$B$9))</f>
        <v/>
      </c>
      <c r="H685" s="25" t="str">
        <f aca="false">IF($A685="","",IF(D685="Monthly",MAX(0,Settings!$B$11-E685),0))</f>
        <v/>
      </c>
      <c r="I685" s="26" t="str">
        <f aca="false">IF($A685="","",N(INDEX(Workers!$L$5:$L$2004,MATCH($A685,Workers!$A$5:$A$2004,0))))</f>
        <v/>
      </c>
      <c r="J685" s="26" t="str">
        <f aca="false">IF($A685="","",N(INDEX(Workers!$M$5:$M$2004,MATCH($A685,Workers!$A$5:$A$2004,0))))</f>
        <v/>
      </c>
      <c r="K685" s="26" t="str">
        <f aca="false">IF($A685="","",IF(D685="Monthly",ROUND(MAX(0,(I685+J685)-(I685+J685)/Settings!$B$10*H685),2),0))</f>
        <v/>
      </c>
      <c r="L685" s="26" t="str">
        <f aca="false">IF($A685="","",IF(D685="Hourly",ROUND(F685*N(INDEX(Workers!$N$5:$N$2004,MATCH($A685,Workers!$A$5:$A$2004,0))),2),0))</f>
        <v/>
      </c>
      <c r="M685" s="26" t="str">
        <f aca="false">IF($A685="","",ROUND(G685*IF(D685="Hourly",N(INDEX(Workers!$N$5:$N$2004,MATCH($A685,Workers!$A$5:$A$2004,0))),I685/Settings!$B$10/Settings!$B$12)*Settings!$B$13,2))</f>
        <v/>
      </c>
      <c r="N685" s="26" t="str">
        <f aca="false">IF($A685="","",K685+L685+M685)</f>
        <v/>
      </c>
      <c r="O685" s="26" t="str">
        <f aca="false">IF($A685="","",SUMIFS(Deductions!$D$5:$D$2000,Deductions!$B$5:$B$2000,$A685,Deductions!$C$5:$C$2000,"Advance",Deductions!$E$5:$E$2000,"&gt;="&amp;Settings!$B$8,Deductions!$E$5:$E$2000,"&lt;="&amp;Settings!$B$9))</f>
        <v/>
      </c>
      <c r="P685" s="26" t="str">
        <f aca="false">IF($A685="","",SUMIFS(Deductions!$D$5:$D$2000,Deductions!$B$5:$B$2000,$A685,Deductions!$E$5:$E$2000,"&gt;="&amp;Settings!$B$8,Deductions!$E$5:$E$2000,"&lt;="&amp;Settings!$B$9)-O685)</f>
        <v/>
      </c>
      <c r="Q685" s="26" t="str">
        <f aca="false">IF($A685="","",O685+P685)</f>
        <v/>
      </c>
      <c r="R685" s="23" t="str">
        <f aca="false">IF($A685="","",N685-Q685)</f>
        <v/>
      </c>
      <c r="S685" s="24" t="str">
        <f aca="false">IF($A685="","",INDEX(Workers!$O$5:$O$2004,MATCH($A685,Workers!$A$5:$A$2004,0))&amp;"")</f>
        <v/>
      </c>
      <c r="T685" s="24" t="str">
        <f aca="false">IF($A685="","",INDEX(Workers!$P$5:$P$2004,MATCH($A685,Workers!$A$5:$A$2004,0))&amp;"")</f>
        <v/>
      </c>
      <c r="U685" s="24" t="str">
        <f aca="false">IF($A685="","",INDEX(Workers!$H$5:$H$2004,MATCH($A685,Workers!$A$5:$A$2004,0))&amp;"")</f>
        <v/>
      </c>
    </row>
    <row r="686" customFormat="false" ht="15" hidden="false" customHeight="false" outlineLevel="0" collapsed="false">
      <c r="A686" s="24" t="str">
        <f aca="false">IFERROR(INDEX(Workers!$A$5:$A$2004,MATCH(ROW()-4,Workers!$U$5:$U$2004,0)),"")</f>
        <v/>
      </c>
      <c r="B686" s="24" t="str">
        <f aca="false">IF($A686="","",INDEX(Workers!$B$5:$B$2004,MATCH($A686,Workers!$A$5:$A$2004,0)))</f>
        <v/>
      </c>
      <c r="C686" s="24" t="str">
        <f aca="false">IF($A686="","",INDEX(Workers!$E$5:$E$2004,MATCH($A686,Workers!$A$5:$A$2004,0)))</f>
        <v/>
      </c>
      <c r="D686" s="24" t="str">
        <f aca="false">IF($A686="","",INDEX(Workers!$K$5:$K$2004,MATCH($A686,Workers!$A$5:$A$2004,0)))</f>
        <v/>
      </c>
      <c r="E686" s="25" t="str">
        <f aca="false">IF($A686="","",SUMIFS(Timesheet!$E$5:$E$3004,Timesheet!$D$5:$D$3004,$A686,Timesheet!$A$5:$A$3004,"&gt;="&amp;Settings!$B$8,Timesheet!$A$5:$A$3004,"&lt;="&amp;Settings!$B$9))</f>
        <v/>
      </c>
      <c r="F686" s="25" t="str">
        <f aca="false">IF($A686="","",SUMIFS(Timesheet!$F$5:$F$3004,Timesheet!$D$5:$D$3004,$A686,Timesheet!$A$5:$A$3004,"&gt;="&amp;Settings!$B$8,Timesheet!$A$5:$A$3004,"&lt;="&amp;Settings!$B$9))</f>
        <v/>
      </c>
      <c r="G686" s="25" t="str">
        <f aca="false">IF($A686="","",SUMIFS(Timesheet!$G$5:$G$3004,Timesheet!$D$5:$D$3004,$A686,Timesheet!$A$5:$A$3004,"&gt;="&amp;Settings!$B$8,Timesheet!$A$5:$A$3004,"&lt;="&amp;Settings!$B$9))</f>
        <v/>
      </c>
      <c r="H686" s="25" t="str">
        <f aca="false">IF($A686="","",IF(D686="Monthly",MAX(0,Settings!$B$11-E686),0))</f>
        <v/>
      </c>
      <c r="I686" s="26" t="str">
        <f aca="false">IF($A686="","",N(INDEX(Workers!$L$5:$L$2004,MATCH($A686,Workers!$A$5:$A$2004,0))))</f>
        <v/>
      </c>
      <c r="J686" s="26" t="str">
        <f aca="false">IF($A686="","",N(INDEX(Workers!$M$5:$M$2004,MATCH($A686,Workers!$A$5:$A$2004,0))))</f>
        <v/>
      </c>
      <c r="K686" s="26" t="str">
        <f aca="false">IF($A686="","",IF(D686="Monthly",ROUND(MAX(0,(I686+J686)-(I686+J686)/Settings!$B$10*H686),2),0))</f>
        <v/>
      </c>
      <c r="L686" s="26" t="str">
        <f aca="false">IF($A686="","",IF(D686="Hourly",ROUND(F686*N(INDEX(Workers!$N$5:$N$2004,MATCH($A686,Workers!$A$5:$A$2004,0))),2),0))</f>
        <v/>
      </c>
      <c r="M686" s="26" t="str">
        <f aca="false">IF($A686="","",ROUND(G686*IF(D686="Hourly",N(INDEX(Workers!$N$5:$N$2004,MATCH($A686,Workers!$A$5:$A$2004,0))),I686/Settings!$B$10/Settings!$B$12)*Settings!$B$13,2))</f>
        <v/>
      </c>
      <c r="N686" s="26" t="str">
        <f aca="false">IF($A686="","",K686+L686+M686)</f>
        <v/>
      </c>
      <c r="O686" s="26" t="str">
        <f aca="false">IF($A686="","",SUMIFS(Deductions!$D$5:$D$2000,Deductions!$B$5:$B$2000,$A686,Deductions!$C$5:$C$2000,"Advance",Deductions!$E$5:$E$2000,"&gt;="&amp;Settings!$B$8,Deductions!$E$5:$E$2000,"&lt;="&amp;Settings!$B$9))</f>
        <v/>
      </c>
      <c r="P686" s="26" t="str">
        <f aca="false">IF($A686="","",SUMIFS(Deductions!$D$5:$D$2000,Deductions!$B$5:$B$2000,$A686,Deductions!$E$5:$E$2000,"&gt;="&amp;Settings!$B$8,Deductions!$E$5:$E$2000,"&lt;="&amp;Settings!$B$9)-O686)</f>
        <v/>
      </c>
      <c r="Q686" s="26" t="str">
        <f aca="false">IF($A686="","",O686+P686)</f>
        <v/>
      </c>
      <c r="R686" s="23" t="str">
        <f aca="false">IF($A686="","",N686-Q686)</f>
        <v/>
      </c>
      <c r="S686" s="24" t="str">
        <f aca="false">IF($A686="","",INDEX(Workers!$O$5:$O$2004,MATCH($A686,Workers!$A$5:$A$2004,0))&amp;"")</f>
        <v/>
      </c>
      <c r="T686" s="24" t="str">
        <f aca="false">IF($A686="","",INDEX(Workers!$P$5:$P$2004,MATCH($A686,Workers!$A$5:$A$2004,0))&amp;"")</f>
        <v/>
      </c>
      <c r="U686" s="24" t="str">
        <f aca="false">IF($A686="","",INDEX(Workers!$H$5:$H$2004,MATCH($A686,Workers!$A$5:$A$2004,0))&amp;"")</f>
        <v/>
      </c>
    </row>
    <row r="687" customFormat="false" ht="15" hidden="false" customHeight="false" outlineLevel="0" collapsed="false">
      <c r="A687" s="24" t="str">
        <f aca="false">IFERROR(INDEX(Workers!$A$5:$A$2004,MATCH(ROW()-4,Workers!$U$5:$U$2004,0)),"")</f>
        <v/>
      </c>
      <c r="B687" s="24" t="str">
        <f aca="false">IF($A687="","",INDEX(Workers!$B$5:$B$2004,MATCH($A687,Workers!$A$5:$A$2004,0)))</f>
        <v/>
      </c>
      <c r="C687" s="24" t="str">
        <f aca="false">IF($A687="","",INDEX(Workers!$E$5:$E$2004,MATCH($A687,Workers!$A$5:$A$2004,0)))</f>
        <v/>
      </c>
      <c r="D687" s="24" t="str">
        <f aca="false">IF($A687="","",INDEX(Workers!$K$5:$K$2004,MATCH($A687,Workers!$A$5:$A$2004,0)))</f>
        <v/>
      </c>
      <c r="E687" s="25" t="str">
        <f aca="false">IF($A687="","",SUMIFS(Timesheet!$E$5:$E$3004,Timesheet!$D$5:$D$3004,$A687,Timesheet!$A$5:$A$3004,"&gt;="&amp;Settings!$B$8,Timesheet!$A$5:$A$3004,"&lt;="&amp;Settings!$B$9))</f>
        <v/>
      </c>
      <c r="F687" s="25" t="str">
        <f aca="false">IF($A687="","",SUMIFS(Timesheet!$F$5:$F$3004,Timesheet!$D$5:$D$3004,$A687,Timesheet!$A$5:$A$3004,"&gt;="&amp;Settings!$B$8,Timesheet!$A$5:$A$3004,"&lt;="&amp;Settings!$B$9))</f>
        <v/>
      </c>
      <c r="G687" s="25" t="str">
        <f aca="false">IF($A687="","",SUMIFS(Timesheet!$G$5:$G$3004,Timesheet!$D$5:$D$3004,$A687,Timesheet!$A$5:$A$3004,"&gt;="&amp;Settings!$B$8,Timesheet!$A$5:$A$3004,"&lt;="&amp;Settings!$B$9))</f>
        <v/>
      </c>
      <c r="H687" s="25" t="str">
        <f aca="false">IF($A687="","",IF(D687="Monthly",MAX(0,Settings!$B$11-E687),0))</f>
        <v/>
      </c>
      <c r="I687" s="26" t="str">
        <f aca="false">IF($A687="","",N(INDEX(Workers!$L$5:$L$2004,MATCH($A687,Workers!$A$5:$A$2004,0))))</f>
        <v/>
      </c>
      <c r="J687" s="26" t="str">
        <f aca="false">IF($A687="","",N(INDEX(Workers!$M$5:$M$2004,MATCH($A687,Workers!$A$5:$A$2004,0))))</f>
        <v/>
      </c>
      <c r="K687" s="26" t="str">
        <f aca="false">IF($A687="","",IF(D687="Monthly",ROUND(MAX(0,(I687+J687)-(I687+J687)/Settings!$B$10*H687),2),0))</f>
        <v/>
      </c>
      <c r="L687" s="26" t="str">
        <f aca="false">IF($A687="","",IF(D687="Hourly",ROUND(F687*N(INDEX(Workers!$N$5:$N$2004,MATCH($A687,Workers!$A$5:$A$2004,0))),2),0))</f>
        <v/>
      </c>
      <c r="M687" s="26" t="str">
        <f aca="false">IF($A687="","",ROUND(G687*IF(D687="Hourly",N(INDEX(Workers!$N$5:$N$2004,MATCH($A687,Workers!$A$5:$A$2004,0))),I687/Settings!$B$10/Settings!$B$12)*Settings!$B$13,2))</f>
        <v/>
      </c>
      <c r="N687" s="26" t="str">
        <f aca="false">IF($A687="","",K687+L687+M687)</f>
        <v/>
      </c>
      <c r="O687" s="26" t="str">
        <f aca="false">IF($A687="","",SUMIFS(Deductions!$D$5:$D$2000,Deductions!$B$5:$B$2000,$A687,Deductions!$C$5:$C$2000,"Advance",Deductions!$E$5:$E$2000,"&gt;="&amp;Settings!$B$8,Deductions!$E$5:$E$2000,"&lt;="&amp;Settings!$B$9))</f>
        <v/>
      </c>
      <c r="P687" s="26" t="str">
        <f aca="false">IF($A687="","",SUMIFS(Deductions!$D$5:$D$2000,Deductions!$B$5:$B$2000,$A687,Deductions!$E$5:$E$2000,"&gt;="&amp;Settings!$B$8,Deductions!$E$5:$E$2000,"&lt;="&amp;Settings!$B$9)-O687)</f>
        <v/>
      </c>
      <c r="Q687" s="26" t="str">
        <f aca="false">IF($A687="","",O687+P687)</f>
        <v/>
      </c>
      <c r="R687" s="23" t="str">
        <f aca="false">IF($A687="","",N687-Q687)</f>
        <v/>
      </c>
      <c r="S687" s="24" t="str">
        <f aca="false">IF($A687="","",INDEX(Workers!$O$5:$O$2004,MATCH($A687,Workers!$A$5:$A$2004,0))&amp;"")</f>
        <v/>
      </c>
      <c r="T687" s="24" t="str">
        <f aca="false">IF($A687="","",INDEX(Workers!$P$5:$P$2004,MATCH($A687,Workers!$A$5:$A$2004,0))&amp;"")</f>
        <v/>
      </c>
      <c r="U687" s="24" t="str">
        <f aca="false">IF($A687="","",INDEX(Workers!$H$5:$H$2004,MATCH($A687,Workers!$A$5:$A$2004,0))&amp;"")</f>
        <v/>
      </c>
    </row>
    <row r="688" customFormat="false" ht="15" hidden="false" customHeight="false" outlineLevel="0" collapsed="false">
      <c r="A688" s="24" t="str">
        <f aca="false">IFERROR(INDEX(Workers!$A$5:$A$2004,MATCH(ROW()-4,Workers!$U$5:$U$2004,0)),"")</f>
        <v/>
      </c>
      <c r="B688" s="24" t="str">
        <f aca="false">IF($A688="","",INDEX(Workers!$B$5:$B$2004,MATCH($A688,Workers!$A$5:$A$2004,0)))</f>
        <v/>
      </c>
      <c r="C688" s="24" t="str">
        <f aca="false">IF($A688="","",INDEX(Workers!$E$5:$E$2004,MATCH($A688,Workers!$A$5:$A$2004,0)))</f>
        <v/>
      </c>
      <c r="D688" s="24" t="str">
        <f aca="false">IF($A688="","",INDEX(Workers!$K$5:$K$2004,MATCH($A688,Workers!$A$5:$A$2004,0)))</f>
        <v/>
      </c>
      <c r="E688" s="25" t="str">
        <f aca="false">IF($A688="","",SUMIFS(Timesheet!$E$5:$E$3004,Timesheet!$D$5:$D$3004,$A688,Timesheet!$A$5:$A$3004,"&gt;="&amp;Settings!$B$8,Timesheet!$A$5:$A$3004,"&lt;="&amp;Settings!$B$9))</f>
        <v/>
      </c>
      <c r="F688" s="25" t="str">
        <f aca="false">IF($A688="","",SUMIFS(Timesheet!$F$5:$F$3004,Timesheet!$D$5:$D$3004,$A688,Timesheet!$A$5:$A$3004,"&gt;="&amp;Settings!$B$8,Timesheet!$A$5:$A$3004,"&lt;="&amp;Settings!$B$9))</f>
        <v/>
      </c>
      <c r="G688" s="25" t="str">
        <f aca="false">IF($A688="","",SUMIFS(Timesheet!$G$5:$G$3004,Timesheet!$D$5:$D$3004,$A688,Timesheet!$A$5:$A$3004,"&gt;="&amp;Settings!$B$8,Timesheet!$A$5:$A$3004,"&lt;="&amp;Settings!$B$9))</f>
        <v/>
      </c>
      <c r="H688" s="25" t="str">
        <f aca="false">IF($A688="","",IF(D688="Monthly",MAX(0,Settings!$B$11-E688),0))</f>
        <v/>
      </c>
      <c r="I688" s="26" t="str">
        <f aca="false">IF($A688="","",N(INDEX(Workers!$L$5:$L$2004,MATCH($A688,Workers!$A$5:$A$2004,0))))</f>
        <v/>
      </c>
      <c r="J688" s="26" t="str">
        <f aca="false">IF($A688="","",N(INDEX(Workers!$M$5:$M$2004,MATCH($A688,Workers!$A$5:$A$2004,0))))</f>
        <v/>
      </c>
      <c r="K688" s="26" t="str">
        <f aca="false">IF($A688="","",IF(D688="Monthly",ROUND(MAX(0,(I688+J688)-(I688+J688)/Settings!$B$10*H688),2),0))</f>
        <v/>
      </c>
      <c r="L688" s="26" t="str">
        <f aca="false">IF($A688="","",IF(D688="Hourly",ROUND(F688*N(INDEX(Workers!$N$5:$N$2004,MATCH($A688,Workers!$A$5:$A$2004,0))),2),0))</f>
        <v/>
      </c>
      <c r="M688" s="26" t="str">
        <f aca="false">IF($A688="","",ROUND(G688*IF(D688="Hourly",N(INDEX(Workers!$N$5:$N$2004,MATCH($A688,Workers!$A$5:$A$2004,0))),I688/Settings!$B$10/Settings!$B$12)*Settings!$B$13,2))</f>
        <v/>
      </c>
      <c r="N688" s="26" t="str">
        <f aca="false">IF($A688="","",K688+L688+M688)</f>
        <v/>
      </c>
      <c r="O688" s="26" t="str">
        <f aca="false">IF($A688="","",SUMIFS(Deductions!$D$5:$D$2000,Deductions!$B$5:$B$2000,$A688,Deductions!$C$5:$C$2000,"Advance",Deductions!$E$5:$E$2000,"&gt;="&amp;Settings!$B$8,Deductions!$E$5:$E$2000,"&lt;="&amp;Settings!$B$9))</f>
        <v/>
      </c>
      <c r="P688" s="26" t="str">
        <f aca="false">IF($A688="","",SUMIFS(Deductions!$D$5:$D$2000,Deductions!$B$5:$B$2000,$A688,Deductions!$E$5:$E$2000,"&gt;="&amp;Settings!$B$8,Deductions!$E$5:$E$2000,"&lt;="&amp;Settings!$B$9)-O688)</f>
        <v/>
      </c>
      <c r="Q688" s="26" t="str">
        <f aca="false">IF($A688="","",O688+P688)</f>
        <v/>
      </c>
      <c r="R688" s="23" t="str">
        <f aca="false">IF($A688="","",N688-Q688)</f>
        <v/>
      </c>
      <c r="S688" s="24" t="str">
        <f aca="false">IF($A688="","",INDEX(Workers!$O$5:$O$2004,MATCH($A688,Workers!$A$5:$A$2004,0))&amp;"")</f>
        <v/>
      </c>
      <c r="T688" s="24" t="str">
        <f aca="false">IF($A688="","",INDEX(Workers!$P$5:$P$2004,MATCH($A688,Workers!$A$5:$A$2004,0))&amp;"")</f>
        <v/>
      </c>
      <c r="U688" s="24" t="str">
        <f aca="false">IF($A688="","",INDEX(Workers!$H$5:$H$2004,MATCH($A688,Workers!$A$5:$A$2004,0))&amp;"")</f>
        <v/>
      </c>
    </row>
    <row r="689" customFormat="false" ht="15" hidden="false" customHeight="false" outlineLevel="0" collapsed="false">
      <c r="A689" s="24" t="str">
        <f aca="false">IFERROR(INDEX(Workers!$A$5:$A$2004,MATCH(ROW()-4,Workers!$U$5:$U$2004,0)),"")</f>
        <v/>
      </c>
      <c r="B689" s="24" t="str">
        <f aca="false">IF($A689="","",INDEX(Workers!$B$5:$B$2004,MATCH($A689,Workers!$A$5:$A$2004,0)))</f>
        <v/>
      </c>
      <c r="C689" s="24" t="str">
        <f aca="false">IF($A689="","",INDEX(Workers!$E$5:$E$2004,MATCH($A689,Workers!$A$5:$A$2004,0)))</f>
        <v/>
      </c>
      <c r="D689" s="24" t="str">
        <f aca="false">IF($A689="","",INDEX(Workers!$K$5:$K$2004,MATCH($A689,Workers!$A$5:$A$2004,0)))</f>
        <v/>
      </c>
      <c r="E689" s="25" t="str">
        <f aca="false">IF($A689="","",SUMIFS(Timesheet!$E$5:$E$3004,Timesheet!$D$5:$D$3004,$A689,Timesheet!$A$5:$A$3004,"&gt;="&amp;Settings!$B$8,Timesheet!$A$5:$A$3004,"&lt;="&amp;Settings!$B$9))</f>
        <v/>
      </c>
      <c r="F689" s="25" t="str">
        <f aca="false">IF($A689="","",SUMIFS(Timesheet!$F$5:$F$3004,Timesheet!$D$5:$D$3004,$A689,Timesheet!$A$5:$A$3004,"&gt;="&amp;Settings!$B$8,Timesheet!$A$5:$A$3004,"&lt;="&amp;Settings!$B$9))</f>
        <v/>
      </c>
      <c r="G689" s="25" t="str">
        <f aca="false">IF($A689="","",SUMIFS(Timesheet!$G$5:$G$3004,Timesheet!$D$5:$D$3004,$A689,Timesheet!$A$5:$A$3004,"&gt;="&amp;Settings!$B$8,Timesheet!$A$5:$A$3004,"&lt;="&amp;Settings!$B$9))</f>
        <v/>
      </c>
      <c r="H689" s="25" t="str">
        <f aca="false">IF($A689="","",IF(D689="Monthly",MAX(0,Settings!$B$11-E689),0))</f>
        <v/>
      </c>
      <c r="I689" s="26" t="str">
        <f aca="false">IF($A689="","",N(INDEX(Workers!$L$5:$L$2004,MATCH($A689,Workers!$A$5:$A$2004,0))))</f>
        <v/>
      </c>
      <c r="J689" s="26" t="str">
        <f aca="false">IF($A689="","",N(INDEX(Workers!$M$5:$M$2004,MATCH($A689,Workers!$A$5:$A$2004,0))))</f>
        <v/>
      </c>
      <c r="K689" s="26" t="str">
        <f aca="false">IF($A689="","",IF(D689="Monthly",ROUND(MAX(0,(I689+J689)-(I689+J689)/Settings!$B$10*H689),2),0))</f>
        <v/>
      </c>
      <c r="L689" s="26" t="str">
        <f aca="false">IF($A689="","",IF(D689="Hourly",ROUND(F689*N(INDEX(Workers!$N$5:$N$2004,MATCH($A689,Workers!$A$5:$A$2004,0))),2),0))</f>
        <v/>
      </c>
      <c r="M689" s="26" t="str">
        <f aca="false">IF($A689="","",ROUND(G689*IF(D689="Hourly",N(INDEX(Workers!$N$5:$N$2004,MATCH($A689,Workers!$A$5:$A$2004,0))),I689/Settings!$B$10/Settings!$B$12)*Settings!$B$13,2))</f>
        <v/>
      </c>
      <c r="N689" s="26" t="str">
        <f aca="false">IF($A689="","",K689+L689+M689)</f>
        <v/>
      </c>
      <c r="O689" s="26" t="str">
        <f aca="false">IF($A689="","",SUMIFS(Deductions!$D$5:$D$2000,Deductions!$B$5:$B$2000,$A689,Deductions!$C$5:$C$2000,"Advance",Deductions!$E$5:$E$2000,"&gt;="&amp;Settings!$B$8,Deductions!$E$5:$E$2000,"&lt;="&amp;Settings!$B$9))</f>
        <v/>
      </c>
      <c r="P689" s="26" t="str">
        <f aca="false">IF($A689="","",SUMIFS(Deductions!$D$5:$D$2000,Deductions!$B$5:$B$2000,$A689,Deductions!$E$5:$E$2000,"&gt;="&amp;Settings!$B$8,Deductions!$E$5:$E$2000,"&lt;="&amp;Settings!$B$9)-O689)</f>
        <v/>
      </c>
      <c r="Q689" s="26" t="str">
        <f aca="false">IF($A689="","",O689+P689)</f>
        <v/>
      </c>
      <c r="R689" s="23" t="str">
        <f aca="false">IF($A689="","",N689-Q689)</f>
        <v/>
      </c>
      <c r="S689" s="24" t="str">
        <f aca="false">IF($A689="","",INDEX(Workers!$O$5:$O$2004,MATCH($A689,Workers!$A$5:$A$2004,0))&amp;"")</f>
        <v/>
      </c>
      <c r="T689" s="24" t="str">
        <f aca="false">IF($A689="","",INDEX(Workers!$P$5:$P$2004,MATCH($A689,Workers!$A$5:$A$2004,0))&amp;"")</f>
        <v/>
      </c>
      <c r="U689" s="24" t="str">
        <f aca="false">IF($A689="","",INDEX(Workers!$H$5:$H$2004,MATCH($A689,Workers!$A$5:$A$2004,0))&amp;"")</f>
        <v/>
      </c>
    </row>
    <row r="690" customFormat="false" ht="15" hidden="false" customHeight="false" outlineLevel="0" collapsed="false">
      <c r="A690" s="24" t="str">
        <f aca="false">IFERROR(INDEX(Workers!$A$5:$A$2004,MATCH(ROW()-4,Workers!$U$5:$U$2004,0)),"")</f>
        <v/>
      </c>
      <c r="B690" s="24" t="str">
        <f aca="false">IF($A690="","",INDEX(Workers!$B$5:$B$2004,MATCH($A690,Workers!$A$5:$A$2004,0)))</f>
        <v/>
      </c>
      <c r="C690" s="24" t="str">
        <f aca="false">IF($A690="","",INDEX(Workers!$E$5:$E$2004,MATCH($A690,Workers!$A$5:$A$2004,0)))</f>
        <v/>
      </c>
      <c r="D690" s="24" t="str">
        <f aca="false">IF($A690="","",INDEX(Workers!$K$5:$K$2004,MATCH($A690,Workers!$A$5:$A$2004,0)))</f>
        <v/>
      </c>
      <c r="E690" s="25" t="str">
        <f aca="false">IF($A690="","",SUMIFS(Timesheet!$E$5:$E$3004,Timesheet!$D$5:$D$3004,$A690,Timesheet!$A$5:$A$3004,"&gt;="&amp;Settings!$B$8,Timesheet!$A$5:$A$3004,"&lt;="&amp;Settings!$B$9))</f>
        <v/>
      </c>
      <c r="F690" s="25" t="str">
        <f aca="false">IF($A690="","",SUMIFS(Timesheet!$F$5:$F$3004,Timesheet!$D$5:$D$3004,$A690,Timesheet!$A$5:$A$3004,"&gt;="&amp;Settings!$B$8,Timesheet!$A$5:$A$3004,"&lt;="&amp;Settings!$B$9))</f>
        <v/>
      </c>
      <c r="G690" s="25" t="str">
        <f aca="false">IF($A690="","",SUMIFS(Timesheet!$G$5:$G$3004,Timesheet!$D$5:$D$3004,$A690,Timesheet!$A$5:$A$3004,"&gt;="&amp;Settings!$B$8,Timesheet!$A$5:$A$3004,"&lt;="&amp;Settings!$B$9))</f>
        <v/>
      </c>
      <c r="H690" s="25" t="str">
        <f aca="false">IF($A690="","",IF(D690="Monthly",MAX(0,Settings!$B$11-E690),0))</f>
        <v/>
      </c>
      <c r="I690" s="26" t="str">
        <f aca="false">IF($A690="","",N(INDEX(Workers!$L$5:$L$2004,MATCH($A690,Workers!$A$5:$A$2004,0))))</f>
        <v/>
      </c>
      <c r="J690" s="26" t="str">
        <f aca="false">IF($A690="","",N(INDEX(Workers!$M$5:$M$2004,MATCH($A690,Workers!$A$5:$A$2004,0))))</f>
        <v/>
      </c>
      <c r="K690" s="26" t="str">
        <f aca="false">IF($A690="","",IF(D690="Monthly",ROUND(MAX(0,(I690+J690)-(I690+J690)/Settings!$B$10*H690),2),0))</f>
        <v/>
      </c>
      <c r="L690" s="26" t="str">
        <f aca="false">IF($A690="","",IF(D690="Hourly",ROUND(F690*N(INDEX(Workers!$N$5:$N$2004,MATCH($A690,Workers!$A$5:$A$2004,0))),2),0))</f>
        <v/>
      </c>
      <c r="M690" s="26" t="str">
        <f aca="false">IF($A690="","",ROUND(G690*IF(D690="Hourly",N(INDEX(Workers!$N$5:$N$2004,MATCH($A690,Workers!$A$5:$A$2004,0))),I690/Settings!$B$10/Settings!$B$12)*Settings!$B$13,2))</f>
        <v/>
      </c>
      <c r="N690" s="26" t="str">
        <f aca="false">IF($A690="","",K690+L690+M690)</f>
        <v/>
      </c>
      <c r="O690" s="26" t="str">
        <f aca="false">IF($A690="","",SUMIFS(Deductions!$D$5:$D$2000,Deductions!$B$5:$B$2000,$A690,Deductions!$C$5:$C$2000,"Advance",Deductions!$E$5:$E$2000,"&gt;="&amp;Settings!$B$8,Deductions!$E$5:$E$2000,"&lt;="&amp;Settings!$B$9))</f>
        <v/>
      </c>
      <c r="P690" s="26" t="str">
        <f aca="false">IF($A690="","",SUMIFS(Deductions!$D$5:$D$2000,Deductions!$B$5:$B$2000,$A690,Deductions!$E$5:$E$2000,"&gt;="&amp;Settings!$B$8,Deductions!$E$5:$E$2000,"&lt;="&amp;Settings!$B$9)-O690)</f>
        <v/>
      </c>
      <c r="Q690" s="26" t="str">
        <f aca="false">IF($A690="","",O690+P690)</f>
        <v/>
      </c>
      <c r="R690" s="23" t="str">
        <f aca="false">IF($A690="","",N690-Q690)</f>
        <v/>
      </c>
      <c r="S690" s="24" t="str">
        <f aca="false">IF($A690="","",INDEX(Workers!$O$5:$O$2004,MATCH($A690,Workers!$A$5:$A$2004,0))&amp;"")</f>
        <v/>
      </c>
      <c r="T690" s="24" t="str">
        <f aca="false">IF($A690="","",INDEX(Workers!$P$5:$P$2004,MATCH($A690,Workers!$A$5:$A$2004,0))&amp;"")</f>
        <v/>
      </c>
      <c r="U690" s="24" t="str">
        <f aca="false">IF($A690="","",INDEX(Workers!$H$5:$H$2004,MATCH($A690,Workers!$A$5:$A$2004,0))&amp;"")</f>
        <v/>
      </c>
    </row>
    <row r="691" customFormat="false" ht="15" hidden="false" customHeight="false" outlineLevel="0" collapsed="false">
      <c r="A691" s="24" t="str">
        <f aca="false">IFERROR(INDEX(Workers!$A$5:$A$2004,MATCH(ROW()-4,Workers!$U$5:$U$2004,0)),"")</f>
        <v/>
      </c>
      <c r="B691" s="24" t="str">
        <f aca="false">IF($A691="","",INDEX(Workers!$B$5:$B$2004,MATCH($A691,Workers!$A$5:$A$2004,0)))</f>
        <v/>
      </c>
      <c r="C691" s="24" t="str">
        <f aca="false">IF($A691="","",INDEX(Workers!$E$5:$E$2004,MATCH($A691,Workers!$A$5:$A$2004,0)))</f>
        <v/>
      </c>
      <c r="D691" s="24" t="str">
        <f aca="false">IF($A691="","",INDEX(Workers!$K$5:$K$2004,MATCH($A691,Workers!$A$5:$A$2004,0)))</f>
        <v/>
      </c>
      <c r="E691" s="25" t="str">
        <f aca="false">IF($A691="","",SUMIFS(Timesheet!$E$5:$E$3004,Timesheet!$D$5:$D$3004,$A691,Timesheet!$A$5:$A$3004,"&gt;="&amp;Settings!$B$8,Timesheet!$A$5:$A$3004,"&lt;="&amp;Settings!$B$9))</f>
        <v/>
      </c>
      <c r="F691" s="25" t="str">
        <f aca="false">IF($A691="","",SUMIFS(Timesheet!$F$5:$F$3004,Timesheet!$D$5:$D$3004,$A691,Timesheet!$A$5:$A$3004,"&gt;="&amp;Settings!$B$8,Timesheet!$A$5:$A$3004,"&lt;="&amp;Settings!$B$9))</f>
        <v/>
      </c>
      <c r="G691" s="25" t="str">
        <f aca="false">IF($A691="","",SUMIFS(Timesheet!$G$5:$G$3004,Timesheet!$D$5:$D$3004,$A691,Timesheet!$A$5:$A$3004,"&gt;="&amp;Settings!$B$8,Timesheet!$A$5:$A$3004,"&lt;="&amp;Settings!$B$9))</f>
        <v/>
      </c>
      <c r="H691" s="25" t="str">
        <f aca="false">IF($A691="","",IF(D691="Monthly",MAX(0,Settings!$B$11-E691),0))</f>
        <v/>
      </c>
      <c r="I691" s="26" t="str">
        <f aca="false">IF($A691="","",N(INDEX(Workers!$L$5:$L$2004,MATCH($A691,Workers!$A$5:$A$2004,0))))</f>
        <v/>
      </c>
      <c r="J691" s="26" t="str">
        <f aca="false">IF($A691="","",N(INDEX(Workers!$M$5:$M$2004,MATCH($A691,Workers!$A$5:$A$2004,0))))</f>
        <v/>
      </c>
      <c r="K691" s="26" t="str">
        <f aca="false">IF($A691="","",IF(D691="Monthly",ROUND(MAX(0,(I691+J691)-(I691+J691)/Settings!$B$10*H691),2),0))</f>
        <v/>
      </c>
      <c r="L691" s="26" t="str">
        <f aca="false">IF($A691="","",IF(D691="Hourly",ROUND(F691*N(INDEX(Workers!$N$5:$N$2004,MATCH($A691,Workers!$A$5:$A$2004,0))),2),0))</f>
        <v/>
      </c>
      <c r="M691" s="26" t="str">
        <f aca="false">IF($A691="","",ROUND(G691*IF(D691="Hourly",N(INDEX(Workers!$N$5:$N$2004,MATCH($A691,Workers!$A$5:$A$2004,0))),I691/Settings!$B$10/Settings!$B$12)*Settings!$B$13,2))</f>
        <v/>
      </c>
      <c r="N691" s="26" t="str">
        <f aca="false">IF($A691="","",K691+L691+M691)</f>
        <v/>
      </c>
      <c r="O691" s="26" t="str">
        <f aca="false">IF($A691="","",SUMIFS(Deductions!$D$5:$D$2000,Deductions!$B$5:$B$2000,$A691,Deductions!$C$5:$C$2000,"Advance",Deductions!$E$5:$E$2000,"&gt;="&amp;Settings!$B$8,Deductions!$E$5:$E$2000,"&lt;="&amp;Settings!$B$9))</f>
        <v/>
      </c>
      <c r="P691" s="26" t="str">
        <f aca="false">IF($A691="","",SUMIFS(Deductions!$D$5:$D$2000,Deductions!$B$5:$B$2000,$A691,Deductions!$E$5:$E$2000,"&gt;="&amp;Settings!$B$8,Deductions!$E$5:$E$2000,"&lt;="&amp;Settings!$B$9)-O691)</f>
        <v/>
      </c>
      <c r="Q691" s="26" t="str">
        <f aca="false">IF($A691="","",O691+P691)</f>
        <v/>
      </c>
      <c r="R691" s="23" t="str">
        <f aca="false">IF($A691="","",N691-Q691)</f>
        <v/>
      </c>
      <c r="S691" s="24" t="str">
        <f aca="false">IF($A691="","",INDEX(Workers!$O$5:$O$2004,MATCH($A691,Workers!$A$5:$A$2004,0))&amp;"")</f>
        <v/>
      </c>
      <c r="T691" s="24" t="str">
        <f aca="false">IF($A691="","",INDEX(Workers!$P$5:$P$2004,MATCH($A691,Workers!$A$5:$A$2004,0))&amp;"")</f>
        <v/>
      </c>
      <c r="U691" s="24" t="str">
        <f aca="false">IF($A691="","",INDEX(Workers!$H$5:$H$2004,MATCH($A691,Workers!$A$5:$A$2004,0))&amp;"")</f>
        <v/>
      </c>
    </row>
    <row r="692" customFormat="false" ht="15" hidden="false" customHeight="false" outlineLevel="0" collapsed="false">
      <c r="A692" s="24" t="str">
        <f aca="false">IFERROR(INDEX(Workers!$A$5:$A$2004,MATCH(ROW()-4,Workers!$U$5:$U$2004,0)),"")</f>
        <v/>
      </c>
      <c r="B692" s="24" t="str">
        <f aca="false">IF($A692="","",INDEX(Workers!$B$5:$B$2004,MATCH($A692,Workers!$A$5:$A$2004,0)))</f>
        <v/>
      </c>
      <c r="C692" s="24" t="str">
        <f aca="false">IF($A692="","",INDEX(Workers!$E$5:$E$2004,MATCH($A692,Workers!$A$5:$A$2004,0)))</f>
        <v/>
      </c>
      <c r="D692" s="24" t="str">
        <f aca="false">IF($A692="","",INDEX(Workers!$K$5:$K$2004,MATCH($A692,Workers!$A$5:$A$2004,0)))</f>
        <v/>
      </c>
      <c r="E692" s="25" t="str">
        <f aca="false">IF($A692="","",SUMIFS(Timesheet!$E$5:$E$3004,Timesheet!$D$5:$D$3004,$A692,Timesheet!$A$5:$A$3004,"&gt;="&amp;Settings!$B$8,Timesheet!$A$5:$A$3004,"&lt;="&amp;Settings!$B$9))</f>
        <v/>
      </c>
      <c r="F692" s="25" t="str">
        <f aca="false">IF($A692="","",SUMIFS(Timesheet!$F$5:$F$3004,Timesheet!$D$5:$D$3004,$A692,Timesheet!$A$5:$A$3004,"&gt;="&amp;Settings!$B$8,Timesheet!$A$5:$A$3004,"&lt;="&amp;Settings!$B$9))</f>
        <v/>
      </c>
      <c r="G692" s="25" t="str">
        <f aca="false">IF($A692="","",SUMIFS(Timesheet!$G$5:$G$3004,Timesheet!$D$5:$D$3004,$A692,Timesheet!$A$5:$A$3004,"&gt;="&amp;Settings!$B$8,Timesheet!$A$5:$A$3004,"&lt;="&amp;Settings!$B$9))</f>
        <v/>
      </c>
      <c r="H692" s="25" t="str">
        <f aca="false">IF($A692="","",IF(D692="Monthly",MAX(0,Settings!$B$11-E692),0))</f>
        <v/>
      </c>
      <c r="I692" s="26" t="str">
        <f aca="false">IF($A692="","",N(INDEX(Workers!$L$5:$L$2004,MATCH($A692,Workers!$A$5:$A$2004,0))))</f>
        <v/>
      </c>
      <c r="J692" s="26" t="str">
        <f aca="false">IF($A692="","",N(INDEX(Workers!$M$5:$M$2004,MATCH($A692,Workers!$A$5:$A$2004,0))))</f>
        <v/>
      </c>
      <c r="K692" s="26" t="str">
        <f aca="false">IF($A692="","",IF(D692="Monthly",ROUND(MAX(0,(I692+J692)-(I692+J692)/Settings!$B$10*H692),2),0))</f>
        <v/>
      </c>
      <c r="L692" s="26" t="str">
        <f aca="false">IF($A692="","",IF(D692="Hourly",ROUND(F692*N(INDEX(Workers!$N$5:$N$2004,MATCH($A692,Workers!$A$5:$A$2004,0))),2),0))</f>
        <v/>
      </c>
      <c r="M692" s="26" t="str">
        <f aca="false">IF($A692="","",ROUND(G692*IF(D692="Hourly",N(INDEX(Workers!$N$5:$N$2004,MATCH($A692,Workers!$A$5:$A$2004,0))),I692/Settings!$B$10/Settings!$B$12)*Settings!$B$13,2))</f>
        <v/>
      </c>
      <c r="N692" s="26" t="str">
        <f aca="false">IF($A692="","",K692+L692+M692)</f>
        <v/>
      </c>
      <c r="O692" s="26" t="str">
        <f aca="false">IF($A692="","",SUMIFS(Deductions!$D$5:$D$2000,Deductions!$B$5:$B$2000,$A692,Deductions!$C$5:$C$2000,"Advance",Deductions!$E$5:$E$2000,"&gt;="&amp;Settings!$B$8,Deductions!$E$5:$E$2000,"&lt;="&amp;Settings!$B$9))</f>
        <v/>
      </c>
      <c r="P692" s="26" t="str">
        <f aca="false">IF($A692="","",SUMIFS(Deductions!$D$5:$D$2000,Deductions!$B$5:$B$2000,$A692,Deductions!$E$5:$E$2000,"&gt;="&amp;Settings!$B$8,Deductions!$E$5:$E$2000,"&lt;="&amp;Settings!$B$9)-O692)</f>
        <v/>
      </c>
      <c r="Q692" s="26" t="str">
        <f aca="false">IF($A692="","",O692+P692)</f>
        <v/>
      </c>
      <c r="R692" s="23" t="str">
        <f aca="false">IF($A692="","",N692-Q692)</f>
        <v/>
      </c>
      <c r="S692" s="24" t="str">
        <f aca="false">IF($A692="","",INDEX(Workers!$O$5:$O$2004,MATCH($A692,Workers!$A$5:$A$2004,0))&amp;"")</f>
        <v/>
      </c>
      <c r="T692" s="24" t="str">
        <f aca="false">IF($A692="","",INDEX(Workers!$P$5:$P$2004,MATCH($A692,Workers!$A$5:$A$2004,0))&amp;"")</f>
        <v/>
      </c>
      <c r="U692" s="24" t="str">
        <f aca="false">IF($A692="","",INDEX(Workers!$H$5:$H$2004,MATCH($A692,Workers!$A$5:$A$2004,0))&amp;"")</f>
        <v/>
      </c>
    </row>
    <row r="693" customFormat="false" ht="15" hidden="false" customHeight="false" outlineLevel="0" collapsed="false">
      <c r="A693" s="24" t="str">
        <f aca="false">IFERROR(INDEX(Workers!$A$5:$A$2004,MATCH(ROW()-4,Workers!$U$5:$U$2004,0)),"")</f>
        <v/>
      </c>
      <c r="B693" s="24" t="str">
        <f aca="false">IF($A693="","",INDEX(Workers!$B$5:$B$2004,MATCH($A693,Workers!$A$5:$A$2004,0)))</f>
        <v/>
      </c>
      <c r="C693" s="24" t="str">
        <f aca="false">IF($A693="","",INDEX(Workers!$E$5:$E$2004,MATCH($A693,Workers!$A$5:$A$2004,0)))</f>
        <v/>
      </c>
      <c r="D693" s="24" t="str">
        <f aca="false">IF($A693="","",INDEX(Workers!$K$5:$K$2004,MATCH($A693,Workers!$A$5:$A$2004,0)))</f>
        <v/>
      </c>
      <c r="E693" s="25" t="str">
        <f aca="false">IF($A693="","",SUMIFS(Timesheet!$E$5:$E$3004,Timesheet!$D$5:$D$3004,$A693,Timesheet!$A$5:$A$3004,"&gt;="&amp;Settings!$B$8,Timesheet!$A$5:$A$3004,"&lt;="&amp;Settings!$B$9))</f>
        <v/>
      </c>
      <c r="F693" s="25" t="str">
        <f aca="false">IF($A693="","",SUMIFS(Timesheet!$F$5:$F$3004,Timesheet!$D$5:$D$3004,$A693,Timesheet!$A$5:$A$3004,"&gt;="&amp;Settings!$B$8,Timesheet!$A$5:$A$3004,"&lt;="&amp;Settings!$B$9))</f>
        <v/>
      </c>
      <c r="G693" s="25" t="str">
        <f aca="false">IF($A693="","",SUMIFS(Timesheet!$G$5:$G$3004,Timesheet!$D$5:$D$3004,$A693,Timesheet!$A$5:$A$3004,"&gt;="&amp;Settings!$B$8,Timesheet!$A$5:$A$3004,"&lt;="&amp;Settings!$B$9))</f>
        <v/>
      </c>
      <c r="H693" s="25" t="str">
        <f aca="false">IF($A693="","",IF(D693="Monthly",MAX(0,Settings!$B$11-E693),0))</f>
        <v/>
      </c>
      <c r="I693" s="26" t="str">
        <f aca="false">IF($A693="","",N(INDEX(Workers!$L$5:$L$2004,MATCH($A693,Workers!$A$5:$A$2004,0))))</f>
        <v/>
      </c>
      <c r="J693" s="26" t="str">
        <f aca="false">IF($A693="","",N(INDEX(Workers!$M$5:$M$2004,MATCH($A693,Workers!$A$5:$A$2004,0))))</f>
        <v/>
      </c>
      <c r="K693" s="26" t="str">
        <f aca="false">IF($A693="","",IF(D693="Monthly",ROUND(MAX(0,(I693+J693)-(I693+J693)/Settings!$B$10*H693),2),0))</f>
        <v/>
      </c>
      <c r="L693" s="26" t="str">
        <f aca="false">IF($A693="","",IF(D693="Hourly",ROUND(F693*N(INDEX(Workers!$N$5:$N$2004,MATCH($A693,Workers!$A$5:$A$2004,0))),2),0))</f>
        <v/>
      </c>
      <c r="M693" s="26" t="str">
        <f aca="false">IF($A693="","",ROUND(G693*IF(D693="Hourly",N(INDEX(Workers!$N$5:$N$2004,MATCH($A693,Workers!$A$5:$A$2004,0))),I693/Settings!$B$10/Settings!$B$12)*Settings!$B$13,2))</f>
        <v/>
      </c>
      <c r="N693" s="26" t="str">
        <f aca="false">IF($A693="","",K693+L693+M693)</f>
        <v/>
      </c>
      <c r="O693" s="26" t="str">
        <f aca="false">IF($A693="","",SUMIFS(Deductions!$D$5:$D$2000,Deductions!$B$5:$B$2000,$A693,Deductions!$C$5:$C$2000,"Advance",Deductions!$E$5:$E$2000,"&gt;="&amp;Settings!$B$8,Deductions!$E$5:$E$2000,"&lt;="&amp;Settings!$B$9))</f>
        <v/>
      </c>
      <c r="P693" s="26" t="str">
        <f aca="false">IF($A693="","",SUMIFS(Deductions!$D$5:$D$2000,Deductions!$B$5:$B$2000,$A693,Deductions!$E$5:$E$2000,"&gt;="&amp;Settings!$B$8,Deductions!$E$5:$E$2000,"&lt;="&amp;Settings!$B$9)-O693)</f>
        <v/>
      </c>
      <c r="Q693" s="26" t="str">
        <f aca="false">IF($A693="","",O693+P693)</f>
        <v/>
      </c>
      <c r="R693" s="23" t="str">
        <f aca="false">IF($A693="","",N693-Q693)</f>
        <v/>
      </c>
      <c r="S693" s="24" t="str">
        <f aca="false">IF($A693="","",INDEX(Workers!$O$5:$O$2004,MATCH($A693,Workers!$A$5:$A$2004,0))&amp;"")</f>
        <v/>
      </c>
      <c r="T693" s="24" t="str">
        <f aca="false">IF($A693="","",INDEX(Workers!$P$5:$P$2004,MATCH($A693,Workers!$A$5:$A$2004,0))&amp;"")</f>
        <v/>
      </c>
      <c r="U693" s="24" t="str">
        <f aca="false">IF($A693="","",INDEX(Workers!$H$5:$H$2004,MATCH($A693,Workers!$A$5:$A$2004,0))&amp;"")</f>
        <v/>
      </c>
    </row>
    <row r="694" customFormat="false" ht="15" hidden="false" customHeight="false" outlineLevel="0" collapsed="false">
      <c r="A694" s="24" t="str">
        <f aca="false">IFERROR(INDEX(Workers!$A$5:$A$2004,MATCH(ROW()-4,Workers!$U$5:$U$2004,0)),"")</f>
        <v/>
      </c>
      <c r="B694" s="24" t="str">
        <f aca="false">IF($A694="","",INDEX(Workers!$B$5:$B$2004,MATCH($A694,Workers!$A$5:$A$2004,0)))</f>
        <v/>
      </c>
      <c r="C694" s="24" t="str">
        <f aca="false">IF($A694="","",INDEX(Workers!$E$5:$E$2004,MATCH($A694,Workers!$A$5:$A$2004,0)))</f>
        <v/>
      </c>
      <c r="D694" s="24" t="str">
        <f aca="false">IF($A694="","",INDEX(Workers!$K$5:$K$2004,MATCH($A694,Workers!$A$5:$A$2004,0)))</f>
        <v/>
      </c>
      <c r="E694" s="25" t="str">
        <f aca="false">IF($A694="","",SUMIFS(Timesheet!$E$5:$E$3004,Timesheet!$D$5:$D$3004,$A694,Timesheet!$A$5:$A$3004,"&gt;="&amp;Settings!$B$8,Timesheet!$A$5:$A$3004,"&lt;="&amp;Settings!$B$9))</f>
        <v/>
      </c>
      <c r="F694" s="25" t="str">
        <f aca="false">IF($A694="","",SUMIFS(Timesheet!$F$5:$F$3004,Timesheet!$D$5:$D$3004,$A694,Timesheet!$A$5:$A$3004,"&gt;="&amp;Settings!$B$8,Timesheet!$A$5:$A$3004,"&lt;="&amp;Settings!$B$9))</f>
        <v/>
      </c>
      <c r="G694" s="25" t="str">
        <f aca="false">IF($A694="","",SUMIFS(Timesheet!$G$5:$G$3004,Timesheet!$D$5:$D$3004,$A694,Timesheet!$A$5:$A$3004,"&gt;="&amp;Settings!$B$8,Timesheet!$A$5:$A$3004,"&lt;="&amp;Settings!$B$9))</f>
        <v/>
      </c>
      <c r="H694" s="25" t="str">
        <f aca="false">IF($A694="","",IF(D694="Monthly",MAX(0,Settings!$B$11-E694),0))</f>
        <v/>
      </c>
      <c r="I694" s="26" t="str">
        <f aca="false">IF($A694="","",N(INDEX(Workers!$L$5:$L$2004,MATCH($A694,Workers!$A$5:$A$2004,0))))</f>
        <v/>
      </c>
      <c r="J694" s="26" t="str">
        <f aca="false">IF($A694="","",N(INDEX(Workers!$M$5:$M$2004,MATCH($A694,Workers!$A$5:$A$2004,0))))</f>
        <v/>
      </c>
      <c r="K694" s="26" t="str">
        <f aca="false">IF($A694="","",IF(D694="Monthly",ROUND(MAX(0,(I694+J694)-(I694+J694)/Settings!$B$10*H694),2),0))</f>
        <v/>
      </c>
      <c r="L694" s="26" t="str">
        <f aca="false">IF($A694="","",IF(D694="Hourly",ROUND(F694*N(INDEX(Workers!$N$5:$N$2004,MATCH($A694,Workers!$A$5:$A$2004,0))),2),0))</f>
        <v/>
      </c>
      <c r="M694" s="26" t="str">
        <f aca="false">IF($A694="","",ROUND(G694*IF(D694="Hourly",N(INDEX(Workers!$N$5:$N$2004,MATCH($A694,Workers!$A$5:$A$2004,0))),I694/Settings!$B$10/Settings!$B$12)*Settings!$B$13,2))</f>
        <v/>
      </c>
      <c r="N694" s="26" t="str">
        <f aca="false">IF($A694="","",K694+L694+M694)</f>
        <v/>
      </c>
      <c r="O694" s="26" t="str">
        <f aca="false">IF($A694="","",SUMIFS(Deductions!$D$5:$D$2000,Deductions!$B$5:$B$2000,$A694,Deductions!$C$5:$C$2000,"Advance",Deductions!$E$5:$E$2000,"&gt;="&amp;Settings!$B$8,Deductions!$E$5:$E$2000,"&lt;="&amp;Settings!$B$9))</f>
        <v/>
      </c>
      <c r="P694" s="26" t="str">
        <f aca="false">IF($A694="","",SUMIFS(Deductions!$D$5:$D$2000,Deductions!$B$5:$B$2000,$A694,Deductions!$E$5:$E$2000,"&gt;="&amp;Settings!$B$8,Deductions!$E$5:$E$2000,"&lt;="&amp;Settings!$B$9)-O694)</f>
        <v/>
      </c>
      <c r="Q694" s="26" t="str">
        <f aca="false">IF($A694="","",O694+P694)</f>
        <v/>
      </c>
      <c r="R694" s="23" t="str">
        <f aca="false">IF($A694="","",N694-Q694)</f>
        <v/>
      </c>
      <c r="S694" s="24" t="str">
        <f aca="false">IF($A694="","",INDEX(Workers!$O$5:$O$2004,MATCH($A694,Workers!$A$5:$A$2004,0))&amp;"")</f>
        <v/>
      </c>
      <c r="T694" s="24" t="str">
        <f aca="false">IF($A694="","",INDEX(Workers!$P$5:$P$2004,MATCH($A694,Workers!$A$5:$A$2004,0))&amp;"")</f>
        <v/>
      </c>
      <c r="U694" s="24" t="str">
        <f aca="false">IF($A694="","",INDEX(Workers!$H$5:$H$2004,MATCH($A694,Workers!$A$5:$A$2004,0))&amp;"")</f>
        <v/>
      </c>
    </row>
    <row r="695" customFormat="false" ht="15" hidden="false" customHeight="false" outlineLevel="0" collapsed="false">
      <c r="A695" s="24" t="str">
        <f aca="false">IFERROR(INDEX(Workers!$A$5:$A$2004,MATCH(ROW()-4,Workers!$U$5:$U$2004,0)),"")</f>
        <v/>
      </c>
      <c r="B695" s="24" t="str">
        <f aca="false">IF($A695="","",INDEX(Workers!$B$5:$B$2004,MATCH($A695,Workers!$A$5:$A$2004,0)))</f>
        <v/>
      </c>
      <c r="C695" s="24" t="str">
        <f aca="false">IF($A695="","",INDEX(Workers!$E$5:$E$2004,MATCH($A695,Workers!$A$5:$A$2004,0)))</f>
        <v/>
      </c>
      <c r="D695" s="24" t="str">
        <f aca="false">IF($A695="","",INDEX(Workers!$K$5:$K$2004,MATCH($A695,Workers!$A$5:$A$2004,0)))</f>
        <v/>
      </c>
      <c r="E695" s="25" t="str">
        <f aca="false">IF($A695="","",SUMIFS(Timesheet!$E$5:$E$3004,Timesheet!$D$5:$D$3004,$A695,Timesheet!$A$5:$A$3004,"&gt;="&amp;Settings!$B$8,Timesheet!$A$5:$A$3004,"&lt;="&amp;Settings!$B$9))</f>
        <v/>
      </c>
      <c r="F695" s="25" t="str">
        <f aca="false">IF($A695="","",SUMIFS(Timesheet!$F$5:$F$3004,Timesheet!$D$5:$D$3004,$A695,Timesheet!$A$5:$A$3004,"&gt;="&amp;Settings!$B$8,Timesheet!$A$5:$A$3004,"&lt;="&amp;Settings!$B$9))</f>
        <v/>
      </c>
      <c r="G695" s="25" t="str">
        <f aca="false">IF($A695="","",SUMIFS(Timesheet!$G$5:$G$3004,Timesheet!$D$5:$D$3004,$A695,Timesheet!$A$5:$A$3004,"&gt;="&amp;Settings!$B$8,Timesheet!$A$5:$A$3004,"&lt;="&amp;Settings!$B$9))</f>
        <v/>
      </c>
      <c r="H695" s="25" t="str">
        <f aca="false">IF($A695="","",IF(D695="Monthly",MAX(0,Settings!$B$11-E695),0))</f>
        <v/>
      </c>
      <c r="I695" s="26" t="str">
        <f aca="false">IF($A695="","",N(INDEX(Workers!$L$5:$L$2004,MATCH($A695,Workers!$A$5:$A$2004,0))))</f>
        <v/>
      </c>
      <c r="J695" s="26" t="str">
        <f aca="false">IF($A695="","",N(INDEX(Workers!$M$5:$M$2004,MATCH($A695,Workers!$A$5:$A$2004,0))))</f>
        <v/>
      </c>
      <c r="K695" s="26" t="str">
        <f aca="false">IF($A695="","",IF(D695="Monthly",ROUND(MAX(0,(I695+J695)-(I695+J695)/Settings!$B$10*H695),2),0))</f>
        <v/>
      </c>
      <c r="L695" s="26" t="str">
        <f aca="false">IF($A695="","",IF(D695="Hourly",ROUND(F695*N(INDEX(Workers!$N$5:$N$2004,MATCH($A695,Workers!$A$5:$A$2004,0))),2),0))</f>
        <v/>
      </c>
      <c r="M695" s="26" t="str">
        <f aca="false">IF($A695="","",ROUND(G695*IF(D695="Hourly",N(INDEX(Workers!$N$5:$N$2004,MATCH($A695,Workers!$A$5:$A$2004,0))),I695/Settings!$B$10/Settings!$B$12)*Settings!$B$13,2))</f>
        <v/>
      </c>
      <c r="N695" s="26" t="str">
        <f aca="false">IF($A695="","",K695+L695+M695)</f>
        <v/>
      </c>
      <c r="O695" s="26" t="str">
        <f aca="false">IF($A695="","",SUMIFS(Deductions!$D$5:$D$2000,Deductions!$B$5:$B$2000,$A695,Deductions!$C$5:$C$2000,"Advance",Deductions!$E$5:$E$2000,"&gt;="&amp;Settings!$B$8,Deductions!$E$5:$E$2000,"&lt;="&amp;Settings!$B$9))</f>
        <v/>
      </c>
      <c r="P695" s="26" t="str">
        <f aca="false">IF($A695="","",SUMIFS(Deductions!$D$5:$D$2000,Deductions!$B$5:$B$2000,$A695,Deductions!$E$5:$E$2000,"&gt;="&amp;Settings!$B$8,Deductions!$E$5:$E$2000,"&lt;="&amp;Settings!$B$9)-O695)</f>
        <v/>
      </c>
      <c r="Q695" s="26" t="str">
        <f aca="false">IF($A695="","",O695+P695)</f>
        <v/>
      </c>
      <c r="R695" s="23" t="str">
        <f aca="false">IF($A695="","",N695-Q695)</f>
        <v/>
      </c>
      <c r="S695" s="24" t="str">
        <f aca="false">IF($A695="","",INDEX(Workers!$O$5:$O$2004,MATCH($A695,Workers!$A$5:$A$2004,0))&amp;"")</f>
        <v/>
      </c>
      <c r="T695" s="24" t="str">
        <f aca="false">IF($A695="","",INDEX(Workers!$P$5:$P$2004,MATCH($A695,Workers!$A$5:$A$2004,0))&amp;"")</f>
        <v/>
      </c>
      <c r="U695" s="24" t="str">
        <f aca="false">IF($A695="","",INDEX(Workers!$H$5:$H$2004,MATCH($A695,Workers!$A$5:$A$2004,0))&amp;"")</f>
        <v/>
      </c>
    </row>
    <row r="696" customFormat="false" ht="15" hidden="false" customHeight="false" outlineLevel="0" collapsed="false">
      <c r="A696" s="24" t="str">
        <f aca="false">IFERROR(INDEX(Workers!$A$5:$A$2004,MATCH(ROW()-4,Workers!$U$5:$U$2004,0)),"")</f>
        <v/>
      </c>
      <c r="B696" s="24" t="str">
        <f aca="false">IF($A696="","",INDEX(Workers!$B$5:$B$2004,MATCH($A696,Workers!$A$5:$A$2004,0)))</f>
        <v/>
      </c>
      <c r="C696" s="24" t="str">
        <f aca="false">IF($A696="","",INDEX(Workers!$E$5:$E$2004,MATCH($A696,Workers!$A$5:$A$2004,0)))</f>
        <v/>
      </c>
      <c r="D696" s="24" t="str">
        <f aca="false">IF($A696="","",INDEX(Workers!$K$5:$K$2004,MATCH($A696,Workers!$A$5:$A$2004,0)))</f>
        <v/>
      </c>
      <c r="E696" s="25" t="str">
        <f aca="false">IF($A696="","",SUMIFS(Timesheet!$E$5:$E$3004,Timesheet!$D$5:$D$3004,$A696,Timesheet!$A$5:$A$3004,"&gt;="&amp;Settings!$B$8,Timesheet!$A$5:$A$3004,"&lt;="&amp;Settings!$B$9))</f>
        <v/>
      </c>
      <c r="F696" s="25" t="str">
        <f aca="false">IF($A696="","",SUMIFS(Timesheet!$F$5:$F$3004,Timesheet!$D$5:$D$3004,$A696,Timesheet!$A$5:$A$3004,"&gt;="&amp;Settings!$B$8,Timesheet!$A$5:$A$3004,"&lt;="&amp;Settings!$B$9))</f>
        <v/>
      </c>
      <c r="G696" s="25" t="str">
        <f aca="false">IF($A696="","",SUMIFS(Timesheet!$G$5:$G$3004,Timesheet!$D$5:$D$3004,$A696,Timesheet!$A$5:$A$3004,"&gt;="&amp;Settings!$B$8,Timesheet!$A$5:$A$3004,"&lt;="&amp;Settings!$B$9))</f>
        <v/>
      </c>
      <c r="H696" s="25" t="str">
        <f aca="false">IF($A696="","",IF(D696="Monthly",MAX(0,Settings!$B$11-E696),0))</f>
        <v/>
      </c>
      <c r="I696" s="26" t="str">
        <f aca="false">IF($A696="","",N(INDEX(Workers!$L$5:$L$2004,MATCH($A696,Workers!$A$5:$A$2004,0))))</f>
        <v/>
      </c>
      <c r="J696" s="26" t="str">
        <f aca="false">IF($A696="","",N(INDEX(Workers!$M$5:$M$2004,MATCH($A696,Workers!$A$5:$A$2004,0))))</f>
        <v/>
      </c>
      <c r="K696" s="26" t="str">
        <f aca="false">IF($A696="","",IF(D696="Monthly",ROUND(MAX(0,(I696+J696)-(I696+J696)/Settings!$B$10*H696),2),0))</f>
        <v/>
      </c>
      <c r="L696" s="26" t="str">
        <f aca="false">IF($A696="","",IF(D696="Hourly",ROUND(F696*N(INDEX(Workers!$N$5:$N$2004,MATCH($A696,Workers!$A$5:$A$2004,0))),2),0))</f>
        <v/>
      </c>
      <c r="M696" s="26" t="str">
        <f aca="false">IF($A696="","",ROUND(G696*IF(D696="Hourly",N(INDEX(Workers!$N$5:$N$2004,MATCH($A696,Workers!$A$5:$A$2004,0))),I696/Settings!$B$10/Settings!$B$12)*Settings!$B$13,2))</f>
        <v/>
      </c>
      <c r="N696" s="26" t="str">
        <f aca="false">IF($A696="","",K696+L696+M696)</f>
        <v/>
      </c>
      <c r="O696" s="26" t="str">
        <f aca="false">IF($A696="","",SUMIFS(Deductions!$D$5:$D$2000,Deductions!$B$5:$B$2000,$A696,Deductions!$C$5:$C$2000,"Advance",Deductions!$E$5:$E$2000,"&gt;="&amp;Settings!$B$8,Deductions!$E$5:$E$2000,"&lt;="&amp;Settings!$B$9))</f>
        <v/>
      </c>
      <c r="P696" s="26" t="str">
        <f aca="false">IF($A696="","",SUMIFS(Deductions!$D$5:$D$2000,Deductions!$B$5:$B$2000,$A696,Deductions!$E$5:$E$2000,"&gt;="&amp;Settings!$B$8,Deductions!$E$5:$E$2000,"&lt;="&amp;Settings!$B$9)-O696)</f>
        <v/>
      </c>
      <c r="Q696" s="26" t="str">
        <f aca="false">IF($A696="","",O696+P696)</f>
        <v/>
      </c>
      <c r="R696" s="23" t="str">
        <f aca="false">IF($A696="","",N696-Q696)</f>
        <v/>
      </c>
      <c r="S696" s="24" t="str">
        <f aca="false">IF($A696="","",INDEX(Workers!$O$5:$O$2004,MATCH($A696,Workers!$A$5:$A$2004,0))&amp;"")</f>
        <v/>
      </c>
      <c r="T696" s="24" t="str">
        <f aca="false">IF($A696="","",INDEX(Workers!$P$5:$P$2004,MATCH($A696,Workers!$A$5:$A$2004,0))&amp;"")</f>
        <v/>
      </c>
      <c r="U696" s="24" t="str">
        <f aca="false">IF($A696="","",INDEX(Workers!$H$5:$H$2004,MATCH($A696,Workers!$A$5:$A$2004,0))&amp;"")</f>
        <v/>
      </c>
    </row>
    <row r="697" customFormat="false" ht="15" hidden="false" customHeight="false" outlineLevel="0" collapsed="false">
      <c r="A697" s="24" t="str">
        <f aca="false">IFERROR(INDEX(Workers!$A$5:$A$2004,MATCH(ROW()-4,Workers!$U$5:$U$2004,0)),"")</f>
        <v/>
      </c>
      <c r="B697" s="24" t="str">
        <f aca="false">IF($A697="","",INDEX(Workers!$B$5:$B$2004,MATCH($A697,Workers!$A$5:$A$2004,0)))</f>
        <v/>
      </c>
      <c r="C697" s="24" t="str">
        <f aca="false">IF($A697="","",INDEX(Workers!$E$5:$E$2004,MATCH($A697,Workers!$A$5:$A$2004,0)))</f>
        <v/>
      </c>
      <c r="D697" s="24" t="str">
        <f aca="false">IF($A697="","",INDEX(Workers!$K$5:$K$2004,MATCH($A697,Workers!$A$5:$A$2004,0)))</f>
        <v/>
      </c>
      <c r="E697" s="25" t="str">
        <f aca="false">IF($A697="","",SUMIFS(Timesheet!$E$5:$E$3004,Timesheet!$D$5:$D$3004,$A697,Timesheet!$A$5:$A$3004,"&gt;="&amp;Settings!$B$8,Timesheet!$A$5:$A$3004,"&lt;="&amp;Settings!$B$9))</f>
        <v/>
      </c>
      <c r="F697" s="25" t="str">
        <f aca="false">IF($A697="","",SUMIFS(Timesheet!$F$5:$F$3004,Timesheet!$D$5:$D$3004,$A697,Timesheet!$A$5:$A$3004,"&gt;="&amp;Settings!$B$8,Timesheet!$A$5:$A$3004,"&lt;="&amp;Settings!$B$9))</f>
        <v/>
      </c>
      <c r="G697" s="25" t="str">
        <f aca="false">IF($A697="","",SUMIFS(Timesheet!$G$5:$G$3004,Timesheet!$D$5:$D$3004,$A697,Timesheet!$A$5:$A$3004,"&gt;="&amp;Settings!$B$8,Timesheet!$A$5:$A$3004,"&lt;="&amp;Settings!$B$9))</f>
        <v/>
      </c>
      <c r="H697" s="25" t="str">
        <f aca="false">IF($A697="","",IF(D697="Monthly",MAX(0,Settings!$B$11-E697),0))</f>
        <v/>
      </c>
      <c r="I697" s="26" t="str">
        <f aca="false">IF($A697="","",N(INDEX(Workers!$L$5:$L$2004,MATCH($A697,Workers!$A$5:$A$2004,0))))</f>
        <v/>
      </c>
      <c r="J697" s="26" t="str">
        <f aca="false">IF($A697="","",N(INDEX(Workers!$M$5:$M$2004,MATCH($A697,Workers!$A$5:$A$2004,0))))</f>
        <v/>
      </c>
      <c r="K697" s="26" t="str">
        <f aca="false">IF($A697="","",IF(D697="Monthly",ROUND(MAX(0,(I697+J697)-(I697+J697)/Settings!$B$10*H697),2),0))</f>
        <v/>
      </c>
      <c r="L697" s="26" t="str">
        <f aca="false">IF($A697="","",IF(D697="Hourly",ROUND(F697*N(INDEX(Workers!$N$5:$N$2004,MATCH($A697,Workers!$A$5:$A$2004,0))),2),0))</f>
        <v/>
      </c>
      <c r="M697" s="26" t="str">
        <f aca="false">IF($A697="","",ROUND(G697*IF(D697="Hourly",N(INDEX(Workers!$N$5:$N$2004,MATCH($A697,Workers!$A$5:$A$2004,0))),I697/Settings!$B$10/Settings!$B$12)*Settings!$B$13,2))</f>
        <v/>
      </c>
      <c r="N697" s="26" t="str">
        <f aca="false">IF($A697="","",K697+L697+M697)</f>
        <v/>
      </c>
      <c r="O697" s="26" t="str">
        <f aca="false">IF($A697="","",SUMIFS(Deductions!$D$5:$D$2000,Deductions!$B$5:$B$2000,$A697,Deductions!$C$5:$C$2000,"Advance",Deductions!$E$5:$E$2000,"&gt;="&amp;Settings!$B$8,Deductions!$E$5:$E$2000,"&lt;="&amp;Settings!$B$9))</f>
        <v/>
      </c>
      <c r="P697" s="26" t="str">
        <f aca="false">IF($A697="","",SUMIFS(Deductions!$D$5:$D$2000,Deductions!$B$5:$B$2000,$A697,Deductions!$E$5:$E$2000,"&gt;="&amp;Settings!$B$8,Deductions!$E$5:$E$2000,"&lt;="&amp;Settings!$B$9)-O697)</f>
        <v/>
      </c>
      <c r="Q697" s="26" t="str">
        <f aca="false">IF($A697="","",O697+P697)</f>
        <v/>
      </c>
      <c r="R697" s="23" t="str">
        <f aca="false">IF($A697="","",N697-Q697)</f>
        <v/>
      </c>
      <c r="S697" s="24" t="str">
        <f aca="false">IF($A697="","",INDEX(Workers!$O$5:$O$2004,MATCH($A697,Workers!$A$5:$A$2004,0))&amp;"")</f>
        <v/>
      </c>
      <c r="T697" s="24" t="str">
        <f aca="false">IF($A697="","",INDEX(Workers!$P$5:$P$2004,MATCH($A697,Workers!$A$5:$A$2004,0))&amp;"")</f>
        <v/>
      </c>
      <c r="U697" s="24" t="str">
        <f aca="false">IF($A697="","",INDEX(Workers!$H$5:$H$2004,MATCH($A697,Workers!$A$5:$A$2004,0))&amp;"")</f>
        <v/>
      </c>
    </row>
    <row r="698" customFormat="false" ht="15" hidden="false" customHeight="false" outlineLevel="0" collapsed="false">
      <c r="A698" s="24" t="str">
        <f aca="false">IFERROR(INDEX(Workers!$A$5:$A$2004,MATCH(ROW()-4,Workers!$U$5:$U$2004,0)),"")</f>
        <v/>
      </c>
      <c r="B698" s="24" t="str">
        <f aca="false">IF($A698="","",INDEX(Workers!$B$5:$B$2004,MATCH($A698,Workers!$A$5:$A$2004,0)))</f>
        <v/>
      </c>
      <c r="C698" s="24" t="str">
        <f aca="false">IF($A698="","",INDEX(Workers!$E$5:$E$2004,MATCH($A698,Workers!$A$5:$A$2004,0)))</f>
        <v/>
      </c>
      <c r="D698" s="24" t="str">
        <f aca="false">IF($A698="","",INDEX(Workers!$K$5:$K$2004,MATCH($A698,Workers!$A$5:$A$2004,0)))</f>
        <v/>
      </c>
      <c r="E698" s="25" t="str">
        <f aca="false">IF($A698="","",SUMIFS(Timesheet!$E$5:$E$3004,Timesheet!$D$5:$D$3004,$A698,Timesheet!$A$5:$A$3004,"&gt;="&amp;Settings!$B$8,Timesheet!$A$5:$A$3004,"&lt;="&amp;Settings!$B$9))</f>
        <v/>
      </c>
      <c r="F698" s="25" t="str">
        <f aca="false">IF($A698="","",SUMIFS(Timesheet!$F$5:$F$3004,Timesheet!$D$5:$D$3004,$A698,Timesheet!$A$5:$A$3004,"&gt;="&amp;Settings!$B$8,Timesheet!$A$5:$A$3004,"&lt;="&amp;Settings!$B$9))</f>
        <v/>
      </c>
      <c r="G698" s="25" t="str">
        <f aca="false">IF($A698="","",SUMIFS(Timesheet!$G$5:$G$3004,Timesheet!$D$5:$D$3004,$A698,Timesheet!$A$5:$A$3004,"&gt;="&amp;Settings!$B$8,Timesheet!$A$5:$A$3004,"&lt;="&amp;Settings!$B$9))</f>
        <v/>
      </c>
      <c r="H698" s="25" t="str">
        <f aca="false">IF($A698="","",IF(D698="Monthly",MAX(0,Settings!$B$11-E698),0))</f>
        <v/>
      </c>
      <c r="I698" s="26" t="str">
        <f aca="false">IF($A698="","",N(INDEX(Workers!$L$5:$L$2004,MATCH($A698,Workers!$A$5:$A$2004,0))))</f>
        <v/>
      </c>
      <c r="J698" s="26" t="str">
        <f aca="false">IF($A698="","",N(INDEX(Workers!$M$5:$M$2004,MATCH($A698,Workers!$A$5:$A$2004,0))))</f>
        <v/>
      </c>
      <c r="K698" s="26" t="str">
        <f aca="false">IF($A698="","",IF(D698="Monthly",ROUND(MAX(0,(I698+J698)-(I698+J698)/Settings!$B$10*H698),2),0))</f>
        <v/>
      </c>
      <c r="L698" s="26" t="str">
        <f aca="false">IF($A698="","",IF(D698="Hourly",ROUND(F698*N(INDEX(Workers!$N$5:$N$2004,MATCH($A698,Workers!$A$5:$A$2004,0))),2),0))</f>
        <v/>
      </c>
      <c r="M698" s="26" t="str">
        <f aca="false">IF($A698="","",ROUND(G698*IF(D698="Hourly",N(INDEX(Workers!$N$5:$N$2004,MATCH($A698,Workers!$A$5:$A$2004,0))),I698/Settings!$B$10/Settings!$B$12)*Settings!$B$13,2))</f>
        <v/>
      </c>
      <c r="N698" s="26" t="str">
        <f aca="false">IF($A698="","",K698+L698+M698)</f>
        <v/>
      </c>
      <c r="O698" s="26" t="str">
        <f aca="false">IF($A698="","",SUMIFS(Deductions!$D$5:$D$2000,Deductions!$B$5:$B$2000,$A698,Deductions!$C$5:$C$2000,"Advance",Deductions!$E$5:$E$2000,"&gt;="&amp;Settings!$B$8,Deductions!$E$5:$E$2000,"&lt;="&amp;Settings!$B$9))</f>
        <v/>
      </c>
      <c r="P698" s="26" t="str">
        <f aca="false">IF($A698="","",SUMIFS(Deductions!$D$5:$D$2000,Deductions!$B$5:$B$2000,$A698,Deductions!$E$5:$E$2000,"&gt;="&amp;Settings!$B$8,Deductions!$E$5:$E$2000,"&lt;="&amp;Settings!$B$9)-O698)</f>
        <v/>
      </c>
      <c r="Q698" s="26" t="str">
        <f aca="false">IF($A698="","",O698+P698)</f>
        <v/>
      </c>
      <c r="R698" s="23" t="str">
        <f aca="false">IF($A698="","",N698-Q698)</f>
        <v/>
      </c>
      <c r="S698" s="24" t="str">
        <f aca="false">IF($A698="","",INDEX(Workers!$O$5:$O$2004,MATCH($A698,Workers!$A$5:$A$2004,0))&amp;"")</f>
        <v/>
      </c>
      <c r="T698" s="24" t="str">
        <f aca="false">IF($A698="","",INDEX(Workers!$P$5:$P$2004,MATCH($A698,Workers!$A$5:$A$2004,0))&amp;"")</f>
        <v/>
      </c>
      <c r="U698" s="24" t="str">
        <f aca="false">IF($A698="","",INDEX(Workers!$H$5:$H$2004,MATCH($A698,Workers!$A$5:$A$2004,0))&amp;"")</f>
        <v/>
      </c>
    </row>
    <row r="699" customFormat="false" ht="15" hidden="false" customHeight="false" outlineLevel="0" collapsed="false">
      <c r="A699" s="24" t="str">
        <f aca="false">IFERROR(INDEX(Workers!$A$5:$A$2004,MATCH(ROW()-4,Workers!$U$5:$U$2004,0)),"")</f>
        <v/>
      </c>
      <c r="B699" s="24" t="str">
        <f aca="false">IF($A699="","",INDEX(Workers!$B$5:$B$2004,MATCH($A699,Workers!$A$5:$A$2004,0)))</f>
        <v/>
      </c>
      <c r="C699" s="24" t="str">
        <f aca="false">IF($A699="","",INDEX(Workers!$E$5:$E$2004,MATCH($A699,Workers!$A$5:$A$2004,0)))</f>
        <v/>
      </c>
      <c r="D699" s="24" t="str">
        <f aca="false">IF($A699="","",INDEX(Workers!$K$5:$K$2004,MATCH($A699,Workers!$A$5:$A$2004,0)))</f>
        <v/>
      </c>
      <c r="E699" s="25" t="str">
        <f aca="false">IF($A699="","",SUMIFS(Timesheet!$E$5:$E$3004,Timesheet!$D$5:$D$3004,$A699,Timesheet!$A$5:$A$3004,"&gt;="&amp;Settings!$B$8,Timesheet!$A$5:$A$3004,"&lt;="&amp;Settings!$B$9))</f>
        <v/>
      </c>
      <c r="F699" s="25" t="str">
        <f aca="false">IF($A699="","",SUMIFS(Timesheet!$F$5:$F$3004,Timesheet!$D$5:$D$3004,$A699,Timesheet!$A$5:$A$3004,"&gt;="&amp;Settings!$B$8,Timesheet!$A$5:$A$3004,"&lt;="&amp;Settings!$B$9))</f>
        <v/>
      </c>
      <c r="G699" s="25" t="str">
        <f aca="false">IF($A699="","",SUMIFS(Timesheet!$G$5:$G$3004,Timesheet!$D$5:$D$3004,$A699,Timesheet!$A$5:$A$3004,"&gt;="&amp;Settings!$B$8,Timesheet!$A$5:$A$3004,"&lt;="&amp;Settings!$B$9))</f>
        <v/>
      </c>
      <c r="H699" s="25" t="str">
        <f aca="false">IF($A699="","",IF(D699="Monthly",MAX(0,Settings!$B$11-E699),0))</f>
        <v/>
      </c>
      <c r="I699" s="26" t="str">
        <f aca="false">IF($A699="","",N(INDEX(Workers!$L$5:$L$2004,MATCH($A699,Workers!$A$5:$A$2004,0))))</f>
        <v/>
      </c>
      <c r="J699" s="26" t="str">
        <f aca="false">IF($A699="","",N(INDEX(Workers!$M$5:$M$2004,MATCH($A699,Workers!$A$5:$A$2004,0))))</f>
        <v/>
      </c>
      <c r="K699" s="26" t="str">
        <f aca="false">IF($A699="","",IF(D699="Monthly",ROUND(MAX(0,(I699+J699)-(I699+J699)/Settings!$B$10*H699),2),0))</f>
        <v/>
      </c>
      <c r="L699" s="26" t="str">
        <f aca="false">IF($A699="","",IF(D699="Hourly",ROUND(F699*N(INDEX(Workers!$N$5:$N$2004,MATCH($A699,Workers!$A$5:$A$2004,0))),2),0))</f>
        <v/>
      </c>
      <c r="M699" s="26" t="str">
        <f aca="false">IF($A699="","",ROUND(G699*IF(D699="Hourly",N(INDEX(Workers!$N$5:$N$2004,MATCH($A699,Workers!$A$5:$A$2004,0))),I699/Settings!$B$10/Settings!$B$12)*Settings!$B$13,2))</f>
        <v/>
      </c>
      <c r="N699" s="26" t="str">
        <f aca="false">IF($A699="","",K699+L699+M699)</f>
        <v/>
      </c>
      <c r="O699" s="26" t="str">
        <f aca="false">IF($A699="","",SUMIFS(Deductions!$D$5:$D$2000,Deductions!$B$5:$B$2000,$A699,Deductions!$C$5:$C$2000,"Advance",Deductions!$E$5:$E$2000,"&gt;="&amp;Settings!$B$8,Deductions!$E$5:$E$2000,"&lt;="&amp;Settings!$B$9))</f>
        <v/>
      </c>
      <c r="P699" s="26" t="str">
        <f aca="false">IF($A699="","",SUMIFS(Deductions!$D$5:$D$2000,Deductions!$B$5:$B$2000,$A699,Deductions!$E$5:$E$2000,"&gt;="&amp;Settings!$B$8,Deductions!$E$5:$E$2000,"&lt;="&amp;Settings!$B$9)-O699)</f>
        <v/>
      </c>
      <c r="Q699" s="26" t="str">
        <f aca="false">IF($A699="","",O699+P699)</f>
        <v/>
      </c>
      <c r="R699" s="23" t="str">
        <f aca="false">IF($A699="","",N699-Q699)</f>
        <v/>
      </c>
      <c r="S699" s="24" t="str">
        <f aca="false">IF($A699="","",INDEX(Workers!$O$5:$O$2004,MATCH($A699,Workers!$A$5:$A$2004,0))&amp;"")</f>
        <v/>
      </c>
      <c r="T699" s="24" t="str">
        <f aca="false">IF($A699="","",INDEX(Workers!$P$5:$P$2004,MATCH($A699,Workers!$A$5:$A$2004,0))&amp;"")</f>
        <v/>
      </c>
      <c r="U699" s="24" t="str">
        <f aca="false">IF($A699="","",INDEX(Workers!$H$5:$H$2004,MATCH($A699,Workers!$A$5:$A$2004,0))&amp;"")</f>
        <v/>
      </c>
    </row>
    <row r="700" customFormat="false" ht="15" hidden="false" customHeight="false" outlineLevel="0" collapsed="false">
      <c r="A700" s="24" t="str">
        <f aca="false">IFERROR(INDEX(Workers!$A$5:$A$2004,MATCH(ROW()-4,Workers!$U$5:$U$2004,0)),"")</f>
        <v/>
      </c>
      <c r="B700" s="24" t="str">
        <f aca="false">IF($A700="","",INDEX(Workers!$B$5:$B$2004,MATCH($A700,Workers!$A$5:$A$2004,0)))</f>
        <v/>
      </c>
      <c r="C700" s="24" t="str">
        <f aca="false">IF($A700="","",INDEX(Workers!$E$5:$E$2004,MATCH($A700,Workers!$A$5:$A$2004,0)))</f>
        <v/>
      </c>
      <c r="D700" s="24" t="str">
        <f aca="false">IF($A700="","",INDEX(Workers!$K$5:$K$2004,MATCH($A700,Workers!$A$5:$A$2004,0)))</f>
        <v/>
      </c>
      <c r="E700" s="25" t="str">
        <f aca="false">IF($A700="","",SUMIFS(Timesheet!$E$5:$E$3004,Timesheet!$D$5:$D$3004,$A700,Timesheet!$A$5:$A$3004,"&gt;="&amp;Settings!$B$8,Timesheet!$A$5:$A$3004,"&lt;="&amp;Settings!$B$9))</f>
        <v/>
      </c>
      <c r="F700" s="25" t="str">
        <f aca="false">IF($A700="","",SUMIFS(Timesheet!$F$5:$F$3004,Timesheet!$D$5:$D$3004,$A700,Timesheet!$A$5:$A$3004,"&gt;="&amp;Settings!$B$8,Timesheet!$A$5:$A$3004,"&lt;="&amp;Settings!$B$9))</f>
        <v/>
      </c>
      <c r="G700" s="25" t="str">
        <f aca="false">IF($A700="","",SUMIFS(Timesheet!$G$5:$G$3004,Timesheet!$D$5:$D$3004,$A700,Timesheet!$A$5:$A$3004,"&gt;="&amp;Settings!$B$8,Timesheet!$A$5:$A$3004,"&lt;="&amp;Settings!$B$9))</f>
        <v/>
      </c>
      <c r="H700" s="25" t="str">
        <f aca="false">IF($A700="","",IF(D700="Monthly",MAX(0,Settings!$B$11-E700),0))</f>
        <v/>
      </c>
      <c r="I700" s="26" t="str">
        <f aca="false">IF($A700="","",N(INDEX(Workers!$L$5:$L$2004,MATCH($A700,Workers!$A$5:$A$2004,0))))</f>
        <v/>
      </c>
      <c r="J700" s="26" t="str">
        <f aca="false">IF($A700="","",N(INDEX(Workers!$M$5:$M$2004,MATCH($A700,Workers!$A$5:$A$2004,0))))</f>
        <v/>
      </c>
      <c r="K700" s="26" t="str">
        <f aca="false">IF($A700="","",IF(D700="Monthly",ROUND(MAX(0,(I700+J700)-(I700+J700)/Settings!$B$10*H700),2),0))</f>
        <v/>
      </c>
      <c r="L700" s="26" t="str">
        <f aca="false">IF($A700="","",IF(D700="Hourly",ROUND(F700*N(INDEX(Workers!$N$5:$N$2004,MATCH($A700,Workers!$A$5:$A$2004,0))),2),0))</f>
        <v/>
      </c>
      <c r="M700" s="26" t="str">
        <f aca="false">IF($A700="","",ROUND(G700*IF(D700="Hourly",N(INDEX(Workers!$N$5:$N$2004,MATCH($A700,Workers!$A$5:$A$2004,0))),I700/Settings!$B$10/Settings!$B$12)*Settings!$B$13,2))</f>
        <v/>
      </c>
      <c r="N700" s="26" t="str">
        <f aca="false">IF($A700="","",K700+L700+M700)</f>
        <v/>
      </c>
      <c r="O700" s="26" t="str">
        <f aca="false">IF($A700="","",SUMIFS(Deductions!$D$5:$D$2000,Deductions!$B$5:$B$2000,$A700,Deductions!$C$5:$C$2000,"Advance",Deductions!$E$5:$E$2000,"&gt;="&amp;Settings!$B$8,Deductions!$E$5:$E$2000,"&lt;="&amp;Settings!$B$9))</f>
        <v/>
      </c>
      <c r="P700" s="26" t="str">
        <f aca="false">IF($A700="","",SUMIFS(Deductions!$D$5:$D$2000,Deductions!$B$5:$B$2000,$A700,Deductions!$E$5:$E$2000,"&gt;="&amp;Settings!$B$8,Deductions!$E$5:$E$2000,"&lt;="&amp;Settings!$B$9)-O700)</f>
        <v/>
      </c>
      <c r="Q700" s="26" t="str">
        <f aca="false">IF($A700="","",O700+P700)</f>
        <v/>
      </c>
      <c r="R700" s="23" t="str">
        <f aca="false">IF($A700="","",N700-Q700)</f>
        <v/>
      </c>
      <c r="S700" s="24" t="str">
        <f aca="false">IF($A700="","",INDEX(Workers!$O$5:$O$2004,MATCH($A700,Workers!$A$5:$A$2004,0))&amp;"")</f>
        <v/>
      </c>
      <c r="T700" s="24" t="str">
        <f aca="false">IF($A700="","",INDEX(Workers!$P$5:$P$2004,MATCH($A700,Workers!$A$5:$A$2004,0))&amp;"")</f>
        <v/>
      </c>
      <c r="U700" s="24" t="str">
        <f aca="false">IF($A700="","",INDEX(Workers!$H$5:$H$2004,MATCH($A700,Workers!$A$5:$A$2004,0))&amp;"")</f>
        <v/>
      </c>
    </row>
    <row r="701" customFormat="false" ht="15" hidden="false" customHeight="false" outlineLevel="0" collapsed="false">
      <c r="A701" s="24" t="str">
        <f aca="false">IFERROR(INDEX(Workers!$A$5:$A$2004,MATCH(ROW()-4,Workers!$U$5:$U$2004,0)),"")</f>
        <v/>
      </c>
      <c r="B701" s="24" t="str">
        <f aca="false">IF($A701="","",INDEX(Workers!$B$5:$B$2004,MATCH($A701,Workers!$A$5:$A$2004,0)))</f>
        <v/>
      </c>
      <c r="C701" s="24" t="str">
        <f aca="false">IF($A701="","",INDEX(Workers!$E$5:$E$2004,MATCH($A701,Workers!$A$5:$A$2004,0)))</f>
        <v/>
      </c>
      <c r="D701" s="24" t="str">
        <f aca="false">IF($A701="","",INDEX(Workers!$K$5:$K$2004,MATCH($A701,Workers!$A$5:$A$2004,0)))</f>
        <v/>
      </c>
      <c r="E701" s="25" t="str">
        <f aca="false">IF($A701="","",SUMIFS(Timesheet!$E$5:$E$3004,Timesheet!$D$5:$D$3004,$A701,Timesheet!$A$5:$A$3004,"&gt;="&amp;Settings!$B$8,Timesheet!$A$5:$A$3004,"&lt;="&amp;Settings!$B$9))</f>
        <v/>
      </c>
      <c r="F701" s="25" t="str">
        <f aca="false">IF($A701="","",SUMIFS(Timesheet!$F$5:$F$3004,Timesheet!$D$5:$D$3004,$A701,Timesheet!$A$5:$A$3004,"&gt;="&amp;Settings!$B$8,Timesheet!$A$5:$A$3004,"&lt;="&amp;Settings!$B$9))</f>
        <v/>
      </c>
      <c r="G701" s="25" t="str">
        <f aca="false">IF($A701="","",SUMIFS(Timesheet!$G$5:$G$3004,Timesheet!$D$5:$D$3004,$A701,Timesheet!$A$5:$A$3004,"&gt;="&amp;Settings!$B$8,Timesheet!$A$5:$A$3004,"&lt;="&amp;Settings!$B$9))</f>
        <v/>
      </c>
      <c r="H701" s="25" t="str">
        <f aca="false">IF($A701="","",IF(D701="Monthly",MAX(0,Settings!$B$11-E701),0))</f>
        <v/>
      </c>
      <c r="I701" s="26" t="str">
        <f aca="false">IF($A701="","",N(INDEX(Workers!$L$5:$L$2004,MATCH($A701,Workers!$A$5:$A$2004,0))))</f>
        <v/>
      </c>
      <c r="J701" s="26" t="str">
        <f aca="false">IF($A701="","",N(INDEX(Workers!$M$5:$M$2004,MATCH($A701,Workers!$A$5:$A$2004,0))))</f>
        <v/>
      </c>
      <c r="K701" s="26" t="str">
        <f aca="false">IF($A701="","",IF(D701="Monthly",ROUND(MAX(0,(I701+J701)-(I701+J701)/Settings!$B$10*H701),2),0))</f>
        <v/>
      </c>
      <c r="L701" s="26" t="str">
        <f aca="false">IF($A701="","",IF(D701="Hourly",ROUND(F701*N(INDEX(Workers!$N$5:$N$2004,MATCH($A701,Workers!$A$5:$A$2004,0))),2),0))</f>
        <v/>
      </c>
      <c r="M701" s="26" t="str">
        <f aca="false">IF($A701="","",ROUND(G701*IF(D701="Hourly",N(INDEX(Workers!$N$5:$N$2004,MATCH($A701,Workers!$A$5:$A$2004,0))),I701/Settings!$B$10/Settings!$B$12)*Settings!$B$13,2))</f>
        <v/>
      </c>
      <c r="N701" s="26" t="str">
        <f aca="false">IF($A701="","",K701+L701+M701)</f>
        <v/>
      </c>
      <c r="O701" s="26" t="str">
        <f aca="false">IF($A701="","",SUMIFS(Deductions!$D$5:$D$2000,Deductions!$B$5:$B$2000,$A701,Deductions!$C$5:$C$2000,"Advance",Deductions!$E$5:$E$2000,"&gt;="&amp;Settings!$B$8,Deductions!$E$5:$E$2000,"&lt;="&amp;Settings!$B$9))</f>
        <v/>
      </c>
      <c r="P701" s="26" t="str">
        <f aca="false">IF($A701="","",SUMIFS(Deductions!$D$5:$D$2000,Deductions!$B$5:$B$2000,$A701,Deductions!$E$5:$E$2000,"&gt;="&amp;Settings!$B$8,Deductions!$E$5:$E$2000,"&lt;="&amp;Settings!$B$9)-O701)</f>
        <v/>
      </c>
      <c r="Q701" s="26" t="str">
        <f aca="false">IF($A701="","",O701+P701)</f>
        <v/>
      </c>
      <c r="R701" s="23" t="str">
        <f aca="false">IF($A701="","",N701-Q701)</f>
        <v/>
      </c>
      <c r="S701" s="24" t="str">
        <f aca="false">IF($A701="","",INDEX(Workers!$O$5:$O$2004,MATCH($A701,Workers!$A$5:$A$2004,0))&amp;"")</f>
        <v/>
      </c>
      <c r="T701" s="24" t="str">
        <f aca="false">IF($A701="","",INDEX(Workers!$P$5:$P$2004,MATCH($A701,Workers!$A$5:$A$2004,0))&amp;"")</f>
        <v/>
      </c>
      <c r="U701" s="24" t="str">
        <f aca="false">IF($A701="","",INDEX(Workers!$H$5:$H$2004,MATCH($A701,Workers!$A$5:$A$2004,0))&amp;"")</f>
        <v/>
      </c>
    </row>
    <row r="702" customFormat="false" ht="15" hidden="false" customHeight="false" outlineLevel="0" collapsed="false">
      <c r="A702" s="24" t="str">
        <f aca="false">IFERROR(INDEX(Workers!$A$5:$A$2004,MATCH(ROW()-4,Workers!$U$5:$U$2004,0)),"")</f>
        <v/>
      </c>
      <c r="B702" s="24" t="str">
        <f aca="false">IF($A702="","",INDEX(Workers!$B$5:$B$2004,MATCH($A702,Workers!$A$5:$A$2004,0)))</f>
        <v/>
      </c>
      <c r="C702" s="24" t="str">
        <f aca="false">IF($A702="","",INDEX(Workers!$E$5:$E$2004,MATCH($A702,Workers!$A$5:$A$2004,0)))</f>
        <v/>
      </c>
      <c r="D702" s="24" t="str">
        <f aca="false">IF($A702="","",INDEX(Workers!$K$5:$K$2004,MATCH($A702,Workers!$A$5:$A$2004,0)))</f>
        <v/>
      </c>
      <c r="E702" s="25" t="str">
        <f aca="false">IF($A702="","",SUMIFS(Timesheet!$E$5:$E$3004,Timesheet!$D$5:$D$3004,$A702,Timesheet!$A$5:$A$3004,"&gt;="&amp;Settings!$B$8,Timesheet!$A$5:$A$3004,"&lt;="&amp;Settings!$B$9))</f>
        <v/>
      </c>
      <c r="F702" s="25" t="str">
        <f aca="false">IF($A702="","",SUMIFS(Timesheet!$F$5:$F$3004,Timesheet!$D$5:$D$3004,$A702,Timesheet!$A$5:$A$3004,"&gt;="&amp;Settings!$B$8,Timesheet!$A$5:$A$3004,"&lt;="&amp;Settings!$B$9))</f>
        <v/>
      </c>
      <c r="G702" s="25" t="str">
        <f aca="false">IF($A702="","",SUMIFS(Timesheet!$G$5:$G$3004,Timesheet!$D$5:$D$3004,$A702,Timesheet!$A$5:$A$3004,"&gt;="&amp;Settings!$B$8,Timesheet!$A$5:$A$3004,"&lt;="&amp;Settings!$B$9))</f>
        <v/>
      </c>
      <c r="H702" s="25" t="str">
        <f aca="false">IF($A702="","",IF(D702="Monthly",MAX(0,Settings!$B$11-E702),0))</f>
        <v/>
      </c>
      <c r="I702" s="26" t="str">
        <f aca="false">IF($A702="","",N(INDEX(Workers!$L$5:$L$2004,MATCH($A702,Workers!$A$5:$A$2004,0))))</f>
        <v/>
      </c>
      <c r="J702" s="26" t="str">
        <f aca="false">IF($A702="","",N(INDEX(Workers!$M$5:$M$2004,MATCH($A702,Workers!$A$5:$A$2004,0))))</f>
        <v/>
      </c>
      <c r="K702" s="26" t="str">
        <f aca="false">IF($A702="","",IF(D702="Monthly",ROUND(MAX(0,(I702+J702)-(I702+J702)/Settings!$B$10*H702),2),0))</f>
        <v/>
      </c>
      <c r="L702" s="26" t="str">
        <f aca="false">IF($A702="","",IF(D702="Hourly",ROUND(F702*N(INDEX(Workers!$N$5:$N$2004,MATCH($A702,Workers!$A$5:$A$2004,0))),2),0))</f>
        <v/>
      </c>
      <c r="M702" s="26" t="str">
        <f aca="false">IF($A702="","",ROUND(G702*IF(D702="Hourly",N(INDEX(Workers!$N$5:$N$2004,MATCH($A702,Workers!$A$5:$A$2004,0))),I702/Settings!$B$10/Settings!$B$12)*Settings!$B$13,2))</f>
        <v/>
      </c>
      <c r="N702" s="26" t="str">
        <f aca="false">IF($A702="","",K702+L702+M702)</f>
        <v/>
      </c>
      <c r="O702" s="26" t="str">
        <f aca="false">IF($A702="","",SUMIFS(Deductions!$D$5:$D$2000,Deductions!$B$5:$B$2000,$A702,Deductions!$C$5:$C$2000,"Advance",Deductions!$E$5:$E$2000,"&gt;="&amp;Settings!$B$8,Deductions!$E$5:$E$2000,"&lt;="&amp;Settings!$B$9))</f>
        <v/>
      </c>
      <c r="P702" s="26" t="str">
        <f aca="false">IF($A702="","",SUMIFS(Deductions!$D$5:$D$2000,Deductions!$B$5:$B$2000,$A702,Deductions!$E$5:$E$2000,"&gt;="&amp;Settings!$B$8,Deductions!$E$5:$E$2000,"&lt;="&amp;Settings!$B$9)-O702)</f>
        <v/>
      </c>
      <c r="Q702" s="26" t="str">
        <f aca="false">IF($A702="","",O702+P702)</f>
        <v/>
      </c>
      <c r="R702" s="23" t="str">
        <f aca="false">IF($A702="","",N702-Q702)</f>
        <v/>
      </c>
      <c r="S702" s="24" t="str">
        <f aca="false">IF($A702="","",INDEX(Workers!$O$5:$O$2004,MATCH($A702,Workers!$A$5:$A$2004,0))&amp;"")</f>
        <v/>
      </c>
      <c r="T702" s="24" t="str">
        <f aca="false">IF($A702="","",INDEX(Workers!$P$5:$P$2004,MATCH($A702,Workers!$A$5:$A$2004,0))&amp;"")</f>
        <v/>
      </c>
      <c r="U702" s="24" t="str">
        <f aca="false">IF($A702="","",INDEX(Workers!$H$5:$H$2004,MATCH($A702,Workers!$A$5:$A$2004,0))&amp;"")</f>
        <v/>
      </c>
    </row>
    <row r="703" customFormat="false" ht="15" hidden="false" customHeight="false" outlineLevel="0" collapsed="false">
      <c r="A703" s="24" t="str">
        <f aca="false">IFERROR(INDEX(Workers!$A$5:$A$2004,MATCH(ROW()-4,Workers!$U$5:$U$2004,0)),"")</f>
        <v/>
      </c>
      <c r="B703" s="24" t="str">
        <f aca="false">IF($A703="","",INDEX(Workers!$B$5:$B$2004,MATCH($A703,Workers!$A$5:$A$2004,0)))</f>
        <v/>
      </c>
      <c r="C703" s="24" t="str">
        <f aca="false">IF($A703="","",INDEX(Workers!$E$5:$E$2004,MATCH($A703,Workers!$A$5:$A$2004,0)))</f>
        <v/>
      </c>
      <c r="D703" s="24" t="str">
        <f aca="false">IF($A703="","",INDEX(Workers!$K$5:$K$2004,MATCH($A703,Workers!$A$5:$A$2004,0)))</f>
        <v/>
      </c>
      <c r="E703" s="25" t="str">
        <f aca="false">IF($A703="","",SUMIFS(Timesheet!$E$5:$E$3004,Timesheet!$D$5:$D$3004,$A703,Timesheet!$A$5:$A$3004,"&gt;="&amp;Settings!$B$8,Timesheet!$A$5:$A$3004,"&lt;="&amp;Settings!$B$9))</f>
        <v/>
      </c>
      <c r="F703" s="25" t="str">
        <f aca="false">IF($A703="","",SUMIFS(Timesheet!$F$5:$F$3004,Timesheet!$D$5:$D$3004,$A703,Timesheet!$A$5:$A$3004,"&gt;="&amp;Settings!$B$8,Timesheet!$A$5:$A$3004,"&lt;="&amp;Settings!$B$9))</f>
        <v/>
      </c>
      <c r="G703" s="25" t="str">
        <f aca="false">IF($A703="","",SUMIFS(Timesheet!$G$5:$G$3004,Timesheet!$D$5:$D$3004,$A703,Timesheet!$A$5:$A$3004,"&gt;="&amp;Settings!$B$8,Timesheet!$A$5:$A$3004,"&lt;="&amp;Settings!$B$9))</f>
        <v/>
      </c>
      <c r="H703" s="25" t="str">
        <f aca="false">IF($A703="","",IF(D703="Monthly",MAX(0,Settings!$B$11-E703),0))</f>
        <v/>
      </c>
      <c r="I703" s="26" t="str">
        <f aca="false">IF($A703="","",N(INDEX(Workers!$L$5:$L$2004,MATCH($A703,Workers!$A$5:$A$2004,0))))</f>
        <v/>
      </c>
      <c r="J703" s="26" t="str">
        <f aca="false">IF($A703="","",N(INDEX(Workers!$M$5:$M$2004,MATCH($A703,Workers!$A$5:$A$2004,0))))</f>
        <v/>
      </c>
      <c r="K703" s="26" t="str">
        <f aca="false">IF($A703="","",IF(D703="Monthly",ROUND(MAX(0,(I703+J703)-(I703+J703)/Settings!$B$10*H703),2),0))</f>
        <v/>
      </c>
      <c r="L703" s="26" t="str">
        <f aca="false">IF($A703="","",IF(D703="Hourly",ROUND(F703*N(INDEX(Workers!$N$5:$N$2004,MATCH($A703,Workers!$A$5:$A$2004,0))),2),0))</f>
        <v/>
      </c>
      <c r="M703" s="26" t="str">
        <f aca="false">IF($A703="","",ROUND(G703*IF(D703="Hourly",N(INDEX(Workers!$N$5:$N$2004,MATCH($A703,Workers!$A$5:$A$2004,0))),I703/Settings!$B$10/Settings!$B$12)*Settings!$B$13,2))</f>
        <v/>
      </c>
      <c r="N703" s="26" t="str">
        <f aca="false">IF($A703="","",K703+L703+M703)</f>
        <v/>
      </c>
      <c r="O703" s="26" t="str">
        <f aca="false">IF($A703="","",SUMIFS(Deductions!$D$5:$D$2000,Deductions!$B$5:$B$2000,$A703,Deductions!$C$5:$C$2000,"Advance",Deductions!$E$5:$E$2000,"&gt;="&amp;Settings!$B$8,Deductions!$E$5:$E$2000,"&lt;="&amp;Settings!$B$9))</f>
        <v/>
      </c>
      <c r="P703" s="26" t="str">
        <f aca="false">IF($A703="","",SUMIFS(Deductions!$D$5:$D$2000,Deductions!$B$5:$B$2000,$A703,Deductions!$E$5:$E$2000,"&gt;="&amp;Settings!$B$8,Deductions!$E$5:$E$2000,"&lt;="&amp;Settings!$B$9)-O703)</f>
        <v/>
      </c>
      <c r="Q703" s="26" t="str">
        <f aca="false">IF($A703="","",O703+P703)</f>
        <v/>
      </c>
      <c r="R703" s="23" t="str">
        <f aca="false">IF($A703="","",N703-Q703)</f>
        <v/>
      </c>
      <c r="S703" s="24" t="str">
        <f aca="false">IF($A703="","",INDEX(Workers!$O$5:$O$2004,MATCH($A703,Workers!$A$5:$A$2004,0))&amp;"")</f>
        <v/>
      </c>
      <c r="T703" s="24" t="str">
        <f aca="false">IF($A703="","",INDEX(Workers!$P$5:$P$2004,MATCH($A703,Workers!$A$5:$A$2004,0))&amp;"")</f>
        <v/>
      </c>
      <c r="U703" s="24" t="str">
        <f aca="false">IF($A703="","",INDEX(Workers!$H$5:$H$2004,MATCH($A703,Workers!$A$5:$A$2004,0))&amp;"")</f>
        <v/>
      </c>
    </row>
    <row r="704" customFormat="false" ht="15" hidden="false" customHeight="false" outlineLevel="0" collapsed="false">
      <c r="A704" s="24" t="str">
        <f aca="false">IFERROR(INDEX(Workers!$A$5:$A$2004,MATCH(ROW()-4,Workers!$U$5:$U$2004,0)),"")</f>
        <v/>
      </c>
      <c r="B704" s="24" t="str">
        <f aca="false">IF($A704="","",INDEX(Workers!$B$5:$B$2004,MATCH($A704,Workers!$A$5:$A$2004,0)))</f>
        <v/>
      </c>
      <c r="C704" s="24" t="str">
        <f aca="false">IF($A704="","",INDEX(Workers!$E$5:$E$2004,MATCH($A704,Workers!$A$5:$A$2004,0)))</f>
        <v/>
      </c>
      <c r="D704" s="24" t="str">
        <f aca="false">IF($A704="","",INDEX(Workers!$K$5:$K$2004,MATCH($A704,Workers!$A$5:$A$2004,0)))</f>
        <v/>
      </c>
      <c r="E704" s="25" t="str">
        <f aca="false">IF($A704="","",SUMIFS(Timesheet!$E$5:$E$3004,Timesheet!$D$5:$D$3004,$A704,Timesheet!$A$5:$A$3004,"&gt;="&amp;Settings!$B$8,Timesheet!$A$5:$A$3004,"&lt;="&amp;Settings!$B$9))</f>
        <v/>
      </c>
      <c r="F704" s="25" t="str">
        <f aca="false">IF($A704="","",SUMIFS(Timesheet!$F$5:$F$3004,Timesheet!$D$5:$D$3004,$A704,Timesheet!$A$5:$A$3004,"&gt;="&amp;Settings!$B$8,Timesheet!$A$5:$A$3004,"&lt;="&amp;Settings!$B$9))</f>
        <v/>
      </c>
      <c r="G704" s="25" t="str">
        <f aca="false">IF($A704="","",SUMIFS(Timesheet!$G$5:$G$3004,Timesheet!$D$5:$D$3004,$A704,Timesheet!$A$5:$A$3004,"&gt;="&amp;Settings!$B$8,Timesheet!$A$5:$A$3004,"&lt;="&amp;Settings!$B$9))</f>
        <v/>
      </c>
      <c r="H704" s="25" t="str">
        <f aca="false">IF($A704="","",IF(D704="Monthly",MAX(0,Settings!$B$11-E704),0))</f>
        <v/>
      </c>
      <c r="I704" s="26" t="str">
        <f aca="false">IF($A704="","",N(INDEX(Workers!$L$5:$L$2004,MATCH($A704,Workers!$A$5:$A$2004,0))))</f>
        <v/>
      </c>
      <c r="J704" s="26" t="str">
        <f aca="false">IF($A704="","",N(INDEX(Workers!$M$5:$M$2004,MATCH($A704,Workers!$A$5:$A$2004,0))))</f>
        <v/>
      </c>
      <c r="K704" s="26" t="str">
        <f aca="false">IF($A704="","",IF(D704="Monthly",ROUND(MAX(0,(I704+J704)-(I704+J704)/Settings!$B$10*H704),2),0))</f>
        <v/>
      </c>
      <c r="L704" s="26" t="str">
        <f aca="false">IF($A704="","",IF(D704="Hourly",ROUND(F704*N(INDEX(Workers!$N$5:$N$2004,MATCH($A704,Workers!$A$5:$A$2004,0))),2),0))</f>
        <v/>
      </c>
      <c r="M704" s="26" t="str">
        <f aca="false">IF($A704="","",ROUND(G704*IF(D704="Hourly",N(INDEX(Workers!$N$5:$N$2004,MATCH($A704,Workers!$A$5:$A$2004,0))),I704/Settings!$B$10/Settings!$B$12)*Settings!$B$13,2))</f>
        <v/>
      </c>
      <c r="N704" s="26" t="str">
        <f aca="false">IF($A704="","",K704+L704+M704)</f>
        <v/>
      </c>
      <c r="O704" s="26" t="str">
        <f aca="false">IF($A704="","",SUMIFS(Deductions!$D$5:$D$2000,Deductions!$B$5:$B$2000,$A704,Deductions!$C$5:$C$2000,"Advance",Deductions!$E$5:$E$2000,"&gt;="&amp;Settings!$B$8,Deductions!$E$5:$E$2000,"&lt;="&amp;Settings!$B$9))</f>
        <v/>
      </c>
      <c r="P704" s="26" t="str">
        <f aca="false">IF($A704="","",SUMIFS(Deductions!$D$5:$D$2000,Deductions!$B$5:$B$2000,$A704,Deductions!$E$5:$E$2000,"&gt;="&amp;Settings!$B$8,Deductions!$E$5:$E$2000,"&lt;="&amp;Settings!$B$9)-O704)</f>
        <v/>
      </c>
      <c r="Q704" s="26" t="str">
        <f aca="false">IF($A704="","",O704+P704)</f>
        <v/>
      </c>
      <c r="R704" s="23" t="str">
        <f aca="false">IF($A704="","",N704-Q704)</f>
        <v/>
      </c>
      <c r="S704" s="24" t="str">
        <f aca="false">IF($A704="","",INDEX(Workers!$O$5:$O$2004,MATCH($A704,Workers!$A$5:$A$2004,0))&amp;"")</f>
        <v/>
      </c>
      <c r="T704" s="24" t="str">
        <f aca="false">IF($A704="","",INDEX(Workers!$P$5:$P$2004,MATCH($A704,Workers!$A$5:$A$2004,0))&amp;"")</f>
        <v/>
      </c>
      <c r="U704" s="24" t="str">
        <f aca="false">IF($A704="","",INDEX(Workers!$H$5:$H$2004,MATCH($A704,Workers!$A$5:$A$2004,0))&amp;"")</f>
        <v/>
      </c>
    </row>
    <row r="705" customFormat="false" ht="15" hidden="false" customHeight="false" outlineLevel="0" collapsed="false">
      <c r="A705" s="24" t="str">
        <f aca="false">IFERROR(INDEX(Workers!$A$5:$A$2004,MATCH(ROW()-4,Workers!$U$5:$U$2004,0)),"")</f>
        <v/>
      </c>
      <c r="B705" s="24" t="str">
        <f aca="false">IF($A705="","",INDEX(Workers!$B$5:$B$2004,MATCH($A705,Workers!$A$5:$A$2004,0)))</f>
        <v/>
      </c>
      <c r="C705" s="24" t="str">
        <f aca="false">IF($A705="","",INDEX(Workers!$E$5:$E$2004,MATCH($A705,Workers!$A$5:$A$2004,0)))</f>
        <v/>
      </c>
      <c r="D705" s="24" t="str">
        <f aca="false">IF($A705="","",INDEX(Workers!$K$5:$K$2004,MATCH($A705,Workers!$A$5:$A$2004,0)))</f>
        <v/>
      </c>
      <c r="E705" s="25" t="str">
        <f aca="false">IF($A705="","",SUMIFS(Timesheet!$E$5:$E$3004,Timesheet!$D$5:$D$3004,$A705,Timesheet!$A$5:$A$3004,"&gt;="&amp;Settings!$B$8,Timesheet!$A$5:$A$3004,"&lt;="&amp;Settings!$B$9))</f>
        <v/>
      </c>
      <c r="F705" s="25" t="str">
        <f aca="false">IF($A705="","",SUMIFS(Timesheet!$F$5:$F$3004,Timesheet!$D$5:$D$3004,$A705,Timesheet!$A$5:$A$3004,"&gt;="&amp;Settings!$B$8,Timesheet!$A$5:$A$3004,"&lt;="&amp;Settings!$B$9))</f>
        <v/>
      </c>
      <c r="G705" s="25" t="str">
        <f aca="false">IF($A705="","",SUMIFS(Timesheet!$G$5:$G$3004,Timesheet!$D$5:$D$3004,$A705,Timesheet!$A$5:$A$3004,"&gt;="&amp;Settings!$B$8,Timesheet!$A$5:$A$3004,"&lt;="&amp;Settings!$B$9))</f>
        <v/>
      </c>
      <c r="H705" s="25" t="str">
        <f aca="false">IF($A705="","",IF(D705="Monthly",MAX(0,Settings!$B$11-E705),0))</f>
        <v/>
      </c>
      <c r="I705" s="26" t="str">
        <f aca="false">IF($A705="","",N(INDEX(Workers!$L$5:$L$2004,MATCH($A705,Workers!$A$5:$A$2004,0))))</f>
        <v/>
      </c>
      <c r="J705" s="26" t="str">
        <f aca="false">IF($A705="","",N(INDEX(Workers!$M$5:$M$2004,MATCH($A705,Workers!$A$5:$A$2004,0))))</f>
        <v/>
      </c>
      <c r="K705" s="26" t="str">
        <f aca="false">IF($A705="","",IF(D705="Monthly",ROUND(MAX(0,(I705+J705)-(I705+J705)/Settings!$B$10*H705),2),0))</f>
        <v/>
      </c>
      <c r="L705" s="26" t="str">
        <f aca="false">IF($A705="","",IF(D705="Hourly",ROUND(F705*N(INDEX(Workers!$N$5:$N$2004,MATCH($A705,Workers!$A$5:$A$2004,0))),2),0))</f>
        <v/>
      </c>
      <c r="M705" s="26" t="str">
        <f aca="false">IF($A705="","",ROUND(G705*IF(D705="Hourly",N(INDEX(Workers!$N$5:$N$2004,MATCH($A705,Workers!$A$5:$A$2004,0))),I705/Settings!$B$10/Settings!$B$12)*Settings!$B$13,2))</f>
        <v/>
      </c>
      <c r="N705" s="26" t="str">
        <f aca="false">IF($A705="","",K705+L705+M705)</f>
        <v/>
      </c>
      <c r="O705" s="26" t="str">
        <f aca="false">IF($A705="","",SUMIFS(Deductions!$D$5:$D$2000,Deductions!$B$5:$B$2000,$A705,Deductions!$C$5:$C$2000,"Advance",Deductions!$E$5:$E$2000,"&gt;="&amp;Settings!$B$8,Deductions!$E$5:$E$2000,"&lt;="&amp;Settings!$B$9))</f>
        <v/>
      </c>
      <c r="P705" s="26" t="str">
        <f aca="false">IF($A705="","",SUMIFS(Deductions!$D$5:$D$2000,Deductions!$B$5:$B$2000,$A705,Deductions!$E$5:$E$2000,"&gt;="&amp;Settings!$B$8,Deductions!$E$5:$E$2000,"&lt;="&amp;Settings!$B$9)-O705)</f>
        <v/>
      </c>
      <c r="Q705" s="26" t="str">
        <f aca="false">IF($A705="","",O705+P705)</f>
        <v/>
      </c>
      <c r="R705" s="23" t="str">
        <f aca="false">IF($A705="","",N705-Q705)</f>
        <v/>
      </c>
      <c r="S705" s="24" t="str">
        <f aca="false">IF($A705="","",INDEX(Workers!$O$5:$O$2004,MATCH($A705,Workers!$A$5:$A$2004,0))&amp;"")</f>
        <v/>
      </c>
      <c r="T705" s="24" t="str">
        <f aca="false">IF($A705="","",INDEX(Workers!$P$5:$P$2004,MATCH($A705,Workers!$A$5:$A$2004,0))&amp;"")</f>
        <v/>
      </c>
      <c r="U705" s="24" t="str">
        <f aca="false">IF($A705="","",INDEX(Workers!$H$5:$H$2004,MATCH($A705,Workers!$A$5:$A$2004,0))&amp;"")</f>
        <v/>
      </c>
    </row>
    <row r="706" customFormat="false" ht="15" hidden="false" customHeight="false" outlineLevel="0" collapsed="false">
      <c r="A706" s="24" t="str">
        <f aca="false">IFERROR(INDEX(Workers!$A$5:$A$2004,MATCH(ROW()-4,Workers!$U$5:$U$2004,0)),"")</f>
        <v/>
      </c>
      <c r="B706" s="24" t="str">
        <f aca="false">IF($A706="","",INDEX(Workers!$B$5:$B$2004,MATCH($A706,Workers!$A$5:$A$2004,0)))</f>
        <v/>
      </c>
      <c r="C706" s="24" t="str">
        <f aca="false">IF($A706="","",INDEX(Workers!$E$5:$E$2004,MATCH($A706,Workers!$A$5:$A$2004,0)))</f>
        <v/>
      </c>
      <c r="D706" s="24" t="str">
        <f aca="false">IF($A706="","",INDEX(Workers!$K$5:$K$2004,MATCH($A706,Workers!$A$5:$A$2004,0)))</f>
        <v/>
      </c>
      <c r="E706" s="25" t="str">
        <f aca="false">IF($A706="","",SUMIFS(Timesheet!$E$5:$E$3004,Timesheet!$D$5:$D$3004,$A706,Timesheet!$A$5:$A$3004,"&gt;="&amp;Settings!$B$8,Timesheet!$A$5:$A$3004,"&lt;="&amp;Settings!$B$9))</f>
        <v/>
      </c>
      <c r="F706" s="25" t="str">
        <f aca="false">IF($A706="","",SUMIFS(Timesheet!$F$5:$F$3004,Timesheet!$D$5:$D$3004,$A706,Timesheet!$A$5:$A$3004,"&gt;="&amp;Settings!$B$8,Timesheet!$A$5:$A$3004,"&lt;="&amp;Settings!$B$9))</f>
        <v/>
      </c>
      <c r="G706" s="25" t="str">
        <f aca="false">IF($A706="","",SUMIFS(Timesheet!$G$5:$G$3004,Timesheet!$D$5:$D$3004,$A706,Timesheet!$A$5:$A$3004,"&gt;="&amp;Settings!$B$8,Timesheet!$A$5:$A$3004,"&lt;="&amp;Settings!$B$9))</f>
        <v/>
      </c>
      <c r="H706" s="25" t="str">
        <f aca="false">IF($A706="","",IF(D706="Monthly",MAX(0,Settings!$B$11-E706),0))</f>
        <v/>
      </c>
      <c r="I706" s="26" t="str">
        <f aca="false">IF($A706="","",N(INDEX(Workers!$L$5:$L$2004,MATCH($A706,Workers!$A$5:$A$2004,0))))</f>
        <v/>
      </c>
      <c r="J706" s="26" t="str">
        <f aca="false">IF($A706="","",N(INDEX(Workers!$M$5:$M$2004,MATCH($A706,Workers!$A$5:$A$2004,0))))</f>
        <v/>
      </c>
      <c r="K706" s="26" t="str">
        <f aca="false">IF($A706="","",IF(D706="Monthly",ROUND(MAX(0,(I706+J706)-(I706+J706)/Settings!$B$10*H706),2),0))</f>
        <v/>
      </c>
      <c r="L706" s="26" t="str">
        <f aca="false">IF($A706="","",IF(D706="Hourly",ROUND(F706*N(INDEX(Workers!$N$5:$N$2004,MATCH($A706,Workers!$A$5:$A$2004,0))),2),0))</f>
        <v/>
      </c>
      <c r="M706" s="26" t="str">
        <f aca="false">IF($A706="","",ROUND(G706*IF(D706="Hourly",N(INDEX(Workers!$N$5:$N$2004,MATCH($A706,Workers!$A$5:$A$2004,0))),I706/Settings!$B$10/Settings!$B$12)*Settings!$B$13,2))</f>
        <v/>
      </c>
      <c r="N706" s="26" t="str">
        <f aca="false">IF($A706="","",K706+L706+M706)</f>
        <v/>
      </c>
      <c r="O706" s="26" t="str">
        <f aca="false">IF($A706="","",SUMIFS(Deductions!$D$5:$D$2000,Deductions!$B$5:$B$2000,$A706,Deductions!$C$5:$C$2000,"Advance",Deductions!$E$5:$E$2000,"&gt;="&amp;Settings!$B$8,Deductions!$E$5:$E$2000,"&lt;="&amp;Settings!$B$9))</f>
        <v/>
      </c>
      <c r="P706" s="26" t="str">
        <f aca="false">IF($A706="","",SUMIFS(Deductions!$D$5:$D$2000,Deductions!$B$5:$B$2000,$A706,Deductions!$E$5:$E$2000,"&gt;="&amp;Settings!$B$8,Deductions!$E$5:$E$2000,"&lt;="&amp;Settings!$B$9)-O706)</f>
        <v/>
      </c>
      <c r="Q706" s="26" t="str">
        <f aca="false">IF($A706="","",O706+P706)</f>
        <v/>
      </c>
      <c r="R706" s="23" t="str">
        <f aca="false">IF($A706="","",N706-Q706)</f>
        <v/>
      </c>
      <c r="S706" s="24" t="str">
        <f aca="false">IF($A706="","",INDEX(Workers!$O$5:$O$2004,MATCH($A706,Workers!$A$5:$A$2004,0))&amp;"")</f>
        <v/>
      </c>
      <c r="T706" s="24" t="str">
        <f aca="false">IF($A706="","",INDEX(Workers!$P$5:$P$2004,MATCH($A706,Workers!$A$5:$A$2004,0))&amp;"")</f>
        <v/>
      </c>
      <c r="U706" s="24" t="str">
        <f aca="false">IF($A706="","",INDEX(Workers!$H$5:$H$2004,MATCH($A706,Workers!$A$5:$A$2004,0))&amp;"")</f>
        <v/>
      </c>
    </row>
    <row r="707" customFormat="false" ht="15" hidden="false" customHeight="false" outlineLevel="0" collapsed="false">
      <c r="A707" s="24" t="str">
        <f aca="false">IFERROR(INDEX(Workers!$A$5:$A$2004,MATCH(ROW()-4,Workers!$U$5:$U$2004,0)),"")</f>
        <v/>
      </c>
      <c r="B707" s="24" t="str">
        <f aca="false">IF($A707="","",INDEX(Workers!$B$5:$B$2004,MATCH($A707,Workers!$A$5:$A$2004,0)))</f>
        <v/>
      </c>
      <c r="C707" s="24" t="str">
        <f aca="false">IF($A707="","",INDEX(Workers!$E$5:$E$2004,MATCH($A707,Workers!$A$5:$A$2004,0)))</f>
        <v/>
      </c>
      <c r="D707" s="24" t="str">
        <f aca="false">IF($A707="","",INDEX(Workers!$K$5:$K$2004,MATCH($A707,Workers!$A$5:$A$2004,0)))</f>
        <v/>
      </c>
      <c r="E707" s="25" t="str">
        <f aca="false">IF($A707="","",SUMIFS(Timesheet!$E$5:$E$3004,Timesheet!$D$5:$D$3004,$A707,Timesheet!$A$5:$A$3004,"&gt;="&amp;Settings!$B$8,Timesheet!$A$5:$A$3004,"&lt;="&amp;Settings!$B$9))</f>
        <v/>
      </c>
      <c r="F707" s="25" t="str">
        <f aca="false">IF($A707="","",SUMIFS(Timesheet!$F$5:$F$3004,Timesheet!$D$5:$D$3004,$A707,Timesheet!$A$5:$A$3004,"&gt;="&amp;Settings!$B$8,Timesheet!$A$5:$A$3004,"&lt;="&amp;Settings!$B$9))</f>
        <v/>
      </c>
      <c r="G707" s="25" t="str">
        <f aca="false">IF($A707="","",SUMIFS(Timesheet!$G$5:$G$3004,Timesheet!$D$5:$D$3004,$A707,Timesheet!$A$5:$A$3004,"&gt;="&amp;Settings!$B$8,Timesheet!$A$5:$A$3004,"&lt;="&amp;Settings!$B$9))</f>
        <v/>
      </c>
      <c r="H707" s="25" t="str">
        <f aca="false">IF($A707="","",IF(D707="Monthly",MAX(0,Settings!$B$11-E707),0))</f>
        <v/>
      </c>
      <c r="I707" s="26" t="str">
        <f aca="false">IF($A707="","",N(INDEX(Workers!$L$5:$L$2004,MATCH($A707,Workers!$A$5:$A$2004,0))))</f>
        <v/>
      </c>
      <c r="J707" s="26" t="str">
        <f aca="false">IF($A707="","",N(INDEX(Workers!$M$5:$M$2004,MATCH($A707,Workers!$A$5:$A$2004,0))))</f>
        <v/>
      </c>
      <c r="K707" s="26" t="str">
        <f aca="false">IF($A707="","",IF(D707="Monthly",ROUND(MAX(0,(I707+J707)-(I707+J707)/Settings!$B$10*H707),2),0))</f>
        <v/>
      </c>
      <c r="L707" s="26" t="str">
        <f aca="false">IF($A707="","",IF(D707="Hourly",ROUND(F707*N(INDEX(Workers!$N$5:$N$2004,MATCH($A707,Workers!$A$5:$A$2004,0))),2),0))</f>
        <v/>
      </c>
      <c r="M707" s="26" t="str">
        <f aca="false">IF($A707="","",ROUND(G707*IF(D707="Hourly",N(INDEX(Workers!$N$5:$N$2004,MATCH($A707,Workers!$A$5:$A$2004,0))),I707/Settings!$B$10/Settings!$B$12)*Settings!$B$13,2))</f>
        <v/>
      </c>
      <c r="N707" s="26" t="str">
        <f aca="false">IF($A707="","",K707+L707+M707)</f>
        <v/>
      </c>
      <c r="O707" s="26" t="str">
        <f aca="false">IF($A707="","",SUMIFS(Deductions!$D$5:$D$2000,Deductions!$B$5:$B$2000,$A707,Deductions!$C$5:$C$2000,"Advance",Deductions!$E$5:$E$2000,"&gt;="&amp;Settings!$B$8,Deductions!$E$5:$E$2000,"&lt;="&amp;Settings!$B$9))</f>
        <v/>
      </c>
      <c r="P707" s="26" t="str">
        <f aca="false">IF($A707="","",SUMIFS(Deductions!$D$5:$D$2000,Deductions!$B$5:$B$2000,$A707,Deductions!$E$5:$E$2000,"&gt;="&amp;Settings!$B$8,Deductions!$E$5:$E$2000,"&lt;="&amp;Settings!$B$9)-O707)</f>
        <v/>
      </c>
      <c r="Q707" s="26" t="str">
        <f aca="false">IF($A707="","",O707+P707)</f>
        <v/>
      </c>
      <c r="R707" s="23" t="str">
        <f aca="false">IF($A707="","",N707-Q707)</f>
        <v/>
      </c>
      <c r="S707" s="24" t="str">
        <f aca="false">IF($A707="","",INDEX(Workers!$O$5:$O$2004,MATCH($A707,Workers!$A$5:$A$2004,0))&amp;"")</f>
        <v/>
      </c>
      <c r="T707" s="24" t="str">
        <f aca="false">IF($A707="","",INDEX(Workers!$P$5:$P$2004,MATCH($A707,Workers!$A$5:$A$2004,0))&amp;"")</f>
        <v/>
      </c>
      <c r="U707" s="24" t="str">
        <f aca="false">IF($A707="","",INDEX(Workers!$H$5:$H$2004,MATCH($A707,Workers!$A$5:$A$2004,0))&amp;"")</f>
        <v/>
      </c>
    </row>
    <row r="708" customFormat="false" ht="15" hidden="false" customHeight="false" outlineLevel="0" collapsed="false">
      <c r="A708" s="24" t="str">
        <f aca="false">IFERROR(INDEX(Workers!$A$5:$A$2004,MATCH(ROW()-4,Workers!$U$5:$U$2004,0)),"")</f>
        <v/>
      </c>
      <c r="B708" s="24" t="str">
        <f aca="false">IF($A708="","",INDEX(Workers!$B$5:$B$2004,MATCH($A708,Workers!$A$5:$A$2004,0)))</f>
        <v/>
      </c>
      <c r="C708" s="24" t="str">
        <f aca="false">IF($A708="","",INDEX(Workers!$E$5:$E$2004,MATCH($A708,Workers!$A$5:$A$2004,0)))</f>
        <v/>
      </c>
      <c r="D708" s="24" t="str">
        <f aca="false">IF($A708="","",INDEX(Workers!$K$5:$K$2004,MATCH($A708,Workers!$A$5:$A$2004,0)))</f>
        <v/>
      </c>
      <c r="E708" s="25" t="str">
        <f aca="false">IF($A708="","",SUMIFS(Timesheet!$E$5:$E$3004,Timesheet!$D$5:$D$3004,$A708,Timesheet!$A$5:$A$3004,"&gt;="&amp;Settings!$B$8,Timesheet!$A$5:$A$3004,"&lt;="&amp;Settings!$B$9))</f>
        <v/>
      </c>
      <c r="F708" s="25" t="str">
        <f aca="false">IF($A708="","",SUMIFS(Timesheet!$F$5:$F$3004,Timesheet!$D$5:$D$3004,$A708,Timesheet!$A$5:$A$3004,"&gt;="&amp;Settings!$B$8,Timesheet!$A$5:$A$3004,"&lt;="&amp;Settings!$B$9))</f>
        <v/>
      </c>
      <c r="G708" s="25" t="str">
        <f aca="false">IF($A708="","",SUMIFS(Timesheet!$G$5:$G$3004,Timesheet!$D$5:$D$3004,$A708,Timesheet!$A$5:$A$3004,"&gt;="&amp;Settings!$B$8,Timesheet!$A$5:$A$3004,"&lt;="&amp;Settings!$B$9))</f>
        <v/>
      </c>
      <c r="H708" s="25" t="str">
        <f aca="false">IF($A708="","",IF(D708="Monthly",MAX(0,Settings!$B$11-E708),0))</f>
        <v/>
      </c>
      <c r="I708" s="26" t="str">
        <f aca="false">IF($A708="","",N(INDEX(Workers!$L$5:$L$2004,MATCH($A708,Workers!$A$5:$A$2004,0))))</f>
        <v/>
      </c>
      <c r="J708" s="26" t="str">
        <f aca="false">IF($A708="","",N(INDEX(Workers!$M$5:$M$2004,MATCH($A708,Workers!$A$5:$A$2004,0))))</f>
        <v/>
      </c>
      <c r="K708" s="26" t="str">
        <f aca="false">IF($A708="","",IF(D708="Monthly",ROUND(MAX(0,(I708+J708)-(I708+J708)/Settings!$B$10*H708),2),0))</f>
        <v/>
      </c>
      <c r="L708" s="26" t="str">
        <f aca="false">IF($A708="","",IF(D708="Hourly",ROUND(F708*N(INDEX(Workers!$N$5:$N$2004,MATCH($A708,Workers!$A$5:$A$2004,0))),2),0))</f>
        <v/>
      </c>
      <c r="M708" s="26" t="str">
        <f aca="false">IF($A708="","",ROUND(G708*IF(D708="Hourly",N(INDEX(Workers!$N$5:$N$2004,MATCH($A708,Workers!$A$5:$A$2004,0))),I708/Settings!$B$10/Settings!$B$12)*Settings!$B$13,2))</f>
        <v/>
      </c>
      <c r="N708" s="26" t="str">
        <f aca="false">IF($A708="","",K708+L708+M708)</f>
        <v/>
      </c>
      <c r="O708" s="26" t="str">
        <f aca="false">IF($A708="","",SUMIFS(Deductions!$D$5:$D$2000,Deductions!$B$5:$B$2000,$A708,Deductions!$C$5:$C$2000,"Advance",Deductions!$E$5:$E$2000,"&gt;="&amp;Settings!$B$8,Deductions!$E$5:$E$2000,"&lt;="&amp;Settings!$B$9))</f>
        <v/>
      </c>
      <c r="P708" s="26" t="str">
        <f aca="false">IF($A708="","",SUMIFS(Deductions!$D$5:$D$2000,Deductions!$B$5:$B$2000,$A708,Deductions!$E$5:$E$2000,"&gt;="&amp;Settings!$B$8,Deductions!$E$5:$E$2000,"&lt;="&amp;Settings!$B$9)-O708)</f>
        <v/>
      </c>
      <c r="Q708" s="26" t="str">
        <f aca="false">IF($A708="","",O708+P708)</f>
        <v/>
      </c>
      <c r="R708" s="23" t="str">
        <f aca="false">IF($A708="","",N708-Q708)</f>
        <v/>
      </c>
      <c r="S708" s="24" t="str">
        <f aca="false">IF($A708="","",INDEX(Workers!$O$5:$O$2004,MATCH($A708,Workers!$A$5:$A$2004,0))&amp;"")</f>
        <v/>
      </c>
      <c r="T708" s="24" t="str">
        <f aca="false">IF($A708="","",INDEX(Workers!$P$5:$P$2004,MATCH($A708,Workers!$A$5:$A$2004,0))&amp;"")</f>
        <v/>
      </c>
      <c r="U708" s="24" t="str">
        <f aca="false">IF($A708="","",INDEX(Workers!$H$5:$H$2004,MATCH($A708,Workers!$A$5:$A$2004,0))&amp;"")</f>
        <v/>
      </c>
    </row>
    <row r="709" customFormat="false" ht="15" hidden="false" customHeight="false" outlineLevel="0" collapsed="false">
      <c r="A709" s="24" t="str">
        <f aca="false">IFERROR(INDEX(Workers!$A$5:$A$2004,MATCH(ROW()-4,Workers!$U$5:$U$2004,0)),"")</f>
        <v/>
      </c>
      <c r="B709" s="24" t="str">
        <f aca="false">IF($A709="","",INDEX(Workers!$B$5:$B$2004,MATCH($A709,Workers!$A$5:$A$2004,0)))</f>
        <v/>
      </c>
      <c r="C709" s="24" t="str">
        <f aca="false">IF($A709="","",INDEX(Workers!$E$5:$E$2004,MATCH($A709,Workers!$A$5:$A$2004,0)))</f>
        <v/>
      </c>
      <c r="D709" s="24" t="str">
        <f aca="false">IF($A709="","",INDEX(Workers!$K$5:$K$2004,MATCH($A709,Workers!$A$5:$A$2004,0)))</f>
        <v/>
      </c>
      <c r="E709" s="25" t="str">
        <f aca="false">IF($A709="","",SUMIFS(Timesheet!$E$5:$E$3004,Timesheet!$D$5:$D$3004,$A709,Timesheet!$A$5:$A$3004,"&gt;="&amp;Settings!$B$8,Timesheet!$A$5:$A$3004,"&lt;="&amp;Settings!$B$9))</f>
        <v/>
      </c>
      <c r="F709" s="25" t="str">
        <f aca="false">IF($A709="","",SUMIFS(Timesheet!$F$5:$F$3004,Timesheet!$D$5:$D$3004,$A709,Timesheet!$A$5:$A$3004,"&gt;="&amp;Settings!$B$8,Timesheet!$A$5:$A$3004,"&lt;="&amp;Settings!$B$9))</f>
        <v/>
      </c>
      <c r="G709" s="25" t="str">
        <f aca="false">IF($A709="","",SUMIFS(Timesheet!$G$5:$G$3004,Timesheet!$D$5:$D$3004,$A709,Timesheet!$A$5:$A$3004,"&gt;="&amp;Settings!$B$8,Timesheet!$A$5:$A$3004,"&lt;="&amp;Settings!$B$9))</f>
        <v/>
      </c>
      <c r="H709" s="25" t="str">
        <f aca="false">IF($A709="","",IF(D709="Monthly",MAX(0,Settings!$B$11-E709),0))</f>
        <v/>
      </c>
      <c r="I709" s="26" t="str">
        <f aca="false">IF($A709="","",N(INDEX(Workers!$L$5:$L$2004,MATCH($A709,Workers!$A$5:$A$2004,0))))</f>
        <v/>
      </c>
      <c r="J709" s="26" t="str">
        <f aca="false">IF($A709="","",N(INDEX(Workers!$M$5:$M$2004,MATCH($A709,Workers!$A$5:$A$2004,0))))</f>
        <v/>
      </c>
      <c r="K709" s="26" t="str">
        <f aca="false">IF($A709="","",IF(D709="Monthly",ROUND(MAX(0,(I709+J709)-(I709+J709)/Settings!$B$10*H709),2),0))</f>
        <v/>
      </c>
      <c r="L709" s="26" t="str">
        <f aca="false">IF($A709="","",IF(D709="Hourly",ROUND(F709*N(INDEX(Workers!$N$5:$N$2004,MATCH($A709,Workers!$A$5:$A$2004,0))),2),0))</f>
        <v/>
      </c>
      <c r="M709" s="26" t="str">
        <f aca="false">IF($A709="","",ROUND(G709*IF(D709="Hourly",N(INDEX(Workers!$N$5:$N$2004,MATCH($A709,Workers!$A$5:$A$2004,0))),I709/Settings!$B$10/Settings!$B$12)*Settings!$B$13,2))</f>
        <v/>
      </c>
      <c r="N709" s="26" t="str">
        <f aca="false">IF($A709="","",K709+L709+M709)</f>
        <v/>
      </c>
      <c r="O709" s="26" t="str">
        <f aca="false">IF($A709="","",SUMIFS(Deductions!$D$5:$D$2000,Deductions!$B$5:$B$2000,$A709,Deductions!$C$5:$C$2000,"Advance",Deductions!$E$5:$E$2000,"&gt;="&amp;Settings!$B$8,Deductions!$E$5:$E$2000,"&lt;="&amp;Settings!$B$9))</f>
        <v/>
      </c>
      <c r="P709" s="26" t="str">
        <f aca="false">IF($A709="","",SUMIFS(Deductions!$D$5:$D$2000,Deductions!$B$5:$B$2000,$A709,Deductions!$E$5:$E$2000,"&gt;="&amp;Settings!$B$8,Deductions!$E$5:$E$2000,"&lt;="&amp;Settings!$B$9)-O709)</f>
        <v/>
      </c>
      <c r="Q709" s="26" t="str">
        <f aca="false">IF($A709="","",O709+P709)</f>
        <v/>
      </c>
      <c r="R709" s="23" t="str">
        <f aca="false">IF($A709="","",N709-Q709)</f>
        <v/>
      </c>
      <c r="S709" s="24" t="str">
        <f aca="false">IF($A709="","",INDEX(Workers!$O$5:$O$2004,MATCH($A709,Workers!$A$5:$A$2004,0))&amp;"")</f>
        <v/>
      </c>
      <c r="T709" s="24" t="str">
        <f aca="false">IF($A709="","",INDEX(Workers!$P$5:$P$2004,MATCH($A709,Workers!$A$5:$A$2004,0))&amp;"")</f>
        <v/>
      </c>
      <c r="U709" s="24" t="str">
        <f aca="false">IF($A709="","",INDEX(Workers!$H$5:$H$2004,MATCH($A709,Workers!$A$5:$A$2004,0))&amp;"")</f>
        <v/>
      </c>
    </row>
    <row r="710" customFormat="false" ht="15" hidden="false" customHeight="false" outlineLevel="0" collapsed="false">
      <c r="A710" s="24" t="str">
        <f aca="false">IFERROR(INDEX(Workers!$A$5:$A$2004,MATCH(ROW()-4,Workers!$U$5:$U$2004,0)),"")</f>
        <v/>
      </c>
      <c r="B710" s="24" t="str">
        <f aca="false">IF($A710="","",INDEX(Workers!$B$5:$B$2004,MATCH($A710,Workers!$A$5:$A$2004,0)))</f>
        <v/>
      </c>
      <c r="C710" s="24" t="str">
        <f aca="false">IF($A710="","",INDEX(Workers!$E$5:$E$2004,MATCH($A710,Workers!$A$5:$A$2004,0)))</f>
        <v/>
      </c>
      <c r="D710" s="24" t="str">
        <f aca="false">IF($A710="","",INDEX(Workers!$K$5:$K$2004,MATCH($A710,Workers!$A$5:$A$2004,0)))</f>
        <v/>
      </c>
      <c r="E710" s="25" t="str">
        <f aca="false">IF($A710="","",SUMIFS(Timesheet!$E$5:$E$3004,Timesheet!$D$5:$D$3004,$A710,Timesheet!$A$5:$A$3004,"&gt;="&amp;Settings!$B$8,Timesheet!$A$5:$A$3004,"&lt;="&amp;Settings!$B$9))</f>
        <v/>
      </c>
      <c r="F710" s="25" t="str">
        <f aca="false">IF($A710="","",SUMIFS(Timesheet!$F$5:$F$3004,Timesheet!$D$5:$D$3004,$A710,Timesheet!$A$5:$A$3004,"&gt;="&amp;Settings!$B$8,Timesheet!$A$5:$A$3004,"&lt;="&amp;Settings!$B$9))</f>
        <v/>
      </c>
      <c r="G710" s="25" t="str">
        <f aca="false">IF($A710="","",SUMIFS(Timesheet!$G$5:$G$3004,Timesheet!$D$5:$D$3004,$A710,Timesheet!$A$5:$A$3004,"&gt;="&amp;Settings!$B$8,Timesheet!$A$5:$A$3004,"&lt;="&amp;Settings!$B$9))</f>
        <v/>
      </c>
      <c r="H710" s="25" t="str">
        <f aca="false">IF($A710="","",IF(D710="Monthly",MAX(0,Settings!$B$11-E710),0))</f>
        <v/>
      </c>
      <c r="I710" s="26" t="str">
        <f aca="false">IF($A710="","",N(INDEX(Workers!$L$5:$L$2004,MATCH($A710,Workers!$A$5:$A$2004,0))))</f>
        <v/>
      </c>
      <c r="J710" s="26" t="str">
        <f aca="false">IF($A710="","",N(INDEX(Workers!$M$5:$M$2004,MATCH($A710,Workers!$A$5:$A$2004,0))))</f>
        <v/>
      </c>
      <c r="K710" s="26" t="str">
        <f aca="false">IF($A710="","",IF(D710="Monthly",ROUND(MAX(0,(I710+J710)-(I710+J710)/Settings!$B$10*H710),2),0))</f>
        <v/>
      </c>
      <c r="L710" s="26" t="str">
        <f aca="false">IF($A710="","",IF(D710="Hourly",ROUND(F710*N(INDEX(Workers!$N$5:$N$2004,MATCH($A710,Workers!$A$5:$A$2004,0))),2),0))</f>
        <v/>
      </c>
      <c r="M710" s="26" t="str">
        <f aca="false">IF($A710="","",ROUND(G710*IF(D710="Hourly",N(INDEX(Workers!$N$5:$N$2004,MATCH($A710,Workers!$A$5:$A$2004,0))),I710/Settings!$B$10/Settings!$B$12)*Settings!$B$13,2))</f>
        <v/>
      </c>
      <c r="N710" s="26" t="str">
        <f aca="false">IF($A710="","",K710+L710+M710)</f>
        <v/>
      </c>
      <c r="O710" s="26" t="str">
        <f aca="false">IF($A710="","",SUMIFS(Deductions!$D$5:$D$2000,Deductions!$B$5:$B$2000,$A710,Deductions!$C$5:$C$2000,"Advance",Deductions!$E$5:$E$2000,"&gt;="&amp;Settings!$B$8,Deductions!$E$5:$E$2000,"&lt;="&amp;Settings!$B$9))</f>
        <v/>
      </c>
      <c r="P710" s="26" t="str">
        <f aca="false">IF($A710="","",SUMIFS(Deductions!$D$5:$D$2000,Deductions!$B$5:$B$2000,$A710,Deductions!$E$5:$E$2000,"&gt;="&amp;Settings!$B$8,Deductions!$E$5:$E$2000,"&lt;="&amp;Settings!$B$9)-O710)</f>
        <v/>
      </c>
      <c r="Q710" s="26" t="str">
        <f aca="false">IF($A710="","",O710+P710)</f>
        <v/>
      </c>
      <c r="R710" s="23" t="str">
        <f aca="false">IF($A710="","",N710-Q710)</f>
        <v/>
      </c>
      <c r="S710" s="24" t="str">
        <f aca="false">IF($A710="","",INDEX(Workers!$O$5:$O$2004,MATCH($A710,Workers!$A$5:$A$2004,0))&amp;"")</f>
        <v/>
      </c>
      <c r="T710" s="24" t="str">
        <f aca="false">IF($A710="","",INDEX(Workers!$P$5:$P$2004,MATCH($A710,Workers!$A$5:$A$2004,0))&amp;"")</f>
        <v/>
      </c>
      <c r="U710" s="24" t="str">
        <f aca="false">IF($A710="","",INDEX(Workers!$H$5:$H$2004,MATCH($A710,Workers!$A$5:$A$2004,0))&amp;"")</f>
        <v/>
      </c>
    </row>
    <row r="711" customFormat="false" ht="15" hidden="false" customHeight="false" outlineLevel="0" collapsed="false">
      <c r="A711" s="24" t="str">
        <f aca="false">IFERROR(INDEX(Workers!$A$5:$A$2004,MATCH(ROW()-4,Workers!$U$5:$U$2004,0)),"")</f>
        <v/>
      </c>
      <c r="B711" s="24" t="str">
        <f aca="false">IF($A711="","",INDEX(Workers!$B$5:$B$2004,MATCH($A711,Workers!$A$5:$A$2004,0)))</f>
        <v/>
      </c>
      <c r="C711" s="24" t="str">
        <f aca="false">IF($A711="","",INDEX(Workers!$E$5:$E$2004,MATCH($A711,Workers!$A$5:$A$2004,0)))</f>
        <v/>
      </c>
      <c r="D711" s="24" t="str">
        <f aca="false">IF($A711="","",INDEX(Workers!$K$5:$K$2004,MATCH($A711,Workers!$A$5:$A$2004,0)))</f>
        <v/>
      </c>
      <c r="E711" s="25" t="str">
        <f aca="false">IF($A711="","",SUMIFS(Timesheet!$E$5:$E$3004,Timesheet!$D$5:$D$3004,$A711,Timesheet!$A$5:$A$3004,"&gt;="&amp;Settings!$B$8,Timesheet!$A$5:$A$3004,"&lt;="&amp;Settings!$B$9))</f>
        <v/>
      </c>
      <c r="F711" s="25" t="str">
        <f aca="false">IF($A711="","",SUMIFS(Timesheet!$F$5:$F$3004,Timesheet!$D$5:$D$3004,$A711,Timesheet!$A$5:$A$3004,"&gt;="&amp;Settings!$B$8,Timesheet!$A$5:$A$3004,"&lt;="&amp;Settings!$B$9))</f>
        <v/>
      </c>
      <c r="G711" s="25" t="str">
        <f aca="false">IF($A711="","",SUMIFS(Timesheet!$G$5:$G$3004,Timesheet!$D$5:$D$3004,$A711,Timesheet!$A$5:$A$3004,"&gt;="&amp;Settings!$B$8,Timesheet!$A$5:$A$3004,"&lt;="&amp;Settings!$B$9))</f>
        <v/>
      </c>
      <c r="H711" s="25" t="str">
        <f aca="false">IF($A711="","",IF(D711="Monthly",MAX(0,Settings!$B$11-E711),0))</f>
        <v/>
      </c>
      <c r="I711" s="26" t="str">
        <f aca="false">IF($A711="","",N(INDEX(Workers!$L$5:$L$2004,MATCH($A711,Workers!$A$5:$A$2004,0))))</f>
        <v/>
      </c>
      <c r="J711" s="26" t="str">
        <f aca="false">IF($A711="","",N(INDEX(Workers!$M$5:$M$2004,MATCH($A711,Workers!$A$5:$A$2004,0))))</f>
        <v/>
      </c>
      <c r="K711" s="26" t="str">
        <f aca="false">IF($A711="","",IF(D711="Monthly",ROUND(MAX(0,(I711+J711)-(I711+J711)/Settings!$B$10*H711),2),0))</f>
        <v/>
      </c>
      <c r="L711" s="26" t="str">
        <f aca="false">IF($A711="","",IF(D711="Hourly",ROUND(F711*N(INDEX(Workers!$N$5:$N$2004,MATCH($A711,Workers!$A$5:$A$2004,0))),2),0))</f>
        <v/>
      </c>
      <c r="M711" s="26" t="str">
        <f aca="false">IF($A711="","",ROUND(G711*IF(D711="Hourly",N(INDEX(Workers!$N$5:$N$2004,MATCH($A711,Workers!$A$5:$A$2004,0))),I711/Settings!$B$10/Settings!$B$12)*Settings!$B$13,2))</f>
        <v/>
      </c>
      <c r="N711" s="26" t="str">
        <f aca="false">IF($A711="","",K711+L711+M711)</f>
        <v/>
      </c>
      <c r="O711" s="26" t="str">
        <f aca="false">IF($A711="","",SUMIFS(Deductions!$D$5:$D$2000,Deductions!$B$5:$B$2000,$A711,Deductions!$C$5:$C$2000,"Advance",Deductions!$E$5:$E$2000,"&gt;="&amp;Settings!$B$8,Deductions!$E$5:$E$2000,"&lt;="&amp;Settings!$B$9))</f>
        <v/>
      </c>
      <c r="P711" s="26" t="str">
        <f aca="false">IF($A711="","",SUMIFS(Deductions!$D$5:$D$2000,Deductions!$B$5:$B$2000,$A711,Deductions!$E$5:$E$2000,"&gt;="&amp;Settings!$B$8,Deductions!$E$5:$E$2000,"&lt;="&amp;Settings!$B$9)-O711)</f>
        <v/>
      </c>
      <c r="Q711" s="26" t="str">
        <f aca="false">IF($A711="","",O711+P711)</f>
        <v/>
      </c>
      <c r="R711" s="23" t="str">
        <f aca="false">IF($A711="","",N711-Q711)</f>
        <v/>
      </c>
      <c r="S711" s="24" t="str">
        <f aca="false">IF($A711="","",INDEX(Workers!$O$5:$O$2004,MATCH($A711,Workers!$A$5:$A$2004,0))&amp;"")</f>
        <v/>
      </c>
      <c r="T711" s="24" t="str">
        <f aca="false">IF($A711="","",INDEX(Workers!$P$5:$P$2004,MATCH($A711,Workers!$A$5:$A$2004,0))&amp;"")</f>
        <v/>
      </c>
      <c r="U711" s="24" t="str">
        <f aca="false">IF($A711="","",INDEX(Workers!$H$5:$H$2004,MATCH($A711,Workers!$A$5:$A$2004,0))&amp;"")</f>
        <v/>
      </c>
    </row>
    <row r="712" customFormat="false" ht="15" hidden="false" customHeight="false" outlineLevel="0" collapsed="false">
      <c r="A712" s="24" t="str">
        <f aca="false">IFERROR(INDEX(Workers!$A$5:$A$2004,MATCH(ROW()-4,Workers!$U$5:$U$2004,0)),"")</f>
        <v/>
      </c>
      <c r="B712" s="24" t="str">
        <f aca="false">IF($A712="","",INDEX(Workers!$B$5:$B$2004,MATCH($A712,Workers!$A$5:$A$2004,0)))</f>
        <v/>
      </c>
      <c r="C712" s="24" t="str">
        <f aca="false">IF($A712="","",INDEX(Workers!$E$5:$E$2004,MATCH($A712,Workers!$A$5:$A$2004,0)))</f>
        <v/>
      </c>
      <c r="D712" s="24" t="str">
        <f aca="false">IF($A712="","",INDEX(Workers!$K$5:$K$2004,MATCH($A712,Workers!$A$5:$A$2004,0)))</f>
        <v/>
      </c>
      <c r="E712" s="25" t="str">
        <f aca="false">IF($A712="","",SUMIFS(Timesheet!$E$5:$E$3004,Timesheet!$D$5:$D$3004,$A712,Timesheet!$A$5:$A$3004,"&gt;="&amp;Settings!$B$8,Timesheet!$A$5:$A$3004,"&lt;="&amp;Settings!$B$9))</f>
        <v/>
      </c>
      <c r="F712" s="25" t="str">
        <f aca="false">IF($A712="","",SUMIFS(Timesheet!$F$5:$F$3004,Timesheet!$D$5:$D$3004,$A712,Timesheet!$A$5:$A$3004,"&gt;="&amp;Settings!$B$8,Timesheet!$A$5:$A$3004,"&lt;="&amp;Settings!$B$9))</f>
        <v/>
      </c>
      <c r="G712" s="25" t="str">
        <f aca="false">IF($A712="","",SUMIFS(Timesheet!$G$5:$G$3004,Timesheet!$D$5:$D$3004,$A712,Timesheet!$A$5:$A$3004,"&gt;="&amp;Settings!$B$8,Timesheet!$A$5:$A$3004,"&lt;="&amp;Settings!$B$9))</f>
        <v/>
      </c>
      <c r="H712" s="25" t="str">
        <f aca="false">IF($A712="","",IF(D712="Monthly",MAX(0,Settings!$B$11-E712),0))</f>
        <v/>
      </c>
      <c r="I712" s="26" t="str">
        <f aca="false">IF($A712="","",N(INDEX(Workers!$L$5:$L$2004,MATCH($A712,Workers!$A$5:$A$2004,0))))</f>
        <v/>
      </c>
      <c r="J712" s="26" t="str">
        <f aca="false">IF($A712="","",N(INDEX(Workers!$M$5:$M$2004,MATCH($A712,Workers!$A$5:$A$2004,0))))</f>
        <v/>
      </c>
      <c r="K712" s="26" t="str">
        <f aca="false">IF($A712="","",IF(D712="Monthly",ROUND(MAX(0,(I712+J712)-(I712+J712)/Settings!$B$10*H712),2),0))</f>
        <v/>
      </c>
      <c r="L712" s="26" t="str">
        <f aca="false">IF($A712="","",IF(D712="Hourly",ROUND(F712*N(INDEX(Workers!$N$5:$N$2004,MATCH($A712,Workers!$A$5:$A$2004,0))),2),0))</f>
        <v/>
      </c>
      <c r="M712" s="26" t="str">
        <f aca="false">IF($A712="","",ROUND(G712*IF(D712="Hourly",N(INDEX(Workers!$N$5:$N$2004,MATCH($A712,Workers!$A$5:$A$2004,0))),I712/Settings!$B$10/Settings!$B$12)*Settings!$B$13,2))</f>
        <v/>
      </c>
      <c r="N712" s="26" t="str">
        <f aca="false">IF($A712="","",K712+L712+M712)</f>
        <v/>
      </c>
      <c r="O712" s="26" t="str">
        <f aca="false">IF($A712="","",SUMIFS(Deductions!$D$5:$D$2000,Deductions!$B$5:$B$2000,$A712,Deductions!$C$5:$C$2000,"Advance",Deductions!$E$5:$E$2000,"&gt;="&amp;Settings!$B$8,Deductions!$E$5:$E$2000,"&lt;="&amp;Settings!$B$9))</f>
        <v/>
      </c>
      <c r="P712" s="26" t="str">
        <f aca="false">IF($A712="","",SUMIFS(Deductions!$D$5:$D$2000,Deductions!$B$5:$B$2000,$A712,Deductions!$E$5:$E$2000,"&gt;="&amp;Settings!$B$8,Deductions!$E$5:$E$2000,"&lt;="&amp;Settings!$B$9)-O712)</f>
        <v/>
      </c>
      <c r="Q712" s="26" t="str">
        <f aca="false">IF($A712="","",O712+P712)</f>
        <v/>
      </c>
      <c r="R712" s="23" t="str">
        <f aca="false">IF($A712="","",N712-Q712)</f>
        <v/>
      </c>
      <c r="S712" s="24" t="str">
        <f aca="false">IF($A712="","",INDEX(Workers!$O$5:$O$2004,MATCH($A712,Workers!$A$5:$A$2004,0))&amp;"")</f>
        <v/>
      </c>
      <c r="T712" s="24" t="str">
        <f aca="false">IF($A712="","",INDEX(Workers!$P$5:$P$2004,MATCH($A712,Workers!$A$5:$A$2004,0))&amp;"")</f>
        <v/>
      </c>
      <c r="U712" s="24" t="str">
        <f aca="false">IF($A712="","",INDEX(Workers!$H$5:$H$2004,MATCH($A712,Workers!$A$5:$A$2004,0))&amp;"")</f>
        <v/>
      </c>
    </row>
    <row r="713" customFormat="false" ht="15" hidden="false" customHeight="false" outlineLevel="0" collapsed="false">
      <c r="A713" s="24" t="str">
        <f aca="false">IFERROR(INDEX(Workers!$A$5:$A$2004,MATCH(ROW()-4,Workers!$U$5:$U$2004,0)),"")</f>
        <v/>
      </c>
      <c r="B713" s="24" t="str">
        <f aca="false">IF($A713="","",INDEX(Workers!$B$5:$B$2004,MATCH($A713,Workers!$A$5:$A$2004,0)))</f>
        <v/>
      </c>
      <c r="C713" s="24" t="str">
        <f aca="false">IF($A713="","",INDEX(Workers!$E$5:$E$2004,MATCH($A713,Workers!$A$5:$A$2004,0)))</f>
        <v/>
      </c>
      <c r="D713" s="24" t="str">
        <f aca="false">IF($A713="","",INDEX(Workers!$K$5:$K$2004,MATCH($A713,Workers!$A$5:$A$2004,0)))</f>
        <v/>
      </c>
      <c r="E713" s="25" t="str">
        <f aca="false">IF($A713="","",SUMIFS(Timesheet!$E$5:$E$3004,Timesheet!$D$5:$D$3004,$A713,Timesheet!$A$5:$A$3004,"&gt;="&amp;Settings!$B$8,Timesheet!$A$5:$A$3004,"&lt;="&amp;Settings!$B$9))</f>
        <v/>
      </c>
      <c r="F713" s="25" t="str">
        <f aca="false">IF($A713="","",SUMIFS(Timesheet!$F$5:$F$3004,Timesheet!$D$5:$D$3004,$A713,Timesheet!$A$5:$A$3004,"&gt;="&amp;Settings!$B$8,Timesheet!$A$5:$A$3004,"&lt;="&amp;Settings!$B$9))</f>
        <v/>
      </c>
      <c r="G713" s="25" t="str">
        <f aca="false">IF($A713="","",SUMIFS(Timesheet!$G$5:$G$3004,Timesheet!$D$5:$D$3004,$A713,Timesheet!$A$5:$A$3004,"&gt;="&amp;Settings!$B$8,Timesheet!$A$5:$A$3004,"&lt;="&amp;Settings!$B$9))</f>
        <v/>
      </c>
      <c r="H713" s="25" t="str">
        <f aca="false">IF($A713="","",IF(D713="Monthly",MAX(0,Settings!$B$11-E713),0))</f>
        <v/>
      </c>
      <c r="I713" s="26" t="str">
        <f aca="false">IF($A713="","",N(INDEX(Workers!$L$5:$L$2004,MATCH($A713,Workers!$A$5:$A$2004,0))))</f>
        <v/>
      </c>
      <c r="J713" s="26" t="str">
        <f aca="false">IF($A713="","",N(INDEX(Workers!$M$5:$M$2004,MATCH($A713,Workers!$A$5:$A$2004,0))))</f>
        <v/>
      </c>
      <c r="K713" s="26" t="str">
        <f aca="false">IF($A713="","",IF(D713="Monthly",ROUND(MAX(0,(I713+J713)-(I713+J713)/Settings!$B$10*H713),2),0))</f>
        <v/>
      </c>
      <c r="L713" s="26" t="str">
        <f aca="false">IF($A713="","",IF(D713="Hourly",ROUND(F713*N(INDEX(Workers!$N$5:$N$2004,MATCH($A713,Workers!$A$5:$A$2004,0))),2),0))</f>
        <v/>
      </c>
      <c r="M713" s="26" t="str">
        <f aca="false">IF($A713="","",ROUND(G713*IF(D713="Hourly",N(INDEX(Workers!$N$5:$N$2004,MATCH($A713,Workers!$A$5:$A$2004,0))),I713/Settings!$B$10/Settings!$B$12)*Settings!$B$13,2))</f>
        <v/>
      </c>
      <c r="N713" s="26" t="str">
        <f aca="false">IF($A713="","",K713+L713+M713)</f>
        <v/>
      </c>
      <c r="O713" s="26" t="str">
        <f aca="false">IF($A713="","",SUMIFS(Deductions!$D$5:$D$2000,Deductions!$B$5:$B$2000,$A713,Deductions!$C$5:$C$2000,"Advance",Deductions!$E$5:$E$2000,"&gt;="&amp;Settings!$B$8,Deductions!$E$5:$E$2000,"&lt;="&amp;Settings!$B$9))</f>
        <v/>
      </c>
      <c r="P713" s="26" t="str">
        <f aca="false">IF($A713="","",SUMIFS(Deductions!$D$5:$D$2000,Deductions!$B$5:$B$2000,$A713,Deductions!$E$5:$E$2000,"&gt;="&amp;Settings!$B$8,Deductions!$E$5:$E$2000,"&lt;="&amp;Settings!$B$9)-O713)</f>
        <v/>
      </c>
      <c r="Q713" s="26" t="str">
        <f aca="false">IF($A713="","",O713+P713)</f>
        <v/>
      </c>
      <c r="R713" s="23" t="str">
        <f aca="false">IF($A713="","",N713-Q713)</f>
        <v/>
      </c>
      <c r="S713" s="24" t="str">
        <f aca="false">IF($A713="","",INDEX(Workers!$O$5:$O$2004,MATCH($A713,Workers!$A$5:$A$2004,0))&amp;"")</f>
        <v/>
      </c>
      <c r="T713" s="24" t="str">
        <f aca="false">IF($A713="","",INDEX(Workers!$P$5:$P$2004,MATCH($A713,Workers!$A$5:$A$2004,0))&amp;"")</f>
        <v/>
      </c>
      <c r="U713" s="24" t="str">
        <f aca="false">IF($A713="","",INDEX(Workers!$H$5:$H$2004,MATCH($A713,Workers!$A$5:$A$2004,0))&amp;"")</f>
        <v/>
      </c>
    </row>
    <row r="714" customFormat="false" ht="15" hidden="false" customHeight="false" outlineLevel="0" collapsed="false">
      <c r="A714" s="24" t="str">
        <f aca="false">IFERROR(INDEX(Workers!$A$5:$A$2004,MATCH(ROW()-4,Workers!$U$5:$U$2004,0)),"")</f>
        <v/>
      </c>
      <c r="B714" s="24" t="str">
        <f aca="false">IF($A714="","",INDEX(Workers!$B$5:$B$2004,MATCH($A714,Workers!$A$5:$A$2004,0)))</f>
        <v/>
      </c>
      <c r="C714" s="24" t="str">
        <f aca="false">IF($A714="","",INDEX(Workers!$E$5:$E$2004,MATCH($A714,Workers!$A$5:$A$2004,0)))</f>
        <v/>
      </c>
      <c r="D714" s="24" t="str">
        <f aca="false">IF($A714="","",INDEX(Workers!$K$5:$K$2004,MATCH($A714,Workers!$A$5:$A$2004,0)))</f>
        <v/>
      </c>
      <c r="E714" s="25" t="str">
        <f aca="false">IF($A714="","",SUMIFS(Timesheet!$E$5:$E$3004,Timesheet!$D$5:$D$3004,$A714,Timesheet!$A$5:$A$3004,"&gt;="&amp;Settings!$B$8,Timesheet!$A$5:$A$3004,"&lt;="&amp;Settings!$B$9))</f>
        <v/>
      </c>
      <c r="F714" s="25" t="str">
        <f aca="false">IF($A714="","",SUMIFS(Timesheet!$F$5:$F$3004,Timesheet!$D$5:$D$3004,$A714,Timesheet!$A$5:$A$3004,"&gt;="&amp;Settings!$B$8,Timesheet!$A$5:$A$3004,"&lt;="&amp;Settings!$B$9))</f>
        <v/>
      </c>
      <c r="G714" s="25" t="str">
        <f aca="false">IF($A714="","",SUMIFS(Timesheet!$G$5:$G$3004,Timesheet!$D$5:$D$3004,$A714,Timesheet!$A$5:$A$3004,"&gt;="&amp;Settings!$B$8,Timesheet!$A$5:$A$3004,"&lt;="&amp;Settings!$B$9))</f>
        <v/>
      </c>
      <c r="H714" s="25" t="str">
        <f aca="false">IF($A714="","",IF(D714="Monthly",MAX(0,Settings!$B$11-E714),0))</f>
        <v/>
      </c>
      <c r="I714" s="26" t="str">
        <f aca="false">IF($A714="","",N(INDEX(Workers!$L$5:$L$2004,MATCH($A714,Workers!$A$5:$A$2004,0))))</f>
        <v/>
      </c>
      <c r="J714" s="26" t="str">
        <f aca="false">IF($A714="","",N(INDEX(Workers!$M$5:$M$2004,MATCH($A714,Workers!$A$5:$A$2004,0))))</f>
        <v/>
      </c>
      <c r="K714" s="26" t="str">
        <f aca="false">IF($A714="","",IF(D714="Monthly",ROUND(MAX(0,(I714+J714)-(I714+J714)/Settings!$B$10*H714),2),0))</f>
        <v/>
      </c>
      <c r="L714" s="26" t="str">
        <f aca="false">IF($A714="","",IF(D714="Hourly",ROUND(F714*N(INDEX(Workers!$N$5:$N$2004,MATCH($A714,Workers!$A$5:$A$2004,0))),2),0))</f>
        <v/>
      </c>
      <c r="M714" s="26" t="str">
        <f aca="false">IF($A714="","",ROUND(G714*IF(D714="Hourly",N(INDEX(Workers!$N$5:$N$2004,MATCH($A714,Workers!$A$5:$A$2004,0))),I714/Settings!$B$10/Settings!$B$12)*Settings!$B$13,2))</f>
        <v/>
      </c>
      <c r="N714" s="26" t="str">
        <f aca="false">IF($A714="","",K714+L714+M714)</f>
        <v/>
      </c>
      <c r="O714" s="26" t="str">
        <f aca="false">IF($A714="","",SUMIFS(Deductions!$D$5:$D$2000,Deductions!$B$5:$B$2000,$A714,Deductions!$C$5:$C$2000,"Advance",Deductions!$E$5:$E$2000,"&gt;="&amp;Settings!$B$8,Deductions!$E$5:$E$2000,"&lt;="&amp;Settings!$B$9))</f>
        <v/>
      </c>
      <c r="P714" s="26" t="str">
        <f aca="false">IF($A714="","",SUMIFS(Deductions!$D$5:$D$2000,Deductions!$B$5:$B$2000,$A714,Deductions!$E$5:$E$2000,"&gt;="&amp;Settings!$B$8,Deductions!$E$5:$E$2000,"&lt;="&amp;Settings!$B$9)-O714)</f>
        <v/>
      </c>
      <c r="Q714" s="26" t="str">
        <f aca="false">IF($A714="","",O714+P714)</f>
        <v/>
      </c>
      <c r="R714" s="23" t="str">
        <f aca="false">IF($A714="","",N714-Q714)</f>
        <v/>
      </c>
      <c r="S714" s="24" t="str">
        <f aca="false">IF($A714="","",INDEX(Workers!$O$5:$O$2004,MATCH($A714,Workers!$A$5:$A$2004,0))&amp;"")</f>
        <v/>
      </c>
      <c r="T714" s="24" t="str">
        <f aca="false">IF($A714="","",INDEX(Workers!$P$5:$P$2004,MATCH($A714,Workers!$A$5:$A$2004,0))&amp;"")</f>
        <v/>
      </c>
      <c r="U714" s="24" t="str">
        <f aca="false">IF($A714="","",INDEX(Workers!$H$5:$H$2004,MATCH($A714,Workers!$A$5:$A$2004,0))&amp;"")</f>
        <v/>
      </c>
    </row>
    <row r="715" customFormat="false" ht="15" hidden="false" customHeight="false" outlineLevel="0" collapsed="false">
      <c r="A715" s="24" t="str">
        <f aca="false">IFERROR(INDEX(Workers!$A$5:$A$2004,MATCH(ROW()-4,Workers!$U$5:$U$2004,0)),"")</f>
        <v/>
      </c>
      <c r="B715" s="24" t="str">
        <f aca="false">IF($A715="","",INDEX(Workers!$B$5:$B$2004,MATCH($A715,Workers!$A$5:$A$2004,0)))</f>
        <v/>
      </c>
      <c r="C715" s="24" t="str">
        <f aca="false">IF($A715="","",INDEX(Workers!$E$5:$E$2004,MATCH($A715,Workers!$A$5:$A$2004,0)))</f>
        <v/>
      </c>
      <c r="D715" s="24" t="str">
        <f aca="false">IF($A715="","",INDEX(Workers!$K$5:$K$2004,MATCH($A715,Workers!$A$5:$A$2004,0)))</f>
        <v/>
      </c>
      <c r="E715" s="25" t="str">
        <f aca="false">IF($A715="","",SUMIFS(Timesheet!$E$5:$E$3004,Timesheet!$D$5:$D$3004,$A715,Timesheet!$A$5:$A$3004,"&gt;="&amp;Settings!$B$8,Timesheet!$A$5:$A$3004,"&lt;="&amp;Settings!$B$9))</f>
        <v/>
      </c>
      <c r="F715" s="25" t="str">
        <f aca="false">IF($A715="","",SUMIFS(Timesheet!$F$5:$F$3004,Timesheet!$D$5:$D$3004,$A715,Timesheet!$A$5:$A$3004,"&gt;="&amp;Settings!$B$8,Timesheet!$A$5:$A$3004,"&lt;="&amp;Settings!$B$9))</f>
        <v/>
      </c>
      <c r="G715" s="25" t="str">
        <f aca="false">IF($A715="","",SUMIFS(Timesheet!$G$5:$G$3004,Timesheet!$D$5:$D$3004,$A715,Timesheet!$A$5:$A$3004,"&gt;="&amp;Settings!$B$8,Timesheet!$A$5:$A$3004,"&lt;="&amp;Settings!$B$9))</f>
        <v/>
      </c>
      <c r="H715" s="25" t="str">
        <f aca="false">IF($A715="","",IF(D715="Monthly",MAX(0,Settings!$B$11-E715),0))</f>
        <v/>
      </c>
      <c r="I715" s="26" t="str">
        <f aca="false">IF($A715="","",N(INDEX(Workers!$L$5:$L$2004,MATCH($A715,Workers!$A$5:$A$2004,0))))</f>
        <v/>
      </c>
      <c r="J715" s="26" t="str">
        <f aca="false">IF($A715="","",N(INDEX(Workers!$M$5:$M$2004,MATCH($A715,Workers!$A$5:$A$2004,0))))</f>
        <v/>
      </c>
      <c r="K715" s="26" t="str">
        <f aca="false">IF($A715="","",IF(D715="Monthly",ROUND(MAX(0,(I715+J715)-(I715+J715)/Settings!$B$10*H715),2),0))</f>
        <v/>
      </c>
      <c r="L715" s="26" t="str">
        <f aca="false">IF($A715="","",IF(D715="Hourly",ROUND(F715*N(INDEX(Workers!$N$5:$N$2004,MATCH($A715,Workers!$A$5:$A$2004,0))),2),0))</f>
        <v/>
      </c>
      <c r="M715" s="26" t="str">
        <f aca="false">IF($A715="","",ROUND(G715*IF(D715="Hourly",N(INDEX(Workers!$N$5:$N$2004,MATCH($A715,Workers!$A$5:$A$2004,0))),I715/Settings!$B$10/Settings!$B$12)*Settings!$B$13,2))</f>
        <v/>
      </c>
      <c r="N715" s="26" t="str">
        <f aca="false">IF($A715="","",K715+L715+M715)</f>
        <v/>
      </c>
      <c r="O715" s="26" t="str">
        <f aca="false">IF($A715="","",SUMIFS(Deductions!$D$5:$D$2000,Deductions!$B$5:$B$2000,$A715,Deductions!$C$5:$C$2000,"Advance",Deductions!$E$5:$E$2000,"&gt;="&amp;Settings!$B$8,Deductions!$E$5:$E$2000,"&lt;="&amp;Settings!$B$9))</f>
        <v/>
      </c>
      <c r="P715" s="26" t="str">
        <f aca="false">IF($A715="","",SUMIFS(Deductions!$D$5:$D$2000,Deductions!$B$5:$B$2000,$A715,Deductions!$E$5:$E$2000,"&gt;="&amp;Settings!$B$8,Deductions!$E$5:$E$2000,"&lt;="&amp;Settings!$B$9)-O715)</f>
        <v/>
      </c>
      <c r="Q715" s="26" t="str">
        <f aca="false">IF($A715="","",O715+P715)</f>
        <v/>
      </c>
      <c r="R715" s="23" t="str">
        <f aca="false">IF($A715="","",N715-Q715)</f>
        <v/>
      </c>
      <c r="S715" s="24" t="str">
        <f aca="false">IF($A715="","",INDEX(Workers!$O$5:$O$2004,MATCH($A715,Workers!$A$5:$A$2004,0))&amp;"")</f>
        <v/>
      </c>
      <c r="T715" s="24" t="str">
        <f aca="false">IF($A715="","",INDEX(Workers!$P$5:$P$2004,MATCH($A715,Workers!$A$5:$A$2004,0))&amp;"")</f>
        <v/>
      </c>
      <c r="U715" s="24" t="str">
        <f aca="false">IF($A715="","",INDEX(Workers!$H$5:$H$2004,MATCH($A715,Workers!$A$5:$A$2004,0))&amp;"")</f>
        <v/>
      </c>
    </row>
    <row r="716" customFormat="false" ht="15" hidden="false" customHeight="false" outlineLevel="0" collapsed="false">
      <c r="A716" s="24" t="str">
        <f aca="false">IFERROR(INDEX(Workers!$A$5:$A$2004,MATCH(ROW()-4,Workers!$U$5:$U$2004,0)),"")</f>
        <v/>
      </c>
      <c r="B716" s="24" t="str">
        <f aca="false">IF($A716="","",INDEX(Workers!$B$5:$B$2004,MATCH($A716,Workers!$A$5:$A$2004,0)))</f>
        <v/>
      </c>
      <c r="C716" s="24" t="str">
        <f aca="false">IF($A716="","",INDEX(Workers!$E$5:$E$2004,MATCH($A716,Workers!$A$5:$A$2004,0)))</f>
        <v/>
      </c>
      <c r="D716" s="24" t="str">
        <f aca="false">IF($A716="","",INDEX(Workers!$K$5:$K$2004,MATCH($A716,Workers!$A$5:$A$2004,0)))</f>
        <v/>
      </c>
      <c r="E716" s="25" t="str">
        <f aca="false">IF($A716="","",SUMIFS(Timesheet!$E$5:$E$3004,Timesheet!$D$5:$D$3004,$A716,Timesheet!$A$5:$A$3004,"&gt;="&amp;Settings!$B$8,Timesheet!$A$5:$A$3004,"&lt;="&amp;Settings!$B$9))</f>
        <v/>
      </c>
      <c r="F716" s="25" t="str">
        <f aca="false">IF($A716="","",SUMIFS(Timesheet!$F$5:$F$3004,Timesheet!$D$5:$D$3004,$A716,Timesheet!$A$5:$A$3004,"&gt;="&amp;Settings!$B$8,Timesheet!$A$5:$A$3004,"&lt;="&amp;Settings!$B$9))</f>
        <v/>
      </c>
      <c r="G716" s="25" t="str">
        <f aca="false">IF($A716="","",SUMIFS(Timesheet!$G$5:$G$3004,Timesheet!$D$5:$D$3004,$A716,Timesheet!$A$5:$A$3004,"&gt;="&amp;Settings!$B$8,Timesheet!$A$5:$A$3004,"&lt;="&amp;Settings!$B$9))</f>
        <v/>
      </c>
      <c r="H716" s="25" t="str">
        <f aca="false">IF($A716="","",IF(D716="Monthly",MAX(0,Settings!$B$11-E716),0))</f>
        <v/>
      </c>
      <c r="I716" s="26" t="str">
        <f aca="false">IF($A716="","",N(INDEX(Workers!$L$5:$L$2004,MATCH($A716,Workers!$A$5:$A$2004,0))))</f>
        <v/>
      </c>
      <c r="J716" s="26" t="str">
        <f aca="false">IF($A716="","",N(INDEX(Workers!$M$5:$M$2004,MATCH($A716,Workers!$A$5:$A$2004,0))))</f>
        <v/>
      </c>
      <c r="K716" s="26" t="str">
        <f aca="false">IF($A716="","",IF(D716="Monthly",ROUND(MAX(0,(I716+J716)-(I716+J716)/Settings!$B$10*H716),2),0))</f>
        <v/>
      </c>
      <c r="L716" s="26" t="str">
        <f aca="false">IF($A716="","",IF(D716="Hourly",ROUND(F716*N(INDEX(Workers!$N$5:$N$2004,MATCH($A716,Workers!$A$5:$A$2004,0))),2),0))</f>
        <v/>
      </c>
      <c r="M716" s="26" t="str">
        <f aca="false">IF($A716="","",ROUND(G716*IF(D716="Hourly",N(INDEX(Workers!$N$5:$N$2004,MATCH($A716,Workers!$A$5:$A$2004,0))),I716/Settings!$B$10/Settings!$B$12)*Settings!$B$13,2))</f>
        <v/>
      </c>
      <c r="N716" s="26" t="str">
        <f aca="false">IF($A716="","",K716+L716+M716)</f>
        <v/>
      </c>
      <c r="O716" s="26" t="str">
        <f aca="false">IF($A716="","",SUMIFS(Deductions!$D$5:$D$2000,Deductions!$B$5:$B$2000,$A716,Deductions!$C$5:$C$2000,"Advance",Deductions!$E$5:$E$2000,"&gt;="&amp;Settings!$B$8,Deductions!$E$5:$E$2000,"&lt;="&amp;Settings!$B$9))</f>
        <v/>
      </c>
      <c r="P716" s="26" t="str">
        <f aca="false">IF($A716="","",SUMIFS(Deductions!$D$5:$D$2000,Deductions!$B$5:$B$2000,$A716,Deductions!$E$5:$E$2000,"&gt;="&amp;Settings!$B$8,Deductions!$E$5:$E$2000,"&lt;="&amp;Settings!$B$9)-O716)</f>
        <v/>
      </c>
      <c r="Q716" s="26" t="str">
        <f aca="false">IF($A716="","",O716+P716)</f>
        <v/>
      </c>
      <c r="R716" s="23" t="str">
        <f aca="false">IF($A716="","",N716-Q716)</f>
        <v/>
      </c>
      <c r="S716" s="24" t="str">
        <f aca="false">IF($A716="","",INDEX(Workers!$O$5:$O$2004,MATCH($A716,Workers!$A$5:$A$2004,0))&amp;"")</f>
        <v/>
      </c>
      <c r="T716" s="24" t="str">
        <f aca="false">IF($A716="","",INDEX(Workers!$P$5:$P$2004,MATCH($A716,Workers!$A$5:$A$2004,0))&amp;"")</f>
        <v/>
      </c>
      <c r="U716" s="24" t="str">
        <f aca="false">IF($A716="","",INDEX(Workers!$H$5:$H$2004,MATCH($A716,Workers!$A$5:$A$2004,0))&amp;"")</f>
        <v/>
      </c>
    </row>
    <row r="717" customFormat="false" ht="15" hidden="false" customHeight="false" outlineLevel="0" collapsed="false">
      <c r="A717" s="24" t="str">
        <f aca="false">IFERROR(INDEX(Workers!$A$5:$A$2004,MATCH(ROW()-4,Workers!$U$5:$U$2004,0)),"")</f>
        <v/>
      </c>
      <c r="B717" s="24" t="str">
        <f aca="false">IF($A717="","",INDEX(Workers!$B$5:$B$2004,MATCH($A717,Workers!$A$5:$A$2004,0)))</f>
        <v/>
      </c>
      <c r="C717" s="24" t="str">
        <f aca="false">IF($A717="","",INDEX(Workers!$E$5:$E$2004,MATCH($A717,Workers!$A$5:$A$2004,0)))</f>
        <v/>
      </c>
      <c r="D717" s="24" t="str">
        <f aca="false">IF($A717="","",INDEX(Workers!$K$5:$K$2004,MATCH($A717,Workers!$A$5:$A$2004,0)))</f>
        <v/>
      </c>
      <c r="E717" s="25" t="str">
        <f aca="false">IF($A717="","",SUMIFS(Timesheet!$E$5:$E$3004,Timesheet!$D$5:$D$3004,$A717,Timesheet!$A$5:$A$3004,"&gt;="&amp;Settings!$B$8,Timesheet!$A$5:$A$3004,"&lt;="&amp;Settings!$B$9))</f>
        <v/>
      </c>
      <c r="F717" s="25" t="str">
        <f aca="false">IF($A717="","",SUMIFS(Timesheet!$F$5:$F$3004,Timesheet!$D$5:$D$3004,$A717,Timesheet!$A$5:$A$3004,"&gt;="&amp;Settings!$B$8,Timesheet!$A$5:$A$3004,"&lt;="&amp;Settings!$B$9))</f>
        <v/>
      </c>
      <c r="G717" s="25" t="str">
        <f aca="false">IF($A717="","",SUMIFS(Timesheet!$G$5:$G$3004,Timesheet!$D$5:$D$3004,$A717,Timesheet!$A$5:$A$3004,"&gt;="&amp;Settings!$B$8,Timesheet!$A$5:$A$3004,"&lt;="&amp;Settings!$B$9))</f>
        <v/>
      </c>
      <c r="H717" s="25" t="str">
        <f aca="false">IF($A717="","",IF(D717="Monthly",MAX(0,Settings!$B$11-E717),0))</f>
        <v/>
      </c>
      <c r="I717" s="26" t="str">
        <f aca="false">IF($A717="","",N(INDEX(Workers!$L$5:$L$2004,MATCH($A717,Workers!$A$5:$A$2004,0))))</f>
        <v/>
      </c>
      <c r="J717" s="26" t="str">
        <f aca="false">IF($A717="","",N(INDEX(Workers!$M$5:$M$2004,MATCH($A717,Workers!$A$5:$A$2004,0))))</f>
        <v/>
      </c>
      <c r="K717" s="26" t="str">
        <f aca="false">IF($A717="","",IF(D717="Monthly",ROUND(MAX(0,(I717+J717)-(I717+J717)/Settings!$B$10*H717),2),0))</f>
        <v/>
      </c>
      <c r="L717" s="26" t="str">
        <f aca="false">IF($A717="","",IF(D717="Hourly",ROUND(F717*N(INDEX(Workers!$N$5:$N$2004,MATCH($A717,Workers!$A$5:$A$2004,0))),2),0))</f>
        <v/>
      </c>
      <c r="M717" s="26" t="str">
        <f aca="false">IF($A717="","",ROUND(G717*IF(D717="Hourly",N(INDEX(Workers!$N$5:$N$2004,MATCH($A717,Workers!$A$5:$A$2004,0))),I717/Settings!$B$10/Settings!$B$12)*Settings!$B$13,2))</f>
        <v/>
      </c>
      <c r="N717" s="26" t="str">
        <f aca="false">IF($A717="","",K717+L717+M717)</f>
        <v/>
      </c>
      <c r="O717" s="26" t="str">
        <f aca="false">IF($A717="","",SUMIFS(Deductions!$D$5:$D$2000,Deductions!$B$5:$B$2000,$A717,Deductions!$C$5:$C$2000,"Advance",Deductions!$E$5:$E$2000,"&gt;="&amp;Settings!$B$8,Deductions!$E$5:$E$2000,"&lt;="&amp;Settings!$B$9))</f>
        <v/>
      </c>
      <c r="P717" s="26" t="str">
        <f aca="false">IF($A717="","",SUMIFS(Deductions!$D$5:$D$2000,Deductions!$B$5:$B$2000,$A717,Deductions!$E$5:$E$2000,"&gt;="&amp;Settings!$B$8,Deductions!$E$5:$E$2000,"&lt;="&amp;Settings!$B$9)-O717)</f>
        <v/>
      </c>
      <c r="Q717" s="26" t="str">
        <f aca="false">IF($A717="","",O717+P717)</f>
        <v/>
      </c>
      <c r="R717" s="23" t="str">
        <f aca="false">IF($A717="","",N717-Q717)</f>
        <v/>
      </c>
      <c r="S717" s="24" t="str">
        <f aca="false">IF($A717="","",INDEX(Workers!$O$5:$O$2004,MATCH($A717,Workers!$A$5:$A$2004,0))&amp;"")</f>
        <v/>
      </c>
      <c r="T717" s="24" t="str">
        <f aca="false">IF($A717="","",INDEX(Workers!$P$5:$P$2004,MATCH($A717,Workers!$A$5:$A$2004,0))&amp;"")</f>
        <v/>
      </c>
      <c r="U717" s="24" t="str">
        <f aca="false">IF($A717="","",INDEX(Workers!$H$5:$H$2004,MATCH($A717,Workers!$A$5:$A$2004,0))&amp;"")</f>
        <v/>
      </c>
    </row>
    <row r="718" customFormat="false" ht="15" hidden="false" customHeight="false" outlineLevel="0" collapsed="false">
      <c r="A718" s="24" t="str">
        <f aca="false">IFERROR(INDEX(Workers!$A$5:$A$2004,MATCH(ROW()-4,Workers!$U$5:$U$2004,0)),"")</f>
        <v/>
      </c>
      <c r="B718" s="24" t="str">
        <f aca="false">IF($A718="","",INDEX(Workers!$B$5:$B$2004,MATCH($A718,Workers!$A$5:$A$2004,0)))</f>
        <v/>
      </c>
      <c r="C718" s="24" t="str">
        <f aca="false">IF($A718="","",INDEX(Workers!$E$5:$E$2004,MATCH($A718,Workers!$A$5:$A$2004,0)))</f>
        <v/>
      </c>
      <c r="D718" s="24" t="str">
        <f aca="false">IF($A718="","",INDEX(Workers!$K$5:$K$2004,MATCH($A718,Workers!$A$5:$A$2004,0)))</f>
        <v/>
      </c>
      <c r="E718" s="25" t="str">
        <f aca="false">IF($A718="","",SUMIFS(Timesheet!$E$5:$E$3004,Timesheet!$D$5:$D$3004,$A718,Timesheet!$A$5:$A$3004,"&gt;="&amp;Settings!$B$8,Timesheet!$A$5:$A$3004,"&lt;="&amp;Settings!$B$9))</f>
        <v/>
      </c>
      <c r="F718" s="25" t="str">
        <f aca="false">IF($A718="","",SUMIFS(Timesheet!$F$5:$F$3004,Timesheet!$D$5:$D$3004,$A718,Timesheet!$A$5:$A$3004,"&gt;="&amp;Settings!$B$8,Timesheet!$A$5:$A$3004,"&lt;="&amp;Settings!$B$9))</f>
        <v/>
      </c>
      <c r="G718" s="25" t="str">
        <f aca="false">IF($A718="","",SUMIFS(Timesheet!$G$5:$G$3004,Timesheet!$D$5:$D$3004,$A718,Timesheet!$A$5:$A$3004,"&gt;="&amp;Settings!$B$8,Timesheet!$A$5:$A$3004,"&lt;="&amp;Settings!$B$9))</f>
        <v/>
      </c>
      <c r="H718" s="25" t="str">
        <f aca="false">IF($A718="","",IF(D718="Monthly",MAX(0,Settings!$B$11-E718),0))</f>
        <v/>
      </c>
      <c r="I718" s="26" t="str">
        <f aca="false">IF($A718="","",N(INDEX(Workers!$L$5:$L$2004,MATCH($A718,Workers!$A$5:$A$2004,0))))</f>
        <v/>
      </c>
      <c r="J718" s="26" t="str">
        <f aca="false">IF($A718="","",N(INDEX(Workers!$M$5:$M$2004,MATCH($A718,Workers!$A$5:$A$2004,0))))</f>
        <v/>
      </c>
      <c r="K718" s="26" t="str">
        <f aca="false">IF($A718="","",IF(D718="Monthly",ROUND(MAX(0,(I718+J718)-(I718+J718)/Settings!$B$10*H718),2),0))</f>
        <v/>
      </c>
      <c r="L718" s="26" t="str">
        <f aca="false">IF($A718="","",IF(D718="Hourly",ROUND(F718*N(INDEX(Workers!$N$5:$N$2004,MATCH($A718,Workers!$A$5:$A$2004,0))),2),0))</f>
        <v/>
      </c>
      <c r="M718" s="26" t="str">
        <f aca="false">IF($A718="","",ROUND(G718*IF(D718="Hourly",N(INDEX(Workers!$N$5:$N$2004,MATCH($A718,Workers!$A$5:$A$2004,0))),I718/Settings!$B$10/Settings!$B$12)*Settings!$B$13,2))</f>
        <v/>
      </c>
      <c r="N718" s="26" t="str">
        <f aca="false">IF($A718="","",K718+L718+M718)</f>
        <v/>
      </c>
      <c r="O718" s="26" t="str">
        <f aca="false">IF($A718="","",SUMIFS(Deductions!$D$5:$D$2000,Deductions!$B$5:$B$2000,$A718,Deductions!$C$5:$C$2000,"Advance",Deductions!$E$5:$E$2000,"&gt;="&amp;Settings!$B$8,Deductions!$E$5:$E$2000,"&lt;="&amp;Settings!$B$9))</f>
        <v/>
      </c>
      <c r="P718" s="26" t="str">
        <f aca="false">IF($A718="","",SUMIFS(Deductions!$D$5:$D$2000,Deductions!$B$5:$B$2000,$A718,Deductions!$E$5:$E$2000,"&gt;="&amp;Settings!$B$8,Deductions!$E$5:$E$2000,"&lt;="&amp;Settings!$B$9)-O718)</f>
        <v/>
      </c>
      <c r="Q718" s="26" t="str">
        <f aca="false">IF($A718="","",O718+P718)</f>
        <v/>
      </c>
      <c r="R718" s="23" t="str">
        <f aca="false">IF($A718="","",N718-Q718)</f>
        <v/>
      </c>
      <c r="S718" s="24" t="str">
        <f aca="false">IF($A718="","",INDEX(Workers!$O$5:$O$2004,MATCH($A718,Workers!$A$5:$A$2004,0))&amp;"")</f>
        <v/>
      </c>
      <c r="T718" s="24" t="str">
        <f aca="false">IF($A718="","",INDEX(Workers!$P$5:$P$2004,MATCH($A718,Workers!$A$5:$A$2004,0))&amp;"")</f>
        <v/>
      </c>
      <c r="U718" s="24" t="str">
        <f aca="false">IF($A718="","",INDEX(Workers!$H$5:$H$2004,MATCH($A718,Workers!$A$5:$A$2004,0))&amp;"")</f>
        <v/>
      </c>
    </row>
    <row r="719" customFormat="false" ht="15" hidden="false" customHeight="false" outlineLevel="0" collapsed="false">
      <c r="A719" s="24" t="str">
        <f aca="false">IFERROR(INDEX(Workers!$A$5:$A$2004,MATCH(ROW()-4,Workers!$U$5:$U$2004,0)),"")</f>
        <v/>
      </c>
      <c r="B719" s="24" t="str">
        <f aca="false">IF($A719="","",INDEX(Workers!$B$5:$B$2004,MATCH($A719,Workers!$A$5:$A$2004,0)))</f>
        <v/>
      </c>
      <c r="C719" s="24" t="str">
        <f aca="false">IF($A719="","",INDEX(Workers!$E$5:$E$2004,MATCH($A719,Workers!$A$5:$A$2004,0)))</f>
        <v/>
      </c>
      <c r="D719" s="24" t="str">
        <f aca="false">IF($A719="","",INDEX(Workers!$K$5:$K$2004,MATCH($A719,Workers!$A$5:$A$2004,0)))</f>
        <v/>
      </c>
      <c r="E719" s="25" t="str">
        <f aca="false">IF($A719="","",SUMIFS(Timesheet!$E$5:$E$3004,Timesheet!$D$5:$D$3004,$A719,Timesheet!$A$5:$A$3004,"&gt;="&amp;Settings!$B$8,Timesheet!$A$5:$A$3004,"&lt;="&amp;Settings!$B$9))</f>
        <v/>
      </c>
      <c r="F719" s="25" t="str">
        <f aca="false">IF($A719="","",SUMIFS(Timesheet!$F$5:$F$3004,Timesheet!$D$5:$D$3004,$A719,Timesheet!$A$5:$A$3004,"&gt;="&amp;Settings!$B$8,Timesheet!$A$5:$A$3004,"&lt;="&amp;Settings!$B$9))</f>
        <v/>
      </c>
      <c r="G719" s="25" t="str">
        <f aca="false">IF($A719="","",SUMIFS(Timesheet!$G$5:$G$3004,Timesheet!$D$5:$D$3004,$A719,Timesheet!$A$5:$A$3004,"&gt;="&amp;Settings!$B$8,Timesheet!$A$5:$A$3004,"&lt;="&amp;Settings!$B$9))</f>
        <v/>
      </c>
      <c r="H719" s="25" t="str">
        <f aca="false">IF($A719="","",IF(D719="Monthly",MAX(0,Settings!$B$11-E719),0))</f>
        <v/>
      </c>
      <c r="I719" s="26" t="str">
        <f aca="false">IF($A719="","",N(INDEX(Workers!$L$5:$L$2004,MATCH($A719,Workers!$A$5:$A$2004,0))))</f>
        <v/>
      </c>
      <c r="J719" s="26" t="str">
        <f aca="false">IF($A719="","",N(INDEX(Workers!$M$5:$M$2004,MATCH($A719,Workers!$A$5:$A$2004,0))))</f>
        <v/>
      </c>
      <c r="K719" s="26" t="str">
        <f aca="false">IF($A719="","",IF(D719="Monthly",ROUND(MAX(0,(I719+J719)-(I719+J719)/Settings!$B$10*H719),2),0))</f>
        <v/>
      </c>
      <c r="L719" s="26" t="str">
        <f aca="false">IF($A719="","",IF(D719="Hourly",ROUND(F719*N(INDEX(Workers!$N$5:$N$2004,MATCH($A719,Workers!$A$5:$A$2004,0))),2),0))</f>
        <v/>
      </c>
      <c r="M719" s="26" t="str">
        <f aca="false">IF($A719="","",ROUND(G719*IF(D719="Hourly",N(INDEX(Workers!$N$5:$N$2004,MATCH($A719,Workers!$A$5:$A$2004,0))),I719/Settings!$B$10/Settings!$B$12)*Settings!$B$13,2))</f>
        <v/>
      </c>
      <c r="N719" s="26" t="str">
        <f aca="false">IF($A719="","",K719+L719+M719)</f>
        <v/>
      </c>
      <c r="O719" s="26" t="str">
        <f aca="false">IF($A719="","",SUMIFS(Deductions!$D$5:$D$2000,Deductions!$B$5:$B$2000,$A719,Deductions!$C$5:$C$2000,"Advance",Deductions!$E$5:$E$2000,"&gt;="&amp;Settings!$B$8,Deductions!$E$5:$E$2000,"&lt;="&amp;Settings!$B$9))</f>
        <v/>
      </c>
      <c r="P719" s="26" t="str">
        <f aca="false">IF($A719="","",SUMIFS(Deductions!$D$5:$D$2000,Deductions!$B$5:$B$2000,$A719,Deductions!$E$5:$E$2000,"&gt;="&amp;Settings!$B$8,Deductions!$E$5:$E$2000,"&lt;="&amp;Settings!$B$9)-O719)</f>
        <v/>
      </c>
      <c r="Q719" s="26" t="str">
        <f aca="false">IF($A719="","",O719+P719)</f>
        <v/>
      </c>
      <c r="R719" s="23" t="str">
        <f aca="false">IF($A719="","",N719-Q719)</f>
        <v/>
      </c>
      <c r="S719" s="24" t="str">
        <f aca="false">IF($A719="","",INDEX(Workers!$O$5:$O$2004,MATCH($A719,Workers!$A$5:$A$2004,0))&amp;"")</f>
        <v/>
      </c>
      <c r="T719" s="24" t="str">
        <f aca="false">IF($A719="","",INDEX(Workers!$P$5:$P$2004,MATCH($A719,Workers!$A$5:$A$2004,0))&amp;"")</f>
        <v/>
      </c>
      <c r="U719" s="24" t="str">
        <f aca="false">IF($A719="","",INDEX(Workers!$H$5:$H$2004,MATCH($A719,Workers!$A$5:$A$2004,0))&amp;"")</f>
        <v/>
      </c>
    </row>
    <row r="720" customFormat="false" ht="15" hidden="false" customHeight="false" outlineLevel="0" collapsed="false">
      <c r="A720" s="24" t="str">
        <f aca="false">IFERROR(INDEX(Workers!$A$5:$A$2004,MATCH(ROW()-4,Workers!$U$5:$U$2004,0)),"")</f>
        <v/>
      </c>
      <c r="B720" s="24" t="str">
        <f aca="false">IF($A720="","",INDEX(Workers!$B$5:$B$2004,MATCH($A720,Workers!$A$5:$A$2004,0)))</f>
        <v/>
      </c>
      <c r="C720" s="24" t="str">
        <f aca="false">IF($A720="","",INDEX(Workers!$E$5:$E$2004,MATCH($A720,Workers!$A$5:$A$2004,0)))</f>
        <v/>
      </c>
      <c r="D720" s="24" t="str">
        <f aca="false">IF($A720="","",INDEX(Workers!$K$5:$K$2004,MATCH($A720,Workers!$A$5:$A$2004,0)))</f>
        <v/>
      </c>
      <c r="E720" s="25" t="str">
        <f aca="false">IF($A720="","",SUMIFS(Timesheet!$E$5:$E$3004,Timesheet!$D$5:$D$3004,$A720,Timesheet!$A$5:$A$3004,"&gt;="&amp;Settings!$B$8,Timesheet!$A$5:$A$3004,"&lt;="&amp;Settings!$B$9))</f>
        <v/>
      </c>
      <c r="F720" s="25" t="str">
        <f aca="false">IF($A720="","",SUMIFS(Timesheet!$F$5:$F$3004,Timesheet!$D$5:$D$3004,$A720,Timesheet!$A$5:$A$3004,"&gt;="&amp;Settings!$B$8,Timesheet!$A$5:$A$3004,"&lt;="&amp;Settings!$B$9))</f>
        <v/>
      </c>
      <c r="G720" s="25" t="str">
        <f aca="false">IF($A720="","",SUMIFS(Timesheet!$G$5:$G$3004,Timesheet!$D$5:$D$3004,$A720,Timesheet!$A$5:$A$3004,"&gt;="&amp;Settings!$B$8,Timesheet!$A$5:$A$3004,"&lt;="&amp;Settings!$B$9))</f>
        <v/>
      </c>
      <c r="H720" s="25" t="str">
        <f aca="false">IF($A720="","",IF(D720="Monthly",MAX(0,Settings!$B$11-E720),0))</f>
        <v/>
      </c>
      <c r="I720" s="26" t="str">
        <f aca="false">IF($A720="","",N(INDEX(Workers!$L$5:$L$2004,MATCH($A720,Workers!$A$5:$A$2004,0))))</f>
        <v/>
      </c>
      <c r="J720" s="26" t="str">
        <f aca="false">IF($A720="","",N(INDEX(Workers!$M$5:$M$2004,MATCH($A720,Workers!$A$5:$A$2004,0))))</f>
        <v/>
      </c>
      <c r="K720" s="26" t="str">
        <f aca="false">IF($A720="","",IF(D720="Monthly",ROUND(MAX(0,(I720+J720)-(I720+J720)/Settings!$B$10*H720),2),0))</f>
        <v/>
      </c>
      <c r="L720" s="26" t="str">
        <f aca="false">IF($A720="","",IF(D720="Hourly",ROUND(F720*N(INDEX(Workers!$N$5:$N$2004,MATCH($A720,Workers!$A$5:$A$2004,0))),2),0))</f>
        <v/>
      </c>
      <c r="M720" s="26" t="str">
        <f aca="false">IF($A720="","",ROUND(G720*IF(D720="Hourly",N(INDEX(Workers!$N$5:$N$2004,MATCH($A720,Workers!$A$5:$A$2004,0))),I720/Settings!$B$10/Settings!$B$12)*Settings!$B$13,2))</f>
        <v/>
      </c>
      <c r="N720" s="26" t="str">
        <f aca="false">IF($A720="","",K720+L720+M720)</f>
        <v/>
      </c>
      <c r="O720" s="26" t="str">
        <f aca="false">IF($A720="","",SUMIFS(Deductions!$D$5:$D$2000,Deductions!$B$5:$B$2000,$A720,Deductions!$C$5:$C$2000,"Advance",Deductions!$E$5:$E$2000,"&gt;="&amp;Settings!$B$8,Deductions!$E$5:$E$2000,"&lt;="&amp;Settings!$B$9))</f>
        <v/>
      </c>
      <c r="P720" s="26" t="str">
        <f aca="false">IF($A720="","",SUMIFS(Deductions!$D$5:$D$2000,Deductions!$B$5:$B$2000,$A720,Deductions!$E$5:$E$2000,"&gt;="&amp;Settings!$B$8,Deductions!$E$5:$E$2000,"&lt;="&amp;Settings!$B$9)-O720)</f>
        <v/>
      </c>
      <c r="Q720" s="26" t="str">
        <f aca="false">IF($A720="","",O720+P720)</f>
        <v/>
      </c>
      <c r="R720" s="23" t="str">
        <f aca="false">IF($A720="","",N720-Q720)</f>
        <v/>
      </c>
      <c r="S720" s="24" t="str">
        <f aca="false">IF($A720="","",INDEX(Workers!$O$5:$O$2004,MATCH($A720,Workers!$A$5:$A$2004,0))&amp;"")</f>
        <v/>
      </c>
      <c r="T720" s="24" t="str">
        <f aca="false">IF($A720="","",INDEX(Workers!$P$5:$P$2004,MATCH($A720,Workers!$A$5:$A$2004,0))&amp;"")</f>
        <v/>
      </c>
      <c r="U720" s="24" t="str">
        <f aca="false">IF($A720="","",INDEX(Workers!$H$5:$H$2004,MATCH($A720,Workers!$A$5:$A$2004,0))&amp;"")</f>
        <v/>
      </c>
    </row>
    <row r="721" customFormat="false" ht="15" hidden="false" customHeight="false" outlineLevel="0" collapsed="false">
      <c r="A721" s="24" t="str">
        <f aca="false">IFERROR(INDEX(Workers!$A$5:$A$2004,MATCH(ROW()-4,Workers!$U$5:$U$2004,0)),"")</f>
        <v/>
      </c>
      <c r="B721" s="24" t="str">
        <f aca="false">IF($A721="","",INDEX(Workers!$B$5:$B$2004,MATCH($A721,Workers!$A$5:$A$2004,0)))</f>
        <v/>
      </c>
      <c r="C721" s="24" t="str">
        <f aca="false">IF($A721="","",INDEX(Workers!$E$5:$E$2004,MATCH($A721,Workers!$A$5:$A$2004,0)))</f>
        <v/>
      </c>
      <c r="D721" s="24" t="str">
        <f aca="false">IF($A721="","",INDEX(Workers!$K$5:$K$2004,MATCH($A721,Workers!$A$5:$A$2004,0)))</f>
        <v/>
      </c>
      <c r="E721" s="25" t="str">
        <f aca="false">IF($A721="","",SUMIFS(Timesheet!$E$5:$E$3004,Timesheet!$D$5:$D$3004,$A721,Timesheet!$A$5:$A$3004,"&gt;="&amp;Settings!$B$8,Timesheet!$A$5:$A$3004,"&lt;="&amp;Settings!$B$9))</f>
        <v/>
      </c>
      <c r="F721" s="25" t="str">
        <f aca="false">IF($A721="","",SUMIFS(Timesheet!$F$5:$F$3004,Timesheet!$D$5:$D$3004,$A721,Timesheet!$A$5:$A$3004,"&gt;="&amp;Settings!$B$8,Timesheet!$A$5:$A$3004,"&lt;="&amp;Settings!$B$9))</f>
        <v/>
      </c>
      <c r="G721" s="25" t="str">
        <f aca="false">IF($A721="","",SUMIFS(Timesheet!$G$5:$G$3004,Timesheet!$D$5:$D$3004,$A721,Timesheet!$A$5:$A$3004,"&gt;="&amp;Settings!$B$8,Timesheet!$A$5:$A$3004,"&lt;="&amp;Settings!$B$9))</f>
        <v/>
      </c>
      <c r="H721" s="25" t="str">
        <f aca="false">IF($A721="","",IF(D721="Monthly",MAX(0,Settings!$B$11-E721),0))</f>
        <v/>
      </c>
      <c r="I721" s="26" t="str">
        <f aca="false">IF($A721="","",N(INDEX(Workers!$L$5:$L$2004,MATCH($A721,Workers!$A$5:$A$2004,0))))</f>
        <v/>
      </c>
      <c r="J721" s="26" t="str">
        <f aca="false">IF($A721="","",N(INDEX(Workers!$M$5:$M$2004,MATCH($A721,Workers!$A$5:$A$2004,0))))</f>
        <v/>
      </c>
      <c r="K721" s="26" t="str">
        <f aca="false">IF($A721="","",IF(D721="Monthly",ROUND(MAX(0,(I721+J721)-(I721+J721)/Settings!$B$10*H721),2),0))</f>
        <v/>
      </c>
      <c r="L721" s="26" t="str">
        <f aca="false">IF($A721="","",IF(D721="Hourly",ROUND(F721*N(INDEX(Workers!$N$5:$N$2004,MATCH($A721,Workers!$A$5:$A$2004,0))),2),0))</f>
        <v/>
      </c>
      <c r="M721" s="26" t="str">
        <f aca="false">IF($A721="","",ROUND(G721*IF(D721="Hourly",N(INDEX(Workers!$N$5:$N$2004,MATCH($A721,Workers!$A$5:$A$2004,0))),I721/Settings!$B$10/Settings!$B$12)*Settings!$B$13,2))</f>
        <v/>
      </c>
      <c r="N721" s="26" t="str">
        <f aca="false">IF($A721="","",K721+L721+M721)</f>
        <v/>
      </c>
      <c r="O721" s="26" t="str">
        <f aca="false">IF($A721="","",SUMIFS(Deductions!$D$5:$D$2000,Deductions!$B$5:$B$2000,$A721,Deductions!$C$5:$C$2000,"Advance",Deductions!$E$5:$E$2000,"&gt;="&amp;Settings!$B$8,Deductions!$E$5:$E$2000,"&lt;="&amp;Settings!$B$9))</f>
        <v/>
      </c>
      <c r="P721" s="26" t="str">
        <f aca="false">IF($A721="","",SUMIFS(Deductions!$D$5:$D$2000,Deductions!$B$5:$B$2000,$A721,Deductions!$E$5:$E$2000,"&gt;="&amp;Settings!$B$8,Deductions!$E$5:$E$2000,"&lt;="&amp;Settings!$B$9)-O721)</f>
        <v/>
      </c>
      <c r="Q721" s="26" t="str">
        <f aca="false">IF($A721="","",O721+P721)</f>
        <v/>
      </c>
      <c r="R721" s="23" t="str">
        <f aca="false">IF($A721="","",N721-Q721)</f>
        <v/>
      </c>
      <c r="S721" s="24" t="str">
        <f aca="false">IF($A721="","",INDEX(Workers!$O$5:$O$2004,MATCH($A721,Workers!$A$5:$A$2004,0))&amp;"")</f>
        <v/>
      </c>
      <c r="T721" s="24" t="str">
        <f aca="false">IF($A721="","",INDEX(Workers!$P$5:$P$2004,MATCH($A721,Workers!$A$5:$A$2004,0))&amp;"")</f>
        <v/>
      </c>
      <c r="U721" s="24" t="str">
        <f aca="false">IF($A721="","",INDEX(Workers!$H$5:$H$2004,MATCH($A721,Workers!$A$5:$A$2004,0))&amp;"")</f>
        <v/>
      </c>
    </row>
    <row r="722" customFormat="false" ht="15" hidden="false" customHeight="false" outlineLevel="0" collapsed="false">
      <c r="A722" s="24" t="str">
        <f aca="false">IFERROR(INDEX(Workers!$A$5:$A$2004,MATCH(ROW()-4,Workers!$U$5:$U$2004,0)),"")</f>
        <v/>
      </c>
      <c r="B722" s="24" t="str">
        <f aca="false">IF($A722="","",INDEX(Workers!$B$5:$B$2004,MATCH($A722,Workers!$A$5:$A$2004,0)))</f>
        <v/>
      </c>
      <c r="C722" s="24" t="str">
        <f aca="false">IF($A722="","",INDEX(Workers!$E$5:$E$2004,MATCH($A722,Workers!$A$5:$A$2004,0)))</f>
        <v/>
      </c>
      <c r="D722" s="24" t="str">
        <f aca="false">IF($A722="","",INDEX(Workers!$K$5:$K$2004,MATCH($A722,Workers!$A$5:$A$2004,0)))</f>
        <v/>
      </c>
      <c r="E722" s="25" t="str">
        <f aca="false">IF($A722="","",SUMIFS(Timesheet!$E$5:$E$3004,Timesheet!$D$5:$D$3004,$A722,Timesheet!$A$5:$A$3004,"&gt;="&amp;Settings!$B$8,Timesheet!$A$5:$A$3004,"&lt;="&amp;Settings!$B$9))</f>
        <v/>
      </c>
      <c r="F722" s="25" t="str">
        <f aca="false">IF($A722="","",SUMIFS(Timesheet!$F$5:$F$3004,Timesheet!$D$5:$D$3004,$A722,Timesheet!$A$5:$A$3004,"&gt;="&amp;Settings!$B$8,Timesheet!$A$5:$A$3004,"&lt;="&amp;Settings!$B$9))</f>
        <v/>
      </c>
      <c r="G722" s="25" t="str">
        <f aca="false">IF($A722="","",SUMIFS(Timesheet!$G$5:$G$3004,Timesheet!$D$5:$D$3004,$A722,Timesheet!$A$5:$A$3004,"&gt;="&amp;Settings!$B$8,Timesheet!$A$5:$A$3004,"&lt;="&amp;Settings!$B$9))</f>
        <v/>
      </c>
      <c r="H722" s="25" t="str">
        <f aca="false">IF($A722="","",IF(D722="Monthly",MAX(0,Settings!$B$11-E722),0))</f>
        <v/>
      </c>
      <c r="I722" s="26" t="str">
        <f aca="false">IF($A722="","",N(INDEX(Workers!$L$5:$L$2004,MATCH($A722,Workers!$A$5:$A$2004,0))))</f>
        <v/>
      </c>
      <c r="J722" s="26" t="str">
        <f aca="false">IF($A722="","",N(INDEX(Workers!$M$5:$M$2004,MATCH($A722,Workers!$A$5:$A$2004,0))))</f>
        <v/>
      </c>
      <c r="K722" s="26" t="str">
        <f aca="false">IF($A722="","",IF(D722="Monthly",ROUND(MAX(0,(I722+J722)-(I722+J722)/Settings!$B$10*H722),2),0))</f>
        <v/>
      </c>
      <c r="L722" s="26" t="str">
        <f aca="false">IF($A722="","",IF(D722="Hourly",ROUND(F722*N(INDEX(Workers!$N$5:$N$2004,MATCH($A722,Workers!$A$5:$A$2004,0))),2),0))</f>
        <v/>
      </c>
      <c r="M722" s="26" t="str">
        <f aca="false">IF($A722="","",ROUND(G722*IF(D722="Hourly",N(INDEX(Workers!$N$5:$N$2004,MATCH($A722,Workers!$A$5:$A$2004,0))),I722/Settings!$B$10/Settings!$B$12)*Settings!$B$13,2))</f>
        <v/>
      </c>
      <c r="N722" s="26" t="str">
        <f aca="false">IF($A722="","",K722+L722+M722)</f>
        <v/>
      </c>
      <c r="O722" s="26" t="str">
        <f aca="false">IF($A722="","",SUMIFS(Deductions!$D$5:$D$2000,Deductions!$B$5:$B$2000,$A722,Deductions!$C$5:$C$2000,"Advance",Deductions!$E$5:$E$2000,"&gt;="&amp;Settings!$B$8,Deductions!$E$5:$E$2000,"&lt;="&amp;Settings!$B$9))</f>
        <v/>
      </c>
      <c r="P722" s="26" t="str">
        <f aca="false">IF($A722="","",SUMIFS(Deductions!$D$5:$D$2000,Deductions!$B$5:$B$2000,$A722,Deductions!$E$5:$E$2000,"&gt;="&amp;Settings!$B$8,Deductions!$E$5:$E$2000,"&lt;="&amp;Settings!$B$9)-O722)</f>
        <v/>
      </c>
      <c r="Q722" s="26" t="str">
        <f aca="false">IF($A722="","",O722+P722)</f>
        <v/>
      </c>
      <c r="R722" s="23" t="str">
        <f aca="false">IF($A722="","",N722-Q722)</f>
        <v/>
      </c>
      <c r="S722" s="24" t="str">
        <f aca="false">IF($A722="","",INDEX(Workers!$O$5:$O$2004,MATCH($A722,Workers!$A$5:$A$2004,0))&amp;"")</f>
        <v/>
      </c>
      <c r="T722" s="24" t="str">
        <f aca="false">IF($A722="","",INDEX(Workers!$P$5:$P$2004,MATCH($A722,Workers!$A$5:$A$2004,0))&amp;"")</f>
        <v/>
      </c>
      <c r="U722" s="24" t="str">
        <f aca="false">IF($A722="","",INDEX(Workers!$H$5:$H$2004,MATCH($A722,Workers!$A$5:$A$2004,0))&amp;"")</f>
        <v/>
      </c>
    </row>
    <row r="723" customFormat="false" ht="15" hidden="false" customHeight="false" outlineLevel="0" collapsed="false">
      <c r="A723" s="24" t="str">
        <f aca="false">IFERROR(INDEX(Workers!$A$5:$A$2004,MATCH(ROW()-4,Workers!$U$5:$U$2004,0)),"")</f>
        <v/>
      </c>
      <c r="B723" s="24" t="str">
        <f aca="false">IF($A723="","",INDEX(Workers!$B$5:$B$2004,MATCH($A723,Workers!$A$5:$A$2004,0)))</f>
        <v/>
      </c>
      <c r="C723" s="24" t="str">
        <f aca="false">IF($A723="","",INDEX(Workers!$E$5:$E$2004,MATCH($A723,Workers!$A$5:$A$2004,0)))</f>
        <v/>
      </c>
      <c r="D723" s="24" t="str">
        <f aca="false">IF($A723="","",INDEX(Workers!$K$5:$K$2004,MATCH($A723,Workers!$A$5:$A$2004,0)))</f>
        <v/>
      </c>
      <c r="E723" s="25" t="str">
        <f aca="false">IF($A723="","",SUMIFS(Timesheet!$E$5:$E$3004,Timesheet!$D$5:$D$3004,$A723,Timesheet!$A$5:$A$3004,"&gt;="&amp;Settings!$B$8,Timesheet!$A$5:$A$3004,"&lt;="&amp;Settings!$B$9))</f>
        <v/>
      </c>
      <c r="F723" s="25" t="str">
        <f aca="false">IF($A723="","",SUMIFS(Timesheet!$F$5:$F$3004,Timesheet!$D$5:$D$3004,$A723,Timesheet!$A$5:$A$3004,"&gt;="&amp;Settings!$B$8,Timesheet!$A$5:$A$3004,"&lt;="&amp;Settings!$B$9))</f>
        <v/>
      </c>
      <c r="G723" s="25" t="str">
        <f aca="false">IF($A723="","",SUMIFS(Timesheet!$G$5:$G$3004,Timesheet!$D$5:$D$3004,$A723,Timesheet!$A$5:$A$3004,"&gt;="&amp;Settings!$B$8,Timesheet!$A$5:$A$3004,"&lt;="&amp;Settings!$B$9))</f>
        <v/>
      </c>
      <c r="H723" s="25" t="str">
        <f aca="false">IF($A723="","",IF(D723="Monthly",MAX(0,Settings!$B$11-E723),0))</f>
        <v/>
      </c>
      <c r="I723" s="26" t="str">
        <f aca="false">IF($A723="","",N(INDEX(Workers!$L$5:$L$2004,MATCH($A723,Workers!$A$5:$A$2004,0))))</f>
        <v/>
      </c>
      <c r="J723" s="26" t="str">
        <f aca="false">IF($A723="","",N(INDEX(Workers!$M$5:$M$2004,MATCH($A723,Workers!$A$5:$A$2004,0))))</f>
        <v/>
      </c>
      <c r="K723" s="26" t="str">
        <f aca="false">IF($A723="","",IF(D723="Monthly",ROUND(MAX(0,(I723+J723)-(I723+J723)/Settings!$B$10*H723),2),0))</f>
        <v/>
      </c>
      <c r="L723" s="26" t="str">
        <f aca="false">IF($A723="","",IF(D723="Hourly",ROUND(F723*N(INDEX(Workers!$N$5:$N$2004,MATCH($A723,Workers!$A$5:$A$2004,0))),2),0))</f>
        <v/>
      </c>
      <c r="M723" s="26" t="str">
        <f aca="false">IF($A723="","",ROUND(G723*IF(D723="Hourly",N(INDEX(Workers!$N$5:$N$2004,MATCH($A723,Workers!$A$5:$A$2004,0))),I723/Settings!$B$10/Settings!$B$12)*Settings!$B$13,2))</f>
        <v/>
      </c>
      <c r="N723" s="26" t="str">
        <f aca="false">IF($A723="","",K723+L723+M723)</f>
        <v/>
      </c>
      <c r="O723" s="26" t="str">
        <f aca="false">IF($A723="","",SUMIFS(Deductions!$D$5:$D$2000,Deductions!$B$5:$B$2000,$A723,Deductions!$C$5:$C$2000,"Advance",Deductions!$E$5:$E$2000,"&gt;="&amp;Settings!$B$8,Deductions!$E$5:$E$2000,"&lt;="&amp;Settings!$B$9))</f>
        <v/>
      </c>
      <c r="P723" s="26" t="str">
        <f aca="false">IF($A723="","",SUMIFS(Deductions!$D$5:$D$2000,Deductions!$B$5:$B$2000,$A723,Deductions!$E$5:$E$2000,"&gt;="&amp;Settings!$B$8,Deductions!$E$5:$E$2000,"&lt;="&amp;Settings!$B$9)-O723)</f>
        <v/>
      </c>
      <c r="Q723" s="26" t="str">
        <f aca="false">IF($A723="","",O723+P723)</f>
        <v/>
      </c>
      <c r="R723" s="23" t="str">
        <f aca="false">IF($A723="","",N723-Q723)</f>
        <v/>
      </c>
      <c r="S723" s="24" t="str">
        <f aca="false">IF($A723="","",INDEX(Workers!$O$5:$O$2004,MATCH($A723,Workers!$A$5:$A$2004,0))&amp;"")</f>
        <v/>
      </c>
      <c r="T723" s="24" t="str">
        <f aca="false">IF($A723="","",INDEX(Workers!$P$5:$P$2004,MATCH($A723,Workers!$A$5:$A$2004,0))&amp;"")</f>
        <v/>
      </c>
      <c r="U723" s="24" t="str">
        <f aca="false">IF($A723="","",INDEX(Workers!$H$5:$H$2004,MATCH($A723,Workers!$A$5:$A$2004,0))&amp;"")</f>
        <v/>
      </c>
    </row>
    <row r="724" customFormat="false" ht="15" hidden="false" customHeight="false" outlineLevel="0" collapsed="false">
      <c r="A724" s="24" t="str">
        <f aca="false">IFERROR(INDEX(Workers!$A$5:$A$2004,MATCH(ROW()-4,Workers!$U$5:$U$2004,0)),"")</f>
        <v/>
      </c>
      <c r="B724" s="24" t="str">
        <f aca="false">IF($A724="","",INDEX(Workers!$B$5:$B$2004,MATCH($A724,Workers!$A$5:$A$2004,0)))</f>
        <v/>
      </c>
      <c r="C724" s="24" t="str">
        <f aca="false">IF($A724="","",INDEX(Workers!$E$5:$E$2004,MATCH($A724,Workers!$A$5:$A$2004,0)))</f>
        <v/>
      </c>
      <c r="D724" s="24" t="str">
        <f aca="false">IF($A724="","",INDEX(Workers!$K$5:$K$2004,MATCH($A724,Workers!$A$5:$A$2004,0)))</f>
        <v/>
      </c>
      <c r="E724" s="25" t="str">
        <f aca="false">IF($A724="","",SUMIFS(Timesheet!$E$5:$E$3004,Timesheet!$D$5:$D$3004,$A724,Timesheet!$A$5:$A$3004,"&gt;="&amp;Settings!$B$8,Timesheet!$A$5:$A$3004,"&lt;="&amp;Settings!$B$9))</f>
        <v/>
      </c>
      <c r="F724" s="25" t="str">
        <f aca="false">IF($A724="","",SUMIFS(Timesheet!$F$5:$F$3004,Timesheet!$D$5:$D$3004,$A724,Timesheet!$A$5:$A$3004,"&gt;="&amp;Settings!$B$8,Timesheet!$A$5:$A$3004,"&lt;="&amp;Settings!$B$9))</f>
        <v/>
      </c>
      <c r="G724" s="25" t="str">
        <f aca="false">IF($A724="","",SUMIFS(Timesheet!$G$5:$G$3004,Timesheet!$D$5:$D$3004,$A724,Timesheet!$A$5:$A$3004,"&gt;="&amp;Settings!$B$8,Timesheet!$A$5:$A$3004,"&lt;="&amp;Settings!$B$9))</f>
        <v/>
      </c>
      <c r="H724" s="25" t="str">
        <f aca="false">IF($A724="","",IF(D724="Monthly",MAX(0,Settings!$B$11-E724),0))</f>
        <v/>
      </c>
      <c r="I724" s="26" t="str">
        <f aca="false">IF($A724="","",N(INDEX(Workers!$L$5:$L$2004,MATCH($A724,Workers!$A$5:$A$2004,0))))</f>
        <v/>
      </c>
      <c r="J724" s="26" t="str">
        <f aca="false">IF($A724="","",N(INDEX(Workers!$M$5:$M$2004,MATCH($A724,Workers!$A$5:$A$2004,0))))</f>
        <v/>
      </c>
      <c r="K724" s="26" t="str">
        <f aca="false">IF($A724="","",IF(D724="Monthly",ROUND(MAX(0,(I724+J724)-(I724+J724)/Settings!$B$10*H724),2),0))</f>
        <v/>
      </c>
      <c r="L724" s="26" t="str">
        <f aca="false">IF($A724="","",IF(D724="Hourly",ROUND(F724*N(INDEX(Workers!$N$5:$N$2004,MATCH($A724,Workers!$A$5:$A$2004,0))),2),0))</f>
        <v/>
      </c>
      <c r="M724" s="26" t="str">
        <f aca="false">IF($A724="","",ROUND(G724*IF(D724="Hourly",N(INDEX(Workers!$N$5:$N$2004,MATCH($A724,Workers!$A$5:$A$2004,0))),I724/Settings!$B$10/Settings!$B$12)*Settings!$B$13,2))</f>
        <v/>
      </c>
      <c r="N724" s="26" t="str">
        <f aca="false">IF($A724="","",K724+L724+M724)</f>
        <v/>
      </c>
      <c r="O724" s="26" t="str">
        <f aca="false">IF($A724="","",SUMIFS(Deductions!$D$5:$D$2000,Deductions!$B$5:$B$2000,$A724,Deductions!$C$5:$C$2000,"Advance",Deductions!$E$5:$E$2000,"&gt;="&amp;Settings!$B$8,Deductions!$E$5:$E$2000,"&lt;="&amp;Settings!$B$9))</f>
        <v/>
      </c>
      <c r="P724" s="26" t="str">
        <f aca="false">IF($A724="","",SUMIFS(Deductions!$D$5:$D$2000,Deductions!$B$5:$B$2000,$A724,Deductions!$E$5:$E$2000,"&gt;="&amp;Settings!$B$8,Deductions!$E$5:$E$2000,"&lt;="&amp;Settings!$B$9)-O724)</f>
        <v/>
      </c>
      <c r="Q724" s="26" t="str">
        <f aca="false">IF($A724="","",O724+P724)</f>
        <v/>
      </c>
      <c r="R724" s="23" t="str">
        <f aca="false">IF($A724="","",N724-Q724)</f>
        <v/>
      </c>
      <c r="S724" s="24" t="str">
        <f aca="false">IF($A724="","",INDEX(Workers!$O$5:$O$2004,MATCH($A724,Workers!$A$5:$A$2004,0))&amp;"")</f>
        <v/>
      </c>
      <c r="T724" s="24" t="str">
        <f aca="false">IF($A724="","",INDEX(Workers!$P$5:$P$2004,MATCH($A724,Workers!$A$5:$A$2004,0))&amp;"")</f>
        <v/>
      </c>
      <c r="U724" s="24" t="str">
        <f aca="false">IF($A724="","",INDEX(Workers!$H$5:$H$2004,MATCH($A724,Workers!$A$5:$A$2004,0))&amp;"")</f>
        <v/>
      </c>
    </row>
    <row r="725" customFormat="false" ht="15" hidden="false" customHeight="false" outlineLevel="0" collapsed="false">
      <c r="A725" s="24" t="str">
        <f aca="false">IFERROR(INDEX(Workers!$A$5:$A$2004,MATCH(ROW()-4,Workers!$U$5:$U$2004,0)),"")</f>
        <v/>
      </c>
      <c r="B725" s="24" t="str">
        <f aca="false">IF($A725="","",INDEX(Workers!$B$5:$B$2004,MATCH($A725,Workers!$A$5:$A$2004,0)))</f>
        <v/>
      </c>
      <c r="C725" s="24" t="str">
        <f aca="false">IF($A725="","",INDEX(Workers!$E$5:$E$2004,MATCH($A725,Workers!$A$5:$A$2004,0)))</f>
        <v/>
      </c>
      <c r="D725" s="24" t="str">
        <f aca="false">IF($A725="","",INDEX(Workers!$K$5:$K$2004,MATCH($A725,Workers!$A$5:$A$2004,0)))</f>
        <v/>
      </c>
      <c r="E725" s="25" t="str">
        <f aca="false">IF($A725="","",SUMIFS(Timesheet!$E$5:$E$3004,Timesheet!$D$5:$D$3004,$A725,Timesheet!$A$5:$A$3004,"&gt;="&amp;Settings!$B$8,Timesheet!$A$5:$A$3004,"&lt;="&amp;Settings!$B$9))</f>
        <v/>
      </c>
      <c r="F725" s="25" t="str">
        <f aca="false">IF($A725="","",SUMIFS(Timesheet!$F$5:$F$3004,Timesheet!$D$5:$D$3004,$A725,Timesheet!$A$5:$A$3004,"&gt;="&amp;Settings!$B$8,Timesheet!$A$5:$A$3004,"&lt;="&amp;Settings!$B$9))</f>
        <v/>
      </c>
      <c r="G725" s="25" t="str">
        <f aca="false">IF($A725="","",SUMIFS(Timesheet!$G$5:$G$3004,Timesheet!$D$5:$D$3004,$A725,Timesheet!$A$5:$A$3004,"&gt;="&amp;Settings!$B$8,Timesheet!$A$5:$A$3004,"&lt;="&amp;Settings!$B$9))</f>
        <v/>
      </c>
      <c r="H725" s="25" t="str">
        <f aca="false">IF($A725="","",IF(D725="Monthly",MAX(0,Settings!$B$11-E725),0))</f>
        <v/>
      </c>
      <c r="I725" s="26" t="str">
        <f aca="false">IF($A725="","",N(INDEX(Workers!$L$5:$L$2004,MATCH($A725,Workers!$A$5:$A$2004,0))))</f>
        <v/>
      </c>
      <c r="J725" s="26" t="str">
        <f aca="false">IF($A725="","",N(INDEX(Workers!$M$5:$M$2004,MATCH($A725,Workers!$A$5:$A$2004,0))))</f>
        <v/>
      </c>
      <c r="K725" s="26" t="str">
        <f aca="false">IF($A725="","",IF(D725="Monthly",ROUND(MAX(0,(I725+J725)-(I725+J725)/Settings!$B$10*H725),2),0))</f>
        <v/>
      </c>
      <c r="L725" s="26" t="str">
        <f aca="false">IF($A725="","",IF(D725="Hourly",ROUND(F725*N(INDEX(Workers!$N$5:$N$2004,MATCH($A725,Workers!$A$5:$A$2004,0))),2),0))</f>
        <v/>
      </c>
      <c r="M725" s="26" t="str">
        <f aca="false">IF($A725="","",ROUND(G725*IF(D725="Hourly",N(INDEX(Workers!$N$5:$N$2004,MATCH($A725,Workers!$A$5:$A$2004,0))),I725/Settings!$B$10/Settings!$B$12)*Settings!$B$13,2))</f>
        <v/>
      </c>
      <c r="N725" s="26" t="str">
        <f aca="false">IF($A725="","",K725+L725+M725)</f>
        <v/>
      </c>
      <c r="O725" s="26" t="str">
        <f aca="false">IF($A725="","",SUMIFS(Deductions!$D$5:$D$2000,Deductions!$B$5:$B$2000,$A725,Deductions!$C$5:$C$2000,"Advance",Deductions!$E$5:$E$2000,"&gt;="&amp;Settings!$B$8,Deductions!$E$5:$E$2000,"&lt;="&amp;Settings!$B$9))</f>
        <v/>
      </c>
      <c r="P725" s="26" t="str">
        <f aca="false">IF($A725="","",SUMIFS(Deductions!$D$5:$D$2000,Deductions!$B$5:$B$2000,$A725,Deductions!$E$5:$E$2000,"&gt;="&amp;Settings!$B$8,Deductions!$E$5:$E$2000,"&lt;="&amp;Settings!$B$9)-O725)</f>
        <v/>
      </c>
      <c r="Q725" s="26" t="str">
        <f aca="false">IF($A725="","",O725+P725)</f>
        <v/>
      </c>
      <c r="R725" s="23" t="str">
        <f aca="false">IF($A725="","",N725-Q725)</f>
        <v/>
      </c>
      <c r="S725" s="24" t="str">
        <f aca="false">IF($A725="","",INDEX(Workers!$O$5:$O$2004,MATCH($A725,Workers!$A$5:$A$2004,0))&amp;"")</f>
        <v/>
      </c>
      <c r="T725" s="24" t="str">
        <f aca="false">IF($A725="","",INDEX(Workers!$P$5:$P$2004,MATCH($A725,Workers!$A$5:$A$2004,0))&amp;"")</f>
        <v/>
      </c>
      <c r="U725" s="24" t="str">
        <f aca="false">IF($A725="","",INDEX(Workers!$H$5:$H$2004,MATCH($A725,Workers!$A$5:$A$2004,0))&amp;"")</f>
        <v/>
      </c>
    </row>
    <row r="726" customFormat="false" ht="15" hidden="false" customHeight="false" outlineLevel="0" collapsed="false">
      <c r="A726" s="24" t="str">
        <f aca="false">IFERROR(INDEX(Workers!$A$5:$A$2004,MATCH(ROW()-4,Workers!$U$5:$U$2004,0)),"")</f>
        <v/>
      </c>
      <c r="B726" s="24" t="str">
        <f aca="false">IF($A726="","",INDEX(Workers!$B$5:$B$2004,MATCH($A726,Workers!$A$5:$A$2004,0)))</f>
        <v/>
      </c>
      <c r="C726" s="24" t="str">
        <f aca="false">IF($A726="","",INDEX(Workers!$E$5:$E$2004,MATCH($A726,Workers!$A$5:$A$2004,0)))</f>
        <v/>
      </c>
      <c r="D726" s="24" t="str">
        <f aca="false">IF($A726="","",INDEX(Workers!$K$5:$K$2004,MATCH($A726,Workers!$A$5:$A$2004,0)))</f>
        <v/>
      </c>
      <c r="E726" s="25" t="str">
        <f aca="false">IF($A726="","",SUMIFS(Timesheet!$E$5:$E$3004,Timesheet!$D$5:$D$3004,$A726,Timesheet!$A$5:$A$3004,"&gt;="&amp;Settings!$B$8,Timesheet!$A$5:$A$3004,"&lt;="&amp;Settings!$B$9))</f>
        <v/>
      </c>
      <c r="F726" s="25" t="str">
        <f aca="false">IF($A726="","",SUMIFS(Timesheet!$F$5:$F$3004,Timesheet!$D$5:$D$3004,$A726,Timesheet!$A$5:$A$3004,"&gt;="&amp;Settings!$B$8,Timesheet!$A$5:$A$3004,"&lt;="&amp;Settings!$B$9))</f>
        <v/>
      </c>
      <c r="G726" s="25" t="str">
        <f aca="false">IF($A726="","",SUMIFS(Timesheet!$G$5:$G$3004,Timesheet!$D$5:$D$3004,$A726,Timesheet!$A$5:$A$3004,"&gt;="&amp;Settings!$B$8,Timesheet!$A$5:$A$3004,"&lt;="&amp;Settings!$B$9))</f>
        <v/>
      </c>
      <c r="H726" s="25" t="str">
        <f aca="false">IF($A726="","",IF(D726="Monthly",MAX(0,Settings!$B$11-E726),0))</f>
        <v/>
      </c>
      <c r="I726" s="26" t="str">
        <f aca="false">IF($A726="","",N(INDEX(Workers!$L$5:$L$2004,MATCH($A726,Workers!$A$5:$A$2004,0))))</f>
        <v/>
      </c>
      <c r="J726" s="26" t="str">
        <f aca="false">IF($A726="","",N(INDEX(Workers!$M$5:$M$2004,MATCH($A726,Workers!$A$5:$A$2004,0))))</f>
        <v/>
      </c>
      <c r="K726" s="26" t="str">
        <f aca="false">IF($A726="","",IF(D726="Monthly",ROUND(MAX(0,(I726+J726)-(I726+J726)/Settings!$B$10*H726),2),0))</f>
        <v/>
      </c>
      <c r="L726" s="26" t="str">
        <f aca="false">IF($A726="","",IF(D726="Hourly",ROUND(F726*N(INDEX(Workers!$N$5:$N$2004,MATCH($A726,Workers!$A$5:$A$2004,0))),2),0))</f>
        <v/>
      </c>
      <c r="M726" s="26" t="str">
        <f aca="false">IF($A726="","",ROUND(G726*IF(D726="Hourly",N(INDEX(Workers!$N$5:$N$2004,MATCH($A726,Workers!$A$5:$A$2004,0))),I726/Settings!$B$10/Settings!$B$12)*Settings!$B$13,2))</f>
        <v/>
      </c>
      <c r="N726" s="26" t="str">
        <f aca="false">IF($A726="","",K726+L726+M726)</f>
        <v/>
      </c>
      <c r="O726" s="26" t="str">
        <f aca="false">IF($A726="","",SUMIFS(Deductions!$D$5:$D$2000,Deductions!$B$5:$B$2000,$A726,Deductions!$C$5:$C$2000,"Advance",Deductions!$E$5:$E$2000,"&gt;="&amp;Settings!$B$8,Deductions!$E$5:$E$2000,"&lt;="&amp;Settings!$B$9))</f>
        <v/>
      </c>
      <c r="P726" s="26" t="str">
        <f aca="false">IF($A726="","",SUMIFS(Deductions!$D$5:$D$2000,Deductions!$B$5:$B$2000,$A726,Deductions!$E$5:$E$2000,"&gt;="&amp;Settings!$B$8,Deductions!$E$5:$E$2000,"&lt;="&amp;Settings!$B$9)-O726)</f>
        <v/>
      </c>
      <c r="Q726" s="26" t="str">
        <f aca="false">IF($A726="","",O726+P726)</f>
        <v/>
      </c>
      <c r="R726" s="23" t="str">
        <f aca="false">IF($A726="","",N726-Q726)</f>
        <v/>
      </c>
      <c r="S726" s="24" t="str">
        <f aca="false">IF($A726="","",INDEX(Workers!$O$5:$O$2004,MATCH($A726,Workers!$A$5:$A$2004,0))&amp;"")</f>
        <v/>
      </c>
      <c r="T726" s="24" t="str">
        <f aca="false">IF($A726="","",INDEX(Workers!$P$5:$P$2004,MATCH($A726,Workers!$A$5:$A$2004,0))&amp;"")</f>
        <v/>
      </c>
      <c r="U726" s="24" t="str">
        <f aca="false">IF($A726="","",INDEX(Workers!$H$5:$H$2004,MATCH($A726,Workers!$A$5:$A$2004,0))&amp;"")</f>
        <v/>
      </c>
    </row>
    <row r="727" customFormat="false" ht="15" hidden="false" customHeight="false" outlineLevel="0" collapsed="false">
      <c r="A727" s="24" t="str">
        <f aca="false">IFERROR(INDEX(Workers!$A$5:$A$2004,MATCH(ROW()-4,Workers!$U$5:$U$2004,0)),"")</f>
        <v/>
      </c>
      <c r="B727" s="24" t="str">
        <f aca="false">IF($A727="","",INDEX(Workers!$B$5:$B$2004,MATCH($A727,Workers!$A$5:$A$2004,0)))</f>
        <v/>
      </c>
      <c r="C727" s="24" t="str">
        <f aca="false">IF($A727="","",INDEX(Workers!$E$5:$E$2004,MATCH($A727,Workers!$A$5:$A$2004,0)))</f>
        <v/>
      </c>
      <c r="D727" s="24" t="str">
        <f aca="false">IF($A727="","",INDEX(Workers!$K$5:$K$2004,MATCH($A727,Workers!$A$5:$A$2004,0)))</f>
        <v/>
      </c>
      <c r="E727" s="25" t="str">
        <f aca="false">IF($A727="","",SUMIFS(Timesheet!$E$5:$E$3004,Timesheet!$D$5:$D$3004,$A727,Timesheet!$A$5:$A$3004,"&gt;="&amp;Settings!$B$8,Timesheet!$A$5:$A$3004,"&lt;="&amp;Settings!$B$9))</f>
        <v/>
      </c>
      <c r="F727" s="25" t="str">
        <f aca="false">IF($A727="","",SUMIFS(Timesheet!$F$5:$F$3004,Timesheet!$D$5:$D$3004,$A727,Timesheet!$A$5:$A$3004,"&gt;="&amp;Settings!$B$8,Timesheet!$A$5:$A$3004,"&lt;="&amp;Settings!$B$9))</f>
        <v/>
      </c>
      <c r="G727" s="25" t="str">
        <f aca="false">IF($A727="","",SUMIFS(Timesheet!$G$5:$G$3004,Timesheet!$D$5:$D$3004,$A727,Timesheet!$A$5:$A$3004,"&gt;="&amp;Settings!$B$8,Timesheet!$A$5:$A$3004,"&lt;="&amp;Settings!$B$9))</f>
        <v/>
      </c>
      <c r="H727" s="25" t="str">
        <f aca="false">IF($A727="","",IF(D727="Monthly",MAX(0,Settings!$B$11-E727),0))</f>
        <v/>
      </c>
      <c r="I727" s="26" t="str">
        <f aca="false">IF($A727="","",N(INDEX(Workers!$L$5:$L$2004,MATCH($A727,Workers!$A$5:$A$2004,0))))</f>
        <v/>
      </c>
      <c r="J727" s="26" t="str">
        <f aca="false">IF($A727="","",N(INDEX(Workers!$M$5:$M$2004,MATCH($A727,Workers!$A$5:$A$2004,0))))</f>
        <v/>
      </c>
      <c r="K727" s="26" t="str">
        <f aca="false">IF($A727="","",IF(D727="Monthly",ROUND(MAX(0,(I727+J727)-(I727+J727)/Settings!$B$10*H727),2),0))</f>
        <v/>
      </c>
      <c r="L727" s="26" t="str">
        <f aca="false">IF($A727="","",IF(D727="Hourly",ROUND(F727*N(INDEX(Workers!$N$5:$N$2004,MATCH($A727,Workers!$A$5:$A$2004,0))),2),0))</f>
        <v/>
      </c>
      <c r="M727" s="26" t="str">
        <f aca="false">IF($A727="","",ROUND(G727*IF(D727="Hourly",N(INDEX(Workers!$N$5:$N$2004,MATCH($A727,Workers!$A$5:$A$2004,0))),I727/Settings!$B$10/Settings!$B$12)*Settings!$B$13,2))</f>
        <v/>
      </c>
      <c r="N727" s="26" t="str">
        <f aca="false">IF($A727="","",K727+L727+M727)</f>
        <v/>
      </c>
      <c r="O727" s="26" t="str">
        <f aca="false">IF($A727="","",SUMIFS(Deductions!$D$5:$D$2000,Deductions!$B$5:$B$2000,$A727,Deductions!$C$5:$C$2000,"Advance",Deductions!$E$5:$E$2000,"&gt;="&amp;Settings!$B$8,Deductions!$E$5:$E$2000,"&lt;="&amp;Settings!$B$9))</f>
        <v/>
      </c>
      <c r="P727" s="26" t="str">
        <f aca="false">IF($A727="","",SUMIFS(Deductions!$D$5:$D$2000,Deductions!$B$5:$B$2000,$A727,Deductions!$E$5:$E$2000,"&gt;="&amp;Settings!$B$8,Deductions!$E$5:$E$2000,"&lt;="&amp;Settings!$B$9)-O727)</f>
        <v/>
      </c>
      <c r="Q727" s="26" t="str">
        <f aca="false">IF($A727="","",O727+P727)</f>
        <v/>
      </c>
      <c r="R727" s="23" t="str">
        <f aca="false">IF($A727="","",N727-Q727)</f>
        <v/>
      </c>
      <c r="S727" s="24" t="str">
        <f aca="false">IF($A727="","",INDEX(Workers!$O$5:$O$2004,MATCH($A727,Workers!$A$5:$A$2004,0))&amp;"")</f>
        <v/>
      </c>
      <c r="T727" s="24" t="str">
        <f aca="false">IF($A727="","",INDEX(Workers!$P$5:$P$2004,MATCH($A727,Workers!$A$5:$A$2004,0))&amp;"")</f>
        <v/>
      </c>
      <c r="U727" s="24" t="str">
        <f aca="false">IF($A727="","",INDEX(Workers!$H$5:$H$2004,MATCH($A727,Workers!$A$5:$A$2004,0))&amp;"")</f>
        <v/>
      </c>
    </row>
    <row r="728" customFormat="false" ht="15" hidden="false" customHeight="false" outlineLevel="0" collapsed="false">
      <c r="A728" s="24" t="str">
        <f aca="false">IFERROR(INDEX(Workers!$A$5:$A$2004,MATCH(ROW()-4,Workers!$U$5:$U$2004,0)),"")</f>
        <v/>
      </c>
      <c r="B728" s="24" t="str">
        <f aca="false">IF($A728="","",INDEX(Workers!$B$5:$B$2004,MATCH($A728,Workers!$A$5:$A$2004,0)))</f>
        <v/>
      </c>
      <c r="C728" s="24" t="str">
        <f aca="false">IF($A728="","",INDEX(Workers!$E$5:$E$2004,MATCH($A728,Workers!$A$5:$A$2004,0)))</f>
        <v/>
      </c>
      <c r="D728" s="24" t="str">
        <f aca="false">IF($A728="","",INDEX(Workers!$K$5:$K$2004,MATCH($A728,Workers!$A$5:$A$2004,0)))</f>
        <v/>
      </c>
      <c r="E728" s="25" t="str">
        <f aca="false">IF($A728="","",SUMIFS(Timesheet!$E$5:$E$3004,Timesheet!$D$5:$D$3004,$A728,Timesheet!$A$5:$A$3004,"&gt;="&amp;Settings!$B$8,Timesheet!$A$5:$A$3004,"&lt;="&amp;Settings!$B$9))</f>
        <v/>
      </c>
      <c r="F728" s="25" t="str">
        <f aca="false">IF($A728="","",SUMIFS(Timesheet!$F$5:$F$3004,Timesheet!$D$5:$D$3004,$A728,Timesheet!$A$5:$A$3004,"&gt;="&amp;Settings!$B$8,Timesheet!$A$5:$A$3004,"&lt;="&amp;Settings!$B$9))</f>
        <v/>
      </c>
      <c r="G728" s="25" t="str">
        <f aca="false">IF($A728="","",SUMIFS(Timesheet!$G$5:$G$3004,Timesheet!$D$5:$D$3004,$A728,Timesheet!$A$5:$A$3004,"&gt;="&amp;Settings!$B$8,Timesheet!$A$5:$A$3004,"&lt;="&amp;Settings!$B$9))</f>
        <v/>
      </c>
      <c r="H728" s="25" t="str">
        <f aca="false">IF($A728="","",IF(D728="Monthly",MAX(0,Settings!$B$11-E728),0))</f>
        <v/>
      </c>
      <c r="I728" s="26" t="str">
        <f aca="false">IF($A728="","",N(INDEX(Workers!$L$5:$L$2004,MATCH($A728,Workers!$A$5:$A$2004,0))))</f>
        <v/>
      </c>
      <c r="J728" s="26" t="str">
        <f aca="false">IF($A728="","",N(INDEX(Workers!$M$5:$M$2004,MATCH($A728,Workers!$A$5:$A$2004,0))))</f>
        <v/>
      </c>
      <c r="K728" s="26" t="str">
        <f aca="false">IF($A728="","",IF(D728="Monthly",ROUND(MAX(0,(I728+J728)-(I728+J728)/Settings!$B$10*H728),2),0))</f>
        <v/>
      </c>
      <c r="L728" s="26" t="str">
        <f aca="false">IF($A728="","",IF(D728="Hourly",ROUND(F728*N(INDEX(Workers!$N$5:$N$2004,MATCH($A728,Workers!$A$5:$A$2004,0))),2),0))</f>
        <v/>
      </c>
      <c r="M728" s="26" t="str">
        <f aca="false">IF($A728="","",ROUND(G728*IF(D728="Hourly",N(INDEX(Workers!$N$5:$N$2004,MATCH($A728,Workers!$A$5:$A$2004,0))),I728/Settings!$B$10/Settings!$B$12)*Settings!$B$13,2))</f>
        <v/>
      </c>
      <c r="N728" s="26" t="str">
        <f aca="false">IF($A728="","",K728+L728+M728)</f>
        <v/>
      </c>
      <c r="O728" s="26" t="str">
        <f aca="false">IF($A728="","",SUMIFS(Deductions!$D$5:$D$2000,Deductions!$B$5:$B$2000,$A728,Deductions!$C$5:$C$2000,"Advance",Deductions!$E$5:$E$2000,"&gt;="&amp;Settings!$B$8,Deductions!$E$5:$E$2000,"&lt;="&amp;Settings!$B$9))</f>
        <v/>
      </c>
      <c r="P728" s="26" t="str">
        <f aca="false">IF($A728="","",SUMIFS(Deductions!$D$5:$D$2000,Deductions!$B$5:$B$2000,$A728,Deductions!$E$5:$E$2000,"&gt;="&amp;Settings!$B$8,Deductions!$E$5:$E$2000,"&lt;="&amp;Settings!$B$9)-O728)</f>
        <v/>
      </c>
      <c r="Q728" s="26" t="str">
        <f aca="false">IF($A728="","",O728+P728)</f>
        <v/>
      </c>
      <c r="R728" s="23" t="str">
        <f aca="false">IF($A728="","",N728-Q728)</f>
        <v/>
      </c>
      <c r="S728" s="24" t="str">
        <f aca="false">IF($A728="","",INDEX(Workers!$O$5:$O$2004,MATCH($A728,Workers!$A$5:$A$2004,0))&amp;"")</f>
        <v/>
      </c>
      <c r="T728" s="24" t="str">
        <f aca="false">IF($A728="","",INDEX(Workers!$P$5:$P$2004,MATCH($A728,Workers!$A$5:$A$2004,0))&amp;"")</f>
        <v/>
      </c>
      <c r="U728" s="24" t="str">
        <f aca="false">IF($A728="","",INDEX(Workers!$H$5:$H$2004,MATCH($A728,Workers!$A$5:$A$2004,0))&amp;"")</f>
        <v/>
      </c>
    </row>
    <row r="729" customFormat="false" ht="15" hidden="false" customHeight="false" outlineLevel="0" collapsed="false">
      <c r="A729" s="24" t="str">
        <f aca="false">IFERROR(INDEX(Workers!$A$5:$A$2004,MATCH(ROW()-4,Workers!$U$5:$U$2004,0)),"")</f>
        <v/>
      </c>
      <c r="B729" s="24" t="str">
        <f aca="false">IF($A729="","",INDEX(Workers!$B$5:$B$2004,MATCH($A729,Workers!$A$5:$A$2004,0)))</f>
        <v/>
      </c>
      <c r="C729" s="24" t="str">
        <f aca="false">IF($A729="","",INDEX(Workers!$E$5:$E$2004,MATCH($A729,Workers!$A$5:$A$2004,0)))</f>
        <v/>
      </c>
      <c r="D729" s="24" t="str">
        <f aca="false">IF($A729="","",INDEX(Workers!$K$5:$K$2004,MATCH($A729,Workers!$A$5:$A$2004,0)))</f>
        <v/>
      </c>
      <c r="E729" s="25" t="str">
        <f aca="false">IF($A729="","",SUMIFS(Timesheet!$E$5:$E$3004,Timesheet!$D$5:$D$3004,$A729,Timesheet!$A$5:$A$3004,"&gt;="&amp;Settings!$B$8,Timesheet!$A$5:$A$3004,"&lt;="&amp;Settings!$B$9))</f>
        <v/>
      </c>
      <c r="F729" s="25" t="str">
        <f aca="false">IF($A729="","",SUMIFS(Timesheet!$F$5:$F$3004,Timesheet!$D$5:$D$3004,$A729,Timesheet!$A$5:$A$3004,"&gt;="&amp;Settings!$B$8,Timesheet!$A$5:$A$3004,"&lt;="&amp;Settings!$B$9))</f>
        <v/>
      </c>
      <c r="G729" s="25" t="str">
        <f aca="false">IF($A729="","",SUMIFS(Timesheet!$G$5:$G$3004,Timesheet!$D$5:$D$3004,$A729,Timesheet!$A$5:$A$3004,"&gt;="&amp;Settings!$B$8,Timesheet!$A$5:$A$3004,"&lt;="&amp;Settings!$B$9))</f>
        <v/>
      </c>
      <c r="H729" s="25" t="str">
        <f aca="false">IF($A729="","",IF(D729="Monthly",MAX(0,Settings!$B$11-E729),0))</f>
        <v/>
      </c>
      <c r="I729" s="26" t="str">
        <f aca="false">IF($A729="","",N(INDEX(Workers!$L$5:$L$2004,MATCH($A729,Workers!$A$5:$A$2004,0))))</f>
        <v/>
      </c>
      <c r="J729" s="26" t="str">
        <f aca="false">IF($A729="","",N(INDEX(Workers!$M$5:$M$2004,MATCH($A729,Workers!$A$5:$A$2004,0))))</f>
        <v/>
      </c>
      <c r="K729" s="26" t="str">
        <f aca="false">IF($A729="","",IF(D729="Monthly",ROUND(MAX(0,(I729+J729)-(I729+J729)/Settings!$B$10*H729),2),0))</f>
        <v/>
      </c>
      <c r="L729" s="26" t="str">
        <f aca="false">IF($A729="","",IF(D729="Hourly",ROUND(F729*N(INDEX(Workers!$N$5:$N$2004,MATCH($A729,Workers!$A$5:$A$2004,0))),2),0))</f>
        <v/>
      </c>
      <c r="M729" s="26" t="str">
        <f aca="false">IF($A729="","",ROUND(G729*IF(D729="Hourly",N(INDEX(Workers!$N$5:$N$2004,MATCH($A729,Workers!$A$5:$A$2004,0))),I729/Settings!$B$10/Settings!$B$12)*Settings!$B$13,2))</f>
        <v/>
      </c>
      <c r="N729" s="26" t="str">
        <f aca="false">IF($A729="","",K729+L729+M729)</f>
        <v/>
      </c>
      <c r="O729" s="26" t="str">
        <f aca="false">IF($A729="","",SUMIFS(Deductions!$D$5:$D$2000,Deductions!$B$5:$B$2000,$A729,Deductions!$C$5:$C$2000,"Advance",Deductions!$E$5:$E$2000,"&gt;="&amp;Settings!$B$8,Deductions!$E$5:$E$2000,"&lt;="&amp;Settings!$B$9))</f>
        <v/>
      </c>
      <c r="P729" s="26" t="str">
        <f aca="false">IF($A729="","",SUMIFS(Deductions!$D$5:$D$2000,Deductions!$B$5:$B$2000,$A729,Deductions!$E$5:$E$2000,"&gt;="&amp;Settings!$B$8,Deductions!$E$5:$E$2000,"&lt;="&amp;Settings!$B$9)-O729)</f>
        <v/>
      </c>
      <c r="Q729" s="26" t="str">
        <f aca="false">IF($A729="","",O729+P729)</f>
        <v/>
      </c>
      <c r="R729" s="23" t="str">
        <f aca="false">IF($A729="","",N729-Q729)</f>
        <v/>
      </c>
      <c r="S729" s="24" t="str">
        <f aca="false">IF($A729="","",INDEX(Workers!$O$5:$O$2004,MATCH($A729,Workers!$A$5:$A$2004,0))&amp;"")</f>
        <v/>
      </c>
      <c r="T729" s="24" t="str">
        <f aca="false">IF($A729="","",INDEX(Workers!$P$5:$P$2004,MATCH($A729,Workers!$A$5:$A$2004,0))&amp;"")</f>
        <v/>
      </c>
      <c r="U729" s="24" t="str">
        <f aca="false">IF($A729="","",INDEX(Workers!$H$5:$H$2004,MATCH($A729,Workers!$A$5:$A$2004,0))&amp;"")</f>
        <v/>
      </c>
    </row>
    <row r="730" customFormat="false" ht="15" hidden="false" customHeight="false" outlineLevel="0" collapsed="false">
      <c r="A730" s="24" t="str">
        <f aca="false">IFERROR(INDEX(Workers!$A$5:$A$2004,MATCH(ROW()-4,Workers!$U$5:$U$2004,0)),"")</f>
        <v/>
      </c>
      <c r="B730" s="24" t="str">
        <f aca="false">IF($A730="","",INDEX(Workers!$B$5:$B$2004,MATCH($A730,Workers!$A$5:$A$2004,0)))</f>
        <v/>
      </c>
      <c r="C730" s="24" t="str">
        <f aca="false">IF($A730="","",INDEX(Workers!$E$5:$E$2004,MATCH($A730,Workers!$A$5:$A$2004,0)))</f>
        <v/>
      </c>
      <c r="D730" s="24" t="str">
        <f aca="false">IF($A730="","",INDEX(Workers!$K$5:$K$2004,MATCH($A730,Workers!$A$5:$A$2004,0)))</f>
        <v/>
      </c>
      <c r="E730" s="25" t="str">
        <f aca="false">IF($A730="","",SUMIFS(Timesheet!$E$5:$E$3004,Timesheet!$D$5:$D$3004,$A730,Timesheet!$A$5:$A$3004,"&gt;="&amp;Settings!$B$8,Timesheet!$A$5:$A$3004,"&lt;="&amp;Settings!$B$9))</f>
        <v/>
      </c>
      <c r="F730" s="25" t="str">
        <f aca="false">IF($A730="","",SUMIFS(Timesheet!$F$5:$F$3004,Timesheet!$D$5:$D$3004,$A730,Timesheet!$A$5:$A$3004,"&gt;="&amp;Settings!$B$8,Timesheet!$A$5:$A$3004,"&lt;="&amp;Settings!$B$9))</f>
        <v/>
      </c>
      <c r="G730" s="25" t="str">
        <f aca="false">IF($A730="","",SUMIFS(Timesheet!$G$5:$G$3004,Timesheet!$D$5:$D$3004,$A730,Timesheet!$A$5:$A$3004,"&gt;="&amp;Settings!$B$8,Timesheet!$A$5:$A$3004,"&lt;="&amp;Settings!$B$9))</f>
        <v/>
      </c>
      <c r="H730" s="25" t="str">
        <f aca="false">IF($A730="","",IF(D730="Monthly",MAX(0,Settings!$B$11-E730),0))</f>
        <v/>
      </c>
      <c r="I730" s="26" t="str">
        <f aca="false">IF($A730="","",N(INDEX(Workers!$L$5:$L$2004,MATCH($A730,Workers!$A$5:$A$2004,0))))</f>
        <v/>
      </c>
      <c r="J730" s="26" t="str">
        <f aca="false">IF($A730="","",N(INDEX(Workers!$M$5:$M$2004,MATCH($A730,Workers!$A$5:$A$2004,0))))</f>
        <v/>
      </c>
      <c r="K730" s="26" t="str">
        <f aca="false">IF($A730="","",IF(D730="Monthly",ROUND(MAX(0,(I730+J730)-(I730+J730)/Settings!$B$10*H730),2),0))</f>
        <v/>
      </c>
      <c r="L730" s="26" t="str">
        <f aca="false">IF($A730="","",IF(D730="Hourly",ROUND(F730*N(INDEX(Workers!$N$5:$N$2004,MATCH($A730,Workers!$A$5:$A$2004,0))),2),0))</f>
        <v/>
      </c>
      <c r="M730" s="26" t="str">
        <f aca="false">IF($A730="","",ROUND(G730*IF(D730="Hourly",N(INDEX(Workers!$N$5:$N$2004,MATCH($A730,Workers!$A$5:$A$2004,0))),I730/Settings!$B$10/Settings!$B$12)*Settings!$B$13,2))</f>
        <v/>
      </c>
      <c r="N730" s="26" t="str">
        <f aca="false">IF($A730="","",K730+L730+M730)</f>
        <v/>
      </c>
      <c r="O730" s="26" t="str">
        <f aca="false">IF($A730="","",SUMIFS(Deductions!$D$5:$D$2000,Deductions!$B$5:$B$2000,$A730,Deductions!$C$5:$C$2000,"Advance",Deductions!$E$5:$E$2000,"&gt;="&amp;Settings!$B$8,Deductions!$E$5:$E$2000,"&lt;="&amp;Settings!$B$9))</f>
        <v/>
      </c>
      <c r="P730" s="26" t="str">
        <f aca="false">IF($A730="","",SUMIFS(Deductions!$D$5:$D$2000,Deductions!$B$5:$B$2000,$A730,Deductions!$E$5:$E$2000,"&gt;="&amp;Settings!$B$8,Deductions!$E$5:$E$2000,"&lt;="&amp;Settings!$B$9)-O730)</f>
        <v/>
      </c>
      <c r="Q730" s="26" t="str">
        <f aca="false">IF($A730="","",O730+P730)</f>
        <v/>
      </c>
      <c r="R730" s="23" t="str">
        <f aca="false">IF($A730="","",N730-Q730)</f>
        <v/>
      </c>
      <c r="S730" s="24" t="str">
        <f aca="false">IF($A730="","",INDEX(Workers!$O$5:$O$2004,MATCH($A730,Workers!$A$5:$A$2004,0))&amp;"")</f>
        <v/>
      </c>
      <c r="T730" s="24" t="str">
        <f aca="false">IF($A730="","",INDEX(Workers!$P$5:$P$2004,MATCH($A730,Workers!$A$5:$A$2004,0))&amp;"")</f>
        <v/>
      </c>
      <c r="U730" s="24" t="str">
        <f aca="false">IF($A730="","",INDEX(Workers!$H$5:$H$2004,MATCH($A730,Workers!$A$5:$A$2004,0))&amp;"")</f>
        <v/>
      </c>
    </row>
    <row r="731" customFormat="false" ht="15" hidden="false" customHeight="false" outlineLevel="0" collapsed="false">
      <c r="A731" s="24" t="str">
        <f aca="false">IFERROR(INDEX(Workers!$A$5:$A$2004,MATCH(ROW()-4,Workers!$U$5:$U$2004,0)),"")</f>
        <v/>
      </c>
      <c r="B731" s="24" t="str">
        <f aca="false">IF($A731="","",INDEX(Workers!$B$5:$B$2004,MATCH($A731,Workers!$A$5:$A$2004,0)))</f>
        <v/>
      </c>
      <c r="C731" s="24" t="str">
        <f aca="false">IF($A731="","",INDEX(Workers!$E$5:$E$2004,MATCH($A731,Workers!$A$5:$A$2004,0)))</f>
        <v/>
      </c>
      <c r="D731" s="24" t="str">
        <f aca="false">IF($A731="","",INDEX(Workers!$K$5:$K$2004,MATCH($A731,Workers!$A$5:$A$2004,0)))</f>
        <v/>
      </c>
      <c r="E731" s="25" t="str">
        <f aca="false">IF($A731="","",SUMIFS(Timesheet!$E$5:$E$3004,Timesheet!$D$5:$D$3004,$A731,Timesheet!$A$5:$A$3004,"&gt;="&amp;Settings!$B$8,Timesheet!$A$5:$A$3004,"&lt;="&amp;Settings!$B$9))</f>
        <v/>
      </c>
      <c r="F731" s="25" t="str">
        <f aca="false">IF($A731="","",SUMIFS(Timesheet!$F$5:$F$3004,Timesheet!$D$5:$D$3004,$A731,Timesheet!$A$5:$A$3004,"&gt;="&amp;Settings!$B$8,Timesheet!$A$5:$A$3004,"&lt;="&amp;Settings!$B$9))</f>
        <v/>
      </c>
      <c r="G731" s="25" t="str">
        <f aca="false">IF($A731="","",SUMIFS(Timesheet!$G$5:$G$3004,Timesheet!$D$5:$D$3004,$A731,Timesheet!$A$5:$A$3004,"&gt;="&amp;Settings!$B$8,Timesheet!$A$5:$A$3004,"&lt;="&amp;Settings!$B$9))</f>
        <v/>
      </c>
      <c r="H731" s="25" t="str">
        <f aca="false">IF($A731="","",IF(D731="Monthly",MAX(0,Settings!$B$11-E731),0))</f>
        <v/>
      </c>
      <c r="I731" s="26" t="str">
        <f aca="false">IF($A731="","",N(INDEX(Workers!$L$5:$L$2004,MATCH($A731,Workers!$A$5:$A$2004,0))))</f>
        <v/>
      </c>
      <c r="J731" s="26" t="str">
        <f aca="false">IF($A731="","",N(INDEX(Workers!$M$5:$M$2004,MATCH($A731,Workers!$A$5:$A$2004,0))))</f>
        <v/>
      </c>
      <c r="K731" s="26" t="str">
        <f aca="false">IF($A731="","",IF(D731="Monthly",ROUND(MAX(0,(I731+J731)-(I731+J731)/Settings!$B$10*H731),2),0))</f>
        <v/>
      </c>
      <c r="L731" s="26" t="str">
        <f aca="false">IF($A731="","",IF(D731="Hourly",ROUND(F731*N(INDEX(Workers!$N$5:$N$2004,MATCH($A731,Workers!$A$5:$A$2004,0))),2),0))</f>
        <v/>
      </c>
      <c r="M731" s="26" t="str">
        <f aca="false">IF($A731="","",ROUND(G731*IF(D731="Hourly",N(INDEX(Workers!$N$5:$N$2004,MATCH($A731,Workers!$A$5:$A$2004,0))),I731/Settings!$B$10/Settings!$B$12)*Settings!$B$13,2))</f>
        <v/>
      </c>
      <c r="N731" s="26" t="str">
        <f aca="false">IF($A731="","",K731+L731+M731)</f>
        <v/>
      </c>
      <c r="O731" s="26" t="str">
        <f aca="false">IF($A731="","",SUMIFS(Deductions!$D$5:$D$2000,Deductions!$B$5:$B$2000,$A731,Deductions!$C$5:$C$2000,"Advance",Deductions!$E$5:$E$2000,"&gt;="&amp;Settings!$B$8,Deductions!$E$5:$E$2000,"&lt;="&amp;Settings!$B$9))</f>
        <v/>
      </c>
      <c r="P731" s="26" t="str">
        <f aca="false">IF($A731="","",SUMIFS(Deductions!$D$5:$D$2000,Deductions!$B$5:$B$2000,$A731,Deductions!$E$5:$E$2000,"&gt;="&amp;Settings!$B$8,Deductions!$E$5:$E$2000,"&lt;="&amp;Settings!$B$9)-O731)</f>
        <v/>
      </c>
      <c r="Q731" s="26" t="str">
        <f aca="false">IF($A731="","",O731+P731)</f>
        <v/>
      </c>
      <c r="R731" s="23" t="str">
        <f aca="false">IF($A731="","",N731-Q731)</f>
        <v/>
      </c>
      <c r="S731" s="24" t="str">
        <f aca="false">IF($A731="","",INDEX(Workers!$O$5:$O$2004,MATCH($A731,Workers!$A$5:$A$2004,0))&amp;"")</f>
        <v/>
      </c>
      <c r="T731" s="24" t="str">
        <f aca="false">IF($A731="","",INDEX(Workers!$P$5:$P$2004,MATCH($A731,Workers!$A$5:$A$2004,0))&amp;"")</f>
        <v/>
      </c>
      <c r="U731" s="24" t="str">
        <f aca="false">IF($A731="","",INDEX(Workers!$H$5:$H$2004,MATCH($A731,Workers!$A$5:$A$2004,0))&amp;"")</f>
        <v/>
      </c>
    </row>
    <row r="732" customFormat="false" ht="15" hidden="false" customHeight="false" outlineLevel="0" collapsed="false">
      <c r="A732" s="24" t="str">
        <f aca="false">IFERROR(INDEX(Workers!$A$5:$A$2004,MATCH(ROW()-4,Workers!$U$5:$U$2004,0)),"")</f>
        <v/>
      </c>
      <c r="B732" s="24" t="str">
        <f aca="false">IF($A732="","",INDEX(Workers!$B$5:$B$2004,MATCH($A732,Workers!$A$5:$A$2004,0)))</f>
        <v/>
      </c>
      <c r="C732" s="24" t="str">
        <f aca="false">IF($A732="","",INDEX(Workers!$E$5:$E$2004,MATCH($A732,Workers!$A$5:$A$2004,0)))</f>
        <v/>
      </c>
      <c r="D732" s="24" t="str">
        <f aca="false">IF($A732="","",INDEX(Workers!$K$5:$K$2004,MATCH($A732,Workers!$A$5:$A$2004,0)))</f>
        <v/>
      </c>
      <c r="E732" s="25" t="str">
        <f aca="false">IF($A732="","",SUMIFS(Timesheet!$E$5:$E$3004,Timesheet!$D$5:$D$3004,$A732,Timesheet!$A$5:$A$3004,"&gt;="&amp;Settings!$B$8,Timesheet!$A$5:$A$3004,"&lt;="&amp;Settings!$B$9))</f>
        <v/>
      </c>
      <c r="F732" s="25" t="str">
        <f aca="false">IF($A732="","",SUMIFS(Timesheet!$F$5:$F$3004,Timesheet!$D$5:$D$3004,$A732,Timesheet!$A$5:$A$3004,"&gt;="&amp;Settings!$B$8,Timesheet!$A$5:$A$3004,"&lt;="&amp;Settings!$B$9))</f>
        <v/>
      </c>
      <c r="G732" s="25" t="str">
        <f aca="false">IF($A732="","",SUMIFS(Timesheet!$G$5:$G$3004,Timesheet!$D$5:$D$3004,$A732,Timesheet!$A$5:$A$3004,"&gt;="&amp;Settings!$B$8,Timesheet!$A$5:$A$3004,"&lt;="&amp;Settings!$B$9))</f>
        <v/>
      </c>
      <c r="H732" s="25" t="str">
        <f aca="false">IF($A732="","",IF(D732="Monthly",MAX(0,Settings!$B$11-E732),0))</f>
        <v/>
      </c>
      <c r="I732" s="26" t="str">
        <f aca="false">IF($A732="","",N(INDEX(Workers!$L$5:$L$2004,MATCH($A732,Workers!$A$5:$A$2004,0))))</f>
        <v/>
      </c>
      <c r="J732" s="26" t="str">
        <f aca="false">IF($A732="","",N(INDEX(Workers!$M$5:$M$2004,MATCH($A732,Workers!$A$5:$A$2004,0))))</f>
        <v/>
      </c>
      <c r="K732" s="26" t="str">
        <f aca="false">IF($A732="","",IF(D732="Monthly",ROUND(MAX(0,(I732+J732)-(I732+J732)/Settings!$B$10*H732),2),0))</f>
        <v/>
      </c>
      <c r="L732" s="26" t="str">
        <f aca="false">IF($A732="","",IF(D732="Hourly",ROUND(F732*N(INDEX(Workers!$N$5:$N$2004,MATCH($A732,Workers!$A$5:$A$2004,0))),2),0))</f>
        <v/>
      </c>
      <c r="M732" s="26" t="str">
        <f aca="false">IF($A732="","",ROUND(G732*IF(D732="Hourly",N(INDEX(Workers!$N$5:$N$2004,MATCH($A732,Workers!$A$5:$A$2004,0))),I732/Settings!$B$10/Settings!$B$12)*Settings!$B$13,2))</f>
        <v/>
      </c>
      <c r="N732" s="26" t="str">
        <f aca="false">IF($A732="","",K732+L732+M732)</f>
        <v/>
      </c>
      <c r="O732" s="26" t="str">
        <f aca="false">IF($A732="","",SUMIFS(Deductions!$D$5:$D$2000,Deductions!$B$5:$B$2000,$A732,Deductions!$C$5:$C$2000,"Advance",Deductions!$E$5:$E$2000,"&gt;="&amp;Settings!$B$8,Deductions!$E$5:$E$2000,"&lt;="&amp;Settings!$B$9))</f>
        <v/>
      </c>
      <c r="P732" s="26" t="str">
        <f aca="false">IF($A732="","",SUMIFS(Deductions!$D$5:$D$2000,Deductions!$B$5:$B$2000,$A732,Deductions!$E$5:$E$2000,"&gt;="&amp;Settings!$B$8,Deductions!$E$5:$E$2000,"&lt;="&amp;Settings!$B$9)-O732)</f>
        <v/>
      </c>
      <c r="Q732" s="26" t="str">
        <f aca="false">IF($A732="","",O732+P732)</f>
        <v/>
      </c>
      <c r="R732" s="23" t="str">
        <f aca="false">IF($A732="","",N732-Q732)</f>
        <v/>
      </c>
      <c r="S732" s="24" t="str">
        <f aca="false">IF($A732="","",INDEX(Workers!$O$5:$O$2004,MATCH($A732,Workers!$A$5:$A$2004,0))&amp;"")</f>
        <v/>
      </c>
      <c r="T732" s="24" t="str">
        <f aca="false">IF($A732="","",INDEX(Workers!$P$5:$P$2004,MATCH($A732,Workers!$A$5:$A$2004,0))&amp;"")</f>
        <v/>
      </c>
      <c r="U732" s="24" t="str">
        <f aca="false">IF($A732="","",INDEX(Workers!$H$5:$H$2004,MATCH($A732,Workers!$A$5:$A$2004,0))&amp;"")</f>
        <v/>
      </c>
    </row>
    <row r="733" customFormat="false" ht="15" hidden="false" customHeight="false" outlineLevel="0" collapsed="false">
      <c r="A733" s="24" t="str">
        <f aca="false">IFERROR(INDEX(Workers!$A$5:$A$2004,MATCH(ROW()-4,Workers!$U$5:$U$2004,0)),"")</f>
        <v/>
      </c>
      <c r="B733" s="24" t="str">
        <f aca="false">IF($A733="","",INDEX(Workers!$B$5:$B$2004,MATCH($A733,Workers!$A$5:$A$2004,0)))</f>
        <v/>
      </c>
      <c r="C733" s="24" t="str">
        <f aca="false">IF($A733="","",INDEX(Workers!$E$5:$E$2004,MATCH($A733,Workers!$A$5:$A$2004,0)))</f>
        <v/>
      </c>
      <c r="D733" s="24" t="str">
        <f aca="false">IF($A733="","",INDEX(Workers!$K$5:$K$2004,MATCH($A733,Workers!$A$5:$A$2004,0)))</f>
        <v/>
      </c>
      <c r="E733" s="25" t="str">
        <f aca="false">IF($A733="","",SUMIFS(Timesheet!$E$5:$E$3004,Timesheet!$D$5:$D$3004,$A733,Timesheet!$A$5:$A$3004,"&gt;="&amp;Settings!$B$8,Timesheet!$A$5:$A$3004,"&lt;="&amp;Settings!$B$9))</f>
        <v/>
      </c>
      <c r="F733" s="25" t="str">
        <f aca="false">IF($A733="","",SUMIFS(Timesheet!$F$5:$F$3004,Timesheet!$D$5:$D$3004,$A733,Timesheet!$A$5:$A$3004,"&gt;="&amp;Settings!$B$8,Timesheet!$A$5:$A$3004,"&lt;="&amp;Settings!$B$9))</f>
        <v/>
      </c>
      <c r="G733" s="25" t="str">
        <f aca="false">IF($A733="","",SUMIFS(Timesheet!$G$5:$G$3004,Timesheet!$D$5:$D$3004,$A733,Timesheet!$A$5:$A$3004,"&gt;="&amp;Settings!$B$8,Timesheet!$A$5:$A$3004,"&lt;="&amp;Settings!$B$9))</f>
        <v/>
      </c>
      <c r="H733" s="25" t="str">
        <f aca="false">IF($A733="","",IF(D733="Monthly",MAX(0,Settings!$B$11-E733),0))</f>
        <v/>
      </c>
      <c r="I733" s="26" t="str">
        <f aca="false">IF($A733="","",N(INDEX(Workers!$L$5:$L$2004,MATCH($A733,Workers!$A$5:$A$2004,0))))</f>
        <v/>
      </c>
      <c r="J733" s="26" t="str">
        <f aca="false">IF($A733="","",N(INDEX(Workers!$M$5:$M$2004,MATCH($A733,Workers!$A$5:$A$2004,0))))</f>
        <v/>
      </c>
      <c r="K733" s="26" t="str">
        <f aca="false">IF($A733="","",IF(D733="Monthly",ROUND(MAX(0,(I733+J733)-(I733+J733)/Settings!$B$10*H733),2),0))</f>
        <v/>
      </c>
      <c r="L733" s="26" t="str">
        <f aca="false">IF($A733="","",IF(D733="Hourly",ROUND(F733*N(INDEX(Workers!$N$5:$N$2004,MATCH($A733,Workers!$A$5:$A$2004,0))),2),0))</f>
        <v/>
      </c>
      <c r="M733" s="26" t="str">
        <f aca="false">IF($A733="","",ROUND(G733*IF(D733="Hourly",N(INDEX(Workers!$N$5:$N$2004,MATCH($A733,Workers!$A$5:$A$2004,0))),I733/Settings!$B$10/Settings!$B$12)*Settings!$B$13,2))</f>
        <v/>
      </c>
      <c r="N733" s="26" t="str">
        <f aca="false">IF($A733="","",K733+L733+M733)</f>
        <v/>
      </c>
      <c r="O733" s="26" t="str">
        <f aca="false">IF($A733="","",SUMIFS(Deductions!$D$5:$D$2000,Deductions!$B$5:$B$2000,$A733,Deductions!$C$5:$C$2000,"Advance",Deductions!$E$5:$E$2000,"&gt;="&amp;Settings!$B$8,Deductions!$E$5:$E$2000,"&lt;="&amp;Settings!$B$9))</f>
        <v/>
      </c>
      <c r="P733" s="26" t="str">
        <f aca="false">IF($A733="","",SUMIFS(Deductions!$D$5:$D$2000,Deductions!$B$5:$B$2000,$A733,Deductions!$E$5:$E$2000,"&gt;="&amp;Settings!$B$8,Deductions!$E$5:$E$2000,"&lt;="&amp;Settings!$B$9)-O733)</f>
        <v/>
      </c>
      <c r="Q733" s="26" t="str">
        <f aca="false">IF($A733="","",O733+P733)</f>
        <v/>
      </c>
      <c r="R733" s="23" t="str">
        <f aca="false">IF($A733="","",N733-Q733)</f>
        <v/>
      </c>
      <c r="S733" s="24" t="str">
        <f aca="false">IF($A733="","",INDEX(Workers!$O$5:$O$2004,MATCH($A733,Workers!$A$5:$A$2004,0))&amp;"")</f>
        <v/>
      </c>
      <c r="T733" s="24" t="str">
        <f aca="false">IF($A733="","",INDEX(Workers!$P$5:$P$2004,MATCH($A733,Workers!$A$5:$A$2004,0))&amp;"")</f>
        <v/>
      </c>
      <c r="U733" s="24" t="str">
        <f aca="false">IF($A733="","",INDEX(Workers!$H$5:$H$2004,MATCH($A733,Workers!$A$5:$A$2004,0))&amp;"")</f>
        <v/>
      </c>
    </row>
    <row r="734" customFormat="false" ht="15" hidden="false" customHeight="false" outlineLevel="0" collapsed="false">
      <c r="A734" s="24" t="str">
        <f aca="false">IFERROR(INDEX(Workers!$A$5:$A$2004,MATCH(ROW()-4,Workers!$U$5:$U$2004,0)),"")</f>
        <v/>
      </c>
      <c r="B734" s="24" t="str">
        <f aca="false">IF($A734="","",INDEX(Workers!$B$5:$B$2004,MATCH($A734,Workers!$A$5:$A$2004,0)))</f>
        <v/>
      </c>
      <c r="C734" s="24" t="str">
        <f aca="false">IF($A734="","",INDEX(Workers!$E$5:$E$2004,MATCH($A734,Workers!$A$5:$A$2004,0)))</f>
        <v/>
      </c>
      <c r="D734" s="24" t="str">
        <f aca="false">IF($A734="","",INDEX(Workers!$K$5:$K$2004,MATCH($A734,Workers!$A$5:$A$2004,0)))</f>
        <v/>
      </c>
      <c r="E734" s="25" t="str">
        <f aca="false">IF($A734="","",SUMIFS(Timesheet!$E$5:$E$3004,Timesheet!$D$5:$D$3004,$A734,Timesheet!$A$5:$A$3004,"&gt;="&amp;Settings!$B$8,Timesheet!$A$5:$A$3004,"&lt;="&amp;Settings!$B$9))</f>
        <v/>
      </c>
      <c r="F734" s="25" t="str">
        <f aca="false">IF($A734="","",SUMIFS(Timesheet!$F$5:$F$3004,Timesheet!$D$5:$D$3004,$A734,Timesheet!$A$5:$A$3004,"&gt;="&amp;Settings!$B$8,Timesheet!$A$5:$A$3004,"&lt;="&amp;Settings!$B$9))</f>
        <v/>
      </c>
      <c r="G734" s="25" t="str">
        <f aca="false">IF($A734="","",SUMIFS(Timesheet!$G$5:$G$3004,Timesheet!$D$5:$D$3004,$A734,Timesheet!$A$5:$A$3004,"&gt;="&amp;Settings!$B$8,Timesheet!$A$5:$A$3004,"&lt;="&amp;Settings!$B$9))</f>
        <v/>
      </c>
      <c r="H734" s="25" t="str">
        <f aca="false">IF($A734="","",IF(D734="Monthly",MAX(0,Settings!$B$11-E734),0))</f>
        <v/>
      </c>
      <c r="I734" s="26" t="str">
        <f aca="false">IF($A734="","",N(INDEX(Workers!$L$5:$L$2004,MATCH($A734,Workers!$A$5:$A$2004,0))))</f>
        <v/>
      </c>
      <c r="J734" s="26" t="str">
        <f aca="false">IF($A734="","",N(INDEX(Workers!$M$5:$M$2004,MATCH($A734,Workers!$A$5:$A$2004,0))))</f>
        <v/>
      </c>
      <c r="K734" s="26" t="str">
        <f aca="false">IF($A734="","",IF(D734="Monthly",ROUND(MAX(0,(I734+J734)-(I734+J734)/Settings!$B$10*H734),2),0))</f>
        <v/>
      </c>
      <c r="L734" s="26" t="str">
        <f aca="false">IF($A734="","",IF(D734="Hourly",ROUND(F734*N(INDEX(Workers!$N$5:$N$2004,MATCH($A734,Workers!$A$5:$A$2004,0))),2),0))</f>
        <v/>
      </c>
      <c r="M734" s="26" t="str">
        <f aca="false">IF($A734="","",ROUND(G734*IF(D734="Hourly",N(INDEX(Workers!$N$5:$N$2004,MATCH($A734,Workers!$A$5:$A$2004,0))),I734/Settings!$B$10/Settings!$B$12)*Settings!$B$13,2))</f>
        <v/>
      </c>
      <c r="N734" s="26" t="str">
        <f aca="false">IF($A734="","",K734+L734+M734)</f>
        <v/>
      </c>
      <c r="O734" s="26" t="str">
        <f aca="false">IF($A734="","",SUMIFS(Deductions!$D$5:$D$2000,Deductions!$B$5:$B$2000,$A734,Deductions!$C$5:$C$2000,"Advance",Deductions!$E$5:$E$2000,"&gt;="&amp;Settings!$B$8,Deductions!$E$5:$E$2000,"&lt;="&amp;Settings!$B$9))</f>
        <v/>
      </c>
      <c r="P734" s="26" t="str">
        <f aca="false">IF($A734="","",SUMIFS(Deductions!$D$5:$D$2000,Deductions!$B$5:$B$2000,$A734,Deductions!$E$5:$E$2000,"&gt;="&amp;Settings!$B$8,Deductions!$E$5:$E$2000,"&lt;="&amp;Settings!$B$9)-O734)</f>
        <v/>
      </c>
      <c r="Q734" s="26" t="str">
        <f aca="false">IF($A734="","",O734+P734)</f>
        <v/>
      </c>
      <c r="R734" s="23" t="str">
        <f aca="false">IF($A734="","",N734-Q734)</f>
        <v/>
      </c>
      <c r="S734" s="24" t="str">
        <f aca="false">IF($A734="","",INDEX(Workers!$O$5:$O$2004,MATCH($A734,Workers!$A$5:$A$2004,0))&amp;"")</f>
        <v/>
      </c>
      <c r="T734" s="24" t="str">
        <f aca="false">IF($A734="","",INDEX(Workers!$P$5:$P$2004,MATCH($A734,Workers!$A$5:$A$2004,0))&amp;"")</f>
        <v/>
      </c>
      <c r="U734" s="24" t="str">
        <f aca="false">IF($A734="","",INDEX(Workers!$H$5:$H$2004,MATCH($A734,Workers!$A$5:$A$2004,0))&amp;"")</f>
        <v/>
      </c>
    </row>
    <row r="735" customFormat="false" ht="15" hidden="false" customHeight="false" outlineLevel="0" collapsed="false">
      <c r="A735" s="24" t="str">
        <f aca="false">IFERROR(INDEX(Workers!$A$5:$A$2004,MATCH(ROW()-4,Workers!$U$5:$U$2004,0)),"")</f>
        <v/>
      </c>
      <c r="B735" s="24" t="str">
        <f aca="false">IF($A735="","",INDEX(Workers!$B$5:$B$2004,MATCH($A735,Workers!$A$5:$A$2004,0)))</f>
        <v/>
      </c>
      <c r="C735" s="24" t="str">
        <f aca="false">IF($A735="","",INDEX(Workers!$E$5:$E$2004,MATCH($A735,Workers!$A$5:$A$2004,0)))</f>
        <v/>
      </c>
      <c r="D735" s="24" t="str">
        <f aca="false">IF($A735="","",INDEX(Workers!$K$5:$K$2004,MATCH($A735,Workers!$A$5:$A$2004,0)))</f>
        <v/>
      </c>
      <c r="E735" s="25" t="str">
        <f aca="false">IF($A735="","",SUMIFS(Timesheet!$E$5:$E$3004,Timesheet!$D$5:$D$3004,$A735,Timesheet!$A$5:$A$3004,"&gt;="&amp;Settings!$B$8,Timesheet!$A$5:$A$3004,"&lt;="&amp;Settings!$B$9))</f>
        <v/>
      </c>
      <c r="F735" s="25" t="str">
        <f aca="false">IF($A735="","",SUMIFS(Timesheet!$F$5:$F$3004,Timesheet!$D$5:$D$3004,$A735,Timesheet!$A$5:$A$3004,"&gt;="&amp;Settings!$B$8,Timesheet!$A$5:$A$3004,"&lt;="&amp;Settings!$B$9))</f>
        <v/>
      </c>
      <c r="G735" s="25" t="str">
        <f aca="false">IF($A735="","",SUMIFS(Timesheet!$G$5:$G$3004,Timesheet!$D$5:$D$3004,$A735,Timesheet!$A$5:$A$3004,"&gt;="&amp;Settings!$B$8,Timesheet!$A$5:$A$3004,"&lt;="&amp;Settings!$B$9))</f>
        <v/>
      </c>
      <c r="H735" s="25" t="str">
        <f aca="false">IF($A735="","",IF(D735="Monthly",MAX(0,Settings!$B$11-E735),0))</f>
        <v/>
      </c>
      <c r="I735" s="26" t="str">
        <f aca="false">IF($A735="","",N(INDEX(Workers!$L$5:$L$2004,MATCH($A735,Workers!$A$5:$A$2004,0))))</f>
        <v/>
      </c>
      <c r="J735" s="26" t="str">
        <f aca="false">IF($A735="","",N(INDEX(Workers!$M$5:$M$2004,MATCH($A735,Workers!$A$5:$A$2004,0))))</f>
        <v/>
      </c>
      <c r="K735" s="26" t="str">
        <f aca="false">IF($A735="","",IF(D735="Monthly",ROUND(MAX(0,(I735+J735)-(I735+J735)/Settings!$B$10*H735),2),0))</f>
        <v/>
      </c>
      <c r="L735" s="26" t="str">
        <f aca="false">IF($A735="","",IF(D735="Hourly",ROUND(F735*N(INDEX(Workers!$N$5:$N$2004,MATCH($A735,Workers!$A$5:$A$2004,0))),2),0))</f>
        <v/>
      </c>
      <c r="M735" s="26" t="str">
        <f aca="false">IF($A735="","",ROUND(G735*IF(D735="Hourly",N(INDEX(Workers!$N$5:$N$2004,MATCH($A735,Workers!$A$5:$A$2004,0))),I735/Settings!$B$10/Settings!$B$12)*Settings!$B$13,2))</f>
        <v/>
      </c>
      <c r="N735" s="26" t="str">
        <f aca="false">IF($A735="","",K735+L735+M735)</f>
        <v/>
      </c>
      <c r="O735" s="26" t="str">
        <f aca="false">IF($A735="","",SUMIFS(Deductions!$D$5:$D$2000,Deductions!$B$5:$B$2000,$A735,Deductions!$C$5:$C$2000,"Advance",Deductions!$E$5:$E$2000,"&gt;="&amp;Settings!$B$8,Deductions!$E$5:$E$2000,"&lt;="&amp;Settings!$B$9))</f>
        <v/>
      </c>
      <c r="P735" s="26" t="str">
        <f aca="false">IF($A735="","",SUMIFS(Deductions!$D$5:$D$2000,Deductions!$B$5:$B$2000,$A735,Deductions!$E$5:$E$2000,"&gt;="&amp;Settings!$B$8,Deductions!$E$5:$E$2000,"&lt;="&amp;Settings!$B$9)-O735)</f>
        <v/>
      </c>
      <c r="Q735" s="26" t="str">
        <f aca="false">IF($A735="","",O735+P735)</f>
        <v/>
      </c>
      <c r="R735" s="23" t="str">
        <f aca="false">IF($A735="","",N735-Q735)</f>
        <v/>
      </c>
      <c r="S735" s="24" t="str">
        <f aca="false">IF($A735="","",INDEX(Workers!$O$5:$O$2004,MATCH($A735,Workers!$A$5:$A$2004,0))&amp;"")</f>
        <v/>
      </c>
      <c r="T735" s="24" t="str">
        <f aca="false">IF($A735="","",INDEX(Workers!$P$5:$P$2004,MATCH($A735,Workers!$A$5:$A$2004,0))&amp;"")</f>
        <v/>
      </c>
      <c r="U735" s="24" t="str">
        <f aca="false">IF($A735="","",INDEX(Workers!$H$5:$H$2004,MATCH($A735,Workers!$A$5:$A$2004,0))&amp;"")</f>
        <v/>
      </c>
    </row>
    <row r="736" customFormat="false" ht="15" hidden="false" customHeight="false" outlineLevel="0" collapsed="false">
      <c r="A736" s="24" t="str">
        <f aca="false">IFERROR(INDEX(Workers!$A$5:$A$2004,MATCH(ROW()-4,Workers!$U$5:$U$2004,0)),"")</f>
        <v/>
      </c>
      <c r="B736" s="24" t="str">
        <f aca="false">IF($A736="","",INDEX(Workers!$B$5:$B$2004,MATCH($A736,Workers!$A$5:$A$2004,0)))</f>
        <v/>
      </c>
      <c r="C736" s="24" t="str">
        <f aca="false">IF($A736="","",INDEX(Workers!$E$5:$E$2004,MATCH($A736,Workers!$A$5:$A$2004,0)))</f>
        <v/>
      </c>
      <c r="D736" s="24" t="str">
        <f aca="false">IF($A736="","",INDEX(Workers!$K$5:$K$2004,MATCH($A736,Workers!$A$5:$A$2004,0)))</f>
        <v/>
      </c>
      <c r="E736" s="25" t="str">
        <f aca="false">IF($A736="","",SUMIFS(Timesheet!$E$5:$E$3004,Timesheet!$D$5:$D$3004,$A736,Timesheet!$A$5:$A$3004,"&gt;="&amp;Settings!$B$8,Timesheet!$A$5:$A$3004,"&lt;="&amp;Settings!$B$9))</f>
        <v/>
      </c>
      <c r="F736" s="25" t="str">
        <f aca="false">IF($A736="","",SUMIFS(Timesheet!$F$5:$F$3004,Timesheet!$D$5:$D$3004,$A736,Timesheet!$A$5:$A$3004,"&gt;="&amp;Settings!$B$8,Timesheet!$A$5:$A$3004,"&lt;="&amp;Settings!$B$9))</f>
        <v/>
      </c>
      <c r="G736" s="25" t="str">
        <f aca="false">IF($A736="","",SUMIFS(Timesheet!$G$5:$G$3004,Timesheet!$D$5:$D$3004,$A736,Timesheet!$A$5:$A$3004,"&gt;="&amp;Settings!$B$8,Timesheet!$A$5:$A$3004,"&lt;="&amp;Settings!$B$9))</f>
        <v/>
      </c>
      <c r="H736" s="25" t="str">
        <f aca="false">IF($A736="","",IF(D736="Monthly",MAX(0,Settings!$B$11-E736),0))</f>
        <v/>
      </c>
      <c r="I736" s="26" t="str">
        <f aca="false">IF($A736="","",N(INDEX(Workers!$L$5:$L$2004,MATCH($A736,Workers!$A$5:$A$2004,0))))</f>
        <v/>
      </c>
      <c r="J736" s="26" t="str">
        <f aca="false">IF($A736="","",N(INDEX(Workers!$M$5:$M$2004,MATCH($A736,Workers!$A$5:$A$2004,0))))</f>
        <v/>
      </c>
      <c r="K736" s="26" t="str">
        <f aca="false">IF($A736="","",IF(D736="Monthly",ROUND(MAX(0,(I736+J736)-(I736+J736)/Settings!$B$10*H736),2),0))</f>
        <v/>
      </c>
      <c r="L736" s="26" t="str">
        <f aca="false">IF($A736="","",IF(D736="Hourly",ROUND(F736*N(INDEX(Workers!$N$5:$N$2004,MATCH($A736,Workers!$A$5:$A$2004,0))),2),0))</f>
        <v/>
      </c>
      <c r="M736" s="26" t="str">
        <f aca="false">IF($A736="","",ROUND(G736*IF(D736="Hourly",N(INDEX(Workers!$N$5:$N$2004,MATCH($A736,Workers!$A$5:$A$2004,0))),I736/Settings!$B$10/Settings!$B$12)*Settings!$B$13,2))</f>
        <v/>
      </c>
      <c r="N736" s="26" t="str">
        <f aca="false">IF($A736="","",K736+L736+M736)</f>
        <v/>
      </c>
      <c r="O736" s="26" t="str">
        <f aca="false">IF($A736="","",SUMIFS(Deductions!$D$5:$D$2000,Deductions!$B$5:$B$2000,$A736,Deductions!$C$5:$C$2000,"Advance",Deductions!$E$5:$E$2000,"&gt;="&amp;Settings!$B$8,Deductions!$E$5:$E$2000,"&lt;="&amp;Settings!$B$9))</f>
        <v/>
      </c>
      <c r="P736" s="26" t="str">
        <f aca="false">IF($A736="","",SUMIFS(Deductions!$D$5:$D$2000,Deductions!$B$5:$B$2000,$A736,Deductions!$E$5:$E$2000,"&gt;="&amp;Settings!$B$8,Deductions!$E$5:$E$2000,"&lt;="&amp;Settings!$B$9)-O736)</f>
        <v/>
      </c>
      <c r="Q736" s="26" t="str">
        <f aca="false">IF($A736="","",O736+P736)</f>
        <v/>
      </c>
      <c r="R736" s="23" t="str">
        <f aca="false">IF($A736="","",N736-Q736)</f>
        <v/>
      </c>
      <c r="S736" s="24" t="str">
        <f aca="false">IF($A736="","",INDEX(Workers!$O$5:$O$2004,MATCH($A736,Workers!$A$5:$A$2004,0))&amp;"")</f>
        <v/>
      </c>
      <c r="T736" s="24" t="str">
        <f aca="false">IF($A736="","",INDEX(Workers!$P$5:$P$2004,MATCH($A736,Workers!$A$5:$A$2004,0))&amp;"")</f>
        <v/>
      </c>
      <c r="U736" s="24" t="str">
        <f aca="false">IF($A736="","",INDEX(Workers!$H$5:$H$2004,MATCH($A736,Workers!$A$5:$A$2004,0))&amp;"")</f>
        <v/>
      </c>
    </row>
    <row r="737" customFormat="false" ht="15" hidden="false" customHeight="false" outlineLevel="0" collapsed="false">
      <c r="A737" s="24" t="str">
        <f aca="false">IFERROR(INDEX(Workers!$A$5:$A$2004,MATCH(ROW()-4,Workers!$U$5:$U$2004,0)),"")</f>
        <v/>
      </c>
      <c r="B737" s="24" t="str">
        <f aca="false">IF($A737="","",INDEX(Workers!$B$5:$B$2004,MATCH($A737,Workers!$A$5:$A$2004,0)))</f>
        <v/>
      </c>
      <c r="C737" s="24" t="str">
        <f aca="false">IF($A737="","",INDEX(Workers!$E$5:$E$2004,MATCH($A737,Workers!$A$5:$A$2004,0)))</f>
        <v/>
      </c>
      <c r="D737" s="24" t="str">
        <f aca="false">IF($A737="","",INDEX(Workers!$K$5:$K$2004,MATCH($A737,Workers!$A$5:$A$2004,0)))</f>
        <v/>
      </c>
      <c r="E737" s="25" t="str">
        <f aca="false">IF($A737="","",SUMIFS(Timesheet!$E$5:$E$3004,Timesheet!$D$5:$D$3004,$A737,Timesheet!$A$5:$A$3004,"&gt;="&amp;Settings!$B$8,Timesheet!$A$5:$A$3004,"&lt;="&amp;Settings!$B$9))</f>
        <v/>
      </c>
      <c r="F737" s="25" t="str">
        <f aca="false">IF($A737="","",SUMIFS(Timesheet!$F$5:$F$3004,Timesheet!$D$5:$D$3004,$A737,Timesheet!$A$5:$A$3004,"&gt;="&amp;Settings!$B$8,Timesheet!$A$5:$A$3004,"&lt;="&amp;Settings!$B$9))</f>
        <v/>
      </c>
      <c r="G737" s="25" t="str">
        <f aca="false">IF($A737="","",SUMIFS(Timesheet!$G$5:$G$3004,Timesheet!$D$5:$D$3004,$A737,Timesheet!$A$5:$A$3004,"&gt;="&amp;Settings!$B$8,Timesheet!$A$5:$A$3004,"&lt;="&amp;Settings!$B$9))</f>
        <v/>
      </c>
      <c r="H737" s="25" t="str">
        <f aca="false">IF($A737="","",IF(D737="Monthly",MAX(0,Settings!$B$11-E737),0))</f>
        <v/>
      </c>
      <c r="I737" s="26" t="str">
        <f aca="false">IF($A737="","",N(INDEX(Workers!$L$5:$L$2004,MATCH($A737,Workers!$A$5:$A$2004,0))))</f>
        <v/>
      </c>
      <c r="J737" s="26" t="str">
        <f aca="false">IF($A737="","",N(INDEX(Workers!$M$5:$M$2004,MATCH($A737,Workers!$A$5:$A$2004,0))))</f>
        <v/>
      </c>
      <c r="K737" s="26" t="str">
        <f aca="false">IF($A737="","",IF(D737="Monthly",ROUND(MAX(0,(I737+J737)-(I737+J737)/Settings!$B$10*H737),2),0))</f>
        <v/>
      </c>
      <c r="L737" s="26" t="str">
        <f aca="false">IF($A737="","",IF(D737="Hourly",ROUND(F737*N(INDEX(Workers!$N$5:$N$2004,MATCH($A737,Workers!$A$5:$A$2004,0))),2),0))</f>
        <v/>
      </c>
      <c r="M737" s="26" t="str">
        <f aca="false">IF($A737="","",ROUND(G737*IF(D737="Hourly",N(INDEX(Workers!$N$5:$N$2004,MATCH($A737,Workers!$A$5:$A$2004,0))),I737/Settings!$B$10/Settings!$B$12)*Settings!$B$13,2))</f>
        <v/>
      </c>
      <c r="N737" s="26" t="str">
        <f aca="false">IF($A737="","",K737+L737+M737)</f>
        <v/>
      </c>
      <c r="O737" s="26" t="str">
        <f aca="false">IF($A737="","",SUMIFS(Deductions!$D$5:$D$2000,Deductions!$B$5:$B$2000,$A737,Deductions!$C$5:$C$2000,"Advance",Deductions!$E$5:$E$2000,"&gt;="&amp;Settings!$B$8,Deductions!$E$5:$E$2000,"&lt;="&amp;Settings!$B$9))</f>
        <v/>
      </c>
      <c r="P737" s="26" t="str">
        <f aca="false">IF($A737="","",SUMIFS(Deductions!$D$5:$D$2000,Deductions!$B$5:$B$2000,$A737,Deductions!$E$5:$E$2000,"&gt;="&amp;Settings!$B$8,Deductions!$E$5:$E$2000,"&lt;="&amp;Settings!$B$9)-O737)</f>
        <v/>
      </c>
      <c r="Q737" s="26" t="str">
        <f aca="false">IF($A737="","",O737+P737)</f>
        <v/>
      </c>
      <c r="R737" s="23" t="str">
        <f aca="false">IF($A737="","",N737-Q737)</f>
        <v/>
      </c>
      <c r="S737" s="24" t="str">
        <f aca="false">IF($A737="","",INDEX(Workers!$O$5:$O$2004,MATCH($A737,Workers!$A$5:$A$2004,0))&amp;"")</f>
        <v/>
      </c>
      <c r="T737" s="24" t="str">
        <f aca="false">IF($A737="","",INDEX(Workers!$P$5:$P$2004,MATCH($A737,Workers!$A$5:$A$2004,0))&amp;"")</f>
        <v/>
      </c>
      <c r="U737" s="24" t="str">
        <f aca="false">IF($A737="","",INDEX(Workers!$H$5:$H$2004,MATCH($A737,Workers!$A$5:$A$2004,0))&amp;"")</f>
        <v/>
      </c>
    </row>
    <row r="738" customFormat="false" ht="15" hidden="false" customHeight="false" outlineLevel="0" collapsed="false">
      <c r="A738" s="24" t="str">
        <f aca="false">IFERROR(INDEX(Workers!$A$5:$A$2004,MATCH(ROW()-4,Workers!$U$5:$U$2004,0)),"")</f>
        <v/>
      </c>
      <c r="B738" s="24" t="str">
        <f aca="false">IF($A738="","",INDEX(Workers!$B$5:$B$2004,MATCH($A738,Workers!$A$5:$A$2004,0)))</f>
        <v/>
      </c>
      <c r="C738" s="24" t="str">
        <f aca="false">IF($A738="","",INDEX(Workers!$E$5:$E$2004,MATCH($A738,Workers!$A$5:$A$2004,0)))</f>
        <v/>
      </c>
      <c r="D738" s="24" t="str">
        <f aca="false">IF($A738="","",INDEX(Workers!$K$5:$K$2004,MATCH($A738,Workers!$A$5:$A$2004,0)))</f>
        <v/>
      </c>
      <c r="E738" s="25" t="str">
        <f aca="false">IF($A738="","",SUMIFS(Timesheet!$E$5:$E$3004,Timesheet!$D$5:$D$3004,$A738,Timesheet!$A$5:$A$3004,"&gt;="&amp;Settings!$B$8,Timesheet!$A$5:$A$3004,"&lt;="&amp;Settings!$B$9))</f>
        <v/>
      </c>
      <c r="F738" s="25" t="str">
        <f aca="false">IF($A738="","",SUMIFS(Timesheet!$F$5:$F$3004,Timesheet!$D$5:$D$3004,$A738,Timesheet!$A$5:$A$3004,"&gt;="&amp;Settings!$B$8,Timesheet!$A$5:$A$3004,"&lt;="&amp;Settings!$B$9))</f>
        <v/>
      </c>
      <c r="G738" s="25" t="str">
        <f aca="false">IF($A738="","",SUMIFS(Timesheet!$G$5:$G$3004,Timesheet!$D$5:$D$3004,$A738,Timesheet!$A$5:$A$3004,"&gt;="&amp;Settings!$B$8,Timesheet!$A$5:$A$3004,"&lt;="&amp;Settings!$B$9))</f>
        <v/>
      </c>
      <c r="H738" s="25" t="str">
        <f aca="false">IF($A738="","",IF(D738="Monthly",MAX(0,Settings!$B$11-E738),0))</f>
        <v/>
      </c>
      <c r="I738" s="26" t="str">
        <f aca="false">IF($A738="","",N(INDEX(Workers!$L$5:$L$2004,MATCH($A738,Workers!$A$5:$A$2004,0))))</f>
        <v/>
      </c>
      <c r="J738" s="26" t="str">
        <f aca="false">IF($A738="","",N(INDEX(Workers!$M$5:$M$2004,MATCH($A738,Workers!$A$5:$A$2004,0))))</f>
        <v/>
      </c>
      <c r="K738" s="26" t="str">
        <f aca="false">IF($A738="","",IF(D738="Monthly",ROUND(MAX(0,(I738+J738)-(I738+J738)/Settings!$B$10*H738),2),0))</f>
        <v/>
      </c>
      <c r="L738" s="26" t="str">
        <f aca="false">IF($A738="","",IF(D738="Hourly",ROUND(F738*N(INDEX(Workers!$N$5:$N$2004,MATCH($A738,Workers!$A$5:$A$2004,0))),2),0))</f>
        <v/>
      </c>
      <c r="M738" s="26" t="str">
        <f aca="false">IF($A738="","",ROUND(G738*IF(D738="Hourly",N(INDEX(Workers!$N$5:$N$2004,MATCH($A738,Workers!$A$5:$A$2004,0))),I738/Settings!$B$10/Settings!$B$12)*Settings!$B$13,2))</f>
        <v/>
      </c>
      <c r="N738" s="26" t="str">
        <f aca="false">IF($A738="","",K738+L738+M738)</f>
        <v/>
      </c>
      <c r="O738" s="26" t="str">
        <f aca="false">IF($A738="","",SUMIFS(Deductions!$D$5:$D$2000,Deductions!$B$5:$B$2000,$A738,Deductions!$C$5:$C$2000,"Advance",Deductions!$E$5:$E$2000,"&gt;="&amp;Settings!$B$8,Deductions!$E$5:$E$2000,"&lt;="&amp;Settings!$B$9))</f>
        <v/>
      </c>
      <c r="P738" s="26" t="str">
        <f aca="false">IF($A738="","",SUMIFS(Deductions!$D$5:$D$2000,Deductions!$B$5:$B$2000,$A738,Deductions!$E$5:$E$2000,"&gt;="&amp;Settings!$B$8,Deductions!$E$5:$E$2000,"&lt;="&amp;Settings!$B$9)-O738)</f>
        <v/>
      </c>
      <c r="Q738" s="26" t="str">
        <f aca="false">IF($A738="","",O738+P738)</f>
        <v/>
      </c>
      <c r="R738" s="23" t="str">
        <f aca="false">IF($A738="","",N738-Q738)</f>
        <v/>
      </c>
      <c r="S738" s="24" t="str">
        <f aca="false">IF($A738="","",INDEX(Workers!$O$5:$O$2004,MATCH($A738,Workers!$A$5:$A$2004,0))&amp;"")</f>
        <v/>
      </c>
      <c r="T738" s="24" t="str">
        <f aca="false">IF($A738="","",INDEX(Workers!$P$5:$P$2004,MATCH($A738,Workers!$A$5:$A$2004,0))&amp;"")</f>
        <v/>
      </c>
      <c r="U738" s="24" t="str">
        <f aca="false">IF($A738="","",INDEX(Workers!$H$5:$H$2004,MATCH($A738,Workers!$A$5:$A$2004,0))&amp;"")</f>
        <v/>
      </c>
    </row>
    <row r="739" customFormat="false" ht="15" hidden="false" customHeight="false" outlineLevel="0" collapsed="false">
      <c r="A739" s="24" t="str">
        <f aca="false">IFERROR(INDEX(Workers!$A$5:$A$2004,MATCH(ROW()-4,Workers!$U$5:$U$2004,0)),"")</f>
        <v/>
      </c>
      <c r="B739" s="24" t="str">
        <f aca="false">IF($A739="","",INDEX(Workers!$B$5:$B$2004,MATCH($A739,Workers!$A$5:$A$2004,0)))</f>
        <v/>
      </c>
      <c r="C739" s="24" t="str">
        <f aca="false">IF($A739="","",INDEX(Workers!$E$5:$E$2004,MATCH($A739,Workers!$A$5:$A$2004,0)))</f>
        <v/>
      </c>
      <c r="D739" s="24" t="str">
        <f aca="false">IF($A739="","",INDEX(Workers!$K$5:$K$2004,MATCH($A739,Workers!$A$5:$A$2004,0)))</f>
        <v/>
      </c>
      <c r="E739" s="25" t="str">
        <f aca="false">IF($A739="","",SUMIFS(Timesheet!$E$5:$E$3004,Timesheet!$D$5:$D$3004,$A739,Timesheet!$A$5:$A$3004,"&gt;="&amp;Settings!$B$8,Timesheet!$A$5:$A$3004,"&lt;="&amp;Settings!$B$9))</f>
        <v/>
      </c>
      <c r="F739" s="25" t="str">
        <f aca="false">IF($A739="","",SUMIFS(Timesheet!$F$5:$F$3004,Timesheet!$D$5:$D$3004,$A739,Timesheet!$A$5:$A$3004,"&gt;="&amp;Settings!$B$8,Timesheet!$A$5:$A$3004,"&lt;="&amp;Settings!$B$9))</f>
        <v/>
      </c>
      <c r="G739" s="25" t="str">
        <f aca="false">IF($A739="","",SUMIFS(Timesheet!$G$5:$G$3004,Timesheet!$D$5:$D$3004,$A739,Timesheet!$A$5:$A$3004,"&gt;="&amp;Settings!$B$8,Timesheet!$A$5:$A$3004,"&lt;="&amp;Settings!$B$9))</f>
        <v/>
      </c>
      <c r="H739" s="25" t="str">
        <f aca="false">IF($A739="","",IF(D739="Monthly",MAX(0,Settings!$B$11-E739),0))</f>
        <v/>
      </c>
      <c r="I739" s="26" t="str">
        <f aca="false">IF($A739="","",N(INDEX(Workers!$L$5:$L$2004,MATCH($A739,Workers!$A$5:$A$2004,0))))</f>
        <v/>
      </c>
      <c r="J739" s="26" t="str">
        <f aca="false">IF($A739="","",N(INDEX(Workers!$M$5:$M$2004,MATCH($A739,Workers!$A$5:$A$2004,0))))</f>
        <v/>
      </c>
      <c r="K739" s="26" t="str">
        <f aca="false">IF($A739="","",IF(D739="Monthly",ROUND(MAX(0,(I739+J739)-(I739+J739)/Settings!$B$10*H739),2),0))</f>
        <v/>
      </c>
      <c r="L739" s="26" t="str">
        <f aca="false">IF($A739="","",IF(D739="Hourly",ROUND(F739*N(INDEX(Workers!$N$5:$N$2004,MATCH($A739,Workers!$A$5:$A$2004,0))),2),0))</f>
        <v/>
      </c>
      <c r="M739" s="26" t="str">
        <f aca="false">IF($A739="","",ROUND(G739*IF(D739="Hourly",N(INDEX(Workers!$N$5:$N$2004,MATCH($A739,Workers!$A$5:$A$2004,0))),I739/Settings!$B$10/Settings!$B$12)*Settings!$B$13,2))</f>
        <v/>
      </c>
      <c r="N739" s="26" t="str">
        <f aca="false">IF($A739="","",K739+L739+M739)</f>
        <v/>
      </c>
      <c r="O739" s="26" t="str">
        <f aca="false">IF($A739="","",SUMIFS(Deductions!$D$5:$D$2000,Deductions!$B$5:$B$2000,$A739,Deductions!$C$5:$C$2000,"Advance",Deductions!$E$5:$E$2000,"&gt;="&amp;Settings!$B$8,Deductions!$E$5:$E$2000,"&lt;="&amp;Settings!$B$9))</f>
        <v/>
      </c>
      <c r="P739" s="26" t="str">
        <f aca="false">IF($A739="","",SUMIFS(Deductions!$D$5:$D$2000,Deductions!$B$5:$B$2000,$A739,Deductions!$E$5:$E$2000,"&gt;="&amp;Settings!$B$8,Deductions!$E$5:$E$2000,"&lt;="&amp;Settings!$B$9)-O739)</f>
        <v/>
      </c>
      <c r="Q739" s="26" t="str">
        <f aca="false">IF($A739="","",O739+P739)</f>
        <v/>
      </c>
      <c r="R739" s="23" t="str">
        <f aca="false">IF($A739="","",N739-Q739)</f>
        <v/>
      </c>
      <c r="S739" s="24" t="str">
        <f aca="false">IF($A739="","",INDEX(Workers!$O$5:$O$2004,MATCH($A739,Workers!$A$5:$A$2004,0))&amp;"")</f>
        <v/>
      </c>
      <c r="T739" s="24" t="str">
        <f aca="false">IF($A739="","",INDEX(Workers!$P$5:$P$2004,MATCH($A739,Workers!$A$5:$A$2004,0))&amp;"")</f>
        <v/>
      </c>
      <c r="U739" s="24" t="str">
        <f aca="false">IF($A739="","",INDEX(Workers!$H$5:$H$2004,MATCH($A739,Workers!$A$5:$A$2004,0))&amp;"")</f>
        <v/>
      </c>
    </row>
    <row r="740" customFormat="false" ht="15" hidden="false" customHeight="false" outlineLevel="0" collapsed="false">
      <c r="A740" s="24" t="str">
        <f aca="false">IFERROR(INDEX(Workers!$A$5:$A$2004,MATCH(ROW()-4,Workers!$U$5:$U$2004,0)),"")</f>
        <v/>
      </c>
      <c r="B740" s="24" t="str">
        <f aca="false">IF($A740="","",INDEX(Workers!$B$5:$B$2004,MATCH($A740,Workers!$A$5:$A$2004,0)))</f>
        <v/>
      </c>
      <c r="C740" s="24" t="str">
        <f aca="false">IF($A740="","",INDEX(Workers!$E$5:$E$2004,MATCH($A740,Workers!$A$5:$A$2004,0)))</f>
        <v/>
      </c>
      <c r="D740" s="24" t="str">
        <f aca="false">IF($A740="","",INDEX(Workers!$K$5:$K$2004,MATCH($A740,Workers!$A$5:$A$2004,0)))</f>
        <v/>
      </c>
      <c r="E740" s="25" t="str">
        <f aca="false">IF($A740="","",SUMIFS(Timesheet!$E$5:$E$3004,Timesheet!$D$5:$D$3004,$A740,Timesheet!$A$5:$A$3004,"&gt;="&amp;Settings!$B$8,Timesheet!$A$5:$A$3004,"&lt;="&amp;Settings!$B$9))</f>
        <v/>
      </c>
      <c r="F740" s="25" t="str">
        <f aca="false">IF($A740="","",SUMIFS(Timesheet!$F$5:$F$3004,Timesheet!$D$5:$D$3004,$A740,Timesheet!$A$5:$A$3004,"&gt;="&amp;Settings!$B$8,Timesheet!$A$5:$A$3004,"&lt;="&amp;Settings!$B$9))</f>
        <v/>
      </c>
      <c r="G740" s="25" t="str">
        <f aca="false">IF($A740="","",SUMIFS(Timesheet!$G$5:$G$3004,Timesheet!$D$5:$D$3004,$A740,Timesheet!$A$5:$A$3004,"&gt;="&amp;Settings!$B$8,Timesheet!$A$5:$A$3004,"&lt;="&amp;Settings!$B$9))</f>
        <v/>
      </c>
      <c r="H740" s="25" t="str">
        <f aca="false">IF($A740="","",IF(D740="Monthly",MAX(0,Settings!$B$11-E740),0))</f>
        <v/>
      </c>
      <c r="I740" s="26" t="str">
        <f aca="false">IF($A740="","",N(INDEX(Workers!$L$5:$L$2004,MATCH($A740,Workers!$A$5:$A$2004,0))))</f>
        <v/>
      </c>
      <c r="J740" s="26" t="str">
        <f aca="false">IF($A740="","",N(INDEX(Workers!$M$5:$M$2004,MATCH($A740,Workers!$A$5:$A$2004,0))))</f>
        <v/>
      </c>
      <c r="K740" s="26" t="str">
        <f aca="false">IF($A740="","",IF(D740="Monthly",ROUND(MAX(0,(I740+J740)-(I740+J740)/Settings!$B$10*H740),2),0))</f>
        <v/>
      </c>
      <c r="L740" s="26" t="str">
        <f aca="false">IF($A740="","",IF(D740="Hourly",ROUND(F740*N(INDEX(Workers!$N$5:$N$2004,MATCH($A740,Workers!$A$5:$A$2004,0))),2),0))</f>
        <v/>
      </c>
      <c r="M740" s="26" t="str">
        <f aca="false">IF($A740="","",ROUND(G740*IF(D740="Hourly",N(INDEX(Workers!$N$5:$N$2004,MATCH($A740,Workers!$A$5:$A$2004,0))),I740/Settings!$B$10/Settings!$B$12)*Settings!$B$13,2))</f>
        <v/>
      </c>
      <c r="N740" s="26" t="str">
        <f aca="false">IF($A740="","",K740+L740+M740)</f>
        <v/>
      </c>
      <c r="O740" s="26" t="str">
        <f aca="false">IF($A740="","",SUMIFS(Deductions!$D$5:$D$2000,Deductions!$B$5:$B$2000,$A740,Deductions!$C$5:$C$2000,"Advance",Deductions!$E$5:$E$2000,"&gt;="&amp;Settings!$B$8,Deductions!$E$5:$E$2000,"&lt;="&amp;Settings!$B$9))</f>
        <v/>
      </c>
      <c r="P740" s="26" t="str">
        <f aca="false">IF($A740="","",SUMIFS(Deductions!$D$5:$D$2000,Deductions!$B$5:$B$2000,$A740,Deductions!$E$5:$E$2000,"&gt;="&amp;Settings!$B$8,Deductions!$E$5:$E$2000,"&lt;="&amp;Settings!$B$9)-O740)</f>
        <v/>
      </c>
      <c r="Q740" s="26" t="str">
        <f aca="false">IF($A740="","",O740+P740)</f>
        <v/>
      </c>
      <c r="R740" s="23" t="str">
        <f aca="false">IF($A740="","",N740-Q740)</f>
        <v/>
      </c>
      <c r="S740" s="24" t="str">
        <f aca="false">IF($A740="","",INDEX(Workers!$O$5:$O$2004,MATCH($A740,Workers!$A$5:$A$2004,0))&amp;"")</f>
        <v/>
      </c>
      <c r="T740" s="24" t="str">
        <f aca="false">IF($A740="","",INDEX(Workers!$P$5:$P$2004,MATCH($A740,Workers!$A$5:$A$2004,0))&amp;"")</f>
        <v/>
      </c>
      <c r="U740" s="24" t="str">
        <f aca="false">IF($A740="","",INDEX(Workers!$H$5:$H$2004,MATCH($A740,Workers!$A$5:$A$2004,0))&amp;"")</f>
        <v/>
      </c>
    </row>
    <row r="741" customFormat="false" ht="15" hidden="false" customHeight="false" outlineLevel="0" collapsed="false">
      <c r="A741" s="24" t="str">
        <f aca="false">IFERROR(INDEX(Workers!$A$5:$A$2004,MATCH(ROW()-4,Workers!$U$5:$U$2004,0)),"")</f>
        <v/>
      </c>
      <c r="B741" s="24" t="str">
        <f aca="false">IF($A741="","",INDEX(Workers!$B$5:$B$2004,MATCH($A741,Workers!$A$5:$A$2004,0)))</f>
        <v/>
      </c>
      <c r="C741" s="24" t="str">
        <f aca="false">IF($A741="","",INDEX(Workers!$E$5:$E$2004,MATCH($A741,Workers!$A$5:$A$2004,0)))</f>
        <v/>
      </c>
      <c r="D741" s="24" t="str">
        <f aca="false">IF($A741="","",INDEX(Workers!$K$5:$K$2004,MATCH($A741,Workers!$A$5:$A$2004,0)))</f>
        <v/>
      </c>
      <c r="E741" s="25" t="str">
        <f aca="false">IF($A741="","",SUMIFS(Timesheet!$E$5:$E$3004,Timesheet!$D$5:$D$3004,$A741,Timesheet!$A$5:$A$3004,"&gt;="&amp;Settings!$B$8,Timesheet!$A$5:$A$3004,"&lt;="&amp;Settings!$B$9))</f>
        <v/>
      </c>
      <c r="F741" s="25" t="str">
        <f aca="false">IF($A741="","",SUMIFS(Timesheet!$F$5:$F$3004,Timesheet!$D$5:$D$3004,$A741,Timesheet!$A$5:$A$3004,"&gt;="&amp;Settings!$B$8,Timesheet!$A$5:$A$3004,"&lt;="&amp;Settings!$B$9))</f>
        <v/>
      </c>
      <c r="G741" s="25" t="str">
        <f aca="false">IF($A741="","",SUMIFS(Timesheet!$G$5:$G$3004,Timesheet!$D$5:$D$3004,$A741,Timesheet!$A$5:$A$3004,"&gt;="&amp;Settings!$B$8,Timesheet!$A$5:$A$3004,"&lt;="&amp;Settings!$B$9))</f>
        <v/>
      </c>
      <c r="H741" s="25" t="str">
        <f aca="false">IF($A741="","",IF(D741="Monthly",MAX(0,Settings!$B$11-E741),0))</f>
        <v/>
      </c>
      <c r="I741" s="26" t="str">
        <f aca="false">IF($A741="","",N(INDEX(Workers!$L$5:$L$2004,MATCH($A741,Workers!$A$5:$A$2004,0))))</f>
        <v/>
      </c>
      <c r="J741" s="26" t="str">
        <f aca="false">IF($A741="","",N(INDEX(Workers!$M$5:$M$2004,MATCH($A741,Workers!$A$5:$A$2004,0))))</f>
        <v/>
      </c>
      <c r="K741" s="26" t="str">
        <f aca="false">IF($A741="","",IF(D741="Monthly",ROUND(MAX(0,(I741+J741)-(I741+J741)/Settings!$B$10*H741),2),0))</f>
        <v/>
      </c>
      <c r="L741" s="26" t="str">
        <f aca="false">IF($A741="","",IF(D741="Hourly",ROUND(F741*N(INDEX(Workers!$N$5:$N$2004,MATCH($A741,Workers!$A$5:$A$2004,0))),2),0))</f>
        <v/>
      </c>
      <c r="M741" s="26" t="str">
        <f aca="false">IF($A741="","",ROUND(G741*IF(D741="Hourly",N(INDEX(Workers!$N$5:$N$2004,MATCH($A741,Workers!$A$5:$A$2004,0))),I741/Settings!$B$10/Settings!$B$12)*Settings!$B$13,2))</f>
        <v/>
      </c>
      <c r="N741" s="26" t="str">
        <f aca="false">IF($A741="","",K741+L741+M741)</f>
        <v/>
      </c>
      <c r="O741" s="26" t="str">
        <f aca="false">IF($A741="","",SUMIFS(Deductions!$D$5:$D$2000,Deductions!$B$5:$B$2000,$A741,Deductions!$C$5:$C$2000,"Advance",Deductions!$E$5:$E$2000,"&gt;="&amp;Settings!$B$8,Deductions!$E$5:$E$2000,"&lt;="&amp;Settings!$B$9))</f>
        <v/>
      </c>
      <c r="P741" s="26" t="str">
        <f aca="false">IF($A741="","",SUMIFS(Deductions!$D$5:$D$2000,Deductions!$B$5:$B$2000,$A741,Deductions!$E$5:$E$2000,"&gt;="&amp;Settings!$B$8,Deductions!$E$5:$E$2000,"&lt;="&amp;Settings!$B$9)-O741)</f>
        <v/>
      </c>
      <c r="Q741" s="26" t="str">
        <f aca="false">IF($A741="","",O741+P741)</f>
        <v/>
      </c>
      <c r="R741" s="23" t="str">
        <f aca="false">IF($A741="","",N741-Q741)</f>
        <v/>
      </c>
      <c r="S741" s="24" t="str">
        <f aca="false">IF($A741="","",INDEX(Workers!$O$5:$O$2004,MATCH($A741,Workers!$A$5:$A$2004,0))&amp;"")</f>
        <v/>
      </c>
      <c r="T741" s="24" t="str">
        <f aca="false">IF($A741="","",INDEX(Workers!$P$5:$P$2004,MATCH($A741,Workers!$A$5:$A$2004,0))&amp;"")</f>
        <v/>
      </c>
      <c r="U741" s="24" t="str">
        <f aca="false">IF($A741="","",INDEX(Workers!$H$5:$H$2004,MATCH($A741,Workers!$A$5:$A$2004,0))&amp;"")</f>
        <v/>
      </c>
    </row>
    <row r="742" customFormat="false" ht="15" hidden="false" customHeight="false" outlineLevel="0" collapsed="false">
      <c r="A742" s="24" t="str">
        <f aca="false">IFERROR(INDEX(Workers!$A$5:$A$2004,MATCH(ROW()-4,Workers!$U$5:$U$2004,0)),"")</f>
        <v/>
      </c>
      <c r="B742" s="24" t="str">
        <f aca="false">IF($A742="","",INDEX(Workers!$B$5:$B$2004,MATCH($A742,Workers!$A$5:$A$2004,0)))</f>
        <v/>
      </c>
      <c r="C742" s="24" t="str">
        <f aca="false">IF($A742="","",INDEX(Workers!$E$5:$E$2004,MATCH($A742,Workers!$A$5:$A$2004,0)))</f>
        <v/>
      </c>
      <c r="D742" s="24" t="str">
        <f aca="false">IF($A742="","",INDEX(Workers!$K$5:$K$2004,MATCH($A742,Workers!$A$5:$A$2004,0)))</f>
        <v/>
      </c>
      <c r="E742" s="25" t="str">
        <f aca="false">IF($A742="","",SUMIFS(Timesheet!$E$5:$E$3004,Timesheet!$D$5:$D$3004,$A742,Timesheet!$A$5:$A$3004,"&gt;="&amp;Settings!$B$8,Timesheet!$A$5:$A$3004,"&lt;="&amp;Settings!$B$9))</f>
        <v/>
      </c>
      <c r="F742" s="25" t="str">
        <f aca="false">IF($A742="","",SUMIFS(Timesheet!$F$5:$F$3004,Timesheet!$D$5:$D$3004,$A742,Timesheet!$A$5:$A$3004,"&gt;="&amp;Settings!$B$8,Timesheet!$A$5:$A$3004,"&lt;="&amp;Settings!$B$9))</f>
        <v/>
      </c>
      <c r="G742" s="25" t="str">
        <f aca="false">IF($A742="","",SUMIFS(Timesheet!$G$5:$G$3004,Timesheet!$D$5:$D$3004,$A742,Timesheet!$A$5:$A$3004,"&gt;="&amp;Settings!$B$8,Timesheet!$A$5:$A$3004,"&lt;="&amp;Settings!$B$9))</f>
        <v/>
      </c>
      <c r="H742" s="25" t="str">
        <f aca="false">IF($A742="","",IF(D742="Monthly",MAX(0,Settings!$B$11-E742),0))</f>
        <v/>
      </c>
      <c r="I742" s="26" t="str">
        <f aca="false">IF($A742="","",N(INDEX(Workers!$L$5:$L$2004,MATCH($A742,Workers!$A$5:$A$2004,0))))</f>
        <v/>
      </c>
      <c r="J742" s="26" t="str">
        <f aca="false">IF($A742="","",N(INDEX(Workers!$M$5:$M$2004,MATCH($A742,Workers!$A$5:$A$2004,0))))</f>
        <v/>
      </c>
      <c r="K742" s="26" t="str">
        <f aca="false">IF($A742="","",IF(D742="Monthly",ROUND(MAX(0,(I742+J742)-(I742+J742)/Settings!$B$10*H742),2),0))</f>
        <v/>
      </c>
      <c r="L742" s="26" t="str">
        <f aca="false">IF($A742="","",IF(D742="Hourly",ROUND(F742*N(INDEX(Workers!$N$5:$N$2004,MATCH($A742,Workers!$A$5:$A$2004,0))),2),0))</f>
        <v/>
      </c>
      <c r="M742" s="26" t="str">
        <f aca="false">IF($A742="","",ROUND(G742*IF(D742="Hourly",N(INDEX(Workers!$N$5:$N$2004,MATCH($A742,Workers!$A$5:$A$2004,0))),I742/Settings!$B$10/Settings!$B$12)*Settings!$B$13,2))</f>
        <v/>
      </c>
      <c r="N742" s="26" t="str">
        <f aca="false">IF($A742="","",K742+L742+M742)</f>
        <v/>
      </c>
      <c r="O742" s="26" t="str">
        <f aca="false">IF($A742="","",SUMIFS(Deductions!$D$5:$D$2000,Deductions!$B$5:$B$2000,$A742,Deductions!$C$5:$C$2000,"Advance",Deductions!$E$5:$E$2000,"&gt;="&amp;Settings!$B$8,Deductions!$E$5:$E$2000,"&lt;="&amp;Settings!$B$9))</f>
        <v/>
      </c>
      <c r="P742" s="26" t="str">
        <f aca="false">IF($A742="","",SUMIFS(Deductions!$D$5:$D$2000,Deductions!$B$5:$B$2000,$A742,Deductions!$E$5:$E$2000,"&gt;="&amp;Settings!$B$8,Deductions!$E$5:$E$2000,"&lt;="&amp;Settings!$B$9)-O742)</f>
        <v/>
      </c>
      <c r="Q742" s="26" t="str">
        <f aca="false">IF($A742="","",O742+P742)</f>
        <v/>
      </c>
      <c r="R742" s="23" t="str">
        <f aca="false">IF($A742="","",N742-Q742)</f>
        <v/>
      </c>
      <c r="S742" s="24" t="str">
        <f aca="false">IF($A742="","",INDEX(Workers!$O$5:$O$2004,MATCH($A742,Workers!$A$5:$A$2004,0))&amp;"")</f>
        <v/>
      </c>
      <c r="T742" s="24" t="str">
        <f aca="false">IF($A742="","",INDEX(Workers!$P$5:$P$2004,MATCH($A742,Workers!$A$5:$A$2004,0))&amp;"")</f>
        <v/>
      </c>
      <c r="U742" s="24" t="str">
        <f aca="false">IF($A742="","",INDEX(Workers!$H$5:$H$2004,MATCH($A742,Workers!$A$5:$A$2004,0))&amp;"")</f>
        <v/>
      </c>
    </row>
    <row r="743" customFormat="false" ht="15" hidden="false" customHeight="false" outlineLevel="0" collapsed="false">
      <c r="A743" s="24" t="str">
        <f aca="false">IFERROR(INDEX(Workers!$A$5:$A$2004,MATCH(ROW()-4,Workers!$U$5:$U$2004,0)),"")</f>
        <v/>
      </c>
      <c r="B743" s="24" t="str">
        <f aca="false">IF($A743="","",INDEX(Workers!$B$5:$B$2004,MATCH($A743,Workers!$A$5:$A$2004,0)))</f>
        <v/>
      </c>
      <c r="C743" s="24" t="str">
        <f aca="false">IF($A743="","",INDEX(Workers!$E$5:$E$2004,MATCH($A743,Workers!$A$5:$A$2004,0)))</f>
        <v/>
      </c>
      <c r="D743" s="24" t="str">
        <f aca="false">IF($A743="","",INDEX(Workers!$K$5:$K$2004,MATCH($A743,Workers!$A$5:$A$2004,0)))</f>
        <v/>
      </c>
      <c r="E743" s="25" t="str">
        <f aca="false">IF($A743="","",SUMIFS(Timesheet!$E$5:$E$3004,Timesheet!$D$5:$D$3004,$A743,Timesheet!$A$5:$A$3004,"&gt;="&amp;Settings!$B$8,Timesheet!$A$5:$A$3004,"&lt;="&amp;Settings!$B$9))</f>
        <v/>
      </c>
      <c r="F743" s="25" t="str">
        <f aca="false">IF($A743="","",SUMIFS(Timesheet!$F$5:$F$3004,Timesheet!$D$5:$D$3004,$A743,Timesheet!$A$5:$A$3004,"&gt;="&amp;Settings!$B$8,Timesheet!$A$5:$A$3004,"&lt;="&amp;Settings!$B$9))</f>
        <v/>
      </c>
      <c r="G743" s="25" t="str">
        <f aca="false">IF($A743="","",SUMIFS(Timesheet!$G$5:$G$3004,Timesheet!$D$5:$D$3004,$A743,Timesheet!$A$5:$A$3004,"&gt;="&amp;Settings!$B$8,Timesheet!$A$5:$A$3004,"&lt;="&amp;Settings!$B$9))</f>
        <v/>
      </c>
      <c r="H743" s="25" t="str">
        <f aca="false">IF($A743="","",IF(D743="Monthly",MAX(0,Settings!$B$11-E743),0))</f>
        <v/>
      </c>
      <c r="I743" s="26" t="str">
        <f aca="false">IF($A743="","",N(INDEX(Workers!$L$5:$L$2004,MATCH($A743,Workers!$A$5:$A$2004,0))))</f>
        <v/>
      </c>
      <c r="J743" s="26" t="str">
        <f aca="false">IF($A743="","",N(INDEX(Workers!$M$5:$M$2004,MATCH($A743,Workers!$A$5:$A$2004,0))))</f>
        <v/>
      </c>
      <c r="K743" s="26" t="str">
        <f aca="false">IF($A743="","",IF(D743="Monthly",ROUND(MAX(0,(I743+J743)-(I743+J743)/Settings!$B$10*H743),2),0))</f>
        <v/>
      </c>
      <c r="L743" s="26" t="str">
        <f aca="false">IF($A743="","",IF(D743="Hourly",ROUND(F743*N(INDEX(Workers!$N$5:$N$2004,MATCH($A743,Workers!$A$5:$A$2004,0))),2),0))</f>
        <v/>
      </c>
      <c r="M743" s="26" t="str">
        <f aca="false">IF($A743="","",ROUND(G743*IF(D743="Hourly",N(INDEX(Workers!$N$5:$N$2004,MATCH($A743,Workers!$A$5:$A$2004,0))),I743/Settings!$B$10/Settings!$B$12)*Settings!$B$13,2))</f>
        <v/>
      </c>
      <c r="N743" s="26" t="str">
        <f aca="false">IF($A743="","",K743+L743+M743)</f>
        <v/>
      </c>
      <c r="O743" s="26" t="str">
        <f aca="false">IF($A743="","",SUMIFS(Deductions!$D$5:$D$2000,Deductions!$B$5:$B$2000,$A743,Deductions!$C$5:$C$2000,"Advance",Deductions!$E$5:$E$2000,"&gt;="&amp;Settings!$B$8,Deductions!$E$5:$E$2000,"&lt;="&amp;Settings!$B$9))</f>
        <v/>
      </c>
      <c r="P743" s="26" t="str">
        <f aca="false">IF($A743="","",SUMIFS(Deductions!$D$5:$D$2000,Deductions!$B$5:$B$2000,$A743,Deductions!$E$5:$E$2000,"&gt;="&amp;Settings!$B$8,Deductions!$E$5:$E$2000,"&lt;="&amp;Settings!$B$9)-O743)</f>
        <v/>
      </c>
      <c r="Q743" s="26" t="str">
        <f aca="false">IF($A743="","",O743+P743)</f>
        <v/>
      </c>
      <c r="R743" s="23" t="str">
        <f aca="false">IF($A743="","",N743-Q743)</f>
        <v/>
      </c>
      <c r="S743" s="24" t="str">
        <f aca="false">IF($A743="","",INDEX(Workers!$O$5:$O$2004,MATCH($A743,Workers!$A$5:$A$2004,0))&amp;"")</f>
        <v/>
      </c>
      <c r="T743" s="24" t="str">
        <f aca="false">IF($A743="","",INDEX(Workers!$P$5:$P$2004,MATCH($A743,Workers!$A$5:$A$2004,0))&amp;"")</f>
        <v/>
      </c>
      <c r="U743" s="24" t="str">
        <f aca="false">IF($A743="","",INDEX(Workers!$H$5:$H$2004,MATCH($A743,Workers!$A$5:$A$2004,0))&amp;"")</f>
        <v/>
      </c>
    </row>
    <row r="744" customFormat="false" ht="15" hidden="false" customHeight="false" outlineLevel="0" collapsed="false">
      <c r="A744" s="24" t="str">
        <f aca="false">IFERROR(INDEX(Workers!$A$5:$A$2004,MATCH(ROW()-4,Workers!$U$5:$U$2004,0)),"")</f>
        <v/>
      </c>
      <c r="B744" s="24" t="str">
        <f aca="false">IF($A744="","",INDEX(Workers!$B$5:$B$2004,MATCH($A744,Workers!$A$5:$A$2004,0)))</f>
        <v/>
      </c>
      <c r="C744" s="24" t="str">
        <f aca="false">IF($A744="","",INDEX(Workers!$E$5:$E$2004,MATCH($A744,Workers!$A$5:$A$2004,0)))</f>
        <v/>
      </c>
      <c r="D744" s="24" t="str">
        <f aca="false">IF($A744="","",INDEX(Workers!$K$5:$K$2004,MATCH($A744,Workers!$A$5:$A$2004,0)))</f>
        <v/>
      </c>
      <c r="E744" s="25" t="str">
        <f aca="false">IF($A744="","",SUMIFS(Timesheet!$E$5:$E$3004,Timesheet!$D$5:$D$3004,$A744,Timesheet!$A$5:$A$3004,"&gt;="&amp;Settings!$B$8,Timesheet!$A$5:$A$3004,"&lt;="&amp;Settings!$B$9))</f>
        <v/>
      </c>
      <c r="F744" s="25" t="str">
        <f aca="false">IF($A744="","",SUMIFS(Timesheet!$F$5:$F$3004,Timesheet!$D$5:$D$3004,$A744,Timesheet!$A$5:$A$3004,"&gt;="&amp;Settings!$B$8,Timesheet!$A$5:$A$3004,"&lt;="&amp;Settings!$B$9))</f>
        <v/>
      </c>
      <c r="G744" s="25" t="str">
        <f aca="false">IF($A744="","",SUMIFS(Timesheet!$G$5:$G$3004,Timesheet!$D$5:$D$3004,$A744,Timesheet!$A$5:$A$3004,"&gt;="&amp;Settings!$B$8,Timesheet!$A$5:$A$3004,"&lt;="&amp;Settings!$B$9))</f>
        <v/>
      </c>
      <c r="H744" s="25" t="str">
        <f aca="false">IF($A744="","",IF(D744="Monthly",MAX(0,Settings!$B$11-E744),0))</f>
        <v/>
      </c>
      <c r="I744" s="26" t="str">
        <f aca="false">IF($A744="","",N(INDEX(Workers!$L$5:$L$2004,MATCH($A744,Workers!$A$5:$A$2004,0))))</f>
        <v/>
      </c>
      <c r="J744" s="26" t="str">
        <f aca="false">IF($A744="","",N(INDEX(Workers!$M$5:$M$2004,MATCH($A744,Workers!$A$5:$A$2004,0))))</f>
        <v/>
      </c>
      <c r="K744" s="26" t="str">
        <f aca="false">IF($A744="","",IF(D744="Monthly",ROUND(MAX(0,(I744+J744)-(I744+J744)/Settings!$B$10*H744),2),0))</f>
        <v/>
      </c>
      <c r="L744" s="26" t="str">
        <f aca="false">IF($A744="","",IF(D744="Hourly",ROUND(F744*N(INDEX(Workers!$N$5:$N$2004,MATCH($A744,Workers!$A$5:$A$2004,0))),2),0))</f>
        <v/>
      </c>
      <c r="M744" s="26" t="str">
        <f aca="false">IF($A744="","",ROUND(G744*IF(D744="Hourly",N(INDEX(Workers!$N$5:$N$2004,MATCH($A744,Workers!$A$5:$A$2004,0))),I744/Settings!$B$10/Settings!$B$12)*Settings!$B$13,2))</f>
        <v/>
      </c>
      <c r="N744" s="26" t="str">
        <f aca="false">IF($A744="","",K744+L744+M744)</f>
        <v/>
      </c>
      <c r="O744" s="26" t="str">
        <f aca="false">IF($A744="","",SUMIFS(Deductions!$D$5:$D$2000,Deductions!$B$5:$B$2000,$A744,Deductions!$C$5:$C$2000,"Advance",Deductions!$E$5:$E$2000,"&gt;="&amp;Settings!$B$8,Deductions!$E$5:$E$2000,"&lt;="&amp;Settings!$B$9))</f>
        <v/>
      </c>
      <c r="P744" s="26" t="str">
        <f aca="false">IF($A744="","",SUMIFS(Deductions!$D$5:$D$2000,Deductions!$B$5:$B$2000,$A744,Deductions!$E$5:$E$2000,"&gt;="&amp;Settings!$B$8,Deductions!$E$5:$E$2000,"&lt;="&amp;Settings!$B$9)-O744)</f>
        <v/>
      </c>
      <c r="Q744" s="26" t="str">
        <f aca="false">IF($A744="","",O744+P744)</f>
        <v/>
      </c>
      <c r="R744" s="23" t="str">
        <f aca="false">IF($A744="","",N744-Q744)</f>
        <v/>
      </c>
      <c r="S744" s="24" t="str">
        <f aca="false">IF($A744="","",INDEX(Workers!$O$5:$O$2004,MATCH($A744,Workers!$A$5:$A$2004,0))&amp;"")</f>
        <v/>
      </c>
      <c r="T744" s="24" t="str">
        <f aca="false">IF($A744="","",INDEX(Workers!$P$5:$P$2004,MATCH($A744,Workers!$A$5:$A$2004,0))&amp;"")</f>
        <v/>
      </c>
      <c r="U744" s="24" t="str">
        <f aca="false">IF($A744="","",INDEX(Workers!$H$5:$H$2004,MATCH($A744,Workers!$A$5:$A$2004,0))&amp;"")</f>
        <v/>
      </c>
    </row>
    <row r="745" customFormat="false" ht="15" hidden="false" customHeight="false" outlineLevel="0" collapsed="false">
      <c r="A745" s="24" t="str">
        <f aca="false">IFERROR(INDEX(Workers!$A$5:$A$2004,MATCH(ROW()-4,Workers!$U$5:$U$2004,0)),"")</f>
        <v/>
      </c>
      <c r="B745" s="24" t="str">
        <f aca="false">IF($A745="","",INDEX(Workers!$B$5:$B$2004,MATCH($A745,Workers!$A$5:$A$2004,0)))</f>
        <v/>
      </c>
      <c r="C745" s="24" t="str">
        <f aca="false">IF($A745="","",INDEX(Workers!$E$5:$E$2004,MATCH($A745,Workers!$A$5:$A$2004,0)))</f>
        <v/>
      </c>
      <c r="D745" s="24" t="str">
        <f aca="false">IF($A745="","",INDEX(Workers!$K$5:$K$2004,MATCH($A745,Workers!$A$5:$A$2004,0)))</f>
        <v/>
      </c>
      <c r="E745" s="25" t="str">
        <f aca="false">IF($A745="","",SUMIFS(Timesheet!$E$5:$E$3004,Timesheet!$D$5:$D$3004,$A745,Timesheet!$A$5:$A$3004,"&gt;="&amp;Settings!$B$8,Timesheet!$A$5:$A$3004,"&lt;="&amp;Settings!$B$9))</f>
        <v/>
      </c>
      <c r="F745" s="25" t="str">
        <f aca="false">IF($A745="","",SUMIFS(Timesheet!$F$5:$F$3004,Timesheet!$D$5:$D$3004,$A745,Timesheet!$A$5:$A$3004,"&gt;="&amp;Settings!$B$8,Timesheet!$A$5:$A$3004,"&lt;="&amp;Settings!$B$9))</f>
        <v/>
      </c>
      <c r="G745" s="25" t="str">
        <f aca="false">IF($A745="","",SUMIFS(Timesheet!$G$5:$G$3004,Timesheet!$D$5:$D$3004,$A745,Timesheet!$A$5:$A$3004,"&gt;="&amp;Settings!$B$8,Timesheet!$A$5:$A$3004,"&lt;="&amp;Settings!$B$9))</f>
        <v/>
      </c>
      <c r="H745" s="25" t="str">
        <f aca="false">IF($A745="","",IF(D745="Monthly",MAX(0,Settings!$B$11-E745),0))</f>
        <v/>
      </c>
      <c r="I745" s="26" t="str">
        <f aca="false">IF($A745="","",N(INDEX(Workers!$L$5:$L$2004,MATCH($A745,Workers!$A$5:$A$2004,0))))</f>
        <v/>
      </c>
      <c r="J745" s="26" t="str">
        <f aca="false">IF($A745="","",N(INDEX(Workers!$M$5:$M$2004,MATCH($A745,Workers!$A$5:$A$2004,0))))</f>
        <v/>
      </c>
      <c r="K745" s="26" t="str">
        <f aca="false">IF($A745="","",IF(D745="Monthly",ROUND(MAX(0,(I745+J745)-(I745+J745)/Settings!$B$10*H745),2),0))</f>
        <v/>
      </c>
      <c r="L745" s="26" t="str">
        <f aca="false">IF($A745="","",IF(D745="Hourly",ROUND(F745*N(INDEX(Workers!$N$5:$N$2004,MATCH($A745,Workers!$A$5:$A$2004,0))),2),0))</f>
        <v/>
      </c>
      <c r="M745" s="26" t="str">
        <f aca="false">IF($A745="","",ROUND(G745*IF(D745="Hourly",N(INDEX(Workers!$N$5:$N$2004,MATCH($A745,Workers!$A$5:$A$2004,0))),I745/Settings!$B$10/Settings!$B$12)*Settings!$B$13,2))</f>
        <v/>
      </c>
      <c r="N745" s="26" t="str">
        <f aca="false">IF($A745="","",K745+L745+M745)</f>
        <v/>
      </c>
      <c r="O745" s="26" t="str">
        <f aca="false">IF($A745="","",SUMIFS(Deductions!$D$5:$D$2000,Deductions!$B$5:$B$2000,$A745,Deductions!$C$5:$C$2000,"Advance",Deductions!$E$5:$E$2000,"&gt;="&amp;Settings!$B$8,Deductions!$E$5:$E$2000,"&lt;="&amp;Settings!$B$9))</f>
        <v/>
      </c>
      <c r="P745" s="26" t="str">
        <f aca="false">IF($A745="","",SUMIFS(Deductions!$D$5:$D$2000,Deductions!$B$5:$B$2000,$A745,Deductions!$E$5:$E$2000,"&gt;="&amp;Settings!$B$8,Deductions!$E$5:$E$2000,"&lt;="&amp;Settings!$B$9)-O745)</f>
        <v/>
      </c>
      <c r="Q745" s="26" t="str">
        <f aca="false">IF($A745="","",O745+P745)</f>
        <v/>
      </c>
      <c r="R745" s="23" t="str">
        <f aca="false">IF($A745="","",N745-Q745)</f>
        <v/>
      </c>
      <c r="S745" s="24" t="str">
        <f aca="false">IF($A745="","",INDEX(Workers!$O$5:$O$2004,MATCH($A745,Workers!$A$5:$A$2004,0))&amp;"")</f>
        <v/>
      </c>
      <c r="T745" s="24" t="str">
        <f aca="false">IF($A745="","",INDEX(Workers!$P$5:$P$2004,MATCH($A745,Workers!$A$5:$A$2004,0))&amp;"")</f>
        <v/>
      </c>
      <c r="U745" s="24" t="str">
        <f aca="false">IF($A745="","",INDEX(Workers!$H$5:$H$2004,MATCH($A745,Workers!$A$5:$A$2004,0))&amp;"")</f>
        <v/>
      </c>
    </row>
    <row r="746" customFormat="false" ht="15" hidden="false" customHeight="false" outlineLevel="0" collapsed="false">
      <c r="A746" s="24" t="str">
        <f aca="false">IFERROR(INDEX(Workers!$A$5:$A$2004,MATCH(ROW()-4,Workers!$U$5:$U$2004,0)),"")</f>
        <v/>
      </c>
      <c r="B746" s="24" t="str">
        <f aca="false">IF($A746="","",INDEX(Workers!$B$5:$B$2004,MATCH($A746,Workers!$A$5:$A$2004,0)))</f>
        <v/>
      </c>
      <c r="C746" s="24" t="str">
        <f aca="false">IF($A746="","",INDEX(Workers!$E$5:$E$2004,MATCH($A746,Workers!$A$5:$A$2004,0)))</f>
        <v/>
      </c>
      <c r="D746" s="24" t="str">
        <f aca="false">IF($A746="","",INDEX(Workers!$K$5:$K$2004,MATCH($A746,Workers!$A$5:$A$2004,0)))</f>
        <v/>
      </c>
      <c r="E746" s="25" t="str">
        <f aca="false">IF($A746="","",SUMIFS(Timesheet!$E$5:$E$3004,Timesheet!$D$5:$D$3004,$A746,Timesheet!$A$5:$A$3004,"&gt;="&amp;Settings!$B$8,Timesheet!$A$5:$A$3004,"&lt;="&amp;Settings!$B$9))</f>
        <v/>
      </c>
      <c r="F746" s="25" t="str">
        <f aca="false">IF($A746="","",SUMIFS(Timesheet!$F$5:$F$3004,Timesheet!$D$5:$D$3004,$A746,Timesheet!$A$5:$A$3004,"&gt;="&amp;Settings!$B$8,Timesheet!$A$5:$A$3004,"&lt;="&amp;Settings!$B$9))</f>
        <v/>
      </c>
      <c r="G746" s="25" t="str">
        <f aca="false">IF($A746="","",SUMIFS(Timesheet!$G$5:$G$3004,Timesheet!$D$5:$D$3004,$A746,Timesheet!$A$5:$A$3004,"&gt;="&amp;Settings!$B$8,Timesheet!$A$5:$A$3004,"&lt;="&amp;Settings!$B$9))</f>
        <v/>
      </c>
      <c r="H746" s="25" t="str">
        <f aca="false">IF($A746="","",IF(D746="Monthly",MAX(0,Settings!$B$11-E746),0))</f>
        <v/>
      </c>
      <c r="I746" s="26" t="str">
        <f aca="false">IF($A746="","",N(INDEX(Workers!$L$5:$L$2004,MATCH($A746,Workers!$A$5:$A$2004,0))))</f>
        <v/>
      </c>
      <c r="J746" s="26" t="str">
        <f aca="false">IF($A746="","",N(INDEX(Workers!$M$5:$M$2004,MATCH($A746,Workers!$A$5:$A$2004,0))))</f>
        <v/>
      </c>
      <c r="K746" s="26" t="str">
        <f aca="false">IF($A746="","",IF(D746="Monthly",ROUND(MAX(0,(I746+J746)-(I746+J746)/Settings!$B$10*H746),2),0))</f>
        <v/>
      </c>
      <c r="L746" s="26" t="str">
        <f aca="false">IF($A746="","",IF(D746="Hourly",ROUND(F746*N(INDEX(Workers!$N$5:$N$2004,MATCH($A746,Workers!$A$5:$A$2004,0))),2),0))</f>
        <v/>
      </c>
      <c r="M746" s="26" t="str">
        <f aca="false">IF($A746="","",ROUND(G746*IF(D746="Hourly",N(INDEX(Workers!$N$5:$N$2004,MATCH($A746,Workers!$A$5:$A$2004,0))),I746/Settings!$B$10/Settings!$B$12)*Settings!$B$13,2))</f>
        <v/>
      </c>
      <c r="N746" s="26" t="str">
        <f aca="false">IF($A746="","",K746+L746+M746)</f>
        <v/>
      </c>
      <c r="O746" s="26" t="str">
        <f aca="false">IF($A746="","",SUMIFS(Deductions!$D$5:$D$2000,Deductions!$B$5:$B$2000,$A746,Deductions!$C$5:$C$2000,"Advance",Deductions!$E$5:$E$2000,"&gt;="&amp;Settings!$B$8,Deductions!$E$5:$E$2000,"&lt;="&amp;Settings!$B$9))</f>
        <v/>
      </c>
      <c r="P746" s="26" t="str">
        <f aca="false">IF($A746="","",SUMIFS(Deductions!$D$5:$D$2000,Deductions!$B$5:$B$2000,$A746,Deductions!$E$5:$E$2000,"&gt;="&amp;Settings!$B$8,Deductions!$E$5:$E$2000,"&lt;="&amp;Settings!$B$9)-O746)</f>
        <v/>
      </c>
      <c r="Q746" s="26" t="str">
        <f aca="false">IF($A746="","",O746+P746)</f>
        <v/>
      </c>
      <c r="R746" s="23" t="str">
        <f aca="false">IF($A746="","",N746-Q746)</f>
        <v/>
      </c>
      <c r="S746" s="24" t="str">
        <f aca="false">IF($A746="","",INDEX(Workers!$O$5:$O$2004,MATCH($A746,Workers!$A$5:$A$2004,0))&amp;"")</f>
        <v/>
      </c>
      <c r="T746" s="24" t="str">
        <f aca="false">IF($A746="","",INDEX(Workers!$P$5:$P$2004,MATCH($A746,Workers!$A$5:$A$2004,0))&amp;"")</f>
        <v/>
      </c>
      <c r="U746" s="24" t="str">
        <f aca="false">IF($A746="","",INDEX(Workers!$H$5:$H$2004,MATCH($A746,Workers!$A$5:$A$2004,0))&amp;"")</f>
        <v/>
      </c>
    </row>
    <row r="747" customFormat="false" ht="15" hidden="false" customHeight="false" outlineLevel="0" collapsed="false">
      <c r="A747" s="24" t="str">
        <f aca="false">IFERROR(INDEX(Workers!$A$5:$A$2004,MATCH(ROW()-4,Workers!$U$5:$U$2004,0)),"")</f>
        <v/>
      </c>
      <c r="B747" s="24" t="str">
        <f aca="false">IF($A747="","",INDEX(Workers!$B$5:$B$2004,MATCH($A747,Workers!$A$5:$A$2004,0)))</f>
        <v/>
      </c>
      <c r="C747" s="24" t="str">
        <f aca="false">IF($A747="","",INDEX(Workers!$E$5:$E$2004,MATCH($A747,Workers!$A$5:$A$2004,0)))</f>
        <v/>
      </c>
      <c r="D747" s="24" t="str">
        <f aca="false">IF($A747="","",INDEX(Workers!$K$5:$K$2004,MATCH($A747,Workers!$A$5:$A$2004,0)))</f>
        <v/>
      </c>
      <c r="E747" s="25" t="str">
        <f aca="false">IF($A747="","",SUMIFS(Timesheet!$E$5:$E$3004,Timesheet!$D$5:$D$3004,$A747,Timesheet!$A$5:$A$3004,"&gt;="&amp;Settings!$B$8,Timesheet!$A$5:$A$3004,"&lt;="&amp;Settings!$B$9))</f>
        <v/>
      </c>
      <c r="F747" s="25" t="str">
        <f aca="false">IF($A747="","",SUMIFS(Timesheet!$F$5:$F$3004,Timesheet!$D$5:$D$3004,$A747,Timesheet!$A$5:$A$3004,"&gt;="&amp;Settings!$B$8,Timesheet!$A$5:$A$3004,"&lt;="&amp;Settings!$B$9))</f>
        <v/>
      </c>
      <c r="G747" s="25" t="str">
        <f aca="false">IF($A747="","",SUMIFS(Timesheet!$G$5:$G$3004,Timesheet!$D$5:$D$3004,$A747,Timesheet!$A$5:$A$3004,"&gt;="&amp;Settings!$B$8,Timesheet!$A$5:$A$3004,"&lt;="&amp;Settings!$B$9))</f>
        <v/>
      </c>
      <c r="H747" s="25" t="str">
        <f aca="false">IF($A747="","",IF(D747="Monthly",MAX(0,Settings!$B$11-E747),0))</f>
        <v/>
      </c>
      <c r="I747" s="26" t="str">
        <f aca="false">IF($A747="","",N(INDEX(Workers!$L$5:$L$2004,MATCH($A747,Workers!$A$5:$A$2004,0))))</f>
        <v/>
      </c>
      <c r="J747" s="26" t="str">
        <f aca="false">IF($A747="","",N(INDEX(Workers!$M$5:$M$2004,MATCH($A747,Workers!$A$5:$A$2004,0))))</f>
        <v/>
      </c>
      <c r="K747" s="26" t="str">
        <f aca="false">IF($A747="","",IF(D747="Monthly",ROUND(MAX(0,(I747+J747)-(I747+J747)/Settings!$B$10*H747),2),0))</f>
        <v/>
      </c>
      <c r="L747" s="26" t="str">
        <f aca="false">IF($A747="","",IF(D747="Hourly",ROUND(F747*N(INDEX(Workers!$N$5:$N$2004,MATCH($A747,Workers!$A$5:$A$2004,0))),2),0))</f>
        <v/>
      </c>
      <c r="M747" s="26" t="str">
        <f aca="false">IF($A747="","",ROUND(G747*IF(D747="Hourly",N(INDEX(Workers!$N$5:$N$2004,MATCH($A747,Workers!$A$5:$A$2004,0))),I747/Settings!$B$10/Settings!$B$12)*Settings!$B$13,2))</f>
        <v/>
      </c>
      <c r="N747" s="26" t="str">
        <f aca="false">IF($A747="","",K747+L747+M747)</f>
        <v/>
      </c>
      <c r="O747" s="26" t="str">
        <f aca="false">IF($A747="","",SUMIFS(Deductions!$D$5:$D$2000,Deductions!$B$5:$B$2000,$A747,Deductions!$C$5:$C$2000,"Advance",Deductions!$E$5:$E$2000,"&gt;="&amp;Settings!$B$8,Deductions!$E$5:$E$2000,"&lt;="&amp;Settings!$B$9))</f>
        <v/>
      </c>
      <c r="P747" s="26" t="str">
        <f aca="false">IF($A747="","",SUMIFS(Deductions!$D$5:$D$2000,Deductions!$B$5:$B$2000,$A747,Deductions!$E$5:$E$2000,"&gt;="&amp;Settings!$B$8,Deductions!$E$5:$E$2000,"&lt;="&amp;Settings!$B$9)-O747)</f>
        <v/>
      </c>
      <c r="Q747" s="26" t="str">
        <f aca="false">IF($A747="","",O747+P747)</f>
        <v/>
      </c>
      <c r="R747" s="23" t="str">
        <f aca="false">IF($A747="","",N747-Q747)</f>
        <v/>
      </c>
      <c r="S747" s="24" t="str">
        <f aca="false">IF($A747="","",INDEX(Workers!$O$5:$O$2004,MATCH($A747,Workers!$A$5:$A$2004,0))&amp;"")</f>
        <v/>
      </c>
      <c r="T747" s="24" t="str">
        <f aca="false">IF($A747="","",INDEX(Workers!$P$5:$P$2004,MATCH($A747,Workers!$A$5:$A$2004,0))&amp;"")</f>
        <v/>
      </c>
      <c r="U747" s="24" t="str">
        <f aca="false">IF($A747="","",INDEX(Workers!$H$5:$H$2004,MATCH($A747,Workers!$A$5:$A$2004,0))&amp;"")</f>
        <v/>
      </c>
    </row>
    <row r="748" customFormat="false" ht="15" hidden="false" customHeight="false" outlineLevel="0" collapsed="false">
      <c r="A748" s="24" t="str">
        <f aca="false">IFERROR(INDEX(Workers!$A$5:$A$2004,MATCH(ROW()-4,Workers!$U$5:$U$2004,0)),"")</f>
        <v/>
      </c>
      <c r="B748" s="24" t="str">
        <f aca="false">IF($A748="","",INDEX(Workers!$B$5:$B$2004,MATCH($A748,Workers!$A$5:$A$2004,0)))</f>
        <v/>
      </c>
      <c r="C748" s="24" t="str">
        <f aca="false">IF($A748="","",INDEX(Workers!$E$5:$E$2004,MATCH($A748,Workers!$A$5:$A$2004,0)))</f>
        <v/>
      </c>
      <c r="D748" s="24" t="str">
        <f aca="false">IF($A748="","",INDEX(Workers!$K$5:$K$2004,MATCH($A748,Workers!$A$5:$A$2004,0)))</f>
        <v/>
      </c>
      <c r="E748" s="25" t="str">
        <f aca="false">IF($A748="","",SUMIFS(Timesheet!$E$5:$E$3004,Timesheet!$D$5:$D$3004,$A748,Timesheet!$A$5:$A$3004,"&gt;="&amp;Settings!$B$8,Timesheet!$A$5:$A$3004,"&lt;="&amp;Settings!$B$9))</f>
        <v/>
      </c>
      <c r="F748" s="25" t="str">
        <f aca="false">IF($A748="","",SUMIFS(Timesheet!$F$5:$F$3004,Timesheet!$D$5:$D$3004,$A748,Timesheet!$A$5:$A$3004,"&gt;="&amp;Settings!$B$8,Timesheet!$A$5:$A$3004,"&lt;="&amp;Settings!$B$9))</f>
        <v/>
      </c>
      <c r="G748" s="25" t="str">
        <f aca="false">IF($A748="","",SUMIFS(Timesheet!$G$5:$G$3004,Timesheet!$D$5:$D$3004,$A748,Timesheet!$A$5:$A$3004,"&gt;="&amp;Settings!$B$8,Timesheet!$A$5:$A$3004,"&lt;="&amp;Settings!$B$9))</f>
        <v/>
      </c>
      <c r="H748" s="25" t="str">
        <f aca="false">IF($A748="","",IF(D748="Monthly",MAX(0,Settings!$B$11-E748),0))</f>
        <v/>
      </c>
      <c r="I748" s="26" t="str">
        <f aca="false">IF($A748="","",N(INDEX(Workers!$L$5:$L$2004,MATCH($A748,Workers!$A$5:$A$2004,0))))</f>
        <v/>
      </c>
      <c r="J748" s="26" t="str">
        <f aca="false">IF($A748="","",N(INDEX(Workers!$M$5:$M$2004,MATCH($A748,Workers!$A$5:$A$2004,0))))</f>
        <v/>
      </c>
      <c r="K748" s="26" t="str">
        <f aca="false">IF($A748="","",IF(D748="Monthly",ROUND(MAX(0,(I748+J748)-(I748+J748)/Settings!$B$10*H748),2),0))</f>
        <v/>
      </c>
      <c r="L748" s="26" t="str">
        <f aca="false">IF($A748="","",IF(D748="Hourly",ROUND(F748*N(INDEX(Workers!$N$5:$N$2004,MATCH($A748,Workers!$A$5:$A$2004,0))),2),0))</f>
        <v/>
      </c>
      <c r="M748" s="26" t="str">
        <f aca="false">IF($A748="","",ROUND(G748*IF(D748="Hourly",N(INDEX(Workers!$N$5:$N$2004,MATCH($A748,Workers!$A$5:$A$2004,0))),I748/Settings!$B$10/Settings!$B$12)*Settings!$B$13,2))</f>
        <v/>
      </c>
      <c r="N748" s="26" t="str">
        <f aca="false">IF($A748="","",K748+L748+M748)</f>
        <v/>
      </c>
      <c r="O748" s="26" t="str">
        <f aca="false">IF($A748="","",SUMIFS(Deductions!$D$5:$D$2000,Deductions!$B$5:$B$2000,$A748,Deductions!$C$5:$C$2000,"Advance",Deductions!$E$5:$E$2000,"&gt;="&amp;Settings!$B$8,Deductions!$E$5:$E$2000,"&lt;="&amp;Settings!$B$9))</f>
        <v/>
      </c>
      <c r="P748" s="26" t="str">
        <f aca="false">IF($A748="","",SUMIFS(Deductions!$D$5:$D$2000,Deductions!$B$5:$B$2000,$A748,Deductions!$E$5:$E$2000,"&gt;="&amp;Settings!$B$8,Deductions!$E$5:$E$2000,"&lt;="&amp;Settings!$B$9)-O748)</f>
        <v/>
      </c>
      <c r="Q748" s="26" t="str">
        <f aca="false">IF($A748="","",O748+P748)</f>
        <v/>
      </c>
      <c r="R748" s="23" t="str">
        <f aca="false">IF($A748="","",N748-Q748)</f>
        <v/>
      </c>
      <c r="S748" s="24" t="str">
        <f aca="false">IF($A748="","",INDEX(Workers!$O$5:$O$2004,MATCH($A748,Workers!$A$5:$A$2004,0))&amp;"")</f>
        <v/>
      </c>
      <c r="T748" s="24" t="str">
        <f aca="false">IF($A748="","",INDEX(Workers!$P$5:$P$2004,MATCH($A748,Workers!$A$5:$A$2004,0))&amp;"")</f>
        <v/>
      </c>
      <c r="U748" s="24" t="str">
        <f aca="false">IF($A748="","",INDEX(Workers!$H$5:$H$2004,MATCH($A748,Workers!$A$5:$A$2004,0))&amp;"")</f>
        <v/>
      </c>
    </row>
    <row r="749" customFormat="false" ht="15" hidden="false" customHeight="false" outlineLevel="0" collapsed="false">
      <c r="A749" s="24" t="str">
        <f aca="false">IFERROR(INDEX(Workers!$A$5:$A$2004,MATCH(ROW()-4,Workers!$U$5:$U$2004,0)),"")</f>
        <v/>
      </c>
      <c r="B749" s="24" t="str">
        <f aca="false">IF($A749="","",INDEX(Workers!$B$5:$B$2004,MATCH($A749,Workers!$A$5:$A$2004,0)))</f>
        <v/>
      </c>
      <c r="C749" s="24" t="str">
        <f aca="false">IF($A749="","",INDEX(Workers!$E$5:$E$2004,MATCH($A749,Workers!$A$5:$A$2004,0)))</f>
        <v/>
      </c>
      <c r="D749" s="24" t="str">
        <f aca="false">IF($A749="","",INDEX(Workers!$K$5:$K$2004,MATCH($A749,Workers!$A$5:$A$2004,0)))</f>
        <v/>
      </c>
      <c r="E749" s="25" t="str">
        <f aca="false">IF($A749="","",SUMIFS(Timesheet!$E$5:$E$3004,Timesheet!$D$5:$D$3004,$A749,Timesheet!$A$5:$A$3004,"&gt;="&amp;Settings!$B$8,Timesheet!$A$5:$A$3004,"&lt;="&amp;Settings!$B$9))</f>
        <v/>
      </c>
      <c r="F749" s="25" t="str">
        <f aca="false">IF($A749="","",SUMIFS(Timesheet!$F$5:$F$3004,Timesheet!$D$5:$D$3004,$A749,Timesheet!$A$5:$A$3004,"&gt;="&amp;Settings!$B$8,Timesheet!$A$5:$A$3004,"&lt;="&amp;Settings!$B$9))</f>
        <v/>
      </c>
      <c r="G749" s="25" t="str">
        <f aca="false">IF($A749="","",SUMIFS(Timesheet!$G$5:$G$3004,Timesheet!$D$5:$D$3004,$A749,Timesheet!$A$5:$A$3004,"&gt;="&amp;Settings!$B$8,Timesheet!$A$5:$A$3004,"&lt;="&amp;Settings!$B$9))</f>
        <v/>
      </c>
      <c r="H749" s="25" t="str">
        <f aca="false">IF($A749="","",IF(D749="Monthly",MAX(0,Settings!$B$11-E749),0))</f>
        <v/>
      </c>
      <c r="I749" s="26" t="str">
        <f aca="false">IF($A749="","",N(INDEX(Workers!$L$5:$L$2004,MATCH($A749,Workers!$A$5:$A$2004,0))))</f>
        <v/>
      </c>
      <c r="J749" s="26" t="str">
        <f aca="false">IF($A749="","",N(INDEX(Workers!$M$5:$M$2004,MATCH($A749,Workers!$A$5:$A$2004,0))))</f>
        <v/>
      </c>
      <c r="K749" s="26" t="str">
        <f aca="false">IF($A749="","",IF(D749="Monthly",ROUND(MAX(0,(I749+J749)-(I749+J749)/Settings!$B$10*H749),2),0))</f>
        <v/>
      </c>
      <c r="L749" s="26" t="str">
        <f aca="false">IF($A749="","",IF(D749="Hourly",ROUND(F749*N(INDEX(Workers!$N$5:$N$2004,MATCH($A749,Workers!$A$5:$A$2004,0))),2),0))</f>
        <v/>
      </c>
      <c r="M749" s="26" t="str">
        <f aca="false">IF($A749="","",ROUND(G749*IF(D749="Hourly",N(INDEX(Workers!$N$5:$N$2004,MATCH($A749,Workers!$A$5:$A$2004,0))),I749/Settings!$B$10/Settings!$B$12)*Settings!$B$13,2))</f>
        <v/>
      </c>
      <c r="N749" s="26" t="str">
        <f aca="false">IF($A749="","",K749+L749+M749)</f>
        <v/>
      </c>
      <c r="O749" s="26" t="str">
        <f aca="false">IF($A749="","",SUMIFS(Deductions!$D$5:$D$2000,Deductions!$B$5:$B$2000,$A749,Deductions!$C$5:$C$2000,"Advance",Deductions!$E$5:$E$2000,"&gt;="&amp;Settings!$B$8,Deductions!$E$5:$E$2000,"&lt;="&amp;Settings!$B$9))</f>
        <v/>
      </c>
      <c r="P749" s="26" t="str">
        <f aca="false">IF($A749="","",SUMIFS(Deductions!$D$5:$D$2000,Deductions!$B$5:$B$2000,$A749,Deductions!$E$5:$E$2000,"&gt;="&amp;Settings!$B$8,Deductions!$E$5:$E$2000,"&lt;="&amp;Settings!$B$9)-O749)</f>
        <v/>
      </c>
      <c r="Q749" s="26" t="str">
        <f aca="false">IF($A749="","",O749+P749)</f>
        <v/>
      </c>
      <c r="R749" s="23" t="str">
        <f aca="false">IF($A749="","",N749-Q749)</f>
        <v/>
      </c>
      <c r="S749" s="24" t="str">
        <f aca="false">IF($A749="","",INDEX(Workers!$O$5:$O$2004,MATCH($A749,Workers!$A$5:$A$2004,0))&amp;"")</f>
        <v/>
      </c>
      <c r="T749" s="24" t="str">
        <f aca="false">IF($A749="","",INDEX(Workers!$P$5:$P$2004,MATCH($A749,Workers!$A$5:$A$2004,0))&amp;"")</f>
        <v/>
      </c>
      <c r="U749" s="24" t="str">
        <f aca="false">IF($A749="","",INDEX(Workers!$H$5:$H$2004,MATCH($A749,Workers!$A$5:$A$2004,0))&amp;"")</f>
        <v/>
      </c>
    </row>
    <row r="750" customFormat="false" ht="15" hidden="false" customHeight="false" outlineLevel="0" collapsed="false">
      <c r="A750" s="24" t="str">
        <f aca="false">IFERROR(INDEX(Workers!$A$5:$A$2004,MATCH(ROW()-4,Workers!$U$5:$U$2004,0)),"")</f>
        <v/>
      </c>
      <c r="B750" s="24" t="str">
        <f aca="false">IF($A750="","",INDEX(Workers!$B$5:$B$2004,MATCH($A750,Workers!$A$5:$A$2004,0)))</f>
        <v/>
      </c>
      <c r="C750" s="24" t="str">
        <f aca="false">IF($A750="","",INDEX(Workers!$E$5:$E$2004,MATCH($A750,Workers!$A$5:$A$2004,0)))</f>
        <v/>
      </c>
      <c r="D750" s="24" t="str">
        <f aca="false">IF($A750="","",INDEX(Workers!$K$5:$K$2004,MATCH($A750,Workers!$A$5:$A$2004,0)))</f>
        <v/>
      </c>
      <c r="E750" s="25" t="str">
        <f aca="false">IF($A750="","",SUMIFS(Timesheet!$E$5:$E$3004,Timesheet!$D$5:$D$3004,$A750,Timesheet!$A$5:$A$3004,"&gt;="&amp;Settings!$B$8,Timesheet!$A$5:$A$3004,"&lt;="&amp;Settings!$B$9))</f>
        <v/>
      </c>
      <c r="F750" s="25" t="str">
        <f aca="false">IF($A750="","",SUMIFS(Timesheet!$F$5:$F$3004,Timesheet!$D$5:$D$3004,$A750,Timesheet!$A$5:$A$3004,"&gt;="&amp;Settings!$B$8,Timesheet!$A$5:$A$3004,"&lt;="&amp;Settings!$B$9))</f>
        <v/>
      </c>
      <c r="G750" s="25" t="str">
        <f aca="false">IF($A750="","",SUMIFS(Timesheet!$G$5:$G$3004,Timesheet!$D$5:$D$3004,$A750,Timesheet!$A$5:$A$3004,"&gt;="&amp;Settings!$B$8,Timesheet!$A$5:$A$3004,"&lt;="&amp;Settings!$B$9))</f>
        <v/>
      </c>
      <c r="H750" s="25" t="str">
        <f aca="false">IF($A750="","",IF(D750="Monthly",MAX(0,Settings!$B$11-E750),0))</f>
        <v/>
      </c>
      <c r="I750" s="26" t="str">
        <f aca="false">IF($A750="","",N(INDEX(Workers!$L$5:$L$2004,MATCH($A750,Workers!$A$5:$A$2004,0))))</f>
        <v/>
      </c>
      <c r="J750" s="26" t="str">
        <f aca="false">IF($A750="","",N(INDEX(Workers!$M$5:$M$2004,MATCH($A750,Workers!$A$5:$A$2004,0))))</f>
        <v/>
      </c>
      <c r="K750" s="26" t="str">
        <f aca="false">IF($A750="","",IF(D750="Monthly",ROUND(MAX(0,(I750+J750)-(I750+J750)/Settings!$B$10*H750),2),0))</f>
        <v/>
      </c>
      <c r="L750" s="26" t="str">
        <f aca="false">IF($A750="","",IF(D750="Hourly",ROUND(F750*N(INDEX(Workers!$N$5:$N$2004,MATCH($A750,Workers!$A$5:$A$2004,0))),2),0))</f>
        <v/>
      </c>
      <c r="M750" s="26" t="str">
        <f aca="false">IF($A750="","",ROUND(G750*IF(D750="Hourly",N(INDEX(Workers!$N$5:$N$2004,MATCH($A750,Workers!$A$5:$A$2004,0))),I750/Settings!$B$10/Settings!$B$12)*Settings!$B$13,2))</f>
        <v/>
      </c>
      <c r="N750" s="26" t="str">
        <f aca="false">IF($A750="","",K750+L750+M750)</f>
        <v/>
      </c>
      <c r="O750" s="26" t="str">
        <f aca="false">IF($A750="","",SUMIFS(Deductions!$D$5:$D$2000,Deductions!$B$5:$B$2000,$A750,Deductions!$C$5:$C$2000,"Advance",Deductions!$E$5:$E$2000,"&gt;="&amp;Settings!$B$8,Deductions!$E$5:$E$2000,"&lt;="&amp;Settings!$B$9))</f>
        <v/>
      </c>
      <c r="P750" s="26" t="str">
        <f aca="false">IF($A750="","",SUMIFS(Deductions!$D$5:$D$2000,Deductions!$B$5:$B$2000,$A750,Deductions!$E$5:$E$2000,"&gt;="&amp;Settings!$B$8,Deductions!$E$5:$E$2000,"&lt;="&amp;Settings!$B$9)-O750)</f>
        <v/>
      </c>
      <c r="Q750" s="26" t="str">
        <f aca="false">IF($A750="","",O750+P750)</f>
        <v/>
      </c>
      <c r="R750" s="23" t="str">
        <f aca="false">IF($A750="","",N750-Q750)</f>
        <v/>
      </c>
      <c r="S750" s="24" t="str">
        <f aca="false">IF($A750="","",INDEX(Workers!$O$5:$O$2004,MATCH($A750,Workers!$A$5:$A$2004,0))&amp;"")</f>
        <v/>
      </c>
      <c r="T750" s="24" t="str">
        <f aca="false">IF($A750="","",INDEX(Workers!$P$5:$P$2004,MATCH($A750,Workers!$A$5:$A$2004,0))&amp;"")</f>
        <v/>
      </c>
      <c r="U750" s="24" t="str">
        <f aca="false">IF($A750="","",INDEX(Workers!$H$5:$H$2004,MATCH($A750,Workers!$A$5:$A$2004,0))&amp;"")</f>
        <v/>
      </c>
    </row>
    <row r="751" customFormat="false" ht="15" hidden="false" customHeight="false" outlineLevel="0" collapsed="false">
      <c r="A751" s="24" t="str">
        <f aca="false">IFERROR(INDEX(Workers!$A$5:$A$2004,MATCH(ROW()-4,Workers!$U$5:$U$2004,0)),"")</f>
        <v/>
      </c>
      <c r="B751" s="24" t="str">
        <f aca="false">IF($A751="","",INDEX(Workers!$B$5:$B$2004,MATCH($A751,Workers!$A$5:$A$2004,0)))</f>
        <v/>
      </c>
      <c r="C751" s="24" t="str">
        <f aca="false">IF($A751="","",INDEX(Workers!$E$5:$E$2004,MATCH($A751,Workers!$A$5:$A$2004,0)))</f>
        <v/>
      </c>
      <c r="D751" s="24" t="str">
        <f aca="false">IF($A751="","",INDEX(Workers!$K$5:$K$2004,MATCH($A751,Workers!$A$5:$A$2004,0)))</f>
        <v/>
      </c>
      <c r="E751" s="25" t="str">
        <f aca="false">IF($A751="","",SUMIFS(Timesheet!$E$5:$E$3004,Timesheet!$D$5:$D$3004,$A751,Timesheet!$A$5:$A$3004,"&gt;="&amp;Settings!$B$8,Timesheet!$A$5:$A$3004,"&lt;="&amp;Settings!$B$9))</f>
        <v/>
      </c>
      <c r="F751" s="25" t="str">
        <f aca="false">IF($A751="","",SUMIFS(Timesheet!$F$5:$F$3004,Timesheet!$D$5:$D$3004,$A751,Timesheet!$A$5:$A$3004,"&gt;="&amp;Settings!$B$8,Timesheet!$A$5:$A$3004,"&lt;="&amp;Settings!$B$9))</f>
        <v/>
      </c>
      <c r="G751" s="25" t="str">
        <f aca="false">IF($A751="","",SUMIFS(Timesheet!$G$5:$G$3004,Timesheet!$D$5:$D$3004,$A751,Timesheet!$A$5:$A$3004,"&gt;="&amp;Settings!$B$8,Timesheet!$A$5:$A$3004,"&lt;="&amp;Settings!$B$9))</f>
        <v/>
      </c>
      <c r="H751" s="25" t="str">
        <f aca="false">IF($A751="","",IF(D751="Monthly",MAX(0,Settings!$B$11-E751),0))</f>
        <v/>
      </c>
      <c r="I751" s="26" t="str">
        <f aca="false">IF($A751="","",N(INDEX(Workers!$L$5:$L$2004,MATCH($A751,Workers!$A$5:$A$2004,0))))</f>
        <v/>
      </c>
      <c r="J751" s="26" t="str">
        <f aca="false">IF($A751="","",N(INDEX(Workers!$M$5:$M$2004,MATCH($A751,Workers!$A$5:$A$2004,0))))</f>
        <v/>
      </c>
      <c r="K751" s="26" t="str">
        <f aca="false">IF($A751="","",IF(D751="Monthly",ROUND(MAX(0,(I751+J751)-(I751+J751)/Settings!$B$10*H751),2),0))</f>
        <v/>
      </c>
      <c r="L751" s="26" t="str">
        <f aca="false">IF($A751="","",IF(D751="Hourly",ROUND(F751*N(INDEX(Workers!$N$5:$N$2004,MATCH($A751,Workers!$A$5:$A$2004,0))),2),0))</f>
        <v/>
      </c>
      <c r="M751" s="26" t="str">
        <f aca="false">IF($A751="","",ROUND(G751*IF(D751="Hourly",N(INDEX(Workers!$N$5:$N$2004,MATCH($A751,Workers!$A$5:$A$2004,0))),I751/Settings!$B$10/Settings!$B$12)*Settings!$B$13,2))</f>
        <v/>
      </c>
      <c r="N751" s="26" t="str">
        <f aca="false">IF($A751="","",K751+L751+M751)</f>
        <v/>
      </c>
      <c r="O751" s="26" t="str">
        <f aca="false">IF($A751="","",SUMIFS(Deductions!$D$5:$D$2000,Deductions!$B$5:$B$2000,$A751,Deductions!$C$5:$C$2000,"Advance",Deductions!$E$5:$E$2000,"&gt;="&amp;Settings!$B$8,Deductions!$E$5:$E$2000,"&lt;="&amp;Settings!$B$9))</f>
        <v/>
      </c>
      <c r="P751" s="26" t="str">
        <f aca="false">IF($A751="","",SUMIFS(Deductions!$D$5:$D$2000,Deductions!$B$5:$B$2000,$A751,Deductions!$E$5:$E$2000,"&gt;="&amp;Settings!$B$8,Deductions!$E$5:$E$2000,"&lt;="&amp;Settings!$B$9)-O751)</f>
        <v/>
      </c>
      <c r="Q751" s="26" t="str">
        <f aca="false">IF($A751="","",O751+P751)</f>
        <v/>
      </c>
      <c r="R751" s="23" t="str">
        <f aca="false">IF($A751="","",N751-Q751)</f>
        <v/>
      </c>
      <c r="S751" s="24" t="str">
        <f aca="false">IF($A751="","",INDEX(Workers!$O$5:$O$2004,MATCH($A751,Workers!$A$5:$A$2004,0))&amp;"")</f>
        <v/>
      </c>
      <c r="T751" s="24" t="str">
        <f aca="false">IF($A751="","",INDEX(Workers!$P$5:$P$2004,MATCH($A751,Workers!$A$5:$A$2004,0))&amp;"")</f>
        <v/>
      </c>
      <c r="U751" s="24" t="str">
        <f aca="false">IF($A751="","",INDEX(Workers!$H$5:$H$2004,MATCH($A751,Workers!$A$5:$A$2004,0))&amp;"")</f>
        <v/>
      </c>
    </row>
    <row r="752" customFormat="false" ht="15" hidden="false" customHeight="false" outlineLevel="0" collapsed="false">
      <c r="A752" s="24" t="str">
        <f aca="false">IFERROR(INDEX(Workers!$A$5:$A$2004,MATCH(ROW()-4,Workers!$U$5:$U$2004,0)),"")</f>
        <v/>
      </c>
      <c r="B752" s="24" t="str">
        <f aca="false">IF($A752="","",INDEX(Workers!$B$5:$B$2004,MATCH($A752,Workers!$A$5:$A$2004,0)))</f>
        <v/>
      </c>
      <c r="C752" s="24" t="str">
        <f aca="false">IF($A752="","",INDEX(Workers!$E$5:$E$2004,MATCH($A752,Workers!$A$5:$A$2004,0)))</f>
        <v/>
      </c>
      <c r="D752" s="24" t="str">
        <f aca="false">IF($A752="","",INDEX(Workers!$K$5:$K$2004,MATCH($A752,Workers!$A$5:$A$2004,0)))</f>
        <v/>
      </c>
      <c r="E752" s="25" t="str">
        <f aca="false">IF($A752="","",SUMIFS(Timesheet!$E$5:$E$3004,Timesheet!$D$5:$D$3004,$A752,Timesheet!$A$5:$A$3004,"&gt;="&amp;Settings!$B$8,Timesheet!$A$5:$A$3004,"&lt;="&amp;Settings!$B$9))</f>
        <v/>
      </c>
      <c r="F752" s="25" t="str">
        <f aca="false">IF($A752="","",SUMIFS(Timesheet!$F$5:$F$3004,Timesheet!$D$5:$D$3004,$A752,Timesheet!$A$5:$A$3004,"&gt;="&amp;Settings!$B$8,Timesheet!$A$5:$A$3004,"&lt;="&amp;Settings!$B$9))</f>
        <v/>
      </c>
      <c r="G752" s="25" t="str">
        <f aca="false">IF($A752="","",SUMIFS(Timesheet!$G$5:$G$3004,Timesheet!$D$5:$D$3004,$A752,Timesheet!$A$5:$A$3004,"&gt;="&amp;Settings!$B$8,Timesheet!$A$5:$A$3004,"&lt;="&amp;Settings!$B$9))</f>
        <v/>
      </c>
      <c r="H752" s="25" t="str">
        <f aca="false">IF($A752="","",IF(D752="Monthly",MAX(0,Settings!$B$11-E752),0))</f>
        <v/>
      </c>
      <c r="I752" s="26" t="str">
        <f aca="false">IF($A752="","",N(INDEX(Workers!$L$5:$L$2004,MATCH($A752,Workers!$A$5:$A$2004,0))))</f>
        <v/>
      </c>
      <c r="J752" s="26" t="str">
        <f aca="false">IF($A752="","",N(INDEX(Workers!$M$5:$M$2004,MATCH($A752,Workers!$A$5:$A$2004,0))))</f>
        <v/>
      </c>
      <c r="K752" s="26" t="str">
        <f aca="false">IF($A752="","",IF(D752="Monthly",ROUND(MAX(0,(I752+J752)-(I752+J752)/Settings!$B$10*H752),2),0))</f>
        <v/>
      </c>
      <c r="L752" s="26" t="str">
        <f aca="false">IF($A752="","",IF(D752="Hourly",ROUND(F752*N(INDEX(Workers!$N$5:$N$2004,MATCH($A752,Workers!$A$5:$A$2004,0))),2),0))</f>
        <v/>
      </c>
      <c r="M752" s="26" t="str">
        <f aca="false">IF($A752="","",ROUND(G752*IF(D752="Hourly",N(INDEX(Workers!$N$5:$N$2004,MATCH($A752,Workers!$A$5:$A$2004,0))),I752/Settings!$B$10/Settings!$B$12)*Settings!$B$13,2))</f>
        <v/>
      </c>
      <c r="N752" s="26" t="str">
        <f aca="false">IF($A752="","",K752+L752+M752)</f>
        <v/>
      </c>
      <c r="O752" s="26" t="str">
        <f aca="false">IF($A752="","",SUMIFS(Deductions!$D$5:$D$2000,Deductions!$B$5:$B$2000,$A752,Deductions!$C$5:$C$2000,"Advance",Deductions!$E$5:$E$2000,"&gt;="&amp;Settings!$B$8,Deductions!$E$5:$E$2000,"&lt;="&amp;Settings!$B$9))</f>
        <v/>
      </c>
      <c r="P752" s="26" t="str">
        <f aca="false">IF($A752="","",SUMIFS(Deductions!$D$5:$D$2000,Deductions!$B$5:$B$2000,$A752,Deductions!$E$5:$E$2000,"&gt;="&amp;Settings!$B$8,Deductions!$E$5:$E$2000,"&lt;="&amp;Settings!$B$9)-O752)</f>
        <v/>
      </c>
      <c r="Q752" s="26" t="str">
        <f aca="false">IF($A752="","",O752+P752)</f>
        <v/>
      </c>
      <c r="R752" s="23" t="str">
        <f aca="false">IF($A752="","",N752-Q752)</f>
        <v/>
      </c>
      <c r="S752" s="24" t="str">
        <f aca="false">IF($A752="","",INDEX(Workers!$O$5:$O$2004,MATCH($A752,Workers!$A$5:$A$2004,0))&amp;"")</f>
        <v/>
      </c>
      <c r="T752" s="24" t="str">
        <f aca="false">IF($A752="","",INDEX(Workers!$P$5:$P$2004,MATCH($A752,Workers!$A$5:$A$2004,0))&amp;"")</f>
        <v/>
      </c>
      <c r="U752" s="24" t="str">
        <f aca="false">IF($A752="","",INDEX(Workers!$H$5:$H$2004,MATCH($A752,Workers!$A$5:$A$2004,0))&amp;"")</f>
        <v/>
      </c>
    </row>
    <row r="753" customFormat="false" ht="15" hidden="false" customHeight="false" outlineLevel="0" collapsed="false">
      <c r="A753" s="24" t="str">
        <f aca="false">IFERROR(INDEX(Workers!$A$5:$A$2004,MATCH(ROW()-4,Workers!$U$5:$U$2004,0)),"")</f>
        <v/>
      </c>
      <c r="B753" s="24" t="str">
        <f aca="false">IF($A753="","",INDEX(Workers!$B$5:$B$2004,MATCH($A753,Workers!$A$5:$A$2004,0)))</f>
        <v/>
      </c>
      <c r="C753" s="24" t="str">
        <f aca="false">IF($A753="","",INDEX(Workers!$E$5:$E$2004,MATCH($A753,Workers!$A$5:$A$2004,0)))</f>
        <v/>
      </c>
      <c r="D753" s="24" t="str">
        <f aca="false">IF($A753="","",INDEX(Workers!$K$5:$K$2004,MATCH($A753,Workers!$A$5:$A$2004,0)))</f>
        <v/>
      </c>
      <c r="E753" s="25" t="str">
        <f aca="false">IF($A753="","",SUMIFS(Timesheet!$E$5:$E$3004,Timesheet!$D$5:$D$3004,$A753,Timesheet!$A$5:$A$3004,"&gt;="&amp;Settings!$B$8,Timesheet!$A$5:$A$3004,"&lt;="&amp;Settings!$B$9))</f>
        <v/>
      </c>
      <c r="F753" s="25" t="str">
        <f aca="false">IF($A753="","",SUMIFS(Timesheet!$F$5:$F$3004,Timesheet!$D$5:$D$3004,$A753,Timesheet!$A$5:$A$3004,"&gt;="&amp;Settings!$B$8,Timesheet!$A$5:$A$3004,"&lt;="&amp;Settings!$B$9))</f>
        <v/>
      </c>
      <c r="G753" s="25" t="str">
        <f aca="false">IF($A753="","",SUMIFS(Timesheet!$G$5:$G$3004,Timesheet!$D$5:$D$3004,$A753,Timesheet!$A$5:$A$3004,"&gt;="&amp;Settings!$B$8,Timesheet!$A$5:$A$3004,"&lt;="&amp;Settings!$B$9))</f>
        <v/>
      </c>
      <c r="H753" s="25" t="str">
        <f aca="false">IF($A753="","",IF(D753="Monthly",MAX(0,Settings!$B$11-E753),0))</f>
        <v/>
      </c>
      <c r="I753" s="26" t="str">
        <f aca="false">IF($A753="","",N(INDEX(Workers!$L$5:$L$2004,MATCH($A753,Workers!$A$5:$A$2004,0))))</f>
        <v/>
      </c>
      <c r="J753" s="26" t="str">
        <f aca="false">IF($A753="","",N(INDEX(Workers!$M$5:$M$2004,MATCH($A753,Workers!$A$5:$A$2004,0))))</f>
        <v/>
      </c>
      <c r="K753" s="26" t="str">
        <f aca="false">IF($A753="","",IF(D753="Monthly",ROUND(MAX(0,(I753+J753)-(I753+J753)/Settings!$B$10*H753),2),0))</f>
        <v/>
      </c>
      <c r="L753" s="26" t="str">
        <f aca="false">IF($A753="","",IF(D753="Hourly",ROUND(F753*N(INDEX(Workers!$N$5:$N$2004,MATCH($A753,Workers!$A$5:$A$2004,0))),2),0))</f>
        <v/>
      </c>
      <c r="M753" s="26" t="str">
        <f aca="false">IF($A753="","",ROUND(G753*IF(D753="Hourly",N(INDEX(Workers!$N$5:$N$2004,MATCH($A753,Workers!$A$5:$A$2004,0))),I753/Settings!$B$10/Settings!$B$12)*Settings!$B$13,2))</f>
        <v/>
      </c>
      <c r="N753" s="26" t="str">
        <f aca="false">IF($A753="","",K753+L753+M753)</f>
        <v/>
      </c>
      <c r="O753" s="26" t="str">
        <f aca="false">IF($A753="","",SUMIFS(Deductions!$D$5:$D$2000,Deductions!$B$5:$B$2000,$A753,Deductions!$C$5:$C$2000,"Advance",Deductions!$E$5:$E$2000,"&gt;="&amp;Settings!$B$8,Deductions!$E$5:$E$2000,"&lt;="&amp;Settings!$B$9))</f>
        <v/>
      </c>
      <c r="P753" s="26" t="str">
        <f aca="false">IF($A753="","",SUMIFS(Deductions!$D$5:$D$2000,Deductions!$B$5:$B$2000,$A753,Deductions!$E$5:$E$2000,"&gt;="&amp;Settings!$B$8,Deductions!$E$5:$E$2000,"&lt;="&amp;Settings!$B$9)-O753)</f>
        <v/>
      </c>
      <c r="Q753" s="26" t="str">
        <f aca="false">IF($A753="","",O753+P753)</f>
        <v/>
      </c>
      <c r="R753" s="23" t="str">
        <f aca="false">IF($A753="","",N753-Q753)</f>
        <v/>
      </c>
      <c r="S753" s="24" t="str">
        <f aca="false">IF($A753="","",INDEX(Workers!$O$5:$O$2004,MATCH($A753,Workers!$A$5:$A$2004,0))&amp;"")</f>
        <v/>
      </c>
      <c r="T753" s="24" t="str">
        <f aca="false">IF($A753="","",INDEX(Workers!$P$5:$P$2004,MATCH($A753,Workers!$A$5:$A$2004,0))&amp;"")</f>
        <v/>
      </c>
      <c r="U753" s="24" t="str">
        <f aca="false">IF($A753="","",INDEX(Workers!$H$5:$H$2004,MATCH($A753,Workers!$A$5:$A$2004,0))&amp;"")</f>
        <v/>
      </c>
    </row>
    <row r="754" customFormat="false" ht="15" hidden="false" customHeight="false" outlineLevel="0" collapsed="false">
      <c r="A754" s="24" t="str">
        <f aca="false">IFERROR(INDEX(Workers!$A$5:$A$2004,MATCH(ROW()-4,Workers!$U$5:$U$2004,0)),"")</f>
        <v/>
      </c>
      <c r="B754" s="24" t="str">
        <f aca="false">IF($A754="","",INDEX(Workers!$B$5:$B$2004,MATCH($A754,Workers!$A$5:$A$2004,0)))</f>
        <v/>
      </c>
      <c r="C754" s="24" t="str">
        <f aca="false">IF($A754="","",INDEX(Workers!$E$5:$E$2004,MATCH($A754,Workers!$A$5:$A$2004,0)))</f>
        <v/>
      </c>
      <c r="D754" s="24" t="str">
        <f aca="false">IF($A754="","",INDEX(Workers!$K$5:$K$2004,MATCH($A754,Workers!$A$5:$A$2004,0)))</f>
        <v/>
      </c>
      <c r="E754" s="25" t="str">
        <f aca="false">IF($A754="","",SUMIFS(Timesheet!$E$5:$E$3004,Timesheet!$D$5:$D$3004,$A754,Timesheet!$A$5:$A$3004,"&gt;="&amp;Settings!$B$8,Timesheet!$A$5:$A$3004,"&lt;="&amp;Settings!$B$9))</f>
        <v/>
      </c>
      <c r="F754" s="25" t="str">
        <f aca="false">IF($A754="","",SUMIFS(Timesheet!$F$5:$F$3004,Timesheet!$D$5:$D$3004,$A754,Timesheet!$A$5:$A$3004,"&gt;="&amp;Settings!$B$8,Timesheet!$A$5:$A$3004,"&lt;="&amp;Settings!$B$9))</f>
        <v/>
      </c>
      <c r="G754" s="25" t="str">
        <f aca="false">IF($A754="","",SUMIFS(Timesheet!$G$5:$G$3004,Timesheet!$D$5:$D$3004,$A754,Timesheet!$A$5:$A$3004,"&gt;="&amp;Settings!$B$8,Timesheet!$A$5:$A$3004,"&lt;="&amp;Settings!$B$9))</f>
        <v/>
      </c>
      <c r="H754" s="25" t="str">
        <f aca="false">IF($A754="","",IF(D754="Monthly",MAX(0,Settings!$B$11-E754),0))</f>
        <v/>
      </c>
      <c r="I754" s="26" t="str">
        <f aca="false">IF($A754="","",N(INDEX(Workers!$L$5:$L$2004,MATCH($A754,Workers!$A$5:$A$2004,0))))</f>
        <v/>
      </c>
      <c r="J754" s="26" t="str">
        <f aca="false">IF($A754="","",N(INDEX(Workers!$M$5:$M$2004,MATCH($A754,Workers!$A$5:$A$2004,0))))</f>
        <v/>
      </c>
      <c r="K754" s="26" t="str">
        <f aca="false">IF($A754="","",IF(D754="Monthly",ROUND(MAX(0,(I754+J754)-(I754+J754)/Settings!$B$10*H754),2),0))</f>
        <v/>
      </c>
      <c r="L754" s="26" t="str">
        <f aca="false">IF($A754="","",IF(D754="Hourly",ROUND(F754*N(INDEX(Workers!$N$5:$N$2004,MATCH($A754,Workers!$A$5:$A$2004,0))),2),0))</f>
        <v/>
      </c>
      <c r="M754" s="26" t="str">
        <f aca="false">IF($A754="","",ROUND(G754*IF(D754="Hourly",N(INDEX(Workers!$N$5:$N$2004,MATCH($A754,Workers!$A$5:$A$2004,0))),I754/Settings!$B$10/Settings!$B$12)*Settings!$B$13,2))</f>
        <v/>
      </c>
      <c r="N754" s="26" t="str">
        <f aca="false">IF($A754="","",K754+L754+M754)</f>
        <v/>
      </c>
      <c r="O754" s="26" t="str">
        <f aca="false">IF($A754="","",SUMIFS(Deductions!$D$5:$D$2000,Deductions!$B$5:$B$2000,$A754,Deductions!$C$5:$C$2000,"Advance",Deductions!$E$5:$E$2000,"&gt;="&amp;Settings!$B$8,Deductions!$E$5:$E$2000,"&lt;="&amp;Settings!$B$9))</f>
        <v/>
      </c>
      <c r="P754" s="26" t="str">
        <f aca="false">IF($A754="","",SUMIFS(Deductions!$D$5:$D$2000,Deductions!$B$5:$B$2000,$A754,Deductions!$E$5:$E$2000,"&gt;="&amp;Settings!$B$8,Deductions!$E$5:$E$2000,"&lt;="&amp;Settings!$B$9)-O754)</f>
        <v/>
      </c>
      <c r="Q754" s="26" t="str">
        <f aca="false">IF($A754="","",O754+P754)</f>
        <v/>
      </c>
      <c r="R754" s="23" t="str">
        <f aca="false">IF($A754="","",N754-Q754)</f>
        <v/>
      </c>
      <c r="S754" s="24" t="str">
        <f aca="false">IF($A754="","",INDEX(Workers!$O$5:$O$2004,MATCH($A754,Workers!$A$5:$A$2004,0))&amp;"")</f>
        <v/>
      </c>
      <c r="T754" s="24" t="str">
        <f aca="false">IF($A754="","",INDEX(Workers!$P$5:$P$2004,MATCH($A754,Workers!$A$5:$A$2004,0))&amp;"")</f>
        <v/>
      </c>
      <c r="U754" s="24" t="str">
        <f aca="false">IF($A754="","",INDEX(Workers!$H$5:$H$2004,MATCH($A754,Workers!$A$5:$A$2004,0))&amp;"")</f>
        <v/>
      </c>
    </row>
    <row r="755" customFormat="false" ht="15" hidden="false" customHeight="false" outlineLevel="0" collapsed="false">
      <c r="A755" s="24" t="str">
        <f aca="false">IFERROR(INDEX(Workers!$A$5:$A$2004,MATCH(ROW()-4,Workers!$U$5:$U$2004,0)),"")</f>
        <v/>
      </c>
      <c r="B755" s="24" t="str">
        <f aca="false">IF($A755="","",INDEX(Workers!$B$5:$B$2004,MATCH($A755,Workers!$A$5:$A$2004,0)))</f>
        <v/>
      </c>
      <c r="C755" s="24" t="str">
        <f aca="false">IF($A755="","",INDEX(Workers!$E$5:$E$2004,MATCH($A755,Workers!$A$5:$A$2004,0)))</f>
        <v/>
      </c>
      <c r="D755" s="24" t="str">
        <f aca="false">IF($A755="","",INDEX(Workers!$K$5:$K$2004,MATCH($A755,Workers!$A$5:$A$2004,0)))</f>
        <v/>
      </c>
      <c r="E755" s="25" t="str">
        <f aca="false">IF($A755="","",SUMIFS(Timesheet!$E$5:$E$3004,Timesheet!$D$5:$D$3004,$A755,Timesheet!$A$5:$A$3004,"&gt;="&amp;Settings!$B$8,Timesheet!$A$5:$A$3004,"&lt;="&amp;Settings!$B$9))</f>
        <v/>
      </c>
      <c r="F755" s="25" t="str">
        <f aca="false">IF($A755="","",SUMIFS(Timesheet!$F$5:$F$3004,Timesheet!$D$5:$D$3004,$A755,Timesheet!$A$5:$A$3004,"&gt;="&amp;Settings!$B$8,Timesheet!$A$5:$A$3004,"&lt;="&amp;Settings!$B$9))</f>
        <v/>
      </c>
      <c r="G755" s="25" t="str">
        <f aca="false">IF($A755="","",SUMIFS(Timesheet!$G$5:$G$3004,Timesheet!$D$5:$D$3004,$A755,Timesheet!$A$5:$A$3004,"&gt;="&amp;Settings!$B$8,Timesheet!$A$5:$A$3004,"&lt;="&amp;Settings!$B$9))</f>
        <v/>
      </c>
      <c r="H755" s="25" t="str">
        <f aca="false">IF($A755="","",IF(D755="Monthly",MAX(0,Settings!$B$11-E755),0))</f>
        <v/>
      </c>
      <c r="I755" s="26" t="str">
        <f aca="false">IF($A755="","",N(INDEX(Workers!$L$5:$L$2004,MATCH($A755,Workers!$A$5:$A$2004,0))))</f>
        <v/>
      </c>
      <c r="J755" s="26" t="str">
        <f aca="false">IF($A755="","",N(INDEX(Workers!$M$5:$M$2004,MATCH($A755,Workers!$A$5:$A$2004,0))))</f>
        <v/>
      </c>
      <c r="K755" s="26" t="str">
        <f aca="false">IF($A755="","",IF(D755="Monthly",ROUND(MAX(0,(I755+J755)-(I755+J755)/Settings!$B$10*H755),2),0))</f>
        <v/>
      </c>
      <c r="L755" s="26" t="str">
        <f aca="false">IF($A755="","",IF(D755="Hourly",ROUND(F755*N(INDEX(Workers!$N$5:$N$2004,MATCH($A755,Workers!$A$5:$A$2004,0))),2),0))</f>
        <v/>
      </c>
      <c r="M755" s="26" t="str">
        <f aca="false">IF($A755="","",ROUND(G755*IF(D755="Hourly",N(INDEX(Workers!$N$5:$N$2004,MATCH($A755,Workers!$A$5:$A$2004,0))),I755/Settings!$B$10/Settings!$B$12)*Settings!$B$13,2))</f>
        <v/>
      </c>
      <c r="N755" s="26" t="str">
        <f aca="false">IF($A755="","",K755+L755+M755)</f>
        <v/>
      </c>
      <c r="O755" s="26" t="str">
        <f aca="false">IF($A755="","",SUMIFS(Deductions!$D$5:$D$2000,Deductions!$B$5:$B$2000,$A755,Deductions!$C$5:$C$2000,"Advance",Deductions!$E$5:$E$2000,"&gt;="&amp;Settings!$B$8,Deductions!$E$5:$E$2000,"&lt;="&amp;Settings!$B$9))</f>
        <v/>
      </c>
      <c r="P755" s="26" t="str">
        <f aca="false">IF($A755="","",SUMIFS(Deductions!$D$5:$D$2000,Deductions!$B$5:$B$2000,$A755,Deductions!$E$5:$E$2000,"&gt;="&amp;Settings!$B$8,Deductions!$E$5:$E$2000,"&lt;="&amp;Settings!$B$9)-O755)</f>
        <v/>
      </c>
      <c r="Q755" s="26" t="str">
        <f aca="false">IF($A755="","",O755+P755)</f>
        <v/>
      </c>
      <c r="R755" s="23" t="str">
        <f aca="false">IF($A755="","",N755-Q755)</f>
        <v/>
      </c>
      <c r="S755" s="24" t="str">
        <f aca="false">IF($A755="","",INDEX(Workers!$O$5:$O$2004,MATCH($A755,Workers!$A$5:$A$2004,0))&amp;"")</f>
        <v/>
      </c>
      <c r="T755" s="24" t="str">
        <f aca="false">IF($A755="","",INDEX(Workers!$P$5:$P$2004,MATCH($A755,Workers!$A$5:$A$2004,0))&amp;"")</f>
        <v/>
      </c>
      <c r="U755" s="24" t="str">
        <f aca="false">IF($A755="","",INDEX(Workers!$H$5:$H$2004,MATCH($A755,Workers!$A$5:$A$2004,0))&amp;"")</f>
        <v/>
      </c>
    </row>
    <row r="756" customFormat="false" ht="15" hidden="false" customHeight="false" outlineLevel="0" collapsed="false">
      <c r="A756" s="24" t="str">
        <f aca="false">IFERROR(INDEX(Workers!$A$5:$A$2004,MATCH(ROW()-4,Workers!$U$5:$U$2004,0)),"")</f>
        <v/>
      </c>
      <c r="B756" s="24" t="str">
        <f aca="false">IF($A756="","",INDEX(Workers!$B$5:$B$2004,MATCH($A756,Workers!$A$5:$A$2004,0)))</f>
        <v/>
      </c>
      <c r="C756" s="24" t="str">
        <f aca="false">IF($A756="","",INDEX(Workers!$E$5:$E$2004,MATCH($A756,Workers!$A$5:$A$2004,0)))</f>
        <v/>
      </c>
      <c r="D756" s="24" t="str">
        <f aca="false">IF($A756="","",INDEX(Workers!$K$5:$K$2004,MATCH($A756,Workers!$A$5:$A$2004,0)))</f>
        <v/>
      </c>
      <c r="E756" s="25" t="str">
        <f aca="false">IF($A756="","",SUMIFS(Timesheet!$E$5:$E$3004,Timesheet!$D$5:$D$3004,$A756,Timesheet!$A$5:$A$3004,"&gt;="&amp;Settings!$B$8,Timesheet!$A$5:$A$3004,"&lt;="&amp;Settings!$B$9))</f>
        <v/>
      </c>
      <c r="F756" s="25" t="str">
        <f aca="false">IF($A756="","",SUMIFS(Timesheet!$F$5:$F$3004,Timesheet!$D$5:$D$3004,$A756,Timesheet!$A$5:$A$3004,"&gt;="&amp;Settings!$B$8,Timesheet!$A$5:$A$3004,"&lt;="&amp;Settings!$B$9))</f>
        <v/>
      </c>
      <c r="G756" s="25" t="str">
        <f aca="false">IF($A756="","",SUMIFS(Timesheet!$G$5:$G$3004,Timesheet!$D$5:$D$3004,$A756,Timesheet!$A$5:$A$3004,"&gt;="&amp;Settings!$B$8,Timesheet!$A$5:$A$3004,"&lt;="&amp;Settings!$B$9))</f>
        <v/>
      </c>
      <c r="H756" s="25" t="str">
        <f aca="false">IF($A756="","",IF(D756="Monthly",MAX(0,Settings!$B$11-E756),0))</f>
        <v/>
      </c>
      <c r="I756" s="26" t="str">
        <f aca="false">IF($A756="","",N(INDEX(Workers!$L$5:$L$2004,MATCH($A756,Workers!$A$5:$A$2004,0))))</f>
        <v/>
      </c>
      <c r="J756" s="26" t="str">
        <f aca="false">IF($A756="","",N(INDEX(Workers!$M$5:$M$2004,MATCH($A756,Workers!$A$5:$A$2004,0))))</f>
        <v/>
      </c>
      <c r="K756" s="26" t="str">
        <f aca="false">IF($A756="","",IF(D756="Monthly",ROUND(MAX(0,(I756+J756)-(I756+J756)/Settings!$B$10*H756),2),0))</f>
        <v/>
      </c>
      <c r="L756" s="26" t="str">
        <f aca="false">IF($A756="","",IF(D756="Hourly",ROUND(F756*N(INDEX(Workers!$N$5:$N$2004,MATCH($A756,Workers!$A$5:$A$2004,0))),2),0))</f>
        <v/>
      </c>
      <c r="M756" s="26" t="str">
        <f aca="false">IF($A756="","",ROUND(G756*IF(D756="Hourly",N(INDEX(Workers!$N$5:$N$2004,MATCH($A756,Workers!$A$5:$A$2004,0))),I756/Settings!$B$10/Settings!$B$12)*Settings!$B$13,2))</f>
        <v/>
      </c>
      <c r="N756" s="26" t="str">
        <f aca="false">IF($A756="","",K756+L756+M756)</f>
        <v/>
      </c>
      <c r="O756" s="26" t="str">
        <f aca="false">IF($A756="","",SUMIFS(Deductions!$D$5:$D$2000,Deductions!$B$5:$B$2000,$A756,Deductions!$C$5:$C$2000,"Advance",Deductions!$E$5:$E$2000,"&gt;="&amp;Settings!$B$8,Deductions!$E$5:$E$2000,"&lt;="&amp;Settings!$B$9))</f>
        <v/>
      </c>
      <c r="P756" s="26" t="str">
        <f aca="false">IF($A756="","",SUMIFS(Deductions!$D$5:$D$2000,Deductions!$B$5:$B$2000,$A756,Deductions!$E$5:$E$2000,"&gt;="&amp;Settings!$B$8,Deductions!$E$5:$E$2000,"&lt;="&amp;Settings!$B$9)-O756)</f>
        <v/>
      </c>
      <c r="Q756" s="26" t="str">
        <f aca="false">IF($A756="","",O756+P756)</f>
        <v/>
      </c>
      <c r="R756" s="23" t="str">
        <f aca="false">IF($A756="","",N756-Q756)</f>
        <v/>
      </c>
      <c r="S756" s="24" t="str">
        <f aca="false">IF($A756="","",INDEX(Workers!$O$5:$O$2004,MATCH($A756,Workers!$A$5:$A$2004,0))&amp;"")</f>
        <v/>
      </c>
      <c r="T756" s="24" t="str">
        <f aca="false">IF($A756="","",INDEX(Workers!$P$5:$P$2004,MATCH($A756,Workers!$A$5:$A$2004,0))&amp;"")</f>
        <v/>
      </c>
      <c r="U756" s="24" t="str">
        <f aca="false">IF($A756="","",INDEX(Workers!$H$5:$H$2004,MATCH($A756,Workers!$A$5:$A$2004,0))&amp;"")</f>
        <v/>
      </c>
    </row>
    <row r="757" customFormat="false" ht="15" hidden="false" customHeight="false" outlineLevel="0" collapsed="false">
      <c r="A757" s="24" t="str">
        <f aca="false">IFERROR(INDEX(Workers!$A$5:$A$2004,MATCH(ROW()-4,Workers!$U$5:$U$2004,0)),"")</f>
        <v/>
      </c>
      <c r="B757" s="24" t="str">
        <f aca="false">IF($A757="","",INDEX(Workers!$B$5:$B$2004,MATCH($A757,Workers!$A$5:$A$2004,0)))</f>
        <v/>
      </c>
      <c r="C757" s="24" t="str">
        <f aca="false">IF($A757="","",INDEX(Workers!$E$5:$E$2004,MATCH($A757,Workers!$A$5:$A$2004,0)))</f>
        <v/>
      </c>
      <c r="D757" s="24" t="str">
        <f aca="false">IF($A757="","",INDEX(Workers!$K$5:$K$2004,MATCH($A757,Workers!$A$5:$A$2004,0)))</f>
        <v/>
      </c>
      <c r="E757" s="25" t="str">
        <f aca="false">IF($A757="","",SUMIFS(Timesheet!$E$5:$E$3004,Timesheet!$D$5:$D$3004,$A757,Timesheet!$A$5:$A$3004,"&gt;="&amp;Settings!$B$8,Timesheet!$A$5:$A$3004,"&lt;="&amp;Settings!$B$9))</f>
        <v/>
      </c>
      <c r="F757" s="25" t="str">
        <f aca="false">IF($A757="","",SUMIFS(Timesheet!$F$5:$F$3004,Timesheet!$D$5:$D$3004,$A757,Timesheet!$A$5:$A$3004,"&gt;="&amp;Settings!$B$8,Timesheet!$A$5:$A$3004,"&lt;="&amp;Settings!$B$9))</f>
        <v/>
      </c>
      <c r="G757" s="25" t="str">
        <f aca="false">IF($A757="","",SUMIFS(Timesheet!$G$5:$G$3004,Timesheet!$D$5:$D$3004,$A757,Timesheet!$A$5:$A$3004,"&gt;="&amp;Settings!$B$8,Timesheet!$A$5:$A$3004,"&lt;="&amp;Settings!$B$9))</f>
        <v/>
      </c>
      <c r="H757" s="25" t="str">
        <f aca="false">IF($A757="","",IF(D757="Monthly",MAX(0,Settings!$B$11-E757),0))</f>
        <v/>
      </c>
      <c r="I757" s="26" t="str">
        <f aca="false">IF($A757="","",N(INDEX(Workers!$L$5:$L$2004,MATCH($A757,Workers!$A$5:$A$2004,0))))</f>
        <v/>
      </c>
      <c r="J757" s="26" t="str">
        <f aca="false">IF($A757="","",N(INDEX(Workers!$M$5:$M$2004,MATCH($A757,Workers!$A$5:$A$2004,0))))</f>
        <v/>
      </c>
      <c r="K757" s="26" t="str">
        <f aca="false">IF($A757="","",IF(D757="Monthly",ROUND(MAX(0,(I757+J757)-(I757+J757)/Settings!$B$10*H757),2),0))</f>
        <v/>
      </c>
      <c r="L757" s="26" t="str">
        <f aca="false">IF($A757="","",IF(D757="Hourly",ROUND(F757*N(INDEX(Workers!$N$5:$N$2004,MATCH($A757,Workers!$A$5:$A$2004,0))),2),0))</f>
        <v/>
      </c>
      <c r="M757" s="26" t="str">
        <f aca="false">IF($A757="","",ROUND(G757*IF(D757="Hourly",N(INDEX(Workers!$N$5:$N$2004,MATCH($A757,Workers!$A$5:$A$2004,0))),I757/Settings!$B$10/Settings!$B$12)*Settings!$B$13,2))</f>
        <v/>
      </c>
      <c r="N757" s="26" t="str">
        <f aca="false">IF($A757="","",K757+L757+M757)</f>
        <v/>
      </c>
      <c r="O757" s="26" t="str">
        <f aca="false">IF($A757="","",SUMIFS(Deductions!$D$5:$D$2000,Deductions!$B$5:$B$2000,$A757,Deductions!$C$5:$C$2000,"Advance",Deductions!$E$5:$E$2000,"&gt;="&amp;Settings!$B$8,Deductions!$E$5:$E$2000,"&lt;="&amp;Settings!$B$9))</f>
        <v/>
      </c>
      <c r="P757" s="26" t="str">
        <f aca="false">IF($A757="","",SUMIFS(Deductions!$D$5:$D$2000,Deductions!$B$5:$B$2000,$A757,Deductions!$E$5:$E$2000,"&gt;="&amp;Settings!$B$8,Deductions!$E$5:$E$2000,"&lt;="&amp;Settings!$B$9)-O757)</f>
        <v/>
      </c>
      <c r="Q757" s="26" t="str">
        <f aca="false">IF($A757="","",O757+P757)</f>
        <v/>
      </c>
      <c r="R757" s="23" t="str">
        <f aca="false">IF($A757="","",N757-Q757)</f>
        <v/>
      </c>
      <c r="S757" s="24" t="str">
        <f aca="false">IF($A757="","",INDEX(Workers!$O$5:$O$2004,MATCH($A757,Workers!$A$5:$A$2004,0))&amp;"")</f>
        <v/>
      </c>
      <c r="T757" s="24" t="str">
        <f aca="false">IF($A757="","",INDEX(Workers!$P$5:$P$2004,MATCH($A757,Workers!$A$5:$A$2004,0))&amp;"")</f>
        <v/>
      </c>
      <c r="U757" s="24" t="str">
        <f aca="false">IF($A757="","",INDEX(Workers!$H$5:$H$2004,MATCH($A757,Workers!$A$5:$A$2004,0))&amp;"")</f>
        <v/>
      </c>
    </row>
    <row r="758" customFormat="false" ht="15" hidden="false" customHeight="false" outlineLevel="0" collapsed="false">
      <c r="A758" s="24" t="str">
        <f aca="false">IFERROR(INDEX(Workers!$A$5:$A$2004,MATCH(ROW()-4,Workers!$U$5:$U$2004,0)),"")</f>
        <v/>
      </c>
      <c r="B758" s="24" t="str">
        <f aca="false">IF($A758="","",INDEX(Workers!$B$5:$B$2004,MATCH($A758,Workers!$A$5:$A$2004,0)))</f>
        <v/>
      </c>
      <c r="C758" s="24" t="str">
        <f aca="false">IF($A758="","",INDEX(Workers!$E$5:$E$2004,MATCH($A758,Workers!$A$5:$A$2004,0)))</f>
        <v/>
      </c>
      <c r="D758" s="24" t="str">
        <f aca="false">IF($A758="","",INDEX(Workers!$K$5:$K$2004,MATCH($A758,Workers!$A$5:$A$2004,0)))</f>
        <v/>
      </c>
      <c r="E758" s="25" t="str">
        <f aca="false">IF($A758="","",SUMIFS(Timesheet!$E$5:$E$3004,Timesheet!$D$5:$D$3004,$A758,Timesheet!$A$5:$A$3004,"&gt;="&amp;Settings!$B$8,Timesheet!$A$5:$A$3004,"&lt;="&amp;Settings!$B$9))</f>
        <v/>
      </c>
      <c r="F758" s="25" t="str">
        <f aca="false">IF($A758="","",SUMIFS(Timesheet!$F$5:$F$3004,Timesheet!$D$5:$D$3004,$A758,Timesheet!$A$5:$A$3004,"&gt;="&amp;Settings!$B$8,Timesheet!$A$5:$A$3004,"&lt;="&amp;Settings!$B$9))</f>
        <v/>
      </c>
      <c r="G758" s="25" t="str">
        <f aca="false">IF($A758="","",SUMIFS(Timesheet!$G$5:$G$3004,Timesheet!$D$5:$D$3004,$A758,Timesheet!$A$5:$A$3004,"&gt;="&amp;Settings!$B$8,Timesheet!$A$5:$A$3004,"&lt;="&amp;Settings!$B$9))</f>
        <v/>
      </c>
      <c r="H758" s="25" t="str">
        <f aca="false">IF($A758="","",IF(D758="Monthly",MAX(0,Settings!$B$11-E758),0))</f>
        <v/>
      </c>
      <c r="I758" s="26" t="str">
        <f aca="false">IF($A758="","",N(INDEX(Workers!$L$5:$L$2004,MATCH($A758,Workers!$A$5:$A$2004,0))))</f>
        <v/>
      </c>
      <c r="J758" s="26" t="str">
        <f aca="false">IF($A758="","",N(INDEX(Workers!$M$5:$M$2004,MATCH($A758,Workers!$A$5:$A$2004,0))))</f>
        <v/>
      </c>
      <c r="K758" s="26" t="str">
        <f aca="false">IF($A758="","",IF(D758="Monthly",ROUND(MAX(0,(I758+J758)-(I758+J758)/Settings!$B$10*H758),2),0))</f>
        <v/>
      </c>
      <c r="L758" s="26" t="str">
        <f aca="false">IF($A758="","",IF(D758="Hourly",ROUND(F758*N(INDEX(Workers!$N$5:$N$2004,MATCH($A758,Workers!$A$5:$A$2004,0))),2),0))</f>
        <v/>
      </c>
      <c r="M758" s="26" t="str">
        <f aca="false">IF($A758="","",ROUND(G758*IF(D758="Hourly",N(INDEX(Workers!$N$5:$N$2004,MATCH($A758,Workers!$A$5:$A$2004,0))),I758/Settings!$B$10/Settings!$B$12)*Settings!$B$13,2))</f>
        <v/>
      </c>
      <c r="N758" s="26" t="str">
        <f aca="false">IF($A758="","",K758+L758+M758)</f>
        <v/>
      </c>
      <c r="O758" s="26" t="str">
        <f aca="false">IF($A758="","",SUMIFS(Deductions!$D$5:$D$2000,Deductions!$B$5:$B$2000,$A758,Deductions!$C$5:$C$2000,"Advance",Deductions!$E$5:$E$2000,"&gt;="&amp;Settings!$B$8,Deductions!$E$5:$E$2000,"&lt;="&amp;Settings!$B$9))</f>
        <v/>
      </c>
      <c r="P758" s="26" t="str">
        <f aca="false">IF($A758="","",SUMIFS(Deductions!$D$5:$D$2000,Deductions!$B$5:$B$2000,$A758,Deductions!$E$5:$E$2000,"&gt;="&amp;Settings!$B$8,Deductions!$E$5:$E$2000,"&lt;="&amp;Settings!$B$9)-O758)</f>
        <v/>
      </c>
      <c r="Q758" s="26" t="str">
        <f aca="false">IF($A758="","",O758+P758)</f>
        <v/>
      </c>
      <c r="R758" s="23" t="str">
        <f aca="false">IF($A758="","",N758-Q758)</f>
        <v/>
      </c>
      <c r="S758" s="24" t="str">
        <f aca="false">IF($A758="","",INDEX(Workers!$O$5:$O$2004,MATCH($A758,Workers!$A$5:$A$2004,0))&amp;"")</f>
        <v/>
      </c>
      <c r="T758" s="24" t="str">
        <f aca="false">IF($A758="","",INDEX(Workers!$P$5:$P$2004,MATCH($A758,Workers!$A$5:$A$2004,0))&amp;"")</f>
        <v/>
      </c>
      <c r="U758" s="24" t="str">
        <f aca="false">IF($A758="","",INDEX(Workers!$H$5:$H$2004,MATCH($A758,Workers!$A$5:$A$2004,0))&amp;"")</f>
        <v/>
      </c>
    </row>
    <row r="759" customFormat="false" ht="15" hidden="false" customHeight="false" outlineLevel="0" collapsed="false">
      <c r="A759" s="24" t="str">
        <f aca="false">IFERROR(INDEX(Workers!$A$5:$A$2004,MATCH(ROW()-4,Workers!$U$5:$U$2004,0)),"")</f>
        <v/>
      </c>
      <c r="B759" s="24" t="str">
        <f aca="false">IF($A759="","",INDEX(Workers!$B$5:$B$2004,MATCH($A759,Workers!$A$5:$A$2004,0)))</f>
        <v/>
      </c>
      <c r="C759" s="24" t="str">
        <f aca="false">IF($A759="","",INDEX(Workers!$E$5:$E$2004,MATCH($A759,Workers!$A$5:$A$2004,0)))</f>
        <v/>
      </c>
      <c r="D759" s="24" t="str">
        <f aca="false">IF($A759="","",INDEX(Workers!$K$5:$K$2004,MATCH($A759,Workers!$A$5:$A$2004,0)))</f>
        <v/>
      </c>
      <c r="E759" s="25" t="str">
        <f aca="false">IF($A759="","",SUMIFS(Timesheet!$E$5:$E$3004,Timesheet!$D$5:$D$3004,$A759,Timesheet!$A$5:$A$3004,"&gt;="&amp;Settings!$B$8,Timesheet!$A$5:$A$3004,"&lt;="&amp;Settings!$B$9))</f>
        <v/>
      </c>
      <c r="F759" s="25" t="str">
        <f aca="false">IF($A759="","",SUMIFS(Timesheet!$F$5:$F$3004,Timesheet!$D$5:$D$3004,$A759,Timesheet!$A$5:$A$3004,"&gt;="&amp;Settings!$B$8,Timesheet!$A$5:$A$3004,"&lt;="&amp;Settings!$B$9))</f>
        <v/>
      </c>
      <c r="G759" s="25" t="str">
        <f aca="false">IF($A759="","",SUMIFS(Timesheet!$G$5:$G$3004,Timesheet!$D$5:$D$3004,$A759,Timesheet!$A$5:$A$3004,"&gt;="&amp;Settings!$B$8,Timesheet!$A$5:$A$3004,"&lt;="&amp;Settings!$B$9))</f>
        <v/>
      </c>
      <c r="H759" s="25" t="str">
        <f aca="false">IF($A759="","",IF(D759="Monthly",MAX(0,Settings!$B$11-E759),0))</f>
        <v/>
      </c>
      <c r="I759" s="26" t="str">
        <f aca="false">IF($A759="","",N(INDEX(Workers!$L$5:$L$2004,MATCH($A759,Workers!$A$5:$A$2004,0))))</f>
        <v/>
      </c>
      <c r="J759" s="26" t="str">
        <f aca="false">IF($A759="","",N(INDEX(Workers!$M$5:$M$2004,MATCH($A759,Workers!$A$5:$A$2004,0))))</f>
        <v/>
      </c>
      <c r="K759" s="26" t="str">
        <f aca="false">IF($A759="","",IF(D759="Monthly",ROUND(MAX(0,(I759+J759)-(I759+J759)/Settings!$B$10*H759),2),0))</f>
        <v/>
      </c>
      <c r="L759" s="26" t="str">
        <f aca="false">IF($A759="","",IF(D759="Hourly",ROUND(F759*N(INDEX(Workers!$N$5:$N$2004,MATCH($A759,Workers!$A$5:$A$2004,0))),2),0))</f>
        <v/>
      </c>
      <c r="M759" s="26" t="str">
        <f aca="false">IF($A759="","",ROUND(G759*IF(D759="Hourly",N(INDEX(Workers!$N$5:$N$2004,MATCH($A759,Workers!$A$5:$A$2004,0))),I759/Settings!$B$10/Settings!$B$12)*Settings!$B$13,2))</f>
        <v/>
      </c>
      <c r="N759" s="26" t="str">
        <f aca="false">IF($A759="","",K759+L759+M759)</f>
        <v/>
      </c>
      <c r="O759" s="26" t="str">
        <f aca="false">IF($A759="","",SUMIFS(Deductions!$D$5:$D$2000,Deductions!$B$5:$B$2000,$A759,Deductions!$C$5:$C$2000,"Advance",Deductions!$E$5:$E$2000,"&gt;="&amp;Settings!$B$8,Deductions!$E$5:$E$2000,"&lt;="&amp;Settings!$B$9))</f>
        <v/>
      </c>
      <c r="P759" s="26" t="str">
        <f aca="false">IF($A759="","",SUMIFS(Deductions!$D$5:$D$2000,Deductions!$B$5:$B$2000,$A759,Deductions!$E$5:$E$2000,"&gt;="&amp;Settings!$B$8,Deductions!$E$5:$E$2000,"&lt;="&amp;Settings!$B$9)-O759)</f>
        <v/>
      </c>
      <c r="Q759" s="26" t="str">
        <f aca="false">IF($A759="","",O759+P759)</f>
        <v/>
      </c>
      <c r="R759" s="23" t="str">
        <f aca="false">IF($A759="","",N759-Q759)</f>
        <v/>
      </c>
      <c r="S759" s="24" t="str">
        <f aca="false">IF($A759="","",INDEX(Workers!$O$5:$O$2004,MATCH($A759,Workers!$A$5:$A$2004,0))&amp;"")</f>
        <v/>
      </c>
      <c r="T759" s="24" t="str">
        <f aca="false">IF($A759="","",INDEX(Workers!$P$5:$P$2004,MATCH($A759,Workers!$A$5:$A$2004,0))&amp;"")</f>
        <v/>
      </c>
      <c r="U759" s="24" t="str">
        <f aca="false">IF($A759="","",INDEX(Workers!$H$5:$H$2004,MATCH($A759,Workers!$A$5:$A$2004,0))&amp;"")</f>
        <v/>
      </c>
    </row>
    <row r="760" customFormat="false" ht="15" hidden="false" customHeight="false" outlineLevel="0" collapsed="false">
      <c r="A760" s="24" t="str">
        <f aca="false">IFERROR(INDEX(Workers!$A$5:$A$2004,MATCH(ROW()-4,Workers!$U$5:$U$2004,0)),"")</f>
        <v/>
      </c>
      <c r="B760" s="24" t="str">
        <f aca="false">IF($A760="","",INDEX(Workers!$B$5:$B$2004,MATCH($A760,Workers!$A$5:$A$2004,0)))</f>
        <v/>
      </c>
      <c r="C760" s="24" t="str">
        <f aca="false">IF($A760="","",INDEX(Workers!$E$5:$E$2004,MATCH($A760,Workers!$A$5:$A$2004,0)))</f>
        <v/>
      </c>
      <c r="D760" s="24" t="str">
        <f aca="false">IF($A760="","",INDEX(Workers!$K$5:$K$2004,MATCH($A760,Workers!$A$5:$A$2004,0)))</f>
        <v/>
      </c>
      <c r="E760" s="25" t="str">
        <f aca="false">IF($A760="","",SUMIFS(Timesheet!$E$5:$E$3004,Timesheet!$D$5:$D$3004,$A760,Timesheet!$A$5:$A$3004,"&gt;="&amp;Settings!$B$8,Timesheet!$A$5:$A$3004,"&lt;="&amp;Settings!$B$9))</f>
        <v/>
      </c>
      <c r="F760" s="25" t="str">
        <f aca="false">IF($A760="","",SUMIFS(Timesheet!$F$5:$F$3004,Timesheet!$D$5:$D$3004,$A760,Timesheet!$A$5:$A$3004,"&gt;="&amp;Settings!$B$8,Timesheet!$A$5:$A$3004,"&lt;="&amp;Settings!$B$9))</f>
        <v/>
      </c>
      <c r="G760" s="25" t="str">
        <f aca="false">IF($A760="","",SUMIFS(Timesheet!$G$5:$G$3004,Timesheet!$D$5:$D$3004,$A760,Timesheet!$A$5:$A$3004,"&gt;="&amp;Settings!$B$8,Timesheet!$A$5:$A$3004,"&lt;="&amp;Settings!$B$9))</f>
        <v/>
      </c>
      <c r="H760" s="25" t="str">
        <f aca="false">IF($A760="","",IF(D760="Monthly",MAX(0,Settings!$B$11-E760),0))</f>
        <v/>
      </c>
      <c r="I760" s="26" t="str">
        <f aca="false">IF($A760="","",N(INDEX(Workers!$L$5:$L$2004,MATCH($A760,Workers!$A$5:$A$2004,0))))</f>
        <v/>
      </c>
      <c r="J760" s="26" t="str">
        <f aca="false">IF($A760="","",N(INDEX(Workers!$M$5:$M$2004,MATCH($A760,Workers!$A$5:$A$2004,0))))</f>
        <v/>
      </c>
      <c r="K760" s="26" t="str">
        <f aca="false">IF($A760="","",IF(D760="Monthly",ROUND(MAX(0,(I760+J760)-(I760+J760)/Settings!$B$10*H760),2),0))</f>
        <v/>
      </c>
      <c r="L760" s="26" t="str">
        <f aca="false">IF($A760="","",IF(D760="Hourly",ROUND(F760*N(INDEX(Workers!$N$5:$N$2004,MATCH($A760,Workers!$A$5:$A$2004,0))),2),0))</f>
        <v/>
      </c>
      <c r="M760" s="26" t="str">
        <f aca="false">IF($A760="","",ROUND(G760*IF(D760="Hourly",N(INDEX(Workers!$N$5:$N$2004,MATCH($A760,Workers!$A$5:$A$2004,0))),I760/Settings!$B$10/Settings!$B$12)*Settings!$B$13,2))</f>
        <v/>
      </c>
      <c r="N760" s="26" t="str">
        <f aca="false">IF($A760="","",K760+L760+M760)</f>
        <v/>
      </c>
      <c r="O760" s="26" t="str">
        <f aca="false">IF($A760="","",SUMIFS(Deductions!$D$5:$D$2000,Deductions!$B$5:$B$2000,$A760,Deductions!$C$5:$C$2000,"Advance",Deductions!$E$5:$E$2000,"&gt;="&amp;Settings!$B$8,Deductions!$E$5:$E$2000,"&lt;="&amp;Settings!$B$9))</f>
        <v/>
      </c>
      <c r="P760" s="26" t="str">
        <f aca="false">IF($A760="","",SUMIFS(Deductions!$D$5:$D$2000,Deductions!$B$5:$B$2000,$A760,Deductions!$E$5:$E$2000,"&gt;="&amp;Settings!$B$8,Deductions!$E$5:$E$2000,"&lt;="&amp;Settings!$B$9)-O760)</f>
        <v/>
      </c>
      <c r="Q760" s="26" t="str">
        <f aca="false">IF($A760="","",O760+P760)</f>
        <v/>
      </c>
      <c r="R760" s="23" t="str">
        <f aca="false">IF($A760="","",N760-Q760)</f>
        <v/>
      </c>
      <c r="S760" s="24" t="str">
        <f aca="false">IF($A760="","",INDEX(Workers!$O$5:$O$2004,MATCH($A760,Workers!$A$5:$A$2004,0))&amp;"")</f>
        <v/>
      </c>
      <c r="T760" s="24" t="str">
        <f aca="false">IF($A760="","",INDEX(Workers!$P$5:$P$2004,MATCH($A760,Workers!$A$5:$A$2004,0))&amp;"")</f>
        <v/>
      </c>
      <c r="U760" s="24" t="str">
        <f aca="false">IF($A760="","",INDEX(Workers!$H$5:$H$2004,MATCH($A760,Workers!$A$5:$A$2004,0))&amp;"")</f>
        <v/>
      </c>
    </row>
    <row r="761" customFormat="false" ht="15" hidden="false" customHeight="false" outlineLevel="0" collapsed="false">
      <c r="A761" s="24" t="str">
        <f aca="false">IFERROR(INDEX(Workers!$A$5:$A$2004,MATCH(ROW()-4,Workers!$U$5:$U$2004,0)),"")</f>
        <v/>
      </c>
      <c r="B761" s="24" t="str">
        <f aca="false">IF($A761="","",INDEX(Workers!$B$5:$B$2004,MATCH($A761,Workers!$A$5:$A$2004,0)))</f>
        <v/>
      </c>
      <c r="C761" s="24" t="str">
        <f aca="false">IF($A761="","",INDEX(Workers!$E$5:$E$2004,MATCH($A761,Workers!$A$5:$A$2004,0)))</f>
        <v/>
      </c>
      <c r="D761" s="24" t="str">
        <f aca="false">IF($A761="","",INDEX(Workers!$K$5:$K$2004,MATCH($A761,Workers!$A$5:$A$2004,0)))</f>
        <v/>
      </c>
      <c r="E761" s="25" t="str">
        <f aca="false">IF($A761="","",SUMIFS(Timesheet!$E$5:$E$3004,Timesheet!$D$5:$D$3004,$A761,Timesheet!$A$5:$A$3004,"&gt;="&amp;Settings!$B$8,Timesheet!$A$5:$A$3004,"&lt;="&amp;Settings!$B$9))</f>
        <v/>
      </c>
      <c r="F761" s="25" t="str">
        <f aca="false">IF($A761="","",SUMIFS(Timesheet!$F$5:$F$3004,Timesheet!$D$5:$D$3004,$A761,Timesheet!$A$5:$A$3004,"&gt;="&amp;Settings!$B$8,Timesheet!$A$5:$A$3004,"&lt;="&amp;Settings!$B$9))</f>
        <v/>
      </c>
      <c r="G761" s="25" t="str">
        <f aca="false">IF($A761="","",SUMIFS(Timesheet!$G$5:$G$3004,Timesheet!$D$5:$D$3004,$A761,Timesheet!$A$5:$A$3004,"&gt;="&amp;Settings!$B$8,Timesheet!$A$5:$A$3004,"&lt;="&amp;Settings!$B$9))</f>
        <v/>
      </c>
      <c r="H761" s="25" t="str">
        <f aca="false">IF($A761="","",IF(D761="Monthly",MAX(0,Settings!$B$11-E761),0))</f>
        <v/>
      </c>
      <c r="I761" s="26" t="str">
        <f aca="false">IF($A761="","",N(INDEX(Workers!$L$5:$L$2004,MATCH($A761,Workers!$A$5:$A$2004,0))))</f>
        <v/>
      </c>
      <c r="J761" s="26" t="str">
        <f aca="false">IF($A761="","",N(INDEX(Workers!$M$5:$M$2004,MATCH($A761,Workers!$A$5:$A$2004,0))))</f>
        <v/>
      </c>
      <c r="K761" s="26" t="str">
        <f aca="false">IF($A761="","",IF(D761="Monthly",ROUND(MAX(0,(I761+J761)-(I761+J761)/Settings!$B$10*H761),2),0))</f>
        <v/>
      </c>
      <c r="L761" s="26" t="str">
        <f aca="false">IF($A761="","",IF(D761="Hourly",ROUND(F761*N(INDEX(Workers!$N$5:$N$2004,MATCH($A761,Workers!$A$5:$A$2004,0))),2),0))</f>
        <v/>
      </c>
      <c r="M761" s="26" t="str">
        <f aca="false">IF($A761="","",ROUND(G761*IF(D761="Hourly",N(INDEX(Workers!$N$5:$N$2004,MATCH($A761,Workers!$A$5:$A$2004,0))),I761/Settings!$B$10/Settings!$B$12)*Settings!$B$13,2))</f>
        <v/>
      </c>
      <c r="N761" s="26" t="str">
        <f aca="false">IF($A761="","",K761+L761+M761)</f>
        <v/>
      </c>
      <c r="O761" s="26" t="str">
        <f aca="false">IF($A761="","",SUMIFS(Deductions!$D$5:$D$2000,Deductions!$B$5:$B$2000,$A761,Deductions!$C$5:$C$2000,"Advance",Deductions!$E$5:$E$2000,"&gt;="&amp;Settings!$B$8,Deductions!$E$5:$E$2000,"&lt;="&amp;Settings!$B$9))</f>
        <v/>
      </c>
      <c r="P761" s="26" t="str">
        <f aca="false">IF($A761="","",SUMIFS(Deductions!$D$5:$D$2000,Deductions!$B$5:$B$2000,$A761,Deductions!$E$5:$E$2000,"&gt;="&amp;Settings!$B$8,Deductions!$E$5:$E$2000,"&lt;="&amp;Settings!$B$9)-O761)</f>
        <v/>
      </c>
      <c r="Q761" s="26" t="str">
        <f aca="false">IF($A761="","",O761+P761)</f>
        <v/>
      </c>
      <c r="R761" s="23" t="str">
        <f aca="false">IF($A761="","",N761-Q761)</f>
        <v/>
      </c>
      <c r="S761" s="24" t="str">
        <f aca="false">IF($A761="","",INDEX(Workers!$O$5:$O$2004,MATCH($A761,Workers!$A$5:$A$2004,0))&amp;"")</f>
        <v/>
      </c>
      <c r="T761" s="24" t="str">
        <f aca="false">IF($A761="","",INDEX(Workers!$P$5:$P$2004,MATCH($A761,Workers!$A$5:$A$2004,0))&amp;"")</f>
        <v/>
      </c>
      <c r="U761" s="24" t="str">
        <f aca="false">IF($A761="","",INDEX(Workers!$H$5:$H$2004,MATCH($A761,Workers!$A$5:$A$2004,0))&amp;"")</f>
        <v/>
      </c>
    </row>
    <row r="762" customFormat="false" ht="15" hidden="false" customHeight="false" outlineLevel="0" collapsed="false">
      <c r="A762" s="24" t="str">
        <f aca="false">IFERROR(INDEX(Workers!$A$5:$A$2004,MATCH(ROW()-4,Workers!$U$5:$U$2004,0)),"")</f>
        <v/>
      </c>
      <c r="B762" s="24" t="str">
        <f aca="false">IF($A762="","",INDEX(Workers!$B$5:$B$2004,MATCH($A762,Workers!$A$5:$A$2004,0)))</f>
        <v/>
      </c>
      <c r="C762" s="24" t="str">
        <f aca="false">IF($A762="","",INDEX(Workers!$E$5:$E$2004,MATCH($A762,Workers!$A$5:$A$2004,0)))</f>
        <v/>
      </c>
      <c r="D762" s="24" t="str">
        <f aca="false">IF($A762="","",INDEX(Workers!$K$5:$K$2004,MATCH($A762,Workers!$A$5:$A$2004,0)))</f>
        <v/>
      </c>
      <c r="E762" s="25" t="str">
        <f aca="false">IF($A762="","",SUMIFS(Timesheet!$E$5:$E$3004,Timesheet!$D$5:$D$3004,$A762,Timesheet!$A$5:$A$3004,"&gt;="&amp;Settings!$B$8,Timesheet!$A$5:$A$3004,"&lt;="&amp;Settings!$B$9))</f>
        <v/>
      </c>
      <c r="F762" s="25" t="str">
        <f aca="false">IF($A762="","",SUMIFS(Timesheet!$F$5:$F$3004,Timesheet!$D$5:$D$3004,$A762,Timesheet!$A$5:$A$3004,"&gt;="&amp;Settings!$B$8,Timesheet!$A$5:$A$3004,"&lt;="&amp;Settings!$B$9))</f>
        <v/>
      </c>
      <c r="G762" s="25" t="str">
        <f aca="false">IF($A762="","",SUMIFS(Timesheet!$G$5:$G$3004,Timesheet!$D$5:$D$3004,$A762,Timesheet!$A$5:$A$3004,"&gt;="&amp;Settings!$B$8,Timesheet!$A$5:$A$3004,"&lt;="&amp;Settings!$B$9))</f>
        <v/>
      </c>
      <c r="H762" s="25" t="str">
        <f aca="false">IF($A762="","",IF(D762="Monthly",MAX(0,Settings!$B$11-E762),0))</f>
        <v/>
      </c>
      <c r="I762" s="26" t="str">
        <f aca="false">IF($A762="","",N(INDEX(Workers!$L$5:$L$2004,MATCH($A762,Workers!$A$5:$A$2004,0))))</f>
        <v/>
      </c>
      <c r="J762" s="26" t="str">
        <f aca="false">IF($A762="","",N(INDEX(Workers!$M$5:$M$2004,MATCH($A762,Workers!$A$5:$A$2004,0))))</f>
        <v/>
      </c>
      <c r="K762" s="26" t="str">
        <f aca="false">IF($A762="","",IF(D762="Monthly",ROUND(MAX(0,(I762+J762)-(I762+J762)/Settings!$B$10*H762),2),0))</f>
        <v/>
      </c>
      <c r="L762" s="26" t="str">
        <f aca="false">IF($A762="","",IF(D762="Hourly",ROUND(F762*N(INDEX(Workers!$N$5:$N$2004,MATCH($A762,Workers!$A$5:$A$2004,0))),2),0))</f>
        <v/>
      </c>
      <c r="M762" s="26" t="str">
        <f aca="false">IF($A762="","",ROUND(G762*IF(D762="Hourly",N(INDEX(Workers!$N$5:$N$2004,MATCH($A762,Workers!$A$5:$A$2004,0))),I762/Settings!$B$10/Settings!$B$12)*Settings!$B$13,2))</f>
        <v/>
      </c>
      <c r="N762" s="26" t="str">
        <f aca="false">IF($A762="","",K762+L762+M762)</f>
        <v/>
      </c>
      <c r="O762" s="26" t="str">
        <f aca="false">IF($A762="","",SUMIFS(Deductions!$D$5:$D$2000,Deductions!$B$5:$B$2000,$A762,Deductions!$C$5:$C$2000,"Advance",Deductions!$E$5:$E$2000,"&gt;="&amp;Settings!$B$8,Deductions!$E$5:$E$2000,"&lt;="&amp;Settings!$B$9))</f>
        <v/>
      </c>
      <c r="P762" s="26" t="str">
        <f aca="false">IF($A762="","",SUMIFS(Deductions!$D$5:$D$2000,Deductions!$B$5:$B$2000,$A762,Deductions!$E$5:$E$2000,"&gt;="&amp;Settings!$B$8,Deductions!$E$5:$E$2000,"&lt;="&amp;Settings!$B$9)-O762)</f>
        <v/>
      </c>
      <c r="Q762" s="26" t="str">
        <f aca="false">IF($A762="","",O762+P762)</f>
        <v/>
      </c>
      <c r="R762" s="23" t="str">
        <f aca="false">IF($A762="","",N762-Q762)</f>
        <v/>
      </c>
      <c r="S762" s="24" t="str">
        <f aca="false">IF($A762="","",INDEX(Workers!$O$5:$O$2004,MATCH($A762,Workers!$A$5:$A$2004,0))&amp;"")</f>
        <v/>
      </c>
      <c r="T762" s="24" t="str">
        <f aca="false">IF($A762="","",INDEX(Workers!$P$5:$P$2004,MATCH($A762,Workers!$A$5:$A$2004,0))&amp;"")</f>
        <v/>
      </c>
      <c r="U762" s="24" t="str">
        <f aca="false">IF($A762="","",INDEX(Workers!$H$5:$H$2004,MATCH($A762,Workers!$A$5:$A$2004,0))&amp;"")</f>
        <v/>
      </c>
    </row>
    <row r="763" customFormat="false" ht="15" hidden="false" customHeight="false" outlineLevel="0" collapsed="false">
      <c r="A763" s="24" t="str">
        <f aca="false">IFERROR(INDEX(Workers!$A$5:$A$2004,MATCH(ROW()-4,Workers!$U$5:$U$2004,0)),"")</f>
        <v/>
      </c>
      <c r="B763" s="24" t="str">
        <f aca="false">IF($A763="","",INDEX(Workers!$B$5:$B$2004,MATCH($A763,Workers!$A$5:$A$2004,0)))</f>
        <v/>
      </c>
      <c r="C763" s="24" t="str">
        <f aca="false">IF($A763="","",INDEX(Workers!$E$5:$E$2004,MATCH($A763,Workers!$A$5:$A$2004,0)))</f>
        <v/>
      </c>
      <c r="D763" s="24" t="str">
        <f aca="false">IF($A763="","",INDEX(Workers!$K$5:$K$2004,MATCH($A763,Workers!$A$5:$A$2004,0)))</f>
        <v/>
      </c>
      <c r="E763" s="25" t="str">
        <f aca="false">IF($A763="","",SUMIFS(Timesheet!$E$5:$E$3004,Timesheet!$D$5:$D$3004,$A763,Timesheet!$A$5:$A$3004,"&gt;="&amp;Settings!$B$8,Timesheet!$A$5:$A$3004,"&lt;="&amp;Settings!$B$9))</f>
        <v/>
      </c>
      <c r="F763" s="25" t="str">
        <f aca="false">IF($A763="","",SUMIFS(Timesheet!$F$5:$F$3004,Timesheet!$D$5:$D$3004,$A763,Timesheet!$A$5:$A$3004,"&gt;="&amp;Settings!$B$8,Timesheet!$A$5:$A$3004,"&lt;="&amp;Settings!$B$9))</f>
        <v/>
      </c>
      <c r="G763" s="25" t="str">
        <f aca="false">IF($A763="","",SUMIFS(Timesheet!$G$5:$G$3004,Timesheet!$D$5:$D$3004,$A763,Timesheet!$A$5:$A$3004,"&gt;="&amp;Settings!$B$8,Timesheet!$A$5:$A$3004,"&lt;="&amp;Settings!$B$9))</f>
        <v/>
      </c>
      <c r="H763" s="25" t="str">
        <f aca="false">IF($A763="","",IF(D763="Monthly",MAX(0,Settings!$B$11-E763),0))</f>
        <v/>
      </c>
      <c r="I763" s="26" t="str">
        <f aca="false">IF($A763="","",N(INDEX(Workers!$L$5:$L$2004,MATCH($A763,Workers!$A$5:$A$2004,0))))</f>
        <v/>
      </c>
      <c r="J763" s="26" t="str">
        <f aca="false">IF($A763="","",N(INDEX(Workers!$M$5:$M$2004,MATCH($A763,Workers!$A$5:$A$2004,0))))</f>
        <v/>
      </c>
      <c r="K763" s="26" t="str">
        <f aca="false">IF($A763="","",IF(D763="Monthly",ROUND(MAX(0,(I763+J763)-(I763+J763)/Settings!$B$10*H763),2),0))</f>
        <v/>
      </c>
      <c r="L763" s="26" t="str">
        <f aca="false">IF($A763="","",IF(D763="Hourly",ROUND(F763*N(INDEX(Workers!$N$5:$N$2004,MATCH($A763,Workers!$A$5:$A$2004,0))),2),0))</f>
        <v/>
      </c>
      <c r="M763" s="26" t="str">
        <f aca="false">IF($A763="","",ROUND(G763*IF(D763="Hourly",N(INDEX(Workers!$N$5:$N$2004,MATCH($A763,Workers!$A$5:$A$2004,0))),I763/Settings!$B$10/Settings!$B$12)*Settings!$B$13,2))</f>
        <v/>
      </c>
      <c r="N763" s="26" t="str">
        <f aca="false">IF($A763="","",K763+L763+M763)</f>
        <v/>
      </c>
      <c r="O763" s="26" t="str">
        <f aca="false">IF($A763="","",SUMIFS(Deductions!$D$5:$D$2000,Deductions!$B$5:$B$2000,$A763,Deductions!$C$5:$C$2000,"Advance",Deductions!$E$5:$E$2000,"&gt;="&amp;Settings!$B$8,Deductions!$E$5:$E$2000,"&lt;="&amp;Settings!$B$9))</f>
        <v/>
      </c>
      <c r="P763" s="26" t="str">
        <f aca="false">IF($A763="","",SUMIFS(Deductions!$D$5:$D$2000,Deductions!$B$5:$B$2000,$A763,Deductions!$E$5:$E$2000,"&gt;="&amp;Settings!$B$8,Deductions!$E$5:$E$2000,"&lt;="&amp;Settings!$B$9)-O763)</f>
        <v/>
      </c>
      <c r="Q763" s="26" t="str">
        <f aca="false">IF($A763="","",O763+P763)</f>
        <v/>
      </c>
      <c r="R763" s="23" t="str">
        <f aca="false">IF($A763="","",N763-Q763)</f>
        <v/>
      </c>
      <c r="S763" s="24" t="str">
        <f aca="false">IF($A763="","",INDEX(Workers!$O$5:$O$2004,MATCH($A763,Workers!$A$5:$A$2004,0))&amp;"")</f>
        <v/>
      </c>
      <c r="T763" s="24" t="str">
        <f aca="false">IF($A763="","",INDEX(Workers!$P$5:$P$2004,MATCH($A763,Workers!$A$5:$A$2004,0))&amp;"")</f>
        <v/>
      </c>
      <c r="U763" s="24" t="str">
        <f aca="false">IF($A763="","",INDEX(Workers!$H$5:$H$2004,MATCH($A763,Workers!$A$5:$A$2004,0))&amp;"")</f>
        <v/>
      </c>
    </row>
    <row r="764" customFormat="false" ht="15" hidden="false" customHeight="false" outlineLevel="0" collapsed="false">
      <c r="A764" s="24" t="str">
        <f aca="false">IFERROR(INDEX(Workers!$A$5:$A$2004,MATCH(ROW()-4,Workers!$U$5:$U$2004,0)),"")</f>
        <v/>
      </c>
      <c r="B764" s="24" t="str">
        <f aca="false">IF($A764="","",INDEX(Workers!$B$5:$B$2004,MATCH($A764,Workers!$A$5:$A$2004,0)))</f>
        <v/>
      </c>
      <c r="C764" s="24" t="str">
        <f aca="false">IF($A764="","",INDEX(Workers!$E$5:$E$2004,MATCH($A764,Workers!$A$5:$A$2004,0)))</f>
        <v/>
      </c>
      <c r="D764" s="24" t="str">
        <f aca="false">IF($A764="","",INDEX(Workers!$K$5:$K$2004,MATCH($A764,Workers!$A$5:$A$2004,0)))</f>
        <v/>
      </c>
      <c r="E764" s="25" t="str">
        <f aca="false">IF($A764="","",SUMIFS(Timesheet!$E$5:$E$3004,Timesheet!$D$5:$D$3004,$A764,Timesheet!$A$5:$A$3004,"&gt;="&amp;Settings!$B$8,Timesheet!$A$5:$A$3004,"&lt;="&amp;Settings!$B$9))</f>
        <v/>
      </c>
      <c r="F764" s="25" t="str">
        <f aca="false">IF($A764="","",SUMIFS(Timesheet!$F$5:$F$3004,Timesheet!$D$5:$D$3004,$A764,Timesheet!$A$5:$A$3004,"&gt;="&amp;Settings!$B$8,Timesheet!$A$5:$A$3004,"&lt;="&amp;Settings!$B$9))</f>
        <v/>
      </c>
      <c r="G764" s="25" t="str">
        <f aca="false">IF($A764="","",SUMIFS(Timesheet!$G$5:$G$3004,Timesheet!$D$5:$D$3004,$A764,Timesheet!$A$5:$A$3004,"&gt;="&amp;Settings!$B$8,Timesheet!$A$5:$A$3004,"&lt;="&amp;Settings!$B$9))</f>
        <v/>
      </c>
      <c r="H764" s="25" t="str">
        <f aca="false">IF($A764="","",IF(D764="Monthly",MAX(0,Settings!$B$11-E764),0))</f>
        <v/>
      </c>
      <c r="I764" s="26" t="str">
        <f aca="false">IF($A764="","",N(INDEX(Workers!$L$5:$L$2004,MATCH($A764,Workers!$A$5:$A$2004,0))))</f>
        <v/>
      </c>
      <c r="J764" s="26" t="str">
        <f aca="false">IF($A764="","",N(INDEX(Workers!$M$5:$M$2004,MATCH($A764,Workers!$A$5:$A$2004,0))))</f>
        <v/>
      </c>
      <c r="K764" s="26" t="str">
        <f aca="false">IF($A764="","",IF(D764="Monthly",ROUND(MAX(0,(I764+J764)-(I764+J764)/Settings!$B$10*H764),2),0))</f>
        <v/>
      </c>
      <c r="L764" s="26" t="str">
        <f aca="false">IF($A764="","",IF(D764="Hourly",ROUND(F764*N(INDEX(Workers!$N$5:$N$2004,MATCH($A764,Workers!$A$5:$A$2004,0))),2),0))</f>
        <v/>
      </c>
      <c r="M764" s="26" t="str">
        <f aca="false">IF($A764="","",ROUND(G764*IF(D764="Hourly",N(INDEX(Workers!$N$5:$N$2004,MATCH($A764,Workers!$A$5:$A$2004,0))),I764/Settings!$B$10/Settings!$B$12)*Settings!$B$13,2))</f>
        <v/>
      </c>
      <c r="N764" s="26" t="str">
        <f aca="false">IF($A764="","",K764+L764+M764)</f>
        <v/>
      </c>
      <c r="O764" s="26" t="str">
        <f aca="false">IF($A764="","",SUMIFS(Deductions!$D$5:$D$2000,Deductions!$B$5:$B$2000,$A764,Deductions!$C$5:$C$2000,"Advance",Deductions!$E$5:$E$2000,"&gt;="&amp;Settings!$B$8,Deductions!$E$5:$E$2000,"&lt;="&amp;Settings!$B$9))</f>
        <v/>
      </c>
      <c r="P764" s="26" t="str">
        <f aca="false">IF($A764="","",SUMIFS(Deductions!$D$5:$D$2000,Deductions!$B$5:$B$2000,$A764,Deductions!$E$5:$E$2000,"&gt;="&amp;Settings!$B$8,Deductions!$E$5:$E$2000,"&lt;="&amp;Settings!$B$9)-O764)</f>
        <v/>
      </c>
      <c r="Q764" s="26" t="str">
        <f aca="false">IF($A764="","",O764+P764)</f>
        <v/>
      </c>
      <c r="R764" s="23" t="str">
        <f aca="false">IF($A764="","",N764-Q764)</f>
        <v/>
      </c>
      <c r="S764" s="24" t="str">
        <f aca="false">IF($A764="","",INDEX(Workers!$O$5:$O$2004,MATCH($A764,Workers!$A$5:$A$2004,0))&amp;"")</f>
        <v/>
      </c>
      <c r="T764" s="24" t="str">
        <f aca="false">IF($A764="","",INDEX(Workers!$P$5:$P$2004,MATCH($A764,Workers!$A$5:$A$2004,0))&amp;"")</f>
        <v/>
      </c>
      <c r="U764" s="24" t="str">
        <f aca="false">IF($A764="","",INDEX(Workers!$H$5:$H$2004,MATCH($A764,Workers!$A$5:$A$2004,0))&amp;"")</f>
        <v/>
      </c>
    </row>
    <row r="765" customFormat="false" ht="15" hidden="false" customHeight="false" outlineLevel="0" collapsed="false">
      <c r="A765" s="24" t="str">
        <f aca="false">IFERROR(INDEX(Workers!$A$5:$A$2004,MATCH(ROW()-4,Workers!$U$5:$U$2004,0)),"")</f>
        <v/>
      </c>
      <c r="B765" s="24" t="str">
        <f aca="false">IF($A765="","",INDEX(Workers!$B$5:$B$2004,MATCH($A765,Workers!$A$5:$A$2004,0)))</f>
        <v/>
      </c>
      <c r="C765" s="24" t="str">
        <f aca="false">IF($A765="","",INDEX(Workers!$E$5:$E$2004,MATCH($A765,Workers!$A$5:$A$2004,0)))</f>
        <v/>
      </c>
      <c r="D765" s="24" t="str">
        <f aca="false">IF($A765="","",INDEX(Workers!$K$5:$K$2004,MATCH($A765,Workers!$A$5:$A$2004,0)))</f>
        <v/>
      </c>
      <c r="E765" s="25" t="str">
        <f aca="false">IF($A765="","",SUMIFS(Timesheet!$E$5:$E$3004,Timesheet!$D$5:$D$3004,$A765,Timesheet!$A$5:$A$3004,"&gt;="&amp;Settings!$B$8,Timesheet!$A$5:$A$3004,"&lt;="&amp;Settings!$B$9))</f>
        <v/>
      </c>
      <c r="F765" s="25" t="str">
        <f aca="false">IF($A765="","",SUMIFS(Timesheet!$F$5:$F$3004,Timesheet!$D$5:$D$3004,$A765,Timesheet!$A$5:$A$3004,"&gt;="&amp;Settings!$B$8,Timesheet!$A$5:$A$3004,"&lt;="&amp;Settings!$B$9))</f>
        <v/>
      </c>
      <c r="G765" s="25" t="str">
        <f aca="false">IF($A765="","",SUMIFS(Timesheet!$G$5:$G$3004,Timesheet!$D$5:$D$3004,$A765,Timesheet!$A$5:$A$3004,"&gt;="&amp;Settings!$B$8,Timesheet!$A$5:$A$3004,"&lt;="&amp;Settings!$B$9))</f>
        <v/>
      </c>
      <c r="H765" s="25" t="str">
        <f aca="false">IF($A765="","",IF(D765="Monthly",MAX(0,Settings!$B$11-E765),0))</f>
        <v/>
      </c>
      <c r="I765" s="26" t="str">
        <f aca="false">IF($A765="","",N(INDEX(Workers!$L$5:$L$2004,MATCH($A765,Workers!$A$5:$A$2004,0))))</f>
        <v/>
      </c>
      <c r="J765" s="26" t="str">
        <f aca="false">IF($A765="","",N(INDEX(Workers!$M$5:$M$2004,MATCH($A765,Workers!$A$5:$A$2004,0))))</f>
        <v/>
      </c>
      <c r="K765" s="26" t="str">
        <f aca="false">IF($A765="","",IF(D765="Monthly",ROUND(MAX(0,(I765+J765)-(I765+J765)/Settings!$B$10*H765),2),0))</f>
        <v/>
      </c>
      <c r="L765" s="26" t="str">
        <f aca="false">IF($A765="","",IF(D765="Hourly",ROUND(F765*N(INDEX(Workers!$N$5:$N$2004,MATCH($A765,Workers!$A$5:$A$2004,0))),2),0))</f>
        <v/>
      </c>
      <c r="M765" s="26" t="str">
        <f aca="false">IF($A765="","",ROUND(G765*IF(D765="Hourly",N(INDEX(Workers!$N$5:$N$2004,MATCH($A765,Workers!$A$5:$A$2004,0))),I765/Settings!$B$10/Settings!$B$12)*Settings!$B$13,2))</f>
        <v/>
      </c>
      <c r="N765" s="26" t="str">
        <f aca="false">IF($A765="","",K765+L765+M765)</f>
        <v/>
      </c>
      <c r="O765" s="26" t="str">
        <f aca="false">IF($A765="","",SUMIFS(Deductions!$D$5:$D$2000,Deductions!$B$5:$B$2000,$A765,Deductions!$C$5:$C$2000,"Advance",Deductions!$E$5:$E$2000,"&gt;="&amp;Settings!$B$8,Deductions!$E$5:$E$2000,"&lt;="&amp;Settings!$B$9))</f>
        <v/>
      </c>
      <c r="P765" s="26" t="str">
        <f aca="false">IF($A765="","",SUMIFS(Deductions!$D$5:$D$2000,Deductions!$B$5:$B$2000,$A765,Deductions!$E$5:$E$2000,"&gt;="&amp;Settings!$B$8,Deductions!$E$5:$E$2000,"&lt;="&amp;Settings!$B$9)-O765)</f>
        <v/>
      </c>
      <c r="Q765" s="26" t="str">
        <f aca="false">IF($A765="","",O765+P765)</f>
        <v/>
      </c>
      <c r="R765" s="23" t="str">
        <f aca="false">IF($A765="","",N765-Q765)</f>
        <v/>
      </c>
      <c r="S765" s="24" t="str">
        <f aca="false">IF($A765="","",INDEX(Workers!$O$5:$O$2004,MATCH($A765,Workers!$A$5:$A$2004,0))&amp;"")</f>
        <v/>
      </c>
      <c r="T765" s="24" t="str">
        <f aca="false">IF($A765="","",INDEX(Workers!$P$5:$P$2004,MATCH($A765,Workers!$A$5:$A$2004,0))&amp;"")</f>
        <v/>
      </c>
      <c r="U765" s="24" t="str">
        <f aca="false">IF($A765="","",INDEX(Workers!$H$5:$H$2004,MATCH($A765,Workers!$A$5:$A$2004,0))&amp;"")</f>
        <v/>
      </c>
    </row>
    <row r="766" customFormat="false" ht="15" hidden="false" customHeight="false" outlineLevel="0" collapsed="false">
      <c r="A766" s="24" t="str">
        <f aca="false">IFERROR(INDEX(Workers!$A$5:$A$2004,MATCH(ROW()-4,Workers!$U$5:$U$2004,0)),"")</f>
        <v/>
      </c>
      <c r="B766" s="24" t="str">
        <f aca="false">IF($A766="","",INDEX(Workers!$B$5:$B$2004,MATCH($A766,Workers!$A$5:$A$2004,0)))</f>
        <v/>
      </c>
      <c r="C766" s="24" t="str">
        <f aca="false">IF($A766="","",INDEX(Workers!$E$5:$E$2004,MATCH($A766,Workers!$A$5:$A$2004,0)))</f>
        <v/>
      </c>
      <c r="D766" s="24" t="str">
        <f aca="false">IF($A766="","",INDEX(Workers!$K$5:$K$2004,MATCH($A766,Workers!$A$5:$A$2004,0)))</f>
        <v/>
      </c>
      <c r="E766" s="25" t="str">
        <f aca="false">IF($A766="","",SUMIFS(Timesheet!$E$5:$E$3004,Timesheet!$D$5:$D$3004,$A766,Timesheet!$A$5:$A$3004,"&gt;="&amp;Settings!$B$8,Timesheet!$A$5:$A$3004,"&lt;="&amp;Settings!$B$9))</f>
        <v/>
      </c>
      <c r="F766" s="25" t="str">
        <f aca="false">IF($A766="","",SUMIFS(Timesheet!$F$5:$F$3004,Timesheet!$D$5:$D$3004,$A766,Timesheet!$A$5:$A$3004,"&gt;="&amp;Settings!$B$8,Timesheet!$A$5:$A$3004,"&lt;="&amp;Settings!$B$9))</f>
        <v/>
      </c>
      <c r="G766" s="25" t="str">
        <f aca="false">IF($A766="","",SUMIFS(Timesheet!$G$5:$G$3004,Timesheet!$D$5:$D$3004,$A766,Timesheet!$A$5:$A$3004,"&gt;="&amp;Settings!$B$8,Timesheet!$A$5:$A$3004,"&lt;="&amp;Settings!$B$9))</f>
        <v/>
      </c>
      <c r="H766" s="25" t="str">
        <f aca="false">IF($A766="","",IF(D766="Monthly",MAX(0,Settings!$B$11-E766),0))</f>
        <v/>
      </c>
      <c r="I766" s="26" t="str">
        <f aca="false">IF($A766="","",N(INDEX(Workers!$L$5:$L$2004,MATCH($A766,Workers!$A$5:$A$2004,0))))</f>
        <v/>
      </c>
      <c r="J766" s="26" t="str">
        <f aca="false">IF($A766="","",N(INDEX(Workers!$M$5:$M$2004,MATCH($A766,Workers!$A$5:$A$2004,0))))</f>
        <v/>
      </c>
      <c r="K766" s="26" t="str">
        <f aca="false">IF($A766="","",IF(D766="Monthly",ROUND(MAX(0,(I766+J766)-(I766+J766)/Settings!$B$10*H766),2),0))</f>
        <v/>
      </c>
      <c r="L766" s="26" t="str">
        <f aca="false">IF($A766="","",IF(D766="Hourly",ROUND(F766*N(INDEX(Workers!$N$5:$N$2004,MATCH($A766,Workers!$A$5:$A$2004,0))),2),0))</f>
        <v/>
      </c>
      <c r="M766" s="26" t="str">
        <f aca="false">IF($A766="","",ROUND(G766*IF(D766="Hourly",N(INDEX(Workers!$N$5:$N$2004,MATCH($A766,Workers!$A$5:$A$2004,0))),I766/Settings!$B$10/Settings!$B$12)*Settings!$B$13,2))</f>
        <v/>
      </c>
      <c r="N766" s="26" t="str">
        <f aca="false">IF($A766="","",K766+L766+M766)</f>
        <v/>
      </c>
      <c r="O766" s="26" t="str">
        <f aca="false">IF($A766="","",SUMIFS(Deductions!$D$5:$D$2000,Deductions!$B$5:$B$2000,$A766,Deductions!$C$5:$C$2000,"Advance",Deductions!$E$5:$E$2000,"&gt;="&amp;Settings!$B$8,Deductions!$E$5:$E$2000,"&lt;="&amp;Settings!$B$9))</f>
        <v/>
      </c>
      <c r="P766" s="26" t="str">
        <f aca="false">IF($A766="","",SUMIFS(Deductions!$D$5:$D$2000,Deductions!$B$5:$B$2000,$A766,Deductions!$E$5:$E$2000,"&gt;="&amp;Settings!$B$8,Deductions!$E$5:$E$2000,"&lt;="&amp;Settings!$B$9)-O766)</f>
        <v/>
      </c>
      <c r="Q766" s="26" t="str">
        <f aca="false">IF($A766="","",O766+P766)</f>
        <v/>
      </c>
      <c r="R766" s="23" t="str">
        <f aca="false">IF($A766="","",N766-Q766)</f>
        <v/>
      </c>
      <c r="S766" s="24" t="str">
        <f aca="false">IF($A766="","",INDEX(Workers!$O$5:$O$2004,MATCH($A766,Workers!$A$5:$A$2004,0))&amp;"")</f>
        <v/>
      </c>
      <c r="T766" s="24" t="str">
        <f aca="false">IF($A766="","",INDEX(Workers!$P$5:$P$2004,MATCH($A766,Workers!$A$5:$A$2004,0))&amp;"")</f>
        <v/>
      </c>
      <c r="U766" s="24" t="str">
        <f aca="false">IF($A766="","",INDEX(Workers!$H$5:$H$2004,MATCH($A766,Workers!$A$5:$A$2004,0))&amp;"")</f>
        <v/>
      </c>
    </row>
    <row r="767" customFormat="false" ht="15" hidden="false" customHeight="false" outlineLevel="0" collapsed="false">
      <c r="A767" s="24" t="str">
        <f aca="false">IFERROR(INDEX(Workers!$A$5:$A$2004,MATCH(ROW()-4,Workers!$U$5:$U$2004,0)),"")</f>
        <v/>
      </c>
      <c r="B767" s="24" t="str">
        <f aca="false">IF($A767="","",INDEX(Workers!$B$5:$B$2004,MATCH($A767,Workers!$A$5:$A$2004,0)))</f>
        <v/>
      </c>
      <c r="C767" s="24" t="str">
        <f aca="false">IF($A767="","",INDEX(Workers!$E$5:$E$2004,MATCH($A767,Workers!$A$5:$A$2004,0)))</f>
        <v/>
      </c>
      <c r="D767" s="24" t="str">
        <f aca="false">IF($A767="","",INDEX(Workers!$K$5:$K$2004,MATCH($A767,Workers!$A$5:$A$2004,0)))</f>
        <v/>
      </c>
      <c r="E767" s="25" t="str">
        <f aca="false">IF($A767="","",SUMIFS(Timesheet!$E$5:$E$3004,Timesheet!$D$5:$D$3004,$A767,Timesheet!$A$5:$A$3004,"&gt;="&amp;Settings!$B$8,Timesheet!$A$5:$A$3004,"&lt;="&amp;Settings!$B$9))</f>
        <v/>
      </c>
      <c r="F767" s="25" t="str">
        <f aca="false">IF($A767="","",SUMIFS(Timesheet!$F$5:$F$3004,Timesheet!$D$5:$D$3004,$A767,Timesheet!$A$5:$A$3004,"&gt;="&amp;Settings!$B$8,Timesheet!$A$5:$A$3004,"&lt;="&amp;Settings!$B$9))</f>
        <v/>
      </c>
      <c r="G767" s="25" t="str">
        <f aca="false">IF($A767="","",SUMIFS(Timesheet!$G$5:$G$3004,Timesheet!$D$5:$D$3004,$A767,Timesheet!$A$5:$A$3004,"&gt;="&amp;Settings!$B$8,Timesheet!$A$5:$A$3004,"&lt;="&amp;Settings!$B$9))</f>
        <v/>
      </c>
      <c r="H767" s="25" t="str">
        <f aca="false">IF($A767="","",IF(D767="Monthly",MAX(0,Settings!$B$11-E767),0))</f>
        <v/>
      </c>
      <c r="I767" s="26" t="str">
        <f aca="false">IF($A767="","",N(INDEX(Workers!$L$5:$L$2004,MATCH($A767,Workers!$A$5:$A$2004,0))))</f>
        <v/>
      </c>
      <c r="J767" s="26" t="str">
        <f aca="false">IF($A767="","",N(INDEX(Workers!$M$5:$M$2004,MATCH($A767,Workers!$A$5:$A$2004,0))))</f>
        <v/>
      </c>
      <c r="K767" s="26" t="str">
        <f aca="false">IF($A767="","",IF(D767="Monthly",ROUND(MAX(0,(I767+J767)-(I767+J767)/Settings!$B$10*H767),2),0))</f>
        <v/>
      </c>
      <c r="L767" s="26" t="str">
        <f aca="false">IF($A767="","",IF(D767="Hourly",ROUND(F767*N(INDEX(Workers!$N$5:$N$2004,MATCH($A767,Workers!$A$5:$A$2004,0))),2),0))</f>
        <v/>
      </c>
      <c r="M767" s="26" t="str">
        <f aca="false">IF($A767="","",ROUND(G767*IF(D767="Hourly",N(INDEX(Workers!$N$5:$N$2004,MATCH($A767,Workers!$A$5:$A$2004,0))),I767/Settings!$B$10/Settings!$B$12)*Settings!$B$13,2))</f>
        <v/>
      </c>
      <c r="N767" s="26" t="str">
        <f aca="false">IF($A767="","",K767+L767+M767)</f>
        <v/>
      </c>
      <c r="O767" s="26" t="str">
        <f aca="false">IF($A767="","",SUMIFS(Deductions!$D$5:$D$2000,Deductions!$B$5:$B$2000,$A767,Deductions!$C$5:$C$2000,"Advance",Deductions!$E$5:$E$2000,"&gt;="&amp;Settings!$B$8,Deductions!$E$5:$E$2000,"&lt;="&amp;Settings!$B$9))</f>
        <v/>
      </c>
      <c r="P767" s="26" t="str">
        <f aca="false">IF($A767="","",SUMIFS(Deductions!$D$5:$D$2000,Deductions!$B$5:$B$2000,$A767,Deductions!$E$5:$E$2000,"&gt;="&amp;Settings!$B$8,Deductions!$E$5:$E$2000,"&lt;="&amp;Settings!$B$9)-O767)</f>
        <v/>
      </c>
      <c r="Q767" s="26" t="str">
        <f aca="false">IF($A767="","",O767+P767)</f>
        <v/>
      </c>
      <c r="R767" s="23" t="str">
        <f aca="false">IF($A767="","",N767-Q767)</f>
        <v/>
      </c>
      <c r="S767" s="24" t="str">
        <f aca="false">IF($A767="","",INDEX(Workers!$O$5:$O$2004,MATCH($A767,Workers!$A$5:$A$2004,0))&amp;"")</f>
        <v/>
      </c>
      <c r="T767" s="24" t="str">
        <f aca="false">IF($A767="","",INDEX(Workers!$P$5:$P$2004,MATCH($A767,Workers!$A$5:$A$2004,0))&amp;"")</f>
        <v/>
      </c>
      <c r="U767" s="24" t="str">
        <f aca="false">IF($A767="","",INDEX(Workers!$H$5:$H$2004,MATCH($A767,Workers!$A$5:$A$2004,0))&amp;"")</f>
        <v/>
      </c>
    </row>
    <row r="768" customFormat="false" ht="15" hidden="false" customHeight="false" outlineLevel="0" collapsed="false">
      <c r="A768" s="24" t="str">
        <f aca="false">IFERROR(INDEX(Workers!$A$5:$A$2004,MATCH(ROW()-4,Workers!$U$5:$U$2004,0)),"")</f>
        <v/>
      </c>
      <c r="B768" s="24" t="str">
        <f aca="false">IF($A768="","",INDEX(Workers!$B$5:$B$2004,MATCH($A768,Workers!$A$5:$A$2004,0)))</f>
        <v/>
      </c>
      <c r="C768" s="24" t="str">
        <f aca="false">IF($A768="","",INDEX(Workers!$E$5:$E$2004,MATCH($A768,Workers!$A$5:$A$2004,0)))</f>
        <v/>
      </c>
      <c r="D768" s="24" t="str">
        <f aca="false">IF($A768="","",INDEX(Workers!$K$5:$K$2004,MATCH($A768,Workers!$A$5:$A$2004,0)))</f>
        <v/>
      </c>
      <c r="E768" s="25" t="str">
        <f aca="false">IF($A768="","",SUMIFS(Timesheet!$E$5:$E$3004,Timesheet!$D$5:$D$3004,$A768,Timesheet!$A$5:$A$3004,"&gt;="&amp;Settings!$B$8,Timesheet!$A$5:$A$3004,"&lt;="&amp;Settings!$B$9))</f>
        <v/>
      </c>
      <c r="F768" s="25" t="str">
        <f aca="false">IF($A768="","",SUMIFS(Timesheet!$F$5:$F$3004,Timesheet!$D$5:$D$3004,$A768,Timesheet!$A$5:$A$3004,"&gt;="&amp;Settings!$B$8,Timesheet!$A$5:$A$3004,"&lt;="&amp;Settings!$B$9))</f>
        <v/>
      </c>
      <c r="G768" s="25" t="str">
        <f aca="false">IF($A768="","",SUMIFS(Timesheet!$G$5:$G$3004,Timesheet!$D$5:$D$3004,$A768,Timesheet!$A$5:$A$3004,"&gt;="&amp;Settings!$B$8,Timesheet!$A$5:$A$3004,"&lt;="&amp;Settings!$B$9))</f>
        <v/>
      </c>
      <c r="H768" s="25" t="str">
        <f aca="false">IF($A768="","",IF(D768="Monthly",MAX(0,Settings!$B$11-E768),0))</f>
        <v/>
      </c>
      <c r="I768" s="26" t="str">
        <f aca="false">IF($A768="","",N(INDEX(Workers!$L$5:$L$2004,MATCH($A768,Workers!$A$5:$A$2004,0))))</f>
        <v/>
      </c>
      <c r="J768" s="26" t="str">
        <f aca="false">IF($A768="","",N(INDEX(Workers!$M$5:$M$2004,MATCH($A768,Workers!$A$5:$A$2004,0))))</f>
        <v/>
      </c>
      <c r="K768" s="26" t="str">
        <f aca="false">IF($A768="","",IF(D768="Monthly",ROUND(MAX(0,(I768+J768)-(I768+J768)/Settings!$B$10*H768),2),0))</f>
        <v/>
      </c>
      <c r="L768" s="26" t="str">
        <f aca="false">IF($A768="","",IF(D768="Hourly",ROUND(F768*N(INDEX(Workers!$N$5:$N$2004,MATCH($A768,Workers!$A$5:$A$2004,0))),2),0))</f>
        <v/>
      </c>
      <c r="M768" s="26" t="str">
        <f aca="false">IF($A768="","",ROUND(G768*IF(D768="Hourly",N(INDEX(Workers!$N$5:$N$2004,MATCH($A768,Workers!$A$5:$A$2004,0))),I768/Settings!$B$10/Settings!$B$12)*Settings!$B$13,2))</f>
        <v/>
      </c>
      <c r="N768" s="26" t="str">
        <f aca="false">IF($A768="","",K768+L768+M768)</f>
        <v/>
      </c>
      <c r="O768" s="26" t="str">
        <f aca="false">IF($A768="","",SUMIFS(Deductions!$D$5:$D$2000,Deductions!$B$5:$B$2000,$A768,Deductions!$C$5:$C$2000,"Advance",Deductions!$E$5:$E$2000,"&gt;="&amp;Settings!$B$8,Deductions!$E$5:$E$2000,"&lt;="&amp;Settings!$B$9))</f>
        <v/>
      </c>
      <c r="P768" s="26" t="str">
        <f aca="false">IF($A768="","",SUMIFS(Deductions!$D$5:$D$2000,Deductions!$B$5:$B$2000,$A768,Deductions!$E$5:$E$2000,"&gt;="&amp;Settings!$B$8,Deductions!$E$5:$E$2000,"&lt;="&amp;Settings!$B$9)-O768)</f>
        <v/>
      </c>
      <c r="Q768" s="26" t="str">
        <f aca="false">IF($A768="","",O768+P768)</f>
        <v/>
      </c>
      <c r="R768" s="23" t="str">
        <f aca="false">IF($A768="","",N768-Q768)</f>
        <v/>
      </c>
      <c r="S768" s="24" t="str">
        <f aca="false">IF($A768="","",INDEX(Workers!$O$5:$O$2004,MATCH($A768,Workers!$A$5:$A$2004,0))&amp;"")</f>
        <v/>
      </c>
      <c r="T768" s="24" t="str">
        <f aca="false">IF($A768="","",INDEX(Workers!$P$5:$P$2004,MATCH($A768,Workers!$A$5:$A$2004,0))&amp;"")</f>
        <v/>
      </c>
      <c r="U768" s="24" t="str">
        <f aca="false">IF($A768="","",INDEX(Workers!$H$5:$H$2004,MATCH($A768,Workers!$A$5:$A$2004,0))&amp;"")</f>
        <v/>
      </c>
    </row>
    <row r="769" customFormat="false" ht="15" hidden="false" customHeight="false" outlineLevel="0" collapsed="false">
      <c r="A769" s="24" t="str">
        <f aca="false">IFERROR(INDEX(Workers!$A$5:$A$2004,MATCH(ROW()-4,Workers!$U$5:$U$2004,0)),"")</f>
        <v/>
      </c>
      <c r="B769" s="24" t="str">
        <f aca="false">IF($A769="","",INDEX(Workers!$B$5:$B$2004,MATCH($A769,Workers!$A$5:$A$2004,0)))</f>
        <v/>
      </c>
      <c r="C769" s="24" t="str">
        <f aca="false">IF($A769="","",INDEX(Workers!$E$5:$E$2004,MATCH($A769,Workers!$A$5:$A$2004,0)))</f>
        <v/>
      </c>
      <c r="D769" s="24" t="str">
        <f aca="false">IF($A769="","",INDEX(Workers!$K$5:$K$2004,MATCH($A769,Workers!$A$5:$A$2004,0)))</f>
        <v/>
      </c>
      <c r="E769" s="25" t="str">
        <f aca="false">IF($A769="","",SUMIFS(Timesheet!$E$5:$E$3004,Timesheet!$D$5:$D$3004,$A769,Timesheet!$A$5:$A$3004,"&gt;="&amp;Settings!$B$8,Timesheet!$A$5:$A$3004,"&lt;="&amp;Settings!$B$9))</f>
        <v/>
      </c>
      <c r="F769" s="25" t="str">
        <f aca="false">IF($A769="","",SUMIFS(Timesheet!$F$5:$F$3004,Timesheet!$D$5:$D$3004,$A769,Timesheet!$A$5:$A$3004,"&gt;="&amp;Settings!$B$8,Timesheet!$A$5:$A$3004,"&lt;="&amp;Settings!$B$9))</f>
        <v/>
      </c>
      <c r="G769" s="25" t="str">
        <f aca="false">IF($A769="","",SUMIFS(Timesheet!$G$5:$G$3004,Timesheet!$D$5:$D$3004,$A769,Timesheet!$A$5:$A$3004,"&gt;="&amp;Settings!$B$8,Timesheet!$A$5:$A$3004,"&lt;="&amp;Settings!$B$9))</f>
        <v/>
      </c>
      <c r="H769" s="25" t="str">
        <f aca="false">IF($A769="","",IF(D769="Monthly",MAX(0,Settings!$B$11-E769),0))</f>
        <v/>
      </c>
      <c r="I769" s="26" t="str">
        <f aca="false">IF($A769="","",N(INDEX(Workers!$L$5:$L$2004,MATCH($A769,Workers!$A$5:$A$2004,0))))</f>
        <v/>
      </c>
      <c r="J769" s="26" t="str">
        <f aca="false">IF($A769="","",N(INDEX(Workers!$M$5:$M$2004,MATCH($A769,Workers!$A$5:$A$2004,0))))</f>
        <v/>
      </c>
      <c r="K769" s="26" t="str">
        <f aca="false">IF($A769="","",IF(D769="Monthly",ROUND(MAX(0,(I769+J769)-(I769+J769)/Settings!$B$10*H769),2),0))</f>
        <v/>
      </c>
      <c r="L769" s="26" t="str">
        <f aca="false">IF($A769="","",IF(D769="Hourly",ROUND(F769*N(INDEX(Workers!$N$5:$N$2004,MATCH($A769,Workers!$A$5:$A$2004,0))),2),0))</f>
        <v/>
      </c>
      <c r="M769" s="26" t="str">
        <f aca="false">IF($A769="","",ROUND(G769*IF(D769="Hourly",N(INDEX(Workers!$N$5:$N$2004,MATCH($A769,Workers!$A$5:$A$2004,0))),I769/Settings!$B$10/Settings!$B$12)*Settings!$B$13,2))</f>
        <v/>
      </c>
      <c r="N769" s="26" t="str">
        <f aca="false">IF($A769="","",K769+L769+M769)</f>
        <v/>
      </c>
      <c r="O769" s="26" t="str">
        <f aca="false">IF($A769="","",SUMIFS(Deductions!$D$5:$D$2000,Deductions!$B$5:$B$2000,$A769,Deductions!$C$5:$C$2000,"Advance",Deductions!$E$5:$E$2000,"&gt;="&amp;Settings!$B$8,Deductions!$E$5:$E$2000,"&lt;="&amp;Settings!$B$9))</f>
        <v/>
      </c>
      <c r="P769" s="26" t="str">
        <f aca="false">IF($A769="","",SUMIFS(Deductions!$D$5:$D$2000,Deductions!$B$5:$B$2000,$A769,Deductions!$E$5:$E$2000,"&gt;="&amp;Settings!$B$8,Deductions!$E$5:$E$2000,"&lt;="&amp;Settings!$B$9)-O769)</f>
        <v/>
      </c>
      <c r="Q769" s="26" t="str">
        <f aca="false">IF($A769="","",O769+P769)</f>
        <v/>
      </c>
      <c r="R769" s="23" t="str">
        <f aca="false">IF($A769="","",N769-Q769)</f>
        <v/>
      </c>
      <c r="S769" s="24" t="str">
        <f aca="false">IF($A769="","",INDEX(Workers!$O$5:$O$2004,MATCH($A769,Workers!$A$5:$A$2004,0))&amp;"")</f>
        <v/>
      </c>
      <c r="T769" s="24" t="str">
        <f aca="false">IF($A769="","",INDEX(Workers!$P$5:$P$2004,MATCH($A769,Workers!$A$5:$A$2004,0))&amp;"")</f>
        <v/>
      </c>
      <c r="U769" s="24" t="str">
        <f aca="false">IF($A769="","",INDEX(Workers!$H$5:$H$2004,MATCH($A769,Workers!$A$5:$A$2004,0))&amp;"")</f>
        <v/>
      </c>
    </row>
    <row r="770" customFormat="false" ht="15" hidden="false" customHeight="false" outlineLevel="0" collapsed="false">
      <c r="A770" s="24" t="str">
        <f aca="false">IFERROR(INDEX(Workers!$A$5:$A$2004,MATCH(ROW()-4,Workers!$U$5:$U$2004,0)),"")</f>
        <v/>
      </c>
      <c r="B770" s="24" t="str">
        <f aca="false">IF($A770="","",INDEX(Workers!$B$5:$B$2004,MATCH($A770,Workers!$A$5:$A$2004,0)))</f>
        <v/>
      </c>
      <c r="C770" s="24" t="str">
        <f aca="false">IF($A770="","",INDEX(Workers!$E$5:$E$2004,MATCH($A770,Workers!$A$5:$A$2004,0)))</f>
        <v/>
      </c>
      <c r="D770" s="24" t="str">
        <f aca="false">IF($A770="","",INDEX(Workers!$K$5:$K$2004,MATCH($A770,Workers!$A$5:$A$2004,0)))</f>
        <v/>
      </c>
      <c r="E770" s="25" t="str">
        <f aca="false">IF($A770="","",SUMIFS(Timesheet!$E$5:$E$3004,Timesheet!$D$5:$D$3004,$A770,Timesheet!$A$5:$A$3004,"&gt;="&amp;Settings!$B$8,Timesheet!$A$5:$A$3004,"&lt;="&amp;Settings!$B$9))</f>
        <v/>
      </c>
      <c r="F770" s="25" t="str">
        <f aca="false">IF($A770="","",SUMIFS(Timesheet!$F$5:$F$3004,Timesheet!$D$5:$D$3004,$A770,Timesheet!$A$5:$A$3004,"&gt;="&amp;Settings!$B$8,Timesheet!$A$5:$A$3004,"&lt;="&amp;Settings!$B$9))</f>
        <v/>
      </c>
      <c r="G770" s="25" t="str">
        <f aca="false">IF($A770="","",SUMIFS(Timesheet!$G$5:$G$3004,Timesheet!$D$5:$D$3004,$A770,Timesheet!$A$5:$A$3004,"&gt;="&amp;Settings!$B$8,Timesheet!$A$5:$A$3004,"&lt;="&amp;Settings!$B$9))</f>
        <v/>
      </c>
      <c r="H770" s="25" t="str">
        <f aca="false">IF($A770="","",IF(D770="Monthly",MAX(0,Settings!$B$11-E770),0))</f>
        <v/>
      </c>
      <c r="I770" s="26" t="str">
        <f aca="false">IF($A770="","",N(INDEX(Workers!$L$5:$L$2004,MATCH($A770,Workers!$A$5:$A$2004,0))))</f>
        <v/>
      </c>
      <c r="J770" s="26" t="str">
        <f aca="false">IF($A770="","",N(INDEX(Workers!$M$5:$M$2004,MATCH($A770,Workers!$A$5:$A$2004,0))))</f>
        <v/>
      </c>
      <c r="K770" s="26" t="str">
        <f aca="false">IF($A770="","",IF(D770="Monthly",ROUND(MAX(0,(I770+J770)-(I770+J770)/Settings!$B$10*H770),2),0))</f>
        <v/>
      </c>
      <c r="L770" s="26" t="str">
        <f aca="false">IF($A770="","",IF(D770="Hourly",ROUND(F770*N(INDEX(Workers!$N$5:$N$2004,MATCH($A770,Workers!$A$5:$A$2004,0))),2),0))</f>
        <v/>
      </c>
      <c r="M770" s="26" t="str">
        <f aca="false">IF($A770="","",ROUND(G770*IF(D770="Hourly",N(INDEX(Workers!$N$5:$N$2004,MATCH($A770,Workers!$A$5:$A$2004,0))),I770/Settings!$B$10/Settings!$B$12)*Settings!$B$13,2))</f>
        <v/>
      </c>
      <c r="N770" s="26" t="str">
        <f aca="false">IF($A770="","",K770+L770+M770)</f>
        <v/>
      </c>
      <c r="O770" s="26" t="str">
        <f aca="false">IF($A770="","",SUMIFS(Deductions!$D$5:$D$2000,Deductions!$B$5:$B$2000,$A770,Deductions!$C$5:$C$2000,"Advance",Deductions!$E$5:$E$2000,"&gt;="&amp;Settings!$B$8,Deductions!$E$5:$E$2000,"&lt;="&amp;Settings!$B$9))</f>
        <v/>
      </c>
      <c r="P770" s="26" t="str">
        <f aca="false">IF($A770="","",SUMIFS(Deductions!$D$5:$D$2000,Deductions!$B$5:$B$2000,$A770,Deductions!$E$5:$E$2000,"&gt;="&amp;Settings!$B$8,Deductions!$E$5:$E$2000,"&lt;="&amp;Settings!$B$9)-O770)</f>
        <v/>
      </c>
      <c r="Q770" s="26" t="str">
        <f aca="false">IF($A770="","",O770+P770)</f>
        <v/>
      </c>
      <c r="R770" s="23" t="str">
        <f aca="false">IF($A770="","",N770-Q770)</f>
        <v/>
      </c>
      <c r="S770" s="24" t="str">
        <f aca="false">IF($A770="","",INDEX(Workers!$O$5:$O$2004,MATCH($A770,Workers!$A$5:$A$2004,0))&amp;"")</f>
        <v/>
      </c>
      <c r="T770" s="24" t="str">
        <f aca="false">IF($A770="","",INDEX(Workers!$P$5:$P$2004,MATCH($A770,Workers!$A$5:$A$2004,0))&amp;"")</f>
        <v/>
      </c>
      <c r="U770" s="24" t="str">
        <f aca="false">IF($A770="","",INDEX(Workers!$H$5:$H$2004,MATCH($A770,Workers!$A$5:$A$2004,0))&amp;"")</f>
        <v/>
      </c>
    </row>
    <row r="771" customFormat="false" ht="15" hidden="false" customHeight="false" outlineLevel="0" collapsed="false">
      <c r="A771" s="24" t="str">
        <f aca="false">IFERROR(INDEX(Workers!$A$5:$A$2004,MATCH(ROW()-4,Workers!$U$5:$U$2004,0)),"")</f>
        <v/>
      </c>
      <c r="B771" s="24" t="str">
        <f aca="false">IF($A771="","",INDEX(Workers!$B$5:$B$2004,MATCH($A771,Workers!$A$5:$A$2004,0)))</f>
        <v/>
      </c>
      <c r="C771" s="24" t="str">
        <f aca="false">IF($A771="","",INDEX(Workers!$E$5:$E$2004,MATCH($A771,Workers!$A$5:$A$2004,0)))</f>
        <v/>
      </c>
      <c r="D771" s="24" t="str">
        <f aca="false">IF($A771="","",INDEX(Workers!$K$5:$K$2004,MATCH($A771,Workers!$A$5:$A$2004,0)))</f>
        <v/>
      </c>
      <c r="E771" s="25" t="str">
        <f aca="false">IF($A771="","",SUMIFS(Timesheet!$E$5:$E$3004,Timesheet!$D$5:$D$3004,$A771,Timesheet!$A$5:$A$3004,"&gt;="&amp;Settings!$B$8,Timesheet!$A$5:$A$3004,"&lt;="&amp;Settings!$B$9))</f>
        <v/>
      </c>
      <c r="F771" s="25" t="str">
        <f aca="false">IF($A771="","",SUMIFS(Timesheet!$F$5:$F$3004,Timesheet!$D$5:$D$3004,$A771,Timesheet!$A$5:$A$3004,"&gt;="&amp;Settings!$B$8,Timesheet!$A$5:$A$3004,"&lt;="&amp;Settings!$B$9))</f>
        <v/>
      </c>
      <c r="G771" s="25" t="str">
        <f aca="false">IF($A771="","",SUMIFS(Timesheet!$G$5:$G$3004,Timesheet!$D$5:$D$3004,$A771,Timesheet!$A$5:$A$3004,"&gt;="&amp;Settings!$B$8,Timesheet!$A$5:$A$3004,"&lt;="&amp;Settings!$B$9))</f>
        <v/>
      </c>
      <c r="H771" s="25" t="str">
        <f aca="false">IF($A771="","",IF(D771="Monthly",MAX(0,Settings!$B$11-E771),0))</f>
        <v/>
      </c>
      <c r="I771" s="26" t="str">
        <f aca="false">IF($A771="","",N(INDEX(Workers!$L$5:$L$2004,MATCH($A771,Workers!$A$5:$A$2004,0))))</f>
        <v/>
      </c>
      <c r="J771" s="26" t="str">
        <f aca="false">IF($A771="","",N(INDEX(Workers!$M$5:$M$2004,MATCH($A771,Workers!$A$5:$A$2004,0))))</f>
        <v/>
      </c>
      <c r="K771" s="26" t="str">
        <f aca="false">IF($A771="","",IF(D771="Monthly",ROUND(MAX(0,(I771+J771)-(I771+J771)/Settings!$B$10*H771),2),0))</f>
        <v/>
      </c>
      <c r="L771" s="26" t="str">
        <f aca="false">IF($A771="","",IF(D771="Hourly",ROUND(F771*N(INDEX(Workers!$N$5:$N$2004,MATCH($A771,Workers!$A$5:$A$2004,0))),2),0))</f>
        <v/>
      </c>
      <c r="M771" s="26" t="str">
        <f aca="false">IF($A771="","",ROUND(G771*IF(D771="Hourly",N(INDEX(Workers!$N$5:$N$2004,MATCH($A771,Workers!$A$5:$A$2004,0))),I771/Settings!$B$10/Settings!$B$12)*Settings!$B$13,2))</f>
        <v/>
      </c>
      <c r="N771" s="26" t="str">
        <f aca="false">IF($A771="","",K771+L771+M771)</f>
        <v/>
      </c>
      <c r="O771" s="26" t="str">
        <f aca="false">IF($A771="","",SUMIFS(Deductions!$D$5:$D$2000,Deductions!$B$5:$B$2000,$A771,Deductions!$C$5:$C$2000,"Advance",Deductions!$E$5:$E$2000,"&gt;="&amp;Settings!$B$8,Deductions!$E$5:$E$2000,"&lt;="&amp;Settings!$B$9))</f>
        <v/>
      </c>
      <c r="P771" s="26" t="str">
        <f aca="false">IF($A771="","",SUMIFS(Deductions!$D$5:$D$2000,Deductions!$B$5:$B$2000,$A771,Deductions!$E$5:$E$2000,"&gt;="&amp;Settings!$B$8,Deductions!$E$5:$E$2000,"&lt;="&amp;Settings!$B$9)-O771)</f>
        <v/>
      </c>
      <c r="Q771" s="26" t="str">
        <f aca="false">IF($A771="","",O771+P771)</f>
        <v/>
      </c>
      <c r="R771" s="23" t="str">
        <f aca="false">IF($A771="","",N771-Q771)</f>
        <v/>
      </c>
      <c r="S771" s="24" t="str">
        <f aca="false">IF($A771="","",INDEX(Workers!$O$5:$O$2004,MATCH($A771,Workers!$A$5:$A$2004,0))&amp;"")</f>
        <v/>
      </c>
      <c r="T771" s="24" t="str">
        <f aca="false">IF($A771="","",INDEX(Workers!$P$5:$P$2004,MATCH($A771,Workers!$A$5:$A$2004,0))&amp;"")</f>
        <v/>
      </c>
      <c r="U771" s="24" t="str">
        <f aca="false">IF($A771="","",INDEX(Workers!$H$5:$H$2004,MATCH($A771,Workers!$A$5:$A$2004,0))&amp;"")</f>
        <v/>
      </c>
    </row>
    <row r="772" customFormat="false" ht="15" hidden="false" customHeight="false" outlineLevel="0" collapsed="false">
      <c r="A772" s="24" t="str">
        <f aca="false">IFERROR(INDEX(Workers!$A$5:$A$2004,MATCH(ROW()-4,Workers!$U$5:$U$2004,0)),"")</f>
        <v/>
      </c>
      <c r="B772" s="24" t="str">
        <f aca="false">IF($A772="","",INDEX(Workers!$B$5:$B$2004,MATCH($A772,Workers!$A$5:$A$2004,0)))</f>
        <v/>
      </c>
      <c r="C772" s="24" t="str">
        <f aca="false">IF($A772="","",INDEX(Workers!$E$5:$E$2004,MATCH($A772,Workers!$A$5:$A$2004,0)))</f>
        <v/>
      </c>
      <c r="D772" s="24" t="str">
        <f aca="false">IF($A772="","",INDEX(Workers!$K$5:$K$2004,MATCH($A772,Workers!$A$5:$A$2004,0)))</f>
        <v/>
      </c>
      <c r="E772" s="25" t="str">
        <f aca="false">IF($A772="","",SUMIFS(Timesheet!$E$5:$E$3004,Timesheet!$D$5:$D$3004,$A772,Timesheet!$A$5:$A$3004,"&gt;="&amp;Settings!$B$8,Timesheet!$A$5:$A$3004,"&lt;="&amp;Settings!$B$9))</f>
        <v/>
      </c>
      <c r="F772" s="25" t="str">
        <f aca="false">IF($A772="","",SUMIFS(Timesheet!$F$5:$F$3004,Timesheet!$D$5:$D$3004,$A772,Timesheet!$A$5:$A$3004,"&gt;="&amp;Settings!$B$8,Timesheet!$A$5:$A$3004,"&lt;="&amp;Settings!$B$9))</f>
        <v/>
      </c>
      <c r="G772" s="25" t="str">
        <f aca="false">IF($A772="","",SUMIFS(Timesheet!$G$5:$G$3004,Timesheet!$D$5:$D$3004,$A772,Timesheet!$A$5:$A$3004,"&gt;="&amp;Settings!$B$8,Timesheet!$A$5:$A$3004,"&lt;="&amp;Settings!$B$9))</f>
        <v/>
      </c>
      <c r="H772" s="25" t="str">
        <f aca="false">IF($A772="","",IF(D772="Monthly",MAX(0,Settings!$B$11-E772),0))</f>
        <v/>
      </c>
      <c r="I772" s="26" t="str">
        <f aca="false">IF($A772="","",N(INDEX(Workers!$L$5:$L$2004,MATCH($A772,Workers!$A$5:$A$2004,0))))</f>
        <v/>
      </c>
      <c r="J772" s="26" t="str">
        <f aca="false">IF($A772="","",N(INDEX(Workers!$M$5:$M$2004,MATCH($A772,Workers!$A$5:$A$2004,0))))</f>
        <v/>
      </c>
      <c r="K772" s="26" t="str">
        <f aca="false">IF($A772="","",IF(D772="Monthly",ROUND(MAX(0,(I772+J772)-(I772+J772)/Settings!$B$10*H772),2),0))</f>
        <v/>
      </c>
      <c r="L772" s="26" t="str">
        <f aca="false">IF($A772="","",IF(D772="Hourly",ROUND(F772*N(INDEX(Workers!$N$5:$N$2004,MATCH($A772,Workers!$A$5:$A$2004,0))),2),0))</f>
        <v/>
      </c>
      <c r="M772" s="26" t="str">
        <f aca="false">IF($A772="","",ROUND(G772*IF(D772="Hourly",N(INDEX(Workers!$N$5:$N$2004,MATCH($A772,Workers!$A$5:$A$2004,0))),I772/Settings!$B$10/Settings!$B$12)*Settings!$B$13,2))</f>
        <v/>
      </c>
      <c r="N772" s="26" t="str">
        <f aca="false">IF($A772="","",K772+L772+M772)</f>
        <v/>
      </c>
      <c r="O772" s="26" t="str">
        <f aca="false">IF($A772="","",SUMIFS(Deductions!$D$5:$D$2000,Deductions!$B$5:$B$2000,$A772,Deductions!$C$5:$C$2000,"Advance",Deductions!$E$5:$E$2000,"&gt;="&amp;Settings!$B$8,Deductions!$E$5:$E$2000,"&lt;="&amp;Settings!$B$9))</f>
        <v/>
      </c>
      <c r="P772" s="26" t="str">
        <f aca="false">IF($A772="","",SUMIFS(Deductions!$D$5:$D$2000,Deductions!$B$5:$B$2000,$A772,Deductions!$E$5:$E$2000,"&gt;="&amp;Settings!$B$8,Deductions!$E$5:$E$2000,"&lt;="&amp;Settings!$B$9)-O772)</f>
        <v/>
      </c>
      <c r="Q772" s="26" t="str">
        <f aca="false">IF($A772="","",O772+P772)</f>
        <v/>
      </c>
      <c r="R772" s="23" t="str">
        <f aca="false">IF($A772="","",N772-Q772)</f>
        <v/>
      </c>
      <c r="S772" s="24" t="str">
        <f aca="false">IF($A772="","",INDEX(Workers!$O$5:$O$2004,MATCH($A772,Workers!$A$5:$A$2004,0))&amp;"")</f>
        <v/>
      </c>
      <c r="T772" s="24" t="str">
        <f aca="false">IF($A772="","",INDEX(Workers!$P$5:$P$2004,MATCH($A772,Workers!$A$5:$A$2004,0))&amp;"")</f>
        <v/>
      </c>
      <c r="U772" s="24" t="str">
        <f aca="false">IF($A772="","",INDEX(Workers!$H$5:$H$2004,MATCH($A772,Workers!$A$5:$A$2004,0))&amp;"")</f>
        <v/>
      </c>
    </row>
    <row r="773" customFormat="false" ht="15" hidden="false" customHeight="false" outlineLevel="0" collapsed="false">
      <c r="A773" s="24" t="str">
        <f aca="false">IFERROR(INDEX(Workers!$A$5:$A$2004,MATCH(ROW()-4,Workers!$U$5:$U$2004,0)),"")</f>
        <v/>
      </c>
      <c r="B773" s="24" t="str">
        <f aca="false">IF($A773="","",INDEX(Workers!$B$5:$B$2004,MATCH($A773,Workers!$A$5:$A$2004,0)))</f>
        <v/>
      </c>
      <c r="C773" s="24" t="str">
        <f aca="false">IF($A773="","",INDEX(Workers!$E$5:$E$2004,MATCH($A773,Workers!$A$5:$A$2004,0)))</f>
        <v/>
      </c>
      <c r="D773" s="24" t="str">
        <f aca="false">IF($A773="","",INDEX(Workers!$K$5:$K$2004,MATCH($A773,Workers!$A$5:$A$2004,0)))</f>
        <v/>
      </c>
      <c r="E773" s="25" t="str">
        <f aca="false">IF($A773="","",SUMIFS(Timesheet!$E$5:$E$3004,Timesheet!$D$5:$D$3004,$A773,Timesheet!$A$5:$A$3004,"&gt;="&amp;Settings!$B$8,Timesheet!$A$5:$A$3004,"&lt;="&amp;Settings!$B$9))</f>
        <v/>
      </c>
      <c r="F773" s="25" t="str">
        <f aca="false">IF($A773="","",SUMIFS(Timesheet!$F$5:$F$3004,Timesheet!$D$5:$D$3004,$A773,Timesheet!$A$5:$A$3004,"&gt;="&amp;Settings!$B$8,Timesheet!$A$5:$A$3004,"&lt;="&amp;Settings!$B$9))</f>
        <v/>
      </c>
      <c r="G773" s="25" t="str">
        <f aca="false">IF($A773="","",SUMIFS(Timesheet!$G$5:$G$3004,Timesheet!$D$5:$D$3004,$A773,Timesheet!$A$5:$A$3004,"&gt;="&amp;Settings!$B$8,Timesheet!$A$5:$A$3004,"&lt;="&amp;Settings!$B$9))</f>
        <v/>
      </c>
      <c r="H773" s="25" t="str">
        <f aca="false">IF($A773="","",IF(D773="Monthly",MAX(0,Settings!$B$11-E773),0))</f>
        <v/>
      </c>
      <c r="I773" s="26" t="str">
        <f aca="false">IF($A773="","",N(INDEX(Workers!$L$5:$L$2004,MATCH($A773,Workers!$A$5:$A$2004,0))))</f>
        <v/>
      </c>
      <c r="J773" s="26" t="str">
        <f aca="false">IF($A773="","",N(INDEX(Workers!$M$5:$M$2004,MATCH($A773,Workers!$A$5:$A$2004,0))))</f>
        <v/>
      </c>
      <c r="K773" s="26" t="str">
        <f aca="false">IF($A773="","",IF(D773="Monthly",ROUND(MAX(0,(I773+J773)-(I773+J773)/Settings!$B$10*H773),2),0))</f>
        <v/>
      </c>
      <c r="L773" s="26" t="str">
        <f aca="false">IF($A773="","",IF(D773="Hourly",ROUND(F773*N(INDEX(Workers!$N$5:$N$2004,MATCH($A773,Workers!$A$5:$A$2004,0))),2),0))</f>
        <v/>
      </c>
      <c r="M773" s="26" t="str">
        <f aca="false">IF($A773="","",ROUND(G773*IF(D773="Hourly",N(INDEX(Workers!$N$5:$N$2004,MATCH($A773,Workers!$A$5:$A$2004,0))),I773/Settings!$B$10/Settings!$B$12)*Settings!$B$13,2))</f>
        <v/>
      </c>
      <c r="N773" s="26" t="str">
        <f aca="false">IF($A773="","",K773+L773+M773)</f>
        <v/>
      </c>
      <c r="O773" s="26" t="str">
        <f aca="false">IF($A773="","",SUMIFS(Deductions!$D$5:$D$2000,Deductions!$B$5:$B$2000,$A773,Deductions!$C$5:$C$2000,"Advance",Deductions!$E$5:$E$2000,"&gt;="&amp;Settings!$B$8,Deductions!$E$5:$E$2000,"&lt;="&amp;Settings!$B$9))</f>
        <v/>
      </c>
      <c r="P773" s="26" t="str">
        <f aca="false">IF($A773="","",SUMIFS(Deductions!$D$5:$D$2000,Deductions!$B$5:$B$2000,$A773,Deductions!$E$5:$E$2000,"&gt;="&amp;Settings!$B$8,Deductions!$E$5:$E$2000,"&lt;="&amp;Settings!$B$9)-O773)</f>
        <v/>
      </c>
      <c r="Q773" s="26" t="str">
        <f aca="false">IF($A773="","",O773+P773)</f>
        <v/>
      </c>
      <c r="R773" s="23" t="str">
        <f aca="false">IF($A773="","",N773-Q773)</f>
        <v/>
      </c>
      <c r="S773" s="24" t="str">
        <f aca="false">IF($A773="","",INDEX(Workers!$O$5:$O$2004,MATCH($A773,Workers!$A$5:$A$2004,0))&amp;"")</f>
        <v/>
      </c>
      <c r="T773" s="24" t="str">
        <f aca="false">IF($A773="","",INDEX(Workers!$P$5:$P$2004,MATCH($A773,Workers!$A$5:$A$2004,0))&amp;"")</f>
        <v/>
      </c>
      <c r="U773" s="24" t="str">
        <f aca="false">IF($A773="","",INDEX(Workers!$H$5:$H$2004,MATCH($A773,Workers!$A$5:$A$2004,0))&amp;"")</f>
        <v/>
      </c>
    </row>
    <row r="774" customFormat="false" ht="15" hidden="false" customHeight="false" outlineLevel="0" collapsed="false">
      <c r="A774" s="24" t="str">
        <f aca="false">IFERROR(INDEX(Workers!$A$5:$A$2004,MATCH(ROW()-4,Workers!$U$5:$U$2004,0)),"")</f>
        <v/>
      </c>
      <c r="B774" s="24" t="str">
        <f aca="false">IF($A774="","",INDEX(Workers!$B$5:$B$2004,MATCH($A774,Workers!$A$5:$A$2004,0)))</f>
        <v/>
      </c>
      <c r="C774" s="24" t="str">
        <f aca="false">IF($A774="","",INDEX(Workers!$E$5:$E$2004,MATCH($A774,Workers!$A$5:$A$2004,0)))</f>
        <v/>
      </c>
      <c r="D774" s="24" t="str">
        <f aca="false">IF($A774="","",INDEX(Workers!$K$5:$K$2004,MATCH($A774,Workers!$A$5:$A$2004,0)))</f>
        <v/>
      </c>
      <c r="E774" s="25" t="str">
        <f aca="false">IF($A774="","",SUMIFS(Timesheet!$E$5:$E$3004,Timesheet!$D$5:$D$3004,$A774,Timesheet!$A$5:$A$3004,"&gt;="&amp;Settings!$B$8,Timesheet!$A$5:$A$3004,"&lt;="&amp;Settings!$B$9))</f>
        <v/>
      </c>
      <c r="F774" s="25" t="str">
        <f aca="false">IF($A774="","",SUMIFS(Timesheet!$F$5:$F$3004,Timesheet!$D$5:$D$3004,$A774,Timesheet!$A$5:$A$3004,"&gt;="&amp;Settings!$B$8,Timesheet!$A$5:$A$3004,"&lt;="&amp;Settings!$B$9))</f>
        <v/>
      </c>
      <c r="G774" s="25" t="str">
        <f aca="false">IF($A774="","",SUMIFS(Timesheet!$G$5:$G$3004,Timesheet!$D$5:$D$3004,$A774,Timesheet!$A$5:$A$3004,"&gt;="&amp;Settings!$B$8,Timesheet!$A$5:$A$3004,"&lt;="&amp;Settings!$B$9))</f>
        <v/>
      </c>
      <c r="H774" s="25" t="str">
        <f aca="false">IF($A774="","",IF(D774="Monthly",MAX(0,Settings!$B$11-E774),0))</f>
        <v/>
      </c>
      <c r="I774" s="26" t="str">
        <f aca="false">IF($A774="","",N(INDEX(Workers!$L$5:$L$2004,MATCH($A774,Workers!$A$5:$A$2004,0))))</f>
        <v/>
      </c>
      <c r="J774" s="26" t="str">
        <f aca="false">IF($A774="","",N(INDEX(Workers!$M$5:$M$2004,MATCH($A774,Workers!$A$5:$A$2004,0))))</f>
        <v/>
      </c>
      <c r="K774" s="26" t="str">
        <f aca="false">IF($A774="","",IF(D774="Monthly",ROUND(MAX(0,(I774+J774)-(I774+J774)/Settings!$B$10*H774),2),0))</f>
        <v/>
      </c>
      <c r="L774" s="26" t="str">
        <f aca="false">IF($A774="","",IF(D774="Hourly",ROUND(F774*N(INDEX(Workers!$N$5:$N$2004,MATCH($A774,Workers!$A$5:$A$2004,0))),2),0))</f>
        <v/>
      </c>
      <c r="M774" s="26" t="str">
        <f aca="false">IF($A774="","",ROUND(G774*IF(D774="Hourly",N(INDEX(Workers!$N$5:$N$2004,MATCH($A774,Workers!$A$5:$A$2004,0))),I774/Settings!$B$10/Settings!$B$12)*Settings!$B$13,2))</f>
        <v/>
      </c>
      <c r="N774" s="26" t="str">
        <f aca="false">IF($A774="","",K774+L774+M774)</f>
        <v/>
      </c>
      <c r="O774" s="26" t="str">
        <f aca="false">IF($A774="","",SUMIFS(Deductions!$D$5:$D$2000,Deductions!$B$5:$B$2000,$A774,Deductions!$C$5:$C$2000,"Advance",Deductions!$E$5:$E$2000,"&gt;="&amp;Settings!$B$8,Deductions!$E$5:$E$2000,"&lt;="&amp;Settings!$B$9))</f>
        <v/>
      </c>
      <c r="P774" s="26" t="str">
        <f aca="false">IF($A774="","",SUMIFS(Deductions!$D$5:$D$2000,Deductions!$B$5:$B$2000,$A774,Deductions!$E$5:$E$2000,"&gt;="&amp;Settings!$B$8,Deductions!$E$5:$E$2000,"&lt;="&amp;Settings!$B$9)-O774)</f>
        <v/>
      </c>
      <c r="Q774" s="26" t="str">
        <f aca="false">IF($A774="","",O774+P774)</f>
        <v/>
      </c>
      <c r="R774" s="23" t="str">
        <f aca="false">IF($A774="","",N774-Q774)</f>
        <v/>
      </c>
      <c r="S774" s="24" t="str">
        <f aca="false">IF($A774="","",INDEX(Workers!$O$5:$O$2004,MATCH($A774,Workers!$A$5:$A$2004,0))&amp;"")</f>
        <v/>
      </c>
      <c r="T774" s="24" t="str">
        <f aca="false">IF($A774="","",INDEX(Workers!$P$5:$P$2004,MATCH($A774,Workers!$A$5:$A$2004,0))&amp;"")</f>
        <v/>
      </c>
      <c r="U774" s="24" t="str">
        <f aca="false">IF($A774="","",INDEX(Workers!$H$5:$H$2004,MATCH($A774,Workers!$A$5:$A$2004,0))&amp;"")</f>
        <v/>
      </c>
    </row>
    <row r="775" customFormat="false" ht="15" hidden="false" customHeight="false" outlineLevel="0" collapsed="false">
      <c r="A775" s="24" t="str">
        <f aca="false">IFERROR(INDEX(Workers!$A$5:$A$2004,MATCH(ROW()-4,Workers!$U$5:$U$2004,0)),"")</f>
        <v/>
      </c>
      <c r="B775" s="24" t="str">
        <f aca="false">IF($A775="","",INDEX(Workers!$B$5:$B$2004,MATCH($A775,Workers!$A$5:$A$2004,0)))</f>
        <v/>
      </c>
      <c r="C775" s="24" t="str">
        <f aca="false">IF($A775="","",INDEX(Workers!$E$5:$E$2004,MATCH($A775,Workers!$A$5:$A$2004,0)))</f>
        <v/>
      </c>
      <c r="D775" s="24" t="str">
        <f aca="false">IF($A775="","",INDEX(Workers!$K$5:$K$2004,MATCH($A775,Workers!$A$5:$A$2004,0)))</f>
        <v/>
      </c>
      <c r="E775" s="25" t="str">
        <f aca="false">IF($A775="","",SUMIFS(Timesheet!$E$5:$E$3004,Timesheet!$D$5:$D$3004,$A775,Timesheet!$A$5:$A$3004,"&gt;="&amp;Settings!$B$8,Timesheet!$A$5:$A$3004,"&lt;="&amp;Settings!$B$9))</f>
        <v/>
      </c>
      <c r="F775" s="25" t="str">
        <f aca="false">IF($A775="","",SUMIFS(Timesheet!$F$5:$F$3004,Timesheet!$D$5:$D$3004,$A775,Timesheet!$A$5:$A$3004,"&gt;="&amp;Settings!$B$8,Timesheet!$A$5:$A$3004,"&lt;="&amp;Settings!$B$9))</f>
        <v/>
      </c>
      <c r="G775" s="25" t="str">
        <f aca="false">IF($A775="","",SUMIFS(Timesheet!$G$5:$G$3004,Timesheet!$D$5:$D$3004,$A775,Timesheet!$A$5:$A$3004,"&gt;="&amp;Settings!$B$8,Timesheet!$A$5:$A$3004,"&lt;="&amp;Settings!$B$9))</f>
        <v/>
      </c>
      <c r="H775" s="25" t="str">
        <f aca="false">IF($A775="","",IF(D775="Monthly",MAX(0,Settings!$B$11-E775),0))</f>
        <v/>
      </c>
      <c r="I775" s="26" t="str">
        <f aca="false">IF($A775="","",N(INDEX(Workers!$L$5:$L$2004,MATCH($A775,Workers!$A$5:$A$2004,0))))</f>
        <v/>
      </c>
      <c r="J775" s="26" t="str">
        <f aca="false">IF($A775="","",N(INDEX(Workers!$M$5:$M$2004,MATCH($A775,Workers!$A$5:$A$2004,0))))</f>
        <v/>
      </c>
      <c r="K775" s="26" t="str">
        <f aca="false">IF($A775="","",IF(D775="Monthly",ROUND(MAX(0,(I775+J775)-(I775+J775)/Settings!$B$10*H775),2),0))</f>
        <v/>
      </c>
      <c r="L775" s="26" t="str">
        <f aca="false">IF($A775="","",IF(D775="Hourly",ROUND(F775*N(INDEX(Workers!$N$5:$N$2004,MATCH($A775,Workers!$A$5:$A$2004,0))),2),0))</f>
        <v/>
      </c>
      <c r="M775" s="26" t="str">
        <f aca="false">IF($A775="","",ROUND(G775*IF(D775="Hourly",N(INDEX(Workers!$N$5:$N$2004,MATCH($A775,Workers!$A$5:$A$2004,0))),I775/Settings!$B$10/Settings!$B$12)*Settings!$B$13,2))</f>
        <v/>
      </c>
      <c r="N775" s="26" t="str">
        <f aca="false">IF($A775="","",K775+L775+M775)</f>
        <v/>
      </c>
      <c r="O775" s="26" t="str">
        <f aca="false">IF($A775="","",SUMIFS(Deductions!$D$5:$D$2000,Deductions!$B$5:$B$2000,$A775,Deductions!$C$5:$C$2000,"Advance",Deductions!$E$5:$E$2000,"&gt;="&amp;Settings!$B$8,Deductions!$E$5:$E$2000,"&lt;="&amp;Settings!$B$9))</f>
        <v/>
      </c>
      <c r="P775" s="26" t="str">
        <f aca="false">IF($A775="","",SUMIFS(Deductions!$D$5:$D$2000,Deductions!$B$5:$B$2000,$A775,Deductions!$E$5:$E$2000,"&gt;="&amp;Settings!$B$8,Deductions!$E$5:$E$2000,"&lt;="&amp;Settings!$B$9)-O775)</f>
        <v/>
      </c>
      <c r="Q775" s="26" t="str">
        <f aca="false">IF($A775="","",O775+P775)</f>
        <v/>
      </c>
      <c r="R775" s="23" t="str">
        <f aca="false">IF($A775="","",N775-Q775)</f>
        <v/>
      </c>
      <c r="S775" s="24" t="str">
        <f aca="false">IF($A775="","",INDEX(Workers!$O$5:$O$2004,MATCH($A775,Workers!$A$5:$A$2004,0))&amp;"")</f>
        <v/>
      </c>
      <c r="T775" s="24" t="str">
        <f aca="false">IF($A775="","",INDEX(Workers!$P$5:$P$2004,MATCH($A775,Workers!$A$5:$A$2004,0))&amp;"")</f>
        <v/>
      </c>
      <c r="U775" s="24" t="str">
        <f aca="false">IF($A775="","",INDEX(Workers!$H$5:$H$2004,MATCH($A775,Workers!$A$5:$A$2004,0))&amp;"")</f>
        <v/>
      </c>
    </row>
    <row r="776" customFormat="false" ht="15" hidden="false" customHeight="false" outlineLevel="0" collapsed="false">
      <c r="A776" s="24" t="str">
        <f aca="false">IFERROR(INDEX(Workers!$A$5:$A$2004,MATCH(ROW()-4,Workers!$U$5:$U$2004,0)),"")</f>
        <v/>
      </c>
      <c r="B776" s="24" t="str">
        <f aca="false">IF($A776="","",INDEX(Workers!$B$5:$B$2004,MATCH($A776,Workers!$A$5:$A$2004,0)))</f>
        <v/>
      </c>
      <c r="C776" s="24" t="str">
        <f aca="false">IF($A776="","",INDEX(Workers!$E$5:$E$2004,MATCH($A776,Workers!$A$5:$A$2004,0)))</f>
        <v/>
      </c>
      <c r="D776" s="24" t="str">
        <f aca="false">IF($A776="","",INDEX(Workers!$K$5:$K$2004,MATCH($A776,Workers!$A$5:$A$2004,0)))</f>
        <v/>
      </c>
      <c r="E776" s="25" t="str">
        <f aca="false">IF($A776="","",SUMIFS(Timesheet!$E$5:$E$3004,Timesheet!$D$5:$D$3004,$A776,Timesheet!$A$5:$A$3004,"&gt;="&amp;Settings!$B$8,Timesheet!$A$5:$A$3004,"&lt;="&amp;Settings!$B$9))</f>
        <v/>
      </c>
      <c r="F776" s="25" t="str">
        <f aca="false">IF($A776="","",SUMIFS(Timesheet!$F$5:$F$3004,Timesheet!$D$5:$D$3004,$A776,Timesheet!$A$5:$A$3004,"&gt;="&amp;Settings!$B$8,Timesheet!$A$5:$A$3004,"&lt;="&amp;Settings!$B$9))</f>
        <v/>
      </c>
      <c r="G776" s="25" t="str">
        <f aca="false">IF($A776="","",SUMIFS(Timesheet!$G$5:$G$3004,Timesheet!$D$5:$D$3004,$A776,Timesheet!$A$5:$A$3004,"&gt;="&amp;Settings!$B$8,Timesheet!$A$5:$A$3004,"&lt;="&amp;Settings!$B$9))</f>
        <v/>
      </c>
      <c r="H776" s="25" t="str">
        <f aca="false">IF($A776="","",IF(D776="Monthly",MAX(0,Settings!$B$11-E776),0))</f>
        <v/>
      </c>
      <c r="I776" s="26" t="str">
        <f aca="false">IF($A776="","",N(INDEX(Workers!$L$5:$L$2004,MATCH($A776,Workers!$A$5:$A$2004,0))))</f>
        <v/>
      </c>
      <c r="J776" s="26" t="str">
        <f aca="false">IF($A776="","",N(INDEX(Workers!$M$5:$M$2004,MATCH($A776,Workers!$A$5:$A$2004,0))))</f>
        <v/>
      </c>
      <c r="K776" s="26" t="str">
        <f aca="false">IF($A776="","",IF(D776="Monthly",ROUND(MAX(0,(I776+J776)-(I776+J776)/Settings!$B$10*H776),2),0))</f>
        <v/>
      </c>
      <c r="L776" s="26" t="str">
        <f aca="false">IF($A776="","",IF(D776="Hourly",ROUND(F776*N(INDEX(Workers!$N$5:$N$2004,MATCH($A776,Workers!$A$5:$A$2004,0))),2),0))</f>
        <v/>
      </c>
      <c r="M776" s="26" t="str">
        <f aca="false">IF($A776="","",ROUND(G776*IF(D776="Hourly",N(INDEX(Workers!$N$5:$N$2004,MATCH($A776,Workers!$A$5:$A$2004,0))),I776/Settings!$B$10/Settings!$B$12)*Settings!$B$13,2))</f>
        <v/>
      </c>
      <c r="N776" s="26" t="str">
        <f aca="false">IF($A776="","",K776+L776+M776)</f>
        <v/>
      </c>
      <c r="O776" s="26" t="str">
        <f aca="false">IF($A776="","",SUMIFS(Deductions!$D$5:$D$2000,Deductions!$B$5:$B$2000,$A776,Deductions!$C$5:$C$2000,"Advance",Deductions!$E$5:$E$2000,"&gt;="&amp;Settings!$B$8,Deductions!$E$5:$E$2000,"&lt;="&amp;Settings!$B$9))</f>
        <v/>
      </c>
      <c r="P776" s="26" t="str">
        <f aca="false">IF($A776="","",SUMIFS(Deductions!$D$5:$D$2000,Deductions!$B$5:$B$2000,$A776,Deductions!$E$5:$E$2000,"&gt;="&amp;Settings!$B$8,Deductions!$E$5:$E$2000,"&lt;="&amp;Settings!$B$9)-O776)</f>
        <v/>
      </c>
      <c r="Q776" s="26" t="str">
        <f aca="false">IF($A776="","",O776+P776)</f>
        <v/>
      </c>
      <c r="R776" s="23" t="str">
        <f aca="false">IF($A776="","",N776-Q776)</f>
        <v/>
      </c>
      <c r="S776" s="24" t="str">
        <f aca="false">IF($A776="","",INDEX(Workers!$O$5:$O$2004,MATCH($A776,Workers!$A$5:$A$2004,0))&amp;"")</f>
        <v/>
      </c>
      <c r="T776" s="24" t="str">
        <f aca="false">IF($A776="","",INDEX(Workers!$P$5:$P$2004,MATCH($A776,Workers!$A$5:$A$2004,0))&amp;"")</f>
        <v/>
      </c>
      <c r="U776" s="24" t="str">
        <f aca="false">IF($A776="","",INDEX(Workers!$H$5:$H$2004,MATCH($A776,Workers!$A$5:$A$2004,0))&amp;"")</f>
        <v/>
      </c>
    </row>
    <row r="777" customFormat="false" ht="15" hidden="false" customHeight="false" outlineLevel="0" collapsed="false">
      <c r="A777" s="24" t="str">
        <f aca="false">IFERROR(INDEX(Workers!$A$5:$A$2004,MATCH(ROW()-4,Workers!$U$5:$U$2004,0)),"")</f>
        <v/>
      </c>
      <c r="B777" s="24" t="str">
        <f aca="false">IF($A777="","",INDEX(Workers!$B$5:$B$2004,MATCH($A777,Workers!$A$5:$A$2004,0)))</f>
        <v/>
      </c>
      <c r="C777" s="24" t="str">
        <f aca="false">IF($A777="","",INDEX(Workers!$E$5:$E$2004,MATCH($A777,Workers!$A$5:$A$2004,0)))</f>
        <v/>
      </c>
      <c r="D777" s="24" t="str">
        <f aca="false">IF($A777="","",INDEX(Workers!$K$5:$K$2004,MATCH($A777,Workers!$A$5:$A$2004,0)))</f>
        <v/>
      </c>
      <c r="E777" s="25" t="str">
        <f aca="false">IF($A777="","",SUMIFS(Timesheet!$E$5:$E$3004,Timesheet!$D$5:$D$3004,$A777,Timesheet!$A$5:$A$3004,"&gt;="&amp;Settings!$B$8,Timesheet!$A$5:$A$3004,"&lt;="&amp;Settings!$B$9))</f>
        <v/>
      </c>
      <c r="F777" s="25" t="str">
        <f aca="false">IF($A777="","",SUMIFS(Timesheet!$F$5:$F$3004,Timesheet!$D$5:$D$3004,$A777,Timesheet!$A$5:$A$3004,"&gt;="&amp;Settings!$B$8,Timesheet!$A$5:$A$3004,"&lt;="&amp;Settings!$B$9))</f>
        <v/>
      </c>
      <c r="G777" s="25" t="str">
        <f aca="false">IF($A777="","",SUMIFS(Timesheet!$G$5:$G$3004,Timesheet!$D$5:$D$3004,$A777,Timesheet!$A$5:$A$3004,"&gt;="&amp;Settings!$B$8,Timesheet!$A$5:$A$3004,"&lt;="&amp;Settings!$B$9))</f>
        <v/>
      </c>
      <c r="H777" s="25" t="str">
        <f aca="false">IF($A777="","",IF(D777="Monthly",MAX(0,Settings!$B$11-E777),0))</f>
        <v/>
      </c>
      <c r="I777" s="26" t="str">
        <f aca="false">IF($A777="","",N(INDEX(Workers!$L$5:$L$2004,MATCH($A777,Workers!$A$5:$A$2004,0))))</f>
        <v/>
      </c>
      <c r="J777" s="26" t="str">
        <f aca="false">IF($A777="","",N(INDEX(Workers!$M$5:$M$2004,MATCH($A777,Workers!$A$5:$A$2004,0))))</f>
        <v/>
      </c>
      <c r="K777" s="26" t="str">
        <f aca="false">IF($A777="","",IF(D777="Monthly",ROUND(MAX(0,(I777+J777)-(I777+J777)/Settings!$B$10*H777),2),0))</f>
        <v/>
      </c>
      <c r="L777" s="26" t="str">
        <f aca="false">IF($A777="","",IF(D777="Hourly",ROUND(F777*N(INDEX(Workers!$N$5:$N$2004,MATCH($A777,Workers!$A$5:$A$2004,0))),2),0))</f>
        <v/>
      </c>
      <c r="M777" s="26" t="str">
        <f aca="false">IF($A777="","",ROUND(G777*IF(D777="Hourly",N(INDEX(Workers!$N$5:$N$2004,MATCH($A777,Workers!$A$5:$A$2004,0))),I777/Settings!$B$10/Settings!$B$12)*Settings!$B$13,2))</f>
        <v/>
      </c>
      <c r="N777" s="26" t="str">
        <f aca="false">IF($A777="","",K777+L777+M777)</f>
        <v/>
      </c>
      <c r="O777" s="26" t="str">
        <f aca="false">IF($A777="","",SUMIFS(Deductions!$D$5:$D$2000,Deductions!$B$5:$B$2000,$A777,Deductions!$C$5:$C$2000,"Advance",Deductions!$E$5:$E$2000,"&gt;="&amp;Settings!$B$8,Deductions!$E$5:$E$2000,"&lt;="&amp;Settings!$B$9))</f>
        <v/>
      </c>
      <c r="P777" s="26" t="str">
        <f aca="false">IF($A777="","",SUMIFS(Deductions!$D$5:$D$2000,Deductions!$B$5:$B$2000,$A777,Deductions!$E$5:$E$2000,"&gt;="&amp;Settings!$B$8,Deductions!$E$5:$E$2000,"&lt;="&amp;Settings!$B$9)-O777)</f>
        <v/>
      </c>
      <c r="Q777" s="26" t="str">
        <f aca="false">IF($A777="","",O777+P777)</f>
        <v/>
      </c>
      <c r="R777" s="23" t="str">
        <f aca="false">IF($A777="","",N777-Q777)</f>
        <v/>
      </c>
      <c r="S777" s="24" t="str">
        <f aca="false">IF($A777="","",INDEX(Workers!$O$5:$O$2004,MATCH($A777,Workers!$A$5:$A$2004,0))&amp;"")</f>
        <v/>
      </c>
      <c r="T777" s="24" t="str">
        <f aca="false">IF($A777="","",INDEX(Workers!$P$5:$P$2004,MATCH($A777,Workers!$A$5:$A$2004,0))&amp;"")</f>
        <v/>
      </c>
      <c r="U777" s="24" t="str">
        <f aca="false">IF($A777="","",INDEX(Workers!$H$5:$H$2004,MATCH($A777,Workers!$A$5:$A$2004,0))&amp;"")</f>
        <v/>
      </c>
    </row>
    <row r="778" customFormat="false" ht="15" hidden="false" customHeight="false" outlineLevel="0" collapsed="false">
      <c r="A778" s="24" t="str">
        <f aca="false">IFERROR(INDEX(Workers!$A$5:$A$2004,MATCH(ROW()-4,Workers!$U$5:$U$2004,0)),"")</f>
        <v/>
      </c>
      <c r="B778" s="24" t="str">
        <f aca="false">IF($A778="","",INDEX(Workers!$B$5:$B$2004,MATCH($A778,Workers!$A$5:$A$2004,0)))</f>
        <v/>
      </c>
      <c r="C778" s="24" t="str">
        <f aca="false">IF($A778="","",INDEX(Workers!$E$5:$E$2004,MATCH($A778,Workers!$A$5:$A$2004,0)))</f>
        <v/>
      </c>
      <c r="D778" s="24" t="str">
        <f aca="false">IF($A778="","",INDEX(Workers!$K$5:$K$2004,MATCH($A778,Workers!$A$5:$A$2004,0)))</f>
        <v/>
      </c>
      <c r="E778" s="25" t="str">
        <f aca="false">IF($A778="","",SUMIFS(Timesheet!$E$5:$E$3004,Timesheet!$D$5:$D$3004,$A778,Timesheet!$A$5:$A$3004,"&gt;="&amp;Settings!$B$8,Timesheet!$A$5:$A$3004,"&lt;="&amp;Settings!$B$9))</f>
        <v/>
      </c>
      <c r="F778" s="25" t="str">
        <f aca="false">IF($A778="","",SUMIFS(Timesheet!$F$5:$F$3004,Timesheet!$D$5:$D$3004,$A778,Timesheet!$A$5:$A$3004,"&gt;="&amp;Settings!$B$8,Timesheet!$A$5:$A$3004,"&lt;="&amp;Settings!$B$9))</f>
        <v/>
      </c>
      <c r="G778" s="25" t="str">
        <f aca="false">IF($A778="","",SUMIFS(Timesheet!$G$5:$G$3004,Timesheet!$D$5:$D$3004,$A778,Timesheet!$A$5:$A$3004,"&gt;="&amp;Settings!$B$8,Timesheet!$A$5:$A$3004,"&lt;="&amp;Settings!$B$9))</f>
        <v/>
      </c>
      <c r="H778" s="25" t="str">
        <f aca="false">IF($A778="","",IF(D778="Monthly",MAX(0,Settings!$B$11-E778),0))</f>
        <v/>
      </c>
      <c r="I778" s="26" t="str">
        <f aca="false">IF($A778="","",N(INDEX(Workers!$L$5:$L$2004,MATCH($A778,Workers!$A$5:$A$2004,0))))</f>
        <v/>
      </c>
      <c r="J778" s="26" t="str">
        <f aca="false">IF($A778="","",N(INDEX(Workers!$M$5:$M$2004,MATCH($A778,Workers!$A$5:$A$2004,0))))</f>
        <v/>
      </c>
      <c r="K778" s="26" t="str">
        <f aca="false">IF($A778="","",IF(D778="Monthly",ROUND(MAX(0,(I778+J778)-(I778+J778)/Settings!$B$10*H778),2),0))</f>
        <v/>
      </c>
      <c r="L778" s="26" t="str">
        <f aca="false">IF($A778="","",IF(D778="Hourly",ROUND(F778*N(INDEX(Workers!$N$5:$N$2004,MATCH($A778,Workers!$A$5:$A$2004,0))),2),0))</f>
        <v/>
      </c>
      <c r="M778" s="26" t="str">
        <f aca="false">IF($A778="","",ROUND(G778*IF(D778="Hourly",N(INDEX(Workers!$N$5:$N$2004,MATCH($A778,Workers!$A$5:$A$2004,0))),I778/Settings!$B$10/Settings!$B$12)*Settings!$B$13,2))</f>
        <v/>
      </c>
      <c r="N778" s="26" t="str">
        <f aca="false">IF($A778="","",K778+L778+M778)</f>
        <v/>
      </c>
      <c r="O778" s="26" t="str">
        <f aca="false">IF($A778="","",SUMIFS(Deductions!$D$5:$D$2000,Deductions!$B$5:$B$2000,$A778,Deductions!$C$5:$C$2000,"Advance",Deductions!$E$5:$E$2000,"&gt;="&amp;Settings!$B$8,Deductions!$E$5:$E$2000,"&lt;="&amp;Settings!$B$9))</f>
        <v/>
      </c>
      <c r="P778" s="26" t="str">
        <f aca="false">IF($A778="","",SUMIFS(Deductions!$D$5:$D$2000,Deductions!$B$5:$B$2000,$A778,Deductions!$E$5:$E$2000,"&gt;="&amp;Settings!$B$8,Deductions!$E$5:$E$2000,"&lt;="&amp;Settings!$B$9)-O778)</f>
        <v/>
      </c>
      <c r="Q778" s="26" t="str">
        <f aca="false">IF($A778="","",O778+P778)</f>
        <v/>
      </c>
      <c r="R778" s="23" t="str">
        <f aca="false">IF($A778="","",N778-Q778)</f>
        <v/>
      </c>
      <c r="S778" s="24" t="str">
        <f aca="false">IF($A778="","",INDEX(Workers!$O$5:$O$2004,MATCH($A778,Workers!$A$5:$A$2004,0))&amp;"")</f>
        <v/>
      </c>
      <c r="T778" s="24" t="str">
        <f aca="false">IF($A778="","",INDEX(Workers!$P$5:$P$2004,MATCH($A778,Workers!$A$5:$A$2004,0))&amp;"")</f>
        <v/>
      </c>
      <c r="U778" s="24" t="str">
        <f aca="false">IF($A778="","",INDEX(Workers!$H$5:$H$2004,MATCH($A778,Workers!$A$5:$A$2004,0))&amp;"")</f>
        <v/>
      </c>
    </row>
    <row r="779" customFormat="false" ht="15" hidden="false" customHeight="false" outlineLevel="0" collapsed="false">
      <c r="A779" s="24" t="str">
        <f aca="false">IFERROR(INDEX(Workers!$A$5:$A$2004,MATCH(ROW()-4,Workers!$U$5:$U$2004,0)),"")</f>
        <v/>
      </c>
      <c r="B779" s="24" t="str">
        <f aca="false">IF($A779="","",INDEX(Workers!$B$5:$B$2004,MATCH($A779,Workers!$A$5:$A$2004,0)))</f>
        <v/>
      </c>
      <c r="C779" s="24" t="str">
        <f aca="false">IF($A779="","",INDEX(Workers!$E$5:$E$2004,MATCH($A779,Workers!$A$5:$A$2004,0)))</f>
        <v/>
      </c>
      <c r="D779" s="24" t="str">
        <f aca="false">IF($A779="","",INDEX(Workers!$K$5:$K$2004,MATCH($A779,Workers!$A$5:$A$2004,0)))</f>
        <v/>
      </c>
      <c r="E779" s="25" t="str">
        <f aca="false">IF($A779="","",SUMIFS(Timesheet!$E$5:$E$3004,Timesheet!$D$5:$D$3004,$A779,Timesheet!$A$5:$A$3004,"&gt;="&amp;Settings!$B$8,Timesheet!$A$5:$A$3004,"&lt;="&amp;Settings!$B$9))</f>
        <v/>
      </c>
      <c r="F779" s="25" t="str">
        <f aca="false">IF($A779="","",SUMIFS(Timesheet!$F$5:$F$3004,Timesheet!$D$5:$D$3004,$A779,Timesheet!$A$5:$A$3004,"&gt;="&amp;Settings!$B$8,Timesheet!$A$5:$A$3004,"&lt;="&amp;Settings!$B$9))</f>
        <v/>
      </c>
      <c r="G779" s="25" t="str">
        <f aca="false">IF($A779="","",SUMIFS(Timesheet!$G$5:$G$3004,Timesheet!$D$5:$D$3004,$A779,Timesheet!$A$5:$A$3004,"&gt;="&amp;Settings!$B$8,Timesheet!$A$5:$A$3004,"&lt;="&amp;Settings!$B$9))</f>
        <v/>
      </c>
      <c r="H779" s="25" t="str">
        <f aca="false">IF($A779="","",IF(D779="Monthly",MAX(0,Settings!$B$11-E779),0))</f>
        <v/>
      </c>
      <c r="I779" s="26" t="str">
        <f aca="false">IF($A779="","",N(INDEX(Workers!$L$5:$L$2004,MATCH($A779,Workers!$A$5:$A$2004,0))))</f>
        <v/>
      </c>
      <c r="J779" s="26" t="str">
        <f aca="false">IF($A779="","",N(INDEX(Workers!$M$5:$M$2004,MATCH($A779,Workers!$A$5:$A$2004,0))))</f>
        <v/>
      </c>
      <c r="K779" s="26" t="str">
        <f aca="false">IF($A779="","",IF(D779="Monthly",ROUND(MAX(0,(I779+J779)-(I779+J779)/Settings!$B$10*H779),2),0))</f>
        <v/>
      </c>
      <c r="L779" s="26" t="str">
        <f aca="false">IF($A779="","",IF(D779="Hourly",ROUND(F779*N(INDEX(Workers!$N$5:$N$2004,MATCH($A779,Workers!$A$5:$A$2004,0))),2),0))</f>
        <v/>
      </c>
      <c r="M779" s="26" t="str">
        <f aca="false">IF($A779="","",ROUND(G779*IF(D779="Hourly",N(INDEX(Workers!$N$5:$N$2004,MATCH($A779,Workers!$A$5:$A$2004,0))),I779/Settings!$B$10/Settings!$B$12)*Settings!$B$13,2))</f>
        <v/>
      </c>
      <c r="N779" s="26" t="str">
        <f aca="false">IF($A779="","",K779+L779+M779)</f>
        <v/>
      </c>
      <c r="O779" s="26" t="str">
        <f aca="false">IF($A779="","",SUMIFS(Deductions!$D$5:$D$2000,Deductions!$B$5:$B$2000,$A779,Deductions!$C$5:$C$2000,"Advance",Deductions!$E$5:$E$2000,"&gt;="&amp;Settings!$B$8,Deductions!$E$5:$E$2000,"&lt;="&amp;Settings!$B$9))</f>
        <v/>
      </c>
      <c r="P779" s="26" t="str">
        <f aca="false">IF($A779="","",SUMIFS(Deductions!$D$5:$D$2000,Deductions!$B$5:$B$2000,$A779,Deductions!$E$5:$E$2000,"&gt;="&amp;Settings!$B$8,Deductions!$E$5:$E$2000,"&lt;="&amp;Settings!$B$9)-O779)</f>
        <v/>
      </c>
      <c r="Q779" s="26" t="str">
        <f aca="false">IF($A779="","",O779+P779)</f>
        <v/>
      </c>
      <c r="R779" s="23" t="str">
        <f aca="false">IF($A779="","",N779-Q779)</f>
        <v/>
      </c>
      <c r="S779" s="24" t="str">
        <f aca="false">IF($A779="","",INDEX(Workers!$O$5:$O$2004,MATCH($A779,Workers!$A$5:$A$2004,0))&amp;"")</f>
        <v/>
      </c>
      <c r="T779" s="24" t="str">
        <f aca="false">IF($A779="","",INDEX(Workers!$P$5:$P$2004,MATCH($A779,Workers!$A$5:$A$2004,0))&amp;"")</f>
        <v/>
      </c>
      <c r="U779" s="24" t="str">
        <f aca="false">IF($A779="","",INDEX(Workers!$H$5:$H$2004,MATCH($A779,Workers!$A$5:$A$2004,0))&amp;"")</f>
        <v/>
      </c>
    </row>
    <row r="780" customFormat="false" ht="15" hidden="false" customHeight="false" outlineLevel="0" collapsed="false">
      <c r="A780" s="24" t="str">
        <f aca="false">IFERROR(INDEX(Workers!$A$5:$A$2004,MATCH(ROW()-4,Workers!$U$5:$U$2004,0)),"")</f>
        <v/>
      </c>
      <c r="B780" s="24" t="str">
        <f aca="false">IF($A780="","",INDEX(Workers!$B$5:$B$2004,MATCH($A780,Workers!$A$5:$A$2004,0)))</f>
        <v/>
      </c>
      <c r="C780" s="24" t="str">
        <f aca="false">IF($A780="","",INDEX(Workers!$E$5:$E$2004,MATCH($A780,Workers!$A$5:$A$2004,0)))</f>
        <v/>
      </c>
      <c r="D780" s="24" t="str">
        <f aca="false">IF($A780="","",INDEX(Workers!$K$5:$K$2004,MATCH($A780,Workers!$A$5:$A$2004,0)))</f>
        <v/>
      </c>
      <c r="E780" s="25" t="str">
        <f aca="false">IF($A780="","",SUMIFS(Timesheet!$E$5:$E$3004,Timesheet!$D$5:$D$3004,$A780,Timesheet!$A$5:$A$3004,"&gt;="&amp;Settings!$B$8,Timesheet!$A$5:$A$3004,"&lt;="&amp;Settings!$B$9))</f>
        <v/>
      </c>
      <c r="F780" s="25" t="str">
        <f aca="false">IF($A780="","",SUMIFS(Timesheet!$F$5:$F$3004,Timesheet!$D$5:$D$3004,$A780,Timesheet!$A$5:$A$3004,"&gt;="&amp;Settings!$B$8,Timesheet!$A$5:$A$3004,"&lt;="&amp;Settings!$B$9))</f>
        <v/>
      </c>
      <c r="G780" s="25" t="str">
        <f aca="false">IF($A780="","",SUMIFS(Timesheet!$G$5:$G$3004,Timesheet!$D$5:$D$3004,$A780,Timesheet!$A$5:$A$3004,"&gt;="&amp;Settings!$B$8,Timesheet!$A$5:$A$3004,"&lt;="&amp;Settings!$B$9))</f>
        <v/>
      </c>
      <c r="H780" s="25" t="str">
        <f aca="false">IF($A780="","",IF(D780="Monthly",MAX(0,Settings!$B$11-E780),0))</f>
        <v/>
      </c>
      <c r="I780" s="26" t="str">
        <f aca="false">IF($A780="","",N(INDEX(Workers!$L$5:$L$2004,MATCH($A780,Workers!$A$5:$A$2004,0))))</f>
        <v/>
      </c>
      <c r="J780" s="26" t="str">
        <f aca="false">IF($A780="","",N(INDEX(Workers!$M$5:$M$2004,MATCH($A780,Workers!$A$5:$A$2004,0))))</f>
        <v/>
      </c>
      <c r="K780" s="26" t="str">
        <f aca="false">IF($A780="","",IF(D780="Monthly",ROUND(MAX(0,(I780+J780)-(I780+J780)/Settings!$B$10*H780),2),0))</f>
        <v/>
      </c>
      <c r="L780" s="26" t="str">
        <f aca="false">IF($A780="","",IF(D780="Hourly",ROUND(F780*N(INDEX(Workers!$N$5:$N$2004,MATCH($A780,Workers!$A$5:$A$2004,0))),2),0))</f>
        <v/>
      </c>
      <c r="M780" s="26" t="str">
        <f aca="false">IF($A780="","",ROUND(G780*IF(D780="Hourly",N(INDEX(Workers!$N$5:$N$2004,MATCH($A780,Workers!$A$5:$A$2004,0))),I780/Settings!$B$10/Settings!$B$12)*Settings!$B$13,2))</f>
        <v/>
      </c>
      <c r="N780" s="26" t="str">
        <f aca="false">IF($A780="","",K780+L780+M780)</f>
        <v/>
      </c>
      <c r="O780" s="26" t="str">
        <f aca="false">IF($A780="","",SUMIFS(Deductions!$D$5:$D$2000,Deductions!$B$5:$B$2000,$A780,Deductions!$C$5:$C$2000,"Advance",Deductions!$E$5:$E$2000,"&gt;="&amp;Settings!$B$8,Deductions!$E$5:$E$2000,"&lt;="&amp;Settings!$B$9))</f>
        <v/>
      </c>
      <c r="P780" s="26" t="str">
        <f aca="false">IF($A780="","",SUMIFS(Deductions!$D$5:$D$2000,Deductions!$B$5:$B$2000,$A780,Deductions!$E$5:$E$2000,"&gt;="&amp;Settings!$B$8,Deductions!$E$5:$E$2000,"&lt;="&amp;Settings!$B$9)-O780)</f>
        <v/>
      </c>
      <c r="Q780" s="26" t="str">
        <f aca="false">IF($A780="","",O780+P780)</f>
        <v/>
      </c>
      <c r="R780" s="23" t="str">
        <f aca="false">IF($A780="","",N780-Q780)</f>
        <v/>
      </c>
      <c r="S780" s="24" t="str">
        <f aca="false">IF($A780="","",INDEX(Workers!$O$5:$O$2004,MATCH($A780,Workers!$A$5:$A$2004,0))&amp;"")</f>
        <v/>
      </c>
      <c r="T780" s="24" t="str">
        <f aca="false">IF($A780="","",INDEX(Workers!$P$5:$P$2004,MATCH($A780,Workers!$A$5:$A$2004,0))&amp;"")</f>
        <v/>
      </c>
      <c r="U780" s="24" t="str">
        <f aca="false">IF($A780="","",INDEX(Workers!$H$5:$H$2004,MATCH($A780,Workers!$A$5:$A$2004,0))&amp;"")</f>
        <v/>
      </c>
    </row>
    <row r="781" customFormat="false" ht="15" hidden="false" customHeight="false" outlineLevel="0" collapsed="false">
      <c r="A781" s="24" t="str">
        <f aca="false">IFERROR(INDEX(Workers!$A$5:$A$2004,MATCH(ROW()-4,Workers!$U$5:$U$2004,0)),"")</f>
        <v/>
      </c>
      <c r="B781" s="24" t="str">
        <f aca="false">IF($A781="","",INDEX(Workers!$B$5:$B$2004,MATCH($A781,Workers!$A$5:$A$2004,0)))</f>
        <v/>
      </c>
      <c r="C781" s="24" t="str">
        <f aca="false">IF($A781="","",INDEX(Workers!$E$5:$E$2004,MATCH($A781,Workers!$A$5:$A$2004,0)))</f>
        <v/>
      </c>
      <c r="D781" s="24" t="str">
        <f aca="false">IF($A781="","",INDEX(Workers!$K$5:$K$2004,MATCH($A781,Workers!$A$5:$A$2004,0)))</f>
        <v/>
      </c>
      <c r="E781" s="25" t="str">
        <f aca="false">IF($A781="","",SUMIFS(Timesheet!$E$5:$E$3004,Timesheet!$D$5:$D$3004,$A781,Timesheet!$A$5:$A$3004,"&gt;="&amp;Settings!$B$8,Timesheet!$A$5:$A$3004,"&lt;="&amp;Settings!$B$9))</f>
        <v/>
      </c>
      <c r="F781" s="25" t="str">
        <f aca="false">IF($A781="","",SUMIFS(Timesheet!$F$5:$F$3004,Timesheet!$D$5:$D$3004,$A781,Timesheet!$A$5:$A$3004,"&gt;="&amp;Settings!$B$8,Timesheet!$A$5:$A$3004,"&lt;="&amp;Settings!$B$9))</f>
        <v/>
      </c>
      <c r="G781" s="25" t="str">
        <f aca="false">IF($A781="","",SUMIFS(Timesheet!$G$5:$G$3004,Timesheet!$D$5:$D$3004,$A781,Timesheet!$A$5:$A$3004,"&gt;="&amp;Settings!$B$8,Timesheet!$A$5:$A$3004,"&lt;="&amp;Settings!$B$9))</f>
        <v/>
      </c>
      <c r="H781" s="25" t="str">
        <f aca="false">IF($A781="","",IF(D781="Monthly",MAX(0,Settings!$B$11-E781),0))</f>
        <v/>
      </c>
      <c r="I781" s="26" t="str">
        <f aca="false">IF($A781="","",N(INDEX(Workers!$L$5:$L$2004,MATCH($A781,Workers!$A$5:$A$2004,0))))</f>
        <v/>
      </c>
      <c r="J781" s="26" t="str">
        <f aca="false">IF($A781="","",N(INDEX(Workers!$M$5:$M$2004,MATCH($A781,Workers!$A$5:$A$2004,0))))</f>
        <v/>
      </c>
      <c r="K781" s="26" t="str">
        <f aca="false">IF($A781="","",IF(D781="Monthly",ROUND(MAX(0,(I781+J781)-(I781+J781)/Settings!$B$10*H781),2),0))</f>
        <v/>
      </c>
      <c r="L781" s="26" t="str">
        <f aca="false">IF($A781="","",IF(D781="Hourly",ROUND(F781*N(INDEX(Workers!$N$5:$N$2004,MATCH($A781,Workers!$A$5:$A$2004,0))),2),0))</f>
        <v/>
      </c>
      <c r="M781" s="26" t="str">
        <f aca="false">IF($A781="","",ROUND(G781*IF(D781="Hourly",N(INDEX(Workers!$N$5:$N$2004,MATCH($A781,Workers!$A$5:$A$2004,0))),I781/Settings!$B$10/Settings!$B$12)*Settings!$B$13,2))</f>
        <v/>
      </c>
      <c r="N781" s="26" t="str">
        <f aca="false">IF($A781="","",K781+L781+M781)</f>
        <v/>
      </c>
      <c r="O781" s="26" t="str">
        <f aca="false">IF($A781="","",SUMIFS(Deductions!$D$5:$D$2000,Deductions!$B$5:$B$2000,$A781,Deductions!$C$5:$C$2000,"Advance",Deductions!$E$5:$E$2000,"&gt;="&amp;Settings!$B$8,Deductions!$E$5:$E$2000,"&lt;="&amp;Settings!$B$9))</f>
        <v/>
      </c>
      <c r="P781" s="26" t="str">
        <f aca="false">IF($A781="","",SUMIFS(Deductions!$D$5:$D$2000,Deductions!$B$5:$B$2000,$A781,Deductions!$E$5:$E$2000,"&gt;="&amp;Settings!$B$8,Deductions!$E$5:$E$2000,"&lt;="&amp;Settings!$B$9)-O781)</f>
        <v/>
      </c>
      <c r="Q781" s="26" t="str">
        <f aca="false">IF($A781="","",O781+P781)</f>
        <v/>
      </c>
      <c r="R781" s="23" t="str">
        <f aca="false">IF($A781="","",N781-Q781)</f>
        <v/>
      </c>
      <c r="S781" s="24" t="str">
        <f aca="false">IF($A781="","",INDEX(Workers!$O$5:$O$2004,MATCH($A781,Workers!$A$5:$A$2004,0))&amp;"")</f>
        <v/>
      </c>
      <c r="T781" s="24" t="str">
        <f aca="false">IF($A781="","",INDEX(Workers!$P$5:$P$2004,MATCH($A781,Workers!$A$5:$A$2004,0))&amp;"")</f>
        <v/>
      </c>
      <c r="U781" s="24" t="str">
        <f aca="false">IF($A781="","",INDEX(Workers!$H$5:$H$2004,MATCH($A781,Workers!$A$5:$A$2004,0))&amp;"")</f>
        <v/>
      </c>
    </row>
    <row r="782" customFormat="false" ht="15" hidden="false" customHeight="false" outlineLevel="0" collapsed="false">
      <c r="A782" s="24" t="str">
        <f aca="false">IFERROR(INDEX(Workers!$A$5:$A$2004,MATCH(ROW()-4,Workers!$U$5:$U$2004,0)),"")</f>
        <v/>
      </c>
      <c r="B782" s="24" t="str">
        <f aca="false">IF($A782="","",INDEX(Workers!$B$5:$B$2004,MATCH($A782,Workers!$A$5:$A$2004,0)))</f>
        <v/>
      </c>
      <c r="C782" s="24" t="str">
        <f aca="false">IF($A782="","",INDEX(Workers!$E$5:$E$2004,MATCH($A782,Workers!$A$5:$A$2004,0)))</f>
        <v/>
      </c>
      <c r="D782" s="24" t="str">
        <f aca="false">IF($A782="","",INDEX(Workers!$K$5:$K$2004,MATCH($A782,Workers!$A$5:$A$2004,0)))</f>
        <v/>
      </c>
      <c r="E782" s="25" t="str">
        <f aca="false">IF($A782="","",SUMIFS(Timesheet!$E$5:$E$3004,Timesheet!$D$5:$D$3004,$A782,Timesheet!$A$5:$A$3004,"&gt;="&amp;Settings!$B$8,Timesheet!$A$5:$A$3004,"&lt;="&amp;Settings!$B$9))</f>
        <v/>
      </c>
      <c r="F782" s="25" t="str">
        <f aca="false">IF($A782="","",SUMIFS(Timesheet!$F$5:$F$3004,Timesheet!$D$5:$D$3004,$A782,Timesheet!$A$5:$A$3004,"&gt;="&amp;Settings!$B$8,Timesheet!$A$5:$A$3004,"&lt;="&amp;Settings!$B$9))</f>
        <v/>
      </c>
      <c r="G782" s="25" t="str">
        <f aca="false">IF($A782="","",SUMIFS(Timesheet!$G$5:$G$3004,Timesheet!$D$5:$D$3004,$A782,Timesheet!$A$5:$A$3004,"&gt;="&amp;Settings!$B$8,Timesheet!$A$5:$A$3004,"&lt;="&amp;Settings!$B$9))</f>
        <v/>
      </c>
      <c r="H782" s="25" t="str">
        <f aca="false">IF($A782="","",IF(D782="Monthly",MAX(0,Settings!$B$11-E782),0))</f>
        <v/>
      </c>
      <c r="I782" s="26" t="str">
        <f aca="false">IF($A782="","",N(INDEX(Workers!$L$5:$L$2004,MATCH($A782,Workers!$A$5:$A$2004,0))))</f>
        <v/>
      </c>
      <c r="J782" s="26" t="str">
        <f aca="false">IF($A782="","",N(INDEX(Workers!$M$5:$M$2004,MATCH($A782,Workers!$A$5:$A$2004,0))))</f>
        <v/>
      </c>
      <c r="K782" s="26" t="str">
        <f aca="false">IF($A782="","",IF(D782="Monthly",ROUND(MAX(0,(I782+J782)-(I782+J782)/Settings!$B$10*H782),2),0))</f>
        <v/>
      </c>
      <c r="L782" s="26" t="str">
        <f aca="false">IF($A782="","",IF(D782="Hourly",ROUND(F782*N(INDEX(Workers!$N$5:$N$2004,MATCH($A782,Workers!$A$5:$A$2004,0))),2),0))</f>
        <v/>
      </c>
      <c r="M782" s="26" t="str">
        <f aca="false">IF($A782="","",ROUND(G782*IF(D782="Hourly",N(INDEX(Workers!$N$5:$N$2004,MATCH($A782,Workers!$A$5:$A$2004,0))),I782/Settings!$B$10/Settings!$B$12)*Settings!$B$13,2))</f>
        <v/>
      </c>
      <c r="N782" s="26" t="str">
        <f aca="false">IF($A782="","",K782+L782+M782)</f>
        <v/>
      </c>
      <c r="O782" s="26" t="str">
        <f aca="false">IF($A782="","",SUMIFS(Deductions!$D$5:$D$2000,Deductions!$B$5:$B$2000,$A782,Deductions!$C$5:$C$2000,"Advance",Deductions!$E$5:$E$2000,"&gt;="&amp;Settings!$B$8,Deductions!$E$5:$E$2000,"&lt;="&amp;Settings!$B$9))</f>
        <v/>
      </c>
      <c r="P782" s="26" t="str">
        <f aca="false">IF($A782="","",SUMIFS(Deductions!$D$5:$D$2000,Deductions!$B$5:$B$2000,$A782,Deductions!$E$5:$E$2000,"&gt;="&amp;Settings!$B$8,Deductions!$E$5:$E$2000,"&lt;="&amp;Settings!$B$9)-O782)</f>
        <v/>
      </c>
      <c r="Q782" s="26" t="str">
        <f aca="false">IF($A782="","",O782+P782)</f>
        <v/>
      </c>
      <c r="R782" s="23" t="str">
        <f aca="false">IF($A782="","",N782-Q782)</f>
        <v/>
      </c>
      <c r="S782" s="24" t="str">
        <f aca="false">IF($A782="","",INDEX(Workers!$O$5:$O$2004,MATCH($A782,Workers!$A$5:$A$2004,0))&amp;"")</f>
        <v/>
      </c>
      <c r="T782" s="24" t="str">
        <f aca="false">IF($A782="","",INDEX(Workers!$P$5:$P$2004,MATCH($A782,Workers!$A$5:$A$2004,0))&amp;"")</f>
        <v/>
      </c>
      <c r="U782" s="24" t="str">
        <f aca="false">IF($A782="","",INDEX(Workers!$H$5:$H$2004,MATCH($A782,Workers!$A$5:$A$2004,0))&amp;"")</f>
        <v/>
      </c>
    </row>
    <row r="783" customFormat="false" ht="15" hidden="false" customHeight="false" outlineLevel="0" collapsed="false">
      <c r="A783" s="24" t="str">
        <f aca="false">IFERROR(INDEX(Workers!$A$5:$A$2004,MATCH(ROW()-4,Workers!$U$5:$U$2004,0)),"")</f>
        <v/>
      </c>
      <c r="B783" s="24" t="str">
        <f aca="false">IF($A783="","",INDEX(Workers!$B$5:$B$2004,MATCH($A783,Workers!$A$5:$A$2004,0)))</f>
        <v/>
      </c>
      <c r="C783" s="24" t="str">
        <f aca="false">IF($A783="","",INDEX(Workers!$E$5:$E$2004,MATCH($A783,Workers!$A$5:$A$2004,0)))</f>
        <v/>
      </c>
      <c r="D783" s="24" t="str">
        <f aca="false">IF($A783="","",INDEX(Workers!$K$5:$K$2004,MATCH($A783,Workers!$A$5:$A$2004,0)))</f>
        <v/>
      </c>
      <c r="E783" s="25" t="str">
        <f aca="false">IF($A783="","",SUMIFS(Timesheet!$E$5:$E$3004,Timesheet!$D$5:$D$3004,$A783,Timesheet!$A$5:$A$3004,"&gt;="&amp;Settings!$B$8,Timesheet!$A$5:$A$3004,"&lt;="&amp;Settings!$B$9))</f>
        <v/>
      </c>
      <c r="F783" s="25" t="str">
        <f aca="false">IF($A783="","",SUMIFS(Timesheet!$F$5:$F$3004,Timesheet!$D$5:$D$3004,$A783,Timesheet!$A$5:$A$3004,"&gt;="&amp;Settings!$B$8,Timesheet!$A$5:$A$3004,"&lt;="&amp;Settings!$B$9))</f>
        <v/>
      </c>
      <c r="G783" s="25" t="str">
        <f aca="false">IF($A783="","",SUMIFS(Timesheet!$G$5:$G$3004,Timesheet!$D$5:$D$3004,$A783,Timesheet!$A$5:$A$3004,"&gt;="&amp;Settings!$B$8,Timesheet!$A$5:$A$3004,"&lt;="&amp;Settings!$B$9))</f>
        <v/>
      </c>
      <c r="H783" s="25" t="str">
        <f aca="false">IF($A783="","",IF(D783="Monthly",MAX(0,Settings!$B$11-E783),0))</f>
        <v/>
      </c>
      <c r="I783" s="26" t="str">
        <f aca="false">IF($A783="","",N(INDEX(Workers!$L$5:$L$2004,MATCH($A783,Workers!$A$5:$A$2004,0))))</f>
        <v/>
      </c>
      <c r="J783" s="26" t="str">
        <f aca="false">IF($A783="","",N(INDEX(Workers!$M$5:$M$2004,MATCH($A783,Workers!$A$5:$A$2004,0))))</f>
        <v/>
      </c>
      <c r="K783" s="26" t="str">
        <f aca="false">IF($A783="","",IF(D783="Monthly",ROUND(MAX(0,(I783+J783)-(I783+J783)/Settings!$B$10*H783),2),0))</f>
        <v/>
      </c>
      <c r="L783" s="26" t="str">
        <f aca="false">IF($A783="","",IF(D783="Hourly",ROUND(F783*N(INDEX(Workers!$N$5:$N$2004,MATCH($A783,Workers!$A$5:$A$2004,0))),2),0))</f>
        <v/>
      </c>
      <c r="M783" s="26" t="str">
        <f aca="false">IF($A783="","",ROUND(G783*IF(D783="Hourly",N(INDEX(Workers!$N$5:$N$2004,MATCH($A783,Workers!$A$5:$A$2004,0))),I783/Settings!$B$10/Settings!$B$12)*Settings!$B$13,2))</f>
        <v/>
      </c>
      <c r="N783" s="26" t="str">
        <f aca="false">IF($A783="","",K783+L783+M783)</f>
        <v/>
      </c>
      <c r="O783" s="26" t="str">
        <f aca="false">IF($A783="","",SUMIFS(Deductions!$D$5:$D$2000,Deductions!$B$5:$B$2000,$A783,Deductions!$C$5:$C$2000,"Advance",Deductions!$E$5:$E$2000,"&gt;="&amp;Settings!$B$8,Deductions!$E$5:$E$2000,"&lt;="&amp;Settings!$B$9))</f>
        <v/>
      </c>
      <c r="P783" s="26" t="str">
        <f aca="false">IF($A783="","",SUMIFS(Deductions!$D$5:$D$2000,Deductions!$B$5:$B$2000,$A783,Deductions!$E$5:$E$2000,"&gt;="&amp;Settings!$B$8,Deductions!$E$5:$E$2000,"&lt;="&amp;Settings!$B$9)-O783)</f>
        <v/>
      </c>
      <c r="Q783" s="26" t="str">
        <f aca="false">IF($A783="","",O783+P783)</f>
        <v/>
      </c>
      <c r="R783" s="23" t="str">
        <f aca="false">IF($A783="","",N783-Q783)</f>
        <v/>
      </c>
      <c r="S783" s="24" t="str">
        <f aca="false">IF($A783="","",INDEX(Workers!$O$5:$O$2004,MATCH($A783,Workers!$A$5:$A$2004,0))&amp;"")</f>
        <v/>
      </c>
      <c r="T783" s="24" t="str">
        <f aca="false">IF($A783="","",INDEX(Workers!$P$5:$P$2004,MATCH($A783,Workers!$A$5:$A$2004,0))&amp;"")</f>
        <v/>
      </c>
      <c r="U783" s="24" t="str">
        <f aca="false">IF($A783="","",INDEX(Workers!$H$5:$H$2004,MATCH($A783,Workers!$A$5:$A$2004,0))&amp;"")</f>
        <v/>
      </c>
    </row>
    <row r="784" customFormat="false" ht="15" hidden="false" customHeight="false" outlineLevel="0" collapsed="false">
      <c r="A784" s="24" t="str">
        <f aca="false">IFERROR(INDEX(Workers!$A$5:$A$2004,MATCH(ROW()-4,Workers!$U$5:$U$2004,0)),"")</f>
        <v/>
      </c>
      <c r="B784" s="24" t="str">
        <f aca="false">IF($A784="","",INDEX(Workers!$B$5:$B$2004,MATCH($A784,Workers!$A$5:$A$2004,0)))</f>
        <v/>
      </c>
      <c r="C784" s="24" t="str">
        <f aca="false">IF($A784="","",INDEX(Workers!$E$5:$E$2004,MATCH($A784,Workers!$A$5:$A$2004,0)))</f>
        <v/>
      </c>
      <c r="D784" s="24" t="str">
        <f aca="false">IF($A784="","",INDEX(Workers!$K$5:$K$2004,MATCH($A784,Workers!$A$5:$A$2004,0)))</f>
        <v/>
      </c>
      <c r="E784" s="25" t="str">
        <f aca="false">IF($A784="","",SUMIFS(Timesheet!$E$5:$E$3004,Timesheet!$D$5:$D$3004,$A784,Timesheet!$A$5:$A$3004,"&gt;="&amp;Settings!$B$8,Timesheet!$A$5:$A$3004,"&lt;="&amp;Settings!$B$9))</f>
        <v/>
      </c>
      <c r="F784" s="25" t="str">
        <f aca="false">IF($A784="","",SUMIFS(Timesheet!$F$5:$F$3004,Timesheet!$D$5:$D$3004,$A784,Timesheet!$A$5:$A$3004,"&gt;="&amp;Settings!$B$8,Timesheet!$A$5:$A$3004,"&lt;="&amp;Settings!$B$9))</f>
        <v/>
      </c>
      <c r="G784" s="25" t="str">
        <f aca="false">IF($A784="","",SUMIFS(Timesheet!$G$5:$G$3004,Timesheet!$D$5:$D$3004,$A784,Timesheet!$A$5:$A$3004,"&gt;="&amp;Settings!$B$8,Timesheet!$A$5:$A$3004,"&lt;="&amp;Settings!$B$9))</f>
        <v/>
      </c>
      <c r="H784" s="25" t="str">
        <f aca="false">IF($A784="","",IF(D784="Monthly",MAX(0,Settings!$B$11-E784),0))</f>
        <v/>
      </c>
      <c r="I784" s="26" t="str">
        <f aca="false">IF($A784="","",N(INDEX(Workers!$L$5:$L$2004,MATCH($A784,Workers!$A$5:$A$2004,0))))</f>
        <v/>
      </c>
      <c r="J784" s="26" t="str">
        <f aca="false">IF($A784="","",N(INDEX(Workers!$M$5:$M$2004,MATCH($A784,Workers!$A$5:$A$2004,0))))</f>
        <v/>
      </c>
      <c r="K784" s="26" t="str">
        <f aca="false">IF($A784="","",IF(D784="Monthly",ROUND(MAX(0,(I784+J784)-(I784+J784)/Settings!$B$10*H784),2),0))</f>
        <v/>
      </c>
      <c r="L784" s="26" t="str">
        <f aca="false">IF($A784="","",IF(D784="Hourly",ROUND(F784*N(INDEX(Workers!$N$5:$N$2004,MATCH($A784,Workers!$A$5:$A$2004,0))),2),0))</f>
        <v/>
      </c>
      <c r="M784" s="26" t="str">
        <f aca="false">IF($A784="","",ROUND(G784*IF(D784="Hourly",N(INDEX(Workers!$N$5:$N$2004,MATCH($A784,Workers!$A$5:$A$2004,0))),I784/Settings!$B$10/Settings!$B$12)*Settings!$B$13,2))</f>
        <v/>
      </c>
      <c r="N784" s="26" t="str">
        <f aca="false">IF($A784="","",K784+L784+M784)</f>
        <v/>
      </c>
      <c r="O784" s="26" t="str">
        <f aca="false">IF($A784="","",SUMIFS(Deductions!$D$5:$D$2000,Deductions!$B$5:$B$2000,$A784,Deductions!$C$5:$C$2000,"Advance",Deductions!$E$5:$E$2000,"&gt;="&amp;Settings!$B$8,Deductions!$E$5:$E$2000,"&lt;="&amp;Settings!$B$9))</f>
        <v/>
      </c>
      <c r="P784" s="26" t="str">
        <f aca="false">IF($A784="","",SUMIFS(Deductions!$D$5:$D$2000,Deductions!$B$5:$B$2000,$A784,Deductions!$E$5:$E$2000,"&gt;="&amp;Settings!$B$8,Deductions!$E$5:$E$2000,"&lt;="&amp;Settings!$B$9)-O784)</f>
        <v/>
      </c>
      <c r="Q784" s="26" t="str">
        <f aca="false">IF($A784="","",O784+P784)</f>
        <v/>
      </c>
      <c r="R784" s="23" t="str">
        <f aca="false">IF($A784="","",N784-Q784)</f>
        <v/>
      </c>
      <c r="S784" s="24" t="str">
        <f aca="false">IF($A784="","",INDEX(Workers!$O$5:$O$2004,MATCH($A784,Workers!$A$5:$A$2004,0))&amp;"")</f>
        <v/>
      </c>
      <c r="T784" s="24" t="str">
        <f aca="false">IF($A784="","",INDEX(Workers!$P$5:$P$2004,MATCH($A784,Workers!$A$5:$A$2004,0))&amp;"")</f>
        <v/>
      </c>
      <c r="U784" s="24" t="str">
        <f aca="false">IF($A784="","",INDEX(Workers!$H$5:$H$2004,MATCH($A784,Workers!$A$5:$A$2004,0))&amp;"")</f>
        <v/>
      </c>
    </row>
    <row r="785" customFormat="false" ht="15" hidden="false" customHeight="false" outlineLevel="0" collapsed="false">
      <c r="A785" s="24" t="str">
        <f aca="false">IFERROR(INDEX(Workers!$A$5:$A$2004,MATCH(ROW()-4,Workers!$U$5:$U$2004,0)),"")</f>
        <v/>
      </c>
      <c r="B785" s="24" t="str">
        <f aca="false">IF($A785="","",INDEX(Workers!$B$5:$B$2004,MATCH($A785,Workers!$A$5:$A$2004,0)))</f>
        <v/>
      </c>
      <c r="C785" s="24" t="str">
        <f aca="false">IF($A785="","",INDEX(Workers!$E$5:$E$2004,MATCH($A785,Workers!$A$5:$A$2004,0)))</f>
        <v/>
      </c>
      <c r="D785" s="24" t="str">
        <f aca="false">IF($A785="","",INDEX(Workers!$K$5:$K$2004,MATCH($A785,Workers!$A$5:$A$2004,0)))</f>
        <v/>
      </c>
      <c r="E785" s="25" t="str">
        <f aca="false">IF($A785="","",SUMIFS(Timesheet!$E$5:$E$3004,Timesheet!$D$5:$D$3004,$A785,Timesheet!$A$5:$A$3004,"&gt;="&amp;Settings!$B$8,Timesheet!$A$5:$A$3004,"&lt;="&amp;Settings!$B$9))</f>
        <v/>
      </c>
      <c r="F785" s="25" t="str">
        <f aca="false">IF($A785="","",SUMIFS(Timesheet!$F$5:$F$3004,Timesheet!$D$5:$D$3004,$A785,Timesheet!$A$5:$A$3004,"&gt;="&amp;Settings!$B$8,Timesheet!$A$5:$A$3004,"&lt;="&amp;Settings!$B$9))</f>
        <v/>
      </c>
      <c r="G785" s="25" t="str">
        <f aca="false">IF($A785="","",SUMIFS(Timesheet!$G$5:$G$3004,Timesheet!$D$5:$D$3004,$A785,Timesheet!$A$5:$A$3004,"&gt;="&amp;Settings!$B$8,Timesheet!$A$5:$A$3004,"&lt;="&amp;Settings!$B$9))</f>
        <v/>
      </c>
      <c r="H785" s="25" t="str">
        <f aca="false">IF($A785="","",IF(D785="Monthly",MAX(0,Settings!$B$11-E785),0))</f>
        <v/>
      </c>
      <c r="I785" s="26" t="str">
        <f aca="false">IF($A785="","",N(INDEX(Workers!$L$5:$L$2004,MATCH($A785,Workers!$A$5:$A$2004,0))))</f>
        <v/>
      </c>
      <c r="J785" s="26" t="str">
        <f aca="false">IF($A785="","",N(INDEX(Workers!$M$5:$M$2004,MATCH($A785,Workers!$A$5:$A$2004,0))))</f>
        <v/>
      </c>
      <c r="K785" s="26" t="str">
        <f aca="false">IF($A785="","",IF(D785="Monthly",ROUND(MAX(0,(I785+J785)-(I785+J785)/Settings!$B$10*H785),2),0))</f>
        <v/>
      </c>
      <c r="L785" s="26" t="str">
        <f aca="false">IF($A785="","",IF(D785="Hourly",ROUND(F785*N(INDEX(Workers!$N$5:$N$2004,MATCH($A785,Workers!$A$5:$A$2004,0))),2),0))</f>
        <v/>
      </c>
      <c r="M785" s="26" t="str">
        <f aca="false">IF($A785="","",ROUND(G785*IF(D785="Hourly",N(INDEX(Workers!$N$5:$N$2004,MATCH($A785,Workers!$A$5:$A$2004,0))),I785/Settings!$B$10/Settings!$B$12)*Settings!$B$13,2))</f>
        <v/>
      </c>
      <c r="N785" s="26" t="str">
        <f aca="false">IF($A785="","",K785+L785+M785)</f>
        <v/>
      </c>
      <c r="O785" s="26" t="str">
        <f aca="false">IF($A785="","",SUMIFS(Deductions!$D$5:$D$2000,Deductions!$B$5:$B$2000,$A785,Deductions!$C$5:$C$2000,"Advance",Deductions!$E$5:$E$2000,"&gt;="&amp;Settings!$B$8,Deductions!$E$5:$E$2000,"&lt;="&amp;Settings!$B$9))</f>
        <v/>
      </c>
      <c r="P785" s="26" t="str">
        <f aca="false">IF($A785="","",SUMIFS(Deductions!$D$5:$D$2000,Deductions!$B$5:$B$2000,$A785,Deductions!$E$5:$E$2000,"&gt;="&amp;Settings!$B$8,Deductions!$E$5:$E$2000,"&lt;="&amp;Settings!$B$9)-O785)</f>
        <v/>
      </c>
      <c r="Q785" s="26" t="str">
        <f aca="false">IF($A785="","",O785+P785)</f>
        <v/>
      </c>
      <c r="R785" s="23" t="str">
        <f aca="false">IF($A785="","",N785-Q785)</f>
        <v/>
      </c>
      <c r="S785" s="24" t="str">
        <f aca="false">IF($A785="","",INDEX(Workers!$O$5:$O$2004,MATCH($A785,Workers!$A$5:$A$2004,0))&amp;"")</f>
        <v/>
      </c>
      <c r="T785" s="24" t="str">
        <f aca="false">IF($A785="","",INDEX(Workers!$P$5:$P$2004,MATCH($A785,Workers!$A$5:$A$2004,0))&amp;"")</f>
        <v/>
      </c>
      <c r="U785" s="24" t="str">
        <f aca="false">IF($A785="","",INDEX(Workers!$H$5:$H$2004,MATCH($A785,Workers!$A$5:$A$2004,0))&amp;"")</f>
        <v/>
      </c>
    </row>
    <row r="786" customFormat="false" ht="15" hidden="false" customHeight="false" outlineLevel="0" collapsed="false">
      <c r="A786" s="24" t="str">
        <f aca="false">IFERROR(INDEX(Workers!$A$5:$A$2004,MATCH(ROW()-4,Workers!$U$5:$U$2004,0)),"")</f>
        <v/>
      </c>
      <c r="B786" s="24" t="str">
        <f aca="false">IF($A786="","",INDEX(Workers!$B$5:$B$2004,MATCH($A786,Workers!$A$5:$A$2004,0)))</f>
        <v/>
      </c>
      <c r="C786" s="24" t="str">
        <f aca="false">IF($A786="","",INDEX(Workers!$E$5:$E$2004,MATCH($A786,Workers!$A$5:$A$2004,0)))</f>
        <v/>
      </c>
      <c r="D786" s="24" t="str">
        <f aca="false">IF($A786="","",INDEX(Workers!$K$5:$K$2004,MATCH($A786,Workers!$A$5:$A$2004,0)))</f>
        <v/>
      </c>
      <c r="E786" s="25" t="str">
        <f aca="false">IF($A786="","",SUMIFS(Timesheet!$E$5:$E$3004,Timesheet!$D$5:$D$3004,$A786,Timesheet!$A$5:$A$3004,"&gt;="&amp;Settings!$B$8,Timesheet!$A$5:$A$3004,"&lt;="&amp;Settings!$B$9))</f>
        <v/>
      </c>
      <c r="F786" s="25" t="str">
        <f aca="false">IF($A786="","",SUMIFS(Timesheet!$F$5:$F$3004,Timesheet!$D$5:$D$3004,$A786,Timesheet!$A$5:$A$3004,"&gt;="&amp;Settings!$B$8,Timesheet!$A$5:$A$3004,"&lt;="&amp;Settings!$B$9))</f>
        <v/>
      </c>
      <c r="G786" s="25" t="str">
        <f aca="false">IF($A786="","",SUMIFS(Timesheet!$G$5:$G$3004,Timesheet!$D$5:$D$3004,$A786,Timesheet!$A$5:$A$3004,"&gt;="&amp;Settings!$B$8,Timesheet!$A$5:$A$3004,"&lt;="&amp;Settings!$B$9))</f>
        <v/>
      </c>
      <c r="H786" s="25" t="str">
        <f aca="false">IF($A786="","",IF(D786="Monthly",MAX(0,Settings!$B$11-E786),0))</f>
        <v/>
      </c>
      <c r="I786" s="26" t="str">
        <f aca="false">IF($A786="","",N(INDEX(Workers!$L$5:$L$2004,MATCH($A786,Workers!$A$5:$A$2004,0))))</f>
        <v/>
      </c>
      <c r="J786" s="26" t="str">
        <f aca="false">IF($A786="","",N(INDEX(Workers!$M$5:$M$2004,MATCH($A786,Workers!$A$5:$A$2004,0))))</f>
        <v/>
      </c>
      <c r="K786" s="26" t="str">
        <f aca="false">IF($A786="","",IF(D786="Monthly",ROUND(MAX(0,(I786+J786)-(I786+J786)/Settings!$B$10*H786),2),0))</f>
        <v/>
      </c>
      <c r="L786" s="26" t="str">
        <f aca="false">IF($A786="","",IF(D786="Hourly",ROUND(F786*N(INDEX(Workers!$N$5:$N$2004,MATCH($A786,Workers!$A$5:$A$2004,0))),2),0))</f>
        <v/>
      </c>
      <c r="M786" s="26" t="str">
        <f aca="false">IF($A786="","",ROUND(G786*IF(D786="Hourly",N(INDEX(Workers!$N$5:$N$2004,MATCH($A786,Workers!$A$5:$A$2004,0))),I786/Settings!$B$10/Settings!$B$12)*Settings!$B$13,2))</f>
        <v/>
      </c>
      <c r="N786" s="26" t="str">
        <f aca="false">IF($A786="","",K786+L786+M786)</f>
        <v/>
      </c>
      <c r="O786" s="26" t="str">
        <f aca="false">IF($A786="","",SUMIFS(Deductions!$D$5:$D$2000,Deductions!$B$5:$B$2000,$A786,Deductions!$C$5:$C$2000,"Advance",Deductions!$E$5:$E$2000,"&gt;="&amp;Settings!$B$8,Deductions!$E$5:$E$2000,"&lt;="&amp;Settings!$B$9))</f>
        <v/>
      </c>
      <c r="P786" s="26" t="str">
        <f aca="false">IF($A786="","",SUMIFS(Deductions!$D$5:$D$2000,Deductions!$B$5:$B$2000,$A786,Deductions!$E$5:$E$2000,"&gt;="&amp;Settings!$B$8,Deductions!$E$5:$E$2000,"&lt;="&amp;Settings!$B$9)-O786)</f>
        <v/>
      </c>
      <c r="Q786" s="26" t="str">
        <f aca="false">IF($A786="","",O786+P786)</f>
        <v/>
      </c>
      <c r="R786" s="23" t="str">
        <f aca="false">IF($A786="","",N786-Q786)</f>
        <v/>
      </c>
      <c r="S786" s="24" t="str">
        <f aca="false">IF($A786="","",INDEX(Workers!$O$5:$O$2004,MATCH($A786,Workers!$A$5:$A$2004,0))&amp;"")</f>
        <v/>
      </c>
      <c r="T786" s="24" t="str">
        <f aca="false">IF($A786="","",INDEX(Workers!$P$5:$P$2004,MATCH($A786,Workers!$A$5:$A$2004,0))&amp;"")</f>
        <v/>
      </c>
      <c r="U786" s="24" t="str">
        <f aca="false">IF($A786="","",INDEX(Workers!$H$5:$H$2004,MATCH($A786,Workers!$A$5:$A$2004,0))&amp;"")</f>
        <v/>
      </c>
    </row>
    <row r="787" customFormat="false" ht="15" hidden="false" customHeight="false" outlineLevel="0" collapsed="false">
      <c r="A787" s="24" t="str">
        <f aca="false">IFERROR(INDEX(Workers!$A$5:$A$2004,MATCH(ROW()-4,Workers!$U$5:$U$2004,0)),"")</f>
        <v/>
      </c>
      <c r="B787" s="24" t="str">
        <f aca="false">IF($A787="","",INDEX(Workers!$B$5:$B$2004,MATCH($A787,Workers!$A$5:$A$2004,0)))</f>
        <v/>
      </c>
      <c r="C787" s="24" t="str">
        <f aca="false">IF($A787="","",INDEX(Workers!$E$5:$E$2004,MATCH($A787,Workers!$A$5:$A$2004,0)))</f>
        <v/>
      </c>
      <c r="D787" s="24" t="str">
        <f aca="false">IF($A787="","",INDEX(Workers!$K$5:$K$2004,MATCH($A787,Workers!$A$5:$A$2004,0)))</f>
        <v/>
      </c>
      <c r="E787" s="25" t="str">
        <f aca="false">IF($A787="","",SUMIFS(Timesheet!$E$5:$E$3004,Timesheet!$D$5:$D$3004,$A787,Timesheet!$A$5:$A$3004,"&gt;="&amp;Settings!$B$8,Timesheet!$A$5:$A$3004,"&lt;="&amp;Settings!$B$9))</f>
        <v/>
      </c>
      <c r="F787" s="25" t="str">
        <f aca="false">IF($A787="","",SUMIFS(Timesheet!$F$5:$F$3004,Timesheet!$D$5:$D$3004,$A787,Timesheet!$A$5:$A$3004,"&gt;="&amp;Settings!$B$8,Timesheet!$A$5:$A$3004,"&lt;="&amp;Settings!$B$9))</f>
        <v/>
      </c>
      <c r="G787" s="25" t="str">
        <f aca="false">IF($A787="","",SUMIFS(Timesheet!$G$5:$G$3004,Timesheet!$D$5:$D$3004,$A787,Timesheet!$A$5:$A$3004,"&gt;="&amp;Settings!$B$8,Timesheet!$A$5:$A$3004,"&lt;="&amp;Settings!$B$9))</f>
        <v/>
      </c>
      <c r="H787" s="25" t="str">
        <f aca="false">IF($A787="","",IF(D787="Monthly",MAX(0,Settings!$B$11-E787),0))</f>
        <v/>
      </c>
      <c r="I787" s="26" t="str">
        <f aca="false">IF($A787="","",N(INDEX(Workers!$L$5:$L$2004,MATCH($A787,Workers!$A$5:$A$2004,0))))</f>
        <v/>
      </c>
      <c r="J787" s="26" t="str">
        <f aca="false">IF($A787="","",N(INDEX(Workers!$M$5:$M$2004,MATCH($A787,Workers!$A$5:$A$2004,0))))</f>
        <v/>
      </c>
      <c r="K787" s="26" t="str">
        <f aca="false">IF($A787="","",IF(D787="Monthly",ROUND(MAX(0,(I787+J787)-(I787+J787)/Settings!$B$10*H787),2),0))</f>
        <v/>
      </c>
      <c r="L787" s="26" t="str">
        <f aca="false">IF($A787="","",IF(D787="Hourly",ROUND(F787*N(INDEX(Workers!$N$5:$N$2004,MATCH($A787,Workers!$A$5:$A$2004,0))),2),0))</f>
        <v/>
      </c>
      <c r="M787" s="26" t="str">
        <f aca="false">IF($A787="","",ROUND(G787*IF(D787="Hourly",N(INDEX(Workers!$N$5:$N$2004,MATCH($A787,Workers!$A$5:$A$2004,0))),I787/Settings!$B$10/Settings!$B$12)*Settings!$B$13,2))</f>
        <v/>
      </c>
      <c r="N787" s="26" t="str">
        <f aca="false">IF($A787="","",K787+L787+M787)</f>
        <v/>
      </c>
      <c r="O787" s="26" t="str">
        <f aca="false">IF($A787="","",SUMIFS(Deductions!$D$5:$D$2000,Deductions!$B$5:$B$2000,$A787,Deductions!$C$5:$C$2000,"Advance",Deductions!$E$5:$E$2000,"&gt;="&amp;Settings!$B$8,Deductions!$E$5:$E$2000,"&lt;="&amp;Settings!$B$9))</f>
        <v/>
      </c>
      <c r="P787" s="26" t="str">
        <f aca="false">IF($A787="","",SUMIFS(Deductions!$D$5:$D$2000,Deductions!$B$5:$B$2000,$A787,Deductions!$E$5:$E$2000,"&gt;="&amp;Settings!$B$8,Deductions!$E$5:$E$2000,"&lt;="&amp;Settings!$B$9)-O787)</f>
        <v/>
      </c>
      <c r="Q787" s="26" t="str">
        <f aca="false">IF($A787="","",O787+P787)</f>
        <v/>
      </c>
      <c r="R787" s="23" t="str">
        <f aca="false">IF($A787="","",N787-Q787)</f>
        <v/>
      </c>
      <c r="S787" s="24" t="str">
        <f aca="false">IF($A787="","",INDEX(Workers!$O$5:$O$2004,MATCH($A787,Workers!$A$5:$A$2004,0))&amp;"")</f>
        <v/>
      </c>
      <c r="T787" s="24" t="str">
        <f aca="false">IF($A787="","",INDEX(Workers!$P$5:$P$2004,MATCH($A787,Workers!$A$5:$A$2004,0))&amp;"")</f>
        <v/>
      </c>
      <c r="U787" s="24" t="str">
        <f aca="false">IF($A787="","",INDEX(Workers!$H$5:$H$2004,MATCH($A787,Workers!$A$5:$A$2004,0))&amp;"")</f>
        <v/>
      </c>
    </row>
    <row r="788" customFormat="false" ht="15" hidden="false" customHeight="false" outlineLevel="0" collapsed="false">
      <c r="A788" s="24" t="str">
        <f aca="false">IFERROR(INDEX(Workers!$A$5:$A$2004,MATCH(ROW()-4,Workers!$U$5:$U$2004,0)),"")</f>
        <v/>
      </c>
      <c r="B788" s="24" t="str">
        <f aca="false">IF($A788="","",INDEX(Workers!$B$5:$B$2004,MATCH($A788,Workers!$A$5:$A$2004,0)))</f>
        <v/>
      </c>
      <c r="C788" s="24" t="str">
        <f aca="false">IF($A788="","",INDEX(Workers!$E$5:$E$2004,MATCH($A788,Workers!$A$5:$A$2004,0)))</f>
        <v/>
      </c>
      <c r="D788" s="24" t="str">
        <f aca="false">IF($A788="","",INDEX(Workers!$K$5:$K$2004,MATCH($A788,Workers!$A$5:$A$2004,0)))</f>
        <v/>
      </c>
      <c r="E788" s="25" t="str">
        <f aca="false">IF($A788="","",SUMIFS(Timesheet!$E$5:$E$3004,Timesheet!$D$5:$D$3004,$A788,Timesheet!$A$5:$A$3004,"&gt;="&amp;Settings!$B$8,Timesheet!$A$5:$A$3004,"&lt;="&amp;Settings!$B$9))</f>
        <v/>
      </c>
      <c r="F788" s="25" t="str">
        <f aca="false">IF($A788="","",SUMIFS(Timesheet!$F$5:$F$3004,Timesheet!$D$5:$D$3004,$A788,Timesheet!$A$5:$A$3004,"&gt;="&amp;Settings!$B$8,Timesheet!$A$5:$A$3004,"&lt;="&amp;Settings!$B$9))</f>
        <v/>
      </c>
      <c r="G788" s="25" t="str">
        <f aca="false">IF($A788="","",SUMIFS(Timesheet!$G$5:$G$3004,Timesheet!$D$5:$D$3004,$A788,Timesheet!$A$5:$A$3004,"&gt;="&amp;Settings!$B$8,Timesheet!$A$5:$A$3004,"&lt;="&amp;Settings!$B$9))</f>
        <v/>
      </c>
      <c r="H788" s="25" t="str">
        <f aca="false">IF($A788="","",IF(D788="Monthly",MAX(0,Settings!$B$11-E788),0))</f>
        <v/>
      </c>
      <c r="I788" s="26" t="str">
        <f aca="false">IF($A788="","",N(INDEX(Workers!$L$5:$L$2004,MATCH($A788,Workers!$A$5:$A$2004,0))))</f>
        <v/>
      </c>
      <c r="J788" s="26" t="str">
        <f aca="false">IF($A788="","",N(INDEX(Workers!$M$5:$M$2004,MATCH($A788,Workers!$A$5:$A$2004,0))))</f>
        <v/>
      </c>
      <c r="K788" s="26" t="str">
        <f aca="false">IF($A788="","",IF(D788="Monthly",ROUND(MAX(0,(I788+J788)-(I788+J788)/Settings!$B$10*H788),2),0))</f>
        <v/>
      </c>
      <c r="L788" s="26" t="str">
        <f aca="false">IF($A788="","",IF(D788="Hourly",ROUND(F788*N(INDEX(Workers!$N$5:$N$2004,MATCH($A788,Workers!$A$5:$A$2004,0))),2),0))</f>
        <v/>
      </c>
      <c r="M788" s="26" t="str">
        <f aca="false">IF($A788="","",ROUND(G788*IF(D788="Hourly",N(INDEX(Workers!$N$5:$N$2004,MATCH($A788,Workers!$A$5:$A$2004,0))),I788/Settings!$B$10/Settings!$B$12)*Settings!$B$13,2))</f>
        <v/>
      </c>
      <c r="N788" s="26" t="str">
        <f aca="false">IF($A788="","",K788+L788+M788)</f>
        <v/>
      </c>
      <c r="O788" s="26" t="str">
        <f aca="false">IF($A788="","",SUMIFS(Deductions!$D$5:$D$2000,Deductions!$B$5:$B$2000,$A788,Deductions!$C$5:$C$2000,"Advance",Deductions!$E$5:$E$2000,"&gt;="&amp;Settings!$B$8,Deductions!$E$5:$E$2000,"&lt;="&amp;Settings!$B$9))</f>
        <v/>
      </c>
      <c r="P788" s="26" t="str">
        <f aca="false">IF($A788="","",SUMIFS(Deductions!$D$5:$D$2000,Deductions!$B$5:$B$2000,$A788,Deductions!$E$5:$E$2000,"&gt;="&amp;Settings!$B$8,Deductions!$E$5:$E$2000,"&lt;="&amp;Settings!$B$9)-O788)</f>
        <v/>
      </c>
      <c r="Q788" s="26" t="str">
        <f aca="false">IF($A788="","",O788+P788)</f>
        <v/>
      </c>
      <c r="R788" s="23" t="str">
        <f aca="false">IF($A788="","",N788-Q788)</f>
        <v/>
      </c>
      <c r="S788" s="24" t="str">
        <f aca="false">IF($A788="","",INDEX(Workers!$O$5:$O$2004,MATCH($A788,Workers!$A$5:$A$2004,0))&amp;"")</f>
        <v/>
      </c>
      <c r="T788" s="24" t="str">
        <f aca="false">IF($A788="","",INDEX(Workers!$P$5:$P$2004,MATCH($A788,Workers!$A$5:$A$2004,0))&amp;"")</f>
        <v/>
      </c>
      <c r="U788" s="24" t="str">
        <f aca="false">IF($A788="","",INDEX(Workers!$H$5:$H$2004,MATCH($A788,Workers!$A$5:$A$2004,0))&amp;"")</f>
        <v/>
      </c>
    </row>
    <row r="789" customFormat="false" ht="15" hidden="false" customHeight="false" outlineLevel="0" collapsed="false">
      <c r="A789" s="24" t="str">
        <f aca="false">IFERROR(INDEX(Workers!$A$5:$A$2004,MATCH(ROW()-4,Workers!$U$5:$U$2004,0)),"")</f>
        <v/>
      </c>
      <c r="B789" s="24" t="str">
        <f aca="false">IF($A789="","",INDEX(Workers!$B$5:$B$2004,MATCH($A789,Workers!$A$5:$A$2004,0)))</f>
        <v/>
      </c>
      <c r="C789" s="24" t="str">
        <f aca="false">IF($A789="","",INDEX(Workers!$E$5:$E$2004,MATCH($A789,Workers!$A$5:$A$2004,0)))</f>
        <v/>
      </c>
      <c r="D789" s="24" t="str">
        <f aca="false">IF($A789="","",INDEX(Workers!$K$5:$K$2004,MATCH($A789,Workers!$A$5:$A$2004,0)))</f>
        <v/>
      </c>
      <c r="E789" s="25" t="str">
        <f aca="false">IF($A789="","",SUMIFS(Timesheet!$E$5:$E$3004,Timesheet!$D$5:$D$3004,$A789,Timesheet!$A$5:$A$3004,"&gt;="&amp;Settings!$B$8,Timesheet!$A$5:$A$3004,"&lt;="&amp;Settings!$B$9))</f>
        <v/>
      </c>
      <c r="F789" s="25" t="str">
        <f aca="false">IF($A789="","",SUMIFS(Timesheet!$F$5:$F$3004,Timesheet!$D$5:$D$3004,$A789,Timesheet!$A$5:$A$3004,"&gt;="&amp;Settings!$B$8,Timesheet!$A$5:$A$3004,"&lt;="&amp;Settings!$B$9))</f>
        <v/>
      </c>
      <c r="G789" s="25" t="str">
        <f aca="false">IF($A789="","",SUMIFS(Timesheet!$G$5:$G$3004,Timesheet!$D$5:$D$3004,$A789,Timesheet!$A$5:$A$3004,"&gt;="&amp;Settings!$B$8,Timesheet!$A$5:$A$3004,"&lt;="&amp;Settings!$B$9))</f>
        <v/>
      </c>
      <c r="H789" s="25" t="str">
        <f aca="false">IF($A789="","",IF(D789="Monthly",MAX(0,Settings!$B$11-E789),0))</f>
        <v/>
      </c>
      <c r="I789" s="26" t="str">
        <f aca="false">IF($A789="","",N(INDEX(Workers!$L$5:$L$2004,MATCH($A789,Workers!$A$5:$A$2004,0))))</f>
        <v/>
      </c>
      <c r="J789" s="26" t="str">
        <f aca="false">IF($A789="","",N(INDEX(Workers!$M$5:$M$2004,MATCH($A789,Workers!$A$5:$A$2004,0))))</f>
        <v/>
      </c>
      <c r="K789" s="26" t="str">
        <f aca="false">IF($A789="","",IF(D789="Monthly",ROUND(MAX(0,(I789+J789)-(I789+J789)/Settings!$B$10*H789),2),0))</f>
        <v/>
      </c>
      <c r="L789" s="26" t="str">
        <f aca="false">IF($A789="","",IF(D789="Hourly",ROUND(F789*N(INDEX(Workers!$N$5:$N$2004,MATCH($A789,Workers!$A$5:$A$2004,0))),2),0))</f>
        <v/>
      </c>
      <c r="M789" s="26" t="str">
        <f aca="false">IF($A789="","",ROUND(G789*IF(D789="Hourly",N(INDEX(Workers!$N$5:$N$2004,MATCH($A789,Workers!$A$5:$A$2004,0))),I789/Settings!$B$10/Settings!$B$12)*Settings!$B$13,2))</f>
        <v/>
      </c>
      <c r="N789" s="26" t="str">
        <f aca="false">IF($A789="","",K789+L789+M789)</f>
        <v/>
      </c>
      <c r="O789" s="26" t="str">
        <f aca="false">IF($A789="","",SUMIFS(Deductions!$D$5:$D$2000,Deductions!$B$5:$B$2000,$A789,Deductions!$C$5:$C$2000,"Advance",Deductions!$E$5:$E$2000,"&gt;="&amp;Settings!$B$8,Deductions!$E$5:$E$2000,"&lt;="&amp;Settings!$B$9))</f>
        <v/>
      </c>
      <c r="P789" s="26" t="str">
        <f aca="false">IF($A789="","",SUMIFS(Deductions!$D$5:$D$2000,Deductions!$B$5:$B$2000,$A789,Deductions!$E$5:$E$2000,"&gt;="&amp;Settings!$B$8,Deductions!$E$5:$E$2000,"&lt;="&amp;Settings!$B$9)-O789)</f>
        <v/>
      </c>
      <c r="Q789" s="26" t="str">
        <f aca="false">IF($A789="","",O789+P789)</f>
        <v/>
      </c>
      <c r="R789" s="23" t="str">
        <f aca="false">IF($A789="","",N789-Q789)</f>
        <v/>
      </c>
      <c r="S789" s="24" t="str">
        <f aca="false">IF($A789="","",INDEX(Workers!$O$5:$O$2004,MATCH($A789,Workers!$A$5:$A$2004,0))&amp;"")</f>
        <v/>
      </c>
      <c r="T789" s="24" t="str">
        <f aca="false">IF($A789="","",INDEX(Workers!$P$5:$P$2004,MATCH($A789,Workers!$A$5:$A$2004,0))&amp;"")</f>
        <v/>
      </c>
      <c r="U789" s="24" t="str">
        <f aca="false">IF($A789="","",INDEX(Workers!$H$5:$H$2004,MATCH($A789,Workers!$A$5:$A$2004,0))&amp;"")</f>
        <v/>
      </c>
    </row>
    <row r="790" customFormat="false" ht="15" hidden="false" customHeight="false" outlineLevel="0" collapsed="false">
      <c r="A790" s="24" t="str">
        <f aca="false">IFERROR(INDEX(Workers!$A$5:$A$2004,MATCH(ROW()-4,Workers!$U$5:$U$2004,0)),"")</f>
        <v/>
      </c>
      <c r="B790" s="24" t="str">
        <f aca="false">IF($A790="","",INDEX(Workers!$B$5:$B$2004,MATCH($A790,Workers!$A$5:$A$2004,0)))</f>
        <v/>
      </c>
      <c r="C790" s="24" t="str">
        <f aca="false">IF($A790="","",INDEX(Workers!$E$5:$E$2004,MATCH($A790,Workers!$A$5:$A$2004,0)))</f>
        <v/>
      </c>
      <c r="D790" s="24" t="str">
        <f aca="false">IF($A790="","",INDEX(Workers!$K$5:$K$2004,MATCH($A790,Workers!$A$5:$A$2004,0)))</f>
        <v/>
      </c>
      <c r="E790" s="25" t="str">
        <f aca="false">IF($A790="","",SUMIFS(Timesheet!$E$5:$E$3004,Timesheet!$D$5:$D$3004,$A790,Timesheet!$A$5:$A$3004,"&gt;="&amp;Settings!$B$8,Timesheet!$A$5:$A$3004,"&lt;="&amp;Settings!$B$9))</f>
        <v/>
      </c>
      <c r="F790" s="25" t="str">
        <f aca="false">IF($A790="","",SUMIFS(Timesheet!$F$5:$F$3004,Timesheet!$D$5:$D$3004,$A790,Timesheet!$A$5:$A$3004,"&gt;="&amp;Settings!$B$8,Timesheet!$A$5:$A$3004,"&lt;="&amp;Settings!$B$9))</f>
        <v/>
      </c>
      <c r="G790" s="25" t="str">
        <f aca="false">IF($A790="","",SUMIFS(Timesheet!$G$5:$G$3004,Timesheet!$D$5:$D$3004,$A790,Timesheet!$A$5:$A$3004,"&gt;="&amp;Settings!$B$8,Timesheet!$A$5:$A$3004,"&lt;="&amp;Settings!$B$9))</f>
        <v/>
      </c>
      <c r="H790" s="25" t="str">
        <f aca="false">IF($A790="","",IF(D790="Monthly",MAX(0,Settings!$B$11-E790),0))</f>
        <v/>
      </c>
      <c r="I790" s="26" t="str">
        <f aca="false">IF($A790="","",N(INDEX(Workers!$L$5:$L$2004,MATCH($A790,Workers!$A$5:$A$2004,0))))</f>
        <v/>
      </c>
      <c r="J790" s="26" t="str">
        <f aca="false">IF($A790="","",N(INDEX(Workers!$M$5:$M$2004,MATCH($A790,Workers!$A$5:$A$2004,0))))</f>
        <v/>
      </c>
      <c r="K790" s="26" t="str">
        <f aca="false">IF($A790="","",IF(D790="Monthly",ROUND(MAX(0,(I790+J790)-(I790+J790)/Settings!$B$10*H790),2),0))</f>
        <v/>
      </c>
      <c r="L790" s="26" t="str">
        <f aca="false">IF($A790="","",IF(D790="Hourly",ROUND(F790*N(INDEX(Workers!$N$5:$N$2004,MATCH($A790,Workers!$A$5:$A$2004,0))),2),0))</f>
        <v/>
      </c>
      <c r="M790" s="26" t="str">
        <f aca="false">IF($A790="","",ROUND(G790*IF(D790="Hourly",N(INDEX(Workers!$N$5:$N$2004,MATCH($A790,Workers!$A$5:$A$2004,0))),I790/Settings!$B$10/Settings!$B$12)*Settings!$B$13,2))</f>
        <v/>
      </c>
      <c r="N790" s="26" t="str">
        <f aca="false">IF($A790="","",K790+L790+M790)</f>
        <v/>
      </c>
      <c r="O790" s="26" t="str">
        <f aca="false">IF($A790="","",SUMIFS(Deductions!$D$5:$D$2000,Deductions!$B$5:$B$2000,$A790,Deductions!$C$5:$C$2000,"Advance",Deductions!$E$5:$E$2000,"&gt;="&amp;Settings!$B$8,Deductions!$E$5:$E$2000,"&lt;="&amp;Settings!$B$9))</f>
        <v/>
      </c>
      <c r="P790" s="26" t="str">
        <f aca="false">IF($A790="","",SUMIFS(Deductions!$D$5:$D$2000,Deductions!$B$5:$B$2000,$A790,Deductions!$E$5:$E$2000,"&gt;="&amp;Settings!$B$8,Deductions!$E$5:$E$2000,"&lt;="&amp;Settings!$B$9)-O790)</f>
        <v/>
      </c>
      <c r="Q790" s="26" t="str">
        <f aca="false">IF($A790="","",O790+P790)</f>
        <v/>
      </c>
      <c r="R790" s="23" t="str">
        <f aca="false">IF($A790="","",N790-Q790)</f>
        <v/>
      </c>
      <c r="S790" s="24" t="str">
        <f aca="false">IF($A790="","",INDEX(Workers!$O$5:$O$2004,MATCH($A790,Workers!$A$5:$A$2004,0))&amp;"")</f>
        <v/>
      </c>
      <c r="T790" s="24" t="str">
        <f aca="false">IF($A790="","",INDEX(Workers!$P$5:$P$2004,MATCH($A790,Workers!$A$5:$A$2004,0))&amp;"")</f>
        <v/>
      </c>
      <c r="U790" s="24" t="str">
        <f aca="false">IF($A790="","",INDEX(Workers!$H$5:$H$2004,MATCH($A790,Workers!$A$5:$A$2004,0))&amp;"")</f>
        <v/>
      </c>
    </row>
    <row r="791" customFormat="false" ht="15" hidden="false" customHeight="false" outlineLevel="0" collapsed="false">
      <c r="A791" s="24" t="str">
        <f aca="false">IFERROR(INDEX(Workers!$A$5:$A$2004,MATCH(ROW()-4,Workers!$U$5:$U$2004,0)),"")</f>
        <v/>
      </c>
      <c r="B791" s="24" t="str">
        <f aca="false">IF($A791="","",INDEX(Workers!$B$5:$B$2004,MATCH($A791,Workers!$A$5:$A$2004,0)))</f>
        <v/>
      </c>
      <c r="C791" s="24" t="str">
        <f aca="false">IF($A791="","",INDEX(Workers!$E$5:$E$2004,MATCH($A791,Workers!$A$5:$A$2004,0)))</f>
        <v/>
      </c>
      <c r="D791" s="24" t="str">
        <f aca="false">IF($A791="","",INDEX(Workers!$K$5:$K$2004,MATCH($A791,Workers!$A$5:$A$2004,0)))</f>
        <v/>
      </c>
      <c r="E791" s="25" t="str">
        <f aca="false">IF($A791="","",SUMIFS(Timesheet!$E$5:$E$3004,Timesheet!$D$5:$D$3004,$A791,Timesheet!$A$5:$A$3004,"&gt;="&amp;Settings!$B$8,Timesheet!$A$5:$A$3004,"&lt;="&amp;Settings!$B$9))</f>
        <v/>
      </c>
      <c r="F791" s="25" t="str">
        <f aca="false">IF($A791="","",SUMIFS(Timesheet!$F$5:$F$3004,Timesheet!$D$5:$D$3004,$A791,Timesheet!$A$5:$A$3004,"&gt;="&amp;Settings!$B$8,Timesheet!$A$5:$A$3004,"&lt;="&amp;Settings!$B$9))</f>
        <v/>
      </c>
      <c r="G791" s="25" t="str">
        <f aca="false">IF($A791="","",SUMIFS(Timesheet!$G$5:$G$3004,Timesheet!$D$5:$D$3004,$A791,Timesheet!$A$5:$A$3004,"&gt;="&amp;Settings!$B$8,Timesheet!$A$5:$A$3004,"&lt;="&amp;Settings!$B$9))</f>
        <v/>
      </c>
      <c r="H791" s="25" t="str">
        <f aca="false">IF($A791="","",IF(D791="Monthly",MAX(0,Settings!$B$11-E791),0))</f>
        <v/>
      </c>
      <c r="I791" s="26" t="str">
        <f aca="false">IF($A791="","",N(INDEX(Workers!$L$5:$L$2004,MATCH($A791,Workers!$A$5:$A$2004,0))))</f>
        <v/>
      </c>
      <c r="J791" s="26" t="str">
        <f aca="false">IF($A791="","",N(INDEX(Workers!$M$5:$M$2004,MATCH($A791,Workers!$A$5:$A$2004,0))))</f>
        <v/>
      </c>
      <c r="K791" s="26" t="str">
        <f aca="false">IF($A791="","",IF(D791="Monthly",ROUND(MAX(0,(I791+J791)-(I791+J791)/Settings!$B$10*H791),2),0))</f>
        <v/>
      </c>
      <c r="L791" s="26" t="str">
        <f aca="false">IF($A791="","",IF(D791="Hourly",ROUND(F791*N(INDEX(Workers!$N$5:$N$2004,MATCH($A791,Workers!$A$5:$A$2004,0))),2),0))</f>
        <v/>
      </c>
      <c r="M791" s="26" t="str">
        <f aca="false">IF($A791="","",ROUND(G791*IF(D791="Hourly",N(INDEX(Workers!$N$5:$N$2004,MATCH($A791,Workers!$A$5:$A$2004,0))),I791/Settings!$B$10/Settings!$B$12)*Settings!$B$13,2))</f>
        <v/>
      </c>
      <c r="N791" s="26" t="str">
        <f aca="false">IF($A791="","",K791+L791+M791)</f>
        <v/>
      </c>
      <c r="O791" s="26" t="str">
        <f aca="false">IF($A791="","",SUMIFS(Deductions!$D$5:$D$2000,Deductions!$B$5:$B$2000,$A791,Deductions!$C$5:$C$2000,"Advance",Deductions!$E$5:$E$2000,"&gt;="&amp;Settings!$B$8,Deductions!$E$5:$E$2000,"&lt;="&amp;Settings!$B$9))</f>
        <v/>
      </c>
      <c r="P791" s="26" t="str">
        <f aca="false">IF($A791="","",SUMIFS(Deductions!$D$5:$D$2000,Deductions!$B$5:$B$2000,$A791,Deductions!$E$5:$E$2000,"&gt;="&amp;Settings!$B$8,Deductions!$E$5:$E$2000,"&lt;="&amp;Settings!$B$9)-O791)</f>
        <v/>
      </c>
      <c r="Q791" s="26" t="str">
        <f aca="false">IF($A791="","",O791+P791)</f>
        <v/>
      </c>
      <c r="R791" s="23" t="str">
        <f aca="false">IF($A791="","",N791-Q791)</f>
        <v/>
      </c>
      <c r="S791" s="24" t="str">
        <f aca="false">IF($A791="","",INDEX(Workers!$O$5:$O$2004,MATCH($A791,Workers!$A$5:$A$2004,0))&amp;"")</f>
        <v/>
      </c>
      <c r="T791" s="24" t="str">
        <f aca="false">IF($A791="","",INDEX(Workers!$P$5:$P$2004,MATCH($A791,Workers!$A$5:$A$2004,0))&amp;"")</f>
        <v/>
      </c>
      <c r="U791" s="24" t="str">
        <f aca="false">IF($A791="","",INDEX(Workers!$H$5:$H$2004,MATCH($A791,Workers!$A$5:$A$2004,0))&amp;"")</f>
        <v/>
      </c>
    </row>
    <row r="792" customFormat="false" ht="15" hidden="false" customHeight="false" outlineLevel="0" collapsed="false">
      <c r="A792" s="24" t="str">
        <f aca="false">IFERROR(INDEX(Workers!$A$5:$A$2004,MATCH(ROW()-4,Workers!$U$5:$U$2004,0)),"")</f>
        <v/>
      </c>
      <c r="B792" s="24" t="str">
        <f aca="false">IF($A792="","",INDEX(Workers!$B$5:$B$2004,MATCH($A792,Workers!$A$5:$A$2004,0)))</f>
        <v/>
      </c>
      <c r="C792" s="24" t="str">
        <f aca="false">IF($A792="","",INDEX(Workers!$E$5:$E$2004,MATCH($A792,Workers!$A$5:$A$2004,0)))</f>
        <v/>
      </c>
      <c r="D792" s="24" t="str">
        <f aca="false">IF($A792="","",INDEX(Workers!$K$5:$K$2004,MATCH($A792,Workers!$A$5:$A$2004,0)))</f>
        <v/>
      </c>
      <c r="E792" s="25" t="str">
        <f aca="false">IF($A792="","",SUMIFS(Timesheet!$E$5:$E$3004,Timesheet!$D$5:$D$3004,$A792,Timesheet!$A$5:$A$3004,"&gt;="&amp;Settings!$B$8,Timesheet!$A$5:$A$3004,"&lt;="&amp;Settings!$B$9))</f>
        <v/>
      </c>
      <c r="F792" s="25" t="str">
        <f aca="false">IF($A792="","",SUMIFS(Timesheet!$F$5:$F$3004,Timesheet!$D$5:$D$3004,$A792,Timesheet!$A$5:$A$3004,"&gt;="&amp;Settings!$B$8,Timesheet!$A$5:$A$3004,"&lt;="&amp;Settings!$B$9))</f>
        <v/>
      </c>
      <c r="G792" s="25" t="str">
        <f aca="false">IF($A792="","",SUMIFS(Timesheet!$G$5:$G$3004,Timesheet!$D$5:$D$3004,$A792,Timesheet!$A$5:$A$3004,"&gt;="&amp;Settings!$B$8,Timesheet!$A$5:$A$3004,"&lt;="&amp;Settings!$B$9))</f>
        <v/>
      </c>
      <c r="H792" s="25" t="str">
        <f aca="false">IF($A792="","",IF(D792="Monthly",MAX(0,Settings!$B$11-E792),0))</f>
        <v/>
      </c>
      <c r="I792" s="26" t="str">
        <f aca="false">IF($A792="","",N(INDEX(Workers!$L$5:$L$2004,MATCH($A792,Workers!$A$5:$A$2004,0))))</f>
        <v/>
      </c>
      <c r="J792" s="26" t="str">
        <f aca="false">IF($A792="","",N(INDEX(Workers!$M$5:$M$2004,MATCH($A792,Workers!$A$5:$A$2004,0))))</f>
        <v/>
      </c>
      <c r="K792" s="26" t="str">
        <f aca="false">IF($A792="","",IF(D792="Monthly",ROUND(MAX(0,(I792+J792)-(I792+J792)/Settings!$B$10*H792),2),0))</f>
        <v/>
      </c>
      <c r="L792" s="26" t="str">
        <f aca="false">IF($A792="","",IF(D792="Hourly",ROUND(F792*N(INDEX(Workers!$N$5:$N$2004,MATCH($A792,Workers!$A$5:$A$2004,0))),2),0))</f>
        <v/>
      </c>
      <c r="M792" s="26" t="str">
        <f aca="false">IF($A792="","",ROUND(G792*IF(D792="Hourly",N(INDEX(Workers!$N$5:$N$2004,MATCH($A792,Workers!$A$5:$A$2004,0))),I792/Settings!$B$10/Settings!$B$12)*Settings!$B$13,2))</f>
        <v/>
      </c>
      <c r="N792" s="26" t="str">
        <f aca="false">IF($A792="","",K792+L792+M792)</f>
        <v/>
      </c>
      <c r="O792" s="26" t="str">
        <f aca="false">IF($A792="","",SUMIFS(Deductions!$D$5:$D$2000,Deductions!$B$5:$B$2000,$A792,Deductions!$C$5:$C$2000,"Advance",Deductions!$E$5:$E$2000,"&gt;="&amp;Settings!$B$8,Deductions!$E$5:$E$2000,"&lt;="&amp;Settings!$B$9))</f>
        <v/>
      </c>
      <c r="P792" s="26" t="str">
        <f aca="false">IF($A792="","",SUMIFS(Deductions!$D$5:$D$2000,Deductions!$B$5:$B$2000,$A792,Deductions!$E$5:$E$2000,"&gt;="&amp;Settings!$B$8,Deductions!$E$5:$E$2000,"&lt;="&amp;Settings!$B$9)-O792)</f>
        <v/>
      </c>
      <c r="Q792" s="26" t="str">
        <f aca="false">IF($A792="","",O792+P792)</f>
        <v/>
      </c>
      <c r="R792" s="23" t="str">
        <f aca="false">IF($A792="","",N792-Q792)</f>
        <v/>
      </c>
      <c r="S792" s="24" t="str">
        <f aca="false">IF($A792="","",INDEX(Workers!$O$5:$O$2004,MATCH($A792,Workers!$A$5:$A$2004,0))&amp;"")</f>
        <v/>
      </c>
      <c r="T792" s="24" t="str">
        <f aca="false">IF($A792="","",INDEX(Workers!$P$5:$P$2004,MATCH($A792,Workers!$A$5:$A$2004,0))&amp;"")</f>
        <v/>
      </c>
      <c r="U792" s="24" t="str">
        <f aca="false">IF($A792="","",INDEX(Workers!$H$5:$H$2004,MATCH($A792,Workers!$A$5:$A$2004,0))&amp;"")</f>
        <v/>
      </c>
    </row>
    <row r="793" customFormat="false" ht="15" hidden="false" customHeight="false" outlineLevel="0" collapsed="false">
      <c r="A793" s="24" t="str">
        <f aca="false">IFERROR(INDEX(Workers!$A$5:$A$2004,MATCH(ROW()-4,Workers!$U$5:$U$2004,0)),"")</f>
        <v/>
      </c>
      <c r="B793" s="24" t="str">
        <f aca="false">IF($A793="","",INDEX(Workers!$B$5:$B$2004,MATCH($A793,Workers!$A$5:$A$2004,0)))</f>
        <v/>
      </c>
      <c r="C793" s="24" t="str">
        <f aca="false">IF($A793="","",INDEX(Workers!$E$5:$E$2004,MATCH($A793,Workers!$A$5:$A$2004,0)))</f>
        <v/>
      </c>
      <c r="D793" s="24" t="str">
        <f aca="false">IF($A793="","",INDEX(Workers!$K$5:$K$2004,MATCH($A793,Workers!$A$5:$A$2004,0)))</f>
        <v/>
      </c>
      <c r="E793" s="25" t="str">
        <f aca="false">IF($A793="","",SUMIFS(Timesheet!$E$5:$E$3004,Timesheet!$D$5:$D$3004,$A793,Timesheet!$A$5:$A$3004,"&gt;="&amp;Settings!$B$8,Timesheet!$A$5:$A$3004,"&lt;="&amp;Settings!$B$9))</f>
        <v/>
      </c>
      <c r="F793" s="25" t="str">
        <f aca="false">IF($A793="","",SUMIFS(Timesheet!$F$5:$F$3004,Timesheet!$D$5:$D$3004,$A793,Timesheet!$A$5:$A$3004,"&gt;="&amp;Settings!$B$8,Timesheet!$A$5:$A$3004,"&lt;="&amp;Settings!$B$9))</f>
        <v/>
      </c>
      <c r="G793" s="25" t="str">
        <f aca="false">IF($A793="","",SUMIFS(Timesheet!$G$5:$G$3004,Timesheet!$D$5:$D$3004,$A793,Timesheet!$A$5:$A$3004,"&gt;="&amp;Settings!$B$8,Timesheet!$A$5:$A$3004,"&lt;="&amp;Settings!$B$9))</f>
        <v/>
      </c>
      <c r="H793" s="25" t="str">
        <f aca="false">IF($A793="","",IF(D793="Monthly",MAX(0,Settings!$B$11-E793),0))</f>
        <v/>
      </c>
      <c r="I793" s="26" t="str">
        <f aca="false">IF($A793="","",N(INDEX(Workers!$L$5:$L$2004,MATCH($A793,Workers!$A$5:$A$2004,0))))</f>
        <v/>
      </c>
      <c r="J793" s="26" t="str">
        <f aca="false">IF($A793="","",N(INDEX(Workers!$M$5:$M$2004,MATCH($A793,Workers!$A$5:$A$2004,0))))</f>
        <v/>
      </c>
      <c r="K793" s="26" t="str">
        <f aca="false">IF($A793="","",IF(D793="Monthly",ROUND(MAX(0,(I793+J793)-(I793+J793)/Settings!$B$10*H793),2),0))</f>
        <v/>
      </c>
      <c r="L793" s="26" t="str">
        <f aca="false">IF($A793="","",IF(D793="Hourly",ROUND(F793*N(INDEX(Workers!$N$5:$N$2004,MATCH($A793,Workers!$A$5:$A$2004,0))),2),0))</f>
        <v/>
      </c>
      <c r="M793" s="26" t="str">
        <f aca="false">IF($A793="","",ROUND(G793*IF(D793="Hourly",N(INDEX(Workers!$N$5:$N$2004,MATCH($A793,Workers!$A$5:$A$2004,0))),I793/Settings!$B$10/Settings!$B$12)*Settings!$B$13,2))</f>
        <v/>
      </c>
      <c r="N793" s="26" t="str">
        <f aca="false">IF($A793="","",K793+L793+M793)</f>
        <v/>
      </c>
      <c r="O793" s="26" t="str">
        <f aca="false">IF($A793="","",SUMIFS(Deductions!$D$5:$D$2000,Deductions!$B$5:$B$2000,$A793,Deductions!$C$5:$C$2000,"Advance",Deductions!$E$5:$E$2000,"&gt;="&amp;Settings!$B$8,Deductions!$E$5:$E$2000,"&lt;="&amp;Settings!$B$9))</f>
        <v/>
      </c>
      <c r="P793" s="26" t="str">
        <f aca="false">IF($A793="","",SUMIFS(Deductions!$D$5:$D$2000,Deductions!$B$5:$B$2000,$A793,Deductions!$E$5:$E$2000,"&gt;="&amp;Settings!$B$8,Deductions!$E$5:$E$2000,"&lt;="&amp;Settings!$B$9)-O793)</f>
        <v/>
      </c>
      <c r="Q793" s="26" t="str">
        <f aca="false">IF($A793="","",O793+P793)</f>
        <v/>
      </c>
      <c r="R793" s="23" t="str">
        <f aca="false">IF($A793="","",N793-Q793)</f>
        <v/>
      </c>
      <c r="S793" s="24" t="str">
        <f aca="false">IF($A793="","",INDEX(Workers!$O$5:$O$2004,MATCH($A793,Workers!$A$5:$A$2004,0))&amp;"")</f>
        <v/>
      </c>
      <c r="T793" s="24" t="str">
        <f aca="false">IF($A793="","",INDEX(Workers!$P$5:$P$2004,MATCH($A793,Workers!$A$5:$A$2004,0))&amp;"")</f>
        <v/>
      </c>
      <c r="U793" s="24" t="str">
        <f aca="false">IF($A793="","",INDEX(Workers!$H$5:$H$2004,MATCH($A793,Workers!$A$5:$A$2004,0))&amp;"")</f>
        <v/>
      </c>
    </row>
    <row r="794" customFormat="false" ht="15" hidden="false" customHeight="false" outlineLevel="0" collapsed="false">
      <c r="A794" s="24" t="str">
        <f aca="false">IFERROR(INDEX(Workers!$A$5:$A$2004,MATCH(ROW()-4,Workers!$U$5:$U$2004,0)),"")</f>
        <v/>
      </c>
      <c r="B794" s="24" t="str">
        <f aca="false">IF($A794="","",INDEX(Workers!$B$5:$B$2004,MATCH($A794,Workers!$A$5:$A$2004,0)))</f>
        <v/>
      </c>
      <c r="C794" s="24" t="str">
        <f aca="false">IF($A794="","",INDEX(Workers!$E$5:$E$2004,MATCH($A794,Workers!$A$5:$A$2004,0)))</f>
        <v/>
      </c>
      <c r="D794" s="24" t="str">
        <f aca="false">IF($A794="","",INDEX(Workers!$K$5:$K$2004,MATCH($A794,Workers!$A$5:$A$2004,0)))</f>
        <v/>
      </c>
      <c r="E794" s="25" t="str">
        <f aca="false">IF($A794="","",SUMIFS(Timesheet!$E$5:$E$3004,Timesheet!$D$5:$D$3004,$A794,Timesheet!$A$5:$A$3004,"&gt;="&amp;Settings!$B$8,Timesheet!$A$5:$A$3004,"&lt;="&amp;Settings!$B$9))</f>
        <v/>
      </c>
      <c r="F794" s="25" t="str">
        <f aca="false">IF($A794="","",SUMIFS(Timesheet!$F$5:$F$3004,Timesheet!$D$5:$D$3004,$A794,Timesheet!$A$5:$A$3004,"&gt;="&amp;Settings!$B$8,Timesheet!$A$5:$A$3004,"&lt;="&amp;Settings!$B$9))</f>
        <v/>
      </c>
      <c r="G794" s="25" t="str">
        <f aca="false">IF($A794="","",SUMIFS(Timesheet!$G$5:$G$3004,Timesheet!$D$5:$D$3004,$A794,Timesheet!$A$5:$A$3004,"&gt;="&amp;Settings!$B$8,Timesheet!$A$5:$A$3004,"&lt;="&amp;Settings!$B$9))</f>
        <v/>
      </c>
      <c r="H794" s="25" t="str">
        <f aca="false">IF($A794="","",IF(D794="Monthly",MAX(0,Settings!$B$11-E794),0))</f>
        <v/>
      </c>
      <c r="I794" s="26" t="str">
        <f aca="false">IF($A794="","",N(INDEX(Workers!$L$5:$L$2004,MATCH($A794,Workers!$A$5:$A$2004,0))))</f>
        <v/>
      </c>
      <c r="J794" s="26" t="str">
        <f aca="false">IF($A794="","",N(INDEX(Workers!$M$5:$M$2004,MATCH($A794,Workers!$A$5:$A$2004,0))))</f>
        <v/>
      </c>
      <c r="K794" s="26" t="str">
        <f aca="false">IF($A794="","",IF(D794="Monthly",ROUND(MAX(0,(I794+J794)-(I794+J794)/Settings!$B$10*H794),2),0))</f>
        <v/>
      </c>
      <c r="L794" s="26" t="str">
        <f aca="false">IF($A794="","",IF(D794="Hourly",ROUND(F794*N(INDEX(Workers!$N$5:$N$2004,MATCH($A794,Workers!$A$5:$A$2004,0))),2),0))</f>
        <v/>
      </c>
      <c r="M794" s="26" t="str">
        <f aca="false">IF($A794="","",ROUND(G794*IF(D794="Hourly",N(INDEX(Workers!$N$5:$N$2004,MATCH($A794,Workers!$A$5:$A$2004,0))),I794/Settings!$B$10/Settings!$B$12)*Settings!$B$13,2))</f>
        <v/>
      </c>
      <c r="N794" s="26" t="str">
        <f aca="false">IF($A794="","",K794+L794+M794)</f>
        <v/>
      </c>
      <c r="O794" s="26" t="str">
        <f aca="false">IF($A794="","",SUMIFS(Deductions!$D$5:$D$2000,Deductions!$B$5:$B$2000,$A794,Deductions!$C$5:$C$2000,"Advance",Deductions!$E$5:$E$2000,"&gt;="&amp;Settings!$B$8,Deductions!$E$5:$E$2000,"&lt;="&amp;Settings!$B$9))</f>
        <v/>
      </c>
      <c r="P794" s="26" t="str">
        <f aca="false">IF($A794="","",SUMIFS(Deductions!$D$5:$D$2000,Deductions!$B$5:$B$2000,$A794,Deductions!$E$5:$E$2000,"&gt;="&amp;Settings!$B$8,Deductions!$E$5:$E$2000,"&lt;="&amp;Settings!$B$9)-O794)</f>
        <v/>
      </c>
      <c r="Q794" s="26" t="str">
        <f aca="false">IF($A794="","",O794+P794)</f>
        <v/>
      </c>
      <c r="R794" s="23" t="str">
        <f aca="false">IF($A794="","",N794-Q794)</f>
        <v/>
      </c>
      <c r="S794" s="24" t="str">
        <f aca="false">IF($A794="","",INDEX(Workers!$O$5:$O$2004,MATCH($A794,Workers!$A$5:$A$2004,0))&amp;"")</f>
        <v/>
      </c>
      <c r="T794" s="24" t="str">
        <f aca="false">IF($A794="","",INDEX(Workers!$P$5:$P$2004,MATCH($A794,Workers!$A$5:$A$2004,0))&amp;"")</f>
        <v/>
      </c>
      <c r="U794" s="24" t="str">
        <f aca="false">IF($A794="","",INDEX(Workers!$H$5:$H$2004,MATCH($A794,Workers!$A$5:$A$2004,0))&amp;"")</f>
        <v/>
      </c>
    </row>
    <row r="795" customFormat="false" ht="15" hidden="false" customHeight="false" outlineLevel="0" collapsed="false">
      <c r="A795" s="24" t="str">
        <f aca="false">IFERROR(INDEX(Workers!$A$5:$A$2004,MATCH(ROW()-4,Workers!$U$5:$U$2004,0)),"")</f>
        <v/>
      </c>
      <c r="B795" s="24" t="str">
        <f aca="false">IF($A795="","",INDEX(Workers!$B$5:$B$2004,MATCH($A795,Workers!$A$5:$A$2004,0)))</f>
        <v/>
      </c>
      <c r="C795" s="24" t="str">
        <f aca="false">IF($A795="","",INDEX(Workers!$E$5:$E$2004,MATCH($A795,Workers!$A$5:$A$2004,0)))</f>
        <v/>
      </c>
      <c r="D795" s="24" t="str">
        <f aca="false">IF($A795="","",INDEX(Workers!$K$5:$K$2004,MATCH($A795,Workers!$A$5:$A$2004,0)))</f>
        <v/>
      </c>
      <c r="E795" s="25" t="str">
        <f aca="false">IF($A795="","",SUMIFS(Timesheet!$E$5:$E$3004,Timesheet!$D$5:$D$3004,$A795,Timesheet!$A$5:$A$3004,"&gt;="&amp;Settings!$B$8,Timesheet!$A$5:$A$3004,"&lt;="&amp;Settings!$B$9))</f>
        <v/>
      </c>
      <c r="F795" s="25" t="str">
        <f aca="false">IF($A795="","",SUMIFS(Timesheet!$F$5:$F$3004,Timesheet!$D$5:$D$3004,$A795,Timesheet!$A$5:$A$3004,"&gt;="&amp;Settings!$B$8,Timesheet!$A$5:$A$3004,"&lt;="&amp;Settings!$B$9))</f>
        <v/>
      </c>
      <c r="G795" s="25" t="str">
        <f aca="false">IF($A795="","",SUMIFS(Timesheet!$G$5:$G$3004,Timesheet!$D$5:$D$3004,$A795,Timesheet!$A$5:$A$3004,"&gt;="&amp;Settings!$B$8,Timesheet!$A$5:$A$3004,"&lt;="&amp;Settings!$B$9))</f>
        <v/>
      </c>
      <c r="H795" s="25" t="str">
        <f aca="false">IF($A795="","",IF(D795="Monthly",MAX(0,Settings!$B$11-E795),0))</f>
        <v/>
      </c>
      <c r="I795" s="26" t="str">
        <f aca="false">IF($A795="","",N(INDEX(Workers!$L$5:$L$2004,MATCH($A795,Workers!$A$5:$A$2004,0))))</f>
        <v/>
      </c>
      <c r="J795" s="26" t="str">
        <f aca="false">IF($A795="","",N(INDEX(Workers!$M$5:$M$2004,MATCH($A795,Workers!$A$5:$A$2004,0))))</f>
        <v/>
      </c>
      <c r="K795" s="26" t="str">
        <f aca="false">IF($A795="","",IF(D795="Monthly",ROUND(MAX(0,(I795+J795)-(I795+J795)/Settings!$B$10*H795),2),0))</f>
        <v/>
      </c>
      <c r="L795" s="26" t="str">
        <f aca="false">IF($A795="","",IF(D795="Hourly",ROUND(F795*N(INDEX(Workers!$N$5:$N$2004,MATCH($A795,Workers!$A$5:$A$2004,0))),2),0))</f>
        <v/>
      </c>
      <c r="M795" s="26" t="str">
        <f aca="false">IF($A795="","",ROUND(G795*IF(D795="Hourly",N(INDEX(Workers!$N$5:$N$2004,MATCH($A795,Workers!$A$5:$A$2004,0))),I795/Settings!$B$10/Settings!$B$12)*Settings!$B$13,2))</f>
        <v/>
      </c>
      <c r="N795" s="26" t="str">
        <f aca="false">IF($A795="","",K795+L795+M795)</f>
        <v/>
      </c>
      <c r="O795" s="26" t="str">
        <f aca="false">IF($A795="","",SUMIFS(Deductions!$D$5:$D$2000,Deductions!$B$5:$B$2000,$A795,Deductions!$C$5:$C$2000,"Advance",Deductions!$E$5:$E$2000,"&gt;="&amp;Settings!$B$8,Deductions!$E$5:$E$2000,"&lt;="&amp;Settings!$B$9))</f>
        <v/>
      </c>
      <c r="P795" s="26" t="str">
        <f aca="false">IF($A795="","",SUMIFS(Deductions!$D$5:$D$2000,Deductions!$B$5:$B$2000,$A795,Deductions!$E$5:$E$2000,"&gt;="&amp;Settings!$B$8,Deductions!$E$5:$E$2000,"&lt;="&amp;Settings!$B$9)-O795)</f>
        <v/>
      </c>
      <c r="Q795" s="26" t="str">
        <f aca="false">IF($A795="","",O795+P795)</f>
        <v/>
      </c>
      <c r="R795" s="23" t="str">
        <f aca="false">IF($A795="","",N795-Q795)</f>
        <v/>
      </c>
      <c r="S795" s="24" t="str">
        <f aca="false">IF($A795="","",INDEX(Workers!$O$5:$O$2004,MATCH($A795,Workers!$A$5:$A$2004,0))&amp;"")</f>
        <v/>
      </c>
      <c r="T795" s="24" t="str">
        <f aca="false">IF($A795="","",INDEX(Workers!$P$5:$P$2004,MATCH($A795,Workers!$A$5:$A$2004,0))&amp;"")</f>
        <v/>
      </c>
      <c r="U795" s="24" t="str">
        <f aca="false">IF($A795="","",INDEX(Workers!$H$5:$H$2004,MATCH($A795,Workers!$A$5:$A$2004,0))&amp;"")</f>
        <v/>
      </c>
    </row>
    <row r="796" customFormat="false" ht="15" hidden="false" customHeight="false" outlineLevel="0" collapsed="false">
      <c r="A796" s="24" t="str">
        <f aca="false">IFERROR(INDEX(Workers!$A$5:$A$2004,MATCH(ROW()-4,Workers!$U$5:$U$2004,0)),"")</f>
        <v/>
      </c>
      <c r="B796" s="24" t="str">
        <f aca="false">IF($A796="","",INDEX(Workers!$B$5:$B$2004,MATCH($A796,Workers!$A$5:$A$2004,0)))</f>
        <v/>
      </c>
      <c r="C796" s="24" t="str">
        <f aca="false">IF($A796="","",INDEX(Workers!$E$5:$E$2004,MATCH($A796,Workers!$A$5:$A$2004,0)))</f>
        <v/>
      </c>
      <c r="D796" s="24" t="str">
        <f aca="false">IF($A796="","",INDEX(Workers!$K$5:$K$2004,MATCH($A796,Workers!$A$5:$A$2004,0)))</f>
        <v/>
      </c>
      <c r="E796" s="25" t="str">
        <f aca="false">IF($A796="","",SUMIFS(Timesheet!$E$5:$E$3004,Timesheet!$D$5:$D$3004,$A796,Timesheet!$A$5:$A$3004,"&gt;="&amp;Settings!$B$8,Timesheet!$A$5:$A$3004,"&lt;="&amp;Settings!$B$9))</f>
        <v/>
      </c>
      <c r="F796" s="25" t="str">
        <f aca="false">IF($A796="","",SUMIFS(Timesheet!$F$5:$F$3004,Timesheet!$D$5:$D$3004,$A796,Timesheet!$A$5:$A$3004,"&gt;="&amp;Settings!$B$8,Timesheet!$A$5:$A$3004,"&lt;="&amp;Settings!$B$9))</f>
        <v/>
      </c>
      <c r="G796" s="25" t="str">
        <f aca="false">IF($A796="","",SUMIFS(Timesheet!$G$5:$G$3004,Timesheet!$D$5:$D$3004,$A796,Timesheet!$A$5:$A$3004,"&gt;="&amp;Settings!$B$8,Timesheet!$A$5:$A$3004,"&lt;="&amp;Settings!$B$9))</f>
        <v/>
      </c>
      <c r="H796" s="25" t="str">
        <f aca="false">IF($A796="","",IF(D796="Monthly",MAX(0,Settings!$B$11-E796),0))</f>
        <v/>
      </c>
      <c r="I796" s="26" t="str">
        <f aca="false">IF($A796="","",N(INDEX(Workers!$L$5:$L$2004,MATCH($A796,Workers!$A$5:$A$2004,0))))</f>
        <v/>
      </c>
      <c r="J796" s="26" t="str">
        <f aca="false">IF($A796="","",N(INDEX(Workers!$M$5:$M$2004,MATCH($A796,Workers!$A$5:$A$2004,0))))</f>
        <v/>
      </c>
      <c r="K796" s="26" t="str">
        <f aca="false">IF($A796="","",IF(D796="Monthly",ROUND(MAX(0,(I796+J796)-(I796+J796)/Settings!$B$10*H796),2),0))</f>
        <v/>
      </c>
      <c r="L796" s="26" t="str">
        <f aca="false">IF($A796="","",IF(D796="Hourly",ROUND(F796*N(INDEX(Workers!$N$5:$N$2004,MATCH($A796,Workers!$A$5:$A$2004,0))),2),0))</f>
        <v/>
      </c>
      <c r="M796" s="26" t="str">
        <f aca="false">IF($A796="","",ROUND(G796*IF(D796="Hourly",N(INDEX(Workers!$N$5:$N$2004,MATCH($A796,Workers!$A$5:$A$2004,0))),I796/Settings!$B$10/Settings!$B$12)*Settings!$B$13,2))</f>
        <v/>
      </c>
      <c r="N796" s="26" t="str">
        <f aca="false">IF($A796="","",K796+L796+M796)</f>
        <v/>
      </c>
      <c r="O796" s="26" t="str">
        <f aca="false">IF($A796="","",SUMIFS(Deductions!$D$5:$D$2000,Deductions!$B$5:$B$2000,$A796,Deductions!$C$5:$C$2000,"Advance",Deductions!$E$5:$E$2000,"&gt;="&amp;Settings!$B$8,Deductions!$E$5:$E$2000,"&lt;="&amp;Settings!$B$9))</f>
        <v/>
      </c>
      <c r="P796" s="26" t="str">
        <f aca="false">IF($A796="","",SUMIFS(Deductions!$D$5:$D$2000,Deductions!$B$5:$B$2000,$A796,Deductions!$E$5:$E$2000,"&gt;="&amp;Settings!$B$8,Deductions!$E$5:$E$2000,"&lt;="&amp;Settings!$B$9)-O796)</f>
        <v/>
      </c>
      <c r="Q796" s="26" t="str">
        <f aca="false">IF($A796="","",O796+P796)</f>
        <v/>
      </c>
      <c r="R796" s="23" t="str">
        <f aca="false">IF($A796="","",N796-Q796)</f>
        <v/>
      </c>
      <c r="S796" s="24" t="str">
        <f aca="false">IF($A796="","",INDEX(Workers!$O$5:$O$2004,MATCH($A796,Workers!$A$5:$A$2004,0))&amp;"")</f>
        <v/>
      </c>
      <c r="T796" s="24" t="str">
        <f aca="false">IF($A796="","",INDEX(Workers!$P$5:$P$2004,MATCH($A796,Workers!$A$5:$A$2004,0))&amp;"")</f>
        <v/>
      </c>
      <c r="U796" s="24" t="str">
        <f aca="false">IF($A796="","",INDEX(Workers!$H$5:$H$2004,MATCH($A796,Workers!$A$5:$A$2004,0))&amp;"")</f>
        <v/>
      </c>
    </row>
    <row r="797" customFormat="false" ht="15" hidden="false" customHeight="false" outlineLevel="0" collapsed="false">
      <c r="A797" s="24" t="str">
        <f aca="false">IFERROR(INDEX(Workers!$A$5:$A$2004,MATCH(ROW()-4,Workers!$U$5:$U$2004,0)),"")</f>
        <v/>
      </c>
      <c r="B797" s="24" t="str">
        <f aca="false">IF($A797="","",INDEX(Workers!$B$5:$B$2004,MATCH($A797,Workers!$A$5:$A$2004,0)))</f>
        <v/>
      </c>
      <c r="C797" s="24" t="str">
        <f aca="false">IF($A797="","",INDEX(Workers!$E$5:$E$2004,MATCH($A797,Workers!$A$5:$A$2004,0)))</f>
        <v/>
      </c>
      <c r="D797" s="24" t="str">
        <f aca="false">IF($A797="","",INDEX(Workers!$K$5:$K$2004,MATCH($A797,Workers!$A$5:$A$2004,0)))</f>
        <v/>
      </c>
      <c r="E797" s="25" t="str">
        <f aca="false">IF($A797="","",SUMIFS(Timesheet!$E$5:$E$3004,Timesheet!$D$5:$D$3004,$A797,Timesheet!$A$5:$A$3004,"&gt;="&amp;Settings!$B$8,Timesheet!$A$5:$A$3004,"&lt;="&amp;Settings!$B$9))</f>
        <v/>
      </c>
      <c r="F797" s="25" t="str">
        <f aca="false">IF($A797="","",SUMIFS(Timesheet!$F$5:$F$3004,Timesheet!$D$5:$D$3004,$A797,Timesheet!$A$5:$A$3004,"&gt;="&amp;Settings!$B$8,Timesheet!$A$5:$A$3004,"&lt;="&amp;Settings!$B$9))</f>
        <v/>
      </c>
      <c r="G797" s="25" t="str">
        <f aca="false">IF($A797="","",SUMIFS(Timesheet!$G$5:$G$3004,Timesheet!$D$5:$D$3004,$A797,Timesheet!$A$5:$A$3004,"&gt;="&amp;Settings!$B$8,Timesheet!$A$5:$A$3004,"&lt;="&amp;Settings!$B$9))</f>
        <v/>
      </c>
      <c r="H797" s="25" t="str">
        <f aca="false">IF($A797="","",IF(D797="Monthly",MAX(0,Settings!$B$11-E797),0))</f>
        <v/>
      </c>
      <c r="I797" s="26" t="str">
        <f aca="false">IF($A797="","",N(INDEX(Workers!$L$5:$L$2004,MATCH($A797,Workers!$A$5:$A$2004,0))))</f>
        <v/>
      </c>
      <c r="J797" s="26" t="str">
        <f aca="false">IF($A797="","",N(INDEX(Workers!$M$5:$M$2004,MATCH($A797,Workers!$A$5:$A$2004,0))))</f>
        <v/>
      </c>
      <c r="K797" s="26" t="str">
        <f aca="false">IF($A797="","",IF(D797="Monthly",ROUND(MAX(0,(I797+J797)-(I797+J797)/Settings!$B$10*H797),2),0))</f>
        <v/>
      </c>
      <c r="L797" s="26" t="str">
        <f aca="false">IF($A797="","",IF(D797="Hourly",ROUND(F797*N(INDEX(Workers!$N$5:$N$2004,MATCH($A797,Workers!$A$5:$A$2004,0))),2),0))</f>
        <v/>
      </c>
      <c r="M797" s="26" t="str">
        <f aca="false">IF($A797="","",ROUND(G797*IF(D797="Hourly",N(INDEX(Workers!$N$5:$N$2004,MATCH($A797,Workers!$A$5:$A$2004,0))),I797/Settings!$B$10/Settings!$B$12)*Settings!$B$13,2))</f>
        <v/>
      </c>
      <c r="N797" s="26" t="str">
        <f aca="false">IF($A797="","",K797+L797+M797)</f>
        <v/>
      </c>
      <c r="O797" s="26" t="str">
        <f aca="false">IF($A797="","",SUMIFS(Deductions!$D$5:$D$2000,Deductions!$B$5:$B$2000,$A797,Deductions!$C$5:$C$2000,"Advance",Deductions!$E$5:$E$2000,"&gt;="&amp;Settings!$B$8,Deductions!$E$5:$E$2000,"&lt;="&amp;Settings!$B$9))</f>
        <v/>
      </c>
      <c r="P797" s="26" t="str">
        <f aca="false">IF($A797="","",SUMIFS(Deductions!$D$5:$D$2000,Deductions!$B$5:$B$2000,$A797,Deductions!$E$5:$E$2000,"&gt;="&amp;Settings!$B$8,Deductions!$E$5:$E$2000,"&lt;="&amp;Settings!$B$9)-O797)</f>
        <v/>
      </c>
      <c r="Q797" s="26" t="str">
        <f aca="false">IF($A797="","",O797+P797)</f>
        <v/>
      </c>
      <c r="R797" s="23" t="str">
        <f aca="false">IF($A797="","",N797-Q797)</f>
        <v/>
      </c>
      <c r="S797" s="24" t="str">
        <f aca="false">IF($A797="","",INDEX(Workers!$O$5:$O$2004,MATCH($A797,Workers!$A$5:$A$2004,0))&amp;"")</f>
        <v/>
      </c>
      <c r="T797" s="24" t="str">
        <f aca="false">IF($A797="","",INDEX(Workers!$P$5:$P$2004,MATCH($A797,Workers!$A$5:$A$2004,0))&amp;"")</f>
        <v/>
      </c>
      <c r="U797" s="24" t="str">
        <f aca="false">IF($A797="","",INDEX(Workers!$H$5:$H$2004,MATCH($A797,Workers!$A$5:$A$2004,0))&amp;"")</f>
        <v/>
      </c>
    </row>
    <row r="798" customFormat="false" ht="15" hidden="false" customHeight="false" outlineLevel="0" collapsed="false">
      <c r="A798" s="24" t="str">
        <f aca="false">IFERROR(INDEX(Workers!$A$5:$A$2004,MATCH(ROW()-4,Workers!$U$5:$U$2004,0)),"")</f>
        <v/>
      </c>
      <c r="B798" s="24" t="str">
        <f aca="false">IF($A798="","",INDEX(Workers!$B$5:$B$2004,MATCH($A798,Workers!$A$5:$A$2004,0)))</f>
        <v/>
      </c>
      <c r="C798" s="24" t="str">
        <f aca="false">IF($A798="","",INDEX(Workers!$E$5:$E$2004,MATCH($A798,Workers!$A$5:$A$2004,0)))</f>
        <v/>
      </c>
      <c r="D798" s="24" t="str">
        <f aca="false">IF($A798="","",INDEX(Workers!$K$5:$K$2004,MATCH($A798,Workers!$A$5:$A$2004,0)))</f>
        <v/>
      </c>
      <c r="E798" s="25" t="str">
        <f aca="false">IF($A798="","",SUMIFS(Timesheet!$E$5:$E$3004,Timesheet!$D$5:$D$3004,$A798,Timesheet!$A$5:$A$3004,"&gt;="&amp;Settings!$B$8,Timesheet!$A$5:$A$3004,"&lt;="&amp;Settings!$B$9))</f>
        <v/>
      </c>
      <c r="F798" s="25" t="str">
        <f aca="false">IF($A798="","",SUMIFS(Timesheet!$F$5:$F$3004,Timesheet!$D$5:$D$3004,$A798,Timesheet!$A$5:$A$3004,"&gt;="&amp;Settings!$B$8,Timesheet!$A$5:$A$3004,"&lt;="&amp;Settings!$B$9))</f>
        <v/>
      </c>
      <c r="G798" s="25" t="str">
        <f aca="false">IF($A798="","",SUMIFS(Timesheet!$G$5:$G$3004,Timesheet!$D$5:$D$3004,$A798,Timesheet!$A$5:$A$3004,"&gt;="&amp;Settings!$B$8,Timesheet!$A$5:$A$3004,"&lt;="&amp;Settings!$B$9))</f>
        <v/>
      </c>
      <c r="H798" s="25" t="str">
        <f aca="false">IF($A798="","",IF(D798="Monthly",MAX(0,Settings!$B$11-E798),0))</f>
        <v/>
      </c>
      <c r="I798" s="26" t="str">
        <f aca="false">IF($A798="","",N(INDEX(Workers!$L$5:$L$2004,MATCH($A798,Workers!$A$5:$A$2004,0))))</f>
        <v/>
      </c>
      <c r="J798" s="26" t="str">
        <f aca="false">IF($A798="","",N(INDEX(Workers!$M$5:$M$2004,MATCH($A798,Workers!$A$5:$A$2004,0))))</f>
        <v/>
      </c>
      <c r="K798" s="26" t="str">
        <f aca="false">IF($A798="","",IF(D798="Monthly",ROUND(MAX(0,(I798+J798)-(I798+J798)/Settings!$B$10*H798),2),0))</f>
        <v/>
      </c>
      <c r="L798" s="26" t="str">
        <f aca="false">IF($A798="","",IF(D798="Hourly",ROUND(F798*N(INDEX(Workers!$N$5:$N$2004,MATCH($A798,Workers!$A$5:$A$2004,0))),2),0))</f>
        <v/>
      </c>
      <c r="M798" s="26" t="str">
        <f aca="false">IF($A798="","",ROUND(G798*IF(D798="Hourly",N(INDEX(Workers!$N$5:$N$2004,MATCH($A798,Workers!$A$5:$A$2004,0))),I798/Settings!$B$10/Settings!$B$12)*Settings!$B$13,2))</f>
        <v/>
      </c>
      <c r="N798" s="26" t="str">
        <f aca="false">IF($A798="","",K798+L798+M798)</f>
        <v/>
      </c>
      <c r="O798" s="26" t="str">
        <f aca="false">IF($A798="","",SUMIFS(Deductions!$D$5:$D$2000,Deductions!$B$5:$B$2000,$A798,Deductions!$C$5:$C$2000,"Advance",Deductions!$E$5:$E$2000,"&gt;="&amp;Settings!$B$8,Deductions!$E$5:$E$2000,"&lt;="&amp;Settings!$B$9))</f>
        <v/>
      </c>
      <c r="P798" s="26" t="str">
        <f aca="false">IF($A798="","",SUMIFS(Deductions!$D$5:$D$2000,Deductions!$B$5:$B$2000,$A798,Deductions!$E$5:$E$2000,"&gt;="&amp;Settings!$B$8,Deductions!$E$5:$E$2000,"&lt;="&amp;Settings!$B$9)-O798)</f>
        <v/>
      </c>
      <c r="Q798" s="26" t="str">
        <f aca="false">IF($A798="","",O798+P798)</f>
        <v/>
      </c>
      <c r="R798" s="23" t="str">
        <f aca="false">IF($A798="","",N798-Q798)</f>
        <v/>
      </c>
      <c r="S798" s="24" t="str">
        <f aca="false">IF($A798="","",INDEX(Workers!$O$5:$O$2004,MATCH($A798,Workers!$A$5:$A$2004,0))&amp;"")</f>
        <v/>
      </c>
      <c r="T798" s="24" t="str">
        <f aca="false">IF($A798="","",INDEX(Workers!$P$5:$P$2004,MATCH($A798,Workers!$A$5:$A$2004,0))&amp;"")</f>
        <v/>
      </c>
      <c r="U798" s="24" t="str">
        <f aca="false">IF($A798="","",INDEX(Workers!$H$5:$H$2004,MATCH($A798,Workers!$A$5:$A$2004,0))&amp;"")</f>
        <v/>
      </c>
    </row>
    <row r="799" customFormat="false" ht="15" hidden="false" customHeight="false" outlineLevel="0" collapsed="false">
      <c r="A799" s="24" t="str">
        <f aca="false">IFERROR(INDEX(Workers!$A$5:$A$2004,MATCH(ROW()-4,Workers!$U$5:$U$2004,0)),"")</f>
        <v/>
      </c>
      <c r="B799" s="24" t="str">
        <f aca="false">IF($A799="","",INDEX(Workers!$B$5:$B$2004,MATCH($A799,Workers!$A$5:$A$2004,0)))</f>
        <v/>
      </c>
      <c r="C799" s="24" t="str">
        <f aca="false">IF($A799="","",INDEX(Workers!$E$5:$E$2004,MATCH($A799,Workers!$A$5:$A$2004,0)))</f>
        <v/>
      </c>
      <c r="D799" s="24" t="str">
        <f aca="false">IF($A799="","",INDEX(Workers!$K$5:$K$2004,MATCH($A799,Workers!$A$5:$A$2004,0)))</f>
        <v/>
      </c>
      <c r="E799" s="25" t="str">
        <f aca="false">IF($A799="","",SUMIFS(Timesheet!$E$5:$E$3004,Timesheet!$D$5:$D$3004,$A799,Timesheet!$A$5:$A$3004,"&gt;="&amp;Settings!$B$8,Timesheet!$A$5:$A$3004,"&lt;="&amp;Settings!$B$9))</f>
        <v/>
      </c>
      <c r="F799" s="25" t="str">
        <f aca="false">IF($A799="","",SUMIFS(Timesheet!$F$5:$F$3004,Timesheet!$D$5:$D$3004,$A799,Timesheet!$A$5:$A$3004,"&gt;="&amp;Settings!$B$8,Timesheet!$A$5:$A$3004,"&lt;="&amp;Settings!$B$9))</f>
        <v/>
      </c>
      <c r="G799" s="25" t="str">
        <f aca="false">IF($A799="","",SUMIFS(Timesheet!$G$5:$G$3004,Timesheet!$D$5:$D$3004,$A799,Timesheet!$A$5:$A$3004,"&gt;="&amp;Settings!$B$8,Timesheet!$A$5:$A$3004,"&lt;="&amp;Settings!$B$9))</f>
        <v/>
      </c>
      <c r="H799" s="25" t="str">
        <f aca="false">IF($A799="","",IF(D799="Monthly",MAX(0,Settings!$B$11-E799),0))</f>
        <v/>
      </c>
      <c r="I799" s="26" t="str">
        <f aca="false">IF($A799="","",N(INDEX(Workers!$L$5:$L$2004,MATCH($A799,Workers!$A$5:$A$2004,0))))</f>
        <v/>
      </c>
      <c r="J799" s="26" t="str">
        <f aca="false">IF($A799="","",N(INDEX(Workers!$M$5:$M$2004,MATCH($A799,Workers!$A$5:$A$2004,0))))</f>
        <v/>
      </c>
      <c r="K799" s="26" t="str">
        <f aca="false">IF($A799="","",IF(D799="Monthly",ROUND(MAX(0,(I799+J799)-(I799+J799)/Settings!$B$10*H799),2),0))</f>
        <v/>
      </c>
      <c r="L799" s="26" t="str">
        <f aca="false">IF($A799="","",IF(D799="Hourly",ROUND(F799*N(INDEX(Workers!$N$5:$N$2004,MATCH($A799,Workers!$A$5:$A$2004,0))),2),0))</f>
        <v/>
      </c>
      <c r="M799" s="26" t="str">
        <f aca="false">IF($A799="","",ROUND(G799*IF(D799="Hourly",N(INDEX(Workers!$N$5:$N$2004,MATCH($A799,Workers!$A$5:$A$2004,0))),I799/Settings!$B$10/Settings!$B$12)*Settings!$B$13,2))</f>
        <v/>
      </c>
      <c r="N799" s="26" t="str">
        <f aca="false">IF($A799="","",K799+L799+M799)</f>
        <v/>
      </c>
      <c r="O799" s="26" t="str">
        <f aca="false">IF($A799="","",SUMIFS(Deductions!$D$5:$D$2000,Deductions!$B$5:$B$2000,$A799,Deductions!$C$5:$C$2000,"Advance",Deductions!$E$5:$E$2000,"&gt;="&amp;Settings!$B$8,Deductions!$E$5:$E$2000,"&lt;="&amp;Settings!$B$9))</f>
        <v/>
      </c>
      <c r="P799" s="26" t="str">
        <f aca="false">IF($A799="","",SUMIFS(Deductions!$D$5:$D$2000,Deductions!$B$5:$B$2000,$A799,Deductions!$E$5:$E$2000,"&gt;="&amp;Settings!$B$8,Deductions!$E$5:$E$2000,"&lt;="&amp;Settings!$B$9)-O799)</f>
        <v/>
      </c>
      <c r="Q799" s="26" t="str">
        <f aca="false">IF($A799="","",O799+P799)</f>
        <v/>
      </c>
      <c r="R799" s="23" t="str">
        <f aca="false">IF($A799="","",N799-Q799)</f>
        <v/>
      </c>
      <c r="S799" s="24" t="str">
        <f aca="false">IF($A799="","",INDEX(Workers!$O$5:$O$2004,MATCH($A799,Workers!$A$5:$A$2004,0))&amp;"")</f>
        <v/>
      </c>
      <c r="T799" s="24" t="str">
        <f aca="false">IF($A799="","",INDEX(Workers!$P$5:$P$2004,MATCH($A799,Workers!$A$5:$A$2004,0))&amp;"")</f>
        <v/>
      </c>
      <c r="U799" s="24" t="str">
        <f aca="false">IF($A799="","",INDEX(Workers!$H$5:$H$2004,MATCH($A799,Workers!$A$5:$A$2004,0))&amp;"")</f>
        <v/>
      </c>
    </row>
    <row r="800" customFormat="false" ht="15" hidden="false" customHeight="false" outlineLevel="0" collapsed="false">
      <c r="A800" s="24" t="str">
        <f aca="false">IFERROR(INDEX(Workers!$A$5:$A$2004,MATCH(ROW()-4,Workers!$U$5:$U$2004,0)),"")</f>
        <v/>
      </c>
      <c r="B800" s="24" t="str">
        <f aca="false">IF($A800="","",INDEX(Workers!$B$5:$B$2004,MATCH($A800,Workers!$A$5:$A$2004,0)))</f>
        <v/>
      </c>
      <c r="C800" s="24" t="str">
        <f aca="false">IF($A800="","",INDEX(Workers!$E$5:$E$2004,MATCH($A800,Workers!$A$5:$A$2004,0)))</f>
        <v/>
      </c>
      <c r="D800" s="24" t="str">
        <f aca="false">IF($A800="","",INDEX(Workers!$K$5:$K$2004,MATCH($A800,Workers!$A$5:$A$2004,0)))</f>
        <v/>
      </c>
      <c r="E800" s="25" t="str">
        <f aca="false">IF($A800="","",SUMIFS(Timesheet!$E$5:$E$3004,Timesheet!$D$5:$D$3004,$A800,Timesheet!$A$5:$A$3004,"&gt;="&amp;Settings!$B$8,Timesheet!$A$5:$A$3004,"&lt;="&amp;Settings!$B$9))</f>
        <v/>
      </c>
      <c r="F800" s="25" t="str">
        <f aca="false">IF($A800="","",SUMIFS(Timesheet!$F$5:$F$3004,Timesheet!$D$5:$D$3004,$A800,Timesheet!$A$5:$A$3004,"&gt;="&amp;Settings!$B$8,Timesheet!$A$5:$A$3004,"&lt;="&amp;Settings!$B$9))</f>
        <v/>
      </c>
      <c r="G800" s="25" t="str">
        <f aca="false">IF($A800="","",SUMIFS(Timesheet!$G$5:$G$3004,Timesheet!$D$5:$D$3004,$A800,Timesheet!$A$5:$A$3004,"&gt;="&amp;Settings!$B$8,Timesheet!$A$5:$A$3004,"&lt;="&amp;Settings!$B$9))</f>
        <v/>
      </c>
      <c r="H800" s="25" t="str">
        <f aca="false">IF($A800="","",IF(D800="Monthly",MAX(0,Settings!$B$11-E800),0))</f>
        <v/>
      </c>
      <c r="I800" s="26" t="str">
        <f aca="false">IF($A800="","",N(INDEX(Workers!$L$5:$L$2004,MATCH($A800,Workers!$A$5:$A$2004,0))))</f>
        <v/>
      </c>
      <c r="J800" s="26" t="str">
        <f aca="false">IF($A800="","",N(INDEX(Workers!$M$5:$M$2004,MATCH($A800,Workers!$A$5:$A$2004,0))))</f>
        <v/>
      </c>
      <c r="K800" s="26" t="str">
        <f aca="false">IF($A800="","",IF(D800="Monthly",ROUND(MAX(0,(I800+J800)-(I800+J800)/Settings!$B$10*H800),2),0))</f>
        <v/>
      </c>
      <c r="L800" s="26" t="str">
        <f aca="false">IF($A800="","",IF(D800="Hourly",ROUND(F800*N(INDEX(Workers!$N$5:$N$2004,MATCH($A800,Workers!$A$5:$A$2004,0))),2),0))</f>
        <v/>
      </c>
      <c r="M800" s="26" t="str">
        <f aca="false">IF($A800="","",ROUND(G800*IF(D800="Hourly",N(INDEX(Workers!$N$5:$N$2004,MATCH($A800,Workers!$A$5:$A$2004,0))),I800/Settings!$B$10/Settings!$B$12)*Settings!$B$13,2))</f>
        <v/>
      </c>
      <c r="N800" s="26" t="str">
        <f aca="false">IF($A800="","",K800+L800+M800)</f>
        <v/>
      </c>
      <c r="O800" s="26" t="str">
        <f aca="false">IF($A800="","",SUMIFS(Deductions!$D$5:$D$2000,Deductions!$B$5:$B$2000,$A800,Deductions!$C$5:$C$2000,"Advance",Deductions!$E$5:$E$2000,"&gt;="&amp;Settings!$B$8,Deductions!$E$5:$E$2000,"&lt;="&amp;Settings!$B$9))</f>
        <v/>
      </c>
      <c r="P800" s="26" t="str">
        <f aca="false">IF($A800="","",SUMIFS(Deductions!$D$5:$D$2000,Deductions!$B$5:$B$2000,$A800,Deductions!$E$5:$E$2000,"&gt;="&amp;Settings!$B$8,Deductions!$E$5:$E$2000,"&lt;="&amp;Settings!$B$9)-O800)</f>
        <v/>
      </c>
      <c r="Q800" s="26" t="str">
        <f aca="false">IF($A800="","",O800+P800)</f>
        <v/>
      </c>
      <c r="R800" s="23" t="str">
        <f aca="false">IF($A800="","",N800-Q800)</f>
        <v/>
      </c>
      <c r="S800" s="24" t="str">
        <f aca="false">IF($A800="","",INDEX(Workers!$O$5:$O$2004,MATCH($A800,Workers!$A$5:$A$2004,0))&amp;"")</f>
        <v/>
      </c>
      <c r="T800" s="24" t="str">
        <f aca="false">IF($A800="","",INDEX(Workers!$P$5:$P$2004,MATCH($A800,Workers!$A$5:$A$2004,0))&amp;"")</f>
        <v/>
      </c>
      <c r="U800" s="24" t="str">
        <f aca="false">IF($A800="","",INDEX(Workers!$H$5:$H$2004,MATCH($A800,Workers!$A$5:$A$2004,0))&amp;"")</f>
        <v/>
      </c>
    </row>
    <row r="801" customFormat="false" ht="15" hidden="false" customHeight="false" outlineLevel="0" collapsed="false">
      <c r="A801" s="24" t="str">
        <f aca="false">IFERROR(INDEX(Workers!$A$5:$A$2004,MATCH(ROW()-4,Workers!$U$5:$U$2004,0)),"")</f>
        <v/>
      </c>
      <c r="B801" s="24" t="str">
        <f aca="false">IF($A801="","",INDEX(Workers!$B$5:$B$2004,MATCH($A801,Workers!$A$5:$A$2004,0)))</f>
        <v/>
      </c>
      <c r="C801" s="24" t="str">
        <f aca="false">IF($A801="","",INDEX(Workers!$E$5:$E$2004,MATCH($A801,Workers!$A$5:$A$2004,0)))</f>
        <v/>
      </c>
      <c r="D801" s="24" t="str">
        <f aca="false">IF($A801="","",INDEX(Workers!$K$5:$K$2004,MATCH($A801,Workers!$A$5:$A$2004,0)))</f>
        <v/>
      </c>
      <c r="E801" s="25" t="str">
        <f aca="false">IF($A801="","",SUMIFS(Timesheet!$E$5:$E$3004,Timesheet!$D$5:$D$3004,$A801,Timesheet!$A$5:$A$3004,"&gt;="&amp;Settings!$B$8,Timesheet!$A$5:$A$3004,"&lt;="&amp;Settings!$B$9))</f>
        <v/>
      </c>
      <c r="F801" s="25" t="str">
        <f aca="false">IF($A801="","",SUMIFS(Timesheet!$F$5:$F$3004,Timesheet!$D$5:$D$3004,$A801,Timesheet!$A$5:$A$3004,"&gt;="&amp;Settings!$B$8,Timesheet!$A$5:$A$3004,"&lt;="&amp;Settings!$B$9))</f>
        <v/>
      </c>
      <c r="G801" s="25" t="str">
        <f aca="false">IF($A801="","",SUMIFS(Timesheet!$G$5:$G$3004,Timesheet!$D$5:$D$3004,$A801,Timesheet!$A$5:$A$3004,"&gt;="&amp;Settings!$B$8,Timesheet!$A$5:$A$3004,"&lt;="&amp;Settings!$B$9))</f>
        <v/>
      </c>
      <c r="H801" s="25" t="str">
        <f aca="false">IF($A801="","",IF(D801="Monthly",MAX(0,Settings!$B$11-E801),0))</f>
        <v/>
      </c>
      <c r="I801" s="26" t="str">
        <f aca="false">IF($A801="","",N(INDEX(Workers!$L$5:$L$2004,MATCH($A801,Workers!$A$5:$A$2004,0))))</f>
        <v/>
      </c>
      <c r="J801" s="26" t="str">
        <f aca="false">IF($A801="","",N(INDEX(Workers!$M$5:$M$2004,MATCH($A801,Workers!$A$5:$A$2004,0))))</f>
        <v/>
      </c>
      <c r="K801" s="26" t="str">
        <f aca="false">IF($A801="","",IF(D801="Monthly",ROUND(MAX(0,(I801+J801)-(I801+J801)/Settings!$B$10*H801),2),0))</f>
        <v/>
      </c>
      <c r="L801" s="26" t="str">
        <f aca="false">IF($A801="","",IF(D801="Hourly",ROUND(F801*N(INDEX(Workers!$N$5:$N$2004,MATCH($A801,Workers!$A$5:$A$2004,0))),2),0))</f>
        <v/>
      </c>
      <c r="M801" s="26" t="str">
        <f aca="false">IF($A801="","",ROUND(G801*IF(D801="Hourly",N(INDEX(Workers!$N$5:$N$2004,MATCH($A801,Workers!$A$5:$A$2004,0))),I801/Settings!$B$10/Settings!$B$12)*Settings!$B$13,2))</f>
        <v/>
      </c>
      <c r="N801" s="26" t="str">
        <f aca="false">IF($A801="","",K801+L801+M801)</f>
        <v/>
      </c>
      <c r="O801" s="26" t="str">
        <f aca="false">IF($A801="","",SUMIFS(Deductions!$D$5:$D$2000,Deductions!$B$5:$B$2000,$A801,Deductions!$C$5:$C$2000,"Advance",Deductions!$E$5:$E$2000,"&gt;="&amp;Settings!$B$8,Deductions!$E$5:$E$2000,"&lt;="&amp;Settings!$B$9))</f>
        <v/>
      </c>
      <c r="P801" s="26" t="str">
        <f aca="false">IF($A801="","",SUMIFS(Deductions!$D$5:$D$2000,Deductions!$B$5:$B$2000,$A801,Deductions!$E$5:$E$2000,"&gt;="&amp;Settings!$B$8,Deductions!$E$5:$E$2000,"&lt;="&amp;Settings!$B$9)-O801)</f>
        <v/>
      </c>
      <c r="Q801" s="26" t="str">
        <f aca="false">IF($A801="","",O801+P801)</f>
        <v/>
      </c>
      <c r="R801" s="23" t="str">
        <f aca="false">IF($A801="","",N801-Q801)</f>
        <v/>
      </c>
      <c r="S801" s="24" t="str">
        <f aca="false">IF($A801="","",INDEX(Workers!$O$5:$O$2004,MATCH($A801,Workers!$A$5:$A$2004,0))&amp;"")</f>
        <v/>
      </c>
      <c r="T801" s="24" t="str">
        <f aca="false">IF($A801="","",INDEX(Workers!$P$5:$P$2004,MATCH($A801,Workers!$A$5:$A$2004,0))&amp;"")</f>
        <v/>
      </c>
      <c r="U801" s="24" t="str">
        <f aca="false">IF($A801="","",INDEX(Workers!$H$5:$H$2004,MATCH($A801,Workers!$A$5:$A$2004,0))&amp;"")</f>
        <v/>
      </c>
    </row>
    <row r="802" customFormat="false" ht="15" hidden="false" customHeight="false" outlineLevel="0" collapsed="false">
      <c r="A802" s="24" t="str">
        <f aca="false">IFERROR(INDEX(Workers!$A$5:$A$2004,MATCH(ROW()-4,Workers!$U$5:$U$2004,0)),"")</f>
        <v/>
      </c>
      <c r="B802" s="24" t="str">
        <f aca="false">IF($A802="","",INDEX(Workers!$B$5:$B$2004,MATCH($A802,Workers!$A$5:$A$2004,0)))</f>
        <v/>
      </c>
      <c r="C802" s="24" t="str">
        <f aca="false">IF($A802="","",INDEX(Workers!$E$5:$E$2004,MATCH($A802,Workers!$A$5:$A$2004,0)))</f>
        <v/>
      </c>
      <c r="D802" s="24" t="str">
        <f aca="false">IF($A802="","",INDEX(Workers!$K$5:$K$2004,MATCH($A802,Workers!$A$5:$A$2004,0)))</f>
        <v/>
      </c>
      <c r="E802" s="25" t="str">
        <f aca="false">IF($A802="","",SUMIFS(Timesheet!$E$5:$E$3004,Timesheet!$D$5:$D$3004,$A802,Timesheet!$A$5:$A$3004,"&gt;="&amp;Settings!$B$8,Timesheet!$A$5:$A$3004,"&lt;="&amp;Settings!$B$9))</f>
        <v/>
      </c>
      <c r="F802" s="25" t="str">
        <f aca="false">IF($A802="","",SUMIFS(Timesheet!$F$5:$F$3004,Timesheet!$D$5:$D$3004,$A802,Timesheet!$A$5:$A$3004,"&gt;="&amp;Settings!$B$8,Timesheet!$A$5:$A$3004,"&lt;="&amp;Settings!$B$9))</f>
        <v/>
      </c>
      <c r="G802" s="25" t="str">
        <f aca="false">IF($A802="","",SUMIFS(Timesheet!$G$5:$G$3004,Timesheet!$D$5:$D$3004,$A802,Timesheet!$A$5:$A$3004,"&gt;="&amp;Settings!$B$8,Timesheet!$A$5:$A$3004,"&lt;="&amp;Settings!$B$9))</f>
        <v/>
      </c>
      <c r="H802" s="25" t="str">
        <f aca="false">IF($A802="","",IF(D802="Monthly",MAX(0,Settings!$B$11-E802),0))</f>
        <v/>
      </c>
      <c r="I802" s="26" t="str">
        <f aca="false">IF($A802="","",N(INDEX(Workers!$L$5:$L$2004,MATCH($A802,Workers!$A$5:$A$2004,0))))</f>
        <v/>
      </c>
      <c r="J802" s="26" t="str">
        <f aca="false">IF($A802="","",N(INDEX(Workers!$M$5:$M$2004,MATCH($A802,Workers!$A$5:$A$2004,0))))</f>
        <v/>
      </c>
      <c r="K802" s="26" t="str">
        <f aca="false">IF($A802="","",IF(D802="Monthly",ROUND(MAX(0,(I802+J802)-(I802+J802)/Settings!$B$10*H802),2),0))</f>
        <v/>
      </c>
      <c r="L802" s="26" t="str">
        <f aca="false">IF($A802="","",IF(D802="Hourly",ROUND(F802*N(INDEX(Workers!$N$5:$N$2004,MATCH($A802,Workers!$A$5:$A$2004,0))),2),0))</f>
        <v/>
      </c>
      <c r="M802" s="26" t="str">
        <f aca="false">IF($A802="","",ROUND(G802*IF(D802="Hourly",N(INDEX(Workers!$N$5:$N$2004,MATCH($A802,Workers!$A$5:$A$2004,0))),I802/Settings!$B$10/Settings!$B$12)*Settings!$B$13,2))</f>
        <v/>
      </c>
      <c r="N802" s="26" t="str">
        <f aca="false">IF($A802="","",K802+L802+M802)</f>
        <v/>
      </c>
      <c r="O802" s="26" t="str">
        <f aca="false">IF($A802="","",SUMIFS(Deductions!$D$5:$D$2000,Deductions!$B$5:$B$2000,$A802,Deductions!$C$5:$C$2000,"Advance",Deductions!$E$5:$E$2000,"&gt;="&amp;Settings!$B$8,Deductions!$E$5:$E$2000,"&lt;="&amp;Settings!$B$9))</f>
        <v/>
      </c>
      <c r="P802" s="26" t="str">
        <f aca="false">IF($A802="","",SUMIFS(Deductions!$D$5:$D$2000,Deductions!$B$5:$B$2000,$A802,Deductions!$E$5:$E$2000,"&gt;="&amp;Settings!$B$8,Deductions!$E$5:$E$2000,"&lt;="&amp;Settings!$B$9)-O802)</f>
        <v/>
      </c>
      <c r="Q802" s="26" t="str">
        <f aca="false">IF($A802="","",O802+P802)</f>
        <v/>
      </c>
      <c r="R802" s="23" t="str">
        <f aca="false">IF($A802="","",N802-Q802)</f>
        <v/>
      </c>
      <c r="S802" s="24" t="str">
        <f aca="false">IF($A802="","",INDEX(Workers!$O$5:$O$2004,MATCH($A802,Workers!$A$5:$A$2004,0))&amp;"")</f>
        <v/>
      </c>
      <c r="T802" s="24" t="str">
        <f aca="false">IF($A802="","",INDEX(Workers!$P$5:$P$2004,MATCH($A802,Workers!$A$5:$A$2004,0))&amp;"")</f>
        <v/>
      </c>
      <c r="U802" s="24" t="str">
        <f aca="false">IF($A802="","",INDEX(Workers!$H$5:$H$2004,MATCH($A802,Workers!$A$5:$A$2004,0))&amp;"")</f>
        <v/>
      </c>
    </row>
    <row r="803" customFormat="false" ht="15" hidden="false" customHeight="false" outlineLevel="0" collapsed="false">
      <c r="A803" s="24" t="str">
        <f aca="false">IFERROR(INDEX(Workers!$A$5:$A$2004,MATCH(ROW()-4,Workers!$U$5:$U$2004,0)),"")</f>
        <v/>
      </c>
      <c r="B803" s="24" t="str">
        <f aca="false">IF($A803="","",INDEX(Workers!$B$5:$B$2004,MATCH($A803,Workers!$A$5:$A$2004,0)))</f>
        <v/>
      </c>
      <c r="C803" s="24" t="str">
        <f aca="false">IF($A803="","",INDEX(Workers!$E$5:$E$2004,MATCH($A803,Workers!$A$5:$A$2004,0)))</f>
        <v/>
      </c>
      <c r="D803" s="24" t="str">
        <f aca="false">IF($A803="","",INDEX(Workers!$K$5:$K$2004,MATCH($A803,Workers!$A$5:$A$2004,0)))</f>
        <v/>
      </c>
      <c r="E803" s="25" t="str">
        <f aca="false">IF($A803="","",SUMIFS(Timesheet!$E$5:$E$3004,Timesheet!$D$5:$D$3004,$A803,Timesheet!$A$5:$A$3004,"&gt;="&amp;Settings!$B$8,Timesheet!$A$5:$A$3004,"&lt;="&amp;Settings!$B$9))</f>
        <v/>
      </c>
      <c r="F803" s="25" t="str">
        <f aca="false">IF($A803="","",SUMIFS(Timesheet!$F$5:$F$3004,Timesheet!$D$5:$D$3004,$A803,Timesheet!$A$5:$A$3004,"&gt;="&amp;Settings!$B$8,Timesheet!$A$5:$A$3004,"&lt;="&amp;Settings!$B$9))</f>
        <v/>
      </c>
      <c r="G803" s="25" t="str">
        <f aca="false">IF($A803="","",SUMIFS(Timesheet!$G$5:$G$3004,Timesheet!$D$5:$D$3004,$A803,Timesheet!$A$5:$A$3004,"&gt;="&amp;Settings!$B$8,Timesheet!$A$5:$A$3004,"&lt;="&amp;Settings!$B$9))</f>
        <v/>
      </c>
      <c r="H803" s="25" t="str">
        <f aca="false">IF($A803="","",IF(D803="Monthly",MAX(0,Settings!$B$11-E803),0))</f>
        <v/>
      </c>
      <c r="I803" s="26" t="str">
        <f aca="false">IF($A803="","",N(INDEX(Workers!$L$5:$L$2004,MATCH($A803,Workers!$A$5:$A$2004,0))))</f>
        <v/>
      </c>
      <c r="J803" s="26" t="str">
        <f aca="false">IF($A803="","",N(INDEX(Workers!$M$5:$M$2004,MATCH($A803,Workers!$A$5:$A$2004,0))))</f>
        <v/>
      </c>
      <c r="K803" s="26" t="str">
        <f aca="false">IF($A803="","",IF(D803="Monthly",ROUND(MAX(0,(I803+J803)-(I803+J803)/Settings!$B$10*H803),2),0))</f>
        <v/>
      </c>
      <c r="L803" s="26" t="str">
        <f aca="false">IF($A803="","",IF(D803="Hourly",ROUND(F803*N(INDEX(Workers!$N$5:$N$2004,MATCH($A803,Workers!$A$5:$A$2004,0))),2),0))</f>
        <v/>
      </c>
      <c r="M803" s="26" t="str">
        <f aca="false">IF($A803="","",ROUND(G803*IF(D803="Hourly",N(INDEX(Workers!$N$5:$N$2004,MATCH($A803,Workers!$A$5:$A$2004,0))),I803/Settings!$B$10/Settings!$B$12)*Settings!$B$13,2))</f>
        <v/>
      </c>
      <c r="N803" s="26" t="str">
        <f aca="false">IF($A803="","",K803+L803+M803)</f>
        <v/>
      </c>
      <c r="O803" s="26" t="str">
        <f aca="false">IF($A803="","",SUMIFS(Deductions!$D$5:$D$2000,Deductions!$B$5:$B$2000,$A803,Deductions!$C$5:$C$2000,"Advance",Deductions!$E$5:$E$2000,"&gt;="&amp;Settings!$B$8,Deductions!$E$5:$E$2000,"&lt;="&amp;Settings!$B$9))</f>
        <v/>
      </c>
      <c r="P803" s="26" t="str">
        <f aca="false">IF($A803="","",SUMIFS(Deductions!$D$5:$D$2000,Deductions!$B$5:$B$2000,$A803,Deductions!$E$5:$E$2000,"&gt;="&amp;Settings!$B$8,Deductions!$E$5:$E$2000,"&lt;="&amp;Settings!$B$9)-O803)</f>
        <v/>
      </c>
      <c r="Q803" s="26" t="str">
        <f aca="false">IF($A803="","",O803+P803)</f>
        <v/>
      </c>
      <c r="R803" s="23" t="str">
        <f aca="false">IF($A803="","",N803-Q803)</f>
        <v/>
      </c>
      <c r="S803" s="24" t="str">
        <f aca="false">IF($A803="","",INDEX(Workers!$O$5:$O$2004,MATCH($A803,Workers!$A$5:$A$2004,0))&amp;"")</f>
        <v/>
      </c>
      <c r="T803" s="24" t="str">
        <f aca="false">IF($A803="","",INDEX(Workers!$P$5:$P$2004,MATCH($A803,Workers!$A$5:$A$2004,0))&amp;"")</f>
        <v/>
      </c>
      <c r="U803" s="24" t="str">
        <f aca="false">IF($A803="","",INDEX(Workers!$H$5:$H$2004,MATCH($A803,Workers!$A$5:$A$2004,0))&amp;"")</f>
        <v/>
      </c>
    </row>
    <row r="804" customFormat="false" ht="15" hidden="false" customHeight="false" outlineLevel="0" collapsed="false">
      <c r="A804" s="24" t="str">
        <f aca="false">IFERROR(INDEX(Workers!$A$5:$A$2004,MATCH(ROW()-4,Workers!$U$5:$U$2004,0)),"")</f>
        <v/>
      </c>
      <c r="B804" s="24" t="str">
        <f aca="false">IF($A804="","",INDEX(Workers!$B$5:$B$2004,MATCH($A804,Workers!$A$5:$A$2004,0)))</f>
        <v/>
      </c>
      <c r="C804" s="24" t="str">
        <f aca="false">IF($A804="","",INDEX(Workers!$E$5:$E$2004,MATCH($A804,Workers!$A$5:$A$2004,0)))</f>
        <v/>
      </c>
      <c r="D804" s="24" t="str">
        <f aca="false">IF($A804="","",INDEX(Workers!$K$5:$K$2004,MATCH($A804,Workers!$A$5:$A$2004,0)))</f>
        <v/>
      </c>
      <c r="E804" s="25" t="str">
        <f aca="false">IF($A804="","",SUMIFS(Timesheet!$E$5:$E$3004,Timesheet!$D$5:$D$3004,$A804,Timesheet!$A$5:$A$3004,"&gt;="&amp;Settings!$B$8,Timesheet!$A$5:$A$3004,"&lt;="&amp;Settings!$B$9))</f>
        <v/>
      </c>
      <c r="F804" s="25" t="str">
        <f aca="false">IF($A804="","",SUMIFS(Timesheet!$F$5:$F$3004,Timesheet!$D$5:$D$3004,$A804,Timesheet!$A$5:$A$3004,"&gt;="&amp;Settings!$B$8,Timesheet!$A$5:$A$3004,"&lt;="&amp;Settings!$B$9))</f>
        <v/>
      </c>
      <c r="G804" s="25" t="str">
        <f aca="false">IF($A804="","",SUMIFS(Timesheet!$G$5:$G$3004,Timesheet!$D$5:$D$3004,$A804,Timesheet!$A$5:$A$3004,"&gt;="&amp;Settings!$B$8,Timesheet!$A$5:$A$3004,"&lt;="&amp;Settings!$B$9))</f>
        <v/>
      </c>
      <c r="H804" s="25" t="str">
        <f aca="false">IF($A804="","",IF(D804="Monthly",MAX(0,Settings!$B$11-E804),0))</f>
        <v/>
      </c>
      <c r="I804" s="26" t="str">
        <f aca="false">IF($A804="","",N(INDEX(Workers!$L$5:$L$2004,MATCH($A804,Workers!$A$5:$A$2004,0))))</f>
        <v/>
      </c>
      <c r="J804" s="26" t="str">
        <f aca="false">IF($A804="","",N(INDEX(Workers!$M$5:$M$2004,MATCH($A804,Workers!$A$5:$A$2004,0))))</f>
        <v/>
      </c>
      <c r="K804" s="26" t="str">
        <f aca="false">IF($A804="","",IF(D804="Monthly",ROUND(MAX(0,(I804+J804)-(I804+J804)/Settings!$B$10*H804),2),0))</f>
        <v/>
      </c>
      <c r="L804" s="26" t="str">
        <f aca="false">IF($A804="","",IF(D804="Hourly",ROUND(F804*N(INDEX(Workers!$N$5:$N$2004,MATCH($A804,Workers!$A$5:$A$2004,0))),2),0))</f>
        <v/>
      </c>
      <c r="M804" s="26" t="str">
        <f aca="false">IF($A804="","",ROUND(G804*IF(D804="Hourly",N(INDEX(Workers!$N$5:$N$2004,MATCH($A804,Workers!$A$5:$A$2004,0))),I804/Settings!$B$10/Settings!$B$12)*Settings!$B$13,2))</f>
        <v/>
      </c>
      <c r="N804" s="26" t="str">
        <f aca="false">IF($A804="","",K804+L804+M804)</f>
        <v/>
      </c>
      <c r="O804" s="26" t="str">
        <f aca="false">IF($A804="","",SUMIFS(Deductions!$D$5:$D$2000,Deductions!$B$5:$B$2000,$A804,Deductions!$C$5:$C$2000,"Advance",Deductions!$E$5:$E$2000,"&gt;="&amp;Settings!$B$8,Deductions!$E$5:$E$2000,"&lt;="&amp;Settings!$B$9))</f>
        <v/>
      </c>
      <c r="P804" s="26" t="str">
        <f aca="false">IF($A804="","",SUMIFS(Deductions!$D$5:$D$2000,Deductions!$B$5:$B$2000,$A804,Deductions!$E$5:$E$2000,"&gt;="&amp;Settings!$B$8,Deductions!$E$5:$E$2000,"&lt;="&amp;Settings!$B$9)-O804)</f>
        <v/>
      </c>
      <c r="Q804" s="26" t="str">
        <f aca="false">IF($A804="","",O804+P804)</f>
        <v/>
      </c>
      <c r="R804" s="23" t="str">
        <f aca="false">IF($A804="","",N804-Q804)</f>
        <v/>
      </c>
      <c r="S804" s="24" t="str">
        <f aca="false">IF($A804="","",INDEX(Workers!$O$5:$O$2004,MATCH($A804,Workers!$A$5:$A$2004,0))&amp;"")</f>
        <v/>
      </c>
      <c r="T804" s="24" t="str">
        <f aca="false">IF($A804="","",INDEX(Workers!$P$5:$P$2004,MATCH($A804,Workers!$A$5:$A$2004,0))&amp;"")</f>
        <v/>
      </c>
      <c r="U804" s="24" t="str">
        <f aca="false">IF($A804="","",INDEX(Workers!$H$5:$H$2004,MATCH($A804,Workers!$A$5:$A$2004,0))&amp;"")</f>
        <v/>
      </c>
    </row>
    <row r="805" customFormat="false" ht="15" hidden="false" customHeight="false" outlineLevel="0" collapsed="false">
      <c r="A805" s="24" t="str">
        <f aca="false">IFERROR(INDEX(Workers!$A$5:$A$2004,MATCH(ROW()-4,Workers!$U$5:$U$2004,0)),"")</f>
        <v/>
      </c>
      <c r="B805" s="24" t="str">
        <f aca="false">IF($A805="","",INDEX(Workers!$B$5:$B$2004,MATCH($A805,Workers!$A$5:$A$2004,0)))</f>
        <v/>
      </c>
      <c r="C805" s="24" t="str">
        <f aca="false">IF($A805="","",INDEX(Workers!$E$5:$E$2004,MATCH($A805,Workers!$A$5:$A$2004,0)))</f>
        <v/>
      </c>
      <c r="D805" s="24" t="str">
        <f aca="false">IF($A805="","",INDEX(Workers!$K$5:$K$2004,MATCH($A805,Workers!$A$5:$A$2004,0)))</f>
        <v/>
      </c>
      <c r="E805" s="25" t="str">
        <f aca="false">IF($A805="","",SUMIFS(Timesheet!$E$5:$E$3004,Timesheet!$D$5:$D$3004,$A805,Timesheet!$A$5:$A$3004,"&gt;="&amp;Settings!$B$8,Timesheet!$A$5:$A$3004,"&lt;="&amp;Settings!$B$9))</f>
        <v/>
      </c>
      <c r="F805" s="25" t="str">
        <f aca="false">IF($A805="","",SUMIFS(Timesheet!$F$5:$F$3004,Timesheet!$D$5:$D$3004,$A805,Timesheet!$A$5:$A$3004,"&gt;="&amp;Settings!$B$8,Timesheet!$A$5:$A$3004,"&lt;="&amp;Settings!$B$9))</f>
        <v/>
      </c>
      <c r="G805" s="25" t="str">
        <f aca="false">IF($A805="","",SUMIFS(Timesheet!$G$5:$G$3004,Timesheet!$D$5:$D$3004,$A805,Timesheet!$A$5:$A$3004,"&gt;="&amp;Settings!$B$8,Timesheet!$A$5:$A$3004,"&lt;="&amp;Settings!$B$9))</f>
        <v/>
      </c>
      <c r="H805" s="25" t="str">
        <f aca="false">IF($A805="","",IF(D805="Monthly",MAX(0,Settings!$B$11-E805),0))</f>
        <v/>
      </c>
      <c r="I805" s="26" t="str">
        <f aca="false">IF($A805="","",N(INDEX(Workers!$L$5:$L$2004,MATCH($A805,Workers!$A$5:$A$2004,0))))</f>
        <v/>
      </c>
      <c r="J805" s="26" t="str">
        <f aca="false">IF($A805="","",N(INDEX(Workers!$M$5:$M$2004,MATCH($A805,Workers!$A$5:$A$2004,0))))</f>
        <v/>
      </c>
      <c r="K805" s="26" t="str">
        <f aca="false">IF($A805="","",IF(D805="Monthly",ROUND(MAX(0,(I805+J805)-(I805+J805)/Settings!$B$10*H805),2),0))</f>
        <v/>
      </c>
      <c r="L805" s="26" t="str">
        <f aca="false">IF($A805="","",IF(D805="Hourly",ROUND(F805*N(INDEX(Workers!$N$5:$N$2004,MATCH($A805,Workers!$A$5:$A$2004,0))),2),0))</f>
        <v/>
      </c>
      <c r="M805" s="26" t="str">
        <f aca="false">IF($A805="","",ROUND(G805*IF(D805="Hourly",N(INDEX(Workers!$N$5:$N$2004,MATCH($A805,Workers!$A$5:$A$2004,0))),I805/Settings!$B$10/Settings!$B$12)*Settings!$B$13,2))</f>
        <v/>
      </c>
      <c r="N805" s="26" t="str">
        <f aca="false">IF($A805="","",K805+L805+M805)</f>
        <v/>
      </c>
      <c r="O805" s="26" t="str">
        <f aca="false">IF($A805="","",SUMIFS(Deductions!$D$5:$D$2000,Deductions!$B$5:$B$2000,$A805,Deductions!$C$5:$C$2000,"Advance",Deductions!$E$5:$E$2000,"&gt;="&amp;Settings!$B$8,Deductions!$E$5:$E$2000,"&lt;="&amp;Settings!$B$9))</f>
        <v/>
      </c>
      <c r="P805" s="26" t="str">
        <f aca="false">IF($A805="","",SUMIFS(Deductions!$D$5:$D$2000,Deductions!$B$5:$B$2000,$A805,Deductions!$E$5:$E$2000,"&gt;="&amp;Settings!$B$8,Deductions!$E$5:$E$2000,"&lt;="&amp;Settings!$B$9)-O805)</f>
        <v/>
      </c>
      <c r="Q805" s="26" t="str">
        <f aca="false">IF($A805="","",O805+P805)</f>
        <v/>
      </c>
      <c r="R805" s="23" t="str">
        <f aca="false">IF($A805="","",N805-Q805)</f>
        <v/>
      </c>
      <c r="S805" s="24" t="str">
        <f aca="false">IF($A805="","",INDEX(Workers!$O$5:$O$2004,MATCH($A805,Workers!$A$5:$A$2004,0))&amp;"")</f>
        <v/>
      </c>
      <c r="T805" s="24" t="str">
        <f aca="false">IF($A805="","",INDEX(Workers!$P$5:$P$2004,MATCH($A805,Workers!$A$5:$A$2004,0))&amp;"")</f>
        <v/>
      </c>
      <c r="U805" s="24" t="str">
        <f aca="false">IF($A805="","",INDEX(Workers!$H$5:$H$2004,MATCH($A805,Workers!$A$5:$A$2004,0))&amp;"")</f>
        <v/>
      </c>
    </row>
    <row r="806" customFormat="false" ht="15" hidden="false" customHeight="false" outlineLevel="0" collapsed="false">
      <c r="A806" s="24" t="str">
        <f aca="false">IFERROR(INDEX(Workers!$A$5:$A$2004,MATCH(ROW()-4,Workers!$U$5:$U$2004,0)),"")</f>
        <v/>
      </c>
      <c r="B806" s="24" t="str">
        <f aca="false">IF($A806="","",INDEX(Workers!$B$5:$B$2004,MATCH($A806,Workers!$A$5:$A$2004,0)))</f>
        <v/>
      </c>
      <c r="C806" s="24" t="str">
        <f aca="false">IF($A806="","",INDEX(Workers!$E$5:$E$2004,MATCH($A806,Workers!$A$5:$A$2004,0)))</f>
        <v/>
      </c>
      <c r="D806" s="24" t="str">
        <f aca="false">IF($A806="","",INDEX(Workers!$K$5:$K$2004,MATCH($A806,Workers!$A$5:$A$2004,0)))</f>
        <v/>
      </c>
      <c r="E806" s="25" t="str">
        <f aca="false">IF($A806="","",SUMIFS(Timesheet!$E$5:$E$3004,Timesheet!$D$5:$D$3004,$A806,Timesheet!$A$5:$A$3004,"&gt;="&amp;Settings!$B$8,Timesheet!$A$5:$A$3004,"&lt;="&amp;Settings!$B$9))</f>
        <v/>
      </c>
      <c r="F806" s="25" t="str">
        <f aca="false">IF($A806="","",SUMIFS(Timesheet!$F$5:$F$3004,Timesheet!$D$5:$D$3004,$A806,Timesheet!$A$5:$A$3004,"&gt;="&amp;Settings!$B$8,Timesheet!$A$5:$A$3004,"&lt;="&amp;Settings!$B$9))</f>
        <v/>
      </c>
      <c r="G806" s="25" t="str">
        <f aca="false">IF($A806="","",SUMIFS(Timesheet!$G$5:$G$3004,Timesheet!$D$5:$D$3004,$A806,Timesheet!$A$5:$A$3004,"&gt;="&amp;Settings!$B$8,Timesheet!$A$5:$A$3004,"&lt;="&amp;Settings!$B$9))</f>
        <v/>
      </c>
      <c r="H806" s="25" t="str">
        <f aca="false">IF($A806="","",IF(D806="Monthly",MAX(0,Settings!$B$11-E806),0))</f>
        <v/>
      </c>
      <c r="I806" s="26" t="str">
        <f aca="false">IF($A806="","",N(INDEX(Workers!$L$5:$L$2004,MATCH($A806,Workers!$A$5:$A$2004,0))))</f>
        <v/>
      </c>
      <c r="J806" s="26" t="str">
        <f aca="false">IF($A806="","",N(INDEX(Workers!$M$5:$M$2004,MATCH($A806,Workers!$A$5:$A$2004,0))))</f>
        <v/>
      </c>
      <c r="K806" s="26" t="str">
        <f aca="false">IF($A806="","",IF(D806="Monthly",ROUND(MAX(0,(I806+J806)-(I806+J806)/Settings!$B$10*H806),2),0))</f>
        <v/>
      </c>
      <c r="L806" s="26" t="str">
        <f aca="false">IF($A806="","",IF(D806="Hourly",ROUND(F806*N(INDEX(Workers!$N$5:$N$2004,MATCH($A806,Workers!$A$5:$A$2004,0))),2),0))</f>
        <v/>
      </c>
      <c r="M806" s="26" t="str">
        <f aca="false">IF($A806="","",ROUND(G806*IF(D806="Hourly",N(INDEX(Workers!$N$5:$N$2004,MATCH($A806,Workers!$A$5:$A$2004,0))),I806/Settings!$B$10/Settings!$B$12)*Settings!$B$13,2))</f>
        <v/>
      </c>
      <c r="N806" s="26" t="str">
        <f aca="false">IF($A806="","",K806+L806+M806)</f>
        <v/>
      </c>
      <c r="O806" s="26" t="str">
        <f aca="false">IF($A806="","",SUMIFS(Deductions!$D$5:$D$2000,Deductions!$B$5:$B$2000,$A806,Deductions!$C$5:$C$2000,"Advance",Deductions!$E$5:$E$2000,"&gt;="&amp;Settings!$B$8,Deductions!$E$5:$E$2000,"&lt;="&amp;Settings!$B$9))</f>
        <v/>
      </c>
      <c r="P806" s="26" t="str">
        <f aca="false">IF($A806="","",SUMIFS(Deductions!$D$5:$D$2000,Deductions!$B$5:$B$2000,$A806,Deductions!$E$5:$E$2000,"&gt;="&amp;Settings!$B$8,Deductions!$E$5:$E$2000,"&lt;="&amp;Settings!$B$9)-O806)</f>
        <v/>
      </c>
      <c r="Q806" s="26" t="str">
        <f aca="false">IF($A806="","",O806+P806)</f>
        <v/>
      </c>
      <c r="R806" s="23" t="str">
        <f aca="false">IF($A806="","",N806-Q806)</f>
        <v/>
      </c>
      <c r="S806" s="24" t="str">
        <f aca="false">IF($A806="","",INDEX(Workers!$O$5:$O$2004,MATCH($A806,Workers!$A$5:$A$2004,0))&amp;"")</f>
        <v/>
      </c>
      <c r="T806" s="24" t="str">
        <f aca="false">IF($A806="","",INDEX(Workers!$P$5:$P$2004,MATCH($A806,Workers!$A$5:$A$2004,0))&amp;"")</f>
        <v/>
      </c>
      <c r="U806" s="24" t="str">
        <f aca="false">IF($A806="","",INDEX(Workers!$H$5:$H$2004,MATCH($A806,Workers!$A$5:$A$2004,0))&amp;"")</f>
        <v/>
      </c>
    </row>
    <row r="807" customFormat="false" ht="15" hidden="false" customHeight="false" outlineLevel="0" collapsed="false">
      <c r="A807" s="24" t="str">
        <f aca="false">IFERROR(INDEX(Workers!$A$5:$A$2004,MATCH(ROW()-4,Workers!$U$5:$U$2004,0)),"")</f>
        <v/>
      </c>
      <c r="B807" s="24" t="str">
        <f aca="false">IF($A807="","",INDEX(Workers!$B$5:$B$2004,MATCH($A807,Workers!$A$5:$A$2004,0)))</f>
        <v/>
      </c>
      <c r="C807" s="24" t="str">
        <f aca="false">IF($A807="","",INDEX(Workers!$E$5:$E$2004,MATCH($A807,Workers!$A$5:$A$2004,0)))</f>
        <v/>
      </c>
      <c r="D807" s="24" t="str">
        <f aca="false">IF($A807="","",INDEX(Workers!$K$5:$K$2004,MATCH($A807,Workers!$A$5:$A$2004,0)))</f>
        <v/>
      </c>
      <c r="E807" s="25" t="str">
        <f aca="false">IF($A807="","",SUMIFS(Timesheet!$E$5:$E$3004,Timesheet!$D$5:$D$3004,$A807,Timesheet!$A$5:$A$3004,"&gt;="&amp;Settings!$B$8,Timesheet!$A$5:$A$3004,"&lt;="&amp;Settings!$B$9))</f>
        <v/>
      </c>
      <c r="F807" s="25" t="str">
        <f aca="false">IF($A807="","",SUMIFS(Timesheet!$F$5:$F$3004,Timesheet!$D$5:$D$3004,$A807,Timesheet!$A$5:$A$3004,"&gt;="&amp;Settings!$B$8,Timesheet!$A$5:$A$3004,"&lt;="&amp;Settings!$B$9))</f>
        <v/>
      </c>
      <c r="G807" s="25" t="str">
        <f aca="false">IF($A807="","",SUMIFS(Timesheet!$G$5:$G$3004,Timesheet!$D$5:$D$3004,$A807,Timesheet!$A$5:$A$3004,"&gt;="&amp;Settings!$B$8,Timesheet!$A$5:$A$3004,"&lt;="&amp;Settings!$B$9))</f>
        <v/>
      </c>
      <c r="H807" s="25" t="str">
        <f aca="false">IF($A807="","",IF(D807="Monthly",MAX(0,Settings!$B$11-E807),0))</f>
        <v/>
      </c>
      <c r="I807" s="26" t="str">
        <f aca="false">IF($A807="","",N(INDEX(Workers!$L$5:$L$2004,MATCH($A807,Workers!$A$5:$A$2004,0))))</f>
        <v/>
      </c>
      <c r="J807" s="26" t="str">
        <f aca="false">IF($A807="","",N(INDEX(Workers!$M$5:$M$2004,MATCH($A807,Workers!$A$5:$A$2004,0))))</f>
        <v/>
      </c>
      <c r="K807" s="26" t="str">
        <f aca="false">IF($A807="","",IF(D807="Monthly",ROUND(MAX(0,(I807+J807)-(I807+J807)/Settings!$B$10*H807),2),0))</f>
        <v/>
      </c>
      <c r="L807" s="26" t="str">
        <f aca="false">IF($A807="","",IF(D807="Hourly",ROUND(F807*N(INDEX(Workers!$N$5:$N$2004,MATCH($A807,Workers!$A$5:$A$2004,0))),2),0))</f>
        <v/>
      </c>
      <c r="M807" s="26" t="str">
        <f aca="false">IF($A807="","",ROUND(G807*IF(D807="Hourly",N(INDEX(Workers!$N$5:$N$2004,MATCH($A807,Workers!$A$5:$A$2004,0))),I807/Settings!$B$10/Settings!$B$12)*Settings!$B$13,2))</f>
        <v/>
      </c>
      <c r="N807" s="26" t="str">
        <f aca="false">IF($A807="","",K807+L807+M807)</f>
        <v/>
      </c>
      <c r="O807" s="26" t="str">
        <f aca="false">IF($A807="","",SUMIFS(Deductions!$D$5:$D$2000,Deductions!$B$5:$B$2000,$A807,Deductions!$C$5:$C$2000,"Advance",Deductions!$E$5:$E$2000,"&gt;="&amp;Settings!$B$8,Deductions!$E$5:$E$2000,"&lt;="&amp;Settings!$B$9))</f>
        <v/>
      </c>
      <c r="P807" s="26" t="str">
        <f aca="false">IF($A807="","",SUMIFS(Deductions!$D$5:$D$2000,Deductions!$B$5:$B$2000,$A807,Deductions!$E$5:$E$2000,"&gt;="&amp;Settings!$B$8,Deductions!$E$5:$E$2000,"&lt;="&amp;Settings!$B$9)-O807)</f>
        <v/>
      </c>
      <c r="Q807" s="26" t="str">
        <f aca="false">IF($A807="","",O807+P807)</f>
        <v/>
      </c>
      <c r="R807" s="23" t="str">
        <f aca="false">IF($A807="","",N807-Q807)</f>
        <v/>
      </c>
      <c r="S807" s="24" t="str">
        <f aca="false">IF($A807="","",INDEX(Workers!$O$5:$O$2004,MATCH($A807,Workers!$A$5:$A$2004,0))&amp;"")</f>
        <v/>
      </c>
      <c r="T807" s="24" t="str">
        <f aca="false">IF($A807="","",INDEX(Workers!$P$5:$P$2004,MATCH($A807,Workers!$A$5:$A$2004,0))&amp;"")</f>
        <v/>
      </c>
      <c r="U807" s="24" t="str">
        <f aca="false">IF($A807="","",INDEX(Workers!$H$5:$H$2004,MATCH($A807,Workers!$A$5:$A$2004,0))&amp;"")</f>
        <v/>
      </c>
    </row>
    <row r="808" customFormat="false" ht="15" hidden="false" customHeight="false" outlineLevel="0" collapsed="false">
      <c r="A808" s="24" t="str">
        <f aca="false">IFERROR(INDEX(Workers!$A$5:$A$2004,MATCH(ROW()-4,Workers!$U$5:$U$2004,0)),"")</f>
        <v/>
      </c>
      <c r="B808" s="24" t="str">
        <f aca="false">IF($A808="","",INDEX(Workers!$B$5:$B$2004,MATCH($A808,Workers!$A$5:$A$2004,0)))</f>
        <v/>
      </c>
      <c r="C808" s="24" t="str">
        <f aca="false">IF($A808="","",INDEX(Workers!$E$5:$E$2004,MATCH($A808,Workers!$A$5:$A$2004,0)))</f>
        <v/>
      </c>
      <c r="D808" s="24" t="str">
        <f aca="false">IF($A808="","",INDEX(Workers!$K$5:$K$2004,MATCH($A808,Workers!$A$5:$A$2004,0)))</f>
        <v/>
      </c>
      <c r="E808" s="25" t="str">
        <f aca="false">IF($A808="","",SUMIFS(Timesheet!$E$5:$E$3004,Timesheet!$D$5:$D$3004,$A808,Timesheet!$A$5:$A$3004,"&gt;="&amp;Settings!$B$8,Timesheet!$A$5:$A$3004,"&lt;="&amp;Settings!$B$9))</f>
        <v/>
      </c>
      <c r="F808" s="25" t="str">
        <f aca="false">IF($A808="","",SUMIFS(Timesheet!$F$5:$F$3004,Timesheet!$D$5:$D$3004,$A808,Timesheet!$A$5:$A$3004,"&gt;="&amp;Settings!$B$8,Timesheet!$A$5:$A$3004,"&lt;="&amp;Settings!$B$9))</f>
        <v/>
      </c>
      <c r="G808" s="25" t="str">
        <f aca="false">IF($A808="","",SUMIFS(Timesheet!$G$5:$G$3004,Timesheet!$D$5:$D$3004,$A808,Timesheet!$A$5:$A$3004,"&gt;="&amp;Settings!$B$8,Timesheet!$A$5:$A$3004,"&lt;="&amp;Settings!$B$9))</f>
        <v/>
      </c>
      <c r="H808" s="25" t="str">
        <f aca="false">IF($A808="","",IF(D808="Monthly",MAX(0,Settings!$B$11-E808),0))</f>
        <v/>
      </c>
      <c r="I808" s="26" t="str">
        <f aca="false">IF($A808="","",N(INDEX(Workers!$L$5:$L$2004,MATCH($A808,Workers!$A$5:$A$2004,0))))</f>
        <v/>
      </c>
      <c r="J808" s="26" t="str">
        <f aca="false">IF($A808="","",N(INDEX(Workers!$M$5:$M$2004,MATCH($A808,Workers!$A$5:$A$2004,0))))</f>
        <v/>
      </c>
      <c r="K808" s="26" t="str">
        <f aca="false">IF($A808="","",IF(D808="Monthly",ROUND(MAX(0,(I808+J808)-(I808+J808)/Settings!$B$10*H808),2),0))</f>
        <v/>
      </c>
      <c r="L808" s="26" t="str">
        <f aca="false">IF($A808="","",IF(D808="Hourly",ROUND(F808*N(INDEX(Workers!$N$5:$N$2004,MATCH($A808,Workers!$A$5:$A$2004,0))),2),0))</f>
        <v/>
      </c>
      <c r="M808" s="26" t="str">
        <f aca="false">IF($A808="","",ROUND(G808*IF(D808="Hourly",N(INDEX(Workers!$N$5:$N$2004,MATCH($A808,Workers!$A$5:$A$2004,0))),I808/Settings!$B$10/Settings!$B$12)*Settings!$B$13,2))</f>
        <v/>
      </c>
      <c r="N808" s="26" t="str">
        <f aca="false">IF($A808="","",K808+L808+M808)</f>
        <v/>
      </c>
      <c r="O808" s="26" t="str">
        <f aca="false">IF($A808="","",SUMIFS(Deductions!$D$5:$D$2000,Deductions!$B$5:$B$2000,$A808,Deductions!$C$5:$C$2000,"Advance",Deductions!$E$5:$E$2000,"&gt;="&amp;Settings!$B$8,Deductions!$E$5:$E$2000,"&lt;="&amp;Settings!$B$9))</f>
        <v/>
      </c>
      <c r="P808" s="26" t="str">
        <f aca="false">IF($A808="","",SUMIFS(Deductions!$D$5:$D$2000,Deductions!$B$5:$B$2000,$A808,Deductions!$E$5:$E$2000,"&gt;="&amp;Settings!$B$8,Deductions!$E$5:$E$2000,"&lt;="&amp;Settings!$B$9)-O808)</f>
        <v/>
      </c>
      <c r="Q808" s="26" t="str">
        <f aca="false">IF($A808="","",O808+P808)</f>
        <v/>
      </c>
      <c r="R808" s="23" t="str">
        <f aca="false">IF($A808="","",N808-Q808)</f>
        <v/>
      </c>
      <c r="S808" s="24" t="str">
        <f aca="false">IF($A808="","",INDEX(Workers!$O$5:$O$2004,MATCH($A808,Workers!$A$5:$A$2004,0))&amp;"")</f>
        <v/>
      </c>
      <c r="T808" s="24" t="str">
        <f aca="false">IF($A808="","",INDEX(Workers!$P$5:$P$2004,MATCH($A808,Workers!$A$5:$A$2004,0))&amp;"")</f>
        <v/>
      </c>
      <c r="U808" s="24" t="str">
        <f aca="false">IF($A808="","",INDEX(Workers!$H$5:$H$2004,MATCH($A808,Workers!$A$5:$A$2004,0))&amp;"")</f>
        <v/>
      </c>
    </row>
    <row r="809" customFormat="false" ht="15" hidden="false" customHeight="false" outlineLevel="0" collapsed="false">
      <c r="A809" s="24" t="str">
        <f aca="false">IFERROR(INDEX(Workers!$A$5:$A$2004,MATCH(ROW()-4,Workers!$U$5:$U$2004,0)),"")</f>
        <v/>
      </c>
      <c r="B809" s="24" t="str">
        <f aca="false">IF($A809="","",INDEX(Workers!$B$5:$B$2004,MATCH($A809,Workers!$A$5:$A$2004,0)))</f>
        <v/>
      </c>
      <c r="C809" s="24" t="str">
        <f aca="false">IF($A809="","",INDEX(Workers!$E$5:$E$2004,MATCH($A809,Workers!$A$5:$A$2004,0)))</f>
        <v/>
      </c>
      <c r="D809" s="24" t="str">
        <f aca="false">IF($A809="","",INDEX(Workers!$K$5:$K$2004,MATCH($A809,Workers!$A$5:$A$2004,0)))</f>
        <v/>
      </c>
      <c r="E809" s="25" t="str">
        <f aca="false">IF($A809="","",SUMIFS(Timesheet!$E$5:$E$3004,Timesheet!$D$5:$D$3004,$A809,Timesheet!$A$5:$A$3004,"&gt;="&amp;Settings!$B$8,Timesheet!$A$5:$A$3004,"&lt;="&amp;Settings!$B$9))</f>
        <v/>
      </c>
      <c r="F809" s="25" t="str">
        <f aca="false">IF($A809="","",SUMIFS(Timesheet!$F$5:$F$3004,Timesheet!$D$5:$D$3004,$A809,Timesheet!$A$5:$A$3004,"&gt;="&amp;Settings!$B$8,Timesheet!$A$5:$A$3004,"&lt;="&amp;Settings!$B$9))</f>
        <v/>
      </c>
      <c r="G809" s="25" t="str">
        <f aca="false">IF($A809="","",SUMIFS(Timesheet!$G$5:$G$3004,Timesheet!$D$5:$D$3004,$A809,Timesheet!$A$5:$A$3004,"&gt;="&amp;Settings!$B$8,Timesheet!$A$5:$A$3004,"&lt;="&amp;Settings!$B$9))</f>
        <v/>
      </c>
      <c r="H809" s="25" t="str">
        <f aca="false">IF($A809="","",IF(D809="Monthly",MAX(0,Settings!$B$11-E809),0))</f>
        <v/>
      </c>
      <c r="I809" s="26" t="str">
        <f aca="false">IF($A809="","",N(INDEX(Workers!$L$5:$L$2004,MATCH($A809,Workers!$A$5:$A$2004,0))))</f>
        <v/>
      </c>
      <c r="J809" s="26" t="str">
        <f aca="false">IF($A809="","",N(INDEX(Workers!$M$5:$M$2004,MATCH($A809,Workers!$A$5:$A$2004,0))))</f>
        <v/>
      </c>
      <c r="K809" s="26" t="str">
        <f aca="false">IF($A809="","",IF(D809="Monthly",ROUND(MAX(0,(I809+J809)-(I809+J809)/Settings!$B$10*H809),2),0))</f>
        <v/>
      </c>
      <c r="L809" s="26" t="str">
        <f aca="false">IF($A809="","",IF(D809="Hourly",ROUND(F809*N(INDEX(Workers!$N$5:$N$2004,MATCH($A809,Workers!$A$5:$A$2004,0))),2),0))</f>
        <v/>
      </c>
      <c r="M809" s="26" t="str">
        <f aca="false">IF($A809="","",ROUND(G809*IF(D809="Hourly",N(INDEX(Workers!$N$5:$N$2004,MATCH($A809,Workers!$A$5:$A$2004,0))),I809/Settings!$B$10/Settings!$B$12)*Settings!$B$13,2))</f>
        <v/>
      </c>
      <c r="N809" s="26" t="str">
        <f aca="false">IF($A809="","",K809+L809+M809)</f>
        <v/>
      </c>
      <c r="O809" s="26" t="str">
        <f aca="false">IF($A809="","",SUMIFS(Deductions!$D$5:$D$2000,Deductions!$B$5:$B$2000,$A809,Deductions!$C$5:$C$2000,"Advance",Deductions!$E$5:$E$2000,"&gt;="&amp;Settings!$B$8,Deductions!$E$5:$E$2000,"&lt;="&amp;Settings!$B$9))</f>
        <v/>
      </c>
      <c r="P809" s="26" t="str">
        <f aca="false">IF($A809="","",SUMIFS(Deductions!$D$5:$D$2000,Deductions!$B$5:$B$2000,$A809,Deductions!$E$5:$E$2000,"&gt;="&amp;Settings!$B$8,Deductions!$E$5:$E$2000,"&lt;="&amp;Settings!$B$9)-O809)</f>
        <v/>
      </c>
      <c r="Q809" s="26" t="str">
        <f aca="false">IF($A809="","",O809+P809)</f>
        <v/>
      </c>
      <c r="R809" s="23" t="str">
        <f aca="false">IF($A809="","",N809-Q809)</f>
        <v/>
      </c>
      <c r="S809" s="24" t="str">
        <f aca="false">IF($A809="","",INDEX(Workers!$O$5:$O$2004,MATCH($A809,Workers!$A$5:$A$2004,0))&amp;"")</f>
        <v/>
      </c>
      <c r="T809" s="24" t="str">
        <f aca="false">IF($A809="","",INDEX(Workers!$P$5:$P$2004,MATCH($A809,Workers!$A$5:$A$2004,0))&amp;"")</f>
        <v/>
      </c>
      <c r="U809" s="24" t="str">
        <f aca="false">IF($A809="","",INDEX(Workers!$H$5:$H$2004,MATCH($A809,Workers!$A$5:$A$2004,0))&amp;"")</f>
        <v/>
      </c>
    </row>
    <row r="810" customFormat="false" ht="15" hidden="false" customHeight="false" outlineLevel="0" collapsed="false">
      <c r="A810" s="24" t="str">
        <f aca="false">IFERROR(INDEX(Workers!$A$5:$A$2004,MATCH(ROW()-4,Workers!$U$5:$U$2004,0)),"")</f>
        <v/>
      </c>
      <c r="B810" s="24" t="str">
        <f aca="false">IF($A810="","",INDEX(Workers!$B$5:$B$2004,MATCH($A810,Workers!$A$5:$A$2004,0)))</f>
        <v/>
      </c>
      <c r="C810" s="24" t="str">
        <f aca="false">IF($A810="","",INDEX(Workers!$E$5:$E$2004,MATCH($A810,Workers!$A$5:$A$2004,0)))</f>
        <v/>
      </c>
      <c r="D810" s="24" t="str">
        <f aca="false">IF($A810="","",INDEX(Workers!$K$5:$K$2004,MATCH($A810,Workers!$A$5:$A$2004,0)))</f>
        <v/>
      </c>
      <c r="E810" s="25" t="str">
        <f aca="false">IF($A810="","",SUMIFS(Timesheet!$E$5:$E$3004,Timesheet!$D$5:$D$3004,$A810,Timesheet!$A$5:$A$3004,"&gt;="&amp;Settings!$B$8,Timesheet!$A$5:$A$3004,"&lt;="&amp;Settings!$B$9))</f>
        <v/>
      </c>
      <c r="F810" s="25" t="str">
        <f aca="false">IF($A810="","",SUMIFS(Timesheet!$F$5:$F$3004,Timesheet!$D$5:$D$3004,$A810,Timesheet!$A$5:$A$3004,"&gt;="&amp;Settings!$B$8,Timesheet!$A$5:$A$3004,"&lt;="&amp;Settings!$B$9))</f>
        <v/>
      </c>
      <c r="G810" s="25" t="str">
        <f aca="false">IF($A810="","",SUMIFS(Timesheet!$G$5:$G$3004,Timesheet!$D$5:$D$3004,$A810,Timesheet!$A$5:$A$3004,"&gt;="&amp;Settings!$B$8,Timesheet!$A$5:$A$3004,"&lt;="&amp;Settings!$B$9))</f>
        <v/>
      </c>
      <c r="H810" s="25" t="str">
        <f aca="false">IF($A810="","",IF(D810="Monthly",MAX(0,Settings!$B$11-E810),0))</f>
        <v/>
      </c>
      <c r="I810" s="26" t="str">
        <f aca="false">IF($A810="","",N(INDEX(Workers!$L$5:$L$2004,MATCH($A810,Workers!$A$5:$A$2004,0))))</f>
        <v/>
      </c>
      <c r="J810" s="26" t="str">
        <f aca="false">IF($A810="","",N(INDEX(Workers!$M$5:$M$2004,MATCH($A810,Workers!$A$5:$A$2004,0))))</f>
        <v/>
      </c>
      <c r="K810" s="26" t="str">
        <f aca="false">IF($A810="","",IF(D810="Monthly",ROUND(MAX(0,(I810+J810)-(I810+J810)/Settings!$B$10*H810),2),0))</f>
        <v/>
      </c>
      <c r="L810" s="26" t="str">
        <f aca="false">IF($A810="","",IF(D810="Hourly",ROUND(F810*N(INDEX(Workers!$N$5:$N$2004,MATCH($A810,Workers!$A$5:$A$2004,0))),2),0))</f>
        <v/>
      </c>
      <c r="M810" s="26" t="str">
        <f aca="false">IF($A810="","",ROUND(G810*IF(D810="Hourly",N(INDEX(Workers!$N$5:$N$2004,MATCH($A810,Workers!$A$5:$A$2004,0))),I810/Settings!$B$10/Settings!$B$12)*Settings!$B$13,2))</f>
        <v/>
      </c>
      <c r="N810" s="26" t="str">
        <f aca="false">IF($A810="","",K810+L810+M810)</f>
        <v/>
      </c>
      <c r="O810" s="26" t="str">
        <f aca="false">IF($A810="","",SUMIFS(Deductions!$D$5:$D$2000,Deductions!$B$5:$B$2000,$A810,Deductions!$C$5:$C$2000,"Advance",Deductions!$E$5:$E$2000,"&gt;="&amp;Settings!$B$8,Deductions!$E$5:$E$2000,"&lt;="&amp;Settings!$B$9))</f>
        <v/>
      </c>
      <c r="P810" s="26" t="str">
        <f aca="false">IF($A810="","",SUMIFS(Deductions!$D$5:$D$2000,Deductions!$B$5:$B$2000,$A810,Deductions!$E$5:$E$2000,"&gt;="&amp;Settings!$B$8,Deductions!$E$5:$E$2000,"&lt;="&amp;Settings!$B$9)-O810)</f>
        <v/>
      </c>
      <c r="Q810" s="26" t="str">
        <f aca="false">IF($A810="","",O810+P810)</f>
        <v/>
      </c>
      <c r="R810" s="23" t="str">
        <f aca="false">IF($A810="","",N810-Q810)</f>
        <v/>
      </c>
      <c r="S810" s="24" t="str">
        <f aca="false">IF($A810="","",INDEX(Workers!$O$5:$O$2004,MATCH($A810,Workers!$A$5:$A$2004,0))&amp;"")</f>
        <v/>
      </c>
      <c r="T810" s="24" t="str">
        <f aca="false">IF($A810="","",INDEX(Workers!$P$5:$P$2004,MATCH($A810,Workers!$A$5:$A$2004,0))&amp;"")</f>
        <v/>
      </c>
      <c r="U810" s="24" t="str">
        <f aca="false">IF($A810="","",INDEX(Workers!$H$5:$H$2004,MATCH($A810,Workers!$A$5:$A$2004,0))&amp;"")</f>
        <v/>
      </c>
    </row>
    <row r="811" customFormat="false" ht="15" hidden="false" customHeight="false" outlineLevel="0" collapsed="false">
      <c r="A811" s="24" t="str">
        <f aca="false">IFERROR(INDEX(Workers!$A$5:$A$2004,MATCH(ROW()-4,Workers!$U$5:$U$2004,0)),"")</f>
        <v/>
      </c>
      <c r="B811" s="24" t="str">
        <f aca="false">IF($A811="","",INDEX(Workers!$B$5:$B$2004,MATCH($A811,Workers!$A$5:$A$2004,0)))</f>
        <v/>
      </c>
      <c r="C811" s="24" t="str">
        <f aca="false">IF($A811="","",INDEX(Workers!$E$5:$E$2004,MATCH($A811,Workers!$A$5:$A$2004,0)))</f>
        <v/>
      </c>
      <c r="D811" s="24" t="str">
        <f aca="false">IF($A811="","",INDEX(Workers!$K$5:$K$2004,MATCH($A811,Workers!$A$5:$A$2004,0)))</f>
        <v/>
      </c>
      <c r="E811" s="25" t="str">
        <f aca="false">IF($A811="","",SUMIFS(Timesheet!$E$5:$E$3004,Timesheet!$D$5:$D$3004,$A811,Timesheet!$A$5:$A$3004,"&gt;="&amp;Settings!$B$8,Timesheet!$A$5:$A$3004,"&lt;="&amp;Settings!$B$9))</f>
        <v/>
      </c>
      <c r="F811" s="25" t="str">
        <f aca="false">IF($A811="","",SUMIFS(Timesheet!$F$5:$F$3004,Timesheet!$D$5:$D$3004,$A811,Timesheet!$A$5:$A$3004,"&gt;="&amp;Settings!$B$8,Timesheet!$A$5:$A$3004,"&lt;="&amp;Settings!$B$9))</f>
        <v/>
      </c>
      <c r="G811" s="25" t="str">
        <f aca="false">IF($A811="","",SUMIFS(Timesheet!$G$5:$G$3004,Timesheet!$D$5:$D$3004,$A811,Timesheet!$A$5:$A$3004,"&gt;="&amp;Settings!$B$8,Timesheet!$A$5:$A$3004,"&lt;="&amp;Settings!$B$9))</f>
        <v/>
      </c>
      <c r="H811" s="25" t="str">
        <f aca="false">IF($A811="","",IF(D811="Monthly",MAX(0,Settings!$B$11-E811),0))</f>
        <v/>
      </c>
      <c r="I811" s="26" t="str">
        <f aca="false">IF($A811="","",N(INDEX(Workers!$L$5:$L$2004,MATCH($A811,Workers!$A$5:$A$2004,0))))</f>
        <v/>
      </c>
      <c r="J811" s="26" t="str">
        <f aca="false">IF($A811="","",N(INDEX(Workers!$M$5:$M$2004,MATCH($A811,Workers!$A$5:$A$2004,0))))</f>
        <v/>
      </c>
      <c r="K811" s="26" t="str">
        <f aca="false">IF($A811="","",IF(D811="Monthly",ROUND(MAX(0,(I811+J811)-(I811+J811)/Settings!$B$10*H811),2),0))</f>
        <v/>
      </c>
      <c r="L811" s="26" t="str">
        <f aca="false">IF($A811="","",IF(D811="Hourly",ROUND(F811*N(INDEX(Workers!$N$5:$N$2004,MATCH($A811,Workers!$A$5:$A$2004,0))),2),0))</f>
        <v/>
      </c>
      <c r="M811" s="26" t="str">
        <f aca="false">IF($A811="","",ROUND(G811*IF(D811="Hourly",N(INDEX(Workers!$N$5:$N$2004,MATCH($A811,Workers!$A$5:$A$2004,0))),I811/Settings!$B$10/Settings!$B$12)*Settings!$B$13,2))</f>
        <v/>
      </c>
      <c r="N811" s="26" t="str">
        <f aca="false">IF($A811="","",K811+L811+M811)</f>
        <v/>
      </c>
      <c r="O811" s="26" t="str">
        <f aca="false">IF($A811="","",SUMIFS(Deductions!$D$5:$D$2000,Deductions!$B$5:$B$2000,$A811,Deductions!$C$5:$C$2000,"Advance",Deductions!$E$5:$E$2000,"&gt;="&amp;Settings!$B$8,Deductions!$E$5:$E$2000,"&lt;="&amp;Settings!$B$9))</f>
        <v/>
      </c>
      <c r="P811" s="26" t="str">
        <f aca="false">IF($A811="","",SUMIFS(Deductions!$D$5:$D$2000,Deductions!$B$5:$B$2000,$A811,Deductions!$E$5:$E$2000,"&gt;="&amp;Settings!$B$8,Deductions!$E$5:$E$2000,"&lt;="&amp;Settings!$B$9)-O811)</f>
        <v/>
      </c>
      <c r="Q811" s="26" t="str">
        <f aca="false">IF($A811="","",O811+P811)</f>
        <v/>
      </c>
      <c r="R811" s="23" t="str">
        <f aca="false">IF($A811="","",N811-Q811)</f>
        <v/>
      </c>
      <c r="S811" s="24" t="str">
        <f aca="false">IF($A811="","",INDEX(Workers!$O$5:$O$2004,MATCH($A811,Workers!$A$5:$A$2004,0))&amp;"")</f>
        <v/>
      </c>
      <c r="T811" s="24" t="str">
        <f aca="false">IF($A811="","",INDEX(Workers!$P$5:$P$2004,MATCH($A811,Workers!$A$5:$A$2004,0))&amp;"")</f>
        <v/>
      </c>
      <c r="U811" s="24" t="str">
        <f aca="false">IF($A811="","",INDEX(Workers!$H$5:$H$2004,MATCH($A811,Workers!$A$5:$A$2004,0))&amp;"")</f>
        <v/>
      </c>
    </row>
    <row r="812" customFormat="false" ht="15" hidden="false" customHeight="false" outlineLevel="0" collapsed="false">
      <c r="A812" s="24" t="str">
        <f aca="false">IFERROR(INDEX(Workers!$A$5:$A$2004,MATCH(ROW()-4,Workers!$U$5:$U$2004,0)),"")</f>
        <v/>
      </c>
      <c r="B812" s="24" t="str">
        <f aca="false">IF($A812="","",INDEX(Workers!$B$5:$B$2004,MATCH($A812,Workers!$A$5:$A$2004,0)))</f>
        <v/>
      </c>
      <c r="C812" s="24" t="str">
        <f aca="false">IF($A812="","",INDEX(Workers!$E$5:$E$2004,MATCH($A812,Workers!$A$5:$A$2004,0)))</f>
        <v/>
      </c>
      <c r="D812" s="24" t="str">
        <f aca="false">IF($A812="","",INDEX(Workers!$K$5:$K$2004,MATCH($A812,Workers!$A$5:$A$2004,0)))</f>
        <v/>
      </c>
      <c r="E812" s="25" t="str">
        <f aca="false">IF($A812="","",SUMIFS(Timesheet!$E$5:$E$3004,Timesheet!$D$5:$D$3004,$A812,Timesheet!$A$5:$A$3004,"&gt;="&amp;Settings!$B$8,Timesheet!$A$5:$A$3004,"&lt;="&amp;Settings!$B$9))</f>
        <v/>
      </c>
      <c r="F812" s="25" t="str">
        <f aca="false">IF($A812="","",SUMIFS(Timesheet!$F$5:$F$3004,Timesheet!$D$5:$D$3004,$A812,Timesheet!$A$5:$A$3004,"&gt;="&amp;Settings!$B$8,Timesheet!$A$5:$A$3004,"&lt;="&amp;Settings!$B$9))</f>
        <v/>
      </c>
      <c r="G812" s="25" t="str">
        <f aca="false">IF($A812="","",SUMIFS(Timesheet!$G$5:$G$3004,Timesheet!$D$5:$D$3004,$A812,Timesheet!$A$5:$A$3004,"&gt;="&amp;Settings!$B$8,Timesheet!$A$5:$A$3004,"&lt;="&amp;Settings!$B$9))</f>
        <v/>
      </c>
      <c r="H812" s="25" t="str">
        <f aca="false">IF($A812="","",IF(D812="Monthly",MAX(0,Settings!$B$11-E812),0))</f>
        <v/>
      </c>
      <c r="I812" s="26" t="str">
        <f aca="false">IF($A812="","",N(INDEX(Workers!$L$5:$L$2004,MATCH($A812,Workers!$A$5:$A$2004,0))))</f>
        <v/>
      </c>
      <c r="J812" s="26" t="str">
        <f aca="false">IF($A812="","",N(INDEX(Workers!$M$5:$M$2004,MATCH($A812,Workers!$A$5:$A$2004,0))))</f>
        <v/>
      </c>
      <c r="K812" s="26" t="str">
        <f aca="false">IF($A812="","",IF(D812="Monthly",ROUND(MAX(0,(I812+J812)-(I812+J812)/Settings!$B$10*H812),2),0))</f>
        <v/>
      </c>
      <c r="L812" s="26" t="str">
        <f aca="false">IF($A812="","",IF(D812="Hourly",ROUND(F812*N(INDEX(Workers!$N$5:$N$2004,MATCH($A812,Workers!$A$5:$A$2004,0))),2),0))</f>
        <v/>
      </c>
      <c r="M812" s="26" t="str">
        <f aca="false">IF($A812="","",ROUND(G812*IF(D812="Hourly",N(INDEX(Workers!$N$5:$N$2004,MATCH($A812,Workers!$A$5:$A$2004,0))),I812/Settings!$B$10/Settings!$B$12)*Settings!$B$13,2))</f>
        <v/>
      </c>
      <c r="N812" s="26" t="str">
        <f aca="false">IF($A812="","",K812+L812+M812)</f>
        <v/>
      </c>
      <c r="O812" s="26" t="str">
        <f aca="false">IF($A812="","",SUMIFS(Deductions!$D$5:$D$2000,Deductions!$B$5:$B$2000,$A812,Deductions!$C$5:$C$2000,"Advance",Deductions!$E$5:$E$2000,"&gt;="&amp;Settings!$B$8,Deductions!$E$5:$E$2000,"&lt;="&amp;Settings!$B$9))</f>
        <v/>
      </c>
      <c r="P812" s="26" t="str">
        <f aca="false">IF($A812="","",SUMIFS(Deductions!$D$5:$D$2000,Deductions!$B$5:$B$2000,$A812,Deductions!$E$5:$E$2000,"&gt;="&amp;Settings!$B$8,Deductions!$E$5:$E$2000,"&lt;="&amp;Settings!$B$9)-O812)</f>
        <v/>
      </c>
      <c r="Q812" s="26" t="str">
        <f aca="false">IF($A812="","",O812+P812)</f>
        <v/>
      </c>
      <c r="R812" s="23" t="str">
        <f aca="false">IF($A812="","",N812-Q812)</f>
        <v/>
      </c>
      <c r="S812" s="24" t="str">
        <f aca="false">IF($A812="","",INDEX(Workers!$O$5:$O$2004,MATCH($A812,Workers!$A$5:$A$2004,0))&amp;"")</f>
        <v/>
      </c>
      <c r="T812" s="24" t="str">
        <f aca="false">IF($A812="","",INDEX(Workers!$P$5:$P$2004,MATCH($A812,Workers!$A$5:$A$2004,0))&amp;"")</f>
        <v/>
      </c>
      <c r="U812" s="24" t="str">
        <f aca="false">IF($A812="","",INDEX(Workers!$H$5:$H$2004,MATCH($A812,Workers!$A$5:$A$2004,0))&amp;"")</f>
        <v/>
      </c>
    </row>
    <row r="813" customFormat="false" ht="15" hidden="false" customHeight="false" outlineLevel="0" collapsed="false">
      <c r="A813" s="24" t="str">
        <f aca="false">IFERROR(INDEX(Workers!$A$5:$A$2004,MATCH(ROW()-4,Workers!$U$5:$U$2004,0)),"")</f>
        <v/>
      </c>
      <c r="B813" s="24" t="str">
        <f aca="false">IF($A813="","",INDEX(Workers!$B$5:$B$2004,MATCH($A813,Workers!$A$5:$A$2004,0)))</f>
        <v/>
      </c>
      <c r="C813" s="24" t="str">
        <f aca="false">IF($A813="","",INDEX(Workers!$E$5:$E$2004,MATCH($A813,Workers!$A$5:$A$2004,0)))</f>
        <v/>
      </c>
      <c r="D813" s="24" t="str">
        <f aca="false">IF($A813="","",INDEX(Workers!$K$5:$K$2004,MATCH($A813,Workers!$A$5:$A$2004,0)))</f>
        <v/>
      </c>
      <c r="E813" s="25" t="str">
        <f aca="false">IF($A813="","",SUMIFS(Timesheet!$E$5:$E$3004,Timesheet!$D$5:$D$3004,$A813,Timesheet!$A$5:$A$3004,"&gt;="&amp;Settings!$B$8,Timesheet!$A$5:$A$3004,"&lt;="&amp;Settings!$B$9))</f>
        <v/>
      </c>
      <c r="F813" s="25" t="str">
        <f aca="false">IF($A813="","",SUMIFS(Timesheet!$F$5:$F$3004,Timesheet!$D$5:$D$3004,$A813,Timesheet!$A$5:$A$3004,"&gt;="&amp;Settings!$B$8,Timesheet!$A$5:$A$3004,"&lt;="&amp;Settings!$B$9))</f>
        <v/>
      </c>
      <c r="G813" s="25" t="str">
        <f aca="false">IF($A813="","",SUMIFS(Timesheet!$G$5:$G$3004,Timesheet!$D$5:$D$3004,$A813,Timesheet!$A$5:$A$3004,"&gt;="&amp;Settings!$B$8,Timesheet!$A$5:$A$3004,"&lt;="&amp;Settings!$B$9))</f>
        <v/>
      </c>
      <c r="H813" s="25" t="str">
        <f aca="false">IF($A813="","",IF(D813="Monthly",MAX(0,Settings!$B$11-E813),0))</f>
        <v/>
      </c>
      <c r="I813" s="26" t="str">
        <f aca="false">IF($A813="","",N(INDEX(Workers!$L$5:$L$2004,MATCH($A813,Workers!$A$5:$A$2004,0))))</f>
        <v/>
      </c>
      <c r="J813" s="26" t="str">
        <f aca="false">IF($A813="","",N(INDEX(Workers!$M$5:$M$2004,MATCH($A813,Workers!$A$5:$A$2004,0))))</f>
        <v/>
      </c>
      <c r="K813" s="26" t="str">
        <f aca="false">IF($A813="","",IF(D813="Monthly",ROUND(MAX(0,(I813+J813)-(I813+J813)/Settings!$B$10*H813),2),0))</f>
        <v/>
      </c>
      <c r="L813" s="26" t="str">
        <f aca="false">IF($A813="","",IF(D813="Hourly",ROUND(F813*N(INDEX(Workers!$N$5:$N$2004,MATCH($A813,Workers!$A$5:$A$2004,0))),2),0))</f>
        <v/>
      </c>
      <c r="M813" s="26" t="str">
        <f aca="false">IF($A813="","",ROUND(G813*IF(D813="Hourly",N(INDEX(Workers!$N$5:$N$2004,MATCH($A813,Workers!$A$5:$A$2004,0))),I813/Settings!$B$10/Settings!$B$12)*Settings!$B$13,2))</f>
        <v/>
      </c>
      <c r="N813" s="26" t="str">
        <f aca="false">IF($A813="","",K813+L813+M813)</f>
        <v/>
      </c>
      <c r="O813" s="26" t="str">
        <f aca="false">IF($A813="","",SUMIFS(Deductions!$D$5:$D$2000,Deductions!$B$5:$B$2000,$A813,Deductions!$C$5:$C$2000,"Advance",Deductions!$E$5:$E$2000,"&gt;="&amp;Settings!$B$8,Deductions!$E$5:$E$2000,"&lt;="&amp;Settings!$B$9))</f>
        <v/>
      </c>
      <c r="P813" s="26" t="str">
        <f aca="false">IF($A813="","",SUMIFS(Deductions!$D$5:$D$2000,Deductions!$B$5:$B$2000,$A813,Deductions!$E$5:$E$2000,"&gt;="&amp;Settings!$B$8,Deductions!$E$5:$E$2000,"&lt;="&amp;Settings!$B$9)-O813)</f>
        <v/>
      </c>
      <c r="Q813" s="26" t="str">
        <f aca="false">IF($A813="","",O813+P813)</f>
        <v/>
      </c>
      <c r="R813" s="23" t="str">
        <f aca="false">IF($A813="","",N813-Q813)</f>
        <v/>
      </c>
      <c r="S813" s="24" t="str">
        <f aca="false">IF($A813="","",INDEX(Workers!$O$5:$O$2004,MATCH($A813,Workers!$A$5:$A$2004,0))&amp;"")</f>
        <v/>
      </c>
      <c r="T813" s="24" t="str">
        <f aca="false">IF($A813="","",INDEX(Workers!$P$5:$P$2004,MATCH($A813,Workers!$A$5:$A$2004,0))&amp;"")</f>
        <v/>
      </c>
      <c r="U813" s="24" t="str">
        <f aca="false">IF($A813="","",INDEX(Workers!$H$5:$H$2004,MATCH($A813,Workers!$A$5:$A$2004,0))&amp;"")</f>
        <v/>
      </c>
    </row>
    <row r="814" customFormat="false" ht="15" hidden="false" customHeight="false" outlineLevel="0" collapsed="false">
      <c r="A814" s="24" t="str">
        <f aca="false">IFERROR(INDEX(Workers!$A$5:$A$2004,MATCH(ROW()-4,Workers!$U$5:$U$2004,0)),"")</f>
        <v/>
      </c>
      <c r="B814" s="24" t="str">
        <f aca="false">IF($A814="","",INDEX(Workers!$B$5:$B$2004,MATCH($A814,Workers!$A$5:$A$2004,0)))</f>
        <v/>
      </c>
      <c r="C814" s="24" t="str">
        <f aca="false">IF($A814="","",INDEX(Workers!$E$5:$E$2004,MATCH($A814,Workers!$A$5:$A$2004,0)))</f>
        <v/>
      </c>
      <c r="D814" s="24" t="str">
        <f aca="false">IF($A814="","",INDEX(Workers!$K$5:$K$2004,MATCH($A814,Workers!$A$5:$A$2004,0)))</f>
        <v/>
      </c>
      <c r="E814" s="25" t="str">
        <f aca="false">IF($A814="","",SUMIFS(Timesheet!$E$5:$E$3004,Timesheet!$D$5:$D$3004,$A814,Timesheet!$A$5:$A$3004,"&gt;="&amp;Settings!$B$8,Timesheet!$A$5:$A$3004,"&lt;="&amp;Settings!$B$9))</f>
        <v/>
      </c>
      <c r="F814" s="25" t="str">
        <f aca="false">IF($A814="","",SUMIFS(Timesheet!$F$5:$F$3004,Timesheet!$D$5:$D$3004,$A814,Timesheet!$A$5:$A$3004,"&gt;="&amp;Settings!$B$8,Timesheet!$A$5:$A$3004,"&lt;="&amp;Settings!$B$9))</f>
        <v/>
      </c>
      <c r="G814" s="25" t="str">
        <f aca="false">IF($A814="","",SUMIFS(Timesheet!$G$5:$G$3004,Timesheet!$D$5:$D$3004,$A814,Timesheet!$A$5:$A$3004,"&gt;="&amp;Settings!$B$8,Timesheet!$A$5:$A$3004,"&lt;="&amp;Settings!$B$9))</f>
        <v/>
      </c>
      <c r="H814" s="25" t="str">
        <f aca="false">IF($A814="","",IF(D814="Monthly",MAX(0,Settings!$B$11-E814),0))</f>
        <v/>
      </c>
      <c r="I814" s="26" t="str">
        <f aca="false">IF($A814="","",N(INDEX(Workers!$L$5:$L$2004,MATCH($A814,Workers!$A$5:$A$2004,0))))</f>
        <v/>
      </c>
      <c r="J814" s="26" t="str">
        <f aca="false">IF($A814="","",N(INDEX(Workers!$M$5:$M$2004,MATCH($A814,Workers!$A$5:$A$2004,0))))</f>
        <v/>
      </c>
      <c r="K814" s="26" t="str">
        <f aca="false">IF($A814="","",IF(D814="Monthly",ROUND(MAX(0,(I814+J814)-(I814+J814)/Settings!$B$10*H814),2),0))</f>
        <v/>
      </c>
      <c r="L814" s="26" t="str">
        <f aca="false">IF($A814="","",IF(D814="Hourly",ROUND(F814*N(INDEX(Workers!$N$5:$N$2004,MATCH($A814,Workers!$A$5:$A$2004,0))),2),0))</f>
        <v/>
      </c>
      <c r="M814" s="26" t="str">
        <f aca="false">IF($A814="","",ROUND(G814*IF(D814="Hourly",N(INDEX(Workers!$N$5:$N$2004,MATCH($A814,Workers!$A$5:$A$2004,0))),I814/Settings!$B$10/Settings!$B$12)*Settings!$B$13,2))</f>
        <v/>
      </c>
      <c r="N814" s="26" t="str">
        <f aca="false">IF($A814="","",K814+L814+M814)</f>
        <v/>
      </c>
      <c r="O814" s="26" t="str">
        <f aca="false">IF($A814="","",SUMIFS(Deductions!$D$5:$D$2000,Deductions!$B$5:$B$2000,$A814,Deductions!$C$5:$C$2000,"Advance",Deductions!$E$5:$E$2000,"&gt;="&amp;Settings!$B$8,Deductions!$E$5:$E$2000,"&lt;="&amp;Settings!$B$9))</f>
        <v/>
      </c>
      <c r="P814" s="26" t="str">
        <f aca="false">IF($A814="","",SUMIFS(Deductions!$D$5:$D$2000,Deductions!$B$5:$B$2000,$A814,Deductions!$E$5:$E$2000,"&gt;="&amp;Settings!$B$8,Deductions!$E$5:$E$2000,"&lt;="&amp;Settings!$B$9)-O814)</f>
        <v/>
      </c>
      <c r="Q814" s="26" t="str">
        <f aca="false">IF($A814="","",O814+P814)</f>
        <v/>
      </c>
      <c r="R814" s="23" t="str">
        <f aca="false">IF($A814="","",N814-Q814)</f>
        <v/>
      </c>
      <c r="S814" s="24" t="str">
        <f aca="false">IF($A814="","",INDEX(Workers!$O$5:$O$2004,MATCH($A814,Workers!$A$5:$A$2004,0))&amp;"")</f>
        <v/>
      </c>
      <c r="T814" s="24" t="str">
        <f aca="false">IF($A814="","",INDEX(Workers!$P$5:$P$2004,MATCH($A814,Workers!$A$5:$A$2004,0))&amp;"")</f>
        <v/>
      </c>
      <c r="U814" s="24" t="str">
        <f aca="false">IF($A814="","",INDEX(Workers!$H$5:$H$2004,MATCH($A814,Workers!$A$5:$A$2004,0))&amp;"")</f>
        <v/>
      </c>
    </row>
    <row r="815" customFormat="false" ht="15" hidden="false" customHeight="false" outlineLevel="0" collapsed="false">
      <c r="A815" s="24" t="str">
        <f aca="false">IFERROR(INDEX(Workers!$A$5:$A$2004,MATCH(ROW()-4,Workers!$U$5:$U$2004,0)),"")</f>
        <v/>
      </c>
      <c r="B815" s="24" t="str">
        <f aca="false">IF($A815="","",INDEX(Workers!$B$5:$B$2004,MATCH($A815,Workers!$A$5:$A$2004,0)))</f>
        <v/>
      </c>
      <c r="C815" s="24" t="str">
        <f aca="false">IF($A815="","",INDEX(Workers!$E$5:$E$2004,MATCH($A815,Workers!$A$5:$A$2004,0)))</f>
        <v/>
      </c>
      <c r="D815" s="24" t="str">
        <f aca="false">IF($A815="","",INDEX(Workers!$K$5:$K$2004,MATCH($A815,Workers!$A$5:$A$2004,0)))</f>
        <v/>
      </c>
      <c r="E815" s="25" t="str">
        <f aca="false">IF($A815="","",SUMIFS(Timesheet!$E$5:$E$3004,Timesheet!$D$5:$D$3004,$A815,Timesheet!$A$5:$A$3004,"&gt;="&amp;Settings!$B$8,Timesheet!$A$5:$A$3004,"&lt;="&amp;Settings!$B$9))</f>
        <v/>
      </c>
      <c r="F815" s="25" t="str">
        <f aca="false">IF($A815="","",SUMIFS(Timesheet!$F$5:$F$3004,Timesheet!$D$5:$D$3004,$A815,Timesheet!$A$5:$A$3004,"&gt;="&amp;Settings!$B$8,Timesheet!$A$5:$A$3004,"&lt;="&amp;Settings!$B$9))</f>
        <v/>
      </c>
      <c r="G815" s="25" t="str">
        <f aca="false">IF($A815="","",SUMIFS(Timesheet!$G$5:$G$3004,Timesheet!$D$5:$D$3004,$A815,Timesheet!$A$5:$A$3004,"&gt;="&amp;Settings!$B$8,Timesheet!$A$5:$A$3004,"&lt;="&amp;Settings!$B$9))</f>
        <v/>
      </c>
      <c r="H815" s="25" t="str">
        <f aca="false">IF($A815="","",IF(D815="Monthly",MAX(0,Settings!$B$11-E815),0))</f>
        <v/>
      </c>
      <c r="I815" s="26" t="str">
        <f aca="false">IF($A815="","",N(INDEX(Workers!$L$5:$L$2004,MATCH($A815,Workers!$A$5:$A$2004,0))))</f>
        <v/>
      </c>
      <c r="J815" s="26" t="str">
        <f aca="false">IF($A815="","",N(INDEX(Workers!$M$5:$M$2004,MATCH($A815,Workers!$A$5:$A$2004,0))))</f>
        <v/>
      </c>
      <c r="K815" s="26" t="str">
        <f aca="false">IF($A815="","",IF(D815="Monthly",ROUND(MAX(0,(I815+J815)-(I815+J815)/Settings!$B$10*H815),2),0))</f>
        <v/>
      </c>
      <c r="L815" s="26" t="str">
        <f aca="false">IF($A815="","",IF(D815="Hourly",ROUND(F815*N(INDEX(Workers!$N$5:$N$2004,MATCH($A815,Workers!$A$5:$A$2004,0))),2),0))</f>
        <v/>
      </c>
      <c r="M815" s="26" t="str">
        <f aca="false">IF($A815="","",ROUND(G815*IF(D815="Hourly",N(INDEX(Workers!$N$5:$N$2004,MATCH($A815,Workers!$A$5:$A$2004,0))),I815/Settings!$B$10/Settings!$B$12)*Settings!$B$13,2))</f>
        <v/>
      </c>
      <c r="N815" s="26" t="str">
        <f aca="false">IF($A815="","",K815+L815+M815)</f>
        <v/>
      </c>
      <c r="O815" s="26" t="str">
        <f aca="false">IF($A815="","",SUMIFS(Deductions!$D$5:$D$2000,Deductions!$B$5:$B$2000,$A815,Deductions!$C$5:$C$2000,"Advance",Deductions!$E$5:$E$2000,"&gt;="&amp;Settings!$B$8,Deductions!$E$5:$E$2000,"&lt;="&amp;Settings!$B$9))</f>
        <v/>
      </c>
      <c r="P815" s="26" t="str">
        <f aca="false">IF($A815="","",SUMIFS(Deductions!$D$5:$D$2000,Deductions!$B$5:$B$2000,$A815,Deductions!$E$5:$E$2000,"&gt;="&amp;Settings!$B$8,Deductions!$E$5:$E$2000,"&lt;="&amp;Settings!$B$9)-O815)</f>
        <v/>
      </c>
      <c r="Q815" s="26" t="str">
        <f aca="false">IF($A815="","",O815+P815)</f>
        <v/>
      </c>
      <c r="R815" s="23" t="str">
        <f aca="false">IF($A815="","",N815-Q815)</f>
        <v/>
      </c>
      <c r="S815" s="24" t="str">
        <f aca="false">IF($A815="","",INDEX(Workers!$O$5:$O$2004,MATCH($A815,Workers!$A$5:$A$2004,0))&amp;"")</f>
        <v/>
      </c>
      <c r="T815" s="24" t="str">
        <f aca="false">IF($A815="","",INDEX(Workers!$P$5:$P$2004,MATCH($A815,Workers!$A$5:$A$2004,0))&amp;"")</f>
        <v/>
      </c>
      <c r="U815" s="24" t="str">
        <f aca="false">IF($A815="","",INDEX(Workers!$H$5:$H$2004,MATCH($A815,Workers!$A$5:$A$2004,0))&amp;"")</f>
        <v/>
      </c>
    </row>
    <row r="816" customFormat="false" ht="15" hidden="false" customHeight="false" outlineLevel="0" collapsed="false">
      <c r="A816" s="24" t="str">
        <f aca="false">IFERROR(INDEX(Workers!$A$5:$A$2004,MATCH(ROW()-4,Workers!$U$5:$U$2004,0)),"")</f>
        <v/>
      </c>
      <c r="B816" s="24" t="str">
        <f aca="false">IF($A816="","",INDEX(Workers!$B$5:$B$2004,MATCH($A816,Workers!$A$5:$A$2004,0)))</f>
        <v/>
      </c>
      <c r="C816" s="24" t="str">
        <f aca="false">IF($A816="","",INDEX(Workers!$E$5:$E$2004,MATCH($A816,Workers!$A$5:$A$2004,0)))</f>
        <v/>
      </c>
      <c r="D816" s="24" t="str">
        <f aca="false">IF($A816="","",INDEX(Workers!$K$5:$K$2004,MATCH($A816,Workers!$A$5:$A$2004,0)))</f>
        <v/>
      </c>
      <c r="E816" s="25" t="str">
        <f aca="false">IF($A816="","",SUMIFS(Timesheet!$E$5:$E$3004,Timesheet!$D$5:$D$3004,$A816,Timesheet!$A$5:$A$3004,"&gt;="&amp;Settings!$B$8,Timesheet!$A$5:$A$3004,"&lt;="&amp;Settings!$B$9))</f>
        <v/>
      </c>
      <c r="F816" s="25" t="str">
        <f aca="false">IF($A816="","",SUMIFS(Timesheet!$F$5:$F$3004,Timesheet!$D$5:$D$3004,$A816,Timesheet!$A$5:$A$3004,"&gt;="&amp;Settings!$B$8,Timesheet!$A$5:$A$3004,"&lt;="&amp;Settings!$B$9))</f>
        <v/>
      </c>
      <c r="G816" s="25" t="str">
        <f aca="false">IF($A816="","",SUMIFS(Timesheet!$G$5:$G$3004,Timesheet!$D$5:$D$3004,$A816,Timesheet!$A$5:$A$3004,"&gt;="&amp;Settings!$B$8,Timesheet!$A$5:$A$3004,"&lt;="&amp;Settings!$B$9))</f>
        <v/>
      </c>
      <c r="H816" s="25" t="str">
        <f aca="false">IF($A816="","",IF(D816="Monthly",MAX(0,Settings!$B$11-E816),0))</f>
        <v/>
      </c>
      <c r="I816" s="26" t="str">
        <f aca="false">IF($A816="","",N(INDEX(Workers!$L$5:$L$2004,MATCH($A816,Workers!$A$5:$A$2004,0))))</f>
        <v/>
      </c>
      <c r="J816" s="26" t="str">
        <f aca="false">IF($A816="","",N(INDEX(Workers!$M$5:$M$2004,MATCH($A816,Workers!$A$5:$A$2004,0))))</f>
        <v/>
      </c>
      <c r="K816" s="26" t="str">
        <f aca="false">IF($A816="","",IF(D816="Monthly",ROUND(MAX(0,(I816+J816)-(I816+J816)/Settings!$B$10*H816),2),0))</f>
        <v/>
      </c>
      <c r="L816" s="26" t="str">
        <f aca="false">IF($A816="","",IF(D816="Hourly",ROUND(F816*N(INDEX(Workers!$N$5:$N$2004,MATCH($A816,Workers!$A$5:$A$2004,0))),2),0))</f>
        <v/>
      </c>
      <c r="M816" s="26" t="str">
        <f aca="false">IF($A816="","",ROUND(G816*IF(D816="Hourly",N(INDEX(Workers!$N$5:$N$2004,MATCH($A816,Workers!$A$5:$A$2004,0))),I816/Settings!$B$10/Settings!$B$12)*Settings!$B$13,2))</f>
        <v/>
      </c>
      <c r="N816" s="26" t="str">
        <f aca="false">IF($A816="","",K816+L816+M816)</f>
        <v/>
      </c>
      <c r="O816" s="26" t="str">
        <f aca="false">IF($A816="","",SUMIFS(Deductions!$D$5:$D$2000,Deductions!$B$5:$B$2000,$A816,Deductions!$C$5:$C$2000,"Advance",Deductions!$E$5:$E$2000,"&gt;="&amp;Settings!$B$8,Deductions!$E$5:$E$2000,"&lt;="&amp;Settings!$B$9))</f>
        <v/>
      </c>
      <c r="P816" s="26" t="str">
        <f aca="false">IF($A816="","",SUMIFS(Deductions!$D$5:$D$2000,Deductions!$B$5:$B$2000,$A816,Deductions!$E$5:$E$2000,"&gt;="&amp;Settings!$B$8,Deductions!$E$5:$E$2000,"&lt;="&amp;Settings!$B$9)-O816)</f>
        <v/>
      </c>
      <c r="Q816" s="26" t="str">
        <f aca="false">IF($A816="","",O816+P816)</f>
        <v/>
      </c>
      <c r="R816" s="23" t="str">
        <f aca="false">IF($A816="","",N816-Q816)</f>
        <v/>
      </c>
      <c r="S816" s="24" t="str">
        <f aca="false">IF($A816="","",INDEX(Workers!$O$5:$O$2004,MATCH($A816,Workers!$A$5:$A$2004,0))&amp;"")</f>
        <v/>
      </c>
      <c r="T816" s="24" t="str">
        <f aca="false">IF($A816="","",INDEX(Workers!$P$5:$P$2004,MATCH($A816,Workers!$A$5:$A$2004,0))&amp;"")</f>
        <v/>
      </c>
      <c r="U816" s="24" t="str">
        <f aca="false">IF($A816="","",INDEX(Workers!$H$5:$H$2004,MATCH($A816,Workers!$A$5:$A$2004,0))&amp;"")</f>
        <v/>
      </c>
    </row>
    <row r="817" customFormat="false" ht="15" hidden="false" customHeight="false" outlineLevel="0" collapsed="false">
      <c r="A817" s="24" t="str">
        <f aca="false">IFERROR(INDEX(Workers!$A$5:$A$2004,MATCH(ROW()-4,Workers!$U$5:$U$2004,0)),"")</f>
        <v/>
      </c>
      <c r="B817" s="24" t="str">
        <f aca="false">IF($A817="","",INDEX(Workers!$B$5:$B$2004,MATCH($A817,Workers!$A$5:$A$2004,0)))</f>
        <v/>
      </c>
      <c r="C817" s="24" t="str">
        <f aca="false">IF($A817="","",INDEX(Workers!$E$5:$E$2004,MATCH($A817,Workers!$A$5:$A$2004,0)))</f>
        <v/>
      </c>
      <c r="D817" s="24" t="str">
        <f aca="false">IF($A817="","",INDEX(Workers!$K$5:$K$2004,MATCH($A817,Workers!$A$5:$A$2004,0)))</f>
        <v/>
      </c>
      <c r="E817" s="25" t="str">
        <f aca="false">IF($A817="","",SUMIFS(Timesheet!$E$5:$E$3004,Timesheet!$D$5:$D$3004,$A817,Timesheet!$A$5:$A$3004,"&gt;="&amp;Settings!$B$8,Timesheet!$A$5:$A$3004,"&lt;="&amp;Settings!$B$9))</f>
        <v/>
      </c>
      <c r="F817" s="25" t="str">
        <f aca="false">IF($A817="","",SUMIFS(Timesheet!$F$5:$F$3004,Timesheet!$D$5:$D$3004,$A817,Timesheet!$A$5:$A$3004,"&gt;="&amp;Settings!$B$8,Timesheet!$A$5:$A$3004,"&lt;="&amp;Settings!$B$9))</f>
        <v/>
      </c>
      <c r="G817" s="25" t="str">
        <f aca="false">IF($A817="","",SUMIFS(Timesheet!$G$5:$G$3004,Timesheet!$D$5:$D$3004,$A817,Timesheet!$A$5:$A$3004,"&gt;="&amp;Settings!$B$8,Timesheet!$A$5:$A$3004,"&lt;="&amp;Settings!$B$9))</f>
        <v/>
      </c>
      <c r="H817" s="25" t="str">
        <f aca="false">IF($A817="","",IF(D817="Monthly",MAX(0,Settings!$B$11-E817),0))</f>
        <v/>
      </c>
      <c r="I817" s="26" t="str">
        <f aca="false">IF($A817="","",N(INDEX(Workers!$L$5:$L$2004,MATCH($A817,Workers!$A$5:$A$2004,0))))</f>
        <v/>
      </c>
      <c r="J817" s="26" t="str">
        <f aca="false">IF($A817="","",N(INDEX(Workers!$M$5:$M$2004,MATCH($A817,Workers!$A$5:$A$2004,0))))</f>
        <v/>
      </c>
      <c r="K817" s="26" t="str">
        <f aca="false">IF($A817="","",IF(D817="Monthly",ROUND(MAX(0,(I817+J817)-(I817+J817)/Settings!$B$10*H817),2),0))</f>
        <v/>
      </c>
      <c r="L817" s="26" t="str">
        <f aca="false">IF($A817="","",IF(D817="Hourly",ROUND(F817*N(INDEX(Workers!$N$5:$N$2004,MATCH($A817,Workers!$A$5:$A$2004,0))),2),0))</f>
        <v/>
      </c>
      <c r="M817" s="26" t="str">
        <f aca="false">IF($A817="","",ROUND(G817*IF(D817="Hourly",N(INDEX(Workers!$N$5:$N$2004,MATCH($A817,Workers!$A$5:$A$2004,0))),I817/Settings!$B$10/Settings!$B$12)*Settings!$B$13,2))</f>
        <v/>
      </c>
      <c r="N817" s="26" t="str">
        <f aca="false">IF($A817="","",K817+L817+M817)</f>
        <v/>
      </c>
      <c r="O817" s="26" t="str">
        <f aca="false">IF($A817="","",SUMIFS(Deductions!$D$5:$D$2000,Deductions!$B$5:$B$2000,$A817,Deductions!$C$5:$C$2000,"Advance",Deductions!$E$5:$E$2000,"&gt;="&amp;Settings!$B$8,Deductions!$E$5:$E$2000,"&lt;="&amp;Settings!$B$9))</f>
        <v/>
      </c>
      <c r="P817" s="26" t="str">
        <f aca="false">IF($A817="","",SUMIFS(Deductions!$D$5:$D$2000,Deductions!$B$5:$B$2000,$A817,Deductions!$E$5:$E$2000,"&gt;="&amp;Settings!$B$8,Deductions!$E$5:$E$2000,"&lt;="&amp;Settings!$B$9)-O817)</f>
        <v/>
      </c>
      <c r="Q817" s="26" t="str">
        <f aca="false">IF($A817="","",O817+P817)</f>
        <v/>
      </c>
      <c r="R817" s="23" t="str">
        <f aca="false">IF($A817="","",N817-Q817)</f>
        <v/>
      </c>
      <c r="S817" s="24" t="str">
        <f aca="false">IF($A817="","",INDEX(Workers!$O$5:$O$2004,MATCH($A817,Workers!$A$5:$A$2004,0))&amp;"")</f>
        <v/>
      </c>
      <c r="T817" s="24" t="str">
        <f aca="false">IF($A817="","",INDEX(Workers!$P$5:$P$2004,MATCH($A817,Workers!$A$5:$A$2004,0))&amp;"")</f>
        <v/>
      </c>
      <c r="U817" s="24" t="str">
        <f aca="false">IF($A817="","",INDEX(Workers!$H$5:$H$2004,MATCH($A817,Workers!$A$5:$A$2004,0))&amp;"")</f>
        <v/>
      </c>
    </row>
    <row r="818" customFormat="false" ht="15" hidden="false" customHeight="false" outlineLevel="0" collapsed="false">
      <c r="A818" s="24" t="str">
        <f aca="false">IFERROR(INDEX(Workers!$A$5:$A$2004,MATCH(ROW()-4,Workers!$U$5:$U$2004,0)),"")</f>
        <v/>
      </c>
      <c r="B818" s="24" t="str">
        <f aca="false">IF($A818="","",INDEX(Workers!$B$5:$B$2004,MATCH($A818,Workers!$A$5:$A$2004,0)))</f>
        <v/>
      </c>
      <c r="C818" s="24" t="str">
        <f aca="false">IF($A818="","",INDEX(Workers!$E$5:$E$2004,MATCH($A818,Workers!$A$5:$A$2004,0)))</f>
        <v/>
      </c>
      <c r="D818" s="24" t="str">
        <f aca="false">IF($A818="","",INDEX(Workers!$K$5:$K$2004,MATCH($A818,Workers!$A$5:$A$2004,0)))</f>
        <v/>
      </c>
      <c r="E818" s="25" t="str">
        <f aca="false">IF($A818="","",SUMIFS(Timesheet!$E$5:$E$3004,Timesheet!$D$5:$D$3004,$A818,Timesheet!$A$5:$A$3004,"&gt;="&amp;Settings!$B$8,Timesheet!$A$5:$A$3004,"&lt;="&amp;Settings!$B$9))</f>
        <v/>
      </c>
      <c r="F818" s="25" t="str">
        <f aca="false">IF($A818="","",SUMIFS(Timesheet!$F$5:$F$3004,Timesheet!$D$5:$D$3004,$A818,Timesheet!$A$5:$A$3004,"&gt;="&amp;Settings!$B$8,Timesheet!$A$5:$A$3004,"&lt;="&amp;Settings!$B$9))</f>
        <v/>
      </c>
      <c r="G818" s="25" t="str">
        <f aca="false">IF($A818="","",SUMIFS(Timesheet!$G$5:$G$3004,Timesheet!$D$5:$D$3004,$A818,Timesheet!$A$5:$A$3004,"&gt;="&amp;Settings!$B$8,Timesheet!$A$5:$A$3004,"&lt;="&amp;Settings!$B$9))</f>
        <v/>
      </c>
      <c r="H818" s="25" t="str">
        <f aca="false">IF($A818="","",IF(D818="Monthly",MAX(0,Settings!$B$11-E818),0))</f>
        <v/>
      </c>
      <c r="I818" s="26" t="str">
        <f aca="false">IF($A818="","",N(INDEX(Workers!$L$5:$L$2004,MATCH($A818,Workers!$A$5:$A$2004,0))))</f>
        <v/>
      </c>
      <c r="J818" s="26" t="str">
        <f aca="false">IF($A818="","",N(INDEX(Workers!$M$5:$M$2004,MATCH($A818,Workers!$A$5:$A$2004,0))))</f>
        <v/>
      </c>
      <c r="K818" s="26" t="str">
        <f aca="false">IF($A818="","",IF(D818="Monthly",ROUND(MAX(0,(I818+J818)-(I818+J818)/Settings!$B$10*H818),2),0))</f>
        <v/>
      </c>
      <c r="L818" s="26" t="str">
        <f aca="false">IF($A818="","",IF(D818="Hourly",ROUND(F818*N(INDEX(Workers!$N$5:$N$2004,MATCH($A818,Workers!$A$5:$A$2004,0))),2),0))</f>
        <v/>
      </c>
      <c r="M818" s="26" t="str">
        <f aca="false">IF($A818="","",ROUND(G818*IF(D818="Hourly",N(INDEX(Workers!$N$5:$N$2004,MATCH($A818,Workers!$A$5:$A$2004,0))),I818/Settings!$B$10/Settings!$B$12)*Settings!$B$13,2))</f>
        <v/>
      </c>
      <c r="N818" s="26" t="str">
        <f aca="false">IF($A818="","",K818+L818+M818)</f>
        <v/>
      </c>
      <c r="O818" s="26" t="str">
        <f aca="false">IF($A818="","",SUMIFS(Deductions!$D$5:$D$2000,Deductions!$B$5:$B$2000,$A818,Deductions!$C$5:$C$2000,"Advance",Deductions!$E$5:$E$2000,"&gt;="&amp;Settings!$B$8,Deductions!$E$5:$E$2000,"&lt;="&amp;Settings!$B$9))</f>
        <v/>
      </c>
      <c r="P818" s="26" t="str">
        <f aca="false">IF($A818="","",SUMIFS(Deductions!$D$5:$D$2000,Deductions!$B$5:$B$2000,$A818,Deductions!$E$5:$E$2000,"&gt;="&amp;Settings!$B$8,Deductions!$E$5:$E$2000,"&lt;="&amp;Settings!$B$9)-O818)</f>
        <v/>
      </c>
      <c r="Q818" s="26" t="str">
        <f aca="false">IF($A818="","",O818+P818)</f>
        <v/>
      </c>
      <c r="R818" s="23" t="str">
        <f aca="false">IF($A818="","",N818-Q818)</f>
        <v/>
      </c>
      <c r="S818" s="24" t="str">
        <f aca="false">IF($A818="","",INDEX(Workers!$O$5:$O$2004,MATCH($A818,Workers!$A$5:$A$2004,0))&amp;"")</f>
        <v/>
      </c>
      <c r="T818" s="24" t="str">
        <f aca="false">IF($A818="","",INDEX(Workers!$P$5:$P$2004,MATCH($A818,Workers!$A$5:$A$2004,0))&amp;"")</f>
        <v/>
      </c>
      <c r="U818" s="24" t="str">
        <f aca="false">IF($A818="","",INDEX(Workers!$H$5:$H$2004,MATCH($A818,Workers!$A$5:$A$2004,0))&amp;"")</f>
        <v/>
      </c>
    </row>
    <row r="819" customFormat="false" ht="15" hidden="false" customHeight="false" outlineLevel="0" collapsed="false">
      <c r="A819" s="24" t="str">
        <f aca="false">IFERROR(INDEX(Workers!$A$5:$A$2004,MATCH(ROW()-4,Workers!$U$5:$U$2004,0)),"")</f>
        <v/>
      </c>
      <c r="B819" s="24" t="str">
        <f aca="false">IF($A819="","",INDEX(Workers!$B$5:$B$2004,MATCH($A819,Workers!$A$5:$A$2004,0)))</f>
        <v/>
      </c>
      <c r="C819" s="24" t="str">
        <f aca="false">IF($A819="","",INDEX(Workers!$E$5:$E$2004,MATCH($A819,Workers!$A$5:$A$2004,0)))</f>
        <v/>
      </c>
      <c r="D819" s="24" t="str">
        <f aca="false">IF($A819="","",INDEX(Workers!$K$5:$K$2004,MATCH($A819,Workers!$A$5:$A$2004,0)))</f>
        <v/>
      </c>
      <c r="E819" s="25" t="str">
        <f aca="false">IF($A819="","",SUMIFS(Timesheet!$E$5:$E$3004,Timesheet!$D$5:$D$3004,$A819,Timesheet!$A$5:$A$3004,"&gt;="&amp;Settings!$B$8,Timesheet!$A$5:$A$3004,"&lt;="&amp;Settings!$B$9))</f>
        <v/>
      </c>
      <c r="F819" s="25" t="str">
        <f aca="false">IF($A819="","",SUMIFS(Timesheet!$F$5:$F$3004,Timesheet!$D$5:$D$3004,$A819,Timesheet!$A$5:$A$3004,"&gt;="&amp;Settings!$B$8,Timesheet!$A$5:$A$3004,"&lt;="&amp;Settings!$B$9))</f>
        <v/>
      </c>
      <c r="G819" s="25" t="str">
        <f aca="false">IF($A819="","",SUMIFS(Timesheet!$G$5:$G$3004,Timesheet!$D$5:$D$3004,$A819,Timesheet!$A$5:$A$3004,"&gt;="&amp;Settings!$B$8,Timesheet!$A$5:$A$3004,"&lt;="&amp;Settings!$B$9))</f>
        <v/>
      </c>
      <c r="H819" s="25" t="str">
        <f aca="false">IF($A819="","",IF(D819="Monthly",MAX(0,Settings!$B$11-E819),0))</f>
        <v/>
      </c>
      <c r="I819" s="26" t="str">
        <f aca="false">IF($A819="","",N(INDEX(Workers!$L$5:$L$2004,MATCH($A819,Workers!$A$5:$A$2004,0))))</f>
        <v/>
      </c>
      <c r="J819" s="26" t="str">
        <f aca="false">IF($A819="","",N(INDEX(Workers!$M$5:$M$2004,MATCH($A819,Workers!$A$5:$A$2004,0))))</f>
        <v/>
      </c>
      <c r="K819" s="26" t="str">
        <f aca="false">IF($A819="","",IF(D819="Monthly",ROUND(MAX(0,(I819+J819)-(I819+J819)/Settings!$B$10*H819),2),0))</f>
        <v/>
      </c>
      <c r="L819" s="26" t="str">
        <f aca="false">IF($A819="","",IF(D819="Hourly",ROUND(F819*N(INDEX(Workers!$N$5:$N$2004,MATCH($A819,Workers!$A$5:$A$2004,0))),2),0))</f>
        <v/>
      </c>
      <c r="M819" s="26" t="str">
        <f aca="false">IF($A819="","",ROUND(G819*IF(D819="Hourly",N(INDEX(Workers!$N$5:$N$2004,MATCH($A819,Workers!$A$5:$A$2004,0))),I819/Settings!$B$10/Settings!$B$12)*Settings!$B$13,2))</f>
        <v/>
      </c>
      <c r="N819" s="26" t="str">
        <f aca="false">IF($A819="","",K819+L819+M819)</f>
        <v/>
      </c>
      <c r="O819" s="26" t="str">
        <f aca="false">IF($A819="","",SUMIFS(Deductions!$D$5:$D$2000,Deductions!$B$5:$B$2000,$A819,Deductions!$C$5:$C$2000,"Advance",Deductions!$E$5:$E$2000,"&gt;="&amp;Settings!$B$8,Deductions!$E$5:$E$2000,"&lt;="&amp;Settings!$B$9))</f>
        <v/>
      </c>
      <c r="P819" s="26" t="str">
        <f aca="false">IF($A819="","",SUMIFS(Deductions!$D$5:$D$2000,Deductions!$B$5:$B$2000,$A819,Deductions!$E$5:$E$2000,"&gt;="&amp;Settings!$B$8,Deductions!$E$5:$E$2000,"&lt;="&amp;Settings!$B$9)-O819)</f>
        <v/>
      </c>
      <c r="Q819" s="26" t="str">
        <f aca="false">IF($A819="","",O819+P819)</f>
        <v/>
      </c>
      <c r="R819" s="23" t="str">
        <f aca="false">IF($A819="","",N819-Q819)</f>
        <v/>
      </c>
      <c r="S819" s="24" t="str">
        <f aca="false">IF($A819="","",INDEX(Workers!$O$5:$O$2004,MATCH($A819,Workers!$A$5:$A$2004,0))&amp;"")</f>
        <v/>
      </c>
      <c r="T819" s="24" t="str">
        <f aca="false">IF($A819="","",INDEX(Workers!$P$5:$P$2004,MATCH($A819,Workers!$A$5:$A$2004,0))&amp;"")</f>
        <v/>
      </c>
      <c r="U819" s="24" t="str">
        <f aca="false">IF($A819="","",INDEX(Workers!$H$5:$H$2004,MATCH($A819,Workers!$A$5:$A$2004,0))&amp;"")</f>
        <v/>
      </c>
    </row>
    <row r="820" customFormat="false" ht="15" hidden="false" customHeight="false" outlineLevel="0" collapsed="false">
      <c r="A820" s="24" t="str">
        <f aca="false">IFERROR(INDEX(Workers!$A$5:$A$2004,MATCH(ROW()-4,Workers!$U$5:$U$2004,0)),"")</f>
        <v/>
      </c>
      <c r="B820" s="24" t="str">
        <f aca="false">IF($A820="","",INDEX(Workers!$B$5:$B$2004,MATCH($A820,Workers!$A$5:$A$2004,0)))</f>
        <v/>
      </c>
      <c r="C820" s="24" t="str">
        <f aca="false">IF($A820="","",INDEX(Workers!$E$5:$E$2004,MATCH($A820,Workers!$A$5:$A$2004,0)))</f>
        <v/>
      </c>
      <c r="D820" s="24" t="str">
        <f aca="false">IF($A820="","",INDEX(Workers!$K$5:$K$2004,MATCH($A820,Workers!$A$5:$A$2004,0)))</f>
        <v/>
      </c>
      <c r="E820" s="25" t="str">
        <f aca="false">IF($A820="","",SUMIFS(Timesheet!$E$5:$E$3004,Timesheet!$D$5:$D$3004,$A820,Timesheet!$A$5:$A$3004,"&gt;="&amp;Settings!$B$8,Timesheet!$A$5:$A$3004,"&lt;="&amp;Settings!$B$9))</f>
        <v/>
      </c>
      <c r="F820" s="25" t="str">
        <f aca="false">IF($A820="","",SUMIFS(Timesheet!$F$5:$F$3004,Timesheet!$D$5:$D$3004,$A820,Timesheet!$A$5:$A$3004,"&gt;="&amp;Settings!$B$8,Timesheet!$A$5:$A$3004,"&lt;="&amp;Settings!$B$9))</f>
        <v/>
      </c>
      <c r="G820" s="25" t="str">
        <f aca="false">IF($A820="","",SUMIFS(Timesheet!$G$5:$G$3004,Timesheet!$D$5:$D$3004,$A820,Timesheet!$A$5:$A$3004,"&gt;="&amp;Settings!$B$8,Timesheet!$A$5:$A$3004,"&lt;="&amp;Settings!$B$9))</f>
        <v/>
      </c>
      <c r="H820" s="25" t="str">
        <f aca="false">IF($A820="","",IF(D820="Monthly",MAX(0,Settings!$B$11-E820),0))</f>
        <v/>
      </c>
      <c r="I820" s="26" t="str">
        <f aca="false">IF($A820="","",N(INDEX(Workers!$L$5:$L$2004,MATCH($A820,Workers!$A$5:$A$2004,0))))</f>
        <v/>
      </c>
      <c r="J820" s="26" t="str">
        <f aca="false">IF($A820="","",N(INDEX(Workers!$M$5:$M$2004,MATCH($A820,Workers!$A$5:$A$2004,0))))</f>
        <v/>
      </c>
      <c r="K820" s="26" t="str">
        <f aca="false">IF($A820="","",IF(D820="Monthly",ROUND(MAX(0,(I820+J820)-(I820+J820)/Settings!$B$10*H820),2),0))</f>
        <v/>
      </c>
      <c r="L820" s="26" t="str">
        <f aca="false">IF($A820="","",IF(D820="Hourly",ROUND(F820*N(INDEX(Workers!$N$5:$N$2004,MATCH($A820,Workers!$A$5:$A$2004,0))),2),0))</f>
        <v/>
      </c>
      <c r="M820" s="26" t="str">
        <f aca="false">IF($A820="","",ROUND(G820*IF(D820="Hourly",N(INDEX(Workers!$N$5:$N$2004,MATCH($A820,Workers!$A$5:$A$2004,0))),I820/Settings!$B$10/Settings!$B$12)*Settings!$B$13,2))</f>
        <v/>
      </c>
      <c r="N820" s="26" t="str">
        <f aca="false">IF($A820="","",K820+L820+M820)</f>
        <v/>
      </c>
      <c r="O820" s="26" t="str">
        <f aca="false">IF($A820="","",SUMIFS(Deductions!$D$5:$D$2000,Deductions!$B$5:$B$2000,$A820,Deductions!$C$5:$C$2000,"Advance",Deductions!$E$5:$E$2000,"&gt;="&amp;Settings!$B$8,Deductions!$E$5:$E$2000,"&lt;="&amp;Settings!$B$9))</f>
        <v/>
      </c>
      <c r="P820" s="26" t="str">
        <f aca="false">IF($A820="","",SUMIFS(Deductions!$D$5:$D$2000,Deductions!$B$5:$B$2000,$A820,Deductions!$E$5:$E$2000,"&gt;="&amp;Settings!$B$8,Deductions!$E$5:$E$2000,"&lt;="&amp;Settings!$B$9)-O820)</f>
        <v/>
      </c>
      <c r="Q820" s="26" t="str">
        <f aca="false">IF($A820="","",O820+P820)</f>
        <v/>
      </c>
      <c r="R820" s="23" t="str">
        <f aca="false">IF($A820="","",N820-Q820)</f>
        <v/>
      </c>
      <c r="S820" s="24" t="str">
        <f aca="false">IF($A820="","",INDEX(Workers!$O$5:$O$2004,MATCH($A820,Workers!$A$5:$A$2004,0))&amp;"")</f>
        <v/>
      </c>
      <c r="T820" s="24" t="str">
        <f aca="false">IF($A820="","",INDEX(Workers!$P$5:$P$2004,MATCH($A820,Workers!$A$5:$A$2004,0))&amp;"")</f>
        <v/>
      </c>
      <c r="U820" s="24" t="str">
        <f aca="false">IF($A820="","",INDEX(Workers!$H$5:$H$2004,MATCH($A820,Workers!$A$5:$A$2004,0))&amp;"")</f>
        <v/>
      </c>
    </row>
    <row r="821" customFormat="false" ht="15" hidden="false" customHeight="false" outlineLevel="0" collapsed="false">
      <c r="A821" s="24" t="str">
        <f aca="false">IFERROR(INDEX(Workers!$A$5:$A$2004,MATCH(ROW()-4,Workers!$U$5:$U$2004,0)),"")</f>
        <v/>
      </c>
      <c r="B821" s="24" t="str">
        <f aca="false">IF($A821="","",INDEX(Workers!$B$5:$B$2004,MATCH($A821,Workers!$A$5:$A$2004,0)))</f>
        <v/>
      </c>
      <c r="C821" s="24" t="str">
        <f aca="false">IF($A821="","",INDEX(Workers!$E$5:$E$2004,MATCH($A821,Workers!$A$5:$A$2004,0)))</f>
        <v/>
      </c>
      <c r="D821" s="24" t="str">
        <f aca="false">IF($A821="","",INDEX(Workers!$K$5:$K$2004,MATCH($A821,Workers!$A$5:$A$2004,0)))</f>
        <v/>
      </c>
      <c r="E821" s="25" t="str">
        <f aca="false">IF($A821="","",SUMIFS(Timesheet!$E$5:$E$3004,Timesheet!$D$5:$D$3004,$A821,Timesheet!$A$5:$A$3004,"&gt;="&amp;Settings!$B$8,Timesheet!$A$5:$A$3004,"&lt;="&amp;Settings!$B$9))</f>
        <v/>
      </c>
      <c r="F821" s="25" t="str">
        <f aca="false">IF($A821="","",SUMIFS(Timesheet!$F$5:$F$3004,Timesheet!$D$5:$D$3004,$A821,Timesheet!$A$5:$A$3004,"&gt;="&amp;Settings!$B$8,Timesheet!$A$5:$A$3004,"&lt;="&amp;Settings!$B$9))</f>
        <v/>
      </c>
      <c r="G821" s="25" t="str">
        <f aca="false">IF($A821="","",SUMIFS(Timesheet!$G$5:$G$3004,Timesheet!$D$5:$D$3004,$A821,Timesheet!$A$5:$A$3004,"&gt;="&amp;Settings!$B$8,Timesheet!$A$5:$A$3004,"&lt;="&amp;Settings!$B$9))</f>
        <v/>
      </c>
      <c r="H821" s="25" t="str">
        <f aca="false">IF($A821="","",IF(D821="Monthly",MAX(0,Settings!$B$11-E821),0))</f>
        <v/>
      </c>
      <c r="I821" s="26" t="str">
        <f aca="false">IF($A821="","",N(INDEX(Workers!$L$5:$L$2004,MATCH($A821,Workers!$A$5:$A$2004,0))))</f>
        <v/>
      </c>
      <c r="J821" s="26" t="str">
        <f aca="false">IF($A821="","",N(INDEX(Workers!$M$5:$M$2004,MATCH($A821,Workers!$A$5:$A$2004,0))))</f>
        <v/>
      </c>
      <c r="K821" s="26" t="str">
        <f aca="false">IF($A821="","",IF(D821="Monthly",ROUND(MAX(0,(I821+J821)-(I821+J821)/Settings!$B$10*H821),2),0))</f>
        <v/>
      </c>
      <c r="L821" s="26" t="str">
        <f aca="false">IF($A821="","",IF(D821="Hourly",ROUND(F821*N(INDEX(Workers!$N$5:$N$2004,MATCH($A821,Workers!$A$5:$A$2004,0))),2),0))</f>
        <v/>
      </c>
      <c r="M821" s="26" t="str">
        <f aca="false">IF($A821="","",ROUND(G821*IF(D821="Hourly",N(INDEX(Workers!$N$5:$N$2004,MATCH($A821,Workers!$A$5:$A$2004,0))),I821/Settings!$B$10/Settings!$B$12)*Settings!$B$13,2))</f>
        <v/>
      </c>
      <c r="N821" s="26" t="str">
        <f aca="false">IF($A821="","",K821+L821+M821)</f>
        <v/>
      </c>
      <c r="O821" s="26" t="str">
        <f aca="false">IF($A821="","",SUMIFS(Deductions!$D$5:$D$2000,Deductions!$B$5:$B$2000,$A821,Deductions!$C$5:$C$2000,"Advance",Deductions!$E$5:$E$2000,"&gt;="&amp;Settings!$B$8,Deductions!$E$5:$E$2000,"&lt;="&amp;Settings!$B$9))</f>
        <v/>
      </c>
      <c r="P821" s="26" t="str">
        <f aca="false">IF($A821="","",SUMIFS(Deductions!$D$5:$D$2000,Deductions!$B$5:$B$2000,$A821,Deductions!$E$5:$E$2000,"&gt;="&amp;Settings!$B$8,Deductions!$E$5:$E$2000,"&lt;="&amp;Settings!$B$9)-O821)</f>
        <v/>
      </c>
      <c r="Q821" s="26" t="str">
        <f aca="false">IF($A821="","",O821+P821)</f>
        <v/>
      </c>
      <c r="R821" s="23" t="str">
        <f aca="false">IF($A821="","",N821-Q821)</f>
        <v/>
      </c>
      <c r="S821" s="24" t="str">
        <f aca="false">IF($A821="","",INDEX(Workers!$O$5:$O$2004,MATCH($A821,Workers!$A$5:$A$2004,0))&amp;"")</f>
        <v/>
      </c>
      <c r="T821" s="24" t="str">
        <f aca="false">IF($A821="","",INDEX(Workers!$P$5:$P$2004,MATCH($A821,Workers!$A$5:$A$2004,0))&amp;"")</f>
        <v/>
      </c>
      <c r="U821" s="24" t="str">
        <f aca="false">IF($A821="","",INDEX(Workers!$H$5:$H$2004,MATCH($A821,Workers!$A$5:$A$2004,0))&amp;"")</f>
        <v/>
      </c>
    </row>
    <row r="822" customFormat="false" ht="15" hidden="false" customHeight="false" outlineLevel="0" collapsed="false">
      <c r="A822" s="24" t="str">
        <f aca="false">IFERROR(INDEX(Workers!$A$5:$A$2004,MATCH(ROW()-4,Workers!$U$5:$U$2004,0)),"")</f>
        <v/>
      </c>
      <c r="B822" s="24" t="str">
        <f aca="false">IF($A822="","",INDEX(Workers!$B$5:$B$2004,MATCH($A822,Workers!$A$5:$A$2004,0)))</f>
        <v/>
      </c>
      <c r="C822" s="24" t="str">
        <f aca="false">IF($A822="","",INDEX(Workers!$E$5:$E$2004,MATCH($A822,Workers!$A$5:$A$2004,0)))</f>
        <v/>
      </c>
      <c r="D822" s="24" t="str">
        <f aca="false">IF($A822="","",INDEX(Workers!$K$5:$K$2004,MATCH($A822,Workers!$A$5:$A$2004,0)))</f>
        <v/>
      </c>
      <c r="E822" s="25" t="str">
        <f aca="false">IF($A822="","",SUMIFS(Timesheet!$E$5:$E$3004,Timesheet!$D$5:$D$3004,$A822,Timesheet!$A$5:$A$3004,"&gt;="&amp;Settings!$B$8,Timesheet!$A$5:$A$3004,"&lt;="&amp;Settings!$B$9))</f>
        <v/>
      </c>
      <c r="F822" s="25" t="str">
        <f aca="false">IF($A822="","",SUMIFS(Timesheet!$F$5:$F$3004,Timesheet!$D$5:$D$3004,$A822,Timesheet!$A$5:$A$3004,"&gt;="&amp;Settings!$B$8,Timesheet!$A$5:$A$3004,"&lt;="&amp;Settings!$B$9))</f>
        <v/>
      </c>
      <c r="G822" s="25" t="str">
        <f aca="false">IF($A822="","",SUMIFS(Timesheet!$G$5:$G$3004,Timesheet!$D$5:$D$3004,$A822,Timesheet!$A$5:$A$3004,"&gt;="&amp;Settings!$B$8,Timesheet!$A$5:$A$3004,"&lt;="&amp;Settings!$B$9))</f>
        <v/>
      </c>
      <c r="H822" s="25" t="str">
        <f aca="false">IF($A822="","",IF(D822="Monthly",MAX(0,Settings!$B$11-E822),0))</f>
        <v/>
      </c>
      <c r="I822" s="26" t="str">
        <f aca="false">IF($A822="","",N(INDEX(Workers!$L$5:$L$2004,MATCH($A822,Workers!$A$5:$A$2004,0))))</f>
        <v/>
      </c>
      <c r="J822" s="26" t="str">
        <f aca="false">IF($A822="","",N(INDEX(Workers!$M$5:$M$2004,MATCH($A822,Workers!$A$5:$A$2004,0))))</f>
        <v/>
      </c>
      <c r="K822" s="26" t="str">
        <f aca="false">IF($A822="","",IF(D822="Monthly",ROUND(MAX(0,(I822+J822)-(I822+J822)/Settings!$B$10*H822),2),0))</f>
        <v/>
      </c>
      <c r="L822" s="26" t="str">
        <f aca="false">IF($A822="","",IF(D822="Hourly",ROUND(F822*N(INDEX(Workers!$N$5:$N$2004,MATCH($A822,Workers!$A$5:$A$2004,0))),2),0))</f>
        <v/>
      </c>
      <c r="M822" s="26" t="str">
        <f aca="false">IF($A822="","",ROUND(G822*IF(D822="Hourly",N(INDEX(Workers!$N$5:$N$2004,MATCH($A822,Workers!$A$5:$A$2004,0))),I822/Settings!$B$10/Settings!$B$12)*Settings!$B$13,2))</f>
        <v/>
      </c>
      <c r="N822" s="26" t="str">
        <f aca="false">IF($A822="","",K822+L822+M822)</f>
        <v/>
      </c>
      <c r="O822" s="26" t="str">
        <f aca="false">IF($A822="","",SUMIFS(Deductions!$D$5:$D$2000,Deductions!$B$5:$B$2000,$A822,Deductions!$C$5:$C$2000,"Advance",Deductions!$E$5:$E$2000,"&gt;="&amp;Settings!$B$8,Deductions!$E$5:$E$2000,"&lt;="&amp;Settings!$B$9))</f>
        <v/>
      </c>
      <c r="P822" s="26" t="str">
        <f aca="false">IF($A822="","",SUMIFS(Deductions!$D$5:$D$2000,Deductions!$B$5:$B$2000,$A822,Deductions!$E$5:$E$2000,"&gt;="&amp;Settings!$B$8,Deductions!$E$5:$E$2000,"&lt;="&amp;Settings!$B$9)-O822)</f>
        <v/>
      </c>
      <c r="Q822" s="26" t="str">
        <f aca="false">IF($A822="","",O822+P822)</f>
        <v/>
      </c>
      <c r="R822" s="23" t="str">
        <f aca="false">IF($A822="","",N822-Q822)</f>
        <v/>
      </c>
      <c r="S822" s="24" t="str">
        <f aca="false">IF($A822="","",INDEX(Workers!$O$5:$O$2004,MATCH($A822,Workers!$A$5:$A$2004,0))&amp;"")</f>
        <v/>
      </c>
      <c r="T822" s="24" t="str">
        <f aca="false">IF($A822="","",INDEX(Workers!$P$5:$P$2004,MATCH($A822,Workers!$A$5:$A$2004,0))&amp;"")</f>
        <v/>
      </c>
      <c r="U822" s="24" t="str">
        <f aca="false">IF($A822="","",INDEX(Workers!$H$5:$H$2004,MATCH($A822,Workers!$A$5:$A$2004,0))&amp;"")</f>
        <v/>
      </c>
    </row>
    <row r="823" customFormat="false" ht="15" hidden="false" customHeight="false" outlineLevel="0" collapsed="false">
      <c r="A823" s="24" t="str">
        <f aca="false">IFERROR(INDEX(Workers!$A$5:$A$2004,MATCH(ROW()-4,Workers!$U$5:$U$2004,0)),"")</f>
        <v/>
      </c>
      <c r="B823" s="24" t="str">
        <f aca="false">IF($A823="","",INDEX(Workers!$B$5:$B$2004,MATCH($A823,Workers!$A$5:$A$2004,0)))</f>
        <v/>
      </c>
      <c r="C823" s="24" t="str">
        <f aca="false">IF($A823="","",INDEX(Workers!$E$5:$E$2004,MATCH($A823,Workers!$A$5:$A$2004,0)))</f>
        <v/>
      </c>
      <c r="D823" s="24" t="str">
        <f aca="false">IF($A823="","",INDEX(Workers!$K$5:$K$2004,MATCH($A823,Workers!$A$5:$A$2004,0)))</f>
        <v/>
      </c>
      <c r="E823" s="25" t="str">
        <f aca="false">IF($A823="","",SUMIFS(Timesheet!$E$5:$E$3004,Timesheet!$D$5:$D$3004,$A823,Timesheet!$A$5:$A$3004,"&gt;="&amp;Settings!$B$8,Timesheet!$A$5:$A$3004,"&lt;="&amp;Settings!$B$9))</f>
        <v/>
      </c>
      <c r="F823" s="25" t="str">
        <f aca="false">IF($A823="","",SUMIFS(Timesheet!$F$5:$F$3004,Timesheet!$D$5:$D$3004,$A823,Timesheet!$A$5:$A$3004,"&gt;="&amp;Settings!$B$8,Timesheet!$A$5:$A$3004,"&lt;="&amp;Settings!$B$9))</f>
        <v/>
      </c>
      <c r="G823" s="25" t="str">
        <f aca="false">IF($A823="","",SUMIFS(Timesheet!$G$5:$G$3004,Timesheet!$D$5:$D$3004,$A823,Timesheet!$A$5:$A$3004,"&gt;="&amp;Settings!$B$8,Timesheet!$A$5:$A$3004,"&lt;="&amp;Settings!$B$9))</f>
        <v/>
      </c>
      <c r="H823" s="25" t="str">
        <f aca="false">IF($A823="","",IF(D823="Monthly",MAX(0,Settings!$B$11-E823),0))</f>
        <v/>
      </c>
      <c r="I823" s="26" t="str">
        <f aca="false">IF($A823="","",N(INDEX(Workers!$L$5:$L$2004,MATCH($A823,Workers!$A$5:$A$2004,0))))</f>
        <v/>
      </c>
      <c r="J823" s="26" t="str">
        <f aca="false">IF($A823="","",N(INDEX(Workers!$M$5:$M$2004,MATCH($A823,Workers!$A$5:$A$2004,0))))</f>
        <v/>
      </c>
      <c r="K823" s="26" t="str">
        <f aca="false">IF($A823="","",IF(D823="Monthly",ROUND(MAX(0,(I823+J823)-(I823+J823)/Settings!$B$10*H823),2),0))</f>
        <v/>
      </c>
      <c r="L823" s="26" t="str">
        <f aca="false">IF($A823="","",IF(D823="Hourly",ROUND(F823*N(INDEX(Workers!$N$5:$N$2004,MATCH($A823,Workers!$A$5:$A$2004,0))),2),0))</f>
        <v/>
      </c>
      <c r="M823" s="26" t="str">
        <f aca="false">IF($A823="","",ROUND(G823*IF(D823="Hourly",N(INDEX(Workers!$N$5:$N$2004,MATCH($A823,Workers!$A$5:$A$2004,0))),I823/Settings!$B$10/Settings!$B$12)*Settings!$B$13,2))</f>
        <v/>
      </c>
      <c r="N823" s="26" t="str">
        <f aca="false">IF($A823="","",K823+L823+M823)</f>
        <v/>
      </c>
      <c r="O823" s="26" t="str">
        <f aca="false">IF($A823="","",SUMIFS(Deductions!$D$5:$D$2000,Deductions!$B$5:$B$2000,$A823,Deductions!$C$5:$C$2000,"Advance",Deductions!$E$5:$E$2000,"&gt;="&amp;Settings!$B$8,Deductions!$E$5:$E$2000,"&lt;="&amp;Settings!$B$9))</f>
        <v/>
      </c>
      <c r="P823" s="26" t="str">
        <f aca="false">IF($A823="","",SUMIFS(Deductions!$D$5:$D$2000,Deductions!$B$5:$B$2000,$A823,Deductions!$E$5:$E$2000,"&gt;="&amp;Settings!$B$8,Deductions!$E$5:$E$2000,"&lt;="&amp;Settings!$B$9)-O823)</f>
        <v/>
      </c>
      <c r="Q823" s="26" t="str">
        <f aca="false">IF($A823="","",O823+P823)</f>
        <v/>
      </c>
      <c r="R823" s="23" t="str">
        <f aca="false">IF($A823="","",N823-Q823)</f>
        <v/>
      </c>
      <c r="S823" s="24" t="str">
        <f aca="false">IF($A823="","",INDEX(Workers!$O$5:$O$2004,MATCH($A823,Workers!$A$5:$A$2004,0))&amp;"")</f>
        <v/>
      </c>
      <c r="T823" s="24" t="str">
        <f aca="false">IF($A823="","",INDEX(Workers!$P$5:$P$2004,MATCH($A823,Workers!$A$5:$A$2004,0))&amp;"")</f>
        <v/>
      </c>
      <c r="U823" s="24" t="str">
        <f aca="false">IF($A823="","",INDEX(Workers!$H$5:$H$2004,MATCH($A823,Workers!$A$5:$A$2004,0))&amp;"")</f>
        <v/>
      </c>
    </row>
    <row r="824" customFormat="false" ht="15" hidden="false" customHeight="false" outlineLevel="0" collapsed="false">
      <c r="A824" s="24" t="str">
        <f aca="false">IFERROR(INDEX(Workers!$A$5:$A$2004,MATCH(ROW()-4,Workers!$U$5:$U$2004,0)),"")</f>
        <v/>
      </c>
      <c r="B824" s="24" t="str">
        <f aca="false">IF($A824="","",INDEX(Workers!$B$5:$B$2004,MATCH($A824,Workers!$A$5:$A$2004,0)))</f>
        <v/>
      </c>
      <c r="C824" s="24" t="str">
        <f aca="false">IF($A824="","",INDEX(Workers!$E$5:$E$2004,MATCH($A824,Workers!$A$5:$A$2004,0)))</f>
        <v/>
      </c>
      <c r="D824" s="24" t="str">
        <f aca="false">IF($A824="","",INDEX(Workers!$K$5:$K$2004,MATCH($A824,Workers!$A$5:$A$2004,0)))</f>
        <v/>
      </c>
      <c r="E824" s="25" t="str">
        <f aca="false">IF($A824="","",SUMIFS(Timesheet!$E$5:$E$3004,Timesheet!$D$5:$D$3004,$A824,Timesheet!$A$5:$A$3004,"&gt;="&amp;Settings!$B$8,Timesheet!$A$5:$A$3004,"&lt;="&amp;Settings!$B$9))</f>
        <v/>
      </c>
      <c r="F824" s="25" t="str">
        <f aca="false">IF($A824="","",SUMIFS(Timesheet!$F$5:$F$3004,Timesheet!$D$5:$D$3004,$A824,Timesheet!$A$5:$A$3004,"&gt;="&amp;Settings!$B$8,Timesheet!$A$5:$A$3004,"&lt;="&amp;Settings!$B$9))</f>
        <v/>
      </c>
      <c r="G824" s="25" t="str">
        <f aca="false">IF($A824="","",SUMIFS(Timesheet!$G$5:$G$3004,Timesheet!$D$5:$D$3004,$A824,Timesheet!$A$5:$A$3004,"&gt;="&amp;Settings!$B$8,Timesheet!$A$5:$A$3004,"&lt;="&amp;Settings!$B$9))</f>
        <v/>
      </c>
      <c r="H824" s="25" t="str">
        <f aca="false">IF($A824="","",IF(D824="Monthly",MAX(0,Settings!$B$11-E824),0))</f>
        <v/>
      </c>
      <c r="I824" s="26" t="str">
        <f aca="false">IF($A824="","",N(INDEX(Workers!$L$5:$L$2004,MATCH($A824,Workers!$A$5:$A$2004,0))))</f>
        <v/>
      </c>
      <c r="J824" s="26" t="str">
        <f aca="false">IF($A824="","",N(INDEX(Workers!$M$5:$M$2004,MATCH($A824,Workers!$A$5:$A$2004,0))))</f>
        <v/>
      </c>
      <c r="K824" s="26" t="str">
        <f aca="false">IF($A824="","",IF(D824="Monthly",ROUND(MAX(0,(I824+J824)-(I824+J824)/Settings!$B$10*H824),2),0))</f>
        <v/>
      </c>
      <c r="L824" s="26" t="str">
        <f aca="false">IF($A824="","",IF(D824="Hourly",ROUND(F824*N(INDEX(Workers!$N$5:$N$2004,MATCH($A824,Workers!$A$5:$A$2004,0))),2),0))</f>
        <v/>
      </c>
      <c r="M824" s="26" t="str">
        <f aca="false">IF($A824="","",ROUND(G824*IF(D824="Hourly",N(INDEX(Workers!$N$5:$N$2004,MATCH($A824,Workers!$A$5:$A$2004,0))),I824/Settings!$B$10/Settings!$B$12)*Settings!$B$13,2))</f>
        <v/>
      </c>
      <c r="N824" s="26" t="str">
        <f aca="false">IF($A824="","",K824+L824+M824)</f>
        <v/>
      </c>
      <c r="O824" s="26" t="str">
        <f aca="false">IF($A824="","",SUMIFS(Deductions!$D$5:$D$2000,Deductions!$B$5:$B$2000,$A824,Deductions!$C$5:$C$2000,"Advance",Deductions!$E$5:$E$2000,"&gt;="&amp;Settings!$B$8,Deductions!$E$5:$E$2000,"&lt;="&amp;Settings!$B$9))</f>
        <v/>
      </c>
      <c r="P824" s="26" t="str">
        <f aca="false">IF($A824="","",SUMIFS(Deductions!$D$5:$D$2000,Deductions!$B$5:$B$2000,$A824,Deductions!$E$5:$E$2000,"&gt;="&amp;Settings!$B$8,Deductions!$E$5:$E$2000,"&lt;="&amp;Settings!$B$9)-O824)</f>
        <v/>
      </c>
      <c r="Q824" s="26" t="str">
        <f aca="false">IF($A824="","",O824+P824)</f>
        <v/>
      </c>
      <c r="R824" s="23" t="str">
        <f aca="false">IF($A824="","",N824-Q824)</f>
        <v/>
      </c>
      <c r="S824" s="24" t="str">
        <f aca="false">IF($A824="","",INDEX(Workers!$O$5:$O$2004,MATCH($A824,Workers!$A$5:$A$2004,0))&amp;"")</f>
        <v/>
      </c>
      <c r="T824" s="24" t="str">
        <f aca="false">IF($A824="","",INDEX(Workers!$P$5:$P$2004,MATCH($A824,Workers!$A$5:$A$2004,0))&amp;"")</f>
        <v/>
      </c>
      <c r="U824" s="24" t="str">
        <f aca="false">IF($A824="","",INDEX(Workers!$H$5:$H$2004,MATCH($A824,Workers!$A$5:$A$2004,0))&amp;"")</f>
        <v/>
      </c>
    </row>
    <row r="825" customFormat="false" ht="15" hidden="false" customHeight="false" outlineLevel="0" collapsed="false">
      <c r="A825" s="24" t="str">
        <f aca="false">IFERROR(INDEX(Workers!$A$5:$A$2004,MATCH(ROW()-4,Workers!$U$5:$U$2004,0)),"")</f>
        <v/>
      </c>
      <c r="B825" s="24" t="str">
        <f aca="false">IF($A825="","",INDEX(Workers!$B$5:$B$2004,MATCH($A825,Workers!$A$5:$A$2004,0)))</f>
        <v/>
      </c>
      <c r="C825" s="24" t="str">
        <f aca="false">IF($A825="","",INDEX(Workers!$E$5:$E$2004,MATCH($A825,Workers!$A$5:$A$2004,0)))</f>
        <v/>
      </c>
      <c r="D825" s="24" t="str">
        <f aca="false">IF($A825="","",INDEX(Workers!$K$5:$K$2004,MATCH($A825,Workers!$A$5:$A$2004,0)))</f>
        <v/>
      </c>
      <c r="E825" s="25" t="str">
        <f aca="false">IF($A825="","",SUMIFS(Timesheet!$E$5:$E$3004,Timesheet!$D$5:$D$3004,$A825,Timesheet!$A$5:$A$3004,"&gt;="&amp;Settings!$B$8,Timesheet!$A$5:$A$3004,"&lt;="&amp;Settings!$B$9))</f>
        <v/>
      </c>
      <c r="F825" s="25" t="str">
        <f aca="false">IF($A825="","",SUMIFS(Timesheet!$F$5:$F$3004,Timesheet!$D$5:$D$3004,$A825,Timesheet!$A$5:$A$3004,"&gt;="&amp;Settings!$B$8,Timesheet!$A$5:$A$3004,"&lt;="&amp;Settings!$B$9))</f>
        <v/>
      </c>
      <c r="G825" s="25" t="str">
        <f aca="false">IF($A825="","",SUMIFS(Timesheet!$G$5:$G$3004,Timesheet!$D$5:$D$3004,$A825,Timesheet!$A$5:$A$3004,"&gt;="&amp;Settings!$B$8,Timesheet!$A$5:$A$3004,"&lt;="&amp;Settings!$B$9))</f>
        <v/>
      </c>
      <c r="H825" s="25" t="str">
        <f aca="false">IF($A825="","",IF(D825="Monthly",MAX(0,Settings!$B$11-E825),0))</f>
        <v/>
      </c>
      <c r="I825" s="26" t="str">
        <f aca="false">IF($A825="","",N(INDEX(Workers!$L$5:$L$2004,MATCH($A825,Workers!$A$5:$A$2004,0))))</f>
        <v/>
      </c>
      <c r="J825" s="26" t="str">
        <f aca="false">IF($A825="","",N(INDEX(Workers!$M$5:$M$2004,MATCH($A825,Workers!$A$5:$A$2004,0))))</f>
        <v/>
      </c>
      <c r="K825" s="26" t="str">
        <f aca="false">IF($A825="","",IF(D825="Monthly",ROUND(MAX(0,(I825+J825)-(I825+J825)/Settings!$B$10*H825),2),0))</f>
        <v/>
      </c>
      <c r="L825" s="26" t="str">
        <f aca="false">IF($A825="","",IF(D825="Hourly",ROUND(F825*N(INDEX(Workers!$N$5:$N$2004,MATCH($A825,Workers!$A$5:$A$2004,0))),2),0))</f>
        <v/>
      </c>
      <c r="M825" s="26" t="str">
        <f aca="false">IF($A825="","",ROUND(G825*IF(D825="Hourly",N(INDEX(Workers!$N$5:$N$2004,MATCH($A825,Workers!$A$5:$A$2004,0))),I825/Settings!$B$10/Settings!$B$12)*Settings!$B$13,2))</f>
        <v/>
      </c>
      <c r="N825" s="26" t="str">
        <f aca="false">IF($A825="","",K825+L825+M825)</f>
        <v/>
      </c>
      <c r="O825" s="26" t="str">
        <f aca="false">IF($A825="","",SUMIFS(Deductions!$D$5:$D$2000,Deductions!$B$5:$B$2000,$A825,Deductions!$C$5:$C$2000,"Advance",Deductions!$E$5:$E$2000,"&gt;="&amp;Settings!$B$8,Deductions!$E$5:$E$2000,"&lt;="&amp;Settings!$B$9))</f>
        <v/>
      </c>
      <c r="P825" s="26" t="str">
        <f aca="false">IF($A825="","",SUMIFS(Deductions!$D$5:$D$2000,Deductions!$B$5:$B$2000,$A825,Deductions!$E$5:$E$2000,"&gt;="&amp;Settings!$B$8,Deductions!$E$5:$E$2000,"&lt;="&amp;Settings!$B$9)-O825)</f>
        <v/>
      </c>
      <c r="Q825" s="26" t="str">
        <f aca="false">IF($A825="","",O825+P825)</f>
        <v/>
      </c>
      <c r="R825" s="23" t="str">
        <f aca="false">IF($A825="","",N825-Q825)</f>
        <v/>
      </c>
      <c r="S825" s="24" t="str">
        <f aca="false">IF($A825="","",INDEX(Workers!$O$5:$O$2004,MATCH($A825,Workers!$A$5:$A$2004,0))&amp;"")</f>
        <v/>
      </c>
      <c r="T825" s="24" t="str">
        <f aca="false">IF($A825="","",INDEX(Workers!$P$5:$P$2004,MATCH($A825,Workers!$A$5:$A$2004,0))&amp;"")</f>
        <v/>
      </c>
      <c r="U825" s="24" t="str">
        <f aca="false">IF($A825="","",INDEX(Workers!$H$5:$H$2004,MATCH($A825,Workers!$A$5:$A$2004,0))&amp;"")</f>
        <v/>
      </c>
    </row>
    <row r="826" customFormat="false" ht="15" hidden="false" customHeight="false" outlineLevel="0" collapsed="false">
      <c r="A826" s="24" t="str">
        <f aca="false">IFERROR(INDEX(Workers!$A$5:$A$2004,MATCH(ROW()-4,Workers!$U$5:$U$2004,0)),"")</f>
        <v/>
      </c>
      <c r="B826" s="24" t="str">
        <f aca="false">IF($A826="","",INDEX(Workers!$B$5:$B$2004,MATCH($A826,Workers!$A$5:$A$2004,0)))</f>
        <v/>
      </c>
      <c r="C826" s="24" t="str">
        <f aca="false">IF($A826="","",INDEX(Workers!$E$5:$E$2004,MATCH($A826,Workers!$A$5:$A$2004,0)))</f>
        <v/>
      </c>
      <c r="D826" s="24" t="str">
        <f aca="false">IF($A826="","",INDEX(Workers!$K$5:$K$2004,MATCH($A826,Workers!$A$5:$A$2004,0)))</f>
        <v/>
      </c>
      <c r="E826" s="25" t="str">
        <f aca="false">IF($A826="","",SUMIFS(Timesheet!$E$5:$E$3004,Timesheet!$D$5:$D$3004,$A826,Timesheet!$A$5:$A$3004,"&gt;="&amp;Settings!$B$8,Timesheet!$A$5:$A$3004,"&lt;="&amp;Settings!$B$9))</f>
        <v/>
      </c>
      <c r="F826" s="25" t="str">
        <f aca="false">IF($A826="","",SUMIFS(Timesheet!$F$5:$F$3004,Timesheet!$D$5:$D$3004,$A826,Timesheet!$A$5:$A$3004,"&gt;="&amp;Settings!$B$8,Timesheet!$A$5:$A$3004,"&lt;="&amp;Settings!$B$9))</f>
        <v/>
      </c>
      <c r="G826" s="25" t="str">
        <f aca="false">IF($A826="","",SUMIFS(Timesheet!$G$5:$G$3004,Timesheet!$D$5:$D$3004,$A826,Timesheet!$A$5:$A$3004,"&gt;="&amp;Settings!$B$8,Timesheet!$A$5:$A$3004,"&lt;="&amp;Settings!$B$9))</f>
        <v/>
      </c>
      <c r="H826" s="25" t="str">
        <f aca="false">IF($A826="","",IF(D826="Monthly",MAX(0,Settings!$B$11-E826),0))</f>
        <v/>
      </c>
      <c r="I826" s="26" t="str">
        <f aca="false">IF($A826="","",N(INDEX(Workers!$L$5:$L$2004,MATCH($A826,Workers!$A$5:$A$2004,0))))</f>
        <v/>
      </c>
      <c r="J826" s="26" t="str">
        <f aca="false">IF($A826="","",N(INDEX(Workers!$M$5:$M$2004,MATCH($A826,Workers!$A$5:$A$2004,0))))</f>
        <v/>
      </c>
      <c r="K826" s="26" t="str">
        <f aca="false">IF($A826="","",IF(D826="Monthly",ROUND(MAX(0,(I826+J826)-(I826+J826)/Settings!$B$10*H826),2),0))</f>
        <v/>
      </c>
      <c r="L826" s="26" t="str">
        <f aca="false">IF($A826="","",IF(D826="Hourly",ROUND(F826*N(INDEX(Workers!$N$5:$N$2004,MATCH($A826,Workers!$A$5:$A$2004,0))),2),0))</f>
        <v/>
      </c>
      <c r="M826" s="26" t="str">
        <f aca="false">IF($A826="","",ROUND(G826*IF(D826="Hourly",N(INDEX(Workers!$N$5:$N$2004,MATCH($A826,Workers!$A$5:$A$2004,0))),I826/Settings!$B$10/Settings!$B$12)*Settings!$B$13,2))</f>
        <v/>
      </c>
      <c r="N826" s="26" t="str">
        <f aca="false">IF($A826="","",K826+L826+M826)</f>
        <v/>
      </c>
      <c r="O826" s="26" t="str">
        <f aca="false">IF($A826="","",SUMIFS(Deductions!$D$5:$D$2000,Deductions!$B$5:$B$2000,$A826,Deductions!$C$5:$C$2000,"Advance",Deductions!$E$5:$E$2000,"&gt;="&amp;Settings!$B$8,Deductions!$E$5:$E$2000,"&lt;="&amp;Settings!$B$9))</f>
        <v/>
      </c>
      <c r="P826" s="26" t="str">
        <f aca="false">IF($A826="","",SUMIFS(Deductions!$D$5:$D$2000,Deductions!$B$5:$B$2000,$A826,Deductions!$E$5:$E$2000,"&gt;="&amp;Settings!$B$8,Deductions!$E$5:$E$2000,"&lt;="&amp;Settings!$B$9)-O826)</f>
        <v/>
      </c>
      <c r="Q826" s="26" t="str">
        <f aca="false">IF($A826="","",O826+P826)</f>
        <v/>
      </c>
      <c r="R826" s="23" t="str">
        <f aca="false">IF($A826="","",N826-Q826)</f>
        <v/>
      </c>
      <c r="S826" s="24" t="str">
        <f aca="false">IF($A826="","",INDEX(Workers!$O$5:$O$2004,MATCH($A826,Workers!$A$5:$A$2004,0))&amp;"")</f>
        <v/>
      </c>
      <c r="T826" s="24" t="str">
        <f aca="false">IF($A826="","",INDEX(Workers!$P$5:$P$2004,MATCH($A826,Workers!$A$5:$A$2004,0))&amp;"")</f>
        <v/>
      </c>
      <c r="U826" s="24" t="str">
        <f aca="false">IF($A826="","",INDEX(Workers!$H$5:$H$2004,MATCH($A826,Workers!$A$5:$A$2004,0))&amp;"")</f>
        <v/>
      </c>
    </row>
    <row r="827" customFormat="false" ht="15" hidden="false" customHeight="false" outlineLevel="0" collapsed="false">
      <c r="A827" s="24" t="str">
        <f aca="false">IFERROR(INDEX(Workers!$A$5:$A$2004,MATCH(ROW()-4,Workers!$U$5:$U$2004,0)),"")</f>
        <v/>
      </c>
      <c r="B827" s="24" t="str">
        <f aca="false">IF($A827="","",INDEX(Workers!$B$5:$B$2004,MATCH($A827,Workers!$A$5:$A$2004,0)))</f>
        <v/>
      </c>
      <c r="C827" s="24" t="str">
        <f aca="false">IF($A827="","",INDEX(Workers!$E$5:$E$2004,MATCH($A827,Workers!$A$5:$A$2004,0)))</f>
        <v/>
      </c>
      <c r="D827" s="24" t="str">
        <f aca="false">IF($A827="","",INDEX(Workers!$K$5:$K$2004,MATCH($A827,Workers!$A$5:$A$2004,0)))</f>
        <v/>
      </c>
      <c r="E827" s="25" t="str">
        <f aca="false">IF($A827="","",SUMIFS(Timesheet!$E$5:$E$3004,Timesheet!$D$5:$D$3004,$A827,Timesheet!$A$5:$A$3004,"&gt;="&amp;Settings!$B$8,Timesheet!$A$5:$A$3004,"&lt;="&amp;Settings!$B$9))</f>
        <v/>
      </c>
      <c r="F827" s="25" t="str">
        <f aca="false">IF($A827="","",SUMIFS(Timesheet!$F$5:$F$3004,Timesheet!$D$5:$D$3004,$A827,Timesheet!$A$5:$A$3004,"&gt;="&amp;Settings!$B$8,Timesheet!$A$5:$A$3004,"&lt;="&amp;Settings!$B$9))</f>
        <v/>
      </c>
      <c r="G827" s="25" t="str">
        <f aca="false">IF($A827="","",SUMIFS(Timesheet!$G$5:$G$3004,Timesheet!$D$5:$D$3004,$A827,Timesheet!$A$5:$A$3004,"&gt;="&amp;Settings!$B$8,Timesheet!$A$5:$A$3004,"&lt;="&amp;Settings!$B$9))</f>
        <v/>
      </c>
      <c r="H827" s="25" t="str">
        <f aca="false">IF($A827="","",IF(D827="Monthly",MAX(0,Settings!$B$11-E827),0))</f>
        <v/>
      </c>
      <c r="I827" s="26" t="str">
        <f aca="false">IF($A827="","",N(INDEX(Workers!$L$5:$L$2004,MATCH($A827,Workers!$A$5:$A$2004,0))))</f>
        <v/>
      </c>
      <c r="J827" s="26" t="str">
        <f aca="false">IF($A827="","",N(INDEX(Workers!$M$5:$M$2004,MATCH($A827,Workers!$A$5:$A$2004,0))))</f>
        <v/>
      </c>
      <c r="K827" s="26" t="str">
        <f aca="false">IF($A827="","",IF(D827="Monthly",ROUND(MAX(0,(I827+J827)-(I827+J827)/Settings!$B$10*H827),2),0))</f>
        <v/>
      </c>
      <c r="L827" s="26" t="str">
        <f aca="false">IF($A827="","",IF(D827="Hourly",ROUND(F827*N(INDEX(Workers!$N$5:$N$2004,MATCH($A827,Workers!$A$5:$A$2004,0))),2),0))</f>
        <v/>
      </c>
      <c r="M827" s="26" t="str">
        <f aca="false">IF($A827="","",ROUND(G827*IF(D827="Hourly",N(INDEX(Workers!$N$5:$N$2004,MATCH($A827,Workers!$A$5:$A$2004,0))),I827/Settings!$B$10/Settings!$B$12)*Settings!$B$13,2))</f>
        <v/>
      </c>
      <c r="N827" s="26" t="str">
        <f aca="false">IF($A827="","",K827+L827+M827)</f>
        <v/>
      </c>
      <c r="O827" s="26" t="str">
        <f aca="false">IF($A827="","",SUMIFS(Deductions!$D$5:$D$2000,Deductions!$B$5:$B$2000,$A827,Deductions!$C$5:$C$2000,"Advance",Deductions!$E$5:$E$2000,"&gt;="&amp;Settings!$B$8,Deductions!$E$5:$E$2000,"&lt;="&amp;Settings!$B$9))</f>
        <v/>
      </c>
      <c r="P827" s="26" t="str">
        <f aca="false">IF($A827="","",SUMIFS(Deductions!$D$5:$D$2000,Deductions!$B$5:$B$2000,$A827,Deductions!$E$5:$E$2000,"&gt;="&amp;Settings!$B$8,Deductions!$E$5:$E$2000,"&lt;="&amp;Settings!$B$9)-O827)</f>
        <v/>
      </c>
      <c r="Q827" s="26" t="str">
        <f aca="false">IF($A827="","",O827+P827)</f>
        <v/>
      </c>
      <c r="R827" s="23" t="str">
        <f aca="false">IF($A827="","",N827-Q827)</f>
        <v/>
      </c>
      <c r="S827" s="24" t="str">
        <f aca="false">IF($A827="","",INDEX(Workers!$O$5:$O$2004,MATCH($A827,Workers!$A$5:$A$2004,0))&amp;"")</f>
        <v/>
      </c>
      <c r="T827" s="24" t="str">
        <f aca="false">IF($A827="","",INDEX(Workers!$P$5:$P$2004,MATCH($A827,Workers!$A$5:$A$2004,0))&amp;"")</f>
        <v/>
      </c>
      <c r="U827" s="24" t="str">
        <f aca="false">IF($A827="","",INDEX(Workers!$H$5:$H$2004,MATCH($A827,Workers!$A$5:$A$2004,0))&amp;"")</f>
        <v/>
      </c>
    </row>
    <row r="828" customFormat="false" ht="15" hidden="false" customHeight="false" outlineLevel="0" collapsed="false">
      <c r="A828" s="24" t="str">
        <f aca="false">IFERROR(INDEX(Workers!$A$5:$A$2004,MATCH(ROW()-4,Workers!$U$5:$U$2004,0)),"")</f>
        <v/>
      </c>
      <c r="B828" s="24" t="str">
        <f aca="false">IF($A828="","",INDEX(Workers!$B$5:$B$2004,MATCH($A828,Workers!$A$5:$A$2004,0)))</f>
        <v/>
      </c>
      <c r="C828" s="24" t="str">
        <f aca="false">IF($A828="","",INDEX(Workers!$E$5:$E$2004,MATCH($A828,Workers!$A$5:$A$2004,0)))</f>
        <v/>
      </c>
      <c r="D828" s="24" t="str">
        <f aca="false">IF($A828="","",INDEX(Workers!$K$5:$K$2004,MATCH($A828,Workers!$A$5:$A$2004,0)))</f>
        <v/>
      </c>
      <c r="E828" s="25" t="str">
        <f aca="false">IF($A828="","",SUMIFS(Timesheet!$E$5:$E$3004,Timesheet!$D$5:$D$3004,$A828,Timesheet!$A$5:$A$3004,"&gt;="&amp;Settings!$B$8,Timesheet!$A$5:$A$3004,"&lt;="&amp;Settings!$B$9))</f>
        <v/>
      </c>
      <c r="F828" s="25" t="str">
        <f aca="false">IF($A828="","",SUMIFS(Timesheet!$F$5:$F$3004,Timesheet!$D$5:$D$3004,$A828,Timesheet!$A$5:$A$3004,"&gt;="&amp;Settings!$B$8,Timesheet!$A$5:$A$3004,"&lt;="&amp;Settings!$B$9))</f>
        <v/>
      </c>
      <c r="G828" s="25" t="str">
        <f aca="false">IF($A828="","",SUMIFS(Timesheet!$G$5:$G$3004,Timesheet!$D$5:$D$3004,$A828,Timesheet!$A$5:$A$3004,"&gt;="&amp;Settings!$B$8,Timesheet!$A$5:$A$3004,"&lt;="&amp;Settings!$B$9))</f>
        <v/>
      </c>
      <c r="H828" s="25" t="str">
        <f aca="false">IF($A828="","",IF(D828="Monthly",MAX(0,Settings!$B$11-E828),0))</f>
        <v/>
      </c>
      <c r="I828" s="26" t="str">
        <f aca="false">IF($A828="","",N(INDEX(Workers!$L$5:$L$2004,MATCH($A828,Workers!$A$5:$A$2004,0))))</f>
        <v/>
      </c>
      <c r="J828" s="26" t="str">
        <f aca="false">IF($A828="","",N(INDEX(Workers!$M$5:$M$2004,MATCH($A828,Workers!$A$5:$A$2004,0))))</f>
        <v/>
      </c>
      <c r="K828" s="26" t="str">
        <f aca="false">IF($A828="","",IF(D828="Monthly",ROUND(MAX(0,(I828+J828)-(I828+J828)/Settings!$B$10*H828),2),0))</f>
        <v/>
      </c>
      <c r="L828" s="26" t="str">
        <f aca="false">IF($A828="","",IF(D828="Hourly",ROUND(F828*N(INDEX(Workers!$N$5:$N$2004,MATCH($A828,Workers!$A$5:$A$2004,0))),2),0))</f>
        <v/>
      </c>
      <c r="M828" s="26" t="str">
        <f aca="false">IF($A828="","",ROUND(G828*IF(D828="Hourly",N(INDEX(Workers!$N$5:$N$2004,MATCH($A828,Workers!$A$5:$A$2004,0))),I828/Settings!$B$10/Settings!$B$12)*Settings!$B$13,2))</f>
        <v/>
      </c>
      <c r="N828" s="26" t="str">
        <f aca="false">IF($A828="","",K828+L828+M828)</f>
        <v/>
      </c>
      <c r="O828" s="26" t="str">
        <f aca="false">IF($A828="","",SUMIFS(Deductions!$D$5:$D$2000,Deductions!$B$5:$B$2000,$A828,Deductions!$C$5:$C$2000,"Advance",Deductions!$E$5:$E$2000,"&gt;="&amp;Settings!$B$8,Deductions!$E$5:$E$2000,"&lt;="&amp;Settings!$B$9))</f>
        <v/>
      </c>
      <c r="P828" s="26" t="str">
        <f aca="false">IF($A828="","",SUMIFS(Deductions!$D$5:$D$2000,Deductions!$B$5:$B$2000,$A828,Deductions!$E$5:$E$2000,"&gt;="&amp;Settings!$B$8,Deductions!$E$5:$E$2000,"&lt;="&amp;Settings!$B$9)-O828)</f>
        <v/>
      </c>
      <c r="Q828" s="26" t="str">
        <f aca="false">IF($A828="","",O828+P828)</f>
        <v/>
      </c>
      <c r="R828" s="23" t="str">
        <f aca="false">IF($A828="","",N828-Q828)</f>
        <v/>
      </c>
      <c r="S828" s="24" t="str">
        <f aca="false">IF($A828="","",INDEX(Workers!$O$5:$O$2004,MATCH($A828,Workers!$A$5:$A$2004,0))&amp;"")</f>
        <v/>
      </c>
      <c r="T828" s="24" t="str">
        <f aca="false">IF($A828="","",INDEX(Workers!$P$5:$P$2004,MATCH($A828,Workers!$A$5:$A$2004,0))&amp;"")</f>
        <v/>
      </c>
      <c r="U828" s="24" t="str">
        <f aca="false">IF($A828="","",INDEX(Workers!$H$5:$H$2004,MATCH($A828,Workers!$A$5:$A$2004,0))&amp;"")</f>
        <v/>
      </c>
    </row>
    <row r="829" customFormat="false" ht="15" hidden="false" customHeight="false" outlineLevel="0" collapsed="false">
      <c r="A829" s="24" t="str">
        <f aca="false">IFERROR(INDEX(Workers!$A$5:$A$2004,MATCH(ROW()-4,Workers!$U$5:$U$2004,0)),"")</f>
        <v/>
      </c>
      <c r="B829" s="24" t="str">
        <f aca="false">IF($A829="","",INDEX(Workers!$B$5:$B$2004,MATCH($A829,Workers!$A$5:$A$2004,0)))</f>
        <v/>
      </c>
      <c r="C829" s="24" t="str">
        <f aca="false">IF($A829="","",INDEX(Workers!$E$5:$E$2004,MATCH($A829,Workers!$A$5:$A$2004,0)))</f>
        <v/>
      </c>
      <c r="D829" s="24" t="str">
        <f aca="false">IF($A829="","",INDEX(Workers!$K$5:$K$2004,MATCH($A829,Workers!$A$5:$A$2004,0)))</f>
        <v/>
      </c>
      <c r="E829" s="25" t="str">
        <f aca="false">IF($A829="","",SUMIFS(Timesheet!$E$5:$E$3004,Timesheet!$D$5:$D$3004,$A829,Timesheet!$A$5:$A$3004,"&gt;="&amp;Settings!$B$8,Timesheet!$A$5:$A$3004,"&lt;="&amp;Settings!$B$9))</f>
        <v/>
      </c>
      <c r="F829" s="25" t="str">
        <f aca="false">IF($A829="","",SUMIFS(Timesheet!$F$5:$F$3004,Timesheet!$D$5:$D$3004,$A829,Timesheet!$A$5:$A$3004,"&gt;="&amp;Settings!$B$8,Timesheet!$A$5:$A$3004,"&lt;="&amp;Settings!$B$9))</f>
        <v/>
      </c>
      <c r="G829" s="25" t="str">
        <f aca="false">IF($A829="","",SUMIFS(Timesheet!$G$5:$G$3004,Timesheet!$D$5:$D$3004,$A829,Timesheet!$A$5:$A$3004,"&gt;="&amp;Settings!$B$8,Timesheet!$A$5:$A$3004,"&lt;="&amp;Settings!$B$9))</f>
        <v/>
      </c>
      <c r="H829" s="25" t="str">
        <f aca="false">IF($A829="","",IF(D829="Monthly",MAX(0,Settings!$B$11-E829),0))</f>
        <v/>
      </c>
      <c r="I829" s="26" t="str">
        <f aca="false">IF($A829="","",N(INDEX(Workers!$L$5:$L$2004,MATCH($A829,Workers!$A$5:$A$2004,0))))</f>
        <v/>
      </c>
      <c r="J829" s="26" t="str">
        <f aca="false">IF($A829="","",N(INDEX(Workers!$M$5:$M$2004,MATCH($A829,Workers!$A$5:$A$2004,0))))</f>
        <v/>
      </c>
      <c r="K829" s="26" t="str">
        <f aca="false">IF($A829="","",IF(D829="Monthly",ROUND(MAX(0,(I829+J829)-(I829+J829)/Settings!$B$10*H829),2),0))</f>
        <v/>
      </c>
      <c r="L829" s="26" t="str">
        <f aca="false">IF($A829="","",IF(D829="Hourly",ROUND(F829*N(INDEX(Workers!$N$5:$N$2004,MATCH($A829,Workers!$A$5:$A$2004,0))),2),0))</f>
        <v/>
      </c>
      <c r="M829" s="26" t="str">
        <f aca="false">IF($A829="","",ROUND(G829*IF(D829="Hourly",N(INDEX(Workers!$N$5:$N$2004,MATCH($A829,Workers!$A$5:$A$2004,0))),I829/Settings!$B$10/Settings!$B$12)*Settings!$B$13,2))</f>
        <v/>
      </c>
      <c r="N829" s="26" t="str">
        <f aca="false">IF($A829="","",K829+L829+M829)</f>
        <v/>
      </c>
      <c r="O829" s="26" t="str">
        <f aca="false">IF($A829="","",SUMIFS(Deductions!$D$5:$D$2000,Deductions!$B$5:$B$2000,$A829,Deductions!$C$5:$C$2000,"Advance",Deductions!$E$5:$E$2000,"&gt;="&amp;Settings!$B$8,Deductions!$E$5:$E$2000,"&lt;="&amp;Settings!$B$9))</f>
        <v/>
      </c>
      <c r="P829" s="26" t="str">
        <f aca="false">IF($A829="","",SUMIFS(Deductions!$D$5:$D$2000,Deductions!$B$5:$B$2000,$A829,Deductions!$E$5:$E$2000,"&gt;="&amp;Settings!$B$8,Deductions!$E$5:$E$2000,"&lt;="&amp;Settings!$B$9)-O829)</f>
        <v/>
      </c>
      <c r="Q829" s="26" t="str">
        <f aca="false">IF($A829="","",O829+P829)</f>
        <v/>
      </c>
      <c r="R829" s="23" t="str">
        <f aca="false">IF($A829="","",N829-Q829)</f>
        <v/>
      </c>
      <c r="S829" s="24" t="str">
        <f aca="false">IF($A829="","",INDEX(Workers!$O$5:$O$2004,MATCH($A829,Workers!$A$5:$A$2004,0))&amp;"")</f>
        <v/>
      </c>
      <c r="T829" s="24" t="str">
        <f aca="false">IF($A829="","",INDEX(Workers!$P$5:$P$2004,MATCH($A829,Workers!$A$5:$A$2004,0))&amp;"")</f>
        <v/>
      </c>
      <c r="U829" s="24" t="str">
        <f aca="false">IF($A829="","",INDEX(Workers!$H$5:$H$2004,MATCH($A829,Workers!$A$5:$A$2004,0))&amp;"")</f>
        <v/>
      </c>
    </row>
    <row r="830" customFormat="false" ht="15" hidden="false" customHeight="false" outlineLevel="0" collapsed="false">
      <c r="A830" s="24" t="str">
        <f aca="false">IFERROR(INDEX(Workers!$A$5:$A$2004,MATCH(ROW()-4,Workers!$U$5:$U$2004,0)),"")</f>
        <v/>
      </c>
      <c r="B830" s="24" t="str">
        <f aca="false">IF($A830="","",INDEX(Workers!$B$5:$B$2004,MATCH($A830,Workers!$A$5:$A$2004,0)))</f>
        <v/>
      </c>
      <c r="C830" s="24" t="str">
        <f aca="false">IF($A830="","",INDEX(Workers!$E$5:$E$2004,MATCH($A830,Workers!$A$5:$A$2004,0)))</f>
        <v/>
      </c>
      <c r="D830" s="24" t="str">
        <f aca="false">IF($A830="","",INDEX(Workers!$K$5:$K$2004,MATCH($A830,Workers!$A$5:$A$2004,0)))</f>
        <v/>
      </c>
      <c r="E830" s="25" t="str">
        <f aca="false">IF($A830="","",SUMIFS(Timesheet!$E$5:$E$3004,Timesheet!$D$5:$D$3004,$A830,Timesheet!$A$5:$A$3004,"&gt;="&amp;Settings!$B$8,Timesheet!$A$5:$A$3004,"&lt;="&amp;Settings!$B$9))</f>
        <v/>
      </c>
      <c r="F830" s="25" t="str">
        <f aca="false">IF($A830="","",SUMIFS(Timesheet!$F$5:$F$3004,Timesheet!$D$5:$D$3004,$A830,Timesheet!$A$5:$A$3004,"&gt;="&amp;Settings!$B$8,Timesheet!$A$5:$A$3004,"&lt;="&amp;Settings!$B$9))</f>
        <v/>
      </c>
      <c r="G830" s="25" t="str">
        <f aca="false">IF($A830="","",SUMIFS(Timesheet!$G$5:$G$3004,Timesheet!$D$5:$D$3004,$A830,Timesheet!$A$5:$A$3004,"&gt;="&amp;Settings!$B$8,Timesheet!$A$5:$A$3004,"&lt;="&amp;Settings!$B$9))</f>
        <v/>
      </c>
      <c r="H830" s="25" t="str">
        <f aca="false">IF($A830="","",IF(D830="Monthly",MAX(0,Settings!$B$11-E830),0))</f>
        <v/>
      </c>
      <c r="I830" s="26" t="str">
        <f aca="false">IF($A830="","",N(INDEX(Workers!$L$5:$L$2004,MATCH($A830,Workers!$A$5:$A$2004,0))))</f>
        <v/>
      </c>
      <c r="J830" s="26" t="str">
        <f aca="false">IF($A830="","",N(INDEX(Workers!$M$5:$M$2004,MATCH($A830,Workers!$A$5:$A$2004,0))))</f>
        <v/>
      </c>
      <c r="K830" s="26" t="str">
        <f aca="false">IF($A830="","",IF(D830="Monthly",ROUND(MAX(0,(I830+J830)-(I830+J830)/Settings!$B$10*H830),2),0))</f>
        <v/>
      </c>
      <c r="L830" s="26" t="str">
        <f aca="false">IF($A830="","",IF(D830="Hourly",ROUND(F830*N(INDEX(Workers!$N$5:$N$2004,MATCH($A830,Workers!$A$5:$A$2004,0))),2),0))</f>
        <v/>
      </c>
      <c r="M830" s="26" t="str">
        <f aca="false">IF($A830="","",ROUND(G830*IF(D830="Hourly",N(INDEX(Workers!$N$5:$N$2004,MATCH($A830,Workers!$A$5:$A$2004,0))),I830/Settings!$B$10/Settings!$B$12)*Settings!$B$13,2))</f>
        <v/>
      </c>
      <c r="N830" s="26" t="str">
        <f aca="false">IF($A830="","",K830+L830+M830)</f>
        <v/>
      </c>
      <c r="O830" s="26" t="str">
        <f aca="false">IF($A830="","",SUMIFS(Deductions!$D$5:$D$2000,Deductions!$B$5:$B$2000,$A830,Deductions!$C$5:$C$2000,"Advance",Deductions!$E$5:$E$2000,"&gt;="&amp;Settings!$B$8,Deductions!$E$5:$E$2000,"&lt;="&amp;Settings!$B$9))</f>
        <v/>
      </c>
      <c r="P830" s="26" t="str">
        <f aca="false">IF($A830="","",SUMIFS(Deductions!$D$5:$D$2000,Deductions!$B$5:$B$2000,$A830,Deductions!$E$5:$E$2000,"&gt;="&amp;Settings!$B$8,Deductions!$E$5:$E$2000,"&lt;="&amp;Settings!$B$9)-O830)</f>
        <v/>
      </c>
      <c r="Q830" s="26" t="str">
        <f aca="false">IF($A830="","",O830+P830)</f>
        <v/>
      </c>
      <c r="R830" s="23" t="str">
        <f aca="false">IF($A830="","",N830-Q830)</f>
        <v/>
      </c>
      <c r="S830" s="24" t="str">
        <f aca="false">IF($A830="","",INDEX(Workers!$O$5:$O$2004,MATCH($A830,Workers!$A$5:$A$2004,0))&amp;"")</f>
        <v/>
      </c>
      <c r="T830" s="24" t="str">
        <f aca="false">IF($A830="","",INDEX(Workers!$P$5:$P$2004,MATCH($A830,Workers!$A$5:$A$2004,0))&amp;"")</f>
        <v/>
      </c>
      <c r="U830" s="24" t="str">
        <f aca="false">IF($A830="","",INDEX(Workers!$H$5:$H$2004,MATCH($A830,Workers!$A$5:$A$2004,0))&amp;"")</f>
        <v/>
      </c>
    </row>
    <row r="831" customFormat="false" ht="15" hidden="false" customHeight="false" outlineLevel="0" collapsed="false">
      <c r="A831" s="24" t="str">
        <f aca="false">IFERROR(INDEX(Workers!$A$5:$A$2004,MATCH(ROW()-4,Workers!$U$5:$U$2004,0)),"")</f>
        <v/>
      </c>
      <c r="B831" s="24" t="str">
        <f aca="false">IF($A831="","",INDEX(Workers!$B$5:$B$2004,MATCH($A831,Workers!$A$5:$A$2004,0)))</f>
        <v/>
      </c>
      <c r="C831" s="24" t="str">
        <f aca="false">IF($A831="","",INDEX(Workers!$E$5:$E$2004,MATCH($A831,Workers!$A$5:$A$2004,0)))</f>
        <v/>
      </c>
      <c r="D831" s="24" t="str">
        <f aca="false">IF($A831="","",INDEX(Workers!$K$5:$K$2004,MATCH($A831,Workers!$A$5:$A$2004,0)))</f>
        <v/>
      </c>
      <c r="E831" s="25" t="str">
        <f aca="false">IF($A831="","",SUMIFS(Timesheet!$E$5:$E$3004,Timesheet!$D$5:$D$3004,$A831,Timesheet!$A$5:$A$3004,"&gt;="&amp;Settings!$B$8,Timesheet!$A$5:$A$3004,"&lt;="&amp;Settings!$B$9))</f>
        <v/>
      </c>
      <c r="F831" s="25" t="str">
        <f aca="false">IF($A831="","",SUMIFS(Timesheet!$F$5:$F$3004,Timesheet!$D$5:$D$3004,$A831,Timesheet!$A$5:$A$3004,"&gt;="&amp;Settings!$B$8,Timesheet!$A$5:$A$3004,"&lt;="&amp;Settings!$B$9))</f>
        <v/>
      </c>
      <c r="G831" s="25" t="str">
        <f aca="false">IF($A831="","",SUMIFS(Timesheet!$G$5:$G$3004,Timesheet!$D$5:$D$3004,$A831,Timesheet!$A$5:$A$3004,"&gt;="&amp;Settings!$B$8,Timesheet!$A$5:$A$3004,"&lt;="&amp;Settings!$B$9))</f>
        <v/>
      </c>
      <c r="H831" s="25" t="str">
        <f aca="false">IF($A831="","",IF(D831="Monthly",MAX(0,Settings!$B$11-E831),0))</f>
        <v/>
      </c>
      <c r="I831" s="26" t="str">
        <f aca="false">IF($A831="","",N(INDEX(Workers!$L$5:$L$2004,MATCH($A831,Workers!$A$5:$A$2004,0))))</f>
        <v/>
      </c>
      <c r="J831" s="26" t="str">
        <f aca="false">IF($A831="","",N(INDEX(Workers!$M$5:$M$2004,MATCH($A831,Workers!$A$5:$A$2004,0))))</f>
        <v/>
      </c>
      <c r="K831" s="26" t="str">
        <f aca="false">IF($A831="","",IF(D831="Monthly",ROUND(MAX(0,(I831+J831)-(I831+J831)/Settings!$B$10*H831),2),0))</f>
        <v/>
      </c>
      <c r="L831" s="26" t="str">
        <f aca="false">IF($A831="","",IF(D831="Hourly",ROUND(F831*N(INDEX(Workers!$N$5:$N$2004,MATCH($A831,Workers!$A$5:$A$2004,0))),2),0))</f>
        <v/>
      </c>
      <c r="M831" s="26" t="str">
        <f aca="false">IF($A831="","",ROUND(G831*IF(D831="Hourly",N(INDEX(Workers!$N$5:$N$2004,MATCH($A831,Workers!$A$5:$A$2004,0))),I831/Settings!$B$10/Settings!$B$12)*Settings!$B$13,2))</f>
        <v/>
      </c>
      <c r="N831" s="26" t="str">
        <f aca="false">IF($A831="","",K831+L831+M831)</f>
        <v/>
      </c>
      <c r="O831" s="26" t="str">
        <f aca="false">IF($A831="","",SUMIFS(Deductions!$D$5:$D$2000,Deductions!$B$5:$B$2000,$A831,Deductions!$C$5:$C$2000,"Advance",Deductions!$E$5:$E$2000,"&gt;="&amp;Settings!$B$8,Deductions!$E$5:$E$2000,"&lt;="&amp;Settings!$B$9))</f>
        <v/>
      </c>
      <c r="P831" s="26" t="str">
        <f aca="false">IF($A831="","",SUMIFS(Deductions!$D$5:$D$2000,Deductions!$B$5:$B$2000,$A831,Deductions!$E$5:$E$2000,"&gt;="&amp;Settings!$B$8,Deductions!$E$5:$E$2000,"&lt;="&amp;Settings!$B$9)-O831)</f>
        <v/>
      </c>
      <c r="Q831" s="26" t="str">
        <f aca="false">IF($A831="","",O831+P831)</f>
        <v/>
      </c>
      <c r="R831" s="23" t="str">
        <f aca="false">IF($A831="","",N831-Q831)</f>
        <v/>
      </c>
      <c r="S831" s="24" t="str">
        <f aca="false">IF($A831="","",INDEX(Workers!$O$5:$O$2004,MATCH($A831,Workers!$A$5:$A$2004,0))&amp;"")</f>
        <v/>
      </c>
      <c r="T831" s="24" t="str">
        <f aca="false">IF($A831="","",INDEX(Workers!$P$5:$P$2004,MATCH($A831,Workers!$A$5:$A$2004,0))&amp;"")</f>
        <v/>
      </c>
      <c r="U831" s="24" t="str">
        <f aca="false">IF($A831="","",INDEX(Workers!$H$5:$H$2004,MATCH($A831,Workers!$A$5:$A$2004,0))&amp;"")</f>
        <v/>
      </c>
    </row>
    <row r="832" customFormat="false" ht="15" hidden="false" customHeight="false" outlineLevel="0" collapsed="false">
      <c r="A832" s="24" t="str">
        <f aca="false">IFERROR(INDEX(Workers!$A$5:$A$2004,MATCH(ROW()-4,Workers!$U$5:$U$2004,0)),"")</f>
        <v/>
      </c>
      <c r="B832" s="24" t="str">
        <f aca="false">IF($A832="","",INDEX(Workers!$B$5:$B$2004,MATCH($A832,Workers!$A$5:$A$2004,0)))</f>
        <v/>
      </c>
      <c r="C832" s="24" t="str">
        <f aca="false">IF($A832="","",INDEX(Workers!$E$5:$E$2004,MATCH($A832,Workers!$A$5:$A$2004,0)))</f>
        <v/>
      </c>
      <c r="D832" s="24" t="str">
        <f aca="false">IF($A832="","",INDEX(Workers!$K$5:$K$2004,MATCH($A832,Workers!$A$5:$A$2004,0)))</f>
        <v/>
      </c>
      <c r="E832" s="25" t="str">
        <f aca="false">IF($A832="","",SUMIFS(Timesheet!$E$5:$E$3004,Timesheet!$D$5:$D$3004,$A832,Timesheet!$A$5:$A$3004,"&gt;="&amp;Settings!$B$8,Timesheet!$A$5:$A$3004,"&lt;="&amp;Settings!$B$9))</f>
        <v/>
      </c>
      <c r="F832" s="25" t="str">
        <f aca="false">IF($A832="","",SUMIFS(Timesheet!$F$5:$F$3004,Timesheet!$D$5:$D$3004,$A832,Timesheet!$A$5:$A$3004,"&gt;="&amp;Settings!$B$8,Timesheet!$A$5:$A$3004,"&lt;="&amp;Settings!$B$9))</f>
        <v/>
      </c>
      <c r="G832" s="25" t="str">
        <f aca="false">IF($A832="","",SUMIFS(Timesheet!$G$5:$G$3004,Timesheet!$D$5:$D$3004,$A832,Timesheet!$A$5:$A$3004,"&gt;="&amp;Settings!$B$8,Timesheet!$A$5:$A$3004,"&lt;="&amp;Settings!$B$9))</f>
        <v/>
      </c>
      <c r="H832" s="25" t="str">
        <f aca="false">IF($A832="","",IF(D832="Monthly",MAX(0,Settings!$B$11-E832),0))</f>
        <v/>
      </c>
      <c r="I832" s="26" t="str">
        <f aca="false">IF($A832="","",N(INDEX(Workers!$L$5:$L$2004,MATCH($A832,Workers!$A$5:$A$2004,0))))</f>
        <v/>
      </c>
      <c r="J832" s="26" t="str">
        <f aca="false">IF($A832="","",N(INDEX(Workers!$M$5:$M$2004,MATCH($A832,Workers!$A$5:$A$2004,0))))</f>
        <v/>
      </c>
      <c r="K832" s="26" t="str">
        <f aca="false">IF($A832="","",IF(D832="Monthly",ROUND(MAX(0,(I832+J832)-(I832+J832)/Settings!$B$10*H832),2),0))</f>
        <v/>
      </c>
      <c r="L832" s="26" t="str">
        <f aca="false">IF($A832="","",IF(D832="Hourly",ROUND(F832*N(INDEX(Workers!$N$5:$N$2004,MATCH($A832,Workers!$A$5:$A$2004,0))),2),0))</f>
        <v/>
      </c>
      <c r="M832" s="26" t="str">
        <f aca="false">IF($A832="","",ROUND(G832*IF(D832="Hourly",N(INDEX(Workers!$N$5:$N$2004,MATCH($A832,Workers!$A$5:$A$2004,0))),I832/Settings!$B$10/Settings!$B$12)*Settings!$B$13,2))</f>
        <v/>
      </c>
      <c r="N832" s="26" t="str">
        <f aca="false">IF($A832="","",K832+L832+M832)</f>
        <v/>
      </c>
      <c r="O832" s="26" t="str">
        <f aca="false">IF($A832="","",SUMIFS(Deductions!$D$5:$D$2000,Deductions!$B$5:$B$2000,$A832,Deductions!$C$5:$C$2000,"Advance",Deductions!$E$5:$E$2000,"&gt;="&amp;Settings!$B$8,Deductions!$E$5:$E$2000,"&lt;="&amp;Settings!$B$9))</f>
        <v/>
      </c>
      <c r="P832" s="26" t="str">
        <f aca="false">IF($A832="","",SUMIFS(Deductions!$D$5:$D$2000,Deductions!$B$5:$B$2000,$A832,Deductions!$E$5:$E$2000,"&gt;="&amp;Settings!$B$8,Deductions!$E$5:$E$2000,"&lt;="&amp;Settings!$B$9)-O832)</f>
        <v/>
      </c>
      <c r="Q832" s="26" t="str">
        <f aca="false">IF($A832="","",O832+P832)</f>
        <v/>
      </c>
      <c r="R832" s="23" t="str">
        <f aca="false">IF($A832="","",N832-Q832)</f>
        <v/>
      </c>
      <c r="S832" s="24" t="str">
        <f aca="false">IF($A832="","",INDEX(Workers!$O$5:$O$2004,MATCH($A832,Workers!$A$5:$A$2004,0))&amp;"")</f>
        <v/>
      </c>
      <c r="T832" s="24" t="str">
        <f aca="false">IF($A832="","",INDEX(Workers!$P$5:$P$2004,MATCH($A832,Workers!$A$5:$A$2004,0))&amp;"")</f>
        <v/>
      </c>
      <c r="U832" s="24" t="str">
        <f aca="false">IF($A832="","",INDEX(Workers!$H$5:$H$2004,MATCH($A832,Workers!$A$5:$A$2004,0))&amp;"")</f>
        <v/>
      </c>
    </row>
    <row r="833" customFormat="false" ht="15" hidden="false" customHeight="false" outlineLevel="0" collapsed="false">
      <c r="A833" s="24" t="str">
        <f aca="false">IFERROR(INDEX(Workers!$A$5:$A$2004,MATCH(ROW()-4,Workers!$U$5:$U$2004,0)),"")</f>
        <v/>
      </c>
      <c r="B833" s="24" t="str">
        <f aca="false">IF($A833="","",INDEX(Workers!$B$5:$B$2004,MATCH($A833,Workers!$A$5:$A$2004,0)))</f>
        <v/>
      </c>
      <c r="C833" s="24" t="str">
        <f aca="false">IF($A833="","",INDEX(Workers!$E$5:$E$2004,MATCH($A833,Workers!$A$5:$A$2004,0)))</f>
        <v/>
      </c>
      <c r="D833" s="24" t="str">
        <f aca="false">IF($A833="","",INDEX(Workers!$K$5:$K$2004,MATCH($A833,Workers!$A$5:$A$2004,0)))</f>
        <v/>
      </c>
      <c r="E833" s="25" t="str">
        <f aca="false">IF($A833="","",SUMIFS(Timesheet!$E$5:$E$3004,Timesheet!$D$5:$D$3004,$A833,Timesheet!$A$5:$A$3004,"&gt;="&amp;Settings!$B$8,Timesheet!$A$5:$A$3004,"&lt;="&amp;Settings!$B$9))</f>
        <v/>
      </c>
      <c r="F833" s="25" t="str">
        <f aca="false">IF($A833="","",SUMIFS(Timesheet!$F$5:$F$3004,Timesheet!$D$5:$D$3004,$A833,Timesheet!$A$5:$A$3004,"&gt;="&amp;Settings!$B$8,Timesheet!$A$5:$A$3004,"&lt;="&amp;Settings!$B$9))</f>
        <v/>
      </c>
      <c r="G833" s="25" t="str">
        <f aca="false">IF($A833="","",SUMIFS(Timesheet!$G$5:$G$3004,Timesheet!$D$5:$D$3004,$A833,Timesheet!$A$5:$A$3004,"&gt;="&amp;Settings!$B$8,Timesheet!$A$5:$A$3004,"&lt;="&amp;Settings!$B$9))</f>
        <v/>
      </c>
      <c r="H833" s="25" t="str">
        <f aca="false">IF($A833="","",IF(D833="Monthly",MAX(0,Settings!$B$11-E833),0))</f>
        <v/>
      </c>
      <c r="I833" s="26" t="str">
        <f aca="false">IF($A833="","",N(INDEX(Workers!$L$5:$L$2004,MATCH($A833,Workers!$A$5:$A$2004,0))))</f>
        <v/>
      </c>
      <c r="J833" s="26" t="str">
        <f aca="false">IF($A833="","",N(INDEX(Workers!$M$5:$M$2004,MATCH($A833,Workers!$A$5:$A$2004,0))))</f>
        <v/>
      </c>
      <c r="K833" s="26" t="str">
        <f aca="false">IF($A833="","",IF(D833="Monthly",ROUND(MAX(0,(I833+J833)-(I833+J833)/Settings!$B$10*H833),2),0))</f>
        <v/>
      </c>
      <c r="L833" s="26" t="str">
        <f aca="false">IF($A833="","",IF(D833="Hourly",ROUND(F833*N(INDEX(Workers!$N$5:$N$2004,MATCH($A833,Workers!$A$5:$A$2004,0))),2),0))</f>
        <v/>
      </c>
      <c r="M833" s="26" t="str">
        <f aca="false">IF($A833="","",ROUND(G833*IF(D833="Hourly",N(INDEX(Workers!$N$5:$N$2004,MATCH($A833,Workers!$A$5:$A$2004,0))),I833/Settings!$B$10/Settings!$B$12)*Settings!$B$13,2))</f>
        <v/>
      </c>
      <c r="N833" s="26" t="str">
        <f aca="false">IF($A833="","",K833+L833+M833)</f>
        <v/>
      </c>
      <c r="O833" s="26" t="str">
        <f aca="false">IF($A833="","",SUMIFS(Deductions!$D$5:$D$2000,Deductions!$B$5:$B$2000,$A833,Deductions!$C$5:$C$2000,"Advance",Deductions!$E$5:$E$2000,"&gt;="&amp;Settings!$B$8,Deductions!$E$5:$E$2000,"&lt;="&amp;Settings!$B$9))</f>
        <v/>
      </c>
      <c r="P833" s="26" t="str">
        <f aca="false">IF($A833="","",SUMIFS(Deductions!$D$5:$D$2000,Deductions!$B$5:$B$2000,$A833,Deductions!$E$5:$E$2000,"&gt;="&amp;Settings!$B$8,Deductions!$E$5:$E$2000,"&lt;="&amp;Settings!$B$9)-O833)</f>
        <v/>
      </c>
      <c r="Q833" s="26" t="str">
        <f aca="false">IF($A833="","",O833+P833)</f>
        <v/>
      </c>
      <c r="R833" s="23" t="str">
        <f aca="false">IF($A833="","",N833-Q833)</f>
        <v/>
      </c>
      <c r="S833" s="24" t="str">
        <f aca="false">IF($A833="","",INDEX(Workers!$O$5:$O$2004,MATCH($A833,Workers!$A$5:$A$2004,0))&amp;"")</f>
        <v/>
      </c>
      <c r="T833" s="24" t="str">
        <f aca="false">IF($A833="","",INDEX(Workers!$P$5:$P$2004,MATCH($A833,Workers!$A$5:$A$2004,0))&amp;"")</f>
        <v/>
      </c>
      <c r="U833" s="24" t="str">
        <f aca="false">IF($A833="","",INDEX(Workers!$H$5:$H$2004,MATCH($A833,Workers!$A$5:$A$2004,0))&amp;"")</f>
        <v/>
      </c>
    </row>
    <row r="834" customFormat="false" ht="15" hidden="false" customHeight="false" outlineLevel="0" collapsed="false">
      <c r="A834" s="24" t="str">
        <f aca="false">IFERROR(INDEX(Workers!$A$5:$A$2004,MATCH(ROW()-4,Workers!$U$5:$U$2004,0)),"")</f>
        <v/>
      </c>
      <c r="B834" s="24" t="str">
        <f aca="false">IF($A834="","",INDEX(Workers!$B$5:$B$2004,MATCH($A834,Workers!$A$5:$A$2004,0)))</f>
        <v/>
      </c>
      <c r="C834" s="24" t="str">
        <f aca="false">IF($A834="","",INDEX(Workers!$E$5:$E$2004,MATCH($A834,Workers!$A$5:$A$2004,0)))</f>
        <v/>
      </c>
      <c r="D834" s="24" t="str">
        <f aca="false">IF($A834="","",INDEX(Workers!$K$5:$K$2004,MATCH($A834,Workers!$A$5:$A$2004,0)))</f>
        <v/>
      </c>
      <c r="E834" s="25" t="str">
        <f aca="false">IF($A834="","",SUMIFS(Timesheet!$E$5:$E$3004,Timesheet!$D$5:$D$3004,$A834,Timesheet!$A$5:$A$3004,"&gt;="&amp;Settings!$B$8,Timesheet!$A$5:$A$3004,"&lt;="&amp;Settings!$B$9))</f>
        <v/>
      </c>
      <c r="F834" s="25" t="str">
        <f aca="false">IF($A834="","",SUMIFS(Timesheet!$F$5:$F$3004,Timesheet!$D$5:$D$3004,$A834,Timesheet!$A$5:$A$3004,"&gt;="&amp;Settings!$B$8,Timesheet!$A$5:$A$3004,"&lt;="&amp;Settings!$B$9))</f>
        <v/>
      </c>
      <c r="G834" s="25" t="str">
        <f aca="false">IF($A834="","",SUMIFS(Timesheet!$G$5:$G$3004,Timesheet!$D$5:$D$3004,$A834,Timesheet!$A$5:$A$3004,"&gt;="&amp;Settings!$B$8,Timesheet!$A$5:$A$3004,"&lt;="&amp;Settings!$B$9))</f>
        <v/>
      </c>
      <c r="H834" s="25" t="str">
        <f aca="false">IF($A834="","",IF(D834="Monthly",MAX(0,Settings!$B$11-E834),0))</f>
        <v/>
      </c>
      <c r="I834" s="26" t="str">
        <f aca="false">IF($A834="","",N(INDEX(Workers!$L$5:$L$2004,MATCH($A834,Workers!$A$5:$A$2004,0))))</f>
        <v/>
      </c>
      <c r="J834" s="26" t="str">
        <f aca="false">IF($A834="","",N(INDEX(Workers!$M$5:$M$2004,MATCH($A834,Workers!$A$5:$A$2004,0))))</f>
        <v/>
      </c>
      <c r="K834" s="26" t="str">
        <f aca="false">IF($A834="","",IF(D834="Monthly",ROUND(MAX(0,(I834+J834)-(I834+J834)/Settings!$B$10*H834),2),0))</f>
        <v/>
      </c>
      <c r="L834" s="26" t="str">
        <f aca="false">IF($A834="","",IF(D834="Hourly",ROUND(F834*N(INDEX(Workers!$N$5:$N$2004,MATCH($A834,Workers!$A$5:$A$2004,0))),2),0))</f>
        <v/>
      </c>
      <c r="M834" s="26" t="str">
        <f aca="false">IF($A834="","",ROUND(G834*IF(D834="Hourly",N(INDEX(Workers!$N$5:$N$2004,MATCH($A834,Workers!$A$5:$A$2004,0))),I834/Settings!$B$10/Settings!$B$12)*Settings!$B$13,2))</f>
        <v/>
      </c>
      <c r="N834" s="26" t="str">
        <f aca="false">IF($A834="","",K834+L834+M834)</f>
        <v/>
      </c>
      <c r="O834" s="26" t="str">
        <f aca="false">IF($A834="","",SUMIFS(Deductions!$D$5:$D$2000,Deductions!$B$5:$B$2000,$A834,Deductions!$C$5:$C$2000,"Advance",Deductions!$E$5:$E$2000,"&gt;="&amp;Settings!$B$8,Deductions!$E$5:$E$2000,"&lt;="&amp;Settings!$B$9))</f>
        <v/>
      </c>
      <c r="P834" s="26" t="str">
        <f aca="false">IF($A834="","",SUMIFS(Deductions!$D$5:$D$2000,Deductions!$B$5:$B$2000,$A834,Deductions!$E$5:$E$2000,"&gt;="&amp;Settings!$B$8,Deductions!$E$5:$E$2000,"&lt;="&amp;Settings!$B$9)-O834)</f>
        <v/>
      </c>
      <c r="Q834" s="26" t="str">
        <f aca="false">IF($A834="","",O834+P834)</f>
        <v/>
      </c>
      <c r="R834" s="23" t="str">
        <f aca="false">IF($A834="","",N834-Q834)</f>
        <v/>
      </c>
      <c r="S834" s="24" t="str">
        <f aca="false">IF($A834="","",INDEX(Workers!$O$5:$O$2004,MATCH($A834,Workers!$A$5:$A$2004,0))&amp;"")</f>
        <v/>
      </c>
      <c r="T834" s="24" t="str">
        <f aca="false">IF($A834="","",INDEX(Workers!$P$5:$P$2004,MATCH($A834,Workers!$A$5:$A$2004,0))&amp;"")</f>
        <v/>
      </c>
      <c r="U834" s="24" t="str">
        <f aca="false">IF($A834="","",INDEX(Workers!$H$5:$H$2004,MATCH($A834,Workers!$A$5:$A$2004,0))&amp;"")</f>
        <v/>
      </c>
    </row>
    <row r="835" customFormat="false" ht="15" hidden="false" customHeight="false" outlineLevel="0" collapsed="false">
      <c r="A835" s="24" t="str">
        <f aca="false">IFERROR(INDEX(Workers!$A$5:$A$2004,MATCH(ROW()-4,Workers!$U$5:$U$2004,0)),"")</f>
        <v/>
      </c>
      <c r="B835" s="24" t="str">
        <f aca="false">IF($A835="","",INDEX(Workers!$B$5:$B$2004,MATCH($A835,Workers!$A$5:$A$2004,0)))</f>
        <v/>
      </c>
      <c r="C835" s="24" t="str">
        <f aca="false">IF($A835="","",INDEX(Workers!$E$5:$E$2004,MATCH($A835,Workers!$A$5:$A$2004,0)))</f>
        <v/>
      </c>
      <c r="D835" s="24" t="str">
        <f aca="false">IF($A835="","",INDEX(Workers!$K$5:$K$2004,MATCH($A835,Workers!$A$5:$A$2004,0)))</f>
        <v/>
      </c>
      <c r="E835" s="25" t="str">
        <f aca="false">IF($A835="","",SUMIFS(Timesheet!$E$5:$E$3004,Timesheet!$D$5:$D$3004,$A835,Timesheet!$A$5:$A$3004,"&gt;="&amp;Settings!$B$8,Timesheet!$A$5:$A$3004,"&lt;="&amp;Settings!$B$9))</f>
        <v/>
      </c>
      <c r="F835" s="25" t="str">
        <f aca="false">IF($A835="","",SUMIFS(Timesheet!$F$5:$F$3004,Timesheet!$D$5:$D$3004,$A835,Timesheet!$A$5:$A$3004,"&gt;="&amp;Settings!$B$8,Timesheet!$A$5:$A$3004,"&lt;="&amp;Settings!$B$9))</f>
        <v/>
      </c>
      <c r="G835" s="25" t="str">
        <f aca="false">IF($A835="","",SUMIFS(Timesheet!$G$5:$G$3004,Timesheet!$D$5:$D$3004,$A835,Timesheet!$A$5:$A$3004,"&gt;="&amp;Settings!$B$8,Timesheet!$A$5:$A$3004,"&lt;="&amp;Settings!$B$9))</f>
        <v/>
      </c>
      <c r="H835" s="25" t="str">
        <f aca="false">IF($A835="","",IF(D835="Monthly",MAX(0,Settings!$B$11-E835),0))</f>
        <v/>
      </c>
      <c r="I835" s="26" t="str">
        <f aca="false">IF($A835="","",N(INDEX(Workers!$L$5:$L$2004,MATCH($A835,Workers!$A$5:$A$2004,0))))</f>
        <v/>
      </c>
      <c r="J835" s="26" t="str">
        <f aca="false">IF($A835="","",N(INDEX(Workers!$M$5:$M$2004,MATCH($A835,Workers!$A$5:$A$2004,0))))</f>
        <v/>
      </c>
      <c r="K835" s="26" t="str">
        <f aca="false">IF($A835="","",IF(D835="Monthly",ROUND(MAX(0,(I835+J835)-(I835+J835)/Settings!$B$10*H835),2),0))</f>
        <v/>
      </c>
      <c r="L835" s="26" t="str">
        <f aca="false">IF($A835="","",IF(D835="Hourly",ROUND(F835*N(INDEX(Workers!$N$5:$N$2004,MATCH($A835,Workers!$A$5:$A$2004,0))),2),0))</f>
        <v/>
      </c>
      <c r="M835" s="26" t="str">
        <f aca="false">IF($A835="","",ROUND(G835*IF(D835="Hourly",N(INDEX(Workers!$N$5:$N$2004,MATCH($A835,Workers!$A$5:$A$2004,0))),I835/Settings!$B$10/Settings!$B$12)*Settings!$B$13,2))</f>
        <v/>
      </c>
      <c r="N835" s="26" t="str">
        <f aca="false">IF($A835="","",K835+L835+M835)</f>
        <v/>
      </c>
      <c r="O835" s="26" t="str">
        <f aca="false">IF($A835="","",SUMIFS(Deductions!$D$5:$D$2000,Deductions!$B$5:$B$2000,$A835,Deductions!$C$5:$C$2000,"Advance",Deductions!$E$5:$E$2000,"&gt;="&amp;Settings!$B$8,Deductions!$E$5:$E$2000,"&lt;="&amp;Settings!$B$9))</f>
        <v/>
      </c>
      <c r="P835" s="26" t="str">
        <f aca="false">IF($A835="","",SUMIFS(Deductions!$D$5:$D$2000,Deductions!$B$5:$B$2000,$A835,Deductions!$E$5:$E$2000,"&gt;="&amp;Settings!$B$8,Deductions!$E$5:$E$2000,"&lt;="&amp;Settings!$B$9)-O835)</f>
        <v/>
      </c>
      <c r="Q835" s="26" t="str">
        <f aca="false">IF($A835="","",O835+P835)</f>
        <v/>
      </c>
      <c r="R835" s="23" t="str">
        <f aca="false">IF($A835="","",N835-Q835)</f>
        <v/>
      </c>
      <c r="S835" s="24" t="str">
        <f aca="false">IF($A835="","",INDEX(Workers!$O$5:$O$2004,MATCH($A835,Workers!$A$5:$A$2004,0))&amp;"")</f>
        <v/>
      </c>
      <c r="T835" s="24" t="str">
        <f aca="false">IF($A835="","",INDEX(Workers!$P$5:$P$2004,MATCH($A835,Workers!$A$5:$A$2004,0))&amp;"")</f>
        <v/>
      </c>
      <c r="U835" s="24" t="str">
        <f aca="false">IF($A835="","",INDEX(Workers!$H$5:$H$2004,MATCH($A835,Workers!$A$5:$A$2004,0))&amp;"")</f>
        <v/>
      </c>
    </row>
    <row r="836" customFormat="false" ht="15" hidden="false" customHeight="false" outlineLevel="0" collapsed="false">
      <c r="A836" s="24" t="str">
        <f aca="false">IFERROR(INDEX(Workers!$A$5:$A$2004,MATCH(ROW()-4,Workers!$U$5:$U$2004,0)),"")</f>
        <v/>
      </c>
      <c r="B836" s="24" t="str">
        <f aca="false">IF($A836="","",INDEX(Workers!$B$5:$B$2004,MATCH($A836,Workers!$A$5:$A$2004,0)))</f>
        <v/>
      </c>
      <c r="C836" s="24" t="str">
        <f aca="false">IF($A836="","",INDEX(Workers!$E$5:$E$2004,MATCH($A836,Workers!$A$5:$A$2004,0)))</f>
        <v/>
      </c>
      <c r="D836" s="24" t="str">
        <f aca="false">IF($A836="","",INDEX(Workers!$K$5:$K$2004,MATCH($A836,Workers!$A$5:$A$2004,0)))</f>
        <v/>
      </c>
      <c r="E836" s="25" t="str">
        <f aca="false">IF($A836="","",SUMIFS(Timesheet!$E$5:$E$3004,Timesheet!$D$5:$D$3004,$A836,Timesheet!$A$5:$A$3004,"&gt;="&amp;Settings!$B$8,Timesheet!$A$5:$A$3004,"&lt;="&amp;Settings!$B$9))</f>
        <v/>
      </c>
      <c r="F836" s="25" t="str">
        <f aca="false">IF($A836="","",SUMIFS(Timesheet!$F$5:$F$3004,Timesheet!$D$5:$D$3004,$A836,Timesheet!$A$5:$A$3004,"&gt;="&amp;Settings!$B$8,Timesheet!$A$5:$A$3004,"&lt;="&amp;Settings!$B$9))</f>
        <v/>
      </c>
      <c r="G836" s="25" t="str">
        <f aca="false">IF($A836="","",SUMIFS(Timesheet!$G$5:$G$3004,Timesheet!$D$5:$D$3004,$A836,Timesheet!$A$5:$A$3004,"&gt;="&amp;Settings!$B$8,Timesheet!$A$5:$A$3004,"&lt;="&amp;Settings!$B$9))</f>
        <v/>
      </c>
      <c r="H836" s="25" t="str">
        <f aca="false">IF($A836="","",IF(D836="Monthly",MAX(0,Settings!$B$11-E836),0))</f>
        <v/>
      </c>
      <c r="I836" s="26" t="str">
        <f aca="false">IF($A836="","",N(INDEX(Workers!$L$5:$L$2004,MATCH($A836,Workers!$A$5:$A$2004,0))))</f>
        <v/>
      </c>
      <c r="J836" s="26" t="str">
        <f aca="false">IF($A836="","",N(INDEX(Workers!$M$5:$M$2004,MATCH($A836,Workers!$A$5:$A$2004,0))))</f>
        <v/>
      </c>
      <c r="K836" s="26" t="str">
        <f aca="false">IF($A836="","",IF(D836="Monthly",ROUND(MAX(0,(I836+J836)-(I836+J836)/Settings!$B$10*H836),2),0))</f>
        <v/>
      </c>
      <c r="L836" s="26" t="str">
        <f aca="false">IF($A836="","",IF(D836="Hourly",ROUND(F836*N(INDEX(Workers!$N$5:$N$2004,MATCH($A836,Workers!$A$5:$A$2004,0))),2),0))</f>
        <v/>
      </c>
      <c r="M836" s="26" t="str">
        <f aca="false">IF($A836="","",ROUND(G836*IF(D836="Hourly",N(INDEX(Workers!$N$5:$N$2004,MATCH($A836,Workers!$A$5:$A$2004,0))),I836/Settings!$B$10/Settings!$B$12)*Settings!$B$13,2))</f>
        <v/>
      </c>
      <c r="N836" s="26" t="str">
        <f aca="false">IF($A836="","",K836+L836+M836)</f>
        <v/>
      </c>
      <c r="O836" s="26" t="str">
        <f aca="false">IF($A836="","",SUMIFS(Deductions!$D$5:$D$2000,Deductions!$B$5:$B$2000,$A836,Deductions!$C$5:$C$2000,"Advance",Deductions!$E$5:$E$2000,"&gt;="&amp;Settings!$B$8,Deductions!$E$5:$E$2000,"&lt;="&amp;Settings!$B$9))</f>
        <v/>
      </c>
      <c r="P836" s="26" t="str">
        <f aca="false">IF($A836="","",SUMIFS(Deductions!$D$5:$D$2000,Deductions!$B$5:$B$2000,$A836,Deductions!$E$5:$E$2000,"&gt;="&amp;Settings!$B$8,Deductions!$E$5:$E$2000,"&lt;="&amp;Settings!$B$9)-O836)</f>
        <v/>
      </c>
      <c r="Q836" s="26" t="str">
        <f aca="false">IF($A836="","",O836+P836)</f>
        <v/>
      </c>
      <c r="R836" s="23" t="str">
        <f aca="false">IF($A836="","",N836-Q836)</f>
        <v/>
      </c>
      <c r="S836" s="24" t="str">
        <f aca="false">IF($A836="","",INDEX(Workers!$O$5:$O$2004,MATCH($A836,Workers!$A$5:$A$2004,0))&amp;"")</f>
        <v/>
      </c>
      <c r="T836" s="24" t="str">
        <f aca="false">IF($A836="","",INDEX(Workers!$P$5:$P$2004,MATCH($A836,Workers!$A$5:$A$2004,0))&amp;"")</f>
        <v/>
      </c>
      <c r="U836" s="24" t="str">
        <f aca="false">IF($A836="","",INDEX(Workers!$H$5:$H$2004,MATCH($A836,Workers!$A$5:$A$2004,0))&amp;"")</f>
        <v/>
      </c>
    </row>
    <row r="837" customFormat="false" ht="15" hidden="false" customHeight="false" outlineLevel="0" collapsed="false">
      <c r="A837" s="24" t="str">
        <f aca="false">IFERROR(INDEX(Workers!$A$5:$A$2004,MATCH(ROW()-4,Workers!$U$5:$U$2004,0)),"")</f>
        <v/>
      </c>
      <c r="B837" s="24" t="str">
        <f aca="false">IF($A837="","",INDEX(Workers!$B$5:$B$2004,MATCH($A837,Workers!$A$5:$A$2004,0)))</f>
        <v/>
      </c>
      <c r="C837" s="24" t="str">
        <f aca="false">IF($A837="","",INDEX(Workers!$E$5:$E$2004,MATCH($A837,Workers!$A$5:$A$2004,0)))</f>
        <v/>
      </c>
      <c r="D837" s="24" t="str">
        <f aca="false">IF($A837="","",INDEX(Workers!$K$5:$K$2004,MATCH($A837,Workers!$A$5:$A$2004,0)))</f>
        <v/>
      </c>
      <c r="E837" s="25" t="str">
        <f aca="false">IF($A837="","",SUMIFS(Timesheet!$E$5:$E$3004,Timesheet!$D$5:$D$3004,$A837,Timesheet!$A$5:$A$3004,"&gt;="&amp;Settings!$B$8,Timesheet!$A$5:$A$3004,"&lt;="&amp;Settings!$B$9))</f>
        <v/>
      </c>
      <c r="F837" s="25" t="str">
        <f aca="false">IF($A837="","",SUMIFS(Timesheet!$F$5:$F$3004,Timesheet!$D$5:$D$3004,$A837,Timesheet!$A$5:$A$3004,"&gt;="&amp;Settings!$B$8,Timesheet!$A$5:$A$3004,"&lt;="&amp;Settings!$B$9))</f>
        <v/>
      </c>
      <c r="G837" s="25" t="str">
        <f aca="false">IF($A837="","",SUMIFS(Timesheet!$G$5:$G$3004,Timesheet!$D$5:$D$3004,$A837,Timesheet!$A$5:$A$3004,"&gt;="&amp;Settings!$B$8,Timesheet!$A$5:$A$3004,"&lt;="&amp;Settings!$B$9))</f>
        <v/>
      </c>
      <c r="H837" s="25" t="str">
        <f aca="false">IF($A837="","",IF(D837="Monthly",MAX(0,Settings!$B$11-E837),0))</f>
        <v/>
      </c>
      <c r="I837" s="26" t="str">
        <f aca="false">IF($A837="","",N(INDEX(Workers!$L$5:$L$2004,MATCH($A837,Workers!$A$5:$A$2004,0))))</f>
        <v/>
      </c>
      <c r="J837" s="26" t="str">
        <f aca="false">IF($A837="","",N(INDEX(Workers!$M$5:$M$2004,MATCH($A837,Workers!$A$5:$A$2004,0))))</f>
        <v/>
      </c>
      <c r="K837" s="26" t="str">
        <f aca="false">IF($A837="","",IF(D837="Monthly",ROUND(MAX(0,(I837+J837)-(I837+J837)/Settings!$B$10*H837),2),0))</f>
        <v/>
      </c>
      <c r="L837" s="26" t="str">
        <f aca="false">IF($A837="","",IF(D837="Hourly",ROUND(F837*N(INDEX(Workers!$N$5:$N$2004,MATCH($A837,Workers!$A$5:$A$2004,0))),2),0))</f>
        <v/>
      </c>
      <c r="M837" s="26" t="str">
        <f aca="false">IF($A837="","",ROUND(G837*IF(D837="Hourly",N(INDEX(Workers!$N$5:$N$2004,MATCH($A837,Workers!$A$5:$A$2004,0))),I837/Settings!$B$10/Settings!$B$12)*Settings!$B$13,2))</f>
        <v/>
      </c>
      <c r="N837" s="26" t="str">
        <f aca="false">IF($A837="","",K837+L837+M837)</f>
        <v/>
      </c>
      <c r="O837" s="26" t="str">
        <f aca="false">IF($A837="","",SUMIFS(Deductions!$D$5:$D$2000,Deductions!$B$5:$B$2000,$A837,Deductions!$C$5:$C$2000,"Advance",Deductions!$E$5:$E$2000,"&gt;="&amp;Settings!$B$8,Deductions!$E$5:$E$2000,"&lt;="&amp;Settings!$B$9))</f>
        <v/>
      </c>
      <c r="P837" s="26" t="str">
        <f aca="false">IF($A837="","",SUMIFS(Deductions!$D$5:$D$2000,Deductions!$B$5:$B$2000,$A837,Deductions!$E$5:$E$2000,"&gt;="&amp;Settings!$B$8,Deductions!$E$5:$E$2000,"&lt;="&amp;Settings!$B$9)-O837)</f>
        <v/>
      </c>
      <c r="Q837" s="26" t="str">
        <f aca="false">IF($A837="","",O837+P837)</f>
        <v/>
      </c>
      <c r="R837" s="23" t="str">
        <f aca="false">IF($A837="","",N837-Q837)</f>
        <v/>
      </c>
      <c r="S837" s="24" t="str">
        <f aca="false">IF($A837="","",INDEX(Workers!$O$5:$O$2004,MATCH($A837,Workers!$A$5:$A$2004,0))&amp;"")</f>
        <v/>
      </c>
      <c r="T837" s="24" t="str">
        <f aca="false">IF($A837="","",INDEX(Workers!$P$5:$P$2004,MATCH($A837,Workers!$A$5:$A$2004,0))&amp;"")</f>
        <v/>
      </c>
      <c r="U837" s="24" t="str">
        <f aca="false">IF($A837="","",INDEX(Workers!$H$5:$H$2004,MATCH($A837,Workers!$A$5:$A$2004,0))&amp;"")</f>
        <v/>
      </c>
    </row>
    <row r="838" customFormat="false" ht="15" hidden="false" customHeight="false" outlineLevel="0" collapsed="false">
      <c r="A838" s="24" t="str">
        <f aca="false">IFERROR(INDEX(Workers!$A$5:$A$2004,MATCH(ROW()-4,Workers!$U$5:$U$2004,0)),"")</f>
        <v/>
      </c>
      <c r="B838" s="24" t="str">
        <f aca="false">IF($A838="","",INDEX(Workers!$B$5:$B$2004,MATCH($A838,Workers!$A$5:$A$2004,0)))</f>
        <v/>
      </c>
      <c r="C838" s="24" t="str">
        <f aca="false">IF($A838="","",INDEX(Workers!$E$5:$E$2004,MATCH($A838,Workers!$A$5:$A$2004,0)))</f>
        <v/>
      </c>
      <c r="D838" s="24" t="str">
        <f aca="false">IF($A838="","",INDEX(Workers!$K$5:$K$2004,MATCH($A838,Workers!$A$5:$A$2004,0)))</f>
        <v/>
      </c>
      <c r="E838" s="25" t="str">
        <f aca="false">IF($A838="","",SUMIFS(Timesheet!$E$5:$E$3004,Timesheet!$D$5:$D$3004,$A838,Timesheet!$A$5:$A$3004,"&gt;="&amp;Settings!$B$8,Timesheet!$A$5:$A$3004,"&lt;="&amp;Settings!$B$9))</f>
        <v/>
      </c>
      <c r="F838" s="25" t="str">
        <f aca="false">IF($A838="","",SUMIFS(Timesheet!$F$5:$F$3004,Timesheet!$D$5:$D$3004,$A838,Timesheet!$A$5:$A$3004,"&gt;="&amp;Settings!$B$8,Timesheet!$A$5:$A$3004,"&lt;="&amp;Settings!$B$9))</f>
        <v/>
      </c>
      <c r="G838" s="25" t="str">
        <f aca="false">IF($A838="","",SUMIFS(Timesheet!$G$5:$G$3004,Timesheet!$D$5:$D$3004,$A838,Timesheet!$A$5:$A$3004,"&gt;="&amp;Settings!$B$8,Timesheet!$A$5:$A$3004,"&lt;="&amp;Settings!$B$9))</f>
        <v/>
      </c>
      <c r="H838" s="25" t="str">
        <f aca="false">IF($A838="","",IF(D838="Monthly",MAX(0,Settings!$B$11-E838),0))</f>
        <v/>
      </c>
      <c r="I838" s="26" t="str">
        <f aca="false">IF($A838="","",N(INDEX(Workers!$L$5:$L$2004,MATCH($A838,Workers!$A$5:$A$2004,0))))</f>
        <v/>
      </c>
      <c r="J838" s="26" t="str">
        <f aca="false">IF($A838="","",N(INDEX(Workers!$M$5:$M$2004,MATCH($A838,Workers!$A$5:$A$2004,0))))</f>
        <v/>
      </c>
      <c r="K838" s="26" t="str">
        <f aca="false">IF($A838="","",IF(D838="Monthly",ROUND(MAX(0,(I838+J838)-(I838+J838)/Settings!$B$10*H838),2),0))</f>
        <v/>
      </c>
      <c r="L838" s="26" t="str">
        <f aca="false">IF($A838="","",IF(D838="Hourly",ROUND(F838*N(INDEX(Workers!$N$5:$N$2004,MATCH($A838,Workers!$A$5:$A$2004,0))),2),0))</f>
        <v/>
      </c>
      <c r="M838" s="26" t="str">
        <f aca="false">IF($A838="","",ROUND(G838*IF(D838="Hourly",N(INDEX(Workers!$N$5:$N$2004,MATCH($A838,Workers!$A$5:$A$2004,0))),I838/Settings!$B$10/Settings!$B$12)*Settings!$B$13,2))</f>
        <v/>
      </c>
      <c r="N838" s="26" t="str">
        <f aca="false">IF($A838="","",K838+L838+M838)</f>
        <v/>
      </c>
      <c r="O838" s="26" t="str">
        <f aca="false">IF($A838="","",SUMIFS(Deductions!$D$5:$D$2000,Deductions!$B$5:$B$2000,$A838,Deductions!$C$5:$C$2000,"Advance",Deductions!$E$5:$E$2000,"&gt;="&amp;Settings!$B$8,Deductions!$E$5:$E$2000,"&lt;="&amp;Settings!$B$9))</f>
        <v/>
      </c>
      <c r="P838" s="26" t="str">
        <f aca="false">IF($A838="","",SUMIFS(Deductions!$D$5:$D$2000,Deductions!$B$5:$B$2000,$A838,Deductions!$E$5:$E$2000,"&gt;="&amp;Settings!$B$8,Deductions!$E$5:$E$2000,"&lt;="&amp;Settings!$B$9)-O838)</f>
        <v/>
      </c>
      <c r="Q838" s="26" t="str">
        <f aca="false">IF($A838="","",O838+P838)</f>
        <v/>
      </c>
      <c r="R838" s="23" t="str">
        <f aca="false">IF($A838="","",N838-Q838)</f>
        <v/>
      </c>
      <c r="S838" s="24" t="str">
        <f aca="false">IF($A838="","",INDEX(Workers!$O$5:$O$2004,MATCH($A838,Workers!$A$5:$A$2004,0))&amp;"")</f>
        <v/>
      </c>
      <c r="T838" s="24" t="str">
        <f aca="false">IF($A838="","",INDEX(Workers!$P$5:$P$2004,MATCH($A838,Workers!$A$5:$A$2004,0))&amp;"")</f>
        <v/>
      </c>
      <c r="U838" s="24" t="str">
        <f aca="false">IF($A838="","",INDEX(Workers!$H$5:$H$2004,MATCH($A838,Workers!$A$5:$A$2004,0))&amp;"")</f>
        <v/>
      </c>
    </row>
    <row r="839" customFormat="false" ht="15" hidden="false" customHeight="false" outlineLevel="0" collapsed="false">
      <c r="A839" s="24" t="str">
        <f aca="false">IFERROR(INDEX(Workers!$A$5:$A$2004,MATCH(ROW()-4,Workers!$U$5:$U$2004,0)),"")</f>
        <v/>
      </c>
      <c r="B839" s="24" t="str">
        <f aca="false">IF($A839="","",INDEX(Workers!$B$5:$B$2004,MATCH($A839,Workers!$A$5:$A$2004,0)))</f>
        <v/>
      </c>
      <c r="C839" s="24" t="str">
        <f aca="false">IF($A839="","",INDEX(Workers!$E$5:$E$2004,MATCH($A839,Workers!$A$5:$A$2004,0)))</f>
        <v/>
      </c>
      <c r="D839" s="24" t="str">
        <f aca="false">IF($A839="","",INDEX(Workers!$K$5:$K$2004,MATCH($A839,Workers!$A$5:$A$2004,0)))</f>
        <v/>
      </c>
      <c r="E839" s="25" t="str">
        <f aca="false">IF($A839="","",SUMIFS(Timesheet!$E$5:$E$3004,Timesheet!$D$5:$D$3004,$A839,Timesheet!$A$5:$A$3004,"&gt;="&amp;Settings!$B$8,Timesheet!$A$5:$A$3004,"&lt;="&amp;Settings!$B$9))</f>
        <v/>
      </c>
      <c r="F839" s="25" t="str">
        <f aca="false">IF($A839="","",SUMIFS(Timesheet!$F$5:$F$3004,Timesheet!$D$5:$D$3004,$A839,Timesheet!$A$5:$A$3004,"&gt;="&amp;Settings!$B$8,Timesheet!$A$5:$A$3004,"&lt;="&amp;Settings!$B$9))</f>
        <v/>
      </c>
      <c r="G839" s="25" t="str">
        <f aca="false">IF($A839="","",SUMIFS(Timesheet!$G$5:$G$3004,Timesheet!$D$5:$D$3004,$A839,Timesheet!$A$5:$A$3004,"&gt;="&amp;Settings!$B$8,Timesheet!$A$5:$A$3004,"&lt;="&amp;Settings!$B$9))</f>
        <v/>
      </c>
      <c r="H839" s="25" t="str">
        <f aca="false">IF($A839="","",IF(D839="Monthly",MAX(0,Settings!$B$11-E839),0))</f>
        <v/>
      </c>
      <c r="I839" s="26" t="str">
        <f aca="false">IF($A839="","",N(INDEX(Workers!$L$5:$L$2004,MATCH($A839,Workers!$A$5:$A$2004,0))))</f>
        <v/>
      </c>
      <c r="J839" s="26" t="str">
        <f aca="false">IF($A839="","",N(INDEX(Workers!$M$5:$M$2004,MATCH($A839,Workers!$A$5:$A$2004,0))))</f>
        <v/>
      </c>
      <c r="K839" s="26" t="str">
        <f aca="false">IF($A839="","",IF(D839="Monthly",ROUND(MAX(0,(I839+J839)-(I839+J839)/Settings!$B$10*H839),2),0))</f>
        <v/>
      </c>
      <c r="L839" s="26" t="str">
        <f aca="false">IF($A839="","",IF(D839="Hourly",ROUND(F839*N(INDEX(Workers!$N$5:$N$2004,MATCH($A839,Workers!$A$5:$A$2004,0))),2),0))</f>
        <v/>
      </c>
      <c r="M839" s="26" t="str">
        <f aca="false">IF($A839="","",ROUND(G839*IF(D839="Hourly",N(INDEX(Workers!$N$5:$N$2004,MATCH($A839,Workers!$A$5:$A$2004,0))),I839/Settings!$B$10/Settings!$B$12)*Settings!$B$13,2))</f>
        <v/>
      </c>
      <c r="N839" s="26" t="str">
        <f aca="false">IF($A839="","",K839+L839+M839)</f>
        <v/>
      </c>
      <c r="O839" s="26" t="str">
        <f aca="false">IF($A839="","",SUMIFS(Deductions!$D$5:$D$2000,Deductions!$B$5:$B$2000,$A839,Deductions!$C$5:$C$2000,"Advance",Deductions!$E$5:$E$2000,"&gt;="&amp;Settings!$B$8,Deductions!$E$5:$E$2000,"&lt;="&amp;Settings!$B$9))</f>
        <v/>
      </c>
      <c r="P839" s="26" t="str">
        <f aca="false">IF($A839="","",SUMIFS(Deductions!$D$5:$D$2000,Deductions!$B$5:$B$2000,$A839,Deductions!$E$5:$E$2000,"&gt;="&amp;Settings!$B$8,Deductions!$E$5:$E$2000,"&lt;="&amp;Settings!$B$9)-O839)</f>
        <v/>
      </c>
      <c r="Q839" s="26" t="str">
        <f aca="false">IF($A839="","",O839+P839)</f>
        <v/>
      </c>
      <c r="R839" s="23" t="str">
        <f aca="false">IF($A839="","",N839-Q839)</f>
        <v/>
      </c>
      <c r="S839" s="24" t="str">
        <f aca="false">IF($A839="","",INDEX(Workers!$O$5:$O$2004,MATCH($A839,Workers!$A$5:$A$2004,0))&amp;"")</f>
        <v/>
      </c>
      <c r="T839" s="24" t="str">
        <f aca="false">IF($A839="","",INDEX(Workers!$P$5:$P$2004,MATCH($A839,Workers!$A$5:$A$2004,0))&amp;"")</f>
        <v/>
      </c>
      <c r="U839" s="24" t="str">
        <f aca="false">IF($A839="","",INDEX(Workers!$H$5:$H$2004,MATCH($A839,Workers!$A$5:$A$2004,0))&amp;"")</f>
        <v/>
      </c>
    </row>
    <row r="840" customFormat="false" ht="15" hidden="false" customHeight="false" outlineLevel="0" collapsed="false">
      <c r="A840" s="24" t="str">
        <f aca="false">IFERROR(INDEX(Workers!$A$5:$A$2004,MATCH(ROW()-4,Workers!$U$5:$U$2004,0)),"")</f>
        <v/>
      </c>
      <c r="B840" s="24" t="str">
        <f aca="false">IF($A840="","",INDEX(Workers!$B$5:$B$2004,MATCH($A840,Workers!$A$5:$A$2004,0)))</f>
        <v/>
      </c>
      <c r="C840" s="24" t="str">
        <f aca="false">IF($A840="","",INDEX(Workers!$E$5:$E$2004,MATCH($A840,Workers!$A$5:$A$2004,0)))</f>
        <v/>
      </c>
      <c r="D840" s="24" t="str">
        <f aca="false">IF($A840="","",INDEX(Workers!$K$5:$K$2004,MATCH($A840,Workers!$A$5:$A$2004,0)))</f>
        <v/>
      </c>
      <c r="E840" s="25" t="str">
        <f aca="false">IF($A840="","",SUMIFS(Timesheet!$E$5:$E$3004,Timesheet!$D$5:$D$3004,$A840,Timesheet!$A$5:$A$3004,"&gt;="&amp;Settings!$B$8,Timesheet!$A$5:$A$3004,"&lt;="&amp;Settings!$B$9))</f>
        <v/>
      </c>
      <c r="F840" s="25" t="str">
        <f aca="false">IF($A840="","",SUMIFS(Timesheet!$F$5:$F$3004,Timesheet!$D$5:$D$3004,$A840,Timesheet!$A$5:$A$3004,"&gt;="&amp;Settings!$B$8,Timesheet!$A$5:$A$3004,"&lt;="&amp;Settings!$B$9))</f>
        <v/>
      </c>
      <c r="G840" s="25" t="str">
        <f aca="false">IF($A840="","",SUMIFS(Timesheet!$G$5:$G$3004,Timesheet!$D$5:$D$3004,$A840,Timesheet!$A$5:$A$3004,"&gt;="&amp;Settings!$B$8,Timesheet!$A$5:$A$3004,"&lt;="&amp;Settings!$B$9))</f>
        <v/>
      </c>
      <c r="H840" s="25" t="str">
        <f aca="false">IF($A840="","",IF(D840="Monthly",MAX(0,Settings!$B$11-E840),0))</f>
        <v/>
      </c>
      <c r="I840" s="26" t="str">
        <f aca="false">IF($A840="","",N(INDEX(Workers!$L$5:$L$2004,MATCH($A840,Workers!$A$5:$A$2004,0))))</f>
        <v/>
      </c>
      <c r="J840" s="26" t="str">
        <f aca="false">IF($A840="","",N(INDEX(Workers!$M$5:$M$2004,MATCH($A840,Workers!$A$5:$A$2004,0))))</f>
        <v/>
      </c>
      <c r="K840" s="26" t="str">
        <f aca="false">IF($A840="","",IF(D840="Monthly",ROUND(MAX(0,(I840+J840)-(I840+J840)/Settings!$B$10*H840),2),0))</f>
        <v/>
      </c>
      <c r="L840" s="26" t="str">
        <f aca="false">IF($A840="","",IF(D840="Hourly",ROUND(F840*N(INDEX(Workers!$N$5:$N$2004,MATCH($A840,Workers!$A$5:$A$2004,0))),2),0))</f>
        <v/>
      </c>
      <c r="M840" s="26" t="str">
        <f aca="false">IF($A840="","",ROUND(G840*IF(D840="Hourly",N(INDEX(Workers!$N$5:$N$2004,MATCH($A840,Workers!$A$5:$A$2004,0))),I840/Settings!$B$10/Settings!$B$12)*Settings!$B$13,2))</f>
        <v/>
      </c>
      <c r="N840" s="26" t="str">
        <f aca="false">IF($A840="","",K840+L840+M840)</f>
        <v/>
      </c>
      <c r="O840" s="26" t="str">
        <f aca="false">IF($A840="","",SUMIFS(Deductions!$D$5:$D$2000,Deductions!$B$5:$B$2000,$A840,Deductions!$C$5:$C$2000,"Advance",Deductions!$E$5:$E$2000,"&gt;="&amp;Settings!$B$8,Deductions!$E$5:$E$2000,"&lt;="&amp;Settings!$B$9))</f>
        <v/>
      </c>
      <c r="P840" s="26" t="str">
        <f aca="false">IF($A840="","",SUMIFS(Deductions!$D$5:$D$2000,Deductions!$B$5:$B$2000,$A840,Deductions!$E$5:$E$2000,"&gt;="&amp;Settings!$B$8,Deductions!$E$5:$E$2000,"&lt;="&amp;Settings!$B$9)-O840)</f>
        <v/>
      </c>
      <c r="Q840" s="26" t="str">
        <f aca="false">IF($A840="","",O840+P840)</f>
        <v/>
      </c>
      <c r="R840" s="23" t="str">
        <f aca="false">IF($A840="","",N840-Q840)</f>
        <v/>
      </c>
      <c r="S840" s="24" t="str">
        <f aca="false">IF($A840="","",INDEX(Workers!$O$5:$O$2004,MATCH($A840,Workers!$A$5:$A$2004,0))&amp;"")</f>
        <v/>
      </c>
      <c r="T840" s="24" t="str">
        <f aca="false">IF($A840="","",INDEX(Workers!$P$5:$P$2004,MATCH($A840,Workers!$A$5:$A$2004,0))&amp;"")</f>
        <v/>
      </c>
      <c r="U840" s="24" t="str">
        <f aca="false">IF($A840="","",INDEX(Workers!$H$5:$H$2004,MATCH($A840,Workers!$A$5:$A$2004,0))&amp;"")</f>
        <v/>
      </c>
    </row>
    <row r="841" customFormat="false" ht="15" hidden="false" customHeight="false" outlineLevel="0" collapsed="false">
      <c r="A841" s="24" t="str">
        <f aca="false">IFERROR(INDEX(Workers!$A$5:$A$2004,MATCH(ROW()-4,Workers!$U$5:$U$2004,0)),"")</f>
        <v/>
      </c>
      <c r="B841" s="24" t="str">
        <f aca="false">IF($A841="","",INDEX(Workers!$B$5:$B$2004,MATCH($A841,Workers!$A$5:$A$2004,0)))</f>
        <v/>
      </c>
      <c r="C841" s="24" t="str">
        <f aca="false">IF($A841="","",INDEX(Workers!$E$5:$E$2004,MATCH($A841,Workers!$A$5:$A$2004,0)))</f>
        <v/>
      </c>
      <c r="D841" s="24" t="str">
        <f aca="false">IF($A841="","",INDEX(Workers!$K$5:$K$2004,MATCH($A841,Workers!$A$5:$A$2004,0)))</f>
        <v/>
      </c>
      <c r="E841" s="25" t="str">
        <f aca="false">IF($A841="","",SUMIFS(Timesheet!$E$5:$E$3004,Timesheet!$D$5:$D$3004,$A841,Timesheet!$A$5:$A$3004,"&gt;="&amp;Settings!$B$8,Timesheet!$A$5:$A$3004,"&lt;="&amp;Settings!$B$9))</f>
        <v/>
      </c>
      <c r="F841" s="25" t="str">
        <f aca="false">IF($A841="","",SUMIFS(Timesheet!$F$5:$F$3004,Timesheet!$D$5:$D$3004,$A841,Timesheet!$A$5:$A$3004,"&gt;="&amp;Settings!$B$8,Timesheet!$A$5:$A$3004,"&lt;="&amp;Settings!$B$9))</f>
        <v/>
      </c>
      <c r="G841" s="25" t="str">
        <f aca="false">IF($A841="","",SUMIFS(Timesheet!$G$5:$G$3004,Timesheet!$D$5:$D$3004,$A841,Timesheet!$A$5:$A$3004,"&gt;="&amp;Settings!$B$8,Timesheet!$A$5:$A$3004,"&lt;="&amp;Settings!$B$9))</f>
        <v/>
      </c>
      <c r="H841" s="25" t="str">
        <f aca="false">IF($A841="","",IF(D841="Monthly",MAX(0,Settings!$B$11-E841),0))</f>
        <v/>
      </c>
      <c r="I841" s="26" t="str">
        <f aca="false">IF($A841="","",N(INDEX(Workers!$L$5:$L$2004,MATCH($A841,Workers!$A$5:$A$2004,0))))</f>
        <v/>
      </c>
      <c r="J841" s="26" t="str">
        <f aca="false">IF($A841="","",N(INDEX(Workers!$M$5:$M$2004,MATCH($A841,Workers!$A$5:$A$2004,0))))</f>
        <v/>
      </c>
      <c r="K841" s="26" t="str">
        <f aca="false">IF($A841="","",IF(D841="Monthly",ROUND(MAX(0,(I841+J841)-(I841+J841)/Settings!$B$10*H841),2),0))</f>
        <v/>
      </c>
      <c r="L841" s="26" t="str">
        <f aca="false">IF($A841="","",IF(D841="Hourly",ROUND(F841*N(INDEX(Workers!$N$5:$N$2004,MATCH($A841,Workers!$A$5:$A$2004,0))),2),0))</f>
        <v/>
      </c>
      <c r="M841" s="26" t="str">
        <f aca="false">IF($A841="","",ROUND(G841*IF(D841="Hourly",N(INDEX(Workers!$N$5:$N$2004,MATCH($A841,Workers!$A$5:$A$2004,0))),I841/Settings!$B$10/Settings!$B$12)*Settings!$B$13,2))</f>
        <v/>
      </c>
      <c r="N841" s="26" t="str">
        <f aca="false">IF($A841="","",K841+L841+M841)</f>
        <v/>
      </c>
      <c r="O841" s="26" t="str">
        <f aca="false">IF($A841="","",SUMIFS(Deductions!$D$5:$D$2000,Deductions!$B$5:$B$2000,$A841,Deductions!$C$5:$C$2000,"Advance",Deductions!$E$5:$E$2000,"&gt;="&amp;Settings!$B$8,Deductions!$E$5:$E$2000,"&lt;="&amp;Settings!$B$9))</f>
        <v/>
      </c>
      <c r="P841" s="26" t="str">
        <f aca="false">IF($A841="","",SUMIFS(Deductions!$D$5:$D$2000,Deductions!$B$5:$B$2000,$A841,Deductions!$E$5:$E$2000,"&gt;="&amp;Settings!$B$8,Deductions!$E$5:$E$2000,"&lt;="&amp;Settings!$B$9)-O841)</f>
        <v/>
      </c>
      <c r="Q841" s="26" t="str">
        <f aca="false">IF($A841="","",O841+P841)</f>
        <v/>
      </c>
      <c r="R841" s="23" t="str">
        <f aca="false">IF($A841="","",N841-Q841)</f>
        <v/>
      </c>
      <c r="S841" s="24" t="str">
        <f aca="false">IF($A841="","",INDEX(Workers!$O$5:$O$2004,MATCH($A841,Workers!$A$5:$A$2004,0))&amp;"")</f>
        <v/>
      </c>
      <c r="T841" s="24" t="str">
        <f aca="false">IF($A841="","",INDEX(Workers!$P$5:$P$2004,MATCH($A841,Workers!$A$5:$A$2004,0))&amp;"")</f>
        <v/>
      </c>
      <c r="U841" s="24" t="str">
        <f aca="false">IF($A841="","",INDEX(Workers!$H$5:$H$2004,MATCH($A841,Workers!$A$5:$A$2004,0))&amp;"")</f>
        <v/>
      </c>
    </row>
    <row r="842" customFormat="false" ht="15" hidden="false" customHeight="false" outlineLevel="0" collapsed="false">
      <c r="A842" s="24" t="str">
        <f aca="false">IFERROR(INDEX(Workers!$A$5:$A$2004,MATCH(ROW()-4,Workers!$U$5:$U$2004,0)),"")</f>
        <v/>
      </c>
      <c r="B842" s="24" t="str">
        <f aca="false">IF($A842="","",INDEX(Workers!$B$5:$B$2004,MATCH($A842,Workers!$A$5:$A$2004,0)))</f>
        <v/>
      </c>
      <c r="C842" s="24" t="str">
        <f aca="false">IF($A842="","",INDEX(Workers!$E$5:$E$2004,MATCH($A842,Workers!$A$5:$A$2004,0)))</f>
        <v/>
      </c>
      <c r="D842" s="24" t="str">
        <f aca="false">IF($A842="","",INDEX(Workers!$K$5:$K$2004,MATCH($A842,Workers!$A$5:$A$2004,0)))</f>
        <v/>
      </c>
      <c r="E842" s="25" t="str">
        <f aca="false">IF($A842="","",SUMIFS(Timesheet!$E$5:$E$3004,Timesheet!$D$5:$D$3004,$A842,Timesheet!$A$5:$A$3004,"&gt;="&amp;Settings!$B$8,Timesheet!$A$5:$A$3004,"&lt;="&amp;Settings!$B$9))</f>
        <v/>
      </c>
      <c r="F842" s="25" t="str">
        <f aca="false">IF($A842="","",SUMIFS(Timesheet!$F$5:$F$3004,Timesheet!$D$5:$D$3004,$A842,Timesheet!$A$5:$A$3004,"&gt;="&amp;Settings!$B$8,Timesheet!$A$5:$A$3004,"&lt;="&amp;Settings!$B$9))</f>
        <v/>
      </c>
      <c r="G842" s="25" t="str">
        <f aca="false">IF($A842="","",SUMIFS(Timesheet!$G$5:$G$3004,Timesheet!$D$5:$D$3004,$A842,Timesheet!$A$5:$A$3004,"&gt;="&amp;Settings!$B$8,Timesheet!$A$5:$A$3004,"&lt;="&amp;Settings!$B$9))</f>
        <v/>
      </c>
      <c r="H842" s="25" t="str">
        <f aca="false">IF($A842="","",IF(D842="Monthly",MAX(0,Settings!$B$11-E842),0))</f>
        <v/>
      </c>
      <c r="I842" s="26" t="str">
        <f aca="false">IF($A842="","",N(INDEX(Workers!$L$5:$L$2004,MATCH($A842,Workers!$A$5:$A$2004,0))))</f>
        <v/>
      </c>
      <c r="J842" s="26" t="str">
        <f aca="false">IF($A842="","",N(INDEX(Workers!$M$5:$M$2004,MATCH($A842,Workers!$A$5:$A$2004,0))))</f>
        <v/>
      </c>
      <c r="K842" s="26" t="str">
        <f aca="false">IF($A842="","",IF(D842="Monthly",ROUND(MAX(0,(I842+J842)-(I842+J842)/Settings!$B$10*H842),2),0))</f>
        <v/>
      </c>
      <c r="L842" s="26" t="str">
        <f aca="false">IF($A842="","",IF(D842="Hourly",ROUND(F842*N(INDEX(Workers!$N$5:$N$2004,MATCH($A842,Workers!$A$5:$A$2004,0))),2),0))</f>
        <v/>
      </c>
      <c r="M842" s="26" t="str">
        <f aca="false">IF($A842="","",ROUND(G842*IF(D842="Hourly",N(INDEX(Workers!$N$5:$N$2004,MATCH($A842,Workers!$A$5:$A$2004,0))),I842/Settings!$B$10/Settings!$B$12)*Settings!$B$13,2))</f>
        <v/>
      </c>
      <c r="N842" s="26" t="str">
        <f aca="false">IF($A842="","",K842+L842+M842)</f>
        <v/>
      </c>
      <c r="O842" s="26" t="str">
        <f aca="false">IF($A842="","",SUMIFS(Deductions!$D$5:$D$2000,Deductions!$B$5:$B$2000,$A842,Deductions!$C$5:$C$2000,"Advance",Deductions!$E$5:$E$2000,"&gt;="&amp;Settings!$B$8,Deductions!$E$5:$E$2000,"&lt;="&amp;Settings!$B$9))</f>
        <v/>
      </c>
      <c r="P842" s="26" t="str">
        <f aca="false">IF($A842="","",SUMIFS(Deductions!$D$5:$D$2000,Deductions!$B$5:$B$2000,$A842,Deductions!$E$5:$E$2000,"&gt;="&amp;Settings!$B$8,Deductions!$E$5:$E$2000,"&lt;="&amp;Settings!$B$9)-O842)</f>
        <v/>
      </c>
      <c r="Q842" s="26" t="str">
        <f aca="false">IF($A842="","",O842+P842)</f>
        <v/>
      </c>
      <c r="R842" s="23" t="str">
        <f aca="false">IF($A842="","",N842-Q842)</f>
        <v/>
      </c>
      <c r="S842" s="24" t="str">
        <f aca="false">IF($A842="","",INDEX(Workers!$O$5:$O$2004,MATCH($A842,Workers!$A$5:$A$2004,0))&amp;"")</f>
        <v/>
      </c>
      <c r="T842" s="24" t="str">
        <f aca="false">IF($A842="","",INDEX(Workers!$P$5:$P$2004,MATCH($A842,Workers!$A$5:$A$2004,0))&amp;"")</f>
        <v/>
      </c>
      <c r="U842" s="24" t="str">
        <f aca="false">IF($A842="","",INDEX(Workers!$H$5:$H$2004,MATCH($A842,Workers!$A$5:$A$2004,0))&amp;"")</f>
        <v/>
      </c>
    </row>
    <row r="843" customFormat="false" ht="15" hidden="false" customHeight="false" outlineLevel="0" collapsed="false">
      <c r="A843" s="24" t="str">
        <f aca="false">IFERROR(INDEX(Workers!$A$5:$A$2004,MATCH(ROW()-4,Workers!$U$5:$U$2004,0)),"")</f>
        <v/>
      </c>
      <c r="B843" s="24" t="str">
        <f aca="false">IF($A843="","",INDEX(Workers!$B$5:$B$2004,MATCH($A843,Workers!$A$5:$A$2004,0)))</f>
        <v/>
      </c>
      <c r="C843" s="24" t="str">
        <f aca="false">IF($A843="","",INDEX(Workers!$E$5:$E$2004,MATCH($A843,Workers!$A$5:$A$2004,0)))</f>
        <v/>
      </c>
      <c r="D843" s="24" t="str">
        <f aca="false">IF($A843="","",INDEX(Workers!$K$5:$K$2004,MATCH($A843,Workers!$A$5:$A$2004,0)))</f>
        <v/>
      </c>
      <c r="E843" s="25" t="str">
        <f aca="false">IF($A843="","",SUMIFS(Timesheet!$E$5:$E$3004,Timesheet!$D$5:$D$3004,$A843,Timesheet!$A$5:$A$3004,"&gt;="&amp;Settings!$B$8,Timesheet!$A$5:$A$3004,"&lt;="&amp;Settings!$B$9))</f>
        <v/>
      </c>
      <c r="F843" s="25" t="str">
        <f aca="false">IF($A843="","",SUMIFS(Timesheet!$F$5:$F$3004,Timesheet!$D$5:$D$3004,$A843,Timesheet!$A$5:$A$3004,"&gt;="&amp;Settings!$B$8,Timesheet!$A$5:$A$3004,"&lt;="&amp;Settings!$B$9))</f>
        <v/>
      </c>
      <c r="G843" s="25" t="str">
        <f aca="false">IF($A843="","",SUMIFS(Timesheet!$G$5:$G$3004,Timesheet!$D$5:$D$3004,$A843,Timesheet!$A$5:$A$3004,"&gt;="&amp;Settings!$B$8,Timesheet!$A$5:$A$3004,"&lt;="&amp;Settings!$B$9))</f>
        <v/>
      </c>
      <c r="H843" s="25" t="str">
        <f aca="false">IF($A843="","",IF(D843="Monthly",MAX(0,Settings!$B$11-E843),0))</f>
        <v/>
      </c>
      <c r="I843" s="26" t="str">
        <f aca="false">IF($A843="","",N(INDEX(Workers!$L$5:$L$2004,MATCH($A843,Workers!$A$5:$A$2004,0))))</f>
        <v/>
      </c>
      <c r="J843" s="26" t="str">
        <f aca="false">IF($A843="","",N(INDEX(Workers!$M$5:$M$2004,MATCH($A843,Workers!$A$5:$A$2004,0))))</f>
        <v/>
      </c>
      <c r="K843" s="26" t="str">
        <f aca="false">IF($A843="","",IF(D843="Monthly",ROUND(MAX(0,(I843+J843)-(I843+J843)/Settings!$B$10*H843),2),0))</f>
        <v/>
      </c>
      <c r="L843" s="26" t="str">
        <f aca="false">IF($A843="","",IF(D843="Hourly",ROUND(F843*N(INDEX(Workers!$N$5:$N$2004,MATCH($A843,Workers!$A$5:$A$2004,0))),2),0))</f>
        <v/>
      </c>
      <c r="M843" s="26" t="str">
        <f aca="false">IF($A843="","",ROUND(G843*IF(D843="Hourly",N(INDEX(Workers!$N$5:$N$2004,MATCH($A843,Workers!$A$5:$A$2004,0))),I843/Settings!$B$10/Settings!$B$12)*Settings!$B$13,2))</f>
        <v/>
      </c>
      <c r="N843" s="26" t="str">
        <f aca="false">IF($A843="","",K843+L843+M843)</f>
        <v/>
      </c>
      <c r="O843" s="26" t="str">
        <f aca="false">IF($A843="","",SUMIFS(Deductions!$D$5:$D$2000,Deductions!$B$5:$B$2000,$A843,Deductions!$C$5:$C$2000,"Advance",Deductions!$E$5:$E$2000,"&gt;="&amp;Settings!$B$8,Deductions!$E$5:$E$2000,"&lt;="&amp;Settings!$B$9))</f>
        <v/>
      </c>
      <c r="P843" s="26" t="str">
        <f aca="false">IF($A843="","",SUMIFS(Deductions!$D$5:$D$2000,Deductions!$B$5:$B$2000,$A843,Deductions!$E$5:$E$2000,"&gt;="&amp;Settings!$B$8,Deductions!$E$5:$E$2000,"&lt;="&amp;Settings!$B$9)-O843)</f>
        <v/>
      </c>
      <c r="Q843" s="26" t="str">
        <f aca="false">IF($A843="","",O843+P843)</f>
        <v/>
      </c>
      <c r="R843" s="23" t="str">
        <f aca="false">IF($A843="","",N843-Q843)</f>
        <v/>
      </c>
      <c r="S843" s="24" t="str">
        <f aca="false">IF($A843="","",INDEX(Workers!$O$5:$O$2004,MATCH($A843,Workers!$A$5:$A$2004,0))&amp;"")</f>
        <v/>
      </c>
      <c r="T843" s="24" t="str">
        <f aca="false">IF($A843="","",INDEX(Workers!$P$5:$P$2004,MATCH($A843,Workers!$A$5:$A$2004,0))&amp;"")</f>
        <v/>
      </c>
      <c r="U843" s="24" t="str">
        <f aca="false">IF($A843="","",INDEX(Workers!$H$5:$H$2004,MATCH($A843,Workers!$A$5:$A$2004,0))&amp;"")</f>
        <v/>
      </c>
    </row>
    <row r="844" customFormat="false" ht="15" hidden="false" customHeight="false" outlineLevel="0" collapsed="false">
      <c r="A844" s="24" t="str">
        <f aca="false">IFERROR(INDEX(Workers!$A$5:$A$2004,MATCH(ROW()-4,Workers!$U$5:$U$2004,0)),"")</f>
        <v/>
      </c>
      <c r="B844" s="24" t="str">
        <f aca="false">IF($A844="","",INDEX(Workers!$B$5:$B$2004,MATCH($A844,Workers!$A$5:$A$2004,0)))</f>
        <v/>
      </c>
      <c r="C844" s="24" t="str">
        <f aca="false">IF($A844="","",INDEX(Workers!$E$5:$E$2004,MATCH($A844,Workers!$A$5:$A$2004,0)))</f>
        <v/>
      </c>
      <c r="D844" s="24" t="str">
        <f aca="false">IF($A844="","",INDEX(Workers!$K$5:$K$2004,MATCH($A844,Workers!$A$5:$A$2004,0)))</f>
        <v/>
      </c>
      <c r="E844" s="25" t="str">
        <f aca="false">IF($A844="","",SUMIFS(Timesheet!$E$5:$E$3004,Timesheet!$D$5:$D$3004,$A844,Timesheet!$A$5:$A$3004,"&gt;="&amp;Settings!$B$8,Timesheet!$A$5:$A$3004,"&lt;="&amp;Settings!$B$9))</f>
        <v/>
      </c>
      <c r="F844" s="25" t="str">
        <f aca="false">IF($A844="","",SUMIFS(Timesheet!$F$5:$F$3004,Timesheet!$D$5:$D$3004,$A844,Timesheet!$A$5:$A$3004,"&gt;="&amp;Settings!$B$8,Timesheet!$A$5:$A$3004,"&lt;="&amp;Settings!$B$9))</f>
        <v/>
      </c>
      <c r="G844" s="25" t="str">
        <f aca="false">IF($A844="","",SUMIFS(Timesheet!$G$5:$G$3004,Timesheet!$D$5:$D$3004,$A844,Timesheet!$A$5:$A$3004,"&gt;="&amp;Settings!$B$8,Timesheet!$A$5:$A$3004,"&lt;="&amp;Settings!$B$9))</f>
        <v/>
      </c>
      <c r="H844" s="25" t="str">
        <f aca="false">IF($A844="","",IF(D844="Monthly",MAX(0,Settings!$B$11-E844),0))</f>
        <v/>
      </c>
      <c r="I844" s="26" t="str">
        <f aca="false">IF($A844="","",N(INDEX(Workers!$L$5:$L$2004,MATCH($A844,Workers!$A$5:$A$2004,0))))</f>
        <v/>
      </c>
      <c r="J844" s="26" t="str">
        <f aca="false">IF($A844="","",N(INDEX(Workers!$M$5:$M$2004,MATCH($A844,Workers!$A$5:$A$2004,0))))</f>
        <v/>
      </c>
      <c r="K844" s="26" t="str">
        <f aca="false">IF($A844="","",IF(D844="Monthly",ROUND(MAX(0,(I844+J844)-(I844+J844)/Settings!$B$10*H844),2),0))</f>
        <v/>
      </c>
      <c r="L844" s="26" t="str">
        <f aca="false">IF($A844="","",IF(D844="Hourly",ROUND(F844*N(INDEX(Workers!$N$5:$N$2004,MATCH($A844,Workers!$A$5:$A$2004,0))),2),0))</f>
        <v/>
      </c>
      <c r="M844" s="26" t="str">
        <f aca="false">IF($A844="","",ROUND(G844*IF(D844="Hourly",N(INDEX(Workers!$N$5:$N$2004,MATCH($A844,Workers!$A$5:$A$2004,0))),I844/Settings!$B$10/Settings!$B$12)*Settings!$B$13,2))</f>
        <v/>
      </c>
      <c r="N844" s="26" t="str">
        <f aca="false">IF($A844="","",K844+L844+M844)</f>
        <v/>
      </c>
      <c r="O844" s="26" t="str">
        <f aca="false">IF($A844="","",SUMIFS(Deductions!$D$5:$D$2000,Deductions!$B$5:$B$2000,$A844,Deductions!$C$5:$C$2000,"Advance",Deductions!$E$5:$E$2000,"&gt;="&amp;Settings!$B$8,Deductions!$E$5:$E$2000,"&lt;="&amp;Settings!$B$9))</f>
        <v/>
      </c>
      <c r="P844" s="26" t="str">
        <f aca="false">IF($A844="","",SUMIFS(Deductions!$D$5:$D$2000,Deductions!$B$5:$B$2000,$A844,Deductions!$E$5:$E$2000,"&gt;="&amp;Settings!$B$8,Deductions!$E$5:$E$2000,"&lt;="&amp;Settings!$B$9)-O844)</f>
        <v/>
      </c>
      <c r="Q844" s="26" t="str">
        <f aca="false">IF($A844="","",O844+P844)</f>
        <v/>
      </c>
      <c r="R844" s="23" t="str">
        <f aca="false">IF($A844="","",N844-Q844)</f>
        <v/>
      </c>
      <c r="S844" s="24" t="str">
        <f aca="false">IF($A844="","",INDEX(Workers!$O$5:$O$2004,MATCH($A844,Workers!$A$5:$A$2004,0))&amp;"")</f>
        <v/>
      </c>
      <c r="T844" s="24" t="str">
        <f aca="false">IF($A844="","",INDEX(Workers!$P$5:$P$2004,MATCH($A844,Workers!$A$5:$A$2004,0))&amp;"")</f>
        <v/>
      </c>
      <c r="U844" s="24" t="str">
        <f aca="false">IF($A844="","",INDEX(Workers!$H$5:$H$2004,MATCH($A844,Workers!$A$5:$A$2004,0))&amp;"")</f>
        <v/>
      </c>
    </row>
    <row r="845" customFormat="false" ht="15" hidden="false" customHeight="false" outlineLevel="0" collapsed="false">
      <c r="A845" s="24" t="str">
        <f aca="false">IFERROR(INDEX(Workers!$A$5:$A$2004,MATCH(ROW()-4,Workers!$U$5:$U$2004,0)),"")</f>
        <v/>
      </c>
      <c r="B845" s="24" t="str">
        <f aca="false">IF($A845="","",INDEX(Workers!$B$5:$B$2004,MATCH($A845,Workers!$A$5:$A$2004,0)))</f>
        <v/>
      </c>
      <c r="C845" s="24" t="str">
        <f aca="false">IF($A845="","",INDEX(Workers!$E$5:$E$2004,MATCH($A845,Workers!$A$5:$A$2004,0)))</f>
        <v/>
      </c>
      <c r="D845" s="24" t="str">
        <f aca="false">IF($A845="","",INDEX(Workers!$K$5:$K$2004,MATCH($A845,Workers!$A$5:$A$2004,0)))</f>
        <v/>
      </c>
      <c r="E845" s="25" t="str">
        <f aca="false">IF($A845="","",SUMIFS(Timesheet!$E$5:$E$3004,Timesheet!$D$5:$D$3004,$A845,Timesheet!$A$5:$A$3004,"&gt;="&amp;Settings!$B$8,Timesheet!$A$5:$A$3004,"&lt;="&amp;Settings!$B$9))</f>
        <v/>
      </c>
      <c r="F845" s="25" t="str">
        <f aca="false">IF($A845="","",SUMIFS(Timesheet!$F$5:$F$3004,Timesheet!$D$5:$D$3004,$A845,Timesheet!$A$5:$A$3004,"&gt;="&amp;Settings!$B$8,Timesheet!$A$5:$A$3004,"&lt;="&amp;Settings!$B$9))</f>
        <v/>
      </c>
      <c r="G845" s="25" t="str">
        <f aca="false">IF($A845="","",SUMIFS(Timesheet!$G$5:$G$3004,Timesheet!$D$5:$D$3004,$A845,Timesheet!$A$5:$A$3004,"&gt;="&amp;Settings!$B$8,Timesheet!$A$5:$A$3004,"&lt;="&amp;Settings!$B$9))</f>
        <v/>
      </c>
      <c r="H845" s="25" t="str">
        <f aca="false">IF($A845="","",IF(D845="Monthly",MAX(0,Settings!$B$11-E845),0))</f>
        <v/>
      </c>
      <c r="I845" s="26" t="str">
        <f aca="false">IF($A845="","",N(INDEX(Workers!$L$5:$L$2004,MATCH($A845,Workers!$A$5:$A$2004,0))))</f>
        <v/>
      </c>
      <c r="J845" s="26" t="str">
        <f aca="false">IF($A845="","",N(INDEX(Workers!$M$5:$M$2004,MATCH($A845,Workers!$A$5:$A$2004,0))))</f>
        <v/>
      </c>
      <c r="K845" s="26" t="str">
        <f aca="false">IF($A845="","",IF(D845="Monthly",ROUND(MAX(0,(I845+J845)-(I845+J845)/Settings!$B$10*H845),2),0))</f>
        <v/>
      </c>
      <c r="L845" s="26" t="str">
        <f aca="false">IF($A845="","",IF(D845="Hourly",ROUND(F845*N(INDEX(Workers!$N$5:$N$2004,MATCH($A845,Workers!$A$5:$A$2004,0))),2),0))</f>
        <v/>
      </c>
      <c r="M845" s="26" t="str">
        <f aca="false">IF($A845="","",ROUND(G845*IF(D845="Hourly",N(INDEX(Workers!$N$5:$N$2004,MATCH($A845,Workers!$A$5:$A$2004,0))),I845/Settings!$B$10/Settings!$B$12)*Settings!$B$13,2))</f>
        <v/>
      </c>
      <c r="N845" s="26" t="str">
        <f aca="false">IF($A845="","",K845+L845+M845)</f>
        <v/>
      </c>
      <c r="O845" s="26" t="str">
        <f aca="false">IF($A845="","",SUMIFS(Deductions!$D$5:$D$2000,Deductions!$B$5:$B$2000,$A845,Deductions!$C$5:$C$2000,"Advance",Deductions!$E$5:$E$2000,"&gt;="&amp;Settings!$B$8,Deductions!$E$5:$E$2000,"&lt;="&amp;Settings!$B$9))</f>
        <v/>
      </c>
      <c r="P845" s="26" t="str">
        <f aca="false">IF($A845="","",SUMIFS(Deductions!$D$5:$D$2000,Deductions!$B$5:$B$2000,$A845,Deductions!$E$5:$E$2000,"&gt;="&amp;Settings!$B$8,Deductions!$E$5:$E$2000,"&lt;="&amp;Settings!$B$9)-O845)</f>
        <v/>
      </c>
      <c r="Q845" s="26" t="str">
        <f aca="false">IF($A845="","",O845+P845)</f>
        <v/>
      </c>
      <c r="R845" s="23" t="str">
        <f aca="false">IF($A845="","",N845-Q845)</f>
        <v/>
      </c>
      <c r="S845" s="24" t="str">
        <f aca="false">IF($A845="","",INDEX(Workers!$O$5:$O$2004,MATCH($A845,Workers!$A$5:$A$2004,0))&amp;"")</f>
        <v/>
      </c>
      <c r="T845" s="24" t="str">
        <f aca="false">IF($A845="","",INDEX(Workers!$P$5:$P$2004,MATCH($A845,Workers!$A$5:$A$2004,0))&amp;"")</f>
        <v/>
      </c>
      <c r="U845" s="24" t="str">
        <f aca="false">IF($A845="","",INDEX(Workers!$H$5:$H$2004,MATCH($A845,Workers!$A$5:$A$2004,0))&amp;"")</f>
        <v/>
      </c>
    </row>
    <row r="846" customFormat="false" ht="15" hidden="false" customHeight="false" outlineLevel="0" collapsed="false">
      <c r="A846" s="24" t="str">
        <f aca="false">IFERROR(INDEX(Workers!$A$5:$A$2004,MATCH(ROW()-4,Workers!$U$5:$U$2004,0)),"")</f>
        <v/>
      </c>
      <c r="B846" s="24" t="str">
        <f aca="false">IF($A846="","",INDEX(Workers!$B$5:$B$2004,MATCH($A846,Workers!$A$5:$A$2004,0)))</f>
        <v/>
      </c>
      <c r="C846" s="24" t="str">
        <f aca="false">IF($A846="","",INDEX(Workers!$E$5:$E$2004,MATCH($A846,Workers!$A$5:$A$2004,0)))</f>
        <v/>
      </c>
      <c r="D846" s="24" t="str">
        <f aca="false">IF($A846="","",INDEX(Workers!$K$5:$K$2004,MATCH($A846,Workers!$A$5:$A$2004,0)))</f>
        <v/>
      </c>
      <c r="E846" s="25" t="str">
        <f aca="false">IF($A846="","",SUMIFS(Timesheet!$E$5:$E$3004,Timesheet!$D$5:$D$3004,$A846,Timesheet!$A$5:$A$3004,"&gt;="&amp;Settings!$B$8,Timesheet!$A$5:$A$3004,"&lt;="&amp;Settings!$B$9))</f>
        <v/>
      </c>
      <c r="F846" s="25" t="str">
        <f aca="false">IF($A846="","",SUMIFS(Timesheet!$F$5:$F$3004,Timesheet!$D$5:$D$3004,$A846,Timesheet!$A$5:$A$3004,"&gt;="&amp;Settings!$B$8,Timesheet!$A$5:$A$3004,"&lt;="&amp;Settings!$B$9))</f>
        <v/>
      </c>
      <c r="G846" s="25" t="str">
        <f aca="false">IF($A846="","",SUMIFS(Timesheet!$G$5:$G$3004,Timesheet!$D$5:$D$3004,$A846,Timesheet!$A$5:$A$3004,"&gt;="&amp;Settings!$B$8,Timesheet!$A$5:$A$3004,"&lt;="&amp;Settings!$B$9))</f>
        <v/>
      </c>
      <c r="H846" s="25" t="str">
        <f aca="false">IF($A846="","",IF(D846="Monthly",MAX(0,Settings!$B$11-E846),0))</f>
        <v/>
      </c>
      <c r="I846" s="26" t="str">
        <f aca="false">IF($A846="","",N(INDEX(Workers!$L$5:$L$2004,MATCH($A846,Workers!$A$5:$A$2004,0))))</f>
        <v/>
      </c>
      <c r="J846" s="26" t="str">
        <f aca="false">IF($A846="","",N(INDEX(Workers!$M$5:$M$2004,MATCH($A846,Workers!$A$5:$A$2004,0))))</f>
        <v/>
      </c>
      <c r="K846" s="26" t="str">
        <f aca="false">IF($A846="","",IF(D846="Monthly",ROUND(MAX(0,(I846+J846)-(I846+J846)/Settings!$B$10*H846),2),0))</f>
        <v/>
      </c>
      <c r="L846" s="26" t="str">
        <f aca="false">IF($A846="","",IF(D846="Hourly",ROUND(F846*N(INDEX(Workers!$N$5:$N$2004,MATCH($A846,Workers!$A$5:$A$2004,0))),2),0))</f>
        <v/>
      </c>
      <c r="M846" s="26" t="str">
        <f aca="false">IF($A846="","",ROUND(G846*IF(D846="Hourly",N(INDEX(Workers!$N$5:$N$2004,MATCH($A846,Workers!$A$5:$A$2004,0))),I846/Settings!$B$10/Settings!$B$12)*Settings!$B$13,2))</f>
        <v/>
      </c>
      <c r="N846" s="26" t="str">
        <f aca="false">IF($A846="","",K846+L846+M846)</f>
        <v/>
      </c>
      <c r="O846" s="26" t="str">
        <f aca="false">IF($A846="","",SUMIFS(Deductions!$D$5:$D$2000,Deductions!$B$5:$B$2000,$A846,Deductions!$C$5:$C$2000,"Advance",Deductions!$E$5:$E$2000,"&gt;="&amp;Settings!$B$8,Deductions!$E$5:$E$2000,"&lt;="&amp;Settings!$B$9))</f>
        <v/>
      </c>
      <c r="P846" s="26" t="str">
        <f aca="false">IF($A846="","",SUMIFS(Deductions!$D$5:$D$2000,Deductions!$B$5:$B$2000,$A846,Deductions!$E$5:$E$2000,"&gt;="&amp;Settings!$B$8,Deductions!$E$5:$E$2000,"&lt;="&amp;Settings!$B$9)-O846)</f>
        <v/>
      </c>
      <c r="Q846" s="26" t="str">
        <f aca="false">IF($A846="","",O846+P846)</f>
        <v/>
      </c>
      <c r="R846" s="23" t="str">
        <f aca="false">IF($A846="","",N846-Q846)</f>
        <v/>
      </c>
      <c r="S846" s="24" t="str">
        <f aca="false">IF($A846="","",INDEX(Workers!$O$5:$O$2004,MATCH($A846,Workers!$A$5:$A$2004,0))&amp;"")</f>
        <v/>
      </c>
      <c r="T846" s="24" t="str">
        <f aca="false">IF($A846="","",INDEX(Workers!$P$5:$P$2004,MATCH($A846,Workers!$A$5:$A$2004,0))&amp;"")</f>
        <v/>
      </c>
      <c r="U846" s="24" t="str">
        <f aca="false">IF($A846="","",INDEX(Workers!$H$5:$H$2004,MATCH($A846,Workers!$A$5:$A$2004,0))&amp;"")</f>
        <v/>
      </c>
    </row>
    <row r="847" customFormat="false" ht="15" hidden="false" customHeight="false" outlineLevel="0" collapsed="false">
      <c r="A847" s="24" t="str">
        <f aca="false">IFERROR(INDEX(Workers!$A$5:$A$2004,MATCH(ROW()-4,Workers!$U$5:$U$2004,0)),"")</f>
        <v/>
      </c>
      <c r="B847" s="24" t="str">
        <f aca="false">IF($A847="","",INDEX(Workers!$B$5:$B$2004,MATCH($A847,Workers!$A$5:$A$2004,0)))</f>
        <v/>
      </c>
      <c r="C847" s="24" t="str">
        <f aca="false">IF($A847="","",INDEX(Workers!$E$5:$E$2004,MATCH($A847,Workers!$A$5:$A$2004,0)))</f>
        <v/>
      </c>
      <c r="D847" s="24" t="str">
        <f aca="false">IF($A847="","",INDEX(Workers!$K$5:$K$2004,MATCH($A847,Workers!$A$5:$A$2004,0)))</f>
        <v/>
      </c>
      <c r="E847" s="25" t="str">
        <f aca="false">IF($A847="","",SUMIFS(Timesheet!$E$5:$E$3004,Timesheet!$D$5:$D$3004,$A847,Timesheet!$A$5:$A$3004,"&gt;="&amp;Settings!$B$8,Timesheet!$A$5:$A$3004,"&lt;="&amp;Settings!$B$9))</f>
        <v/>
      </c>
      <c r="F847" s="25" t="str">
        <f aca="false">IF($A847="","",SUMIFS(Timesheet!$F$5:$F$3004,Timesheet!$D$5:$D$3004,$A847,Timesheet!$A$5:$A$3004,"&gt;="&amp;Settings!$B$8,Timesheet!$A$5:$A$3004,"&lt;="&amp;Settings!$B$9))</f>
        <v/>
      </c>
      <c r="G847" s="25" t="str">
        <f aca="false">IF($A847="","",SUMIFS(Timesheet!$G$5:$G$3004,Timesheet!$D$5:$D$3004,$A847,Timesheet!$A$5:$A$3004,"&gt;="&amp;Settings!$B$8,Timesheet!$A$5:$A$3004,"&lt;="&amp;Settings!$B$9))</f>
        <v/>
      </c>
      <c r="H847" s="25" t="str">
        <f aca="false">IF($A847="","",IF(D847="Monthly",MAX(0,Settings!$B$11-E847),0))</f>
        <v/>
      </c>
      <c r="I847" s="26" t="str">
        <f aca="false">IF($A847="","",N(INDEX(Workers!$L$5:$L$2004,MATCH($A847,Workers!$A$5:$A$2004,0))))</f>
        <v/>
      </c>
      <c r="J847" s="26" t="str">
        <f aca="false">IF($A847="","",N(INDEX(Workers!$M$5:$M$2004,MATCH($A847,Workers!$A$5:$A$2004,0))))</f>
        <v/>
      </c>
      <c r="K847" s="26" t="str">
        <f aca="false">IF($A847="","",IF(D847="Monthly",ROUND(MAX(0,(I847+J847)-(I847+J847)/Settings!$B$10*H847),2),0))</f>
        <v/>
      </c>
      <c r="L847" s="26" t="str">
        <f aca="false">IF($A847="","",IF(D847="Hourly",ROUND(F847*N(INDEX(Workers!$N$5:$N$2004,MATCH($A847,Workers!$A$5:$A$2004,0))),2),0))</f>
        <v/>
      </c>
      <c r="M847" s="26" t="str">
        <f aca="false">IF($A847="","",ROUND(G847*IF(D847="Hourly",N(INDEX(Workers!$N$5:$N$2004,MATCH($A847,Workers!$A$5:$A$2004,0))),I847/Settings!$B$10/Settings!$B$12)*Settings!$B$13,2))</f>
        <v/>
      </c>
      <c r="N847" s="26" t="str">
        <f aca="false">IF($A847="","",K847+L847+M847)</f>
        <v/>
      </c>
      <c r="O847" s="26" t="str">
        <f aca="false">IF($A847="","",SUMIFS(Deductions!$D$5:$D$2000,Deductions!$B$5:$B$2000,$A847,Deductions!$C$5:$C$2000,"Advance",Deductions!$E$5:$E$2000,"&gt;="&amp;Settings!$B$8,Deductions!$E$5:$E$2000,"&lt;="&amp;Settings!$B$9))</f>
        <v/>
      </c>
      <c r="P847" s="26" t="str">
        <f aca="false">IF($A847="","",SUMIFS(Deductions!$D$5:$D$2000,Deductions!$B$5:$B$2000,$A847,Deductions!$E$5:$E$2000,"&gt;="&amp;Settings!$B$8,Deductions!$E$5:$E$2000,"&lt;="&amp;Settings!$B$9)-O847)</f>
        <v/>
      </c>
      <c r="Q847" s="26" t="str">
        <f aca="false">IF($A847="","",O847+P847)</f>
        <v/>
      </c>
      <c r="R847" s="23" t="str">
        <f aca="false">IF($A847="","",N847-Q847)</f>
        <v/>
      </c>
      <c r="S847" s="24" t="str">
        <f aca="false">IF($A847="","",INDEX(Workers!$O$5:$O$2004,MATCH($A847,Workers!$A$5:$A$2004,0))&amp;"")</f>
        <v/>
      </c>
      <c r="T847" s="24" t="str">
        <f aca="false">IF($A847="","",INDEX(Workers!$P$5:$P$2004,MATCH($A847,Workers!$A$5:$A$2004,0))&amp;"")</f>
        <v/>
      </c>
      <c r="U847" s="24" t="str">
        <f aca="false">IF($A847="","",INDEX(Workers!$H$5:$H$2004,MATCH($A847,Workers!$A$5:$A$2004,0))&amp;"")</f>
        <v/>
      </c>
    </row>
    <row r="848" customFormat="false" ht="15" hidden="false" customHeight="false" outlineLevel="0" collapsed="false">
      <c r="A848" s="24" t="str">
        <f aca="false">IFERROR(INDEX(Workers!$A$5:$A$2004,MATCH(ROW()-4,Workers!$U$5:$U$2004,0)),"")</f>
        <v/>
      </c>
      <c r="B848" s="24" t="str">
        <f aca="false">IF($A848="","",INDEX(Workers!$B$5:$B$2004,MATCH($A848,Workers!$A$5:$A$2004,0)))</f>
        <v/>
      </c>
      <c r="C848" s="24" t="str">
        <f aca="false">IF($A848="","",INDEX(Workers!$E$5:$E$2004,MATCH($A848,Workers!$A$5:$A$2004,0)))</f>
        <v/>
      </c>
      <c r="D848" s="24" t="str">
        <f aca="false">IF($A848="","",INDEX(Workers!$K$5:$K$2004,MATCH($A848,Workers!$A$5:$A$2004,0)))</f>
        <v/>
      </c>
      <c r="E848" s="25" t="str">
        <f aca="false">IF($A848="","",SUMIFS(Timesheet!$E$5:$E$3004,Timesheet!$D$5:$D$3004,$A848,Timesheet!$A$5:$A$3004,"&gt;="&amp;Settings!$B$8,Timesheet!$A$5:$A$3004,"&lt;="&amp;Settings!$B$9))</f>
        <v/>
      </c>
      <c r="F848" s="25" t="str">
        <f aca="false">IF($A848="","",SUMIFS(Timesheet!$F$5:$F$3004,Timesheet!$D$5:$D$3004,$A848,Timesheet!$A$5:$A$3004,"&gt;="&amp;Settings!$B$8,Timesheet!$A$5:$A$3004,"&lt;="&amp;Settings!$B$9))</f>
        <v/>
      </c>
      <c r="G848" s="25" t="str">
        <f aca="false">IF($A848="","",SUMIFS(Timesheet!$G$5:$G$3004,Timesheet!$D$5:$D$3004,$A848,Timesheet!$A$5:$A$3004,"&gt;="&amp;Settings!$B$8,Timesheet!$A$5:$A$3004,"&lt;="&amp;Settings!$B$9))</f>
        <v/>
      </c>
      <c r="H848" s="25" t="str">
        <f aca="false">IF($A848="","",IF(D848="Monthly",MAX(0,Settings!$B$11-E848),0))</f>
        <v/>
      </c>
      <c r="I848" s="26" t="str">
        <f aca="false">IF($A848="","",N(INDEX(Workers!$L$5:$L$2004,MATCH($A848,Workers!$A$5:$A$2004,0))))</f>
        <v/>
      </c>
      <c r="J848" s="26" t="str">
        <f aca="false">IF($A848="","",N(INDEX(Workers!$M$5:$M$2004,MATCH($A848,Workers!$A$5:$A$2004,0))))</f>
        <v/>
      </c>
      <c r="K848" s="26" t="str">
        <f aca="false">IF($A848="","",IF(D848="Monthly",ROUND(MAX(0,(I848+J848)-(I848+J848)/Settings!$B$10*H848),2),0))</f>
        <v/>
      </c>
      <c r="L848" s="26" t="str">
        <f aca="false">IF($A848="","",IF(D848="Hourly",ROUND(F848*N(INDEX(Workers!$N$5:$N$2004,MATCH($A848,Workers!$A$5:$A$2004,0))),2),0))</f>
        <v/>
      </c>
      <c r="M848" s="26" t="str">
        <f aca="false">IF($A848="","",ROUND(G848*IF(D848="Hourly",N(INDEX(Workers!$N$5:$N$2004,MATCH($A848,Workers!$A$5:$A$2004,0))),I848/Settings!$B$10/Settings!$B$12)*Settings!$B$13,2))</f>
        <v/>
      </c>
      <c r="N848" s="26" t="str">
        <f aca="false">IF($A848="","",K848+L848+M848)</f>
        <v/>
      </c>
      <c r="O848" s="26" t="str">
        <f aca="false">IF($A848="","",SUMIFS(Deductions!$D$5:$D$2000,Deductions!$B$5:$B$2000,$A848,Deductions!$C$5:$C$2000,"Advance",Deductions!$E$5:$E$2000,"&gt;="&amp;Settings!$B$8,Deductions!$E$5:$E$2000,"&lt;="&amp;Settings!$B$9))</f>
        <v/>
      </c>
      <c r="P848" s="26" t="str">
        <f aca="false">IF($A848="","",SUMIFS(Deductions!$D$5:$D$2000,Deductions!$B$5:$B$2000,$A848,Deductions!$E$5:$E$2000,"&gt;="&amp;Settings!$B$8,Deductions!$E$5:$E$2000,"&lt;="&amp;Settings!$B$9)-O848)</f>
        <v/>
      </c>
      <c r="Q848" s="26" t="str">
        <f aca="false">IF($A848="","",O848+P848)</f>
        <v/>
      </c>
      <c r="R848" s="23" t="str">
        <f aca="false">IF($A848="","",N848-Q848)</f>
        <v/>
      </c>
      <c r="S848" s="24" t="str">
        <f aca="false">IF($A848="","",INDEX(Workers!$O$5:$O$2004,MATCH($A848,Workers!$A$5:$A$2004,0))&amp;"")</f>
        <v/>
      </c>
      <c r="T848" s="24" t="str">
        <f aca="false">IF($A848="","",INDEX(Workers!$P$5:$P$2004,MATCH($A848,Workers!$A$5:$A$2004,0))&amp;"")</f>
        <v/>
      </c>
      <c r="U848" s="24" t="str">
        <f aca="false">IF($A848="","",INDEX(Workers!$H$5:$H$2004,MATCH($A848,Workers!$A$5:$A$2004,0))&amp;"")</f>
        <v/>
      </c>
    </row>
    <row r="849" customFormat="false" ht="15" hidden="false" customHeight="false" outlineLevel="0" collapsed="false">
      <c r="A849" s="24" t="str">
        <f aca="false">IFERROR(INDEX(Workers!$A$5:$A$2004,MATCH(ROW()-4,Workers!$U$5:$U$2004,0)),"")</f>
        <v/>
      </c>
      <c r="B849" s="24" t="str">
        <f aca="false">IF($A849="","",INDEX(Workers!$B$5:$B$2004,MATCH($A849,Workers!$A$5:$A$2004,0)))</f>
        <v/>
      </c>
      <c r="C849" s="24" t="str">
        <f aca="false">IF($A849="","",INDEX(Workers!$E$5:$E$2004,MATCH($A849,Workers!$A$5:$A$2004,0)))</f>
        <v/>
      </c>
      <c r="D849" s="24" t="str">
        <f aca="false">IF($A849="","",INDEX(Workers!$K$5:$K$2004,MATCH($A849,Workers!$A$5:$A$2004,0)))</f>
        <v/>
      </c>
      <c r="E849" s="25" t="str">
        <f aca="false">IF($A849="","",SUMIFS(Timesheet!$E$5:$E$3004,Timesheet!$D$5:$D$3004,$A849,Timesheet!$A$5:$A$3004,"&gt;="&amp;Settings!$B$8,Timesheet!$A$5:$A$3004,"&lt;="&amp;Settings!$B$9))</f>
        <v/>
      </c>
      <c r="F849" s="25" t="str">
        <f aca="false">IF($A849="","",SUMIFS(Timesheet!$F$5:$F$3004,Timesheet!$D$5:$D$3004,$A849,Timesheet!$A$5:$A$3004,"&gt;="&amp;Settings!$B$8,Timesheet!$A$5:$A$3004,"&lt;="&amp;Settings!$B$9))</f>
        <v/>
      </c>
      <c r="G849" s="25" t="str">
        <f aca="false">IF($A849="","",SUMIFS(Timesheet!$G$5:$G$3004,Timesheet!$D$5:$D$3004,$A849,Timesheet!$A$5:$A$3004,"&gt;="&amp;Settings!$B$8,Timesheet!$A$5:$A$3004,"&lt;="&amp;Settings!$B$9))</f>
        <v/>
      </c>
      <c r="H849" s="25" t="str">
        <f aca="false">IF($A849="","",IF(D849="Monthly",MAX(0,Settings!$B$11-E849),0))</f>
        <v/>
      </c>
      <c r="I849" s="26" t="str">
        <f aca="false">IF($A849="","",N(INDEX(Workers!$L$5:$L$2004,MATCH($A849,Workers!$A$5:$A$2004,0))))</f>
        <v/>
      </c>
      <c r="J849" s="26" t="str">
        <f aca="false">IF($A849="","",N(INDEX(Workers!$M$5:$M$2004,MATCH($A849,Workers!$A$5:$A$2004,0))))</f>
        <v/>
      </c>
      <c r="K849" s="26" t="str">
        <f aca="false">IF($A849="","",IF(D849="Monthly",ROUND(MAX(0,(I849+J849)-(I849+J849)/Settings!$B$10*H849),2),0))</f>
        <v/>
      </c>
      <c r="L849" s="26" t="str">
        <f aca="false">IF($A849="","",IF(D849="Hourly",ROUND(F849*N(INDEX(Workers!$N$5:$N$2004,MATCH($A849,Workers!$A$5:$A$2004,0))),2),0))</f>
        <v/>
      </c>
      <c r="M849" s="26" t="str">
        <f aca="false">IF($A849="","",ROUND(G849*IF(D849="Hourly",N(INDEX(Workers!$N$5:$N$2004,MATCH($A849,Workers!$A$5:$A$2004,0))),I849/Settings!$B$10/Settings!$B$12)*Settings!$B$13,2))</f>
        <v/>
      </c>
      <c r="N849" s="26" t="str">
        <f aca="false">IF($A849="","",K849+L849+M849)</f>
        <v/>
      </c>
      <c r="O849" s="26" t="str">
        <f aca="false">IF($A849="","",SUMIFS(Deductions!$D$5:$D$2000,Deductions!$B$5:$B$2000,$A849,Deductions!$C$5:$C$2000,"Advance",Deductions!$E$5:$E$2000,"&gt;="&amp;Settings!$B$8,Deductions!$E$5:$E$2000,"&lt;="&amp;Settings!$B$9))</f>
        <v/>
      </c>
      <c r="P849" s="26" t="str">
        <f aca="false">IF($A849="","",SUMIFS(Deductions!$D$5:$D$2000,Deductions!$B$5:$B$2000,$A849,Deductions!$E$5:$E$2000,"&gt;="&amp;Settings!$B$8,Deductions!$E$5:$E$2000,"&lt;="&amp;Settings!$B$9)-O849)</f>
        <v/>
      </c>
      <c r="Q849" s="26" t="str">
        <f aca="false">IF($A849="","",O849+P849)</f>
        <v/>
      </c>
      <c r="R849" s="23" t="str">
        <f aca="false">IF($A849="","",N849-Q849)</f>
        <v/>
      </c>
      <c r="S849" s="24" t="str">
        <f aca="false">IF($A849="","",INDEX(Workers!$O$5:$O$2004,MATCH($A849,Workers!$A$5:$A$2004,0))&amp;"")</f>
        <v/>
      </c>
      <c r="T849" s="24" t="str">
        <f aca="false">IF($A849="","",INDEX(Workers!$P$5:$P$2004,MATCH($A849,Workers!$A$5:$A$2004,0))&amp;"")</f>
        <v/>
      </c>
      <c r="U849" s="24" t="str">
        <f aca="false">IF($A849="","",INDEX(Workers!$H$5:$H$2004,MATCH($A849,Workers!$A$5:$A$2004,0))&amp;"")</f>
        <v/>
      </c>
    </row>
    <row r="850" customFormat="false" ht="15" hidden="false" customHeight="false" outlineLevel="0" collapsed="false">
      <c r="A850" s="24" t="str">
        <f aca="false">IFERROR(INDEX(Workers!$A$5:$A$2004,MATCH(ROW()-4,Workers!$U$5:$U$2004,0)),"")</f>
        <v/>
      </c>
      <c r="B850" s="24" t="str">
        <f aca="false">IF($A850="","",INDEX(Workers!$B$5:$B$2004,MATCH($A850,Workers!$A$5:$A$2004,0)))</f>
        <v/>
      </c>
      <c r="C850" s="24" t="str">
        <f aca="false">IF($A850="","",INDEX(Workers!$E$5:$E$2004,MATCH($A850,Workers!$A$5:$A$2004,0)))</f>
        <v/>
      </c>
      <c r="D850" s="24" t="str">
        <f aca="false">IF($A850="","",INDEX(Workers!$K$5:$K$2004,MATCH($A850,Workers!$A$5:$A$2004,0)))</f>
        <v/>
      </c>
      <c r="E850" s="25" t="str">
        <f aca="false">IF($A850="","",SUMIFS(Timesheet!$E$5:$E$3004,Timesheet!$D$5:$D$3004,$A850,Timesheet!$A$5:$A$3004,"&gt;="&amp;Settings!$B$8,Timesheet!$A$5:$A$3004,"&lt;="&amp;Settings!$B$9))</f>
        <v/>
      </c>
      <c r="F850" s="25" t="str">
        <f aca="false">IF($A850="","",SUMIFS(Timesheet!$F$5:$F$3004,Timesheet!$D$5:$D$3004,$A850,Timesheet!$A$5:$A$3004,"&gt;="&amp;Settings!$B$8,Timesheet!$A$5:$A$3004,"&lt;="&amp;Settings!$B$9))</f>
        <v/>
      </c>
      <c r="G850" s="25" t="str">
        <f aca="false">IF($A850="","",SUMIFS(Timesheet!$G$5:$G$3004,Timesheet!$D$5:$D$3004,$A850,Timesheet!$A$5:$A$3004,"&gt;="&amp;Settings!$B$8,Timesheet!$A$5:$A$3004,"&lt;="&amp;Settings!$B$9))</f>
        <v/>
      </c>
      <c r="H850" s="25" t="str">
        <f aca="false">IF($A850="","",IF(D850="Monthly",MAX(0,Settings!$B$11-E850),0))</f>
        <v/>
      </c>
      <c r="I850" s="26" t="str">
        <f aca="false">IF($A850="","",N(INDEX(Workers!$L$5:$L$2004,MATCH($A850,Workers!$A$5:$A$2004,0))))</f>
        <v/>
      </c>
      <c r="J850" s="26" t="str">
        <f aca="false">IF($A850="","",N(INDEX(Workers!$M$5:$M$2004,MATCH($A850,Workers!$A$5:$A$2004,0))))</f>
        <v/>
      </c>
      <c r="K850" s="26" t="str">
        <f aca="false">IF($A850="","",IF(D850="Monthly",ROUND(MAX(0,(I850+J850)-(I850+J850)/Settings!$B$10*H850),2),0))</f>
        <v/>
      </c>
      <c r="L850" s="26" t="str">
        <f aca="false">IF($A850="","",IF(D850="Hourly",ROUND(F850*N(INDEX(Workers!$N$5:$N$2004,MATCH($A850,Workers!$A$5:$A$2004,0))),2),0))</f>
        <v/>
      </c>
      <c r="M850" s="26" t="str">
        <f aca="false">IF($A850="","",ROUND(G850*IF(D850="Hourly",N(INDEX(Workers!$N$5:$N$2004,MATCH($A850,Workers!$A$5:$A$2004,0))),I850/Settings!$B$10/Settings!$B$12)*Settings!$B$13,2))</f>
        <v/>
      </c>
      <c r="N850" s="26" t="str">
        <f aca="false">IF($A850="","",K850+L850+M850)</f>
        <v/>
      </c>
      <c r="O850" s="26" t="str">
        <f aca="false">IF($A850="","",SUMIFS(Deductions!$D$5:$D$2000,Deductions!$B$5:$B$2000,$A850,Deductions!$C$5:$C$2000,"Advance",Deductions!$E$5:$E$2000,"&gt;="&amp;Settings!$B$8,Deductions!$E$5:$E$2000,"&lt;="&amp;Settings!$B$9))</f>
        <v/>
      </c>
      <c r="P850" s="26" t="str">
        <f aca="false">IF($A850="","",SUMIFS(Deductions!$D$5:$D$2000,Deductions!$B$5:$B$2000,$A850,Deductions!$E$5:$E$2000,"&gt;="&amp;Settings!$B$8,Deductions!$E$5:$E$2000,"&lt;="&amp;Settings!$B$9)-O850)</f>
        <v/>
      </c>
      <c r="Q850" s="26" t="str">
        <f aca="false">IF($A850="","",O850+P850)</f>
        <v/>
      </c>
      <c r="R850" s="23" t="str">
        <f aca="false">IF($A850="","",N850-Q850)</f>
        <v/>
      </c>
      <c r="S850" s="24" t="str">
        <f aca="false">IF($A850="","",INDEX(Workers!$O$5:$O$2004,MATCH($A850,Workers!$A$5:$A$2004,0))&amp;"")</f>
        <v/>
      </c>
      <c r="T850" s="24" t="str">
        <f aca="false">IF($A850="","",INDEX(Workers!$P$5:$P$2004,MATCH($A850,Workers!$A$5:$A$2004,0))&amp;"")</f>
        <v/>
      </c>
      <c r="U850" s="24" t="str">
        <f aca="false">IF($A850="","",INDEX(Workers!$H$5:$H$2004,MATCH($A850,Workers!$A$5:$A$2004,0))&amp;"")</f>
        <v/>
      </c>
    </row>
    <row r="851" customFormat="false" ht="15" hidden="false" customHeight="false" outlineLevel="0" collapsed="false">
      <c r="A851" s="24" t="str">
        <f aca="false">IFERROR(INDEX(Workers!$A$5:$A$2004,MATCH(ROW()-4,Workers!$U$5:$U$2004,0)),"")</f>
        <v/>
      </c>
      <c r="B851" s="24" t="str">
        <f aca="false">IF($A851="","",INDEX(Workers!$B$5:$B$2004,MATCH($A851,Workers!$A$5:$A$2004,0)))</f>
        <v/>
      </c>
      <c r="C851" s="24" t="str">
        <f aca="false">IF($A851="","",INDEX(Workers!$E$5:$E$2004,MATCH($A851,Workers!$A$5:$A$2004,0)))</f>
        <v/>
      </c>
      <c r="D851" s="24" t="str">
        <f aca="false">IF($A851="","",INDEX(Workers!$K$5:$K$2004,MATCH($A851,Workers!$A$5:$A$2004,0)))</f>
        <v/>
      </c>
      <c r="E851" s="25" t="str">
        <f aca="false">IF($A851="","",SUMIFS(Timesheet!$E$5:$E$3004,Timesheet!$D$5:$D$3004,$A851,Timesheet!$A$5:$A$3004,"&gt;="&amp;Settings!$B$8,Timesheet!$A$5:$A$3004,"&lt;="&amp;Settings!$B$9))</f>
        <v/>
      </c>
      <c r="F851" s="25" t="str">
        <f aca="false">IF($A851="","",SUMIFS(Timesheet!$F$5:$F$3004,Timesheet!$D$5:$D$3004,$A851,Timesheet!$A$5:$A$3004,"&gt;="&amp;Settings!$B$8,Timesheet!$A$5:$A$3004,"&lt;="&amp;Settings!$B$9))</f>
        <v/>
      </c>
      <c r="G851" s="25" t="str">
        <f aca="false">IF($A851="","",SUMIFS(Timesheet!$G$5:$G$3004,Timesheet!$D$5:$D$3004,$A851,Timesheet!$A$5:$A$3004,"&gt;="&amp;Settings!$B$8,Timesheet!$A$5:$A$3004,"&lt;="&amp;Settings!$B$9))</f>
        <v/>
      </c>
      <c r="H851" s="25" t="str">
        <f aca="false">IF($A851="","",IF(D851="Monthly",MAX(0,Settings!$B$11-E851),0))</f>
        <v/>
      </c>
      <c r="I851" s="26" t="str">
        <f aca="false">IF($A851="","",N(INDEX(Workers!$L$5:$L$2004,MATCH($A851,Workers!$A$5:$A$2004,0))))</f>
        <v/>
      </c>
      <c r="J851" s="26" t="str">
        <f aca="false">IF($A851="","",N(INDEX(Workers!$M$5:$M$2004,MATCH($A851,Workers!$A$5:$A$2004,0))))</f>
        <v/>
      </c>
      <c r="K851" s="26" t="str">
        <f aca="false">IF($A851="","",IF(D851="Monthly",ROUND(MAX(0,(I851+J851)-(I851+J851)/Settings!$B$10*H851),2),0))</f>
        <v/>
      </c>
      <c r="L851" s="26" t="str">
        <f aca="false">IF($A851="","",IF(D851="Hourly",ROUND(F851*N(INDEX(Workers!$N$5:$N$2004,MATCH($A851,Workers!$A$5:$A$2004,0))),2),0))</f>
        <v/>
      </c>
      <c r="M851" s="26" t="str">
        <f aca="false">IF($A851="","",ROUND(G851*IF(D851="Hourly",N(INDEX(Workers!$N$5:$N$2004,MATCH($A851,Workers!$A$5:$A$2004,0))),I851/Settings!$B$10/Settings!$B$12)*Settings!$B$13,2))</f>
        <v/>
      </c>
      <c r="N851" s="26" t="str">
        <f aca="false">IF($A851="","",K851+L851+M851)</f>
        <v/>
      </c>
      <c r="O851" s="26" t="str">
        <f aca="false">IF($A851="","",SUMIFS(Deductions!$D$5:$D$2000,Deductions!$B$5:$B$2000,$A851,Deductions!$C$5:$C$2000,"Advance",Deductions!$E$5:$E$2000,"&gt;="&amp;Settings!$B$8,Deductions!$E$5:$E$2000,"&lt;="&amp;Settings!$B$9))</f>
        <v/>
      </c>
      <c r="P851" s="26" t="str">
        <f aca="false">IF($A851="","",SUMIFS(Deductions!$D$5:$D$2000,Deductions!$B$5:$B$2000,$A851,Deductions!$E$5:$E$2000,"&gt;="&amp;Settings!$B$8,Deductions!$E$5:$E$2000,"&lt;="&amp;Settings!$B$9)-O851)</f>
        <v/>
      </c>
      <c r="Q851" s="26" t="str">
        <f aca="false">IF($A851="","",O851+P851)</f>
        <v/>
      </c>
      <c r="R851" s="23" t="str">
        <f aca="false">IF($A851="","",N851-Q851)</f>
        <v/>
      </c>
      <c r="S851" s="24" t="str">
        <f aca="false">IF($A851="","",INDEX(Workers!$O$5:$O$2004,MATCH($A851,Workers!$A$5:$A$2004,0))&amp;"")</f>
        <v/>
      </c>
      <c r="T851" s="24" t="str">
        <f aca="false">IF($A851="","",INDEX(Workers!$P$5:$P$2004,MATCH($A851,Workers!$A$5:$A$2004,0))&amp;"")</f>
        <v/>
      </c>
      <c r="U851" s="24" t="str">
        <f aca="false">IF($A851="","",INDEX(Workers!$H$5:$H$2004,MATCH($A851,Workers!$A$5:$A$2004,0))&amp;"")</f>
        <v/>
      </c>
    </row>
    <row r="852" customFormat="false" ht="15" hidden="false" customHeight="false" outlineLevel="0" collapsed="false">
      <c r="A852" s="24" t="str">
        <f aca="false">IFERROR(INDEX(Workers!$A$5:$A$2004,MATCH(ROW()-4,Workers!$U$5:$U$2004,0)),"")</f>
        <v/>
      </c>
      <c r="B852" s="24" t="str">
        <f aca="false">IF($A852="","",INDEX(Workers!$B$5:$B$2004,MATCH($A852,Workers!$A$5:$A$2004,0)))</f>
        <v/>
      </c>
      <c r="C852" s="24" t="str">
        <f aca="false">IF($A852="","",INDEX(Workers!$E$5:$E$2004,MATCH($A852,Workers!$A$5:$A$2004,0)))</f>
        <v/>
      </c>
      <c r="D852" s="24" t="str">
        <f aca="false">IF($A852="","",INDEX(Workers!$K$5:$K$2004,MATCH($A852,Workers!$A$5:$A$2004,0)))</f>
        <v/>
      </c>
      <c r="E852" s="25" t="str">
        <f aca="false">IF($A852="","",SUMIFS(Timesheet!$E$5:$E$3004,Timesheet!$D$5:$D$3004,$A852,Timesheet!$A$5:$A$3004,"&gt;="&amp;Settings!$B$8,Timesheet!$A$5:$A$3004,"&lt;="&amp;Settings!$B$9))</f>
        <v/>
      </c>
      <c r="F852" s="25" t="str">
        <f aca="false">IF($A852="","",SUMIFS(Timesheet!$F$5:$F$3004,Timesheet!$D$5:$D$3004,$A852,Timesheet!$A$5:$A$3004,"&gt;="&amp;Settings!$B$8,Timesheet!$A$5:$A$3004,"&lt;="&amp;Settings!$B$9))</f>
        <v/>
      </c>
      <c r="G852" s="25" t="str">
        <f aca="false">IF($A852="","",SUMIFS(Timesheet!$G$5:$G$3004,Timesheet!$D$5:$D$3004,$A852,Timesheet!$A$5:$A$3004,"&gt;="&amp;Settings!$B$8,Timesheet!$A$5:$A$3004,"&lt;="&amp;Settings!$B$9))</f>
        <v/>
      </c>
      <c r="H852" s="25" t="str">
        <f aca="false">IF($A852="","",IF(D852="Monthly",MAX(0,Settings!$B$11-E852),0))</f>
        <v/>
      </c>
      <c r="I852" s="26" t="str">
        <f aca="false">IF($A852="","",N(INDEX(Workers!$L$5:$L$2004,MATCH($A852,Workers!$A$5:$A$2004,0))))</f>
        <v/>
      </c>
      <c r="J852" s="26" t="str">
        <f aca="false">IF($A852="","",N(INDEX(Workers!$M$5:$M$2004,MATCH($A852,Workers!$A$5:$A$2004,0))))</f>
        <v/>
      </c>
      <c r="K852" s="26" t="str">
        <f aca="false">IF($A852="","",IF(D852="Monthly",ROUND(MAX(0,(I852+J852)-(I852+J852)/Settings!$B$10*H852),2),0))</f>
        <v/>
      </c>
      <c r="L852" s="26" t="str">
        <f aca="false">IF($A852="","",IF(D852="Hourly",ROUND(F852*N(INDEX(Workers!$N$5:$N$2004,MATCH($A852,Workers!$A$5:$A$2004,0))),2),0))</f>
        <v/>
      </c>
      <c r="M852" s="26" t="str">
        <f aca="false">IF($A852="","",ROUND(G852*IF(D852="Hourly",N(INDEX(Workers!$N$5:$N$2004,MATCH($A852,Workers!$A$5:$A$2004,0))),I852/Settings!$B$10/Settings!$B$12)*Settings!$B$13,2))</f>
        <v/>
      </c>
      <c r="N852" s="26" t="str">
        <f aca="false">IF($A852="","",K852+L852+M852)</f>
        <v/>
      </c>
      <c r="O852" s="26" t="str">
        <f aca="false">IF($A852="","",SUMIFS(Deductions!$D$5:$D$2000,Deductions!$B$5:$B$2000,$A852,Deductions!$C$5:$C$2000,"Advance",Deductions!$E$5:$E$2000,"&gt;="&amp;Settings!$B$8,Deductions!$E$5:$E$2000,"&lt;="&amp;Settings!$B$9))</f>
        <v/>
      </c>
      <c r="P852" s="26" t="str">
        <f aca="false">IF($A852="","",SUMIFS(Deductions!$D$5:$D$2000,Deductions!$B$5:$B$2000,$A852,Deductions!$E$5:$E$2000,"&gt;="&amp;Settings!$B$8,Deductions!$E$5:$E$2000,"&lt;="&amp;Settings!$B$9)-O852)</f>
        <v/>
      </c>
      <c r="Q852" s="26" t="str">
        <f aca="false">IF($A852="","",O852+P852)</f>
        <v/>
      </c>
      <c r="R852" s="23" t="str">
        <f aca="false">IF($A852="","",N852-Q852)</f>
        <v/>
      </c>
      <c r="S852" s="24" t="str">
        <f aca="false">IF($A852="","",INDEX(Workers!$O$5:$O$2004,MATCH($A852,Workers!$A$5:$A$2004,0))&amp;"")</f>
        <v/>
      </c>
      <c r="T852" s="24" t="str">
        <f aca="false">IF($A852="","",INDEX(Workers!$P$5:$P$2004,MATCH($A852,Workers!$A$5:$A$2004,0))&amp;"")</f>
        <v/>
      </c>
      <c r="U852" s="24" t="str">
        <f aca="false">IF($A852="","",INDEX(Workers!$H$5:$H$2004,MATCH($A852,Workers!$A$5:$A$2004,0))&amp;"")</f>
        <v/>
      </c>
    </row>
    <row r="853" customFormat="false" ht="15" hidden="false" customHeight="false" outlineLevel="0" collapsed="false">
      <c r="A853" s="24" t="str">
        <f aca="false">IFERROR(INDEX(Workers!$A$5:$A$2004,MATCH(ROW()-4,Workers!$U$5:$U$2004,0)),"")</f>
        <v/>
      </c>
      <c r="B853" s="24" t="str">
        <f aca="false">IF($A853="","",INDEX(Workers!$B$5:$B$2004,MATCH($A853,Workers!$A$5:$A$2004,0)))</f>
        <v/>
      </c>
      <c r="C853" s="24" t="str">
        <f aca="false">IF($A853="","",INDEX(Workers!$E$5:$E$2004,MATCH($A853,Workers!$A$5:$A$2004,0)))</f>
        <v/>
      </c>
      <c r="D853" s="24" t="str">
        <f aca="false">IF($A853="","",INDEX(Workers!$K$5:$K$2004,MATCH($A853,Workers!$A$5:$A$2004,0)))</f>
        <v/>
      </c>
      <c r="E853" s="25" t="str">
        <f aca="false">IF($A853="","",SUMIFS(Timesheet!$E$5:$E$3004,Timesheet!$D$5:$D$3004,$A853,Timesheet!$A$5:$A$3004,"&gt;="&amp;Settings!$B$8,Timesheet!$A$5:$A$3004,"&lt;="&amp;Settings!$B$9))</f>
        <v/>
      </c>
      <c r="F853" s="25" t="str">
        <f aca="false">IF($A853="","",SUMIFS(Timesheet!$F$5:$F$3004,Timesheet!$D$5:$D$3004,$A853,Timesheet!$A$5:$A$3004,"&gt;="&amp;Settings!$B$8,Timesheet!$A$5:$A$3004,"&lt;="&amp;Settings!$B$9))</f>
        <v/>
      </c>
      <c r="G853" s="25" t="str">
        <f aca="false">IF($A853="","",SUMIFS(Timesheet!$G$5:$G$3004,Timesheet!$D$5:$D$3004,$A853,Timesheet!$A$5:$A$3004,"&gt;="&amp;Settings!$B$8,Timesheet!$A$5:$A$3004,"&lt;="&amp;Settings!$B$9))</f>
        <v/>
      </c>
      <c r="H853" s="25" t="str">
        <f aca="false">IF($A853="","",IF(D853="Monthly",MAX(0,Settings!$B$11-E853),0))</f>
        <v/>
      </c>
      <c r="I853" s="26" t="str">
        <f aca="false">IF($A853="","",N(INDEX(Workers!$L$5:$L$2004,MATCH($A853,Workers!$A$5:$A$2004,0))))</f>
        <v/>
      </c>
      <c r="J853" s="26" t="str">
        <f aca="false">IF($A853="","",N(INDEX(Workers!$M$5:$M$2004,MATCH($A853,Workers!$A$5:$A$2004,0))))</f>
        <v/>
      </c>
      <c r="K853" s="26" t="str">
        <f aca="false">IF($A853="","",IF(D853="Monthly",ROUND(MAX(0,(I853+J853)-(I853+J853)/Settings!$B$10*H853),2),0))</f>
        <v/>
      </c>
      <c r="L853" s="26" t="str">
        <f aca="false">IF($A853="","",IF(D853="Hourly",ROUND(F853*N(INDEX(Workers!$N$5:$N$2004,MATCH($A853,Workers!$A$5:$A$2004,0))),2),0))</f>
        <v/>
      </c>
      <c r="M853" s="26" t="str">
        <f aca="false">IF($A853="","",ROUND(G853*IF(D853="Hourly",N(INDEX(Workers!$N$5:$N$2004,MATCH($A853,Workers!$A$5:$A$2004,0))),I853/Settings!$B$10/Settings!$B$12)*Settings!$B$13,2))</f>
        <v/>
      </c>
      <c r="N853" s="26" t="str">
        <f aca="false">IF($A853="","",K853+L853+M853)</f>
        <v/>
      </c>
      <c r="O853" s="26" t="str">
        <f aca="false">IF($A853="","",SUMIFS(Deductions!$D$5:$D$2000,Deductions!$B$5:$B$2000,$A853,Deductions!$C$5:$C$2000,"Advance",Deductions!$E$5:$E$2000,"&gt;="&amp;Settings!$B$8,Deductions!$E$5:$E$2000,"&lt;="&amp;Settings!$B$9))</f>
        <v/>
      </c>
      <c r="P853" s="26" t="str">
        <f aca="false">IF($A853="","",SUMIFS(Deductions!$D$5:$D$2000,Deductions!$B$5:$B$2000,$A853,Deductions!$E$5:$E$2000,"&gt;="&amp;Settings!$B$8,Deductions!$E$5:$E$2000,"&lt;="&amp;Settings!$B$9)-O853)</f>
        <v/>
      </c>
      <c r="Q853" s="26" t="str">
        <f aca="false">IF($A853="","",O853+P853)</f>
        <v/>
      </c>
      <c r="R853" s="23" t="str">
        <f aca="false">IF($A853="","",N853-Q853)</f>
        <v/>
      </c>
      <c r="S853" s="24" t="str">
        <f aca="false">IF($A853="","",INDEX(Workers!$O$5:$O$2004,MATCH($A853,Workers!$A$5:$A$2004,0))&amp;"")</f>
        <v/>
      </c>
      <c r="T853" s="24" t="str">
        <f aca="false">IF($A853="","",INDEX(Workers!$P$5:$P$2004,MATCH($A853,Workers!$A$5:$A$2004,0))&amp;"")</f>
        <v/>
      </c>
      <c r="U853" s="24" t="str">
        <f aca="false">IF($A853="","",INDEX(Workers!$H$5:$H$2004,MATCH($A853,Workers!$A$5:$A$2004,0))&amp;"")</f>
        <v/>
      </c>
    </row>
    <row r="854" customFormat="false" ht="15" hidden="false" customHeight="false" outlineLevel="0" collapsed="false">
      <c r="A854" s="24" t="str">
        <f aca="false">IFERROR(INDEX(Workers!$A$5:$A$2004,MATCH(ROW()-4,Workers!$U$5:$U$2004,0)),"")</f>
        <v/>
      </c>
      <c r="B854" s="24" t="str">
        <f aca="false">IF($A854="","",INDEX(Workers!$B$5:$B$2004,MATCH($A854,Workers!$A$5:$A$2004,0)))</f>
        <v/>
      </c>
      <c r="C854" s="24" t="str">
        <f aca="false">IF($A854="","",INDEX(Workers!$E$5:$E$2004,MATCH($A854,Workers!$A$5:$A$2004,0)))</f>
        <v/>
      </c>
      <c r="D854" s="24" t="str">
        <f aca="false">IF($A854="","",INDEX(Workers!$K$5:$K$2004,MATCH($A854,Workers!$A$5:$A$2004,0)))</f>
        <v/>
      </c>
      <c r="E854" s="25" t="str">
        <f aca="false">IF($A854="","",SUMIFS(Timesheet!$E$5:$E$3004,Timesheet!$D$5:$D$3004,$A854,Timesheet!$A$5:$A$3004,"&gt;="&amp;Settings!$B$8,Timesheet!$A$5:$A$3004,"&lt;="&amp;Settings!$B$9))</f>
        <v/>
      </c>
      <c r="F854" s="25" t="str">
        <f aca="false">IF($A854="","",SUMIFS(Timesheet!$F$5:$F$3004,Timesheet!$D$5:$D$3004,$A854,Timesheet!$A$5:$A$3004,"&gt;="&amp;Settings!$B$8,Timesheet!$A$5:$A$3004,"&lt;="&amp;Settings!$B$9))</f>
        <v/>
      </c>
      <c r="G854" s="25" t="str">
        <f aca="false">IF($A854="","",SUMIFS(Timesheet!$G$5:$G$3004,Timesheet!$D$5:$D$3004,$A854,Timesheet!$A$5:$A$3004,"&gt;="&amp;Settings!$B$8,Timesheet!$A$5:$A$3004,"&lt;="&amp;Settings!$B$9))</f>
        <v/>
      </c>
      <c r="H854" s="25" t="str">
        <f aca="false">IF($A854="","",IF(D854="Monthly",MAX(0,Settings!$B$11-E854),0))</f>
        <v/>
      </c>
      <c r="I854" s="26" t="str">
        <f aca="false">IF($A854="","",N(INDEX(Workers!$L$5:$L$2004,MATCH($A854,Workers!$A$5:$A$2004,0))))</f>
        <v/>
      </c>
      <c r="J854" s="26" t="str">
        <f aca="false">IF($A854="","",N(INDEX(Workers!$M$5:$M$2004,MATCH($A854,Workers!$A$5:$A$2004,0))))</f>
        <v/>
      </c>
      <c r="K854" s="26" t="str">
        <f aca="false">IF($A854="","",IF(D854="Monthly",ROUND(MAX(0,(I854+J854)-(I854+J854)/Settings!$B$10*H854),2),0))</f>
        <v/>
      </c>
      <c r="L854" s="26" t="str">
        <f aca="false">IF($A854="","",IF(D854="Hourly",ROUND(F854*N(INDEX(Workers!$N$5:$N$2004,MATCH($A854,Workers!$A$5:$A$2004,0))),2),0))</f>
        <v/>
      </c>
      <c r="M854" s="26" t="str">
        <f aca="false">IF($A854="","",ROUND(G854*IF(D854="Hourly",N(INDEX(Workers!$N$5:$N$2004,MATCH($A854,Workers!$A$5:$A$2004,0))),I854/Settings!$B$10/Settings!$B$12)*Settings!$B$13,2))</f>
        <v/>
      </c>
      <c r="N854" s="26" t="str">
        <f aca="false">IF($A854="","",K854+L854+M854)</f>
        <v/>
      </c>
      <c r="O854" s="26" t="str">
        <f aca="false">IF($A854="","",SUMIFS(Deductions!$D$5:$D$2000,Deductions!$B$5:$B$2000,$A854,Deductions!$C$5:$C$2000,"Advance",Deductions!$E$5:$E$2000,"&gt;="&amp;Settings!$B$8,Deductions!$E$5:$E$2000,"&lt;="&amp;Settings!$B$9))</f>
        <v/>
      </c>
      <c r="P854" s="26" t="str">
        <f aca="false">IF($A854="","",SUMIFS(Deductions!$D$5:$D$2000,Deductions!$B$5:$B$2000,$A854,Deductions!$E$5:$E$2000,"&gt;="&amp;Settings!$B$8,Deductions!$E$5:$E$2000,"&lt;="&amp;Settings!$B$9)-O854)</f>
        <v/>
      </c>
      <c r="Q854" s="26" t="str">
        <f aca="false">IF($A854="","",O854+P854)</f>
        <v/>
      </c>
      <c r="R854" s="23" t="str">
        <f aca="false">IF($A854="","",N854-Q854)</f>
        <v/>
      </c>
      <c r="S854" s="24" t="str">
        <f aca="false">IF($A854="","",INDEX(Workers!$O$5:$O$2004,MATCH($A854,Workers!$A$5:$A$2004,0))&amp;"")</f>
        <v/>
      </c>
      <c r="T854" s="24" t="str">
        <f aca="false">IF($A854="","",INDEX(Workers!$P$5:$P$2004,MATCH($A854,Workers!$A$5:$A$2004,0))&amp;"")</f>
        <v/>
      </c>
      <c r="U854" s="24" t="str">
        <f aca="false">IF($A854="","",INDEX(Workers!$H$5:$H$2004,MATCH($A854,Workers!$A$5:$A$2004,0))&amp;"")</f>
        <v/>
      </c>
    </row>
    <row r="855" customFormat="false" ht="15" hidden="false" customHeight="false" outlineLevel="0" collapsed="false">
      <c r="A855" s="24" t="str">
        <f aca="false">IFERROR(INDEX(Workers!$A$5:$A$2004,MATCH(ROW()-4,Workers!$U$5:$U$2004,0)),"")</f>
        <v/>
      </c>
      <c r="B855" s="24" t="str">
        <f aca="false">IF($A855="","",INDEX(Workers!$B$5:$B$2004,MATCH($A855,Workers!$A$5:$A$2004,0)))</f>
        <v/>
      </c>
      <c r="C855" s="24" t="str">
        <f aca="false">IF($A855="","",INDEX(Workers!$E$5:$E$2004,MATCH($A855,Workers!$A$5:$A$2004,0)))</f>
        <v/>
      </c>
      <c r="D855" s="24" t="str">
        <f aca="false">IF($A855="","",INDEX(Workers!$K$5:$K$2004,MATCH($A855,Workers!$A$5:$A$2004,0)))</f>
        <v/>
      </c>
      <c r="E855" s="25" t="str">
        <f aca="false">IF($A855="","",SUMIFS(Timesheet!$E$5:$E$3004,Timesheet!$D$5:$D$3004,$A855,Timesheet!$A$5:$A$3004,"&gt;="&amp;Settings!$B$8,Timesheet!$A$5:$A$3004,"&lt;="&amp;Settings!$B$9))</f>
        <v/>
      </c>
      <c r="F855" s="25" t="str">
        <f aca="false">IF($A855="","",SUMIFS(Timesheet!$F$5:$F$3004,Timesheet!$D$5:$D$3004,$A855,Timesheet!$A$5:$A$3004,"&gt;="&amp;Settings!$B$8,Timesheet!$A$5:$A$3004,"&lt;="&amp;Settings!$B$9))</f>
        <v/>
      </c>
      <c r="G855" s="25" t="str">
        <f aca="false">IF($A855="","",SUMIFS(Timesheet!$G$5:$G$3004,Timesheet!$D$5:$D$3004,$A855,Timesheet!$A$5:$A$3004,"&gt;="&amp;Settings!$B$8,Timesheet!$A$5:$A$3004,"&lt;="&amp;Settings!$B$9))</f>
        <v/>
      </c>
      <c r="H855" s="25" t="str">
        <f aca="false">IF($A855="","",IF(D855="Monthly",MAX(0,Settings!$B$11-E855),0))</f>
        <v/>
      </c>
      <c r="I855" s="26" t="str">
        <f aca="false">IF($A855="","",N(INDEX(Workers!$L$5:$L$2004,MATCH($A855,Workers!$A$5:$A$2004,0))))</f>
        <v/>
      </c>
      <c r="J855" s="26" t="str">
        <f aca="false">IF($A855="","",N(INDEX(Workers!$M$5:$M$2004,MATCH($A855,Workers!$A$5:$A$2004,0))))</f>
        <v/>
      </c>
      <c r="K855" s="26" t="str">
        <f aca="false">IF($A855="","",IF(D855="Monthly",ROUND(MAX(0,(I855+J855)-(I855+J855)/Settings!$B$10*H855),2),0))</f>
        <v/>
      </c>
      <c r="L855" s="26" t="str">
        <f aca="false">IF($A855="","",IF(D855="Hourly",ROUND(F855*N(INDEX(Workers!$N$5:$N$2004,MATCH($A855,Workers!$A$5:$A$2004,0))),2),0))</f>
        <v/>
      </c>
      <c r="M855" s="26" t="str">
        <f aca="false">IF($A855="","",ROUND(G855*IF(D855="Hourly",N(INDEX(Workers!$N$5:$N$2004,MATCH($A855,Workers!$A$5:$A$2004,0))),I855/Settings!$B$10/Settings!$B$12)*Settings!$B$13,2))</f>
        <v/>
      </c>
      <c r="N855" s="26" t="str">
        <f aca="false">IF($A855="","",K855+L855+M855)</f>
        <v/>
      </c>
      <c r="O855" s="26" t="str">
        <f aca="false">IF($A855="","",SUMIFS(Deductions!$D$5:$D$2000,Deductions!$B$5:$B$2000,$A855,Deductions!$C$5:$C$2000,"Advance",Deductions!$E$5:$E$2000,"&gt;="&amp;Settings!$B$8,Deductions!$E$5:$E$2000,"&lt;="&amp;Settings!$B$9))</f>
        <v/>
      </c>
      <c r="P855" s="26" t="str">
        <f aca="false">IF($A855="","",SUMIFS(Deductions!$D$5:$D$2000,Deductions!$B$5:$B$2000,$A855,Deductions!$E$5:$E$2000,"&gt;="&amp;Settings!$B$8,Deductions!$E$5:$E$2000,"&lt;="&amp;Settings!$B$9)-O855)</f>
        <v/>
      </c>
      <c r="Q855" s="26" t="str">
        <f aca="false">IF($A855="","",O855+P855)</f>
        <v/>
      </c>
      <c r="R855" s="23" t="str">
        <f aca="false">IF($A855="","",N855-Q855)</f>
        <v/>
      </c>
      <c r="S855" s="24" t="str">
        <f aca="false">IF($A855="","",INDEX(Workers!$O$5:$O$2004,MATCH($A855,Workers!$A$5:$A$2004,0))&amp;"")</f>
        <v/>
      </c>
      <c r="T855" s="24" t="str">
        <f aca="false">IF($A855="","",INDEX(Workers!$P$5:$P$2004,MATCH($A855,Workers!$A$5:$A$2004,0))&amp;"")</f>
        <v/>
      </c>
      <c r="U855" s="24" t="str">
        <f aca="false">IF($A855="","",INDEX(Workers!$H$5:$H$2004,MATCH($A855,Workers!$A$5:$A$2004,0))&amp;"")</f>
        <v/>
      </c>
    </row>
    <row r="856" customFormat="false" ht="15" hidden="false" customHeight="false" outlineLevel="0" collapsed="false">
      <c r="A856" s="24" t="str">
        <f aca="false">IFERROR(INDEX(Workers!$A$5:$A$2004,MATCH(ROW()-4,Workers!$U$5:$U$2004,0)),"")</f>
        <v/>
      </c>
      <c r="B856" s="24" t="str">
        <f aca="false">IF($A856="","",INDEX(Workers!$B$5:$B$2004,MATCH($A856,Workers!$A$5:$A$2004,0)))</f>
        <v/>
      </c>
      <c r="C856" s="24" t="str">
        <f aca="false">IF($A856="","",INDEX(Workers!$E$5:$E$2004,MATCH($A856,Workers!$A$5:$A$2004,0)))</f>
        <v/>
      </c>
      <c r="D856" s="24" t="str">
        <f aca="false">IF($A856="","",INDEX(Workers!$K$5:$K$2004,MATCH($A856,Workers!$A$5:$A$2004,0)))</f>
        <v/>
      </c>
      <c r="E856" s="25" t="str">
        <f aca="false">IF($A856="","",SUMIFS(Timesheet!$E$5:$E$3004,Timesheet!$D$5:$D$3004,$A856,Timesheet!$A$5:$A$3004,"&gt;="&amp;Settings!$B$8,Timesheet!$A$5:$A$3004,"&lt;="&amp;Settings!$B$9))</f>
        <v/>
      </c>
      <c r="F856" s="25" t="str">
        <f aca="false">IF($A856="","",SUMIFS(Timesheet!$F$5:$F$3004,Timesheet!$D$5:$D$3004,$A856,Timesheet!$A$5:$A$3004,"&gt;="&amp;Settings!$B$8,Timesheet!$A$5:$A$3004,"&lt;="&amp;Settings!$B$9))</f>
        <v/>
      </c>
      <c r="G856" s="25" t="str">
        <f aca="false">IF($A856="","",SUMIFS(Timesheet!$G$5:$G$3004,Timesheet!$D$5:$D$3004,$A856,Timesheet!$A$5:$A$3004,"&gt;="&amp;Settings!$B$8,Timesheet!$A$5:$A$3004,"&lt;="&amp;Settings!$B$9))</f>
        <v/>
      </c>
      <c r="H856" s="25" t="str">
        <f aca="false">IF($A856="","",IF(D856="Monthly",MAX(0,Settings!$B$11-E856),0))</f>
        <v/>
      </c>
      <c r="I856" s="26" t="str">
        <f aca="false">IF($A856="","",N(INDEX(Workers!$L$5:$L$2004,MATCH($A856,Workers!$A$5:$A$2004,0))))</f>
        <v/>
      </c>
      <c r="J856" s="26" t="str">
        <f aca="false">IF($A856="","",N(INDEX(Workers!$M$5:$M$2004,MATCH($A856,Workers!$A$5:$A$2004,0))))</f>
        <v/>
      </c>
      <c r="K856" s="26" t="str">
        <f aca="false">IF($A856="","",IF(D856="Monthly",ROUND(MAX(0,(I856+J856)-(I856+J856)/Settings!$B$10*H856),2),0))</f>
        <v/>
      </c>
      <c r="L856" s="26" t="str">
        <f aca="false">IF($A856="","",IF(D856="Hourly",ROUND(F856*N(INDEX(Workers!$N$5:$N$2004,MATCH($A856,Workers!$A$5:$A$2004,0))),2),0))</f>
        <v/>
      </c>
      <c r="M856" s="26" t="str">
        <f aca="false">IF($A856="","",ROUND(G856*IF(D856="Hourly",N(INDEX(Workers!$N$5:$N$2004,MATCH($A856,Workers!$A$5:$A$2004,0))),I856/Settings!$B$10/Settings!$B$12)*Settings!$B$13,2))</f>
        <v/>
      </c>
      <c r="N856" s="26" t="str">
        <f aca="false">IF($A856="","",K856+L856+M856)</f>
        <v/>
      </c>
      <c r="O856" s="26" t="str">
        <f aca="false">IF($A856="","",SUMIFS(Deductions!$D$5:$D$2000,Deductions!$B$5:$B$2000,$A856,Deductions!$C$5:$C$2000,"Advance",Deductions!$E$5:$E$2000,"&gt;="&amp;Settings!$B$8,Deductions!$E$5:$E$2000,"&lt;="&amp;Settings!$B$9))</f>
        <v/>
      </c>
      <c r="P856" s="26" t="str">
        <f aca="false">IF($A856="","",SUMIFS(Deductions!$D$5:$D$2000,Deductions!$B$5:$B$2000,$A856,Deductions!$E$5:$E$2000,"&gt;="&amp;Settings!$B$8,Deductions!$E$5:$E$2000,"&lt;="&amp;Settings!$B$9)-O856)</f>
        <v/>
      </c>
      <c r="Q856" s="26" t="str">
        <f aca="false">IF($A856="","",O856+P856)</f>
        <v/>
      </c>
      <c r="R856" s="23" t="str">
        <f aca="false">IF($A856="","",N856-Q856)</f>
        <v/>
      </c>
      <c r="S856" s="24" t="str">
        <f aca="false">IF($A856="","",INDEX(Workers!$O$5:$O$2004,MATCH($A856,Workers!$A$5:$A$2004,0))&amp;"")</f>
        <v/>
      </c>
      <c r="T856" s="24" t="str">
        <f aca="false">IF($A856="","",INDEX(Workers!$P$5:$P$2004,MATCH($A856,Workers!$A$5:$A$2004,0))&amp;"")</f>
        <v/>
      </c>
      <c r="U856" s="24" t="str">
        <f aca="false">IF($A856="","",INDEX(Workers!$H$5:$H$2004,MATCH($A856,Workers!$A$5:$A$2004,0))&amp;"")</f>
        <v/>
      </c>
    </row>
    <row r="857" customFormat="false" ht="15" hidden="false" customHeight="false" outlineLevel="0" collapsed="false">
      <c r="A857" s="24" t="str">
        <f aca="false">IFERROR(INDEX(Workers!$A$5:$A$2004,MATCH(ROW()-4,Workers!$U$5:$U$2004,0)),"")</f>
        <v/>
      </c>
      <c r="B857" s="24" t="str">
        <f aca="false">IF($A857="","",INDEX(Workers!$B$5:$B$2004,MATCH($A857,Workers!$A$5:$A$2004,0)))</f>
        <v/>
      </c>
      <c r="C857" s="24" t="str">
        <f aca="false">IF($A857="","",INDEX(Workers!$E$5:$E$2004,MATCH($A857,Workers!$A$5:$A$2004,0)))</f>
        <v/>
      </c>
      <c r="D857" s="24" t="str">
        <f aca="false">IF($A857="","",INDEX(Workers!$K$5:$K$2004,MATCH($A857,Workers!$A$5:$A$2004,0)))</f>
        <v/>
      </c>
      <c r="E857" s="25" t="str">
        <f aca="false">IF($A857="","",SUMIFS(Timesheet!$E$5:$E$3004,Timesheet!$D$5:$D$3004,$A857,Timesheet!$A$5:$A$3004,"&gt;="&amp;Settings!$B$8,Timesheet!$A$5:$A$3004,"&lt;="&amp;Settings!$B$9))</f>
        <v/>
      </c>
      <c r="F857" s="25" t="str">
        <f aca="false">IF($A857="","",SUMIFS(Timesheet!$F$5:$F$3004,Timesheet!$D$5:$D$3004,$A857,Timesheet!$A$5:$A$3004,"&gt;="&amp;Settings!$B$8,Timesheet!$A$5:$A$3004,"&lt;="&amp;Settings!$B$9))</f>
        <v/>
      </c>
      <c r="G857" s="25" t="str">
        <f aca="false">IF($A857="","",SUMIFS(Timesheet!$G$5:$G$3004,Timesheet!$D$5:$D$3004,$A857,Timesheet!$A$5:$A$3004,"&gt;="&amp;Settings!$B$8,Timesheet!$A$5:$A$3004,"&lt;="&amp;Settings!$B$9))</f>
        <v/>
      </c>
      <c r="H857" s="25" t="str">
        <f aca="false">IF($A857="","",IF(D857="Monthly",MAX(0,Settings!$B$11-E857),0))</f>
        <v/>
      </c>
      <c r="I857" s="26" t="str">
        <f aca="false">IF($A857="","",N(INDEX(Workers!$L$5:$L$2004,MATCH($A857,Workers!$A$5:$A$2004,0))))</f>
        <v/>
      </c>
      <c r="J857" s="26" t="str">
        <f aca="false">IF($A857="","",N(INDEX(Workers!$M$5:$M$2004,MATCH($A857,Workers!$A$5:$A$2004,0))))</f>
        <v/>
      </c>
      <c r="K857" s="26" t="str">
        <f aca="false">IF($A857="","",IF(D857="Monthly",ROUND(MAX(0,(I857+J857)-(I857+J857)/Settings!$B$10*H857),2),0))</f>
        <v/>
      </c>
      <c r="L857" s="26" t="str">
        <f aca="false">IF($A857="","",IF(D857="Hourly",ROUND(F857*N(INDEX(Workers!$N$5:$N$2004,MATCH($A857,Workers!$A$5:$A$2004,0))),2),0))</f>
        <v/>
      </c>
      <c r="M857" s="26" t="str">
        <f aca="false">IF($A857="","",ROUND(G857*IF(D857="Hourly",N(INDEX(Workers!$N$5:$N$2004,MATCH($A857,Workers!$A$5:$A$2004,0))),I857/Settings!$B$10/Settings!$B$12)*Settings!$B$13,2))</f>
        <v/>
      </c>
      <c r="N857" s="26" t="str">
        <f aca="false">IF($A857="","",K857+L857+M857)</f>
        <v/>
      </c>
      <c r="O857" s="26" t="str">
        <f aca="false">IF($A857="","",SUMIFS(Deductions!$D$5:$D$2000,Deductions!$B$5:$B$2000,$A857,Deductions!$C$5:$C$2000,"Advance",Deductions!$E$5:$E$2000,"&gt;="&amp;Settings!$B$8,Deductions!$E$5:$E$2000,"&lt;="&amp;Settings!$B$9))</f>
        <v/>
      </c>
      <c r="P857" s="26" t="str">
        <f aca="false">IF($A857="","",SUMIFS(Deductions!$D$5:$D$2000,Deductions!$B$5:$B$2000,$A857,Deductions!$E$5:$E$2000,"&gt;="&amp;Settings!$B$8,Deductions!$E$5:$E$2000,"&lt;="&amp;Settings!$B$9)-O857)</f>
        <v/>
      </c>
      <c r="Q857" s="26" t="str">
        <f aca="false">IF($A857="","",O857+P857)</f>
        <v/>
      </c>
      <c r="R857" s="23" t="str">
        <f aca="false">IF($A857="","",N857-Q857)</f>
        <v/>
      </c>
      <c r="S857" s="24" t="str">
        <f aca="false">IF($A857="","",INDEX(Workers!$O$5:$O$2004,MATCH($A857,Workers!$A$5:$A$2004,0))&amp;"")</f>
        <v/>
      </c>
      <c r="T857" s="24" t="str">
        <f aca="false">IF($A857="","",INDEX(Workers!$P$5:$P$2004,MATCH($A857,Workers!$A$5:$A$2004,0))&amp;"")</f>
        <v/>
      </c>
      <c r="U857" s="24" t="str">
        <f aca="false">IF($A857="","",INDEX(Workers!$H$5:$H$2004,MATCH($A857,Workers!$A$5:$A$2004,0))&amp;"")</f>
        <v/>
      </c>
    </row>
    <row r="858" customFormat="false" ht="15" hidden="false" customHeight="false" outlineLevel="0" collapsed="false">
      <c r="A858" s="24" t="str">
        <f aca="false">IFERROR(INDEX(Workers!$A$5:$A$2004,MATCH(ROW()-4,Workers!$U$5:$U$2004,0)),"")</f>
        <v/>
      </c>
      <c r="B858" s="24" t="str">
        <f aca="false">IF($A858="","",INDEX(Workers!$B$5:$B$2004,MATCH($A858,Workers!$A$5:$A$2004,0)))</f>
        <v/>
      </c>
      <c r="C858" s="24" t="str">
        <f aca="false">IF($A858="","",INDEX(Workers!$E$5:$E$2004,MATCH($A858,Workers!$A$5:$A$2004,0)))</f>
        <v/>
      </c>
      <c r="D858" s="24" t="str">
        <f aca="false">IF($A858="","",INDEX(Workers!$K$5:$K$2004,MATCH($A858,Workers!$A$5:$A$2004,0)))</f>
        <v/>
      </c>
      <c r="E858" s="25" t="str">
        <f aca="false">IF($A858="","",SUMIFS(Timesheet!$E$5:$E$3004,Timesheet!$D$5:$D$3004,$A858,Timesheet!$A$5:$A$3004,"&gt;="&amp;Settings!$B$8,Timesheet!$A$5:$A$3004,"&lt;="&amp;Settings!$B$9))</f>
        <v/>
      </c>
      <c r="F858" s="25" t="str">
        <f aca="false">IF($A858="","",SUMIFS(Timesheet!$F$5:$F$3004,Timesheet!$D$5:$D$3004,$A858,Timesheet!$A$5:$A$3004,"&gt;="&amp;Settings!$B$8,Timesheet!$A$5:$A$3004,"&lt;="&amp;Settings!$B$9))</f>
        <v/>
      </c>
      <c r="G858" s="25" t="str">
        <f aca="false">IF($A858="","",SUMIFS(Timesheet!$G$5:$G$3004,Timesheet!$D$5:$D$3004,$A858,Timesheet!$A$5:$A$3004,"&gt;="&amp;Settings!$B$8,Timesheet!$A$5:$A$3004,"&lt;="&amp;Settings!$B$9))</f>
        <v/>
      </c>
      <c r="H858" s="25" t="str">
        <f aca="false">IF($A858="","",IF(D858="Monthly",MAX(0,Settings!$B$11-E858),0))</f>
        <v/>
      </c>
      <c r="I858" s="26" t="str">
        <f aca="false">IF($A858="","",N(INDEX(Workers!$L$5:$L$2004,MATCH($A858,Workers!$A$5:$A$2004,0))))</f>
        <v/>
      </c>
      <c r="J858" s="26" t="str">
        <f aca="false">IF($A858="","",N(INDEX(Workers!$M$5:$M$2004,MATCH($A858,Workers!$A$5:$A$2004,0))))</f>
        <v/>
      </c>
      <c r="K858" s="26" t="str">
        <f aca="false">IF($A858="","",IF(D858="Monthly",ROUND(MAX(0,(I858+J858)-(I858+J858)/Settings!$B$10*H858),2),0))</f>
        <v/>
      </c>
      <c r="L858" s="26" t="str">
        <f aca="false">IF($A858="","",IF(D858="Hourly",ROUND(F858*N(INDEX(Workers!$N$5:$N$2004,MATCH($A858,Workers!$A$5:$A$2004,0))),2),0))</f>
        <v/>
      </c>
      <c r="M858" s="26" t="str">
        <f aca="false">IF($A858="","",ROUND(G858*IF(D858="Hourly",N(INDEX(Workers!$N$5:$N$2004,MATCH($A858,Workers!$A$5:$A$2004,0))),I858/Settings!$B$10/Settings!$B$12)*Settings!$B$13,2))</f>
        <v/>
      </c>
      <c r="N858" s="26" t="str">
        <f aca="false">IF($A858="","",K858+L858+M858)</f>
        <v/>
      </c>
      <c r="O858" s="26" t="str">
        <f aca="false">IF($A858="","",SUMIFS(Deductions!$D$5:$D$2000,Deductions!$B$5:$B$2000,$A858,Deductions!$C$5:$C$2000,"Advance",Deductions!$E$5:$E$2000,"&gt;="&amp;Settings!$B$8,Deductions!$E$5:$E$2000,"&lt;="&amp;Settings!$B$9))</f>
        <v/>
      </c>
      <c r="P858" s="26" t="str">
        <f aca="false">IF($A858="","",SUMIFS(Deductions!$D$5:$D$2000,Deductions!$B$5:$B$2000,$A858,Deductions!$E$5:$E$2000,"&gt;="&amp;Settings!$B$8,Deductions!$E$5:$E$2000,"&lt;="&amp;Settings!$B$9)-O858)</f>
        <v/>
      </c>
      <c r="Q858" s="26" t="str">
        <f aca="false">IF($A858="","",O858+P858)</f>
        <v/>
      </c>
      <c r="R858" s="23" t="str">
        <f aca="false">IF($A858="","",N858-Q858)</f>
        <v/>
      </c>
      <c r="S858" s="24" t="str">
        <f aca="false">IF($A858="","",INDEX(Workers!$O$5:$O$2004,MATCH($A858,Workers!$A$5:$A$2004,0))&amp;"")</f>
        <v/>
      </c>
      <c r="T858" s="24" t="str">
        <f aca="false">IF($A858="","",INDEX(Workers!$P$5:$P$2004,MATCH($A858,Workers!$A$5:$A$2004,0))&amp;"")</f>
        <v/>
      </c>
      <c r="U858" s="24" t="str">
        <f aca="false">IF($A858="","",INDEX(Workers!$H$5:$H$2004,MATCH($A858,Workers!$A$5:$A$2004,0))&amp;"")</f>
        <v/>
      </c>
    </row>
    <row r="859" customFormat="false" ht="15" hidden="false" customHeight="false" outlineLevel="0" collapsed="false">
      <c r="A859" s="24" t="str">
        <f aca="false">IFERROR(INDEX(Workers!$A$5:$A$2004,MATCH(ROW()-4,Workers!$U$5:$U$2004,0)),"")</f>
        <v/>
      </c>
      <c r="B859" s="24" t="str">
        <f aca="false">IF($A859="","",INDEX(Workers!$B$5:$B$2004,MATCH($A859,Workers!$A$5:$A$2004,0)))</f>
        <v/>
      </c>
      <c r="C859" s="24" t="str">
        <f aca="false">IF($A859="","",INDEX(Workers!$E$5:$E$2004,MATCH($A859,Workers!$A$5:$A$2004,0)))</f>
        <v/>
      </c>
      <c r="D859" s="24" t="str">
        <f aca="false">IF($A859="","",INDEX(Workers!$K$5:$K$2004,MATCH($A859,Workers!$A$5:$A$2004,0)))</f>
        <v/>
      </c>
      <c r="E859" s="25" t="str">
        <f aca="false">IF($A859="","",SUMIFS(Timesheet!$E$5:$E$3004,Timesheet!$D$5:$D$3004,$A859,Timesheet!$A$5:$A$3004,"&gt;="&amp;Settings!$B$8,Timesheet!$A$5:$A$3004,"&lt;="&amp;Settings!$B$9))</f>
        <v/>
      </c>
      <c r="F859" s="25" t="str">
        <f aca="false">IF($A859="","",SUMIFS(Timesheet!$F$5:$F$3004,Timesheet!$D$5:$D$3004,$A859,Timesheet!$A$5:$A$3004,"&gt;="&amp;Settings!$B$8,Timesheet!$A$5:$A$3004,"&lt;="&amp;Settings!$B$9))</f>
        <v/>
      </c>
      <c r="G859" s="25" t="str">
        <f aca="false">IF($A859="","",SUMIFS(Timesheet!$G$5:$G$3004,Timesheet!$D$5:$D$3004,$A859,Timesheet!$A$5:$A$3004,"&gt;="&amp;Settings!$B$8,Timesheet!$A$5:$A$3004,"&lt;="&amp;Settings!$B$9))</f>
        <v/>
      </c>
      <c r="H859" s="25" t="str">
        <f aca="false">IF($A859="","",IF(D859="Monthly",MAX(0,Settings!$B$11-E859),0))</f>
        <v/>
      </c>
      <c r="I859" s="26" t="str">
        <f aca="false">IF($A859="","",N(INDEX(Workers!$L$5:$L$2004,MATCH($A859,Workers!$A$5:$A$2004,0))))</f>
        <v/>
      </c>
      <c r="J859" s="26" t="str">
        <f aca="false">IF($A859="","",N(INDEX(Workers!$M$5:$M$2004,MATCH($A859,Workers!$A$5:$A$2004,0))))</f>
        <v/>
      </c>
      <c r="K859" s="26" t="str">
        <f aca="false">IF($A859="","",IF(D859="Monthly",ROUND(MAX(0,(I859+J859)-(I859+J859)/Settings!$B$10*H859),2),0))</f>
        <v/>
      </c>
      <c r="L859" s="26" t="str">
        <f aca="false">IF($A859="","",IF(D859="Hourly",ROUND(F859*N(INDEX(Workers!$N$5:$N$2004,MATCH($A859,Workers!$A$5:$A$2004,0))),2),0))</f>
        <v/>
      </c>
      <c r="M859" s="26" t="str">
        <f aca="false">IF($A859="","",ROUND(G859*IF(D859="Hourly",N(INDEX(Workers!$N$5:$N$2004,MATCH($A859,Workers!$A$5:$A$2004,0))),I859/Settings!$B$10/Settings!$B$12)*Settings!$B$13,2))</f>
        <v/>
      </c>
      <c r="N859" s="26" t="str">
        <f aca="false">IF($A859="","",K859+L859+M859)</f>
        <v/>
      </c>
      <c r="O859" s="26" t="str">
        <f aca="false">IF($A859="","",SUMIFS(Deductions!$D$5:$D$2000,Deductions!$B$5:$B$2000,$A859,Deductions!$C$5:$C$2000,"Advance",Deductions!$E$5:$E$2000,"&gt;="&amp;Settings!$B$8,Deductions!$E$5:$E$2000,"&lt;="&amp;Settings!$B$9))</f>
        <v/>
      </c>
      <c r="P859" s="26" t="str">
        <f aca="false">IF($A859="","",SUMIFS(Deductions!$D$5:$D$2000,Deductions!$B$5:$B$2000,$A859,Deductions!$E$5:$E$2000,"&gt;="&amp;Settings!$B$8,Deductions!$E$5:$E$2000,"&lt;="&amp;Settings!$B$9)-O859)</f>
        <v/>
      </c>
      <c r="Q859" s="26" t="str">
        <f aca="false">IF($A859="","",O859+P859)</f>
        <v/>
      </c>
      <c r="R859" s="23" t="str">
        <f aca="false">IF($A859="","",N859-Q859)</f>
        <v/>
      </c>
      <c r="S859" s="24" t="str">
        <f aca="false">IF($A859="","",INDEX(Workers!$O$5:$O$2004,MATCH($A859,Workers!$A$5:$A$2004,0))&amp;"")</f>
        <v/>
      </c>
      <c r="T859" s="24" t="str">
        <f aca="false">IF($A859="","",INDEX(Workers!$P$5:$P$2004,MATCH($A859,Workers!$A$5:$A$2004,0))&amp;"")</f>
        <v/>
      </c>
      <c r="U859" s="24" t="str">
        <f aca="false">IF($A859="","",INDEX(Workers!$H$5:$H$2004,MATCH($A859,Workers!$A$5:$A$2004,0))&amp;"")</f>
        <v/>
      </c>
    </row>
    <row r="860" customFormat="false" ht="15" hidden="false" customHeight="false" outlineLevel="0" collapsed="false">
      <c r="A860" s="24" t="str">
        <f aca="false">IFERROR(INDEX(Workers!$A$5:$A$2004,MATCH(ROW()-4,Workers!$U$5:$U$2004,0)),"")</f>
        <v/>
      </c>
      <c r="B860" s="24" t="str">
        <f aca="false">IF($A860="","",INDEX(Workers!$B$5:$B$2004,MATCH($A860,Workers!$A$5:$A$2004,0)))</f>
        <v/>
      </c>
      <c r="C860" s="24" t="str">
        <f aca="false">IF($A860="","",INDEX(Workers!$E$5:$E$2004,MATCH($A860,Workers!$A$5:$A$2004,0)))</f>
        <v/>
      </c>
      <c r="D860" s="24" t="str">
        <f aca="false">IF($A860="","",INDEX(Workers!$K$5:$K$2004,MATCH($A860,Workers!$A$5:$A$2004,0)))</f>
        <v/>
      </c>
      <c r="E860" s="25" t="str">
        <f aca="false">IF($A860="","",SUMIFS(Timesheet!$E$5:$E$3004,Timesheet!$D$5:$D$3004,$A860,Timesheet!$A$5:$A$3004,"&gt;="&amp;Settings!$B$8,Timesheet!$A$5:$A$3004,"&lt;="&amp;Settings!$B$9))</f>
        <v/>
      </c>
      <c r="F860" s="25" t="str">
        <f aca="false">IF($A860="","",SUMIFS(Timesheet!$F$5:$F$3004,Timesheet!$D$5:$D$3004,$A860,Timesheet!$A$5:$A$3004,"&gt;="&amp;Settings!$B$8,Timesheet!$A$5:$A$3004,"&lt;="&amp;Settings!$B$9))</f>
        <v/>
      </c>
      <c r="G860" s="25" t="str">
        <f aca="false">IF($A860="","",SUMIFS(Timesheet!$G$5:$G$3004,Timesheet!$D$5:$D$3004,$A860,Timesheet!$A$5:$A$3004,"&gt;="&amp;Settings!$B$8,Timesheet!$A$5:$A$3004,"&lt;="&amp;Settings!$B$9))</f>
        <v/>
      </c>
      <c r="H860" s="25" t="str">
        <f aca="false">IF($A860="","",IF(D860="Monthly",MAX(0,Settings!$B$11-E860),0))</f>
        <v/>
      </c>
      <c r="I860" s="26" t="str">
        <f aca="false">IF($A860="","",N(INDEX(Workers!$L$5:$L$2004,MATCH($A860,Workers!$A$5:$A$2004,0))))</f>
        <v/>
      </c>
      <c r="J860" s="26" t="str">
        <f aca="false">IF($A860="","",N(INDEX(Workers!$M$5:$M$2004,MATCH($A860,Workers!$A$5:$A$2004,0))))</f>
        <v/>
      </c>
      <c r="K860" s="26" t="str">
        <f aca="false">IF($A860="","",IF(D860="Monthly",ROUND(MAX(0,(I860+J860)-(I860+J860)/Settings!$B$10*H860),2),0))</f>
        <v/>
      </c>
      <c r="L860" s="26" t="str">
        <f aca="false">IF($A860="","",IF(D860="Hourly",ROUND(F860*N(INDEX(Workers!$N$5:$N$2004,MATCH($A860,Workers!$A$5:$A$2004,0))),2),0))</f>
        <v/>
      </c>
      <c r="M860" s="26" t="str">
        <f aca="false">IF($A860="","",ROUND(G860*IF(D860="Hourly",N(INDEX(Workers!$N$5:$N$2004,MATCH($A860,Workers!$A$5:$A$2004,0))),I860/Settings!$B$10/Settings!$B$12)*Settings!$B$13,2))</f>
        <v/>
      </c>
      <c r="N860" s="26" t="str">
        <f aca="false">IF($A860="","",K860+L860+M860)</f>
        <v/>
      </c>
      <c r="O860" s="26" t="str">
        <f aca="false">IF($A860="","",SUMIFS(Deductions!$D$5:$D$2000,Deductions!$B$5:$B$2000,$A860,Deductions!$C$5:$C$2000,"Advance",Deductions!$E$5:$E$2000,"&gt;="&amp;Settings!$B$8,Deductions!$E$5:$E$2000,"&lt;="&amp;Settings!$B$9))</f>
        <v/>
      </c>
      <c r="P860" s="26" t="str">
        <f aca="false">IF($A860="","",SUMIFS(Deductions!$D$5:$D$2000,Deductions!$B$5:$B$2000,$A860,Deductions!$E$5:$E$2000,"&gt;="&amp;Settings!$B$8,Deductions!$E$5:$E$2000,"&lt;="&amp;Settings!$B$9)-O860)</f>
        <v/>
      </c>
      <c r="Q860" s="26" t="str">
        <f aca="false">IF($A860="","",O860+P860)</f>
        <v/>
      </c>
      <c r="R860" s="23" t="str">
        <f aca="false">IF($A860="","",N860-Q860)</f>
        <v/>
      </c>
      <c r="S860" s="24" t="str">
        <f aca="false">IF($A860="","",INDEX(Workers!$O$5:$O$2004,MATCH($A860,Workers!$A$5:$A$2004,0))&amp;"")</f>
        <v/>
      </c>
      <c r="T860" s="24" t="str">
        <f aca="false">IF($A860="","",INDEX(Workers!$P$5:$P$2004,MATCH($A860,Workers!$A$5:$A$2004,0))&amp;"")</f>
        <v/>
      </c>
      <c r="U860" s="24" t="str">
        <f aca="false">IF($A860="","",INDEX(Workers!$H$5:$H$2004,MATCH($A860,Workers!$A$5:$A$2004,0))&amp;"")</f>
        <v/>
      </c>
    </row>
    <row r="861" customFormat="false" ht="15" hidden="false" customHeight="false" outlineLevel="0" collapsed="false">
      <c r="A861" s="24" t="str">
        <f aca="false">IFERROR(INDEX(Workers!$A$5:$A$2004,MATCH(ROW()-4,Workers!$U$5:$U$2004,0)),"")</f>
        <v/>
      </c>
      <c r="B861" s="24" t="str">
        <f aca="false">IF($A861="","",INDEX(Workers!$B$5:$B$2004,MATCH($A861,Workers!$A$5:$A$2004,0)))</f>
        <v/>
      </c>
      <c r="C861" s="24" t="str">
        <f aca="false">IF($A861="","",INDEX(Workers!$E$5:$E$2004,MATCH($A861,Workers!$A$5:$A$2004,0)))</f>
        <v/>
      </c>
      <c r="D861" s="24" t="str">
        <f aca="false">IF($A861="","",INDEX(Workers!$K$5:$K$2004,MATCH($A861,Workers!$A$5:$A$2004,0)))</f>
        <v/>
      </c>
      <c r="E861" s="25" t="str">
        <f aca="false">IF($A861="","",SUMIFS(Timesheet!$E$5:$E$3004,Timesheet!$D$5:$D$3004,$A861,Timesheet!$A$5:$A$3004,"&gt;="&amp;Settings!$B$8,Timesheet!$A$5:$A$3004,"&lt;="&amp;Settings!$B$9))</f>
        <v/>
      </c>
      <c r="F861" s="25" t="str">
        <f aca="false">IF($A861="","",SUMIFS(Timesheet!$F$5:$F$3004,Timesheet!$D$5:$D$3004,$A861,Timesheet!$A$5:$A$3004,"&gt;="&amp;Settings!$B$8,Timesheet!$A$5:$A$3004,"&lt;="&amp;Settings!$B$9))</f>
        <v/>
      </c>
      <c r="G861" s="25" t="str">
        <f aca="false">IF($A861="","",SUMIFS(Timesheet!$G$5:$G$3004,Timesheet!$D$5:$D$3004,$A861,Timesheet!$A$5:$A$3004,"&gt;="&amp;Settings!$B$8,Timesheet!$A$5:$A$3004,"&lt;="&amp;Settings!$B$9))</f>
        <v/>
      </c>
      <c r="H861" s="25" t="str">
        <f aca="false">IF($A861="","",IF(D861="Monthly",MAX(0,Settings!$B$11-E861),0))</f>
        <v/>
      </c>
      <c r="I861" s="26" t="str">
        <f aca="false">IF($A861="","",N(INDEX(Workers!$L$5:$L$2004,MATCH($A861,Workers!$A$5:$A$2004,0))))</f>
        <v/>
      </c>
      <c r="J861" s="26" t="str">
        <f aca="false">IF($A861="","",N(INDEX(Workers!$M$5:$M$2004,MATCH($A861,Workers!$A$5:$A$2004,0))))</f>
        <v/>
      </c>
      <c r="K861" s="26" t="str">
        <f aca="false">IF($A861="","",IF(D861="Monthly",ROUND(MAX(0,(I861+J861)-(I861+J861)/Settings!$B$10*H861),2),0))</f>
        <v/>
      </c>
      <c r="L861" s="26" t="str">
        <f aca="false">IF($A861="","",IF(D861="Hourly",ROUND(F861*N(INDEX(Workers!$N$5:$N$2004,MATCH($A861,Workers!$A$5:$A$2004,0))),2),0))</f>
        <v/>
      </c>
      <c r="M861" s="26" t="str">
        <f aca="false">IF($A861="","",ROUND(G861*IF(D861="Hourly",N(INDEX(Workers!$N$5:$N$2004,MATCH($A861,Workers!$A$5:$A$2004,0))),I861/Settings!$B$10/Settings!$B$12)*Settings!$B$13,2))</f>
        <v/>
      </c>
      <c r="N861" s="26" t="str">
        <f aca="false">IF($A861="","",K861+L861+M861)</f>
        <v/>
      </c>
      <c r="O861" s="26" t="str">
        <f aca="false">IF($A861="","",SUMIFS(Deductions!$D$5:$D$2000,Deductions!$B$5:$B$2000,$A861,Deductions!$C$5:$C$2000,"Advance",Deductions!$E$5:$E$2000,"&gt;="&amp;Settings!$B$8,Deductions!$E$5:$E$2000,"&lt;="&amp;Settings!$B$9))</f>
        <v/>
      </c>
      <c r="P861" s="26" t="str">
        <f aca="false">IF($A861="","",SUMIFS(Deductions!$D$5:$D$2000,Deductions!$B$5:$B$2000,$A861,Deductions!$E$5:$E$2000,"&gt;="&amp;Settings!$B$8,Deductions!$E$5:$E$2000,"&lt;="&amp;Settings!$B$9)-O861)</f>
        <v/>
      </c>
      <c r="Q861" s="26" t="str">
        <f aca="false">IF($A861="","",O861+P861)</f>
        <v/>
      </c>
      <c r="R861" s="23" t="str">
        <f aca="false">IF($A861="","",N861-Q861)</f>
        <v/>
      </c>
      <c r="S861" s="24" t="str">
        <f aca="false">IF($A861="","",INDEX(Workers!$O$5:$O$2004,MATCH($A861,Workers!$A$5:$A$2004,0))&amp;"")</f>
        <v/>
      </c>
      <c r="T861" s="24" t="str">
        <f aca="false">IF($A861="","",INDEX(Workers!$P$5:$P$2004,MATCH($A861,Workers!$A$5:$A$2004,0))&amp;"")</f>
        <v/>
      </c>
      <c r="U861" s="24" t="str">
        <f aca="false">IF($A861="","",INDEX(Workers!$H$5:$H$2004,MATCH($A861,Workers!$A$5:$A$2004,0))&amp;"")</f>
        <v/>
      </c>
    </row>
    <row r="862" customFormat="false" ht="15" hidden="false" customHeight="false" outlineLevel="0" collapsed="false">
      <c r="A862" s="24" t="str">
        <f aca="false">IFERROR(INDEX(Workers!$A$5:$A$2004,MATCH(ROW()-4,Workers!$U$5:$U$2004,0)),"")</f>
        <v/>
      </c>
      <c r="B862" s="24" t="str">
        <f aca="false">IF($A862="","",INDEX(Workers!$B$5:$B$2004,MATCH($A862,Workers!$A$5:$A$2004,0)))</f>
        <v/>
      </c>
      <c r="C862" s="24" t="str">
        <f aca="false">IF($A862="","",INDEX(Workers!$E$5:$E$2004,MATCH($A862,Workers!$A$5:$A$2004,0)))</f>
        <v/>
      </c>
      <c r="D862" s="24" t="str">
        <f aca="false">IF($A862="","",INDEX(Workers!$K$5:$K$2004,MATCH($A862,Workers!$A$5:$A$2004,0)))</f>
        <v/>
      </c>
      <c r="E862" s="25" t="str">
        <f aca="false">IF($A862="","",SUMIFS(Timesheet!$E$5:$E$3004,Timesheet!$D$5:$D$3004,$A862,Timesheet!$A$5:$A$3004,"&gt;="&amp;Settings!$B$8,Timesheet!$A$5:$A$3004,"&lt;="&amp;Settings!$B$9))</f>
        <v/>
      </c>
      <c r="F862" s="25" t="str">
        <f aca="false">IF($A862="","",SUMIFS(Timesheet!$F$5:$F$3004,Timesheet!$D$5:$D$3004,$A862,Timesheet!$A$5:$A$3004,"&gt;="&amp;Settings!$B$8,Timesheet!$A$5:$A$3004,"&lt;="&amp;Settings!$B$9))</f>
        <v/>
      </c>
      <c r="G862" s="25" t="str">
        <f aca="false">IF($A862="","",SUMIFS(Timesheet!$G$5:$G$3004,Timesheet!$D$5:$D$3004,$A862,Timesheet!$A$5:$A$3004,"&gt;="&amp;Settings!$B$8,Timesheet!$A$5:$A$3004,"&lt;="&amp;Settings!$B$9))</f>
        <v/>
      </c>
      <c r="H862" s="25" t="str">
        <f aca="false">IF($A862="","",IF(D862="Monthly",MAX(0,Settings!$B$11-E862),0))</f>
        <v/>
      </c>
      <c r="I862" s="26" t="str">
        <f aca="false">IF($A862="","",N(INDEX(Workers!$L$5:$L$2004,MATCH($A862,Workers!$A$5:$A$2004,0))))</f>
        <v/>
      </c>
      <c r="J862" s="26" t="str">
        <f aca="false">IF($A862="","",N(INDEX(Workers!$M$5:$M$2004,MATCH($A862,Workers!$A$5:$A$2004,0))))</f>
        <v/>
      </c>
      <c r="K862" s="26" t="str">
        <f aca="false">IF($A862="","",IF(D862="Monthly",ROUND(MAX(0,(I862+J862)-(I862+J862)/Settings!$B$10*H862),2),0))</f>
        <v/>
      </c>
      <c r="L862" s="26" t="str">
        <f aca="false">IF($A862="","",IF(D862="Hourly",ROUND(F862*N(INDEX(Workers!$N$5:$N$2004,MATCH($A862,Workers!$A$5:$A$2004,0))),2),0))</f>
        <v/>
      </c>
      <c r="M862" s="26" t="str">
        <f aca="false">IF($A862="","",ROUND(G862*IF(D862="Hourly",N(INDEX(Workers!$N$5:$N$2004,MATCH($A862,Workers!$A$5:$A$2004,0))),I862/Settings!$B$10/Settings!$B$12)*Settings!$B$13,2))</f>
        <v/>
      </c>
      <c r="N862" s="26" t="str">
        <f aca="false">IF($A862="","",K862+L862+M862)</f>
        <v/>
      </c>
      <c r="O862" s="26" t="str">
        <f aca="false">IF($A862="","",SUMIFS(Deductions!$D$5:$D$2000,Deductions!$B$5:$B$2000,$A862,Deductions!$C$5:$C$2000,"Advance",Deductions!$E$5:$E$2000,"&gt;="&amp;Settings!$B$8,Deductions!$E$5:$E$2000,"&lt;="&amp;Settings!$B$9))</f>
        <v/>
      </c>
      <c r="P862" s="26" t="str">
        <f aca="false">IF($A862="","",SUMIFS(Deductions!$D$5:$D$2000,Deductions!$B$5:$B$2000,$A862,Deductions!$E$5:$E$2000,"&gt;="&amp;Settings!$B$8,Deductions!$E$5:$E$2000,"&lt;="&amp;Settings!$B$9)-O862)</f>
        <v/>
      </c>
      <c r="Q862" s="26" t="str">
        <f aca="false">IF($A862="","",O862+P862)</f>
        <v/>
      </c>
      <c r="R862" s="23" t="str">
        <f aca="false">IF($A862="","",N862-Q862)</f>
        <v/>
      </c>
      <c r="S862" s="24" t="str">
        <f aca="false">IF($A862="","",INDEX(Workers!$O$5:$O$2004,MATCH($A862,Workers!$A$5:$A$2004,0))&amp;"")</f>
        <v/>
      </c>
      <c r="T862" s="24" t="str">
        <f aca="false">IF($A862="","",INDEX(Workers!$P$5:$P$2004,MATCH($A862,Workers!$A$5:$A$2004,0))&amp;"")</f>
        <v/>
      </c>
      <c r="U862" s="24" t="str">
        <f aca="false">IF($A862="","",INDEX(Workers!$H$5:$H$2004,MATCH($A862,Workers!$A$5:$A$2004,0))&amp;"")</f>
        <v/>
      </c>
    </row>
    <row r="863" customFormat="false" ht="15" hidden="false" customHeight="false" outlineLevel="0" collapsed="false">
      <c r="A863" s="24" t="str">
        <f aca="false">IFERROR(INDEX(Workers!$A$5:$A$2004,MATCH(ROW()-4,Workers!$U$5:$U$2004,0)),"")</f>
        <v/>
      </c>
      <c r="B863" s="24" t="str">
        <f aca="false">IF($A863="","",INDEX(Workers!$B$5:$B$2004,MATCH($A863,Workers!$A$5:$A$2004,0)))</f>
        <v/>
      </c>
      <c r="C863" s="24" t="str">
        <f aca="false">IF($A863="","",INDEX(Workers!$E$5:$E$2004,MATCH($A863,Workers!$A$5:$A$2004,0)))</f>
        <v/>
      </c>
      <c r="D863" s="24" t="str">
        <f aca="false">IF($A863="","",INDEX(Workers!$K$5:$K$2004,MATCH($A863,Workers!$A$5:$A$2004,0)))</f>
        <v/>
      </c>
      <c r="E863" s="25" t="str">
        <f aca="false">IF($A863="","",SUMIFS(Timesheet!$E$5:$E$3004,Timesheet!$D$5:$D$3004,$A863,Timesheet!$A$5:$A$3004,"&gt;="&amp;Settings!$B$8,Timesheet!$A$5:$A$3004,"&lt;="&amp;Settings!$B$9))</f>
        <v/>
      </c>
      <c r="F863" s="25" t="str">
        <f aca="false">IF($A863="","",SUMIFS(Timesheet!$F$5:$F$3004,Timesheet!$D$5:$D$3004,$A863,Timesheet!$A$5:$A$3004,"&gt;="&amp;Settings!$B$8,Timesheet!$A$5:$A$3004,"&lt;="&amp;Settings!$B$9))</f>
        <v/>
      </c>
      <c r="G863" s="25" t="str">
        <f aca="false">IF($A863="","",SUMIFS(Timesheet!$G$5:$G$3004,Timesheet!$D$5:$D$3004,$A863,Timesheet!$A$5:$A$3004,"&gt;="&amp;Settings!$B$8,Timesheet!$A$5:$A$3004,"&lt;="&amp;Settings!$B$9))</f>
        <v/>
      </c>
      <c r="H863" s="25" t="str">
        <f aca="false">IF($A863="","",IF(D863="Monthly",MAX(0,Settings!$B$11-E863),0))</f>
        <v/>
      </c>
      <c r="I863" s="26" t="str">
        <f aca="false">IF($A863="","",N(INDEX(Workers!$L$5:$L$2004,MATCH($A863,Workers!$A$5:$A$2004,0))))</f>
        <v/>
      </c>
      <c r="J863" s="26" t="str">
        <f aca="false">IF($A863="","",N(INDEX(Workers!$M$5:$M$2004,MATCH($A863,Workers!$A$5:$A$2004,0))))</f>
        <v/>
      </c>
      <c r="K863" s="26" t="str">
        <f aca="false">IF($A863="","",IF(D863="Monthly",ROUND(MAX(0,(I863+J863)-(I863+J863)/Settings!$B$10*H863),2),0))</f>
        <v/>
      </c>
      <c r="L863" s="26" t="str">
        <f aca="false">IF($A863="","",IF(D863="Hourly",ROUND(F863*N(INDEX(Workers!$N$5:$N$2004,MATCH($A863,Workers!$A$5:$A$2004,0))),2),0))</f>
        <v/>
      </c>
      <c r="M863" s="26" t="str">
        <f aca="false">IF($A863="","",ROUND(G863*IF(D863="Hourly",N(INDEX(Workers!$N$5:$N$2004,MATCH($A863,Workers!$A$5:$A$2004,0))),I863/Settings!$B$10/Settings!$B$12)*Settings!$B$13,2))</f>
        <v/>
      </c>
      <c r="N863" s="26" t="str">
        <f aca="false">IF($A863="","",K863+L863+M863)</f>
        <v/>
      </c>
      <c r="O863" s="26" t="str">
        <f aca="false">IF($A863="","",SUMIFS(Deductions!$D$5:$D$2000,Deductions!$B$5:$B$2000,$A863,Deductions!$C$5:$C$2000,"Advance",Deductions!$E$5:$E$2000,"&gt;="&amp;Settings!$B$8,Deductions!$E$5:$E$2000,"&lt;="&amp;Settings!$B$9))</f>
        <v/>
      </c>
      <c r="P863" s="26" t="str">
        <f aca="false">IF($A863="","",SUMIFS(Deductions!$D$5:$D$2000,Deductions!$B$5:$B$2000,$A863,Deductions!$E$5:$E$2000,"&gt;="&amp;Settings!$B$8,Deductions!$E$5:$E$2000,"&lt;="&amp;Settings!$B$9)-O863)</f>
        <v/>
      </c>
      <c r="Q863" s="26" t="str">
        <f aca="false">IF($A863="","",O863+P863)</f>
        <v/>
      </c>
      <c r="R863" s="23" t="str">
        <f aca="false">IF($A863="","",N863-Q863)</f>
        <v/>
      </c>
      <c r="S863" s="24" t="str">
        <f aca="false">IF($A863="","",INDEX(Workers!$O$5:$O$2004,MATCH($A863,Workers!$A$5:$A$2004,0))&amp;"")</f>
        <v/>
      </c>
      <c r="T863" s="24" t="str">
        <f aca="false">IF($A863="","",INDEX(Workers!$P$5:$P$2004,MATCH($A863,Workers!$A$5:$A$2004,0))&amp;"")</f>
        <v/>
      </c>
      <c r="U863" s="24" t="str">
        <f aca="false">IF($A863="","",INDEX(Workers!$H$5:$H$2004,MATCH($A863,Workers!$A$5:$A$2004,0))&amp;"")</f>
        <v/>
      </c>
    </row>
    <row r="864" customFormat="false" ht="15" hidden="false" customHeight="false" outlineLevel="0" collapsed="false">
      <c r="A864" s="24" t="str">
        <f aca="false">IFERROR(INDEX(Workers!$A$5:$A$2004,MATCH(ROW()-4,Workers!$U$5:$U$2004,0)),"")</f>
        <v/>
      </c>
      <c r="B864" s="24" t="str">
        <f aca="false">IF($A864="","",INDEX(Workers!$B$5:$B$2004,MATCH($A864,Workers!$A$5:$A$2004,0)))</f>
        <v/>
      </c>
      <c r="C864" s="24" t="str">
        <f aca="false">IF($A864="","",INDEX(Workers!$E$5:$E$2004,MATCH($A864,Workers!$A$5:$A$2004,0)))</f>
        <v/>
      </c>
      <c r="D864" s="24" t="str">
        <f aca="false">IF($A864="","",INDEX(Workers!$K$5:$K$2004,MATCH($A864,Workers!$A$5:$A$2004,0)))</f>
        <v/>
      </c>
      <c r="E864" s="25" t="str">
        <f aca="false">IF($A864="","",SUMIFS(Timesheet!$E$5:$E$3004,Timesheet!$D$5:$D$3004,$A864,Timesheet!$A$5:$A$3004,"&gt;="&amp;Settings!$B$8,Timesheet!$A$5:$A$3004,"&lt;="&amp;Settings!$B$9))</f>
        <v/>
      </c>
      <c r="F864" s="25" t="str">
        <f aca="false">IF($A864="","",SUMIFS(Timesheet!$F$5:$F$3004,Timesheet!$D$5:$D$3004,$A864,Timesheet!$A$5:$A$3004,"&gt;="&amp;Settings!$B$8,Timesheet!$A$5:$A$3004,"&lt;="&amp;Settings!$B$9))</f>
        <v/>
      </c>
      <c r="G864" s="25" t="str">
        <f aca="false">IF($A864="","",SUMIFS(Timesheet!$G$5:$G$3004,Timesheet!$D$5:$D$3004,$A864,Timesheet!$A$5:$A$3004,"&gt;="&amp;Settings!$B$8,Timesheet!$A$5:$A$3004,"&lt;="&amp;Settings!$B$9))</f>
        <v/>
      </c>
      <c r="H864" s="25" t="str">
        <f aca="false">IF($A864="","",IF(D864="Monthly",MAX(0,Settings!$B$11-E864),0))</f>
        <v/>
      </c>
      <c r="I864" s="26" t="str">
        <f aca="false">IF($A864="","",N(INDEX(Workers!$L$5:$L$2004,MATCH($A864,Workers!$A$5:$A$2004,0))))</f>
        <v/>
      </c>
      <c r="J864" s="26" t="str">
        <f aca="false">IF($A864="","",N(INDEX(Workers!$M$5:$M$2004,MATCH($A864,Workers!$A$5:$A$2004,0))))</f>
        <v/>
      </c>
      <c r="K864" s="26" t="str">
        <f aca="false">IF($A864="","",IF(D864="Monthly",ROUND(MAX(0,(I864+J864)-(I864+J864)/Settings!$B$10*H864),2),0))</f>
        <v/>
      </c>
      <c r="L864" s="26" t="str">
        <f aca="false">IF($A864="","",IF(D864="Hourly",ROUND(F864*N(INDEX(Workers!$N$5:$N$2004,MATCH($A864,Workers!$A$5:$A$2004,0))),2),0))</f>
        <v/>
      </c>
      <c r="M864" s="26" t="str">
        <f aca="false">IF($A864="","",ROUND(G864*IF(D864="Hourly",N(INDEX(Workers!$N$5:$N$2004,MATCH($A864,Workers!$A$5:$A$2004,0))),I864/Settings!$B$10/Settings!$B$12)*Settings!$B$13,2))</f>
        <v/>
      </c>
      <c r="N864" s="26" t="str">
        <f aca="false">IF($A864="","",K864+L864+M864)</f>
        <v/>
      </c>
      <c r="O864" s="26" t="str">
        <f aca="false">IF($A864="","",SUMIFS(Deductions!$D$5:$D$2000,Deductions!$B$5:$B$2000,$A864,Deductions!$C$5:$C$2000,"Advance",Deductions!$E$5:$E$2000,"&gt;="&amp;Settings!$B$8,Deductions!$E$5:$E$2000,"&lt;="&amp;Settings!$B$9))</f>
        <v/>
      </c>
      <c r="P864" s="26" t="str">
        <f aca="false">IF($A864="","",SUMIFS(Deductions!$D$5:$D$2000,Deductions!$B$5:$B$2000,$A864,Deductions!$E$5:$E$2000,"&gt;="&amp;Settings!$B$8,Deductions!$E$5:$E$2000,"&lt;="&amp;Settings!$B$9)-O864)</f>
        <v/>
      </c>
      <c r="Q864" s="26" t="str">
        <f aca="false">IF($A864="","",O864+P864)</f>
        <v/>
      </c>
      <c r="R864" s="23" t="str">
        <f aca="false">IF($A864="","",N864-Q864)</f>
        <v/>
      </c>
      <c r="S864" s="24" t="str">
        <f aca="false">IF($A864="","",INDEX(Workers!$O$5:$O$2004,MATCH($A864,Workers!$A$5:$A$2004,0))&amp;"")</f>
        <v/>
      </c>
      <c r="T864" s="24" t="str">
        <f aca="false">IF($A864="","",INDEX(Workers!$P$5:$P$2004,MATCH($A864,Workers!$A$5:$A$2004,0))&amp;"")</f>
        <v/>
      </c>
      <c r="U864" s="24" t="str">
        <f aca="false">IF($A864="","",INDEX(Workers!$H$5:$H$2004,MATCH($A864,Workers!$A$5:$A$2004,0))&amp;"")</f>
        <v/>
      </c>
    </row>
    <row r="865" customFormat="false" ht="15" hidden="false" customHeight="false" outlineLevel="0" collapsed="false">
      <c r="A865" s="24" t="str">
        <f aca="false">IFERROR(INDEX(Workers!$A$5:$A$2004,MATCH(ROW()-4,Workers!$U$5:$U$2004,0)),"")</f>
        <v/>
      </c>
      <c r="B865" s="24" t="str">
        <f aca="false">IF($A865="","",INDEX(Workers!$B$5:$B$2004,MATCH($A865,Workers!$A$5:$A$2004,0)))</f>
        <v/>
      </c>
      <c r="C865" s="24" t="str">
        <f aca="false">IF($A865="","",INDEX(Workers!$E$5:$E$2004,MATCH($A865,Workers!$A$5:$A$2004,0)))</f>
        <v/>
      </c>
      <c r="D865" s="24" t="str">
        <f aca="false">IF($A865="","",INDEX(Workers!$K$5:$K$2004,MATCH($A865,Workers!$A$5:$A$2004,0)))</f>
        <v/>
      </c>
      <c r="E865" s="25" t="str">
        <f aca="false">IF($A865="","",SUMIFS(Timesheet!$E$5:$E$3004,Timesheet!$D$5:$D$3004,$A865,Timesheet!$A$5:$A$3004,"&gt;="&amp;Settings!$B$8,Timesheet!$A$5:$A$3004,"&lt;="&amp;Settings!$B$9))</f>
        <v/>
      </c>
      <c r="F865" s="25" t="str">
        <f aca="false">IF($A865="","",SUMIFS(Timesheet!$F$5:$F$3004,Timesheet!$D$5:$D$3004,$A865,Timesheet!$A$5:$A$3004,"&gt;="&amp;Settings!$B$8,Timesheet!$A$5:$A$3004,"&lt;="&amp;Settings!$B$9))</f>
        <v/>
      </c>
      <c r="G865" s="25" t="str">
        <f aca="false">IF($A865="","",SUMIFS(Timesheet!$G$5:$G$3004,Timesheet!$D$5:$D$3004,$A865,Timesheet!$A$5:$A$3004,"&gt;="&amp;Settings!$B$8,Timesheet!$A$5:$A$3004,"&lt;="&amp;Settings!$B$9))</f>
        <v/>
      </c>
      <c r="H865" s="25" t="str">
        <f aca="false">IF($A865="","",IF(D865="Monthly",MAX(0,Settings!$B$11-E865),0))</f>
        <v/>
      </c>
      <c r="I865" s="26" t="str">
        <f aca="false">IF($A865="","",N(INDEX(Workers!$L$5:$L$2004,MATCH($A865,Workers!$A$5:$A$2004,0))))</f>
        <v/>
      </c>
      <c r="J865" s="26" t="str">
        <f aca="false">IF($A865="","",N(INDEX(Workers!$M$5:$M$2004,MATCH($A865,Workers!$A$5:$A$2004,0))))</f>
        <v/>
      </c>
      <c r="K865" s="26" t="str">
        <f aca="false">IF($A865="","",IF(D865="Monthly",ROUND(MAX(0,(I865+J865)-(I865+J865)/Settings!$B$10*H865),2),0))</f>
        <v/>
      </c>
      <c r="L865" s="26" t="str">
        <f aca="false">IF($A865="","",IF(D865="Hourly",ROUND(F865*N(INDEX(Workers!$N$5:$N$2004,MATCH($A865,Workers!$A$5:$A$2004,0))),2),0))</f>
        <v/>
      </c>
      <c r="M865" s="26" t="str">
        <f aca="false">IF($A865="","",ROUND(G865*IF(D865="Hourly",N(INDEX(Workers!$N$5:$N$2004,MATCH($A865,Workers!$A$5:$A$2004,0))),I865/Settings!$B$10/Settings!$B$12)*Settings!$B$13,2))</f>
        <v/>
      </c>
      <c r="N865" s="26" t="str">
        <f aca="false">IF($A865="","",K865+L865+M865)</f>
        <v/>
      </c>
      <c r="O865" s="26" t="str">
        <f aca="false">IF($A865="","",SUMIFS(Deductions!$D$5:$D$2000,Deductions!$B$5:$B$2000,$A865,Deductions!$C$5:$C$2000,"Advance",Deductions!$E$5:$E$2000,"&gt;="&amp;Settings!$B$8,Deductions!$E$5:$E$2000,"&lt;="&amp;Settings!$B$9))</f>
        <v/>
      </c>
      <c r="P865" s="26" t="str">
        <f aca="false">IF($A865="","",SUMIFS(Deductions!$D$5:$D$2000,Deductions!$B$5:$B$2000,$A865,Deductions!$E$5:$E$2000,"&gt;="&amp;Settings!$B$8,Deductions!$E$5:$E$2000,"&lt;="&amp;Settings!$B$9)-O865)</f>
        <v/>
      </c>
      <c r="Q865" s="26" t="str">
        <f aca="false">IF($A865="","",O865+P865)</f>
        <v/>
      </c>
      <c r="R865" s="23" t="str">
        <f aca="false">IF($A865="","",N865-Q865)</f>
        <v/>
      </c>
      <c r="S865" s="24" t="str">
        <f aca="false">IF($A865="","",INDEX(Workers!$O$5:$O$2004,MATCH($A865,Workers!$A$5:$A$2004,0))&amp;"")</f>
        <v/>
      </c>
      <c r="T865" s="24" t="str">
        <f aca="false">IF($A865="","",INDEX(Workers!$P$5:$P$2004,MATCH($A865,Workers!$A$5:$A$2004,0))&amp;"")</f>
        <v/>
      </c>
      <c r="U865" s="24" t="str">
        <f aca="false">IF($A865="","",INDEX(Workers!$H$5:$H$2004,MATCH($A865,Workers!$A$5:$A$2004,0))&amp;"")</f>
        <v/>
      </c>
    </row>
    <row r="866" customFormat="false" ht="15" hidden="false" customHeight="false" outlineLevel="0" collapsed="false">
      <c r="A866" s="24" t="str">
        <f aca="false">IFERROR(INDEX(Workers!$A$5:$A$2004,MATCH(ROW()-4,Workers!$U$5:$U$2004,0)),"")</f>
        <v/>
      </c>
      <c r="B866" s="24" t="str">
        <f aca="false">IF($A866="","",INDEX(Workers!$B$5:$B$2004,MATCH($A866,Workers!$A$5:$A$2004,0)))</f>
        <v/>
      </c>
      <c r="C866" s="24" t="str">
        <f aca="false">IF($A866="","",INDEX(Workers!$E$5:$E$2004,MATCH($A866,Workers!$A$5:$A$2004,0)))</f>
        <v/>
      </c>
      <c r="D866" s="24" t="str">
        <f aca="false">IF($A866="","",INDEX(Workers!$K$5:$K$2004,MATCH($A866,Workers!$A$5:$A$2004,0)))</f>
        <v/>
      </c>
      <c r="E866" s="25" t="str">
        <f aca="false">IF($A866="","",SUMIFS(Timesheet!$E$5:$E$3004,Timesheet!$D$5:$D$3004,$A866,Timesheet!$A$5:$A$3004,"&gt;="&amp;Settings!$B$8,Timesheet!$A$5:$A$3004,"&lt;="&amp;Settings!$B$9))</f>
        <v/>
      </c>
      <c r="F866" s="25" t="str">
        <f aca="false">IF($A866="","",SUMIFS(Timesheet!$F$5:$F$3004,Timesheet!$D$5:$D$3004,$A866,Timesheet!$A$5:$A$3004,"&gt;="&amp;Settings!$B$8,Timesheet!$A$5:$A$3004,"&lt;="&amp;Settings!$B$9))</f>
        <v/>
      </c>
      <c r="G866" s="25" t="str">
        <f aca="false">IF($A866="","",SUMIFS(Timesheet!$G$5:$G$3004,Timesheet!$D$5:$D$3004,$A866,Timesheet!$A$5:$A$3004,"&gt;="&amp;Settings!$B$8,Timesheet!$A$5:$A$3004,"&lt;="&amp;Settings!$B$9))</f>
        <v/>
      </c>
      <c r="H866" s="25" t="str">
        <f aca="false">IF($A866="","",IF(D866="Monthly",MAX(0,Settings!$B$11-E866),0))</f>
        <v/>
      </c>
      <c r="I866" s="26" t="str">
        <f aca="false">IF($A866="","",N(INDEX(Workers!$L$5:$L$2004,MATCH($A866,Workers!$A$5:$A$2004,0))))</f>
        <v/>
      </c>
      <c r="J866" s="26" t="str">
        <f aca="false">IF($A866="","",N(INDEX(Workers!$M$5:$M$2004,MATCH($A866,Workers!$A$5:$A$2004,0))))</f>
        <v/>
      </c>
      <c r="K866" s="26" t="str">
        <f aca="false">IF($A866="","",IF(D866="Monthly",ROUND(MAX(0,(I866+J866)-(I866+J866)/Settings!$B$10*H866),2),0))</f>
        <v/>
      </c>
      <c r="L866" s="26" t="str">
        <f aca="false">IF($A866="","",IF(D866="Hourly",ROUND(F866*N(INDEX(Workers!$N$5:$N$2004,MATCH($A866,Workers!$A$5:$A$2004,0))),2),0))</f>
        <v/>
      </c>
      <c r="M866" s="26" t="str">
        <f aca="false">IF($A866="","",ROUND(G866*IF(D866="Hourly",N(INDEX(Workers!$N$5:$N$2004,MATCH($A866,Workers!$A$5:$A$2004,0))),I866/Settings!$B$10/Settings!$B$12)*Settings!$B$13,2))</f>
        <v/>
      </c>
      <c r="N866" s="26" t="str">
        <f aca="false">IF($A866="","",K866+L866+M866)</f>
        <v/>
      </c>
      <c r="O866" s="26" t="str">
        <f aca="false">IF($A866="","",SUMIFS(Deductions!$D$5:$D$2000,Deductions!$B$5:$B$2000,$A866,Deductions!$C$5:$C$2000,"Advance",Deductions!$E$5:$E$2000,"&gt;="&amp;Settings!$B$8,Deductions!$E$5:$E$2000,"&lt;="&amp;Settings!$B$9))</f>
        <v/>
      </c>
      <c r="P866" s="26" t="str">
        <f aca="false">IF($A866="","",SUMIFS(Deductions!$D$5:$D$2000,Deductions!$B$5:$B$2000,$A866,Deductions!$E$5:$E$2000,"&gt;="&amp;Settings!$B$8,Deductions!$E$5:$E$2000,"&lt;="&amp;Settings!$B$9)-O866)</f>
        <v/>
      </c>
      <c r="Q866" s="26" t="str">
        <f aca="false">IF($A866="","",O866+P866)</f>
        <v/>
      </c>
      <c r="R866" s="23" t="str">
        <f aca="false">IF($A866="","",N866-Q866)</f>
        <v/>
      </c>
      <c r="S866" s="24" t="str">
        <f aca="false">IF($A866="","",INDEX(Workers!$O$5:$O$2004,MATCH($A866,Workers!$A$5:$A$2004,0))&amp;"")</f>
        <v/>
      </c>
      <c r="T866" s="24" t="str">
        <f aca="false">IF($A866="","",INDEX(Workers!$P$5:$P$2004,MATCH($A866,Workers!$A$5:$A$2004,0))&amp;"")</f>
        <v/>
      </c>
      <c r="U866" s="24" t="str">
        <f aca="false">IF($A866="","",INDEX(Workers!$H$5:$H$2004,MATCH($A866,Workers!$A$5:$A$2004,0))&amp;"")</f>
        <v/>
      </c>
    </row>
    <row r="867" customFormat="false" ht="15" hidden="false" customHeight="false" outlineLevel="0" collapsed="false">
      <c r="A867" s="24" t="str">
        <f aca="false">IFERROR(INDEX(Workers!$A$5:$A$2004,MATCH(ROW()-4,Workers!$U$5:$U$2004,0)),"")</f>
        <v/>
      </c>
      <c r="B867" s="24" t="str">
        <f aca="false">IF($A867="","",INDEX(Workers!$B$5:$B$2004,MATCH($A867,Workers!$A$5:$A$2004,0)))</f>
        <v/>
      </c>
      <c r="C867" s="24" t="str">
        <f aca="false">IF($A867="","",INDEX(Workers!$E$5:$E$2004,MATCH($A867,Workers!$A$5:$A$2004,0)))</f>
        <v/>
      </c>
      <c r="D867" s="24" t="str">
        <f aca="false">IF($A867="","",INDEX(Workers!$K$5:$K$2004,MATCH($A867,Workers!$A$5:$A$2004,0)))</f>
        <v/>
      </c>
      <c r="E867" s="25" t="str">
        <f aca="false">IF($A867="","",SUMIFS(Timesheet!$E$5:$E$3004,Timesheet!$D$5:$D$3004,$A867,Timesheet!$A$5:$A$3004,"&gt;="&amp;Settings!$B$8,Timesheet!$A$5:$A$3004,"&lt;="&amp;Settings!$B$9))</f>
        <v/>
      </c>
      <c r="F867" s="25" t="str">
        <f aca="false">IF($A867="","",SUMIFS(Timesheet!$F$5:$F$3004,Timesheet!$D$5:$D$3004,$A867,Timesheet!$A$5:$A$3004,"&gt;="&amp;Settings!$B$8,Timesheet!$A$5:$A$3004,"&lt;="&amp;Settings!$B$9))</f>
        <v/>
      </c>
      <c r="G867" s="25" t="str">
        <f aca="false">IF($A867="","",SUMIFS(Timesheet!$G$5:$G$3004,Timesheet!$D$5:$D$3004,$A867,Timesheet!$A$5:$A$3004,"&gt;="&amp;Settings!$B$8,Timesheet!$A$5:$A$3004,"&lt;="&amp;Settings!$B$9))</f>
        <v/>
      </c>
      <c r="H867" s="25" t="str">
        <f aca="false">IF($A867="","",IF(D867="Monthly",MAX(0,Settings!$B$11-E867),0))</f>
        <v/>
      </c>
      <c r="I867" s="26" t="str">
        <f aca="false">IF($A867="","",N(INDEX(Workers!$L$5:$L$2004,MATCH($A867,Workers!$A$5:$A$2004,0))))</f>
        <v/>
      </c>
      <c r="J867" s="26" t="str">
        <f aca="false">IF($A867="","",N(INDEX(Workers!$M$5:$M$2004,MATCH($A867,Workers!$A$5:$A$2004,0))))</f>
        <v/>
      </c>
      <c r="K867" s="26" t="str">
        <f aca="false">IF($A867="","",IF(D867="Monthly",ROUND(MAX(0,(I867+J867)-(I867+J867)/Settings!$B$10*H867),2),0))</f>
        <v/>
      </c>
      <c r="L867" s="26" t="str">
        <f aca="false">IF($A867="","",IF(D867="Hourly",ROUND(F867*N(INDEX(Workers!$N$5:$N$2004,MATCH($A867,Workers!$A$5:$A$2004,0))),2),0))</f>
        <v/>
      </c>
      <c r="M867" s="26" t="str">
        <f aca="false">IF($A867="","",ROUND(G867*IF(D867="Hourly",N(INDEX(Workers!$N$5:$N$2004,MATCH($A867,Workers!$A$5:$A$2004,0))),I867/Settings!$B$10/Settings!$B$12)*Settings!$B$13,2))</f>
        <v/>
      </c>
      <c r="N867" s="26" t="str">
        <f aca="false">IF($A867="","",K867+L867+M867)</f>
        <v/>
      </c>
      <c r="O867" s="26" t="str">
        <f aca="false">IF($A867="","",SUMIFS(Deductions!$D$5:$D$2000,Deductions!$B$5:$B$2000,$A867,Deductions!$C$5:$C$2000,"Advance",Deductions!$E$5:$E$2000,"&gt;="&amp;Settings!$B$8,Deductions!$E$5:$E$2000,"&lt;="&amp;Settings!$B$9))</f>
        <v/>
      </c>
      <c r="P867" s="26" t="str">
        <f aca="false">IF($A867="","",SUMIFS(Deductions!$D$5:$D$2000,Deductions!$B$5:$B$2000,$A867,Deductions!$E$5:$E$2000,"&gt;="&amp;Settings!$B$8,Deductions!$E$5:$E$2000,"&lt;="&amp;Settings!$B$9)-O867)</f>
        <v/>
      </c>
      <c r="Q867" s="26" t="str">
        <f aca="false">IF($A867="","",O867+P867)</f>
        <v/>
      </c>
      <c r="R867" s="23" t="str">
        <f aca="false">IF($A867="","",N867-Q867)</f>
        <v/>
      </c>
      <c r="S867" s="24" t="str">
        <f aca="false">IF($A867="","",INDEX(Workers!$O$5:$O$2004,MATCH($A867,Workers!$A$5:$A$2004,0))&amp;"")</f>
        <v/>
      </c>
      <c r="T867" s="24" t="str">
        <f aca="false">IF($A867="","",INDEX(Workers!$P$5:$P$2004,MATCH($A867,Workers!$A$5:$A$2004,0))&amp;"")</f>
        <v/>
      </c>
      <c r="U867" s="24" t="str">
        <f aca="false">IF($A867="","",INDEX(Workers!$H$5:$H$2004,MATCH($A867,Workers!$A$5:$A$2004,0))&amp;"")</f>
        <v/>
      </c>
    </row>
    <row r="868" customFormat="false" ht="15" hidden="false" customHeight="false" outlineLevel="0" collapsed="false">
      <c r="A868" s="24" t="str">
        <f aca="false">IFERROR(INDEX(Workers!$A$5:$A$2004,MATCH(ROW()-4,Workers!$U$5:$U$2004,0)),"")</f>
        <v/>
      </c>
      <c r="B868" s="24" t="str">
        <f aca="false">IF($A868="","",INDEX(Workers!$B$5:$B$2004,MATCH($A868,Workers!$A$5:$A$2004,0)))</f>
        <v/>
      </c>
      <c r="C868" s="24" t="str">
        <f aca="false">IF($A868="","",INDEX(Workers!$E$5:$E$2004,MATCH($A868,Workers!$A$5:$A$2004,0)))</f>
        <v/>
      </c>
      <c r="D868" s="24" t="str">
        <f aca="false">IF($A868="","",INDEX(Workers!$K$5:$K$2004,MATCH($A868,Workers!$A$5:$A$2004,0)))</f>
        <v/>
      </c>
      <c r="E868" s="25" t="str">
        <f aca="false">IF($A868="","",SUMIFS(Timesheet!$E$5:$E$3004,Timesheet!$D$5:$D$3004,$A868,Timesheet!$A$5:$A$3004,"&gt;="&amp;Settings!$B$8,Timesheet!$A$5:$A$3004,"&lt;="&amp;Settings!$B$9))</f>
        <v/>
      </c>
      <c r="F868" s="25" t="str">
        <f aca="false">IF($A868="","",SUMIFS(Timesheet!$F$5:$F$3004,Timesheet!$D$5:$D$3004,$A868,Timesheet!$A$5:$A$3004,"&gt;="&amp;Settings!$B$8,Timesheet!$A$5:$A$3004,"&lt;="&amp;Settings!$B$9))</f>
        <v/>
      </c>
      <c r="G868" s="25" t="str">
        <f aca="false">IF($A868="","",SUMIFS(Timesheet!$G$5:$G$3004,Timesheet!$D$5:$D$3004,$A868,Timesheet!$A$5:$A$3004,"&gt;="&amp;Settings!$B$8,Timesheet!$A$5:$A$3004,"&lt;="&amp;Settings!$B$9))</f>
        <v/>
      </c>
      <c r="H868" s="25" t="str">
        <f aca="false">IF($A868="","",IF(D868="Monthly",MAX(0,Settings!$B$11-E868),0))</f>
        <v/>
      </c>
      <c r="I868" s="26" t="str">
        <f aca="false">IF($A868="","",N(INDEX(Workers!$L$5:$L$2004,MATCH($A868,Workers!$A$5:$A$2004,0))))</f>
        <v/>
      </c>
      <c r="J868" s="26" t="str">
        <f aca="false">IF($A868="","",N(INDEX(Workers!$M$5:$M$2004,MATCH($A868,Workers!$A$5:$A$2004,0))))</f>
        <v/>
      </c>
      <c r="K868" s="26" t="str">
        <f aca="false">IF($A868="","",IF(D868="Monthly",ROUND(MAX(0,(I868+J868)-(I868+J868)/Settings!$B$10*H868),2),0))</f>
        <v/>
      </c>
      <c r="L868" s="26" t="str">
        <f aca="false">IF($A868="","",IF(D868="Hourly",ROUND(F868*N(INDEX(Workers!$N$5:$N$2004,MATCH($A868,Workers!$A$5:$A$2004,0))),2),0))</f>
        <v/>
      </c>
      <c r="M868" s="26" t="str">
        <f aca="false">IF($A868="","",ROUND(G868*IF(D868="Hourly",N(INDEX(Workers!$N$5:$N$2004,MATCH($A868,Workers!$A$5:$A$2004,0))),I868/Settings!$B$10/Settings!$B$12)*Settings!$B$13,2))</f>
        <v/>
      </c>
      <c r="N868" s="26" t="str">
        <f aca="false">IF($A868="","",K868+L868+M868)</f>
        <v/>
      </c>
      <c r="O868" s="26" t="str">
        <f aca="false">IF($A868="","",SUMIFS(Deductions!$D$5:$D$2000,Deductions!$B$5:$B$2000,$A868,Deductions!$C$5:$C$2000,"Advance",Deductions!$E$5:$E$2000,"&gt;="&amp;Settings!$B$8,Deductions!$E$5:$E$2000,"&lt;="&amp;Settings!$B$9))</f>
        <v/>
      </c>
      <c r="P868" s="26" t="str">
        <f aca="false">IF($A868="","",SUMIFS(Deductions!$D$5:$D$2000,Deductions!$B$5:$B$2000,$A868,Deductions!$E$5:$E$2000,"&gt;="&amp;Settings!$B$8,Deductions!$E$5:$E$2000,"&lt;="&amp;Settings!$B$9)-O868)</f>
        <v/>
      </c>
      <c r="Q868" s="26" t="str">
        <f aca="false">IF($A868="","",O868+P868)</f>
        <v/>
      </c>
      <c r="R868" s="23" t="str">
        <f aca="false">IF($A868="","",N868-Q868)</f>
        <v/>
      </c>
      <c r="S868" s="24" t="str">
        <f aca="false">IF($A868="","",INDEX(Workers!$O$5:$O$2004,MATCH($A868,Workers!$A$5:$A$2004,0))&amp;"")</f>
        <v/>
      </c>
      <c r="T868" s="24" t="str">
        <f aca="false">IF($A868="","",INDEX(Workers!$P$5:$P$2004,MATCH($A868,Workers!$A$5:$A$2004,0))&amp;"")</f>
        <v/>
      </c>
      <c r="U868" s="24" t="str">
        <f aca="false">IF($A868="","",INDEX(Workers!$H$5:$H$2004,MATCH($A868,Workers!$A$5:$A$2004,0))&amp;"")</f>
        <v/>
      </c>
    </row>
    <row r="869" customFormat="false" ht="15" hidden="false" customHeight="false" outlineLevel="0" collapsed="false">
      <c r="A869" s="24" t="str">
        <f aca="false">IFERROR(INDEX(Workers!$A$5:$A$2004,MATCH(ROW()-4,Workers!$U$5:$U$2004,0)),"")</f>
        <v/>
      </c>
      <c r="B869" s="24" t="str">
        <f aca="false">IF($A869="","",INDEX(Workers!$B$5:$B$2004,MATCH($A869,Workers!$A$5:$A$2004,0)))</f>
        <v/>
      </c>
      <c r="C869" s="24" t="str">
        <f aca="false">IF($A869="","",INDEX(Workers!$E$5:$E$2004,MATCH($A869,Workers!$A$5:$A$2004,0)))</f>
        <v/>
      </c>
      <c r="D869" s="24" t="str">
        <f aca="false">IF($A869="","",INDEX(Workers!$K$5:$K$2004,MATCH($A869,Workers!$A$5:$A$2004,0)))</f>
        <v/>
      </c>
      <c r="E869" s="25" t="str">
        <f aca="false">IF($A869="","",SUMIFS(Timesheet!$E$5:$E$3004,Timesheet!$D$5:$D$3004,$A869,Timesheet!$A$5:$A$3004,"&gt;="&amp;Settings!$B$8,Timesheet!$A$5:$A$3004,"&lt;="&amp;Settings!$B$9))</f>
        <v/>
      </c>
      <c r="F869" s="25" t="str">
        <f aca="false">IF($A869="","",SUMIFS(Timesheet!$F$5:$F$3004,Timesheet!$D$5:$D$3004,$A869,Timesheet!$A$5:$A$3004,"&gt;="&amp;Settings!$B$8,Timesheet!$A$5:$A$3004,"&lt;="&amp;Settings!$B$9))</f>
        <v/>
      </c>
      <c r="G869" s="25" t="str">
        <f aca="false">IF($A869="","",SUMIFS(Timesheet!$G$5:$G$3004,Timesheet!$D$5:$D$3004,$A869,Timesheet!$A$5:$A$3004,"&gt;="&amp;Settings!$B$8,Timesheet!$A$5:$A$3004,"&lt;="&amp;Settings!$B$9))</f>
        <v/>
      </c>
      <c r="H869" s="25" t="str">
        <f aca="false">IF($A869="","",IF(D869="Monthly",MAX(0,Settings!$B$11-E869),0))</f>
        <v/>
      </c>
      <c r="I869" s="26" t="str">
        <f aca="false">IF($A869="","",N(INDEX(Workers!$L$5:$L$2004,MATCH($A869,Workers!$A$5:$A$2004,0))))</f>
        <v/>
      </c>
      <c r="J869" s="26" t="str">
        <f aca="false">IF($A869="","",N(INDEX(Workers!$M$5:$M$2004,MATCH($A869,Workers!$A$5:$A$2004,0))))</f>
        <v/>
      </c>
      <c r="K869" s="26" t="str">
        <f aca="false">IF($A869="","",IF(D869="Monthly",ROUND(MAX(0,(I869+J869)-(I869+J869)/Settings!$B$10*H869),2),0))</f>
        <v/>
      </c>
      <c r="L869" s="26" t="str">
        <f aca="false">IF($A869="","",IF(D869="Hourly",ROUND(F869*N(INDEX(Workers!$N$5:$N$2004,MATCH($A869,Workers!$A$5:$A$2004,0))),2),0))</f>
        <v/>
      </c>
      <c r="M869" s="26" t="str">
        <f aca="false">IF($A869="","",ROUND(G869*IF(D869="Hourly",N(INDEX(Workers!$N$5:$N$2004,MATCH($A869,Workers!$A$5:$A$2004,0))),I869/Settings!$B$10/Settings!$B$12)*Settings!$B$13,2))</f>
        <v/>
      </c>
      <c r="N869" s="26" t="str">
        <f aca="false">IF($A869="","",K869+L869+M869)</f>
        <v/>
      </c>
      <c r="O869" s="26" t="str">
        <f aca="false">IF($A869="","",SUMIFS(Deductions!$D$5:$D$2000,Deductions!$B$5:$B$2000,$A869,Deductions!$C$5:$C$2000,"Advance",Deductions!$E$5:$E$2000,"&gt;="&amp;Settings!$B$8,Deductions!$E$5:$E$2000,"&lt;="&amp;Settings!$B$9))</f>
        <v/>
      </c>
      <c r="P869" s="26" t="str">
        <f aca="false">IF($A869="","",SUMIFS(Deductions!$D$5:$D$2000,Deductions!$B$5:$B$2000,$A869,Deductions!$E$5:$E$2000,"&gt;="&amp;Settings!$B$8,Deductions!$E$5:$E$2000,"&lt;="&amp;Settings!$B$9)-O869)</f>
        <v/>
      </c>
      <c r="Q869" s="26" t="str">
        <f aca="false">IF($A869="","",O869+P869)</f>
        <v/>
      </c>
      <c r="R869" s="23" t="str">
        <f aca="false">IF($A869="","",N869-Q869)</f>
        <v/>
      </c>
      <c r="S869" s="24" t="str">
        <f aca="false">IF($A869="","",INDEX(Workers!$O$5:$O$2004,MATCH($A869,Workers!$A$5:$A$2004,0))&amp;"")</f>
        <v/>
      </c>
      <c r="T869" s="24" t="str">
        <f aca="false">IF($A869="","",INDEX(Workers!$P$5:$P$2004,MATCH($A869,Workers!$A$5:$A$2004,0))&amp;"")</f>
        <v/>
      </c>
      <c r="U869" s="24" t="str">
        <f aca="false">IF($A869="","",INDEX(Workers!$H$5:$H$2004,MATCH($A869,Workers!$A$5:$A$2004,0))&amp;"")</f>
        <v/>
      </c>
    </row>
    <row r="870" customFormat="false" ht="15" hidden="false" customHeight="false" outlineLevel="0" collapsed="false">
      <c r="A870" s="24" t="str">
        <f aca="false">IFERROR(INDEX(Workers!$A$5:$A$2004,MATCH(ROW()-4,Workers!$U$5:$U$2004,0)),"")</f>
        <v/>
      </c>
      <c r="B870" s="24" t="str">
        <f aca="false">IF($A870="","",INDEX(Workers!$B$5:$B$2004,MATCH($A870,Workers!$A$5:$A$2004,0)))</f>
        <v/>
      </c>
      <c r="C870" s="24" t="str">
        <f aca="false">IF($A870="","",INDEX(Workers!$E$5:$E$2004,MATCH($A870,Workers!$A$5:$A$2004,0)))</f>
        <v/>
      </c>
      <c r="D870" s="24" t="str">
        <f aca="false">IF($A870="","",INDEX(Workers!$K$5:$K$2004,MATCH($A870,Workers!$A$5:$A$2004,0)))</f>
        <v/>
      </c>
      <c r="E870" s="25" t="str">
        <f aca="false">IF($A870="","",SUMIFS(Timesheet!$E$5:$E$3004,Timesheet!$D$5:$D$3004,$A870,Timesheet!$A$5:$A$3004,"&gt;="&amp;Settings!$B$8,Timesheet!$A$5:$A$3004,"&lt;="&amp;Settings!$B$9))</f>
        <v/>
      </c>
      <c r="F870" s="25" t="str">
        <f aca="false">IF($A870="","",SUMIFS(Timesheet!$F$5:$F$3004,Timesheet!$D$5:$D$3004,$A870,Timesheet!$A$5:$A$3004,"&gt;="&amp;Settings!$B$8,Timesheet!$A$5:$A$3004,"&lt;="&amp;Settings!$B$9))</f>
        <v/>
      </c>
      <c r="G870" s="25" t="str">
        <f aca="false">IF($A870="","",SUMIFS(Timesheet!$G$5:$G$3004,Timesheet!$D$5:$D$3004,$A870,Timesheet!$A$5:$A$3004,"&gt;="&amp;Settings!$B$8,Timesheet!$A$5:$A$3004,"&lt;="&amp;Settings!$B$9))</f>
        <v/>
      </c>
      <c r="H870" s="25" t="str">
        <f aca="false">IF($A870="","",IF(D870="Monthly",MAX(0,Settings!$B$11-E870),0))</f>
        <v/>
      </c>
      <c r="I870" s="26" t="str">
        <f aca="false">IF($A870="","",N(INDEX(Workers!$L$5:$L$2004,MATCH($A870,Workers!$A$5:$A$2004,0))))</f>
        <v/>
      </c>
      <c r="J870" s="26" t="str">
        <f aca="false">IF($A870="","",N(INDEX(Workers!$M$5:$M$2004,MATCH($A870,Workers!$A$5:$A$2004,0))))</f>
        <v/>
      </c>
      <c r="K870" s="26" t="str">
        <f aca="false">IF($A870="","",IF(D870="Monthly",ROUND(MAX(0,(I870+J870)-(I870+J870)/Settings!$B$10*H870),2),0))</f>
        <v/>
      </c>
      <c r="L870" s="26" t="str">
        <f aca="false">IF($A870="","",IF(D870="Hourly",ROUND(F870*N(INDEX(Workers!$N$5:$N$2004,MATCH($A870,Workers!$A$5:$A$2004,0))),2),0))</f>
        <v/>
      </c>
      <c r="M870" s="26" t="str">
        <f aca="false">IF($A870="","",ROUND(G870*IF(D870="Hourly",N(INDEX(Workers!$N$5:$N$2004,MATCH($A870,Workers!$A$5:$A$2004,0))),I870/Settings!$B$10/Settings!$B$12)*Settings!$B$13,2))</f>
        <v/>
      </c>
      <c r="N870" s="26" t="str">
        <f aca="false">IF($A870="","",K870+L870+M870)</f>
        <v/>
      </c>
      <c r="O870" s="26" t="str">
        <f aca="false">IF($A870="","",SUMIFS(Deductions!$D$5:$D$2000,Deductions!$B$5:$B$2000,$A870,Deductions!$C$5:$C$2000,"Advance",Deductions!$E$5:$E$2000,"&gt;="&amp;Settings!$B$8,Deductions!$E$5:$E$2000,"&lt;="&amp;Settings!$B$9))</f>
        <v/>
      </c>
      <c r="P870" s="26" t="str">
        <f aca="false">IF($A870="","",SUMIFS(Deductions!$D$5:$D$2000,Deductions!$B$5:$B$2000,$A870,Deductions!$E$5:$E$2000,"&gt;="&amp;Settings!$B$8,Deductions!$E$5:$E$2000,"&lt;="&amp;Settings!$B$9)-O870)</f>
        <v/>
      </c>
      <c r="Q870" s="26" t="str">
        <f aca="false">IF($A870="","",O870+P870)</f>
        <v/>
      </c>
      <c r="R870" s="23" t="str">
        <f aca="false">IF($A870="","",N870-Q870)</f>
        <v/>
      </c>
      <c r="S870" s="24" t="str">
        <f aca="false">IF($A870="","",INDEX(Workers!$O$5:$O$2004,MATCH($A870,Workers!$A$5:$A$2004,0))&amp;"")</f>
        <v/>
      </c>
      <c r="T870" s="24" t="str">
        <f aca="false">IF($A870="","",INDEX(Workers!$P$5:$P$2004,MATCH($A870,Workers!$A$5:$A$2004,0))&amp;"")</f>
        <v/>
      </c>
      <c r="U870" s="24" t="str">
        <f aca="false">IF($A870="","",INDEX(Workers!$H$5:$H$2004,MATCH($A870,Workers!$A$5:$A$2004,0))&amp;"")</f>
        <v/>
      </c>
    </row>
    <row r="871" customFormat="false" ht="15" hidden="false" customHeight="false" outlineLevel="0" collapsed="false">
      <c r="A871" s="24" t="str">
        <f aca="false">IFERROR(INDEX(Workers!$A$5:$A$2004,MATCH(ROW()-4,Workers!$U$5:$U$2004,0)),"")</f>
        <v/>
      </c>
      <c r="B871" s="24" t="str">
        <f aca="false">IF($A871="","",INDEX(Workers!$B$5:$B$2004,MATCH($A871,Workers!$A$5:$A$2004,0)))</f>
        <v/>
      </c>
      <c r="C871" s="24" t="str">
        <f aca="false">IF($A871="","",INDEX(Workers!$E$5:$E$2004,MATCH($A871,Workers!$A$5:$A$2004,0)))</f>
        <v/>
      </c>
      <c r="D871" s="24" t="str">
        <f aca="false">IF($A871="","",INDEX(Workers!$K$5:$K$2004,MATCH($A871,Workers!$A$5:$A$2004,0)))</f>
        <v/>
      </c>
      <c r="E871" s="25" t="str">
        <f aca="false">IF($A871="","",SUMIFS(Timesheet!$E$5:$E$3004,Timesheet!$D$5:$D$3004,$A871,Timesheet!$A$5:$A$3004,"&gt;="&amp;Settings!$B$8,Timesheet!$A$5:$A$3004,"&lt;="&amp;Settings!$B$9))</f>
        <v/>
      </c>
      <c r="F871" s="25" t="str">
        <f aca="false">IF($A871="","",SUMIFS(Timesheet!$F$5:$F$3004,Timesheet!$D$5:$D$3004,$A871,Timesheet!$A$5:$A$3004,"&gt;="&amp;Settings!$B$8,Timesheet!$A$5:$A$3004,"&lt;="&amp;Settings!$B$9))</f>
        <v/>
      </c>
      <c r="G871" s="25" t="str">
        <f aca="false">IF($A871="","",SUMIFS(Timesheet!$G$5:$G$3004,Timesheet!$D$5:$D$3004,$A871,Timesheet!$A$5:$A$3004,"&gt;="&amp;Settings!$B$8,Timesheet!$A$5:$A$3004,"&lt;="&amp;Settings!$B$9))</f>
        <v/>
      </c>
      <c r="H871" s="25" t="str">
        <f aca="false">IF($A871="","",IF(D871="Monthly",MAX(0,Settings!$B$11-E871),0))</f>
        <v/>
      </c>
      <c r="I871" s="26" t="str">
        <f aca="false">IF($A871="","",N(INDEX(Workers!$L$5:$L$2004,MATCH($A871,Workers!$A$5:$A$2004,0))))</f>
        <v/>
      </c>
      <c r="J871" s="26" t="str">
        <f aca="false">IF($A871="","",N(INDEX(Workers!$M$5:$M$2004,MATCH($A871,Workers!$A$5:$A$2004,0))))</f>
        <v/>
      </c>
      <c r="K871" s="26" t="str">
        <f aca="false">IF($A871="","",IF(D871="Monthly",ROUND(MAX(0,(I871+J871)-(I871+J871)/Settings!$B$10*H871),2),0))</f>
        <v/>
      </c>
      <c r="L871" s="26" t="str">
        <f aca="false">IF($A871="","",IF(D871="Hourly",ROUND(F871*N(INDEX(Workers!$N$5:$N$2004,MATCH($A871,Workers!$A$5:$A$2004,0))),2),0))</f>
        <v/>
      </c>
      <c r="M871" s="26" t="str">
        <f aca="false">IF($A871="","",ROUND(G871*IF(D871="Hourly",N(INDEX(Workers!$N$5:$N$2004,MATCH($A871,Workers!$A$5:$A$2004,0))),I871/Settings!$B$10/Settings!$B$12)*Settings!$B$13,2))</f>
        <v/>
      </c>
      <c r="N871" s="26" t="str">
        <f aca="false">IF($A871="","",K871+L871+M871)</f>
        <v/>
      </c>
      <c r="O871" s="26" t="str">
        <f aca="false">IF($A871="","",SUMIFS(Deductions!$D$5:$D$2000,Deductions!$B$5:$B$2000,$A871,Deductions!$C$5:$C$2000,"Advance",Deductions!$E$5:$E$2000,"&gt;="&amp;Settings!$B$8,Deductions!$E$5:$E$2000,"&lt;="&amp;Settings!$B$9))</f>
        <v/>
      </c>
      <c r="P871" s="26" t="str">
        <f aca="false">IF($A871="","",SUMIFS(Deductions!$D$5:$D$2000,Deductions!$B$5:$B$2000,$A871,Deductions!$E$5:$E$2000,"&gt;="&amp;Settings!$B$8,Deductions!$E$5:$E$2000,"&lt;="&amp;Settings!$B$9)-O871)</f>
        <v/>
      </c>
      <c r="Q871" s="26" t="str">
        <f aca="false">IF($A871="","",O871+P871)</f>
        <v/>
      </c>
      <c r="R871" s="23" t="str">
        <f aca="false">IF($A871="","",N871-Q871)</f>
        <v/>
      </c>
      <c r="S871" s="24" t="str">
        <f aca="false">IF($A871="","",INDEX(Workers!$O$5:$O$2004,MATCH($A871,Workers!$A$5:$A$2004,0))&amp;"")</f>
        <v/>
      </c>
      <c r="T871" s="24" t="str">
        <f aca="false">IF($A871="","",INDEX(Workers!$P$5:$P$2004,MATCH($A871,Workers!$A$5:$A$2004,0))&amp;"")</f>
        <v/>
      </c>
      <c r="U871" s="24" t="str">
        <f aca="false">IF($A871="","",INDEX(Workers!$H$5:$H$2004,MATCH($A871,Workers!$A$5:$A$2004,0))&amp;"")</f>
        <v/>
      </c>
    </row>
    <row r="872" customFormat="false" ht="15" hidden="false" customHeight="false" outlineLevel="0" collapsed="false">
      <c r="A872" s="24" t="str">
        <f aca="false">IFERROR(INDEX(Workers!$A$5:$A$2004,MATCH(ROW()-4,Workers!$U$5:$U$2004,0)),"")</f>
        <v/>
      </c>
      <c r="B872" s="24" t="str">
        <f aca="false">IF($A872="","",INDEX(Workers!$B$5:$B$2004,MATCH($A872,Workers!$A$5:$A$2004,0)))</f>
        <v/>
      </c>
      <c r="C872" s="24" t="str">
        <f aca="false">IF($A872="","",INDEX(Workers!$E$5:$E$2004,MATCH($A872,Workers!$A$5:$A$2004,0)))</f>
        <v/>
      </c>
      <c r="D872" s="24" t="str">
        <f aca="false">IF($A872="","",INDEX(Workers!$K$5:$K$2004,MATCH($A872,Workers!$A$5:$A$2004,0)))</f>
        <v/>
      </c>
      <c r="E872" s="25" t="str">
        <f aca="false">IF($A872="","",SUMIFS(Timesheet!$E$5:$E$3004,Timesheet!$D$5:$D$3004,$A872,Timesheet!$A$5:$A$3004,"&gt;="&amp;Settings!$B$8,Timesheet!$A$5:$A$3004,"&lt;="&amp;Settings!$B$9))</f>
        <v/>
      </c>
      <c r="F872" s="25" t="str">
        <f aca="false">IF($A872="","",SUMIFS(Timesheet!$F$5:$F$3004,Timesheet!$D$5:$D$3004,$A872,Timesheet!$A$5:$A$3004,"&gt;="&amp;Settings!$B$8,Timesheet!$A$5:$A$3004,"&lt;="&amp;Settings!$B$9))</f>
        <v/>
      </c>
      <c r="G872" s="25" t="str">
        <f aca="false">IF($A872="","",SUMIFS(Timesheet!$G$5:$G$3004,Timesheet!$D$5:$D$3004,$A872,Timesheet!$A$5:$A$3004,"&gt;="&amp;Settings!$B$8,Timesheet!$A$5:$A$3004,"&lt;="&amp;Settings!$B$9))</f>
        <v/>
      </c>
      <c r="H872" s="25" t="str">
        <f aca="false">IF($A872="","",IF(D872="Monthly",MAX(0,Settings!$B$11-E872),0))</f>
        <v/>
      </c>
      <c r="I872" s="26" t="str">
        <f aca="false">IF($A872="","",N(INDEX(Workers!$L$5:$L$2004,MATCH($A872,Workers!$A$5:$A$2004,0))))</f>
        <v/>
      </c>
      <c r="J872" s="26" t="str">
        <f aca="false">IF($A872="","",N(INDEX(Workers!$M$5:$M$2004,MATCH($A872,Workers!$A$5:$A$2004,0))))</f>
        <v/>
      </c>
      <c r="K872" s="26" t="str">
        <f aca="false">IF($A872="","",IF(D872="Monthly",ROUND(MAX(0,(I872+J872)-(I872+J872)/Settings!$B$10*H872),2),0))</f>
        <v/>
      </c>
      <c r="L872" s="26" t="str">
        <f aca="false">IF($A872="","",IF(D872="Hourly",ROUND(F872*N(INDEX(Workers!$N$5:$N$2004,MATCH($A872,Workers!$A$5:$A$2004,0))),2),0))</f>
        <v/>
      </c>
      <c r="M872" s="26" t="str">
        <f aca="false">IF($A872="","",ROUND(G872*IF(D872="Hourly",N(INDEX(Workers!$N$5:$N$2004,MATCH($A872,Workers!$A$5:$A$2004,0))),I872/Settings!$B$10/Settings!$B$12)*Settings!$B$13,2))</f>
        <v/>
      </c>
      <c r="N872" s="26" t="str">
        <f aca="false">IF($A872="","",K872+L872+M872)</f>
        <v/>
      </c>
      <c r="O872" s="26" t="str">
        <f aca="false">IF($A872="","",SUMIFS(Deductions!$D$5:$D$2000,Deductions!$B$5:$B$2000,$A872,Deductions!$C$5:$C$2000,"Advance",Deductions!$E$5:$E$2000,"&gt;="&amp;Settings!$B$8,Deductions!$E$5:$E$2000,"&lt;="&amp;Settings!$B$9))</f>
        <v/>
      </c>
      <c r="P872" s="26" t="str">
        <f aca="false">IF($A872="","",SUMIFS(Deductions!$D$5:$D$2000,Deductions!$B$5:$B$2000,$A872,Deductions!$E$5:$E$2000,"&gt;="&amp;Settings!$B$8,Deductions!$E$5:$E$2000,"&lt;="&amp;Settings!$B$9)-O872)</f>
        <v/>
      </c>
      <c r="Q872" s="26" t="str">
        <f aca="false">IF($A872="","",O872+P872)</f>
        <v/>
      </c>
      <c r="R872" s="23" t="str">
        <f aca="false">IF($A872="","",N872-Q872)</f>
        <v/>
      </c>
      <c r="S872" s="24" t="str">
        <f aca="false">IF($A872="","",INDEX(Workers!$O$5:$O$2004,MATCH($A872,Workers!$A$5:$A$2004,0))&amp;"")</f>
        <v/>
      </c>
      <c r="T872" s="24" t="str">
        <f aca="false">IF($A872="","",INDEX(Workers!$P$5:$P$2004,MATCH($A872,Workers!$A$5:$A$2004,0))&amp;"")</f>
        <v/>
      </c>
      <c r="U872" s="24" t="str">
        <f aca="false">IF($A872="","",INDEX(Workers!$H$5:$H$2004,MATCH($A872,Workers!$A$5:$A$2004,0))&amp;"")</f>
        <v/>
      </c>
    </row>
    <row r="873" customFormat="false" ht="15" hidden="false" customHeight="false" outlineLevel="0" collapsed="false">
      <c r="A873" s="24" t="str">
        <f aca="false">IFERROR(INDEX(Workers!$A$5:$A$2004,MATCH(ROW()-4,Workers!$U$5:$U$2004,0)),"")</f>
        <v/>
      </c>
      <c r="B873" s="24" t="str">
        <f aca="false">IF($A873="","",INDEX(Workers!$B$5:$B$2004,MATCH($A873,Workers!$A$5:$A$2004,0)))</f>
        <v/>
      </c>
      <c r="C873" s="24" t="str">
        <f aca="false">IF($A873="","",INDEX(Workers!$E$5:$E$2004,MATCH($A873,Workers!$A$5:$A$2004,0)))</f>
        <v/>
      </c>
      <c r="D873" s="24" t="str">
        <f aca="false">IF($A873="","",INDEX(Workers!$K$5:$K$2004,MATCH($A873,Workers!$A$5:$A$2004,0)))</f>
        <v/>
      </c>
      <c r="E873" s="25" t="str">
        <f aca="false">IF($A873="","",SUMIFS(Timesheet!$E$5:$E$3004,Timesheet!$D$5:$D$3004,$A873,Timesheet!$A$5:$A$3004,"&gt;="&amp;Settings!$B$8,Timesheet!$A$5:$A$3004,"&lt;="&amp;Settings!$B$9))</f>
        <v/>
      </c>
      <c r="F873" s="25" t="str">
        <f aca="false">IF($A873="","",SUMIFS(Timesheet!$F$5:$F$3004,Timesheet!$D$5:$D$3004,$A873,Timesheet!$A$5:$A$3004,"&gt;="&amp;Settings!$B$8,Timesheet!$A$5:$A$3004,"&lt;="&amp;Settings!$B$9))</f>
        <v/>
      </c>
      <c r="G873" s="25" t="str">
        <f aca="false">IF($A873="","",SUMIFS(Timesheet!$G$5:$G$3004,Timesheet!$D$5:$D$3004,$A873,Timesheet!$A$5:$A$3004,"&gt;="&amp;Settings!$B$8,Timesheet!$A$5:$A$3004,"&lt;="&amp;Settings!$B$9))</f>
        <v/>
      </c>
      <c r="H873" s="25" t="str">
        <f aca="false">IF($A873="","",IF(D873="Monthly",MAX(0,Settings!$B$11-E873),0))</f>
        <v/>
      </c>
      <c r="I873" s="26" t="str">
        <f aca="false">IF($A873="","",N(INDEX(Workers!$L$5:$L$2004,MATCH($A873,Workers!$A$5:$A$2004,0))))</f>
        <v/>
      </c>
      <c r="J873" s="26" t="str">
        <f aca="false">IF($A873="","",N(INDEX(Workers!$M$5:$M$2004,MATCH($A873,Workers!$A$5:$A$2004,0))))</f>
        <v/>
      </c>
      <c r="K873" s="26" t="str">
        <f aca="false">IF($A873="","",IF(D873="Monthly",ROUND(MAX(0,(I873+J873)-(I873+J873)/Settings!$B$10*H873),2),0))</f>
        <v/>
      </c>
      <c r="L873" s="26" t="str">
        <f aca="false">IF($A873="","",IF(D873="Hourly",ROUND(F873*N(INDEX(Workers!$N$5:$N$2004,MATCH($A873,Workers!$A$5:$A$2004,0))),2),0))</f>
        <v/>
      </c>
      <c r="M873" s="26" t="str">
        <f aca="false">IF($A873="","",ROUND(G873*IF(D873="Hourly",N(INDEX(Workers!$N$5:$N$2004,MATCH($A873,Workers!$A$5:$A$2004,0))),I873/Settings!$B$10/Settings!$B$12)*Settings!$B$13,2))</f>
        <v/>
      </c>
      <c r="N873" s="26" t="str">
        <f aca="false">IF($A873="","",K873+L873+M873)</f>
        <v/>
      </c>
      <c r="O873" s="26" t="str">
        <f aca="false">IF($A873="","",SUMIFS(Deductions!$D$5:$D$2000,Deductions!$B$5:$B$2000,$A873,Deductions!$C$5:$C$2000,"Advance",Deductions!$E$5:$E$2000,"&gt;="&amp;Settings!$B$8,Deductions!$E$5:$E$2000,"&lt;="&amp;Settings!$B$9))</f>
        <v/>
      </c>
      <c r="P873" s="26" t="str">
        <f aca="false">IF($A873="","",SUMIFS(Deductions!$D$5:$D$2000,Deductions!$B$5:$B$2000,$A873,Deductions!$E$5:$E$2000,"&gt;="&amp;Settings!$B$8,Deductions!$E$5:$E$2000,"&lt;="&amp;Settings!$B$9)-O873)</f>
        <v/>
      </c>
      <c r="Q873" s="26" t="str">
        <f aca="false">IF($A873="","",O873+P873)</f>
        <v/>
      </c>
      <c r="R873" s="23" t="str">
        <f aca="false">IF($A873="","",N873-Q873)</f>
        <v/>
      </c>
      <c r="S873" s="24" t="str">
        <f aca="false">IF($A873="","",INDEX(Workers!$O$5:$O$2004,MATCH($A873,Workers!$A$5:$A$2004,0))&amp;"")</f>
        <v/>
      </c>
      <c r="T873" s="24" t="str">
        <f aca="false">IF($A873="","",INDEX(Workers!$P$5:$P$2004,MATCH($A873,Workers!$A$5:$A$2004,0))&amp;"")</f>
        <v/>
      </c>
      <c r="U873" s="24" t="str">
        <f aca="false">IF($A873="","",INDEX(Workers!$H$5:$H$2004,MATCH($A873,Workers!$A$5:$A$2004,0))&amp;"")</f>
        <v/>
      </c>
    </row>
    <row r="874" customFormat="false" ht="15" hidden="false" customHeight="false" outlineLevel="0" collapsed="false">
      <c r="A874" s="24" t="str">
        <f aca="false">IFERROR(INDEX(Workers!$A$5:$A$2004,MATCH(ROW()-4,Workers!$U$5:$U$2004,0)),"")</f>
        <v/>
      </c>
      <c r="B874" s="24" t="str">
        <f aca="false">IF($A874="","",INDEX(Workers!$B$5:$B$2004,MATCH($A874,Workers!$A$5:$A$2004,0)))</f>
        <v/>
      </c>
      <c r="C874" s="24" t="str">
        <f aca="false">IF($A874="","",INDEX(Workers!$E$5:$E$2004,MATCH($A874,Workers!$A$5:$A$2004,0)))</f>
        <v/>
      </c>
      <c r="D874" s="24" t="str">
        <f aca="false">IF($A874="","",INDEX(Workers!$K$5:$K$2004,MATCH($A874,Workers!$A$5:$A$2004,0)))</f>
        <v/>
      </c>
      <c r="E874" s="25" t="str">
        <f aca="false">IF($A874="","",SUMIFS(Timesheet!$E$5:$E$3004,Timesheet!$D$5:$D$3004,$A874,Timesheet!$A$5:$A$3004,"&gt;="&amp;Settings!$B$8,Timesheet!$A$5:$A$3004,"&lt;="&amp;Settings!$B$9))</f>
        <v/>
      </c>
      <c r="F874" s="25" t="str">
        <f aca="false">IF($A874="","",SUMIFS(Timesheet!$F$5:$F$3004,Timesheet!$D$5:$D$3004,$A874,Timesheet!$A$5:$A$3004,"&gt;="&amp;Settings!$B$8,Timesheet!$A$5:$A$3004,"&lt;="&amp;Settings!$B$9))</f>
        <v/>
      </c>
      <c r="G874" s="25" t="str">
        <f aca="false">IF($A874="","",SUMIFS(Timesheet!$G$5:$G$3004,Timesheet!$D$5:$D$3004,$A874,Timesheet!$A$5:$A$3004,"&gt;="&amp;Settings!$B$8,Timesheet!$A$5:$A$3004,"&lt;="&amp;Settings!$B$9))</f>
        <v/>
      </c>
      <c r="H874" s="25" t="str">
        <f aca="false">IF($A874="","",IF(D874="Monthly",MAX(0,Settings!$B$11-E874),0))</f>
        <v/>
      </c>
      <c r="I874" s="26" t="str">
        <f aca="false">IF($A874="","",N(INDEX(Workers!$L$5:$L$2004,MATCH($A874,Workers!$A$5:$A$2004,0))))</f>
        <v/>
      </c>
      <c r="J874" s="26" t="str">
        <f aca="false">IF($A874="","",N(INDEX(Workers!$M$5:$M$2004,MATCH($A874,Workers!$A$5:$A$2004,0))))</f>
        <v/>
      </c>
      <c r="K874" s="26" t="str">
        <f aca="false">IF($A874="","",IF(D874="Monthly",ROUND(MAX(0,(I874+J874)-(I874+J874)/Settings!$B$10*H874),2),0))</f>
        <v/>
      </c>
      <c r="L874" s="26" t="str">
        <f aca="false">IF($A874="","",IF(D874="Hourly",ROUND(F874*N(INDEX(Workers!$N$5:$N$2004,MATCH($A874,Workers!$A$5:$A$2004,0))),2),0))</f>
        <v/>
      </c>
      <c r="M874" s="26" t="str">
        <f aca="false">IF($A874="","",ROUND(G874*IF(D874="Hourly",N(INDEX(Workers!$N$5:$N$2004,MATCH($A874,Workers!$A$5:$A$2004,0))),I874/Settings!$B$10/Settings!$B$12)*Settings!$B$13,2))</f>
        <v/>
      </c>
      <c r="N874" s="26" t="str">
        <f aca="false">IF($A874="","",K874+L874+M874)</f>
        <v/>
      </c>
      <c r="O874" s="26" t="str">
        <f aca="false">IF($A874="","",SUMIFS(Deductions!$D$5:$D$2000,Deductions!$B$5:$B$2000,$A874,Deductions!$C$5:$C$2000,"Advance",Deductions!$E$5:$E$2000,"&gt;="&amp;Settings!$B$8,Deductions!$E$5:$E$2000,"&lt;="&amp;Settings!$B$9))</f>
        <v/>
      </c>
      <c r="P874" s="26" t="str">
        <f aca="false">IF($A874="","",SUMIFS(Deductions!$D$5:$D$2000,Deductions!$B$5:$B$2000,$A874,Deductions!$E$5:$E$2000,"&gt;="&amp;Settings!$B$8,Deductions!$E$5:$E$2000,"&lt;="&amp;Settings!$B$9)-O874)</f>
        <v/>
      </c>
      <c r="Q874" s="26" t="str">
        <f aca="false">IF($A874="","",O874+P874)</f>
        <v/>
      </c>
      <c r="R874" s="23" t="str">
        <f aca="false">IF($A874="","",N874-Q874)</f>
        <v/>
      </c>
      <c r="S874" s="24" t="str">
        <f aca="false">IF($A874="","",INDEX(Workers!$O$5:$O$2004,MATCH($A874,Workers!$A$5:$A$2004,0))&amp;"")</f>
        <v/>
      </c>
      <c r="T874" s="24" t="str">
        <f aca="false">IF($A874="","",INDEX(Workers!$P$5:$P$2004,MATCH($A874,Workers!$A$5:$A$2004,0))&amp;"")</f>
        <v/>
      </c>
      <c r="U874" s="24" t="str">
        <f aca="false">IF($A874="","",INDEX(Workers!$H$5:$H$2004,MATCH($A874,Workers!$A$5:$A$2004,0))&amp;"")</f>
        <v/>
      </c>
    </row>
    <row r="875" customFormat="false" ht="15" hidden="false" customHeight="false" outlineLevel="0" collapsed="false">
      <c r="A875" s="24" t="str">
        <f aca="false">IFERROR(INDEX(Workers!$A$5:$A$2004,MATCH(ROW()-4,Workers!$U$5:$U$2004,0)),"")</f>
        <v/>
      </c>
      <c r="B875" s="24" t="str">
        <f aca="false">IF($A875="","",INDEX(Workers!$B$5:$B$2004,MATCH($A875,Workers!$A$5:$A$2004,0)))</f>
        <v/>
      </c>
      <c r="C875" s="24" t="str">
        <f aca="false">IF($A875="","",INDEX(Workers!$E$5:$E$2004,MATCH($A875,Workers!$A$5:$A$2004,0)))</f>
        <v/>
      </c>
      <c r="D875" s="24" t="str">
        <f aca="false">IF($A875="","",INDEX(Workers!$K$5:$K$2004,MATCH($A875,Workers!$A$5:$A$2004,0)))</f>
        <v/>
      </c>
      <c r="E875" s="25" t="str">
        <f aca="false">IF($A875="","",SUMIFS(Timesheet!$E$5:$E$3004,Timesheet!$D$5:$D$3004,$A875,Timesheet!$A$5:$A$3004,"&gt;="&amp;Settings!$B$8,Timesheet!$A$5:$A$3004,"&lt;="&amp;Settings!$B$9))</f>
        <v/>
      </c>
      <c r="F875" s="25" t="str">
        <f aca="false">IF($A875="","",SUMIFS(Timesheet!$F$5:$F$3004,Timesheet!$D$5:$D$3004,$A875,Timesheet!$A$5:$A$3004,"&gt;="&amp;Settings!$B$8,Timesheet!$A$5:$A$3004,"&lt;="&amp;Settings!$B$9))</f>
        <v/>
      </c>
      <c r="G875" s="25" t="str">
        <f aca="false">IF($A875="","",SUMIFS(Timesheet!$G$5:$G$3004,Timesheet!$D$5:$D$3004,$A875,Timesheet!$A$5:$A$3004,"&gt;="&amp;Settings!$B$8,Timesheet!$A$5:$A$3004,"&lt;="&amp;Settings!$B$9))</f>
        <v/>
      </c>
      <c r="H875" s="25" t="str">
        <f aca="false">IF($A875="","",IF(D875="Monthly",MAX(0,Settings!$B$11-E875),0))</f>
        <v/>
      </c>
      <c r="I875" s="26" t="str">
        <f aca="false">IF($A875="","",N(INDEX(Workers!$L$5:$L$2004,MATCH($A875,Workers!$A$5:$A$2004,0))))</f>
        <v/>
      </c>
      <c r="J875" s="26" t="str">
        <f aca="false">IF($A875="","",N(INDEX(Workers!$M$5:$M$2004,MATCH($A875,Workers!$A$5:$A$2004,0))))</f>
        <v/>
      </c>
      <c r="K875" s="26" t="str">
        <f aca="false">IF($A875="","",IF(D875="Monthly",ROUND(MAX(0,(I875+J875)-(I875+J875)/Settings!$B$10*H875),2),0))</f>
        <v/>
      </c>
      <c r="L875" s="26" t="str">
        <f aca="false">IF($A875="","",IF(D875="Hourly",ROUND(F875*N(INDEX(Workers!$N$5:$N$2004,MATCH($A875,Workers!$A$5:$A$2004,0))),2),0))</f>
        <v/>
      </c>
      <c r="M875" s="26" t="str">
        <f aca="false">IF($A875="","",ROUND(G875*IF(D875="Hourly",N(INDEX(Workers!$N$5:$N$2004,MATCH($A875,Workers!$A$5:$A$2004,0))),I875/Settings!$B$10/Settings!$B$12)*Settings!$B$13,2))</f>
        <v/>
      </c>
      <c r="N875" s="26" t="str">
        <f aca="false">IF($A875="","",K875+L875+M875)</f>
        <v/>
      </c>
      <c r="O875" s="26" t="str">
        <f aca="false">IF($A875="","",SUMIFS(Deductions!$D$5:$D$2000,Deductions!$B$5:$B$2000,$A875,Deductions!$C$5:$C$2000,"Advance",Deductions!$E$5:$E$2000,"&gt;="&amp;Settings!$B$8,Deductions!$E$5:$E$2000,"&lt;="&amp;Settings!$B$9))</f>
        <v/>
      </c>
      <c r="P875" s="26" t="str">
        <f aca="false">IF($A875="","",SUMIFS(Deductions!$D$5:$D$2000,Deductions!$B$5:$B$2000,$A875,Deductions!$E$5:$E$2000,"&gt;="&amp;Settings!$B$8,Deductions!$E$5:$E$2000,"&lt;="&amp;Settings!$B$9)-O875)</f>
        <v/>
      </c>
      <c r="Q875" s="26" t="str">
        <f aca="false">IF($A875="","",O875+P875)</f>
        <v/>
      </c>
      <c r="R875" s="23" t="str">
        <f aca="false">IF($A875="","",N875-Q875)</f>
        <v/>
      </c>
      <c r="S875" s="24" t="str">
        <f aca="false">IF($A875="","",INDEX(Workers!$O$5:$O$2004,MATCH($A875,Workers!$A$5:$A$2004,0))&amp;"")</f>
        <v/>
      </c>
      <c r="T875" s="24" t="str">
        <f aca="false">IF($A875="","",INDEX(Workers!$P$5:$P$2004,MATCH($A875,Workers!$A$5:$A$2004,0))&amp;"")</f>
        <v/>
      </c>
      <c r="U875" s="24" t="str">
        <f aca="false">IF($A875="","",INDEX(Workers!$H$5:$H$2004,MATCH($A875,Workers!$A$5:$A$2004,0))&amp;"")</f>
        <v/>
      </c>
    </row>
    <row r="876" customFormat="false" ht="15" hidden="false" customHeight="false" outlineLevel="0" collapsed="false">
      <c r="A876" s="24" t="str">
        <f aca="false">IFERROR(INDEX(Workers!$A$5:$A$2004,MATCH(ROW()-4,Workers!$U$5:$U$2004,0)),"")</f>
        <v/>
      </c>
      <c r="B876" s="24" t="str">
        <f aca="false">IF($A876="","",INDEX(Workers!$B$5:$B$2004,MATCH($A876,Workers!$A$5:$A$2004,0)))</f>
        <v/>
      </c>
      <c r="C876" s="24" t="str">
        <f aca="false">IF($A876="","",INDEX(Workers!$E$5:$E$2004,MATCH($A876,Workers!$A$5:$A$2004,0)))</f>
        <v/>
      </c>
      <c r="D876" s="24" t="str">
        <f aca="false">IF($A876="","",INDEX(Workers!$K$5:$K$2004,MATCH($A876,Workers!$A$5:$A$2004,0)))</f>
        <v/>
      </c>
      <c r="E876" s="25" t="str">
        <f aca="false">IF($A876="","",SUMIFS(Timesheet!$E$5:$E$3004,Timesheet!$D$5:$D$3004,$A876,Timesheet!$A$5:$A$3004,"&gt;="&amp;Settings!$B$8,Timesheet!$A$5:$A$3004,"&lt;="&amp;Settings!$B$9))</f>
        <v/>
      </c>
      <c r="F876" s="25" t="str">
        <f aca="false">IF($A876="","",SUMIFS(Timesheet!$F$5:$F$3004,Timesheet!$D$5:$D$3004,$A876,Timesheet!$A$5:$A$3004,"&gt;="&amp;Settings!$B$8,Timesheet!$A$5:$A$3004,"&lt;="&amp;Settings!$B$9))</f>
        <v/>
      </c>
      <c r="G876" s="25" t="str">
        <f aca="false">IF($A876="","",SUMIFS(Timesheet!$G$5:$G$3004,Timesheet!$D$5:$D$3004,$A876,Timesheet!$A$5:$A$3004,"&gt;="&amp;Settings!$B$8,Timesheet!$A$5:$A$3004,"&lt;="&amp;Settings!$B$9))</f>
        <v/>
      </c>
      <c r="H876" s="25" t="str">
        <f aca="false">IF($A876="","",IF(D876="Monthly",MAX(0,Settings!$B$11-E876),0))</f>
        <v/>
      </c>
      <c r="I876" s="26" t="str">
        <f aca="false">IF($A876="","",N(INDEX(Workers!$L$5:$L$2004,MATCH($A876,Workers!$A$5:$A$2004,0))))</f>
        <v/>
      </c>
      <c r="J876" s="26" t="str">
        <f aca="false">IF($A876="","",N(INDEX(Workers!$M$5:$M$2004,MATCH($A876,Workers!$A$5:$A$2004,0))))</f>
        <v/>
      </c>
      <c r="K876" s="26" t="str">
        <f aca="false">IF($A876="","",IF(D876="Monthly",ROUND(MAX(0,(I876+J876)-(I876+J876)/Settings!$B$10*H876),2),0))</f>
        <v/>
      </c>
      <c r="L876" s="26" t="str">
        <f aca="false">IF($A876="","",IF(D876="Hourly",ROUND(F876*N(INDEX(Workers!$N$5:$N$2004,MATCH($A876,Workers!$A$5:$A$2004,0))),2),0))</f>
        <v/>
      </c>
      <c r="M876" s="26" t="str">
        <f aca="false">IF($A876="","",ROUND(G876*IF(D876="Hourly",N(INDEX(Workers!$N$5:$N$2004,MATCH($A876,Workers!$A$5:$A$2004,0))),I876/Settings!$B$10/Settings!$B$12)*Settings!$B$13,2))</f>
        <v/>
      </c>
      <c r="N876" s="26" t="str">
        <f aca="false">IF($A876="","",K876+L876+M876)</f>
        <v/>
      </c>
      <c r="O876" s="26" t="str">
        <f aca="false">IF($A876="","",SUMIFS(Deductions!$D$5:$D$2000,Deductions!$B$5:$B$2000,$A876,Deductions!$C$5:$C$2000,"Advance",Deductions!$E$5:$E$2000,"&gt;="&amp;Settings!$B$8,Deductions!$E$5:$E$2000,"&lt;="&amp;Settings!$B$9))</f>
        <v/>
      </c>
      <c r="P876" s="26" t="str">
        <f aca="false">IF($A876="","",SUMIFS(Deductions!$D$5:$D$2000,Deductions!$B$5:$B$2000,$A876,Deductions!$E$5:$E$2000,"&gt;="&amp;Settings!$B$8,Deductions!$E$5:$E$2000,"&lt;="&amp;Settings!$B$9)-O876)</f>
        <v/>
      </c>
      <c r="Q876" s="26" t="str">
        <f aca="false">IF($A876="","",O876+P876)</f>
        <v/>
      </c>
      <c r="R876" s="23" t="str">
        <f aca="false">IF($A876="","",N876-Q876)</f>
        <v/>
      </c>
      <c r="S876" s="24" t="str">
        <f aca="false">IF($A876="","",INDEX(Workers!$O$5:$O$2004,MATCH($A876,Workers!$A$5:$A$2004,0))&amp;"")</f>
        <v/>
      </c>
      <c r="T876" s="24" t="str">
        <f aca="false">IF($A876="","",INDEX(Workers!$P$5:$P$2004,MATCH($A876,Workers!$A$5:$A$2004,0))&amp;"")</f>
        <v/>
      </c>
      <c r="U876" s="24" t="str">
        <f aca="false">IF($A876="","",INDEX(Workers!$H$5:$H$2004,MATCH($A876,Workers!$A$5:$A$2004,0))&amp;"")</f>
        <v/>
      </c>
    </row>
    <row r="877" customFormat="false" ht="15" hidden="false" customHeight="false" outlineLevel="0" collapsed="false">
      <c r="A877" s="24" t="str">
        <f aca="false">IFERROR(INDEX(Workers!$A$5:$A$2004,MATCH(ROW()-4,Workers!$U$5:$U$2004,0)),"")</f>
        <v/>
      </c>
      <c r="B877" s="24" t="str">
        <f aca="false">IF($A877="","",INDEX(Workers!$B$5:$B$2004,MATCH($A877,Workers!$A$5:$A$2004,0)))</f>
        <v/>
      </c>
      <c r="C877" s="24" t="str">
        <f aca="false">IF($A877="","",INDEX(Workers!$E$5:$E$2004,MATCH($A877,Workers!$A$5:$A$2004,0)))</f>
        <v/>
      </c>
      <c r="D877" s="24" t="str">
        <f aca="false">IF($A877="","",INDEX(Workers!$K$5:$K$2004,MATCH($A877,Workers!$A$5:$A$2004,0)))</f>
        <v/>
      </c>
      <c r="E877" s="25" t="str">
        <f aca="false">IF($A877="","",SUMIFS(Timesheet!$E$5:$E$3004,Timesheet!$D$5:$D$3004,$A877,Timesheet!$A$5:$A$3004,"&gt;="&amp;Settings!$B$8,Timesheet!$A$5:$A$3004,"&lt;="&amp;Settings!$B$9))</f>
        <v/>
      </c>
      <c r="F877" s="25" t="str">
        <f aca="false">IF($A877="","",SUMIFS(Timesheet!$F$5:$F$3004,Timesheet!$D$5:$D$3004,$A877,Timesheet!$A$5:$A$3004,"&gt;="&amp;Settings!$B$8,Timesheet!$A$5:$A$3004,"&lt;="&amp;Settings!$B$9))</f>
        <v/>
      </c>
      <c r="G877" s="25" t="str">
        <f aca="false">IF($A877="","",SUMIFS(Timesheet!$G$5:$G$3004,Timesheet!$D$5:$D$3004,$A877,Timesheet!$A$5:$A$3004,"&gt;="&amp;Settings!$B$8,Timesheet!$A$5:$A$3004,"&lt;="&amp;Settings!$B$9))</f>
        <v/>
      </c>
      <c r="H877" s="25" t="str">
        <f aca="false">IF($A877="","",IF(D877="Monthly",MAX(0,Settings!$B$11-E877),0))</f>
        <v/>
      </c>
      <c r="I877" s="26" t="str">
        <f aca="false">IF($A877="","",N(INDEX(Workers!$L$5:$L$2004,MATCH($A877,Workers!$A$5:$A$2004,0))))</f>
        <v/>
      </c>
      <c r="J877" s="26" t="str">
        <f aca="false">IF($A877="","",N(INDEX(Workers!$M$5:$M$2004,MATCH($A877,Workers!$A$5:$A$2004,0))))</f>
        <v/>
      </c>
      <c r="K877" s="26" t="str">
        <f aca="false">IF($A877="","",IF(D877="Monthly",ROUND(MAX(0,(I877+J877)-(I877+J877)/Settings!$B$10*H877),2),0))</f>
        <v/>
      </c>
      <c r="L877" s="26" t="str">
        <f aca="false">IF($A877="","",IF(D877="Hourly",ROUND(F877*N(INDEX(Workers!$N$5:$N$2004,MATCH($A877,Workers!$A$5:$A$2004,0))),2),0))</f>
        <v/>
      </c>
      <c r="M877" s="26" t="str">
        <f aca="false">IF($A877="","",ROUND(G877*IF(D877="Hourly",N(INDEX(Workers!$N$5:$N$2004,MATCH($A877,Workers!$A$5:$A$2004,0))),I877/Settings!$B$10/Settings!$B$12)*Settings!$B$13,2))</f>
        <v/>
      </c>
      <c r="N877" s="26" t="str">
        <f aca="false">IF($A877="","",K877+L877+M877)</f>
        <v/>
      </c>
      <c r="O877" s="26" t="str">
        <f aca="false">IF($A877="","",SUMIFS(Deductions!$D$5:$D$2000,Deductions!$B$5:$B$2000,$A877,Deductions!$C$5:$C$2000,"Advance",Deductions!$E$5:$E$2000,"&gt;="&amp;Settings!$B$8,Deductions!$E$5:$E$2000,"&lt;="&amp;Settings!$B$9))</f>
        <v/>
      </c>
      <c r="P877" s="26" t="str">
        <f aca="false">IF($A877="","",SUMIFS(Deductions!$D$5:$D$2000,Deductions!$B$5:$B$2000,$A877,Deductions!$E$5:$E$2000,"&gt;="&amp;Settings!$B$8,Deductions!$E$5:$E$2000,"&lt;="&amp;Settings!$B$9)-O877)</f>
        <v/>
      </c>
      <c r="Q877" s="26" t="str">
        <f aca="false">IF($A877="","",O877+P877)</f>
        <v/>
      </c>
      <c r="R877" s="23" t="str">
        <f aca="false">IF($A877="","",N877-Q877)</f>
        <v/>
      </c>
      <c r="S877" s="24" t="str">
        <f aca="false">IF($A877="","",INDEX(Workers!$O$5:$O$2004,MATCH($A877,Workers!$A$5:$A$2004,0))&amp;"")</f>
        <v/>
      </c>
      <c r="T877" s="24" t="str">
        <f aca="false">IF($A877="","",INDEX(Workers!$P$5:$P$2004,MATCH($A877,Workers!$A$5:$A$2004,0))&amp;"")</f>
        <v/>
      </c>
      <c r="U877" s="24" t="str">
        <f aca="false">IF($A877="","",INDEX(Workers!$H$5:$H$2004,MATCH($A877,Workers!$A$5:$A$2004,0))&amp;"")</f>
        <v/>
      </c>
    </row>
    <row r="878" customFormat="false" ht="15" hidden="false" customHeight="false" outlineLevel="0" collapsed="false">
      <c r="A878" s="24" t="str">
        <f aca="false">IFERROR(INDEX(Workers!$A$5:$A$2004,MATCH(ROW()-4,Workers!$U$5:$U$2004,0)),"")</f>
        <v/>
      </c>
      <c r="B878" s="24" t="str">
        <f aca="false">IF($A878="","",INDEX(Workers!$B$5:$B$2004,MATCH($A878,Workers!$A$5:$A$2004,0)))</f>
        <v/>
      </c>
      <c r="C878" s="24" t="str">
        <f aca="false">IF($A878="","",INDEX(Workers!$E$5:$E$2004,MATCH($A878,Workers!$A$5:$A$2004,0)))</f>
        <v/>
      </c>
      <c r="D878" s="24" t="str">
        <f aca="false">IF($A878="","",INDEX(Workers!$K$5:$K$2004,MATCH($A878,Workers!$A$5:$A$2004,0)))</f>
        <v/>
      </c>
      <c r="E878" s="25" t="str">
        <f aca="false">IF($A878="","",SUMIFS(Timesheet!$E$5:$E$3004,Timesheet!$D$5:$D$3004,$A878,Timesheet!$A$5:$A$3004,"&gt;="&amp;Settings!$B$8,Timesheet!$A$5:$A$3004,"&lt;="&amp;Settings!$B$9))</f>
        <v/>
      </c>
      <c r="F878" s="25" t="str">
        <f aca="false">IF($A878="","",SUMIFS(Timesheet!$F$5:$F$3004,Timesheet!$D$5:$D$3004,$A878,Timesheet!$A$5:$A$3004,"&gt;="&amp;Settings!$B$8,Timesheet!$A$5:$A$3004,"&lt;="&amp;Settings!$B$9))</f>
        <v/>
      </c>
      <c r="G878" s="25" t="str">
        <f aca="false">IF($A878="","",SUMIFS(Timesheet!$G$5:$G$3004,Timesheet!$D$5:$D$3004,$A878,Timesheet!$A$5:$A$3004,"&gt;="&amp;Settings!$B$8,Timesheet!$A$5:$A$3004,"&lt;="&amp;Settings!$B$9))</f>
        <v/>
      </c>
      <c r="H878" s="25" t="str">
        <f aca="false">IF($A878="","",IF(D878="Monthly",MAX(0,Settings!$B$11-E878),0))</f>
        <v/>
      </c>
      <c r="I878" s="26" t="str">
        <f aca="false">IF($A878="","",N(INDEX(Workers!$L$5:$L$2004,MATCH($A878,Workers!$A$5:$A$2004,0))))</f>
        <v/>
      </c>
      <c r="J878" s="26" t="str">
        <f aca="false">IF($A878="","",N(INDEX(Workers!$M$5:$M$2004,MATCH($A878,Workers!$A$5:$A$2004,0))))</f>
        <v/>
      </c>
      <c r="K878" s="26" t="str">
        <f aca="false">IF($A878="","",IF(D878="Monthly",ROUND(MAX(0,(I878+J878)-(I878+J878)/Settings!$B$10*H878),2),0))</f>
        <v/>
      </c>
      <c r="L878" s="26" t="str">
        <f aca="false">IF($A878="","",IF(D878="Hourly",ROUND(F878*N(INDEX(Workers!$N$5:$N$2004,MATCH($A878,Workers!$A$5:$A$2004,0))),2),0))</f>
        <v/>
      </c>
      <c r="M878" s="26" t="str">
        <f aca="false">IF($A878="","",ROUND(G878*IF(D878="Hourly",N(INDEX(Workers!$N$5:$N$2004,MATCH($A878,Workers!$A$5:$A$2004,0))),I878/Settings!$B$10/Settings!$B$12)*Settings!$B$13,2))</f>
        <v/>
      </c>
      <c r="N878" s="26" t="str">
        <f aca="false">IF($A878="","",K878+L878+M878)</f>
        <v/>
      </c>
      <c r="O878" s="26" t="str">
        <f aca="false">IF($A878="","",SUMIFS(Deductions!$D$5:$D$2000,Deductions!$B$5:$B$2000,$A878,Deductions!$C$5:$C$2000,"Advance",Deductions!$E$5:$E$2000,"&gt;="&amp;Settings!$B$8,Deductions!$E$5:$E$2000,"&lt;="&amp;Settings!$B$9))</f>
        <v/>
      </c>
      <c r="P878" s="26" t="str">
        <f aca="false">IF($A878="","",SUMIFS(Deductions!$D$5:$D$2000,Deductions!$B$5:$B$2000,$A878,Deductions!$E$5:$E$2000,"&gt;="&amp;Settings!$B$8,Deductions!$E$5:$E$2000,"&lt;="&amp;Settings!$B$9)-O878)</f>
        <v/>
      </c>
      <c r="Q878" s="26" t="str">
        <f aca="false">IF($A878="","",O878+P878)</f>
        <v/>
      </c>
      <c r="R878" s="23" t="str">
        <f aca="false">IF($A878="","",N878-Q878)</f>
        <v/>
      </c>
      <c r="S878" s="24" t="str">
        <f aca="false">IF($A878="","",INDEX(Workers!$O$5:$O$2004,MATCH($A878,Workers!$A$5:$A$2004,0))&amp;"")</f>
        <v/>
      </c>
      <c r="T878" s="24" t="str">
        <f aca="false">IF($A878="","",INDEX(Workers!$P$5:$P$2004,MATCH($A878,Workers!$A$5:$A$2004,0))&amp;"")</f>
        <v/>
      </c>
      <c r="U878" s="24" t="str">
        <f aca="false">IF($A878="","",INDEX(Workers!$H$5:$H$2004,MATCH($A878,Workers!$A$5:$A$2004,0))&amp;"")</f>
        <v/>
      </c>
    </row>
    <row r="879" customFormat="false" ht="15" hidden="false" customHeight="false" outlineLevel="0" collapsed="false">
      <c r="A879" s="24" t="str">
        <f aca="false">IFERROR(INDEX(Workers!$A$5:$A$2004,MATCH(ROW()-4,Workers!$U$5:$U$2004,0)),"")</f>
        <v/>
      </c>
      <c r="B879" s="24" t="str">
        <f aca="false">IF($A879="","",INDEX(Workers!$B$5:$B$2004,MATCH($A879,Workers!$A$5:$A$2004,0)))</f>
        <v/>
      </c>
      <c r="C879" s="24" t="str">
        <f aca="false">IF($A879="","",INDEX(Workers!$E$5:$E$2004,MATCH($A879,Workers!$A$5:$A$2004,0)))</f>
        <v/>
      </c>
      <c r="D879" s="24" t="str">
        <f aca="false">IF($A879="","",INDEX(Workers!$K$5:$K$2004,MATCH($A879,Workers!$A$5:$A$2004,0)))</f>
        <v/>
      </c>
      <c r="E879" s="25" t="str">
        <f aca="false">IF($A879="","",SUMIFS(Timesheet!$E$5:$E$3004,Timesheet!$D$5:$D$3004,$A879,Timesheet!$A$5:$A$3004,"&gt;="&amp;Settings!$B$8,Timesheet!$A$5:$A$3004,"&lt;="&amp;Settings!$B$9))</f>
        <v/>
      </c>
      <c r="F879" s="25" t="str">
        <f aca="false">IF($A879="","",SUMIFS(Timesheet!$F$5:$F$3004,Timesheet!$D$5:$D$3004,$A879,Timesheet!$A$5:$A$3004,"&gt;="&amp;Settings!$B$8,Timesheet!$A$5:$A$3004,"&lt;="&amp;Settings!$B$9))</f>
        <v/>
      </c>
      <c r="G879" s="25" t="str">
        <f aca="false">IF($A879="","",SUMIFS(Timesheet!$G$5:$G$3004,Timesheet!$D$5:$D$3004,$A879,Timesheet!$A$5:$A$3004,"&gt;="&amp;Settings!$B$8,Timesheet!$A$5:$A$3004,"&lt;="&amp;Settings!$B$9))</f>
        <v/>
      </c>
      <c r="H879" s="25" t="str">
        <f aca="false">IF($A879="","",IF(D879="Monthly",MAX(0,Settings!$B$11-E879),0))</f>
        <v/>
      </c>
      <c r="I879" s="26" t="str">
        <f aca="false">IF($A879="","",N(INDEX(Workers!$L$5:$L$2004,MATCH($A879,Workers!$A$5:$A$2004,0))))</f>
        <v/>
      </c>
      <c r="J879" s="26" t="str">
        <f aca="false">IF($A879="","",N(INDEX(Workers!$M$5:$M$2004,MATCH($A879,Workers!$A$5:$A$2004,0))))</f>
        <v/>
      </c>
      <c r="K879" s="26" t="str">
        <f aca="false">IF($A879="","",IF(D879="Monthly",ROUND(MAX(0,(I879+J879)-(I879+J879)/Settings!$B$10*H879),2),0))</f>
        <v/>
      </c>
      <c r="L879" s="26" t="str">
        <f aca="false">IF($A879="","",IF(D879="Hourly",ROUND(F879*N(INDEX(Workers!$N$5:$N$2004,MATCH($A879,Workers!$A$5:$A$2004,0))),2),0))</f>
        <v/>
      </c>
      <c r="M879" s="26" t="str">
        <f aca="false">IF($A879="","",ROUND(G879*IF(D879="Hourly",N(INDEX(Workers!$N$5:$N$2004,MATCH($A879,Workers!$A$5:$A$2004,0))),I879/Settings!$B$10/Settings!$B$12)*Settings!$B$13,2))</f>
        <v/>
      </c>
      <c r="N879" s="26" t="str">
        <f aca="false">IF($A879="","",K879+L879+M879)</f>
        <v/>
      </c>
      <c r="O879" s="26" t="str">
        <f aca="false">IF($A879="","",SUMIFS(Deductions!$D$5:$D$2000,Deductions!$B$5:$B$2000,$A879,Deductions!$C$5:$C$2000,"Advance",Deductions!$E$5:$E$2000,"&gt;="&amp;Settings!$B$8,Deductions!$E$5:$E$2000,"&lt;="&amp;Settings!$B$9))</f>
        <v/>
      </c>
      <c r="P879" s="26" t="str">
        <f aca="false">IF($A879="","",SUMIFS(Deductions!$D$5:$D$2000,Deductions!$B$5:$B$2000,$A879,Deductions!$E$5:$E$2000,"&gt;="&amp;Settings!$B$8,Deductions!$E$5:$E$2000,"&lt;="&amp;Settings!$B$9)-O879)</f>
        <v/>
      </c>
      <c r="Q879" s="26" t="str">
        <f aca="false">IF($A879="","",O879+P879)</f>
        <v/>
      </c>
      <c r="R879" s="23" t="str">
        <f aca="false">IF($A879="","",N879-Q879)</f>
        <v/>
      </c>
      <c r="S879" s="24" t="str">
        <f aca="false">IF($A879="","",INDEX(Workers!$O$5:$O$2004,MATCH($A879,Workers!$A$5:$A$2004,0))&amp;"")</f>
        <v/>
      </c>
      <c r="T879" s="24" t="str">
        <f aca="false">IF($A879="","",INDEX(Workers!$P$5:$P$2004,MATCH($A879,Workers!$A$5:$A$2004,0))&amp;"")</f>
        <v/>
      </c>
      <c r="U879" s="24" t="str">
        <f aca="false">IF($A879="","",INDEX(Workers!$H$5:$H$2004,MATCH($A879,Workers!$A$5:$A$2004,0))&amp;"")</f>
        <v/>
      </c>
    </row>
    <row r="880" customFormat="false" ht="15" hidden="false" customHeight="false" outlineLevel="0" collapsed="false">
      <c r="A880" s="24" t="str">
        <f aca="false">IFERROR(INDEX(Workers!$A$5:$A$2004,MATCH(ROW()-4,Workers!$U$5:$U$2004,0)),"")</f>
        <v/>
      </c>
      <c r="B880" s="24" t="str">
        <f aca="false">IF($A880="","",INDEX(Workers!$B$5:$B$2004,MATCH($A880,Workers!$A$5:$A$2004,0)))</f>
        <v/>
      </c>
      <c r="C880" s="24" t="str">
        <f aca="false">IF($A880="","",INDEX(Workers!$E$5:$E$2004,MATCH($A880,Workers!$A$5:$A$2004,0)))</f>
        <v/>
      </c>
      <c r="D880" s="24" t="str">
        <f aca="false">IF($A880="","",INDEX(Workers!$K$5:$K$2004,MATCH($A880,Workers!$A$5:$A$2004,0)))</f>
        <v/>
      </c>
      <c r="E880" s="25" t="str">
        <f aca="false">IF($A880="","",SUMIFS(Timesheet!$E$5:$E$3004,Timesheet!$D$5:$D$3004,$A880,Timesheet!$A$5:$A$3004,"&gt;="&amp;Settings!$B$8,Timesheet!$A$5:$A$3004,"&lt;="&amp;Settings!$B$9))</f>
        <v/>
      </c>
      <c r="F880" s="25" t="str">
        <f aca="false">IF($A880="","",SUMIFS(Timesheet!$F$5:$F$3004,Timesheet!$D$5:$D$3004,$A880,Timesheet!$A$5:$A$3004,"&gt;="&amp;Settings!$B$8,Timesheet!$A$5:$A$3004,"&lt;="&amp;Settings!$B$9))</f>
        <v/>
      </c>
      <c r="G880" s="25" t="str">
        <f aca="false">IF($A880="","",SUMIFS(Timesheet!$G$5:$G$3004,Timesheet!$D$5:$D$3004,$A880,Timesheet!$A$5:$A$3004,"&gt;="&amp;Settings!$B$8,Timesheet!$A$5:$A$3004,"&lt;="&amp;Settings!$B$9))</f>
        <v/>
      </c>
      <c r="H880" s="25" t="str">
        <f aca="false">IF($A880="","",IF(D880="Monthly",MAX(0,Settings!$B$11-E880),0))</f>
        <v/>
      </c>
      <c r="I880" s="26" t="str">
        <f aca="false">IF($A880="","",N(INDEX(Workers!$L$5:$L$2004,MATCH($A880,Workers!$A$5:$A$2004,0))))</f>
        <v/>
      </c>
      <c r="J880" s="26" t="str">
        <f aca="false">IF($A880="","",N(INDEX(Workers!$M$5:$M$2004,MATCH($A880,Workers!$A$5:$A$2004,0))))</f>
        <v/>
      </c>
      <c r="K880" s="26" t="str">
        <f aca="false">IF($A880="","",IF(D880="Monthly",ROUND(MAX(0,(I880+J880)-(I880+J880)/Settings!$B$10*H880),2),0))</f>
        <v/>
      </c>
      <c r="L880" s="26" t="str">
        <f aca="false">IF($A880="","",IF(D880="Hourly",ROUND(F880*N(INDEX(Workers!$N$5:$N$2004,MATCH($A880,Workers!$A$5:$A$2004,0))),2),0))</f>
        <v/>
      </c>
      <c r="M880" s="26" t="str">
        <f aca="false">IF($A880="","",ROUND(G880*IF(D880="Hourly",N(INDEX(Workers!$N$5:$N$2004,MATCH($A880,Workers!$A$5:$A$2004,0))),I880/Settings!$B$10/Settings!$B$12)*Settings!$B$13,2))</f>
        <v/>
      </c>
      <c r="N880" s="26" t="str">
        <f aca="false">IF($A880="","",K880+L880+M880)</f>
        <v/>
      </c>
      <c r="O880" s="26" t="str">
        <f aca="false">IF($A880="","",SUMIFS(Deductions!$D$5:$D$2000,Deductions!$B$5:$B$2000,$A880,Deductions!$C$5:$C$2000,"Advance",Deductions!$E$5:$E$2000,"&gt;="&amp;Settings!$B$8,Deductions!$E$5:$E$2000,"&lt;="&amp;Settings!$B$9))</f>
        <v/>
      </c>
      <c r="P880" s="26" t="str">
        <f aca="false">IF($A880="","",SUMIFS(Deductions!$D$5:$D$2000,Deductions!$B$5:$B$2000,$A880,Deductions!$E$5:$E$2000,"&gt;="&amp;Settings!$B$8,Deductions!$E$5:$E$2000,"&lt;="&amp;Settings!$B$9)-O880)</f>
        <v/>
      </c>
      <c r="Q880" s="26" t="str">
        <f aca="false">IF($A880="","",O880+P880)</f>
        <v/>
      </c>
      <c r="R880" s="23" t="str">
        <f aca="false">IF($A880="","",N880-Q880)</f>
        <v/>
      </c>
      <c r="S880" s="24" t="str">
        <f aca="false">IF($A880="","",INDEX(Workers!$O$5:$O$2004,MATCH($A880,Workers!$A$5:$A$2004,0))&amp;"")</f>
        <v/>
      </c>
      <c r="T880" s="24" t="str">
        <f aca="false">IF($A880="","",INDEX(Workers!$P$5:$P$2004,MATCH($A880,Workers!$A$5:$A$2004,0))&amp;"")</f>
        <v/>
      </c>
      <c r="U880" s="24" t="str">
        <f aca="false">IF($A880="","",INDEX(Workers!$H$5:$H$2004,MATCH($A880,Workers!$A$5:$A$2004,0))&amp;"")</f>
        <v/>
      </c>
    </row>
    <row r="881" customFormat="false" ht="15" hidden="false" customHeight="false" outlineLevel="0" collapsed="false">
      <c r="A881" s="24" t="str">
        <f aca="false">IFERROR(INDEX(Workers!$A$5:$A$2004,MATCH(ROW()-4,Workers!$U$5:$U$2004,0)),"")</f>
        <v/>
      </c>
      <c r="B881" s="24" t="str">
        <f aca="false">IF($A881="","",INDEX(Workers!$B$5:$B$2004,MATCH($A881,Workers!$A$5:$A$2004,0)))</f>
        <v/>
      </c>
      <c r="C881" s="24" t="str">
        <f aca="false">IF($A881="","",INDEX(Workers!$E$5:$E$2004,MATCH($A881,Workers!$A$5:$A$2004,0)))</f>
        <v/>
      </c>
      <c r="D881" s="24" t="str">
        <f aca="false">IF($A881="","",INDEX(Workers!$K$5:$K$2004,MATCH($A881,Workers!$A$5:$A$2004,0)))</f>
        <v/>
      </c>
      <c r="E881" s="25" t="str">
        <f aca="false">IF($A881="","",SUMIFS(Timesheet!$E$5:$E$3004,Timesheet!$D$5:$D$3004,$A881,Timesheet!$A$5:$A$3004,"&gt;="&amp;Settings!$B$8,Timesheet!$A$5:$A$3004,"&lt;="&amp;Settings!$B$9))</f>
        <v/>
      </c>
      <c r="F881" s="25" t="str">
        <f aca="false">IF($A881="","",SUMIFS(Timesheet!$F$5:$F$3004,Timesheet!$D$5:$D$3004,$A881,Timesheet!$A$5:$A$3004,"&gt;="&amp;Settings!$B$8,Timesheet!$A$5:$A$3004,"&lt;="&amp;Settings!$B$9))</f>
        <v/>
      </c>
      <c r="G881" s="25" t="str">
        <f aca="false">IF($A881="","",SUMIFS(Timesheet!$G$5:$G$3004,Timesheet!$D$5:$D$3004,$A881,Timesheet!$A$5:$A$3004,"&gt;="&amp;Settings!$B$8,Timesheet!$A$5:$A$3004,"&lt;="&amp;Settings!$B$9))</f>
        <v/>
      </c>
      <c r="H881" s="25" t="str">
        <f aca="false">IF($A881="","",IF(D881="Monthly",MAX(0,Settings!$B$11-E881),0))</f>
        <v/>
      </c>
      <c r="I881" s="26" t="str">
        <f aca="false">IF($A881="","",N(INDEX(Workers!$L$5:$L$2004,MATCH($A881,Workers!$A$5:$A$2004,0))))</f>
        <v/>
      </c>
      <c r="J881" s="26" t="str">
        <f aca="false">IF($A881="","",N(INDEX(Workers!$M$5:$M$2004,MATCH($A881,Workers!$A$5:$A$2004,0))))</f>
        <v/>
      </c>
      <c r="K881" s="26" t="str">
        <f aca="false">IF($A881="","",IF(D881="Monthly",ROUND(MAX(0,(I881+J881)-(I881+J881)/Settings!$B$10*H881),2),0))</f>
        <v/>
      </c>
      <c r="L881" s="26" t="str">
        <f aca="false">IF($A881="","",IF(D881="Hourly",ROUND(F881*N(INDEX(Workers!$N$5:$N$2004,MATCH($A881,Workers!$A$5:$A$2004,0))),2),0))</f>
        <v/>
      </c>
      <c r="M881" s="26" t="str">
        <f aca="false">IF($A881="","",ROUND(G881*IF(D881="Hourly",N(INDEX(Workers!$N$5:$N$2004,MATCH($A881,Workers!$A$5:$A$2004,0))),I881/Settings!$B$10/Settings!$B$12)*Settings!$B$13,2))</f>
        <v/>
      </c>
      <c r="N881" s="26" t="str">
        <f aca="false">IF($A881="","",K881+L881+M881)</f>
        <v/>
      </c>
      <c r="O881" s="26" t="str">
        <f aca="false">IF($A881="","",SUMIFS(Deductions!$D$5:$D$2000,Deductions!$B$5:$B$2000,$A881,Deductions!$C$5:$C$2000,"Advance",Deductions!$E$5:$E$2000,"&gt;="&amp;Settings!$B$8,Deductions!$E$5:$E$2000,"&lt;="&amp;Settings!$B$9))</f>
        <v/>
      </c>
      <c r="P881" s="26" t="str">
        <f aca="false">IF($A881="","",SUMIFS(Deductions!$D$5:$D$2000,Deductions!$B$5:$B$2000,$A881,Deductions!$E$5:$E$2000,"&gt;="&amp;Settings!$B$8,Deductions!$E$5:$E$2000,"&lt;="&amp;Settings!$B$9)-O881)</f>
        <v/>
      </c>
      <c r="Q881" s="26" t="str">
        <f aca="false">IF($A881="","",O881+P881)</f>
        <v/>
      </c>
      <c r="R881" s="23" t="str">
        <f aca="false">IF($A881="","",N881-Q881)</f>
        <v/>
      </c>
      <c r="S881" s="24" t="str">
        <f aca="false">IF($A881="","",INDEX(Workers!$O$5:$O$2004,MATCH($A881,Workers!$A$5:$A$2004,0))&amp;"")</f>
        <v/>
      </c>
      <c r="T881" s="24" t="str">
        <f aca="false">IF($A881="","",INDEX(Workers!$P$5:$P$2004,MATCH($A881,Workers!$A$5:$A$2004,0))&amp;"")</f>
        <v/>
      </c>
      <c r="U881" s="24" t="str">
        <f aca="false">IF($A881="","",INDEX(Workers!$H$5:$H$2004,MATCH($A881,Workers!$A$5:$A$2004,0))&amp;"")</f>
        <v/>
      </c>
    </row>
    <row r="882" customFormat="false" ht="15" hidden="false" customHeight="false" outlineLevel="0" collapsed="false">
      <c r="A882" s="24" t="str">
        <f aca="false">IFERROR(INDEX(Workers!$A$5:$A$2004,MATCH(ROW()-4,Workers!$U$5:$U$2004,0)),"")</f>
        <v/>
      </c>
      <c r="B882" s="24" t="str">
        <f aca="false">IF($A882="","",INDEX(Workers!$B$5:$B$2004,MATCH($A882,Workers!$A$5:$A$2004,0)))</f>
        <v/>
      </c>
      <c r="C882" s="24" t="str">
        <f aca="false">IF($A882="","",INDEX(Workers!$E$5:$E$2004,MATCH($A882,Workers!$A$5:$A$2004,0)))</f>
        <v/>
      </c>
      <c r="D882" s="24" t="str">
        <f aca="false">IF($A882="","",INDEX(Workers!$K$5:$K$2004,MATCH($A882,Workers!$A$5:$A$2004,0)))</f>
        <v/>
      </c>
      <c r="E882" s="25" t="str">
        <f aca="false">IF($A882="","",SUMIFS(Timesheet!$E$5:$E$3004,Timesheet!$D$5:$D$3004,$A882,Timesheet!$A$5:$A$3004,"&gt;="&amp;Settings!$B$8,Timesheet!$A$5:$A$3004,"&lt;="&amp;Settings!$B$9))</f>
        <v/>
      </c>
      <c r="F882" s="25" t="str">
        <f aca="false">IF($A882="","",SUMIFS(Timesheet!$F$5:$F$3004,Timesheet!$D$5:$D$3004,$A882,Timesheet!$A$5:$A$3004,"&gt;="&amp;Settings!$B$8,Timesheet!$A$5:$A$3004,"&lt;="&amp;Settings!$B$9))</f>
        <v/>
      </c>
      <c r="G882" s="25" t="str">
        <f aca="false">IF($A882="","",SUMIFS(Timesheet!$G$5:$G$3004,Timesheet!$D$5:$D$3004,$A882,Timesheet!$A$5:$A$3004,"&gt;="&amp;Settings!$B$8,Timesheet!$A$5:$A$3004,"&lt;="&amp;Settings!$B$9))</f>
        <v/>
      </c>
      <c r="H882" s="25" t="str">
        <f aca="false">IF($A882="","",IF(D882="Monthly",MAX(0,Settings!$B$11-E882),0))</f>
        <v/>
      </c>
      <c r="I882" s="26" t="str">
        <f aca="false">IF($A882="","",N(INDEX(Workers!$L$5:$L$2004,MATCH($A882,Workers!$A$5:$A$2004,0))))</f>
        <v/>
      </c>
      <c r="J882" s="26" t="str">
        <f aca="false">IF($A882="","",N(INDEX(Workers!$M$5:$M$2004,MATCH($A882,Workers!$A$5:$A$2004,0))))</f>
        <v/>
      </c>
      <c r="K882" s="26" t="str">
        <f aca="false">IF($A882="","",IF(D882="Monthly",ROUND(MAX(0,(I882+J882)-(I882+J882)/Settings!$B$10*H882),2),0))</f>
        <v/>
      </c>
      <c r="L882" s="26" t="str">
        <f aca="false">IF($A882="","",IF(D882="Hourly",ROUND(F882*N(INDEX(Workers!$N$5:$N$2004,MATCH($A882,Workers!$A$5:$A$2004,0))),2),0))</f>
        <v/>
      </c>
      <c r="M882" s="26" t="str">
        <f aca="false">IF($A882="","",ROUND(G882*IF(D882="Hourly",N(INDEX(Workers!$N$5:$N$2004,MATCH($A882,Workers!$A$5:$A$2004,0))),I882/Settings!$B$10/Settings!$B$12)*Settings!$B$13,2))</f>
        <v/>
      </c>
      <c r="N882" s="26" t="str">
        <f aca="false">IF($A882="","",K882+L882+M882)</f>
        <v/>
      </c>
      <c r="O882" s="26" t="str">
        <f aca="false">IF($A882="","",SUMIFS(Deductions!$D$5:$D$2000,Deductions!$B$5:$B$2000,$A882,Deductions!$C$5:$C$2000,"Advance",Deductions!$E$5:$E$2000,"&gt;="&amp;Settings!$B$8,Deductions!$E$5:$E$2000,"&lt;="&amp;Settings!$B$9))</f>
        <v/>
      </c>
      <c r="P882" s="26" t="str">
        <f aca="false">IF($A882="","",SUMIFS(Deductions!$D$5:$D$2000,Deductions!$B$5:$B$2000,$A882,Deductions!$E$5:$E$2000,"&gt;="&amp;Settings!$B$8,Deductions!$E$5:$E$2000,"&lt;="&amp;Settings!$B$9)-O882)</f>
        <v/>
      </c>
      <c r="Q882" s="26" t="str">
        <f aca="false">IF($A882="","",O882+P882)</f>
        <v/>
      </c>
      <c r="R882" s="23" t="str">
        <f aca="false">IF($A882="","",N882-Q882)</f>
        <v/>
      </c>
      <c r="S882" s="24" t="str">
        <f aca="false">IF($A882="","",INDEX(Workers!$O$5:$O$2004,MATCH($A882,Workers!$A$5:$A$2004,0))&amp;"")</f>
        <v/>
      </c>
      <c r="T882" s="24" t="str">
        <f aca="false">IF($A882="","",INDEX(Workers!$P$5:$P$2004,MATCH($A882,Workers!$A$5:$A$2004,0))&amp;"")</f>
        <v/>
      </c>
      <c r="U882" s="24" t="str">
        <f aca="false">IF($A882="","",INDEX(Workers!$H$5:$H$2004,MATCH($A882,Workers!$A$5:$A$2004,0))&amp;"")</f>
        <v/>
      </c>
    </row>
    <row r="883" customFormat="false" ht="15" hidden="false" customHeight="false" outlineLevel="0" collapsed="false">
      <c r="A883" s="24" t="str">
        <f aca="false">IFERROR(INDEX(Workers!$A$5:$A$2004,MATCH(ROW()-4,Workers!$U$5:$U$2004,0)),"")</f>
        <v/>
      </c>
      <c r="B883" s="24" t="str">
        <f aca="false">IF($A883="","",INDEX(Workers!$B$5:$B$2004,MATCH($A883,Workers!$A$5:$A$2004,0)))</f>
        <v/>
      </c>
      <c r="C883" s="24" t="str">
        <f aca="false">IF($A883="","",INDEX(Workers!$E$5:$E$2004,MATCH($A883,Workers!$A$5:$A$2004,0)))</f>
        <v/>
      </c>
      <c r="D883" s="24" t="str">
        <f aca="false">IF($A883="","",INDEX(Workers!$K$5:$K$2004,MATCH($A883,Workers!$A$5:$A$2004,0)))</f>
        <v/>
      </c>
      <c r="E883" s="25" t="str">
        <f aca="false">IF($A883="","",SUMIFS(Timesheet!$E$5:$E$3004,Timesheet!$D$5:$D$3004,$A883,Timesheet!$A$5:$A$3004,"&gt;="&amp;Settings!$B$8,Timesheet!$A$5:$A$3004,"&lt;="&amp;Settings!$B$9))</f>
        <v/>
      </c>
      <c r="F883" s="25" t="str">
        <f aca="false">IF($A883="","",SUMIFS(Timesheet!$F$5:$F$3004,Timesheet!$D$5:$D$3004,$A883,Timesheet!$A$5:$A$3004,"&gt;="&amp;Settings!$B$8,Timesheet!$A$5:$A$3004,"&lt;="&amp;Settings!$B$9))</f>
        <v/>
      </c>
      <c r="G883" s="25" t="str">
        <f aca="false">IF($A883="","",SUMIFS(Timesheet!$G$5:$G$3004,Timesheet!$D$5:$D$3004,$A883,Timesheet!$A$5:$A$3004,"&gt;="&amp;Settings!$B$8,Timesheet!$A$5:$A$3004,"&lt;="&amp;Settings!$B$9))</f>
        <v/>
      </c>
      <c r="H883" s="25" t="str">
        <f aca="false">IF($A883="","",IF(D883="Monthly",MAX(0,Settings!$B$11-E883),0))</f>
        <v/>
      </c>
      <c r="I883" s="26" t="str">
        <f aca="false">IF($A883="","",N(INDEX(Workers!$L$5:$L$2004,MATCH($A883,Workers!$A$5:$A$2004,0))))</f>
        <v/>
      </c>
      <c r="J883" s="26" t="str">
        <f aca="false">IF($A883="","",N(INDEX(Workers!$M$5:$M$2004,MATCH($A883,Workers!$A$5:$A$2004,0))))</f>
        <v/>
      </c>
      <c r="K883" s="26" t="str">
        <f aca="false">IF($A883="","",IF(D883="Monthly",ROUND(MAX(0,(I883+J883)-(I883+J883)/Settings!$B$10*H883),2),0))</f>
        <v/>
      </c>
      <c r="L883" s="26" t="str">
        <f aca="false">IF($A883="","",IF(D883="Hourly",ROUND(F883*N(INDEX(Workers!$N$5:$N$2004,MATCH($A883,Workers!$A$5:$A$2004,0))),2),0))</f>
        <v/>
      </c>
      <c r="M883" s="26" t="str">
        <f aca="false">IF($A883="","",ROUND(G883*IF(D883="Hourly",N(INDEX(Workers!$N$5:$N$2004,MATCH($A883,Workers!$A$5:$A$2004,0))),I883/Settings!$B$10/Settings!$B$12)*Settings!$B$13,2))</f>
        <v/>
      </c>
      <c r="N883" s="26" t="str">
        <f aca="false">IF($A883="","",K883+L883+M883)</f>
        <v/>
      </c>
      <c r="O883" s="26" t="str">
        <f aca="false">IF($A883="","",SUMIFS(Deductions!$D$5:$D$2000,Deductions!$B$5:$B$2000,$A883,Deductions!$C$5:$C$2000,"Advance",Deductions!$E$5:$E$2000,"&gt;="&amp;Settings!$B$8,Deductions!$E$5:$E$2000,"&lt;="&amp;Settings!$B$9))</f>
        <v/>
      </c>
      <c r="P883" s="26" t="str">
        <f aca="false">IF($A883="","",SUMIFS(Deductions!$D$5:$D$2000,Deductions!$B$5:$B$2000,$A883,Deductions!$E$5:$E$2000,"&gt;="&amp;Settings!$B$8,Deductions!$E$5:$E$2000,"&lt;="&amp;Settings!$B$9)-O883)</f>
        <v/>
      </c>
      <c r="Q883" s="26" t="str">
        <f aca="false">IF($A883="","",O883+P883)</f>
        <v/>
      </c>
      <c r="R883" s="23" t="str">
        <f aca="false">IF($A883="","",N883-Q883)</f>
        <v/>
      </c>
      <c r="S883" s="24" t="str">
        <f aca="false">IF($A883="","",INDEX(Workers!$O$5:$O$2004,MATCH($A883,Workers!$A$5:$A$2004,0))&amp;"")</f>
        <v/>
      </c>
      <c r="T883" s="24" t="str">
        <f aca="false">IF($A883="","",INDEX(Workers!$P$5:$P$2004,MATCH($A883,Workers!$A$5:$A$2004,0))&amp;"")</f>
        <v/>
      </c>
      <c r="U883" s="24" t="str">
        <f aca="false">IF($A883="","",INDEX(Workers!$H$5:$H$2004,MATCH($A883,Workers!$A$5:$A$2004,0))&amp;"")</f>
        <v/>
      </c>
    </row>
    <row r="884" customFormat="false" ht="15" hidden="false" customHeight="false" outlineLevel="0" collapsed="false">
      <c r="A884" s="24" t="str">
        <f aca="false">IFERROR(INDEX(Workers!$A$5:$A$2004,MATCH(ROW()-4,Workers!$U$5:$U$2004,0)),"")</f>
        <v/>
      </c>
      <c r="B884" s="24" t="str">
        <f aca="false">IF($A884="","",INDEX(Workers!$B$5:$B$2004,MATCH($A884,Workers!$A$5:$A$2004,0)))</f>
        <v/>
      </c>
      <c r="C884" s="24" t="str">
        <f aca="false">IF($A884="","",INDEX(Workers!$E$5:$E$2004,MATCH($A884,Workers!$A$5:$A$2004,0)))</f>
        <v/>
      </c>
      <c r="D884" s="24" t="str">
        <f aca="false">IF($A884="","",INDEX(Workers!$K$5:$K$2004,MATCH($A884,Workers!$A$5:$A$2004,0)))</f>
        <v/>
      </c>
      <c r="E884" s="25" t="str">
        <f aca="false">IF($A884="","",SUMIFS(Timesheet!$E$5:$E$3004,Timesheet!$D$5:$D$3004,$A884,Timesheet!$A$5:$A$3004,"&gt;="&amp;Settings!$B$8,Timesheet!$A$5:$A$3004,"&lt;="&amp;Settings!$B$9))</f>
        <v/>
      </c>
      <c r="F884" s="25" t="str">
        <f aca="false">IF($A884="","",SUMIFS(Timesheet!$F$5:$F$3004,Timesheet!$D$5:$D$3004,$A884,Timesheet!$A$5:$A$3004,"&gt;="&amp;Settings!$B$8,Timesheet!$A$5:$A$3004,"&lt;="&amp;Settings!$B$9))</f>
        <v/>
      </c>
      <c r="G884" s="25" t="str">
        <f aca="false">IF($A884="","",SUMIFS(Timesheet!$G$5:$G$3004,Timesheet!$D$5:$D$3004,$A884,Timesheet!$A$5:$A$3004,"&gt;="&amp;Settings!$B$8,Timesheet!$A$5:$A$3004,"&lt;="&amp;Settings!$B$9))</f>
        <v/>
      </c>
      <c r="H884" s="25" t="str">
        <f aca="false">IF($A884="","",IF(D884="Monthly",MAX(0,Settings!$B$11-E884),0))</f>
        <v/>
      </c>
      <c r="I884" s="26" t="str">
        <f aca="false">IF($A884="","",N(INDEX(Workers!$L$5:$L$2004,MATCH($A884,Workers!$A$5:$A$2004,0))))</f>
        <v/>
      </c>
      <c r="J884" s="26" t="str">
        <f aca="false">IF($A884="","",N(INDEX(Workers!$M$5:$M$2004,MATCH($A884,Workers!$A$5:$A$2004,0))))</f>
        <v/>
      </c>
      <c r="K884" s="26" t="str">
        <f aca="false">IF($A884="","",IF(D884="Monthly",ROUND(MAX(0,(I884+J884)-(I884+J884)/Settings!$B$10*H884),2),0))</f>
        <v/>
      </c>
      <c r="L884" s="26" t="str">
        <f aca="false">IF($A884="","",IF(D884="Hourly",ROUND(F884*N(INDEX(Workers!$N$5:$N$2004,MATCH($A884,Workers!$A$5:$A$2004,0))),2),0))</f>
        <v/>
      </c>
      <c r="M884" s="26" t="str">
        <f aca="false">IF($A884="","",ROUND(G884*IF(D884="Hourly",N(INDEX(Workers!$N$5:$N$2004,MATCH($A884,Workers!$A$5:$A$2004,0))),I884/Settings!$B$10/Settings!$B$12)*Settings!$B$13,2))</f>
        <v/>
      </c>
      <c r="N884" s="26" t="str">
        <f aca="false">IF($A884="","",K884+L884+M884)</f>
        <v/>
      </c>
      <c r="O884" s="26" t="str">
        <f aca="false">IF($A884="","",SUMIFS(Deductions!$D$5:$D$2000,Deductions!$B$5:$B$2000,$A884,Deductions!$C$5:$C$2000,"Advance",Deductions!$E$5:$E$2000,"&gt;="&amp;Settings!$B$8,Deductions!$E$5:$E$2000,"&lt;="&amp;Settings!$B$9))</f>
        <v/>
      </c>
      <c r="P884" s="26" t="str">
        <f aca="false">IF($A884="","",SUMIFS(Deductions!$D$5:$D$2000,Deductions!$B$5:$B$2000,$A884,Deductions!$E$5:$E$2000,"&gt;="&amp;Settings!$B$8,Deductions!$E$5:$E$2000,"&lt;="&amp;Settings!$B$9)-O884)</f>
        <v/>
      </c>
      <c r="Q884" s="26" t="str">
        <f aca="false">IF($A884="","",O884+P884)</f>
        <v/>
      </c>
      <c r="R884" s="23" t="str">
        <f aca="false">IF($A884="","",N884-Q884)</f>
        <v/>
      </c>
      <c r="S884" s="24" t="str">
        <f aca="false">IF($A884="","",INDEX(Workers!$O$5:$O$2004,MATCH($A884,Workers!$A$5:$A$2004,0))&amp;"")</f>
        <v/>
      </c>
      <c r="T884" s="24" t="str">
        <f aca="false">IF($A884="","",INDEX(Workers!$P$5:$P$2004,MATCH($A884,Workers!$A$5:$A$2004,0))&amp;"")</f>
        <v/>
      </c>
      <c r="U884" s="24" t="str">
        <f aca="false">IF($A884="","",INDEX(Workers!$H$5:$H$2004,MATCH($A884,Workers!$A$5:$A$2004,0))&amp;"")</f>
        <v/>
      </c>
    </row>
    <row r="885" customFormat="false" ht="15" hidden="false" customHeight="false" outlineLevel="0" collapsed="false">
      <c r="A885" s="24" t="str">
        <f aca="false">IFERROR(INDEX(Workers!$A$5:$A$2004,MATCH(ROW()-4,Workers!$U$5:$U$2004,0)),"")</f>
        <v/>
      </c>
      <c r="B885" s="24" t="str">
        <f aca="false">IF($A885="","",INDEX(Workers!$B$5:$B$2004,MATCH($A885,Workers!$A$5:$A$2004,0)))</f>
        <v/>
      </c>
      <c r="C885" s="24" t="str">
        <f aca="false">IF($A885="","",INDEX(Workers!$E$5:$E$2004,MATCH($A885,Workers!$A$5:$A$2004,0)))</f>
        <v/>
      </c>
      <c r="D885" s="24" t="str">
        <f aca="false">IF($A885="","",INDEX(Workers!$K$5:$K$2004,MATCH($A885,Workers!$A$5:$A$2004,0)))</f>
        <v/>
      </c>
      <c r="E885" s="25" t="str">
        <f aca="false">IF($A885="","",SUMIFS(Timesheet!$E$5:$E$3004,Timesheet!$D$5:$D$3004,$A885,Timesheet!$A$5:$A$3004,"&gt;="&amp;Settings!$B$8,Timesheet!$A$5:$A$3004,"&lt;="&amp;Settings!$B$9))</f>
        <v/>
      </c>
      <c r="F885" s="25" t="str">
        <f aca="false">IF($A885="","",SUMIFS(Timesheet!$F$5:$F$3004,Timesheet!$D$5:$D$3004,$A885,Timesheet!$A$5:$A$3004,"&gt;="&amp;Settings!$B$8,Timesheet!$A$5:$A$3004,"&lt;="&amp;Settings!$B$9))</f>
        <v/>
      </c>
      <c r="G885" s="25" t="str">
        <f aca="false">IF($A885="","",SUMIFS(Timesheet!$G$5:$G$3004,Timesheet!$D$5:$D$3004,$A885,Timesheet!$A$5:$A$3004,"&gt;="&amp;Settings!$B$8,Timesheet!$A$5:$A$3004,"&lt;="&amp;Settings!$B$9))</f>
        <v/>
      </c>
      <c r="H885" s="25" t="str">
        <f aca="false">IF($A885="","",IF(D885="Monthly",MAX(0,Settings!$B$11-E885),0))</f>
        <v/>
      </c>
      <c r="I885" s="26" t="str">
        <f aca="false">IF($A885="","",N(INDEX(Workers!$L$5:$L$2004,MATCH($A885,Workers!$A$5:$A$2004,0))))</f>
        <v/>
      </c>
      <c r="J885" s="26" t="str">
        <f aca="false">IF($A885="","",N(INDEX(Workers!$M$5:$M$2004,MATCH($A885,Workers!$A$5:$A$2004,0))))</f>
        <v/>
      </c>
      <c r="K885" s="26" t="str">
        <f aca="false">IF($A885="","",IF(D885="Monthly",ROUND(MAX(0,(I885+J885)-(I885+J885)/Settings!$B$10*H885),2),0))</f>
        <v/>
      </c>
      <c r="L885" s="26" t="str">
        <f aca="false">IF($A885="","",IF(D885="Hourly",ROUND(F885*N(INDEX(Workers!$N$5:$N$2004,MATCH($A885,Workers!$A$5:$A$2004,0))),2),0))</f>
        <v/>
      </c>
      <c r="M885" s="26" t="str">
        <f aca="false">IF($A885="","",ROUND(G885*IF(D885="Hourly",N(INDEX(Workers!$N$5:$N$2004,MATCH($A885,Workers!$A$5:$A$2004,0))),I885/Settings!$B$10/Settings!$B$12)*Settings!$B$13,2))</f>
        <v/>
      </c>
      <c r="N885" s="26" t="str">
        <f aca="false">IF($A885="","",K885+L885+M885)</f>
        <v/>
      </c>
      <c r="O885" s="26" t="str">
        <f aca="false">IF($A885="","",SUMIFS(Deductions!$D$5:$D$2000,Deductions!$B$5:$B$2000,$A885,Deductions!$C$5:$C$2000,"Advance",Deductions!$E$5:$E$2000,"&gt;="&amp;Settings!$B$8,Deductions!$E$5:$E$2000,"&lt;="&amp;Settings!$B$9))</f>
        <v/>
      </c>
      <c r="P885" s="26" t="str">
        <f aca="false">IF($A885="","",SUMIFS(Deductions!$D$5:$D$2000,Deductions!$B$5:$B$2000,$A885,Deductions!$E$5:$E$2000,"&gt;="&amp;Settings!$B$8,Deductions!$E$5:$E$2000,"&lt;="&amp;Settings!$B$9)-O885)</f>
        <v/>
      </c>
      <c r="Q885" s="26" t="str">
        <f aca="false">IF($A885="","",O885+P885)</f>
        <v/>
      </c>
      <c r="R885" s="23" t="str">
        <f aca="false">IF($A885="","",N885-Q885)</f>
        <v/>
      </c>
      <c r="S885" s="24" t="str">
        <f aca="false">IF($A885="","",INDEX(Workers!$O$5:$O$2004,MATCH($A885,Workers!$A$5:$A$2004,0))&amp;"")</f>
        <v/>
      </c>
      <c r="T885" s="24" t="str">
        <f aca="false">IF($A885="","",INDEX(Workers!$P$5:$P$2004,MATCH($A885,Workers!$A$5:$A$2004,0))&amp;"")</f>
        <v/>
      </c>
      <c r="U885" s="24" t="str">
        <f aca="false">IF($A885="","",INDEX(Workers!$H$5:$H$2004,MATCH($A885,Workers!$A$5:$A$2004,0))&amp;"")</f>
        <v/>
      </c>
    </row>
    <row r="886" customFormat="false" ht="15" hidden="false" customHeight="false" outlineLevel="0" collapsed="false">
      <c r="A886" s="24" t="str">
        <f aca="false">IFERROR(INDEX(Workers!$A$5:$A$2004,MATCH(ROW()-4,Workers!$U$5:$U$2004,0)),"")</f>
        <v/>
      </c>
      <c r="B886" s="24" t="str">
        <f aca="false">IF($A886="","",INDEX(Workers!$B$5:$B$2004,MATCH($A886,Workers!$A$5:$A$2004,0)))</f>
        <v/>
      </c>
      <c r="C886" s="24" t="str">
        <f aca="false">IF($A886="","",INDEX(Workers!$E$5:$E$2004,MATCH($A886,Workers!$A$5:$A$2004,0)))</f>
        <v/>
      </c>
      <c r="D886" s="24" t="str">
        <f aca="false">IF($A886="","",INDEX(Workers!$K$5:$K$2004,MATCH($A886,Workers!$A$5:$A$2004,0)))</f>
        <v/>
      </c>
      <c r="E886" s="25" t="str">
        <f aca="false">IF($A886="","",SUMIFS(Timesheet!$E$5:$E$3004,Timesheet!$D$5:$D$3004,$A886,Timesheet!$A$5:$A$3004,"&gt;="&amp;Settings!$B$8,Timesheet!$A$5:$A$3004,"&lt;="&amp;Settings!$B$9))</f>
        <v/>
      </c>
      <c r="F886" s="25" t="str">
        <f aca="false">IF($A886="","",SUMIFS(Timesheet!$F$5:$F$3004,Timesheet!$D$5:$D$3004,$A886,Timesheet!$A$5:$A$3004,"&gt;="&amp;Settings!$B$8,Timesheet!$A$5:$A$3004,"&lt;="&amp;Settings!$B$9))</f>
        <v/>
      </c>
      <c r="G886" s="25" t="str">
        <f aca="false">IF($A886="","",SUMIFS(Timesheet!$G$5:$G$3004,Timesheet!$D$5:$D$3004,$A886,Timesheet!$A$5:$A$3004,"&gt;="&amp;Settings!$B$8,Timesheet!$A$5:$A$3004,"&lt;="&amp;Settings!$B$9))</f>
        <v/>
      </c>
      <c r="H886" s="25" t="str">
        <f aca="false">IF($A886="","",IF(D886="Monthly",MAX(0,Settings!$B$11-E886),0))</f>
        <v/>
      </c>
      <c r="I886" s="26" t="str">
        <f aca="false">IF($A886="","",N(INDEX(Workers!$L$5:$L$2004,MATCH($A886,Workers!$A$5:$A$2004,0))))</f>
        <v/>
      </c>
      <c r="J886" s="26" t="str">
        <f aca="false">IF($A886="","",N(INDEX(Workers!$M$5:$M$2004,MATCH($A886,Workers!$A$5:$A$2004,0))))</f>
        <v/>
      </c>
      <c r="K886" s="26" t="str">
        <f aca="false">IF($A886="","",IF(D886="Monthly",ROUND(MAX(0,(I886+J886)-(I886+J886)/Settings!$B$10*H886),2),0))</f>
        <v/>
      </c>
      <c r="L886" s="26" t="str">
        <f aca="false">IF($A886="","",IF(D886="Hourly",ROUND(F886*N(INDEX(Workers!$N$5:$N$2004,MATCH($A886,Workers!$A$5:$A$2004,0))),2),0))</f>
        <v/>
      </c>
      <c r="M886" s="26" t="str">
        <f aca="false">IF($A886="","",ROUND(G886*IF(D886="Hourly",N(INDEX(Workers!$N$5:$N$2004,MATCH($A886,Workers!$A$5:$A$2004,0))),I886/Settings!$B$10/Settings!$B$12)*Settings!$B$13,2))</f>
        <v/>
      </c>
      <c r="N886" s="26" t="str">
        <f aca="false">IF($A886="","",K886+L886+M886)</f>
        <v/>
      </c>
      <c r="O886" s="26" t="str">
        <f aca="false">IF($A886="","",SUMIFS(Deductions!$D$5:$D$2000,Deductions!$B$5:$B$2000,$A886,Deductions!$C$5:$C$2000,"Advance",Deductions!$E$5:$E$2000,"&gt;="&amp;Settings!$B$8,Deductions!$E$5:$E$2000,"&lt;="&amp;Settings!$B$9))</f>
        <v/>
      </c>
      <c r="P886" s="26" t="str">
        <f aca="false">IF($A886="","",SUMIFS(Deductions!$D$5:$D$2000,Deductions!$B$5:$B$2000,$A886,Deductions!$E$5:$E$2000,"&gt;="&amp;Settings!$B$8,Deductions!$E$5:$E$2000,"&lt;="&amp;Settings!$B$9)-O886)</f>
        <v/>
      </c>
      <c r="Q886" s="26" t="str">
        <f aca="false">IF($A886="","",O886+P886)</f>
        <v/>
      </c>
      <c r="R886" s="23" t="str">
        <f aca="false">IF($A886="","",N886-Q886)</f>
        <v/>
      </c>
      <c r="S886" s="24" t="str">
        <f aca="false">IF($A886="","",INDEX(Workers!$O$5:$O$2004,MATCH($A886,Workers!$A$5:$A$2004,0))&amp;"")</f>
        <v/>
      </c>
      <c r="T886" s="24" t="str">
        <f aca="false">IF($A886="","",INDEX(Workers!$P$5:$P$2004,MATCH($A886,Workers!$A$5:$A$2004,0))&amp;"")</f>
        <v/>
      </c>
      <c r="U886" s="24" t="str">
        <f aca="false">IF($A886="","",INDEX(Workers!$H$5:$H$2004,MATCH($A886,Workers!$A$5:$A$2004,0))&amp;"")</f>
        <v/>
      </c>
    </row>
    <row r="887" customFormat="false" ht="15" hidden="false" customHeight="false" outlineLevel="0" collapsed="false">
      <c r="A887" s="24" t="str">
        <f aca="false">IFERROR(INDEX(Workers!$A$5:$A$2004,MATCH(ROW()-4,Workers!$U$5:$U$2004,0)),"")</f>
        <v/>
      </c>
      <c r="B887" s="24" t="str">
        <f aca="false">IF($A887="","",INDEX(Workers!$B$5:$B$2004,MATCH($A887,Workers!$A$5:$A$2004,0)))</f>
        <v/>
      </c>
      <c r="C887" s="24" t="str">
        <f aca="false">IF($A887="","",INDEX(Workers!$E$5:$E$2004,MATCH($A887,Workers!$A$5:$A$2004,0)))</f>
        <v/>
      </c>
      <c r="D887" s="24" t="str">
        <f aca="false">IF($A887="","",INDEX(Workers!$K$5:$K$2004,MATCH($A887,Workers!$A$5:$A$2004,0)))</f>
        <v/>
      </c>
      <c r="E887" s="25" t="str">
        <f aca="false">IF($A887="","",SUMIFS(Timesheet!$E$5:$E$3004,Timesheet!$D$5:$D$3004,$A887,Timesheet!$A$5:$A$3004,"&gt;="&amp;Settings!$B$8,Timesheet!$A$5:$A$3004,"&lt;="&amp;Settings!$B$9))</f>
        <v/>
      </c>
      <c r="F887" s="25" t="str">
        <f aca="false">IF($A887="","",SUMIFS(Timesheet!$F$5:$F$3004,Timesheet!$D$5:$D$3004,$A887,Timesheet!$A$5:$A$3004,"&gt;="&amp;Settings!$B$8,Timesheet!$A$5:$A$3004,"&lt;="&amp;Settings!$B$9))</f>
        <v/>
      </c>
      <c r="G887" s="25" t="str">
        <f aca="false">IF($A887="","",SUMIFS(Timesheet!$G$5:$G$3004,Timesheet!$D$5:$D$3004,$A887,Timesheet!$A$5:$A$3004,"&gt;="&amp;Settings!$B$8,Timesheet!$A$5:$A$3004,"&lt;="&amp;Settings!$B$9))</f>
        <v/>
      </c>
      <c r="H887" s="25" t="str">
        <f aca="false">IF($A887="","",IF(D887="Monthly",MAX(0,Settings!$B$11-E887),0))</f>
        <v/>
      </c>
      <c r="I887" s="26" t="str">
        <f aca="false">IF($A887="","",N(INDEX(Workers!$L$5:$L$2004,MATCH($A887,Workers!$A$5:$A$2004,0))))</f>
        <v/>
      </c>
      <c r="J887" s="26" t="str">
        <f aca="false">IF($A887="","",N(INDEX(Workers!$M$5:$M$2004,MATCH($A887,Workers!$A$5:$A$2004,0))))</f>
        <v/>
      </c>
      <c r="K887" s="26" t="str">
        <f aca="false">IF($A887="","",IF(D887="Monthly",ROUND(MAX(0,(I887+J887)-(I887+J887)/Settings!$B$10*H887),2),0))</f>
        <v/>
      </c>
      <c r="L887" s="26" t="str">
        <f aca="false">IF($A887="","",IF(D887="Hourly",ROUND(F887*N(INDEX(Workers!$N$5:$N$2004,MATCH($A887,Workers!$A$5:$A$2004,0))),2),0))</f>
        <v/>
      </c>
      <c r="M887" s="26" t="str">
        <f aca="false">IF($A887="","",ROUND(G887*IF(D887="Hourly",N(INDEX(Workers!$N$5:$N$2004,MATCH($A887,Workers!$A$5:$A$2004,0))),I887/Settings!$B$10/Settings!$B$12)*Settings!$B$13,2))</f>
        <v/>
      </c>
      <c r="N887" s="26" t="str">
        <f aca="false">IF($A887="","",K887+L887+M887)</f>
        <v/>
      </c>
      <c r="O887" s="26" t="str">
        <f aca="false">IF($A887="","",SUMIFS(Deductions!$D$5:$D$2000,Deductions!$B$5:$B$2000,$A887,Deductions!$C$5:$C$2000,"Advance",Deductions!$E$5:$E$2000,"&gt;="&amp;Settings!$B$8,Deductions!$E$5:$E$2000,"&lt;="&amp;Settings!$B$9))</f>
        <v/>
      </c>
      <c r="P887" s="26" t="str">
        <f aca="false">IF($A887="","",SUMIFS(Deductions!$D$5:$D$2000,Deductions!$B$5:$B$2000,$A887,Deductions!$E$5:$E$2000,"&gt;="&amp;Settings!$B$8,Deductions!$E$5:$E$2000,"&lt;="&amp;Settings!$B$9)-O887)</f>
        <v/>
      </c>
      <c r="Q887" s="26" t="str">
        <f aca="false">IF($A887="","",O887+P887)</f>
        <v/>
      </c>
      <c r="R887" s="23" t="str">
        <f aca="false">IF($A887="","",N887-Q887)</f>
        <v/>
      </c>
      <c r="S887" s="24" t="str">
        <f aca="false">IF($A887="","",INDEX(Workers!$O$5:$O$2004,MATCH($A887,Workers!$A$5:$A$2004,0))&amp;"")</f>
        <v/>
      </c>
      <c r="T887" s="24" t="str">
        <f aca="false">IF($A887="","",INDEX(Workers!$P$5:$P$2004,MATCH($A887,Workers!$A$5:$A$2004,0))&amp;"")</f>
        <v/>
      </c>
      <c r="U887" s="24" t="str">
        <f aca="false">IF($A887="","",INDEX(Workers!$H$5:$H$2004,MATCH($A887,Workers!$A$5:$A$2004,0))&amp;"")</f>
        <v/>
      </c>
    </row>
    <row r="888" customFormat="false" ht="15" hidden="false" customHeight="false" outlineLevel="0" collapsed="false">
      <c r="A888" s="24" t="str">
        <f aca="false">IFERROR(INDEX(Workers!$A$5:$A$2004,MATCH(ROW()-4,Workers!$U$5:$U$2004,0)),"")</f>
        <v/>
      </c>
      <c r="B888" s="24" t="str">
        <f aca="false">IF($A888="","",INDEX(Workers!$B$5:$B$2004,MATCH($A888,Workers!$A$5:$A$2004,0)))</f>
        <v/>
      </c>
      <c r="C888" s="24" t="str">
        <f aca="false">IF($A888="","",INDEX(Workers!$E$5:$E$2004,MATCH($A888,Workers!$A$5:$A$2004,0)))</f>
        <v/>
      </c>
      <c r="D888" s="24" t="str">
        <f aca="false">IF($A888="","",INDEX(Workers!$K$5:$K$2004,MATCH($A888,Workers!$A$5:$A$2004,0)))</f>
        <v/>
      </c>
      <c r="E888" s="25" t="str">
        <f aca="false">IF($A888="","",SUMIFS(Timesheet!$E$5:$E$3004,Timesheet!$D$5:$D$3004,$A888,Timesheet!$A$5:$A$3004,"&gt;="&amp;Settings!$B$8,Timesheet!$A$5:$A$3004,"&lt;="&amp;Settings!$B$9))</f>
        <v/>
      </c>
      <c r="F888" s="25" t="str">
        <f aca="false">IF($A888="","",SUMIFS(Timesheet!$F$5:$F$3004,Timesheet!$D$5:$D$3004,$A888,Timesheet!$A$5:$A$3004,"&gt;="&amp;Settings!$B$8,Timesheet!$A$5:$A$3004,"&lt;="&amp;Settings!$B$9))</f>
        <v/>
      </c>
      <c r="G888" s="25" t="str">
        <f aca="false">IF($A888="","",SUMIFS(Timesheet!$G$5:$G$3004,Timesheet!$D$5:$D$3004,$A888,Timesheet!$A$5:$A$3004,"&gt;="&amp;Settings!$B$8,Timesheet!$A$5:$A$3004,"&lt;="&amp;Settings!$B$9))</f>
        <v/>
      </c>
      <c r="H888" s="25" t="str">
        <f aca="false">IF($A888="","",IF(D888="Monthly",MAX(0,Settings!$B$11-E888),0))</f>
        <v/>
      </c>
      <c r="I888" s="26" t="str">
        <f aca="false">IF($A888="","",N(INDEX(Workers!$L$5:$L$2004,MATCH($A888,Workers!$A$5:$A$2004,0))))</f>
        <v/>
      </c>
      <c r="J888" s="26" t="str">
        <f aca="false">IF($A888="","",N(INDEX(Workers!$M$5:$M$2004,MATCH($A888,Workers!$A$5:$A$2004,0))))</f>
        <v/>
      </c>
      <c r="K888" s="26" t="str">
        <f aca="false">IF($A888="","",IF(D888="Monthly",ROUND(MAX(0,(I888+J888)-(I888+J888)/Settings!$B$10*H888),2),0))</f>
        <v/>
      </c>
      <c r="L888" s="26" t="str">
        <f aca="false">IF($A888="","",IF(D888="Hourly",ROUND(F888*N(INDEX(Workers!$N$5:$N$2004,MATCH($A888,Workers!$A$5:$A$2004,0))),2),0))</f>
        <v/>
      </c>
      <c r="M888" s="26" t="str">
        <f aca="false">IF($A888="","",ROUND(G888*IF(D888="Hourly",N(INDEX(Workers!$N$5:$N$2004,MATCH($A888,Workers!$A$5:$A$2004,0))),I888/Settings!$B$10/Settings!$B$12)*Settings!$B$13,2))</f>
        <v/>
      </c>
      <c r="N888" s="26" t="str">
        <f aca="false">IF($A888="","",K888+L888+M888)</f>
        <v/>
      </c>
      <c r="O888" s="26" t="str">
        <f aca="false">IF($A888="","",SUMIFS(Deductions!$D$5:$D$2000,Deductions!$B$5:$B$2000,$A888,Deductions!$C$5:$C$2000,"Advance",Deductions!$E$5:$E$2000,"&gt;="&amp;Settings!$B$8,Deductions!$E$5:$E$2000,"&lt;="&amp;Settings!$B$9))</f>
        <v/>
      </c>
      <c r="P888" s="26" t="str">
        <f aca="false">IF($A888="","",SUMIFS(Deductions!$D$5:$D$2000,Deductions!$B$5:$B$2000,$A888,Deductions!$E$5:$E$2000,"&gt;="&amp;Settings!$B$8,Deductions!$E$5:$E$2000,"&lt;="&amp;Settings!$B$9)-O888)</f>
        <v/>
      </c>
      <c r="Q888" s="26" t="str">
        <f aca="false">IF($A888="","",O888+P888)</f>
        <v/>
      </c>
      <c r="R888" s="23" t="str">
        <f aca="false">IF($A888="","",N888-Q888)</f>
        <v/>
      </c>
      <c r="S888" s="24" t="str">
        <f aca="false">IF($A888="","",INDEX(Workers!$O$5:$O$2004,MATCH($A888,Workers!$A$5:$A$2004,0))&amp;"")</f>
        <v/>
      </c>
      <c r="T888" s="24" t="str">
        <f aca="false">IF($A888="","",INDEX(Workers!$P$5:$P$2004,MATCH($A888,Workers!$A$5:$A$2004,0))&amp;"")</f>
        <v/>
      </c>
      <c r="U888" s="24" t="str">
        <f aca="false">IF($A888="","",INDEX(Workers!$H$5:$H$2004,MATCH($A888,Workers!$A$5:$A$2004,0))&amp;"")</f>
        <v/>
      </c>
    </row>
    <row r="889" customFormat="false" ht="15" hidden="false" customHeight="false" outlineLevel="0" collapsed="false">
      <c r="A889" s="24" t="str">
        <f aca="false">IFERROR(INDEX(Workers!$A$5:$A$2004,MATCH(ROW()-4,Workers!$U$5:$U$2004,0)),"")</f>
        <v/>
      </c>
      <c r="B889" s="24" t="str">
        <f aca="false">IF($A889="","",INDEX(Workers!$B$5:$B$2004,MATCH($A889,Workers!$A$5:$A$2004,0)))</f>
        <v/>
      </c>
      <c r="C889" s="24" t="str">
        <f aca="false">IF($A889="","",INDEX(Workers!$E$5:$E$2004,MATCH($A889,Workers!$A$5:$A$2004,0)))</f>
        <v/>
      </c>
      <c r="D889" s="24" t="str">
        <f aca="false">IF($A889="","",INDEX(Workers!$K$5:$K$2004,MATCH($A889,Workers!$A$5:$A$2004,0)))</f>
        <v/>
      </c>
      <c r="E889" s="25" t="str">
        <f aca="false">IF($A889="","",SUMIFS(Timesheet!$E$5:$E$3004,Timesheet!$D$5:$D$3004,$A889,Timesheet!$A$5:$A$3004,"&gt;="&amp;Settings!$B$8,Timesheet!$A$5:$A$3004,"&lt;="&amp;Settings!$B$9))</f>
        <v/>
      </c>
      <c r="F889" s="25" t="str">
        <f aca="false">IF($A889="","",SUMIFS(Timesheet!$F$5:$F$3004,Timesheet!$D$5:$D$3004,$A889,Timesheet!$A$5:$A$3004,"&gt;="&amp;Settings!$B$8,Timesheet!$A$5:$A$3004,"&lt;="&amp;Settings!$B$9))</f>
        <v/>
      </c>
      <c r="G889" s="25" t="str">
        <f aca="false">IF($A889="","",SUMIFS(Timesheet!$G$5:$G$3004,Timesheet!$D$5:$D$3004,$A889,Timesheet!$A$5:$A$3004,"&gt;="&amp;Settings!$B$8,Timesheet!$A$5:$A$3004,"&lt;="&amp;Settings!$B$9))</f>
        <v/>
      </c>
      <c r="H889" s="25" t="str">
        <f aca="false">IF($A889="","",IF(D889="Monthly",MAX(0,Settings!$B$11-E889),0))</f>
        <v/>
      </c>
      <c r="I889" s="26" t="str">
        <f aca="false">IF($A889="","",N(INDEX(Workers!$L$5:$L$2004,MATCH($A889,Workers!$A$5:$A$2004,0))))</f>
        <v/>
      </c>
      <c r="J889" s="26" t="str">
        <f aca="false">IF($A889="","",N(INDEX(Workers!$M$5:$M$2004,MATCH($A889,Workers!$A$5:$A$2004,0))))</f>
        <v/>
      </c>
      <c r="K889" s="26" t="str">
        <f aca="false">IF($A889="","",IF(D889="Monthly",ROUND(MAX(0,(I889+J889)-(I889+J889)/Settings!$B$10*H889),2),0))</f>
        <v/>
      </c>
      <c r="L889" s="26" t="str">
        <f aca="false">IF($A889="","",IF(D889="Hourly",ROUND(F889*N(INDEX(Workers!$N$5:$N$2004,MATCH($A889,Workers!$A$5:$A$2004,0))),2),0))</f>
        <v/>
      </c>
      <c r="M889" s="26" t="str">
        <f aca="false">IF($A889="","",ROUND(G889*IF(D889="Hourly",N(INDEX(Workers!$N$5:$N$2004,MATCH($A889,Workers!$A$5:$A$2004,0))),I889/Settings!$B$10/Settings!$B$12)*Settings!$B$13,2))</f>
        <v/>
      </c>
      <c r="N889" s="26" t="str">
        <f aca="false">IF($A889="","",K889+L889+M889)</f>
        <v/>
      </c>
      <c r="O889" s="26" t="str">
        <f aca="false">IF($A889="","",SUMIFS(Deductions!$D$5:$D$2000,Deductions!$B$5:$B$2000,$A889,Deductions!$C$5:$C$2000,"Advance",Deductions!$E$5:$E$2000,"&gt;="&amp;Settings!$B$8,Deductions!$E$5:$E$2000,"&lt;="&amp;Settings!$B$9))</f>
        <v/>
      </c>
      <c r="P889" s="26" t="str">
        <f aca="false">IF($A889="","",SUMIFS(Deductions!$D$5:$D$2000,Deductions!$B$5:$B$2000,$A889,Deductions!$E$5:$E$2000,"&gt;="&amp;Settings!$B$8,Deductions!$E$5:$E$2000,"&lt;="&amp;Settings!$B$9)-O889)</f>
        <v/>
      </c>
      <c r="Q889" s="26" t="str">
        <f aca="false">IF($A889="","",O889+P889)</f>
        <v/>
      </c>
      <c r="R889" s="23" t="str">
        <f aca="false">IF($A889="","",N889-Q889)</f>
        <v/>
      </c>
      <c r="S889" s="24" t="str">
        <f aca="false">IF($A889="","",INDEX(Workers!$O$5:$O$2004,MATCH($A889,Workers!$A$5:$A$2004,0))&amp;"")</f>
        <v/>
      </c>
      <c r="T889" s="24" t="str">
        <f aca="false">IF($A889="","",INDEX(Workers!$P$5:$P$2004,MATCH($A889,Workers!$A$5:$A$2004,0))&amp;"")</f>
        <v/>
      </c>
      <c r="U889" s="24" t="str">
        <f aca="false">IF($A889="","",INDEX(Workers!$H$5:$H$2004,MATCH($A889,Workers!$A$5:$A$2004,0))&amp;"")</f>
        <v/>
      </c>
    </row>
    <row r="890" customFormat="false" ht="15" hidden="false" customHeight="false" outlineLevel="0" collapsed="false">
      <c r="A890" s="24" t="str">
        <f aca="false">IFERROR(INDEX(Workers!$A$5:$A$2004,MATCH(ROW()-4,Workers!$U$5:$U$2004,0)),"")</f>
        <v/>
      </c>
      <c r="B890" s="24" t="str">
        <f aca="false">IF($A890="","",INDEX(Workers!$B$5:$B$2004,MATCH($A890,Workers!$A$5:$A$2004,0)))</f>
        <v/>
      </c>
      <c r="C890" s="24" t="str">
        <f aca="false">IF($A890="","",INDEX(Workers!$E$5:$E$2004,MATCH($A890,Workers!$A$5:$A$2004,0)))</f>
        <v/>
      </c>
      <c r="D890" s="24" t="str">
        <f aca="false">IF($A890="","",INDEX(Workers!$K$5:$K$2004,MATCH($A890,Workers!$A$5:$A$2004,0)))</f>
        <v/>
      </c>
      <c r="E890" s="25" t="str">
        <f aca="false">IF($A890="","",SUMIFS(Timesheet!$E$5:$E$3004,Timesheet!$D$5:$D$3004,$A890,Timesheet!$A$5:$A$3004,"&gt;="&amp;Settings!$B$8,Timesheet!$A$5:$A$3004,"&lt;="&amp;Settings!$B$9))</f>
        <v/>
      </c>
      <c r="F890" s="25" t="str">
        <f aca="false">IF($A890="","",SUMIFS(Timesheet!$F$5:$F$3004,Timesheet!$D$5:$D$3004,$A890,Timesheet!$A$5:$A$3004,"&gt;="&amp;Settings!$B$8,Timesheet!$A$5:$A$3004,"&lt;="&amp;Settings!$B$9))</f>
        <v/>
      </c>
      <c r="G890" s="25" t="str">
        <f aca="false">IF($A890="","",SUMIFS(Timesheet!$G$5:$G$3004,Timesheet!$D$5:$D$3004,$A890,Timesheet!$A$5:$A$3004,"&gt;="&amp;Settings!$B$8,Timesheet!$A$5:$A$3004,"&lt;="&amp;Settings!$B$9))</f>
        <v/>
      </c>
      <c r="H890" s="25" t="str">
        <f aca="false">IF($A890="","",IF(D890="Monthly",MAX(0,Settings!$B$11-E890),0))</f>
        <v/>
      </c>
      <c r="I890" s="26" t="str">
        <f aca="false">IF($A890="","",N(INDEX(Workers!$L$5:$L$2004,MATCH($A890,Workers!$A$5:$A$2004,0))))</f>
        <v/>
      </c>
      <c r="J890" s="26" t="str">
        <f aca="false">IF($A890="","",N(INDEX(Workers!$M$5:$M$2004,MATCH($A890,Workers!$A$5:$A$2004,0))))</f>
        <v/>
      </c>
      <c r="K890" s="26" t="str">
        <f aca="false">IF($A890="","",IF(D890="Monthly",ROUND(MAX(0,(I890+J890)-(I890+J890)/Settings!$B$10*H890),2),0))</f>
        <v/>
      </c>
      <c r="L890" s="26" t="str">
        <f aca="false">IF($A890="","",IF(D890="Hourly",ROUND(F890*N(INDEX(Workers!$N$5:$N$2004,MATCH($A890,Workers!$A$5:$A$2004,0))),2),0))</f>
        <v/>
      </c>
      <c r="M890" s="26" t="str">
        <f aca="false">IF($A890="","",ROUND(G890*IF(D890="Hourly",N(INDEX(Workers!$N$5:$N$2004,MATCH($A890,Workers!$A$5:$A$2004,0))),I890/Settings!$B$10/Settings!$B$12)*Settings!$B$13,2))</f>
        <v/>
      </c>
      <c r="N890" s="26" t="str">
        <f aca="false">IF($A890="","",K890+L890+M890)</f>
        <v/>
      </c>
      <c r="O890" s="26" t="str">
        <f aca="false">IF($A890="","",SUMIFS(Deductions!$D$5:$D$2000,Deductions!$B$5:$B$2000,$A890,Deductions!$C$5:$C$2000,"Advance",Deductions!$E$5:$E$2000,"&gt;="&amp;Settings!$B$8,Deductions!$E$5:$E$2000,"&lt;="&amp;Settings!$B$9))</f>
        <v/>
      </c>
      <c r="P890" s="26" t="str">
        <f aca="false">IF($A890="","",SUMIFS(Deductions!$D$5:$D$2000,Deductions!$B$5:$B$2000,$A890,Deductions!$E$5:$E$2000,"&gt;="&amp;Settings!$B$8,Deductions!$E$5:$E$2000,"&lt;="&amp;Settings!$B$9)-O890)</f>
        <v/>
      </c>
      <c r="Q890" s="26" t="str">
        <f aca="false">IF($A890="","",O890+P890)</f>
        <v/>
      </c>
      <c r="R890" s="23" t="str">
        <f aca="false">IF($A890="","",N890-Q890)</f>
        <v/>
      </c>
      <c r="S890" s="24" t="str">
        <f aca="false">IF($A890="","",INDEX(Workers!$O$5:$O$2004,MATCH($A890,Workers!$A$5:$A$2004,0))&amp;"")</f>
        <v/>
      </c>
      <c r="T890" s="24" t="str">
        <f aca="false">IF($A890="","",INDEX(Workers!$P$5:$P$2004,MATCH($A890,Workers!$A$5:$A$2004,0))&amp;"")</f>
        <v/>
      </c>
      <c r="U890" s="24" t="str">
        <f aca="false">IF($A890="","",INDEX(Workers!$H$5:$H$2004,MATCH($A890,Workers!$A$5:$A$2004,0))&amp;"")</f>
        <v/>
      </c>
    </row>
    <row r="891" customFormat="false" ht="15" hidden="false" customHeight="false" outlineLevel="0" collapsed="false">
      <c r="A891" s="24" t="str">
        <f aca="false">IFERROR(INDEX(Workers!$A$5:$A$2004,MATCH(ROW()-4,Workers!$U$5:$U$2004,0)),"")</f>
        <v/>
      </c>
      <c r="B891" s="24" t="str">
        <f aca="false">IF($A891="","",INDEX(Workers!$B$5:$B$2004,MATCH($A891,Workers!$A$5:$A$2004,0)))</f>
        <v/>
      </c>
      <c r="C891" s="24" t="str">
        <f aca="false">IF($A891="","",INDEX(Workers!$E$5:$E$2004,MATCH($A891,Workers!$A$5:$A$2004,0)))</f>
        <v/>
      </c>
      <c r="D891" s="24" t="str">
        <f aca="false">IF($A891="","",INDEX(Workers!$K$5:$K$2004,MATCH($A891,Workers!$A$5:$A$2004,0)))</f>
        <v/>
      </c>
      <c r="E891" s="25" t="str">
        <f aca="false">IF($A891="","",SUMIFS(Timesheet!$E$5:$E$3004,Timesheet!$D$5:$D$3004,$A891,Timesheet!$A$5:$A$3004,"&gt;="&amp;Settings!$B$8,Timesheet!$A$5:$A$3004,"&lt;="&amp;Settings!$B$9))</f>
        <v/>
      </c>
      <c r="F891" s="25" t="str">
        <f aca="false">IF($A891="","",SUMIFS(Timesheet!$F$5:$F$3004,Timesheet!$D$5:$D$3004,$A891,Timesheet!$A$5:$A$3004,"&gt;="&amp;Settings!$B$8,Timesheet!$A$5:$A$3004,"&lt;="&amp;Settings!$B$9))</f>
        <v/>
      </c>
      <c r="G891" s="25" t="str">
        <f aca="false">IF($A891="","",SUMIFS(Timesheet!$G$5:$G$3004,Timesheet!$D$5:$D$3004,$A891,Timesheet!$A$5:$A$3004,"&gt;="&amp;Settings!$B$8,Timesheet!$A$5:$A$3004,"&lt;="&amp;Settings!$B$9))</f>
        <v/>
      </c>
      <c r="H891" s="25" t="str">
        <f aca="false">IF($A891="","",IF(D891="Monthly",MAX(0,Settings!$B$11-E891),0))</f>
        <v/>
      </c>
      <c r="I891" s="26" t="str">
        <f aca="false">IF($A891="","",N(INDEX(Workers!$L$5:$L$2004,MATCH($A891,Workers!$A$5:$A$2004,0))))</f>
        <v/>
      </c>
      <c r="J891" s="26" t="str">
        <f aca="false">IF($A891="","",N(INDEX(Workers!$M$5:$M$2004,MATCH($A891,Workers!$A$5:$A$2004,0))))</f>
        <v/>
      </c>
      <c r="K891" s="26" t="str">
        <f aca="false">IF($A891="","",IF(D891="Monthly",ROUND(MAX(0,(I891+J891)-(I891+J891)/Settings!$B$10*H891),2),0))</f>
        <v/>
      </c>
      <c r="L891" s="26" t="str">
        <f aca="false">IF($A891="","",IF(D891="Hourly",ROUND(F891*N(INDEX(Workers!$N$5:$N$2004,MATCH($A891,Workers!$A$5:$A$2004,0))),2),0))</f>
        <v/>
      </c>
      <c r="M891" s="26" t="str">
        <f aca="false">IF($A891="","",ROUND(G891*IF(D891="Hourly",N(INDEX(Workers!$N$5:$N$2004,MATCH($A891,Workers!$A$5:$A$2004,0))),I891/Settings!$B$10/Settings!$B$12)*Settings!$B$13,2))</f>
        <v/>
      </c>
      <c r="N891" s="26" t="str">
        <f aca="false">IF($A891="","",K891+L891+M891)</f>
        <v/>
      </c>
      <c r="O891" s="26" t="str">
        <f aca="false">IF($A891="","",SUMIFS(Deductions!$D$5:$D$2000,Deductions!$B$5:$B$2000,$A891,Deductions!$C$5:$C$2000,"Advance",Deductions!$E$5:$E$2000,"&gt;="&amp;Settings!$B$8,Deductions!$E$5:$E$2000,"&lt;="&amp;Settings!$B$9))</f>
        <v/>
      </c>
      <c r="P891" s="26" t="str">
        <f aca="false">IF($A891="","",SUMIFS(Deductions!$D$5:$D$2000,Deductions!$B$5:$B$2000,$A891,Deductions!$E$5:$E$2000,"&gt;="&amp;Settings!$B$8,Deductions!$E$5:$E$2000,"&lt;="&amp;Settings!$B$9)-O891)</f>
        <v/>
      </c>
      <c r="Q891" s="26" t="str">
        <f aca="false">IF($A891="","",O891+P891)</f>
        <v/>
      </c>
      <c r="R891" s="23" t="str">
        <f aca="false">IF($A891="","",N891-Q891)</f>
        <v/>
      </c>
      <c r="S891" s="24" t="str">
        <f aca="false">IF($A891="","",INDEX(Workers!$O$5:$O$2004,MATCH($A891,Workers!$A$5:$A$2004,0))&amp;"")</f>
        <v/>
      </c>
      <c r="T891" s="24" t="str">
        <f aca="false">IF($A891="","",INDEX(Workers!$P$5:$P$2004,MATCH($A891,Workers!$A$5:$A$2004,0))&amp;"")</f>
        <v/>
      </c>
      <c r="U891" s="24" t="str">
        <f aca="false">IF($A891="","",INDEX(Workers!$H$5:$H$2004,MATCH($A891,Workers!$A$5:$A$2004,0))&amp;"")</f>
        <v/>
      </c>
    </row>
    <row r="892" customFormat="false" ht="15" hidden="false" customHeight="false" outlineLevel="0" collapsed="false">
      <c r="A892" s="24" t="str">
        <f aca="false">IFERROR(INDEX(Workers!$A$5:$A$2004,MATCH(ROW()-4,Workers!$U$5:$U$2004,0)),"")</f>
        <v/>
      </c>
      <c r="B892" s="24" t="str">
        <f aca="false">IF($A892="","",INDEX(Workers!$B$5:$B$2004,MATCH($A892,Workers!$A$5:$A$2004,0)))</f>
        <v/>
      </c>
      <c r="C892" s="24" t="str">
        <f aca="false">IF($A892="","",INDEX(Workers!$E$5:$E$2004,MATCH($A892,Workers!$A$5:$A$2004,0)))</f>
        <v/>
      </c>
      <c r="D892" s="24" t="str">
        <f aca="false">IF($A892="","",INDEX(Workers!$K$5:$K$2004,MATCH($A892,Workers!$A$5:$A$2004,0)))</f>
        <v/>
      </c>
      <c r="E892" s="25" t="str">
        <f aca="false">IF($A892="","",SUMIFS(Timesheet!$E$5:$E$3004,Timesheet!$D$5:$D$3004,$A892,Timesheet!$A$5:$A$3004,"&gt;="&amp;Settings!$B$8,Timesheet!$A$5:$A$3004,"&lt;="&amp;Settings!$B$9))</f>
        <v/>
      </c>
      <c r="F892" s="25" t="str">
        <f aca="false">IF($A892="","",SUMIFS(Timesheet!$F$5:$F$3004,Timesheet!$D$5:$D$3004,$A892,Timesheet!$A$5:$A$3004,"&gt;="&amp;Settings!$B$8,Timesheet!$A$5:$A$3004,"&lt;="&amp;Settings!$B$9))</f>
        <v/>
      </c>
      <c r="G892" s="25" t="str">
        <f aca="false">IF($A892="","",SUMIFS(Timesheet!$G$5:$G$3004,Timesheet!$D$5:$D$3004,$A892,Timesheet!$A$5:$A$3004,"&gt;="&amp;Settings!$B$8,Timesheet!$A$5:$A$3004,"&lt;="&amp;Settings!$B$9))</f>
        <v/>
      </c>
      <c r="H892" s="25" t="str">
        <f aca="false">IF($A892="","",IF(D892="Monthly",MAX(0,Settings!$B$11-E892),0))</f>
        <v/>
      </c>
      <c r="I892" s="26" t="str">
        <f aca="false">IF($A892="","",N(INDEX(Workers!$L$5:$L$2004,MATCH($A892,Workers!$A$5:$A$2004,0))))</f>
        <v/>
      </c>
      <c r="J892" s="26" t="str">
        <f aca="false">IF($A892="","",N(INDEX(Workers!$M$5:$M$2004,MATCH($A892,Workers!$A$5:$A$2004,0))))</f>
        <v/>
      </c>
      <c r="K892" s="26" t="str">
        <f aca="false">IF($A892="","",IF(D892="Monthly",ROUND(MAX(0,(I892+J892)-(I892+J892)/Settings!$B$10*H892),2),0))</f>
        <v/>
      </c>
      <c r="L892" s="26" t="str">
        <f aca="false">IF($A892="","",IF(D892="Hourly",ROUND(F892*N(INDEX(Workers!$N$5:$N$2004,MATCH($A892,Workers!$A$5:$A$2004,0))),2),0))</f>
        <v/>
      </c>
      <c r="M892" s="26" t="str">
        <f aca="false">IF($A892="","",ROUND(G892*IF(D892="Hourly",N(INDEX(Workers!$N$5:$N$2004,MATCH($A892,Workers!$A$5:$A$2004,0))),I892/Settings!$B$10/Settings!$B$12)*Settings!$B$13,2))</f>
        <v/>
      </c>
      <c r="N892" s="26" t="str">
        <f aca="false">IF($A892="","",K892+L892+M892)</f>
        <v/>
      </c>
      <c r="O892" s="26" t="str">
        <f aca="false">IF($A892="","",SUMIFS(Deductions!$D$5:$D$2000,Deductions!$B$5:$B$2000,$A892,Deductions!$C$5:$C$2000,"Advance",Deductions!$E$5:$E$2000,"&gt;="&amp;Settings!$B$8,Deductions!$E$5:$E$2000,"&lt;="&amp;Settings!$B$9))</f>
        <v/>
      </c>
      <c r="P892" s="26" t="str">
        <f aca="false">IF($A892="","",SUMIFS(Deductions!$D$5:$D$2000,Deductions!$B$5:$B$2000,$A892,Deductions!$E$5:$E$2000,"&gt;="&amp;Settings!$B$8,Deductions!$E$5:$E$2000,"&lt;="&amp;Settings!$B$9)-O892)</f>
        <v/>
      </c>
      <c r="Q892" s="26" t="str">
        <f aca="false">IF($A892="","",O892+P892)</f>
        <v/>
      </c>
      <c r="R892" s="23" t="str">
        <f aca="false">IF($A892="","",N892-Q892)</f>
        <v/>
      </c>
      <c r="S892" s="24" t="str">
        <f aca="false">IF($A892="","",INDEX(Workers!$O$5:$O$2004,MATCH($A892,Workers!$A$5:$A$2004,0))&amp;"")</f>
        <v/>
      </c>
      <c r="T892" s="24" t="str">
        <f aca="false">IF($A892="","",INDEX(Workers!$P$5:$P$2004,MATCH($A892,Workers!$A$5:$A$2004,0))&amp;"")</f>
        <v/>
      </c>
      <c r="U892" s="24" t="str">
        <f aca="false">IF($A892="","",INDEX(Workers!$H$5:$H$2004,MATCH($A892,Workers!$A$5:$A$2004,0))&amp;"")</f>
        <v/>
      </c>
    </row>
    <row r="893" customFormat="false" ht="15" hidden="false" customHeight="false" outlineLevel="0" collapsed="false">
      <c r="A893" s="24" t="str">
        <f aca="false">IFERROR(INDEX(Workers!$A$5:$A$2004,MATCH(ROW()-4,Workers!$U$5:$U$2004,0)),"")</f>
        <v/>
      </c>
      <c r="B893" s="24" t="str">
        <f aca="false">IF($A893="","",INDEX(Workers!$B$5:$B$2004,MATCH($A893,Workers!$A$5:$A$2004,0)))</f>
        <v/>
      </c>
      <c r="C893" s="24" t="str">
        <f aca="false">IF($A893="","",INDEX(Workers!$E$5:$E$2004,MATCH($A893,Workers!$A$5:$A$2004,0)))</f>
        <v/>
      </c>
      <c r="D893" s="24" t="str">
        <f aca="false">IF($A893="","",INDEX(Workers!$K$5:$K$2004,MATCH($A893,Workers!$A$5:$A$2004,0)))</f>
        <v/>
      </c>
      <c r="E893" s="25" t="str">
        <f aca="false">IF($A893="","",SUMIFS(Timesheet!$E$5:$E$3004,Timesheet!$D$5:$D$3004,$A893,Timesheet!$A$5:$A$3004,"&gt;="&amp;Settings!$B$8,Timesheet!$A$5:$A$3004,"&lt;="&amp;Settings!$B$9))</f>
        <v/>
      </c>
      <c r="F893" s="25" t="str">
        <f aca="false">IF($A893="","",SUMIFS(Timesheet!$F$5:$F$3004,Timesheet!$D$5:$D$3004,$A893,Timesheet!$A$5:$A$3004,"&gt;="&amp;Settings!$B$8,Timesheet!$A$5:$A$3004,"&lt;="&amp;Settings!$B$9))</f>
        <v/>
      </c>
      <c r="G893" s="25" t="str">
        <f aca="false">IF($A893="","",SUMIFS(Timesheet!$G$5:$G$3004,Timesheet!$D$5:$D$3004,$A893,Timesheet!$A$5:$A$3004,"&gt;="&amp;Settings!$B$8,Timesheet!$A$5:$A$3004,"&lt;="&amp;Settings!$B$9))</f>
        <v/>
      </c>
      <c r="H893" s="25" t="str">
        <f aca="false">IF($A893="","",IF(D893="Monthly",MAX(0,Settings!$B$11-E893),0))</f>
        <v/>
      </c>
      <c r="I893" s="26" t="str">
        <f aca="false">IF($A893="","",N(INDEX(Workers!$L$5:$L$2004,MATCH($A893,Workers!$A$5:$A$2004,0))))</f>
        <v/>
      </c>
      <c r="J893" s="26" t="str">
        <f aca="false">IF($A893="","",N(INDEX(Workers!$M$5:$M$2004,MATCH($A893,Workers!$A$5:$A$2004,0))))</f>
        <v/>
      </c>
      <c r="K893" s="26" t="str">
        <f aca="false">IF($A893="","",IF(D893="Monthly",ROUND(MAX(0,(I893+J893)-(I893+J893)/Settings!$B$10*H893),2),0))</f>
        <v/>
      </c>
      <c r="L893" s="26" t="str">
        <f aca="false">IF($A893="","",IF(D893="Hourly",ROUND(F893*N(INDEX(Workers!$N$5:$N$2004,MATCH($A893,Workers!$A$5:$A$2004,0))),2),0))</f>
        <v/>
      </c>
      <c r="M893" s="26" t="str">
        <f aca="false">IF($A893="","",ROUND(G893*IF(D893="Hourly",N(INDEX(Workers!$N$5:$N$2004,MATCH($A893,Workers!$A$5:$A$2004,0))),I893/Settings!$B$10/Settings!$B$12)*Settings!$B$13,2))</f>
        <v/>
      </c>
      <c r="N893" s="26" t="str">
        <f aca="false">IF($A893="","",K893+L893+M893)</f>
        <v/>
      </c>
      <c r="O893" s="26" t="str">
        <f aca="false">IF($A893="","",SUMIFS(Deductions!$D$5:$D$2000,Deductions!$B$5:$B$2000,$A893,Deductions!$C$5:$C$2000,"Advance",Deductions!$E$5:$E$2000,"&gt;="&amp;Settings!$B$8,Deductions!$E$5:$E$2000,"&lt;="&amp;Settings!$B$9))</f>
        <v/>
      </c>
      <c r="P893" s="26" t="str">
        <f aca="false">IF($A893="","",SUMIFS(Deductions!$D$5:$D$2000,Deductions!$B$5:$B$2000,$A893,Deductions!$E$5:$E$2000,"&gt;="&amp;Settings!$B$8,Deductions!$E$5:$E$2000,"&lt;="&amp;Settings!$B$9)-O893)</f>
        <v/>
      </c>
      <c r="Q893" s="26" t="str">
        <f aca="false">IF($A893="","",O893+P893)</f>
        <v/>
      </c>
      <c r="R893" s="23" t="str">
        <f aca="false">IF($A893="","",N893-Q893)</f>
        <v/>
      </c>
      <c r="S893" s="24" t="str">
        <f aca="false">IF($A893="","",INDEX(Workers!$O$5:$O$2004,MATCH($A893,Workers!$A$5:$A$2004,0))&amp;"")</f>
        <v/>
      </c>
      <c r="T893" s="24" t="str">
        <f aca="false">IF($A893="","",INDEX(Workers!$P$5:$P$2004,MATCH($A893,Workers!$A$5:$A$2004,0))&amp;"")</f>
        <v/>
      </c>
      <c r="U893" s="24" t="str">
        <f aca="false">IF($A893="","",INDEX(Workers!$H$5:$H$2004,MATCH($A893,Workers!$A$5:$A$2004,0))&amp;"")</f>
        <v/>
      </c>
    </row>
    <row r="894" customFormat="false" ht="15" hidden="false" customHeight="false" outlineLevel="0" collapsed="false">
      <c r="A894" s="24" t="str">
        <f aca="false">IFERROR(INDEX(Workers!$A$5:$A$2004,MATCH(ROW()-4,Workers!$U$5:$U$2004,0)),"")</f>
        <v/>
      </c>
      <c r="B894" s="24" t="str">
        <f aca="false">IF($A894="","",INDEX(Workers!$B$5:$B$2004,MATCH($A894,Workers!$A$5:$A$2004,0)))</f>
        <v/>
      </c>
      <c r="C894" s="24" t="str">
        <f aca="false">IF($A894="","",INDEX(Workers!$E$5:$E$2004,MATCH($A894,Workers!$A$5:$A$2004,0)))</f>
        <v/>
      </c>
      <c r="D894" s="24" t="str">
        <f aca="false">IF($A894="","",INDEX(Workers!$K$5:$K$2004,MATCH($A894,Workers!$A$5:$A$2004,0)))</f>
        <v/>
      </c>
      <c r="E894" s="25" t="str">
        <f aca="false">IF($A894="","",SUMIFS(Timesheet!$E$5:$E$3004,Timesheet!$D$5:$D$3004,$A894,Timesheet!$A$5:$A$3004,"&gt;="&amp;Settings!$B$8,Timesheet!$A$5:$A$3004,"&lt;="&amp;Settings!$B$9))</f>
        <v/>
      </c>
      <c r="F894" s="25" t="str">
        <f aca="false">IF($A894="","",SUMIFS(Timesheet!$F$5:$F$3004,Timesheet!$D$5:$D$3004,$A894,Timesheet!$A$5:$A$3004,"&gt;="&amp;Settings!$B$8,Timesheet!$A$5:$A$3004,"&lt;="&amp;Settings!$B$9))</f>
        <v/>
      </c>
      <c r="G894" s="25" t="str">
        <f aca="false">IF($A894="","",SUMIFS(Timesheet!$G$5:$G$3004,Timesheet!$D$5:$D$3004,$A894,Timesheet!$A$5:$A$3004,"&gt;="&amp;Settings!$B$8,Timesheet!$A$5:$A$3004,"&lt;="&amp;Settings!$B$9))</f>
        <v/>
      </c>
      <c r="H894" s="25" t="str">
        <f aca="false">IF($A894="","",IF(D894="Monthly",MAX(0,Settings!$B$11-E894),0))</f>
        <v/>
      </c>
      <c r="I894" s="26" t="str">
        <f aca="false">IF($A894="","",N(INDEX(Workers!$L$5:$L$2004,MATCH($A894,Workers!$A$5:$A$2004,0))))</f>
        <v/>
      </c>
      <c r="J894" s="26" t="str">
        <f aca="false">IF($A894="","",N(INDEX(Workers!$M$5:$M$2004,MATCH($A894,Workers!$A$5:$A$2004,0))))</f>
        <v/>
      </c>
      <c r="K894" s="26" t="str">
        <f aca="false">IF($A894="","",IF(D894="Monthly",ROUND(MAX(0,(I894+J894)-(I894+J894)/Settings!$B$10*H894),2),0))</f>
        <v/>
      </c>
      <c r="L894" s="26" t="str">
        <f aca="false">IF($A894="","",IF(D894="Hourly",ROUND(F894*N(INDEX(Workers!$N$5:$N$2004,MATCH($A894,Workers!$A$5:$A$2004,0))),2),0))</f>
        <v/>
      </c>
      <c r="M894" s="26" t="str">
        <f aca="false">IF($A894="","",ROUND(G894*IF(D894="Hourly",N(INDEX(Workers!$N$5:$N$2004,MATCH($A894,Workers!$A$5:$A$2004,0))),I894/Settings!$B$10/Settings!$B$12)*Settings!$B$13,2))</f>
        <v/>
      </c>
      <c r="N894" s="26" t="str">
        <f aca="false">IF($A894="","",K894+L894+M894)</f>
        <v/>
      </c>
      <c r="O894" s="26" t="str">
        <f aca="false">IF($A894="","",SUMIFS(Deductions!$D$5:$D$2000,Deductions!$B$5:$B$2000,$A894,Deductions!$C$5:$C$2000,"Advance",Deductions!$E$5:$E$2000,"&gt;="&amp;Settings!$B$8,Deductions!$E$5:$E$2000,"&lt;="&amp;Settings!$B$9))</f>
        <v/>
      </c>
      <c r="P894" s="26" t="str">
        <f aca="false">IF($A894="","",SUMIFS(Deductions!$D$5:$D$2000,Deductions!$B$5:$B$2000,$A894,Deductions!$E$5:$E$2000,"&gt;="&amp;Settings!$B$8,Deductions!$E$5:$E$2000,"&lt;="&amp;Settings!$B$9)-O894)</f>
        <v/>
      </c>
      <c r="Q894" s="26" t="str">
        <f aca="false">IF($A894="","",O894+P894)</f>
        <v/>
      </c>
      <c r="R894" s="23" t="str">
        <f aca="false">IF($A894="","",N894-Q894)</f>
        <v/>
      </c>
      <c r="S894" s="24" t="str">
        <f aca="false">IF($A894="","",INDEX(Workers!$O$5:$O$2004,MATCH($A894,Workers!$A$5:$A$2004,0))&amp;"")</f>
        <v/>
      </c>
      <c r="T894" s="24" t="str">
        <f aca="false">IF($A894="","",INDEX(Workers!$P$5:$P$2004,MATCH($A894,Workers!$A$5:$A$2004,0))&amp;"")</f>
        <v/>
      </c>
      <c r="U894" s="24" t="str">
        <f aca="false">IF($A894="","",INDEX(Workers!$H$5:$H$2004,MATCH($A894,Workers!$A$5:$A$2004,0))&amp;"")</f>
        <v/>
      </c>
    </row>
    <row r="895" customFormat="false" ht="15" hidden="false" customHeight="false" outlineLevel="0" collapsed="false">
      <c r="A895" s="24" t="str">
        <f aca="false">IFERROR(INDEX(Workers!$A$5:$A$2004,MATCH(ROW()-4,Workers!$U$5:$U$2004,0)),"")</f>
        <v/>
      </c>
      <c r="B895" s="24" t="str">
        <f aca="false">IF($A895="","",INDEX(Workers!$B$5:$B$2004,MATCH($A895,Workers!$A$5:$A$2004,0)))</f>
        <v/>
      </c>
      <c r="C895" s="24" t="str">
        <f aca="false">IF($A895="","",INDEX(Workers!$E$5:$E$2004,MATCH($A895,Workers!$A$5:$A$2004,0)))</f>
        <v/>
      </c>
      <c r="D895" s="24" t="str">
        <f aca="false">IF($A895="","",INDEX(Workers!$K$5:$K$2004,MATCH($A895,Workers!$A$5:$A$2004,0)))</f>
        <v/>
      </c>
      <c r="E895" s="25" t="str">
        <f aca="false">IF($A895="","",SUMIFS(Timesheet!$E$5:$E$3004,Timesheet!$D$5:$D$3004,$A895,Timesheet!$A$5:$A$3004,"&gt;="&amp;Settings!$B$8,Timesheet!$A$5:$A$3004,"&lt;="&amp;Settings!$B$9))</f>
        <v/>
      </c>
      <c r="F895" s="25" t="str">
        <f aca="false">IF($A895="","",SUMIFS(Timesheet!$F$5:$F$3004,Timesheet!$D$5:$D$3004,$A895,Timesheet!$A$5:$A$3004,"&gt;="&amp;Settings!$B$8,Timesheet!$A$5:$A$3004,"&lt;="&amp;Settings!$B$9))</f>
        <v/>
      </c>
      <c r="G895" s="25" t="str">
        <f aca="false">IF($A895="","",SUMIFS(Timesheet!$G$5:$G$3004,Timesheet!$D$5:$D$3004,$A895,Timesheet!$A$5:$A$3004,"&gt;="&amp;Settings!$B$8,Timesheet!$A$5:$A$3004,"&lt;="&amp;Settings!$B$9))</f>
        <v/>
      </c>
      <c r="H895" s="25" t="str">
        <f aca="false">IF($A895="","",IF(D895="Monthly",MAX(0,Settings!$B$11-E895),0))</f>
        <v/>
      </c>
      <c r="I895" s="26" t="str">
        <f aca="false">IF($A895="","",N(INDEX(Workers!$L$5:$L$2004,MATCH($A895,Workers!$A$5:$A$2004,0))))</f>
        <v/>
      </c>
      <c r="J895" s="26" t="str">
        <f aca="false">IF($A895="","",N(INDEX(Workers!$M$5:$M$2004,MATCH($A895,Workers!$A$5:$A$2004,0))))</f>
        <v/>
      </c>
      <c r="K895" s="26" t="str">
        <f aca="false">IF($A895="","",IF(D895="Monthly",ROUND(MAX(0,(I895+J895)-(I895+J895)/Settings!$B$10*H895),2),0))</f>
        <v/>
      </c>
      <c r="L895" s="26" t="str">
        <f aca="false">IF($A895="","",IF(D895="Hourly",ROUND(F895*N(INDEX(Workers!$N$5:$N$2004,MATCH($A895,Workers!$A$5:$A$2004,0))),2),0))</f>
        <v/>
      </c>
      <c r="M895" s="26" t="str">
        <f aca="false">IF($A895="","",ROUND(G895*IF(D895="Hourly",N(INDEX(Workers!$N$5:$N$2004,MATCH($A895,Workers!$A$5:$A$2004,0))),I895/Settings!$B$10/Settings!$B$12)*Settings!$B$13,2))</f>
        <v/>
      </c>
      <c r="N895" s="26" t="str">
        <f aca="false">IF($A895="","",K895+L895+M895)</f>
        <v/>
      </c>
      <c r="O895" s="26" t="str">
        <f aca="false">IF($A895="","",SUMIFS(Deductions!$D$5:$D$2000,Deductions!$B$5:$B$2000,$A895,Deductions!$C$5:$C$2000,"Advance",Deductions!$E$5:$E$2000,"&gt;="&amp;Settings!$B$8,Deductions!$E$5:$E$2000,"&lt;="&amp;Settings!$B$9))</f>
        <v/>
      </c>
      <c r="P895" s="26" t="str">
        <f aca="false">IF($A895="","",SUMIFS(Deductions!$D$5:$D$2000,Deductions!$B$5:$B$2000,$A895,Deductions!$E$5:$E$2000,"&gt;="&amp;Settings!$B$8,Deductions!$E$5:$E$2000,"&lt;="&amp;Settings!$B$9)-O895)</f>
        <v/>
      </c>
      <c r="Q895" s="26" t="str">
        <f aca="false">IF($A895="","",O895+P895)</f>
        <v/>
      </c>
      <c r="R895" s="23" t="str">
        <f aca="false">IF($A895="","",N895-Q895)</f>
        <v/>
      </c>
      <c r="S895" s="24" t="str">
        <f aca="false">IF($A895="","",INDEX(Workers!$O$5:$O$2004,MATCH($A895,Workers!$A$5:$A$2004,0))&amp;"")</f>
        <v/>
      </c>
      <c r="T895" s="24" t="str">
        <f aca="false">IF($A895="","",INDEX(Workers!$P$5:$P$2004,MATCH($A895,Workers!$A$5:$A$2004,0))&amp;"")</f>
        <v/>
      </c>
      <c r="U895" s="24" t="str">
        <f aca="false">IF($A895="","",INDEX(Workers!$H$5:$H$2004,MATCH($A895,Workers!$A$5:$A$2004,0))&amp;"")</f>
        <v/>
      </c>
    </row>
    <row r="896" customFormat="false" ht="15" hidden="false" customHeight="false" outlineLevel="0" collapsed="false">
      <c r="A896" s="24" t="str">
        <f aca="false">IFERROR(INDEX(Workers!$A$5:$A$2004,MATCH(ROW()-4,Workers!$U$5:$U$2004,0)),"")</f>
        <v/>
      </c>
      <c r="B896" s="24" t="str">
        <f aca="false">IF($A896="","",INDEX(Workers!$B$5:$B$2004,MATCH($A896,Workers!$A$5:$A$2004,0)))</f>
        <v/>
      </c>
      <c r="C896" s="24" t="str">
        <f aca="false">IF($A896="","",INDEX(Workers!$E$5:$E$2004,MATCH($A896,Workers!$A$5:$A$2004,0)))</f>
        <v/>
      </c>
      <c r="D896" s="24" t="str">
        <f aca="false">IF($A896="","",INDEX(Workers!$K$5:$K$2004,MATCH($A896,Workers!$A$5:$A$2004,0)))</f>
        <v/>
      </c>
      <c r="E896" s="25" t="str">
        <f aca="false">IF($A896="","",SUMIFS(Timesheet!$E$5:$E$3004,Timesheet!$D$5:$D$3004,$A896,Timesheet!$A$5:$A$3004,"&gt;="&amp;Settings!$B$8,Timesheet!$A$5:$A$3004,"&lt;="&amp;Settings!$B$9))</f>
        <v/>
      </c>
      <c r="F896" s="25" t="str">
        <f aca="false">IF($A896="","",SUMIFS(Timesheet!$F$5:$F$3004,Timesheet!$D$5:$D$3004,$A896,Timesheet!$A$5:$A$3004,"&gt;="&amp;Settings!$B$8,Timesheet!$A$5:$A$3004,"&lt;="&amp;Settings!$B$9))</f>
        <v/>
      </c>
      <c r="G896" s="25" t="str">
        <f aca="false">IF($A896="","",SUMIFS(Timesheet!$G$5:$G$3004,Timesheet!$D$5:$D$3004,$A896,Timesheet!$A$5:$A$3004,"&gt;="&amp;Settings!$B$8,Timesheet!$A$5:$A$3004,"&lt;="&amp;Settings!$B$9))</f>
        <v/>
      </c>
      <c r="H896" s="25" t="str">
        <f aca="false">IF($A896="","",IF(D896="Monthly",MAX(0,Settings!$B$11-E896),0))</f>
        <v/>
      </c>
      <c r="I896" s="26" t="str">
        <f aca="false">IF($A896="","",N(INDEX(Workers!$L$5:$L$2004,MATCH($A896,Workers!$A$5:$A$2004,0))))</f>
        <v/>
      </c>
      <c r="J896" s="26" t="str">
        <f aca="false">IF($A896="","",N(INDEX(Workers!$M$5:$M$2004,MATCH($A896,Workers!$A$5:$A$2004,0))))</f>
        <v/>
      </c>
      <c r="K896" s="26" t="str">
        <f aca="false">IF($A896="","",IF(D896="Monthly",ROUND(MAX(0,(I896+J896)-(I896+J896)/Settings!$B$10*H896),2),0))</f>
        <v/>
      </c>
      <c r="L896" s="26" t="str">
        <f aca="false">IF($A896="","",IF(D896="Hourly",ROUND(F896*N(INDEX(Workers!$N$5:$N$2004,MATCH($A896,Workers!$A$5:$A$2004,0))),2),0))</f>
        <v/>
      </c>
      <c r="M896" s="26" t="str">
        <f aca="false">IF($A896="","",ROUND(G896*IF(D896="Hourly",N(INDEX(Workers!$N$5:$N$2004,MATCH($A896,Workers!$A$5:$A$2004,0))),I896/Settings!$B$10/Settings!$B$12)*Settings!$B$13,2))</f>
        <v/>
      </c>
      <c r="N896" s="26" t="str">
        <f aca="false">IF($A896="","",K896+L896+M896)</f>
        <v/>
      </c>
      <c r="O896" s="26" t="str">
        <f aca="false">IF($A896="","",SUMIFS(Deductions!$D$5:$D$2000,Deductions!$B$5:$B$2000,$A896,Deductions!$C$5:$C$2000,"Advance",Deductions!$E$5:$E$2000,"&gt;="&amp;Settings!$B$8,Deductions!$E$5:$E$2000,"&lt;="&amp;Settings!$B$9))</f>
        <v/>
      </c>
      <c r="P896" s="26" t="str">
        <f aca="false">IF($A896="","",SUMIFS(Deductions!$D$5:$D$2000,Deductions!$B$5:$B$2000,$A896,Deductions!$E$5:$E$2000,"&gt;="&amp;Settings!$B$8,Deductions!$E$5:$E$2000,"&lt;="&amp;Settings!$B$9)-O896)</f>
        <v/>
      </c>
      <c r="Q896" s="26" t="str">
        <f aca="false">IF($A896="","",O896+P896)</f>
        <v/>
      </c>
      <c r="R896" s="23" t="str">
        <f aca="false">IF($A896="","",N896-Q896)</f>
        <v/>
      </c>
      <c r="S896" s="24" t="str">
        <f aca="false">IF($A896="","",INDEX(Workers!$O$5:$O$2004,MATCH($A896,Workers!$A$5:$A$2004,0))&amp;"")</f>
        <v/>
      </c>
      <c r="T896" s="24" t="str">
        <f aca="false">IF($A896="","",INDEX(Workers!$P$5:$P$2004,MATCH($A896,Workers!$A$5:$A$2004,0))&amp;"")</f>
        <v/>
      </c>
      <c r="U896" s="24" t="str">
        <f aca="false">IF($A896="","",INDEX(Workers!$H$5:$H$2004,MATCH($A896,Workers!$A$5:$A$2004,0))&amp;"")</f>
        <v/>
      </c>
    </row>
    <row r="897" customFormat="false" ht="15" hidden="false" customHeight="false" outlineLevel="0" collapsed="false">
      <c r="A897" s="24" t="str">
        <f aca="false">IFERROR(INDEX(Workers!$A$5:$A$2004,MATCH(ROW()-4,Workers!$U$5:$U$2004,0)),"")</f>
        <v/>
      </c>
      <c r="B897" s="24" t="str">
        <f aca="false">IF($A897="","",INDEX(Workers!$B$5:$B$2004,MATCH($A897,Workers!$A$5:$A$2004,0)))</f>
        <v/>
      </c>
      <c r="C897" s="24" t="str">
        <f aca="false">IF($A897="","",INDEX(Workers!$E$5:$E$2004,MATCH($A897,Workers!$A$5:$A$2004,0)))</f>
        <v/>
      </c>
      <c r="D897" s="24" t="str">
        <f aca="false">IF($A897="","",INDEX(Workers!$K$5:$K$2004,MATCH($A897,Workers!$A$5:$A$2004,0)))</f>
        <v/>
      </c>
      <c r="E897" s="25" t="str">
        <f aca="false">IF($A897="","",SUMIFS(Timesheet!$E$5:$E$3004,Timesheet!$D$5:$D$3004,$A897,Timesheet!$A$5:$A$3004,"&gt;="&amp;Settings!$B$8,Timesheet!$A$5:$A$3004,"&lt;="&amp;Settings!$B$9))</f>
        <v/>
      </c>
      <c r="F897" s="25" t="str">
        <f aca="false">IF($A897="","",SUMIFS(Timesheet!$F$5:$F$3004,Timesheet!$D$5:$D$3004,$A897,Timesheet!$A$5:$A$3004,"&gt;="&amp;Settings!$B$8,Timesheet!$A$5:$A$3004,"&lt;="&amp;Settings!$B$9))</f>
        <v/>
      </c>
      <c r="G897" s="25" t="str">
        <f aca="false">IF($A897="","",SUMIFS(Timesheet!$G$5:$G$3004,Timesheet!$D$5:$D$3004,$A897,Timesheet!$A$5:$A$3004,"&gt;="&amp;Settings!$B$8,Timesheet!$A$5:$A$3004,"&lt;="&amp;Settings!$B$9))</f>
        <v/>
      </c>
      <c r="H897" s="25" t="str">
        <f aca="false">IF($A897="","",IF(D897="Monthly",MAX(0,Settings!$B$11-E897),0))</f>
        <v/>
      </c>
      <c r="I897" s="26" t="str">
        <f aca="false">IF($A897="","",N(INDEX(Workers!$L$5:$L$2004,MATCH($A897,Workers!$A$5:$A$2004,0))))</f>
        <v/>
      </c>
      <c r="J897" s="26" t="str">
        <f aca="false">IF($A897="","",N(INDEX(Workers!$M$5:$M$2004,MATCH($A897,Workers!$A$5:$A$2004,0))))</f>
        <v/>
      </c>
      <c r="K897" s="26" t="str">
        <f aca="false">IF($A897="","",IF(D897="Monthly",ROUND(MAX(0,(I897+J897)-(I897+J897)/Settings!$B$10*H897),2),0))</f>
        <v/>
      </c>
      <c r="L897" s="26" t="str">
        <f aca="false">IF($A897="","",IF(D897="Hourly",ROUND(F897*N(INDEX(Workers!$N$5:$N$2004,MATCH($A897,Workers!$A$5:$A$2004,0))),2),0))</f>
        <v/>
      </c>
      <c r="M897" s="26" t="str">
        <f aca="false">IF($A897="","",ROUND(G897*IF(D897="Hourly",N(INDEX(Workers!$N$5:$N$2004,MATCH($A897,Workers!$A$5:$A$2004,0))),I897/Settings!$B$10/Settings!$B$12)*Settings!$B$13,2))</f>
        <v/>
      </c>
      <c r="N897" s="26" t="str">
        <f aca="false">IF($A897="","",K897+L897+M897)</f>
        <v/>
      </c>
      <c r="O897" s="26" t="str">
        <f aca="false">IF($A897="","",SUMIFS(Deductions!$D$5:$D$2000,Deductions!$B$5:$B$2000,$A897,Deductions!$C$5:$C$2000,"Advance",Deductions!$E$5:$E$2000,"&gt;="&amp;Settings!$B$8,Deductions!$E$5:$E$2000,"&lt;="&amp;Settings!$B$9))</f>
        <v/>
      </c>
      <c r="P897" s="26" t="str">
        <f aca="false">IF($A897="","",SUMIFS(Deductions!$D$5:$D$2000,Deductions!$B$5:$B$2000,$A897,Deductions!$E$5:$E$2000,"&gt;="&amp;Settings!$B$8,Deductions!$E$5:$E$2000,"&lt;="&amp;Settings!$B$9)-O897)</f>
        <v/>
      </c>
      <c r="Q897" s="26" t="str">
        <f aca="false">IF($A897="","",O897+P897)</f>
        <v/>
      </c>
      <c r="R897" s="23" t="str">
        <f aca="false">IF($A897="","",N897-Q897)</f>
        <v/>
      </c>
      <c r="S897" s="24" t="str">
        <f aca="false">IF($A897="","",INDEX(Workers!$O$5:$O$2004,MATCH($A897,Workers!$A$5:$A$2004,0))&amp;"")</f>
        <v/>
      </c>
      <c r="T897" s="24" t="str">
        <f aca="false">IF($A897="","",INDEX(Workers!$P$5:$P$2004,MATCH($A897,Workers!$A$5:$A$2004,0))&amp;"")</f>
        <v/>
      </c>
      <c r="U897" s="24" t="str">
        <f aca="false">IF($A897="","",INDEX(Workers!$H$5:$H$2004,MATCH($A897,Workers!$A$5:$A$2004,0))&amp;"")</f>
        <v/>
      </c>
    </row>
    <row r="898" customFormat="false" ht="15" hidden="false" customHeight="false" outlineLevel="0" collapsed="false">
      <c r="A898" s="24" t="str">
        <f aca="false">IFERROR(INDEX(Workers!$A$5:$A$2004,MATCH(ROW()-4,Workers!$U$5:$U$2004,0)),"")</f>
        <v/>
      </c>
      <c r="B898" s="24" t="str">
        <f aca="false">IF($A898="","",INDEX(Workers!$B$5:$B$2004,MATCH($A898,Workers!$A$5:$A$2004,0)))</f>
        <v/>
      </c>
      <c r="C898" s="24" t="str">
        <f aca="false">IF($A898="","",INDEX(Workers!$E$5:$E$2004,MATCH($A898,Workers!$A$5:$A$2004,0)))</f>
        <v/>
      </c>
      <c r="D898" s="24" t="str">
        <f aca="false">IF($A898="","",INDEX(Workers!$K$5:$K$2004,MATCH($A898,Workers!$A$5:$A$2004,0)))</f>
        <v/>
      </c>
      <c r="E898" s="25" t="str">
        <f aca="false">IF($A898="","",SUMIFS(Timesheet!$E$5:$E$3004,Timesheet!$D$5:$D$3004,$A898,Timesheet!$A$5:$A$3004,"&gt;="&amp;Settings!$B$8,Timesheet!$A$5:$A$3004,"&lt;="&amp;Settings!$B$9))</f>
        <v/>
      </c>
      <c r="F898" s="25" t="str">
        <f aca="false">IF($A898="","",SUMIFS(Timesheet!$F$5:$F$3004,Timesheet!$D$5:$D$3004,$A898,Timesheet!$A$5:$A$3004,"&gt;="&amp;Settings!$B$8,Timesheet!$A$5:$A$3004,"&lt;="&amp;Settings!$B$9))</f>
        <v/>
      </c>
      <c r="G898" s="25" t="str">
        <f aca="false">IF($A898="","",SUMIFS(Timesheet!$G$5:$G$3004,Timesheet!$D$5:$D$3004,$A898,Timesheet!$A$5:$A$3004,"&gt;="&amp;Settings!$B$8,Timesheet!$A$5:$A$3004,"&lt;="&amp;Settings!$B$9))</f>
        <v/>
      </c>
      <c r="H898" s="25" t="str">
        <f aca="false">IF($A898="","",IF(D898="Monthly",MAX(0,Settings!$B$11-E898),0))</f>
        <v/>
      </c>
      <c r="I898" s="26" t="str">
        <f aca="false">IF($A898="","",N(INDEX(Workers!$L$5:$L$2004,MATCH($A898,Workers!$A$5:$A$2004,0))))</f>
        <v/>
      </c>
      <c r="J898" s="26" t="str">
        <f aca="false">IF($A898="","",N(INDEX(Workers!$M$5:$M$2004,MATCH($A898,Workers!$A$5:$A$2004,0))))</f>
        <v/>
      </c>
      <c r="K898" s="26" t="str">
        <f aca="false">IF($A898="","",IF(D898="Monthly",ROUND(MAX(0,(I898+J898)-(I898+J898)/Settings!$B$10*H898),2),0))</f>
        <v/>
      </c>
      <c r="L898" s="26" t="str">
        <f aca="false">IF($A898="","",IF(D898="Hourly",ROUND(F898*N(INDEX(Workers!$N$5:$N$2004,MATCH($A898,Workers!$A$5:$A$2004,0))),2),0))</f>
        <v/>
      </c>
      <c r="M898" s="26" t="str">
        <f aca="false">IF($A898="","",ROUND(G898*IF(D898="Hourly",N(INDEX(Workers!$N$5:$N$2004,MATCH($A898,Workers!$A$5:$A$2004,0))),I898/Settings!$B$10/Settings!$B$12)*Settings!$B$13,2))</f>
        <v/>
      </c>
      <c r="N898" s="26" t="str">
        <f aca="false">IF($A898="","",K898+L898+M898)</f>
        <v/>
      </c>
      <c r="O898" s="26" t="str">
        <f aca="false">IF($A898="","",SUMIFS(Deductions!$D$5:$D$2000,Deductions!$B$5:$B$2000,$A898,Deductions!$C$5:$C$2000,"Advance",Deductions!$E$5:$E$2000,"&gt;="&amp;Settings!$B$8,Deductions!$E$5:$E$2000,"&lt;="&amp;Settings!$B$9))</f>
        <v/>
      </c>
      <c r="P898" s="26" t="str">
        <f aca="false">IF($A898="","",SUMIFS(Deductions!$D$5:$D$2000,Deductions!$B$5:$B$2000,$A898,Deductions!$E$5:$E$2000,"&gt;="&amp;Settings!$B$8,Deductions!$E$5:$E$2000,"&lt;="&amp;Settings!$B$9)-O898)</f>
        <v/>
      </c>
      <c r="Q898" s="26" t="str">
        <f aca="false">IF($A898="","",O898+P898)</f>
        <v/>
      </c>
      <c r="R898" s="23" t="str">
        <f aca="false">IF($A898="","",N898-Q898)</f>
        <v/>
      </c>
      <c r="S898" s="24" t="str">
        <f aca="false">IF($A898="","",INDEX(Workers!$O$5:$O$2004,MATCH($A898,Workers!$A$5:$A$2004,0))&amp;"")</f>
        <v/>
      </c>
      <c r="T898" s="24" t="str">
        <f aca="false">IF($A898="","",INDEX(Workers!$P$5:$P$2004,MATCH($A898,Workers!$A$5:$A$2004,0))&amp;"")</f>
        <v/>
      </c>
      <c r="U898" s="24" t="str">
        <f aca="false">IF($A898="","",INDEX(Workers!$H$5:$H$2004,MATCH($A898,Workers!$A$5:$A$2004,0))&amp;"")</f>
        <v/>
      </c>
    </row>
    <row r="899" customFormat="false" ht="15" hidden="false" customHeight="false" outlineLevel="0" collapsed="false">
      <c r="A899" s="24" t="str">
        <f aca="false">IFERROR(INDEX(Workers!$A$5:$A$2004,MATCH(ROW()-4,Workers!$U$5:$U$2004,0)),"")</f>
        <v/>
      </c>
      <c r="B899" s="24" t="str">
        <f aca="false">IF($A899="","",INDEX(Workers!$B$5:$B$2004,MATCH($A899,Workers!$A$5:$A$2004,0)))</f>
        <v/>
      </c>
      <c r="C899" s="24" t="str">
        <f aca="false">IF($A899="","",INDEX(Workers!$E$5:$E$2004,MATCH($A899,Workers!$A$5:$A$2004,0)))</f>
        <v/>
      </c>
      <c r="D899" s="24" t="str">
        <f aca="false">IF($A899="","",INDEX(Workers!$K$5:$K$2004,MATCH($A899,Workers!$A$5:$A$2004,0)))</f>
        <v/>
      </c>
      <c r="E899" s="25" t="str">
        <f aca="false">IF($A899="","",SUMIFS(Timesheet!$E$5:$E$3004,Timesheet!$D$5:$D$3004,$A899,Timesheet!$A$5:$A$3004,"&gt;="&amp;Settings!$B$8,Timesheet!$A$5:$A$3004,"&lt;="&amp;Settings!$B$9))</f>
        <v/>
      </c>
      <c r="F899" s="25" t="str">
        <f aca="false">IF($A899="","",SUMIFS(Timesheet!$F$5:$F$3004,Timesheet!$D$5:$D$3004,$A899,Timesheet!$A$5:$A$3004,"&gt;="&amp;Settings!$B$8,Timesheet!$A$5:$A$3004,"&lt;="&amp;Settings!$B$9))</f>
        <v/>
      </c>
      <c r="G899" s="25" t="str">
        <f aca="false">IF($A899="","",SUMIFS(Timesheet!$G$5:$G$3004,Timesheet!$D$5:$D$3004,$A899,Timesheet!$A$5:$A$3004,"&gt;="&amp;Settings!$B$8,Timesheet!$A$5:$A$3004,"&lt;="&amp;Settings!$B$9))</f>
        <v/>
      </c>
      <c r="H899" s="25" t="str">
        <f aca="false">IF($A899="","",IF(D899="Monthly",MAX(0,Settings!$B$11-E899),0))</f>
        <v/>
      </c>
      <c r="I899" s="26" t="str">
        <f aca="false">IF($A899="","",N(INDEX(Workers!$L$5:$L$2004,MATCH($A899,Workers!$A$5:$A$2004,0))))</f>
        <v/>
      </c>
      <c r="J899" s="26" t="str">
        <f aca="false">IF($A899="","",N(INDEX(Workers!$M$5:$M$2004,MATCH($A899,Workers!$A$5:$A$2004,0))))</f>
        <v/>
      </c>
      <c r="K899" s="26" t="str">
        <f aca="false">IF($A899="","",IF(D899="Monthly",ROUND(MAX(0,(I899+J899)-(I899+J899)/Settings!$B$10*H899),2),0))</f>
        <v/>
      </c>
      <c r="L899" s="26" t="str">
        <f aca="false">IF($A899="","",IF(D899="Hourly",ROUND(F899*N(INDEX(Workers!$N$5:$N$2004,MATCH($A899,Workers!$A$5:$A$2004,0))),2),0))</f>
        <v/>
      </c>
      <c r="M899" s="26" t="str">
        <f aca="false">IF($A899="","",ROUND(G899*IF(D899="Hourly",N(INDEX(Workers!$N$5:$N$2004,MATCH($A899,Workers!$A$5:$A$2004,0))),I899/Settings!$B$10/Settings!$B$12)*Settings!$B$13,2))</f>
        <v/>
      </c>
      <c r="N899" s="26" t="str">
        <f aca="false">IF($A899="","",K899+L899+M899)</f>
        <v/>
      </c>
      <c r="O899" s="26" t="str">
        <f aca="false">IF($A899="","",SUMIFS(Deductions!$D$5:$D$2000,Deductions!$B$5:$B$2000,$A899,Deductions!$C$5:$C$2000,"Advance",Deductions!$E$5:$E$2000,"&gt;="&amp;Settings!$B$8,Deductions!$E$5:$E$2000,"&lt;="&amp;Settings!$B$9))</f>
        <v/>
      </c>
      <c r="P899" s="26" t="str">
        <f aca="false">IF($A899="","",SUMIFS(Deductions!$D$5:$D$2000,Deductions!$B$5:$B$2000,$A899,Deductions!$E$5:$E$2000,"&gt;="&amp;Settings!$B$8,Deductions!$E$5:$E$2000,"&lt;="&amp;Settings!$B$9)-O899)</f>
        <v/>
      </c>
      <c r="Q899" s="26" t="str">
        <f aca="false">IF($A899="","",O899+P899)</f>
        <v/>
      </c>
      <c r="R899" s="23" t="str">
        <f aca="false">IF($A899="","",N899-Q899)</f>
        <v/>
      </c>
      <c r="S899" s="24" t="str">
        <f aca="false">IF($A899="","",INDEX(Workers!$O$5:$O$2004,MATCH($A899,Workers!$A$5:$A$2004,0))&amp;"")</f>
        <v/>
      </c>
      <c r="T899" s="24" t="str">
        <f aca="false">IF($A899="","",INDEX(Workers!$P$5:$P$2004,MATCH($A899,Workers!$A$5:$A$2004,0))&amp;"")</f>
        <v/>
      </c>
      <c r="U899" s="24" t="str">
        <f aca="false">IF($A899="","",INDEX(Workers!$H$5:$H$2004,MATCH($A899,Workers!$A$5:$A$2004,0))&amp;"")</f>
        <v/>
      </c>
    </row>
    <row r="900" customFormat="false" ht="15" hidden="false" customHeight="false" outlineLevel="0" collapsed="false">
      <c r="A900" s="24" t="str">
        <f aca="false">IFERROR(INDEX(Workers!$A$5:$A$2004,MATCH(ROW()-4,Workers!$U$5:$U$2004,0)),"")</f>
        <v/>
      </c>
      <c r="B900" s="24" t="str">
        <f aca="false">IF($A900="","",INDEX(Workers!$B$5:$B$2004,MATCH($A900,Workers!$A$5:$A$2004,0)))</f>
        <v/>
      </c>
      <c r="C900" s="24" t="str">
        <f aca="false">IF($A900="","",INDEX(Workers!$E$5:$E$2004,MATCH($A900,Workers!$A$5:$A$2004,0)))</f>
        <v/>
      </c>
      <c r="D900" s="24" t="str">
        <f aca="false">IF($A900="","",INDEX(Workers!$K$5:$K$2004,MATCH($A900,Workers!$A$5:$A$2004,0)))</f>
        <v/>
      </c>
      <c r="E900" s="25" t="str">
        <f aca="false">IF($A900="","",SUMIFS(Timesheet!$E$5:$E$3004,Timesheet!$D$5:$D$3004,$A900,Timesheet!$A$5:$A$3004,"&gt;="&amp;Settings!$B$8,Timesheet!$A$5:$A$3004,"&lt;="&amp;Settings!$B$9))</f>
        <v/>
      </c>
      <c r="F900" s="25" t="str">
        <f aca="false">IF($A900="","",SUMIFS(Timesheet!$F$5:$F$3004,Timesheet!$D$5:$D$3004,$A900,Timesheet!$A$5:$A$3004,"&gt;="&amp;Settings!$B$8,Timesheet!$A$5:$A$3004,"&lt;="&amp;Settings!$B$9))</f>
        <v/>
      </c>
      <c r="G900" s="25" t="str">
        <f aca="false">IF($A900="","",SUMIFS(Timesheet!$G$5:$G$3004,Timesheet!$D$5:$D$3004,$A900,Timesheet!$A$5:$A$3004,"&gt;="&amp;Settings!$B$8,Timesheet!$A$5:$A$3004,"&lt;="&amp;Settings!$B$9))</f>
        <v/>
      </c>
      <c r="H900" s="25" t="str">
        <f aca="false">IF($A900="","",IF(D900="Monthly",MAX(0,Settings!$B$11-E900),0))</f>
        <v/>
      </c>
      <c r="I900" s="26" t="str">
        <f aca="false">IF($A900="","",N(INDEX(Workers!$L$5:$L$2004,MATCH($A900,Workers!$A$5:$A$2004,0))))</f>
        <v/>
      </c>
      <c r="J900" s="26" t="str">
        <f aca="false">IF($A900="","",N(INDEX(Workers!$M$5:$M$2004,MATCH($A900,Workers!$A$5:$A$2004,0))))</f>
        <v/>
      </c>
      <c r="K900" s="26" t="str">
        <f aca="false">IF($A900="","",IF(D900="Monthly",ROUND(MAX(0,(I900+J900)-(I900+J900)/Settings!$B$10*H900),2),0))</f>
        <v/>
      </c>
      <c r="L900" s="26" t="str">
        <f aca="false">IF($A900="","",IF(D900="Hourly",ROUND(F900*N(INDEX(Workers!$N$5:$N$2004,MATCH($A900,Workers!$A$5:$A$2004,0))),2),0))</f>
        <v/>
      </c>
      <c r="M900" s="26" t="str">
        <f aca="false">IF($A900="","",ROUND(G900*IF(D900="Hourly",N(INDEX(Workers!$N$5:$N$2004,MATCH($A900,Workers!$A$5:$A$2004,0))),I900/Settings!$B$10/Settings!$B$12)*Settings!$B$13,2))</f>
        <v/>
      </c>
      <c r="N900" s="26" t="str">
        <f aca="false">IF($A900="","",K900+L900+M900)</f>
        <v/>
      </c>
      <c r="O900" s="26" t="str">
        <f aca="false">IF($A900="","",SUMIFS(Deductions!$D$5:$D$2000,Deductions!$B$5:$B$2000,$A900,Deductions!$C$5:$C$2000,"Advance",Deductions!$E$5:$E$2000,"&gt;="&amp;Settings!$B$8,Deductions!$E$5:$E$2000,"&lt;="&amp;Settings!$B$9))</f>
        <v/>
      </c>
      <c r="P900" s="26" t="str">
        <f aca="false">IF($A900="","",SUMIFS(Deductions!$D$5:$D$2000,Deductions!$B$5:$B$2000,$A900,Deductions!$E$5:$E$2000,"&gt;="&amp;Settings!$B$8,Deductions!$E$5:$E$2000,"&lt;="&amp;Settings!$B$9)-O900)</f>
        <v/>
      </c>
      <c r="Q900" s="26" t="str">
        <f aca="false">IF($A900="","",O900+P900)</f>
        <v/>
      </c>
      <c r="R900" s="23" t="str">
        <f aca="false">IF($A900="","",N900-Q900)</f>
        <v/>
      </c>
      <c r="S900" s="24" t="str">
        <f aca="false">IF($A900="","",INDEX(Workers!$O$5:$O$2004,MATCH($A900,Workers!$A$5:$A$2004,0))&amp;"")</f>
        <v/>
      </c>
      <c r="T900" s="24" t="str">
        <f aca="false">IF($A900="","",INDEX(Workers!$P$5:$P$2004,MATCH($A900,Workers!$A$5:$A$2004,0))&amp;"")</f>
        <v/>
      </c>
      <c r="U900" s="24" t="str">
        <f aca="false">IF($A900="","",INDEX(Workers!$H$5:$H$2004,MATCH($A900,Workers!$A$5:$A$2004,0))&amp;"")</f>
        <v/>
      </c>
    </row>
    <row r="901" customFormat="false" ht="15" hidden="false" customHeight="false" outlineLevel="0" collapsed="false">
      <c r="A901" s="24" t="str">
        <f aca="false">IFERROR(INDEX(Workers!$A$5:$A$2004,MATCH(ROW()-4,Workers!$U$5:$U$2004,0)),"")</f>
        <v/>
      </c>
      <c r="B901" s="24" t="str">
        <f aca="false">IF($A901="","",INDEX(Workers!$B$5:$B$2004,MATCH($A901,Workers!$A$5:$A$2004,0)))</f>
        <v/>
      </c>
      <c r="C901" s="24" t="str">
        <f aca="false">IF($A901="","",INDEX(Workers!$E$5:$E$2004,MATCH($A901,Workers!$A$5:$A$2004,0)))</f>
        <v/>
      </c>
      <c r="D901" s="24" t="str">
        <f aca="false">IF($A901="","",INDEX(Workers!$K$5:$K$2004,MATCH($A901,Workers!$A$5:$A$2004,0)))</f>
        <v/>
      </c>
      <c r="E901" s="25" t="str">
        <f aca="false">IF($A901="","",SUMIFS(Timesheet!$E$5:$E$3004,Timesheet!$D$5:$D$3004,$A901,Timesheet!$A$5:$A$3004,"&gt;="&amp;Settings!$B$8,Timesheet!$A$5:$A$3004,"&lt;="&amp;Settings!$B$9))</f>
        <v/>
      </c>
      <c r="F901" s="25" t="str">
        <f aca="false">IF($A901="","",SUMIFS(Timesheet!$F$5:$F$3004,Timesheet!$D$5:$D$3004,$A901,Timesheet!$A$5:$A$3004,"&gt;="&amp;Settings!$B$8,Timesheet!$A$5:$A$3004,"&lt;="&amp;Settings!$B$9))</f>
        <v/>
      </c>
      <c r="G901" s="25" t="str">
        <f aca="false">IF($A901="","",SUMIFS(Timesheet!$G$5:$G$3004,Timesheet!$D$5:$D$3004,$A901,Timesheet!$A$5:$A$3004,"&gt;="&amp;Settings!$B$8,Timesheet!$A$5:$A$3004,"&lt;="&amp;Settings!$B$9))</f>
        <v/>
      </c>
      <c r="H901" s="25" t="str">
        <f aca="false">IF($A901="","",IF(D901="Monthly",MAX(0,Settings!$B$11-E901),0))</f>
        <v/>
      </c>
      <c r="I901" s="26" t="str">
        <f aca="false">IF($A901="","",N(INDEX(Workers!$L$5:$L$2004,MATCH($A901,Workers!$A$5:$A$2004,0))))</f>
        <v/>
      </c>
      <c r="J901" s="26" t="str">
        <f aca="false">IF($A901="","",N(INDEX(Workers!$M$5:$M$2004,MATCH($A901,Workers!$A$5:$A$2004,0))))</f>
        <v/>
      </c>
      <c r="K901" s="26" t="str">
        <f aca="false">IF($A901="","",IF(D901="Monthly",ROUND(MAX(0,(I901+J901)-(I901+J901)/Settings!$B$10*H901),2),0))</f>
        <v/>
      </c>
      <c r="L901" s="26" t="str">
        <f aca="false">IF($A901="","",IF(D901="Hourly",ROUND(F901*N(INDEX(Workers!$N$5:$N$2004,MATCH($A901,Workers!$A$5:$A$2004,0))),2),0))</f>
        <v/>
      </c>
      <c r="M901" s="26" t="str">
        <f aca="false">IF($A901="","",ROUND(G901*IF(D901="Hourly",N(INDEX(Workers!$N$5:$N$2004,MATCH($A901,Workers!$A$5:$A$2004,0))),I901/Settings!$B$10/Settings!$B$12)*Settings!$B$13,2))</f>
        <v/>
      </c>
      <c r="N901" s="26" t="str">
        <f aca="false">IF($A901="","",K901+L901+M901)</f>
        <v/>
      </c>
      <c r="O901" s="26" t="str">
        <f aca="false">IF($A901="","",SUMIFS(Deductions!$D$5:$D$2000,Deductions!$B$5:$B$2000,$A901,Deductions!$C$5:$C$2000,"Advance",Deductions!$E$5:$E$2000,"&gt;="&amp;Settings!$B$8,Deductions!$E$5:$E$2000,"&lt;="&amp;Settings!$B$9))</f>
        <v/>
      </c>
      <c r="P901" s="26" t="str">
        <f aca="false">IF($A901="","",SUMIFS(Deductions!$D$5:$D$2000,Deductions!$B$5:$B$2000,$A901,Deductions!$E$5:$E$2000,"&gt;="&amp;Settings!$B$8,Deductions!$E$5:$E$2000,"&lt;="&amp;Settings!$B$9)-O901)</f>
        <v/>
      </c>
      <c r="Q901" s="26" t="str">
        <f aca="false">IF($A901="","",O901+P901)</f>
        <v/>
      </c>
      <c r="R901" s="23" t="str">
        <f aca="false">IF($A901="","",N901-Q901)</f>
        <v/>
      </c>
      <c r="S901" s="24" t="str">
        <f aca="false">IF($A901="","",INDEX(Workers!$O$5:$O$2004,MATCH($A901,Workers!$A$5:$A$2004,0))&amp;"")</f>
        <v/>
      </c>
      <c r="T901" s="24" t="str">
        <f aca="false">IF($A901="","",INDEX(Workers!$P$5:$P$2004,MATCH($A901,Workers!$A$5:$A$2004,0))&amp;"")</f>
        <v/>
      </c>
      <c r="U901" s="24" t="str">
        <f aca="false">IF($A901="","",INDEX(Workers!$H$5:$H$2004,MATCH($A901,Workers!$A$5:$A$2004,0))&amp;"")</f>
        <v/>
      </c>
    </row>
    <row r="902" customFormat="false" ht="15" hidden="false" customHeight="false" outlineLevel="0" collapsed="false">
      <c r="A902" s="24" t="str">
        <f aca="false">IFERROR(INDEX(Workers!$A$5:$A$2004,MATCH(ROW()-4,Workers!$U$5:$U$2004,0)),"")</f>
        <v/>
      </c>
      <c r="B902" s="24" t="str">
        <f aca="false">IF($A902="","",INDEX(Workers!$B$5:$B$2004,MATCH($A902,Workers!$A$5:$A$2004,0)))</f>
        <v/>
      </c>
      <c r="C902" s="24" t="str">
        <f aca="false">IF($A902="","",INDEX(Workers!$E$5:$E$2004,MATCH($A902,Workers!$A$5:$A$2004,0)))</f>
        <v/>
      </c>
      <c r="D902" s="24" t="str">
        <f aca="false">IF($A902="","",INDEX(Workers!$K$5:$K$2004,MATCH($A902,Workers!$A$5:$A$2004,0)))</f>
        <v/>
      </c>
      <c r="E902" s="25" t="str">
        <f aca="false">IF($A902="","",SUMIFS(Timesheet!$E$5:$E$3004,Timesheet!$D$5:$D$3004,$A902,Timesheet!$A$5:$A$3004,"&gt;="&amp;Settings!$B$8,Timesheet!$A$5:$A$3004,"&lt;="&amp;Settings!$B$9))</f>
        <v/>
      </c>
      <c r="F902" s="25" t="str">
        <f aca="false">IF($A902="","",SUMIFS(Timesheet!$F$5:$F$3004,Timesheet!$D$5:$D$3004,$A902,Timesheet!$A$5:$A$3004,"&gt;="&amp;Settings!$B$8,Timesheet!$A$5:$A$3004,"&lt;="&amp;Settings!$B$9))</f>
        <v/>
      </c>
      <c r="G902" s="25" t="str">
        <f aca="false">IF($A902="","",SUMIFS(Timesheet!$G$5:$G$3004,Timesheet!$D$5:$D$3004,$A902,Timesheet!$A$5:$A$3004,"&gt;="&amp;Settings!$B$8,Timesheet!$A$5:$A$3004,"&lt;="&amp;Settings!$B$9))</f>
        <v/>
      </c>
      <c r="H902" s="25" t="str">
        <f aca="false">IF($A902="","",IF(D902="Monthly",MAX(0,Settings!$B$11-E902),0))</f>
        <v/>
      </c>
      <c r="I902" s="26" t="str">
        <f aca="false">IF($A902="","",N(INDEX(Workers!$L$5:$L$2004,MATCH($A902,Workers!$A$5:$A$2004,0))))</f>
        <v/>
      </c>
      <c r="J902" s="26" t="str">
        <f aca="false">IF($A902="","",N(INDEX(Workers!$M$5:$M$2004,MATCH($A902,Workers!$A$5:$A$2004,0))))</f>
        <v/>
      </c>
      <c r="K902" s="26" t="str">
        <f aca="false">IF($A902="","",IF(D902="Monthly",ROUND(MAX(0,(I902+J902)-(I902+J902)/Settings!$B$10*H902),2),0))</f>
        <v/>
      </c>
      <c r="L902" s="26" t="str">
        <f aca="false">IF($A902="","",IF(D902="Hourly",ROUND(F902*N(INDEX(Workers!$N$5:$N$2004,MATCH($A902,Workers!$A$5:$A$2004,0))),2),0))</f>
        <v/>
      </c>
      <c r="M902" s="26" t="str">
        <f aca="false">IF($A902="","",ROUND(G902*IF(D902="Hourly",N(INDEX(Workers!$N$5:$N$2004,MATCH($A902,Workers!$A$5:$A$2004,0))),I902/Settings!$B$10/Settings!$B$12)*Settings!$B$13,2))</f>
        <v/>
      </c>
      <c r="N902" s="26" t="str">
        <f aca="false">IF($A902="","",K902+L902+M902)</f>
        <v/>
      </c>
      <c r="O902" s="26" t="str">
        <f aca="false">IF($A902="","",SUMIFS(Deductions!$D$5:$D$2000,Deductions!$B$5:$B$2000,$A902,Deductions!$C$5:$C$2000,"Advance",Deductions!$E$5:$E$2000,"&gt;="&amp;Settings!$B$8,Deductions!$E$5:$E$2000,"&lt;="&amp;Settings!$B$9))</f>
        <v/>
      </c>
      <c r="P902" s="26" t="str">
        <f aca="false">IF($A902="","",SUMIFS(Deductions!$D$5:$D$2000,Deductions!$B$5:$B$2000,$A902,Deductions!$E$5:$E$2000,"&gt;="&amp;Settings!$B$8,Deductions!$E$5:$E$2000,"&lt;="&amp;Settings!$B$9)-O902)</f>
        <v/>
      </c>
      <c r="Q902" s="26" t="str">
        <f aca="false">IF($A902="","",O902+P902)</f>
        <v/>
      </c>
      <c r="R902" s="23" t="str">
        <f aca="false">IF($A902="","",N902-Q902)</f>
        <v/>
      </c>
      <c r="S902" s="24" t="str">
        <f aca="false">IF($A902="","",INDEX(Workers!$O$5:$O$2004,MATCH($A902,Workers!$A$5:$A$2004,0))&amp;"")</f>
        <v/>
      </c>
      <c r="T902" s="24" t="str">
        <f aca="false">IF($A902="","",INDEX(Workers!$P$5:$P$2004,MATCH($A902,Workers!$A$5:$A$2004,0))&amp;"")</f>
        <v/>
      </c>
      <c r="U902" s="24" t="str">
        <f aca="false">IF($A902="","",INDEX(Workers!$H$5:$H$2004,MATCH($A902,Workers!$A$5:$A$2004,0))&amp;"")</f>
        <v/>
      </c>
    </row>
    <row r="903" customFormat="false" ht="15" hidden="false" customHeight="false" outlineLevel="0" collapsed="false">
      <c r="A903" s="24" t="str">
        <f aca="false">IFERROR(INDEX(Workers!$A$5:$A$2004,MATCH(ROW()-4,Workers!$U$5:$U$2004,0)),"")</f>
        <v/>
      </c>
      <c r="B903" s="24" t="str">
        <f aca="false">IF($A903="","",INDEX(Workers!$B$5:$B$2004,MATCH($A903,Workers!$A$5:$A$2004,0)))</f>
        <v/>
      </c>
      <c r="C903" s="24" t="str">
        <f aca="false">IF($A903="","",INDEX(Workers!$E$5:$E$2004,MATCH($A903,Workers!$A$5:$A$2004,0)))</f>
        <v/>
      </c>
      <c r="D903" s="24" t="str">
        <f aca="false">IF($A903="","",INDEX(Workers!$K$5:$K$2004,MATCH($A903,Workers!$A$5:$A$2004,0)))</f>
        <v/>
      </c>
      <c r="E903" s="25" t="str">
        <f aca="false">IF($A903="","",SUMIFS(Timesheet!$E$5:$E$3004,Timesheet!$D$5:$D$3004,$A903,Timesheet!$A$5:$A$3004,"&gt;="&amp;Settings!$B$8,Timesheet!$A$5:$A$3004,"&lt;="&amp;Settings!$B$9))</f>
        <v/>
      </c>
      <c r="F903" s="25" t="str">
        <f aca="false">IF($A903="","",SUMIFS(Timesheet!$F$5:$F$3004,Timesheet!$D$5:$D$3004,$A903,Timesheet!$A$5:$A$3004,"&gt;="&amp;Settings!$B$8,Timesheet!$A$5:$A$3004,"&lt;="&amp;Settings!$B$9))</f>
        <v/>
      </c>
      <c r="G903" s="25" t="str">
        <f aca="false">IF($A903="","",SUMIFS(Timesheet!$G$5:$G$3004,Timesheet!$D$5:$D$3004,$A903,Timesheet!$A$5:$A$3004,"&gt;="&amp;Settings!$B$8,Timesheet!$A$5:$A$3004,"&lt;="&amp;Settings!$B$9))</f>
        <v/>
      </c>
      <c r="H903" s="25" t="str">
        <f aca="false">IF($A903="","",IF(D903="Monthly",MAX(0,Settings!$B$11-E903),0))</f>
        <v/>
      </c>
      <c r="I903" s="26" t="str">
        <f aca="false">IF($A903="","",N(INDEX(Workers!$L$5:$L$2004,MATCH($A903,Workers!$A$5:$A$2004,0))))</f>
        <v/>
      </c>
      <c r="J903" s="26" t="str">
        <f aca="false">IF($A903="","",N(INDEX(Workers!$M$5:$M$2004,MATCH($A903,Workers!$A$5:$A$2004,0))))</f>
        <v/>
      </c>
      <c r="K903" s="26" t="str">
        <f aca="false">IF($A903="","",IF(D903="Monthly",ROUND(MAX(0,(I903+J903)-(I903+J903)/Settings!$B$10*H903),2),0))</f>
        <v/>
      </c>
      <c r="L903" s="26" t="str">
        <f aca="false">IF($A903="","",IF(D903="Hourly",ROUND(F903*N(INDEX(Workers!$N$5:$N$2004,MATCH($A903,Workers!$A$5:$A$2004,0))),2),0))</f>
        <v/>
      </c>
      <c r="M903" s="26" t="str">
        <f aca="false">IF($A903="","",ROUND(G903*IF(D903="Hourly",N(INDEX(Workers!$N$5:$N$2004,MATCH($A903,Workers!$A$5:$A$2004,0))),I903/Settings!$B$10/Settings!$B$12)*Settings!$B$13,2))</f>
        <v/>
      </c>
      <c r="N903" s="26" t="str">
        <f aca="false">IF($A903="","",K903+L903+M903)</f>
        <v/>
      </c>
      <c r="O903" s="26" t="str">
        <f aca="false">IF($A903="","",SUMIFS(Deductions!$D$5:$D$2000,Deductions!$B$5:$B$2000,$A903,Deductions!$C$5:$C$2000,"Advance",Deductions!$E$5:$E$2000,"&gt;="&amp;Settings!$B$8,Deductions!$E$5:$E$2000,"&lt;="&amp;Settings!$B$9))</f>
        <v/>
      </c>
      <c r="P903" s="26" t="str">
        <f aca="false">IF($A903="","",SUMIFS(Deductions!$D$5:$D$2000,Deductions!$B$5:$B$2000,$A903,Deductions!$E$5:$E$2000,"&gt;="&amp;Settings!$B$8,Deductions!$E$5:$E$2000,"&lt;="&amp;Settings!$B$9)-O903)</f>
        <v/>
      </c>
      <c r="Q903" s="26" t="str">
        <f aca="false">IF($A903="","",O903+P903)</f>
        <v/>
      </c>
      <c r="R903" s="23" t="str">
        <f aca="false">IF($A903="","",N903-Q903)</f>
        <v/>
      </c>
      <c r="S903" s="24" t="str">
        <f aca="false">IF($A903="","",INDEX(Workers!$O$5:$O$2004,MATCH($A903,Workers!$A$5:$A$2004,0))&amp;"")</f>
        <v/>
      </c>
      <c r="T903" s="24" t="str">
        <f aca="false">IF($A903="","",INDEX(Workers!$P$5:$P$2004,MATCH($A903,Workers!$A$5:$A$2004,0))&amp;"")</f>
        <v/>
      </c>
      <c r="U903" s="24" t="str">
        <f aca="false">IF($A903="","",INDEX(Workers!$H$5:$H$2004,MATCH($A903,Workers!$A$5:$A$2004,0))&amp;"")</f>
        <v/>
      </c>
    </row>
    <row r="904" customFormat="false" ht="15" hidden="false" customHeight="false" outlineLevel="0" collapsed="false">
      <c r="A904" s="24" t="str">
        <f aca="false">IFERROR(INDEX(Workers!$A$5:$A$2004,MATCH(ROW()-4,Workers!$U$5:$U$2004,0)),"")</f>
        <v/>
      </c>
      <c r="B904" s="24" t="str">
        <f aca="false">IF($A904="","",INDEX(Workers!$B$5:$B$2004,MATCH($A904,Workers!$A$5:$A$2004,0)))</f>
        <v/>
      </c>
      <c r="C904" s="24" t="str">
        <f aca="false">IF($A904="","",INDEX(Workers!$E$5:$E$2004,MATCH($A904,Workers!$A$5:$A$2004,0)))</f>
        <v/>
      </c>
      <c r="D904" s="24" t="str">
        <f aca="false">IF($A904="","",INDEX(Workers!$K$5:$K$2004,MATCH($A904,Workers!$A$5:$A$2004,0)))</f>
        <v/>
      </c>
      <c r="E904" s="25" t="str">
        <f aca="false">IF($A904="","",SUMIFS(Timesheet!$E$5:$E$3004,Timesheet!$D$5:$D$3004,$A904,Timesheet!$A$5:$A$3004,"&gt;="&amp;Settings!$B$8,Timesheet!$A$5:$A$3004,"&lt;="&amp;Settings!$B$9))</f>
        <v/>
      </c>
      <c r="F904" s="25" t="str">
        <f aca="false">IF($A904="","",SUMIFS(Timesheet!$F$5:$F$3004,Timesheet!$D$5:$D$3004,$A904,Timesheet!$A$5:$A$3004,"&gt;="&amp;Settings!$B$8,Timesheet!$A$5:$A$3004,"&lt;="&amp;Settings!$B$9))</f>
        <v/>
      </c>
      <c r="G904" s="25" t="str">
        <f aca="false">IF($A904="","",SUMIFS(Timesheet!$G$5:$G$3004,Timesheet!$D$5:$D$3004,$A904,Timesheet!$A$5:$A$3004,"&gt;="&amp;Settings!$B$8,Timesheet!$A$5:$A$3004,"&lt;="&amp;Settings!$B$9))</f>
        <v/>
      </c>
      <c r="H904" s="25" t="str">
        <f aca="false">IF($A904="","",IF(D904="Monthly",MAX(0,Settings!$B$11-E904),0))</f>
        <v/>
      </c>
      <c r="I904" s="26" t="str">
        <f aca="false">IF($A904="","",N(INDEX(Workers!$L$5:$L$2004,MATCH($A904,Workers!$A$5:$A$2004,0))))</f>
        <v/>
      </c>
      <c r="J904" s="26" t="str">
        <f aca="false">IF($A904="","",N(INDEX(Workers!$M$5:$M$2004,MATCH($A904,Workers!$A$5:$A$2004,0))))</f>
        <v/>
      </c>
      <c r="K904" s="26" t="str">
        <f aca="false">IF($A904="","",IF(D904="Monthly",ROUND(MAX(0,(I904+J904)-(I904+J904)/Settings!$B$10*H904),2),0))</f>
        <v/>
      </c>
      <c r="L904" s="26" t="str">
        <f aca="false">IF($A904="","",IF(D904="Hourly",ROUND(F904*N(INDEX(Workers!$N$5:$N$2004,MATCH($A904,Workers!$A$5:$A$2004,0))),2),0))</f>
        <v/>
      </c>
      <c r="M904" s="26" t="str">
        <f aca="false">IF($A904="","",ROUND(G904*IF(D904="Hourly",N(INDEX(Workers!$N$5:$N$2004,MATCH($A904,Workers!$A$5:$A$2004,0))),I904/Settings!$B$10/Settings!$B$12)*Settings!$B$13,2))</f>
        <v/>
      </c>
      <c r="N904" s="26" t="str">
        <f aca="false">IF($A904="","",K904+L904+M904)</f>
        <v/>
      </c>
      <c r="O904" s="26" t="str">
        <f aca="false">IF($A904="","",SUMIFS(Deductions!$D$5:$D$2000,Deductions!$B$5:$B$2000,$A904,Deductions!$C$5:$C$2000,"Advance",Deductions!$E$5:$E$2000,"&gt;="&amp;Settings!$B$8,Deductions!$E$5:$E$2000,"&lt;="&amp;Settings!$B$9))</f>
        <v/>
      </c>
      <c r="P904" s="26" t="str">
        <f aca="false">IF($A904="","",SUMIFS(Deductions!$D$5:$D$2000,Deductions!$B$5:$B$2000,$A904,Deductions!$E$5:$E$2000,"&gt;="&amp;Settings!$B$8,Deductions!$E$5:$E$2000,"&lt;="&amp;Settings!$B$9)-O904)</f>
        <v/>
      </c>
      <c r="Q904" s="26" t="str">
        <f aca="false">IF($A904="","",O904+P904)</f>
        <v/>
      </c>
      <c r="R904" s="23" t="str">
        <f aca="false">IF($A904="","",N904-Q904)</f>
        <v/>
      </c>
      <c r="S904" s="24" t="str">
        <f aca="false">IF($A904="","",INDEX(Workers!$O$5:$O$2004,MATCH($A904,Workers!$A$5:$A$2004,0))&amp;"")</f>
        <v/>
      </c>
      <c r="T904" s="24" t="str">
        <f aca="false">IF($A904="","",INDEX(Workers!$P$5:$P$2004,MATCH($A904,Workers!$A$5:$A$2004,0))&amp;"")</f>
        <v/>
      </c>
      <c r="U904" s="24" t="str">
        <f aca="false">IF($A904="","",INDEX(Workers!$H$5:$H$2004,MATCH($A904,Workers!$A$5:$A$2004,0))&amp;"")</f>
        <v/>
      </c>
    </row>
    <row r="905" customFormat="false" ht="15" hidden="false" customHeight="false" outlineLevel="0" collapsed="false">
      <c r="A905" s="24" t="str">
        <f aca="false">IFERROR(INDEX(Workers!$A$5:$A$2004,MATCH(ROW()-4,Workers!$U$5:$U$2004,0)),"")</f>
        <v/>
      </c>
      <c r="B905" s="24" t="str">
        <f aca="false">IF($A905="","",INDEX(Workers!$B$5:$B$2004,MATCH($A905,Workers!$A$5:$A$2004,0)))</f>
        <v/>
      </c>
      <c r="C905" s="24" t="str">
        <f aca="false">IF($A905="","",INDEX(Workers!$E$5:$E$2004,MATCH($A905,Workers!$A$5:$A$2004,0)))</f>
        <v/>
      </c>
      <c r="D905" s="24" t="str">
        <f aca="false">IF($A905="","",INDEX(Workers!$K$5:$K$2004,MATCH($A905,Workers!$A$5:$A$2004,0)))</f>
        <v/>
      </c>
      <c r="E905" s="25" t="str">
        <f aca="false">IF($A905="","",SUMIFS(Timesheet!$E$5:$E$3004,Timesheet!$D$5:$D$3004,$A905,Timesheet!$A$5:$A$3004,"&gt;="&amp;Settings!$B$8,Timesheet!$A$5:$A$3004,"&lt;="&amp;Settings!$B$9))</f>
        <v/>
      </c>
      <c r="F905" s="25" t="str">
        <f aca="false">IF($A905="","",SUMIFS(Timesheet!$F$5:$F$3004,Timesheet!$D$5:$D$3004,$A905,Timesheet!$A$5:$A$3004,"&gt;="&amp;Settings!$B$8,Timesheet!$A$5:$A$3004,"&lt;="&amp;Settings!$B$9))</f>
        <v/>
      </c>
      <c r="G905" s="25" t="str">
        <f aca="false">IF($A905="","",SUMIFS(Timesheet!$G$5:$G$3004,Timesheet!$D$5:$D$3004,$A905,Timesheet!$A$5:$A$3004,"&gt;="&amp;Settings!$B$8,Timesheet!$A$5:$A$3004,"&lt;="&amp;Settings!$B$9))</f>
        <v/>
      </c>
      <c r="H905" s="25" t="str">
        <f aca="false">IF($A905="","",IF(D905="Monthly",MAX(0,Settings!$B$11-E905),0))</f>
        <v/>
      </c>
      <c r="I905" s="26" t="str">
        <f aca="false">IF($A905="","",N(INDEX(Workers!$L$5:$L$2004,MATCH($A905,Workers!$A$5:$A$2004,0))))</f>
        <v/>
      </c>
      <c r="J905" s="26" t="str">
        <f aca="false">IF($A905="","",N(INDEX(Workers!$M$5:$M$2004,MATCH($A905,Workers!$A$5:$A$2004,0))))</f>
        <v/>
      </c>
      <c r="K905" s="26" t="str">
        <f aca="false">IF($A905="","",IF(D905="Monthly",ROUND(MAX(0,(I905+J905)-(I905+J905)/Settings!$B$10*H905),2),0))</f>
        <v/>
      </c>
      <c r="L905" s="26" t="str">
        <f aca="false">IF($A905="","",IF(D905="Hourly",ROUND(F905*N(INDEX(Workers!$N$5:$N$2004,MATCH($A905,Workers!$A$5:$A$2004,0))),2),0))</f>
        <v/>
      </c>
      <c r="M905" s="26" t="str">
        <f aca="false">IF($A905="","",ROUND(G905*IF(D905="Hourly",N(INDEX(Workers!$N$5:$N$2004,MATCH($A905,Workers!$A$5:$A$2004,0))),I905/Settings!$B$10/Settings!$B$12)*Settings!$B$13,2))</f>
        <v/>
      </c>
      <c r="N905" s="26" t="str">
        <f aca="false">IF($A905="","",K905+L905+M905)</f>
        <v/>
      </c>
      <c r="O905" s="26" t="str">
        <f aca="false">IF($A905="","",SUMIFS(Deductions!$D$5:$D$2000,Deductions!$B$5:$B$2000,$A905,Deductions!$C$5:$C$2000,"Advance",Deductions!$E$5:$E$2000,"&gt;="&amp;Settings!$B$8,Deductions!$E$5:$E$2000,"&lt;="&amp;Settings!$B$9))</f>
        <v/>
      </c>
      <c r="P905" s="26" t="str">
        <f aca="false">IF($A905="","",SUMIFS(Deductions!$D$5:$D$2000,Deductions!$B$5:$B$2000,$A905,Deductions!$E$5:$E$2000,"&gt;="&amp;Settings!$B$8,Deductions!$E$5:$E$2000,"&lt;="&amp;Settings!$B$9)-O905)</f>
        <v/>
      </c>
      <c r="Q905" s="26" t="str">
        <f aca="false">IF($A905="","",O905+P905)</f>
        <v/>
      </c>
      <c r="R905" s="23" t="str">
        <f aca="false">IF($A905="","",N905-Q905)</f>
        <v/>
      </c>
      <c r="S905" s="24" t="str">
        <f aca="false">IF($A905="","",INDEX(Workers!$O$5:$O$2004,MATCH($A905,Workers!$A$5:$A$2004,0))&amp;"")</f>
        <v/>
      </c>
      <c r="T905" s="24" t="str">
        <f aca="false">IF($A905="","",INDEX(Workers!$P$5:$P$2004,MATCH($A905,Workers!$A$5:$A$2004,0))&amp;"")</f>
        <v/>
      </c>
      <c r="U905" s="24" t="str">
        <f aca="false">IF($A905="","",INDEX(Workers!$H$5:$H$2004,MATCH($A905,Workers!$A$5:$A$2004,0))&amp;"")</f>
        <v/>
      </c>
    </row>
    <row r="906" customFormat="false" ht="15" hidden="false" customHeight="false" outlineLevel="0" collapsed="false">
      <c r="A906" s="24" t="str">
        <f aca="false">IFERROR(INDEX(Workers!$A$5:$A$2004,MATCH(ROW()-4,Workers!$U$5:$U$2004,0)),"")</f>
        <v/>
      </c>
      <c r="B906" s="24" t="str">
        <f aca="false">IF($A906="","",INDEX(Workers!$B$5:$B$2004,MATCH($A906,Workers!$A$5:$A$2004,0)))</f>
        <v/>
      </c>
      <c r="C906" s="24" t="str">
        <f aca="false">IF($A906="","",INDEX(Workers!$E$5:$E$2004,MATCH($A906,Workers!$A$5:$A$2004,0)))</f>
        <v/>
      </c>
      <c r="D906" s="24" t="str">
        <f aca="false">IF($A906="","",INDEX(Workers!$K$5:$K$2004,MATCH($A906,Workers!$A$5:$A$2004,0)))</f>
        <v/>
      </c>
      <c r="E906" s="25" t="str">
        <f aca="false">IF($A906="","",SUMIFS(Timesheet!$E$5:$E$3004,Timesheet!$D$5:$D$3004,$A906,Timesheet!$A$5:$A$3004,"&gt;="&amp;Settings!$B$8,Timesheet!$A$5:$A$3004,"&lt;="&amp;Settings!$B$9))</f>
        <v/>
      </c>
      <c r="F906" s="25" t="str">
        <f aca="false">IF($A906="","",SUMIFS(Timesheet!$F$5:$F$3004,Timesheet!$D$5:$D$3004,$A906,Timesheet!$A$5:$A$3004,"&gt;="&amp;Settings!$B$8,Timesheet!$A$5:$A$3004,"&lt;="&amp;Settings!$B$9))</f>
        <v/>
      </c>
      <c r="G906" s="25" t="str">
        <f aca="false">IF($A906="","",SUMIFS(Timesheet!$G$5:$G$3004,Timesheet!$D$5:$D$3004,$A906,Timesheet!$A$5:$A$3004,"&gt;="&amp;Settings!$B$8,Timesheet!$A$5:$A$3004,"&lt;="&amp;Settings!$B$9))</f>
        <v/>
      </c>
      <c r="H906" s="25" t="str">
        <f aca="false">IF($A906="","",IF(D906="Monthly",MAX(0,Settings!$B$11-E906),0))</f>
        <v/>
      </c>
      <c r="I906" s="26" t="str">
        <f aca="false">IF($A906="","",N(INDEX(Workers!$L$5:$L$2004,MATCH($A906,Workers!$A$5:$A$2004,0))))</f>
        <v/>
      </c>
      <c r="J906" s="26" t="str">
        <f aca="false">IF($A906="","",N(INDEX(Workers!$M$5:$M$2004,MATCH($A906,Workers!$A$5:$A$2004,0))))</f>
        <v/>
      </c>
      <c r="K906" s="26" t="str">
        <f aca="false">IF($A906="","",IF(D906="Monthly",ROUND(MAX(0,(I906+J906)-(I906+J906)/Settings!$B$10*H906),2),0))</f>
        <v/>
      </c>
      <c r="L906" s="26" t="str">
        <f aca="false">IF($A906="","",IF(D906="Hourly",ROUND(F906*N(INDEX(Workers!$N$5:$N$2004,MATCH($A906,Workers!$A$5:$A$2004,0))),2),0))</f>
        <v/>
      </c>
      <c r="M906" s="26" t="str">
        <f aca="false">IF($A906="","",ROUND(G906*IF(D906="Hourly",N(INDEX(Workers!$N$5:$N$2004,MATCH($A906,Workers!$A$5:$A$2004,0))),I906/Settings!$B$10/Settings!$B$12)*Settings!$B$13,2))</f>
        <v/>
      </c>
      <c r="N906" s="26" t="str">
        <f aca="false">IF($A906="","",K906+L906+M906)</f>
        <v/>
      </c>
      <c r="O906" s="26" t="str">
        <f aca="false">IF($A906="","",SUMIFS(Deductions!$D$5:$D$2000,Deductions!$B$5:$B$2000,$A906,Deductions!$C$5:$C$2000,"Advance",Deductions!$E$5:$E$2000,"&gt;="&amp;Settings!$B$8,Deductions!$E$5:$E$2000,"&lt;="&amp;Settings!$B$9))</f>
        <v/>
      </c>
      <c r="P906" s="26" t="str">
        <f aca="false">IF($A906="","",SUMIFS(Deductions!$D$5:$D$2000,Deductions!$B$5:$B$2000,$A906,Deductions!$E$5:$E$2000,"&gt;="&amp;Settings!$B$8,Deductions!$E$5:$E$2000,"&lt;="&amp;Settings!$B$9)-O906)</f>
        <v/>
      </c>
      <c r="Q906" s="26" t="str">
        <f aca="false">IF($A906="","",O906+P906)</f>
        <v/>
      </c>
      <c r="R906" s="23" t="str">
        <f aca="false">IF($A906="","",N906-Q906)</f>
        <v/>
      </c>
      <c r="S906" s="24" t="str">
        <f aca="false">IF($A906="","",INDEX(Workers!$O$5:$O$2004,MATCH($A906,Workers!$A$5:$A$2004,0))&amp;"")</f>
        <v/>
      </c>
      <c r="T906" s="24" t="str">
        <f aca="false">IF($A906="","",INDEX(Workers!$P$5:$P$2004,MATCH($A906,Workers!$A$5:$A$2004,0))&amp;"")</f>
        <v/>
      </c>
      <c r="U906" s="24" t="str">
        <f aca="false">IF($A906="","",INDEX(Workers!$H$5:$H$2004,MATCH($A906,Workers!$A$5:$A$2004,0))&amp;"")</f>
        <v/>
      </c>
    </row>
    <row r="907" customFormat="false" ht="15" hidden="false" customHeight="false" outlineLevel="0" collapsed="false">
      <c r="A907" s="24" t="str">
        <f aca="false">IFERROR(INDEX(Workers!$A$5:$A$2004,MATCH(ROW()-4,Workers!$U$5:$U$2004,0)),"")</f>
        <v/>
      </c>
      <c r="B907" s="24" t="str">
        <f aca="false">IF($A907="","",INDEX(Workers!$B$5:$B$2004,MATCH($A907,Workers!$A$5:$A$2004,0)))</f>
        <v/>
      </c>
      <c r="C907" s="24" t="str">
        <f aca="false">IF($A907="","",INDEX(Workers!$E$5:$E$2004,MATCH($A907,Workers!$A$5:$A$2004,0)))</f>
        <v/>
      </c>
      <c r="D907" s="24" t="str">
        <f aca="false">IF($A907="","",INDEX(Workers!$K$5:$K$2004,MATCH($A907,Workers!$A$5:$A$2004,0)))</f>
        <v/>
      </c>
      <c r="E907" s="25" t="str">
        <f aca="false">IF($A907="","",SUMIFS(Timesheet!$E$5:$E$3004,Timesheet!$D$5:$D$3004,$A907,Timesheet!$A$5:$A$3004,"&gt;="&amp;Settings!$B$8,Timesheet!$A$5:$A$3004,"&lt;="&amp;Settings!$B$9))</f>
        <v/>
      </c>
      <c r="F907" s="25" t="str">
        <f aca="false">IF($A907="","",SUMIFS(Timesheet!$F$5:$F$3004,Timesheet!$D$5:$D$3004,$A907,Timesheet!$A$5:$A$3004,"&gt;="&amp;Settings!$B$8,Timesheet!$A$5:$A$3004,"&lt;="&amp;Settings!$B$9))</f>
        <v/>
      </c>
      <c r="G907" s="25" t="str">
        <f aca="false">IF($A907="","",SUMIFS(Timesheet!$G$5:$G$3004,Timesheet!$D$5:$D$3004,$A907,Timesheet!$A$5:$A$3004,"&gt;="&amp;Settings!$B$8,Timesheet!$A$5:$A$3004,"&lt;="&amp;Settings!$B$9))</f>
        <v/>
      </c>
      <c r="H907" s="25" t="str">
        <f aca="false">IF($A907="","",IF(D907="Monthly",MAX(0,Settings!$B$11-E907),0))</f>
        <v/>
      </c>
      <c r="I907" s="26" t="str">
        <f aca="false">IF($A907="","",N(INDEX(Workers!$L$5:$L$2004,MATCH($A907,Workers!$A$5:$A$2004,0))))</f>
        <v/>
      </c>
      <c r="J907" s="26" t="str">
        <f aca="false">IF($A907="","",N(INDEX(Workers!$M$5:$M$2004,MATCH($A907,Workers!$A$5:$A$2004,0))))</f>
        <v/>
      </c>
      <c r="K907" s="26" t="str">
        <f aca="false">IF($A907="","",IF(D907="Monthly",ROUND(MAX(0,(I907+J907)-(I907+J907)/Settings!$B$10*H907),2),0))</f>
        <v/>
      </c>
      <c r="L907" s="26" t="str">
        <f aca="false">IF($A907="","",IF(D907="Hourly",ROUND(F907*N(INDEX(Workers!$N$5:$N$2004,MATCH($A907,Workers!$A$5:$A$2004,0))),2),0))</f>
        <v/>
      </c>
      <c r="M907" s="26" t="str">
        <f aca="false">IF($A907="","",ROUND(G907*IF(D907="Hourly",N(INDEX(Workers!$N$5:$N$2004,MATCH($A907,Workers!$A$5:$A$2004,0))),I907/Settings!$B$10/Settings!$B$12)*Settings!$B$13,2))</f>
        <v/>
      </c>
      <c r="N907" s="26" t="str">
        <f aca="false">IF($A907="","",K907+L907+M907)</f>
        <v/>
      </c>
      <c r="O907" s="26" t="str">
        <f aca="false">IF($A907="","",SUMIFS(Deductions!$D$5:$D$2000,Deductions!$B$5:$B$2000,$A907,Deductions!$C$5:$C$2000,"Advance",Deductions!$E$5:$E$2000,"&gt;="&amp;Settings!$B$8,Deductions!$E$5:$E$2000,"&lt;="&amp;Settings!$B$9))</f>
        <v/>
      </c>
      <c r="P907" s="26" t="str">
        <f aca="false">IF($A907="","",SUMIFS(Deductions!$D$5:$D$2000,Deductions!$B$5:$B$2000,$A907,Deductions!$E$5:$E$2000,"&gt;="&amp;Settings!$B$8,Deductions!$E$5:$E$2000,"&lt;="&amp;Settings!$B$9)-O907)</f>
        <v/>
      </c>
      <c r="Q907" s="26" t="str">
        <f aca="false">IF($A907="","",O907+P907)</f>
        <v/>
      </c>
      <c r="R907" s="23" t="str">
        <f aca="false">IF($A907="","",N907-Q907)</f>
        <v/>
      </c>
      <c r="S907" s="24" t="str">
        <f aca="false">IF($A907="","",INDEX(Workers!$O$5:$O$2004,MATCH($A907,Workers!$A$5:$A$2004,0))&amp;"")</f>
        <v/>
      </c>
      <c r="T907" s="24" t="str">
        <f aca="false">IF($A907="","",INDEX(Workers!$P$5:$P$2004,MATCH($A907,Workers!$A$5:$A$2004,0))&amp;"")</f>
        <v/>
      </c>
      <c r="U907" s="24" t="str">
        <f aca="false">IF($A907="","",INDEX(Workers!$H$5:$H$2004,MATCH($A907,Workers!$A$5:$A$2004,0))&amp;"")</f>
        <v/>
      </c>
    </row>
    <row r="908" customFormat="false" ht="15" hidden="false" customHeight="false" outlineLevel="0" collapsed="false">
      <c r="A908" s="24" t="str">
        <f aca="false">IFERROR(INDEX(Workers!$A$5:$A$2004,MATCH(ROW()-4,Workers!$U$5:$U$2004,0)),"")</f>
        <v/>
      </c>
      <c r="B908" s="24" t="str">
        <f aca="false">IF($A908="","",INDEX(Workers!$B$5:$B$2004,MATCH($A908,Workers!$A$5:$A$2004,0)))</f>
        <v/>
      </c>
      <c r="C908" s="24" t="str">
        <f aca="false">IF($A908="","",INDEX(Workers!$E$5:$E$2004,MATCH($A908,Workers!$A$5:$A$2004,0)))</f>
        <v/>
      </c>
      <c r="D908" s="24" t="str">
        <f aca="false">IF($A908="","",INDEX(Workers!$K$5:$K$2004,MATCH($A908,Workers!$A$5:$A$2004,0)))</f>
        <v/>
      </c>
      <c r="E908" s="25" t="str">
        <f aca="false">IF($A908="","",SUMIFS(Timesheet!$E$5:$E$3004,Timesheet!$D$5:$D$3004,$A908,Timesheet!$A$5:$A$3004,"&gt;="&amp;Settings!$B$8,Timesheet!$A$5:$A$3004,"&lt;="&amp;Settings!$B$9))</f>
        <v/>
      </c>
      <c r="F908" s="25" t="str">
        <f aca="false">IF($A908="","",SUMIFS(Timesheet!$F$5:$F$3004,Timesheet!$D$5:$D$3004,$A908,Timesheet!$A$5:$A$3004,"&gt;="&amp;Settings!$B$8,Timesheet!$A$5:$A$3004,"&lt;="&amp;Settings!$B$9))</f>
        <v/>
      </c>
      <c r="G908" s="25" t="str">
        <f aca="false">IF($A908="","",SUMIFS(Timesheet!$G$5:$G$3004,Timesheet!$D$5:$D$3004,$A908,Timesheet!$A$5:$A$3004,"&gt;="&amp;Settings!$B$8,Timesheet!$A$5:$A$3004,"&lt;="&amp;Settings!$B$9))</f>
        <v/>
      </c>
      <c r="H908" s="25" t="str">
        <f aca="false">IF($A908="","",IF(D908="Monthly",MAX(0,Settings!$B$11-E908),0))</f>
        <v/>
      </c>
      <c r="I908" s="26" t="str">
        <f aca="false">IF($A908="","",N(INDEX(Workers!$L$5:$L$2004,MATCH($A908,Workers!$A$5:$A$2004,0))))</f>
        <v/>
      </c>
      <c r="J908" s="26" t="str">
        <f aca="false">IF($A908="","",N(INDEX(Workers!$M$5:$M$2004,MATCH($A908,Workers!$A$5:$A$2004,0))))</f>
        <v/>
      </c>
      <c r="K908" s="26" t="str">
        <f aca="false">IF($A908="","",IF(D908="Monthly",ROUND(MAX(0,(I908+J908)-(I908+J908)/Settings!$B$10*H908),2),0))</f>
        <v/>
      </c>
      <c r="L908" s="26" t="str">
        <f aca="false">IF($A908="","",IF(D908="Hourly",ROUND(F908*N(INDEX(Workers!$N$5:$N$2004,MATCH($A908,Workers!$A$5:$A$2004,0))),2),0))</f>
        <v/>
      </c>
      <c r="M908" s="26" t="str">
        <f aca="false">IF($A908="","",ROUND(G908*IF(D908="Hourly",N(INDEX(Workers!$N$5:$N$2004,MATCH($A908,Workers!$A$5:$A$2004,0))),I908/Settings!$B$10/Settings!$B$12)*Settings!$B$13,2))</f>
        <v/>
      </c>
      <c r="N908" s="26" t="str">
        <f aca="false">IF($A908="","",K908+L908+M908)</f>
        <v/>
      </c>
      <c r="O908" s="26" t="str">
        <f aca="false">IF($A908="","",SUMIFS(Deductions!$D$5:$D$2000,Deductions!$B$5:$B$2000,$A908,Deductions!$C$5:$C$2000,"Advance",Deductions!$E$5:$E$2000,"&gt;="&amp;Settings!$B$8,Deductions!$E$5:$E$2000,"&lt;="&amp;Settings!$B$9))</f>
        <v/>
      </c>
      <c r="P908" s="26" t="str">
        <f aca="false">IF($A908="","",SUMIFS(Deductions!$D$5:$D$2000,Deductions!$B$5:$B$2000,$A908,Deductions!$E$5:$E$2000,"&gt;="&amp;Settings!$B$8,Deductions!$E$5:$E$2000,"&lt;="&amp;Settings!$B$9)-O908)</f>
        <v/>
      </c>
      <c r="Q908" s="26" t="str">
        <f aca="false">IF($A908="","",O908+P908)</f>
        <v/>
      </c>
      <c r="R908" s="23" t="str">
        <f aca="false">IF($A908="","",N908-Q908)</f>
        <v/>
      </c>
      <c r="S908" s="24" t="str">
        <f aca="false">IF($A908="","",INDEX(Workers!$O$5:$O$2004,MATCH($A908,Workers!$A$5:$A$2004,0))&amp;"")</f>
        <v/>
      </c>
      <c r="T908" s="24" t="str">
        <f aca="false">IF($A908="","",INDEX(Workers!$P$5:$P$2004,MATCH($A908,Workers!$A$5:$A$2004,0))&amp;"")</f>
        <v/>
      </c>
      <c r="U908" s="24" t="str">
        <f aca="false">IF($A908="","",INDEX(Workers!$H$5:$H$2004,MATCH($A908,Workers!$A$5:$A$2004,0))&amp;"")</f>
        <v/>
      </c>
    </row>
    <row r="909" customFormat="false" ht="15" hidden="false" customHeight="false" outlineLevel="0" collapsed="false">
      <c r="A909" s="24" t="str">
        <f aca="false">IFERROR(INDEX(Workers!$A$5:$A$2004,MATCH(ROW()-4,Workers!$U$5:$U$2004,0)),"")</f>
        <v/>
      </c>
      <c r="B909" s="24" t="str">
        <f aca="false">IF($A909="","",INDEX(Workers!$B$5:$B$2004,MATCH($A909,Workers!$A$5:$A$2004,0)))</f>
        <v/>
      </c>
      <c r="C909" s="24" t="str">
        <f aca="false">IF($A909="","",INDEX(Workers!$E$5:$E$2004,MATCH($A909,Workers!$A$5:$A$2004,0)))</f>
        <v/>
      </c>
      <c r="D909" s="24" t="str">
        <f aca="false">IF($A909="","",INDEX(Workers!$K$5:$K$2004,MATCH($A909,Workers!$A$5:$A$2004,0)))</f>
        <v/>
      </c>
      <c r="E909" s="25" t="str">
        <f aca="false">IF($A909="","",SUMIFS(Timesheet!$E$5:$E$3004,Timesheet!$D$5:$D$3004,$A909,Timesheet!$A$5:$A$3004,"&gt;="&amp;Settings!$B$8,Timesheet!$A$5:$A$3004,"&lt;="&amp;Settings!$B$9))</f>
        <v/>
      </c>
      <c r="F909" s="25" t="str">
        <f aca="false">IF($A909="","",SUMIFS(Timesheet!$F$5:$F$3004,Timesheet!$D$5:$D$3004,$A909,Timesheet!$A$5:$A$3004,"&gt;="&amp;Settings!$B$8,Timesheet!$A$5:$A$3004,"&lt;="&amp;Settings!$B$9))</f>
        <v/>
      </c>
      <c r="G909" s="25" t="str">
        <f aca="false">IF($A909="","",SUMIFS(Timesheet!$G$5:$G$3004,Timesheet!$D$5:$D$3004,$A909,Timesheet!$A$5:$A$3004,"&gt;="&amp;Settings!$B$8,Timesheet!$A$5:$A$3004,"&lt;="&amp;Settings!$B$9))</f>
        <v/>
      </c>
      <c r="H909" s="25" t="str">
        <f aca="false">IF($A909="","",IF(D909="Monthly",MAX(0,Settings!$B$11-E909),0))</f>
        <v/>
      </c>
      <c r="I909" s="26" t="str">
        <f aca="false">IF($A909="","",N(INDEX(Workers!$L$5:$L$2004,MATCH($A909,Workers!$A$5:$A$2004,0))))</f>
        <v/>
      </c>
      <c r="J909" s="26" t="str">
        <f aca="false">IF($A909="","",N(INDEX(Workers!$M$5:$M$2004,MATCH($A909,Workers!$A$5:$A$2004,0))))</f>
        <v/>
      </c>
      <c r="K909" s="26" t="str">
        <f aca="false">IF($A909="","",IF(D909="Monthly",ROUND(MAX(0,(I909+J909)-(I909+J909)/Settings!$B$10*H909),2),0))</f>
        <v/>
      </c>
      <c r="L909" s="26" t="str">
        <f aca="false">IF($A909="","",IF(D909="Hourly",ROUND(F909*N(INDEX(Workers!$N$5:$N$2004,MATCH($A909,Workers!$A$5:$A$2004,0))),2),0))</f>
        <v/>
      </c>
      <c r="M909" s="26" t="str">
        <f aca="false">IF($A909="","",ROUND(G909*IF(D909="Hourly",N(INDEX(Workers!$N$5:$N$2004,MATCH($A909,Workers!$A$5:$A$2004,0))),I909/Settings!$B$10/Settings!$B$12)*Settings!$B$13,2))</f>
        <v/>
      </c>
      <c r="N909" s="26" t="str">
        <f aca="false">IF($A909="","",K909+L909+M909)</f>
        <v/>
      </c>
      <c r="O909" s="26" t="str">
        <f aca="false">IF($A909="","",SUMIFS(Deductions!$D$5:$D$2000,Deductions!$B$5:$B$2000,$A909,Deductions!$C$5:$C$2000,"Advance",Deductions!$E$5:$E$2000,"&gt;="&amp;Settings!$B$8,Deductions!$E$5:$E$2000,"&lt;="&amp;Settings!$B$9))</f>
        <v/>
      </c>
      <c r="P909" s="26" t="str">
        <f aca="false">IF($A909="","",SUMIFS(Deductions!$D$5:$D$2000,Deductions!$B$5:$B$2000,$A909,Deductions!$E$5:$E$2000,"&gt;="&amp;Settings!$B$8,Deductions!$E$5:$E$2000,"&lt;="&amp;Settings!$B$9)-O909)</f>
        <v/>
      </c>
      <c r="Q909" s="26" t="str">
        <f aca="false">IF($A909="","",O909+P909)</f>
        <v/>
      </c>
      <c r="R909" s="23" t="str">
        <f aca="false">IF($A909="","",N909-Q909)</f>
        <v/>
      </c>
      <c r="S909" s="24" t="str">
        <f aca="false">IF($A909="","",INDEX(Workers!$O$5:$O$2004,MATCH($A909,Workers!$A$5:$A$2004,0))&amp;"")</f>
        <v/>
      </c>
      <c r="T909" s="24" t="str">
        <f aca="false">IF($A909="","",INDEX(Workers!$P$5:$P$2004,MATCH($A909,Workers!$A$5:$A$2004,0))&amp;"")</f>
        <v/>
      </c>
      <c r="U909" s="24" t="str">
        <f aca="false">IF($A909="","",INDEX(Workers!$H$5:$H$2004,MATCH($A909,Workers!$A$5:$A$2004,0))&amp;"")</f>
        <v/>
      </c>
    </row>
    <row r="910" customFormat="false" ht="15" hidden="false" customHeight="false" outlineLevel="0" collapsed="false">
      <c r="A910" s="24" t="str">
        <f aca="false">IFERROR(INDEX(Workers!$A$5:$A$2004,MATCH(ROW()-4,Workers!$U$5:$U$2004,0)),"")</f>
        <v/>
      </c>
      <c r="B910" s="24" t="str">
        <f aca="false">IF($A910="","",INDEX(Workers!$B$5:$B$2004,MATCH($A910,Workers!$A$5:$A$2004,0)))</f>
        <v/>
      </c>
      <c r="C910" s="24" t="str">
        <f aca="false">IF($A910="","",INDEX(Workers!$E$5:$E$2004,MATCH($A910,Workers!$A$5:$A$2004,0)))</f>
        <v/>
      </c>
      <c r="D910" s="24" t="str">
        <f aca="false">IF($A910="","",INDEX(Workers!$K$5:$K$2004,MATCH($A910,Workers!$A$5:$A$2004,0)))</f>
        <v/>
      </c>
      <c r="E910" s="25" t="str">
        <f aca="false">IF($A910="","",SUMIFS(Timesheet!$E$5:$E$3004,Timesheet!$D$5:$D$3004,$A910,Timesheet!$A$5:$A$3004,"&gt;="&amp;Settings!$B$8,Timesheet!$A$5:$A$3004,"&lt;="&amp;Settings!$B$9))</f>
        <v/>
      </c>
      <c r="F910" s="25" t="str">
        <f aca="false">IF($A910="","",SUMIFS(Timesheet!$F$5:$F$3004,Timesheet!$D$5:$D$3004,$A910,Timesheet!$A$5:$A$3004,"&gt;="&amp;Settings!$B$8,Timesheet!$A$5:$A$3004,"&lt;="&amp;Settings!$B$9))</f>
        <v/>
      </c>
      <c r="G910" s="25" t="str">
        <f aca="false">IF($A910="","",SUMIFS(Timesheet!$G$5:$G$3004,Timesheet!$D$5:$D$3004,$A910,Timesheet!$A$5:$A$3004,"&gt;="&amp;Settings!$B$8,Timesheet!$A$5:$A$3004,"&lt;="&amp;Settings!$B$9))</f>
        <v/>
      </c>
      <c r="H910" s="25" t="str">
        <f aca="false">IF($A910="","",IF(D910="Monthly",MAX(0,Settings!$B$11-E910),0))</f>
        <v/>
      </c>
      <c r="I910" s="26" t="str">
        <f aca="false">IF($A910="","",N(INDEX(Workers!$L$5:$L$2004,MATCH($A910,Workers!$A$5:$A$2004,0))))</f>
        <v/>
      </c>
      <c r="J910" s="26" t="str">
        <f aca="false">IF($A910="","",N(INDEX(Workers!$M$5:$M$2004,MATCH($A910,Workers!$A$5:$A$2004,0))))</f>
        <v/>
      </c>
      <c r="K910" s="26" t="str">
        <f aca="false">IF($A910="","",IF(D910="Monthly",ROUND(MAX(0,(I910+J910)-(I910+J910)/Settings!$B$10*H910),2),0))</f>
        <v/>
      </c>
      <c r="L910" s="26" t="str">
        <f aca="false">IF($A910="","",IF(D910="Hourly",ROUND(F910*N(INDEX(Workers!$N$5:$N$2004,MATCH($A910,Workers!$A$5:$A$2004,0))),2),0))</f>
        <v/>
      </c>
      <c r="M910" s="26" t="str">
        <f aca="false">IF($A910="","",ROUND(G910*IF(D910="Hourly",N(INDEX(Workers!$N$5:$N$2004,MATCH($A910,Workers!$A$5:$A$2004,0))),I910/Settings!$B$10/Settings!$B$12)*Settings!$B$13,2))</f>
        <v/>
      </c>
      <c r="N910" s="26" t="str">
        <f aca="false">IF($A910="","",K910+L910+M910)</f>
        <v/>
      </c>
      <c r="O910" s="26" t="str">
        <f aca="false">IF($A910="","",SUMIFS(Deductions!$D$5:$D$2000,Deductions!$B$5:$B$2000,$A910,Deductions!$C$5:$C$2000,"Advance",Deductions!$E$5:$E$2000,"&gt;="&amp;Settings!$B$8,Deductions!$E$5:$E$2000,"&lt;="&amp;Settings!$B$9))</f>
        <v/>
      </c>
      <c r="P910" s="26" t="str">
        <f aca="false">IF($A910="","",SUMIFS(Deductions!$D$5:$D$2000,Deductions!$B$5:$B$2000,$A910,Deductions!$E$5:$E$2000,"&gt;="&amp;Settings!$B$8,Deductions!$E$5:$E$2000,"&lt;="&amp;Settings!$B$9)-O910)</f>
        <v/>
      </c>
      <c r="Q910" s="26" t="str">
        <f aca="false">IF($A910="","",O910+P910)</f>
        <v/>
      </c>
      <c r="R910" s="23" t="str">
        <f aca="false">IF($A910="","",N910-Q910)</f>
        <v/>
      </c>
      <c r="S910" s="24" t="str">
        <f aca="false">IF($A910="","",INDEX(Workers!$O$5:$O$2004,MATCH($A910,Workers!$A$5:$A$2004,0))&amp;"")</f>
        <v/>
      </c>
      <c r="T910" s="24" t="str">
        <f aca="false">IF($A910="","",INDEX(Workers!$P$5:$P$2004,MATCH($A910,Workers!$A$5:$A$2004,0))&amp;"")</f>
        <v/>
      </c>
      <c r="U910" s="24" t="str">
        <f aca="false">IF($A910="","",INDEX(Workers!$H$5:$H$2004,MATCH($A910,Workers!$A$5:$A$2004,0))&amp;"")</f>
        <v/>
      </c>
    </row>
    <row r="911" customFormat="false" ht="15" hidden="false" customHeight="false" outlineLevel="0" collapsed="false">
      <c r="A911" s="24" t="str">
        <f aca="false">IFERROR(INDEX(Workers!$A$5:$A$2004,MATCH(ROW()-4,Workers!$U$5:$U$2004,0)),"")</f>
        <v/>
      </c>
      <c r="B911" s="24" t="str">
        <f aca="false">IF($A911="","",INDEX(Workers!$B$5:$B$2004,MATCH($A911,Workers!$A$5:$A$2004,0)))</f>
        <v/>
      </c>
      <c r="C911" s="24" t="str">
        <f aca="false">IF($A911="","",INDEX(Workers!$E$5:$E$2004,MATCH($A911,Workers!$A$5:$A$2004,0)))</f>
        <v/>
      </c>
      <c r="D911" s="24" t="str">
        <f aca="false">IF($A911="","",INDEX(Workers!$K$5:$K$2004,MATCH($A911,Workers!$A$5:$A$2004,0)))</f>
        <v/>
      </c>
      <c r="E911" s="25" t="str">
        <f aca="false">IF($A911="","",SUMIFS(Timesheet!$E$5:$E$3004,Timesheet!$D$5:$D$3004,$A911,Timesheet!$A$5:$A$3004,"&gt;="&amp;Settings!$B$8,Timesheet!$A$5:$A$3004,"&lt;="&amp;Settings!$B$9))</f>
        <v/>
      </c>
      <c r="F911" s="25" t="str">
        <f aca="false">IF($A911="","",SUMIFS(Timesheet!$F$5:$F$3004,Timesheet!$D$5:$D$3004,$A911,Timesheet!$A$5:$A$3004,"&gt;="&amp;Settings!$B$8,Timesheet!$A$5:$A$3004,"&lt;="&amp;Settings!$B$9))</f>
        <v/>
      </c>
      <c r="G911" s="25" t="str">
        <f aca="false">IF($A911="","",SUMIFS(Timesheet!$G$5:$G$3004,Timesheet!$D$5:$D$3004,$A911,Timesheet!$A$5:$A$3004,"&gt;="&amp;Settings!$B$8,Timesheet!$A$5:$A$3004,"&lt;="&amp;Settings!$B$9))</f>
        <v/>
      </c>
      <c r="H911" s="25" t="str">
        <f aca="false">IF($A911="","",IF(D911="Monthly",MAX(0,Settings!$B$11-E911),0))</f>
        <v/>
      </c>
      <c r="I911" s="26" t="str">
        <f aca="false">IF($A911="","",N(INDEX(Workers!$L$5:$L$2004,MATCH($A911,Workers!$A$5:$A$2004,0))))</f>
        <v/>
      </c>
      <c r="J911" s="26" t="str">
        <f aca="false">IF($A911="","",N(INDEX(Workers!$M$5:$M$2004,MATCH($A911,Workers!$A$5:$A$2004,0))))</f>
        <v/>
      </c>
      <c r="K911" s="26" t="str">
        <f aca="false">IF($A911="","",IF(D911="Monthly",ROUND(MAX(0,(I911+J911)-(I911+J911)/Settings!$B$10*H911),2),0))</f>
        <v/>
      </c>
      <c r="L911" s="26" t="str">
        <f aca="false">IF($A911="","",IF(D911="Hourly",ROUND(F911*N(INDEX(Workers!$N$5:$N$2004,MATCH($A911,Workers!$A$5:$A$2004,0))),2),0))</f>
        <v/>
      </c>
      <c r="M911" s="26" t="str">
        <f aca="false">IF($A911="","",ROUND(G911*IF(D911="Hourly",N(INDEX(Workers!$N$5:$N$2004,MATCH($A911,Workers!$A$5:$A$2004,0))),I911/Settings!$B$10/Settings!$B$12)*Settings!$B$13,2))</f>
        <v/>
      </c>
      <c r="N911" s="26" t="str">
        <f aca="false">IF($A911="","",K911+L911+M911)</f>
        <v/>
      </c>
      <c r="O911" s="26" t="str">
        <f aca="false">IF($A911="","",SUMIFS(Deductions!$D$5:$D$2000,Deductions!$B$5:$B$2000,$A911,Deductions!$C$5:$C$2000,"Advance",Deductions!$E$5:$E$2000,"&gt;="&amp;Settings!$B$8,Deductions!$E$5:$E$2000,"&lt;="&amp;Settings!$B$9))</f>
        <v/>
      </c>
      <c r="P911" s="26" t="str">
        <f aca="false">IF($A911="","",SUMIFS(Deductions!$D$5:$D$2000,Deductions!$B$5:$B$2000,$A911,Deductions!$E$5:$E$2000,"&gt;="&amp;Settings!$B$8,Deductions!$E$5:$E$2000,"&lt;="&amp;Settings!$B$9)-O911)</f>
        <v/>
      </c>
      <c r="Q911" s="26" t="str">
        <f aca="false">IF($A911="","",O911+P911)</f>
        <v/>
      </c>
      <c r="R911" s="23" t="str">
        <f aca="false">IF($A911="","",N911-Q911)</f>
        <v/>
      </c>
      <c r="S911" s="24" t="str">
        <f aca="false">IF($A911="","",INDEX(Workers!$O$5:$O$2004,MATCH($A911,Workers!$A$5:$A$2004,0))&amp;"")</f>
        <v/>
      </c>
      <c r="T911" s="24" t="str">
        <f aca="false">IF($A911="","",INDEX(Workers!$P$5:$P$2004,MATCH($A911,Workers!$A$5:$A$2004,0))&amp;"")</f>
        <v/>
      </c>
      <c r="U911" s="24" t="str">
        <f aca="false">IF($A911="","",INDEX(Workers!$H$5:$H$2004,MATCH($A911,Workers!$A$5:$A$2004,0))&amp;"")</f>
        <v/>
      </c>
    </row>
    <row r="912" customFormat="false" ht="15" hidden="false" customHeight="false" outlineLevel="0" collapsed="false">
      <c r="A912" s="24" t="str">
        <f aca="false">IFERROR(INDEX(Workers!$A$5:$A$2004,MATCH(ROW()-4,Workers!$U$5:$U$2004,0)),"")</f>
        <v/>
      </c>
      <c r="B912" s="24" t="str">
        <f aca="false">IF($A912="","",INDEX(Workers!$B$5:$B$2004,MATCH($A912,Workers!$A$5:$A$2004,0)))</f>
        <v/>
      </c>
      <c r="C912" s="24" t="str">
        <f aca="false">IF($A912="","",INDEX(Workers!$E$5:$E$2004,MATCH($A912,Workers!$A$5:$A$2004,0)))</f>
        <v/>
      </c>
      <c r="D912" s="24" t="str">
        <f aca="false">IF($A912="","",INDEX(Workers!$K$5:$K$2004,MATCH($A912,Workers!$A$5:$A$2004,0)))</f>
        <v/>
      </c>
      <c r="E912" s="25" t="str">
        <f aca="false">IF($A912="","",SUMIFS(Timesheet!$E$5:$E$3004,Timesheet!$D$5:$D$3004,$A912,Timesheet!$A$5:$A$3004,"&gt;="&amp;Settings!$B$8,Timesheet!$A$5:$A$3004,"&lt;="&amp;Settings!$B$9))</f>
        <v/>
      </c>
      <c r="F912" s="25" t="str">
        <f aca="false">IF($A912="","",SUMIFS(Timesheet!$F$5:$F$3004,Timesheet!$D$5:$D$3004,$A912,Timesheet!$A$5:$A$3004,"&gt;="&amp;Settings!$B$8,Timesheet!$A$5:$A$3004,"&lt;="&amp;Settings!$B$9))</f>
        <v/>
      </c>
      <c r="G912" s="25" t="str">
        <f aca="false">IF($A912="","",SUMIFS(Timesheet!$G$5:$G$3004,Timesheet!$D$5:$D$3004,$A912,Timesheet!$A$5:$A$3004,"&gt;="&amp;Settings!$B$8,Timesheet!$A$5:$A$3004,"&lt;="&amp;Settings!$B$9))</f>
        <v/>
      </c>
      <c r="H912" s="25" t="str">
        <f aca="false">IF($A912="","",IF(D912="Monthly",MAX(0,Settings!$B$11-E912),0))</f>
        <v/>
      </c>
      <c r="I912" s="26" t="str">
        <f aca="false">IF($A912="","",N(INDEX(Workers!$L$5:$L$2004,MATCH($A912,Workers!$A$5:$A$2004,0))))</f>
        <v/>
      </c>
      <c r="J912" s="26" t="str">
        <f aca="false">IF($A912="","",N(INDEX(Workers!$M$5:$M$2004,MATCH($A912,Workers!$A$5:$A$2004,0))))</f>
        <v/>
      </c>
      <c r="K912" s="26" t="str">
        <f aca="false">IF($A912="","",IF(D912="Monthly",ROUND(MAX(0,(I912+J912)-(I912+J912)/Settings!$B$10*H912),2),0))</f>
        <v/>
      </c>
      <c r="L912" s="26" t="str">
        <f aca="false">IF($A912="","",IF(D912="Hourly",ROUND(F912*N(INDEX(Workers!$N$5:$N$2004,MATCH($A912,Workers!$A$5:$A$2004,0))),2),0))</f>
        <v/>
      </c>
      <c r="M912" s="26" t="str">
        <f aca="false">IF($A912="","",ROUND(G912*IF(D912="Hourly",N(INDEX(Workers!$N$5:$N$2004,MATCH($A912,Workers!$A$5:$A$2004,0))),I912/Settings!$B$10/Settings!$B$12)*Settings!$B$13,2))</f>
        <v/>
      </c>
      <c r="N912" s="26" t="str">
        <f aca="false">IF($A912="","",K912+L912+M912)</f>
        <v/>
      </c>
      <c r="O912" s="26" t="str">
        <f aca="false">IF($A912="","",SUMIFS(Deductions!$D$5:$D$2000,Deductions!$B$5:$B$2000,$A912,Deductions!$C$5:$C$2000,"Advance",Deductions!$E$5:$E$2000,"&gt;="&amp;Settings!$B$8,Deductions!$E$5:$E$2000,"&lt;="&amp;Settings!$B$9))</f>
        <v/>
      </c>
      <c r="P912" s="26" t="str">
        <f aca="false">IF($A912="","",SUMIFS(Deductions!$D$5:$D$2000,Deductions!$B$5:$B$2000,$A912,Deductions!$E$5:$E$2000,"&gt;="&amp;Settings!$B$8,Deductions!$E$5:$E$2000,"&lt;="&amp;Settings!$B$9)-O912)</f>
        <v/>
      </c>
      <c r="Q912" s="26" t="str">
        <f aca="false">IF($A912="","",O912+P912)</f>
        <v/>
      </c>
      <c r="R912" s="23" t="str">
        <f aca="false">IF($A912="","",N912-Q912)</f>
        <v/>
      </c>
      <c r="S912" s="24" t="str">
        <f aca="false">IF($A912="","",INDEX(Workers!$O$5:$O$2004,MATCH($A912,Workers!$A$5:$A$2004,0))&amp;"")</f>
        <v/>
      </c>
      <c r="T912" s="24" t="str">
        <f aca="false">IF($A912="","",INDEX(Workers!$P$5:$P$2004,MATCH($A912,Workers!$A$5:$A$2004,0))&amp;"")</f>
        <v/>
      </c>
      <c r="U912" s="24" t="str">
        <f aca="false">IF($A912="","",INDEX(Workers!$H$5:$H$2004,MATCH($A912,Workers!$A$5:$A$2004,0))&amp;"")</f>
        <v/>
      </c>
    </row>
    <row r="913" customFormat="false" ht="15" hidden="false" customHeight="false" outlineLevel="0" collapsed="false">
      <c r="A913" s="24" t="str">
        <f aca="false">IFERROR(INDEX(Workers!$A$5:$A$2004,MATCH(ROW()-4,Workers!$U$5:$U$2004,0)),"")</f>
        <v/>
      </c>
      <c r="B913" s="24" t="str">
        <f aca="false">IF($A913="","",INDEX(Workers!$B$5:$B$2004,MATCH($A913,Workers!$A$5:$A$2004,0)))</f>
        <v/>
      </c>
      <c r="C913" s="24" t="str">
        <f aca="false">IF($A913="","",INDEX(Workers!$E$5:$E$2004,MATCH($A913,Workers!$A$5:$A$2004,0)))</f>
        <v/>
      </c>
      <c r="D913" s="24" t="str">
        <f aca="false">IF($A913="","",INDEX(Workers!$K$5:$K$2004,MATCH($A913,Workers!$A$5:$A$2004,0)))</f>
        <v/>
      </c>
      <c r="E913" s="25" t="str">
        <f aca="false">IF($A913="","",SUMIFS(Timesheet!$E$5:$E$3004,Timesheet!$D$5:$D$3004,$A913,Timesheet!$A$5:$A$3004,"&gt;="&amp;Settings!$B$8,Timesheet!$A$5:$A$3004,"&lt;="&amp;Settings!$B$9))</f>
        <v/>
      </c>
      <c r="F913" s="25" t="str">
        <f aca="false">IF($A913="","",SUMIFS(Timesheet!$F$5:$F$3004,Timesheet!$D$5:$D$3004,$A913,Timesheet!$A$5:$A$3004,"&gt;="&amp;Settings!$B$8,Timesheet!$A$5:$A$3004,"&lt;="&amp;Settings!$B$9))</f>
        <v/>
      </c>
      <c r="G913" s="25" t="str">
        <f aca="false">IF($A913="","",SUMIFS(Timesheet!$G$5:$G$3004,Timesheet!$D$5:$D$3004,$A913,Timesheet!$A$5:$A$3004,"&gt;="&amp;Settings!$B$8,Timesheet!$A$5:$A$3004,"&lt;="&amp;Settings!$B$9))</f>
        <v/>
      </c>
      <c r="H913" s="25" t="str">
        <f aca="false">IF($A913="","",IF(D913="Monthly",MAX(0,Settings!$B$11-E913),0))</f>
        <v/>
      </c>
      <c r="I913" s="26" t="str">
        <f aca="false">IF($A913="","",N(INDEX(Workers!$L$5:$L$2004,MATCH($A913,Workers!$A$5:$A$2004,0))))</f>
        <v/>
      </c>
      <c r="J913" s="26" t="str">
        <f aca="false">IF($A913="","",N(INDEX(Workers!$M$5:$M$2004,MATCH($A913,Workers!$A$5:$A$2004,0))))</f>
        <v/>
      </c>
      <c r="K913" s="26" t="str">
        <f aca="false">IF($A913="","",IF(D913="Monthly",ROUND(MAX(0,(I913+J913)-(I913+J913)/Settings!$B$10*H913),2),0))</f>
        <v/>
      </c>
      <c r="L913" s="26" t="str">
        <f aca="false">IF($A913="","",IF(D913="Hourly",ROUND(F913*N(INDEX(Workers!$N$5:$N$2004,MATCH($A913,Workers!$A$5:$A$2004,0))),2),0))</f>
        <v/>
      </c>
      <c r="M913" s="26" t="str">
        <f aca="false">IF($A913="","",ROUND(G913*IF(D913="Hourly",N(INDEX(Workers!$N$5:$N$2004,MATCH($A913,Workers!$A$5:$A$2004,0))),I913/Settings!$B$10/Settings!$B$12)*Settings!$B$13,2))</f>
        <v/>
      </c>
      <c r="N913" s="26" t="str">
        <f aca="false">IF($A913="","",K913+L913+M913)</f>
        <v/>
      </c>
      <c r="O913" s="26" t="str">
        <f aca="false">IF($A913="","",SUMIFS(Deductions!$D$5:$D$2000,Deductions!$B$5:$B$2000,$A913,Deductions!$C$5:$C$2000,"Advance",Deductions!$E$5:$E$2000,"&gt;="&amp;Settings!$B$8,Deductions!$E$5:$E$2000,"&lt;="&amp;Settings!$B$9))</f>
        <v/>
      </c>
      <c r="P913" s="26" t="str">
        <f aca="false">IF($A913="","",SUMIFS(Deductions!$D$5:$D$2000,Deductions!$B$5:$B$2000,$A913,Deductions!$E$5:$E$2000,"&gt;="&amp;Settings!$B$8,Deductions!$E$5:$E$2000,"&lt;="&amp;Settings!$B$9)-O913)</f>
        <v/>
      </c>
      <c r="Q913" s="26" t="str">
        <f aca="false">IF($A913="","",O913+P913)</f>
        <v/>
      </c>
      <c r="R913" s="23" t="str">
        <f aca="false">IF($A913="","",N913-Q913)</f>
        <v/>
      </c>
      <c r="S913" s="24" t="str">
        <f aca="false">IF($A913="","",INDEX(Workers!$O$5:$O$2004,MATCH($A913,Workers!$A$5:$A$2004,0))&amp;"")</f>
        <v/>
      </c>
      <c r="T913" s="24" t="str">
        <f aca="false">IF($A913="","",INDEX(Workers!$P$5:$P$2004,MATCH($A913,Workers!$A$5:$A$2004,0))&amp;"")</f>
        <v/>
      </c>
      <c r="U913" s="24" t="str">
        <f aca="false">IF($A913="","",INDEX(Workers!$H$5:$H$2004,MATCH($A913,Workers!$A$5:$A$2004,0))&amp;"")</f>
        <v/>
      </c>
    </row>
    <row r="914" customFormat="false" ht="15" hidden="false" customHeight="false" outlineLevel="0" collapsed="false">
      <c r="A914" s="24" t="str">
        <f aca="false">IFERROR(INDEX(Workers!$A$5:$A$2004,MATCH(ROW()-4,Workers!$U$5:$U$2004,0)),"")</f>
        <v/>
      </c>
      <c r="B914" s="24" t="str">
        <f aca="false">IF($A914="","",INDEX(Workers!$B$5:$B$2004,MATCH($A914,Workers!$A$5:$A$2004,0)))</f>
        <v/>
      </c>
      <c r="C914" s="24" t="str">
        <f aca="false">IF($A914="","",INDEX(Workers!$E$5:$E$2004,MATCH($A914,Workers!$A$5:$A$2004,0)))</f>
        <v/>
      </c>
      <c r="D914" s="24" t="str">
        <f aca="false">IF($A914="","",INDEX(Workers!$K$5:$K$2004,MATCH($A914,Workers!$A$5:$A$2004,0)))</f>
        <v/>
      </c>
      <c r="E914" s="25" t="str">
        <f aca="false">IF($A914="","",SUMIFS(Timesheet!$E$5:$E$3004,Timesheet!$D$5:$D$3004,$A914,Timesheet!$A$5:$A$3004,"&gt;="&amp;Settings!$B$8,Timesheet!$A$5:$A$3004,"&lt;="&amp;Settings!$B$9))</f>
        <v/>
      </c>
      <c r="F914" s="25" t="str">
        <f aca="false">IF($A914="","",SUMIFS(Timesheet!$F$5:$F$3004,Timesheet!$D$5:$D$3004,$A914,Timesheet!$A$5:$A$3004,"&gt;="&amp;Settings!$B$8,Timesheet!$A$5:$A$3004,"&lt;="&amp;Settings!$B$9))</f>
        <v/>
      </c>
      <c r="G914" s="25" t="str">
        <f aca="false">IF($A914="","",SUMIFS(Timesheet!$G$5:$G$3004,Timesheet!$D$5:$D$3004,$A914,Timesheet!$A$5:$A$3004,"&gt;="&amp;Settings!$B$8,Timesheet!$A$5:$A$3004,"&lt;="&amp;Settings!$B$9))</f>
        <v/>
      </c>
      <c r="H914" s="25" t="str">
        <f aca="false">IF($A914="","",IF(D914="Monthly",MAX(0,Settings!$B$11-E914),0))</f>
        <v/>
      </c>
      <c r="I914" s="26" t="str">
        <f aca="false">IF($A914="","",N(INDEX(Workers!$L$5:$L$2004,MATCH($A914,Workers!$A$5:$A$2004,0))))</f>
        <v/>
      </c>
      <c r="J914" s="26" t="str">
        <f aca="false">IF($A914="","",N(INDEX(Workers!$M$5:$M$2004,MATCH($A914,Workers!$A$5:$A$2004,0))))</f>
        <v/>
      </c>
      <c r="K914" s="26" t="str">
        <f aca="false">IF($A914="","",IF(D914="Monthly",ROUND(MAX(0,(I914+J914)-(I914+J914)/Settings!$B$10*H914),2),0))</f>
        <v/>
      </c>
      <c r="L914" s="26" t="str">
        <f aca="false">IF($A914="","",IF(D914="Hourly",ROUND(F914*N(INDEX(Workers!$N$5:$N$2004,MATCH($A914,Workers!$A$5:$A$2004,0))),2),0))</f>
        <v/>
      </c>
      <c r="M914" s="26" t="str">
        <f aca="false">IF($A914="","",ROUND(G914*IF(D914="Hourly",N(INDEX(Workers!$N$5:$N$2004,MATCH($A914,Workers!$A$5:$A$2004,0))),I914/Settings!$B$10/Settings!$B$12)*Settings!$B$13,2))</f>
        <v/>
      </c>
      <c r="N914" s="26" t="str">
        <f aca="false">IF($A914="","",K914+L914+M914)</f>
        <v/>
      </c>
      <c r="O914" s="26" t="str">
        <f aca="false">IF($A914="","",SUMIFS(Deductions!$D$5:$D$2000,Deductions!$B$5:$B$2000,$A914,Deductions!$C$5:$C$2000,"Advance",Deductions!$E$5:$E$2000,"&gt;="&amp;Settings!$B$8,Deductions!$E$5:$E$2000,"&lt;="&amp;Settings!$B$9))</f>
        <v/>
      </c>
      <c r="P914" s="26" t="str">
        <f aca="false">IF($A914="","",SUMIFS(Deductions!$D$5:$D$2000,Deductions!$B$5:$B$2000,$A914,Deductions!$E$5:$E$2000,"&gt;="&amp;Settings!$B$8,Deductions!$E$5:$E$2000,"&lt;="&amp;Settings!$B$9)-O914)</f>
        <v/>
      </c>
      <c r="Q914" s="26" t="str">
        <f aca="false">IF($A914="","",O914+P914)</f>
        <v/>
      </c>
      <c r="R914" s="23" t="str">
        <f aca="false">IF($A914="","",N914-Q914)</f>
        <v/>
      </c>
      <c r="S914" s="24" t="str">
        <f aca="false">IF($A914="","",INDEX(Workers!$O$5:$O$2004,MATCH($A914,Workers!$A$5:$A$2004,0))&amp;"")</f>
        <v/>
      </c>
      <c r="T914" s="24" t="str">
        <f aca="false">IF($A914="","",INDEX(Workers!$P$5:$P$2004,MATCH($A914,Workers!$A$5:$A$2004,0))&amp;"")</f>
        <v/>
      </c>
      <c r="U914" s="24" t="str">
        <f aca="false">IF($A914="","",INDEX(Workers!$H$5:$H$2004,MATCH($A914,Workers!$A$5:$A$2004,0))&amp;"")</f>
        <v/>
      </c>
    </row>
    <row r="915" customFormat="false" ht="15" hidden="false" customHeight="false" outlineLevel="0" collapsed="false">
      <c r="A915" s="24" t="str">
        <f aca="false">IFERROR(INDEX(Workers!$A$5:$A$2004,MATCH(ROW()-4,Workers!$U$5:$U$2004,0)),"")</f>
        <v/>
      </c>
      <c r="B915" s="24" t="str">
        <f aca="false">IF($A915="","",INDEX(Workers!$B$5:$B$2004,MATCH($A915,Workers!$A$5:$A$2004,0)))</f>
        <v/>
      </c>
      <c r="C915" s="24" t="str">
        <f aca="false">IF($A915="","",INDEX(Workers!$E$5:$E$2004,MATCH($A915,Workers!$A$5:$A$2004,0)))</f>
        <v/>
      </c>
      <c r="D915" s="24" t="str">
        <f aca="false">IF($A915="","",INDEX(Workers!$K$5:$K$2004,MATCH($A915,Workers!$A$5:$A$2004,0)))</f>
        <v/>
      </c>
      <c r="E915" s="25" t="str">
        <f aca="false">IF($A915="","",SUMIFS(Timesheet!$E$5:$E$3004,Timesheet!$D$5:$D$3004,$A915,Timesheet!$A$5:$A$3004,"&gt;="&amp;Settings!$B$8,Timesheet!$A$5:$A$3004,"&lt;="&amp;Settings!$B$9))</f>
        <v/>
      </c>
      <c r="F915" s="25" t="str">
        <f aca="false">IF($A915="","",SUMIFS(Timesheet!$F$5:$F$3004,Timesheet!$D$5:$D$3004,$A915,Timesheet!$A$5:$A$3004,"&gt;="&amp;Settings!$B$8,Timesheet!$A$5:$A$3004,"&lt;="&amp;Settings!$B$9))</f>
        <v/>
      </c>
      <c r="G915" s="25" t="str">
        <f aca="false">IF($A915="","",SUMIFS(Timesheet!$G$5:$G$3004,Timesheet!$D$5:$D$3004,$A915,Timesheet!$A$5:$A$3004,"&gt;="&amp;Settings!$B$8,Timesheet!$A$5:$A$3004,"&lt;="&amp;Settings!$B$9))</f>
        <v/>
      </c>
      <c r="H915" s="25" t="str">
        <f aca="false">IF($A915="","",IF(D915="Monthly",MAX(0,Settings!$B$11-E915),0))</f>
        <v/>
      </c>
      <c r="I915" s="26" t="str">
        <f aca="false">IF($A915="","",N(INDEX(Workers!$L$5:$L$2004,MATCH($A915,Workers!$A$5:$A$2004,0))))</f>
        <v/>
      </c>
      <c r="J915" s="26" t="str">
        <f aca="false">IF($A915="","",N(INDEX(Workers!$M$5:$M$2004,MATCH($A915,Workers!$A$5:$A$2004,0))))</f>
        <v/>
      </c>
      <c r="K915" s="26" t="str">
        <f aca="false">IF($A915="","",IF(D915="Monthly",ROUND(MAX(0,(I915+J915)-(I915+J915)/Settings!$B$10*H915),2),0))</f>
        <v/>
      </c>
      <c r="L915" s="26" t="str">
        <f aca="false">IF($A915="","",IF(D915="Hourly",ROUND(F915*N(INDEX(Workers!$N$5:$N$2004,MATCH($A915,Workers!$A$5:$A$2004,0))),2),0))</f>
        <v/>
      </c>
      <c r="M915" s="26" t="str">
        <f aca="false">IF($A915="","",ROUND(G915*IF(D915="Hourly",N(INDEX(Workers!$N$5:$N$2004,MATCH($A915,Workers!$A$5:$A$2004,0))),I915/Settings!$B$10/Settings!$B$12)*Settings!$B$13,2))</f>
        <v/>
      </c>
      <c r="N915" s="26" t="str">
        <f aca="false">IF($A915="","",K915+L915+M915)</f>
        <v/>
      </c>
      <c r="O915" s="26" t="str">
        <f aca="false">IF($A915="","",SUMIFS(Deductions!$D$5:$D$2000,Deductions!$B$5:$B$2000,$A915,Deductions!$C$5:$C$2000,"Advance",Deductions!$E$5:$E$2000,"&gt;="&amp;Settings!$B$8,Deductions!$E$5:$E$2000,"&lt;="&amp;Settings!$B$9))</f>
        <v/>
      </c>
      <c r="P915" s="26" t="str">
        <f aca="false">IF($A915="","",SUMIFS(Deductions!$D$5:$D$2000,Deductions!$B$5:$B$2000,$A915,Deductions!$E$5:$E$2000,"&gt;="&amp;Settings!$B$8,Deductions!$E$5:$E$2000,"&lt;="&amp;Settings!$B$9)-O915)</f>
        <v/>
      </c>
      <c r="Q915" s="26" t="str">
        <f aca="false">IF($A915="","",O915+P915)</f>
        <v/>
      </c>
      <c r="R915" s="23" t="str">
        <f aca="false">IF($A915="","",N915-Q915)</f>
        <v/>
      </c>
      <c r="S915" s="24" t="str">
        <f aca="false">IF($A915="","",INDEX(Workers!$O$5:$O$2004,MATCH($A915,Workers!$A$5:$A$2004,0))&amp;"")</f>
        <v/>
      </c>
      <c r="T915" s="24" t="str">
        <f aca="false">IF($A915="","",INDEX(Workers!$P$5:$P$2004,MATCH($A915,Workers!$A$5:$A$2004,0))&amp;"")</f>
        <v/>
      </c>
      <c r="U915" s="24" t="str">
        <f aca="false">IF($A915="","",INDEX(Workers!$H$5:$H$2004,MATCH($A915,Workers!$A$5:$A$2004,0))&amp;"")</f>
        <v/>
      </c>
    </row>
    <row r="916" customFormat="false" ht="15" hidden="false" customHeight="false" outlineLevel="0" collapsed="false">
      <c r="A916" s="24" t="str">
        <f aca="false">IFERROR(INDEX(Workers!$A$5:$A$2004,MATCH(ROW()-4,Workers!$U$5:$U$2004,0)),"")</f>
        <v/>
      </c>
      <c r="B916" s="24" t="str">
        <f aca="false">IF($A916="","",INDEX(Workers!$B$5:$B$2004,MATCH($A916,Workers!$A$5:$A$2004,0)))</f>
        <v/>
      </c>
      <c r="C916" s="24" t="str">
        <f aca="false">IF($A916="","",INDEX(Workers!$E$5:$E$2004,MATCH($A916,Workers!$A$5:$A$2004,0)))</f>
        <v/>
      </c>
      <c r="D916" s="24" t="str">
        <f aca="false">IF($A916="","",INDEX(Workers!$K$5:$K$2004,MATCH($A916,Workers!$A$5:$A$2004,0)))</f>
        <v/>
      </c>
      <c r="E916" s="25" t="str">
        <f aca="false">IF($A916="","",SUMIFS(Timesheet!$E$5:$E$3004,Timesheet!$D$5:$D$3004,$A916,Timesheet!$A$5:$A$3004,"&gt;="&amp;Settings!$B$8,Timesheet!$A$5:$A$3004,"&lt;="&amp;Settings!$B$9))</f>
        <v/>
      </c>
      <c r="F916" s="25" t="str">
        <f aca="false">IF($A916="","",SUMIFS(Timesheet!$F$5:$F$3004,Timesheet!$D$5:$D$3004,$A916,Timesheet!$A$5:$A$3004,"&gt;="&amp;Settings!$B$8,Timesheet!$A$5:$A$3004,"&lt;="&amp;Settings!$B$9))</f>
        <v/>
      </c>
      <c r="G916" s="25" t="str">
        <f aca="false">IF($A916="","",SUMIFS(Timesheet!$G$5:$G$3004,Timesheet!$D$5:$D$3004,$A916,Timesheet!$A$5:$A$3004,"&gt;="&amp;Settings!$B$8,Timesheet!$A$5:$A$3004,"&lt;="&amp;Settings!$B$9))</f>
        <v/>
      </c>
      <c r="H916" s="25" t="str">
        <f aca="false">IF($A916="","",IF(D916="Monthly",MAX(0,Settings!$B$11-E916),0))</f>
        <v/>
      </c>
      <c r="I916" s="26" t="str">
        <f aca="false">IF($A916="","",N(INDEX(Workers!$L$5:$L$2004,MATCH($A916,Workers!$A$5:$A$2004,0))))</f>
        <v/>
      </c>
      <c r="J916" s="26" t="str">
        <f aca="false">IF($A916="","",N(INDEX(Workers!$M$5:$M$2004,MATCH($A916,Workers!$A$5:$A$2004,0))))</f>
        <v/>
      </c>
      <c r="K916" s="26" t="str">
        <f aca="false">IF($A916="","",IF(D916="Monthly",ROUND(MAX(0,(I916+J916)-(I916+J916)/Settings!$B$10*H916),2),0))</f>
        <v/>
      </c>
      <c r="L916" s="26" t="str">
        <f aca="false">IF($A916="","",IF(D916="Hourly",ROUND(F916*N(INDEX(Workers!$N$5:$N$2004,MATCH($A916,Workers!$A$5:$A$2004,0))),2),0))</f>
        <v/>
      </c>
      <c r="M916" s="26" t="str">
        <f aca="false">IF($A916="","",ROUND(G916*IF(D916="Hourly",N(INDEX(Workers!$N$5:$N$2004,MATCH($A916,Workers!$A$5:$A$2004,0))),I916/Settings!$B$10/Settings!$B$12)*Settings!$B$13,2))</f>
        <v/>
      </c>
      <c r="N916" s="26" t="str">
        <f aca="false">IF($A916="","",K916+L916+M916)</f>
        <v/>
      </c>
      <c r="O916" s="26" t="str">
        <f aca="false">IF($A916="","",SUMIFS(Deductions!$D$5:$D$2000,Deductions!$B$5:$B$2000,$A916,Deductions!$C$5:$C$2000,"Advance",Deductions!$E$5:$E$2000,"&gt;="&amp;Settings!$B$8,Deductions!$E$5:$E$2000,"&lt;="&amp;Settings!$B$9))</f>
        <v/>
      </c>
      <c r="P916" s="26" t="str">
        <f aca="false">IF($A916="","",SUMIFS(Deductions!$D$5:$D$2000,Deductions!$B$5:$B$2000,$A916,Deductions!$E$5:$E$2000,"&gt;="&amp;Settings!$B$8,Deductions!$E$5:$E$2000,"&lt;="&amp;Settings!$B$9)-O916)</f>
        <v/>
      </c>
      <c r="Q916" s="26" t="str">
        <f aca="false">IF($A916="","",O916+P916)</f>
        <v/>
      </c>
      <c r="R916" s="23" t="str">
        <f aca="false">IF($A916="","",N916-Q916)</f>
        <v/>
      </c>
      <c r="S916" s="24" t="str">
        <f aca="false">IF($A916="","",INDEX(Workers!$O$5:$O$2004,MATCH($A916,Workers!$A$5:$A$2004,0))&amp;"")</f>
        <v/>
      </c>
      <c r="T916" s="24" t="str">
        <f aca="false">IF($A916="","",INDEX(Workers!$P$5:$P$2004,MATCH($A916,Workers!$A$5:$A$2004,0))&amp;"")</f>
        <v/>
      </c>
      <c r="U916" s="24" t="str">
        <f aca="false">IF($A916="","",INDEX(Workers!$H$5:$H$2004,MATCH($A916,Workers!$A$5:$A$2004,0))&amp;"")</f>
        <v/>
      </c>
    </row>
    <row r="917" customFormat="false" ht="15" hidden="false" customHeight="false" outlineLevel="0" collapsed="false">
      <c r="A917" s="24" t="str">
        <f aca="false">IFERROR(INDEX(Workers!$A$5:$A$2004,MATCH(ROW()-4,Workers!$U$5:$U$2004,0)),"")</f>
        <v/>
      </c>
      <c r="B917" s="24" t="str">
        <f aca="false">IF($A917="","",INDEX(Workers!$B$5:$B$2004,MATCH($A917,Workers!$A$5:$A$2004,0)))</f>
        <v/>
      </c>
      <c r="C917" s="24" t="str">
        <f aca="false">IF($A917="","",INDEX(Workers!$E$5:$E$2004,MATCH($A917,Workers!$A$5:$A$2004,0)))</f>
        <v/>
      </c>
      <c r="D917" s="24" t="str">
        <f aca="false">IF($A917="","",INDEX(Workers!$K$5:$K$2004,MATCH($A917,Workers!$A$5:$A$2004,0)))</f>
        <v/>
      </c>
      <c r="E917" s="25" t="str">
        <f aca="false">IF($A917="","",SUMIFS(Timesheet!$E$5:$E$3004,Timesheet!$D$5:$D$3004,$A917,Timesheet!$A$5:$A$3004,"&gt;="&amp;Settings!$B$8,Timesheet!$A$5:$A$3004,"&lt;="&amp;Settings!$B$9))</f>
        <v/>
      </c>
      <c r="F917" s="25" t="str">
        <f aca="false">IF($A917="","",SUMIFS(Timesheet!$F$5:$F$3004,Timesheet!$D$5:$D$3004,$A917,Timesheet!$A$5:$A$3004,"&gt;="&amp;Settings!$B$8,Timesheet!$A$5:$A$3004,"&lt;="&amp;Settings!$B$9))</f>
        <v/>
      </c>
      <c r="G917" s="25" t="str">
        <f aca="false">IF($A917="","",SUMIFS(Timesheet!$G$5:$G$3004,Timesheet!$D$5:$D$3004,$A917,Timesheet!$A$5:$A$3004,"&gt;="&amp;Settings!$B$8,Timesheet!$A$5:$A$3004,"&lt;="&amp;Settings!$B$9))</f>
        <v/>
      </c>
      <c r="H917" s="25" t="str">
        <f aca="false">IF($A917="","",IF(D917="Monthly",MAX(0,Settings!$B$11-E917),0))</f>
        <v/>
      </c>
      <c r="I917" s="26" t="str">
        <f aca="false">IF($A917="","",N(INDEX(Workers!$L$5:$L$2004,MATCH($A917,Workers!$A$5:$A$2004,0))))</f>
        <v/>
      </c>
      <c r="J917" s="26" t="str">
        <f aca="false">IF($A917="","",N(INDEX(Workers!$M$5:$M$2004,MATCH($A917,Workers!$A$5:$A$2004,0))))</f>
        <v/>
      </c>
      <c r="K917" s="26" t="str">
        <f aca="false">IF($A917="","",IF(D917="Monthly",ROUND(MAX(0,(I917+J917)-(I917+J917)/Settings!$B$10*H917),2),0))</f>
        <v/>
      </c>
      <c r="L917" s="26" t="str">
        <f aca="false">IF($A917="","",IF(D917="Hourly",ROUND(F917*N(INDEX(Workers!$N$5:$N$2004,MATCH($A917,Workers!$A$5:$A$2004,0))),2),0))</f>
        <v/>
      </c>
      <c r="M917" s="26" t="str">
        <f aca="false">IF($A917="","",ROUND(G917*IF(D917="Hourly",N(INDEX(Workers!$N$5:$N$2004,MATCH($A917,Workers!$A$5:$A$2004,0))),I917/Settings!$B$10/Settings!$B$12)*Settings!$B$13,2))</f>
        <v/>
      </c>
      <c r="N917" s="26" t="str">
        <f aca="false">IF($A917="","",K917+L917+M917)</f>
        <v/>
      </c>
      <c r="O917" s="26" t="str">
        <f aca="false">IF($A917="","",SUMIFS(Deductions!$D$5:$D$2000,Deductions!$B$5:$B$2000,$A917,Deductions!$C$5:$C$2000,"Advance",Deductions!$E$5:$E$2000,"&gt;="&amp;Settings!$B$8,Deductions!$E$5:$E$2000,"&lt;="&amp;Settings!$B$9))</f>
        <v/>
      </c>
      <c r="P917" s="26" t="str">
        <f aca="false">IF($A917="","",SUMIFS(Deductions!$D$5:$D$2000,Deductions!$B$5:$B$2000,$A917,Deductions!$E$5:$E$2000,"&gt;="&amp;Settings!$B$8,Deductions!$E$5:$E$2000,"&lt;="&amp;Settings!$B$9)-O917)</f>
        <v/>
      </c>
      <c r="Q917" s="26" t="str">
        <f aca="false">IF($A917="","",O917+P917)</f>
        <v/>
      </c>
      <c r="R917" s="23" t="str">
        <f aca="false">IF($A917="","",N917-Q917)</f>
        <v/>
      </c>
      <c r="S917" s="24" t="str">
        <f aca="false">IF($A917="","",INDEX(Workers!$O$5:$O$2004,MATCH($A917,Workers!$A$5:$A$2004,0))&amp;"")</f>
        <v/>
      </c>
      <c r="T917" s="24" t="str">
        <f aca="false">IF($A917="","",INDEX(Workers!$P$5:$P$2004,MATCH($A917,Workers!$A$5:$A$2004,0))&amp;"")</f>
        <v/>
      </c>
      <c r="U917" s="24" t="str">
        <f aca="false">IF($A917="","",INDEX(Workers!$H$5:$H$2004,MATCH($A917,Workers!$A$5:$A$2004,0))&amp;"")</f>
        <v/>
      </c>
    </row>
    <row r="918" customFormat="false" ht="15" hidden="false" customHeight="false" outlineLevel="0" collapsed="false">
      <c r="A918" s="24" t="str">
        <f aca="false">IFERROR(INDEX(Workers!$A$5:$A$2004,MATCH(ROW()-4,Workers!$U$5:$U$2004,0)),"")</f>
        <v/>
      </c>
      <c r="B918" s="24" t="str">
        <f aca="false">IF($A918="","",INDEX(Workers!$B$5:$B$2004,MATCH($A918,Workers!$A$5:$A$2004,0)))</f>
        <v/>
      </c>
      <c r="C918" s="24" t="str">
        <f aca="false">IF($A918="","",INDEX(Workers!$E$5:$E$2004,MATCH($A918,Workers!$A$5:$A$2004,0)))</f>
        <v/>
      </c>
      <c r="D918" s="24" t="str">
        <f aca="false">IF($A918="","",INDEX(Workers!$K$5:$K$2004,MATCH($A918,Workers!$A$5:$A$2004,0)))</f>
        <v/>
      </c>
      <c r="E918" s="25" t="str">
        <f aca="false">IF($A918="","",SUMIFS(Timesheet!$E$5:$E$3004,Timesheet!$D$5:$D$3004,$A918,Timesheet!$A$5:$A$3004,"&gt;="&amp;Settings!$B$8,Timesheet!$A$5:$A$3004,"&lt;="&amp;Settings!$B$9))</f>
        <v/>
      </c>
      <c r="F918" s="25" t="str">
        <f aca="false">IF($A918="","",SUMIFS(Timesheet!$F$5:$F$3004,Timesheet!$D$5:$D$3004,$A918,Timesheet!$A$5:$A$3004,"&gt;="&amp;Settings!$B$8,Timesheet!$A$5:$A$3004,"&lt;="&amp;Settings!$B$9))</f>
        <v/>
      </c>
      <c r="G918" s="25" t="str">
        <f aca="false">IF($A918="","",SUMIFS(Timesheet!$G$5:$G$3004,Timesheet!$D$5:$D$3004,$A918,Timesheet!$A$5:$A$3004,"&gt;="&amp;Settings!$B$8,Timesheet!$A$5:$A$3004,"&lt;="&amp;Settings!$B$9))</f>
        <v/>
      </c>
      <c r="H918" s="25" t="str">
        <f aca="false">IF($A918="","",IF(D918="Monthly",MAX(0,Settings!$B$11-E918),0))</f>
        <v/>
      </c>
      <c r="I918" s="26" t="str">
        <f aca="false">IF($A918="","",N(INDEX(Workers!$L$5:$L$2004,MATCH($A918,Workers!$A$5:$A$2004,0))))</f>
        <v/>
      </c>
      <c r="J918" s="26" t="str">
        <f aca="false">IF($A918="","",N(INDEX(Workers!$M$5:$M$2004,MATCH($A918,Workers!$A$5:$A$2004,0))))</f>
        <v/>
      </c>
      <c r="K918" s="26" t="str">
        <f aca="false">IF($A918="","",IF(D918="Monthly",ROUND(MAX(0,(I918+J918)-(I918+J918)/Settings!$B$10*H918),2),0))</f>
        <v/>
      </c>
      <c r="L918" s="26" t="str">
        <f aca="false">IF($A918="","",IF(D918="Hourly",ROUND(F918*N(INDEX(Workers!$N$5:$N$2004,MATCH($A918,Workers!$A$5:$A$2004,0))),2),0))</f>
        <v/>
      </c>
      <c r="M918" s="26" t="str">
        <f aca="false">IF($A918="","",ROUND(G918*IF(D918="Hourly",N(INDEX(Workers!$N$5:$N$2004,MATCH($A918,Workers!$A$5:$A$2004,0))),I918/Settings!$B$10/Settings!$B$12)*Settings!$B$13,2))</f>
        <v/>
      </c>
      <c r="N918" s="26" t="str">
        <f aca="false">IF($A918="","",K918+L918+M918)</f>
        <v/>
      </c>
      <c r="O918" s="26" t="str">
        <f aca="false">IF($A918="","",SUMIFS(Deductions!$D$5:$D$2000,Deductions!$B$5:$B$2000,$A918,Deductions!$C$5:$C$2000,"Advance",Deductions!$E$5:$E$2000,"&gt;="&amp;Settings!$B$8,Deductions!$E$5:$E$2000,"&lt;="&amp;Settings!$B$9))</f>
        <v/>
      </c>
      <c r="P918" s="26" t="str">
        <f aca="false">IF($A918="","",SUMIFS(Deductions!$D$5:$D$2000,Deductions!$B$5:$B$2000,$A918,Deductions!$E$5:$E$2000,"&gt;="&amp;Settings!$B$8,Deductions!$E$5:$E$2000,"&lt;="&amp;Settings!$B$9)-O918)</f>
        <v/>
      </c>
      <c r="Q918" s="26" t="str">
        <f aca="false">IF($A918="","",O918+P918)</f>
        <v/>
      </c>
      <c r="R918" s="23" t="str">
        <f aca="false">IF($A918="","",N918-Q918)</f>
        <v/>
      </c>
      <c r="S918" s="24" t="str">
        <f aca="false">IF($A918="","",INDEX(Workers!$O$5:$O$2004,MATCH($A918,Workers!$A$5:$A$2004,0))&amp;"")</f>
        <v/>
      </c>
      <c r="T918" s="24" t="str">
        <f aca="false">IF($A918="","",INDEX(Workers!$P$5:$P$2004,MATCH($A918,Workers!$A$5:$A$2004,0))&amp;"")</f>
        <v/>
      </c>
      <c r="U918" s="24" t="str">
        <f aca="false">IF($A918="","",INDEX(Workers!$H$5:$H$2004,MATCH($A918,Workers!$A$5:$A$2004,0))&amp;"")</f>
        <v/>
      </c>
    </row>
    <row r="919" customFormat="false" ht="15" hidden="false" customHeight="false" outlineLevel="0" collapsed="false">
      <c r="A919" s="24" t="str">
        <f aca="false">IFERROR(INDEX(Workers!$A$5:$A$2004,MATCH(ROW()-4,Workers!$U$5:$U$2004,0)),"")</f>
        <v/>
      </c>
      <c r="B919" s="24" t="str">
        <f aca="false">IF($A919="","",INDEX(Workers!$B$5:$B$2004,MATCH($A919,Workers!$A$5:$A$2004,0)))</f>
        <v/>
      </c>
      <c r="C919" s="24" t="str">
        <f aca="false">IF($A919="","",INDEX(Workers!$E$5:$E$2004,MATCH($A919,Workers!$A$5:$A$2004,0)))</f>
        <v/>
      </c>
      <c r="D919" s="24" t="str">
        <f aca="false">IF($A919="","",INDEX(Workers!$K$5:$K$2004,MATCH($A919,Workers!$A$5:$A$2004,0)))</f>
        <v/>
      </c>
      <c r="E919" s="25" t="str">
        <f aca="false">IF($A919="","",SUMIFS(Timesheet!$E$5:$E$3004,Timesheet!$D$5:$D$3004,$A919,Timesheet!$A$5:$A$3004,"&gt;="&amp;Settings!$B$8,Timesheet!$A$5:$A$3004,"&lt;="&amp;Settings!$B$9))</f>
        <v/>
      </c>
      <c r="F919" s="25" t="str">
        <f aca="false">IF($A919="","",SUMIFS(Timesheet!$F$5:$F$3004,Timesheet!$D$5:$D$3004,$A919,Timesheet!$A$5:$A$3004,"&gt;="&amp;Settings!$B$8,Timesheet!$A$5:$A$3004,"&lt;="&amp;Settings!$B$9))</f>
        <v/>
      </c>
      <c r="G919" s="25" t="str">
        <f aca="false">IF($A919="","",SUMIFS(Timesheet!$G$5:$G$3004,Timesheet!$D$5:$D$3004,$A919,Timesheet!$A$5:$A$3004,"&gt;="&amp;Settings!$B$8,Timesheet!$A$5:$A$3004,"&lt;="&amp;Settings!$B$9))</f>
        <v/>
      </c>
      <c r="H919" s="25" t="str">
        <f aca="false">IF($A919="","",IF(D919="Monthly",MAX(0,Settings!$B$11-E919),0))</f>
        <v/>
      </c>
      <c r="I919" s="26" t="str">
        <f aca="false">IF($A919="","",N(INDEX(Workers!$L$5:$L$2004,MATCH($A919,Workers!$A$5:$A$2004,0))))</f>
        <v/>
      </c>
      <c r="J919" s="26" t="str">
        <f aca="false">IF($A919="","",N(INDEX(Workers!$M$5:$M$2004,MATCH($A919,Workers!$A$5:$A$2004,0))))</f>
        <v/>
      </c>
      <c r="K919" s="26" t="str">
        <f aca="false">IF($A919="","",IF(D919="Monthly",ROUND(MAX(0,(I919+J919)-(I919+J919)/Settings!$B$10*H919),2),0))</f>
        <v/>
      </c>
      <c r="L919" s="26" t="str">
        <f aca="false">IF($A919="","",IF(D919="Hourly",ROUND(F919*N(INDEX(Workers!$N$5:$N$2004,MATCH($A919,Workers!$A$5:$A$2004,0))),2),0))</f>
        <v/>
      </c>
      <c r="M919" s="26" t="str">
        <f aca="false">IF($A919="","",ROUND(G919*IF(D919="Hourly",N(INDEX(Workers!$N$5:$N$2004,MATCH($A919,Workers!$A$5:$A$2004,0))),I919/Settings!$B$10/Settings!$B$12)*Settings!$B$13,2))</f>
        <v/>
      </c>
      <c r="N919" s="26" t="str">
        <f aca="false">IF($A919="","",K919+L919+M919)</f>
        <v/>
      </c>
      <c r="O919" s="26" t="str">
        <f aca="false">IF($A919="","",SUMIFS(Deductions!$D$5:$D$2000,Deductions!$B$5:$B$2000,$A919,Deductions!$C$5:$C$2000,"Advance",Deductions!$E$5:$E$2000,"&gt;="&amp;Settings!$B$8,Deductions!$E$5:$E$2000,"&lt;="&amp;Settings!$B$9))</f>
        <v/>
      </c>
      <c r="P919" s="26" t="str">
        <f aca="false">IF($A919="","",SUMIFS(Deductions!$D$5:$D$2000,Deductions!$B$5:$B$2000,$A919,Deductions!$E$5:$E$2000,"&gt;="&amp;Settings!$B$8,Deductions!$E$5:$E$2000,"&lt;="&amp;Settings!$B$9)-O919)</f>
        <v/>
      </c>
      <c r="Q919" s="26" t="str">
        <f aca="false">IF($A919="","",O919+P919)</f>
        <v/>
      </c>
      <c r="R919" s="23" t="str">
        <f aca="false">IF($A919="","",N919-Q919)</f>
        <v/>
      </c>
      <c r="S919" s="24" t="str">
        <f aca="false">IF($A919="","",INDEX(Workers!$O$5:$O$2004,MATCH($A919,Workers!$A$5:$A$2004,0))&amp;"")</f>
        <v/>
      </c>
      <c r="T919" s="24" t="str">
        <f aca="false">IF($A919="","",INDEX(Workers!$P$5:$P$2004,MATCH($A919,Workers!$A$5:$A$2004,0))&amp;"")</f>
        <v/>
      </c>
      <c r="U919" s="24" t="str">
        <f aca="false">IF($A919="","",INDEX(Workers!$H$5:$H$2004,MATCH($A919,Workers!$A$5:$A$2004,0))&amp;"")</f>
        <v/>
      </c>
    </row>
    <row r="920" customFormat="false" ht="15" hidden="false" customHeight="false" outlineLevel="0" collapsed="false">
      <c r="A920" s="24" t="str">
        <f aca="false">IFERROR(INDEX(Workers!$A$5:$A$2004,MATCH(ROW()-4,Workers!$U$5:$U$2004,0)),"")</f>
        <v/>
      </c>
      <c r="B920" s="24" t="str">
        <f aca="false">IF($A920="","",INDEX(Workers!$B$5:$B$2004,MATCH($A920,Workers!$A$5:$A$2004,0)))</f>
        <v/>
      </c>
      <c r="C920" s="24" t="str">
        <f aca="false">IF($A920="","",INDEX(Workers!$E$5:$E$2004,MATCH($A920,Workers!$A$5:$A$2004,0)))</f>
        <v/>
      </c>
      <c r="D920" s="24" t="str">
        <f aca="false">IF($A920="","",INDEX(Workers!$K$5:$K$2004,MATCH($A920,Workers!$A$5:$A$2004,0)))</f>
        <v/>
      </c>
      <c r="E920" s="25" t="str">
        <f aca="false">IF($A920="","",SUMIFS(Timesheet!$E$5:$E$3004,Timesheet!$D$5:$D$3004,$A920,Timesheet!$A$5:$A$3004,"&gt;="&amp;Settings!$B$8,Timesheet!$A$5:$A$3004,"&lt;="&amp;Settings!$B$9))</f>
        <v/>
      </c>
      <c r="F920" s="25" t="str">
        <f aca="false">IF($A920="","",SUMIFS(Timesheet!$F$5:$F$3004,Timesheet!$D$5:$D$3004,$A920,Timesheet!$A$5:$A$3004,"&gt;="&amp;Settings!$B$8,Timesheet!$A$5:$A$3004,"&lt;="&amp;Settings!$B$9))</f>
        <v/>
      </c>
      <c r="G920" s="25" t="str">
        <f aca="false">IF($A920="","",SUMIFS(Timesheet!$G$5:$G$3004,Timesheet!$D$5:$D$3004,$A920,Timesheet!$A$5:$A$3004,"&gt;="&amp;Settings!$B$8,Timesheet!$A$5:$A$3004,"&lt;="&amp;Settings!$B$9))</f>
        <v/>
      </c>
      <c r="H920" s="25" t="str">
        <f aca="false">IF($A920="","",IF(D920="Monthly",MAX(0,Settings!$B$11-E920),0))</f>
        <v/>
      </c>
      <c r="I920" s="26" t="str">
        <f aca="false">IF($A920="","",N(INDEX(Workers!$L$5:$L$2004,MATCH($A920,Workers!$A$5:$A$2004,0))))</f>
        <v/>
      </c>
      <c r="J920" s="26" t="str">
        <f aca="false">IF($A920="","",N(INDEX(Workers!$M$5:$M$2004,MATCH($A920,Workers!$A$5:$A$2004,0))))</f>
        <v/>
      </c>
      <c r="K920" s="26" t="str">
        <f aca="false">IF($A920="","",IF(D920="Monthly",ROUND(MAX(0,(I920+J920)-(I920+J920)/Settings!$B$10*H920),2),0))</f>
        <v/>
      </c>
      <c r="L920" s="26" t="str">
        <f aca="false">IF($A920="","",IF(D920="Hourly",ROUND(F920*N(INDEX(Workers!$N$5:$N$2004,MATCH($A920,Workers!$A$5:$A$2004,0))),2),0))</f>
        <v/>
      </c>
      <c r="M920" s="26" t="str">
        <f aca="false">IF($A920="","",ROUND(G920*IF(D920="Hourly",N(INDEX(Workers!$N$5:$N$2004,MATCH($A920,Workers!$A$5:$A$2004,0))),I920/Settings!$B$10/Settings!$B$12)*Settings!$B$13,2))</f>
        <v/>
      </c>
      <c r="N920" s="26" t="str">
        <f aca="false">IF($A920="","",K920+L920+M920)</f>
        <v/>
      </c>
      <c r="O920" s="26" t="str">
        <f aca="false">IF($A920="","",SUMIFS(Deductions!$D$5:$D$2000,Deductions!$B$5:$B$2000,$A920,Deductions!$C$5:$C$2000,"Advance",Deductions!$E$5:$E$2000,"&gt;="&amp;Settings!$B$8,Deductions!$E$5:$E$2000,"&lt;="&amp;Settings!$B$9))</f>
        <v/>
      </c>
      <c r="P920" s="26" t="str">
        <f aca="false">IF($A920="","",SUMIFS(Deductions!$D$5:$D$2000,Deductions!$B$5:$B$2000,$A920,Deductions!$E$5:$E$2000,"&gt;="&amp;Settings!$B$8,Deductions!$E$5:$E$2000,"&lt;="&amp;Settings!$B$9)-O920)</f>
        <v/>
      </c>
      <c r="Q920" s="26" t="str">
        <f aca="false">IF($A920="","",O920+P920)</f>
        <v/>
      </c>
      <c r="R920" s="23" t="str">
        <f aca="false">IF($A920="","",N920-Q920)</f>
        <v/>
      </c>
      <c r="S920" s="24" t="str">
        <f aca="false">IF($A920="","",INDEX(Workers!$O$5:$O$2004,MATCH($A920,Workers!$A$5:$A$2004,0))&amp;"")</f>
        <v/>
      </c>
      <c r="T920" s="24" t="str">
        <f aca="false">IF($A920="","",INDEX(Workers!$P$5:$P$2004,MATCH($A920,Workers!$A$5:$A$2004,0))&amp;"")</f>
        <v/>
      </c>
      <c r="U920" s="24" t="str">
        <f aca="false">IF($A920="","",INDEX(Workers!$H$5:$H$2004,MATCH($A920,Workers!$A$5:$A$2004,0))&amp;"")</f>
        <v/>
      </c>
    </row>
    <row r="921" customFormat="false" ht="15" hidden="false" customHeight="false" outlineLevel="0" collapsed="false">
      <c r="A921" s="24" t="str">
        <f aca="false">IFERROR(INDEX(Workers!$A$5:$A$2004,MATCH(ROW()-4,Workers!$U$5:$U$2004,0)),"")</f>
        <v/>
      </c>
      <c r="B921" s="24" t="str">
        <f aca="false">IF($A921="","",INDEX(Workers!$B$5:$B$2004,MATCH($A921,Workers!$A$5:$A$2004,0)))</f>
        <v/>
      </c>
      <c r="C921" s="24" t="str">
        <f aca="false">IF($A921="","",INDEX(Workers!$E$5:$E$2004,MATCH($A921,Workers!$A$5:$A$2004,0)))</f>
        <v/>
      </c>
      <c r="D921" s="24" t="str">
        <f aca="false">IF($A921="","",INDEX(Workers!$K$5:$K$2004,MATCH($A921,Workers!$A$5:$A$2004,0)))</f>
        <v/>
      </c>
      <c r="E921" s="25" t="str">
        <f aca="false">IF($A921="","",SUMIFS(Timesheet!$E$5:$E$3004,Timesheet!$D$5:$D$3004,$A921,Timesheet!$A$5:$A$3004,"&gt;="&amp;Settings!$B$8,Timesheet!$A$5:$A$3004,"&lt;="&amp;Settings!$B$9))</f>
        <v/>
      </c>
      <c r="F921" s="25" t="str">
        <f aca="false">IF($A921="","",SUMIFS(Timesheet!$F$5:$F$3004,Timesheet!$D$5:$D$3004,$A921,Timesheet!$A$5:$A$3004,"&gt;="&amp;Settings!$B$8,Timesheet!$A$5:$A$3004,"&lt;="&amp;Settings!$B$9))</f>
        <v/>
      </c>
      <c r="G921" s="25" t="str">
        <f aca="false">IF($A921="","",SUMIFS(Timesheet!$G$5:$G$3004,Timesheet!$D$5:$D$3004,$A921,Timesheet!$A$5:$A$3004,"&gt;="&amp;Settings!$B$8,Timesheet!$A$5:$A$3004,"&lt;="&amp;Settings!$B$9))</f>
        <v/>
      </c>
      <c r="H921" s="25" t="str">
        <f aca="false">IF($A921="","",IF(D921="Monthly",MAX(0,Settings!$B$11-E921),0))</f>
        <v/>
      </c>
      <c r="I921" s="26" t="str">
        <f aca="false">IF($A921="","",N(INDEX(Workers!$L$5:$L$2004,MATCH($A921,Workers!$A$5:$A$2004,0))))</f>
        <v/>
      </c>
      <c r="J921" s="26" t="str">
        <f aca="false">IF($A921="","",N(INDEX(Workers!$M$5:$M$2004,MATCH($A921,Workers!$A$5:$A$2004,0))))</f>
        <v/>
      </c>
      <c r="K921" s="26" t="str">
        <f aca="false">IF($A921="","",IF(D921="Monthly",ROUND(MAX(0,(I921+J921)-(I921+J921)/Settings!$B$10*H921),2),0))</f>
        <v/>
      </c>
      <c r="L921" s="26" t="str">
        <f aca="false">IF($A921="","",IF(D921="Hourly",ROUND(F921*N(INDEX(Workers!$N$5:$N$2004,MATCH($A921,Workers!$A$5:$A$2004,0))),2),0))</f>
        <v/>
      </c>
      <c r="M921" s="26" t="str">
        <f aca="false">IF($A921="","",ROUND(G921*IF(D921="Hourly",N(INDEX(Workers!$N$5:$N$2004,MATCH($A921,Workers!$A$5:$A$2004,0))),I921/Settings!$B$10/Settings!$B$12)*Settings!$B$13,2))</f>
        <v/>
      </c>
      <c r="N921" s="26" t="str">
        <f aca="false">IF($A921="","",K921+L921+M921)</f>
        <v/>
      </c>
      <c r="O921" s="26" t="str">
        <f aca="false">IF($A921="","",SUMIFS(Deductions!$D$5:$D$2000,Deductions!$B$5:$B$2000,$A921,Deductions!$C$5:$C$2000,"Advance",Deductions!$E$5:$E$2000,"&gt;="&amp;Settings!$B$8,Deductions!$E$5:$E$2000,"&lt;="&amp;Settings!$B$9))</f>
        <v/>
      </c>
      <c r="P921" s="26" t="str">
        <f aca="false">IF($A921="","",SUMIFS(Deductions!$D$5:$D$2000,Deductions!$B$5:$B$2000,$A921,Deductions!$E$5:$E$2000,"&gt;="&amp;Settings!$B$8,Deductions!$E$5:$E$2000,"&lt;="&amp;Settings!$B$9)-O921)</f>
        <v/>
      </c>
      <c r="Q921" s="26" t="str">
        <f aca="false">IF($A921="","",O921+P921)</f>
        <v/>
      </c>
      <c r="R921" s="23" t="str">
        <f aca="false">IF($A921="","",N921-Q921)</f>
        <v/>
      </c>
      <c r="S921" s="24" t="str">
        <f aca="false">IF($A921="","",INDEX(Workers!$O$5:$O$2004,MATCH($A921,Workers!$A$5:$A$2004,0))&amp;"")</f>
        <v/>
      </c>
      <c r="T921" s="24" t="str">
        <f aca="false">IF($A921="","",INDEX(Workers!$P$5:$P$2004,MATCH($A921,Workers!$A$5:$A$2004,0))&amp;"")</f>
        <v/>
      </c>
      <c r="U921" s="24" t="str">
        <f aca="false">IF($A921="","",INDEX(Workers!$H$5:$H$2004,MATCH($A921,Workers!$A$5:$A$2004,0))&amp;"")</f>
        <v/>
      </c>
    </row>
    <row r="922" customFormat="false" ht="15" hidden="false" customHeight="false" outlineLevel="0" collapsed="false">
      <c r="A922" s="24" t="str">
        <f aca="false">IFERROR(INDEX(Workers!$A$5:$A$2004,MATCH(ROW()-4,Workers!$U$5:$U$2004,0)),"")</f>
        <v/>
      </c>
      <c r="B922" s="24" t="str">
        <f aca="false">IF($A922="","",INDEX(Workers!$B$5:$B$2004,MATCH($A922,Workers!$A$5:$A$2004,0)))</f>
        <v/>
      </c>
      <c r="C922" s="24" t="str">
        <f aca="false">IF($A922="","",INDEX(Workers!$E$5:$E$2004,MATCH($A922,Workers!$A$5:$A$2004,0)))</f>
        <v/>
      </c>
      <c r="D922" s="24" t="str">
        <f aca="false">IF($A922="","",INDEX(Workers!$K$5:$K$2004,MATCH($A922,Workers!$A$5:$A$2004,0)))</f>
        <v/>
      </c>
      <c r="E922" s="25" t="str">
        <f aca="false">IF($A922="","",SUMIFS(Timesheet!$E$5:$E$3004,Timesheet!$D$5:$D$3004,$A922,Timesheet!$A$5:$A$3004,"&gt;="&amp;Settings!$B$8,Timesheet!$A$5:$A$3004,"&lt;="&amp;Settings!$B$9))</f>
        <v/>
      </c>
      <c r="F922" s="25" t="str">
        <f aca="false">IF($A922="","",SUMIFS(Timesheet!$F$5:$F$3004,Timesheet!$D$5:$D$3004,$A922,Timesheet!$A$5:$A$3004,"&gt;="&amp;Settings!$B$8,Timesheet!$A$5:$A$3004,"&lt;="&amp;Settings!$B$9))</f>
        <v/>
      </c>
      <c r="G922" s="25" t="str">
        <f aca="false">IF($A922="","",SUMIFS(Timesheet!$G$5:$G$3004,Timesheet!$D$5:$D$3004,$A922,Timesheet!$A$5:$A$3004,"&gt;="&amp;Settings!$B$8,Timesheet!$A$5:$A$3004,"&lt;="&amp;Settings!$B$9))</f>
        <v/>
      </c>
      <c r="H922" s="25" t="str">
        <f aca="false">IF($A922="","",IF(D922="Monthly",MAX(0,Settings!$B$11-E922),0))</f>
        <v/>
      </c>
      <c r="I922" s="26" t="str">
        <f aca="false">IF($A922="","",N(INDEX(Workers!$L$5:$L$2004,MATCH($A922,Workers!$A$5:$A$2004,0))))</f>
        <v/>
      </c>
      <c r="J922" s="26" t="str">
        <f aca="false">IF($A922="","",N(INDEX(Workers!$M$5:$M$2004,MATCH($A922,Workers!$A$5:$A$2004,0))))</f>
        <v/>
      </c>
      <c r="K922" s="26" t="str">
        <f aca="false">IF($A922="","",IF(D922="Monthly",ROUND(MAX(0,(I922+J922)-(I922+J922)/Settings!$B$10*H922),2),0))</f>
        <v/>
      </c>
      <c r="L922" s="26" t="str">
        <f aca="false">IF($A922="","",IF(D922="Hourly",ROUND(F922*N(INDEX(Workers!$N$5:$N$2004,MATCH($A922,Workers!$A$5:$A$2004,0))),2),0))</f>
        <v/>
      </c>
      <c r="M922" s="26" t="str">
        <f aca="false">IF($A922="","",ROUND(G922*IF(D922="Hourly",N(INDEX(Workers!$N$5:$N$2004,MATCH($A922,Workers!$A$5:$A$2004,0))),I922/Settings!$B$10/Settings!$B$12)*Settings!$B$13,2))</f>
        <v/>
      </c>
      <c r="N922" s="26" t="str">
        <f aca="false">IF($A922="","",K922+L922+M922)</f>
        <v/>
      </c>
      <c r="O922" s="26" t="str">
        <f aca="false">IF($A922="","",SUMIFS(Deductions!$D$5:$D$2000,Deductions!$B$5:$B$2000,$A922,Deductions!$C$5:$C$2000,"Advance",Deductions!$E$5:$E$2000,"&gt;="&amp;Settings!$B$8,Deductions!$E$5:$E$2000,"&lt;="&amp;Settings!$B$9))</f>
        <v/>
      </c>
      <c r="P922" s="26" t="str">
        <f aca="false">IF($A922="","",SUMIFS(Deductions!$D$5:$D$2000,Deductions!$B$5:$B$2000,$A922,Deductions!$E$5:$E$2000,"&gt;="&amp;Settings!$B$8,Deductions!$E$5:$E$2000,"&lt;="&amp;Settings!$B$9)-O922)</f>
        <v/>
      </c>
      <c r="Q922" s="26" t="str">
        <f aca="false">IF($A922="","",O922+P922)</f>
        <v/>
      </c>
      <c r="R922" s="23" t="str">
        <f aca="false">IF($A922="","",N922-Q922)</f>
        <v/>
      </c>
      <c r="S922" s="24" t="str">
        <f aca="false">IF($A922="","",INDEX(Workers!$O$5:$O$2004,MATCH($A922,Workers!$A$5:$A$2004,0))&amp;"")</f>
        <v/>
      </c>
      <c r="T922" s="24" t="str">
        <f aca="false">IF($A922="","",INDEX(Workers!$P$5:$P$2004,MATCH($A922,Workers!$A$5:$A$2004,0))&amp;"")</f>
        <v/>
      </c>
      <c r="U922" s="24" t="str">
        <f aca="false">IF($A922="","",INDEX(Workers!$H$5:$H$2004,MATCH($A922,Workers!$A$5:$A$2004,0))&amp;"")</f>
        <v/>
      </c>
    </row>
    <row r="923" customFormat="false" ht="15" hidden="false" customHeight="false" outlineLevel="0" collapsed="false">
      <c r="A923" s="24" t="str">
        <f aca="false">IFERROR(INDEX(Workers!$A$5:$A$2004,MATCH(ROW()-4,Workers!$U$5:$U$2004,0)),"")</f>
        <v/>
      </c>
      <c r="B923" s="24" t="str">
        <f aca="false">IF($A923="","",INDEX(Workers!$B$5:$B$2004,MATCH($A923,Workers!$A$5:$A$2004,0)))</f>
        <v/>
      </c>
      <c r="C923" s="24" t="str">
        <f aca="false">IF($A923="","",INDEX(Workers!$E$5:$E$2004,MATCH($A923,Workers!$A$5:$A$2004,0)))</f>
        <v/>
      </c>
      <c r="D923" s="24" t="str">
        <f aca="false">IF($A923="","",INDEX(Workers!$K$5:$K$2004,MATCH($A923,Workers!$A$5:$A$2004,0)))</f>
        <v/>
      </c>
      <c r="E923" s="25" t="str">
        <f aca="false">IF($A923="","",SUMIFS(Timesheet!$E$5:$E$3004,Timesheet!$D$5:$D$3004,$A923,Timesheet!$A$5:$A$3004,"&gt;="&amp;Settings!$B$8,Timesheet!$A$5:$A$3004,"&lt;="&amp;Settings!$B$9))</f>
        <v/>
      </c>
      <c r="F923" s="25" t="str">
        <f aca="false">IF($A923="","",SUMIFS(Timesheet!$F$5:$F$3004,Timesheet!$D$5:$D$3004,$A923,Timesheet!$A$5:$A$3004,"&gt;="&amp;Settings!$B$8,Timesheet!$A$5:$A$3004,"&lt;="&amp;Settings!$B$9))</f>
        <v/>
      </c>
      <c r="G923" s="25" t="str">
        <f aca="false">IF($A923="","",SUMIFS(Timesheet!$G$5:$G$3004,Timesheet!$D$5:$D$3004,$A923,Timesheet!$A$5:$A$3004,"&gt;="&amp;Settings!$B$8,Timesheet!$A$5:$A$3004,"&lt;="&amp;Settings!$B$9))</f>
        <v/>
      </c>
      <c r="H923" s="25" t="str">
        <f aca="false">IF($A923="","",IF(D923="Monthly",MAX(0,Settings!$B$11-E923),0))</f>
        <v/>
      </c>
      <c r="I923" s="26" t="str">
        <f aca="false">IF($A923="","",N(INDEX(Workers!$L$5:$L$2004,MATCH($A923,Workers!$A$5:$A$2004,0))))</f>
        <v/>
      </c>
      <c r="J923" s="26" t="str">
        <f aca="false">IF($A923="","",N(INDEX(Workers!$M$5:$M$2004,MATCH($A923,Workers!$A$5:$A$2004,0))))</f>
        <v/>
      </c>
      <c r="K923" s="26" t="str">
        <f aca="false">IF($A923="","",IF(D923="Monthly",ROUND(MAX(0,(I923+J923)-(I923+J923)/Settings!$B$10*H923),2),0))</f>
        <v/>
      </c>
      <c r="L923" s="26" t="str">
        <f aca="false">IF($A923="","",IF(D923="Hourly",ROUND(F923*N(INDEX(Workers!$N$5:$N$2004,MATCH($A923,Workers!$A$5:$A$2004,0))),2),0))</f>
        <v/>
      </c>
      <c r="M923" s="26" t="str">
        <f aca="false">IF($A923="","",ROUND(G923*IF(D923="Hourly",N(INDEX(Workers!$N$5:$N$2004,MATCH($A923,Workers!$A$5:$A$2004,0))),I923/Settings!$B$10/Settings!$B$12)*Settings!$B$13,2))</f>
        <v/>
      </c>
      <c r="N923" s="26" t="str">
        <f aca="false">IF($A923="","",K923+L923+M923)</f>
        <v/>
      </c>
      <c r="O923" s="26" t="str">
        <f aca="false">IF($A923="","",SUMIFS(Deductions!$D$5:$D$2000,Deductions!$B$5:$B$2000,$A923,Deductions!$C$5:$C$2000,"Advance",Deductions!$E$5:$E$2000,"&gt;="&amp;Settings!$B$8,Deductions!$E$5:$E$2000,"&lt;="&amp;Settings!$B$9))</f>
        <v/>
      </c>
      <c r="P923" s="26" t="str">
        <f aca="false">IF($A923="","",SUMIFS(Deductions!$D$5:$D$2000,Deductions!$B$5:$B$2000,$A923,Deductions!$E$5:$E$2000,"&gt;="&amp;Settings!$B$8,Deductions!$E$5:$E$2000,"&lt;="&amp;Settings!$B$9)-O923)</f>
        <v/>
      </c>
      <c r="Q923" s="26" t="str">
        <f aca="false">IF($A923="","",O923+P923)</f>
        <v/>
      </c>
      <c r="R923" s="23" t="str">
        <f aca="false">IF($A923="","",N923-Q923)</f>
        <v/>
      </c>
      <c r="S923" s="24" t="str">
        <f aca="false">IF($A923="","",INDEX(Workers!$O$5:$O$2004,MATCH($A923,Workers!$A$5:$A$2004,0))&amp;"")</f>
        <v/>
      </c>
      <c r="T923" s="24" t="str">
        <f aca="false">IF($A923="","",INDEX(Workers!$P$5:$P$2004,MATCH($A923,Workers!$A$5:$A$2004,0))&amp;"")</f>
        <v/>
      </c>
      <c r="U923" s="24" t="str">
        <f aca="false">IF($A923="","",INDEX(Workers!$H$5:$H$2004,MATCH($A923,Workers!$A$5:$A$2004,0))&amp;"")</f>
        <v/>
      </c>
    </row>
    <row r="924" customFormat="false" ht="15" hidden="false" customHeight="false" outlineLevel="0" collapsed="false">
      <c r="A924" s="24" t="str">
        <f aca="false">IFERROR(INDEX(Workers!$A$5:$A$2004,MATCH(ROW()-4,Workers!$U$5:$U$2004,0)),"")</f>
        <v/>
      </c>
      <c r="B924" s="24" t="str">
        <f aca="false">IF($A924="","",INDEX(Workers!$B$5:$B$2004,MATCH($A924,Workers!$A$5:$A$2004,0)))</f>
        <v/>
      </c>
      <c r="C924" s="24" t="str">
        <f aca="false">IF($A924="","",INDEX(Workers!$E$5:$E$2004,MATCH($A924,Workers!$A$5:$A$2004,0)))</f>
        <v/>
      </c>
      <c r="D924" s="24" t="str">
        <f aca="false">IF($A924="","",INDEX(Workers!$K$5:$K$2004,MATCH($A924,Workers!$A$5:$A$2004,0)))</f>
        <v/>
      </c>
      <c r="E924" s="25" t="str">
        <f aca="false">IF($A924="","",SUMIFS(Timesheet!$E$5:$E$3004,Timesheet!$D$5:$D$3004,$A924,Timesheet!$A$5:$A$3004,"&gt;="&amp;Settings!$B$8,Timesheet!$A$5:$A$3004,"&lt;="&amp;Settings!$B$9))</f>
        <v/>
      </c>
      <c r="F924" s="25" t="str">
        <f aca="false">IF($A924="","",SUMIFS(Timesheet!$F$5:$F$3004,Timesheet!$D$5:$D$3004,$A924,Timesheet!$A$5:$A$3004,"&gt;="&amp;Settings!$B$8,Timesheet!$A$5:$A$3004,"&lt;="&amp;Settings!$B$9))</f>
        <v/>
      </c>
      <c r="G924" s="25" t="str">
        <f aca="false">IF($A924="","",SUMIFS(Timesheet!$G$5:$G$3004,Timesheet!$D$5:$D$3004,$A924,Timesheet!$A$5:$A$3004,"&gt;="&amp;Settings!$B$8,Timesheet!$A$5:$A$3004,"&lt;="&amp;Settings!$B$9))</f>
        <v/>
      </c>
      <c r="H924" s="25" t="str">
        <f aca="false">IF($A924="","",IF(D924="Monthly",MAX(0,Settings!$B$11-E924),0))</f>
        <v/>
      </c>
      <c r="I924" s="26" t="str">
        <f aca="false">IF($A924="","",N(INDEX(Workers!$L$5:$L$2004,MATCH($A924,Workers!$A$5:$A$2004,0))))</f>
        <v/>
      </c>
      <c r="J924" s="26" t="str">
        <f aca="false">IF($A924="","",N(INDEX(Workers!$M$5:$M$2004,MATCH($A924,Workers!$A$5:$A$2004,0))))</f>
        <v/>
      </c>
      <c r="K924" s="26" t="str">
        <f aca="false">IF($A924="","",IF(D924="Monthly",ROUND(MAX(0,(I924+J924)-(I924+J924)/Settings!$B$10*H924),2),0))</f>
        <v/>
      </c>
      <c r="L924" s="26" t="str">
        <f aca="false">IF($A924="","",IF(D924="Hourly",ROUND(F924*N(INDEX(Workers!$N$5:$N$2004,MATCH($A924,Workers!$A$5:$A$2004,0))),2),0))</f>
        <v/>
      </c>
      <c r="M924" s="26" t="str">
        <f aca="false">IF($A924="","",ROUND(G924*IF(D924="Hourly",N(INDEX(Workers!$N$5:$N$2004,MATCH($A924,Workers!$A$5:$A$2004,0))),I924/Settings!$B$10/Settings!$B$12)*Settings!$B$13,2))</f>
        <v/>
      </c>
      <c r="N924" s="26" t="str">
        <f aca="false">IF($A924="","",K924+L924+M924)</f>
        <v/>
      </c>
      <c r="O924" s="26" t="str">
        <f aca="false">IF($A924="","",SUMIFS(Deductions!$D$5:$D$2000,Deductions!$B$5:$B$2000,$A924,Deductions!$C$5:$C$2000,"Advance",Deductions!$E$5:$E$2000,"&gt;="&amp;Settings!$B$8,Deductions!$E$5:$E$2000,"&lt;="&amp;Settings!$B$9))</f>
        <v/>
      </c>
      <c r="P924" s="26" t="str">
        <f aca="false">IF($A924="","",SUMIFS(Deductions!$D$5:$D$2000,Deductions!$B$5:$B$2000,$A924,Deductions!$E$5:$E$2000,"&gt;="&amp;Settings!$B$8,Deductions!$E$5:$E$2000,"&lt;="&amp;Settings!$B$9)-O924)</f>
        <v/>
      </c>
      <c r="Q924" s="26" t="str">
        <f aca="false">IF($A924="","",O924+P924)</f>
        <v/>
      </c>
      <c r="R924" s="23" t="str">
        <f aca="false">IF($A924="","",N924-Q924)</f>
        <v/>
      </c>
      <c r="S924" s="24" t="str">
        <f aca="false">IF($A924="","",INDEX(Workers!$O$5:$O$2004,MATCH($A924,Workers!$A$5:$A$2004,0))&amp;"")</f>
        <v/>
      </c>
      <c r="T924" s="24" t="str">
        <f aca="false">IF($A924="","",INDEX(Workers!$P$5:$P$2004,MATCH($A924,Workers!$A$5:$A$2004,0))&amp;"")</f>
        <v/>
      </c>
      <c r="U924" s="24" t="str">
        <f aca="false">IF($A924="","",INDEX(Workers!$H$5:$H$2004,MATCH($A924,Workers!$A$5:$A$2004,0))&amp;"")</f>
        <v/>
      </c>
    </row>
    <row r="925" customFormat="false" ht="15" hidden="false" customHeight="false" outlineLevel="0" collapsed="false">
      <c r="A925" s="24" t="str">
        <f aca="false">IFERROR(INDEX(Workers!$A$5:$A$2004,MATCH(ROW()-4,Workers!$U$5:$U$2004,0)),"")</f>
        <v/>
      </c>
      <c r="B925" s="24" t="str">
        <f aca="false">IF($A925="","",INDEX(Workers!$B$5:$B$2004,MATCH($A925,Workers!$A$5:$A$2004,0)))</f>
        <v/>
      </c>
      <c r="C925" s="24" t="str">
        <f aca="false">IF($A925="","",INDEX(Workers!$E$5:$E$2004,MATCH($A925,Workers!$A$5:$A$2004,0)))</f>
        <v/>
      </c>
      <c r="D925" s="24" t="str">
        <f aca="false">IF($A925="","",INDEX(Workers!$K$5:$K$2004,MATCH($A925,Workers!$A$5:$A$2004,0)))</f>
        <v/>
      </c>
      <c r="E925" s="25" t="str">
        <f aca="false">IF($A925="","",SUMIFS(Timesheet!$E$5:$E$3004,Timesheet!$D$5:$D$3004,$A925,Timesheet!$A$5:$A$3004,"&gt;="&amp;Settings!$B$8,Timesheet!$A$5:$A$3004,"&lt;="&amp;Settings!$B$9))</f>
        <v/>
      </c>
      <c r="F925" s="25" t="str">
        <f aca="false">IF($A925="","",SUMIFS(Timesheet!$F$5:$F$3004,Timesheet!$D$5:$D$3004,$A925,Timesheet!$A$5:$A$3004,"&gt;="&amp;Settings!$B$8,Timesheet!$A$5:$A$3004,"&lt;="&amp;Settings!$B$9))</f>
        <v/>
      </c>
      <c r="G925" s="25" t="str">
        <f aca="false">IF($A925="","",SUMIFS(Timesheet!$G$5:$G$3004,Timesheet!$D$5:$D$3004,$A925,Timesheet!$A$5:$A$3004,"&gt;="&amp;Settings!$B$8,Timesheet!$A$5:$A$3004,"&lt;="&amp;Settings!$B$9))</f>
        <v/>
      </c>
      <c r="H925" s="25" t="str">
        <f aca="false">IF($A925="","",IF(D925="Monthly",MAX(0,Settings!$B$11-E925),0))</f>
        <v/>
      </c>
      <c r="I925" s="26" t="str">
        <f aca="false">IF($A925="","",N(INDEX(Workers!$L$5:$L$2004,MATCH($A925,Workers!$A$5:$A$2004,0))))</f>
        <v/>
      </c>
      <c r="J925" s="26" t="str">
        <f aca="false">IF($A925="","",N(INDEX(Workers!$M$5:$M$2004,MATCH($A925,Workers!$A$5:$A$2004,0))))</f>
        <v/>
      </c>
      <c r="K925" s="26" t="str">
        <f aca="false">IF($A925="","",IF(D925="Monthly",ROUND(MAX(0,(I925+J925)-(I925+J925)/Settings!$B$10*H925),2),0))</f>
        <v/>
      </c>
      <c r="L925" s="26" t="str">
        <f aca="false">IF($A925="","",IF(D925="Hourly",ROUND(F925*N(INDEX(Workers!$N$5:$N$2004,MATCH($A925,Workers!$A$5:$A$2004,0))),2),0))</f>
        <v/>
      </c>
      <c r="M925" s="26" t="str">
        <f aca="false">IF($A925="","",ROUND(G925*IF(D925="Hourly",N(INDEX(Workers!$N$5:$N$2004,MATCH($A925,Workers!$A$5:$A$2004,0))),I925/Settings!$B$10/Settings!$B$12)*Settings!$B$13,2))</f>
        <v/>
      </c>
      <c r="N925" s="26" t="str">
        <f aca="false">IF($A925="","",K925+L925+M925)</f>
        <v/>
      </c>
      <c r="O925" s="26" t="str">
        <f aca="false">IF($A925="","",SUMIFS(Deductions!$D$5:$D$2000,Deductions!$B$5:$B$2000,$A925,Deductions!$C$5:$C$2000,"Advance",Deductions!$E$5:$E$2000,"&gt;="&amp;Settings!$B$8,Deductions!$E$5:$E$2000,"&lt;="&amp;Settings!$B$9))</f>
        <v/>
      </c>
      <c r="P925" s="26" t="str">
        <f aca="false">IF($A925="","",SUMIFS(Deductions!$D$5:$D$2000,Deductions!$B$5:$B$2000,$A925,Deductions!$E$5:$E$2000,"&gt;="&amp;Settings!$B$8,Deductions!$E$5:$E$2000,"&lt;="&amp;Settings!$B$9)-O925)</f>
        <v/>
      </c>
      <c r="Q925" s="26" t="str">
        <f aca="false">IF($A925="","",O925+P925)</f>
        <v/>
      </c>
      <c r="R925" s="23" t="str">
        <f aca="false">IF($A925="","",N925-Q925)</f>
        <v/>
      </c>
      <c r="S925" s="24" t="str">
        <f aca="false">IF($A925="","",INDEX(Workers!$O$5:$O$2004,MATCH($A925,Workers!$A$5:$A$2004,0))&amp;"")</f>
        <v/>
      </c>
      <c r="T925" s="24" t="str">
        <f aca="false">IF($A925="","",INDEX(Workers!$P$5:$P$2004,MATCH($A925,Workers!$A$5:$A$2004,0))&amp;"")</f>
        <v/>
      </c>
      <c r="U925" s="24" t="str">
        <f aca="false">IF($A925="","",INDEX(Workers!$H$5:$H$2004,MATCH($A925,Workers!$A$5:$A$2004,0))&amp;"")</f>
        <v/>
      </c>
    </row>
    <row r="926" customFormat="false" ht="15" hidden="false" customHeight="false" outlineLevel="0" collapsed="false">
      <c r="A926" s="24" t="str">
        <f aca="false">IFERROR(INDEX(Workers!$A$5:$A$2004,MATCH(ROW()-4,Workers!$U$5:$U$2004,0)),"")</f>
        <v/>
      </c>
      <c r="B926" s="24" t="str">
        <f aca="false">IF($A926="","",INDEX(Workers!$B$5:$B$2004,MATCH($A926,Workers!$A$5:$A$2004,0)))</f>
        <v/>
      </c>
      <c r="C926" s="24" t="str">
        <f aca="false">IF($A926="","",INDEX(Workers!$E$5:$E$2004,MATCH($A926,Workers!$A$5:$A$2004,0)))</f>
        <v/>
      </c>
      <c r="D926" s="24" t="str">
        <f aca="false">IF($A926="","",INDEX(Workers!$K$5:$K$2004,MATCH($A926,Workers!$A$5:$A$2004,0)))</f>
        <v/>
      </c>
      <c r="E926" s="25" t="str">
        <f aca="false">IF($A926="","",SUMIFS(Timesheet!$E$5:$E$3004,Timesheet!$D$5:$D$3004,$A926,Timesheet!$A$5:$A$3004,"&gt;="&amp;Settings!$B$8,Timesheet!$A$5:$A$3004,"&lt;="&amp;Settings!$B$9))</f>
        <v/>
      </c>
      <c r="F926" s="25" t="str">
        <f aca="false">IF($A926="","",SUMIFS(Timesheet!$F$5:$F$3004,Timesheet!$D$5:$D$3004,$A926,Timesheet!$A$5:$A$3004,"&gt;="&amp;Settings!$B$8,Timesheet!$A$5:$A$3004,"&lt;="&amp;Settings!$B$9))</f>
        <v/>
      </c>
      <c r="G926" s="25" t="str">
        <f aca="false">IF($A926="","",SUMIFS(Timesheet!$G$5:$G$3004,Timesheet!$D$5:$D$3004,$A926,Timesheet!$A$5:$A$3004,"&gt;="&amp;Settings!$B$8,Timesheet!$A$5:$A$3004,"&lt;="&amp;Settings!$B$9))</f>
        <v/>
      </c>
      <c r="H926" s="25" t="str">
        <f aca="false">IF($A926="","",IF(D926="Monthly",MAX(0,Settings!$B$11-E926),0))</f>
        <v/>
      </c>
      <c r="I926" s="26" t="str">
        <f aca="false">IF($A926="","",N(INDEX(Workers!$L$5:$L$2004,MATCH($A926,Workers!$A$5:$A$2004,0))))</f>
        <v/>
      </c>
      <c r="J926" s="26" t="str">
        <f aca="false">IF($A926="","",N(INDEX(Workers!$M$5:$M$2004,MATCH($A926,Workers!$A$5:$A$2004,0))))</f>
        <v/>
      </c>
      <c r="K926" s="26" t="str">
        <f aca="false">IF($A926="","",IF(D926="Monthly",ROUND(MAX(0,(I926+J926)-(I926+J926)/Settings!$B$10*H926),2),0))</f>
        <v/>
      </c>
      <c r="L926" s="26" t="str">
        <f aca="false">IF($A926="","",IF(D926="Hourly",ROUND(F926*N(INDEX(Workers!$N$5:$N$2004,MATCH($A926,Workers!$A$5:$A$2004,0))),2),0))</f>
        <v/>
      </c>
      <c r="M926" s="26" t="str">
        <f aca="false">IF($A926="","",ROUND(G926*IF(D926="Hourly",N(INDEX(Workers!$N$5:$N$2004,MATCH($A926,Workers!$A$5:$A$2004,0))),I926/Settings!$B$10/Settings!$B$12)*Settings!$B$13,2))</f>
        <v/>
      </c>
      <c r="N926" s="26" t="str">
        <f aca="false">IF($A926="","",K926+L926+M926)</f>
        <v/>
      </c>
      <c r="O926" s="26" t="str">
        <f aca="false">IF($A926="","",SUMIFS(Deductions!$D$5:$D$2000,Deductions!$B$5:$B$2000,$A926,Deductions!$C$5:$C$2000,"Advance",Deductions!$E$5:$E$2000,"&gt;="&amp;Settings!$B$8,Deductions!$E$5:$E$2000,"&lt;="&amp;Settings!$B$9))</f>
        <v/>
      </c>
      <c r="P926" s="26" t="str">
        <f aca="false">IF($A926="","",SUMIFS(Deductions!$D$5:$D$2000,Deductions!$B$5:$B$2000,$A926,Deductions!$E$5:$E$2000,"&gt;="&amp;Settings!$B$8,Deductions!$E$5:$E$2000,"&lt;="&amp;Settings!$B$9)-O926)</f>
        <v/>
      </c>
      <c r="Q926" s="26" t="str">
        <f aca="false">IF($A926="","",O926+P926)</f>
        <v/>
      </c>
      <c r="R926" s="23" t="str">
        <f aca="false">IF($A926="","",N926-Q926)</f>
        <v/>
      </c>
      <c r="S926" s="24" t="str">
        <f aca="false">IF($A926="","",INDEX(Workers!$O$5:$O$2004,MATCH($A926,Workers!$A$5:$A$2004,0))&amp;"")</f>
        <v/>
      </c>
      <c r="T926" s="24" t="str">
        <f aca="false">IF($A926="","",INDEX(Workers!$P$5:$P$2004,MATCH($A926,Workers!$A$5:$A$2004,0))&amp;"")</f>
        <v/>
      </c>
      <c r="U926" s="24" t="str">
        <f aca="false">IF($A926="","",INDEX(Workers!$H$5:$H$2004,MATCH($A926,Workers!$A$5:$A$2004,0))&amp;"")</f>
        <v/>
      </c>
    </row>
    <row r="927" customFormat="false" ht="15" hidden="false" customHeight="false" outlineLevel="0" collapsed="false">
      <c r="A927" s="24" t="str">
        <f aca="false">IFERROR(INDEX(Workers!$A$5:$A$2004,MATCH(ROW()-4,Workers!$U$5:$U$2004,0)),"")</f>
        <v/>
      </c>
      <c r="B927" s="24" t="str">
        <f aca="false">IF($A927="","",INDEX(Workers!$B$5:$B$2004,MATCH($A927,Workers!$A$5:$A$2004,0)))</f>
        <v/>
      </c>
      <c r="C927" s="24" t="str">
        <f aca="false">IF($A927="","",INDEX(Workers!$E$5:$E$2004,MATCH($A927,Workers!$A$5:$A$2004,0)))</f>
        <v/>
      </c>
      <c r="D927" s="24" t="str">
        <f aca="false">IF($A927="","",INDEX(Workers!$K$5:$K$2004,MATCH($A927,Workers!$A$5:$A$2004,0)))</f>
        <v/>
      </c>
      <c r="E927" s="25" t="str">
        <f aca="false">IF($A927="","",SUMIFS(Timesheet!$E$5:$E$3004,Timesheet!$D$5:$D$3004,$A927,Timesheet!$A$5:$A$3004,"&gt;="&amp;Settings!$B$8,Timesheet!$A$5:$A$3004,"&lt;="&amp;Settings!$B$9))</f>
        <v/>
      </c>
      <c r="F927" s="25" t="str">
        <f aca="false">IF($A927="","",SUMIFS(Timesheet!$F$5:$F$3004,Timesheet!$D$5:$D$3004,$A927,Timesheet!$A$5:$A$3004,"&gt;="&amp;Settings!$B$8,Timesheet!$A$5:$A$3004,"&lt;="&amp;Settings!$B$9))</f>
        <v/>
      </c>
      <c r="G927" s="25" t="str">
        <f aca="false">IF($A927="","",SUMIFS(Timesheet!$G$5:$G$3004,Timesheet!$D$5:$D$3004,$A927,Timesheet!$A$5:$A$3004,"&gt;="&amp;Settings!$B$8,Timesheet!$A$5:$A$3004,"&lt;="&amp;Settings!$B$9))</f>
        <v/>
      </c>
      <c r="H927" s="25" t="str">
        <f aca="false">IF($A927="","",IF(D927="Monthly",MAX(0,Settings!$B$11-E927),0))</f>
        <v/>
      </c>
      <c r="I927" s="26" t="str">
        <f aca="false">IF($A927="","",N(INDEX(Workers!$L$5:$L$2004,MATCH($A927,Workers!$A$5:$A$2004,0))))</f>
        <v/>
      </c>
      <c r="J927" s="26" t="str">
        <f aca="false">IF($A927="","",N(INDEX(Workers!$M$5:$M$2004,MATCH($A927,Workers!$A$5:$A$2004,0))))</f>
        <v/>
      </c>
      <c r="K927" s="26" t="str">
        <f aca="false">IF($A927="","",IF(D927="Monthly",ROUND(MAX(0,(I927+J927)-(I927+J927)/Settings!$B$10*H927),2),0))</f>
        <v/>
      </c>
      <c r="L927" s="26" t="str">
        <f aca="false">IF($A927="","",IF(D927="Hourly",ROUND(F927*N(INDEX(Workers!$N$5:$N$2004,MATCH($A927,Workers!$A$5:$A$2004,0))),2),0))</f>
        <v/>
      </c>
      <c r="M927" s="26" t="str">
        <f aca="false">IF($A927="","",ROUND(G927*IF(D927="Hourly",N(INDEX(Workers!$N$5:$N$2004,MATCH($A927,Workers!$A$5:$A$2004,0))),I927/Settings!$B$10/Settings!$B$12)*Settings!$B$13,2))</f>
        <v/>
      </c>
      <c r="N927" s="26" t="str">
        <f aca="false">IF($A927="","",K927+L927+M927)</f>
        <v/>
      </c>
      <c r="O927" s="26" t="str">
        <f aca="false">IF($A927="","",SUMIFS(Deductions!$D$5:$D$2000,Deductions!$B$5:$B$2000,$A927,Deductions!$C$5:$C$2000,"Advance",Deductions!$E$5:$E$2000,"&gt;="&amp;Settings!$B$8,Deductions!$E$5:$E$2000,"&lt;="&amp;Settings!$B$9))</f>
        <v/>
      </c>
      <c r="P927" s="26" t="str">
        <f aca="false">IF($A927="","",SUMIFS(Deductions!$D$5:$D$2000,Deductions!$B$5:$B$2000,$A927,Deductions!$E$5:$E$2000,"&gt;="&amp;Settings!$B$8,Deductions!$E$5:$E$2000,"&lt;="&amp;Settings!$B$9)-O927)</f>
        <v/>
      </c>
      <c r="Q927" s="26" t="str">
        <f aca="false">IF($A927="","",O927+P927)</f>
        <v/>
      </c>
      <c r="R927" s="23" t="str">
        <f aca="false">IF($A927="","",N927-Q927)</f>
        <v/>
      </c>
      <c r="S927" s="24" t="str">
        <f aca="false">IF($A927="","",INDEX(Workers!$O$5:$O$2004,MATCH($A927,Workers!$A$5:$A$2004,0))&amp;"")</f>
        <v/>
      </c>
      <c r="T927" s="24" t="str">
        <f aca="false">IF($A927="","",INDEX(Workers!$P$5:$P$2004,MATCH($A927,Workers!$A$5:$A$2004,0))&amp;"")</f>
        <v/>
      </c>
      <c r="U927" s="24" t="str">
        <f aca="false">IF($A927="","",INDEX(Workers!$H$5:$H$2004,MATCH($A927,Workers!$A$5:$A$2004,0))&amp;"")</f>
        <v/>
      </c>
    </row>
    <row r="928" customFormat="false" ht="15" hidden="false" customHeight="false" outlineLevel="0" collapsed="false">
      <c r="A928" s="24" t="str">
        <f aca="false">IFERROR(INDEX(Workers!$A$5:$A$2004,MATCH(ROW()-4,Workers!$U$5:$U$2004,0)),"")</f>
        <v/>
      </c>
      <c r="B928" s="24" t="str">
        <f aca="false">IF($A928="","",INDEX(Workers!$B$5:$B$2004,MATCH($A928,Workers!$A$5:$A$2004,0)))</f>
        <v/>
      </c>
      <c r="C928" s="24" t="str">
        <f aca="false">IF($A928="","",INDEX(Workers!$E$5:$E$2004,MATCH($A928,Workers!$A$5:$A$2004,0)))</f>
        <v/>
      </c>
      <c r="D928" s="24" t="str">
        <f aca="false">IF($A928="","",INDEX(Workers!$K$5:$K$2004,MATCH($A928,Workers!$A$5:$A$2004,0)))</f>
        <v/>
      </c>
      <c r="E928" s="25" t="str">
        <f aca="false">IF($A928="","",SUMIFS(Timesheet!$E$5:$E$3004,Timesheet!$D$5:$D$3004,$A928,Timesheet!$A$5:$A$3004,"&gt;="&amp;Settings!$B$8,Timesheet!$A$5:$A$3004,"&lt;="&amp;Settings!$B$9))</f>
        <v/>
      </c>
      <c r="F928" s="25" t="str">
        <f aca="false">IF($A928="","",SUMIFS(Timesheet!$F$5:$F$3004,Timesheet!$D$5:$D$3004,$A928,Timesheet!$A$5:$A$3004,"&gt;="&amp;Settings!$B$8,Timesheet!$A$5:$A$3004,"&lt;="&amp;Settings!$B$9))</f>
        <v/>
      </c>
      <c r="G928" s="25" t="str">
        <f aca="false">IF($A928="","",SUMIFS(Timesheet!$G$5:$G$3004,Timesheet!$D$5:$D$3004,$A928,Timesheet!$A$5:$A$3004,"&gt;="&amp;Settings!$B$8,Timesheet!$A$5:$A$3004,"&lt;="&amp;Settings!$B$9))</f>
        <v/>
      </c>
      <c r="H928" s="25" t="str">
        <f aca="false">IF($A928="","",IF(D928="Monthly",MAX(0,Settings!$B$11-E928),0))</f>
        <v/>
      </c>
      <c r="I928" s="26" t="str">
        <f aca="false">IF($A928="","",N(INDEX(Workers!$L$5:$L$2004,MATCH($A928,Workers!$A$5:$A$2004,0))))</f>
        <v/>
      </c>
      <c r="J928" s="26" t="str">
        <f aca="false">IF($A928="","",N(INDEX(Workers!$M$5:$M$2004,MATCH($A928,Workers!$A$5:$A$2004,0))))</f>
        <v/>
      </c>
      <c r="K928" s="26" t="str">
        <f aca="false">IF($A928="","",IF(D928="Monthly",ROUND(MAX(0,(I928+J928)-(I928+J928)/Settings!$B$10*H928),2),0))</f>
        <v/>
      </c>
      <c r="L928" s="26" t="str">
        <f aca="false">IF($A928="","",IF(D928="Hourly",ROUND(F928*N(INDEX(Workers!$N$5:$N$2004,MATCH($A928,Workers!$A$5:$A$2004,0))),2),0))</f>
        <v/>
      </c>
      <c r="M928" s="26" t="str">
        <f aca="false">IF($A928="","",ROUND(G928*IF(D928="Hourly",N(INDEX(Workers!$N$5:$N$2004,MATCH($A928,Workers!$A$5:$A$2004,0))),I928/Settings!$B$10/Settings!$B$12)*Settings!$B$13,2))</f>
        <v/>
      </c>
      <c r="N928" s="26" t="str">
        <f aca="false">IF($A928="","",K928+L928+M928)</f>
        <v/>
      </c>
      <c r="O928" s="26" t="str">
        <f aca="false">IF($A928="","",SUMIFS(Deductions!$D$5:$D$2000,Deductions!$B$5:$B$2000,$A928,Deductions!$C$5:$C$2000,"Advance",Deductions!$E$5:$E$2000,"&gt;="&amp;Settings!$B$8,Deductions!$E$5:$E$2000,"&lt;="&amp;Settings!$B$9))</f>
        <v/>
      </c>
      <c r="P928" s="26" t="str">
        <f aca="false">IF($A928="","",SUMIFS(Deductions!$D$5:$D$2000,Deductions!$B$5:$B$2000,$A928,Deductions!$E$5:$E$2000,"&gt;="&amp;Settings!$B$8,Deductions!$E$5:$E$2000,"&lt;="&amp;Settings!$B$9)-O928)</f>
        <v/>
      </c>
      <c r="Q928" s="26" t="str">
        <f aca="false">IF($A928="","",O928+P928)</f>
        <v/>
      </c>
      <c r="R928" s="23" t="str">
        <f aca="false">IF($A928="","",N928-Q928)</f>
        <v/>
      </c>
      <c r="S928" s="24" t="str">
        <f aca="false">IF($A928="","",INDEX(Workers!$O$5:$O$2004,MATCH($A928,Workers!$A$5:$A$2004,0))&amp;"")</f>
        <v/>
      </c>
      <c r="T928" s="24" t="str">
        <f aca="false">IF($A928="","",INDEX(Workers!$P$5:$P$2004,MATCH($A928,Workers!$A$5:$A$2004,0))&amp;"")</f>
        <v/>
      </c>
      <c r="U928" s="24" t="str">
        <f aca="false">IF($A928="","",INDEX(Workers!$H$5:$H$2004,MATCH($A928,Workers!$A$5:$A$2004,0))&amp;"")</f>
        <v/>
      </c>
    </row>
    <row r="929" customFormat="false" ht="15" hidden="false" customHeight="false" outlineLevel="0" collapsed="false">
      <c r="A929" s="24" t="str">
        <f aca="false">IFERROR(INDEX(Workers!$A$5:$A$2004,MATCH(ROW()-4,Workers!$U$5:$U$2004,0)),"")</f>
        <v/>
      </c>
      <c r="B929" s="24" t="str">
        <f aca="false">IF($A929="","",INDEX(Workers!$B$5:$B$2004,MATCH($A929,Workers!$A$5:$A$2004,0)))</f>
        <v/>
      </c>
      <c r="C929" s="24" t="str">
        <f aca="false">IF($A929="","",INDEX(Workers!$E$5:$E$2004,MATCH($A929,Workers!$A$5:$A$2004,0)))</f>
        <v/>
      </c>
      <c r="D929" s="24" t="str">
        <f aca="false">IF($A929="","",INDEX(Workers!$K$5:$K$2004,MATCH($A929,Workers!$A$5:$A$2004,0)))</f>
        <v/>
      </c>
      <c r="E929" s="25" t="str">
        <f aca="false">IF($A929="","",SUMIFS(Timesheet!$E$5:$E$3004,Timesheet!$D$5:$D$3004,$A929,Timesheet!$A$5:$A$3004,"&gt;="&amp;Settings!$B$8,Timesheet!$A$5:$A$3004,"&lt;="&amp;Settings!$B$9))</f>
        <v/>
      </c>
      <c r="F929" s="25" t="str">
        <f aca="false">IF($A929="","",SUMIFS(Timesheet!$F$5:$F$3004,Timesheet!$D$5:$D$3004,$A929,Timesheet!$A$5:$A$3004,"&gt;="&amp;Settings!$B$8,Timesheet!$A$5:$A$3004,"&lt;="&amp;Settings!$B$9))</f>
        <v/>
      </c>
      <c r="G929" s="25" t="str">
        <f aca="false">IF($A929="","",SUMIFS(Timesheet!$G$5:$G$3004,Timesheet!$D$5:$D$3004,$A929,Timesheet!$A$5:$A$3004,"&gt;="&amp;Settings!$B$8,Timesheet!$A$5:$A$3004,"&lt;="&amp;Settings!$B$9))</f>
        <v/>
      </c>
      <c r="H929" s="25" t="str">
        <f aca="false">IF($A929="","",IF(D929="Monthly",MAX(0,Settings!$B$11-E929),0))</f>
        <v/>
      </c>
      <c r="I929" s="26" t="str">
        <f aca="false">IF($A929="","",N(INDEX(Workers!$L$5:$L$2004,MATCH($A929,Workers!$A$5:$A$2004,0))))</f>
        <v/>
      </c>
      <c r="J929" s="26" t="str">
        <f aca="false">IF($A929="","",N(INDEX(Workers!$M$5:$M$2004,MATCH($A929,Workers!$A$5:$A$2004,0))))</f>
        <v/>
      </c>
      <c r="K929" s="26" t="str">
        <f aca="false">IF($A929="","",IF(D929="Monthly",ROUND(MAX(0,(I929+J929)-(I929+J929)/Settings!$B$10*H929),2),0))</f>
        <v/>
      </c>
      <c r="L929" s="26" t="str">
        <f aca="false">IF($A929="","",IF(D929="Hourly",ROUND(F929*N(INDEX(Workers!$N$5:$N$2004,MATCH($A929,Workers!$A$5:$A$2004,0))),2),0))</f>
        <v/>
      </c>
      <c r="M929" s="26" t="str">
        <f aca="false">IF($A929="","",ROUND(G929*IF(D929="Hourly",N(INDEX(Workers!$N$5:$N$2004,MATCH($A929,Workers!$A$5:$A$2004,0))),I929/Settings!$B$10/Settings!$B$12)*Settings!$B$13,2))</f>
        <v/>
      </c>
      <c r="N929" s="26" t="str">
        <f aca="false">IF($A929="","",K929+L929+M929)</f>
        <v/>
      </c>
      <c r="O929" s="26" t="str">
        <f aca="false">IF($A929="","",SUMIFS(Deductions!$D$5:$D$2000,Deductions!$B$5:$B$2000,$A929,Deductions!$C$5:$C$2000,"Advance",Deductions!$E$5:$E$2000,"&gt;="&amp;Settings!$B$8,Deductions!$E$5:$E$2000,"&lt;="&amp;Settings!$B$9))</f>
        <v/>
      </c>
      <c r="P929" s="26" t="str">
        <f aca="false">IF($A929="","",SUMIFS(Deductions!$D$5:$D$2000,Deductions!$B$5:$B$2000,$A929,Deductions!$E$5:$E$2000,"&gt;="&amp;Settings!$B$8,Deductions!$E$5:$E$2000,"&lt;="&amp;Settings!$B$9)-O929)</f>
        <v/>
      </c>
      <c r="Q929" s="26" t="str">
        <f aca="false">IF($A929="","",O929+P929)</f>
        <v/>
      </c>
      <c r="R929" s="23" t="str">
        <f aca="false">IF($A929="","",N929-Q929)</f>
        <v/>
      </c>
      <c r="S929" s="24" t="str">
        <f aca="false">IF($A929="","",INDEX(Workers!$O$5:$O$2004,MATCH($A929,Workers!$A$5:$A$2004,0))&amp;"")</f>
        <v/>
      </c>
      <c r="T929" s="24" t="str">
        <f aca="false">IF($A929="","",INDEX(Workers!$P$5:$P$2004,MATCH($A929,Workers!$A$5:$A$2004,0))&amp;"")</f>
        <v/>
      </c>
      <c r="U929" s="24" t="str">
        <f aca="false">IF($A929="","",INDEX(Workers!$H$5:$H$2004,MATCH($A929,Workers!$A$5:$A$2004,0))&amp;"")</f>
        <v/>
      </c>
    </row>
    <row r="930" customFormat="false" ht="15" hidden="false" customHeight="false" outlineLevel="0" collapsed="false">
      <c r="A930" s="24" t="str">
        <f aca="false">IFERROR(INDEX(Workers!$A$5:$A$2004,MATCH(ROW()-4,Workers!$U$5:$U$2004,0)),"")</f>
        <v/>
      </c>
      <c r="B930" s="24" t="str">
        <f aca="false">IF($A930="","",INDEX(Workers!$B$5:$B$2004,MATCH($A930,Workers!$A$5:$A$2004,0)))</f>
        <v/>
      </c>
      <c r="C930" s="24" t="str">
        <f aca="false">IF($A930="","",INDEX(Workers!$E$5:$E$2004,MATCH($A930,Workers!$A$5:$A$2004,0)))</f>
        <v/>
      </c>
      <c r="D930" s="24" t="str">
        <f aca="false">IF($A930="","",INDEX(Workers!$K$5:$K$2004,MATCH($A930,Workers!$A$5:$A$2004,0)))</f>
        <v/>
      </c>
      <c r="E930" s="25" t="str">
        <f aca="false">IF($A930="","",SUMIFS(Timesheet!$E$5:$E$3004,Timesheet!$D$5:$D$3004,$A930,Timesheet!$A$5:$A$3004,"&gt;="&amp;Settings!$B$8,Timesheet!$A$5:$A$3004,"&lt;="&amp;Settings!$B$9))</f>
        <v/>
      </c>
      <c r="F930" s="25" t="str">
        <f aca="false">IF($A930="","",SUMIFS(Timesheet!$F$5:$F$3004,Timesheet!$D$5:$D$3004,$A930,Timesheet!$A$5:$A$3004,"&gt;="&amp;Settings!$B$8,Timesheet!$A$5:$A$3004,"&lt;="&amp;Settings!$B$9))</f>
        <v/>
      </c>
      <c r="G930" s="25" t="str">
        <f aca="false">IF($A930="","",SUMIFS(Timesheet!$G$5:$G$3004,Timesheet!$D$5:$D$3004,$A930,Timesheet!$A$5:$A$3004,"&gt;="&amp;Settings!$B$8,Timesheet!$A$5:$A$3004,"&lt;="&amp;Settings!$B$9))</f>
        <v/>
      </c>
      <c r="H930" s="25" t="str">
        <f aca="false">IF($A930="","",IF(D930="Monthly",MAX(0,Settings!$B$11-E930),0))</f>
        <v/>
      </c>
      <c r="I930" s="26" t="str">
        <f aca="false">IF($A930="","",N(INDEX(Workers!$L$5:$L$2004,MATCH($A930,Workers!$A$5:$A$2004,0))))</f>
        <v/>
      </c>
      <c r="J930" s="26" t="str">
        <f aca="false">IF($A930="","",N(INDEX(Workers!$M$5:$M$2004,MATCH($A930,Workers!$A$5:$A$2004,0))))</f>
        <v/>
      </c>
      <c r="K930" s="26" t="str">
        <f aca="false">IF($A930="","",IF(D930="Monthly",ROUND(MAX(0,(I930+J930)-(I930+J930)/Settings!$B$10*H930),2),0))</f>
        <v/>
      </c>
      <c r="L930" s="26" t="str">
        <f aca="false">IF($A930="","",IF(D930="Hourly",ROUND(F930*N(INDEX(Workers!$N$5:$N$2004,MATCH($A930,Workers!$A$5:$A$2004,0))),2),0))</f>
        <v/>
      </c>
      <c r="M930" s="26" t="str">
        <f aca="false">IF($A930="","",ROUND(G930*IF(D930="Hourly",N(INDEX(Workers!$N$5:$N$2004,MATCH($A930,Workers!$A$5:$A$2004,0))),I930/Settings!$B$10/Settings!$B$12)*Settings!$B$13,2))</f>
        <v/>
      </c>
      <c r="N930" s="26" t="str">
        <f aca="false">IF($A930="","",K930+L930+M930)</f>
        <v/>
      </c>
      <c r="O930" s="26" t="str">
        <f aca="false">IF($A930="","",SUMIFS(Deductions!$D$5:$D$2000,Deductions!$B$5:$B$2000,$A930,Deductions!$C$5:$C$2000,"Advance",Deductions!$E$5:$E$2000,"&gt;="&amp;Settings!$B$8,Deductions!$E$5:$E$2000,"&lt;="&amp;Settings!$B$9))</f>
        <v/>
      </c>
      <c r="P930" s="26" t="str">
        <f aca="false">IF($A930="","",SUMIFS(Deductions!$D$5:$D$2000,Deductions!$B$5:$B$2000,$A930,Deductions!$E$5:$E$2000,"&gt;="&amp;Settings!$B$8,Deductions!$E$5:$E$2000,"&lt;="&amp;Settings!$B$9)-O930)</f>
        <v/>
      </c>
      <c r="Q930" s="26" t="str">
        <f aca="false">IF($A930="","",O930+P930)</f>
        <v/>
      </c>
      <c r="R930" s="23" t="str">
        <f aca="false">IF($A930="","",N930-Q930)</f>
        <v/>
      </c>
      <c r="S930" s="24" t="str">
        <f aca="false">IF($A930="","",INDEX(Workers!$O$5:$O$2004,MATCH($A930,Workers!$A$5:$A$2004,0))&amp;"")</f>
        <v/>
      </c>
      <c r="T930" s="24" t="str">
        <f aca="false">IF($A930="","",INDEX(Workers!$P$5:$P$2004,MATCH($A930,Workers!$A$5:$A$2004,0))&amp;"")</f>
        <v/>
      </c>
      <c r="U930" s="24" t="str">
        <f aca="false">IF($A930="","",INDEX(Workers!$H$5:$H$2004,MATCH($A930,Workers!$A$5:$A$2004,0))&amp;"")</f>
        <v/>
      </c>
    </row>
    <row r="931" customFormat="false" ht="15" hidden="false" customHeight="false" outlineLevel="0" collapsed="false">
      <c r="A931" s="24" t="str">
        <f aca="false">IFERROR(INDEX(Workers!$A$5:$A$2004,MATCH(ROW()-4,Workers!$U$5:$U$2004,0)),"")</f>
        <v/>
      </c>
      <c r="B931" s="24" t="str">
        <f aca="false">IF($A931="","",INDEX(Workers!$B$5:$B$2004,MATCH($A931,Workers!$A$5:$A$2004,0)))</f>
        <v/>
      </c>
      <c r="C931" s="24" t="str">
        <f aca="false">IF($A931="","",INDEX(Workers!$E$5:$E$2004,MATCH($A931,Workers!$A$5:$A$2004,0)))</f>
        <v/>
      </c>
      <c r="D931" s="24" t="str">
        <f aca="false">IF($A931="","",INDEX(Workers!$K$5:$K$2004,MATCH($A931,Workers!$A$5:$A$2004,0)))</f>
        <v/>
      </c>
      <c r="E931" s="25" t="str">
        <f aca="false">IF($A931="","",SUMIFS(Timesheet!$E$5:$E$3004,Timesheet!$D$5:$D$3004,$A931,Timesheet!$A$5:$A$3004,"&gt;="&amp;Settings!$B$8,Timesheet!$A$5:$A$3004,"&lt;="&amp;Settings!$B$9))</f>
        <v/>
      </c>
      <c r="F931" s="25" t="str">
        <f aca="false">IF($A931="","",SUMIFS(Timesheet!$F$5:$F$3004,Timesheet!$D$5:$D$3004,$A931,Timesheet!$A$5:$A$3004,"&gt;="&amp;Settings!$B$8,Timesheet!$A$5:$A$3004,"&lt;="&amp;Settings!$B$9))</f>
        <v/>
      </c>
      <c r="G931" s="25" t="str">
        <f aca="false">IF($A931="","",SUMIFS(Timesheet!$G$5:$G$3004,Timesheet!$D$5:$D$3004,$A931,Timesheet!$A$5:$A$3004,"&gt;="&amp;Settings!$B$8,Timesheet!$A$5:$A$3004,"&lt;="&amp;Settings!$B$9))</f>
        <v/>
      </c>
      <c r="H931" s="25" t="str">
        <f aca="false">IF($A931="","",IF(D931="Monthly",MAX(0,Settings!$B$11-E931),0))</f>
        <v/>
      </c>
      <c r="I931" s="26" t="str">
        <f aca="false">IF($A931="","",N(INDEX(Workers!$L$5:$L$2004,MATCH($A931,Workers!$A$5:$A$2004,0))))</f>
        <v/>
      </c>
      <c r="J931" s="26" t="str">
        <f aca="false">IF($A931="","",N(INDEX(Workers!$M$5:$M$2004,MATCH($A931,Workers!$A$5:$A$2004,0))))</f>
        <v/>
      </c>
      <c r="K931" s="26" t="str">
        <f aca="false">IF($A931="","",IF(D931="Monthly",ROUND(MAX(0,(I931+J931)-(I931+J931)/Settings!$B$10*H931),2),0))</f>
        <v/>
      </c>
      <c r="L931" s="26" t="str">
        <f aca="false">IF($A931="","",IF(D931="Hourly",ROUND(F931*N(INDEX(Workers!$N$5:$N$2004,MATCH($A931,Workers!$A$5:$A$2004,0))),2),0))</f>
        <v/>
      </c>
      <c r="M931" s="26" t="str">
        <f aca="false">IF($A931="","",ROUND(G931*IF(D931="Hourly",N(INDEX(Workers!$N$5:$N$2004,MATCH($A931,Workers!$A$5:$A$2004,0))),I931/Settings!$B$10/Settings!$B$12)*Settings!$B$13,2))</f>
        <v/>
      </c>
      <c r="N931" s="26" t="str">
        <f aca="false">IF($A931="","",K931+L931+M931)</f>
        <v/>
      </c>
      <c r="O931" s="26" t="str">
        <f aca="false">IF($A931="","",SUMIFS(Deductions!$D$5:$D$2000,Deductions!$B$5:$B$2000,$A931,Deductions!$C$5:$C$2000,"Advance",Deductions!$E$5:$E$2000,"&gt;="&amp;Settings!$B$8,Deductions!$E$5:$E$2000,"&lt;="&amp;Settings!$B$9))</f>
        <v/>
      </c>
      <c r="P931" s="26" t="str">
        <f aca="false">IF($A931="","",SUMIFS(Deductions!$D$5:$D$2000,Deductions!$B$5:$B$2000,$A931,Deductions!$E$5:$E$2000,"&gt;="&amp;Settings!$B$8,Deductions!$E$5:$E$2000,"&lt;="&amp;Settings!$B$9)-O931)</f>
        <v/>
      </c>
      <c r="Q931" s="26" t="str">
        <f aca="false">IF($A931="","",O931+P931)</f>
        <v/>
      </c>
      <c r="R931" s="23" t="str">
        <f aca="false">IF($A931="","",N931-Q931)</f>
        <v/>
      </c>
      <c r="S931" s="24" t="str">
        <f aca="false">IF($A931="","",INDEX(Workers!$O$5:$O$2004,MATCH($A931,Workers!$A$5:$A$2004,0))&amp;"")</f>
        <v/>
      </c>
      <c r="T931" s="24" t="str">
        <f aca="false">IF($A931="","",INDEX(Workers!$P$5:$P$2004,MATCH($A931,Workers!$A$5:$A$2004,0))&amp;"")</f>
        <v/>
      </c>
      <c r="U931" s="24" t="str">
        <f aca="false">IF($A931="","",INDEX(Workers!$H$5:$H$2004,MATCH($A931,Workers!$A$5:$A$2004,0))&amp;"")</f>
        <v/>
      </c>
    </row>
    <row r="932" customFormat="false" ht="15" hidden="false" customHeight="false" outlineLevel="0" collapsed="false">
      <c r="A932" s="24" t="str">
        <f aca="false">IFERROR(INDEX(Workers!$A$5:$A$2004,MATCH(ROW()-4,Workers!$U$5:$U$2004,0)),"")</f>
        <v/>
      </c>
      <c r="B932" s="24" t="str">
        <f aca="false">IF($A932="","",INDEX(Workers!$B$5:$B$2004,MATCH($A932,Workers!$A$5:$A$2004,0)))</f>
        <v/>
      </c>
      <c r="C932" s="24" t="str">
        <f aca="false">IF($A932="","",INDEX(Workers!$E$5:$E$2004,MATCH($A932,Workers!$A$5:$A$2004,0)))</f>
        <v/>
      </c>
      <c r="D932" s="24" t="str">
        <f aca="false">IF($A932="","",INDEX(Workers!$K$5:$K$2004,MATCH($A932,Workers!$A$5:$A$2004,0)))</f>
        <v/>
      </c>
      <c r="E932" s="25" t="str">
        <f aca="false">IF($A932="","",SUMIFS(Timesheet!$E$5:$E$3004,Timesheet!$D$5:$D$3004,$A932,Timesheet!$A$5:$A$3004,"&gt;="&amp;Settings!$B$8,Timesheet!$A$5:$A$3004,"&lt;="&amp;Settings!$B$9))</f>
        <v/>
      </c>
      <c r="F932" s="25" t="str">
        <f aca="false">IF($A932="","",SUMIFS(Timesheet!$F$5:$F$3004,Timesheet!$D$5:$D$3004,$A932,Timesheet!$A$5:$A$3004,"&gt;="&amp;Settings!$B$8,Timesheet!$A$5:$A$3004,"&lt;="&amp;Settings!$B$9))</f>
        <v/>
      </c>
      <c r="G932" s="25" t="str">
        <f aca="false">IF($A932="","",SUMIFS(Timesheet!$G$5:$G$3004,Timesheet!$D$5:$D$3004,$A932,Timesheet!$A$5:$A$3004,"&gt;="&amp;Settings!$B$8,Timesheet!$A$5:$A$3004,"&lt;="&amp;Settings!$B$9))</f>
        <v/>
      </c>
      <c r="H932" s="25" t="str">
        <f aca="false">IF($A932="","",IF(D932="Monthly",MAX(0,Settings!$B$11-E932),0))</f>
        <v/>
      </c>
      <c r="I932" s="26" t="str">
        <f aca="false">IF($A932="","",N(INDEX(Workers!$L$5:$L$2004,MATCH($A932,Workers!$A$5:$A$2004,0))))</f>
        <v/>
      </c>
      <c r="J932" s="26" t="str">
        <f aca="false">IF($A932="","",N(INDEX(Workers!$M$5:$M$2004,MATCH($A932,Workers!$A$5:$A$2004,0))))</f>
        <v/>
      </c>
      <c r="K932" s="26" t="str">
        <f aca="false">IF($A932="","",IF(D932="Monthly",ROUND(MAX(0,(I932+J932)-(I932+J932)/Settings!$B$10*H932),2),0))</f>
        <v/>
      </c>
      <c r="L932" s="26" t="str">
        <f aca="false">IF($A932="","",IF(D932="Hourly",ROUND(F932*N(INDEX(Workers!$N$5:$N$2004,MATCH($A932,Workers!$A$5:$A$2004,0))),2),0))</f>
        <v/>
      </c>
      <c r="M932" s="26" t="str">
        <f aca="false">IF($A932="","",ROUND(G932*IF(D932="Hourly",N(INDEX(Workers!$N$5:$N$2004,MATCH($A932,Workers!$A$5:$A$2004,0))),I932/Settings!$B$10/Settings!$B$12)*Settings!$B$13,2))</f>
        <v/>
      </c>
      <c r="N932" s="26" t="str">
        <f aca="false">IF($A932="","",K932+L932+M932)</f>
        <v/>
      </c>
      <c r="O932" s="26" t="str">
        <f aca="false">IF($A932="","",SUMIFS(Deductions!$D$5:$D$2000,Deductions!$B$5:$B$2000,$A932,Deductions!$C$5:$C$2000,"Advance",Deductions!$E$5:$E$2000,"&gt;="&amp;Settings!$B$8,Deductions!$E$5:$E$2000,"&lt;="&amp;Settings!$B$9))</f>
        <v/>
      </c>
      <c r="P932" s="26" t="str">
        <f aca="false">IF($A932="","",SUMIFS(Deductions!$D$5:$D$2000,Deductions!$B$5:$B$2000,$A932,Deductions!$E$5:$E$2000,"&gt;="&amp;Settings!$B$8,Deductions!$E$5:$E$2000,"&lt;="&amp;Settings!$B$9)-O932)</f>
        <v/>
      </c>
      <c r="Q932" s="26" t="str">
        <f aca="false">IF($A932="","",O932+P932)</f>
        <v/>
      </c>
      <c r="R932" s="23" t="str">
        <f aca="false">IF($A932="","",N932-Q932)</f>
        <v/>
      </c>
      <c r="S932" s="24" t="str">
        <f aca="false">IF($A932="","",INDEX(Workers!$O$5:$O$2004,MATCH($A932,Workers!$A$5:$A$2004,0))&amp;"")</f>
        <v/>
      </c>
      <c r="T932" s="24" t="str">
        <f aca="false">IF($A932="","",INDEX(Workers!$P$5:$P$2004,MATCH($A932,Workers!$A$5:$A$2004,0))&amp;"")</f>
        <v/>
      </c>
      <c r="U932" s="24" t="str">
        <f aca="false">IF($A932="","",INDEX(Workers!$H$5:$H$2004,MATCH($A932,Workers!$A$5:$A$2004,0))&amp;"")</f>
        <v/>
      </c>
    </row>
    <row r="933" customFormat="false" ht="15" hidden="false" customHeight="false" outlineLevel="0" collapsed="false">
      <c r="A933" s="24" t="str">
        <f aca="false">IFERROR(INDEX(Workers!$A$5:$A$2004,MATCH(ROW()-4,Workers!$U$5:$U$2004,0)),"")</f>
        <v/>
      </c>
      <c r="B933" s="24" t="str">
        <f aca="false">IF($A933="","",INDEX(Workers!$B$5:$B$2004,MATCH($A933,Workers!$A$5:$A$2004,0)))</f>
        <v/>
      </c>
      <c r="C933" s="24" t="str">
        <f aca="false">IF($A933="","",INDEX(Workers!$E$5:$E$2004,MATCH($A933,Workers!$A$5:$A$2004,0)))</f>
        <v/>
      </c>
      <c r="D933" s="24" t="str">
        <f aca="false">IF($A933="","",INDEX(Workers!$K$5:$K$2004,MATCH($A933,Workers!$A$5:$A$2004,0)))</f>
        <v/>
      </c>
      <c r="E933" s="25" t="str">
        <f aca="false">IF($A933="","",SUMIFS(Timesheet!$E$5:$E$3004,Timesheet!$D$5:$D$3004,$A933,Timesheet!$A$5:$A$3004,"&gt;="&amp;Settings!$B$8,Timesheet!$A$5:$A$3004,"&lt;="&amp;Settings!$B$9))</f>
        <v/>
      </c>
      <c r="F933" s="25" t="str">
        <f aca="false">IF($A933="","",SUMIFS(Timesheet!$F$5:$F$3004,Timesheet!$D$5:$D$3004,$A933,Timesheet!$A$5:$A$3004,"&gt;="&amp;Settings!$B$8,Timesheet!$A$5:$A$3004,"&lt;="&amp;Settings!$B$9))</f>
        <v/>
      </c>
      <c r="G933" s="25" t="str">
        <f aca="false">IF($A933="","",SUMIFS(Timesheet!$G$5:$G$3004,Timesheet!$D$5:$D$3004,$A933,Timesheet!$A$5:$A$3004,"&gt;="&amp;Settings!$B$8,Timesheet!$A$5:$A$3004,"&lt;="&amp;Settings!$B$9))</f>
        <v/>
      </c>
      <c r="H933" s="25" t="str">
        <f aca="false">IF($A933="","",IF(D933="Monthly",MAX(0,Settings!$B$11-E933),0))</f>
        <v/>
      </c>
      <c r="I933" s="26" t="str">
        <f aca="false">IF($A933="","",N(INDEX(Workers!$L$5:$L$2004,MATCH($A933,Workers!$A$5:$A$2004,0))))</f>
        <v/>
      </c>
      <c r="J933" s="26" t="str">
        <f aca="false">IF($A933="","",N(INDEX(Workers!$M$5:$M$2004,MATCH($A933,Workers!$A$5:$A$2004,0))))</f>
        <v/>
      </c>
      <c r="K933" s="26" t="str">
        <f aca="false">IF($A933="","",IF(D933="Monthly",ROUND(MAX(0,(I933+J933)-(I933+J933)/Settings!$B$10*H933),2),0))</f>
        <v/>
      </c>
      <c r="L933" s="26" t="str">
        <f aca="false">IF($A933="","",IF(D933="Hourly",ROUND(F933*N(INDEX(Workers!$N$5:$N$2004,MATCH($A933,Workers!$A$5:$A$2004,0))),2),0))</f>
        <v/>
      </c>
      <c r="M933" s="26" t="str">
        <f aca="false">IF($A933="","",ROUND(G933*IF(D933="Hourly",N(INDEX(Workers!$N$5:$N$2004,MATCH($A933,Workers!$A$5:$A$2004,0))),I933/Settings!$B$10/Settings!$B$12)*Settings!$B$13,2))</f>
        <v/>
      </c>
      <c r="N933" s="26" t="str">
        <f aca="false">IF($A933="","",K933+L933+M933)</f>
        <v/>
      </c>
      <c r="O933" s="26" t="str">
        <f aca="false">IF($A933="","",SUMIFS(Deductions!$D$5:$D$2000,Deductions!$B$5:$B$2000,$A933,Deductions!$C$5:$C$2000,"Advance",Deductions!$E$5:$E$2000,"&gt;="&amp;Settings!$B$8,Deductions!$E$5:$E$2000,"&lt;="&amp;Settings!$B$9))</f>
        <v/>
      </c>
      <c r="P933" s="26" t="str">
        <f aca="false">IF($A933="","",SUMIFS(Deductions!$D$5:$D$2000,Deductions!$B$5:$B$2000,$A933,Deductions!$E$5:$E$2000,"&gt;="&amp;Settings!$B$8,Deductions!$E$5:$E$2000,"&lt;="&amp;Settings!$B$9)-O933)</f>
        <v/>
      </c>
      <c r="Q933" s="26" t="str">
        <f aca="false">IF($A933="","",O933+P933)</f>
        <v/>
      </c>
      <c r="R933" s="23" t="str">
        <f aca="false">IF($A933="","",N933-Q933)</f>
        <v/>
      </c>
      <c r="S933" s="24" t="str">
        <f aca="false">IF($A933="","",INDEX(Workers!$O$5:$O$2004,MATCH($A933,Workers!$A$5:$A$2004,0))&amp;"")</f>
        <v/>
      </c>
      <c r="T933" s="24" t="str">
        <f aca="false">IF($A933="","",INDEX(Workers!$P$5:$P$2004,MATCH($A933,Workers!$A$5:$A$2004,0))&amp;"")</f>
        <v/>
      </c>
      <c r="U933" s="24" t="str">
        <f aca="false">IF($A933="","",INDEX(Workers!$H$5:$H$2004,MATCH($A933,Workers!$A$5:$A$2004,0))&amp;"")</f>
        <v/>
      </c>
    </row>
    <row r="934" customFormat="false" ht="15" hidden="false" customHeight="false" outlineLevel="0" collapsed="false">
      <c r="A934" s="24" t="str">
        <f aca="false">IFERROR(INDEX(Workers!$A$5:$A$2004,MATCH(ROW()-4,Workers!$U$5:$U$2004,0)),"")</f>
        <v/>
      </c>
      <c r="B934" s="24" t="str">
        <f aca="false">IF($A934="","",INDEX(Workers!$B$5:$B$2004,MATCH($A934,Workers!$A$5:$A$2004,0)))</f>
        <v/>
      </c>
      <c r="C934" s="24" t="str">
        <f aca="false">IF($A934="","",INDEX(Workers!$E$5:$E$2004,MATCH($A934,Workers!$A$5:$A$2004,0)))</f>
        <v/>
      </c>
      <c r="D934" s="24" t="str">
        <f aca="false">IF($A934="","",INDEX(Workers!$K$5:$K$2004,MATCH($A934,Workers!$A$5:$A$2004,0)))</f>
        <v/>
      </c>
      <c r="E934" s="25" t="str">
        <f aca="false">IF($A934="","",SUMIFS(Timesheet!$E$5:$E$3004,Timesheet!$D$5:$D$3004,$A934,Timesheet!$A$5:$A$3004,"&gt;="&amp;Settings!$B$8,Timesheet!$A$5:$A$3004,"&lt;="&amp;Settings!$B$9))</f>
        <v/>
      </c>
      <c r="F934" s="25" t="str">
        <f aca="false">IF($A934="","",SUMIFS(Timesheet!$F$5:$F$3004,Timesheet!$D$5:$D$3004,$A934,Timesheet!$A$5:$A$3004,"&gt;="&amp;Settings!$B$8,Timesheet!$A$5:$A$3004,"&lt;="&amp;Settings!$B$9))</f>
        <v/>
      </c>
      <c r="G934" s="25" t="str">
        <f aca="false">IF($A934="","",SUMIFS(Timesheet!$G$5:$G$3004,Timesheet!$D$5:$D$3004,$A934,Timesheet!$A$5:$A$3004,"&gt;="&amp;Settings!$B$8,Timesheet!$A$5:$A$3004,"&lt;="&amp;Settings!$B$9))</f>
        <v/>
      </c>
      <c r="H934" s="25" t="str">
        <f aca="false">IF($A934="","",IF(D934="Monthly",MAX(0,Settings!$B$11-E934),0))</f>
        <v/>
      </c>
      <c r="I934" s="26" t="str">
        <f aca="false">IF($A934="","",N(INDEX(Workers!$L$5:$L$2004,MATCH($A934,Workers!$A$5:$A$2004,0))))</f>
        <v/>
      </c>
      <c r="J934" s="26" t="str">
        <f aca="false">IF($A934="","",N(INDEX(Workers!$M$5:$M$2004,MATCH($A934,Workers!$A$5:$A$2004,0))))</f>
        <v/>
      </c>
      <c r="K934" s="26" t="str">
        <f aca="false">IF($A934="","",IF(D934="Monthly",ROUND(MAX(0,(I934+J934)-(I934+J934)/Settings!$B$10*H934),2),0))</f>
        <v/>
      </c>
      <c r="L934" s="26" t="str">
        <f aca="false">IF($A934="","",IF(D934="Hourly",ROUND(F934*N(INDEX(Workers!$N$5:$N$2004,MATCH($A934,Workers!$A$5:$A$2004,0))),2),0))</f>
        <v/>
      </c>
      <c r="M934" s="26" t="str">
        <f aca="false">IF($A934="","",ROUND(G934*IF(D934="Hourly",N(INDEX(Workers!$N$5:$N$2004,MATCH($A934,Workers!$A$5:$A$2004,0))),I934/Settings!$B$10/Settings!$B$12)*Settings!$B$13,2))</f>
        <v/>
      </c>
      <c r="N934" s="26" t="str">
        <f aca="false">IF($A934="","",K934+L934+M934)</f>
        <v/>
      </c>
      <c r="O934" s="26" t="str">
        <f aca="false">IF($A934="","",SUMIFS(Deductions!$D$5:$D$2000,Deductions!$B$5:$B$2000,$A934,Deductions!$C$5:$C$2000,"Advance",Deductions!$E$5:$E$2000,"&gt;="&amp;Settings!$B$8,Deductions!$E$5:$E$2000,"&lt;="&amp;Settings!$B$9))</f>
        <v/>
      </c>
      <c r="P934" s="26" t="str">
        <f aca="false">IF($A934="","",SUMIFS(Deductions!$D$5:$D$2000,Deductions!$B$5:$B$2000,$A934,Deductions!$E$5:$E$2000,"&gt;="&amp;Settings!$B$8,Deductions!$E$5:$E$2000,"&lt;="&amp;Settings!$B$9)-O934)</f>
        <v/>
      </c>
      <c r="Q934" s="26" t="str">
        <f aca="false">IF($A934="","",O934+P934)</f>
        <v/>
      </c>
      <c r="R934" s="23" t="str">
        <f aca="false">IF($A934="","",N934-Q934)</f>
        <v/>
      </c>
      <c r="S934" s="24" t="str">
        <f aca="false">IF($A934="","",INDEX(Workers!$O$5:$O$2004,MATCH($A934,Workers!$A$5:$A$2004,0))&amp;"")</f>
        <v/>
      </c>
      <c r="T934" s="24" t="str">
        <f aca="false">IF($A934="","",INDEX(Workers!$P$5:$P$2004,MATCH($A934,Workers!$A$5:$A$2004,0))&amp;"")</f>
        <v/>
      </c>
      <c r="U934" s="24" t="str">
        <f aca="false">IF($A934="","",INDEX(Workers!$H$5:$H$2004,MATCH($A934,Workers!$A$5:$A$2004,0))&amp;"")</f>
        <v/>
      </c>
    </row>
    <row r="935" customFormat="false" ht="15" hidden="false" customHeight="false" outlineLevel="0" collapsed="false">
      <c r="A935" s="24" t="str">
        <f aca="false">IFERROR(INDEX(Workers!$A$5:$A$2004,MATCH(ROW()-4,Workers!$U$5:$U$2004,0)),"")</f>
        <v/>
      </c>
      <c r="B935" s="24" t="str">
        <f aca="false">IF($A935="","",INDEX(Workers!$B$5:$B$2004,MATCH($A935,Workers!$A$5:$A$2004,0)))</f>
        <v/>
      </c>
      <c r="C935" s="24" t="str">
        <f aca="false">IF($A935="","",INDEX(Workers!$E$5:$E$2004,MATCH($A935,Workers!$A$5:$A$2004,0)))</f>
        <v/>
      </c>
      <c r="D935" s="24" t="str">
        <f aca="false">IF($A935="","",INDEX(Workers!$K$5:$K$2004,MATCH($A935,Workers!$A$5:$A$2004,0)))</f>
        <v/>
      </c>
      <c r="E935" s="25" t="str">
        <f aca="false">IF($A935="","",SUMIFS(Timesheet!$E$5:$E$3004,Timesheet!$D$5:$D$3004,$A935,Timesheet!$A$5:$A$3004,"&gt;="&amp;Settings!$B$8,Timesheet!$A$5:$A$3004,"&lt;="&amp;Settings!$B$9))</f>
        <v/>
      </c>
      <c r="F935" s="25" t="str">
        <f aca="false">IF($A935="","",SUMIFS(Timesheet!$F$5:$F$3004,Timesheet!$D$5:$D$3004,$A935,Timesheet!$A$5:$A$3004,"&gt;="&amp;Settings!$B$8,Timesheet!$A$5:$A$3004,"&lt;="&amp;Settings!$B$9))</f>
        <v/>
      </c>
      <c r="G935" s="25" t="str">
        <f aca="false">IF($A935="","",SUMIFS(Timesheet!$G$5:$G$3004,Timesheet!$D$5:$D$3004,$A935,Timesheet!$A$5:$A$3004,"&gt;="&amp;Settings!$B$8,Timesheet!$A$5:$A$3004,"&lt;="&amp;Settings!$B$9))</f>
        <v/>
      </c>
      <c r="H935" s="25" t="str">
        <f aca="false">IF($A935="","",IF(D935="Monthly",MAX(0,Settings!$B$11-E935),0))</f>
        <v/>
      </c>
      <c r="I935" s="26" t="str">
        <f aca="false">IF($A935="","",N(INDEX(Workers!$L$5:$L$2004,MATCH($A935,Workers!$A$5:$A$2004,0))))</f>
        <v/>
      </c>
      <c r="J935" s="26" t="str">
        <f aca="false">IF($A935="","",N(INDEX(Workers!$M$5:$M$2004,MATCH($A935,Workers!$A$5:$A$2004,0))))</f>
        <v/>
      </c>
      <c r="K935" s="26" t="str">
        <f aca="false">IF($A935="","",IF(D935="Monthly",ROUND(MAX(0,(I935+J935)-(I935+J935)/Settings!$B$10*H935),2),0))</f>
        <v/>
      </c>
      <c r="L935" s="26" t="str">
        <f aca="false">IF($A935="","",IF(D935="Hourly",ROUND(F935*N(INDEX(Workers!$N$5:$N$2004,MATCH($A935,Workers!$A$5:$A$2004,0))),2),0))</f>
        <v/>
      </c>
      <c r="M935" s="26" t="str">
        <f aca="false">IF($A935="","",ROUND(G935*IF(D935="Hourly",N(INDEX(Workers!$N$5:$N$2004,MATCH($A935,Workers!$A$5:$A$2004,0))),I935/Settings!$B$10/Settings!$B$12)*Settings!$B$13,2))</f>
        <v/>
      </c>
      <c r="N935" s="26" t="str">
        <f aca="false">IF($A935="","",K935+L935+M935)</f>
        <v/>
      </c>
      <c r="O935" s="26" t="str">
        <f aca="false">IF($A935="","",SUMIFS(Deductions!$D$5:$D$2000,Deductions!$B$5:$B$2000,$A935,Deductions!$C$5:$C$2000,"Advance",Deductions!$E$5:$E$2000,"&gt;="&amp;Settings!$B$8,Deductions!$E$5:$E$2000,"&lt;="&amp;Settings!$B$9))</f>
        <v/>
      </c>
      <c r="P935" s="26" t="str">
        <f aca="false">IF($A935="","",SUMIFS(Deductions!$D$5:$D$2000,Deductions!$B$5:$B$2000,$A935,Deductions!$E$5:$E$2000,"&gt;="&amp;Settings!$B$8,Deductions!$E$5:$E$2000,"&lt;="&amp;Settings!$B$9)-O935)</f>
        <v/>
      </c>
      <c r="Q935" s="26" t="str">
        <f aca="false">IF($A935="","",O935+P935)</f>
        <v/>
      </c>
      <c r="R935" s="23" t="str">
        <f aca="false">IF($A935="","",N935-Q935)</f>
        <v/>
      </c>
      <c r="S935" s="24" t="str">
        <f aca="false">IF($A935="","",INDEX(Workers!$O$5:$O$2004,MATCH($A935,Workers!$A$5:$A$2004,0))&amp;"")</f>
        <v/>
      </c>
      <c r="T935" s="24" t="str">
        <f aca="false">IF($A935="","",INDEX(Workers!$P$5:$P$2004,MATCH($A935,Workers!$A$5:$A$2004,0))&amp;"")</f>
        <v/>
      </c>
      <c r="U935" s="24" t="str">
        <f aca="false">IF($A935="","",INDEX(Workers!$H$5:$H$2004,MATCH($A935,Workers!$A$5:$A$2004,0))&amp;"")</f>
        <v/>
      </c>
    </row>
    <row r="936" customFormat="false" ht="15" hidden="false" customHeight="false" outlineLevel="0" collapsed="false">
      <c r="A936" s="24" t="str">
        <f aca="false">IFERROR(INDEX(Workers!$A$5:$A$2004,MATCH(ROW()-4,Workers!$U$5:$U$2004,0)),"")</f>
        <v/>
      </c>
      <c r="B936" s="24" t="str">
        <f aca="false">IF($A936="","",INDEX(Workers!$B$5:$B$2004,MATCH($A936,Workers!$A$5:$A$2004,0)))</f>
        <v/>
      </c>
      <c r="C936" s="24" t="str">
        <f aca="false">IF($A936="","",INDEX(Workers!$E$5:$E$2004,MATCH($A936,Workers!$A$5:$A$2004,0)))</f>
        <v/>
      </c>
      <c r="D936" s="24" t="str">
        <f aca="false">IF($A936="","",INDEX(Workers!$K$5:$K$2004,MATCH($A936,Workers!$A$5:$A$2004,0)))</f>
        <v/>
      </c>
      <c r="E936" s="25" t="str">
        <f aca="false">IF($A936="","",SUMIFS(Timesheet!$E$5:$E$3004,Timesheet!$D$5:$D$3004,$A936,Timesheet!$A$5:$A$3004,"&gt;="&amp;Settings!$B$8,Timesheet!$A$5:$A$3004,"&lt;="&amp;Settings!$B$9))</f>
        <v/>
      </c>
      <c r="F936" s="25" t="str">
        <f aca="false">IF($A936="","",SUMIFS(Timesheet!$F$5:$F$3004,Timesheet!$D$5:$D$3004,$A936,Timesheet!$A$5:$A$3004,"&gt;="&amp;Settings!$B$8,Timesheet!$A$5:$A$3004,"&lt;="&amp;Settings!$B$9))</f>
        <v/>
      </c>
      <c r="G936" s="25" t="str">
        <f aca="false">IF($A936="","",SUMIFS(Timesheet!$G$5:$G$3004,Timesheet!$D$5:$D$3004,$A936,Timesheet!$A$5:$A$3004,"&gt;="&amp;Settings!$B$8,Timesheet!$A$5:$A$3004,"&lt;="&amp;Settings!$B$9))</f>
        <v/>
      </c>
      <c r="H936" s="25" t="str">
        <f aca="false">IF($A936="","",IF(D936="Monthly",MAX(0,Settings!$B$11-E936),0))</f>
        <v/>
      </c>
      <c r="I936" s="26" t="str">
        <f aca="false">IF($A936="","",N(INDEX(Workers!$L$5:$L$2004,MATCH($A936,Workers!$A$5:$A$2004,0))))</f>
        <v/>
      </c>
      <c r="J936" s="26" t="str">
        <f aca="false">IF($A936="","",N(INDEX(Workers!$M$5:$M$2004,MATCH($A936,Workers!$A$5:$A$2004,0))))</f>
        <v/>
      </c>
      <c r="K936" s="26" t="str">
        <f aca="false">IF($A936="","",IF(D936="Monthly",ROUND(MAX(0,(I936+J936)-(I936+J936)/Settings!$B$10*H936),2),0))</f>
        <v/>
      </c>
      <c r="L936" s="26" t="str">
        <f aca="false">IF($A936="","",IF(D936="Hourly",ROUND(F936*N(INDEX(Workers!$N$5:$N$2004,MATCH($A936,Workers!$A$5:$A$2004,0))),2),0))</f>
        <v/>
      </c>
      <c r="M936" s="26" t="str">
        <f aca="false">IF($A936="","",ROUND(G936*IF(D936="Hourly",N(INDEX(Workers!$N$5:$N$2004,MATCH($A936,Workers!$A$5:$A$2004,0))),I936/Settings!$B$10/Settings!$B$12)*Settings!$B$13,2))</f>
        <v/>
      </c>
      <c r="N936" s="26" t="str">
        <f aca="false">IF($A936="","",K936+L936+M936)</f>
        <v/>
      </c>
      <c r="O936" s="26" t="str">
        <f aca="false">IF($A936="","",SUMIFS(Deductions!$D$5:$D$2000,Deductions!$B$5:$B$2000,$A936,Deductions!$C$5:$C$2000,"Advance",Deductions!$E$5:$E$2000,"&gt;="&amp;Settings!$B$8,Deductions!$E$5:$E$2000,"&lt;="&amp;Settings!$B$9))</f>
        <v/>
      </c>
      <c r="P936" s="26" t="str">
        <f aca="false">IF($A936="","",SUMIFS(Deductions!$D$5:$D$2000,Deductions!$B$5:$B$2000,$A936,Deductions!$E$5:$E$2000,"&gt;="&amp;Settings!$B$8,Deductions!$E$5:$E$2000,"&lt;="&amp;Settings!$B$9)-O936)</f>
        <v/>
      </c>
      <c r="Q936" s="26" t="str">
        <f aca="false">IF($A936="","",O936+P936)</f>
        <v/>
      </c>
      <c r="R936" s="23" t="str">
        <f aca="false">IF($A936="","",N936-Q936)</f>
        <v/>
      </c>
      <c r="S936" s="24" t="str">
        <f aca="false">IF($A936="","",INDEX(Workers!$O$5:$O$2004,MATCH($A936,Workers!$A$5:$A$2004,0))&amp;"")</f>
        <v/>
      </c>
      <c r="T936" s="24" t="str">
        <f aca="false">IF($A936="","",INDEX(Workers!$P$5:$P$2004,MATCH($A936,Workers!$A$5:$A$2004,0))&amp;"")</f>
        <v/>
      </c>
      <c r="U936" s="24" t="str">
        <f aca="false">IF($A936="","",INDEX(Workers!$H$5:$H$2004,MATCH($A936,Workers!$A$5:$A$2004,0))&amp;"")</f>
        <v/>
      </c>
    </row>
    <row r="937" customFormat="false" ht="15" hidden="false" customHeight="false" outlineLevel="0" collapsed="false">
      <c r="A937" s="24" t="str">
        <f aca="false">IFERROR(INDEX(Workers!$A$5:$A$2004,MATCH(ROW()-4,Workers!$U$5:$U$2004,0)),"")</f>
        <v/>
      </c>
      <c r="B937" s="24" t="str">
        <f aca="false">IF($A937="","",INDEX(Workers!$B$5:$B$2004,MATCH($A937,Workers!$A$5:$A$2004,0)))</f>
        <v/>
      </c>
      <c r="C937" s="24" t="str">
        <f aca="false">IF($A937="","",INDEX(Workers!$E$5:$E$2004,MATCH($A937,Workers!$A$5:$A$2004,0)))</f>
        <v/>
      </c>
      <c r="D937" s="24" t="str">
        <f aca="false">IF($A937="","",INDEX(Workers!$K$5:$K$2004,MATCH($A937,Workers!$A$5:$A$2004,0)))</f>
        <v/>
      </c>
      <c r="E937" s="25" t="str">
        <f aca="false">IF($A937="","",SUMIFS(Timesheet!$E$5:$E$3004,Timesheet!$D$5:$D$3004,$A937,Timesheet!$A$5:$A$3004,"&gt;="&amp;Settings!$B$8,Timesheet!$A$5:$A$3004,"&lt;="&amp;Settings!$B$9))</f>
        <v/>
      </c>
      <c r="F937" s="25" t="str">
        <f aca="false">IF($A937="","",SUMIFS(Timesheet!$F$5:$F$3004,Timesheet!$D$5:$D$3004,$A937,Timesheet!$A$5:$A$3004,"&gt;="&amp;Settings!$B$8,Timesheet!$A$5:$A$3004,"&lt;="&amp;Settings!$B$9))</f>
        <v/>
      </c>
      <c r="G937" s="25" t="str">
        <f aca="false">IF($A937="","",SUMIFS(Timesheet!$G$5:$G$3004,Timesheet!$D$5:$D$3004,$A937,Timesheet!$A$5:$A$3004,"&gt;="&amp;Settings!$B$8,Timesheet!$A$5:$A$3004,"&lt;="&amp;Settings!$B$9))</f>
        <v/>
      </c>
      <c r="H937" s="25" t="str">
        <f aca="false">IF($A937="","",IF(D937="Monthly",MAX(0,Settings!$B$11-E937),0))</f>
        <v/>
      </c>
      <c r="I937" s="26" t="str">
        <f aca="false">IF($A937="","",N(INDEX(Workers!$L$5:$L$2004,MATCH($A937,Workers!$A$5:$A$2004,0))))</f>
        <v/>
      </c>
      <c r="J937" s="26" t="str">
        <f aca="false">IF($A937="","",N(INDEX(Workers!$M$5:$M$2004,MATCH($A937,Workers!$A$5:$A$2004,0))))</f>
        <v/>
      </c>
      <c r="K937" s="26" t="str">
        <f aca="false">IF($A937="","",IF(D937="Monthly",ROUND(MAX(0,(I937+J937)-(I937+J937)/Settings!$B$10*H937),2),0))</f>
        <v/>
      </c>
      <c r="L937" s="26" t="str">
        <f aca="false">IF($A937="","",IF(D937="Hourly",ROUND(F937*N(INDEX(Workers!$N$5:$N$2004,MATCH($A937,Workers!$A$5:$A$2004,0))),2),0))</f>
        <v/>
      </c>
      <c r="M937" s="26" t="str">
        <f aca="false">IF($A937="","",ROUND(G937*IF(D937="Hourly",N(INDEX(Workers!$N$5:$N$2004,MATCH($A937,Workers!$A$5:$A$2004,0))),I937/Settings!$B$10/Settings!$B$12)*Settings!$B$13,2))</f>
        <v/>
      </c>
      <c r="N937" s="26" t="str">
        <f aca="false">IF($A937="","",K937+L937+M937)</f>
        <v/>
      </c>
      <c r="O937" s="26" t="str">
        <f aca="false">IF($A937="","",SUMIFS(Deductions!$D$5:$D$2000,Deductions!$B$5:$B$2000,$A937,Deductions!$C$5:$C$2000,"Advance",Deductions!$E$5:$E$2000,"&gt;="&amp;Settings!$B$8,Deductions!$E$5:$E$2000,"&lt;="&amp;Settings!$B$9))</f>
        <v/>
      </c>
      <c r="P937" s="26" t="str">
        <f aca="false">IF($A937="","",SUMIFS(Deductions!$D$5:$D$2000,Deductions!$B$5:$B$2000,$A937,Deductions!$E$5:$E$2000,"&gt;="&amp;Settings!$B$8,Deductions!$E$5:$E$2000,"&lt;="&amp;Settings!$B$9)-O937)</f>
        <v/>
      </c>
      <c r="Q937" s="26" t="str">
        <f aca="false">IF($A937="","",O937+P937)</f>
        <v/>
      </c>
      <c r="R937" s="23" t="str">
        <f aca="false">IF($A937="","",N937-Q937)</f>
        <v/>
      </c>
      <c r="S937" s="24" t="str">
        <f aca="false">IF($A937="","",INDEX(Workers!$O$5:$O$2004,MATCH($A937,Workers!$A$5:$A$2004,0))&amp;"")</f>
        <v/>
      </c>
      <c r="T937" s="24" t="str">
        <f aca="false">IF($A937="","",INDEX(Workers!$P$5:$P$2004,MATCH($A937,Workers!$A$5:$A$2004,0))&amp;"")</f>
        <v/>
      </c>
      <c r="U937" s="24" t="str">
        <f aca="false">IF($A937="","",INDEX(Workers!$H$5:$H$2004,MATCH($A937,Workers!$A$5:$A$2004,0))&amp;"")</f>
        <v/>
      </c>
    </row>
    <row r="938" customFormat="false" ht="15" hidden="false" customHeight="false" outlineLevel="0" collapsed="false">
      <c r="A938" s="24" t="str">
        <f aca="false">IFERROR(INDEX(Workers!$A$5:$A$2004,MATCH(ROW()-4,Workers!$U$5:$U$2004,0)),"")</f>
        <v/>
      </c>
      <c r="B938" s="24" t="str">
        <f aca="false">IF($A938="","",INDEX(Workers!$B$5:$B$2004,MATCH($A938,Workers!$A$5:$A$2004,0)))</f>
        <v/>
      </c>
      <c r="C938" s="24" t="str">
        <f aca="false">IF($A938="","",INDEX(Workers!$E$5:$E$2004,MATCH($A938,Workers!$A$5:$A$2004,0)))</f>
        <v/>
      </c>
      <c r="D938" s="24" t="str">
        <f aca="false">IF($A938="","",INDEX(Workers!$K$5:$K$2004,MATCH($A938,Workers!$A$5:$A$2004,0)))</f>
        <v/>
      </c>
      <c r="E938" s="25" t="str">
        <f aca="false">IF($A938="","",SUMIFS(Timesheet!$E$5:$E$3004,Timesheet!$D$5:$D$3004,$A938,Timesheet!$A$5:$A$3004,"&gt;="&amp;Settings!$B$8,Timesheet!$A$5:$A$3004,"&lt;="&amp;Settings!$B$9))</f>
        <v/>
      </c>
      <c r="F938" s="25" t="str">
        <f aca="false">IF($A938="","",SUMIFS(Timesheet!$F$5:$F$3004,Timesheet!$D$5:$D$3004,$A938,Timesheet!$A$5:$A$3004,"&gt;="&amp;Settings!$B$8,Timesheet!$A$5:$A$3004,"&lt;="&amp;Settings!$B$9))</f>
        <v/>
      </c>
      <c r="G938" s="25" t="str">
        <f aca="false">IF($A938="","",SUMIFS(Timesheet!$G$5:$G$3004,Timesheet!$D$5:$D$3004,$A938,Timesheet!$A$5:$A$3004,"&gt;="&amp;Settings!$B$8,Timesheet!$A$5:$A$3004,"&lt;="&amp;Settings!$B$9))</f>
        <v/>
      </c>
      <c r="H938" s="25" t="str">
        <f aca="false">IF($A938="","",IF(D938="Monthly",MAX(0,Settings!$B$11-E938),0))</f>
        <v/>
      </c>
      <c r="I938" s="26" t="str">
        <f aca="false">IF($A938="","",N(INDEX(Workers!$L$5:$L$2004,MATCH($A938,Workers!$A$5:$A$2004,0))))</f>
        <v/>
      </c>
      <c r="J938" s="26" t="str">
        <f aca="false">IF($A938="","",N(INDEX(Workers!$M$5:$M$2004,MATCH($A938,Workers!$A$5:$A$2004,0))))</f>
        <v/>
      </c>
      <c r="K938" s="26" t="str">
        <f aca="false">IF($A938="","",IF(D938="Monthly",ROUND(MAX(0,(I938+J938)-(I938+J938)/Settings!$B$10*H938),2),0))</f>
        <v/>
      </c>
      <c r="L938" s="26" t="str">
        <f aca="false">IF($A938="","",IF(D938="Hourly",ROUND(F938*N(INDEX(Workers!$N$5:$N$2004,MATCH($A938,Workers!$A$5:$A$2004,0))),2),0))</f>
        <v/>
      </c>
      <c r="M938" s="26" t="str">
        <f aca="false">IF($A938="","",ROUND(G938*IF(D938="Hourly",N(INDEX(Workers!$N$5:$N$2004,MATCH($A938,Workers!$A$5:$A$2004,0))),I938/Settings!$B$10/Settings!$B$12)*Settings!$B$13,2))</f>
        <v/>
      </c>
      <c r="N938" s="26" t="str">
        <f aca="false">IF($A938="","",K938+L938+M938)</f>
        <v/>
      </c>
      <c r="O938" s="26" t="str">
        <f aca="false">IF($A938="","",SUMIFS(Deductions!$D$5:$D$2000,Deductions!$B$5:$B$2000,$A938,Deductions!$C$5:$C$2000,"Advance",Deductions!$E$5:$E$2000,"&gt;="&amp;Settings!$B$8,Deductions!$E$5:$E$2000,"&lt;="&amp;Settings!$B$9))</f>
        <v/>
      </c>
      <c r="P938" s="26" t="str">
        <f aca="false">IF($A938="","",SUMIFS(Deductions!$D$5:$D$2000,Deductions!$B$5:$B$2000,$A938,Deductions!$E$5:$E$2000,"&gt;="&amp;Settings!$B$8,Deductions!$E$5:$E$2000,"&lt;="&amp;Settings!$B$9)-O938)</f>
        <v/>
      </c>
      <c r="Q938" s="26" t="str">
        <f aca="false">IF($A938="","",O938+P938)</f>
        <v/>
      </c>
      <c r="R938" s="23" t="str">
        <f aca="false">IF($A938="","",N938-Q938)</f>
        <v/>
      </c>
      <c r="S938" s="24" t="str">
        <f aca="false">IF($A938="","",INDEX(Workers!$O$5:$O$2004,MATCH($A938,Workers!$A$5:$A$2004,0))&amp;"")</f>
        <v/>
      </c>
      <c r="T938" s="24" t="str">
        <f aca="false">IF($A938="","",INDEX(Workers!$P$5:$P$2004,MATCH($A938,Workers!$A$5:$A$2004,0))&amp;"")</f>
        <v/>
      </c>
      <c r="U938" s="24" t="str">
        <f aca="false">IF($A938="","",INDEX(Workers!$H$5:$H$2004,MATCH($A938,Workers!$A$5:$A$2004,0))&amp;"")</f>
        <v/>
      </c>
    </row>
    <row r="939" customFormat="false" ht="15" hidden="false" customHeight="false" outlineLevel="0" collapsed="false">
      <c r="A939" s="24" t="str">
        <f aca="false">IFERROR(INDEX(Workers!$A$5:$A$2004,MATCH(ROW()-4,Workers!$U$5:$U$2004,0)),"")</f>
        <v/>
      </c>
      <c r="B939" s="24" t="str">
        <f aca="false">IF($A939="","",INDEX(Workers!$B$5:$B$2004,MATCH($A939,Workers!$A$5:$A$2004,0)))</f>
        <v/>
      </c>
      <c r="C939" s="24" t="str">
        <f aca="false">IF($A939="","",INDEX(Workers!$E$5:$E$2004,MATCH($A939,Workers!$A$5:$A$2004,0)))</f>
        <v/>
      </c>
      <c r="D939" s="24" t="str">
        <f aca="false">IF($A939="","",INDEX(Workers!$K$5:$K$2004,MATCH($A939,Workers!$A$5:$A$2004,0)))</f>
        <v/>
      </c>
      <c r="E939" s="25" t="str">
        <f aca="false">IF($A939="","",SUMIFS(Timesheet!$E$5:$E$3004,Timesheet!$D$5:$D$3004,$A939,Timesheet!$A$5:$A$3004,"&gt;="&amp;Settings!$B$8,Timesheet!$A$5:$A$3004,"&lt;="&amp;Settings!$B$9))</f>
        <v/>
      </c>
      <c r="F939" s="25" t="str">
        <f aca="false">IF($A939="","",SUMIFS(Timesheet!$F$5:$F$3004,Timesheet!$D$5:$D$3004,$A939,Timesheet!$A$5:$A$3004,"&gt;="&amp;Settings!$B$8,Timesheet!$A$5:$A$3004,"&lt;="&amp;Settings!$B$9))</f>
        <v/>
      </c>
      <c r="G939" s="25" t="str">
        <f aca="false">IF($A939="","",SUMIFS(Timesheet!$G$5:$G$3004,Timesheet!$D$5:$D$3004,$A939,Timesheet!$A$5:$A$3004,"&gt;="&amp;Settings!$B$8,Timesheet!$A$5:$A$3004,"&lt;="&amp;Settings!$B$9))</f>
        <v/>
      </c>
      <c r="H939" s="25" t="str">
        <f aca="false">IF($A939="","",IF(D939="Monthly",MAX(0,Settings!$B$11-E939),0))</f>
        <v/>
      </c>
      <c r="I939" s="26" t="str">
        <f aca="false">IF($A939="","",N(INDEX(Workers!$L$5:$L$2004,MATCH($A939,Workers!$A$5:$A$2004,0))))</f>
        <v/>
      </c>
      <c r="J939" s="26" t="str">
        <f aca="false">IF($A939="","",N(INDEX(Workers!$M$5:$M$2004,MATCH($A939,Workers!$A$5:$A$2004,0))))</f>
        <v/>
      </c>
      <c r="K939" s="26" t="str">
        <f aca="false">IF($A939="","",IF(D939="Monthly",ROUND(MAX(0,(I939+J939)-(I939+J939)/Settings!$B$10*H939),2),0))</f>
        <v/>
      </c>
      <c r="L939" s="26" t="str">
        <f aca="false">IF($A939="","",IF(D939="Hourly",ROUND(F939*N(INDEX(Workers!$N$5:$N$2004,MATCH($A939,Workers!$A$5:$A$2004,0))),2),0))</f>
        <v/>
      </c>
      <c r="M939" s="26" t="str">
        <f aca="false">IF($A939="","",ROUND(G939*IF(D939="Hourly",N(INDEX(Workers!$N$5:$N$2004,MATCH($A939,Workers!$A$5:$A$2004,0))),I939/Settings!$B$10/Settings!$B$12)*Settings!$B$13,2))</f>
        <v/>
      </c>
      <c r="N939" s="26" t="str">
        <f aca="false">IF($A939="","",K939+L939+M939)</f>
        <v/>
      </c>
      <c r="O939" s="26" t="str">
        <f aca="false">IF($A939="","",SUMIFS(Deductions!$D$5:$D$2000,Deductions!$B$5:$B$2000,$A939,Deductions!$C$5:$C$2000,"Advance",Deductions!$E$5:$E$2000,"&gt;="&amp;Settings!$B$8,Deductions!$E$5:$E$2000,"&lt;="&amp;Settings!$B$9))</f>
        <v/>
      </c>
      <c r="P939" s="26" t="str">
        <f aca="false">IF($A939="","",SUMIFS(Deductions!$D$5:$D$2000,Deductions!$B$5:$B$2000,$A939,Deductions!$E$5:$E$2000,"&gt;="&amp;Settings!$B$8,Deductions!$E$5:$E$2000,"&lt;="&amp;Settings!$B$9)-O939)</f>
        <v/>
      </c>
      <c r="Q939" s="26" t="str">
        <f aca="false">IF($A939="","",O939+P939)</f>
        <v/>
      </c>
      <c r="R939" s="23" t="str">
        <f aca="false">IF($A939="","",N939-Q939)</f>
        <v/>
      </c>
      <c r="S939" s="24" t="str">
        <f aca="false">IF($A939="","",INDEX(Workers!$O$5:$O$2004,MATCH($A939,Workers!$A$5:$A$2004,0))&amp;"")</f>
        <v/>
      </c>
      <c r="T939" s="24" t="str">
        <f aca="false">IF($A939="","",INDEX(Workers!$P$5:$P$2004,MATCH($A939,Workers!$A$5:$A$2004,0))&amp;"")</f>
        <v/>
      </c>
      <c r="U939" s="24" t="str">
        <f aca="false">IF($A939="","",INDEX(Workers!$H$5:$H$2004,MATCH($A939,Workers!$A$5:$A$2004,0))&amp;"")</f>
        <v/>
      </c>
    </row>
    <row r="940" customFormat="false" ht="15" hidden="false" customHeight="false" outlineLevel="0" collapsed="false">
      <c r="A940" s="24" t="str">
        <f aca="false">IFERROR(INDEX(Workers!$A$5:$A$2004,MATCH(ROW()-4,Workers!$U$5:$U$2004,0)),"")</f>
        <v/>
      </c>
      <c r="B940" s="24" t="str">
        <f aca="false">IF($A940="","",INDEX(Workers!$B$5:$B$2004,MATCH($A940,Workers!$A$5:$A$2004,0)))</f>
        <v/>
      </c>
      <c r="C940" s="24" t="str">
        <f aca="false">IF($A940="","",INDEX(Workers!$E$5:$E$2004,MATCH($A940,Workers!$A$5:$A$2004,0)))</f>
        <v/>
      </c>
      <c r="D940" s="24" t="str">
        <f aca="false">IF($A940="","",INDEX(Workers!$K$5:$K$2004,MATCH($A940,Workers!$A$5:$A$2004,0)))</f>
        <v/>
      </c>
      <c r="E940" s="25" t="str">
        <f aca="false">IF($A940="","",SUMIFS(Timesheet!$E$5:$E$3004,Timesheet!$D$5:$D$3004,$A940,Timesheet!$A$5:$A$3004,"&gt;="&amp;Settings!$B$8,Timesheet!$A$5:$A$3004,"&lt;="&amp;Settings!$B$9))</f>
        <v/>
      </c>
      <c r="F940" s="25" t="str">
        <f aca="false">IF($A940="","",SUMIFS(Timesheet!$F$5:$F$3004,Timesheet!$D$5:$D$3004,$A940,Timesheet!$A$5:$A$3004,"&gt;="&amp;Settings!$B$8,Timesheet!$A$5:$A$3004,"&lt;="&amp;Settings!$B$9))</f>
        <v/>
      </c>
      <c r="G940" s="25" t="str">
        <f aca="false">IF($A940="","",SUMIFS(Timesheet!$G$5:$G$3004,Timesheet!$D$5:$D$3004,$A940,Timesheet!$A$5:$A$3004,"&gt;="&amp;Settings!$B$8,Timesheet!$A$5:$A$3004,"&lt;="&amp;Settings!$B$9))</f>
        <v/>
      </c>
      <c r="H940" s="25" t="str">
        <f aca="false">IF($A940="","",IF(D940="Monthly",MAX(0,Settings!$B$11-E940),0))</f>
        <v/>
      </c>
      <c r="I940" s="26" t="str">
        <f aca="false">IF($A940="","",N(INDEX(Workers!$L$5:$L$2004,MATCH($A940,Workers!$A$5:$A$2004,0))))</f>
        <v/>
      </c>
      <c r="J940" s="26" t="str">
        <f aca="false">IF($A940="","",N(INDEX(Workers!$M$5:$M$2004,MATCH($A940,Workers!$A$5:$A$2004,0))))</f>
        <v/>
      </c>
      <c r="K940" s="26" t="str">
        <f aca="false">IF($A940="","",IF(D940="Monthly",ROUND(MAX(0,(I940+J940)-(I940+J940)/Settings!$B$10*H940),2),0))</f>
        <v/>
      </c>
      <c r="L940" s="26" t="str">
        <f aca="false">IF($A940="","",IF(D940="Hourly",ROUND(F940*N(INDEX(Workers!$N$5:$N$2004,MATCH($A940,Workers!$A$5:$A$2004,0))),2),0))</f>
        <v/>
      </c>
      <c r="M940" s="26" t="str">
        <f aca="false">IF($A940="","",ROUND(G940*IF(D940="Hourly",N(INDEX(Workers!$N$5:$N$2004,MATCH($A940,Workers!$A$5:$A$2004,0))),I940/Settings!$B$10/Settings!$B$12)*Settings!$B$13,2))</f>
        <v/>
      </c>
      <c r="N940" s="26" t="str">
        <f aca="false">IF($A940="","",K940+L940+M940)</f>
        <v/>
      </c>
      <c r="O940" s="26" t="str">
        <f aca="false">IF($A940="","",SUMIFS(Deductions!$D$5:$D$2000,Deductions!$B$5:$B$2000,$A940,Deductions!$C$5:$C$2000,"Advance",Deductions!$E$5:$E$2000,"&gt;="&amp;Settings!$B$8,Deductions!$E$5:$E$2000,"&lt;="&amp;Settings!$B$9))</f>
        <v/>
      </c>
      <c r="P940" s="26" t="str">
        <f aca="false">IF($A940="","",SUMIFS(Deductions!$D$5:$D$2000,Deductions!$B$5:$B$2000,$A940,Deductions!$E$5:$E$2000,"&gt;="&amp;Settings!$B$8,Deductions!$E$5:$E$2000,"&lt;="&amp;Settings!$B$9)-O940)</f>
        <v/>
      </c>
      <c r="Q940" s="26" t="str">
        <f aca="false">IF($A940="","",O940+P940)</f>
        <v/>
      </c>
      <c r="R940" s="23" t="str">
        <f aca="false">IF($A940="","",N940-Q940)</f>
        <v/>
      </c>
      <c r="S940" s="24" t="str">
        <f aca="false">IF($A940="","",INDEX(Workers!$O$5:$O$2004,MATCH($A940,Workers!$A$5:$A$2004,0))&amp;"")</f>
        <v/>
      </c>
      <c r="T940" s="24" t="str">
        <f aca="false">IF($A940="","",INDEX(Workers!$P$5:$P$2004,MATCH($A940,Workers!$A$5:$A$2004,0))&amp;"")</f>
        <v/>
      </c>
      <c r="U940" s="24" t="str">
        <f aca="false">IF($A940="","",INDEX(Workers!$H$5:$H$2004,MATCH($A940,Workers!$A$5:$A$2004,0))&amp;"")</f>
        <v/>
      </c>
    </row>
    <row r="941" customFormat="false" ht="15" hidden="false" customHeight="false" outlineLevel="0" collapsed="false">
      <c r="A941" s="24" t="str">
        <f aca="false">IFERROR(INDEX(Workers!$A$5:$A$2004,MATCH(ROW()-4,Workers!$U$5:$U$2004,0)),"")</f>
        <v/>
      </c>
      <c r="B941" s="24" t="str">
        <f aca="false">IF($A941="","",INDEX(Workers!$B$5:$B$2004,MATCH($A941,Workers!$A$5:$A$2004,0)))</f>
        <v/>
      </c>
      <c r="C941" s="24" t="str">
        <f aca="false">IF($A941="","",INDEX(Workers!$E$5:$E$2004,MATCH($A941,Workers!$A$5:$A$2004,0)))</f>
        <v/>
      </c>
      <c r="D941" s="24" t="str">
        <f aca="false">IF($A941="","",INDEX(Workers!$K$5:$K$2004,MATCH($A941,Workers!$A$5:$A$2004,0)))</f>
        <v/>
      </c>
      <c r="E941" s="25" t="str">
        <f aca="false">IF($A941="","",SUMIFS(Timesheet!$E$5:$E$3004,Timesheet!$D$5:$D$3004,$A941,Timesheet!$A$5:$A$3004,"&gt;="&amp;Settings!$B$8,Timesheet!$A$5:$A$3004,"&lt;="&amp;Settings!$B$9))</f>
        <v/>
      </c>
      <c r="F941" s="25" t="str">
        <f aca="false">IF($A941="","",SUMIFS(Timesheet!$F$5:$F$3004,Timesheet!$D$5:$D$3004,$A941,Timesheet!$A$5:$A$3004,"&gt;="&amp;Settings!$B$8,Timesheet!$A$5:$A$3004,"&lt;="&amp;Settings!$B$9))</f>
        <v/>
      </c>
      <c r="G941" s="25" t="str">
        <f aca="false">IF($A941="","",SUMIFS(Timesheet!$G$5:$G$3004,Timesheet!$D$5:$D$3004,$A941,Timesheet!$A$5:$A$3004,"&gt;="&amp;Settings!$B$8,Timesheet!$A$5:$A$3004,"&lt;="&amp;Settings!$B$9))</f>
        <v/>
      </c>
      <c r="H941" s="25" t="str">
        <f aca="false">IF($A941="","",IF(D941="Monthly",MAX(0,Settings!$B$11-E941),0))</f>
        <v/>
      </c>
      <c r="I941" s="26" t="str">
        <f aca="false">IF($A941="","",N(INDEX(Workers!$L$5:$L$2004,MATCH($A941,Workers!$A$5:$A$2004,0))))</f>
        <v/>
      </c>
      <c r="J941" s="26" t="str">
        <f aca="false">IF($A941="","",N(INDEX(Workers!$M$5:$M$2004,MATCH($A941,Workers!$A$5:$A$2004,0))))</f>
        <v/>
      </c>
      <c r="K941" s="26" t="str">
        <f aca="false">IF($A941="","",IF(D941="Monthly",ROUND(MAX(0,(I941+J941)-(I941+J941)/Settings!$B$10*H941),2),0))</f>
        <v/>
      </c>
      <c r="L941" s="26" t="str">
        <f aca="false">IF($A941="","",IF(D941="Hourly",ROUND(F941*N(INDEX(Workers!$N$5:$N$2004,MATCH($A941,Workers!$A$5:$A$2004,0))),2),0))</f>
        <v/>
      </c>
      <c r="M941" s="26" t="str">
        <f aca="false">IF($A941="","",ROUND(G941*IF(D941="Hourly",N(INDEX(Workers!$N$5:$N$2004,MATCH($A941,Workers!$A$5:$A$2004,0))),I941/Settings!$B$10/Settings!$B$12)*Settings!$B$13,2))</f>
        <v/>
      </c>
      <c r="N941" s="26" t="str">
        <f aca="false">IF($A941="","",K941+L941+M941)</f>
        <v/>
      </c>
      <c r="O941" s="26" t="str">
        <f aca="false">IF($A941="","",SUMIFS(Deductions!$D$5:$D$2000,Deductions!$B$5:$B$2000,$A941,Deductions!$C$5:$C$2000,"Advance",Deductions!$E$5:$E$2000,"&gt;="&amp;Settings!$B$8,Deductions!$E$5:$E$2000,"&lt;="&amp;Settings!$B$9))</f>
        <v/>
      </c>
      <c r="P941" s="26" t="str">
        <f aca="false">IF($A941="","",SUMIFS(Deductions!$D$5:$D$2000,Deductions!$B$5:$B$2000,$A941,Deductions!$E$5:$E$2000,"&gt;="&amp;Settings!$B$8,Deductions!$E$5:$E$2000,"&lt;="&amp;Settings!$B$9)-O941)</f>
        <v/>
      </c>
      <c r="Q941" s="26" t="str">
        <f aca="false">IF($A941="","",O941+P941)</f>
        <v/>
      </c>
      <c r="R941" s="23" t="str">
        <f aca="false">IF($A941="","",N941-Q941)</f>
        <v/>
      </c>
      <c r="S941" s="24" t="str">
        <f aca="false">IF($A941="","",INDEX(Workers!$O$5:$O$2004,MATCH($A941,Workers!$A$5:$A$2004,0))&amp;"")</f>
        <v/>
      </c>
      <c r="T941" s="24" t="str">
        <f aca="false">IF($A941="","",INDEX(Workers!$P$5:$P$2004,MATCH($A941,Workers!$A$5:$A$2004,0))&amp;"")</f>
        <v/>
      </c>
      <c r="U941" s="24" t="str">
        <f aca="false">IF($A941="","",INDEX(Workers!$H$5:$H$2004,MATCH($A941,Workers!$A$5:$A$2004,0))&amp;"")</f>
        <v/>
      </c>
    </row>
    <row r="942" customFormat="false" ht="15" hidden="false" customHeight="false" outlineLevel="0" collapsed="false">
      <c r="A942" s="24" t="str">
        <f aca="false">IFERROR(INDEX(Workers!$A$5:$A$2004,MATCH(ROW()-4,Workers!$U$5:$U$2004,0)),"")</f>
        <v/>
      </c>
      <c r="B942" s="24" t="str">
        <f aca="false">IF($A942="","",INDEX(Workers!$B$5:$B$2004,MATCH($A942,Workers!$A$5:$A$2004,0)))</f>
        <v/>
      </c>
      <c r="C942" s="24" t="str">
        <f aca="false">IF($A942="","",INDEX(Workers!$E$5:$E$2004,MATCH($A942,Workers!$A$5:$A$2004,0)))</f>
        <v/>
      </c>
      <c r="D942" s="24" t="str">
        <f aca="false">IF($A942="","",INDEX(Workers!$K$5:$K$2004,MATCH($A942,Workers!$A$5:$A$2004,0)))</f>
        <v/>
      </c>
      <c r="E942" s="25" t="str">
        <f aca="false">IF($A942="","",SUMIFS(Timesheet!$E$5:$E$3004,Timesheet!$D$5:$D$3004,$A942,Timesheet!$A$5:$A$3004,"&gt;="&amp;Settings!$B$8,Timesheet!$A$5:$A$3004,"&lt;="&amp;Settings!$B$9))</f>
        <v/>
      </c>
      <c r="F942" s="25" t="str">
        <f aca="false">IF($A942="","",SUMIFS(Timesheet!$F$5:$F$3004,Timesheet!$D$5:$D$3004,$A942,Timesheet!$A$5:$A$3004,"&gt;="&amp;Settings!$B$8,Timesheet!$A$5:$A$3004,"&lt;="&amp;Settings!$B$9))</f>
        <v/>
      </c>
      <c r="G942" s="25" t="str">
        <f aca="false">IF($A942="","",SUMIFS(Timesheet!$G$5:$G$3004,Timesheet!$D$5:$D$3004,$A942,Timesheet!$A$5:$A$3004,"&gt;="&amp;Settings!$B$8,Timesheet!$A$5:$A$3004,"&lt;="&amp;Settings!$B$9))</f>
        <v/>
      </c>
      <c r="H942" s="25" t="str">
        <f aca="false">IF($A942="","",IF(D942="Monthly",MAX(0,Settings!$B$11-E942),0))</f>
        <v/>
      </c>
      <c r="I942" s="26" t="str">
        <f aca="false">IF($A942="","",N(INDEX(Workers!$L$5:$L$2004,MATCH($A942,Workers!$A$5:$A$2004,0))))</f>
        <v/>
      </c>
      <c r="J942" s="26" t="str">
        <f aca="false">IF($A942="","",N(INDEX(Workers!$M$5:$M$2004,MATCH($A942,Workers!$A$5:$A$2004,0))))</f>
        <v/>
      </c>
      <c r="K942" s="26" t="str">
        <f aca="false">IF($A942="","",IF(D942="Monthly",ROUND(MAX(0,(I942+J942)-(I942+J942)/Settings!$B$10*H942),2),0))</f>
        <v/>
      </c>
      <c r="L942" s="26" t="str">
        <f aca="false">IF($A942="","",IF(D942="Hourly",ROUND(F942*N(INDEX(Workers!$N$5:$N$2004,MATCH($A942,Workers!$A$5:$A$2004,0))),2),0))</f>
        <v/>
      </c>
      <c r="M942" s="26" t="str">
        <f aca="false">IF($A942="","",ROUND(G942*IF(D942="Hourly",N(INDEX(Workers!$N$5:$N$2004,MATCH($A942,Workers!$A$5:$A$2004,0))),I942/Settings!$B$10/Settings!$B$12)*Settings!$B$13,2))</f>
        <v/>
      </c>
      <c r="N942" s="26" t="str">
        <f aca="false">IF($A942="","",K942+L942+M942)</f>
        <v/>
      </c>
      <c r="O942" s="26" t="str">
        <f aca="false">IF($A942="","",SUMIFS(Deductions!$D$5:$D$2000,Deductions!$B$5:$B$2000,$A942,Deductions!$C$5:$C$2000,"Advance",Deductions!$E$5:$E$2000,"&gt;="&amp;Settings!$B$8,Deductions!$E$5:$E$2000,"&lt;="&amp;Settings!$B$9))</f>
        <v/>
      </c>
      <c r="P942" s="26" t="str">
        <f aca="false">IF($A942="","",SUMIFS(Deductions!$D$5:$D$2000,Deductions!$B$5:$B$2000,$A942,Deductions!$E$5:$E$2000,"&gt;="&amp;Settings!$B$8,Deductions!$E$5:$E$2000,"&lt;="&amp;Settings!$B$9)-O942)</f>
        <v/>
      </c>
      <c r="Q942" s="26" t="str">
        <f aca="false">IF($A942="","",O942+P942)</f>
        <v/>
      </c>
      <c r="R942" s="23" t="str">
        <f aca="false">IF($A942="","",N942-Q942)</f>
        <v/>
      </c>
      <c r="S942" s="24" t="str">
        <f aca="false">IF($A942="","",INDEX(Workers!$O$5:$O$2004,MATCH($A942,Workers!$A$5:$A$2004,0))&amp;"")</f>
        <v/>
      </c>
      <c r="T942" s="24" t="str">
        <f aca="false">IF($A942="","",INDEX(Workers!$P$5:$P$2004,MATCH($A942,Workers!$A$5:$A$2004,0))&amp;"")</f>
        <v/>
      </c>
      <c r="U942" s="24" t="str">
        <f aca="false">IF($A942="","",INDEX(Workers!$H$5:$H$2004,MATCH($A942,Workers!$A$5:$A$2004,0))&amp;"")</f>
        <v/>
      </c>
    </row>
    <row r="943" customFormat="false" ht="15" hidden="false" customHeight="false" outlineLevel="0" collapsed="false">
      <c r="A943" s="24" t="str">
        <f aca="false">IFERROR(INDEX(Workers!$A$5:$A$2004,MATCH(ROW()-4,Workers!$U$5:$U$2004,0)),"")</f>
        <v/>
      </c>
      <c r="B943" s="24" t="str">
        <f aca="false">IF($A943="","",INDEX(Workers!$B$5:$B$2004,MATCH($A943,Workers!$A$5:$A$2004,0)))</f>
        <v/>
      </c>
      <c r="C943" s="24" t="str">
        <f aca="false">IF($A943="","",INDEX(Workers!$E$5:$E$2004,MATCH($A943,Workers!$A$5:$A$2004,0)))</f>
        <v/>
      </c>
      <c r="D943" s="24" t="str">
        <f aca="false">IF($A943="","",INDEX(Workers!$K$5:$K$2004,MATCH($A943,Workers!$A$5:$A$2004,0)))</f>
        <v/>
      </c>
      <c r="E943" s="25" t="str">
        <f aca="false">IF($A943="","",SUMIFS(Timesheet!$E$5:$E$3004,Timesheet!$D$5:$D$3004,$A943,Timesheet!$A$5:$A$3004,"&gt;="&amp;Settings!$B$8,Timesheet!$A$5:$A$3004,"&lt;="&amp;Settings!$B$9))</f>
        <v/>
      </c>
      <c r="F943" s="25" t="str">
        <f aca="false">IF($A943="","",SUMIFS(Timesheet!$F$5:$F$3004,Timesheet!$D$5:$D$3004,$A943,Timesheet!$A$5:$A$3004,"&gt;="&amp;Settings!$B$8,Timesheet!$A$5:$A$3004,"&lt;="&amp;Settings!$B$9))</f>
        <v/>
      </c>
      <c r="G943" s="25" t="str">
        <f aca="false">IF($A943="","",SUMIFS(Timesheet!$G$5:$G$3004,Timesheet!$D$5:$D$3004,$A943,Timesheet!$A$5:$A$3004,"&gt;="&amp;Settings!$B$8,Timesheet!$A$5:$A$3004,"&lt;="&amp;Settings!$B$9))</f>
        <v/>
      </c>
      <c r="H943" s="25" t="str">
        <f aca="false">IF($A943="","",IF(D943="Monthly",MAX(0,Settings!$B$11-E943),0))</f>
        <v/>
      </c>
      <c r="I943" s="26" t="str">
        <f aca="false">IF($A943="","",N(INDEX(Workers!$L$5:$L$2004,MATCH($A943,Workers!$A$5:$A$2004,0))))</f>
        <v/>
      </c>
      <c r="J943" s="26" t="str">
        <f aca="false">IF($A943="","",N(INDEX(Workers!$M$5:$M$2004,MATCH($A943,Workers!$A$5:$A$2004,0))))</f>
        <v/>
      </c>
      <c r="K943" s="26" t="str">
        <f aca="false">IF($A943="","",IF(D943="Monthly",ROUND(MAX(0,(I943+J943)-(I943+J943)/Settings!$B$10*H943),2),0))</f>
        <v/>
      </c>
      <c r="L943" s="26" t="str">
        <f aca="false">IF($A943="","",IF(D943="Hourly",ROUND(F943*N(INDEX(Workers!$N$5:$N$2004,MATCH($A943,Workers!$A$5:$A$2004,0))),2),0))</f>
        <v/>
      </c>
      <c r="M943" s="26" t="str">
        <f aca="false">IF($A943="","",ROUND(G943*IF(D943="Hourly",N(INDEX(Workers!$N$5:$N$2004,MATCH($A943,Workers!$A$5:$A$2004,0))),I943/Settings!$B$10/Settings!$B$12)*Settings!$B$13,2))</f>
        <v/>
      </c>
      <c r="N943" s="26" t="str">
        <f aca="false">IF($A943="","",K943+L943+M943)</f>
        <v/>
      </c>
      <c r="O943" s="26" t="str">
        <f aca="false">IF($A943="","",SUMIFS(Deductions!$D$5:$D$2000,Deductions!$B$5:$B$2000,$A943,Deductions!$C$5:$C$2000,"Advance",Deductions!$E$5:$E$2000,"&gt;="&amp;Settings!$B$8,Deductions!$E$5:$E$2000,"&lt;="&amp;Settings!$B$9))</f>
        <v/>
      </c>
      <c r="P943" s="26" t="str">
        <f aca="false">IF($A943="","",SUMIFS(Deductions!$D$5:$D$2000,Deductions!$B$5:$B$2000,$A943,Deductions!$E$5:$E$2000,"&gt;="&amp;Settings!$B$8,Deductions!$E$5:$E$2000,"&lt;="&amp;Settings!$B$9)-O943)</f>
        <v/>
      </c>
      <c r="Q943" s="26" t="str">
        <f aca="false">IF($A943="","",O943+P943)</f>
        <v/>
      </c>
      <c r="R943" s="23" t="str">
        <f aca="false">IF($A943="","",N943-Q943)</f>
        <v/>
      </c>
      <c r="S943" s="24" t="str">
        <f aca="false">IF($A943="","",INDEX(Workers!$O$5:$O$2004,MATCH($A943,Workers!$A$5:$A$2004,0))&amp;"")</f>
        <v/>
      </c>
      <c r="T943" s="24" t="str">
        <f aca="false">IF($A943="","",INDEX(Workers!$P$5:$P$2004,MATCH($A943,Workers!$A$5:$A$2004,0))&amp;"")</f>
        <v/>
      </c>
      <c r="U943" s="24" t="str">
        <f aca="false">IF($A943="","",INDEX(Workers!$H$5:$H$2004,MATCH($A943,Workers!$A$5:$A$2004,0))&amp;"")</f>
        <v/>
      </c>
    </row>
    <row r="944" customFormat="false" ht="15" hidden="false" customHeight="false" outlineLevel="0" collapsed="false">
      <c r="A944" s="24" t="str">
        <f aca="false">IFERROR(INDEX(Workers!$A$5:$A$2004,MATCH(ROW()-4,Workers!$U$5:$U$2004,0)),"")</f>
        <v/>
      </c>
      <c r="B944" s="24" t="str">
        <f aca="false">IF($A944="","",INDEX(Workers!$B$5:$B$2004,MATCH($A944,Workers!$A$5:$A$2004,0)))</f>
        <v/>
      </c>
      <c r="C944" s="24" t="str">
        <f aca="false">IF($A944="","",INDEX(Workers!$E$5:$E$2004,MATCH($A944,Workers!$A$5:$A$2004,0)))</f>
        <v/>
      </c>
      <c r="D944" s="24" t="str">
        <f aca="false">IF($A944="","",INDEX(Workers!$K$5:$K$2004,MATCH($A944,Workers!$A$5:$A$2004,0)))</f>
        <v/>
      </c>
      <c r="E944" s="25" t="str">
        <f aca="false">IF($A944="","",SUMIFS(Timesheet!$E$5:$E$3004,Timesheet!$D$5:$D$3004,$A944,Timesheet!$A$5:$A$3004,"&gt;="&amp;Settings!$B$8,Timesheet!$A$5:$A$3004,"&lt;="&amp;Settings!$B$9))</f>
        <v/>
      </c>
      <c r="F944" s="25" t="str">
        <f aca="false">IF($A944="","",SUMIFS(Timesheet!$F$5:$F$3004,Timesheet!$D$5:$D$3004,$A944,Timesheet!$A$5:$A$3004,"&gt;="&amp;Settings!$B$8,Timesheet!$A$5:$A$3004,"&lt;="&amp;Settings!$B$9))</f>
        <v/>
      </c>
      <c r="G944" s="25" t="str">
        <f aca="false">IF($A944="","",SUMIFS(Timesheet!$G$5:$G$3004,Timesheet!$D$5:$D$3004,$A944,Timesheet!$A$5:$A$3004,"&gt;="&amp;Settings!$B$8,Timesheet!$A$5:$A$3004,"&lt;="&amp;Settings!$B$9))</f>
        <v/>
      </c>
      <c r="H944" s="25" t="str">
        <f aca="false">IF($A944="","",IF(D944="Monthly",MAX(0,Settings!$B$11-E944),0))</f>
        <v/>
      </c>
      <c r="I944" s="26" t="str">
        <f aca="false">IF($A944="","",N(INDEX(Workers!$L$5:$L$2004,MATCH($A944,Workers!$A$5:$A$2004,0))))</f>
        <v/>
      </c>
      <c r="J944" s="26" t="str">
        <f aca="false">IF($A944="","",N(INDEX(Workers!$M$5:$M$2004,MATCH($A944,Workers!$A$5:$A$2004,0))))</f>
        <v/>
      </c>
      <c r="K944" s="26" t="str">
        <f aca="false">IF($A944="","",IF(D944="Monthly",ROUND(MAX(0,(I944+J944)-(I944+J944)/Settings!$B$10*H944),2),0))</f>
        <v/>
      </c>
      <c r="L944" s="26" t="str">
        <f aca="false">IF($A944="","",IF(D944="Hourly",ROUND(F944*N(INDEX(Workers!$N$5:$N$2004,MATCH($A944,Workers!$A$5:$A$2004,0))),2),0))</f>
        <v/>
      </c>
      <c r="M944" s="26" t="str">
        <f aca="false">IF($A944="","",ROUND(G944*IF(D944="Hourly",N(INDEX(Workers!$N$5:$N$2004,MATCH($A944,Workers!$A$5:$A$2004,0))),I944/Settings!$B$10/Settings!$B$12)*Settings!$B$13,2))</f>
        <v/>
      </c>
      <c r="N944" s="26" t="str">
        <f aca="false">IF($A944="","",K944+L944+M944)</f>
        <v/>
      </c>
      <c r="O944" s="26" t="str">
        <f aca="false">IF($A944="","",SUMIFS(Deductions!$D$5:$D$2000,Deductions!$B$5:$B$2000,$A944,Deductions!$C$5:$C$2000,"Advance",Deductions!$E$5:$E$2000,"&gt;="&amp;Settings!$B$8,Deductions!$E$5:$E$2000,"&lt;="&amp;Settings!$B$9))</f>
        <v/>
      </c>
      <c r="P944" s="26" t="str">
        <f aca="false">IF($A944="","",SUMIFS(Deductions!$D$5:$D$2000,Deductions!$B$5:$B$2000,$A944,Deductions!$E$5:$E$2000,"&gt;="&amp;Settings!$B$8,Deductions!$E$5:$E$2000,"&lt;="&amp;Settings!$B$9)-O944)</f>
        <v/>
      </c>
      <c r="Q944" s="26" t="str">
        <f aca="false">IF($A944="","",O944+P944)</f>
        <v/>
      </c>
      <c r="R944" s="23" t="str">
        <f aca="false">IF($A944="","",N944-Q944)</f>
        <v/>
      </c>
      <c r="S944" s="24" t="str">
        <f aca="false">IF($A944="","",INDEX(Workers!$O$5:$O$2004,MATCH($A944,Workers!$A$5:$A$2004,0))&amp;"")</f>
        <v/>
      </c>
      <c r="T944" s="24" t="str">
        <f aca="false">IF($A944="","",INDEX(Workers!$P$5:$P$2004,MATCH($A944,Workers!$A$5:$A$2004,0))&amp;"")</f>
        <v/>
      </c>
      <c r="U944" s="24" t="str">
        <f aca="false">IF($A944="","",INDEX(Workers!$H$5:$H$2004,MATCH($A944,Workers!$A$5:$A$2004,0))&amp;"")</f>
        <v/>
      </c>
    </row>
    <row r="945" customFormat="false" ht="15" hidden="false" customHeight="false" outlineLevel="0" collapsed="false">
      <c r="A945" s="24" t="str">
        <f aca="false">IFERROR(INDEX(Workers!$A$5:$A$2004,MATCH(ROW()-4,Workers!$U$5:$U$2004,0)),"")</f>
        <v/>
      </c>
      <c r="B945" s="24" t="str">
        <f aca="false">IF($A945="","",INDEX(Workers!$B$5:$B$2004,MATCH($A945,Workers!$A$5:$A$2004,0)))</f>
        <v/>
      </c>
      <c r="C945" s="24" t="str">
        <f aca="false">IF($A945="","",INDEX(Workers!$E$5:$E$2004,MATCH($A945,Workers!$A$5:$A$2004,0)))</f>
        <v/>
      </c>
      <c r="D945" s="24" t="str">
        <f aca="false">IF($A945="","",INDEX(Workers!$K$5:$K$2004,MATCH($A945,Workers!$A$5:$A$2004,0)))</f>
        <v/>
      </c>
      <c r="E945" s="25" t="str">
        <f aca="false">IF($A945="","",SUMIFS(Timesheet!$E$5:$E$3004,Timesheet!$D$5:$D$3004,$A945,Timesheet!$A$5:$A$3004,"&gt;="&amp;Settings!$B$8,Timesheet!$A$5:$A$3004,"&lt;="&amp;Settings!$B$9))</f>
        <v/>
      </c>
      <c r="F945" s="25" t="str">
        <f aca="false">IF($A945="","",SUMIFS(Timesheet!$F$5:$F$3004,Timesheet!$D$5:$D$3004,$A945,Timesheet!$A$5:$A$3004,"&gt;="&amp;Settings!$B$8,Timesheet!$A$5:$A$3004,"&lt;="&amp;Settings!$B$9))</f>
        <v/>
      </c>
      <c r="G945" s="25" t="str">
        <f aca="false">IF($A945="","",SUMIFS(Timesheet!$G$5:$G$3004,Timesheet!$D$5:$D$3004,$A945,Timesheet!$A$5:$A$3004,"&gt;="&amp;Settings!$B$8,Timesheet!$A$5:$A$3004,"&lt;="&amp;Settings!$B$9))</f>
        <v/>
      </c>
      <c r="H945" s="25" t="str">
        <f aca="false">IF($A945="","",IF(D945="Monthly",MAX(0,Settings!$B$11-E945),0))</f>
        <v/>
      </c>
      <c r="I945" s="26" t="str">
        <f aca="false">IF($A945="","",N(INDEX(Workers!$L$5:$L$2004,MATCH($A945,Workers!$A$5:$A$2004,0))))</f>
        <v/>
      </c>
      <c r="J945" s="26" t="str">
        <f aca="false">IF($A945="","",N(INDEX(Workers!$M$5:$M$2004,MATCH($A945,Workers!$A$5:$A$2004,0))))</f>
        <v/>
      </c>
      <c r="K945" s="26" t="str">
        <f aca="false">IF($A945="","",IF(D945="Monthly",ROUND(MAX(0,(I945+J945)-(I945+J945)/Settings!$B$10*H945),2),0))</f>
        <v/>
      </c>
      <c r="L945" s="26" t="str">
        <f aca="false">IF($A945="","",IF(D945="Hourly",ROUND(F945*N(INDEX(Workers!$N$5:$N$2004,MATCH($A945,Workers!$A$5:$A$2004,0))),2),0))</f>
        <v/>
      </c>
      <c r="M945" s="26" t="str">
        <f aca="false">IF($A945="","",ROUND(G945*IF(D945="Hourly",N(INDEX(Workers!$N$5:$N$2004,MATCH($A945,Workers!$A$5:$A$2004,0))),I945/Settings!$B$10/Settings!$B$12)*Settings!$B$13,2))</f>
        <v/>
      </c>
      <c r="N945" s="26" t="str">
        <f aca="false">IF($A945="","",K945+L945+M945)</f>
        <v/>
      </c>
      <c r="O945" s="26" t="str">
        <f aca="false">IF($A945="","",SUMIFS(Deductions!$D$5:$D$2000,Deductions!$B$5:$B$2000,$A945,Deductions!$C$5:$C$2000,"Advance",Deductions!$E$5:$E$2000,"&gt;="&amp;Settings!$B$8,Deductions!$E$5:$E$2000,"&lt;="&amp;Settings!$B$9))</f>
        <v/>
      </c>
      <c r="P945" s="26" t="str">
        <f aca="false">IF($A945="","",SUMIFS(Deductions!$D$5:$D$2000,Deductions!$B$5:$B$2000,$A945,Deductions!$E$5:$E$2000,"&gt;="&amp;Settings!$B$8,Deductions!$E$5:$E$2000,"&lt;="&amp;Settings!$B$9)-O945)</f>
        <v/>
      </c>
      <c r="Q945" s="26" t="str">
        <f aca="false">IF($A945="","",O945+P945)</f>
        <v/>
      </c>
      <c r="R945" s="23" t="str">
        <f aca="false">IF($A945="","",N945-Q945)</f>
        <v/>
      </c>
      <c r="S945" s="24" t="str">
        <f aca="false">IF($A945="","",INDEX(Workers!$O$5:$O$2004,MATCH($A945,Workers!$A$5:$A$2004,0))&amp;"")</f>
        <v/>
      </c>
      <c r="T945" s="24" t="str">
        <f aca="false">IF($A945="","",INDEX(Workers!$P$5:$P$2004,MATCH($A945,Workers!$A$5:$A$2004,0))&amp;"")</f>
        <v/>
      </c>
      <c r="U945" s="24" t="str">
        <f aca="false">IF($A945="","",INDEX(Workers!$H$5:$H$2004,MATCH($A945,Workers!$A$5:$A$2004,0))&amp;"")</f>
        <v/>
      </c>
    </row>
    <row r="946" customFormat="false" ht="15" hidden="false" customHeight="false" outlineLevel="0" collapsed="false">
      <c r="A946" s="24" t="str">
        <f aca="false">IFERROR(INDEX(Workers!$A$5:$A$2004,MATCH(ROW()-4,Workers!$U$5:$U$2004,0)),"")</f>
        <v/>
      </c>
      <c r="B946" s="24" t="str">
        <f aca="false">IF($A946="","",INDEX(Workers!$B$5:$B$2004,MATCH($A946,Workers!$A$5:$A$2004,0)))</f>
        <v/>
      </c>
      <c r="C946" s="24" t="str">
        <f aca="false">IF($A946="","",INDEX(Workers!$E$5:$E$2004,MATCH($A946,Workers!$A$5:$A$2004,0)))</f>
        <v/>
      </c>
      <c r="D946" s="24" t="str">
        <f aca="false">IF($A946="","",INDEX(Workers!$K$5:$K$2004,MATCH($A946,Workers!$A$5:$A$2004,0)))</f>
        <v/>
      </c>
      <c r="E946" s="25" t="str">
        <f aca="false">IF($A946="","",SUMIFS(Timesheet!$E$5:$E$3004,Timesheet!$D$5:$D$3004,$A946,Timesheet!$A$5:$A$3004,"&gt;="&amp;Settings!$B$8,Timesheet!$A$5:$A$3004,"&lt;="&amp;Settings!$B$9))</f>
        <v/>
      </c>
      <c r="F946" s="25" t="str">
        <f aca="false">IF($A946="","",SUMIFS(Timesheet!$F$5:$F$3004,Timesheet!$D$5:$D$3004,$A946,Timesheet!$A$5:$A$3004,"&gt;="&amp;Settings!$B$8,Timesheet!$A$5:$A$3004,"&lt;="&amp;Settings!$B$9))</f>
        <v/>
      </c>
      <c r="G946" s="25" t="str">
        <f aca="false">IF($A946="","",SUMIFS(Timesheet!$G$5:$G$3004,Timesheet!$D$5:$D$3004,$A946,Timesheet!$A$5:$A$3004,"&gt;="&amp;Settings!$B$8,Timesheet!$A$5:$A$3004,"&lt;="&amp;Settings!$B$9))</f>
        <v/>
      </c>
      <c r="H946" s="25" t="str">
        <f aca="false">IF($A946="","",IF(D946="Monthly",MAX(0,Settings!$B$11-E946),0))</f>
        <v/>
      </c>
      <c r="I946" s="26" t="str">
        <f aca="false">IF($A946="","",N(INDEX(Workers!$L$5:$L$2004,MATCH($A946,Workers!$A$5:$A$2004,0))))</f>
        <v/>
      </c>
      <c r="J946" s="26" t="str">
        <f aca="false">IF($A946="","",N(INDEX(Workers!$M$5:$M$2004,MATCH($A946,Workers!$A$5:$A$2004,0))))</f>
        <v/>
      </c>
      <c r="K946" s="26" t="str">
        <f aca="false">IF($A946="","",IF(D946="Monthly",ROUND(MAX(0,(I946+J946)-(I946+J946)/Settings!$B$10*H946),2),0))</f>
        <v/>
      </c>
      <c r="L946" s="26" t="str">
        <f aca="false">IF($A946="","",IF(D946="Hourly",ROUND(F946*N(INDEX(Workers!$N$5:$N$2004,MATCH($A946,Workers!$A$5:$A$2004,0))),2),0))</f>
        <v/>
      </c>
      <c r="M946" s="26" t="str">
        <f aca="false">IF($A946="","",ROUND(G946*IF(D946="Hourly",N(INDEX(Workers!$N$5:$N$2004,MATCH($A946,Workers!$A$5:$A$2004,0))),I946/Settings!$B$10/Settings!$B$12)*Settings!$B$13,2))</f>
        <v/>
      </c>
      <c r="N946" s="26" t="str">
        <f aca="false">IF($A946="","",K946+L946+M946)</f>
        <v/>
      </c>
      <c r="O946" s="26" t="str">
        <f aca="false">IF($A946="","",SUMIFS(Deductions!$D$5:$D$2000,Deductions!$B$5:$B$2000,$A946,Deductions!$C$5:$C$2000,"Advance",Deductions!$E$5:$E$2000,"&gt;="&amp;Settings!$B$8,Deductions!$E$5:$E$2000,"&lt;="&amp;Settings!$B$9))</f>
        <v/>
      </c>
      <c r="P946" s="26" t="str">
        <f aca="false">IF($A946="","",SUMIFS(Deductions!$D$5:$D$2000,Deductions!$B$5:$B$2000,$A946,Deductions!$E$5:$E$2000,"&gt;="&amp;Settings!$B$8,Deductions!$E$5:$E$2000,"&lt;="&amp;Settings!$B$9)-O946)</f>
        <v/>
      </c>
      <c r="Q946" s="26" t="str">
        <f aca="false">IF($A946="","",O946+P946)</f>
        <v/>
      </c>
      <c r="R946" s="23" t="str">
        <f aca="false">IF($A946="","",N946-Q946)</f>
        <v/>
      </c>
      <c r="S946" s="24" t="str">
        <f aca="false">IF($A946="","",INDEX(Workers!$O$5:$O$2004,MATCH($A946,Workers!$A$5:$A$2004,0))&amp;"")</f>
        <v/>
      </c>
      <c r="T946" s="24" t="str">
        <f aca="false">IF($A946="","",INDEX(Workers!$P$5:$P$2004,MATCH($A946,Workers!$A$5:$A$2004,0))&amp;"")</f>
        <v/>
      </c>
      <c r="U946" s="24" t="str">
        <f aca="false">IF($A946="","",INDEX(Workers!$H$5:$H$2004,MATCH($A946,Workers!$A$5:$A$2004,0))&amp;"")</f>
        <v/>
      </c>
    </row>
    <row r="947" customFormat="false" ht="15" hidden="false" customHeight="false" outlineLevel="0" collapsed="false">
      <c r="A947" s="24" t="str">
        <f aca="false">IFERROR(INDEX(Workers!$A$5:$A$2004,MATCH(ROW()-4,Workers!$U$5:$U$2004,0)),"")</f>
        <v/>
      </c>
      <c r="B947" s="24" t="str">
        <f aca="false">IF($A947="","",INDEX(Workers!$B$5:$B$2004,MATCH($A947,Workers!$A$5:$A$2004,0)))</f>
        <v/>
      </c>
      <c r="C947" s="24" t="str">
        <f aca="false">IF($A947="","",INDEX(Workers!$E$5:$E$2004,MATCH($A947,Workers!$A$5:$A$2004,0)))</f>
        <v/>
      </c>
      <c r="D947" s="24" t="str">
        <f aca="false">IF($A947="","",INDEX(Workers!$K$5:$K$2004,MATCH($A947,Workers!$A$5:$A$2004,0)))</f>
        <v/>
      </c>
      <c r="E947" s="25" t="str">
        <f aca="false">IF($A947="","",SUMIFS(Timesheet!$E$5:$E$3004,Timesheet!$D$5:$D$3004,$A947,Timesheet!$A$5:$A$3004,"&gt;="&amp;Settings!$B$8,Timesheet!$A$5:$A$3004,"&lt;="&amp;Settings!$B$9))</f>
        <v/>
      </c>
      <c r="F947" s="25" t="str">
        <f aca="false">IF($A947="","",SUMIFS(Timesheet!$F$5:$F$3004,Timesheet!$D$5:$D$3004,$A947,Timesheet!$A$5:$A$3004,"&gt;="&amp;Settings!$B$8,Timesheet!$A$5:$A$3004,"&lt;="&amp;Settings!$B$9))</f>
        <v/>
      </c>
      <c r="G947" s="25" t="str">
        <f aca="false">IF($A947="","",SUMIFS(Timesheet!$G$5:$G$3004,Timesheet!$D$5:$D$3004,$A947,Timesheet!$A$5:$A$3004,"&gt;="&amp;Settings!$B$8,Timesheet!$A$5:$A$3004,"&lt;="&amp;Settings!$B$9))</f>
        <v/>
      </c>
      <c r="H947" s="25" t="str">
        <f aca="false">IF($A947="","",IF(D947="Monthly",MAX(0,Settings!$B$11-E947),0))</f>
        <v/>
      </c>
      <c r="I947" s="26" t="str">
        <f aca="false">IF($A947="","",N(INDEX(Workers!$L$5:$L$2004,MATCH($A947,Workers!$A$5:$A$2004,0))))</f>
        <v/>
      </c>
      <c r="J947" s="26" t="str">
        <f aca="false">IF($A947="","",N(INDEX(Workers!$M$5:$M$2004,MATCH($A947,Workers!$A$5:$A$2004,0))))</f>
        <v/>
      </c>
      <c r="K947" s="26" t="str">
        <f aca="false">IF($A947="","",IF(D947="Monthly",ROUND(MAX(0,(I947+J947)-(I947+J947)/Settings!$B$10*H947),2),0))</f>
        <v/>
      </c>
      <c r="L947" s="26" t="str">
        <f aca="false">IF($A947="","",IF(D947="Hourly",ROUND(F947*N(INDEX(Workers!$N$5:$N$2004,MATCH($A947,Workers!$A$5:$A$2004,0))),2),0))</f>
        <v/>
      </c>
      <c r="M947" s="26" t="str">
        <f aca="false">IF($A947="","",ROUND(G947*IF(D947="Hourly",N(INDEX(Workers!$N$5:$N$2004,MATCH($A947,Workers!$A$5:$A$2004,0))),I947/Settings!$B$10/Settings!$B$12)*Settings!$B$13,2))</f>
        <v/>
      </c>
      <c r="N947" s="26" t="str">
        <f aca="false">IF($A947="","",K947+L947+M947)</f>
        <v/>
      </c>
      <c r="O947" s="26" t="str">
        <f aca="false">IF($A947="","",SUMIFS(Deductions!$D$5:$D$2000,Deductions!$B$5:$B$2000,$A947,Deductions!$C$5:$C$2000,"Advance",Deductions!$E$5:$E$2000,"&gt;="&amp;Settings!$B$8,Deductions!$E$5:$E$2000,"&lt;="&amp;Settings!$B$9))</f>
        <v/>
      </c>
      <c r="P947" s="26" t="str">
        <f aca="false">IF($A947="","",SUMIFS(Deductions!$D$5:$D$2000,Deductions!$B$5:$B$2000,$A947,Deductions!$E$5:$E$2000,"&gt;="&amp;Settings!$B$8,Deductions!$E$5:$E$2000,"&lt;="&amp;Settings!$B$9)-O947)</f>
        <v/>
      </c>
      <c r="Q947" s="26" t="str">
        <f aca="false">IF($A947="","",O947+P947)</f>
        <v/>
      </c>
      <c r="R947" s="23" t="str">
        <f aca="false">IF($A947="","",N947-Q947)</f>
        <v/>
      </c>
      <c r="S947" s="24" t="str">
        <f aca="false">IF($A947="","",INDEX(Workers!$O$5:$O$2004,MATCH($A947,Workers!$A$5:$A$2004,0))&amp;"")</f>
        <v/>
      </c>
      <c r="T947" s="24" t="str">
        <f aca="false">IF($A947="","",INDEX(Workers!$P$5:$P$2004,MATCH($A947,Workers!$A$5:$A$2004,0))&amp;"")</f>
        <v/>
      </c>
      <c r="U947" s="24" t="str">
        <f aca="false">IF($A947="","",INDEX(Workers!$H$5:$H$2004,MATCH($A947,Workers!$A$5:$A$2004,0))&amp;"")</f>
        <v/>
      </c>
    </row>
    <row r="948" customFormat="false" ht="15" hidden="false" customHeight="false" outlineLevel="0" collapsed="false">
      <c r="A948" s="24" t="str">
        <f aca="false">IFERROR(INDEX(Workers!$A$5:$A$2004,MATCH(ROW()-4,Workers!$U$5:$U$2004,0)),"")</f>
        <v/>
      </c>
      <c r="B948" s="24" t="str">
        <f aca="false">IF($A948="","",INDEX(Workers!$B$5:$B$2004,MATCH($A948,Workers!$A$5:$A$2004,0)))</f>
        <v/>
      </c>
      <c r="C948" s="24" t="str">
        <f aca="false">IF($A948="","",INDEX(Workers!$E$5:$E$2004,MATCH($A948,Workers!$A$5:$A$2004,0)))</f>
        <v/>
      </c>
      <c r="D948" s="24" t="str">
        <f aca="false">IF($A948="","",INDEX(Workers!$K$5:$K$2004,MATCH($A948,Workers!$A$5:$A$2004,0)))</f>
        <v/>
      </c>
      <c r="E948" s="25" t="str">
        <f aca="false">IF($A948="","",SUMIFS(Timesheet!$E$5:$E$3004,Timesheet!$D$5:$D$3004,$A948,Timesheet!$A$5:$A$3004,"&gt;="&amp;Settings!$B$8,Timesheet!$A$5:$A$3004,"&lt;="&amp;Settings!$B$9))</f>
        <v/>
      </c>
      <c r="F948" s="25" t="str">
        <f aca="false">IF($A948="","",SUMIFS(Timesheet!$F$5:$F$3004,Timesheet!$D$5:$D$3004,$A948,Timesheet!$A$5:$A$3004,"&gt;="&amp;Settings!$B$8,Timesheet!$A$5:$A$3004,"&lt;="&amp;Settings!$B$9))</f>
        <v/>
      </c>
      <c r="G948" s="25" t="str">
        <f aca="false">IF($A948="","",SUMIFS(Timesheet!$G$5:$G$3004,Timesheet!$D$5:$D$3004,$A948,Timesheet!$A$5:$A$3004,"&gt;="&amp;Settings!$B$8,Timesheet!$A$5:$A$3004,"&lt;="&amp;Settings!$B$9))</f>
        <v/>
      </c>
      <c r="H948" s="25" t="str">
        <f aca="false">IF($A948="","",IF(D948="Monthly",MAX(0,Settings!$B$11-E948),0))</f>
        <v/>
      </c>
      <c r="I948" s="26" t="str">
        <f aca="false">IF($A948="","",N(INDEX(Workers!$L$5:$L$2004,MATCH($A948,Workers!$A$5:$A$2004,0))))</f>
        <v/>
      </c>
      <c r="J948" s="26" t="str">
        <f aca="false">IF($A948="","",N(INDEX(Workers!$M$5:$M$2004,MATCH($A948,Workers!$A$5:$A$2004,0))))</f>
        <v/>
      </c>
      <c r="K948" s="26" t="str">
        <f aca="false">IF($A948="","",IF(D948="Monthly",ROUND(MAX(0,(I948+J948)-(I948+J948)/Settings!$B$10*H948),2),0))</f>
        <v/>
      </c>
      <c r="L948" s="26" t="str">
        <f aca="false">IF($A948="","",IF(D948="Hourly",ROUND(F948*N(INDEX(Workers!$N$5:$N$2004,MATCH($A948,Workers!$A$5:$A$2004,0))),2),0))</f>
        <v/>
      </c>
      <c r="M948" s="26" t="str">
        <f aca="false">IF($A948="","",ROUND(G948*IF(D948="Hourly",N(INDEX(Workers!$N$5:$N$2004,MATCH($A948,Workers!$A$5:$A$2004,0))),I948/Settings!$B$10/Settings!$B$12)*Settings!$B$13,2))</f>
        <v/>
      </c>
      <c r="N948" s="26" t="str">
        <f aca="false">IF($A948="","",K948+L948+M948)</f>
        <v/>
      </c>
      <c r="O948" s="26" t="str">
        <f aca="false">IF($A948="","",SUMIFS(Deductions!$D$5:$D$2000,Deductions!$B$5:$B$2000,$A948,Deductions!$C$5:$C$2000,"Advance",Deductions!$E$5:$E$2000,"&gt;="&amp;Settings!$B$8,Deductions!$E$5:$E$2000,"&lt;="&amp;Settings!$B$9))</f>
        <v/>
      </c>
      <c r="P948" s="26" t="str">
        <f aca="false">IF($A948="","",SUMIFS(Deductions!$D$5:$D$2000,Deductions!$B$5:$B$2000,$A948,Deductions!$E$5:$E$2000,"&gt;="&amp;Settings!$B$8,Deductions!$E$5:$E$2000,"&lt;="&amp;Settings!$B$9)-O948)</f>
        <v/>
      </c>
      <c r="Q948" s="26" t="str">
        <f aca="false">IF($A948="","",O948+P948)</f>
        <v/>
      </c>
      <c r="R948" s="23" t="str">
        <f aca="false">IF($A948="","",N948-Q948)</f>
        <v/>
      </c>
      <c r="S948" s="24" t="str">
        <f aca="false">IF($A948="","",INDEX(Workers!$O$5:$O$2004,MATCH($A948,Workers!$A$5:$A$2004,0))&amp;"")</f>
        <v/>
      </c>
      <c r="T948" s="24" t="str">
        <f aca="false">IF($A948="","",INDEX(Workers!$P$5:$P$2004,MATCH($A948,Workers!$A$5:$A$2004,0))&amp;"")</f>
        <v/>
      </c>
      <c r="U948" s="24" t="str">
        <f aca="false">IF($A948="","",INDEX(Workers!$H$5:$H$2004,MATCH($A948,Workers!$A$5:$A$2004,0))&amp;"")</f>
        <v/>
      </c>
    </row>
    <row r="949" customFormat="false" ht="15" hidden="false" customHeight="false" outlineLevel="0" collapsed="false">
      <c r="A949" s="24" t="str">
        <f aca="false">IFERROR(INDEX(Workers!$A$5:$A$2004,MATCH(ROW()-4,Workers!$U$5:$U$2004,0)),"")</f>
        <v/>
      </c>
      <c r="B949" s="24" t="str">
        <f aca="false">IF($A949="","",INDEX(Workers!$B$5:$B$2004,MATCH($A949,Workers!$A$5:$A$2004,0)))</f>
        <v/>
      </c>
      <c r="C949" s="24" t="str">
        <f aca="false">IF($A949="","",INDEX(Workers!$E$5:$E$2004,MATCH($A949,Workers!$A$5:$A$2004,0)))</f>
        <v/>
      </c>
      <c r="D949" s="24" t="str">
        <f aca="false">IF($A949="","",INDEX(Workers!$K$5:$K$2004,MATCH($A949,Workers!$A$5:$A$2004,0)))</f>
        <v/>
      </c>
      <c r="E949" s="25" t="str">
        <f aca="false">IF($A949="","",SUMIFS(Timesheet!$E$5:$E$3004,Timesheet!$D$5:$D$3004,$A949,Timesheet!$A$5:$A$3004,"&gt;="&amp;Settings!$B$8,Timesheet!$A$5:$A$3004,"&lt;="&amp;Settings!$B$9))</f>
        <v/>
      </c>
      <c r="F949" s="25" t="str">
        <f aca="false">IF($A949="","",SUMIFS(Timesheet!$F$5:$F$3004,Timesheet!$D$5:$D$3004,$A949,Timesheet!$A$5:$A$3004,"&gt;="&amp;Settings!$B$8,Timesheet!$A$5:$A$3004,"&lt;="&amp;Settings!$B$9))</f>
        <v/>
      </c>
      <c r="G949" s="25" t="str">
        <f aca="false">IF($A949="","",SUMIFS(Timesheet!$G$5:$G$3004,Timesheet!$D$5:$D$3004,$A949,Timesheet!$A$5:$A$3004,"&gt;="&amp;Settings!$B$8,Timesheet!$A$5:$A$3004,"&lt;="&amp;Settings!$B$9))</f>
        <v/>
      </c>
      <c r="H949" s="25" t="str">
        <f aca="false">IF($A949="","",IF(D949="Monthly",MAX(0,Settings!$B$11-E949),0))</f>
        <v/>
      </c>
      <c r="I949" s="26" t="str">
        <f aca="false">IF($A949="","",N(INDEX(Workers!$L$5:$L$2004,MATCH($A949,Workers!$A$5:$A$2004,0))))</f>
        <v/>
      </c>
      <c r="J949" s="26" t="str">
        <f aca="false">IF($A949="","",N(INDEX(Workers!$M$5:$M$2004,MATCH($A949,Workers!$A$5:$A$2004,0))))</f>
        <v/>
      </c>
      <c r="K949" s="26" t="str">
        <f aca="false">IF($A949="","",IF(D949="Monthly",ROUND(MAX(0,(I949+J949)-(I949+J949)/Settings!$B$10*H949),2),0))</f>
        <v/>
      </c>
      <c r="L949" s="26" t="str">
        <f aca="false">IF($A949="","",IF(D949="Hourly",ROUND(F949*N(INDEX(Workers!$N$5:$N$2004,MATCH($A949,Workers!$A$5:$A$2004,0))),2),0))</f>
        <v/>
      </c>
      <c r="M949" s="26" t="str">
        <f aca="false">IF($A949="","",ROUND(G949*IF(D949="Hourly",N(INDEX(Workers!$N$5:$N$2004,MATCH($A949,Workers!$A$5:$A$2004,0))),I949/Settings!$B$10/Settings!$B$12)*Settings!$B$13,2))</f>
        <v/>
      </c>
      <c r="N949" s="26" t="str">
        <f aca="false">IF($A949="","",K949+L949+M949)</f>
        <v/>
      </c>
      <c r="O949" s="26" t="str">
        <f aca="false">IF($A949="","",SUMIFS(Deductions!$D$5:$D$2000,Deductions!$B$5:$B$2000,$A949,Deductions!$C$5:$C$2000,"Advance",Deductions!$E$5:$E$2000,"&gt;="&amp;Settings!$B$8,Deductions!$E$5:$E$2000,"&lt;="&amp;Settings!$B$9))</f>
        <v/>
      </c>
      <c r="P949" s="26" t="str">
        <f aca="false">IF($A949="","",SUMIFS(Deductions!$D$5:$D$2000,Deductions!$B$5:$B$2000,$A949,Deductions!$E$5:$E$2000,"&gt;="&amp;Settings!$B$8,Deductions!$E$5:$E$2000,"&lt;="&amp;Settings!$B$9)-O949)</f>
        <v/>
      </c>
      <c r="Q949" s="26" t="str">
        <f aca="false">IF($A949="","",O949+P949)</f>
        <v/>
      </c>
      <c r="R949" s="23" t="str">
        <f aca="false">IF($A949="","",N949-Q949)</f>
        <v/>
      </c>
      <c r="S949" s="24" t="str">
        <f aca="false">IF($A949="","",INDEX(Workers!$O$5:$O$2004,MATCH($A949,Workers!$A$5:$A$2004,0))&amp;"")</f>
        <v/>
      </c>
      <c r="T949" s="24" t="str">
        <f aca="false">IF($A949="","",INDEX(Workers!$P$5:$P$2004,MATCH($A949,Workers!$A$5:$A$2004,0))&amp;"")</f>
        <v/>
      </c>
      <c r="U949" s="24" t="str">
        <f aca="false">IF($A949="","",INDEX(Workers!$H$5:$H$2004,MATCH($A949,Workers!$A$5:$A$2004,0))&amp;"")</f>
        <v/>
      </c>
    </row>
    <row r="950" customFormat="false" ht="15" hidden="false" customHeight="false" outlineLevel="0" collapsed="false">
      <c r="A950" s="24" t="str">
        <f aca="false">IFERROR(INDEX(Workers!$A$5:$A$2004,MATCH(ROW()-4,Workers!$U$5:$U$2004,0)),"")</f>
        <v/>
      </c>
      <c r="B950" s="24" t="str">
        <f aca="false">IF($A950="","",INDEX(Workers!$B$5:$B$2004,MATCH($A950,Workers!$A$5:$A$2004,0)))</f>
        <v/>
      </c>
      <c r="C950" s="24" t="str">
        <f aca="false">IF($A950="","",INDEX(Workers!$E$5:$E$2004,MATCH($A950,Workers!$A$5:$A$2004,0)))</f>
        <v/>
      </c>
      <c r="D950" s="24" t="str">
        <f aca="false">IF($A950="","",INDEX(Workers!$K$5:$K$2004,MATCH($A950,Workers!$A$5:$A$2004,0)))</f>
        <v/>
      </c>
      <c r="E950" s="25" t="str">
        <f aca="false">IF($A950="","",SUMIFS(Timesheet!$E$5:$E$3004,Timesheet!$D$5:$D$3004,$A950,Timesheet!$A$5:$A$3004,"&gt;="&amp;Settings!$B$8,Timesheet!$A$5:$A$3004,"&lt;="&amp;Settings!$B$9))</f>
        <v/>
      </c>
      <c r="F950" s="25" t="str">
        <f aca="false">IF($A950="","",SUMIFS(Timesheet!$F$5:$F$3004,Timesheet!$D$5:$D$3004,$A950,Timesheet!$A$5:$A$3004,"&gt;="&amp;Settings!$B$8,Timesheet!$A$5:$A$3004,"&lt;="&amp;Settings!$B$9))</f>
        <v/>
      </c>
      <c r="G950" s="25" t="str">
        <f aca="false">IF($A950="","",SUMIFS(Timesheet!$G$5:$G$3004,Timesheet!$D$5:$D$3004,$A950,Timesheet!$A$5:$A$3004,"&gt;="&amp;Settings!$B$8,Timesheet!$A$5:$A$3004,"&lt;="&amp;Settings!$B$9))</f>
        <v/>
      </c>
      <c r="H950" s="25" t="str">
        <f aca="false">IF($A950="","",IF(D950="Monthly",MAX(0,Settings!$B$11-E950),0))</f>
        <v/>
      </c>
      <c r="I950" s="26" t="str">
        <f aca="false">IF($A950="","",N(INDEX(Workers!$L$5:$L$2004,MATCH($A950,Workers!$A$5:$A$2004,0))))</f>
        <v/>
      </c>
      <c r="J950" s="26" t="str">
        <f aca="false">IF($A950="","",N(INDEX(Workers!$M$5:$M$2004,MATCH($A950,Workers!$A$5:$A$2004,0))))</f>
        <v/>
      </c>
      <c r="K950" s="26" t="str">
        <f aca="false">IF($A950="","",IF(D950="Monthly",ROUND(MAX(0,(I950+J950)-(I950+J950)/Settings!$B$10*H950),2),0))</f>
        <v/>
      </c>
      <c r="L950" s="26" t="str">
        <f aca="false">IF($A950="","",IF(D950="Hourly",ROUND(F950*N(INDEX(Workers!$N$5:$N$2004,MATCH($A950,Workers!$A$5:$A$2004,0))),2),0))</f>
        <v/>
      </c>
      <c r="M950" s="26" t="str">
        <f aca="false">IF($A950="","",ROUND(G950*IF(D950="Hourly",N(INDEX(Workers!$N$5:$N$2004,MATCH($A950,Workers!$A$5:$A$2004,0))),I950/Settings!$B$10/Settings!$B$12)*Settings!$B$13,2))</f>
        <v/>
      </c>
      <c r="N950" s="26" t="str">
        <f aca="false">IF($A950="","",K950+L950+M950)</f>
        <v/>
      </c>
      <c r="O950" s="26" t="str">
        <f aca="false">IF($A950="","",SUMIFS(Deductions!$D$5:$D$2000,Deductions!$B$5:$B$2000,$A950,Deductions!$C$5:$C$2000,"Advance",Deductions!$E$5:$E$2000,"&gt;="&amp;Settings!$B$8,Deductions!$E$5:$E$2000,"&lt;="&amp;Settings!$B$9))</f>
        <v/>
      </c>
      <c r="P950" s="26" t="str">
        <f aca="false">IF($A950="","",SUMIFS(Deductions!$D$5:$D$2000,Deductions!$B$5:$B$2000,$A950,Deductions!$E$5:$E$2000,"&gt;="&amp;Settings!$B$8,Deductions!$E$5:$E$2000,"&lt;="&amp;Settings!$B$9)-O950)</f>
        <v/>
      </c>
      <c r="Q950" s="26" t="str">
        <f aca="false">IF($A950="","",O950+P950)</f>
        <v/>
      </c>
      <c r="R950" s="23" t="str">
        <f aca="false">IF($A950="","",N950-Q950)</f>
        <v/>
      </c>
      <c r="S950" s="24" t="str">
        <f aca="false">IF($A950="","",INDEX(Workers!$O$5:$O$2004,MATCH($A950,Workers!$A$5:$A$2004,0))&amp;"")</f>
        <v/>
      </c>
      <c r="T950" s="24" t="str">
        <f aca="false">IF($A950="","",INDEX(Workers!$P$5:$P$2004,MATCH($A950,Workers!$A$5:$A$2004,0))&amp;"")</f>
        <v/>
      </c>
      <c r="U950" s="24" t="str">
        <f aca="false">IF($A950="","",INDEX(Workers!$H$5:$H$2004,MATCH($A950,Workers!$A$5:$A$2004,0))&amp;"")</f>
        <v/>
      </c>
    </row>
    <row r="951" customFormat="false" ht="15" hidden="false" customHeight="false" outlineLevel="0" collapsed="false">
      <c r="A951" s="24" t="str">
        <f aca="false">IFERROR(INDEX(Workers!$A$5:$A$2004,MATCH(ROW()-4,Workers!$U$5:$U$2004,0)),"")</f>
        <v/>
      </c>
      <c r="B951" s="24" t="str">
        <f aca="false">IF($A951="","",INDEX(Workers!$B$5:$B$2004,MATCH($A951,Workers!$A$5:$A$2004,0)))</f>
        <v/>
      </c>
      <c r="C951" s="24" t="str">
        <f aca="false">IF($A951="","",INDEX(Workers!$E$5:$E$2004,MATCH($A951,Workers!$A$5:$A$2004,0)))</f>
        <v/>
      </c>
      <c r="D951" s="24" t="str">
        <f aca="false">IF($A951="","",INDEX(Workers!$K$5:$K$2004,MATCH($A951,Workers!$A$5:$A$2004,0)))</f>
        <v/>
      </c>
      <c r="E951" s="25" t="str">
        <f aca="false">IF($A951="","",SUMIFS(Timesheet!$E$5:$E$3004,Timesheet!$D$5:$D$3004,$A951,Timesheet!$A$5:$A$3004,"&gt;="&amp;Settings!$B$8,Timesheet!$A$5:$A$3004,"&lt;="&amp;Settings!$B$9))</f>
        <v/>
      </c>
      <c r="F951" s="25" t="str">
        <f aca="false">IF($A951="","",SUMIFS(Timesheet!$F$5:$F$3004,Timesheet!$D$5:$D$3004,$A951,Timesheet!$A$5:$A$3004,"&gt;="&amp;Settings!$B$8,Timesheet!$A$5:$A$3004,"&lt;="&amp;Settings!$B$9))</f>
        <v/>
      </c>
      <c r="G951" s="25" t="str">
        <f aca="false">IF($A951="","",SUMIFS(Timesheet!$G$5:$G$3004,Timesheet!$D$5:$D$3004,$A951,Timesheet!$A$5:$A$3004,"&gt;="&amp;Settings!$B$8,Timesheet!$A$5:$A$3004,"&lt;="&amp;Settings!$B$9))</f>
        <v/>
      </c>
      <c r="H951" s="25" t="str">
        <f aca="false">IF($A951="","",IF(D951="Monthly",MAX(0,Settings!$B$11-E951),0))</f>
        <v/>
      </c>
      <c r="I951" s="26" t="str">
        <f aca="false">IF($A951="","",N(INDEX(Workers!$L$5:$L$2004,MATCH($A951,Workers!$A$5:$A$2004,0))))</f>
        <v/>
      </c>
      <c r="J951" s="26" t="str">
        <f aca="false">IF($A951="","",N(INDEX(Workers!$M$5:$M$2004,MATCH($A951,Workers!$A$5:$A$2004,0))))</f>
        <v/>
      </c>
      <c r="K951" s="26" t="str">
        <f aca="false">IF($A951="","",IF(D951="Monthly",ROUND(MAX(0,(I951+J951)-(I951+J951)/Settings!$B$10*H951),2),0))</f>
        <v/>
      </c>
      <c r="L951" s="26" t="str">
        <f aca="false">IF($A951="","",IF(D951="Hourly",ROUND(F951*N(INDEX(Workers!$N$5:$N$2004,MATCH($A951,Workers!$A$5:$A$2004,0))),2),0))</f>
        <v/>
      </c>
      <c r="M951" s="26" t="str">
        <f aca="false">IF($A951="","",ROUND(G951*IF(D951="Hourly",N(INDEX(Workers!$N$5:$N$2004,MATCH($A951,Workers!$A$5:$A$2004,0))),I951/Settings!$B$10/Settings!$B$12)*Settings!$B$13,2))</f>
        <v/>
      </c>
      <c r="N951" s="26" t="str">
        <f aca="false">IF($A951="","",K951+L951+M951)</f>
        <v/>
      </c>
      <c r="O951" s="26" t="str">
        <f aca="false">IF($A951="","",SUMIFS(Deductions!$D$5:$D$2000,Deductions!$B$5:$B$2000,$A951,Deductions!$C$5:$C$2000,"Advance",Deductions!$E$5:$E$2000,"&gt;="&amp;Settings!$B$8,Deductions!$E$5:$E$2000,"&lt;="&amp;Settings!$B$9))</f>
        <v/>
      </c>
      <c r="P951" s="26" t="str">
        <f aca="false">IF($A951="","",SUMIFS(Deductions!$D$5:$D$2000,Deductions!$B$5:$B$2000,$A951,Deductions!$E$5:$E$2000,"&gt;="&amp;Settings!$B$8,Deductions!$E$5:$E$2000,"&lt;="&amp;Settings!$B$9)-O951)</f>
        <v/>
      </c>
      <c r="Q951" s="26" t="str">
        <f aca="false">IF($A951="","",O951+P951)</f>
        <v/>
      </c>
      <c r="R951" s="23" t="str">
        <f aca="false">IF($A951="","",N951-Q951)</f>
        <v/>
      </c>
      <c r="S951" s="24" t="str">
        <f aca="false">IF($A951="","",INDEX(Workers!$O$5:$O$2004,MATCH($A951,Workers!$A$5:$A$2004,0))&amp;"")</f>
        <v/>
      </c>
      <c r="T951" s="24" t="str">
        <f aca="false">IF($A951="","",INDEX(Workers!$P$5:$P$2004,MATCH($A951,Workers!$A$5:$A$2004,0))&amp;"")</f>
        <v/>
      </c>
      <c r="U951" s="24" t="str">
        <f aca="false">IF($A951="","",INDEX(Workers!$H$5:$H$2004,MATCH($A951,Workers!$A$5:$A$2004,0))&amp;"")</f>
        <v/>
      </c>
    </row>
    <row r="952" customFormat="false" ht="15" hidden="false" customHeight="false" outlineLevel="0" collapsed="false">
      <c r="A952" s="24" t="str">
        <f aca="false">IFERROR(INDEX(Workers!$A$5:$A$2004,MATCH(ROW()-4,Workers!$U$5:$U$2004,0)),"")</f>
        <v/>
      </c>
      <c r="B952" s="24" t="str">
        <f aca="false">IF($A952="","",INDEX(Workers!$B$5:$B$2004,MATCH($A952,Workers!$A$5:$A$2004,0)))</f>
        <v/>
      </c>
      <c r="C952" s="24" t="str">
        <f aca="false">IF($A952="","",INDEX(Workers!$E$5:$E$2004,MATCH($A952,Workers!$A$5:$A$2004,0)))</f>
        <v/>
      </c>
      <c r="D952" s="24" t="str">
        <f aca="false">IF($A952="","",INDEX(Workers!$K$5:$K$2004,MATCH($A952,Workers!$A$5:$A$2004,0)))</f>
        <v/>
      </c>
      <c r="E952" s="25" t="str">
        <f aca="false">IF($A952="","",SUMIFS(Timesheet!$E$5:$E$3004,Timesheet!$D$5:$D$3004,$A952,Timesheet!$A$5:$A$3004,"&gt;="&amp;Settings!$B$8,Timesheet!$A$5:$A$3004,"&lt;="&amp;Settings!$B$9))</f>
        <v/>
      </c>
      <c r="F952" s="25" t="str">
        <f aca="false">IF($A952="","",SUMIFS(Timesheet!$F$5:$F$3004,Timesheet!$D$5:$D$3004,$A952,Timesheet!$A$5:$A$3004,"&gt;="&amp;Settings!$B$8,Timesheet!$A$5:$A$3004,"&lt;="&amp;Settings!$B$9))</f>
        <v/>
      </c>
      <c r="G952" s="25" t="str">
        <f aca="false">IF($A952="","",SUMIFS(Timesheet!$G$5:$G$3004,Timesheet!$D$5:$D$3004,$A952,Timesheet!$A$5:$A$3004,"&gt;="&amp;Settings!$B$8,Timesheet!$A$5:$A$3004,"&lt;="&amp;Settings!$B$9))</f>
        <v/>
      </c>
      <c r="H952" s="25" t="str">
        <f aca="false">IF($A952="","",IF(D952="Monthly",MAX(0,Settings!$B$11-E952),0))</f>
        <v/>
      </c>
      <c r="I952" s="26" t="str">
        <f aca="false">IF($A952="","",N(INDEX(Workers!$L$5:$L$2004,MATCH($A952,Workers!$A$5:$A$2004,0))))</f>
        <v/>
      </c>
      <c r="J952" s="26" t="str">
        <f aca="false">IF($A952="","",N(INDEX(Workers!$M$5:$M$2004,MATCH($A952,Workers!$A$5:$A$2004,0))))</f>
        <v/>
      </c>
      <c r="K952" s="26" t="str">
        <f aca="false">IF($A952="","",IF(D952="Monthly",ROUND(MAX(0,(I952+J952)-(I952+J952)/Settings!$B$10*H952),2),0))</f>
        <v/>
      </c>
      <c r="L952" s="26" t="str">
        <f aca="false">IF($A952="","",IF(D952="Hourly",ROUND(F952*N(INDEX(Workers!$N$5:$N$2004,MATCH($A952,Workers!$A$5:$A$2004,0))),2),0))</f>
        <v/>
      </c>
      <c r="M952" s="26" t="str">
        <f aca="false">IF($A952="","",ROUND(G952*IF(D952="Hourly",N(INDEX(Workers!$N$5:$N$2004,MATCH($A952,Workers!$A$5:$A$2004,0))),I952/Settings!$B$10/Settings!$B$12)*Settings!$B$13,2))</f>
        <v/>
      </c>
      <c r="N952" s="26" t="str">
        <f aca="false">IF($A952="","",K952+L952+M952)</f>
        <v/>
      </c>
      <c r="O952" s="26" t="str">
        <f aca="false">IF($A952="","",SUMIFS(Deductions!$D$5:$D$2000,Deductions!$B$5:$B$2000,$A952,Deductions!$C$5:$C$2000,"Advance",Deductions!$E$5:$E$2000,"&gt;="&amp;Settings!$B$8,Deductions!$E$5:$E$2000,"&lt;="&amp;Settings!$B$9))</f>
        <v/>
      </c>
      <c r="P952" s="26" t="str">
        <f aca="false">IF($A952="","",SUMIFS(Deductions!$D$5:$D$2000,Deductions!$B$5:$B$2000,$A952,Deductions!$E$5:$E$2000,"&gt;="&amp;Settings!$B$8,Deductions!$E$5:$E$2000,"&lt;="&amp;Settings!$B$9)-O952)</f>
        <v/>
      </c>
      <c r="Q952" s="26" t="str">
        <f aca="false">IF($A952="","",O952+P952)</f>
        <v/>
      </c>
      <c r="R952" s="23" t="str">
        <f aca="false">IF($A952="","",N952-Q952)</f>
        <v/>
      </c>
      <c r="S952" s="24" t="str">
        <f aca="false">IF($A952="","",INDEX(Workers!$O$5:$O$2004,MATCH($A952,Workers!$A$5:$A$2004,0))&amp;"")</f>
        <v/>
      </c>
      <c r="T952" s="24" t="str">
        <f aca="false">IF($A952="","",INDEX(Workers!$P$5:$P$2004,MATCH($A952,Workers!$A$5:$A$2004,0))&amp;"")</f>
        <v/>
      </c>
      <c r="U952" s="24" t="str">
        <f aca="false">IF($A952="","",INDEX(Workers!$H$5:$H$2004,MATCH($A952,Workers!$A$5:$A$2004,0))&amp;"")</f>
        <v/>
      </c>
    </row>
    <row r="953" customFormat="false" ht="15" hidden="false" customHeight="false" outlineLevel="0" collapsed="false">
      <c r="A953" s="24" t="str">
        <f aca="false">IFERROR(INDEX(Workers!$A$5:$A$2004,MATCH(ROW()-4,Workers!$U$5:$U$2004,0)),"")</f>
        <v/>
      </c>
      <c r="B953" s="24" t="str">
        <f aca="false">IF($A953="","",INDEX(Workers!$B$5:$B$2004,MATCH($A953,Workers!$A$5:$A$2004,0)))</f>
        <v/>
      </c>
      <c r="C953" s="24" t="str">
        <f aca="false">IF($A953="","",INDEX(Workers!$E$5:$E$2004,MATCH($A953,Workers!$A$5:$A$2004,0)))</f>
        <v/>
      </c>
      <c r="D953" s="24" t="str">
        <f aca="false">IF($A953="","",INDEX(Workers!$K$5:$K$2004,MATCH($A953,Workers!$A$5:$A$2004,0)))</f>
        <v/>
      </c>
      <c r="E953" s="25" t="str">
        <f aca="false">IF($A953="","",SUMIFS(Timesheet!$E$5:$E$3004,Timesheet!$D$5:$D$3004,$A953,Timesheet!$A$5:$A$3004,"&gt;="&amp;Settings!$B$8,Timesheet!$A$5:$A$3004,"&lt;="&amp;Settings!$B$9))</f>
        <v/>
      </c>
      <c r="F953" s="25" t="str">
        <f aca="false">IF($A953="","",SUMIFS(Timesheet!$F$5:$F$3004,Timesheet!$D$5:$D$3004,$A953,Timesheet!$A$5:$A$3004,"&gt;="&amp;Settings!$B$8,Timesheet!$A$5:$A$3004,"&lt;="&amp;Settings!$B$9))</f>
        <v/>
      </c>
      <c r="G953" s="25" t="str">
        <f aca="false">IF($A953="","",SUMIFS(Timesheet!$G$5:$G$3004,Timesheet!$D$5:$D$3004,$A953,Timesheet!$A$5:$A$3004,"&gt;="&amp;Settings!$B$8,Timesheet!$A$5:$A$3004,"&lt;="&amp;Settings!$B$9))</f>
        <v/>
      </c>
      <c r="H953" s="25" t="str">
        <f aca="false">IF($A953="","",IF(D953="Monthly",MAX(0,Settings!$B$11-E953),0))</f>
        <v/>
      </c>
      <c r="I953" s="26" t="str">
        <f aca="false">IF($A953="","",N(INDEX(Workers!$L$5:$L$2004,MATCH($A953,Workers!$A$5:$A$2004,0))))</f>
        <v/>
      </c>
      <c r="J953" s="26" t="str">
        <f aca="false">IF($A953="","",N(INDEX(Workers!$M$5:$M$2004,MATCH($A953,Workers!$A$5:$A$2004,0))))</f>
        <v/>
      </c>
      <c r="K953" s="26" t="str">
        <f aca="false">IF($A953="","",IF(D953="Monthly",ROUND(MAX(0,(I953+J953)-(I953+J953)/Settings!$B$10*H953),2),0))</f>
        <v/>
      </c>
      <c r="L953" s="26" t="str">
        <f aca="false">IF($A953="","",IF(D953="Hourly",ROUND(F953*N(INDEX(Workers!$N$5:$N$2004,MATCH($A953,Workers!$A$5:$A$2004,0))),2),0))</f>
        <v/>
      </c>
      <c r="M953" s="26" t="str">
        <f aca="false">IF($A953="","",ROUND(G953*IF(D953="Hourly",N(INDEX(Workers!$N$5:$N$2004,MATCH($A953,Workers!$A$5:$A$2004,0))),I953/Settings!$B$10/Settings!$B$12)*Settings!$B$13,2))</f>
        <v/>
      </c>
      <c r="N953" s="26" t="str">
        <f aca="false">IF($A953="","",K953+L953+M953)</f>
        <v/>
      </c>
      <c r="O953" s="26" t="str">
        <f aca="false">IF($A953="","",SUMIFS(Deductions!$D$5:$D$2000,Deductions!$B$5:$B$2000,$A953,Deductions!$C$5:$C$2000,"Advance",Deductions!$E$5:$E$2000,"&gt;="&amp;Settings!$B$8,Deductions!$E$5:$E$2000,"&lt;="&amp;Settings!$B$9))</f>
        <v/>
      </c>
      <c r="P953" s="26" t="str">
        <f aca="false">IF($A953="","",SUMIFS(Deductions!$D$5:$D$2000,Deductions!$B$5:$B$2000,$A953,Deductions!$E$5:$E$2000,"&gt;="&amp;Settings!$B$8,Deductions!$E$5:$E$2000,"&lt;="&amp;Settings!$B$9)-O953)</f>
        <v/>
      </c>
      <c r="Q953" s="26" t="str">
        <f aca="false">IF($A953="","",O953+P953)</f>
        <v/>
      </c>
      <c r="R953" s="23" t="str">
        <f aca="false">IF($A953="","",N953-Q953)</f>
        <v/>
      </c>
      <c r="S953" s="24" t="str">
        <f aca="false">IF($A953="","",INDEX(Workers!$O$5:$O$2004,MATCH($A953,Workers!$A$5:$A$2004,0))&amp;"")</f>
        <v/>
      </c>
      <c r="T953" s="24" t="str">
        <f aca="false">IF($A953="","",INDEX(Workers!$P$5:$P$2004,MATCH($A953,Workers!$A$5:$A$2004,0))&amp;"")</f>
        <v/>
      </c>
      <c r="U953" s="24" t="str">
        <f aca="false">IF($A953="","",INDEX(Workers!$H$5:$H$2004,MATCH($A953,Workers!$A$5:$A$2004,0))&amp;"")</f>
        <v/>
      </c>
    </row>
    <row r="954" customFormat="false" ht="15" hidden="false" customHeight="false" outlineLevel="0" collapsed="false">
      <c r="A954" s="24" t="str">
        <f aca="false">IFERROR(INDEX(Workers!$A$5:$A$2004,MATCH(ROW()-4,Workers!$U$5:$U$2004,0)),"")</f>
        <v/>
      </c>
      <c r="B954" s="24" t="str">
        <f aca="false">IF($A954="","",INDEX(Workers!$B$5:$B$2004,MATCH($A954,Workers!$A$5:$A$2004,0)))</f>
        <v/>
      </c>
      <c r="C954" s="24" t="str">
        <f aca="false">IF($A954="","",INDEX(Workers!$E$5:$E$2004,MATCH($A954,Workers!$A$5:$A$2004,0)))</f>
        <v/>
      </c>
      <c r="D954" s="24" t="str">
        <f aca="false">IF($A954="","",INDEX(Workers!$K$5:$K$2004,MATCH($A954,Workers!$A$5:$A$2004,0)))</f>
        <v/>
      </c>
      <c r="E954" s="25" t="str">
        <f aca="false">IF($A954="","",SUMIFS(Timesheet!$E$5:$E$3004,Timesheet!$D$5:$D$3004,$A954,Timesheet!$A$5:$A$3004,"&gt;="&amp;Settings!$B$8,Timesheet!$A$5:$A$3004,"&lt;="&amp;Settings!$B$9))</f>
        <v/>
      </c>
      <c r="F954" s="25" t="str">
        <f aca="false">IF($A954="","",SUMIFS(Timesheet!$F$5:$F$3004,Timesheet!$D$5:$D$3004,$A954,Timesheet!$A$5:$A$3004,"&gt;="&amp;Settings!$B$8,Timesheet!$A$5:$A$3004,"&lt;="&amp;Settings!$B$9))</f>
        <v/>
      </c>
      <c r="G954" s="25" t="str">
        <f aca="false">IF($A954="","",SUMIFS(Timesheet!$G$5:$G$3004,Timesheet!$D$5:$D$3004,$A954,Timesheet!$A$5:$A$3004,"&gt;="&amp;Settings!$B$8,Timesheet!$A$5:$A$3004,"&lt;="&amp;Settings!$B$9))</f>
        <v/>
      </c>
      <c r="H954" s="25" t="str">
        <f aca="false">IF($A954="","",IF(D954="Monthly",MAX(0,Settings!$B$11-E954),0))</f>
        <v/>
      </c>
      <c r="I954" s="26" t="str">
        <f aca="false">IF($A954="","",N(INDEX(Workers!$L$5:$L$2004,MATCH($A954,Workers!$A$5:$A$2004,0))))</f>
        <v/>
      </c>
      <c r="J954" s="26" t="str">
        <f aca="false">IF($A954="","",N(INDEX(Workers!$M$5:$M$2004,MATCH($A954,Workers!$A$5:$A$2004,0))))</f>
        <v/>
      </c>
      <c r="K954" s="26" t="str">
        <f aca="false">IF($A954="","",IF(D954="Monthly",ROUND(MAX(0,(I954+J954)-(I954+J954)/Settings!$B$10*H954),2),0))</f>
        <v/>
      </c>
      <c r="L954" s="26" t="str">
        <f aca="false">IF($A954="","",IF(D954="Hourly",ROUND(F954*N(INDEX(Workers!$N$5:$N$2004,MATCH($A954,Workers!$A$5:$A$2004,0))),2),0))</f>
        <v/>
      </c>
      <c r="M954" s="26" t="str">
        <f aca="false">IF($A954="","",ROUND(G954*IF(D954="Hourly",N(INDEX(Workers!$N$5:$N$2004,MATCH($A954,Workers!$A$5:$A$2004,0))),I954/Settings!$B$10/Settings!$B$12)*Settings!$B$13,2))</f>
        <v/>
      </c>
      <c r="N954" s="26" t="str">
        <f aca="false">IF($A954="","",K954+L954+M954)</f>
        <v/>
      </c>
      <c r="O954" s="26" t="str">
        <f aca="false">IF($A954="","",SUMIFS(Deductions!$D$5:$D$2000,Deductions!$B$5:$B$2000,$A954,Deductions!$C$5:$C$2000,"Advance",Deductions!$E$5:$E$2000,"&gt;="&amp;Settings!$B$8,Deductions!$E$5:$E$2000,"&lt;="&amp;Settings!$B$9))</f>
        <v/>
      </c>
      <c r="P954" s="26" t="str">
        <f aca="false">IF($A954="","",SUMIFS(Deductions!$D$5:$D$2000,Deductions!$B$5:$B$2000,$A954,Deductions!$E$5:$E$2000,"&gt;="&amp;Settings!$B$8,Deductions!$E$5:$E$2000,"&lt;="&amp;Settings!$B$9)-O954)</f>
        <v/>
      </c>
      <c r="Q954" s="26" t="str">
        <f aca="false">IF($A954="","",O954+P954)</f>
        <v/>
      </c>
      <c r="R954" s="23" t="str">
        <f aca="false">IF($A954="","",N954-Q954)</f>
        <v/>
      </c>
      <c r="S954" s="24" t="str">
        <f aca="false">IF($A954="","",INDEX(Workers!$O$5:$O$2004,MATCH($A954,Workers!$A$5:$A$2004,0))&amp;"")</f>
        <v/>
      </c>
      <c r="T954" s="24" t="str">
        <f aca="false">IF($A954="","",INDEX(Workers!$P$5:$P$2004,MATCH($A954,Workers!$A$5:$A$2004,0))&amp;"")</f>
        <v/>
      </c>
      <c r="U954" s="24" t="str">
        <f aca="false">IF($A954="","",INDEX(Workers!$H$5:$H$2004,MATCH($A954,Workers!$A$5:$A$2004,0))&amp;"")</f>
        <v/>
      </c>
    </row>
    <row r="955" customFormat="false" ht="15" hidden="false" customHeight="false" outlineLevel="0" collapsed="false">
      <c r="A955" s="24" t="str">
        <f aca="false">IFERROR(INDEX(Workers!$A$5:$A$2004,MATCH(ROW()-4,Workers!$U$5:$U$2004,0)),"")</f>
        <v/>
      </c>
      <c r="B955" s="24" t="str">
        <f aca="false">IF($A955="","",INDEX(Workers!$B$5:$B$2004,MATCH($A955,Workers!$A$5:$A$2004,0)))</f>
        <v/>
      </c>
      <c r="C955" s="24" t="str">
        <f aca="false">IF($A955="","",INDEX(Workers!$E$5:$E$2004,MATCH($A955,Workers!$A$5:$A$2004,0)))</f>
        <v/>
      </c>
      <c r="D955" s="24" t="str">
        <f aca="false">IF($A955="","",INDEX(Workers!$K$5:$K$2004,MATCH($A955,Workers!$A$5:$A$2004,0)))</f>
        <v/>
      </c>
      <c r="E955" s="25" t="str">
        <f aca="false">IF($A955="","",SUMIFS(Timesheet!$E$5:$E$3004,Timesheet!$D$5:$D$3004,$A955,Timesheet!$A$5:$A$3004,"&gt;="&amp;Settings!$B$8,Timesheet!$A$5:$A$3004,"&lt;="&amp;Settings!$B$9))</f>
        <v/>
      </c>
      <c r="F955" s="25" t="str">
        <f aca="false">IF($A955="","",SUMIFS(Timesheet!$F$5:$F$3004,Timesheet!$D$5:$D$3004,$A955,Timesheet!$A$5:$A$3004,"&gt;="&amp;Settings!$B$8,Timesheet!$A$5:$A$3004,"&lt;="&amp;Settings!$B$9))</f>
        <v/>
      </c>
      <c r="G955" s="25" t="str">
        <f aca="false">IF($A955="","",SUMIFS(Timesheet!$G$5:$G$3004,Timesheet!$D$5:$D$3004,$A955,Timesheet!$A$5:$A$3004,"&gt;="&amp;Settings!$B$8,Timesheet!$A$5:$A$3004,"&lt;="&amp;Settings!$B$9))</f>
        <v/>
      </c>
      <c r="H955" s="25" t="str">
        <f aca="false">IF($A955="","",IF(D955="Monthly",MAX(0,Settings!$B$11-E955),0))</f>
        <v/>
      </c>
      <c r="I955" s="26" t="str">
        <f aca="false">IF($A955="","",N(INDEX(Workers!$L$5:$L$2004,MATCH($A955,Workers!$A$5:$A$2004,0))))</f>
        <v/>
      </c>
      <c r="J955" s="26" t="str">
        <f aca="false">IF($A955="","",N(INDEX(Workers!$M$5:$M$2004,MATCH($A955,Workers!$A$5:$A$2004,0))))</f>
        <v/>
      </c>
      <c r="K955" s="26" t="str">
        <f aca="false">IF($A955="","",IF(D955="Monthly",ROUND(MAX(0,(I955+J955)-(I955+J955)/Settings!$B$10*H955),2),0))</f>
        <v/>
      </c>
      <c r="L955" s="26" t="str">
        <f aca="false">IF($A955="","",IF(D955="Hourly",ROUND(F955*N(INDEX(Workers!$N$5:$N$2004,MATCH($A955,Workers!$A$5:$A$2004,0))),2),0))</f>
        <v/>
      </c>
      <c r="M955" s="26" t="str">
        <f aca="false">IF($A955="","",ROUND(G955*IF(D955="Hourly",N(INDEX(Workers!$N$5:$N$2004,MATCH($A955,Workers!$A$5:$A$2004,0))),I955/Settings!$B$10/Settings!$B$12)*Settings!$B$13,2))</f>
        <v/>
      </c>
      <c r="N955" s="26" t="str">
        <f aca="false">IF($A955="","",K955+L955+M955)</f>
        <v/>
      </c>
      <c r="O955" s="26" t="str">
        <f aca="false">IF($A955="","",SUMIFS(Deductions!$D$5:$D$2000,Deductions!$B$5:$B$2000,$A955,Deductions!$C$5:$C$2000,"Advance",Deductions!$E$5:$E$2000,"&gt;="&amp;Settings!$B$8,Deductions!$E$5:$E$2000,"&lt;="&amp;Settings!$B$9))</f>
        <v/>
      </c>
      <c r="P955" s="26" t="str">
        <f aca="false">IF($A955="","",SUMIFS(Deductions!$D$5:$D$2000,Deductions!$B$5:$B$2000,$A955,Deductions!$E$5:$E$2000,"&gt;="&amp;Settings!$B$8,Deductions!$E$5:$E$2000,"&lt;="&amp;Settings!$B$9)-O955)</f>
        <v/>
      </c>
      <c r="Q955" s="26" t="str">
        <f aca="false">IF($A955="","",O955+P955)</f>
        <v/>
      </c>
      <c r="R955" s="23" t="str">
        <f aca="false">IF($A955="","",N955-Q955)</f>
        <v/>
      </c>
      <c r="S955" s="24" t="str">
        <f aca="false">IF($A955="","",INDEX(Workers!$O$5:$O$2004,MATCH($A955,Workers!$A$5:$A$2004,0))&amp;"")</f>
        <v/>
      </c>
      <c r="T955" s="24" t="str">
        <f aca="false">IF($A955="","",INDEX(Workers!$P$5:$P$2004,MATCH($A955,Workers!$A$5:$A$2004,0))&amp;"")</f>
        <v/>
      </c>
      <c r="U955" s="24" t="str">
        <f aca="false">IF($A955="","",INDEX(Workers!$H$5:$H$2004,MATCH($A955,Workers!$A$5:$A$2004,0))&amp;"")</f>
        <v/>
      </c>
    </row>
    <row r="956" customFormat="false" ht="15" hidden="false" customHeight="false" outlineLevel="0" collapsed="false">
      <c r="A956" s="24" t="str">
        <f aca="false">IFERROR(INDEX(Workers!$A$5:$A$2004,MATCH(ROW()-4,Workers!$U$5:$U$2004,0)),"")</f>
        <v/>
      </c>
      <c r="B956" s="24" t="str">
        <f aca="false">IF($A956="","",INDEX(Workers!$B$5:$B$2004,MATCH($A956,Workers!$A$5:$A$2004,0)))</f>
        <v/>
      </c>
      <c r="C956" s="24" t="str">
        <f aca="false">IF($A956="","",INDEX(Workers!$E$5:$E$2004,MATCH($A956,Workers!$A$5:$A$2004,0)))</f>
        <v/>
      </c>
      <c r="D956" s="24" t="str">
        <f aca="false">IF($A956="","",INDEX(Workers!$K$5:$K$2004,MATCH($A956,Workers!$A$5:$A$2004,0)))</f>
        <v/>
      </c>
      <c r="E956" s="25" t="str">
        <f aca="false">IF($A956="","",SUMIFS(Timesheet!$E$5:$E$3004,Timesheet!$D$5:$D$3004,$A956,Timesheet!$A$5:$A$3004,"&gt;="&amp;Settings!$B$8,Timesheet!$A$5:$A$3004,"&lt;="&amp;Settings!$B$9))</f>
        <v/>
      </c>
      <c r="F956" s="25" t="str">
        <f aca="false">IF($A956="","",SUMIFS(Timesheet!$F$5:$F$3004,Timesheet!$D$5:$D$3004,$A956,Timesheet!$A$5:$A$3004,"&gt;="&amp;Settings!$B$8,Timesheet!$A$5:$A$3004,"&lt;="&amp;Settings!$B$9))</f>
        <v/>
      </c>
      <c r="G956" s="25" t="str">
        <f aca="false">IF($A956="","",SUMIFS(Timesheet!$G$5:$G$3004,Timesheet!$D$5:$D$3004,$A956,Timesheet!$A$5:$A$3004,"&gt;="&amp;Settings!$B$8,Timesheet!$A$5:$A$3004,"&lt;="&amp;Settings!$B$9))</f>
        <v/>
      </c>
      <c r="H956" s="25" t="str">
        <f aca="false">IF($A956="","",IF(D956="Monthly",MAX(0,Settings!$B$11-E956),0))</f>
        <v/>
      </c>
      <c r="I956" s="26" t="str">
        <f aca="false">IF($A956="","",N(INDEX(Workers!$L$5:$L$2004,MATCH($A956,Workers!$A$5:$A$2004,0))))</f>
        <v/>
      </c>
      <c r="J956" s="26" t="str">
        <f aca="false">IF($A956="","",N(INDEX(Workers!$M$5:$M$2004,MATCH($A956,Workers!$A$5:$A$2004,0))))</f>
        <v/>
      </c>
      <c r="K956" s="26" t="str">
        <f aca="false">IF($A956="","",IF(D956="Monthly",ROUND(MAX(0,(I956+J956)-(I956+J956)/Settings!$B$10*H956),2),0))</f>
        <v/>
      </c>
      <c r="L956" s="26" t="str">
        <f aca="false">IF($A956="","",IF(D956="Hourly",ROUND(F956*N(INDEX(Workers!$N$5:$N$2004,MATCH($A956,Workers!$A$5:$A$2004,0))),2),0))</f>
        <v/>
      </c>
      <c r="M956" s="26" t="str">
        <f aca="false">IF($A956="","",ROUND(G956*IF(D956="Hourly",N(INDEX(Workers!$N$5:$N$2004,MATCH($A956,Workers!$A$5:$A$2004,0))),I956/Settings!$B$10/Settings!$B$12)*Settings!$B$13,2))</f>
        <v/>
      </c>
      <c r="N956" s="26" t="str">
        <f aca="false">IF($A956="","",K956+L956+M956)</f>
        <v/>
      </c>
      <c r="O956" s="26" t="str">
        <f aca="false">IF($A956="","",SUMIFS(Deductions!$D$5:$D$2000,Deductions!$B$5:$B$2000,$A956,Deductions!$C$5:$C$2000,"Advance",Deductions!$E$5:$E$2000,"&gt;="&amp;Settings!$B$8,Deductions!$E$5:$E$2000,"&lt;="&amp;Settings!$B$9))</f>
        <v/>
      </c>
      <c r="P956" s="26" t="str">
        <f aca="false">IF($A956="","",SUMIFS(Deductions!$D$5:$D$2000,Deductions!$B$5:$B$2000,$A956,Deductions!$E$5:$E$2000,"&gt;="&amp;Settings!$B$8,Deductions!$E$5:$E$2000,"&lt;="&amp;Settings!$B$9)-O956)</f>
        <v/>
      </c>
      <c r="Q956" s="26" t="str">
        <f aca="false">IF($A956="","",O956+P956)</f>
        <v/>
      </c>
      <c r="R956" s="23" t="str">
        <f aca="false">IF($A956="","",N956-Q956)</f>
        <v/>
      </c>
      <c r="S956" s="24" t="str">
        <f aca="false">IF($A956="","",INDEX(Workers!$O$5:$O$2004,MATCH($A956,Workers!$A$5:$A$2004,0))&amp;"")</f>
        <v/>
      </c>
      <c r="T956" s="24" t="str">
        <f aca="false">IF($A956="","",INDEX(Workers!$P$5:$P$2004,MATCH($A956,Workers!$A$5:$A$2004,0))&amp;"")</f>
        <v/>
      </c>
      <c r="U956" s="24" t="str">
        <f aca="false">IF($A956="","",INDEX(Workers!$H$5:$H$2004,MATCH($A956,Workers!$A$5:$A$2004,0))&amp;"")</f>
        <v/>
      </c>
    </row>
    <row r="957" customFormat="false" ht="15" hidden="false" customHeight="false" outlineLevel="0" collapsed="false">
      <c r="A957" s="24" t="str">
        <f aca="false">IFERROR(INDEX(Workers!$A$5:$A$2004,MATCH(ROW()-4,Workers!$U$5:$U$2004,0)),"")</f>
        <v/>
      </c>
      <c r="B957" s="24" t="str">
        <f aca="false">IF($A957="","",INDEX(Workers!$B$5:$B$2004,MATCH($A957,Workers!$A$5:$A$2004,0)))</f>
        <v/>
      </c>
      <c r="C957" s="24" t="str">
        <f aca="false">IF($A957="","",INDEX(Workers!$E$5:$E$2004,MATCH($A957,Workers!$A$5:$A$2004,0)))</f>
        <v/>
      </c>
      <c r="D957" s="24" t="str">
        <f aca="false">IF($A957="","",INDEX(Workers!$K$5:$K$2004,MATCH($A957,Workers!$A$5:$A$2004,0)))</f>
        <v/>
      </c>
      <c r="E957" s="25" t="str">
        <f aca="false">IF($A957="","",SUMIFS(Timesheet!$E$5:$E$3004,Timesheet!$D$5:$D$3004,$A957,Timesheet!$A$5:$A$3004,"&gt;="&amp;Settings!$B$8,Timesheet!$A$5:$A$3004,"&lt;="&amp;Settings!$B$9))</f>
        <v/>
      </c>
      <c r="F957" s="25" t="str">
        <f aca="false">IF($A957="","",SUMIFS(Timesheet!$F$5:$F$3004,Timesheet!$D$5:$D$3004,$A957,Timesheet!$A$5:$A$3004,"&gt;="&amp;Settings!$B$8,Timesheet!$A$5:$A$3004,"&lt;="&amp;Settings!$B$9))</f>
        <v/>
      </c>
      <c r="G957" s="25" t="str">
        <f aca="false">IF($A957="","",SUMIFS(Timesheet!$G$5:$G$3004,Timesheet!$D$5:$D$3004,$A957,Timesheet!$A$5:$A$3004,"&gt;="&amp;Settings!$B$8,Timesheet!$A$5:$A$3004,"&lt;="&amp;Settings!$B$9))</f>
        <v/>
      </c>
      <c r="H957" s="25" t="str">
        <f aca="false">IF($A957="","",IF(D957="Monthly",MAX(0,Settings!$B$11-E957),0))</f>
        <v/>
      </c>
      <c r="I957" s="26" t="str">
        <f aca="false">IF($A957="","",N(INDEX(Workers!$L$5:$L$2004,MATCH($A957,Workers!$A$5:$A$2004,0))))</f>
        <v/>
      </c>
      <c r="J957" s="26" t="str">
        <f aca="false">IF($A957="","",N(INDEX(Workers!$M$5:$M$2004,MATCH($A957,Workers!$A$5:$A$2004,0))))</f>
        <v/>
      </c>
      <c r="K957" s="26" t="str">
        <f aca="false">IF($A957="","",IF(D957="Monthly",ROUND(MAX(0,(I957+J957)-(I957+J957)/Settings!$B$10*H957),2),0))</f>
        <v/>
      </c>
      <c r="L957" s="26" t="str">
        <f aca="false">IF($A957="","",IF(D957="Hourly",ROUND(F957*N(INDEX(Workers!$N$5:$N$2004,MATCH($A957,Workers!$A$5:$A$2004,0))),2),0))</f>
        <v/>
      </c>
      <c r="M957" s="26" t="str">
        <f aca="false">IF($A957="","",ROUND(G957*IF(D957="Hourly",N(INDEX(Workers!$N$5:$N$2004,MATCH($A957,Workers!$A$5:$A$2004,0))),I957/Settings!$B$10/Settings!$B$12)*Settings!$B$13,2))</f>
        <v/>
      </c>
      <c r="N957" s="26" t="str">
        <f aca="false">IF($A957="","",K957+L957+M957)</f>
        <v/>
      </c>
      <c r="O957" s="26" t="str">
        <f aca="false">IF($A957="","",SUMIFS(Deductions!$D$5:$D$2000,Deductions!$B$5:$B$2000,$A957,Deductions!$C$5:$C$2000,"Advance",Deductions!$E$5:$E$2000,"&gt;="&amp;Settings!$B$8,Deductions!$E$5:$E$2000,"&lt;="&amp;Settings!$B$9))</f>
        <v/>
      </c>
      <c r="P957" s="26" t="str">
        <f aca="false">IF($A957="","",SUMIFS(Deductions!$D$5:$D$2000,Deductions!$B$5:$B$2000,$A957,Deductions!$E$5:$E$2000,"&gt;="&amp;Settings!$B$8,Deductions!$E$5:$E$2000,"&lt;="&amp;Settings!$B$9)-O957)</f>
        <v/>
      </c>
      <c r="Q957" s="26" t="str">
        <f aca="false">IF($A957="","",O957+P957)</f>
        <v/>
      </c>
      <c r="R957" s="23" t="str">
        <f aca="false">IF($A957="","",N957-Q957)</f>
        <v/>
      </c>
      <c r="S957" s="24" t="str">
        <f aca="false">IF($A957="","",INDEX(Workers!$O$5:$O$2004,MATCH($A957,Workers!$A$5:$A$2004,0))&amp;"")</f>
        <v/>
      </c>
      <c r="T957" s="24" t="str">
        <f aca="false">IF($A957="","",INDEX(Workers!$P$5:$P$2004,MATCH($A957,Workers!$A$5:$A$2004,0))&amp;"")</f>
        <v/>
      </c>
      <c r="U957" s="24" t="str">
        <f aca="false">IF($A957="","",INDEX(Workers!$H$5:$H$2004,MATCH($A957,Workers!$A$5:$A$2004,0))&amp;"")</f>
        <v/>
      </c>
    </row>
    <row r="958" customFormat="false" ht="15" hidden="false" customHeight="false" outlineLevel="0" collapsed="false">
      <c r="A958" s="24" t="str">
        <f aca="false">IFERROR(INDEX(Workers!$A$5:$A$2004,MATCH(ROW()-4,Workers!$U$5:$U$2004,0)),"")</f>
        <v/>
      </c>
      <c r="B958" s="24" t="str">
        <f aca="false">IF($A958="","",INDEX(Workers!$B$5:$B$2004,MATCH($A958,Workers!$A$5:$A$2004,0)))</f>
        <v/>
      </c>
      <c r="C958" s="24" t="str">
        <f aca="false">IF($A958="","",INDEX(Workers!$E$5:$E$2004,MATCH($A958,Workers!$A$5:$A$2004,0)))</f>
        <v/>
      </c>
      <c r="D958" s="24" t="str">
        <f aca="false">IF($A958="","",INDEX(Workers!$K$5:$K$2004,MATCH($A958,Workers!$A$5:$A$2004,0)))</f>
        <v/>
      </c>
      <c r="E958" s="25" t="str">
        <f aca="false">IF($A958="","",SUMIFS(Timesheet!$E$5:$E$3004,Timesheet!$D$5:$D$3004,$A958,Timesheet!$A$5:$A$3004,"&gt;="&amp;Settings!$B$8,Timesheet!$A$5:$A$3004,"&lt;="&amp;Settings!$B$9))</f>
        <v/>
      </c>
      <c r="F958" s="25" t="str">
        <f aca="false">IF($A958="","",SUMIFS(Timesheet!$F$5:$F$3004,Timesheet!$D$5:$D$3004,$A958,Timesheet!$A$5:$A$3004,"&gt;="&amp;Settings!$B$8,Timesheet!$A$5:$A$3004,"&lt;="&amp;Settings!$B$9))</f>
        <v/>
      </c>
      <c r="G958" s="25" t="str">
        <f aca="false">IF($A958="","",SUMIFS(Timesheet!$G$5:$G$3004,Timesheet!$D$5:$D$3004,$A958,Timesheet!$A$5:$A$3004,"&gt;="&amp;Settings!$B$8,Timesheet!$A$5:$A$3004,"&lt;="&amp;Settings!$B$9))</f>
        <v/>
      </c>
      <c r="H958" s="25" t="str">
        <f aca="false">IF($A958="","",IF(D958="Monthly",MAX(0,Settings!$B$11-E958),0))</f>
        <v/>
      </c>
      <c r="I958" s="26" t="str">
        <f aca="false">IF($A958="","",N(INDEX(Workers!$L$5:$L$2004,MATCH($A958,Workers!$A$5:$A$2004,0))))</f>
        <v/>
      </c>
      <c r="J958" s="26" t="str">
        <f aca="false">IF($A958="","",N(INDEX(Workers!$M$5:$M$2004,MATCH($A958,Workers!$A$5:$A$2004,0))))</f>
        <v/>
      </c>
      <c r="K958" s="26" t="str">
        <f aca="false">IF($A958="","",IF(D958="Monthly",ROUND(MAX(0,(I958+J958)-(I958+J958)/Settings!$B$10*H958),2),0))</f>
        <v/>
      </c>
      <c r="L958" s="26" t="str">
        <f aca="false">IF($A958="","",IF(D958="Hourly",ROUND(F958*N(INDEX(Workers!$N$5:$N$2004,MATCH($A958,Workers!$A$5:$A$2004,0))),2),0))</f>
        <v/>
      </c>
      <c r="M958" s="26" t="str">
        <f aca="false">IF($A958="","",ROUND(G958*IF(D958="Hourly",N(INDEX(Workers!$N$5:$N$2004,MATCH($A958,Workers!$A$5:$A$2004,0))),I958/Settings!$B$10/Settings!$B$12)*Settings!$B$13,2))</f>
        <v/>
      </c>
      <c r="N958" s="26" t="str">
        <f aca="false">IF($A958="","",K958+L958+M958)</f>
        <v/>
      </c>
      <c r="O958" s="26" t="str">
        <f aca="false">IF($A958="","",SUMIFS(Deductions!$D$5:$D$2000,Deductions!$B$5:$B$2000,$A958,Deductions!$C$5:$C$2000,"Advance",Deductions!$E$5:$E$2000,"&gt;="&amp;Settings!$B$8,Deductions!$E$5:$E$2000,"&lt;="&amp;Settings!$B$9))</f>
        <v/>
      </c>
      <c r="P958" s="26" t="str">
        <f aca="false">IF($A958="","",SUMIFS(Deductions!$D$5:$D$2000,Deductions!$B$5:$B$2000,$A958,Deductions!$E$5:$E$2000,"&gt;="&amp;Settings!$B$8,Deductions!$E$5:$E$2000,"&lt;="&amp;Settings!$B$9)-O958)</f>
        <v/>
      </c>
      <c r="Q958" s="26" t="str">
        <f aca="false">IF($A958="","",O958+P958)</f>
        <v/>
      </c>
      <c r="R958" s="23" t="str">
        <f aca="false">IF($A958="","",N958-Q958)</f>
        <v/>
      </c>
      <c r="S958" s="24" t="str">
        <f aca="false">IF($A958="","",INDEX(Workers!$O$5:$O$2004,MATCH($A958,Workers!$A$5:$A$2004,0))&amp;"")</f>
        <v/>
      </c>
      <c r="T958" s="24" t="str">
        <f aca="false">IF($A958="","",INDEX(Workers!$P$5:$P$2004,MATCH($A958,Workers!$A$5:$A$2004,0))&amp;"")</f>
        <v/>
      </c>
      <c r="U958" s="24" t="str">
        <f aca="false">IF($A958="","",INDEX(Workers!$H$5:$H$2004,MATCH($A958,Workers!$A$5:$A$2004,0))&amp;"")</f>
        <v/>
      </c>
    </row>
    <row r="959" customFormat="false" ht="15" hidden="false" customHeight="false" outlineLevel="0" collapsed="false">
      <c r="A959" s="24" t="str">
        <f aca="false">IFERROR(INDEX(Workers!$A$5:$A$2004,MATCH(ROW()-4,Workers!$U$5:$U$2004,0)),"")</f>
        <v/>
      </c>
      <c r="B959" s="24" t="str">
        <f aca="false">IF($A959="","",INDEX(Workers!$B$5:$B$2004,MATCH($A959,Workers!$A$5:$A$2004,0)))</f>
        <v/>
      </c>
      <c r="C959" s="24" t="str">
        <f aca="false">IF($A959="","",INDEX(Workers!$E$5:$E$2004,MATCH($A959,Workers!$A$5:$A$2004,0)))</f>
        <v/>
      </c>
      <c r="D959" s="24" t="str">
        <f aca="false">IF($A959="","",INDEX(Workers!$K$5:$K$2004,MATCH($A959,Workers!$A$5:$A$2004,0)))</f>
        <v/>
      </c>
      <c r="E959" s="25" t="str">
        <f aca="false">IF($A959="","",SUMIFS(Timesheet!$E$5:$E$3004,Timesheet!$D$5:$D$3004,$A959,Timesheet!$A$5:$A$3004,"&gt;="&amp;Settings!$B$8,Timesheet!$A$5:$A$3004,"&lt;="&amp;Settings!$B$9))</f>
        <v/>
      </c>
      <c r="F959" s="25" t="str">
        <f aca="false">IF($A959="","",SUMIFS(Timesheet!$F$5:$F$3004,Timesheet!$D$5:$D$3004,$A959,Timesheet!$A$5:$A$3004,"&gt;="&amp;Settings!$B$8,Timesheet!$A$5:$A$3004,"&lt;="&amp;Settings!$B$9))</f>
        <v/>
      </c>
      <c r="G959" s="25" t="str">
        <f aca="false">IF($A959="","",SUMIFS(Timesheet!$G$5:$G$3004,Timesheet!$D$5:$D$3004,$A959,Timesheet!$A$5:$A$3004,"&gt;="&amp;Settings!$B$8,Timesheet!$A$5:$A$3004,"&lt;="&amp;Settings!$B$9))</f>
        <v/>
      </c>
      <c r="H959" s="25" t="str">
        <f aca="false">IF($A959="","",IF(D959="Monthly",MAX(0,Settings!$B$11-E959),0))</f>
        <v/>
      </c>
      <c r="I959" s="26" t="str">
        <f aca="false">IF($A959="","",N(INDEX(Workers!$L$5:$L$2004,MATCH($A959,Workers!$A$5:$A$2004,0))))</f>
        <v/>
      </c>
      <c r="J959" s="26" t="str">
        <f aca="false">IF($A959="","",N(INDEX(Workers!$M$5:$M$2004,MATCH($A959,Workers!$A$5:$A$2004,0))))</f>
        <v/>
      </c>
      <c r="K959" s="26" t="str">
        <f aca="false">IF($A959="","",IF(D959="Monthly",ROUND(MAX(0,(I959+J959)-(I959+J959)/Settings!$B$10*H959),2),0))</f>
        <v/>
      </c>
      <c r="L959" s="26" t="str">
        <f aca="false">IF($A959="","",IF(D959="Hourly",ROUND(F959*N(INDEX(Workers!$N$5:$N$2004,MATCH($A959,Workers!$A$5:$A$2004,0))),2),0))</f>
        <v/>
      </c>
      <c r="M959" s="26" t="str">
        <f aca="false">IF($A959="","",ROUND(G959*IF(D959="Hourly",N(INDEX(Workers!$N$5:$N$2004,MATCH($A959,Workers!$A$5:$A$2004,0))),I959/Settings!$B$10/Settings!$B$12)*Settings!$B$13,2))</f>
        <v/>
      </c>
      <c r="N959" s="26" t="str">
        <f aca="false">IF($A959="","",K959+L959+M959)</f>
        <v/>
      </c>
      <c r="O959" s="26" t="str">
        <f aca="false">IF($A959="","",SUMIFS(Deductions!$D$5:$D$2000,Deductions!$B$5:$B$2000,$A959,Deductions!$C$5:$C$2000,"Advance",Deductions!$E$5:$E$2000,"&gt;="&amp;Settings!$B$8,Deductions!$E$5:$E$2000,"&lt;="&amp;Settings!$B$9))</f>
        <v/>
      </c>
      <c r="P959" s="26" t="str">
        <f aca="false">IF($A959="","",SUMIFS(Deductions!$D$5:$D$2000,Deductions!$B$5:$B$2000,$A959,Deductions!$E$5:$E$2000,"&gt;="&amp;Settings!$B$8,Deductions!$E$5:$E$2000,"&lt;="&amp;Settings!$B$9)-O959)</f>
        <v/>
      </c>
      <c r="Q959" s="26" t="str">
        <f aca="false">IF($A959="","",O959+P959)</f>
        <v/>
      </c>
      <c r="R959" s="23" t="str">
        <f aca="false">IF($A959="","",N959-Q959)</f>
        <v/>
      </c>
      <c r="S959" s="24" t="str">
        <f aca="false">IF($A959="","",INDEX(Workers!$O$5:$O$2004,MATCH($A959,Workers!$A$5:$A$2004,0))&amp;"")</f>
        <v/>
      </c>
      <c r="T959" s="24" t="str">
        <f aca="false">IF($A959="","",INDEX(Workers!$P$5:$P$2004,MATCH($A959,Workers!$A$5:$A$2004,0))&amp;"")</f>
        <v/>
      </c>
      <c r="U959" s="24" t="str">
        <f aca="false">IF($A959="","",INDEX(Workers!$H$5:$H$2004,MATCH($A959,Workers!$A$5:$A$2004,0))&amp;"")</f>
        <v/>
      </c>
    </row>
    <row r="960" customFormat="false" ht="15" hidden="false" customHeight="false" outlineLevel="0" collapsed="false">
      <c r="A960" s="24" t="str">
        <f aca="false">IFERROR(INDEX(Workers!$A$5:$A$2004,MATCH(ROW()-4,Workers!$U$5:$U$2004,0)),"")</f>
        <v/>
      </c>
      <c r="B960" s="24" t="str">
        <f aca="false">IF($A960="","",INDEX(Workers!$B$5:$B$2004,MATCH($A960,Workers!$A$5:$A$2004,0)))</f>
        <v/>
      </c>
      <c r="C960" s="24" t="str">
        <f aca="false">IF($A960="","",INDEX(Workers!$E$5:$E$2004,MATCH($A960,Workers!$A$5:$A$2004,0)))</f>
        <v/>
      </c>
      <c r="D960" s="24" t="str">
        <f aca="false">IF($A960="","",INDEX(Workers!$K$5:$K$2004,MATCH($A960,Workers!$A$5:$A$2004,0)))</f>
        <v/>
      </c>
      <c r="E960" s="25" t="str">
        <f aca="false">IF($A960="","",SUMIFS(Timesheet!$E$5:$E$3004,Timesheet!$D$5:$D$3004,$A960,Timesheet!$A$5:$A$3004,"&gt;="&amp;Settings!$B$8,Timesheet!$A$5:$A$3004,"&lt;="&amp;Settings!$B$9))</f>
        <v/>
      </c>
      <c r="F960" s="25" t="str">
        <f aca="false">IF($A960="","",SUMIFS(Timesheet!$F$5:$F$3004,Timesheet!$D$5:$D$3004,$A960,Timesheet!$A$5:$A$3004,"&gt;="&amp;Settings!$B$8,Timesheet!$A$5:$A$3004,"&lt;="&amp;Settings!$B$9))</f>
        <v/>
      </c>
      <c r="G960" s="25" t="str">
        <f aca="false">IF($A960="","",SUMIFS(Timesheet!$G$5:$G$3004,Timesheet!$D$5:$D$3004,$A960,Timesheet!$A$5:$A$3004,"&gt;="&amp;Settings!$B$8,Timesheet!$A$5:$A$3004,"&lt;="&amp;Settings!$B$9))</f>
        <v/>
      </c>
      <c r="H960" s="25" t="str">
        <f aca="false">IF($A960="","",IF(D960="Monthly",MAX(0,Settings!$B$11-E960),0))</f>
        <v/>
      </c>
      <c r="I960" s="26" t="str">
        <f aca="false">IF($A960="","",N(INDEX(Workers!$L$5:$L$2004,MATCH($A960,Workers!$A$5:$A$2004,0))))</f>
        <v/>
      </c>
      <c r="J960" s="26" t="str">
        <f aca="false">IF($A960="","",N(INDEX(Workers!$M$5:$M$2004,MATCH($A960,Workers!$A$5:$A$2004,0))))</f>
        <v/>
      </c>
      <c r="K960" s="26" t="str">
        <f aca="false">IF($A960="","",IF(D960="Monthly",ROUND(MAX(0,(I960+J960)-(I960+J960)/Settings!$B$10*H960),2),0))</f>
        <v/>
      </c>
      <c r="L960" s="26" t="str">
        <f aca="false">IF($A960="","",IF(D960="Hourly",ROUND(F960*N(INDEX(Workers!$N$5:$N$2004,MATCH($A960,Workers!$A$5:$A$2004,0))),2),0))</f>
        <v/>
      </c>
      <c r="M960" s="26" t="str">
        <f aca="false">IF($A960="","",ROUND(G960*IF(D960="Hourly",N(INDEX(Workers!$N$5:$N$2004,MATCH($A960,Workers!$A$5:$A$2004,0))),I960/Settings!$B$10/Settings!$B$12)*Settings!$B$13,2))</f>
        <v/>
      </c>
      <c r="N960" s="26" t="str">
        <f aca="false">IF($A960="","",K960+L960+M960)</f>
        <v/>
      </c>
      <c r="O960" s="26" t="str">
        <f aca="false">IF($A960="","",SUMIFS(Deductions!$D$5:$D$2000,Deductions!$B$5:$B$2000,$A960,Deductions!$C$5:$C$2000,"Advance",Deductions!$E$5:$E$2000,"&gt;="&amp;Settings!$B$8,Deductions!$E$5:$E$2000,"&lt;="&amp;Settings!$B$9))</f>
        <v/>
      </c>
      <c r="P960" s="26" t="str">
        <f aca="false">IF($A960="","",SUMIFS(Deductions!$D$5:$D$2000,Deductions!$B$5:$B$2000,$A960,Deductions!$E$5:$E$2000,"&gt;="&amp;Settings!$B$8,Deductions!$E$5:$E$2000,"&lt;="&amp;Settings!$B$9)-O960)</f>
        <v/>
      </c>
      <c r="Q960" s="26" t="str">
        <f aca="false">IF($A960="","",O960+P960)</f>
        <v/>
      </c>
      <c r="R960" s="23" t="str">
        <f aca="false">IF($A960="","",N960-Q960)</f>
        <v/>
      </c>
      <c r="S960" s="24" t="str">
        <f aca="false">IF($A960="","",INDEX(Workers!$O$5:$O$2004,MATCH($A960,Workers!$A$5:$A$2004,0))&amp;"")</f>
        <v/>
      </c>
      <c r="T960" s="24" t="str">
        <f aca="false">IF($A960="","",INDEX(Workers!$P$5:$P$2004,MATCH($A960,Workers!$A$5:$A$2004,0))&amp;"")</f>
        <v/>
      </c>
      <c r="U960" s="24" t="str">
        <f aca="false">IF($A960="","",INDEX(Workers!$H$5:$H$2004,MATCH($A960,Workers!$A$5:$A$2004,0))&amp;"")</f>
        <v/>
      </c>
    </row>
    <row r="961" customFormat="false" ht="15" hidden="false" customHeight="false" outlineLevel="0" collapsed="false">
      <c r="A961" s="24" t="str">
        <f aca="false">IFERROR(INDEX(Workers!$A$5:$A$2004,MATCH(ROW()-4,Workers!$U$5:$U$2004,0)),"")</f>
        <v/>
      </c>
      <c r="B961" s="24" t="str">
        <f aca="false">IF($A961="","",INDEX(Workers!$B$5:$B$2004,MATCH($A961,Workers!$A$5:$A$2004,0)))</f>
        <v/>
      </c>
      <c r="C961" s="24" t="str">
        <f aca="false">IF($A961="","",INDEX(Workers!$E$5:$E$2004,MATCH($A961,Workers!$A$5:$A$2004,0)))</f>
        <v/>
      </c>
      <c r="D961" s="24" t="str">
        <f aca="false">IF($A961="","",INDEX(Workers!$K$5:$K$2004,MATCH($A961,Workers!$A$5:$A$2004,0)))</f>
        <v/>
      </c>
      <c r="E961" s="25" t="str">
        <f aca="false">IF($A961="","",SUMIFS(Timesheet!$E$5:$E$3004,Timesheet!$D$5:$D$3004,$A961,Timesheet!$A$5:$A$3004,"&gt;="&amp;Settings!$B$8,Timesheet!$A$5:$A$3004,"&lt;="&amp;Settings!$B$9))</f>
        <v/>
      </c>
      <c r="F961" s="25" t="str">
        <f aca="false">IF($A961="","",SUMIFS(Timesheet!$F$5:$F$3004,Timesheet!$D$5:$D$3004,$A961,Timesheet!$A$5:$A$3004,"&gt;="&amp;Settings!$B$8,Timesheet!$A$5:$A$3004,"&lt;="&amp;Settings!$B$9))</f>
        <v/>
      </c>
      <c r="G961" s="25" t="str">
        <f aca="false">IF($A961="","",SUMIFS(Timesheet!$G$5:$G$3004,Timesheet!$D$5:$D$3004,$A961,Timesheet!$A$5:$A$3004,"&gt;="&amp;Settings!$B$8,Timesheet!$A$5:$A$3004,"&lt;="&amp;Settings!$B$9))</f>
        <v/>
      </c>
      <c r="H961" s="25" t="str">
        <f aca="false">IF($A961="","",IF(D961="Monthly",MAX(0,Settings!$B$11-E961),0))</f>
        <v/>
      </c>
      <c r="I961" s="26" t="str">
        <f aca="false">IF($A961="","",N(INDEX(Workers!$L$5:$L$2004,MATCH($A961,Workers!$A$5:$A$2004,0))))</f>
        <v/>
      </c>
      <c r="J961" s="26" t="str">
        <f aca="false">IF($A961="","",N(INDEX(Workers!$M$5:$M$2004,MATCH($A961,Workers!$A$5:$A$2004,0))))</f>
        <v/>
      </c>
      <c r="K961" s="26" t="str">
        <f aca="false">IF($A961="","",IF(D961="Monthly",ROUND(MAX(0,(I961+J961)-(I961+J961)/Settings!$B$10*H961),2),0))</f>
        <v/>
      </c>
      <c r="L961" s="26" t="str">
        <f aca="false">IF($A961="","",IF(D961="Hourly",ROUND(F961*N(INDEX(Workers!$N$5:$N$2004,MATCH($A961,Workers!$A$5:$A$2004,0))),2),0))</f>
        <v/>
      </c>
      <c r="M961" s="26" t="str">
        <f aca="false">IF($A961="","",ROUND(G961*IF(D961="Hourly",N(INDEX(Workers!$N$5:$N$2004,MATCH($A961,Workers!$A$5:$A$2004,0))),I961/Settings!$B$10/Settings!$B$12)*Settings!$B$13,2))</f>
        <v/>
      </c>
      <c r="N961" s="26" t="str">
        <f aca="false">IF($A961="","",K961+L961+M961)</f>
        <v/>
      </c>
      <c r="O961" s="26" t="str">
        <f aca="false">IF($A961="","",SUMIFS(Deductions!$D$5:$D$2000,Deductions!$B$5:$B$2000,$A961,Deductions!$C$5:$C$2000,"Advance",Deductions!$E$5:$E$2000,"&gt;="&amp;Settings!$B$8,Deductions!$E$5:$E$2000,"&lt;="&amp;Settings!$B$9))</f>
        <v/>
      </c>
      <c r="P961" s="26" t="str">
        <f aca="false">IF($A961="","",SUMIFS(Deductions!$D$5:$D$2000,Deductions!$B$5:$B$2000,$A961,Deductions!$E$5:$E$2000,"&gt;="&amp;Settings!$B$8,Deductions!$E$5:$E$2000,"&lt;="&amp;Settings!$B$9)-O961)</f>
        <v/>
      </c>
      <c r="Q961" s="26" t="str">
        <f aca="false">IF($A961="","",O961+P961)</f>
        <v/>
      </c>
      <c r="R961" s="23" t="str">
        <f aca="false">IF($A961="","",N961-Q961)</f>
        <v/>
      </c>
      <c r="S961" s="24" t="str">
        <f aca="false">IF($A961="","",INDEX(Workers!$O$5:$O$2004,MATCH($A961,Workers!$A$5:$A$2004,0))&amp;"")</f>
        <v/>
      </c>
      <c r="T961" s="24" t="str">
        <f aca="false">IF($A961="","",INDEX(Workers!$P$5:$P$2004,MATCH($A961,Workers!$A$5:$A$2004,0))&amp;"")</f>
        <v/>
      </c>
      <c r="U961" s="24" t="str">
        <f aca="false">IF($A961="","",INDEX(Workers!$H$5:$H$2004,MATCH($A961,Workers!$A$5:$A$2004,0))&amp;"")</f>
        <v/>
      </c>
    </row>
    <row r="962" customFormat="false" ht="15" hidden="false" customHeight="false" outlineLevel="0" collapsed="false">
      <c r="A962" s="24" t="str">
        <f aca="false">IFERROR(INDEX(Workers!$A$5:$A$2004,MATCH(ROW()-4,Workers!$U$5:$U$2004,0)),"")</f>
        <v/>
      </c>
      <c r="B962" s="24" t="str">
        <f aca="false">IF($A962="","",INDEX(Workers!$B$5:$B$2004,MATCH($A962,Workers!$A$5:$A$2004,0)))</f>
        <v/>
      </c>
      <c r="C962" s="24" t="str">
        <f aca="false">IF($A962="","",INDEX(Workers!$E$5:$E$2004,MATCH($A962,Workers!$A$5:$A$2004,0)))</f>
        <v/>
      </c>
      <c r="D962" s="24" t="str">
        <f aca="false">IF($A962="","",INDEX(Workers!$K$5:$K$2004,MATCH($A962,Workers!$A$5:$A$2004,0)))</f>
        <v/>
      </c>
      <c r="E962" s="25" t="str">
        <f aca="false">IF($A962="","",SUMIFS(Timesheet!$E$5:$E$3004,Timesheet!$D$5:$D$3004,$A962,Timesheet!$A$5:$A$3004,"&gt;="&amp;Settings!$B$8,Timesheet!$A$5:$A$3004,"&lt;="&amp;Settings!$B$9))</f>
        <v/>
      </c>
      <c r="F962" s="25" t="str">
        <f aca="false">IF($A962="","",SUMIFS(Timesheet!$F$5:$F$3004,Timesheet!$D$5:$D$3004,$A962,Timesheet!$A$5:$A$3004,"&gt;="&amp;Settings!$B$8,Timesheet!$A$5:$A$3004,"&lt;="&amp;Settings!$B$9))</f>
        <v/>
      </c>
      <c r="G962" s="25" t="str">
        <f aca="false">IF($A962="","",SUMIFS(Timesheet!$G$5:$G$3004,Timesheet!$D$5:$D$3004,$A962,Timesheet!$A$5:$A$3004,"&gt;="&amp;Settings!$B$8,Timesheet!$A$5:$A$3004,"&lt;="&amp;Settings!$B$9))</f>
        <v/>
      </c>
      <c r="H962" s="25" t="str">
        <f aca="false">IF($A962="","",IF(D962="Monthly",MAX(0,Settings!$B$11-E962),0))</f>
        <v/>
      </c>
      <c r="I962" s="26" t="str">
        <f aca="false">IF($A962="","",N(INDEX(Workers!$L$5:$L$2004,MATCH($A962,Workers!$A$5:$A$2004,0))))</f>
        <v/>
      </c>
      <c r="J962" s="26" t="str">
        <f aca="false">IF($A962="","",N(INDEX(Workers!$M$5:$M$2004,MATCH($A962,Workers!$A$5:$A$2004,0))))</f>
        <v/>
      </c>
      <c r="K962" s="26" t="str">
        <f aca="false">IF($A962="","",IF(D962="Monthly",ROUND(MAX(0,(I962+J962)-(I962+J962)/Settings!$B$10*H962),2),0))</f>
        <v/>
      </c>
      <c r="L962" s="26" t="str">
        <f aca="false">IF($A962="","",IF(D962="Hourly",ROUND(F962*N(INDEX(Workers!$N$5:$N$2004,MATCH($A962,Workers!$A$5:$A$2004,0))),2),0))</f>
        <v/>
      </c>
      <c r="M962" s="26" t="str">
        <f aca="false">IF($A962="","",ROUND(G962*IF(D962="Hourly",N(INDEX(Workers!$N$5:$N$2004,MATCH($A962,Workers!$A$5:$A$2004,0))),I962/Settings!$B$10/Settings!$B$12)*Settings!$B$13,2))</f>
        <v/>
      </c>
      <c r="N962" s="26" t="str">
        <f aca="false">IF($A962="","",K962+L962+M962)</f>
        <v/>
      </c>
      <c r="O962" s="26" t="str">
        <f aca="false">IF($A962="","",SUMIFS(Deductions!$D$5:$D$2000,Deductions!$B$5:$B$2000,$A962,Deductions!$C$5:$C$2000,"Advance",Deductions!$E$5:$E$2000,"&gt;="&amp;Settings!$B$8,Deductions!$E$5:$E$2000,"&lt;="&amp;Settings!$B$9))</f>
        <v/>
      </c>
      <c r="P962" s="26" t="str">
        <f aca="false">IF($A962="","",SUMIFS(Deductions!$D$5:$D$2000,Deductions!$B$5:$B$2000,$A962,Deductions!$E$5:$E$2000,"&gt;="&amp;Settings!$B$8,Deductions!$E$5:$E$2000,"&lt;="&amp;Settings!$B$9)-O962)</f>
        <v/>
      </c>
      <c r="Q962" s="26" t="str">
        <f aca="false">IF($A962="","",O962+P962)</f>
        <v/>
      </c>
      <c r="R962" s="23" t="str">
        <f aca="false">IF($A962="","",N962-Q962)</f>
        <v/>
      </c>
      <c r="S962" s="24" t="str">
        <f aca="false">IF($A962="","",INDEX(Workers!$O$5:$O$2004,MATCH($A962,Workers!$A$5:$A$2004,0))&amp;"")</f>
        <v/>
      </c>
      <c r="T962" s="24" t="str">
        <f aca="false">IF($A962="","",INDEX(Workers!$P$5:$P$2004,MATCH($A962,Workers!$A$5:$A$2004,0))&amp;"")</f>
        <v/>
      </c>
      <c r="U962" s="24" t="str">
        <f aca="false">IF($A962="","",INDEX(Workers!$H$5:$H$2004,MATCH($A962,Workers!$A$5:$A$2004,0))&amp;"")</f>
        <v/>
      </c>
    </row>
    <row r="963" customFormat="false" ht="15" hidden="false" customHeight="false" outlineLevel="0" collapsed="false">
      <c r="A963" s="24" t="str">
        <f aca="false">IFERROR(INDEX(Workers!$A$5:$A$2004,MATCH(ROW()-4,Workers!$U$5:$U$2004,0)),"")</f>
        <v/>
      </c>
      <c r="B963" s="24" t="str">
        <f aca="false">IF($A963="","",INDEX(Workers!$B$5:$B$2004,MATCH($A963,Workers!$A$5:$A$2004,0)))</f>
        <v/>
      </c>
      <c r="C963" s="24" t="str">
        <f aca="false">IF($A963="","",INDEX(Workers!$E$5:$E$2004,MATCH($A963,Workers!$A$5:$A$2004,0)))</f>
        <v/>
      </c>
      <c r="D963" s="24" t="str">
        <f aca="false">IF($A963="","",INDEX(Workers!$K$5:$K$2004,MATCH($A963,Workers!$A$5:$A$2004,0)))</f>
        <v/>
      </c>
      <c r="E963" s="25" t="str">
        <f aca="false">IF($A963="","",SUMIFS(Timesheet!$E$5:$E$3004,Timesheet!$D$5:$D$3004,$A963,Timesheet!$A$5:$A$3004,"&gt;="&amp;Settings!$B$8,Timesheet!$A$5:$A$3004,"&lt;="&amp;Settings!$B$9))</f>
        <v/>
      </c>
      <c r="F963" s="25" t="str">
        <f aca="false">IF($A963="","",SUMIFS(Timesheet!$F$5:$F$3004,Timesheet!$D$5:$D$3004,$A963,Timesheet!$A$5:$A$3004,"&gt;="&amp;Settings!$B$8,Timesheet!$A$5:$A$3004,"&lt;="&amp;Settings!$B$9))</f>
        <v/>
      </c>
      <c r="G963" s="25" t="str">
        <f aca="false">IF($A963="","",SUMIFS(Timesheet!$G$5:$G$3004,Timesheet!$D$5:$D$3004,$A963,Timesheet!$A$5:$A$3004,"&gt;="&amp;Settings!$B$8,Timesheet!$A$5:$A$3004,"&lt;="&amp;Settings!$B$9))</f>
        <v/>
      </c>
      <c r="H963" s="25" t="str">
        <f aca="false">IF($A963="","",IF(D963="Monthly",MAX(0,Settings!$B$11-E963),0))</f>
        <v/>
      </c>
      <c r="I963" s="26" t="str">
        <f aca="false">IF($A963="","",N(INDEX(Workers!$L$5:$L$2004,MATCH($A963,Workers!$A$5:$A$2004,0))))</f>
        <v/>
      </c>
      <c r="J963" s="26" t="str">
        <f aca="false">IF($A963="","",N(INDEX(Workers!$M$5:$M$2004,MATCH($A963,Workers!$A$5:$A$2004,0))))</f>
        <v/>
      </c>
      <c r="K963" s="26" t="str">
        <f aca="false">IF($A963="","",IF(D963="Monthly",ROUND(MAX(0,(I963+J963)-(I963+J963)/Settings!$B$10*H963),2),0))</f>
        <v/>
      </c>
      <c r="L963" s="26" t="str">
        <f aca="false">IF($A963="","",IF(D963="Hourly",ROUND(F963*N(INDEX(Workers!$N$5:$N$2004,MATCH($A963,Workers!$A$5:$A$2004,0))),2),0))</f>
        <v/>
      </c>
      <c r="M963" s="26" t="str">
        <f aca="false">IF($A963="","",ROUND(G963*IF(D963="Hourly",N(INDEX(Workers!$N$5:$N$2004,MATCH($A963,Workers!$A$5:$A$2004,0))),I963/Settings!$B$10/Settings!$B$12)*Settings!$B$13,2))</f>
        <v/>
      </c>
      <c r="N963" s="26" t="str">
        <f aca="false">IF($A963="","",K963+L963+M963)</f>
        <v/>
      </c>
      <c r="O963" s="26" t="str">
        <f aca="false">IF($A963="","",SUMIFS(Deductions!$D$5:$D$2000,Deductions!$B$5:$B$2000,$A963,Deductions!$C$5:$C$2000,"Advance",Deductions!$E$5:$E$2000,"&gt;="&amp;Settings!$B$8,Deductions!$E$5:$E$2000,"&lt;="&amp;Settings!$B$9))</f>
        <v/>
      </c>
      <c r="P963" s="26" t="str">
        <f aca="false">IF($A963="","",SUMIFS(Deductions!$D$5:$D$2000,Deductions!$B$5:$B$2000,$A963,Deductions!$E$5:$E$2000,"&gt;="&amp;Settings!$B$8,Deductions!$E$5:$E$2000,"&lt;="&amp;Settings!$B$9)-O963)</f>
        <v/>
      </c>
      <c r="Q963" s="26" t="str">
        <f aca="false">IF($A963="","",O963+P963)</f>
        <v/>
      </c>
      <c r="R963" s="23" t="str">
        <f aca="false">IF($A963="","",N963-Q963)</f>
        <v/>
      </c>
      <c r="S963" s="24" t="str">
        <f aca="false">IF($A963="","",INDEX(Workers!$O$5:$O$2004,MATCH($A963,Workers!$A$5:$A$2004,0))&amp;"")</f>
        <v/>
      </c>
      <c r="T963" s="24" t="str">
        <f aca="false">IF($A963="","",INDEX(Workers!$P$5:$P$2004,MATCH($A963,Workers!$A$5:$A$2004,0))&amp;"")</f>
        <v/>
      </c>
      <c r="U963" s="24" t="str">
        <f aca="false">IF($A963="","",INDEX(Workers!$H$5:$H$2004,MATCH($A963,Workers!$A$5:$A$2004,0))&amp;"")</f>
        <v/>
      </c>
    </row>
    <row r="964" customFormat="false" ht="15" hidden="false" customHeight="false" outlineLevel="0" collapsed="false">
      <c r="A964" s="24" t="str">
        <f aca="false">IFERROR(INDEX(Workers!$A$5:$A$2004,MATCH(ROW()-4,Workers!$U$5:$U$2004,0)),"")</f>
        <v/>
      </c>
      <c r="B964" s="24" t="str">
        <f aca="false">IF($A964="","",INDEX(Workers!$B$5:$B$2004,MATCH($A964,Workers!$A$5:$A$2004,0)))</f>
        <v/>
      </c>
      <c r="C964" s="24" t="str">
        <f aca="false">IF($A964="","",INDEX(Workers!$E$5:$E$2004,MATCH($A964,Workers!$A$5:$A$2004,0)))</f>
        <v/>
      </c>
      <c r="D964" s="24" t="str">
        <f aca="false">IF($A964="","",INDEX(Workers!$K$5:$K$2004,MATCH($A964,Workers!$A$5:$A$2004,0)))</f>
        <v/>
      </c>
      <c r="E964" s="25" t="str">
        <f aca="false">IF($A964="","",SUMIFS(Timesheet!$E$5:$E$3004,Timesheet!$D$5:$D$3004,$A964,Timesheet!$A$5:$A$3004,"&gt;="&amp;Settings!$B$8,Timesheet!$A$5:$A$3004,"&lt;="&amp;Settings!$B$9))</f>
        <v/>
      </c>
      <c r="F964" s="25" t="str">
        <f aca="false">IF($A964="","",SUMIFS(Timesheet!$F$5:$F$3004,Timesheet!$D$5:$D$3004,$A964,Timesheet!$A$5:$A$3004,"&gt;="&amp;Settings!$B$8,Timesheet!$A$5:$A$3004,"&lt;="&amp;Settings!$B$9))</f>
        <v/>
      </c>
      <c r="G964" s="25" t="str">
        <f aca="false">IF($A964="","",SUMIFS(Timesheet!$G$5:$G$3004,Timesheet!$D$5:$D$3004,$A964,Timesheet!$A$5:$A$3004,"&gt;="&amp;Settings!$B$8,Timesheet!$A$5:$A$3004,"&lt;="&amp;Settings!$B$9))</f>
        <v/>
      </c>
      <c r="H964" s="25" t="str">
        <f aca="false">IF($A964="","",IF(D964="Monthly",MAX(0,Settings!$B$11-E964),0))</f>
        <v/>
      </c>
      <c r="I964" s="26" t="str">
        <f aca="false">IF($A964="","",N(INDEX(Workers!$L$5:$L$2004,MATCH($A964,Workers!$A$5:$A$2004,0))))</f>
        <v/>
      </c>
      <c r="J964" s="26" t="str">
        <f aca="false">IF($A964="","",N(INDEX(Workers!$M$5:$M$2004,MATCH($A964,Workers!$A$5:$A$2004,0))))</f>
        <v/>
      </c>
      <c r="K964" s="26" t="str">
        <f aca="false">IF($A964="","",IF(D964="Monthly",ROUND(MAX(0,(I964+J964)-(I964+J964)/Settings!$B$10*H964),2),0))</f>
        <v/>
      </c>
      <c r="L964" s="26" t="str">
        <f aca="false">IF($A964="","",IF(D964="Hourly",ROUND(F964*N(INDEX(Workers!$N$5:$N$2004,MATCH($A964,Workers!$A$5:$A$2004,0))),2),0))</f>
        <v/>
      </c>
      <c r="M964" s="26" t="str">
        <f aca="false">IF($A964="","",ROUND(G964*IF(D964="Hourly",N(INDEX(Workers!$N$5:$N$2004,MATCH($A964,Workers!$A$5:$A$2004,0))),I964/Settings!$B$10/Settings!$B$12)*Settings!$B$13,2))</f>
        <v/>
      </c>
      <c r="N964" s="26" t="str">
        <f aca="false">IF($A964="","",K964+L964+M964)</f>
        <v/>
      </c>
      <c r="O964" s="26" t="str">
        <f aca="false">IF($A964="","",SUMIFS(Deductions!$D$5:$D$2000,Deductions!$B$5:$B$2000,$A964,Deductions!$C$5:$C$2000,"Advance",Deductions!$E$5:$E$2000,"&gt;="&amp;Settings!$B$8,Deductions!$E$5:$E$2000,"&lt;="&amp;Settings!$B$9))</f>
        <v/>
      </c>
      <c r="P964" s="26" t="str">
        <f aca="false">IF($A964="","",SUMIFS(Deductions!$D$5:$D$2000,Deductions!$B$5:$B$2000,$A964,Deductions!$E$5:$E$2000,"&gt;="&amp;Settings!$B$8,Deductions!$E$5:$E$2000,"&lt;="&amp;Settings!$B$9)-O964)</f>
        <v/>
      </c>
      <c r="Q964" s="26" t="str">
        <f aca="false">IF($A964="","",O964+P964)</f>
        <v/>
      </c>
      <c r="R964" s="23" t="str">
        <f aca="false">IF($A964="","",N964-Q964)</f>
        <v/>
      </c>
      <c r="S964" s="24" t="str">
        <f aca="false">IF($A964="","",INDEX(Workers!$O$5:$O$2004,MATCH($A964,Workers!$A$5:$A$2004,0))&amp;"")</f>
        <v/>
      </c>
      <c r="T964" s="24" t="str">
        <f aca="false">IF($A964="","",INDEX(Workers!$P$5:$P$2004,MATCH($A964,Workers!$A$5:$A$2004,0))&amp;"")</f>
        <v/>
      </c>
      <c r="U964" s="24" t="str">
        <f aca="false">IF($A964="","",INDEX(Workers!$H$5:$H$2004,MATCH($A964,Workers!$A$5:$A$2004,0))&amp;"")</f>
        <v/>
      </c>
    </row>
    <row r="965" customFormat="false" ht="15" hidden="false" customHeight="false" outlineLevel="0" collapsed="false">
      <c r="A965" s="24" t="str">
        <f aca="false">IFERROR(INDEX(Workers!$A$5:$A$2004,MATCH(ROW()-4,Workers!$U$5:$U$2004,0)),"")</f>
        <v/>
      </c>
      <c r="B965" s="24" t="str">
        <f aca="false">IF($A965="","",INDEX(Workers!$B$5:$B$2004,MATCH($A965,Workers!$A$5:$A$2004,0)))</f>
        <v/>
      </c>
      <c r="C965" s="24" t="str">
        <f aca="false">IF($A965="","",INDEX(Workers!$E$5:$E$2004,MATCH($A965,Workers!$A$5:$A$2004,0)))</f>
        <v/>
      </c>
      <c r="D965" s="24" t="str">
        <f aca="false">IF($A965="","",INDEX(Workers!$K$5:$K$2004,MATCH($A965,Workers!$A$5:$A$2004,0)))</f>
        <v/>
      </c>
      <c r="E965" s="25" t="str">
        <f aca="false">IF($A965="","",SUMIFS(Timesheet!$E$5:$E$3004,Timesheet!$D$5:$D$3004,$A965,Timesheet!$A$5:$A$3004,"&gt;="&amp;Settings!$B$8,Timesheet!$A$5:$A$3004,"&lt;="&amp;Settings!$B$9))</f>
        <v/>
      </c>
      <c r="F965" s="25" t="str">
        <f aca="false">IF($A965="","",SUMIFS(Timesheet!$F$5:$F$3004,Timesheet!$D$5:$D$3004,$A965,Timesheet!$A$5:$A$3004,"&gt;="&amp;Settings!$B$8,Timesheet!$A$5:$A$3004,"&lt;="&amp;Settings!$B$9))</f>
        <v/>
      </c>
      <c r="G965" s="25" t="str">
        <f aca="false">IF($A965="","",SUMIFS(Timesheet!$G$5:$G$3004,Timesheet!$D$5:$D$3004,$A965,Timesheet!$A$5:$A$3004,"&gt;="&amp;Settings!$B$8,Timesheet!$A$5:$A$3004,"&lt;="&amp;Settings!$B$9))</f>
        <v/>
      </c>
      <c r="H965" s="25" t="str">
        <f aca="false">IF($A965="","",IF(D965="Monthly",MAX(0,Settings!$B$11-E965),0))</f>
        <v/>
      </c>
      <c r="I965" s="26" t="str">
        <f aca="false">IF($A965="","",N(INDEX(Workers!$L$5:$L$2004,MATCH($A965,Workers!$A$5:$A$2004,0))))</f>
        <v/>
      </c>
      <c r="J965" s="26" t="str">
        <f aca="false">IF($A965="","",N(INDEX(Workers!$M$5:$M$2004,MATCH($A965,Workers!$A$5:$A$2004,0))))</f>
        <v/>
      </c>
      <c r="K965" s="26" t="str">
        <f aca="false">IF($A965="","",IF(D965="Monthly",ROUND(MAX(0,(I965+J965)-(I965+J965)/Settings!$B$10*H965),2),0))</f>
        <v/>
      </c>
      <c r="L965" s="26" t="str">
        <f aca="false">IF($A965="","",IF(D965="Hourly",ROUND(F965*N(INDEX(Workers!$N$5:$N$2004,MATCH($A965,Workers!$A$5:$A$2004,0))),2),0))</f>
        <v/>
      </c>
      <c r="M965" s="26" t="str">
        <f aca="false">IF($A965="","",ROUND(G965*IF(D965="Hourly",N(INDEX(Workers!$N$5:$N$2004,MATCH($A965,Workers!$A$5:$A$2004,0))),I965/Settings!$B$10/Settings!$B$12)*Settings!$B$13,2))</f>
        <v/>
      </c>
      <c r="N965" s="26" t="str">
        <f aca="false">IF($A965="","",K965+L965+M965)</f>
        <v/>
      </c>
      <c r="O965" s="26" t="str">
        <f aca="false">IF($A965="","",SUMIFS(Deductions!$D$5:$D$2000,Deductions!$B$5:$B$2000,$A965,Deductions!$C$5:$C$2000,"Advance",Deductions!$E$5:$E$2000,"&gt;="&amp;Settings!$B$8,Deductions!$E$5:$E$2000,"&lt;="&amp;Settings!$B$9))</f>
        <v/>
      </c>
      <c r="P965" s="26" t="str">
        <f aca="false">IF($A965="","",SUMIFS(Deductions!$D$5:$D$2000,Deductions!$B$5:$B$2000,$A965,Deductions!$E$5:$E$2000,"&gt;="&amp;Settings!$B$8,Deductions!$E$5:$E$2000,"&lt;="&amp;Settings!$B$9)-O965)</f>
        <v/>
      </c>
      <c r="Q965" s="26" t="str">
        <f aca="false">IF($A965="","",O965+P965)</f>
        <v/>
      </c>
      <c r="R965" s="23" t="str">
        <f aca="false">IF($A965="","",N965-Q965)</f>
        <v/>
      </c>
      <c r="S965" s="24" t="str">
        <f aca="false">IF($A965="","",INDEX(Workers!$O$5:$O$2004,MATCH($A965,Workers!$A$5:$A$2004,0))&amp;"")</f>
        <v/>
      </c>
      <c r="T965" s="24" t="str">
        <f aca="false">IF($A965="","",INDEX(Workers!$P$5:$P$2004,MATCH($A965,Workers!$A$5:$A$2004,0))&amp;"")</f>
        <v/>
      </c>
      <c r="U965" s="24" t="str">
        <f aca="false">IF($A965="","",INDEX(Workers!$H$5:$H$2004,MATCH($A965,Workers!$A$5:$A$2004,0))&amp;"")</f>
        <v/>
      </c>
    </row>
    <row r="966" customFormat="false" ht="15" hidden="false" customHeight="false" outlineLevel="0" collapsed="false">
      <c r="A966" s="24" t="str">
        <f aca="false">IFERROR(INDEX(Workers!$A$5:$A$2004,MATCH(ROW()-4,Workers!$U$5:$U$2004,0)),"")</f>
        <v/>
      </c>
      <c r="B966" s="24" t="str">
        <f aca="false">IF($A966="","",INDEX(Workers!$B$5:$B$2004,MATCH($A966,Workers!$A$5:$A$2004,0)))</f>
        <v/>
      </c>
      <c r="C966" s="24" t="str">
        <f aca="false">IF($A966="","",INDEX(Workers!$E$5:$E$2004,MATCH($A966,Workers!$A$5:$A$2004,0)))</f>
        <v/>
      </c>
      <c r="D966" s="24" t="str">
        <f aca="false">IF($A966="","",INDEX(Workers!$K$5:$K$2004,MATCH($A966,Workers!$A$5:$A$2004,0)))</f>
        <v/>
      </c>
      <c r="E966" s="25" t="str">
        <f aca="false">IF($A966="","",SUMIFS(Timesheet!$E$5:$E$3004,Timesheet!$D$5:$D$3004,$A966,Timesheet!$A$5:$A$3004,"&gt;="&amp;Settings!$B$8,Timesheet!$A$5:$A$3004,"&lt;="&amp;Settings!$B$9))</f>
        <v/>
      </c>
      <c r="F966" s="25" t="str">
        <f aca="false">IF($A966="","",SUMIFS(Timesheet!$F$5:$F$3004,Timesheet!$D$5:$D$3004,$A966,Timesheet!$A$5:$A$3004,"&gt;="&amp;Settings!$B$8,Timesheet!$A$5:$A$3004,"&lt;="&amp;Settings!$B$9))</f>
        <v/>
      </c>
      <c r="G966" s="25" t="str">
        <f aca="false">IF($A966="","",SUMIFS(Timesheet!$G$5:$G$3004,Timesheet!$D$5:$D$3004,$A966,Timesheet!$A$5:$A$3004,"&gt;="&amp;Settings!$B$8,Timesheet!$A$5:$A$3004,"&lt;="&amp;Settings!$B$9))</f>
        <v/>
      </c>
      <c r="H966" s="25" t="str">
        <f aca="false">IF($A966="","",IF(D966="Monthly",MAX(0,Settings!$B$11-E966),0))</f>
        <v/>
      </c>
      <c r="I966" s="26" t="str">
        <f aca="false">IF($A966="","",N(INDEX(Workers!$L$5:$L$2004,MATCH($A966,Workers!$A$5:$A$2004,0))))</f>
        <v/>
      </c>
      <c r="J966" s="26" t="str">
        <f aca="false">IF($A966="","",N(INDEX(Workers!$M$5:$M$2004,MATCH($A966,Workers!$A$5:$A$2004,0))))</f>
        <v/>
      </c>
      <c r="K966" s="26" t="str">
        <f aca="false">IF($A966="","",IF(D966="Monthly",ROUND(MAX(0,(I966+J966)-(I966+J966)/Settings!$B$10*H966),2),0))</f>
        <v/>
      </c>
      <c r="L966" s="26" t="str">
        <f aca="false">IF($A966="","",IF(D966="Hourly",ROUND(F966*N(INDEX(Workers!$N$5:$N$2004,MATCH($A966,Workers!$A$5:$A$2004,0))),2),0))</f>
        <v/>
      </c>
      <c r="M966" s="26" t="str">
        <f aca="false">IF($A966="","",ROUND(G966*IF(D966="Hourly",N(INDEX(Workers!$N$5:$N$2004,MATCH($A966,Workers!$A$5:$A$2004,0))),I966/Settings!$B$10/Settings!$B$12)*Settings!$B$13,2))</f>
        <v/>
      </c>
      <c r="N966" s="26" t="str">
        <f aca="false">IF($A966="","",K966+L966+M966)</f>
        <v/>
      </c>
      <c r="O966" s="26" t="str">
        <f aca="false">IF($A966="","",SUMIFS(Deductions!$D$5:$D$2000,Deductions!$B$5:$B$2000,$A966,Deductions!$C$5:$C$2000,"Advance",Deductions!$E$5:$E$2000,"&gt;="&amp;Settings!$B$8,Deductions!$E$5:$E$2000,"&lt;="&amp;Settings!$B$9))</f>
        <v/>
      </c>
      <c r="P966" s="26" t="str">
        <f aca="false">IF($A966="","",SUMIFS(Deductions!$D$5:$D$2000,Deductions!$B$5:$B$2000,$A966,Deductions!$E$5:$E$2000,"&gt;="&amp;Settings!$B$8,Deductions!$E$5:$E$2000,"&lt;="&amp;Settings!$B$9)-O966)</f>
        <v/>
      </c>
      <c r="Q966" s="26" t="str">
        <f aca="false">IF($A966="","",O966+P966)</f>
        <v/>
      </c>
      <c r="R966" s="23" t="str">
        <f aca="false">IF($A966="","",N966-Q966)</f>
        <v/>
      </c>
      <c r="S966" s="24" t="str">
        <f aca="false">IF($A966="","",INDEX(Workers!$O$5:$O$2004,MATCH($A966,Workers!$A$5:$A$2004,0))&amp;"")</f>
        <v/>
      </c>
      <c r="T966" s="24" t="str">
        <f aca="false">IF($A966="","",INDEX(Workers!$P$5:$P$2004,MATCH($A966,Workers!$A$5:$A$2004,0))&amp;"")</f>
        <v/>
      </c>
      <c r="U966" s="24" t="str">
        <f aca="false">IF($A966="","",INDEX(Workers!$H$5:$H$2004,MATCH($A966,Workers!$A$5:$A$2004,0))&amp;"")</f>
        <v/>
      </c>
    </row>
    <row r="967" customFormat="false" ht="15" hidden="false" customHeight="false" outlineLevel="0" collapsed="false">
      <c r="A967" s="24" t="str">
        <f aca="false">IFERROR(INDEX(Workers!$A$5:$A$2004,MATCH(ROW()-4,Workers!$U$5:$U$2004,0)),"")</f>
        <v/>
      </c>
      <c r="B967" s="24" t="str">
        <f aca="false">IF($A967="","",INDEX(Workers!$B$5:$B$2004,MATCH($A967,Workers!$A$5:$A$2004,0)))</f>
        <v/>
      </c>
      <c r="C967" s="24" t="str">
        <f aca="false">IF($A967="","",INDEX(Workers!$E$5:$E$2004,MATCH($A967,Workers!$A$5:$A$2004,0)))</f>
        <v/>
      </c>
      <c r="D967" s="24" t="str">
        <f aca="false">IF($A967="","",INDEX(Workers!$K$5:$K$2004,MATCH($A967,Workers!$A$5:$A$2004,0)))</f>
        <v/>
      </c>
      <c r="E967" s="25" t="str">
        <f aca="false">IF($A967="","",SUMIFS(Timesheet!$E$5:$E$3004,Timesheet!$D$5:$D$3004,$A967,Timesheet!$A$5:$A$3004,"&gt;="&amp;Settings!$B$8,Timesheet!$A$5:$A$3004,"&lt;="&amp;Settings!$B$9))</f>
        <v/>
      </c>
      <c r="F967" s="25" t="str">
        <f aca="false">IF($A967="","",SUMIFS(Timesheet!$F$5:$F$3004,Timesheet!$D$5:$D$3004,$A967,Timesheet!$A$5:$A$3004,"&gt;="&amp;Settings!$B$8,Timesheet!$A$5:$A$3004,"&lt;="&amp;Settings!$B$9))</f>
        <v/>
      </c>
      <c r="G967" s="25" t="str">
        <f aca="false">IF($A967="","",SUMIFS(Timesheet!$G$5:$G$3004,Timesheet!$D$5:$D$3004,$A967,Timesheet!$A$5:$A$3004,"&gt;="&amp;Settings!$B$8,Timesheet!$A$5:$A$3004,"&lt;="&amp;Settings!$B$9))</f>
        <v/>
      </c>
      <c r="H967" s="25" t="str">
        <f aca="false">IF($A967="","",IF(D967="Monthly",MAX(0,Settings!$B$11-E967),0))</f>
        <v/>
      </c>
      <c r="I967" s="26" t="str">
        <f aca="false">IF($A967="","",N(INDEX(Workers!$L$5:$L$2004,MATCH($A967,Workers!$A$5:$A$2004,0))))</f>
        <v/>
      </c>
      <c r="J967" s="26" t="str">
        <f aca="false">IF($A967="","",N(INDEX(Workers!$M$5:$M$2004,MATCH($A967,Workers!$A$5:$A$2004,0))))</f>
        <v/>
      </c>
      <c r="K967" s="26" t="str">
        <f aca="false">IF($A967="","",IF(D967="Monthly",ROUND(MAX(0,(I967+J967)-(I967+J967)/Settings!$B$10*H967),2),0))</f>
        <v/>
      </c>
      <c r="L967" s="26" t="str">
        <f aca="false">IF($A967="","",IF(D967="Hourly",ROUND(F967*N(INDEX(Workers!$N$5:$N$2004,MATCH($A967,Workers!$A$5:$A$2004,0))),2),0))</f>
        <v/>
      </c>
      <c r="M967" s="26" t="str">
        <f aca="false">IF($A967="","",ROUND(G967*IF(D967="Hourly",N(INDEX(Workers!$N$5:$N$2004,MATCH($A967,Workers!$A$5:$A$2004,0))),I967/Settings!$B$10/Settings!$B$12)*Settings!$B$13,2))</f>
        <v/>
      </c>
      <c r="N967" s="26" t="str">
        <f aca="false">IF($A967="","",K967+L967+M967)</f>
        <v/>
      </c>
      <c r="O967" s="26" t="str">
        <f aca="false">IF($A967="","",SUMIFS(Deductions!$D$5:$D$2000,Deductions!$B$5:$B$2000,$A967,Deductions!$C$5:$C$2000,"Advance",Deductions!$E$5:$E$2000,"&gt;="&amp;Settings!$B$8,Deductions!$E$5:$E$2000,"&lt;="&amp;Settings!$B$9))</f>
        <v/>
      </c>
      <c r="P967" s="26" t="str">
        <f aca="false">IF($A967="","",SUMIFS(Deductions!$D$5:$D$2000,Deductions!$B$5:$B$2000,$A967,Deductions!$E$5:$E$2000,"&gt;="&amp;Settings!$B$8,Deductions!$E$5:$E$2000,"&lt;="&amp;Settings!$B$9)-O967)</f>
        <v/>
      </c>
      <c r="Q967" s="26" t="str">
        <f aca="false">IF($A967="","",O967+P967)</f>
        <v/>
      </c>
      <c r="R967" s="23" t="str">
        <f aca="false">IF($A967="","",N967-Q967)</f>
        <v/>
      </c>
      <c r="S967" s="24" t="str">
        <f aca="false">IF($A967="","",INDEX(Workers!$O$5:$O$2004,MATCH($A967,Workers!$A$5:$A$2004,0))&amp;"")</f>
        <v/>
      </c>
      <c r="T967" s="24" t="str">
        <f aca="false">IF($A967="","",INDEX(Workers!$P$5:$P$2004,MATCH($A967,Workers!$A$5:$A$2004,0))&amp;"")</f>
        <v/>
      </c>
      <c r="U967" s="24" t="str">
        <f aca="false">IF($A967="","",INDEX(Workers!$H$5:$H$2004,MATCH($A967,Workers!$A$5:$A$2004,0))&amp;"")</f>
        <v/>
      </c>
    </row>
    <row r="968" customFormat="false" ht="15" hidden="false" customHeight="false" outlineLevel="0" collapsed="false">
      <c r="A968" s="24" t="str">
        <f aca="false">IFERROR(INDEX(Workers!$A$5:$A$2004,MATCH(ROW()-4,Workers!$U$5:$U$2004,0)),"")</f>
        <v/>
      </c>
      <c r="B968" s="24" t="str">
        <f aca="false">IF($A968="","",INDEX(Workers!$B$5:$B$2004,MATCH($A968,Workers!$A$5:$A$2004,0)))</f>
        <v/>
      </c>
      <c r="C968" s="24" t="str">
        <f aca="false">IF($A968="","",INDEX(Workers!$E$5:$E$2004,MATCH($A968,Workers!$A$5:$A$2004,0)))</f>
        <v/>
      </c>
      <c r="D968" s="24" t="str">
        <f aca="false">IF($A968="","",INDEX(Workers!$K$5:$K$2004,MATCH($A968,Workers!$A$5:$A$2004,0)))</f>
        <v/>
      </c>
      <c r="E968" s="25" t="str">
        <f aca="false">IF($A968="","",SUMIFS(Timesheet!$E$5:$E$3004,Timesheet!$D$5:$D$3004,$A968,Timesheet!$A$5:$A$3004,"&gt;="&amp;Settings!$B$8,Timesheet!$A$5:$A$3004,"&lt;="&amp;Settings!$B$9))</f>
        <v/>
      </c>
      <c r="F968" s="25" t="str">
        <f aca="false">IF($A968="","",SUMIFS(Timesheet!$F$5:$F$3004,Timesheet!$D$5:$D$3004,$A968,Timesheet!$A$5:$A$3004,"&gt;="&amp;Settings!$B$8,Timesheet!$A$5:$A$3004,"&lt;="&amp;Settings!$B$9))</f>
        <v/>
      </c>
      <c r="G968" s="25" t="str">
        <f aca="false">IF($A968="","",SUMIFS(Timesheet!$G$5:$G$3004,Timesheet!$D$5:$D$3004,$A968,Timesheet!$A$5:$A$3004,"&gt;="&amp;Settings!$B$8,Timesheet!$A$5:$A$3004,"&lt;="&amp;Settings!$B$9))</f>
        <v/>
      </c>
      <c r="H968" s="25" t="str">
        <f aca="false">IF($A968="","",IF(D968="Monthly",MAX(0,Settings!$B$11-E968),0))</f>
        <v/>
      </c>
      <c r="I968" s="26" t="str">
        <f aca="false">IF($A968="","",N(INDEX(Workers!$L$5:$L$2004,MATCH($A968,Workers!$A$5:$A$2004,0))))</f>
        <v/>
      </c>
      <c r="J968" s="26" t="str">
        <f aca="false">IF($A968="","",N(INDEX(Workers!$M$5:$M$2004,MATCH($A968,Workers!$A$5:$A$2004,0))))</f>
        <v/>
      </c>
      <c r="K968" s="26" t="str">
        <f aca="false">IF($A968="","",IF(D968="Monthly",ROUND(MAX(0,(I968+J968)-(I968+J968)/Settings!$B$10*H968),2),0))</f>
        <v/>
      </c>
      <c r="L968" s="26" t="str">
        <f aca="false">IF($A968="","",IF(D968="Hourly",ROUND(F968*N(INDEX(Workers!$N$5:$N$2004,MATCH($A968,Workers!$A$5:$A$2004,0))),2),0))</f>
        <v/>
      </c>
      <c r="M968" s="26" t="str">
        <f aca="false">IF($A968="","",ROUND(G968*IF(D968="Hourly",N(INDEX(Workers!$N$5:$N$2004,MATCH($A968,Workers!$A$5:$A$2004,0))),I968/Settings!$B$10/Settings!$B$12)*Settings!$B$13,2))</f>
        <v/>
      </c>
      <c r="N968" s="26" t="str">
        <f aca="false">IF($A968="","",K968+L968+M968)</f>
        <v/>
      </c>
      <c r="O968" s="26" t="str">
        <f aca="false">IF($A968="","",SUMIFS(Deductions!$D$5:$D$2000,Deductions!$B$5:$B$2000,$A968,Deductions!$C$5:$C$2000,"Advance",Deductions!$E$5:$E$2000,"&gt;="&amp;Settings!$B$8,Deductions!$E$5:$E$2000,"&lt;="&amp;Settings!$B$9))</f>
        <v/>
      </c>
      <c r="P968" s="26" t="str">
        <f aca="false">IF($A968="","",SUMIFS(Deductions!$D$5:$D$2000,Deductions!$B$5:$B$2000,$A968,Deductions!$E$5:$E$2000,"&gt;="&amp;Settings!$B$8,Deductions!$E$5:$E$2000,"&lt;="&amp;Settings!$B$9)-O968)</f>
        <v/>
      </c>
      <c r="Q968" s="26" t="str">
        <f aca="false">IF($A968="","",O968+P968)</f>
        <v/>
      </c>
      <c r="R968" s="23" t="str">
        <f aca="false">IF($A968="","",N968-Q968)</f>
        <v/>
      </c>
      <c r="S968" s="24" t="str">
        <f aca="false">IF($A968="","",INDEX(Workers!$O$5:$O$2004,MATCH($A968,Workers!$A$5:$A$2004,0))&amp;"")</f>
        <v/>
      </c>
      <c r="T968" s="24" t="str">
        <f aca="false">IF($A968="","",INDEX(Workers!$P$5:$P$2004,MATCH($A968,Workers!$A$5:$A$2004,0))&amp;"")</f>
        <v/>
      </c>
      <c r="U968" s="24" t="str">
        <f aca="false">IF($A968="","",INDEX(Workers!$H$5:$H$2004,MATCH($A968,Workers!$A$5:$A$2004,0))&amp;"")</f>
        <v/>
      </c>
    </row>
    <row r="969" customFormat="false" ht="15" hidden="false" customHeight="false" outlineLevel="0" collapsed="false">
      <c r="A969" s="24" t="str">
        <f aca="false">IFERROR(INDEX(Workers!$A$5:$A$2004,MATCH(ROW()-4,Workers!$U$5:$U$2004,0)),"")</f>
        <v/>
      </c>
      <c r="B969" s="24" t="str">
        <f aca="false">IF($A969="","",INDEX(Workers!$B$5:$B$2004,MATCH($A969,Workers!$A$5:$A$2004,0)))</f>
        <v/>
      </c>
      <c r="C969" s="24" t="str">
        <f aca="false">IF($A969="","",INDEX(Workers!$E$5:$E$2004,MATCH($A969,Workers!$A$5:$A$2004,0)))</f>
        <v/>
      </c>
      <c r="D969" s="24" t="str">
        <f aca="false">IF($A969="","",INDEX(Workers!$K$5:$K$2004,MATCH($A969,Workers!$A$5:$A$2004,0)))</f>
        <v/>
      </c>
      <c r="E969" s="25" t="str">
        <f aca="false">IF($A969="","",SUMIFS(Timesheet!$E$5:$E$3004,Timesheet!$D$5:$D$3004,$A969,Timesheet!$A$5:$A$3004,"&gt;="&amp;Settings!$B$8,Timesheet!$A$5:$A$3004,"&lt;="&amp;Settings!$B$9))</f>
        <v/>
      </c>
      <c r="F969" s="25" t="str">
        <f aca="false">IF($A969="","",SUMIFS(Timesheet!$F$5:$F$3004,Timesheet!$D$5:$D$3004,$A969,Timesheet!$A$5:$A$3004,"&gt;="&amp;Settings!$B$8,Timesheet!$A$5:$A$3004,"&lt;="&amp;Settings!$B$9))</f>
        <v/>
      </c>
      <c r="G969" s="25" t="str">
        <f aca="false">IF($A969="","",SUMIFS(Timesheet!$G$5:$G$3004,Timesheet!$D$5:$D$3004,$A969,Timesheet!$A$5:$A$3004,"&gt;="&amp;Settings!$B$8,Timesheet!$A$5:$A$3004,"&lt;="&amp;Settings!$B$9))</f>
        <v/>
      </c>
      <c r="H969" s="25" t="str">
        <f aca="false">IF($A969="","",IF(D969="Monthly",MAX(0,Settings!$B$11-E969),0))</f>
        <v/>
      </c>
      <c r="I969" s="26" t="str">
        <f aca="false">IF($A969="","",N(INDEX(Workers!$L$5:$L$2004,MATCH($A969,Workers!$A$5:$A$2004,0))))</f>
        <v/>
      </c>
      <c r="J969" s="26" t="str">
        <f aca="false">IF($A969="","",N(INDEX(Workers!$M$5:$M$2004,MATCH($A969,Workers!$A$5:$A$2004,0))))</f>
        <v/>
      </c>
      <c r="K969" s="26" t="str">
        <f aca="false">IF($A969="","",IF(D969="Monthly",ROUND(MAX(0,(I969+J969)-(I969+J969)/Settings!$B$10*H969),2),0))</f>
        <v/>
      </c>
      <c r="L969" s="26" t="str">
        <f aca="false">IF($A969="","",IF(D969="Hourly",ROUND(F969*N(INDEX(Workers!$N$5:$N$2004,MATCH($A969,Workers!$A$5:$A$2004,0))),2),0))</f>
        <v/>
      </c>
      <c r="M969" s="26" t="str">
        <f aca="false">IF($A969="","",ROUND(G969*IF(D969="Hourly",N(INDEX(Workers!$N$5:$N$2004,MATCH($A969,Workers!$A$5:$A$2004,0))),I969/Settings!$B$10/Settings!$B$12)*Settings!$B$13,2))</f>
        <v/>
      </c>
      <c r="N969" s="26" t="str">
        <f aca="false">IF($A969="","",K969+L969+M969)</f>
        <v/>
      </c>
      <c r="O969" s="26" t="str">
        <f aca="false">IF($A969="","",SUMIFS(Deductions!$D$5:$D$2000,Deductions!$B$5:$B$2000,$A969,Deductions!$C$5:$C$2000,"Advance",Deductions!$E$5:$E$2000,"&gt;="&amp;Settings!$B$8,Deductions!$E$5:$E$2000,"&lt;="&amp;Settings!$B$9))</f>
        <v/>
      </c>
      <c r="P969" s="26" t="str">
        <f aca="false">IF($A969="","",SUMIFS(Deductions!$D$5:$D$2000,Deductions!$B$5:$B$2000,$A969,Deductions!$E$5:$E$2000,"&gt;="&amp;Settings!$B$8,Deductions!$E$5:$E$2000,"&lt;="&amp;Settings!$B$9)-O969)</f>
        <v/>
      </c>
      <c r="Q969" s="26" t="str">
        <f aca="false">IF($A969="","",O969+P969)</f>
        <v/>
      </c>
      <c r="R969" s="23" t="str">
        <f aca="false">IF($A969="","",N969-Q969)</f>
        <v/>
      </c>
      <c r="S969" s="24" t="str">
        <f aca="false">IF($A969="","",INDEX(Workers!$O$5:$O$2004,MATCH($A969,Workers!$A$5:$A$2004,0))&amp;"")</f>
        <v/>
      </c>
      <c r="T969" s="24" t="str">
        <f aca="false">IF($A969="","",INDEX(Workers!$P$5:$P$2004,MATCH($A969,Workers!$A$5:$A$2004,0))&amp;"")</f>
        <v/>
      </c>
      <c r="U969" s="24" t="str">
        <f aca="false">IF($A969="","",INDEX(Workers!$H$5:$H$2004,MATCH($A969,Workers!$A$5:$A$2004,0))&amp;"")</f>
        <v/>
      </c>
    </row>
    <row r="970" customFormat="false" ht="15" hidden="false" customHeight="false" outlineLevel="0" collapsed="false">
      <c r="A970" s="24" t="str">
        <f aca="false">IFERROR(INDEX(Workers!$A$5:$A$2004,MATCH(ROW()-4,Workers!$U$5:$U$2004,0)),"")</f>
        <v/>
      </c>
      <c r="B970" s="24" t="str">
        <f aca="false">IF($A970="","",INDEX(Workers!$B$5:$B$2004,MATCH($A970,Workers!$A$5:$A$2004,0)))</f>
        <v/>
      </c>
      <c r="C970" s="24" t="str">
        <f aca="false">IF($A970="","",INDEX(Workers!$E$5:$E$2004,MATCH($A970,Workers!$A$5:$A$2004,0)))</f>
        <v/>
      </c>
      <c r="D970" s="24" t="str">
        <f aca="false">IF($A970="","",INDEX(Workers!$K$5:$K$2004,MATCH($A970,Workers!$A$5:$A$2004,0)))</f>
        <v/>
      </c>
      <c r="E970" s="25" t="str">
        <f aca="false">IF($A970="","",SUMIFS(Timesheet!$E$5:$E$3004,Timesheet!$D$5:$D$3004,$A970,Timesheet!$A$5:$A$3004,"&gt;="&amp;Settings!$B$8,Timesheet!$A$5:$A$3004,"&lt;="&amp;Settings!$B$9))</f>
        <v/>
      </c>
      <c r="F970" s="25" t="str">
        <f aca="false">IF($A970="","",SUMIFS(Timesheet!$F$5:$F$3004,Timesheet!$D$5:$D$3004,$A970,Timesheet!$A$5:$A$3004,"&gt;="&amp;Settings!$B$8,Timesheet!$A$5:$A$3004,"&lt;="&amp;Settings!$B$9))</f>
        <v/>
      </c>
      <c r="G970" s="25" t="str">
        <f aca="false">IF($A970="","",SUMIFS(Timesheet!$G$5:$G$3004,Timesheet!$D$5:$D$3004,$A970,Timesheet!$A$5:$A$3004,"&gt;="&amp;Settings!$B$8,Timesheet!$A$5:$A$3004,"&lt;="&amp;Settings!$B$9))</f>
        <v/>
      </c>
      <c r="H970" s="25" t="str">
        <f aca="false">IF($A970="","",IF(D970="Monthly",MAX(0,Settings!$B$11-E970),0))</f>
        <v/>
      </c>
      <c r="I970" s="26" t="str">
        <f aca="false">IF($A970="","",N(INDEX(Workers!$L$5:$L$2004,MATCH($A970,Workers!$A$5:$A$2004,0))))</f>
        <v/>
      </c>
      <c r="J970" s="26" t="str">
        <f aca="false">IF($A970="","",N(INDEX(Workers!$M$5:$M$2004,MATCH($A970,Workers!$A$5:$A$2004,0))))</f>
        <v/>
      </c>
      <c r="K970" s="26" t="str">
        <f aca="false">IF($A970="","",IF(D970="Monthly",ROUND(MAX(0,(I970+J970)-(I970+J970)/Settings!$B$10*H970),2),0))</f>
        <v/>
      </c>
      <c r="L970" s="26" t="str">
        <f aca="false">IF($A970="","",IF(D970="Hourly",ROUND(F970*N(INDEX(Workers!$N$5:$N$2004,MATCH($A970,Workers!$A$5:$A$2004,0))),2),0))</f>
        <v/>
      </c>
      <c r="M970" s="26" t="str">
        <f aca="false">IF($A970="","",ROUND(G970*IF(D970="Hourly",N(INDEX(Workers!$N$5:$N$2004,MATCH($A970,Workers!$A$5:$A$2004,0))),I970/Settings!$B$10/Settings!$B$12)*Settings!$B$13,2))</f>
        <v/>
      </c>
      <c r="N970" s="26" t="str">
        <f aca="false">IF($A970="","",K970+L970+M970)</f>
        <v/>
      </c>
      <c r="O970" s="26" t="str">
        <f aca="false">IF($A970="","",SUMIFS(Deductions!$D$5:$D$2000,Deductions!$B$5:$B$2000,$A970,Deductions!$C$5:$C$2000,"Advance",Deductions!$E$5:$E$2000,"&gt;="&amp;Settings!$B$8,Deductions!$E$5:$E$2000,"&lt;="&amp;Settings!$B$9))</f>
        <v/>
      </c>
      <c r="P970" s="26" t="str">
        <f aca="false">IF($A970="","",SUMIFS(Deductions!$D$5:$D$2000,Deductions!$B$5:$B$2000,$A970,Deductions!$E$5:$E$2000,"&gt;="&amp;Settings!$B$8,Deductions!$E$5:$E$2000,"&lt;="&amp;Settings!$B$9)-O970)</f>
        <v/>
      </c>
      <c r="Q970" s="26" t="str">
        <f aca="false">IF($A970="","",O970+P970)</f>
        <v/>
      </c>
      <c r="R970" s="23" t="str">
        <f aca="false">IF($A970="","",N970-Q970)</f>
        <v/>
      </c>
      <c r="S970" s="24" t="str">
        <f aca="false">IF($A970="","",INDEX(Workers!$O$5:$O$2004,MATCH($A970,Workers!$A$5:$A$2004,0))&amp;"")</f>
        <v/>
      </c>
      <c r="T970" s="24" t="str">
        <f aca="false">IF($A970="","",INDEX(Workers!$P$5:$P$2004,MATCH($A970,Workers!$A$5:$A$2004,0))&amp;"")</f>
        <v/>
      </c>
      <c r="U970" s="24" t="str">
        <f aca="false">IF($A970="","",INDEX(Workers!$H$5:$H$2004,MATCH($A970,Workers!$A$5:$A$2004,0))&amp;"")</f>
        <v/>
      </c>
    </row>
    <row r="971" customFormat="false" ht="15" hidden="false" customHeight="false" outlineLevel="0" collapsed="false">
      <c r="A971" s="24" t="str">
        <f aca="false">IFERROR(INDEX(Workers!$A$5:$A$2004,MATCH(ROW()-4,Workers!$U$5:$U$2004,0)),"")</f>
        <v/>
      </c>
      <c r="B971" s="24" t="str">
        <f aca="false">IF($A971="","",INDEX(Workers!$B$5:$B$2004,MATCH($A971,Workers!$A$5:$A$2004,0)))</f>
        <v/>
      </c>
      <c r="C971" s="24" t="str">
        <f aca="false">IF($A971="","",INDEX(Workers!$E$5:$E$2004,MATCH($A971,Workers!$A$5:$A$2004,0)))</f>
        <v/>
      </c>
      <c r="D971" s="24" t="str">
        <f aca="false">IF($A971="","",INDEX(Workers!$K$5:$K$2004,MATCH($A971,Workers!$A$5:$A$2004,0)))</f>
        <v/>
      </c>
      <c r="E971" s="25" t="str">
        <f aca="false">IF($A971="","",SUMIFS(Timesheet!$E$5:$E$3004,Timesheet!$D$5:$D$3004,$A971,Timesheet!$A$5:$A$3004,"&gt;="&amp;Settings!$B$8,Timesheet!$A$5:$A$3004,"&lt;="&amp;Settings!$B$9))</f>
        <v/>
      </c>
      <c r="F971" s="25" t="str">
        <f aca="false">IF($A971="","",SUMIFS(Timesheet!$F$5:$F$3004,Timesheet!$D$5:$D$3004,$A971,Timesheet!$A$5:$A$3004,"&gt;="&amp;Settings!$B$8,Timesheet!$A$5:$A$3004,"&lt;="&amp;Settings!$B$9))</f>
        <v/>
      </c>
      <c r="G971" s="25" t="str">
        <f aca="false">IF($A971="","",SUMIFS(Timesheet!$G$5:$G$3004,Timesheet!$D$5:$D$3004,$A971,Timesheet!$A$5:$A$3004,"&gt;="&amp;Settings!$B$8,Timesheet!$A$5:$A$3004,"&lt;="&amp;Settings!$B$9))</f>
        <v/>
      </c>
      <c r="H971" s="25" t="str">
        <f aca="false">IF($A971="","",IF(D971="Monthly",MAX(0,Settings!$B$11-E971),0))</f>
        <v/>
      </c>
      <c r="I971" s="26" t="str">
        <f aca="false">IF($A971="","",N(INDEX(Workers!$L$5:$L$2004,MATCH($A971,Workers!$A$5:$A$2004,0))))</f>
        <v/>
      </c>
      <c r="J971" s="26" t="str">
        <f aca="false">IF($A971="","",N(INDEX(Workers!$M$5:$M$2004,MATCH($A971,Workers!$A$5:$A$2004,0))))</f>
        <v/>
      </c>
      <c r="K971" s="26" t="str">
        <f aca="false">IF($A971="","",IF(D971="Monthly",ROUND(MAX(0,(I971+J971)-(I971+J971)/Settings!$B$10*H971),2),0))</f>
        <v/>
      </c>
      <c r="L971" s="26" t="str">
        <f aca="false">IF($A971="","",IF(D971="Hourly",ROUND(F971*N(INDEX(Workers!$N$5:$N$2004,MATCH($A971,Workers!$A$5:$A$2004,0))),2),0))</f>
        <v/>
      </c>
      <c r="M971" s="26" t="str">
        <f aca="false">IF($A971="","",ROUND(G971*IF(D971="Hourly",N(INDEX(Workers!$N$5:$N$2004,MATCH($A971,Workers!$A$5:$A$2004,0))),I971/Settings!$B$10/Settings!$B$12)*Settings!$B$13,2))</f>
        <v/>
      </c>
      <c r="N971" s="26" t="str">
        <f aca="false">IF($A971="","",K971+L971+M971)</f>
        <v/>
      </c>
      <c r="O971" s="26" t="str">
        <f aca="false">IF($A971="","",SUMIFS(Deductions!$D$5:$D$2000,Deductions!$B$5:$B$2000,$A971,Deductions!$C$5:$C$2000,"Advance",Deductions!$E$5:$E$2000,"&gt;="&amp;Settings!$B$8,Deductions!$E$5:$E$2000,"&lt;="&amp;Settings!$B$9))</f>
        <v/>
      </c>
      <c r="P971" s="26" t="str">
        <f aca="false">IF($A971="","",SUMIFS(Deductions!$D$5:$D$2000,Deductions!$B$5:$B$2000,$A971,Deductions!$E$5:$E$2000,"&gt;="&amp;Settings!$B$8,Deductions!$E$5:$E$2000,"&lt;="&amp;Settings!$B$9)-O971)</f>
        <v/>
      </c>
      <c r="Q971" s="26" t="str">
        <f aca="false">IF($A971="","",O971+P971)</f>
        <v/>
      </c>
      <c r="R971" s="23" t="str">
        <f aca="false">IF($A971="","",N971-Q971)</f>
        <v/>
      </c>
      <c r="S971" s="24" t="str">
        <f aca="false">IF($A971="","",INDEX(Workers!$O$5:$O$2004,MATCH($A971,Workers!$A$5:$A$2004,0))&amp;"")</f>
        <v/>
      </c>
      <c r="T971" s="24" t="str">
        <f aca="false">IF($A971="","",INDEX(Workers!$P$5:$P$2004,MATCH($A971,Workers!$A$5:$A$2004,0))&amp;"")</f>
        <v/>
      </c>
      <c r="U971" s="24" t="str">
        <f aca="false">IF($A971="","",INDEX(Workers!$H$5:$H$2004,MATCH($A971,Workers!$A$5:$A$2004,0))&amp;"")</f>
        <v/>
      </c>
    </row>
    <row r="972" customFormat="false" ht="15" hidden="false" customHeight="false" outlineLevel="0" collapsed="false">
      <c r="A972" s="24" t="str">
        <f aca="false">IFERROR(INDEX(Workers!$A$5:$A$2004,MATCH(ROW()-4,Workers!$U$5:$U$2004,0)),"")</f>
        <v/>
      </c>
      <c r="B972" s="24" t="str">
        <f aca="false">IF($A972="","",INDEX(Workers!$B$5:$B$2004,MATCH($A972,Workers!$A$5:$A$2004,0)))</f>
        <v/>
      </c>
      <c r="C972" s="24" t="str">
        <f aca="false">IF($A972="","",INDEX(Workers!$E$5:$E$2004,MATCH($A972,Workers!$A$5:$A$2004,0)))</f>
        <v/>
      </c>
      <c r="D972" s="24" t="str">
        <f aca="false">IF($A972="","",INDEX(Workers!$K$5:$K$2004,MATCH($A972,Workers!$A$5:$A$2004,0)))</f>
        <v/>
      </c>
      <c r="E972" s="25" t="str">
        <f aca="false">IF($A972="","",SUMIFS(Timesheet!$E$5:$E$3004,Timesheet!$D$5:$D$3004,$A972,Timesheet!$A$5:$A$3004,"&gt;="&amp;Settings!$B$8,Timesheet!$A$5:$A$3004,"&lt;="&amp;Settings!$B$9))</f>
        <v/>
      </c>
      <c r="F972" s="25" t="str">
        <f aca="false">IF($A972="","",SUMIFS(Timesheet!$F$5:$F$3004,Timesheet!$D$5:$D$3004,$A972,Timesheet!$A$5:$A$3004,"&gt;="&amp;Settings!$B$8,Timesheet!$A$5:$A$3004,"&lt;="&amp;Settings!$B$9))</f>
        <v/>
      </c>
      <c r="G972" s="25" t="str">
        <f aca="false">IF($A972="","",SUMIFS(Timesheet!$G$5:$G$3004,Timesheet!$D$5:$D$3004,$A972,Timesheet!$A$5:$A$3004,"&gt;="&amp;Settings!$B$8,Timesheet!$A$5:$A$3004,"&lt;="&amp;Settings!$B$9))</f>
        <v/>
      </c>
      <c r="H972" s="25" t="str">
        <f aca="false">IF($A972="","",IF(D972="Monthly",MAX(0,Settings!$B$11-E972),0))</f>
        <v/>
      </c>
      <c r="I972" s="26" t="str">
        <f aca="false">IF($A972="","",N(INDEX(Workers!$L$5:$L$2004,MATCH($A972,Workers!$A$5:$A$2004,0))))</f>
        <v/>
      </c>
      <c r="J972" s="26" t="str">
        <f aca="false">IF($A972="","",N(INDEX(Workers!$M$5:$M$2004,MATCH($A972,Workers!$A$5:$A$2004,0))))</f>
        <v/>
      </c>
      <c r="K972" s="26" t="str">
        <f aca="false">IF($A972="","",IF(D972="Monthly",ROUND(MAX(0,(I972+J972)-(I972+J972)/Settings!$B$10*H972),2),0))</f>
        <v/>
      </c>
      <c r="L972" s="26" t="str">
        <f aca="false">IF($A972="","",IF(D972="Hourly",ROUND(F972*N(INDEX(Workers!$N$5:$N$2004,MATCH($A972,Workers!$A$5:$A$2004,0))),2),0))</f>
        <v/>
      </c>
      <c r="M972" s="26" t="str">
        <f aca="false">IF($A972="","",ROUND(G972*IF(D972="Hourly",N(INDEX(Workers!$N$5:$N$2004,MATCH($A972,Workers!$A$5:$A$2004,0))),I972/Settings!$B$10/Settings!$B$12)*Settings!$B$13,2))</f>
        <v/>
      </c>
      <c r="N972" s="26" t="str">
        <f aca="false">IF($A972="","",K972+L972+M972)</f>
        <v/>
      </c>
      <c r="O972" s="26" t="str">
        <f aca="false">IF($A972="","",SUMIFS(Deductions!$D$5:$D$2000,Deductions!$B$5:$B$2000,$A972,Deductions!$C$5:$C$2000,"Advance",Deductions!$E$5:$E$2000,"&gt;="&amp;Settings!$B$8,Deductions!$E$5:$E$2000,"&lt;="&amp;Settings!$B$9))</f>
        <v/>
      </c>
      <c r="P972" s="26" t="str">
        <f aca="false">IF($A972="","",SUMIFS(Deductions!$D$5:$D$2000,Deductions!$B$5:$B$2000,$A972,Deductions!$E$5:$E$2000,"&gt;="&amp;Settings!$B$8,Deductions!$E$5:$E$2000,"&lt;="&amp;Settings!$B$9)-O972)</f>
        <v/>
      </c>
      <c r="Q972" s="26" t="str">
        <f aca="false">IF($A972="","",O972+P972)</f>
        <v/>
      </c>
      <c r="R972" s="23" t="str">
        <f aca="false">IF($A972="","",N972-Q972)</f>
        <v/>
      </c>
      <c r="S972" s="24" t="str">
        <f aca="false">IF($A972="","",INDEX(Workers!$O$5:$O$2004,MATCH($A972,Workers!$A$5:$A$2004,0))&amp;"")</f>
        <v/>
      </c>
      <c r="T972" s="24" t="str">
        <f aca="false">IF($A972="","",INDEX(Workers!$P$5:$P$2004,MATCH($A972,Workers!$A$5:$A$2004,0))&amp;"")</f>
        <v/>
      </c>
      <c r="U972" s="24" t="str">
        <f aca="false">IF($A972="","",INDEX(Workers!$H$5:$H$2004,MATCH($A972,Workers!$A$5:$A$2004,0))&amp;"")</f>
        <v/>
      </c>
    </row>
    <row r="973" customFormat="false" ht="15" hidden="false" customHeight="false" outlineLevel="0" collapsed="false">
      <c r="A973" s="24" t="str">
        <f aca="false">IFERROR(INDEX(Workers!$A$5:$A$2004,MATCH(ROW()-4,Workers!$U$5:$U$2004,0)),"")</f>
        <v/>
      </c>
      <c r="B973" s="24" t="str">
        <f aca="false">IF($A973="","",INDEX(Workers!$B$5:$B$2004,MATCH($A973,Workers!$A$5:$A$2004,0)))</f>
        <v/>
      </c>
      <c r="C973" s="24" t="str">
        <f aca="false">IF($A973="","",INDEX(Workers!$E$5:$E$2004,MATCH($A973,Workers!$A$5:$A$2004,0)))</f>
        <v/>
      </c>
      <c r="D973" s="24" t="str">
        <f aca="false">IF($A973="","",INDEX(Workers!$K$5:$K$2004,MATCH($A973,Workers!$A$5:$A$2004,0)))</f>
        <v/>
      </c>
      <c r="E973" s="25" t="str">
        <f aca="false">IF($A973="","",SUMIFS(Timesheet!$E$5:$E$3004,Timesheet!$D$5:$D$3004,$A973,Timesheet!$A$5:$A$3004,"&gt;="&amp;Settings!$B$8,Timesheet!$A$5:$A$3004,"&lt;="&amp;Settings!$B$9))</f>
        <v/>
      </c>
      <c r="F973" s="25" t="str">
        <f aca="false">IF($A973="","",SUMIFS(Timesheet!$F$5:$F$3004,Timesheet!$D$5:$D$3004,$A973,Timesheet!$A$5:$A$3004,"&gt;="&amp;Settings!$B$8,Timesheet!$A$5:$A$3004,"&lt;="&amp;Settings!$B$9))</f>
        <v/>
      </c>
      <c r="G973" s="25" t="str">
        <f aca="false">IF($A973="","",SUMIFS(Timesheet!$G$5:$G$3004,Timesheet!$D$5:$D$3004,$A973,Timesheet!$A$5:$A$3004,"&gt;="&amp;Settings!$B$8,Timesheet!$A$5:$A$3004,"&lt;="&amp;Settings!$B$9))</f>
        <v/>
      </c>
      <c r="H973" s="25" t="str">
        <f aca="false">IF($A973="","",IF(D973="Monthly",MAX(0,Settings!$B$11-E973),0))</f>
        <v/>
      </c>
      <c r="I973" s="26" t="str">
        <f aca="false">IF($A973="","",N(INDEX(Workers!$L$5:$L$2004,MATCH($A973,Workers!$A$5:$A$2004,0))))</f>
        <v/>
      </c>
      <c r="J973" s="26" t="str">
        <f aca="false">IF($A973="","",N(INDEX(Workers!$M$5:$M$2004,MATCH($A973,Workers!$A$5:$A$2004,0))))</f>
        <v/>
      </c>
      <c r="K973" s="26" t="str">
        <f aca="false">IF($A973="","",IF(D973="Monthly",ROUND(MAX(0,(I973+J973)-(I973+J973)/Settings!$B$10*H973),2),0))</f>
        <v/>
      </c>
      <c r="L973" s="26" t="str">
        <f aca="false">IF($A973="","",IF(D973="Hourly",ROUND(F973*N(INDEX(Workers!$N$5:$N$2004,MATCH($A973,Workers!$A$5:$A$2004,0))),2),0))</f>
        <v/>
      </c>
      <c r="M973" s="26" t="str">
        <f aca="false">IF($A973="","",ROUND(G973*IF(D973="Hourly",N(INDEX(Workers!$N$5:$N$2004,MATCH($A973,Workers!$A$5:$A$2004,0))),I973/Settings!$B$10/Settings!$B$12)*Settings!$B$13,2))</f>
        <v/>
      </c>
      <c r="N973" s="26" t="str">
        <f aca="false">IF($A973="","",K973+L973+M973)</f>
        <v/>
      </c>
      <c r="O973" s="26" t="str">
        <f aca="false">IF($A973="","",SUMIFS(Deductions!$D$5:$D$2000,Deductions!$B$5:$B$2000,$A973,Deductions!$C$5:$C$2000,"Advance",Deductions!$E$5:$E$2000,"&gt;="&amp;Settings!$B$8,Deductions!$E$5:$E$2000,"&lt;="&amp;Settings!$B$9))</f>
        <v/>
      </c>
      <c r="P973" s="26" t="str">
        <f aca="false">IF($A973="","",SUMIFS(Deductions!$D$5:$D$2000,Deductions!$B$5:$B$2000,$A973,Deductions!$E$5:$E$2000,"&gt;="&amp;Settings!$B$8,Deductions!$E$5:$E$2000,"&lt;="&amp;Settings!$B$9)-O973)</f>
        <v/>
      </c>
      <c r="Q973" s="26" t="str">
        <f aca="false">IF($A973="","",O973+P973)</f>
        <v/>
      </c>
      <c r="R973" s="23" t="str">
        <f aca="false">IF($A973="","",N973-Q973)</f>
        <v/>
      </c>
      <c r="S973" s="24" t="str">
        <f aca="false">IF($A973="","",INDEX(Workers!$O$5:$O$2004,MATCH($A973,Workers!$A$5:$A$2004,0))&amp;"")</f>
        <v/>
      </c>
      <c r="T973" s="24" t="str">
        <f aca="false">IF($A973="","",INDEX(Workers!$P$5:$P$2004,MATCH($A973,Workers!$A$5:$A$2004,0))&amp;"")</f>
        <v/>
      </c>
      <c r="U973" s="24" t="str">
        <f aca="false">IF($A973="","",INDEX(Workers!$H$5:$H$2004,MATCH($A973,Workers!$A$5:$A$2004,0))&amp;"")</f>
        <v/>
      </c>
    </row>
    <row r="974" customFormat="false" ht="15" hidden="false" customHeight="false" outlineLevel="0" collapsed="false">
      <c r="A974" s="24" t="str">
        <f aca="false">IFERROR(INDEX(Workers!$A$5:$A$2004,MATCH(ROW()-4,Workers!$U$5:$U$2004,0)),"")</f>
        <v/>
      </c>
      <c r="B974" s="24" t="str">
        <f aca="false">IF($A974="","",INDEX(Workers!$B$5:$B$2004,MATCH($A974,Workers!$A$5:$A$2004,0)))</f>
        <v/>
      </c>
      <c r="C974" s="24" t="str">
        <f aca="false">IF($A974="","",INDEX(Workers!$E$5:$E$2004,MATCH($A974,Workers!$A$5:$A$2004,0)))</f>
        <v/>
      </c>
      <c r="D974" s="24" t="str">
        <f aca="false">IF($A974="","",INDEX(Workers!$K$5:$K$2004,MATCH($A974,Workers!$A$5:$A$2004,0)))</f>
        <v/>
      </c>
      <c r="E974" s="25" t="str">
        <f aca="false">IF($A974="","",SUMIFS(Timesheet!$E$5:$E$3004,Timesheet!$D$5:$D$3004,$A974,Timesheet!$A$5:$A$3004,"&gt;="&amp;Settings!$B$8,Timesheet!$A$5:$A$3004,"&lt;="&amp;Settings!$B$9))</f>
        <v/>
      </c>
      <c r="F974" s="25" t="str">
        <f aca="false">IF($A974="","",SUMIFS(Timesheet!$F$5:$F$3004,Timesheet!$D$5:$D$3004,$A974,Timesheet!$A$5:$A$3004,"&gt;="&amp;Settings!$B$8,Timesheet!$A$5:$A$3004,"&lt;="&amp;Settings!$B$9))</f>
        <v/>
      </c>
      <c r="G974" s="25" t="str">
        <f aca="false">IF($A974="","",SUMIFS(Timesheet!$G$5:$G$3004,Timesheet!$D$5:$D$3004,$A974,Timesheet!$A$5:$A$3004,"&gt;="&amp;Settings!$B$8,Timesheet!$A$5:$A$3004,"&lt;="&amp;Settings!$B$9))</f>
        <v/>
      </c>
      <c r="H974" s="25" t="str">
        <f aca="false">IF($A974="","",IF(D974="Monthly",MAX(0,Settings!$B$11-E974),0))</f>
        <v/>
      </c>
      <c r="I974" s="26" t="str">
        <f aca="false">IF($A974="","",N(INDEX(Workers!$L$5:$L$2004,MATCH($A974,Workers!$A$5:$A$2004,0))))</f>
        <v/>
      </c>
      <c r="J974" s="26" t="str">
        <f aca="false">IF($A974="","",N(INDEX(Workers!$M$5:$M$2004,MATCH($A974,Workers!$A$5:$A$2004,0))))</f>
        <v/>
      </c>
      <c r="K974" s="26" t="str">
        <f aca="false">IF($A974="","",IF(D974="Monthly",ROUND(MAX(0,(I974+J974)-(I974+J974)/Settings!$B$10*H974),2),0))</f>
        <v/>
      </c>
      <c r="L974" s="26" t="str">
        <f aca="false">IF($A974="","",IF(D974="Hourly",ROUND(F974*N(INDEX(Workers!$N$5:$N$2004,MATCH($A974,Workers!$A$5:$A$2004,0))),2),0))</f>
        <v/>
      </c>
      <c r="M974" s="26" t="str">
        <f aca="false">IF($A974="","",ROUND(G974*IF(D974="Hourly",N(INDEX(Workers!$N$5:$N$2004,MATCH($A974,Workers!$A$5:$A$2004,0))),I974/Settings!$B$10/Settings!$B$12)*Settings!$B$13,2))</f>
        <v/>
      </c>
      <c r="N974" s="26" t="str">
        <f aca="false">IF($A974="","",K974+L974+M974)</f>
        <v/>
      </c>
      <c r="O974" s="26" t="str">
        <f aca="false">IF($A974="","",SUMIFS(Deductions!$D$5:$D$2000,Deductions!$B$5:$B$2000,$A974,Deductions!$C$5:$C$2000,"Advance",Deductions!$E$5:$E$2000,"&gt;="&amp;Settings!$B$8,Deductions!$E$5:$E$2000,"&lt;="&amp;Settings!$B$9))</f>
        <v/>
      </c>
      <c r="P974" s="26" t="str">
        <f aca="false">IF($A974="","",SUMIFS(Deductions!$D$5:$D$2000,Deductions!$B$5:$B$2000,$A974,Deductions!$E$5:$E$2000,"&gt;="&amp;Settings!$B$8,Deductions!$E$5:$E$2000,"&lt;="&amp;Settings!$B$9)-O974)</f>
        <v/>
      </c>
      <c r="Q974" s="26" t="str">
        <f aca="false">IF($A974="","",O974+P974)</f>
        <v/>
      </c>
      <c r="R974" s="23" t="str">
        <f aca="false">IF($A974="","",N974-Q974)</f>
        <v/>
      </c>
      <c r="S974" s="24" t="str">
        <f aca="false">IF($A974="","",INDEX(Workers!$O$5:$O$2004,MATCH($A974,Workers!$A$5:$A$2004,0))&amp;"")</f>
        <v/>
      </c>
      <c r="T974" s="24" t="str">
        <f aca="false">IF($A974="","",INDEX(Workers!$P$5:$P$2004,MATCH($A974,Workers!$A$5:$A$2004,0))&amp;"")</f>
        <v/>
      </c>
      <c r="U974" s="24" t="str">
        <f aca="false">IF($A974="","",INDEX(Workers!$H$5:$H$2004,MATCH($A974,Workers!$A$5:$A$2004,0))&amp;"")</f>
        <v/>
      </c>
    </row>
    <row r="975" customFormat="false" ht="15" hidden="false" customHeight="false" outlineLevel="0" collapsed="false">
      <c r="A975" s="24" t="str">
        <f aca="false">IFERROR(INDEX(Workers!$A$5:$A$2004,MATCH(ROW()-4,Workers!$U$5:$U$2004,0)),"")</f>
        <v/>
      </c>
      <c r="B975" s="24" t="str">
        <f aca="false">IF($A975="","",INDEX(Workers!$B$5:$B$2004,MATCH($A975,Workers!$A$5:$A$2004,0)))</f>
        <v/>
      </c>
      <c r="C975" s="24" t="str">
        <f aca="false">IF($A975="","",INDEX(Workers!$E$5:$E$2004,MATCH($A975,Workers!$A$5:$A$2004,0)))</f>
        <v/>
      </c>
      <c r="D975" s="24" t="str">
        <f aca="false">IF($A975="","",INDEX(Workers!$K$5:$K$2004,MATCH($A975,Workers!$A$5:$A$2004,0)))</f>
        <v/>
      </c>
      <c r="E975" s="25" t="str">
        <f aca="false">IF($A975="","",SUMIFS(Timesheet!$E$5:$E$3004,Timesheet!$D$5:$D$3004,$A975,Timesheet!$A$5:$A$3004,"&gt;="&amp;Settings!$B$8,Timesheet!$A$5:$A$3004,"&lt;="&amp;Settings!$B$9))</f>
        <v/>
      </c>
      <c r="F975" s="25" t="str">
        <f aca="false">IF($A975="","",SUMIFS(Timesheet!$F$5:$F$3004,Timesheet!$D$5:$D$3004,$A975,Timesheet!$A$5:$A$3004,"&gt;="&amp;Settings!$B$8,Timesheet!$A$5:$A$3004,"&lt;="&amp;Settings!$B$9))</f>
        <v/>
      </c>
      <c r="G975" s="25" t="str">
        <f aca="false">IF($A975="","",SUMIFS(Timesheet!$G$5:$G$3004,Timesheet!$D$5:$D$3004,$A975,Timesheet!$A$5:$A$3004,"&gt;="&amp;Settings!$B$8,Timesheet!$A$5:$A$3004,"&lt;="&amp;Settings!$B$9))</f>
        <v/>
      </c>
      <c r="H975" s="25" t="str">
        <f aca="false">IF($A975="","",IF(D975="Monthly",MAX(0,Settings!$B$11-E975),0))</f>
        <v/>
      </c>
      <c r="I975" s="26" t="str">
        <f aca="false">IF($A975="","",N(INDEX(Workers!$L$5:$L$2004,MATCH($A975,Workers!$A$5:$A$2004,0))))</f>
        <v/>
      </c>
      <c r="J975" s="26" t="str">
        <f aca="false">IF($A975="","",N(INDEX(Workers!$M$5:$M$2004,MATCH($A975,Workers!$A$5:$A$2004,0))))</f>
        <v/>
      </c>
      <c r="K975" s="26" t="str">
        <f aca="false">IF($A975="","",IF(D975="Monthly",ROUND(MAX(0,(I975+J975)-(I975+J975)/Settings!$B$10*H975),2),0))</f>
        <v/>
      </c>
      <c r="L975" s="26" t="str">
        <f aca="false">IF($A975="","",IF(D975="Hourly",ROUND(F975*N(INDEX(Workers!$N$5:$N$2004,MATCH($A975,Workers!$A$5:$A$2004,0))),2),0))</f>
        <v/>
      </c>
      <c r="M975" s="26" t="str">
        <f aca="false">IF($A975="","",ROUND(G975*IF(D975="Hourly",N(INDEX(Workers!$N$5:$N$2004,MATCH($A975,Workers!$A$5:$A$2004,0))),I975/Settings!$B$10/Settings!$B$12)*Settings!$B$13,2))</f>
        <v/>
      </c>
      <c r="N975" s="26" t="str">
        <f aca="false">IF($A975="","",K975+L975+M975)</f>
        <v/>
      </c>
      <c r="O975" s="26" t="str">
        <f aca="false">IF($A975="","",SUMIFS(Deductions!$D$5:$D$2000,Deductions!$B$5:$B$2000,$A975,Deductions!$C$5:$C$2000,"Advance",Deductions!$E$5:$E$2000,"&gt;="&amp;Settings!$B$8,Deductions!$E$5:$E$2000,"&lt;="&amp;Settings!$B$9))</f>
        <v/>
      </c>
      <c r="P975" s="26" t="str">
        <f aca="false">IF($A975="","",SUMIFS(Deductions!$D$5:$D$2000,Deductions!$B$5:$B$2000,$A975,Deductions!$E$5:$E$2000,"&gt;="&amp;Settings!$B$8,Deductions!$E$5:$E$2000,"&lt;="&amp;Settings!$B$9)-O975)</f>
        <v/>
      </c>
      <c r="Q975" s="26" t="str">
        <f aca="false">IF($A975="","",O975+P975)</f>
        <v/>
      </c>
      <c r="R975" s="23" t="str">
        <f aca="false">IF($A975="","",N975-Q975)</f>
        <v/>
      </c>
      <c r="S975" s="24" t="str">
        <f aca="false">IF($A975="","",INDEX(Workers!$O$5:$O$2004,MATCH($A975,Workers!$A$5:$A$2004,0))&amp;"")</f>
        <v/>
      </c>
      <c r="T975" s="24" t="str">
        <f aca="false">IF($A975="","",INDEX(Workers!$P$5:$P$2004,MATCH($A975,Workers!$A$5:$A$2004,0))&amp;"")</f>
        <v/>
      </c>
      <c r="U975" s="24" t="str">
        <f aca="false">IF($A975="","",INDEX(Workers!$H$5:$H$2004,MATCH($A975,Workers!$A$5:$A$2004,0))&amp;"")</f>
        <v/>
      </c>
    </row>
    <row r="976" customFormat="false" ht="15" hidden="false" customHeight="false" outlineLevel="0" collapsed="false">
      <c r="A976" s="24" t="str">
        <f aca="false">IFERROR(INDEX(Workers!$A$5:$A$2004,MATCH(ROW()-4,Workers!$U$5:$U$2004,0)),"")</f>
        <v/>
      </c>
      <c r="B976" s="24" t="str">
        <f aca="false">IF($A976="","",INDEX(Workers!$B$5:$B$2004,MATCH($A976,Workers!$A$5:$A$2004,0)))</f>
        <v/>
      </c>
      <c r="C976" s="24" t="str">
        <f aca="false">IF($A976="","",INDEX(Workers!$E$5:$E$2004,MATCH($A976,Workers!$A$5:$A$2004,0)))</f>
        <v/>
      </c>
      <c r="D976" s="24" t="str">
        <f aca="false">IF($A976="","",INDEX(Workers!$K$5:$K$2004,MATCH($A976,Workers!$A$5:$A$2004,0)))</f>
        <v/>
      </c>
      <c r="E976" s="25" t="str">
        <f aca="false">IF($A976="","",SUMIFS(Timesheet!$E$5:$E$3004,Timesheet!$D$5:$D$3004,$A976,Timesheet!$A$5:$A$3004,"&gt;="&amp;Settings!$B$8,Timesheet!$A$5:$A$3004,"&lt;="&amp;Settings!$B$9))</f>
        <v/>
      </c>
      <c r="F976" s="25" t="str">
        <f aca="false">IF($A976="","",SUMIFS(Timesheet!$F$5:$F$3004,Timesheet!$D$5:$D$3004,$A976,Timesheet!$A$5:$A$3004,"&gt;="&amp;Settings!$B$8,Timesheet!$A$5:$A$3004,"&lt;="&amp;Settings!$B$9))</f>
        <v/>
      </c>
      <c r="G976" s="25" t="str">
        <f aca="false">IF($A976="","",SUMIFS(Timesheet!$G$5:$G$3004,Timesheet!$D$5:$D$3004,$A976,Timesheet!$A$5:$A$3004,"&gt;="&amp;Settings!$B$8,Timesheet!$A$5:$A$3004,"&lt;="&amp;Settings!$B$9))</f>
        <v/>
      </c>
      <c r="H976" s="25" t="str">
        <f aca="false">IF($A976="","",IF(D976="Monthly",MAX(0,Settings!$B$11-E976),0))</f>
        <v/>
      </c>
      <c r="I976" s="26" t="str">
        <f aca="false">IF($A976="","",N(INDEX(Workers!$L$5:$L$2004,MATCH($A976,Workers!$A$5:$A$2004,0))))</f>
        <v/>
      </c>
      <c r="J976" s="26" t="str">
        <f aca="false">IF($A976="","",N(INDEX(Workers!$M$5:$M$2004,MATCH($A976,Workers!$A$5:$A$2004,0))))</f>
        <v/>
      </c>
      <c r="K976" s="26" t="str">
        <f aca="false">IF($A976="","",IF(D976="Monthly",ROUND(MAX(0,(I976+J976)-(I976+J976)/Settings!$B$10*H976),2),0))</f>
        <v/>
      </c>
      <c r="L976" s="26" t="str">
        <f aca="false">IF($A976="","",IF(D976="Hourly",ROUND(F976*N(INDEX(Workers!$N$5:$N$2004,MATCH($A976,Workers!$A$5:$A$2004,0))),2),0))</f>
        <v/>
      </c>
      <c r="M976" s="26" t="str">
        <f aca="false">IF($A976="","",ROUND(G976*IF(D976="Hourly",N(INDEX(Workers!$N$5:$N$2004,MATCH($A976,Workers!$A$5:$A$2004,0))),I976/Settings!$B$10/Settings!$B$12)*Settings!$B$13,2))</f>
        <v/>
      </c>
      <c r="N976" s="26" t="str">
        <f aca="false">IF($A976="","",K976+L976+M976)</f>
        <v/>
      </c>
      <c r="O976" s="26" t="str">
        <f aca="false">IF($A976="","",SUMIFS(Deductions!$D$5:$D$2000,Deductions!$B$5:$B$2000,$A976,Deductions!$C$5:$C$2000,"Advance",Deductions!$E$5:$E$2000,"&gt;="&amp;Settings!$B$8,Deductions!$E$5:$E$2000,"&lt;="&amp;Settings!$B$9))</f>
        <v/>
      </c>
      <c r="P976" s="26" t="str">
        <f aca="false">IF($A976="","",SUMIFS(Deductions!$D$5:$D$2000,Deductions!$B$5:$B$2000,$A976,Deductions!$E$5:$E$2000,"&gt;="&amp;Settings!$B$8,Deductions!$E$5:$E$2000,"&lt;="&amp;Settings!$B$9)-O976)</f>
        <v/>
      </c>
      <c r="Q976" s="26" t="str">
        <f aca="false">IF($A976="","",O976+P976)</f>
        <v/>
      </c>
      <c r="R976" s="23" t="str">
        <f aca="false">IF($A976="","",N976-Q976)</f>
        <v/>
      </c>
      <c r="S976" s="24" t="str">
        <f aca="false">IF($A976="","",INDEX(Workers!$O$5:$O$2004,MATCH($A976,Workers!$A$5:$A$2004,0))&amp;"")</f>
        <v/>
      </c>
      <c r="T976" s="24" t="str">
        <f aca="false">IF($A976="","",INDEX(Workers!$P$5:$P$2004,MATCH($A976,Workers!$A$5:$A$2004,0))&amp;"")</f>
        <v/>
      </c>
      <c r="U976" s="24" t="str">
        <f aca="false">IF($A976="","",INDEX(Workers!$H$5:$H$2004,MATCH($A976,Workers!$A$5:$A$2004,0))&amp;"")</f>
        <v/>
      </c>
    </row>
    <row r="977" customFormat="false" ht="15" hidden="false" customHeight="false" outlineLevel="0" collapsed="false">
      <c r="A977" s="24" t="str">
        <f aca="false">IFERROR(INDEX(Workers!$A$5:$A$2004,MATCH(ROW()-4,Workers!$U$5:$U$2004,0)),"")</f>
        <v/>
      </c>
      <c r="B977" s="24" t="str">
        <f aca="false">IF($A977="","",INDEX(Workers!$B$5:$B$2004,MATCH($A977,Workers!$A$5:$A$2004,0)))</f>
        <v/>
      </c>
      <c r="C977" s="24" t="str">
        <f aca="false">IF($A977="","",INDEX(Workers!$E$5:$E$2004,MATCH($A977,Workers!$A$5:$A$2004,0)))</f>
        <v/>
      </c>
      <c r="D977" s="24" t="str">
        <f aca="false">IF($A977="","",INDEX(Workers!$K$5:$K$2004,MATCH($A977,Workers!$A$5:$A$2004,0)))</f>
        <v/>
      </c>
      <c r="E977" s="25" t="str">
        <f aca="false">IF($A977="","",SUMIFS(Timesheet!$E$5:$E$3004,Timesheet!$D$5:$D$3004,$A977,Timesheet!$A$5:$A$3004,"&gt;="&amp;Settings!$B$8,Timesheet!$A$5:$A$3004,"&lt;="&amp;Settings!$B$9))</f>
        <v/>
      </c>
      <c r="F977" s="25" t="str">
        <f aca="false">IF($A977="","",SUMIFS(Timesheet!$F$5:$F$3004,Timesheet!$D$5:$D$3004,$A977,Timesheet!$A$5:$A$3004,"&gt;="&amp;Settings!$B$8,Timesheet!$A$5:$A$3004,"&lt;="&amp;Settings!$B$9))</f>
        <v/>
      </c>
      <c r="G977" s="25" t="str">
        <f aca="false">IF($A977="","",SUMIFS(Timesheet!$G$5:$G$3004,Timesheet!$D$5:$D$3004,$A977,Timesheet!$A$5:$A$3004,"&gt;="&amp;Settings!$B$8,Timesheet!$A$5:$A$3004,"&lt;="&amp;Settings!$B$9))</f>
        <v/>
      </c>
      <c r="H977" s="25" t="str">
        <f aca="false">IF($A977="","",IF(D977="Monthly",MAX(0,Settings!$B$11-E977),0))</f>
        <v/>
      </c>
      <c r="I977" s="26" t="str">
        <f aca="false">IF($A977="","",N(INDEX(Workers!$L$5:$L$2004,MATCH($A977,Workers!$A$5:$A$2004,0))))</f>
        <v/>
      </c>
      <c r="J977" s="26" t="str">
        <f aca="false">IF($A977="","",N(INDEX(Workers!$M$5:$M$2004,MATCH($A977,Workers!$A$5:$A$2004,0))))</f>
        <v/>
      </c>
      <c r="K977" s="26" t="str">
        <f aca="false">IF($A977="","",IF(D977="Monthly",ROUND(MAX(0,(I977+J977)-(I977+J977)/Settings!$B$10*H977),2),0))</f>
        <v/>
      </c>
      <c r="L977" s="26" t="str">
        <f aca="false">IF($A977="","",IF(D977="Hourly",ROUND(F977*N(INDEX(Workers!$N$5:$N$2004,MATCH($A977,Workers!$A$5:$A$2004,0))),2),0))</f>
        <v/>
      </c>
      <c r="M977" s="26" t="str">
        <f aca="false">IF($A977="","",ROUND(G977*IF(D977="Hourly",N(INDEX(Workers!$N$5:$N$2004,MATCH($A977,Workers!$A$5:$A$2004,0))),I977/Settings!$B$10/Settings!$B$12)*Settings!$B$13,2))</f>
        <v/>
      </c>
      <c r="N977" s="26" t="str">
        <f aca="false">IF($A977="","",K977+L977+M977)</f>
        <v/>
      </c>
      <c r="O977" s="26" t="str">
        <f aca="false">IF($A977="","",SUMIFS(Deductions!$D$5:$D$2000,Deductions!$B$5:$B$2000,$A977,Deductions!$C$5:$C$2000,"Advance",Deductions!$E$5:$E$2000,"&gt;="&amp;Settings!$B$8,Deductions!$E$5:$E$2000,"&lt;="&amp;Settings!$B$9))</f>
        <v/>
      </c>
      <c r="P977" s="26" t="str">
        <f aca="false">IF($A977="","",SUMIFS(Deductions!$D$5:$D$2000,Deductions!$B$5:$B$2000,$A977,Deductions!$E$5:$E$2000,"&gt;="&amp;Settings!$B$8,Deductions!$E$5:$E$2000,"&lt;="&amp;Settings!$B$9)-O977)</f>
        <v/>
      </c>
      <c r="Q977" s="26" t="str">
        <f aca="false">IF($A977="","",O977+P977)</f>
        <v/>
      </c>
      <c r="R977" s="23" t="str">
        <f aca="false">IF($A977="","",N977-Q977)</f>
        <v/>
      </c>
      <c r="S977" s="24" t="str">
        <f aca="false">IF($A977="","",INDEX(Workers!$O$5:$O$2004,MATCH($A977,Workers!$A$5:$A$2004,0))&amp;"")</f>
        <v/>
      </c>
      <c r="T977" s="24" t="str">
        <f aca="false">IF($A977="","",INDEX(Workers!$P$5:$P$2004,MATCH($A977,Workers!$A$5:$A$2004,0))&amp;"")</f>
        <v/>
      </c>
      <c r="U977" s="24" t="str">
        <f aca="false">IF($A977="","",INDEX(Workers!$H$5:$H$2004,MATCH($A977,Workers!$A$5:$A$2004,0))&amp;"")</f>
        <v/>
      </c>
    </row>
    <row r="978" customFormat="false" ht="15" hidden="false" customHeight="false" outlineLevel="0" collapsed="false">
      <c r="A978" s="24" t="str">
        <f aca="false">IFERROR(INDEX(Workers!$A$5:$A$2004,MATCH(ROW()-4,Workers!$U$5:$U$2004,0)),"")</f>
        <v/>
      </c>
      <c r="B978" s="24" t="str">
        <f aca="false">IF($A978="","",INDEX(Workers!$B$5:$B$2004,MATCH($A978,Workers!$A$5:$A$2004,0)))</f>
        <v/>
      </c>
      <c r="C978" s="24" t="str">
        <f aca="false">IF($A978="","",INDEX(Workers!$E$5:$E$2004,MATCH($A978,Workers!$A$5:$A$2004,0)))</f>
        <v/>
      </c>
      <c r="D978" s="24" t="str">
        <f aca="false">IF($A978="","",INDEX(Workers!$K$5:$K$2004,MATCH($A978,Workers!$A$5:$A$2004,0)))</f>
        <v/>
      </c>
      <c r="E978" s="25" t="str">
        <f aca="false">IF($A978="","",SUMIFS(Timesheet!$E$5:$E$3004,Timesheet!$D$5:$D$3004,$A978,Timesheet!$A$5:$A$3004,"&gt;="&amp;Settings!$B$8,Timesheet!$A$5:$A$3004,"&lt;="&amp;Settings!$B$9))</f>
        <v/>
      </c>
      <c r="F978" s="25" t="str">
        <f aca="false">IF($A978="","",SUMIFS(Timesheet!$F$5:$F$3004,Timesheet!$D$5:$D$3004,$A978,Timesheet!$A$5:$A$3004,"&gt;="&amp;Settings!$B$8,Timesheet!$A$5:$A$3004,"&lt;="&amp;Settings!$B$9))</f>
        <v/>
      </c>
      <c r="G978" s="25" t="str">
        <f aca="false">IF($A978="","",SUMIFS(Timesheet!$G$5:$G$3004,Timesheet!$D$5:$D$3004,$A978,Timesheet!$A$5:$A$3004,"&gt;="&amp;Settings!$B$8,Timesheet!$A$5:$A$3004,"&lt;="&amp;Settings!$B$9))</f>
        <v/>
      </c>
      <c r="H978" s="25" t="str">
        <f aca="false">IF($A978="","",IF(D978="Monthly",MAX(0,Settings!$B$11-E978),0))</f>
        <v/>
      </c>
      <c r="I978" s="26" t="str">
        <f aca="false">IF($A978="","",N(INDEX(Workers!$L$5:$L$2004,MATCH($A978,Workers!$A$5:$A$2004,0))))</f>
        <v/>
      </c>
      <c r="J978" s="26" t="str">
        <f aca="false">IF($A978="","",N(INDEX(Workers!$M$5:$M$2004,MATCH($A978,Workers!$A$5:$A$2004,0))))</f>
        <v/>
      </c>
      <c r="K978" s="26" t="str">
        <f aca="false">IF($A978="","",IF(D978="Monthly",ROUND(MAX(0,(I978+J978)-(I978+J978)/Settings!$B$10*H978),2),0))</f>
        <v/>
      </c>
      <c r="L978" s="26" t="str">
        <f aca="false">IF($A978="","",IF(D978="Hourly",ROUND(F978*N(INDEX(Workers!$N$5:$N$2004,MATCH($A978,Workers!$A$5:$A$2004,0))),2),0))</f>
        <v/>
      </c>
      <c r="M978" s="26" t="str">
        <f aca="false">IF($A978="","",ROUND(G978*IF(D978="Hourly",N(INDEX(Workers!$N$5:$N$2004,MATCH($A978,Workers!$A$5:$A$2004,0))),I978/Settings!$B$10/Settings!$B$12)*Settings!$B$13,2))</f>
        <v/>
      </c>
      <c r="N978" s="26" t="str">
        <f aca="false">IF($A978="","",K978+L978+M978)</f>
        <v/>
      </c>
      <c r="O978" s="26" t="str">
        <f aca="false">IF($A978="","",SUMIFS(Deductions!$D$5:$D$2000,Deductions!$B$5:$B$2000,$A978,Deductions!$C$5:$C$2000,"Advance",Deductions!$E$5:$E$2000,"&gt;="&amp;Settings!$B$8,Deductions!$E$5:$E$2000,"&lt;="&amp;Settings!$B$9))</f>
        <v/>
      </c>
      <c r="P978" s="26" t="str">
        <f aca="false">IF($A978="","",SUMIFS(Deductions!$D$5:$D$2000,Deductions!$B$5:$B$2000,$A978,Deductions!$E$5:$E$2000,"&gt;="&amp;Settings!$B$8,Deductions!$E$5:$E$2000,"&lt;="&amp;Settings!$B$9)-O978)</f>
        <v/>
      </c>
      <c r="Q978" s="26" t="str">
        <f aca="false">IF($A978="","",O978+P978)</f>
        <v/>
      </c>
      <c r="R978" s="23" t="str">
        <f aca="false">IF($A978="","",N978-Q978)</f>
        <v/>
      </c>
      <c r="S978" s="24" t="str">
        <f aca="false">IF($A978="","",INDEX(Workers!$O$5:$O$2004,MATCH($A978,Workers!$A$5:$A$2004,0))&amp;"")</f>
        <v/>
      </c>
      <c r="T978" s="24" t="str">
        <f aca="false">IF($A978="","",INDEX(Workers!$P$5:$P$2004,MATCH($A978,Workers!$A$5:$A$2004,0))&amp;"")</f>
        <v/>
      </c>
      <c r="U978" s="24" t="str">
        <f aca="false">IF($A978="","",INDEX(Workers!$H$5:$H$2004,MATCH($A978,Workers!$A$5:$A$2004,0))&amp;"")</f>
        <v/>
      </c>
    </row>
    <row r="979" customFormat="false" ht="15" hidden="false" customHeight="false" outlineLevel="0" collapsed="false">
      <c r="A979" s="24" t="str">
        <f aca="false">IFERROR(INDEX(Workers!$A$5:$A$2004,MATCH(ROW()-4,Workers!$U$5:$U$2004,0)),"")</f>
        <v/>
      </c>
      <c r="B979" s="24" t="str">
        <f aca="false">IF($A979="","",INDEX(Workers!$B$5:$B$2004,MATCH($A979,Workers!$A$5:$A$2004,0)))</f>
        <v/>
      </c>
      <c r="C979" s="24" t="str">
        <f aca="false">IF($A979="","",INDEX(Workers!$E$5:$E$2004,MATCH($A979,Workers!$A$5:$A$2004,0)))</f>
        <v/>
      </c>
      <c r="D979" s="24" t="str">
        <f aca="false">IF($A979="","",INDEX(Workers!$K$5:$K$2004,MATCH($A979,Workers!$A$5:$A$2004,0)))</f>
        <v/>
      </c>
      <c r="E979" s="25" t="str">
        <f aca="false">IF($A979="","",SUMIFS(Timesheet!$E$5:$E$3004,Timesheet!$D$5:$D$3004,$A979,Timesheet!$A$5:$A$3004,"&gt;="&amp;Settings!$B$8,Timesheet!$A$5:$A$3004,"&lt;="&amp;Settings!$B$9))</f>
        <v/>
      </c>
      <c r="F979" s="25" t="str">
        <f aca="false">IF($A979="","",SUMIFS(Timesheet!$F$5:$F$3004,Timesheet!$D$5:$D$3004,$A979,Timesheet!$A$5:$A$3004,"&gt;="&amp;Settings!$B$8,Timesheet!$A$5:$A$3004,"&lt;="&amp;Settings!$B$9))</f>
        <v/>
      </c>
      <c r="G979" s="25" t="str">
        <f aca="false">IF($A979="","",SUMIFS(Timesheet!$G$5:$G$3004,Timesheet!$D$5:$D$3004,$A979,Timesheet!$A$5:$A$3004,"&gt;="&amp;Settings!$B$8,Timesheet!$A$5:$A$3004,"&lt;="&amp;Settings!$B$9))</f>
        <v/>
      </c>
      <c r="H979" s="25" t="str">
        <f aca="false">IF($A979="","",IF(D979="Monthly",MAX(0,Settings!$B$11-E979),0))</f>
        <v/>
      </c>
      <c r="I979" s="26" t="str">
        <f aca="false">IF($A979="","",N(INDEX(Workers!$L$5:$L$2004,MATCH($A979,Workers!$A$5:$A$2004,0))))</f>
        <v/>
      </c>
      <c r="J979" s="26" t="str">
        <f aca="false">IF($A979="","",N(INDEX(Workers!$M$5:$M$2004,MATCH($A979,Workers!$A$5:$A$2004,0))))</f>
        <v/>
      </c>
      <c r="K979" s="26" t="str">
        <f aca="false">IF($A979="","",IF(D979="Monthly",ROUND(MAX(0,(I979+J979)-(I979+J979)/Settings!$B$10*H979),2),0))</f>
        <v/>
      </c>
      <c r="L979" s="26" t="str">
        <f aca="false">IF($A979="","",IF(D979="Hourly",ROUND(F979*N(INDEX(Workers!$N$5:$N$2004,MATCH($A979,Workers!$A$5:$A$2004,0))),2),0))</f>
        <v/>
      </c>
      <c r="M979" s="26" t="str">
        <f aca="false">IF($A979="","",ROUND(G979*IF(D979="Hourly",N(INDEX(Workers!$N$5:$N$2004,MATCH($A979,Workers!$A$5:$A$2004,0))),I979/Settings!$B$10/Settings!$B$12)*Settings!$B$13,2))</f>
        <v/>
      </c>
      <c r="N979" s="26" t="str">
        <f aca="false">IF($A979="","",K979+L979+M979)</f>
        <v/>
      </c>
      <c r="O979" s="26" t="str">
        <f aca="false">IF($A979="","",SUMIFS(Deductions!$D$5:$D$2000,Deductions!$B$5:$B$2000,$A979,Deductions!$C$5:$C$2000,"Advance",Deductions!$E$5:$E$2000,"&gt;="&amp;Settings!$B$8,Deductions!$E$5:$E$2000,"&lt;="&amp;Settings!$B$9))</f>
        <v/>
      </c>
      <c r="P979" s="26" t="str">
        <f aca="false">IF($A979="","",SUMIFS(Deductions!$D$5:$D$2000,Deductions!$B$5:$B$2000,$A979,Deductions!$E$5:$E$2000,"&gt;="&amp;Settings!$B$8,Deductions!$E$5:$E$2000,"&lt;="&amp;Settings!$B$9)-O979)</f>
        <v/>
      </c>
      <c r="Q979" s="26" t="str">
        <f aca="false">IF($A979="","",O979+P979)</f>
        <v/>
      </c>
      <c r="R979" s="23" t="str">
        <f aca="false">IF($A979="","",N979-Q979)</f>
        <v/>
      </c>
      <c r="S979" s="24" t="str">
        <f aca="false">IF($A979="","",INDEX(Workers!$O$5:$O$2004,MATCH($A979,Workers!$A$5:$A$2004,0))&amp;"")</f>
        <v/>
      </c>
      <c r="T979" s="24" t="str">
        <f aca="false">IF($A979="","",INDEX(Workers!$P$5:$P$2004,MATCH($A979,Workers!$A$5:$A$2004,0))&amp;"")</f>
        <v/>
      </c>
      <c r="U979" s="24" t="str">
        <f aca="false">IF($A979="","",INDEX(Workers!$H$5:$H$2004,MATCH($A979,Workers!$A$5:$A$2004,0))&amp;"")</f>
        <v/>
      </c>
    </row>
    <row r="980" customFormat="false" ht="15" hidden="false" customHeight="false" outlineLevel="0" collapsed="false">
      <c r="A980" s="24" t="str">
        <f aca="false">IFERROR(INDEX(Workers!$A$5:$A$2004,MATCH(ROW()-4,Workers!$U$5:$U$2004,0)),"")</f>
        <v/>
      </c>
      <c r="B980" s="24" t="str">
        <f aca="false">IF($A980="","",INDEX(Workers!$B$5:$B$2004,MATCH($A980,Workers!$A$5:$A$2004,0)))</f>
        <v/>
      </c>
      <c r="C980" s="24" t="str">
        <f aca="false">IF($A980="","",INDEX(Workers!$E$5:$E$2004,MATCH($A980,Workers!$A$5:$A$2004,0)))</f>
        <v/>
      </c>
      <c r="D980" s="24" t="str">
        <f aca="false">IF($A980="","",INDEX(Workers!$K$5:$K$2004,MATCH($A980,Workers!$A$5:$A$2004,0)))</f>
        <v/>
      </c>
      <c r="E980" s="25" t="str">
        <f aca="false">IF($A980="","",SUMIFS(Timesheet!$E$5:$E$3004,Timesheet!$D$5:$D$3004,$A980,Timesheet!$A$5:$A$3004,"&gt;="&amp;Settings!$B$8,Timesheet!$A$5:$A$3004,"&lt;="&amp;Settings!$B$9))</f>
        <v/>
      </c>
      <c r="F980" s="25" t="str">
        <f aca="false">IF($A980="","",SUMIFS(Timesheet!$F$5:$F$3004,Timesheet!$D$5:$D$3004,$A980,Timesheet!$A$5:$A$3004,"&gt;="&amp;Settings!$B$8,Timesheet!$A$5:$A$3004,"&lt;="&amp;Settings!$B$9))</f>
        <v/>
      </c>
      <c r="G980" s="25" t="str">
        <f aca="false">IF($A980="","",SUMIFS(Timesheet!$G$5:$G$3004,Timesheet!$D$5:$D$3004,$A980,Timesheet!$A$5:$A$3004,"&gt;="&amp;Settings!$B$8,Timesheet!$A$5:$A$3004,"&lt;="&amp;Settings!$B$9))</f>
        <v/>
      </c>
      <c r="H980" s="25" t="str">
        <f aca="false">IF($A980="","",IF(D980="Monthly",MAX(0,Settings!$B$11-E980),0))</f>
        <v/>
      </c>
      <c r="I980" s="26" t="str">
        <f aca="false">IF($A980="","",N(INDEX(Workers!$L$5:$L$2004,MATCH($A980,Workers!$A$5:$A$2004,0))))</f>
        <v/>
      </c>
      <c r="J980" s="26" t="str">
        <f aca="false">IF($A980="","",N(INDEX(Workers!$M$5:$M$2004,MATCH($A980,Workers!$A$5:$A$2004,0))))</f>
        <v/>
      </c>
      <c r="K980" s="26" t="str">
        <f aca="false">IF($A980="","",IF(D980="Monthly",ROUND(MAX(0,(I980+J980)-(I980+J980)/Settings!$B$10*H980),2),0))</f>
        <v/>
      </c>
      <c r="L980" s="26" t="str">
        <f aca="false">IF($A980="","",IF(D980="Hourly",ROUND(F980*N(INDEX(Workers!$N$5:$N$2004,MATCH($A980,Workers!$A$5:$A$2004,0))),2),0))</f>
        <v/>
      </c>
      <c r="M980" s="26" t="str">
        <f aca="false">IF($A980="","",ROUND(G980*IF(D980="Hourly",N(INDEX(Workers!$N$5:$N$2004,MATCH($A980,Workers!$A$5:$A$2004,0))),I980/Settings!$B$10/Settings!$B$12)*Settings!$B$13,2))</f>
        <v/>
      </c>
      <c r="N980" s="26" t="str">
        <f aca="false">IF($A980="","",K980+L980+M980)</f>
        <v/>
      </c>
      <c r="O980" s="26" t="str">
        <f aca="false">IF($A980="","",SUMIFS(Deductions!$D$5:$D$2000,Deductions!$B$5:$B$2000,$A980,Deductions!$C$5:$C$2000,"Advance",Deductions!$E$5:$E$2000,"&gt;="&amp;Settings!$B$8,Deductions!$E$5:$E$2000,"&lt;="&amp;Settings!$B$9))</f>
        <v/>
      </c>
      <c r="P980" s="26" t="str">
        <f aca="false">IF($A980="","",SUMIFS(Deductions!$D$5:$D$2000,Deductions!$B$5:$B$2000,$A980,Deductions!$E$5:$E$2000,"&gt;="&amp;Settings!$B$8,Deductions!$E$5:$E$2000,"&lt;="&amp;Settings!$B$9)-O980)</f>
        <v/>
      </c>
      <c r="Q980" s="26" t="str">
        <f aca="false">IF($A980="","",O980+P980)</f>
        <v/>
      </c>
      <c r="R980" s="23" t="str">
        <f aca="false">IF($A980="","",N980-Q980)</f>
        <v/>
      </c>
      <c r="S980" s="24" t="str">
        <f aca="false">IF($A980="","",INDEX(Workers!$O$5:$O$2004,MATCH($A980,Workers!$A$5:$A$2004,0))&amp;"")</f>
        <v/>
      </c>
      <c r="T980" s="24" t="str">
        <f aca="false">IF($A980="","",INDEX(Workers!$P$5:$P$2004,MATCH($A980,Workers!$A$5:$A$2004,0))&amp;"")</f>
        <v/>
      </c>
      <c r="U980" s="24" t="str">
        <f aca="false">IF($A980="","",INDEX(Workers!$H$5:$H$2004,MATCH($A980,Workers!$A$5:$A$2004,0))&amp;"")</f>
        <v/>
      </c>
    </row>
    <row r="981" customFormat="false" ht="15" hidden="false" customHeight="false" outlineLevel="0" collapsed="false">
      <c r="A981" s="24" t="str">
        <f aca="false">IFERROR(INDEX(Workers!$A$5:$A$2004,MATCH(ROW()-4,Workers!$U$5:$U$2004,0)),"")</f>
        <v/>
      </c>
      <c r="B981" s="24" t="str">
        <f aca="false">IF($A981="","",INDEX(Workers!$B$5:$B$2004,MATCH($A981,Workers!$A$5:$A$2004,0)))</f>
        <v/>
      </c>
      <c r="C981" s="24" t="str">
        <f aca="false">IF($A981="","",INDEX(Workers!$E$5:$E$2004,MATCH($A981,Workers!$A$5:$A$2004,0)))</f>
        <v/>
      </c>
      <c r="D981" s="24" t="str">
        <f aca="false">IF($A981="","",INDEX(Workers!$K$5:$K$2004,MATCH($A981,Workers!$A$5:$A$2004,0)))</f>
        <v/>
      </c>
      <c r="E981" s="25" t="str">
        <f aca="false">IF($A981="","",SUMIFS(Timesheet!$E$5:$E$3004,Timesheet!$D$5:$D$3004,$A981,Timesheet!$A$5:$A$3004,"&gt;="&amp;Settings!$B$8,Timesheet!$A$5:$A$3004,"&lt;="&amp;Settings!$B$9))</f>
        <v/>
      </c>
      <c r="F981" s="25" t="str">
        <f aca="false">IF($A981="","",SUMIFS(Timesheet!$F$5:$F$3004,Timesheet!$D$5:$D$3004,$A981,Timesheet!$A$5:$A$3004,"&gt;="&amp;Settings!$B$8,Timesheet!$A$5:$A$3004,"&lt;="&amp;Settings!$B$9))</f>
        <v/>
      </c>
      <c r="G981" s="25" t="str">
        <f aca="false">IF($A981="","",SUMIFS(Timesheet!$G$5:$G$3004,Timesheet!$D$5:$D$3004,$A981,Timesheet!$A$5:$A$3004,"&gt;="&amp;Settings!$B$8,Timesheet!$A$5:$A$3004,"&lt;="&amp;Settings!$B$9))</f>
        <v/>
      </c>
      <c r="H981" s="25" t="str">
        <f aca="false">IF($A981="","",IF(D981="Monthly",MAX(0,Settings!$B$11-E981),0))</f>
        <v/>
      </c>
      <c r="I981" s="26" t="str">
        <f aca="false">IF($A981="","",N(INDEX(Workers!$L$5:$L$2004,MATCH($A981,Workers!$A$5:$A$2004,0))))</f>
        <v/>
      </c>
      <c r="J981" s="26" t="str">
        <f aca="false">IF($A981="","",N(INDEX(Workers!$M$5:$M$2004,MATCH($A981,Workers!$A$5:$A$2004,0))))</f>
        <v/>
      </c>
      <c r="K981" s="26" t="str">
        <f aca="false">IF($A981="","",IF(D981="Monthly",ROUND(MAX(0,(I981+J981)-(I981+J981)/Settings!$B$10*H981),2),0))</f>
        <v/>
      </c>
      <c r="L981" s="26" t="str">
        <f aca="false">IF($A981="","",IF(D981="Hourly",ROUND(F981*N(INDEX(Workers!$N$5:$N$2004,MATCH($A981,Workers!$A$5:$A$2004,0))),2),0))</f>
        <v/>
      </c>
      <c r="M981" s="26" t="str">
        <f aca="false">IF($A981="","",ROUND(G981*IF(D981="Hourly",N(INDEX(Workers!$N$5:$N$2004,MATCH($A981,Workers!$A$5:$A$2004,0))),I981/Settings!$B$10/Settings!$B$12)*Settings!$B$13,2))</f>
        <v/>
      </c>
      <c r="N981" s="26" t="str">
        <f aca="false">IF($A981="","",K981+L981+M981)</f>
        <v/>
      </c>
      <c r="O981" s="26" t="str">
        <f aca="false">IF($A981="","",SUMIFS(Deductions!$D$5:$D$2000,Deductions!$B$5:$B$2000,$A981,Deductions!$C$5:$C$2000,"Advance",Deductions!$E$5:$E$2000,"&gt;="&amp;Settings!$B$8,Deductions!$E$5:$E$2000,"&lt;="&amp;Settings!$B$9))</f>
        <v/>
      </c>
      <c r="P981" s="26" t="str">
        <f aca="false">IF($A981="","",SUMIFS(Deductions!$D$5:$D$2000,Deductions!$B$5:$B$2000,$A981,Deductions!$E$5:$E$2000,"&gt;="&amp;Settings!$B$8,Deductions!$E$5:$E$2000,"&lt;="&amp;Settings!$B$9)-O981)</f>
        <v/>
      </c>
      <c r="Q981" s="26" t="str">
        <f aca="false">IF($A981="","",O981+P981)</f>
        <v/>
      </c>
      <c r="R981" s="23" t="str">
        <f aca="false">IF($A981="","",N981-Q981)</f>
        <v/>
      </c>
      <c r="S981" s="24" t="str">
        <f aca="false">IF($A981="","",INDEX(Workers!$O$5:$O$2004,MATCH($A981,Workers!$A$5:$A$2004,0))&amp;"")</f>
        <v/>
      </c>
      <c r="T981" s="24" t="str">
        <f aca="false">IF($A981="","",INDEX(Workers!$P$5:$P$2004,MATCH($A981,Workers!$A$5:$A$2004,0))&amp;"")</f>
        <v/>
      </c>
      <c r="U981" s="24" t="str">
        <f aca="false">IF($A981="","",INDEX(Workers!$H$5:$H$2004,MATCH($A981,Workers!$A$5:$A$2004,0))&amp;"")</f>
        <v/>
      </c>
    </row>
    <row r="982" customFormat="false" ht="15" hidden="false" customHeight="false" outlineLevel="0" collapsed="false">
      <c r="A982" s="24" t="str">
        <f aca="false">IFERROR(INDEX(Workers!$A$5:$A$2004,MATCH(ROW()-4,Workers!$U$5:$U$2004,0)),"")</f>
        <v/>
      </c>
      <c r="B982" s="24" t="str">
        <f aca="false">IF($A982="","",INDEX(Workers!$B$5:$B$2004,MATCH($A982,Workers!$A$5:$A$2004,0)))</f>
        <v/>
      </c>
      <c r="C982" s="24" t="str">
        <f aca="false">IF($A982="","",INDEX(Workers!$E$5:$E$2004,MATCH($A982,Workers!$A$5:$A$2004,0)))</f>
        <v/>
      </c>
      <c r="D982" s="24" t="str">
        <f aca="false">IF($A982="","",INDEX(Workers!$K$5:$K$2004,MATCH($A982,Workers!$A$5:$A$2004,0)))</f>
        <v/>
      </c>
      <c r="E982" s="25" t="str">
        <f aca="false">IF($A982="","",SUMIFS(Timesheet!$E$5:$E$3004,Timesheet!$D$5:$D$3004,$A982,Timesheet!$A$5:$A$3004,"&gt;="&amp;Settings!$B$8,Timesheet!$A$5:$A$3004,"&lt;="&amp;Settings!$B$9))</f>
        <v/>
      </c>
      <c r="F982" s="25" t="str">
        <f aca="false">IF($A982="","",SUMIFS(Timesheet!$F$5:$F$3004,Timesheet!$D$5:$D$3004,$A982,Timesheet!$A$5:$A$3004,"&gt;="&amp;Settings!$B$8,Timesheet!$A$5:$A$3004,"&lt;="&amp;Settings!$B$9))</f>
        <v/>
      </c>
      <c r="G982" s="25" t="str">
        <f aca="false">IF($A982="","",SUMIFS(Timesheet!$G$5:$G$3004,Timesheet!$D$5:$D$3004,$A982,Timesheet!$A$5:$A$3004,"&gt;="&amp;Settings!$B$8,Timesheet!$A$5:$A$3004,"&lt;="&amp;Settings!$B$9))</f>
        <v/>
      </c>
      <c r="H982" s="25" t="str">
        <f aca="false">IF($A982="","",IF(D982="Monthly",MAX(0,Settings!$B$11-E982),0))</f>
        <v/>
      </c>
      <c r="I982" s="26" t="str">
        <f aca="false">IF($A982="","",N(INDEX(Workers!$L$5:$L$2004,MATCH($A982,Workers!$A$5:$A$2004,0))))</f>
        <v/>
      </c>
      <c r="J982" s="26" t="str">
        <f aca="false">IF($A982="","",N(INDEX(Workers!$M$5:$M$2004,MATCH($A982,Workers!$A$5:$A$2004,0))))</f>
        <v/>
      </c>
      <c r="K982" s="26" t="str">
        <f aca="false">IF($A982="","",IF(D982="Monthly",ROUND(MAX(0,(I982+J982)-(I982+J982)/Settings!$B$10*H982),2),0))</f>
        <v/>
      </c>
      <c r="L982" s="26" t="str">
        <f aca="false">IF($A982="","",IF(D982="Hourly",ROUND(F982*N(INDEX(Workers!$N$5:$N$2004,MATCH($A982,Workers!$A$5:$A$2004,0))),2),0))</f>
        <v/>
      </c>
      <c r="M982" s="26" t="str">
        <f aca="false">IF($A982="","",ROUND(G982*IF(D982="Hourly",N(INDEX(Workers!$N$5:$N$2004,MATCH($A982,Workers!$A$5:$A$2004,0))),I982/Settings!$B$10/Settings!$B$12)*Settings!$B$13,2))</f>
        <v/>
      </c>
      <c r="N982" s="26" t="str">
        <f aca="false">IF($A982="","",K982+L982+M982)</f>
        <v/>
      </c>
      <c r="O982" s="26" t="str">
        <f aca="false">IF($A982="","",SUMIFS(Deductions!$D$5:$D$2000,Deductions!$B$5:$B$2000,$A982,Deductions!$C$5:$C$2000,"Advance",Deductions!$E$5:$E$2000,"&gt;="&amp;Settings!$B$8,Deductions!$E$5:$E$2000,"&lt;="&amp;Settings!$B$9))</f>
        <v/>
      </c>
      <c r="P982" s="26" t="str">
        <f aca="false">IF($A982="","",SUMIFS(Deductions!$D$5:$D$2000,Deductions!$B$5:$B$2000,$A982,Deductions!$E$5:$E$2000,"&gt;="&amp;Settings!$B$8,Deductions!$E$5:$E$2000,"&lt;="&amp;Settings!$B$9)-O982)</f>
        <v/>
      </c>
      <c r="Q982" s="26" t="str">
        <f aca="false">IF($A982="","",O982+P982)</f>
        <v/>
      </c>
      <c r="R982" s="23" t="str">
        <f aca="false">IF($A982="","",N982-Q982)</f>
        <v/>
      </c>
      <c r="S982" s="24" t="str">
        <f aca="false">IF($A982="","",INDEX(Workers!$O$5:$O$2004,MATCH($A982,Workers!$A$5:$A$2004,0))&amp;"")</f>
        <v/>
      </c>
      <c r="T982" s="24" t="str">
        <f aca="false">IF($A982="","",INDEX(Workers!$P$5:$P$2004,MATCH($A982,Workers!$A$5:$A$2004,0))&amp;"")</f>
        <v/>
      </c>
      <c r="U982" s="24" t="str">
        <f aca="false">IF($A982="","",INDEX(Workers!$H$5:$H$2004,MATCH($A982,Workers!$A$5:$A$2004,0))&amp;"")</f>
        <v/>
      </c>
    </row>
    <row r="983" customFormat="false" ht="15" hidden="false" customHeight="false" outlineLevel="0" collapsed="false">
      <c r="A983" s="24" t="str">
        <f aca="false">IFERROR(INDEX(Workers!$A$5:$A$2004,MATCH(ROW()-4,Workers!$U$5:$U$2004,0)),"")</f>
        <v/>
      </c>
      <c r="B983" s="24" t="str">
        <f aca="false">IF($A983="","",INDEX(Workers!$B$5:$B$2004,MATCH($A983,Workers!$A$5:$A$2004,0)))</f>
        <v/>
      </c>
      <c r="C983" s="24" t="str">
        <f aca="false">IF($A983="","",INDEX(Workers!$E$5:$E$2004,MATCH($A983,Workers!$A$5:$A$2004,0)))</f>
        <v/>
      </c>
      <c r="D983" s="24" t="str">
        <f aca="false">IF($A983="","",INDEX(Workers!$K$5:$K$2004,MATCH($A983,Workers!$A$5:$A$2004,0)))</f>
        <v/>
      </c>
      <c r="E983" s="25" t="str">
        <f aca="false">IF($A983="","",SUMIFS(Timesheet!$E$5:$E$3004,Timesheet!$D$5:$D$3004,$A983,Timesheet!$A$5:$A$3004,"&gt;="&amp;Settings!$B$8,Timesheet!$A$5:$A$3004,"&lt;="&amp;Settings!$B$9))</f>
        <v/>
      </c>
      <c r="F983" s="25" t="str">
        <f aca="false">IF($A983="","",SUMIFS(Timesheet!$F$5:$F$3004,Timesheet!$D$5:$D$3004,$A983,Timesheet!$A$5:$A$3004,"&gt;="&amp;Settings!$B$8,Timesheet!$A$5:$A$3004,"&lt;="&amp;Settings!$B$9))</f>
        <v/>
      </c>
      <c r="G983" s="25" t="str">
        <f aca="false">IF($A983="","",SUMIFS(Timesheet!$G$5:$G$3004,Timesheet!$D$5:$D$3004,$A983,Timesheet!$A$5:$A$3004,"&gt;="&amp;Settings!$B$8,Timesheet!$A$5:$A$3004,"&lt;="&amp;Settings!$B$9))</f>
        <v/>
      </c>
      <c r="H983" s="25" t="str">
        <f aca="false">IF($A983="","",IF(D983="Monthly",MAX(0,Settings!$B$11-E983),0))</f>
        <v/>
      </c>
      <c r="I983" s="26" t="str">
        <f aca="false">IF($A983="","",N(INDEX(Workers!$L$5:$L$2004,MATCH($A983,Workers!$A$5:$A$2004,0))))</f>
        <v/>
      </c>
      <c r="J983" s="26" t="str">
        <f aca="false">IF($A983="","",N(INDEX(Workers!$M$5:$M$2004,MATCH($A983,Workers!$A$5:$A$2004,0))))</f>
        <v/>
      </c>
      <c r="K983" s="26" t="str">
        <f aca="false">IF($A983="","",IF(D983="Monthly",ROUND(MAX(0,(I983+J983)-(I983+J983)/Settings!$B$10*H983),2),0))</f>
        <v/>
      </c>
      <c r="L983" s="26" t="str">
        <f aca="false">IF($A983="","",IF(D983="Hourly",ROUND(F983*N(INDEX(Workers!$N$5:$N$2004,MATCH($A983,Workers!$A$5:$A$2004,0))),2),0))</f>
        <v/>
      </c>
      <c r="M983" s="26" t="str">
        <f aca="false">IF($A983="","",ROUND(G983*IF(D983="Hourly",N(INDEX(Workers!$N$5:$N$2004,MATCH($A983,Workers!$A$5:$A$2004,0))),I983/Settings!$B$10/Settings!$B$12)*Settings!$B$13,2))</f>
        <v/>
      </c>
      <c r="N983" s="26" t="str">
        <f aca="false">IF($A983="","",K983+L983+M983)</f>
        <v/>
      </c>
      <c r="O983" s="26" t="str">
        <f aca="false">IF($A983="","",SUMIFS(Deductions!$D$5:$D$2000,Deductions!$B$5:$B$2000,$A983,Deductions!$C$5:$C$2000,"Advance",Deductions!$E$5:$E$2000,"&gt;="&amp;Settings!$B$8,Deductions!$E$5:$E$2000,"&lt;="&amp;Settings!$B$9))</f>
        <v/>
      </c>
      <c r="P983" s="26" t="str">
        <f aca="false">IF($A983="","",SUMIFS(Deductions!$D$5:$D$2000,Deductions!$B$5:$B$2000,$A983,Deductions!$E$5:$E$2000,"&gt;="&amp;Settings!$B$8,Deductions!$E$5:$E$2000,"&lt;="&amp;Settings!$B$9)-O983)</f>
        <v/>
      </c>
      <c r="Q983" s="26" t="str">
        <f aca="false">IF($A983="","",O983+P983)</f>
        <v/>
      </c>
      <c r="R983" s="23" t="str">
        <f aca="false">IF($A983="","",N983-Q983)</f>
        <v/>
      </c>
      <c r="S983" s="24" t="str">
        <f aca="false">IF($A983="","",INDEX(Workers!$O$5:$O$2004,MATCH($A983,Workers!$A$5:$A$2004,0))&amp;"")</f>
        <v/>
      </c>
      <c r="T983" s="24" t="str">
        <f aca="false">IF($A983="","",INDEX(Workers!$P$5:$P$2004,MATCH($A983,Workers!$A$5:$A$2004,0))&amp;"")</f>
        <v/>
      </c>
      <c r="U983" s="24" t="str">
        <f aca="false">IF($A983="","",INDEX(Workers!$H$5:$H$2004,MATCH($A983,Workers!$A$5:$A$2004,0))&amp;"")</f>
        <v/>
      </c>
    </row>
    <row r="984" customFormat="false" ht="15" hidden="false" customHeight="false" outlineLevel="0" collapsed="false">
      <c r="A984" s="24" t="str">
        <f aca="false">IFERROR(INDEX(Workers!$A$5:$A$2004,MATCH(ROW()-4,Workers!$U$5:$U$2004,0)),"")</f>
        <v/>
      </c>
      <c r="B984" s="24" t="str">
        <f aca="false">IF($A984="","",INDEX(Workers!$B$5:$B$2004,MATCH($A984,Workers!$A$5:$A$2004,0)))</f>
        <v/>
      </c>
      <c r="C984" s="24" t="str">
        <f aca="false">IF($A984="","",INDEX(Workers!$E$5:$E$2004,MATCH($A984,Workers!$A$5:$A$2004,0)))</f>
        <v/>
      </c>
      <c r="D984" s="24" t="str">
        <f aca="false">IF($A984="","",INDEX(Workers!$K$5:$K$2004,MATCH($A984,Workers!$A$5:$A$2004,0)))</f>
        <v/>
      </c>
      <c r="E984" s="25" t="str">
        <f aca="false">IF($A984="","",SUMIFS(Timesheet!$E$5:$E$3004,Timesheet!$D$5:$D$3004,$A984,Timesheet!$A$5:$A$3004,"&gt;="&amp;Settings!$B$8,Timesheet!$A$5:$A$3004,"&lt;="&amp;Settings!$B$9))</f>
        <v/>
      </c>
      <c r="F984" s="25" t="str">
        <f aca="false">IF($A984="","",SUMIFS(Timesheet!$F$5:$F$3004,Timesheet!$D$5:$D$3004,$A984,Timesheet!$A$5:$A$3004,"&gt;="&amp;Settings!$B$8,Timesheet!$A$5:$A$3004,"&lt;="&amp;Settings!$B$9))</f>
        <v/>
      </c>
      <c r="G984" s="25" t="str">
        <f aca="false">IF($A984="","",SUMIFS(Timesheet!$G$5:$G$3004,Timesheet!$D$5:$D$3004,$A984,Timesheet!$A$5:$A$3004,"&gt;="&amp;Settings!$B$8,Timesheet!$A$5:$A$3004,"&lt;="&amp;Settings!$B$9))</f>
        <v/>
      </c>
      <c r="H984" s="25" t="str">
        <f aca="false">IF($A984="","",IF(D984="Monthly",MAX(0,Settings!$B$11-E984),0))</f>
        <v/>
      </c>
      <c r="I984" s="26" t="str">
        <f aca="false">IF($A984="","",N(INDEX(Workers!$L$5:$L$2004,MATCH($A984,Workers!$A$5:$A$2004,0))))</f>
        <v/>
      </c>
      <c r="J984" s="26" t="str">
        <f aca="false">IF($A984="","",N(INDEX(Workers!$M$5:$M$2004,MATCH($A984,Workers!$A$5:$A$2004,0))))</f>
        <v/>
      </c>
      <c r="K984" s="26" t="str">
        <f aca="false">IF($A984="","",IF(D984="Monthly",ROUND(MAX(0,(I984+J984)-(I984+J984)/Settings!$B$10*H984),2),0))</f>
        <v/>
      </c>
      <c r="L984" s="26" t="str">
        <f aca="false">IF($A984="","",IF(D984="Hourly",ROUND(F984*N(INDEX(Workers!$N$5:$N$2004,MATCH($A984,Workers!$A$5:$A$2004,0))),2),0))</f>
        <v/>
      </c>
      <c r="M984" s="26" t="str">
        <f aca="false">IF($A984="","",ROUND(G984*IF(D984="Hourly",N(INDEX(Workers!$N$5:$N$2004,MATCH($A984,Workers!$A$5:$A$2004,0))),I984/Settings!$B$10/Settings!$B$12)*Settings!$B$13,2))</f>
        <v/>
      </c>
      <c r="N984" s="26" t="str">
        <f aca="false">IF($A984="","",K984+L984+M984)</f>
        <v/>
      </c>
      <c r="O984" s="26" t="str">
        <f aca="false">IF($A984="","",SUMIFS(Deductions!$D$5:$D$2000,Deductions!$B$5:$B$2000,$A984,Deductions!$C$5:$C$2000,"Advance",Deductions!$E$5:$E$2000,"&gt;="&amp;Settings!$B$8,Deductions!$E$5:$E$2000,"&lt;="&amp;Settings!$B$9))</f>
        <v/>
      </c>
      <c r="P984" s="26" t="str">
        <f aca="false">IF($A984="","",SUMIFS(Deductions!$D$5:$D$2000,Deductions!$B$5:$B$2000,$A984,Deductions!$E$5:$E$2000,"&gt;="&amp;Settings!$B$8,Deductions!$E$5:$E$2000,"&lt;="&amp;Settings!$B$9)-O984)</f>
        <v/>
      </c>
      <c r="Q984" s="26" t="str">
        <f aca="false">IF($A984="","",O984+P984)</f>
        <v/>
      </c>
      <c r="R984" s="23" t="str">
        <f aca="false">IF($A984="","",N984-Q984)</f>
        <v/>
      </c>
      <c r="S984" s="24" t="str">
        <f aca="false">IF($A984="","",INDEX(Workers!$O$5:$O$2004,MATCH($A984,Workers!$A$5:$A$2004,0))&amp;"")</f>
        <v/>
      </c>
      <c r="T984" s="24" t="str">
        <f aca="false">IF($A984="","",INDEX(Workers!$P$5:$P$2004,MATCH($A984,Workers!$A$5:$A$2004,0))&amp;"")</f>
        <v/>
      </c>
      <c r="U984" s="24" t="str">
        <f aca="false">IF($A984="","",INDEX(Workers!$H$5:$H$2004,MATCH($A984,Workers!$A$5:$A$2004,0))&amp;"")</f>
        <v/>
      </c>
    </row>
    <row r="985" customFormat="false" ht="15" hidden="false" customHeight="false" outlineLevel="0" collapsed="false">
      <c r="A985" s="24" t="str">
        <f aca="false">IFERROR(INDEX(Workers!$A$5:$A$2004,MATCH(ROW()-4,Workers!$U$5:$U$2004,0)),"")</f>
        <v/>
      </c>
      <c r="B985" s="24" t="str">
        <f aca="false">IF($A985="","",INDEX(Workers!$B$5:$B$2004,MATCH($A985,Workers!$A$5:$A$2004,0)))</f>
        <v/>
      </c>
      <c r="C985" s="24" t="str">
        <f aca="false">IF($A985="","",INDEX(Workers!$E$5:$E$2004,MATCH($A985,Workers!$A$5:$A$2004,0)))</f>
        <v/>
      </c>
      <c r="D985" s="24" t="str">
        <f aca="false">IF($A985="","",INDEX(Workers!$K$5:$K$2004,MATCH($A985,Workers!$A$5:$A$2004,0)))</f>
        <v/>
      </c>
      <c r="E985" s="25" t="str">
        <f aca="false">IF($A985="","",SUMIFS(Timesheet!$E$5:$E$3004,Timesheet!$D$5:$D$3004,$A985,Timesheet!$A$5:$A$3004,"&gt;="&amp;Settings!$B$8,Timesheet!$A$5:$A$3004,"&lt;="&amp;Settings!$B$9))</f>
        <v/>
      </c>
      <c r="F985" s="25" t="str">
        <f aca="false">IF($A985="","",SUMIFS(Timesheet!$F$5:$F$3004,Timesheet!$D$5:$D$3004,$A985,Timesheet!$A$5:$A$3004,"&gt;="&amp;Settings!$B$8,Timesheet!$A$5:$A$3004,"&lt;="&amp;Settings!$B$9))</f>
        <v/>
      </c>
      <c r="G985" s="25" t="str">
        <f aca="false">IF($A985="","",SUMIFS(Timesheet!$G$5:$G$3004,Timesheet!$D$5:$D$3004,$A985,Timesheet!$A$5:$A$3004,"&gt;="&amp;Settings!$B$8,Timesheet!$A$5:$A$3004,"&lt;="&amp;Settings!$B$9))</f>
        <v/>
      </c>
      <c r="H985" s="25" t="str">
        <f aca="false">IF($A985="","",IF(D985="Monthly",MAX(0,Settings!$B$11-E985),0))</f>
        <v/>
      </c>
      <c r="I985" s="26" t="str">
        <f aca="false">IF($A985="","",N(INDEX(Workers!$L$5:$L$2004,MATCH($A985,Workers!$A$5:$A$2004,0))))</f>
        <v/>
      </c>
      <c r="J985" s="26" t="str">
        <f aca="false">IF($A985="","",N(INDEX(Workers!$M$5:$M$2004,MATCH($A985,Workers!$A$5:$A$2004,0))))</f>
        <v/>
      </c>
      <c r="K985" s="26" t="str">
        <f aca="false">IF($A985="","",IF(D985="Monthly",ROUND(MAX(0,(I985+J985)-(I985+J985)/Settings!$B$10*H985),2),0))</f>
        <v/>
      </c>
      <c r="L985" s="26" t="str">
        <f aca="false">IF($A985="","",IF(D985="Hourly",ROUND(F985*N(INDEX(Workers!$N$5:$N$2004,MATCH($A985,Workers!$A$5:$A$2004,0))),2),0))</f>
        <v/>
      </c>
      <c r="M985" s="26" t="str">
        <f aca="false">IF($A985="","",ROUND(G985*IF(D985="Hourly",N(INDEX(Workers!$N$5:$N$2004,MATCH($A985,Workers!$A$5:$A$2004,0))),I985/Settings!$B$10/Settings!$B$12)*Settings!$B$13,2))</f>
        <v/>
      </c>
      <c r="N985" s="26" t="str">
        <f aca="false">IF($A985="","",K985+L985+M985)</f>
        <v/>
      </c>
      <c r="O985" s="26" t="str">
        <f aca="false">IF($A985="","",SUMIFS(Deductions!$D$5:$D$2000,Deductions!$B$5:$B$2000,$A985,Deductions!$C$5:$C$2000,"Advance",Deductions!$E$5:$E$2000,"&gt;="&amp;Settings!$B$8,Deductions!$E$5:$E$2000,"&lt;="&amp;Settings!$B$9))</f>
        <v/>
      </c>
      <c r="P985" s="26" t="str">
        <f aca="false">IF($A985="","",SUMIFS(Deductions!$D$5:$D$2000,Deductions!$B$5:$B$2000,$A985,Deductions!$E$5:$E$2000,"&gt;="&amp;Settings!$B$8,Deductions!$E$5:$E$2000,"&lt;="&amp;Settings!$B$9)-O985)</f>
        <v/>
      </c>
      <c r="Q985" s="26" t="str">
        <f aca="false">IF($A985="","",O985+P985)</f>
        <v/>
      </c>
      <c r="R985" s="23" t="str">
        <f aca="false">IF($A985="","",N985-Q985)</f>
        <v/>
      </c>
      <c r="S985" s="24" t="str">
        <f aca="false">IF($A985="","",INDEX(Workers!$O$5:$O$2004,MATCH($A985,Workers!$A$5:$A$2004,0))&amp;"")</f>
        <v/>
      </c>
      <c r="T985" s="24" t="str">
        <f aca="false">IF($A985="","",INDEX(Workers!$P$5:$P$2004,MATCH($A985,Workers!$A$5:$A$2004,0))&amp;"")</f>
        <v/>
      </c>
      <c r="U985" s="24" t="str">
        <f aca="false">IF($A985="","",INDEX(Workers!$H$5:$H$2004,MATCH($A985,Workers!$A$5:$A$2004,0))&amp;"")</f>
        <v/>
      </c>
    </row>
    <row r="986" customFormat="false" ht="15" hidden="false" customHeight="false" outlineLevel="0" collapsed="false">
      <c r="A986" s="24" t="str">
        <f aca="false">IFERROR(INDEX(Workers!$A$5:$A$2004,MATCH(ROW()-4,Workers!$U$5:$U$2004,0)),"")</f>
        <v/>
      </c>
      <c r="B986" s="24" t="str">
        <f aca="false">IF($A986="","",INDEX(Workers!$B$5:$B$2004,MATCH($A986,Workers!$A$5:$A$2004,0)))</f>
        <v/>
      </c>
      <c r="C986" s="24" t="str">
        <f aca="false">IF($A986="","",INDEX(Workers!$E$5:$E$2004,MATCH($A986,Workers!$A$5:$A$2004,0)))</f>
        <v/>
      </c>
      <c r="D986" s="24" t="str">
        <f aca="false">IF($A986="","",INDEX(Workers!$K$5:$K$2004,MATCH($A986,Workers!$A$5:$A$2004,0)))</f>
        <v/>
      </c>
      <c r="E986" s="25" t="str">
        <f aca="false">IF($A986="","",SUMIFS(Timesheet!$E$5:$E$3004,Timesheet!$D$5:$D$3004,$A986,Timesheet!$A$5:$A$3004,"&gt;="&amp;Settings!$B$8,Timesheet!$A$5:$A$3004,"&lt;="&amp;Settings!$B$9))</f>
        <v/>
      </c>
      <c r="F986" s="25" t="str">
        <f aca="false">IF($A986="","",SUMIFS(Timesheet!$F$5:$F$3004,Timesheet!$D$5:$D$3004,$A986,Timesheet!$A$5:$A$3004,"&gt;="&amp;Settings!$B$8,Timesheet!$A$5:$A$3004,"&lt;="&amp;Settings!$B$9))</f>
        <v/>
      </c>
      <c r="G986" s="25" t="str">
        <f aca="false">IF($A986="","",SUMIFS(Timesheet!$G$5:$G$3004,Timesheet!$D$5:$D$3004,$A986,Timesheet!$A$5:$A$3004,"&gt;="&amp;Settings!$B$8,Timesheet!$A$5:$A$3004,"&lt;="&amp;Settings!$B$9))</f>
        <v/>
      </c>
      <c r="H986" s="25" t="str">
        <f aca="false">IF($A986="","",IF(D986="Monthly",MAX(0,Settings!$B$11-E986),0))</f>
        <v/>
      </c>
      <c r="I986" s="26" t="str">
        <f aca="false">IF($A986="","",N(INDEX(Workers!$L$5:$L$2004,MATCH($A986,Workers!$A$5:$A$2004,0))))</f>
        <v/>
      </c>
      <c r="J986" s="26" t="str">
        <f aca="false">IF($A986="","",N(INDEX(Workers!$M$5:$M$2004,MATCH($A986,Workers!$A$5:$A$2004,0))))</f>
        <v/>
      </c>
      <c r="K986" s="26" t="str">
        <f aca="false">IF($A986="","",IF(D986="Monthly",ROUND(MAX(0,(I986+J986)-(I986+J986)/Settings!$B$10*H986),2),0))</f>
        <v/>
      </c>
      <c r="L986" s="26" t="str">
        <f aca="false">IF($A986="","",IF(D986="Hourly",ROUND(F986*N(INDEX(Workers!$N$5:$N$2004,MATCH($A986,Workers!$A$5:$A$2004,0))),2),0))</f>
        <v/>
      </c>
      <c r="M986" s="26" t="str">
        <f aca="false">IF($A986="","",ROUND(G986*IF(D986="Hourly",N(INDEX(Workers!$N$5:$N$2004,MATCH($A986,Workers!$A$5:$A$2004,0))),I986/Settings!$B$10/Settings!$B$12)*Settings!$B$13,2))</f>
        <v/>
      </c>
      <c r="N986" s="26" t="str">
        <f aca="false">IF($A986="","",K986+L986+M986)</f>
        <v/>
      </c>
      <c r="O986" s="26" t="str">
        <f aca="false">IF($A986="","",SUMIFS(Deductions!$D$5:$D$2000,Deductions!$B$5:$B$2000,$A986,Deductions!$C$5:$C$2000,"Advance",Deductions!$E$5:$E$2000,"&gt;="&amp;Settings!$B$8,Deductions!$E$5:$E$2000,"&lt;="&amp;Settings!$B$9))</f>
        <v/>
      </c>
      <c r="P986" s="26" t="str">
        <f aca="false">IF($A986="","",SUMIFS(Deductions!$D$5:$D$2000,Deductions!$B$5:$B$2000,$A986,Deductions!$E$5:$E$2000,"&gt;="&amp;Settings!$B$8,Deductions!$E$5:$E$2000,"&lt;="&amp;Settings!$B$9)-O986)</f>
        <v/>
      </c>
      <c r="Q986" s="26" t="str">
        <f aca="false">IF($A986="","",O986+P986)</f>
        <v/>
      </c>
      <c r="R986" s="23" t="str">
        <f aca="false">IF($A986="","",N986-Q986)</f>
        <v/>
      </c>
      <c r="S986" s="24" t="str">
        <f aca="false">IF($A986="","",INDEX(Workers!$O$5:$O$2004,MATCH($A986,Workers!$A$5:$A$2004,0))&amp;"")</f>
        <v/>
      </c>
      <c r="T986" s="24" t="str">
        <f aca="false">IF($A986="","",INDEX(Workers!$P$5:$P$2004,MATCH($A986,Workers!$A$5:$A$2004,0))&amp;"")</f>
        <v/>
      </c>
      <c r="U986" s="24" t="str">
        <f aca="false">IF($A986="","",INDEX(Workers!$H$5:$H$2004,MATCH($A986,Workers!$A$5:$A$2004,0))&amp;"")</f>
        <v/>
      </c>
    </row>
    <row r="987" customFormat="false" ht="15" hidden="false" customHeight="false" outlineLevel="0" collapsed="false">
      <c r="A987" s="24" t="str">
        <f aca="false">IFERROR(INDEX(Workers!$A$5:$A$2004,MATCH(ROW()-4,Workers!$U$5:$U$2004,0)),"")</f>
        <v/>
      </c>
      <c r="B987" s="24" t="str">
        <f aca="false">IF($A987="","",INDEX(Workers!$B$5:$B$2004,MATCH($A987,Workers!$A$5:$A$2004,0)))</f>
        <v/>
      </c>
      <c r="C987" s="24" t="str">
        <f aca="false">IF($A987="","",INDEX(Workers!$E$5:$E$2004,MATCH($A987,Workers!$A$5:$A$2004,0)))</f>
        <v/>
      </c>
      <c r="D987" s="24" t="str">
        <f aca="false">IF($A987="","",INDEX(Workers!$K$5:$K$2004,MATCH($A987,Workers!$A$5:$A$2004,0)))</f>
        <v/>
      </c>
      <c r="E987" s="25" t="str">
        <f aca="false">IF($A987="","",SUMIFS(Timesheet!$E$5:$E$3004,Timesheet!$D$5:$D$3004,$A987,Timesheet!$A$5:$A$3004,"&gt;="&amp;Settings!$B$8,Timesheet!$A$5:$A$3004,"&lt;="&amp;Settings!$B$9))</f>
        <v/>
      </c>
      <c r="F987" s="25" t="str">
        <f aca="false">IF($A987="","",SUMIFS(Timesheet!$F$5:$F$3004,Timesheet!$D$5:$D$3004,$A987,Timesheet!$A$5:$A$3004,"&gt;="&amp;Settings!$B$8,Timesheet!$A$5:$A$3004,"&lt;="&amp;Settings!$B$9))</f>
        <v/>
      </c>
      <c r="G987" s="25" t="str">
        <f aca="false">IF($A987="","",SUMIFS(Timesheet!$G$5:$G$3004,Timesheet!$D$5:$D$3004,$A987,Timesheet!$A$5:$A$3004,"&gt;="&amp;Settings!$B$8,Timesheet!$A$5:$A$3004,"&lt;="&amp;Settings!$B$9))</f>
        <v/>
      </c>
      <c r="H987" s="25" t="str">
        <f aca="false">IF($A987="","",IF(D987="Monthly",MAX(0,Settings!$B$11-E987),0))</f>
        <v/>
      </c>
      <c r="I987" s="26" t="str">
        <f aca="false">IF($A987="","",N(INDEX(Workers!$L$5:$L$2004,MATCH($A987,Workers!$A$5:$A$2004,0))))</f>
        <v/>
      </c>
      <c r="J987" s="26" t="str">
        <f aca="false">IF($A987="","",N(INDEX(Workers!$M$5:$M$2004,MATCH($A987,Workers!$A$5:$A$2004,0))))</f>
        <v/>
      </c>
      <c r="K987" s="26" t="str">
        <f aca="false">IF($A987="","",IF(D987="Monthly",ROUND(MAX(0,(I987+J987)-(I987+J987)/Settings!$B$10*H987),2),0))</f>
        <v/>
      </c>
      <c r="L987" s="26" t="str">
        <f aca="false">IF($A987="","",IF(D987="Hourly",ROUND(F987*N(INDEX(Workers!$N$5:$N$2004,MATCH($A987,Workers!$A$5:$A$2004,0))),2),0))</f>
        <v/>
      </c>
      <c r="M987" s="26" t="str">
        <f aca="false">IF($A987="","",ROUND(G987*IF(D987="Hourly",N(INDEX(Workers!$N$5:$N$2004,MATCH($A987,Workers!$A$5:$A$2004,0))),I987/Settings!$B$10/Settings!$B$12)*Settings!$B$13,2))</f>
        <v/>
      </c>
      <c r="N987" s="26" t="str">
        <f aca="false">IF($A987="","",K987+L987+M987)</f>
        <v/>
      </c>
      <c r="O987" s="26" t="str">
        <f aca="false">IF($A987="","",SUMIFS(Deductions!$D$5:$D$2000,Deductions!$B$5:$B$2000,$A987,Deductions!$C$5:$C$2000,"Advance",Deductions!$E$5:$E$2000,"&gt;="&amp;Settings!$B$8,Deductions!$E$5:$E$2000,"&lt;="&amp;Settings!$B$9))</f>
        <v/>
      </c>
      <c r="P987" s="26" t="str">
        <f aca="false">IF($A987="","",SUMIFS(Deductions!$D$5:$D$2000,Deductions!$B$5:$B$2000,$A987,Deductions!$E$5:$E$2000,"&gt;="&amp;Settings!$B$8,Deductions!$E$5:$E$2000,"&lt;="&amp;Settings!$B$9)-O987)</f>
        <v/>
      </c>
      <c r="Q987" s="26" t="str">
        <f aca="false">IF($A987="","",O987+P987)</f>
        <v/>
      </c>
      <c r="R987" s="23" t="str">
        <f aca="false">IF($A987="","",N987-Q987)</f>
        <v/>
      </c>
      <c r="S987" s="24" t="str">
        <f aca="false">IF($A987="","",INDEX(Workers!$O$5:$O$2004,MATCH($A987,Workers!$A$5:$A$2004,0))&amp;"")</f>
        <v/>
      </c>
      <c r="T987" s="24" t="str">
        <f aca="false">IF($A987="","",INDEX(Workers!$P$5:$P$2004,MATCH($A987,Workers!$A$5:$A$2004,0))&amp;"")</f>
        <v/>
      </c>
      <c r="U987" s="24" t="str">
        <f aca="false">IF($A987="","",INDEX(Workers!$H$5:$H$2004,MATCH($A987,Workers!$A$5:$A$2004,0))&amp;"")</f>
        <v/>
      </c>
    </row>
    <row r="988" customFormat="false" ht="15" hidden="false" customHeight="false" outlineLevel="0" collapsed="false">
      <c r="A988" s="24" t="str">
        <f aca="false">IFERROR(INDEX(Workers!$A$5:$A$2004,MATCH(ROW()-4,Workers!$U$5:$U$2004,0)),"")</f>
        <v/>
      </c>
      <c r="B988" s="24" t="str">
        <f aca="false">IF($A988="","",INDEX(Workers!$B$5:$B$2004,MATCH($A988,Workers!$A$5:$A$2004,0)))</f>
        <v/>
      </c>
      <c r="C988" s="24" t="str">
        <f aca="false">IF($A988="","",INDEX(Workers!$E$5:$E$2004,MATCH($A988,Workers!$A$5:$A$2004,0)))</f>
        <v/>
      </c>
      <c r="D988" s="24" t="str">
        <f aca="false">IF($A988="","",INDEX(Workers!$K$5:$K$2004,MATCH($A988,Workers!$A$5:$A$2004,0)))</f>
        <v/>
      </c>
      <c r="E988" s="25" t="str">
        <f aca="false">IF($A988="","",SUMIFS(Timesheet!$E$5:$E$3004,Timesheet!$D$5:$D$3004,$A988,Timesheet!$A$5:$A$3004,"&gt;="&amp;Settings!$B$8,Timesheet!$A$5:$A$3004,"&lt;="&amp;Settings!$B$9))</f>
        <v/>
      </c>
      <c r="F988" s="25" t="str">
        <f aca="false">IF($A988="","",SUMIFS(Timesheet!$F$5:$F$3004,Timesheet!$D$5:$D$3004,$A988,Timesheet!$A$5:$A$3004,"&gt;="&amp;Settings!$B$8,Timesheet!$A$5:$A$3004,"&lt;="&amp;Settings!$B$9))</f>
        <v/>
      </c>
      <c r="G988" s="25" t="str">
        <f aca="false">IF($A988="","",SUMIFS(Timesheet!$G$5:$G$3004,Timesheet!$D$5:$D$3004,$A988,Timesheet!$A$5:$A$3004,"&gt;="&amp;Settings!$B$8,Timesheet!$A$5:$A$3004,"&lt;="&amp;Settings!$B$9))</f>
        <v/>
      </c>
      <c r="H988" s="25" t="str">
        <f aca="false">IF($A988="","",IF(D988="Monthly",MAX(0,Settings!$B$11-E988),0))</f>
        <v/>
      </c>
      <c r="I988" s="26" t="str">
        <f aca="false">IF($A988="","",N(INDEX(Workers!$L$5:$L$2004,MATCH($A988,Workers!$A$5:$A$2004,0))))</f>
        <v/>
      </c>
      <c r="J988" s="26" t="str">
        <f aca="false">IF($A988="","",N(INDEX(Workers!$M$5:$M$2004,MATCH($A988,Workers!$A$5:$A$2004,0))))</f>
        <v/>
      </c>
      <c r="K988" s="26" t="str">
        <f aca="false">IF($A988="","",IF(D988="Monthly",ROUND(MAX(0,(I988+J988)-(I988+J988)/Settings!$B$10*H988),2),0))</f>
        <v/>
      </c>
      <c r="L988" s="26" t="str">
        <f aca="false">IF($A988="","",IF(D988="Hourly",ROUND(F988*N(INDEX(Workers!$N$5:$N$2004,MATCH($A988,Workers!$A$5:$A$2004,0))),2),0))</f>
        <v/>
      </c>
      <c r="M988" s="26" t="str">
        <f aca="false">IF($A988="","",ROUND(G988*IF(D988="Hourly",N(INDEX(Workers!$N$5:$N$2004,MATCH($A988,Workers!$A$5:$A$2004,0))),I988/Settings!$B$10/Settings!$B$12)*Settings!$B$13,2))</f>
        <v/>
      </c>
      <c r="N988" s="26" t="str">
        <f aca="false">IF($A988="","",K988+L988+M988)</f>
        <v/>
      </c>
      <c r="O988" s="26" t="str">
        <f aca="false">IF($A988="","",SUMIFS(Deductions!$D$5:$D$2000,Deductions!$B$5:$B$2000,$A988,Deductions!$C$5:$C$2000,"Advance",Deductions!$E$5:$E$2000,"&gt;="&amp;Settings!$B$8,Deductions!$E$5:$E$2000,"&lt;="&amp;Settings!$B$9))</f>
        <v/>
      </c>
      <c r="P988" s="26" t="str">
        <f aca="false">IF($A988="","",SUMIFS(Deductions!$D$5:$D$2000,Deductions!$B$5:$B$2000,$A988,Deductions!$E$5:$E$2000,"&gt;="&amp;Settings!$B$8,Deductions!$E$5:$E$2000,"&lt;="&amp;Settings!$B$9)-O988)</f>
        <v/>
      </c>
      <c r="Q988" s="26" t="str">
        <f aca="false">IF($A988="","",O988+P988)</f>
        <v/>
      </c>
      <c r="R988" s="23" t="str">
        <f aca="false">IF($A988="","",N988-Q988)</f>
        <v/>
      </c>
      <c r="S988" s="24" t="str">
        <f aca="false">IF($A988="","",INDEX(Workers!$O$5:$O$2004,MATCH($A988,Workers!$A$5:$A$2004,0))&amp;"")</f>
        <v/>
      </c>
      <c r="T988" s="24" t="str">
        <f aca="false">IF($A988="","",INDEX(Workers!$P$5:$P$2004,MATCH($A988,Workers!$A$5:$A$2004,0))&amp;"")</f>
        <v/>
      </c>
      <c r="U988" s="24" t="str">
        <f aca="false">IF($A988="","",INDEX(Workers!$H$5:$H$2004,MATCH($A988,Workers!$A$5:$A$2004,0))&amp;"")</f>
        <v/>
      </c>
    </row>
    <row r="989" customFormat="false" ht="15" hidden="false" customHeight="false" outlineLevel="0" collapsed="false">
      <c r="A989" s="24" t="str">
        <f aca="false">IFERROR(INDEX(Workers!$A$5:$A$2004,MATCH(ROW()-4,Workers!$U$5:$U$2004,0)),"")</f>
        <v/>
      </c>
      <c r="B989" s="24" t="str">
        <f aca="false">IF($A989="","",INDEX(Workers!$B$5:$B$2004,MATCH($A989,Workers!$A$5:$A$2004,0)))</f>
        <v/>
      </c>
      <c r="C989" s="24" t="str">
        <f aca="false">IF($A989="","",INDEX(Workers!$E$5:$E$2004,MATCH($A989,Workers!$A$5:$A$2004,0)))</f>
        <v/>
      </c>
      <c r="D989" s="24" t="str">
        <f aca="false">IF($A989="","",INDEX(Workers!$K$5:$K$2004,MATCH($A989,Workers!$A$5:$A$2004,0)))</f>
        <v/>
      </c>
      <c r="E989" s="25" t="str">
        <f aca="false">IF($A989="","",SUMIFS(Timesheet!$E$5:$E$3004,Timesheet!$D$5:$D$3004,$A989,Timesheet!$A$5:$A$3004,"&gt;="&amp;Settings!$B$8,Timesheet!$A$5:$A$3004,"&lt;="&amp;Settings!$B$9))</f>
        <v/>
      </c>
      <c r="F989" s="25" t="str">
        <f aca="false">IF($A989="","",SUMIFS(Timesheet!$F$5:$F$3004,Timesheet!$D$5:$D$3004,$A989,Timesheet!$A$5:$A$3004,"&gt;="&amp;Settings!$B$8,Timesheet!$A$5:$A$3004,"&lt;="&amp;Settings!$B$9))</f>
        <v/>
      </c>
      <c r="G989" s="25" t="str">
        <f aca="false">IF($A989="","",SUMIFS(Timesheet!$G$5:$G$3004,Timesheet!$D$5:$D$3004,$A989,Timesheet!$A$5:$A$3004,"&gt;="&amp;Settings!$B$8,Timesheet!$A$5:$A$3004,"&lt;="&amp;Settings!$B$9))</f>
        <v/>
      </c>
      <c r="H989" s="25" t="str">
        <f aca="false">IF($A989="","",IF(D989="Monthly",MAX(0,Settings!$B$11-E989),0))</f>
        <v/>
      </c>
      <c r="I989" s="26" t="str">
        <f aca="false">IF($A989="","",N(INDEX(Workers!$L$5:$L$2004,MATCH($A989,Workers!$A$5:$A$2004,0))))</f>
        <v/>
      </c>
      <c r="J989" s="26" t="str">
        <f aca="false">IF($A989="","",N(INDEX(Workers!$M$5:$M$2004,MATCH($A989,Workers!$A$5:$A$2004,0))))</f>
        <v/>
      </c>
      <c r="K989" s="26" t="str">
        <f aca="false">IF($A989="","",IF(D989="Monthly",ROUND(MAX(0,(I989+J989)-(I989+J989)/Settings!$B$10*H989),2),0))</f>
        <v/>
      </c>
      <c r="L989" s="26" t="str">
        <f aca="false">IF($A989="","",IF(D989="Hourly",ROUND(F989*N(INDEX(Workers!$N$5:$N$2004,MATCH($A989,Workers!$A$5:$A$2004,0))),2),0))</f>
        <v/>
      </c>
      <c r="M989" s="26" t="str">
        <f aca="false">IF($A989="","",ROUND(G989*IF(D989="Hourly",N(INDEX(Workers!$N$5:$N$2004,MATCH($A989,Workers!$A$5:$A$2004,0))),I989/Settings!$B$10/Settings!$B$12)*Settings!$B$13,2))</f>
        <v/>
      </c>
      <c r="N989" s="26" t="str">
        <f aca="false">IF($A989="","",K989+L989+M989)</f>
        <v/>
      </c>
      <c r="O989" s="26" t="str">
        <f aca="false">IF($A989="","",SUMIFS(Deductions!$D$5:$D$2000,Deductions!$B$5:$B$2000,$A989,Deductions!$C$5:$C$2000,"Advance",Deductions!$E$5:$E$2000,"&gt;="&amp;Settings!$B$8,Deductions!$E$5:$E$2000,"&lt;="&amp;Settings!$B$9))</f>
        <v/>
      </c>
      <c r="P989" s="26" t="str">
        <f aca="false">IF($A989="","",SUMIFS(Deductions!$D$5:$D$2000,Deductions!$B$5:$B$2000,$A989,Deductions!$E$5:$E$2000,"&gt;="&amp;Settings!$B$8,Deductions!$E$5:$E$2000,"&lt;="&amp;Settings!$B$9)-O989)</f>
        <v/>
      </c>
      <c r="Q989" s="26" t="str">
        <f aca="false">IF($A989="","",O989+P989)</f>
        <v/>
      </c>
      <c r="R989" s="23" t="str">
        <f aca="false">IF($A989="","",N989-Q989)</f>
        <v/>
      </c>
      <c r="S989" s="24" t="str">
        <f aca="false">IF($A989="","",INDEX(Workers!$O$5:$O$2004,MATCH($A989,Workers!$A$5:$A$2004,0))&amp;"")</f>
        <v/>
      </c>
      <c r="T989" s="24" t="str">
        <f aca="false">IF($A989="","",INDEX(Workers!$P$5:$P$2004,MATCH($A989,Workers!$A$5:$A$2004,0))&amp;"")</f>
        <v/>
      </c>
      <c r="U989" s="24" t="str">
        <f aca="false">IF($A989="","",INDEX(Workers!$H$5:$H$2004,MATCH($A989,Workers!$A$5:$A$2004,0))&amp;"")</f>
        <v/>
      </c>
    </row>
    <row r="990" customFormat="false" ht="15" hidden="false" customHeight="false" outlineLevel="0" collapsed="false">
      <c r="A990" s="24" t="str">
        <f aca="false">IFERROR(INDEX(Workers!$A$5:$A$2004,MATCH(ROW()-4,Workers!$U$5:$U$2004,0)),"")</f>
        <v/>
      </c>
      <c r="B990" s="24" t="str">
        <f aca="false">IF($A990="","",INDEX(Workers!$B$5:$B$2004,MATCH($A990,Workers!$A$5:$A$2004,0)))</f>
        <v/>
      </c>
      <c r="C990" s="24" t="str">
        <f aca="false">IF($A990="","",INDEX(Workers!$E$5:$E$2004,MATCH($A990,Workers!$A$5:$A$2004,0)))</f>
        <v/>
      </c>
      <c r="D990" s="24" t="str">
        <f aca="false">IF($A990="","",INDEX(Workers!$K$5:$K$2004,MATCH($A990,Workers!$A$5:$A$2004,0)))</f>
        <v/>
      </c>
      <c r="E990" s="25" t="str">
        <f aca="false">IF($A990="","",SUMIFS(Timesheet!$E$5:$E$3004,Timesheet!$D$5:$D$3004,$A990,Timesheet!$A$5:$A$3004,"&gt;="&amp;Settings!$B$8,Timesheet!$A$5:$A$3004,"&lt;="&amp;Settings!$B$9))</f>
        <v/>
      </c>
      <c r="F990" s="25" t="str">
        <f aca="false">IF($A990="","",SUMIFS(Timesheet!$F$5:$F$3004,Timesheet!$D$5:$D$3004,$A990,Timesheet!$A$5:$A$3004,"&gt;="&amp;Settings!$B$8,Timesheet!$A$5:$A$3004,"&lt;="&amp;Settings!$B$9))</f>
        <v/>
      </c>
      <c r="G990" s="25" t="str">
        <f aca="false">IF($A990="","",SUMIFS(Timesheet!$G$5:$G$3004,Timesheet!$D$5:$D$3004,$A990,Timesheet!$A$5:$A$3004,"&gt;="&amp;Settings!$B$8,Timesheet!$A$5:$A$3004,"&lt;="&amp;Settings!$B$9))</f>
        <v/>
      </c>
      <c r="H990" s="25" t="str">
        <f aca="false">IF($A990="","",IF(D990="Monthly",MAX(0,Settings!$B$11-E990),0))</f>
        <v/>
      </c>
      <c r="I990" s="26" t="str">
        <f aca="false">IF($A990="","",N(INDEX(Workers!$L$5:$L$2004,MATCH($A990,Workers!$A$5:$A$2004,0))))</f>
        <v/>
      </c>
      <c r="J990" s="26" t="str">
        <f aca="false">IF($A990="","",N(INDEX(Workers!$M$5:$M$2004,MATCH($A990,Workers!$A$5:$A$2004,0))))</f>
        <v/>
      </c>
      <c r="K990" s="26" t="str">
        <f aca="false">IF($A990="","",IF(D990="Monthly",ROUND(MAX(0,(I990+J990)-(I990+J990)/Settings!$B$10*H990),2),0))</f>
        <v/>
      </c>
      <c r="L990" s="26" t="str">
        <f aca="false">IF($A990="","",IF(D990="Hourly",ROUND(F990*N(INDEX(Workers!$N$5:$N$2004,MATCH($A990,Workers!$A$5:$A$2004,0))),2),0))</f>
        <v/>
      </c>
      <c r="M990" s="26" t="str">
        <f aca="false">IF($A990="","",ROUND(G990*IF(D990="Hourly",N(INDEX(Workers!$N$5:$N$2004,MATCH($A990,Workers!$A$5:$A$2004,0))),I990/Settings!$B$10/Settings!$B$12)*Settings!$B$13,2))</f>
        <v/>
      </c>
      <c r="N990" s="26" t="str">
        <f aca="false">IF($A990="","",K990+L990+M990)</f>
        <v/>
      </c>
      <c r="O990" s="26" t="str">
        <f aca="false">IF($A990="","",SUMIFS(Deductions!$D$5:$D$2000,Deductions!$B$5:$B$2000,$A990,Deductions!$C$5:$C$2000,"Advance",Deductions!$E$5:$E$2000,"&gt;="&amp;Settings!$B$8,Deductions!$E$5:$E$2000,"&lt;="&amp;Settings!$B$9))</f>
        <v/>
      </c>
      <c r="P990" s="26" t="str">
        <f aca="false">IF($A990="","",SUMIFS(Deductions!$D$5:$D$2000,Deductions!$B$5:$B$2000,$A990,Deductions!$E$5:$E$2000,"&gt;="&amp;Settings!$B$8,Deductions!$E$5:$E$2000,"&lt;="&amp;Settings!$B$9)-O990)</f>
        <v/>
      </c>
      <c r="Q990" s="26" t="str">
        <f aca="false">IF($A990="","",O990+P990)</f>
        <v/>
      </c>
      <c r="R990" s="23" t="str">
        <f aca="false">IF($A990="","",N990-Q990)</f>
        <v/>
      </c>
      <c r="S990" s="24" t="str">
        <f aca="false">IF($A990="","",INDEX(Workers!$O$5:$O$2004,MATCH($A990,Workers!$A$5:$A$2004,0))&amp;"")</f>
        <v/>
      </c>
      <c r="T990" s="24" t="str">
        <f aca="false">IF($A990="","",INDEX(Workers!$P$5:$P$2004,MATCH($A990,Workers!$A$5:$A$2004,0))&amp;"")</f>
        <v/>
      </c>
      <c r="U990" s="24" t="str">
        <f aca="false">IF($A990="","",INDEX(Workers!$H$5:$H$2004,MATCH($A990,Workers!$A$5:$A$2004,0))&amp;"")</f>
        <v/>
      </c>
    </row>
    <row r="991" customFormat="false" ht="15" hidden="false" customHeight="false" outlineLevel="0" collapsed="false">
      <c r="A991" s="24" t="str">
        <f aca="false">IFERROR(INDEX(Workers!$A$5:$A$2004,MATCH(ROW()-4,Workers!$U$5:$U$2004,0)),"")</f>
        <v/>
      </c>
      <c r="B991" s="24" t="str">
        <f aca="false">IF($A991="","",INDEX(Workers!$B$5:$B$2004,MATCH($A991,Workers!$A$5:$A$2004,0)))</f>
        <v/>
      </c>
      <c r="C991" s="24" t="str">
        <f aca="false">IF($A991="","",INDEX(Workers!$E$5:$E$2004,MATCH($A991,Workers!$A$5:$A$2004,0)))</f>
        <v/>
      </c>
      <c r="D991" s="24" t="str">
        <f aca="false">IF($A991="","",INDEX(Workers!$K$5:$K$2004,MATCH($A991,Workers!$A$5:$A$2004,0)))</f>
        <v/>
      </c>
      <c r="E991" s="25" t="str">
        <f aca="false">IF($A991="","",SUMIFS(Timesheet!$E$5:$E$3004,Timesheet!$D$5:$D$3004,$A991,Timesheet!$A$5:$A$3004,"&gt;="&amp;Settings!$B$8,Timesheet!$A$5:$A$3004,"&lt;="&amp;Settings!$B$9))</f>
        <v/>
      </c>
      <c r="F991" s="25" t="str">
        <f aca="false">IF($A991="","",SUMIFS(Timesheet!$F$5:$F$3004,Timesheet!$D$5:$D$3004,$A991,Timesheet!$A$5:$A$3004,"&gt;="&amp;Settings!$B$8,Timesheet!$A$5:$A$3004,"&lt;="&amp;Settings!$B$9))</f>
        <v/>
      </c>
      <c r="G991" s="25" t="str">
        <f aca="false">IF($A991="","",SUMIFS(Timesheet!$G$5:$G$3004,Timesheet!$D$5:$D$3004,$A991,Timesheet!$A$5:$A$3004,"&gt;="&amp;Settings!$B$8,Timesheet!$A$5:$A$3004,"&lt;="&amp;Settings!$B$9))</f>
        <v/>
      </c>
      <c r="H991" s="25" t="str">
        <f aca="false">IF($A991="","",IF(D991="Monthly",MAX(0,Settings!$B$11-E991),0))</f>
        <v/>
      </c>
      <c r="I991" s="26" t="str">
        <f aca="false">IF($A991="","",N(INDEX(Workers!$L$5:$L$2004,MATCH($A991,Workers!$A$5:$A$2004,0))))</f>
        <v/>
      </c>
      <c r="J991" s="26" t="str">
        <f aca="false">IF($A991="","",N(INDEX(Workers!$M$5:$M$2004,MATCH($A991,Workers!$A$5:$A$2004,0))))</f>
        <v/>
      </c>
      <c r="K991" s="26" t="str">
        <f aca="false">IF($A991="","",IF(D991="Monthly",ROUND(MAX(0,(I991+J991)-(I991+J991)/Settings!$B$10*H991),2),0))</f>
        <v/>
      </c>
      <c r="L991" s="26" t="str">
        <f aca="false">IF($A991="","",IF(D991="Hourly",ROUND(F991*N(INDEX(Workers!$N$5:$N$2004,MATCH($A991,Workers!$A$5:$A$2004,0))),2),0))</f>
        <v/>
      </c>
      <c r="M991" s="26" t="str">
        <f aca="false">IF($A991="","",ROUND(G991*IF(D991="Hourly",N(INDEX(Workers!$N$5:$N$2004,MATCH($A991,Workers!$A$5:$A$2004,0))),I991/Settings!$B$10/Settings!$B$12)*Settings!$B$13,2))</f>
        <v/>
      </c>
      <c r="N991" s="26" t="str">
        <f aca="false">IF($A991="","",K991+L991+M991)</f>
        <v/>
      </c>
      <c r="O991" s="26" t="str">
        <f aca="false">IF($A991="","",SUMIFS(Deductions!$D$5:$D$2000,Deductions!$B$5:$B$2000,$A991,Deductions!$C$5:$C$2000,"Advance",Deductions!$E$5:$E$2000,"&gt;="&amp;Settings!$B$8,Deductions!$E$5:$E$2000,"&lt;="&amp;Settings!$B$9))</f>
        <v/>
      </c>
      <c r="P991" s="26" t="str">
        <f aca="false">IF($A991="","",SUMIFS(Deductions!$D$5:$D$2000,Deductions!$B$5:$B$2000,$A991,Deductions!$E$5:$E$2000,"&gt;="&amp;Settings!$B$8,Deductions!$E$5:$E$2000,"&lt;="&amp;Settings!$B$9)-O991)</f>
        <v/>
      </c>
      <c r="Q991" s="26" t="str">
        <f aca="false">IF($A991="","",O991+P991)</f>
        <v/>
      </c>
      <c r="R991" s="23" t="str">
        <f aca="false">IF($A991="","",N991-Q991)</f>
        <v/>
      </c>
      <c r="S991" s="24" t="str">
        <f aca="false">IF($A991="","",INDEX(Workers!$O$5:$O$2004,MATCH($A991,Workers!$A$5:$A$2004,0))&amp;"")</f>
        <v/>
      </c>
      <c r="T991" s="24" t="str">
        <f aca="false">IF($A991="","",INDEX(Workers!$P$5:$P$2004,MATCH($A991,Workers!$A$5:$A$2004,0))&amp;"")</f>
        <v/>
      </c>
      <c r="U991" s="24" t="str">
        <f aca="false">IF($A991="","",INDEX(Workers!$H$5:$H$2004,MATCH($A991,Workers!$A$5:$A$2004,0))&amp;"")</f>
        <v/>
      </c>
    </row>
    <row r="992" customFormat="false" ht="15" hidden="false" customHeight="false" outlineLevel="0" collapsed="false">
      <c r="A992" s="24" t="str">
        <f aca="false">IFERROR(INDEX(Workers!$A$5:$A$2004,MATCH(ROW()-4,Workers!$U$5:$U$2004,0)),"")</f>
        <v/>
      </c>
      <c r="B992" s="24" t="str">
        <f aca="false">IF($A992="","",INDEX(Workers!$B$5:$B$2004,MATCH($A992,Workers!$A$5:$A$2004,0)))</f>
        <v/>
      </c>
      <c r="C992" s="24" t="str">
        <f aca="false">IF($A992="","",INDEX(Workers!$E$5:$E$2004,MATCH($A992,Workers!$A$5:$A$2004,0)))</f>
        <v/>
      </c>
      <c r="D992" s="24" t="str">
        <f aca="false">IF($A992="","",INDEX(Workers!$K$5:$K$2004,MATCH($A992,Workers!$A$5:$A$2004,0)))</f>
        <v/>
      </c>
      <c r="E992" s="25" t="str">
        <f aca="false">IF($A992="","",SUMIFS(Timesheet!$E$5:$E$3004,Timesheet!$D$5:$D$3004,$A992,Timesheet!$A$5:$A$3004,"&gt;="&amp;Settings!$B$8,Timesheet!$A$5:$A$3004,"&lt;="&amp;Settings!$B$9))</f>
        <v/>
      </c>
      <c r="F992" s="25" t="str">
        <f aca="false">IF($A992="","",SUMIFS(Timesheet!$F$5:$F$3004,Timesheet!$D$5:$D$3004,$A992,Timesheet!$A$5:$A$3004,"&gt;="&amp;Settings!$B$8,Timesheet!$A$5:$A$3004,"&lt;="&amp;Settings!$B$9))</f>
        <v/>
      </c>
      <c r="G992" s="25" t="str">
        <f aca="false">IF($A992="","",SUMIFS(Timesheet!$G$5:$G$3004,Timesheet!$D$5:$D$3004,$A992,Timesheet!$A$5:$A$3004,"&gt;="&amp;Settings!$B$8,Timesheet!$A$5:$A$3004,"&lt;="&amp;Settings!$B$9))</f>
        <v/>
      </c>
      <c r="H992" s="25" t="str">
        <f aca="false">IF($A992="","",IF(D992="Monthly",MAX(0,Settings!$B$11-E992),0))</f>
        <v/>
      </c>
      <c r="I992" s="26" t="str">
        <f aca="false">IF($A992="","",N(INDEX(Workers!$L$5:$L$2004,MATCH($A992,Workers!$A$5:$A$2004,0))))</f>
        <v/>
      </c>
      <c r="J992" s="26" t="str">
        <f aca="false">IF($A992="","",N(INDEX(Workers!$M$5:$M$2004,MATCH($A992,Workers!$A$5:$A$2004,0))))</f>
        <v/>
      </c>
      <c r="K992" s="26" t="str">
        <f aca="false">IF($A992="","",IF(D992="Monthly",ROUND(MAX(0,(I992+J992)-(I992+J992)/Settings!$B$10*H992),2),0))</f>
        <v/>
      </c>
      <c r="L992" s="26" t="str">
        <f aca="false">IF($A992="","",IF(D992="Hourly",ROUND(F992*N(INDEX(Workers!$N$5:$N$2004,MATCH($A992,Workers!$A$5:$A$2004,0))),2),0))</f>
        <v/>
      </c>
      <c r="M992" s="26" t="str">
        <f aca="false">IF($A992="","",ROUND(G992*IF(D992="Hourly",N(INDEX(Workers!$N$5:$N$2004,MATCH($A992,Workers!$A$5:$A$2004,0))),I992/Settings!$B$10/Settings!$B$12)*Settings!$B$13,2))</f>
        <v/>
      </c>
      <c r="N992" s="26" t="str">
        <f aca="false">IF($A992="","",K992+L992+M992)</f>
        <v/>
      </c>
      <c r="O992" s="26" t="str">
        <f aca="false">IF($A992="","",SUMIFS(Deductions!$D$5:$D$2000,Deductions!$B$5:$B$2000,$A992,Deductions!$C$5:$C$2000,"Advance",Deductions!$E$5:$E$2000,"&gt;="&amp;Settings!$B$8,Deductions!$E$5:$E$2000,"&lt;="&amp;Settings!$B$9))</f>
        <v/>
      </c>
      <c r="P992" s="26" t="str">
        <f aca="false">IF($A992="","",SUMIFS(Deductions!$D$5:$D$2000,Deductions!$B$5:$B$2000,$A992,Deductions!$E$5:$E$2000,"&gt;="&amp;Settings!$B$8,Deductions!$E$5:$E$2000,"&lt;="&amp;Settings!$B$9)-O992)</f>
        <v/>
      </c>
      <c r="Q992" s="26" t="str">
        <f aca="false">IF($A992="","",O992+P992)</f>
        <v/>
      </c>
      <c r="R992" s="23" t="str">
        <f aca="false">IF($A992="","",N992-Q992)</f>
        <v/>
      </c>
      <c r="S992" s="24" t="str">
        <f aca="false">IF($A992="","",INDEX(Workers!$O$5:$O$2004,MATCH($A992,Workers!$A$5:$A$2004,0))&amp;"")</f>
        <v/>
      </c>
      <c r="T992" s="24" t="str">
        <f aca="false">IF($A992="","",INDEX(Workers!$P$5:$P$2004,MATCH($A992,Workers!$A$5:$A$2004,0))&amp;"")</f>
        <v/>
      </c>
      <c r="U992" s="24" t="str">
        <f aca="false">IF($A992="","",INDEX(Workers!$H$5:$H$2004,MATCH($A992,Workers!$A$5:$A$2004,0))&amp;"")</f>
        <v/>
      </c>
    </row>
    <row r="993" customFormat="false" ht="15" hidden="false" customHeight="false" outlineLevel="0" collapsed="false">
      <c r="A993" s="24" t="str">
        <f aca="false">IFERROR(INDEX(Workers!$A$5:$A$2004,MATCH(ROW()-4,Workers!$U$5:$U$2004,0)),"")</f>
        <v/>
      </c>
      <c r="B993" s="24" t="str">
        <f aca="false">IF($A993="","",INDEX(Workers!$B$5:$B$2004,MATCH($A993,Workers!$A$5:$A$2004,0)))</f>
        <v/>
      </c>
      <c r="C993" s="24" t="str">
        <f aca="false">IF($A993="","",INDEX(Workers!$E$5:$E$2004,MATCH($A993,Workers!$A$5:$A$2004,0)))</f>
        <v/>
      </c>
      <c r="D993" s="24" t="str">
        <f aca="false">IF($A993="","",INDEX(Workers!$K$5:$K$2004,MATCH($A993,Workers!$A$5:$A$2004,0)))</f>
        <v/>
      </c>
      <c r="E993" s="25" t="str">
        <f aca="false">IF($A993="","",SUMIFS(Timesheet!$E$5:$E$3004,Timesheet!$D$5:$D$3004,$A993,Timesheet!$A$5:$A$3004,"&gt;="&amp;Settings!$B$8,Timesheet!$A$5:$A$3004,"&lt;="&amp;Settings!$B$9))</f>
        <v/>
      </c>
      <c r="F993" s="25" t="str">
        <f aca="false">IF($A993="","",SUMIFS(Timesheet!$F$5:$F$3004,Timesheet!$D$5:$D$3004,$A993,Timesheet!$A$5:$A$3004,"&gt;="&amp;Settings!$B$8,Timesheet!$A$5:$A$3004,"&lt;="&amp;Settings!$B$9))</f>
        <v/>
      </c>
      <c r="G993" s="25" t="str">
        <f aca="false">IF($A993="","",SUMIFS(Timesheet!$G$5:$G$3004,Timesheet!$D$5:$D$3004,$A993,Timesheet!$A$5:$A$3004,"&gt;="&amp;Settings!$B$8,Timesheet!$A$5:$A$3004,"&lt;="&amp;Settings!$B$9))</f>
        <v/>
      </c>
      <c r="H993" s="25" t="str">
        <f aca="false">IF($A993="","",IF(D993="Monthly",MAX(0,Settings!$B$11-E993),0))</f>
        <v/>
      </c>
      <c r="I993" s="26" t="str">
        <f aca="false">IF($A993="","",N(INDEX(Workers!$L$5:$L$2004,MATCH($A993,Workers!$A$5:$A$2004,0))))</f>
        <v/>
      </c>
      <c r="J993" s="26" t="str">
        <f aca="false">IF($A993="","",N(INDEX(Workers!$M$5:$M$2004,MATCH($A993,Workers!$A$5:$A$2004,0))))</f>
        <v/>
      </c>
      <c r="K993" s="26" t="str">
        <f aca="false">IF($A993="","",IF(D993="Monthly",ROUND(MAX(0,(I993+J993)-(I993+J993)/Settings!$B$10*H993),2),0))</f>
        <v/>
      </c>
      <c r="L993" s="26" t="str">
        <f aca="false">IF($A993="","",IF(D993="Hourly",ROUND(F993*N(INDEX(Workers!$N$5:$N$2004,MATCH($A993,Workers!$A$5:$A$2004,0))),2),0))</f>
        <v/>
      </c>
      <c r="M993" s="26" t="str">
        <f aca="false">IF($A993="","",ROUND(G993*IF(D993="Hourly",N(INDEX(Workers!$N$5:$N$2004,MATCH($A993,Workers!$A$5:$A$2004,0))),I993/Settings!$B$10/Settings!$B$12)*Settings!$B$13,2))</f>
        <v/>
      </c>
      <c r="N993" s="26" t="str">
        <f aca="false">IF($A993="","",K993+L993+M993)</f>
        <v/>
      </c>
      <c r="O993" s="26" t="str">
        <f aca="false">IF($A993="","",SUMIFS(Deductions!$D$5:$D$2000,Deductions!$B$5:$B$2000,$A993,Deductions!$C$5:$C$2000,"Advance",Deductions!$E$5:$E$2000,"&gt;="&amp;Settings!$B$8,Deductions!$E$5:$E$2000,"&lt;="&amp;Settings!$B$9))</f>
        <v/>
      </c>
      <c r="P993" s="26" t="str">
        <f aca="false">IF($A993="","",SUMIFS(Deductions!$D$5:$D$2000,Deductions!$B$5:$B$2000,$A993,Deductions!$E$5:$E$2000,"&gt;="&amp;Settings!$B$8,Deductions!$E$5:$E$2000,"&lt;="&amp;Settings!$B$9)-O993)</f>
        <v/>
      </c>
      <c r="Q993" s="26" t="str">
        <f aca="false">IF($A993="","",O993+P993)</f>
        <v/>
      </c>
      <c r="R993" s="23" t="str">
        <f aca="false">IF($A993="","",N993-Q993)</f>
        <v/>
      </c>
      <c r="S993" s="24" t="str">
        <f aca="false">IF($A993="","",INDEX(Workers!$O$5:$O$2004,MATCH($A993,Workers!$A$5:$A$2004,0))&amp;"")</f>
        <v/>
      </c>
      <c r="T993" s="24" t="str">
        <f aca="false">IF($A993="","",INDEX(Workers!$P$5:$P$2004,MATCH($A993,Workers!$A$5:$A$2004,0))&amp;"")</f>
        <v/>
      </c>
      <c r="U993" s="24" t="str">
        <f aca="false">IF($A993="","",INDEX(Workers!$H$5:$H$2004,MATCH($A993,Workers!$A$5:$A$2004,0))&amp;"")</f>
        <v/>
      </c>
    </row>
    <row r="994" customFormat="false" ht="15" hidden="false" customHeight="false" outlineLevel="0" collapsed="false">
      <c r="A994" s="24" t="str">
        <f aca="false">IFERROR(INDEX(Workers!$A$5:$A$2004,MATCH(ROW()-4,Workers!$U$5:$U$2004,0)),"")</f>
        <v/>
      </c>
      <c r="B994" s="24" t="str">
        <f aca="false">IF($A994="","",INDEX(Workers!$B$5:$B$2004,MATCH($A994,Workers!$A$5:$A$2004,0)))</f>
        <v/>
      </c>
      <c r="C994" s="24" t="str">
        <f aca="false">IF($A994="","",INDEX(Workers!$E$5:$E$2004,MATCH($A994,Workers!$A$5:$A$2004,0)))</f>
        <v/>
      </c>
      <c r="D994" s="24" t="str">
        <f aca="false">IF($A994="","",INDEX(Workers!$K$5:$K$2004,MATCH($A994,Workers!$A$5:$A$2004,0)))</f>
        <v/>
      </c>
      <c r="E994" s="25" t="str">
        <f aca="false">IF($A994="","",SUMIFS(Timesheet!$E$5:$E$3004,Timesheet!$D$5:$D$3004,$A994,Timesheet!$A$5:$A$3004,"&gt;="&amp;Settings!$B$8,Timesheet!$A$5:$A$3004,"&lt;="&amp;Settings!$B$9))</f>
        <v/>
      </c>
      <c r="F994" s="25" t="str">
        <f aca="false">IF($A994="","",SUMIFS(Timesheet!$F$5:$F$3004,Timesheet!$D$5:$D$3004,$A994,Timesheet!$A$5:$A$3004,"&gt;="&amp;Settings!$B$8,Timesheet!$A$5:$A$3004,"&lt;="&amp;Settings!$B$9))</f>
        <v/>
      </c>
      <c r="G994" s="25" t="str">
        <f aca="false">IF($A994="","",SUMIFS(Timesheet!$G$5:$G$3004,Timesheet!$D$5:$D$3004,$A994,Timesheet!$A$5:$A$3004,"&gt;="&amp;Settings!$B$8,Timesheet!$A$5:$A$3004,"&lt;="&amp;Settings!$B$9))</f>
        <v/>
      </c>
      <c r="H994" s="25" t="str">
        <f aca="false">IF($A994="","",IF(D994="Monthly",MAX(0,Settings!$B$11-E994),0))</f>
        <v/>
      </c>
      <c r="I994" s="26" t="str">
        <f aca="false">IF($A994="","",N(INDEX(Workers!$L$5:$L$2004,MATCH($A994,Workers!$A$5:$A$2004,0))))</f>
        <v/>
      </c>
      <c r="J994" s="26" t="str">
        <f aca="false">IF($A994="","",N(INDEX(Workers!$M$5:$M$2004,MATCH($A994,Workers!$A$5:$A$2004,0))))</f>
        <v/>
      </c>
      <c r="K994" s="26" t="str">
        <f aca="false">IF($A994="","",IF(D994="Monthly",ROUND(MAX(0,(I994+J994)-(I994+J994)/Settings!$B$10*H994),2),0))</f>
        <v/>
      </c>
      <c r="L994" s="26" t="str">
        <f aca="false">IF($A994="","",IF(D994="Hourly",ROUND(F994*N(INDEX(Workers!$N$5:$N$2004,MATCH($A994,Workers!$A$5:$A$2004,0))),2),0))</f>
        <v/>
      </c>
      <c r="M994" s="26" t="str">
        <f aca="false">IF($A994="","",ROUND(G994*IF(D994="Hourly",N(INDEX(Workers!$N$5:$N$2004,MATCH($A994,Workers!$A$5:$A$2004,0))),I994/Settings!$B$10/Settings!$B$12)*Settings!$B$13,2))</f>
        <v/>
      </c>
      <c r="N994" s="26" t="str">
        <f aca="false">IF($A994="","",K994+L994+M994)</f>
        <v/>
      </c>
      <c r="O994" s="26" t="str">
        <f aca="false">IF($A994="","",SUMIFS(Deductions!$D$5:$D$2000,Deductions!$B$5:$B$2000,$A994,Deductions!$C$5:$C$2000,"Advance",Deductions!$E$5:$E$2000,"&gt;="&amp;Settings!$B$8,Deductions!$E$5:$E$2000,"&lt;="&amp;Settings!$B$9))</f>
        <v/>
      </c>
      <c r="P994" s="26" t="str">
        <f aca="false">IF($A994="","",SUMIFS(Deductions!$D$5:$D$2000,Deductions!$B$5:$B$2000,$A994,Deductions!$E$5:$E$2000,"&gt;="&amp;Settings!$B$8,Deductions!$E$5:$E$2000,"&lt;="&amp;Settings!$B$9)-O994)</f>
        <v/>
      </c>
      <c r="Q994" s="26" t="str">
        <f aca="false">IF($A994="","",O994+P994)</f>
        <v/>
      </c>
      <c r="R994" s="23" t="str">
        <f aca="false">IF($A994="","",N994-Q994)</f>
        <v/>
      </c>
      <c r="S994" s="24" t="str">
        <f aca="false">IF($A994="","",INDEX(Workers!$O$5:$O$2004,MATCH($A994,Workers!$A$5:$A$2004,0))&amp;"")</f>
        <v/>
      </c>
      <c r="T994" s="24" t="str">
        <f aca="false">IF($A994="","",INDEX(Workers!$P$5:$P$2004,MATCH($A994,Workers!$A$5:$A$2004,0))&amp;"")</f>
        <v/>
      </c>
      <c r="U994" s="24" t="str">
        <f aca="false">IF($A994="","",INDEX(Workers!$H$5:$H$2004,MATCH($A994,Workers!$A$5:$A$2004,0))&amp;"")</f>
        <v/>
      </c>
    </row>
    <row r="995" customFormat="false" ht="15" hidden="false" customHeight="false" outlineLevel="0" collapsed="false">
      <c r="A995" s="24" t="str">
        <f aca="false">IFERROR(INDEX(Workers!$A$5:$A$2004,MATCH(ROW()-4,Workers!$U$5:$U$2004,0)),"")</f>
        <v/>
      </c>
      <c r="B995" s="24" t="str">
        <f aca="false">IF($A995="","",INDEX(Workers!$B$5:$B$2004,MATCH($A995,Workers!$A$5:$A$2004,0)))</f>
        <v/>
      </c>
      <c r="C995" s="24" t="str">
        <f aca="false">IF($A995="","",INDEX(Workers!$E$5:$E$2004,MATCH($A995,Workers!$A$5:$A$2004,0)))</f>
        <v/>
      </c>
      <c r="D995" s="24" t="str">
        <f aca="false">IF($A995="","",INDEX(Workers!$K$5:$K$2004,MATCH($A995,Workers!$A$5:$A$2004,0)))</f>
        <v/>
      </c>
      <c r="E995" s="25" t="str">
        <f aca="false">IF($A995="","",SUMIFS(Timesheet!$E$5:$E$3004,Timesheet!$D$5:$D$3004,$A995,Timesheet!$A$5:$A$3004,"&gt;="&amp;Settings!$B$8,Timesheet!$A$5:$A$3004,"&lt;="&amp;Settings!$B$9))</f>
        <v/>
      </c>
      <c r="F995" s="25" t="str">
        <f aca="false">IF($A995="","",SUMIFS(Timesheet!$F$5:$F$3004,Timesheet!$D$5:$D$3004,$A995,Timesheet!$A$5:$A$3004,"&gt;="&amp;Settings!$B$8,Timesheet!$A$5:$A$3004,"&lt;="&amp;Settings!$B$9))</f>
        <v/>
      </c>
      <c r="G995" s="25" t="str">
        <f aca="false">IF($A995="","",SUMIFS(Timesheet!$G$5:$G$3004,Timesheet!$D$5:$D$3004,$A995,Timesheet!$A$5:$A$3004,"&gt;="&amp;Settings!$B$8,Timesheet!$A$5:$A$3004,"&lt;="&amp;Settings!$B$9))</f>
        <v/>
      </c>
      <c r="H995" s="25" t="str">
        <f aca="false">IF($A995="","",IF(D995="Monthly",MAX(0,Settings!$B$11-E995),0))</f>
        <v/>
      </c>
      <c r="I995" s="26" t="str">
        <f aca="false">IF($A995="","",N(INDEX(Workers!$L$5:$L$2004,MATCH($A995,Workers!$A$5:$A$2004,0))))</f>
        <v/>
      </c>
      <c r="J995" s="26" t="str">
        <f aca="false">IF($A995="","",N(INDEX(Workers!$M$5:$M$2004,MATCH($A995,Workers!$A$5:$A$2004,0))))</f>
        <v/>
      </c>
      <c r="K995" s="26" t="str">
        <f aca="false">IF($A995="","",IF(D995="Monthly",ROUND(MAX(0,(I995+J995)-(I995+J995)/Settings!$B$10*H995),2),0))</f>
        <v/>
      </c>
      <c r="L995" s="26" t="str">
        <f aca="false">IF($A995="","",IF(D995="Hourly",ROUND(F995*N(INDEX(Workers!$N$5:$N$2004,MATCH($A995,Workers!$A$5:$A$2004,0))),2),0))</f>
        <v/>
      </c>
      <c r="M995" s="26" t="str">
        <f aca="false">IF($A995="","",ROUND(G995*IF(D995="Hourly",N(INDEX(Workers!$N$5:$N$2004,MATCH($A995,Workers!$A$5:$A$2004,0))),I995/Settings!$B$10/Settings!$B$12)*Settings!$B$13,2))</f>
        <v/>
      </c>
      <c r="N995" s="26" t="str">
        <f aca="false">IF($A995="","",K995+L995+M995)</f>
        <v/>
      </c>
      <c r="O995" s="26" t="str">
        <f aca="false">IF($A995="","",SUMIFS(Deductions!$D$5:$D$2000,Deductions!$B$5:$B$2000,$A995,Deductions!$C$5:$C$2000,"Advance",Deductions!$E$5:$E$2000,"&gt;="&amp;Settings!$B$8,Deductions!$E$5:$E$2000,"&lt;="&amp;Settings!$B$9))</f>
        <v/>
      </c>
      <c r="P995" s="26" t="str">
        <f aca="false">IF($A995="","",SUMIFS(Deductions!$D$5:$D$2000,Deductions!$B$5:$B$2000,$A995,Deductions!$E$5:$E$2000,"&gt;="&amp;Settings!$B$8,Deductions!$E$5:$E$2000,"&lt;="&amp;Settings!$B$9)-O995)</f>
        <v/>
      </c>
      <c r="Q995" s="26" t="str">
        <f aca="false">IF($A995="","",O995+P995)</f>
        <v/>
      </c>
      <c r="R995" s="23" t="str">
        <f aca="false">IF($A995="","",N995-Q995)</f>
        <v/>
      </c>
      <c r="S995" s="24" t="str">
        <f aca="false">IF($A995="","",INDEX(Workers!$O$5:$O$2004,MATCH($A995,Workers!$A$5:$A$2004,0))&amp;"")</f>
        <v/>
      </c>
      <c r="T995" s="24" t="str">
        <f aca="false">IF($A995="","",INDEX(Workers!$P$5:$P$2004,MATCH($A995,Workers!$A$5:$A$2004,0))&amp;"")</f>
        <v/>
      </c>
      <c r="U995" s="24" t="str">
        <f aca="false">IF($A995="","",INDEX(Workers!$H$5:$H$2004,MATCH($A995,Workers!$A$5:$A$2004,0))&amp;"")</f>
        <v/>
      </c>
    </row>
    <row r="996" customFormat="false" ht="15" hidden="false" customHeight="false" outlineLevel="0" collapsed="false">
      <c r="A996" s="24" t="str">
        <f aca="false">IFERROR(INDEX(Workers!$A$5:$A$2004,MATCH(ROW()-4,Workers!$U$5:$U$2004,0)),"")</f>
        <v/>
      </c>
      <c r="B996" s="24" t="str">
        <f aca="false">IF($A996="","",INDEX(Workers!$B$5:$B$2004,MATCH($A996,Workers!$A$5:$A$2004,0)))</f>
        <v/>
      </c>
      <c r="C996" s="24" t="str">
        <f aca="false">IF($A996="","",INDEX(Workers!$E$5:$E$2004,MATCH($A996,Workers!$A$5:$A$2004,0)))</f>
        <v/>
      </c>
      <c r="D996" s="24" t="str">
        <f aca="false">IF($A996="","",INDEX(Workers!$K$5:$K$2004,MATCH($A996,Workers!$A$5:$A$2004,0)))</f>
        <v/>
      </c>
      <c r="E996" s="25" t="str">
        <f aca="false">IF($A996="","",SUMIFS(Timesheet!$E$5:$E$3004,Timesheet!$D$5:$D$3004,$A996,Timesheet!$A$5:$A$3004,"&gt;="&amp;Settings!$B$8,Timesheet!$A$5:$A$3004,"&lt;="&amp;Settings!$B$9))</f>
        <v/>
      </c>
      <c r="F996" s="25" t="str">
        <f aca="false">IF($A996="","",SUMIFS(Timesheet!$F$5:$F$3004,Timesheet!$D$5:$D$3004,$A996,Timesheet!$A$5:$A$3004,"&gt;="&amp;Settings!$B$8,Timesheet!$A$5:$A$3004,"&lt;="&amp;Settings!$B$9))</f>
        <v/>
      </c>
      <c r="G996" s="25" t="str">
        <f aca="false">IF($A996="","",SUMIFS(Timesheet!$G$5:$G$3004,Timesheet!$D$5:$D$3004,$A996,Timesheet!$A$5:$A$3004,"&gt;="&amp;Settings!$B$8,Timesheet!$A$5:$A$3004,"&lt;="&amp;Settings!$B$9))</f>
        <v/>
      </c>
      <c r="H996" s="25" t="str">
        <f aca="false">IF($A996="","",IF(D996="Monthly",MAX(0,Settings!$B$11-E996),0))</f>
        <v/>
      </c>
      <c r="I996" s="26" t="str">
        <f aca="false">IF($A996="","",N(INDEX(Workers!$L$5:$L$2004,MATCH($A996,Workers!$A$5:$A$2004,0))))</f>
        <v/>
      </c>
      <c r="J996" s="26" t="str">
        <f aca="false">IF($A996="","",N(INDEX(Workers!$M$5:$M$2004,MATCH($A996,Workers!$A$5:$A$2004,0))))</f>
        <v/>
      </c>
      <c r="K996" s="26" t="str">
        <f aca="false">IF($A996="","",IF(D996="Monthly",ROUND(MAX(0,(I996+J996)-(I996+J996)/Settings!$B$10*H996),2),0))</f>
        <v/>
      </c>
      <c r="L996" s="26" t="str">
        <f aca="false">IF($A996="","",IF(D996="Hourly",ROUND(F996*N(INDEX(Workers!$N$5:$N$2004,MATCH($A996,Workers!$A$5:$A$2004,0))),2),0))</f>
        <v/>
      </c>
      <c r="M996" s="26" t="str">
        <f aca="false">IF($A996="","",ROUND(G996*IF(D996="Hourly",N(INDEX(Workers!$N$5:$N$2004,MATCH($A996,Workers!$A$5:$A$2004,0))),I996/Settings!$B$10/Settings!$B$12)*Settings!$B$13,2))</f>
        <v/>
      </c>
      <c r="N996" s="26" t="str">
        <f aca="false">IF($A996="","",K996+L996+M996)</f>
        <v/>
      </c>
      <c r="O996" s="26" t="str">
        <f aca="false">IF($A996="","",SUMIFS(Deductions!$D$5:$D$2000,Deductions!$B$5:$B$2000,$A996,Deductions!$C$5:$C$2000,"Advance",Deductions!$E$5:$E$2000,"&gt;="&amp;Settings!$B$8,Deductions!$E$5:$E$2000,"&lt;="&amp;Settings!$B$9))</f>
        <v/>
      </c>
      <c r="P996" s="26" t="str">
        <f aca="false">IF($A996="","",SUMIFS(Deductions!$D$5:$D$2000,Deductions!$B$5:$B$2000,$A996,Deductions!$E$5:$E$2000,"&gt;="&amp;Settings!$B$8,Deductions!$E$5:$E$2000,"&lt;="&amp;Settings!$B$9)-O996)</f>
        <v/>
      </c>
      <c r="Q996" s="26" t="str">
        <f aca="false">IF($A996="","",O996+P996)</f>
        <v/>
      </c>
      <c r="R996" s="23" t="str">
        <f aca="false">IF($A996="","",N996-Q996)</f>
        <v/>
      </c>
      <c r="S996" s="24" t="str">
        <f aca="false">IF($A996="","",INDEX(Workers!$O$5:$O$2004,MATCH($A996,Workers!$A$5:$A$2004,0))&amp;"")</f>
        <v/>
      </c>
      <c r="T996" s="24" t="str">
        <f aca="false">IF($A996="","",INDEX(Workers!$P$5:$P$2004,MATCH($A996,Workers!$A$5:$A$2004,0))&amp;"")</f>
        <v/>
      </c>
      <c r="U996" s="24" t="str">
        <f aca="false">IF($A996="","",INDEX(Workers!$H$5:$H$2004,MATCH($A996,Workers!$A$5:$A$2004,0))&amp;"")</f>
        <v/>
      </c>
    </row>
    <row r="997" customFormat="false" ht="15" hidden="false" customHeight="false" outlineLevel="0" collapsed="false">
      <c r="A997" s="24" t="str">
        <f aca="false">IFERROR(INDEX(Workers!$A$5:$A$2004,MATCH(ROW()-4,Workers!$U$5:$U$2004,0)),"")</f>
        <v/>
      </c>
      <c r="B997" s="24" t="str">
        <f aca="false">IF($A997="","",INDEX(Workers!$B$5:$B$2004,MATCH($A997,Workers!$A$5:$A$2004,0)))</f>
        <v/>
      </c>
      <c r="C997" s="24" t="str">
        <f aca="false">IF($A997="","",INDEX(Workers!$E$5:$E$2004,MATCH($A997,Workers!$A$5:$A$2004,0)))</f>
        <v/>
      </c>
      <c r="D997" s="24" t="str">
        <f aca="false">IF($A997="","",INDEX(Workers!$K$5:$K$2004,MATCH($A997,Workers!$A$5:$A$2004,0)))</f>
        <v/>
      </c>
      <c r="E997" s="25" t="str">
        <f aca="false">IF($A997="","",SUMIFS(Timesheet!$E$5:$E$3004,Timesheet!$D$5:$D$3004,$A997,Timesheet!$A$5:$A$3004,"&gt;="&amp;Settings!$B$8,Timesheet!$A$5:$A$3004,"&lt;="&amp;Settings!$B$9))</f>
        <v/>
      </c>
      <c r="F997" s="25" t="str">
        <f aca="false">IF($A997="","",SUMIFS(Timesheet!$F$5:$F$3004,Timesheet!$D$5:$D$3004,$A997,Timesheet!$A$5:$A$3004,"&gt;="&amp;Settings!$B$8,Timesheet!$A$5:$A$3004,"&lt;="&amp;Settings!$B$9))</f>
        <v/>
      </c>
      <c r="G997" s="25" t="str">
        <f aca="false">IF($A997="","",SUMIFS(Timesheet!$G$5:$G$3004,Timesheet!$D$5:$D$3004,$A997,Timesheet!$A$5:$A$3004,"&gt;="&amp;Settings!$B$8,Timesheet!$A$5:$A$3004,"&lt;="&amp;Settings!$B$9))</f>
        <v/>
      </c>
      <c r="H997" s="25" t="str">
        <f aca="false">IF($A997="","",IF(D997="Monthly",MAX(0,Settings!$B$11-E997),0))</f>
        <v/>
      </c>
      <c r="I997" s="26" t="str">
        <f aca="false">IF($A997="","",N(INDEX(Workers!$L$5:$L$2004,MATCH($A997,Workers!$A$5:$A$2004,0))))</f>
        <v/>
      </c>
      <c r="J997" s="26" t="str">
        <f aca="false">IF($A997="","",N(INDEX(Workers!$M$5:$M$2004,MATCH($A997,Workers!$A$5:$A$2004,0))))</f>
        <v/>
      </c>
      <c r="K997" s="26" t="str">
        <f aca="false">IF($A997="","",IF(D997="Monthly",ROUND(MAX(0,(I997+J997)-(I997+J997)/Settings!$B$10*H997),2),0))</f>
        <v/>
      </c>
      <c r="L997" s="26" t="str">
        <f aca="false">IF($A997="","",IF(D997="Hourly",ROUND(F997*N(INDEX(Workers!$N$5:$N$2004,MATCH($A997,Workers!$A$5:$A$2004,0))),2),0))</f>
        <v/>
      </c>
      <c r="M997" s="26" t="str">
        <f aca="false">IF($A997="","",ROUND(G997*IF(D997="Hourly",N(INDEX(Workers!$N$5:$N$2004,MATCH($A997,Workers!$A$5:$A$2004,0))),I997/Settings!$B$10/Settings!$B$12)*Settings!$B$13,2))</f>
        <v/>
      </c>
      <c r="N997" s="26" t="str">
        <f aca="false">IF($A997="","",K997+L997+M997)</f>
        <v/>
      </c>
      <c r="O997" s="26" t="str">
        <f aca="false">IF($A997="","",SUMIFS(Deductions!$D$5:$D$2000,Deductions!$B$5:$B$2000,$A997,Deductions!$C$5:$C$2000,"Advance",Deductions!$E$5:$E$2000,"&gt;="&amp;Settings!$B$8,Deductions!$E$5:$E$2000,"&lt;="&amp;Settings!$B$9))</f>
        <v/>
      </c>
      <c r="P997" s="26" t="str">
        <f aca="false">IF($A997="","",SUMIFS(Deductions!$D$5:$D$2000,Deductions!$B$5:$B$2000,$A997,Deductions!$E$5:$E$2000,"&gt;="&amp;Settings!$B$8,Deductions!$E$5:$E$2000,"&lt;="&amp;Settings!$B$9)-O997)</f>
        <v/>
      </c>
      <c r="Q997" s="26" t="str">
        <f aca="false">IF($A997="","",O997+P997)</f>
        <v/>
      </c>
      <c r="R997" s="23" t="str">
        <f aca="false">IF($A997="","",N997-Q997)</f>
        <v/>
      </c>
      <c r="S997" s="24" t="str">
        <f aca="false">IF($A997="","",INDEX(Workers!$O$5:$O$2004,MATCH($A997,Workers!$A$5:$A$2004,0))&amp;"")</f>
        <v/>
      </c>
      <c r="T997" s="24" t="str">
        <f aca="false">IF($A997="","",INDEX(Workers!$P$5:$P$2004,MATCH($A997,Workers!$A$5:$A$2004,0))&amp;"")</f>
        <v/>
      </c>
      <c r="U997" s="24" t="str">
        <f aca="false">IF($A997="","",INDEX(Workers!$H$5:$H$2004,MATCH($A997,Workers!$A$5:$A$2004,0))&amp;"")</f>
        <v/>
      </c>
    </row>
    <row r="998" customFormat="false" ht="15" hidden="false" customHeight="false" outlineLevel="0" collapsed="false">
      <c r="A998" s="24" t="str">
        <f aca="false">IFERROR(INDEX(Workers!$A$5:$A$2004,MATCH(ROW()-4,Workers!$U$5:$U$2004,0)),"")</f>
        <v/>
      </c>
      <c r="B998" s="24" t="str">
        <f aca="false">IF($A998="","",INDEX(Workers!$B$5:$B$2004,MATCH($A998,Workers!$A$5:$A$2004,0)))</f>
        <v/>
      </c>
      <c r="C998" s="24" t="str">
        <f aca="false">IF($A998="","",INDEX(Workers!$E$5:$E$2004,MATCH($A998,Workers!$A$5:$A$2004,0)))</f>
        <v/>
      </c>
      <c r="D998" s="24" t="str">
        <f aca="false">IF($A998="","",INDEX(Workers!$K$5:$K$2004,MATCH($A998,Workers!$A$5:$A$2004,0)))</f>
        <v/>
      </c>
      <c r="E998" s="25" t="str">
        <f aca="false">IF($A998="","",SUMIFS(Timesheet!$E$5:$E$3004,Timesheet!$D$5:$D$3004,$A998,Timesheet!$A$5:$A$3004,"&gt;="&amp;Settings!$B$8,Timesheet!$A$5:$A$3004,"&lt;="&amp;Settings!$B$9))</f>
        <v/>
      </c>
      <c r="F998" s="25" t="str">
        <f aca="false">IF($A998="","",SUMIFS(Timesheet!$F$5:$F$3004,Timesheet!$D$5:$D$3004,$A998,Timesheet!$A$5:$A$3004,"&gt;="&amp;Settings!$B$8,Timesheet!$A$5:$A$3004,"&lt;="&amp;Settings!$B$9))</f>
        <v/>
      </c>
      <c r="G998" s="25" t="str">
        <f aca="false">IF($A998="","",SUMIFS(Timesheet!$G$5:$G$3004,Timesheet!$D$5:$D$3004,$A998,Timesheet!$A$5:$A$3004,"&gt;="&amp;Settings!$B$8,Timesheet!$A$5:$A$3004,"&lt;="&amp;Settings!$B$9))</f>
        <v/>
      </c>
      <c r="H998" s="25" t="str">
        <f aca="false">IF($A998="","",IF(D998="Monthly",MAX(0,Settings!$B$11-E998),0))</f>
        <v/>
      </c>
      <c r="I998" s="26" t="str">
        <f aca="false">IF($A998="","",N(INDEX(Workers!$L$5:$L$2004,MATCH($A998,Workers!$A$5:$A$2004,0))))</f>
        <v/>
      </c>
      <c r="J998" s="26" t="str">
        <f aca="false">IF($A998="","",N(INDEX(Workers!$M$5:$M$2004,MATCH($A998,Workers!$A$5:$A$2004,0))))</f>
        <v/>
      </c>
      <c r="K998" s="26" t="str">
        <f aca="false">IF($A998="","",IF(D998="Monthly",ROUND(MAX(0,(I998+J998)-(I998+J998)/Settings!$B$10*H998),2),0))</f>
        <v/>
      </c>
      <c r="L998" s="26" t="str">
        <f aca="false">IF($A998="","",IF(D998="Hourly",ROUND(F998*N(INDEX(Workers!$N$5:$N$2004,MATCH($A998,Workers!$A$5:$A$2004,0))),2),0))</f>
        <v/>
      </c>
      <c r="M998" s="26" t="str">
        <f aca="false">IF($A998="","",ROUND(G998*IF(D998="Hourly",N(INDEX(Workers!$N$5:$N$2004,MATCH($A998,Workers!$A$5:$A$2004,0))),I998/Settings!$B$10/Settings!$B$12)*Settings!$B$13,2))</f>
        <v/>
      </c>
      <c r="N998" s="26" t="str">
        <f aca="false">IF($A998="","",K998+L998+M998)</f>
        <v/>
      </c>
      <c r="O998" s="26" t="str">
        <f aca="false">IF($A998="","",SUMIFS(Deductions!$D$5:$D$2000,Deductions!$B$5:$B$2000,$A998,Deductions!$C$5:$C$2000,"Advance",Deductions!$E$5:$E$2000,"&gt;="&amp;Settings!$B$8,Deductions!$E$5:$E$2000,"&lt;="&amp;Settings!$B$9))</f>
        <v/>
      </c>
      <c r="P998" s="26" t="str">
        <f aca="false">IF($A998="","",SUMIFS(Deductions!$D$5:$D$2000,Deductions!$B$5:$B$2000,$A998,Deductions!$E$5:$E$2000,"&gt;="&amp;Settings!$B$8,Deductions!$E$5:$E$2000,"&lt;="&amp;Settings!$B$9)-O998)</f>
        <v/>
      </c>
      <c r="Q998" s="26" t="str">
        <f aca="false">IF($A998="","",O998+P998)</f>
        <v/>
      </c>
      <c r="R998" s="23" t="str">
        <f aca="false">IF($A998="","",N998-Q998)</f>
        <v/>
      </c>
      <c r="S998" s="24" t="str">
        <f aca="false">IF($A998="","",INDEX(Workers!$O$5:$O$2004,MATCH($A998,Workers!$A$5:$A$2004,0))&amp;"")</f>
        <v/>
      </c>
      <c r="T998" s="24" t="str">
        <f aca="false">IF($A998="","",INDEX(Workers!$P$5:$P$2004,MATCH($A998,Workers!$A$5:$A$2004,0))&amp;"")</f>
        <v/>
      </c>
      <c r="U998" s="24" t="str">
        <f aca="false">IF($A998="","",INDEX(Workers!$H$5:$H$2004,MATCH($A998,Workers!$A$5:$A$2004,0))&amp;"")</f>
        <v/>
      </c>
    </row>
    <row r="999" customFormat="false" ht="15" hidden="false" customHeight="false" outlineLevel="0" collapsed="false">
      <c r="A999" s="24" t="str">
        <f aca="false">IFERROR(INDEX(Workers!$A$5:$A$2004,MATCH(ROW()-4,Workers!$U$5:$U$2004,0)),"")</f>
        <v/>
      </c>
      <c r="B999" s="24" t="str">
        <f aca="false">IF($A999="","",INDEX(Workers!$B$5:$B$2004,MATCH($A999,Workers!$A$5:$A$2004,0)))</f>
        <v/>
      </c>
      <c r="C999" s="24" t="str">
        <f aca="false">IF($A999="","",INDEX(Workers!$E$5:$E$2004,MATCH($A999,Workers!$A$5:$A$2004,0)))</f>
        <v/>
      </c>
      <c r="D999" s="24" t="str">
        <f aca="false">IF($A999="","",INDEX(Workers!$K$5:$K$2004,MATCH($A999,Workers!$A$5:$A$2004,0)))</f>
        <v/>
      </c>
      <c r="E999" s="25" t="str">
        <f aca="false">IF($A999="","",SUMIFS(Timesheet!$E$5:$E$3004,Timesheet!$D$5:$D$3004,$A999,Timesheet!$A$5:$A$3004,"&gt;="&amp;Settings!$B$8,Timesheet!$A$5:$A$3004,"&lt;="&amp;Settings!$B$9))</f>
        <v/>
      </c>
      <c r="F999" s="25" t="str">
        <f aca="false">IF($A999="","",SUMIFS(Timesheet!$F$5:$F$3004,Timesheet!$D$5:$D$3004,$A999,Timesheet!$A$5:$A$3004,"&gt;="&amp;Settings!$B$8,Timesheet!$A$5:$A$3004,"&lt;="&amp;Settings!$B$9))</f>
        <v/>
      </c>
      <c r="G999" s="25" t="str">
        <f aca="false">IF($A999="","",SUMIFS(Timesheet!$G$5:$G$3004,Timesheet!$D$5:$D$3004,$A999,Timesheet!$A$5:$A$3004,"&gt;="&amp;Settings!$B$8,Timesheet!$A$5:$A$3004,"&lt;="&amp;Settings!$B$9))</f>
        <v/>
      </c>
      <c r="H999" s="25" t="str">
        <f aca="false">IF($A999="","",IF(D999="Monthly",MAX(0,Settings!$B$11-E999),0))</f>
        <v/>
      </c>
      <c r="I999" s="26" t="str">
        <f aca="false">IF($A999="","",N(INDEX(Workers!$L$5:$L$2004,MATCH($A999,Workers!$A$5:$A$2004,0))))</f>
        <v/>
      </c>
      <c r="J999" s="26" t="str">
        <f aca="false">IF($A999="","",N(INDEX(Workers!$M$5:$M$2004,MATCH($A999,Workers!$A$5:$A$2004,0))))</f>
        <v/>
      </c>
      <c r="K999" s="26" t="str">
        <f aca="false">IF($A999="","",IF(D999="Monthly",ROUND(MAX(0,(I999+J999)-(I999+J999)/Settings!$B$10*H999),2),0))</f>
        <v/>
      </c>
      <c r="L999" s="26" t="str">
        <f aca="false">IF($A999="","",IF(D999="Hourly",ROUND(F999*N(INDEX(Workers!$N$5:$N$2004,MATCH($A999,Workers!$A$5:$A$2004,0))),2),0))</f>
        <v/>
      </c>
      <c r="M999" s="26" t="str">
        <f aca="false">IF($A999="","",ROUND(G999*IF(D999="Hourly",N(INDEX(Workers!$N$5:$N$2004,MATCH($A999,Workers!$A$5:$A$2004,0))),I999/Settings!$B$10/Settings!$B$12)*Settings!$B$13,2))</f>
        <v/>
      </c>
      <c r="N999" s="26" t="str">
        <f aca="false">IF($A999="","",K999+L999+M999)</f>
        <v/>
      </c>
      <c r="O999" s="26" t="str">
        <f aca="false">IF($A999="","",SUMIFS(Deductions!$D$5:$D$2000,Deductions!$B$5:$B$2000,$A999,Deductions!$C$5:$C$2000,"Advance",Deductions!$E$5:$E$2000,"&gt;="&amp;Settings!$B$8,Deductions!$E$5:$E$2000,"&lt;="&amp;Settings!$B$9))</f>
        <v/>
      </c>
      <c r="P999" s="26" t="str">
        <f aca="false">IF($A999="","",SUMIFS(Deductions!$D$5:$D$2000,Deductions!$B$5:$B$2000,$A999,Deductions!$E$5:$E$2000,"&gt;="&amp;Settings!$B$8,Deductions!$E$5:$E$2000,"&lt;="&amp;Settings!$B$9)-O999)</f>
        <v/>
      </c>
      <c r="Q999" s="26" t="str">
        <f aca="false">IF($A999="","",O999+P999)</f>
        <v/>
      </c>
      <c r="R999" s="23" t="str">
        <f aca="false">IF($A999="","",N999-Q999)</f>
        <v/>
      </c>
      <c r="S999" s="24" t="str">
        <f aca="false">IF($A999="","",INDEX(Workers!$O$5:$O$2004,MATCH($A999,Workers!$A$5:$A$2004,0))&amp;"")</f>
        <v/>
      </c>
      <c r="T999" s="24" t="str">
        <f aca="false">IF($A999="","",INDEX(Workers!$P$5:$P$2004,MATCH($A999,Workers!$A$5:$A$2004,0))&amp;"")</f>
        <v/>
      </c>
      <c r="U999" s="24" t="str">
        <f aca="false">IF($A999="","",INDEX(Workers!$H$5:$H$2004,MATCH($A999,Workers!$A$5:$A$2004,0))&amp;"")</f>
        <v/>
      </c>
    </row>
    <row r="1000" customFormat="false" ht="15" hidden="false" customHeight="false" outlineLevel="0" collapsed="false">
      <c r="A1000" s="24" t="str">
        <f aca="false">IFERROR(INDEX(Workers!$A$5:$A$2004,MATCH(ROW()-4,Workers!$U$5:$U$2004,0)),"")</f>
        <v/>
      </c>
      <c r="B1000" s="24" t="str">
        <f aca="false">IF($A1000="","",INDEX(Workers!$B$5:$B$2004,MATCH($A1000,Workers!$A$5:$A$2004,0)))</f>
        <v/>
      </c>
      <c r="C1000" s="24" t="str">
        <f aca="false">IF($A1000="","",INDEX(Workers!$E$5:$E$2004,MATCH($A1000,Workers!$A$5:$A$2004,0)))</f>
        <v/>
      </c>
      <c r="D1000" s="24" t="str">
        <f aca="false">IF($A1000="","",INDEX(Workers!$K$5:$K$2004,MATCH($A1000,Workers!$A$5:$A$2004,0)))</f>
        <v/>
      </c>
      <c r="E1000" s="25" t="str">
        <f aca="false">IF($A1000="","",SUMIFS(Timesheet!$E$5:$E$3004,Timesheet!$D$5:$D$3004,$A1000,Timesheet!$A$5:$A$3004,"&gt;="&amp;Settings!$B$8,Timesheet!$A$5:$A$3004,"&lt;="&amp;Settings!$B$9))</f>
        <v/>
      </c>
      <c r="F1000" s="25" t="str">
        <f aca="false">IF($A1000="","",SUMIFS(Timesheet!$F$5:$F$3004,Timesheet!$D$5:$D$3004,$A1000,Timesheet!$A$5:$A$3004,"&gt;="&amp;Settings!$B$8,Timesheet!$A$5:$A$3004,"&lt;="&amp;Settings!$B$9))</f>
        <v/>
      </c>
      <c r="G1000" s="25" t="str">
        <f aca="false">IF($A1000="","",SUMIFS(Timesheet!$G$5:$G$3004,Timesheet!$D$5:$D$3004,$A1000,Timesheet!$A$5:$A$3004,"&gt;="&amp;Settings!$B$8,Timesheet!$A$5:$A$3004,"&lt;="&amp;Settings!$B$9))</f>
        <v/>
      </c>
      <c r="H1000" s="25" t="str">
        <f aca="false">IF($A1000="","",IF(D1000="Monthly",MAX(0,Settings!$B$11-E1000),0))</f>
        <v/>
      </c>
      <c r="I1000" s="26" t="str">
        <f aca="false">IF($A1000="","",N(INDEX(Workers!$L$5:$L$2004,MATCH($A1000,Workers!$A$5:$A$2004,0))))</f>
        <v/>
      </c>
      <c r="J1000" s="26" t="str">
        <f aca="false">IF($A1000="","",N(INDEX(Workers!$M$5:$M$2004,MATCH($A1000,Workers!$A$5:$A$2004,0))))</f>
        <v/>
      </c>
      <c r="K1000" s="26" t="str">
        <f aca="false">IF($A1000="","",IF(D1000="Monthly",ROUND(MAX(0,(I1000+J1000)-(I1000+J1000)/Settings!$B$10*H1000),2),0))</f>
        <v/>
      </c>
      <c r="L1000" s="26" t="str">
        <f aca="false">IF($A1000="","",IF(D1000="Hourly",ROUND(F1000*N(INDEX(Workers!$N$5:$N$2004,MATCH($A1000,Workers!$A$5:$A$2004,0))),2),0))</f>
        <v/>
      </c>
      <c r="M1000" s="26" t="str">
        <f aca="false">IF($A1000="","",ROUND(G1000*IF(D1000="Hourly",N(INDEX(Workers!$N$5:$N$2004,MATCH($A1000,Workers!$A$5:$A$2004,0))),I1000/Settings!$B$10/Settings!$B$12)*Settings!$B$13,2))</f>
        <v/>
      </c>
      <c r="N1000" s="26" t="str">
        <f aca="false">IF($A1000="","",K1000+L1000+M1000)</f>
        <v/>
      </c>
      <c r="O1000" s="26" t="str">
        <f aca="false">IF($A1000="","",SUMIFS(Deductions!$D$5:$D$2000,Deductions!$B$5:$B$2000,$A1000,Deductions!$C$5:$C$2000,"Advance",Deductions!$E$5:$E$2000,"&gt;="&amp;Settings!$B$8,Deductions!$E$5:$E$2000,"&lt;="&amp;Settings!$B$9))</f>
        <v/>
      </c>
      <c r="P1000" s="26" t="str">
        <f aca="false">IF($A1000="","",SUMIFS(Deductions!$D$5:$D$2000,Deductions!$B$5:$B$2000,$A1000,Deductions!$E$5:$E$2000,"&gt;="&amp;Settings!$B$8,Deductions!$E$5:$E$2000,"&lt;="&amp;Settings!$B$9)-O1000)</f>
        <v/>
      </c>
      <c r="Q1000" s="26" t="str">
        <f aca="false">IF($A1000="","",O1000+P1000)</f>
        <v/>
      </c>
      <c r="R1000" s="23" t="str">
        <f aca="false">IF($A1000="","",N1000-Q1000)</f>
        <v/>
      </c>
      <c r="S1000" s="24" t="str">
        <f aca="false">IF($A1000="","",INDEX(Workers!$O$5:$O$2004,MATCH($A1000,Workers!$A$5:$A$2004,0))&amp;"")</f>
        <v/>
      </c>
      <c r="T1000" s="24" t="str">
        <f aca="false">IF($A1000="","",INDEX(Workers!$P$5:$P$2004,MATCH($A1000,Workers!$A$5:$A$2004,0))&amp;"")</f>
        <v/>
      </c>
      <c r="U1000" s="24" t="str">
        <f aca="false">IF($A1000="","",INDEX(Workers!$H$5:$H$2004,MATCH($A1000,Workers!$A$5:$A$2004,0))&amp;"")</f>
        <v/>
      </c>
    </row>
    <row r="1001" customFormat="false" ht="15" hidden="false" customHeight="false" outlineLevel="0" collapsed="false">
      <c r="A1001" s="24" t="str">
        <f aca="false">IFERROR(INDEX(Workers!$A$5:$A$2004,MATCH(ROW()-4,Workers!$U$5:$U$2004,0)),"")</f>
        <v/>
      </c>
      <c r="B1001" s="24" t="str">
        <f aca="false">IF($A1001="","",INDEX(Workers!$B$5:$B$2004,MATCH($A1001,Workers!$A$5:$A$2004,0)))</f>
        <v/>
      </c>
      <c r="C1001" s="24" t="str">
        <f aca="false">IF($A1001="","",INDEX(Workers!$E$5:$E$2004,MATCH($A1001,Workers!$A$5:$A$2004,0)))</f>
        <v/>
      </c>
      <c r="D1001" s="24" t="str">
        <f aca="false">IF($A1001="","",INDEX(Workers!$K$5:$K$2004,MATCH($A1001,Workers!$A$5:$A$2004,0)))</f>
        <v/>
      </c>
      <c r="E1001" s="25" t="str">
        <f aca="false">IF($A1001="","",SUMIFS(Timesheet!$E$5:$E$3004,Timesheet!$D$5:$D$3004,$A1001,Timesheet!$A$5:$A$3004,"&gt;="&amp;Settings!$B$8,Timesheet!$A$5:$A$3004,"&lt;="&amp;Settings!$B$9))</f>
        <v/>
      </c>
      <c r="F1001" s="25" t="str">
        <f aca="false">IF($A1001="","",SUMIFS(Timesheet!$F$5:$F$3004,Timesheet!$D$5:$D$3004,$A1001,Timesheet!$A$5:$A$3004,"&gt;="&amp;Settings!$B$8,Timesheet!$A$5:$A$3004,"&lt;="&amp;Settings!$B$9))</f>
        <v/>
      </c>
      <c r="G1001" s="25" t="str">
        <f aca="false">IF($A1001="","",SUMIFS(Timesheet!$G$5:$G$3004,Timesheet!$D$5:$D$3004,$A1001,Timesheet!$A$5:$A$3004,"&gt;="&amp;Settings!$B$8,Timesheet!$A$5:$A$3004,"&lt;="&amp;Settings!$B$9))</f>
        <v/>
      </c>
      <c r="H1001" s="25" t="str">
        <f aca="false">IF($A1001="","",IF(D1001="Monthly",MAX(0,Settings!$B$11-E1001),0))</f>
        <v/>
      </c>
      <c r="I1001" s="26" t="str">
        <f aca="false">IF($A1001="","",N(INDEX(Workers!$L$5:$L$2004,MATCH($A1001,Workers!$A$5:$A$2004,0))))</f>
        <v/>
      </c>
      <c r="J1001" s="26" t="str">
        <f aca="false">IF($A1001="","",N(INDEX(Workers!$M$5:$M$2004,MATCH($A1001,Workers!$A$5:$A$2004,0))))</f>
        <v/>
      </c>
      <c r="K1001" s="26" t="str">
        <f aca="false">IF($A1001="","",IF(D1001="Monthly",ROUND(MAX(0,(I1001+J1001)-(I1001+J1001)/Settings!$B$10*H1001),2),0))</f>
        <v/>
      </c>
      <c r="L1001" s="26" t="str">
        <f aca="false">IF($A1001="","",IF(D1001="Hourly",ROUND(F1001*N(INDEX(Workers!$N$5:$N$2004,MATCH($A1001,Workers!$A$5:$A$2004,0))),2),0))</f>
        <v/>
      </c>
      <c r="M1001" s="26" t="str">
        <f aca="false">IF($A1001="","",ROUND(G1001*IF(D1001="Hourly",N(INDEX(Workers!$N$5:$N$2004,MATCH($A1001,Workers!$A$5:$A$2004,0))),I1001/Settings!$B$10/Settings!$B$12)*Settings!$B$13,2))</f>
        <v/>
      </c>
      <c r="N1001" s="26" t="str">
        <f aca="false">IF($A1001="","",K1001+L1001+M1001)</f>
        <v/>
      </c>
      <c r="O1001" s="26" t="str">
        <f aca="false">IF($A1001="","",SUMIFS(Deductions!$D$5:$D$2000,Deductions!$B$5:$B$2000,$A1001,Deductions!$C$5:$C$2000,"Advance",Deductions!$E$5:$E$2000,"&gt;="&amp;Settings!$B$8,Deductions!$E$5:$E$2000,"&lt;="&amp;Settings!$B$9))</f>
        <v/>
      </c>
      <c r="P1001" s="26" t="str">
        <f aca="false">IF($A1001="","",SUMIFS(Deductions!$D$5:$D$2000,Deductions!$B$5:$B$2000,$A1001,Deductions!$E$5:$E$2000,"&gt;="&amp;Settings!$B$8,Deductions!$E$5:$E$2000,"&lt;="&amp;Settings!$B$9)-O1001)</f>
        <v/>
      </c>
      <c r="Q1001" s="26" t="str">
        <f aca="false">IF($A1001="","",O1001+P1001)</f>
        <v/>
      </c>
      <c r="R1001" s="23" t="str">
        <f aca="false">IF($A1001="","",N1001-Q1001)</f>
        <v/>
      </c>
      <c r="S1001" s="24" t="str">
        <f aca="false">IF($A1001="","",INDEX(Workers!$O$5:$O$2004,MATCH($A1001,Workers!$A$5:$A$2004,0))&amp;"")</f>
        <v/>
      </c>
      <c r="T1001" s="24" t="str">
        <f aca="false">IF($A1001="","",INDEX(Workers!$P$5:$P$2004,MATCH($A1001,Workers!$A$5:$A$2004,0))&amp;"")</f>
        <v/>
      </c>
      <c r="U1001" s="24" t="str">
        <f aca="false">IF($A1001="","",INDEX(Workers!$H$5:$H$2004,MATCH($A1001,Workers!$A$5:$A$2004,0))&amp;"")</f>
        <v/>
      </c>
    </row>
    <row r="1002" customFormat="false" ht="15" hidden="false" customHeight="false" outlineLevel="0" collapsed="false">
      <c r="A1002" s="24" t="str">
        <f aca="false">IFERROR(INDEX(Workers!$A$5:$A$2004,MATCH(ROW()-4,Workers!$U$5:$U$2004,0)),"")</f>
        <v/>
      </c>
      <c r="B1002" s="24" t="str">
        <f aca="false">IF($A1002="","",INDEX(Workers!$B$5:$B$2004,MATCH($A1002,Workers!$A$5:$A$2004,0)))</f>
        <v/>
      </c>
      <c r="C1002" s="24" t="str">
        <f aca="false">IF($A1002="","",INDEX(Workers!$E$5:$E$2004,MATCH($A1002,Workers!$A$5:$A$2004,0)))</f>
        <v/>
      </c>
      <c r="D1002" s="24" t="str">
        <f aca="false">IF($A1002="","",INDEX(Workers!$K$5:$K$2004,MATCH($A1002,Workers!$A$5:$A$2004,0)))</f>
        <v/>
      </c>
      <c r="E1002" s="25" t="str">
        <f aca="false">IF($A1002="","",SUMIFS(Timesheet!$E$5:$E$3004,Timesheet!$D$5:$D$3004,$A1002,Timesheet!$A$5:$A$3004,"&gt;="&amp;Settings!$B$8,Timesheet!$A$5:$A$3004,"&lt;="&amp;Settings!$B$9))</f>
        <v/>
      </c>
      <c r="F1002" s="25" t="str">
        <f aca="false">IF($A1002="","",SUMIFS(Timesheet!$F$5:$F$3004,Timesheet!$D$5:$D$3004,$A1002,Timesheet!$A$5:$A$3004,"&gt;="&amp;Settings!$B$8,Timesheet!$A$5:$A$3004,"&lt;="&amp;Settings!$B$9))</f>
        <v/>
      </c>
      <c r="G1002" s="25" t="str">
        <f aca="false">IF($A1002="","",SUMIFS(Timesheet!$G$5:$G$3004,Timesheet!$D$5:$D$3004,$A1002,Timesheet!$A$5:$A$3004,"&gt;="&amp;Settings!$B$8,Timesheet!$A$5:$A$3004,"&lt;="&amp;Settings!$B$9))</f>
        <v/>
      </c>
      <c r="H1002" s="25" t="str">
        <f aca="false">IF($A1002="","",IF(D1002="Monthly",MAX(0,Settings!$B$11-E1002),0))</f>
        <v/>
      </c>
      <c r="I1002" s="26" t="str">
        <f aca="false">IF($A1002="","",N(INDEX(Workers!$L$5:$L$2004,MATCH($A1002,Workers!$A$5:$A$2004,0))))</f>
        <v/>
      </c>
      <c r="J1002" s="26" t="str">
        <f aca="false">IF($A1002="","",N(INDEX(Workers!$M$5:$M$2004,MATCH($A1002,Workers!$A$5:$A$2004,0))))</f>
        <v/>
      </c>
      <c r="K1002" s="26" t="str">
        <f aca="false">IF($A1002="","",IF(D1002="Monthly",ROUND(MAX(0,(I1002+J1002)-(I1002+J1002)/Settings!$B$10*H1002),2),0))</f>
        <v/>
      </c>
      <c r="L1002" s="26" t="str">
        <f aca="false">IF($A1002="","",IF(D1002="Hourly",ROUND(F1002*N(INDEX(Workers!$N$5:$N$2004,MATCH($A1002,Workers!$A$5:$A$2004,0))),2),0))</f>
        <v/>
      </c>
      <c r="M1002" s="26" t="str">
        <f aca="false">IF($A1002="","",ROUND(G1002*IF(D1002="Hourly",N(INDEX(Workers!$N$5:$N$2004,MATCH($A1002,Workers!$A$5:$A$2004,0))),I1002/Settings!$B$10/Settings!$B$12)*Settings!$B$13,2))</f>
        <v/>
      </c>
      <c r="N1002" s="26" t="str">
        <f aca="false">IF($A1002="","",K1002+L1002+M1002)</f>
        <v/>
      </c>
      <c r="O1002" s="26" t="str">
        <f aca="false">IF($A1002="","",SUMIFS(Deductions!$D$5:$D$2000,Deductions!$B$5:$B$2000,$A1002,Deductions!$C$5:$C$2000,"Advance",Deductions!$E$5:$E$2000,"&gt;="&amp;Settings!$B$8,Deductions!$E$5:$E$2000,"&lt;="&amp;Settings!$B$9))</f>
        <v/>
      </c>
      <c r="P1002" s="26" t="str">
        <f aca="false">IF($A1002="","",SUMIFS(Deductions!$D$5:$D$2000,Deductions!$B$5:$B$2000,$A1002,Deductions!$E$5:$E$2000,"&gt;="&amp;Settings!$B$8,Deductions!$E$5:$E$2000,"&lt;="&amp;Settings!$B$9)-O1002)</f>
        <v/>
      </c>
      <c r="Q1002" s="26" t="str">
        <f aca="false">IF($A1002="","",O1002+P1002)</f>
        <v/>
      </c>
      <c r="R1002" s="23" t="str">
        <f aca="false">IF($A1002="","",N1002-Q1002)</f>
        <v/>
      </c>
      <c r="S1002" s="24" t="str">
        <f aca="false">IF($A1002="","",INDEX(Workers!$O$5:$O$2004,MATCH($A1002,Workers!$A$5:$A$2004,0))&amp;"")</f>
        <v/>
      </c>
      <c r="T1002" s="24" t="str">
        <f aca="false">IF($A1002="","",INDEX(Workers!$P$5:$P$2004,MATCH($A1002,Workers!$A$5:$A$2004,0))&amp;"")</f>
        <v/>
      </c>
      <c r="U1002" s="24" t="str">
        <f aca="false">IF($A1002="","",INDEX(Workers!$H$5:$H$2004,MATCH($A1002,Workers!$A$5:$A$2004,0))&amp;"")</f>
        <v/>
      </c>
    </row>
    <row r="1003" customFormat="false" ht="15" hidden="false" customHeight="false" outlineLevel="0" collapsed="false">
      <c r="A1003" s="24" t="str">
        <f aca="false">IFERROR(INDEX(Workers!$A$5:$A$2004,MATCH(ROW()-4,Workers!$U$5:$U$2004,0)),"")</f>
        <v/>
      </c>
      <c r="B1003" s="24" t="str">
        <f aca="false">IF($A1003="","",INDEX(Workers!$B$5:$B$2004,MATCH($A1003,Workers!$A$5:$A$2004,0)))</f>
        <v/>
      </c>
      <c r="C1003" s="24" t="str">
        <f aca="false">IF($A1003="","",INDEX(Workers!$E$5:$E$2004,MATCH($A1003,Workers!$A$5:$A$2004,0)))</f>
        <v/>
      </c>
      <c r="D1003" s="24" t="str">
        <f aca="false">IF($A1003="","",INDEX(Workers!$K$5:$K$2004,MATCH($A1003,Workers!$A$5:$A$2004,0)))</f>
        <v/>
      </c>
      <c r="E1003" s="25" t="str">
        <f aca="false">IF($A1003="","",SUMIFS(Timesheet!$E$5:$E$3004,Timesheet!$D$5:$D$3004,$A1003,Timesheet!$A$5:$A$3004,"&gt;="&amp;Settings!$B$8,Timesheet!$A$5:$A$3004,"&lt;="&amp;Settings!$B$9))</f>
        <v/>
      </c>
      <c r="F1003" s="25" t="str">
        <f aca="false">IF($A1003="","",SUMIFS(Timesheet!$F$5:$F$3004,Timesheet!$D$5:$D$3004,$A1003,Timesheet!$A$5:$A$3004,"&gt;="&amp;Settings!$B$8,Timesheet!$A$5:$A$3004,"&lt;="&amp;Settings!$B$9))</f>
        <v/>
      </c>
      <c r="G1003" s="25" t="str">
        <f aca="false">IF($A1003="","",SUMIFS(Timesheet!$G$5:$G$3004,Timesheet!$D$5:$D$3004,$A1003,Timesheet!$A$5:$A$3004,"&gt;="&amp;Settings!$B$8,Timesheet!$A$5:$A$3004,"&lt;="&amp;Settings!$B$9))</f>
        <v/>
      </c>
      <c r="H1003" s="25" t="str">
        <f aca="false">IF($A1003="","",IF(D1003="Monthly",MAX(0,Settings!$B$11-E1003),0))</f>
        <v/>
      </c>
      <c r="I1003" s="26" t="str">
        <f aca="false">IF($A1003="","",N(INDEX(Workers!$L$5:$L$2004,MATCH($A1003,Workers!$A$5:$A$2004,0))))</f>
        <v/>
      </c>
      <c r="J1003" s="26" t="str">
        <f aca="false">IF($A1003="","",N(INDEX(Workers!$M$5:$M$2004,MATCH($A1003,Workers!$A$5:$A$2004,0))))</f>
        <v/>
      </c>
      <c r="K1003" s="26" t="str">
        <f aca="false">IF($A1003="","",IF(D1003="Monthly",ROUND(MAX(0,(I1003+J1003)-(I1003+J1003)/Settings!$B$10*H1003),2),0))</f>
        <v/>
      </c>
      <c r="L1003" s="26" t="str">
        <f aca="false">IF($A1003="","",IF(D1003="Hourly",ROUND(F1003*N(INDEX(Workers!$N$5:$N$2004,MATCH($A1003,Workers!$A$5:$A$2004,0))),2),0))</f>
        <v/>
      </c>
      <c r="M1003" s="26" t="str">
        <f aca="false">IF($A1003="","",ROUND(G1003*IF(D1003="Hourly",N(INDEX(Workers!$N$5:$N$2004,MATCH($A1003,Workers!$A$5:$A$2004,0))),I1003/Settings!$B$10/Settings!$B$12)*Settings!$B$13,2))</f>
        <v/>
      </c>
      <c r="N1003" s="26" t="str">
        <f aca="false">IF($A1003="","",K1003+L1003+M1003)</f>
        <v/>
      </c>
      <c r="O1003" s="26" t="str">
        <f aca="false">IF($A1003="","",SUMIFS(Deductions!$D$5:$D$2000,Deductions!$B$5:$B$2000,$A1003,Deductions!$C$5:$C$2000,"Advance",Deductions!$E$5:$E$2000,"&gt;="&amp;Settings!$B$8,Deductions!$E$5:$E$2000,"&lt;="&amp;Settings!$B$9))</f>
        <v/>
      </c>
      <c r="P1003" s="26" t="str">
        <f aca="false">IF($A1003="","",SUMIFS(Deductions!$D$5:$D$2000,Deductions!$B$5:$B$2000,$A1003,Deductions!$E$5:$E$2000,"&gt;="&amp;Settings!$B$8,Deductions!$E$5:$E$2000,"&lt;="&amp;Settings!$B$9)-O1003)</f>
        <v/>
      </c>
      <c r="Q1003" s="26" t="str">
        <f aca="false">IF($A1003="","",O1003+P1003)</f>
        <v/>
      </c>
      <c r="R1003" s="23" t="str">
        <f aca="false">IF($A1003="","",N1003-Q1003)</f>
        <v/>
      </c>
      <c r="S1003" s="24" t="str">
        <f aca="false">IF($A1003="","",INDEX(Workers!$O$5:$O$2004,MATCH($A1003,Workers!$A$5:$A$2004,0))&amp;"")</f>
        <v/>
      </c>
      <c r="T1003" s="24" t="str">
        <f aca="false">IF($A1003="","",INDEX(Workers!$P$5:$P$2004,MATCH($A1003,Workers!$A$5:$A$2004,0))&amp;"")</f>
        <v/>
      </c>
      <c r="U1003" s="24" t="str">
        <f aca="false">IF($A1003="","",INDEX(Workers!$H$5:$H$2004,MATCH($A1003,Workers!$A$5:$A$2004,0))&amp;"")</f>
        <v/>
      </c>
    </row>
    <row r="1004" customFormat="false" ht="15" hidden="false" customHeight="false" outlineLevel="0" collapsed="false">
      <c r="A1004" s="24" t="str">
        <f aca="false">IFERROR(INDEX(Workers!$A$5:$A$2004,MATCH(ROW()-4,Workers!$U$5:$U$2004,0)),"")</f>
        <v/>
      </c>
      <c r="B1004" s="24" t="str">
        <f aca="false">IF($A1004="","",INDEX(Workers!$B$5:$B$2004,MATCH($A1004,Workers!$A$5:$A$2004,0)))</f>
        <v/>
      </c>
      <c r="C1004" s="24" t="str">
        <f aca="false">IF($A1004="","",INDEX(Workers!$E$5:$E$2004,MATCH($A1004,Workers!$A$5:$A$2004,0)))</f>
        <v/>
      </c>
      <c r="D1004" s="24" t="str">
        <f aca="false">IF($A1004="","",INDEX(Workers!$K$5:$K$2004,MATCH($A1004,Workers!$A$5:$A$2004,0)))</f>
        <v/>
      </c>
      <c r="E1004" s="25" t="str">
        <f aca="false">IF($A1004="","",SUMIFS(Timesheet!$E$5:$E$3004,Timesheet!$D$5:$D$3004,$A1004,Timesheet!$A$5:$A$3004,"&gt;="&amp;Settings!$B$8,Timesheet!$A$5:$A$3004,"&lt;="&amp;Settings!$B$9))</f>
        <v/>
      </c>
      <c r="F1004" s="25" t="str">
        <f aca="false">IF($A1004="","",SUMIFS(Timesheet!$F$5:$F$3004,Timesheet!$D$5:$D$3004,$A1004,Timesheet!$A$5:$A$3004,"&gt;="&amp;Settings!$B$8,Timesheet!$A$5:$A$3004,"&lt;="&amp;Settings!$B$9))</f>
        <v/>
      </c>
      <c r="G1004" s="25" t="str">
        <f aca="false">IF($A1004="","",SUMIFS(Timesheet!$G$5:$G$3004,Timesheet!$D$5:$D$3004,$A1004,Timesheet!$A$5:$A$3004,"&gt;="&amp;Settings!$B$8,Timesheet!$A$5:$A$3004,"&lt;="&amp;Settings!$B$9))</f>
        <v/>
      </c>
      <c r="H1004" s="25" t="str">
        <f aca="false">IF($A1004="","",IF(D1004="Monthly",MAX(0,Settings!$B$11-E1004),0))</f>
        <v/>
      </c>
      <c r="I1004" s="26" t="str">
        <f aca="false">IF($A1004="","",N(INDEX(Workers!$L$5:$L$2004,MATCH($A1004,Workers!$A$5:$A$2004,0))))</f>
        <v/>
      </c>
      <c r="J1004" s="26" t="str">
        <f aca="false">IF($A1004="","",N(INDEX(Workers!$M$5:$M$2004,MATCH($A1004,Workers!$A$5:$A$2004,0))))</f>
        <v/>
      </c>
      <c r="K1004" s="26" t="str">
        <f aca="false">IF($A1004="","",IF(D1004="Monthly",ROUND(MAX(0,(I1004+J1004)-(I1004+J1004)/Settings!$B$10*H1004),2),0))</f>
        <v/>
      </c>
      <c r="L1004" s="26" t="str">
        <f aca="false">IF($A1004="","",IF(D1004="Hourly",ROUND(F1004*N(INDEX(Workers!$N$5:$N$2004,MATCH($A1004,Workers!$A$5:$A$2004,0))),2),0))</f>
        <v/>
      </c>
      <c r="M1004" s="26" t="str">
        <f aca="false">IF($A1004="","",ROUND(G1004*IF(D1004="Hourly",N(INDEX(Workers!$N$5:$N$2004,MATCH($A1004,Workers!$A$5:$A$2004,0))),I1004/Settings!$B$10/Settings!$B$12)*Settings!$B$13,2))</f>
        <v/>
      </c>
      <c r="N1004" s="26" t="str">
        <f aca="false">IF($A1004="","",K1004+L1004+M1004)</f>
        <v/>
      </c>
      <c r="O1004" s="26" t="str">
        <f aca="false">IF($A1004="","",SUMIFS(Deductions!$D$5:$D$2000,Deductions!$B$5:$B$2000,$A1004,Deductions!$C$5:$C$2000,"Advance",Deductions!$E$5:$E$2000,"&gt;="&amp;Settings!$B$8,Deductions!$E$5:$E$2000,"&lt;="&amp;Settings!$B$9))</f>
        <v/>
      </c>
      <c r="P1004" s="26" t="str">
        <f aca="false">IF($A1004="","",SUMIFS(Deductions!$D$5:$D$2000,Deductions!$B$5:$B$2000,$A1004,Deductions!$E$5:$E$2000,"&gt;="&amp;Settings!$B$8,Deductions!$E$5:$E$2000,"&lt;="&amp;Settings!$B$9)-O1004)</f>
        <v/>
      </c>
      <c r="Q1004" s="26" t="str">
        <f aca="false">IF($A1004="","",O1004+P1004)</f>
        <v/>
      </c>
      <c r="R1004" s="23" t="str">
        <f aca="false">IF($A1004="","",N1004-Q1004)</f>
        <v/>
      </c>
      <c r="S1004" s="24" t="str">
        <f aca="false">IF($A1004="","",INDEX(Workers!$O$5:$O$2004,MATCH($A1004,Workers!$A$5:$A$2004,0))&amp;"")</f>
        <v/>
      </c>
      <c r="T1004" s="24" t="str">
        <f aca="false">IF($A1004="","",INDEX(Workers!$P$5:$P$2004,MATCH($A1004,Workers!$A$5:$A$2004,0))&amp;"")</f>
        <v/>
      </c>
      <c r="U1004" s="24" t="str">
        <f aca="false">IF($A1004="","",INDEX(Workers!$H$5:$H$2004,MATCH($A1004,Workers!$A$5:$A$2004,0))&amp;"")</f>
        <v/>
      </c>
    </row>
    <row r="1005" customFormat="false" ht="15" hidden="false" customHeight="false" outlineLevel="0" collapsed="false">
      <c r="A1005" s="24" t="str">
        <f aca="false">IFERROR(INDEX(Workers!$A$5:$A$2004,MATCH(ROW()-4,Workers!$U$5:$U$2004,0)),"")</f>
        <v/>
      </c>
      <c r="B1005" s="24" t="str">
        <f aca="false">IF($A1005="","",INDEX(Workers!$B$5:$B$2004,MATCH($A1005,Workers!$A$5:$A$2004,0)))</f>
        <v/>
      </c>
      <c r="C1005" s="24" t="str">
        <f aca="false">IF($A1005="","",INDEX(Workers!$E$5:$E$2004,MATCH($A1005,Workers!$A$5:$A$2004,0)))</f>
        <v/>
      </c>
      <c r="D1005" s="24" t="str">
        <f aca="false">IF($A1005="","",INDEX(Workers!$K$5:$K$2004,MATCH($A1005,Workers!$A$5:$A$2004,0)))</f>
        <v/>
      </c>
      <c r="E1005" s="25" t="str">
        <f aca="false">IF($A1005="","",SUMIFS(Timesheet!$E$5:$E$3004,Timesheet!$D$5:$D$3004,$A1005,Timesheet!$A$5:$A$3004,"&gt;="&amp;Settings!$B$8,Timesheet!$A$5:$A$3004,"&lt;="&amp;Settings!$B$9))</f>
        <v/>
      </c>
      <c r="F1005" s="25" t="str">
        <f aca="false">IF($A1005="","",SUMIFS(Timesheet!$F$5:$F$3004,Timesheet!$D$5:$D$3004,$A1005,Timesheet!$A$5:$A$3004,"&gt;="&amp;Settings!$B$8,Timesheet!$A$5:$A$3004,"&lt;="&amp;Settings!$B$9))</f>
        <v/>
      </c>
      <c r="G1005" s="25" t="str">
        <f aca="false">IF($A1005="","",SUMIFS(Timesheet!$G$5:$G$3004,Timesheet!$D$5:$D$3004,$A1005,Timesheet!$A$5:$A$3004,"&gt;="&amp;Settings!$B$8,Timesheet!$A$5:$A$3004,"&lt;="&amp;Settings!$B$9))</f>
        <v/>
      </c>
      <c r="H1005" s="25" t="str">
        <f aca="false">IF($A1005="","",IF(D1005="Monthly",MAX(0,Settings!$B$11-E1005),0))</f>
        <v/>
      </c>
      <c r="I1005" s="26" t="str">
        <f aca="false">IF($A1005="","",N(INDEX(Workers!$L$5:$L$2004,MATCH($A1005,Workers!$A$5:$A$2004,0))))</f>
        <v/>
      </c>
      <c r="J1005" s="26" t="str">
        <f aca="false">IF($A1005="","",N(INDEX(Workers!$M$5:$M$2004,MATCH($A1005,Workers!$A$5:$A$2004,0))))</f>
        <v/>
      </c>
      <c r="K1005" s="26" t="str">
        <f aca="false">IF($A1005="","",IF(D1005="Monthly",ROUND(MAX(0,(I1005+J1005)-(I1005+J1005)/Settings!$B$10*H1005),2),0))</f>
        <v/>
      </c>
      <c r="L1005" s="26" t="str">
        <f aca="false">IF($A1005="","",IF(D1005="Hourly",ROUND(F1005*N(INDEX(Workers!$N$5:$N$2004,MATCH($A1005,Workers!$A$5:$A$2004,0))),2),0))</f>
        <v/>
      </c>
      <c r="M1005" s="26" t="str">
        <f aca="false">IF($A1005="","",ROUND(G1005*IF(D1005="Hourly",N(INDEX(Workers!$N$5:$N$2004,MATCH($A1005,Workers!$A$5:$A$2004,0))),I1005/Settings!$B$10/Settings!$B$12)*Settings!$B$13,2))</f>
        <v/>
      </c>
      <c r="N1005" s="26" t="str">
        <f aca="false">IF($A1005="","",K1005+L1005+M1005)</f>
        <v/>
      </c>
      <c r="O1005" s="26" t="str">
        <f aca="false">IF($A1005="","",SUMIFS(Deductions!$D$5:$D$2000,Deductions!$B$5:$B$2000,$A1005,Deductions!$C$5:$C$2000,"Advance",Deductions!$E$5:$E$2000,"&gt;="&amp;Settings!$B$8,Deductions!$E$5:$E$2000,"&lt;="&amp;Settings!$B$9))</f>
        <v/>
      </c>
      <c r="P1005" s="26" t="str">
        <f aca="false">IF($A1005="","",SUMIFS(Deductions!$D$5:$D$2000,Deductions!$B$5:$B$2000,$A1005,Deductions!$E$5:$E$2000,"&gt;="&amp;Settings!$B$8,Deductions!$E$5:$E$2000,"&lt;="&amp;Settings!$B$9)-O1005)</f>
        <v/>
      </c>
      <c r="Q1005" s="26" t="str">
        <f aca="false">IF($A1005="","",O1005+P1005)</f>
        <v/>
      </c>
      <c r="R1005" s="23" t="str">
        <f aca="false">IF($A1005="","",N1005-Q1005)</f>
        <v/>
      </c>
      <c r="S1005" s="24" t="str">
        <f aca="false">IF($A1005="","",INDEX(Workers!$O$5:$O$2004,MATCH($A1005,Workers!$A$5:$A$2004,0))&amp;"")</f>
        <v/>
      </c>
      <c r="T1005" s="24" t="str">
        <f aca="false">IF($A1005="","",INDEX(Workers!$P$5:$P$2004,MATCH($A1005,Workers!$A$5:$A$2004,0))&amp;"")</f>
        <v/>
      </c>
      <c r="U1005" s="24" t="str">
        <f aca="false">IF($A1005="","",INDEX(Workers!$H$5:$H$2004,MATCH($A1005,Workers!$A$5:$A$2004,0))&amp;"")</f>
        <v/>
      </c>
    </row>
    <row r="1006" customFormat="false" ht="15" hidden="false" customHeight="false" outlineLevel="0" collapsed="false">
      <c r="A1006" s="24" t="str">
        <f aca="false">IFERROR(INDEX(Workers!$A$5:$A$2004,MATCH(ROW()-4,Workers!$U$5:$U$2004,0)),"")</f>
        <v/>
      </c>
      <c r="B1006" s="24" t="str">
        <f aca="false">IF($A1006="","",INDEX(Workers!$B$5:$B$2004,MATCH($A1006,Workers!$A$5:$A$2004,0)))</f>
        <v/>
      </c>
      <c r="C1006" s="24" t="str">
        <f aca="false">IF($A1006="","",INDEX(Workers!$E$5:$E$2004,MATCH($A1006,Workers!$A$5:$A$2004,0)))</f>
        <v/>
      </c>
      <c r="D1006" s="24" t="str">
        <f aca="false">IF($A1006="","",INDEX(Workers!$K$5:$K$2004,MATCH($A1006,Workers!$A$5:$A$2004,0)))</f>
        <v/>
      </c>
      <c r="E1006" s="25" t="str">
        <f aca="false">IF($A1006="","",SUMIFS(Timesheet!$E$5:$E$3004,Timesheet!$D$5:$D$3004,$A1006,Timesheet!$A$5:$A$3004,"&gt;="&amp;Settings!$B$8,Timesheet!$A$5:$A$3004,"&lt;="&amp;Settings!$B$9))</f>
        <v/>
      </c>
      <c r="F1006" s="25" t="str">
        <f aca="false">IF($A1006="","",SUMIFS(Timesheet!$F$5:$F$3004,Timesheet!$D$5:$D$3004,$A1006,Timesheet!$A$5:$A$3004,"&gt;="&amp;Settings!$B$8,Timesheet!$A$5:$A$3004,"&lt;="&amp;Settings!$B$9))</f>
        <v/>
      </c>
      <c r="G1006" s="25" t="str">
        <f aca="false">IF($A1006="","",SUMIFS(Timesheet!$G$5:$G$3004,Timesheet!$D$5:$D$3004,$A1006,Timesheet!$A$5:$A$3004,"&gt;="&amp;Settings!$B$8,Timesheet!$A$5:$A$3004,"&lt;="&amp;Settings!$B$9))</f>
        <v/>
      </c>
      <c r="H1006" s="25" t="str">
        <f aca="false">IF($A1006="","",IF(D1006="Monthly",MAX(0,Settings!$B$11-E1006),0))</f>
        <v/>
      </c>
      <c r="I1006" s="26" t="str">
        <f aca="false">IF($A1006="","",N(INDEX(Workers!$L$5:$L$2004,MATCH($A1006,Workers!$A$5:$A$2004,0))))</f>
        <v/>
      </c>
      <c r="J1006" s="26" t="str">
        <f aca="false">IF($A1006="","",N(INDEX(Workers!$M$5:$M$2004,MATCH($A1006,Workers!$A$5:$A$2004,0))))</f>
        <v/>
      </c>
      <c r="K1006" s="26" t="str">
        <f aca="false">IF($A1006="","",IF(D1006="Monthly",ROUND(MAX(0,(I1006+J1006)-(I1006+J1006)/Settings!$B$10*H1006),2),0))</f>
        <v/>
      </c>
      <c r="L1006" s="26" t="str">
        <f aca="false">IF($A1006="","",IF(D1006="Hourly",ROUND(F1006*N(INDEX(Workers!$N$5:$N$2004,MATCH($A1006,Workers!$A$5:$A$2004,0))),2),0))</f>
        <v/>
      </c>
      <c r="M1006" s="26" t="str">
        <f aca="false">IF($A1006="","",ROUND(G1006*IF(D1006="Hourly",N(INDEX(Workers!$N$5:$N$2004,MATCH($A1006,Workers!$A$5:$A$2004,0))),I1006/Settings!$B$10/Settings!$B$12)*Settings!$B$13,2))</f>
        <v/>
      </c>
      <c r="N1006" s="26" t="str">
        <f aca="false">IF($A1006="","",K1006+L1006+M1006)</f>
        <v/>
      </c>
      <c r="O1006" s="26" t="str">
        <f aca="false">IF($A1006="","",SUMIFS(Deductions!$D$5:$D$2000,Deductions!$B$5:$B$2000,$A1006,Deductions!$C$5:$C$2000,"Advance",Deductions!$E$5:$E$2000,"&gt;="&amp;Settings!$B$8,Deductions!$E$5:$E$2000,"&lt;="&amp;Settings!$B$9))</f>
        <v/>
      </c>
      <c r="P1006" s="26" t="str">
        <f aca="false">IF($A1006="","",SUMIFS(Deductions!$D$5:$D$2000,Deductions!$B$5:$B$2000,$A1006,Deductions!$E$5:$E$2000,"&gt;="&amp;Settings!$B$8,Deductions!$E$5:$E$2000,"&lt;="&amp;Settings!$B$9)-O1006)</f>
        <v/>
      </c>
      <c r="Q1006" s="26" t="str">
        <f aca="false">IF($A1006="","",O1006+P1006)</f>
        <v/>
      </c>
      <c r="R1006" s="23" t="str">
        <f aca="false">IF($A1006="","",N1006-Q1006)</f>
        <v/>
      </c>
      <c r="S1006" s="24" t="str">
        <f aca="false">IF($A1006="","",INDEX(Workers!$O$5:$O$2004,MATCH($A1006,Workers!$A$5:$A$2004,0))&amp;"")</f>
        <v/>
      </c>
      <c r="T1006" s="24" t="str">
        <f aca="false">IF($A1006="","",INDEX(Workers!$P$5:$P$2004,MATCH($A1006,Workers!$A$5:$A$2004,0))&amp;"")</f>
        <v/>
      </c>
      <c r="U1006" s="24" t="str">
        <f aca="false">IF($A1006="","",INDEX(Workers!$H$5:$H$2004,MATCH($A1006,Workers!$A$5:$A$2004,0))&amp;"")</f>
        <v/>
      </c>
    </row>
    <row r="1007" customFormat="false" ht="15" hidden="false" customHeight="false" outlineLevel="0" collapsed="false">
      <c r="A1007" s="24" t="str">
        <f aca="false">IFERROR(INDEX(Workers!$A$5:$A$2004,MATCH(ROW()-4,Workers!$U$5:$U$2004,0)),"")</f>
        <v/>
      </c>
      <c r="B1007" s="24" t="str">
        <f aca="false">IF($A1007="","",INDEX(Workers!$B$5:$B$2004,MATCH($A1007,Workers!$A$5:$A$2004,0)))</f>
        <v/>
      </c>
      <c r="C1007" s="24" t="str">
        <f aca="false">IF($A1007="","",INDEX(Workers!$E$5:$E$2004,MATCH($A1007,Workers!$A$5:$A$2004,0)))</f>
        <v/>
      </c>
      <c r="D1007" s="24" t="str">
        <f aca="false">IF($A1007="","",INDEX(Workers!$K$5:$K$2004,MATCH($A1007,Workers!$A$5:$A$2004,0)))</f>
        <v/>
      </c>
      <c r="E1007" s="25" t="str">
        <f aca="false">IF($A1007="","",SUMIFS(Timesheet!$E$5:$E$3004,Timesheet!$D$5:$D$3004,$A1007,Timesheet!$A$5:$A$3004,"&gt;="&amp;Settings!$B$8,Timesheet!$A$5:$A$3004,"&lt;="&amp;Settings!$B$9))</f>
        <v/>
      </c>
      <c r="F1007" s="25" t="str">
        <f aca="false">IF($A1007="","",SUMIFS(Timesheet!$F$5:$F$3004,Timesheet!$D$5:$D$3004,$A1007,Timesheet!$A$5:$A$3004,"&gt;="&amp;Settings!$B$8,Timesheet!$A$5:$A$3004,"&lt;="&amp;Settings!$B$9))</f>
        <v/>
      </c>
      <c r="G1007" s="25" t="str">
        <f aca="false">IF($A1007="","",SUMIFS(Timesheet!$G$5:$G$3004,Timesheet!$D$5:$D$3004,$A1007,Timesheet!$A$5:$A$3004,"&gt;="&amp;Settings!$B$8,Timesheet!$A$5:$A$3004,"&lt;="&amp;Settings!$B$9))</f>
        <v/>
      </c>
      <c r="H1007" s="25" t="str">
        <f aca="false">IF($A1007="","",IF(D1007="Monthly",MAX(0,Settings!$B$11-E1007),0))</f>
        <v/>
      </c>
      <c r="I1007" s="26" t="str">
        <f aca="false">IF($A1007="","",N(INDEX(Workers!$L$5:$L$2004,MATCH($A1007,Workers!$A$5:$A$2004,0))))</f>
        <v/>
      </c>
      <c r="J1007" s="26" t="str">
        <f aca="false">IF($A1007="","",N(INDEX(Workers!$M$5:$M$2004,MATCH($A1007,Workers!$A$5:$A$2004,0))))</f>
        <v/>
      </c>
      <c r="K1007" s="26" t="str">
        <f aca="false">IF($A1007="","",IF(D1007="Monthly",ROUND(MAX(0,(I1007+J1007)-(I1007+J1007)/Settings!$B$10*H1007),2),0))</f>
        <v/>
      </c>
      <c r="L1007" s="26" t="str">
        <f aca="false">IF($A1007="","",IF(D1007="Hourly",ROUND(F1007*N(INDEX(Workers!$N$5:$N$2004,MATCH($A1007,Workers!$A$5:$A$2004,0))),2),0))</f>
        <v/>
      </c>
      <c r="M1007" s="26" t="str">
        <f aca="false">IF($A1007="","",ROUND(G1007*IF(D1007="Hourly",N(INDEX(Workers!$N$5:$N$2004,MATCH($A1007,Workers!$A$5:$A$2004,0))),I1007/Settings!$B$10/Settings!$B$12)*Settings!$B$13,2))</f>
        <v/>
      </c>
      <c r="N1007" s="26" t="str">
        <f aca="false">IF($A1007="","",K1007+L1007+M1007)</f>
        <v/>
      </c>
      <c r="O1007" s="26" t="str">
        <f aca="false">IF($A1007="","",SUMIFS(Deductions!$D$5:$D$2000,Deductions!$B$5:$B$2000,$A1007,Deductions!$C$5:$C$2000,"Advance",Deductions!$E$5:$E$2000,"&gt;="&amp;Settings!$B$8,Deductions!$E$5:$E$2000,"&lt;="&amp;Settings!$B$9))</f>
        <v/>
      </c>
      <c r="P1007" s="26" t="str">
        <f aca="false">IF($A1007="","",SUMIFS(Deductions!$D$5:$D$2000,Deductions!$B$5:$B$2000,$A1007,Deductions!$E$5:$E$2000,"&gt;="&amp;Settings!$B$8,Deductions!$E$5:$E$2000,"&lt;="&amp;Settings!$B$9)-O1007)</f>
        <v/>
      </c>
      <c r="Q1007" s="26" t="str">
        <f aca="false">IF($A1007="","",O1007+P1007)</f>
        <v/>
      </c>
      <c r="R1007" s="23" t="str">
        <f aca="false">IF($A1007="","",N1007-Q1007)</f>
        <v/>
      </c>
      <c r="S1007" s="24" t="str">
        <f aca="false">IF($A1007="","",INDEX(Workers!$O$5:$O$2004,MATCH($A1007,Workers!$A$5:$A$2004,0))&amp;"")</f>
        <v/>
      </c>
      <c r="T1007" s="24" t="str">
        <f aca="false">IF($A1007="","",INDEX(Workers!$P$5:$P$2004,MATCH($A1007,Workers!$A$5:$A$2004,0))&amp;"")</f>
        <v/>
      </c>
      <c r="U1007" s="24" t="str">
        <f aca="false">IF($A1007="","",INDEX(Workers!$H$5:$H$2004,MATCH($A1007,Workers!$A$5:$A$2004,0))&amp;"")</f>
        <v/>
      </c>
    </row>
    <row r="1008" customFormat="false" ht="15" hidden="false" customHeight="false" outlineLevel="0" collapsed="false">
      <c r="A1008" s="24" t="str">
        <f aca="false">IFERROR(INDEX(Workers!$A$5:$A$2004,MATCH(ROW()-4,Workers!$U$5:$U$2004,0)),"")</f>
        <v/>
      </c>
      <c r="B1008" s="24" t="str">
        <f aca="false">IF($A1008="","",INDEX(Workers!$B$5:$B$2004,MATCH($A1008,Workers!$A$5:$A$2004,0)))</f>
        <v/>
      </c>
      <c r="C1008" s="24" t="str">
        <f aca="false">IF($A1008="","",INDEX(Workers!$E$5:$E$2004,MATCH($A1008,Workers!$A$5:$A$2004,0)))</f>
        <v/>
      </c>
      <c r="D1008" s="24" t="str">
        <f aca="false">IF($A1008="","",INDEX(Workers!$K$5:$K$2004,MATCH($A1008,Workers!$A$5:$A$2004,0)))</f>
        <v/>
      </c>
      <c r="E1008" s="25" t="str">
        <f aca="false">IF($A1008="","",SUMIFS(Timesheet!$E$5:$E$3004,Timesheet!$D$5:$D$3004,$A1008,Timesheet!$A$5:$A$3004,"&gt;="&amp;Settings!$B$8,Timesheet!$A$5:$A$3004,"&lt;="&amp;Settings!$B$9))</f>
        <v/>
      </c>
      <c r="F1008" s="25" t="str">
        <f aca="false">IF($A1008="","",SUMIFS(Timesheet!$F$5:$F$3004,Timesheet!$D$5:$D$3004,$A1008,Timesheet!$A$5:$A$3004,"&gt;="&amp;Settings!$B$8,Timesheet!$A$5:$A$3004,"&lt;="&amp;Settings!$B$9))</f>
        <v/>
      </c>
      <c r="G1008" s="25" t="str">
        <f aca="false">IF($A1008="","",SUMIFS(Timesheet!$G$5:$G$3004,Timesheet!$D$5:$D$3004,$A1008,Timesheet!$A$5:$A$3004,"&gt;="&amp;Settings!$B$8,Timesheet!$A$5:$A$3004,"&lt;="&amp;Settings!$B$9))</f>
        <v/>
      </c>
      <c r="H1008" s="25" t="str">
        <f aca="false">IF($A1008="","",IF(D1008="Monthly",MAX(0,Settings!$B$11-E1008),0))</f>
        <v/>
      </c>
      <c r="I1008" s="26" t="str">
        <f aca="false">IF($A1008="","",N(INDEX(Workers!$L$5:$L$2004,MATCH($A1008,Workers!$A$5:$A$2004,0))))</f>
        <v/>
      </c>
      <c r="J1008" s="26" t="str">
        <f aca="false">IF($A1008="","",N(INDEX(Workers!$M$5:$M$2004,MATCH($A1008,Workers!$A$5:$A$2004,0))))</f>
        <v/>
      </c>
      <c r="K1008" s="26" t="str">
        <f aca="false">IF($A1008="","",IF(D1008="Monthly",ROUND(MAX(0,(I1008+J1008)-(I1008+J1008)/Settings!$B$10*H1008),2),0))</f>
        <v/>
      </c>
      <c r="L1008" s="26" t="str">
        <f aca="false">IF($A1008="","",IF(D1008="Hourly",ROUND(F1008*N(INDEX(Workers!$N$5:$N$2004,MATCH($A1008,Workers!$A$5:$A$2004,0))),2),0))</f>
        <v/>
      </c>
      <c r="M1008" s="26" t="str">
        <f aca="false">IF($A1008="","",ROUND(G1008*IF(D1008="Hourly",N(INDEX(Workers!$N$5:$N$2004,MATCH($A1008,Workers!$A$5:$A$2004,0))),I1008/Settings!$B$10/Settings!$B$12)*Settings!$B$13,2))</f>
        <v/>
      </c>
      <c r="N1008" s="26" t="str">
        <f aca="false">IF($A1008="","",K1008+L1008+M1008)</f>
        <v/>
      </c>
      <c r="O1008" s="26" t="str">
        <f aca="false">IF($A1008="","",SUMIFS(Deductions!$D$5:$D$2000,Deductions!$B$5:$B$2000,$A1008,Deductions!$C$5:$C$2000,"Advance",Deductions!$E$5:$E$2000,"&gt;="&amp;Settings!$B$8,Deductions!$E$5:$E$2000,"&lt;="&amp;Settings!$B$9))</f>
        <v/>
      </c>
      <c r="P1008" s="26" t="str">
        <f aca="false">IF($A1008="","",SUMIFS(Deductions!$D$5:$D$2000,Deductions!$B$5:$B$2000,$A1008,Deductions!$E$5:$E$2000,"&gt;="&amp;Settings!$B$8,Deductions!$E$5:$E$2000,"&lt;="&amp;Settings!$B$9)-O1008)</f>
        <v/>
      </c>
      <c r="Q1008" s="26" t="str">
        <f aca="false">IF($A1008="","",O1008+P1008)</f>
        <v/>
      </c>
      <c r="R1008" s="23" t="str">
        <f aca="false">IF($A1008="","",N1008-Q1008)</f>
        <v/>
      </c>
      <c r="S1008" s="24" t="str">
        <f aca="false">IF($A1008="","",INDEX(Workers!$O$5:$O$2004,MATCH($A1008,Workers!$A$5:$A$2004,0))&amp;"")</f>
        <v/>
      </c>
      <c r="T1008" s="24" t="str">
        <f aca="false">IF($A1008="","",INDEX(Workers!$P$5:$P$2004,MATCH($A1008,Workers!$A$5:$A$2004,0))&amp;"")</f>
        <v/>
      </c>
      <c r="U1008" s="24" t="str">
        <f aca="false">IF($A1008="","",INDEX(Workers!$H$5:$H$2004,MATCH($A1008,Workers!$A$5:$A$2004,0))&amp;"")</f>
        <v/>
      </c>
    </row>
    <row r="1009" customFormat="false" ht="15" hidden="false" customHeight="false" outlineLevel="0" collapsed="false">
      <c r="A1009" s="24" t="str">
        <f aca="false">IFERROR(INDEX(Workers!$A$5:$A$2004,MATCH(ROW()-4,Workers!$U$5:$U$2004,0)),"")</f>
        <v/>
      </c>
      <c r="B1009" s="24" t="str">
        <f aca="false">IF($A1009="","",INDEX(Workers!$B$5:$B$2004,MATCH($A1009,Workers!$A$5:$A$2004,0)))</f>
        <v/>
      </c>
      <c r="C1009" s="24" t="str">
        <f aca="false">IF($A1009="","",INDEX(Workers!$E$5:$E$2004,MATCH($A1009,Workers!$A$5:$A$2004,0)))</f>
        <v/>
      </c>
      <c r="D1009" s="24" t="str">
        <f aca="false">IF($A1009="","",INDEX(Workers!$K$5:$K$2004,MATCH($A1009,Workers!$A$5:$A$2004,0)))</f>
        <v/>
      </c>
      <c r="E1009" s="25" t="str">
        <f aca="false">IF($A1009="","",SUMIFS(Timesheet!$E$5:$E$3004,Timesheet!$D$5:$D$3004,$A1009,Timesheet!$A$5:$A$3004,"&gt;="&amp;Settings!$B$8,Timesheet!$A$5:$A$3004,"&lt;="&amp;Settings!$B$9))</f>
        <v/>
      </c>
      <c r="F1009" s="25" t="str">
        <f aca="false">IF($A1009="","",SUMIFS(Timesheet!$F$5:$F$3004,Timesheet!$D$5:$D$3004,$A1009,Timesheet!$A$5:$A$3004,"&gt;="&amp;Settings!$B$8,Timesheet!$A$5:$A$3004,"&lt;="&amp;Settings!$B$9))</f>
        <v/>
      </c>
      <c r="G1009" s="25" t="str">
        <f aca="false">IF($A1009="","",SUMIFS(Timesheet!$G$5:$G$3004,Timesheet!$D$5:$D$3004,$A1009,Timesheet!$A$5:$A$3004,"&gt;="&amp;Settings!$B$8,Timesheet!$A$5:$A$3004,"&lt;="&amp;Settings!$B$9))</f>
        <v/>
      </c>
      <c r="H1009" s="25" t="str">
        <f aca="false">IF($A1009="","",IF(D1009="Monthly",MAX(0,Settings!$B$11-E1009),0))</f>
        <v/>
      </c>
      <c r="I1009" s="26" t="str">
        <f aca="false">IF($A1009="","",N(INDEX(Workers!$L$5:$L$2004,MATCH($A1009,Workers!$A$5:$A$2004,0))))</f>
        <v/>
      </c>
      <c r="J1009" s="26" t="str">
        <f aca="false">IF($A1009="","",N(INDEX(Workers!$M$5:$M$2004,MATCH($A1009,Workers!$A$5:$A$2004,0))))</f>
        <v/>
      </c>
      <c r="K1009" s="26" t="str">
        <f aca="false">IF($A1009="","",IF(D1009="Monthly",ROUND(MAX(0,(I1009+J1009)-(I1009+J1009)/Settings!$B$10*H1009),2),0))</f>
        <v/>
      </c>
      <c r="L1009" s="26" t="str">
        <f aca="false">IF($A1009="","",IF(D1009="Hourly",ROUND(F1009*N(INDEX(Workers!$N$5:$N$2004,MATCH($A1009,Workers!$A$5:$A$2004,0))),2),0))</f>
        <v/>
      </c>
      <c r="M1009" s="26" t="str">
        <f aca="false">IF($A1009="","",ROUND(G1009*IF(D1009="Hourly",N(INDEX(Workers!$N$5:$N$2004,MATCH($A1009,Workers!$A$5:$A$2004,0))),I1009/Settings!$B$10/Settings!$B$12)*Settings!$B$13,2))</f>
        <v/>
      </c>
      <c r="N1009" s="26" t="str">
        <f aca="false">IF($A1009="","",K1009+L1009+M1009)</f>
        <v/>
      </c>
      <c r="O1009" s="26" t="str">
        <f aca="false">IF($A1009="","",SUMIFS(Deductions!$D$5:$D$2000,Deductions!$B$5:$B$2000,$A1009,Deductions!$C$5:$C$2000,"Advance",Deductions!$E$5:$E$2000,"&gt;="&amp;Settings!$B$8,Deductions!$E$5:$E$2000,"&lt;="&amp;Settings!$B$9))</f>
        <v/>
      </c>
      <c r="P1009" s="26" t="str">
        <f aca="false">IF($A1009="","",SUMIFS(Deductions!$D$5:$D$2000,Deductions!$B$5:$B$2000,$A1009,Deductions!$E$5:$E$2000,"&gt;="&amp;Settings!$B$8,Deductions!$E$5:$E$2000,"&lt;="&amp;Settings!$B$9)-O1009)</f>
        <v/>
      </c>
      <c r="Q1009" s="26" t="str">
        <f aca="false">IF($A1009="","",O1009+P1009)</f>
        <v/>
      </c>
      <c r="R1009" s="23" t="str">
        <f aca="false">IF($A1009="","",N1009-Q1009)</f>
        <v/>
      </c>
      <c r="S1009" s="24" t="str">
        <f aca="false">IF($A1009="","",INDEX(Workers!$O$5:$O$2004,MATCH($A1009,Workers!$A$5:$A$2004,0))&amp;"")</f>
        <v/>
      </c>
      <c r="T1009" s="24" t="str">
        <f aca="false">IF($A1009="","",INDEX(Workers!$P$5:$P$2004,MATCH($A1009,Workers!$A$5:$A$2004,0))&amp;"")</f>
        <v/>
      </c>
      <c r="U1009" s="24" t="str">
        <f aca="false">IF($A1009="","",INDEX(Workers!$H$5:$H$2004,MATCH($A1009,Workers!$A$5:$A$2004,0))&amp;"")</f>
        <v/>
      </c>
    </row>
    <row r="1010" customFormat="false" ht="15" hidden="false" customHeight="false" outlineLevel="0" collapsed="false">
      <c r="A1010" s="24" t="str">
        <f aca="false">IFERROR(INDEX(Workers!$A$5:$A$2004,MATCH(ROW()-4,Workers!$U$5:$U$2004,0)),"")</f>
        <v/>
      </c>
      <c r="B1010" s="24" t="str">
        <f aca="false">IF($A1010="","",INDEX(Workers!$B$5:$B$2004,MATCH($A1010,Workers!$A$5:$A$2004,0)))</f>
        <v/>
      </c>
      <c r="C1010" s="24" t="str">
        <f aca="false">IF($A1010="","",INDEX(Workers!$E$5:$E$2004,MATCH($A1010,Workers!$A$5:$A$2004,0)))</f>
        <v/>
      </c>
      <c r="D1010" s="24" t="str">
        <f aca="false">IF($A1010="","",INDEX(Workers!$K$5:$K$2004,MATCH($A1010,Workers!$A$5:$A$2004,0)))</f>
        <v/>
      </c>
      <c r="E1010" s="25" t="str">
        <f aca="false">IF($A1010="","",SUMIFS(Timesheet!$E$5:$E$3004,Timesheet!$D$5:$D$3004,$A1010,Timesheet!$A$5:$A$3004,"&gt;="&amp;Settings!$B$8,Timesheet!$A$5:$A$3004,"&lt;="&amp;Settings!$B$9))</f>
        <v/>
      </c>
      <c r="F1010" s="25" t="str">
        <f aca="false">IF($A1010="","",SUMIFS(Timesheet!$F$5:$F$3004,Timesheet!$D$5:$D$3004,$A1010,Timesheet!$A$5:$A$3004,"&gt;="&amp;Settings!$B$8,Timesheet!$A$5:$A$3004,"&lt;="&amp;Settings!$B$9))</f>
        <v/>
      </c>
      <c r="G1010" s="25" t="str">
        <f aca="false">IF($A1010="","",SUMIFS(Timesheet!$G$5:$G$3004,Timesheet!$D$5:$D$3004,$A1010,Timesheet!$A$5:$A$3004,"&gt;="&amp;Settings!$B$8,Timesheet!$A$5:$A$3004,"&lt;="&amp;Settings!$B$9))</f>
        <v/>
      </c>
      <c r="H1010" s="25" t="str">
        <f aca="false">IF($A1010="","",IF(D1010="Monthly",MAX(0,Settings!$B$11-E1010),0))</f>
        <v/>
      </c>
      <c r="I1010" s="26" t="str">
        <f aca="false">IF($A1010="","",N(INDEX(Workers!$L$5:$L$2004,MATCH($A1010,Workers!$A$5:$A$2004,0))))</f>
        <v/>
      </c>
      <c r="J1010" s="26" t="str">
        <f aca="false">IF($A1010="","",N(INDEX(Workers!$M$5:$M$2004,MATCH($A1010,Workers!$A$5:$A$2004,0))))</f>
        <v/>
      </c>
      <c r="K1010" s="26" t="str">
        <f aca="false">IF($A1010="","",IF(D1010="Monthly",ROUND(MAX(0,(I1010+J1010)-(I1010+J1010)/Settings!$B$10*H1010),2),0))</f>
        <v/>
      </c>
      <c r="L1010" s="26" t="str">
        <f aca="false">IF($A1010="","",IF(D1010="Hourly",ROUND(F1010*N(INDEX(Workers!$N$5:$N$2004,MATCH($A1010,Workers!$A$5:$A$2004,0))),2),0))</f>
        <v/>
      </c>
      <c r="M1010" s="26" t="str">
        <f aca="false">IF($A1010="","",ROUND(G1010*IF(D1010="Hourly",N(INDEX(Workers!$N$5:$N$2004,MATCH($A1010,Workers!$A$5:$A$2004,0))),I1010/Settings!$B$10/Settings!$B$12)*Settings!$B$13,2))</f>
        <v/>
      </c>
      <c r="N1010" s="26" t="str">
        <f aca="false">IF($A1010="","",K1010+L1010+M1010)</f>
        <v/>
      </c>
      <c r="O1010" s="26" t="str">
        <f aca="false">IF($A1010="","",SUMIFS(Deductions!$D$5:$D$2000,Deductions!$B$5:$B$2000,$A1010,Deductions!$C$5:$C$2000,"Advance",Deductions!$E$5:$E$2000,"&gt;="&amp;Settings!$B$8,Deductions!$E$5:$E$2000,"&lt;="&amp;Settings!$B$9))</f>
        <v/>
      </c>
      <c r="P1010" s="26" t="str">
        <f aca="false">IF($A1010="","",SUMIFS(Deductions!$D$5:$D$2000,Deductions!$B$5:$B$2000,$A1010,Deductions!$E$5:$E$2000,"&gt;="&amp;Settings!$B$8,Deductions!$E$5:$E$2000,"&lt;="&amp;Settings!$B$9)-O1010)</f>
        <v/>
      </c>
      <c r="Q1010" s="26" t="str">
        <f aca="false">IF($A1010="","",O1010+P1010)</f>
        <v/>
      </c>
      <c r="R1010" s="23" t="str">
        <f aca="false">IF($A1010="","",N1010-Q1010)</f>
        <v/>
      </c>
      <c r="S1010" s="24" t="str">
        <f aca="false">IF($A1010="","",INDEX(Workers!$O$5:$O$2004,MATCH($A1010,Workers!$A$5:$A$2004,0))&amp;"")</f>
        <v/>
      </c>
      <c r="T1010" s="24" t="str">
        <f aca="false">IF($A1010="","",INDEX(Workers!$P$5:$P$2004,MATCH($A1010,Workers!$A$5:$A$2004,0))&amp;"")</f>
        <v/>
      </c>
      <c r="U1010" s="24" t="str">
        <f aca="false">IF($A1010="","",INDEX(Workers!$H$5:$H$2004,MATCH($A1010,Workers!$A$5:$A$2004,0))&amp;"")</f>
        <v/>
      </c>
    </row>
    <row r="1011" customFormat="false" ht="15" hidden="false" customHeight="false" outlineLevel="0" collapsed="false">
      <c r="A1011" s="24" t="str">
        <f aca="false">IFERROR(INDEX(Workers!$A$5:$A$2004,MATCH(ROW()-4,Workers!$U$5:$U$2004,0)),"")</f>
        <v/>
      </c>
      <c r="B1011" s="24" t="str">
        <f aca="false">IF($A1011="","",INDEX(Workers!$B$5:$B$2004,MATCH($A1011,Workers!$A$5:$A$2004,0)))</f>
        <v/>
      </c>
      <c r="C1011" s="24" t="str">
        <f aca="false">IF($A1011="","",INDEX(Workers!$E$5:$E$2004,MATCH($A1011,Workers!$A$5:$A$2004,0)))</f>
        <v/>
      </c>
      <c r="D1011" s="24" t="str">
        <f aca="false">IF($A1011="","",INDEX(Workers!$K$5:$K$2004,MATCH($A1011,Workers!$A$5:$A$2004,0)))</f>
        <v/>
      </c>
      <c r="E1011" s="25" t="str">
        <f aca="false">IF($A1011="","",SUMIFS(Timesheet!$E$5:$E$3004,Timesheet!$D$5:$D$3004,$A1011,Timesheet!$A$5:$A$3004,"&gt;="&amp;Settings!$B$8,Timesheet!$A$5:$A$3004,"&lt;="&amp;Settings!$B$9))</f>
        <v/>
      </c>
      <c r="F1011" s="25" t="str">
        <f aca="false">IF($A1011="","",SUMIFS(Timesheet!$F$5:$F$3004,Timesheet!$D$5:$D$3004,$A1011,Timesheet!$A$5:$A$3004,"&gt;="&amp;Settings!$B$8,Timesheet!$A$5:$A$3004,"&lt;="&amp;Settings!$B$9))</f>
        <v/>
      </c>
      <c r="G1011" s="25" t="str">
        <f aca="false">IF($A1011="","",SUMIFS(Timesheet!$G$5:$G$3004,Timesheet!$D$5:$D$3004,$A1011,Timesheet!$A$5:$A$3004,"&gt;="&amp;Settings!$B$8,Timesheet!$A$5:$A$3004,"&lt;="&amp;Settings!$B$9))</f>
        <v/>
      </c>
      <c r="H1011" s="25" t="str">
        <f aca="false">IF($A1011="","",IF(D1011="Monthly",MAX(0,Settings!$B$11-E1011),0))</f>
        <v/>
      </c>
      <c r="I1011" s="26" t="str">
        <f aca="false">IF($A1011="","",N(INDEX(Workers!$L$5:$L$2004,MATCH($A1011,Workers!$A$5:$A$2004,0))))</f>
        <v/>
      </c>
      <c r="J1011" s="26" t="str">
        <f aca="false">IF($A1011="","",N(INDEX(Workers!$M$5:$M$2004,MATCH($A1011,Workers!$A$5:$A$2004,0))))</f>
        <v/>
      </c>
      <c r="K1011" s="26" t="str">
        <f aca="false">IF($A1011="","",IF(D1011="Monthly",ROUND(MAX(0,(I1011+J1011)-(I1011+J1011)/Settings!$B$10*H1011),2),0))</f>
        <v/>
      </c>
      <c r="L1011" s="26" t="str">
        <f aca="false">IF($A1011="","",IF(D1011="Hourly",ROUND(F1011*N(INDEX(Workers!$N$5:$N$2004,MATCH($A1011,Workers!$A$5:$A$2004,0))),2),0))</f>
        <v/>
      </c>
      <c r="M1011" s="26" t="str">
        <f aca="false">IF($A1011="","",ROUND(G1011*IF(D1011="Hourly",N(INDEX(Workers!$N$5:$N$2004,MATCH($A1011,Workers!$A$5:$A$2004,0))),I1011/Settings!$B$10/Settings!$B$12)*Settings!$B$13,2))</f>
        <v/>
      </c>
      <c r="N1011" s="26" t="str">
        <f aca="false">IF($A1011="","",K1011+L1011+M1011)</f>
        <v/>
      </c>
      <c r="O1011" s="26" t="str">
        <f aca="false">IF($A1011="","",SUMIFS(Deductions!$D$5:$D$2000,Deductions!$B$5:$B$2000,$A1011,Deductions!$C$5:$C$2000,"Advance",Deductions!$E$5:$E$2000,"&gt;="&amp;Settings!$B$8,Deductions!$E$5:$E$2000,"&lt;="&amp;Settings!$B$9))</f>
        <v/>
      </c>
      <c r="P1011" s="26" t="str">
        <f aca="false">IF($A1011="","",SUMIFS(Deductions!$D$5:$D$2000,Deductions!$B$5:$B$2000,$A1011,Deductions!$E$5:$E$2000,"&gt;="&amp;Settings!$B$8,Deductions!$E$5:$E$2000,"&lt;="&amp;Settings!$B$9)-O1011)</f>
        <v/>
      </c>
      <c r="Q1011" s="26" t="str">
        <f aca="false">IF($A1011="","",O1011+P1011)</f>
        <v/>
      </c>
      <c r="R1011" s="23" t="str">
        <f aca="false">IF($A1011="","",N1011-Q1011)</f>
        <v/>
      </c>
      <c r="S1011" s="24" t="str">
        <f aca="false">IF($A1011="","",INDEX(Workers!$O$5:$O$2004,MATCH($A1011,Workers!$A$5:$A$2004,0))&amp;"")</f>
        <v/>
      </c>
      <c r="T1011" s="24" t="str">
        <f aca="false">IF($A1011="","",INDEX(Workers!$P$5:$P$2004,MATCH($A1011,Workers!$A$5:$A$2004,0))&amp;"")</f>
        <v/>
      </c>
      <c r="U1011" s="24" t="str">
        <f aca="false">IF($A1011="","",INDEX(Workers!$H$5:$H$2004,MATCH($A1011,Workers!$A$5:$A$2004,0))&amp;"")</f>
        <v/>
      </c>
    </row>
    <row r="1012" customFormat="false" ht="15" hidden="false" customHeight="false" outlineLevel="0" collapsed="false">
      <c r="A1012" s="24" t="str">
        <f aca="false">IFERROR(INDEX(Workers!$A$5:$A$2004,MATCH(ROW()-4,Workers!$U$5:$U$2004,0)),"")</f>
        <v/>
      </c>
      <c r="B1012" s="24" t="str">
        <f aca="false">IF($A1012="","",INDEX(Workers!$B$5:$B$2004,MATCH($A1012,Workers!$A$5:$A$2004,0)))</f>
        <v/>
      </c>
      <c r="C1012" s="24" t="str">
        <f aca="false">IF($A1012="","",INDEX(Workers!$E$5:$E$2004,MATCH($A1012,Workers!$A$5:$A$2004,0)))</f>
        <v/>
      </c>
      <c r="D1012" s="24" t="str">
        <f aca="false">IF($A1012="","",INDEX(Workers!$K$5:$K$2004,MATCH($A1012,Workers!$A$5:$A$2004,0)))</f>
        <v/>
      </c>
      <c r="E1012" s="25" t="str">
        <f aca="false">IF($A1012="","",SUMIFS(Timesheet!$E$5:$E$3004,Timesheet!$D$5:$D$3004,$A1012,Timesheet!$A$5:$A$3004,"&gt;="&amp;Settings!$B$8,Timesheet!$A$5:$A$3004,"&lt;="&amp;Settings!$B$9))</f>
        <v/>
      </c>
      <c r="F1012" s="25" t="str">
        <f aca="false">IF($A1012="","",SUMIFS(Timesheet!$F$5:$F$3004,Timesheet!$D$5:$D$3004,$A1012,Timesheet!$A$5:$A$3004,"&gt;="&amp;Settings!$B$8,Timesheet!$A$5:$A$3004,"&lt;="&amp;Settings!$B$9))</f>
        <v/>
      </c>
      <c r="G1012" s="25" t="str">
        <f aca="false">IF($A1012="","",SUMIFS(Timesheet!$G$5:$G$3004,Timesheet!$D$5:$D$3004,$A1012,Timesheet!$A$5:$A$3004,"&gt;="&amp;Settings!$B$8,Timesheet!$A$5:$A$3004,"&lt;="&amp;Settings!$B$9))</f>
        <v/>
      </c>
      <c r="H1012" s="25" t="str">
        <f aca="false">IF($A1012="","",IF(D1012="Monthly",MAX(0,Settings!$B$11-E1012),0))</f>
        <v/>
      </c>
      <c r="I1012" s="26" t="str">
        <f aca="false">IF($A1012="","",N(INDEX(Workers!$L$5:$L$2004,MATCH($A1012,Workers!$A$5:$A$2004,0))))</f>
        <v/>
      </c>
      <c r="J1012" s="26" t="str">
        <f aca="false">IF($A1012="","",N(INDEX(Workers!$M$5:$M$2004,MATCH($A1012,Workers!$A$5:$A$2004,0))))</f>
        <v/>
      </c>
      <c r="K1012" s="26" t="str">
        <f aca="false">IF($A1012="","",IF(D1012="Monthly",ROUND(MAX(0,(I1012+J1012)-(I1012+J1012)/Settings!$B$10*H1012),2),0))</f>
        <v/>
      </c>
      <c r="L1012" s="26" t="str">
        <f aca="false">IF($A1012="","",IF(D1012="Hourly",ROUND(F1012*N(INDEX(Workers!$N$5:$N$2004,MATCH($A1012,Workers!$A$5:$A$2004,0))),2),0))</f>
        <v/>
      </c>
      <c r="M1012" s="26" t="str">
        <f aca="false">IF($A1012="","",ROUND(G1012*IF(D1012="Hourly",N(INDEX(Workers!$N$5:$N$2004,MATCH($A1012,Workers!$A$5:$A$2004,0))),I1012/Settings!$B$10/Settings!$B$12)*Settings!$B$13,2))</f>
        <v/>
      </c>
      <c r="N1012" s="26" t="str">
        <f aca="false">IF($A1012="","",K1012+L1012+M1012)</f>
        <v/>
      </c>
      <c r="O1012" s="26" t="str">
        <f aca="false">IF($A1012="","",SUMIFS(Deductions!$D$5:$D$2000,Deductions!$B$5:$B$2000,$A1012,Deductions!$C$5:$C$2000,"Advance",Deductions!$E$5:$E$2000,"&gt;="&amp;Settings!$B$8,Deductions!$E$5:$E$2000,"&lt;="&amp;Settings!$B$9))</f>
        <v/>
      </c>
      <c r="P1012" s="26" t="str">
        <f aca="false">IF($A1012="","",SUMIFS(Deductions!$D$5:$D$2000,Deductions!$B$5:$B$2000,$A1012,Deductions!$E$5:$E$2000,"&gt;="&amp;Settings!$B$8,Deductions!$E$5:$E$2000,"&lt;="&amp;Settings!$B$9)-O1012)</f>
        <v/>
      </c>
      <c r="Q1012" s="26" t="str">
        <f aca="false">IF($A1012="","",O1012+P1012)</f>
        <v/>
      </c>
      <c r="R1012" s="23" t="str">
        <f aca="false">IF($A1012="","",N1012-Q1012)</f>
        <v/>
      </c>
      <c r="S1012" s="24" t="str">
        <f aca="false">IF($A1012="","",INDEX(Workers!$O$5:$O$2004,MATCH($A1012,Workers!$A$5:$A$2004,0))&amp;"")</f>
        <v/>
      </c>
      <c r="T1012" s="24" t="str">
        <f aca="false">IF($A1012="","",INDEX(Workers!$P$5:$P$2004,MATCH($A1012,Workers!$A$5:$A$2004,0))&amp;"")</f>
        <v/>
      </c>
      <c r="U1012" s="24" t="str">
        <f aca="false">IF($A1012="","",INDEX(Workers!$H$5:$H$2004,MATCH($A1012,Workers!$A$5:$A$2004,0))&amp;"")</f>
        <v/>
      </c>
    </row>
    <row r="1013" customFormat="false" ht="15" hidden="false" customHeight="false" outlineLevel="0" collapsed="false">
      <c r="A1013" s="24" t="str">
        <f aca="false">IFERROR(INDEX(Workers!$A$5:$A$2004,MATCH(ROW()-4,Workers!$U$5:$U$2004,0)),"")</f>
        <v/>
      </c>
      <c r="B1013" s="24" t="str">
        <f aca="false">IF($A1013="","",INDEX(Workers!$B$5:$B$2004,MATCH($A1013,Workers!$A$5:$A$2004,0)))</f>
        <v/>
      </c>
      <c r="C1013" s="24" t="str">
        <f aca="false">IF($A1013="","",INDEX(Workers!$E$5:$E$2004,MATCH($A1013,Workers!$A$5:$A$2004,0)))</f>
        <v/>
      </c>
      <c r="D1013" s="24" t="str">
        <f aca="false">IF($A1013="","",INDEX(Workers!$K$5:$K$2004,MATCH($A1013,Workers!$A$5:$A$2004,0)))</f>
        <v/>
      </c>
      <c r="E1013" s="25" t="str">
        <f aca="false">IF($A1013="","",SUMIFS(Timesheet!$E$5:$E$3004,Timesheet!$D$5:$D$3004,$A1013,Timesheet!$A$5:$A$3004,"&gt;="&amp;Settings!$B$8,Timesheet!$A$5:$A$3004,"&lt;="&amp;Settings!$B$9))</f>
        <v/>
      </c>
      <c r="F1013" s="25" t="str">
        <f aca="false">IF($A1013="","",SUMIFS(Timesheet!$F$5:$F$3004,Timesheet!$D$5:$D$3004,$A1013,Timesheet!$A$5:$A$3004,"&gt;="&amp;Settings!$B$8,Timesheet!$A$5:$A$3004,"&lt;="&amp;Settings!$B$9))</f>
        <v/>
      </c>
      <c r="G1013" s="25" t="str">
        <f aca="false">IF($A1013="","",SUMIFS(Timesheet!$G$5:$G$3004,Timesheet!$D$5:$D$3004,$A1013,Timesheet!$A$5:$A$3004,"&gt;="&amp;Settings!$B$8,Timesheet!$A$5:$A$3004,"&lt;="&amp;Settings!$B$9))</f>
        <v/>
      </c>
      <c r="H1013" s="25" t="str">
        <f aca="false">IF($A1013="","",IF(D1013="Monthly",MAX(0,Settings!$B$11-E1013),0))</f>
        <v/>
      </c>
      <c r="I1013" s="26" t="str">
        <f aca="false">IF($A1013="","",N(INDEX(Workers!$L$5:$L$2004,MATCH($A1013,Workers!$A$5:$A$2004,0))))</f>
        <v/>
      </c>
      <c r="J1013" s="26" t="str">
        <f aca="false">IF($A1013="","",N(INDEX(Workers!$M$5:$M$2004,MATCH($A1013,Workers!$A$5:$A$2004,0))))</f>
        <v/>
      </c>
      <c r="K1013" s="26" t="str">
        <f aca="false">IF($A1013="","",IF(D1013="Monthly",ROUND(MAX(0,(I1013+J1013)-(I1013+J1013)/Settings!$B$10*H1013),2),0))</f>
        <v/>
      </c>
      <c r="L1013" s="26" t="str">
        <f aca="false">IF($A1013="","",IF(D1013="Hourly",ROUND(F1013*N(INDEX(Workers!$N$5:$N$2004,MATCH($A1013,Workers!$A$5:$A$2004,0))),2),0))</f>
        <v/>
      </c>
      <c r="M1013" s="26" t="str">
        <f aca="false">IF($A1013="","",ROUND(G1013*IF(D1013="Hourly",N(INDEX(Workers!$N$5:$N$2004,MATCH($A1013,Workers!$A$5:$A$2004,0))),I1013/Settings!$B$10/Settings!$B$12)*Settings!$B$13,2))</f>
        <v/>
      </c>
      <c r="N1013" s="26" t="str">
        <f aca="false">IF($A1013="","",K1013+L1013+M1013)</f>
        <v/>
      </c>
      <c r="O1013" s="26" t="str">
        <f aca="false">IF($A1013="","",SUMIFS(Deductions!$D$5:$D$2000,Deductions!$B$5:$B$2000,$A1013,Deductions!$C$5:$C$2000,"Advance",Deductions!$E$5:$E$2000,"&gt;="&amp;Settings!$B$8,Deductions!$E$5:$E$2000,"&lt;="&amp;Settings!$B$9))</f>
        <v/>
      </c>
      <c r="P1013" s="26" t="str">
        <f aca="false">IF($A1013="","",SUMIFS(Deductions!$D$5:$D$2000,Deductions!$B$5:$B$2000,$A1013,Deductions!$E$5:$E$2000,"&gt;="&amp;Settings!$B$8,Deductions!$E$5:$E$2000,"&lt;="&amp;Settings!$B$9)-O1013)</f>
        <v/>
      </c>
      <c r="Q1013" s="26" t="str">
        <f aca="false">IF($A1013="","",O1013+P1013)</f>
        <v/>
      </c>
      <c r="R1013" s="23" t="str">
        <f aca="false">IF($A1013="","",N1013-Q1013)</f>
        <v/>
      </c>
      <c r="S1013" s="24" t="str">
        <f aca="false">IF($A1013="","",INDEX(Workers!$O$5:$O$2004,MATCH($A1013,Workers!$A$5:$A$2004,0))&amp;"")</f>
        <v/>
      </c>
      <c r="T1013" s="24" t="str">
        <f aca="false">IF($A1013="","",INDEX(Workers!$P$5:$P$2004,MATCH($A1013,Workers!$A$5:$A$2004,0))&amp;"")</f>
        <v/>
      </c>
      <c r="U1013" s="24" t="str">
        <f aca="false">IF($A1013="","",INDEX(Workers!$H$5:$H$2004,MATCH($A1013,Workers!$A$5:$A$2004,0))&amp;"")</f>
        <v/>
      </c>
    </row>
    <row r="1014" customFormat="false" ht="15" hidden="false" customHeight="false" outlineLevel="0" collapsed="false">
      <c r="A1014" s="24" t="str">
        <f aca="false">IFERROR(INDEX(Workers!$A$5:$A$2004,MATCH(ROW()-4,Workers!$U$5:$U$2004,0)),"")</f>
        <v/>
      </c>
      <c r="B1014" s="24" t="str">
        <f aca="false">IF($A1014="","",INDEX(Workers!$B$5:$B$2004,MATCH($A1014,Workers!$A$5:$A$2004,0)))</f>
        <v/>
      </c>
      <c r="C1014" s="24" t="str">
        <f aca="false">IF($A1014="","",INDEX(Workers!$E$5:$E$2004,MATCH($A1014,Workers!$A$5:$A$2004,0)))</f>
        <v/>
      </c>
      <c r="D1014" s="24" t="str">
        <f aca="false">IF($A1014="","",INDEX(Workers!$K$5:$K$2004,MATCH($A1014,Workers!$A$5:$A$2004,0)))</f>
        <v/>
      </c>
      <c r="E1014" s="25" t="str">
        <f aca="false">IF($A1014="","",SUMIFS(Timesheet!$E$5:$E$3004,Timesheet!$D$5:$D$3004,$A1014,Timesheet!$A$5:$A$3004,"&gt;="&amp;Settings!$B$8,Timesheet!$A$5:$A$3004,"&lt;="&amp;Settings!$B$9))</f>
        <v/>
      </c>
      <c r="F1014" s="25" t="str">
        <f aca="false">IF($A1014="","",SUMIFS(Timesheet!$F$5:$F$3004,Timesheet!$D$5:$D$3004,$A1014,Timesheet!$A$5:$A$3004,"&gt;="&amp;Settings!$B$8,Timesheet!$A$5:$A$3004,"&lt;="&amp;Settings!$B$9))</f>
        <v/>
      </c>
      <c r="G1014" s="25" t="str">
        <f aca="false">IF($A1014="","",SUMIFS(Timesheet!$G$5:$G$3004,Timesheet!$D$5:$D$3004,$A1014,Timesheet!$A$5:$A$3004,"&gt;="&amp;Settings!$B$8,Timesheet!$A$5:$A$3004,"&lt;="&amp;Settings!$B$9))</f>
        <v/>
      </c>
      <c r="H1014" s="25" t="str">
        <f aca="false">IF($A1014="","",IF(D1014="Monthly",MAX(0,Settings!$B$11-E1014),0))</f>
        <v/>
      </c>
      <c r="I1014" s="26" t="str">
        <f aca="false">IF($A1014="","",N(INDEX(Workers!$L$5:$L$2004,MATCH($A1014,Workers!$A$5:$A$2004,0))))</f>
        <v/>
      </c>
      <c r="J1014" s="26" t="str">
        <f aca="false">IF($A1014="","",N(INDEX(Workers!$M$5:$M$2004,MATCH($A1014,Workers!$A$5:$A$2004,0))))</f>
        <v/>
      </c>
      <c r="K1014" s="26" t="str">
        <f aca="false">IF($A1014="","",IF(D1014="Monthly",ROUND(MAX(0,(I1014+J1014)-(I1014+J1014)/Settings!$B$10*H1014),2),0))</f>
        <v/>
      </c>
      <c r="L1014" s="26" t="str">
        <f aca="false">IF($A1014="","",IF(D1014="Hourly",ROUND(F1014*N(INDEX(Workers!$N$5:$N$2004,MATCH($A1014,Workers!$A$5:$A$2004,0))),2),0))</f>
        <v/>
      </c>
      <c r="M1014" s="26" t="str">
        <f aca="false">IF($A1014="","",ROUND(G1014*IF(D1014="Hourly",N(INDEX(Workers!$N$5:$N$2004,MATCH($A1014,Workers!$A$5:$A$2004,0))),I1014/Settings!$B$10/Settings!$B$12)*Settings!$B$13,2))</f>
        <v/>
      </c>
      <c r="N1014" s="26" t="str">
        <f aca="false">IF($A1014="","",K1014+L1014+M1014)</f>
        <v/>
      </c>
      <c r="O1014" s="26" t="str">
        <f aca="false">IF($A1014="","",SUMIFS(Deductions!$D$5:$D$2000,Deductions!$B$5:$B$2000,$A1014,Deductions!$C$5:$C$2000,"Advance",Deductions!$E$5:$E$2000,"&gt;="&amp;Settings!$B$8,Deductions!$E$5:$E$2000,"&lt;="&amp;Settings!$B$9))</f>
        <v/>
      </c>
      <c r="P1014" s="26" t="str">
        <f aca="false">IF($A1014="","",SUMIFS(Deductions!$D$5:$D$2000,Deductions!$B$5:$B$2000,$A1014,Deductions!$E$5:$E$2000,"&gt;="&amp;Settings!$B$8,Deductions!$E$5:$E$2000,"&lt;="&amp;Settings!$B$9)-O1014)</f>
        <v/>
      </c>
      <c r="Q1014" s="26" t="str">
        <f aca="false">IF($A1014="","",O1014+P1014)</f>
        <v/>
      </c>
      <c r="R1014" s="23" t="str">
        <f aca="false">IF($A1014="","",N1014-Q1014)</f>
        <v/>
      </c>
      <c r="S1014" s="24" t="str">
        <f aca="false">IF($A1014="","",INDEX(Workers!$O$5:$O$2004,MATCH($A1014,Workers!$A$5:$A$2004,0))&amp;"")</f>
        <v/>
      </c>
      <c r="T1014" s="24" t="str">
        <f aca="false">IF($A1014="","",INDEX(Workers!$P$5:$P$2004,MATCH($A1014,Workers!$A$5:$A$2004,0))&amp;"")</f>
        <v/>
      </c>
      <c r="U1014" s="24" t="str">
        <f aca="false">IF($A1014="","",INDEX(Workers!$H$5:$H$2004,MATCH($A1014,Workers!$A$5:$A$2004,0))&amp;"")</f>
        <v/>
      </c>
    </row>
    <row r="1015" customFormat="false" ht="15" hidden="false" customHeight="false" outlineLevel="0" collapsed="false">
      <c r="A1015" s="24" t="str">
        <f aca="false">IFERROR(INDEX(Workers!$A$5:$A$2004,MATCH(ROW()-4,Workers!$U$5:$U$2004,0)),"")</f>
        <v/>
      </c>
      <c r="B1015" s="24" t="str">
        <f aca="false">IF($A1015="","",INDEX(Workers!$B$5:$B$2004,MATCH($A1015,Workers!$A$5:$A$2004,0)))</f>
        <v/>
      </c>
      <c r="C1015" s="24" t="str">
        <f aca="false">IF($A1015="","",INDEX(Workers!$E$5:$E$2004,MATCH($A1015,Workers!$A$5:$A$2004,0)))</f>
        <v/>
      </c>
      <c r="D1015" s="24" t="str">
        <f aca="false">IF($A1015="","",INDEX(Workers!$K$5:$K$2004,MATCH($A1015,Workers!$A$5:$A$2004,0)))</f>
        <v/>
      </c>
      <c r="E1015" s="25" t="str">
        <f aca="false">IF($A1015="","",SUMIFS(Timesheet!$E$5:$E$3004,Timesheet!$D$5:$D$3004,$A1015,Timesheet!$A$5:$A$3004,"&gt;="&amp;Settings!$B$8,Timesheet!$A$5:$A$3004,"&lt;="&amp;Settings!$B$9))</f>
        <v/>
      </c>
      <c r="F1015" s="25" t="str">
        <f aca="false">IF($A1015="","",SUMIFS(Timesheet!$F$5:$F$3004,Timesheet!$D$5:$D$3004,$A1015,Timesheet!$A$5:$A$3004,"&gt;="&amp;Settings!$B$8,Timesheet!$A$5:$A$3004,"&lt;="&amp;Settings!$B$9))</f>
        <v/>
      </c>
      <c r="G1015" s="25" t="str">
        <f aca="false">IF($A1015="","",SUMIFS(Timesheet!$G$5:$G$3004,Timesheet!$D$5:$D$3004,$A1015,Timesheet!$A$5:$A$3004,"&gt;="&amp;Settings!$B$8,Timesheet!$A$5:$A$3004,"&lt;="&amp;Settings!$B$9))</f>
        <v/>
      </c>
      <c r="H1015" s="25" t="str">
        <f aca="false">IF($A1015="","",IF(D1015="Monthly",MAX(0,Settings!$B$11-E1015),0))</f>
        <v/>
      </c>
      <c r="I1015" s="26" t="str">
        <f aca="false">IF($A1015="","",N(INDEX(Workers!$L$5:$L$2004,MATCH($A1015,Workers!$A$5:$A$2004,0))))</f>
        <v/>
      </c>
      <c r="J1015" s="26" t="str">
        <f aca="false">IF($A1015="","",N(INDEX(Workers!$M$5:$M$2004,MATCH($A1015,Workers!$A$5:$A$2004,0))))</f>
        <v/>
      </c>
      <c r="K1015" s="26" t="str">
        <f aca="false">IF($A1015="","",IF(D1015="Monthly",ROUND(MAX(0,(I1015+J1015)-(I1015+J1015)/Settings!$B$10*H1015),2),0))</f>
        <v/>
      </c>
      <c r="L1015" s="26" t="str">
        <f aca="false">IF($A1015="","",IF(D1015="Hourly",ROUND(F1015*N(INDEX(Workers!$N$5:$N$2004,MATCH($A1015,Workers!$A$5:$A$2004,0))),2),0))</f>
        <v/>
      </c>
      <c r="M1015" s="26" t="str">
        <f aca="false">IF($A1015="","",ROUND(G1015*IF(D1015="Hourly",N(INDEX(Workers!$N$5:$N$2004,MATCH($A1015,Workers!$A$5:$A$2004,0))),I1015/Settings!$B$10/Settings!$B$12)*Settings!$B$13,2))</f>
        <v/>
      </c>
      <c r="N1015" s="26" t="str">
        <f aca="false">IF($A1015="","",K1015+L1015+M1015)</f>
        <v/>
      </c>
      <c r="O1015" s="26" t="str">
        <f aca="false">IF($A1015="","",SUMIFS(Deductions!$D$5:$D$2000,Deductions!$B$5:$B$2000,$A1015,Deductions!$C$5:$C$2000,"Advance",Deductions!$E$5:$E$2000,"&gt;="&amp;Settings!$B$8,Deductions!$E$5:$E$2000,"&lt;="&amp;Settings!$B$9))</f>
        <v/>
      </c>
      <c r="P1015" s="26" t="str">
        <f aca="false">IF($A1015="","",SUMIFS(Deductions!$D$5:$D$2000,Deductions!$B$5:$B$2000,$A1015,Deductions!$E$5:$E$2000,"&gt;="&amp;Settings!$B$8,Deductions!$E$5:$E$2000,"&lt;="&amp;Settings!$B$9)-O1015)</f>
        <v/>
      </c>
      <c r="Q1015" s="26" t="str">
        <f aca="false">IF($A1015="","",O1015+P1015)</f>
        <v/>
      </c>
      <c r="R1015" s="23" t="str">
        <f aca="false">IF($A1015="","",N1015-Q1015)</f>
        <v/>
      </c>
      <c r="S1015" s="24" t="str">
        <f aca="false">IF($A1015="","",INDEX(Workers!$O$5:$O$2004,MATCH($A1015,Workers!$A$5:$A$2004,0))&amp;"")</f>
        <v/>
      </c>
      <c r="T1015" s="24" t="str">
        <f aca="false">IF($A1015="","",INDEX(Workers!$P$5:$P$2004,MATCH($A1015,Workers!$A$5:$A$2004,0))&amp;"")</f>
        <v/>
      </c>
      <c r="U1015" s="24" t="str">
        <f aca="false">IF($A1015="","",INDEX(Workers!$H$5:$H$2004,MATCH($A1015,Workers!$A$5:$A$2004,0))&amp;"")</f>
        <v/>
      </c>
    </row>
    <row r="1016" customFormat="false" ht="15" hidden="false" customHeight="false" outlineLevel="0" collapsed="false">
      <c r="A1016" s="24" t="str">
        <f aca="false">IFERROR(INDEX(Workers!$A$5:$A$2004,MATCH(ROW()-4,Workers!$U$5:$U$2004,0)),"")</f>
        <v/>
      </c>
      <c r="B1016" s="24" t="str">
        <f aca="false">IF($A1016="","",INDEX(Workers!$B$5:$B$2004,MATCH($A1016,Workers!$A$5:$A$2004,0)))</f>
        <v/>
      </c>
      <c r="C1016" s="24" t="str">
        <f aca="false">IF($A1016="","",INDEX(Workers!$E$5:$E$2004,MATCH($A1016,Workers!$A$5:$A$2004,0)))</f>
        <v/>
      </c>
      <c r="D1016" s="24" t="str">
        <f aca="false">IF($A1016="","",INDEX(Workers!$K$5:$K$2004,MATCH($A1016,Workers!$A$5:$A$2004,0)))</f>
        <v/>
      </c>
      <c r="E1016" s="25" t="str">
        <f aca="false">IF($A1016="","",SUMIFS(Timesheet!$E$5:$E$3004,Timesheet!$D$5:$D$3004,$A1016,Timesheet!$A$5:$A$3004,"&gt;="&amp;Settings!$B$8,Timesheet!$A$5:$A$3004,"&lt;="&amp;Settings!$B$9))</f>
        <v/>
      </c>
      <c r="F1016" s="25" t="str">
        <f aca="false">IF($A1016="","",SUMIFS(Timesheet!$F$5:$F$3004,Timesheet!$D$5:$D$3004,$A1016,Timesheet!$A$5:$A$3004,"&gt;="&amp;Settings!$B$8,Timesheet!$A$5:$A$3004,"&lt;="&amp;Settings!$B$9))</f>
        <v/>
      </c>
      <c r="G1016" s="25" t="str">
        <f aca="false">IF($A1016="","",SUMIFS(Timesheet!$G$5:$G$3004,Timesheet!$D$5:$D$3004,$A1016,Timesheet!$A$5:$A$3004,"&gt;="&amp;Settings!$B$8,Timesheet!$A$5:$A$3004,"&lt;="&amp;Settings!$B$9))</f>
        <v/>
      </c>
      <c r="H1016" s="25" t="str">
        <f aca="false">IF($A1016="","",IF(D1016="Monthly",MAX(0,Settings!$B$11-E1016),0))</f>
        <v/>
      </c>
      <c r="I1016" s="26" t="str">
        <f aca="false">IF($A1016="","",N(INDEX(Workers!$L$5:$L$2004,MATCH($A1016,Workers!$A$5:$A$2004,0))))</f>
        <v/>
      </c>
      <c r="J1016" s="26" t="str">
        <f aca="false">IF($A1016="","",N(INDEX(Workers!$M$5:$M$2004,MATCH($A1016,Workers!$A$5:$A$2004,0))))</f>
        <v/>
      </c>
      <c r="K1016" s="26" t="str">
        <f aca="false">IF($A1016="","",IF(D1016="Monthly",ROUND(MAX(0,(I1016+J1016)-(I1016+J1016)/Settings!$B$10*H1016),2),0))</f>
        <v/>
      </c>
      <c r="L1016" s="26" t="str">
        <f aca="false">IF($A1016="","",IF(D1016="Hourly",ROUND(F1016*N(INDEX(Workers!$N$5:$N$2004,MATCH($A1016,Workers!$A$5:$A$2004,0))),2),0))</f>
        <v/>
      </c>
      <c r="M1016" s="26" t="str">
        <f aca="false">IF($A1016="","",ROUND(G1016*IF(D1016="Hourly",N(INDEX(Workers!$N$5:$N$2004,MATCH($A1016,Workers!$A$5:$A$2004,0))),I1016/Settings!$B$10/Settings!$B$12)*Settings!$B$13,2))</f>
        <v/>
      </c>
      <c r="N1016" s="26" t="str">
        <f aca="false">IF($A1016="","",K1016+L1016+M1016)</f>
        <v/>
      </c>
      <c r="O1016" s="26" t="str">
        <f aca="false">IF($A1016="","",SUMIFS(Deductions!$D$5:$D$2000,Deductions!$B$5:$B$2000,$A1016,Deductions!$C$5:$C$2000,"Advance",Deductions!$E$5:$E$2000,"&gt;="&amp;Settings!$B$8,Deductions!$E$5:$E$2000,"&lt;="&amp;Settings!$B$9))</f>
        <v/>
      </c>
      <c r="P1016" s="26" t="str">
        <f aca="false">IF($A1016="","",SUMIFS(Deductions!$D$5:$D$2000,Deductions!$B$5:$B$2000,$A1016,Deductions!$E$5:$E$2000,"&gt;="&amp;Settings!$B$8,Deductions!$E$5:$E$2000,"&lt;="&amp;Settings!$B$9)-O1016)</f>
        <v/>
      </c>
      <c r="Q1016" s="26" t="str">
        <f aca="false">IF($A1016="","",O1016+P1016)</f>
        <v/>
      </c>
      <c r="R1016" s="23" t="str">
        <f aca="false">IF($A1016="","",N1016-Q1016)</f>
        <v/>
      </c>
      <c r="S1016" s="24" t="str">
        <f aca="false">IF($A1016="","",INDEX(Workers!$O$5:$O$2004,MATCH($A1016,Workers!$A$5:$A$2004,0))&amp;"")</f>
        <v/>
      </c>
      <c r="T1016" s="24" t="str">
        <f aca="false">IF($A1016="","",INDEX(Workers!$P$5:$P$2004,MATCH($A1016,Workers!$A$5:$A$2004,0))&amp;"")</f>
        <v/>
      </c>
      <c r="U1016" s="24" t="str">
        <f aca="false">IF($A1016="","",INDEX(Workers!$H$5:$H$2004,MATCH($A1016,Workers!$A$5:$A$2004,0))&amp;"")</f>
        <v/>
      </c>
    </row>
    <row r="1017" customFormat="false" ht="15" hidden="false" customHeight="false" outlineLevel="0" collapsed="false">
      <c r="A1017" s="24" t="str">
        <f aca="false">IFERROR(INDEX(Workers!$A$5:$A$2004,MATCH(ROW()-4,Workers!$U$5:$U$2004,0)),"")</f>
        <v/>
      </c>
      <c r="B1017" s="24" t="str">
        <f aca="false">IF($A1017="","",INDEX(Workers!$B$5:$B$2004,MATCH($A1017,Workers!$A$5:$A$2004,0)))</f>
        <v/>
      </c>
      <c r="C1017" s="24" t="str">
        <f aca="false">IF($A1017="","",INDEX(Workers!$E$5:$E$2004,MATCH($A1017,Workers!$A$5:$A$2004,0)))</f>
        <v/>
      </c>
      <c r="D1017" s="24" t="str">
        <f aca="false">IF($A1017="","",INDEX(Workers!$K$5:$K$2004,MATCH($A1017,Workers!$A$5:$A$2004,0)))</f>
        <v/>
      </c>
      <c r="E1017" s="25" t="str">
        <f aca="false">IF($A1017="","",SUMIFS(Timesheet!$E$5:$E$3004,Timesheet!$D$5:$D$3004,$A1017,Timesheet!$A$5:$A$3004,"&gt;="&amp;Settings!$B$8,Timesheet!$A$5:$A$3004,"&lt;="&amp;Settings!$B$9))</f>
        <v/>
      </c>
      <c r="F1017" s="25" t="str">
        <f aca="false">IF($A1017="","",SUMIFS(Timesheet!$F$5:$F$3004,Timesheet!$D$5:$D$3004,$A1017,Timesheet!$A$5:$A$3004,"&gt;="&amp;Settings!$B$8,Timesheet!$A$5:$A$3004,"&lt;="&amp;Settings!$B$9))</f>
        <v/>
      </c>
      <c r="G1017" s="25" t="str">
        <f aca="false">IF($A1017="","",SUMIFS(Timesheet!$G$5:$G$3004,Timesheet!$D$5:$D$3004,$A1017,Timesheet!$A$5:$A$3004,"&gt;="&amp;Settings!$B$8,Timesheet!$A$5:$A$3004,"&lt;="&amp;Settings!$B$9))</f>
        <v/>
      </c>
      <c r="H1017" s="25" t="str">
        <f aca="false">IF($A1017="","",IF(D1017="Monthly",MAX(0,Settings!$B$11-E1017),0))</f>
        <v/>
      </c>
      <c r="I1017" s="26" t="str">
        <f aca="false">IF($A1017="","",N(INDEX(Workers!$L$5:$L$2004,MATCH($A1017,Workers!$A$5:$A$2004,0))))</f>
        <v/>
      </c>
      <c r="J1017" s="26" t="str">
        <f aca="false">IF($A1017="","",N(INDEX(Workers!$M$5:$M$2004,MATCH($A1017,Workers!$A$5:$A$2004,0))))</f>
        <v/>
      </c>
      <c r="K1017" s="26" t="str">
        <f aca="false">IF($A1017="","",IF(D1017="Monthly",ROUND(MAX(0,(I1017+J1017)-(I1017+J1017)/Settings!$B$10*H1017),2),0))</f>
        <v/>
      </c>
      <c r="L1017" s="26" t="str">
        <f aca="false">IF($A1017="","",IF(D1017="Hourly",ROUND(F1017*N(INDEX(Workers!$N$5:$N$2004,MATCH($A1017,Workers!$A$5:$A$2004,0))),2),0))</f>
        <v/>
      </c>
      <c r="M1017" s="26" t="str">
        <f aca="false">IF($A1017="","",ROUND(G1017*IF(D1017="Hourly",N(INDEX(Workers!$N$5:$N$2004,MATCH($A1017,Workers!$A$5:$A$2004,0))),I1017/Settings!$B$10/Settings!$B$12)*Settings!$B$13,2))</f>
        <v/>
      </c>
      <c r="N1017" s="26" t="str">
        <f aca="false">IF($A1017="","",K1017+L1017+M1017)</f>
        <v/>
      </c>
      <c r="O1017" s="26" t="str">
        <f aca="false">IF($A1017="","",SUMIFS(Deductions!$D$5:$D$2000,Deductions!$B$5:$B$2000,$A1017,Deductions!$C$5:$C$2000,"Advance",Deductions!$E$5:$E$2000,"&gt;="&amp;Settings!$B$8,Deductions!$E$5:$E$2000,"&lt;="&amp;Settings!$B$9))</f>
        <v/>
      </c>
      <c r="P1017" s="26" t="str">
        <f aca="false">IF($A1017="","",SUMIFS(Deductions!$D$5:$D$2000,Deductions!$B$5:$B$2000,$A1017,Deductions!$E$5:$E$2000,"&gt;="&amp;Settings!$B$8,Deductions!$E$5:$E$2000,"&lt;="&amp;Settings!$B$9)-O1017)</f>
        <v/>
      </c>
      <c r="Q1017" s="26" t="str">
        <f aca="false">IF($A1017="","",O1017+P1017)</f>
        <v/>
      </c>
      <c r="R1017" s="23" t="str">
        <f aca="false">IF($A1017="","",N1017-Q1017)</f>
        <v/>
      </c>
      <c r="S1017" s="24" t="str">
        <f aca="false">IF($A1017="","",INDEX(Workers!$O$5:$O$2004,MATCH($A1017,Workers!$A$5:$A$2004,0))&amp;"")</f>
        <v/>
      </c>
      <c r="T1017" s="24" t="str">
        <f aca="false">IF($A1017="","",INDEX(Workers!$P$5:$P$2004,MATCH($A1017,Workers!$A$5:$A$2004,0))&amp;"")</f>
        <v/>
      </c>
      <c r="U1017" s="24" t="str">
        <f aca="false">IF($A1017="","",INDEX(Workers!$H$5:$H$2004,MATCH($A1017,Workers!$A$5:$A$2004,0))&amp;"")</f>
        <v/>
      </c>
    </row>
    <row r="1018" customFormat="false" ht="15" hidden="false" customHeight="false" outlineLevel="0" collapsed="false">
      <c r="A1018" s="24" t="str">
        <f aca="false">IFERROR(INDEX(Workers!$A$5:$A$2004,MATCH(ROW()-4,Workers!$U$5:$U$2004,0)),"")</f>
        <v/>
      </c>
      <c r="B1018" s="24" t="str">
        <f aca="false">IF($A1018="","",INDEX(Workers!$B$5:$B$2004,MATCH($A1018,Workers!$A$5:$A$2004,0)))</f>
        <v/>
      </c>
      <c r="C1018" s="24" t="str">
        <f aca="false">IF($A1018="","",INDEX(Workers!$E$5:$E$2004,MATCH($A1018,Workers!$A$5:$A$2004,0)))</f>
        <v/>
      </c>
      <c r="D1018" s="24" t="str">
        <f aca="false">IF($A1018="","",INDEX(Workers!$K$5:$K$2004,MATCH($A1018,Workers!$A$5:$A$2004,0)))</f>
        <v/>
      </c>
      <c r="E1018" s="25" t="str">
        <f aca="false">IF($A1018="","",SUMIFS(Timesheet!$E$5:$E$3004,Timesheet!$D$5:$D$3004,$A1018,Timesheet!$A$5:$A$3004,"&gt;="&amp;Settings!$B$8,Timesheet!$A$5:$A$3004,"&lt;="&amp;Settings!$B$9))</f>
        <v/>
      </c>
      <c r="F1018" s="25" t="str">
        <f aca="false">IF($A1018="","",SUMIFS(Timesheet!$F$5:$F$3004,Timesheet!$D$5:$D$3004,$A1018,Timesheet!$A$5:$A$3004,"&gt;="&amp;Settings!$B$8,Timesheet!$A$5:$A$3004,"&lt;="&amp;Settings!$B$9))</f>
        <v/>
      </c>
      <c r="G1018" s="25" t="str">
        <f aca="false">IF($A1018="","",SUMIFS(Timesheet!$G$5:$G$3004,Timesheet!$D$5:$D$3004,$A1018,Timesheet!$A$5:$A$3004,"&gt;="&amp;Settings!$B$8,Timesheet!$A$5:$A$3004,"&lt;="&amp;Settings!$B$9))</f>
        <v/>
      </c>
      <c r="H1018" s="25" t="str">
        <f aca="false">IF($A1018="","",IF(D1018="Monthly",MAX(0,Settings!$B$11-E1018),0))</f>
        <v/>
      </c>
      <c r="I1018" s="26" t="str">
        <f aca="false">IF($A1018="","",N(INDEX(Workers!$L$5:$L$2004,MATCH($A1018,Workers!$A$5:$A$2004,0))))</f>
        <v/>
      </c>
      <c r="J1018" s="26" t="str">
        <f aca="false">IF($A1018="","",N(INDEX(Workers!$M$5:$M$2004,MATCH($A1018,Workers!$A$5:$A$2004,0))))</f>
        <v/>
      </c>
      <c r="K1018" s="26" t="str">
        <f aca="false">IF($A1018="","",IF(D1018="Monthly",ROUND(MAX(0,(I1018+J1018)-(I1018+J1018)/Settings!$B$10*H1018),2),0))</f>
        <v/>
      </c>
      <c r="L1018" s="26" t="str">
        <f aca="false">IF($A1018="","",IF(D1018="Hourly",ROUND(F1018*N(INDEX(Workers!$N$5:$N$2004,MATCH($A1018,Workers!$A$5:$A$2004,0))),2),0))</f>
        <v/>
      </c>
      <c r="M1018" s="26" t="str">
        <f aca="false">IF($A1018="","",ROUND(G1018*IF(D1018="Hourly",N(INDEX(Workers!$N$5:$N$2004,MATCH($A1018,Workers!$A$5:$A$2004,0))),I1018/Settings!$B$10/Settings!$B$12)*Settings!$B$13,2))</f>
        <v/>
      </c>
      <c r="N1018" s="26" t="str">
        <f aca="false">IF($A1018="","",K1018+L1018+M1018)</f>
        <v/>
      </c>
      <c r="O1018" s="26" t="str">
        <f aca="false">IF($A1018="","",SUMIFS(Deductions!$D$5:$D$2000,Deductions!$B$5:$B$2000,$A1018,Deductions!$C$5:$C$2000,"Advance",Deductions!$E$5:$E$2000,"&gt;="&amp;Settings!$B$8,Deductions!$E$5:$E$2000,"&lt;="&amp;Settings!$B$9))</f>
        <v/>
      </c>
      <c r="P1018" s="26" t="str">
        <f aca="false">IF($A1018="","",SUMIFS(Deductions!$D$5:$D$2000,Deductions!$B$5:$B$2000,$A1018,Deductions!$E$5:$E$2000,"&gt;="&amp;Settings!$B$8,Deductions!$E$5:$E$2000,"&lt;="&amp;Settings!$B$9)-O1018)</f>
        <v/>
      </c>
      <c r="Q1018" s="26" t="str">
        <f aca="false">IF($A1018="","",O1018+P1018)</f>
        <v/>
      </c>
      <c r="R1018" s="23" t="str">
        <f aca="false">IF($A1018="","",N1018-Q1018)</f>
        <v/>
      </c>
      <c r="S1018" s="24" t="str">
        <f aca="false">IF($A1018="","",INDEX(Workers!$O$5:$O$2004,MATCH($A1018,Workers!$A$5:$A$2004,0))&amp;"")</f>
        <v/>
      </c>
      <c r="T1018" s="24" t="str">
        <f aca="false">IF($A1018="","",INDEX(Workers!$P$5:$P$2004,MATCH($A1018,Workers!$A$5:$A$2004,0))&amp;"")</f>
        <v/>
      </c>
      <c r="U1018" s="24" t="str">
        <f aca="false">IF($A1018="","",INDEX(Workers!$H$5:$H$2004,MATCH($A1018,Workers!$A$5:$A$2004,0))&amp;"")</f>
        <v/>
      </c>
    </row>
    <row r="1019" customFormat="false" ht="15" hidden="false" customHeight="false" outlineLevel="0" collapsed="false">
      <c r="A1019" s="24" t="str">
        <f aca="false">IFERROR(INDEX(Workers!$A$5:$A$2004,MATCH(ROW()-4,Workers!$U$5:$U$2004,0)),"")</f>
        <v/>
      </c>
      <c r="B1019" s="24" t="str">
        <f aca="false">IF($A1019="","",INDEX(Workers!$B$5:$B$2004,MATCH($A1019,Workers!$A$5:$A$2004,0)))</f>
        <v/>
      </c>
      <c r="C1019" s="24" t="str">
        <f aca="false">IF($A1019="","",INDEX(Workers!$E$5:$E$2004,MATCH($A1019,Workers!$A$5:$A$2004,0)))</f>
        <v/>
      </c>
      <c r="D1019" s="24" t="str">
        <f aca="false">IF($A1019="","",INDEX(Workers!$K$5:$K$2004,MATCH($A1019,Workers!$A$5:$A$2004,0)))</f>
        <v/>
      </c>
      <c r="E1019" s="25" t="str">
        <f aca="false">IF($A1019="","",SUMIFS(Timesheet!$E$5:$E$3004,Timesheet!$D$5:$D$3004,$A1019,Timesheet!$A$5:$A$3004,"&gt;="&amp;Settings!$B$8,Timesheet!$A$5:$A$3004,"&lt;="&amp;Settings!$B$9))</f>
        <v/>
      </c>
      <c r="F1019" s="25" t="str">
        <f aca="false">IF($A1019="","",SUMIFS(Timesheet!$F$5:$F$3004,Timesheet!$D$5:$D$3004,$A1019,Timesheet!$A$5:$A$3004,"&gt;="&amp;Settings!$B$8,Timesheet!$A$5:$A$3004,"&lt;="&amp;Settings!$B$9))</f>
        <v/>
      </c>
      <c r="G1019" s="25" t="str">
        <f aca="false">IF($A1019="","",SUMIFS(Timesheet!$G$5:$G$3004,Timesheet!$D$5:$D$3004,$A1019,Timesheet!$A$5:$A$3004,"&gt;="&amp;Settings!$B$8,Timesheet!$A$5:$A$3004,"&lt;="&amp;Settings!$B$9))</f>
        <v/>
      </c>
      <c r="H1019" s="25" t="str">
        <f aca="false">IF($A1019="","",IF(D1019="Monthly",MAX(0,Settings!$B$11-E1019),0))</f>
        <v/>
      </c>
      <c r="I1019" s="26" t="str">
        <f aca="false">IF($A1019="","",N(INDEX(Workers!$L$5:$L$2004,MATCH($A1019,Workers!$A$5:$A$2004,0))))</f>
        <v/>
      </c>
      <c r="J1019" s="26" t="str">
        <f aca="false">IF($A1019="","",N(INDEX(Workers!$M$5:$M$2004,MATCH($A1019,Workers!$A$5:$A$2004,0))))</f>
        <v/>
      </c>
      <c r="K1019" s="26" t="str">
        <f aca="false">IF($A1019="","",IF(D1019="Monthly",ROUND(MAX(0,(I1019+J1019)-(I1019+J1019)/Settings!$B$10*H1019),2),0))</f>
        <v/>
      </c>
      <c r="L1019" s="26" t="str">
        <f aca="false">IF($A1019="","",IF(D1019="Hourly",ROUND(F1019*N(INDEX(Workers!$N$5:$N$2004,MATCH($A1019,Workers!$A$5:$A$2004,0))),2),0))</f>
        <v/>
      </c>
      <c r="M1019" s="26" t="str">
        <f aca="false">IF($A1019="","",ROUND(G1019*IF(D1019="Hourly",N(INDEX(Workers!$N$5:$N$2004,MATCH($A1019,Workers!$A$5:$A$2004,0))),I1019/Settings!$B$10/Settings!$B$12)*Settings!$B$13,2))</f>
        <v/>
      </c>
      <c r="N1019" s="26" t="str">
        <f aca="false">IF($A1019="","",K1019+L1019+M1019)</f>
        <v/>
      </c>
      <c r="O1019" s="26" t="str">
        <f aca="false">IF($A1019="","",SUMIFS(Deductions!$D$5:$D$2000,Deductions!$B$5:$B$2000,$A1019,Deductions!$C$5:$C$2000,"Advance",Deductions!$E$5:$E$2000,"&gt;="&amp;Settings!$B$8,Deductions!$E$5:$E$2000,"&lt;="&amp;Settings!$B$9))</f>
        <v/>
      </c>
      <c r="P1019" s="26" t="str">
        <f aca="false">IF($A1019="","",SUMIFS(Deductions!$D$5:$D$2000,Deductions!$B$5:$B$2000,$A1019,Deductions!$E$5:$E$2000,"&gt;="&amp;Settings!$B$8,Deductions!$E$5:$E$2000,"&lt;="&amp;Settings!$B$9)-O1019)</f>
        <v/>
      </c>
      <c r="Q1019" s="26" t="str">
        <f aca="false">IF($A1019="","",O1019+P1019)</f>
        <v/>
      </c>
      <c r="R1019" s="23" t="str">
        <f aca="false">IF($A1019="","",N1019-Q1019)</f>
        <v/>
      </c>
      <c r="S1019" s="24" t="str">
        <f aca="false">IF($A1019="","",INDEX(Workers!$O$5:$O$2004,MATCH($A1019,Workers!$A$5:$A$2004,0))&amp;"")</f>
        <v/>
      </c>
      <c r="T1019" s="24" t="str">
        <f aca="false">IF($A1019="","",INDEX(Workers!$P$5:$P$2004,MATCH($A1019,Workers!$A$5:$A$2004,0))&amp;"")</f>
        <v/>
      </c>
      <c r="U1019" s="24" t="str">
        <f aca="false">IF($A1019="","",INDEX(Workers!$H$5:$H$2004,MATCH($A1019,Workers!$A$5:$A$2004,0))&amp;"")</f>
        <v/>
      </c>
    </row>
    <row r="1020" customFormat="false" ht="15" hidden="false" customHeight="false" outlineLevel="0" collapsed="false">
      <c r="A1020" s="24" t="str">
        <f aca="false">IFERROR(INDEX(Workers!$A$5:$A$2004,MATCH(ROW()-4,Workers!$U$5:$U$2004,0)),"")</f>
        <v/>
      </c>
      <c r="B1020" s="24" t="str">
        <f aca="false">IF($A1020="","",INDEX(Workers!$B$5:$B$2004,MATCH($A1020,Workers!$A$5:$A$2004,0)))</f>
        <v/>
      </c>
      <c r="C1020" s="24" t="str">
        <f aca="false">IF($A1020="","",INDEX(Workers!$E$5:$E$2004,MATCH($A1020,Workers!$A$5:$A$2004,0)))</f>
        <v/>
      </c>
      <c r="D1020" s="24" t="str">
        <f aca="false">IF($A1020="","",INDEX(Workers!$K$5:$K$2004,MATCH($A1020,Workers!$A$5:$A$2004,0)))</f>
        <v/>
      </c>
      <c r="E1020" s="25" t="str">
        <f aca="false">IF($A1020="","",SUMIFS(Timesheet!$E$5:$E$3004,Timesheet!$D$5:$D$3004,$A1020,Timesheet!$A$5:$A$3004,"&gt;="&amp;Settings!$B$8,Timesheet!$A$5:$A$3004,"&lt;="&amp;Settings!$B$9))</f>
        <v/>
      </c>
      <c r="F1020" s="25" t="str">
        <f aca="false">IF($A1020="","",SUMIFS(Timesheet!$F$5:$F$3004,Timesheet!$D$5:$D$3004,$A1020,Timesheet!$A$5:$A$3004,"&gt;="&amp;Settings!$B$8,Timesheet!$A$5:$A$3004,"&lt;="&amp;Settings!$B$9))</f>
        <v/>
      </c>
      <c r="G1020" s="25" t="str">
        <f aca="false">IF($A1020="","",SUMIFS(Timesheet!$G$5:$G$3004,Timesheet!$D$5:$D$3004,$A1020,Timesheet!$A$5:$A$3004,"&gt;="&amp;Settings!$B$8,Timesheet!$A$5:$A$3004,"&lt;="&amp;Settings!$B$9))</f>
        <v/>
      </c>
      <c r="H1020" s="25" t="str">
        <f aca="false">IF($A1020="","",IF(D1020="Monthly",MAX(0,Settings!$B$11-E1020),0))</f>
        <v/>
      </c>
      <c r="I1020" s="26" t="str">
        <f aca="false">IF($A1020="","",N(INDEX(Workers!$L$5:$L$2004,MATCH($A1020,Workers!$A$5:$A$2004,0))))</f>
        <v/>
      </c>
      <c r="J1020" s="26" t="str">
        <f aca="false">IF($A1020="","",N(INDEX(Workers!$M$5:$M$2004,MATCH($A1020,Workers!$A$5:$A$2004,0))))</f>
        <v/>
      </c>
      <c r="K1020" s="26" t="str">
        <f aca="false">IF($A1020="","",IF(D1020="Monthly",ROUND(MAX(0,(I1020+J1020)-(I1020+J1020)/Settings!$B$10*H1020),2),0))</f>
        <v/>
      </c>
      <c r="L1020" s="26" t="str">
        <f aca="false">IF($A1020="","",IF(D1020="Hourly",ROUND(F1020*N(INDEX(Workers!$N$5:$N$2004,MATCH($A1020,Workers!$A$5:$A$2004,0))),2),0))</f>
        <v/>
      </c>
      <c r="M1020" s="26" t="str">
        <f aca="false">IF($A1020="","",ROUND(G1020*IF(D1020="Hourly",N(INDEX(Workers!$N$5:$N$2004,MATCH($A1020,Workers!$A$5:$A$2004,0))),I1020/Settings!$B$10/Settings!$B$12)*Settings!$B$13,2))</f>
        <v/>
      </c>
      <c r="N1020" s="26" t="str">
        <f aca="false">IF($A1020="","",K1020+L1020+M1020)</f>
        <v/>
      </c>
      <c r="O1020" s="26" t="str">
        <f aca="false">IF($A1020="","",SUMIFS(Deductions!$D$5:$D$2000,Deductions!$B$5:$B$2000,$A1020,Deductions!$C$5:$C$2000,"Advance",Deductions!$E$5:$E$2000,"&gt;="&amp;Settings!$B$8,Deductions!$E$5:$E$2000,"&lt;="&amp;Settings!$B$9))</f>
        <v/>
      </c>
      <c r="P1020" s="26" t="str">
        <f aca="false">IF($A1020="","",SUMIFS(Deductions!$D$5:$D$2000,Deductions!$B$5:$B$2000,$A1020,Deductions!$E$5:$E$2000,"&gt;="&amp;Settings!$B$8,Deductions!$E$5:$E$2000,"&lt;="&amp;Settings!$B$9)-O1020)</f>
        <v/>
      </c>
      <c r="Q1020" s="26" t="str">
        <f aca="false">IF($A1020="","",O1020+P1020)</f>
        <v/>
      </c>
      <c r="R1020" s="23" t="str">
        <f aca="false">IF($A1020="","",N1020-Q1020)</f>
        <v/>
      </c>
      <c r="S1020" s="24" t="str">
        <f aca="false">IF($A1020="","",INDEX(Workers!$O$5:$O$2004,MATCH($A1020,Workers!$A$5:$A$2004,0))&amp;"")</f>
        <v/>
      </c>
      <c r="T1020" s="24" t="str">
        <f aca="false">IF($A1020="","",INDEX(Workers!$P$5:$P$2004,MATCH($A1020,Workers!$A$5:$A$2004,0))&amp;"")</f>
        <v/>
      </c>
      <c r="U1020" s="24" t="str">
        <f aca="false">IF($A1020="","",INDEX(Workers!$H$5:$H$2004,MATCH($A1020,Workers!$A$5:$A$2004,0))&amp;"")</f>
        <v/>
      </c>
    </row>
    <row r="1021" customFormat="false" ht="15" hidden="false" customHeight="false" outlineLevel="0" collapsed="false">
      <c r="A1021" s="24" t="str">
        <f aca="false">IFERROR(INDEX(Workers!$A$5:$A$2004,MATCH(ROW()-4,Workers!$U$5:$U$2004,0)),"")</f>
        <v/>
      </c>
      <c r="B1021" s="24" t="str">
        <f aca="false">IF($A1021="","",INDEX(Workers!$B$5:$B$2004,MATCH($A1021,Workers!$A$5:$A$2004,0)))</f>
        <v/>
      </c>
      <c r="C1021" s="24" t="str">
        <f aca="false">IF($A1021="","",INDEX(Workers!$E$5:$E$2004,MATCH($A1021,Workers!$A$5:$A$2004,0)))</f>
        <v/>
      </c>
      <c r="D1021" s="24" t="str">
        <f aca="false">IF($A1021="","",INDEX(Workers!$K$5:$K$2004,MATCH($A1021,Workers!$A$5:$A$2004,0)))</f>
        <v/>
      </c>
      <c r="E1021" s="25" t="str">
        <f aca="false">IF($A1021="","",SUMIFS(Timesheet!$E$5:$E$3004,Timesheet!$D$5:$D$3004,$A1021,Timesheet!$A$5:$A$3004,"&gt;="&amp;Settings!$B$8,Timesheet!$A$5:$A$3004,"&lt;="&amp;Settings!$B$9))</f>
        <v/>
      </c>
      <c r="F1021" s="25" t="str">
        <f aca="false">IF($A1021="","",SUMIFS(Timesheet!$F$5:$F$3004,Timesheet!$D$5:$D$3004,$A1021,Timesheet!$A$5:$A$3004,"&gt;="&amp;Settings!$B$8,Timesheet!$A$5:$A$3004,"&lt;="&amp;Settings!$B$9))</f>
        <v/>
      </c>
      <c r="G1021" s="25" t="str">
        <f aca="false">IF($A1021="","",SUMIFS(Timesheet!$G$5:$G$3004,Timesheet!$D$5:$D$3004,$A1021,Timesheet!$A$5:$A$3004,"&gt;="&amp;Settings!$B$8,Timesheet!$A$5:$A$3004,"&lt;="&amp;Settings!$B$9))</f>
        <v/>
      </c>
      <c r="H1021" s="25" t="str">
        <f aca="false">IF($A1021="","",IF(D1021="Monthly",MAX(0,Settings!$B$11-E1021),0))</f>
        <v/>
      </c>
      <c r="I1021" s="26" t="str">
        <f aca="false">IF($A1021="","",N(INDEX(Workers!$L$5:$L$2004,MATCH($A1021,Workers!$A$5:$A$2004,0))))</f>
        <v/>
      </c>
      <c r="J1021" s="26" t="str">
        <f aca="false">IF($A1021="","",N(INDEX(Workers!$M$5:$M$2004,MATCH($A1021,Workers!$A$5:$A$2004,0))))</f>
        <v/>
      </c>
      <c r="K1021" s="26" t="str">
        <f aca="false">IF($A1021="","",IF(D1021="Monthly",ROUND(MAX(0,(I1021+J1021)-(I1021+J1021)/Settings!$B$10*H1021),2),0))</f>
        <v/>
      </c>
      <c r="L1021" s="26" t="str">
        <f aca="false">IF($A1021="","",IF(D1021="Hourly",ROUND(F1021*N(INDEX(Workers!$N$5:$N$2004,MATCH($A1021,Workers!$A$5:$A$2004,0))),2),0))</f>
        <v/>
      </c>
      <c r="M1021" s="26" t="str">
        <f aca="false">IF($A1021="","",ROUND(G1021*IF(D1021="Hourly",N(INDEX(Workers!$N$5:$N$2004,MATCH($A1021,Workers!$A$5:$A$2004,0))),I1021/Settings!$B$10/Settings!$B$12)*Settings!$B$13,2))</f>
        <v/>
      </c>
      <c r="N1021" s="26" t="str">
        <f aca="false">IF($A1021="","",K1021+L1021+M1021)</f>
        <v/>
      </c>
      <c r="O1021" s="26" t="str">
        <f aca="false">IF($A1021="","",SUMIFS(Deductions!$D$5:$D$2000,Deductions!$B$5:$B$2000,$A1021,Deductions!$C$5:$C$2000,"Advance",Deductions!$E$5:$E$2000,"&gt;="&amp;Settings!$B$8,Deductions!$E$5:$E$2000,"&lt;="&amp;Settings!$B$9))</f>
        <v/>
      </c>
      <c r="P1021" s="26" t="str">
        <f aca="false">IF($A1021="","",SUMIFS(Deductions!$D$5:$D$2000,Deductions!$B$5:$B$2000,$A1021,Deductions!$E$5:$E$2000,"&gt;="&amp;Settings!$B$8,Deductions!$E$5:$E$2000,"&lt;="&amp;Settings!$B$9)-O1021)</f>
        <v/>
      </c>
      <c r="Q1021" s="26" t="str">
        <f aca="false">IF($A1021="","",O1021+P1021)</f>
        <v/>
      </c>
      <c r="R1021" s="23" t="str">
        <f aca="false">IF($A1021="","",N1021-Q1021)</f>
        <v/>
      </c>
      <c r="S1021" s="24" t="str">
        <f aca="false">IF($A1021="","",INDEX(Workers!$O$5:$O$2004,MATCH($A1021,Workers!$A$5:$A$2004,0))&amp;"")</f>
        <v/>
      </c>
      <c r="T1021" s="24" t="str">
        <f aca="false">IF($A1021="","",INDEX(Workers!$P$5:$P$2004,MATCH($A1021,Workers!$A$5:$A$2004,0))&amp;"")</f>
        <v/>
      </c>
      <c r="U1021" s="24" t="str">
        <f aca="false">IF($A1021="","",INDEX(Workers!$H$5:$H$2004,MATCH($A1021,Workers!$A$5:$A$2004,0))&amp;"")</f>
        <v/>
      </c>
    </row>
    <row r="1022" customFormat="false" ht="15" hidden="false" customHeight="false" outlineLevel="0" collapsed="false">
      <c r="A1022" s="24" t="str">
        <f aca="false">IFERROR(INDEX(Workers!$A$5:$A$2004,MATCH(ROW()-4,Workers!$U$5:$U$2004,0)),"")</f>
        <v/>
      </c>
      <c r="B1022" s="24" t="str">
        <f aca="false">IF($A1022="","",INDEX(Workers!$B$5:$B$2004,MATCH($A1022,Workers!$A$5:$A$2004,0)))</f>
        <v/>
      </c>
      <c r="C1022" s="24" t="str">
        <f aca="false">IF($A1022="","",INDEX(Workers!$E$5:$E$2004,MATCH($A1022,Workers!$A$5:$A$2004,0)))</f>
        <v/>
      </c>
      <c r="D1022" s="24" t="str">
        <f aca="false">IF($A1022="","",INDEX(Workers!$K$5:$K$2004,MATCH($A1022,Workers!$A$5:$A$2004,0)))</f>
        <v/>
      </c>
      <c r="E1022" s="25" t="str">
        <f aca="false">IF($A1022="","",SUMIFS(Timesheet!$E$5:$E$3004,Timesheet!$D$5:$D$3004,$A1022,Timesheet!$A$5:$A$3004,"&gt;="&amp;Settings!$B$8,Timesheet!$A$5:$A$3004,"&lt;="&amp;Settings!$B$9))</f>
        <v/>
      </c>
      <c r="F1022" s="25" t="str">
        <f aca="false">IF($A1022="","",SUMIFS(Timesheet!$F$5:$F$3004,Timesheet!$D$5:$D$3004,$A1022,Timesheet!$A$5:$A$3004,"&gt;="&amp;Settings!$B$8,Timesheet!$A$5:$A$3004,"&lt;="&amp;Settings!$B$9))</f>
        <v/>
      </c>
      <c r="G1022" s="25" t="str">
        <f aca="false">IF($A1022="","",SUMIFS(Timesheet!$G$5:$G$3004,Timesheet!$D$5:$D$3004,$A1022,Timesheet!$A$5:$A$3004,"&gt;="&amp;Settings!$B$8,Timesheet!$A$5:$A$3004,"&lt;="&amp;Settings!$B$9))</f>
        <v/>
      </c>
      <c r="H1022" s="25" t="str">
        <f aca="false">IF($A1022="","",IF(D1022="Monthly",MAX(0,Settings!$B$11-E1022),0))</f>
        <v/>
      </c>
      <c r="I1022" s="26" t="str">
        <f aca="false">IF($A1022="","",N(INDEX(Workers!$L$5:$L$2004,MATCH($A1022,Workers!$A$5:$A$2004,0))))</f>
        <v/>
      </c>
      <c r="J1022" s="26" t="str">
        <f aca="false">IF($A1022="","",N(INDEX(Workers!$M$5:$M$2004,MATCH($A1022,Workers!$A$5:$A$2004,0))))</f>
        <v/>
      </c>
      <c r="K1022" s="26" t="str">
        <f aca="false">IF($A1022="","",IF(D1022="Monthly",ROUND(MAX(0,(I1022+J1022)-(I1022+J1022)/Settings!$B$10*H1022),2),0))</f>
        <v/>
      </c>
      <c r="L1022" s="26" t="str">
        <f aca="false">IF($A1022="","",IF(D1022="Hourly",ROUND(F1022*N(INDEX(Workers!$N$5:$N$2004,MATCH($A1022,Workers!$A$5:$A$2004,0))),2),0))</f>
        <v/>
      </c>
      <c r="M1022" s="26" t="str">
        <f aca="false">IF($A1022="","",ROUND(G1022*IF(D1022="Hourly",N(INDEX(Workers!$N$5:$N$2004,MATCH($A1022,Workers!$A$5:$A$2004,0))),I1022/Settings!$B$10/Settings!$B$12)*Settings!$B$13,2))</f>
        <v/>
      </c>
      <c r="N1022" s="26" t="str">
        <f aca="false">IF($A1022="","",K1022+L1022+M1022)</f>
        <v/>
      </c>
      <c r="O1022" s="26" t="str">
        <f aca="false">IF($A1022="","",SUMIFS(Deductions!$D$5:$D$2000,Deductions!$B$5:$B$2000,$A1022,Deductions!$C$5:$C$2000,"Advance",Deductions!$E$5:$E$2000,"&gt;="&amp;Settings!$B$8,Deductions!$E$5:$E$2000,"&lt;="&amp;Settings!$B$9))</f>
        <v/>
      </c>
      <c r="P1022" s="26" t="str">
        <f aca="false">IF($A1022="","",SUMIFS(Deductions!$D$5:$D$2000,Deductions!$B$5:$B$2000,$A1022,Deductions!$E$5:$E$2000,"&gt;="&amp;Settings!$B$8,Deductions!$E$5:$E$2000,"&lt;="&amp;Settings!$B$9)-O1022)</f>
        <v/>
      </c>
      <c r="Q1022" s="26" t="str">
        <f aca="false">IF($A1022="","",O1022+P1022)</f>
        <v/>
      </c>
      <c r="R1022" s="23" t="str">
        <f aca="false">IF($A1022="","",N1022-Q1022)</f>
        <v/>
      </c>
      <c r="S1022" s="24" t="str">
        <f aca="false">IF($A1022="","",INDEX(Workers!$O$5:$O$2004,MATCH($A1022,Workers!$A$5:$A$2004,0))&amp;"")</f>
        <v/>
      </c>
      <c r="T1022" s="24" t="str">
        <f aca="false">IF($A1022="","",INDEX(Workers!$P$5:$P$2004,MATCH($A1022,Workers!$A$5:$A$2004,0))&amp;"")</f>
        <v/>
      </c>
      <c r="U1022" s="24" t="str">
        <f aca="false">IF($A1022="","",INDEX(Workers!$H$5:$H$2004,MATCH($A1022,Workers!$A$5:$A$2004,0))&amp;"")</f>
        <v/>
      </c>
    </row>
    <row r="1023" customFormat="false" ht="15" hidden="false" customHeight="false" outlineLevel="0" collapsed="false">
      <c r="A1023" s="24" t="str">
        <f aca="false">IFERROR(INDEX(Workers!$A$5:$A$2004,MATCH(ROW()-4,Workers!$U$5:$U$2004,0)),"")</f>
        <v/>
      </c>
      <c r="B1023" s="24" t="str">
        <f aca="false">IF($A1023="","",INDEX(Workers!$B$5:$B$2004,MATCH($A1023,Workers!$A$5:$A$2004,0)))</f>
        <v/>
      </c>
      <c r="C1023" s="24" t="str">
        <f aca="false">IF($A1023="","",INDEX(Workers!$E$5:$E$2004,MATCH($A1023,Workers!$A$5:$A$2004,0)))</f>
        <v/>
      </c>
      <c r="D1023" s="24" t="str">
        <f aca="false">IF($A1023="","",INDEX(Workers!$K$5:$K$2004,MATCH($A1023,Workers!$A$5:$A$2004,0)))</f>
        <v/>
      </c>
      <c r="E1023" s="25" t="str">
        <f aca="false">IF($A1023="","",SUMIFS(Timesheet!$E$5:$E$3004,Timesheet!$D$5:$D$3004,$A1023,Timesheet!$A$5:$A$3004,"&gt;="&amp;Settings!$B$8,Timesheet!$A$5:$A$3004,"&lt;="&amp;Settings!$B$9))</f>
        <v/>
      </c>
      <c r="F1023" s="25" t="str">
        <f aca="false">IF($A1023="","",SUMIFS(Timesheet!$F$5:$F$3004,Timesheet!$D$5:$D$3004,$A1023,Timesheet!$A$5:$A$3004,"&gt;="&amp;Settings!$B$8,Timesheet!$A$5:$A$3004,"&lt;="&amp;Settings!$B$9))</f>
        <v/>
      </c>
      <c r="G1023" s="25" t="str">
        <f aca="false">IF($A1023="","",SUMIFS(Timesheet!$G$5:$G$3004,Timesheet!$D$5:$D$3004,$A1023,Timesheet!$A$5:$A$3004,"&gt;="&amp;Settings!$B$8,Timesheet!$A$5:$A$3004,"&lt;="&amp;Settings!$B$9))</f>
        <v/>
      </c>
      <c r="H1023" s="25" t="str">
        <f aca="false">IF($A1023="","",IF(D1023="Monthly",MAX(0,Settings!$B$11-E1023),0))</f>
        <v/>
      </c>
      <c r="I1023" s="26" t="str">
        <f aca="false">IF($A1023="","",N(INDEX(Workers!$L$5:$L$2004,MATCH($A1023,Workers!$A$5:$A$2004,0))))</f>
        <v/>
      </c>
      <c r="J1023" s="26" t="str">
        <f aca="false">IF($A1023="","",N(INDEX(Workers!$M$5:$M$2004,MATCH($A1023,Workers!$A$5:$A$2004,0))))</f>
        <v/>
      </c>
      <c r="K1023" s="26" t="str">
        <f aca="false">IF($A1023="","",IF(D1023="Monthly",ROUND(MAX(0,(I1023+J1023)-(I1023+J1023)/Settings!$B$10*H1023),2),0))</f>
        <v/>
      </c>
      <c r="L1023" s="26" t="str">
        <f aca="false">IF($A1023="","",IF(D1023="Hourly",ROUND(F1023*N(INDEX(Workers!$N$5:$N$2004,MATCH($A1023,Workers!$A$5:$A$2004,0))),2),0))</f>
        <v/>
      </c>
      <c r="M1023" s="26" t="str">
        <f aca="false">IF($A1023="","",ROUND(G1023*IF(D1023="Hourly",N(INDEX(Workers!$N$5:$N$2004,MATCH($A1023,Workers!$A$5:$A$2004,0))),I1023/Settings!$B$10/Settings!$B$12)*Settings!$B$13,2))</f>
        <v/>
      </c>
      <c r="N1023" s="26" t="str">
        <f aca="false">IF($A1023="","",K1023+L1023+M1023)</f>
        <v/>
      </c>
      <c r="O1023" s="26" t="str">
        <f aca="false">IF($A1023="","",SUMIFS(Deductions!$D$5:$D$2000,Deductions!$B$5:$B$2000,$A1023,Deductions!$C$5:$C$2000,"Advance",Deductions!$E$5:$E$2000,"&gt;="&amp;Settings!$B$8,Deductions!$E$5:$E$2000,"&lt;="&amp;Settings!$B$9))</f>
        <v/>
      </c>
      <c r="P1023" s="26" t="str">
        <f aca="false">IF($A1023="","",SUMIFS(Deductions!$D$5:$D$2000,Deductions!$B$5:$B$2000,$A1023,Deductions!$E$5:$E$2000,"&gt;="&amp;Settings!$B$8,Deductions!$E$5:$E$2000,"&lt;="&amp;Settings!$B$9)-O1023)</f>
        <v/>
      </c>
      <c r="Q1023" s="26" t="str">
        <f aca="false">IF($A1023="","",O1023+P1023)</f>
        <v/>
      </c>
      <c r="R1023" s="23" t="str">
        <f aca="false">IF($A1023="","",N1023-Q1023)</f>
        <v/>
      </c>
      <c r="S1023" s="24" t="str">
        <f aca="false">IF($A1023="","",INDEX(Workers!$O$5:$O$2004,MATCH($A1023,Workers!$A$5:$A$2004,0))&amp;"")</f>
        <v/>
      </c>
      <c r="T1023" s="24" t="str">
        <f aca="false">IF($A1023="","",INDEX(Workers!$P$5:$P$2004,MATCH($A1023,Workers!$A$5:$A$2004,0))&amp;"")</f>
        <v/>
      </c>
      <c r="U1023" s="24" t="str">
        <f aca="false">IF($A1023="","",INDEX(Workers!$H$5:$H$2004,MATCH($A1023,Workers!$A$5:$A$2004,0))&amp;"")</f>
        <v/>
      </c>
    </row>
    <row r="1024" customFormat="false" ht="15" hidden="false" customHeight="false" outlineLevel="0" collapsed="false">
      <c r="A1024" s="24" t="str">
        <f aca="false">IFERROR(INDEX(Workers!$A$5:$A$2004,MATCH(ROW()-4,Workers!$U$5:$U$2004,0)),"")</f>
        <v/>
      </c>
      <c r="B1024" s="24" t="str">
        <f aca="false">IF($A1024="","",INDEX(Workers!$B$5:$B$2004,MATCH($A1024,Workers!$A$5:$A$2004,0)))</f>
        <v/>
      </c>
      <c r="C1024" s="24" t="str">
        <f aca="false">IF($A1024="","",INDEX(Workers!$E$5:$E$2004,MATCH($A1024,Workers!$A$5:$A$2004,0)))</f>
        <v/>
      </c>
      <c r="D1024" s="24" t="str">
        <f aca="false">IF($A1024="","",INDEX(Workers!$K$5:$K$2004,MATCH($A1024,Workers!$A$5:$A$2004,0)))</f>
        <v/>
      </c>
      <c r="E1024" s="25" t="str">
        <f aca="false">IF($A1024="","",SUMIFS(Timesheet!$E$5:$E$3004,Timesheet!$D$5:$D$3004,$A1024,Timesheet!$A$5:$A$3004,"&gt;="&amp;Settings!$B$8,Timesheet!$A$5:$A$3004,"&lt;="&amp;Settings!$B$9))</f>
        <v/>
      </c>
      <c r="F1024" s="25" t="str">
        <f aca="false">IF($A1024="","",SUMIFS(Timesheet!$F$5:$F$3004,Timesheet!$D$5:$D$3004,$A1024,Timesheet!$A$5:$A$3004,"&gt;="&amp;Settings!$B$8,Timesheet!$A$5:$A$3004,"&lt;="&amp;Settings!$B$9))</f>
        <v/>
      </c>
      <c r="G1024" s="25" t="str">
        <f aca="false">IF($A1024="","",SUMIFS(Timesheet!$G$5:$G$3004,Timesheet!$D$5:$D$3004,$A1024,Timesheet!$A$5:$A$3004,"&gt;="&amp;Settings!$B$8,Timesheet!$A$5:$A$3004,"&lt;="&amp;Settings!$B$9))</f>
        <v/>
      </c>
      <c r="H1024" s="25" t="str">
        <f aca="false">IF($A1024="","",IF(D1024="Monthly",MAX(0,Settings!$B$11-E1024),0))</f>
        <v/>
      </c>
      <c r="I1024" s="26" t="str">
        <f aca="false">IF($A1024="","",N(INDEX(Workers!$L$5:$L$2004,MATCH($A1024,Workers!$A$5:$A$2004,0))))</f>
        <v/>
      </c>
      <c r="J1024" s="26" t="str">
        <f aca="false">IF($A1024="","",N(INDEX(Workers!$M$5:$M$2004,MATCH($A1024,Workers!$A$5:$A$2004,0))))</f>
        <v/>
      </c>
      <c r="K1024" s="26" t="str">
        <f aca="false">IF($A1024="","",IF(D1024="Monthly",ROUND(MAX(0,(I1024+J1024)-(I1024+J1024)/Settings!$B$10*H1024),2),0))</f>
        <v/>
      </c>
      <c r="L1024" s="26" t="str">
        <f aca="false">IF($A1024="","",IF(D1024="Hourly",ROUND(F1024*N(INDEX(Workers!$N$5:$N$2004,MATCH($A1024,Workers!$A$5:$A$2004,0))),2),0))</f>
        <v/>
      </c>
      <c r="M1024" s="26" t="str">
        <f aca="false">IF($A1024="","",ROUND(G1024*IF(D1024="Hourly",N(INDEX(Workers!$N$5:$N$2004,MATCH($A1024,Workers!$A$5:$A$2004,0))),I1024/Settings!$B$10/Settings!$B$12)*Settings!$B$13,2))</f>
        <v/>
      </c>
      <c r="N1024" s="26" t="str">
        <f aca="false">IF($A1024="","",K1024+L1024+M1024)</f>
        <v/>
      </c>
      <c r="O1024" s="26" t="str">
        <f aca="false">IF($A1024="","",SUMIFS(Deductions!$D$5:$D$2000,Deductions!$B$5:$B$2000,$A1024,Deductions!$C$5:$C$2000,"Advance",Deductions!$E$5:$E$2000,"&gt;="&amp;Settings!$B$8,Deductions!$E$5:$E$2000,"&lt;="&amp;Settings!$B$9))</f>
        <v/>
      </c>
      <c r="P1024" s="26" t="str">
        <f aca="false">IF($A1024="","",SUMIFS(Deductions!$D$5:$D$2000,Deductions!$B$5:$B$2000,$A1024,Deductions!$E$5:$E$2000,"&gt;="&amp;Settings!$B$8,Deductions!$E$5:$E$2000,"&lt;="&amp;Settings!$B$9)-O1024)</f>
        <v/>
      </c>
      <c r="Q1024" s="26" t="str">
        <f aca="false">IF($A1024="","",O1024+P1024)</f>
        <v/>
      </c>
      <c r="R1024" s="23" t="str">
        <f aca="false">IF($A1024="","",N1024-Q1024)</f>
        <v/>
      </c>
      <c r="S1024" s="24" t="str">
        <f aca="false">IF($A1024="","",INDEX(Workers!$O$5:$O$2004,MATCH($A1024,Workers!$A$5:$A$2004,0))&amp;"")</f>
        <v/>
      </c>
      <c r="T1024" s="24" t="str">
        <f aca="false">IF($A1024="","",INDEX(Workers!$P$5:$P$2004,MATCH($A1024,Workers!$A$5:$A$2004,0))&amp;"")</f>
        <v/>
      </c>
      <c r="U1024" s="24" t="str">
        <f aca="false">IF($A1024="","",INDEX(Workers!$H$5:$H$2004,MATCH($A1024,Workers!$A$5:$A$2004,0))&amp;"")</f>
        <v/>
      </c>
    </row>
    <row r="1025" customFormat="false" ht="15" hidden="false" customHeight="false" outlineLevel="0" collapsed="false">
      <c r="A1025" s="24" t="str">
        <f aca="false">IFERROR(INDEX(Workers!$A$5:$A$2004,MATCH(ROW()-4,Workers!$U$5:$U$2004,0)),"")</f>
        <v/>
      </c>
      <c r="B1025" s="24" t="str">
        <f aca="false">IF($A1025="","",INDEX(Workers!$B$5:$B$2004,MATCH($A1025,Workers!$A$5:$A$2004,0)))</f>
        <v/>
      </c>
      <c r="C1025" s="24" t="str">
        <f aca="false">IF($A1025="","",INDEX(Workers!$E$5:$E$2004,MATCH($A1025,Workers!$A$5:$A$2004,0)))</f>
        <v/>
      </c>
      <c r="D1025" s="24" t="str">
        <f aca="false">IF($A1025="","",INDEX(Workers!$K$5:$K$2004,MATCH($A1025,Workers!$A$5:$A$2004,0)))</f>
        <v/>
      </c>
      <c r="E1025" s="25" t="str">
        <f aca="false">IF($A1025="","",SUMIFS(Timesheet!$E$5:$E$3004,Timesheet!$D$5:$D$3004,$A1025,Timesheet!$A$5:$A$3004,"&gt;="&amp;Settings!$B$8,Timesheet!$A$5:$A$3004,"&lt;="&amp;Settings!$B$9))</f>
        <v/>
      </c>
      <c r="F1025" s="25" t="str">
        <f aca="false">IF($A1025="","",SUMIFS(Timesheet!$F$5:$F$3004,Timesheet!$D$5:$D$3004,$A1025,Timesheet!$A$5:$A$3004,"&gt;="&amp;Settings!$B$8,Timesheet!$A$5:$A$3004,"&lt;="&amp;Settings!$B$9))</f>
        <v/>
      </c>
      <c r="G1025" s="25" t="str">
        <f aca="false">IF($A1025="","",SUMIFS(Timesheet!$G$5:$G$3004,Timesheet!$D$5:$D$3004,$A1025,Timesheet!$A$5:$A$3004,"&gt;="&amp;Settings!$B$8,Timesheet!$A$5:$A$3004,"&lt;="&amp;Settings!$B$9))</f>
        <v/>
      </c>
      <c r="H1025" s="25" t="str">
        <f aca="false">IF($A1025="","",IF(D1025="Monthly",MAX(0,Settings!$B$11-E1025),0))</f>
        <v/>
      </c>
      <c r="I1025" s="26" t="str">
        <f aca="false">IF($A1025="","",N(INDEX(Workers!$L$5:$L$2004,MATCH($A1025,Workers!$A$5:$A$2004,0))))</f>
        <v/>
      </c>
      <c r="J1025" s="26" t="str">
        <f aca="false">IF($A1025="","",N(INDEX(Workers!$M$5:$M$2004,MATCH($A1025,Workers!$A$5:$A$2004,0))))</f>
        <v/>
      </c>
      <c r="K1025" s="26" t="str">
        <f aca="false">IF($A1025="","",IF(D1025="Monthly",ROUND(MAX(0,(I1025+J1025)-(I1025+J1025)/Settings!$B$10*H1025),2),0))</f>
        <v/>
      </c>
      <c r="L1025" s="26" t="str">
        <f aca="false">IF($A1025="","",IF(D1025="Hourly",ROUND(F1025*N(INDEX(Workers!$N$5:$N$2004,MATCH($A1025,Workers!$A$5:$A$2004,0))),2),0))</f>
        <v/>
      </c>
      <c r="M1025" s="26" t="str">
        <f aca="false">IF($A1025="","",ROUND(G1025*IF(D1025="Hourly",N(INDEX(Workers!$N$5:$N$2004,MATCH($A1025,Workers!$A$5:$A$2004,0))),I1025/Settings!$B$10/Settings!$B$12)*Settings!$B$13,2))</f>
        <v/>
      </c>
      <c r="N1025" s="26" t="str">
        <f aca="false">IF($A1025="","",K1025+L1025+M1025)</f>
        <v/>
      </c>
      <c r="O1025" s="26" t="str">
        <f aca="false">IF($A1025="","",SUMIFS(Deductions!$D$5:$D$2000,Deductions!$B$5:$B$2000,$A1025,Deductions!$C$5:$C$2000,"Advance",Deductions!$E$5:$E$2000,"&gt;="&amp;Settings!$B$8,Deductions!$E$5:$E$2000,"&lt;="&amp;Settings!$B$9))</f>
        <v/>
      </c>
      <c r="P1025" s="26" t="str">
        <f aca="false">IF($A1025="","",SUMIFS(Deductions!$D$5:$D$2000,Deductions!$B$5:$B$2000,$A1025,Deductions!$E$5:$E$2000,"&gt;="&amp;Settings!$B$8,Deductions!$E$5:$E$2000,"&lt;="&amp;Settings!$B$9)-O1025)</f>
        <v/>
      </c>
      <c r="Q1025" s="26" t="str">
        <f aca="false">IF($A1025="","",O1025+P1025)</f>
        <v/>
      </c>
      <c r="R1025" s="23" t="str">
        <f aca="false">IF($A1025="","",N1025-Q1025)</f>
        <v/>
      </c>
      <c r="S1025" s="24" t="str">
        <f aca="false">IF($A1025="","",INDEX(Workers!$O$5:$O$2004,MATCH($A1025,Workers!$A$5:$A$2004,0))&amp;"")</f>
        <v/>
      </c>
      <c r="T1025" s="24" t="str">
        <f aca="false">IF($A1025="","",INDEX(Workers!$P$5:$P$2004,MATCH($A1025,Workers!$A$5:$A$2004,0))&amp;"")</f>
        <v/>
      </c>
      <c r="U1025" s="24" t="str">
        <f aca="false">IF($A1025="","",INDEX(Workers!$H$5:$H$2004,MATCH($A1025,Workers!$A$5:$A$2004,0))&amp;"")</f>
        <v/>
      </c>
    </row>
    <row r="1026" customFormat="false" ht="15" hidden="false" customHeight="false" outlineLevel="0" collapsed="false">
      <c r="A1026" s="24" t="str">
        <f aca="false">IFERROR(INDEX(Workers!$A$5:$A$2004,MATCH(ROW()-4,Workers!$U$5:$U$2004,0)),"")</f>
        <v/>
      </c>
      <c r="B1026" s="24" t="str">
        <f aca="false">IF($A1026="","",INDEX(Workers!$B$5:$B$2004,MATCH($A1026,Workers!$A$5:$A$2004,0)))</f>
        <v/>
      </c>
      <c r="C1026" s="24" t="str">
        <f aca="false">IF($A1026="","",INDEX(Workers!$E$5:$E$2004,MATCH($A1026,Workers!$A$5:$A$2004,0)))</f>
        <v/>
      </c>
      <c r="D1026" s="24" t="str">
        <f aca="false">IF($A1026="","",INDEX(Workers!$K$5:$K$2004,MATCH($A1026,Workers!$A$5:$A$2004,0)))</f>
        <v/>
      </c>
      <c r="E1026" s="25" t="str">
        <f aca="false">IF($A1026="","",SUMIFS(Timesheet!$E$5:$E$3004,Timesheet!$D$5:$D$3004,$A1026,Timesheet!$A$5:$A$3004,"&gt;="&amp;Settings!$B$8,Timesheet!$A$5:$A$3004,"&lt;="&amp;Settings!$B$9))</f>
        <v/>
      </c>
      <c r="F1026" s="25" t="str">
        <f aca="false">IF($A1026="","",SUMIFS(Timesheet!$F$5:$F$3004,Timesheet!$D$5:$D$3004,$A1026,Timesheet!$A$5:$A$3004,"&gt;="&amp;Settings!$B$8,Timesheet!$A$5:$A$3004,"&lt;="&amp;Settings!$B$9))</f>
        <v/>
      </c>
      <c r="G1026" s="25" t="str">
        <f aca="false">IF($A1026="","",SUMIFS(Timesheet!$G$5:$G$3004,Timesheet!$D$5:$D$3004,$A1026,Timesheet!$A$5:$A$3004,"&gt;="&amp;Settings!$B$8,Timesheet!$A$5:$A$3004,"&lt;="&amp;Settings!$B$9))</f>
        <v/>
      </c>
      <c r="H1026" s="25" t="str">
        <f aca="false">IF($A1026="","",IF(D1026="Monthly",MAX(0,Settings!$B$11-E1026),0))</f>
        <v/>
      </c>
      <c r="I1026" s="26" t="str">
        <f aca="false">IF($A1026="","",N(INDEX(Workers!$L$5:$L$2004,MATCH($A1026,Workers!$A$5:$A$2004,0))))</f>
        <v/>
      </c>
      <c r="J1026" s="26" t="str">
        <f aca="false">IF($A1026="","",N(INDEX(Workers!$M$5:$M$2004,MATCH($A1026,Workers!$A$5:$A$2004,0))))</f>
        <v/>
      </c>
      <c r="K1026" s="26" t="str">
        <f aca="false">IF($A1026="","",IF(D1026="Monthly",ROUND(MAX(0,(I1026+J1026)-(I1026+J1026)/Settings!$B$10*H1026),2),0))</f>
        <v/>
      </c>
      <c r="L1026" s="26" t="str">
        <f aca="false">IF($A1026="","",IF(D1026="Hourly",ROUND(F1026*N(INDEX(Workers!$N$5:$N$2004,MATCH($A1026,Workers!$A$5:$A$2004,0))),2),0))</f>
        <v/>
      </c>
      <c r="M1026" s="26" t="str">
        <f aca="false">IF($A1026="","",ROUND(G1026*IF(D1026="Hourly",N(INDEX(Workers!$N$5:$N$2004,MATCH($A1026,Workers!$A$5:$A$2004,0))),I1026/Settings!$B$10/Settings!$B$12)*Settings!$B$13,2))</f>
        <v/>
      </c>
      <c r="N1026" s="26" t="str">
        <f aca="false">IF($A1026="","",K1026+L1026+M1026)</f>
        <v/>
      </c>
      <c r="O1026" s="26" t="str">
        <f aca="false">IF($A1026="","",SUMIFS(Deductions!$D$5:$D$2000,Deductions!$B$5:$B$2000,$A1026,Deductions!$C$5:$C$2000,"Advance",Deductions!$E$5:$E$2000,"&gt;="&amp;Settings!$B$8,Deductions!$E$5:$E$2000,"&lt;="&amp;Settings!$B$9))</f>
        <v/>
      </c>
      <c r="P1026" s="26" t="str">
        <f aca="false">IF($A1026="","",SUMIFS(Deductions!$D$5:$D$2000,Deductions!$B$5:$B$2000,$A1026,Deductions!$E$5:$E$2000,"&gt;="&amp;Settings!$B$8,Deductions!$E$5:$E$2000,"&lt;="&amp;Settings!$B$9)-O1026)</f>
        <v/>
      </c>
      <c r="Q1026" s="26" t="str">
        <f aca="false">IF($A1026="","",O1026+P1026)</f>
        <v/>
      </c>
      <c r="R1026" s="23" t="str">
        <f aca="false">IF($A1026="","",N1026-Q1026)</f>
        <v/>
      </c>
      <c r="S1026" s="24" t="str">
        <f aca="false">IF($A1026="","",INDEX(Workers!$O$5:$O$2004,MATCH($A1026,Workers!$A$5:$A$2004,0))&amp;"")</f>
        <v/>
      </c>
      <c r="T1026" s="24" t="str">
        <f aca="false">IF($A1026="","",INDEX(Workers!$P$5:$P$2004,MATCH($A1026,Workers!$A$5:$A$2004,0))&amp;"")</f>
        <v/>
      </c>
      <c r="U1026" s="24" t="str">
        <f aca="false">IF($A1026="","",INDEX(Workers!$H$5:$H$2004,MATCH($A1026,Workers!$A$5:$A$2004,0))&amp;"")</f>
        <v/>
      </c>
    </row>
    <row r="1027" customFormat="false" ht="15" hidden="false" customHeight="false" outlineLevel="0" collapsed="false">
      <c r="A1027" s="24" t="str">
        <f aca="false">IFERROR(INDEX(Workers!$A$5:$A$2004,MATCH(ROW()-4,Workers!$U$5:$U$2004,0)),"")</f>
        <v/>
      </c>
      <c r="B1027" s="24" t="str">
        <f aca="false">IF($A1027="","",INDEX(Workers!$B$5:$B$2004,MATCH($A1027,Workers!$A$5:$A$2004,0)))</f>
        <v/>
      </c>
      <c r="C1027" s="24" t="str">
        <f aca="false">IF($A1027="","",INDEX(Workers!$E$5:$E$2004,MATCH($A1027,Workers!$A$5:$A$2004,0)))</f>
        <v/>
      </c>
      <c r="D1027" s="24" t="str">
        <f aca="false">IF($A1027="","",INDEX(Workers!$K$5:$K$2004,MATCH($A1027,Workers!$A$5:$A$2004,0)))</f>
        <v/>
      </c>
      <c r="E1027" s="25" t="str">
        <f aca="false">IF($A1027="","",SUMIFS(Timesheet!$E$5:$E$3004,Timesheet!$D$5:$D$3004,$A1027,Timesheet!$A$5:$A$3004,"&gt;="&amp;Settings!$B$8,Timesheet!$A$5:$A$3004,"&lt;="&amp;Settings!$B$9))</f>
        <v/>
      </c>
      <c r="F1027" s="25" t="str">
        <f aca="false">IF($A1027="","",SUMIFS(Timesheet!$F$5:$F$3004,Timesheet!$D$5:$D$3004,$A1027,Timesheet!$A$5:$A$3004,"&gt;="&amp;Settings!$B$8,Timesheet!$A$5:$A$3004,"&lt;="&amp;Settings!$B$9))</f>
        <v/>
      </c>
      <c r="G1027" s="25" t="str">
        <f aca="false">IF($A1027="","",SUMIFS(Timesheet!$G$5:$G$3004,Timesheet!$D$5:$D$3004,$A1027,Timesheet!$A$5:$A$3004,"&gt;="&amp;Settings!$B$8,Timesheet!$A$5:$A$3004,"&lt;="&amp;Settings!$B$9))</f>
        <v/>
      </c>
      <c r="H1027" s="25" t="str">
        <f aca="false">IF($A1027="","",IF(D1027="Monthly",MAX(0,Settings!$B$11-E1027),0))</f>
        <v/>
      </c>
      <c r="I1027" s="26" t="str">
        <f aca="false">IF($A1027="","",N(INDEX(Workers!$L$5:$L$2004,MATCH($A1027,Workers!$A$5:$A$2004,0))))</f>
        <v/>
      </c>
      <c r="J1027" s="26" t="str">
        <f aca="false">IF($A1027="","",N(INDEX(Workers!$M$5:$M$2004,MATCH($A1027,Workers!$A$5:$A$2004,0))))</f>
        <v/>
      </c>
      <c r="K1027" s="26" t="str">
        <f aca="false">IF($A1027="","",IF(D1027="Monthly",ROUND(MAX(0,(I1027+J1027)-(I1027+J1027)/Settings!$B$10*H1027),2),0))</f>
        <v/>
      </c>
      <c r="L1027" s="26" t="str">
        <f aca="false">IF($A1027="","",IF(D1027="Hourly",ROUND(F1027*N(INDEX(Workers!$N$5:$N$2004,MATCH($A1027,Workers!$A$5:$A$2004,0))),2),0))</f>
        <v/>
      </c>
      <c r="M1027" s="26" t="str">
        <f aca="false">IF($A1027="","",ROUND(G1027*IF(D1027="Hourly",N(INDEX(Workers!$N$5:$N$2004,MATCH($A1027,Workers!$A$5:$A$2004,0))),I1027/Settings!$B$10/Settings!$B$12)*Settings!$B$13,2))</f>
        <v/>
      </c>
      <c r="N1027" s="26" t="str">
        <f aca="false">IF($A1027="","",K1027+L1027+M1027)</f>
        <v/>
      </c>
      <c r="O1027" s="26" t="str">
        <f aca="false">IF($A1027="","",SUMIFS(Deductions!$D$5:$D$2000,Deductions!$B$5:$B$2000,$A1027,Deductions!$C$5:$C$2000,"Advance",Deductions!$E$5:$E$2000,"&gt;="&amp;Settings!$B$8,Deductions!$E$5:$E$2000,"&lt;="&amp;Settings!$B$9))</f>
        <v/>
      </c>
      <c r="P1027" s="26" t="str">
        <f aca="false">IF($A1027="","",SUMIFS(Deductions!$D$5:$D$2000,Deductions!$B$5:$B$2000,$A1027,Deductions!$E$5:$E$2000,"&gt;="&amp;Settings!$B$8,Deductions!$E$5:$E$2000,"&lt;="&amp;Settings!$B$9)-O1027)</f>
        <v/>
      </c>
      <c r="Q1027" s="26" t="str">
        <f aca="false">IF($A1027="","",O1027+P1027)</f>
        <v/>
      </c>
      <c r="R1027" s="23" t="str">
        <f aca="false">IF($A1027="","",N1027-Q1027)</f>
        <v/>
      </c>
      <c r="S1027" s="24" t="str">
        <f aca="false">IF($A1027="","",INDEX(Workers!$O$5:$O$2004,MATCH($A1027,Workers!$A$5:$A$2004,0))&amp;"")</f>
        <v/>
      </c>
      <c r="T1027" s="24" t="str">
        <f aca="false">IF($A1027="","",INDEX(Workers!$P$5:$P$2004,MATCH($A1027,Workers!$A$5:$A$2004,0))&amp;"")</f>
        <v/>
      </c>
      <c r="U1027" s="24" t="str">
        <f aca="false">IF($A1027="","",INDEX(Workers!$H$5:$H$2004,MATCH($A1027,Workers!$A$5:$A$2004,0))&amp;"")</f>
        <v/>
      </c>
    </row>
    <row r="1028" customFormat="false" ht="15" hidden="false" customHeight="false" outlineLevel="0" collapsed="false">
      <c r="A1028" s="24" t="str">
        <f aca="false">IFERROR(INDEX(Workers!$A$5:$A$2004,MATCH(ROW()-4,Workers!$U$5:$U$2004,0)),"")</f>
        <v/>
      </c>
      <c r="B1028" s="24" t="str">
        <f aca="false">IF($A1028="","",INDEX(Workers!$B$5:$B$2004,MATCH($A1028,Workers!$A$5:$A$2004,0)))</f>
        <v/>
      </c>
      <c r="C1028" s="24" t="str">
        <f aca="false">IF($A1028="","",INDEX(Workers!$E$5:$E$2004,MATCH($A1028,Workers!$A$5:$A$2004,0)))</f>
        <v/>
      </c>
      <c r="D1028" s="24" t="str">
        <f aca="false">IF($A1028="","",INDEX(Workers!$K$5:$K$2004,MATCH($A1028,Workers!$A$5:$A$2004,0)))</f>
        <v/>
      </c>
      <c r="E1028" s="25" t="str">
        <f aca="false">IF($A1028="","",SUMIFS(Timesheet!$E$5:$E$3004,Timesheet!$D$5:$D$3004,$A1028,Timesheet!$A$5:$A$3004,"&gt;="&amp;Settings!$B$8,Timesheet!$A$5:$A$3004,"&lt;="&amp;Settings!$B$9))</f>
        <v/>
      </c>
      <c r="F1028" s="25" t="str">
        <f aca="false">IF($A1028="","",SUMIFS(Timesheet!$F$5:$F$3004,Timesheet!$D$5:$D$3004,$A1028,Timesheet!$A$5:$A$3004,"&gt;="&amp;Settings!$B$8,Timesheet!$A$5:$A$3004,"&lt;="&amp;Settings!$B$9))</f>
        <v/>
      </c>
      <c r="G1028" s="25" t="str">
        <f aca="false">IF($A1028="","",SUMIFS(Timesheet!$G$5:$G$3004,Timesheet!$D$5:$D$3004,$A1028,Timesheet!$A$5:$A$3004,"&gt;="&amp;Settings!$B$8,Timesheet!$A$5:$A$3004,"&lt;="&amp;Settings!$B$9))</f>
        <v/>
      </c>
      <c r="H1028" s="25" t="str">
        <f aca="false">IF($A1028="","",IF(D1028="Monthly",MAX(0,Settings!$B$11-E1028),0))</f>
        <v/>
      </c>
      <c r="I1028" s="26" t="str">
        <f aca="false">IF($A1028="","",N(INDEX(Workers!$L$5:$L$2004,MATCH($A1028,Workers!$A$5:$A$2004,0))))</f>
        <v/>
      </c>
      <c r="J1028" s="26" t="str">
        <f aca="false">IF($A1028="","",N(INDEX(Workers!$M$5:$M$2004,MATCH($A1028,Workers!$A$5:$A$2004,0))))</f>
        <v/>
      </c>
      <c r="K1028" s="26" t="str">
        <f aca="false">IF($A1028="","",IF(D1028="Monthly",ROUND(MAX(0,(I1028+J1028)-(I1028+J1028)/Settings!$B$10*H1028),2),0))</f>
        <v/>
      </c>
      <c r="L1028" s="26" t="str">
        <f aca="false">IF($A1028="","",IF(D1028="Hourly",ROUND(F1028*N(INDEX(Workers!$N$5:$N$2004,MATCH($A1028,Workers!$A$5:$A$2004,0))),2),0))</f>
        <v/>
      </c>
      <c r="M1028" s="26" t="str">
        <f aca="false">IF($A1028="","",ROUND(G1028*IF(D1028="Hourly",N(INDEX(Workers!$N$5:$N$2004,MATCH($A1028,Workers!$A$5:$A$2004,0))),I1028/Settings!$B$10/Settings!$B$12)*Settings!$B$13,2))</f>
        <v/>
      </c>
      <c r="N1028" s="26" t="str">
        <f aca="false">IF($A1028="","",K1028+L1028+M1028)</f>
        <v/>
      </c>
      <c r="O1028" s="26" t="str">
        <f aca="false">IF($A1028="","",SUMIFS(Deductions!$D$5:$D$2000,Deductions!$B$5:$B$2000,$A1028,Deductions!$C$5:$C$2000,"Advance",Deductions!$E$5:$E$2000,"&gt;="&amp;Settings!$B$8,Deductions!$E$5:$E$2000,"&lt;="&amp;Settings!$B$9))</f>
        <v/>
      </c>
      <c r="P1028" s="26" t="str">
        <f aca="false">IF($A1028="","",SUMIFS(Deductions!$D$5:$D$2000,Deductions!$B$5:$B$2000,$A1028,Deductions!$E$5:$E$2000,"&gt;="&amp;Settings!$B$8,Deductions!$E$5:$E$2000,"&lt;="&amp;Settings!$B$9)-O1028)</f>
        <v/>
      </c>
      <c r="Q1028" s="26" t="str">
        <f aca="false">IF($A1028="","",O1028+P1028)</f>
        <v/>
      </c>
      <c r="R1028" s="23" t="str">
        <f aca="false">IF($A1028="","",N1028-Q1028)</f>
        <v/>
      </c>
      <c r="S1028" s="24" t="str">
        <f aca="false">IF($A1028="","",INDEX(Workers!$O$5:$O$2004,MATCH($A1028,Workers!$A$5:$A$2004,0))&amp;"")</f>
        <v/>
      </c>
      <c r="T1028" s="24" t="str">
        <f aca="false">IF($A1028="","",INDEX(Workers!$P$5:$P$2004,MATCH($A1028,Workers!$A$5:$A$2004,0))&amp;"")</f>
        <v/>
      </c>
      <c r="U1028" s="24" t="str">
        <f aca="false">IF($A1028="","",INDEX(Workers!$H$5:$H$2004,MATCH($A1028,Workers!$A$5:$A$2004,0))&amp;"")</f>
        <v/>
      </c>
    </row>
    <row r="1029" customFormat="false" ht="15" hidden="false" customHeight="false" outlineLevel="0" collapsed="false">
      <c r="A1029" s="24" t="str">
        <f aca="false">IFERROR(INDEX(Workers!$A$5:$A$2004,MATCH(ROW()-4,Workers!$U$5:$U$2004,0)),"")</f>
        <v/>
      </c>
      <c r="B1029" s="24" t="str">
        <f aca="false">IF($A1029="","",INDEX(Workers!$B$5:$B$2004,MATCH($A1029,Workers!$A$5:$A$2004,0)))</f>
        <v/>
      </c>
      <c r="C1029" s="24" t="str">
        <f aca="false">IF($A1029="","",INDEX(Workers!$E$5:$E$2004,MATCH($A1029,Workers!$A$5:$A$2004,0)))</f>
        <v/>
      </c>
      <c r="D1029" s="24" t="str">
        <f aca="false">IF($A1029="","",INDEX(Workers!$K$5:$K$2004,MATCH($A1029,Workers!$A$5:$A$2004,0)))</f>
        <v/>
      </c>
      <c r="E1029" s="25" t="str">
        <f aca="false">IF($A1029="","",SUMIFS(Timesheet!$E$5:$E$3004,Timesheet!$D$5:$D$3004,$A1029,Timesheet!$A$5:$A$3004,"&gt;="&amp;Settings!$B$8,Timesheet!$A$5:$A$3004,"&lt;="&amp;Settings!$B$9))</f>
        <v/>
      </c>
      <c r="F1029" s="25" t="str">
        <f aca="false">IF($A1029="","",SUMIFS(Timesheet!$F$5:$F$3004,Timesheet!$D$5:$D$3004,$A1029,Timesheet!$A$5:$A$3004,"&gt;="&amp;Settings!$B$8,Timesheet!$A$5:$A$3004,"&lt;="&amp;Settings!$B$9))</f>
        <v/>
      </c>
      <c r="G1029" s="25" t="str">
        <f aca="false">IF($A1029="","",SUMIFS(Timesheet!$G$5:$G$3004,Timesheet!$D$5:$D$3004,$A1029,Timesheet!$A$5:$A$3004,"&gt;="&amp;Settings!$B$8,Timesheet!$A$5:$A$3004,"&lt;="&amp;Settings!$B$9))</f>
        <v/>
      </c>
      <c r="H1029" s="25" t="str">
        <f aca="false">IF($A1029="","",IF(D1029="Monthly",MAX(0,Settings!$B$11-E1029),0))</f>
        <v/>
      </c>
      <c r="I1029" s="26" t="str">
        <f aca="false">IF($A1029="","",N(INDEX(Workers!$L$5:$L$2004,MATCH($A1029,Workers!$A$5:$A$2004,0))))</f>
        <v/>
      </c>
      <c r="J1029" s="26" t="str">
        <f aca="false">IF($A1029="","",N(INDEX(Workers!$M$5:$M$2004,MATCH($A1029,Workers!$A$5:$A$2004,0))))</f>
        <v/>
      </c>
      <c r="K1029" s="26" t="str">
        <f aca="false">IF($A1029="","",IF(D1029="Monthly",ROUND(MAX(0,(I1029+J1029)-(I1029+J1029)/Settings!$B$10*H1029),2),0))</f>
        <v/>
      </c>
      <c r="L1029" s="26" t="str">
        <f aca="false">IF($A1029="","",IF(D1029="Hourly",ROUND(F1029*N(INDEX(Workers!$N$5:$N$2004,MATCH($A1029,Workers!$A$5:$A$2004,0))),2),0))</f>
        <v/>
      </c>
      <c r="M1029" s="26" t="str">
        <f aca="false">IF($A1029="","",ROUND(G1029*IF(D1029="Hourly",N(INDEX(Workers!$N$5:$N$2004,MATCH($A1029,Workers!$A$5:$A$2004,0))),I1029/Settings!$B$10/Settings!$B$12)*Settings!$B$13,2))</f>
        <v/>
      </c>
      <c r="N1029" s="26" t="str">
        <f aca="false">IF($A1029="","",K1029+L1029+M1029)</f>
        <v/>
      </c>
      <c r="O1029" s="26" t="str">
        <f aca="false">IF($A1029="","",SUMIFS(Deductions!$D$5:$D$2000,Deductions!$B$5:$B$2000,$A1029,Deductions!$C$5:$C$2000,"Advance",Deductions!$E$5:$E$2000,"&gt;="&amp;Settings!$B$8,Deductions!$E$5:$E$2000,"&lt;="&amp;Settings!$B$9))</f>
        <v/>
      </c>
      <c r="P1029" s="26" t="str">
        <f aca="false">IF($A1029="","",SUMIFS(Deductions!$D$5:$D$2000,Deductions!$B$5:$B$2000,$A1029,Deductions!$E$5:$E$2000,"&gt;="&amp;Settings!$B$8,Deductions!$E$5:$E$2000,"&lt;="&amp;Settings!$B$9)-O1029)</f>
        <v/>
      </c>
      <c r="Q1029" s="26" t="str">
        <f aca="false">IF($A1029="","",O1029+P1029)</f>
        <v/>
      </c>
      <c r="R1029" s="23" t="str">
        <f aca="false">IF($A1029="","",N1029-Q1029)</f>
        <v/>
      </c>
      <c r="S1029" s="24" t="str">
        <f aca="false">IF($A1029="","",INDEX(Workers!$O$5:$O$2004,MATCH($A1029,Workers!$A$5:$A$2004,0))&amp;"")</f>
        <v/>
      </c>
      <c r="T1029" s="24" t="str">
        <f aca="false">IF($A1029="","",INDEX(Workers!$P$5:$P$2004,MATCH($A1029,Workers!$A$5:$A$2004,0))&amp;"")</f>
        <v/>
      </c>
      <c r="U1029" s="24" t="str">
        <f aca="false">IF($A1029="","",INDEX(Workers!$H$5:$H$2004,MATCH($A1029,Workers!$A$5:$A$2004,0))&amp;"")</f>
        <v/>
      </c>
    </row>
    <row r="1030" customFormat="false" ht="15" hidden="false" customHeight="false" outlineLevel="0" collapsed="false">
      <c r="A1030" s="24" t="str">
        <f aca="false">IFERROR(INDEX(Workers!$A$5:$A$2004,MATCH(ROW()-4,Workers!$U$5:$U$2004,0)),"")</f>
        <v/>
      </c>
      <c r="B1030" s="24" t="str">
        <f aca="false">IF($A1030="","",INDEX(Workers!$B$5:$B$2004,MATCH($A1030,Workers!$A$5:$A$2004,0)))</f>
        <v/>
      </c>
      <c r="C1030" s="24" t="str">
        <f aca="false">IF($A1030="","",INDEX(Workers!$E$5:$E$2004,MATCH($A1030,Workers!$A$5:$A$2004,0)))</f>
        <v/>
      </c>
      <c r="D1030" s="24" t="str">
        <f aca="false">IF($A1030="","",INDEX(Workers!$K$5:$K$2004,MATCH($A1030,Workers!$A$5:$A$2004,0)))</f>
        <v/>
      </c>
      <c r="E1030" s="25" t="str">
        <f aca="false">IF($A1030="","",SUMIFS(Timesheet!$E$5:$E$3004,Timesheet!$D$5:$D$3004,$A1030,Timesheet!$A$5:$A$3004,"&gt;="&amp;Settings!$B$8,Timesheet!$A$5:$A$3004,"&lt;="&amp;Settings!$B$9))</f>
        <v/>
      </c>
      <c r="F1030" s="25" t="str">
        <f aca="false">IF($A1030="","",SUMIFS(Timesheet!$F$5:$F$3004,Timesheet!$D$5:$D$3004,$A1030,Timesheet!$A$5:$A$3004,"&gt;="&amp;Settings!$B$8,Timesheet!$A$5:$A$3004,"&lt;="&amp;Settings!$B$9))</f>
        <v/>
      </c>
      <c r="G1030" s="25" t="str">
        <f aca="false">IF($A1030="","",SUMIFS(Timesheet!$G$5:$G$3004,Timesheet!$D$5:$D$3004,$A1030,Timesheet!$A$5:$A$3004,"&gt;="&amp;Settings!$B$8,Timesheet!$A$5:$A$3004,"&lt;="&amp;Settings!$B$9))</f>
        <v/>
      </c>
      <c r="H1030" s="25" t="str">
        <f aca="false">IF($A1030="","",IF(D1030="Monthly",MAX(0,Settings!$B$11-E1030),0))</f>
        <v/>
      </c>
      <c r="I1030" s="26" t="str">
        <f aca="false">IF($A1030="","",N(INDEX(Workers!$L$5:$L$2004,MATCH($A1030,Workers!$A$5:$A$2004,0))))</f>
        <v/>
      </c>
      <c r="J1030" s="26" t="str">
        <f aca="false">IF($A1030="","",N(INDEX(Workers!$M$5:$M$2004,MATCH($A1030,Workers!$A$5:$A$2004,0))))</f>
        <v/>
      </c>
      <c r="K1030" s="26" t="str">
        <f aca="false">IF($A1030="","",IF(D1030="Monthly",ROUND(MAX(0,(I1030+J1030)-(I1030+J1030)/Settings!$B$10*H1030),2),0))</f>
        <v/>
      </c>
      <c r="L1030" s="26" t="str">
        <f aca="false">IF($A1030="","",IF(D1030="Hourly",ROUND(F1030*N(INDEX(Workers!$N$5:$N$2004,MATCH($A1030,Workers!$A$5:$A$2004,0))),2),0))</f>
        <v/>
      </c>
      <c r="M1030" s="26" t="str">
        <f aca="false">IF($A1030="","",ROUND(G1030*IF(D1030="Hourly",N(INDEX(Workers!$N$5:$N$2004,MATCH($A1030,Workers!$A$5:$A$2004,0))),I1030/Settings!$B$10/Settings!$B$12)*Settings!$B$13,2))</f>
        <v/>
      </c>
      <c r="N1030" s="26" t="str">
        <f aca="false">IF($A1030="","",K1030+L1030+M1030)</f>
        <v/>
      </c>
      <c r="O1030" s="26" t="str">
        <f aca="false">IF($A1030="","",SUMIFS(Deductions!$D$5:$D$2000,Deductions!$B$5:$B$2000,$A1030,Deductions!$C$5:$C$2000,"Advance",Deductions!$E$5:$E$2000,"&gt;="&amp;Settings!$B$8,Deductions!$E$5:$E$2000,"&lt;="&amp;Settings!$B$9))</f>
        <v/>
      </c>
      <c r="P1030" s="26" t="str">
        <f aca="false">IF($A1030="","",SUMIFS(Deductions!$D$5:$D$2000,Deductions!$B$5:$B$2000,$A1030,Deductions!$E$5:$E$2000,"&gt;="&amp;Settings!$B$8,Deductions!$E$5:$E$2000,"&lt;="&amp;Settings!$B$9)-O1030)</f>
        <v/>
      </c>
      <c r="Q1030" s="26" t="str">
        <f aca="false">IF($A1030="","",O1030+P1030)</f>
        <v/>
      </c>
      <c r="R1030" s="23" t="str">
        <f aca="false">IF($A1030="","",N1030-Q1030)</f>
        <v/>
      </c>
      <c r="S1030" s="24" t="str">
        <f aca="false">IF($A1030="","",INDEX(Workers!$O$5:$O$2004,MATCH($A1030,Workers!$A$5:$A$2004,0))&amp;"")</f>
        <v/>
      </c>
      <c r="T1030" s="24" t="str">
        <f aca="false">IF($A1030="","",INDEX(Workers!$P$5:$P$2004,MATCH($A1030,Workers!$A$5:$A$2004,0))&amp;"")</f>
        <v/>
      </c>
      <c r="U1030" s="24" t="str">
        <f aca="false">IF($A1030="","",INDEX(Workers!$H$5:$H$2004,MATCH($A1030,Workers!$A$5:$A$2004,0))&amp;"")</f>
        <v/>
      </c>
    </row>
    <row r="1031" customFormat="false" ht="15" hidden="false" customHeight="false" outlineLevel="0" collapsed="false">
      <c r="A1031" s="24" t="str">
        <f aca="false">IFERROR(INDEX(Workers!$A$5:$A$2004,MATCH(ROW()-4,Workers!$U$5:$U$2004,0)),"")</f>
        <v/>
      </c>
      <c r="B1031" s="24" t="str">
        <f aca="false">IF($A1031="","",INDEX(Workers!$B$5:$B$2004,MATCH($A1031,Workers!$A$5:$A$2004,0)))</f>
        <v/>
      </c>
      <c r="C1031" s="24" t="str">
        <f aca="false">IF($A1031="","",INDEX(Workers!$E$5:$E$2004,MATCH($A1031,Workers!$A$5:$A$2004,0)))</f>
        <v/>
      </c>
      <c r="D1031" s="24" t="str">
        <f aca="false">IF($A1031="","",INDEX(Workers!$K$5:$K$2004,MATCH($A1031,Workers!$A$5:$A$2004,0)))</f>
        <v/>
      </c>
      <c r="E1031" s="25" t="str">
        <f aca="false">IF($A1031="","",SUMIFS(Timesheet!$E$5:$E$3004,Timesheet!$D$5:$D$3004,$A1031,Timesheet!$A$5:$A$3004,"&gt;="&amp;Settings!$B$8,Timesheet!$A$5:$A$3004,"&lt;="&amp;Settings!$B$9))</f>
        <v/>
      </c>
      <c r="F1031" s="25" t="str">
        <f aca="false">IF($A1031="","",SUMIFS(Timesheet!$F$5:$F$3004,Timesheet!$D$5:$D$3004,$A1031,Timesheet!$A$5:$A$3004,"&gt;="&amp;Settings!$B$8,Timesheet!$A$5:$A$3004,"&lt;="&amp;Settings!$B$9))</f>
        <v/>
      </c>
      <c r="G1031" s="25" t="str">
        <f aca="false">IF($A1031="","",SUMIFS(Timesheet!$G$5:$G$3004,Timesheet!$D$5:$D$3004,$A1031,Timesheet!$A$5:$A$3004,"&gt;="&amp;Settings!$B$8,Timesheet!$A$5:$A$3004,"&lt;="&amp;Settings!$B$9))</f>
        <v/>
      </c>
      <c r="H1031" s="25" t="str">
        <f aca="false">IF($A1031="","",IF(D1031="Monthly",MAX(0,Settings!$B$11-E1031),0))</f>
        <v/>
      </c>
      <c r="I1031" s="26" t="str">
        <f aca="false">IF($A1031="","",N(INDEX(Workers!$L$5:$L$2004,MATCH($A1031,Workers!$A$5:$A$2004,0))))</f>
        <v/>
      </c>
      <c r="J1031" s="26" t="str">
        <f aca="false">IF($A1031="","",N(INDEX(Workers!$M$5:$M$2004,MATCH($A1031,Workers!$A$5:$A$2004,0))))</f>
        <v/>
      </c>
      <c r="K1031" s="26" t="str">
        <f aca="false">IF($A1031="","",IF(D1031="Monthly",ROUND(MAX(0,(I1031+J1031)-(I1031+J1031)/Settings!$B$10*H1031),2),0))</f>
        <v/>
      </c>
      <c r="L1031" s="26" t="str">
        <f aca="false">IF($A1031="","",IF(D1031="Hourly",ROUND(F1031*N(INDEX(Workers!$N$5:$N$2004,MATCH($A1031,Workers!$A$5:$A$2004,0))),2),0))</f>
        <v/>
      </c>
      <c r="M1031" s="26" t="str">
        <f aca="false">IF($A1031="","",ROUND(G1031*IF(D1031="Hourly",N(INDEX(Workers!$N$5:$N$2004,MATCH($A1031,Workers!$A$5:$A$2004,0))),I1031/Settings!$B$10/Settings!$B$12)*Settings!$B$13,2))</f>
        <v/>
      </c>
      <c r="N1031" s="26" t="str">
        <f aca="false">IF($A1031="","",K1031+L1031+M1031)</f>
        <v/>
      </c>
      <c r="O1031" s="26" t="str">
        <f aca="false">IF($A1031="","",SUMIFS(Deductions!$D$5:$D$2000,Deductions!$B$5:$B$2000,$A1031,Deductions!$C$5:$C$2000,"Advance",Deductions!$E$5:$E$2000,"&gt;="&amp;Settings!$B$8,Deductions!$E$5:$E$2000,"&lt;="&amp;Settings!$B$9))</f>
        <v/>
      </c>
      <c r="P1031" s="26" t="str">
        <f aca="false">IF($A1031="","",SUMIFS(Deductions!$D$5:$D$2000,Deductions!$B$5:$B$2000,$A1031,Deductions!$E$5:$E$2000,"&gt;="&amp;Settings!$B$8,Deductions!$E$5:$E$2000,"&lt;="&amp;Settings!$B$9)-O1031)</f>
        <v/>
      </c>
      <c r="Q1031" s="26" t="str">
        <f aca="false">IF($A1031="","",O1031+P1031)</f>
        <v/>
      </c>
      <c r="R1031" s="23" t="str">
        <f aca="false">IF($A1031="","",N1031-Q1031)</f>
        <v/>
      </c>
      <c r="S1031" s="24" t="str">
        <f aca="false">IF($A1031="","",INDEX(Workers!$O$5:$O$2004,MATCH($A1031,Workers!$A$5:$A$2004,0))&amp;"")</f>
        <v/>
      </c>
      <c r="T1031" s="24" t="str">
        <f aca="false">IF($A1031="","",INDEX(Workers!$P$5:$P$2004,MATCH($A1031,Workers!$A$5:$A$2004,0))&amp;"")</f>
        <v/>
      </c>
      <c r="U1031" s="24" t="str">
        <f aca="false">IF($A1031="","",INDEX(Workers!$H$5:$H$2004,MATCH($A1031,Workers!$A$5:$A$2004,0))&amp;"")</f>
        <v/>
      </c>
    </row>
    <row r="1032" customFormat="false" ht="15" hidden="false" customHeight="false" outlineLevel="0" collapsed="false">
      <c r="A1032" s="24" t="str">
        <f aca="false">IFERROR(INDEX(Workers!$A$5:$A$2004,MATCH(ROW()-4,Workers!$U$5:$U$2004,0)),"")</f>
        <v/>
      </c>
      <c r="B1032" s="24" t="str">
        <f aca="false">IF($A1032="","",INDEX(Workers!$B$5:$B$2004,MATCH($A1032,Workers!$A$5:$A$2004,0)))</f>
        <v/>
      </c>
      <c r="C1032" s="24" t="str">
        <f aca="false">IF($A1032="","",INDEX(Workers!$E$5:$E$2004,MATCH($A1032,Workers!$A$5:$A$2004,0)))</f>
        <v/>
      </c>
      <c r="D1032" s="24" t="str">
        <f aca="false">IF($A1032="","",INDEX(Workers!$K$5:$K$2004,MATCH($A1032,Workers!$A$5:$A$2004,0)))</f>
        <v/>
      </c>
      <c r="E1032" s="25" t="str">
        <f aca="false">IF($A1032="","",SUMIFS(Timesheet!$E$5:$E$3004,Timesheet!$D$5:$D$3004,$A1032,Timesheet!$A$5:$A$3004,"&gt;="&amp;Settings!$B$8,Timesheet!$A$5:$A$3004,"&lt;="&amp;Settings!$B$9))</f>
        <v/>
      </c>
      <c r="F1032" s="25" t="str">
        <f aca="false">IF($A1032="","",SUMIFS(Timesheet!$F$5:$F$3004,Timesheet!$D$5:$D$3004,$A1032,Timesheet!$A$5:$A$3004,"&gt;="&amp;Settings!$B$8,Timesheet!$A$5:$A$3004,"&lt;="&amp;Settings!$B$9))</f>
        <v/>
      </c>
      <c r="G1032" s="25" t="str">
        <f aca="false">IF($A1032="","",SUMIFS(Timesheet!$G$5:$G$3004,Timesheet!$D$5:$D$3004,$A1032,Timesheet!$A$5:$A$3004,"&gt;="&amp;Settings!$B$8,Timesheet!$A$5:$A$3004,"&lt;="&amp;Settings!$B$9))</f>
        <v/>
      </c>
      <c r="H1032" s="25" t="str">
        <f aca="false">IF($A1032="","",IF(D1032="Monthly",MAX(0,Settings!$B$11-E1032),0))</f>
        <v/>
      </c>
      <c r="I1032" s="26" t="str">
        <f aca="false">IF($A1032="","",N(INDEX(Workers!$L$5:$L$2004,MATCH($A1032,Workers!$A$5:$A$2004,0))))</f>
        <v/>
      </c>
      <c r="J1032" s="26" t="str">
        <f aca="false">IF($A1032="","",N(INDEX(Workers!$M$5:$M$2004,MATCH($A1032,Workers!$A$5:$A$2004,0))))</f>
        <v/>
      </c>
      <c r="K1032" s="26" t="str">
        <f aca="false">IF($A1032="","",IF(D1032="Monthly",ROUND(MAX(0,(I1032+J1032)-(I1032+J1032)/Settings!$B$10*H1032),2),0))</f>
        <v/>
      </c>
      <c r="L1032" s="26" t="str">
        <f aca="false">IF($A1032="","",IF(D1032="Hourly",ROUND(F1032*N(INDEX(Workers!$N$5:$N$2004,MATCH($A1032,Workers!$A$5:$A$2004,0))),2),0))</f>
        <v/>
      </c>
      <c r="M1032" s="26" t="str">
        <f aca="false">IF($A1032="","",ROUND(G1032*IF(D1032="Hourly",N(INDEX(Workers!$N$5:$N$2004,MATCH($A1032,Workers!$A$5:$A$2004,0))),I1032/Settings!$B$10/Settings!$B$12)*Settings!$B$13,2))</f>
        <v/>
      </c>
      <c r="N1032" s="26" t="str">
        <f aca="false">IF($A1032="","",K1032+L1032+M1032)</f>
        <v/>
      </c>
      <c r="O1032" s="26" t="str">
        <f aca="false">IF($A1032="","",SUMIFS(Deductions!$D$5:$D$2000,Deductions!$B$5:$B$2000,$A1032,Deductions!$C$5:$C$2000,"Advance",Deductions!$E$5:$E$2000,"&gt;="&amp;Settings!$B$8,Deductions!$E$5:$E$2000,"&lt;="&amp;Settings!$B$9))</f>
        <v/>
      </c>
      <c r="P1032" s="26" t="str">
        <f aca="false">IF($A1032="","",SUMIFS(Deductions!$D$5:$D$2000,Deductions!$B$5:$B$2000,$A1032,Deductions!$E$5:$E$2000,"&gt;="&amp;Settings!$B$8,Deductions!$E$5:$E$2000,"&lt;="&amp;Settings!$B$9)-O1032)</f>
        <v/>
      </c>
      <c r="Q1032" s="26" t="str">
        <f aca="false">IF($A1032="","",O1032+P1032)</f>
        <v/>
      </c>
      <c r="R1032" s="23" t="str">
        <f aca="false">IF($A1032="","",N1032-Q1032)</f>
        <v/>
      </c>
      <c r="S1032" s="24" t="str">
        <f aca="false">IF($A1032="","",INDEX(Workers!$O$5:$O$2004,MATCH($A1032,Workers!$A$5:$A$2004,0))&amp;"")</f>
        <v/>
      </c>
      <c r="T1032" s="24" t="str">
        <f aca="false">IF($A1032="","",INDEX(Workers!$P$5:$P$2004,MATCH($A1032,Workers!$A$5:$A$2004,0))&amp;"")</f>
        <v/>
      </c>
      <c r="U1032" s="24" t="str">
        <f aca="false">IF($A1032="","",INDEX(Workers!$H$5:$H$2004,MATCH($A1032,Workers!$A$5:$A$2004,0))&amp;"")</f>
        <v/>
      </c>
    </row>
    <row r="1033" customFormat="false" ht="15" hidden="false" customHeight="false" outlineLevel="0" collapsed="false">
      <c r="A1033" s="24" t="str">
        <f aca="false">IFERROR(INDEX(Workers!$A$5:$A$2004,MATCH(ROW()-4,Workers!$U$5:$U$2004,0)),"")</f>
        <v/>
      </c>
      <c r="B1033" s="24" t="str">
        <f aca="false">IF($A1033="","",INDEX(Workers!$B$5:$B$2004,MATCH($A1033,Workers!$A$5:$A$2004,0)))</f>
        <v/>
      </c>
      <c r="C1033" s="24" t="str">
        <f aca="false">IF($A1033="","",INDEX(Workers!$E$5:$E$2004,MATCH($A1033,Workers!$A$5:$A$2004,0)))</f>
        <v/>
      </c>
      <c r="D1033" s="24" t="str">
        <f aca="false">IF($A1033="","",INDEX(Workers!$K$5:$K$2004,MATCH($A1033,Workers!$A$5:$A$2004,0)))</f>
        <v/>
      </c>
      <c r="E1033" s="25" t="str">
        <f aca="false">IF($A1033="","",SUMIFS(Timesheet!$E$5:$E$3004,Timesheet!$D$5:$D$3004,$A1033,Timesheet!$A$5:$A$3004,"&gt;="&amp;Settings!$B$8,Timesheet!$A$5:$A$3004,"&lt;="&amp;Settings!$B$9))</f>
        <v/>
      </c>
      <c r="F1033" s="25" t="str">
        <f aca="false">IF($A1033="","",SUMIFS(Timesheet!$F$5:$F$3004,Timesheet!$D$5:$D$3004,$A1033,Timesheet!$A$5:$A$3004,"&gt;="&amp;Settings!$B$8,Timesheet!$A$5:$A$3004,"&lt;="&amp;Settings!$B$9))</f>
        <v/>
      </c>
      <c r="G1033" s="25" t="str">
        <f aca="false">IF($A1033="","",SUMIFS(Timesheet!$G$5:$G$3004,Timesheet!$D$5:$D$3004,$A1033,Timesheet!$A$5:$A$3004,"&gt;="&amp;Settings!$B$8,Timesheet!$A$5:$A$3004,"&lt;="&amp;Settings!$B$9))</f>
        <v/>
      </c>
      <c r="H1033" s="25" t="str">
        <f aca="false">IF($A1033="","",IF(D1033="Monthly",MAX(0,Settings!$B$11-E1033),0))</f>
        <v/>
      </c>
      <c r="I1033" s="26" t="str">
        <f aca="false">IF($A1033="","",N(INDEX(Workers!$L$5:$L$2004,MATCH($A1033,Workers!$A$5:$A$2004,0))))</f>
        <v/>
      </c>
      <c r="J1033" s="26" t="str">
        <f aca="false">IF($A1033="","",N(INDEX(Workers!$M$5:$M$2004,MATCH($A1033,Workers!$A$5:$A$2004,0))))</f>
        <v/>
      </c>
      <c r="K1033" s="26" t="str">
        <f aca="false">IF($A1033="","",IF(D1033="Monthly",ROUND(MAX(0,(I1033+J1033)-(I1033+J1033)/Settings!$B$10*H1033),2),0))</f>
        <v/>
      </c>
      <c r="L1033" s="26" t="str">
        <f aca="false">IF($A1033="","",IF(D1033="Hourly",ROUND(F1033*N(INDEX(Workers!$N$5:$N$2004,MATCH($A1033,Workers!$A$5:$A$2004,0))),2),0))</f>
        <v/>
      </c>
      <c r="M1033" s="26" t="str">
        <f aca="false">IF($A1033="","",ROUND(G1033*IF(D1033="Hourly",N(INDEX(Workers!$N$5:$N$2004,MATCH($A1033,Workers!$A$5:$A$2004,0))),I1033/Settings!$B$10/Settings!$B$12)*Settings!$B$13,2))</f>
        <v/>
      </c>
      <c r="N1033" s="26" t="str">
        <f aca="false">IF($A1033="","",K1033+L1033+M1033)</f>
        <v/>
      </c>
      <c r="O1033" s="26" t="str">
        <f aca="false">IF($A1033="","",SUMIFS(Deductions!$D$5:$D$2000,Deductions!$B$5:$B$2000,$A1033,Deductions!$C$5:$C$2000,"Advance",Deductions!$E$5:$E$2000,"&gt;="&amp;Settings!$B$8,Deductions!$E$5:$E$2000,"&lt;="&amp;Settings!$B$9))</f>
        <v/>
      </c>
      <c r="P1033" s="26" t="str">
        <f aca="false">IF($A1033="","",SUMIFS(Deductions!$D$5:$D$2000,Deductions!$B$5:$B$2000,$A1033,Deductions!$E$5:$E$2000,"&gt;="&amp;Settings!$B$8,Deductions!$E$5:$E$2000,"&lt;="&amp;Settings!$B$9)-O1033)</f>
        <v/>
      </c>
      <c r="Q1033" s="26" t="str">
        <f aca="false">IF($A1033="","",O1033+P1033)</f>
        <v/>
      </c>
      <c r="R1033" s="23" t="str">
        <f aca="false">IF($A1033="","",N1033-Q1033)</f>
        <v/>
      </c>
      <c r="S1033" s="24" t="str">
        <f aca="false">IF($A1033="","",INDEX(Workers!$O$5:$O$2004,MATCH($A1033,Workers!$A$5:$A$2004,0))&amp;"")</f>
        <v/>
      </c>
      <c r="T1033" s="24" t="str">
        <f aca="false">IF($A1033="","",INDEX(Workers!$P$5:$P$2004,MATCH($A1033,Workers!$A$5:$A$2004,0))&amp;"")</f>
        <v/>
      </c>
      <c r="U1033" s="24" t="str">
        <f aca="false">IF($A1033="","",INDEX(Workers!$H$5:$H$2004,MATCH($A1033,Workers!$A$5:$A$2004,0))&amp;"")</f>
        <v/>
      </c>
    </row>
    <row r="1034" customFormat="false" ht="15" hidden="false" customHeight="false" outlineLevel="0" collapsed="false">
      <c r="A1034" s="24" t="str">
        <f aca="false">IFERROR(INDEX(Workers!$A$5:$A$2004,MATCH(ROW()-4,Workers!$U$5:$U$2004,0)),"")</f>
        <v/>
      </c>
      <c r="B1034" s="24" t="str">
        <f aca="false">IF($A1034="","",INDEX(Workers!$B$5:$B$2004,MATCH($A1034,Workers!$A$5:$A$2004,0)))</f>
        <v/>
      </c>
      <c r="C1034" s="24" t="str">
        <f aca="false">IF($A1034="","",INDEX(Workers!$E$5:$E$2004,MATCH($A1034,Workers!$A$5:$A$2004,0)))</f>
        <v/>
      </c>
      <c r="D1034" s="24" t="str">
        <f aca="false">IF($A1034="","",INDEX(Workers!$K$5:$K$2004,MATCH($A1034,Workers!$A$5:$A$2004,0)))</f>
        <v/>
      </c>
      <c r="E1034" s="25" t="str">
        <f aca="false">IF($A1034="","",SUMIFS(Timesheet!$E$5:$E$3004,Timesheet!$D$5:$D$3004,$A1034,Timesheet!$A$5:$A$3004,"&gt;="&amp;Settings!$B$8,Timesheet!$A$5:$A$3004,"&lt;="&amp;Settings!$B$9))</f>
        <v/>
      </c>
      <c r="F1034" s="25" t="str">
        <f aca="false">IF($A1034="","",SUMIFS(Timesheet!$F$5:$F$3004,Timesheet!$D$5:$D$3004,$A1034,Timesheet!$A$5:$A$3004,"&gt;="&amp;Settings!$B$8,Timesheet!$A$5:$A$3004,"&lt;="&amp;Settings!$B$9))</f>
        <v/>
      </c>
      <c r="G1034" s="25" t="str">
        <f aca="false">IF($A1034="","",SUMIFS(Timesheet!$G$5:$G$3004,Timesheet!$D$5:$D$3004,$A1034,Timesheet!$A$5:$A$3004,"&gt;="&amp;Settings!$B$8,Timesheet!$A$5:$A$3004,"&lt;="&amp;Settings!$B$9))</f>
        <v/>
      </c>
      <c r="H1034" s="25" t="str">
        <f aca="false">IF($A1034="","",IF(D1034="Monthly",MAX(0,Settings!$B$11-E1034),0))</f>
        <v/>
      </c>
      <c r="I1034" s="26" t="str">
        <f aca="false">IF($A1034="","",N(INDEX(Workers!$L$5:$L$2004,MATCH($A1034,Workers!$A$5:$A$2004,0))))</f>
        <v/>
      </c>
      <c r="J1034" s="26" t="str">
        <f aca="false">IF($A1034="","",N(INDEX(Workers!$M$5:$M$2004,MATCH($A1034,Workers!$A$5:$A$2004,0))))</f>
        <v/>
      </c>
      <c r="K1034" s="26" t="str">
        <f aca="false">IF($A1034="","",IF(D1034="Monthly",ROUND(MAX(0,(I1034+J1034)-(I1034+J1034)/Settings!$B$10*H1034),2),0))</f>
        <v/>
      </c>
      <c r="L1034" s="26" t="str">
        <f aca="false">IF($A1034="","",IF(D1034="Hourly",ROUND(F1034*N(INDEX(Workers!$N$5:$N$2004,MATCH($A1034,Workers!$A$5:$A$2004,0))),2),0))</f>
        <v/>
      </c>
      <c r="M1034" s="26" t="str">
        <f aca="false">IF($A1034="","",ROUND(G1034*IF(D1034="Hourly",N(INDEX(Workers!$N$5:$N$2004,MATCH($A1034,Workers!$A$5:$A$2004,0))),I1034/Settings!$B$10/Settings!$B$12)*Settings!$B$13,2))</f>
        <v/>
      </c>
      <c r="N1034" s="26" t="str">
        <f aca="false">IF($A1034="","",K1034+L1034+M1034)</f>
        <v/>
      </c>
      <c r="O1034" s="26" t="str">
        <f aca="false">IF($A1034="","",SUMIFS(Deductions!$D$5:$D$2000,Deductions!$B$5:$B$2000,$A1034,Deductions!$C$5:$C$2000,"Advance",Deductions!$E$5:$E$2000,"&gt;="&amp;Settings!$B$8,Deductions!$E$5:$E$2000,"&lt;="&amp;Settings!$B$9))</f>
        <v/>
      </c>
      <c r="P1034" s="26" t="str">
        <f aca="false">IF($A1034="","",SUMIFS(Deductions!$D$5:$D$2000,Deductions!$B$5:$B$2000,$A1034,Deductions!$E$5:$E$2000,"&gt;="&amp;Settings!$B$8,Deductions!$E$5:$E$2000,"&lt;="&amp;Settings!$B$9)-O1034)</f>
        <v/>
      </c>
      <c r="Q1034" s="26" t="str">
        <f aca="false">IF($A1034="","",O1034+P1034)</f>
        <v/>
      </c>
      <c r="R1034" s="23" t="str">
        <f aca="false">IF($A1034="","",N1034-Q1034)</f>
        <v/>
      </c>
      <c r="S1034" s="24" t="str">
        <f aca="false">IF($A1034="","",INDEX(Workers!$O$5:$O$2004,MATCH($A1034,Workers!$A$5:$A$2004,0))&amp;"")</f>
        <v/>
      </c>
      <c r="T1034" s="24" t="str">
        <f aca="false">IF($A1034="","",INDEX(Workers!$P$5:$P$2004,MATCH($A1034,Workers!$A$5:$A$2004,0))&amp;"")</f>
        <v/>
      </c>
      <c r="U1034" s="24" t="str">
        <f aca="false">IF($A1034="","",INDEX(Workers!$H$5:$H$2004,MATCH($A1034,Workers!$A$5:$A$2004,0))&amp;"")</f>
        <v/>
      </c>
    </row>
    <row r="1035" customFormat="false" ht="15" hidden="false" customHeight="false" outlineLevel="0" collapsed="false">
      <c r="A1035" s="24" t="str">
        <f aca="false">IFERROR(INDEX(Workers!$A$5:$A$2004,MATCH(ROW()-4,Workers!$U$5:$U$2004,0)),"")</f>
        <v/>
      </c>
      <c r="B1035" s="24" t="str">
        <f aca="false">IF($A1035="","",INDEX(Workers!$B$5:$B$2004,MATCH($A1035,Workers!$A$5:$A$2004,0)))</f>
        <v/>
      </c>
      <c r="C1035" s="24" t="str">
        <f aca="false">IF($A1035="","",INDEX(Workers!$E$5:$E$2004,MATCH($A1035,Workers!$A$5:$A$2004,0)))</f>
        <v/>
      </c>
      <c r="D1035" s="24" t="str">
        <f aca="false">IF($A1035="","",INDEX(Workers!$K$5:$K$2004,MATCH($A1035,Workers!$A$5:$A$2004,0)))</f>
        <v/>
      </c>
      <c r="E1035" s="25" t="str">
        <f aca="false">IF($A1035="","",SUMIFS(Timesheet!$E$5:$E$3004,Timesheet!$D$5:$D$3004,$A1035,Timesheet!$A$5:$A$3004,"&gt;="&amp;Settings!$B$8,Timesheet!$A$5:$A$3004,"&lt;="&amp;Settings!$B$9))</f>
        <v/>
      </c>
      <c r="F1035" s="25" t="str">
        <f aca="false">IF($A1035="","",SUMIFS(Timesheet!$F$5:$F$3004,Timesheet!$D$5:$D$3004,$A1035,Timesheet!$A$5:$A$3004,"&gt;="&amp;Settings!$B$8,Timesheet!$A$5:$A$3004,"&lt;="&amp;Settings!$B$9))</f>
        <v/>
      </c>
      <c r="G1035" s="25" t="str">
        <f aca="false">IF($A1035="","",SUMIFS(Timesheet!$G$5:$G$3004,Timesheet!$D$5:$D$3004,$A1035,Timesheet!$A$5:$A$3004,"&gt;="&amp;Settings!$B$8,Timesheet!$A$5:$A$3004,"&lt;="&amp;Settings!$B$9))</f>
        <v/>
      </c>
      <c r="H1035" s="25" t="str">
        <f aca="false">IF($A1035="","",IF(D1035="Monthly",MAX(0,Settings!$B$11-E1035),0))</f>
        <v/>
      </c>
      <c r="I1035" s="26" t="str">
        <f aca="false">IF($A1035="","",N(INDEX(Workers!$L$5:$L$2004,MATCH($A1035,Workers!$A$5:$A$2004,0))))</f>
        <v/>
      </c>
      <c r="J1035" s="26" t="str">
        <f aca="false">IF($A1035="","",N(INDEX(Workers!$M$5:$M$2004,MATCH($A1035,Workers!$A$5:$A$2004,0))))</f>
        <v/>
      </c>
      <c r="K1035" s="26" t="str">
        <f aca="false">IF($A1035="","",IF(D1035="Monthly",ROUND(MAX(0,(I1035+J1035)-(I1035+J1035)/Settings!$B$10*H1035),2),0))</f>
        <v/>
      </c>
      <c r="L1035" s="26" t="str">
        <f aca="false">IF($A1035="","",IF(D1035="Hourly",ROUND(F1035*N(INDEX(Workers!$N$5:$N$2004,MATCH($A1035,Workers!$A$5:$A$2004,0))),2),0))</f>
        <v/>
      </c>
      <c r="M1035" s="26" t="str">
        <f aca="false">IF($A1035="","",ROUND(G1035*IF(D1035="Hourly",N(INDEX(Workers!$N$5:$N$2004,MATCH($A1035,Workers!$A$5:$A$2004,0))),I1035/Settings!$B$10/Settings!$B$12)*Settings!$B$13,2))</f>
        <v/>
      </c>
      <c r="N1035" s="26" t="str">
        <f aca="false">IF($A1035="","",K1035+L1035+M1035)</f>
        <v/>
      </c>
      <c r="O1035" s="26" t="str">
        <f aca="false">IF($A1035="","",SUMIFS(Deductions!$D$5:$D$2000,Deductions!$B$5:$B$2000,$A1035,Deductions!$C$5:$C$2000,"Advance",Deductions!$E$5:$E$2000,"&gt;="&amp;Settings!$B$8,Deductions!$E$5:$E$2000,"&lt;="&amp;Settings!$B$9))</f>
        <v/>
      </c>
      <c r="P1035" s="26" t="str">
        <f aca="false">IF($A1035="","",SUMIFS(Deductions!$D$5:$D$2000,Deductions!$B$5:$B$2000,$A1035,Deductions!$E$5:$E$2000,"&gt;="&amp;Settings!$B$8,Deductions!$E$5:$E$2000,"&lt;="&amp;Settings!$B$9)-O1035)</f>
        <v/>
      </c>
      <c r="Q1035" s="26" t="str">
        <f aca="false">IF($A1035="","",O1035+P1035)</f>
        <v/>
      </c>
      <c r="R1035" s="23" t="str">
        <f aca="false">IF($A1035="","",N1035-Q1035)</f>
        <v/>
      </c>
      <c r="S1035" s="24" t="str">
        <f aca="false">IF($A1035="","",INDEX(Workers!$O$5:$O$2004,MATCH($A1035,Workers!$A$5:$A$2004,0))&amp;"")</f>
        <v/>
      </c>
      <c r="T1035" s="24" t="str">
        <f aca="false">IF($A1035="","",INDEX(Workers!$P$5:$P$2004,MATCH($A1035,Workers!$A$5:$A$2004,0))&amp;"")</f>
        <v/>
      </c>
      <c r="U1035" s="24" t="str">
        <f aca="false">IF($A1035="","",INDEX(Workers!$H$5:$H$2004,MATCH($A1035,Workers!$A$5:$A$2004,0))&amp;"")</f>
        <v/>
      </c>
    </row>
    <row r="1036" customFormat="false" ht="15" hidden="false" customHeight="false" outlineLevel="0" collapsed="false">
      <c r="A1036" s="24" t="str">
        <f aca="false">IFERROR(INDEX(Workers!$A$5:$A$2004,MATCH(ROW()-4,Workers!$U$5:$U$2004,0)),"")</f>
        <v/>
      </c>
      <c r="B1036" s="24" t="str">
        <f aca="false">IF($A1036="","",INDEX(Workers!$B$5:$B$2004,MATCH($A1036,Workers!$A$5:$A$2004,0)))</f>
        <v/>
      </c>
      <c r="C1036" s="24" t="str">
        <f aca="false">IF($A1036="","",INDEX(Workers!$E$5:$E$2004,MATCH($A1036,Workers!$A$5:$A$2004,0)))</f>
        <v/>
      </c>
      <c r="D1036" s="24" t="str">
        <f aca="false">IF($A1036="","",INDEX(Workers!$K$5:$K$2004,MATCH($A1036,Workers!$A$5:$A$2004,0)))</f>
        <v/>
      </c>
      <c r="E1036" s="25" t="str">
        <f aca="false">IF($A1036="","",SUMIFS(Timesheet!$E$5:$E$3004,Timesheet!$D$5:$D$3004,$A1036,Timesheet!$A$5:$A$3004,"&gt;="&amp;Settings!$B$8,Timesheet!$A$5:$A$3004,"&lt;="&amp;Settings!$B$9))</f>
        <v/>
      </c>
      <c r="F1036" s="25" t="str">
        <f aca="false">IF($A1036="","",SUMIFS(Timesheet!$F$5:$F$3004,Timesheet!$D$5:$D$3004,$A1036,Timesheet!$A$5:$A$3004,"&gt;="&amp;Settings!$B$8,Timesheet!$A$5:$A$3004,"&lt;="&amp;Settings!$B$9))</f>
        <v/>
      </c>
      <c r="G1036" s="25" t="str">
        <f aca="false">IF($A1036="","",SUMIFS(Timesheet!$G$5:$G$3004,Timesheet!$D$5:$D$3004,$A1036,Timesheet!$A$5:$A$3004,"&gt;="&amp;Settings!$B$8,Timesheet!$A$5:$A$3004,"&lt;="&amp;Settings!$B$9))</f>
        <v/>
      </c>
      <c r="H1036" s="25" t="str">
        <f aca="false">IF($A1036="","",IF(D1036="Monthly",MAX(0,Settings!$B$11-E1036),0))</f>
        <v/>
      </c>
      <c r="I1036" s="26" t="str">
        <f aca="false">IF($A1036="","",N(INDEX(Workers!$L$5:$L$2004,MATCH($A1036,Workers!$A$5:$A$2004,0))))</f>
        <v/>
      </c>
      <c r="J1036" s="26" t="str">
        <f aca="false">IF($A1036="","",N(INDEX(Workers!$M$5:$M$2004,MATCH($A1036,Workers!$A$5:$A$2004,0))))</f>
        <v/>
      </c>
      <c r="K1036" s="26" t="str">
        <f aca="false">IF($A1036="","",IF(D1036="Monthly",ROUND(MAX(0,(I1036+J1036)-(I1036+J1036)/Settings!$B$10*H1036),2),0))</f>
        <v/>
      </c>
      <c r="L1036" s="26" t="str">
        <f aca="false">IF($A1036="","",IF(D1036="Hourly",ROUND(F1036*N(INDEX(Workers!$N$5:$N$2004,MATCH($A1036,Workers!$A$5:$A$2004,0))),2),0))</f>
        <v/>
      </c>
      <c r="M1036" s="26" t="str">
        <f aca="false">IF($A1036="","",ROUND(G1036*IF(D1036="Hourly",N(INDEX(Workers!$N$5:$N$2004,MATCH($A1036,Workers!$A$5:$A$2004,0))),I1036/Settings!$B$10/Settings!$B$12)*Settings!$B$13,2))</f>
        <v/>
      </c>
      <c r="N1036" s="26" t="str">
        <f aca="false">IF($A1036="","",K1036+L1036+M1036)</f>
        <v/>
      </c>
      <c r="O1036" s="26" t="str">
        <f aca="false">IF($A1036="","",SUMIFS(Deductions!$D$5:$D$2000,Deductions!$B$5:$B$2000,$A1036,Deductions!$C$5:$C$2000,"Advance",Deductions!$E$5:$E$2000,"&gt;="&amp;Settings!$B$8,Deductions!$E$5:$E$2000,"&lt;="&amp;Settings!$B$9))</f>
        <v/>
      </c>
      <c r="P1036" s="26" t="str">
        <f aca="false">IF($A1036="","",SUMIFS(Deductions!$D$5:$D$2000,Deductions!$B$5:$B$2000,$A1036,Deductions!$E$5:$E$2000,"&gt;="&amp;Settings!$B$8,Deductions!$E$5:$E$2000,"&lt;="&amp;Settings!$B$9)-O1036)</f>
        <v/>
      </c>
      <c r="Q1036" s="26" t="str">
        <f aca="false">IF($A1036="","",O1036+P1036)</f>
        <v/>
      </c>
      <c r="R1036" s="23" t="str">
        <f aca="false">IF($A1036="","",N1036-Q1036)</f>
        <v/>
      </c>
      <c r="S1036" s="24" t="str">
        <f aca="false">IF($A1036="","",INDEX(Workers!$O$5:$O$2004,MATCH($A1036,Workers!$A$5:$A$2004,0))&amp;"")</f>
        <v/>
      </c>
      <c r="T1036" s="24" t="str">
        <f aca="false">IF($A1036="","",INDEX(Workers!$P$5:$P$2004,MATCH($A1036,Workers!$A$5:$A$2004,0))&amp;"")</f>
        <v/>
      </c>
      <c r="U1036" s="24" t="str">
        <f aca="false">IF($A1036="","",INDEX(Workers!$H$5:$H$2004,MATCH($A1036,Workers!$A$5:$A$2004,0))&amp;"")</f>
        <v/>
      </c>
    </row>
    <row r="1037" customFormat="false" ht="15" hidden="false" customHeight="false" outlineLevel="0" collapsed="false">
      <c r="A1037" s="24" t="str">
        <f aca="false">IFERROR(INDEX(Workers!$A$5:$A$2004,MATCH(ROW()-4,Workers!$U$5:$U$2004,0)),"")</f>
        <v/>
      </c>
      <c r="B1037" s="24" t="str">
        <f aca="false">IF($A1037="","",INDEX(Workers!$B$5:$B$2004,MATCH($A1037,Workers!$A$5:$A$2004,0)))</f>
        <v/>
      </c>
      <c r="C1037" s="24" t="str">
        <f aca="false">IF($A1037="","",INDEX(Workers!$E$5:$E$2004,MATCH($A1037,Workers!$A$5:$A$2004,0)))</f>
        <v/>
      </c>
      <c r="D1037" s="24" t="str">
        <f aca="false">IF($A1037="","",INDEX(Workers!$K$5:$K$2004,MATCH($A1037,Workers!$A$5:$A$2004,0)))</f>
        <v/>
      </c>
      <c r="E1037" s="25" t="str">
        <f aca="false">IF($A1037="","",SUMIFS(Timesheet!$E$5:$E$3004,Timesheet!$D$5:$D$3004,$A1037,Timesheet!$A$5:$A$3004,"&gt;="&amp;Settings!$B$8,Timesheet!$A$5:$A$3004,"&lt;="&amp;Settings!$B$9))</f>
        <v/>
      </c>
      <c r="F1037" s="25" t="str">
        <f aca="false">IF($A1037="","",SUMIFS(Timesheet!$F$5:$F$3004,Timesheet!$D$5:$D$3004,$A1037,Timesheet!$A$5:$A$3004,"&gt;="&amp;Settings!$B$8,Timesheet!$A$5:$A$3004,"&lt;="&amp;Settings!$B$9))</f>
        <v/>
      </c>
      <c r="G1037" s="25" t="str">
        <f aca="false">IF($A1037="","",SUMIFS(Timesheet!$G$5:$G$3004,Timesheet!$D$5:$D$3004,$A1037,Timesheet!$A$5:$A$3004,"&gt;="&amp;Settings!$B$8,Timesheet!$A$5:$A$3004,"&lt;="&amp;Settings!$B$9))</f>
        <v/>
      </c>
      <c r="H1037" s="25" t="str">
        <f aca="false">IF($A1037="","",IF(D1037="Monthly",MAX(0,Settings!$B$11-E1037),0))</f>
        <v/>
      </c>
      <c r="I1037" s="26" t="str">
        <f aca="false">IF($A1037="","",N(INDEX(Workers!$L$5:$L$2004,MATCH($A1037,Workers!$A$5:$A$2004,0))))</f>
        <v/>
      </c>
      <c r="J1037" s="26" t="str">
        <f aca="false">IF($A1037="","",N(INDEX(Workers!$M$5:$M$2004,MATCH($A1037,Workers!$A$5:$A$2004,0))))</f>
        <v/>
      </c>
      <c r="K1037" s="26" t="str">
        <f aca="false">IF($A1037="","",IF(D1037="Monthly",ROUND(MAX(0,(I1037+J1037)-(I1037+J1037)/Settings!$B$10*H1037),2),0))</f>
        <v/>
      </c>
      <c r="L1037" s="26" t="str">
        <f aca="false">IF($A1037="","",IF(D1037="Hourly",ROUND(F1037*N(INDEX(Workers!$N$5:$N$2004,MATCH($A1037,Workers!$A$5:$A$2004,0))),2),0))</f>
        <v/>
      </c>
      <c r="M1037" s="26" t="str">
        <f aca="false">IF($A1037="","",ROUND(G1037*IF(D1037="Hourly",N(INDEX(Workers!$N$5:$N$2004,MATCH($A1037,Workers!$A$5:$A$2004,0))),I1037/Settings!$B$10/Settings!$B$12)*Settings!$B$13,2))</f>
        <v/>
      </c>
      <c r="N1037" s="26" t="str">
        <f aca="false">IF($A1037="","",K1037+L1037+M1037)</f>
        <v/>
      </c>
      <c r="O1037" s="26" t="str">
        <f aca="false">IF($A1037="","",SUMIFS(Deductions!$D$5:$D$2000,Deductions!$B$5:$B$2000,$A1037,Deductions!$C$5:$C$2000,"Advance",Deductions!$E$5:$E$2000,"&gt;="&amp;Settings!$B$8,Deductions!$E$5:$E$2000,"&lt;="&amp;Settings!$B$9))</f>
        <v/>
      </c>
      <c r="P1037" s="26" t="str">
        <f aca="false">IF($A1037="","",SUMIFS(Deductions!$D$5:$D$2000,Deductions!$B$5:$B$2000,$A1037,Deductions!$E$5:$E$2000,"&gt;="&amp;Settings!$B$8,Deductions!$E$5:$E$2000,"&lt;="&amp;Settings!$B$9)-O1037)</f>
        <v/>
      </c>
      <c r="Q1037" s="26" t="str">
        <f aca="false">IF($A1037="","",O1037+P1037)</f>
        <v/>
      </c>
      <c r="R1037" s="23" t="str">
        <f aca="false">IF($A1037="","",N1037-Q1037)</f>
        <v/>
      </c>
      <c r="S1037" s="24" t="str">
        <f aca="false">IF($A1037="","",INDEX(Workers!$O$5:$O$2004,MATCH($A1037,Workers!$A$5:$A$2004,0))&amp;"")</f>
        <v/>
      </c>
      <c r="T1037" s="24" t="str">
        <f aca="false">IF($A1037="","",INDEX(Workers!$P$5:$P$2004,MATCH($A1037,Workers!$A$5:$A$2004,0))&amp;"")</f>
        <v/>
      </c>
      <c r="U1037" s="24" t="str">
        <f aca="false">IF($A1037="","",INDEX(Workers!$H$5:$H$2004,MATCH($A1037,Workers!$A$5:$A$2004,0))&amp;"")</f>
        <v/>
      </c>
    </row>
    <row r="1038" customFormat="false" ht="15" hidden="false" customHeight="false" outlineLevel="0" collapsed="false">
      <c r="A1038" s="24" t="str">
        <f aca="false">IFERROR(INDEX(Workers!$A$5:$A$2004,MATCH(ROW()-4,Workers!$U$5:$U$2004,0)),"")</f>
        <v/>
      </c>
      <c r="B1038" s="24" t="str">
        <f aca="false">IF($A1038="","",INDEX(Workers!$B$5:$B$2004,MATCH($A1038,Workers!$A$5:$A$2004,0)))</f>
        <v/>
      </c>
      <c r="C1038" s="24" t="str">
        <f aca="false">IF($A1038="","",INDEX(Workers!$E$5:$E$2004,MATCH($A1038,Workers!$A$5:$A$2004,0)))</f>
        <v/>
      </c>
      <c r="D1038" s="24" t="str">
        <f aca="false">IF($A1038="","",INDEX(Workers!$K$5:$K$2004,MATCH($A1038,Workers!$A$5:$A$2004,0)))</f>
        <v/>
      </c>
      <c r="E1038" s="25" t="str">
        <f aca="false">IF($A1038="","",SUMIFS(Timesheet!$E$5:$E$3004,Timesheet!$D$5:$D$3004,$A1038,Timesheet!$A$5:$A$3004,"&gt;="&amp;Settings!$B$8,Timesheet!$A$5:$A$3004,"&lt;="&amp;Settings!$B$9))</f>
        <v/>
      </c>
      <c r="F1038" s="25" t="str">
        <f aca="false">IF($A1038="","",SUMIFS(Timesheet!$F$5:$F$3004,Timesheet!$D$5:$D$3004,$A1038,Timesheet!$A$5:$A$3004,"&gt;="&amp;Settings!$B$8,Timesheet!$A$5:$A$3004,"&lt;="&amp;Settings!$B$9))</f>
        <v/>
      </c>
      <c r="G1038" s="25" t="str">
        <f aca="false">IF($A1038="","",SUMIFS(Timesheet!$G$5:$G$3004,Timesheet!$D$5:$D$3004,$A1038,Timesheet!$A$5:$A$3004,"&gt;="&amp;Settings!$B$8,Timesheet!$A$5:$A$3004,"&lt;="&amp;Settings!$B$9))</f>
        <v/>
      </c>
      <c r="H1038" s="25" t="str">
        <f aca="false">IF($A1038="","",IF(D1038="Monthly",MAX(0,Settings!$B$11-E1038),0))</f>
        <v/>
      </c>
      <c r="I1038" s="26" t="str">
        <f aca="false">IF($A1038="","",N(INDEX(Workers!$L$5:$L$2004,MATCH($A1038,Workers!$A$5:$A$2004,0))))</f>
        <v/>
      </c>
      <c r="J1038" s="26" t="str">
        <f aca="false">IF($A1038="","",N(INDEX(Workers!$M$5:$M$2004,MATCH($A1038,Workers!$A$5:$A$2004,0))))</f>
        <v/>
      </c>
      <c r="K1038" s="26" t="str">
        <f aca="false">IF($A1038="","",IF(D1038="Monthly",ROUND(MAX(0,(I1038+J1038)-(I1038+J1038)/Settings!$B$10*H1038),2),0))</f>
        <v/>
      </c>
      <c r="L1038" s="26" t="str">
        <f aca="false">IF($A1038="","",IF(D1038="Hourly",ROUND(F1038*N(INDEX(Workers!$N$5:$N$2004,MATCH($A1038,Workers!$A$5:$A$2004,0))),2),0))</f>
        <v/>
      </c>
      <c r="M1038" s="26" t="str">
        <f aca="false">IF($A1038="","",ROUND(G1038*IF(D1038="Hourly",N(INDEX(Workers!$N$5:$N$2004,MATCH($A1038,Workers!$A$5:$A$2004,0))),I1038/Settings!$B$10/Settings!$B$12)*Settings!$B$13,2))</f>
        <v/>
      </c>
      <c r="N1038" s="26" t="str">
        <f aca="false">IF($A1038="","",K1038+L1038+M1038)</f>
        <v/>
      </c>
      <c r="O1038" s="26" t="str">
        <f aca="false">IF($A1038="","",SUMIFS(Deductions!$D$5:$D$2000,Deductions!$B$5:$B$2000,$A1038,Deductions!$C$5:$C$2000,"Advance",Deductions!$E$5:$E$2000,"&gt;="&amp;Settings!$B$8,Deductions!$E$5:$E$2000,"&lt;="&amp;Settings!$B$9))</f>
        <v/>
      </c>
      <c r="P1038" s="26" t="str">
        <f aca="false">IF($A1038="","",SUMIFS(Deductions!$D$5:$D$2000,Deductions!$B$5:$B$2000,$A1038,Deductions!$E$5:$E$2000,"&gt;="&amp;Settings!$B$8,Deductions!$E$5:$E$2000,"&lt;="&amp;Settings!$B$9)-O1038)</f>
        <v/>
      </c>
      <c r="Q1038" s="26" t="str">
        <f aca="false">IF($A1038="","",O1038+P1038)</f>
        <v/>
      </c>
      <c r="R1038" s="23" t="str">
        <f aca="false">IF($A1038="","",N1038-Q1038)</f>
        <v/>
      </c>
      <c r="S1038" s="24" t="str">
        <f aca="false">IF($A1038="","",INDEX(Workers!$O$5:$O$2004,MATCH($A1038,Workers!$A$5:$A$2004,0))&amp;"")</f>
        <v/>
      </c>
      <c r="T1038" s="24" t="str">
        <f aca="false">IF($A1038="","",INDEX(Workers!$P$5:$P$2004,MATCH($A1038,Workers!$A$5:$A$2004,0))&amp;"")</f>
        <v/>
      </c>
      <c r="U1038" s="24" t="str">
        <f aca="false">IF($A1038="","",INDEX(Workers!$H$5:$H$2004,MATCH($A1038,Workers!$A$5:$A$2004,0))&amp;"")</f>
        <v/>
      </c>
    </row>
    <row r="1039" customFormat="false" ht="15" hidden="false" customHeight="false" outlineLevel="0" collapsed="false">
      <c r="A1039" s="24" t="str">
        <f aca="false">IFERROR(INDEX(Workers!$A$5:$A$2004,MATCH(ROW()-4,Workers!$U$5:$U$2004,0)),"")</f>
        <v/>
      </c>
      <c r="B1039" s="24" t="str">
        <f aca="false">IF($A1039="","",INDEX(Workers!$B$5:$B$2004,MATCH($A1039,Workers!$A$5:$A$2004,0)))</f>
        <v/>
      </c>
      <c r="C1039" s="24" t="str">
        <f aca="false">IF($A1039="","",INDEX(Workers!$E$5:$E$2004,MATCH($A1039,Workers!$A$5:$A$2004,0)))</f>
        <v/>
      </c>
      <c r="D1039" s="24" t="str">
        <f aca="false">IF($A1039="","",INDEX(Workers!$K$5:$K$2004,MATCH($A1039,Workers!$A$5:$A$2004,0)))</f>
        <v/>
      </c>
      <c r="E1039" s="25" t="str">
        <f aca="false">IF($A1039="","",SUMIFS(Timesheet!$E$5:$E$3004,Timesheet!$D$5:$D$3004,$A1039,Timesheet!$A$5:$A$3004,"&gt;="&amp;Settings!$B$8,Timesheet!$A$5:$A$3004,"&lt;="&amp;Settings!$B$9))</f>
        <v/>
      </c>
      <c r="F1039" s="25" t="str">
        <f aca="false">IF($A1039="","",SUMIFS(Timesheet!$F$5:$F$3004,Timesheet!$D$5:$D$3004,$A1039,Timesheet!$A$5:$A$3004,"&gt;="&amp;Settings!$B$8,Timesheet!$A$5:$A$3004,"&lt;="&amp;Settings!$B$9))</f>
        <v/>
      </c>
      <c r="G1039" s="25" t="str">
        <f aca="false">IF($A1039="","",SUMIFS(Timesheet!$G$5:$G$3004,Timesheet!$D$5:$D$3004,$A1039,Timesheet!$A$5:$A$3004,"&gt;="&amp;Settings!$B$8,Timesheet!$A$5:$A$3004,"&lt;="&amp;Settings!$B$9))</f>
        <v/>
      </c>
      <c r="H1039" s="25" t="str">
        <f aca="false">IF($A1039="","",IF(D1039="Monthly",MAX(0,Settings!$B$11-E1039),0))</f>
        <v/>
      </c>
      <c r="I1039" s="26" t="str">
        <f aca="false">IF($A1039="","",N(INDEX(Workers!$L$5:$L$2004,MATCH($A1039,Workers!$A$5:$A$2004,0))))</f>
        <v/>
      </c>
      <c r="J1039" s="26" t="str">
        <f aca="false">IF($A1039="","",N(INDEX(Workers!$M$5:$M$2004,MATCH($A1039,Workers!$A$5:$A$2004,0))))</f>
        <v/>
      </c>
      <c r="K1039" s="26" t="str">
        <f aca="false">IF($A1039="","",IF(D1039="Monthly",ROUND(MAX(0,(I1039+J1039)-(I1039+J1039)/Settings!$B$10*H1039),2),0))</f>
        <v/>
      </c>
      <c r="L1039" s="26" t="str">
        <f aca="false">IF($A1039="","",IF(D1039="Hourly",ROUND(F1039*N(INDEX(Workers!$N$5:$N$2004,MATCH($A1039,Workers!$A$5:$A$2004,0))),2),0))</f>
        <v/>
      </c>
      <c r="M1039" s="26" t="str">
        <f aca="false">IF($A1039="","",ROUND(G1039*IF(D1039="Hourly",N(INDEX(Workers!$N$5:$N$2004,MATCH($A1039,Workers!$A$5:$A$2004,0))),I1039/Settings!$B$10/Settings!$B$12)*Settings!$B$13,2))</f>
        <v/>
      </c>
      <c r="N1039" s="26" t="str">
        <f aca="false">IF($A1039="","",K1039+L1039+M1039)</f>
        <v/>
      </c>
      <c r="O1039" s="26" t="str">
        <f aca="false">IF($A1039="","",SUMIFS(Deductions!$D$5:$D$2000,Deductions!$B$5:$B$2000,$A1039,Deductions!$C$5:$C$2000,"Advance",Deductions!$E$5:$E$2000,"&gt;="&amp;Settings!$B$8,Deductions!$E$5:$E$2000,"&lt;="&amp;Settings!$B$9))</f>
        <v/>
      </c>
      <c r="P1039" s="26" t="str">
        <f aca="false">IF($A1039="","",SUMIFS(Deductions!$D$5:$D$2000,Deductions!$B$5:$B$2000,$A1039,Deductions!$E$5:$E$2000,"&gt;="&amp;Settings!$B$8,Deductions!$E$5:$E$2000,"&lt;="&amp;Settings!$B$9)-O1039)</f>
        <v/>
      </c>
      <c r="Q1039" s="26" t="str">
        <f aca="false">IF($A1039="","",O1039+P1039)</f>
        <v/>
      </c>
      <c r="R1039" s="23" t="str">
        <f aca="false">IF($A1039="","",N1039-Q1039)</f>
        <v/>
      </c>
      <c r="S1039" s="24" t="str">
        <f aca="false">IF($A1039="","",INDEX(Workers!$O$5:$O$2004,MATCH($A1039,Workers!$A$5:$A$2004,0))&amp;"")</f>
        <v/>
      </c>
      <c r="T1039" s="24" t="str">
        <f aca="false">IF($A1039="","",INDEX(Workers!$P$5:$P$2004,MATCH($A1039,Workers!$A$5:$A$2004,0))&amp;"")</f>
        <v/>
      </c>
      <c r="U1039" s="24" t="str">
        <f aca="false">IF($A1039="","",INDEX(Workers!$H$5:$H$2004,MATCH($A1039,Workers!$A$5:$A$2004,0))&amp;"")</f>
        <v/>
      </c>
    </row>
    <row r="1040" customFormat="false" ht="15" hidden="false" customHeight="false" outlineLevel="0" collapsed="false">
      <c r="A1040" s="24" t="str">
        <f aca="false">IFERROR(INDEX(Workers!$A$5:$A$2004,MATCH(ROW()-4,Workers!$U$5:$U$2004,0)),"")</f>
        <v/>
      </c>
      <c r="B1040" s="24" t="str">
        <f aca="false">IF($A1040="","",INDEX(Workers!$B$5:$B$2004,MATCH($A1040,Workers!$A$5:$A$2004,0)))</f>
        <v/>
      </c>
      <c r="C1040" s="24" t="str">
        <f aca="false">IF($A1040="","",INDEX(Workers!$E$5:$E$2004,MATCH($A1040,Workers!$A$5:$A$2004,0)))</f>
        <v/>
      </c>
      <c r="D1040" s="24" t="str">
        <f aca="false">IF($A1040="","",INDEX(Workers!$K$5:$K$2004,MATCH($A1040,Workers!$A$5:$A$2004,0)))</f>
        <v/>
      </c>
      <c r="E1040" s="25" t="str">
        <f aca="false">IF($A1040="","",SUMIFS(Timesheet!$E$5:$E$3004,Timesheet!$D$5:$D$3004,$A1040,Timesheet!$A$5:$A$3004,"&gt;="&amp;Settings!$B$8,Timesheet!$A$5:$A$3004,"&lt;="&amp;Settings!$B$9))</f>
        <v/>
      </c>
      <c r="F1040" s="25" t="str">
        <f aca="false">IF($A1040="","",SUMIFS(Timesheet!$F$5:$F$3004,Timesheet!$D$5:$D$3004,$A1040,Timesheet!$A$5:$A$3004,"&gt;="&amp;Settings!$B$8,Timesheet!$A$5:$A$3004,"&lt;="&amp;Settings!$B$9))</f>
        <v/>
      </c>
      <c r="G1040" s="25" t="str">
        <f aca="false">IF($A1040="","",SUMIFS(Timesheet!$G$5:$G$3004,Timesheet!$D$5:$D$3004,$A1040,Timesheet!$A$5:$A$3004,"&gt;="&amp;Settings!$B$8,Timesheet!$A$5:$A$3004,"&lt;="&amp;Settings!$B$9))</f>
        <v/>
      </c>
      <c r="H1040" s="25" t="str">
        <f aca="false">IF($A1040="","",IF(D1040="Monthly",MAX(0,Settings!$B$11-E1040),0))</f>
        <v/>
      </c>
      <c r="I1040" s="26" t="str">
        <f aca="false">IF($A1040="","",N(INDEX(Workers!$L$5:$L$2004,MATCH($A1040,Workers!$A$5:$A$2004,0))))</f>
        <v/>
      </c>
      <c r="J1040" s="26" t="str">
        <f aca="false">IF($A1040="","",N(INDEX(Workers!$M$5:$M$2004,MATCH($A1040,Workers!$A$5:$A$2004,0))))</f>
        <v/>
      </c>
      <c r="K1040" s="26" t="str">
        <f aca="false">IF($A1040="","",IF(D1040="Monthly",ROUND(MAX(0,(I1040+J1040)-(I1040+J1040)/Settings!$B$10*H1040),2),0))</f>
        <v/>
      </c>
      <c r="L1040" s="26" t="str">
        <f aca="false">IF($A1040="","",IF(D1040="Hourly",ROUND(F1040*N(INDEX(Workers!$N$5:$N$2004,MATCH($A1040,Workers!$A$5:$A$2004,0))),2),0))</f>
        <v/>
      </c>
      <c r="M1040" s="26" t="str">
        <f aca="false">IF($A1040="","",ROUND(G1040*IF(D1040="Hourly",N(INDEX(Workers!$N$5:$N$2004,MATCH($A1040,Workers!$A$5:$A$2004,0))),I1040/Settings!$B$10/Settings!$B$12)*Settings!$B$13,2))</f>
        <v/>
      </c>
      <c r="N1040" s="26" t="str">
        <f aca="false">IF($A1040="","",K1040+L1040+M1040)</f>
        <v/>
      </c>
      <c r="O1040" s="26" t="str">
        <f aca="false">IF($A1040="","",SUMIFS(Deductions!$D$5:$D$2000,Deductions!$B$5:$B$2000,$A1040,Deductions!$C$5:$C$2000,"Advance",Deductions!$E$5:$E$2000,"&gt;="&amp;Settings!$B$8,Deductions!$E$5:$E$2000,"&lt;="&amp;Settings!$B$9))</f>
        <v/>
      </c>
      <c r="P1040" s="26" t="str">
        <f aca="false">IF($A1040="","",SUMIFS(Deductions!$D$5:$D$2000,Deductions!$B$5:$B$2000,$A1040,Deductions!$E$5:$E$2000,"&gt;="&amp;Settings!$B$8,Deductions!$E$5:$E$2000,"&lt;="&amp;Settings!$B$9)-O1040)</f>
        <v/>
      </c>
      <c r="Q1040" s="26" t="str">
        <f aca="false">IF($A1040="","",O1040+P1040)</f>
        <v/>
      </c>
      <c r="R1040" s="23" t="str">
        <f aca="false">IF($A1040="","",N1040-Q1040)</f>
        <v/>
      </c>
      <c r="S1040" s="24" t="str">
        <f aca="false">IF($A1040="","",INDEX(Workers!$O$5:$O$2004,MATCH($A1040,Workers!$A$5:$A$2004,0))&amp;"")</f>
        <v/>
      </c>
      <c r="T1040" s="24" t="str">
        <f aca="false">IF($A1040="","",INDEX(Workers!$P$5:$P$2004,MATCH($A1040,Workers!$A$5:$A$2004,0))&amp;"")</f>
        <v/>
      </c>
      <c r="U1040" s="24" t="str">
        <f aca="false">IF($A1040="","",INDEX(Workers!$H$5:$H$2004,MATCH($A1040,Workers!$A$5:$A$2004,0))&amp;"")</f>
        <v/>
      </c>
    </row>
    <row r="1041" customFormat="false" ht="15" hidden="false" customHeight="false" outlineLevel="0" collapsed="false">
      <c r="A1041" s="24" t="str">
        <f aca="false">IFERROR(INDEX(Workers!$A$5:$A$2004,MATCH(ROW()-4,Workers!$U$5:$U$2004,0)),"")</f>
        <v/>
      </c>
      <c r="B1041" s="24" t="str">
        <f aca="false">IF($A1041="","",INDEX(Workers!$B$5:$B$2004,MATCH($A1041,Workers!$A$5:$A$2004,0)))</f>
        <v/>
      </c>
      <c r="C1041" s="24" t="str">
        <f aca="false">IF($A1041="","",INDEX(Workers!$E$5:$E$2004,MATCH($A1041,Workers!$A$5:$A$2004,0)))</f>
        <v/>
      </c>
      <c r="D1041" s="24" t="str">
        <f aca="false">IF($A1041="","",INDEX(Workers!$K$5:$K$2004,MATCH($A1041,Workers!$A$5:$A$2004,0)))</f>
        <v/>
      </c>
      <c r="E1041" s="25" t="str">
        <f aca="false">IF($A1041="","",SUMIFS(Timesheet!$E$5:$E$3004,Timesheet!$D$5:$D$3004,$A1041,Timesheet!$A$5:$A$3004,"&gt;="&amp;Settings!$B$8,Timesheet!$A$5:$A$3004,"&lt;="&amp;Settings!$B$9))</f>
        <v/>
      </c>
      <c r="F1041" s="25" t="str">
        <f aca="false">IF($A1041="","",SUMIFS(Timesheet!$F$5:$F$3004,Timesheet!$D$5:$D$3004,$A1041,Timesheet!$A$5:$A$3004,"&gt;="&amp;Settings!$B$8,Timesheet!$A$5:$A$3004,"&lt;="&amp;Settings!$B$9))</f>
        <v/>
      </c>
      <c r="G1041" s="25" t="str">
        <f aca="false">IF($A1041="","",SUMIFS(Timesheet!$G$5:$G$3004,Timesheet!$D$5:$D$3004,$A1041,Timesheet!$A$5:$A$3004,"&gt;="&amp;Settings!$B$8,Timesheet!$A$5:$A$3004,"&lt;="&amp;Settings!$B$9))</f>
        <v/>
      </c>
      <c r="H1041" s="25" t="str">
        <f aca="false">IF($A1041="","",IF(D1041="Monthly",MAX(0,Settings!$B$11-E1041),0))</f>
        <v/>
      </c>
      <c r="I1041" s="26" t="str">
        <f aca="false">IF($A1041="","",N(INDEX(Workers!$L$5:$L$2004,MATCH($A1041,Workers!$A$5:$A$2004,0))))</f>
        <v/>
      </c>
      <c r="J1041" s="26" t="str">
        <f aca="false">IF($A1041="","",N(INDEX(Workers!$M$5:$M$2004,MATCH($A1041,Workers!$A$5:$A$2004,0))))</f>
        <v/>
      </c>
      <c r="K1041" s="26" t="str">
        <f aca="false">IF($A1041="","",IF(D1041="Monthly",ROUND(MAX(0,(I1041+J1041)-(I1041+J1041)/Settings!$B$10*H1041),2),0))</f>
        <v/>
      </c>
      <c r="L1041" s="26" t="str">
        <f aca="false">IF($A1041="","",IF(D1041="Hourly",ROUND(F1041*N(INDEX(Workers!$N$5:$N$2004,MATCH($A1041,Workers!$A$5:$A$2004,0))),2),0))</f>
        <v/>
      </c>
      <c r="M1041" s="26" t="str">
        <f aca="false">IF($A1041="","",ROUND(G1041*IF(D1041="Hourly",N(INDEX(Workers!$N$5:$N$2004,MATCH($A1041,Workers!$A$5:$A$2004,0))),I1041/Settings!$B$10/Settings!$B$12)*Settings!$B$13,2))</f>
        <v/>
      </c>
      <c r="N1041" s="26" t="str">
        <f aca="false">IF($A1041="","",K1041+L1041+M1041)</f>
        <v/>
      </c>
      <c r="O1041" s="26" t="str">
        <f aca="false">IF($A1041="","",SUMIFS(Deductions!$D$5:$D$2000,Deductions!$B$5:$B$2000,$A1041,Deductions!$C$5:$C$2000,"Advance",Deductions!$E$5:$E$2000,"&gt;="&amp;Settings!$B$8,Deductions!$E$5:$E$2000,"&lt;="&amp;Settings!$B$9))</f>
        <v/>
      </c>
      <c r="P1041" s="26" t="str">
        <f aca="false">IF($A1041="","",SUMIFS(Deductions!$D$5:$D$2000,Deductions!$B$5:$B$2000,$A1041,Deductions!$E$5:$E$2000,"&gt;="&amp;Settings!$B$8,Deductions!$E$5:$E$2000,"&lt;="&amp;Settings!$B$9)-O1041)</f>
        <v/>
      </c>
      <c r="Q1041" s="26" t="str">
        <f aca="false">IF($A1041="","",O1041+P1041)</f>
        <v/>
      </c>
      <c r="R1041" s="23" t="str">
        <f aca="false">IF($A1041="","",N1041-Q1041)</f>
        <v/>
      </c>
      <c r="S1041" s="24" t="str">
        <f aca="false">IF($A1041="","",INDEX(Workers!$O$5:$O$2004,MATCH($A1041,Workers!$A$5:$A$2004,0))&amp;"")</f>
        <v/>
      </c>
      <c r="T1041" s="24" t="str">
        <f aca="false">IF($A1041="","",INDEX(Workers!$P$5:$P$2004,MATCH($A1041,Workers!$A$5:$A$2004,0))&amp;"")</f>
        <v/>
      </c>
      <c r="U1041" s="24" t="str">
        <f aca="false">IF($A1041="","",INDEX(Workers!$H$5:$H$2004,MATCH($A1041,Workers!$A$5:$A$2004,0))&amp;"")</f>
        <v/>
      </c>
    </row>
    <row r="1042" customFormat="false" ht="15" hidden="false" customHeight="false" outlineLevel="0" collapsed="false">
      <c r="A1042" s="24" t="str">
        <f aca="false">IFERROR(INDEX(Workers!$A$5:$A$2004,MATCH(ROW()-4,Workers!$U$5:$U$2004,0)),"")</f>
        <v/>
      </c>
      <c r="B1042" s="24" t="str">
        <f aca="false">IF($A1042="","",INDEX(Workers!$B$5:$B$2004,MATCH($A1042,Workers!$A$5:$A$2004,0)))</f>
        <v/>
      </c>
      <c r="C1042" s="24" t="str">
        <f aca="false">IF($A1042="","",INDEX(Workers!$E$5:$E$2004,MATCH($A1042,Workers!$A$5:$A$2004,0)))</f>
        <v/>
      </c>
      <c r="D1042" s="24" t="str">
        <f aca="false">IF($A1042="","",INDEX(Workers!$K$5:$K$2004,MATCH($A1042,Workers!$A$5:$A$2004,0)))</f>
        <v/>
      </c>
      <c r="E1042" s="25" t="str">
        <f aca="false">IF($A1042="","",SUMIFS(Timesheet!$E$5:$E$3004,Timesheet!$D$5:$D$3004,$A1042,Timesheet!$A$5:$A$3004,"&gt;="&amp;Settings!$B$8,Timesheet!$A$5:$A$3004,"&lt;="&amp;Settings!$B$9))</f>
        <v/>
      </c>
      <c r="F1042" s="25" t="str">
        <f aca="false">IF($A1042="","",SUMIFS(Timesheet!$F$5:$F$3004,Timesheet!$D$5:$D$3004,$A1042,Timesheet!$A$5:$A$3004,"&gt;="&amp;Settings!$B$8,Timesheet!$A$5:$A$3004,"&lt;="&amp;Settings!$B$9))</f>
        <v/>
      </c>
      <c r="G1042" s="25" t="str">
        <f aca="false">IF($A1042="","",SUMIFS(Timesheet!$G$5:$G$3004,Timesheet!$D$5:$D$3004,$A1042,Timesheet!$A$5:$A$3004,"&gt;="&amp;Settings!$B$8,Timesheet!$A$5:$A$3004,"&lt;="&amp;Settings!$B$9))</f>
        <v/>
      </c>
      <c r="H1042" s="25" t="str">
        <f aca="false">IF($A1042="","",IF(D1042="Monthly",MAX(0,Settings!$B$11-E1042),0))</f>
        <v/>
      </c>
      <c r="I1042" s="26" t="str">
        <f aca="false">IF($A1042="","",N(INDEX(Workers!$L$5:$L$2004,MATCH($A1042,Workers!$A$5:$A$2004,0))))</f>
        <v/>
      </c>
      <c r="J1042" s="26" t="str">
        <f aca="false">IF($A1042="","",N(INDEX(Workers!$M$5:$M$2004,MATCH($A1042,Workers!$A$5:$A$2004,0))))</f>
        <v/>
      </c>
      <c r="K1042" s="26" t="str">
        <f aca="false">IF($A1042="","",IF(D1042="Monthly",ROUND(MAX(0,(I1042+J1042)-(I1042+J1042)/Settings!$B$10*H1042),2),0))</f>
        <v/>
      </c>
      <c r="L1042" s="26" t="str">
        <f aca="false">IF($A1042="","",IF(D1042="Hourly",ROUND(F1042*N(INDEX(Workers!$N$5:$N$2004,MATCH($A1042,Workers!$A$5:$A$2004,0))),2),0))</f>
        <v/>
      </c>
      <c r="M1042" s="26" t="str">
        <f aca="false">IF($A1042="","",ROUND(G1042*IF(D1042="Hourly",N(INDEX(Workers!$N$5:$N$2004,MATCH($A1042,Workers!$A$5:$A$2004,0))),I1042/Settings!$B$10/Settings!$B$12)*Settings!$B$13,2))</f>
        <v/>
      </c>
      <c r="N1042" s="26" t="str">
        <f aca="false">IF($A1042="","",K1042+L1042+M1042)</f>
        <v/>
      </c>
      <c r="O1042" s="26" t="str">
        <f aca="false">IF($A1042="","",SUMIFS(Deductions!$D$5:$D$2000,Deductions!$B$5:$B$2000,$A1042,Deductions!$C$5:$C$2000,"Advance",Deductions!$E$5:$E$2000,"&gt;="&amp;Settings!$B$8,Deductions!$E$5:$E$2000,"&lt;="&amp;Settings!$B$9))</f>
        <v/>
      </c>
      <c r="P1042" s="26" t="str">
        <f aca="false">IF($A1042="","",SUMIFS(Deductions!$D$5:$D$2000,Deductions!$B$5:$B$2000,$A1042,Deductions!$E$5:$E$2000,"&gt;="&amp;Settings!$B$8,Deductions!$E$5:$E$2000,"&lt;="&amp;Settings!$B$9)-O1042)</f>
        <v/>
      </c>
      <c r="Q1042" s="26" t="str">
        <f aca="false">IF($A1042="","",O1042+P1042)</f>
        <v/>
      </c>
      <c r="R1042" s="23" t="str">
        <f aca="false">IF($A1042="","",N1042-Q1042)</f>
        <v/>
      </c>
      <c r="S1042" s="24" t="str">
        <f aca="false">IF($A1042="","",INDEX(Workers!$O$5:$O$2004,MATCH($A1042,Workers!$A$5:$A$2004,0))&amp;"")</f>
        <v/>
      </c>
      <c r="T1042" s="24" t="str">
        <f aca="false">IF($A1042="","",INDEX(Workers!$P$5:$P$2004,MATCH($A1042,Workers!$A$5:$A$2004,0))&amp;"")</f>
        <v/>
      </c>
      <c r="U1042" s="24" t="str">
        <f aca="false">IF($A1042="","",INDEX(Workers!$H$5:$H$2004,MATCH($A1042,Workers!$A$5:$A$2004,0))&amp;"")</f>
        <v/>
      </c>
    </row>
    <row r="1043" customFormat="false" ht="15" hidden="false" customHeight="false" outlineLevel="0" collapsed="false">
      <c r="A1043" s="24" t="str">
        <f aca="false">IFERROR(INDEX(Workers!$A$5:$A$2004,MATCH(ROW()-4,Workers!$U$5:$U$2004,0)),"")</f>
        <v/>
      </c>
      <c r="B1043" s="24" t="str">
        <f aca="false">IF($A1043="","",INDEX(Workers!$B$5:$B$2004,MATCH($A1043,Workers!$A$5:$A$2004,0)))</f>
        <v/>
      </c>
      <c r="C1043" s="24" t="str">
        <f aca="false">IF($A1043="","",INDEX(Workers!$E$5:$E$2004,MATCH($A1043,Workers!$A$5:$A$2004,0)))</f>
        <v/>
      </c>
      <c r="D1043" s="24" t="str">
        <f aca="false">IF($A1043="","",INDEX(Workers!$K$5:$K$2004,MATCH($A1043,Workers!$A$5:$A$2004,0)))</f>
        <v/>
      </c>
      <c r="E1043" s="25" t="str">
        <f aca="false">IF($A1043="","",SUMIFS(Timesheet!$E$5:$E$3004,Timesheet!$D$5:$D$3004,$A1043,Timesheet!$A$5:$A$3004,"&gt;="&amp;Settings!$B$8,Timesheet!$A$5:$A$3004,"&lt;="&amp;Settings!$B$9))</f>
        <v/>
      </c>
      <c r="F1043" s="25" t="str">
        <f aca="false">IF($A1043="","",SUMIFS(Timesheet!$F$5:$F$3004,Timesheet!$D$5:$D$3004,$A1043,Timesheet!$A$5:$A$3004,"&gt;="&amp;Settings!$B$8,Timesheet!$A$5:$A$3004,"&lt;="&amp;Settings!$B$9))</f>
        <v/>
      </c>
      <c r="G1043" s="25" t="str">
        <f aca="false">IF($A1043="","",SUMIFS(Timesheet!$G$5:$G$3004,Timesheet!$D$5:$D$3004,$A1043,Timesheet!$A$5:$A$3004,"&gt;="&amp;Settings!$B$8,Timesheet!$A$5:$A$3004,"&lt;="&amp;Settings!$B$9))</f>
        <v/>
      </c>
      <c r="H1043" s="25" t="str">
        <f aca="false">IF($A1043="","",IF(D1043="Monthly",MAX(0,Settings!$B$11-E1043),0))</f>
        <v/>
      </c>
      <c r="I1043" s="26" t="str">
        <f aca="false">IF($A1043="","",N(INDEX(Workers!$L$5:$L$2004,MATCH($A1043,Workers!$A$5:$A$2004,0))))</f>
        <v/>
      </c>
      <c r="J1043" s="26" t="str">
        <f aca="false">IF($A1043="","",N(INDEX(Workers!$M$5:$M$2004,MATCH($A1043,Workers!$A$5:$A$2004,0))))</f>
        <v/>
      </c>
      <c r="K1043" s="26" t="str">
        <f aca="false">IF($A1043="","",IF(D1043="Monthly",ROUND(MAX(0,(I1043+J1043)-(I1043+J1043)/Settings!$B$10*H1043),2),0))</f>
        <v/>
      </c>
      <c r="L1043" s="26" t="str">
        <f aca="false">IF($A1043="","",IF(D1043="Hourly",ROUND(F1043*N(INDEX(Workers!$N$5:$N$2004,MATCH($A1043,Workers!$A$5:$A$2004,0))),2),0))</f>
        <v/>
      </c>
      <c r="M1043" s="26" t="str">
        <f aca="false">IF($A1043="","",ROUND(G1043*IF(D1043="Hourly",N(INDEX(Workers!$N$5:$N$2004,MATCH($A1043,Workers!$A$5:$A$2004,0))),I1043/Settings!$B$10/Settings!$B$12)*Settings!$B$13,2))</f>
        <v/>
      </c>
      <c r="N1043" s="26" t="str">
        <f aca="false">IF($A1043="","",K1043+L1043+M1043)</f>
        <v/>
      </c>
      <c r="O1043" s="26" t="str">
        <f aca="false">IF($A1043="","",SUMIFS(Deductions!$D$5:$D$2000,Deductions!$B$5:$B$2000,$A1043,Deductions!$C$5:$C$2000,"Advance",Deductions!$E$5:$E$2000,"&gt;="&amp;Settings!$B$8,Deductions!$E$5:$E$2000,"&lt;="&amp;Settings!$B$9))</f>
        <v/>
      </c>
      <c r="P1043" s="26" t="str">
        <f aca="false">IF($A1043="","",SUMIFS(Deductions!$D$5:$D$2000,Deductions!$B$5:$B$2000,$A1043,Deductions!$E$5:$E$2000,"&gt;="&amp;Settings!$B$8,Deductions!$E$5:$E$2000,"&lt;="&amp;Settings!$B$9)-O1043)</f>
        <v/>
      </c>
      <c r="Q1043" s="26" t="str">
        <f aca="false">IF($A1043="","",O1043+P1043)</f>
        <v/>
      </c>
      <c r="R1043" s="23" t="str">
        <f aca="false">IF($A1043="","",N1043-Q1043)</f>
        <v/>
      </c>
      <c r="S1043" s="24" t="str">
        <f aca="false">IF($A1043="","",INDEX(Workers!$O$5:$O$2004,MATCH($A1043,Workers!$A$5:$A$2004,0))&amp;"")</f>
        <v/>
      </c>
      <c r="T1043" s="24" t="str">
        <f aca="false">IF($A1043="","",INDEX(Workers!$P$5:$P$2004,MATCH($A1043,Workers!$A$5:$A$2004,0))&amp;"")</f>
        <v/>
      </c>
      <c r="U1043" s="24" t="str">
        <f aca="false">IF($A1043="","",INDEX(Workers!$H$5:$H$2004,MATCH($A1043,Workers!$A$5:$A$2004,0))&amp;"")</f>
        <v/>
      </c>
    </row>
    <row r="1044" customFormat="false" ht="15" hidden="false" customHeight="false" outlineLevel="0" collapsed="false">
      <c r="A1044" s="24" t="str">
        <f aca="false">IFERROR(INDEX(Workers!$A$5:$A$2004,MATCH(ROW()-4,Workers!$U$5:$U$2004,0)),"")</f>
        <v/>
      </c>
      <c r="B1044" s="24" t="str">
        <f aca="false">IF($A1044="","",INDEX(Workers!$B$5:$B$2004,MATCH($A1044,Workers!$A$5:$A$2004,0)))</f>
        <v/>
      </c>
      <c r="C1044" s="24" t="str">
        <f aca="false">IF($A1044="","",INDEX(Workers!$E$5:$E$2004,MATCH($A1044,Workers!$A$5:$A$2004,0)))</f>
        <v/>
      </c>
      <c r="D1044" s="24" t="str">
        <f aca="false">IF($A1044="","",INDEX(Workers!$K$5:$K$2004,MATCH($A1044,Workers!$A$5:$A$2004,0)))</f>
        <v/>
      </c>
      <c r="E1044" s="25" t="str">
        <f aca="false">IF($A1044="","",SUMIFS(Timesheet!$E$5:$E$3004,Timesheet!$D$5:$D$3004,$A1044,Timesheet!$A$5:$A$3004,"&gt;="&amp;Settings!$B$8,Timesheet!$A$5:$A$3004,"&lt;="&amp;Settings!$B$9))</f>
        <v/>
      </c>
      <c r="F1044" s="25" t="str">
        <f aca="false">IF($A1044="","",SUMIFS(Timesheet!$F$5:$F$3004,Timesheet!$D$5:$D$3004,$A1044,Timesheet!$A$5:$A$3004,"&gt;="&amp;Settings!$B$8,Timesheet!$A$5:$A$3004,"&lt;="&amp;Settings!$B$9))</f>
        <v/>
      </c>
      <c r="G1044" s="25" t="str">
        <f aca="false">IF($A1044="","",SUMIFS(Timesheet!$G$5:$G$3004,Timesheet!$D$5:$D$3004,$A1044,Timesheet!$A$5:$A$3004,"&gt;="&amp;Settings!$B$8,Timesheet!$A$5:$A$3004,"&lt;="&amp;Settings!$B$9))</f>
        <v/>
      </c>
      <c r="H1044" s="25" t="str">
        <f aca="false">IF($A1044="","",IF(D1044="Monthly",MAX(0,Settings!$B$11-E1044),0))</f>
        <v/>
      </c>
      <c r="I1044" s="26" t="str">
        <f aca="false">IF($A1044="","",N(INDEX(Workers!$L$5:$L$2004,MATCH($A1044,Workers!$A$5:$A$2004,0))))</f>
        <v/>
      </c>
      <c r="J1044" s="26" t="str">
        <f aca="false">IF($A1044="","",N(INDEX(Workers!$M$5:$M$2004,MATCH($A1044,Workers!$A$5:$A$2004,0))))</f>
        <v/>
      </c>
      <c r="K1044" s="26" t="str">
        <f aca="false">IF($A1044="","",IF(D1044="Monthly",ROUND(MAX(0,(I1044+J1044)-(I1044+J1044)/Settings!$B$10*H1044),2),0))</f>
        <v/>
      </c>
      <c r="L1044" s="26" t="str">
        <f aca="false">IF($A1044="","",IF(D1044="Hourly",ROUND(F1044*N(INDEX(Workers!$N$5:$N$2004,MATCH($A1044,Workers!$A$5:$A$2004,0))),2),0))</f>
        <v/>
      </c>
      <c r="M1044" s="26" t="str">
        <f aca="false">IF($A1044="","",ROUND(G1044*IF(D1044="Hourly",N(INDEX(Workers!$N$5:$N$2004,MATCH($A1044,Workers!$A$5:$A$2004,0))),I1044/Settings!$B$10/Settings!$B$12)*Settings!$B$13,2))</f>
        <v/>
      </c>
      <c r="N1044" s="26" t="str">
        <f aca="false">IF($A1044="","",K1044+L1044+M1044)</f>
        <v/>
      </c>
      <c r="O1044" s="26" t="str">
        <f aca="false">IF($A1044="","",SUMIFS(Deductions!$D$5:$D$2000,Deductions!$B$5:$B$2000,$A1044,Deductions!$C$5:$C$2000,"Advance",Deductions!$E$5:$E$2000,"&gt;="&amp;Settings!$B$8,Deductions!$E$5:$E$2000,"&lt;="&amp;Settings!$B$9))</f>
        <v/>
      </c>
      <c r="P1044" s="26" t="str">
        <f aca="false">IF($A1044="","",SUMIFS(Deductions!$D$5:$D$2000,Deductions!$B$5:$B$2000,$A1044,Deductions!$E$5:$E$2000,"&gt;="&amp;Settings!$B$8,Deductions!$E$5:$E$2000,"&lt;="&amp;Settings!$B$9)-O1044)</f>
        <v/>
      </c>
      <c r="Q1044" s="26" t="str">
        <f aca="false">IF($A1044="","",O1044+P1044)</f>
        <v/>
      </c>
      <c r="R1044" s="23" t="str">
        <f aca="false">IF($A1044="","",N1044-Q1044)</f>
        <v/>
      </c>
      <c r="S1044" s="24" t="str">
        <f aca="false">IF($A1044="","",INDEX(Workers!$O$5:$O$2004,MATCH($A1044,Workers!$A$5:$A$2004,0))&amp;"")</f>
        <v/>
      </c>
      <c r="T1044" s="24" t="str">
        <f aca="false">IF($A1044="","",INDEX(Workers!$P$5:$P$2004,MATCH($A1044,Workers!$A$5:$A$2004,0))&amp;"")</f>
        <v/>
      </c>
      <c r="U1044" s="24" t="str">
        <f aca="false">IF($A1044="","",INDEX(Workers!$H$5:$H$2004,MATCH($A1044,Workers!$A$5:$A$2004,0))&amp;"")</f>
        <v/>
      </c>
    </row>
    <row r="1045" customFormat="false" ht="15" hidden="false" customHeight="false" outlineLevel="0" collapsed="false">
      <c r="A1045" s="24" t="str">
        <f aca="false">IFERROR(INDEX(Workers!$A$5:$A$2004,MATCH(ROW()-4,Workers!$U$5:$U$2004,0)),"")</f>
        <v/>
      </c>
      <c r="B1045" s="24" t="str">
        <f aca="false">IF($A1045="","",INDEX(Workers!$B$5:$B$2004,MATCH($A1045,Workers!$A$5:$A$2004,0)))</f>
        <v/>
      </c>
      <c r="C1045" s="24" t="str">
        <f aca="false">IF($A1045="","",INDEX(Workers!$E$5:$E$2004,MATCH($A1045,Workers!$A$5:$A$2004,0)))</f>
        <v/>
      </c>
      <c r="D1045" s="24" t="str">
        <f aca="false">IF($A1045="","",INDEX(Workers!$K$5:$K$2004,MATCH($A1045,Workers!$A$5:$A$2004,0)))</f>
        <v/>
      </c>
      <c r="E1045" s="25" t="str">
        <f aca="false">IF($A1045="","",SUMIFS(Timesheet!$E$5:$E$3004,Timesheet!$D$5:$D$3004,$A1045,Timesheet!$A$5:$A$3004,"&gt;="&amp;Settings!$B$8,Timesheet!$A$5:$A$3004,"&lt;="&amp;Settings!$B$9))</f>
        <v/>
      </c>
      <c r="F1045" s="25" t="str">
        <f aca="false">IF($A1045="","",SUMIFS(Timesheet!$F$5:$F$3004,Timesheet!$D$5:$D$3004,$A1045,Timesheet!$A$5:$A$3004,"&gt;="&amp;Settings!$B$8,Timesheet!$A$5:$A$3004,"&lt;="&amp;Settings!$B$9))</f>
        <v/>
      </c>
      <c r="G1045" s="25" t="str">
        <f aca="false">IF($A1045="","",SUMIFS(Timesheet!$G$5:$G$3004,Timesheet!$D$5:$D$3004,$A1045,Timesheet!$A$5:$A$3004,"&gt;="&amp;Settings!$B$8,Timesheet!$A$5:$A$3004,"&lt;="&amp;Settings!$B$9))</f>
        <v/>
      </c>
      <c r="H1045" s="25" t="str">
        <f aca="false">IF($A1045="","",IF(D1045="Monthly",MAX(0,Settings!$B$11-E1045),0))</f>
        <v/>
      </c>
      <c r="I1045" s="26" t="str">
        <f aca="false">IF($A1045="","",N(INDEX(Workers!$L$5:$L$2004,MATCH($A1045,Workers!$A$5:$A$2004,0))))</f>
        <v/>
      </c>
      <c r="J1045" s="26" t="str">
        <f aca="false">IF($A1045="","",N(INDEX(Workers!$M$5:$M$2004,MATCH($A1045,Workers!$A$5:$A$2004,0))))</f>
        <v/>
      </c>
      <c r="K1045" s="26" t="str">
        <f aca="false">IF($A1045="","",IF(D1045="Monthly",ROUND(MAX(0,(I1045+J1045)-(I1045+J1045)/Settings!$B$10*H1045),2),0))</f>
        <v/>
      </c>
      <c r="L1045" s="26" t="str">
        <f aca="false">IF($A1045="","",IF(D1045="Hourly",ROUND(F1045*N(INDEX(Workers!$N$5:$N$2004,MATCH($A1045,Workers!$A$5:$A$2004,0))),2),0))</f>
        <v/>
      </c>
      <c r="M1045" s="26" t="str">
        <f aca="false">IF($A1045="","",ROUND(G1045*IF(D1045="Hourly",N(INDEX(Workers!$N$5:$N$2004,MATCH($A1045,Workers!$A$5:$A$2004,0))),I1045/Settings!$B$10/Settings!$B$12)*Settings!$B$13,2))</f>
        <v/>
      </c>
      <c r="N1045" s="26" t="str">
        <f aca="false">IF($A1045="","",K1045+L1045+M1045)</f>
        <v/>
      </c>
      <c r="O1045" s="26" t="str">
        <f aca="false">IF($A1045="","",SUMIFS(Deductions!$D$5:$D$2000,Deductions!$B$5:$B$2000,$A1045,Deductions!$C$5:$C$2000,"Advance",Deductions!$E$5:$E$2000,"&gt;="&amp;Settings!$B$8,Deductions!$E$5:$E$2000,"&lt;="&amp;Settings!$B$9))</f>
        <v/>
      </c>
      <c r="P1045" s="26" t="str">
        <f aca="false">IF($A1045="","",SUMIFS(Deductions!$D$5:$D$2000,Deductions!$B$5:$B$2000,$A1045,Deductions!$E$5:$E$2000,"&gt;="&amp;Settings!$B$8,Deductions!$E$5:$E$2000,"&lt;="&amp;Settings!$B$9)-O1045)</f>
        <v/>
      </c>
      <c r="Q1045" s="26" t="str">
        <f aca="false">IF($A1045="","",O1045+P1045)</f>
        <v/>
      </c>
      <c r="R1045" s="23" t="str">
        <f aca="false">IF($A1045="","",N1045-Q1045)</f>
        <v/>
      </c>
      <c r="S1045" s="24" t="str">
        <f aca="false">IF($A1045="","",INDEX(Workers!$O$5:$O$2004,MATCH($A1045,Workers!$A$5:$A$2004,0))&amp;"")</f>
        <v/>
      </c>
      <c r="T1045" s="24" t="str">
        <f aca="false">IF($A1045="","",INDEX(Workers!$P$5:$P$2004,MATCH($A1045,Workers!$A$5:$A$2004,0))&amp;"")</f>
        <v/>
      </c>
      <c r="U1045" s="24" t="str">
        <f aca="false">IF($A1045="","",INDEX(Workers!$H$5:$H$2004,MATCH($A1045,Workers!$A$5:$A$2004,0))&amp;"")</f>
        <v/>
      </c>
    </row>
    <row r="1046" customFormat="false" ht="15" hidden="false" customHeight="false" outlineLevel="0" collapsed="false">
      <c r="A1046" s="24" t="str">
        <f aca="false">IFERROR(INDEX(Workers!$A$5:$A$2004,MATCH(ROW()-4,Workers!$U$5:$U$2004,0)),"")</f>
        <v/>
      </c>
      <c r="B1046" s="24" t="str">
        <f aca="false">IF($A1046="","",INDEX(Workers!$B$5:$B$2004,MATCH($A1046,Workers!$A$5:$A$2004,0)))</f>
        <v/>
      </c>
      <c r="C1046" s="24" t="str">
        <f aca="false">IF($A1046="","",INDEX(Workers!$E$5:$E$2004,MATCH($A1046,Workers!$A$5:$A$2004,0)))</f>
        <v/>
      </c>
      <c r="D1046" s="24" t="str">
        <f aca="false">IF($A1046="","",INDEX(Workers!$K$5:$K$2004,MATCH($A1046,Workers!$A$5:$A$2004,0)))</f>
        <v/>
      </c>
      <c r="E1046" s="25" t="str">
        <f aca="false">IF($A1046="","",SUMIFS(Timesheet!$E$5:$E$3004,Timesheet!$D$5:$D$3004,$A1046,Timesheet!$A$5:$A$3004,"&gt;="&amp;Settings!$B$8,Timesheet!$A$5:$A$3004,"&lt;="&amp;Settings!$B$9))</f>
        <v/>
      </c>
      <c r="F1046" s="25" t="str">
        <f aca="false">IF($A1046="","",SUMIFS(Timesheet!$F$5:$F$3004,Timesheet!$D$5:$D$3004,$A1046,Timesheet!$A$5:$A$3004,"&gt;="&amp;Settings!$B$8,Timesheet!$A$5:$A$3004,"&lt;="&amp;Settings!$B$9))</f>
        <v/>
      </c>
      <c r="G1046" s="25" t="str">
        <f aca="false">IF($A1046="","",SUMIFS(Timesheet!$G$5:$G$3004,Timesheet!$D$5:$D$3004,$A1046,Timesheet!$A$5:$A$3004,"&gt;="&amp;Settings!$B$8,Timesheet!$A$5:$A$3004,"&lt;="&amp;Settings!$B$9))</f>
        <v/>
      </c>
      <c r="H1046" s="25" t="str">
        <f aca="false">IF($A1046="","",IF(D1046="Monthly",MAX(0,Settings!$B$11-E1046),0))</f>
        <v/>
      </c>
      <c r="I1046" s="26" t="str">
        <f aca="false">IF($A1046="","",N(INDEX(Workers!$L$5:$L$2004,MATCH($A1046,Workers!$A$5:$A$2004,0))))</f>
        <v/>
      </c>
      <c r="J1046" s="26" t="str">
        <f aca="false">IF($A1046="","",N(INDEX(Workers!$M$5:$M$2004,MATCH($A1046,Workers!$A$5:$A$2004,0))))</f>
        <v/>
      </c>
      <c r="K1046" s="26" t="str">
        <f aca="false">IF($A1046="","",IF(D1046="Monthly",ROUND(MAX(0,(I1046+J1046)-(I1046+J1046)/Settings!$B$10*H1046),2),0))</f>
        <v/>
      </c>
      <c r="L1046" s="26" t="str">
        <f aca="false">IF($A1046="","",IF(D1046="Hourly",ROUND(F1046*N(INDEX(Workers!$N$5:$N$2004,MATCH($A1046,Workers!$A$5:$A$2004,0))),2),0))</f>
        <v/>
      </c>
      <c r="M1046" s="26" t="str">
        <f aca="false">IF($A1046="","",ROUND(G1046*IF(D1046="Hourly",N(INDEX(Workers!$N$5:$N$2004,MATCH($A1046,Workers!$A$5:$A$2004,0))),I1046/Settings!$B$10/Settings!$B$12)*Settings!$B$13,2))</f>
        <v/>
      </c>
      <c r="N1046" s="26" t="str">
        <f aca="false">IF($A1046="","",K1046+L1046+M1046)</f>
        <v/>
      </c>
      <c r="O1046" s="26" t="str">
        <f aca="false">IF($A1046="","",SUMIFS(Deductions!$D$5:$D$2000,Deductions!$B$5:$B$2000,$A1046,Deductions!$C$5:$C$2000,"Advance",Deductions!$E$5:$E$2000,"&gt;="&amp;Settings!$B$8,Deductions!$E$5:$E$2000,"&lt;="&amp;Settings!$B$9))</f>
        <v/>
      </c>
      <c r="P1046" s="26" t="str">
        <f aca="false">IF($A1046="","",SUMIFS(Deductions!$D$5:$D$2000,Deductions!$B$5:$B$2000,$A1046,Deductions!$E$5:$E$2000,"&gt;="&amp;Settings!$B$8,Deductions!$E$5:$E$2000,"&lt;="&amp;Settings!$B$9)-O1046)</f>
        <v/>
      </c>
      <c r="Q1046" s="26" t="str">
        <f aca="false">IF($A1046="","",O1046+P1046)</f>
        <v/>
      </c>
      <c r="R1046" s="23" t="str">
        <f aca="false">IF($A1046="","",N1046-Q1046)</f>
        <v/>
      </c>
      <c r="S1046" s="24" t="str">
        <f aca="false">IF($A1046="","",INDEX(Workers!$O$5:$O$2004,MATCH($A1046,Workers!$A$5:$A$2004,0))&amp;"")</f>
        <v/>
      </c>
      <c r="T1046" s="24" t="str">
        <f aca="false">IF($A1046="","",INDEX(Workers!$P$5:$P$2004,MATCH($A1046,Workers!$A$5:$A$2004,0))&amp;"")</f>
        <v/>
      </c>
      <c r="U1046" s="24" t="str">
        <f aca="false">IF($A1046="","",INDEX(Workers!$H$5:$H$2004,MATCH($A1046,Workers!$A$5:$A$2004,0))&amp;"")</f>
        <v/>
      </c>
    </row>
    <row r="1047" customFormat="false" ht="15" hidden="false" customHeight="false" outlineLevel="0" collapsed="false">
      <c r="A1047" s="24" t="str">
        <f aca="false">IFERROR(INDEX(Workers!$A$5:$A$2004,MATCH(ROW()-4,Workers!$U$5:$U$2004,0)),"")</f>
        <v/>
      </c>
      <c r="B1047" s="24" t="str">
        <f aca="false">IF($A1047="","",INDEX(Workers!$B$5:$B$2004,MATCH($A1047,Workers!$A$5:$A$2004,0)))</f>
        <v/>
      </c>
      <c r="C1047" s="24" t="str">
        <f aca="false">IF($A1047="","",INDEX(Workers!$E$5:$E$2004,MATCH($A1047,Workers!$A$5:$A$2004,0)))</f>
        <v/>
      </c>
      <c r="D1047" s="24" t="str">
        <f aca="false">IF($A1047="","",INDEX(Workers!$K$5:$K$2004,MATCH($A1047,Workers!$A$5:$A$2004,0)))</f>
        <v/>
      </c>
      <c r="E1047" s="25" t="str">
        <f aca="false">IF($A1047="","",SUMIFS(Timesheet!$E$5:$E$3004,Timesheet!$D$5:$D$3004,$A1047,Timesheet!$A$5:$A$3004,"&gt;="&amp;Settings!$B$8,Timesheet!$A$5:$A$3004,"&lt;="&amp;Settings!$B$9))</f>
        <v/>
      </c>
      <c r="F1047" s="25" t="str">
        <f aca="false">IF($A1047="","",SUMIFS(Timesheet!$F$5:$F$3004,Timesheet!$D$5:$D$3004,$A1047,Timesheet!$A$5:$A$3004,"&gt;="&amp;Settings!$B$8,Timesheet!$A$5:$A$3004,"&lt;="&amp;Settings!$B$9))</f>
        <v/>
      </c>
      <c r="G1047" s="25" t="str">
        <f aca="false">IF($A1047="","",SUMIFS(Timesheet!$G$5:$G$3004,Timesheet!$D$5:$D$3004,$A1047,Timesheet!$A$5:$A$3004,"&gt;="&amp;Settings!$B$8,Timesheet!$A$5:$A$3004,"&lt;="&amp;Settings!$B$9))</f>
        <v/>
      </c>
      <c r="H1047" s="25" t="str">
        <f aca="false">IF($A1047="","",IF(D1047="Monthly",MAX(0,Settings!$B$11-E1047),0))</f>
        <v/>
      </c>
      <c r="I1047" s="26" t="str">
        <f aca="false">IF($A1047="","",N(INDEX(Workers!$L$5:$L$2004,MATCH($A1047,Workers!$A$5:$A$2004,0))))</f>
        <v/>
      </c>
      <c r="J1047" s="26" t="str">
        <f aca="false">IF($A1047="","",N(INDEX(Workers!$M$5:$M$2004,MATCH($A1047,Workers!$A$5:$A$2004,0))))</f>
        <v/>
      </c>
      <c r="K1047" s="26" t="str">
        <f aca="false">IF($A1047="","",IF(D1047="Monthly",ROUND(MAX(0,(I1047+J1047)-(I1047+J1047)/Settings!$B$10*H1047),2),0))</f>
        <v/>
      </c>
      <c r="L1047" s="26" t="str">
        <f aca="false">IF($A1047="","",IF(D1047="Hourly",ROUND(F1047*N(INDEX(Workers!$N$5:$N$2004,MATCH($A1047,Workers!$A$5:$A$2004,0))),2),0))</f>
        <v/>
      </c>
      <c r="M1047" s="26" t="str">
        <f aca="false">IF($A1047="","",ROUND(G1047*IF(D1047="Hourly",N(INDEX(Workers!$N$5:$N$2004,MATCH($A1047,Workers!$A$5:$A$2004,0))),I1047/Settings!$B$10/Settings!$B$12)*Settings!$B$13,2))</f>
        <v/>
      </c>
      <c r="N1047" s="26" t="str">
        <f aca="false">IF($A1047="","",K1047+L1047+M1047)</f>
        <v/>
      </c>
      <c r="O1047" s="26" t="str">
        <f aca="false">IF($A1047="","",SUMIFS(Deductions!$D$5:$D$2000,Deductions!$B$5:$B$2000,$A1047,Deductions!$C$5:$C$2000,"Advance",Deductions!$E$5:$E$2000,"&gt;="&amp;Settings!$B$8,Deductions!$E$5:$E$2000,"&lt;="&amp;Settings!$B$9))</f>
        <v/>
      </c>
      <c r="P1047" s="26" t="str">
        <f aca="false">IF($A1047="","",SUMIFS(Deductions!$D$5:$D$2000,Deductions!$B$5:$B$2000,$A1047,Deductions!$E$5:$E$2000,"&gt;="&amp;Settings!$B$8,Deductions!$E$5:$E$2000,"&lt;="&amp;Settings!$B$9)-O1047)</f>
        <v/>
      </c>
      <c r="Q1047" s="26" t="str">
        <f aca="false">IF($A1047="","",O1047+P1047)</f>
        <v/>
      </c>
      <c r="R1047" s="23" t="str">
        <f aca="false">IF($A1047="","",N1047-Q1047)</f>
        <v/>
      </c>
      <c r="S1047" s="24" t="str">
        <f aca="false">IF($A1047="","",INDEX(Workers!$O$5:$O$2004,MATCH($A1047,Workers!$A$5:$A$2004,0))&amp;"")</f>
        <v/>
      </c>
      <c r="T1047" s="24" t="str">
        <f aca="false">IF($A1047="","",INDEX(Workers!$P$5:$P$2004,MATCH($A1047,Workers!$A$5:$A$2004,0))&amp;"")</f>
        <v/>
      </c>
      <c r="U1047" s="24" t="str">
        <f aca="false">IF($A1047="","",INDEX(Workers!$H$5:$H$2004,MATCH($A1047,Workers!$A$5:$A$2004,0))&amp;"")</f>
        <v/>
      </c>
    </row>
    <row r="1048" customFormat="false" ht="15" hidden="false" customHeight="false" outlineLevel="0" collapsed="false">
      <c r="A1048" s="24" t="str">
        <f aca="false">IFERROR(INDEX(Workers!$A$5:$A$2004,MATCH(ROW()-4,Workers!$U$5:$U$2004,0)),"")</f>
        <v/>
      </c>
      <c r="B1048" s="24" t="str">
        <f aca="false">IF($A1048="","",INDEX(Workers!$B$5:$B$2004,MATCH($A1048,Workers!$A$5:$A$2004,0)))</f>
        <v/>
      </c>
      <c r="C1048" s="24" t="str">
        <f aca="false">IF($A1048="","",INDEX(Workers!$E$5:$E$2004,MATCH($A1048,Workers!$A$5:$A$2004,0)))</f>
        <v/>
      </c>
      <c r="D1048" s="24" t="str">
        <f aca="false">IF($A1048="","",INDEX(Workers!$K$5:$K$2004,MATCH($A1048,Workers!$A$5:$A$2004,0)))</f>
        <v/>
      </c>
      <c r="E1048" s="25" t="str">
        <f aca="false">IF($A1048="","",SUMIFS(Timesheet!$E$5:$E$3004,Timesheet!$D$5:$D$3004,$A1048,Timesheet!$A$5:$A$3004,"&gt;="&amp;Settings!$B$8,Timesheet!$A$5:$A$3004,"&lt;="&amp;Settings!$B$9))</f>
        <v/>
      </c>
      <c r="F1048" s="25" t="str">
        <f aca="false">IF($A1048="","",SUMIFS(Timesheet!$F$5:$F$3004,Timesheet!$D$5:$D$3004,$A1048,Timesheet!$A$5:$A$3004,"&gt;="&amp;Settings!$B$8,Timesheet!$A$5:$A$3004,"&lt;="&amp;Settings!$B$9))</f>
        <v/>
      </c>
      <c r="G1048" s="25" t="str">
        <f aca="false">IF($A1048="","",SUMIFS(Timesheet!$G$5:$G$3004,Timesheet!$D$5:$D$3004,$A1048,Timesheet!$A$5:$A$3004,"&gt;="&amp;Settings!$B$8,Timesheet!$A$5:$A$3004,"&lt;="&amp;Settings!$B$9))</f>
        <v/>
      </c>
      <c r="H1048" s="25" t="str">
        <f aca="false">IF($A1048="","",IF(D1048="Monthly",MAX(0,Settings!$B$11-E1048),0))</f>
        <v/>
      </c>
      <c r="I1048" s="26" t="str">
        <f aca="false">IF($A1048="","",N(INDEX(Workers!$L$5:$L$2004,MATCH($A1048,Workers!$A$5:$A$2004,0))))</f>
        <v/>
      </c>
      <c r="J1048" s="26" t="str">
        <f aca="false">IF($A1048="","",N(INDEX(Workers!$M$5:$M$2004,MATCH($A1048,Workers!$A$5:$A$2004,0))))</f>
        <v/>
      </c>
      <c r="K1048" s="26" t="str">
        <f aca="false">IF($A1048="","",IF(D1048="Monthly",ROUND(MAX(0,(I1048+J1048)-(I1048+J1048)/Settings!$B$10*H1048),2),0))</f>
        <v/>
      </c>
      <c r="L1048" s="26" t="str">
        <f aca="false">IF($A1048="","",IF(D1048="Hourly",ROUND(F1048*N(INDEX(Workers!$N$5:$N$2004,MATCH($A1048,Workers!$A$5:$A$2004,0))),2),0))</f>
        <v/>
      </c>
      <c r="M1048" s="26" t="str">
        <f aca="false">IF($A1048="","",ROUND(G1048*IF(D1048="Hourly",N(INDEX(Workers!$N$5:$N$2004,MATCH($A1048,Workers!$A$5:$A$2004,0))),I1048/Settings!$B$10/Settings!$B$12)*Settings!$B$13,2))</f>
        <v/>
      </c>
      <c r="N1048" s="26" t="str">
        <f aca="false">IF($A1048="","",K1048+L1048+M1048)</f>
        <v/>
      </c>
      <c r="O1048" s="26" t="str">
        <f aca="false">IF($A1048="","",SUMIFS(Deductions!$D$5:$D$2000,Deductions!$B$5:$B$2000,$A1048,Deductions!$C$5:$C$2000,"Advance",Deductions!$E$5:$E$2000,"&gt;="&amp;Settings!$B$8,Deductions!$E$5:$E$2000,"&lt;="&amp;Settings!$B$9))</f>
        <v/>
      </c>
      <c r="P1048" s="26" t="str">
        <f aca="false">IF($A1048="","",SUMIFS(Deductions!$D$5:$D$2000,Deductions!$B$5:$B$2000,$A1048,Deductions!$E$5:$E$2000,"&gt;="&amp;Settings!$B$8,Deductions!$E$5:$E$2000,"&lt;="&amp;Settings!$B$9)-O1048)</f>
        <v/>
      </c>
      <c r="Q1048" s="26" t="str">
        <f aca="false">IF($A1048="","",O1048+P1048)</f>
        <v/>
      </c>
      <c r="R1048" s="23" t="str">
        <f aca="false">IF($A1048="","",N1048-Q1048)</f>
        <v/>
      </c>
      <c r="S1048" s="24" t="str">
        <f aca="false">IF($A1048="","",INDEX(Workers!$O$5:$O$2004,MATCH($A1048,Workers!$A$5:$A$2004,0))&amp;"")</f>
        <v/>
      </c>
      <c r="T1048" s="24" t="str">
        <f aca="false">IF($A1048="","",INDEX(Workers!$P$5:$P$2004,MATCH($A1048,Workers!$A$5:$A$2004,0))&amp;"")</f>
        <v/>
      </c>
      <c r="U1048" s="24" t="str">
        <f aca="false">IF($A1048="","",INDEX(Workers!$H$5:$H$2004,MATCH($A1048,Workers!$A$5:$A$2004,0))&amp;"")</f>
        <v/>
      </c>
    </row>
    <row r="1049" customFormat="false" ht="15" hidden="false" customHeight="false" outlineLevel="0" collapsed="false">
      <c r="A1049" s="24" t="str">
        <f aca="false">IFERROR(INDEX(Workers!$A$5:$A$2004,MATCH(ROW()-4,Workers!$U$5:$U$2004,0)),"")</f>
        <v/>
      </c>
      <c r="B1049" s="24" t="str">
        <f aca="false">IF($A1049="","",INDEX(Workers!$B$5:$B$2004,MATCH($A1049,Workers!$A$5:$A$2004,0)))</f>
        <v/>
      </c>
      <c r="C1049" s="24" t="str">
        <f aca="false">IF($A1049="","",INDEX(Workers!$E$5:$E$2004,MATCH($A1049,Workers!$A$5:$A$2004,0)))</f>
        <v/>
      </c>
      <c r="D1049" s="24" t="str">
        <f aca="false">IF($A1049="","",INDEX(Workers!$K$5:$K$2004,MATCH($A1049,Workers!$A$5:$A$2004,0)))</f>
        <v/>
      </c>
      <c r="E1049" s="25" t="str">
        <f aca="false">IF($A1049="","",SUMIFS(Timesheet!$E$5:$E$3004,Timesheet!$D$5:$D$3004,$A1049,Timesheet!$A$5:$A$3004,"&gt;="&amp;Settings!$B$8,Timesheet!$A$5:$A$3004,"&lt;="&amp;Settings!$B$9))</f>
        <v/>
      </c>
      <c r="F1049" s="25" t="str">
        <f aca="false">IF($A1049="","",SUMIFS(Timesheet!$F$5:$F$3004,Timesheet!$D$5:$D$3004,$A1049,Timesheet!$A$5:$A$3004,"&gt;="&amp;Settings!$B$8,Timesheet!$A$5:$A$3004,"&lt;="&amp;Settings!$B$9))</f>
        <v/>
      </c>
      <c r="G1049" s="25" t="str">
        <f aca="false">IF($A1049="","",SUMIFS(Timesheet!$G$5:$G$3004,Timesheet!$D$5:$D$3004,$A1049,Timesheet!$A$5:$A$3004,"&gt;="&amp;Settings!$B$8,Timesheet!$A$5:$A$3004,"&lt;="&amp;Settings!$B$9))</f>
        <v/>
      </c>
      <c r="H1049" s="25" t="str">
        <f aca="false">IF($A1049="","",IF(D1049="Monthly",MAX(0,Settings!$B$11-E1049),0))</f>
        <v/>
      </c>
      <c r="I1049" s="26" t="str">
        <f aca="false">IF($A1049="","",N(INDEX(Workers!$L$5:$L$2004,MATCH($A1049,Workers!$A$5:$A$2004,0))))</f>
        <v/>
      </c>
      <c r="J1049" s="26" t="str">
        <f aca="false">IF($A1049="","",N(INDEX(Workers!$M$5:$M$2004,MATCH($A1049,Workers!$A$5:$A$2004,0))))</f>
        <v/>
      </c>
      <c r="K1049" s="26" t="str">
        <f aca="false">IF($A1049="","",IF(D1049="Monthly",ROUND(MAX(0,(I1049+J1049)-(I1049+J1049)/Settings!$B$10*H1049),2),0))</f>
        <v/>
      </c>
      <c r="L1049" s="26" t="str">
        <f aca="false">IF($A1049="","",IF(D1049="Hourly",ROUND(F1049*N(INDEX(Workers!$N$5:$N$2004,MATCH($A1049,Workers!$A$5:$A$2004,0))),2),0))</f>
        <v/>
      </c>
      <c r="M1049" s="26" t="str">
        <f aca="false">IF($A1049="","",ROUND(G1049*IF(D1049="Hourly",N(INDEX(Workers!$N$5:$N$2004,MATCH($A1049,Workers!$A$5:$A$2004,0))),I1049/Settings!$B$10/Settings!$B$12)*Settings!$B$13,2))</f>
        <v/>
      </c>
      <c r="N1049" s="26" t="str">
        <f aca="false">IF($A1049="","",K1049+L1049+M1049)</f>
        <v/>
      </c>
      <c r="O1049" s="26" t="str">
        <f aca="false">IF($A1049="","",SUMIFS(Deductions!$D$5:$D$2000,Deductions!$B$5:$B$2000,$A1049,Deductions!$C$5:$C$2000,"Advance",Deductions!$E$5:$E$2000,"&gt;="&amp;Settings!$B$8,Deductions!$E$5:$E$2000,"&lt;="&amp;Settings!$B$9))</f>
        <v/>
      </c>
      <c r="P1049" s="26" t="str">
        <f aca="false">IF($A1049="","",SUMIFS(Deductions!$D$5:$D$2000,Deductions!$B$5:$B$2000,$A1049,Deductions!$E$5:$E$2000,"&gt;="&amp;Settings!$B$8,Deductions!$E$5:$E$2000,"&lt;="&amp;Settings!$B$9)-O1049)</f>
        <v/>
      </c>
      <c r="Q1049" s="26" t="str">
        <f aca="false">IF($A1049="","",O1049+P1049)</f>
        <v/>
      </c>
      <c r="R1049" s="23" t="str">
        <f aca="false">IF($A1049="","",N1049-Q1049)</f>
        <v/>
      </c>
      <c r="S1049" s="24" t="str">
        <f aca="false">IF($A1049="","",INDEX(Workers!$O$5:$O$2004,MATCH($A1049,Workers!$A$5:$A$2004,0))&amp;"")</f>
        <v/>
      </c>
      <c r="T1049" s="24" t="str">
        <f aca="false">IF($A1049="","",INDEX(Workers!$P$5:$P$2004,MATCH($A1049,Workers!$A$5:$A$2004,0))&amp;"")</f>
        <v/>
      </c>
      <c r="U1049" s="24" t="str">
        <f aca="false">IF($A1049="","",INDEX(Workers!$H$5:$H$2004,MATCH($A1049,Workers!$A$5:$A$2004,0))&amp;"")</f>
        <v/>
      </c>
    </row>
    <row r="1050" customFormat="false" ht="15" hidden="false" customHeight="false" outlineLevel="0" collapsed="false">
      <c r="A1050" s="24" t="str">
        <f aca="false">IFERROR(INDEX(Workers!$A$5:$A$2004,MATCH(ROW()-4,Workers!$U$5:$U$2004,0)),"")</f>
        <v/>
      </c>
      <c r="B1050" s="24" t="str">
        <f aca="false">IF($A1050="","",INDEX(Workers!$B$5:$B$2004,MATCH($A1050,Workers!$A$5:$A$2004,0)))</f>
        <v/>
      </c>
      <c r="C1050" s="24" t="str">
        <f aca="false">IF($A1050="","",INDEX(Workers!$E$5:$E$2004,MATCH($A1050,Workers!$A$5:$A$2004,0)))</f>
        <v/>
      </c>
      <c r="D1050" s="24" t="str">
        <f aca="false">IF($A1050="","",INDEX(Workers!$K$5:$K$2004,MATCH($A1050,Workers!$A$5:$A$2004,0)))</f>
        <v/>
      </c>
      <c r="E1050" s="25" t="str">
        <f aca="false">IF($A1050="","",SUMIFS(Timesheet!$E$5:$E$3004,Timesheet!$D$5:$D$3004,$A1050,Timesheet!$A$5:$A$3004,"&gt;="&amp;Settings!$B$8,Timesheet!$A$5:$A$3004,"&lt;="&amp;Settings!$B$9))</f>
        <v/>
      </c>
      <c r="F1050" s="25" t="str">
        <f aca="false">IF($A1050="","",SUMIFS(Timesheet!$F$5:$F$3004,Timesheet!$D$5:$D$3004,$A1050,Timesheet!$A$5:$A$3004,"&gt;="&amp;Settings!$B$8,Timesheet!$A$5:$A$3004,"&lt;="&amp;Settings!$B$9))</f>
        <v/>
      </c>
      <c r="G1050" s="25" t="str">
        <f aca="false">IF($A1050="","",SUMIFS(Timesheet!$G$5:$G$3004,Timesheet!$D$5:$D$3004,$A1050,Timesheet!$A$5:$A$3004,"&gt;="&amp;Settings!$B$8,Timesheet!$A$5:$A$3004,"&lt;="&amp;Settings!$B$9))</f>
        <v/>
      </c>
      <c r="H1050" s="25" t="str">
        <f aca="false">IF($A1050="","",IF(D1050="Monthly",MAX(0,Settings!$B$11-E1050),0))</f>
        <v/>
      </c>
      <c r="I1050" s="26" t="str">
        <f aca="false">IF($A1050="","",N(INDEX(Workers!$L$5:$L$2004,MATCH($A1050,Workers!$A$5:$A$2004,0))))</f>
        <v/>
      </c>
      <c r="J1050" s="26" t="str">
        <f aca="false">IF($A1050="","",N(INDEX(Workers!$M$5:$M$2004,MATCH($A1050,Workers!$A$5:$A$2004,0))))</f>
        <v/>
      </c>
      <c r="K1050" s="26" t="str">
        <f aca="false">IF($A1050="","",IF(D1050="Monthly",ROUND(MAX(0,(I1050+J1050)-(I1050+J1050)/Settings!$B$10*H1050),2),0))</f>
        <v/>
      </c>
      <c r="L1050" s="26" t="str">
        <f aca="false">IF($A1050="","",IF(D1050="Hourly",ROUND(F1050*N(INDEX(Workers!$N$5:$N$2004,MATCH($A1050,Workers!$A$5:$A$2004,0))),2),0))</f>
        <v/>
      </c>
      <c r="M1050" s="26" t="str">
        <f aca="false">IF($A1050="","",ROUND(G1050*IF(D1050="Hourly",N(INDEX(Workers!$N$5:$N$2004,MATCH($A1050,Workers!$A$5:$A$2004,0))),I1050/Settings!$B$10/Settings!$B$12)*Settings!$B$13,2))</f>
        <v/>
      </c>
      <c r="N1050" s="26" t="str">
        <f aca="false">IF($A1050="","",K1050+L1050+M1050)</f>
        <v/>
      </c>
      <c r="O1050" s="26" t="str">
        <f aca="false">IF($A1050="","",SUMIFS(Deductions!$D$5:$D$2000,Deductions!$B$5:$B$2000,$A1050,Deductions!$C$5:$C$2000,"Advance",Deductions!$E$5:$E$2000,"&gt;="&amp;Settings!$B$8,Deductions!$E$5:$E$2000,"&lt;="&amp;Settings!$B$9))</f>
        <v/>
      </c>
      <c r="P1050" s="26" t="str">
        <f aca="false">IF($A1050="","",SUMIFS(Deductions!$D$5:$D$2000,Deductions!$B$5:$B$2000,$A1050,Deductions!$E$5:$E$2000,"&gt;="&amp;Settings!$B$8,Deductions!$E$5:$E$2000,"&lt;="&amp;Settings!$B$9)-O1050)</f>
        <v/>
      </c>
      <c r="Q1050" s="26" t="str">
        <f aca="false">IF($A1050="","",O1050+P1050)</f>
        <v/>
      </c>
      <c r="R1050" s="23" t="str">
        <f aca="false">IF($A1050="","",N1050-Q1050)</f>
        <v/>
      </c>
      <c r="S1050" s="24" t="str">
        <f aca="false">IF($A1050="","",INDEX(Workers!$O$5:$O$2004,MATCH($A1050,Workers!$A$5:$A$2004,0))&amp;"")</f>
        <v/>
      </c>
      <c r="T1050" s="24" t="str">
        <f aca="false">IF($A1050="","",INDEX(Workers!$P$5:$P$2004,MATCH($A1050,Workers!$A$5:$A$2004,0))&amp;"")</f>
        <v/>
      </c>
      <c r="U1050" s="24" t="str">
        <f aca="false">IF($A1050="","",INDEX(Workers!$H$5:$H$2004,MATCH($A1050,Workers!$A$5:$A$2004,0))&amp;"")</f>
        <v/>
      </c>
    </row>
    <row r="1051" customFormat="false" ht="15" hidden="false" customHeight="false" outlineLevel="0" collapsed="false">
      <c r="A1051" s="24" t="str">
        <f aca="false">IFERROR(INDEX(Workers!$A$5:$A$2004,MATCH(ROW()-4,Workers!$U$5:$U$2004,0)),"")</f>
        <v/>
      </c>
      <c r="B1051" s="24" t="str">
        <f aca="false">IF($A1051="","",INDEX(Workers!$B$5:$B$2004,MATCH($A1051,Workers!$A$5:$A$2004,0)))</f>
        <v/>
      </c>
      <c r="C1051" s="24" t="str">
        <f aca="false">IF($A1051="","",INDEX(Workers!$E$5:$E$2004,MATCH($A1051,Workers!$A$5:$A$2004,0)))</f>
        <v/>
      </c>
      <c r="D1051" s="24" t="str">
        <f aca="false">IF($A1051="","",INDEX(Workers!$K$5:$K$2004,MATCH($A1051,Workers!$A$5:$A$2004,0)))</f>
        <v/>
      </c>
      <c r="E1051" s="25" t="str">
        <f aca="false">IF($A1051="","",SUMIFS(Timesheet!$E$5:$E$3004,Timesheet!$D$5:$D$3004,$A1051,Timesheet!$A$5:$A$3004,"&gt;="&amp;Settings!$B$8,Timesheet!$A$5:$A$3004,"&lt;="&amp;Settings!$B$9))</f>
        <v/>
      </c>
      <c r="F1051" s="25" t="str">
        <f aca="false">IF($A1051="","",SUMIFS(Timesheet!$F$5:$F$3004,Timesheet!$D$5:$D$3004,$A1051,Timesheet!$A$5:$A$3004,"&gt;="&amp;Settings!$B$8,Timesheet!$A$5:$A$3004,"&lt;="&amp;Settings!$B$9))</f>
        <v/>
      </c>
      <c r="G1051" s="25" t="str">
        <f aca="false">IF($A1051="","",SUMIFS(Timesheet!$G$5:$G$3004,Timesheet!$D$5:$D$3004,$A1051,Timesheet!$A$5:$A$3004,"&gt;="&amp;Settings!$B$8,Timesheet!$A$5:$A$3004,"&lt;="&amp;Settings!$B$9))</f>
        <v/>
      </c>
      <c r="H1051" s="25" t="str">
        <f aca="false">IF($A1051="","",IF(D1051="Monthly",MAX(0,Settings!$B$11-E1051),0))</f>
        <v/>
      </c>
      <c r="I1051" s="26" t="str">
        <f aca="false">IF($A1051="","",N(INDEX(Workers!$L$5:$L$2004,MATCH($A1051,Workers!$A$5:$A$2004,0))))</f>
        <v/>
      </c>
      <c r="J1051" s="26" t="str">
        <f aca="false">IF($A1051="","",N(INDEX(Workers!$M$5:$M$2004,MATCH($A1051,Workers!$A$5:$A$2004,0))))</f>
        <v/>
      </c>
      <c r="K1051" s="26" t="str">
        <f aca="false">IF($A1051="","",IF(D1051="Monthly",ROUND(MAX(0,(I1051+J1051)-(I1051+J1051)/Settings!$B$10*H1051),2),0))</f>
        <v/>
      </c>
      <c r="L1051" s="26" t="str">
        <f aca="false">IF($A1051="","",IF(D1051="Hourly",ROUND(F1051*N(INDEX(Workers!$N$5:$N$2004,MATCH($A1051,Workers!$A$5:$A$2004,0))),2),0))</f>
        <v/>
      </c>
      <c r="M1051" s="26" t="str">
        <f aca="false">IF($A1051="","",ROUND(G1051*IF(D1051="Hourly",N(INDEX(Workers!$N$5:$N$2004,MATCH($A1051,Workers!$A$5:$A$2004,0))),I1051/Settings!$B$10/Settings!$B$12)*Settings!$B$13,2))</f>
        <v/>
      </c>
      <c r="N1051" s="26" t="str">
        <f aca="false">IF($A1051="","",K1051+L1051+M1051)</f>
        <v/>
      </c>
      <c r="O1051" s="26" t="str">
        <f aca="false">IF($A1051="","",SUMIFS(Deductions!$D$5:$D$2000,Deductions!$B$5:$B$2000,$A1051,Deductions!$C$5:$C$2000,"Advance",Deductions!$E$5:$E$2000,"&gt;="&amp;Settings!$B$8,Deductions!$E$5:$E$2000,"&lt;="&amp;Settings!$B$9))</f>
        <v/>
      </c>
      <c r="P1051" s="26" t="str">
        <f aca="false">IF($A1051="","",SUMIFS(Deductions!$D$5:$D$2000,Deductions!$B$5:$B$2000,$A1051,Deductions!$E$5:$E$2000,"&gt;="&amp;Settings!$B$8,Deductions!$E$5:$E$2000,"&lt;="&amp;Settings!$B$9)-O1051)</f>
        <v/>
      </c>
      <c r="Q1051" s="26" t="str">
        <f aca="false">IF($A1051="","",O1051+P1051)</f>
        <v/>
      </c>
      <c r="R1051" s="23" t="str">
        <f aca="false">IF($A1051="","",N1051-Q1051)</f>
        <v/>
      </c>
      <c r="S1051" s="24" t="str">
        <f aca="false">IF($A1051="","",INDEX(Workers!$O$5:$O$2004,MATCH($A1051,Workers!$A$5:$A$2004,0))&amp;"")</f>
        <v/>
      </c>
      <c r="T1051" s="24" t="str">
        <f aca="false">IF($A1051="","",INDEX(Workers!$P$5:$P$2004,MATCH($A1051,Workers!$A$5:$A$2004,0))&amp;"")</f>
        <v/>
      </c>
      <c r="U1051" s="24" t="str">
        <f aca="false">IF($A1051="","",INDEX(Workers!$H$5:$H$2004,MATCH($A1051,Workers!$A$5:$A$2004,0))&amp;"")</f>
        <v/>
      </c>
    </row>
    <row r="1052" customFormat="false" ht="15" hidden="false" customHeight="false" outlineLevel="0" collapsed="false">
      <c r="A1052" s="24" t="str">
        <f aca="false">IFERROR(INDEX(Workers!$A$5:$A$2004,MATCH(ROW()-4,Workers!$U$5:$U$2004,0)),"")</f>
        <v/>
      </c>
      <c r="B1052" s="24" t="str">
        <f aca="false">IF($A1052="","",INDEX(Workers!$B$5:$B$2004,MATCH($A1052,Workers!$A$5:$A$2004,0)))</f>
        <v/>
      </c>
      <c r="C1052" s="24" t="str">
        <f aca="false">IF($A1052="","",INDEX(Workers!$E$5:$E$2004,MATCH($A1052,Workers!$A$5:$A$2004,0)))</f>
        <v/>
      </c>
      <c r="D1052" s="24" t="str">
        <f aca="false">IF($A1052="","",INDEX(Workers!$K$5:$K$2004,MATCH($A1052,Workers!$A$5:$A$2004,0)))</f>
        <v/>
      </c>
      <c r="E1052" s="25" t="str">
        <f aca="false">IF($A1052="","",SUMIFS(Timesheet!$E$5:$E$3004,Timesheet!$D$5:$D$3004,$A1052,Timesheet!$A$5:$A$3004,"&gt;="&amp;Settings!$B$8,Timesheet!$A$5:$A$3004,"&lt;="&amp;Settings!$B$9))</f>
        <v/>
      </c>
      <c r="F1052" s="25" t="str">
        <f aca="false">IF($A1052="","",SUMIFS(Timesheet!$F$5:$F$3004,Timesheet!$D$5:$D$3004,$A1052,Timesheet!$A$5:$A$3004,"&gt;="&amp;Settings!$B$8,Timesheet!$A$5:$A$3004,"&lt;="&amp;Settings!$B$9))</f>
        <v/>
      </c>
      <c r="G1052" s="25" t="str">
        <f aca="false">IF($A1052="","",SUMIFS(Timesheet!$G$5:$G$3004,Timesheet!$D$5:$D$3004,$A1052,Timesheet!$A$5:$A$3004,"&gt;="&amp;Settings!$B$8,Timesheet!$A$5:$A$3004,"&lt;="&amp;Settings!$B$9))</f>
        <v/>
      </c>
      <c r="H1052" s="25" t="str">
        <f aca="false">IF($A1052="","",IF(D1052="Monthly",MAX(0,Settings!$B$11-E1052),0))</f>
        <v/>
      </c>
      <c r="I1052" s="26" t="str">
        <f aca="false">IF($A1052="","",N(INDEX(Workers!$L$5:$L$2004,MATCH($A1052,Workers!$A$5:$A$2004,0))))</f>
        <v/>
      </c>
      <c r="J1052" s="26" t="str">
        <f aca="false">IF($A1052="","",N(INDEX(Workers!$M$5:$M$2004,MATCH($A1052,Workers!$A$5:$A$2004,0))))</f>
        <v/>
      </c>
      <c r="K1052" s="26" t="str">
        <f aca="false">IF($A1052="","",IF(D1052="Monthly",ROUND(MAX(0,(I1052+J1052)-(I1052+J1052)/Settings!$B$10*H1052),2),0))</f>
        <v/>
      </c>
      <c r="L1052" s="26" t="str">
        <f aca="false">IF($A1052="","",IF(D1052="Hourly",ROUND(F1052*N(INDEX(Workers!$N$5:$N$2004,MATCH($A1052,Workers!$A$5:$A$2004,0))),2),0))</f>
        <v/>
      </c>
      <c r="M1052" s="26" t="str">
        <f aca="false">IF($A1052="","",ROUND(G1052*IF(D1052="Hourly",N(INDEX(Workers!$N$5:$N$2004,MATCH($A1052,Workers!$A$5:$A$2004,0))),I1052/Settings!$B$10/Settings!$B$12)*Settings!$B$13,2))</f>
        <v/>
      </c>
      <c r="N1052" s="26" t="str">
        <f aca="false">IF($A1052="","",K1052+L1052+M1052)</f>
        <v/>
      </c>
      <c r="O1052" s="26" t="str">
        <f aca="false">IF($A1052="","",SUMIFS(Deductions!$D$5:$D$2000,Deductions!$B$5:$B$2000,$A1052,Deductions!$C$5:$C$2000,"Advance",Deductions!$E$5:$E$2000,"&gt;="&amp;Settings!$B$8,Deductions!$E$5:$E$2000,"&lt;="&amp;Settings!$B$9))</f>
        <v/>
      </c>
      <c r="P1052" s="26" t="str">
        <f aca="false">IF($A1052="","",SUMIFS(Deductions!$D$5:$D$2000,Deductions!$B$5:$B$2000,$A1052,Deductions!$E$5:$E$2000,"&gt;="&amp;Settings!$B$8,Deductions!$E$5:$E$2000,"&lt;="&amp;Settings!$B$9)-O1052)</f>
        <v/>
      </c>
      <c r="Q1052" s="26" t="str">
        <f aca="false">IF($A1052="","",O1052+P1052)</f>
        <v/>
      </c>
      <c r="R1052" s="23" t="str">
        <f aca="false">IF($A1052="","",N1052-Q1052)</f>
        <v/>
      </c>
      <c r="S1052" s="24" t="str">
        <f aca="false">IF($A1052="","",INDEX(Workers!$O$5:$O$2004,MATCH($A1052,Workers!$A$5:$A$2004,0))&amp;"")</f>
        <v/>
      </c>
      <c r="T1052" s="24" t="str">
        <f aca="false">IF($A1052="","",INDEX(Workers!$P$5:$P$2004,MATCH($A1052,Workers!$A$5:$A$2004,0))&amp;"")</f>
        <v/>
      </c>
      <c r="U1052" s="24" t="str">
        <f aca="false">IF($A1052="","",INDEX(Workers!$H$5:$H$2004,MATCH($A1052,Workers!$A$5:$A$2004,0))&amp;"")</f>
        <v/>
      </c>
    </row>
    <row r="1053" customFormat="false" ht="15" hidden="false" customHeight="false" outlineLevel="0" collapsed="false">
      <c r="A1053" s="24" t="str">
        <f aca="false">IFERROR(INDEX(Workers!$A$5:$A$2004,MATCH(ROW()-4,Workers!$U$5:$U$2004,0)),"")</f>
        <v/>
      </c>
      <c r="B1053" s="24" t="str">
        <f aca="false">IF($A1053="","",INDEX(Workers!$B$5:$B$2004,MATCH($A1053,Workers!$A$5:$A$2004,0)))</f>
        <v/>
      </c>
      <c r="C1053" s="24" t="str">
        <f aca="false">IF($A1053="","",INDEX(Workers!$E$5:$E$2004,MATCH($A1053,Workers!$A$5:$A$2004,0)))</f>
        <v/>
      </c>
      <c r="D1053" s="24" t="str">
        <f aca="false">IF($A1053="","",INDEX(Workers!$K$5:$K$2004,MATCH($A1053,Workers!$A$5:$A$2004,0)))</f>
        <v/>
      </c>
      <c r="E1053" s="25" t="str">
        <f aca="false">IF($A1053="","",SUMIFS(Timesheet!$E$5:$E$3004,Timesheet!$D$5:$D$3004,$A1053,Timesheet!$A$5:$A$3004,"&gt;="&amp;Settings!$B$8,Timesheet!$A$5:$A$3004,"&lt;="&amp;Settings!$B$9))</f>
        <v/>
      </c>
      <c r="F1053" s="25" t="str">
        <f aca="false">IF($A1053="","",SUMIFS(Timesheet!$F$5:$F$3004,Timesheet!$D$5:$D$3004,$A1053,Timesheet!$A$5:$A$3004,"&gt;="&amp;Settings!$B$8,Timesheet!$A$5:$A$3004,"&lt;="&amp;Settings!$B$9))</f>
        <v/>
      </c>
      <c r="G1053" s="25" t="str">
        <f aca="false">IF($A1053="","",SUMIFS(Timesheet!$G$5:$G$3004,Timesheet!$D$5:$D$3004,$A1053,Timesheet!$A$5:$A$3004,"&gt;="&amp;Settings!$B$8,Timesheet!$A$5:$A$3004,"&lt;="&amp;Settings!$B$9))</f>
        <v/>
      </c>
      <c r="H1053" s="25" t="str">
        <f aca="false">IF($A1053="","",IF(D1053="Monthly",MAX(0,Settings!$B$11-E1053),0))</f>
        <v/>
      </c>
      <c r="I1053" s="26" t="str">
        <f aca="false">IF($A1053="","",N(INDEX(Workers!$L$5:$L$2004,MATCH($A1053,Workers!$A$5:$A$2004,0))))</f>
        <v/>
      </c>
      <c r="J1053" s="26" t="str">
        <f aca="false">IF($A1053="","",N(INDEX(Workers!$M$5:$M$2004,MATCH($A1053,Workers!$A$5:$A$2004,0))))</f>
        <v/>
      </c>
      <c r="K1053" s="26" t="str">
        <f aca="false">IF($A1053="","",IF(D1053="Monthly",ROUND(MAX(0,(I1053+J1053)-(I1053+J1053)/Settings!$B$10*H1053),2),0))</f>
        <v/>
      </c>
      <c r="L1053" s="26" t="str">
        <f aca="false">IF($A1053="","",IF(D1053="Hourly",ROUND(F1053*N(INDEX(Workers!$N$5:$N$2004,MATCH($A1053,Workers!$A$5:$A$2004,0))),2),0))</f>
        <v/>
      </c>
      <c r="M1053" s="26" t="str">
        <f aca="false">IF($A1053="","",ROUND(G1053*IF(D1053="Hourly",N(INDEX(Workers!$N$5:$N$2004,MATCH($A1053,Workers!$A$5:$A$2004,0))),I1053/Settings!$B$10/Settings!$B$12)*Settings!$B$13,2))</f>
        <v/>
      </c>
      <c r="N1053" s="26" t="str">
        <f aca="false">IF($A1053="","",K1053+L1053+M1053)</f>
        <v/>
      </c>
      <c r="O1053" s="26" t="str">
        <f aca="false">IF($A1053="","",SUMIFS(Deductions!$D$5:$D$2000,Deductions!$B$5:$B$2000,$A1053,Deductions!$C$5:$C$2000,"Advance",Deductions!$E$5:$E$2000,"&gt;="&amp;Settings!$B$8,Deductions!$E$5:$E$2000,"&lt;="&amp;Settings!$B$9))</f>
        <v/>
      </c>
      <c r="P1053" s="26" t="str">
        <f aca="false">IF($A1053="","",SUMIFS(Deductions!$D$5:$D$2000,Deductions!$B$5:$B$2000,$A1053,Deductions!$E$5:$E$2000,"&gt;="&amp;Settings!$B$8,Deductions!$E$5:$E$2000,"&lt;="&amp;Settings!$B$9)-O1053)</f>
        <v/>
      </c>
      <c r="Q1053" s="26" t="str">
        <f aca="false">IF($A1053="","",O1053+P1053)</f>
        <v/>
      </c>
      <c r="R1053" s="23" t="str">
        <f aca="false">IF($A1053="","",N1053-Q1053)</f>
        <v/>
      </c>
      <c r="S1053" s="24" t="str">
        <f aca="false">IF($A1053="","",INDEX(Workers!$O$5:$O$2004,MATCH($A1053,Workers!$A$5:$A$2004,0))&amp;"")</f>
        <v/>
      </c>
      <c r="T1053" s="24" t="str">
        <f aca="false">IF($A1053="","",INDEX(Workers!$P$5:$P$2004,MATCH($A1053,Workers!$A$5:$A$2004,0))&amp;"")</f>
        <v/>
      </c>
      <c r="U1053" s="24" t="str">
        <f aca="false">IF($A1053="","",INDEX(Workers!$H$5:$H$2004,MATCH($A1053,Workers!$A$5:$A$2004,0))&amp;"")</f>
        <v/>
      </c>
    </row>
    <row r="1054" customFormat="false" ht="15" hidden="false" customHeight="false" outlineLevel="0" collapsed="false">
      <c r="A1054" s="24" t="str">
        <f aca="false">IFERROR(INDEX(Workers!$A$5:$A$2004,MATCH(ROW()-4,Workers!$U$5:$U$2004,0)),"")</f>
        <v/>
      </c>
      <c r="B1054" s="24" t="str">
        <f aca="false">IF($A1054="","",INDEX(Workers!$B$5:$B$2004,MATCH($A1054,Workers!$A$5:$A$2004,0)))</f>
        <v/>
      </c>
      <c r="C1054" s="24" t="str">
        <f aca="false">IF($A1054="","",INDEX(Workers!$E$5:$E$2004,MATCH($A1054,Workers!$A$5:$A$2004,0)))</f>
        <v/>
      </c>
      <c r="D1054" s="24" t="str">
        <f aca="false">IF($A1054="","",INDEX(Workers!$K$5:$K$2004,MATCH($A1054,Workers!$A$5:$A$2004,0)))</f>
        <v/>
      </c>
      <c r="E1054" s="25" t="str">
        <f aca="false">IF($A1054="","",SUMIFS(Timesheet!$E$5:$E$3004,Timesheet!$D$5:$D$3004,$A1054,Timesheet!$A$5:$A$3004,"&gt;="&amp;Settings!$B$8,Timesheet!$A$5:$A$3004,"&lt;="&amp;Settings!$B$9))</f>
        <v/>
      </c>
      <c r="F1054" s="25" t="str">
        <f aca="false">IF($A1054="","",SUMIFS(Timesheet!$F$5:$F$3004,Timesheet!$D$5:$D$3004,$A1054,Timesheet!$A$5:$A$3004,"&gt;="&amp;Settings!$B$8,Timesheet!$A$5:$A$3004,"&lt;="&amp;Settings!$B$9))</f>
        <v/>
      </c>
      <c r="G1054" s="25" t="str">
        <f aca="false">IF($A1054="","",SUMIFS(Timesheet!$G$5:$G$3004,Timesheet!$D$5:$D$3004,$A1054,Timesheet!$A$5:$A$3004,"&gt;="&amp;Settings!$B$8,Timesheet!$A$5:$A$3004,"&lt;="&amp;Settings!$B$9))</f>
        <v/>
      </c>
      <c r="H1054" s="25" t="str">
        <f aca="false">IF($A1054="","",IF(D1054="Monthly",MAX(0,Settings!$B$11-E1054),0))</f>
        <v/>
      </c>
      <c r="I1054" s="26" t="str">
        <f aca="false">IF($A1054="","",N(INDEX(Workers!$L$5:$L$2004,MATCH($A1054,Workers!$A$5:$A$2004,0))))</f>
        <v/>
      </c>
      <c r="J1054" s="26" t="str">
        <f aca="false">IF($A1054="","",N(INDEX(Workers!$M$5:$M$2004,MATCH($A1054,Workers!$A$5:$A$2004,0))))</f>
        <v/>
      </c>
      <c r="K1054" s="26" t="str">
        <f aca="false">IF($A1054="","",IF(D1054="Monthly",ROUND(MAX(0,(I1054+J1054)-(I1054+J1054)/Settings!$B$10*H1054),2),0))</f>
        <v/>
      </c>
      <c r="L1054" s="26" t="str">
        <f aca="false">IF($A1054="","",IF(D1054="Hourly",ROUND(F1054*N(INDEX(Workers!$N$5:$N$2004,MATCH($A1054,Workers!$A$5:$A$2004,0))),2),0))</f>
        <v/>
      </c>
      <c r="M1054" s="26" t="str">
        <f aca="false">IF($A1054="","",ROUND(G1054*IF(D1054="Hourly",N(INDEX(Workers!$N$5:$N$2004,MATCH($A1054,Workers!$A$5:$A$2004,0))),I1054/Settings!$B$10/Settings!$B$12)*Settings!$B$13,2))</f>
        <v/>
      </c>
      <c r="N1054" s="26" t="str">
        <f aca="false">IF($A1054="","",K1054+L1054+M1054)</f>
        <v/>
      </c>
      <c r="O1054" s="26" t="str">
        <f aca="false">IF($A1054="","",SUMIFS(Deductions!$D$5:$D$2000,Deductions!$B$5:$B$2000,$A1054,Deductions!$C$5:$C$2000,"Advance",Deductions!$E$5:$E$2000,"&gt;="&amp;Settings!$B$8,Deductions!$E$5:$E$2000,"&lt;="&amp;Settings!$B$9))</f>
        <v/>
      </c>
      <c r="P1054" s="26" t="str">
        <f aca="false">IF($A1054="","",SUMIFS(Deductions!$D$5:$D$2000,Deductions!$B$5:$B$2000,$A1054,Deductions!$E$5:$E$2000,"&gt;="&amp;Settings!$B$8,Deductions!$E$5:$E$2000,"&lt;="&amp;Settings!$B$9)-O1054)</f>
        <v/>
      </c>
      <c r="Q1054" s="26" t="str">
        <f aca="false">IF($A1054="","",O1054+P1054)</f>
        <v/>
      </c>
      <c r="R1054" s="23" t="str">
        <f aca="false">IF($A1054="","",N1054-Q1054)</f>
        <v/>
      </c>
      <c r="S1054" s="24" t="str">
        <f aca="false">IF($A1054="","",INDEX(Workers!$O$5:$O$2004,MATCH($A1054,Workers!$A$5:$A$2004,0))&amp;"")</f>
        <v/>
      </c>
      <c r="T1054" s="24" t="str">
        <f aca="false">IF($A1054="","",INDEX(Workers!$P$5:$P$2004,MATCH($A1054,Workers!$A$5:$A$2004,0))&amp;"")</f>
        <v/>
      </c>
      <c r="U1054" s="24" t="str">
        <f aca="false">IF($A1054="","",INDEX(Workers!$H$5:$H$2004,MATCH($A1054,Workers!$A$5:$A$2004,0))&amp;"")</f>
        <v/>
      </c>
    </row>
    <row r="1055" customFormat="false" ht="15" hidden="false" customHeight="false" outlineLevel="0" collapsed="false">
      <c r="A1055" s="24" t="str">
        <f aca="false">IFERROR(INDEX(Workers!$A$5:$A$2004,MATCH(ROW()-4,Workers!$U$5:$U$2004,0)),"")</f>
        <v/>
      </c>
      <c r="B1055" s="24" t="str">
        <f aca="false">IF($A1055="","",INDEX(Workers!$B$5:$B$2004,MATCH($A1055,Workers!$A$5:$A$2004,0)))</f>
        <v/>
      </c>
      <c r="C1055" s="24" t="str">
        <f aca="false">IF($A1055="","",INDEX(Workers!$E$5:$E$2004,MATCH($A1055,Workers!$A$5:$A$2004,0)))</f>
        <v/>
      </c>
      <c r="D1055" s="24" t="str">
        <f aca="false">IF($A1055="","",INDEX(Workers!$K$5:$K$2004,MATCH($A1055,Workers!$A$5:$A$2004,0)))</f>
        <v/>
      </c>
      <c r="E1055" s="25" t="str">
        <f aca="false">IF($A1055="","",SUMIFS(Timesheet!$E$5:$E$3004,Timesheet!$D$5:$D$3004,$A1055,Timesheet!$A$5:$A$3004,"&gt;="&amp;Settings!$B$8,Timesheet!$A$5:$A$3004,"&lt;="&amp;Settings!$B$9))</f>
        <v/>
      </c>
      <c r="F1055" s="25" t="str">
        <f aca="false">IF($A1055="","",SUMIFS(Timesheet!$F$5:$F$3004,Timesheet!$D$5:$D$3004,$A1055,Timesheet!$A$5:$A$3004,"&gt;="&amp;Settings!$B$8,Timesheet!$A$5:$A$3004,"&lt;="&amp;Settings!$B$9))</f>
        <v/>
      </c>
      <c r="G1055" s="25" t="str">
        <f aca="false">IF($A1055="","",SUMIFS(Timesheet!$G$5:$G$3004,Timesheet!$D$5:$D$3004,$A1055,Timesheet!$A$5:$A$3004,"&gt;="&amp;Settings!$B$8,Timesheet!$A$5:$A$3004,"&lt;="&amp;Settings!$B$9))</f>
        <v/>
      </c>
      <c r="H1055" s="25" t="str">
        <f aca="false">IF($A1055="","",IF(D1055="Monthly",MAX(0,Settings!$B$11-E1055),0))</f>
        <v/>
      </c>
      <c r="I1055" s="26" t="str">
        <f aca="false">IF($A1055="","",N(INDEX(Workers!$L$5:$L$2004,MATCH($A1055,Workers!$A$5:$A$2004,0))))</f>
        <v/>
      </c>
      <c r="J1055" s="26" t="str">
        <f aca="false">IF($A1055="","",N(INDEX(Workers!$M$5:$M$2004,MATCH($A1055,Workers!$A$5:$A$2004,0))))</f>
        <v/>
      </c>
      <c r="K1055" s="26" t="str">
        <f aca="false">IF($A1055="","",IF(D1055="Monthly",ROUND(MAX(0,(I1055+J1055)-(I1055+J1055)/Settings!$B$10*H1055),2),0))</f>
        <v/>
      </c>
      <c r="L1055" s="26" t="str">
        <f aca="false">IF($A1055="","",IF(D1055="Hourly",ROUND(F1055*N(INDEX(Workers!$N$5:$N$2004,MATCH($A1055,Workers!$A$5:$A$2004,0))),2),0))</f>
        <v/>
      </c>
      <c r="M1055" s="26" t="str">
        <f aca="false">IF($A1055="","",ROUND(G1055*IF(D1055="Hourly",N(INDEX(Workers!$N$5:$N$2004,MATCH($A1055,Workers!$A$5:$A$2004,0))),I1055/Settings!$B$10/Settings!$B$12)*Settings!$B$13,2))</f>
        <v/>
      </c>
      <c r="N1055" s="26" t="str">
        <f aca="false">IF($A1055="","",K1055+L1055+M1055)</f>
        <v/>
      </c>
      <c r="O1055" s="26" t="str">
        <f aca="false">IF($A1055="","",SUMIFS(Deductions!$D$5:$D$2000,Deductions!$B$5:$B$2000,$A1055,Deductions!$C$5:$C$2000,"Advance",Deductions!$E$5:$E$2000,"&gt;="&amp;Settings!$B$8,Deductions!$E$5:$E$2000,"&lt;="&amp;Settings!$B$9))</f>
        <v/>
      </c>
      <c r="P1055" s="26" t="str">
        <f aca="false">IF($A1055="","",SUMIFS(Deductions!$D$5:$D$2000,Deductions!$B$5:$B$2000,$A1055,Deductions!$E$5:$E$2000,"&gt;="&amp;Settings!$B$8,Deductions!$E$5:$E$2000,"&lt;="&amp;Settings!$B$9)-O1055)</f>
        <v/>
      </c>
      <c r="Q1055" s="26" t="str">
        <f aca="false">IF($A1055="","",O1055+P1055)</f>
        <v/>
      </c>
      <c r="R1055" s="23" t="str">
        <f aca="false">IF($A1055="","",N1055-Q1055)</f>
        <v/>
      </c>
      <c r="S1055" s="24" t="str">
        <f aca="false">IF($A1055="","",INDEX(Workers!$O$5:$O$2004,MATCH($A1055,Workers!$A$5:$A$2004,0))&amp;"")</f>
        <v/>
      </c>
      <c r="T1055" s="24" t="str">
        <f aca="false">IF($A1055="","",INDEX(Workers!$P$5:$P$2004,MATCH($A1055,Workers!$A$5:$A$2004,0))&amp;"")</f>
        <v/>
      </c>
      <c r="U1055" s="24" t="str">
        <f aca="false">IF($A1055="","",INDEX(Workers!$H$5:$H$2004,MATCH($A1055,Workers!$A$5:$A$2004,0))&amp;"")</f>
        <v/>
      </c>
    </row>
    <row r="1056" customFormat="false" ht="15" hidden="false" customHeight="false" outlineLevel="0" collapsed="false">
      <c r="A1056" s="24" t="str">
        <f aca="false">IFERROR(INDEX(Workers!$A$5:$A$2004,MATCH(ROW()-4,Workers!$U$5:$U$2004,0)),"")</f>
        <v/>
      </c>
      <c r="B1056" s="24" t="str">
        <f aca="false">IF($A1056="","",INDEX(Workers!$B$5:$B$2004,MATCH($A1056,Workers!$A$5:$A$2004,0)))</f>
        <v/>
      </c>
      <c r="C1056" s="24" t="str">
        <f aca="false">IF($A1056="","",INDEX(Workers!$E$5:$E$2004,MATCH($A1056,Workers!$A$5:$A$2004,0)))</f>
        <v/>
      </c>
      <c r="D1056" s="24" t="str">
        <f aca="false">IF($A1056="","",INDEX(Workers!$K$5:$K$2004,MATCH($A1056,Workers!$A$5:$A$2004,0)))</f>
        <v/>
      </c>
      <c r="E1056" s="25" t="str">
        <f aca="false">IF($A1056="","",SUMIFS(Timesheet!$E$5:$E$3004,Timesheet!$D$5:$D$3004,$A1056,Timesheet!$A$5:$A$3004,"&gt;="&amp;Settings!$B$8,Timesheet!$A$5:$A$3004,"&lt;="&amp;Settings!$B$9))</f>
        <v/>
      </c>
      <c r="F1056" s="25" t="str">
        <f aca="false">IF($A1056="","",SUMIFS(Timesheet!$F$5:$F$3004,Timesheet!$D$5:$D$3004,$A1056,Timesheet!$A$5:$A$3004,"&gt;="&amp;Settings!$B$8,Timesheet!$A$5:$A$3004,"&lt;="&amp;Settings!$B$9))</f>
        <v/>
      </c>
      <c r="G1056" s="25" t="str">
        <f aca="false">IF($A1056="","",SUMIFS(Timesheet!$G$5:$G$3004,Timesheet!$D$5:$D$3004,$A1056,Timesheet!$A$5:$A$3004,"&gt;="&amp;Settings!$B$8,Timesheet!$A$5:$A$3004,"&lt;="&amp;Settings!$B$9))</f>
        <v/>
      </c>
      <c r="H1056" s="25" t="str">
        <f aca="false">IF($A1056="","",IF(D1056="Monthly",MAX(0,Settings!$B$11-E1056),0))</f>
        <v/>
      </c>
      <c r="I1056" s="26" t="str">
        <f aca="false">IF($A1056="","",N(INDEX(Workers!$L$5:$L$2004,MATCH($A1056,Workers!$A$5:$A$2004,0))))</f>
        <v/>
      </c>
      <c r="J1056" s="26" t="str">
        <f aca="false">IF($A1056="","",N(INDEX(Workers!$M$5:$M$2004,MATCH($A1056,Workers!$A$5:$A$2004,0))))</f>
        <v/>
      </c>
      <c r="K1056" s="26" t="str">
        <f aca="false">IF($A1056="","",IF(D1056="Monthly",ROUND(MAX(0,(I1056+J1056)-(I1056+J1056)/Settings!$B$10*H1056),2),0))</f>
        <v/>
      </c>
      <c r="L1056" s="26" t="str">
        <f aca="false">IF($A1056="","",IF(D1056="Hourly",ROUND(F1056*N(INDEX(Workers!$N$5:$N$2004,MATCH($A1056,Workers!$A$5:$A$2004,0))),2),0))</f>
        <v/>
      </c>
      <c r="M1056" s="26" t="str">
        <f aca="false">IF($A1056="","",ROUND(G1056*IF(D1056="Hourly",N(INDEX(Workers!$N$5:$N$2004,MATCH($A1056,Workers!$A$5:$A$2004,0))),I1056/Settings!$B$10/Settings!$B$12)*Settings!$B$13,2))</f>
        <v/>
      </c>
      <c r="N1056" s="26" t="str">
        <f aca="false">IF($A1056="","",K1056+L1056+M1056)</f>
        <v/>
      </c>
      <c r="O1056" s="26" t="str">
        <f aca="false">IF($A1056="","",SUMIFS(Deductions!$D$5:$D$2000,Deductions!$B$5:$B$2000,$A1056,Deductions!$C$5:$C$2000,"Advance",Deductions!$E$5:$E$2000,"&gt;="&amp;Settings!$B$8,Deductions!$E$5:$E$2000,"&lt;="&amp;Settings!$B$9))</f>
        <v/>
      </c>
      <c r="P1056" s="26" t="str">
        <f aca="false">IF($A1056="","",SUMIFS(Deductions!$D$5:$D$2000,Deductions!$B$5:$B$2000,$A1056,Deductions!$E$5:$E$2000,"&gt;="&amp;Settings!$B$8,Deductions!$E$5:$E$2000,"&lt;="&amp;Settings!$B$9)-O1056)</f>
        <v/>
      </c>
      <c r="Q1056" s="26" t="str">
        <f aca="false">IF($A1056="","",O1056+P1056)</f>
        <v/>
      </c>
      <c r="R1056" s="23" t="str">
        <f aca="false">IF($A1056="","",N1056-Q1056)</f>
        <v/>
      </c>
      <c r="S1056" s="24" t="str">
        <f aca="false">IF($A1056="","",INDEX(Workers!$O$5:$O$2004,MATCH($A1056,Workers!$A$5:$A$2004,0))&amp;"")</f>
        <v/>
      </c>
      <c r="T1056" s="24" t="str">
        <f aca="false">IF($A1056="","",INDEX(Workers!$P$5:$P$2004,MATCH($A1056,Workers!$A$5:$A$2004,0))&amp;"")</f>
        <v/>
      </c>
      <c r="U1056" s="24" t="str">
        <f aca="false">IF($A1056="","",INDEX(Workers!$H$5:$H$2004,MATCH($A1056,Workers!$A$5:$A$2004,0))&amp;"")</f>
        <v/>
      </c>
    </row>
    <row r="1057" customFormat="false" ht="15" hidden="false" customHeight="false" outlineLevel="0" collapsed="false">
      <c r="A1057" s="24" t="str">
        <f aca="false">IFERROR(INDEX(Workers!$A$5:$A$2004,MATCH(ROW()-4,Workers!$U$5:$U$2004,0)),"")</f>
        <v/>
      </c>
      <c r="B1057" s="24" t="str">
        <f aca="false">IF($A1057="","",INDEX(Workers!$B$5:$B$2004,MATCH($A1057,Workers!$A$5:$A$2004,0)))</f>
        <v/>
      </c>
      <c r="C1057" s="24" t="str">
        <f aca="false">IF($A1057="","",INDEX(Workers!$E$5:$E$2004,MATCH($A1057,Workers!$A$5:$A$2004,0)))</f>
        <v/>
      </c>
      <c r="D1057" s="24" t="str">
        <f aca="false">IF($A1057="","",INDEX(Workers!$K$5:$K$2004,MATCH($A1057,Workers!$A$5:$A$2004,0)))</f>
        <v/>
      </c>
      <c r="E1057" s="25" t="str">
        <f aca="false">IF($A1057="","",SUMIFS(Timesheet!$E$5:$E$3004,Timesheet!$D$5:$D$3004,$A1057,Timesheet!$A$5:$A$3004,"&gt;="&amp;Settings!$B$8,Timesheet!$A$5:$A$3004,"&lt;="&amp;Settings!$B$9))</f>
        <v/>
      </c>
      <c r="F1057" s="25" t="str">
        <f aca="false">IF($A1057="","",SUMIFS(Timesheet!$F$5:$F$3004,Timesheet!$D$5:$D$3004,$A1057,Timesheet!$A$5:$A$3004,"&gt;="&amp;Settings!$B$8,Timesheet!$A$5:$A$3004,"&lt;="&amp;Settings!$B$9))</f>
        <v/>
      </c>
      <c r="G1057" s="25" t="str">
        <f aca="false">IF($A1057="","",SUMIFS(Timesheet!$G$5:$G$3004,Timesheet!$D$5:$D$3004,$A1057,Timesheet!$A$5:$A$3004,"&gt;="&amp;Settings!$B$8,Timesheet!$A$5:$A$3004,"&lt;="&amp;Settings!$B$9))</f>
        <v/>
      </c>
      <c r="H1057" s="25" t="str">
        <f aca="false">IF($A1057="","",IF(D1057="Monthly",MAX(0,Settings!$B$11-E1057),0))</f>
        <v/>
      </c>
      <c r="I1057" s="26" t="str">
        <f aca="false">IF($A1057="","",N(INDEX(Workers!$L$5:$L$2004,MATCH($A1057,Workers!$A$5:$A$2004,0))))</f>
        <v/>
      </c>
      <c r="J1057" s="26" t="str">
        <f aca="false">IF($A1057="","",N(INDEX(Workers!$M$5:$M$2004,MATCH($A1057,Workers!$A$5:$A$2004,0))))</f>
        <v/>
      </c>
      <c r="K1057" s="26" t="str">
        <f aca="false">IF($A1057="","",IF(D1057="Monthly",ROUND(MAX(0,(I1057+J1057)-(I1057+J1057)/Settings!$B$10*H1057),2),0))</f>
        <v/>
      </c>
      <c r="L1057" s="26" t="str">
        <f aca="false">IF($A1057="","",IF(D1057="Hourly",ROUND(F1057*N(INDEX(Workers!$N$5:$N$2004,MATCH($A1057,Workers!$A$5:$A$2004,0))),2),0))</f>
        <v/>
      </c>
      <c r="M1057" s="26" t="str">
        <f aca="false">IF($A1057="","",ROUND(G1057*IF(D1057="Hourly",N(INDEX(Workers!$N$5:$N$2004,MATCH($A1057,Workers!$A$5:$A$2004,0))),I1057/Settings!$B$10/Settings!$B$12)*Settings!$B$13,2))</f>
        <v/>
      </c>
      <c r="N1057" s="26" t="str">
        <f aca="false">IF($A1057="","",K1057+L1057+M1057)</f>
        <v/>
      </c>
      <c r="O1057" s="26" t="str">
        <f aca="false">IF($A1057="","",SUMIFS(Deductions!$D$5:$D$2000,Deductions!$B$5:$B$2000,$A1057,Deductions!$C$5:$C$2000,"Advance",Deductions!$E$5:$E$2000,"&gt;="&amp;Settings!$B$8,Deductions!$E$5:$E$2000,"&lt;="&amp;Settings!$B$9))</f>
        <v/>
      </c>
      <c r="P1057" s="26" t="str">
        <f aca="false">IF($A1057="","",SUMIFS(Deductions!$D$5:$D$2000,Deductions!$B$5:$B$2000,$A1057,Deductions!$E$5:$E$2000,"&gt;="&amp;Settings!$B$8,Deductions!$E$5:$E$2000,"&lt;="&amp;Settings!$B$9)-O1057)</f>
        <v/>
      </c>
      <c r="Q1057" s="26" t="str">
        <f aca="false">IF($A1057="","",O1057+P1057)</f>
        <v/>
      </c>
      <c r="R1057" s="23" t="str">
        <f aca="false">IF($A1057="","",N1057-Q1057)</f>
        <v/>
      </c>
      <c r="S1057" s="24" t="str">
        <f aca="false">IF($A1057="","",INDEX(Workers!$O$5:$O$2004,MATCH($A1057,Workers!$A$5:$A$2004,0))&amp;"")</f>
        <v/>
      </c>
      <c r="T1057" s="24" t="str">
        <f aca="false">IF($A1057="","",INDEX(Workers!$P$5:$P$2004,MATCH($A1057,Workers!$A$5:$A$2004,0))&amp;"")</f>
        <v/>
      </c>
      <c r="U1057" s="24" t="str">
        <f aca="false">IF($A1057="","",INDEX(Workers!$H$5:$H$2004,MATCH($A1057,Workers!$A$5:$A$2004,0))&amp;"")</f>
        <v/>
      </c>
    </row>
    <row r="1058" customFormat="false" ht="15" hidden="false" customHeight="false" outlineLevel="0" collapsed="false">
      <c r="A1058" s="24" t="str">
        <f aca="false">IFERROR(INDEX(Workers!$A$5:$A$2004,MATCH(ROW()-4,Workers!$U$5:$U$2004,0)),"")</f>
        <v/>
      </c>
      <c r="B1058" s="24" t="str">
        <f aca="false">IF($A1058="","",INDEX(Workers!$B$5:$B$2004,MATCH($A1058,Workers!$A$5:$A$2004,0)))</f>
        <v/>
      </c>
      <c r="C1058" s="24" t="str">
        <f aca="false">IF($A1058="","",INDEX(Workers!$E$5:$E$2004,MATCH($A1058,Workers!$A$5:$A$2004,0)))</f>
        <v/>
      </c>
      <c r="D1058" s="24" t="str">
        <f aca="false">IF($A1058="","",INDEX(Workers!$K$5:$K$2004,MATCH($A1058,Workers!$A$5:$A$2004,0)))</f>
        <v/>
      </c>
      <c r="E1058" s="25" t="str">
        <f aca="false">IF($A1058="","",SUMIFS(Timesheet!$E$5:$E$3004,Timesheet!$D$5:$D$3004,$A1058,Timesheet!$A$5:$A$3004,"&gt;="&amp;Settings!$B$8,Timesheet!$A$5:$A$3004,"&lt;="&amp;Settings!$B$9))</f>
        <v/>
      </c>
      <c r="F1058" s="25" t="str">
        <f aca="false">IF($A1058="","",SUMIFS(Timesheet!$F$5:$F$3004,Timesheet!$D$5:$D$3004,$A1058,Timesheet!$A$5:$A$3004,"&gt;="&amp;Settings!$B$8,Timesheet!$A$5:$A$3004,"&lt;="&amp;Settings!$B$9))</f>
        <v/>
      </c>
      <c r="G1058" s="25" t="str">
        <f aca="false">IF($A1058="","",SUMIFS(Timesheet!$G$5:$G$3004,Timesheet!$D$5:$D$3004,$A1058,Timesheet!$A$5:$A$3004,"&gt;="&amp;Settings!$B$8,Timesheet!$A$5:$A$3004,"&lt;="&amp;Settings!$B$9))</f>
        <v/>
      </c>
      <c r="H1058" s="25" t="str">
        <f aca="false">IF($A1058="","",IF(D1058="Monthly",MAX(0,Settings!$B$11-E1058),0))</f>
        <v/>
      </c>
      <c r="I1058" s="26" t="str">
        <f aca="false">IF($A1058="","",N(INDEX(Workers!$L$5:$L$2004,MATCH($A1058,Workers!$A$5:$A$2004,0))))</f>
        <v/>
      </c>
      <c r="J1058" s="26" t="str">
        <f aca="false">IF($A1058="","",N(INDEX(Workers!$M$5:$M$2004,MATCH($A1058,Workers!$A$5:$A$2004,0))))</f>
        <v/>
      </c>
      <c r="K1058" s="26" t="str">
        <f aca="false">IF($A1058="","",IF(D1058="Monthly",ROUND(MAX(0,(I1058+J1058)-(I1058+J1058)/Settings!$B$10*H1058),2),0))</f>
        <v/>
      </c>
      <c r="L1058" s="26" t="str">
        <f aca="false">IF($A1058="","",IF(D1058="Hourly",ROUND(F1058*N(INDEX(Workers!$N$5:$N$2004,MATCH($A1058,Workers!$A$5:$A$2004,0))),2),0))</f>
        <v/>
      </c>
      <c r="M1058" s="26" t="str">
        <f aca="false">IF($A1058="","",ROUND(G1058*IF(D1058="Hourly",N(INDEX(Workers!$N$5:$N$2004,MATCH($A1058,Workers!$A$5:$A$2004,0))),I1058/Settings!$B$10/Settings!$B$12)*Settings!$B$13,2))</f>
        <v/>
      </c>
      <c r="N1058" s="26" t="str">
        <f aca="false">IF($A1058="","",K1058+L1058+M1058)</f>
        <v/>
      </c>
      <c r="O1058" s="26" t="str">
        <f aca="false">IF($A1058="","",SUMIFS(Deductions!$D$5:$D$2000,Deductions!$B$5:$B$2000,$A1058,Deductions!$C$5:$C$2000,"Advance",Deductions!$E$5:$E$2000,"&gt;="&amp;Settings!$B$8,Deductions!$E$5:$E$2000,"&lt;="&amp;Settings!$B$9))</f>
        <v/>
      </c>
      <c r="P1058" s="26" t="str">
        <f aca="false">IF($A1058="","",SUMIFS(Deductions!$D$5:$D$2000,Deductions!$B$5:$B$2000,$A1058,Deductions!$E$5:$E$2000,"&gt;="&amp;Settings!$B$8,Deductions!$E$5:$E$2000,"&lt;="&amp;Settings!$B$9)-O1058)</f>
        <v/>
      </c>
      <c r="Q1058" s="26" t="str">
        <f aca="false">IF($A1058="","",O1058+P1058)</f>
        <v/>
      </c>
      <c r="R1058" s="23" t="str">
        <f aca="false">IF($A1058="","",N1058-Q1058)</f>
        <v/>
      </c>
      <c r="S1058" s="24" t="str">
        <f aca="false">IF($A1058="","",INDEX(Workers!$O$5:$O$2004,MATCH($A1058,Workers!$A$5:$A$2004,0))&amp;"")</f>
        <v/>
      </c>
      <c r="T1058" s="24" t="str">
        <f aca="false">IF($A1058="","",INDEX(Workers!$P$5:$P$2004,MATCH($A1058,Workers!$A$5:$A$2004,0))&amp;"")</f>
        <v/>
      </c>
      <c r="U1058" s="24" t="str">
        <f aca="false">IF($A1058="","",INDEX(Workers!$H$5:$H$2004,MATCH($A1058,Workers!$A$5:$A$2004,0))&amp;"")</f>
        <v/>
      </c>
    </row>
    <row r="1059" customFormat="false" ht="15" hidden="false" customHeight="false" outlineLevel="0" collapsed="false">
      <c r="A1059" s="24" t="str">
        <f aca="false">IFERROR(INDEX(Workers!$A$5:$A$2004,MATCH(ROW()-4,Workers!$U$5:$U$2004,0)),"")</f>
        <v/>
      </c>
      <c r="B1059" s="24" t="str">
        <f aca="false">IF($A1059="","",INDEX(Workers!$B$5:$B$2004,MATCH($A1059,Workers!$A$5:$A$2004,0)))</f>
        <v/>
      </c>
      <c r="C1059" s="24" t="str">
        <f aca="false">IF($A1059="","",INDEX(Workers!$E$5:$E$2004,MATCH($A1059,Workers!$A$5:$A$2004,0)))</f>
        <v/>
      </c>
      <c r="D1059" s="24" t="str">
        <f aca="false">IF($A1059="","",INDEX(Workers!$K$5:$K$2004,MATCH($A1059,Workers!$A$5:$A$2004,0)))</f>
        <v/>
      </c>
      <c r="E1059" s="25" t="str">
        <f aca="false">IF($A1059="","",SUMIFS(Timesheet!$E$5:$E$3004,Timesheet!$D$5:$D$3004,$A1059,Timesheet!$A$5:$A$3004,"&gt;="&amp;Settings!$B$8,Timesheet!$A$5:$A$3004,"&lt;="&amp;Settings!$B$9))</f>
        <v/>
      </c>
      <c r="F1059" s="25" t="str">
        <f aca="false">IF($A1059="","",SUMIFS(Timesheet!$F$5:$F$3004,Timesheet!$D$5:$D$3004,$A1059,Timesheet!$A$5:$A$3004,"&gt;="&amp;Settings!$B$8,Timesheet!$A$5:$A$3004,"&lt;="&amp;Settings!$B$9))</f>
        <v/>
      </c>
      <c r="G1059" s="25" t="str">
        <f aca="false">IF($A1059="","",SUMIFS(Timesheet!$G$5:$G$3004,Timesheet!$D$5:$D$3004,$A1059,Timesheet!$A$5:$A$3004,"&gt;="&amp;Settings!$B$8,Timesheet!$A$5:$A$3004,"&lt;="&amp;Settings!$B$9))</f>
        <v/>
      </c>
      <c r="H1059" s="25" t="str">
        <f aca="false">IF($A1059="","",IF(D1059="Monthly",MAX(0,Settings!$B$11-E1059),0))</f>
        <v/>
      </c>
      <c r="I1059" s="26" t="str">
        <f aca="false">IF($A1059="","",N(INDEX(Workers!$L$5:$L$2004,MATCH($A1059,Workers!$A$5:$A$2004,0))))</f>
        <v/>
      </c>
      <c r="J1059" s="26" t="str">
        <f aca="false">IF($A1059="","",N(INDEX(Workers!$M$5:$M$2004,MATCH($A1059,Workers!$A$5:$A$2004,0))))</f>
        <v/>
      </c>
      <c r="K1059" s="26" t="str">
        <f aca="false">IF($A1059="","",IF(D1059="Monthly",ROUND(MAX(0,(I1059+J1059)-(I1059+J1059)/Settings!$B$10*H1059),2),0))</f>
        <v/>
      </c>
      <c r="L1059" s="26" t="str">
        <f aca="false">IF($A1059="","",IF(D1059="Hourly",ROUND(F1059*N(INDEX(Workers!$N$5:$N$2004,MATCH($A1059,Workers!$A$5:$A$2004,0))),2),0))</f>
        <v/>
      </c>
      <c r="M1059" s="26" t="str">
        <f aca="false">IF($A1059="","",ROUND(G1059*IF(D1059="Hourly",N(INDEX(Workers!$N$5:$N$2004,MATCH($A1059,Workers!$A$5:$A$2004,0))),I1059/Settings!$B$10/Settings!$B$12)*Settings!$B$13,2))</f>
        <v/>
      </c>
      <c r="N1059" s="26" t="str">
        <f aca="false">IF($A1059="","",K1059+L1059+M1059)</f>
        <v/>
      </c>
      <c r="O1059" s="26" t="str">
        <f aca="false">IF($A1059="","",SUMIFS(Deductions!$D$5:$D$2000,Deductions!$B$5:$B$2000,$A1059,Deductions!$C$5:$C$2000,"Advance",Deductions!$E$5:$E$2000,"&gt;="&amp;Settings!$B$8,Deductions!$E$5:$E$2000,"&lt;="&amp;Settings!$B$9))</f>
        <v/>
      </c>
      <c r="P1059" s="26" t="str">
        <f aca="false">IF($A1059="","",SUMIFS(Deductions!$D$5:$D$2000,Deductions!$B$5:$B$2000,$A1059,Deductions!$E$5:$E$2000,"&gt;="&amp;Settings!$B$8,Deductions!$E$5:$E$2000,"&lt;="&amp;Settings!$B$9)-O1059)</f>
        <v/>
      </c>
      <c r="Q1059" s="26" t="str">
        <f aca="false">IF($A1059="","",O1059+P1059)</f>
        <v/>
      </c>
      <c r="R1059" s="23" t="str">
        <f aca="false">IF($A1059="","",N1059-Q1059)</f>
        <v/>
      </c>
      <c r="S1059" s="24" t="str">
        <f aca="false">IF($A1059="","",INDEX(Workers!$O$5:$O$2004,MATCH($A1059,Workers!$A$5:$A$2004,0))&amp;"")</f>
        <v/>
      </c>
      <c r="T1059" s="24" t="str">
        <f aca="false">IF($A1059="","",INDEX(Workers!$P$5:$P$2004,MATCH($A1059,Workers!$A$5:$A$2004,0))&amp;"")</f>
        <v/>
      </c>
      <c r="U1059" s="24" t="str">
        <f aca="false">IF($A1059="","",INDEX(Workers!$H$5:$H$2004,MATCH($A1059,Workers!$A$5:$A$2004,0))&amp;"")</f>
        <v/>
      </c>
    </row>
    <row r="1060" customFormat="false" ht="15" hidden="false" customHeight="false" outlineLevel="0" collapsed="false">
      <c r="A1060" s="24" t="str">
        <f aca="false">IFERROR(INDEX(Workers!$A$5:$A$2004,MATCH(ROW()-4,Workers!$U$5:$U$2004,0)),"")</f>
        <v/>
      </c>
      <c r="B1060" s="24" t="str">
        <f aca="false">IF($A1060="","",INDEX(Workers!$B$5:$B$2004,MATCH($A1060,Workers!$A$5:$A$2004,0)))</f>
        <v/>
      </c>
      <c r="C1060" s="24" t="str">
        <f aca="false">IF($A1060="","",INDEX(Workers!$E$5:$E$2004,MATCH($A1060,Workers!$A$5:$A$2004,0)))</f>
        <v/>
      </c>
      <c r="D1060" s="24" t="str">
        <f aca="false">IF($A1060="","",INDEX(Workers!$K$5:$K$2004,MATCH($A1060,Workers!$A$5:$A$2004,0)))</f>
        <v/>
      </c>
      <c r="E1060" s="25" t="str">
        <f aca="false">IF($A1060="","",SUMIFS(Timesheet!$E$5:$E$3004,Timesheet!$D$5:$D$3004,$A1060,Timesheet!$A$5:$A$3004,"&gt;="&amp;Settings!$B$8,Timesheet!$A$5:$A$3004,"&lt;="&amp;Settings!$B$9))</f>
        <v/>
      </c>
      <c r="F1060" s="25" t="str">
        <f aca="false">IF($A1060="","",SUMIFS(Timesheet!$F$5:$F$3004,Timesheet!$D$5:$D$3004,$A1060,Timesheet!$A$5:$A$3004,"&gt;="&amp;Settings!$B$8,Timesheet!$A$5:$A$3004,"&lt;="&amp;Settings!$B$9))</f>
        <v/>
      </c>
      <c r="G1060" s="25" t="str">
        <f aca="false">IF($A1060="","",SUMIFS(Timesheet!$G$5:$G$3004,Timesheet!$D$5:$D$3004,$A1060,Timesheet!$A$5:$A$3004,"&gt;="&amp;Settings!$B$8,Timesheet!$A$5:$A$3004,"&lt;="&amp;Settings!$B$9))</f>
        <v/>
      </c>
      <c r="H1060" s="25" t="str">
        <f aca="false">IF($A1060="","",IF(D1060="Monthly",MAX(0,Settings!$B$11-E1060),0))</f>
        <v/>
      </c>
      <c r="I1060" s="26" t="str">
        <f aca="false">IF($A1060="","",N(INDEX(Workers!$L$5:$L$2004,MATCH($A1060,Workers!$A$5:$A$2004,0))))</f>
        <v/>
      </c>
      <c r="J1060" s="26" t="str">
        <f aca="false">IF($A1060="","",N(INDEX(Workers!$M$5:$M$2004,MATCH($A1060,Workers!$A$5:$A$2004,0))))</f>
        <v/>
      </c>
      <c r="K1060" s="26" t="str">
        <f aca="false">IF($A1060="","",IF(D1060="Monthly",ROUND(MAX(0,(I1060+J1060)-(I1060+J1060)/Settings!$B$10*H1060),2),0))</f>
        <v/>
      </c>
      <c r="L1060" s="26" t="str">
        <f aca="false">IF($A1060="","",IF(D1060="Hourly",ROUND(F1060*N(INDEX(Workers!$N$5:$N$2004,MATCH($A1060,Workers!$A$5:$A$2004,0))),2),0))</f>
        <v/>
      </c>
      <c r="M1060" s="26" t="str">
        <f aca="false">IF($A1060="","",ROUND(G1060*IF(D1060="Hourly",N(INDEX(Workers!$N$5:$N$2004,MATCH($A1060,Workers!$A$5:$A$2004,0))),I1060/Settings!$B$10/Settings!$B$12)*Settings!$B$13,2))</f>
        <v/>
      </c>
      <c r="N1060" s="26" t="str">
        <f aca="false">IF($A1060="","",K1060+L1060+M1060)</f>
        <v/>
      </c>
      <c r="O1060" s="26" t="str">
        <f aca="false">IF($A1060="","",SUMIFS(Deductions!$D$5:$D$2000,Deductions!$B$5:$B$2000,$A1060,Deductions!$C$5:$C$2000,"Advance",Deductions!$E$5:$E$2000,"&gt;="&amp;Settings!$B$8,Deductions!$E$5:$E$2000,"&lt;="&amp;Settings!$B$9))</f>
        <v/>
      </c>
      <c r="P1060" s="26" t="str">
        <f aca="false">IF($A1060="","",SUMIFS(Deductions!$D$5:$D$2000,Deductions!$B$5:$B$2000,$A1060,Deductions!$E$5:$E$2000,"&gt;="&amp;Settings!$B$8,Deductions!$E$5:$E$2000,"&lt;="&amp;Settings!$B$9)-O1060)</f>
        <v/>
      </c>
      <c r="Q1060" s="26" t="str">
        <f aca="false">IF($A1060="","",O1060+P1060)</f>
        <v/>
      </c>
      <c r="R1060" s="23" t="str">
        <f aca="false">IF($A1060="","",N1060-Q1060)</f>
        <v/>
      </c>
      <c r="S1060" s="24" t="str">
        <f aca="false">IF($A1060="","",INDEX(Workers!$O$5:$O$2004,MATCH($A1060,Workers!$A$5:$A$2004,0))&amp;"")</f>
        <v/>
      </c>
      <c r="T1060" s="24" t="str">
        <f aca="false">IF($A1060="","",INDEX(Workers!$P$5:$P$2004,MATCH($A1060,Workers!$A$5:$A$2004,0))&amp;"")</f>
        <v/>
      </c>
      <c r="U1060" s="24" t="str">
        <f aca="false">IF($A1060="","",INDEX(Workers!$H$5:$H$2004,MATCH($A1060,Workers!$A$5:$A$2004,0))&amp;"")</f>
        <v/>
      </c>
    </row>
    <row r="1061" customFormat="false" ht="15" hidden="false" customHeight="false" outlineLevel="0" collapsed="false">
      <c r="A1061" s="24" t="str">
        <f aca="false">IFERROR(INDEX(Workers!$A$5:$A$2004,MATCH(ROW()-4,Workers!$U$5:$U$2004,0)),"")</f>
        <v/>
      </c>
      <c r="B1061" s="24" t="str">
        <f aca="false">IF($A1061="","",INDEX(Workers!$B$5:$B$2004,MATCH($A1061,Workers!$A$5:$A$2004,0)))</f>
        <v/>
      </c>
      <c r="C1061" s="24" t="str">
        <f aca="false">IF($A1061="","",INDEX(Workers!$E$5:$E$2004,MATCH($A1061,Workers!$A$5:$A$2004,0)))</f>
        <v/>
      </c>
      <c r="D1061" s="24" t="str">
        <f aca="false">IF($A1061="","",INDEX(Workers!$K$5:$K$2004,MATCH($A1061,Workers!$A$5:$A$2004,0)))</f>
        <v/>
      </c>
      <c r="E1061" s="25" t="str">
        <f aca="false">IF($A1061="","",SUMIFS(Timesheet!$E$5:$E$3004,Timesheet!$D$5:$D$3004,$A1061,Timesheet!$A$5:$A$3004,"&gt;="&amp;Settings!$B$8,Timesheet!$A$5:$A$3004,"&lt;="&amp;Settings!$B$9))</f>
        <v/>
      </c>
      <c r="F1061" s="25" t="str">
        <f aca="false">IF($A1061="","",SUMIFS(Timesheet!$F$5:$F$3004,Timesheet!$D$5:$D$3004,$A1061,Timesheet!$A$5:$A$3004,"&gt;="&amp;Settings!$B$8,Timesheet!$A$5:$A$3004,"&lt;="&amp;Settings!$B$9))</f>
        <v/>
      </c>
      <c r="G1061" s="25" t="str">
        <f aca="false">IF($A1061="","",SUMIFS(Timesheet!$G$5:$G$3004,Timesheet!$D$5:$D$3004,$A1061,Timesheet!$A$5:$A$3004,"&gt;="&amp;Settings!$B$8,Timesheet!$A$5:$A$3004,"&lt;="&amp;Settings!$B$9))</f>
        <v/>
      </c>
      <c r="H1061" s="25" t="str">
        <f aca="false">IF($A1061="","",IF(D1061="Monthly",MAX(0,Settings!$B$11-E1061),0))</f>
        <v/>
      </c>
      <c r="I1061" s="26" t="str">
        <f aca="false">IF($A1061="","",N(INDEX(Workers!$L$5:$L$2004,MATCH($A1061,Workers!$A$5:$A$2004,0))))</f>
        <v/>
      </c>
      <c r="J1061" s="26" t="str">
        <f aca="false">IF($A1061="","",N(INDEX(Workers!$M$5:$M$2004,MATCH($A1061,Workers!$A$5:$A$2004,0))))</f>
        <v/>
      </c>
      <c r="K1061" s="26" t="str">
        <f aca="false">IF($A1061="","",IF(D1061="Monthly",ROUND(MAX(0,(I1061+J1061)-(I1061+J1061)/Settings!$B$10*H1061),2),0))</f>
        <v/>
      </c>
      <c r="L1061" s="26" t="str">
        <f aca="false">IF($A1061="","",IF(D1061="Hourly",ROUND(F1061*N(INDEX(Workers!$N$5:$N$2004,MATCH($A1061,Workers!$A$5:$A$2004,0))),2),0))</f>
        <v/>
      </c>
      <c r="M1061" s="26" t="str">
        <f aca="false">IF($A1061="","",ROUND(G1061*IF(D1061="Hourly",N(INDEX(Workers!$N$5:$N$2004,MATCH($A1061,Workers!$A$5:$A$2004,0))),I1061/Settings!$B$10/Settings!$B$12)*Settings!$B$13,2))</f>
        <v/>
      </c>
      <c r="N1061" s="26" t="str">
        <f aca="false">IF($A1061="","",K1061+L1061+M1061)</f>
        <v/>
      </c>
      <c r="O1061" s="26" t="str">
        <f aca="false">IF($A1061="","",SUMIFS(Deductions!$D$5:$D$2000,Deductions!$B$5:$B$2000,$A1061,Deductions!$C$5:$C$2000,"Advance",Deductions!$E$5:$E$2000,"&gt;="&amp;Settings!$B$8,Deductions!$E$5:$E$2000,"&lt;="&amp;Settings!$B$9))</f>
        <v/>
      </c>
      <c r="P1061" s="26" t="str">
        <f aca="false">IF($A1061="","",SUMIFS(Deductions!$D$5:$D$2000,Deductions!$B$5:$B$2000,$A1061,Deductions!$E$5:$E$2000,"&gt;="&amp;Settings!$B$8,Deductions!$E$5:$E$2000,"&lt;="&amp;Settings!$B$9)-O1061)</f>
        <v/>
      </c>
      <c r="Q1061" s="26" t="str">
        <f aca="false">IF($A1061="","",O1061+P1061)</f>
        <v/>
      </c>
      <c r="R1061" s="23" t="str">
        <f aca="false">IF($A1061="","",N1061-Q1061)</f>
        <v/>
      </c>
      <c r="S1061" s="24" t="str">
        <f aca="false">IF($A1061="","",INDEX(Workers!$O$5:$O$2004,MATCH($A1061,Workers!$A$5:$A$2004,0))&amp;"")</f>
        <v/>
      </c>
      <c r="T1061" s="24" t="str">
        <f aca="false">IF($A1061="","",INDEX(Workers!$P$5:$P$2004,MATCH($A1061,Workers!$A$5:$A$2004,0))&amp;"")</f>
        <v/>
      </c>
      <c r="U1061" s="24" t="str">
        <f aca="false">IF($A1061="","",INDEX(Workers!$H$5:$H$2004,MATCH($A1061,Workers!$A$5:$A$2004,0))&amp;"")</f>
        <v/>
      </c>
    </row>
    <row r="1062" customFormat="false" ht="15" hidden="false" customHeight="false" outlineLevel="0" collapsed="false">
      <c r="A1062" s="24" t="str">
        <f aca="false">IFERROR(INDEX(Workers!$A$5:$A$2004,MATCH(ROW()-4,Workers!$U$5:$U$2004,0)),"")</f>
        <v/>
      </c>
      <c r="B1062" s="24" t="str">
        <f aca="false">IF($A1062="","",INDEX(Workers!$B$5:$B$2004,MATCH($A1062,Workers!$A$5:$A$2004,0)))</f>
        <v/>
      </c>
      <c r="C1062" s="24" t="str">
        <f aca="false">IF($A1062="","",INDEX(Workers!$E$5:$E$2004,MATCH($A1062,Workers!$A$5:$A$2004,0)))</f>
        <v/>
      </c>
      <c r="D1062" s="24" t="str">
        <f aca="false">IF($A1062="","",INDEX(Workers!$K$5:$K$2004,MATCH($A1062,Workers!$A$5:$A$2004,0)))</f>
        <v/>
      </c>
      <c r="E1062" s="25" t="str">
        <f aca="false">IF($A1062="","",SUMIFS(Timesheet!$E$5:$E$3004,Timesheet!$D$5:$D$3004,$A1062,Timesheet!$A$5:$A$3004,"&gt;="&amp;Settings!$B$8,Timesheet!$A$5:$A$3004,"&lt;="&amp;Settings!$B$9))</f>
        <v/>
      </c>
      <c r="F1062" s="25" t="str">
        <f aca="false">IF($A1062="","",SUMIFS(Timesheet!$F$5:$F$3004,Timesheet!$D$5:$D$3004,$A1062,Timesheet!$A$5:$A$3004,"&gt;="&amp;Settings!$B$8,Timesheet!$A$5:$A$3004,"&lt;="&amp;Settings!$B$9))</f>
        <v/>
      </c>
      <c r="G1062" s="25" t="str">
        <f aca="false">IF($A1062="","",SUMIFS(Timesheet!$G$5:$G$3004,Timesheet!$D$5:$D$3004,$A1062,Timesheet!$A$5:$A$3004,"&gt;="&amp;Settings!$B$8,Timesheet!$A$5:$A$3004,"&lt;="&amp;Settings!$B$9))</f>
        <v/>
      </c>
      <c r="H1062" s="25" t="str">
        <f aca="false">IF($A1062="","",IF(D1062="Monthly",MAX(0,Settings!$B$11-E1062),0))</f>
        <v/>
      </c>
      <c r="I1062" s="26" t="str">
        <f aca="false">IF($A1062="","",N(INDEX(Workers!$L$5:$L$2004,MATCH($A1062,Workers!$A$5:$A$2004,0))))</f>
        <v/>
      </c>
      <c r="J1062" s="26" t="str">
        <f aca="false">IF($A1062="","",N(INDEX(Workers!$M$5:$M$2004,MATCH($A1062,Workers!$A$5:$A$2004,0))))</f>
        <v/>
      </c>
      <c r="K1062" s="26" t="str">
        <f aca="false">IF($A1062="","",IF(D1062="Monthly",ROUND(MAX(0,(I1062+J1062)-(I1062+J1062)/Settings!$B$10*H1062),2),0))</f>
        <v/>
      </c>
      <c r="L1062" s="26" t="str">
        <f aca="false">IF($A1062="","",IF(D1062="Hourly",ROUND(F1062*N(INDEX(Workers!$N$5:$N$2004,MATCH($A1062,Workers!$A$5:$A$2004,0))),2),0))</f>
        <v/>
      </c>
      <c r="M1062" s="26" t="str">
        <f aca="false">IF($A1062="","",ROUND(G1062*IF(D1062="Hourly",N(INDEX(Workers!$N$5:$N$2004,MATCH($A1062,Workers!$A$5:$A$2004,0))),I1062/Settings!$B$10/Settings!$B$12)*Settings!$B$13,2))</f>
        <v/>
      </c>
      <c r="N1062" s="26" t="str">
        <f aca="false">IF($A1062="","",K1062+L1062+M1062)</f>
        <v/>
      </c>
      <c r="O1062" s="26" t="str">
        <f aca="false">IF($A1062="","",SUMIFS(Deductions!$D$5:$D$2000,Deductions!$B$5:$B$2000,$A1062,Deductions!$C$5:$C$2000,"Advance",Deductions!$E$5:$E$2000,"&gt;="&amp;Settings!$B$8,Deductions!$E$5:$E$2000,"&lt;="&amp;Settings!$B$9))</f>
        <v/>
      </c>
      <c r="P1062" s="26" t="str">
        <f aca="false">IF($A1062="","",SUMIFS(Deductions!$D$5:$D$2000,Deductions!$B$5:$B$2000,$A1062,Deductions!$E$5:$E$2000,"&gt;="&amp;Settings!$B$8,Deductions!$E$5:$E$2000,"&lt;="&amp;Settings!$B$9)-O1062)</f>
        <v/>
      </c>
      <c r="Q1062" s="26" t="str">
        <f aca="false">IF($A1062="","",O1062+P1062)</f>
        <v/>
      </c>
      <c r="R1062" s="23" t="str">
        <f aca="false">IF($A1062="","",N1062-Q1062)</f>
        <v/>
      </c>
      <c r="S1062" s="24" t="str">
        <f aca="false">IF($A1062="","",INDEX(Workers!$O$5:$O$2004,MATCH($A1062,Workers!$A$5:$A$2004,0))&amp;"")</f>
        <v/>
      </c>
      <c r="T1062" s="24" t="str">
        <f aca="false">IF($A1062="","",INDEX(Workers!$P$5:$P$2004,MATCH($A1062,Workers!$A$5:$A$2004,0))&amp;"")</f>
        <v/>
      </c>
      <c r="U1062" s="24" t="str">
        <f aca="false">IF($A1062="","",INDEX(Workers!$H$5:$H$2004,MATCH($A1062,Workers!$A$5:$A$2004,0))&amp;"")</f>
        <v/>
      </c>
    </row>
    <row r="1063" customFormat="false" ht="15" hidden="false" customHeight="false" outlineLevel="0" collapsed="false">
      <c r="A1063" s="24" t="str">
        <f aca="false">IFERROR(INDEX(Workers!$A$5:$A$2004,MATCH(ROW()-4,Workers!$U$5:$U$2004,0)),"")</f>
        <v/>
      </c>
      <c r="B1063" s="24" t="str">
        <f aca="false">IF($A1063="","",INDEX(Workers!$B$5:$B$2004,MATCH($A1063,Workers!$A$5:$A$2004,0)))</f>
        <v/>
      </c>
      <c r="C1063" s="24" t="str">
        <f aca="false">IF($A1063="","",INDEX(Workers!$E$5:$E$2004,MATCH($A1063,Workers!$A$5:$A$2004,0)))</f>
        <v/>
      </c>
      <c r="D1063" s="24" t="str">
        <f aca="false">IF($A1063="","",INDEX(Workers!$K$5:$K$2004,MATCH($A1063,Workers!$A$5:$A$2004,0)))</f>
        <v/>
      </c>
      <c r="E1063" s="25" t="str">
        <f aca="false">IF($A1063="","",SUMIFS(Timesheet!$E$5:$E$3004,Timesheet!$D$5:$D$3004,$A1063,Timesheet!$A$5:$A$3004,"&gt;="&amp;Settings!$B$8,Timesheet!$A$5:$A$3004,"&lt;="&amp;Settings!$B$9))</f>
        <v/>
      </c>
      <c r="F1063" s="25" t="str">
        <f aca="false">IF($A1063="","",SUMIFS(Timesheet!$F$5:$F$3004,Timesheet!$D$5:$D$3004,$A1063,Timesheet!$A$5:$A$3004,"&gt;="&amp;Settings!$B$8,Timesheet!$A$5:$A$3004,"&lt;="&amp;Settings!$B$9))</f>
        <v/>
      </c>
      <c r="G1063" s="25" t="str">
        <f aca="false">IF($A1063="","",SUMIFS(Timesheet!$G$5:$G$3004,Timesheet!$D$5:$D$3004,$A1063,Timesheet!$A$5:$A$3004,"&gt;="&amp;Settings!$B$8,Timesheet!$A$5:$A$3004,"&lt;="&amp;Settings!$B$9))</f>
        <v/>
      </c>
      <c r="H1063" s="25" t="str">
        <f aca="false">IF($A1063="","",IF(D1063="Monthly",MAX(0,Settings!$B$11-E1063),0))</f>
        <v/>
      </c>
      <c r="I1063" s="26" t="str">
        <f aca="false">IF($A1063="","",N(INDEX(Workers!$L$5:$L$2004,MATCH($A1063,Workers!$A$5:$A$2004,0))))</f>
        <v/>
      </c>
      <c r="J1063" s="26" t="str">
        <f aca="false">IF($A1063="","",N(INDEX(Workers!$M$5:$M$2004,MATCH($A1063,Workers!$A$5:$A$2004,0))))</f>
        <v/>
      </c>
      <c r="K1063" s="26" t="str">
        <f aca="false">IF($A1063="","",IF(D1063="Monthly",ROUND(MAX(0,(I1063+J1063)-(I1063+J1063)/Settings!$B$10*H1063),2),0))</f>
        <v/>
      </c>
      <c r="L1063" s="26" t="str">
        <f aca="false">IF($A1063="","",IF(D1063="Hourly",ROUND(F1063*N(INDEX(Workers!$N$5:$N$2004,MATCH($A1063,Workers!$A$5:$A$2004,0))),2),0))</f>
        <v/>
      </c>
      <c r="M1063" s="26" t="str">
        <f aca="false">IF($A1063="","",ROUND(G1063*IF(D1063="Hourly",N(INDEX(Workers!$N$5:$N$2004,MATCH($A1063,Workers!$A$5:$A$2004,0))),I1063/Settings!$B$10/Settings!$B$12)*Settings!$B$13,2))</f>
        <v/>
      </c>
      <c r="N1063" s="26" t="str">
        <f aca="false">IF($A1063="","",K1063+L1063+M1063)</f>
        <v/>
      </c>
      <c r="O1063" s="26" t="str">
        <f aca="false">IF($A1063="","",SUMIFS(Deductions!$D$5:$D$2000,Deductions!$B$5:$B$2000,$A1063,Deductions!$C$5:$C$2000,"Advance",Deductions!$E$5:$E$2000,"&gt;="&amp;Settings!$B$8,Deductions!$E$5:$E$2000,"&lt;="&amp;Settings!$B$9))</f>
        <v/>
      </c>
      <c r="P1063" s="26" t="str">
        <f aca="false">IF($A1063="","",SUMIFS(Deductions!$D$5:$D$2000,Deductions!$B$5:$B$2000,$A1063,Deductions!$E$5:$E$2000,"&gt;="&amp;Settings!$B$8,Deductions!$E$5:$E$2000,"&lt;="&amp;Settings!$B$9)-O1063)</f>
        <v/>
      </c>
      <c r="Q1063" s="26" t="str">
        <f aca="false">IF($A1063="","",O1063+P1063)</f>
        <v/>
      </c>
      <c r="R1063" s="23" t="str">
        <f aca="false">IF($A1063="","",N1063-Q1063)</f>
        <v/>
      </c>
      <c r="S1063" s="24" t="str">
        <f aca="false">IF($A1063="","",INDEX(Workers!$O$5:$O$2004,MATCH($A1063,Workers!$A$5:$A$2004,0))&amp;"")</f>
        <v/>
      </c>
      <c r="T1063" s="24" t="str">
        <f aca="false">IF($A1063="","",INDEX(Workers!$P$5:$P$2004,MATCH($A1063,Workers!$A$5:$A$2004,0))&amp;"")</f>
        <v/>
      </c>
      <c r="U1063" s="24" t="str">
        <f aca="false">IF($A1063="","",INDEX(Workers!$H$5:$H$2004,MATCH($A1063,Workers!$A$5:$A$2004,0))&amp;"")</f>
        <v/>
      </c>
    </row>
    <row r="1064" customFormat="false" ht="15" hidden="false" customHeight="false" outlineLevel="0" collapsed="false">
      <c r="A1064" s="24" t="str">
        <f aca="false">IFERROR(INDEX(Workers!$A$5:$A$2004,MATCH(ROW()-4,Workers!$U$5:$U$2004,0)),"")</f>
        <v/>
      </c>
      <c r="B1064" s="24" t="str">
        <f aca="false">IF($A1064="","",INDEX(Workers!$B$5:$B$2004,MATCH($A1064,Workers!$A$5:$A$2004,0)))</f>
        <v/>
      </c>
      <c r="C1064" s="24" t="str">
        <f aca="false">IF($A1064="","",INDEX(Workers!$E$5:$E$2004,MATCH($A1064,Workers!$A$5:$A$2004,0)))</f>
        <v/>
      </c>
      <c r="D1064" s="24" t="str">
        <f aca="false">IF($A1064="","",INDEX(Workers!$K$5:$K$2004,MATCH($A1064,Workers!$A$5:$A$2004,0)))</f>
        <v/>
      </c>
      <c r="E1064" s="25" t="str">
        <f aca="false">IF($A1064="","",SUMIFS(Timesheet!$E$5:$E$3004,Timesheet!$D$5:$D$3004,$A1064,Timesheet!$A$5:$A$3004,"&gt;="&amp;Settings!$B$8,Timesheet!$A$5:$A$3004,"&lt;="&amp;Settings!$B$9))</f>
        <v/>
      </c>
      <c r="F1064" s="25" t="str">
        <f aca="false">IF($A1064="","",SUMIFS(Timesheet!$F$5:$F$3004,Timesheet!$D$5:$D$3004,$A1064,Timesheet!$A$5:$A$3004,"&gt;="&amp;Settings!$B$8,Timesheet!$A$5:$A$3004,"&lt;="&amp;Settings!$B$9))</f>
        <v/>
      </c>
      <c r="G1064" s="25" t="str">
        <f aca="false">IF($A1064="","",SUMIFS(Timesheet!$G$5:$G$3004,Timesheet!$D$5:$D$3004,$A1064,Timesheet!$A$5:$A$3004,"&gt;="&amp;Settings!$B$8,Timesheet!$A$5:$A$3004,"&lt;="&amp;Settings!$B$9))</f>
        <v/>
      </c>
      <c r="H1064" s="25" t="str">
        <f aca="false">IF($A1064="","",IF(D1064="Monthly",MAX(0,Settings!$B$11-E1064),0))</f>
        <v/>
      </c>
      <c r="I1064" s="26" t="str">
        <f aca="false">IF($A1064="","",N(INDEX(Workers!$L$5:$L$2004,MATCH($A1064,Workers!$A$5:$A$2004,0))))</f>
        <v/>
      </c>
      <c r="J1064" s="26" t="str">
        <f aca="false">IF($A1064="","",N(INDEX(Workers!$M$5:$M$2004,MATCH($A1064,Workers!$A$5:$A$2004,0))))</f>
        <v/>
      </c>
      <c r="K1064" s="26" t="str">
        <f aca="false">IF($A1064="","",IF(D1064="Monthly",ROUND(MAX(0,(I1064+J1064)-(I1064+J1064)/Settings!$B$10*H1064),2),0))</f>
        <v/>
      </c>
      <c r="L1064" s="26" t="str">
        <f aca="false">IF($A1064="","",IF(D1064="Hourly",ROUND(F1064*N(INDEX(Workers!$N$5:$N$2004,MATCH($A1064,Workers!$A$5:$A$2004,0))),2),0))</f>
        <v/>
      </c>
      <c r="M1064" s="26" t="str">
        <f aca="false">IF($A1064="","",ROUND(G1064*IF(D1064="Hourly",N(INDEX(Workers!$N$5:$N$2004,MATCH($A1064,Workers!$A$5:$A$2004,0))),I1064/Settings!$B$10/Settings!$B$12)*Settings!$B$13,2))</f>
        <v/>
      </c>
      <c r="N1064" s="26" t="str">
        <f aca="false">IF($A1064="","",K1064+L1064+M1064)</f>
        <v/>
      </c>
      <c r="O1064" s="26" t="str">
        <f aca="false">IF($A1064="","",SUMIFS(Deductions!$D$5:$D$2000,Deductions!$B$5:$B$2000,$A1064,Deductions!$C$5:$C$2000,"Advance",Deductions!$E$5:$E$2000,"&gt;="&amp;Settings!$B$8,Deductions!$E$5:$E$2000,"&lt;="&amp;Settings!$B$9))</f>
        <v/>
      </c>
      <c r="P1064" s="26" t="str">
        <f aca="false">IF($A1064="","",SUMIFS(Deductions!$D$5:$D$2000,Deductions!$B$5:$B$2000,$A1064,Deductions!$E$5:$E$2000,"&gt;="&amp;Settings!$B$8,Deductions!$E$5:$E$2000,"&lt;="&amp;Settings!$B$9)-O1064)</f>
        <v/>
      </c>
      <c r="Q1064" s="26" t="str">
        <f aca="false">IF($A1064="","",O1064+P1064)</f>
        <v/>
      </c>
      <c r="R1064" s="23" t="str">
        <f aca="false">IF($A1064="","",N1064-Q1064)</f>
        <v/>
      </c>
      <c r="S1064" s="24" t="str">
        <f aca="false">IF($A1064="","",INDEX(Workers!$O$5:$O$2004,MATCH($A1064,Workers!$A$5:$A$2004,0))&amp;"")</f>
        <v/>
      </c>
      <c r="T1064" s="24" t="str">
        <f aca="false">IF($A1064="","",INDEX(Workers!$P$5:$P$2004,MATCH($A1064,Workers!$A$5:$A$2004,0))&amp;"")</f>
        <v/>
      </c>
      <c r="U1064" s="24" t="str">
        <f aca="false">IF($A1064="","",INDEX(Workers!$H$5:$H$2004,MATCH($A1064,Workers!$A$5:$A$2004,0))&amp;"")</f>
        <v/>
      </c>
    </row>
    <row r="1065" customFormat="false" ht="15" hidden="false" customHeight="false" outlineLevel="0" collapsed="false">
      <c r="A1065" s="24" t="str">
        <f aca="false">IFERROR(INDEX(Workers!$A$5:$A$2004,MATCH(ROW()-4,Workers!$U$5:$U$2004,0)),"")</f>
        <v/>
      </c>
      <c r="B1065" s="24" t="str">
        <f aca="false">IF($A1065="","",INDEX(Workers!$B$5:$B$2004,MATCH($A1065,Workers!$A$5:$A$2004,0)))</f>
        <v/>
      </c>
      <c r="C1065" s="24" t="str">
        <f aca="false">IF($A1065="","",INDEX(Workers!$E$5:$E$2004,MATCH($A1065,Workers!$A$5:$A$2004,0)))</f>
        <v/>
      </c>
      <c r="D1065" s="24" t="str">
        <f aca="false">IF($A1065="","",INDEX(Workers!$K$5:$K$2004,MATCH($A1065,Workers!$A$5:$A$2004,0)))</f>
        <v/>
      </c>
      <c r="E1065" s="25" t="str">
        <f aca="false">IF($A1065="","",SUMIFS(Timesheet!$E$5:$E$3004,Timesheet!$D$5:$D$3004,$A1065,Timesheet!$A$5:$A$3004,"&gt;="&amp;Settings!$B$8,Timesheet!$A$5:$A$3004,"&lt;="&amp;Settings!$B$9))</f>
        <v/>
      </c>
      <c r="F1065" s="25" t="str">
        <f aca="false">IF($A1065="","",SUMIFS(Timesheet!$F$5:$F$3004,Timesheet!$D$5:$D$3004,$A1065,Timesheet!$A$5:$A$3004,"&gt;="&amp;Settings!$B$8,Timesheet!$A$5:$A$3004,"&lt;="&amp;Settings!$B$9))</f>
        <v/>
      </c>
      <c r="G1065" s="25" t="str">
        <f aca="false">IF($A1065="","",SUMIFS(Timesheet!$G$5:$G$3004,Timesheet!$D$5:$D$3004,$A1065,Timesheet!$A$5:$A$3004,"&gt;="&amp;Settings!$B$8,Timesheet!$A$5:$A$3004,"&lt;="&amp;Settings!$B$9))</f>
        <v/>
      </c>
      <c r="H1065" s="25" t="str">
        <f aca="false">IF($A1065="","",IF(D1065="Monthly",MAX(0,Settings!$B$11-E1065),0))</f>
        <v/>
      </c>
      <c r="I1065" s="26" t="str">
        <f aca="false">IF($A1065="","",N(INDEX(Workers!$L$5:$L$2004,MATCH($A1065,Workers!$A$5:$A$2004,0))))</f>
        <v/>
      </c>
      <c r="J1065" s="26" t="str">
        <f aca="false">IF($A1065="","",N(INDEX(Workers!$M$5:$M$2004,MATCH($A1065,Workers!$A$5:$A$2004,0))))</f>
        <v/>
      </c>
      <c r="K1065" s="26" t="str">
        <f aca="false">IF($A1065="","",IF(D1065="Monthly",ROUND(MAX(0,(I1065+J1065)-(I1065+J1065)/Settings!$B$10*H1065),2),0))</f>
        <v/>
      </c>
      <c r="L1065" s="26" t="str">
        <f aca="false">IF($A1065="","",IF(D1065="Hourly",ROUND(F1065*N(INDEX(Workers!$N$5:$N$2004,MATCH($A1065,Workers!$A$5:$A$2004,0))),2),0))</f>
        <v/>
      </c>
      <c r="M1065" s="26" t="str">
        <f aca="false">IF($A1065="","",ROUND(G1065*IF(D1065="Hourly",N(INDEX(Workers!$N$5:$N$2004,MATCH($A1065,Workers!$A$5:$A$2004,0))),I1065/Settings!$B$10/Settings!$B$12)*Settings!$B$13,2))</f>
        <v/>
      </c>
      <c r="N1065" s="26" t="str">
        <f aca="false">IF($A1065="","",K1065+L1065+M1065)</f>
        <v/>
      </c>
      <c r="O1065" s="26" t="str">
        <f aca="false">IF($A1065="","",SUMIFS(Deductions!$D$5:$D$2000,Deductions!$B$5:$B$2000,$A1065,Deductions!$C$5:$C$2000,"Advance",Deductions!$E$5:$E$2000,"&gt;="&amp;Settings!$B$8,Deductions!$E$5:$E$2000,"&lt;="&amp;Settings!$B$9))</f>
        <v/>
      </c>
      <c r="P1065" s="26" t="str">
        <f aca="false">IF($A1065="","",SUMIFS(Deductions!$D$5:$D$2000,Deductions!$B$5:$B$2000,$A1065,Deductions!$E$5:$E$2000,"&gt;="&amp;Settings!$B$8,Deductions!$E$5:$E$2000,"&lt;="&amp;Settings!$B$9)-O1065)</f>
        <v/>
      </c>
      <c r="Q1065" s="26" t="str">
        <f aca="false">IF($A1065="","",O1065+P1065)</f>
        <v/>
      </c>
      <c r="R1065" s="23" t="str">
        <f aca="false">IF($A1065="","",N1065-Q1065)</f>
        <v/>
      </c>
      <c r="S1065" s="24" t="str">
        <f aca="false">IF($A1065="","",INDEX(Workers!$O$5:$O$2004,MATCH($A1065,Workers!$A$5:$A$2004,0))&amp;"")</f>
        <v/>
      </c>
      <c r="T1065" s="24" t="str">
        <f aca="false">IF($A1065="","",INDEX(Workers!$P$5:$P$2004,MATCH($A1065,Workers!$A$5:$A$2004,0))&amp;"")</f>
        <v/>
      </c>
      <c r="U1065" s="24" t="str">
        <f aca="false">IF($A1065="","",INDEX(Workers!$H$5:$H$2004,MATCH($A1065,Workers!$A$5:$A$2004,0))&amp;"")</f>
        <v/>
      </c>
    </row>
    <row r="1066" customFormat="false" ht="15" hidden="false" customHeight="false" outlineLevel="0" collapsed="false">
      <c r="A1066" s="24" t="str">
        <f aca="false">IFERROR(INDEX(Workers!$A$5:$A$2004,MATCH(ROW()-4,Workers!$U$5:$U$2004,0)),"")</f>
        <v/>
      </c>
      <c r="B1066" s="24" t="str">
        <f aca="false">IF($A1066="","",INDEX(Workers!$B$5:$B$2004,MATCH($A1066,Workers!$A$5:$A$2004,0)))</f>
        <v/>
      </c>
      <c r="C1066" s="24" t="str">
        <f aca="false">IF($A1066="","",INDEX(Workers!$E$5:$E$2004,MATCH($A1066,Workers!$A$5:$A$2004,0)))</f>
        <v/>
      </c>
      <c r="D1066" s="24" t="str">
        <f aca="false">IF($A1066="","",INDEX(Workers!$K$5:$K$2004,MATCH($A1066,Workers!$A$5:$A$2004,0)))</f>
        <v/>
      </c>
      <c r="E1066" s="25" t="str">
        <f aca="false">IF($A1066="","",SUMIFS(Timesheet!$E$5:$E$3004,Timesheet!$D$5:$D$3004,$A1066,Timesheet!$A$5:$A$3004,"&gt;="&amp;Settings!$B$8,Timesheet!$A$5:$A$3004,"&lt;="&amp;Settings!$B$9))</f>
        <v/>
      </c>
      <c r="F1066" s="25" t="str">
        <f aca="false">IF($A1066="","",SUMIFS(Timesheet!$F$5:$F$3004,Timesheet!$D$5:$D$3004,$A1066,Timesheet!$A$5:$A$3004,"&gt;="&amp;Settings!$B$8,Timesheet!$A$5:$A$3004,"&lt;="&amp;Settings!$B$9))</f>
        <v/>
      </c>
      <c r="G1066" s="25" t="str">
        <f aca="false">IF($A1066="","",SUMIFS(Timesheet!$G$5:$G$3004,Timesheet!$D$5:$D$3004,$A1066,Timesheet!$A$5:$A$3004,"&gt;="&amp;Settings!$B$8,Timesheet!$A$5:$A$3004,"&lt;="&amp;Settings!$B$9))</f>
        <v/>
      </c>
      <c r="H1066" s="25" t="str">
        <f aca="false">IF($A1066="","",IF(D1066="Monthly",MAX(0,Settings!$B$11-E1066),0))</f>
        <v/>
      </c>
      <c r="I1066" s="26" t="str">
        <f aca="false">IF($A1066="","",N(INDEX(Workers!$L$5:$L$2004,MATCH($A1066,Workers!$A$5:$A$2004,0))))</f>
        <v/>
      </c>
      <c r="J1066" s="26" t="str">
        <f aca="false">IF($A1066="","",N(INDEX(Workers!$M$5:$M$2004,MATCH($A1066,Workers!$A$5:$A$2004,0))))</f>
        <v/>
      </c>
      <c r="K1066" s="26" t="str">
        <f aca="false">IF($A1066="","",IF(D1066="Monthly",ROUND(MAX(0,(I1066+J1066)-(I1066+J1066)/Settings!$B$10*H1066),2),0))</f>
        <v/>
      </c>
      <c r="L1066" s="26" t="str">
        <f aca="false">IF($A1066="","",IF(D1066="Hourly",ROUND(F1066*N(INDEX(Workers!$N$5:$N$2004,MATCH($A1066,Workers!$A$5:$A$2004,0))),2),0))</f>
        <v/>
      </c>
      <c r="M1066" s="26" t="str">
        <f aca="false">IF($A1066="","",ROUND(G1066*IF(D1066="Hourly",N(INDEX(Workers!$N$5:$N$2004,MATCH($A1066,Workers!$A$5:$A$2004,0))),I1066/Settings!$B$10/Settings!$B$12)*Settings!$B$13,2))</f>
        <v/>
      </c>
      <c r="N1066" s="26" t="str">
        <f aca="false">IF($A1066="","",K1066+L1066+M1066)</f>
        <v/>
      </c>
      <c r="O1066" s="26" t="str">
        <f aca="false">IF($A1066="","",SUMIFS(Deductions!$D$5:$D$2000,Deductions!$B$5:$B$2000,$A1066,Deductions!$C$5:$C$2000,"Advance",Deductions!$E$5:$E$2000,"&gt;="&amp;Settings!$B$8,Deductions!$E$5:$E$2000,"&lt;="&amp;Settings!$B$9))</f>
        <v/>
      </c>
      <c r="P1066" s="26" t="str">
        <f aca="false">IF($A1066="","",SUMIFS(Deductions!$D$5:$D$2000,Deductions!$B$5:$B$2000,$A1066,Deductions!$E$5:$E$2000,"&gt;="&amp;Settings!$B$8,Deductions!$E$5:$E$2000,"&lt;="&amp;Settings!$B$9)-O1066)</f>
        <v/>
      </c>
      <c r="Q1066" s="26" t="str">
        <f aca="false">IF($A1066="","",O1066+P1066)</f>
        <v/>
      </c>
      <c r="R1066" s="23" t="str">
        <f aca="false">IF($A1066="","",N1066-Q1066)</f>
        <v/>
      </c>
      <c r="S1066" s="24" t="str">
        <f aca="false">IF($A1066="","",INDEX(Workers!$O$5:$O$2004,MATCH($A1066,Workers!$A$5:$A$2004,0))&amp;"")</f>
        <v/>
      </c>
      <c r="T1066" s="24" t="str">
        <f aca="false">IF($A1066="","",INDEX(Workers!$P$5:$P$2004,MATCH($A1066,Workers!$A$5:$A$2004,0))&amp;"")</f>
        <v/>
      </c>
      <c r="U1066" s="24" t="str">
        <f aca="false">IF($A1066="","",INDEX(Workers!$H$5:$H$2004,MATCH($A1066,Workers!$A$5:$A$2004,0))&amp;"")</f>
        <v/>
      </c>
    </row>
    <row r="1067" customFormat="false" ht="15" hidden="false" customHeight="false" outlineLevel="0" collapsed="false">
      <c r="A1067" s="24" t="str">
        <f aca="false">IFERROR(INDEX(Workers!$A$5:$A$2004,MATCH(ROW()-4,Workers!$U$5:$U$2004,0)),"")</f>
        <v/>
      </c>
      <c r="B1067" s="24" t="str">
        <f aca="false">IF($A1067="","",INDEX(Workers!$B$5:$B$2004,MATCH($A1067,Workers!$A$5:$A$2004,0)))</f>
        <v/>
      </c>
      <c r="C1067" s="24" t="str">
        <f aca="false">IF($A1067="","",INDEX(Workers!$E$5:$E$2004,MATCH($A1067,Workers!$A$5:$A$2004,0)))</f>
        <v/>
      </c>
      <c r="D1067" s="24" t="str">
        <f aca="false">IF($A1067="","",INDEX(Workers!$K$5:$K$2004,MATCH($A1067,Workers!$A$5:$A$2004,0)))</f>
        <v/>
      </c>
      <c r="E1067" s="25" t="str">
        <f aca="false">IF($A1067="","",SUMIFS(Timesheet!$E$5:$E$3004,Timesheet!$D$5:$D$3004,$A1067,Timesheet!$A$5:$A$3004,"&gt;="&amp;Settings!$B$8,Timesheet!$A$5:$A$3004,"&lt;="&amp;Settings!$B$9))</f>
        <v/>
      </c>
      <c r="F1067" s="25" t="str">
        <f aca="false">IF($A1067="","",SUMIFS(Timesheet!$F$5:$F$3004,Timesheet!$D$5:$D$3004,$A1067,Timesheet!$A$5:$A$3004,"&gt;="&amp;Settings!$B$8,Timesheet!$A$5:$A$3004,"&lt;="&amp;Settings!$B$9))</f>
        <v/>
      </c>
      <c r="G1067" s="25" t="str">
        <f aca="false">IF($A1067="","",SUMIFS(Timesheet!$G$5:$G$3004,Timesheet!$D$5:$D$3004,$A1067,Timesheet!$A$5:$A$3004,"&gt;="&amp;Settings!$B$8,Timesheet!$A$5:$A$3004,"&lt;="&amp;Settings!$B$9))</f>
        <v/>
      </c>
      <c r="H1067" s="25" t="str">
        <f aca="false">IF($A1067="","",IF(D1067="Monthly",MAX(0,Settings!$B$11-E1067),0))</f>
        <v/>
      </c>
      <c r="I1067" s="26" t="str">
        <f aca="false">IF($A1067="","",N(INDEX(Workers!$L$5:$L$2004,MATCH($A1067,Workers!$A$5:$A$2004,0))))</f>
        <v/>
      </c>
      <c r="J1067" s="26" t="str">
        <f aca="false">IF($A1067="","",N(INDEX(Workers!$M$5:$M$2004,MATCH($A1067,Workers!$A$5:$A$2004,0))))</f>
        <v/>
      </c>
      <c r="K1067" s="26" t="str">
        <f aca="false">IF($A1067="","",IF(D1067="Monthly",ROUND(MAX(0,(I1067+J1067)-(I1067+J1067)/Settings!$B$10*H1067),2),0))</f>
        <v/>
      </c>
      <c r="L1067" s="26" t="str">
        <f aca="false">IF($A1067="","",IF(D1067="Hourly",ROUND(F1067*N(INDEX(Workers!$N$5:$N$2004,MATCH($A1067,Workers!$A$5:$A$2004,0))),2),0))</f>
        <v/>
      </c>
      <c r="M1067" s="26" t="str">
        <f aca="false">IF($A1067="","",ROUND(G1067*IF(D1067="Hourly",N(INDEX(Workers!$N$5:$N$2004,MATCH($A1067,Workers!$A$5:$A$2004,0))),I1067/Settings!$B$10/Settings!$B$12)*Settings!$B$13,2))</f>
        <v/>
      </c>
      <c r="N1067" s="26" t="str">
        <f aca="false">IF($A1067="","",K1067+L1067+M1067)</f>
        <v/>
      </c>
      <c r="O1067" s="26" t="str">
        <f aca="false">IF($A1067="","",SUMIFS(Deductions!$D$5:$D$2000,Deductions!$B$5:$B$2000,$A1067,Deductions!$C$5:$C$2000,"Advance",Deductions!$E$5:$E$2000,"&gt;="&amp;Settings!$B$8,Deductions!$E$5:$E$2000,"&lt;="&amp;Settings!$B$9))</f>
        <v/>
      </c>
      <c r="P1067" s="26" t="str">
        <f aca="false">IF($A1067="","",SUMIFS(Deductions!$D$5:$D$2000,Deductions!$B$5:$B$2000,$A1067,Deductions!$E$5:$E$2000,"&gt;="&amp;Settings!$B$8,Deductions!$E$5:$E$2000,"&lt;="&amp;Settings!$B$9)-O1067)</f>
        <v/>
      </c>
      <c r="Q1067" s="26" t="str">
        <f aca="false">IF($A1067="","",O1067+P1067)</f>
        <v/>
      </c>
      <c r="R1067" s="23" t="str">
        <f aca="false">IF($A1067="","",N1067-Q1067)</f>
        <v/>
      </c>
      <c r="S1067" s="24" t="str">
        <f aca="false">IF($A1067="","",INDEX(Workers!$O$5:$O$2004,MATCH($A1067,Workers!$A$5:$A$2004,0))&amp;"")</f>
        <v/>
      </c>
      <c r="T1067" s="24" t="str">
        <f aca="false">IF($A1067="","",INDEX(Workers!$P$5:$P$2004,MATCH($A1067,Workers!$A$5:$A$2004,0))&amp;"")</f>
        <v/>
      </c>
      <c r="U1067" s="24" t="str">
        <f aca="false">IF($A1067="","",INDEX(Workers!$H$5:$H$2004,MATCH($A1067,Workers!$A$5:$A$2004,0))&amp;"")</f>
        <v/>
      </c>
    </row>
    <row r="1068" customFormat="false" ht="15" hidden="false" customHeight="false" outlineLevel="0" collapsed="false">
      <c r="A1068" s="24" t="str">
        <f aca="false">IFERROR(INDEX(Workers!$A$5:$A$2004,MATCH(ROW()-4,Workers!$U$5:$U$2004,0)),"")</f>
        <v/>
      </c>
      <c r="B1068" s="24" t="str">
        <f aca="false">IF($A1068="","",INDEX(Workers!$B$5:$B$2004,MATCH($A1068,Workers!$A$5:$A$2004,0)))</f>
        <v/>
      </c>
      <c r="C1068" s="24" t="str">
        <f aca="false">IF($A1068="","",INDEX(Workers!$E$5:$E$2004,MATCH($A1068,Workers!$A$5:$A$2004,0)))</f>
        <v/>
      </c>
      <c r="D1068" s="24" t="str">
        <f aca="false">IF($A1068="","",INDEX(Workers!$K$5:$K$2004,MATCH($A1068,Workers!$A$5:$A$2004,0)))</f>
        <v/>
      </c>
      <c r="E1068" s="25" t="str">
        <f aca="false">IF($A1068="","",SUMIFS(Timesheet!$E$5:$E$3004,Timesheet!$D$5:$D$3004,$A1068,Timesheet!$A$5:$A$3004,"&gt;="&amp;Settings!$B$8,Timesheet!$A$5:$A$3004,"&lt;="&amp;Settings!$B$9))</f>
        <v/>
      </c>
      <c r="F1068" s="25" t="str">
        <f aca="false">IF($A1068="","",SUMIFS(Timesheet!$F$5:$F$3004,Timesheet!$D$5:$D$3004,$A1068,Timesheet!$A$5:$A$3004,"&gt;="&amp;Settings!$B$8,Timesheet!$A$5:$A$3004,"&lt;="&amp;Settings!$B$9))</f>
        <v/>
      </c>
      <c r="G1068" s="25" t="str">
        <f aca="false">IF($A1068="","",SUMIFS(Timesheet!$G$5:$G$3004,Timesheet!$D$5:$D$3004,$A1068,Timesheet!$A$5:$A$3004,"&gt;="&amp;Settings!$B$8,Timesheet!$A$5:$A$3004,"&lt;="&amp;Settings!$B$9))</f>
        <v/>
      </c>
      <c r="H1068" s="25" t="str">
        <f aca="false">IF($A1068="","",IF(D1068="Monthly",MAX(0,Settings!$B$11-E1068),0))</f>
        <v/>
      </c>
      <c r="I1068" s="26" t="str">
        <f aca="false">IF($A1068="","",N(INDEX(Workers!$L$5:$L$2004,MATCH($A1068,Workers!$A$5:$A$2004,0))))</f>
        <v/>
      </c>
      <c r="J1068" s="26" t="str">
        <f aca="false">IF($A1068="","",N(INDEX(Workers!$M$5:$M$2004,MATCH($A1068,Workers!$A$5:$A$2004,0))))</f>
        <v/>
      </c>
      <c r="K1068" s="26" t="str">
        <f aca="false">IF($A1068="","",IF(D1068="Monthly",ROUND(MAX(0,(I1068+J1068)-(I1068+J1068)/Settings!$B$10*H1068),2),0))</f>
        <v/>
      </c>
      <c r="L1068" s="26" t="str">
        <f aca="false">IF($A1068="","",IF(D1068="Hourly",ROUND(F1068*N(INDEX(Workers!$N$5:$N$2004,MATCH($A1068,Workers!$A$5:$A$2004,0))),2),0))</f>
        <v/>
      </c>
      <c r="M1068" s="26" t="str">
        <f aca="false">IF($A1068="","",ROUND(G1068*IF(D1068="Hourly",N(INDEX(Workers!$N$5:$N$2004,MATCH($A1068,Workers!$A$5:$A$2004,0))),I1068/Settings!$B$10/Settings!$B$12)*Settings!$B$13,2))</f>
        <v/>
      </c>
      <c r="N1068" s="26" t="str">
        <f aca="false">IF($A1068="","",K1068+L1068+M1068)</f>
        <v/>
      </c>
      <c r="O1068" s="26" t="str">
        <f aca="false">IF($A1068="","",SUMIFS(Deductions!$D$5:$D$2000,Deductions!$B$5:$B$2000,$A1068,Deductions!$C$5:$C$2000,"Advance",Deductions!$E$5:$E$2000,"&gt;="&amp;Settings!$B$8,Deductions!$E$5:$E$2000,"&lt;="&amp;Settings!$B$9))</f>
        <v/>
      </c>
      <c r="P1068" s="26" t="str">
        <f aca="false">IF($A1068="","",SUMIFS(Deductions!$D$5:$D$2000,Deductions!$B$5:$B$2000,$A1068,Deductions!$E$5:$E$2000,"&gt;="&amp;Settings!$B$8,Deductions!$E$5:$E$2000,"&lt;="&amp;Settings!$B$9)-O1068)</f>
        <v/>
      </c>
      <c r="Q1068" s="26" t="str">
        <f aca="false">IF($A1068="","",O1068+P1068)</f>
        <v/>
      </c>
      <c r="R1068" s="23" t="str">
        <f aca="false">IF($A1068="","",N1068-Q1068)</f>
        <v/>
      </c>
      <c r="S1068" s="24" t="str">
        <f aca="false">IF($A1068="","",INDEX(Workers!$O$5:$O$2004,MATCH($A1068,Workers!$A$5:$A$2004,0))&amp;"")</f>
        <v/>
      </c>
      <c r="T1068" s="24" t="str">
        <f aca="false">IF($A1068="","",INDEX(Workers!$P$5:$P$2004,MATCH($A1068,Workers!$A$5:$A$2004,0))&amp;"")</f>
        <v/>
      </c>
      <c r="U1068" s="24" t="str">
        <f aca="false">IF($A1068="","",INDEX(Workers!$H$5:$H$2004,MATCH($A1068,Workers!$A$5:$A$2004,0))&amp;"")</f>
        <v/>
      </c>
    </row>
    <row r="1069" customFormat="false" ht="15" hidden="false" customHeight="false" outlineLevel="0" collapsed="false">
      <c r="A1069" s="24" t="str">
        <f aca="false">IFERROR(INDEX(Workers!$A$5:$A$2004,MATCH(ROW()-4,Workers!$U$5:$U$2004,0)),"")</f>
        <v/>
      </c>
      <c r="B1069" s="24" t="str">
        <f aca="false">IF($A1069="","",INDEX(Workers!$B$5:$B$2004,MATCH($A1069,Workers!$A$5:$A$2004,0)))</f>
        <v/>
      </c>
      <c r="C1069" s="24" t="str">
        <f aca="false">IF($A1069="","",INDEX(Workers!$E$5:$E$2004,MATCH($A1069,Workers!$A$5:$A$2004,0)))</f>
        <v/>
      </c>
      <c r="D1069" s="24" t="str">
        <f aca="false">IF($A1069="","",INDEX(Workers!$K$5:$K$2004,MATCH($A1069,Workers!$A$5:$A$2004,0)))</f>
        <v/>
      </c>
      <c r="E1069" s="25" t="str">
        <f aca="false">IF($A1069="","",SUMIFS(Timesheet!$E$5:$E$3004,Timesheet!$D$5:$D$3004,$A1069,Timesheet!$A$5:$A$3004,"&gt;="&amp;Settings!$B$8,Timesheet!$A$5:$A$3004,"&lt;="&amp;Settings!$B$9))</f>
        <v/>
      </c>
      <c r="F1069" s="25" t="str">
        <f aca="false">IF($A1069="","",SUMIFS(Timesheet!$F$5:$F$3004,Timesheet!$D$5:$D$3004,$A1069,Timesheet!$A$5:$A$3004,"&gt;="&amp;Settings!$B$8,Timesheet!$A$5:$A$3004,"&lt;="&amp;Settings!$B$9))</f>
        <v/>
      </c>
      <c r="G1069" s="25" t="str">
        <f aca="false">IF($A1069="","",SUMIFS(Timesheet!$G$5:$G$3004,Timesheet!$D$5:$D$3004,$A1069,Timesheet!$A$5:$A$3004,"&gt;="&amp;Settings!$B$8,Timesheet!$A$5:$A$3004,"&lt;="&amp;Settings!$B$9))</f>
        <v/>
      </c>
      <c r="H1069" s="25" t="str">
        <f aca="false">IF($A1069="","",IF(D1069="Monthly",MAX(0,Settings!$B$11-E1069),0))</f>
        <v/>
      </c>
      <c r="I1069" s="26" t="str">
        <f aca="false">IF($A1069="","",N(INDEX(Workers!$L$5:$L$2004,MATCH($A1069,Workers!$A$5:$A$2004,0))))</f>
        <v/>
      </c>
      <c r="J1069" s="26" t="str">
        <f aca="false">IF($A1069="","",N(INDEX(Workers!$M$5:$M$2004,MATCH($A1069,Workers!$A$5:$A$2004,0))))</f>
        <v/>
      </c>
      <c r="K1069" s="26" t="str">
        <f aca="false">IF($A1069="","",IF(D1069="Monthly",ROUND(MAX(0,(I1069+J1069)-(I1069+J1069)/Settings!$B$10*H1069),2),0))</f>
        <v/>
      </c>
      <c r="L1069" s="26" t="str">
        <f aca="false">IF($A1069="","",IF(D1069="Hourly",ROUND(F1069*N(INDEX(Workers!$N$5:$N$2004,MATCH($A1069,Workers!$A$5:$A$2004,0))),2),0))</f>
        <v/>
      </c>
      <c r="M1069" s="26" t="str">
        <f aca="false">IF($A1069="","",ROUND(G1069*IF(D1069="Hourly",N(INDEX(Workers!$N$5:$N$2004,MATCH($A1069,Workers!$A$5:$A$2004,0))),I1069/Settings!$B$10/Settings!$B$12)*Settings!$B$13,2))</f>
        <v/>
      </c>
      <c r="N1069" s="26" t="str">
        <f aca="false">IF($A1069="","",K1069+L1069+M1069)</f>
        <v/>
      </c>
      <c r="O1069" s="26" t="str">
        <f aca="false">IF($A1069="","",SUMIFS(Deductions!$D$5:$D$2000,Deductions!$B$5:$B$2000,$A1069,Deductions!$C$5:$C$2000,"Advance",Deductions!$E$5:$E$2000,"&gt;="&amp;Settings!$B$8,Deductions!$E$5:$E$2000,"&lt;="&amp;Settings!$B$9))</f>
        <v/>
      </c>
      <c r="P1069" s="26" t="str">
        <f aca="false">IF($A1069="","",SUMIFS(Deductions!$D$5:$D$2000,Deductions!$B$5:$B$2000,$A1069,Deductions!$E$5:$E$2000,"&gt;="&amp;Settings!$B$8,Deductions!$E$5:$E$2000,"&lt;="&amp;Settings!$B$9)-O1069)</f>
        <v/>
      </c>
      <c r="Q1069" s="26" t="str">
        <f aca="false">IF($A1069="","",O1069+P1069)</f>
        <v/>
      </c>
      <c r="R1069" s="23" t="str">
        <f aca="false">IF($A1069="","",N1069-Q1069)</f>
        <v/>
      </c>
      <c r="S1069" s="24" t="str">
        <f aca="false">IF($A1069="","",INDEX(Workers!$O$5:$O$2004,MATCH($A1069,Workers!$A$5:$A$2004,0))&amp;"")</f>
        <v/>
      </c>
      <c r="T1069" s="24" t="str">
        <f aca="false">IF($A1069="","",INDEX(Workers!$P$5:$P$2004,MATCH($A1069,Workers!$A$5:$A$2004,0))&amp;"")</f>
        <v/>
      </c>
      <c r="U1069" s="24" t="str">
        <f aca="false">IF($A1069="","",INDEX(Workers!$H$5:$H$2004,MATCH($A1069,Workers!$A$5:$A$2004,0))&amp;"")</f>
        <v/>
      </c>
    </row>
    <row r="1070" customFormat="false" ht="15" hidden="false" customHeight="false" outlineLevel="0" collapsed="false">
      <c r="A1070" s="24" t="str">
        <f aca="false">IFERROR(INDEX(Workers!$A$5:$A$2004,MATCH(ROW()-4,Workers!$U$5:$U$2004,0)),"")</f>
        <v/>
      </c>
      <c r="B1070" s="24" t="str">
        <f aca="false">IF($A1070="","",INDEX(Workers!$B$5:$B$2004,MATCH($A1070,Workers!$A$5:$A$2004,0)))</f>
        <v/>
      </c>
      <c r="C1070" s="24" t="str">
        <f aca="false">IF($A1070="","",INDEX(Workers!$E$5:$E$2004,MATCH($A1070,Workers!$A$5:$A$2004,0)))</f>
        <v/>
      </c>
      <c r="D1070" s="24" t="str">
        <f aca="false">IF($A1070="","",INDEX(Workers!$K$5:$K$2004,MATCH($A1070,Workers!$A$5:$A$2004,0)))</f>
        <v/>
      </c>
      <c r="E1070" s="25" t="str">
        <f aca="false">IF($A1070="","",SUMIFS(Timesheet!$E$5:$E$3004,Timesheet!$D$5:$D$3004,$A1070,Timesheet!$A$5:$A$3004,"&gt;="&amp;Settings!$B$8,Timesheet!$A$5:$A$3004,"&lt;="&amp;Settings!$B$9))</f>
        <v/>
      </c>
      <c r="F1070" s="25" t="str">
        <f aca="false">IF($A1070="","",SUMIFS(Timesheet!$F$5:$F$3004,Timesheet!$D$5:$D$3004,$A1070,Timesheet!$A$5:$A$3004,"&gt;="&amp;Settings!$B$8,Timesheet!$A$5:$A$3004,"&lt;="&amp;Settings!$B$9))</f>
        <v/>
      </c>
      <c r="G1070" s="25" t="str">
        <f aca="false">IF($A1070="","",SUMIFS(Timesheet!$G$5:$G$3004,Timesheet!$D$5:$D$3004,$A1070,Timesheet!$A$5:$A$3004,"&gt;="&amp;Settings!$B$8,Timesheet!$A$5:$A$3004,"&lt;="&amp;Settings!$B$9))</f>
        <v/>
      </c>
      <c r="H1070" s="25" t="str">
        <f aca="false">IF($A1070="","",IF(D1070="Monthly",MAX(0,Settings!$B$11-E1070),0))</f>
        <v/>
      </c>
      <c r="I1070" s="26" t="str">
        <f aca="false">IF($A1070="","",N(INDEX(Workers!$L$5:$L$2004,MATCH($A1070,Workers!$A$5:$A$2004,0))))</f>
        <v/>
      </c>
      <c r="J1070" s="26" t="str">
        <f aca="false">IF($A1070="","",N(INDEX(Workers!$M$5:$M$2004,MATCH($A1070,Workers!$A$5:$A$2004,0))))</f>
        <v/>
      </c>
      <c r="K1070" s="26" t="str">
        <f aca="false">IF($A1070="","",IF(D1070="Monthly",ROUND(MAX(0,(I1070+J1070)-(I1070+J1070)/Settings!$B$10*H1070),2),0))</f>
        <v/>
      </c>
      <c r="L1070" s="26" t="str">
        <f aca="false">IF($A1070="","",IF(D1070="Hourly",ROUND(F1070*N(INDEX(Workers!$N$5:$N$2004,MATCH($A1070,Workers!$A$5:$A$2004,0))),2),0))</f>
        <v/>
      </c>
      <c r="M1070" s="26" t="str">
        <f aca="false">IF($A1070="","",ROUND(G1070*IF(D1070="Hourly",N(INDEX(Workers!$N$5:$N$2004,MATCH($A1070,Workers!$A$5:$A$2004,0))),I1070/Settings!$B$10/Settings!$B$12)*Settings!$B$13,2))</f>
        <v/>
      </c>
      <c r="N1070" s="26" t="str">
        <f aca="false">IF($A1070="","",K1070+L1070+M1070)</f>
        <v/>
      </c>
      <c r="O1070" s="26" t="str">
        <f aca="false">IF($A1070="","",SUMIFS(Deductions!$D$5:$D$2000,Deductions!$B$5:$B$2000,$A1070,Deductions!$C$5:$C$2000,"Advance",Deductions!$E$5:$E$2000,"&gt;="&amp;Settings!$B$8,Deductions!$E$5:$E$2000,"&lt;="&amp;Settings!$B$9))</f>
        <v/>
      </c>
      <c r="P1070" s="26" t="str">
        <f aca="false">IF($A1070="","",SUMIFS(Deductions!$D$5:$D$2000,Deductions!$B$5:$B$2000,$A1070,Deductions!$E$5:$E$2000,"&gt;="&amp;Settings!$B$8,Deductions!$E$5:$E$2000,"&lt;="&amp;Settings!$B$9)-O1070)</f>
        <v/>
      </c>
      <c r="Q1070" s="26" t="str">
        <f aca="false">IF($A1070="","",O1070+P1070)</f>
        <v/>
      </c>
      <c r="R1070" s="23" t="str">
        <f aca="false">IF($A1070="","",N1070-Q1070)</f>
        <v/>
      </c>
      <c r="S1070" s="24" t="str">
        <f aca="false">IF($A1070="","",INDEX(Workers!$O$5:$O$2004,MATCH($A1070,Workers!$A$5:$A$2004,0))&amp;"")</f>
        <v/>
      </c>
      <c r="T1070" s="24" t="str">
        <f aca="false">IF($A1070="","",INDEX(Workers!$P$5:$P$2004,MATCH($A1070,Workers!$A$5:$A$2004,0))&amp;"")</f>
        <v/>
      </c>
      <c r="U1070" s="24" t="str">
        <f aca="false">IF($A1070="","",INDEX(Workers!$H$5:$H$2004,MATCH($A1070,Workers!$A$5:$A$2004,0))&amp;"")</f>
        <v/>
      </c>
    </row>
    <row r="1071" customFormat="false" ht="15" hidden="false" customHeight="false" outlineLevel="0" collapsed="false">
      <c r="A1071" s="24" t="str">
        <f aca="false">IFERROR(INDEX(Workers!$A$5:$A$2004,MATCH(ROW()-4,Workers!$U$5:$U$2004,0)),"")</f>
        <v/>
      </c>
      <c r="B1071" s="24" t="str">
        <f aca="false">IF($A1071="","",INDEX(Workers!$B$5:$B$2004,MATCH($A1071,Workers!$A$5:$A$2004,0)))</f>
        <v/>
      </c>
      <c r="C1071" s="24" t="str">
        <f aca="false">IF($A1071="","",INDEX(Workers!$E$5:$E$2004,MATCH($A1071,Workers!$A$5:$A$2004,0)))</f>
        <v/>
      </c>
      <c r="D1071" s="24" t="str">
        <f aca="false">IF($A1071="","",INDEX(Workers!$K$5:$K$2004,MATCH($A1071,Workers!$A$5:$A$2004,0)))</f>
        <v/>
      </c>
      <c r="E1071" s="25" t="str">
        <f aca="false">IF($A1071="","",SUMIFS(Timesheet!$E$5:$E$3004,Timesheet!$D$5:$D$3004,$A1071,Timesheet!$A$5:$A$3004,"&gt;="&amp;Settings!$B$8,Timesheet!$A$5:$A$3004,"&lt;="&amp;Settings!$B$9))</f>
        <v/>
      </c>
      <c r="F1071" s="25" t="str">
        <f aca="false">IF($A1071="","",SUMIFS(Timesheet!$F$5:$F$3004,Timesheet!$D$5:$D$3004,$A1071,Timesheet!$A$5:$A$3004,"&gt;="&amp;Settings!$B$8,Timesheet!$A$5:$A$3004,"&lt;="&amp;Settings!$B$9))</f>
        <v/>
      </c>
      <c r="G1071" s="25" t="str">
        <f aca="false">IF($A1071="","",SUMIFS(Timesheet!$G$5:$G$3004,Timesheet!$D$5:$D$3004,$A1071,Timesheet!$A$5:$A$3004,"&gt;="&amp;Settings!$B$8,Timesheet!$A$5:$A$3004,"&lt;="&amp;Settings!$B$9))</f>
        <v/>
      </c>
      <c r="H1071" s="25" t="str">
        <f aca="false">IF($A1071="","",IF(D1071="Monthly",MAX(0,Settings!$B$11-E1071),0))</f>
        <v/>
      </c>
      <c r="I1071" s="26" t="str">
        <f aca="false">IF($A1071="","",N(INDEX(Workers!$L$5:$L$2004,MATCH($A1071,Workers!$A$5:$A$2004,0))))</f>
        <v/>
      </c>
      <c r="J1071" s="26" t="str">
        <f aca="false">IF($A1071="","",N(INDEX(Workers!$M$5:$M$2004,MATCH($A1071,Workers!$A$5:$A$2004,0))))</f>
        <v/>
      </c>
      <c r="K1071" s="26" t="str">
        <f aca="false">IF($A1071="","",IF(D1071="Monthly",ROUND(MAX(0,(I1071+J1071)-(I1071+J1071)/Settings!$B$10*H1071),2),0))</f>
        <v/>
      </c>
      <c r="L1071" s="26" t="str">
        <f aca="false">IF($A1071="","",IF(D1071="Hourly",ROUND(F1071*N(INDEX(Workers!$N$5:$N$2004,MATCH($A1071,Workers!$A$5:$A$2004,0))),2),0))</f>
        <v/>
      </c>
      <c r="M1071" s="26" t="str">
        <f aca="false">IF($A1071="","",ROUND(G1071*IF(D1071="Hourly",N(INDEX(Workers!$N$5:$N$2004,MATCH($A1071,Workers!$A$5:$A$2004,0))),I1071/Settings!$B$10/Settings!$B$12)*Settings!$B$13,2))</f>
        <v/>
      </c>
      <c r="N1071" s="26" t="str">
        <f aca="false">IF($A1071="","",K1071+L1071+M1071)</f>
        <v/>
      </c>
      <c r="O1071" s="26" t="str">
        <f aca="false">IF($A1071="","",SUMIFS(Deductions!$D$5:$D$2000,Deductions!$B$5:$B$2000,$A1071,Deductions!$C$5:$C$2000,"Advance",Deductions!$E$5:$E$2000,"&gt;="&amp;Settings!$B$8,Deductions!$E$5:$E$2000,"&lt;="&amp;Settings!$B$9))</f>
        <v/>
      </c>
      <c r="P1071" s="26" t="str">
        <f aca="false">IF($A1071="","",SUMIFS(Deductions!$D$5:$D$2000,Deductions!$B$5:$B$2000,$A1071,Deductions!$E$5:$E$2000,"&gt;="&amp;Settings!$B$8,Deductions!$E$5:$E$2000,"&lt;="&amp;Settings!$B$9)-O1071)</f>
        <v/>
      </c>
      <c r="Q1071" s="26" t="str">
        <f aca="false">IF($A1071="","",O1071+P1071)</f>
        <v/>
      </c>
      <c r="R1071" s="23" t="str">
        <f aca="false">IF($A1071="","",N1071-Q1071)</f>
        <v/>
      </c>
      <c r="S1071" s="24" t="str">
        <f aca="false">IF($A1071="","",INDEX(Workers!$O$5:$O$2004,MATCH($A1071,Workers!$A$5:$A$2004,0))&amp;"")</f>
        <v/>
      </c>
      <c r="T1071" s="24" t="str">
        <f aca="false">IF($A1071="","",INDEX(Workers!$P$5:$P$2004,MATCH($A1071,Workers!$A$5:$A$2004,0))&amp;"")</f>
        <v/>
      </c>
      <c r="U1071" s="24" t="str">
        <f aca="false">IF($A1071="","",INDEX(Workers!$H$5:$H$2004,MATCH($A1071,Workers!$A$5:$A$2004,0))&amp;"")</f>
        <v/>
      </c>
    </row>
    <row r="1072" customFormat="false" ht="15" hidden="false" customHeight="false" outlineLevel="0" collapsed="false">
      <c r="A1072" s="24" t="str">
        <f aca="false">IFERROR(INDEX(Workers!$A$5:$A$2004,MATCH(ROW()-4,Workers!$U$5:$U$2004,0)),"")</f>
        <v/>
      </c>
      <c r="B1072" s="24" t="str">
        <f aca="false">IF($A1072="","",INDEX(Workers!$B$5:$B$2004,MATCH($A1072,Workers!$A$5:$A$2004,0)))</f>
        <v/>
      </c>
      <c r="C1072" s="24" t="str">
        <f aca="false">IF($A1072="","",INDEX(Workers!$E$5:$E$2004,MATCH($A1072,Workers!$A$5:$A$2004,0)))</f>
        <v/>
      </c>
      <c r="D1072" s="24" t="str">
        <f aca="false">IF($A1072="","",INDEX(Workers!$K$5:$K$2004,MATCH($A1072,Workers!$A$5:$A$2004,0)))</f>
        <v/>
      </c>
      <c r="E1072" s="25" t="str">
        <f aca="false">IF($A1072="","",SUMIFS(Timesheet!$E$5:$E$3004,Timesheet!$D$5:$D$3004,$A1072,Timesheet!$A$5:$A$3004,"&gt;="&amp;Settings!$B$8,Timesheet!$A$5:$A$3004,"&lt;="&amp;Settings!$B$9))</f>
        <v/>
      </c>
      <c r="F1072" s="25" t="str">
        <f aca="false">IF($A1072="","",SUMIFS(Timesheet!$F$5:$F$3004,Timesheet!$D$5:$D$3004,$A1072,Timesheet!$A$5:$A$3004,"&gt;="&amp;Settings!$B$8,Timesheet!$A$5:$A$3004,"&lt;="&amp;Settings!$B$9))</f>
        <v/>
      </c>
      <c r="G1072" s="25" t="str">
        <f aca="false">IF($A1072="","",SUMIFS(Timesheet!$G$5:$G$3004,Timesheet!$D$5:$D$3004,$A1072,Timesheet!$A$5:$A$3004,"&gt;="&amp;Settings!$B$8,Timesheet!$A$5:$A$3004,"&lt;="&amp;Settings!$B$9))</f>
        <v/>
      </c>
      <c r="H1072" s="25" t="str">
        <f aca="false">IF($A1072="","",IF(D1072="Monthly",MAX(0,Settings!$B$11-E1072),0))</f>
        <v/>
      </c>
      <c r="I1072" s="26" t="str">
        <f aca="false">IF($A1072="","",N(INDEX(Workers!$L$5:$L$2004,MATCH($A1072,Workers!$A$5:$A$2004,0))))</f>
        <v/>
      </c>
      <c r="J1072" s="26" t="str">
        <f aca="false">IF($A1072="","",N(INDEX(Workers!$M$5:$M$2004,MATCH($A1072,Workers!$A$5:$A$2004,0))))</f>
        <v/>
      </c>
      <c r="K1072" s="26" t="str">
        <f aca="false">IF($A1072="","",IF(D1072="Monthly",ROUND(MAX(0,(I1072+J1072)-(I1072+J1072)/Settings!$B$10*H1072),2),0))</f>
        <v/>
      </c>
      <c r="L1072" s="26" t="str">
        <f aca="false">IF($A1072="","",IF(D1072="Hourly",ROUND(F1072*N(INDEX(Workers!$N$5:$N$2004,MATCH($A1072,Workers!$A$5:$A$2004,0))),2),0))</f>
        <v/>
      </c>
      <c r="M1072" s="26" t="str">
        <f aca="false">IF($A1072="","",ROUND(G1072*IF(D1072="Hourly",N(INDEX(Workers!$N$5:$N$2004,MATCH($A1072,Workers!$A$5:$A$2004,0))),I1072/Settings!$B$10/Settings!$B$12)*Settings!$B$13,2))</f>
        <v/>
      </c>
      <c r="N1072" s="26" t="str">
        <f aca="false">IF($A1072="","",K1072+L1072+M1072)</f>
        <v/>
      </c>
      <c r="O1072" s="26" t="str">
        <f aca="false">IF($A1072="","",SUMIFS(Deductions!$D$5:$D$2000,Deductions!$B$5:$B$2000,$A1072,Deductions!$C$5:$C$2000,"Advance",Deductions!$E$5:$E$2000,"&gt;="&amp;Settings!$B$8,Deductions!$E$5:$E$2000,"&lt;="&amp;Settings!$B$9))</f>
        <v/>
      </c>
      <c r="P1072" s="26" t="str">
        <f aca="false">IF($A1072="","",SUMIFS(Deductions!$D$5:$D$2000,Deductions!$B$5:$B$2000,$A1072,Deductions!$E$5:$E$2000,"&gt;="&amp;Settings!$B$8,Deductions!$E$5:$E$2000,"&lt;="&amp;Settings!$B$9)-O1072)</f>
        <v/>
      </c>
      <c r="Q1072" s="26" t="str">
        <f aca="false">IF($A1072="","",O1072+P1072)</f>
        <v/>
      </c>
      <c r="R1072" s="23" t="str">
        <f aca="false">IF($A1072="","",N1072-Q1072)</f>
        <v/>
      </c>
      <c r="S1072" s="24" t="str">
        <f aca="false">IF($A1072="","",INDEX(Workers!$O$5:$O$2004,MATCH($A1072,Workers!$A$5:$A$2004,0))&amp;"")</f>
        <v/>
      </c>
      <c r="T1072" s="24" t="str">
        <f aca="false">IF($A1072="","",INDEX(Workers!$P$5:$P$2004,MATCH($A1072,Workers!$A$5:$A$2004,0))&amp;"")</f>
        <v/>
      </c>
      <c r="U1072" s="24" t="str">
        <f aca="false">IF($A1072="","",INDEX(Workers!$H$5:$H$2004,MATCH($A1072,Workers!$A$5:$A$2004,0))&amp;"")</f>
        <v/>
      </c>
    </row>
    <row r="1073" customFormat="false" ht="15" hidden="false" customHeight="false" outlineLevel="0" collapsed="false">
      <c r="A1073" s="24" t="str">
        <f aca="false">IFERROR(INDEX(Workers!$A$5:$A$2004,MATCH(ROW()-4,Workers!$U$5:$U$2004,0)),"")</f>
        <v/>
      </c>
      <c r="B1073" s="24" t="str">
        <f aca="false">IF($A1073="","",INDEX(Workers!$B$5:$B$2004,MATCH($A1073,Workers!$A$5:$A$2004,0)))</f>
        <v/>
      </c>
      <c r="C1073" s="24" t="str">
        <f aca="false">IF($A1073="","",INDEX(Workers!$E$5:$E$2004,MATCH($A1073,Workers!$A$5:$A$2004,0)))</f>
        <v/>
      </c>
      <c r="D1073" s="24" t="str">
        <f aca="false">IF($A1073="","",INDEX(Workers!$K$5:$K$2004,MATCH($A1073,Workers!$A$5:$A$2004,0)))</f>
        <v/>
      </c>
      <c r="E1073" s="25" t="str">
        <f aca="false">IF($A1073="","",SUMIFS(Timesheet!$E$5:$E$3004,Timesheet!$D$5:$D$3004,$A1073,Timesheet!$A$5:$A$3004,"&gt;="&amp;Settings!$B$8,Timesheet!$A$5:$A$3004,"&lt;="&amp;Settings!$B$9))</f>
        <v/>
      </c>
      <c r="F1073" s="25" t="str">
        <f aca="false">IF($A1073="","",SUMIFS(Timesheet!$F$5:$F$3004,Timesheet!$D$5:$D$3004,$A1073,Timesheet!$A$5:$A$3004,"&gt;="&amp;Settings!$B$8,Timesheet!$A$5:$A$3004,"&lt;="&amp;Settings!$B$9))</f>
        <v/>
      </c>
      <c r="G1073" s="25" t="str">
        <f aca="false">IF($A1073="","",SUMIFS(Timesheet!$G$5:$G$3004,Timesheet!$D$5:$D$3004,$A1073,Timesheet!$A$5:$A$3004,"&gt;="&amp;Settings!$B$8,Timesheet!$A$5:$A$3004,"&lt;="&amp;Settings!$B$9))</f>
        <v/>
      </c>
      <c r="H1073" s="25" t="str">
        <f aca="false">IF($A1073="","",IF(D1073="Monthly",MAX(0,Settings!$B$11-E1073),0))</f>
        <v/>
      </c>
      <c r="I1073" s="26" t="str">
        <f aca="false">IF($A1073="","",N(INDEX(Workers!$L$5:$L$2004,MATCH($A1073,Workers!$A$5:$A$2004,0))))</f>
        <v/>
      </c>
      <c r="J1073" s="26" t="str">
        <f aca="false">IF($A1073="","",N(INDEX(Workers!$M$5:$M$2004,MATCH($A1073,Workers!$A$5:$A$2004,0))))</f>
        <v/>
      </c>
      <c r="K1073" s="26" t="str">
        <f aca="false">IF($A1073="","",IF(D1073="Monthly",ROUND(MAX(0,(I1073+J1073)-(I1073+J1073)/Settings!$B$10*H1073),2),0))</f>
        <v/>
      </c>
      <c r="L1073" s="26" t="str">
        <f aca="false">IF($A1073="","",IF(D1073="Hourly",ROUND(F1073*N(INDEX(Workers!$N$5:$N$2004,MATCH($A1073,Workers!$A$5:$A$2004,0))),2),0))</f>
        <v/>
      </c>
      <c r="M1073" s="26" t="str">
        <f aca="false">IF($A1073="","",ROUND(G1073*IF(D1073="Hourly",N(INDEX(Workers!$N$5:$N$2004,MATCH($A1073,Workers!$A$5:$A$2004,0))),I1073/Settings!$B$10/Settings!$B$12)*Settings!$B$13,2))</f>
        <v/>
      </c>
      <c r="N1073" s="26" t="str">
        <f aca="false">IF($A1073="","",K1073+L1073+M1073)</f>
        <v/>
      </c>
      <c r="O1073" s="26" t="str">
        <f aca="false">IF($A1073="","",SUMIFS(Deductions!$D$5:$D$2000,Deductions!$B$5:$B$2000,$A1073,Deductions!$C$5:$C$2000,"Advance",Deductions!$E$5:$E$2000,"&gt;="&amp;Settings!$B$8,Deductions!$E$5:$E$2000,"&lt;="&amp;Settings!$B$9))</f>
        <v/>
      </c>
      <c r="P1073" s="26" t="str">
        <f aca="false">IF($A1073="","",SUMIFS(Deductions!$D$5:$D$2000,Deductions!$B$5:$B$2000,$A1073,Deductions!$E$5:$E$2000,"&gt;="&amp;Settings!$B$8,Deductions!$E$5:$E$2000,"&lt;="&amp;Settings!$B$9)-O1073)</f>
        <v/>
      </c>
      <c r="Q1073" s="26" t="str">
        <f aca="false">IF($A1073="","",O1073+P1073)</f>
        <v/>
      </c>
      <c r="R1073" s="23" t="str">
        <f aca="false">IF($A1073="","",N1073-Q1073)</f>
        <v/>
      </c>
      <c r="S1073" s="24" t="str">
        <f aca="false">IF($A1073="","",INDEX(Workers!$O$5:$O$2004,MATCH($A1073,Workers!$A$5:$A$2004,0))&amp;"")</f>
        <v/>
      </c>
      <c r="T1073" s="24" t="str">
        <f aca="false">IF($A1073="","",INDEX(Workers!$P$5:$P$2004,MATCH($A1073,Workers!$A$5:$A$2004,0))&amp;"")</f>
        <v/>
      </c>
      <c r="U1073" s="24" t="str">
        <f aca="false">IF($A1073="","",INDEX(Workers!$H$5:$H$2004,MATCH($A1073,Workers!$A$5:$A$2004,0))&amp;"")</f>
        <v/>
      </c>
    </row>
    <row r="1074" customFormat="false" ht="15" hidden="false" customHeight="false" outlineLevel="0" collapsed="false">
      <c r="A1074" s="24" t="str">
        <f aca="false">IFERROR(INDEX(Workers!$A$5:$A$2004,MATCH(ROW()-4,Workers!$U$5:$U$2004,0)),"")</f>
        <v/>
      </c>
      <c r="B1074" s="24" t="str">
        <f aca="false">IF($A1074="","",INDEX(Workers!$B$5:$B$2004,MATCH($A1074,Workers!$A$5:$A$2004,0)))</f>
        <v/>
      </c>
      <c r="C1074" s="24" t="str">
        <f aca="false">IF($A1074="","",INDEX(Workers!$E$5:$E$2004,MATCH($A1074,Workers!$A$5:$A$2004,0)))</f>
        <v/>
      </c>
      <c r="D1074" s="24" t="str">
        <f aca="false">IF($A1074="","",INDEX(Workers!$K$5:$K$2004,MATCH($A1074,Workers!$A$5:$A$2004,0)))</f>
        <v/>
      </c>
      <c r="E1074" s="25" t="str">
        <f aca="false">IF($A1074="","",SUMIFS(Timesheet!$E$5:$E$3004,Timesheet!$D$5:$D$3004,$A1074,Timesheet!$A$5:$A$3004,"&gt;="&amp;Settings!$B$8,Timesheet!$A$5:$A$3004,"&lt;="&amp;Settings!$B$9))</f>
        <v/>
      </c>
      <c r="F1074" s="25" t="str">
        <f aca="false">IF($A1074="","",SUMIFS(Timesheet!$F$5:$F$3004,Timesheet!$D$5:$D$3004,$A1074,Timesheet!$A$5:$A$3004,"&gt;="&amp;Settings!$B$8,Timesheet!$A$5:$A$3004,"&lt;="&amp;Settings!$B$9))</f>
        <v/>
      </c>
      <c r="G1074" s="25" t="str">
        <f aca="false">IF($A1074="","",SUMIFS(Timesheet!$G$5:$G$3004,Timesheet!$D$5:$D$3004,$A1074,Timesheet!$A$5:$A$3004,"&gt;="&amp;Settings!$B$8,Timesheet!$A$5:$A$3004,"&lt;="&amp;Settings!$B$9))</f>
        <v/>
      </c>
      <c r="H1074" s="25" t="str">
        <f aca="false">IF($A1074="","",IF(D1074="Monthly",MAX(0,Settings!$B$11-E1074),0))</f>
        <v/>
      </c>
      <c r="I1074" s="26" t="str">
        <f aca="false">IF($A1074="","",N(INDEX(Workers!$L$5:$L$2004,MATCH($A1074,Workers!$A$5:$A$2004,0))))</f>
        <v/>
      </c>
      <c r="J1074" s="26" t="str">
        <f aca="false">IF($A1074="","",N(INDEX(Workers!$M$5:$M$2004,MATCH($A1074,Workers!$A$5:$A$2004,0))))</f>
        <v/>
      </c>
      <c r="K1074" s="26" t="str">
        <f aca="false">IF($A1074="","",IF(D1074="Monthly",ROUND(MAX(0,(I1074+J1074)-(I1074+J1074)/Settings!$B$10*H1074),2),0))</f>
        <v/>
      </c>
      <c r="L1074" s="26" t="str">
        <f aca="false">IF($A1074="","",IF(D1074="Hourly",ROUND(F1074*N(INDEX(Workers!$N$5:$N$2004,MATCH($A1074,Workers!$A$5:$A$2004,0))),2),0))</f>
        <v/>
      </c>
      <c r="M1074" s="26" t="str">
        <f aca="false">IF($A1074="","",ROUND(G1074*IF(D1074="Hourly",N(INDEX(Workers!$N$5:$N$2004,MATCH($A1074,Workers!$A$5:$A$2004,0))),I1074/Settings!$B$10/Settings!$B$12)*Settings!$B$13,2))</f>
        <v/>
      </c>
      <c r="N1074" s="26" t="str">
        <f aca="false">IF($A1074="","",K1074+L1074+M1074)</f>
        <v/>
      </c>
      <c r="O1074" s="26" t="str">
        <f aca="false">IF($A1074="","",SUMIFS(Deductions!$D$5:$D$2000,Deductions!$B$5:$B$2000,$A1074,Deductions!$C$5:$C$2000,"Advance",Deductions!$E$5:$E$2000,"&gt;="&amp;Settings!$B$8,Deductions!$E$5:$E$2000,"&lt;="&amp;Settings!$B$9))</f>
        <v/>
      </c>
      <c r="P1074" s="26" t="str">
        <f aca="false">IF($A1074="","",SUMIFS(Deductions!$D$5:$D$2000,Deductions!$B$5:$B$2000,$A1074,Deductions!$E$5:$E$2000,"&gt;="&amp;Settings!$B$8,Deductions!$E$5:$E$2000,"&lt;="&amp;Settings!$B$9)-O1074)</f>
        <v/>
      </c>
      <c r="Q1074" s="26" t="str">
        <f aca="false">IF($A1074="","",O1074+P1074)</f>
        <v/>
      </c>
      <c r="R1074" s="23" t="str">
        <f aca="false">IF($A1074="","",N1074-Q1074)</f>
        <v/>
      </c>
      <c r="S1074" s="24" t="str">
        <f aca="false">IF($A1074="","",INDEX(Workers!$O$5:$O$2004,MATCH($A1074,Workers!$A$5:$A$2004,0))&amp;"")</f>
        <v/>
      </c>
      <c r="T1074" s="24" t="str">
        <f aca="false">IF($A1074="","",INDEX(Workers!$P$5:$P$2004,MATCH($A1074,Workers!$A$5:$A$2004,0))&amp;"")</f>
        <v/>
      </c>
      <c r="U1074" s="24" t="str">
        <f aca="false">IF($A1074="","",INDEX(Workers!$H$5:$H$2004,MATCH($A1074,Workers!$A$5:$A$2004,0))&amp;"")</f>
        <v/>
      </c>
    </row>
    <row r="1075" customFormat="false" ht="15" hidden="false" customHeight="false" outlineLevel="0" collapsed="false">
      <c r="A1075" s="24" t="str">
        <f aca="false">IFERROR(INDEX(Workers!$A$5:$A$2004,MATCH(ROW()-4,Workers!$U$5:$U$2004,0)),"")</f>
        <v/>
      </c>
      <c r="B1075" s="24" t="str">
        <f aca="false">IF($A1075="","",INDEX(Workers!$B$5:$B$2004,MATCH($A1075,Workers!$A$5:$A$2004,0)))</f>
        <v/>
      </c>
      <c r="C1075" s="24" t="str">
        <f aca="false">IF($A1075="","",INDEX(Workers!$E$5:$E$2004,MATCH($A1075,Workers!$A$5:$A$2004,0)))</f>
        <v/>
      </c>
      <c r="D1075" s="24" t="str">
        <f aca="false">IF($A1075="","",INDEX(Workers!$K$5:$K$2004,MATCH($A1075,Workers!$A$5:$A$2004,0)))</f>
        <v/>
      </c>
      <c r="E1075" s="25" t="str">
        <f aca="false">IF($A1075="","",SUMIFS(Timesheet!$E$5:$E$3004,Timesheet!$D$5:$D$3004,$A1075,Timesheet!$A$5:$A$3004,"&gt;="&amp;Settings!$B$8,Timesheet!$A$5:$A$3004,"&lt;="&amp;Settings!$B$9))</f>
        <v/>
      </c>
      <c r="F1075" s="25" t="str">
        <f aca="false">IF($A1075="","",SUMIFS(Timesheet!$F$5:$F$3004,Timesheet!$D$5:$D$3004,$A1075,Timesheet!$A$5:$A$3004,"&gt;="&amp;Settings!$B$8,Timesheet!$A$5:$A$3004,"&lt;="&amp;Settings!$B$9))</f>
        <v/>
      </c>
      <c r="G1075" s="25" t="str">
        <f aca="false">IF($A1075="","",SUMIFS(Timesheet!$G$5:$G$3004,Timesheet!$D$5:$D$3004,$A1075,Timesheet!$A$5:$A$3004,"&gt;="&amp;Settings!$B$8,Timesheet!$A$5:$A$3004,"&lt;="&amp;Settings!$B$9))</f>
        <v/>
      </c>
      <c r="H1075" s="25" t="str">
        <f aca="false">IF($A1075="","",IF(D1075="Monthly",MAX(0,Settings!$B$11-E1075),0))</f>
        <v/>
      </c>
      <c r="I1075" s="26" t="str">
        <f aca="false">IF($A1075="","",N(INDEX(Workers!$L$5:$L$2004,MATCH($A1075,Workers!$A$5:$A$2004,0))))</f>
        <v/>
      </c>
      <c r="J1075" s="26" t="str">
        <f aca="false">IF($A1075="","",N(INDEX(Workers!$M$5:$M$2004,MATCH($A1075,Workers!$A$5:$A$2004,0))))</f>
        <v/>
      </c>
      <c r="K1075" s="26" t="str">
        <f aca="false">IF($A1075="","",IF(D1075="Monthly",ROUND(MAX(0,(I1075+J1075)-(I1075+J1075)/Settings!$B$10*H1075),2),0))</f>
        <v/>
      </c>
      <c r="L1075" s="26" t="str">
        <f aca="false">IF($A1075="","",IF(D1075="Hourly",ROUND(F1075*N(INDEX(Workers!$N$5:$N$2004,MATCH($A1075,Workers!$A$5:$A$2004,0))),2),0))</f>
        <v/>
      </c>
      <c r="M1075" s="26" t="str">
        <f aca="false">IF($A1075="","",ROUND(G1075*IF(D1075="Hourly",N(INDEX(Workers!$N$5:$N$2004,MATCH($A1075,Workers!$A$5:$A$2004,0))),I1075/Settings!$B$10/Settings!$B$12)*Settings!$B$13,2))</f>
        <v/>
      </c>
      <c r="N1075" s="26" t="str">
        <f aca="false">IF($A1075="","",K1075+L1075+M1075)</f>
        <v/>
      </c>
      <c r="O1075" s="26" t="str">
        <f aca="false">IF($A1075="","",SUMIFS(Deductions!$D$5:$D$2000,Deductions!$B$5:$B$2000,$A1075,Deductions!$C$5:$C$2000,"Advance",Deductions!$E$5:$E$2000,"&gt;="&amp;Settings!$B$8,Deductions!$E$5:$E$2000,"&lt;="&amp;Settings!$B$9))</f>
        <v/>
      </c>
      <c r="P1075" s="26" t="str">
        <f aca="false">IF($A1075="","",SUMIFS(Deductions!$D$5:$D$2000,Deductions!$B$5:$B$2000,$A1075,Deductions!$E$5:$E$2000,"&gt;="&amp;Settings!$B$8,Deductions!$E$5:$E$2000,"&lt;="&amp;Settings!$B$9)-O1075)</f>
        <v/>
      </c>
      <c r="Q1075" s="26" t="str">
        <f aca="false">IF($A1075="","",O1075+P1075)</f>
        <v/>
      </c>
      <c r="R1075" s="23" t="str">
        <f aca="false">IF($A1075="","",N1075-Q1075)</f>
        <v/>
      </c>
      <c r="S1075" s="24" t="str">
        <f aca="false">IF($A1075="","",INDEX(Workers!$O$5:$O$2004,MATCH($A1075,Workers!$A$5:$A$2004,0))&amp;"")</f>
        <v/>
      </c>
      <c r="T1075" s="24" t="str">
        <f aca="false">IF($A1075="","",INDEX(Workers!$P$5:$P$2004,MATCH($A1075,Workers!$A$5:$A$2004,0))&amp;"")</f>
        <v/>
      </c>
      <c r="U1075" s="24" t="str">
        <f aca="false">IF($A1075="","",INDEX(Workers!$H$5:$H$2004,MATCH($A1075,Workers!$A$5:$A$2004,0))&amp;"")</f>
        <v/>
      </c>
    </row>
    <row r="1076" customFormat="false" ht="15" hidden="false" customHeight="false" outlineLevel="0" collapsed="false">
      <c r="A1076" s="24" t="str">
        <f aca="false">IFERROR(INDEX(Workers!$A$5:$A$2004,MATCH(ROW()-4,Workers!$U$5:$U$2004,0)),"")</f>
        <v/>
      </c>
      <c r="B1076" s="24" t="str">
        <f aca="false">IF($A1076="","",INDEX(Workers!$B$5:$B$2004,MATCH($A1076,Workers!$A$5:$A$2004,0)))</f>
        <v/>
      </c>
      <c r="C1076" s="24" t="str">
        <f aca="false">IF($A1076="","",INDEX(Workers!$E$5:$E$2004,MATCH($A1076,Workers!$A$5:$A$2004,0)))</f>
        <v/>
      </c>
      <c r="D1076" s="24" t="str">
        <f aca="false">IF($A1076="","",INDEX(Workers!$K$5:$K$2004,MATCH($A1076,Workers!$A$5:$A$2004,0)))</f>
        <v/>
      </c>
      <c r="E1076" s="25" t="str">
        <f aca="false">IF($A1076="","",SUMIFS(Timesheet!$E$5:$E$3004,Timesheet!$D$5:$D$3004,$A1076,Timesheet!$A$5:$A$3004,"&gt;="&amp;Settings!$B$8,Timesheet!$A$5:$A$3004,"&lt;="&amp;Settings!$B$9))</f>
        <v/>
      </c>
      <c r="F1076" s="25" t="str">
        <f aca="false">IF($A1076="","",SUMIFS(Timesheet!$F$5:$F$3004,Timesheet!$D$5:$D$3004,$A1076,Timesheet!$A$5:$A$3004,"&gt;="&amp;Settings!$B$8,Timesheet!$A$5:$A$3004,"&lt;="&amp;Settings!$B$9))</f>
        <v/>
      </c>
      <c r="G1076" s="25" t="str">
        <f aca="false">IF($A1076="","",SUMIFS(Timesheet!$G$5:$G$3004,Timesheet!$D$5:$D$3004,$A1076,Timesheet!$A$5:$A$3004,"&gt;="&amp;Settings!$B$8,Timesheet!$A$5:$A$3004,"&lt;="&amp;Settings!$B$9))</f>
        <v/>
      </c>
      <c r="H1076" s="25" t="str">
        <f aca="false">IF($A1076="","",IF(D1076="Monthly",MAX(0,Settings!$B$11-E1076),0))</f>
        <v/>
      </c>
      <c r="I1076" s="26" t="str">
        <f aca="false">IF($A1076="","",N(INDEX(Workers!$L$5:$L$2004,MATCH($A1076,Workers!$A$5:$A$2004,0))))</f>
        <v/>
      </c>
      <c r="J1076" s="26" t="str">
        <f aca="false">IF($A1076="","",N(INDEX(Workers!$M$5:$M$2004,MATCH($A1076,Workers!$A$5:$A$2004,0))))</f>
        <v/>
      </c>
      <c r="K1076" s="26" t="str">
        <f aca="false">IF($A1076="","",IF(D1076="Monthly",ROUND(MAX(0,(I1076+J1076)-(I1076+J1076)/Settings!$B$10*H1076),2),0))</f>
        <v/>
      </c>
      <c r="L1076" s="26" t="str">
        <f aca="false">IF($A1076="","",IF(D1076="Hourly",ROUND(F1076*N(INDEX(Workers!$N$5:$N$2004,MATCH($A1076,Workers!$A$5:$A$2004,0))),2),0))</f>
        <v/>
      </c>
      <c r="M1076" s="26" t="str">
        <f aca="false">IF($A1076="","",ROUND(G1076*IF(D1076="Hourly",N(INDEX(Workers!$N$5:$N$2004,MATCH($A1076,Workers!$A$5:$A$2004,0))),I1076/Settings!$B$10/Settings!$B$12)*Settings!$B$13,2))</f>
        <v/>
      </c>
      <c r="N1076" s="26" t="str">
        <f aca="false">IF($A1076="","",K1076+L1076+M1076)</f>
        <v/>
      </c>
      <c r="O1076" s="26" t="str">
        <f aca="false">IF($A1076="","",SUMIFS(Deductions!$D$5:$D$2000,Deductions!$B$5:$B$2000,$A1076,Deductions!$C$5:$C$2000,"Advance",Deductions!$E$5:$E$2000,"&gt;="&amp;Settings!$B$8,Deductions!$E$5:$E$2000,"&lt;="&amp;Settings!$B$9))</f>
        <v/>
      </c>
      <c r="P1076" s="26" t="str">
        <f aca="false">IF($A1076="","",SUMIFS(Deductions!$D$5:$D$2000,Deductions!$B$5:$B$2000,$A1076,Deductions!$E$5:$E$2000,"&gt;="&amp;Settings!$B$8,Deductions!$E$5:$E$2000,"&lt;="&amp;Settings!$B$9)-O1076)</f>
        <v/>
      </c>
      <c r="Q1076" s="26" t="str">
        <f aca="false">IF($A1076="","",O1076+P1076)</f>
        <v/>
      </c>
      <c r="R1076" s="23" t="str">
        <f aca="false">IF($A1076="","",N1076-Q1076)</f>
        <v/>
      </c>
      <c r="S1076" s="24" t="str">
        <f aca="false">IF($A1076="","",INDEX(Workers!$O$5:$O$2004,MATCH($A1076,Workers!$A$5:$A$2004,0))&amp;"")</f>
        <v/>
      </c>
      <c r="T1076" s="24" t="str">
        <f aca="false">IF($A1076="","",INDEX(Workers!$P$5:$P$2004,MATCH($A1076,Workers!$A$5:$A$2004,0))&amp;"")</f>
        <v/>
      </c>
      <c r="U1076" s="24" t="str">
        <f aca="false">IF($A1076="","",INDEX(Workers!$H$5:$H$2004,MATCH($A1076,Workers!$A$5:$A$2004,0))&amp;"")</f>
        <v/>
      </c>
    </row>
    <row r="1077" customFormat="false" ht="15" hidden="false" customHeight="false" outlineLevel="0" collapsed="false">
      <c r="A1077" s="24" t="str">
        <f aca="false">IFERROR(INDEX(Workers!$A$5:$A$2004,MATCH(ROW()-4,Workers!$U$5:$U$2004,0)),"")</f>
        <v/>
      </c>
      <c r="B1077" s="24" t="str">
        <f aca="false">IF($A1077="","",INDEX(Workers!$B$5:$B$2004,MATCH($A1077,Workers!$A$5:$A$2004,0)))</f>
        <v/>
      </c>
      <c r="C1077" s="24" t="str">
        <f aca="false">IF($A1077="","",INDEX(Workers!$E$5:$E$2004,MATCH($A1077,Workers!$A$5:$A$2004,0)))</f>
        <v/>
      </c>
      <c r="D1077" s="24" t="str">
        <f aca="false">IF($A1077="","",INDEX(Workers!$K$5:$K$2004,MATCH($A1077,Workers!$A$5:$A$2004,0)))</f>
        <v/>
      </c>
      <c r="E1077" s="25" t="str">
        <f aca="false">IF($A1077="","",SUMIFS(Timesheet!$E$5:$E$3004,Timesheet!$D$5:$D$3004,$A1077,Timesheet!$A$5:$A$3004,"&gt;="&amp;Settings!$B$8,Timesheet!$A$5:$A$3004,"&lt;="&amp;Settings!$B$9))</f>
        <v/>
      </c>
      <c r="F1077" s="25" t="str">
        <f aca="false">IF($A1077="","",SUMIFS(Timesheet!$F$5:$F$3004,Timesheet!$D$5:$D$3004,$A1077,Timesheet!$A$5:$A$3004,"&gt;="&amp;Settings!$B$8,Timesheet!$A$5:$A$3004,"&lt;="&amp;Settings!$B$9))</f>
        <v/>
      </c>
      <c r="G1077" s="25" t="str">
        <f aca="false">IF($A1077="","",SUMIFS(Timesheet!$G$5:$G$3004,Timesheet!$D$5:$D$3004,$A1077,Timesheet!$A$5:$A$3004,"&gt;="&amp;Settings!$B$8,Timesheet!$A$5:$A$3004,"&lt;="&amp;Settings!$B$9))</f>
        <v/>
      </c>
      <c r="H1077" s="25" t="str">
        <f aca="false">IF($A1077="","",IF(D1077="Monthly",MAX(0,Settings!$B$11-E1077),0))</f>
        <v/>
      </c>
      <c r="I1077" s="26" t="str">
        <f aca="false">IF($A1077="","",N(INDEX(Workers!$L$5:$L$2004,MATCH($A1077,Workers!$A$5:$A$2004,0))))</f>
        <v/>
      </c>
      <c r="J1077" s="26" t="str">
        <f aca="false">IF($A1077="","",N(INDEX(Workers!$M$5:$M$2004,MATCH($A1077,Workers!$A$5:$A$2004,0))))</f>
        <v/>
      </c>
      <c r="K1077" s="26" t="str">
        <f aca="false">IF($A1077="","",IF(D1077="Monthly",ROUND(MAX(0,(I1077+J1077)-(I1077+J1077)/Settings!$B$10*H1077),2),0))</f>
        <v/>
      </c>
      <c r="L1077" s="26" t="str">
        <f aca="false">IF($A1077="","",IF(D1077="Hourly",ROUND(F1077*N(INDEX(Workers!$N$5:$N$2004,MATCH($A1077,Workers!$A$5:$A$2004,0))),2),0))</f>
        <v/>
      </c>
      <c r="M1077" s="26" t="str">
        <f aca="false">IF($A1077="","",ROUND(G1077*IF(D1077="Hourly",N(INDEX(Workers!$N$5:$N$2004,MATCH($A1077,Workers!$A$5:$A$2004,0))),I1077/Settings!$B$10/Settings!$B$12)*Settings!$B$13,2))</f>
        <v/>
      </c>
      <c r="N1077" s="26" t="str">
        <f aca="false">IF($A1077="","",K1077+L1077+M1077)</f>
        <v/>
      </c>
      <c r="O1077" s="26" t="str">
        <f aca="false">IF($A1077="","",SUMIFS(Deductions!$D$5:$D$2000,Deductions!$B$5:$B$2000,$A1077,Deductions!$C$5:$C$2000,"Advance",Deductions!$E$5:$E$2000,"&gt;="&amp;Settings!$B$8,Deductions!$E$5:$E$2000,"&lt;="&amp;Settings!$B$9))</f>
        <v/>
      </c>
      <c r="P1077" s="26" t="str">
        <f aca="false">IF($A1077="","",SUMIFS(Deductions!$D$5:$D$2000,Deductions!$B$5:$B$2000,$A1077,Deductions!$E$5:$E$2000,"&gt;="&amp;Settings!$B$8,Deductions!$E$5:$E$2000,"&lt;="&amp;Settings!$B$9)-O1077)</f>
        <v/>
      </c>
      <c r="Q1077" s="26" t="str">
        <f aca="false">IF($A1077="","",O1077+P1077)</f>
        <v/>
      </c>
      <c r="R1077" s="23" t="str">
        <f aca="false">IF($A1077="","",N1077-Q1077)</f>
        <v/>
      </c>
      <c r="S1077" s="24" t="str">
        <f aca="false">IF($A1077="","",INDEX(Workers!$O$5:$O$2004,MATCH($A1077,Workers!$A$5:$A$2004,0))&amp;"")</f>
        <v/>
      </c>
      <c r="T1077" s="24" t="str">
        <f aca="false">IF($A1077="","",INDEX(Workers!$P$5:$P$2004,MATCH($A1077,Workers!$A$5:$A$2004,0))&amp;"")</f>
        <v/>
      </c>
      <c r="U1077" s="24" t="str">
        <f aca="false">IF($A1077="","",INDEX(Workers!$H$5:$H$2004,MATCH($A1077,Workers!$A$5:$A$2004,0))&amp;"")</f>
        <v/>
      </c>
    </row>
    <row r="1078" customFormat="false" ht="15" hidden="false" customHeight="false" outlineLevel="0" collapsed="false">
      <c r="A1078" s="24" t="str">
        <f aca="false">IFERROR(INDEX(Workers!$A$5:$A$2004,MATCH(ROW()-4,Workers!$U$5:$U$2004,0)),"")</f>
        <v/>
      </c>
      <c r="B1078" s="24" t="str">
        <f aca="false">IF($A1078="","",INDEX(Workers!$B$5:$B$2004,MATCH($A1078,Workers!$A$5:$A$2004,0)))</f>
        <v/>
      </c>
      <c r="C1078" s="24" t="str">
        <f aca="false">IF($A1078="","",INDEX(Workers!$E$5:$E$2004,MATCH($A1078,Workers!$A$5:$A$2004,0)))</f>
        <v/>
      </c>
      <c r="D1078" s="24" t="str">
        <f aca="false">IF($A1078="","",INDEX(Workers!$K$5:$K$2004,MATCH($A1078,Workers!$A$5:$A$2004,0)))</f>
        <v/>
      </c>
      <c r="E1078" s="25" t="str">
        <f aca="false">IF($A1078="","",SUMIFS(Timesheet!$E$5:$E$3004,Timesheet!$D$5:$D$3004,$A1078,Timesheet!$A$5:$A$3004,"&gt;="&amp;Settings!$B$8,Timesheet!$A$5:$A$3004,"&lt;="&amp;Settings!$B$9))</f>
        <v/>
      </c>
      <c r="F1078" s="25" t="str">
        <f aca="false">IF($A1078="","",SUMIFS(Timesheet!$F$5:$F$3004,Timesheet!$D$5:$D$3004,$A1078,Timesheet!$A$5:$A$3004,"&gt;="&amp;Settings!$B$8,Timesheet!$A$5:$A$3004,"&lt;="&amp;Settings!$B$9))</f>
        <v/>
      </c>
      <c r="G1078" s="25" t="str">
        <f aca="false">IF($A1078="","",SUMIFS(Timesheet!$G$5:$G$3004,Timesheet!$D$5:$D$3004,$A1078,Timesheet!$A$5:$A$3004,"&gt;="&amp;Settings!$B$8,Timesheet!$A$5:$A$3004,"&lt;="&amp;Settings!$B$9))</f>
        <v/>
      </c>
      <c r="H1078" s="25" t="str">
        <f aca="false">IF($A1078="","",IF(D1078="Monthly",MAX(0,Settings!$B$11-E1078),0))</f>
        <v/>
      </c>
      <c r="I1078" s="26" t="str">
        <f aca="false">IF($A1078="","",N(INDEX(Workers!$L$5:$L$2004,MATCH($A1078,Workers!$A$5:$A$2004,0))))</f>
        <v/>
      </c>
      <c r="J1078" s="26" t="str">
        <f aca="false">IF($A1078="","",N(INDEX(Workers!$M$5:$M$2004,MATCH($A1078,Workers!$A$5:$A$2004,0))))</f>
        <v/>
      </c>
      <c r="K1078" s="26" t="str">
        <f aca="false">IF($A1078="","",IF(D1078="Monthly",ROUND(MAX(0,(I1078+J1078)-(I1078+J1078)/Settings!$B$10*H1078),2),0))</f>
        <v/>
      </c>
      <c r="L1078" s="26" t="str">
        <f aca="false">IF($A1078="","",IF(D1078="Hourly",ROUND(F1078*N(INDEX(Workers!$N$5:$N$2004,MATCH($A1078,Workers!$A$5:$A$2004,0))),2),0))</f>
        <v/>
      </c>
      <c r="M1078" s="26" t="str">
        <f aca="false">IF($A1078="","",ROUND(G1078*IF(D1078="Hourly",N(INDEX(Workers!$N$5:$N$2004,MATCH($A1078,Workers!$A$5:$A$2004,0))),I1078/Settings!$B$10/Settings!$B$12)*Settings!$B$13,2))</f>
        <v/>
      </c>
      <c r="N1078" s="26" t="str">
        <f aca="false">IF($A1078="","",K1078+L1078+M1078)</f>
        <v/>
      </c>
      <c r="O1078" s="26" t="str">
        <f aca="false">IF($A1078="","",SUMIFS(Deductions!$D$5:$D$2000,Deductions!$B$5:$B$2000,$A1078,Deductions!$C$5:$C$2000,"Advance",Deductions!$E$5:$E$2000,"&gt;="&amp;Settings!$B$8,Deductions!$E$5:$E$2000,"&lt;="&amp;Settings!$B$9))</f>
        <v/>
      </c>
      <c r="P1078" s="26" t="str">
        <f aca="false">IF($A1078="","",SUMIFS(Deductions!$D$5:$D$2000,Deductions!$B$5:$B$2000,$A1078,Deductions!$E$5:$E$2000,"&gt;="&amp;Settings!$B$8,Deductions!$E$5:$E$2000,"&lt;="&amp;Settings!$B$9)-O1078)</f>
        <v/>
      </c>
      <c r="Q1078" s="26" t="str">
        <f aca="false">IF($A1078="","",O1078+P1078)</f>
        <v/>
      </c>
      <c r="R1078" s="23" t="str">
        <f aca="false">IF($A1078="","",N1078-Q1078)</f>
        <v/>
      </c>
      <c r="S1078" s="24" t="str">
        <f aca="false">IF($A1078="","",INDEX(Workers!$O$5:$O$2004,MATCH($A1078,Workers!$A$5:$A$2004,0))&amp;"")</f>
        <v/>
      </c>
      <c r="T1078" s="24" t="str">
        <f aca="false">IF($A1078="","",INDEX(Workers!$P$5:$P$2004,MATCH($A1078,Workers!$A$5:$A$2004,0))&amp;"")</f>
        <v/>
      </c>
      <c r="U1078" s="24" t="str">
        <f aca="false">IF($A1078="","",INDEX(Workers!$H$5:$H$2004,MATCH($A1078,Workers!$A$5:$A$2004,0))&amp;"")</f>
        <v/>
      </c>
    </row>
    <row r="1079" customFormat="false" ht="15" hidden="false" customHeight="false" outlineLevel="0" collapsed="false">
      <c r="A1079" s="24" t="str">
        <f aca="false">IFERROR(INDEX(Workers!$A$5:$A$2004,MATCH(ROW()-4,Workers!$U$5:$U$2004,0)),"")</f>
        <v/>
      </c>
      <c r="B1079" s="24" t="str">
        <f aca="false">IF($A1079="","",INDEX(Workers!$B$5:$B$2004,MATCH($A1079,Workers!$A$5:$A$2004,0)))</f>
        <v/>
      </c>
      <c r="C1079" s="24" t="str">
        <f aca="false">IF($A1079="","",INDEX(Workers!$E$5:$E$2004,MATCH($A1079,Workers!$A$5:$A$2004,0)))</f>
        <v/>
      </c>
      <c r="D1079" s="24" t="str">
        <f aca="false">IF($A1079="","",INDEX(Workers!$K$5:$K$2004,MATCH($A1079,Workers!$A$5:$A$2004,0)))</f>
        <v/>
      </c>
      <c r="E1079" s="25" t="str">
        <f aca="false">IF($A1079="","",SUMIFS(Timesheet!$E$5:$E$3004,Timesheet!$D$5:$D$3004,$A1079,Timesheet!$A$5:$A$3004,"&gt;="&amp;Settings!$B$8,Timesheet!$A$5:$A$3004,"&lt;="&amp;Settings!$B$9))</f>
        <v/>
      </c>
      <c r="F1079" s="25" t="str">
        <f aca="false">IF($A1079="","",SUMIFS(Timesheet!$F$5:$F$3004,Timesheet!$D$5:$D$3004,$A1079,Timesheet!$A$5:$A$3004,"&gt;="&amp;Settings!$B$8,Timesheet!$A$5:$A$3004,"&lt;="&amp;Settings!$B$9))</f>
        <v/>
      </c>
      <c r="G1079" s="25" t="str">
        <f aca="false">IF($A1079="","",SUMIFS(Timesheet!$G$5:$G$3004,Timesheet!$D$5:$D$3004,$A1079,Timesheet!$A$5:$A$3004,"&gt;="&amp;Settings!$B$8,Timesheet!$A$5:$A$3004,"&lt;="&amp;Settings!$B$9))</f>
        <v/>
      </c>
      <c r="H1079" s="25" t="str">
        <f aca="false">IF($A1079="","",IF(D1079="Monthly",MAX(0,Settings!$B$11-E1079),0))</f>
        <v/>
      </c>
      <c r="I1079" s="26" t="str">
        <f aca="false">IF($A1079="","",N(INDEX(Workers!$L$5:$L$2004,MATCH($A1079,Workers!$A$5:$A$2004,0))))</f>
        <v/>
      </c>
      <c r="J1079" s="26" t="str">
        <f aca="false">IF($A1079="","",N(INDEX(Workers!$M$5:$M$2004,MATCH($A1079,Workers!$A$5:$A$2004,0))))</f>
        <v/>
      </c>
      <c r="K1079" s="26" t="str">
        <f aca="false">IF($A1079="","",IF(D1079="Monthly",ROUND(MAX(0,(I1079+J1079)-(I1079+J1079)/Settings!$B$10*H1079),2),0))</f>
        <v/>
      </c>
      <c r="L1079" s="26" t="str">
        <f aca="false">IF($A1079="","",IF(D1079="Hourly",ROUND(F1079*N(INDEX(Workers!$N$5:$N$2004,MATCH($A1079,Workers!$A$5:$A$2004,0))),2),0))</f>
        <v/>
      </c>
      <c r="M1079" s="26" t="str">
        <f aca="false">IF($A1079="","",ROUND(G1079*IF(D1079="Hourly",N(INDEX(Workers!$N$5:$N$2004,MATCH($A1079,Workers!$A$5:$A$2004,0))),I1079/Settings!$B$10/Settings!$B$12)*Settings!$B$13,2))</f>
        <v/>
      </c>
      <c r="N1079" s="26" t="str">
        <f aca="false">IF($A1079="","",K1079+L1079+M1079)</f>
        <v/>
      </c>
      <c r="O1079" s="26" t="str">
        <f aca="false">IF($A1079="","",SUMIFS(Deductions!$D$5:$D$2000,Deductions!$B$5:$B$2000,$A1079,Deductions!$C$5:$C$2000,"Advance",Deductions!$E$5:$E$2000,"&gt;="&amp;Settings!$B$8,Deductions!$E$5:$E$2000,"&lt;="&amp;Settings!$B$9))</f>
        <v/>
      </c>
      <c r="P1079" s="26" t="str">
        <f aca="false">IF($A1079="","",SUMIFS(Deductions!$D$5:$D$2000,Deductions!$B$5:$B$2000,$A1079,Deductions!$E$5:$E$2000,"&gt;="&amp;Settings!$B$8,Deductions!$E$5:$E$2000,"&lt;="&amp;Settings!$B$9)-O1079)</f>
        <v/>
      </c>
      <c r="Q1079" s="26" t="str">
        <f aca="false">IF($A1079="","",O1079+P1079)</f>
        <v/>
      </c>
      <c r="R1079" s="23" t="str">
        <f aca="false">IF($A1079="","",N1079-Q1079)</f>
        <v/>
      </c>
      <c r="S1079" s="24" t="str">
        <f aca="false">IF($A1079="","",INDEX(Workers!$O$5:$O$2004,MATCH($A1079,Workers!$A$5:$A$2004,0))&amp;"")</f>
        <v/>
      </c>
      <c r="T1079" s="24" t="str">
        <f aca="false">IF($A1079="","",INDEX(Workers!$P$5:$P$2004,MATCH($A1079,Workers!$A$5:$A$2004,0))&amp;"")</f>
        <v/>
      </c>
      <c r="U1079" s="24" t="str">
        <f aca="false">IF($A1079="","",INDEX(Workers!$H$5:$H$2004,MATCH($A1079,Workers!$A$5:$A$2004,0))&amp;"")</f>
        <v/>
      </c>
    </row>
    <row r="1080" customFormat="false" ht="15" hidden="false" customHeight="false" outlineLevel="0" collapsed="false">
      <c r="A1080" s="24" t="str">
        <f aca="false">IFERROR(INDEX(Workers!$A$5:$A$2004,MATCH(ROW()-4,Workers!$U$5:$U$2004,0)),"")</f>
        <v/>
      </c>
      <c r="B1080" s="24" t="str">
        <f aca="false">IF($A1080="","",INDEX(Workers!$B$5:$B$2004,MATCH($A1080,Workers!$A$5:$A$2004,0)))</f>
        <v/>
      </c>
      <c r="C1080" s="24" t="str">
        <f aca="false">IF($A1080="","",INDEX(Workers!$E$5:$E$2004,MATCH($A1080,Workers!$A$5:$A$2004,0)))</f>
        <v/>
      </c>
      <c r="D1080" s="24" t="str">
        <f aca="false">IF($A1080="","",INDEX(Workers!$K$5:$K$2004,MATCH($A1080,Workers!$A$5:$A$2004,0)))</f>
        <v/>
      </c>
      <c r="E1080" s="25" t="str">
        <f aca="false">IF($A1080="","",SUMIFS(Timesheet!$E$5:$E$3004,Timesheet!$D$5:$D$3004,$A1080,Timesheet!$A$5:$A$3004,"&gt;="&amp;Settings!$B$8,Timesheet!$A$5:$A$3004,"&lt;="&amp;Settings!$B$9))</f>
        <v/>
      </c>
      <c r="F1080" s="25" t="str">
        <f aca="false">IF($A1080="","",SUMIFS(Timesheet!$F$5:$F$3004,Timesheet!$D$5:$D$3004,$A1080,Timesheet!$A$5:$A$3004,"&gt;="&amp;Settings!$B$8,Timesheet!$A$5:$A$3004,"&lt;="&amp;Settings!$B$9))</f>
        <v/>
      </c>
      <c r="G1080" s="25" t="str">
        <f aca="false">IF($A1080="","",SUMIFS(Timesheet!$G$5:$G$3004,Timesheet!$D$5:$D$3004,$A1080,Timesheet!$A$5:$A$3004,"&gt;="&amp;Settings!$B$8,Timesheet!$A$5:$A$3004,"&lt;="&amp;Settings!$B$9))</f>
        <v/>
      </c>
      <c r="H1080" s="25" t="str">
        <f aca="false">IF($A1080="","",IF(D1080="Monthly",MAX(0,Settings!$B$11-E1080),0))</f>
        <v/>
      </c>
      <c r="I1080" s="26" t="str">
        <f aca="false">IF($A1080="","",N(INDEX(Workers!$L$5:$L$2004,MATCH($A1080,Workers!$A$5:$A$2004,0))))</f>
        <v/>
      </c>
      <c r="J1080" s="26" t="str">
        <f aca="false">IF($A1080="","",N(INDEX(Workers!$M$5:$M$2004,MATCH($A1080,Workers!$A$5:$A$2004,0))))</f>
        <v/>
      </c>
      <c r="K1080" s="26" t="str">
        <f aca="false">IF($A1080="","",IF(D1080="Monthly",ROUND(MAX(0,(I1080+J1080)-(I1080+J1080)/Settings!$B$10*H1080),2),0))</f>
        <v/>
      </c>
      <c r="L1080" s="26" t="str">
        <f aca="false">IF($A1080="","",IF(D1080="Hourly",ROUND(F1080*N(INDEX(Workers!$N$5:$N$2004,MATCH($A1080,Workers!$A$5:$A$2004,0))),2),0))</f>
        <v/>
      </c>
      <c r="M1080" s="26" t="str">
        <f aca="false">IF($A1080="","",ROUND(G1080*IF(D1080="Hourly",N(INDEX(Workers!$N$5:$N$2004,MATCH($A1080,Workers!$A$5:$A$2004,0))),I1080/Settings!$B$10/Settings!$B$12)*Settings!$B$13,2))</f>
        <v/>
      </c>
      <c r="N1080" s="26" t="str">
        <f aca="false">IF($A1080="","",K1080+L1080+M1080)</f>
        <v/>
      </c>
      <c r="O1080" s="26" t="str">
        <f aca="false">IF($A1080="","",SUMIFS(Deductions!$D$5:$D$2000,Deductions!$B$5:$B$2000,$A1080,Deductions!$C$5:$C$2000,"Advance",Deductions!$E$5:$E$2000,"&gt;="&amp;Settings!$B$8,Deductions!$E$5:$E$2000,"&lt;="&amp;Settings!$B$9))</f>
        <v/>
      </c>
      <c r="P1080" s="26" t="str">
        <f aca="false">IF($A1080="","",SUMIFS(Deductions!$D$5:$D$2000,Deductions!$B$5:$B$2000,$A1080,Deductions!$E$5:$E$2000,"&gt;="&amp;Settings!$B$8,Deductions!$E$5:$E$2000,"&lt;="&amp;Settings!$B$9)-O1080)</f>
        <v/>
      </c>
      <c r="Q1080" s="26" t="str">
        <f aca="false">IF($A1080="","",O1080+P1080)</f>
        <v/>
      </c>
      <c r="R1080" s="23" t="str">
        <f aca="false">IF($A1080="","",N1080-Q1080)</f>
        <v/>
      </c>
      <c r="S1080" s="24" t="str">
        <f aca="false">IF($A1080="","",INDEX(Workers!$O$5:$O$2004,MATCH($A1080,Workers!$A$5:$A$2004,0))&amp;"")</f>
        <v/>
      </c>
      <c r="T1080" s="24" t="str">
        <f aca="false">IF($A1080="","",INDEX(Workers!$P$5:$P$2004,MATCH($A1080,Workers!$A$5:$A$2004,0))&amp;"")</f>
        <v/>
      </c>
      <c r="U1080" s="24" t="str">
        <f aca="false">IF($A1080="","",INDEX(Workers!$H$5:$H$2004,MATCH($A1080,Workers!$A$5:$A$2004,0))&amp;"")</f>
        <v/>
      </c>
    </row>
    <row r="1081" customFormat="false" ht="15" hidden="false" customHeight="false" outlineLevel="0" collapsed="false">
      <c r="A1081" s="24" t="str">
        <f aca="false">IFERROR(INDEX(Workers!$A$5:$A$2004,MATCH(ROW()-4,Workers!$U$5:$U$2004,0)),"")</f>
        <v/>
      </c>
      <c r="B1081" s="24" t="str">
        <f aca="false">IF($A1081="","",INDEX(Workers!$B$5:$B$2004,MATCH($A1081,Workers!$A$5:$A$2004,0)))</f>
        <v/>
      </c>
      <c r="C1081" s="24" t="str">
        <f aca="false">IF($A1081="","",INDEX(Workers!$E$5:$E$2004,MATCH($A1081,Workers!$A$5:$A$2004,0)))</f>
        <v/>
      </c>
      <c r="D1081" s="24" t="str">
        <f aca="false">IF($A1081="","",INDEX(Workers!$K$5:$K$2004,MATCH($A1081,Workers!$A$5:$A$2004,0)))</f>
        <v/>
      </c>
      <c r="E1081" s="25" t="str">
        <f aca="false">IF($A1081="","",SUMIFS(Timesheet!$E$5:$E$3004,Timesheet!$D$5:$D$3004,$A1081,Timesheet!$A$5:$A$3004,"&gt;="&amp;Settings!$B$8,Timesheet!$A$5:$A$3004,"&lt;="&amp;Settings!$B$9))</f>
        <v/>
      </c>
      <c r="F1081" s="25" t="str">
        <f aca="false">IF($A1081="","",SUMIFS(Timesheet!$F$5:$F$3004,Timesheet!$D$5:$D$3004,$A1081,Timesheet!$A$5:$A$3004,"&gt;="&amp;Settings!$B$8,Timesheet!$A$5:$A$3004,"&lt;="&amp;Settings!$B$9))</f>
        <v/>
      </c>
      <c r="G1081" s="25" t="str">
        <f aca="false">IF($A1081="","",SUMIFS(Timesheet!$G$5:$G$3004,Timesheet!$D$5:$D$3004,$A1081,Timesheet!$A$5:$A$3004,"&gt;="&amp;Settings!$B$8,Timesheet!$A$5:$A$3004,"&lt;="&amp;Settings!$B$9))</f>
        <v/>
      </c>
      <c r="H1081" s="25" t="str">
        <f aca="false">IF($A1081="","",IF(D1081="Monthly",MAX(0,Settings!$B$11-E1081),0))</f>
        <v/>
      </c>
      <c r="I1081" s="26" t="str">
        <f aca="false">IF($A1081="","",N(INDEX(Workers!$L$5:$L$2004,MATCH($A1081,Workers!$A$5:$A$2004,0))))</f>
        <v/>
      </c>
      <c r="J1081" s="26" t="str">
        <f aca="false">IF($A1081="","",N(INDEX(Workers!$M$5:$M$2004,MATCH($A1081,Workers!$A$5:$A$2004,0))))</f>
        <v/>
      </c>
      <c r="K1081" s="26" t="str">
        <f aca="false">IF($A1081="","",IF(D1081="Monthly",ROUND(MAX(0,(I1081+J1081)-(I1081+J1081)/Settings!$B$10*H1081),2),0))</f>
        <v/>
      </c>
      <c r="L1081" s="26" t="str">
        <f aca="false">IF($A1081="","",IF(D1081="Hourly",ROUND(F1081*N(INDEX(Workers!$N$5:$N$2004,MATCH($A1081,Workers!$A$5:$A$2004,0))),2),0))</f>
        <v/>
      </c>
      <c r="M1081" s="26" t="str">
        <f aca="false">IF($A1081="","",ROUND(G1081*IF(D1081="Hourly",N(INDEX(Workers!$N$5:$N$2004,MATCH($A1081,Workers!$A$5:$A$2004,0))),I1081/Settings!$B$10/Settings!$B$12)*Settings!$B$13,2))</f>
        <v/>
      </c>
      <c r="N1081" s="26" t="str">
        <f aca="false">IF($A1081="","",K1081+L1081+M1081)</f>
        <v/>
      </c>
      <c r="O1081" s="26" t="str">
        <f aca="false">IF($A1081="","",SUMIFS(Deductions!$D$5:$D$2000,Deductions!$B$5:$B$2000,$A1081,Deductions!$C$5:$C$2000,"Advance",Deductions!$E$5:$E$2000,"&gt;="&amp;Settings!$B$8,Deductions!$E$5:$E$2000,"&lt;="&amp;Settings!$B$9))</f>
        <v/>
      </c>
      <c r="P1081" s="26" t="str">
        <f aca="false">IF($A1081="","",SUMIFS(Deductions!$D$5:$D$2000,Deductions!$B$5:$B$2000,$A1081,Deductions!$E$5:$E$2000,"&gt;="&amp;Settings!$B$8,Deductions!$E$5:$E$2000,"&lt;="&amp;Settings!$B$9)-O1081)</f>
        <v/>
      </c>
      <c r="Q1081" s="26" t="str">
        <f aca="false">IF($A1081="","",O1081+P1081)</f>
        <v/>
      </c>
      <c r="R1081" s="23" t="str">
        <f aca="false">IF($A1081="","",N1081-Q1081)</f>
        <v/>
      </c>
      <c r="S1081" s="24" t="str">
        <f aca="false">IF($A1081="","",INDEX(Workers!$O$5:$O$2004,MATCH($A1081,Workers!$A$5:$A$2004,0))&amp;"")</f>
        <v/>
      </c>
      <c r="T1081" s="24" t="str">
        <f aca="false">IF($A1081="","",INDEX(Workers!$P$5:$P$2004,MATCH($A1081,Workers!$A$5:$A$2004,0))&amp;"")</f>
        <v/>
      </c>
      <c r="U1081" s="24" t="str">
        <f aca="false">IF($A1081="","",INDEX(Workers!$H$5:$H$2004,MATCH($A1081,Workers!$A$5:$A$2004,0))&amp;"")</f>
        <v/>
      </c>
    </row>
    <row r="1082" customFormat="false" ht="15" hidden="false" customHeight="false" outlineLevel="0" collapsed="false">
      <c r="A1082" s="24" t="str">
        <f aca="false">IFERROR(INDEX(Workers!$A$5:$A$2004,MATCH(ROW()-4,Workers!$U$5:$U$2004,0)),"")</f>
        <v/>
      </c>
      <c r="B1082" s="24" t="str">
        <f aca="false">IF($A1082="","",INDEX(Workers!$B$5:$B$2004,MATCH($A1082,Workers!$A$5:$A$2004,0)))</f>
        <v/>
      </c>
      <c r="C1082" s="24" t="str">
        <f aca="false">IF($A1082="","",INDEX(Workers!$E$5:$E$2004,MATCH($A1082,Workers!$A$5:$A$2004,0)))</f>
        <v/>
      </c>
      <c r="D1082" s="24" t="str">
        <f aca="false">IF($A1082="","",INDEX(Workers!$K$5:$K$2004,MATCH($A1082,Workers!$A$5:$A$2004,0)))</f>
        <v/>
      </c>
      <c r="E1082" s="25" t="str">
        <f aca="false">IF($A1082="","",SUMIFS(Timesheet!$E$5:$E$3004,Timesheet!$D$5:$D$3004,$A1082,Timesheet!$A$5:$A$3004,"&gt;="&amp;Settings!$B$8,Timesheet!$A$5:$A$3004,"&lt;="&amp;Settings!$B$9))</f>
        <v/>
      </c>
      <c r="F1082" s="25" t="str">
        <f aca="false">IF($A1082="","",SUMIFS(Timesheet!$F$5:$F$3004,Timesheet!$D$5:$D$3004,$A1082,Timesheet!$A$5:$A$3004,"&gt;="&amp;Settings!$B$8,Timesheet!$A$5:$A$3004,"&lt;="&amp;Settings!$B$9))</f>
        <v/>
      </c>
      <c r="G1082" s="25" t="str">
        <f aca="false">IF($A1082="","",SUMIFS(Timesheet!$G$5:$G$3004,Timesheet!$D$5:$D$3004,$A1082,Timesheet!$A$5:$A$3004,"&gt;="&amp;Settings!$B$8,Timesheet!$A$5:$A$3004,"&lt;="&amp;Settings!$B$9))</f>
        <v/>
      </c>
      <c r="H1082" s="25" t="str">
        <f aca="false">IF($A1082="","",IF(D1082="Monthly",MAX(0,Settings!$B$11-E1082),0))</f>
        <v/>
      </c>
      <c r="I1082" s="26" t="str">
        <f aca="false">IF($A1082="","",N(INDEX(Workers!$L$5:$L$2004,MATCH($A1082,Workers!$A$5:$A$2004,0))))</f>
        <v/>
      </c>
      <c r="J1082" s="26" t="str">
        <f aca="false">IF($A1082="","",N(INDEX(Workers!$M$5:$M$2004,MATCH($A1082,Workers!$A$5:$A$2004,0))))</f>
        <v/>
      </c>
      <c r="K1082" s="26" t="str">
        <f aca="false">IF($A1082="","",IF(D1082="Monthly",ROUND(MAX(0,(I1082+J1082)-(I1082+J1082)/Settings!$B$10*H1082),2),0))</f>
        <v/>
      </c>
      <c r="L1082" s="26" t="str">
        <f aca="false">IF($A1082="","",IF(D1082="Hourly",ROUND(F1082*N(INDEX(Workers!$N$5:$N$2004,MATCH($A1082,Workers!$A$5:$A$2004,0))),2),0))</f>
        <v/>
      </c>
      <c r="M1082" s="26" t="str">
        <f aca="false">IF($A1082="","",ROUND(G1082*IF(D1082="Hourly",N(INDEX(Workers!$N$5:$N$2004,MATCH($A1082,Workers!$A$5:$A$2004,0))),I1082/Settings!$B$10/Settings!$B$12)*Settings!$B$13,2))</f>
        <v/>
      </c>
      <c r="N1082" s="26" t="str">
        <f aca="false">IF($A1082="","",K1082+L1082+M1082)</f>
        <v/>
      </c>
      <c r="O1082" s="26" t="str">
        <f aca="false">IF($A1082="","",SUMIFS(Deductions!$D$5:$D$2000,Deductions!$B$5:$B$2000,$A1082,Deductions!$C$5:$C$2000,"Advance",Deductions!$E$5:$E$2000,"&gt;="&amp;Settings!$B$8,Deductions!$E$5:$E$2000,"&lt;="&amp;Settings!$B$9))</f>
        <v/>
      </c>
      <c r="P1082" s="26" t="str">
        <f aca="false">IF($A1082="","",SUMIFS(Deductions!$D$5:$D$2000,Deductions!$B$5:$B$2000,$A1082,Deductions!$E$5:$E$2000,"&gt;="&amp;Settings!$B$8,Deductions!$E$5:$E$2000,"&lt;="&amp;Settings!$B$9)-O1082)</f>
        <v/>
      </c>
      <c r="Q1082" s="26" t="str">
        <f aca="false">IF($A1082="","",O1082+P1082)</f>
        <v/>
      </c>
      <c r="R1082" s="23" t="str">
        <f aca="false">IF($A1082="","",N1082-Q1082)</f>
        <v/>
      </c>
      <c r="S1082" s="24" t="str">
        <f aca="false">IF($A1082="","",INDEX(Workers!$O$5:$O$2004,MATCH($A1082,Workers!$A$5:$A$2004,0))&amp;"")</f>
        <v/>
      </c>
      <c r="T1082" s="24" t="str">
        <f aca="false">IF($A1082="","",INDEX(Workers!$P$5:$P$2004,MATCH($A1082,Workers!$A$5:$A$2004,0))&amp;"")</f>
        <v/>
      </c>
      <c r="U1082" s="24" t="str">
        <f aca="false">IF($A1082="","",INDEX(Workers!$H$5:$H$2004,MATCH($A1082,Workers!$A$5:$A$2004,0))&amp;"")</f>
        <v/>
      </c>
    </row>
    <row r="1083" customFormat="false" ht="15" hidden="false" customHeight="false" outlineLevel="0" collapsed="false">
      <c r="A1083" s="24" t="str">
        <f aca="false">IFERROR(INDEX(Workers!$A$5:$A$2004,MATCH(ROW()-4,Workers!$U$5:$U$2004,0)),"")</f>
        <v/>
      </c>
      <c r="B1083" s="24" t="str">
        <f aca="false">IF($A1083="","",INDEX(Workers!$B$5:$B$2004,MATCH($A1083,Workers!$A$5:$A$2004,0)))</f>
        <v/>
      </c>
      <c r="C1083" s="24" t="str">
        <f aca="false">IF($A1083="","",INDEX(Workers!$E$5:$E$2004,MATCH($A1083,Workers!$A$5:$A$2004,0)))</f>
        <v/>
      </c>
      <c r="D1083" s="24" t="str">
        <f aca="false">IF($A1083="","",INDEX(Workers!$K$5:$K$2004,MATCH($A1083,Workers!$A$5:$A$2004,0)))</f>
        <v/>
      </c>
      <c r="E1083" s="25" t="str">
        <f aca="false">IF($A1083="","",SUMIFS(Timesheet!$E$5:$E$3004,Timesheet!$D$5:$D$3004,$A1083,Timesheet!$A$5:$A$3004,"&gt;="&amp;Settings!$B$8,Timesheet!$A$5:$A$3004,"&lt;="&amp;Settings!$B$9))</f>
        <v/>
      </c>
      <c r="F1083" s="25" t="str">
        <f aca="false">IF($A1083="","",SUMIFS(Timesheet!$F$5:$F$3004,Timesheet!$D$5:$D$3004,$A1083,Timesheet!$A$5:$A$3004,"&gt;="&amp;Settings!$B$8,Timesheet!$A$5:$A$3004,"&lt;="&amp;Settings!$B$9))</f>
        <v/>
      </c>
      <c r="G1083" s="25" t="str">
        <f aca="false">IF($A1083="","",SUMIFS(Timesheet!$G$5:$G$3004,Timesheet!$D$5:$D$3004,$A1083,Timesheet!$A$5:$A$3004,"&gt;="&amp;Settings!$B$8,Timesheet!$A$5:$A$3004,"&lt;="&amp;Settings!$B$9))</f>
        <v/>
      </c>
      <c r="H1083" s="25" t="str">
        <f aca="false">IF($A1083="","",IF(D1083="Monthly",MAX(0,Settings!$B$11-E1083),0))</f>
        <v/>
      </c>
      <c r="I1083" s="26" t="str">
        <f aca="false">IF($A1083="","",N(INDEX(Workers!$L$5:$L$2004,MATCH($A1083,Workers!$A$5:$A$2004,0))))</f>
        <v/>
      </c>
      <c r="J1083" s="26" t="str">
        <f aca="false">IF($A1083="","",N(INDEX(Workers!$M$5:$M$2004,MATCH($A1083,Workers!$A$5:$A$2004,0))))</f>
        <v/>
      </c>
      <c r="K1083" s="26" t="str">
        <f aca="false">IF($A1083="","",IF(D1083="Monthly",ROUND(MAX(0,(I1083+J1083)-(I1083+J1083)/Settings!$B$10*H1083),2),0))</f>
        <v/>
      </c>
      <c r="L1083" s="26" t="str">
        <f aca="false">IF($A1083="","",IF(D1083="Hourly",ROUND(F1083*N(INDEX(Workers!$N$5:$N$2004,MATCH($A1083,Workers!$A$5:$A$2004,0))),2),0))</f>
        <v/>
      </c>
      <c r="M1083" s="26" t="str">
        <f aca="false">IF($A1083="","",ROUND(G1083*IF(D1083="Hourly",N(INDEX(Workers!$N$5:$N$2004,MATCH($A1083,Workers!$A$5:$A$2004,0))),I1083/Settings!$B$10/Settings!$B$12)*Settings!$B$13,2))</f>
        <v/>
      </c>
      <c r="N1083" s="26" t="str">
        <f aca="false">IF($A1083="","",K1083+L1083+M1083)</f>
        <v/>
      </c>
      <c r="O1083" s="26" t="str">
        <f aca="false">IF($A1083="","",SUMIFS(Deductions!$D$5:$D$2000,Deductions!$B$5:$B$2000,$A1083,Deductions!$C$5:$C$2000,"Advance",Deductions!$E$5:$E$2000,"&gt;="&amp;Settings!$B$8,Deductions!$E$5:$E$2000,"&lt;="&amp;Settings!$B$9))</f>
        <v/>
      </c>
      <c r="P1083" s="26" t="str">
        <f aca="false">IF($A1083="","",SUMIFS(Deductions!$D$5:$D$2000,Deductions!$B$5:$B$2000,$A1083,Deductions!$E$5:$E$2000,"&gt;="&amp;Settings!$B$8,Deductions!$E$5:$E$2000,"&lt;="&amp;Settings!$B$9)-O1083)</f>
        <v/>
      </c>
      <c r="Q1083" s="26" t="str">
        <f aca="false">IF($A1083="","",O1083+P1083)</f>
        <v/>
      </c>
      <c r="R1083" s="23" t="str">
        <f aca="false">IF($A1083="","",N1083-Q1083)</f>
        <v/>
      </c>
      <c r="S1083" s="24" t="str">
        <f aca="false">IF($A1083="","",INDEX(Workers!$O$5:$O$2004,MATCH($A1083,Workers!$A$5:$A$2004,0))&amp;"")</f>
        <v/>
      </c>
      <c r="T1083" s="24" t="str">
        <f aca="false">IF($A1083="","",INDEX(Workers!$P$5:$P$2004,MATCH($A1083,Workers!$A$5:$A$2004,0))&amp;"")</f>
        <v/>
      </c>
      <c r="U1083" s="24" t="str">
        <f aca="false">IF($A1083="","",INDEX(Workers!$H$5:$H$2004,MATCH($A1083,Workers!$A$5:$A$2004,0))&amp;"")</f>
        <v/>
      </c>
    </row>
    <row r="1084" customFormat="false" ht="15" hidden="false" customHeight="false" outlineLevel="0" collapsed="false">
      <c r="A1084" s="24" t="str">
        <f aca="false">IFERROR(INDEX(Workers!$A$5:$A$2004,MATCH(ROW()-4,Workers!$U$5:$U$2004,0)),"")</f>
        <v/>
      </c>
      <c r="B1084" s="24" t="str">
        <f aca="false">IF($A1084="","",INDEX(Workers!$B$5:$B$2004,MATCH($A1084,Workers!$A$5:$A$2004,0)))</f>
        <v/>
      </c>
      <c r="C1084" s="24" t="str">
        <f aca="false">IF($A1084="","",INDEX(Workers!$E$5:$E$2004,MATCH($A1084,Workers!$A$5:$A$2004,0)))</f>
        <v/>
      </c>
      <c r="D1084" s="24" t="str">
        <f aca="false">IF($A1084="","",INDEX(Workers!$K$5:$K$2004,MATCH($A1084,Workers!$A$5:$A$2004,0)))</f>
        <v/>
      </c>
      <c r="E1084" s="25" t="str">
        <f aca="false">IF($A1084="","",SUMIFS(Timesheet!$E$5:$E$3004,Timesheet!$D$5:$D$3004,$A1084,Timesheet!$A$5:$A$3004,"&gt;="&amp;Settings!$B$8,Timesheet!$A$5:$A$3004,"&lt;="&amp;Settings!$B$9))</f>
        <v/>
      </c>
      <c r="F1084" s="25" t="str">
        <f aca="false">IF($A1084="","",SUMIFS(Timesheet!$F$5:$F$3004,Timesheet!$D$5:$D$3004,$A1084,Timesheet!$A$5:$A$3004,"&gt;="&amp;Settings!$B$8,Timesheet!$A$5:$A$3004,"&lt;="&amp;Settings!$B$9))</f>
        <v/>
      </c>
      <c r="G1084" s="25" t="str">
        <f aca="false">IF($A1084="","",SUMIFS(Timesheet!$G$5:$G$3004,Timesheet!$D$5:$D$3004,$A1084,Timesheet!$A$5:$A$3004,"&gt;="&amp;Settings!$B$8,Timesheet!$A$5:$A$3004,"&lt;="&amp;Settings!$B$9))</f>
        <v/>
      </c>
      <c r="H1084" s="25" t="str">
        <f aca="false">IF($A1084="","",IF(D1084="Monthly",MAX(0,Settings!$B$11-E1084),0))</f>
        <v/>
      </c>
      <c r="I1084" s="26" t="str">
        <f aca="false">IF($A1084="","",N(INDEX(Workers!$L$5:$L$2004,MATCH($A1084,Workers!$A$5:$A$2004,0))))</f>
        <v/>
      </c>
      <c r="J1084" s="26" t="str">
        <f aca="false">IF($A1084="","",N(INDEX(Workers!$M$5:$M$2004,MATCH($A1084,Workers!$A$5:$A$2004,0))))</f>
        <v/>
      </c>
      <c r="K1084" s="26" t="str">
        <f aca="false">IF($A1084="","",IF(D1084="Monthly",ROUND(MAX(0,(I1084+J1084)-(I1084+J1084)/Settings!$B$10*H1084),2),0))</f>
        <v/>
      </c>
      <c r="L1084" s="26" t="str">
        <f aca="false">IF($A1084="","",IF(D1084="Hourly",ROUND(F1084*N(INDEX(Workers!$N$5:$N$2004,MATCH($A1084,Workers!$A$5:$A$2004,0))),2),0))</f>
        <v/>
      </c>
      <c r="M1084" s="26" t="str">
        <f aca="false">IF($A1084="","",ROUND(G1084*IF(D1084="Hourly",N(INDEX(Workers!$N$5:$N$2004,MATCH($A1084,Workers!$A$5:$A$2004,0))),I1084/Settings!$B$10/Settings!$B$12)*Settings!$B$13,2))</f>
        <v/>
      </c>
      <c r="N1084" s="26" t="str">
        <f aca="false">IF($A1084="","",K1084+L1084+M1084)</f>
        <v/>
      </c>
      <c r="O1084" s="26" t="str">
        <f aca="false">IF($A1084="","",SUMIFS(Deductions!$D$5:$D$2000,Deductions!$B$5:$B$2000,$A1084,Deductions!$C$5:$C$2000,"Advance",Deductions!$E$5:$E$2000,"&gt;="&amp;Settings!$B$8,Deductions!$E$5:$E$2000,"&lt;="&amp;Settings!$B$9))</f>
        <v/>
      </c>
      <c r="P1084" s="26" t="str">
        <f aca="false">IF($A1084="","",SUMIFS(Deductions!$D$5:$D$2000,Deductions!$B$5:$B$2000,$A1084,Deductions!$E$5:$E$2000,"&gt;="&amp;Settings!$B$8,Deductions!$E$5:$E$2000,"&lt;="&amp;Settings!$B$9)-O1084)</f>
        <v/>
      </c>
      <c r="Q1084" s="26" t="str">
        <f aca="false">IF($A1084="","",O1084+P1084)</f>
        <v/>
      </c>
      <c r="R1084" s="23" t="str">
        <f aca="false">IF($A1084="","",N1084-Q1084)</f>
        <v/>
      </c>
      <c r="S1084" s="24" t="str">
        <f aca="false">IF($A1084="","",INDEX(Workers!$O$5:$O$2004,MATCH($A1084,Workers!$A$5:$A$2004,0))&amp;"")</f>
        <v/>
      </c>
      <c r="T1084" s="24" t="str">
        <f aca="false">IF($A1084="","",INDEX(Workers!$P$5:$P$2004,MATCH($A1084,Workers!$A$5:$A$2004,0))&amp;"")</f>
        <v/>
      </c>
      <c r="U1084" s="24" t="str">
        <f aca="false">IF($A1084="","",INDEX(Workers!$H$5:$H$2004,MATCH($A1084,Workers!$A$5:$A$2004,0))&amp;"")</f>
        <v/>
      </c>
    </row>
    <row r="1085" customFormat="false" ht="15" hidden="false" customHeight="false" outlineLevel="0" collapsed="false">
      <c r="A1085" s="24" t="str">
        <f aca="false">IFERROR(INDEX(Workers!$A$5:$A$2004,MATCH(ROW()-4,Workers!$U$5:$U$2004,0)),"")</f>
        <v/>
      </c>
      <c r="B1085" s="24" t="str">
        <f aca="false">IF($A1085="","",INDEX(Workers!$B$5:$B$2004,MATCH($A1085,Workers!$A$5:$A$2004,0)))</f>
        <v/>
      </c>
      <c r="C1085" s="24" t="str">
        <f aca="false">IF($A1085="","",INDEX(Workers!$E$5:$E$2004,MATCH($A1085,Workers!$A$5:$A$2004,0)))</f>
        <v/>
      </c>
      <c r="D1085" s="24" t="str">
        <f aca="false">IF($A1085="","",INDEX(Workers!$K$5:$K$2004,MATCH($A1085,Workers!$A$5:$A$2004,0)))</f>
        <v/>
      </c>
      <c r="E1085" s="25" t="str">
        <f aca="false">IF($A1085="","",SUMIFS(Timesheet!$E$5:$E$3004,Timesheet!$D$5:$D$3004,$A1085,Timesheet!$A$5:$A$3004,"&gt;="&amp;Settings!$B$8,Timesheet!$A$5:$A$3004,"&lt;="&amp;Settings!$B$9))</f>
        <v/>
      </c>
      <c r="F1085" s="25" t="str">
        <f aca="false">IF($A1085="","",SUMIFS(Timesheet!$F$5:$F$3004,Timesheet!$D$5:$D$3004,$A1085,Timesheet!$A$5:$A$3004,"&gt;="&amp;Settings!$B$8,Timesheet!$A$5:$A$3004,"&lt;="&amp;Settings!$B$9))</f>
        <v/>
      </c>
      <c r="G1085" s="25" t="str">
        <f aca="false">IF($A1085="","",SUMIFS(Timesheet!$G$5:$G$3004,Timesheet!$D$5:$D$3004,$A1085,Timesheet!$A$5:$A$3004,"&gt;="&amp;Settings!$B$8,Timesheet!$A$5:$A$3004,"&lt;="&amp;Settings!$B$9))</f>
        <v/>
      </c>
      <c r="H1085" s="25" t="str">
        <f aca="false">IF($A1085="","",IF(D1085="Monthly",MAX(0,Settings!$B$11-E1085),0))</f>
        <v/>
      </c>
      <c r="I1085" s="26" t="str">
        <f aca="false">IF($A1085="","",N(INDEX(Workers!$L$5:$L$2004,MATCH($A1085,Workers!$A$5:$A$2004,0))))</f>
        <v/>
      </c>
      <c r="J1085" s="26" t="str">
        <f aca="false">IF($A1085="","",N(INDEX(Workers!$M$5:$M$2004,MATCH($A1085,Workers!$A$5:$A$2004,0))))</f>
        <v/>
      </c>
      <c r="K1085" s="26" t="str">
        <f aca="false">IF($A1085="","",IF(D1085="Monthly",ROUND(MAX(0,(I1085+J1085)-(I1085+J1085)/Settings!$B$10*H1085),2),0))</f>
        <v/>
      </c>
      <c r="L1085" s="26" t="str">
        <f aca="false">IF($A1085="","",IF(D1085="Hourly",ROUND(F1085*N(INDEX(Workers!$N$5:$N$2004,MATCH($A1085,Workers!$A$5:$A$2004,0))),2),0))</f>
        <v/>
      </c>
      <c r="M1085" s="26" t="str">
        <f aca="false">IF($A1085="","",ROUND(G1085*IF(D1085="Hourly",N(INDEX(Workers!$N$5:$N$2004,MATCH($A1085,Workers!$A$5:$A$2004,0))),I1085/Settings!$B$10/Settings!$B$12)*Settings!$B$13,2))</f>
        <v/>
      </c>
      <c r="N1085" s="26" t="str">
        <f aca="false">IF($A1085="","",K1085+L1085+M1085)</f>
        <v/>
      </c>
      <c r="O1085" s="26" t="str">
        <f aca="false">IF($A1085="","",SUMIFS(Deductions!$D$5:$D$2000,Deductions!$B$5:$B$2000,$A1085,Deductions!$C$5:$C$2000,"Advance",Deductions!$E$5:$E$2000,"&gt;="&amp;Settings!$B$8,Deductions!$E$5:$E$2000,"&lt;="&amp;Settings!$B$9))</f>
        <v/>
      </c>
      <c r="P1085" s="26" t="str">
        <f aca="false">IF($A1085="","",SUMIFS(Deductions!$D$5:$D$2000,Deductions!$B$5:$B$2000,$A1085,Deductions!$E$5:$E$2000,"&gt;="&amp;Settings!$B$8,Deductions!$E$5:$E$2000,"&lt;="&amp;Settings!$B$9)-O1085)</f>
        <v/>
      </c>
      <c r="Q1085" s="26" t="str">
        <f aca="false">IF($A1085="","",O1085+P1085)</f>
        <v/>
      </c>
      <c r="R1085" s="23" t="str">
        <f aca="false">IF($A1085="","",N1085-Q1085)</f>
        <v/>
      </c>
      <c r="S1085" s="24" t="str">
        <f aca="false">IF($A1085="","",INDEX(Workers!$O$5:$O$2004,MATCH($A1085,Workers!$A$5:$A$2004,0))&amp;"")</f>
        <v/>
      </c>
      <c r="T1085" s="24" t="str">
        <f aca="false">IF($A1085="","",INDEX(Workers!$P$5:$P$2004,MATCH($A1085,Workers!$A$5:$A$2004,0))&amp;"")</f>
        <v/>
      </c>
      <c r="U1085" s="24" t="str">
        <f aca="false">IF($A1085="","",INDEX(Workers!$H$5:$H$2004,MATCH($A1085,Workers!$A$5:$A$2004,0))&amp;"")</f>
        <v/>
      </c>
    </row>
    <row r="1086" customFormat="false" ht="15" hidden="false" customHeight="false" outlineLevel="0" collapsed="false">
      <c r="A1086" s="24" t="str">
        <f aca="false">IFERROR(INDEX(Workers!$A$5:$A$2004,MATCH(ROW()-4,Workers!$U$5:$U$2004,0)),"")</f>
        <v/>
      </c>
      <c r="B1086" s="24" t="str">
        <f aca="false">IF($A1086="","",INDEX(Workers!$B$5:$B$2004,MATCH($A1086,Workers!$A$5:$A$2004,0)))</f>
        <v/>
      </c>
      <c r="C1086" s="24" t="str">
        <f aca="false">IF($A1086="","",INDEX(Workers!$E$5:$E$2004,MATCH($A1086,Workers!$A$5:$A$2004,0)))</f>
        <v/>
      </c>
      <c r="D1086" s="24" t="str">
        <f aca="false">IF($A1086="","",INDEX(Workers!$K$5:$K$2004,MATCH($A1086,Workers!$A$5:$A$2004,0)))</f>
        <v/>
      </c>
      <c r="E1086" s="25" t="str">
        <f aca="false">IF($A1086="","",SUMIFS(Timesheet!$E$5:$E$3004,Timesheet!$D$5:$D$3004,$A1086,Timesheet!$A$5:$A$3004,"&gt;="&amp;Settings!$B$8,Timesheet!$A$5:$A$3004,"&lt;="&amp;Settings!$B$9))</f>
        <v/>
      </c>
      <c r="F1086" s="25" t="str">
        <f aca="false">IF($A1086="","",SUMIFS(Timesheet!$F$5:$F$3004,Timesheet!$D$5:$D$3004,$A1086,Timesheet!$A$5:$A$3004,"&gt;="&amp;Settings!$B$8,Timesheet!$A$5:$A$3004,"&lt;="&amp;Settings!$B$9))</f>
        <v/>
      </c>
      <c r="G1086" s="25" t="str">
        <f aca="false">IF($A1086="","",SUMIFS(Timesheet!$G$5:$G$3004,Timesheet!$D$5:$D$3004,$A1086,Timesheet!$A$5:$A$3004,"&gt;="&amp;Settings!$B$8,Timesheet!$A$5:$A$3004,"&lt;="&amp;Settings!$B$9))</f>
        <v/>
      </c>
      <c r="H1086" s="25" t="str">
        <f aca="false">IF($A1086="","",IF(D1086="Monthly",MAX(0,Settings!$B$11-E1086),0))</f>
        <v/>
      </c>
      <c r="I1086" s="26" t="str">
        <f aca="false">IF($A1086="","",N(INDEX(Workers!$L$5:$L$2004,MATCH($A1086,Workers!$A$5:$A$2004,0))))</f>
        <v/>
      </c>
      <c r="J1086" s="26" t="str">
        <f aca="false">IF($A1086="","",N(INDEX(Workers!$M$5:$M$2004,MATCH($A1086,Workers!$A$5:$A$2004,0))))</f>
        <v/>
      </c>
      <c r="K1086" s="26" t="str">
        <f aca="false">IF($A1086="","",IF(D1086="Monthly",ROUND(MAX(0,(I1086+J1086)-(I1086+J1086)/Settings!$B$10*H1086),2),0))</f>
        <v/>
      </c>
      <c r="L1086" s="26" t="str">
        <f aca="false">IF($A1086="","",IF(D1086="Hourly",ROUND(F1086*N(INDEX(Workers!$N$5:$N$2004,MATCH($A1086,Workers!$A$5:$A$2004,0))),2),0))</f>
        <v/>
      </c>
      <c r="M1086" s="26" t="str">
        <f aca="false">IF($A1086="","",ROUND(G1086*IF(D1086="Hourly",N(INDEX(Workers!$N$5:$N$2004,MATCH($A1086,Workers!$A$5:$A$2004,0))),I1086/Settings!$B$10/Settings!$B$12)*Settings!$B$13,2))</f>
        <v/>
      </c>
      <c r="N1086" s="26" t="str">
        <f aca="false">IF($A1086="","",K1086+L1086+M1086)</f>
        <v/>
      </c>
      <c r="O1086" s="26" t="str">
        <f aca="false">IF($A1086="","",SUMIFS(Deductions!$D$5:$D$2000,Deductions!$B$5:$B$2000,$A1086,Deductions!$C$5:$C$2000,"Advance",Deductions!$E$5:$E$2000,"&gt;="&amp;Settings!$B$8,Deductions!$E$5:$E$2000,"&lt;="&amp;Settings!$B$9))</f>
        <v/>
      </c>
      <c r="P1086" s="26" t="str">
        <f aca="false">IF($A1086="","",SUMIFS(Deductions!$D$5:$D$2000,Deductions!$B$5:$B$2000,$A1086,Deductions!$E$5:$E$2000,"&gt;="&amp;Settings!$B$8,Deductions!$E$5:$E$2000,"&lt;="&amp;Settings!$B$9)-O1086)</f>
        <v/>
      </c>
      <c r="Q1086" s="26" t="str">
        <f aca="false">IF($A1086="","",O1086+P1086)</f>
        <v/>
      </c>
      <c r="R1086" s="23" t="str">
        <f aca="false">IF($A1086="","",N1086-Q1086)</f>
        <v/>
      </c>
      <c r="S1086" s="24" t="str">
        <f aca="false">IF($A1086="","",INDEX(Workers!$O$5:$O$2004,MATCH($A1086,Workers!$A$5:$A$2004,0))&amp;"")</f>
        <v/>
      </c>
      <c r="T1086" s="24" t="str">
        <f aca="false">IF($A1086="","",INDEX(Workers!$P$5:$P$2004,MATCH($A1086,Workers!$A$5:$A$2004,0))&amp;"")</f>
        <v/>
      </c>
      <c r="U1086" s="24" t="str">
        <f aca="false">IF($A1086="","",INDEX(Workers!$H$5:$H$2004,MATCH($A1086,Workers!$A$5:$A$2004,0))&amp;"")</f>
        <v/>
      </c>
    </row>
    <row r="1087" customFormat="false" ht="15" hidden="false" customHeight="false" outlineLevel="0" collapsed="false">
      <c r="A1087" s="24" t="str">
        <f aca="false">IFERROR(INDEX(Workers!$A$5:$A$2004,MATCH(ROW()-4,Workers!$U$5:$U$2004,0)),"")</f>
        <v/>
      </c>
      <c r="B1087" s="24" t="str">
        <f aca="false">IF($A1087="","",INDEX(Workers!$B$5:$B$2004,MATCH($A1087,Workers!$A$5:$A$2004,0)))</f>
        <v/>
      </c>
      <c r="C1087" s="24" t="str">
        <f aca="false">IF($A1087="","",INDEX(Workers!$E$5:$E$2004,MATCH($A1087,Workers!$A$5:$A$2004,0)))</f>
        <v/>
      </c>
      <c r="D1087" s="24" t="str">
        <f aca="false">IF($A1087="","",INDEX(Workers!$K$5:$K$2004,MATCH($A1087,Workers!$A$5:$A$2004,0)))</f>
        <v/>
      </c>
      <c r="E1087" s="25" t="str">
        <f aca="false">IF($A1087="","",SUMIFS(Timesheet!$E$5:$E$3004,Timesheet!$D$5:$D$3004,$A1087,Timesheet!$A$5:$A$3004,"&gt;="&amp;Settings!$B$8,Timesheet!$A$5:$A$3004,"&lt;="&amp;Settings!$B$9))</f>
        <v/>
      </c>
      <c r="F1087" s="25" t="str">
        <f aca="false">IF($A1087="","",SUMIFS(Timesheet!$F$5:$F$3004,Timesheet!$D$5:$D$3004,$A1087,Timesheet!$A$5:$A$3004,"&gt;="&amp;Settings!$B$8,Timesheet!$A$5:$A$3004,"&lt;="&amp;Settings!$B$9))</f>
        <v/>
      </c>
      <c r="G1087" s="25" t="str">
        <f aca="false">IF($A1087="","",SUMIFS(Timesheet!$G$5:$G$3004,Timesheet!$D$5:$D$3004,$A1087,Timesheet!$A$5:$A$3004,"&gt;="&amp;Settings!$B$8,Timesheet!$A$5:$A$3004,"&lt;="&amp;Settings!$B$9))</f>
        <v/>
      </c>
      <c r="H1087" s="25" t="str">
        <f aca="false">IF($A1087="","",IF(D1087="Monthly",MAX(0,Settings!$B$11-E1087),0))</f>
        <v/>
      </c>
      <c r="I1087" s="26" t="str">
        <f aca="false">IF($A1087="","",N(INDEX(Workers!$L$5:$L$2004,MATCH($A1087,Workers!$A$5:$A$2004,0))))</f>
        <v/>
      </c>
      <c r="J1087" s="26" t="str">
        <f aca="false">IF($A1087="","",N(INDEX(Workers!$M$5:$M$2004,MATCH($A1087,Workers!$A$5:$A$2004,0))))</f>
        <v/>
      </c>
      <c r="K1087" s="26" t="str">
        <f aca="false">IF($A1087="","",IF(D1087="Monthly",ROUND(MAX(0,(I1087+J1087)-(I1087+J1087)/Settings!$B$10*H1087),2),0))</f>
        <v/>
      </c>
      <c r="L1087" s="26" t="str">
        <f aca="false">IF($A1087="","",IF(D1087="Hourly",ROUND(F1087*N(INDEX(Workers!$N$5:$N$2004,MATCH($A1087,Workers!$A$5:$A$2004,0))),2),0))</f>
        <v/>
      </c>
      <c r="M1087" s="26" t="str">
        <f aca="false">IF($A1087="","",ROUND(G1087*IF(D1087="Hourly",N(INDEX(Workers!$N$5:$N$2004,MATCH($A1087,Workers!$A$5:$A$2004,0))),I1087/Settings!$B$10/Settings!$B$12)*Settings!$B$13,2))</f>
        <v/>
      </c>
      <c r="N1087" s="26" t="str">
        <f aca="false">IF($A1087="","",K1087+L1087+M1087)</f>
        <v/>
      </c>
      <c r="O1087" s="26" t="str">
        <f aca="false">IF($A1087="","",SUMIFS(Deductions!$D$5:$D$2000,Deductions!$B$5:$B$2000,$A1087,Deductions!$C$5:$C$2000,"Advance",Deductions!$E$5:$E$2000,"&gt;="&amp;Settings!$B$8,Deductions!$E$5:$E$2000,"&lt;="&amp;Settings!$B$9))</f>
        <v/>
      </c>
      <c r="P1087" s="26" t="str">
        <f aca="false">IF($A1087="","",SUMIFS(Deductions!$D$5:$D$2000,Deductions!$B$5:$B$2000,$A1087,Deductions!$E$5:$E$2000,"&gt;="&amp;Settings!$B$8,Deductions!$E$5:$E$2000,"&lt;="&amp;Settings!$B$9)-O1087)</f>
        <v/>
      </c>
      <c r="Q1087" s="26" t="str">
        <f aca="false">IF($A1087="","",O1087+P1087)</f>
        <v/>
      </c>
      <c r="R1087" s="23" t="str">
        <f aca="false">IF($A1087="","",N1087-Q1087)</f>
        <v/>
      </c>
      <c r="S1087" s="24" t="str">
        <f aca="false">IF($A1087="","",INDEX(Workers!$O$5:$O$2004,MATCH($A1087,Workers!$A$5:$A$2004,0))&amp;"")</f>
        <v/>
      </c>
      <c r="T1087" s="24" t="str">
        <f aca="false">IF($A1087="","",INDEX(Workers!$P$5:$P$2004,MATCH($A1087,Workers!$A$5:$A$2004,0))&amp;"")</f>
        <v/>
      </c>
      <c r="U1087" s="24" t="str">
        <f aca="false">IF($A1087="","",INDEX(Workers!$H$5:$H$2004,MATCH($A1087,Workers!$A$5:$A$2004,0))&amp;"")</f>
        <v/>
      </c>
    </row>
    <row r="1088" customFormat="false" ht="15" hidden="false" customHeight="false" outlineLevel="0" collapsed="false">
      <c r="A1088" s="24" t="str">
        <f aca="false">IFERROR(INDEX(Workers!$A$5:$A$2004,MATCH(ROW()-4,Workers!$U$5:$U$2004,0)),"")</f>
        <v/>
      </c>
      <c r="B1088" s="24" t="str">
        <f aca="false">IF($A1088="","",INDEX(Workers!$B$5:$B$2004,MATCH($A1088,Workers!$A$5:$A$2004,0)))</f>
        <v/>
      </c>
      <c r="C1088" s="24" t="str">
        <f aca="false">IF($A1088="","",INDEX(Workers!$E$5:$E$2004,MATCH($A1088,Workers!$A$5:$A$2004,0)))</f>
        <v/>
      </c>
      <c r="D1088" s="24" t="str">
        <f aca="false">IF($A1088="","",INDEX(Workers!$K$5:$K$2004,MATCH($A1088,Workers!$A$5:$A$2004,0)))</f>
        <v/>
      </c>
      <c r="E1088" s="25" t="str">
        <f aca="false">IF($A1088="","",SUMIFS(Timesheet!$E$5:$E$3004,Timesheet!$D$5:$D$3004,$A1088,Timesheet!$A$5:$A$3004,"&gt;="&amp;Settings!$B$8,Timesheet!$A$5:$A$3004,"&lt;="&amp;Settings!$B$9))</f>
        <v/>
      </c>
      <c r="F1088" s="25" t="str">
        <f aca="false">IF($A1088="","",SUMIFS(Timesheet!$F$5:$F$3004,Timesheet!$D$5:$D$3004,$A1088,Timesheet!$A$5:$A$3004,"&gt;="&amp;Settings!$B$8,Timesheet!$A$5:$A$3004,"&lt;="&amp;Settings!$B$9))</f>
        <v/>
      </c>
      <c r="G1088" s="25" t="str">
        <f aca="false">IF($A1088="","",SUMIFS(Timesheet!$G$5:$G$3004,Timesheet!$D$5:$D$3004,$A1088,Timesheet!$A$5:$A$3004,"&gt;="&amp;Settings!$B$8,Timesheet!$A$5:$A$3004,"&lt;="&amp;Settings!$B$9))</f>
        <v/>
      </c>
      <c r="H1088" s="25" t="str">
        <f aca="false">IF($A1088="","",IF(D1088="Monthly",MAX(0,Settings!$B$11-E1088),0))</f>
        <v/>
      </c>
      <c r="I1088" s="26" t="str">
        <f aca="false">IF($A1088="","",N(INDEX(Workers!$L$5:$L$2004,MATCH($A1088,Workers!$A$5:$A$2004,0))))</f>
        <v/>
      </c>
      <c r="J1088" s="26" t="str">
        <f aca="false">IF($A1088="","",N(INDEX(Workers!$M$5:$M$2004,MATCH($A1088,Workers!$A$5:$A$2004,0))))</f>
        <v/>
      </c>
      <c r="K1088" s="26" t="str">
        <f aca="false">IF($A1088="","",IF(D1088="Monthly",ROUND(MAX(0,(I1088+J1088)-(I1088+J1088)/Settings!$B$10*H1088),2),0))</f>
        <v/>
      </c>
      <c r="L1088" s="26" t="str">
        <f aca="false">IF($A1088="","",IF(D1088="Hourly",ROUND(F1088*N(INDEX(Workers!$N$5:$N$2004,MATCH($A1088,Workers!$A$5:$A$2004,0))),2),0))</f>
        <v/>
      </c>
      <c r="M1088" s="26" t="str">
        <f aca="false">IF($A1088="","",ROUND(G1088*IF(D1088="Hourly",N(INDEX(Workers!$N$5:$N$2004,MATCH($A1088,Workers!$A$5:$A$2004,0))),I1088/Settings!$B$10/Settings!$B$12)*Settings!$B$13,2))</f>
        <v/>
      </c>
      <c r="N1088" s="26" t="str">
        <f aca="false">IF($A1088="","",K1088+L1088+M1088)</f>
        <v/>
      </c>
      <c r="O1088" s="26" t="str">
        <f aca="false">IF($A1088="","",SUMIFS(Deductions!$D$5:$D$2000,Deductions!$B$5:$B$2000,$A1088,Deductions!$C$5:$C$2000,"Advance",Deductions!$E$5:$E$2000,"&gt;="&amp;Settings!$B$8,Deductions!$E$5:$E$2000,"&lt;="&amp;Settings!$B$9))</f>
        <v/>
      </c>
      <c r="P1088" s="26" t="str">
        <f aca="false">IF($A1088="","",SUMIFS(Deductions!$D$5:$D$2000,Deductions!$B$5:$B$2000,$A1088,Deductions!$E$5:$E$2000,"&gt;="&amp;Settings!$B$8,Deductions!$E$5:$E$2000,"&lt;="&amp;Settings!$B$9)-O1088)</f>
        <v/>
      </c>
      <c r="Q1088" s="26" t="str">
        <f aca="false">IF($A1088="","",O1088+P1088)</f>
        <v/>
      </c>
      <c r="R1088" s="23" t="str">
        <f aca="false">IF($A1088="","",N1088-Q1088)</f>
        <v/>
      </c>
      <c r="S1088" s="24" t="str">
        <f aca="false">IF($A1088="","",INDEX(Workers!$O$5:$O$2004,MATCH($A1088,Workers!$A$5:$A$2004,0))&amp;"")</f>
        <v/>
      </c>
      <c r="T1088" s="24" t="str">
        <f aca="false">IF($A1088="","",INDEX(Workers!$P$5:$P$2004,MATCH($A1088,Workers!$A$5:$A$2004,0))&amp;"")</f>
        <v/>
      </c>
      <c r="U1088" s="24" t="str">
        <f aca="false">IF($A1088="","",INDEX(Workers!$H$5:$H$2004,MATCH($A1088,Workers!$A$5:$A$2004,0))&amp;"")</f>
        <v/>
      </c>
    </row>
    <row r="1089" customFormat="false" ht="15" hidden="false" customHeight="false" outlineLevel="0" collapsed="false">
      <c r="A1089" s="24" t="str">
        <f aca="false">IFERROR(INDEX(Workers!$A$5:$A$2004,MATCH(ROW()-4,Workers!$U$5:$U$2004,0)),"")</f>
        <v/>
      </c>
      <c r="B1089" s="24" t="str">
        <f aca="false">IF($A1089="","",INDEX(Workers!$B$5:$B$2004,MATCH($A1089,Workers!$A$5:$A$2004,0)))</f>
        <v/>
      </c>
      <c r="C1089" s="24" t="str">
        <f aca="false">IF($A1089="","",INDEX(Workers!$E$5:$E$2004,MATCH($A1089,Workers!$A$5:$A$2004,0)))</f>
        <v/>
      </c>
      <c r="D1089" s="24" t="str">
        <f aca="false">IF($A1089="","",INDEX(Workers!$K$5:$K$2004,MATCH($A1089,Workers!$A$5:$A$2004,0)))</f>
        <v/>
      </c>
      <c r="E1089" s="25" t="str">
        <f aca="false">IF($A1089="","",SUMIFS(Timesheet!$E$5:$E$3004,Timesheet!$D$5:$D$3004,$A1089,Timesheet!$A$5:$A$3004,"&gt;="&amp;Settings!$B$8,Timesheet!$A$5:$A$3004,"&lt;="&amp;Settings!$B$9))</f>
        <v/>
      </c>
      <c r="F1089" s="25" t="str">
        <f aca="false">IF($A1089="","",SUMIFS(Timesheet!$F$5:$F$3004,Timesheet!$D$5:$D$3004,$A1089,Timesheet!$A$5:$A$3004,"&gt;="&amp;Settings!$B$8,Timesheet!$A$5:$A$3004,"&lt;="&amp;Settings!$B$9))</f>
        <v/>
      </c>
      <c r="G1089" s="25" t="str">
        <f aca="false">IF($A1089="","",SUMIFS(Timesheet!$G$5:$G$3004,Timesheet!$D$5:$D$3004,$A1089,Timesheet!$A$5:$A$3004,"&gt;="&amp;Settings!$B$8,Timesheet!$A$5:$A$3004,"&lt;="&amp;Settings!$B$9))</f>
        <v/>
      </c>
      <c r="H1089" s="25" t="str">
        <f aca="false">IF($A1089="","",IF(D1089="Monthly",MAX(0,Settings!$B$11-E1089),0))</f>
        <v/>
      </c>
      <c r="I1089" s="26" t="str">
        <f aca="false">IF($A1089="","",N(INDEX(Workers!$L$5:$L$2004,MATCH($A1089,Workers!$A$5:$A$2004,0))))</f>
        <v/>
      </c>
      <c r="J1089" s="26" t="str">
        <f aca="false">IF($A1089="","",N(INDEX(Workers!$M$5:$M$2004,MATCH($A1089,Workers!$A$5:$A$2004,0))))</f>
        <v/>
      </c>
      <c r="K1089" s="26" t="str">
        <f aca="false">IF($A1089="","",IF(D1089="Monthly",ROUND(MAX(0,(I1089+J1089)-(I1089+J1089)/Settings!$B$10*H1089),2),0))</f>
        <v/>
      </c>
      <c r="L1089" s="26" t="str">
        <f aca="false">IF($A1089="","",IF(D1089="Hourly",ROUND(F1089*N(INDEX(Workers!$N$5:$N$2004,MATCH($A1089,Workers!$A$5:$A$2004,0))),2),0))</f>
        <v/>
      </c>
      <c r="M1089" s="26" t="str">
        <f aca="false">IF($A1089="","",ROUND(G1089*IF(D1089="Hourly",N(INDEX(Workers!$N$5:$N$2004,MATCH($A1089,Workers!$A$5:$A$2004,0))),I1089/Settings!$B$10/Settings!$B$12)*Settings!$B$13,2))</f>
        <v/>
      </c>
      <c r="N1089" s="26" t="str">
        <f aca="false">IF($A1089="","",K1089+L1089+M1089)</f>
        <v/>
      </c>
      <c r="O1089" s="26" t="str">
        <f aca="false">IF($A1089="","",SUMIFS(Deductions!$D$5:$D$2000,Deductions!$B$5:$B$2000,$A1089,Deductions!$C$5:$C$2000,"Advance",Deductions!$E$5:$E$2000,"&gt;="&amp;Settings!$B$8,Deductions!$E$5:$E$2000,"&lt;="&amp;Settings!$B$9))</f>
        <v/>
      </c>
      <c r="P1089" s="26" t="str">
        <f aca="false">IF($A1089="","",SUMIFS(Deductions!$D$5:$D$2000,Deductions!$B$5:$B$2000,$A1089,Deductions!$E$5:$E$2000,"&gt;="&amp;Settings!$B$8,Deductions!$E$5:$E$2000,"&lt;="&amp;Settings!$B$9)-O1089)</f>
        <v/>
      </c>
      <c r="Q1089" s="26" t="str">
        <f aca="false">IF($A1089="","",O1089+P1089)</f>
        <v/>
      </c>
      <c r="R1089" s="23" t="str">
        <f aca="false">IF($A1089="","",N1089-Q1089)</f>
        <v/>
      </c>
      <c r="S1089" s="24" t="str">
        <f aca="false">IF($A1089="","",INDEX(Workers!$O$5:$O$2004,MATCH($A1089,Workers!$A$5:$A$2004,0))&amp;"")</f>
        <v/>
      </c>
      <c r="T1089" s="24" t="str">
        <f aca="false">IF($A1089="","",INDEX(Workers!$P$5:$P$2004,MATCH($A1089,Workers!$A$5:$A$2004,0))&amp;"")</f>
        <v/>
      </c>
      <c r="U1089" s="24" t="str">
        <f aca="false">IF($A1089="","",INDEX(Workers!$H$5:$H$2004,MATCH($A1089,Workers!$A$5:$A$2004,0))&amp;"")</f>
        <v/>
      </c>
    </row>
    <row r="1090" customFormat="false" ht="15" hidden="false" customHeight="false" outlineLevel="0" collapsed="false">
      <c r="A1090" s="24" t="str">
        <f aca="false">IFERROR(INDEX(Workers!$A$5:$A$2004,MATCH(ROW()-4,Workers!$U$5:$U$2004,0)),"")</f>
        <v/>
      </c>
      <c r="B1090" s="24" t="str">
        <f aca="false">IF($A1090="","",INDEX(Workers!$B$5:$B$2004,MATCH($A1090,Workers!$A$5:$A$2004,0)))</f>
        <v/>
      </c>
      <c r="C1090" s="24" t="str">
        <f aca="false">IF($A1090="","",INDEX(Workers!$E$5:$E$2004,MATCH($A1090,Workers!$A$5:$A$2004,0)))</f>
        <v/>
      </c>
      <c r="D1090" s="24" t="str">
        <f aca="false">IF($A1090="","",INDEX(Workers!$K$5:$K$2004,MATCH($A1090,Workers!$A$5:$A$2004,0)))</f>
        <v/>
      </c>
      <c r="E1090" s="25" t="str">
        <f aca="false">IF($A1090="","",SUMIFS(Timesheet!$E$5:$E$3004,Timesheet!$D$5:$D$3004,$A1090,Timesheet!$A$5:$A$3004,"&gt;="&amp;Settings!$B$8,Timesheet!$A$5:$A$3004,"&lt;="&amp;Settings!$B$9))</f>
        <v/>
      </c>
      <c r="F1090" s="25" t="str">
        <f aca="false">IF($A1090="","",SUMIFS(Timesheet!$F$5:$F$3004,Timesheet!$D$5:$D$3004,$A1090,Timesheet!$A$5:$A$3004,"&gt;="&amp;Settings!$B$8,Timesheet!$A$5:$A$3004,"&lt;="&amp;Settings!$B$9))</f>
        <v/>
      </c>
      <c r="G1090" s="25" t="str">
        <f aca="false">IF($A1090="","",SUMIFS(Timesheet!$G$5:$G$3004,Timesheet!$D$5:$D$3004,$A1090,Timesheet!$A$5:$A$3004,"&gt;="&amp;Settings!$B$8,Timesheet!$A$5:$A$3004,"&lt;="&amp;Settings!$B$9))</f>
        <v/>
      </c>
      <c r="H1090" s="25" t="str">
        <f aca="false">IF($A1090="","",IF(D1090="Monthly",MAX(0,Settings!$B$11-E1090),0))</f>
        <v/>
      </c>
      <c r="I1090" s="26" t="str">
        <f aca="false">IF($A1090="","",N(INDEX(Workers!$L$5:$L$2004,MATCH($A1090,Workers!$A$5:$A$2004,0))))</f>
        <v/>
      </c>
      <c r="J1090" s="26" t="str">
        <f aca="false">IF($A1090="","",N(INDEX(Workers!$M$5:$M$2004,MATCH($A1090,Workers!$A$5:$A$2004,0))))</f>
        <v/>
      </c>
      <c r="K1090" s="26" t="str">
        <f aca="false">IF($A1090="","",IF(D1090="Monthly",ROUND(MAX(0,(I1090+J1090)-(I1090+J1090)/Settings!$B$10*H1090),2),0))</f>
        <v/>
      </c>
      <c r="L1090" s="26" t="str">
        <f aca="false">IF($A1090="","",IF(D1090="Hourly",ROUND(F1090*N(INDEX(Workers!$N$5:$N$2004,MATCH($A1090,Workers!$A$5:$A$2004,0))),2),0))</f>
        <v/>
      </c>
      <c r="M1090" s="26" t="str">
        <f aca="false">IF($A1090="","",ROUND(G1090*IF(D1090="Hourly",N(INDEX(Workers!$N$5:$N$2004,MATCH($A1090,Workers!$A$5:$A$2004,0))),I1090/Settings!$B$10/Settings!$B$12)*Settings!$B$13,2))</f>
        <v/>
      </c>
      <c r="N1090" s="26" t="str">
        <f aca="false">IF($A1090="","",K1090+L1090+M1090)</f>
        <v/>
      </c>
      <c r="O1090" s="26" t="str">
        <f aca="false">IF($A1090="","",SUMIFS(Deductions!$D$5:$D$2000,Deductions!$B$5:$B$2000,$A1090,Deductions!$C$5:$C$2000,"Advance",Deductions!$E$5:$E$2000,"&gt;="&amp;Settings!$B$8,Deductions!$E$5:$E$2000,"&lt;="&amp;Settings!$B$9))</f>
        <v/>
      </c>
      <c r="P1090" s="26" t="str">
        <f aca="false">IF($A1090="","",SUMIFS(Deductions!$D$5:$D$2000,Deductions!$B$5:$B$2000,$A1090,Deductions!$E$5:$E$2000,"&gt;="&amp;Settings!$B$8,Deductions!$E$5:$E$2000,"&lt;="&amp;Settings!$B$9)-O1090)</f>
        <v/>
      </c>
      <c r="Q1090" s="26" t="str">
        <f aca="false">IF($A1090="","",O1090+P1090)</f>
        <v/>
      </c>
      <c r="R1090" s="23" t="str">
        <f aca="false">IF($A1090="","",N1090-Q1090)</f>
        <v/>
      </c>
      <c r="S1090" s="24" t="str">
        <f aca="false">IF($A1090="","",INDEX(Workers!$O$5:$O$2004,MATCH($A1090,Workers!$A$5:$A$2004,0))&amp;"")</f>
        <v/>
      </c>
      <c r="T1090" s="24" t="str">
        <f aca="false">IF($A1090="","",INDEX(Workers!$P$5:$P$2004,MATCH($A1090,Workers!$A$5:$A$2004,0))&amp;"")</f>
        <v/>
      </c>
      <c r="U1090" s="24" t="str">
        <f aca="false">IF($A1090="","",INDEX(Workers!$H$5:$H$2004,MATCH($A1090,Workers!$A$5:$A$2004,0))&amp;"")</f>
        <v/>
      </c>
    </row>
    <row r="1091" customFormat="false" ht="15" hidden="false" customHeight="false" outlineLevel="0" collapsed="false">
      <c r="A1091" s="24" t="str">
        <f aca="false">IFERROR(INDEX(Workers!$A$5:$A$2004,MATCH(ROW()-4,Workers!$U$5:$U$2004,0)),"")</f>
        <v/>
      </c>
      <c r="B1091" s="24" t="str">
        <f aca="false">IF($A1091="","",INDEX(Workers!$B$5:$B$2004,MATCH($A1091,Workers!$A$5:$A$2004,0)))</f>
        <v/>
      </c>
      <c r="C1091" s="24" t="str">
        <f aca="false">IF($A1091="","",INDEX(Workers!$E$5:$E$2004,MATCH($A1091,Workers!$A$5:$A$2004,0)))</f>
        <v/>
      </c>
      <c r="D1091" s="24" t="str">
        <f aca="false">IF($A1091="","",INDEX(Workers!$K$5:$K$2004,MATCH($A1091,Workers!$A$5:$A$2004,0)))</f>
        <v/>
      </c>
      <c r="E1091" s="25" t="str">
        <f aca="false">IF($A1091="","",SUMIFS(Timesheet!$E$5:$E$3004,Timesheet!$D$5:$D$3004,$A1091,Timesheet!$A$5:$A$3004,"&gt;="&amp;Settings!$B$8,Timesheet!$A$5:$A$3004,"&lt;="&amp;Settings!$B$9))</f>
        <v/>
      </c>
      <c r="F1091" s="25" t="str">
        <f aca="false">IF($A1091="","",SUMIFS(Timesheet!$F$5:$F$3004,Timesheet!$D$5:$D$3004,$A1091,Timesheet!$A$5:$A$3004,"&gt;="&amp;Settings!$B$8,Timesheet!$A$5:$A$3004,"&lt;="&amp;Settings!$B$9))</f>
        <v/>
      </c>
      <c r="G1091" s="25" t="str">
        <f aca="false">IF($A1091="","",SUMIFS(Timesheet!$G$5:$G$3004,Timesheet!$D$5:$D$3004,$A1091,Timesheet!$A$5:$A$3004,"&gt;="&amp;Settings!$B$8,Timesheet!$A$5:$A$3004,"&lt;="&amp;Settings!$B$9))</f>
        <v/>
      </c>
      <c r="H1091" s="25" t="str">
        <f aca="false">IF($A1091="","",IF(D1091="Monthly",MAX(0,Settings!$B$11-E1091),0))</f>
        <v/>
      </c>
      <c r="I1091" s="26" t="str">
        <f aca="false">IF($A1091="","",N(INDEX(Workers!$L$5:$L$2004,MATCH($A1091,Workers!$A$5:$A$2004,0))))</f>
        <v/>
      </c>
      <c r="J1091" s="26" t="str">
        <f aca="false">IF($A1091="","",N(INDEX(Workers!$M$5:$M$2004,MATCH($A1091,Workers!$A$5:$A$2004,0))))</f>
        <v/>
      </c>
      <c r="K1091" s="26" t="str">
        <f aca="false">IF($A1091="","",IF(D1091="Monthly",ROUND(MAX(0,(I1091+J1091)-(I1091+J1091)/Settings!$B$10*H1091),2),0))</f>
        <v/>
      </c>
      <c r="L1091" s="26" t="str">
        <f aca="false">IF($A1091="","",IF(D1091="Hourly",ROUND(F1091*N(INDEX(Workers!$N$5:$N$2004,MATCH($A1091,Workers!$A$5:$A$2004,0))),2),0))</f>
        <v/>
      </c>
      <c r="M1091" s="26" t="str">
        <f aca="false">IF($A1091="","",ROUND(G1091*IF(D1091="Hourly",N(INDEX(Workers!$N$5:$N$2004,MATCH($A1091,Workers!$A$5:$A$2004,0))),I1091/Settings!$B$10/Settings!$B$12)*Settings!$B$13,2))</f>
        <v/>
      </c>
      <c r="N1091" s="26" t="str">
        <f aca="false">IF($A1091="","",K1091+L1091+M1091)</f>
        <v/>
      </c>
      <c r="O1091" s="26" t="str">
        <f aca="false">IF($A1091="","",SUMIFS(Deductions!$D$5:$D$2000,Deductions!$B$5:$B$2000,$A1091,Deductions!$C$5:$C$2000,"Advance",Deductions!$E$5:$E$2000,"&gt;="&amp;Settings!$B$8,Deductions!$E$5:$E$2000,"&lt;="&amp;Settings!$B$9))</f>
        <v/>
      </c>
      <c r="P1091" s="26" t="str">
        <f aca="false">IF($A1091="","",SUMIFS(Deductions!$D$5:$D$2000,Deductions!$B$5:$B$2000,$A1091,Deductions!$E$5:$E$2000,"&gt;="&amp;Settings!$B$8,Deductions!$E$5:$E$2000,"&lt;="&amp;Settings!$B$9)-O1091)</f>
        <v/>
      </c>
      <c r="Q1091" s="26" t="str">
        <f aca="false">IF($A1091="","",O1091+P1091)</f>
        <v/>
      </c>
      <c r="R1091" s="23" t="str">
        <f aca="false">IF($A1091="","",N1091-Q1091)</f>
        <v/>
      </c>
      <c r="S1091" s="24" t="str">
        <f aca="false">IF($A1091="","",INDEX(Workers!$O$5:$O$2004,MATCH($A1091,Workers!$A$5:$A$2004,0))&amp;"")</f>
        <v/>
      </c>
      <c r="T1091" s="24" t="str">
        <f aca="false">IF($A1091="","",INDEX(Workers!$P$5:$P$2004,MATCH($A1091,Workers!$A$5:$A$2004,0))&amp;"")</f>
        <v/>
      </c>
      <c r="U1091" s="24" t="str">
        <f aca="false">IF($A1091="","",INDEX(Workers!$H$5:$H$2004,MATCH($A1091,Workers!$A$5:$A$2004,0))&amp;"")</f>
        <v/>
      </c>
    </row>
    <row r="1092" customFormat="false" ht="15" hidden="false" customHeight="false" outlineLevel="0" collapsed="false">
      <c r="A1092" s="24" t="str">
        <f aca="false">IFERROR(INDEX(Workers!$A$5:$A$2004,MATCH(ROW()-4,Workers!$U$5:$U$2004,0)),"")</f>
        <v/>
      </c>
      <c r="B1092" s="24" t="str">
        <f aca="false">IF($A1092="","",INDEX(Workers!$B$5:$B$2004,MATCH($A1092,Workers!$A$5:$A$2004,0)))</f>
        <v/>
      </c>
      <c r="C1092" s="24" t="str">
        <f aca="false">IF($A1092="","",INDEX(Workers!$E$5:$E$2004,MATCH($A1092,Workers!$A$5:$A$2004,0)))</f>
        <v/>
      </c>
      <c r="D1092" s="24" t="str">
        <f aca="false">IF($A1092="","",INDEX(Workers!$K$5:$K$2004,MATCH($A1092,Workers!$A$5:$A$2004,0)))</f>
        <v/>
      </c>
      <c r="E1092" s="25" t="str">
        <f aca="false">IF($A1092="","",SUMIFS(Timesheet!$E$5:$E$3004,Timesheet!$D$5:$D$3004,$A1092,Timesheet!$A$5:$A$3004,"&gt;="&amp;Settings!$B$8,Timesheet!$A$5:$A$3004,"&lt;="&amp;Settings!$B$9))</f>
        <v/>
      </c>
      <c r="F1092" s="25" t="str">
        <f aca="false">IF($A1092="","",SUMIFS(Timesheet!$F$5:$F$3004,Timesheet!$D$5:$D$3004,$A1092,Timesheet!$A$5:$A$3004,"&gt;="&amp;Settings!$B$8,Timesheet!$A$5:$A$3004,"&lt;="&amp;Settings!$B$9))</f>
        <v/>
      </c>
      <c r="G1092" s="25" t="str">
        <f aca="false">IF($A1092="","",SUMIFS(Timesheet!$G$5:$G$3004,Timesheet!$D$5:$D$3004,$A1092,Timesheet!$A$5:$A$3004,"&gt;="&amp;Settings!$B$8,Timesheet!$A$5:$A$3004,"&lt;="&amp;Settings!$B$9))</f>
        <v/>
      </c>
      <c r="H1092" s="25" t="str">
        <f aca="false">IF($A1092="","",IF(D1092="Monthly",MAX(0,Settings!$B$11-E1092),0))</f>
        <v/>
      </c>
      <c r="I1092" s="26" t="str">
        <f aca="false">IF($A1092="","",N(INDEX(Workers!$L$5:$L$2004,MATCH($A1092,Workers!$A$5:$A$2004,0))))</f>
        <v/>
      </c>
      <c r="J1092" s="26" t="str">
        <f aca="false">IF($A1092="","",N(INDEX(Workers!$M$5:$M$2004,MATCH($A1092,Workers!$A$5:$A$2004,0))))</f>
        <v/>
      </c>
      <c r="K1092" s="26" t="str">
        <f aca="false">IF($A1092="","",IF(D1092="Monthly",ROUND(MAX(0,(I1092+J1092)-(I1092+J1092)/Settings!$B$10*H1092),2),0))</f>
        <v/>
      </c>
      <c r="L1092" s="26" t="str">
        <f aca="false">IF($A1092="","",IF(D1092="Hourly",ROUND(F1092*N(INDEX(Workers!$N$5:$N$2004,MATCH($A1092,Workers!$A$5:$A$2004,0))),2),0))</f>
        <v/>
      </c>
      <c r="M1092" s="26" t="str">
        <f aca="false">IF($A1092="","",ROUND(G1092*IF(D1092="Hourly",N(INDEX(Workers!$N$5:$N$2004,MATCH($A1092,Workers!$A$5:$A$2004,0))),I1092/Settings!$B$10/Settings!$B$12)*Settings!$B$13,2))</f>
        <v/>
      </c>
      <c r="N1092" s="26" t="str">
        <f aca="false">IF($A1092="","",K1092+L1092+M1092)</f>
        <v/>
      </c>
      <c r="O1092" s="26" t="str">
        <f aca="false">IF($A1092="","",SUMIFS(Deductions!$D$5:$D$2000,Deductions!$B$5:$B$2000,$A1092,Deductions!$C$5:$C$2000,"Advance",Deductions!$E$5:$E$2000,"&gt;="&amp;Settings!$B$8,Deductions!$E$5:$E$2000,"&lt;="&amp;Settings!$B$9))</f>
        <v/>
      </c>
      <c r="P1092" s="26" t="str">
        <f aca="false">IF($A1092="","",SUMIFS(Deductions!$D$5:$D$2000,Deductions!$B$5:$B$2000,$A1092,Deductions!$E$5:$E$2000,"&gt;="&amp;Settings!$B$8,Deductions!$E$5:$E$2000,"&lt;="&amp;Settings!$B$9)-O1092)</f>
        <v/>
      </c>
      <c r="Q1092" s="26" t="str">
        <f aca="false">IF($A1092="","",O1092+P1092)</f>
        <v/>
      </c>
      <c r="R1092" s="23" t="str">
        <f aca="false">IF($A1092="","",N1092-Q1092)</f>
        <v/>
      </c>
      <c r="S1092" s="24" t="str">
        <f aca="false">IF($A1092="","",INDEX(Workers!$O$5:$O$2004,MATCH($A1092,Workers!$A$5:$A$2004,0))&amp;"")</f>
        <v/>
      </c>
      <c r="T1092" s="24" t="str">
        <f aca="false">IF($A1092="","",INDEX(Workers!$P$5:$P$2004,MATCH($A1092,Workers!$A$5:$A$2004,0))&amp;"")</f>
        <v/>
      </c>
      <c r="U1092" s="24" t="str">
        <f aca="false">IF($A1092="","",INDEX(Workers!$H$5:$H$2004,MATCH($A1092,Workers!$A$5:$A$2004,0))&amp;"")</f>
        <v/>
      </c>
    </row>
    <row r="1093" customFormat="false" ht="15" hidden="false" customHeight="false" outlineLevel="0" collapsed="false">
      <c r="A1093" s="24" t="str">
        <f aca="false">IFERROR(INDEX(Workers!$A$5:$A$2004,MATCH(ROW()-4,Workers!$U$5:$U$2004,0)),"")</f>
        <v/>
      </c>
      <c r="B1093" s="24" t="str">
        <f aca="false">IF($A1093="","",INDEX(Workers!$B$5:$B$2004,MATCH($A1093,Workers!$A$5:$A$2004,0)))</f>
        <v/>
      </c>
      <c r="C1093" s="24" t="str">
        <f aca="false">IF($A1093="","",INDEX(Workers!$E$5:$E$2004,MATCH($A1093,Workers!$A$5:$A$2004,0)))</f>
        <v/>
      </c>
      <c r="D1093" s="24" t="str">
        <f aca="false">IF($A1093="","",INDEX(Workers!$K$5:$K$2004,MATCH($A1093,Workers!$A$5:$A$2004,0)))</f>
        <v/>
      </c>
      <c r="E1093" s="25" t="str">
        <f aca="false">IF($A1093="","",SUMIFS(Timesheet!$E$5:$E$3004,Timesheet!$D$5:$D$3004,$A1093,Timesheet!$A$5:$A$3004,"&gt;="&amp;Settings!$B$8,Timesheet!$A$5:$A$3004,"&lt;="&amp;Settings!$B$9))</f>
        <v/>
      </c>
      <c r="F1093" s="25" t="str">
        <f aca="false">IF($A1093="","",SUMIFS(Timesheet!$F$5:$F$3004,Timesheet!$D$5:$D$3004,$A1093,Timesheet!$A$5:$A$3004,"&gt;="&amp;Settings!$B$8,Timesheet!$A$5:$A$3004,"&lt;="&amp;Settings!$B$9))</f>
        <v/>
      </c>
      <c r="G1093" s="25" t="str">
        <f aca="false">IF($A1093="","",SUMIFS(Timesheet!$G$5:$G$3004,Timesheet!$D$5:$D$3004,$A1093,Timesheet!$A$5:$A$3004,"&gt;="&amp;Settings!$B$8,Timesheet!$A$5:$A$3004,"&lt;="&amp;Settings!$B$9))</f>
        <v/>
      </c>
      <c r="H1093" s="25" t="str">
        <f aca="false">IF($A1093="","",IF(D1093="Monthly",MAX(0,Settings!$B$11-E1093),0))</f>
        <v/>
      </c>
      <c r="I1093" s="26" t="str">
        <f aca="false">IF($A1093="","",N(INDEX(Workers!$L$5:$L$2004,MATCH($A1093,Workers!$A$5:$A$2004,0))))</f>
        <v/>
      </c>
      <c r="J1093" s="26" t="str">
        <f aca="false">IF($A1093="","",N(INDEX(Workers!$M$5:$M$2004,MATCH($A1093,Workers!$A$5:$A$2004,0))))</f>
        <v/>
      </c>
      <c r="K1093" s="26" t="str">
        <f aca="false">IF($A1093="","",IF(D1093="Monthly",ROUND(MAX(0,(I1093+J1093)-(I1093+J1093)/Settings!$B$10*H1093),2),0))</f>
        <v/>
      </c>
      <c r="L1093" s="26" t="str">
        <f aca="false">IF($A1093="","",IF(D1093="Hourly",ROUND(F1093*N(INDEX(Workers!$N$5:$N$2004,MATCH($A1093,Workers!$A$5:$A$2004,0))),2),0))</f>
        <v/>
      </c>
      <c r="M1093" s="26" t="str">
        <f aca="false">IF($A1093="","",ROUND(G1093*IF(D1093="Hourly",N(INDEX(Workers!$N$5:$N$2004,MATCH($A1093,Workers!$A$5:$A$2004,0))),I1093/Settings!$B$10/Settings!$B$12)*Settings!$B$13,2))</f>
        <v/>
      </c>
      <c r="N1093" s="26" t="str">
        <f aca="false">IF($A1093="","",K1093+L1093+M1093)</f>
        <v/>
      </c>
      <c r="O1093" s="26" t="str">
        <f aca="false">IF($A1093="","",SUMIFS(Deductions!$D$5:$D$2000,Deductions!$B$5:$B$2000,$A1093,Deductions!$C$5:$C$2000,"Advance",Deductions!$E$5:$E$2000,"&gt;="&amp;Settings!$B$8,Deductions!$E$5:$E$2000,"&lt;="&amp;Settings!$B$9))</f>
        <v/>
      </c>
      <c r="P1093" s="26" t="str">
        <f aca="false">IF($A1093="","",SUMIFS(Deductions!$D$5:$D$2000,Deductions!$B$5:$B$2000,$A1093,Deductions!$E$5:$E$2000,"&gt;="&amp;Settings!$B$8,Deductions!$E$5:$E$2000,"&lt;="&amp;Settings!$B$9)-O1093)</f>
        <v/>
      </c>
      <c r="Q1093" s="26" t="str">
        <f aca="false">IF($A1093="","",O1093+P1093)</f>
        <v/>
      </c>
      <c r="R1093" s="23" t="str">
        <f aca="false">IF($A1093="","",N1093-Q1093)</f>
        <v/>
      </c>
      <c r="S1093" s="24" t="str">
        <f aca="false">IF($A1093="","",INDEX(Workers!$O$5:$O$2004,MATCH($A1093,Workers!$A$5:$A$2004,0))&amp;"")</f>
        <v/>
      </c>
      <c r="T1093" s="24" t="str">
        <f aca="false">IF($A1093="","",INDEX(Workers!$P$5:$P$2004,MATCH($A1093,Workers!$A$5:$A$2004,0))&amp;"")</f>
        <v/>
      </c>
      <c r="U1093" s="24" t="str">
        <f aca="false">IF($A1093="","",INDEX(Workers!$H$5:$H$2004,MATCH($A1093,Workers!$A$5:$A$2004,0))&amp;"")</f>
        <v/>
      </c>
    </row>
    <row r="1094" customFormat="false" ht="15" hidden="false" customHeight="false" outlineLevel="0" collapsed="false">
      <c r="A1094" s="24" t="str">
        <f aca="false">IFERROR(INDEX(Workers!$A$5:$A$2004,MATCH(ROW()-4,Workers!$U$5:$U$2004,0)),"")</f>
        <v/>
      </c>
      <c r="B1094" s="24" t="str">
        <f aca="false">IF($A1094="","",INDEX(Workers!$B$5:$B$2004,MATCH($A1094,Workers!$A$5:$A$2004,0)))</f>
        <v/>
      </c>
      <c r="C1094" s="24" t="str">
        <f aca="false">IF($A1094="","",INDEX(Workers!$E$5:$E$2004,MATCH($A1094,Workers!$A$5:$A$2004,0)))</f>
        <v/>
      </c>
      <c r="D1094" s="24" t="str">
        <f aca="false">IF($A1094="","",INDEX(Workers!$K$5:$K$2004,MATCH($A1094,Workers!$A$5:$A$2004,0)))</f>
        <v/>
      </c>
      <c r="E1094" s="25" t="str">
        <f aca="false">IF($A1094="","",SUMIFS(Timesheet!$E$5:$E$3004,Timesheet!$D$5:$D$3004,$A1094,Timesheet!$A$5:$A$3004,"&gt;="&amp;Settings!$B$8,Timesheet!$A$5:$A$3004,"&lt;="&amp;Settings!$B$9))</f>
        <v/>
      </c>
      <c r="F1094" s="25" t="str">
        <f aca="false">IF($A1094="","",SUMIFS(Timesheet!$F$5:$F$3004,Timesheet!$D$5:$D$3004,$A1094,Timesheet!$A$5:$A$3004,"&gt;="&amp;Settings!$B$8,Timesheet!$A$5:$A$3004,"&lt;="&amp;Settings!$B$9))</f>
        <v/>
      </c>
      <c r="G1094" s="25" t="str">
        <f aca="false">IF($A1094="","",SUMIFS(Timesheet!$G$5:$G$3004,Timesheet!$D$5:$D$3004,$A1094,Timesheet!$A$5:$A$3004,"&gt;="&amp;Settings!$B$8,Timesheet!$A$5:$A$3004,"&lt;="&amp;Settings!$B$9))</f>
        <v/>
      </c>
      <c r="H1094" s="25" t="str">
        <f aca="false">IF($A1094="","",IF(D1094="Monthly",MAX(0,Settings!$B$11-E1094),0))</f>
        <v/>
      </c>
      <c r="I1094" s="26" t="str">
        <f aca="false">IF($A1094="","",N(INDEX(Workers!$L$5:$L$2004,MATCH($A1094,Workers!$A$5:$A$2004,0))))</f>
        <v/>
      </c>
      <c r="J1094" s="26" t="str">
        <f aca="false">IF($A1094="","",N(INDEX(Workers!$M$5:$M$2004,MATCH($A1094,Workers!$A$5:$A$2004,0))))</f>
        <v/>
      </c>
      <c r="K1094" s="26" t="str">
        <f aca="false">IF($A1094="","",IF(D1094="Monthly",ROUND(MAX(0,(I1094+J1094)-(I1094+J1094)/Settings!$B$10*H1094),2),0))</f>
        <v/>
      </c>
      <c r="L1094" s="26" t="str">
        <f aca="false">IF($A1094="","",IF(D1094="Hourly",ROUND(F1094*N(INDEX(Workers!$N$5:$N$2004,MATCH($A1094,Workers!$A$5:$A$2004,0))),2),0))</f>
        <v/>
      </c>
      <c r="M1094" s="26" t="str">
        <f aca="false">IF($A1094="","",ROUND(G1094*IF(D1094="Hourly",N(INDEX(Workers!$N$5:$N$2004,MATCH($A1094,Workers!$A$5:$A$2004,0))),I1094/Settings!$B$10/Settings!$B$12)*Settings!$B$13,2))</f>
        <v/>
      </c>
      <c r="N1094" s="26" t="str">
        <f aca="false">IF($A1094="","",K1094+L1094+M1094)</f>
        <v/>
      </c>
      <c r="O1094" s="26" t="str">
        <f aca="false">IF($A1094="","",SUMIFS(Deductions!$D$5:$D$2000,Deductions!$B$5:$B$2000,$A1094,Deductions!$C$5:$C$2000,"Advance",Deductions!$E$5:$E$2000,"&gt;="&amp;Settings!$B$8,Deductions!$E$5:$E$2000,"&lt;="&amp;Settings!$B$9))</f>
        <v/>
      </c>
      <c r="P1094" s="26" t="str">
        <f aca="false">IF($A1094="","",SUMIFS(Deductions!$D$5:$D$2000,Deductions!$B$5:$B$2000,$A1094,Deductions!$E$5:$E$2000,"&gt;="&amp;Settings!$B$8,Deductions!$E$5:$E$2000,"&lt;="&amp;Settings!$B$9)-O1094)</f>
        <v/>
      </c>
      <c r="Q1094" s="26" t="str">
        <f aca="false">IF($A1094="","",O1094+P1094)</f>
        <v/>
      </c>
      <c r="R1094" s="23" t="str">
        <f aca="false">IF($A1094="","",N1094-Q1094)</f>
        <v/>
      </c>
      <c r="S1094" s="24" t="str">
        <f aca="false">IF($A1094="","",INDEX(Workers!$O$5:$O$2004,MATCH($A1094,Workers!$A$5:$A$2004,0))&amp;"")</f>
        <v/>
      </c>
      <c r="T1094" s="24" t="str">
        <f aca="false">IF($A1094="","",INDEX(Workers!$P$5:$P$2004,MATCH($A1094,Workers!$A$5:$A$2004,0))&amp;"")</f>
        <v/>
      </c>
      <c r="U1094" s="24" t="str">
        <f aca="false">IF($A1094="","",INDEX(Workers!$H$5:$H$2004,MATCH($A1094,Workers!$A$5:$A$2004,0))&amp;"")</f>
        <v/>
      </c>
    </row>
    <row r="1095" customFormat="false" ht="15" hidden="false" customHeight="false" outlineLevel="0" collapsed="false">
      <c r="A1095" s="24" t="str">
        <f aca="false">IFERROR(INDEX(Workers!$A$5:$A$2004,MATCH(ROW()-4,Workers!$U$5:$U$2004,0)),"")</f>
        <v/>
      </c>
      <c r="B1095" s="24" t="str">
        <f aca="false">IF($A1095="","",INDEX(Workers!$B$5:$B$2004,MATCH($A1095,Workers!$A$5:$A$2004,0)))</f>
        <v/>
      </c>
      <c r="C1095" s="24" t="str">
        <f aca="false">IF($A1095="","",INDEX(Workers!$E$5:$E$2004,MATCH($A1095,Workers!$A$5:$A$2004,0)))</f>
        <v/>
      </c>
      <c r="D1095" s="24" t="str">
        <f aca="false">IF($A1095="","",INDEX(Workers!$K$5:$K$2004,MATCH($A1095,Workers!$A$5:$A$2004,0)))</f>
        <v/>
      </c>
      <c r="E1095" s="25" t="str">
        <f aca="false">IF($A1095="","",SUMIFS(Timesheet!$E$5:$E$3004,Timesheet!$D$5:$D$3004,$A1095,Timesheet!$A$5:$A$3004,"&gt;="&amp;Settings!$B$8,Timesheet!$A$5:$A$3004,"&lt;="&amp;Settings!$B$9))</f>
        <v/>
      </c>
      <c r="F1095" s="25" t="str">
        <f aca="false">IF($A1095="","",SUMIFS(Timesheet!$F$5:$F$3004,Timesheet!$D$5:$D$3004,$A1095,Timesheet!$A$5:$A$3004,"&gt;="&amp;Settings!$B$8,Timesheet!$A$5:$A$3004,"&lt;="&amp;Settings!$B$9))</f>
        <v/>
      </c>
      <c r="G1095" s="25" t="str">
        <f aca="false">IF($A1095="","",SUMIFS(Timesheet!$G$5:$G$3004,Timesheet!$D$5:$D$3004,$A1095,Timesheet!$A$5:$A$3004,"&gt;="&amp;Settings!$B$8,Timesheet!$A$5:$A$3004,"&lt;="&amp;Settings!$B$9))</f>
        <v/>
      </c>
      <c r="H1095" s="25" t="str">
        <f aca="false">IF($A1095="","",IF(D1095="Monthly",MAX(0,Settings!$B$11-E1095),0))</f>
        <v/>
      </c>
      <c r="I1095" s="26" t="str">
        <f aca="false">IF($A1095="","",N(INDEX(Workers!$L$5:$L$2004,MATCH($A1095,Workers!$A$5:$A$2004,0))))</f>
        <v/>
      </c>
      <c r="J1095" s="26" t="str">
        <f aca="false">IF($A1095="","",N(INDEX(Workers!$M$5:$M$2004,MATCH($A1095,Workers!$A$5:$A$2004,0))))</f>
        <v/>
      </c>
      <c r="K1095" s="26" t="str">
        <f aca="false">IF($A1095="","",IF(D1095="Monthly",ROUND(MAX(0,(I1095+J1095)-(I1095+J1095)/Settings!$B$10*H1095),2),0))</f>
        <v/>
      </c>
      <c r="L1095" s="26" t="str">
        <f aca="false">IF($A1095="","",IF(D1095="Hourly",ROUND(F1095*N(INDEX(Workers!$N$5:$N$2004,MATCH($A1095,Workers!$A$5:$A$2004,0))),2),0))</f>
        <v/>
      </c>
      <c r="M1095" s="26" t="str">
        <f aca="false">IF($A1095="","",ROUND(G1095*IF(D1095="Hourly",N(INDEX(Workers!$N$5:$N$2004,MATCH($A1095,Workers!$A$5:$A$2004,0))),I1095/Settings!$B$10/Settings!$B$12)*Settings!$B$13,2))</f>
        <v/>
      </c>
      <c r="N1095" s="26" t="str">
        <f aca="false">IF($A1095="","",K1095+L1095+M1095)</f>
        <v/>
      </c>
      <c r="O1095" s="26" t="str">
        <f aca="false">IF($A1095="","",SUMIFS(Deductions!$D$5:$D$2000,Deductions!$B$5:$B$2000,$A1095,Deductions!$C$5:$C$2000,"Advance",Deductions!$E$5:$E$2000,"&gt;="&amp;Settings!$B$8,Deductions!$E$5:$E$2000,"&lt;="&amp;Settings!$B$9))</f>
        <v/>
      </c>
      <c r="P1095" s="26" t="str">
        <f aca="false">IF($A1095="","",SUMIFS(Deductions!$D$5:$D$2000,Deductions!$B$5:$B$2000,$A1095,Deductions!$E$5:$E$2000,"&gt;="&amp;Settings!$B$8,Deductions!$E$5:$E$2000,"&lt;="&amp;Settings!$B$9)-O1095)</f>
        <v/>
      </c>
      <c r="Q1095" s="26" t="str">
        <f aca="false">IF($A1095="","",O1095+P1095)</f>
        <v/>
      </c>
      <c r="R1095" s="23" t="str">
        <f aca="false">IF($A1095="","",N1095-Q1095)</f>
        <v/>
      </c>
      <c r="S1095" s="24" t="str">
        <f aca="false">IF($A1095="","",INDEX(Workers!$O$5:$O$2004,MATCH($A1095,Workers!$A$5:$A$2004,0))&amp;"")</f>
        <v/>
      </c>
      <c r="T1095" s="24" t="str">
        <f aca="false">IF($A1095="","",INDEX(Workers!$P$5:$P$2004,MATCH($A1095,Workers!$A$5:$A$2004,0))&amp;"")</f>
        <v/>
      </c>
      <c r="U1095" s="24" t="str">
        <f aca="false">IF($A1095="","",INDEX(Workers!$H$5:$H$2004,MATCH($A1095,Workers!$A$5:$A$2004,0))&amp;"")</f>
        <v/>
      </c>
    </row>
    <row r="1096" customFormat="false" ht="15" hidden="false" customHeight="false" outlineLevel="0" collapsed="false">
      <c r="A1096" s="24" t="str">
        <f aca="false">IFERROR(INDEX(Workers!$A$5:$A$2004,MATCH(ROW()-4,Workers!$U$5:$U$2004,0)),"")</f>
        <v/>
      </c>
      <c r="B1096" s="24" t="str">
        <f aca="false">IF($A1096="","",INDEX(Workers!$B$5:$B$2004,MATCH($A1096,Workers!$A$5:$A$2004,0)))</f>
        <v/>
      </c>
      <c r="C1096" s="24" t="str">
        <f aca="false">IF($A1096="","",INDEX(Workers!$E$5:$E$2004,MATCH($A1096,Workers!$A$5:$A$2004,0)))</f>
        <v/>
      </c>
      <c r="D1096" s="24" t="str">
        <f aca="false">IF($A1096="","",INDEX(Workers!$K$5:$K$2004,MATCH($A1096,Workers!$A$5:$A$2004,0)))</f>
        <v/>
      </c>
      <c r="E1096" s="25" t="str">
        <f aca="false">IF($A1096="","",SUMIFS(Timesheet!$E$5:$E$3004,Timesheet!$D$5:$D$3004,$A1096,Timesheet!$A$5:$A$3004,"&gt;="&amp;Settings!$B$8,Timesheet!$A$5:$A$3004,"&lt;="&amp;Settings!$B$9))</f>
        <v/>
      </c>
      <c r="F1096" s="25" t="str">
        <f aca="false">IF($A1096="","",SUMIFS(Timesheet!$F$5:$F$3004,Timesheet!$D$5:$D$3004,$A1096,Timesheet!$A$5:$A$3004,"&gt;="&amp;Settings!$B$8,Timesheet!$A$5:$A$3004,"&lt;="&amp;Settings!$B$9))</f>
        <v/>
      </c>
      <c r="G1096" s="25" t="str">
        <f aca="false">IF($A1096="","",SUMIFS(Timesheet!$G$5:$G$3004,Timesheet!$D$5:$D$3004,$A1096,Timesheet!$A$5:$A$3004,"&gt;="&amp;Settings!$B$8,Timesheet!$A$5:$A$3004,"&lt;="&amp;Settings!$B$9))</f>
        <v/>
      </c>
      <c r="H1096" s="25" t="str">
        <f aca="false">IF($A1096="","",IF(D1096="Monthly",MAX(0,Settings!$B$11-E1096),0))</f>
        <v/>
      </c>
      <c r="I1096" s="26" t="str">
        <f aca="false">IF($A1096="","",N(INDEX(Workers!$L$5:$L$2004,MATCH($A1096,Workers!$A$5:$A$2004,0))))</f>
        <v/>
      </c>
      <c r="J1096" s="26" t="str">
        <f aca="false">IF($A1096="","",N(INDEX(Workers!$M$5:$M$2004,MATCH($A1096,Workers!$A$5:$A$2004,0))))</f>
        <v/>
      </c>
      <c r="K1096" s="26" t="str">
        <f aca="false">IF($A1096="","",IF(D1096="Monthly",ROUND(MAX(0,(I1096+J1096)-(I1096+J1096)/Settings!$B$10*H1096),2),0))</f>
        <v/>
      </c>
      <c r="L1096" s="26" t="str">
        <f aca="false">IF($A1096="","",IF(D1096="Hourly",ROUND(F1096*N(INDEX(Workers!$N$5:$N$2004,MATCH($A1096,Workers!$A$5:$A$2004,0))),2),0))</f>
        <v/>
      </c>
      <c r="M1096" s="26" t="str">
        <f aca="false">IF($A1096="","",ROUND(G1096*IF(D1096="Hourly",N(INDEX(Workers!$N$5:$N$2004,MATCH($A1096,Workers!$A$5:$A$2004,0))),I1096/Settings!$B$10/Settings!$B$12)*Settings!$B$13,2))</f>
        <v/>
      </c>
      <c r="N1096" s="26" t="str">
        <f aca="false">IF($A1096="","",K1096+L1096+M1096)</f>
        <v/>
      </c>
      <c r="O1096" s="26" t="str">
        <f aca="false">IF($A1096="","",SUMIFS(Deductions!$D$5:$D$2000,Deductions!$B$5:$B$2000,$A1096,Deductions!$C$5:$C$2000,"Advance",Deductions!$E$5:$E$2000,"&gt;="&amp;Settings!$B$8,Deductions!$E$5:$E$2000,"&lt;="&amp;Settings!$B$9))</f>
        <v/>
      </c>
      <c r="P1096" s="26" t="str">
        <f aca="false">IF($A1096="","",SUMIFS(Deductions!$D$5:$D$2000,Deductions!$B$5:$B$2000,$A1096,Deductions!$E$5:$E$2000,"&gt;="&amp;Settings!$B$8,Deductions!$E$5:$E$2000,"&lt;="&amp;Settings!$B$9)-O1096)</f>
        <v/>
      </c>
      <c r="Q1096" s="26" t="str">
        <f aca="false">IF($A1096="","",O1096+P1096)</f>
        <v/>
      </c>
      <c r="R1096" s="23" t="str">
        <f aca="false">IF($A1096="","",N1096-Q1096)</f>
        <v/>
      </c>
      <c r="S1096" s="24" t="str">
        <f aca="false">IF($A1096="","",INDEX(Workers!$O$5:$O$2004,MATCH($A1096,Workers!$A$5:$A$2004,0))&amp;"")</f>
        <v/>
      </c>
      <c r="T1096" s="24" t="str">
        <f aca="false">IF($A1096="","",INDEX(Workers!$P$5:$P$2004,MATCH($A1096,Workers!$A$5:$A$2004,0))&amp;"")</f>
        <v/>
      </c>
      <c r="U1096" s="24" t="str">
        <f aca="false">IF($A1096="","",INDEX(Workers!$H$5:$H$2004,MATCH($A1096,Workers!$A$5:$A$2004,0))&amp;"")</f>
        <v/>
      </c>
    </row>
    <row r="1097" customFormat="false" ht="15" hidden="false" customHeight="false" outlineLevel="0" collapsed="false">
      <c r="A1097" s="24" t="str">
        <f aca="false">IFERROR(INDEX(Workers!$A$5:$A$2004,MATCH(ROW()-4,Workers!$U$5:$U$2004,0)),"")</f>
        <v/>
      </c>
      <c r="B1097" s="24" t="str">
        <f aca="false">IF($A1097="","",INDEX(Workers!$B$5:$B$2004,MATCH($A1097,Workers!$A$5:$A$2004,0)))</f>
        <v/>
      </c>
      <c r="C1097" s="24" t="str">
        <f aca="false">IF($A1097="","",INDEX(Workers!$E$5:$E$2004,MATCH($A1097,Workers!$A$5:$A$2004,0)))</f>
        <v/>
      </c>
      <c r="D1097" s="24" t="str">
        <f aca="false">IF($A1097="","",INDEX(Workers!$K$5:$K$2004,MATCH($A1097,Workers!$A$5:$A$2004,0)))</f>
        <v/>
      </c>
      <c r="E1097" s="25" t="str">
        <f aca="false">IF($A1097="","",SUMIFS(Timesheet!$E$5:$E$3004,Timesheet!$D$5:$D$3004,$A1097,Timesheet!$A$5:$A$3004,"&gt;="&amp;Settings!$B$8,Timesheet!$A$5:$A$3004,"&lt;="&amp;Settings!$B$9))</f>
        <v/>
      </c>
      <c r="F1097" s="25" t="str">
        <f aca="false">IF($A1097="","",SUMIFS(Timesheet!$F$5:$F$3004,Timesheet!$D$5:$D$3004,$A1097,Timesheet!$A$5:$A$3004,"&gt;="&amp;Settings!$B$8,Timesheet!$A$5:$A$3004,"&lt;="&amp;Settings!$B$9))</f>
        <v/>
      </c>
      <c r="G1097" s="25" t="str">
        <f aca="false">IF($A1097="","",SUMIFS(Timesheet!$G$5:$G$3004,Timesheet!$D$5:$D$3004,$A1097,Timesheet!$A$5:$A$3004,"&gt;="&amp;Settings!$B$8,Timesheet!$A$5:$A$3004,"&lt;="&amp;Settings!$B$9))</f>
        <v/>
      </c>
      <c r="H1097" s="25" t="str">
        <f aca="false">IF($A1097="","",IF(D1097="Monthly",MAX(0,Settings!$B$11-E1097),0))</f>
        <v/>
      </c>
      <c r="I1097" s="26" t="str">
        <f aca="false">IF($A1097="","",N(INDEX(Workers!$L$5:$L$2004,MATCH($A1097,Workers!$A$5:$A$2004,0))))</f>
        <v/>
      </c>
      <c r="J1097" s="26" t="str">
        <f aca="false">IF($A1097="","",N(INDEX(Workers!$M$5:$M$2004,MATCH($A1097,Workers!$A$5:$A$2004,0))))</f>
        <v/>
      </c>
      <c r="K1097" s="26" t="str">
        <f aca="false">IF($A1097="","",IF(D1097="Monthly",ROUND(MAX(0,(I1097+J1097)-(I1097+J1097)/Settings!$B$10*H1097),2),0))</f>
        <v/>
      </c>
      <c r="L1097" s="26" t="str">
        <f aca="false">IF($A1097="","",IF(D1097="Hourly",ROUND(F1097*N(INDEX(Workers!$N$5:$N$2004,MATCH($A1097,Workers!$A$5:$A$2004,0))),2),0))</f>
        <v/>
      </c>
      <c r="M1097" s="26" t="str">
        <f aca="false">IF($A1097="","",ROUND(G1097*IF(D1097="Hourly",N(INDEX(Workers!$N$5:$N$2004,MATCH($A1097,Workers!$A$5:$A$2004,0))),I1097/Settings!$B$10/Settings!$B$12)*Settings!$B$13,2))</f>
        <v/>
      </c>
      <c r="N1097" s="26" t="str">
        <f aca="false">IF($A1097="","",K1097+L1097+M1097)</f>
        <v/>
      </c>
      <c r="O1097" s="26" t="str">
        <f aca="false">IF($A1097="","",SUMIFS(Deductions!$D$5:$D$2000,Deductions!$B$5:$B$2000,$A1097,Deductions!$C$5:$C$2000,"Advance",Deductions!$E$5:$E$2000,"&gt;="&amp;Settings!$B$8,Deductions!$E$5:$E$2000,"&lt;="&amp;Settings!$B$9))</f>
        <v/>
      </c>
      <c r="P1097" s="26" t="str">
        <f aca="false">IF($A1097="","",SUMIFS(Deductions!$D$5:$D$2000,Deductions!$B$5:$B$2000,$A1097,Deductions!$E$5:$E$2000,"&gt;="&amp;Settings!$B$8,Deductions!$E$5:$E$2000,"&lt;="&amp;Settings!$B$9)-O1097)</f>
        <v/>
      </c>
      <c r="Q1097" s="26" t="str">
        <f aca="false">IF($A1097="","",O1097+P1097)</f>
        <v/>
      </c>
      <c r="R1097" s="23" t="str">
        <f aca="false">IF($A1097="","",N1097-Q1097)</f>
        <v/>
      </c>
      <c r="S1097" s="24" t="str">
        <f aca="false">IF($A1097="","",INDEX(Workers!$O$5:$O$2004,MATCH($A1097,Workers!$A$5:$A$2004,0))&amp;"")</f>
        <v/>
      </c>
      <c r="T1097" s="24" t="str">
        <f aca="false">IF($A1097="","",INDEX(Workers!$P$5:$P$2004,MATCH($A1097,Workers!$A$5:$A$2004,0))&amp;"")</f>
        <v/>
      </c>
      <c r="U1097" s="24" t="str">
        <f aca="false">IF($A1097="","",INDEX(Workers!$H$5:$H$2004,MATCH($A1097,Workers!$A$5:$A$2004,0))&amp;"")</f>
        <v/>
      </c>
    </row>
    <row r="1098" customFormat="false" ht="15" hidden="false" customHeight="false" outlineLevel="0" collapsed="false">
      <c r="A1098" s="24" t="str">
        <f aca="false">IFERROR(INDEX(Workers!$A$5:$A$2004,MATCH(ROW()-4,Workers!$U$5:$U$2004,0)),"")</f>
        <v/>
      </c>
      <c r="B1098" s="24" t="str">
        <f aca="false">IF($A1098="","",INDEX(Workers!$B$5:$B$2004,MATCH($A1098,Workers!$A$5:$A$2004,0)))</f>
        <v/>
      </c>
      <c r="C1098" s="24" t="str">
        <f aca="false">IF($A1098="","",INDEX(Workers!$E$5:$E$2004,MATCH($A1098,Workers!$A$5:$A$2004,0)))</f>
        <v/>
      </c>
      <c r="D1098" s="24" t="str">
        <f aca="false">IF($A1098="","",INDEX(Workers!$K$5:$K$2004,MATCH($A1098,Workers!$A$5:$A$2004,0)))</f>
        <v/>
      </c>
      <c r="E1098" s="25" t="str">
        <f aca="false">IF($A1098="","",SUMIFS(Timesheet!$E$5:$E$3004,Timesheet!$D$5:$D$3004,$A1098,Timesheet!$A$5:$A$3004,"&gt;="&amp;Settings!$B$8,Timesheet!$A$5:$A$3004,"&lt;="&amp;Settings!$B$9))</f>
        <v/>
      </c>
      <c r="F1098" s="25" t="str">
        <f aca="false">IF($A1098="","",SUMIFS(Timesheet!$F$5:$F$3004,Timesheet!$D$5:$D$3004,$A1098,Timesheet!$A$5:$A$3004,"&gt;="&amp;Settings!$B$8,Timesheet!$A$5:$A$3004,"&lt;="&amp;Settings!$B$9))</f>
        <v/>
      </c>
      <c r="G1098" s="25" t="str">
        <f aca="false">IF($A1098="","",SUMIFS(Timesheet!$G$5:$G$3004,Timesheet!$D$5:$D$3004,$A1098,Timesheet!$A$5:$A$3004,"&gt;="&amp;Settings!$B$8,Timesheet!$A$5:$A$3004,"&lt;="&amp;Settings!$B$9))</f>
        <v/>
      </c>
      <c r="H1098" s="25" t="str">
        <f aca="false">IF($A1098="","",IF(D1098="Monthly",MAX(0,Settings!$B$11-E1098),0))</f>
        <v/>
      </c>
      <c r="I1098" s="26" t="str">
        <f aca="false">IF($A1098="","",N(INDEX(Workers!$L$5:$L$2004,MATCH($A1098,Workers!$A$5:$A$2004,0))))</f>
        <v/>
      </c>
      <c r="J1098" s="26" t="str">
        <f aca="false">IF($A1098="","",N(INDEX(Workers!$M$5:$M$2004,MATCH($A1098,Workers!$A$5:$A$2004,0))))</f>
        <v/>
      </c>
      <c r="K1098" s="26" t="str">
        <f aca="false">IF($A1098="","",IF(D1098="Monthly",ROUND(MAX(0,(I1098+J1098)-(I1098+J1098)/Settings!$B$10*H1098),2),0))</f>
        <v/>
      </c>
      <c r="L1098" s="26" t="str">
        <f aca="false">IF($A1098="","",IF(D1098="Hourly",ROUND(F1098*N(INDEX(Workers!$N$5:$N$2004,MATCH($A1098,Workers!$A$5:$A$2004,0))),2),0))</f>
        <v/>
      </c>
      <c r="M1098" s="26" t="str">
        <f aca="false">IF($A1098="","",ROUND(G1098*IF(D1098="Hourly",N(INDEX(Workers!$N$5:$N$2004,MATCH($A1098,Workers!$A$5:$A$2004,0))),I1098/Settings!$B$10/Settings!$B$12)*Settings!$B$13,2))</f>
        <v/>
      </c>
      <c r="N1098" s="26" t="str">
        <f aca="false">IF($A1098="","",K1098+L1098+M1098)</f>
        <v/>
      </c>
      <c r="O1098" s="26" t="str">
        <f aca="false">IF($A1098="","",SUMIFS(Deductions!$D$5:$D$2000,Deductions!$B$5:$B$2000,$A1098,Deductions!$C$5:$C$2000,"Advance",Deductions!$E$5:$E$2000,"&gt;="&amp;Settings!$B$8,Deductions!$E$5:$E$2000,"&lt;="&amp;Settings!$B$9))</f>
        <v/>
      </c>
      <c r="P1098" s="26" t="str">
        <f aca="false">IF($A1098="","",SUMIFS(Deductions!$D$5:$D$2000,Deductions!$B$5:$B$2000,$A1098,Deductions!$E$5:$E$2000,"&gt;="&amp;Settings!$B$8,Deductions!$E$5:$E$2000,"&lt;="&amp;Settings!$B$9)-O1098)</f>
        <v/>
      </c>
      <c r="Q1098" s="26" t="str">
        <f aca="false">IF($A1098="","",O1098+P1098)</f>
        <v/>
      </c>
      <c r="R1098" s="23" t="str">
        <f aca="false">IF($A1098="","",N1098-Q1098)</f>
        <v/>
      </c>
      <c r="S1098" s="24" t="str">
        <f aca="false">IF($A1098="","",INDEX(Workers!$O$5:$O$2004,MATCH($A1098,Workers!$A$5:$A$2004,0))&amp;"")</f>
        <v/>
      </c>
      <c r="T1098" s="24" t="str">
        <f aca="false">IF($A1098="","",INDEX(Workers!$P$5:$P$2004,MATCH($A1098,Workers!$A$5:$A$2004,0))&amp;"")</f>
        <v/>
      </c>
      <c r="U1098" s="24" t="str">
        <f aca="false">IF($A1098="","",INDEX(Workers!$H$5:$H$2004,MATCH($A1098,Workers!$A$5:$A$2004,0))&amp;"")</f>
        <v/>
      </c>
    </row>
    <row r="1099" customFormat="false" ht="15" hidden="false" customHeight="false" outlineLevel="0" collapsed="false">
      <c r="A1099" s="24" t="str">
        <f aca="false">IFERROR(INDEX(Workers!$A$5:$A$2004,MATCH(ROW()-4,Workers!$U$5:$U$2004,0)),"")</f>
        <v/>
      </c>
      <c r="B1099" s="24" t="str">
        <f aca="false">IF($A1099="","",INDEX(Workers!$B$5:$B$2004,MATCH($A1099,Workers!$A$5:$A$2004,0)))</f>
        <v/>
      </c>
      <c r="C1099" s="24" t="str">
        <f aca="false">IF($A1099="","",INDEX(Workers!$E$5:$E$2004,MATCH($A1099,Workers!$A$5:$A$2004,0)))</f>
        <v/>
      </c>
      <c r="D1099" s="24" t="str">
        <f aca="false">IF($A1099="","",INDEX(Workers!$K$5:$K$2004,MATCH($A1099,Workers!$A$5:$A$2004,0)))</f>
        <v/>
      </c>
      <c r="E1099" s="25" t="str">
        <f aca="false">IF($A1099="","",SUMIFS(Timesheet!$E$5:$E$3004,Timesheet!$D$5:$D$3004,$A1099,Timesheet!$A$5:$A$3004,"&gt;="&amp;Settings!$B$8,Timesheet!$A$5:$A$3004,"&lt;="&amp;Settings!$B$9))</f>
        <v/>
      </c>
      <c r="F1099" s="25" t="str">
        <f aca="false">IF($A1099="","",SUMIFS(Timesheet!$F$5:$F$3004,Timesheet!$D$5:$D$3004,$A1099,Timesheet!$A$5:$A$3004,"&gt;="&amp;Settings!$B$8,Timesheet!$A$5:$A$3004,"&lt;="&amp;Settings!$B$9))</f>
        <v/>
      </c>
      <c r="G1099" s="25" t="str">
        <f aca="false">IF($A1099="","",SUMIFS(Timesheet!$G$5:$G$3004,Timesheet!$D$5:$D$3004,$A1099,Timesheet!$A$5:$A$3004,"&gt;="&amp;Settings!$B$8,Timesheet!$A$5:$A$3004,"&lt;="&amp;Settings!$B$9))</f>
        <v/>
      </c>
      <c r="H1099" s="25" t="str">
        <f aca="false">IF($A1099="","",IF(D1099="Monthly",MAX(0,Settings!$B$11-E1099),0))</f>
        <v/>
      </c>
      <c r="I1099" s="26" t="str">
        <f aca="false">IF($A1099="","",N(INDEX(Workers!$L$5:$L$2004,MATCH($A1099,Workers!$A$5:$A$2004,0))))</f>
        <v/>
      </c>
      <c r="J1099" s="26" t="str">
        <f aca="false">IF($A1099="","",N(INDEX(Workers!$M$5:$M$2004,MATCH($A1099,Workers!$A$5:$A$2004,0))))</f>
        <v/>
      </c>
      <c r="K1099" s="26" t="str">
        <f aca="false">IF($A1099="","",IF(D1099="Monthly",ROUND(MAX(0,(I1099+J1099)-(I1099+J1099)/Settings!$B$10*H1099),2),0))</f>
        <v/>
      </c>
      <c r="L1099" s="26" t="str">
        <f aca="false">IF($A1099="","",IF(D1099="Hourly",ROUND(F1099*N(INDEX(Workers!$N$5:$N$2004,MATCH($A1099,Workers!$A$5:$A$2004,0))),2),0))</f>
        <v/>
      </c>
      <c r="M1099" s="26" t="str">
        <f aca="false">IF($A1099="","",ROUND(G1099*IF(D1099="Hourly",N(INDEX(Workers!$N$5:$N$2004,MATCH($A1099,Workers!$A$5:$A$2004,0))),I1099/Settings!$B$10/Settings!$B$12)*Settings!$B$13,2))</f>
        <v/>
      </c>
      <c r="N1099" s="26" t="str">
        <f aca="false">IF($A1099="","",K1099+L1099+M1099)</f>
        <v/>
      </c>
      <c r="O1099" s="26" t="str">
        <f aca="false">IF($A1099="","",SUMIFS(Deductions!$D$5:$D$2000,Deductions!$B$5:$B$2000,$A1099,Deductions!$C$5:$C$2000,"Advance",Deductions!$E$5:$E$2000,"&gt;="&amp;Settings!$B$8,Deductions!$E$5:$E$2000,"&lt;="&amp;Settings!$B$9))</f>
        <v/>
      </c>
      <c r="P1099" s="26" t="str">
        <f aca="false">IF($A1099="","",SUMIFS(Deductions!$D$5:$D$2000,Deductions!$B$5:$B$2000,$A1099,Deductions!$E$5:$E$2000,"&gt;="&amp;Settings!$B$8,Deductions!$E$5:$E$2000,"&lt;="&amp;Settings!$B$9)-O1099)</f>
        <v/>
      </c>
      <c r="Q1099" s="26" t="str">
        <f aca="false">IF($A1099="","",O1099+P1099)</f>
        <v/>
      </c>
      <c r="R1099" s="23" t="str">
        <f aca="false">IF($A1099="","",N1099-Q1099)</f>
        <v/>
      </c>
      <c r="S1099" s="24" t="str">
        <f aca="false">IF($A1099="","",INDEX(Workers!$O$5:$O$2004,MATCH($A1099,Workers!$A$5:$A$2004,0))&amp;"")</f>
        <v/>
      </c>
      <c r="T1099" s="24" t="str">
        <f aca="false">IF($A1099="","",INDEX(Workers!$P$5:$P$2004,MATCH($A1099,Workers!$A$5:$A$2004,0))&amp;"")</f>
        <v/>
      </c>
      <c r="U1099" s="24" t="str">
        <f aca="false">IF($A1099="","",INDEX(Workers!$H$5:$H$2004,MATCH($A1099,Workers!$A$5:$A$2004,0))&amp;"")</f>
        <v/>
      </c>
    </row>
    <row r="1100" customFormat="false" ht="15" hidden="false" customHeight="false" outlineLevel="0" collapsed="false">
      <c r="A1100" s="24" t="str">
        <f aca="false">IFERROR(INDEX(Workers!$A$5:$A$2004,MATCH(ROW()-4,Workers!$U$5:$U$2004,0)),"")</f>
        <v/>
      </c>
      <c r="B1100" s="24" t="str">
        <f aca="false">IF($A1100="","",INDEX(Workers!$B$5:$B$2004,MATCH($A1100,Workers!$A$5:$A$2004,0)))</f>
        <v/>
      </c>
      <c r="C1100" s="24" t="str">
        <f aca="false">IF($A1100="","",INDEX(Workers!$E$5:$E$2004,MATCH($A1100,Workers!$A$5:$A$2004,0)))</f>
        <v/>
      </c>
      <c r="D1100" s="24" t="str">
        <f aca="false">IF($A1100="","",INDEX(Workers!$K$5:$K$2004,MATCH($A1100,Workers!$A$5:$A$2004,0)))</f>
        <v/>
      </c>
      <c r="E1100" s="25" t="str">
        <f aca="false">IF($A1100="","",SUMIFS(Timesheet!$E$5:$E$3004,Timesheet!$D$5:$D$3004,$A1100,Timesheet!$A$5:$A$3004,"&gt;="&amp;Settings!$B$8,Timesheet!$A$5:$A$3004,"&lt;="&amp;Settings!$B$9))</f>
        <v/>
      </c>
      <c r="F1100" s="25" t="str">
        <f aca="false">IF($A1100="","",SUMIFS(Timesheet!$F$5:$F$3004,Timesheet!$D$5:$D$3004,$A1100,Timesheet!$A$5:$A$3004,"&gt;="&amp;Settings!$B$8,Timesheet!$A$5:$A$3004,"&lt;="&amp;Settings!$B$9))</f>
        <v/>
      </c>
      <c r="G1100" s="25" t="str">
        <f aca="false">IF($A1100="","",SUMIFS(Timesheet!$G$5:$G$3004,Timesheet!$D$5:$D$3004,$A1100,Timesheet!$A$5:$A$3004,"&gt;="&amp;Settings!$B$8,Timesheet!$A$5:$A$3004,"&lt;="&amp;Settings!$B$9))</f>
        <v/>
      </c>
      <c r="H1100" s="25" t="str">
        <f aca="false">IF($A1100="","",IF(D1100="Monthly",MAX(0,Settings!$B$11-E1100),0))</f>
        <v/>
      </c>
      <c r="I1100" s="26" t="str">
        <f aca="false">IF($A1100="","",N(INDEX(Workers!$L$5:$L$2004,MATCH($A1100,Workers!$A$5:$A$2004,0))))</f>
        <v/>
      </c>
      <c r="J1100" s="26" t="str">
        <f aca="false">IF($A1100="","",N(INDEX(Workers!$M$5:$M$2004,MATCH($A1100,Workers!$A$5:$A$2004,0))))</f>
        <v/>
      </c>
      <c r="K1100" s="26" t="str">
        <f aca="false">IF($A1100="","",IF(D1100="Monthly",ROUND(MAX(0,(I1100+J1100)-(I1100+J1100)/Settings!$B$10*H1100),2),0))</f>
        <v/>
      </c>
      <c r="L1100" s="26" t="str">
        <f aca="false">IF($A1100="","",IF(D1100="Hourly",ROUND(F1100*N(INDEX(Workers!$N$5:$N$2004,MATCH($A1100,Workers!$A$5:$A$2004,0))),2),0))</f>
        <v/>
      </c>
      <c r="M1100" s="26" t="str">
        <f aca="false">IF($A1100="","",ROUND(G1100*IF(D1100="Hourly",N(INDEX(Workers!$N$5:$N$2004,MATCH($A1100,Workers!$A$5:$A$2004,0))),I1100/Settings!$B$10/Settings!$B$12)*Settings!$B$13,2))</f>
        <v/>
      </c>
      <c r="N1100" s="26" t="str">
        <f aca="false">IF($A1100="","",K1100+L1100+M1100)</f>
        <v/>
      </c>
      <c r="O1100" s="26" t="str">
        <f aca="false">IF($A1100="","",SUMIFS(Deductions!$D$5:$D$2000,Deductions!$B$5:$B$2000,$A1100,Deductions!$C$5:$C$2000,"Advance",Deductions!$E$5:$E$2000,"&gt;="&amp;Settings!$B$8,Deductions!$E$5:$E$2000,"&lt;="&amp;Settings!$B$9))</f>
        <v/>
      </c>
      <c r="P1100" s="26" t="str">
        <f aca="false">IF($A1100="","",SUMIFS(Deductions!$D$5:$D$2000,Deductions!$B$5:$B$2000,$A1100,Deductions!$E$5:$E$2000,"&gt;="&amp;Settings!$B$8,Deductions!$E$5:$E$2000,"&lt;="&amp;Settings!$B$9)-O1100)</f>
        <v/>
      </c>
      <c r="Q1100" s="26" t="str">
        <f aca="false">IF($A1100="","",O1100+P1100)</f>
        <v/>
      </c>
      <c r="R1100" s="23" t="str">
        <f aca="false">IF($A1100="","",N1100-Q1100)</f>
        <v/>
      </c>
      <c r="S1100" s="24" t="str">
        <f aca="false">IF($A1100="","",INDEX(Workers!$O$5:$O$2004,MATCH($A1100,Workers!$A$5:$A$2004,0))&amp;"")</f>
        <v/>
      </c>
      <c r="T1100" s="24" t="str">
        <f aca="false">IF($A1100="","",INDEX(Workers!$P$5:$P$2004,MATCH($A1100,Workers!$A$5:$A$2004,0))&amp;"")</f>
        <v/>
      </c>
      <c r="U1100" s="24" t="str">
        <f aca="false">IF($A1100="","",INDEX(Workers!$H$5:$H$2004,MATCH($A1100,Workers!$A$5:$A$2004,0))&amp;"")</f>
        <v/>
      </c>
    </row>
    <row r="1101" customFormat="false" ht="15" hidden="false" customHeight="false" outlineLevel="0" collapsed="false">
      <c r="A1101" s="24" t="str">
        <f aca="false">IFERROR(INDEX(Workers!$A$5:$A$2004,MATCH(ROW()-4,Workers!$U$5:$U$2004,0)),"")</f>
        <v/>
      </c>
      <c r="B1101" s="24" t="str">
        <f aca="false">IF($A1101="","",INDEX(Workers!$B$5:$B$2004,MATCH($A1101,Workers!$A$5:$A$2004,0)))</f>
        <v/>
      </c>
      <c r="C1101" s="24" t="str">
        <f aca="false">IF($A1101="","",INDEX(Workers!$E$5:$E$2004,MATCH($A1101,Workers!$A$5:$A$2004,0)))</f>
        <v/>
      </c>
      <c r="D1101" s="24" t="str">
        <f aca="false">IF($A1101="","",INDEX(Workers!$K$5:$K$2004,MATCH($A1101,Workers!$A$5:$A$2004,0)))</f>
        <v/>
      </c>
      <c r="E1101" s="25" t="str">
        <f aca="false">IF($A1101="","",SUMIFS(Timesheet!$E$5:$E$3004,Timesheet!$D$5:$D$3004,$A1101,Timesheet!$A$5:$A$3004,"&gt;="&amp;Settings!$B$8,Timesheet!$A$5:$A$3004,"&lt;="&amp;Settings!$B$9))</f>
        <v/>
      </c>
      <c r="F1101" s="25" t="str">
        <f aca="false">IF($A1101="","",SUMIFS(Timesheet!$F$5:$F$3004,Timesheet!$D$5:$D$3004,$A1101,Timesheet!$A$5:$A$3004,"&gt;="&amp;Settings!$B$8,Timesheet!$A$5:$A$3004,"&lt;="&amp;Settings!$B$9))</f>
        <v/>
      </c>
      <c r="G1101" s="25" t="str">
        <f aca="false">IF($A1101="","",SUMIFS(Timesheet!$G$5:$G$3004,Timesheet!$D$5:$D$3004,$A1101,Timesheet!$A$5:$A$3004,"&gt;="&amp;Settings!$B$8,Timesheet!$A$5:$A$3004,"&lt;="&amp;Settings!$B$9))</f>
        <v/>
      </c>
      <c r="H1101" s="25" t="str">
        <f aca="false">IF($A1101="","",IF(D1101="Monthly",MAX(0,Settings!$B$11-E1101),0))</f>
        <v/>
      </c>
      <c r="I1101" s="26" t="str">
        <f aca="false">IF($A1101="","",N(INDEX(Workers!$L$5:$L$2004,MATCH($A1101,Workers!$A$5:$A$2004,0))))</f>
        <v/>
      </c>
      <c r="J1101" s="26" t="str">
        <f aca="false">IF($A1101="","",N(INDEX(Workers!$M$5:$M$2004,MATCH($A1101,Workers!$A$5:$A$2004,0))))</f>
        <v/>
      </c>
      <c r="K1101" s="26" t="str">
        <f aca="false">IF($A1101="","",IF(D1101="Monthly",ROUND(MAX(0,(I1101+J1101)-(I1101+J1101)/Settings!$B$10*H1101),2),0))</f>
        <v/>
      </c>
      <c r="L1101" s="26" t="str">
        <f aca="false">IF($A1101="","",IF(D1101="Hourly",ROUND(F1101*N(INDEX(Workers!$N$5:$N$2004,MATCH($A1101,Workers!$A$5:$A$2004,0))),2),0))</f>
        <v/>
      </c>
      <c r="M1101" s="26" t="str">
        <f aca="false">IF($A1101="","",ROUND(G1101*IF(D1101="Hourly",N(INDEX(Workers!$N$5:$N$2004,MATCH($A1101,Workers!$A$5:$A$2004,0))),I1101/Settings!$B$10/Settings!$B$12)*Settings!$B$13,2))</f>
        <v/>
      </c>
      <c r="N1101" s="26" t="str">
        <f aca="false">IF($A1101="","",K1101+L1101+M1101)</f>
        <v/>
      </c>
      <c r="O1101" s="26" t="str">
        <f aca="false">IF($A1101="","",SUMIFS(Deductions!$D$5:$D$2000,Deductions!$B$5:$B$2000,$A1101,Deductions!$C$5:$C$2000,"Advance",Deductions!$E$5:$E$2000,"&gt;="&amp;Settings!$B$8,Deductions!$E$5:$E$2000,"&lt;="&amp;Settings!$B$9))</f>
        <v/>
      </c>
      <c r="P1101" s="26" t="str">
        <f aca="false">IF($A1101="","",SUMIFS(Deductions!$D$5:$D$2000,Deductions!$B$5:$B$2000,$A1101,Deductions!$E$5:$E$2000,"&gt;="&amp;Settings!$B$8,Deductions!$E$5:$E$2000,"&lt;="&amp;Settings!$B$9)-O1101)</f>
        <v/>
      </c>
      <c r="Q1101" s="26" t="str">
        <f aca="false">IF($A1101="","",O1101+P1101)</f>
        <v/>
      </c>
      <c r="R1101" s="23" t="str">
        <f aca="false">IF($A1101="","",N1101-Q1101)</f>
        <v/>
      </c>
      <c r="S1101" s="24" t="str">
        <f aca="false">IF($A1101="","",INDEX(Workers!$O$5:$O$2004,MATCH($A1101,Workers!$A$5:$A$2004,0))&amp;"")</f>
        <v/>
      </c>
      <c r="T1101" s="24" t="str">
        <f aca="false">IF($A1101="","",INDEX(Workers!$P$5:$P$2004,MATCH($A1101,Workers!$A$5:$A$2004,0))&amp;"")</f>
        <v/>
      </c>
      <c r="U1101" s="24" t="str">
        <f aca="false">IF($A1101="","",INDEX(Workers!$H$5:$H$2004,MATCH($A1101,Workers!$A$5:$A$2004,0))&amp;"")</f>
        <v/>
      </c>
    </row>
    <row r="1102" customFormat="false" ht="15" hidden="false" customHeight="false" outlineLevel="0" collapsed="false">
      <c r="A1102" s="24" t="str">
        <f aca="false">IFERROR(INDEX(Workers!$A$5:$A$2004,MATCH(ROW()-4,Workers!$U$5:$U$2004,0)),"")</f>
        <v/>
      </c>
      <c r="B1102" s="24" t="str">
        <f aca="false">IF($A1102="","",INDEX(Workers!$B$5:$B$2004,MATCH($A1102,Workers!$A$5:$A$2004,0)))</f>
        <v/>
      </c>
      <c r="C1102" s="24" t="str">
        <f aca="false">IF($A1102="","",INDEX(Workers!$E$5:$E$2004,MATCH($A1102,Workers!$A$5:$A$2004,0)))</f>
        <v/>
      </c>
      <c r="D1102" s="24" t="str">
        <f aca="false">IF($A1102="","",INDEX(Workers!$K$5:$K$2004,MATCH($A1102,Workers!$A$5:$A$2004,0)))</f>
        <v/>
      </c>
      <c r="E1102" s="25" t="str">
        <f aca="false">IF($A1102="","",SUMIFS(Timesheet!$E$5:$E$3004,Timesheet!$D$5:$D$3004,$A1102,Timesheet!$A$5:$A$3004,"&gt;="&amp;Settings!$B$8,Timesheet!$A$5:$A$3004,"&lt;="&amp;Settings!$B$9))</f>
        <v/>
      </c>
      <c r="F1102" s="25" t="str">
        <f aca="false">IF($A1102="","",SUMIFS(Timesheet!$F$5:$F$3004,Timesheet!$D$5:$D$3004,$A1102,Timesheet!$A$5:$A$3004,"&gt;="&amp;Settings!$B$8,Timesheet!$A$5:$A$3004,"&lt;="&amp;Settings!$B$9))</f>
        <v/>
      </c>
      <c r="G1102" s="25" t="str">
        <f aca="false">IF($A1102="","",SUMIFS(Timesheet!$G$5:$G$3004,Timesheet!$D$5:$D$3004,$A1102,Timesheet!$A$5:$A$3004,"&gt;="&amp;Settings!$B$8,Timesheet!$A$5:$A$3004,"&lt;="&amp;Settings!$B$9))</f>
        <v/>
      </c>
      <c r="H1102" s="25" t="str">
        <f aca="false">IF($A1102="","",IF(D1102="Monthly",MAX(0,Settings!$B$11-E1102),0))</f>
        <v/>
      </c>
      <c r="I1102" s="26" t="str">
        <f aca="false">IF($A1102="","",N(INDEX(Workers!$L$5:$L$2004,MATCH($A1102,Workers!$A$5:$A$2004,0))))</f>
        <v/>
      </c>
      <c r="J1102" s="26" t="str">
        <f aca="false">IF($A1102="","",N(INDEX(Workers!$M$5:$M$2004,MATCH($A1102,Workers!$A$5:$A$2004,0))))</f>
        <v/>
      </c>
      <c r="K1102" s="26" t="str">
        <f aca="false">IF($A1102="","",IF(D1102="Monthly",ROUND(MAX(0,(I1102+J1102)-(I1102+J1102)/Settings!$B$10*H1102),2),0))</f>
        <v/>
      </c>
      <c r="L1102" s="26" t="str">
        <f aca="false">IF($A1102="","",IF(D1102="Hourly",ROUND(F1102*N(INDEX(Workers!$N$5:$N$2004,MATCH($A1102,Workers!$A$5:$A$2004,0))),2),0))</f>
        <v/>
      </c>
      <c r="M1102" s="26" t="str">
        <f aca="false">IF($A1102="","",ROUND(G1102*IF(D1102="Hourly",N(INDEX(Workers!$N$5:$N$2004,MATCH($A1102,Workers!$A$5:$A$2004,0))),I1102/Settings!$B$10/Settings!$B$12)*Settings!$B$13,2))</f>
        <v/>
      </c>
      <c r="N1102" s="26" t="str">
        <f aca="false">IF($A1102="","",K1102+L1102+M1102)</f>
        <v/>
      </c>
      <c r="O1102" s="26" t="str">
        <f aca="false">IF($A1102="","",SUMIFS(Deductions!$D$5:$D$2000,Deductions!$B$5:$B$2000,$A1102,Deductions!$C$5:$C$2000,"Advance",Deductions!$E$5:$E$2000,"&gt;="&amp;Settings!$B$8,Deductions!$E$5:$E$2000,"&lt;="&amp;Settings!$B$9))</f>
        <v/>
      </c>
      <c r="P1102" s="26" t="str">
        <f aca="false">IF($A1102="","",SUMIFS(Deductions!$D$5:$D$2000,Deductions!$B$5:$B$2000,$A1102,Deductions!$E$5:$E$2000,"&gt;="&amp;Settings!$B$8,Deductions!$E$5:$E$2000,"&lt;="&amp;Settings!$B$9)-O1102)</f>
        <v/>
      </c>
      <c r="Q1102" s="26" t="str">
        <f aca="false">IF($A1102="","",O1102+P1102)</f>
        <v/>
      </c>
      <c r="R1102" s="23" t="str">
        <f aca="false">IF($A1102="","",N1102-Q1102)</f>
        <v/>
      </c>
      <c r="S1102" s="24" t="str">
        <f aca="false">IF($A1102="","",INDEX(Workers!$O$5:$O$2004,MATCH($A1102,Workers!$A$5:$A$2004,0))&amp;"")</f>
        <v/>
      </c>
      <c r="T1102" s="24" t="str">
        <f aca="false">IF($A1102="","",INDEX(Workers!$P$5:$P$2004,MATCH($A1102,Workers!$A$5:$A$2004,0))&amp;"")</f>
        <v/>
      </c>
      <c r="U1102" s="24" t="str">
        <f aca="false">IF($A1102="","",INDEX(Workers!$H$5:$H$2004,MATCH($A1102,Workers!$A$5:$A$2004,0))&amp;"")</f>
        <v/>
      </c>
    </row>
    <row r="1103" customFormat="false" ht="15" hidden="false" customHeight="false" outlineLevel="0" collapsed="false">
      <c r="A1103" s="24" t="str">
        <f aca="false">IFERROR(INDEX(Workers!$A$5:$A$2004,MATCH(ROW()-4,Workers!$U$5:$U$2004,0)),"")</f>
        <v/>
      </c>
      <c r="B1103" s="24" t="str">
        <f aca="false">IF($A1103="","",INDEX(Workers!$B$5:$B$2004,MATCH($A1103,Workers!$A$5:$A$2004,0)))</f>
        <v/>
      </c>
      <c r="C1103" s="24" t="str">
        <f aca="false">IF($A1103="","",INDEX(Workers!$E$5:$E$2004,MATCH($A1103,Workers!$A$5:$A$2004,0)))</f>
        <v/>
      </c>
      <c r="D1103" s="24" t="str">
        <f aca="false">IF($A1103="","",INDEX(Workers!$K$5:$K$2004,MATCH($A1103,Workers!$A$5:$A$2004,0)))</f>
        <v/>
      </c>
      <c r="E1103" s="25" t="str">
        <f aca="false">IF($A1103="","",SUMIFS(Timesheet!$E$5:$E$3004,Timesheet!$D$5:$D$3004,$A1103,Timesheet!$A$5:$A$3004,"&gt;="&amp;Settings!$B$8,Timesheet!$A$5:$A$3004,"&lt;="&amp;Settings!$B$9))</f>
        <v/>
      </c>
      <c r="F1103" s="25" t="str">
        <f aca="false">IF($A1103="","",SUMIFS(Timesheet!$F$5:$F$3004,Timesheet!$D$5:$D$3004,$A1103,Timesheet!$A$5:$A$3004,"&gt;="&amp;Settings!$B$8,Timesheet!$A$5:$A$3004,"&lt;="&amp;Settings!$B$9))</f>
        <v/>
      </c>
      <c r="G1103" s="25" t="str">
        <f aca="false">IF($A1103="","",SUMIFS(Timesheet!$G$5:$G$3004,Timesheet!$D$5:$D$3004,$A1103,Timesheet!$A$5:$A$3004,"&gt;="&amp;Settings!$B$8,Timesheet!$A$5:$A$3004,"&lt;="&amp;Settings!$B$9))</f>
        <v/>
      </c>
      <c r="H1103" s="25" t="str">
        <f aca="false">IF($A1103="","",IF(D1103="Monthly",MAX(0,Settings!$B$11-E1103),0))</f>
        <v/>
      </c>
      <c r="I1103" s="26" t="str">
        <f aca="false">IF($A1103="","",N(INDEX(Workers!$L$5:$L$2004,MATCH($A1103,Workers!$A$5:$A$2004,0))))</f>
        <v/>
      </c>
      <c r="J1103" s="26" t="str">
        <f aca="false">IF($A1103="","",N(INDEX(Workers!$M$5:$M$2004,MATCH($A1103,Workers!$A$5:$A$2004,0))))</f>
        <v/>
      </c>
      <c r="K1103" s="26" t="str">
        <f aca="false">IF($A1103="","",IF(D1103="Monthly",ROUND(MAX(0,(I1103+J1103)-(I1103+J1103)/Settings!$B$10*H1103),2),0))</f>
        <v/>
      </c>
      <c r="L1103" s="26" t="str">
        <f aca="false">IF($A1103="","",IF(D1103="Hourly",ROUND(F1103*N(INDEX(Workers!$N$5:$N$2004,MATCH($A1103,Workers!$A$5:$A$2004,0))),2),0))</f>
        <v/>
      </c>
      <c r="M1103" s="26" t="str">
        <f aca="false">IF($A1103="","",ROUND(G1103*IF(D1103="Hourly",N(INDEX(Workers!$N$5:$N$2004,MATCH($A1103,Workers!$A$5:$A$2004,0))),I1103/Settings!$B$10/Settings!$B$12)*Settings!$B$13,2))</f>
        <v/>
      </c>
      <c r="N1103" s="26" t="str">
        <f aca="false">IF($A1103="","",K1103+L1103+M1103)</f>
        <v/>
      </c>
      <c r="O1103" s="26" t="str">
        <f aca="false">IF($A1103="","",SUMIFS(Deductions!$D$5:$D$2000,Deductions!$B$5:$B$2000,$A1103,Deductions!$C$5:$C$2000,"Advance",Deductions!$E$5:$E$2000,"&gt;="&amp;Settings!$B$8,Deductions!$E$5:$E$2000,"&lt;="&amp;Settings!$B$9))</f>
        <v/>
      </c>
      <c r="P1103" s="26" t="str">
        <f aca="false">IF($A1103="","",SUMIFS(Deductions!$D$5:$D$2000,Deductions!$B$5:$B$2000,$A1103,Deductions!$E$5:$E$2000,"&gt;="&amp;Settings!$B$8,Deductions!$E$5:$E$2000,"&lt;="&amp;Settings!$B$9)-O1103)</f>
        <v/>
      </c>
      <c r="Q1103" s="26" t="str">
        <f aca="false">IF($A1103="","",O1103+P1103)</f>
        <v/>
      </c>
      <c r="R1103" s="23" t="str">
        <f aca="false">IF($A1103="","",N1103-Q1103)</f>
        <v/>
      </c>
      <c r="S1103" s="24" t="str">
        <f aca="false">IF($A1103="","",INDEX(Workers!$O$5:$O$2004,MATCH($A1103,Workers!$A$5:$A$2004,0))&amp;"")</f>
        <v/>
      </c>
      <c r="T1103" s="24" t="str">
        <f aca="false">IF($A1103="","",INDEX(Workers!$P$5:$P$2004,MATCH($A1103,Workers!$A$5:$A$2004,0))&amp;"")</f>
        <v/>
      </c>
      <c r="U1103" s="24" t="str">
        <f aca="false">IF($A1103="","",INDEX(Workers!$H$5:$H$2004,MATCH($A1103,Workers!$A$5:$A$2004,0))&amp;"")</f>
        <v/>
      </c>
    </row>
    <row r="1104" customFormat="false" ht="15" hidden="false" customHeight="false" outlineLevel="0" collapsed="false">
      <c r="A1104" s="24" t="str">
        <f aca="false">IFERROR(INDEX(Workers!$A$5:$A$2004,MATCH(ROW()-4,Workers!$U$5:$U$2004,0)),"")</f>
        <v/>
      </c>
      <c r="B1104" s="24" t="str">
        <f aca="false">IF($A1104="","",INDEX(Workers!$B$5:$B$2004,MATCH($A1104,Workers!$A$5:$A$2004,0)))</f>
        <v/>
      </c>
      <c r="C1104" s="24" t="str">
        <f aca="false">IF($A1104="","",INDEX(Workers!$E$5:$E$2004,MATCH($A1104,Workers!$A$5:$A$2004,0)))</f>
        <v/>
      </c>
      <c r="D1104" s="24" t="str">
        <f aca="false">IF($A1104="","",INDEX(Workers!$K$5:$K$2004,MATCH($A1104,Workers!$A$5:$A$2004,0)))</f>
        <v/>
      </c>
      <c r="E1104" s="25" t="str">
        <f aca="false">IF($A1104="","",SUMIFS(Timesheet!$E$5:$E$3004,Timesheet!$D$5:$D$3004,$A1104,Timesheet!$A$5:$A$3004,"&gt;="&amp;Settings!$B$8,Timesheet!$A$5:$A$3004,"&lt;="&amp;Settings!$B$9))</f>
        <v/>
      </c>
      <c r="F1104" s="25" t="str">
        <f aca="false">IF($A1104="","",SUMIFS(Timesheet!$F$5:$F$3004,Timesheet!$D$5:$D$3004,$A1104,Timesheet!$A$5:$A$3004,"&gt;="&amp;Settings!$B$8,Timesheet!$A$5:$A$3004,"&lt;="&amp;Settings!$B$9))</f>
        <v/>
      </c>
      <c r="G1104" s="25" t="str">
        <f aca="false">IF($A1104="","",SUMIFS(Timesheet!$G$5:$G$3004,Timesheet!$D$5:$D$3004,$A1104,Timesheet!$A$5:$A$3004,"&gt;="&amp;Settings!$B$8,Timesheet!$A$5:$A$3004,"&lt;="&amp;Settings!$B$9))</f>
        <v/>
      </c>
      <c r="H1104" s="25" t="str">
        <f aca="false">IF($A1104="","",IF(D1104="Monthly",MAX(0,Settings!$B$11-E1104),0))</f>
        <v/>
      </c>
      <c r="I1104" s="26" t="str">
        <f aca="false">IF($A1104="","",N(INDEX(Workers!$L$5:$L$2004,MATCH($A1104,Workers!$A$5:$A$2004,0))))</f>
        <v/>
      </c>
      <c r="J1104" s="26" t="str">
        <f aca="false">IF($A1104="","",N(INDEX(Workers!$M$5:$M$2004,MATCH($A1104,Workers!$A$5:$A$2004,0))))</f>
        <v/>
      </c>
      <c r="K1104" s="26" t="str">
        <f aca="false">IF($A1104="","",IF(D1104="Monthly",ROUND(MAX(0,(I1104+J1104)-(I1104+J1104)/Settings!$B$10*H1104),2),0))</f>
        <v/>
      </c>
      <c r="L1104" s="26" t="str">
        <f aca="false">IF($A1104="","",IF(D1104="Hourly",ROUND(F1104*N(INDEX(Workers!$N$5:$N$2004,MATCH($A1104,Workers!$A$5:$A$2004,0))),2),0))</f>
        <v/>
      </c>
      <c r="M1104" s="26" t="str">
        <f aca="false">IF($A1104="","",ROUND(G1104*IF(D1104="Hourly",N(INDEX(Workers!$N$5:$N$2004,MATCH($A1104,Workers!$A$5:$A$2004,0))),I1104/Settings!$B$10/Settings!$B$12)*Settings!$B$13,2))</f>
        <v/>
      </c>
      <c r="N1104" s="26" t="str">
        <f aca="false">IF($A1104="","",K1104+L1104+M1104)</f>
        <v/>
      </c>
      <c r="O1104" s="26" t="str">
        <f aca="false">IF($A1104="","",SUMIFS(Deductions!$D$5:$D$2000,Deductions!$B$5:$B$2000,$A1104,Deductions!$C$5:$C$2000,"Advance",Deductions!$E$5:$E$2000,"&gt;="&amp;Settings!$B$8,Deductions!$E$5:$E$2000,"&lt;="&amp;Settings!$B$9))</f>
        <v/>
      </c>
      <c r="P1104" s="26" t="str">
        <f aca="false">IF($A1104="","",SUMIFS(Deductions!$D$5:$D$2000,Deductions!$B$5:$B$2000,$A1104,Deductions!$E$5:$E$2000,"&gt;="&amp;Settings!$B$8,Deductions!$E$5:$E$2000,"&lt;="&amp;Settings!$B$9)-O1104)</f>
        <v/>
      </c>
      <c r="Q1104" s="26" t="str">
        <f aca="false">IF($A1104="","",O1104+P1104)</f>
        <v/>
      </c>
      <c r="R1104" s="23" t="str">
        <f aca="false">IF($A1104="","",N1104-Q1104)</f>
        <v/>
      </c>
      <c r="S1104" s="24" t="str">
        <f aca="false">IF($A1104="","",INDEX(Workers!$O$5:$O$2004,MATCH($A1104,Workers!$A$5:$A$2004,0))&amp;"")</f>
        <v/>
      </c>
      <c r="T1104" s="24" t="str">
        <f aca="false">IF($A1104="","",INDEX(Workers!$P$5:$P$2004,MATCH($A1104,Workers!$A$5:$A$2004,0))&amp;"")</f>
        <v/>
      </c>
      <c r="U1104" s="24" t="str">
        <f aca="false">IF($A1104="","",INDEX(Workers!$H$5:$H$2004,MATCH($A1104,Workers!$A$5:$A$2004,0))&amp;"")</f>
        <v/>
      </c>
    </row>
    <row r="1105" customFormat="false" ht="15" hidden="false" customHeight="false" outlineLevel="0" collapsed="false">
      <c r="A1105" s="24" t="str">
        <f aca="false">IFERROR(INDEX(Workers!$A$5:$A$2004,MATCH(ROW()-4,Workers!$U$5:$U$2004,0)),"")</f>
        <v/>
      </c>
      <c r="B1105" s="24" t="str">
        <f aca="false">IF($A1105="","",INDEX(Workers!$B$5:$B$2004,MATCH($A1105,Workers!$A$5:$A$2004,0)))</f>
        <v/>
      </c>
      <c r="C1105" s="24" t="str">
        <f aca="false">IF($A1105="","",INDEX(Workers!$E$5:$E$2004,MATCH($A1105,Workers!$A$5:$A$2004,0)))</f>
        <v/>
      </c>
      <c r="D1105" s="24" t="str">
        <f aca="false">IF($A1105="","",INDEX(Workers!$K$5:$K$2004,MATCH($A1105,Workers!$A$5:$A$2004,0)))</f>
        <v/>
      </c>
      <c r="E1105" s="25" t="str">
        <f aca="false">IF($A1105="","",SUMIFS(Timesheet!$E$5:$E$3004,Timesheet!$D$5:$D$3004,$A1105,Timesheet!$A$5:$A$3004,"&gt;="&amp;Settings!$B$8,Timesheet!$A$5:$A$3004,"&lt;="&amp;Settings!$B$9))</f>
        <v/>
      </c>
      <c r="F1105" s="25" t="str">
        <f aca="false">IF($A1105="","",SUMIFS(Timesheet!$F$5:$F$3004,Timesheet!$D$5:$D$3004,$A1105,Timesheet!$A$5:$A$3004,"&gt;="&amp;Settings!$B$8,Timesheet!$A$5:$A$3004,"&lt;="&amp;Settings!$B$9))</f>
        <v/>
      </c>
      <c r="G1105" s="25" t="str">
        <f aca="false">IF($A1105="","",SUMIFS(Timesheet!$G$5:$G$3004,Timesheet!$D$5:$D$3004,$A1105,Timesheet!$A$5:$A$3004,"&gt;="&amp;Settings!$B$8,Timesheet!$A$5:$A$3004,"&lt;="&amp;Settings!$B$9))</f>
        <v/>
      </c>
      <c r="H1105" s="25" t="str">
        <f aca="false">IF($A1105="","",IF(D1105="Monthly",MAX(0,Settings!$B$11-E1105),0))</f>
        <v/>
      </c>
      <c r="I1105" s="26" t="str">
        <f aca="false">IF($A1105="","",N(INDEX(Workers!$L$5:$L$2004,MATCH($A1105,Workers!$A$5:$A$2004,0))))</f>
        <v/>
      </c>
      <c r="J1105" s="26" t="str">
        <f aca="false">IF($A1105="","",N(INDEX(Workers!$M$5:$M$2004,MATCH($A1105,Workers!$A$5:$A$2004,0))))</f>
        <v/>
      </c>
      <c r="K1105" s="26" t="str">
        <f aca="false">IF($A1105="","",IF(D1105="Monthly",ROUND(MAX(0,(I1105+J1105)-(I1105+J1105)/Settings!$B$10*H1105),2),0))</f>
        <v/>
      </c>
      <c r="L1105" s="26" t="str">
        <f aca="false">IF($A1105="","",IF(D1105="Hourly",ROUND(F1105*N(INDEX(Workers!$N$5:$N$2004,MATCH($A1105,Workers!$A$5:$A$2004,0))),2),0))</f>
        <v/>
      </c>
      <c r="M1105" s="26" t="str">
        <f aca="false">IF($A1105="","",ROUND(G1105*IF(D1105="Hourly",N(INDEX(Workers!$N$5:$N$2004,MATCH($A1105,Workers!$A$5:$A$2004,0))),I1105/Settings!$B$10/Settings!$B$12)*Settings!$B$13,2))</f>
        <v/>
      </c>
      <c r="N1105" s="26" t="str">
        <f aca="false">IF($A1105="","",K1105+L1105+M1105)</f>
        <v/>
      </c>
      <c r="O1105" s="26" t="str">
        <f aca="false">IF($A1105="","",SUMIFS(Deductions!$D$5:$D$2000,Deductions!$B$5:$B$2000,$A1105,Deductions!$C$5:$C$2000,"Advance",Deductions!$E$5:$E$2000,"&gt;="&amp;Settings!$B$8,Deductions!$E$5:$E$2000,"&lt;="&amp;Settings!$B$9))</f>
        <v/>
      </c>
      <c r="P1105" s="26" t="str">
        <f aca="false">IF($A1105="","",SUMIFS(Deductions!$D$5:$D$2000,Deductions!$B$5:$B$2000,$A1105,Deductions!$E$5:$E$2000,"&gt;="&amp;Settings!$B$8,Deductions!$E$5:$E$2000,"&lt;="&amp;Settings!$B$9)-O1105)</f>
        <v/>
      </c>
      <c r="Q1105" s="26" t="str">
        <f aca="false">IF($A1105="","",O1105+P1105)</f>
        <v/>
      </c>
      <c r="R1105" s="23" t="str">
        <f aca="false">IF($A1105="","",N1105-Q1105)</f>
        <v/>
      </c>
      <c r="S1105" s="24" t="str">
        <f aca="false">IF($A1105="","",INDEX(Workers!$O$5:$O$2004,MATCH($A1105,Workers!$A$5:$A$2004,0))&amp;"")</f>
        <v/>
      </c>
      <c r="T1105" s="24" t="str">
        <f aca="false">IF($A1105="","",INDEX(Workers!$P$5:$P$2004,MATCH($A1105,Workers!$A$5:$A$2004,0))&amp;"")</f>
        <v/>
      </c>
      <c r="U1105" s="24" t="str">
        <f aca="false">IF($A1105="","",INDEX(Workers!$H$5:$H$2004,MATCH($A1105,Workers!$A$5:$A$2004,0))&amp;"")</f>
        <v/>
      </c>
    </row>
    <row r="1106" customFormat="false" ht="15" hidden="false" customHeight="false" outlineLevel="0" collapsed="false">
      <c r="A1106" s="24" t="str">
        <f aca="false">IFERROR(INDEX(Workers!$A$5:$A$2004,MATCH(ROW()-4,Workers!$U$5:$U$2004,0)),"")</f>
        <v/>
      </c>
      <c r="B1106" s="24" t="str">
        <f aca="false">IF($A1106="","",INDEX(Workers!$B$5:$B$2004,MATCH($A1106,Workers!$A$5:$A$2004,0)))</f>
        <v/>
      </c>
      <c r="C1106" s="24" t="str">
        <f aca="false">IF($A1106="","",INDEX(Workers!$E$5:$E$2004,MATCH($A1106,Workers!$A$5:$A$2004,0)))</f>
        <v/>
      </c>
      <c r="D1106" s="24" t="str">
        <f aca="false">IF($A1106="","",INDEX(Workers!$K$5:$K$2004,MATCH($A1106,Workers!$A$5:$A$2004,0)))</f>
        <v/>
      </c>
      <c r="E1106" s="25" t="str">
        <f aca="false">IF($A1106="","",SUMIFS(Timesheet!$E$5:$E$3004,Timesheet!$D$5:$D$3004,$A1106,Timesheet!$A$5:$A$3004,"&gt;="&amp;Settings!$B$8,Timesheet!$A$5:$A$3004,"&lt;="&amp;Settings!$B$9))</f>
        <v/>
      </c>
      <c r="F1106" s="25" t="str">
        <f aca="false">IF($A1106="","",SUMIFS(Timesheet!$F$5:$F$3004,Timesheet!$D$5:$D$3004,$A1106,Timesheet!$A$5:$A$3004,"&gt;="&amp;Settings!$B$8,Timesheet!$A$5:$A$3004,"&lt;="&amp;Settings!$B$9))</f>
        <v/>
      </c>
      <c r="G1106" s="25" t="str">
        <f aca="false">IF($A1106="","",SUMIFS(Timesheet!$G$5:$G$3004,Timesheet!$D$5:$D$3004,$A1106,Timesheet!$A$5:$A$3004,"&gt;="&amp;Settings!$B$8,Timesheet!$A$5:$A$3004,"&lt;="&amp;Settings!$B$9))</f>
        <v/>
      </c>
      <c r="H1106" s="25" t="str">
        <f aca="false">IF($A1106="","",IF(D1106="Monthly",MAX(0,Settings!$B$11-E1106),0))</f>
        <v/>
      </c>
      <c r="I1106" s="26" t="str">
        <f aca="false">IF($A1106="","",N(INDEX(Workers!$L$5:$L$2004,MATCH($A1106,Workers!$A$5:$A$2004,0))))</f>
        <v/>
      </c>
      <c r="J1106" s="26" t="str">
        <f aca="false">IF($A1106="","",N(INDEX(Workers!$M$5:$M$2004,MATCH($A1106,Workers!$A$5:$A$2004,0))))</f>
        <v/>
      </c>
      <c r="K1106" s="26" t="str">
        <f aca="false">IF($A1106="","",IF(D1106="Monthly",ROUND(MAX(0,(I1106+J1106)-(I1106+J1106)/Settings!$B$10*H1106),2),0))</f>
        <v/>
      </c>
      <c r="L1106" s="26" t="str">
        <f aca="false">IF($A1106="","",IF(D1106="Hourly",ROUND(F1106*N(INDEX(Workers!$N$5:$N$2004,MATCH($A1106,Workers!$A$5:$A$2004,0))),2),0))</f>
        <v/>
      </c>
      <c r="M1106" s="26" t="str">
        <f aca="false">IF($A1106="","",ROUND(G1106*IF(D1106="Hourly",N(INDEX(Workers!$N$5:$N$2004,MATCH($A1106,Workers!$A$5:$A$2004,0))),I1106/Settings!$B$10/Settings!$B$12)*Settings!$B$13,2))</f>
        <v/>
      </c>
      <c r="N1106" s="26" t="str">
        <f aca="false">IF($A1106="","",K1106+L1106+M1106)</f>
        <v/>
      </c>
      <c r="O1106" s="26" t="str">
        <f aca="false">IF($A1106="","",SUMIFS(Deductions!$D$5:$D$2000,Deductions!$B$5:$B$2000,$A1106,Deductions!$C$5:$C$2000,"Advance",Deductions!$E$5:$E$2000,"&gt;="&amp;Settings!$B$8,Deductions!$E$5:$E$2000,"&lt;="&amp;Settings!$B$9))</f>
        <v/>
      </c>
      <c r="P1106" s="26" t="str">
        <f aca="false">IF($A1106="","",SUMIFS(Deductions!$D$5:$D$2000,Deductions!$B$5:$B$2000,$A1106,Deductions!$E$5:$E$2000,"&gt;="&amp;Settings!$B$8,Deductions!$E$5:$E$2000,"&lt;="&amp;Settings!$B$9)-O1106)</f>
        <v/>
      </c>
      <c r="Q1106" s="26" t="str">
        <f aca="false">IF($A1106="","",O1106+P1106)</f>
        <v/>
      </c>
      <c r="R1106" s="23" t="str">
        <f aca="false">IF($A1106="","",N1106-Q1106)</f>
        <v/>
      </c>
      <c r="S1106" s="24" t="str">
        <f aca="false">IF($A1106="","",INDEX(Workers!$O$5:$O$2004,MATCH($A1106,Workers!$A$5:$A$2004,0))&amp;"")</f>
        <v/>
      </c>
      <c r="T1106" s="24" t="str">
        <f aca="false">IF($A1106="","",INDEX(Workers!$P$5:$P$2004,MATCH($A1106,Workers!$A$5:$A$2004,0))&amp;"")</f>
        <v/>
      </c>
      <c r="U1106" s="24" t="str">
        <f aca="false">IF($A1106="","",INDEX(Workers!$H$5:$H$2004,MATCH($A1106,Workers!$A$5:$A$2004,0))&amp;"")</f>
        <v/>
      </c>
    </row>
    <row r="1107" customFormat="false" ht="15" hidden="false" customHeight="false" outlineLevel="0" collapsed="false">
      <c r="A1107" s="24" t="str">
        <f aca="false">IFERROR(INDEX(Workers!$A$5:$A$2004,MATCH(ROW()-4,Workers!$U$5:$U$2004,0)),"")</f>
        <v/>
      </c>
      <c r="B1107" s="24" t="str">
        <f aca="false">IF($A1107="","",INDEX(Workers!$B$5:$B$2004,MATCH($A1107,Workers!$A$5:$A$2004,0)))</f>
        <v/>
      </c>
      <c r="C1107" s="24" t="str">
        <f aca="false">IF($A1107="","",INDEX(Workers!$E$5:$E$2004,MATCH($A1107,Workers!$A$5:$A$2004,0)))</f>
        <v/>
      </c>
      <c r="D1107" s="24" t="str">
        <f aca="false">IF($A1107="","",INDEX(Workers!$K$5:$K$2004,MATCH($A1107,Workers!$A$5:$A$2004,0)))</f>
        <v/>
      </c>
      <c r="E1107" s="25" t="str">
        <f aca="false">IF($A1107="","",SUMIFS(Timesheet!$E$5:$E$3004,Timesheet!$D$5:$D$3004,$A1107,Timesheet!$A$5:$A$3004,"&gt;="&amp;Settings!$B$8,Timesheet!$A$5:$A$3004,"&lt;="&amp;Settings!$B$9))</f>
        <v/>
      </c>
      <c r="F1107" s="25" t="str">
        <f aca="false">IF($A1107="","",SUMIFS(Timesheet!$F$5:$F$3004,Timesheet!$D$5:$D$3004,$A1107,Timesheet!$A$5:$A$3004,"&gt;="&amp;Settings!$B$8,Timesheet!$A$5:$A$3004,"&lt;="&amp;Settings!$B$9))</f>
        <v/>
      </c>
      <c r="G1107" s="25" t="str">
        <f aca="false">IF($A1107="","",SUMIFS(Timesheet!$G$5:$G$3004,Timesheet!$D$5:$D$3004,$A1107,Timesheet!$A$5:$A$3004,"&gt;="&amp;Settings!$B$8,Timesheet!$A$5:$A$3004,"&lt;="&amp;Settings!$B$9))</f>
        <v/>
      </c>
      <c r="H1107" s="25" t="str">
        <f aca="false">IF($A1107="","",IF(D1107="Monthly",MAX(0,Settings!$B$11-E1107),0))</f>
        <v/>
      </c>
      <c r="I1107" s="26" t="str">
        <f aca="false">IF($A1107="","",N(INDEX(Workers!$L$5:$L$2004,MATCH($A1107,Workers!$A$5:$A$2004,0))))</f>
        <v/>
      </c>
      <c r="J1107" s="26" t="str">
        <f aca="false">IF($A1107="","",N(INDEX(Workers!$M$5:$M$2004,MATCH($A1107,Workers!$A$5:$A$2004,0))))</f>
        <v/>
      </c>
      <c r="K1107" s="26" t="str">
        <f aca="false">IF($A1107="","",IF(D1107="Monthly",ROUND(MAX(0,(I1107+J1107)-(I1107+J1107)/Settings!$B$10*H1107),2),0))</f>
        <v/>
      </c>
      <c r="L1107" s="26" t="str">
        <f aca="false">IF($A1107="","",IF(D1107="Hourly",ROUND(F1107*N(INDEX(Workers!$N$5:$N$2004,MATCH($A1107,Workers!$A$5:$A$2004,0))),2),0))</f>
        <v/>
      </c>
      <c r="M1107" s="26" t="str">
        <f aca="false">IF($A1107="","",ROUND(G1107*IF(D1107="Hourly",N(INDEX(Workers!$N$5:$N$2004,MATCH($A1107,Workers!$A$5:$A$2004,0))),I1107/Settings!$B$10/Settings!$B$12)*Settings!$B$13,2))</f>
        <v/>
      </c>
      <c r="N1107" s="26" t="str">
        <f aca="false">IF($A1107="","",K1107+L1107+M1107)</f>
        <v/>
      </c>
      <c r="O1107" s="26" t="str">
        <f aca="false">IF($A1107="","",SUMIFS(Deductions!$D$5:$D$2000,Deductions!$B$5:$B$2000,$A1107,Deductions!$C$5:$C$2000,"Advance",Deductions!$E$5:$E$2000,"&gt;="&amp;Settings!$B$8,Deductions!$E$5:$E$2000,"&lt;="&amp;Settings!$B$9))</f>
        <v/>
      </c>
      <c r="P1107" s="26" t="str">
        <f aca="false">IF($A1107="","",SUMIFS(Deductions!$D$5:$D$2000,Deductions!$B$5:$B$2000,$A1107,Deductions!$E$5:$E$2000,"&gt;="&amp;Settings!$B$8,Deductions!$E$5:$E$2000,"&lt;="&amp;Settings!$B$9)-O1107)</f>
        <v/>
      </c>
      <c r="Q1107" s="26" t="str">
        <f aca="false">IF($A1107="","",O1107+P1107)</f>
        <v/>
      </c>
      <c r="R1107" s="23" t="str">
        <f aca="false">IF($A1107="","",N1107-Q1107)</f>
        <v/>
      </c>
      <c r="S1107" s="24" t="str">
        <f aca="false">IF($A1107="","",INDEX(Workers!$O$5:$O$2004,MATCH($A1107,Workers!$A$5:$A$2004,0))&amp;"")</f>
        <v/>
      </c>
      <c r="T1107" s="24" t="str">
        <f aca="false">IF($A1107="","",INDEX(Workers!$P$5:$P$2004,MATCH($A1107,Workers!$A$5:$A$2004,0))&amp;"")</f>
        <v/>
      </c>
      <c r="U1107" s="24" t="str">
        <f aca="false">IF($A1107="","",INDEX(Workers!$H$5:$H$2004,MATCH($A1107,Workers!$A$5:$A$2004,0))&amp;"")</f>
        <v/>
      </c>
    </row>
    <row r="1108" customFormat="false" ht="15" hidden="false" customHeight="false" outlineLevel="0" collapsed="false">
      <c r="A1108" s="24" t="str">
        <f aca="false">IFERROR(INDEX(Workers!$A$5:$A$2004,MATCH(ROW()-4,Workers!$U$5:$U$2004,0)),"")</f>
        <v/>
      </c>
      <c r="B1108" s="24" t="str">
        <f aca="false">IF($A1108="","",INDEX(Workers!$B$5:$B$2004,MATCH($A1108,Workers!$A$5:$A$2004,0)))</f>
        <v/>
      </c>
      <c r="C1108" s="24" t="str">
        <f aca="false">IF($A1108="","",INDEX(Workers!$E$5:$E$2004,MATCH($A1108,Workers!$A$5:$A$2004,0)))</f>
        <v/>
      </c>
      <c r="D1108" s="24" t="str">
        <f aca="false">IF($A1108="","",INDEX(Workers!$K$5:$K$2004,MATCH($A1108,Workers!$A$5:$A$2004,0)))</f>
        <v/>
      </c>
      <c r="E1108" s="25" t="str">
        <f aca="false">IF($A1108="","",SUMIFS(Timesheet!$E$5:$E$3004,Timesheet!$D$5:$D$3004,$A1108,Timesheet!$A$5:$A$3004,"&gt;="&amp;Settings!$B$8,Timesheet!$A$5:$A$3004,"&lt;="&amp;Settings!$B$9))</f>
        <v/>
      </c>
      <c r="F1108" s="25" t="str">
        <f aca="false">IF($A1108="","",SUMIFS(Timesheet!$F$5:$F$3004,Timesheet!$D$5:$D$3004,$A1108,Timesheet!$A$5:$A$3004,"&gt;="&amp;Settings!$B$8,Timesheet!$A$5:$A$3004,"&lt;="&amp;Settings!$B$9))</f>
        <v/>
      </c>
      <c r="G1108" s="25" t="str">
        <f aca="false">IF($A1108="","",SUMIFS(Timesheet!$G$5:$G$3004,Timesheet!$D$5:$D$3004,$A1108,Timesheet!$A$5:$A$3004,"&gt;="&amp;Settings!$B$8,Timesheet!$A$5:$A$3004,"&lt;="&amp;Settings!$B$9))</f>
        <v/>
      </c>
      <c r="H1108" s="25" t="str">
        <f aca="false">IF($A1108="","",IF(D1108="Monthly",MAX(0,Settings!$B$11-E1108),0))</f>
        <v/>
      </c>
      <c r="I1108" s="26" t="str">
        <f aca="false">IF($A1108="","",N(INDEX(Workers!$L$5:$L$2004,MATCH($A1108,Workers!$A$5:$A$2004,0))))</f>
        <v/>
      </c>
      <c r="J1108" s="26" t="str">
        <f aca="false">IF($A1108="","",N(INDEX(Workers!$M$5:$M$2004,MATCH($A1108,Workers!$A$5:$A$2004,0))))</f>
        <v/>
      </c>
      <c r="K1108" s="26" t="str">
        <f aca="false">IF($A1108="","",IF(D1108="Monthly",ROUND(MAX(0,(I1108+J1108)-(I1108+J1108)/Settings!$B$10*H1108),2),0))</f>
        <v/>
      </c>
      <c r="L1108" s="26" t="str">
        <f aca="false">IF($A1108="","",IF(D1108="Hourly",ROUND(F1108*N(INDEX(Workers!$N$5:$N$2004,MATCH($A1108,Workers!$A$5:$A$2004,0))),2),0))</f>
        <v/>
      </c>
      <c r="M1108" s="26" t="str">
        <f aca="false">IF($A1108="","",ROUND(G1108*IF(D1108="Hourly",N(INDEX(Workers!$N$5:$N$2004,MATCH($A1108,Workers!$A$5:$A$2004,0))),I1108/Settings!$B$10/Settings!$B$12)*Settings!$B$13,2))</f>
        <v/>
      </c>
      <c r="N1108" s="26" t="str">
        <f aca="false">IF($A1108="","",K1108+L1108+M1108)</f>
        <v/>
      </c>
      <c r="O1108" s="26" t="str">
        <f aca="false">IF($A1108="","",SUMIFS(Deductions!$D$5:$D$2000,Deductions!$B$5:$B$2000,$A1108,Deductions!$C$5:$C$2000,"Advance",Deductions!$E$5:$E$2000,"&gt;="&amp;Settings!$B$8,Deductions!$E$5:$E$2000,"&lt;="&amp;Settings!$B$9))</f>
        <v/>
      </c>
      <c r="P1108" s="26" t="str">
        <f aca="false">IF($A1108="","",SUMIFS(Deductions!$D$5:$D$2000,Deductions!$B$5:$B$2000,$A1108,Deductions!$E$5:$E$2000,"&gt;="&amp;Settings!$B$8,Deductions!$E$5:$E$2000,"&lt;="&amp;Settings!$B$9)-O1108)</f>
        <v/>
      </c>
      <c r="Q1108" s="26" t="str">
        <f aca="false">IF($A1108="","",O1108+P1108)</f>
        <v/>
      </c>
      <c r="R1108" s="23" t="str">
        <f aca="false">IF($A1108="","",N1108-Q1108)</f>
        <v/>
      </c>
      <c r="S1108" s="24" t="str">
        <f aca="false">IF($A1108="","",INDEX(Workers!$O$5:$O$2004,MATCH($A1108,Workers!$A$5:$A$2004,0))&amp;"")</f>
        <v/>
      </c>
      <c r="T1108" s="24" t="str">
        <f aca="false">IF($A1108="","",INDEX(Workers!$P$5:$P$2004,MATCH($A1108,Workers!$A$5:$A$2004,0))&amp;"")</f>
        <v/>
      </c>
      <c r="U1108" s="24" t="str">
        <f aca="false">IF($A1108="","",INDEX(Workers!$H$5:$H$2004,MATCH($A1108,Workers!$A$5:$A$2004,0))&amp;"")</f>
        <v/>
      </c>
    </row>
    <row r="1109" customFormat="false" ht="15" hidden="false" customHeight="false" outlineLevel="0" collapsed="false">
      <c r="A1109" s="24" t="str">
        <f aca="false">IFERROR(INDEX(Workers!$A$5:$A$2004,MATCH(ROW()-4,Workers!$U$5:$U$2004,0)),"")</f>
        <v/>
      </c>
      <c r="B1109" s="24" t="str">
        <f aca="false">IF($A1109="","",INDEX(Workers!$B$5:$B$2004,MATCH($A1109,Workers!$A$5:$A$2004,0)))</f>
        <v/>
      </c>
      <c r="C1109" s="24" t="str">
        <f aca="false">IF($A1109="","",INDEX(Workers!$E$5:$E$2004,MATCH($A1109,Workers!$A$5:$A$2004,0)))</f>
        <v/>
      </c>
      <c r="D1109" s="24" t="str">
        <f aca="false">IF($A1109="","",INDEX(Workers!$K$5:$K$2004,MATCH($A1109,Workers!$A$5:$A$2004,0)))</f>
        <v/>
      </c>
      <c r="E1109" s="25" t="str">
        <f aca="false">IF($A1109="","",SUMIFS(Timesheet!$E$5:$E$3004,Timesheet!$D$5:$D$3004,$A1109,Timesheet!$A$5:$A$3004,"&gt;="&amp;Settings!$B$8,Timesheet!$A$5:$A$3004,"&lt;="&amp;Settings!$B$9))</f>
        <v/>
      </c>
      <c r="F1109" s="25" t="str">
        <f aca="false">IF($A1109="","",SUMIFS(Timesheet!$F$5:$F$3004,Timesheet!$D$5:$D$3004,$A1109,Timesheet!$A$5:$A$3004,"&gt;="&amp;Settings!$B$8,Timesheet!$A$5:$A$3004,"&lt;="&amp;Settings!$B$9))</f>
        <v/>
      </c>
      <c r="G1109" s="25" t="str">
        <f aca="false">IF($A1109="","",SUMIFS(Timesheet!$G$5:$G$3004,Timesheet!$D$5:$D$3004,$A1109,Timesheet!$A$5:$A$3004,"&gt;="&amp;Settings!$B$8,Timesheet!$A$5:$A$3004,"&lt;="&amp;Settings!$B$9))</f>
        <v/>
      </c>
      <c r="H1109" s="25" t="str">
        <f aca="false">IF($A1109="","",IF(D1109="Monthly",MAX(0,Settings!$B$11-E1109),0))</f>
        <v/>
      </c>
      <c r="I1109" s="26" t="str">
        <f aca="false">IF($A1109="","",N(INDEX(Workers!$L$5:$L$2004,MATCH($A1109,Workers!$A$5:$A$2004,0))))</f>
        <v/>
      </c>
      <c r="J1109" s="26" t="str">
        <f aca="false">IF($A1109="","",N(INDEX(Workers!$M$5:$M$2004,MATCH($A1109,Workers!$A$5:$A$2004,0))))</f>
        <v/>
      </c>
      <c r="K1109" s="26" t="str">
        <f aca="false">IF($A1109="","",IF(D1109="Monthly",ROUND(MAX(0,(I1109+J1109)-(I1109+J1109)/Settings!$B$10*H1109),2),0))</f>
        <v/>
      </c>
      <c r="L1109" s="26" t="str">
        <f aca="false">IF($A1109="","",IF(D1109="Hourly",ROUND(F1109*N(INDEX(Workers!$N$5:$N$2004,MATCH($A1109,Workers!$A$5:$A$2004,0))),2),0))</f>
        <v/>
      </c>
      <c r="M1109" s="26" t="str">
        <f aca="false">IF($A1109="","",ROUND(G1109*IF(D1109="Hourly",N(INDEX(Workers!$N$5:$N$2004,MATCH($A1109,Workers!$A$5:$A$2004,0))),I1109/Settings!$B$10/Settings!$B$12)*Settings!$B$13,2))</f>
        <v/>
      </c>
      <c r="N1109" s="26" t="str">
        <f aca="false">IF($A1109="","",K1109+L1109+M1109)</f>
        <v/>
      </c>
      <c r="O1109" s="26" t="str">
        <f aca="false">IF($A1109="","",SUMIFS(Deductions!$D$5:$D$2000,Deductions!$B$5:$B$2000,$A1109,Deductions!$C$5:$C$2000,"Advance",Deductions!$E$5:$E$2000,"&gt;="&amp;Settings!$B$8,Deductions!$E$5:$E$2000,"&lt;="&amp;Settings!$B$9))</f>
        <v/>
      </c>
      <c r="P1109" s="26" t="str">
        <f aca="false">IF($A1109="","",SUMIFS(Deductions!$D$5:$D$2000,Deductions!$B$5:$B$2000,$A1109,Deductions!$E$5:$E$2000,"&gt;="&amp;Settings!$B$8,Deductions!$E$5:$E$2000,"&lt;="&amp;Settings!$B$9)-O1109)</f>
        <v/>
      </c>
      <c r="Q1109" s="26" t="str">
        <f aca="false">IF($A1109="","",O1109+P1109)</f>
        <v/>
      </c>
      <c r="R1109" s="23" t="str">
        <f aca="false">IF($A1109="","",N1109-Q1109)</f>
        <v/>
      </c>
      <c r="S1109" s="24" t="str">
        <f aca="false">IF($A1109="","",INDEX(Workers!$O$5:$O$2004,MATCH($A1109,Workers!$A$5:$A$2004,0))&amp;"")</f>
        <v/>
      </c>
      <c r="T1109" s="24" t="str">
        <f aca="false">IF($A1109="","",INDEX(Workers!$P$5:$P$2004,MATCH($A1109,Workers!$A$5:$A$2004,0))&amp;"")</f>
        <v/>
      </c>
      <c r="U1109" s="24" t="str">
        <f aca="false">IF($A1109="","",INDEX(Workers!$H$5:$H$2004,MATCH($A1109,Workers!$A$5:$A$2004,0))&amp;"")</f>
        <v/>
      </c>
    </row>
    <row r="1110" customFormat="false" ht="15" hidden="false" customHeight="false" outlineLevel="0" collapsed="false">
      <c r="A1110" s="24" t="str">
        <f aca="false">IFERROR(INDEX(Workers!$A$5:$A$2004,MATCH(ROW()-4,Workers!$U$5:$U$2004,0)),"")</f>
        <v/>
      </c>
      <c r="B1110" s="24" t="str">
        <f aca="false">IF($A1110="","",INDEX(Workers!$B$5:$B$2004,MATCH($A1110,Workers!$A$5:$A$2004,0)))</f>
        <v/>
      </c>
      <c r="C1110" s="24" t="str">
        <f aca="false">IF($A1110="","",INDEX(Workers!$E$5:$E$2004,MATCH($A1110,Workers!$A$5:$A$2004,0)))</f>
        <v/>
      </c>
      <c r="D1110" s="24" t="str">
        <f aca="false">IF($A1110="","",INDEX(Workers!$K$5:$K$2004,MATCH($A1110,Workers!$A$5:$A$2004,0)))</f>
        <v/>
      </c>
      <c r="E1110" s="25" t="str">
        <f aca="false">IF($A1110="","",SUMIFS(Timesheet!$E$5:$E$3004,Timesheet!$D$5:$D$3004,$A1110,Timesheet!$A$5:$A$3004,"&gt;="&amp;Settings!$B$8,Timesheet!$A$5:$A$3004,"&lt;="&amp;Settings!$B$9))</f>
        <v/>
      </c>
      <c r="F1110" s="25" t="str">
        <f aca="false">IF($A1110="","",SUMIFS(Timesheet!$F$5:$F$3004,Timesheet!$D$5:$D$3004,$A1110,Timesheet!$A$5:$A$3004,"&gt;="&amp;Settings!$B$8,Timesheet!$A$5:$A$3004,"&lt;="&amp;Settings!$B$9))</f>
        <v/>
      </c>
      <c r="G1110" s="25" t="str">
        <f aca="false">IF($A1110="","",SUMIFS(Timesheet!$G$5:$G$3004,Timesheet!$D$5:$D$3004,$A1110,Timesheet!$A$5:$A$3004,"&gt;="&amp;Settings!$B$8,Timesheet!$A$5:$A$3004,"&lt;="&amp;Settings!$B$9))</f>
        <v/>
      </c>
      <c r="H1110" s="25" t="str">
        <f aca="false">IF($A1110="","",IF(D1110="Monthly",MAX(0,Settings!$B$11-E1110),0))</f>
        <v/>
      </c>
      <c r="I1110" s="26" t="str">
        <f aca="false">IF($A1110="","",N(INDEX(Workers!$L$5:$L$2004,MATCH($A1110,Workers!$A$5:$A$2004,0))))</f>
        <v/>
      </c>
      <c r="J1110" s="26" t="str">
        <f aca="false">IF($A1110="","",N(INDEX(Workers!$M$5:$M$2004,MATCH($A1110,Workers!$A$5:$A$2004,0))))</f>
        <v/>
      </c>
      <c r="K1110" s="26" t="str">
        <f aca="false">IF($A1110="","",IF(D1110="Monthly",ROUND(MAX(0,(I1110+J1110)-(I1110+J1110)/Settings!$B$10*H1110),2),0))</f>
        <v/>
      </c>
      <c r="L1110" s="26" t="str">
        <f aca="false">IF($A1110="","",IF(D1110="Hourly",ROUND(F1110*N(INDEX(Workers!$N$5:$N$2004,MATCH($A1110,Workers!$A$5:$A$2004,0))),2),0))</f>
        <v/>
      </c>
      <c r="M1110" s="26" t="str">
        <f aca="false">IF($A1110="","",ROUND(G1110*IF(D1110="Hourly",N(INDEX(Workers!$N$5:$N$2004,MATCH($A1110,Workers!$A$5:$A$2004,0))),I1110/Settings!$B$10/Settings!$B$12)*Settings!$B$13,2))</f>
        <v/>
      </c>
      <c r="N1110" s="26" t="str">
        <f aca="false">IF($A1110="","",K1110+L1110+M1110)</f>
        <v/>
      </c>
      <c r="O1110" s="26" t="str">
        <f aca="false">IF($A1110="","",SUMIFS(Deductions!$D$5:$D$2000,Deductions!$B$5:$B$2000,$A1110,Deductions!$C$5:$C$2000,"Advance",Deductions!$E$5:$E$2000,"&gt;="&amp;Settings!$B$8,Deductions!$E$5:$E$2000,"&lt;="&amp;Settings!$B$9))</f>
        <v/>
      </c>
      <c r="P1110" s="26" t="str">
        <f aca="false">IF($A1110="","",SUMIFS(Deductions!$D$5:$D$2000,Deductions!$B$5:$B$2000,$A1110,Deductions!$E$5:$E$2000,"&gt;="&amp;Settings!$B$8,Deductions!$E$5:$E$2000,"&lt;="&amp;Settings!$B$9)-O1110)</f>
        <v/>
      </c>
      <c r="Q1110" s="26" t="str">
        <f aca="false">IF($A1110="","",O1110+P1110)</f>
        <v/>
      </c>
      <c r="R1110" s="23" t="str">
        <f aca="false">IF($A1110="","",N1110-Q1110)</f>
        <v/>
      </c>
      <c r="S1110" s="24" t="str">
        <f aca="false">IF($A1110="","",INDEX(Workers!$O$5:$O$2004,MATCH($A1110,Workers!$A$5:$A$2004,0))&amp;"")</f>
        <v/>
      </c>
      <c r="T1110" s="24" t="str">
        <f aca="false">IF($A1110="","",INDEX(Workers!$P$5:$P$2004,MATCH($A1110,Workers!$A$5:$A$2004,0))&amp;"")</f>
        <v/>
      </c>
      <c r="U1110" s="24" t="str">
        <f aca="false">IF($A1110="","",INDEX(Workers!$H$5:$H$2004,MATCH($A1110,Workers!$A$5:$A$2004,0))&amp;"")</f>
        <v/>
      </c>
    </row>
    <row r="1111" customFormat="false" ht="15" hidden="false" customHeight="false" outlineLevel="0" collapsed="false">
      <c r="A1111" s="24" t="str">
        <f aca="false">IFERROR(INDEX(Workers!$A$5:$A$2004,MATCH(ROW()-4,Workers!$U$5:$U$2004,0)),"")</f>
        <v/>
      </c>
      <c r="B1111" s="24" t="str">
        <f aca="false">IF($A1111="","",INDEX(Workers!$B$5:$B$2004,MATCH($A1111,Workers!$A$5:$A$2004,0)))</f>
        <v/>
      </c>
      <c r="C1111" s="24" t="str">
        <f aca="false">IF($A1111="","",INDEX(Workers!$E$5:$E$2004,MATCH($A1111,Workers!$A$5:$A$2004,0)))</f>
        <v/>
      </c>
      <c r="D1111" s="24" t="str">
        <f aca="false">IF($A1111="","",INDEX(Workers!$K$5:$K$2004,MATCH($A1111,Workers!$A$5:$A$2004,0)))</f>
        <v/>
      </c>
      <c r="E1111" s="25" t="str">
        <f aca="false">IF($A1111="","",SUMIFS(Timesheet!$E$5:$E$3004,Timesheet!$D$5:$D$3004,$A1111,Timesheet!$A$5:$A$3004,"&gt;="&amp;Settings!$B$8,Timesheet!$A$5:$A$3004,"&lt;="&amp;Settings!$B$9))</f>
        <v/>
      </c>
      <c r="F1111" s="25" t="str">
        <f aca="false">IF($A1111="","",SUMIFS(Timesheet!$F$5:$F$3004,Timesheet!$D$5:$D$3004,$A1111,Timesheet!$A$5:$A$3004,"&gt;="&amp;Settings!$B$8,Timesheet!$A$5:$A$3004,"&lt;="&amp;Settings!$B$9))</f>
        <v/>
      </c>
      <c r="G1111" s="25" t="str">
        <f aca="false">IF($A1111="","",SUMIFS(Timesheet!$G$5:$G$3004,Timesheet!$D$5:$D$3004,$A1111,Timesheet!$A$5:$A$3004,"&gt;="&amp;Settings!$B$8,Timesheet!$A$5:$A$3004,"&lt;="&amp;Settings!$B$9))</f>
        <v/>
      </c>
      <c r="H1111" s="25" t="str">
        <f aca="false">IF($A1111="","",IF(D1111="Monthly",MAX(0,Settings!$B$11-E1111),0))</f>
        <v/>
      </c>
      <c r="I1111" s="26" t="str">
        <f aca="false">IF($A1111="","",N(INDEX(Workers!$L$5:$L$2004,MATCH($A1111,Workers!$A$5:$A$2004,0))))</f>
        <v/>
      </c>
      <c r="J1111" s="26" t="str">
        <f aca="false">IF($A1111="","",N(INDEX(Workers!$M$5:$M$2004,MATCH($A1111,Workers!$A$5:$A$2004,0))))</f>
        <v/>
      </c>
      <c r="K1111" s="26" t="str">
        <f aca="false">IF($A1111="","",IF(D1111="Monthly",ROUND(MAX(0,(I1111+J1111)-(I1111+J1111)/Settings!$B$10*H1111),2),0))</f>
        <v/>
      </c>
      <c r="L1111" s="26" t="str">
        <f aca="false">IF($A1111="","",IF(D1111="Hourly",ROUND(F1111*N(INDEX(Workers!$N$5:$N$2004,MATCH($A1111,Workers!$A$5:$A$2004,0))),2),0))</f>
        <v/>
      </c>
      <c r="M1111" s="26" t="str">
        <f aca="false">IF($A1111="","",ROUND(G1111*IF(D1111="Hourly",N(INDEX(Workers!$N$5:$N$2004,MATCH($A1111,Workers!$A$5:$A$2004,0))),I1111/Settings!$B$10/Settings!$B$12)*Settings!$B$13,2))</f>
        <v/>
      </c>
      <c r="N1111" s="26" t="str">
        <f aca="false">IF($A1111="","",K1111+L1111+M1111)</f>
        <v/>
      </c>
      <c r="O1111" s="26" t="str">
        <f aca="false">IF($A1111="","",SUMIFS(Deductions!$D$5:$D$2000,Deductions!$B$5:$B$2000,$A1111,Deductions!$C$5:$C$2000,"Advance",Deductions!$E$5:$E$2000,"&gt;="&amp;Settings!$B$8,Deductions!$E$5:$E$2000,"&lt;="&amp;Settings!$B$9))</f>
        <v/>
      </c>
      <c r="P1111" s="26" t="str">
        <f aca="false">IF($A1111="","",SUMIFS(Deductions!$D$5:$D$2000,Deductions!$B$5:$B$2000,$A1111,Deductions!$E$5:$E$2000,"&gt;="&amp;Settings!$B$8,Deductions!$E$5:$E$2000,"&lt;="&amp;Settings!$B$9)-O1111)</f>
        <v/>
      </c>
      <c r="Q1111" s="26" t="str">
        <f aca="false">IF($A1111="","",O1111+P1111)</f>
        <v/>
      </c>
      <c r="R1111" s="23" t="str">
        <f aca="false">IF($A1111="","",N1111-Q1111)</f>
        <v/>
      </c>
      <c r="S1111" s="24" t="str">
        <f aca="false">IF($A1111="","",INDEX(Workers!$O$5:$O$2004,MATCH($A1111,Workers!$A$5:$A$2004,0))&amp;"")</f>
        <v/>
      </c>
      <c r="T1111" s="24" t="str">
        <f aca="false">IF($A1111="","",INDEX(Workers!$P$5:$P$2004,MATCH($A1111,Workers!$A$5:$A$2004,0))&amp;"")</f>
        <v/>
      </c>
      <c r="U1111" s="24" t="str">
        <f aca="false">IF($A1111="","",INDEX(Workers!$H$5:$H$2004,MATCH($A1111,Workers!$A$5:$A$2004,0))&amp;"")</f>
        <v/>
      </c>
    </row>
    <row r="1112" customFormat="false" ht="15" hidden="false" customHeight="false" outlineLevel="0" collapsed="false">
      <c r="A1112" s="24" t="str">
        <f aca="false">IFERROR(INDEX(Workers!$A$5:$A$2004,MATCH(ROW()-4,Workers!$U$5:$U$2004,0)),"")</f>
        <v/>
      </c>
      <c r="B1112" s="24" t="str">
        <f aca="false">IF($A1112="","",INDEX(Workers!$B$5:$B$2004,MATCH($A1112,Workers!$A$5:$A$2004,0)))</f>
        <v/>
      </c>
      <c r="C1112" s="24" t="str">
        <f aca="false">IF($A1112="","",INDEX(Workers!$E$5:$E$2004,MATCH($A1112,Workers!$A$5:$A$2004,0)))</f>
        <v/>
      </c>
      <c r="D1112" s="24" t="str">
        <f aca="false">IF($A1112="","",INDEX(Workers!$K$5:$K$2004,MATCH($A1112,Workers!$A$5:$A$2004,0)))</f>
        <v/>
      </c>
      <c r="E1112" s="25" t="str">
        <f aca="false">IF($A1112="","",SUMIFS(Timesheet!$E$5:$E$3004,Timesheet!$D$5:$D$3004,$A1112,Timesheet!$A$5:$A$3004,"&gt;="&amp;Settings!$B$8,Timesheet!$A$5:$A$3004,"&lt;="&amp;Settings!$B$9))</f>
        <v/>
      </c>
      <c r="F1112" s="25" t="str">
        <f aca="false">IF($A1112="","",SUMIFS(Timesheet!$F$5:$F$3004,Timesheet!$D$5:$D$3004,$A1112,Timesheet!$A$5:$A$3004,"&gt;="&amp;Settings!$B$8,Timesheet!$A$5:$A$3004,"&lt;="&amp;Settings!$B$9))</f>
        <v/>
      </c>
      <c r="G1112" s="25" t="str">
        <f aca="false">IF($A1112="","",SUMIFS(Timesheet!$G$5:$G$3004,Timesheet!$D$5:$D$3004,$A1112,Timesheet!$A$5:$A$3004,"&gt;="&amp;Settings!$B$8,Timesheet!$A$5:$A$3004,"&lt;="&amp;Settings!$B$9))</f>
        <v/>
      </c>
      <c r="H1112" s="25" t="str">
        <f aca="false">IF($A1112="","",IF(D1112="Monthly",MAX(0,Settings!$B$11-E1112),0))</f>
        <v/>
      </c>
      <c r="I1112" s="26" t="str">
        <f aca="false">IF($A1112="","",N(INDEX(Workers!$L$5:$L$2004,MATCH($A1112,Workers!$A$5:$A$2004,0))))</f>
        <v/>
      </c>
      <c r="J1112" s="26" t="str">
        <f aca="false">IF($A1112="","",N(INDEX(Workers!$M$5:$M$2004,MATCH($A1112,Workers!$A$5:$A$2004,0))))</f>
        <v/>
      </c>
      <c r="K1112" s="26" t="str">
        <f aca="false">IF($A1112="","",IF(D1112="Monthly",ROUND(MAX(0,(I1112+J1112)-(I1112+J1112)/Settings!$B$10*H1112),2),0))</f>
        <v/>
      </c>
      <c r="L1112" s="26" t="str">
        <f aca="false">IF($A1112="","",IF(D1112="Hourly",ROUND(F1112*N(INDEX(Workers!$N$5:$N$2004,MATCH($A1112,Workers!$A$5:$A$2004,0))),2),0))</f>
        <v/>
      </c>
      <c r="M1112" s="26" t="str">
        <f aca="false">IF($A1112="","",ROUND(G1112*IF(D1112="Hourly",N(INDEX(Workers!$N$5:$N$2004,MATCH($A1112,Workers!$A$5:$A$2004,0))),I1112/Settings!$B$10/Settings!$B$12)*Settings!$B$13,2))</f>
        <v/>
      </c>
      <c r="N1112" s="26" t="str">
        <f aca="false">IF($A1112="","",K1112+L1112+M1112)</f>
        <v/>
      </c>
      <c r="O1112" s="26" t="str">
        <f aca="false">IF($A1112="","",SUMIFS(Deductions!$D$5:$D$2000,Deductions!$B$5:$B$2000,$A1112,Deductions!$C$5:$C$2000,"Advance",Deductions!$E$5:$E$2000,"&gt;="&amp;Settings!$B$8,Deductions!$E$5:$E$2000,"&lt;="&amp;Settings!$B$9))</f>
        <v/>
      </c>
      <c r="P1112" s="26" t="str">
        <f aca="false">IF($A1112="","",SUMIFS(Deductions!$D$5:$D$2000,Deductions!$B$5:$B$2000,$A1112,Deductions!$E$5:$E$2000,"&gt;="&amp;Settings!$B$8,Deductions!$E$5:$E$2000,"&lt;="&amp;Settings!$B$9)-O1112)</f>
        <v/>
      </c>
      <c r="Q1112" s="26" t="str">
        <f aca="false">IF($A1112="","",O1112+P1112)</f>
        <v/>
      </c>
      <c r="R1112" s="23" t="str">
        <f aca="false">IF($A1112="","",N1112-Q1112)</f>
        <v/>
      </c>
      <c r="S1112" s="24" t="str">
        <f aca="false">IF($A1112="","",INDEX(Workers!$O$5:$O$2004,MATCH($A1112,Workers!$A$5:$A$2004,0))&amp;"")</f>
        <v/>
      </c>
      <c r="T1112" s="24" t="str">
        <f aca="false">IF($A1112="","",INDEX(Workers!$P$5:$P$2004,MATCH($A1112,Workers!$A$5:$A$2004,0))&amp;"")</f>
        <v/>
      </c>
      <c r="U1112" s="24" t="str">
        <f aca="false">IF($A1112="","",INDEX(Workers!$H$5:$H$2004,MATCH($A1112,Workers!$A$5:$A$2004,0))&amp;"")</f>
        <v/>
      </c>
    </row>
    <row r="1113" customFormat="false" ht="15" hidden="false" customHeight="false" outlineLevel="0" collapsed="false">
      <c r="A1113" s="24" t="str">
        <f aca="false">IFERROR(INDEX(Workers!$A$5:$A$2004,MATCH(ROW()-4,Workers!$U$5:$U$2004,0)),"")</f>
        <v/>
      </c>
      <c r="B1113" s="24" t="str">
        <f aca="false">IF($A1113="","",INDEX(Workers!$B$5:$B$2004,MATCH($A1113,Workers!$A$5:$A$2004,0)))</f>
        <v/>
      </c>
      <c r="C1113" s="24" t="str">
        <f aca="false">IF($A1113="","",INDEX(Workers!$E$5:$E$2004,MATCH($A1113,Workers!$A$5:$A$2004,0)))</f>
        <v/>
      </c>
      <c r="D1113" s="24" t="str">
        <f aca="false">IF($A1113="","",INDEX(Workers!$K$5:$K$2004,MATCH($A1113,Workers!$A$5:$A$2004,0)))</f>
        <v/>
      </c>
      <c r="E1113" s="25" t="str">
        <f aca="false">IF($A1113="","",SUMIFS(Timesheet!$E$5:$E$3004,Timesheet!$D$5:$D$3004,$A1113,Timesheet!$A$5:$A$3004,"&gt;="&amp;Settings!$B$8,Timesheet!$A$5:$A$3004,"&lt;="&amp;Settings!$B$9))</f>
        <v/>
      </c>
      <c r="F1113" s="25" t="str">
        <f aca="false">IF($A1113="","",SUMIFS(Timesheet!$F$5:$F$3004,Timesheet!$D$5:$D$3004,$A1113,Timesheet!$A$5:$A$3004,"&gt;="&amp;Settings!$B$8,Timesheet!$A$5:$A$3004,"&lt;="&amp;Settings!$B$9))</f>
        <v/>
      </c>
      <c r="G1113" s="25" t="str">
        <f aca="false">IF($A1113="","",SUMIFS(Timesheet!$G$5:$G$3004,Timesheet!$D$5:$D$3004,$A1113,Timesheet!$A$5:$A$3004,"&gt;="&amp;Settings!$B$8,Timesheet!$A$5:$A$3004,"&lt;="&amp;Settings!$B$9))</f>
        <v/>
      </c>
      <c r="H1113" s="25" t="str">
        <f aca="false">IF($A1113="","",IF(D1113="Monthly",MAX(0,Settings!$B$11-E1113),0))</f>
        <v/>
      </c>
      <c r="I1113" s="26" t="str">
        <f aca="false">IF($A1113="","",N(INDEX(Workers!$L$5:$L$2004,MATCH($A1113,Workers!$A$5:$A$2004,0))))</f>
        <v/>
      </c>
      <c r="J1113" s="26" t="str">
        <f aca="false">IF($A1113="","",N(INDEX(Workers!$M$5:$M$2004,MATCH($A1113,Workers!$A$5:$A$2004,0))))</f>
        <v/>
      </c>
      <c r="K1113" s="26" t="str">
        <f aca="false">IF($A1113="","",IF(D1113="Monthly",ROUND(MAX(0,(I1113+J1113)-(I1113+J1113)/Settings!$B$10*H1113),2),0))</f>
        <v/>
      </c>
      <c r="L1113" s="26" t="str">
        <f aca="false">IF($A1113="","",IF(D1113="Hourly",ROUND(F1113*N(INDEX(Workers!$N$5:$N$2004,MATCH($A1113,Workers!$A$5:$A$2004,0))),2),0))</f>
        <v/>
      </c>
      <c r="M1113" s="26" t="str">
        <f aca="false">IF($A1113="","",ROUND(G1113*IF(D1113="Hourly",N(INDEX(Workers!$N$5:$N$2004,MATCH($A1113,Workers!$A$5:$A$2004,0))),I1113/Settings!$B$10/Settings!$B$12)*Settings!$B$13,2))</f>
        <v/>
      </c>
      <c r="N1113" s="26" t="str">
        <f aca="false">IF($A1113="","",K1113+L1113+M1113)</f>
        <v/>
      </c>
      <c r="O1113" s="26" t="str">
        <f aca="false">IF($A1113="","",SUMIFS(Deductions!$D$5:$D$2000,Deductions!$B$5:$B$2000,$A1113,Deductions!$C$5:$C$2000,"Advance",Deductions!$E$5:$E$2000,"&gt;="&amp;Settings!$B$8,Deductions!$E$5:$E$2000,"&lt;="&amp;Settings!$B$9))</f>
        <v/>
      </c>
      <c r="P1113" s="26" t="str">
        <f aca="false">IF($A1113="","",SUMIFS(Deductions!$D$5:$D$2000,Deductions!$B$5:$B$2000,$A1113,Deductions!$E$5:$E$2000,"&gt;="&amp;Settings!$B$8,Deductions!$E$5:$E$2000,"&lt;="&amp;Settings!$B$9)-O1113)</f>
        <v/>
      </c>
      <c r="Q1113" s="26" t="str">
        <f aca="false">IF($A1113="","",O1113+P1113)</f>
        <v/>
      </c>
      <c r="R1113" s="23" t="str">
        <f aca="false">IF($A1113="","",N1113-Q1113)</f>
        <v/>
      </c>
      <c r="S1113" s="24" t="str">
        <f aca="false">IF($A1113="","",INDEX(Workers!$O$5:$O$2004,MATCH($A1113,Workers!$A$5:$A$2004,0))&amp;"")</f>
        <v/>
      </c>
      <c r="T1113" s="24" t="str">
        <f aca="false">IF($A1113="","",INDEX(Workers!$P$5:$P$2004,MATCH($A1113,Workers!$A$5:$A$2004,0))&amp;"")</f>
        <v/>
      </c>
      <c r="U1113" s="24" t="str">
        <f aca="false">IF($A1113="","",INDEX(Workers!$H$5:$H$2004,MATCH($A1113,Workers!$A$5:$A$2004,0))&amp;"")</f>
        <v/>
      </c>
    </row>
    <row r="1114" customFormat="false" ht="15" hidden="false" customHeight="false" outlineLevel="0" collapsed="false">
      <c r="A1114" s="24" t="str">
        <f aca="false">IFERROR(INDEX(Workers!$A$5:$A$2004,MATCH(ROW()-4,Workers!$U$5:$U$2004,0)),"")</f>
        <v/>
      </c>
      <c r="B1114" s="24" t="str">
        <f aca="false">IF($A1114="","",INDEX(Workers!$B$5:$B$2004,MATCH($A1114,Workers!$A$5:$A$2004,0)))</f>
        <v/>
      </c>
      <c r="C1114" s="24" t="str">
        <f aca="false">IF($A1114="","",INDEX(Workers!$E$5:$E$2004,MATCH($A1114,Workers!$A$5:$A$2004,0)))</f>
        <v/>
      </c>
      <c r="D1114" s="24" t="str">
        <f aca="false">IF($A1114="","",INDEX(Workers!$K$5:$K$2004,MATCH($A1114,Workers!$A$5:$A$2004,0)))</f>
        <v/>
      </c>
      <c r="E1114" s="25" t="str">
        <f aca="false">IF($A1114="","",SUMIFS(Timesheet!$E$5:$E$3004,Timesheet!$D$5:$D$3004,$A1114,Timesheet!$A$5:$A$3004,"&gt;="&amp;Settings!$B$8,Timesheet!$A$5:$A$3004,"&lt;="&amp;Settings!$B$9))</f>
        <v/>
      </c>
      <c r="F1114" s="25" t="str">
        <f aca="false">IF($A1114="","",SUMIFS(Timesheet!$F$5:$F$3004,Timesheet!$D$5:$D$3004,$A1114,Timesheet!$A$5:$A$3004,"&gt;="&amp;Settings!$B$8,Timesheet!$A$5:$A$3004,"&lt;="&amp;Settings!$B$9))</f>
        <v/>
      </c>
      <c r="G1114" s="25" t="str">
        <f aca="false">IF($A1114="","",SUMIFS(Timesheet!$G$5:$G$3004,Timesheet!$D$5:$D$3004,$A1114,Timesheet!$A$5:$A$3004,"&gt;="&amp;Settings!$B$8,Timesheet!$A$5:$A$3004,"&lt;="&amp;Settings!$B$9))</f>
        <v/>
      </c>
      <c r="H1114" s="25" t="str">
        <f aca="false">IF($A1114="","",IF(D1114="Monthly",MAX(0,Settings!$B$11-E1114),0))</f>
        <v/>
      </c>
      <c r="I1114" s="26" t="str">
        <f aca="false">IF($A1114="","",N(INDEX(Workers!$L$5:$L$2004,MATCH($A1114,Workers!$A$5:$A$2004,0))))</f>
        <v/>
      </c>
      <c r="J1114" s="26" t="str">
        <f aca="false">IF($A1114="","",N(INDEX(Workers!$M$5:$M$2004,MATCH($A1114,Workers!$A$5:$A$2004,0))))</f>
        <v/>
      </c>
      <c r="K1114" s="26" t="str">
        <f aca="false">IF($A1114="","",IF(D1114="Monthly",ROUND(MAX(0,(I1114+J1114)-(I1114+J1114)/Settings!$B$10*H1114),2),0))</f>
        <v/>
      </c>
      <c r="L1114" s="26" t="str">
        <f aca="false">IF($A1114="","",IF(D1114="Hourly",ROUND(F1114*N(INDEX(Workers!$N$5:$N$2004,MATCH($A1114,Workers!$A$5:$A$2004,0))),2),0))</f>
        <v/>
      </c>
      <c r="M1114" s="26" t="str">
        <f aca="false">IF($A1114="","",ROUND(G1114*IF(D1114="Hourly",N(INDEX(Workers!$N$5:$N$2004,MATCH($A1114,Workers!$A$5:$A$2004,0))),I1114/Settings!$B$10/Settings!$B$12)*Settings!$B$13,2))</f>
        <v/>
      </c>
      <c r="N1114" s="26" t="str">
        <f aca="false">IF($A1114="","",K1114+L1114+M1114)</f>
        <v/>
      </c>
      <c r="O1114" s="26" t="str">
        <f aca="false">IF($A1114="","",SUMIFS(Deductions!$D$5:$D$2000,Deductions!$B$5:$B$2000,$A1114,Deductions!$C$5:$C$2000,"Advance",Deductions!$E$5:$E$2000,"&gt;="&amp;Settings!$B$8,Deductions!$E$5:$E$2000,"&lt;="&amp;Settings!$B$9))</f>
        <v/>
      </c>
      <c r="P1114" s="26" t="str">
        <f aca="false">IF($A1114="","",SUMIFS(Deductions!$D$5:$D$2000,Deductions!$B$5:$B$2000,$A1114,Deductions!$E$5:$E$2000,"&gt;="&amp;Settings!$B$8,Deductions!$E$5:$E$2000,"&lt;="&amp;Settings!$B$9)-O1114)</f>
        <v/>
      </c>
      <c r="Q1114" s="26" t="str">
        <f aca="false">IF($A1114="","",O1114+P1114)</f>
        <v/>
      </c>
      <c r="R1114" s="23" t="str">
        <f aca="false">IF($A1114="","",N1114-Q1114)</f>
        <v/>
      </c>
      <c r="S1114" s="24" t="str">
        <f aca="false">IF($A1114="","",INDEX(Workers!$O$5:$O$2004,MATCH($A1114,Workers!$A$5:$A$2004,0))&amp;"")</f>
        <v/>
      </c>
      <c r="T1114" s="24" t="str">
        <f aca="false">IF($A1114="","",INDEX(Workers!$P$5:$P$2004,MATCH($A1114,Workers!$A$5:$A$2004,0))&amp;"")</f>
        <v/>
      </c>
      <c r="U1114" s="24" t="str">
        <f aca="false">IF($A1114="","",INDEX(Workers!$H$5:$H$2004,MATCH($A1114,Workers!$A$5:$A$2004,0))&amp;"")</f>
        <v/>
      </c>
    </row>
    <row r="1115" customFormat="false" ht="15" hidden="false" customHeight="false" outlineLevel="0" collapsed="false">
      <c r="A1115" s="24" t="str">
        <f aca="false">IFERROR(INDEX(Workers!$A$5:$A$2004,MATCH(ROW()-4,Workers!$U$5:$U$2004,0)),"")</f>
        <v/>
      </c>
      <c r="B1115" s="24" t="str">
        <f aca="false">IF($A1115="","",INDEX(Workers!$B$5:$B$2004,MATCH($A1115,Workers!$A$5:$A$2004,0)))</f>
        <v/>
      </c>
      <c r="C1115" s="24" t="str">
        <f aca="false">IF($A1115="","",INDEX(Workers!$E$5:$E$2004,MATCH($A1115,Workers!$A$5:$A$2004,0)))</f>
        <v/>
      </c>
      <c r="D1115" s="24" t="str">
        <f aca="false">IF($A1115="","",INDEX(Workers!$K$5:$K$2004,MATCH($A1115,Workers!$A$5:$A$2004,0)))</f>
        <v/>
      </c>
      <c r="E1115" s="25" t="str">
        <f aca="false">IF($A1115="","",SUMIFS(Timesheet!$E$5:$E$3004,Timesheet!$D$5:$D$3004,$A1115,Timesheet!$A$5:$A$3004,"&gt;="&amp;Settings!$B$8,Timesheet!$A$5:$A$3004,"&lt;="&amp;Settings!$B$9))</f>
        <v/>
      </c>
      <c r="F1115" s="25" t="str">
        <f aca="false">IF($A1115="","",SUMIFS(Timesheet!$F$5:$F$3004,Timesheet!$D$5:$D$3004,$A1115,Timesheet!$A$5:$A$3004,"&gt;="&amp;Settings!$B$8,Timesheet!$A$5:$A$3004,"&lt;="&amp;Settings!$B$9))</f>
        <v/>
      </c>
      <c r="G1115" s="25" t="str">
        <f aca="false">IF($A1115="","",SUMIFS(Timesheet!$G$5:$G$3004,Timesheet!$D$5:$D$3004,$A1115,Timesheet!$A$5:$A$3004,"&gt;="&amp;Settings!$B$8,Timesheet!$A$5:$A$3004,"&lt;="&amp;Settings!$B$9))</f>
        <v/>
      </c>
      <c r="H1115" s="25" t="str">
        <f aca="false">IF($A1115="","",IF(D1115="Monthly",MAX(0,Settings!$B$11-E1115),0))</f>
        <v/>
      </c>
      <c r="I1115" s="26" t="str">
        <f aca="false">IF($A1115="","",N(INDEX(Workers!$L$5:$L$2004,MATCH($A1115,Workers!$A$5:$A$2004,0))))</f>
        <v/>
      </c>
      <c r="J1115" s="26" t="str">
        <f aca="false">IF($A1115="","",N(INDEX(Workers!$M$5:$M$2004,MATCH($A1115,Workers!$A$5:$A$2004,0))))</f>
        <v/>
      </c>
      <c r="K1115" s="26" t="str">
        <f aca="false">IF($A1115="","",IF(D1115="Monthly",ROUND(MAX(0,(I1115+J1115)-(I1115+J1115)/Settings!$B$10*H1115),2),0))</f>
        <v/>
      </c>
      <c r="L1115" s="26" t="str">
        <f aca="false">IF($A1115="","",IF(D1115="Hourly",ROUND(F1115*N(INDEX(Workers!$N$5:$N$2004,MATCH($A1115,Workers!$A$5:$A$2004,0))),2),0))</f>
        <v/>
      </c>
      <c r="M1115" s="26" t="str">
        <f aca="false">IF($A1115="","",ROUND(G1115*IF(D1115="Hourly",N(INDEX(Workers!$N$5:$N$2004,MATCH($A1115,Workers!$A$5:$A$2004,0))),I1115/Settings!$B$10/Settings!$B$12)*Settings!$B$13,2))</f>
        <v/>
      </c>
      <c r="N1115" s="26" t="str">
        <f aca="false">IF($A1115="","",K1115+L1115+M1115)</f>
        <v/>
      </c>
      <c r="O1115" s="26" t="str">
        <f aca="false">IF($A1115="","",SUMIFS(Deductions!$D$5:$D$2000,Deductions!$B$5:$B$2000,$A1115,Deductions!$C$5:$C$2000,"Advance",Deductions!$E$5:$E$2000,"&gt;="&amp;Settings!$B$8,Deductions!$E$5:$E$2000,"&lt;="&amp;Settings!$B$9))</f>
        <v/>
      </c>
      <c r="P1115" s="26" t="str">
        <f aca="false">IF($A1115="","",SUMIFS(Deductions!$D$5:$D$2000,Deductions!$B$5:$B$2000,$A1115,Deductions!$E$5:$E$2000,"&gt;="&amp;Settings!$B$8,Deductions!$E$5:$E$2000,"&lt;="&amp;Settings!$B$9)-O1115)</f>
        <v/>
      </c>
      <c r="Q1115" s="26" t="str">
        <f aca="false">IF($A1115="","",O1115+P1115)</f>
        <v/>
      </c>
      <c r="R1115" s="23" t="str">
        <f aca="false">IF($A1115="","",N1115-Q1115)</f>
        <v/>
      </c>
      <c r="S1115" s="24" t="str">
        <f aca="false">IF($A1115="","",INDEX(Workers!$O$5:$O$2004,MATCH($A1115,Workers!$A$5:$A$2004,0))&amp;"")</f>
        <v/>
      </c>
      <c r="T1115" s="24" t="str">
        <f aca="false">IF($A1115="","",INDEX(Workers!$P$5:$P$2004,MATCH($A1115,Workers!$A$5:$A$2004,0))&amp;"")</f>
        <v/>
      </c>
      <c r="U1115" s="24" t="str">
        <f aca="false">IF($A1115="","",INDEX(Workers!$H$5:$H$2004,MATCH($A1115,Workers!$A$5:$A$2004,0))&amp;"")</f>
        <v/>
      </c>
    </row>
    <row r="1116" customFormat="false" ht="15" hidden="false" customHeight="false" outlineLevel="0" collapsed="false">
      <c r="A1116" s="24" t="str">
        <f aca="false">IFERROR(INDEX(Workers!$A$5:$A$2004,MATCH(ROW()-4,Workers!$U$5:$U$2004,0)),"")</f>
        <v/>
      </c>
      <c r="B1116" s="24" t="str">
        <f aca="false">IF($A1116="","",INDEX(Workers!$B$5:$B$2004,MATCH($A1116,Workers!$A$5:$A$2004,0)))</f>
        <v/>
      </c>
      <c r="C1116" s="24" t="str">
        <f aca="false">IF($A1116="","",INDEX(Workers!$E$5:$E$2004,MATCH($A1116,Workers!$A$5:$A$2004,0)))</f>
        <v/>
      </c>
      <c r="D1116" s="24" t="str">
        <f aca="false">IF($A1116="","",INDEX(Workers!$K$5:$K$2004,MATCH($A1116,Workers!$A$5:$A$2004,0)))</f>
        <v/>
      </c>
      <c r="E1116" s="25" t="str">
        <f aca="false">IF($A1116="","",SUMIFS(Timesheet!$E$5:$E$3004,Timesheet!$D$5:$D$3004,$A1116,Timesheet!$A$5:$A$3004,"&gt;="&amp;Settings!$B$8,Timesheet!$A$5:$A$3004,"&lt;="&amp;Settings!$B$9))</f>
        <v/>
      </c>
      <c r="F1116" s="25" t="str">
        <f aca="false">IF($A1116="","",SUMIFS(Timesheet!$F$5:$F$3004,Timesheet!$D$5:$D$3004,$A1116,Timesheet!$A$5:$A$3004,"&gt;="&amp;Settings!$B$8,Timesheet!$A$5:$A$3004,"&lt;="&amp;Settings!$B$9))</f>
        <v/>
      </c>
      <c r="G1116" s="25" t="str">
        <f aca="false">IF($A1116="","",SUMIFS(Timesheet!$G$5:$G$3004,Timesheet!$D$5:$D$3004,$A1116,Timesheet!$A$5:$A$3004,"&gt;="&amp;Settings!$B$8,Timesheet!$A$5:$A$3004,"&lt;="&amp;Settings!$B$9))</f>
        <v/>
      </c>
      <c r="H1116" s="25" t="str">
        <f aca="false">IF($A1116="","",IF(D1116="Monthly",MAX(0,Settings!$B$11-E1116),0))</f>
        <v/>
      </c>
      <c r="I1116" s="26" t="str">
        <f aca="false">IF($A1116="","",N(INDEX(Workers!$L$5:$L$2004,MATCH($A1116,Workers!$A$5:$A$2004,0))))</f>
        <v/>
      </c>
      <c r="J1116" s="26" t="str">
        <f aca="false">IF($A1116="","",N(INDEX(Workers!$M$5:$M$2004,MATCH($A1116,Workers!$A$5:$A$2004,0))))</f>
        <v/>
      </c>
      <c r="K1116" s="26" t="str">
        <f aca="false">IF($A1116="","",IF(D1116="Monthly",ROUND(MAX(0,(I1116+J1116)-(I1116+J1116)/Settings!$B$10*H1116),2),0))</f>
        <v/>
      </c>
      <c r="L1116" s="26" t="str">
        <f aca="false">IF($A1116="","",IF(D1116="Hourly",ROUND(F1116*N(INDEX(Workers!$N$5:$N$2004,MATCH($A1116,Workers!$A$5:$A$2004,0))),2),0))</f>
        <v/>
      </c>
      <c r="M1116" s="26" t="str">
        <f aca="false">IF($A1116="","",ROUND(G1116*IF(D1116="Hourly",N(INDEX(Workers!$N$5:$N$2004,MATCH($A1116,Workers!$A$5:$A$2004,0))),I1116/Settings!$B$10/Settings!$B$12)*Settings!$B$13,2))</f>
        <v/>
      </c>
      <c r="N1116" s="26" t="str">
        <f aca="false">IF($A1116="","",K1116+L1116+M1116)</f>
        <v/>
      </c>
      <c r="O1116" s="26" t="str">
        <f aca="false">IF($A1116="","",SUMIFS(Deductions!$D$5:$D$2000,Deductions!$B$5:$B$2000,$A1116,Deductions!$C$5:$C$2000,"Advance",Deductions!$E$5:$E$2000,"&gt;="&amp;Settings!$B$8,Deductions!$E$5:$E$2000,"&lt;="&amp;Settings!$B$9))</f>
        <v/>
      </c>
      <c r="P1116" s="26" t="str">
        <f aca="false">IF($A1116="","",SUMIFS(Deductions!$D$5:$D$2000,Deductions!$B$5:$B$2000,$A1116,Deductions!$E$5:$E$2000,"&gt;="&amp;Settings!$B$8,Deductions!$E$5:$E$2000,"&lt;="&amp;Settings!$B$9)-O1116)</f>
        <v/>
      </c>
      <c r="Q1116" s="26" t="str">
        <f aca="false">IF($A1116="","",O1116+P1116)</f>
        <v/>
      </c>
      <c r="R1116" s="23" t="str">
        <f aca="false">IF($A1116="","",N1116-Q1116)</f>
        <v/>
      </c>
      <c r="S1116" s="24" t="str">
        <f aca="false">IF($A1116="","",INDEX(Workers!$O$5:$O$2004,MATCH($A1116,Workers!$A$5:$A$2004,0))&amp;"")</f>
        <v/>
      </c>
      <c r="T1116" s="24" t="str">
        <f aca="false">IF($A1116="","",INDEX(Workers!$P$5:$P$2004,MATCH($A1116,Workers!$A$5:$A$2004,0))&amp;"")</f>
        <v/>
      </c>
      <c r="U1116" s="24" t="str">
        <f aca="false">IF($A1116="","",INDEX(Workers!$H$5:$H$2004,MATCH($A1116,Workers!$A$5:$A$2004,0))&amp;"")</f>
        <v/>
      </c>
    </row>
    <row r="1117" customFormat="false" ht="15" hidden="false" customHeight="false" outlineLevel="0" collapsed="false">
      <c r="A1117" s="24" t="str">
        <f aca="false">IFERROR(INDEX(Workers!$A$5:$A$2004,MATCH(ROW()-4,Workers!$U$5:$U$2004,0)),"")</f>
        <v/>
      </c>
      <c r="B1117" s="24" t="str">
        <f aca="false">IF($A1117="","",INDEX(Workers!$B$5:$B$2004,MATCH($A1117,Workers!$A$5:$A$2004,0)))</f>
        <v/>
      </c>
      <c r="C1117" s="24" t="str">
        <f aca="false">IF($A1117="","",INDEX(Workers!$E$5:$E$2004,MATCH($A1117,Workers!$A$5:$A$2004,0)))</f>
        <v/>
      </c>
      <c r="D1117" s="24" t="str">
        <f aca="false">IF($A1117="","",INDEX(Workers!$K$5:$K$2004,MATCH($A1117,Workers!$A$5:$A$2004,0)))</f>
        <v/>
      </c>
      <c r="E1117" s="25" t="str">
        <f aca="false">IF($A1117="","",SUMIFS(Timesheet!$E$5:$E$3004,Timesheet!$D$5:$D$3004,$A1117,Timesheet!$A$5:$A$3004,"&gt;="&amp;Settings!$B$8,Timesheet!$A$5:$A$3004,"&lt;="&amp;Settings!$B$9))</f>
        <v/>
      </c>
      <c r="F1117" s="25" t="str">
        <f aca="false">IF($A1117="","",SUMIFS(Timesheet!$F$5:$F$3004,Timesheet!$D$5:$D$3004,$A1117,Timesheet!$A$5:$A$3004,"&gt;="&amp;Settings!$B$8,Timesheet!$A$5:$A$3004,"&lt;="&amp;Settings!$B$9))</f>
        <v/>
      </c>
      <c r="G1117" s="25" t="str">
        <f aca="false">IF($A1117="","",SUMIFS(Timesheet!$G$5:$G$3004,Timesheet!$D$5:$D$3004,$A1117,Timesheet!$A$5:$A$3004,"&gt;="&amp;Settings!$B$8,Timesheet!$A$5:$A$3004,"&lt;="&amp;Settings!$B$9))</f>
        <v/>
      </c>
      <c r="H1117" s="25" t="str">
        <f aca="false">IF($A1117="","",IF(D1117="Monthly",MAX(0,Settings!$B$11-E1117),0))</f>
        <v/>
      </c>
      <c r="I1117" s="26" t="str">
        <f aca="false">IF($A1117="","",N(INDEX(Workers!$L$5:$L$2004,MATCH($A1117,Workers!$A$5:$A$2004,0))))</f>
        <v/>
      </c>
      <c r="J1117" s="26" t="str">
        <f aca="false">IF($A1117="","",N(INDEX(Workers!$M$5:$M$2004,MATCH($A1117,Workers!$A$5:$A$2004,0))))</f>
        <v/>
      </c>
      <c r="K1117" s="26" t="str">
        <f aca="false">IF($A1117="","",IF(D1117="Monthly",ROUND(MAX(0,(I1117+J1117)-(I1117+J1117)/Settings!$B$10*H1117),2),0))</f>
        <v/>
      </c>
      <c r="L1117" s="26" t="str">
        <f aca="false">IF($A1117="","",IF(D1117="Hourly",ROUND(F1117*N(INDEX(Workers!$N$5:$N$2004,MATCH($A1117,Workers!$A$5:$A$2004,0))),2),0))</f>
        <v/>
      </c>
      <c r="M1117" s="26" t="str">
        <f aca="false">IF($A1117="","",ROUND(G1117*IF(D1117="Hourly",N(INDEX(Workers!$N$5:$N$2004,MATCH($A1117,Workers!$A$5:$A$2004,0))),I1117/Settings!$B$10/Settings!$B$12)*Settings!$B$13,2))</f>
        <v/>
      </c>
      <c r="N1117" s="26" t="str">
        <f aca="false">IF($A1117="","",K1117+L1117+M1117)</f>
        <v/>
      </c>
      <c r="O1117" s="26" t="str">
        <f aca="false">IF($A1117="","",SUMIFS(Deductions!$D$5:$D$2000,Deductions!$B$5:$B$2000,$A1117,Deductions!$C$5:$C$2000,"Advance",Deductions!$E$5:$E$2000,"&gt;="&amp;Settings!$B$8,Deductions!$E$5:$E$2000,"&lt;="&amp;Settings!$B$9))</f>
        <v/>
      </c>
      <c r="P1117" s="26" t="str">
        <f aca="false">IF($A1117="","",SUMIFS(Deductions!$D$5:$D$2000,Deductions!$B$5:$B$2000,$A1117,Deductions!$E$5:$E$2000,"&gt;="&amp;Settings!$B$8,Deductions!$E$5:$E$2000,"&lt;="&amp;Settings!$B$9)-O1117)</f>
        <v/>
      </c>
      <c r="Q1117" s="26" t="str">
        <f aca="false">IF($A1117="","",O1117+P1117)</f>
        <v/>
      </c>
      <c r="R1117" s="23" t="str">
        <f aca="false">IF($A1117="","",N1117-Q1117)</f>
        <v/>
      </c>
      <c r="S1117" s="24" t="str">
        <f aca="false">IF($A1117="","",INDEX(Workers!$O$5:$O$2004,MATCH($A1117,Workers!$A$5:$A$2004,0))&amp;"")</f>
        <v/>
      </c>
      <c r="T1117" s="24" t="str">
        <f aca="false">IF($A1117="","",INDEX(Workers!$P$5:$P$2004,MATCH($A1117,Workers!$A$5:$A$2004,0))&amp;"")</f>
        <v/>
      </c>
      <c r="U1117" s="24" t="str">
        <f aca="false">IF($A1117="","",INDEX(Workers!$H$5:$H$2004,MATCH($A1117,Workers!$A$5:$A$2004,0))&amp;"")</f>
        <v/>
      </c>
    </row>
    <row r="1118" customFormat="false" ht="15" hidden="false" customHeight="false" outlineLevel="0" collapsed="false">
      <c r="A1118" s="24" t="str">
        <f aca="false">IFERROR(INDEX(Workers!$A$5:$A$2004,MATCH(ROW()-4,Workers!$U$5:$U$2004,0)),"")</f>
        <v/>
      </c>
      <c r="B1118" s="24" t="str">
        <f aca="false">IF($A1118="","",INDEX(Workers!$B$5:$B$2004,MATCH($A1118,Workers!$A$5:$A$2004,0)))</f>
        <v/>
      </c>
      <c r="C1118" s="24" t="str">
        <f aca="false">IF($A1118="","",INDEX(Workers!$E$5:$E$2004,MATCH($A1118,Workers!$A$5:$A$2004,0)))</f>
        <v/>
      </c>
      <c r="D1118" s="24" t="str">
        <f aca="false">IF($A1118="","",INDEX(Workers!$K$5:$K$2004,MATCH($A1118,Workers!$A$5:$A$2004,0)))</f>
        <v/>
      </c>
      <c r="E1118" s="25" t="str">
        <f aca="false">IF($A1118="","",SUMIFS(Timesheet!$E$5:$E$3004,Timesheet!$D$5:$D$3004,$A1118,Timesheet!$A$5:$A$3004,"&gt;="&amp;Settings!$B$8,Timesheet!$A$5:$A$3004,"&lt;="&amp;Settings!$B$9))</f>
        <v/>
      </c>
      <c r="F1118" s="25" t="str">
        <f aca="false">IF($A1118="","",SUMIFS(Timesheet!$F$5:$F$3004,Timesheet!$D$5:$D$3004,$A1118,Timesheet!$A$5:$A$3004,"&gt;="&amp;Settings!$B$8,Timesheet!$A$5:$A$3004,"&lt;="&amp;Settings!$B$9))</f>
        <v/>
      </c>
      <c r="G1118" s="25" t="str">
        <f aca="false">IF($A1118="","",SUMIFS(Timesheet!$G$5:$G$3004,Timesheet!$D$5:$D$3004,$A1118,Timesheet!$A$5:$A$3004,"&gt;="&amp;Settings!$B$8,Timesheet!$A$5:$A$3004,"&lt;="&amp;Settings!$B$9))</f>
        <v/>
      </c>
      <c r="H1118" s="25" t="str">
        <f aca="false">IF($A1118="","",IF(D1118="Monthly",MAX(0,Settings!$B$11-E1118),0))</f>
        <v/>
      </c>
      <c r="I1118" s="26" t="str">
        <f aca="false">IF($A1118="","",N(INDEX(Workers!$L$5:$L$2004,MATCH($A1118,Workers!$A$5:$A$2004,0))))</f>
        <v/>
      </c>
      <c r="J1118" s="26" t="str">
        <f aca="false">IF($A1118="","",N(INDEX(Workers!$M$5:$M$2004,MATCH($A1118,Workers!$A$5:$A$2004,0))))</f>
        <v/>
      </c>
      <c r="K1118" s="26" t="str">
        <f aca="false">IF($A1118="","",IF(D1118="Monthly",ROUND(MAX(0,(I1118+J1118)-(I1118+J1118)/Settings!$B$10*H1118),2),0))</f>
        <v/>
      </c>
      <c r="L1118" s="26" t="str">
        <f aca="false">IF($A1118="","",IF(D1118="Hourly",ROUND(F1118*N(INDEX(Workers!$N$5:$N$2004,MATCH($A1118,Workers!$A$5:$A$2004,0))),2),0))</f>
        <v/>
      </c>
      <c r="M1118" s="26" t="str">
        <f aca="false">IF($A1118="","",ROUND(G1118*IF(D1118="Hourly",N(INDEX(Workers!$N$5:$N$2004,MATCH($A1118,Workers!$A$5:$A$2004,0))),I1118/Settings!$B$10/Settings!$B$12)*Settings!$B$13,2))</f>
        <v/>
      </c>
      <c r="N1118" s="26" t="str">
        <f aca="false">IF($A1118="","",K1118+L1118+M1118)</f>
        <v/>
      </c>
      <c r="O1118" s="26" t="str">
        <f aca="false">IF($A1118="","",SUMIFS(Deductions!$D$5:$D$2000,Deductions!$B$5:$B$2000,$A1118,Deductions!$C$5:$C$2000,"Advance",Deductions!$E$5:$E$2000,"&gt;="&amp;Settings!$B$8,Deductions!$E$5:$E$2000,"&lt;="&amp;Settings!$B$9))</f>
        <v/>
      </c>
      <c r="P1118" s="26" t="str">
        <f aca="false">IF($A1118="","",SUMIFS(Deductions!$D$5:$D$2000,Deductions!$B$5:$B$2000,$A1118,Deductions!$E$5:$E$2000,"&gt;="&amp;Settings!$B$8,Deductions!$E$5:$E$2000,"&lt;="&amp;Settings!$B$9)-O1118)</f>
        <v/>
      </c>
      <c r="Q1118" s="26" t="str">
        <f aca="false">IF($A1118="","",O1118+P1118)</f>
        <v/>
      </c>
      <c r="R1118" s="23" t="str">
        <f aca="false">IF($A1118="","",N1118-Q1118)</f>
        <v/>
      </c>
      <c r="S1118" s="24" t="str">
        <f aca="false">IF($A1118="","",INDEX(Workers!$O$5:$O$2004,MATCH($A1118,Workers!$A$5:$A$2004,0))&amp;"")</f>
        <v/>
      </c>
      <c r="T1118" s="24" t="str">
        <f aca="false">IF($A1118="","",INDEX(Workers!$P$5:$P$2004,MATCH($A1118,Workers!$A$5:$A$2004,0))&amp;"")</f>
        <v/>
      </c>
      <c r="U1118" s="24" t="str">
        <f aca="false">IF($A1118="","",INDEX(Workers!$H$5:$H$2004,MATCH($A1118,Workers!$A$5:$A$2004,0))&amp;"")</f>
        <v/>
      </c>
    </row>
    <row r="1119" customFormat="false" ht="15" hidden="false" customHeight="false" outlineLevel="0" collapsed="false">
      <c r="A1119" s="24" t="str">
        <f aca="false">IFERROR(INDEX(Workers!$A$5:$A$2004,MATCH(ROW()-4,Workers!$U$5:$U$2004,0)),"")</f>
        <v/>
      </c>
      <c r="B1119" s="24" t="str">
        <f aca="false">IF($A1119="","",INDEX(Workers!$B$5:$B$2004,MATCH($A1119,Workers!$A$5:$A$2004,0)))</f>
        <v/>
      </c>
      <c r="C1119" s="24" t="str">
        <f aca="false">IF($A1119="","",INDEX(Workers!$E$5:$E$2004,MATCH($A1119,Workers!$A$5:$A$2004,0)))</f>
        <v/>
      </c>
      <c r="D1119" s="24" t="str">
        <f aca="false">IF($A1119="","",INDEX(Workers!$K$5:$K$2004,MATCH($A1119,Workers!$A$5:$A$2004,0)))</f>
        <v/>
      </c>
      <c r="E1119" s="25" t="str">
        <f aca="false">IF($A1119="","",SUMIFS(Timesheet!$E$5:$E$3004,Timesheet!$D$5:$D$3004,$A1119,Timesheet!$A$5:$A$3004,"&gt;="&amp;Settings!$B$8,Timesheet!$A$5:$A$3004,"&lt;="&amp;Settings!$B$9))</f>
        <v/>
      </c>
      <c r="F1119" s="25" t="str">
        <f aca="false">IF($A1119="","",SUMIFS(Timesheet!$F$5:$F$3004,Timesheet!$D$5:$D$3004,$A1119,Timesheet!$A$5:$A$3004,"&gt;="&amp;Settings!$B$8,Timesheet!$A$5:$A$3004,"&lt;="&amp;Settings!$B$9))</f>
        <v/>
      </c>
      <c r="G1119" s="25" t="str">
        <f aca="false">IF($A1119="","",SUMIFS(Timesheet!$G$5:$G$3004,Timesheet!$D$5:$D$3004,$A1119,Timesheet!$A$5:$A$3004,"&gt;="&amp;Settings!$B$8,Timesheet!$A$5:$A$3004,"&lt;="&amp;Settings!$B$9))</f>
        <v/>
      </c>
      <c r="H1119" s="25" t="str">
        <f aca="false">IF($A1119="","",IF(D1119="Monthly",MAX(0,Settings!$B$11-E1119),0))</f>
        <v/>
      </c>
      <c r="I1119" s="26" t="str">
        <f aca="false">IF($A1119="","",N(INDEX(Workers!$L$5:$L$2004,MATCH($A1119,Workers!$A$5:$A$2004,0))))</f>
        <v/>
      </c>
      <c r="J1119" s="26" t="str">
        <f aca="false">IF($A1119="","",N(INDEX(Workers!$M$5:$M$2004,MATCH($A1119,Workers!$A$5:$A$2004,0))))</f>
        <v/>
      </c>
      <c r="K1119" s="26" t="str">
        <f aca="false">IF($A1119="","",IF(D1119="Monthly",ROUND(MAX(0,(I1119+J1119)-(I1119+J1119)/Settings!$B$10*H1119),2),0))</f>
        <v/>
      </c>
      <c r="L1119" s="26" t="str">
        <f aca="false">IF($A1119="","",IF(D1119="Hourly",ROUND(F1119*N(INDEX(Workers!$N$5:$N$2004,MATCH($A1119,Workers!$A$5:$A$2004,0))),2),0))</f>
        <v/>
      </c>
      <c r="M1119" s="26" t="str">
        <f aca="false">IF($A1119="","",ROUND(G1119*IF(D1119="Hourly",N(INDEX(Workers!$N$5:$N$2004,MATCH($A1119,Workers!$A$5:$A$2004,0))),I1119/Settings!$B$10/Settings!$B$12)*Settings!$B$13,2))</f>
        <v/>
      </c>
      <c r="N1119" s="26" t="str">
        <f aca="false">IF($A1119="","",K1119+L1119+M1119)</f>
        <v/>
      </c>
      <c r="O1119" s="26" t="str">
        <f aca="false">IF($A1119="","",SUMIFS(Deductions!$D$5:$D$2000,Deductions!$B$5:$B$2000,$A1119,Deductions!$C$5:$C$2000,"Advance",Deductions!$E$5:$E$2000,"&gt;="&amp;Settings!$B$8,Deductions!$E$5:$E$2000,"&lt;="&amp;Settings!$B$9))</f>
        <v/>
      </c>
      <c r="P1119" s="26" t="str">
        <f aca="false">IF($A1119="","",SUMIFS(Deductions!$D$5:$D$2000,Deductions!$B$5:$B$2000,$A1119,Deductions!$E$5:$E$2000,"&gt;="&amp;Settings!$B$8,Deductions!$E$5:$E$2000,"&lt;="&amp;Settings!$B$9)-O1119)</f>
        <v/>
      </c>
      <c r="Q1119" s="26" t="str">
        <f aca="false">IF($A1119="","",O1119+P1119)</f>
        <v/>
      </c>
      <c r="R1119" s="23" t="str">
        <f aca="false">IF($A1119="","",N1119-Q1119)</f>
        <v/>
      </c>
      <c r="S1119" s="24" t="str">
        <f aca="false">IF($A1119="","",INDEX(Workers!$O$5:$O$2004,MATCH($A1119,Workers!$A$5:$A$2004,0))&amp;"")</f>
        <v/>
      </c>
      <c r="T1119" s="24" t="str">
        <f aca="false">IF($A1119="","",INDEX(Workers!$P$5:$P$2004,MATCH($A1119,Workers!$A$5:$A$2004,0))&amp;"")</f>
        <v/>
      </c>
      <c r="U1119" s="24" t="str">
        <f aca="false">IF($A1119="","",INDEX(Workers!$H$5:$H$2004,MATCH($A1119,Workers!$A$5:$A$2004,0))&amp;"")</f>
        <v/>
      </c>
    </row>
    <row r="1120" customFormat="false" ht="15" hidden="false" customHeight="false" outlineLevel="0" collapsed="false">
      <c r="A1120" s="24" t="str">
        <f aca="false">IFERROR(INDEX(Workers!$A$5:$A$2004,MATCH(ROW()-4,Workers!$U$5:$U$2004,0)),"")</f>
        <v/>
      </c>
      <c r="B1120" s="24" t="str">
        <f aca="false">IF($A1120="","",INDEX(Workers!$B$5:$B$2004,MATCH($A1120,Workers!$A$5:$A$2004,0)))</f>
        <v/>
      </c>
      <c r="C1120" s="24" t="str">
        <f aca="false">IF($A1120="","",INDEX(Workers!$E$5:$E$2004,MATCH($A1120,Workers!$A$5:$A$2004,0)))</f>
        <v/>
      </c>
      <c r="D1120" s="24" t="str">
        <f aca="false">IF($A1120="","",INDEX(Workers!$K$5:$K$2004,MATCH($A1120,Workers!$A$5:$A$2004,0)))</f>
        <v/>
      </c>
      <c r="E1120" s="25" t="str">
        <f aca="false">IF($A1120="","",SUMIFS(Timesheet!$E$5:$E$3004,Timesheet!$D$5:$D$3004,$A1120,Timesheet!$A$5:$A$3004,"&gt;="&amp;Settings!$B$8,Timesheet!$A$5:$A$3004,"&lt;="&amp;Settings!$B$9))</f>
        <v/>
      </c>
      <c r="F1120" s="25" t="str">
        <f aca="false">IF($A1120="","",SUMIFS(Timesheet!$F$5:$F$3004,Timesheet!$D$5:$D$3004,$A1120,Timesheet!$A$5:$A$3004,"&gt;="&amp;Settings!$B$8,Timesheet!$A$5:$A$3004,"&lt;="&amp;Settings!$B$9))</f>
        <v/>
      </c>
      <c r="G1120" s="25" t="str">
        <f aca="false">IF($A1120="","",SUMIFS(Timesheet!$G$5:$G$3004,Timesheet!$D$5:$D$3004,$A1120,Timesheet!$A$5:$A$3004,"&gt;="&amp;Settings!$B$8,Timesheet!$A$5:$A$3004,"&lt;="&amp;Settings!$B$9))</f>
        <v/>
      </c>
      <c r="H1120" s="25" t="str">
        <f aca="false">IF($A1120="","",IF(D1120="Monthly",MAX(0,Settings!$B$11-E1120),0))</f>
        <v/>
      </c>
      <c r="I1120" s="26" t="str">
        <f aca="false">IF($A1120="","",N(INDEX(Workers!$L$5:$L$2004,MATCH($A1120,Workers!$A$5:$A$2004,0))))</f>
        <v/>
      </c>
      <c r="J1120" s="26" t="str">
        <f aca="false">IF($A1120="","",N(INDEX(Workers!$M$5:$M$2004,MATCH($A1120,Workers!$A$5:$A$2004,0))))</f>
        <v/>
      </c>
      <c r="K1120" s="26" t="str">
        <f aca="false">IF($A1120="","",IF(D1120="Monthly",ROUND(MAX(0,(I1120+J1120)-(I1120+J1120)/Settings!$B$10*H1120),2),0))</f>
        <v/>
      </c>
      <c r="L1120" s="26" t="str">
        <f aca="false">IF($A1120="","",IF(D1120="Hourly",ROUND(F1120*N(INDEX(Workers!$N$5:$N$2004,MATCH($A1120,Workers!$A$5:$A$2004,0))),2),0))</f>
        <v/>
      </c>
      <c r="M1120" s="26" t="str">
        <f aca="false">IF($A1120="","",ROUND(G1120*IF(D1120="Hourly",N(INDEX(Workers!$N$5:$N$2004,MATCH($A1120,Workers!$A$5:$A$2004,0))),I1120/Settings!$B$10/Settings!$B$12)*Settings!$B$13,2))</f>
        <v/>
      </c>
      <c r="N1120" s="26" t="str">
        <f aca="false">IF($A1120="","",K1120+L1120+M1120)</f>
        <v/>
      </c>
      <c r="O1120" s="26" t="str">
        <f aca="false">IF($A1120="","",SUMIFS(Deductions!$D$5:$D$2000,Deductions!$B$5:$B$2000,$A1120,Deductions!$C$5:$C$2000,"Advance",Deductions!$E$5:$E$2000,"&gt;="&amp;Settings!$B$8,Deductions!$E$5:$E$2000,"&lt;="&amp;Settings!$B$9))</f>
        <v/>
      </c>
      <c r="P1120" s="26" t="str">
        <f aca="false">IF($A1120="","",SUMIFS(Deductions!$D$5:$D$2000,Deductions!$B$5:$B$2000,$A1120,Deductions!$E$5:$E$2000,"&gt;="&amp;Settings!$B$8,Deductions!$E$5:$E$2000,"&lt;="&amp;Settings!$B$9)-O1120)</f>
        <v/>
      </c>
      <c r="Q1120" s="26" t="str">
        <f aca="false">IF($A1120="","",O1120+P1120)</f>
        <v/>
      </c>
      <c r="R1120" s="23" t="str">
        <f aca="false">IF($A1120="","",N1120-Q1120)</f>
        <v/>
      </c>
      <c r="S1120" s="24" t="str">
        <f aca="false">IF($A1120="","",INDEX(Workers!$O$5:$O$2004,MATCH($A1120,Workers!$A$5:$A$2004,0))&amp;"")</f>
        <v/>
      </c>
      <c r="T1120" s="24" t="str">
        <f aca="false">IF($A1120="","",INDEX(Workers!$P$5:$P$2004,MATCH($A1120,Workers!$A$5:$A$2004,0))&amp;"")</f>
        <v/>
      </c>
      <c r="U1120" s="24" t="str">
        <f aca="false">IF($A1120="","",INDEX(Workers!$H$5:$H$2004,MATCH($A1120,Workers!$A$5:$A$2004,0))&amp;"")</f>
        <v/>
      </c>
    </row>
    <row r="1121" customFormat="false" ht="15" hidden="false" customHeight="false" outlineLevel="0" collapsed="false">
      <c r="A1121" s="24" t="str">
        <f aca="false">IFERROR(INDEX(Workers!$A$5:$A$2004,MATCH(ROW()-4,Workers!$U$5:$U$2004,0)),"")</f>
        <v/>
      </c>
      <c r="B1121" s="24" t="str">
        <f aca="false">IF($A1121="","",INDEX(Workers!$B$5:$B$2004,MATCH($A1121,Workers!$A$5:$A$2004,0)))</f>
        <v/>
      </c>
      <c r="C1121" s="24" t="str">
        <f aca="false">IF($A1121="","",INDEX(Workers!$E$5:$E$2004,MATCH($A1121,Workers!$A$5:$A$2004,0)))</f>
        <v/>
      </c>
      <c r="D1121" s="24" t="str">
        <f aca="false">IF($A1121="","",INDEX(Workers!$K$5:$K$2004,MATCH($A1121,Workers!$A$5:$A$2004,0)))</f>
        <v/>
      </c>
      <c r="E1121" s="25" t="str">
        <f aca="false">IF($A1121="","",SUMIFS(Timesheet!$E$5:$E$3004,Timesheet!$D$5:$D$3004,$A1121,Timesheet!$A$5:$A$3004,"&gt;="&amp;Settings!$B$8,Timesheet!$A$5:$A$3004,"&lt;="&amp;Settings!$B$9))</f>
        <v/>
      </c>
      <c r="F1121" s="25" t="str">
        <f aca="false">IF($A1121="","",SUMIFS(Timesheet!$F$5:$F$3004,Timesheet!$D$5:$D$3004,$A1121,Timesheet!$A$5:$A$3004,"&gt;="&amp;Settings!$B$8,Timesheet!$A$5:$A$3004,"&lt;="&amp;Settings!$B$9))</f>
        <v/>
      </c>
      <c r="G1121" s="25" t="str">
        <f aca="false">IF($A1121="","",SUMIFS(Timesheet!$G$5:$G$3004,Timesheet!$D$5:$D$3004,$A1121,Timesheet!$A$5:$A$3004,"&gt;="&amp;Settings!$B$8,Timesheet!$A$5:$A$3004,"&lt;="&amp;Settings!$B$9))</f>
        <v/>
      </c>
      <c r="H1121" s="25" t="str">
        <f aca="false">IF($A1121="","",IF(D1121="Monthly",MAX(0,Settings!$B$11-E1121),0))</f>
        <v/>
      </c>
      <c r="I1121" s="26" t="str">
        <f aca="false">IF($A1121="","",N(INDEX(Workers!$L$5:$L$2004,MATCH($A1121,Workers!$A$5:$A$2004,0))))</f>
        <v/>
      </c>
      <c r="J1121" s="26" t="str">
        <f aca="false">IF($A1121="","",N(INDEX(Workers!$M$5:$M$2004,MATCH($A1121,Workers!$A$5:$A$2004,0))))</f>
        <v/>
      </c>
      <c r="K1121" s="26" t="str">
        <f aca="false">IF($A1121="","",IF(D1121="Monthly",ROUND(MAX(0,(I1121+J1121)-(I1121+J1121)/Settings!$B$10*H1121),2),0))</f>
        <v/>
      </c>
      <c r="L1121" s="26" t="str">
        <f aca="false">IF($A1121="","",IF(D1121="Hourly",ROUND(F1121*N(INDEX(Workers!$N$5:$N$2004,MATCH($A1121,Workers!$A$5:$A$2004,0))),2),0))</f>
        <v/>
      </c>
      <c r="M1121" s="26" t="str">
        <f aca="false">IF($A1121="","",ROUND(G1121*IF(D1121="Hourly",N(INDEX(Workers!$N$5:$N$2004,MATCH($A1121,Workers!$A$5:$A$2004,0))),I1121/Settings!$B$10/Settings!$B$12)*Settings!$B$13,2))</f>
        <v/>
      </c>
      <c r="N1121" s="26" t="str">
        <f aca="false">IF($A1121="","",K1121+L1121+M1121)</f>
        <v/>
      </c>
      <c r="O1121" s="26" t="str">
        <f aca="false">IF($A1121="","",SUMIFS(Deductions!$D$5:$D$2000,Deductions!$B$5:$B$2000,$A1121,Deductions!$C$5:$C$2000,"Advance",Deductions!$E$5:$E$2000,"&gt;="&amp;Settings!$B$8,Deductions!$E$5:$E$2000,"&lt;="&amp;Settings!$B$9))</f>
        <v/>
      </c>
      <c r="P1121" s="26" t="str">
        <f aca="false">IF($A1121="","",SUMIFS(Deductions!$D$5:$D$2000,Deductions!$B$5:$B$2000,$A1121,Deductions!$E$5:$E$2000,"&gt;="&amp;Settings!$B$8,Deductions!$E$5:$E$2000,"&lt;="&amp;Settings!$B$9)-O1121)</f>
        <v/>
      </c>
      <c r="Q1121" s="26" t="str">
        <f aca="false">IF($A1121="","",O1121+P1121)</f>
        <v/>
      </c>
      <c r="R1121" s="23" t="str">
        <f aca="false">IF($A1121="","",N1121-Q1121)</f>
        <v/>
      </c>
      <c r="S1121" s="24" t="str">
        <f aca="false">IF($A1121="","",INDEX(Workers!$O$5:$O$2004,MATCH($A1121,Workers!$A$5:$A$2004,0))&amp;"")</f>
        <v/>
      </c>
      <c r="T1121" s="24" t="str">
        <f aca="false">IF($A1121="","",INDEX(Workers!$P$5:$P$2004,MATCH($A1121,Workers!$A$5:$A$2004,0))&amp;"")</f>
        <v/>
      </c>
      <c r="U1121" s="24" t="str">
        <f aca="false">IF($A1121="","",INDEX(Workers!$H$5:$H$2004,MATCH($A1121,Workers!$A$5:$A$2004,0))&amp;"")</f>
        <v/>
      </c>
    </row>
    <row r="1122" customFormat="false" ht="15" hidden="false" customHeight="false" outlineLevel="0" collapsed="false">
      <c r="A1122" s="24" t="str">
        <f aca="false">IFERROR(INDEX(Workers!$A$5:$A$2004,MATCH(ROW()-4,Workers!$U$5:$U$2004,0)),"")</f>
        <v/>
      </c>
      <c r="B1122" s="24" t="str">
        <f aca="false">IF($A1122="","",INDEX(Workers!$B$5:$B$2004,MATCH($A1122,Workers!$A$5:$A$2004,0)))</f>
        <v/>
      </c>
      <c r="C1122" s="24" t="str">
        <f aca="false">IF($A1122="","",INDEX(Workers!$E$5:$E$2004,MATCH($A1122,Workers!$A$5:$A$2004,0)))</f>
        <v/>
      </c>
      <c r="D1122" s="24" t="str">
        <f aca="false">IF($A1122="","",INDEX(Workers!$K$5:$K$2004,MATCH($A1122,Workers!$A$5:$A$2004,0)))</f>
        <v/>
      </c>
      <c r="E1122" s="25" t="str">
        <f aca="false">IF($A1122="","",SUMIFS(Timesheet!$E$5:$E$3004,Timesheet!$D$5:$D$3004,$A1122,Timesheet!$A$5:$A$3004,"&gt;="&amp;Settings!$B$8,Timesheet!$A$5:$A$3004,"&lt;="&amp;Settings!$B$9))</f>
        <v/>
      </c>
      <c r="F1122" s="25" t="str">
        <f aca="false">IF($A1122="","",SUMIFS(Timesheet!$F$5:$F$3004,Timesheet!$D$5:$D$3004,$A1122,Timesheet!$A$5:$A$3004,"&gt;="&amp;Settings!$B$8,Timesheet!$A$5:$A$3004,"&lt;="&amp;Settings!$B$9))</f>
        <v/>
      </c>
      <c r="G1122" s="25" t="str">
        <f aca="false">IF($A1122="","",SUMIFS(Timesheet!$G$5:$G$3004,Timesheet!$D$5:$D$3004,$A1122,Timesheet!$A$5:$A$3004,"&gt;="&amp;Settings!$B$8,Timesheet!$A$5:$A$3004,"&lt;="&amp;Settings!$B$9))</f>
        <v/>
      </c>
      <c r="H1122" s="25" t="str">
        <f aca="false">IF($A1122="","",IF(D1122="Monthly",MAX(0,Settings!$B$11-E1122),0))</f>
        <v/>
      </c>
      <c r="I1122" s="26" t="str">
        <f aca="false">IF($A1122="","",N(INDEX(Workers!$L$5:$L$2004,MATCH($A1122,Workers!$A$5:$A$2004,0))))</f>
        <v/>
      </c>
      <c r="J1122" s="26" t="str">
        <f aca="false">IF($A1122="","",N(INDEX(Workers!$M$5:$M$2004,MATCH($A1122,Workers!$A$5:$A$2004,0))))</f>
        <v/>
      </c>
      <c r="K1122" s="26" t="str">
        <f aca="false">IF($A1122="","",IF(D1122="Monthly",ROUND(MAX(0,(I1122+J1122)-(I1122+J1122)/Settings!$B$10*H1122),2),0))</f>
        <v/>
      </c>
      <c r="L1122" s="26" t="str">
        <f aca="false">IF($A1122="","",IF(D1122="Hourly",ROUND(F1122*N(INDEX(Workers!$N$5:$N$2004,MATCH($A1122,Workers!$A$5:$A$2004,0))),2),0))</f>
        <v/>
      </c>
      <c r="M1122" s="26" t="str">
        <f aca="false">IF($A1122="","",ROUND(G1122*IF(D1122="Hourly",N(INDEX(Workers!$N$5:$N$2004,MATCH($A1122,Workers!$A$5:$A$2004,0))),I1122/Settings!$B$10/Settings!$B$12)*Settings!$B$13,2))</f>
        <v/>
      </c>
      <c r="N1122" s="26" t="str">
        <f aca="false">IF($A1122="","",K1122+L1122+M1122)</f>
        <v/>
      </c>
      <c r="O1122" s="26" t="str">
        <f aca="false">IF($A1122="","",SUMIFS(Deductions!$D$5:$D$2000,Deductions!$B$5:$B$2000,$A1122,Deductions!$C$5:$C$2000,"Advance",Deductions!$E$5:$E$2000,"&gt;="&amp;Settings!$B$8,Deductions!$E$5:$E$2000,"&lt;="&amp;Settings!$B$9))</f>
        <v/>
      </c>
      <c r="P1122" s="26" t="str">
        <f aca="false">IF($A1122="","",SUMIFS(Deductions!$D$5:$D$2000,Deductions!$B$5:$B$2000,$A1122,Deductions!$E$5:$E$2000,"&gt;="&amp;Settings!$B$8,Deductions!$E$5:$E$2000,"&lt;="&amp;Settings!$B$9)-O1122)</f>
        <v/>
      </c>
      <c r="Q1122" s="26" t="str">
        <f aca="false">IF($A1122="","",O1122+P1122)</f>
        <v/>
      </c>
      <c r="R1122" s="23" t="str">
        <f aca="false">IF($A1122="","",N1122-Q1122)</f>
        <v/>
      </c>
      <c r="S1122" s="24" t="str">
        <f aca="false">IF($A1122="","",INDEX(Workers!$O$5:$O$2004,MATCH($A1122,Workers!$A$5:$A$2004,0))&amp;"")</f>
        <v/>
      </c>
      <c r="T1122" s="24" t="str">
        <f aca="false">IF($A1122="","",INDEX(Workers!$P$5:$P$2004,MATCH($A1122,Workers!$A$5:$A$2004,0))&amp;"")</f>
        <v/>
      </c>
      <c r="U1122" s="24" t="str">
        <f aca="false">IF($A1122="","",INDEX(Workers!$H$5:$H$2004,MATCH($A1122,Workers!$A$5:$A$2004,0))&amp;"")</f>
        <v/>
      </c>
    </row>
    <row r="1123" customFormat="false" ht="15" hidden="false" customHeight="false" outlineLevel="0" collapsed="false">
      <c r="A1123" s="24" t="str">
        <f aca="false">IFERROR(INDEX(Workers!$A$5:$A$2004,MATCH(ROW()-4,Workers!$U$5:$U$2004,0)),"")</f>
        <v/>
      </c>
      <c r="B1123" s="24" t="str">
        <f aca="false">IF($A1123="","",INDEX(Workers!$B$5:$B$2004,MATCH($A1123,Workers!$A$5:$A$2004,0)))</f>
        <v/>
      </c>
      <c r="C1123" s="24" t="str">
        <f aca="false">IF($A1123="","",INDEX(Workers!$E$5:$E$2004,MATCH($A1123,Workers!$A$5:$A$2004,0)))</f>
        <v/>
      </c>
      <c r="D1123" s="24" t="str">
        <f aca="false">IF($A1123="","",INDEX(Workers!$K$5:$K$2004,MATCH($A1123,Workers!$A$5:$A$2004,0)))</f>
        <v/>
      </c>
      <c r="E1123" s="25" t="str">
        <f aca="false">IF($A1123="","",SUMIFS(Timesheet!$E$5:$E$3004,Timesheet!$D$5:$D$3004,$A1123,Timesheet!$A$5:$A$3004,"&gt;="&amp;Settings!$B$8,Timesheet!$A$5:$A$3004,"&lt;="&amp;Settings!$B$9))</f>
        <v/>
      </c>
      <c r="F1123" s="25" t="str">
        <f aca="false">IF($A1123="","",SUMIFS(Timesheet!$F$5:$F$3004,Timesheet!$D$5:$D$3004,$A1123,Timesheet!$A$5:$A$3004,"&gt;="&amp;Settings!$B$8,Timesheet!$A$5:$A$3004,"&lt;="&amp;Settings!$B$9))</f>
        <v/>
      </c>
      <c r="G1123" s="25" t="str">
        <f aca="false">IF($A1123="","",SUMIFS(Timesheet!$G$5:$G$3004,Timesheet!$D$5:$D$3004,$A1123,Timesheet!$A$5:$A$3004,"&gt;="&amp;Settings!$B$8,Timesheet!$A$5:$A$3004,"&lt;="&amp;Settings!$B$9))</f>
        <v/>
      </c>
      <c r="H1123" s="25" t="str">
        <f aca="false">IF($A1123="","",IF(D1123="Monthly",MAX(0,Settings!$B$11-E1123),0))</f>
        <v/>
      </c>
      <c r="I1123" s="26" t="str">
        <f aca="false">IF($A1123="","",N(INDEX(Workers!$L$5:$L$2004,MATCH($A1123,Workers!$A$5:$A$2004,0))))</f>
        <v/>
      </c>
      <c r="J1123" s="26" t="str">
        <f aca="false">IF($A1123="","",N(INDEX(Workers!$M$5:$M$2004,MATCH($A1123,Workers!$A$5:$A$2004,0))))</f>
        <v/>
      </c>
      <c r="K1123" s="26" t="str">
        <f aca="false">IF($A1123="","",IF(D1123="Monthly",ROUND(MAX(0,(I1123+J1123)-(I1123+J1123)/Settings!$B$10*H1123),2),0))</f>
        <v/>
      </c>
      <c r="L1123" s="26" t="str">
        <f aca="false">IF($A1123="","",IF(D1123="Hourly",ROUND(F1123*N(INDEX(Workers!$N$5:$N$2004,MATCH($A1123,Workers!$A$5:$A$2004,0))),2),0))</f>
        <v/>
      </c>
      <c r="M1123" s="26" t="str">
        <f aca="false">IF($A1123="","",ROUND(G1123*IF(D1123="Hourly",N(INDEX(Workers!$N$5:$N$2004,MATCH($A1123,Workers!$A$5:$A$2004,0))),I1123/Settings!$B$10/Settings!$B$12)*Settings!$B$13,2))</f>
        <v/>
      </c>
      <c r="N1123" s="26" t="str">
        <f aca="false">IF($A1123="","",K1123+L1123+M1123)</f>
        <v/>
      </c>
      <c r="O1123" s="26" t="str">
        <f aca="false">IF($A1123="","",SUMIFS(Deductions!$D$5:$D$2000,Deductions!$B$5:$B$2000,$A1123,Deductions!$C$5:$C$2000,"Advance",Deductions!$E$5:$E$2000,"&gt;="&amp;Settings!$B$8,Deductions!$E$5:$E$2000,"&lt;="&amp;Settings!$B$9))</f>
        <v/>
      </c>
      <c r="P1123" s="26" t="str">
        <f aca="false">IF($A1123="","",SUMIFS(Deductions!$D$5:$D$2000,Deductions!$B$5:$B$2000,$A1123,Deductions!$E$5:$E$2000,"&gt;="&amp;Settings!$B$8,Deductions!$E$5:$E$2000,"&lt;="&amp;Settings!$B$9)-O1123)</f>
        <v/>
      </c>
      <c r="Q1123" s="26" t="str">
        <f aca="false">IF($A1123="","",O1123+P1123)</f>
        <v/>
      </c>
      <c r="R1123" s="23" t="str">
        <f aca="false">IF($A1123="","",N1123-Q1123)</f>
        <v/>
      </c>
      <c r="S1123" s="24" t="str">
        <f aca="false">IF($A1123="","",INDEX(Workers!$O$5:$O$2004,MATCH($A1123,Workers!$A$5:$A$2004,0))&amp;"")</f>
        <v/>
      </c>
      <c r="T1123" s="24" t="str">
        <f aca="false">IF($A1123="","",INDEX(Workers!$P$5:$P$2004,MATCH($A1123,Workers!$A$5:$A$2004,0))&amp;"")</f>
        <v/>
      </c>
      <c r="U1123" s="24" t="str">
        <f aca="false">IF($A1123="","",INDEX(Workers!$H$5:$H$2004,MATCH($A1123,Workers!$A$5:$A$2004,0))&amp;"")</f>
        <v/>
      </c>
    </row>
    <row r="1124" customFormat="false" ht="15" hidden="false" customHeight="false" outlineLevel="0" collapsed="false">
      <c r="A1124" s="24" t="str">
        <f aca="false">IFERROR(INDEX(Workers!$A$5:$A$2004,MATCH(ROW()-4,Workers!$U$5:$U$2004,0)),"")</f>
        <v/>
      </c>
      <c r="B1124" s="24" t="str">
        <f aca="false">IF($A1124="","",INDEX(Workers!$B$5:$B$2004,MATCH($A1124,Workers!$A$5:$A$2004,0)))</f>
        <v/>
      </c>
      <c r="C1124" s="24" t="str">
        <f aca="false">IF($A1124="","",INDEX(Workers!$E$5:$E$2004,MATCH($A1124,Workers!$A$5:$A$2004,0)))</f>
        <v/>
      </c>
      <c r="D1124" s="24" t="str">
        <f aca="false">IF($A1124="","",INDEX(Workers!$K$5:$K$2004,MATCH($A1124,Workers!$A$5:$A$2004,0)))</f>
        <v/>
      </c>
      <c r="E1124" s="25" t="str">
        <f aca="false">IF($A1124="","",SUMIFS(Timesheet!$E$5:$E$3004,Timesheet!$D$5:$D$3004,$A1124,Timesheet!$A$5:$A$3004,"&gt;="&amp;Settings!$B$8,Timesheet!$A$5:$A$3004,"&lt;="&amp;Settings!$B$9))</f>
        <v/>
      </c>
      <c r="F1124" s="25" t="str">
        <f aca="false">IF($A1124="","",SUMIFS(Timesheet!$F$5:$F$3004,Timesheet!$D$5:$D$3004,$A1124,Timesheet!$A$5:$A$3004,"&gt;="&amp;Settings!$B$8,Timesheet!$A$5:$A$3004,"&lt;="&amp;Settings!$B$9))</f>
        <v/>
      </c>
      <c r="G1124" s="25" t="str">
        <f aca="false">IF($A1124="","",SUMIFS(Timesheet!$G$5:$G$3004,Timesheet!$D$5:$D$3004,$A1124,Timesheet!$A$5:$A$3004,"&gt;="&amp;Settings!$B$8,Timesheet!$A$5:$A$3004,"&lt;="&amp;Settings!$B$9))</f>
        <v/>
      </c>
      <c r="H1124" s="25" t="str">
        <f aca="false">IF($A1124="","",IF(D1124="Monthly",MAX(0,Settings!$B$11-E1124),0))</f>
        <v/>
      </c>
      <c r="I1124" s="26" t="str">
        <f aca="false">IF($A1124="","",N(INDEX(Workers!$L$5:$L$2004,MATCH($A1124,Workers!$A$5:$A$2004,0))))</f>
        <v/>
      </c>
      <c r="J1124" s="26" t="str">
        <f aca="false">IF($A1124="","",N(INDEX(Workers!$M$5:$M$2004,MATCH($A1124,Workers!$A$5:$A$2004,0))))</f>
        <v/>
      </c>
      <c r="K1124" s="26" t="str">
        <f aca="false">IF($A1124="","",IF(D1124="Monthly",ROUND(MAX(0,(I1124+J1124)-(I1124+J1124)/Settings!$B$10*H1124),2),0))</f>
        <v/>
      </c>
      <c r="L1124" s="26" t="str">
        <f aca="false">IF($A1124="","",IF(D1124="Hourly",ROUND(F1124*N(INDEX(Workers!$N$5:$N$2004,MATCH($A1124,Workers!$A$5:$A$2004,0))),2),0))</f>
        <v/>
      </c>
      <c r="M1124" s="26" t="str">
        <f aca="false">IF($A1124="","",ROUND(G1124*IF(D1124="Hourly",N(INDEX(Workers!$N$5:$N$2004,MATCH($A1124,Workers!$A$5:$A$2004,0))),I1124/Settings!$B$10/Settings!$B$12)*Settings!$B$13,2))</f>
        <v/>
      </c>
      <c r="N1124" s="26" t="str">
        <f aca="false">IF($A1124="","",K1124+L1124+M1124)</f>
        <v/>
      </c>
      <c r="O1124" s="26" t="str">
        <f aca="false">IF($A1124="","",SUMIFS(Deductions!$D$5:$D$2000,Deductions!$B$5:$B$2000,$A1124,Deductions!$C$5:$C$2000,"Advance",Deductions!$E$5:$E$2000,"&gt;="&amp;Settings!$B$8,Deductions!$E$5:$E$2000,"&lt;="&amp;Settings!$B$9))</f>
        <v/>
      </c>
      <c r="P1124" s="26" t="str">
        <f aca="false">IF($A1124="","",SUMIFS(Deductions!$D$5:$D$2000,Deductions!$B$5:$B$2000,$A1124,Deductions!$E$5:$E$2000,"&gt;="&amp;Settings!$B$8,Deductions!$E$5:$E$2000,"&lt;="&amp;Settings!$B$9)-O1124)</f>
        <v/>
      </c>
      <c r="Q1124" s="26" t="str">
        <f aca="false">IF($A1124="","",O1124+P1124)</f>
        <v/>
      </c>
      <c r="R1124" s="23" t="str">
        <f aca="false">IF($A1124="","",N1124-Q1124)</f>
        <v/>
      </c>
      <c r="S1124" s="24" t="str">
        <f aca="false">IF($A1124="","",INDEX(Workers!$O$5:$O$2004,MATCH($A1124,Workers!$A$5:$A$2004,0))&amp;"")</f>
        <v/>
      </c>
      <c r="T1124" s="24" t="str">
        <f aca="false">IF($A1124="","",INDEX(Workers!$P$5:$P$2004,MATCH($A1124,Workers!$A$5:$A$2004,0))&amp;"")</f>
        <v/>
      </c>
      <c r="U1124" s="24" t="str">
        <f aca="false">IF($A1124="","",INDEX(Workers!$H$5:$H$2004,MATCH($A1124,Workers!$A$5:$A$2004,0))&amp;"")</f>
        <v/>
      </c>
    </row>
    <row r="1125" customFormat="false" ht="15" hidden="false" customHeight="false" outlineLevel="0" collapsed="false">
      <c r="A1125" s="24" t="str">
        <f aca="false">IFERROR(INDEX(Workers!$A$5:$A$2004,MATCH(ROW()-4,Workers!$U$5:$U$2004,0)),"")</f>
        <v/>
      </c>
      <c r="B1125" s="24" t="str">
        <f aca="false">IF($A1125="","",INDEX(Workers!$B$5:$B$2004,MATCH($A1125,Workers!$A$5:$A$2004,0)))</f>
        <v/>
      </c>
      <c r="C1125" s="24" t="str">
        <f aca="false">IF($A1125="","",INDEX(Workers!$E$5:$E$2004,MATCH($A1125,Workers!$A$5:$A$2004,0)))</f>
        <v/>
      </c>
      <c r="D1125" s="24" t="str">
        <f aca="false">IF($A1125="","",INDEX(Workers!$K$5:$K$2004,MATCH($A1125,Workers!$A$5:$A$2004,0)))</f>
        <v/>
      </c>
      <c r="E1125" s="25" t="str">
        <f aca="false">IF($A1125="","",SUMIFS(Timesheet!$E$5:$E$3004,Timesheet!$D$5:$D$3004,$A1125,Timesheet!$A$5:$A$3004,"&gt;="&amp;Settings!$B$8,Timesheet!$A$5:$A$3004,"&lt;="&amp;Settings!$B$9))</f>
        <v/>
      </c>
      <c r="F1125" s="25" t="str">
        <f aca="false">IF($A1125="","",SUMIFS(Timesheet!$F$5:$F$3004,Timesheet!$D$5:$D$3004,$A1125,Timesheet!$A$5:$A$3004,"&gt;="&amp;Settings!$B$8,Timesheet!$A$5:$A$3004,"&lt;="&amp;Settings!$B$9))</f>
        <v/>
      </c>
      <c r="G1125" s="25" t="str">
        <f aca="false">IF($A1125="","",SUMIFS(Timesheet!$G$5:$G$3004,Timesheet!$D$5:$D$3004,$A1125,Timesheet!$A$5:$A$3004,"&gt;="&amp;Settings!$B$8,Timesheet!$A$5:$A$3004,"&lt;="&amp;Settings!$B$9))</f>
        <v/>
      </c>
      <c r="H1125" s="25" t="str">
        <f aca="false">IF($A1125="","",IF(D1125="Monthly",MAX(0,Settings!$B$11-E1125),0))</f>
        <v/>
      </c>
      <c r="I1125" s="26" t="str">
        <f aca="false">IF($A1125="","",N(INDEX(Workers!$L$5:$L$2004,MATCH($A1125,Workers!$A$5:$A$2004,0))))</f>
        <v/>
      </c>
      <c r="J1125" s="26" t="str">
        <f aca="false">IF($A1125="","",N(INDEX(Workers!$M$5:$M$2004,MATCH($A1125,Workers!$A$5:$A$2004,0))))</f>
        <v/>
      </c>
      <c r="K1125" s="26" t="str">
        <f aca="false">IF($A1125="","",IF(D1125="Monthly",ROUND(MAX(0,(I1125+J1125)-(I1125+J1125)/Settings!$B$10*H1125),2),0))</f>
        <v/>
      </c>
      <c r="L1125" s="26" t="str">
        <f aca="false">IF($A1125="","",IF(D1125="Hourly",ROUND(F1125*N(INDEX(Workers!$N$5:$N$2004,MATCH($A1125,Workers!$A$5:$A$2004,0))),2),0))</f>
        <v/>
      </c>
      <c r="M1125" s="26" t="str">
        <f aca="false">IF($A1125="","",ROUND(G1125*IF(D1125="Hourly",N(INDEX(Workers!$N$5:$N$2004,MATCH($A1125,Workers!$A$5:$A$2004,0))),I1125/Settings!$B$10/Settings!$B$12)*Settings!$B$13,2))</f>
        <v/>
      </c>
      <c r="N1125" s="26" t="str">
        <f aca="false">IF($A1125="","",K1125+L1125+M1125)</f>
        <v/>
      </c>
      <c r="O1125" s="26" t="str">
        <f aca="false">IF($A1125="","",SUMIFS(Deductions!$D$5:$D$2000,Deductions!$B$5:$B$2000,$A1125,Deductions!$C$5:$C$2000,"Advance",Deductions!$E$5:$E$2000,"&gt;="&amp;Settings!$B$8,Deductions!$E$5:$E$2000,"&lt;="&amp;Settings!$B$9))</f>
        <v/>
      </c>
      <c r="P1125" s="26" t="str">
        <f aca="false">IF($A1125="","",SUMIFS(Deductions!$D$5:$D$2000,Deductions!$B$5:$B$2000,$A1125,Deductions!$E$5:$E$2000,"&gt;="&amp;Settings!$B$8,Deductions!$E$5:$E$2000,"&lt;="&amp;Settings!$B$9)-O1125)</f>
        <v/>
      </c>
      <c r="Q1125" s="26" t="str">
        <f aca="false">IF($A1125="","",O1125+P1125)</f>
        <v/>
      </c>
      <c r="R1125" s="23" t="str">
        <f aca="false">IF($A1125="","",N1125-Q1125)</f>
        <v/>
      </c>
      <c r="S1125" s="24" t="str">
        <f aca="false">IF($A1125="","",INDEX(Workers!$O$5:$O$2004,MATCH($A1125,Workers!$A$5:$A$2004,0))&amp;"")</f>
        <v/>
      </c>
      <c r="T1125" s="24" t="str">
        <f aca="false">IF($A1125="","",INDEX(Workers!$P$5:$P$2004,MATCH($A1125,Workers!$A$5:$A$2004,0))&amp;"")</f>
        <v/>
      </c>
      <c r="U1125" s="24" t="str">
        <f aca="false">IF($A1125="","",INDEX(Workers!$H$5:$H$2004,MATCH($A1125,Workers!$A$5:$A$2004,0))&amp;"")</f>
        <v/>
      </c>
    </row>
    <row r="1126" customFormat="false" ht="15" hidden="false" customHeight="false" outlineLevel="0" collapsed="false">
      <c r="A1126" s="24" t="str">
        <f aca="false">IFERROR(INDEX(Workers!$A$5:$A$2004,MATCH(ROW()-4,Workers!$U$5:$U$2004,0)),"")</f>
        <v/>
      </c>
      <c r="B1126" s="24" t="str">
        <f aca="false">IF($A1126="","",INDEX(Workers!$B$5:$B$2004,MATCH($A1126,Workers!$A$5:$A$2004,0)))</f>
        <v/>
      </c>
      <c r="C1126" s="24" t="str">
        <f aca="false">IF($A1126="","",INDEX(Workers!$E$5:$E$2004,MATCH($A1126,Workers!$A$5:$A$2004,0)))</f>
        <v/>
      </c>
      <c r="D1126" s="24" t="str">
        <f aca="false">IF($A1126="","",INDEX(Workers!$K$5:$K$2004,MATCH($A1126,Workers!$A$5:$A$2004,0)))</f>
        <v/>
      </c>
      <c r="E1126" s="25" t="str">
        <f aca="false">IF($A1126="","",SUMIFS(Timesheet!$E$5:$E$3004,Timesheet!$D$5:$D$3004,$A1126,Timesheet!$A$5:$A$3004,"&gt;="&amp;Settings!$B$8,Timesheet!$A$5:$A$3004,"&lt;="&amp;Settings!$B$9))</f>
        <v/>
      </c>
      <c r="F1126" s="25" t="str">
        <f aca="false">IF($A1126="","",SUMIFS(Timesheet!$F$5:$F$3004,Timesheet!$D$5:$D$3004,$A1126,Timesheet!$A$5:$A$3004,"&gt;="&amp;Settings!$B$8,Timesheet!$A$5:$A$3004,"&lt;="&amp;Settings!$B$9))</f>
        <v/>
      </c>
      <c r="G1126" s="25" t="str">
        <f aca="false">IF($A1126="","",SUMIFS(Timesheet!$G$5:$G$3004,Timesheet!$D$5:$D$3004,$A1126,Timesheet!$A$5:$A$3004,"&gt;="&amp;Settings!$B$8,Timesheet!$A$5:$A$3004,"&lt;="&amp;Settings!$B$9))</f>
        <v/>
      </c>
      <c r="H1126" s="25" t="str">
        <f aca="false">IF($A1126="","",IF(D1126="Monthly",MAX(0,Settings!$B$11-E1126),0))</f>
        <v/>
      </c>
      <c r="I1126" s="26" t="str">
        <f aca="false">IF($A1126="","",N(INDEX(Workers!$L$5:$L$2004,MATCH($A1126,Workers!$A$5:$A$2004,0))))</f>
        <v/>
      </c>
      <c r="J1126" s="26" t="str">
        <f aca="false">IF($A1126="","",N(INDEX(Workers!$M$5:$M$2004,MATCH($A1126,Workers!$A$5:$A$2004,0))))</f>
        <v/>
      </c>
      <c r="K1126" s="26" t="str">
        <f aca="false">IF($A1126="","",IF(D1126="Monthly",ROUND(MAX(0,(I1126+J1126)-(I1126+J1126)/Settings!$B$10*H1126),2),0))</f>
        <v/>
      </c>
      <c r="L1126" s="26" t="str">
        <f aca="false">IF($A1126="","",IF(D1126="Hourly",ROUND(F1126*N(INDEX(Workers!$N$5:$N$2004,MATCH($A1126,Workers!$A$5:$A$2004,0))),2),0))</f>
        <v/>
      </c>
      <c r="M1126" s="26" t="str">
        <f aca="false">IF($A1126="","",ROUND(G1126*IF(D1126="Hourly",N(INDEX(Workers!$N$5:$N$2004,MATCH($A1126,Workers!$A$5:$A$2004,0))),I1126/Settings!$B$10/Settings!$B$12)*Settings!$B$13,2))</f>
        <v/>
      </c>
      <c r="N1126" s="26" t="str">
        <f aca="false">IF($A1126="","",K1126+L1126+M1126)</f>
        <v/>
      </c>
      <c r="O1126" s="26" t="str">
        <f aca="false">IF($A1126="","",SUMIFS(Deductions!$D$5:$D$2000,Deductions!$B$5:$B$2000,$A1126,Deductions!$C$5:$C$2000,"Advance",Deductions!$E$5:$E$2000,"&gt;="&amp;Settings!$B$8,Deductions!$E$5:$E$2000,"&lt;="&amp;Settings!$B$9))</f>
        <v/>
      </c>
      <c r="P1126" s="26" t="str">
        <f aca="false">IF($A1126="","",SUMIFS(Deductions!$D$5:$D$2000,Deductions!$B$5:$B$2000,$A1126,Deductions!$E$5:$E$2000,"&gt;="&amp;Settings!$B$8,Deductions!$E$5:$E$2000,"&lt;="&amp;Settings!$B$9)-O1126)</f>
        <v/>
      </c>
      <c r="Q1126" s="26" t="str">
        <f aca="false">IF($A1126="","",O1126+P1126)</f>
        <v/>
      </c>
      <c r="R1126" s="23" t="str">
        <f aca="false">IF($A1126="","",N1126-Q1126)</f>
        <v/>
      </c>
      <c r="S1126" s="24" t="str">
        <f aca="false">IF($A1126="","",INDEX(Workers!$O$5:$O$2004,MATCH($A1126,Workers!$A$5:$A$2004,0))&amp;"")</f>
        <v/>
      </c>
      <c r="T1126" s="24" t="str">
        <f aca="false">IF($A1126="","",INDEX(Workers!$P$5:$P$2004,MATCH($A1126,Workers!$A$5:$A$2004,0))&amp;"")</f>
        <v/>
      </c>
      <c r="U1126" s="24" t="str">
        <f aca="false">IF($A1126="","",INDEX(Workers!$H$5:$H$2004,MATCH($A1126,Workers!$A$5:$A$2004,0))&amp;"")</f>
        <v/>
      </c>
    </row>
    <row r="1127" customFormat="false" ht="15" hidden="false" customHeight="false" outlineLevel="0" collapsed="false">
      <c r="A1127" s="24" t="str">
        <f aca="false">IFERROR(INDEX(Workers!$A$5:$A$2004,MATCH(ROW()-4,Workers!$U$5:$U$2004,0)),"")</f>
        <v/>
      </c>
      <c r="B1127" s="24" t="str">
        <f aca="false">IF($A1127="","",INDEX(Workers!$B$5:$B$2004,MATCH($A1127,Workers!$A$5:$A$2004,0)))</f>
        <v/>
      </c>
      <c r="C1127" s="24" t="str">
        <f aca="false">IF($A1127="","",INDEX(Workers!$E$5:$E$2004,MATCH($A1127,Workers!$A$5:$A$2004,0)))</f>
        <v/>
      </c>
      <c r="D1127" s="24" t="str">
        <f aca="false">IF($A1127="","",INDEX(Workers!$K$5:$K$2004,MATCH($A1127,Workers!$A$5:$A$2004,0)))</f>
        <v/>
      </c>
      <c r="E1127" s="25" t="str">
        <f aca="false">IF($A1127="","",SUMIFS(Timesheet!$E$5:$E$3004,Timesheet!$D$5:$D$3004,$A1127,Timesheet!$A$5:$A$3004,"&gt;="&amp;Settings!$B$8,Timesheet!$A$5:$A$3004,"&lt;="&amp;Settings!$B$9))</f>
        <v/>
      </c>
      <c r="F1127" s="25" t="str">
        <f aca="false">IF($A1127="","",SUMIFS(Timesheet!$F$5:$F$3004,Timesheet!$D$5:$D$3004,$A1127,Timesheet!$A$5:$A$3004,"&gt;="&amp;Settings!$B$8,Timesheet!$A$5:$A$3004,"&lt;="&amp;Settings!$B$9))</f>
        <v/>
      </c>
      <c r="G1127" s="25" t="str">
        <f aca="false">IF($A1127="","",SUMIFS(Timesheet!$G$5:$G$3004,Timesheet!$D$5:$D$3004,$A1127,Timesheet!$A$5:$A$3004,"&gt;="&amp;Settings!$B$8,Timesheet!$A$5:$A$3004,"&lt;="&amp;Settings!$B$9))</f>
        <v/>
      </c>
      <c r="H1127" s="25" t="str">
        <f aca="false">IF($A1127="","",IF(D1127="Monthly",MAX(0,Settings!$B$11-E1127),0))</f>
        <v/>
      </c>
      <c r="I1127" s="26" t="str">
        <f aca="false">IF($A1127="","",N(INDEX(Workers!$L$5:$L$2004,MATCH($A1127,Workers!$A$5:$A$2004,0))))</f>
        <v/>
      </c>
      <c r="J1127" s="26" t="str">
        <f aca="false">IF($A1127="","",N(INDEX(Workers!$M$5:$M$2004,MATCH($A1127,Workers!$A$5:$A$2004,0))))</f>
        <v/>
      </c>
      <c r="K1127" s="26" t="str">
        <f aca="false">IF($A1127="","",IF(D1127="Monthly",ROUND(MAX(0,(I1127+J1127)-(I1127+J1127)/Settings!$B$10*H1127),2),0))</f>
        <v/>
      </c>
      <c r="L1127" s="26" t="str">
        <f aca="false">IF($A1127="","",IF(D1127="Hourly",ROUND(F1127*N(INDEX(Workers!$N$5:$N$2004,MATCH($A1127,Workers!$A$5:$A$2004,0))),2),0))</f>
        <v/>
      </c>
      <c r="M1127" s="26" t="str">
        <f aca="false">IF($A1127="","",ROUND(G1127*IF(D1127="Hourly",N(INDEX(Workers!$N$5:$N$2004,MATCH($A1127,Workers!$A$5:$A$2004,0))),I1127/Settings!$B$10/Settings!$B$12)*Settings!$B$13,2))</f>
        <v/>
      </c>
      <c r="N1127" s="26" t="str">
        <f aca="false">IF($A1127="","",K1127+L1127+M1127)</f>
        <v/>
      </c>
      <c r="O1127" s="26" t="str">
        <f aca="false">IF($A1127="","",SUMIFS(Deductions!$D$5:$D$2000,Deductions!$B$5:$B$2000,$A1127,Deductions!$C$5:$C$2000,"Advance",Deductions!$E$5:$E$2000,"&gt;="&amp;Settings!$B$8,Deductions!$E$5:$E$2000,"&lt;="&amp;Settings!$B$9))</f>
        <v/>
      </c>
      <c r="P1127" s="26" t="str">
        <f aca="false">IF($A1127="","",SUMIFS(Deductions!$D$5:$D$2000,Deductions!$B$5:$B$2000,$A1127,Deductions!$E$5:$E$2000,"&gt;="&amp;Settings!$B$8,Deductions!$E$5:$E$2000,"&lt;="&amp;Settings!$B$9)-O1127)</f>
        <v/>
      </c>
      <c r="Q1127" s="26" t="str">
        <f aca="false">IF($A1127="","",O1127+P1127)</f>
        <v/>
      </c>
      <c r="R1127" s="23" t="str">
        <f aca="false">IF($A1127="","",N1127-Q1127)</f>
        <v/>
      </c>
      <c r="S1127" s="24" t="str">
        <f aca="false">IF($A1127="","",INDEX(Workers!$O$5:$O$2004,MATCH($A1127,Workers!$A$5:$A$2004,0))&amp;"")</f>
        <v/>
      </c>
      <c r="T1127" s="24" t="str">
        <f aca="false">IF($A1127="","",INDEX(Workers!$P$5:$P$2004,MATCH($A1127,Workers!$A$5:$A$2004,0))&amp;"")</f>
        <v/>
      </c>
      <c r="U1127" s="24" t="str">
        <f aca="false">IF($A1127="","",INDEX(Workers!$H$5:$H$2004,MATCH($A1127,Workers!$A$5:$A$2004,0))&amp;"")</f>
        <v/>
      </c>
    </row>
    <row r="1128" customFormat="false" ht="15" hidden="false" customHeight="false" outlineLevel="0" collapsed="false">
      <c r="A1128" s="24" t="str">
        <f aca="false">IFERROR(INDEX(Workers!$A$5:$A$2004,MATCH(ROW()-4,Workers!$U$5:$U$2004,0)),"")</f>
        <v/>
      </c>
      <c r="B1128" s="24" t="str">
        <f aca="false">IF($A1128="","",INDEX(Workers!$B$5:$B$2004,MATCH($A1128,Workers!$A$5:$A$2004,0)))</f>
        <v/>
      </c>
      <c r="C1128" s="24" t="str">
        <f aca="false">IF($A1128="","",INDEX(Workers!$E$5:$E$2004,MATCH($A1128,Workers!$A$5:$A$2004,0)))</f>
        <v/>
      </c>
      <c r="D1128" s="24" t="str">
        <f aca="false">IF($A1128="","",INDEX(Workers!$K$5:$K$2004,MATCH($A1128,Workers!$A$5:$A$2004,0)))</f>
        <v/>
      </c>
      <c r="E1128" s="25" t="str">
        <f aca="false">IF($A1128="","",SUMIFS(Timesheet!$E$5:$E$3004,Timesheet!$D$5:$D$3004,$A1128,Timesheet!$A$5:$A$3004,"&gt;="&amp;Settings!$B$8,Timesheet!$A$5:$A$3004,"&lt;="&amp;Settings!$B$9))</f>
        <v/>
      </c>
      <c r="F1128" s="25" t="str">
        <f aca="false">IF($A1128="","",SUMIFS(Timesheet!$F$5:$F$3004,Timesheet!$D$5:$D$3004,$A1128,Timesheet!$A$5:$A$3004,"&gt;="&amp;Settings!$B$8,Timesheet!$A$5:$A$3004,"&lt;="&amp;Settings!$B$9))</f>
        <v/>
      </c>
      <c r="G1128" s="25" t="str">
        <f aca="false">IF($A1128="","",SUMIFS(Timesheet!$G$5:$G$3004,Timesheet!$D$5:$D$3004,$A1128,Timesheet!$A$5:$A$3004,"&gt;="&amp;Settings!$B$8,Timesheet!$A$5:$A$3004,"&lt;="&amp;Settings!$B$9))</f>
        <v/>
      </c>
      <c r="H1128" s="25" t="str">
        <f aca="false">IF($A1128="","",IF(D1128="Monthly",MAX(0,Settings!$B$11-E1128),0))</f>
        <v/>
      </c>
      <c r="I1128" s="26" t="str">
        <f aca="false">IF($A1128="","",N(INDEX(Workers!$L$5:$L$2004,MATCH($A1128,Workers!$A$5:$A$2004,0))))</f>
        <v/>
      </c>
      <c r="J1128" s="26" t="str">
        <f aca="false">IF($A1128="","",N(INDEX(Workers!$M$5:$M$2004,MATCH($A1128,Workers!$A$5:$A$2004,0))))</f>
        <v/>
      </c>
      <c r="K1128" s="26" t="str">
        <f aca="false">IF($A1128="","",IF(D1128="Monthly",ROUND(MAX(0,(I1128+J1128)-(I1128+J1128)/Settings!$B$10*H1128),2),0))</f>
        <v/>
      </c>
      <c r="L1128" s="26" t="str">
        <f aca="false">IF($A1128="","",IF(D1128="Hourly",ROUND(F1128*N(INDEX(Workers!$N$5:$N$2004,MATCH($A1128,Workers!$A$5:$A$2004,0))),2),0))</f>
        <v/>
      </c>
      <c r="M1128" s="26" t="str">
        <f aca="false">IF($A1128="","",ROUND(G1128*IF(D1128="Hourly",N(INDEX(Workers!$N$5:$N$2004,MATCH($A1128,Workers!$A$5:$A$2004,0))),I1128/Settings!$B$10/Settings!$B$12)*Settings!$B$13,2))</f>
        <v/>
      </c>
      <c r="N1128" s="26" t="str">
        <f aca="false">IF($A1128="","",K1128+L1128+M1128)</f>
        <v/>
      </c>
      <c r="O1128" s="26" t="str">
        <f aca="false">IF($A1128="","",SUMIFS(Deductions!$D$5:$D$2000,Deductions!$B$5:$B$2000,$A1128,Deductions!$C$5:$C$2000,"Advance",Deductions!$E$5:$E$2000,"&gt;="&amp;Settings!$B$8,Deductions!$E$5:$E$2000,"&lt;="&amp;Settings!$B$9))</f>
        <v/>
      </c>
      <c r="P1128" s="26" t="str">
        <f aca="false">IF($A1128="","",SUMIFS(Deductions!$D$5:$D$2000,Deductions!$B$5:$B$2000,$A1128,Deductions!$E$5:$E$2000,"&gt;="&amp;Settings!$B$8,Deductions!$E$5:$E$2000,"&lt;="&amp;Settings!$B$9)-O1128)</f>
        <v/>
      </c>
      <c r="Q1128" s="26" t="str">
        <f aca="false">IF($A1128="","",O1128+P1128)</f>
        <v/>
      </c>
      <c r="R1128" s="23" t="str">
        <f aca="false">IF($A1128="","",N1128-Q1128)</f>
        <v/>
      </c>
      <c r="S1128" s="24" t="str">
        <f aca="false">IF($A1128="","",INDEX(Workers!$O$5:$O$2004,MATCH($A1128,Workers!$A$5:$A$2004,0))&amp;"")</f>
        <v/>
      </c>
      <c r="T1128" s="24" t="str">
        <f aca="false">IF($A1128="","",INDEX(Workers!$P$5:$P$2004,MATCH($A1128,Workers!$A$5:$A$2004,0))&amp;"")</f>
        <v/>
      </c>
      <c r="U1128" s="24" t="str">
        <f aca="false">IF($A1128="","",INDEX(Workers!$H$5:$H$2004,MATCH($A1128,Workers!$A$5:$A$2004,0))&amp;"")</f>
        <v/>
      </c>
    </row>
    <row r="1129" customFormat="false" ht="15" hidden="false" customHeight="false" outlineLevel="0" collapsed="false">
      <c r="A1129" s="24" t="str">
        <f aca="false">IFERROR(INDEX(Workers!$A$5:$A$2004,MATCH(ROW()-4,Workers!$U$5:$U$2004,0)),"")</f>
        <v/>
      </c>
      <c r="B1129" s="24" t="str">
        <f aca="false">IF($A1129="","",INDEX(Workers!$B$5:$B$2004,MATCH($A1129,Workers!$A$5:$A$2004,0)))</f>
        <v/>
      </c>
      <c r="C1129" s="24" t="str">
        <f aca="false">IF($A1129="","",INDEX(Workers!$E$5:$E$2004,MATCH($A1129,Workers!$A$5:$A$2004,0)))</f>
        <v/>
      </c>
      <c r="D1129" s="24" t="str">
        <f aca="false">IF($A1129="","",INDEX(Workers!$K$5:$K$2004,MATCH($A1129,Workers!$A$5:$A$2004,0)))</f>
        <v/>
      </c>
      <c r="E1129" s="25" t="str">
        <f aca="false">IF($A1129="","",SUMIFS(Timesheet!$E$5:$E$3004,Timesheet!$D$5:$D$3004,$A1129,Timesheet!$A$5:$A$3004,"&gt;="&amp;Settings!$B$8,Timesheet!$A$5:$A$3004,"&lt;="&amp;Settings!$B$9))</f>
        <v/>
      </c>
      <c r="F1129" s="25" t="str">
        <f aca="false">IF($A1129="","",SUMIFS(Timesheet!$F$5:$F$3004,Timesheet!$D$5:$D$3004,$A1129,Timesheet!$A$5:$A$3004,"&gt;="&amp;Settings!$B$8,Timesheet!$A$5:$A$3004,"&lt;="&amp;Settings!$B$9))</f>
        <v/>
      </c>
      <c r="G1129" s="25" t="str">
        <f aca="false">IF($A1129="","",SUMIFS(Timesheet!$G$5:$G$3004,Timesheet!$D$5:$D$3004,$A1129,Timesheet!$A$5:$A$3004,"&gt;="&amp;Settings!$B$8,Timesheet!$A$5:$A$3004,"&lt;="&amp;Settings!$B$9))</f>
        <v/>
      </c>
      <c r="H1129" s="25" t="str">
        <f aca="false">IF($A1129="","",IF(D1129="Monthly",MAX(0,Settings!$B$11-E1129),0))</f>
        <v/>
      </c>
      <c r="I1129" s="26" t="str">
        <f aca="false">IF($A1129="","",N(INDEX(Workers!$L$5:$L$2004,MATCH($A1129,Workers!$A$5:$A$2004,0))))</f>
        <v/>
      </c>
      <c r="J1129" s="26" t="str">
        <f aca="false">IF($A1129="","",N(INDEX(Workers!$M$5:$M$2004,MATCH($A1129,Workers!$A$5:$A$2004,0))))</f>
        <v/>
      </c>
      <c r="K1129" s="26" t="str">
        <f aca="false">IF($A1129="","",IF(D1129="Monthly",ROUND(MAX(0,(I1129+J1129)-(I1129+J1129)/Settings!$B$10*H1129),2),0))</f>
        <v/>
      </c>
      <c r="L1129" s="26" t="str">
        <f aca="false">IF($A1129="","",IF(D1129="Hourly",ROUND(F1129*N(INDEX(Workers!$N$5:$N$2004,MATCH($A1129,Workers!$A$5:$A$2004,0))),2),0))</f>
        <v/>
      </c>
      <c r="M1129" s="26" t="str">
        <f aca="false">IF($A1129="","",ROUND(G1129*IF(D1129="Hourly",N(INDEX(Workers!$N$5:$N$2004,MATCH($A1129,Workers!$A$5:$A$2004,0))),I1129/Settings!$B$10/Settings!$B$12)*Settings!$B$13,2))</f>
        <v/>
      </c>
      <c r="N1129" s="26" t="str">
        <f aca="false">IF($A1129="","",K1129+L1129+M1129)</f>
        <v/>
      </c>
      <c r="O1129" s="26" t="str">
        <f aca="false">IF($A1129="","",SUMIFS(Deductions!$D$5:$D$2000,Deductions!$B$5:$B$2000,$A1129,Deductions!$C$5:$C$2000,"Advance",Deductions!$E$5:$E$2000,"&gt;="&amp;Settings!$B$8,Deductions!$E$5:$E$2000,"&lt;="&amp;Settings!$B$9))</f>
        <v/>
      </c>
      <c r="P1129" s="26" t="str">
        <f aca="false">IF($A1129="","",SUMIFS(Deductions!$D$5:$D$2000,Deductions!$B$5:$B$2000,$A1129,Deductions!$E$5:$E$2000,"&gt;="&amp;Settings!$B$8,Deductions!$E$5:$E$2000,"&lt;="&amp;Settings!$B$9)-O1129)</f>
        <v/>
      </c>
      <c r="Q1129" s="26" t="str">
        <f aca="false">IF($A1129="","",O1129+P1129)</f>
        <v/>
      </c>
      <c r="R1129" s="23" t="str">
        <f aca="false">IF($A1129="","",N1129-Q1129)</f>
        <v/>
      </c>
      <c r="S1129" s="24" t="str">
        <f aca="false">IF($A1129="","",INDEX(Workers!$O$5:$O$2004,MATCH($A1129,Workers!$A$5:$A$2004,0))&amp;"")</f>
        <v/>
      </c>
      <c r="T1129" s="24" t="str">
        <f aca="false">IF($A1129="","",INDEX(Workers!$P$5:$P$2004,MATCH($A1129,Workers!$A$5:$A$2004,0))&amp;"")</f>
        <v/>
      </c>
      <c r="U1129" s="24" t="str">
        <f aca="false">IF($A1129="","",INDEX(Workers!$H$5:$H$2004,MATCH($A1129,Workers!$A$5:$A$2004,0))&amp;"")</f>
        <v/>
      </c>
    </row>
    <row r="1130" customFormat="false" ht="15" hidden="false" customHeight="false" outlineLevel="0" collapsed="false">
      <c r="A1130" s="24" t="str">
        <f aca="false">IFERROR(INDEX(Workers!$A$5:$A$2004,MATCH(ROW()-4,Workers!$U$5:$U$2004,0)),"")</f>
        <v/>
      </c>
      <c r="B1130" s="24" t="str">
        <f aca="false">IF($A1130="","",INDEX(Workers!$B$5:$B$2004,MATCH($A1130,Workers!$A$5:$A$2004,0)))</f>
        <v/>
      </c>
      <c r="C1130" s="24" t="str">
        <f aca="false">IF($A1130="","",INDEX(Workers!$E$5:$E$2004,MATCH($A1130,Workers!$A$5:$A$2004,0)))</f>
        <v/>
      </c>
      <c r="D1130" s="24" t="str">
        <f aca="false">IF($A1130="","",INDEX(Workers!$K$5:$K$2004,MATCH($A1130,Workers!$A$5:$A$2004,0)))</f>
        <v/>
      </c>
      <c r="E1130" s="25" t="str">
        <f aca="false">IF($A1130="","",SUMIFS(Timesheet!$E$5:$E$3004,Timesheet!$D$5:$D$3004,$A1130,Timesheet!$A$5:$A$3004,"&gt;="&amp;Settings!$B$8,Timesheet!$A$5:$A$3004,"&lt;="&amp;Settings!$B$9))</f>
        <v/>
      </c>
      <c r="F1130" s="25" t="str">
        <f aca="false">IF($A1130="","",SUMIFS(Timesheet!$F$5:$F$3004,Timesheet!$D$5:$D$3004,$A1130,Timesheet!$A$5:$A$3004,"&gt;="&amp;Settings!$B$8,Timesheet!$A$5:$A$3004,"&lt;="&amp;Settings!$B$9))</f>
        <v/>
      </c>
      <c r="G1130" s="25" t="str">
        <f aca="false">IF($A1130="","",SUMIFS(Timesheet!$G$5:$G$3004,Timesheet!$D$5:$D$3004,$A1130,Timesheet!$A$5:$A$3004,"&gt;="&amp;Settings!$B$8,Timesheet!$A$5:$A$3004,"&lt;="&amp;Settings!$B$9))</f>
        <v/>
      </c>
      <c r="H1130" s="25" t="str">
        <f aca="false">IF($A1130="","",IF(D1130="Monthly",MAX(0,Settings!$B$11-E1130),0))</f>
        <v/>
      </c>
      <c r="I1130" s="26" t="str">
        <f aca="false">IF($A1130="","",N(INDEX(Workers!$L$5:$L$2004,MATCH($A1130,Workers!$A$5:$A$2004,0))))</f>
        <v/>
      </c>
      <c r="J1130" s="26" t="str">
        <f aca="false">IF($A1130="","",N(INDEX(Workers!$M$5:$M$2004,MATCH($A1130,Workers!$A$5:$A$2004,0))))</f>
        <v/>
      </c>
      <c r="K1130" s="26" t="str">
        <f aca="false">IF($A1130="","",IF(D1130="Monthly",ROUND(MAX(0,(I1130+J1130)-(I1130+J1130)/Settings!$B$10*H1130),2),0))</f>
        <v/>
      </c>
      <c r="L1130" s="26" t="str">
        <f aca="false">IF($A1130="","",IF(D1130="Hourly",ROUND(F1130*N(INDEX(Workers!$N$5:$N$2004,MATCH($A1130,Workers!$A$5:$A$2004,0))),2),0))</f>
        <v/>
      </c>
      <c r="M1130" s="26" t="str">
        <f aca="false">IF($A1130="","",ROUND(G1130*IF(D1130="Hourly",N(INDEX(Workers!$N$5:$N$2004,MATCH($A1130,Workers!$A$5:$A$2004,0))),I1130/Settings!$B$10/Settings!$B$12)*Settings!$B$13,2))</f>
        <v/>
      </c>
      <c r="N1130" s="26" t="str">
        <f aca="false">IF($A1130="","",K1130+L1130+M1130)</f>
        <v/>
      </c>
      <c r="O1130" s="26" t="str">
        <f aca="false">IF($A1130="","",SUMIFS(Deductions!$D$5:$D$2000,Deductions!$B$5:$B$2000,$A1130,Deductions!$C$5:$C$2000,"Advance",Deductions!$E$5:$E$2000,"&gt;="&amp;Settings!$B$8,Deductions!$E$5:$E$2000,"&lt;="&amp;Settings!$B$9))</f>
        <v/>
      </c>
      <c r="P1130" s="26" t="str">
        <f aca="false">IF($A1130="","",SUMIFS(Deductions!$D$5:$D$2000,Deductions!$B$5:$B$2000,$A1130,Deductions!$E$5:$E$2000,"&gt;="&amp;Settings!$B$8,Deductions!$E$5:$E$2000,"&lt;="&amp;Settings!$B$9)-O1130)</f>
        <v/>
      </c>
      <c r="Q1130" s="26" t="str">
        <f aca="false">IF($A1130="","",O1130+P1130)</f>
        <v/>
      </c>
      <c r="R1130" s="23" t="str">
        <f aca="false">IF($A1130="","",N1130-Q1130)</f>
        <v/>
      </c>
      <c r="S1130" s="24" t="str">
        <f aca="false">IF($A1130="","",INDEX(Workers!$O$5:$O$2004,MATCH($A1130,Workers!$A$5:$A$2004,0))&amp;"")</f>
        <v/>
      </c>
      <c r="T1130" s="24" t="str">
        <f aca="false">IF($A1130="","",INDEX(Workers!$P$5:$P$2004,MATCH($A1130,Workers!$A$5:$A$2004,0))&amp;"")</f>
        <v/>
      </c>
      <c r="U1130" s="24" t="str">
        <f aca="false">IF($A1130="","",INDEX(Workers!$H$5:$H$2004,MATCH($A1130,Workers!$A$5:$A$2004,0))&amp;"")</f>
        <v/>
      </c>
    </row>
    <row r="1131" customFormat="false" ht="15" hidden="false" customHeight="false" outlineLevel="0" collapsed="false">
      <c r="A1131" s="24" t="str">
        <f aca="false">IFERROR(INDEX(Workers!$A$5:$A$2004,MATCH(ROW()-4,Workers!$U$5:$U$2004,0)),"")</f>
        <v/>
      </c>
      <c r="B1131" s="24" t="str">
        <f aca="false">IF($A1131="","",INDEX(Workers!$B$5:$B$2004,MATCH($A1131,Workers!$A$5:$A$2004,0)))</f>
        <v/>
      </c>
      <c r="C1131" s="24" t="str">
        <f aca="false">IF($A1131="","",INDEX(Workers!$E$5:$E$2004,MATCH($A1131,Workers!$A$5:$A$2004,0)))</f>
        <v/>
      </c>
      <c r="D1131" s="24" t="str">
        <f aca="false">IF($A1131="","",INDEX(Workers!$K$5:$K$2004,MATCH($A1131,Workers!$A$5:$A$2004,0)))</f>
        <v/>
      </c>
      <c r="E1131" s="25" t="str">
        <f aca="false">IF($A1131="","",SUMIFS(Timesheet!$E$5:$E$3004,Timesheet!$D$5:$D$3004,$A1131,Timesheet!$A$5:$A$3004,"&gt;="&amp;Settings!$B$8,Timesheet!$A$5:$A$3004,"&lt;="&amp;Settings!$B$9))</f>
        <v/>
      </c>
      <c r="F1131" s="25" t="str">
        <f aca="false">IF($A1131="","",SUMIFS(Timesheet!$F$5:$F$3004,Timesheet!$D$5:$D$3004,$A1131,Timesheet!$A$5:$A$3004,"&gt;="&amp;Settings!$B$8,Timesheet!$A$5:$A$3004,"&lt;="&amp;Settings!$B$9))</f>
        <v/>
      </c>
      <c r="G1131" s="25" t="str">
        <f aca="false">IF($A1131="","",SUMIFS(Timesheet!$G$5:$G$3004,Timesheet!$D$5:$D$3004,$A1131,Timesheet!$A$5:$A$3004,"&gt;="&amp;Settings!$B$8,Timesheet!$A$5:$A$3004,"&lt;="&amp;Settings!$B$9))</f>
        <v/>
      </c>
      <c r="H1131" s="25" t="str">
        <f aca="false">IF($A1131="","",IF(D1131="Monthly",MAX(0,Settings!$B$11-E1131),0))</f>
        <v/>
      </c>
      <c r="I1131" s="26" t="str">
        <f aca="false">IF($A1131="","",N(INDEX(Workers!$L$5:$L$2004,MATCH($A1131,Workers!$A$5:$A$2004,0))))</f>
        <v/>
      </c>
      <c r="J1131" s="26" t="str">
        <f aca="false">IF($A1131="","",N(INDEX(Workers!$M$5:$M$2004,MATCH($A1131,Workers!$A$5:$A$2004,0))))</f>
        <v/>
      </c>
      <c r="K1131" s="26" t="str">
        <f aca="false">IF($A1131="","",IF(D1131="Monthly",ROUND(MAX(0,(I1131+J1131)-(I1131+J1131)/Settings!$B$10*H1131),2),0))</f>
        <v/>
      </c>
      <c r="L1131" s="26" t="str">
        <f aca="false">IF($A1131="","",IF(D1131="Hourly",ROUND(F1131*N(INDEX(Workers!$N$5:$N$2004,MATCH($A1131,Workers!$A$5:$A$2004,0))),2),0))</f>
        <v/>
      </c>
      <c r="M1131" s="26" t="str">
        <f aca="false">IF($A1131="","",ROUND(G1131*IF(D1131="Hourly",N(INDEX(Workers!$N$5:$N$2004,MATCH($A1131,Workers!$A$5:$A$2004,0))),I1131/Settings!$B$10/Settings!$B$12)*Settings!$B$13,2))</f>
        <v/>
      </c>
      <c r="N1131" s="26" t="str">
        <f aca="false">IF($A1131="","",K1131+L1131+M1131)</f>
        <v/>
      </c>
      <c r="O1131" s="26" t="str">
        <f aca="false">IF($A1131="","",SUMIFS(Deductions!$D$5:$D$2000,Deductions!$B$5:$B$2000,$A1131,Deductions!$C$5:$C$2000,"Advance",Deductions!$E$5:$E$2000,"&gt;="&amp;Settings!$B$8,Deductions!$E$5:$E$2000,"&lt;="&amp;Settings!$B$9))</f>
        <v/>
      </c>
      <c r="P1131" s="26" t="str">
        <f aca="false">IF($A1131="","",SUMIFS(Deductions!$D$5:$D$2000,Deductions!$B$5:$B$2000,$A1131,Deductions!$E$5:$E$2000,"&gt;="&amp;Settings!$B$8,Deductions!$E$5:$E$2000,"&lt;="&amp;Settings!$B$9)-O1131)</f>
        <v/>
      </c>
      <c r="Q1131" s="26" t="str">
        <f aca="false">IF($A1131="","",O1131+P1131)</f>
        <v/>
      </c>
      <c r="R1131" s="23" t="str">
        <f aca="false">IF($A1131="","",N1131-Q1131)</f>
        <v/>
      </c>
      <c r="S1131" s="24" t="str">
        <f aca="false">IF($A1131="","",INDEX(Workers!$O$5:$O$2004,MATCH($A1131,Workers!$A$5:$A$2004,0))&amp;"")</f>
        <v/>
      </c>
      <c r="T1131" s="24" t="str">
        <f aca="false">IF($A1131="","",INDEX(Workers!$P$5:$P$2004,MATCH($A1131,Workers!$A$5:$A$2004,0))&amp;"")</f>
        <v/>
      </c>
      <c r="U1131" s="24" t="str">
        <f aca="false">IF($A1131="","",INDEX(Workers!$H$5:$H$2004,MATCH($A1131,Workers!$A$5:$A$2004,0))&amp;"")</f>
        <v/>
      </c>
    </row>
    <row r="1132" customFormat="false" ht="15" hidden="false" customHeight="false" outlineLevel="0" collapsed="false">
      <c r="A1132" s="24" t="str">
        <f aca="false">IFERROR(INDEX(Workers!$A$5:$A$2004,MATCH(ROW()-4,Workers!$U$5:$U$2004,0)),"")</f>
        <v/>
      </c>
      <c r="B1132" s="24" t="str">
        <f aca="false">IF($A1132="","",INDEX(Workers!$B$5:$B$2004,MATCH($A1132,Workers!$A$5:$A$2004,0)))</f>
        <v/>
      </c>
      <c r="C1132" s="24" t="str">
        <f aca="false">IF($A1132="","",INDEX(Workers!$E$5:$E$2004,MATCH($A1132,Workers!$A$5:$A$2004,0)))</f>
        <v/>
      </c>
      <c r="D1132" s="24" t="str">
        <f aca="false">IF($A1132="","",INDEX(Workers!$K$5:$K$2004,MATCH($A1132,Workers!$A$5:$A$2004,0)))</f>
        <v/>
      </c>
      <c r="E1132" s="25" t="str">
        <f aca="false">IF($A1132="","",SUMIFS(Timesheet!$E$5:$E$3004,Timesheet!$D$5:$D$3004,$A1132,Timesheet!$A$5:$A$3004,"&gt;="&amp;Settings!$B$8,Timesheet!$A$5:$A$3004,"&lt;="&amp;Settings!$B$9))</f>
        <v/>
      </c>
      <c r="F1132" s="25" t="str">
        <f aca="false">IF($A1132="","",SUMIFS(Timesheet!$F$5:$F$3004,Timesheet!$D$5:$D$3004,$A1132,Timesheet!$A$5:$A$3004,"&gt;="&amp;Settings!$B$8,Timesheet!$A$5:$A$3004,"&lt;="&amp;Settings!$B$9))</f>
        <v/>
      </c>
      <c r="G1132" s="25" t="str">
        <f aca="false">IF($A1132="","",SUMIFS(Timesheet!$G$5:$G$3004,Timesheet!$D$5:$D$3004,$A1132,Timesheet!$A$5:$A$3004,"&gt;="&amp;Settings!$B$8,Timesheet!$A$5:$A$3004,"&lt;="&amp;Settings!$B$9))</f>
        <v/>
      </c>
      <c r="H1132" s="25" t="str">
        <f aca="false">IF($A1132="","",IF(D1132="Monthly",MAX(0,Settings!$B$11-E1132),0))</f>
        <v/>
      </c>
      <c r="I1132" s="26" t="str">
        <f aca="false">IF($A1132="","",N(INDEX(Workers!$L$5:$L$2004,MATCH($A1132,Workers!$A$5:$A$2004,0))))</f>
        <v/>
      </c>
      <c r="J1132" s="26" t="str">
        <f aca="false">IF($A1132="","",N(INDEX(Workers!$M$5:$M$2004,MATCH($A1132,Workers!$A$5:$A$2004,0))))</f>
        <v/>
      </c>
      <c r="K1132" s="26" t="str">
        <f aca="false">IF($A1132="","",IF(D1132="Monthly",ROUND(MAX(0,(I1132+J1132)-(I1132+J1132)/Settings!$B$10*H1132),2),0))</f>
        <v/>
      </c>
      <c r="L1132" s="26" t="str">
        <f aca="false">IF($A1132="","",IF(D1132="Hourly",ROUND(F1132*N(INDEX(Workers!$N$5:$N$2004,MATCH($A1132,Workers!$A$5:$A$2004,0))),2),0))</f>
        <v/>
      </c>
      <c r="M1132" s="26" t="str">
        <f aca="false">IF($A1132="","",ROUND(G1132*IF(D1132="Hourly",N(INDEX(Workers!$N$5:$N$2004,MATCH($A1132,Workers!$A$5:$A$2004,0))),I1132/Settings!$B$10/Settings!$B$12)*Settings!$B$13,2))</f>
        <v/>
      </c>
      <c r="N1132" s="26" t="str">
        <f aca="false">IF($A1132="","",K1132+L1132+M1132)</f>
        <v/>
      </c>
      <c r="O1132" s="26" t="str">
        <f aca="false">IF($A1132="","",SUMIFS(Deductions!$D$5:$D$2000,Deductions!$B$5:$B$2000,$A1132,Deductions!$C$5:$C$2000,"Advance",Deductions!$E$5:$E$2000,"&gt;="&amp;Settings!$B$8,Deductions!$E$5:$E$2000,"&lt;="&amp;Settings!$B$9))</f>
        <v/>
      </c>
      <c r="P1132" s="26" t="str">
        <f aca="false">IF($A1132="","",SUMIFS(Deductions!$D$5:$D$2000,Deductions!$B$5:$B$2000,$A1132,Deductions!$E$5:$E$2000,"&gt;="&amp;Settings!$B$8,Deductions!$E$5:$E$2000,"&lt;="&amp;Settings!$B$9)-O1132)</f>
        <v/>
      </c>
      <c r="Q1132" s="26" t="str">
        <f aca="false">IF($A1132="","",O1132+P1132)</f>
        <v/>
      </c>
      <c r="R1132" s="23" t="str">
        <f aca="false">IF($A1132="","",N1132-Q1132)</f>
        <v/>
      </c>
      <c r="S1132" s="24" t="str">
        <f aca="false">IF($A1132="","",INDEX(Workers!$O$5:$O$2004,MATCH($A1132,Workers!$A$5:$A$2004,0))&amp;"")</f>
        <v/>
      </c>
      <c r="T1132" s="24" t="str">
        <f aca="false">IF($A1132="","",INDEX(Workers!$P$5:$P$2004,MATCH($A1132,Workers!$A$5:$A$2004,0))&amp;"")</f>
        <v/>
      </c>
      <c r="U1132" s="24" t="str">
        <f aca="false">IF($A1132="","",INDEX(Workers!$H$5:$H$2004,MATCH($A1132,Workers!$A$5:$A$2004,0))&amp;"")</f>
        <v/>
      </c>
    </row>
    <row r="1133" customFormat="false" ht="15" hidden="false" customHeight="false" outlineLevel="0" collapsed="false">
      <c r="A1133" s="24" t="str">
        <f aca="false">IFERROR(INDEX(Workers!$A$5:$A$2004,MATCH(ROW()-4,Workers!$U$5:$U$2004,0)),"")</f>
        <v/>
      </c>
      <c r="B1133" s="24" t="str">
        <f aca="false">IF($A1133="","",INDEX(Workers!$B$5:$B$2004,MATCH($A1133,Workers!$A$5:$A$2004,0)))</f>
        <v/>
      </c>
      <c r="C1133" s="24" t="str">
        <f aca="false">IF($A1133="","",INDEX(Workers!$E$5:$E$2004,MATCH($A1133,Workers!$A$5:$A$2004,0)))</f>
        <v/>
      </c>
      <c r="D1133" s="24" t="str">
        <f aca="false">IF($A1133="","",INDEX(Workers!$K$5:$K$2004,MATCH($A1133,Workers!$A$5:$A$2004,0)))</f>
        <v/>
      </c>
      <c r="E1133" s="25" t="str">
        <f aca="false">IF($A1133="","",SUMIFS(Timesheet!$E$5:$E$3004,Timesheet!$D$5:$D$3004,$A1133,Timesheet!$A$5:$A$3004,"&gt;="&amp;Settings!$B$8,Timesheet!$A$5:$A$3004,"&lt;="&amp;Settings!$B$9))</f>
        <v/>
      </c>
      <c r="F1133" s="25" t="str">
        <f aca="false">IF($A1133="","",SUMIFS(Timesheet!$F$5:$F$3004,Timesheet!$D$5:$D$3004,$A1133,Timesheet!$A$5:$A$3004,"&gt;="&amp;Settings!$B$8,Timesheet!$A$5:$A$3004,"&lt;="&amp;Settings!$B$9))</f>
        <v/>
      </c>
      <c r="G1133" s="25" t="str">
        <f aca="false">IF($A1133="","",SUMIFS(Timesheet!$G$5:$G$3004,Timesheet!$D$5:$D$3004,$A1133,Timesheet!$A$5:$A$3004,"&gt;="&amp;Settings!$B$8,Timesheet!$A$5:$A$3004,"&lt;="&amp;Settings!$B$9))</f>
        <v/>
      </c>
      <c r="H1133" s="25" t="str">
        <f aca="false">IF($A1133="","",IF(D1133="Monthly",MAX(0,Settings!$B$11-E1133),0))</f>
        <v/>
      </c>
      <c r="I1133" s="26" t="str">
        <f aca="false">IF($A1133="","",N(INDEX(Workers!$L$5:$L$2004,MATCH($A1133,Workers!$A$5:$A$2004,0))))</f>
        <v/>
      </c>
      <c r="J1133" s="26" t="str">
        <f aca="false">IF($A1133="","",N(INDEX(Workers!$M$5:$M$2004,MATCH($A1133,Workers!$A$5:$A$2004,0))))</f>
        <v/>
      </c>
      <c r="K1133" s="26" t="str">
        <f aca="false">IF($A1133="","",IF(D1133="Monthly",ROUND(MAX(0,(I1133+J1133)-(I1133+J1133)/Settings!$B$10*H1133),2),0))</f>
        <v/>
      </c>
      <c r="L1133" s="26" t="str">
        <f aca="false">IF($A1133="","",IF(D1133="Hourly",ROUND(F1133*N(INDEX(Workers!$N$5:$N$2004,MATCH($A1133,Workers!$A$5:$A$2004,0))),2),0))</f>
        <v/>
      </c>
      <c r="M1133" s="26" t="str">
        <f aca="false">IF($A1133="","",ROUND(G1133*IF(D1133="Hourly",N(INDEX(Workers!$N$5:$N$2004,MATCH($A1133,Workers!$A$5:$A$2004,0))),I1133/Settings!$B$10/Settings!$B$12)*Settings!$B$13,2))</f>
        <v/>
      </c>
      <c r="N1133" s="26" t="str">
        <f aca="false">IF($A1133="","",K1133+L1133+M1133)</f>
        <v/>
      </c>
      <c r="O1133" s="26" t="str">
        <f aca="false">IF($A1133="","",SUMIFS(Deductions!$D$5:$D$2000,Deductions!$B$5:$B$2000,$A1133,Deductions!$C$5:$C$2000,"Advance",Deductions!$E$5:$E$2000,"&gt;="&amp;Settings!$B$8,Deductions!$E$5:$E$2000,"&lt;="&amp;Settings!$B$9))</f>
        <v/>
      </c>
      <c r="P1133" s="26" t="str">
        <f aca="false">IF($A1133="","",SUMIFS(Deductions!$D$5:$D$2000,Deductions!$B$5:$B$2000,$A1133,Deductions!$E$5:$E$2000,"&gt;="&amp;Settings!$B$8,Deductions!$E$5:$E$2000,"&lt;="&amp;Settings!$B$9)-O1133)</f>
        <v/>
      </c>
      <c r="Q1133" s="26" t="str">
        <f aca="false">IF($A1133="","",O1133+P1133)</f>
        <v/>
      </c>
      <c r="R1133" s="23" t="str">
        <f aca="false">IF($A1133="","",N1133-Q1133)</f>
        <v/>
      </c>
      <c r="S1133" s="24" t="str">
        <f aca="false">IF($A1133="","",INDEX(Workers!$O$5:$O$2004,MATCH($A1133,Workers!$A$5:$A$2004,0))&amp;"")</f>
        <v/>
      </c>
      <c r="T1133" s="24" t="str">
        <f aca="false">IF($A1133="","",INDEX(Workers!$P$5:$P$2004,MATCH($A1133,Workers!$A$5:$A$2004,0))&amp;"")</f>
        <v/>
      </c>
      <c r="U1133" s="24" t="str">
        <f aca="false">IF($A1133="","",INDEX(Workers!$H$5:$H$2004,MATCH($A1133,Workers!$A$5:$A$2004,0))&amp;"")</f>
        <v/>
      </c>
    </row>
    <row r="1134" customFormat="false" ht="15" hidden="false" customHeight="false" outlineLevel="0" collapsed="false">
      <c r="A1134" s="24" t="str">
        <f aca="false">IFERROR(INDEX(Workers!$A$5:$A$2004,MATCH(ROW()-4,Workers!$U$5:$U$2004,0)),"")</f>
        <v/>
      </c>
      <c r="B1134" s="24" t="str">
        <f aca="false">IF($A1134="","",INDEX(Workers!$B$5:$B$2004,MATCH($A1134,Workers!$A$5:$A$2004,0)))</f>
        <v/>
      </c>
      <c r="C1134" s="24" t="str">
        <f aca="false">IF($A1134="","",INDEX(Workers!$E$5:$E$2004,MATCH($A1134,Workers!$A$5:$A$2004,0)))</f>
        <v/>
      </c>
      <c r="D1134" s="24" t="str">
        <f aca="false">IF($A1134="","",INDEX(Workers!$K$5:$K$2004,MATCH($A1134,Workers!$A$5:$A$2004,0)))</f>
        <v/>
      </c>
      <c r="E1134" s="25" t="str">
        <f aca="false">IF($A1134="","",SUMIFS(Timesheet!$E$5:$E$3004,Timesheet!$D$5:$D$3004,$A1134,Timesheet!$A$5:$A$3004,"&gt;="&amp;Settings!$B$8,Timesheet!$A$5:$A$3004,"&lt;="&amp;Settings!$B$9))</f>
        <v/>
      </c>
      <c r="F1134" s="25" t="str">
        <f aca="false">IF($A1134="","",SUMIFS(Timesheet!$F$5:$F$3004,Timesheet!$D$5:$D$3004,$A1134,Timesheet!$A$5:$A$3004,"&gt;="&amp;Settings!$B$8,Timesheet!$A$5:$A$3004,"&lt;="&amp;Settings!$B$9))</f>
        <v/>
      </c>
      <c r="G1134" s="25" t="str">
        <f aca="false">IF($A1134="","",SUMIFS(Timesheet!$G$5:$G$3004,Timesheet!$D$5:$D$3004,$A1134,Timesheet!$A$5:$A$3004,"&gt;="&amp;Settings!$B$8,Timesheet!$A$5:$A$3004,"&lt;="&amp;Settings!$B$9))</f>
        <v/>
      </c>
      <c r="H1134" s="25" t="str">
        <f aca="false">IF($A1134="","",IF(D1134="Monthly",MAX(0,Settings!$B$11-E1134),0))</f>
        <v/>
      </c>
      <c r="I1134" s="26" t="str">
        <f aca="false">IF($A1134="","",N(INDEX(Workers!$L$5:$L$2004,MATCH($A1134,Workers!$A$5:$A$2004,0))))</f>
        <v/>
      </c>
      <c r="J1134" s="26" t="str">
        <f aca="false">IF($A1134="","",N(INDEX(Workers!$M$5:$M$2004,MATCH($A1134,Workers!$A$5:$A$2004,0))))</f>
        <v/>
      </c>
      <c r="K1134" s="26" t="str">
        <f aca="false">IF($A1134="","",IF(D1134="Monthly",ROUND(MAX(0,(I1134+J1134)-(I1134+J1134)/Settings!$B$10*H1134),2),0))</f>
        <v/>
      </c>
      <c r="L1134" s="26" t="str">
        <f aca="false">IF($A1134="","",IF(D1134="Hourly",ROUND(F1134*N(INDEX(Workers!$N$5:$N$2004,MATCH($A1134,Workers!$A$5:$A$2004,0))),2),0))</f>
        <v/>
      </c>
      <c r="M1134" s="26" t="str">
        <f aca="false">IF($A1134="","",ROUND(G1134*IF(D1134="Hourly",N(INDEX(Workers!$N$5:$N$2004,MATCH($A1134,Workers!$A$5:$A$2004,0))),I1134/Settings!$B$10/Settings!$B$12)*Settings!$B$13,2))</f>
        <v/>
      </c>
      <c r="N1134" s="26" t="str">
        <f aca="false">IF($A1134="","",K1134+L1134+M1134)</f>
        <v/>
      </c>
      <c r="O1134" s="26" t="str">
        <f aca="false">IF($A1134="","",SUMIFS(Deductions!$D$5:$D$2000,Deductions!$B$5:$B$2000,$A1134,Deductions!$C$5:$C$2000,"Advance",Deductions!$E$5:$E$2000,"&gt;="&amp;Settings!$B$8,Deductions!$E$5:$E$2000,"&lt;="&amp;Settings!$B$9))</f>
        <v/>
      </c>
      <c r="P1134" s="26" t="str">
        <f aca="false">IF($A1134="","",SUMIFS(Deductions!$D$5:$D$2000,Deductions!$B$5:$B$2000,$A1134,Deductions!$E$5:$E$2000,"&gt;="&amp;Settings!$B$8,Deductions!$E$5:$E$2000,"&lt;="&amp;Settings!$B$9)-O1134)</f>
        <v/>
      </c>
      <c r="Q1134" s="26" t="str">
        <f aca="false">IF($A1134="","",O1134+P1134)</f>
        <v/>
      </c>
      <c r="R1134" s="23" t="str">
        <f aca="false">IF($A1134="","",N1134-Q1134)</f>
        <v/>
      </c>
      <c r="S1134" s="24" t="str">
        <f aca="false">IF($A1134="","",INDEX(Workers!$O$5:$O$2004,MATCH($A1134,Workers!$A$5:$A$2004,0))&amp;"")</f>
        <v/>
      </c>
      <c r="T1134" s="24" t="str">
        <f aca="false">IF($A1134="","",INDEX(Workers!$P$5:$P$2004,MATCH($A1134,Workers!$A$5:$A$2004,0))&amp;"")</f>
        <v/>
      </c>
      <c r="U1134" s="24" t="str">
        <f aca="false">IF($A1134="","",INDEX(Workers!$H$5:$H$2004,MATCH($A1134,Workers!$A$5:$A$2004,0))&amp;"")</f>
        <v/>
      </c>
    </row>
    <row r="1135" customFormat="false" ht="15" hidden="false" customHeight="false" outlineLevel="0" collapsed="false">
      <c r="A1135" s="24" t="str">
        <f aca="false">IFERROR(INDEX(Workers!$A$5:$A$2004,MATCH(ROW()-4,Workers!$U$5:$U$2004,0)),"")</f>
        <v/>
      </c>
      <c r="B1135" s="24" t="str">
        <f aca="false">IF($A1135="","",INDEX(Workers!$B$5:$B$2004,MATCH($A1135,Workers!$A$5:$A$2004,0)))</f>
        <v/>
      </c>
      <c r="C1135" s="24" t="str">
        <f aca="false">IF($A1135="","",INDEX(Workers!$E$5:$E$2004,MATCH($A1135,Workers!$A$5:$A$2004,0)))</f>
        <v/>
      </c>
      <c r="D1135" s="24" t="str">
        <f aca="false">IF($A1135="","",INDEX(Workers!$K$5:$K$2004,MATCH($A1135,Workers!$A$5:$A$2004,0)))</f>
        <v/>
      </c>
      <c r="E1135" s="25" t="str">
        <f aca="false">IF($A1135="","",SUMIFS(Timesheet!$E$5:$E$3004,Timesheet!$D$5:$D$3004,$A1135,Timesheet!$A$5:$A$3004,"&gt;="&amp;Settings!$B$8,Timesheet!$A$5:$A$3004,"&lt;="&amp;Settings!$B$9))</f>
        <v/>
      </c>
      <c r="F1135" s="25" t="str">
        <f aca="false">IF($A1135="","",SUMIFS(Timesheet!$F$5:$F$3004,Timesheet!$D$5:$D$3004,$A1135,Timesheet!$A$5:$A$3004,"&gt;="&amp;Settings!$B$8,Timesheet!$A$5:$A$3004,"&lt;="&amp;Settings!$B$9))</f>
        <v/>
      </c>
      <c r="G1135" s="25" t="str">
        <f aca="false">IF($A1135="","",SUMIFS(Timesheet!$G$5:$G$3004,Timesheet!$D$5:$D$3004,$A1135,Timesheet!$A$5:$A$3004,"&gt;="&amp;Settings!$B$8,Timesheet!$A$5:$A$3004,"&lt;="&amp;Settings!$B$9))</f>
        <v/>
      </c>
      <c r="H1135" s="25" t="str">
        <f aca="false">IF($A1135="","",IF(D1135="Monthly",MAX(0,Settings!$B$11-E1135),0))</f>
        <v/>
      </c>
      <c r="I1135" s="26" t="str">
        <f aca="false">IF($A1135="","",N(INDEX(Workers!$L$5:$L$2004,MATCH($A1135,Workers!$A$5:$A$2004,0))))</f>
        <v/>
      </c>
      <c r="J1135" s="26" t="str">
        <f aca="false">IF($A1135="","",N(INDEX(Workers!$M$5:$M$2004,MATCH($A1135,Workers!$A$5:$A$2004,0))))</f>
        <v/>
      </c>
      <c r="K1135" s="26" t="str">
        <f aca="false">IF($A1135="","",IF(D1135="Monthly",ROUND(MAX(0,(I1135+J1135)-(I1135+J1135)/Settings!$B$10*H1135),2),0))</f>
        <v/>
      </c>
      <c r="L1135" s="26" t="str">
        <f aca="false">IF($A1135="","",IF(D1135="Hourly",ROUND(F1135*N(INDEX(Workers!$N$5:$N$2004,MATCH($A1135,Workers!$A$5:$A$2004,0))),2),0))</f>
        <v/>
      </c>
      <c r="M1135" s="26" t="str">
        <f aca="false">IF($A1135="","",ROUND(G1135*IF(D1135="Hourly",N(INDEX(Workers!$N$5:$N$2004,MATCH($A1135,Workers!$A$5:$A$2004,0))),I1135/Settings!$B$10/Settings!$B$12)*Settings!$B$13,2))</f>
        <v/>
      </c>
      <c r="N1135" s="26" t="str">
        <f aca="false">IF($A1135="","",K1135+L1135+M1135)</f>
        <v/>
      </c>
      <c r="O1135" s="26" t="str">
        <f aca="false">IF($A1135="","",SUMIFS(Deductions!$D$5:$D$2000,Deductions!$B$5:$B$2000,$A1135,Deductions!$C$5:$C$2000,"Advance",Deductions!$E$5:$E$2000,"&gt;="&amp;Settings!$B$8,Deductions!$E$5:$E$2000,"&lt;="&amp;Settings!$B$9))</f>
        <v/>
      </c>
      <c r="P1135" s="26" t="str">
        <f aca="false">IF($A1135="","",SUMIFS(Deductions!$D$5:$D$2000,Deductions!$B$5:$B$2000,$A1135,Deductions!$E$5:$E$2000,"&gt;="&amp;Settings!$B$8,Deductions!$E$5:$E$2000,"&lt;="&amp;Settings!$B$9)-O1135)</f>
        <v/>
      </c>
      <c r="Q1135" s="26" t="str">
        <f aca="false">IF($A1135="","",O1135+P1135)</f>
        <v/>
      </c>
      <c r="R1135" s="23" t="str">
        <f aca="false">IF($A1135="","",N1135-Q1135)</f>
        <v/>
      </c>
      <c r="S1135" s="24" t="str">
        <f aca="false">IF($A1135="","",INDEX(Workers!$O$5:$O$2004,MATCH($A1135,Workers!$A$5:$A$2004,0))&amp;"")</f>
        <v/>
      </c>
      <c r="T1135" s="24" t="str">
        <f aca="false">IF($A1135="","",INDEX(Workers!$P$5:$P$2004,MATCH($A1135,Workers!$A$5:$A$2004,0))&amp;"")</f>
        <v/>
      </c>
      <c r="U1135" s="24" t="str">
        <f aca="false">IF($A1135="","",INDEX(Workers!$H$5:$H$2004,MATCH($A1135,Workers!$A$5:$A$2004,0))&amp;"")</f>
        <v/>
      </c>
    </row>
    <row r="1136" customFormat="false" ht="15" hidden="false" customHeight="false" outlineLevel="0" collapsed="false">
      <c r="A1136" s="24" t="str">
        <f aca="false">IFERROR(INDEX(Workers!$A$5:$A$2004,MATCH(ROW()-4,Workers!$U$5:$U$2004,0)),"")</f>
        <v/>
      </c>
      <c r="B1136" s="24" t="str">
        <f aca="false">IF($A1136="","",INDEX(Workers!$B$5:$B$2004,MATCH($A1136,Workers!$A$5:$A$2004,0)))</f>
        <v/>
      </c>
      <c r="C1136" s="24" t="str">
        <f aca="false">IF($A1136="","",INDEX(Workers!$E$5:$E$2004,MATCH($A1136,Workers!$A$5:$A$2004,0)))</f>
        <v/>
      </c>
      <c r="D1136" s="24" t="str">
        <f aca="false">IF($A1136="","",INDEX(Workers!$K$5:$K$2004,MATCH($A1136,Workers!$A$5:$A$2004,0)))</f>
        <v/>
      </c>
      <c r="E1136" s="25" t="str">
        <f aca="false">IF($A1136="","",SUMIFS(Timesheet!$E$5:$E$3004,Timesheet!$D$5:$D$3004,$A1136,Timesheet!$A$5:$A$3004,"&gt;="&amp;Settings!$B$8,Timesheet!$A$5:$A$3004,"&lt;="&amp;Settings!$B$9))</f>
        <v/>
      </c>
      <c r="F1136" s="25" t="str">
        <f aca="false">IF($A1136="","",SUMIFS(Timesheet!$F$5:$F$3004,Timesheet!$D$5:$D$3004,$A1136,Timesheet!$A$5:$A$3004,"&gt;="&amp;Settings!$B$8,Timesheet!$A$5:$A$3004,"&lt;="&amp;Settings!$B$9))</f>
        <v/>
      </c>
      <c r="G1136" s="25" t="str">
        <f aca="false">IF($A1136="","",SUMIFS(Timesheet!$G$5:$G$3004,Timesheet!$D$5:$D$3004,$A1136,Timesheet!$A$5:$A$3004,"&gt;="&amp;Settings!$B$8,Timesheet!$A$5:$A$3004,"&lt;="&amp;Settings!$B$9))</f>
        <v/>
      </c>
      <c r="H1136" s="25" t="str">
        <f aca="false">IF($A1136="","",IF(D1136="Monthly",MAX(0,Settings!$B$11-E1136),0))</f>
        <v/>
      </c>
      <c r="I1136" s="26" t="str">
        <f aca="false">IF($A1136="","",N(INDEX(Workers!$L$5:$L$2004,MATCH($A1136,Workers!$A$5:$A$2004,0))))</f>
        <v/>
      </c>
      <c r="J1136" s="26" t="str">
        <f aca="false">IF($A1136="","",N(INDEX(Workers!$M$5:$M$2004,MATCH($A1136,Workers!$A$5:$A$2004,0))))</f>
        <v/>
      </c>
      <c r="K1136" s="26" t="str">
        <f aca="false">IF($A1136="","",IF(D1136="Monthly",ROUND(MAX(0,(I1136+J1136)-(I1136+J1136)/Settings!$B$10*H1136),2),0))</f>
        <v/>
      </c>
      <c r="L1136" s="26" t="str">
        <f aca="false">IF($A1136="","",IF(D1136="Hourly",ROUND(F1136*N(INDEX(Workers!$N$5:$N$2004,MATCH($A1136,Workers!$A$5:$A$2004,0))),2),0))</f>
        <v/>
      </c>
      <c r="M1136" s="26" t="str">
        <f aca="false">IF($A1136="","",ROUND(G1136*IF(D1136="Hourly",N(INDEX(Workers!$N$5:$N$2004,MATCH($A1136,Workers!$A$5:$A$2004,0))),I1136/Settings!$B$10/Settings!$B$12)*Settings!$B$13,2))</f>
        <v/>
      </c>
      <c r="N1136" s="26" t="str">
        <f aca="false">IF($A1136="","",K1136+L1136+M1136)</f>
        <v/>
      </c>
      <c r="O1136" s="26" t="str">
        <f aca="false">IF($A1136="","",SUMIFS(Deductions!$D$5:$D$2000,Deductions!$B$5:$B$2000,$A1136,Deductions!$C$5:$C$2000,"Advance",Deductions!$E$5:$E$2000,"&gt;="&amp;Settings!$B$8,Deductions!$E$5:$E$2000,"&lt;="&amp;Settings!$B$9))</f>
        <v/>
      </c>
      <c r="P1136" s="26" t="str">
        <f aca="false">IF($A1136="","",SUMIFS(Deductions!$D$5:$D$2000,Deductions!$B$5:$B$2000,$A1136,Deductions!$E$5:$E$2000,"&gt;="&amp;Settings!$B$8,Deductions!$E$5:$E$2000,"&lt;="&amp;Settings!$B$9)-O1136)</f>
        <v/>
      </c>
      <c r="Q1136" s="26" t="str">
        <f aca="false">IF($A1136="","",O1136+P1136)</f>
        <v/>
      </c>
      <c r="R1136" s="23" t="str">
        <f aca="false">IF($A1136="","",N1136-Q1136)</f>
        <v/>
      </c>
      <c r="S1136" s="24" t="str">
        <f aca="false">IF($A1136="","",INDEX(Workers!$O$5:$O$2004,MATCH($A1136,Workers!$A$5:$A$2004,0))&amp;"")</f>
        <v/>
      </c>
      <c r="T1136" s="24" t="str">
        <f aca="false">IF($A1136="","",INDEX(Workers!$P$5:$P$2004,MATCH($A1136,Workers!$A$5:$A$2004,0))&amp;"")</f>
        <v/>
      </c>
      <c r="U1136" s="24" t="str">
        <f aca="false">IF($A1136="","",INDEX(Workers!$H$5:$H$2004,MATCH($A1136,Workers!$A$5:$A$2004,0))&amp;"")</f>
        <v/>
      </c>
    </row>
    <row r="1137" customFormat="false" ht="15" hidden="false" customHeight="false" outlineLevel="0" collapsed="false">
      <c r="A1137" s="24" t="str">
        <f aca="false">IFERROR(INDEX(Workers!$A$5:$A$2004,MATCH(ROW()-4,Workers!$U$5:$U$2004,0)),"")</f>
        <v/>
      </c>
      <c r="B1137" s="24" t="str">
        <f aca="false">IF($A1137="","",INDEX(Workers!$B$5:$B$2004,MATCH($A1137,Workers!$A$5:$A$2004,0)))</f>
        <v/>
      </c>
      <c r="C1137" s="24" t="str">
        <f aca="false">IF($A1137="","",INDEX(Workers!$E$5:$E$2004,MATCH($A1137,Workers!$A$5:$A$2004,0)))</f>
        <v/>
      </c>
      <c r="D1137" s="24" t="str">
        <f aca="false">IF($A1137="","",INDEX(Workers!$K$5:$K$2004,MATCH($A1137,Workers!$A$5:$A$2004,0)))</f>
        <v/>
      </c>
      <c r="E1137" s="25" t="str">
        <f aca="false">IF($A1137="","",SUMIFS(Timesheet!$E$5:$E$3004,Timesheet!$D$5:$D$3004,$A1137,Timesheet!$A$5:$A$3004,"&gt;="&amp;Settings!$B$8,Timesheet!$A$5:$A$3004,"&lt;="&amp;Settings!$B$9))</f>
        <v/>
      </c>
      <c r="F1137" s="25" t="str">
        <f aca="false">IF($A1137="","",SUMIFS(Timesheet!$F$5:$F$3004,Timesheet!$D$5:$D$3004,$A1137,Timesheet!$A$5:$A$3004,"&gt;="&amp;Settings!$B$8,Timesheet!$A$5:$A$3004,"&lt;="&amp;Settings!$B$9))</f>
        <v/>
      </c>
      <c r="G1137" s="25" t="str">
        <f aca="false">IF($A1137="","",SUMIFS(Timesheet!$G$5:$G$3004,Timesheet!$D$5:$D$3004,$A1137,Timesheet!$A$5:$A$3004,"&gt;="&amp;Settings!$B$8,Timesheet!$A$5:$A$3004,"&lt;="&amp;Settings!$B$9))</f>
        <v/>
      </c>
      <c r="H1137" s="25" t="str">
        <f aca="false">IF($A1137="","",IF(D1137="Monthly",MAX(0,Settings!$B$11-E1137),0))</f>
        <v/>
      </c>
      <c r="I1137" s="26" t="str">
        <f aca="false">IF($A1137="","",N(INDEX(Workers!$L$5:$L$2004,MATCH($A1137,Workers!$A$5:$A$2004,0))))</f>
        <v/>
      </c>
      <c r="J1137" s="26" t="str">
        <f aca="false">IF($A1137="","",N(INDEX(Workers!$M$5:$M$2004,MATCH($A1137,Workers!$A$5:$A$2004,0))))</f>
        <v/>
      </c>
      <c r="K1137" s="26" t="str">
        <f aca="false">IF($A1137="","",IF(D1137="Monthly",ROUND(MAX(0,(I1137+J1137)-(I1137+J1137)/Settings!$B$10*H1137),2),0))</f>
        <v/>
      </c>
      <c r="L1137" s="26" t="str">
        <f aca="false">IF($A1137="","",IF(D1137="Hourly",ROUND(F1137*N(INDEX(Workers!$N$5:$N$2004,MATCH($A1137,Workers!$A$5:$A$2004,0))),2),0))</f>
        <v/>
      </c>
      <c r="M1137" s="26" t="str">
        <f aca="false">IF($A1137="","",ROUND(G1137*IF(D1137="Hourly",N(INDEX(Workers!$N$5:$N$2004,MATCH($A1137,Workers!$A$5:$A$2004,0))),I1137/Settings!$B$10/Settings!$B$12)*Settings!$B$13,2))</f>
        <v/>
      </c>
      <c r="N1137" s="26" t="str">
        <f aca="false">IF($A1137="","",K1137+L1137+M1137)</f>
        <v/>
      </c>
      <c r="O1137" s="26" t="str">
        <f aca="false">IF($A1137="","",SUMIFS(Deductions!$D$5:$D$2000,Deductions!$B$5:$B$2000,$A1137,Deductions!$C$5:$C$2000,"Advance",Deductions!$E$5:$E$2000,"&gt;="&amp;Settings!$B$8,Deductions!$E$5:$E$2000,"&lt;="&amp;Settings!$B$9))</f>
        <v/>
      </c>
      <c r="P1137" s="26" t="str">
        <f aca="false">IF($A1137="","",SUMIFS(Deductions!$D$5:$D$2000,Deductions!$B$5:$B$2000,$A1137,Deductions!$E$5:$E$2000,"&gt;="&amp;Settings!$B$8,Deductions!$E$5:$E$2000,"&lt;="&amp;Settings!$B$9)-O1137)</f>
        <v/>
      </c>
      <c r="Q1137" s="26" t="str">
        <f aca="false">IF($A1137="","",O1137+P1137)</f>
        <v/>
      </c>
      <c r="R1137" s="23" t="str">
        <f aca="false">IF($A1137="","",N1137-Q1137)</f>
        <v/>
      </c>
      <c r="S1137" s="24" t="str">
        <f aca="false">IF($A1137="","",INDEX(Workers!$O$5:$O$2004,MATCH($A1137,Workers!$A$5:$A$2004,0))&amp;"")</f>
        <v/>
      </c>
      <c r="T1137" s="24" t="str">
        <f aca="false">IF($A1137="","",INDEX(Workers!$P$5:$P$2004,MATCH($A1137,Workers!$A$5:$A$2004,0))&amp;"")</f>
        <v/>
      </c>
      <c r="U1137" s="24" t="str">
        <f aca="false">IF($A1137="","",INDEX(Workers!$H$5:$H$2004,MATCH($A1137,Workers!$A$5:$A$2004,0))&amp;"")</f>
        <v/>
      </c>
    </row>
    <row r="1138" customFormat="false" ht="15" hidden="false" customHeight="false" outlineLevel="0" collapsed="false">
      <c r="A1138" s="24" t="str">
        <f aca="false">IFERROR(INDEX(Workers!$A$5:$A$2004,MATCH(ROW()-4,Workers!$U$5:$U$2004,0)),"")</f>
        <v/>
      </c>
      <c r="B1138" s="24" t="str">
        <f aca="false">IF($A1138="","",INDEX(Workers!$B$5:$B$2004,MATCH($A1138,Workers!$A$5:$A$2004,0)))</f>
        <v/>
      </c>
      <c r="C1138" s="24" t="str">
        <f aca="false">IF($A1138="","",INDEX(Workers!$E$5:$E$2004,MATCH($A1138,Workers!$A$5:$A$2004,0)))</f>
        <v/>
      </c>
      <c r="D1138" s="24" t="str">
        <f aca="false">IF($A1138="","",INDEX(Workers!$K$5:$K$2004,MATCH($A1138,Workers!$A$5:$A$2004,0)))</f>
        <v/>
      </c>
      <c r="E1138" s="25" t="str">
        <f aca="false">IF($A1138="","",SUMIFS(Timesheet!$E$5:$E$3004,Timesheet!$D$5:$D$3004,$A1138,Timesheet!$A$5:$A$3004,"&gt;="&amp;Settings!$B$8,Timesheet!$A$5:$A$3004,"&lt;="&amp;Settings!$B$9))</f>
        <v/>
      </c>
      <c r="F1138" s="25" t="str">
        <f aca="false">IF($A1138="","",SUMIFS(Timesheet!$F$5:$F$3004,Timesheet!$D$5:$D$3004,$A1138,Timesheet!$A$5:$A$3004,"&gt;="&amp;Settings!$B$8,Timesheet!$A$5:$A$3004,"&lt;="&amp;Settings!$B$9))</f>
        <v/>
      </c>
      <c r="G1138" s="25" t="str">
        <f aca="false">IF($A1138="","",SUMIFS(Timesheet!$G$5:$G$3004,Timesheet!$D$5:$D$3004,$A1138,Timesheet!$A$5:$A$3004,"&gt;="&amp;Settings!$B$8,Timesheet!$A$5:$A$3004,"&lt;="&amp;Settings!$B$9))</f>
        <v/>
      </c>
      <c r="H1138" s="25" t="str">
        <f aca="false">IF($A1138="","",IF(D1138="Monthly",MAX(0,Settings!$B$11-E1138),0))</f>
        <v/>
      </c>
      <c r="I1138" s="26" t="str">
        <f aca="false">IF($A1138="","",N(INDEX(Workers!$L$5:$L$2004,MATCH($A1138,Workers!$A$5:$A$2004,0))))</f>
        <v/>
      </c>
      <c r="J1138" s="26" t="str">
        <f aca="false">IF($A1138="","",N(INDEX(Workers!$M$5:$M$2004,MATCH($A1138,Workers!$A$5:$A$2004,0))))</f>
        <v/>
      </c>
      <c r="K1138" s="26" t="str">
        <f aca="false">IF($A1138="","",IF(D1138="Monthly",ROUND(MAX(0,(I1138+J1138)-(I1138+J1138)/Settings!$B$10*H1138),2),0))</f>
        <v/>
      </c>
      <c r="L1138" s="26" t="str">
        <f aca="false">IF($A1138="","",IF(D1138="Hourly",ROUND(F1138*N(INDEX(Workers!$N$5:$N$2004,MATCH($A1138,Workers!$A$5:$A$2004,0))),2),0))</f>
        <v/>
      </c>
      <c r="M1138" s="26" t="str">
        <f aca="false">IF($A1138="","",ROUND(G1138*IF(D1138="Hourly",N(INDEX(Workers!$N$5:$N$2004,MATCH($A1138,Workers!$A$5:$A$2004,0))),I1138/Settings!$B$10/Settings!$B$12)*Settings!$B$13,2))</f>
        <v/>
      </c>
      <c r="N1138" s="26" t="str">
        <f aca="false">IF($A1138="","",K1138+L1138+M1138)</f>
        <v/>
      </c>
      <c r="O1138" s="26" t="str">
        <f aca="false">IF($A1138="","",SUMIFS(Deductions!$D$5:$D$2000,Deductions!$B$5:$B$2000,$A1138,Deductions!$C$5:$C$2000,"Advance",Deductions!$E$5:$E$2000,"&gt;="&amp;Settings!$B$8,Deductions!$E$5:$E$2000,"&lt;="&amp;Settings!$B$9))</f>
        <v/>
      </c>
      <c r="P1138" s="26" t="str">
        <f aca="false">IF($A1138="","",SUMIFS(Deductions!$D$5:$D$2000,Deductions!$B$5:$B$2000,$A1138,Deductions!$E$5:$E$2000,"&gt;="&amp;Settings!$B$8,Deductions!$E$5:$E$2000,"&lt;="&amp;Settings!$B$9)-O1138)</f>
        <v/>
      </c>
      <c r="Q1138" s="26" t="str">
        <f aca="false">IF($A1138="","",O1138+P1138)</f>
        <v/>
      </c>
      <c r="R1138" s="23" t="str">
        <f aca="false">IF($A1138="","",N1138-Q1138)</f>
        <v/>
      </c>
      <c r="S1138" s="24" t="str">
        <f aca="false">IF($A1138="","",INDEX(Workers!$O$5:$O$2004,MATCH($A1138,Workers!$A$5:$A$2004,0))&amp;"")</f>
        <v/>
      </c>
      <c r="T1138" s="24" t="str">
        <f aca="false">IF($A1138="","",INDEX(Workers!$P$5:$P$2004,MATCH($A1138,Workers!$A$5:$A$2004,0))&amp;"")</f>
        <v/>
      </c>
      <c r="U1138" s="24" t="str">
        <f aca="false">IF($A1138="","",INDEX(Workers!$H$5:$H$2004,MATCH($A1138,Workers!$A$5:$A$2004,0))&amp;"")</f>
        <v/>
      </c>
    </row>
    <row r="1139" customFormat="false" ht="15" hidden="false" customHeight="false" outlineLevel="0" collapsed="false">
      <c r="A1139" s="24" t="str">
        <f aca="false">IFERROR(INDEX(Workers!$A$5:$A$2004,MATCH(ROW()-4,Workers!$U$5:$U$2004,0)),"")</f>
        <v/>
      </c>
      <c r="B1139" s="24" t="str">
        <f aca="false">IF($A1139="","",INDEX(Workers!$B$5:$B$2004,MATCH($A1139,Workers!$A$5:$A$2004,0)))</f>
        <v/>
      </c>
      <c r="C1139" s="24" t="str">
        <f aca="false">IF($A1139="","",INDEX(Workers!$E$5:$E$2004,MATCH($A1139,Workers!$A$5:$A$2004,0)))</f>
        <v/>
      </c>
      <c r="D1139" s="24" t="str">
        <f aca="false">IF($A1139="","",INDEX(Workers!$K$5:$K$2004,MATCH($A1139,Workers!$A$5:$A$2004,0)))</f>
        <v/>
      </c>
      <c r="E1139" s="25" t="str">
        <f aca="false">IF($A1139="","",SUMIFS(Timesheet!$E$5:$E$3004,Timesheet!$D$5:$D$3004,$A1139,Timesheet!$A$5:$A$3004,"&gt;="&amp;Settings!$B$8,Timesheet!$A$5:$A$3004,"&lt;="&amp;Settings!$B$9))</f>
        <v/>
      </c>
      <c r="F1139" s="25" t="str">
        <f aca="false">IF($A1139="","",SUMIFS(Timesheet!$F$5:$F$3004,Timesheet!$D$5:$D$3004,$A1139,Timesheet!$A$5:$A$3004,"&gt;="&amp;Settings!$B$8,Timesheet!$A$5:$A$3004,"&lt;="&amp;Settings!$B$9))</f>
        <v/>
      </c>
      <c r="G1139" s="25" t="str">
        <f aca="false">IF($A1139="","",SUMIFS(Timesheet!$G$5:$G$3004,Timesheet!$D$5:$D$3004,$A1139,Timesheet!$A$5:$A$3004,"&gt;="&amp;Settings!$B$8,Timesheet!$A$5:$A$3004,"&lt;="&amp;Settings!$B$9))</f>
        <v/>
      </c>
      <c r="H1139" s="25" t="str">
        <f aca="false">IF($A1139="","",IF(D1139="Monthly",MAX(0,Settings!$B$11-E1139),0))</f>
        <v/>
      </c>
      <c r="I1139" s="26" t="str">
        <f aca="false">IF($A1139="","",N(INDEX(Workers!$L$5:$L$2004,MATCH($A1139,Workers!$A$5:$A$2004,0))))</f>
        <v/>
      </c>
      <c r="J1139" s="26" t="str">
        <f aca="false">IF($A1139="","",N(INDEX(Workers!$M$5:$M$2004,MATCH($A1139,Workers!$A$5:$A$2004,0))))</f>
        <v/>
      </c>
      <c r="K1139" s="26" t="str">
        <f aca="false">IF($A1139="","",IF(D1139="Monthly",ROUND(MAX(0,(I1139+J1139)-(I1139+J1139)/Settings!$B$10*H1139),2),0))</f>
        <v/>
      </c>
      <c r="L1139" s="26" t="str">
        <f aca="false">IF($A1139="","",IF(D1139="Hourly",ROUND(F1139*N(INDEX(Workers!$N$5:$N$2004,MATCH($A1139,Workers!$A$5:$A$2004,0))),2),0))</f>
        <v/>
      </c>
      <c r="M1139" s="26" t="str">
        <f aca="false">IF($A1139="","",ROUND(G1139*IF(D1139="Hourly",N(INDEX(Workers!$N$5:$N$2004,MATCH($A1139,Workers!$A$5:$A$2004,0))),I1139/Settings!$B$10/Settings!$B$12)*Settings!$B$13,2))</f>
        <v/>
      </c>
      <c r="N1139" s="26" t="str">
        <f aca="false">IF($A1139="","",K1139+L1139+M1139)</f>
        <v/>
      </c>
      <c r="O1139" s="26" t="str">
        <f aca="false">IF($A1139="","",SUMIFS(Deductions!$D$5:$D$2000,Deductions!$B$5:$B$2000,$A1139,Deductions!$C$5:$C$2000,"Advance",Deductions!$E$5:$E$2000,"&gt;="&amp;Settings!$B$8,Deductions!$E$5:$E$2000,"&lt;="&amp;Settings!$B$9))</f>
        <v/>
      </c>
      <c r="P1139" s="26" t="str">
        <f aca="false">IF($A1139="","",SUMIFS(Deductions!$D$5:$D$2000,Deductions!$B$5:$B$2000,$A1139,Deductions!$E$5:$E$2000,"&gt;="&amp;Settings!$B$8,Deductions!$E$5:$E$2000,"&lt;="&amp;Settings!$B$9)-O1139)</f>
        <v/>
      </c>
      <c r="Q1139" s="26" t="str">
        <f aca="false">IF($A1139="","",O1139+P1139)</f>
        <v/>
      </c>
      <c r="R1139" s="23" t="str">
        <f aca="false">IF($A1139="","",N1139-Q1139)</f>
        <v/>
      </c>
      <c r="S1139" s="24" t="str">
        <f aca="false">IF($A1139="","",INDEX(Workers!$O$5:$O$2004,MATCH($A1139,Workers!$A$5:$A$2004,0))&amp;"")</f>
        <v/>
      </c>
      <c r="T1139" s="24" t="str">
        <f aca="false">IF($A1139="","",INDEX(Workers!$P$5:$P$2004,MATCH($A1139,Workers!$A$5:$A$2004,0))&amp;"")</f>
        <v/>
      </c>
      <c r="U1139" s="24" t="str">
        <f aca="false">IF($A1139="","",INDEX(Workers!$H$5:$H$2004,MATCH($A1139,Workers!$A$5:$A$2004,0))&amp;"")</f>
        <v/>
      </c>
    </row>
    <row r="1140" customFormat="false" ht="15" hidden="false" customHeight="false" outlineLevel="0" collapsed="false">
      <c r="A1140" s="24" t="str">
        <f aca="false">IFERROR(INDEX(Workers!$A$5:$A$2004,MATCH(ROW()-4,Workers!$U$5:$U$2004,0)),"")</f>
        <v/>
      </c>
      <c r="B1140" s="24" t="str">
        <f aca="false">IF($A1140="","",INDEX(Workers!$B$5:$B$2004,MATCH($A1140,Workers!$A$5:$A$2004,0)))</f>
        <v/>
      </c>
      <c r="C1140" s="24" t="str">
        <f aca="false">IF($A1140="","",INDEX(Workers!$E$5:$E$2004,MATCH($A1140,Workers!$A$5:$A$2004,0)))</f>
        <v/>
      </c>
      <c r="D1140" s="24" t="str">
        <f aca="false">IF($A1140="","",INDEX(Workers!$K$5:$K$2004,MATCH($A1140,Workers!$A$5:$A$2004,0)))</f>
        <v/>
      </c>
      <c r="E1140" s="25" t="str">
        <f aca="false">IF($A1140="","",SUMIFS(Timesheet!$E$5:$E$3004,Timesheet!$D$5:$D$3004,$A1140,Timesheet!$A$5:$A$3004,"&gt;="&amp;Settings!$B$8,Timesheet!$A$5:$A$3004,"&lt;="&amp;Settings!$B$9))</f>
        <v/>
      </c>
      <c r="F1140" s="25" t="str">
        <f aca="false">IF($A1140="","",SUMIFS(Timesheet!$F$5:$F$3004,Timesheet!$D$5:$D$3004,$A1140,Timesheet!$A$5:$A$3004,"&gt;="&amp;Settings!$B$8,Timesheet!$A$5:$A$3004,"&lt;="&amp;Settings!$B$9))</f>
        <v/>
      </c>
      <c r="G1140" s="25" t="str">
        <f aca="false">IF($A1140="","",SUMIFS(Timesheet!$G$5:$G$3004,Timesheet!$D$5:$D$3004,$A1140,Timesheet!$A$5:$A$3004,"&gt;="&amp;Settings!$B$8,Timesheet!$A$5:$A$3004,"&lt;="&amp;Settings!$B$9))</f>
        <v/>
      </c>
      <c r="H1140" s="25" t="str">
        <f aca="false">IF($A1140="","",IF(D1140="Monthly",MAX(0,Settings!$B$11-E1140),0))</f>
        <v/>
      </c>
      <c r="I1140" s="26" t="str">
        <f aca="false">IF($A1140="","",N(INDEX(Workers!$L$5:$L$2004,MATCH($A1140,Workers!$A$5:$A$2004,0))))</f>
        <v/>
      </c>
      <c r="J1140" s="26" t="str">
        <f aca="false">IF($A1140="","",N(INDEX(Workers!$M$5:$M$2004,MATCH($A1140,Workers!$A$5:$A$2004,0))))</f>
        <v/>
      </c>
      <c r="K1140" s="26" t="str">
        <f aca="false">IF($A1140="","",IF(D1140="Monthly",ROUND(MAX(0,(I1140+J1140)-(I1140+J1140)/Settings!$B$10*H1140),2),0))</f>
        <v/>
      </c>
      <c r="L1140" s="26" t="str">
        <f aca="false">IF($A1140="","",IF(D1140="Hourly",ROUND(F1140*N(INDEX(Workers!$N$5:$N$2004,MATCH($A1140,Workers!$A$5:$A$2004,0))),2),0))</f>
        <v/>
      </c>
      <c r="M1140" s="26" t="str">
        <f aca="false">IF($A1140="","",ROUND(G1140*IF(D1140="Hourly",N(INDEX(Workers!$N$5:$N$2004,MATCH($A1140,Workers!$A$5:$A$2004,0))),I1140/Settings!$B$10/Settings!$B$12)*Settings!$B$13,2))</f>
        <v/>
      </c>
      <c r="N1140" s="26" t="str">
        <f aca="false">IF($A1140="","",K1140+L1140+M1140)</f>
        <v/>
      </c>
      <c r="O1140" s="26" t="str">
        <f aca="false">IF($A1140="","",SUMIFS(Deductions!$D$5:$D$2000,Deductions!$B$5:$B$2000,$A1140,Deductions!$C$5:$C$2000,"Advance",Deductions!$E$5:$E$2000,"&gt;="&amp;Settings!$B$8,Deductions!$E$5:$E$2000,"&lt;="&amp;Settings!$B$9))</f>
        <v/>
      </c>
      <c r="P1140" s="26" t="str">
        <f aca="false">IF($A1140="","",SUMIFS(Deductions!$D$5:$D$2000,Deductions!$B$5:$B$2000,$A1140,Deductions!$E$5:$E$2000,"&gt;="&amp;Settings!$B$8,Deductions!$E$5:$E$2000,"&lt;="&amp;Settings!$B$9)-O1140)</f>
        <v/>
      </c>
      <c r="Q1140" s="26" t="str">
        <f aca="false">IF($A1140="","",O1140+P1140)</f>
        <v/>
      </c>
      <c r="R1140" s="23" t="str">
        <f aca="false">IF($A1140="","",N1140-Q1140)</f>
        <v/>
      </c>
      <c r="S1140" s="24" t="str">
        <f aca="false">IF($A1140="","",INDEX(Workers!$O$5:$O$2004,MATCH($A1140,Workers!$A$5:$A$2004,0))&amp;"")</f>
        <v/>
      </c>
      <c r="T1140" s="24" t="str">
        <f aca="false">IF($A1140="","",INDEX(Workers!$P$5:$P$2004,MATCH($A1140,Workers!$A$5:$A$2004,0))&amp;"")</f>
        <v/>
      </c>
      <c r="U1140" s="24" t="str">
        <f aca="false">IF($A1140="","",INDEX(Workers!$H$5:$H$2004,MATCH($A1140,Workers!$A$5:$A$2004,0))&amp;"")</f>
        <v/>
      </c>
    </row>
    <row r="1141" customFormat="false" ht="15" hidden="false" customHeight="false" outlineLevel="0" collapsed="false">
      <c r="A1141" s="24" t="str">
        <f aca="false">IFERROR(INDEX(Workers!$A$5:$A$2004,MATCH(ROW()-4,Workers!$U$5:$U$2004,0)),"")</f>
        <v/>
      </c>
      <c r="B1141" s="24" t="str">
        <f aca="false">IF($A1141="","",INDEX(Workers!$B$5:$B$2004,MATCH($A1141,Workers!$A$5:$A$2004,0)))</f>
        <v/>
      </c>
      <c r="C1141" s="24" t="str">
        <f aca="false">IF($A1141="","",INDEX(Workers!$E$5:$E$2004,MATCH($A1141,Workers!$A$5:$A$2004,0)))</f>
        <v/>
      </c>
      <c r="D1141" s="24" t="str">
        <f aca="false">IF($A1141="","",INDEX(Workers!$K$5:$K$2004,MATCH($A1141,Workers!$A$5:$A$2004,0)))</f>
        <v/>
      </c>
      <c r="E1141" s="25" t="str">
        <f aca="false">IF($A1141="","",SUMIFS(Timesheet!$E$5:$E$3004,Timesheet!$D$5:$D$3004,$A1141,Timesheet!$A$5:$A$3004,"&gt;="&amp;Settings!$B$8,Timesheet!$A$5:$A$3004,"&lt;="&amp;Settings!$B$9))</f>
        <v/>
      </c>
      <c r="F1141" s="25" t="str">
        <f aca="false">IF($A1141="","",SUMIFS(Timesheet!$F$5:$F$3004,Timesheet!$D$5:$D$3004,$A1141,Timesheet!$A$5:$A$3004,"&gt;="&amp;Settings!$B$8,Timesheet!$A$5:$A$3004,"&lt;="&amp;Settings!$B$9))</f>
        <v/>
      </c>
      <c r="G1141" s="25" t="str">
        <f aca="false">IF($A1141="","",SUMIFS(Timesheet!$G$5:$G$3004,Timesheet!$D$5:$D$3004,$A1141,Timesheet!$A$5:$A$3004,"&gt;="&amp;Settings!$B$8,Timesheet!$A$5:$A$3004,"&lt;="&amp;Settings!$B$9))</f>
        <v/>
      </c>
      <c r="H1141" s="25" t="str">
        <f aca="false">IF($A1141="","",IF(D1141="Monthly",MAX(0,Settings!$B$11-E1141),0))</f>
        <v/>
      </c>
      <c r="I1141" s="26" t="str">
        <f aca="false">IF($A1141="","",N(INDEX(Workers!$L$5:$L$2004,MATCH($A1141,Workers!$A$5:$A$2004,0))))</f>
        <v/>
      </c>
      <c r="J1141" s="26" t="str">
        <f aca="false">IF($A1141="","",N(INDEX(Workers!$M$5:$M$2004,MATCH($A1141,Workers!$A$5:$A$2004,0))))</f>
        <v/>
      </c>
      <c r="K1141" s="26" t="str">
        <f aca="false">IF($A1141="","",IF(D1141="Monthly",ROUND(MAX(0,(I1141+J1141)-(I1141+J1141)/Settings!$B$10*H1141),2),0))</f>
        <v/>
      </c>
      <c r="L1141" s="26" t="str">
        <f aca="false">IF($A1141="","",IF(D1141="Hourly",ROUND(F1141*N(INDEX(Workers!$N$5:$N$2004,MATCH($A1141,Workers!$A$5:$A$2004,0))),2),0))</f>
        <v/>
      </c>
      <c r="M1141" s="26" t="str">
        <f aca="false">IF($A1141="","",ROUND(G1141*IF(D1141="Hourly",N(INDEX(Workers!$N$5:$N$2004,MATCH($A1141,Workers!$A$5:$A$2004,0))),I1141/Settings!$B$10/Settings!$B$12)*Settings!$B$13,2))</f>
        <v/>
      </c>
      <c r="N1141" s="26" t="str">
        <f aca="false">IF($A1141="","",K1141+L1141+M1141)</f>
        <v/>
      </c>
      <c r="O1141" s="26" t="str">
        <f aca="false">IF($A1141="","",SUMIFS(Deductions!$D$5:$D$2000,Deductions!$B$5:$B$2000,$A1141,Deductions!$C$5:$C$2000,"Advance",Deductions!$E$5:$E$2000,"&gt;="&amp;Settings!$B$8,Deductions!$E$5:$E$2000,"&lt;="&amp;Settings!$B$9))</f>
        <v/>
      </c>
      <c r="P1141" s="26" t="str">
        <f aca="false">IF($A1141="","",SUMIFS(Deductions!$D$5:$D$2000,Deductions!$B$5:$B$2000,$A1141,Deductions!$E$5:$E$2000,"&gt;="&amp;Settings!$B$8,Deductions!$E$5:$E$2000,"&lt;="&amp;Settings!$B$9)-O1141)</f>
        <v/>
      </c>
      <c r="Q1141" s="26" t="str">
        <f aca="false">IF($A1141="","",O1141+P1141)</f>
        <v/>
      </c>
      <c r="R1141" s="23" t="str">
        <f aca="false">IF($A1141="","",N1141-Q1141)</f>
        <v/>
      </c>
      <c r="S1141" s="24" t="str">
        <f aca="false">IF($A1141="","",INDEX(Workers!$O$5:$O$2004,MATCH($A1141,Workers!$A$5:$A$2004,0))&amp;"")</f>
        <v/>
      </c>
      <c r="T1141" s="24" t="str">
        <f aca="false">IF($A1141="","",INDEX(Workers!$P$5:$P$2004,MATCH($A1141,Workers!$A$5:$A$2004,0))&amp;"")</f>
        <v/>
      </c>
      <c r="U1141" s="24" t="str">
        <f aca="false">IF($A1141="","",INDEX(Workers!$H$5:$H$2004,MATCH($A1141,Workers!$A$5:$A$2004,0))&amp;"")</f>
        <v/>
      </c>
    </row>
    <row r="1142" customFormat="false" ht="15" hidden="false" customHeight="false" outlineLevel="0" collapsed="false">
      <c r="A1142" s="24" t="str">
        <f aca="false">IFERROR(INDEX(Workers!$A$5:$A$2004,MATCH(ROW()-4,Workers!$U$5:$U$2004,0)),"")</f>
        <v/>
      </c>
      <c r="B1142" s="24" t="str">
        <f aca="false">IF($A1142="","",INDEX(Workers!$B$5:$B$2004,MATCH($A1142,Workers!$A$5:$A$2004,0)))</f>
        <v/>
      </c>
      <c r="C1142" s="24" t="str">
        <f aca="false">IF($A1142="","",INDEX(Workers!$E$5:$E$2004,MATCH($A1142,Workers!$A$5:$A$2004,0)))</f>
        <v/>
      </c>
      <c r="D1142" s="24" t="str">
        <f aca="false">IF($A1142="","",INDEX(Workers!$K$5:$K$2004,MATCH($A1142,Workers!$A$5:$A$2004,0)))</f>
        <v/>
      </c>
      <c r="E1142" s="25" t="str">
        <f aca="false">IF($A1142="","",SUMIFS(Timesheet!$E$5:$E$3004,Timesheet!$D$5:$D$3004,$A1142,Timesheet!$A$5:$A$3004,"&gt;="&amp;Settings!$B$8,Timesheet!$A$5:$A$3004,"&lt;="&amp;Settings!$B$9))</f>
        <v/>
      </c>
      <c r="F1142" s="25" t="str">
        <f aca="false">IF($A1142="","",SUMIFS(Timesheet!$F$5:$F$3004,Timesheet!$D$5:$D$3004,$A1142,Timesheet!$A$5:$A$3004,"&gt;="&amp;Settings!$B$8,Timesheet!$A$5:$A$3004,"&lt;="&amp;Settings!$B$9))</f>
        <v/>
      </c>
      <c r="G1142" s="25" t="str">
        <f aca="false">IF($A1142="","",SUMIFS(Timesheet!$G$5:$G$3004,Timesheet!$D$5:$D$3004,$A1142,Timesheet!$A$5:$A$3004,"&gt;="&amp;Settings!$B$8,Timesheet!$A$5:$A$3004,"&lt;="&amp;Settings!$B$9))</f>
        <v/>
      </c>
      <c r="H1142" s="25" t="str">
        <f aca="false">IF($A1142="","",IF(D1142="Monthly",MAX(0,Settings!$B$11-E1142),0))</f>
        <v/>
      </c>
      <c r="I1142" s="26" t="str">
        <f aca="false">IF($A1142="","",N(INDEX(Workers!$L$5:$L$2004,MATCH($A1142,Workers!$A$5:$A$2004,0))))</f>
        <v/>
      </c>
      <c r="J1142" s="26" t="str">
        <f aca="false">IF($A1142="","",N(INDEX(Workers!$M$5:$M$2004,MATCH($A1142,Workers!$A$5:$A$2004,0))))</f>
        <v/>
      </c>
      <c r="K1142" s="26" t="str">
        <f aca="false">IF($A1142="","",IF(D1142="Monthly",ROUND(MAX(0,(I1142+J1142)-(I1142+J1142)/Settings!$B$10*H1142),2),0))</f>
        <v/>
      </c>
      <c r="L1142" s="26" t="str">
        <f aca="false">IF($A1142="","",IF(D1142="Hourly",ROUND(F1142*N(INDEX(Workers!$N$5:$N$2004,MATCH($A1142,Workers!$A$5:$A$2004,0))),2),0))</f>
        <v/>
      </c>
      <c r="M1142" s="26" t="str">
        <f aca="false">IF($A1142="","",ROUND(G1142*IF(D1142="Hourly",N(INDEX(Workers!$N$5:$N$2004,MATCH($A1142,Workers!$A$5:$A$2004,0))),I1142/Settings!$B$10/Settings!$B$12)*Settings!$B$13,2))</f>
        <v/>
      </c>
      <c r="N1142" s="26" t="str">
        <f aca="false">IF($A1142="","",K1142+L1142+M1142)</f>
        <v/>
      </c>
      <c r="O1142" s="26" t="str">
        <f aca="false">IF($A1142="","",SUMIFS(Deductions!$D$5:$D$2000,Deductions!$B$5:$B$2000,$A1142,Deductions!$C$5:$C$2000,"Advance",Deductions!$E$5:$E$2000,"&gt;="&amp;Settings!$B$8,Deductions!$E$5:$E$2000,"&lt;="&amp;Settings!$B$9))</f>
        <v/>
      </c>
      <c r="P1142" s="26" t="str">
        <f aca="false">IF($A1142="","",SUMIFS(Deductions!$D$5:$D$2000,Deductions!$B$5:$B$2000,$A1142,Deductions!$E$5:$E$2000,"&gt;="&amp;Settings!$B$8,Deductions!$E$5:$E$2000,"&lt;="&amp;Settings!$B$9)-O1142)</f>
        <v/>
      </c>
      <c r="Q1142" s="26" t="str">
        <f aca="false">IF($A1142="","",O1142+P1142)</f>
        <v/>
      </c>
      <c r="R1142" s="23" t="str">
        <f aca="false">IF($A1142="","",N1142-Q1142)</f>
        <v/>
      </c>
      <c r="S1142" s="24" t="str">
        <f aca="false">IF($A1142="","",INDEX(Workers!$O$5:$O$2004,MATCH($A1142,Workers!$A$5:$A$2004,0))&amp;"")</f>
        <v/>
      </c>
      <c r="T1142" s="24" t="str">
        <f aca="false">IF($A1142="","",INDEX(Workers!$P$5:$P$2004,MATCH($A1142,Workers!$A$5:$A$2004,0))&amp;"")</f>
        <v/>
      </c>
      <c r="U1142" s="24" t="str">
        <f aca="false">IF($A1142="","",INDEX(Workers!$H$5:$H$2004,MATCH($A1142,Workers!$A$5:$A$2004,0))&amp;"")</f>
        <v/>
      </c>
    </row>
    <row r="1143" customFormat="false" ht="15" hidden="false" customHeight="false" outlineLevel="0" collapsed="false">
      <c r="A1143" s="24" t="str">
        <f aca="false">IFERROR(INDEX(Workers!$A$5:$A$2004,MATCH(ROW()-4,Workers!$U$5:$U$2004,0)),"")</f>
        <v/>
      </c>
      <c r="B1143" s="24" t="str">
        <f aca="false">IF($A1143="","",INDEX(Workers!$B$5:$B$2004,MATCH($A1143,Workers!$A$5:$A$2004,0)))</f>
        <v/>
      </c>
      <c r="C1143" s="24" t="str">
        <f aca="false">IF($A1143="","",INDEX(Workers!$E$5:$E$2004,MATCH($A1143,Workers!$A$5:$A$2004,0)))</f>
        <v/>
      </c>
      <c r="D1143" s="24" t="str">
        <f aca="false">IF($A1143="","",INDEX(Workers!$K$5:$K$2004,MATCH($A1143,Workers!$A$5:$A$2004,0)))</f>
        <v/>
      </c>
      <c r="E1143" s="25" t="str">
        <f aca="false">IF($A1143="","",SUMIFS(Timesheet!$E$5:$E$3004,Timesheet!$D$5:$D$3004,$A1143,Timesheet!$A$5:$A$3004,"&gt;="&amp;Settings!$B$8,Timesheet!$A$5:$A$3004,"&lt;="&amp;Settings!$B$9))</f>
        <v/>
      </c>
      <c r="F1143" s="25" t="str">
        <f aca="false">IF($A1143="","",SUMIFS(Timesheet!$F$5:$F$3004,Timesheet!$D$5:$D$3004,$A1143,Timesheet!$A$5:$A$3004,"&gt;="&amp;Settings!$B$8,Timesheet!$A$5:$A$3004,"&lt;="&amp;Settings!$B$9))</f>
        <v/>
      </c>
      <c r="G1143" s="25" t="str">
        <f aca="false">IF($A1143="","",SUMIFS(Timesheet!$G$5:$G$3004,Timesheet!$D$5:$D$3004,$A1143,Timesheet!$A$5:$A$3004,"&gt;="&amp;Settings!$B$8,Timesheet!$A$5:$A$3004,"&lt;="&amp;Settings!$B$9))</f>
        <v/>
      </c>
      <c r="H1143" s="25" t="str">
        <f aca="false">IF($A1143="","",IF(D1143="Monthly",MAX(0,Settings!$B$11-E1143),0))</f>
        <v/>
      </c>
      <c r="I1143" s="26" t="str">
        <f aca="false">IF($A1143="","",N(INDEX(Workers!$L$5:$L$2004,MATCH($A1143,Workers!$A$5:$A$2004,0))))</f>
        <v/>
      </c>
      <c r="J1143" s="26" t="str">
        <f aca="false">IF($A1143="","",N(INDEX(Workers!$M$5:$M$2004,MATCH($A1143,Workers!$A$5:$A$2004,0))))</f>
        <v/>
      </c>
      <c r="K1143" s="26" t="str">
        <f aca="false">IF($A1143="","",IF(D1143="Monthly",ROUND(MAX(0,(I1143+J1143)-(I1143+J1143)/Settings!$B$10*H1143),2),0))</f>
        <v/>
      </c>
      <c r="L1143" s="26" t="str">
        <f aca="false">IF($A1143="","",IF(D1143="Hourly",ROUND(F1143*N(INDEX(Workers!$N$5:$N$2004,MATCH($A1143,Workers!$A$5:$A$2004,0))),2),0))</f>
        <v/>
      </c>
      <c r="M1143" s="26" t="str">
        <f aca="false">IF($A1143="","",ROUND(G1143*IF(D1143="Hourly",N(INDEX(Workers!$N$5:$N$2004,MATCH($A1143,Workers!$A$5:$A$2004,0))),I1143/Settings!$B$10/Settings!$B$12)*Settings!$B$13,2))</f>
        <v/>
      </c>
      <c r="N1143" s="26" t="str">
        <f aca="false">IF($A1143="","",K1143+L1143+M1143)</f>
        <v/>
      </c>
      <c r="O1143" s="26" t="str">
        <f aca="false">IF($A1143="","",SUMIFS(Deductions!$D$5:$D$2000,Deductions!$B$5:$B$2000,$A1143,Deductions!$C$5:$C$2000,"Advance",Deductions!$E$5:$E$2000,"&gt;="&amp;Settings!$B$8,Deductions!$E$5:$E$2000,"&lt;="&amp;Settings!$B$9))</f>
        <v/>
      </c>
      <c r="P1143" s="26" t="str">
        <f aca="false">IF($A1143="","",SUMIFS(Deductions!$D$5:$D$2000,Deductions!$B$5:$B$2000,$A1143,Deductions!$E$5:$E$2000,"&gt;="&amp;Settings!$B$8,Deductions!$E$5:$E$2000,"&lt;="&amp;Settings!$B$9)-O1143)</f>
        <v/>
      </c>
      <c r="Q1143" s="26" t="str">
        <f aca="false">IF($A1143="","",O1143+P1143)</f>
        <v/>
      </c>
      <c r="R1143" s="23" t="str">
        <f aca="false">IF($A1143="","",N1143-Q1143)</f>
        <v/>
      </c>
      <c r="S1143" s="24" t="str">
        <f aca="false">IF($A1143="","",INDEX(Workers!$O$5:$O$2004,MATCH($A1143,Workers!$A$5:$A$2004,0))&amp;"")</f>
        <v/>
      </c>
      <c r="T1143" s="24" t="str">
        <f aca="false">IF($A1143="","",INDEX(Workers!$P$5:$P$2004,MATCH($A1143,Workers!$A$5:$A$2004,0))&amp;"")</f>
        <v/>
      </c>
      <c r="U1143" s="24" t="str">
        <f aca="false">IF($A1143="","",INDEX(Workers!$H$5:$H$2004,MATCH($A1143,Workers!$A$5:$A$2004,0))&amp;"")</f>
        <v/>
      </c>
    </row>
    <row r="1144" customFormat="false" ht="15" hidden="false" customHeight="false" outlineLevel="0" collapsed="false">
      <c r="A1144" s="24" t="str">
        <f aca="false">IFERROR(INDEX(Workers!$A$5:$A$2004,MATCH(ROW()-4,Workers!$U$5:$U$2004,0)),"")</f>
        <v/>
      </c>
      <c r="B1144" s="24" t="str">
        <f aca="false">IF($A1144="","",INDEX(Workers!$B$5:$B$2004,MATCH($A1144,Workers!$A$5:$A$2004,0)))</f>
        <v/>
      </c>
      <c r="C1144" s="24" t="str">
        <f aca="false">IF($A1144="","",INDEX(Workers!$E$5:$E$2004,MATCH($A1144,Workers!$A$5:$A$2004,0)))</f>
        <v/>
      </c>
      <c r="D1144" s="24" t="str">
        <f aca="false">IF($A1144="","",INDEX(Workers!$K$5:$K$2004,MATCH($A1144,Workers!$A$5:$A$2004,0)))</f>
        <v/>
      </c>
      <c r="E1144" s="25" t="str">
        <f aca="false">IF($A1144="","",SUMIFS(Timesheet!$E$5:$E$3004,Timesheet!$D$5:$D$3004,$A1144,Timesheet!$A$5:$A$3004,"&gt;="&amp;Settings!$B$8,Timesheet!$A$5:$A$3004,"&lt;="&amp;Settings!$B$9))</f>
        <v/>
      </c>
      <c r="F1144" s="25" t="str">
        <f aca="false">IF($A1144="","",SUMIFS(Timesheet!$F$5:$F$3004,Timesheet!$D$5:$D$3004,$A1144,Timesheet!$A$5:$A$3004,"&gt;="&amp;Settings!$B$8,Timesheet!$A$5:$A$3004,"&lt;="&amp;Settings!$B$9))</f>
        <v/>
      </c>
      <c r="G1144" s="25" t="str">
        <f aca="false">IF($A1144="","",SUMIFS(Timesheet!$G$5:$G$3004,Timesheet!$D$5:$D$3004,$A1144,Timesheet!$A$5:$A$3004,"&gt;="&amp;Settings!$B$8,Timesheet!$A$5:$A$3004,"&lt;="&amp;Settings!$B$9))</f>
        <v/>
      </c>
      <c r="H1144" s="25" t="str">
        <f aca="false">IF($A1144="","",IF(D1144="Monthly",MAX(0,Settings!$B$11-E1144),0))</f>
        <v/>
      </c>
      <c r="I1144" s="26" t="str">
        <f aca="false">IF($A1144="","",N(INDEX(Workers!$L$5:$L$2004,MATCH($A1144,Workers!$A$5:$A$2004,0))))</f>
        <v/>
      </c>
      <c r="J1144" s="26" t="str">
        <f aca="false">IF($A1144="","",N(INDEX(Workers!$M$5:$M$2004,MATCH($A1144,Workers!$A$5:$A$2004,0))))</f>
        <v/>
      </c>
      <c r="K1144" s="26" t="str">
        <f aca="false">IF($A1144="","",IF(D1144="Monthly",ROUND(MAX(0,(I1144+J1144)-(I1144+J1144)/Settings!$B$10*H1144),2),0))</f>
        <v/>
      </c>
      <c r="L1144" s="26" t="str">
        <f aca="false">IF($A1144="","",IF(D1144="Hourly",ROUND(F1144*N(INDEX(Workers!$N$5:$N$2004,MATCH($A1144,Workers!$A$5:$A$2004,0))),2),0))</f>
        <v/>
      </c>
      <c r="M1144" s="26" t="str">
        <f aca="false">IF($A1144="","",ROUND(G1144*IF(D1144="Hourly",N(INDEX(Workers!$N$5:$N$2004,MATCH($A1144,Workers!$A$5:$A$2004,0))),I1144/Settings!$B$10/Settings!$B$12)*Settings!$B$13,2))</f>
        <v/>
      </c>
      <c r="N1144" s="26" t="str">
        <f aca="false">IF($A1144="","",K1144+L1144+M1144)</f>
        <v/>
      </c>
      <c r="O1144" s="26" t="str">
        <f aca="false">IF($A1144="","",SUMIFS(Deductions!$D$5:$D$2000,Deductions!$B$5:$B$2000,$A1144,Deductions!$C$5:$C$2000,"Advance",Deductions!$E$5:$E$2000,"&gt;="&amp;Settings!$B$8,Deductions!$E$5:$E$2000,"&lt;="&amp;Settings!$B$9))</f>
        <v/>
      </c>
      <c r="P1144" s="26" t="str">
        <f aca="false">IF($A1144="","",SUMIFS(Deductions!$D$5:$D$2000,Deductions!$B$5:$B$2000,$A1144,Deductions!$E$5:$E$2000,"&gt;="&amp;Settings!$B$8,Deductions!$E$5:$E$2000,"&lt;="&amp;Settings!$B$9)-O1144)</f>
        <v/>
      </c>
      <c r="Q1144" s="26" t="str">
        <f aca="false">IF($A1144="","",O1144+P1144)</f>
        <v/>
      </c>
      <c r="R1144" s="23" t="str">
        <f aca="false">IF($A1144="","",N1144-Q1144)</f>
        <v/>
      </c>
      <c r="S1144" s="24" t="str">
        <f aca="false">IF($A1144="","",INDEX(Workers!$O$5:$O$2004,MATCH($A1144,Workers!$A$5:$A$2004,0))&amp;"")</f>
        <v/>
      </c>
      <c r="T1144" s="24" t="str">
        <f aca="false">IF($A1144="","",INDEX(Workers!$P$5:$P$2004,MATCH($A1144,Workers!$A$5:$A$2004,0))&amp;"")</f>
        <v/>
      </c>
      <c r="U1144" s="24" t="str">
        <f aca="false">IF($A1144="","",INDEX(Workers!$H$5:$H$2004,MATCH($A1144,Workers!$A$5:$A$2004,0))&amp;"")</f>
        <v/>
      </c>
    </row>
    <row r="1145" customFormat="false" ht="15" hidden="false" customHeight="false" outlineLevel="0" collapsed="false">
      <c r="A1145" s="24" t="str">
        <f aca="false">IFERROR(INDEX(Workers!$A$5:$A$2004,MATCH(ROW()-4,Workers!$U$5:$U$2004,0)),"")</f>
        <v/>
      </c>
      <c r="B1145" s="24" t="str">
        <f aca="false">IF($A1145="","",INDEX(Workers!$B$5:$B$2004,MATCH($A1145,Workers!$A$5:$A$2004,0)))</f>
        <v/>
      </c>
      <c r="C1145" s="24" t="str">
        <f aca="false">IF($A1145="","",INDEX(Workers!$E$5:$E$2004,MATCH($A1145,Workers!$A$5:$A$2004,0)))</f>
        <v/>
      </c>
      <c r="D1145" s="24" t="str">
        <f aca="false">IF($A1145="","",INDEX(Workers!$K$5:$K$2004,MATCH($A1145,Workers!$A$5:$A$2004,0)))</f>
        <v/>
      </c>
      <c r="E1145" s="25" t="str">
        <f aca="false">IF($A1145="","",SUMIFS(Timesheet!$E$5:$E$3004,Timesheet!$D$5:$D$3004,$A1145,Timesheet!$A$5:$A$3004,"&gt;="&amp;Settings!$B$8,Timesheet!$A$5:$A$3004,"&lt;="&amp;Settings!$B$9))</f>
        <v/>
      </c>
      <c r="F1145" s="25" t="str">
        <f aca="false">IF($A1145="","",SUMIFS(Timesheet!$F$5:$F$3004,Timesheet!$D$5:$D$3004,$A1145,Timesheet!$A$5:$A$3004,"&gt;="&amp;Settings!$B$8,Timesheet!$A$5:$A$3004,"&lt;="&amp;Settings!$B$9))</f>
        <v/>
      </c>
      <c r="G1145" s="25" t="str">
        <f aca="false">IF($A1145="","",SUMIFS(Timesheet!$G$5:$G$3004,Timesheet!$D$5:$D$3004,$A1145,Timesheet!$A$5:$A$3004,"&gt;="&amp;Settings!$B$8,Timesheet!$A$5:$A$3004,"&lt;="&amp;Settings!$B$9))</f>
        <v/>
      </c>
      <c r="H1145" s="25" t="str">
        <f aca="false">IF($A1145="","",IF(D1145="Monthly",MAX(0,Settings!$B$11-E1145),0))</f>
        <v/>
      </c>
      <c r="I1145" s="26" t="str">
        <f aca="false">IF($A1145="","",N(INDEX(Workers!$L$5:$L$2004,MATCH($A1145,Workers!$A$5:$A$2004,0))))</f>
        <v/>
      </c>
      <c r="J1145" s="26" t="str">
        <f aca="false">IF($A1145="","",N(INDEX(Workers!$M$5:$M$2004,MATCH($A1145,Workers!$A$5:$A$2004,0))))</f>
        <v/>
      </c>
      <c r="K1145" s="26" t="str">
        <f aca="false">IF($A1145="","",IF(D1145="Monthly",ROUND(MAX(0,(I1145+J1145)-(I1145+J1145)/Settings!$B$10*H1145),2),0))</f>
        <v/>
      </c>
      <c r="L1145" s="26" t="str">
        <f aca="false">IF($A1145="","",IF(D1145="Hourly",ROUND(F1145*N(INDEX(Workers!$N$5:$N$2004,MATCH($A1145,Workers!$A$5:$A$2004,0))),2),0))</f>
        <v/>
      </c>
      <c r="M1145" s="26" t="str">
        <f aca="false">IF($A1145="","",ROUND(G1145*IF(D1145="Hourly",N(INDEX(Workers!$N$5:$N$2004,MATCH($A1145,Workers!$A$5:$A$2004,0))),I1145/Settings!$B$10/Settings!$B$12)*Settings!$B$13,2))</f>
        <v/>
      </c>
      <c r="N1145" s="26" t="str">
        <f aca="false">IF($A1145="","",K1145+L1145+M1145)</f>
        <v/>
      </c>
      <c r="O1145" s="26" t="str">
        <f aca="false">IF($A1145="","",SUMIFS(Deductions!$D$5:$D$2000,Deductions!$B$5:$B$2000,$A1145,Deductions!$C$5:$C$2000,"Advance",Deductions!$E$5:$E$2000,"&gt;="&amp;Settings!$B$8,Deductions!$E$5:$E$2000,"&lt;="&amp;Settings!$B$9))</f>
        <v/>
      </c>
      <c r="P1145" s="26" t="str">
        <f aca="false">IF($A1145="","",SUMIFS(Deductions!$D$5:$D$2000,Deductions!$B$5:$B$2000,$A1145,Deductions!$E$5:$E$2000,"&gt;="&amp;Settings!$B$8,Deductions!$E$5:$E$2000,"&lt;="&amp;Settings!$B$9)-O1145)</f>
        <v/>
      </c>
      <c r="Q1145" s="26" t="str">
        <f aca="false">IF($A1145="","",O1145+P1145)</f>
        <v/>
      </c>
      <c r="R1145" s="23" t="str">
        <f aca="false">IF($A1145="","",N1145-Q1145)</f>
        <v/>
      </c>
      <c r="S1145" s="24" t="str">
        <f aca="false">IF($A1145="","",INDEX(Workers!$O$5:$O$2004,MATCH($A1145,Workers!$A$5:$A$2004,0))&amp;"")</f>
        <v/>
      </c>
      <c r="T1145" s="24" t="str">
        <f aca="false">IF($A1145="","",INDEX(Workers!$P$5:$P$2004,MATCH($A1145,Workers!$A$5:$A$2004,0))&amp;"")</f>
        <v/>
      </c>
      <c r="U1145" s="24" t="str">
        <f aca="false">IF($A1145="","",INDEX(Workers!$H$5:$H$2004,MATCH($A1145,Workers!$A$5:$A$2004,0))&amp;"")</f>
        <v/>
      </c>
    </row>
    <row r="1146" customFormat="false" ht="15" hidden="false" customHeight="false" outlineLevel="0" collapsed="false">
      <c r="A1146" s="24" t="str">
        <f aca="false">IFERROR(INDEX(Workers!$A$5:$A$2004,MATCH(ROW()-4,Workers!$U$5:$U$2004,0)),"")</f>
        <v/>
      </c>
      <c r="B1146" s="24" t="str">
        <f aca="false">IF($A1146="","",INDEX(Workers!$B$5:$B$2004,MATCH($A1146,Workers!$A$5:$A$2004,0)))</f>
        <v/>
      </c>
      <c r="C1146" s="24" t="str">
        <f aca="false">IF($A1146="","",INDEX(Workers!$E$5:$E$2004,MATCH($A1146,Workers!$A$5:$A$2004,0)))</f>
        <v/>
      </c>
      <c r="D1146" s="24" t="str">
        <f aca="false">IF($A1146="","",INDEX(Workers!$K$5:$K$2004,MATCH($A1146,Workers!$A$5:$A$2004,0)))</f>
        <v/>
      </c>
      <c r="E1146" s="25" t="str">
        <f aca="false">IF($A1146="","",SUMIFS(Timesheet!$E$5:$E$3004,Timesheet!$D$5:$D$3004,$A1146,Timesheet!$A$5:$A$3004,"&gt;="&amp;Settings!$B$8,Timesheet!$A$5:$A$3004,"&lt;="&amp;Settings!$B$9))</f>
        <v/>
      </c>
      <c r="F1146" s="25" t="str">
        <f aca="false">IF($A1146="","",SUMIFS(Timesheet!$F$5:$F$3004,Timesheet!$D$5:$D$3004,$A1146,Timesheet!$A$5:$A$3004,"&gt;="&amp;Settings!$B$8,Timesheet!$A$5:$A$3004,"&lt;="&amp;Settings!$B$9))</f>
        <v/>
      </c>
      <c r="G1146" s="25" t="str">
        <f aca="false">IF($A1146="","",SUMIFS(Timesheet!$G$5:$G$3004,Timesheet!$D$5:$D$3004,$A1146,Timesheet!$A$5:$A$3004,"&gt;="&amp;Settings!$B$8,Timesheet!$A$5:$A$3004,"&lt;="&amp;Settings!$B$9))</f>
        <v/>
      </c>
      <c r="H1146" s="25" t="str">
        <f aca="false">IF($A1146="","",IF(D1146="Monthly",MAX(0,Settings!$B$11-E1146),0))</f>
        <v/>
      </c>
      <c r="I1146" s="26" t="str">
        <f aca="false">IF($A1146="","",N(INDEX(Workers!$L$5:$L$2004,MATCH($A1146,Workers!$A$5:$A$2004,0))))</f>
        <v/>
      </c>
      <c r="J1146" s="26" t="str">
        <f aca="false">IF($A1146="","",N(INDEX(Workers!$M$5:$M$2004,MATCH($A1146,Workers!$A$5:$A$2004,0))))</f>
        <v/>
      </c>
      <c r="K1146" s="26" t="str">
        <f aca="false">IF($A1146="","",IF(D1146="Monthly",ROUND(MAX(0,(I1146+J1146)-(I1146+J1146)/Settings!$B$10*H1146),2),0))</f>
        <v/>
      </c>
      <c r="L1146" s="26" t="str">
        <f aca="false">IF($A1146="","",IF(D1146="Hourly",ROUND(F1146*N(INDEX(Workers!$N$5:$N$2004,MATCH($A1146,Workers!$A$5:$A$2004,0))),2),0))</f>
        <v/>
      </c>
      <c r="M1146" s="26" t="str">
        <f aca="false">IF($A1146="","",ROUND(G1146*IF(D1146="Hourly",N(INDEX(Workers!$N$5:$N$2004,MATCH($A1146,Workers!$A$5:$A$2004,0))),I1146/Settings!$B$10/Settings!$B$12)*Settings!$B$13,2))</f>
        <v/>
      </c>
      <c r="N1146" s="26" t="str">
        <f aca="false">IF($A1146="","",K1146+L1146+M1146)</f>
        <v/>
      </c>
      <c r="O1146" s="26" t="str">
        <f aca="false">IF($A1146="","",SUMIFS(Deductions!$D$5:$D$2000,Deductions!$B$5:$B$2000,$A1146,Deductions!$C$5:$C$2000,"Advance",Deductions!$E$5:$E$2000,"&gt;="&amp;Settings!$B$8,Deductions!$E$5:$E$2000,"&lt;="&amp;Settings!$B$9))</f>
        <v/>
      </c>
      <c r="P1146" s="26" t="str">
        <f aca="false">IF($A1146="","",SUMIFS(Deductions!$D$5:$D$2000,Deductions!$B$5:$B$2000,$A1146,Deductions!$E$5:$E$2000,"&gt;="&amp;Settings!$B$8,Deductions!$E$5:$E$2000,"&lt;="&amp;Settings!$B$9)-O1146)</f>
        <v/>
      </c>
      <c r="Q1146" s="26" t="str">
        <f aca="false">IF($A1146="","",O1146+P1146)</f>
        <v/>
      </c>
      <c r="R1146" s="23" t="str">
        <f aca="false">IF($A1146="","",N1146-Q1146)</f>
        <v/>
      </c>
      <c r="S1146" s="24" t="str">
        <f aca="false">IF($A1146="","",INDEX(Workers!$O$5:$O$2004,MATCH($A1146,Workers!$A$5:$A$2004,0))&amp;"")</f>
        <v/>
      </c>
      <c r="T1146" s="24" t="str">
        <f aca="false">IF($A1146="","",INDEX(Workers!$P$5:$P$2004,MATCH($A1146,Workers!$A$5:$A$2004,0))&amp;"")</f>
        <v/>
      </c>
      <c r="U1146" s="24" t="str">
        <f aca="false">IF($A1146="","",INDEX(Workers!$H$5:$H$2004,MATCH($A1146,Workers!$A$5:$A$2004,0))&amp;"")</f>
        <v/>
      </c>
    </row>
    <row r="1147" customFormat="false" ht="15" hidden="false" customHeight="false" outlineLevel="0" collapsed="false">
      <c r="A1147" s="24" t="str">
        <f aca="false">IFERROR(INDEX(Workers!$A$5:$A$2004,MATCH(ROW()-4,Workers!$U$5:$U$2004,0)),"")</f>
        <v/>
      </c>
      <c r="B1147" s="24" t="str">
        <f aca="false">IF($A1147="","",INDEX(Workers!$B$5:$B$2004,MATCH($A1147,Workers!$A$5:$A$2004,0)))</f>
        <v/>
      </c>
      <c r="C1147" s="24" t="str">
        <f aca="false">IF($A1147="","",INDEX(Workers!$E$5:$E$2004,MATCH($A1147,Workers!$A$5:$A$2004,0)))</f>
        <v/>
      </c>
      <c r="D1147" s="24" t="str">
        <f aca="false">IF($A1147="","",INDEX(Workers!$K$5:$K$2004,MATCH($A1147,Workers!$A$5:$A$2004,0)))</f>
        <v/>
      </c>
      <c r="E1147" s="25" t="str">
        <f aca="false">IF($A1147="","",SUMIFS(Timesheet!$E$5:$E$3004,Timesheet!$D$5:$D$3004,$A1147,Timesheet!$A$5:$A$3004,"&gt;="&amp;Settings!$B$8,Timesheet!$A$5:$A$3004,"&lt;="&amp;Settings!$B$9))</f>
        <v/>
      </c>
      <c r="F1147" s="25" t="str">
        <f aca="false">IF($A1147="","",SUMIFS(Timesheet!$F$5:$F$3004,Timesheet!$D$5:$D$3004,$A1147,Timesheet!$A$5:$A$3004,"&gt;="&amp;Settings!$B$8,Timesheet!$A$5:$A$3004,"&lt;="&amp;Settings!$B$9))</f>
        <v/>
      </c>
      <c r="G1147" s="25" t="str">
        <f aca="false">IF($A1147="","",SUMIFS(Timesheet!$G$5:$G$3004,Timesheet!$D$5:$D$3004,$A1147,Timesheet!$A$5:$A$3004,"&gt;="&amp;Settings!$B$8,Timesheet!$A$5:$A$3004,"&lt;="&amp;Settings!$B$9))</f>
        <v/>
      </c>
      <c r="H1147" s="25" t="str">
        <f aca="false">IF($A1147="","",IF(D1147="Monthly",MAX(0,Settings!$B$11-E1147),0))</f>
        <v/>
      </c>
      <c r="I1147" s="26" t="str">
        <f aca="false">IF($A1147="","",N(INDEX(Workers!$L$5:$L$2004,MATCH($A1147,Workers!$A$5:$A$2004,0))))</f>
        <v/>
      </c>
      <c r="J1147" s="26" t="str">
        <f aca="false">IF($A1147="","",N(INDEX(Workers!$M$5:$M$2004,MATCH($A1147,Workers!$A$5:$A$2004,0))))</f>
        <v/>
      </c>
      <c r="K1147" s="26" t="str">
        <f aca="false">IF($A1147="","",IF(D1147="Monthly",ROUND(MAX(0,(I1147+J1147)-(I1147+J1147)/Settings!$B$10*H1147),2),0))</f>
        <v/>
      </c>
      <c r="L1147" s="26" t="str">
        <f aca="false">IF($A1147="","",IF(D1147="Hourly",ROUND(F1147*N(INDEX(Workers!$N$5:$N$2004,MATCH($A1147,Workers!$A$5:$A$2004,0))),2),0))</f>
        <v/>
      </c>
      <c r="M1147" s="26" t="str">
        <f aca="false">IF($A1147="","",ROUND(G1147*IF(D1147="Hourly",N(INDEX(Workers!$N$5:$N$2004,MATCH($A1147,Workers!$A$5:$A$2004,0))),I1147/Settings!$B$10/Settings!$B$12)*Settings!$B$13,2))</f>
        <v/>
      </c>
      <c r="N1147" s="26" t="str">
        <f aca="false">IF($A1147="","",K1147+L1147+M1147)</f>
        <v/>
      </c>
      <c r="O1147" s="26" t="str">
        <f aca="false">IF($A1147="","",SUMIFS(Deductions!$D$5:$D$2000,Deductions!$B$5:$B$2000,$A1147,Deductions!$C$5:$C$2000,"Advance",Deductions!$E$5:$E$2000,"&gt;="&amp;Settings!$B$8,Deductions!$E$5:$E$2000,"&lt;="&amp;Settings!$B$9))</f>
        <v/>
      </c>
      <c r="P1147" s="26" t="str">
        <f aca="false">IF($A1147="","",SUMIFS(Deductions!$D$5:$D$2000,Deductions!$B$5:$B$2000,$A1147,Deductions!$E$5:$E$2000,"&gt;="&amp;Settings!$B$8,Deductions!$E$5:$E$2000,"&lt;="&amp;Settings!$B$9)-O1147)</f>
        <v/>
      </c>
      <c r="Q1147" s="26" t="str">
        <f aca="false">IF($A1147="","",O1147+P1147)</f>
        <v/>
      </c>
      <c r="R1147" s="23" t="str">
        <f aca="false">IF($A1147="","",N1147-Q1147)</f>
        <v/>
      </c>
      <c r="S1147" s="24" t="str">
        <f aca="false">IF($A1147="","",INDEX(Workers!$O$5:$O$2004,MATCH($A1147,Workers!$A$5:$A$2004,0))&amp;"")</f>
        <v/>
      </c>
      <c r="T1147" s="24" t="str">
        <f aca="false">IF($A1147="","",INDEX(Workers!$P$5:$P$2004,MATCH($A1147,Workers!$A$5:$A$2004,0))&amp;"")</f>
        <v/>
      </c>
      <c r="U1147" s="24" t="str">
        <f aca="false">IF($A1147="","",INDEX(Workers!$H$5:$H$2004,MATCH($A1147,Workers!$A$5:$A$2004,0))&amp;"")</f>
        <v/>
      </c>
    </row>
    <row r="1148" customFormat="false" ht="15" hidden="false" customHeight="false" outlineLevel="0" collapsed="false">
      <c r="A1148" s="24" t="str">
        <f aca="false">IFERROR(INDEX(Workers!$A$5:$A$2004,MATCH(ROW()-4,Workers!$U$5:$U$2004,0)),"")</f>
        <v/>
      </c>
      <c r="B1148" s="24" t="str">
        <f aca="false">IF($A1148="","",INDEX(Workers!$B$5:$B$2004,MATCH($A1148,Workers!$A$5:$A$2004,0)))</f>
        <v/>
      </c>
      <c r="C1148" s="24" t="str">
        <f aca="false">IF($A1148="","",INDEX(Workers!$E$5:$E$2004,MATCH($A1148,Workers!$A$5:$A$2004,0)))</f>
        <v/>
      </c>
      <c r="D1148" s="24" t="str">
        <f aca="false">IF($A1148="","",INDEX(Workers!$K$5:$K$2004,MATCH($A1148,Workers!$A$5:$A$2004,0)))</f>
        <v/>
      </c>
      <c r="E1148" s="25" t="str">
        <f aca="false">IF($A1148="","",SUMIFS(Timesheet!$E$5:$E$3004,Timesheet!$D$5:$D$3004,$A1148,Timesheet!$A$5:$A$3004,"&gt;="&amp;Settings!$B$8,Timesheet!$A$5:$A$3004,"&lt;="&amp;Settings!$B$9))</f>
        <v/>
      </c>
      <c r="F1148" s="25" t="str">
        <f aca="false">IF($A1148="","",SUMIFS(Timesheet!$F$5:$F$3004,Timesheet!$D$5:$D$3004,$A1148,Timesheet!$A$5:$A$3004,"&gt;="&amp;Settings!$B$8,Timesheet!$A$5:$A$3004,"&lt;="&amp;Settings!$B$9))</f>
        <v/>
      </c>
      <c r="G1148" s="25" t="str">
        <f aca="false">IF($A1148="","",SUMIFS(Timesheet!$G$5:$G$3004,Timesheet!$D$5:$D$3004,$A1148,Timesheet!$A$5:$A$3004,"&gt;="&amp;Settings!$B$8,Timesheet!$A$5:$A$3004,"&lt;="&amp;Settings!$B$9))</f>
        <v/>
      </c>
      <c r="H1148" s="25" t="str">
        <f aca="false">IF($A1148="","",IF(D1148="Monthly",MAX(0,Settings!$B$11-E1148),0))</f>
        <v/>
      </c>
      <c r="I1148" s="26" t="str">
        <f aca="false">IF($A1148="","",N(INDEX(Workers!$L$5:$L$2004,MATCH($A1148,Workers!$A$5:$A$2004,0))))</f>
        <v/>
      </c>
      <c r="J1148" s="26" t="str">
        <f aca="false">IF($A1148="","",N(INDEX(Workers!$M$5:$M$2004,MATCH($A1148,Workers!$A$5:$A$2004,0))))</f>
        <v/>
      </c>
      <c r="K1148" s="26" t="str">
        <f aca="false">IF($A1148="","",IF(D1148="Monthly",ROUND(MAX(0,(I1148+J1148)-(I1148+J1148)/Settings!$B$10*H1148),2),0))</f>
        <v/>
      </c>
      <c r="L1148" s="26" t="str">
        <f aca="false">IF($A1148="","",IF(D1148="Hourly",ROUND(F1148*N(INDEX(Workers!$N$5:$N$2004,MATCH($A1148,Workers!$A$5:$A$2004,0))),2),0))</f>
        <v/>
      </c>
      <c r="M1148" s="26" t="str">
        <f aca="false">IF($A1148="","",ROUND(G1148*IF(D1148="Hourly",N(INDEX(Workers!$N$5:$N$2004,MATCH($A1148,Workers!$A$5:$A$2004,0))),I1148/Settings!$B$10/Settings!$B$12)*Settings!$B$13,2))</f>
        <v/>
      </c>
      <c r="N1148" s="26" t="str">
        <f aca="false">IF($A1148="","",K1148+L1148+M1148)</f>
        <v/>
      </c>
      <c r="O1148" s="26" t="str">
        <f aca="false">IF($A1148="","",SUMIFS(Deductions!$D$5:$D$2000,Deductions!$B$5:$B$2000,$A1148,Deductions!$C$5:$C$2000,"Advance",Deductions!$E$5:$E$2000,"&gt;="&amp;Settings!$B$8,Deductions!$E$5:$E$2000,"&lt;="&amp;Settings!$B$9))</f>
        <v/>
      </c>
      <c r="P1148" s="26" t="str">
        <f aca="false">IF($A1148="","",SUMIFS(Deductions!$D$5:$D$2000,Deductions!$B$5:$B$2000,$A1148,Deductions!$E$5:$E$2000,"&gt;="&amp;Settings!$B$8,Deductions!$E$5:$E$2000,"&lt;="&amp;Settings!$B$9)-O1148)</f>
        <v/>
      </c>
      <c r="Q1148" s="26" t="str">
        <f aca="false">IF($A1148="","",O1148+P1148)</f>
        <v/>
      </c>
      <c r="R1148" s="23" t="str">
        <f aca="false">IF($A1148="","",N1148-Q1148)</f>
        <v/>
      </c>
      <c r="S1148" s="24" t="str">
        <f aca="false">IF($A1148="","",INDEX(Workers!$O$5:$O$2004,MATCH($A1148,Workers!$A$5:$A$2004,0))&amp;"")</f>
        <v/>
      </c>
      <c r="T1148" s="24" t="str">
        <f aca="false">IF($A1148="","",INDEX(Workers!$P$5:$P$2004,MATCH($A1148,Workers!$A$5:$A$2004,0))&amp;"")</f>
        <v/>
      </c>
      <c r="U1148" s="24" t="str">
        <f aca="false">IF($A1148="","",INDEX(Workers!$H$5:$H$2004,MATCH($A1148,Workers!$A$5:$A$2004,0))&amp;"")</f>
        <v/>
      </c>
    </row>
    <row r="1149" customFormat="false" ht="15" hidden="false" customHeight="false" outlineLevel="0" collapsed="false">
      <c r="A1149" s="24" t="str">
        <f aca="false">IFERROR(INDEX(Workers!$A$5:$A$2004,MATCH(ROW()-4,Workers!$U$5:$U$2004,0)),"")</f>
        <v/>
      </c>
      <c r="B1149" s="24" t="str">
        <f aca="false">IF($A1149="","",INDEX(Workers!$B$5:$B$2004,MATCH($A1149,Workers!$A$5:$A$2004,0)))</f>
        <v/>
      </c>
      <c r="C1149" s="24" t="str">
        <f aca="false">IF($A1149="","",INDEX(Workers!$E$5:$E$2004,MATCH($A1149,Workers!$A$5:$A$2004,0)))</f>
        <v/>
      </c>
      <c r="D1149" s="24" t="str">
        <f aca="false">IF($A1149="","",INDEX(Workers!$K$5:$K$2004,MATCH($A1149,Workers!$A$5:$A$2004,0)))</f>
        <v/>
      </c>
      <c r="E1149" s="25" t="str">
        <f aca="false">IF($A1149="","",SUMIFS(Timesheet!$E$5:$E$3004,Timesheet!$D$5:$D$3004,$A1149,Timesheet!$A$5:$A$3004,"&gt;="&amp;Settings!$B$8,Timesheet!$A$5:$A$3004,"&lt;="&amp;Settings!$B$9))</f>
        <v/>
      </c>
      <c r="F1149" s="25" t="str">
        <f aca="false">IF($A1149="","",SUMIFS(Timesheet!$F$5:$F$3004,Timesheet!$D$5:$D$3004,$A1149,Timesheet!$A$5:$A$3004,"&gt;="&amp;Settings!$B$8,Timesheet!$A$5:$A$3004,"&lt;="&amp;Settings!$B$9))</f>
        <v/>
      </c>
      <c r="G1149" s="25" t="str">
        <f aca="false">IF($A1149="","",SUMIFS(Timesheet!$G$5:$G$3004,Timesheet!$D$5:$D$3004,$A1149,Timesheet!$A$5:$A$3004,"&gt;="&amp;Settings!$B$8,Timesheet!$A$5:$A$3004,"&lt;="&amp;Settings!$B$9))</f>
        <v/>
      </c>
      <c r="H1149" s="25" t="str">
        <f aca="false">IF($A1149="","",IF(D1149="Monthly",MAX(0,Settings!$B$11-E1149),0))</f>
        <v/>
      </c>
      <c r="I1149" s="26" t="str">
        <f aca="false">IF($A1149="","",N(INDEX(Workers!$L$5:$L$2004,MATCH($A1149,Workers!$A$5:$A$2004,0))))</f>
        <v/>
      </c>
      <c r="J1149" s="26" t="str">
        <f aca="false">IF($A1149="","",N(INDEX(Workers!$M$5:$M$2004,MATCH($A1149,Workers!$A$5:$A$2004,0))))</f>
        <v/>
      </c>
      <c r="K1149" s="26" t="str">
        <f aca="false">IF($A1149="","",IF(D1149="Monthly",ROUND(MAX(0,(I1149+J1149)-(I1149+J1149)/Settings!$B$10*H1149),2),0))</f>
        <v/>
      </c>
      <c r="L1149" s="26" t="str">
        <f aca="false">IF($A1149="","",IF(D1149="Hourly",ROUND(F1149*N(INDEX(Workers!$N$5:$N$2004,MATCH($A1149,Workers!$A$5:$A$2004,0))),2),0))</f>
        <v/>
      </c>
      <c r="M1149" s="26" t="str">
        <f aca="false">IF($A1149="","",ROUND(G1149*IF(D1149="Hourly",N(INDEX(Workers!$N$5:$N$2004,MATCH($A1149,Workers!$A$5:$A$2004,0))),I1149/Settings!$B$10/Settings!$B$12)*Settings!$B$13,2))</f>
        <v/>
      </c>
      <c r="N1149" s="26" t="str">
        <f aca="false">IF($A1149="","",K1149+L1149+M1149)</f>
        <v/>
      </c>
      <c r="O1149" s="26" t="str">
        <f aca="false">IF($A1149="","",SUMIFS(Deductions!$D$5:$D$2000,Deductions!$B$5:$B$2000,$A1149,Deductions!$C$5:$C$2000,"Advance",Deductions!$E$5:$E$2000,"&gt;="&amp;Settings!$B$8,Deductions!$E$5:$E$2000,"&lt;="&amp;Settings!$B$9))</f>
        <v/>
      </c>
      <c r="P1149" s="26" t="str">
        <f aca="false">IF($A1149="","",SUMIFS(Deductions!$D$5:$D$2000,Deductions!$B$5:$B$2000,$A1149,Deductions!$E$5:$E$2000,"&gt;="&amp;Settings!$B$8,Deductions!$E$5:$E$2000,"&lt;="&amp;Settings!$B$9)-O1149)</f>
        <v/>
      </c>
      <c r="Q1149" s="26" t="str">
        <f aca="false">IF($A1149="","",O1149+P1149)</f>
        <v/>
      </c>
      <c r="R1149" s="23" t="str">
        <f aca="false">IF($A1149="","",N1149-Q1149)</f>
        <v/>
      </c>
      <c r="S1149" s="24" t="str">
        <f aca="false">IF($A1149="","",INDEX(Workers!$O$5:$O$2004,MATCH($A1149,Workers!$A$5:$A$2004,0))&amp;"")</f>
        <v/>
      </c>
      <c r="T1149" s="24" t="str">
        <f aca="false">IF($A1149="","",INDEX(Workers!$P$5:$P$2004,MATCH($A1149,Workers!$A$5:$A$2004,0))&amp;"")</f>
        <v/>
      </c>
      <c r="U1149" s="24" t="str">
        <f aca="false">IF($A1149="","",INDEX(Workers!$H$5:$H$2004,MATCH($A1149,Workers!$A$5:$A$2004,0))&amp;"")</f>
        <v/>
      </c>
    </row>
    <row r="1150" customFormat="false" ht="15" hidden="false" customHeight="false" outlineLevel="0" collapsed="false">
      <c r="A1150" s="24" t="str">
        <f aca="false">IFERROR(INDEX(Workers!$A$5:$A$2004,MATCH(ROW()-4,Workers!$U$5:$U$2004,0)),"")</f>
        <v/>
      </c>
      <c r="B1150" s="24" t="str">
        <f aca="false">IF($A1150="","",INDEX(Workers!$B$5:$B$2004,MATCH($A1150,Workers!$A$5:$A$2004,0)))</f>
        <v/>
      </c>
      <c r="C1150" s="24" t="str">
        <f aca="false">IF($A1150="","",INDEX(Workers!$E$5:$E$2004,MATCH($A1150,Workers!$A$5:$A$2004,0)))</f>
        <v/>
      </c>
      <c r="D1150" s="24" t="str">
        <f aca="false">IF($A1150="","",INDEX(Workers!$K$5:$K$2004,MATCH($A1150,Workers!$A$5:$A$2004,0)))</f>
        <v/>
      </c>
      <c r="E1150" s="25" t="str">
        <f aca="false">IF($A1150="","",SUMIFS(Timesheet!$E$5:$E$3004,Timesheet!$D$5:$D$3004,$A1150,Timesheet!$A$5:$A$3004,"&gt;="&amp;Settings!$B$8,Timesheet!$A$5:$A$3004,"&lt;="&amp;Settings!$B$9))</f>
        <v/>
      </c>
      <c r="F1150" s="25" t="str">
        <f aca="false">IF($A1150="","",SUMIFS(Timesheet!$F$5:$F$3004,Timesheet!$D$5:$D$3004,$A1150,Timesheet!$A$5:$A$3004,"&gt;="&amp;Settings!$B$8,Timesheet!$A$5:$A$3004,"&lt;="&amp;Settings!$B$9))</f>
        <v/>
      </c>
      <c r="G1150" s="25" t="str">
        <f aca="false">IF($A1150="","",SUMIFS(Timesheet!$G$5:$G$3004,Timesheet!$D$5:$D$3004,$A1150,Timesheet!$A$5:$A$3004,"&gt;="&amp;Settings!$B$8,Timesheet!$A$5:$A$3004,"&lt;="&amp;Settings!$B$9))</f>
        <v/>
      </c>
      <c r="H1150" s="25" t="str">
        <f aca="false">IF($A1150="","",IF(D1150="Monthly",MAX(0,Settings!$B$11-E1150),0))</f>
        <v/>
      </c>
      <c r="I1150" s="26" t="str">
        <f aca="false">IF($A1150="","",N(INDEX(Workers!$L$5:$L$2004,MATCH($A1150,Workers!$A$5:$A$2004,0))))</f>
        <v/>
      </c>
      <c r="J1150" s="26" t="str">
        <f aca="false">IF($A1150="","",N(INDEX(Workers!$M$5:$M$2004,MATCH($A1150,Workers!$A$5:$A$2004,0))))</f>
        <v/>
      </c>
      <c r="K1150" s="26" t="str">
        <f aca="false">IF($A1150="","",IF(D1150="Monthly",ROUND(MAX(0,(I1150+J1150)-(I1150+J1150)/Settings!$B$10*H1150),2),0))</f>
        <v/>
      </c>
      <c r="L1150" s="26" t="str">
        <f aca="false">IF($A1150="","",IF(D1150="Hourly",ROUND(F1150*N(INDEX(Workers!$N$5:$N$2004,MATCH($A1150,Workers!$A$5:$A$2004,0))),2),0))</f>
        <v/>
      </c>
      <c r="M1150" s="26" t="str">
        <f aca="false">IF($A1150="","",ROUND(G1150*IF(D1150="Hourly",N(INDEX(Workers!$N$5:$N$2004,MATCH($A1150,Workers!$A$5:$A$2004,0))),I1150/Settings!$B$10/Settings!$B$12)*Settings!$B$13,2))</f>
        <v/>
      </c>
      <c r="N1150" s="26" t="str">
        <f aca="false">IF($A1150="","",K1150+L1150+M1150)</f>
        <v/>
      </c>
      <c r="O1150" s="26" t="str">
        <f aca="false">IF($A1150="","",SUMIFS(Deductions!$D$5:$D$2000,Deductions!$B$5:$B$2000,$A1150,Deductions!$C$5:$C$2000,"Advance",Deductions!$E$5:$E$2000,"&gt;="&amp;Settings!$B$8,Deductions!$E$5:$E$2000,"&lt;="&amp;Settings!$B$9))</f>
        <v/>
      </c>
      <c r="P1150" s="26" t="str">
        <f aca="false">IF($A1150="","",SUMIFS(Deductions!$D$5:$D$2000,Deductions!$B$5:$B$2000,$A1150,Deductions!$E$5:$E$2000,"&gt;="&amp;Settings!$B$8,Deductions!$E$5:$E$2000,"&lt;="&amp;Settings!$B$9)-O1150)</f>
        <v/>
      </c>
      <c r="Q1150" s="26" t="str">
        <f aca="false">IF($A1150="","",O1150+P1150)</f>
        <v/>
      </c>
      <c r="R1150" s="23" t="str">
        <f aca="false">IF($A1150="","",N1150-Q1150)</f>
        <v/>
      </c>
      <c r="S1150" s="24" t="str">
        <f aca="false">IF($A1150="","",INDEX(Workers!$O$5:$O$2004,MATCH($A1150,Workers!$A$5:$A$2004,0))&amp;"")</f>
        <v/>
      </c>
      <c r="T1150" s="24" t="str">
        <f aca="false">IF($A1150="","",INDEX(Workers!$P$5:$P$2004,MATCH($A1150,Workers!$A$5:$A$2004,0))&amp;"")</f>
        <v/>
      </c>
      <c r="U1150" s="24" t="str">
        <f aca="false">IF($A1150="","",INDEX(Workers!$H$5:$H$2004,MATCH($A1150,Workers!$A$5:$A$2004,0))&amp;"")</f>
        <v/>
      </c>
    </row>
    <row r="1151" customFormat="false" ht="15" hidden="false" customHeight="false" outlineLevel="0" collapsed="false">
      <c r="A1151" s="24" t="str">
        <f aca="false">IFERROR(INDEX(Workers!$A$5:$A$2004,MATCH(ROW()-4,Workers!$U$5:$U$2004,0)),"")</f>
        <v/>
      </c>
      <c r="B1151" s="24" t="str">
        <f aca="false">IF($A1151="","",INDEX(Workers!$B$5:$B$2004,MATCH($A1151,Workers!$A$5:$A$2004,0)))</f>
        <v/>
      </c>
      <c r="C1151" s="24" t="str">
        <f aca="false">IF($A1151="","",INDEX(Workers!$E$5:$E$2004,MATCH($A1151,Workers!$A$5:$A$2004,0)))</f>
        <v/>
      </c>
      <c r="D1151" s="24" t="str">
        <f aca="false">IF($A1151="","",INDEX(Workers!$K$5:$K$2004,MATCH($A1151,Workers!$A$5:$A$2004,0)))</f>
        <v/>
      </c>
      <c r="E1151" s="25" t="str">
        <f aca="false">IF($A1151="","",SUMIFS(Timesheet!$E$5:$E$3004,Timesheet!$D$5:$D$3004,$A1151,Timesheet!$A$5:$A$3004,"&gt;="&amp;Settings!$B$8,Timesheet!$A$5:$A$3004,"&lt;="&amp;Settings!$B$9))</f>
        <v/>
      </c>
      <c r="F1151" s="25" t="str">
        <f aca="false">IF($A1151="","",SUMIFS(Timesheet!$F$5:$F$3004,Timesheet!$D$5:$D$3004,$A1151,Timesheet!$A$5:$A$3004,"&gt;="&amp;Settings!$B$8,Timesheet!$A$5:$A$3004,"&lt;="&amp;Settings!$B$9))</f>
        <v/>
      </c>
      <c r="G1151" s="25" t="str">
        <f aca="false">IF($A1151="","",SUMIFS(Timesheet!$G$5:$G$3004,Timesheet!$D$5:$D$3004,$A1151,Timesheet!$A$5:$A$3004,"&gt;="&amp;Settings!$B$8,Timesheet!$A$5:$A$3004,"&lt;="&amp;Settings!$B$9))</f>
        <v/>
      </c>
      <c r="H1151" s="25" t="str">
        <f aca="false">IF($A1151="","",IF(D1151="Monthly",MAX(0,Settings!$B$11-E1151),0))</f>
        <v/>
      </c>
      <c r="I1151" s="26" t="str">
        <f aca="false">IF($A1151="","",N(INDEX(Workers!$L$5:$L$2004,MATCH($A1151,Workers!$A$5:$A$2004,0))))</f>
        <v/>
      </c>
      <c r="J1151" s="26" t="str">
        <f aca="false">IF($A1151="","",N(INDEX(Workers!$M$5:$M$2004,MATCH($A1151,Workers!$A$5:$A$2004,0))))</f>
        <v/>
      </c>
      <c r="K1151" s="26" t="str">
        <f aca="false">IF($A1151="","",IF(D1151="Monthly",ROUND(MAX(0,(I1151+J1151)-(I1151+J1151)/Settings!$B$10*H1151),2),0))</f>
        <v/>
      </c>
      <c r="L1151" s="26" t="str">
        <f aca="false">IF($A1151="","",IF(D1151="Hourly",ROUND(F1151*N(INDEX(Workers!$N$5:$N$2004,MATCH($A1151,Workers!$A$5:$A$2004,0))),2),0))</f>
        <v/>
      </c>
      <c r="M1151" s="26" t="str">
        <f aca="false">IF($A1151="","",ROUND(G1151*IF(D1151="Hourly",N(INDEX(Workers!$N$5:$N$2004,MATCH($A1151,Workers!$A$5:$A$2004,0))),I1151/Settings!$B$10/Settings!$B$12)*Settings!$B$13,2))</f>
        <v/>
      </c>
      <c r="N1151" s="26" t="str">
        <f aca="false">IF($A1151="","",K1151+L1151+M1151)</f>
        <v/>
      </c>
      <c r="O1151" s="26" t="str">
        <f aca="false">IF($A1151="","",SUMIFS(Deductions!$D$5:$D$2000,Deductions!$B$5:$B$2000,$A1151,Deductions!$C$5:$C$2000,"Advance",Deductions!$E$5:$E$2000,"&gt;="&amp;Settings!$B$8,Deductions!$E$5:$E$2000,"&lt;="&amp;Settings!$B$9))</f>
        <v/>
      </c>
      <c r="P1151" s="26" t="str">
        <f aca="false">IF($A1151="","",SUMIFS(Deductions!$D$5:$D$2000,Deductions!$B$5:$B$2000,$A1151,Deductions!$E$5:$E$2000,"&gt;="&amp;Settings!$B$8,Deductions!$E$5:$E$2000,"&lt;="&amp;Settings!$B$9)-O1151)</f>
        <v/>
      </c>
      <c r="Q1151" s="26" t="str">
        <f aca="false">IF($A1151="","",O1151+P1151)</f>
        <v/>
      </c>
      <c r="R1151" s="23" t="str">
        <f aca="false">IF($A1151="","",N1151-Q1151)</f>
        <v/>
      </c>
      <c r="S1151" s="24" t="str">
        <f aca="false">IF($A1151="","",INDEX(Workers!$O$5:$O$2004,MATCH($A1151,Workers!$A$5:$A$2004,0))&amp;"")</f>
        <v/>
      </c>
      <c r="T1151" s="24" t="str">
        <f aca="false">IF($A1151="","",INDEX(Workers!$P$5:$P$2004,MATCH($A1151,Workers!$A$5:$A$2004,0))&amp;"")</f>
        <v/>
      </c>
      <c r="U1151" s="24" t="str">
        <f aca="false">IF($A1151="","",INDEX(Workers!$H$5:$H$2004,MATCH($A1151,Workers!$A$5:$A$2004,0))&amp;"")</f>
        <v/>
      </c>
    </row>
    <row r="1152" customFormat="false" ht="15" hidden="false" customHeight="false" outlineLevel="0" collapsed="false">
      <c r="A1152" s="24" t="str">
        <f aca="false">IFERROR(INDEX(Workers!$A$5:$A$2004,MATCH(ROW()-4,Workers!$U$5:$U$2004,0)),"")</f>
        <v/>
      </c>
      <c r="B1152" s="24" t="str">
        <f aca="false">IF($A1152="","",INDEX(Workers!$B$5:$B$2004,MATCH($A1152,Workers!$A$5:$A$2004,0)))</f>
        <v/>
      </c>
      <c r="C1152" s="24" t="str">
        <f aca="false">IF($A1152="","",INDEX(Workers!$E$5:$E$2004,MATCH($A1152,Workers!$A$5:$A$2004,0)))</f>
        <v/>
      </c>
      <c r="D1152" s="24" t="str">
        <f aca="false">IF($A1152="","",INDEX(Workers!$K$5:$K$2004,MATCH($A1152,Workers!$A$5:$A$2004,0)))</f>
        <v/>
      </c>
      <c r="E1152" s="25" t="str">
        <f aca="false">IF($A1152="","",SUMIFS(Timesheet!$E$5:$E$3004,Timesheet!$D$5:$D$3004,$A1152,Timesheet!$A$5:$A$3004,"&gt;="&amp;Settings!$B$8,Timesheet!$A$5:$A$3004,"&lt;="&amp;Settings!$B$9))</f>
        <v/>
      </c>
      <c r="F1152" s="25" t="str">
        <f aca="false">IF($A1152="","",SUMIFS(Timesheet!$F$5:$F$3004,Timesheet!$D$5:$D$3004,$A1152,Timesheet!$A$5:$A$3004,"&gt;="&amp;Settings!$B$8,Timesheet!$A$5:$A$3004,"&lt;="&amp;Settings!$B$9))</f>
        <v/>
      </c>
      <c r="G1152" s="25" t="str">
        <f aca="false">IF($A1152="","",SUMIFS(Timesheet!$G$5:$G$3004,Timesheet!$D$5:$D$3004,$A1152,Timesheet!$A$5:$A$3004,"&gt;="&amp;Settings!$B$8,Timesheet!$A$5:$A$3004,"&lt;="&amp;Settings!$B$9))</f>
        <v/>
      </c>
      <c r="H1152" s="25" t="str">
        <f aca="false">IF($A1152="","",IF(D1152="Monthly",MAX(0,Settings!$B$11-E1152),0))</f>
        <v/>
      </c>
      <c r="I1152" s="26" t="str">
        <f aca="false">IF($A1152="","",N(INDEX(Workers!$L$5:$L$2004,MATCH($A1152,Workers!$A$5:$A$2004,0))))</f>
        <v/>
      </c>
      <c r="J1152" s="26" t="str">
        <f aca="false">IF($A1152="","",N(INDEX(Workers!$M$5:$M$2004,MATCH($A1152,Workers!$A$5:$A$2004,0))))</f>
        <v/>
      </c>
      <c r="K1152" s="26" t="str">
        <f aca="false">IF($A1152="","",IF(D1152="Monthly",ROUND(MAX(0,(I1152+J1152)-(I1152+J1152)/Settings!$B$10*H1152),2),0))</f>
        <v/>
      </c>
      <c r="L1152" s="26" t="str">
        <f aca="false">IF($A1152="","",IF(D1152="Hourly",ROUND(F1152*N(INDEX(Workers!$N$5:$N$2004,MATCH($A1152,Workers!$A$5:$A$2004,0))),2),0))</f>
        <v/>
      </c>
      <c r="M1152" s="26" t="str">
        <f aca="false">IF($A1152="","",ROUND(G1152*IF(D1152="Hourly",N(INDEX(Workers!$N$5:$N$2004,MATCH($A1152,Workers!$A$5:$A$2004,0))),I1152/Settings!$B$10/Settings!$B$12)*Settings!$B$13,2))</f>
        <v/>
      </c>
      <c r="N1152" s="26" t="str">
        <f aca="false">IF($A1152="","",K1152+L1152+M1152)</f>
        <v/>
      </c>
      <c r="O1152" s="26" t="str">
        <f aca="false">IF($A1152="","",SUMIFS(Deductions!$D$5:$D$2000,Deductions!$B$5:$B$2000,$A1152,Deductions!$C$5:$C$2000,"Advance",Deductions!$E$5:$E$2000,"&gt;="&amp;Settings!$B$8,Deductions!$E$5:$E$2000,"&lt;="&amp;Settings!$B$9))</f>
        <v/>
      </c>
      <c r="P1152" s="26" t="str">
        <f aca="false">IF($A1152="","",SUMIFS(Deductions!$D$5:$D$2000,Deductions!$B$5:$B$2000,$A1152,Deductions!$E$5:$E$2000,"&gt;="&amp;Settings!$B$8,Deductions!$E$5:$E$2000,"&lt;="&amp;Settings!$B$9)-O1152)</f>
        <v/>
      </c>
      <c r="Q1152" s="26" t="str">
        <f aca="false">IF($A1152="","",O1152+P1152)</f>
        <v/>
      </c>
      <c r="R1152" s="23" t="str">
        <f aca="false">IF($A1152="","",N1152-Q1152)</f>
        <v/>
      </c>
      <c r="S1152" s="24" t="str">
        <f aca="false">IF($A1152="","",INDEX(Workers!$O$5:$O$2004,MATCH($A1152,Workers!$A$5:$A$2004,0))&amp;"")</f>
        <v/>
      </c>
      <c r="T1152" s="24" t="str">
        <f aca="false">IF($A1152="","",INDEX(Workers!$P$5:$P$2004,MATCH($A1152,Workers!$A$5:$A$2004,0))&amp;"")</f>
        <v/>
      </c>
      <c r="U1152" s="24" t="str">
        <f aca="false">IF($A1152="","",INDEX(Workers!$H$5:$H$2004,MATCH($A1152,Workers!$A$5:$A$2004,0))&amp;"")</f>
        <v/>
      </c>
    </row>
    <row r="1153" customFormat="false" ht="15" hidden="false" customHeight="false" outlineLevel="0" collapsed="false">
      <c r="A1153" s="24" t="str">
        <f aca="false">IFERROR(INDEX(Workers!$A$5:$A$2004,MATCH(ROW()-4,Workers!$U$5:$U$2004,0)),"")</f>
        <v/>
      </c>
      <c r="B1153" s="24" t="str">
        <f aca="false">IF($A1153="","",INDEX(Workers!$B$5:$B$2004,MATCH($A1153,Workers!$A$5:$A$2004,0)))</f>
        <v/>
      </c>
      <c r="C1153" s="24" t="str">
        <f aca="false">IF($A1153="","",INDEX(Workers!$E$5:$E$2004,MATCH($A1153,Workers!$A$5:$A$2004,0)))</f>
        <v/>
      </c>
      <c r="D1153" s="24" t="str">
        <f aca="false">IF($A1153="","",INDEX(Workers!$K$5:$K$2004,MATCH($A1153,Workers!$A$5:$A$2004,0)))</f>
        <v/>
      </c>
      <c r="E1153" s="25" t="str">
        <f aca="false">IF($A1153="","",SUMIFS(Timesheet!$E$5:$E$3004,Timesheet!$D$5:$D$3004,$A1153,Timesheet!$A$5:$A$3004,"&gt;="&amp;Settings!$B$8,Timesheet!$A$5:$A$3004,"&lt;="&amp;Settings!$B$9))</f>
        <v/>
      </c>
      <c r="F1153" s="25" t="str">
        <f aca="false">IF($A1153="","",SUMIFS(Timesheet!$F$5:$F$3004,Timesheet!$D$5:$D$3004,$A1153,Timesheet!$A$5:$A$3004,"&gt;="&amp;Settings!$B$8,Timesheet!$A$5:$A$3004,"&lt;="&amp;Settings!$B$9))</f>
        <v/>
      </c>
      <c r="G1153" s="25" t="str">
        <f aca="false">IF($A1153="","",SUMIFS(Timesheet!$G$5:$G$3004,Timesheet!$D$5:$D$3004,$A1153,Timesheet!$A$5:$A$3004,"&gt;="&amp;Settings!$B$8,Timesheet!$A$5:$A$3004,"&lt;="&amp;Settings!$B$9))</f>
        <v/>
      </c>
      <c r="H1153" s="25" t="str">
        <f aca="false">IF($A1153="","",IF(D1153="Monthly",MAX(0,Settings!$B$11-E1153),0))</f>
        <v/>
      </c>
      <c r="I1153" s="26" t="str">
        <f aca="false">IF($A1153="","",N(INDEX(Workers!$L$5:$L$2004,MATCH($A1153,Workers!$A$5:$A$2004,0))))</f>
        <v/>
      </c>
      <c r="J1153" s="26" t="str">
        <f aca="false">IF($A1153="","",N(INDEX(Workers!$M$5:$M$2004,MATCH($A1153,Workers!$A$5:$A$2004,0))))</f>
        <v/>
      </c>
      <c r="K1153" s="26" t="str">
        <f aca="false">IF($A1153="","",IF(D1153="Monthly",ROUND(MAX(0,(I1153+J1153)-(I1153+J1153)/Settings!$B$10*H1153),2),0))</f>
        <v/>
      </c>
      <c r="L1153" s="26" t="str">
        <f aca="false">IF($A1153="","",IF(D1153="Hourly",ROUND(F1153*N(INDEX(Workers!$N$5:$N$2004,MATCH($A1153,Workers!$A$5:$A$2004,0))),2),0))</f>
        <v/>
      </c>
      <c r="M1153" s="26" t="str">
        <f aca="false">IF($A1153="","",ROUND(G1153*IF(D1153="Hourly",N(INDEX(Workers!$N$5:$N$2004,MATCH($A1153,Workers!$A$5:$A$2004,0))),I1153/Settings!$B$10/Settings!$B$12)*Settings!$B$13,2))</f>
        <v/>
      </c>
      <c r="N1153" s="26" t="str">
        <f aca="false">IF($A1153="","",K1153+L1153+M1153)</f>
        <v/>
      </c>
      <c r="O1153" s="26" t="str">
        <f aca="false">IF($A1153="","",SUMIFS(Deductions!$D$5:$D$2000,Deductions!$B$5:$B$2000,$A1153,Deductions!$C$5:$C$2000,"Advance",Deductions!$E$5:$E$2000,"&gt;="&amp;Settings!$B$8,Deductions!$E$5:$E$2000,"&lt;="&amp;Settings!$B$9))</f>
        <v/>
      </c>
      <c r="P1153" s="26" t="str">
        <f aca="false">IF($A1153="","",SUMIFS(Deductions!$D$5:$D$2000,Deductions!$B$5:$B$2000,$A1153,Deductions!$E$5:$E$2000,"&gt;="&amp;Settings!$B$8,Deductions!$E$5:$E$2000,"&lt;="&amp;Settings!$B$9)-O1153)</f>
        <v/>
      </c>
      <c r="Q1153" s="26" t="str">
        <f aca="false">IF($A1153="","",O1153+P1153)</f>
        <v/>
      </c>
      <c r="R1153" s="23" t="str">
        <f aca="false">IF($A1153="","",N1153-Q1153)</f>
        <v/>
      </c>
      <c r="S1153" s="24" t="str">
        <f aca="false">IF($A1153="","",INDEX(Workers!$O$5:$O$2004,MATCH($A1153,Workers!$A$5:$A$2004,0))&amp;"")</f>
        <v/>
      </c>
      <c r="T1153" s="24" t="str">
        <f aca="false">IF($A1153="","",INDEX(Workers!$P$5:$P$2004,MATCH($A1153,Workers!$A$5:$A$2004,0))&amp;"")</f>
        <v/>
      </c>
      <c r="U1153" s="24" t="str">
        <f aca="false">IF($A1153="","",INDEX(Workers!$H$5:$H$2004,MATCH($A1153,Workers!$A$5:$A$2004,0))&amp;"")</f>
        <v/>
      </c>
    </row>
    <row r="1154" customFormat="false" ht="15" hidden="false" customHeight="false" outlineLevel="0" collapsed="false">
      <c r="A1154" s="24" t="str">
        <f aca="false">IFERROR(INDEX(Workers!$A$5:$A$2004,MATCH(ROW()-4,Workers!$U$5:$U$2004,0)),"")</f>
        <v/>
      </c>
      <c r="B1154" s="24" t="str">
        <f aca="false">IF($A1154="","",INDEX(Workers!$B$5:$B$2004,MATCH($A1154,Workers!$A$5:$A$2004,0)))</f>
        <v/>
      </c>
      <c r="C1154" s="24" t="str">
        <f aca="false">IF($A1154="","",INDEX(Workers!$E$5:$E$2004,MATCH($A1154,Workers!$A$5:$A$2004,0)))</f>
        <v/>
      </c>
      <c r="D1154" s="24" t="str">
        <f aca="false">IF($A1154="","",INDEX(Workers!$K$5:$K$2004,MATCH($A1154,Workers!$A$5:$A$2004,0)))</f>
        <v/>
      </c>
      <c r="E1154" s="25" t="str">
        <f aca="false">IF($A1154="","",SUMIFS(Timesheet!$E$5:$E$3004,Timesheet!$D$5:$D$3004,$A1154,Timesheet!$A$5:$A$3004,"&gt;="&amp;Settings!$B$8,Timesheet!$A$5:$A$3004,"&lt;="&amp;Settings!$B$9))</f>
        <v/>
      </c>
      <c r="F1154" s="25" t="str">
        <f aca="false">IF($A1154="","",SUMIFS(Timesheet!$F$5:$F$3004,Timesheet!$D$5:$D$3004,$A1154,Timesheet!$A$5:$A$3004,"&gt;="&amp;Settings!$B$8,Timesheet!$A$5:$A$3004,"&lt;="&amp;Settings!$B$9))</f>
        <v/>
      </c>
      <c r="G1154" s="25" t="str">
        <f aca="false">IF($A1154="","",SUMIFS(Timesheet!$G$5:$G$3004,Timesheet!$D$5:$D$3004,$A1154,Timesheet!$A$5:$A$3004,"&gt;="&amp;Settings!$B$8,Timesheet!$A$5:$A$3004,"&lt;="&amp;Settings!$B$9))</f>
        <v/>
      </c>
      <c r="H1154" s="25" t="str">
        <f aca="false">IF($A1154="","",IF(D1154="Monthly",MAX(0,Settings!$B$11-E1154),0))</f>
        <v/>
      </c>
      <c r="I1154" s="26" t="str">
        <f aca="false">IF($A1154="","",N(INDEX(Workers!$L$5:$L$2004,MATCH($A1154,Workers!$A$5:$A$2004,0))))</f>
        <v/>
      </c>
      <c r="J1154" s="26" t="str">
        <f aca="false">IF($A1154="","",N(INDEX(Workers!$M$5:$M$2004,MATCH($A1154,Workers!$A$5:$A$2004,0))))</f>
        <v/>
      </c>
      <c r="K1154" s="26" t="str">
        <f aca="false">IF($A1154="","",IF(D1154="Monthly",ROUND(MAX(0,(I1154+J1154)-(I1154+J1154)/Settings!$B$10*H1154),2),0))</f>
        <v/>
      </c>
      <c r="L1154" s="26" t="str">
        <f aca="false">IF($A1154="","",IF(D1154="Hourly",ROUND(F1154*N(INDEX(Workers!$N$5:$N$2004,MATCH($A1154,Workers!$A$5:$A$2004,0))),2),0))</f>
        <v/>
      </c>
      <c r="M1154" s="26" t="str">
        <f aca="false">IF($A1154="","",ROUND(G1154*IF(D1154="Hourly",N(INDEX(Workers!$N$5:$N$2004,MATCH($A1154,Workers!$A$5:$A$2004,0))),I1154/Settings!$B$10/Settings!$B$12)*Settings!$B$13,2))</f>
        <v/>
      </c>
      <c r="N1154" s="26" t="str">
        <f aca="false">IF($A1154="","",K1154+L1154+M1154)</f>
        <v/>
      </c>
      <c r="O1154" s="26" t="str">
        <f aca="false">IF($A1154="","",SUMIFS(Deductions!$D$5:$D$2000,Deductions!$B$5:$B$2000,$A1154,Deductions!$C$5:$C$2000,"Advance",Deductions!$E$5:$E$2000,"&gt;="&amp;Settings!$B$8,Deductions!$E$5:$E$2000,"&lt;="&amp;Settings!$B$9))</f>
        <v/>
      </c>
      <c r="P1154" s="26" t="str">
        <f aca="false">IF($A1154="","",SUMIFS(Deductions!$D$5:$D$2000,Deductions!$B$5:$B$2000,$A1154,Deductions!$E$5:$E$2000,"&gt;="&amp;Settings!$B$8,Deductions!$E$5:$E$2000,"&lt;="&amp;Settings!$B$9)-O1154)</f>
        <v/>
      </c>
      <c r="Q1154" s="26" t="str">
        <f aca="false">IF($A1154="","",O1154+P1154)</f>
        <v/>
      </c>
      <c r="R1154" s="23" t="str">
        <f aca="false">IF($A1154="","",N1154-Q1154)</f>
        <v/>
      </c>
      <c r="S1154" s="24" t="str">
        <f aca="false">IF($A1154="","",INDEX(Workers!$O$5:$O$2004,MATCH($A1154,Workers!$A$5:$A$2004,0))&amp;"")</f>
        <v/>
      </c>
      <c r="T1154" s="24" t="str">
        <f aca="false">IF($A1154="","",INDEX(Workers!$P$5:$P$2004,MATCH($A1154,Workers!$A$5:$A$2004,0))&amp;"")</f>
        <v/>
      </c>
      <c r="U1154" s="24" t="str">
        <f aca="false">IF($A1154="","",INDEX(Workers!$H$5:$H$2004,MATCH($A1154,Workers!$A$5:$A$2004,0))&amp;"")</f>
        <v/>
      </c>
    </row>
    <row r="1155" customFormat="false" ht="15" hidden="false" customHeight="false" outlineLevel="0" collapsed="false">
      <c r="A1155" s="24" t="str">
        <f aca="false">IFERROR(INDEX(Workers!$A$5:$A$2004,MATCH(ROW()-4,Workers!$U$5:$U$2004,0)),"")</f>
        <v/>
      </c>
      <c r="B1155" s="24" t="str">
        <f aca="false">IF($A1155="","",INDEX(Workers!$B$5:$B$2004,MATCH($A1155,Workers!$A$5:$A$2004,0)))</f>
        <v/>
      </c>
      <c r="C1155" s="24" t="str">
        <f aca="false">IF($A1155="","",INDEX(Workers!$E$5:$E$2004,MATCH($A1155,Workers!$A$5:$A$2004,0)))</f>
        <v/>
      </c>
      <c r="D1155" s="24" t="str">
        <f aca="false">IF($A1155="","",INDEX(Workers!$K$5:$K$2004,MATCH($A1155,Workers!$A$5:$A$2004,0)))</f>
        <v/>
      </c>
      <c r="E1155" s="25" t="str">
        <f aca="false">IF($A1155="","",SUMIFS(Timesheet!$E$5:$E$3004,Timesheet!$D$5:$D$3004,$A1155,Timesheet!$A$5:$A$3004,"&gt;="&amp;Settings!$B$8,Timesheet!$A$5:$A$3004,"&lt;="&amp;Settings!$B$9))</f>
        <v/>
      </c>
      <c r="F1155" s="25" t="str">
        <f aca="false">IF($A1155="","",SUMIFS(Timesheet!$F$5:$F$3004,Timesheet!$D$5:$D$3004,$A1155,Timesheet!$A$5:$A$3004,"&gt;="&amp;Settings!$B$8,Timesheet!$A$5:$A$3004,"&lt;="&amp;Settings!$B$9))</f>
        <v/>
      </c>
      <c r="G1155" s="25" t="str">
        <f aca="false">IF($A1155="","",SUMIFS(Timesheet!$G$5:$G$3004,Timesheet!$D$5:$D$3004,$A1155,Timesheet!$A$5:$A$3004,"&gt;="&amp;Settings!$B$8,Timesheet!$A$5:$A$3004,"&lt;="&amp;Settings!$B$9))</f>
        <v/>
      </c>
      <c r="H1155" s="25" t="str">
        <f aca="false">IF($A1155="","",IF(D1155="Monthly",MAX(0,Settings!$B$11-E1155),0))</f>
        <v/>
      </c>
      <c r="I1155" s="26" t="str">
        <f aca="false">IF($A1155="","",N(INDEX(Workers!$L$5:$L$2004,MATCH($A1155,Workers!$A$5:$A$2004,0))))</f>
        <v/>
      </c>
      <c r="J1155" s="26" t="str">
        <f aca="false">IF($A1155="","",N(INDEX(Workers!$M$5:$M$2004,MATCH($A1155,Workers!$A$5:$A$2004,0))))</f>
        <v/>
      </c>
      <c r="K1155" s="26" t="str">
        <f aca="false">IF($A1155="","",IF(D1155="Monthly",ROUND(MAX(0,(I1155+J1155)-(I1155+J1155)/Settings!$B$10*H1155),2),0))</f>
        <v/>
      </c>
      <c r="L1155" s="26" t="str">
        <f aca="false">IF($A1155="","",IF(D1155="Hourly",ROUND(F1155*N(INDEX(Workers!$N$5:$N$2004,MATCH($A1155,Workers!$A$5:$A$2004,0))),2),0))</f>
        <v/>
      </c>
      <c r="M1155" s="26" t="str">
        <f aca="false">IF($A1155="","",ROUND(G1155*IF(D1155="Hourly",N(INDEX(Workers!$N$5:$N$2004,MATCH($A1155,Workers!$A$5:$A$2004,0))),I1155/Settings!$B$10/Settings!$B$12)*Settings!$B$13,2))</f>
        <v/>
      </c>
      <c r="N1155" s="26" t="str">
        <f aca="false">IF($A1155="","",K1155+L1155+M1155)</f>
        <v/>
      </c>
      <c r="O1155" s="26" t="str">
        <f aca="false">IF($A1155="","",SUMIFS(Deductions!$D$5:$D$2000,Deductions!$B$5:$B$2000,$A1155,Deductions!$C$5:$C$2000,"Advance",Deductions!$E$5:$E$2000,"&gt;="&amp;Settings!$B$8,Deductions!$E$5:$E$2000,"&lt;="&amp;Settings!$B$9))</f>
        <v/>
      </c>
      <c r="P1155" s="26" t="str">
        <f aca="false">IF($A1155="","",SUMIFS(Deductions!$D$5:$D$2000,Deductions!$B$5:$B$2000,$A1155,Deductions!$E$5:$E$2000,"&gt;="&amp;Settings!$B$8,Deductions!$E$5:$E$2000,"&lt;="&amp;Settings!$B$9)-O1155)</f>
        <v/>
      </c>
      <c r="Q1155" s="26" t="str">
        <f aca="false">IF($A1155="","",O1155+P1155)</f>
        <v/>
      </c>
      <c r="R1155" s="23" t="str">
        <f aca="false">IF($A1155="","",N1155-Q1155)</f>
        <v/>
      </c>
      <c r="S1155" s="24" t="str">
        <f aca="false">IF($A1155="","",INDEX(Workers!$O$5:$O$2004,MATCH($A1155,Workers!$A$5:$A$2004,0))&amp;"")</f>
        <v/>
      </c>
      <c r="T1155" s="24" t="str">
        <f aca="false">IF($A1155="","",INDEX(Workers!$P$5:$P$2004,MATCH($A1155,Workers!$A$5:$A$2004,0))&amp;"")</f>
        <v/>
      </c>
      <c r="U1155" s="24" t="str">
        <f aca="false">IF($A1155="","",INDEX(Workers!$H$5:$H$2004,MATCH($A1155,Workers!$A$5:$A$2004,0))&amp;"")</f>
        <v/>
      </c>
    </row>
    <row r="1156" customFormat="false" ht="15" hidden="false" customHeight="false" outlineLevel="0" collapsed="false">
      <c r="A1156" s="24" t="str">
        <f aca="false">IFERROR(INDEX(Workers!$A$5:$A$2004,MATCH(ROW()-4,Workers!$U$5:$U$2004,0)),"")</f>
        <v/>
      </c>
      <c r="B1156" s="24" t="str">
        <f aca="false">IF($A1156="","",INDEX(Workers!$B$5:$B$2004,MATCH($A1156,Workers!$A$5:$A$2004,0)))</f>
        <v/>
      </c>
      <c r="C1156" s="24" t="str">
        <f aca="false">IF($A1156="","",INDEX(Workers!$E$5:$E$2004,MATCH($A1156,Workers!$A$5:$A$2004,0)))</f>
        <v/>
      </c>
      <c r="D1156" s="24" t="str">
        <f aca="false">IF($A1156="","",INDEX(Workers!$K$5:$K$2004,MATCH($A1156,Workers!$A$5:$A$2004,0)))</f>
        <v/>
      </c>
      <c r="E1156" s="25" t="str">
        <f aca="false">IF($A1156="","",SUMIFS(Timesheet!$E$5:$E$3004,Timesheet!$D$5:$D$3004,$A1156,Timesheet!$A$5:$A$3004,"&gt;="&amp;Settings!$B$8,Timesheet!$A$5:$A$3004,"&lt;="&amp;Settings!$B$9))</f>
        <v/>
      </c>
      <c r="F1156" s="25" t="str">
        <f aca="false">IF($A1156="","",SUMIFS(Timesheet!$F$5:$F$3004,Timesheet!$D$5:$D$3004,$A1156,Timesheet!$A$5:$A$3004,"&gt;="&amp;Settings!$B$8,Timesheet!$A$5:$A$3004,"&lt;="&amp;Settings!$B$9))</f>
        <v/>
      </c>
      <c r="G1156" s="25" t="str">
        <f aca="false">IF($A1156="","",SUMIFS(Timesheet!$G$5:$G$3004,Timesheet!$D$5:$D$3004,$A1156,Timesheet!$A$5:$A$3004,"&gt;="&amp;Settings!$B$8,Timesheet!$A$5:$A$3004,"&lt;="&amp;Settings!$B$9))</f>
        <v/>
      </c>
      <c r="H1156" s="25" t="str">
        <f aca="false">IF($A1156="","",IF(D1156="Monthly",MAX(0,Settings!$B$11-E1156),0))</f>
        <v/>
      </c>
      <c r="I1156" s="26" t="str">
        <f aca="false">IF($A1156="","",N(INDEX(Workers!$L$5:$L$2004,MATCH($A1156,Workers!$A$5:$A$2004,0))))</f>
        <v/>
      </c>
      <c r="J1156" s="26" t="str">
        <f aca="false">IF($A1156="","",N(INDEX(Workers!$M$5:$M$2004,MATCH($A1156,Workers!$A$5:$A$2004,0))))</f>
        <v/>
      </c>
      <c r="K1156" s="26" t="str">
        <f aca="false">IF($A1156="","",IF(D1156="Monthly",ROUND(MAX(0,(I1156+J1156)-(I1156+J1156)/Settings!$B$10*H1156),2),0))</f>
        <v/>
      </c>
      <c r="L1156" s="26" t="str">
        <f aca="false">IF($A1156="","",IF(D1156="Hourly",ROUND(F1156*N(INDEX(Workers!$N$5:$N$2004,MATCH($A1156,Workers!$A$5:$A$2004,0))),2),0))</f>
        <v/>
      </c>
      <c r="M1156" s="26" t="str">
        <f aca="false">IF($A1156="","",ROUND(G1156*IF(D1156="Hourly",N(INDEX(Workers!$N$5:$N$2004,MATCH($A1156,Workers!$A$5:$A$2004,0))),I1156/Settings!$B$10/Settings!$B$12)*Settings!$B$13,2))</f>
        <v/>
      </c>
      <c r="N1156" s="26" t="str">
        <f aca="false">IF($A1156="","",K1156+L1156+M1156)</f>
        <v/>
      </c>
      <c r="O1156" s="26" t="str">
        <f aca="false">IF($A1156="","",SUMIFS(Deductions!$D$5:$D$2000,Deductions!$B$5:$B$2000,$A1156,Deductions!$C$5:$C$2000,"Advance",Deductions!$E$5:$E$2000,"&gt;="&amp;Settings!$B$8,Deductions!$E$5:$E$2000,"&lt;="&amp;Settings!$B$9))</f>
        <v/>
      </c>
      <c r="P1156" s="26" t="str">
        <f aca="false">IF($A1156="","",SUMIFS(Deductions!$D$5:$D$2000,Deductions!$B$5:$B$2000,$A1156,Deductions!$E$5:$E$2000,"&gt;="&amp;Settings!$B$8,Deductions!$E$5:$E$2000,"&lt;="&amp;Settings!$B$9)-O1156)</f>
        <v/>
      </c>
      <c r="Q1156" s="26" t="str">
        <f aca="false">IF($A1156="","",O1156+P1156)</f>
        <v/>
      </c>
      <c r="R1156" s="23" t="str">
        <f aca="false">IF($A1156="","",N1156-Q1156)</f>
        <v/>
      </c>
      <c r="S1156" s="24" t="str">
        <f aca="false">IF($A1156="","",INDEX(Workers!$O$5:$O$2004,MATCH($A1156,Workers!$A$5:$A$2004,0))&amp;"")</f>
        <v/>
      </c>
      <c r="T1156" s="24" t="str">
        <f aca="false">IF($A1156="","",INDEX(Workers!$P$5:$P$2004,MATCH($A1156,Workers!$A$5:$A$2004,0))&amp;"")</f>
        <v/>
      </c>
      <c r="U1156" s="24" t="str">
        <f aca="false">IF($A1156="","",INDEX(Workers!$H$5:$H$2004,MATCH($A1156,Workers!$A$5:$A$2004,0))&amp;"")</f>
        <v/>
      </c>
    </row>
    <row r="1157" customFormat="false" ht="15" hidden="false" customHeight="false" outlineLevel="0" collapsed="false">
      <c r="A1157" s="24" t="str">
        <f aca="false">IFERROR(INDEX(Workers!$A$5:$A$2004,MATCH(ROW()-4,Workers!$U$5:$U$2004,0)),"")</f>
        <v/>
      </c>
      <c r="B1157" s="24" t="str">
        <f aca="false">IF($A1157="","",INDEX(Workers!$B$5:$B$2004,MATCH($A1157,Workers!$A$5:$A$2004,0)))</f>
        <v/>
      </c>
      <c r="C1157" s="24" t="str">
        <f aca="false">IF($A1157="","",INDEX(Workers!$E$5:$E$2004,MATCH($A1157,Workers!$A$5:$A$2004,0)))</f>
        <v/>
      </c>
      <c r="D1157" s="24" t="str">
        <f aca="false">IF($A1157="","",INDEX(Workers!$K$5:$K$2004,MATCH($A1157,Workers!$A$5:$A$2004,0)))</f>
        <v/>
      </c>
      <c r="E1157" s="25" t="str">
        <f aca="false">IF($A1157="","",SUMIFS(Timesheet!$E$5:$E$3004,Timesheet!$D$5:$D$3004,$A1157,Timesheet!$A$5:$A$3004,"&gt;="&amp;Settings!$B$8,Timesheet!$A$5:$A$3004,"&lt;="&amp;Settings!$B$9))</f>
        <v/>
      </c>
      <c r="F1157" s="25" t="str">
        <f aca="false">IF($A1157="","",SUMIFS(Timesheet!$F$5:$F$3004,Timesheet!$D$5:$D$3004,$A1157,Timesheet!$A$5:$A$3004,"&gt;="&amp;Settings!$B$8,Timesheet!$A$5:$A$3004,"&lt;="&amp;Settings!$B$9))</f>
        <v/>
      </c>
      <c r="G1157" s="25" t="str">
        <f aca="false">IF($A1157="","",SUMIFS(Timesheet!$G$5:$G$3004,Timesheet!$D$5:$D$3004,$A1157,Timesheet!$A$5:$A$3004,"&gt;="&amp;Settings!$B$8,Timesheet!$A$5:$A$3004,"&lt;="&amp;Settings!$B$9))</f>
        <v/>
      </c>
      <c r="H1157" s="25" t="str">
        <f aca="false">IF($A1157="","",IF(D1157="Monthly",MAX(0,Settings!$B$11-E1157),0))</f>
        <v/>
      </c>
      <c r="I1157" s="26" t="str">
        <f aca="false">IF($A1157="","",N(INDEX(Workers!$L$5:$L$2004,MATCH($A1157,Workers!$A$5:$A$2004,0))))</f>
        <v/>
      </c>
      <c r="J1157" s="26" t="str">
        <f aca="false">IF($A1157="","",N(INDEX(Workers!$M$5:$M$2004,MATCH($A1157,Workers!$A$5:$A$2004,0))))</f>
        <v/>
      </c>
      <c r="K1157" s="26" t="str">
        <f aca="false">IF($A1157="","",IF(D1157="Monthly",ROUND(MAX(0,(I1157+J1157)-(I1157+J1157)/Settings!$B$10*H1157),2),0))</f>
        <v/>
      </c>
      <c r="L1157" s="26" t="str">
        <f aca="false">IF($A1157="","",IF(D1157="Hourly",ROUND(F1157*N(INDEX(Workers!$N$5:$N$2004,MATCH($A1157,Workers!$A$5:$A$2004,0))),2),0))</f>
        <v/>
      </c>
      <c r="M1157" s="26" t="str">
        <f aca="false">IF($A1157="","",ROUND(G1157*IF(D1157="Hourly",N(INDEX(Workers!$N$5:$N$2004,MATCH($A1157,Workers!$A$5:$A$2004,0))),I1157/Settings!$B$10/Settings!$B$12)*Settings!$B$13,2))</f>
        <v/>
      </c>
      <c r="N1157" s="26" t="str">
        <f aca="false">IF($A1157="","",K1157+L1157+M1157)</f>
        <v/>
      </c>
      <c r="O1157" s="26" t="str">
        <f aca="false">IF($A1157="","",SUMIFS(Deductions!$D$5:$D$2000,Deductions!$B$5:$B$2000,$A1157,Deductions!$C$5:$C$2000,"Advance",Deductions!$E$5:$E$2000,"&gt;="&amp;Settings!$B$8,Deductions!$E$5:$E$2000,"&lt;="&amp;Settings!$B$9))</f>
        <v/>
      </c>
      <c r="P1157" s="26" t="str">
        <f aca="false">IF($A1157="","",SUMIFS(Deductions!$D$5:$D$2000,Deductions!$B$5:$B$2000,$A1157,Deductions!$E$5:$E$2000,"&gt;="&amp;Settings!$B$8,Deductions!$E$5:$E$2000,"&lt;="&amp;Settings!$B$9)-O1157)</f>
        <v/>
      </c>
      <c r="Q1157" s="26" t="str">
        <f aca="false">IF($A1157="","",O1157+P1157)</f>
        <v/>
      </c>
      <c r="R1157" s="23" t="str">
        <f aca="false">IF($A1157="","",N1157-Q1157)</f>
        <v/>
      </c>
      <c r="S1157" s="24" t="str">
        <f aca="false">IF($A1157="","",INDEX(Workers!$O$5:$O$2004,MATCH($A1157,Workers!$A$5:$A$2004,0))&amp;"")</f>
        <v/>
      </c>
      <c r="T1157" s="24" t="str">
        <f aca="false">IF($A1157="","",INDEX(Workers!$P$5:$P$2004,MATCH($A1157,Workers!$A$5:$A$2004,0))&amp;"")</f>
        <v/>
      </c>
      <c r="U1157" s="24" t="str">
        <f aca="false">IF($A1157="","",INDEX(Workers!$H$5:$H$2004,MATCH($A1157,Workers!$A$5:$A$2004,0))&amp;"")</f>
        <v/>
      </c>
    </row>
    <row r="1158" customFormat="false" ht="15" hidden="false" customHeight="false" outlineLevel="0" collapsed="false">
      <c r="A1158" s="24" t="str">
        <f aca="false">IFERROR(INDEX(Workers!$A$5:$A$2004,MATCH(ROW()-4,Workers!$U$5:$U$2004,0)),"")</f>
        <v/>
      </c>
      <c r="B1158" s="24" t="str">
        <f aca="false">IF($A1158="","",INDEX(Workers!$B$5:$B$2004,MATCH($A1158,Workers!$A$5:$A$2004,0)))</f>
        <v/>
      </c>
      <c r="C1158" s="24" t="str">
        <f aca="false">IF($A1158="","",INDEX(Workers!$E$5:$E$2004,MATCH($A1158,Workers!$A$5:$A$2004,0)))</f>
        <v/>
      </c>
      <c r="D1158" s="24" t="str">
        <f aca="false">IF($A1158="","",INDEX(Workers!$K$5:$K$2004,MATCH($A1158,Workers!$A$5:$A$2004,0)))</f>
        <v/>
      </c>
      <c r="E1158" s="25" t="str">
        <f aca="false">IF($A1158="","",SUMIFS(Timesheet!$E$5:$E$3004,Timesheet!$D$5:$D$3004,$A1158,Timesheet!$A$5:$A$3004,"&gt;="&amp;Settings!$B$8,Timesheet!$A$5:$A$3004,"&lt;="&amp;Settings!$B$9))</f>
        <v/>
      </c>
      <c r="F1158" s="25" t="str">
        <f aca="false">IF($A1158="","",SUMIFS(Timesheet!$F$5:$F$3004,Timesheet!$D$5:$D$3004,$A1158,Timesheet!$A$5:$A$3004,"&gt;="&amp;Settings!$B$8,Timesheet!$A$5:$A$3004,"&lt;="&amp;Settings!$B$9))</f>
        <v/>
      </c>
      <c r="G1158" s="25" t="str">
        <f aca="false">IF($A1158="","",SUMIFS(Timesheet!$G$5:$G$3004,Timesheet!$D$5:$D$3004,$A1158,Timesheet!$A$5:$A$3004,"&gt;="&amp;Settings!$B$8,Timesheet!$A$5:$A$3004,"&lt;="&amp;Settings!$B$9))</f>
        <v/>
      </c>
      <c r="H1158" s="25" t="str">
        <f aca="false">IF($A1158="","",IF(D1158="Monthly",MAX(0,Settings!$B$11-E1158),0))</f>
        <v/>
      </c>
      <c r="I1158" s="26" t="str">
        <f aca="false">IF($A1158="","",N(INDEX(Workers!$L$5:$L$2004,MATCH($A1158,Workers!$A$5:$A$2004,0))))</f>
        <v/>
      </c>
      <c r="J1158" s="26" t="str">
        <f aca="false">IF($A1158="","",N(INDEX(Workers!$M$5:$M$2004,MATCH($A1158,Workers!$A$5:$A$2004,0))))</f>
        <v/>
      </c>
      <c r="K1158" s="26" t="str">
        <f aca="false">IF($A1158="","",IF(D1158="Monthly",ROUND(MAX(0,(I1158+J1158)-(I1158+J1158)/Settings!$B$10*H1158),2),0))</f>
        <v/>
      </c>
      <c r="L1158" s="26" t="str">
        <f aca="false">IF($A1158="","",IF(D1158="Hourly",ROUND(F1158*N(INDEX(Workers!$N$5:$N$2004,MATCH($A1158,Workers!$A$5:$A$2004,0))),2),0))</f>
        <v/>
      </c>
      <c r="M1158" s="26" t="str">
        <f aca="false">IF($A1158="","",ROUND(G1158*IF(D1158="Hourly",N(INDEX(Workers!$N$5:$N$2004,MATCH($A1158,Workers!$A$5:$A$2004,0))),I1158/Settings!$B$10/Settings!$B$12)*Settings!$B$13,2))</f>
        <v/>
      </c>
      <c r="N1158" s="26" t="str">
        <f aca="false">IF($A1158="","",K1158+L1158+M1158)</f>
        <v/>
      </c>
      <c r="O1158" s="26" t="str">
        <f aca="false">IF($A1158="","",SUMIFS(Deductions!$D$5:$D$2000,Deductions!$B$5:$B$2000,$A1158,Deductions!$C$5:$C$2000,"Advance",Deductions!$E$5:$E$2000,"&gt;="&amp;Settings!$B$8,Deductions!$E$5:$E$2000,"&lt;="&amp;Settings!$B$9))</f>
        <v/>
      </c>
      <c r="P1158" s="26" t="str">
        <f aca="false">IF($A1158="","",SUMIFS(Deductions!$D$5:$D$2000,Deductions!$B$5:$B$2000,$A1158,Deductions!$E$5:$E$2000,"&gt;="&amp;Settings!$B$8,Deductions!$E$5:$E$2000,"&lt;="&amp;Settings!$B$9)-O1158)</f>
        <v/>
      </c>
      <c r="Q1158" s="26" t="str">
        <f aca="false">IF($A1158="","",O1158+P1158)</f>
        <v/>
      </c>
      <c r="R1158" s="23" t="str">
        <f aca="false">IF($A1158="","",N1158-Q1158)</f>
        <v/>
      </c>
      <c r="S1158" s="24" t="str">
        <f aca="false">IF($A1158="","",INDEX(Workers!$O$5:$O$2004,MATCH($A1158,Workers!$A$5:$A$2004,0))&amp;"")</f>
        <v/>
      </c>
      <c r="T1158" s="24" t="str">
        <f aca="false">IF($A1158="","",INDEX(Workers!$P$5:$P$2004,MATCH($A1158,Workers!$A$5:$A$2004,0))&amp;"")</f>
        <v/>
      </c>
      <c r="U1158" s="24" t="str">
        <f aca="false">IF($A1158="","",INDEX(Workers!$H$5:$H$2004,MATCH($A1158,Workers!$A$5:$A$2004,0))&amp;"")</f>
        <v/>
      </c>
    </row>
    <row r="1159" customFormat="false" ht="15" hidden="false" customHeight="false" outlineLevel="0" collapsed="false">
      <c r="A1159" s="24" t="str">
        <f aca="false">IFERROR(INDEX(Workers!$A$5:$A$2004,MATCH(ROW()-4,Workers!$U$5:$U$2004,0)),"")</f>
        <v/>
      </c>
      <c r="B1159" s="24" t="str">
        <f aca="false">IF($A1159="","",INDEX(Workers!$B$5:$B$2004,MATCH($A1159,Workers!$A$5:$A$2004,0)))</f>
        <v/>
      </c>
      <c r="C1159" s="24" t="str">
        <f aca="false">IF($A1159="","",INDEX(Workers!$E$5:$E$2004,MATCH($A1159,Workers!$A$5:$A$2004,0)))</f>
        <v/>
      </c>
      <c r="D1159" s="24" t="str">
        <f aca="false">IF($A1159="","",INDEX(Workers!$K$5:$K$2004,MATCH($A1159,Workers!$A$5:$A$2004,0)))</f>
        <v/>
      </c>
      <c r="E1159" s="25" t="str">
        <f aca="false">IF($A1159="","",SUMIFS(Timesheet!$E$5:$E$3004,Timesheet!$D$5:$D$3004,$A1159,Timesheet!$A$5:$A$3004,"&gt;="&amp;Settings!$B$8,Timesheet!$A$5:$A$3004,"&lt;="&amp;Settings!$B$9))</f>
        <v/>
      </c>
      <c r="F1159" s="25" t="str">
        <f aca="false">IF($A1159="","",SUMIFS(Timesheet!$F$5:$F$3004,Timesheet!$D$5:$D$3004,$A1159,Timesheet!$A$5:$A$3004,"&gt;="&amp;Settings!$B$8,Timesheet!$A$5:$A$3004,"&lt;="&amp;Settings!$B$9))</f>
        <v/>
      </c>
      <c r="G1159" s="25" t="str">
        <f aca="false">IF($A1159="","",SUMIFS(Timesheet!$G$5:$G$3004,Timesheet!$D$5:$D$3004,$A1159,Timesheet!$A$5:$A$3004,"&gt;="&amp;Settings!$B$8,Timesheet!$A$5:$A$3004,"&lt;="&amp;Settings!$B$9))</f>
        <v/>
      </c>
      <c r="H1159" s="25" t="str">
        <f aca="false">IF($A1159="","",IF(D1159="Monthly",MAX(0,Settings!$B$11-E1159),0))</f>
        <v/>
      </c>
      <c r="I1159" s="26" t="str">
        <f aca="false">IF($A1159="","",N(INDEX(Workers!$L$5:$L$2004,MATCH($A1159,Workers!$A$5:$A$2004,0))))</f>
        <v/>
      </c>
      <c r="J1159" s="26" t="str">
        <f aca="false">IF($A1159="","",N(INDEX(Workers!$M$5:$M$2004,MATCH($A1159,Workers!$A$5:$A$2004,0))))</f>
        <v/>
      </c>
      <c r="K1159" s="26" t="str">
        <f aca="false">IF($A1159="","",IF(D1159="Monthly",ROUND(MAX(0,(I1159+J1159)-(I1159+J1159)/Settings!$B$10*H1159),2),0))</f>
        <v/>
      </c>
      <c r="L1159" s="26" t="str">
        <f aca="false">IF($A1159="","",IF(D1159="Hourly",ROUND(F1159*N(INDEX(Workers!$N$5:$N$2004,MATCH($A1159,Workers!$A$5:$A$2004,0))),2),0))</f>
        <v/>
      </c>
      <c r="M1159" s="26" t="str">
        <f aca="false">IF($A1159="","",ROUND(G1159*IF(D1159="Hourly",N(INDEX(Workers!$N$5:$N$2004,MATCH($A1159,Workers!$A$5:$A$2004,0))),I1159/Settings!$B$10/Settings!$B$12)*Settings!$B$13,2))</f>
        <v/>
      </c>
      <c r="N1159" s="26" t="str">
        <f aca="false">IF($A1159="","",K1159+L1159+M1159)</f>
        <v/>
      </c>
      <c r="O1159" s="26" t="str">
        <f aca="false">IF($A1159="","",SUMIFS(Deductions!$D$5:$D$2000,Deductions!$B$5:$B$2000,$A1159,Deductions!$C$5:$C$2000,"Advance",Deductions!$E$5:$E$2000,"&gt;="&amp;Settings!$B$8,Deductions!$E$5:$E$2000,"&lt;="&amp;Settings!$B$9))</f>
        <v/>
      </c>
      <c r="P1159" s="26" t="str">
        <f aca="false">IF($A1159="","",SUMIFS(Deductions!$D$5:$D$2000,Deductions!$B$5:$B$2000,$A1159,Deductions!$E$5:$E$2000,"&gt;="&amp;Settings!$B$8,Deductions!$E$5:$E$2000,"&lt;="&amp;Settings!$B$9)-O1159)</f>
        <v/>
      </c>
      <c r="Q1159" s="26" t="str">
        <f aca="false">IF($A1159="","",O1159+P1159)</f>
        <v/>
      </c>
      <c r="R1159" s="23" t="str">
        <f aca="false">IF($A1159="","",N1159-Q1159)</f>
        <v/>
      </c>
      <c r="S1159" s="24" t="str">
        <f aca="false">IF($A1159="","",INDEX(Workers!$O$5:$O$2004,MATCH($A1159,Workers!$A$5:$A$2004,0))&amp;"")</f>
        <v/>
      </c>
      <c r="T1159" s="24" t="str">
        <f aca="false">IF($A1159="","",INDEX(Workers!$P$5:$P$2004,MATCH($A1159,Workers!$A$5:$A$2004,0))&amp;"")</f>
        <v/>
      </c>
      <c r="U1159" s="24" t="str">
        <f aca="false">IF($A1159="","",INDEX(Workers!$H$5:$H$2004,MATCH($A1159,Workers!$A$5:$A$2004,0))&amp;"")</f>
        <v/>
      </c>
    </row>
    <row r="1160" customFormat="false" ht="15" hidden="false" customHeight="false" outlineLevel="0" collapsed="false">
      <c r="A1160" s="24" t="str">
        <f aca="false">IFERROR(INDEX(Workers!$A$5:$A$2004,MATCH(ROW()-4,Workers!$U$5:$U$2004,0)),"")</f>
        <v/>
      </c>
      <c r="B1160" s="24" t="str">
        <f aca="false">IF($A1160="","",INDEX(Workers!$B$5:$B$2004,MATCH($A1160,Workers!$A$5:$A$2004,0)))</f>
        <v/>
      </c>
      <c r="C1160" s="24" t="str">
        <f aca="false">IF($A1160="","",INDEX(Workers!$E$5:$E$2004,MATCH($A1160,Workers!$A$5:$A$2004,0)))</f>
        <v/>
      </c>
      <c r="D1160" s="24" t="str">
        <f aca="false">IF($A1160="","",INDEX(Workers!$K$5:$K$2004,MATCH($A1160,Workers!$A$5:$A$2004,0)))</f>
        <v/>
      </c>
      <c r="E1160" s="25" t="str">
        <f aca="false">IF($A1160="","",SUMIFS(Timesheet!$E$5:$E$3004,Timesheet!$D$5:$D$3004,$A1160,Timesheet!$A$5:$A$3004,"&gt;="&amp;Settings!$B$8,Timesheet!$A$5:$A$3004,"&lt;="&amp;Settings!$B$9))</f>
        <v/>
      </c>
      <c r="F1160" s="25" t="str">
        <f aca="false">IF($A1160="","",SUMIFS(Timesheet!$F$5:$F$3004,Timesheet!$D$5:$D$3004,$A1160,Timesheet!$A$5:$A$3004,"&gt;="&amp;Settings!$B$8,Timesheet!$A$5:$A$3004,"&lt;="&amp;Settings!$B$9))</f>
        <v/>
      </c>
      <c r="G1160" s="25" t="str">
        <f aca="false">IF($A1160="","",SUMIFS(Timesheet!$G$5:$G$3004,Timesheet!$D$5:$D$3004,$A1160,Timesheet!$A$5:$A$3004,"&gt;="&amp;Settings!$B$8,Timesheet!$A$5:$A$3004,"&lt;="&amp;Settings!$B$9))</f>
        <v/>
      </c>
      <c r="H1160" s="25" t="str">
        <f aca="false">IF($A1160="","",IF(D1160="Monthly",MAX(0,Settings!$B$11-E1160),0))</f>
        <v/>
      </c>
      <c r="I1160" s="26" t="str">
        <f aca="false">IF($A1160="","",N(INDEX(Workers!$L$5:$L$2004,MATCH($A1160,Workers!$A$5:$A$2004,0))))</f>
        <v/>
      </c>
      <c r="J1160" s="26" t="str">
        <f aca="false">IF($A1160="","",N(INDEX(Workers!$M$5:$M$2004,MATCH($A1160,Workers!$A$5:$A$2004,0))))</f>
        <v/>
      </c>
      <c r="K1160" s="26" t="str">
        <f aca="false">IF($A1160="","",IF(D1160="Monthly",ROUND(MAX(0,(I1160+J1160)-(I1160+J1160)/Settings!$B$10*H1160),2),0))</f>
        <v/>
      </c>
      <c r="L1160" s="26" t="str">
        <f aca="false">IF($A1160="","",IF(D1160="Hourly",ROUND(F1160*N(INDEX(Workers!$N$5:$N$2004,MATCH($A1160,Workers!$A$5:$A$2004,0))),2),0))</f>
        <v/>
      </c>
      <c r="M1160" s="26" t="str">
        <f aca="false">IF($A1160="","",ROUND(G1160*IF(D1160="Hourly",N(INDEX(Workers!$N$5:$N$2004,MATCH($A1160,Workers!$A$5:$A$2004,0))),I1160/Settings!$B$10/Settings!$B$12)*Settings!$B$13,2))</f>
        <v/>
      </c>
      <c r="N1160" s="26" t="str">
        <f aca="false">IF($A1160="","",K1160+L1160+M1160)</f>
        <v/>
      </c>
      <c r="O1160" s="26" t="str">
        <f aca="false">IF($A1160="","",SUMIFS(Deductions!$D$5:$D$2000,Deductions!$B$5:$B$2000,$A1160,Deductions!$C$5:$C$2000,"Advance",Deductions!$E$5:$E$2000,"&gt;="&amp;Settings!$B$8,Deductions!$E$5:$E$2000,"&lt;="&amp;Settings!$B$9))</f>
        <v/>
      </c>
      <c r="P1160" s="26" t="str">
        <f aca="false">IF($A1160="","",SUMIFS(Deductions!$D$5:$D$2000,Deductions!$B$5:$B$2000,$A1160,Deductions!$E$5:$E$2000,"&gt;="&amp;Settings!$B$8,Deductions!$E$5:$E$2000,"&lt;="&amp;Settings!$B$9)-O1160)</f>
        <v/>
      </c>
      <c r="Q1160" s="26" t="str">
        <f aca="false">IF($A1160="","",O1160+P1160)</f>
        <v/>
      </c>
      <c r="R1160" s="23" t="str">
        <f aca="false">IF($A1160="","",N1160-Q1160)</f>
        <v/>
      </c>
      <c r="S1160" s="24" t="str">
        <f aca="false">IF($A1160="","",INDEX(Workers!$O$5:$O$2004,MATCH($A1160,Workers!$A$5:$A$2004,0))&amp;"")</f>
        <v/>
      </c>
      <c r="T1160" s="24" t="str">
        <f aca="false">IF($A1160="","",INDEX(Workers!$P$5:$P$2004,MATCH($A1160,Workers!$A$5:$A$2004,0))&amp;"")</f>
        <v/>
      </c>
      <c r="U1160" s="24" t="str">
        <f aca="false">IF($A1160="","",INDEX(Workers!$H$5:$H$2004,MATCH($A1160,Workers!$A$5:$A$2004,0))&amp;"")</f>
        <v/>
      </c>
    </row>
    <row r="1161" customFormat="false" ht="15" hidden="false" customHeight="false" outlineLevel="0" collapsed="false">
      <c r="A1161" s="24" t="str">
        <f aca="false">IFERROR(INDEX(Workers!$A$5:$A$2004,MATCH(ROW()-4,Workers!$U$5:$U$2004,0)),"")</f>
        <v/>
      </c>
      <c r="B1161" s="24" t="str">
        <f aca="false">IF($A1161="","",INDEX(Workers!$B$5:$B$2004,MATCH($A1161,Workers!$A$5:$A$2004,0)))</f>
        <v/>
      </c>
      <c r="C1161" s="24" t="str">
        <f aca="false">IF($A1161="","",INDEX(Workers!$E$5:$E$2004,MATCH($A1161,Workers!$A$5:$A$2004,0)))</f>
        <v/>
      </c>
      <c r="D1161" s="24" t="str">
        <f aca="false">IF($A1161="","",INDEX(Workers!$K$5:$K$2004,MATCH($A1161,Workers!$A$5:$A$2004,0)))</f>
        <v/>
      </c>
      <c r="E1161" s="25" t="str">
        <f aca="false">IF($A1161="","",SUMIFS(Timesheet!$E$5:$E$3004,Timesheet!$D$5:$D$3004,$A1161,Timesheet!$A$5:$A$3004,"&gt;="&amp;Settings!$B$8,Timesheet!$A$5:$A$3004,"&lt;="&amp;Settings!$B$9))</f>
        <v/>
      </c>
      <c r="F1161" s="25" t="str">
        <f aca="false">IF($A1161="","",SUMIFS(Timesheet!$F$5:$F$3004,Timesheet!$D$5:$D$3004,$A1161,Timesheet!$A$5:$A$3004,"&gt;="&amp;Settings!$B$8,Timesheet!$A$5:$A$3004,"&lt;="&amp;Settings!$B$9))</f>
        <v/>
      </c>
      <c r="G1161" s="25" t="str">
        <f aca="false">IF($A1161="","",SUMIFS(Timesheet!$G$5:$G$3004,Timesheet!$D$5:$D$3004,$A1161,Timesheet!$A$5:$A$3004,"&gt;="&amp;Settings!$B$8,Timesheet!$A$5:$A$3004,"&lt;="&amp;Settings!$B$9))</f>
        <v/>
      </c>
      <c r="H1161" s="25" t="str">
        <f aca="false">IF($A1161="","",IF(D1161="Monthly",MAX(0,Settings!$B$11-E1161),0))</f>
        <v/>
      </c>
      <c r="I1161" s="26" t="str">
        <f aca="false">IF($A1161="","",N(INDEX(Workers!$L$5:$L$2004,MATCH($A1161,Workers!$A$5:$A$2004,0))))</f>
        <v/>
      </c>
      <c r="J1161" s="26" t="str">
        <f aca="false">IF($A1161="","",N(INDEX(Workers!$M$5:$M$2004,MATCH($A1161,Workers!$A$5:$A$2004,0))))</f>
        <v/>
      </c>
      <c r="K1161" s="26" t="str">
        <f aca="false">IF($A1161="","",IF(D1161="Monthly",ROUND(MAX(0,(I1161+J1161)-(I1161+J1161)/Settings!$B$10*H1161),2),0))</f>
        <v/>
      </c>
      <c r="L1161" s="26" t="str">
        <f aca="false">IF($A1161="","",IF(D1161="Hourly",ROUND(F1161*N(INDEX(Workers!$N$5:$N$2004,MATCH($A1161,Workers!$A$5:$A$2004,0))),2),0))</f>
        <v/>
      </c>
      <c r="M1161" s="26" t="str">
        <f aca="false">IF($A1161="","",ROUND(G1161*IF(D1161="Hourly",N(INDEX(Workers!$N$5:$N$2004,MATCH($A1161,Workers!$A$5:$A$2004,0))),I1161/Settings!$B$10/Settings!$B$12)*Settings!$B$13,2))</f>
        <v/>
      </c>
      <c r="N1161" s="26" t="str">
        <f aca="false">IF($A1161="","",K1161+L1161+M1161)</f>
        <v/>
      </c>
      <c r="O1161" s="26" t="str">
        <f aca="false">IF($A1161="","",SUMIFS(Deductions!$D$5:$D$2000,Deductions!$B$5:$B$2000,$A1161,Deductions!$C$5:$C$2000,"Advance",Deductions!$E$5:$E$2000,"&gt;="&amp;Settings!$B$8,Deductions!$E$5:$E$2000,"&lt;="&amp;Settings!$B$9))</f>
        <v/>
      </c>
      <c r="P1161" s="26" t="str">
        <f aca="false">IF($A1161="","",SUMIFS(Deductions!$D$5:$D$2000,Deductions!$B$5:$B$2000,$A1161,Deductions!$E$5:$E$2000,"&gt;="&amp;Settings!$B$8,Deductions!$E$5:$E$2000,"&lt;="&amp;Settings!$B$9)-O1161)</f>
        <v/>
      </c>
      <c r="Q1161" s="26" t="str">
        <f aca="false">IF($A1161="","",O1161+P1161)</f>
        <v/>
      </c>
      <c r="R1161" s="23" t="str">
        <f aca="false">IF($A1161="","",N1161-Q1161)</f>
        <v/>
      </c>
      <c r="S1161" s="24" t="str">
        <f aca="false">IF($A1161="","",INDEX(Workers!$O$5:$O$2004,MATCH($A1161,Workers!$A$5:$A$2004,0))&amp;"")</f>
        <v/>
      </c>
      <c r="T1161" s="24" t="str">
        <f aca="false">IF($A1161="","",INDEX(Workers!$P$5:$P$2004,MATCH($A1161,Workers!$A$5:$A$2004,0))&amp;"")</f>
        <v/>
      </c>
      <c r="U1161" s="24" t="str">
        <f aca="false">IF($A1161="","",INDEX(Workers!$H$5:$H$2004,MATCH($A1161,Workers!$A$5:$A$2004,0))&amp;"")</f>
        <v/>
      </c>
    </row>
    <row r="1162" customFormat="false" ht="15" hidden="false" customHeight="false" outlineLevel="0" collapsed="false">
      <c r="A1162" s="24" t="str">
        <f aca="false">IFERROR(INDEX(Workers!$A$5:$A$2004,MATCH(ROW()-4,Workers!$U$5:$U$2004,0)),"")</f>
        <v/>
      </c>
      <c r="B1162" s="24" t="str">
        <f aca="false">IF($A1162="","",INDEX(Workers!$B$5:$B$2004,MATCH($A1162,Workers!$A$5:$A$2004,0)))</f>
        <v/>
      </c>
      <c r="C1162" s="24" t="str">
        <f aca="false">IF($A1162="","",INDEX(Workers!$E$5:$E$2004,MATCH($A1162,Workers!$A$5:$A$2004,0)))</f>
        <v/>
      </c>
      <c r="D1162" s="24" t="str">
        <f aca="false">IF($A1162="","",INDEX(Workers!$K$5:$K$2004,MATCH($A1162,Workers!$A$5:$A$2004,0)))</f>
        <v/>
      </c>
      <c r="E1162" s="25" t="str">
        <f aca="false">IF($A1162="","",SUMIFS(Timesheet!$E$5:$E$3004,Timesheet!$D$5:$D$3004,$A1162,Timesheet!$A$5:$A$3004,"&gt;="&amp;Settings!$B$8,Timesheet!$A$5:$A$3004,"&lt;="&amp;Settings!$B$9))</f>
        <v/>
      </c>
      <c r="F1162" s="25" t="str">
        <f aca="false">IF($A1162="","",SUMIFS(Timesheet!$F$5:$F$3004,Timesheet!$D$5:$D$3004,$A1162,Timesheet!$A$5:$A$3004,"&gt;="&amp;Settings!$B$8,Timesheet!$A$5:$A$3004,"&lt;="&amp;Settings!$B$9))</f>
        <v/>
      </c>
      <c r="G1162" s="25" t="str">
        <f aca="false">IF($A1162="","",SUMIFS(Timesheet!$G$5:$G$3004,Timesheet!$D$5:$D$3004,$A1162,Timesheet!$A$5:$A$3004,"&gt;="&amp;Settings!$B$8,Timesheet!$A$5:$A$3004,"&lt;="&amp;Settings!$B$9))</f>
        <v/>
      </c>
      <c r="H1162" s="25" t="str">
        <f aca="false">IF($A1162="","",IF(D1162="Monthly",MAX(0,Settings!$B$11-E1162),0))</f>
        <v/>
      </c>
      <c r="I1162" s="26" t="str">
        <f aca="false">IF($A1162="","",N(INDEX(Workers!$L$5:$L$2004,MATCH($A1162,Workers!$A$5:$A$2004,0))))</f>
        <v/>
      </c>
      <c r="J1162" s="26" t="str">
        <f aca="false">IF($A1162="","",N(INDEX(Workers!$M$5:$M$2004,MATCH($A1162,Workers!$A$5:$A$2004,0))))</f>
        <v/>
      </c>
      <c r="K1162" s="26" t="str">
        <f aca="false">IF($A1162="","",IF(D1162="Monthly",ROUND(MAX(0,(I1162+J1162)-(I1162+J1162)/Settings!$B$10*H1162),2),0))</f>
        <v/>
      </c>
      <c r="L1162" s="26" t="str">
        <f aca="false">IF($A1162="","",IF(D1162="Hourly",ROUND(F1162*N(INDEX(Workers!$N$5:$N$2004,MATCH($A1162,Workers!$A$5:$A$2004,0))),2),0))</f>
        <v/>
      </c>
      <c r="M1162" s="26" t="str">
        <f aca="false">IF($A1162="","",ROUND(G1162*IF(D1162="Hourly",N(INDEX(Workers!$N$5:$N$2004,MATCH($A1162,Workers!$A$5:$A$2004,0))),I1162/Settings!$B$10/Settings!$B$12)*Settings!$B$13,2))</f>
        <v/>
      </c>
      <c r="N1162" s="26" t="str">
        <f aca="false">IF($A1162="","",K1162+L1162+M1162)</f>
        <v/>
      </c>
      <c r="O1162" s="26" t="str">
        <f aca="false">IF($A1162="","",SUMIFS(Deductions!$D$5:$D$2000,Deductions!$B$5:$B$2000,$A1162,Deductions!$C$5:$C$2000,"Advance",Deductions!$E$5:$E$2000,"&gt;="&amp;Settings!$B$8,Deductions!$E$5:$E$2000,"&lt;="&amp;Settings!$B$9))</f>
        <v/>
      </c>
      <c r="P1162" s="26" t="str">
        <f aca="false">IF($A1162="","",SUMIFS(Deductions!$D$5:$D$2000,Deductions!$B$5:$B$2000,$A1162,Deductions!$E$5:$E$2000,"&gt;="&amp;Settings!$B$8,Deductions!$E$5:$E$2000,"&lt;="&amp;Settings!$B$9)-O1162)</f>
        <v/>
      </c>
      <c r="Q1162" s="26" t="str">
        <f aca="false">IF($A1162="","",O1162+P1162)</f>
        <v/>
      </c>
      <c r="R1162" s="23" t="str">
        <f aca="false">IF($A1162="","",N1162-Q1162)</f>
        <v/>
      </c>
      <c r="S1162" s="24" t="str">
        <f aca="false">IF($A1162="","",INDEX(Workers!$O$5:$O$2004,MATCH($A1162,Workers!$A$5:$A$2004,0))&amp;"")</f>
        <v/>
      </c>
      <c r="T1162" s="24" t="str">
        <f aca="false">IF($A1162="","",INDEX(Workers!$P$5:$P$2004,MATCH($A1162,Workers!$A$5:$A$2004,0))&amp;"")</f>
        <v/>
      </c>
      <c r="U1162" s="24" t="str">
        <f aca="false">IF($A1162="","",INDEX(Workers!$H$5:$H$2004,MATCH($A1162,Workers!$A$5:$A$2004,0))&amp;"")</f>
        <v/>
      </c>
    </row>
    <row r="1163" customFormat="false" ht="15" hidden="false" customHeight="false" outlineLevel="0" collapsed="false">
      <c r="A1163" s="24" t="str">
        <f aca="false">IFERROR(INDEX(Workers!$A$5:$A$2004,MATCH(ROW()-4,Workers!$U$5:$U$2004,0)),"")</f>
        <v/>
      </c>
      <c r="B1163" s="24" t="str">
        <f aca="false">IF($A1163="","",INDEX(Workers!$B$5:$B$2004,MATCH($A1163,Workers!$A$5:$A$2004,0)))</f>
        <v/>
      </c>
      <c r="C1163" s="24" t="str">
        <f aca="false">IF($A1163="","",INDEX(Workers!$E$5:$E$2004,MATCH($A1163,Workers!$A$5:$A$2004,0)))</f>
        <v/>
      </c>
      <c r="D1163" s="24" t="str">
        <f aca="false">IF($A1163="","",INDEX(Workers!$K$5:$K$2004,MATCH($A1163,Workers!$A$5:$A$2004,0)))</f>
        <v/>
      </c>
      <c r="E1163" s="25" t="str">
        <f aca="false">IF($A1163="","",SUMIFS(Timesheet!$E$5:$E$3004,Timesheet!$D$5:$D$3004,$A1163,Timesheet!$A$5:$A$3004,"&gt;="&amp;Settings!$B$8,Timesheet!$A$5:$A$3004,"&lt;="&amp;Settings!$B$9))</f>
        <v/>
      </c>
      <c r="F1163" s="25" t="str">
        <f aca="false">IF($A1163="","",SUMIFS(Timesheet!$F$5:$F$3004,Timesheet!$D$5:$D$3004,$A1163,Timesheet!$A$5:$A$3004,"&gt;="&amp;Settings!$B$8,Timesheet!$A$5:$A$3004,"&lt;="&amp;Settings!$B$9))</f>
        <v/>
      </c>
      <c r="G1163" s="25" t="str">
        <f aca="false">IF($A1163="","",SUMIFS(Timesheet!$G$5:$G$3004,Timesheet!$D$5:$D$3004,$A1163,Timesheet!$A$5:$A$3004,"&gt;="&amp;Settings!$B$8,Timesheet!$A$5:$A$3004,"&lt;="&amp;Settings!$B$9))</f>
        <v/>
      </c>
      <c r="H1163" s="25" t="str">
        <f aca="false">IF($A1163="","",IF(D1163="Monthly",MAX(0,Settings!$B$11-E1163),0))</f>
        <v/>
      </c>
      <c r="I1163" s="26" t="str">
        <f aca="false">IF($A1163="","",N(INDEX(Workers!$L$5:$L$2004,MATCH($A1163,Workers!$A$5:$A$2004,0))))</f>
        <v/>
      </c>
      <c r="J1163" s="26" t="str">
        <f aca="false">IF($A1163="","",N(INDEX(Workers!$M$5:$M$2004,MATCH($A1163,Workers!$A$5:$A$2004,0))))</f>
        <v/>
      </c>
      <c r="K1163" s="26" t="str">
        <f aca="false">IF($A1163="","",IF(D1163="Monthly",ROUND(MAX(0,(I1163+J1163)-(I1163+J1163)/Settings!$B$10*H1163),2),0))</f>
        <v/>
      </c>
      <c r="L1163" s="26" t="str">
        <f aca="false">IF($A1163="","",IF(D1163="Hourly",ROUND(F1163*N(INDEX(Workers!$N$5:$N$2004,MATCH($A1163,Workers!$A$5:$A$2004,0))),2),0))</f>
        <v/>
      </c>
      <c r="M1163" s="26" t="str">
        <f aca="false">IF($A1163="","",ROUND(G1163*IF(D1163="Hourly",N(INDEX(Workers!$N$5:$N$2004,MATCH($A1163,Workers!$A$5:$A$2004,0))),I1163/Settings!$B$10/Settings!$B$12)*Settings!$B$13,2))</f>
        <v/>
      </c>
      <c r="N1163" s="26" t="str">
        <f aca="false">IF($A1163="","",K1163+L1163+M1163)</f>
        <v/>
      </c>
      <c r="O1163" s="26" t="str">
        <f aca="false">IF($A1163="","",SUMIFS(Deductions!$D$5:$D$2000,Deductions!$B$5:$B$2000,$A1163,Deductions!$C$5:$C$2000,"Advance",Deductions!$E$5:$E$2000,"&gt;="&amp;Settings!$B$8,Deductions!$E$5:$E$2000,"&lt;="&amp;Settings!$B$9))</f>
        <v/>
      </c>
      <c r="P1163" s="26" t="str">
        <f aca="false">IF($A1163="","",SUMIFS(Deductions!$D$5:$D$2000,Deductions!$B$5:$B$2000,$A1163,Deductions!$E$5:$E$2000,"&gt;="&amp;Settings!$B$8,Deductions!$E$5:$E$2000,"&lt;="&amp;Settings!$B$9)-O1163)</f>
        <v/>
      </c>
      <c r="Q1163" s="26" t="str">
        <f aca="false">IF($A1163="","",O1163+P1163)</f>
        <v/>
      </c>
      <c r="R1163" s="23" t="str">
        <f aca="false">IF($A1163="","",N1163-Q1163)</f>
        <v/>
      </c>
      <c r="S1163" s="24" t="str">
        <f aca="false">IF($A1163="","",INDEX(Workers!$O$5:$O$2004,MATCH($A1163,Workers!$A$5:$A$2004,0))&amp;"")</f>
        <v/>
      </c>
      <c r="T1163" s="24" t="str">
        <f aca="false">IF($A1163="","",INDEX(Workers!$P$5:$P$2004,MATCH($A1163,Workers!$A$5:$A$2004,0))&amp;"")</f>
        <v/>
      </c>
      <c r="U1163" s="24" t="str">
        <f aca="false">IF($A1163="","",INDEX(Workers!$H$5:$H$2004,MATCH($A1163,Workers!$A$5:$A$2004,0))&amp;"")</f>
        <v/>
      </c>
    </row>
    <row r="1164" customFormat="false" ht="15" hidden="false" customHeight="false" outlineLevel="0" collapsed="false">
      <c r="A1164" s="24" t="str">
        <f aca="false">IFERROR(INDEX(Workers!$A$5:$A$2004,MATCH(ROW()-4,Workers!$U$5:$U$2004,0)),"")</f>
        <v/>
      </c>
      <c r="B1164" s="24" t="str">
        <f aca="false">IF($A1164="","",INDEX(Workers!$B$5:$B$2004,MATCH($A1164,Workers!$A$5:$A$2004,0)))</f>
        <v/>
      </c>
      <c r="C1164" s="24" t="str">
        <f aca="false">IF($A1164="","",INDEX(Workers!$E$5:$E$2004,MATCH($A1164,Workers!$A$5:$A$2004,0)))</f>
        <v/>
      </c>
      <c r="D1164" s="24" t="str">
        <f aca="false">IF($A1164="","",INDEX(Workers!$K$5:$K$2004,MATCH($A1164,Workers!$A$5:$A$2004,0)))</f>
        <v/>
      </c>
      <c r="E1164" s="25" t="str">
        <f aca="false">IF($A1164="","",SUMIFS(Timesheet!$E$5:$E$3004,Timesheet!$D$5:$D$3004,$A1164,Timesheet!$A$5:$A$3004,"&gt;="&amp;Settings!$B$8,Timesheet!$A$5:$A$3004,"&lt;="&amp;Settings!$B$9))</f>
        <v/>
      </c>
      <c r="F1164" s="25" t="str">
        <f aca="false">IF($A1164="","",SUMIFS(Timesheet!$F$5:$F$3004,Timesheet!$D$5:$D$3004,$A1164,Timesheet!$A$5:$A$3004,"&gt;="&amp;Settings!$B$8,Timesheet!$A$5:$A$3004,"&lt;="&amp;Settings!$B$9))</f>
        <v/>
      </c>
      <c r="G1164" s="25" t="str">
        <f aca="false">IF($A1164="","",SUMIFS(Timesheet!$G$5:$G$3004,Timesheet!$D$5:$D$3004,$A1164,Timesheet!$A$5:$A$3004,"&gt;="&amp;Settings!$B$8,Timesheet!$A$5:$A$3004,"&lt;="&amp;Settings!$B$9))</f>
        <v/>
      </c>
      <c r="H1164" s="25" t="str">
        <f aca="false">IF($A1164="","",IF(D1164="Monthly",MAX(0,Settings!$B$11-E1164),0))</f>
        <v/>
      </c>
      <c r="I1164" s="26" t="str">
        <f aca="false">IF($A1164="","",N(INDEX(Workers!$L$5:$L$2004,MATCH($A1164,Workers!$A$5:$A$2004,0))))</f>
        <v/>
      </c>
      <c r="J1164" s="26" t="str">
        <f aca="false">IF($A1164="","",N(INDEX(Workers!$M$5:$M$2004,MATCH($A1164,Workers!$A$5:$A$2004,0))))</f>
        <v/>
      </c>
      <c r="K1164" s="26" t="str">
        <f aca="false">IF($A1164="","",IF(D1164="Monthly",ROUND(MAX(0,(I1164+J1164)-(I1164+J1164)/Settings!$B$10*H1164),2),0))</f>
        <v/>
      </c>
      <c r="L1164" s="26" t="str">
        <f aca="false">IF($A1164="","",IF(D1164="Hourly",ROUND(F1164*N(INDEX(Workers!$N$5:$N$2004,MATCH($A1164,Workers!$A$5:$A$2004,0))),2),0))</f>
        <v/>
      </c>
      <c r="M1164" s="26" t="str">
        <f aca="false">IF($A1164="","",ROUND(G1164*IF(D1164="Hourly",N(INDEX(Workers!$N$5:$N$2004,MATCH($A1164,Workers!$A$5:$A$2004,0))),I1164/Settings!$B$10/Settings!$B$12)*Settings!$B$13,2))</f>
        <v/>
      </c>
      <c r="N1164" s="26" t="str">
        <f aca="false">IF($A1164="","",K1164+L1164+M1164)</f>
        <v/>
      </c>
      <c r="O1164" s="26" t="str">
        <f aca="false">IF($A1164="","",SUMIFS(Deductions!$D$5:$D$2000,Deductions!$B$5:$B$2000,$A1164,Deductions!$C$5:$C$2000,"Advance",Deductions!$E$5:$E$2000,"&gt;="&amp;Settings!$B$8,Deductions!$E$5:$E$2000,"&lt;="&amp;Settings!$B$9))</f>
        <v/>
      </c>
      <c r="P1164" s="26" t="str">
        <f aca="false">IF($A1164="","",SUMIFS(Deductions!$D$5:$D$2000,Deductions!$B$5:$B$2000,$A1164,Deductions!$E$5:$E$2000,"&gt;="&amp;Settings!$B$8,Deductions!$E$5:$E$2000,"&lt;="&amp;Settings!$B$9)-O1164)</f>
        <v/>
      </c>
      <c r="Q1164" s="26" t="str">
        <f aca="false">IF($A1164="","",O1164+P1164)</f>
        <v/>
      </c>
      <c r="R1164" s="23" t="str">
        <f aca="false">IF($A1164="","",N1164-Q1164)</f>
        <v/>
      </c>
      <c r="S1164" s="24" t="str">
        <f aca="false">IF($A1164="","",INDEX(Workers!$O$5:$O$2004,MATCH($A1164,Workers!$A$5:$A$2004,0))&amp;"")</f>
        <v/>
      </c>
      <c r="T1164" s="24" t="str">
        <f aca="false">IF($A1164="","",INDEX(Workers!$P$5:$P$2004,MATCH($A1164,Workers!$A$5:$A$2004,0))&amp;"")</f>
        <v/>
      </c>
      <c r="U1164" s="24" t="str">
        <f aca="false">IF($A1164="","",INDEX(Workers!$H$5:$H$2004,MATCH($A1164,Workers!$A$5:$A$2004,0))&amp;"")</f>
        <v/>
      </c>
    </row>
    <row r="1165" customFormat="false" ht="15" hidden="false" customHeight="false" outlineLevel="0" collapsed="false">
      <c r="A1165" s="24" t="str">
        <f aca="false">IFERROR(INDEX(Workers!$A$5:$A$2004,MATCH(ROW()-4,Workers!$U$5:$U$2004,0)),"")</f>
        <v/>
      </c>
      <c r="B1165" s="24" t="str">
        <f aca="false">IF($A1165="","",INDEX(Workers!$B$5:$B$2004,MATCH($A1165,Workers!$A$5:$A$2004,0)))</f>
        <v/>
      </c>
      <c r="C1165" s="24" t="str">
        <f aca="false">IF($A1165="","",INDEX(Workers!$E$5:$E$2004,MATCH($A1165,Workers!$A$5:$A$2004,0)))</f>
        <v/>
      </c>
      <c r="D1165" s="24" t="str">
        <f aca="false">IF($A1165="","",INDEX(Workers!$K$5:$K$2004,MATCH($A1165,Workers!$A$5:$A$2004,0)))</f>
        <v/>
      </c>
      <c r="E1165" s="25" t="str">
        <f aca="false">IF($A1165="","",SUMIFS(Timesheet!$E$5:$E$3004,Timesheet!$D$5:$D$3004,$A1165,Timesheet!$A$5:$A$3004,"&gt;="&amp;Settings!$B$8,Timesheet!$A$5:$A$3004,"&lt;="&amp;Settings!$B$9))</f>
        <v/>
      </c>
      <c r="F1165" s="25" t="str">
        <f aca="false">IF($A1165="","",SUMIFS(Timesheet!$F$5:$F$3004,Timesheet!$D$5:$D$3004,$A1165,Timesheet!$A$5:$A$3004,"&gt;="&amp;Settings!$B$8,Timesheet!$A$5:$A$3004,"&lt;="&amp;Settings!$B$9))</f>
        <v/>
      </c>
      <c r="G1165" s="25" t="str">
        <f aca="false">IF($A1165="","",SUMIFS(Timesheet!$G$5:$G$3004,Timesheet!$D$5:$D$3004,$A1165,Timesheet!$A$5:$A$3004,"&gt;="&amp;Settings!$B$8,Timesheet!$A$5:$A$3004,"&lt;="&amp;Settings!$B$9))</f>
        <v/>
      </c>
      <c r="H1165" s="25" t="str">
        <f aca="false">IF($A1165="","",IF(D1165="Monthly",MAX(0,Settings!$B$11-E1165),0))</f>
        <v/>
      </c>
      <c r="I1165" s="26" t="str">
        <f aca="false">IF($A1165="","",N(INDEX(Workers!$L$5:$L$2004,MATCH($A1165,Workers!$A$5:$A$2004,0))))</f>
        <v/>
      </c>
      <c r="J1165" s="26" t="str">
        <f aca="false">IF($A1165="","",N(INDEX(Workers!$M$5:$M$2004,MATCH($A1165,Workers!$A$5:$A$2004,0))))</f>
        <v/>
      </c>
      <c r="K1165" s="26" t="str">
        <f aca="false">IF($A1165="","",IF(D1165="Monthly",ROUND(MAX(0,(I1165+J1165)-(I1165+J1165)/Settings!$B$10*H1165),2),0))</f>
        <v/>
      </c>
      <c r="L1165" s="26" t="str">
        <f aca="false">IF($A1165="","",IF(D1165="Hourly",ROUND(F1165*N(INDEX(Workers!$N$5:$N$2004,MATCH($A1165,Workers!$A$5:$A$2004,0))),2),0))</f>
        <v/>
      </c>
      <c r="M1165" s="26" t="str">
        <f aca="false">IF($A1165="","",ROUND(G1165*IF(D1165="Hourly",N(INDEX(Workers!$N$5:$N$2004,MATCH($A1165,Workers!$A$5:$A$2004,0))),I1165/Settings!$B$10/Settings!$B$12)*Settings!$B$13,2))</f>
        <v/>
      </c>
      <c r="N1165" s="26" t="str">
        <f aca="false">IF($A1165="","",K1165+L1165+M1165)</f>
        <v/>
      </c>
      <c r="O1165" s="26" t="str">
        <f aca="false">IF($A1165="","",SUMIFS(Deductions!$D$5:$D$2000,Deductions!$B$5:$B$2000,$A1165,Deductions!$C$5:$C$2000,"Advance",Deductions!$E$5:$E$2000,"&gt;="&amp;Settings!$B$8,Deductions!$E$5:$E$2000,"&lt;="&amp;Settings!$B$9))</f>
        <v/>
      </c>
      <c r="P1165" s="26" t="str">
        <f aca="false">IF($A1165="","",SUMIFS(Deductions!$D$5:$D$2000,Deductions!$B$5:$B$2000,$A1165,Deductions!$E$5:$E$2000,"&gt;="&amp;Settings!$B$8,Deductions!$E$5:$E$2000,"&lt;="&amp;Settings!$B$9)-O1165)</f>
        <v/>
      </c>
      <c r="Q1165" s="26" t="str">
        <f aca="false">IF($A1165="","",O1165+P1165)</f>
        <v/>
      </c>
      <c r="R1165" s="23" t="str">
        <f aca="false">IF($A1165="","",N1165-Q1165)</f>
        <v/>
      </c>
      <c r="S1165" s="24" t="str">
        <f aca="false">IF($A1165="","",INDEX(Workers!$O$5:$O$2004,MATCH($A1165,Workers!$A$5:$A$2004,0))&amp;"")</f>
        <v/>
      </c>
      <c r="T1165" s="24" t="str">
        <f aca="false">IF($A1165="","",INDEX(Workers!$P$5:$P$2004,MATCH($A1165,Workers!$A$5:$A$2004,0))&amp;"")</f>
        <v/>
      </c>
      <c r="U1165" s="24" t="str">
        <f aca="false">IF($A1165="","",INDEX(Workers!$H$5:$H$2004,MATCH($A1165,Workers!$A$5:$A$2004,0))&amp;"")</f>
        <v/>
      </c>
    </row>
    <row r="1166" customFormat="false" ht="15" hidden="false" customHeight="false" outlineLevel="0" collapsed="false">
      <c r="A1166" s="24" t="str">
        <f aca="false">IFERROR(INDEX(Workers!$A$5:$A$2004,MATCH(ROW()-4,Workers!$U$5:$U$2004,0)),"")</f>
        <v/>
      </c>
      <c r="B1166" s="24" t="str">
        <f aca="false">IF($A1166="","",INDEX(Workers!$B$5:$B$2004,MATCH($A1166,Workers!$A$5:$A$2004,0)))</f>
        <v/>
      </c>
      <c r="C1166" s="24" t="str">
        <f aca="false">IF($A1166="","",INDEX(Workers!$E$5:$E$2004,MATCH($A1166,Workers!$A$5:$A$2004,0)))</f>
        <v/>
      </c>
      <c r="D1166" s="24" t="str">
        <f aca="false">IF($A1166="","",INDEX(Workers!$K$5:$K$2004,MATCH($A1166,Workers!$A$5:$A$2004,0)))</f>
        <v/>
      </c>
      <c r="E1166" s="25" t="str">
        <f aca="false">IF($A1166="","",SUMIFS(Timesheet!$E$5:$E$3004,Timesheet!$D$5:$D$3004,$A1166,Timesheet!$A$5:$A$3004,"&gt;="&amp;Settings!$B$8,Timesheet!$A$5:$A$3004,"&lt;="&amp;Settings!$B$9))</f>
        <v/>
      </c>
      <c r="F1166" s="25" t="str">
        <f aca="false">IF($A1166="","",SUMIFS(Timesheet!$F$5:$F$3004,Timesheet!$D$5:$D$3004,$A1166,Timesheet!$A$5:$A$3004,"&gt;="&amp;Settings!$B$8,Timesheet!$A$5:$A$3004,"&lt;="&amp;Settings!$B$9))</f>
        <v/>
      </c>
      <c r="G1166" s="25" t="str">
        <f aca="false">IF($A1166="","",SUMIFS(Timesheet!$G$5:$G$3004,Timesheet!$D$5:$D$3004,$A1166,Timesheet!$A$5:$A$3004,"&gt;="&amp;Settings!$B$8,Timesheet!$A$5:$A$3004,"&lt;="&amp;Settings!$B$9))</f>
        <v/>
      </c>
      <c r="H1166" s="25" t="str">
        <f aca="false">IF($A1166="","",IF(D1166="Monthly",MAX(0,Settings!$B$11-E1166),0))</f>
        <v/>
      </c>
      <c r="I1166" s="26" t="str">
        <f aca="false">IF($A1166="","",N(INDEX(Workers!$L$5:$L$2004,MATCH($A1166,Workers!$A$5:$A$2004,0))))</f>
        <v/>
      </c>
      <c r="J1166" s="26" t="str">
        <f aca="false">IF($A1166="","",N(INDEX(Workers!$M$5:$M$2004,MATCH($A1166,Workers!$A$5:$A$2004,0))))</f>
        <v/>
      </c>
      <c r="K1166" s="26" t="str">
        <f aca="false">IF($A1166="","",IF(D1166="Monthly",ROUND(MAX(0,(I1166+J1166)-(I1166+J1166)/Settings!$B$10*H1166),2),0))</f>
        <v/>
      </c>
      <c r="L1166" s="26" t="str">
        <f aca="false">IF($A1166="","",IF(D1166="Hourly",ROUND(F1166*N(INDEX(Workers!$N$5:$N$2004,MATCH($A1166,Workers!$A$5:$A$2004,0))),2),0))</f>
        <v/>
      </c>
      <c r="M1166" s="26" t="str">
        <f aca="false">IF($A1166="","",ROUND(G1166*IF(D1166="Hourly",N(INDEX(Workers!$N$5:$N$2004,MATCH($A1166,Workers!$A$5:$A$2004,0))),I1166/Settings!$B$10/Settings!$B$12)*Settings!$B$13,2))</f>
        <v/>
      </c>
      <c r="N1166" s="26" t="str">
        <f aca="false">IF($A1166="","",K1166+L1166+M1166)</f>
        <v/>
      </c>
      <c r="O1166" s="26" t="str">
        <f aca="false">IF($A1166="","",SUMIFS(Deductions!$D$5:$D$2000,Deductions!$B$5:$B$2000,$A1166,Deductions!$C$5:$C$2000,"Advance",Deductions!$E$5:$E$2000,"&gt;="&amp;Settings!$B$8,Deductions!$E$5:$E$2000,"&lt;="&amp;Settings!$B$9))</f>
        <v/>
      </c>
      <c r="P1166" s="26" t="str">
        <f aca="false">IF($A1166="","",SUMIFS(Deductions!$D$5:$D$2000,Deductions!$B$5:$B$2000,$A1166,Deductions!$E$5:$E$2000,"&gt;="&amp;Settings!$B$8,Deductions!$E$5:$E$2000,"&lt;="&amp;Settings!$B$9)-O1166)</f>
        <v/>
      </c>
      <c r="Q1166" s="26" t="str">
        <f aca="false">IF($A1166="","",O1166+P1166)</f>
        <v/>
      </c>
      <c r="R1166" s="23" t="str">
        <f aca="false">IF($A1166="","",N1166-Q1166)</f>
        <v/>
      </c>
      <c r="S1166" s="24" t="str">
        <f aca="false">IF($A1166="","",INDEX(Workers!$O$5:$O$2004,MATCH($A1166,Workers!$A$5:$A$2004,0))&amp;"")</f>
        <v/>
      </c>
      <c r="T1166" s="24" t="str">
        <f aca="false">IF($A1166="","",INDEX(Workers!$P$5:$P$2004,MATCH($A1166,Workers!$A$5:$A$2004,0))&amp;"")</f>
        <v/>
      </c>
      <c r="U1166" s="24" t="str">
        <f aca="false">IF($A1166="","",INDEX(Workers!$H$5:$H$2004,MATCH($A1166,Workers!$A$5:$A$2004,0))&amp;"")</f>
        <v/>
      </c>
    </row>
    <row r="1167" customFormat="false" ht="15" hidden="false" customHeight="false" outlineLevel="0" collapsed="false">
      <c r="A1167" s="24" t="str">
        <f aca="false">IFERROR(INDEX(Workers!$A$5:$A$2004,MATCH(ROW()-4,Workers!$U$5:$U$2004,0)),"")</f>
        <v/>
      </c>
      <c r="B1167" s="24" t="str">
        <f aca="false">IF($A1167="","",INDEX(Workers!$B$5:$B$2004,MATCH($A1167,Workers!$A$5:$A$2004,0)))</f>
        <v/>
      </c>
      <c r="C1167" s="24" t="str">
        <f aca="false">IF($A1167="","",INDEX(Workers!$E$5:$E$2004,MATCH($A1167,Workers!$A$5:$A$2004,0)))</f>
        <v/>
      </c>
      <c r="D1167" s="24" t="str">
        <f aca="false">IF($A1167="","",INDEX(Workers!$K$5:$K$2004,MATCH($A1167,Workers!$A$5:$A$2004,0)))</f>
        <v/>
      </c>
      <c r="E1167" s="25" t="str">
        <f aca="false">IF($A1167="","",SUMIFS(Timesheet!$E$5:$E$3004,Timesheet!$D$5:$D$3004,$A1167,Timesheet!$A$5:$A$3004,"&gt;="&amp;Settings!$B$8,Timesheet!$A$5:$A$3004,"&lt;="&amp;Settings!$B$9))</f>
        <v/>
      </c>
      <c r="F1167" s="25" t="str">
        <f aca="false">IF($A1167="","",SUMIFS(Timesheet!$F$5:$F$3004,Timesheet!$D$5:$D$3004,$A1167,Timesheet!$A$5:$A$3004,"&gt;="&amp;Settings!$B$8,Timesheet!$A$5:$A$3004,"&lt;="&amp;Settings!$B$9))</f>
        <v/>
      </c>
      <c r="G1167" s="25" t="str">
        <f aca="false">IF($A1167="","",SUMIFS(Timesheet!$G$5:$G$3004,Timesheet!$D$5:$D$3004,$A1167,Timesheet!$A$5:$A$3004,"&gt;="&amp;Settings!$B$8,Timesheet!$A$5:$A$3004,"&lt;="&amp;Settings!$B$9))</f>
        <v/>
      </c>
      <c r="H1167" s="25" t="str">
        <f aca="false">IF($A1167="","",IF(D1167="Monthly",MAX(0,Settings!$B$11-E1167),0))</f>
        <v/>
      </c>
      <c r="I1167" s="26" t="str">
        <f aca="false">IF($A1167="","",N(INDEX(Workers!$L$5:$L$2004,MATCH($A1167,Workers!$A$5:$A$2004,0))))</f>
        <v/>
      </c>
      <c r="J1167" s="26" t="str">
        <f aca="false">IF($A1167="","",N(INDEX(Workers!$M$5:$M$2004,MATCH($A1167,Workers!$A$5:$A$2004,0))))</f>
        <v/>
      </c>
      <c r="K1167" s="26" t="str">
        <f aca="false">IF($A1167="","",IF(D1167="Monthly",ROUND(MAX(0,(I1167+J1167)-(I1167+J1167)/Settings!$B$10*H1167),2),0))</f>
        <v/>
      </c>
      <c r="L1167" s="26" t="str">
        <f aca="false">IF($A1167="","",IF(D1167="Hourly",ROUND(F1167*N(INDEX(Workers!$N$5:$N$2004,MATCH($A1167,Workers!$A$5:$A$2004,0))),2),0))</f>
        <v/>
      </c>
      <c r="M1167" s="26" t="str">
        <f aca="false">IF($A1167="","",ROUND(G1167*IF(D1167="Hourly",N(INDEX(Workers!$N$5:$N$2004,MATCH($A1167,Workers!$A$5:$A$2004,0))),I1167/Settings!$B$10/Settings!$B$12)*Settings!$B$13,2))</f>
        <v/>
      </c>
      <c r="N1167" s="26" t="str">
        <f aca="false">IF($A1167="","",K1167+L1167+M1167)</f>
        <v/>
      </c>
      <c r="O1167" s="26" t="str">
        <f aca="false">IF($A1167="","",SUMIFS(Deductions!$D$5:$D$2000,Deductions!$B$5:$B$2000,$A1167,Deductions!$C$5:$C$2000,"Advance",Deductions!$E$5:$E$2000,"&gt;="&amp;Settings!$B$8,Deductions!$E$5:$E$2000,"&lt;="&amp;Settings!$B$9))</f>
        <v/>
      </c>
      <c r="P1167" s="26" t="str">
        <f aca="false">IF($A1167="","",SUMIFS(Deductions!$D$5:$D$2000,Deductions!$B$5:$B$2000,$A1167,Deductions!$E$5:$E$2000,"&gt;="&amp;Settings!$B$8,Deductions!$E$5:$E$2000,"&lt;="&amp;Settings!$B$9)-O1167)</f>
        <v/>
      </c>
      <c r="Q1167" s="26" t="str">
        <f aca="false">IF($A1167="","",O1167+P1167)</f>
        <v/>
      </c>
      <c r="R1167" s="23" t="str">
        <f aca="false">IF($A1167="","",N1167-Q1167)</f>
        <v/>
      </c>
      <c r="S1167" s="24" t="str">
        <f aca="false">IF($A1167="","",INDEX(Workers!$O$5:$O$2004,MATCH($A1167,Workers!$A$5:$A$2004,0))&amp;"")</f>
        <v/>
      </c>
      <c r="T1167" s="24" t="str">
        <f aca="false">IF($A1167="","",INDEX(Workers!$P$5:$P$2004,MATCH($A1167,Workers!$A$5:$A$2004,0))&amp;"")</f>
        <v/>
      </c>
      <c r="U1167" s="24" t="str">
        <f aca="false">IF($A1167="","",INDEX(Workers!$H$5:$H$2004,MATCH($A1167,Workers!$A$5:$A$2004,0))&amp;"")</f>
        <v/>
      </c>
    </row>
    <row r="1168" customFormat="false" ht="15" hidden="false" customHeight="false" outlineLevel="0" collapsed="false">
      <c r="A1168" s="24" t="str">
        <f aca="false">IFERROR(INDEX(Workers!$A$5:$A$2004,MATCH(ROW()-4,Workers!$U$5:$U$2004,0)),"")</f>
        <v/>
      </c>
      <c r="B1168" s="24" t="str">
        <f aca="false">IF($A1168="","",INDEX(Workers!$B$5:$B$2004,MATCH($A1168,Workers!$A$5:$A$2004,0)))</f>
        <v/>
      </c>
      <c r="C1168" s="24" t="str">
        <f aca="false">IF($A1168="","",INDEX(Workers!$E$5:$E$2004,MATCH($A1168,Workers!$A$5:$A$2004,0)))</f>
        <v/>
      </c>
      <c r="D1168" s="24" t="str">
        <f aca="false">IF($A1168="","",INDEX(Workers!$K$5:$K$2004,MATCH($A1168,Workers!$A$5:$A$2004,0)))</f>
        <v/>
      </c>
      <c r="E1168" s="25" t="str">
        <f aca="false">IF($A1168="","",SUMIFS(Timesheet!$E$5:$E$3004,Timesheet!$D$5:$D$3004,$A1168,Timesheet!$A$5:$A$3004,"&gt;="&amp;Settings!$B$8,Timesheet!$A$5:$A$3004,"&lt;="&amp;Settings!$B$9))</f>
        <v/>
      </c>
      <c r="F1168" s="25" t="str">
        <f aca="false">IF($A1168="","",SUMIFS(Timesheet!$F$5:$F$3004,Timesheet!$D$5:$D$3004,$A1168,Timesheet!$A$5:$A$3004,"&gt;="&amp;Settings!$B$8,Timesheet!$A$5:$A$3004,"&lt;="&amp;Settings!$B$9))</f>
        <v/>
      </c>
      <c r="G1168" s="25" t="str">
        <f aca="false">IF($A1168="","",SUMIFS(Timesheet!$G$5:$G$3004,Timesheet!$D$5:$D$3004,$A1168,Timesheet!$A$5:$A$3004,"&gt;="&amp;Settings!$B$8,Timesheet!$A$5:$A$3004,"&lt;="&amp;Settings!$B$9))</f>
        <v/>
      </c>
      <c r="H1168" s="25" t="str">
        <f aca="false">IF($A1168="","",IF(D1168="Monthly",MAX(0,Settings!$B$11-E1168),0))</f>
        <v/>
      </c>
      <c r="I1168" s="26" t="str">
        <f aca="false">IF($A1168="","",N(INDEX(Workers!$L$5:$L$2004,MATCH($A1168,Workers!$A$5:$A$2004,0))))</f>
        <v/>
      </c>
      <c r="J1168" s="26" t="str">
        <f aca="false">IF($A1168="","",N(INDEX(Workers!$M$5:$M$2004,MATCH($A1168,Workers!$A$5:$A$2004,0))))</f>
        <v/>
      </c>
      <c r="K1168" s="26" t="str">
        <f aca="false">IF($A1168="","",IF(D1168="Monthly",ROUND(MAX(0,(I1168+J1168)-(I1168+J1168)/Settings!$B$10*H1168),2),0))</f>
        <v/>
      </c>
      <c r="L1168" s="26" t="str">
        <f aca="false">IF($A1168="","",IF(D1168="Hourly",ROUND(F1168*N(INDEX(Workers!$N$5:$N$2004,MATCH($A1168,Workers!$A$5:$A$2004,0))),2),0))</f>
        <v/>
      </c>
      <c r="M1168" s="26" t="str">
        <f aca="false">IF($A1168="","",ROUND(G1168*IF(D1168="Hourly",N(INDEX(Workers!$N$5:$N$2004,MATCH($A1168,Workers!$A$5:$A$2004,0))),I1168/Settings!$B$10/Settings!$B$12)*Settings!$B$13,2))</f>
        <v/>
      </c>
      <c r="N1168" s="26" t="str">
        <f aca="false">IF($A1168="","",K1168+L1168+M1168)</f>
        <v/>
      </c>
      <c r="O1168" s="26" t="str">
        <f aca="false">IF($A1168="","",SUMIFS(Deductions!$D$5:$D$2000,Deductions!$B$5:$B$2000,$A1168,Deductions!$C$5:$C$2000,"Advance",Deductions!$E$5:$E$2000,"&gt;="&amp;Settings!$B$8,Deductions!$E$5:$E$2000,"&lt;="&amp;Settings!$B$9))</f>
        <v/>
      </c>
      <c r="P1168" s="26" t="str">
        <f aca="false">IF($A1168="","",SUMIFS(Deductions!$D$5:$D$2000,Deductions!$B$5:$B$2000,$A1168,Deductions!$E$5:$E$2000,"&gt;="&amp;Settings!$B$8,Deductions!$E$5:$E$2000,"&lt;="&amp;Settings!$B$9)-O1168)</f>
        <v/>
      </c>
      <c r="Q1168" s="26" t="str">
        <f aca="false">IF($A1168="","",O1168+P1168)</f>
        <v/>
      </c>
      <c r="R1168" s="23" t="str">
        <f aca="false">IF($A1168="","",N1168-Q1168)</f>
        <v/>
      </c>
      <c r="S1168" s="24" t="str">
        <f aca="false">IF($A1168="","",INDEX(Workers!$O$5:$O$2004,MATCH($A1168,Workers!$A$5:$A$2004,0))&amp;"")</f>
        <v/>
      </c>
      <c r="T1168" s="24" t="str">
        <f aca="false">IF($A1168="","",INDEX(Workers!$P$5:$P$2004,MATCH($A1168,Workers!$A$5:$A$2004,0))&amp;"")</f>
        <v/>
      </c>
      <c r="U1168" s="24" t="str">
        <f aca="false">IF($A1168="","",INDEX(Workers!$H$5:$H$2004,MATCH($A1168,Workers!$A$5:$A$2004,0))&amp;"")</f>
        <v/>
      </c>
    </row>
    <row r="1169" customFormat="false" ht="15" hidden="false" customHeight="false" outlineLevel="0" collapsed="false">
      <c r="A1169" s="24" t="str">
        <f aca="false">IFERROR(INDEX(Workers!$A$5:$A$2004,MATCH(ROW()-4,Workers!$U$5:$U$2004,0)),"")</f>
        <v/>
      </c>
      <c r="B1169" s="24" t="str">
        <f aca="false">IF($A1169="","",INDEX(Workers!$B$5:$B$2004,MATCH($A1169,Workers!$A$5:$A$2004,0)))</f>
        <v/>
      </c>
      <c r="C1169" s="24" t="str">
        <f aca="false">IF($A1169="","",INDEX(Workers!$E$5:$E$2004,MATCH($A1169,Workers!$A$5:$A$2004,0)))</f>
        <v/>
      </c>
      <c r="D1169" s="24" t="str">
        <f aca="false">IF($A1169="","",INDEX(Workers!$K$5:$K$2004,MATCH($A1169,Workers!$A$5:$A$2004,0)))</f>
        <v/>
      </c>
      <c r="E1169" s="25" t="str">
        <f aca="false">IF($A1169="","",SUMIFS(Timesheet!$E$5:$E$3004,Timesheet!$D$5:$D$3004,$A1169,Timesheet!$A$5:$A$3004,"&gt;="&amp;Settings!$B$8,Timesheet!$A$5:$A$3004,"&lt;="&amp;Settings!$B$9))</f>
        <v/>
      </c>
      <c r="F1169" s="25" t="str">
        <f aca="false">IF($A1169="","",SUMIFS(Timesheet!$F$5:$F$3004,Timesheet!$D$5:$D$3004,$A1169,Timesheet!$A$5:$A$3004,"&gt;="&amp;Settings!$B$8,Timesheet!$A$5:$A$3004,"&lt;="&amp;Settings!$B$9))</f>
        <v/>
      </c>
      <c r="G1169" s="25" t="str">
        <f aca="false">IF($A1169="","",SUMIFS(Timesheet!$G$5:$G$3004,Timesheet!$D$5:$D$3004,$A1169,Timesheet!$A$5:$A$3004,"&gt;="&amp;Settings!$B$8,Timesheet!$A$5:$A$3004,"&lt;="&amp;Settings!$B$9))</f>
        <v/>
      </c>
      <c r="H1169" s="25" t="str">
        <f aca="false">IF($A1169="","",IF(D1169="Monthly",MAX(0,Settings!$B$11-E1169),0))</f>
        <v/>
      </c>
      <c r="I1169" s="26" t="str">
        <f aca="false">IF($A1169="","",N(INDEX(Workers!$L$5:$L$2004,MATCH($A1169,Workers!$A$5:$A$2004,0))))</f>
        <v/>
      </c>
      <c r="J1169" s="26" t="str">
        <f aca="false">IF($A1169="","",N(INDEX(Workers!$M$5:$M$2004,MATCH($A1169,Workers!$A$5:$A$2004,0))))</f>
        <v/>
      </c>
      <c r="K1169" s="26" t="str">
        <f aca="false">IF($A1169="","",IF(D1169="Monthly",ROUND(MAX(0,(I1169+J1169)-(I1169+J1169)/Settings!$B$10*H1169),2),0))</f>
        <v/>
      </c>
      <c r="L1169" s="26" t="str">
        <f aca="false">IF($A1169="","",IF(D1169="Hourly",ROUND(F1169*N(INDEX(Workers!$N$5:$N$2004,MATCH($A1169,Workers!$A$5:$A$2004,0))),2),0))</f>
        <v/>
      </c>
      <c r="M1169" s="26" t="str">
        <f aca="false">IF($A1169="","",ROUND(G1169*IF(D1169="Hourly",N(INDEX(Workers!$N$5:$N$2004,MATCH($A1169,Workers!$A$5:$A$2004,0))),I1169/Settings!$B$10/Settings!$B$12)*Settings!$B$13,2))</f>
        <v/>
      </c>
      <c r="N1169" s="26" t="str">
        <f aca="false">IF($A1169="","",K1169+L1169+M1169)</f>
        <v/>
      </c>
      <c r="O1169" s="26" t="str">
        <f aca="false">IF($A1169="","",SUMIFS(Deductions!$D$5:$D$2000,Deductions!$B$5:$B$2000,$A1169,Deductions!$C$5:$C$2000,"Advance",Deductions!$E$5:$E$2000,"&gt;="&amp;Settings!$B$8,Deductions!$E$5:$E$2000,"&lt;="&amp;Settings!$B$9))</f>
        <v/>
      </c>
      <c r="P1169" s="26" t="str">
        <f aca="false">IF($A1169="","",SUMIFS(Deductions!$D$5:$D$2000,Deductions!$B$5:$B$2000,$A1169,Deductions!$E$5:$E$2000,"&gt;="&amp;Settings!$B$8,Deductions!$E$5:$E$2000,"&lt;="&amp;Settings!$B$9)-O1169)</f>
        <v/>
      </c>
      <c r="Q1169" s="26" t="str">
        <f aca="false">IF($A1169="","",O1169+P1169)</f>
        <v/>
      </c>
      <c r="R1169" s="23" t="str">
        <f aca="false">IF($A1169="","",N1169-Q1169)</f>
        <v/>
      </c>
      <c r="S1169" s="24" t="str">
        <f aca="false">IF($A1169="","",INDEX(Workers!$O$5:$O$2004,MATCH($A1169,Workers!$A$5:$A$2004,0))&amp;"")</f>
        <v/>
      </c>
      <c r="T1169" s="24" t="str">
        <f aca="false">IF($A1169="","",INDEX(Workers!$P$5:$P$2004,MATCH($A1169,Workers!$A$5:$A$2004,0))&amp;"")</f>
        <v/>
      </c>
      <c r="U1169" s="24" t="str">
        <f aca="false">IF($A1169="","",INDEX(Workers!$H$5:$H$2004,MATCH($A1169,Workers!$A$5:$A$2004,0))&amp;"")</f>
        <v/>
      </c>
    </row>
    <row r="1170" customFormat="false" ht="15" hidden="false" customHeight="false" outlineLevel="0" collapsed="false">
      <c r="A1170" s="24" t="str">
        <f aca="false">IFERROR(INDEX(Workers!$A$5:$A$2004,MATCH(ROW()-4,Workers!$U$5:$U$2004,0)),"")</f>
        <v/>
      </c>
      <c r="B1170" s="24" t="str">
        <f aca="false">IF($A1170="","",INDEX(Workers!$B$5:$B$2004,MATCH($A1170,Workers!$A$5:$A$2004,0)))</f>
        <v/>
      </c>
      <c r="C1170" s="24" t="str">
        <f aca="false">IF($A1170="","",INDEX(Workers!$E$5:$E$2004,MATCH($A1170,Workers!$A$5:$A$2004,0)))</f>
        <v/>
      </c>
      <c r="D1170" s="24" t="str">
        <f aca="false">IF($A1170="","",INDEX(Workers!$K$5:$K$2004,MATCH($A1170,Workers!$A$5:$A$2004,0)))</f>
        <v/>
      </c>
      <c r="E1170" s="25" t="str">
        <f aca="false">IF($A1170="","",SUMIFS(Timesheet!$E$5:$E$3004,Timesheet!$D$5:$D$3004,$A1170,Timesheet!$A$5:$A$3004,"&gt;="&amp;Settings!$B$8,Timesheet!$A$5:$A$3004,"&lt;="&amp;Settings!$B$9))</f>
        <v/>
      </c>
      <c r="F1170" s="25" t="str">
        <f aca="false">IF($A1170="","",SUMIFS(Timesheet!$F$5:$F$3004,Timesheet!$D$5:$D$3004,$A1170,Timesheet!$A$5:$A$3004,"&gt;="&amp;Settings!$B$8,Timesheet!$A$5:$A$3004,"&lt;="&amp;Settings!$B$9))</f>
        <v/>
      </c>
      <c r="G1170" s="25" t="str">
        <f aca="false">IF($A1170="","",SUMIFS(Timesheet!$G$5:$G$3004,Timesheet!$D$5:$D$3004,$A1170,Timesheet!$A$5:$A$3004,"&gt;="&amp;Settings!$B$8,Timesheet!$A$5:$A$3004,"&lt;="&amp;Settings!$B$9))</f>
        <v/>
      </c>
      <c r="H1170" s="25" t="str">
        <f aca="false">IF($A1170="","",IF(D1170="Monthly",MAX(0,Settings!$B$11-E1170),0))</f>
        <v/>
      </c>
      <c r="I1170" s="26" t="str">
        <f aca="false">IF($A1170="","",N(INDEX(Workers!$L$5:$L$2004,MATCH($A1170,Workers!$A$5:$A$2004,0))))</f>
        <v/>
      </c>
      <c r="J1170" s="26" t="str">
        <f aca="false">IF($A1170="","",N(INDEX(Workers!$M$5:$M$2004,MATCH($A1170,Workers!$A$5:$A$2004,0))))</f>
        <v/>
      </c>
      <c r="K1170" s="26" t="str">
        <f aca="false">IF($A1170="","",IF(D1170="Monthly",ROUND(MAX(0,(I1170+J1170)-(I1170+J1170)/Settings!$B$10*H1170),2),0))</f>
        <v/>
      </c>
      <c r="L1170" s="26" t="str">
        <f aca="false">IF($A1170="","",IF(D1170="Hourly",ROUND(F1170*N(INDEX(Workers!$N$5:$N$2004,MATCH($A1170,Workers!$A$5:$A$2004,0))),2),0))</f>
        <v/>
      </c>
      <c r="M1170" s="26" t="str">
        <f aca="false">IF($A1170="","",ROUND(G1170*IF(D1170="Hourly",N(INDEX(Workers!$N$5:$N$2004,MATCH($A1170,Workers!$A$5:$A$2004,0))),I1170/Settings!$B$10/Settings!$B$12)*Settings!$B$13,2))</f>
        <v/>
      </c>
      <c r="N1170" s="26" t="str">
        <f aca="false">IF($A1170="","",K1170+L1170+M1170)</f>
        <v/>
      </c>
      <c r="O1170" s="26" t="str">
        <f aca="false">IF($A1170="","",SUMIFS(Deductions!$D$5:$D$2000,Deductions!$B$5:$B$2000,$A1170,Deductions!$C$5:$C$2000,"Advance",Deductions!$E$5:$E$2000,"&gt;="&amp;Settings!$B$8,Deductions!$E$5:$E$2000,"&lt;="&amp;Settings!$B$9))</f>
        <v/>
      </c>
      <c r="P1170" s="26" t="str">
        <f aca="false">IF($A1170="","",SUMIFS(Deductions!$D$5:$D$2000,Deductions!$B$5:$B$2000,$A1170,Deductions!$E$5:$E$2000,"&gt;="&amp;Settings!$B$8,Deductions!$E$5:$E$2000,"&lt;="&amp;Settings!$B$9)-O1170)</f>
        <v/>
      </c>
      <c r="Q1170" s="26" t="str">
        <f aca="false">IF($A1170="","",O1170+P1170)</f>
        <v/>
      </c>
      <c r="R1170" s="23" t="str">
        <f aca="false">IF($A1170="","",N1170-Q1170)</f>
        <v/>
      </c>
      <c r="S1170" s="24" t="str">
        <f aca="false">IF($A1170="","",INDEX(Workers!$O$5:$O$2004,MATCH($A1170,Workers!$A$5:$A$2004,0))&amp;"")</f>
        <v/>
      </c>
      <c r="T1170" s="24" t="str">
        <f aca="false">IF($A1170="","",INDEX(Workers!$P$5:$P$2004,MATCH($A1170,Workers!$A$5:$A$2004,0))&amp;"")</f>
        <v/>
      </c>
      <c r="U1170" s="24" t="str">
        <f aca="false">IF($A1170="","",INDEX(Workers!$H$5:$H$2004,MATCH($A1170,Workers!$A$5:$A$2004,0))&amp;"")</f>
        <v/>
      </c>
    </row>
    <row r="1171" customFormat="false" ht="15" hidden="false" customHeight="false" outlineLevel="0" collapsed="false">
      <c r="A1171" s="24" t="str">
        <f aca="false">IFERROR(INDEX(Workers!$A$5:$A$2004,MATCH(ROW()-4,Workers!$U$5:$U$2004,0)),"")</f>
        <v/>
      </c>
      <c r="B1171" s="24" t="str">
        <f aca="false">IF($A1171="","",INDEX(Workers!$B$5:$B$2004,MATCH($A1171,Workers!$A$5:$A$2004,0)))</f>
        <v/>
      </c>
      <c r="C1171" s="24" t="str">
        <f aca="false">IF($A1171="","",INDEX(Workers!$E$5:$E$2004,MATCH($A1171,Workers!$A$5:$A$2004,0)))</f>
        <v/>
      </c>
      <c r="D1171" s="24" t="str">
        <f aca="false">IF($A1171="","",INDEX(Workers!$K$5:$K$2004,MATCH($A1171,Workers!$A$5:$A$2004,0)))</f>
        <v/>
      </c>
      <c r="E1171" s="25" t="str">
        <f aca="false">IF($A1171="","",SUMIFS(Timesheet!$E$5:$E$3004,Timesheet!$D$5:$D$3004,$A1171,Timesheet!$A$5:$A$3004,"&gt;="&amp;Settings!$B$8,Timesheet!$A$5:$A$3004,"&lt;="&amp;Settings!$B$9))</f>
        <v/>
      </c>
      <c r="F1171" s="25" t="str">
        <f aca="false">IF($A1171="","",SUMIFS(Timesheet!$F$5:$F$3004,Timesheet!$D$5:$D$3004,$A1171,Timesheet!$A$5:$A$3004,"&gt;="&amp;Settings!$B$8,Timesheet!$A$5:$A$3004,"&lt;="&amp;Settings!$B$9))</f>
        <v/>
      </c>
      <c r="G1171" s="25" t="str">
        <f aca="false">IF($A1171="","",SUMIFS(Timesheet!$G$5:$G$3004,Timesheet!$D$5:$D$3004,$A1171,Timesheet!$A$5:$A$3004,"&gt;="&amp;Settings!$B$8,Timesheet!$A$5:$A$3004,"&lt;="&amp;Settings!$B$9))</f>
        <v/>
      </c>
      <c r="H1171" s="25" t="str">
        <f aca="false">IF($A1171="","",IF(D1171="Monthly",MAX(0,Settings!$B$11-E1171),0))</f>
        <v/>
      </c>
      <c r="I1171" s="26" t="str">
        <f aca="false">IF($A1171="","",N(INDEX(Workers!$L$5:$L$2004,MATCH($A1171,Workers!$A$5:$A$2004,0))))</f>
        <v/>
      </c>
      <c r="J1171" s="26" t="str">
        <f aca="false">IF($A1171="","",N(INDEX(Workers!$M$5:$M$2004,MATCH($A1171,Workers!$A$5:$A$2004,0))))</f>
        <v/>
      </c>
      <c r="K1171" s="26" t="str">
        <f aca="false">IF($A1171="","",IF(D1171="Monthly",ROUND(MAX(0,(I1171+J1171)-(I1171+J1171)/Settings!$B$10*H1171),2),0))</f>
        <v/>
      </c>
      <c r="L1171" s="26" t="str">
        <f aca="false">IF($A1171="","",IF(D1171="Hourly",ROUND(F1171*N(INDEX(Workers!$N$5:$N$2004,MATCH($A1171,Workers!$A$5:$A$2004,0))),2),0))</f>
        <v/>
      </c>
      <c r="M1171" s="26" t="str">
        <f aca="false">IF($A1171="","",ROUND(G1171*IF(D1171="Hourly",N(INDEX(Workers!$N$5:$N$2004,MATCH($A1171,Workers!$A$5:$A$2004,0))),I1171/Settings!$B$10/Settings!$B$12)*Settings!$B$13,2))</f>
        <v/>
      </c>
      <c r="N1171" s="26" t="str">
        <f aca="false">IF($A1171="","",K1171+L1171+M1171)</f>
        <v/>
      </c>
      <c r="O1171" s="26" t="str">
        <f aca="false">IF($A1171="","",SUMIFS(Deductions!$D$5:$D$2000,Deductions!$B$5:$B$2000,$A1171,Deductions!$C$5:$C$2000,"Advance",Deductions!$E$5:$E$2000,"&gt;="&amp;Settings!$B$8,Deductions!$E$5:$E$2000,"&lt;="&amp;Settings!$B$9))</f>
        <v/>
      </c>
      <c r="P1171" s="26" t="str">
        <f aca="false">IF($A1171="","",SUMIFS(Deductions!$D$5:$D$2000,Deductions!$B$5:$B$2000,$A1171,Deductions!$E$5:$E$2000,"&gt;="&amp;Settings!$B$8,Deductions!$E$5:$E$2000,"&lt;="&amp;Settings!$B$9)-O1171)</f>
        <v/>
      </c>
      <c r="Q1171" s="26" t="str">
        <f aca="false">IF($A1171="","",O1171+P1171)</f>
        <v/>
      </c>
      <c r="R1171" s="23" t="str">
        <f aca="false">IF($A1171="","",N1171-Q1171)</f>
        <v/>
      </c>
      <c r="S1171" s="24" t="str">
        <f aca="false">IF($A1171="","",INDEX(Workers!$O$5:$O$2004,MATCH($A1171,Workers!$A$5:$A$2004,0))&amp;"")</f>
        <v/>
      </c>
      <c r="T1171" s="24" t="str">
        <f aca="false">IF($A1171="","",INDEX(Workers!$P$5:$P$2004,MATCH($A1171,Workers!$A$5:$A$2004,0))&amp;"")</f>
        <v/>
      </c>
      <c r="U1171" s="24" t="str">
        <f aca="false">IF($A1171="","",INDEX(Workers!$H$5:$H$2004,MATCH($A1171,Workers!$A$5:$A$2004,0))&amp;"")</f>
        <v/>
      </c>
    </row>
    <row r="1172" customFormat="false" ht="15" hidden="false" customHeight="false" outlineLevel="0" collapsed="false">
      <c r="A1172" s="24" t="str">
        <f aca="false">IFERROR(INDEX(Workers!$A$5:$A$2004,MATCH(ROW()-4,Workers!$U$5:$U$2004,0)),"")</f>
        <v/>
      </c>
      <c r="B1172" s="24" t="str">
        <f aca="false">IF($A1172="","",INDEX(Workers!$B$5:$B$2004,MATCH($A1172,Workers!$A$5:$A$2004,0)))</f>
        <v/>
      </c>
      <c r="C1172" s="24" t="str">
        <f aca="false">IF($A1172="","",INDEX(Workers!$E$5:$E$2004,MATCH($A1172,Workers!$A$5:$A$2004,0)))</f>
        <v/>
      </c>
      <c r="D1172" s="24" t="str">
        <f aca="false">IF($A1172="","",INDEX(Workers!$K$5:$K$2004,MATCH($A1172,Workers!$A$5:$A$2004,0)))</f>
        <v/>
      </c>
      <c r="E1172" s="25" t="str">
        <f aca="false">IF($A1172="","",SUMIFS(Timesheet!$E$5:$E$3004,Timesheet!$D$5:$D$3004,$A1172,Timesheet!$A$5:$A$3004,"&gt;="&amp;Settings!$B$8,Timesheet!$A$5:$A$3004,"&lt;="&amp;Settings!$B$9))</f>
        <v/>
      </c>
      <c r="F1172" s="25" t="str">
        <f aca="false">IF($A1172="","",SUMIFS(Timesheet!$F$5:$F$3004,Timesheet!$D$5:$D$3004,$A1172,Timesheet!$A$5:$A$3004,"&gt;="&amp;Settings!$B$8,Timesheet!$A$5:$A$3004,"&lt;="&amp;Settings!$B$9))</f>
        <v/>
      </c>
      <c r="G1172" s="25" t="str">
        <f aca="false">IF($A1172="","",SUMIFS(Timesheet!$G$5:$G$3004,Timesheet!$D$5:$D$3004,$A1172,Timesheet!$A$5:$A$3004,"&gt;="&amp;Settings!$B$8,Timesheet!$A$5:$A$3004,"&lt;="&amp;Settings!$B$9))</f>
        <v/>
      </c>
      <c r="H1172" s="25" t="str">
        <f aca="false">IF($A1172="","",IF(D1172="Monthly",MAX(0,Settings!$B$11-E1172),0))</f>
        <v/>
      </c>
      <c r="I1172" s="26" t="str">
        <f aca="false">IF($A1172="","",N(INDEX(Workers!$L$5:$L$2004,MATCH($A1172,Workers!$A$5:$A$2004,0))))</f>
        <v/>
      </c>
      <c r="J1172" s="26" t="str">
        <f aca="false">IF($A1172="","",N(INDEX(Workers!$M$5:$M$2004,MATCH($A1172,Workers!$A$5:$A$2004,0))))</f>
        <v/>
      </c>
      <c r="K1172" s="26" t="str">
        <f aca="false">IF($A1172="","",IF(D1172="Monthly",ROUND(MAX(0,(I1172+J1172)-(I1172+J1172)/Settings!$B$10*H1172),2),0))</f>
        <v/>
      </c>
      <c r="L1172" s="26" t="str">
        <f aca="false">IF($A1172="","",IF(D1172="Hourly",ROUND(F1172*N(INDEX(Workers!$N$5:$N$2004,MATCH($A1172,Workers!$A$5:$A$2004,0))),2),0))</f>
        <v/>
      </c>
      <c r="M1172" s="26" t="str">
        <f aca="false">IF($A1172="","",ROUND(G1172*IF(D1172="Hourly",N(INDEX(Workers!$N$5:$N$2004,MATCH($A1172,Workers!$A$5:$A$2004,0))),I1172/Settings!$B$10/Settings!$B$12)*Settings!$B$13,2))</f>
        <v/>
      </c>
      <c r="N1172" s="26" t="str">
        <f aca="false">IF($A1172="","",K1172+L1172+M1172)</f>
        <v/>
      </c>
      <c r="O1172" s="26" t="str">
        <f aca="false">IF($A1172="","",SUMIFS(Deductions!$D$5:$D$2000,Deductions!$B$5:$B$2000,$A1172,Deductions!$C$5:$C$2000,"Advance",Deductions!$E$5:$E$2000,"&gt;="&amp;Settings!$B$8,Deductions!$E$5:$E$2000,"&lt;="&amp;Settings!$B$9))</f>
        <v/>
      </c>
      <c r="P1172" s="26" t="str">
        <f aca="false">IF($A1172="","",SUMIFS(Deductions!$D$5:$D$2000,Deductions!$B$5:$B$2000,$A1172,Deductions!$E$5:$E$2000,"&gt;="&amp;Settings!$B$8,Deductions!$E$5:$E$2000,"&lt;="&amp;Settings!$B$9)-O1172)</f>
        <v/>
      </c>
      <c r="Q1172" s="26" t="str">
        <f aca="false">IF($A1172="","",O1172+P1172)</f>
        <v/>
      </c>
      <c r="R1172" s="23" t="str">
        <f aca="false">IF($A1172="","",N1172-Q1172)</f>
        <v/>
      </c>
      <c r="S1172" s="24" t="str">
        <f aca="false">IF($A1172="","",INDEX(Workers!$O$5:$O$2004,MATCH($A1172,Workers!$A$5:$A$2004,0))&amp;"")</f>
        <v/>
      </c>
      <c r="T1172" s="24" t="str">
        <f aca="false">IF($A1172="","",INDEX(Workers!$P$5:$P$2004,MATCH($A1172,Workers!$A$5:$A$2004,0))&amp;"")</f>
        <v/>
      </c>
      <c r="U1172" s="24" t="str">
        <f aca="false">IF($A1172="","",INDEX(Workers!$H$5:$H$2004,MATCH($A1172,Workers!$A$5:$A$2004,0))&amp;"")</f>
        <v/>
      </c>
    </row>
    <row r="1173" customFormat="false" ht="15" hidden="false" customHeight="false" outlineLevel="0" collapsed="false">
      <c r="A1173" s="24" t="str">
        <f aca="false">IFERROR(INDEX(Workers!$A$5:$A$2004,MATCH(ROW()-4,Workers!$U$5:$U$2004,0)),"")</f>
        <v/>
      </c>
      <c r="B1173" s="24" t="str">
        <f aca="false">IF($A1173="","",INDEX(Workers!$B$5:$B$2004,MATCH($A1173,Workers!$A$5:$A$2004,0)))</f>
        <v/>
      </c>
      <c r="C1173" s="24" t="str">
        <f aca="false">IF($A1173="","",INDEX(Workers!$E$5:$E$2004,MATCH($A1173,Workers!$A$5:$A$2004,0)))</f>
        <v/>
      </c>
      <c r="D1173" s="24" t="str">
        <f aca="false">IF($A1173="","",INDEX(Workers!$K$5:$K$2004,MATCH($A1173,Workers!$A$5:$A$2004,0)))</f>
        <v/>
      </c>
      <c r="E1173" s="25" t="str">
        <f aca="false">IF($A1173="","",SUMIFS(Timesheet!$E$5:$E$3004,Timesheet!$D$5:$D$3004,$A1173,Timesheet!$A$5:$A$3004,"&gt;="&amp;Settings!$B$8,Timesheet!$A$5:$A$3004,"&lt;="&amp;Settings!$B$9))</f>
        <v/>
      </c>
      <c r="F1173" s="25" t="str">
        <f aca="false">IF($A1173="","",SUMIFS(Timesheet!$F$5:$F$3004,Timesheet!$D$5:$D$3004,$A1173,Timesheet!$A$5:$A$3004,"&gt;="&amp;Settings!$B$8,Timesheet!$A$5:$A$3004,"&lt;="&amp;Settings!$B$9))</f>
        <v/>
      </c>
      <c r="G1173" s="25" t="str">
        <f aca="false">IF($A1173="","",SUMIFS(Timesheet!$G$5:$G$3004,Timesheet!$D$5:$D$3004,$A1173,Timesheet!$A$5:$A$3004,"&gt;="&amp;Settings!$B$8,Timesheet!$A$5:$A$3004,"&lt;="&amp;Settings!$B$9))</f>
        <v/>
      </c>
      <c r="H1173" s="25" t="str">
        <f aca="false">IF($A1173="","",IF(D1173="Monthly",MAX(0,Settings!$B$11-E1173),0))</f>
        <v/>
      </c>
      <c r="I1173" s="26" t="str">
        <f aca="false">IF($A1173="","",N(INDEX(Workers!$L$5:$L$2004,MATCH($A1173,Workers!$A$5:$A$2004,0))))</f>
        <v/>
      </c>
      <c r="J1173" s="26" t="str">
        <f aca="false">IF($A1173="","",N(INDEX(Workers!$M$5:$M$2004,MATCH($A1173,Workers!$A$5:$A$2004,0))))</f>
        <v/>
      </c>
      <c r="K1173" s="26" t="str">
        <f aca="false">IF($A1173="","",IF(D1173="Monthly",ROUND(MAX(0,(I1173+J1173)-(I1173+J1173)/Settings!$B$10*H1173),2),0))</f>
        <v/>
      </c>
      <c r="L1173" s="26" t="str">
        <f aca="false">IF($A1173="","",IF(D1173="Hourly",ROUND(F1173*N(INDEX(Workers!$N$5:$N$2004,MATCH($A1173,Workers!$A$5:$A$2004,0))),2),0))</f>
        <v/>
      </c>
      <c r="M1173" s="26" t="str">
        <f aca="false">IF($A1173="","",ROUND(G1173*IF(D1173="Hourly",N(INDEX(Workers!$N$5:$N$2004,MATCH($A1173,Workers!$A$5:$A$2004,0))),I1173/Settings!$B$10/Settings!$B$12)*Settings!$B$13,2))</f>
        <v/>
      </c>
      <c r="N1173" s="26" t="str">
        <f aca="false">IF($A1173="","",K1173+L1173+M1173)</f>
        <v/>
      </c>
      <c r="O1173" s="26" t="str">
        <f aca="false">IF($A1173="","",SUMIFS(Deductions!$D$5:$D$2000,Deductions!$B$5:$B$2000,$A1173,Deductions!$C$5:$C$2000,"Advance",Deductions!$E$5:$E$2000,"&gt;="&amp;Settings!$B$8,Deductions!$E$5:$E$2000,"&lt;="&amp;Settings!$B$9))</f>
        <v/>
      </c>
      <c r="P1173" s="26" t="str">
        <f aca="false">IF($A1173="","",SUMIFS(Deductions!$D$5:$D$2000,Deductions!$B$5:$B$2000,$A1173,Deductions!$E$5:$E$2000,"&gt;="&amp;Settings!$B$8,Deductions!$E$5:$E$2000,"&lt;="&amp;Settings!$B$9)-O1173)</f>
        <v/>
      </c>
      <c r="Q1173" s="26" t="str">
        <f aca="false">IF($A1173="","",O1173+P1173)</f>
        <v/>
      </c>
      <c r="R1173" s="23" t="str">
        <f aca="false">IF($A1173="","",N1173-Q1173)</f>
        <v/>
      </c>
      <c r="S1173" s="24" t="str">
        <f aca="false">IF($A1173="","",INDEX(Workers!$O$5:$O$2004,MATCH($A1173,Workers!$A$5:$A$2004,0))&amp;"")</f>
        <v/>
      </c>
      <c r="T1173" s="24" t="str">
        <f aca="false">IF($A1173="","",INDEX(Workers!$P$5:$P$2004,MATCH($A1173,Workers!$A$5:$A$2004,0))&amp;"")</f>
        <v/>
      </c>
      <c r="U1173" s="24" t="str">
        <f aca="false">IF($A1173="","",INDEX(Workers!$H$5:$H$2004,MATCH($A1173,Workers!$A$5:$A$2004,0))&amp;"")</f>
        <v/>
      </c>
    </row>
    <row r="1174" customFormat="false" ht="15" hidden="false" customHeight="false" outlineLevel="0" collapsed="false">
      <c r="A1174" s="24" t="str">
        <f aca="false">IFERROR(INDEX(Workers!$A$5:$A$2004,MATCH(ROW()-4,Workers!$U$5:$U$2004,0)),"")</f>
        <v/>
      </c>
      <c r="B1174" s="24" t="str">
        <f aca="false">IF($A1174="","",INDEX(Workers!$B$5:$B$2004,MATCH($A1174,Workers!$A$5:$A$2004,0)))</f>
        <v/>
      </c>
      <c r="C1174" s="24" t="str">
        <f aca="false">IF($A1174="","",INDEX(Workers!$E$5:$E$2004,MATCH($A1174,Workers!$A$5:$A$2004,0)))</f>
        <v/>
      </c>
      <c r="D1174" s="24" t="str">
        <f aca="false">IF($A1174="","",INDEX(Workers!$K$5:$K$2004,MATCH($A1174,Workers!$A$5:$A$2004,0)))</f>
        <v/>
      </c>
      <c r="E1174" s="25" t="str">
        <f aca="false">IF($A1174="","",SUMIFS(Timesheet!$E$5:$E$3004,Timesheet!$D$5:$D$3004,$A1174,Timesheet!$A$5:$A$3004,"&gt;="&amp;Settings!$B$8,Timesheet!$A$5:$A$3004,"&lt;="&amp;Settings!$B$9))</f>
        <v/>
      </c>
      <c r="F1174" s="25" t="str">
        <f aca="false">IF($A1174="","",SUMIFS(Timesheet!$F$5:$F$3004,Timesheet!$D$5:$D$3004,$A1174,Timesheet!$A$5:$A$3004,"&gt;="&amp;Settings!$B$8,Timesheet!$A$5:$A$3004,"&lt;="&amp;Settings!$B$9))</f>
        <v/>
      </c>
      <c r="G1174" s="25" t="str">
        <f aca="false">IF($A1174="","",SUMIFS(Timesheet!$G$5:$G$3004,Timesheet!$D$5:$D$3004,$A1174,Timesheet!$A$5:$A$3004,"&gt;="&amp;Settings!$B$8,Timesheet!$A$5:$A$3004,"&lt;="&amp;Settings!$B$9))</f>
        <v/>
      </c>
      <c r="H1174" s="25" t="str">
        <f aca="false">IF($A1174="","",IF(D1174="Monthly",MAX(0,Settings!$B$11-E1174),0))</f>
        <v/>
      </c>
      <c r="I1174" s="26" t="str">
        <f aca="false">IF($A1174="","",N(INDEX(Workers!$L$5:$L$2004,MATCH($A1174,Workers!$A$5:$A$2004,0))))</f>
        <v/>
      </c>
      <c r="J1174" s="26" t="str">
        <f aca="false">IF($A1174="","",N(INDEX(Workers!$M$5:$M$2004,MATCH($A1174,Workers!$A$5:$A$2004,0))))</f>
        <v/>
      </c>
      <c r="K1174" s="26" t="str">
        <f aca="false">IF($A1174="","",IF(D1174="Monthly",ROUND(MAX(0,(I1174+J1174)-(I1174+J1174)/Settings!$B$10*H1174),2),0))</f>
        <v/>
      </c>
      <c r="L1174" s="26" t="str">
        <f aca="false">IF($A1174="","",IF(D1174="Hourly",ROUND(F1174*N(INDEX(Workers!$N$5:$N$2004,MATCH($A1174,Workers!$A$5:$A$2004,0))),2),0))</f>
        <v/>
      </c>
      <c r="M1174" s="26" t="str">
        <f aca="false">IF($A1174="","",ROUND(G1174*IF(D1174="Hourly",N(INDEX(Workers!$N$5:$N$2004,MATCH($A1174,Workers!$A$5:$A$2004,0))),I1174/Settings!$B$10/Settings!$B$12)*Settings!$B$13,2))</f>
        <v/>
      </c>
      <c r="N1174" s="26" t="str">
        <f aca="false">IF($A1174="","",K1174+L1174+M1174)</f>
        <v/>
      </c>
      <c r="O1174" s="26" t="str">
        <f aca="false">IF($A1174="","",SUMIFS(Deductions!$D$5:$D$2000,Deductions!$B$5:$B$2000,$A1174,Deductions!$C$5:$C$2000,"Advance",Deductions!$E$5:$E$2000,"&gt;="&amp;Settings!$B$8,Deductions!$E$5:$E$2000,"&lt;="&amp;Settings!$B$9))</f>
        <v/>
      </c>
      <c r="P1174" s="26" t="str">
        <f aca="false">IF($A1174="","",SUMIFS(Deductions!$D$5:$D$2000,Deductions!$B$5:$B$2000,$A1174,Deductions!$E$5:$E$2000,"&gt;="&amp;Settings!$B$8,Deductions!$E$5:$E$2000,"&lt;="&amp;Settings!$B$9)-O1174)</f>
        <v/>
      </c>
      <c r="Q1174" s="26" t="str">
        <f aca="false">IF($A1174="","",O1174+P1174)</f>
        <v/>
      </c>
      <c r="R1174" s="23" t="str">
        <f aca="false">IF($A1174="","",N1174-Q1174)</f>
        <v/>
      </c>
      <c r="S1174" s="24" t="str">
        <f aca="false">IF($A1174="","",INDEX(Workers!$O$5:$O$2004,MATCH($A1174,Workers!$A$5:$A$2004,0))&amp;"")</f>
        <v/>
      </c>
      <c r="T1174" s="24" t="str">
        <f aca="false">IF($A1174="","",INDEX(Workers!$P$5:$P$2004,MATCH($A1174,Workers!$A$5:$A$2004,0))&amp;"")</f>
        <v/>
      </c>
      <c r="U1174" s="24" t="str">
        <f aca="false">IF($A1174="","",INDEX(Workers!$H$5:$H$2004,MATCH($A1174,Workers!$A$5:$A$2004,0))&amp;"")</f>
        <v/>
      </c>
    </row>
    <row r="1175" customFormat="false" ht="15" hidden="false" customHeight="false" outlineLevel="0" collapsed="false">
      <c r="A1175" s="24" t="str">
        <f aca="false">IFERROR(INDEX(Workers!$A$5:$A$2004,MATCH(ROW()-4,Workers!$U$5:$U$2004,0)),"")</f>
        <v/>
      </c>
      <c r="B1175" s="24" t="str">
        <f aca="false">IF($A1175="","",INDEX(Workers!$B$5:$B$2004,MATCH($A1175,Workers!$A$5:$A$2004,0)))</f>
        <v/>
      </c>
      <c r="C1175" s="24" t="str">
        <f aca="false">IF($A1175="","",INDEX(Workers!$E$5:$E$2004,MATCH($A1175,Workers!$A$5:$A$2004,0)))</f>
        <v/>
      </c>
      <c r="D1175" s="24" t="str">
        <f aca="false">IF($A1175="","",INDEX(Workers!$K$5:$K$2004,MATCH($A1175,Workers!$A$5:$A$2004,0)))</f>
        <v/>
      </c>
      <c r="E1175" s="25" t="str">
        <f aca="false">IF($A1175="","",SUMIFS(Timesheet!$E$5:$E$3004,Timesheet!$D$5:$D$3004,$A1175,Timesheet!$A$5:$A$3004,"&gt;="&amp;Settings!$B$8,Timesheet!$A$5:$A$3004,"&lt;="&amp;Settings!$B$9))</f>
        <v/>
      </c>
      <c r="F1175" s="25" t="str">
        <f aca="false">IF($A1175="","",SUMIFS(Timesheet!$F$5:$F$3004,Timesheet!$D$5:$D$3004,$A1175,Timesheet!$A$5:$A$3004,"&gt;="&amp;Settings!$B$8,Timesheet!$A$5:$A$3004,"&lt;="&amp;Settings!$B$9))</f>
        <v/>
      </c>
      <c r="G1175" s="25" t="str">
        <f aca="false">IF($A1175="","",SUMIFS(Timesheet!$G$5:$G$3004,Timesheet!$D$5:$D$3004,$A1175,Timesheet!$A$5:$A$3004,"&gt;="&amp;Settings!$B$8,Timesheet!$A$5:$A$3004,"&lt;="&amp;Settings!$B$9))</f>
        <v/>
      </c>
      <c r="H1175" s="25" t="str">
        <f aca="false">IF($A1175="","",IF(D1175="Monthly",MAX(0,Settings!$B$11-E1175),0))</f>
        <v/>
      </c>
      <c r="I1175" s="26" t="str">
        <f aca="false">IF($A1175="","",N(INDEX(Workers!$L$5:$L$2004,MATCH($A1175,Workers!$A$5:$A$2004,0))))</f>
        <v/>
      </c>
      <c r="J1175" s="26" t="str">
        <f aca="false">IF($A1175="","",N(INDEX(Workers!$M$5:$M$2004,MATCH($A1175,Workers!$A$5:$A$2004,0))))</f>
        <v/>
      </c>
      <c r="K1175" s="26" t="str">
        <f aca="false">IF($A1175="","",IF(D1175="Monthly",ROUND(MAX(0,(I1175+J1175)-(I1175+J1175)/Settings!$B$10*H1175),2),0))</f>
        <v/>
      </c>
      <c r="L1175" s="26" t="str">
        <f aca="false">IF($A1175="","",IF(D1175="Hourly",ROUND(F1175*N(INDEX(Workers!$N$5:$N$2004,MATCH($A1175,Workers!$A$5:$A$2004,0))),2),0))</f>
        <v/>
      </c>
      <c r="M1175" s="26" t="str">
        <f aca="false">IF($A1175="","",ROUND(G1175*IF(D1175="Hourly",N(INDEX(Workers!$N$5:$N$2004,MATCH($A1175,Workers!$A$5:$A$2004,0))),I1175/Settings!$B$10/Settings!$B$12)*Settings!$B$13,2))</f>
        <v/>
      </c>
      <c r="N1175" s="26" t="str">
        <f aca="false">IF($A1175="","",K1175+L1175+M1175)</f>
        <v/>
      </c>
      <c r="O1175" s="26" t="str">
        <f aca="false">IF($A1175="","",SUMIFS(Deductions!$D$5:$D$2000,Deductions!$B$5:$B$2000,$A1175,Deductions!$C$5:$C$2000,"Advance",Deductions!$E$5:$E$2000,"&gt;="&amp;Settings!$B$8,Deductions!$E$5:$E$2000,"&lt;="&amp;Settings!$B$9))</f>
        <v/>
      </c>
      <c r="P1175" s="26" t="str">
        <f aca="false">IF($A1175="","",SUMIFS(Deductions!$D$5:$D$2000,Deductions!$B$5:$B$2000,$A1175,Deductions!$E$5:$E$2000,"&gt;="&amp;Settings!$B$8,Deductions!$E$5:$E$2000,"&lt;="&amp;Settings!$B$9)-O1175)</f>
        <v/>
      </c>
      <c r="Q1175" s="26" t="str">
        <f aca="false">IF($A1175="","",O1175+P1175)</f>
        <v/>
      </c>
      <c r="R1175" s="23" t="str">
        <f aca="false">IF($A1175="","",N1175-Q1175)</f>
        <v/>
      </c>
      <c r="S1175" s="24" t="str">
        <f aca="false">IF($A1175="","",INDEX(Workers!$O$5:$O$2004,MATCH($A1175,Workers!$A$5:$A$2004,0))&amp;"")</f>
        <v/>
      </c>
      <c r="T1175" s="24" t="str">
        <f aca="false">IF($A1175="","",INDEX(Workers!$P$5:$P$2004,MATCH($A1175,Workers!$A$5:$A$2004,0))&amp;"")</f>
        <v/>
      </c>
      <c r="U1175" s="24" t="str">
        <f aca="false">IF($A1175="","",INDEX(Workers!$H$5:$H$2004,MATCH($A1175,Workers!$A$5:$A$2004,0))&amp;"")</f>
        <v/>
      </c>
    </row>
    <row r="1176" customFormat="false" ht="15" hidden="false" customHeight="false" outlineLevel="0" collapsed="false">
      <c r="A1176" s="24" t="str">
        <f aca="false">IFERROR(INDEX(Workers!$A$5:$A$2004,MATCH(ROW()-4,Workers!$U$5:$U$2004,0)),"")</f>
        <v/>
      </c>
      <c r="B1176" s="24" t="str">
        <f aca="false">IF($A1176="","",INDEX(Workers!$B$5:$B$2004,MATCH($A1176,Workers!$A$5:$A$2004,0)))</f>
        <v/>
      </c>
      <c r="C1176" s="24" t="str">
        <f aca="false">IF($A1176="","",INDEX(Workers!$E$5:$E$2004,MATCH($A1176,Workers!$A$5:$A$2004,0)))</f>
        <v/>
      </c>
      <c r="D1176" s="24" t="str">
        <f aca="false">IF($A1176="","",INDEX(Workers!$K$5:$K$2004,MATCH($A1176,Workers!$A$5:$A$2004,0)))</f>
        <v/>
      </c>
      <c r="E1176" s="25" t="str">
        <f aca="false">IF($A1176="","",SUMIFS(Timesheet!$E$5:$E$3004,Timesheet!$D$5:$D$3004,$A1176,Timesheet!$A$5:$A$3004,"&gt;="&amp;Settings!$B$8,Timesheet!$A$5:$A$3004,"&lt;="&amp;Settings!$B$9))</f>
        <v/>
      </c>
      <c r="F1176" s="25" t="str">
        <f aca="false">IF($A1176="","",SUMIFS(Timesheet!$F$5:$F$3004,Timesheet!$D$5:$D$3004,$A1176,Timesheet!$A$5:$A$3004,"&gt;="&amp;Settings!$B$8,Timesheet!$A$5:$A$3004,"&lt;="&amp;Settings!$B$9))</f>
        <v/>
      </c>
      <c r="G1176" s="25" t="str">
        <f aca="false">IF($A1176="","",SUMIFS(Timesheet!$G$5:$G$3004,Timesheet!$D$5:$D$3004,$A1176,Timesheet!$A$5:$A$3004,"&gt;="&amp;Settings!$B$8,Timesheet!$A$5:$A$3004,"&lt;="&amp;Settings!$B$9))</f>
        <v/>
      </c>
      <c r="H1176" s="25" t="str">
        <f aca="false">IF($A1176="","",IF(D1176="Monthly",MAX(0,Settings!$B$11-E1176),0))</f>
        <v/>
      </c>
      <c r="I1176" s="26" t="str">
        <f aca="false">IF($A1176="","",N(INDEX(Workers!$L$5:$L$2004,MATCH($A1176,Workers!$A$5:$A$2004,0))))</f>
        <v/>
      </c>
      <c r="J1176" s="26" t="str">
        <f aca="false">IF($A1176="","",N(INDEX(Workers!$M$5:$M$2004,MATCH($A1176,Workers!$A$5:$A$2004,0))))</f>
        <v/>
      </c>
      <c r="K1176" s="26" t="str">
        <f aca="false">IF($A1176="","",IF(D1176="Monthly",ROUND(MAX(0,(I1176+J1176)-(I1176+J1176)/Settings!$B$10*H1176),2),0))</f>
        <v/>
      </c>
      <c r="L1176" s="26" t="str">
        <f aca="false">IF($A1176="","",IF(D1176="Hourly",ROUND(F1176*N(INDEX(Workers!$N$5:$N$2004,MATCH($A1176,Workers!$A$5:$A$2004,0))),2),0))</f>
        <v/>
      </c>
      <c r="M1176" s="26" t="str">
        <f aca="false">IF($A1176="","",ROUND(G1176*IF(D1176="Hourly",N(INDEX(Workers!$N$5:$N$2004,MATCH($A1176,Workers!$A$5:$A$2004,0))),I1176/Settings!$B$10/Settings!$B$12)*Settings!$B$13,2))</f>
        <v/>
      </c>
      <c r="N1176" s="26" t="str">
        <f aca="false">IF($A1176="","",K1176+L1176+M1176)</f>
        <v/>
      </c>
      <c r="O1176" s="26" t="str">
        <f aca="false">IF($A1176="","",SUMIFS(Deductions!$D$5:$D$2000,Deductions!$B$5:$B$2000,$A1176,Deductions!$C$5:$C$2000,"Advance",Deductions!$E$5:$E$2000,"&gt;="&amp;Settings!$B$8,Deductions!$E$5:$E$2000,"&lt;="&amp;Settings!$B$9))</f>
        <v/>
      </c>
      <c r="P1176" s="26" t="str">
        <f aca="false">IF($A1176="","",SUMIFS(Deductions!$D$5:$D$2000,Deductions!$B$5:$B$2000,$A1176,Deductions!$E$5:$E$2000,"&gt;="&amp;Settings!$B$8,Deductions!$E$5:$E$2000,"&lt;="&amp;Settings!$B$9)-O1176)</f>
        <v/>
      </c>
      <c r="Q1176" s="26" t="str">
        <f aca="false">IF($A1176="","",O1176+P1176)</f>
        <v/>
      </c>
      <c r="R1176" s="23" t="str">
        <f aca="false">IF($A1176="","",N1176-Q1176)</f>
        <v/>
      </c>
      <c r="S1176" s="24" t="str">
        <f aca="false">IF($A1176="","",INDEX(Workers!$O$5:$O$2004,MATCH($A1176,Workers!$A$5:$A$2004,0))&amp;"")</f>
        <v/>
      </c>
      <c r="T1176" s="24" t="str">
        <f aca="false">IF($A1176="","",INDEX(Workers!$P$5:$P$2004,MATCH($A1176,Workers!$A$5:$A$2004,0))&amp;"")</f>
        <v/>
      </c>
      <c r="U1176" s="24" t="str">
        <f aca="false">IF($A1176="","",INDEX(Workers!$H$5:$H$2004,MATCH($A1176,Workers!$A$5:$A$2004,0))&amp;"")</f>
        <v/>
      </c>
    </row>
    <row r="1177" customFormat="false" ht="15" hidden="false" customHeight="false" outlineLevel="0" collapsed="false">
      <c r="A1177" s="24" t="str">
        <f aca="false">IFERROR(INDEX(Workers!$A$5:$A$2004,MATCH(ROW()-4,Workers!$U$5:$U$2004,0)),"")</f>
        <v/>
      </c>
      <c r="B1177" s="24" t="str">
        <f aca="false">IF($A1177="","",INDEX(Workers!$B$5:$B$2004,MATCH($A1177,Workers!$A$5:$A$2004,0)))</f>
        <v/>
      </c>
      <c r="C1177" s="24" t="str">
        <f aca="false">IF($A1177="","",INDEX(Workers!$E$5:$E$2004,MATCH($A1177,Workers!$A$5:$A$2004,0)))</f>
        <v/>
      </c>
      <c r="D1177" s="24" t="str">
        <f aca="false">IF($A1177="","",INDEX(Workers!$K$5:$K$2004,MATCH($A1177,Workers!$A$5:$A$2004,0)))</f>
        <v/>
      </c>
      <c r="E1177" s="25" t="str">
        <f aca="false">IF($A1177="","",SUMIFS(Timesheet!$E$5:$E$3004,Timesheet!$D$5:$D$3004,$A1177,Timesheet!$A$5:$A$3004,"&gt;="&amp;Settings!$B$8,Timesheet!$A$5:$A$3004,"&lt;="&amp;Settings!$B$9))</f>
        <v/>
      </c>
      <c r="F1177" s="25" t="str">
        <f aca="false">IF($A1177="","",SUMIFS(Timesheet!$F$5:$F$3004,Timesheet!$D$5:$D$3004,$A1177,Timesheet!$A$5:$A$3004,"&gt;="&amp;Settings!$B$8,Timesheet!$A$5:$A$3004,"&lt;="&amp;Settings!$B$9))</f>
        <v/>
      </c>
      <c r="G1177" s="25" t="str">
        <f aca="false">IF($A1177="","",SUMIFS(Timesheet!$G$5:$G$3004,Timesheet!$D$5:$D$3004,$A1177,Timesheet!$A$5:$A$3004,"&gt;="&amp;Settings!$B$8,Timesheet!$A$5:$A$3004,"&lt;="&amp;Settings!$B$9))</f>
        <v/>
      </c>
      <c r="H1177" s="25" t="str">
        <f aca="false">IF($A1177="","",IF(D1177="Monthly",MAX(0,Settings!$B$11-E1177),0))</f>
        <v/>
      </c>
      <c r="I1177" s="26" t="str">
        <f aca="false">IF($A1177="","",N(INDEX(Workers!$L$5:$L$2004,MATCH($A1177,Workers!$A$5:$A$2004,0))))</f>
        <v/>
      </c>
      <c r="J1177" s="26" t="str">
        <f aca="false">IF($A1177="","",N(INDEX(Workers!$M$5:$M$2004,MATCH($A1177,Workers!$A$5:$A$2004,0))))</f>
        <v/>
      </c>
      <c r="K1177" s="26" t="str">
        <f aca="false">IF($A1177="","",IF(D1177="Monthly",ROUND(MAX(0,(I1177+J1177)-(I1177+J1177)/Settings!$B$10*H1177),2),0))</f>
        <v/>
      </c>
      <c r="L1177" s="26" t="str">
        <f aca="false">IF($A1177="","",IF(D1177="Hourly",ROUND(F1177*N(INDEX(Workers!$N$5:$N$2004,MATCH($A1177,Workers!$A$5:$A$2004,0))),2),0))</f>
        <v/>
      </c>
      <c r="M1177" s="26" t="str">
        <f aca="false">IF($A1177="","",ROUND(G1177*IF(D1177="Hourly",N(INDEX(Workers!$N$5:$N$2004,MATCH($A1177,Workers!$A$5:$A$2004,0))),I1177/Settings!$B$10/Settings!$B$12)*Settings!$B$13,2))</f>
        <v/>
      </c>
      <c r="N1177" s="26" t="str">
        <f aca="false">IF($A1177="","",K1177+L1177+M1177)</f>
        <v/>
      </c>
      <c r="O1177" s="26" t="str">
        <f aca="false">IF($A1177="","",SUMIFS(Deductions!$D$5:$D$2000,Deductions!$B$5:$B$2000,$A1177,Deductions!$C$5:$C$2000,"Advance",Deductions!$E$5:$E$2000,"&gt;="&amp;Settings!$B$8,Deductions!$E$5:$E$2000,"&lt;="&amp;Settings!$B$9))</f>
        <v/>
      </c>
      <c r="P1177" s="26" t="str">
        <f aca="false">IF($A1177="","",SUMIFS(Deductions!$D$5:$D$2000,Deductions!$B$5:$B$2000,$A1177,Deductions!$E$5:$E$2000,"&gt;="&amp;Settings!$B$8,Deductions!$E$5:$E$2000,"&lt;="&amp;Settings!$B$9)-O1177)</f>
        <v/>
      </c>
      <c r="Q1177" s="26" t="str">
        <f aca="false">IF($A1177="","",O1177+P1177)</f>
        <v/>
      </c>
      <c r="R1177" s="23" t="str">
        <f aca="false">IF($A1177="","",N1177-Q1177)</f>
        <v/>
      </c>
      <c r="S1177" s="24" t="str">
        <f aca="false">IF($A1177="","",INDEX(Workers!$O$5:$O$2004,MATCH($A1177,Workers!$A$5:$A$2004,0))&amp;"")</f>
        <v/>
      </c>
      <c r="T1177" s="24" t="str">
        <f aca="false">IF($A1177="","",INDEX(Workers!$P$5:$P$2004,MATCH($A1177,Workers!$A$5:$A$2004,0))&amp;"")</f>
        <v/>
      </c>
      <c r="U1177" s="24" t="str">
        <f aca="false">IF($A1177="","",INDEX(Workers!$H$5:$H$2004,MATCH($A1177,Workers!$A$5:$A$2004,0))&amp;"")</f>
        <v/>
      </c>
    </row>
    <row r="1178" customFormat="false" ht="15" hidden="false" customHeight="false" outlineLevel="0" collapsed="false">
      <c r="A1178" s="24" t="str">
        <f aca="false">IFERROR(INDEX(Workers!$A$5:$A$2004,MATCH(ROW()-4,Workers!$U$5:$U$2004,0)),"")</f>
        <v/>
      </c>
      <c r="B1178" s="24" t="str">
        <f aca="false">IF($A1178="","",INDEX(Workers!$B$5:$B$2004,MATCH($A1178,Workers!$A$5:$A$2004,0)))</f>
        <v/>
      </c>
      <c r="C1178" s="24" t="str">
        <f aca="false">IF($A1178="","",INDEX(Workers!$E$5:$E$2004,MATCH($A1178,Workers!$A$5:$A$2004,0)))</f>
        <v/>
      </c>
      <c r="D1178" s="24" t="str">
        <f aca="false">IF($A1178="","",INDEX(Workers!$K$5:$K$2004,MATCH($A1178,Workers!$A$5:$A$2004,0)))</f>
        <v/>
      </c>
      <c r="E1178" s="25" t="str">
        <f aca="false">IF($A1178="","",SUMIFS(Timesheet!$E$5:$E$3004,Timesheet!$D$5:$D$3004,$A1178,Timesheet!$A$5:$A$3004,"&gt;="&amp;Settings!$B$8,Timesheet!$A$5:$A$3004,"&lt;="&amp;Settings!$B$9))</f>
        <v/>
      </c>
      <c r="F1178" s="25" t="str">
        <f aca="false">IF($A1178="","",SUMIFS(Timesheet!$F$5:$F$3004,Timesheet!$D$5:$D$3004,$A1178,Timesheet!$A$5:$A$3004,"&gt;="&amp;Settings!$B$8,Timesheet!$A$5:$A$3004,"&lt;="&amp;Settings!$B$9))</f>
        <v/>
      </c>
      <c r="G1178" s="25" t="str">
        <f aca="false">IF($A1178="","",SUMIFS(Timesheet!$G$5:$G$3004,Timesheet!$D$5:$D$3004,$A1178,Timesheet!$A$5:$A$3004,"&gt;="&amp;Settings!$B$8,Timesheet!$A$5:$A$3004,"&lt;="&amp;Settings!$B$9))</f>
        <v/>
      </c>
      <c r="H1178" s="25" t="str">
        <f aca="false">IF($A1178="","",IF(D1178="Monthly",MAX(0,Settings!$B$11-E1178),0))</f>
        <v/>
      </c>
      <c r="I1178" s="26" t="str">
        <f aca="false">IF($A1178="","",N(INDEX(Workers!$L$5:$L$2004,MATCH($A1178,Workers!$A$5:$A$2004,0))))</f>
        <v/>
      </c>
      <c r="J1178" s="26" t="str">
        <f aca="false">IF($A1178="","",N(INDEX(Workers!$M$5:$M$2004,MATCH($A1178,Workers!$A$5:$A$2004,0))))</f>
        <v/>
      </c>
      <c r="K1178" s="26" t="str">
        <f aca="false">IF($A1178="","",IF(D1178="Monthly",ROUND(MAX(0,(I1178+J1178)-(I1178+J1178)/Settings!$B$10*H1178),2),0))</f>
        <v/>
      </c>
      <c r="L1178" s="26" t="str">
        <f aca="false">IF($A1178="","",IF(D1178="Hourly",ROUND(F1178*N(INDEX(Workers!$N$5:$N$2004,MATCH($A1178,Workers!$A$5:$A$2004,0))),2),0))</f>
        <v/>
      </c>
      <c r="M1178" s="26" t="str">
        <f aca="false">IF($A1178="","",ROUND(G1178*IF(D1178="Hourly",N(INDEX(Workers!$N$5:$N$2004,MATCH($A1178,Workers!$A$5:$A$2004,0))),I1178/Settings!$B$10/Settings!$B$12)*Settings!$B$13,2))</f>
        <v/>
      </c>
      <c r="N1178" s="26" t="str">
        <f aca="false">IF($A1178="","",K1178+L1178+M1178)</f>
        <v/>
      </c>
      <c r="O1178" s="26" t="str">
        <f aca="false">IF($A1178="","",SUMIFS(Deductions!$D$5:$D$2000,Deductions!$B$5:$B$2000,$A1178,Deductions!$C$5:$C$2000,"Advance",Deductions!$E$5:$E$2000,"&gt;="&amp;Settings!$B$8,Deductions!$E$5:$E$2000,"&lt;="&amp;Settings!$B$9))</f>
        <v/>
      </c>
      <c r="P1178" s="26" t="str">
        <f aca="false">IF($A1178="","",SUMIFS(Deductions!$D$5:$D$2000,Deductions!$B$5:$B$2000,$A1178,Deductions!$E$5:$E$2000,"&gt;="&amp;Settings!$B$8,Deductions!$E$5:$E$2000,"&lt;="&amp;Settings!$B$9)-O1178)</f>
        <v/>
      </c>
      <c r="Q1178" s="26" t="str">
        <f aca="false">IF($A1178="","",O1178+P1178)</f>
        <v/>
      </c>
      <c r="R1178" s="23" t="str">
        <f aca="false">IF($A1178="","",N1178-Q1178)</f>
        <v/>
      </c>
      <c r="S1178" s="24" t="str">
        <f aca="false">IF($A1178="","",INDEX(Workers!$O$5:$O$2004,MATCH($A1178,Workers!$A$5:$A$2004,0))&amp;"")</f>
        <v/>
      </c>
      <c r="T1178" s="24" t="str">
        <f aca="false">IF($A1178="","",INDEX(Workers!$P$5:$P$2004,MATCH($A1178,Workers!$A$5:$A$2004,0))&amp;"")</f>
        <v/>
      </c>
      <c r="U1178" s="24" t="str">
        <f aca="false">IF($A1178="","",INDEX(Workers!$H$5:$H$2004,MATCH($A1178,Workers!$A$5:$A$2004,0))&amp;"")</f>
        <v/>
      </c>
    </row>
    <row r="1179" customFormat="false" ht="15" hidden="false" customHeight="false" outlineLevel="0" collapsed="false">
      <c r="A1179" s="24" t="str">
        <f aca="false">IFERROR(INDEX(Workers!$A$5:$A$2004,MATCH(ROW()-4,Workers!$U$5:$U$2004,0)),"")</f>
        <v/>
      </c>
      <c r="B1179" s="24" t="str">
        <f aca="false">IF($A1179="","",INDEX(Workers!$B$5:$B$2004,MATCH($A1179,Workers!$A$5:$A$2004,0)))</f>
        <v/>
      </c>
      <c r="C1179" s="24" t="str">
        <f aca="false">IF($A1179="","",INDEX(Workers!$E$5:$E$2004,MATCH($A1179,Workers!$A$5:$A$2004,0)))</f>
        <v/>
      </c>
      <c r="D1179" s="24" t="str">
        <f aca="false">IF($A1179="","",INDEX(Workers!$K$5:$K$2004,MATCH($A1179,Workers!$A$5:$A$2004,0)))</f>
        <v/>
      </c>
      <c r="E1179" s="25" t="str">
        <f aca="false">IF($A1179="","",SUMIFS(Timesheet!$E$5:$E$3004,Timesheet!$D$5:$D$3004,$A1179,Timesheet!$A$5:$A$3004,"&gt;="&amp;Settings!$B$8,Timesheet!$A$5:$A$3004,"&lt;="&amp;Settings!$B$9))</f>
        <v/>
      </c>
      <c r="F1179" s="25" t="str">
        <f aca="false">IF($A1179="","",SUMIFS(Timesheet!$F$5:$F$3004,Timesheet!$D$5:$D$3004,$A1179,Timesheet!$A$5:$A$3004,"&gt;="&amp;Settings!$B$8,Timesheet!$A$5:$A$3004,"&lt;="&amp;Settings!$B$9))</f>
        <v/>
      </c>
      <c r="G1179" s="25" t="str">
        <f aca="false">IF($A1179="","",SUMIFS(Timesheet!$G$5:$G$3004,Timesheet!$D$5:$D$3004,$A1179,Timesheet!$A$5:$A$3004,"&gt;="&amp;Settings!$B$8,Timesheet!$A$5:$A$3004,"&lt;="&amp;Settings!$B$9))</f>
        <v/>
      </c>
      <c r="H1179" s="25" t="str">
        <f aca="false">IF($A1179="","",IF(D1179="Monthly",MAX(0,Settings!$B$11-E1179),0))</f>
        <v/>
      </c>
      <c r="I1179" s="26" t="str">
        <f aca="false">IF($A1179="","",N(INDEX(Workers!$L$5:$L$2004,MATCH($A1179,Workers!$A$5:$A$2004,0))))</f>
        <v/>
      </c>
      <c r="J1179" s="26" t="str">
        <f aca="false">IF($A1179="","",N(INDEX(Workers!$M$5:$M$2004,MATCH($A1179,Workers!$A$5:$A$2004,0))))</f>
        <v/>
      </c>
      <c r="K1179" s="26" t="str">
        <f aca="false">IF($A1179="","",IF(D1179="Monthly",ROUND(MAX(0,(I1179+J1179)-(I1179+J1179)/Settings!$B$10*H1179),2),0))</f>
        <v/>
      </c>
      <c r="L1179" s="26" t="str">
        <f aca="false">IF($A1179="","",IF(D1179="Hourly",ROUND(F1179*N(INDEX(Workers!$N$5:$N$2004,MATCH($A1179,Workers!$A$5:$A$2004,0))),2),0))</f>
        <v/>
      </c>
      <c r="M1179" s="26" t="str">
        <f aca="false">IF($A1179="","",ROUND(G1179*IF(D1179="Hourly",N(INDEX(Workers!$N$5:$N$2004,MATCH($A1179,Workers!$A$5:$A$2004,0))),I1179/Settings!$B$10/Settings!$B$12)*Settings!$B$13,2))</f>
        <v/>
      </c>
      <c r="N1179" s="26" t="str">
        <f aca="false">IF($A1179="","",K1179+L1179+M1179)</f>
        <v/>
      </c>
      <c r="O1179" s="26" t="str">
        <f aca="false">IF($A1179="","",SUMIFS(Deductions!$D$5:$D$2000,Deductions!$B$5:$B$2000,$A1179,Deductions!$C$5:$C$2000,"Advance",Deductions!$E$5:$E$2000,"&gt;="&amp;Settings!$B$8,Deductions!$E$5:$E$2000,"&lt;="&amp;Settings!$B$9))</f>
        <v/>
      </c>
      <c r="P1179" s="26" t="str">
        <f aca="false">IF($A1179="","",SUMIFS(Deductions!$D$5:$D$2000,Deductions!$B$5:$B$2000,$A1179,Deductions!$E$5:$E$2000,"&gt;="&amp;Settings!$B$8,Deductions!$E$5:$E$2000,"&lt;="&amp;Settings!$B$9)-O1179)</f>
        <v/>
      </c>
      <c r="Q1179" s="26" t="str">
        <f aca="false">IF($A1179="","",O1179+P1179)</f>
        <v/>
      </c>
      <c r="R1179" s="23" t="str">
        <f aca="false">IF($A1179="","",N1179-Q1179)</f>
        <v/>
      </c>
      <c r="S1179" s="24" t="str">
        <f aca="false">IF($A1179="","",INDEX(Workers!$O$5:$O$2004,MATCH($A1179,Workers!$A$5:$A$2004,0))&amp;"")</f>
        <v/>
      </c>
      <c r="T1179" s="24" t="str">
        <f aca="false">IF($A1179="","",INDEX(Workers!$P$5:$P$2004,MATCH($A1179,Workers!$A$5:$A$2004,0))&amp;"")</f>
        <v/>
      </c>
      <c r="U1179" s="24" t="str">
        <f aca="false">IF($A1179="","",INDEX(Workers!$H$5:$H$2004,MATCH($A1179,Workers!$A$5:$A$2004,0))&amp;"")</f>
        <v/>
      </c>
    </row>
    <row r="1180" customFormat="false" ht="15" hidden="false" customHeight="false" outlineLevel="0" collapsed="false">
      <c r="A1180" s="24" t="str">
        <f aca="false">IFERROR(INDEX(Workers!$A$5:$A$2004,MATCH(ROW()-4,Workers!$U$5:$U$2004,0)),"")</f>
        <v/>
      </c>
      <c r="B1180" s="24" t="str">
        <f aca="false">IF($A1180="","",INDEX(Workers!$B$5:$B$2004,MATCH($A1180,Workers!$A$5:$A$2004,0)))</f>
        <v/>
      </c>
      <c r="C1180" s="24" t="str">
        <f aca="false">IF($A1180="","",INDEX(Workers!$E$5:$E$2004,MATCH($A1180,Workers!$A$5:$A$2004,0)))</f>
        <v/>
      </c>
      <c r="D1180" s="24" t="str">
        <f aca="false">IF($A1180="","",INDEX(Workers!$K$5:$K$2004,MATCH($A1180,Workers!$A$5:$A$2004,0)))</f>
        <v/>
      </c>
      <c r="E1180" s="25" t="str">
        <f aca="false">IF($A1180="","",SUMIFS(Timesheet!$E$5:$E$3004,Timesheet!$D$5:$D$3004,$A1180,Timesheet!$A$5:$A$3004,"&gt;="&amp;Settings!$B$8,Timesheet!$A$5:$A$3004,"&lt;="&amp;Settings!$B$9))</f>
        <v/>
      </c>
      <c r="F1180" s="25" t="str">
        <f aca="false">IF($A1180="","",SUMIFS(Timesheet!$F$5:$F$3004,Timesheet!$D$5:$D$3004,$A1180,Timesheet!$A$5:$A$3004,"&gt;="&amp;Settings!$B$8,Timesheet!$A$5:$A$3004,"&lt;="&amp;Settings!$B$9))</f>
        <v/>
      </c>
      <c r="G1180" s="25" t="str">
        <f aca="false">IF($A1180="","",SUMIFS(Timesheet!$G$5:$G$3004,Timesheet!$D$5:$D$3004,$A1180,Timesheet!$A$5:$A$3004,"&gt;="&amp;Settings!$B$8,Timesheet!$A$5:$A$3004,"&lt;="&amp;Settings!$B$9))</f>
        <v/>
      </c>
      <c r="H1180" s="25" t="str">
        <f aca="false">IF($A1180="","",IF(D1180="Monthly",MAX(0,Settings!$B$11-E1180),0))</f>
        <v/>
      </c>
      <c r="I1180" s="26" t="str">
        <f aca="false">IF($A1180="","",N(INDEX(Workers!$L$5:$L$2004,MATCH($A1180,Workers!$A$5:$A$2004,0))))</f>
        <v/>
      </c>
      <c r="J1180" s="26" t="str">
        <f aca="false">IF($A1180="","",N(INDEX(Workers!$M$5:$M$2004,MATCH($A1180,Workers!$A$5:$A$2004,0))))</f>
        <v/>
      </c>
      <c r="K1180" s="26" t="str">
        <f aca="false">IF($A1180="","",IF(D1180="Monthly",ROUND(MAX(0,(I1180+J1180)-(I1180+J1180)/Settings!$B$10*H1180),2),0))</f>
        <v/>
      </c>
      <c r="L1180" s="26" t="str">
        <f aca="false">IF($A1180="","",IF(D1180="Hourly",ROUND(F1180*N(INDEX(Workers!$N$5:$N$2004,MATCH($A1180,Workers!$A$5:$A$2004,0))),2),0))</f>
        <v/>
      </c>
      <c r="M1180" s="26" t="str">
        <f aca="false">IF($A1180="","",ROUND(G1180*IF(D1180="Hourly",N(INDEX(Workers!$N$5:$N$2004,MATCH($A1180,Workers!$A$5:$A$2004,0))),I1180/Settings!$B$10/Settings!$B$12)*Settings!$B$13,2))</f>
        <v/>
      </c>
      <c r="N1180" s="26" t="str">
        <f aca="false">IF($A1180="","",K1180+L1180+M1180)</f>
        <v/>
      </c>
      <c r="O1180" s="26" t="str">
        <f aca="false">IF($A1180="","",SUMIFS(Deductions!$D$5:$D$2000,Deductions!$B$5:$B$2000,$A1180,Deductions!$C$5:$C$2000,"Advance",Deductions!$E$5:$E$2000,"&gt;="&amp;Settings!$B$8,Deductions!$E$5:$E$2000,"&lt;="&amp;Settings!$B$9))</f>
        <v/>
      </c>
      <c r="P1180" s="26" t="str">
        <f aca="false">IF($A1180="","",SUMIFS(Deductions!$D$5:$D$2000,Deductions!$B$5:$B$2000,$A1180,Deductions!$E$5:$E$2000,"&gt;="&amp;Settings!$B$8,Deductions!$E$5:$E$2000,"&lt;="&amp;Settings!$B$9)-O1180)</f>
        <v/>
      </c>
      <c r="Q1180" s="26" t="str">
        <f aca="false">IF($A1180="","",O1180+P1180)</f>
        <v/>
      </c>
      <c r="R1180" s="23" t="str">
        <f aca="false">IF($A1180="","",N1180-Q1180)</f>
        <v/>
      </c>
      <c r="S1180" s="24" t="str">
        <f aca="false">IF($A1180="","",INDEX(Workers!$O$5:$O$2004,MATCH($A1180,Workers!$A$5:$A$2004,0))&amp;"")</f>
        <v/>
      </c>
      <c r="T1180" s="24" t="str">
        <f aca="false">IF($A1180="","",INDEX(Workers!$P$5:$P$2004,MATCH($A1180,Workers!$A$5:$A$2004,0))&amp;"")</f>
        <v/>
      </c>
      <c r="U1180" s="24" t="str">
        <f aca="false">IF($A1180="","",INDEX(Workers!$H$5:$H$2004,MATCH($A1180,Workers!$A$5:$A$2004,0))&amp;"")</f>
        <v/>
      </c>
    </row>
    <row r="1181" customFormat="false" ht="15" hidden="false" customHeight="false" outlineLevel="0" collapsed="false">
      <c r="A1181" s="24" t="str">
        <f aca="false">IFERROR(INDEX(Workers!$A$5:$A$2004,MATCH(ROW()-4,Workers!$U$5:$U$2004,0)),"")</f>
        <v/>
      </c>
      <c r="B1181" s="24" t="str">
        <f aca="false">IF($A1181="","",INDEX(Workers!$B$5:$B$2004,MATCH($A1181,Workers!$A$5:$A$2004,0)))</f>
        <v/>
      </c>
      <c r="C1181" s="24" t="str">
        <f aca="false">IF($A1181="","",INDEX(Workers!$E$5:$E$2004,MATCH($A1181,Workers!$A$5:$A$2004,0)))</f>
        <v/>
      </c>
      <c r="D1181" s="24" t="str">
        <f aca="false">IF($A1181="","",INDEX(Workers!$K$5:$K$2004,MATCH($A1181,Workers!$A$5:$A$2004,0)))</f>
        <v/>
      </c>
      <c r="E1181" s="25" t="str">
        <f aca="false">IF($A1181="","",SUMIFS(Timesheet!$E$5:$E$3004,Timesheet!$D$5:$D$3004,$A1181,Timesheet!$A$5:$A$3004,"&gt;="&amp;Settings!$B$8,Timesheet!$A$5:$A$3004,"&lt;="&amp;Settings!$B$9))</f>
        <v/>
      </c>
      <c r="F1181" s="25" t="str">
        <f aca="false">IF($A1181="","",SUMIFS(Timesheet!$F$5:$F$3004,Timesheet!$D$5:$D$3004,$A1181,Timesheet!$A$5:$A$3004,"&gt;="&amp;Settings!$B$8,Timesheet!$A$5:$A$3004,"&lt;="&amp;Settings!$B$9))</f>
        <v/>
      </c>
      <c r="G1181" s="25" t="str">
        <f aca="false">IF($A1181="","",SUMIFS(Timesheet!$G$5:$G$3004,Timesheet!$D$5:$D$3004,$A1181,Timesheet!$A$5:$A$3004,"&gt;="&amp;Settings!$B$8,Timesheet!$A$5:$A$3004,"&lt;="&amp;Settings!$B$9))</f>
        <v/>
      </c>
      <c r="H1181" s="25" t="str">
        <f aca="false">IF($A1181="","",IF(D1181="Monthly",MAX(0,Settings!$B$11-E1181),0))</f>
        <v/>
      </c>
      <c r="I1181" s="26" t="str">
        <f aca="false">IF($A1181="","",N(INDEX(Workers!$L$5:$L$2004,MATCH($A1181,Workers!$A$5:$A$2004,0))))</f>
        <v/>
      </c>
      <c r="J1181" s="26" t="str">
        <f aca="false">IF($A1181="","",N(INDEX(Workers!$M$5:$M$2004,MATCH($A1181,Workers!$A$5:$A$2004,0))))</f>
        <v/>
      </c>
      <c r="K1181" s="26" t="str">
        <f aca="false">IF($A1181="","",IF(D1181="Monthly",ROUND(MAX(0,(I1181+J1181)-(I1181+J1181)/Settings!$B$10*H1181),2),0))</f>
        <v/>
      </c>
      <c r="L1181" s="26" t="str">
        <f aca="false">IF($A1181="","",IF(D1181="Hourly",ROUND(F1181*N(INDEX(Workers!$N$5:$N$2004,MATCH($A1181,Workers!$A$5:$A$2004,0))),2),0))</f>
        <v/>
      </c>
      <c r="M1181" s="26" t="str">
        <f aca="false">IF($A1181="","",ROUND(G1181*IF(D1181="Hourly",N(INDEX(Workers!$N$5:$N$2004,MATCH($A1181,Workers!$A$5:$A$2004,0))),I1181/Settings!$B$10/Settings!$B$12)*Settings!$B$13,2))</f>
        <v/>
      </c>
      <c r="N1181" s="26" t="str">
        <f aca="false">IF($A1181="","",K1181+L1181+M1181)</f>
        <v/>
      </c>
      <c r="O1181" s="26" t="str">
        <f aca="false">IF($A1181="","",SUMIFS(Deductions!$D$5:$D$2000,Deductions!$B$5:$B$2000,$A1181,Deductions!$C$5:$C$2000,"Advance",Deductions!$E$5:$E$2000,"&gt;="&amp;Settings!$B$8,Deductions!$E$5:$E$2000,"&lt;="&amp;Settings!$B$9))</f>
        <v/>
      </c>
      <c r="P1181" s="26" t="str">
        <f aca="false">IF($A1181="","",SUMIFS(Deductions!$D$5:$D$2000,Deductions!$B$5:$B$2000,$A1181,Deductions!$E$5:$E$2000,"&gt;="&amp;Settings!$B$8,Deductions!$E$5:$E$2000,"&lt;="&amp;Settings!$B$9)-O1181)</f>
        <v/>
      </c>
      <c r="Q1181" s="26" t="str">
        <f aca="false">IF($A1181="","",O1181+P1181)</f>
        <v/>
      </c>
      <c r="R1181" s="23" t="str">
        <f aca="false">IF($A1181="","",N1181-Q1181)</f>
        <v/>
      </c>
      <c r="S1181" s="24" t="str">
        <f aca="false">IF($A1181="","",INDEX(Workers!$O$5:$O$2004,MATCH($A1181,Workers!$A$5:$A$2004,0))&amp;"")</f>
        <v/>
      </c>
      <c r="T1181" s="24" t="str">
        <f aca="false">IF($A1181="","",INDEX(Workers!$P$5:$P$2004,MATCH($A1181,Workers!$A$5:$A$2004,0))&amp;"")</f>
        <v/>
      </c>
      <c r="U1181" s="24" t="str">
        <f aca="false">IF($A1181="","",INDEX(Workers!$H$5:$H$2004,MATCH($A1181,Workers!$A$5:$A$2004,0))&amp;"")</f>
        <v/>
      </c>
    </row>
    <row r="1182" customFormat="false" ht="15" hidden="false" customHeight="false" outlineLevel="0" collapsed="false">
      <c r="A1182" s="24" t="str">
        <f aca="false">IFERROR(INDEX(Workers!$A$5:$A$2004,MATCH(ROW()-4,Workers!$U$5:$U$2004,0)),"")</f>
        <v/>
      </c>
      <c r="B1182" s="24" t="str">
        <f aca="false">IF($A1182="","",INDEX(Workers!$B$5:$B$2004,MATCH($A1182,Workers!$A$5:$A$2004,0)))</f>
        <v/>
      </c>
      <c r="C1182" s="24" t="str">
        <f aca="false">IF($A1182="","",INDEX(Workers!$E$5:$E$2004,MATCH($A1182,Workers!$A$5:$A$2004,0)))</f>
        <v/>
      </c>
      <c r="D1182" s="24" t="str">
        <f aca="false">IF($A1182="","",INDEX(Workers!$K$5:$K$2004,MATCH($A1182,Workers!$A$5:$A$2004,0)))</f>
        <v/>
      </c>
      <c r="E1182" s="25" t="str">
        <f aca="false">IF($A1182="","",SUMIFS(Timesheet!$E$5:$E$3004,Timesheet!$D$5:$D$3004,$A1182,Timesheet!$A$5:$A$3004,"&gt;="&amp;Settings!$B$8,Timesheet!$A$5:$A$3004,"&lt;="&amp;Settings!$B$9))</f>
        <v/>
      </c>
      <c r="F1182" s="25" t="str">
        <f aca="false">IF($A1182="","",SUMIFS(Timesheet!$F$5:$F$3004,Timesheet!$D$5:$D$3004,$A1182,Timesheet!$A$5:$A$3004,"&gt;="&amp;Settings!$B$8,Timesheet!$A$5:$A$3004,"&lt;="&amp;Settings!$B$9))</f>
        <v/>
      </c>
      <c r="G1182" s="25" t="str">
        <f aca="false">IF($A1182="","",SUMIFS(Timesheet!$G$5:$G$3004,Timesheet!$D$5:$D$3004,$A1182,Timesheet!$A$5:$A$3004,"&gt;="&amp;Settings!$B$8,Timesheet!$A$5:$A$3004,"&lt;="&amp;Settings!$B$9))</f>
        <v/>
      </c>
      <c r="H1182" s="25" t="str">
        <f aca="false">IF($A1182="","",IF(D1182="Monthly",MAX(0,Settings!$B$11-E1182),0))</f>
        <v/>
      </c>
      <c r="I1182" s="26" t="str">
        <f aca="false">IF($A1182="","",N(INDEX(Workers!$L$5:$L$2004,MATCH($A1182,Workers!$A$5:$A$2004,0))))</f>
        <v/>
      </c>
      <c r="J1182" s="26" t="str">
        <f aca="false">IF($A1182="","",N(INDEX(Workers!$M$5:$M$2004,MATCH($A1182,Workers!$A$5:$A$2004,0))))</f>
        <v/>
      </c>
      <c r="K1182" s="26" t="str">
        <f aca="false">IF($A1182="","",IF(D1182="Monthly",ROUND(MAX(0,(I1182+J1182)-(I1182+J1182)/Settings!$B$10*H1182),2),0))</f>
        <v/>
      </c>
      <c r="L1182" s="26" t="str">
        <f aca="false">IF($A1182="","",IF(D1182="Hourly",ROUND(F1182*N(INDEX(Workers!$N$5:$N$2004,MATCH($A1182,Workers!$A$5:$A$2004,0))),2),0))</f>
        <v/>
      </c>
      <c r="M1182" s="26" t="str">
        <f aca="false">IF($A1182="","",ROUND(G1182*IF(D1182="Hourly",N(INDEX(Workers!$N$5:$N$2004,MATCH($A1182,Workers!$A$5:$A$2004,0))),I1182/Settings!$B$10/Settings!$B$12)*Settings!$B$13,2))</f>
        <v/>
      </c>
      <c r="N1182" s="26" t="str">
        <f aca="false">IF($A1182="","",K1182+L1182+M1182)</f>
        <v/>
      </c>
      <c r="O1182" s="26" t="str">
        <f aca="false">IF($A1182="","",SUMIFS(Deductions!$D$5:$D$2000,Deductions!$B$5:$B$2000,$A1182,Deductions!$C$5:$C$2000,"Advance",Deductions!$E$5:$E$2000,"&gt;="&amp;Settings!$B$8,Deductions!$E$5:$E$2000,"&lt;="&amp;Settings!$B$9))</f>
        <v/>
      </c>
      <c r="P1182" s="26" t="str">
        <f aca="false">IF($A1182="","",SUMIFS(Deductions!$D$5:$D$2000,Deductions!$B$5:$B$2000,$A1182,Deductions!$E$5:$E$2000,"&gt;="&amp;Settings!$B$8,Deductions!$E$5:$E$2000,"&lt;="&amp;Settings!$B$9)-O1182)</f>
        <v/>
      </c>
      <c r="Q1182" s="26" t="str">
        <f aca="false">IF($A1182="","",O1182+P1182)</f>
        <v/>
      </c>
      <c r="R1182" s="23" t="str">
        <f aca="false">IF($A1182="","",N1182-Q1182)</f>
        <v/>
      </c>
      <c r="S1182" s="24" t="str">
        <f aca="false">IF($A1182="","",INDEX(Workers!$O$5:$O$2004,MATCH($A1182,Workers!$A$5:$A$2004,0))&amp;"")</f>
        <v/>
      </c>
      <c r="T1182" s="24" t="str">
        <f aca="false">IF($A1182="","",INDEX(Workers!$P$5:$P$2004,MATCH($A1182,Workers!$A$5:$A$2004,0))&amp;"")</f>
        <v/>
      </c>
      <c r="U1182" s="24" t="str">
        <f aca="false">IF($A1182="","",INDEX(Workers!$H$5:$H$2004,MATCH($A1182,Workers!$A$5:$A$2004,0))&amp;"")</f>
        <v/>
      </c>
    </row>
    <row r="1183" customFormat="false" ht="15" hidden="false" customHeight="false" outlineLevel="0" collapsed="false">
      <c r="A1183" s="24" t="str">
        <f aca="false">IFERROR(INDEX(Workers!$A$5:$A$2004,MATCH(ROW()-4,Workers!$U$5:$U$2004,0)),"")</f>
        <v/>
      </c>
      <c r="B1183" s="24" t="str">
        <f aca="false">IF($A1183="","",INDEX(Workers!$B$5:$B$2004,MATCH($A1183,Workers!$A$5:$A$2004,0)))</f>
        <v/>
      </c>
      <c r="C1183" s="24" t="str">
        <f aca="false">IF($A1183="","",INDEX(Workers!$E$5:$E$2004,MATCH($A1183,Workers!$A$5:$A$2004,0)))</f>
        <v/>
      </c>
      <c r="D1183" s="24" t="str">
        <f aca="false">IF($A1183="","",INDEX(Workers!$K$5:$K$2004,MATCH($A1183,Workers!$A$5:$A$2004,0)))</f>
        <v/>
      </c>
      <c r="E1183" s="25" t="str">
        <f aca="false">IF($A1183="","",SUMIFS(Timesheet!$E$5:$E$3004,Timesheet!$D$5:$D$3004,$A1183,Timesheet!$A$5:$A$3004,"&gt;="&amp;Settings!$B$8,Timesheet!$A$5:$A$3004,"&lt;="&amp;Settings!$B$9))</f>
        <v/>
      </c>
      <c r="F1183" s="25" t="str">
        <f aca="false">IF($A1183="","",SUMIFS(Timesheet!$F$5:$F$3004,Timesheet!$D$5:$D$3004,$A1183,Timesheet!$A$5:$A$3004,"&gt;="&amp;Settings!$B$8,Timesheet!$A$5:$A$3004,"&lt;="&amp;Settings!$B$9))</f>
        <v/>
      </c>
      <c r="G1183" s="25" t="str">
        <f aca="false">IF($A1183="","",SUMIFS(Timesheet!$G$5:$G$3004,Timesheet!$D$5:$D$3004,$A1183,Timesheet!$A$5:$A$3004,"&gt;="&amp;Settings!$B$8,Timesheet!$A$5:$A$3004,"&lt;="&amp;Settings!$B$9))</f>
        <v/>
      </c>
      <c r="H1183" s="25" t="str">
        <f aca="false">IF($A1183="","",IF(D1183="Monthly",MAX(0,Settings!$B$11-E1183),0))</f>
        <v/>
      </c>
      <c r="I1183" s="26" t="str">
        <f aca="false">IF($A1183="","",N(INDEX(Workers!$L$5:$L$2004,MATCH($A1183,Workers!$A$5:$A$2004,0))))</f>
        <v/>
      </c>
      <c r="J1183" s="26" t="str">
        <f aca="false">IF($A1183="","",N(INDEX(Workers!$M$5:$M$2004,MATCH($A1183,Workers!$A$5:$A$2004,0))))</f>
        <v/>
      </c>
      <c r="K1183" s="26" t="str">
        <f aca="false">IF($A1183="","",IF(D1183="Monthly",ROUND(MAX(0,(I1183+J1183)-(I1183+J1183)/Settings!$B$10*H1183),2),0))</f>
        <v/>
      </c>
      <c r="L1183" s="26" t="str">
        <f aca="false">IF($A1183="","",IF(D1183="Hourly",ROUND(F1183*N(INDEX(Workers!$N$5:$N$2004,MATCH($A1183,Workers!$A$5:$A$2004,0))),2),0))</f>
        <v/>
      </c>
      <c r="M1183" s="26" t="str">
        <f aca="false">IF($A1183="","",ROUND(G1183*IF(D1183="Hourly",N(INDEX(Workers!$N$5:$N$2004,MATCH($A1183,Workers!$A$5:$A$2004,0))),I1183/Settings!$B$10/Settings!$B$12)*Settings!$B$13,2))</f>
        <v/>
      </c>
      <c r="N1183" s="26" t="str">
        <f aca="false">IF($A1183="","",K1183+L1183+M1183)</f>
        <v/>
      </c>
      <c r="O1183" s="26" t="str">
        <f aca="false">IF($A1183="","",SUMIFS(Deductions!$D$5:$D$2000,Deductions!$B$5:$B$2000,$A1183,Deductions!$C$5:$C$2000,"Advance",Deductions!$E$5:$E$2000,"&gt;="&amp;Settings!$B$8,Deductions!$E$5:$E$2000,"&lt;="&amp;Settings!$B$9))</f>
        <v/>
      </c>
      <c r="P1183" s="26" t="str">
        <f aca="false">IF($A1183="","",SUMIFS(Deductions!$D$5:$D$2000,Deductions!$B$5:$B$2000,$A1183,Deductions!$E$5:$E$2000,"&gt;="&amp;Settings!$B$8,Deductions!$E$5:$E$2000,"&lt;="&amp;Settings!$B$9)-O1183)</f>
        <v/>
      </c>
      <c r="Q1183" s="26" t="str">
        <f aca="false">IF($A1183="","",O1183+P1183)</f>
        <v/>
      </c>
      <c r="R1183" s="23" t="str">
        <f aca="false">IF($A1183="","",N1183-Q1183)</f>
        <v/>
      </c>
      <c r="S1183" s="24" t="str">
        <f aca="false">IF($A1183="","",INDEX(Workers!$O$5:$O$2004,MATCH($A1183,Workers!$A$5:$A$2004,0))&amp;"")</f>
        <v/>
      </c>
      <c r="T1183" s="24" t="str">
        <f aca="false">IF($A1183="","",INDEX(Workers!$P$5:$P$2004,MATCH($A1183,Workers!$A$5:$A$2004,0))&amp;"")</f>
        <v/>
      </c>
      <c r="U1183" s="24" t="str">
        <f aca="false">IF($A1183="","",INDEX(Workers!$H$5:$H$2004,MATCH($A1183,Workers!$A$5:$A$2004,0))&amp;"")</f>
        <v/>
      </c>
    </row>
    <row r="1184" customFormat="false" ht="15" hidden="false" customHeight="false" outlineLevel="0" collapsed="false">
      <c r="A1184" s="24" t="str">
        <f aca="false">IFERROR(INDEX(Workers!$A$5:$A$2004,MATCH(ROW()-4,Workers!$U$5:$U$2004,0)),"")</f>
        <v/>
      </c>
      <c r="B1184" s="24" t="str">
        <f aca="false">IF($A1184="","",INDEX(Workers!$B$5:$B$2004,MATCH($A1184,Workers!$A$5:$A$2004,0)))</f>
        <v/>
      </c>
      <c r="C1184" s="24" t="str">
        <f aca="false">IF($A1184="","",INDEX(Workers!$E$5:$E$2004,MATCH($A1184,Workers!$A$5:$A$2004,0)))</f>
        <v/>
      </c>
      <c r="D1184" s="24" t="str">
        <f aca="false">IF($A1184="","",INDEX(Workers!$K$5:$K$2004,MATCH($A1184,Workers!$A$5:$A$2004,0)))</f>
        <v/>
      </c>
      <c r="E1184" s="25" t="str">
        <f aca="false">IF($A1184="","",SUMIFS(Timesheet!$E$5:$E$3004,Timesheet!$D$5:$D$3004,$A1184,Timesheet!$A$5:$A$3004,"&gt;="&amp;Settings!$B$8,Timesheet!$A$5:$A$3004,"&lt;="&amp;Settings!$B$9))</f>
        <v/>
      </c>
      <c r="F1184" s="25" t="str">
        <f aca="false">IF($A1184="","",SUMIFS(Timesheet!$F$5:$F$3004,Timesheet!$D$5:$D$3004,$A1184,Timesheet!$A$5:$A$3004,"&gt;="&amp;Settings!$B$8,Timesheet!$A$5:$A$3004,"&lt;="&amp;Settings!$B$9))</f>
        <v/>
      </c>
      <c r="G1184" s="25" t="str">
        <f aca="false">IF($A1184="","",SUMIFS(Timesheet!$G$5:$G$3004,Timesheet!$D$5:$D$3004,$A1184,Timesheet!$A$5:$A$3004,"&gt;="&amp;Settings!$B$8,Timesheet!$A$5:$A$3004,"&lt;="&amp;Settings!$B$9))</f>
        <v/>
      </c>
      <c r="H1184" s="25" t="str">
        <f aca="false">IF($A1184="","",IF(D1184="Monthly",MAX(0,Settings!$B$11-E1184),0))</f>
        <v/>
      </c>
      <c r="I1184" s="26" t="str">
        <f aca="false">IF($A1184="","",N(INDEX(Workers!$L$5:$L$2004,MATCH($A1184,Workers!$A$5:$A$2004,0))))</f>
        <v/>
      </c>
      <c r="J1184" s="26" t="str">
        <f aca="false">IF($A1184="","",N(INDEX(Workers!$M$5:$M$2004,MATCH($A1184,Workers!$A$5:$A$2004,0))))</f>
        <v/>
      </c>
      <c r="K1184" s="26" t="str">
        <f aca="false">IF($A1184="","",IF(D1184="Monthly",ROUND(MAX(0,(I1184+J1184)-(I1184+J1184)/Settings!$B$10*H1184),2),0))</f>
        <v/>
      </c>
      <c r="L1184" s="26" t="str">
        <f aca="false">IF($A1184="","",IF(D1184="Hourly",ROUND(F1184*N(INDEX(Workers!$N$5:$N$2004,MATCH($A1184,Workers!$A$5:$A$2004,0))),2),0))</f>
        <v/>
      </c>
      <c r="M1184" s="26" t="str">
        <f aca="false">IF($A1184="","",ROUND(G1184*IF(D1184="Hourly",N(INDEX(Workers!$N$5:$N$2004,MATCH($A1184,Workers!$A$5:$A$2004,0))),I1184/Settings!$B$10/Settings!$B$12)*Settings!$B$13,2))</f>
        <v/>
      </c>
      <c r="N1184" s="26" t="str">
        <f aca="false">IF($A1184="","",K1184+L1184+M1184)</f>
        <v/>
      </c>
      <c r="O1184" s="26" t="str">
        <f aca="false">IF($A1184="","",SUMIFS(Deductions!$D$5:$D$2000,Deductions!$B$5:$B$2000,$A1184,Deductions!$C$5:$C$2000,"Advance",Deductions!$E$5:$E$2000,"&gt;="&amp;Settings!$B$8,Deductions!$E$5:$E$2000,"&lt;="&amp;Settings!$B$9))</f>
        <v/>
      </c>
      <c r="P1184" s="26" t="str">
        <f aca="false">IF($A1184="","",SUMIFS(Deductions!$D$5:$D$2000,Deductions!$B$5:$B$2000,$A1184,Deductions!$E$5:$E$2000,"&gt;="&amp;Settings!$B$8,Deductions!$E$5:$E$2000,"&lt;="&amp;Settings!$B$9)-O1184)</f>
        <v/>
      </c>
      <c r="Q1184" s="26" t="str">
        <f aca="false">IF($A1184="","",O1184+P1184)</f>
        <v/>
      </c>
      <c r="R1184" s="23" t="str">
        <f aca="false">IF($A1184="","",N1184-Q1184)</f>
        <v/>
      </c>
      <c r="S1184" s="24" t="str">
        <f aca="false">IF($A1184="","",INDEX(Workers!$O$5:$O$2004,MATCH($A1184,Workers!$A$5:$A$2004,0))&amp;"")</f>
        <v/>
      </c>
      <c r="T1184" s="24" t="str">
        <f aca="false">IF($A1184="","",INDEX(Workers!$P$5:$P$2004,MATCH($A1184,Workers!$A$5:$A$2004,0))&amp;"")</f>
        <v/>
      </c>
      <c r="U1184" s="24" t="str">
        <f aca="false">IF($A1184="","",INDEX(Workers!$H$5:$H$2004,MATCH($A1184,Workers!$A$5:$A$2004,0))&amp;"")</f>
        <v/>
      </c>
    </row>
    <row r="1185" customFormat="false" ht="15" hidden="false" customHeight="false" outlineLevel="0" collapsed="false">
      <c r="A1185" s="24" t="str">
        <f aca="false">IFERROR(INDEX(Workers!$A$5:$A$2004,MATCH(ROW()-4,Workers!$U$5:$U$2004,0)),"")</f>
        <v/>
      </c>
      <c r="B1185" s="24" t="str">
        <f aca="false">IF($A1185="","",INDEX(Workers!$B$5:$B$2004,MATCH($A1185,Workers!$A$5:$A$2004,0)))</f>
        <v/>
      </c>
      <c r="C1185" s="24" t="str">
        <f aca="false">IF($A1185="","",INDEX(Workers!$E$5:$E$2004,MATCH($A1185,Workers!$A$5:$A$2004,0)))</f>
        <v/>
      </c>
      <c r="D1185" s="24" t="str">
        <f aca="false">IF($A1185="","",INDEX(Workers!$K$5:$K$2004,MATCH($A1185,Workers!$A$5:$A$2004,0)))</f>
        <v/>
      </c>
      <c r="E1185" s="25" t="str">
        <f aca="false">IF($A1185="","",SUMIFS(Timesheet!$E$5:$E$3004,Timesheet!$D$5:$D$3004,$A1185,Timesheet!$A$5:$A$3004,"&gt;="&amp;Settings!$B$8,Timesheet!$A$5:$A$3004,"&lt;="&amp;Settings!$B$9))</f>
        <v/>
      </c>
      <c r="F1185" s="25" t="str">
        <f aca="false">IF($A1185="","",SUMIFS(Timesheet!$F$5:$F$3004,Timesheet!$D$5:$D$3004,$A1185,Timesheet!$A$5:$A$3004,"&gt;="&amp;Settings!$B$8,Timesheet!$A$5:$A$3004,"&lt;="&amp;Settings!$B$9))</f>
        <v/>
      </c>
      <c r="G1185" s="25" t="str">
        <f aca="false">IF($A1185="","",SUMIFS(Timesheet!$G$5:$G$3004,Timesheet!$D$5:$D$3004,$A1185,Timesheet!$A$5:$A$3004,"&gt;="&amp;Settings!$B$8,Timesheet!$A$5:$A$3004,"&lt;="&amp;Settings!$B$9))</f>
        <v/>
      </c>
      <c r="H1185" s="25" t="str">
        <f aca="false">IF($A1185="","",IF(D1185="Monthly",MAX(0,Settings!$B$11-E1185),0))</f>
        <v/>
      </c>
      <c r="I1185" s="26" t="str">
        <f aca="false">IF($A1185="","",N(INDEX(Workers!$L$5:$L$2004,MATCH($A1185,Workers!$A$5:$A$2004,0))))</f>
        <v/>
      </c>
      <c r="J1185" s="26" t="str">
        <f aca="false">IF($A1185="","",N(INDEX(Workers!$M$5:$M$2004,MATCH($A1185,Workers!$A$5:$A$2004,0))))</f>
        <v/>
      </c>
      <c r="K1185" s="26" t="str">
        <f aca="false">IF($A1185="","",IF(D1185="Monthly",ROUND(MAX(0,(I1185+J1185)-(I1185+J1185)/Settings!$B$10*H1185),2),0))</f>
        <v/>
      </c>
      <c r="L1185" s="26" t="str">
        <f aca="false">IF($A1185="","",IF(D1185="Hourly",ROUND(F1185*N(INDEX(Workers!$N$5:$N$2004,MATCH($A1185,Workers!$A$5:$A$2004,0))),2),0))</f>
        <v/>
      </c>
      <c r="M1185" s="26" t="str">
        <f aca="false">IF($A1185="","",ROUND(G1185*IF(D1185="Hourly",N(INDEX(Workers!$N$5:$N$2004,MATCH($A1185,Workers!$A$5:$A$2004,0))),I1185/Settings!$B$10/Settings!$B$12)*Settings!$B$13,2))</f>
        <v/>
      </c>
      <c r="N1185" s="26" t="str">
        <f aca="false">IF($A1185="","",K1185+L1185+M1185)</f>
        <v/>
      </c>
      <c r="O1185" s="26" t="str">
        <f aca="false">IF($A1185="","",SUMIFS(Deductions!$D$5:$D$2000,Deductions!$B$5:$B$2000,$A1185,Deductions!$C$5:$C$2000,"Advance",Deductions!$E$5:$E$2000,"&gt;="&amp;Settings!$B$8,Deductions!$E$5:$E$2000,"&lt;="&amp;Settings!$B$9))</f>
        <v/>
      </c>
      <c r="P1185" s="26" t="str">
        <f aca="false">IF($A1185="","",SUMIFS(Deductions!$D$5:$D$2000,Deductions!$B$5:$B$2000,$A1185,Deductions!$E$5:$E$2000,"&gt;="&amp;Settings!$B$8,Deductions!$E$5:$E$2000,"&lt;="&amp;Settings!$B$9)-O1185)</f>
        <v/>
      </c>
      <c r="Q1185" s="26" t="str">
        <f aca="false">IF($A1185="","",O1185+P1185)</f>
        <v/>
      </c>
      <c r="R1185" s="23" t="str">
        <f aca="false">IF($A1185="","",N1185-Q1185)</f>
        <v/>
      </c>
      <c r="S1185" s="24" t="str">
        <f aca="false">IF($A1185="","",INDEX(Workers!$O$5:$O$2004,MATCH($A1185,Workers!$A$5:$A$2004,0))&amp;"")</f>
        <v/>
      </c>
      <c r="T1185" s="24" t="str">
        <f aca="false">IF($A1185="","",INDEX(Workers!$P$5:$P$2004,MATCH($A1185,Workers!$A$5:$A$2004,0))&amp;"")</f>
        <v/>
      </c>
      <c r="U1185" s="24" t="str">
        <f aca="false">IF($A1185="","",INDEX(Workers!$H$5:$H$2004,MATCH($A1185,Workers!$A$5:$A$2004,0))&amp;"")</f>
        <v/>
      </c>
    </row>
    <row r="1186" customFormat="false" ht="15" hidden="false" customHeight="false" outlineLevel="0" collapsed="false">
      <c r="A1186" s="24" t="str">
        <f aca="false">IFERROR(INDEX(Workers!$A$5:$A$2004,MATCH(ROW()-4,Workers!$U$5:$U$2004,0)),"")</f>
        <v/>
      </c>
      <c r="B1186" s="24" t="str">
        <f aca="false">IF($A1186="","",INDEX(Workers!$B$5:$B$2004,MATCH($A1186,Workers!$A$5:$A$2004,0)))</f>
        <v/>
      </c>
      <c r="C1186" s="24" t="str">
        <f aca="false">IF($A1186="","",INDEX(Workers!$E$5:$E$2004,MATCH($A1186,Workers!$A$5:$A$2004,0)))</f>
        <v/>
      </c>
      <c r="D1186" s="24" t="str">
        <f aca="false">IF($A1186="","",INDEX(Workers!$K$5:$K$2004,MATCH($A1186,Workers!$A$5:$A$2004,0)))</f>
        <v/>
      </c>
      <c r="E1186" s="25" t="str">
        <f aca="false">IF($A1186="","",SUMIFS(Timesheet!$E$5:$E$3004,Timesheet!$D$5:$D$3004,$A1186,Timesheet!$A$5:$A$3004,"&gt;="&amp;Settings!$B$8,Timesheet!$A$5:$A$3004,"&lt;="&amp;Settings!$B$9))</f>
        <v/>
      </c>
      <c r="F1186" s="25" t="str">
        <f aca="false">IF($A1186="","",SUMIFS(Timesheet!$F$5:$F$3004,Timesheet!$D$5:$D$3004,$A1186,Timesheet!$A$5:$A$3004,"&gt;="&amp;Settings!$B$8,Timesheet!$A$5:$A$3004,"&lt;="&amp;Settings!$B$9))</f>
        <v/>
      </c>
      <c r="G1186" s="25" t="str">
        <f aca="false">IF($A1186="","",SUMIFS(Timesheet!$G$5:$G$3004,Timesheet!$D$5:$D$3004,$A1186,Timesheet!$A$5:$A$3004,"&gt;="&amp;Settings!$B$8,Timesheet!$A$5:$A$3004,"&lt;="&amp;Settings!$B$9))</f>
        <v/>
      </c>
      <c r="H1186" s="25" t="str">
        <f aca="false">IF($A1186="","",IF(D1186="Monthly",MAX(0,Settings!$B$11-E1186),0))</f>
        <v/>
      </c>
      <c r="I1186" s="26" t="str">
        <f aca="false">IF($A1186="","",N(INDEX(Workers!$L$5:$L$2004,MATCH($A1186,Workers!$A$5:$A$2004,0))))</f>
        <v/>
      </c>
      <c r="J1186" s="26" t="str">
        <f aca="false">IF($A1186="","",N(INDEX(Workers!$M$5:$M$2004,MATCH($A1186,Workers!$A$5:$A$2004,0))))</f>
        <v/>
      </c>
      <c r="K1186" s="26" t="str">
        <f aca="false">IF($A1186="","",IF(D1186="Monthly",ROUND(MAX(0,(I1186+J1186)-(I1186+J1186)/Settings!$B$10*H1186),2),0))</f>
        <v/>
      </c>
      <c r="L1186" s="26" t="str">
        <f aca="false">IF($A1186="","",IF(D1186="Hourly",ROUND(F1186*N(INDEX(Workers!$N$5:$N$2004,MATCH($A1186,Workers!$A$5:$A$2004,0))),2),0))</f>
        <v/>
      </c>
      <c r="M1186" s="26" t="str">
        <f aca="false">IF($A1186="","",ROUND(G1186*IF(D1186="Hourly",N(INDEX(Workers!$N$5:$N$2004,MATCH($A1186,Workers!$A$5:$A$2004,0))),I1186/Settings!$B$10/Settings!$B$12)*Settings!$B$13,2))</f>
        <v/>
      </c>
      <c r="N1186" s="26" t="str">
        <f aca="false">IF($A1186="","",K1186+L1186+M1186)</f>
        <v/>
      </c>
      <c r="O1186" s="26" t="str">
        <f aca="false">IF($A1186="","",SUMIFS(Deductions!$D$5:$D$2000,Deductions!$B$5:$B$2000,$A1186,Deductions!$C$5:$C$2000,"Advance",Deductions!$E$5:$E$2000,"&gt;="&amp;Settings!$B$8,Deductions!$E$5:$E$2000,"&lt;="&amp;Settings!$B$9))</f>
        <v/>
      </c>
      <c r="P1186" s="26" t="str">
        <f aca="false">IF($A1186="","",SUMIFS(Deductions!$D$5:$D$2000,Deductions!$B$5:$B$2000,$A1186,Deductions!$E$5:$E$2000,"&gt;="&amp;Settings!$B$8,Deductions!$E$5:$E$2000,"&lt;="&amp;Settings!$B$9)-O1186)</f>
        <v/>
      </c>
      <c r="Q1186" s="26" t="str">
        <f aca="false">IF($A1186="","",O1186+P1186)</f>
        <v/>
      </c>
      <c r="R1186" s="23" t="str">
        <f aca="false">IF($A1186="","",N1186-Q1186)</f>
        <v/>
      </c>
      <c r="S1186" s="24" t="str">
        <f aca="false">IF($A1186="","",INDEX(Workers!$O$5:$O$2004,MATCH($A1186,Workers!$A$5:$A$2004,0))&amp;"")</f>
        <v/>
      </c>
      <c r="T1186" s="24" t="str">
        <f aca="false">IF($A1186="","",INDEX(Workers!$P$5:$P$2004,MATCH($A1186,Workers!$A$5:$A$2004,0))&amp;"")</f>
        <v/>
      </c>
      <c r="U1186" s="24" t="str">
        <f aca="false">IF($A1186="","",INDEX(Workers!$H$5:$H$2004,MATCH($A1186,Workers!$A$5:$A$2004,0))&amp;"")</f>
        <v/>
      </c>
    </row>
    <row r="1187" customFormat="false" ht="15" hidden="false" customHeight="false" outlineLevel="0" collapsed="false">
      <c r="A1187" s="24" t="str">
        <f aca="false">IFERROR(INDEX(Workers!$A$5:$A$2004,MATCH(ROW()-4,Workers!$U$5:$U$2004,0)),"")</f>
        <v/>
      </c>
      <c r="B1187" s="24" t="str">
        <f aca="false">IF($A1187="","",INDEX(Workers!$B$5:$B$2004,MATCH($A1187,Workers!$A$5:$A$2004,0)))</f>
        <v/>
      </c>
      <c r="C1187" s="24" t="str">
        <f aca="false">IF($A1187="","",INDEX(Workers!$E$5:$E$2004,MATCH($A1187,Workers!$A$5:$A$2004,0)))</f>
        <v/>
      </c>
      <c r="D1187" s="24" t="str">
        <f aca="false">IF($A1187="","",INDEX(Workers!$K$5:$K$2004,MATCH($A1187,Workers!$A$5:$A$2004,0)))</f>
        <v/>
      </c>
      <c r="E1187" s="25" t="str">
        <f aca="false">IF($A1187="","",SUMIFS(Timesheet!$E$5:$E$3004,Timesheet!$D$5:$D$3004,$A1187,Timesheet!$A$5:$A$3004,"&gt;="&amp;Settings!$B$8,Timesheet!$A$5:$A$3004,"&lt;="&amp;Settings!$B$9))</f>
        <v/>
      </c>
      <c r="F1187" s="25" t="str">
        <f aca="false">IF($A1187="","",SUMIFS(Timesheet!$F$5:$F$3004,Timesheet!$D$5:$D$3004,$A1187,Timesheet!$A$5:$A$3004,"&gt;="&amp;Settings!$B$8,Timesheet!$A$5:$A$3004,"&lt;="&amp;Settings!$B$9))</f>
        <v/>
      </c>
      <c r="G1187" s="25" t="str">
        <f aca="false">IF($A1187="","",SUMIFS(Timesheet!$G$5:$G$3004,Timesheet!$D$5:$D$3004,$A1187,Timesheet!$A$5:$A$3004,"&gt;="&amp;Settings!$B$8,Timesheet!$A$5:$A$3004,"&lt;="&amp;Settings!$B$9))</f>
        <v/>
      </c>
      <c r="H1187" s="25" t="str">
        <f aca="false">IF($A1187="","",IF(D1187="Monthly",MAX(0,Settings!$B$11-E1187),0))</f>
        <v/>
      </c>
      <c r="I1187" s="26" t="str">
        <f aca="false">IF($A1187="","",N(INDEX(Workers!$L$5:$L$2004,MATCH($A1187,Workers!$A$5:$A$2004,0))))</f>
        <v/>
      </c>
      <c r="J1187" s="26" t="str">
        <f aca="false">IF($A1187="","",N(INDEX(Workers!$M$5:$M$2004,MATCH($A1187,Workers!$A$5:$A$2004,0))))</f>
        <v/>
      </c>
      <c r="K1187" s="26" t="str">
        <f aca="false">IF($A1187="","",IF(D1187="Monthly",ROUND(MAX(0,(I1187+J1187)-(I1187+J1187)/Settings!$B$10*H1187),2),0))</f>
        <v/>
      </c>
      <c r="L1187" s="26" t="str">
        <f aca="false">IF($A1187="","",IF(D1187="Hourly",ROUND(F1187*N(INDEX(Workers!$N$5:$N$2004,MATCH($A1187,Workers!$A$5:$A$2004,0))),2),0))</f>
        <v/>
      </c>
      <c r="M1187" s="26" t="str">
        <f aca="false">IF($A1187="","",ROUND(G1187*IF(D1187="Hourly",N(INDEX(Workers!$N$5:$N$2004,MATCH($A1187,Workers!$A$5:$A$2004,0))),I1187/Settings!$B$10/Settings!$B$12)*Settings!$B$13,2))</f>
        <v/>
      </c>
      <c r="N1187" s="26" t="str">
        <f aca="false">IF($A1187="","",K1187+L1187+M1187)</f>
        <v/>
      </c>
      <c r="O1187" s="26" t="str">
        <f aca="false">IF($A1187="","",SUMIFS(Deductions!$D$5:$D$2000,Deductions!$B$5:$B$2000,$A1187,Deductions!$C$5:$C$2000,"Advance",Deductions!$E$5:$E$2000,"&gt;="&amp;Settings!$B$8,Deductions!$E$5:$E$2000,"&lt;="&amp;Settings!$B$9))</f>
        <v/>
      </c>
      <c r="P1187" s="26" t="str">
        <f aca="false">IF($A1187="","",SUMIFS(Deductions!$D$5:$D$2000,Deductions!$B$5:$B$2000,$A1187,Deductions!$E$5:$E$2000,"&gt;="&amp;Settings!$B$8,Deductions!$E$5:$E$2000,"&lt;="&amp;Settings!$B$9)-O1187)</f>
        <v/>
      </c>
      <c r="Q1187" s="26" t="str">
        <f aca="false">IF($A1187="","",O1187+P1187)</f>
        <v/>
      </c>
      <c r="R1187" s="23" t="str">
        <f aca="false">IF($A1187="","",N1187-Q1187)</f>
        <v/>
      </c>
      <c r="S1187" s="24" t="str">
        <f aca="false">IF($A1187="","",INDEX(Workers!$O$5:$O$2004,MATCH($A1187,Workers!$A$5:$A$2004,0))&amp;"")</f>
        <v/>
      </c>
      <c r="T1187" s="24" t="str">
        <f aca="false">IF($A1187="","",INDEX(Workers!$P$5:$P$2004,MATCH($A1187,Workers!$A$5:$A$2004,0))&amp;"")</f>
        <v/>
      </c>
      <c r="U1187" s="24" t="str">
        <f aca="false">IF($A1187="","",INDEX(Workers!$H$5:$H$2004,MATCH($A1187,Workers!$A$5:$A$2004,0))&amp;"")</f>
        <v/>
      </c>
    </row>
    <row r="1188" customFormat="false" ht="15" hidden="false" customHeight="false" outlineLevel="0" collapsed="false">
      <c r="A1188" s="24" t="str">
        <f aca="false">IFERROR(INDEX(Workers!$A$5:$A$2004,MATCH(ROW()-4,Workers!$U$5:$U$2004,0)),"")</f>
        <v/>
      </c>
      <c r="B1188" s="24" t="str">
        <f aca="false">IF($A1188="","",INDEX(Workers!$B$5:$B$2004,MATCH($A1188,Workers!$A$5:$A$2004,0)))</f>
        <v/>
      </c>
      <c r="C1188" s="24" t="str">
        <f aca="false">IF($A1188="","",INDEX(Workers!$E$5:$E$2004,MATCH($A1188,Workers!$A$5:$A$2004,0)))</f>
        <v/>
      </c>
      <c r="D1188" s="24" t="str">
        <f aca="false">IF($A1188="","",INDEX(Workers!$K$5:$K$2004,MATCH($A1188,Workers!$A$5:$A$2004,0)))</f>
        <v/>
      </c>
      <c r="E1188" s="25" t="str">
        <f aca="false">IF($A1188="","",SUMIFS(Timesheet!$E$5:$E$3004,Timesheet!$D$5:$D$3004,$A1188,Timesheet!$A$5:$A$3004,"&gt;="&amp;Settings!$B$8,Timesheet!$A$5:$A$3004,"&lt;="&amp;Settings!$B$9))</f>
        <v/>
      </c>
      <c r="F1188" s="25" t="str">
        <f aca="false">IF($A1188="","",SUMIFS(Timesheet!$F$5:$F$3004,Timesheet!$D$5:$D$3004,$A1188,Timesheet!$A$5:$A$3004,"&gt;="&amp;Settings!$B$8,Timesheet!$A$5:$A$3004,"&lt;="&amp;Settings!$B$9))</f>
        <v/>
      </c>
      <c r="G1188" s="25" t="str">
        <f aca="false">IF($A1188="","",SUMIFS(Timesheet!$G$5:$G$3004,Timesheet!$D$5:$D$3004,$A1188,Timesheet!$A$5:$A$3004,"&gt;="&amp;Settings!$B$8,Timesheet!$A$5:$A$3004,"&lt;="&amp;Settings!$B$9))</f>
        <v/>
      </c>
      <c r="H1188" s="25" t="str">
        <f aca="false">IF($A1188="","",IF(D1188="Monthly",MAX(0,Settings!$B$11-E1188),0))</f>
        <v/>
      </c>
      <c r="I1188" s="26" t="str">
        <f aca="false">IF($A1188="","",N(INDEX(Workers!$L$5:$L$2004,MATCH($A1188,Workers!$A$5:$A$2004,0))))</f>
        <v/>
      </c>
      <c r="J1188" s="26" t="str">
        <f aca="false">IF($A1188="","",N(INDEX(Workers!$M$5:$M$2004,MATCH($A1188,Workers!$A$5:$A$2004,0))))</f>
        <v/>
      </c>
      <c r="K1188" s="26" t="str">
        <f aca="false">IF($A1188="","",IF(D1188="Monthly",ROUND(MAX(0,(I1188+J1188)-(I1188+J1188)/Settings!$B$10*H1188),2),0))</f>
        <v/>
      </c>
      <c r="L1188" s="26" t="str">
        <f aca="false">IF($A1188="","",IF(D1188="Hourly",ROUND(F1188*N(INDEX(Workers!$N$5:$N$2004,MATCH($A1188,Workers!$A$5:$A$2004,0))),2),0))</f>
        <v/>
      </c>
      <c r="M1188" s="26" t="str">
        <f aca="false">IF($A1188="","",ROUND(G1188*IF(D1188="Hourly",N(INDEX(Workers!$N$5:$N$2004,MATCH($A1188,Workers!$A$5:$A$2004,0))),I1188/Settings!$B$10/Settings!$B$12)*Settings!$B$13,2))</f>
        <v/>
      </c>
      <c r="N1188" s="26" t="str">
        <f aca="false">IF($A1188="","",K1188+L1188+M1188)</f>
        <v/>
      </c>
      <c r="O1188" s="26" t="str">
        <f aca="false">IF($A1188="","",SUMIFS(Deductions!$D$5:$D$2000,Deductions!$B$5:$B$2000,$A1188,Deductions!$C$5:$C$2000,"Advance",Deductions!$E$5:$E$2000,"&gt;="&amp;Settings!$B$8,Deductions!$E$5:$E$2000,"&lt;="&amp;Settings!$B$9))</f>
        <v/>
      </c>
      <c r="P1188" s="26" t="str">
        <f aca="false">IF($A1188="","",SUMIFS(Deductions!$D$5:$D$2000,Deductions!$B$5:$B$2000,$A1188,Deductions!$E$5:$E$2000,"&gt;="&amp;Settings!$B$8,Deductions!$E$5:$E$2000,"&lt;="&amp;Settings!$B$9)-O1188)</f>
        <v/>
      </c>
      <c r="Q1188" s="26" t="str">
        <f aca="false">IF($A1188="","",O1188+P1188)</f>
        <v/>
      </c>
      <c r="R1188" s="23" t="str">
        <f aca="false">IF($A1188="","",N1188-Q1188)</f>
        <v/>
      </c>
      <c r="S1188" s="24" t="str">
        <f aca="false">IF($A1188="","",INDEX(Workers!$O$5:$O$2004,MATCH($A1188,Workers!$A$5:$A$2004,0))&amp;"")</f>
        <v/>
      </c>
      <c r="T1188" s="24" t="str">
        <f aca="false">IF($A1188="","",INDEX(Workers!$P$5:$P$2004,MATCH($A1188,Workers!$A$5:$A$2004,0))&amp;"")</f>
        <v/>
      </c>
      <c r="U1188" s="24" t="str">
        <f aca="false">IF($A1188="","",INDEX(Workers!$H$5:$H$2004,MATCH($A1188,Workers!$A$5:$A$2004,0))&amp;"")</f>
        <v/>
      </c>
    </row>
    <row r="1189" customFormat="false" ht="15" hidden="false" customHeight="false" outlineLevel="0" collapsed="false">
      <c r="A1189" s="24" t="str">
        <f aca="false">IFERROR(INDEX(Workers!$A$5:$A$2004,MATCH(ROW()-4,Workers!$U$5:$U$2004,0)),"")</f>
        <v/>
      </c>
      <c r="B1189" s="24" t="str">
        <f aca="false">IF($A1189="","",INDEX(Workers!$B$5:$B$2004,MATCH($A1189,Workers!$A$5:$A$2004,0)))</f>
        <v/>
      </c>
      <c r="C1189" s="24" t="str">
        <f aca="false">IF($A1189="","",INDEX(Workers!$E$5:$E$2004,MATCH($A1189,Workers!$A$5:$A$2004,0)))</f>
        <v/>
      </c>
      <c r="D1189" s="24" t="str">
        <f aca="false">IF($A1189="","",INDEX(Workers!$K$5:$K$2004,MATCH($A1189,Workers!$A$5:$A$2004,0)))</f>
        <v/>
      </c>
      <c r="E1189" s="25" t="str">
        <f aca="false">IF($A1189="","",SUMIFS(Timesheet!$E$5:$E$3004,Timesheet!$D$5:$D$3004,$A1189,Timesheet!$A$5:$A$3004,"&gt;="&amp;Settings!$B$8,Timesheet!$A$5:$A$3004,"&lt;="&amp;Settings!$B$9))</f>
        <v/>
      </c>
      <c r="F1189" s="25" t="str">
        <f aca="false">IF($A1189="","",SUMIFS(Timesheet!$F$5:$F$3004,Timesheet!$D$5:$D$3004,$A1189,Timesheet!$A$5:$A$3004,"&gt;="&amp;Settings!$B$8,Timesheet!$A$5:$A$3004,"&lt;="&amp;Settings!$B$9))</f>
        <v/>
      </c>
      <c r="G1189" s="25" t="str">
        <f aca="false">IF($A1189="","",SUMIFS(Timesheet!$G$5:$G$3004,Timesheet!$D$5:$D$3004,$A1189,Timesheet!$A$5:$A$3004,"&gt;="&amp;Settings!$B$8,Timesheet!$A$5:$A$3004,"&lt;="&amp;Settings!$B$9))</f>
        <v/>
      </c>
      <c r="H1189" s="25" t="str">
        <f aca="false">IF($A1189="","",IF(D1189="Monthly",MAX(0,Settings!$B$11-E1189),0))</f>
        <v/>
      </c>
      <c r="I1189" s="26" t="str">
        <f aca="false">IF($A1189="","",N(INDEX(Workers!$L$5:$L$2004,MATCH($A1189,Workers!$A$5:$A$2004,0))))</f>
        <v/>
      </c>
      <c r="J1189" s="26" t="str">
        <f aca="false">IF($A1189="","",N(INDEX(Workers!$M$5:$M$2004,MATCH($A1189,Workers!$A$5:$A$2004,0))))</f>
        <v/>
      </c>
      <c r="K1189" s="26" t="str">
        <f aca="false">IF($A1189="","",IF(D1189="Monthly",ROUND(MAX(0,(I1189+J1189)-(I1189+J1189)/Settings!$B$10*H1189),2),0))</f>
        <v/>
      </c>
      <c r="L1189" s="26" t="str">
        <f aca="false">IF($A1189="","",IF(D1189="Hourly",ROUND(F1189*N(INDEX(Workers!$N$5:$N$2004,MATCH($A1189,Workers!$A$5:$A$2004,0))),2),0))</f>
        <v/>
      </c>
      <c r="M1189" s="26" t="str">
        <f aca="false">IF($A1189="","",ROUND(G1189*IF(D1189="Hourly",N(INDEX(Workers!$N$5:$N$2004,MATCH($A1189,Workers!$A$5:$A$2004,0))),I1189/Settings!$B$10/Settings!$B$12)*Settings!$B$13,2))</f>
        <v/>
      </c>
      <c r="N1189" s="26" t="str">
        <f aca="false">IF($A1189="","",K1189+L1189+M1189)</f>
        <v/>
      </c>
      <c r="O1189" s="26" t="str">
        <f aca="false">IF($A1189="","",SUMIFS(Deductions!$D$5:$D$2000,Deductions!$B$5:$B$2000,$A1189,Deductions!$C$5:$C$2000,"Advance",Deductions!$E$5:$E$2000,"&gt;="&amp;Settings!$B$8,Deductions!$E$5:$E$2000,"&lt;="&amp;Settings!$B$9))</f>
        <v/>
      </c>
      <c r="P1189" s="26" t="str">
        <f aca="false">IF($A1189="","",SUMIFS(Deductions!$D$5:$D$2000,Deductions!$B$5:$B$2000,$A1189,Deductions!$E$5:$E$2000,"&gt;="&amp;Settings!$B$8,Deductions!$E$5:$E$2000,"&lt;="&amp;Settings!$B$9)-O1189)</f>
        <v/>
      </c>
      <c r="Q1189" s="26" t="str">
        <f aca="false">IF($A1189="","",O1189+P1189)</f>
        <v/>
      </c>
      <c r="R1189" s="23" t="str">
        <f aca="false">IF($A1189="","",N1189-Q1189)</f>
        <v/>
      </c>
      <c r="S1189" s="24" t="str">
        <f aca="false">IF($A1189="","",INDEX(Workers!$O$5:$O$2004,MATCH($A1189,Workers!$A$5:$A$2004,0))&amp;"")</f>
        <v/>
      </c>
      <c r="T1189" s="24" t="str">
        <f aca="false">IF($A1189="","",INDEX(Workers!$P$5:$P$2004,MATCH($A1189,Workers!$A$5:$A$2004,0))&amp;"")</f>
        <v/>
      </c>
      <c r="U1189" s="24" t="str">
        <f aca="false">IF($A1189="","",INDEX(Workers!$H$5:$H$2004,MATCH($A1189,Workers!$A$5:$A$2004,0))&amp;"")</f>
        <v/>
      </c>
    </row>
    <row r="1190" customFormat="false" ht="15" hidden="false" customHeight="false" outlineLevel="0" collapsed="false">
      <c r="A1190" s="24" t="str">
        <f aca="false">IFERROR(INDEX(Workers!$A$5:$A$2004,MATCH(ROW()-4,Workers!$U$5:$U$2004,0)),"")</f>
        <v/>
      </c>
      <c r="B1190" s="24" t="str">
        <f aca="false">IF($A1190="","",INDEX(Workers!$B$5:$B$2004,MATCH($A1190,Workers!$A$5:$A$2004,0)))</f>
        <v/>
      </c>
      <c r="C1190" s="24" t="str">
        <f aca="false">IF($A1190="","",INDEX(Workers!$E$5:$E$2004,MATCH($A1190,Workers!$A$5:$A$2004,0)))</f>
        <v/>
      </c>
      <c r="D1190" s="24" t="str">
        <f aca="false">IF($A1190="","",INDEX(Workers!$K$5:$K$2004,MATCH($A1190,Workers!$A$5:$A$2004,0)))</f>
        <v/>
      </c>
      <c r="E1190" s="25" t="str">
        <f aca="false">IF($A1190="","",SUMIFS(Timesheet!$E$5:$E$3004,Timesheet!$D$5:$D$3004,$A1190,Timesheet!$A$5:$A$3004,"&gt;="&amp;Settings!$B$8,Timesheet!$A$5:$A$3004,"&lt;="&amp;Settings!$B$9))</f>
        <v/>
      </c>
      <c r="F1190" s="25" t="str">
        <f aca="false">IF($A1190="","",SUMIFS(Timesheet!$F$5:$F$3004,Timesheet!$D$5:$D$3004,$A1190,Timesheet!$A$5:$A$3004,"&gt;="&amp;Settings!$B$8,Timesheet!$A$5:$A$3004,"&lt;="&amp;Settings!$B$9))</f>
        <v/>
      </c>
      <c r="G1190" s="25" t="str">
        <f aca="false">IF($A1190="","",SUMIFS(Timesheet!$G$5:$G$3004,Timesheet!$D$5:$D$3004,$A1190,Timesheet!$A$5:$A$3004,"&gt;="&amp;Settings!$B$8,Timesheet!$A$5:$A$3004,"&lt;="&amp;Settings!$B$9))</f>
        <v/>
      </c>
      <c r="H1190" s="25" t="str">
        <f aca="false">IF($A1190="","",IF(D1190="Monthly",MAX(0,Settings!$B$11-E1190),0))</f>
        <v/>
      </c>
      <c r="I1190" s="26" t="str">
        <f aca="false">IF($A1190="","",N(INDEX(Workers!$L$5:$L$2004,MATCH($A1190,Workers!$A$5:$A$2004,0))))</f>
        <v/>
      </c>
      <c r="J1190" s="26" t="str">
        <f aca="false">IF($A1190="","",N(INDEX(Workers!$M$5:$M$2004,MATCH($A1190,Workers!$A$5:$A$2004,0))))</f>
        <v/>
      </c>
      <c r="K1190" s="26" t="str">
        <f aca="false">IF($A1190="","",IF(D1190="Monthly",ROUND(MAX(0,(I1190+J1190)-(I1190+J1190)/Settings!$B$10*H1190),2),0))</f>
        <v/>
      </c>
      <c r="L1190" s="26" t="str">
        <f aca="false">IF($A1190="","",IF(D1190="Hourly",ROUND(F1190*N(INDEX(Workers!$N$5:$N$2004,MATCH($A1190,Workers!$A$5:$A$2004,0))),2),0))</f>
        <v/>
      </c>
      <c r="M1190" s="26" t="str">
        <f aca="false">IF($A1190="","",ROUND(G1190*IF(D1190="Hourly",N(INDEX(Workers!$N$5:$N$2004,MATCH($A1190,Workers!$A$5:$A$2004,0))),I1190/Settings!$B$10/Settings!$B$12)*Settings!$B$13,2))</f>
        <v/>
      </c>
      <c r="N1190" s="26" t="str">
        <f aca="false">IF($A1190="","",K1190+L1190+M1190)</f>
        <v/>
      </c>
      <c r="O1190" s="26" t="str">
        <f aca="false">IF($A1190="","",SUMIFS(Deductions!$D$5:$D$2000,Deductions!$B$5:$B$2000,$A1190,Deductions!$C$5:$C$2000,"Advance",Deductions!$E$5:$E$2000,"&gt;="&amp;Settings!$B$8,Deductions!$E$5:$E$2000,"&lt;="&amp;Settings!$B$9))</f>
        <v/>
      </c>
      <c r="P1190" s="26" t="str">
        <f aca="false">IF($A1190="","",SUMIFS(Deductions!$D$5:$D$2000,Deductions!$B$5:$B$2000,$A1190,Deductions!$E$5:$E$2000,"&gt;="&amp;Settings!$B$8,Deductions!$E$5:$E$2000,"&lt;="&amp;Settings!$B$9)-O1190)</f>
        <v/>
      </c>
      <c r="Q1190" s="26" t="str">
        <f aca="false">IF($A1190="","",O1190+P1190)</f>
        <v/>
      </c>
      <c r="R1190" s="23" t="str">
        <f aca="false">IF($A1190="","",N1190-Q1190)</f>
        <v/>
      </c>
      <c r="S1190" s="24" t="str">
        <f aca="false">IF($A1190="","",INDEX(Workers!$O$5:$O$2004,MATCH($A1190,Workers!$A$5:$A$2004,0))&amp;"")</f>
        <v/>
      </c>
      <c r="T1190" s="24" t="str">
        <f aca="false">IF($A1190="","",INDEX(Workers!$P$5:$P$2004,MATCH($A1190,Workers!$A$5:$A$2004,0))&amp;"")</f>
        <v/>
      </c>
      <c r="U1190" s="24" t="str">
        <f aca="false">IF($A1190="","",INDEX(Workers!$H$5:$H$2004,MATCH($A1190,Workers!$A$5:$A$2004,0))&amp;"")</f>
        <v/>
      </c>
    </row>
    <row r="1191" customFormat="false" ht="15" hidden="false" customHeight="false" outlineLevel="0" collapsed="false">
      <c r="A1191" s="24" t="str">
        <f aca="false">IFERROR(INDEX(Workers!$A$5:$A$2004,MATCH(ROW()-4,Workers!$U$5:$U$2004,0)),"")</f>
        <v/>
      </c>
      <c r="B1191" s="24" t="str">
        <f aca="false">IF($A1191="","",INDEX(Workers!$B$5:$B$2004,MATCH($A1191,Workers!$A$5:$A$2004,0)))</f>
        <v/>
      </c>
      <c r="C1191" s="24" t="str">
        <f aca="false">IF($A1191="","",INDEX(Workers!$E$5:$E$2004,MATCH($A1191,Workers!$A$5:$A$2004,0)))</f>
        <v/>
      </c>
      <c r="D1191" s="24" t="str">
        <f aca="false">IF($A1191="","",INDEX(Workers!$K$5:$K$2004,MATCH($A1191,Workers!$A$5:$A$2004,0)))</f>
        <v/>
      </c>
      <c r="E1191" s="25" t="str">
        <f aca="false">IF($A1191="","",SUMIFS(Timesheet!$E$5:$E$3004,Timesheet!$D$5:$D$3004,$A1191,Timesheet!$A$5:$A$3004,"&gt;="&amp;Settings!$B$8,Timesheet!$A$5:$A$3004,"&lt;="&amp;Settings!$B$9))</f>
        <v/>
      </c>
      <c r="F1191" s="25" t="str">
        <f aca="false">IF($A1191="","",SUMIFS(Timesheet!$F$5:$F$3004,Timesheet!$D$5:$D$3004,$A1191,Timesheet!$A$5:$A$3004,"&gt;="&amp;Settings!$B$8,Timesheet!$A$5:$A$3004,"&lt;="&amp;Settings!$B$9))</f>
        <v/>
      </c>
      <c r="G1191" s="25" t="str">
        <f aca="false">IF($A1191="","",SUMIFS(Timesheet!$G$5:$G$3004,Timesheet!$D$5:$D$3004,$A1191,Timesheet!$A$5:$A$3004,"&gt;="&amp;Settings!$B$8,Timesheet!$A$5:$A$3004,"&lt;="&amp;Settings!$B$9))</f>
        <v/>
      </c>
      <c r="H1191" s="25" t="str">
        <f aca="false">IF($A1191="","",IF(D1191="Monthly",MAX(0,Settings!$B$11-E1191),0))</f>
        <v/>
      </c>
      <c r="I1191" s="26" t="str">
        <f aca="false">IF($A1191="","",N(INDEX(Workers!$L$5:$L$2004,MATCH($A1191,Workers!$A$5:$A$2004,0))))</f>
        <v/>
      </c>
      <c r="J1191" s="26" t="str">
        <f aca="false">IF($A1191="","",N(INDEX(Workers!$M$5:$M$2004,MATCH($A1191,Workers!$A$5:$A$2004,0))))</f>
        <v/>
      </c>
      <c r="K1191" s="26" t="str">
        <f aca="false">IF($A1191="","",IF(D1191="Monthly",ROUND(MAX(0,(I1191+J1191)-(I1191+J1191)/Settings!$B$10*H1191),2),0))</f>
        <v/>
      </c>
      <c r="L1191" s="26" t="str">
        <f aca="false">IF($A1191="","",IF(D1191="Hourly",ROUND(F1191*N(INDEX(Workers!$N$5:$N$2004,MATCH($A1191,Workers!$A$5:$A$2004,0))),2),0))</f>
        <v/>
      </c>
      <c r="M1191" s="26" t="str">
        <f aca="false">IF($A1191="","",ROUND(G1191*IF(D1191="Hourly",N(INDEX(Workers!$N$5:$N$2004,MATCH($A1191,Workers!$A$5:$A$2004,0))),I1191/Settings!$B$10/Settings!$B$12)*Settings!$B$13,2))</f>
        <v/>
      </c>
      <c r="N1191" s="26" t="str">
        <f aca="false">IF($A1191="","",K1191+L1191+M1191)</f>
        <v/>
      </c>
      <c r="O1191" s="26" t="str">
        <f aca="false">IF($A1191="","",SUMIFS(Deductions!$D$5:$D$2000,Deductions!$B$5:$B$2000,$A1191,Deductions!$C$5:$C$2000,"Advance",Deductions!$E$5:$E$2000,"&gt;="&amp;Settings!$B$8,Deductions!$E$5:$E$2000,"&lt;="&amp;Settings!$B$9))</f>
        <v/>
      </c>
      <c r="P1191" s="26" t="str">
        <f aca="false">IF($A1191="","",SUMIFS(Deductions!$D$5:$D$2000,Deductions!$B$5:$B$2000,$A1191,Deductions!$E$5:$E$2000,"&gt;="&amp;Settings!$B$8,Deductions!$E$5:$E$2000,"&lt;="&amp;Settings!$B$9)-O1191)</f>
        <v/>
      </c>
      <c r="Q1191" s="26" t="str">
        <f aca="false">IF($A1191="","",O1191+P1191)</f>
        <v/>
      </c>
      <c r="R1191" s="23" t="str">
        <f aca="false">IF($A1191="","",N1191-Q1191)</f>
        <v/>
      </c>
      <c r="S1191" s="24" t="str">
        <f aca="false">IF($A1191="","",INDEX(Workers!$O$5:$O$2004,MATCH($A1191,Workers!$A$5:$A$2004,0))&amp;"")</f>
        <v/>
      </c>
      <c r="T1191" s="24" t="str">
        <f aca="false">IF($A1191="","",INDEX(Workers!$P$5:$P$2004,MATCH($A1191,Workers!$A$5:$A$2004,0))&amp;"")</f>
        <v/>
      </c>
      <c r="U1191" s="24" t="str">
        <f aca="false">IF($A1191="","",INDEX(Workers!$H$5:$H$2004,MATCH($A1191,Workers!$A$5:$A$2004,0))&amp;"")</f>
        <v/>
      </c>
    </row>
    <row r="1192" customFormat="false" ht="15" hidden="false" customHeight="false" outlineLevel="0" collapsed="false">
      <c r="A1192" s="24" t="str">
        <f aca="false">IFERROR(INDEX(Workers!$A$5:$A$2004,MATCH(ROW()-4,Workers!$U$5:$U$2004,0)),"")</f>
        <v/>
      </c>
      <c r="B1192" s="24" t="str">
        <f aca="false">IF($A1192="","",INDEX(Workers!$B$5:$B$2004,MATCH($A1192,Workers!$A$5:$A$2004,0)))</f>
        <v/>
      </c>
      <c r="C1192" s="24" t="str">
        <f aca="false">IF($A1192="","",INDEX(Workers!$E$5:$E$2004,MATCH($A1192,Workers!$A$5:$A$2004,0)))</f>
        <v/>
      </c>
      <c r="D1192" s="24" t="str">
        <f aca="false">IF($A1192="","",INDEX(Workers!$K$5:$K$2004,MATCH($A1192,Workers!$A$5:$A$2004,0)))</f>
        <v/>
      </c>
      <c r="E1192" s="25" t="str">
        <f aca="false">IF($A1192="","",SUMIFS(Timesheet!$E$5:$E$3004,Timesheet!$D$5:$D$3004,$A1192,Timesheet!$A$5:$A$3004,"&gt;="&amp;Settings!$B$8,Timesheet!$A$5:$A$3004,"&lt;="&amp;Settings!$B$9))</f>
        <v/>
      </c>
      <c r="F1192" s="25" t="str">
        <f aca="false">IF($A1192="","",SUMIFS(Timesheet!$F$5:$F$3004,Timesheet!$D$5:$D$3004,$A1192,Timesheet!$A$5:$A$3004,"&gt;="&amp;Settings!$B$8,Timesheet!$A$5:$A$3004,"&lt;="&amp;Settings!$B$9))</f>
        <v/>
      </c>
      <c r="G1192" s="25" t="str">
        <f aca="false">IF($A1192="","",SUMIFS(Timesheet!$G$5:$G$3004,Timesheet!$D$5:$D$3004,$A1192,Timesheet!$A$5:$A$3004,"&gt;="&amp;Settings!$B$8,Timesheet!$A$5:$A$3004,"&lt;="&amp;Settings!$B$9))</f>
        <v/>
      </c>
      <c r="H1192" s="25" t="str">
        <f aca="false">IF($A1192="","",IF(D1192="Monthly",MAX(0,Settings!$B$11-E1192),0))</f>
        <v/>
      </c>
      <c r="I1192" s="26" t="str">
        <f aca="false">IF($A1192="","",N(INDEX(Workers!$L$5:$L$2004,MATCH($A1192,Workers!$A$5:$A$2004,0))))</f>
        <v/>
      </c>
      <c r="J1192" s="26" t="str">
        <f aca="false">IF($A1192="","",N(INDEX(Workers!$M$5:$M$2004,MATCH($A1192,Workers!$A$5:$A$2004,0))))</f>
        <v/>
      </c>
      <c r="K1192" s="26" t="str">
        <f aca="false">IF($A1192="","",IF(D1192="Monthly",ROUND(MAX(0,(I1192+J1192)-(I1192+J1192)/Settings!$B$10*H1192),2),0))</f>
        <v/>
      </c>
      <c r="L1192" s="26" t="str">
        <f aca="false">IF($A1192="","",IF(D1192="Hourly",ROUND(F1192*N(INDEX(Workers!$N$5:$N$2004,MATCH($A1192,Workers!$A$5:$A$2004,0))),2),0))</f>
        <v/>
      </c>
      <c r="M1192" s="26" t="str">
        <f aca="false">IF($A1192="","",ROUND(G1192*IF(D1192="Hourly",N(INDEX(Workers!$N$5:$N$2004,MATCH($A1192,Workers!$A$5:$A$2004,0))),I1192/Settings!$B$10/Settings!$B$12)*Settings!$B$13,2))</f>
        <v/>
      </c>
      <c r="N1192" s="26" t="str">
        <f aca="false">IF($A1192="","",K1192+L1192+M1192)</f>
        <v/>
      </c>
      <c r="O1192" s="26" t="str">
        <f aca="false">IF($A1192="","",SUMIFS(Deductions!$D$5:$D$2000,Deductions!$B$5:$B$2000,$A1192,Deductions!$C$5:$C$2000,"Advance",Deductions!$E$5:$E$2000,"&gt;="&amp;Settings!$B$8,Deductions!$E$5:$E$2000,"&lt;="&amp;Settings!$B$9))</f>
        <v/>
      </c>
      <c r="P1192" s="26" t="str">
        <f aca="false">IF($A1192="","",SUMIFS(Deductions!$D$5:$D$2000,Deductions!$B$5:$B$2000,$A1192,Deductions!$E$5:$E$2000,"&gt;="&amp;Settings!$B$8,Deductions!$E$5:$E$2000,"&lt;="&amp;Settings!$B$9)-O1192)</f>
        <v/>
      </c>
      <c r="Q1192" s="26" t="str">
        <f aca="false">IF($A1192="","",O1192+P1192)</f>
        <v/>
      </c>
      <c r="R1192" s="23" t="str">
        <f aca="false">IF($A1192="","",N1192-Q1192)</f>
        <v/>
      </c>
      <c r="S1192" s="24" t="str">
        <f aca="false">IF($A1192="","",INDEX(Workers!$O$5:$O$2004,MATCH($A1192,Workers!$A$5:$A$2004,0))&amp;"")</f>
        <v/>
      </c>
      <c r="T1192" s="24" t="str">
        <f aca="false">IF($A1192="","",INDEX(Workers!$P$5:$P$2004,MATCH($A1192,Workers!$A$5:$A$2004,0))&amp;"")</f>
        <v/>
      </c>
      <c r="U1192" s="24" t="str">
        <f aca="false">IF($A1192="","",INDEX(Workers!$H$5:$H$2004,MATCH($A1192,Workers!$A$5:$A$2004,0))&amp;"")</f>
        <v/>
      </c>
    </row>
    <row r="1193" customFormat="false" ht="15" hidden="false" customHeight="false" outlineLevel="0" collapsed="false">
      <c r="A1193" s="24" t="str">
        <f aca="false">IFERROR(INDEX(Workers!$A$5:$A$2004,MATCH(ROW()-4,Workers!$U$5:$U$2004,0)),"")</f>
        <v/>
      </c>
      <c r="B1193" s="24" t="str">
        <f aca="false">IF($A1193="","",INDEX(Workers!$B$5:$B$2004,MATCH($A1193,Workers!$A$5:$A$2004,0)))</f>
        <v/>
      </c>
      <c r="C1193" s="24" t="str">
        <f aca="false">IF($A1193="","",INDEX(Workers!$E$5:$E$2004,MATCH($A1193,Workers!$A$5:$A$2004,0)))</f>
        <v/>
      </c>
      <c r="D1193" s="24" t="str">
        <f aca="false">IF($A1193="","",INDEX(Workers!$K$5:$K$2004,MATCH($A1193,Workers!$A$5:$A$2004,0)))</f>
        <v/>
      </c>
      <c r="E1193" s="25" t="str">
        <f aca="false">IF($A1193="","",SUMIFS(Timesheet!$E$5:$E$3004,Timesheet!$D$5:$D$3004,$A1193,Timesheet!$A$5:$A$3004,"&gt;="&amp;Settings!$B$8,Timesheet!$A$5:$A$3004,"&lt;="&amp;Settings!$B$9))</f>
        <v/>
      </c>
      <c r="F1193" s="25" t="str">
        <f aca="false">IF($A1193="","",SUMIFS(Timesheet!$F$5:$F$3004,Timesheet!$D$5:$D$3004,$A1193,Timesheet!$A$5:$A$3004,"&gt;="&amp;Settings!$B$8,Timesheet!$A$5:$A$3004,"&lt;="&amp;Settings!$B$9))</f>
        <v/>
      </c>
      <c r="G1193" s="25" t="str">
        <f aca="false">IF($A1193="","",SUMIFS(Timesheet!$G$5:$G$3004,Timesheet!$D$5:$D$3004,$A1193,Timesheet!$A$5:$A$3004,"&gt;="&amp;Settings!$B$8,Timesheet!$A$5:$A$3004,"&lt;="&amp;Settings!$B$9))</f>
        <v/>
      </c>
      <c r="H1193" s="25" t="str">
        <f aca="false">IF($A1193="","",IF(D1193="Monthly",MAX(0,Settings!$B$11-E1193),0))</f>
        <v/>
      </c>
      <c r="I1193" s="26" t="str">
        <f aca="false">IF($A1193="","",N(INDEX(Workers!$L$5:$L$2004,MATCH($A1193,Workers!$A$5:$A$2004,0))))</f>
        <v/>
      </c>
      <c r="J1193" s="26" t="str">
        <f aca="false">IF($A1193="","",N(INDEX(Workers!$M$5:$M$2004,MATCH($A1193,Workers!$A$5:$A$2004,0))))</f>
        <v/>
      </c>
      <c r="K1193" s="26" t="str">
        <f aca="false">IF($A1193="","",IF(D1193="Monthly",ROUND(MAX(0,(I1193+J1193)-(I1193+J1193)/Settings!$B$10*H1193),2),0))</f>
        <v/>
      </c>
      <c r="L1193" s="26" t="str">
        <f aca="false">IF($A1193="","",IF(D1193="Hourly",ROUND(F1193*N(INDEX(Workers!$N$5:$N$2004,MATCH($A1193,Workers!$A$5:$A$2004,0))),2),0))</f>
        <v/>
      </c>
      <c r="M1193" s="26" t="str">
        <f aca="false">IF($A1193="","",ROUND(G1193*IF(D1193="Hourly",N(INDEX(Workers!$N$5:$N$2004,MATCH($A1193,Workers!$A$5:$A$2004,0))),I1193/Settings!$B$10/Settings!$B$12)*Settings!$B$13,2))</f>
        <v/>
      </c>
      <c r="N1193" s="26" t="str">
        <f aca="false">IF($A1193="","",K1193+L1193+M1193)</f>
        <v/>
      </c>
      <c r="O1193" s="26" t="str">
        <f aca="false">IF($A1193="","",SUMIFS(Deductions!$D$5:$D$2000,Deductions!$B$5:$B$2000,$A1193,Deductions!$C$5:$C$2000,"Advance",Deductions!$E$5:$E$2000,"&gt;="&amp;Settings!$B$8,Deductions!$E$5:$E$2000,"&lt;="&amp;Settings!$B$9))</f>
        <v/>
      </c>
      <c r="P1193" s="26" t="str">
        <f aca="false">IF($A1193="","",SUMIFS(Deductions!$D$5:$D$2000,Deductions!$B$5:$B$2000,$A1193,Deductions!$E$5:$E$2000,"&gt;="&amp;Settings!$B$8,Deductions!$E$5:$E$2000,"&lt;="&amp;Settings!$B$9)-O1193)</f>
        <v/>
      </c>
      <c r="Q1193" s="26" t="str">
        <f aca="false">IF($A1193="","",O1193+P1193)</f>
        <v/>
      </c>
      <c r="R1193" s="23" t="str">
        <f aca="false">IF($A1193="","",N1193-Q1193)</f>
        <v/>
      </c>
      <c r="S1193" s="24" t="str">
        <f aca="false">IF($A1193="","",INDEX(Workers!$O$5:$O$2004,MATCH($A1193,Workers!$A$5:$A$2004,0))&amp;"")</f>
        <v/>
      </c>
      <c r="T1193" s="24" t="str">
        <f aca="false">IF($A1193="","",INDEX(Workers!$P$5:$P$2004,MATCH($A1193,Workers!$A$5:$A$2004,0))&amp;"")</f>
        <v/>
      </c>
      <c r="U1193" s="24" t="str">
        <f aca="false">IF($A1193="","",INDEX(Workers!$H$5:$H$2004,MATCH($A1193,Workers!$A$5:$A$2004,0))&amp;"")</f>
        <v/>
      </c>
    </row>
    <row r="1194" customFormat="false" ht="15" hidden="false" customHeight="false" outlineLevel="0" collapsed="false">
      <c r="A1194" s="24" t="str">
        <f aca="false">IFERROR(INDEX(Workers!$A$5:$A$2004,MATCH(ROW()-4,Workers!$U$5:$U$2004,0)),"")</f>
        <v/>
      </c>
      <c r="B1194" s="24" t="str">
        <f aca="false">IF($A1194="","",INDEX(Workers!$B$5:$B$2004,MATCH($A1194,Workers!$A$5:$A$2004,0)))</f>
        <v/>
      </c>
      <c r="C1194" s="24" t="str">
        <f aca="false">IF($A1194="","",INDEX(Workers!$E$5:$E$2004,MATCH($A1194,Workers!$A$5:$A$2004,0)))</f>
        <v/>
      </c>
      <c r="D1194" s="24" t="str">
        <f aca="false">IF($A1194="","",INDEX(Workers!$K$5:$K$2004,MATCH($A1194,Workers!$A$5:$A$2004,0)))</f>
        <v/>
      </c>
      <c r="E1194" s="25" t="str">
        <f aca="false">IF($A1194="","",SUMIFS(Timesheet!$E$5:$E$3004,Timesheet!$D$5:$D$3004,$A1194,Timesheet!$A$5:$A$3004,"&gt;="&amp;Settings!$B$8,Timesheet!$A$5:$A$3004,"&lt;="&amp;Settings!$B$9))</f>
        <v/>
      </c>
      <c r="F1194" s="25" t="str">
        <f aca="false">IF($A1194="","",SUMIFS(Timesheet!$F$5:$F$3004,Timesheet!$D$5:$D$3004,$A1194,Timesheet!$A$5:$A$3004,"&gt;="&amp;Settings!$B$8,Timesheet!$A$5:$A$3004,"&lt;="&amp;Settings!$B$9))</f>
        <v/>
      </c>
      <c r="G1194" s="25" t="str">
        <f aca="false">IF($A1194="","",SUMIFS(Timesheet!$G$5:$G$3004,Timesheet!$D$5:$D$3004,$A1194,Timesheet!$A$5:$A$3004,"&gt;="&amp;Settings!$B$8,Timesheet!$A$5:$A$3004,"&lt;="&amp;Settings!$B$9))</f>
        <v/>
      </c>
      <c r="H1194" s="25" t="str">
        <f aca="false">IF($A1194="","",IF(D1194="Monthly",MAX(0,Settings!$B$11-E1194),0))</f>
        <v/>
      </c>
      <c r="I1194" s="26" t="str">
        <f aca="false">IF($A1194="","",N(INDEX(Workers!$L$5:$L$2004,MATCH($A1194,Workers!$A$5:$A$2004,0))))</f>
        <v/>
      </c>
      <c r="J1194" s="26" t="str">
        <f aca="false">IF($A1194="","",N(INDEX(Workers!$M$5:$M$2004,MATCH($A1194,Workers!$A$5:$A$2004,0))))</f>
        <v/>
      </c>
      <c r="K1194" s="26" t="str">
        <f aca="false">IF($A1194="","",IF(D1194="Monthly",ROUND(MAX(0,(I1194+J1194)-(I1194+J1194)/Settings!$B$10*H1194),2),0))</f>
        <v/>
      </c>
      <c r="L1194" s="26" t="str">
        <f aca="false">IF($A1194="","",IF(D1194="Hourly",ROUND(F1194*N(INDEX(Workers!$N$5:$N$2004,MATCH($A1194,Workers!$A$5:$A$2004,0))),2),0))</f>
        <v/>
      </c>
      <c r="M1194" s="26" t="str">
        <f aca="false">IF($A1194="","",ROUND(G1194*IF(D1194="Hourly",N(INDEX(Workers!$N$5:$N$2004,MATCH($A1194,Workers!$A$5:$A$2004,0))),I1194/Settings!$B$10/Settings!$B$12)*Settings!$B$13,2))</f>
        <v/>
      </c>
      <c r="N1194" s="26" t="str">
        <f aca="false">IF($A1194="","",K1194+L1194+M1194)</f>
        <v/>
      </c>
      <c r="O1194" s="26" t="str">
        <f aca="false">IF($A1194="","",SUMIFS(Deductions!$D$5:$D$2000,Deductions!$B$5:$B$2000,$A1194,Deductions!$C$5:$C$2000,"Advance",Deductions!$E$5:$E$2000,"&gt;="&amp;Settings!$B$8,Deductions!$E$5:$E$2000,"&lt;="&amp;Settings!$B$9))</f>
        <v/>
      </c>
      <c r="P1194" s="26" t="str">
        <f aca="false">IF($A1194="","",SUMIFS(Deductions!$D$5:$D$2000,Deductions!$B$5:$B$2000,$A1194,Deductions!$E$5:$E$2000,"&gt;="&amp;Settings!$B$8,Deductions!$E$5:$E$2000,"&lt;="&amp;Settings!$B$9)-O1194)</f>
        <v/>
      </c>
      <c r="Q1194" s="26" t="str">
        <f aca="false">IF($A1194="","",O1194+P1194)</f>
        <v/>
      </c>
      <c r="R1194" s="23" t="str">
        <f aca="false">IF($A1194="","",N1194-Q1194)</f>
        <v/>
      </c>
      <c r="S1194" s="24" t="str">
        <f aca="false">IF($A1194="","",INDEX(Workers!$O$5:$O$2004,MATCH($A1194,Workers!$A$5:$A$2004,0))&amp;"")</f>
        <v/>
      </c>
      <c r="T1194" s="24" t="str">
        <f aca="false">IF($A1194="","",INDEX(Workers!$P$5:$P$2004,MATCH($A1194,Workers!$A$5:$A$2004,0))&amp;"")</f>
        <v/>
      </c>
      <c r="U1194" s="24" t="str">
        <f aca="false">IF($A1194="","",INDEX(Workers!$H$5:$H$2004,MATCH($A1194,Workers!$A$5:$A$2004,0))&amp;"")</f>
        <v/>
      </c>
    </row>
    <row r="1195" customFormat="false" ht="15" hidden="false" customHeight="false" outlineLevel="0" collapsed="false">
      <c r="A1195" s="24" t="str">
        <f aca="false">IFERROR(INDEX(Workers!$A$5:$A$2004,MATCH(ROW()-4,Workers!$U$5:$U$2004,0)),"")</f>
        <v/>
      </c>
      <c r="B1195" s="24" t="str">
        <f aca="false">IF($A1195="","",INDEX(Workers!$B$5:$B$2004,MATCH($A1195,Workers!$A$5:$A$2004,0)))</f>
        <v/>
      </c>
      <c r="C1195" s="24" t="str">
        <f aca="false">IF($A1195="","",INDEX(Workers!$E$5:$E$2004,MATCH($A1195,Workers!$A$5:$A$2004,0)))</f>
        <v/>
      </c>
      <c r="D1195" s="24" t="str">
        <f aca="false">IF($A1195="","",INDEX(Workers!$K$5:$K$2004,MATCH($A1195,Workers!$A$5:$A$2004,0)))</f>
        <v/>
      </c>
      <c r="E1195" s="25" t="str">
        <f aca="false">IF($A1195="","",SUMIFS(Timesheet!$E$5:$E$3004,Timesheet!$D$5:$D$3004,$A1195,Timesheet!$A$5:$A$3004,"&gt;="&amp;Settings!$B$8,Timesheet!$A$5:$A$3004,"&lt;="&amp;Settings!$B$9))</f>
        <v/>
      </c>
      <c r="F1195" s="25" t="str">
        <f aca="false">IF($A1195="","",SUMIFS(Timesheet!$F$5:$F$3004,Timesheet!$D$5:$D$3004,$A1195,Timesheet!$A$5:$A$3004,"&gt;="&amp;Settings!$B$8,Timesheet!$A$5:$A$3004,"&lt;="&amp;Settings!$B$9))</f>
        <v/>
      </c>
      <c r="G1195" s="25" t="str">
        <f aca="false">IF($A1195="","",SUMIFS(Timesheet!$G$5:$G$3004,Timesheet!$D$5:$D$3004,$A1195,Timesheet!$A$5:$A$3004,"&gt;="&amp;Settings!$B$8,Timesheet!$A$5:$A$3004,"&lt;="&amp;Settings!$B$9))</f>
        <v/>
      </c>
      <c r="H1195" s="25" t="str">
        <f aca="false">IF($A1195="","",IF(D1195="Monthly",MAX(0,Settings!$B$11-E1195),0))</f>
        <v/>
      </c>
      <c r="I1195" s="26" t="str">
        <f aca="false">IF($A1195="","",N(INDEX(Workers!$L$5:$L$2004,MATCH($A1195,Workers!$A$5:$A$2004,0))))</f>
        <v/>
      </c>
      <c r="J1195" s="26" t="str">
        <f aca="false">IF($A1195="","",N(INDEX(Workers!$M$5:$M$2004,MATCH($A1195,Workers!$A$5:$A$2004,0))))</f>
        <v/>
      </c>
      <c r="K1195" s="26" t="str">
        <f aca="false">IF($A1195="","",IF(D1195="Monthly",ROUND(MAX(0,(I1195+J1195)-(I1195+J1195)/Settings!$B$10*H1195),2),0))</f>
        <v/>
      </c>
      <c r="L1195" s="26" t="str">
        <f aca="false">IF($A1195="","",IF(D1195="Hourly",ROUND(F1195*N(INDEX(Workers!$N$5:$N$2004,MATCH($A1195,Workers!$A$5:$A$2004,0))),2),0))</f>
        <v/>
      </c>
      <c r="M1195" s="26" t="str">
        <f aca="false">IF($A1195="","",ROUND(G1195*IF(D1195="Hourly",N(INDEX(Workers!$N$5:$N$2004,MATCH($A1195,Workers!$A$5:$A$2004,0))),I1195/Settings!$B$10/Settings!$B$12)*Settings!$B$13,2))</f>
        <v/>
      </c>
      <c r="N1195" s="26" t="str">
        <f aca="false">IF($A1195="","",K1195+L1195+M1195)</f>
        <v/>
      </c>
      <c r="O1195" s="26" t="str">
        <f aca="false">IF($A1195="","",SUMIFS(Deductions!$D$5:$D$2000,Deductions!$B$5:$B$2000,$A1195,Deductions!$C$5:$C$2000,"Advance",Deductions!$E$5:$E$2000,"&gt;="&amp;Settings!$B$8,Deductions!$E$5:$E$2000,"&lt;="&amp;Settings!$B$9))</f>
        <v/>
      </c>
      <c r="P1195" s="26" t="str">
        <f aca="false">IF($A1195="","",SUMIFS(Deductions!$D$5:$D$2000,Deductions!$B$5:$B$2000,$A1195,Deductions!$E$5:$E$2000,"&gt;="&amp;Settings!$B$8,Deductions!$E$5:$E$2000,"&lt;="&amp;Settings!$B$9)-O1195)</f>
        <v/>
      </c>
      <c r="Q1195" s="26" t="str">
        <f aca="false">IF($A1195="","",O1195+P1195)</f>
        <v/>
      </c>
      <c r="R1195" s="23" t="str">
        <f aca="false">IF($A1195="","",N1195-Q1195)</f>
        <v/>
      </c>
      <c r="S1195" s="24" t="str">
        <f aca="false">IF($A1195="","",INDEX(Workers!$O$5:$O$2004,MATCH($A1195,Workers!$A$5:$A$2004,0))&amp;"")</f>
        <v/>
      </c>
      <c r="T1195" s="24" t="str">
        <f aca="false">IF($A1195="","",INDEX(Workers!$P$5:$P$2004,MATCH($A1195,Workers!$A$5:$A$2004,0))&amp;"")</f>
        <v/>
      </c>
      <c r="U1195" s="24" t="str">
        <f aca="false">IF($A1195="","",INDEX(Workers!$H$5:$H$2004,MATCH($A1195,Workers!$A$5:$A$2004,0))&amp;"")</f>
        <v/>
      </c>
    </row>
    <row r="1196" customFormat="false" ht="15" hidden="false" customHeight="false" outlineLevel="0" collapsed="false">
      <c r="A1196" s="24" t="str">
        <f aca="false">IFERROR(INDEX(Workers!$A$5:$A$2004,MATCH(ROW()-4,Workers!$U$5:$U$2004,0)),"")</f>
        <v/>
      </c>
      <c r="B1196" s="24" t="str">
        <f aca="false">IF($A1196="","",INDEX(Workers!$B$5:$B$2004,MATCH($A1196,Workers!$A$5:$A$2004,0)))</f>
        <v/>
      </c>
      <c r="C1196" s="24" t="str">
        <f aca="false">IF($A1196="","",INDEX(Workers!$E$5:$E$2004,MATCH($A1196,Workers!$A$5:$A$2004,0)))</f>
        <v/>
      </c>
      <c r="D1196" s="24" t="str">
        <f aca="false">IF($A1196="","",INDEX(Workers!$K$5:$K$2004,MATCH($A1196,Workers!$A$5:$A$2004,0)))</f>
        <v/>
      </c>
      <c r="E1196" s="25" t="str">
        <f aca="false">IF($A1196="","",SUMIFS(Timesheet!$E$5:$E$3004,Timesheet!$D$5:$D$3004,$A1196,Timesheet!$A$5:$A$3004,"&gt;="&amp;Settings!$B$8,Timesheet!$A$5:$A$3004,"&lt;="&amp;Settings!$B$9))</f>
        <v/>
      </c>
      <c r="F1196" s="25" t="str">
        <f aca="false">IF($A1196="","",SUMIFS(Timesheet!$F$5:$F$3004,Timesheet!$D$5:$D$3004,$A1196,Timesheet!$A$5:$A$3004,"&gt;="&amp;Settings!$B$8,Timesheet!$A$5:$A$3004,"&lt;="&amp;Settings!$B$9))</f>
        <v/>
      </c>
      <c r="G1196" s="25" t="str">
        <f aca="false">IF($A1196="","",SUMIFS(Timesheet!$G$5:$G$3004,Timesheet!$D$5:$D$3004,$A1196,Timesheet!$A$5:$A$3004,"&gt;="&amp;Settings!$B$8,Timesheet!$A$5:$A$3004,"&lt;="&amp;Settings!$B$9))</f>
        <v/>
      </c>
      <c r="H1196" s="25" t="str">
        <f aca="false">IF($A1196="","",IF(D1196="Monthly",MAX(0,Settings!$B$11-E1196),0))</f>
        <v/>
      </c>
      <c r="I1196" s="26" t="str">
        <f aca="false">IF($A1196="","",N(INDEX(Workers!$L$5:$L$2004,MATCH($A1196,Workers!$A$5:$A$2004,0))))</f>
        <v/>
      </c>
      <c r="J1196" s="26" t="str">
        <f aca="false">IF($A1196="","",N(INDEX(Workers!$M$5:$M$2004,MATCH($A1196,Workers!$A$5:$A$2004,0))))</f>
        <v/>
      </c>
      <c r="K1196" s="26" t="str">
        <f aca="false">IF($A1196="","",IF(D1196="Monthly",ROUND(MAX(0,(I1196+J1196)-(I1196+J1196)/Settings!$B$10*H1196),2),0))</f>
        <v/>
      </c>
      <c r="L1196" s="26" t="str">
        <f aca="false">IF($A1196="","",IF(D1196="Hourly",ROUND(F1196*N(INDEX(Workers!$N$5:$N$2004,MATCH($A1196,Workers!$A$5:$A$2004,0))),2),0))</f>
        <v/>
      </c>
      <c r="M1196" s="26" t="str">
        <f aca="false">IF($A1196="","",ROUND(G1196*IF(D1196="Hourly",N(INDEX(Workers!$N$5:$N$2004,MATCH($A1196,Workers!$A$5:$A$2004,0))),I1196/Settings!$B$10/Settings!$B$12)*Settings!$B$13,2))</f>
        <v/>
      </c>
      <c r="N1196" s="26" t="str">
        <f aca="false">IF($A1196="","",K1196+L1196+M1196)</f>
        <v/>
      </c>
      <c r="O1196" s="26" t="str">
        <f aca="false">IF($A1196="","",SUMIFS(Deductions!$D$5:$D$2000,Deductions!$B$5:$B$2000,$A1196,Deductions!$C$5:$C$2000,"Advance",Deductions!$E$5:$E$2000,"&gt;="&amp;Settings!$B$8,Deductions!$E$5:$E$2000,"&lt;="&amp;Settings!$B$9))</f>
        <v/>
      </c>
      <c r="P1196" s="26" t="str">
        <f aca="false">IF($A1196="","",SUMIFS(Deductions!$D$5:$D$2000,Deductions!$B$5:$B$2000,$A1196,Deductions!$E$5:$E$2000,"&gt;="&amp;Settings!$B$8,Deductions!$E$5:$E$2000,"&lt;="&amp;Settings!$B$9)-O1196)</f>
        <v/>
      </c>
      <c r="Q1196" s="26" t="str">
        <f aca="false">IF($A1196="","",O1196+P1196)</f>
        <v/>
      </c>
      <c r="R1196" s="23" t="str">
        <f aca="false">IF($A1196="","",N1196-Q1196)</f>
        <v/>
      </c>
      <c r="S1196" s="24" t="str">
        <f aca="false">IF($A1196="","",INDEX(Workers!$O$5:$O$2004,MATCH($A1196,Workers!$A$5:$A$2004,0))&amp;"")</f>
        <v/>
      </c>
      <c r="T1196" s="24" t="str">
        <f aca="false">IF($A1196="","",INDEX(Workers!$P$5:$P$2004,MATCH($A1196,Workers!$A$5:$A$2004,0))&amp;"")</f>
        <v/>
      </c>
      <c r="U1196" s="24" t="str">
        <f aca="false">IF($A1196="","",INDEX(Workers!$H$5:$H$2004,MATCH($A1196,Workers!$A$5:$A$2004,0))&amp;"")</f>
        <v/>
      </c>
    </row>
    <row r="1197" customFormat="false" ht="15" hidden="false" customHeight="false" outlineLevel="0" collapsed="false">
      <c r="A1197" s="24" t="str">
        <f aca="false">IFERROR(INDEX(Workers!$A$5:$A$2004,MATCH(ROW()-4,Workers!$U$5:$U$2004,0)),"")</f>
        <v/>
      </c>
      <c r="B1197" s="24" t="str">
        <f aca="false">IF($A1197="","",INDEX(Workers!$B$5:$B$2004,MATCH($A1197,Workers!$A$5:$A$2004,0)))</f>
        <v/>
      </c>
      <c r="C1197" s="24" t="str">
        <f aca="false">IF($A1197="","",INDEX(Workers!$E$5:$E$2004,MATCH($A1197,Workers!$A$5:$A$2004,0)))</f>
        <v/>
      </c>
      <c r="D1197" s="24" t="str">
        <f aca="false">IF($A1197="","",INDEX(Workers!$K$5:$K$2004,MATCH($A1197,Workers!$A$5:$A$2004,0)))</f>
        <v/>
      </c>
      <c r="E1197" s="25" t="str">
        <f aca="false">IF($A1197="","",SUMIFS(Timesheet!$E$5:$E$3004,Timesheet!$D$5:$D$3004,$A1197,Timesheet!$A$5:$A$3004,"&gt;="&amp;Settings!$B$8,Timesheet!$A$5:$A$3004,"&lt;="&amp;Settings!$B$9))</f>
        <v/>
      </c>
      <c r="F1197" s="25" t="str">
        <f aca="false">IF($A1197="","",SUMIFS(Timesheet!$F$5:$F$3004,Timesheet!$D$5:$D$3004,$A1197,Timesheet!$A$5:$A$3004,"&gt;="&amp;Settings!$B$8,Timesheet!$A$5:$A$3004,"&lt;="&amp;Settings!$B$9))</f>
        <v/>
      </c>
      <c r="G1197" s="25" t="str">
        <f aca="false">IF($A1197="","",SUMIFS(Timesheet!$G$5:$G$3004,Timesheet!$D$5:$D$3004,$A1197,Timesheet!$A$5:$A$3004,"&gt;="&amp;Settings!$B$8,Timesheet!$A$5:$A$3004,"&lt;="&amp;Settings!$B$9))</f>
        <v/>
      </c>
      <c r="H1197" s="25" t="str">
        <f aca="false">IF($A1197="","",IF(D1197="Monthly",MAX(0,Settings!$B$11-E1197),0))</f>
        <v/>
      </c>
      <c r="I1197" s="26" t="str">
        <f aca="false">IF($A1197="","",N(INDEX(Workers!$L$5:$L$2004,MATCH($A1197,Workers!$A$5:$A$2004,0))))</f>
        <v/>
      </c>
      <c r="J1197" s="26" t="str">
        <f aca="false">IF($A1197="","",N(INDEX(Workers!$M$5:$M$2004,MATCH($A1197,Workers!$A$5:$A$2004,0))))</f>
        <v/>
      </c>
      <c r="K1197" s="26" t="str">
        <f aca="false">IF($A1197="","",IF(D1197="Monthly",ROUND(MAX(0,(I1197+J1197)-(I1197+J1197)/Settings!$B$10*H1197),2),0))</f>
        <v/>
      </c>
      <c r="L1197" s="26" t="str">
        <f aca="false">IF($A1197="","",IF(D1197="Hourly",ROUND(F1197*N(INDEX(Workers!$N$5:$N$2004,MATCH($A1197,Workers!$A$5:$A$2004,0))),2),0))</f>
        <v/>
      </c>
      <c r="M1197" s="26" t="str">
        <f aca="false">IF($A1197="","",ROUND(G1197*IF(D1197="Hourly",N(INDEX(Workers!$N$5:$N$2004,MATCH($A1197,Workers!$A$5:$A$2004,0))),I1197/Settings!$B$10/Settings!$B$12)*Settings!$B$13,2))</f>
        <v/>
      </c>
      <c r="N1197" s="26" t="str">
        <f aca="false">IF($A1197="","",K1197+L1197+M1197)</f>
        <v/>
      </c>
      <c r="O1197" s="26" t="str">
        <f aca="false">IF($A1197="","",SUMIFS(Deductions!$D$5:$D$2000,Deductions!$B$5:$B$2000,$A1197,Deductions!$C$5:$C$2000,"Advance",Deductions!$E$5:$E$2000,"&gt;="&amp;Settings!$B$8,Deductions!$E$5:$E$2000,"&lt;="&amp;Settings!$B$9))</f>
        <v/>
      </c>
      <c r="P1197" s="26" t="str">
        <f aca="false">IF($A1197="","",SUMIFS(Deductions!$D$5:$D$2000,Deductions!$B$5:$B$2000,$A1197,Deductions!$E$5:$E$2000,"&gt;="&amp;Settings!$B$8,Deductions!$E$5:$E$2000,"&lt;="&amp;Settings!$B$9)-O1197)</f>
        <v/>
      </c>
      <c r="Q1197" s="26" t="str">
        <f aca="false">IF($A1197="","",O1197+P1197)</f>
        <v/>
      </c>
      <c r="R1197" s="23" t="str">
        <f aca="false">IF($A1197="","",N1197-Q1197)</f>
        <v/>
      </c>
      <c r="S1197" s="24" t="str">
        <f aca="false">IF($A1197="","",INDEX(Workers!$O$5:$O$2004,MATCH($A1197,Workers!$A$5:$A$2004,0))&amp;"")</f>
        <v/>
      </c>
      <c r="T1197" s="24" t="str">
        <f aca="false">IF($A1197="","",INDEX(Workers!$P$5:$P$2004,MATCH($A1197,Workers!$A$5:$A$2004,0))&amp;"")</f>
        <v/>
      </c>
      <c r="U1197" s="24" t="str">
        <f aca="false">IF($A1197="","",INDEX(Workers!$H$5:$H$2004,MATCH($A1197,Workers!$A$5:$A$2004,0))&amp;"")</f>
        <v/>
      </c>
    </row>
    <row r="1198" customFormat="false" ht="15" hidden="false" customHeight="false" outlineLevel="0" collapsed="false">
      <c r="A1198" s="24" t="str">
        <f aca="false">IFERROR(INDEX(Workers!$A$5:$A$2004,MATCH(ROW()-4,Workers!$U$5:$U$2004,0)),"")</f>
        <v/>
      </c>
      <c r="B1198" s="24" t="str">
        <f aca="false">IF($A1198="","",INDEX(Workers!$B$5:$B$2004,MATCH($A1198,Workers!$A$5:$A$2004,0)))</f>
        <v/>
      </c>
      <c r="C1198" s="24" t="str">
        <f aca="false">IF($A1198="","",INDEX(Workers!$E$5:$E$2004,MATCH($A1198,Workers!$A$5:$A$2004,0)))</f>
        <v/>
      </c>
      <c r="D1198" s="24" t="str">
        <f aca="false">IF($A1198="","",INDEX(Workers!$K$5:$K$2004,MATCH($A1198,Workers!$A$5:$A$2004,0)))</f>
        <v/>
      </c>
      <c r="E1198" s="25" t="str">
        <f aca="false">IF($A1198="","",SUMIFS(Timesheet!$E$5:$E$3004,Timesheet!$D$5:$D$3004,$A1198,Timesheet!$A$5:$A$3004,"&gt;="&amp;Settings!$B$8,Timesheet!$A$5:$A$3004,"&lt;="&amp;Settings!$B$9))</f>
        <v/>
      </c>
      <c r="F1198" s="25" t="str">
        <f aca="false">IF($A1198="","",SUMIFS(Timesheet!$F$5:$F$3004,Timesheet!$D$5:$D$3004,$A1198,Timesheet!$A$5:$A$3004,"&gt;="&amp;Settings!$B$8,Timesheet!$A$5:$A$3004,"&lt;="&amp;Settings!$B$9))</f>
        <v/>
      </c>
      <c r="G1198" s="25" t="str">
        <f aca="false">IF($A1198="","",SUMIFS(Timesheet!$G$5:$G$3004,Timesheet!$D$5:$D$3004,$A1198,Timesheet!$A$5:$A$3004,"&gt;="&amp;Settings!$B$8,Timesheet!$A$5:$A$3004,"&lt;="&amp;Settings!$B$9))</f>
        <v/>
      </c>
      <c r="H1198" s="25" t="str">
        <f aca="false">IF($A1198="","",IF(D1198="Monthly",MAX(0,Settings!$B$11-E1198),0))</f>
        <v/>
      </c>
      <c r="I1198" s="26" t="str">
        <f aca="false">IF($A1198="","",N(INDEX(Workers!$L$5:$L$2004,MATCH($A1198,Workers!$A$5:$A$2004,0))))</f>
        <v/>
      </c>
      <c r="J1198" s="26" t="str">
        <f aca="false">IF($A1198="","",N(INDEX(Workers!$M$5:$M$2004,MATCH($A1198,Workers!$A$5:$A$2004,0))))</f>
        <v/>
      </c>
      <c r="K1198" s="26" t="str">
        <f aca="false">IF($A1198="","",IF(D1198="Monthly",ROUND(MAX(0,(I1198+J1198)-(I1198+J1198)/Settings!$B$10*H1198),2),0))</f>
        <v/>
      </c>
      <c r="L1198" s="26" t="str">
        <f aca="false">IF($A1198="","",IF(D1198="Hourly",ROUND(F1198*N(INDEX(Workers!$N$5:$N$2004,MATCH($A1198,Workers!$A$5:$A$2004,0))),2),0))</f>
        <v/>
      </c>
      <c r="M1198" s="26" t="str">
        <f aca="false">IF($A1198="","",ROUND(G1198*IF(D1198="Hourly",N(INDEX(Workers!$N$5:$N$2004,MATCH($A1198,Workers!$A$5:$A$2004,0))),I1198/Settings!$B$10/Settings!$B$12)*Settings!$B$13,2))</f>
        <v/>
      </c>
      <c r="N1198" s="26" t="str">
        <f aca="false">IF($A1198="","",K1198+L1198+M1198)</f>
        <v/>
      </c>
      <c r="O1198" s="26" t="str">
        <f aca="false">IF($A1198="","",SUMIFS(Deductions!$D$5:$D$2000,Deductions!$B$5:$B$2000,$A1198,Deductions!$C$5:$C$2000,"Advance",Deductions!$E$5:$E$2000,"&gt;="&amp;Settings!$B$8,Deductions!$E$5:$E$2000,"&lt;="&amp;Settings!$B$9))</f>
        <v/>
      </c>
      <c r="P1198" s="26" t="str">
        <f aca="false">IF($A1198="","",SUMIFS(Deductions!$D$5:$D$2000,Deductions!$B$5:$B$2000,$A1198,Deductions!$E$5:$E$2000,"&gt;="&amp;Settings!$B$8,Deductions!$E$5:$E$2000,"&lt;="&amp;Settings!$B$9)-O1198)</f>
        <v/>
      </c>
      <c r="Q1198" s="26" t="str">
        <f aca="false">IF($A1198="","",O1198+P1198)</f>
        <v/>
      </c>
      <c r="R1198" s="23" t="str">
        <f aca="false">IF($A1198="","",N1198-Q1198)</f>
        <v/>
      </c>
      <c r="S1198" s="24" t="str">
        <f aca="false">IF($A1198="","",INDEX(Workers!$O$5:$O$2004,MATCH($A1198,Workers!$A$5:$A$2004,0))&amp;"")</f>
        <v/>
      </c>
      <c r="T1198" s="24" t="str">
        <f aca="false">IF($A1198="","",INDEX(Workers!$P$5:$P$2004,MATCH($A1198,Workers!$A$5:$A$2004,0))&amp;"")</f>
        <v/>
      </c>
      <c r="U1198" s="24" t="str">
        <f aca="false">IF($A1198="","",INDEX(Workers!$H$5:$H$2004,MATCH($A1198,Workers!$A$5:$A$2004,0))&amp;"")</f>
        <v/>
      </c>
    </row>
    <row r="1199" customFormat="false" ht="15" hidden="false" customHeight="false" outlineLevel="0" collapsed="false">
      <c r="A1199" s="24" t="str">
        <f aca="false">IFERROR(INDEX(Workers!$A$5:$A$2004,MATCH(ROW()-4,Workers!$U$5:$U$2004,0)),"")</f>
        <v/>
      </c>
      <c r="B1199" s="24" t="str">
        <f aca="false">IF($A1199="","",INDEX(Workers!$B$5:$B$2004,MATCH($A1199,Workers!$A$5:$A$2004,0)))</f>
        <v/>
      </c>
      <c r="C1199" s="24" t="str">
        <f aca="false">IF($A1199="","",INDEX(Workers!$E$5:$E$2004,MATCH($A1199,Workers!$A$5:$A$2004,0)))</f>
        <v/>
      </c>
      <c r="D1199" s="24" t="str">
        <f aca="false">IF($A1199="","",INDEX(Workers!$K$5:$K$2004,MATCH($A1199,Workers!$A$5:$A$2004,0)))</f>
        <v/>
      </c>
      <c r="E1199" s="25" t="str">
        <f aca="false">IF($A1199="","",SUMIFS(Timesheet!$E$5:$E$3004,Timesheet!$D$5:$D$3004,$A1199,Timesheet!$A$5:$A$3004,"&gt;="&amp;Settings!$B$8,Timesheet!$A$5:$A$3004,"&lt;="&amp;Settings!$B$9))</f>
        <v/>
      </c>
      <c r="F1199" s="25" t="str">
        <f aca="false">IF($A1199="","",SUMIFS(Timesheet!$F$5:$F$3004,Timesheet!$D$5:$D$3004,$A1199,Timesheet!$A$5:$A$3004,"&gt;="&amp;Settings!$B$8,Timesheet!$A$5:$A$3004,"&lt;="&amp;Settings!$B$9))</f>
        <v/>
      </c>
      <c r="G1199" s="25" t="str">
        <f aca="false">IF($A1199="","",SUMIFS(Timesheet!$G$5:$G$3004,Timesheet!$D$5:$D$3004,$A1199,Timesheet!$A$5:$A$3004,"&gt;="&amp;Settings!$B$8,Timesheet!$A$5:$A$3004,"&lt;="&amp;Settings!$B$9))</f>
        <v/>
      </c>
      <c r="H1199" s="25" t="str">
        <f aca="false">IF($A1199="","",IF(D1199="Monthly",MAX(0,Settings!$B$11-E1199),0))</f>
        <v/>
      </c>
      <c r="I1199" s="26" t="str">
        <f aca="false">IF($A1199="","",N(INDEX(Workers!$L$5:$L$2004,MATCH($A1199,Workers!$A$5:$A$2004,0))))</f>
        <v/>
      </c>
      <c r="J1199" s="26" t="str">
        <f aca="false">IF($A1199="","",N(INDEX(Workers!$M$5:$M$2004,MATCH($A1199,Workers!$A$5:$A$2004,0))))</f>
        <v/>
      </c>
      <c r="K1199" s="26" t="str">
        <f aca="false">IF($A1199="","",IF(D1199="Monthly",ROUND(MAX(0,(I1199+J1199)-(I1199+J1199)/Settings!$B$10*H1199),2),0))</f>
        <v/>
      </c>
      <c r="L1199" s="26" t="str">
        <f aca="false">IF($A1199="","",IF(D1199="Hourly",ROUND(F1199*N(INDEX(Workers!$N$5:$N$2004,MATCH($A1199,Workers!$A$5:$A$2004,0))),2),0))</f>
        <v/>
      </c>
      <c r="M1199" s="26" t="str">
        <f aca="false">IF($A1199="","",ROUND(G1199*IF(D1199="Hourly",N(INDEX(Workers!$N$5:$N$2004,MATCH($A1199,Workers!$A$5:$A$2004,0))),I1199/Settings!$B$10/Settings!$B$12)*Settings!$B$13,2))</f>
        <v/>
      </c>
      <c r="N1199" s="26" t="str">
        <f aca="false">IF($A1199="","",K1199+L1199+M1199)</f>
        <v/>
      </c>
      <c r="O1199" s="26" t="str">
        <f aca="false">IF($A1199="","",SUMIFS(Deductions!$D$5:$D$2000,Deductions!$B$5:$B$2000,$A1199,Deductions!$C$5:$C$2000,"Advance",Deductions!$E$5:$E$2000,"&gt;="&amp;Settings!$B$8,Deductions!$E$5:$E$2000,"&lt;="&amp;Settings!$B$9))</f>
        <v/>
      </c>
      <c r="P1199" s="26" t="str">
        <f aca="false">IF($A1199="","",SUMIFS(Deductions!$D$5:$D$2000,Deductions!$B$5:$B$2000,$A1199,Deductions!$E$5:$E$2000,"&gt;="&amp;Settings!$B$8,Deductions!$E$5:$E$2000,"&lt;="&amp;Settings!$B$9)-O1199)</f>
        <v/>
      </c>
      <c r="Q1199" s="26" t="str">
        <f aca="false">IF($A1199="","",O1199+P1199)</f>
        <v/>
      </c>
      <c r="R1199" s="23" t="str">
        <f aca="false">IF($A1199="","",N1199-Q1199)</f>
        <v/>
      </c>
      <c r="S1199" s="24" t="str">
        <f aca="false">IF($A1199="","",INDEX(Workers!$O$5:$O$2004,MATCH($A1199,Workers!$A$5:$A$2004,0))&amp;"")</f>
        <v/>
      </c>
      <c r="T1199" s="24" t="str">
        <f aca="false">IF($A1199="","",INDEX(Workers!$P$5:$P$2004,MATCH($A1199,Workers!$A$5:$A$2004,0))&amp;"")</f>
        <v/>
      </c>
      <c r="U1199" s="24" t="str">
        <f aca="false">IF($A1199="","",INDEX(Workers!$H$5:$H$2004,MATCH($A1199,Workers!$A$5:$A$2004,0))&amp;"")</f>
        <v/>
      </c>
    </row>
    <row r="1200" customFormat="false" ht="15" hidden="false" customHeight="false" outlineLevel="0" collapsed="false">
      <c r="A1200" s="24" t="str">
        <f aca="false">IFERROR(INDEX(Workers!$A$5:$A$2004,MATCH(ROW()-4,Workers!$U$5:$U$2004,0)),"")</f>
        <v/>
      </c>
      <c r="B1200" s="24" t="str">
        <f aca="false">IF($A1200="","",INDEX(Workers!$B$5:$B$2004,MATCH($A1200,Workers!$A$5:$A$2004,0)))</f>
        <v/>
      </c>
      <c r="C1200" s="24" t="str">
        <f aca="false">IF($A1200="","",INDEX(Workers!$E$5:$E$2004,MATCH($A1200,Workers!$A$5:$A$2004,0)))</f>
        <v/>
      </c>
      <c r="D1200" s="24" t="str">
        <f aca="false">IF($A1200="","",INDEX(Workers!$K$5:$K$2004,MATCH($A1200,Workers!$A$5:$A$2004,0)))</f>
        <v/>
      </c>
      <c r="E1200" s="25" t="str">
        <f aca="false">IF($A1200="","",SUMIFS(Timesheet!$E$5:$E$3004,Timesheet!$D$5:$D$3004,$A1200,Timesheet!$A$5:$A$3004,"&gt;="&amp;Settings!$B$8,Timesheet!$A$5:$A$3004,"&lt;="&amp;Settings!$B$9))</f>
        <v/>
      </c>
      <c r="F1200" s="25" t="str">
        <f aca="false">IF($A1200="","",SUMIFS(Timesheet!$F$5:$F$3004,Timesheet!$D$5:$D$3004,$A1200,Timesheet!$A$5:$A$3004,"&gt;="&amp;Settings!$B$8,Timesheet!$A$5:$A$3004,"&lt;="&amp;Settings!$B$9))</f>
        <v/>
      </c>
      <c r="G1200" s="25" t="str">
        <f aca="false">IF($A1200="","",SUMIFS(Timesheet!$G$5:$G$3004,Timesheet!$D$5:$D$3004,$A1200,Timesheet!$A$5:$A$3004,"&gt;="&amp;Settings!$B$8,Timesheet!$A$5:$A$3004,"&lt;="&amp;Settings!$B$9))</f>
        <v/>
      </c>
      <c r="H1200" s="25" t="str">
        <f aca="false">IF($A1200="","",IF(D1200="Monthly",MAX(0,Settings!$B$11-E1200),0))</f>
        <v/>
      </c>
      <c r="I1200" s="26" t="str">
        <f aca="false">IF($A1200="","",N(INDEX(Workers!$L$5:$L$2004,MATCH($A1200,Workers!$A$5:$A$2004,0))))</f>
        <v/>
      </c>
      <c r="J1200" s="26" t="str">
        <f aca="false">IF($A1200="","",N(INDEX(Workers!$M$5:$M$2004,MATCH($A1200,Workers!$A$5:$A$2004,0))))</f>
        <v/>
      </c>
      <c r="K1200" s="26" t="str">
        <f aca="false">IF($A1200="","",IF(D1200="Monthly",ROUND(MAX(0,(I1200+J1200)-(I1200+J1200)/Settings!$B$10*H1200),2),0))</f>
        <v/>
      </c>
      <c r="L1200" s="26" t="str">
        <f aca="false">IF($A1200="","",IF(D1200="Hourly",ROUND(F1200*N(INDEX(Workers!$N$5:$N$2004,MATCH($A1200,Workers!$A$5:$A$2004,0))),2),0))</f>
        <v/>
      </c>
      <c r="M1200" s="26" t="str">
        <f aca="false">IF($A1200="","",ROUND(G1200*IF(D1200="Hourly",N(INDEX(Workers!$N$5:$N$2004,MATCH($A1200,Workers!$A$5:$A$2004,0))),I1200/Settings!$B$10/Settings!$B$12)*Settings!$B$13,2))</f>
        <v/>
      </c>
      <c r="N1200" s="26" t="str">
        <f aca="false">IF($A1200="","",K1200+L1200+M1200)</f>
        <v/>
      </c>
      <c r="O1200" s="26" t="str">
        <f aca="false">IF($A1200="","",SUMIFS(Deductions!$D$5:$D$2000,Deductions!$B$5:$B$2000,$A1200,Deductions!$C$5:$C$2000,"Advance",Deductions!$E$5:$E$2000,"&gt;="&amp;Settings!$B$8,Deductions!$E$5:$E$2000,"&lt;="&amp;Settings!$B$9))</f>
        <v/>
      </c>
      <c r="P1200" s="26" t="str">
        <f aca="false">IF($A1200="","",SUMIFS(Deductions!$D$5:$D$2000,Deductions!$B$5:$B$2000,$A1200,Deductions!$E$5:$E$2000,"&gt;="&amp;Settings!$B$8,Deductions!$E$5:$E$2000,"&lt;="&amp;Settings!$B$9)-O1200)</f>
        <v/>
      </c>
      <c r="Q1200" s="26" t="str">
        <f aca="false">IF($A1200="","",O1200+P1200)</f>
        <v/>
      </c>
      <c r="R1200" s="23" t="str">
        <f aca="false">IF($A1200="","",N1200-Q1200)</f>
        <v/>
      </c>
      <c r="S1200" s="24" t="str">
        <f aca="false">IF($A1200="","",INDEX(Workers!$O$5:$O$2004,MATCH($A1200,Workers!$A$5:$A$2004,0))&amp;"")</f>
        <v/>
      </c>
      <c r="T1200" s="24" t="str">
        <f aca="false">IF($A1200="","",INDEX(Workers!$P$5:$P$2004,MATCH($A1200,Workers!$A$5:$A$2004,0))&amp;"")</f>
        <v/>
      </c>
      <c r="U1200" s="24" t="str">
        <f aca="false">IF($A1200="","",INDEX(Workers!$H$5:$H$2004,MATCH($A1200,Workers!$A$5:$A$2004,0))&amp;"")</f>
        <v/>
      </c>
    </row>
    <row r="1201" customFormat="false" ht="15" hidden="false" customHeight="false" outlineLevel="0" collapsed="false">
      <c r="A1201" s="24" t="str">
        <f aca="false">IFERROR(INDEX(Workers!$A$5:$A$2004,MATCH(ROW()-4,Workers!$U$5:$U$2004,0)),"")</f>
        <v/>
      </c>
      <c r="B1201" s="24" t="str">
        <f aca="false">IF($A1201="","",INDEX(Workers!$B$5:$B$2004,MATCH($A1201,Workers!$A$5:$A$2004,0)))</f>
        <v/>
      </c>
      <c r="C1201" s="24" t="str">
        <f aca="false">IF($A1201="","",INDEX(Workers!$E$5:$E$2004,MATCH($A1201,Workers!$A$5:$A$2004,0)))</f>
        <v/>
      </c>
      <c r="D1201" s="24" t="str">
        <f aca="false">IF($A1201="","",INDEX(Workers!$K$5:$K$2004,MATCH($A1201,Workers!$A$5:$A$2004,0)))</f>
        <v/>
      </c>
      <c r="E1201" s="25" t="str">
        <f aca="false">IF($A1201="","",SUMIFS(Timesheet!$E$5:$E$3004,Timesheet!$D$5:$D$3004,$A1201,Timesheet!$A$5:$A$3004,"&gt;="&amp;Settings!$B$8,Timesheet!$A$5:$A$3004,"&lt;="&amp;Settings!$B$9))</f>
        <v/>
      </c>
      <c r="F1201" s="25" t="str">
        <f aca="false">IF($A1201="","",SUMIFS(Timesheet!$F$5:$F$3004,Timesheet!$D$5:$D$3004,$A1201,Timesheet!$A$5:$A$3004,"&gt;="&amp;Settings!$B$8,Timesheet!$A$5:$A$3004,"&lt;="&amp;Settings!$B$9))</f>
        <v/>
      </c>
      <c r="G1201" s="25" t="str">
        <f aca="false">IF($A1201="","",SUMIFS(Timesheet!$G$5:$G$3004,Timesheet!$D$5:$D$3004,$A1201,Timesheet!$A$5:$A$3004,"&gt;="&amp;Settings!$B$8,Timesheet!$A$5:$A$3004,"&lt;="&amp;Settings!$B$9))</f>
        <v/>
      </c>
      <c r="H1201" s="25" t="str">
        <f aca="false">IF($A1201="","",IF(D1201="Monthly",MAX(0,Settings!$B$11-E1201),0))</f>
        <v/>
      </c>
      <c r="I1201" s="26" t="str">
        <f aca="false">IF($A1201="","",N(INDEX(Workers!$L$5:$L$2004,MATCH($A1201,Workers!$A$5:$A$2004,0))))</f>
        <v/>
      </c>
      <c r="J1201" s="26" t="str">
        <f aca="false">IF($A1201="","",N(INDEX(Workers!$M$5:$M$2004,MATCH($A1201,Workers!$A$5:$A$2004,0))))</f>
        <v/>
      </c>
      <c r="K1201" s="26" t="str">
        <f aca="false">IF($A1201="","",IF(D1201="Monthly",ROUND(MAX(0,(I1201+J1201)-(I1201+J1201)/Settings!$B$10*H1201),2),0))</f>
        <v/>
      </c>
      <c r="L1201" s="26" t="str">
        <f aca="false">IF($A1201="","",IF(D1201="Hourly",ROUND(F1201*N(INDEX(Workers!$N$5:$N$2004,MATCH($A1201,Workers!$A$5:$A$2004,0))),2),0))</f>
        <v/>
      </c>
      <c r="M1201" s="26" t="str">
        <f aca="false">IF($A1201="","",ROUND(G1201*IF(D1201="Hourly",N(INDEX(Workers!$N$5:$N$2004,MATCH($A1201,Workers!$A$5:$A$2004,0))),I1201/Settings!$B$10/Settings!$B$12)*Settings!$B$13,2))</f>
        <v/>
      </c>
      <c r="N1201" s="26" t="str">
        <f aca="false">IF($A1201="","",K1201+L1201+M1201)</f>
        <v/>
      </c>
      <c r="O1201" s="26" t="str">
        <f aca="false">IF($A1201="","",SUMIFS(Deductions!$D$5:$D$2000,Deductions!$B$5:$B$2000,$A1201,Deductions!$C$5:$C$2000,"Advance",Deductions!$E$5:$E$2000,"&gt;="&amp;Settings!$B$8,Deductions!$E$5:$E$2000,"&lt;="&amp;Settings!$B$9))</f>
        <v/>
      </c>
      <c r="P1201" s="26" t="str">
        <f aca="false">IF($A1201="","",SUMIFS(Deductions!$D$5:$D$2000,Deductions!$B$5:$B$2000,$A1201,Deductions!$E$5:$E$2000,"&gt;="&amp;Settings!$B$8,Deductions!$E$5:$E$2000,"&lt;="&amp;Settings!$B$9)-O1201)</f>
        <v/>
      </c>
      <c r="Q1201" s="26" t="str">
        <f aca="false">IF($A1201="","",O1201+P1201)</f>
        <v/>
      </c>
      <c r="R1201" s="23" t="str">
        <f aca="false">IF($A1201="","",N1201-Q1201)</f>
        <v/>
      </c>
      <c r="S1201" s="24" t="str">
        <f aca="false">IF($A1201="","",INDEX(Workers!$O$5:$O$2004,MATCH($A1201,Workers!$A$5:$A$2004,0))&amp;"")</f>
        <v/>
      </c>
      <c r="T1201" s="24" t="str">
        <f aca="false">IF($A1201="","",INDEX(Workers!$P$5:$P$2004,MATCH($A1201,Workers!$A$5:$A$2004,0))&amp;"")</f>
        <v/>
      </c>
      <c r="U1201" s="24" t="str">
        <f aca="false">IF($A1201="","",INDEX(Workers!$H$5:$H$2004,MATCH($A1201,Workers!$A$5:$A$2004,0))&amp;"")</f>
        <v/>
      </c>
    </row>
    <row r="1202" customFormat="false" ht="15" hidden="false" customHeight="false" outlineLevel="0" collapsed="false">
      <c r="A1202" s="24" t="str">
        <f aca="false">IFERROR(INDEX(Workers!$A$5:$A$2004,MATCH(ROW()-4,Workers!$U$5:$U$2004,0)),"")</f>
        <v/>
      </c>
      <c r="B1202" s="24" t="str">
        <f aca="false">IF($A1202="","",INDEX(Workers!$B$5:$B$2004,MATCH($A1202,Workers!$A$5:$A$2004,0)))</f>
        <v/>
      </c>
      <c r="C1202" s="24" t="str">
        <f aca="false">IF($A1202="","",INDEX(Workers!$E$5:$E$2004,MATCH($A1202,Workers!$A$5:$A$2004,0)))</f>
        <v/>
      </c>
      <c r="D1202" s="24" t="str">
        <f aca="false">IF($A1202="","",INDEX(Workers!$K$5:$K$2004,MATCH($A1202,Workers!$A$5:$A$2004,0)))</f>
        <v/>
      </c>
      <c r="E1202" s="25" t="str">
        <f aca="false">IF($A1202="","",SUMIFS(Timesheet!$E$5:$E$3004,Timesheet!$D$5:$D$3004,$A1202,Timesheet!$A$5:$A$3004,"&gt;="&amp;Settings!$B$8,Timesheet!$A$5:$A$3004,"&lt;="&amp;Settings!$B$9))</f>
        <v/>
      </c>
      <c r="F1202" s="25" t="str">
        <f aca="false">IF($A1202="","",SUMIFS(Timesheet!$F$5:$F$3004,Timesheet!$D$5:$D$3004,$A1202,Timesheet!$A$5:$A$3004,"&gt;="&amp;Settings!$B$8,Timesheet!$A$5:$A$3004,"&lt;="&amp;Settings!$B$9))</f>
        <v/>
      </c>
      <c r="G1202" s="25" t="str">
        <f aca="false">IF($A1202="","",SUMIFS(Timesheet!$G$5:$G$3004,Timesheet!$D$5:$D$3004,$A1202,Timesheet!$A$5:$A$3004,"&gt;="&amp;Settings!$B$8,Timesheet!$A$5:$A$3004,"&lt;="&amp;Settings!$B$9))</f>
        <v/>
      </c>
      <c r="H1202" s="25" t="str">
        <f aca="false">IF($A1202="","",IF(D1202="Monthly",MAX(0,Settings!$B$11-E1202),0))</f>
        <v/>
      </c>
      <c r="I1202" s="26" t="str">
        <f aca="false">IF($A1202="","",N(INDEX(Workers!$L$5:$L$2004,MATCH($A1202,Workers!$A$5:$A$2004,0))))</f>
        <v/>
      </c>
      <c r="J1202" s="26" t="str">
        <f aca="false">IF($A1202="","",N(INDEX(Workers!$M$5:$M$2004,MATCH($A1202,Workers!$A$5:$A$2004,0))))</f>
        <v/>
      </c>
      <c r="K1202" s="26" t="str">
        <f aca="false">IF($A1202="","",IF(D1202="Monthly",ROUND(MAX(0,(I1202+J1202)-(I1202+J1202)/Settings!$B$10*H1202),2),0))</f>
        <v/>
      </c>
      <c r="L1202" s="26" t="str">
        <f aca="false">IF($A1202="","",IF(D1202="Hourly",ROUND(F1202*N(INDEX(Workers!$N$5:$N$2004,MATCH($A1202,Workers!$A$5:$A$2004,0))),2),0))</f>
        <v/>
      </c>
      <c r="M1202" s="26" t="str">
        <f aca="false">IF($A1202="","",ROUND(G1202*IF(D1202="Hourly",N(INDEX(Workers!$N$5:$N$2004,MATCH($A1202,Workers!$A$5:$A$2004,0))),I1202/Settings!$B$10/Settings!$B$12)*Settings!$B$13,2))</f>
        <v/>
      </c>
      <c r="N1202" s="26" t="str">
        <f aca="false">IF($A1202="","",K1202+L1202+M1202)</f>
        <v/>
      </c>
      <c r="O1202" s="26" t="str">
        <f aca="false">IF($A1202="","",SUMIFS(Deductions!$D$5:$D$2000,Deductions!$B$5:$B$2000,$A1202,Deductions!$C$5:$C$2000,"Advance",Deductions!$E$5:$E$2000,"&gt;="&amp;Settings!$B$8,Deductions!$E$5:$E$2000,"&lt;="&amp;Settings!$B$9))</f>
        <v/>
      </c>
      <c r="P1202" s="26" t="str">
        <f aca="false">IF($A1202="","",SUMIFS(Deductions!$D$5:$D$2000,Deductions!$B$5:$B$2000,$A1202,Deductions!$E$5:$E$2000,"&gt;="&amp;Settings!$B$8,Deductions!$E$5:$E$2000,"&lt;="&amp;Settings!$B$9)-O1202)</f>
        <v/>
      </c>
      <c r="Q1202" s="26" t="str">
        <f aca="false">IF($A1202="","",O1202+P1202)</f>
        <v/>
      </c>
      <c r="R1202" s="23" t="str">
        <f aca="false">IF($A1202="","",N1202-Q1202)</f>
        <v/>
      </c>
      <c r="S1202" s="24" t="str">
        <f aca="false">IF($A1202="","",INDEX(Workers!$O$5:$O$2004,MATCH($A1202,Workers!$A$5:$A$2004,0))&amp;"")</f>
        <v/>
      </c>
      <c r="T1202" s="24" t="str">
        <f aca="false">IF($A1202="","",INDEX(Workers!$P$5:$P$2004,MATCH($A1202,Workers!$A$5:$A$2004,0))&amp;"")</f>
        <v/>
      </c>
      <c r="U1202" s="24" t="str">
        <f aca="false">IF($A1202="","",INDEX(Workers!$H$5:$H$2004,MATCH($A1202,Workers!$A$5:$A$2004,0))&amp;"")</f>
        <v/>
      </c>
    </row>
    <row r="1203" customFormat="false" ht="15" hidden="false" customHeight="false" outlineLevel="0" collapsed="false">
      <c r="A1203" s="24" t="str">
        <f aca="false">IFERROR(INDEX(Workers!$A$5:$A$2004,MATCH(ROW()-4,Workers!$U$5:$U$2004,0)),"")</f>
        <v/>
      </c>
      <c r="B1203" s="24" t="str">
        <f aca="false">IF($A1203="","",INDEX(Workers!$B$5:$B$2004,MATCH($A1203,Workers!$A$5:$A$2004,0)))</f>
        <v/>
      </c>
      <c r="C1203" s="24" t="str">
        <f aca="false">IF($A1203="","",INDEX(Workers!$E$5:$E$2004,MATCH($A1203,Workers!$A$5:$A$2004,0)))</f>
        <v/>
      </c>
      <c r="D1203" s="24" t="str">
        <f aca="false">IF($A1203="","",INDEX(Workers!$K$5:$K$2004,MATCH($A1203,Workers!$A$5:$A$2004,0)))</f>
        <v/>
      </c>
      <c r="E1203" s="25" t="str">
        <f aca="false">IF($A1203="","",SUMIFS(Timesheet!$E$5:$E$3004,Timesheet!$D$5:$D$3004,$A1203,Timesheet!$A$5:$A$3004,"&gt;="&amp;Settings!$B$8,Timesheet!$A$5:$A$3004,"&lt;="&amp;Settings!$B$9))</f>
        <v/>
      </c>
      <c r="F1203" s="25" t="str">
        <f aca="false">IF($A1203="","",SUMIFS(Timesheet!$F$5:$F$3004,Timesheet!$D$5:$D$3004,$A1203,Timesheet!$A$5:$A$3004,"&gt;="&amp;Settings!$B$8,Timesheet!$A$5:$A$3004,"&lt;="&amp;Settings!$B$9))</f>
        <v/>
      </c>
      <c r="G1203" s="25" t="str">
        <f aca="false">IF($A1203="","",SUMIFS(Timesheet!$G$5:$G$3004,Timesheet!$D$5:$D$3004,$A1203,Timesheet!$A$5:$A$3004,"&gt;="&amp;Settings!$B$8,Timesheet!$A$5:$A$3004,"&lt;="&amp;Settings!$B$9))</f>
        <v/>
      </c>
      <c r="H1203" s="25" t="str">
        <f aca="false">IF($A1203="","",IF(D1203="Monthly",MAX(0,Settings!$B$11-E1203),0))</f>
        <v/>
      </c>
      <c r="I1203" s="26" t="str">
        <f aca="false">IF($A1203="","",N(INDEX(Workers!$L$5:$L$2004,MATCH($A1203,Workers!$A$5:$A$2004,0))))</f>
        <v/>
      </c>
      <c r="J1203" s="26" t="str">
        <f aca="false">IF($A1203="","",N(INDEX(Workers!$M$5:$M$2004,MATCH($A1203,Workers!$A$5:$A$2004,0))))</f>
        <v/>
      </c>
      <c r="K1203" s="26" t="str">
        <f aca="false">IF($A1203="","",IF(D1203="Monthly",ROUND(MAX(0,(I1203+J1203)-(I1203+J1203)/Settings!$B$10*H1203),2),0))</f>
        <v/>
      </c>
      <c r="L1203" s="26" t="str">
        <f aca="false">IF($A1203="","",IF(D1203="Hourly",ROUND(F1203*N(INDEX(Workers!$N$5:$N$2004,MATCH($A1203,Workers!$A$5:$A$2004,0))),2),0))</f>
        <v/>
      </c>
      <c r="M1203" s="26" t="str">
        <f aca="false">IF($A1203="","",ROUND(G1203*IF(D1203="Hourly",N(INDEX(Workers!$N$5:$N$2004,MATCH($A1203,Workers!$A$5:$A$2004,0))),I1203/Settings!$B$10/Settings!$B$12)*Settings!$B$13,2))</f>
        <v/>
      </c>
      <c r="N1203" s="26" t="str">
        <f aca="false">IF($A1203="","",K1203+L1203+M1203)</f>
        <v/>
      </c>
      <c r="O1203" s="26" t="str">
        <f aca="false">IF($A1203="","",SUMIFS(Deductions!$D$5:$D$2000,Deductions!$B$5:$B$2000,$A1203,Deductions!$C$5:$C$2000,"Advance",Deductions!$E$5:$E$2000,"&gt;="&amp;Settings!$B$8,Deductions!$E$5:$E$2000,"&lt;="&amp;Settings!$B$9))</f>
        <v/>
      </c>
      <c r="P1203" s="26" t="str">
        <f aca="false">IF($A1203="","",SUMIFS(Deductions!$D$5:$D$2000,Deductions!$B$5:$B$2000,$A1203,Deductions!$E$5:$E$2000,"&gt;="&amp;Settings!$B$8,Deductions!$E$5:$E$2000,"&lt;="&amp;Settings!$B$9)-O1203)</f>
        <v/>
      </c>
      <c r="Q1203" s="26" t="str">
        <f aca="false">IF($A1203="","",O1203+P1203)</f>
        <v/>
      </c>
      <c r="R1203" s="23" t="str">
        <f aca="false">IF($A1203="","",N1203-Q1203)</f>
        <v/>
      </c>
      <c r="S1203" s="24" t="str">
        <f aca="false">IF($A1203="","",INDEX(Workers!$O$5:$O$2004,MATCH($A1203,Workers!$A$5:$A$2004,0))&amp;"")</f>
        <v/>
      </c>
      <c r="T1203" s="24" t="str">
        <f aca="false">IF($A1203="","",INDEX(Workers!$P$5:$P$2004,MATCH($A1203,Workers!$A$5:$A$2004,0))&amp;"")</f>
        <v/>
      </c>
      <c r="U1203" s="24" t="str">
        <f aca="false">IF($A1203="","",INDEX(Workers!$H$5:$H$2004,MATCH($A1203,Workers!$A$5:$A$2004,0))&amp;"")</f>
        <v/>
      </c>
    </row>
    <row r="1204" customFormat="false" ht="15" hidden="false" customHeight="false" outlineLevel="0" collapsed="false">
      <c r="A1204" s="24" t="str">
        <f aca="false">IFERROR(INDEX(Workers!$A$5:$A$2004,MATCH(ROW()-4,Workers!$U$5:$U$2004,0)),"")</f>
        <v/>
      </c>
      <c r="B1204" s="24" t="str">
        <f aca="false">IF($A1204="","",INDEX(Workers!$B$5:$B$2004,MATCH($A1204,Workers!$A$5:$A$2004,0)))</f>
        <v/>
      </c>
      <c r="C1204" s="24" t="str">
        <f aca="false">IF($A1204="","",INDEX(Workers!$E$5:$E$2004,MATCH($A1204,Workers!$A$5:$A$2004,0)))</f>
        <v/>
      </c>
      <c r="D1204" s="24" t="str">
        <f aca="false">IF($A1204="","",INDEX(Workers!$K$5:$K$2004,MATCH($A1204,Workers!$A$5:$A$2004,0)))</f>
        <v/>
      </c>
      <c r="E1204" s="25" t="str">
        <f aca="false">IF($A1204="","",SUMIFS(Timesheet!$E$5:$E$3004,Timesheet!$D$5:$D$3004,$A1204,Timesheet!$A$5:$A$3004,"&gt;="&amp;Settings!$B$8,Timesheet!$A$5:$A$3004,"&lt;="&amp;Settings!$B$9))</f>
        <v/>
      </c>
      <c r="F1204" s="25" t="str">
        <f aca="false">IF($A1204="","",SUMIFS(Timesheet!$F$5:$F$3004,Timesheet!$D$5:$D$3004,$A1204,Timesheet!$A$5:$A$3004,"&gt;="&amp;Settings!$B$8,Timesheet!$A$5:$A$3004,"&lt;="&amp;Settings!$B$9))</f>
        <v/>
      </c>
      <c r="G1204" s="25" t="str">
        <f aca="false">IF($A1204="","",SUMIFS(Timesheet!$G$5:$G$3004,Timesheet!$D$5:$D$3004,$A1204,Timesheet!$A$5:$A$3004,"&gt;="&amp;Settings!$B$8,Timesheet!$A$5:$A$3004,"&lt;="&amp;Settings!$B$9))</f>
        <v/>
      </c>
      <c r="H1204" s="25" t="str">
        <f aca="false">IF($A1204="","",IF(D1204="Monthly",MAX(0,Settings!$B$11-E1204),0))</f>
        <v/>
      </c>
      <c r="I1204" s="26" t="str">
        <f aca="false">IF($A1204="","",N(INDEX(Workers!$L$5:$L$2004,MATCH($A1204,Workers!$A$5:$A$2004,0))))</f>
        <v/>
      </c>
      <c r="J1204" s="26" t="str">
        <f aca="false">IF($A1204="","",N(INDEX(Workers!$M$5:$M$2004,MATCH($A1204,Workers!$A$5:$A$2004,0))))</f>
        <v/>
      </c>
      <c r="K1204" s="26" t="str">
        <f aca="false">IF($A1204="","",IF(D1204="Monthly",ROUND(MAX(0,(I1204+J1204)-(I1204+J1204)/Settings!$B$10*H1204),2),0))</f>
        <v/>
      </c>
      <c r="L1204" s="26" t="str">
        <f aca="false">IF($A1204="","",IF(D1204="Hourly",ROUND(F1204*N(INDEX(Workers!$N$5:$N$2004,MATCH($A1204,Workers!$A$5:$A$2004,0))),2),0))</f>
        <v/>
      </c>
      <c r="M1204" s="26" t="str">
        <f aca="false">IF($A1204="","",ROUND(G1204*IF(D1204="Hourly",N(INDEX(Workers!$N$5:$N$2004,MATCH($A1204,Workers!$A$5:$A$2004,0))),I1204/Settings!$B$10/Settings!$B$12)*Settings!$B$13,2))</f>
        <v/>
      </c>
      <c r="N1204" s="26" t="str">
        <f aca="false">IF($A1204="","",K1204+L1204+M1204)</f>
        <v/>
      </c>
      <c r="O1204" s="26" t="str">
        <f aca="false">IF($A1204="","",SUMIFS(Deductions!$D$5:$D$2000,Deductions!$B$5:$B$2000,$A1204,Deductions!$C$5:$C$2000,"Advance",Deductions!$E$5:$E$2000,"&gt;="&amp;Settings!$B$8,Deductions!$E$5:$E$2000,"&lt;="&amp;Settings!$B$9))</f>
        <v/>
      </c>
      <c r="P1204" s="26" t="str">
        <f aca="false">IF($A1204="","",SUMIFS(Deductions!$D$5:$D$2000,Deductions!$B$5:$B$2000,$A1204,Deductions!$E$5:$E$2000,"&gt;="&amp;Settings!$B$8,Deductions!$E$5:$E$2000,"&lt;="&amp;Settings!$B$9)-O1204)</f>
        <v/>
      </c>
      <c r="Q1204" s="26" t="str">
        <f aca="false">IF($A1204="","",O1204+P1204)</f>
        <v/>
      </c>
      <c r="R1204" s="23" t="str">
        <f aca="false">IF($A1204="","",N1204-Q1204)</f>
        <v/>
      </c>
      <c r="S1204" s="24" t="str">
        <f aca="false">IF($A1204="","",INDEX(Workers!$O$5:$O$2004,MATCH($A1204,Workers!$A$5:$A$2004,0))&amp;"")</f>
        <v/>
      </c>
      <c r="T1204" s="24" t="str">
        <f aca="false">IF($A1204="","",INDEX(Workers!$P$5:$P$2004,MATCH($A1204,Workers!$A$5:$A$2004,0))&amp;"")</f>
        <v/>
      </c>
      <c r="U1204" s="24" t="str">
        <f aca="false">IF($A1204="","",INDEX(Workers!$H$5:$H$2004,MATCH($A1204,Workers!$A$5:$A$2004,0))&amp;"")</f>
        <v/>
      </c>
    </row>
  </sheetData>
  <autoFilter ref="A4:U1204"/>
  <hyperlinks>
    <hyperlink ref="D1" r:id="rId1" location="'HOME'!A1" display="« HO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B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18"/>
  </cols>
  <sheetData>
    <row r="1" customFormat="false" ht="17.35" hidden="false" customHeight="false" outlineLevel="0" collapsed="false">
      <c r="B1" s="14" t="str">
        <f aca="false">Settings!$B$4</f>
        <v>Gulf Star Manpower Services LLC</v>
      </c>
      <c r="E1" s="15" t="s">
        <v>38</v>
      </c>
    </row>
    <row r="2" customFormat="false" ht="15" hidden="false" customHeight="false" outlineLevel="0" collapsed="false">
      <c r="B2" s="44" t="str">
        <f aca="false">"PAYSLIP for "&amp;TEXT(Settings!$B$8,"mmmm yyyy")</f>
        <v>PAYSLIP for October 2026</v>
      </c>
    </row>
    <row r="4" customFormat="false" ht="15" hidden="false" customHeight="false" outlineLevel="0" collapsed="false">
      <c r="B4" s="22" t="s">
        <v>581</v>
      </c>
      <c r="C4" s="31" t="s">
        <v>236</v>
      </c>
    </row>
    <row r="6" customFormat="false" ht="15" hidden="false" customHeight="false" outlineLevel="0" collapsed="false">
      <c r="B6" s="22" t="s">
        <v>582</v>
      </c>
      <c r="C6" s="24" t="str">
        <f aca="false">IFERROR(INDEX(Payroll!$B$5:$B$1204,MATCH($C$4,Payroll!$A$5:$A$1204,0)),"")</f>
        <v>Marlon Khan</v>
      </c>
      <c r="D6" s="32" t="s">
        <v>583</v>
      </c>
      <c r="E6" s="45"/>
    </row>
    <row r="7" customFormat="false" ht="15" hidden="false" customHeight="false" outlineLevel="0" collapsed="false">
      <c r="B7" s="22" t="s">
        <v>212</v>
      </c>
      <c r="C7" s="24" t="str">
        <f aca="false">IFERROR(INDEX(Payroll!$C$5:$C$1204,MATCH($C$4,Payroll!$A$5:$A$1204,0)),"")</f>
        <v>Steel Fixer</v>
      </c>
      <c r="D7" s="24" t="s">
        <v>570</v>
      </c>
      <c r="E7" s="26" t="n">
        <f aca="false">IFERROR(INDEX(Payroll!$I$5:$I$1204,MATCH($C$4,Payroll!$A$5:$A$1204,0)),"")</f>
        <v>1400</v>
      </c>
    </row>
    <row r="8" customFormat="false" ht="15" hidden="false" customHeight="false" outlineLevel="0" collapsed="false">
      <c r="B8" s="22" t="s">
        <v>122</v>
      </c>
      <c r="C8" s="24" t="str">
        <f aca="false">IFERROR(INDEX(Payroll!$D$5:$D$1204,MATCH($C$4,Payroll!$A$5:$A$1204,0)),"")</f>
        <v>Monthly</v>
      </c>
      <c r="D8" s="24" t="s">
        <v>571</v>
      </c>
      <c r="E8" s="26" t="n">
        <f aca="false">IFERROR(INDEX(Payroll!$J$5:$J$1204,MATCH($C$4,Payroll!$A$5:$A$1204,0)),"")</f>
        <v>400</v>
      </c>
    </row>
    <row r="9" customFormat="false" ht="15" hidden="false" customHeight="false" outlineLevel="0" collapsed="false">
      <c r="B9" s="22" t="s">
        <v>223</v>
      </c>
      <c r="C9" s="24" t="str">
        <f aca="false">IFERROR(INDEX(Payroll!$U$5:$U$1204,MATCH($C$4,Payroll!$A$5:$A$1204,0)),"")</f>
        <v>96921334349946</v>
      </c>
      <c r="D9" s="24" t="s">
        <v>584</v>
      </c>
      <c r="E9" s="26" t="n">
        <f aca="false">IFERROR(INDEX(Payroll!$K$5:$K$1204,MATCH($C$4,Payroll!$A$5:$A$1204,0)),"")</f>
        <v>1800</v>
      </c>
    </row>
    <row r="10" customFormat="false" ht="15" hidden="false" customHeight="false" outlineLevel="0" collapsed="false">
      <c r="B10" s="22" t="s">
        <v>193</v>
      </c>
      <c r="C10" s="24" t="str">
        <f aca="false">IFERROR(INDEX(Payroll!$T$5:$T$1204,MATCH($C$4,Payroll!$A$5:$A$1204,0)),"")</f>
        <v>AE96 1884 8481 7428 7521 508</v>
      </c>
      <c r="D10" s="24" t="s">
        <v>573</v>
      </c>
      <c r="E10" s="26" t="n">
        <f aca="false">IFERROR(INDEX(Payroll!$L$5:$L$1204,MATCH($C$4,Payroll!$A$5:$A$1204,0)),"")</f>
        <v>0</v>
      </c>
    </row>
    <row r="11" customFormat="false" ht="15" hidden="false" customHeight="false" outlineLevel="0" collapsed="false">
      <c r="B11" s="22" t="s">
        <v>531</v>
      </c>
      <c r="C11" s="25" t="n">
        <f aca="false">IFERROR(INDEX(Payroll!$E$5:$E$1204,MATCH($C$4,Payroll!$A$5:$A$1204,0)),"")</f>
        <v>26</v>
      </c>
      <c r="D11" s="24" t="s">
        <v>585</v>
      </c>
      <c r="E11" s="26" t="n">
        <f aca="false">IFERROR(INDEX(Payroll!$M$5:$M$1204,MATCH($C$4,Payroll!$A$5:$A$1204,0)),"")</f>
        <v>189.58</v>
      </c>
    </row>
    <row r="12" customFormat="false" ht="15" hidden="false" customHeight="false" outlineLevel="0" collapsed="false">
      <c r="B12" s="22" t="s">
        <v>569</v>
      </c>
      <c r="C12" s="25" t="n">
        <f aca="false">IFERROR(INDEX(Payroll!$H$5:$H$1204,MATCH($C$4,Payroll!$A$5:$A$1204,0)),"")</f>
        <v>0</v>
      </c>
      <c r="D12" s="22" t="s">
        <v>586</v>
      </c>
      <c r="E12" s="23" t="n">
        <f aca="false">IFERROR(INDEX(Payroll!$N$5:$N$1204,MATCH($C$4,Payroll!$A$5:$A$1204,0)),"")</f>
        <v>1989.58</v>
      </c>
    </row>
    <row r="13" customFormat="false" ht="15" hidden="false" customHeight="false" outlineLevel="0" collapsed="false">
      <c r="B13" s="22" t="s">
        <v>532</v>
      </c>
      <c r="C13" s="25" t="n">
        <f aca="false">IFERROR(INDEX(Payroll!$F$5:$F$1204,MATCH($C$4,Payroll!$A$5:$A$1204,0)),"")</f>
        <v>208</v>
      </c>
    </row>
    <row r="14" customFormat="false" ht="15" hidden="false" customHeight="false" outlineLevel="0" collapsed="false">
      <c r="B14" s="22" t="s">
        <v>533</v>
      </c>
      <c r="C14" s="25" t="n">
        <f aca="false">IFERROR(INDEX(Payroll!$G$5:$G$1204,MATCH($C$4,Payroll!$A$5:$A$1204,0)),"")</f>
        <v>26</v>
      </c>
      <c r="D14" s="32" t="s">
        <v>587</v>
      </c>
      <c r="E14" s="45"/>
    </row>
    <row r="15" customFormat="false" ht="15" hidden="false" customHeight="false" outlineLevel="0" collapsed="false">
      <c r="D15" s="24" t="s">
        <v>588</v>
      </c>
      <c r="E15" s="26" t="n">
        <f aca="false">IFERROR(INDEX(Payroll!$O$5:$O$1204,MATCH($C$4,Payroll!$A$5:$A$1204,0)),"")</f>
        <v>0</v>
      </c>
    </row>
    <row r="16" customFormat="false" ht="15" hidden="false" customHeight="false" outlineLevel="0" collapsed="false">
      <c r="D16" s="24" t="s">
        <v>577</v>
      </c>
      <c r="E16" s="26" t="n">
        <f aca="false">IFERROR(INDEX(Payroll!$P$5:$P$1204,MATCH($C$4,Payroll!$A$5:$A$1204,0)),"")</f>
        <v>0</v>
      </c>
    </row>
    <row r="17" customFormat="false" ht="15" hidden="false" customHeight="false" outlineLevel="0" collapsed="false">
      <c r="D17" s="22" t="s">
        <v>589</v>
      </c>
      <c r="E17" s="23" t="n">
        <f aca="false">IFERROR(INDEX(Payroll!$Q$5:$Q$1204,MATCH($C$4,Payroll!$A$5:$A$1204,0)),"")</f>
        <v>0</v>
      </c>
    </row>
    <row r="19" customFormat="false" ht="15" hidden="false" customHeight="false" outlineLevel="0" collapsed="false">
      <c r="D19" s="42" t="s">
        <v>590</v>
      </c>
      <c r="E19" s="28" t="n">
        <f aca="false">IFERROR(INDEX(Payroll!$R$5:$R$1204,MATCH($C$4,Payroll!$A$5:$A$1204,0)),"")</f>
        <v>1989.58</v>
      </c>
    </row>
    <row r="22" customFormat="false" ht="15" hidden="false" customHeight="false" outlineLevel="0" collapsed="false">
      <c r="B22" s="18" t="s">
        <v>591</v>
      </c>
      <c r="D22" s="18" t="s">
        <v>592</v>
      </c>
    </row>
  </sheetData>
  <dataValidations count="1">
    <dataValidation allowBlank="true" error="Please pick a value from the list" errorStyle="stop" operator="between" showDropDown="false" showErrorMessage="false" showInputMessage="false" sqref="C4" type="list">
      <formula1>Payroll!$A$5:$A$1204</formula1>
      <formula2>0</formula2>
    </dataValidation>
  </dataValidations>
  <hyperlinks>
    <hyperlink ref="E1" r:id="rId1" location="'HOME'!A1" display="« HO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B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4" min="3" style="0" width="12"/>
    <col collapsed="false" customWidth="true" hidden="false" outlineLevel="0" max="5" min="5" style="0" width="13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9" min="9" style="0" width="15"/>
  </cols>
  <sheetData>
    <row r="1" customFormat="false" ht="19.7" hidden="false" customHeight="false" outlineLevel="0" collapsed="false">
      <c r="B1" s="14" t="str">
        <f aca="false">Settings!$B$4</f>
        <v>Gulf Star Manpower Services LLC</v>
      </c>
      <c r="G1" s="46" t="s">
        <v>593</v>
      </c>
      <c r="I1" s="15" t="s">
        <v>38</v>
      </c>
    </row>
    <row r="2" customFormat="false" ht="15" hidden="false" customHeight="false" outlineLevel="0" collapsed="false">
      <c r="B2" s="18" t="str">
        <f aca="false">"TRN: "&amp;Settings!$B$5</f>
        <v>TRN: 100123456700003</v>
      </c>
    </row>
    <row r="4" customFormat="false" ht="15" hidden="false" customHeight="false" outlineLevel="0" collapsed="false">
      <c r="B4" s="22" t="s">
        <v>594</v>
      </c>
      <c r="C4" s="31" t="s">
        <v>166</v>
      </c>
      <c r="G4" s="22" t="s">
        <v>595</v>
      </c>
      <c r="H4" s="24" t="str">
        <f aca="false">"INV-"&amp;TEXT(Settings!$B$8,"yymm")&amp;"-"&amp;$C$4</f>
        <v>INV-2610-C001</v>
      </c>
    </row>
    <row r="5" customFormat="false" ht="15" hidden="false" customHeight="false" outlineLevel="0" collapsed="false">
      <c r="B5" s="22" t="s">
        <v>596</v>
      </c>
      <c r="C5" s="24" t="str">
        <f aca="false">IFERROR(INDEX(Clients!$B$5:$B$300,MATCH($C$4,Clients!$A$5:$A$300,0)),"")</f>
        <v>Al Waha Contracting LLC</v>
      </c>
      <c r="G5" s="22" t="s">
        <v>597</v>
      </c>
      <c r="H5" s="35" t="n">
        <f aca="false">Settings!$B$9</f>
        <v>46326</v>
      </c>
    </row>
    <row r="6" customFormat="false" ht="15" hidden="false" customHeight="false" outlineLevel="0" collapsed="false">
      <c r="B6" s="22" t="s">
        <v>598</v>
      </c>
      <c r="C6" s="24" t="str">
        <f aca="false">IFERROR(INDEX(Clients!$C$5:$C$300,MATCH($C$4,Clients!$A$5:$A$300,0)),"")</f>
        <v>100555111200003</v>
      </c>
      <c r="G6" s="22" t="s">
        <v>599</v>
      </c>
      <c r="H6" s="35" t="n">
        <f aca="false">IFERROR(Settings!$B$9+IFERROR(INDEX(Clients!$E$5:$E$300,MATCH($C$4,Clients!$A$5:$A$300,0)),""),"")</f>
        <v>46356</v>
      </c>
    </row>
    <row r="7" customFormat="false" ht="15" hidden="false" customHeight="false" outlineLevel="0" collapsed="false">
      <c r="G7" s="22" t="s">
        <v>600</v>
      </c>
      <c r="H7" s="24" t="str">
        <f aca="false">TEXT(Settings!$B$8,"mmm yyyy")</f>
        <v>Oct 2026</v>
      </c>
    </row>
    <row r="9" customFormat="false" ht="15" hidden="false" customHeight="false" outlineLevel="0" collapsed="false">
      <c r="B9" s="47" t="s">
        <v>212</v>
      </c>
      <c r="C9" s="47" t="s">
        <v>6</v>
      </c>
      <c r="D9" s="47" t="s">
        <v>601</v>
      </c>
      <c r="E9" s="47" t="s">
        <v>602</v>
      </c>
      <c r="F9" s="47" t="s">
        <v>603</v>
      </c>
      <c r="G9" s="47" t="s">
        <v>604</v>
      </c>
      <c r="H9" s="47" t="s">
        <v>559</v>
      </c>
    </row>
    <row r="10" customFormat="false" ht="15" hidden="false" customHeight="false" outlineLevel="0" collapsed="false">
      <c r="B10" s="24" t="str">
        <f aca="false">Settings!$D$5</f>
        <v>Helper</v>
      </c>
      <c r="C10" s="25" t="n">
        <f aca="false">COUNTIFS(Timesheet!$B$5:$B$3004,$C$4,Timesheet!$L$5:$L$3004,$B10,Timesheet!$A$5:$A$3004,"&gt;="&amp;Settings!$B$8,Timesheet!$A$5:$A$3004,"&lt;="&amp;Settings!$B$9)</f>
        <v>2</v>
      </c>
      <c r="D10" s="25" t="n">
        <f aca="false">SUMIFS(Timesheet!$F$5:$F$3004,Timesheet!$B$5:$B$3004,$C$4,Timesheet!$L$5:$L$3004,$B10,Timesheet!$A$5:$A$3004,"&gt;="&amp;Settings!$B$8,Timesheet!$A$5:$A$3004,"&lt;="&amp;Settings!$B$9)</f>
        <v>408</v>
      </c>
      <c r="E10" s="26" t="n">
        <f aca="false">IFERROR(INDEX(ClientRates!$D$5:$D$500,MATCH($C$4&amp;"|"&amp;$B10,ClientRates!$A$5:$A$500,0)),0)</f>
        <v>16</v>
      </c>
      <c r="F10" s="25" t="n">
        <f aca="false">SUMIFS(Timesheet!$G$5:$G$3004,Timesheet!$B$5:$B$3004,$C$4,Timesheet!$L$5:$L$3004,$B10,Timesheet!$A$5:$A$3004,"&gt;="&amp;Settings!$B$8,Timesheet!$A$5:$A$3004,"&lt;="&amp;Settings!$B$9)</f>
        <v>52</v>
      </c>
      <c r="G10" s="26" t="n">
        <f aca="false">IFERROR(INDEX(ClientRates!$E$5:$E$500,MATCH($C$4&amp;"|"&amp;$B10,ClientRates!$A$5:$A$500,0)),0)</f>
        <v>20</v>
      </c>
      <c r="H10" s="26" t="n">
        <f aca="false">SUMIFS(Timesheet!$O$5:$O$3004,Timesheet!$B$5:$B$3004,$C$4,Timesheet!$L$5:$L$3004,$B10,Timesheet!$A$5:$A$3004,"&gt;="&amp;Settings!$B$8,Timesheet!$A$5:$A$3004,"&lt;="&amp;Settings!$B$9)</f>
        <v>7568</v>
      </c>
    </row>
    <row r="11" customFormat="false" ht="15" hidden="false" customHeight="false" outlineLevel="0" collapsed="false">
      <c r="B11" s="24" t="str">
        <f aca="false">Settings!$D$6</f>
        <v>Mason</v>
      </c>
      <c r="C11" s="25" t="n">
        <f aca="false">COUNTIFS(Timesheet!$B$5:$B$3004,$C$4,Timesheet!$L$5:$L$3004,$B11,Timesheet!$A$5:$A$3004,"&gt;="&amp;Settings!$B$8,Timesheet!$A$5:$A$3004,"&lt;="&amp;Settings!$B$9)</f>
        <v>5</v>
      </c>
      <c r="D11" s="25" t="n">
        <f aca="false">SUMIFS(Timesheet!$F$5:$F$3004,Timesheet!$B$5:$B$3004,$C$4,Timesheet!$L$5:$L$3004,$B11,Timesheet!$A$5:$A$3004,"&gt;="&amp;Settings!$B$8,Timesheet!$A$5:$A$3004,"&lt;="&amp;Settings!$B$9)</f>
        <v>992</v>
      </c>
      <c r="E11" s="26" t="n">
        <f aca="false">IFERROR(INDEX(ClientRates!$D$5:$D$500,MATCH($C$4&amp;"|"&amp;$B11,ClientRates!$A$5:$A$500,0)),0)</f>
        <v>22</v>
      </c>
      <c r="F11" s="25" t="n">
        <f aca="false">SUMIFS(Timesheet!$G$5:$G$3004,Timesheet!$B$5:$B$3004,$C$4,Timesheet!$L$5:$L$3004,$B11,Timesheet!$A$5:$A$3004,"&gt;="&amp;Settings!$B$8,Timesheet!$A$5:$A$3004,"&lt;="&amp;Settings!$B$9)</f>
        <v>98</v>
      </c>
      <c r="G11" s="26" t="n">
        <f aca="false">IFERROR(INDEX(ClientRates!$E$5:$E$500,MATCH($C$4&amp;"|"&amp;$B11,ClientRates!$A$5:$A$500,0)),0)</f>
        <v>27.5</v>
      </c>
      <c r="H11" s="26" t="n">
        <f aca="false">SUMIFS(Timesheet!$O$5:$O$3004,Timesheet!$B$5:$B$3004,$C$4,Timesheet!$L$5:$L$3004,$B11,Timesheet!$A$5:$A$3004,"&gt;="&amp;Settings!$B$8,Timesheet!$A$5:$A$3004,"&lt;="&amp;Settings!$B$9)</f>
        <v>24519</v>
      </c>
    </row>
    <row r="12" customFormat="false" ht="15" hidden="false" customHeight="false" outlineLevel="0" collapsed="false">
      <c r="B12" s="24" t="str">
        <f aca="false">Settings!$D$7</f>
        <v>Carpenter</v>
      </c>
      <c r="C12" s="25" t="n">
        <f aca="false">COUNTIFS(Timesheet!$B$5:$B$3004,$C$4,Timesheet!$L$5:$L$3004,$B12,Timesheet!$A$5:$A$3004,"&gt;="&amp;Settings!$B$8,Timesheet!$A$5:$A$3004,"&lt;="&amp;Settings!$B$9)</f>
        <v>2</v>
      </c>
      <c r="D12" s="25" t="n">
        <f aca="false">SUMIFS(Timesheet!$F$5:$F$3004,Timesheet!$B$5:$B$3004,$C$4,Timesheet!$L$5:$L$3004,$B12,Timesheet!$A$5:$A$3004,"&gt;="&amp;Settings!$B$8,Timesheet!$A$5:$A$3004,"&lt;="&amp;Settings!$B$9)</f>
        <v>384</v>
      </c>
      <c r="E12" s="26" t="n">
        <f aca="false">IFERROR(INDEX(ClientRates!$D$5:$D$500,MATCH($C$4&amp;"|"&amp;$B12,ClientRates!$A$5:$A$500,0)),0)</f>
        <v>22</v>
      </c>
      <c r="F12" s="25" t="n">
        <f aca="false">SUMIFS(Timesheet!$G$5:$G$3004,Timesheet!$B$5:$B$3004,$C$4,Timesheet!$L$5:$L$3004,$B12,Timesheet!$A$5:$A$3004,"&gt;="&amp;Settings!$B$8,Timesheet!$A$5:$A$3004,"&lt;="&amp;Settings!$B$9)</f>
        <v>60</v>
      </c>
      <c r="G12" s="26" t="n">
        <f aca="false">IFERROR(INDEX(ClientRates!$E$5:$E$500,MATCH($C$4&amp;"|"&amp;$B12,ClientRates!$A$5:$A$500,0)),0)</f>
        <v>27.5</v>
      </c>
      <c r="H12" s="26" t="n">
        <f aca="false">SUMIFS(Timesheet!$O$5:$O$3004,Timesheet!$B$5:$B$3004,$C$4,Timesheet!$L$5:$L$3004,$B12,Timesheet!$A$5:$A$3004,"&gt;="&amp;Settings!$B$8,Timesheet!$A$5:$A$3004,"&lt;="&amp;Settings!$B$9)</f>
        <v>10098</v>
      </c>
    </row>
    <row r="13" customFormat="false" ht="15" hidden="false" customHeight="false" outlineLevel="0" collapsed="false">
      <c r="B13" s="24" t="str">
        <f aca="false">Settings!$D$8</f>
        <v>Electrician</v>
      </c>
      <c r="C13" s="25" t="n">
        <f aca="false">COUNTIFS(Timesheet!$B$5:$B$3004,$C$4,Timesheet!$L$5:$L$3004,$B13,Timesheet!$A$5:$A$3004,"&gt;="&amp;Settings!$B$8,Timesheet!$A$5:$A$3004,"&lt;="&amp;Settings!$B$9)</f>
        <v>3</v>
      </c>
      <c r="D13" s="25" t="n">
        <f aca="false">SUMIFS(Timesheet!$F$5:$F$3004,Timesheet!$B$5:$B$3004,$C$4,Timesheet!$L$5:$L$3004,$B13,Timesheet!$A$5:$A$3004,"&gt;="&amp;Settings!$B$8,Timesheet!$A$5:$A$3004,"&lt;="&amp;Settings!$B$9)</f>
        <v>536</v>
      </c>
      <c r="E13" s="26" t="n">
        <f aca="false">IFERROR(INDEX(ClientRates!$D$5:$D$500,MATCH($C$4&amp;"|"&amp;$B13,ClientRates!$A$5:$A$500,0)),0)</f>
        <v>26</v>
      </c>
      <c r="F13" s="25" t="n">
        <f aca="false">SUMIFS(Timesheet!$G$5:$G$3004,Timesheet!$B$5:$B$3004,$C$4,Timesheet!$L$5:$L$3004,$B13,Timesheet!$A$5:$A$3004,"&gt;="&amp;Settings!$B$8,Timesheet!$A$5:$A$3004,"&lt;="&amp;Settings!$B$9)</f>
        <v>26</v>
      </c>
      <c r="G13" s="26" t="n">
        <f aca="false">IFERROR(INDEX(ClientRates!$E$5:$E$500,MATCH($C$4&amp;"|"&amp;$B13,ClientRates!$A$5:$A$500,0)),0)</f>
        <v>32.5</v>
      </c>
      <c r="H13" s="26" t="n">
        <f aca="false">SUMIFS(Timesheet!$O$5:$O$3004,Timesheet!$B$5:$B$3004,$C$4,Timesheet!$L$5:$L$3004,$B13,Timesheet!$A$5:$A$3004,"&gt;="&amp;Settings!$B$8,Timesheet!$A$5:$A$3004,"&lt;="&amp;Settings!$B$9)</f>
        <v>14781</v>
      </c>
    </row>
    <row r="14" customFormat="false" ht="15" hidden="false" customHeight="false" outlineLevel="0" collapsed="false">
      <c r="B14" s="24" t="str">
        <f aca="false">Settings!$D$9</f>
        <v>Plumber</v>
      </c>
      <c r="C14" s="25" t="n">
        <f aca="false">COUNTIFS(Timesheet!$B$5:$B$3004,$C$4,Timesheet!$L$5:$L$3004,$B14,Timesheet!$A$5:$A$3004,"&gt;="&amp;Settings!$B$8,Timesheet!$A$5:$A$3004,"&lt;="&amp;Settings!$B$9)</f>
        <v>3</v>
      </c>
      <c r="D14" s="25" t="n">
        <f aca="false">SUMIFS(Timesheet!$F$5:$F$3004,Timesheet!$B$5:$B$3004,$C$4,Timesheet!$L$5:$L$3004,$B14,Timesheet!$A$5:$A$3004,"&gt;="&amp;Settings!$B$8,Timesheet!$A$5:$A$3004,"&lt;="&amp;Settings!$B$9)</f>
        <v>464</v>
      </c>
      <c r="E14" s="26" t="n">
        <f aca="false">IFERROR(INDEX(ClientRates!$D$5:$D$500,MATCH($C$4&amp;"|"&amp;$B14,ClientRates!$A$5:$A$500,0)),0)</f>
        <v>25</v>
      </c>
      <c r="F14" s="25" t="n">
        <f aca="false">SUMIFS(Timesheet!$G$5:$G$3004,Timesheet!$B$5:$B$3004,$C$4,Timesheet!$L$5:$L$3004,$B14,Timesheet!$A$5:$A$3004,"&gt;="&amp;Settings!$B$8,Timesheet!$A$5:$A$3004,"&lt;="&amp;Settings!$B$9)</f>
        <v>36</v>
      </c>
      <c r="G14" s="26" t="n">
        <f aca="false">IFERROR(INDEX(ClientRates!$E$5:$E$500,MATCH($C$4&amp;"|"&amp;$B14,ClientRates!$A$5:$A$500,0)),0)</f>
        <v>31.25</v>
      </c>
      <c r="H14" s="26" t="n">
        <f aca="false">SUMIFS(Timesheet!$O$5:$O$3004,Timesheet!$B$5:$B$3004,$C$4,Timesheet!$L$5:$L$3004,$B14,Timesheet!$A$5:$A$3004,"&gt;="&amp;Settings!$B$8,Timesheet!$A$5:$A$3004,"&lt;="&amp;Settings!$B$9)</f>
        <v>12725</v>
      </c>
    </row>
    <row r="15" customFormat="false" ht="15" hidden="false" customHeight="false" outlineLevel="0" collapsed="false">
      <c r="B15" s="24" t="str">
        <f aca="false">Settings!$D$10</f>
        <v>Steel Fixer</v>
      </c>
      <c r="C15" s="25" t="n">
        <f aca="false">COUNTIFS(Timesheet!$B$5:$B$3004,$C$4,Timesheet!$L$5:$L$3004,$B15,Timesheet!$A$5:$A$3004,"&gt;="&amp;Settings!$B$8,Timesheet!$A$5:$A$3004,"&lt;="&amp;Settings!$B$9)</f>
        <v>0</v>
      </c>
      <c r="D15" s="25" t="n">
        <f aca="false">SUMIFS(Timesheet!$F$5:$F$3004,Timesheet!$B$5:$B$3004,$C$4,Timesheet!$L$5:$L$3004,$B15,Timesheet!$A$5:$A$3004,"&gt;="&amp;Settings!$B$8,Timesheet!$A$5:$A$3004,"&lt;="&amp;Settings!$B$9)</f>
        <v>0</v>
      </c>
      <c r="E15" s="26" t="n">
        <f aca="false">IFERROR(INDEX(ClientRates!$D$5:$D$500,MATCH($C$4&amp;"|"&amp;$B15,ClientRates!$A$5:$A$500,0)),0)</f>
        <v>23</v>
      </c>
      <c r="F15" s="25" t="n">
        <f aca="false">SUMIFS(Timesheet!$G$5:$G$3004,Timesheet!$B$5:$B$3004,$C$4,Timesheet!$L$5:$L$3004,$B15,Timesheet!$A$5:$A$3004,"&gt;="&amp;Settings!$B$8,Timesheet!$A$5:$A$3004,"&lt;="&amp;Settings!$B$9)</f>
        <v>0</v>
      </c>
      <c r="G15" s="26" t="n">
        <f aca="false">IFERROR(INDEX(ClientRates!$E$5:$E$500,MATCH($C$4&amp;"|"&amp;$B15,ClientRates!$A$5:$A$500,0)),0)</f>
        <v>28.75</v>
      </c>
      <c r="H15" s="26" t="n">
        <f aca="false">SUMIFS(Timesheet!$O$5:$O$3004,Timesheet!$B$5:$B$3004,$C$4,Timesheet!$L$5:$L$3004,$B15,Timesheet!$A$5:$A$3004,"&gt;="&amp;Settings!$B$8,Timesheet!$A$5:$A$3004,"&lt;="&amp;Settings!$B$9)</f>
        <v>0</v>
      </c>
    </row>
    <row r="16" customFormat="false" ht="15" hidden="false" customHeight="false" outlineLevel="0" collapsed="false">
      <c r="B16" s="24" t="str">
        <f aca="false">Settings!$D$11</f>
        <v>Driver</v>
      </c>
      <c r="C16" s="25" t="n">
        <f aca="false">COUNTIFS(Timesheet!$B$5:$B$3004,$C$4,Timesheet!$L$5:$L$3004,$B16,Timesheet!$A$5:$A$3004,"&gt;="&amp;Settings!$B$8,Timesheet!$A$5:$A$3004,"&lt;="&amp;Settings!$B$9)</f>
        <v>3</v>
      </c>
      <c r="D16" s="25" t="n">
        <f aca="false">SUMIFS(Timesheet!$F$5:$F$3004,Timesheet!$B$5:$B$3004,$C$4,Timesheet!$L$5:$L$3004,$B16,Timesheet!$A$5:$A$3004,"&gt;="&amp;Settings!$B$8,Timesheet!$A$5:$A$3004,"&lt;="&amp;Settings!$B$9)</f>
        <v>552</v>
      </c>
      <c r="E16" s="26" t="n">
        <f aca="false">IFERROR(INDEX(ClientRates!$D$5:$D$500,MATCH($C$4&amp;"|"&amp;$B16,ClientRates!$A$5:$A$500,0)),0)</f>
        <v>24</v>
      </c>
      <c r="F16" s="25" t="n">
        <f aca="false">SUMIFS(Timesheet!$G$5:$G$3004,Timesheet!$B$5:$B$3004,$C$4,Timesheet!$L$5:$L$3004,$B16,Timesheet!$A$5:$A$3004,"&gt;="&amp;Settings!$B$8,Timesheet!$A$5:$A$3004,"&lt;="&amp;Settings!$B$9)</f>
        <v>16</v>
      </c>
      <c r="G16" s="26" t="n">
        <f aca="false">IFERROR(INDEX(ClientRates!$E$5:$E$500,MATCH($C$4&amp;"|"&amp;$B16,ClientRates!$A$5:$A$500,0)),0)</f>
        <v>30</v>
      </c>
      <c r="H16" s="26" t="n">
        <f aca="false">SUMIFS(Timesheet!$O$5:$O$3004,Timesheet!$B$5:$B$3004,$C$4,Timesheet!$L$5:$L$3004,$B16,Timesheet!$A$5:$A$3004,"&gt;="&amp;Settings!$B$8,Timesheet!$A$5:$A$3004,"&lt;="&amp;Settings!$B$9)</f>
        <v>13728</v>
      </c>
    </row>
    <row r="17" customFormat="false" ht="15" hidden="false" customHeight="false" outlineLevel="0" collapsed="false">
      <c r="B17" s="24" t="str">
        <f aca="false">Settings!$D$12</f>
        <v>Cleaner</v>
      </c>
      <c r="C17" s="25" t="n">
        <f aca="false">COUNTIFS(Timesheet!$B$5:$B$3004,$C$4,Timesheet!$L$5:$L$3004,$B17,Timesheet!$A$5:$A$3004,"&gt;="&amp;Settings!$B$8,Timesheet!$A$5:$A$3004,"&lt;="&amp;Settings!$B$9)</f>
        <v>4</v>
      </c>
      <c r="D17" s="25" t="n">
        <f aca="false">SUMIFS(Timesheet!$F$5:$F$3004,Timesheet!$B$5:$B$3004,$C$4,Timesheet!$L$5:$L$3004,$B17,Timesheet!$A$5:$A$3004,"&gt;="&amp;Settings!$B$8,Timesheet!$A$5:$A$3004,"&lt;="&amp;Settings!$B$9)</f>
        <v>624</v>
      </c>
      <c r="E17" s="26" t="n">
        <f aca="false">IFERROR(INDEX(ClientRates!$D$5:$D$500,MATCH($C$4&amp;"|"&amp;$B17,ClientRates!$A$5:$A$500,0)),0)</f>
        <v>15</v>
      </c>
      <c r="F17" s="25" t="n">
        <f aca="false">SUMIFS(Timesheet!$G$5:$G$3004,Timesheet!$B$5:$B$3004,$C$4,Timesheet!$L$5:$L$3004,$B17,Timesheet!$A$5:$A$3004,"&gt;="&amp;Settings!$B$8,Timesheet!$A$5:$A$3004,"&lt;="&amp;Settings!$B$9)</f>
        <v>92</v>
      </c>
      <c r="G17" s="26" t="n">
        <f aca="false">IFERROR(INDEX(ClientRates!$E$5:$E$500,MATCH($C$4&amp;"|"&amp;$B17,ClientRates!$A$5:$A$500,0)),0)</f>
        <v>18.75</v>
      </c>
      <c r="H17" s="26" t="n">
        <f aca="false">SUMIFS(Timesheet!$O$5:$O$3004,Timesheet!$B$5:$B$3004,$C$4,Timesheet!$L$5:$L$3004,$B17,Timesheet!$A$5:$A$3004,"&gt;="&amp;Settings!$B$8,Timesheet!$A$5:$A$3004,"&lt;="&amp;Settings!$B$9)</f>
        <v>11085</v>
      </c>
    </row>
    <row r="18" customFormat="false" ht="15" hidden="false" customHeight="false" outlineLevel="0" collapsed="false">
      <c r="B18" s="24" t="str">
        <f aca="false">Settings!$D$13</f>
        <v>Security Guard</v>
      </c>
      <c r="C18" s="25" t="n">
        <f aca="false">COUNTIFS(Timesheet!$B$5:$B$3004,$C$4,Timesheet!$L$5:$L$3004,$B18,Timesheet!$A$5:$A$3004,"&gt;="&amp;Settings!$B$8,Timesheet!$A$5:$A$3004,"&lt;="&amp;Settings!$B$9)</f>
        <v>1</v>
      </c>
      <c r="D18" s="25" t="n">
        <f aca="false">SUMIFS(Timesheet!$F$5:$F$3004,Timesheet!$B$5:$B$3004,$C$4,Timesheet!$L$5:$L$3004,$B18,Timesheet!$A$5:$A$3004,"&gt;="&amp;Settings!$B$8,Timesheet!$A$5:$A$3004,"&lt;="&amp;Settings!$B$9)</f>
        <v>176</v>
      </c>
      <c r="E18" s="26" t="n">
        <f aca="false">IFERROR(INDEX(ClientRates!$D$5:$D$500,MATCH($C$4&amp;"|"&amp;$B18,ClientRates!$A$5:$A$500,0)),0)</f>
        <v>17</v>
      </c>
      <c r="F18" s="25" t="n">
        <f aca="false">SUMIFS(Timesheet!$G$5:$G$3004,Timesheet!$B$5:$B$3004,$C$4,Timesheet!$L$5:$L$3004,$B18,Timesheet!$A$5:$A$3004,"&gt;="&amp;Settings!$B$8,Timesheet!$A$5:$A$3004,"&lt;="&amp;Settings!$B$9)</f>
        <v>20</v>
      </c>
      <c r="G18" s="26" t="n">
        <f aca="false">IFERROR(INDEX(ClientRates!$E$5:$E$500,MATCH($C$4&amp;"|"&amp;$B18,ClientRates!$A$5:$A$500,0)),0)</f>
        <v>21.25</v>
      </c>
      <c r="H18" s="26" t="n">
        <f aca="false">SUMIFS(Timesheet!$O$5:$O$3004,Timesheet!$B$5:$B$3004,$C$4,Timesheet!$L$5:$L$3004,$B18,Timesheet!$A$5:$A$3004,"&gt;="&amp;Settings!$B$8,Timesheet!$A$5:$A$3004,"&lt;="&amp;Settings!$B$9)</f>
        <v>3417</v>
      </c>
    </row>
    <row r="20" customFormat="false" ht="15" hidden="false" customHeight="false" outlineLevel="0" collapsed="false">
      <c r="B20" s="22" t="s">
        <v>605</v>
      </c>
      <c r="C20" s="25" t="n">
        <f aca="false">SUM(D10:D18)+SUM(F10:F18)</f>
        <v>4536</v>
      </c>
      <c r="G20" s="22" t="s">
        <v>606</v>
      </c>
      <c r="H20" s="23" t="n">
        <f aca="false">SUM(H10:H18)</f>
        <v>97921</v>
      </c>
    </row>
    <row r="21" customFormat="false" ht="15" hidden="false" customHeight="false" outlineLevel="0" collapsed="false">
      <c r="G21" s="22" t="str">
        <f aca="false">"VAT "&amp;TEXT(Settings!$B$14,"0%")</f>
        <v>VAT 5%</v>
      </c>
      <c r="H21" s="26" t="n">
        <f aca="false">ROUND(H20*Settings!$B$14,2)</f>
        <v>4896.05</v>
      </c>
    </row>
    <row r="22" customFormat="false" ht="15" hidden="false" customHeight="false" outlineLevel="0" collapsed="false">
      <c r="G22" s="42" t="s">
        <v>607</v>
      </c>
      <c r="H22" s="28" t="n">
        <f aca="false">H20+H21</f>
        <v>102817.05</v>
      </c>
    </row>
    <row r="24" customFormat="false" ht="15" hidden="false" customHeight="false" outlineLevel="0" collapsed="false">
      <c r="B24" s="13" t="s">
        <v>608</v>
      </c>
    </row>
  </sheetData>
  <dataValidations count="1">
    <dataValidation allowBlank="true" error="Please pick a value from the list" errorStyle="stop" operator="between" showDropDown="false" showErrorMessage="false" showInputMessage="false" sqref="C4" type="list">
      <formula1>Clients!$A$5:$A$300</formula1>
      <formula2>0</formula2>
    </dataValidation>
  </dataValidations>
  <hyperlinks>
    <hyperlink ref="I1" r:id="rId1" location="'HOME'!A1" display="« HO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K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4" min="3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9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14" t="s">
        <v>609</v>
      </c>
      <c r="D1" s="15" t="s">
        <v>38</v>
      </c>
    </row>
    <row r="2" customFormat="false" ht="15" hidden="false" customHeight="false" outlineLevel="0" collapsed="false">
      <c r="A2" s="13" t="s">
        <v>610</v>
      </c>
    </row>
    <row r="3" customFormat="false" ht="15" hidden="false" customHeight="false" outlineLevel="0" collapsed="false">
      <c r="A3" s="42" t="s">
        <v>568</v>
      </c>
      <c r="C3" s="43" t="n">
        <f aca="false">SUM(C5:C54)</f>
        <v>30</v>
      </c>
      <c r="D3" s="43" t="n">
        <f aca="false">SUM(D5:D54)</f>
        <v>704</v>
      </c>
      <c r="E3" s="43" t="n">
        <f aca="false">SUM(E5:E54)</f>
        <v>5632</v>
      </c>
      <c r="F3" s="43" t="n">
        <f aca="false">SUM(F5:F54)</f>
        <v>488</v>
      </c>
      <c r="G3" s="28" t="n">
        <f aca="false">SUM(G5:G54)</f>
        <v>99352.62</v>
      </c>
      <c r="H3" s="28" t="n">
        <f aca="false">SUM(H5:H54)</f>
        <v>4967.63</v>
      </c>
      <c r="I3" s="28" t="n">
        <f aca="false">SUM(I5:I54)</f>
        <v>104320.25</v>
      </c>
    </row>
    <row r="4" customFormat="false" ht="31.5" hidden="false" customHeight="true" outlineLevel="0" collapsed="false">
      <c r="A4" s="40" t="s">
        <v>191</v>
      </c>
      <c r="B4" s="40" t="s">
        <v>192</v>
      </c>
      <c r="C4" s="40" t="s">
        <v>611</v>
      </c>
      <c r="D4" s="40" t="s">
        <v>612</v>
      </c>
      <c r="E4" s="40" t="s">
        <v>532</v>
      </c>
      <c r="F4" s="40" t="s">
        <v>533</v>
      </c>
      <c r="G4" s="40" t="s">
        <v>559</v>
      </c>
      <c r="H4" s="40" t="s">
        <v>613</v>
      </c>
      <c r="I4" s="40" t="s">
        <v>614</v>
      </c>
      <c r="J4" s="40" t="s">
        <v>615</v>
      </c>
      <c r="K4" s="40" t="s">
        <v>616</v>
      </c>
    </row>
    <row r="5" customFormat="false" ht="15" hidden="false" customHeight="false" outlineLevel="0" collapsed="false">
      <c r="A5" s="24" t="str">
        <f aca="false">IF(Suppliers!A5="","",Suppliers!A5)</f>
        <v>S001</v>
      </c>
      <c r="B5" s="24" t="str">
        <f aca="false">IF($A5="","",Suppliers!B5)</f>
        <v>Desert Falcon Manpower Supply</v>
      </c>
      <c r="C5" s="25" t="n">
        <f aca="false">IF($A5="","",COUNTIFS(Timesheet!$K$5:$K$3004,$A5,Timesheet!$A$5:$A$3004,"&gt;="&amp;Settings!$B$8,Timesheet!$A$5:$A$3004,"&lt;="&amp;Settings!$B$9))</f>
        <v>10</v>
      </c>
      <c r="D5" s="25" t="n">
        <f aca="false">IF($A5="","",SUMIFS(Timesheet!$E$5:$E$3004,Timesheet!$K$5:$K$3004,$A5,Timesheet!$A$5:$A$3004,"&gt;="&amp;Settings!$B$8,Timesheet!$A$5:$A$3004,"&lt;="&amp;Settings!$B$9))</f>
        <v>235</v>
      </c>
      <c r="E5" s="25" t="n">
        <f aca="false">IF($A5="","",SUMIFS(Timesheet!$F$5:$F$3004,Timesheet!$K$5:$K$3004,$A5,Timesheet!$A$5:$A$3004,"&gt;="&amp;Settings!$B$8,Timesheet!$A$5:$A$3004,"&lt;="&amp;Settings!$B$9))</f>
        <v>1880</v>
      </c>
      <c r="F5" s="25" t="n">
        <f aca="false">IF($A5="","",SUMIFS(Timesheet!$G$5:$G$3004,Timesheet!$K$5:$K$3004,$A5,Timesheet!$A$5:$A$3004,"&gt;="&amp;Settings!$B$8,Timesheet!$A$5:$A$3004,"&lt;="&amp;Settings!$B$9))</f>
        <v>144</v>
      </c>
      <c r="G5" s="26" t="n">
        <f aca="false">IF($A5="","",SUMIFS(Timesheet!$R$5:$R$3004,Timesheet!$K$5:$K$3004,$A5,Timesheet!$A$5:$A$3004,"&gt;="&amp;Settings!$B$8,Timesheet!$A$5:$A$3004,"&lt;="&amp;Settings!$B$9))</f>
        <v>32654.16</v>
      </c>
      <c r="H5" s="26" t="n">
        <f aca="false">IF($A5="","",ROUND(G5*Settings!$B$14,2))</f>
        <v>1632.71</v>
      </c>
      <c r="I5" s="23" t="n">
        <f aca="false">IF($A5="","",G5+H5)</f>
        <v>34286.87</v>
      </c>
      <c r="J5" s="24" t="n">
        <f aca="false">IF($A5="","",Suppliers!D5)</f>
        <v>30</v>
      </c>
      <c r="K5" s="35" t="n">
        <f aca="false">IF($A5="","",Settings!$B$9+J5)</f>
        <v>46356</v>
      </c>
    </row>
    <row r="6" customFormat="false" ht="15" hidden="false" customHeight="false" outlineLevel="0" collapsed="false">
      <c r="A6" s="24" t="str">
        <f aca="false">IF(Suppliers!A6="","",Suppliers!A6)</f>
        <v>S002</v>
      </c>
      <c r="B6" s="24" t="str">
        <f aca="false">IF($A6="","",Suppliers!B6)</f>
        <v>Emirates Link Labour Services</v>
      </c>
      <c r="C6" s="25" t="n">
        <f aca="false">IF($A6="","",COUNTIFS(Timesheet!$K$5:$K$3004,$A6,Timesheet!$A$5:$A$3004,"&gt;="&amp;Settings!$B$8,Timesheet!$A$5:$A$3004,"&lt;="&amp;Settings!$B$9))</f>
        <v>10</v>
      </c>
      <c r="D6" s="25" t="n">
        <f aca="false">IF($A6="","",SUMIFS(Timesheet!$E$5:$E$3004,Timesheet!$K$5:$K$3004,$A6,Timesheet!$A$5:$A$3004,"&gt;="&amp;Settings!$B$8,Timesheet!$A$5:$A$3004,"&lt;="&amp;Settings!$B$9))</f>
        <v>233</v>
      </c>
      <c r="E6" s="25" t="n">
        <f aca="false">IF($A6="","",SUMIFS(Timesheet!$F$5:$F$3004,Timesheet!$K$5:$K$3004,$A6,Timesheet!$A$5:$A$3004,"&gt;="&amp;Settings!$B$8,Timesheet!$A$5:$A$3004,"&lt;="&amp;Settings!$B$9))</f>
        <v>1864</v>
      </c>
      <c r="F6" s="25" t="n">
        <f aca="false">IF($A6="","",SUMIFS(Timesheet!$G$5:$G$3004,Timesheet!$K$5:$K$3004,$A6,Timesheet!$A$5:$A$3004,"&gt;="&amp;Settings!$B$8,Timesheet!$A$5:$A$3004,"&lt;="&amp;Settings!$B$9))</f>
        <v>152</v>
      </c>
      <c r="G6" s="26" t="n">
        <f aca="false">IF($A6="","",SUMIFS(Timesheet!$R$5:$R$3004,Timesheet!$K$5:$K$3004,$A6,Timesheet!$A$5:$A$3004,"&gt;="&amp;Settings!$B$8,Timesheet!$A$5:$A$3004,"&lt;="&amp;Settings!$B$9))</f>
        <v>32642.88</v>
      </c>
      <c r="H6" s="26" t="n">
        <f aca="false">IF($A6="","",ROUND(G6*Settings!$B$14,2))</f>
        <v>1632.14</v>
      </c>
      <c r="I6" s="23" t="n">
        <f aca="false">IF($A6="","",G6+H6)</f>
        <v>34275.02</v>
      </c>
      <c r="J6" s="24" t="n">
        <f aca="false">IF($A6="","",Suppliers!D6)</f>
        <v>45</v>
      </c>
      <c r="K6" s="35" t="n">
        <f aca="false">IF($A6="","",Settings!$B$9+J6)</f>
        <v>46371</v>
      </c>
    </row>
    <row r="7" customFormat="false" ht="15" hidden="false" customHeight="false" outlineLevel="0" collapsed="false">
      <c r="A7" s="24" t="str">
        <f aca="false">IF(Suppliers!A7="","",Suppliers!A7)</f>
        <v>S003</v>
      </c>
      <c r="B7" s="24" t="str">
        <f aca="false">IF($A7="","",Suppliers!B7)</f>
        <v>Oasis Workforce Solutions</v>
      </c>
      <c r="C7" s="25" t="n">
        <f aca="false">IF($A7="","",COUNTIFS(Timesheet!$K$5:$K$3004,$A7,Timesheet!$A$5:$A$3004,"&gt;="&amp;Settings!$B$8,Timesheet!$A$5:$A$3004,"&lt;="&amp;Settings!$B$9))</f>
        <v>10</v>
      </c>
      <c r="D7" s="25" t="n">
        <f aca="false">IF($A7="","",SUMIFS(Timesheet!$E$5:$E$3004,Timesheet!$K$5:$K$3004,$A7,Timesheet!$A$5:$A$3004,"&gt;="&amp;Settings!$B$8,Timesheet!$A$5:$A$3004,"&lt;="&amp;Settings!$B$9))</f>
        <v>236</v>
      </c>
      <c r="E7" s="25" t="n">
        <f aca="false">IF($A7="","",SUMIFS(Timesheet!$F$5:$F$3004,Timesheet!$K$5:$K$3004,$A7,Timesheet!$A$5:$A$3004,"&gt;="&amp;Settings!$B$8,Timesheet!$A$5:$A$3004,"&lt;="&amp;Settings!$B$9))</f>
        <v>1888</v>
      </c>
      <c r="F7" s="25" t="n">
        <f aca="false">IF($A7="","",SUMIFS(Timesheet!$G$5:$G$3004,Timesheet!$K$5:$K$3004,$A7,Timesheet!$A$5:$A$3004,"&gt;="&amp;Settings!$B$8,Timesheet!$A$5:$A$3004,"&lt;="&amp;Settings!$B$9))</f>
        <v>192</v>
      </c>
      <c r="G7" s="26" t="n">
        <f aca="false">IF($A7="","",SUMIFS(Timesheet!$R$5:$R$3004,Timesheet!$K$5:$K$3004,$A7,Timesheet!$A$5:$A$3004,"&gt;="&amp;Settings!$B$8,Timesheet!$A$5:$A$3004,"&lt;="&amp;Settings!$B$9))</f>
        <v>34055.58</v>
      </c>
      <c r="H7" s="26" t="n">
        <f aca="false">IF($A7="","",ROUND(G7*Settings!$B$14,2))</f>
        <v>1702.78</v>
      </c>
      <c r="I7" s="23" t="n">
        <f aca="false">IF($A7="","",G7+H7)</f>
        <v>35758.36</v>
      </c>
      <c r="J7" s="24" t="n">
        <f aca="false">IF($A7="","",Suppliers!D7)</f>
        <v>30</v>
      </c>
      <c r="K7" s="35" t="n">
        <f aca="false">IF($A7="","",Settings!$B$9+J7)</f>
        <v>46356</v>
      </c>
    </row>
    <row r="8" customFormat="false" ht="15" hidden="false" customHeight="false" outlineLevel="0" collapsed="false">
      <c r="A8" s="24" t="str">
        <f aca="false">IF(Suppliers!A8="","",Suppliers!A8)</f>
        <v/>
      </c>
      <c r="B8" s="24" t="str">
        <f aca="false">IF($A8="","",Suppliers!B8)</f>
        <v/>
      </c>
      <c r="C8" s="25" t="str">
        <f aca="false">IF($A8="","",COUNTIFS(Timesheet!$K$5:$K$3004,$A8,Timesheet!$A$5:$A$3004,"&gt;="&amp;Settings!$B$8,Timesheet!$A$5:$A$3004,"&lt;="&amp;Settings!$B$9))</f>
        <v/>
      </c>
      <c r="D8" s="25" t="str">
        <f aca="false">IF($A8="","",SUMIFS(Timesheet!$E$5:$E$3004,Timesheet!$K$5:$K$3004,$A8,Timesheet!$A$5:$A$3004,"&gt;="&amp;Settings!$B$8,Timesheet!$A$5:$A$3004,"&lt;="&amp;Settings!$B$9))</f>
        <v/>
      </c>
      <c r="E8" s="25" t="str">
        <f aca="false">IF($A8="","",SUMIFS(Timesheet!$F$5:$F$3004,Timesheet!$K$5:$K$3004,$A8,Timesheet!$A$5:$A$3004,"&gt;="&amp;Settings!$B$8,Timesheet!$A$5:$A$3004,"&lt;="&amp;Settings!$B$9))</f>
        <v/>
      </c>
      <c r="F8" s="25" t="str">
        <f aca="false">IF($A8="","",SUMIFS(Timesheet!$G$5:$G$3004,Timesheet!$K$5:$K$3004,$A8,Timesheet!$A$5:$A$3004,"&gt;="&amp;Settings!$B$8,Timesheet!$A$5:$A$3004,"&lt;="&amp;Settings!$B$9))</f>
        <v/>
      </c>
      <c r="G8" s="26" t="str">
        <f aca="false">IF($A8="","",SUMIFS(Timesheet!$R$5:$R$3004,Timesheet!$K$5:$K$3004,$A8,Timesheet!$A$5:$A$3004,"&gt;="&amp;Settings!$B$8,Timesheet!$A$5:$A$3004,"&lt;="&amp;Settings!$B$9))</f>
        <v/>
      </c>
      <c r="H8" s="26" t="str">
        <f aca="false">IF($A8="","",ROUND(G8*Settings!$B$14,2))</f>
        <v/>
      </c>
      <c r="I8" s="23" t="str">
        <f aca="false">IF($A8="","",G8+H8)</f>
        <v/>
      </c>
      <c r="J8" s="24" t="str">
        <f aca="false">IF($A8="","",Suppliers!D8)</f>
        <v/>
      </c>
      <c r="K8" s="35" t="str">
        <f aca="false">IF($A8="","",Settings!$B$9+J8)</f>
        <v/>
      </c>
    </row>
    <row r="9" customFormat="false" ht="15" hidden="false" customHeight="false" outlineLevel="0" collapsed="false">
      <c r="A9" s="24" t="str">
        <f aca="false">IF(Suppliers!A9="","",Suppliers!A9)</f>
        <v/>
      </c>
      <c r="B9" s="24" t="str">
        <f aca="false">IF($A9="","",Suppliers!B9)</f>
        <v/>
      </c>
      <c r="C9" s="25" t="str">
        <f aca="false">IF($A9="","",COUNTIFS(Timesheet!$K$5:$K$3004,$A9,Timesheet!$A$5:$A$3004,"&gt;="&amp;Settings!$B$8,Timesheet!$A$5:$A$3004,"&lt;="&amp;Settings!$B$9))</f>
        <v/>
      </c>
      <c r="D9" s="25" t="str">
        <f aca="false">IF($A9="","",SUMIFS(Timesheet!$E$5:$E$3004,Timesheet!$K$5:$K$3004,$A9,Timesheet!$A$5:$A$3004,"&gt;="&amp;Settings!$B$8,Timesheet!$A$5:$A$3004,"&lt;="&amp;Settings!$B$9))</f>
        <v/>
      </c>
      <c r="E9" s="25" t="str">
        <f aca="false">IF($A9="","",SUMIFS(Timesheet!$F$5:$F$3004,Timesheet!$K$5:$K$3004,$A9,Timesheet!$A$5:$A$3004,"&gt;="&amp;Settings!$B$8,Timesheet!$A$5:$A$3004,"&lt;="&amp;Settings!$B$9))</f>
        <v/>
      </c>
      <c r="F9" s="25" t="str">
        <f aca="false">IF($A9="","",SUMIFS(Timesheet!$G$5:$G$3004,Timesheet!$K$5:$K$3004,$A9,Timesheet!$A$5:$A$3004,"&gt;="&amp;Settings!$B$8,Timesheet!$A$5:$A$3004,"&lt;="&amp;Settings!$B$9))</f>
        <v/>
      </c>
      <c r="G9" s="26" t="str">
        <f aca="false">IF($A9="","",SUMIFS(Timesheet!$R$5:$R$3004,Timesheet!$K$5:$K$3004,$A9,Timesheet!$A$5:$A$3004,"&gt;="&amp;Settings!$B$8,Timesheet!$A$5:$A$3004,"&lt;="&amp;Settings!$B$9))</f>
        <v/>
      </c>
      <c r="H9" s="26" t="str">
        <f aca="false">IF($A9="","",ROUND(G9*Settings!$B$14,2))</f>
        <v/>
      </c>
      <c r="I9" s="23" t="str">
        <f aca="false">IF($A9="","",G9+H9)</f>
        <v/>
      </c>
      <c r="J9" s="24" t="str">
        <f aca="false">IF($A9="","",Suppliers!D9)</f>
        <v/>
      </c>
      <c r="K9" s="35" t="str">
        <f aca="false">IF($A9="","",Settings!$B$9+J9)</f>
        <v/>
      </c>
    </row>
    <row r="10" customFormat="false" ht="15" hidden="false" customHeight="false" outlineLevel="0" collapsed="false">
      <c r="A10" s="24" t="str">
        <f aca="false">IF(Suppliers!A10="","",Suppliers!A10)</f>
        <v/>
      </c>
      <c r="B10" s="24" t="str">
        <f aca="false">IF($A10="","",Suppliers!B10)</f>
        <v/>
      </c>
      <c r="C10" s="25" t="str">
        <f aca="false">IF($A10="","",COUNTIFS(Timesheet!$K$5:$K$3004,$A10,Timesheet!$A$5:$A$3004,"&gt;="&amp;Settings!$B$8,Timesheet!$A$5:$A$3004,"&lt;="&amp;Settings!$B$9))</f>
        <v/>
      </c>
      <c r="D10" s="25" t="str">
        <f aca="false">IF($A10="","",SUMIFS(Timesheet!$E$5:$E$3004,Timesheet!$K$5:$K$3004,$A10,Timesheet!$A$5:$A$3004,"&gt;="&amp;Settings!$B$8,Timesheet!$A$5:$A$3004,"&lt;="&amp;Settings!$B$9))</f>
        <v/>
      </c>
      <c r="E10" s="25" t="str">
        <f aca="false">IF($A10="","",SUMIFS(Timesheet!$F$5:$F$3004,Timesheet!$K$5:$K$3004,$A10,Timesheet!$A$5:$A$3004,"&gt;="&amp;Settings!$B$8,Timesheet!$A$5:$A$3004,"&lt;="&amp;Settings!$B$9))</f>
        <v/>
      </c>
      <c r="F10" s="25" t="str">
        <f aca="false">IF($A10="","",SUMIFS(Timesheet!$G$5:$G$3004,Timesheet!$K$5:$K$3004,$A10,Timesheet!$A$5:$A$3004,"&gt;="&amp;Settings!$B$8,Timesheet!$A$5:$A$3004,"&lt;="&amp;Settings!$B$9))</f>
        <v/>
      </c>
      <c r="G10" s="26" t="str">
        <f aca="false">IF($A10="","",SUMIFS(Timesheet!$R$5:$R$3004,Timesheet!$K$5:$K$3004,$A10,Timesheet!$A$5:$A$3004,"&gt;="&amp;Settings!$B$8,Timesheet!$A$5:$A$3004,"&lt;="&amp;Settings!$B$9))</f>
        <v/>
      </c>
      <c r="H10" s="26" t="str">
        <f aca="false">IF($A10="","",ROUND(G10*Settings!$B$14,2))</f>
        <v/>
      </c>
      <c r="I10" s="23" t="str">
        <f aca="false">IF($A10="","",G10+H10)</f>
        <v/>
      </c>
      <c r="J10" s="24" t="str">
        <f aca="false">IF($A10="","",Suppliers!D10)</f>
        <v/>
      </c>
      <c r="K10" s="35" t="str">
        <f aca="false">IF($A10="","",Settings!$B$9+J10)</f>
        <v/>
      </c>
    </row>
    <row r="11" customFormat="false" ht="15" hidden="false" customHeight="false" outlineLevel="0" collapsed="false">
      <c r="A11" s="24" t="str">
        <f aca="false">IF(Suppliers!A11="","",Suppliers!A11)</f>
        <v/>
      </c>
      <c r="B11" s="24" t="str">
        <f aca="false">IF($A11="","",Suppliers!B11)</f>
        <v/>
      </c>
      <c r="C11" s="25" t="str">
        <f aca="false">IF($A11="","",COUNTIFS(Timesheet!$K$5:$K$3004,$A11,Timesheet!$A$5:$A$3004,"&gt;="&amp;Settings!$B$8,Timesheet!$A$5:$A$3004,"&lt;="&amp;Settings!$B$9))</f>
        <v/>
      </c>
      <c r="D11" s="25" t="str">
        <f aca="false">IF($A11="","",SUMIFS(Timesheet!$E$5:$E$3004,Timesheet!$K$5:$K$3004,$A11,Timesheet!$A$5:$A$3004,"&gt;="&amp;Settings!$B$8,Timesheet!$A$5:$A$3004,"&lt;="&amp;Settings!$B$9))</f>
        <v/>
      </c>
      <c r="E11" s="25" t="str">
        <f aca="false">IF($A11="","",SUMIFS(Timesheet!$F$5:$F$3004,Timesheet!$K$5:$K$3004,$A11,Timesheet!$A$5:$A$3004,"&gt;="&amp;Settings!$B$8,Timesheet!$A$5:$A$3004,"&lt;="&amp;Settings!$B$9))</f>
        <v/>
      </c>
      <c r="F11" s="25" t="str">
        <f aca="false">IF($A11="","",SUMIFS(Timesheet!$G$5:$G$3004,Timesheet!$K$5:$K$3004,$A11,Timesheet!$A$5:$A$3004,"&gt;="&amp;Settings!$B$8,Timesheet!$A$5:$A$3004,"&lt;="&amp;Settings!$B$9))</f>
        <v/>
      </c>
      <c r="G11" s="26" t="str">
        <f aca="false">IF($A11="","",SUMIFS(Timesheet!$R$5:$R$3004,Timesheet!$K$5:$K$3004,$A11,Timesheet!$A$5:$A$3004,"&gt;="&amp;Settings!$B$8,Timesheet!$A$5:$A$3004,"&lt;="&amp;Settings!$B$9))</f>
        <v/>
      </c>
      <c r="H11" s="26" t="str">
        <f aca="false">IF($A11="","",ROUND(G11*Settings!$B$14,2))</f>
        <v/>
      </c>
      <c r="I11" s="23" t="str">
        <f aca="false">IF($A11="","",G11+H11)</f>
        <v/>
      </c>
      <c r="J11" s="24" t="str">
        <f aca="false">IF($A11="","",Suppliers!D11)</f>
        <v/>
      </c>
      <c r="K11" s="35" t="str">
        <f aca="false">IF($A11="","",Settings!$B$9+J11)</f>
        <v/>
      </c>
    </row>
    <row r="12" customFormat="false" ht="15" hidden="false" customHeight="false" outlineLevel="0" collapsed="false">
      <c r="A12" s="24" t="str">
        <f aca="false">IF(Suppliers!A12="","",Suppliers!A12)</f>
        <v/>
      </c>
      <c r="B12" s="24" t="str">
        <f aca="false">IF($A12="","",Suppliers!B12)</f>
        <v/>
      </c>
      <c r="C12" s="25" t="str">
        <f aca="false">IF($A12="","",COUNTIFS(Timesheet!$K$5:$K$3004,$A12,Timesheet!$A$5:$A$3004,"&gt;="&amp;Settings!$B$8,Timesheet!$A$5:$A$3004,"&lt;="&amp;Settings!$B$9))</f>
        <v/>
      </c>
      <c r="D12" s="25" t="str">
        <f aca="false">IF($A12="","",SUMIFS(Timesheet!$E$5:$E$3004,Timesheet!$K$5:$K$3004,$A12,Timesheet!$A$5:$A$3004,"&gt;="&amp;Settings!$B$8,Timesheet!$A$5:$A$3004,"&lt;="&amp;Settings!$B$9))</f>
        <v/>
      </c>
      <c r="E12" s="25" t="str">
        <f aca="false">IF($A12="","",SUMIFS(Timesheet!$F$5:$F$3004,Timesheet!$K$5:$K$3004,$A12,Timesheet!$A$5:$A$3004,"&gt;="&amp;Settings!$B$8,Timesheet!$A$5:$A$3004,"&lt;="&amp;Settings!$B$9))</f>
        <v/>
      </c>
      <c r="F12" s="25" t="str">
        <f aca="false">IF($A12="","",SUMIFS(Timesheet!$G$5:$G$3004,Timesheet!$K$5:$K$3004,$A12,Timesheet!$A$5:$A$3004,"&gt;="&amp;Settings!$B$8,Timesheet!$A$5:$A$3004,"&lt;="&amp;Settings!$B$9))</f>
        <v/>
      </c>
      <c r="G12" s="26" t="str">
        <f aca="false">IF($A12="","",SUMIFS(Timesheet!$R$5:$R$3004,Timesheet!$K$5:$K$3004,$A12,Timesheet!$A$5:$A$3004,"&gt;="&amp;Settings!$B$8,Timesheet!$A$5:$A$3004,"&lt;="&amp;Settings!$B$9))</f>
        <v/>
      </c>
      <c r="H12" s="26" t="str">
        <f aca="false">IF($A12="","",ROUND(G12*Settings!$B$14,2))</f>
        <v/>
      </c>
      <c r="I12" s="23" t="str">
        <f aca="false">IF($A12="","",G12+H12)</f>
        <v/>
      </c>
      <c r="J12" s="24" t="str">
        <f aca="false">IF($A12="","",Suppliers!D12)</f>
        <v/>
      </c>
      <c r="K12" s="35" t="str">
        <f aca="false">IF($A12="","",Settings!$B$9+J12)</f>
        <v/>
      </c>
    </row>
    <row r="13" customFormat="false" ht="15" hidden="false" customHeight="false" outlineLevel="0" collapsed="false">
      <c r="A13" s="24" t="str">
        <f aca="false">IF(Suppliers!A13="","",Suppliers!A13)</f>
        <v/>
      </c>
      <c r="B13" s="24" t="str">
        <f aca="false">IF($A13="","",Suppliers!B13)</f>
        <v/>
      </c>
      <c r="C13" s="25" t="str">
        <f aca="false">IF($A13="","",COUNTIFS(Timesheet!$K$5:$K$3004,$A13,Timesheet!$A$5:$A$3004,"&gt;="&amp;Settings!$B$8,Timesheet!$A$5:$A$3004,"&lt;="&amp;Settings!$B$9))</f>
        <v/>
      </c>
      <c r="D13" s="25" t="str">
        <f aca="false">IF($A13="","",SUMIFS(Timesheet!$E$5:$E$3004,Timesheet!$K$5:$K$3004,$A13,Timesheet!$A$5:$A$3004,"&gt;="&amp;Settings!$B$8,Timesheet!$A$5:$A$3004,"&lt;="&amp;Settings!$B$9))</f>
        <v/>
      </c>
      <c r="E13" s="25" t="str">
        <f aca="false">IF($A13="","",SUMIFS(Timesheet!$F$5:$F$3004,Timesheet!$K$5:$K$3004,$A13,Timesheet!$A$5:$A$3004,"&gt;="&amp;Settings!$B$8,Timesheet!$A$5:$A$3004,"&lt;="&amp;Settings!$B$9))</f>
        <v/>
      </c>
      <c r="F13" s="25" t="str">
        <f aca="false">IF($A13="","",SUMIFS(Timesheet!$G$5:$G$3004,Timesheet!$K$5:$K$3004,$A13,Timesheet!$A$5:$A$3004,"&gt;="&amp;Settings!$B$8,Timesheet!$A$5:$A$3004,"&lt;="&amp;Settings!$B$9))</f>
        <v/>
      </c>
      <c r="G13" s="26" t="str">
        <f aca="false">IF($A13="","",SUMIFS(Timesheet!$R$5:$R$3004,Timesheet!$K$5:$K$3004,$A13,Timesheet!$A$5:$A$3004,"&gt;="&amp;Settings!$B$8,Timesheet!$A$5:$A$3004,"&lt;="&amp;Settings!$B$9))</f>
        <v/>
      </c>
      <c r="H13" s="26" t="str">
        <f aca="false">IF($A13="","",ROUND(G13*Settings!$B$14,2))</f>
        <v/>
      </c>
      <c r="I13" s="23" t="str">
        <f aca="false">IF($A13="","",G13+H13)</f>
        <v/>
      </c>
      <c r="J13" s="24" t="str">
        <f aca="false">IF($A13="","",Suppliers!D13)</f>
        <v/>
      </c>
      <c r="K13" s="35" t="str">
        <f aca="false">IF($A13="","",Settings!$B$9+J13)</f>
        <v/>
      </c>
    </row>
    <row r="14" customFormat="false" ht="15" hidden="false" customHeight="false" outlineLevel="0" collapsed="false">
      <c r="A14" s="24" t="str">
        <f aca="false">IF(Suppliers!A14="","",Suppliers!A14)</f>
        <v/>
      </c>
      <c r="B14" s="24" t="str">
        <f aca="false">IF($A14="","",Suppliers!B14)</f>
        <v/>
      </c>
      <c r="C14" s="25" t="str">
        <f aca="false">IF($A14="","",COUNTIFS(Timesheet!$K$5:$K$3004,$A14,Timesheet!$A$5:$A$3004,"&gt;="&amp;Settings!$B$8,Timesheet!$A$5:$A$3004,"&lt;="&amp;Settings!$B$9))</f>
        <v/>
      </c>
      <c r="D14" s="25" t="str">
        <f aca="false">IF($A14="","",SUMIFS(Timesheet!$E$5:$E$3004,Timesheet!$K$5:$K$3004,$A14,Timesheet!$A$5:$A$3004,"&gt;="&amp;Settings!$B$8,Timesheet!$A$5:$A$3004,"&lt;="&amp;Settings!$B$9))</f>
        <v/>
      </c>
      <c r="E14" s="25" t="str">
        <f aca="false">IF($A14="","",SUMIFS(Timesheet!$F$5:$F$3004,Timesheet!$K$5:$K$3004,$A14,Timesheet!$A$5:$A$3004,"&gt;="&amp;Settings!$B$8,Timesheet!$A$5:$A$3004,"&lt;="&amp;Settings!$B$9))</f>
        <v/>
      </c>
      <c r="F14" s="25" t="str">
        <f aca="false">IF($A14="","",SUMIFS(Timesheet!$G$5:$G$3004,Timesheet!$K$5:$K$3004,$A14,Timesheet!$A$5:$A$3004,"&gt;="&amp;Settings!$B$8,Timesheet!$A$5:$A$3004,"&lt;="&amp;Settings!$B$9))</f>
        <v/>
      </c>
      <c r="G14" s="26" t="str">
        <f aca="false">IF($A14="","",SUMIFS(Timesheet!$R$5:$R$3004,Timesheet!$K$5:$K$3004,$A14,Timesheet!$A$5:$A$3004,"&gt;="&amp;Settings!$B$8,Timesheet!$A$5:$A$3004,"&lt;="&amp;Settings!$B$9))</f>
        <v/>
      </c>
      <c r="H14" s="26" t="str">
        <f aca="false">IF($A14="","",ROUND(G14*Settings!$B$14,2))</f>
        <v/>
      </c>
      <c r="I14" s="23" t="str">
        <f aca="false">IF($A14="","",G14+H14)</f>
        <v/>
      </c>
      <c r="J14" s="24" t="str">
        <f aca="false">IF($A14="","",Suppliers!D14)</f>
        <v/>
      </c>
      <c r="K14" s="35" t="str">
        <f aca="false">IF($A14="","",Settings!$B$9+J14)</f>
        <v/>
      </c>
    </row>
    <row r="15" customFormat="false" ht="15" hidden="false" customHeight="false" outlineLevel="0" collapsed="false">
      <c r="A15" s="24" t="str">
        <f aca="false">IF(Suppliers!A15="","",Suppliers!A15)</f>
        <v/>
      </c>
      <c r="B15" s="24" t="str">
        <f aca="false">IF($A15="","",Suppliers!B15)</f>
        <v/>
      </c>
      <c r="C15" s="25" t="str">
        <f aca="false">IF($A15="","",COUNTIFS(Timesheet!$K$5:$K$3004,$A15,Timesheet!$A$5:$A$3004,"&gt;="&amp;Settings!$B$8,Timesheet!$A$5:$A$3004,"&lt;="&amp;Settings!$B$9))</f>
        <v/>
      </c>
      <c r="D15" s="25" t="str">
        <f aca="false">IF($A15="","",SUMIFS(Timesheet!$E$5:$E$3004,Timesheet!$K$5:$K$3004,$A15,Timesheet!$A$5:$A$3004,"&gt;="&amp;Settings!$B$8,Timesheet!$A$5:$A$3004,"&lt;="&amp;Settings!$B$9))</f>
        <v/>
      </c>
      <c r="E15" s="25" t="str">
        <f aca="false">IF($A15="","",SUMIFS(Timesheet!$F$5:$F$3004,Timesheet!$K$5:$K$3004,$A15,Timesheet!$A$5:$A$3004,"&gt;="&amp;Settings!$B$8,Timesheet!$A$5:$A$3004,"&lt;="&amp;Settings!$B$9))</f>
        <v/>
      </c>
      <c r="F15" s="25" t="str">
        <f aca="false">IF($A15="","",SUMIFS(Timesheet!$G$5:$G$3004,Timesheet!$K$5:$K$3004,$A15,Timesheet!$A$5:$A$3004,"&gt;="&amp;Settings!$B$8,Timesheet!$A$5:$A$3004,"&lt;="&amp;Settings!$B$9))</f>
        <v/>
      </c>
      <c r="G15" s="26" t="str">
        <f aca="false">IF($A15="","",SUMIFS(Timesheet!$R$5:$R$3004,Timesheet!$K$5:$K$3004,$A15,Timesheet!$A$5:$A$3004,"&gt;="&amp;Settings!$B$8,Timesheet!$A$5:$A$3004,"&lt;="&amp;Settings!$B$9))</f>
        <v/>
      </c>
      <c r="H15" s="26" t="str">
        <f aca="false">IF($A15="","",ROUND(G15*Settings!$B$14,2))</f>
        <v/>
      </c>
      <c r="I15" s="23" t="str">
        <f aca="false">IF($A15="","",G15+H15)</f>
        <v/>
      </c>
      <c r="J15" s="24" t="str">
        <f aca="false">IF($A15="","",Suppliers!D15)</f>
        <v/>
      </c>
      <c r="K15" s="35" t="str">
        <f aca="false">IF($A15="","",Settings!$B$9+J15)</f>
        <v/>
      </c>
    </row>
    <row r="16" customFormat="false" ht="15" hidden="false" customHeight="false" outlineLevel="0" collapsed="false">
      <c r="A16" s="24" t="str">
        <f aca="false">IF(Suppliers!A16="","",Suppliers!A16)</f>
        <v/>
      </c>
      <c r="B16" s="24" t="str">
        <f aca="false">IF($A16="","",Suppliers!B16)</f>
        <v/>
      </c>
      <c r="C16" s="25" t="str">
        <f aca="false">IF($A16="","",COUNTIFS(Timesheet!$K$5:$K$3004,$A16,Timesheet!$A$5:$A$3004,"&gt;="&amp;Settings!$B$8,Timesheet!$A$5:$A$3004,"&lt;="&amp;Settings!$B$9))</f>
        <v/>
      </c>
      <c r="D16" s="25" t="str">
        <f aca="false">IF($A16="","",SUMIFS(Timesheet!$E$5:$E$3004,Timesheet!$K$5:$K$3004,$A16,Timesheet!$A$5:$A$3004,"&gt;="&amp;Settings!$B$8,Timesheet!$A$5:$A$3004,"&lt;="&amp;Settings!$B$9))</f>
        <v/>
      </c>
      <c r="E16" s="25" t="str">
        <f aca="false">IF($A16="","",SUMIFS(Timesheet!$F$5:$F$3004,Timesheet!$K$5:$K$3004,$A16,Timesheet!$A$5:$A$3004,"&gt;="&amp;Settings!$B$8,Timesheet!$A$5:$A$3004,"&lt;="&amp;Settings!$B$9))</f>
        <v/>
      </c>
      <c r="F16" s="25" t="str">
        <f aca="false">IF($A16="","",SUMIFS(Timesheet!$G$5:$G$3004,Timesheet!$K$5:$K$3004,$A16,Timesheet!$A$5:$A$3004,"&gt;="&amp;Settings!$B$8,Timesheet!$A$5:$A$3004,"&lt;="&amp;Settings!$B$9))</f>
        <v/>
      </c>
      <c r="G16" s="26" t="str">
        <f aca="false">IF($A16="","",SUMIFS(Timesheet!$R$5:$R$3004,Timesheet!$K$5:$K$3004,$A16,Timesheet!$A$5:$A$3004,"&gt;="&amp;Settings!$B$8,Timesheet!$A$5:$A$3004,"&lt;="&amp;Settings!$B$9))</f>
        <v/>
      </c>
      <c r="H16" s="26" t="str">
        <f aca="false">IF($A16="","",ROUND(G16*Settings!$B$14,2))</f>
        <v/>
      </c>
      <c r="I16" s="23" t="str">
        <f aca="false">IF($A16="","",G16+H16)</f>
        <v/>
      </c>
      <c r="J16" s="24" t="str">
        <f aca="false">IF($A16="","",Suppliers!D16)</f>
        <v/>
      </c>
      <c r="K16" s="35" t="str">
        <f aca="false">IF($A16="","",Settings!$B$9+J16)</f>
        <v/>
      </c>
    </row>
    <row r="17" customFormat="false" ht="15" hidden="false" customHeight="false" outlineLevel="0" collapsed="false">
      <c r="A17" s="24" t="str">
        <f aca="false">IF(Suppliers!A17="","",Suppliers!A17)</f>
        <v/>
      </c>
      <c r="B17" s="24" t="str">
        <f aca="false">IF($A17="","",Suppliers!B17)</f>
        <v/>
      </c>
      <c r="C17" s="25" t="str">
        <f aca="false">IF($A17="","",COUNTIFS(Timesheet!$K$5:$K$3004,$A17,Timesheet!$A$5:$A$3004,"&gt;="&amp;Settings!$B$8,Timesheet!$A$5:$A$3004,"&lt;="&amp;Settings!$B$9))</f>
        <v/>
      </c>
      <c r="D17" s="25" t="str">
        <f aca="false">IF($A17="","",SUMIFS(Timesheet!$E$5:$E$3004,Timesheet!$K$5:$K$3004,$A17,Timesheet!$A$5:$A$3004,"&gt;="&amp;Settings!$B$8,Timesheet!$A$5:$A$3004,"&lt;="&amp;Settings!$B$9))</f>
        <v/>
      </c>
      <c r="E17" s="25" t="str">
        <f aca="false">IF($A17="","",SUMIFS(Timesheet!$F$5:$F$3004,Timesheet!$K$5:$K$3004,$A17,Timesheet!$A$5:$A$3004,"&gt;="&amp;Settings!$B$8,Timesheet!$A$5:$A$3004,"&lt;="&amp;Settings!$B$9))</f>
        <v/>
      </c>
      <c r="F17" s="25" t="str">
        <f aca="false">IF($A17="","",SUMIFS(Timesheet!$G$5:$G$3004,Timesheet!$K$5:$K$3004,$A17,Timesheet!$A$5:$A$3004,"&gt;="&amp;Settings!$B$8,Timesheet!$A$5:$A$3004,"&lt;="&amp;Settings!$B$9))</f>
        <v/>
      </c>
      <c r="G17" s="26" t="str">
        <f aca="false">IF($A17="","",SUMIFS(Timesheet!$R$5:$R$3004,Timesheet!$K$5:$K$3004,$A17,Timesheet!$A$5:$A$3004,"&gt;="&amp;Settings!$B$8,Timesheet!$A$5:$A$3004,"&lt;="&amp;Settings!$B$9))</f>
        <v/>
      </c>
      <c r="H17" s="26" t="str">
        <f aca="false">IF($A17="","",ROUND(G17*Settings!$B$14,2))</f>
        <v/>
      </c>
      <c r="I17" s="23" t="str">
        <f aca="false">IF($A17="","",G17+H17)</f>
        <v/>
      </c>
      <c r="J17" s="24" t="str">
        <f aca="false">IF($A17="","",Suppliers!D17)</f>
        <v/>
      </c>
      <c r="K17" s="35" t="str">
        <f aca="false">IF($A17="","",Settings!$B$9+J17)</f>
        <v/>
      </c>
    </row>
    <row r="18" customFormat="false" ht="15" hidden="false" customHeight="false" outlineLevel="0" collapsed="false">
      <c r="A18" s="24" t="str">
        <f aca="false">IF(Suppliers!A18="","",Suppliers!A18)</f>
        <v/>
      </c>
      <c r="B18" s="24" t="str">
        <f aca="false">IF($A18="","",Suppliers!B18)</f>
        <v/>
      </c>
      <c r="C18" s="25" t="str">
        <f aca="false">IF($A18="","",COUNTIFS(Timesheet!$K$5:$K$3004,$A18,Timesheet!$A$5:$A$3004,"&gt;="&amp;Settings!$B$8,Timesheet!$A$5:$A$3004,"&lt;="&amp;Settings!$B$9))</f>
        <v/>
      </c>
      <c r="D18" s="25" t="str">
        <f aca="false">IF($A18="","",SUMIFS(Timesheet!$E$5:$E$3004,Timesheet!$K$5:$K$3004,$A18,Timesheet!$A$5:$A$3004,"&gt;="&amp;Settings!$B$8,Timesheet!$A$5:$A$3004,"&lt;="&amp;Settings!$B$9))</f>
        <v/>
      </c>
      <c r="E18" s="25" t="str">
        <f aca="false">IF($A18="","",SUMIFS(Timesheet!$F$5:$F$3004,Timesheet!$K$5:$K$3004,$A18,Timesheet!$A$5:$A$3004,"&gt;="&amp;Settings!$B$8,Timesheet!$A$5:$A$3004,"&lt;="&amp;Settings!$B$9))</f>
        <v/>
      </c>
      <c r="F18" s="25" t="str">
        <f aca="false">IF($A18="","",SUMIFS(Timesheet!$G$5:$G$3004,Timesheet!$K$5:$K$3004,$A18,Timesheet!$A$5:$A$3004,"&gt;="&amp;Settings!$B$8,Timesheet!$A$5:$A$3004,"&lt;="&amp;Settings!$B$9))</f>
        <v/>
      </c>
      <c r="G18" s="26" t="str">
        <f aca="false">IF($A18="","",SUMIFS(Timesheet!$R$5:$R$3004,Timesheet!$K$5:$K$3004,$A18,Timesheet!$A$5:$A$3004,"&gt;="&amp;Settings!$B$8,Timesheet!$A$5:$A$3004,"&lt;="&amp;Settings!$B$9))</f>
        <v/>
      </c>
      <c r="H18" s="26" t="str">
        <f aca="false">IF($A18="","",ROUND(G18*Settings!$B$14,2))</f>
        <v/>
      </c>
      <c r="I18" s="23" t="str">
        <f aca="false">IF($A18="","",G18+H18)</f>
        <v/>
      </c>
      <c r="J18" s="24" t="str">
        <f aca="false">IF($A18="","",Suppliers!D18)</f>
        <v/>
      </c>
      <c r="K18" s="35" t="str">
        <f aca="false">IF($A18="","",Settings!$B$9+J18)</f>
        <v/>
      </c>
    </row>
    <row r="19" customFormat="false" ht="15" hidden="false" customHeight="false" outlineLevel="0" collapsed="false">
      <c r="A19" s="24" t="str">
        <f aca="false">IF(Suppliers!A19="","",Suppliers!A19)</f>
        <v/>
      </c>
      <c r="B19" s="24" t="str">
        <f aca="false">IF($A19="","",Suppliers!B19)</f>
        <v/>
      </c>
      <c r="C19" s="25" t="str">
        <f aca="false">IF($A19="","",COUNTIFS(Timesheet!$K$5:$K$3004,$A19,Timesheet!$A$5:$A$3004,"&gt;="&amp;Settings!$B$8,Timesheet!$A$5:$A$3004,"&lt;="&amp;Settings!$B$9))</f>
        <v/>
      </c>
      <c r="D19" s="25" t="str">
        <f aca="false">IF($A19="","",SUMIFS(Timesheet!$E$5:$E$3004,Timesheet!$K$5:$K$3004,$A19,Timesheet!$A$5:$A$3004,"&gt;="&amp;Settings!$B$8,Timesheet!$A$5:$A$3004,"&lt;="&amp;Settings!$B$9))</f>
        <v/>
      </c>
      <c r="E19" s="25" t="str">
        <f aca="false">IF($A19="","",SUMIFS(Timesheet!$F$5:$F$3004,Timesheet!$K$5:$K$3004,$A19,Timesheet!$A$5:$A$3004,"&gt;="&amp;Settings!$B$8,Timesheet!$A$5:$A$3004,"&lt;="&amp;Settings!$B$9))</f>
        <v/>
      </c>
      <c r="F19" s="25" t="str">
        <f aca="false">IF($A19="","",SUMIFS(Timesheet!$G$5:$G$3004,Timesheet!$K$5:$K$3004,$A19,Timesheet!$A$5:$A$3004,"&gt;="&amp;Settings!$B$8,Timesheet!$A$5:$A$3004,"&lt;="&amp;Settings!$B$9))</f>
        <v/>
      </c>
      <c r="G19" s="26" t="str">
        <f aca="false">IF($A19="","",SUMIFS(Timesheet!$R$5:$R$3004,Timesheet!$K$5:$K$3004,$A19,Timesheet!$A$5:$A$3004,"&gt;="&amp;Settings!$B$8,Timesheet!$A$5:$A$3004,"&lt;="&amp;Settings!$B$9))</f>
        <v/>
      </c>
      <c r="H19" s="26" t="str">
        <f aca="false">IF($A19="","",ROUND(G19*Settings!$B$14,2))</f>
        <v/>
      </c>
      <c r="I19" s="23" t="str">
        <f aca="false">IF($A19="","",G19+H19)</f>
        <v/>
      </c>
      <c r="J19" s="24" t="str">
        <f aca="false">IF($A19="","",Suppliers!D19)</f>
        <v/>
      </c>
      <c r="K19" s="35" t="str">
        <f aca="false">IF($A19="","",Settings!$B$9+J19)</f>
        <v/>
      </c>
    </row>
    <row r="20" customFormat="false" ht="15" hidden="false" customHeight="false" outlineLevel="0" collapsed="false">
      <c r="A20" s="24" t="str">
        <f aca="false">IF(Suppliers!A20="","",Suppliers!A20)</f>
        <v/>
      </c>
      <c r="B20" s="24" t="str">
        <f aca="false">IF($A20="","",Suppliers!B20)</f>
        <v/>
      </c>
      <c r="C20" s="25" t="str">
        <f aca="false">IF($A20="","",COUNTIFS(Timesheet!$K$5:$K$3004,$A20,Timesheet!$A$5:$A$3004,"&gt;="&amp;Settings!$B$8,Timesheet!$A$5:$A$3004,"&lt;="&amp;Settings!$B$9))</f>
        <v/>
      </c>
      <c r="D20" s="25" t="str">
        <f aca="false">IF($A20="","",SUMIFS(Timesheet!$E$5:$E$3004,Timesheet!$K$5:$K$3004,$A20,Timesheet!$A$5:$A$3004,"&gt;="&amp;Settings!$B$8,Timesheet!$A$5:$A$3004,"&lt;="&amp;Settings!$B$9))</f>
        <v/>
      </c>
      <c r="E20" s="25" t="str">
        <f aca="false">IF($A20="","",SUMIFS(Timesheet!$F$5:$F$3004,Timesheet!$K$5:$K$3004,$A20,Timesheet!$A$5:$A$3004,"&gt;="&amp;Settings!$B$8,Timesheet!$A$5:$A$3004,"&lt;="&amp;Settings!$B$9))</f>
        <v/>
      </c>
      <c r="F20" s="25" t="str">
        <f aca="false">IF($A20="","",SUMIFS(Timesheet!$G$5:$G$3004,Timesheet!$K$5:$K$3004,$A20,Timesheet!$A$5:$A$3004,"&gt;="&amp;Settings!$B$8,Timesheet!$A$5:$A$3004,"&lt;="&amp;Settings!$B$9))</f>
        <v/>
      </c>
      <c r="G20" s="26" t="str">
        <f aca="false">IF($A20="","",SUMIFS(Timesheet!$R$5:$R$3004,Timesheet!$K$5:$K$3004,$A20,Timesheet!$A$5:$A$3004,"&gt;="&amp;Settings!$B$8,Timesheet!$A$5:$A$3004,"&lt;="&amp;Settings!$B$9))</f>
        <v/>
      </c>
      <c r="H20" s="26" t="str">
        <f aca="false">IF($A20="","",ROUND(G20*Settings!$B$14,2))</f>
        <v/>
      </c>
      <c r="I20" s="23" t="str">
        <f aca="false">IF($A20="","",G20+H20)</f>
        <v/>
      </c>
      <c r="J20" s="24" t="str">
        <f aca="false">IF($A20="","",Suppliers!D20)</f>
        <v/>
      </c>
      <c r="K20" s="35" t="str">
        <f aca="false">IF($A20="","",Settings!$B$9+J20)</f>
        <v/>
      </c>
    </row>
    <row r="21" customFormat="false" ht="15" hidden="false" customHeight="false" outlineLevel="0" collapsed="false">
      <c r="A21" s="24" t="str">
        <f aca="false">IF(Suppliers!A21="","",Suppliers!A21)</f>
        <v/>
      </c>
      <c r="B21" s="24" t="str">
        <f aca="false">IF($A21="","",Suppliers!B21)</f>
        <v/>
      </c>
      <c r="C21" s="25" t="str">
        <f aca="false">IF($A21="","",COUNTIFS(Timesheet!$K$5:$K$3004,$A21,Timesheet!$A$5:$A$3004,"&gt;="&amp;Settings!$B$8,Timesheet!$A$5:$A$3004,"&lt;="&amp;Settings!$B$9))</f>
        <v/>
      </c>
      <c r="D21" s="25" t="str">
        <f aca="false">IF($A21="","",SUMIFS(Timesheet!$E$5:$E$3004,Timesheet!$K$5:$K$3004,$A21,Timesheet!$A$5:$A$3004,"&gt;="&amp;Settings!$B$8,Timesheet!$A$5:$A$3004,"&lt;="&amp;Settings!$B$9))</f>
        <v/>
      </c>
      <c r="E21" s="25" t="str">
        <f aca="false">IF($A21="","",SUMIFS(Timesheet!$F$5:$F$3004,Timesheet!$K$5:$K$3004,$A21,Timesheet!$A$5:$A$3004,"&gt;="&amp;Settings!$B$8,Timesheet!$A$5:$A$3004,"&lt;="&amp;Settings!$B$9))</f>
        <v/>
      </c>
      <c r="F21" s="25" t="str">
        <f aca="false">IF($A21="","",SUMIFS(Timesheet!$G$5:$G$3004,Timesheet!$K$5:$K$3004,$A21,Timesheet!$A$5:$A$3004,"&gt;="&amp;Settings!$B$8,Timesheet!$A$5:$A$3004,"&lt;="&amp;Settings!$B$9))</f>
        <v/>
      </c>
      <c r="G21" s="26" t="str">
        <f aca="false">IF($A21="","",SUMIFS(Timesheet!$R$5:$R$3004,Timesheet!$K$5:$K$3004,$A21,Timesheet!$A$5:$A$3004,"&gt;="&amp;Settings!$B$8,Timesheet!$A$5:$A$3004,"&lt;="&amp;Settings!$B$9))</f>
        <v/>
      </c>
      <c r="H21" s="26" t="str">
        <f aca="false">IF($A21="","",ROUND(G21*Settings!$B$14,2))</f>
        <v/>
      </c>
      <c r="I21" s="23" t="str">
        <f aca="false">IF($A21="","",G21+H21)</f>
        <v/>
      </c>
      <c r="J21" s="24" t="str">
        <f aca="false">IF($A21="","",Suppliers!D21)</f>
        <v/>
      </c>
      <c r="K21" s="35" t="str">
        <f aca="false">IF($A21="","",Settings!$B$9+J21)</f>
        <v/>
      </c>
    </row>
    <row r="22" customFormat="false" ht="15" hidden="false" customHeight="false" outlineLevel="0" collapsed="false">
      <c r="A22" s="24" t="str">
        <f aca="false">IF(Suppliers!A22="","",Suppliers!A22)</f>
        <v/>
      </c>
      <c r="B22" s="24" t="str">
        <f aca="false">IF($A22="","",Suppliers!B22)</f>
        <v/>
      </c>
      <c r="C22" s="25" t="str">
        <f aca="false">IF($A22="","",COUNTIFS(Timesheet!$K$5:$K$3004,$A22,Timesheet!$A$5:$A$3004,"&gt;="&amp;Settings!$B$8,Timesheet!$A$5:$A$3004,"&lt;="&amp;Settings!$B$9))</f>
        <v/>
      </c>
      <c r="D22" s="25" t="str">
        <f aca="false">IF($A22="","",SUMIFS(Timesheet!$E$5:$E$3004,Timesheet!$K$5:$K$3004,$A22,Timesheet!$A$5:$A$3004,"&gt;="&amp;Settings!$B$8,Timesheet!$A$5:$A$3004,"&lt;="&amp;Settings!$B$9))</f>
        <v/>
      </c>
      <c r="E22" s="25" t="str">
        <f aca="false">IF($A22="","",SUMIFS(Timesheet!$F$5:$F$3004,Timesheet!$K$5:$K$3004,$A22,Timesheet!$A$5:$A$3004,"&gt;="&amp;Settings!$B$8,Timesheet!$A$5:$A$3004,"&lt;="&amp;Settings!$B$9))</f>
        <v/>
      </c>
      <c r="F22" s="25" t="str">
        <f aca="false">IF($A22="","",SUMIFS(Timesheet!$G$5:$G$3004,Timesheet!$K$5:$K$3004,$A22,Timesheet!$A$5:$A$3004,"&gt;="&amp;Settings!$B$8,Timesheet!$A$5:$A$3004,"&lt;="&amp;Settings!$B$9))</f>
        <v/>
      </c>
      <c r="G22" s="26" t="str">
        <f aca="false">IF($A22="","",SUMIFS(Timesheet!$R$5:$R$3004,Timesheet!$K$5:$K$3004,$A22,Timesheet!$A$5:$A$3004,"&gt;="&amp;Settings!$B$8,Timesheet!$A$5:$A$3004,"&lt;="&amp;Settings!$B$9))</f>
        <v/>
      </c>
      <c r="H22" s="26" t="str">
        <f aca="false">IF($A22="","",ROUND(G22*Settings!$B$14,2))</f>
        <v/>
      </c>
      <c r="I22" s="23" t="str">
        <f aca="false">IF($A22="","",G22+H22)</f>
        <v/>
      </c>
      <c r="J22" s="24" t="str">
        <f aca="false">IF($A22="","",Suppliers!D22)</f>
        <v/>
      </c>
      <c r="K22" s="35" t="str">
        <f aca="false">IF($A22="","",Settings!$B$9+J22)</f>
        <v/>
      </c>
    </row>
    <row r="23" customFormat="false" ht="15" hidden="false" customHeight="false" outlineLevel="0" collapsed="false">
      <c r="A23" s="24" t="str">
        <f aca="false">IF(Suppliers!A23="","",Suppliers!A23)</f>
        <v/>
      </c>
      <c r="B23" s="24" t="str">
        <f aca="false">IF($A23="","",Suppliers!B23)</f>
        <v/>
      </c>
      <c r="C23" s="25" t="str">
        <f aca="false">IF($A23="","",COUNTIFS(Timesheet!$K$5:$K$3004,$A23,Timesheet!$A$5:$A$3004,"&gt;="&amp;Settings!$B$8,Timesheet!$A$5:$A$3004,"&lt;="&amp;Settings!$B$9))</f>
        <v/>
      </c>
      <c r="D23" s="25" t="str">
        <f aca="false">IF($A23="","",SUMIFS(Timesheet!$E$5:$E$3004,Timesheet!$K$5:$K$3004,$A23,Timesheet!$A$5:$A$3004,"&gt;="&amp;Settings!$B$8,Timesheet!$A$5:$A$3004,"&lt;="&amp;Settings!$B$9))</f>
        <v/>
      </c>
      <c r="E23" s="25" t="str">
        <f aca="false">IF($A23="","",SUMIFS(Timesheet!$F$5:$F$3004,Timesheet!$K$5:$K$3004,$A23,Timesheet!$A$5:$A$3004,"&gt;="&amp;Settings!$B$8,Timesheet!$A$5:$A$3004,"&lt;="&amp;Settings!$B$9))</f>
        <v/>
      </c>
      <c r="F23" s="25" t="str">
        <f aca="false">IF($A23="","",SUMIFS(Timesheet!$G$5:$G$3004,Timesheet!$K$5:$K$3004,$A23,Timesheet!$A$5:$A$3004,"&gt;="&amp;Settings!$B$8,Timesheet!$A$5:$A$3004,"&lt;="&amp;Settings!$B$9))</f>
        <v/>
      </c>
      <c r="G23" s="26" t="str">
        <f aca="false">IF($A23="","",SUMIFS(Timesheet!$R$5:$R$3004,Timesheet!$K$5:$K$3004,$A23,Timesheet!$A$5:$A$3004,"&gt;="&amp;Settings!$B$8,Timesheet!$A$5:$A$3004,"&lt;="&amp;Settings!$B$9))</f>
        <v/>
      </c>
      <c r="H23" s="26" t="str">
        <f aca="false">IF($A23="","",ROUND(G23*Settings!$B$14,2))</f>
        <v/>
      </c>
      <c r="I23" s="23" t="str">
        <f aca="false">IF($A23="","",G23+H23)</f>
        <v/>
      </c>
      <c r="J23" s="24" t="str">
        <f aca="false">IF($A23="","",Suppliers!D23)</f>
        <v/>
      </c>
      <c r="K23" s="35" t="str">
        <f aca="false">IF($A23="","",Settings!$B$9+J23)</f>
        <v/>
      </c>
    </row>
    <row r="24" customFormat="false" ht="15" hidden="false" customHeight="false" outlineLevel="0" collapsed="false">
      <c r="A24" s="24" t="str">
        <f aca="false">IF(Suppliers!A24="","",Suppliers!A24)</f>
        <v/>
      </c>
      <c r="B24" s="24" t="str">
        <f aca="false">IF($A24="","",Suppliers!B24)</f>
        <v/>
      </c>
      <c r="C24" s="25" t="str">
        <f aca="false">IF($A24="","",COUNTIFS(Timesheet!$K$5:$K$3004,$A24,Timesheet!$A$5:$A$3004,"&gt;="&amp;Settings!$B$8,Timesheet!$A$5:$A$3004,"&lt;="&amp;Settings!$B$9))</f>
        <v/>
      </c>
      <c r="D24" s="25" t="str">
        <f aca="false">IF($A24="","",SUMIFS(Timesheet!$E$5:$E$3004,Timesheet!$K$5:$K$3004,$A24,Timesheet!$A$5:$A$3004,"&gt;="&amp;Settings!$B$8,Timesheet!$A$5:$A$3004,"&lt;="&amp;Settings!$B$9))</f>
        <v/>
      </c>
      <c r="E24" s="25" t="str">
        <f aca="false">IF($A24="","",SUMIFS(Timesheet!$F$5:$F$3004,Timesheet!$K$5:$K$3004,$A24,Timesheet!$A$5:$A$3004,"&gt;="&amp;Settings!$B$8,Timesheet!$A$5:$A$3004,"&lt;="&amp;Settings!$B$9))</f>
        <v/>
      </c>
      <c r="F24" s="25" t="str">
        <f aca="false">IF($A24="","",SUMIFS(Timesheet!$G$5:$G$3004,Timesheet!$K$5:$K$3004,$A24,Timesheet!$A$5:$A$3004,"&gt;="&amp;Settings!$B$8,Timesheet!$A$5:$A$3004,"&lt;="&amp;Settings!$B$9))</f>
        <v/>
      </c>
      <c r="G24" s="26" t="str">
        <f aca="false">IF($A24="","",SUMIFS(Timesheet!$R$5:$R$3004,Timesheet!$K$5:$K$3004,$A24,Timesheet!$A$5:$A$3004,"&gt;="&amp;Settings!$B$8,Timesheet!$A$5:$A$3004,"&lt;="&amp;Settings!$B$9))</f>
        <v/>
      </c>
      <c r="H24" s="26" t="str">
        <f aca="false">IF($A24="","",ROUND(G24*Settings!$B$14,2))</f>
        <v/>
      </c>
      <c r="I24" s="23" t="str">
        <f aca="false">IF($A24="","",G24+H24)</f>
        <v/>
      </c>
      <c r="J24" s="24" t="str">
        <f aca="false">IF($A24="","",Suppliers!D24)</f>
        <v/>
      </c>
      <c r="K24" s="35" t="str">
        <f aca="false">IF($A24="","",Settings!$B$9+J24)</f>
        <v/>
      </c>
    </row>
    <row r="25" customFormat="false" ht="15" hidden="false" customHeight="false" outlineLevel="0" collapsed="false">
      <c r="A25" s="24" t="str">
        <f aca="false">IF(Suppliers!A25="","",Suppliers!A25)</f>
        <v/>
      </c>
      <c r="B25" s="24" t="str">
        <f aca="false">IF($A25="","",Suppliers!B25)</f>
        <v/>
      </c>
      <c r="C25" s="25" t="str">
        <f aca="false">IF($A25="","",COUNTIFS(Timesheet!$K$5:$K$3004,$A25,Timesheet!$A$5:$A$3004,"&gt;="&amp;Settings!$B$8,Timesheet!$A$5:$A$3004,"&lt;="&amp;Settings!$B$9))</f>
        <v/>
      </c>
      <c r="D25" s="25" t="str">
        <f aca="false">IF($A25="","",SUMIFS(Timesheet!$E$5:$E$3004,Timesheet!$K$5:$K$3004,$A25,Timesheet!$A$5:$A$3004,"&gt;="&amp;Settings!$B$8,Timesheet!$A$5:$A$3004,"&lt;="&amp;Settings!$B$9))</f>
        <v/>
      </c>
      <c r="E25" s="25" t="str">
        <f aca="false">IF($A25="","",SUMIFS(Timesheet!$F$5:$F$3004,Timesheet!$K$5:$K$3004,$A25,Timesheet!$A$5:$A$3004,"&gt;="&amp;Settings!$B$8,Timesheet!$A$5:$A$3004,"&lt;="&amp;Settings!$B$9))</f>
        <v/>
      </c>
      <c r="F25" s="25" t="str">
        <f aca="false">IF($A25="","",SUMIFS(Timesheet!$G$5:$G$3004,Timesheet!$K$5:$K$3004,$A25,Timesheet!$A$5:$A$3004,"&gt;="&amp;Settings!$B$8,Timesheet!$A$5:$A$3004,"&lt;="&amp;Settings!$B$9))</f>
        <v/>
      </c>
      <c r="G25" s="26" t="str">
        <f aca="false">IF($A25="","",SUMIFS(Timesheet!$R$5:$R$3004,Timesheet!$K$5:$K$3004,$A25,Timesheet!$A$5:$A$3004,"&gt;="&amp;Settings!$B$8,Timesheet!$A$5:$A$3004,"&lt;="&amp;Settings!$B$9))</f>
        <v/>
      </c>
      <c r="H25" s="26" t="str">
        <f aca="false">IF($A25="","",ROUND(G25*Settings!$B$14,2))</f>
        <v/>
      </c>
      <c r="I25" s="23" t="str">
        <f aca="false">IF($A25="","",G25+H25)</f>
        <v/>
      </c>
      <c r="J25" s="24" t="str">
        <f aca="false">IF($A25="","",Suppliers!D25)</f>
        <v/>
      </c>
      <c r="K25" s="35" t="str">
        <f aca="false">IF($A25="","",Settings!$B$9+J25)</f>
        <v/>
      </c>
    </row>
    <row r="26" customFormat="false" ht="15" hidden="false" customHeight="false" outlineLevel="0" collapsed="false">
      <c r="A26" s="24" t="str">
        <f aca="false">IF(Suppliers!A26="","",Suppliers!A26)</f>
        <v/>
      </c>
      <c r="B26" s="24" t="str">
        <f aca="false">IF($A26="","",Suppliers!B26)</f>
        <v/>
      </c>
      <c r="C26" s="25" t="str">
        <f aca="false">IF($A26="","",COUNTIFS(Timesheet!$K$5:$K$3004,$A26,Timesheet!$A$5:$A$3004,"&gt;="&amp;Settings!$B$8,Timesheet!$A$5:$A$3004,"&lt;="&amp;Settings!$B$9))</f>
        <v/>
      </c>
      <c r="D26" s="25" t="str">
        <f aca="false">IF($A26="","",SUMIFS(Timesheet!$E$5:$E$3004,Timesheet!$K$5:$K$3004,$A26,Timesheet!$A$5:$A$3004,"&gt;="&amp;Settings!$B$8,Timesheet!$A$5:$A$3004,"&lt;="&amp;Settings!$B$9))</f>
        <v/>
      </c>
      <c r="E26" s="25" t="str">
        <f aca="false">IF($A26="","",SUMIFS(Timesheet!$F$5:$F$3004,Timesheet!$K$5:$K$3004,$A26,Timesheet!$A$5:$A$3004,"&gt;="&amp;Settings!$B$8,Timesheet!$A$5:$A$3004,"&lt;="&amp;Settings!$B$9))</f>
        <v/>
      </c>
      <c r="F26" s="25" t="str">
        <f aca="false">IF($A26="","",SUMIFS(Timesheet!$G$5:$G$3004,Timesheet!$K$5:$K$3004,$A26,Timesheet!$A$5:$A$3004,"&gt;="&amp;Settings!$B$8,Timesheet!$A$5:$A$3004,"&lt;="&amp;Settings!$B$9))</f>
        <v/>
      </c>
      <c r="G26" s="26" t="str">
        <f aca="false">IF($A26="","",SUMIFS(Timesheet!$R$5:$R$3004,Timesheet!$K$5:$K$3004,$A26,Timesheet!$A$5:$A$3004,"&gt;="&amp;Settings!$B$8,Timesheet!$A$5:$A$3004,"&lt;="&amp;Settings!$B$9))</f>
        <v/>
      </c>
      <c r="H26" s="26" t="str">
        <f aca="false">IF($A26="","",ROUND(G26*Settings!$B$14,2))</f>
        <v/>
      </c>
      <c r="I26" s="23" t="str">
        <f aca="false">IF($A26="","",G26+H26)</f>
        <v/>
      </c>
      <c r="J26" s="24" t="str">
        <f aca="false">IF($A26="","",Suppliers!D26)</f>
        <v/>
      </c>
      <c r="K26" s="35" t="str">
        <f aca="false">IF($A26="","",Settings!$B$9+J26)</f>
        <v/>
      </c>
    </row>
    <row r="27" customFormat="false" ht="15" hidden="false" customHeight="false" outlineLevel="0" collapsed="false">
      <c r="A27" s="24" t="str">
        <f aca="false">IF(Suppliers!A27="","",Suppliers!A27)</f>
        <v/>
      </c>
      <c r="B27" s="24" t="str">
        <f aca="false">IF($A27="","",Suppliers!B27)</f>
        <v/>
      </c>
      <c r="C27" s="25" t="str">
        <f aca="false">IF($A27="","",COUNTIFS(Timesheet!$K$5:$K$3004,$A27,Timesheet!$A$5:$A$3004,"&gt;="&amp;Settings!$B$8,Timesheet!$A$5:$A$3004,"&lt;="&amp;Settings!$B$9))</f>
        <v/>
      </c>
      <c r="D27" s="25" t="str">
        <f aca="false">IF($A27="","",SUMIFS(Timesheet!$E$5:$E$3004,Timesheet!$K$5:$K$3004,$A27,Timesheet!$A$5:$A$3004,"&gt;="&amp;Settings!$B$8,Timesheet!$A$5:$A$3004,"&lt;="&amp;Settings!$B$9))</f>
        <v/>
      </c>
      <c r="E27" s="25" t="str">
        <f aca="false">IF($A27="","",SUMIFS(Timesheet!$F$5:$F$3004,Timesheet!$K$5:$K$3004,$A27,Timesheet!$A$5:$A$3004,"&gt;="&amp;Settings!$B$8,Timesheet!$A$5:$A$3004,"&lt;="&amp;Settings!$B$9))</f>
        <v/>
      </c>
      <c r="F27" s="25" t="str">
        <f aca="false">IF($A27="","",SUMIFS(Timesheet!$G$5:$G$3004,Timesheet!$K$5:$K$3004,$A27,Timesheet!$A$5:$A$3004,"&gt;="&amp;Settings!$B$8,Timesheet!$A$5:$A$3004,"&lt;="&amp;Settings!$B$9))</f>
        <v/>
      </c>
      <c r="G27" s="26" t="str">
        <f aca="false">IF($A27="","",SUMIFS(Timesheet!$R$5:$R$3004,Timesheet!$K$5:$K$3004,$A27,Timesheet!$A$5:$A$3004,"&gt;="&amp;Settings!$B$8,Timesheet!$A$5:$A$3004,"&lt;="&amp;Settings!$B$9))</f>
        <v/>
      </c>
      <c r="H27" s="26" t="str">
        <f aca="false">IF($A27="","",ROUND(G27*Settings!$B$14,2))</f>
        <v/>
      </c>
      <c r="I27" s="23" t="str">
        <f aca="false">IF($A27="","",G27+H27)</f>
        <v/>
      </c>
      <c r="J27" s="24" t="str">
        <f aca="false">IF($A27="","",Suppliers!D27)</f>
        <v/>
      </c>
      <c r="K27" s="35" t="str">
        <f aca="false">IF($A27="","",Settings!$B$9+J27)</f>
        <v/>
      </c>
    </row>
    <row r="28" customFormat="false" ht="15" hidden="false" customHeight="false" outlineLevel="0" collapsed="false">
      <c r="A28" s="24" t="str">
        <f aca="false">IF(Suppliers!A28="","",Suppliers!A28)</f>
        <v/>
      </c>
      <c r="B28" s="24" t="str">
        <f aca="false">IF($A28="","",Suppliers!B28)</f>
        <v/>
      </c>
      <c r="C28" s="25" t="str">
        <f aca="false">IF($A28="","",COUNTIFS(Timesheet!$K$5:$K$3004,$A28,Timesheet!$A$5:$A$3004,"&gt;="&amp;Settings!$B$8,Timesheet!$A$5:$A$3004,"&lt;="&amp;Settings!$B$9))</f>
        <v/>
      </c>
      <c r="D28" s="25" t="str">
        <f aca="false">IF($A28="","",SUMIFS(Timesheet!$E$5:$E$3004,Timesheet!$K$5:$K$3004,$A28,Timesheet!$A$5:$A$3004,"&gt;="&amp;Settings!$B$8,Timesheet!$A$5:$A$3004,"&lt;="&amp;Settings!$B$9))</f>
        <v/>
      </c>
      <c r="E28" s="25" t="str">
        <f aca="false">IF($A28="","",SUMIFS(Timesheet!$F$5:$F$3004,Timesheet!$K$5:$K$3004,$A28,Timesheet!$A$5:$A$3004,"&gt;="&amp;Settings!$B$8,Timesheet!$A$5:$A$3004,"&lt;="&amp;Settings!$B$9))</f>
        <v/>
      </c>
      <c r="F28" s="25" t="str">
        <f aca="false">IF($A28="","",SUMIFS(Timesheet!$G$5:$G$3004,Timesheet!$K$5:$K$3004,$A28,Timesheet!$A$5:$A$3004,"&gt;="&amp;Settings!$B$8,Timesheet!$A$5:$A$3004,"&lt;="&amp;Settings!$B$9))</f>
        <v/>
      </c>
      <c r="G28" s="26" t="str">
        <f aca="false">IF($A28="","",SUMIFS(Timesheet!$R$5:$R$3004,Timesheet!$K$5:$K$3004,$A28,Timesheet!$A$5:$A$3004,"&gt;="&amp;Settings!$B$8,Timesheet!$A$5:$A$3004,"&lt;="&amp;Settings!$B$9))</f>
        <v/>
      </c>
      <c r="H28" s="26" t="str">
        <f aca="false">IF($A28="","",ROUND(G28*Settings!$B$14,2))</f>
        <v/>
      </c>
      <c r="I28" s="23" t="str">
        <f aca="false">IF($A28="","",G28+H28)</f>
        <v/>
      </c>
      <c r="J28" s="24" t="str">
        <f aca="false">IF($A28="","",Suppliers!D28)</f>
        <v/>
      </c>
      <c r="K28" s="35" t="str">
        <f aca="false">IF($A28="","",Settings!$B$9+J28)</f>
        <v/>
      </c>
    </row>
    <row r="29" customFormat="false" ht="15" hidden="false" customHeight="false" outlineLevel="0" collapsed="false">
      <c r="A29" s="24" t="str">
        <f aca="false">IF(Suppliers!A29="","",Suppliers!A29)</f>
        <v/>
      </c>
      <c r="B29" s="24" t="str">
        <f aca="false">IF($A29="","",Suppliers!B29)</f>
        <v/>
      </c>
      <c r="C29" s="25" t="str">
        <f aca="false">IF($A29="","",COUNTIFS(Timesheet!$K$5:$K$3004,$A29,Timesheet!$A$5:$A$3004,"&gt;="&amp;Settings!$B$8,Timesheet!$A$5:$A$3004,"&lt;="&amp;Settings!$B$9))</f>
        <v/>
      </c>
      <c r="D29" s="25" t="str">
        <f aca="false">IF($A29="","",SUMIFS(Timesheet!$E$5:$E$3004,Timesheet!$K$5:$K$3004,$A29,Timesheet!$A$5:$A$3004,"&gt;="&amp;Settings!$B$8,Timesheet!$A$5:$A$3004,"&lt;="&amp;Settings!$B$9))</f>
        <v/>
      </c>
      <c r="E29" s="25" t="str">
        <f aca="false">IF($A29="","",SUMIFS(Timesheet!$F$5:$F$3004,Timesheet!$K$5:$K$3004,$A29,Timesheet!$A$5:$A$3004,"&gt;="&amp;Settings!$B$8,Timesheet!$A$5:$A$3004,"&lt;="&amp;Settings!$B$9))</f>
        <v/>
      </c>
      <c r="F29" s="25" t="str">
        <f aca="false">IF($A29="","",SUMIFS(Timesheet!$G$5:$G$3004,Timesheet!$K$5:$K$3004,$A29,Timesheet!$A$5:$A$3004,"&gt;="&amp;Settings!$B$8,Timesheet!$A$5:$A$3004,"&lt;="&amp;Settings!$B$9))</f>
        <v/>
      </c>
      <c r="G29" s="26" t="str">
        <f aca="false">IF($A29="","",SUMIFS(Timesheet!$R$5:$R$3004,Timesheet!$K$5:$K$3004,$A29,Timesheet!$A$5:$A$3004,"&gt;="&amp;Settings!$B$8,Timesheet!$A$5:$A$3004,"&lt;="&amp;Settings!$B$9))</f>
        <v/>
      </c>
      <c r="H29" s="26" t="str">
        <f aca="false">IF($A29="","",ROUND(G29*Settings!$B$14,2))</f>
        <v/>
      </c>
      <c r="I29" s="23" t="str">
        <f aca="false">IF($A29="","",G29+H29)</f>
        <v/>
      </c>
      <c r="J29" s="24" t="str">
        <f aca="false">IF($A29="","",Suppliers!D29)</f>
        <v/>
      </c>
      <c r="K29" s="35" t="str">
        <f aca="false">IF($A29="","",Settings!$B$9+J29)</f>
        <v/>
      </c>
    </row>
    <row r="30" customFormat="false" ht="15" hidden="false" customHeight="false" outlineLevel="0" collapsed="false">
      <c r="A30" s="24" t="str">
        <f aca="false">IF(Suppliers!A30="","",Suppliers!A30)</f>
        <v/>
      </c>
      <c r="B30" s="24" t="str">
        <f aca="false">IF($A30="","",Suppliers!B30)</f>
        <v/>
      </c>
      <c r="C30" s="25" t="str">
        <f aca="false">IF($A30="","",COUNTIFS(Timesheet!$K$5:$K$3004,$A30,Timesheet!$A$5:$A$3004,"&gt;="&amp;Settings!$B$8,Timesheet!$A$5:$A$3004,"&lt;="&amp;Settings!$B$9))</f>
        <v/>
      </c>
      <c r="D30" s="25" t="str">
        <f aca="false">IF($A30="","",SUMIFS(Timesheet!$E$5:$E$3004,Timesheet!$K$5:$K$3004,$A30,Timesheet!$A$5:$A$3004,"&gt;="&amp;Settings!$B$8,Timesheet!$A$5:$A$3004,"&lt;="&amp;Settings!$B$9))</f>
        <v/>
      </c>
      <c r="E30" s="25" t="str">
        <f aca="false">IF($A30="","",SUMIFS(Timesheet!$F$5:$F$3004,Timesheet!$K$5:$K$3004,$A30,Timesheet!$A$5:$A$3004,"&gt;="&amp;Settings!$B$8,Timesheet!$A$5:$A$3004,"&lt;="&amp;Settings!$B$9))</f>
        <v/>
      </c>
      <c r="F30" s="25" t="str">
        <f aca="false">IF($A30="","",SUMIFS(Timesheet!$G$5:$G$3004,Timesheet!$K$5:$K$3004,$A30,Timesheet!$A$5:$A$3004,"&gt;="&amp;Settings!$B$8,Timesheet!$A$5:$A$3004,"&lt;="&amp;Settings!$B$9))</f>
        <v/>
      </c>
      <c r="G30" s="26" t="str">
        <f aca="false">IF($A30="","",SUMIFS(Timesheet!$R$5:$R$3004,Timesheet!$K$5:$K$3004,$A30,Timesheet!$A$5:$A$3004,"&gt;="&amp;Settings!$B$8,Timesheet!$A$5:$A$3004,"&lt;="&amp;Settings!$B$9))</f>
        <v/>
      </c>
      <c r="H30" s="26" t="str">
        <f aca="false">IF($A30="","",ROUND(G30*Settings!$B$14,2))</f>
        <v/>
      </c>
      <c r="I30" s="23" t="str">
        <f aca="false">IF($A30="","",G30+H30)</f>
        <v/>
      </c>
      <c r="J30" s="24" t="str">
        <f aca="false">IF($A30="","",Suppliers!D30)</f>
        <v/>
      </c>
      <c r="K30" s="35" t="str">
        <f aca="false">IF($A30="","",Settings!$B$9+J30)</f>
        <v/>
      </c>
    </row>
    <row r="31" customFormat="false" ht="15" hidden="false" customHeight="false" outlineLevel="0" collapsed="false">
      <c r="A31" s="24" t="str">
        <f aca="false">IF(Suppliers!A31="","",Suppliers!A31)</f>
        <v/>
      </c>
      <c r="B31" s="24" t="str">
        <f aca="false">IF($A31="","",Suppliers!B31)</f>
        <v/>
      </c>
      <c r="C31" s="25" t="str">
        <f aca="false">IF($A31="","",COUNTIFS(Timesheet!$K$5:$K$3004,$A31,Timesheet!$A$5:$A$3004,"&gt;="&amp;Settings!$B$8,Timesheet!$A$5:$A$3004,"&lt;="&amp;Settings!$B$9))</f>
        <v/>
      </c>
      <c r="D31" s="25" t="str">
        <f aca="false">IF($A31="","",SUMIFS(Timesheet!$E$5:$E$3004,Timesheet!$K$5:$K$3004,$A31,Timesheet!$A$5:$A$3004,"&gt;="&amp;Settings!$B$8,Timesheet!$A$5:$A$3004,"&lt;="&amp;Settings!$B$9))</f>
        <v/>
      </c>
      <c r="E31" s="25" t="str">
        <f aca="false">IF($A31="","",SUMIFS(Timesheet!$F$5:$F$3004,Timesheet!$K$5:$K$3004,$A31,Timesheet!$A$5:$A$3004,"&gt;="&amp;Settings!$B$8,Timesheet!$A$5:$A$3004,"&lt;="&amp;Settings!$B$9))</f>
        <v/>
      </c>
      <c r="F31" s="25" t="str">
        <f aca="false">IF($A31="","",SUMIFS(Timesheet!$G$5:$G$3004,Timesheet!$K$5:$K$3004,$A31,Timesheet!$A$5:$A$3004,"&gt;="&amp;Settings!$B$8,Timesheet!$A$5:$A$3004,"&lt;="&amp;Settings!$B$9))</f>
        <v/>
      </c>
      <c r="G31" s="26" t="str">
        <f aca="false">IF($A31="","",SUMIFS(Timesheet!$R$5:$R$3004,Timesheet!$K$5:$K$3004,$A31,Timesheet!$A$5:$A$3004,"&gt;="&amp;Settings!$B$8,Timesheet!$A$5:$A$3004,"&lt;="&amp;Settings!$B$9))</f>
        <v/>
      </c>
      <c r="H31" s="26" t="str">
        <f aca="false">IF($A31="","",ROUND(G31*Settings!$B$14,2))</f>
        <v/>
      </c>
      <c r="I31" s="23" t="str">
        <f aca="false">IF($A31="","",G31+H31)</f>
        <v/>
      </c>
      <c r="J31" s="24" t="str">
        <f aca="false">IF($A31="","",Suppliers!D31)</f>
        <v/>
      </c>
      <c r="K31" s="35" t="str">
        <f aca="false">IF($A31="","",Settings!$B$9+J31)</f>
        <v/>
      </c>
    </row>
    <row r="32" customFormat="false" ht="15" hidden="false" customHeight="false" outlineLevel="0" collapsed="false">
      <c r="A32" s="24" t="str">
        <f aca="false">IF(Suppliers!A32="","",Suppliers!A32)</f>
        <v/>
      </c>
      <c r="B32" s="24" t="str">
        <f aca="false">IF($A32="","",Suppliers!B32)</f>
        <v/>
      </c>
      <c r="C32" s="25" t="str">
        <f aca="false">IF($A32="","",COUNTIFS(Timesheet!$K$5:$K$3004,$A32,Timesheet!$A$5:$A$3004,"&gt;="&amp;Settings!$B$8,Timesheet!$A$5:$A$3004,"&lt;="&amp;Settings!$B$9))</f>
        <v/>
      </c>
      <c r="D32" s="25" t="str">
        <f aca="false">IF($A32="","",SUMIFS(Timesheet!$E$5:$E$3004,Timesheet!$K$5:$K$3004,$A32,Timesheet!$A$5:$A$3004,"&gt;="&amp;Settings!$B$8,Timesheet!$A$5:$A$3004,"&lt;="&amp;Settings!$B$9))</f>
        <v/>
      </c>
      <c r="E32" s="25" t="str">
        <f aca="false">IF($A32="","",SUMIFS(Timesheet!$F$5:$F$3004,Timesheet!$K$5:$K$3004,$A32,Timesheet!$A$5:$A$3004,"&gt;="&amp;Settings!$B$8,Timesheet!$A$5:$A$3004,"&lt;="&amp;Settings!$B$9))</f>
        <v/>
      </c>
      <c r="F32" s="25" t="str">
        <f aca="false">IF($A32="","",SUMIFS(Timesheet!$G$5:$G$3004,Timesheet!$K$5:$K$3004,$A32,Timesheet!$A$5:$A$3004,"&gt;="&amp;Settings!$B$8,Timesheet!$A$5:$A$3004,"&lt;="&amp;Settings!$B$9))</f>
        <v/>
      </c>
      <c r="G32" s="26" t="str">
        <f aca="false">IF($A32="","",SUMIFS(Timesheet!$R$5:$R$3004,Timesheet!$K$5:$K$3004,$A32,Timesheet!$A$5:$A$3004,"&gt;="&amp;Settings!$B$8,Timesheet!$A$5:$A$3004,"&lt;="&amp;Settings!$B$9))</f>
        <v/>
      </c>
      <c r="H32" s="26" t="str">
        <f aca="false">IF($A32="","",ROUND(G32*Settings!$B$14,2))</f>
        <v/>
      </c>
      <c r="I32" s="23" t="str">
        <f aca="false">IF($A32="","",G32+H32)</f>
        <v/>
      </c>
      <c r="J32" s="24" t="str">
        <f aca="false">IF($A32="","",Suppliers!D32)</f>
        <v/>
      </c>
      <c r="K32" s="35" t="str">
        <f aca="false">IF($A32="","",Settings!$B$9+J32)</f>
        <v/>
      </c>
    </row>
    <row r="33" customFormat="false" ht="15" hidden="false" customHeight="false" outlineLevel="0" collapsed="false">
      <c r="A33" s="24" t="str">
        <f aca="false">IF(Suppliers!A33="","",Suppliers!A33)</f>
        <v/>
      </c>
      <c r="B33" s="24" t="str">
        <f aca="false">IF($A33="","",Suppliers!B33)</f>
        <v/>
      </c>
      <c r="C33" s="25" t="str">
        <f aca="false">IF($A33="","",COUNTIFS(Timesheet!$K$5:$K$3004,$A33,Timesheet!$A$5:$A$3004,"&gt;="&amp;Settings!$B$8,Timesheet!$A$5:$A$3004,"&lt;="&amp;Settings!$B$9))</f>
        <v/>
      </c>
      <c r="D33" s="25" t="str">
        <f aca="false">IF($A33="","",SUMIFS(Timesheet!$E$5:$E$3004,Timesheet!$K$5:$K$3004,$A33,Timesheet!$A$5:$A$3004,"&gt;="&amp;Settings!$B$8,Timesheet!$A$5:$A$3004,"&lt;="&amp;Settings!$B$9))</f>
        <v/>
      </c>
      <c r="E33" s="25" t="str">
        <f aca="false">IF($A33="","",SUMIFS(Timesheet!$F$5:$F$3004,Timesheet!$K$5:$K$3004,$A33,Timesheet!$A$5:$A$3004,"&gt;="&amp;Settings!$B$8,Timesheet!$A$5:$A$3004,"&lt;="&amp;Settings!$B$9))</f>
        <v/>
      </c>
      <c r="F33" s="25" t="str">
        <f aca="false">IF($A33="","",SUMIFS(Timesheet!$G$5:$G$3004,Timesheet!$K$5:$K$3004,$A33,Timesheet!$A$5:$A$3004,"&gt;="&amp;Settings!$B$8,Timesheet!$A$5:$A$3004,"&lt;="&amp;Settings!$B$9))</f>
        <v/>
      </c>
      <c r="G33" s="26" t="str">
        <f aca="false">IF($A33="","",SUMIFS(Timesheet!$R$5:$R$3004,Timesheet!$K$5:$K$3004,$A33,Timesheet!$A$5:$A$3004,"&gt;="&amp;Settings!$B$8,Timesheet!$A$5:$A$3004,"&lt;="&amp;Settings!$B$9))</f>
        <v/>
      </c>
      <c r="H33" s="26" t="str">
        <f aca="false">IF($A33="","",ROUND(G33*Settings!$B$14,2))</f>
        <v/>
      </c>
      <c r="I33" s="23" t="str">
        <f aca="false">IF($A33="","",G33+H33)</f>
        <v/>
      </c>
      <c r="J33" s="24" t="str">
        <f aca="false">IF($A33="","",Suppliers!D33)</f>
        <v/>
      </c>
      <c r="K33" s="35" t="str">
        <f aca="false">IF($A33="","",Settings!$B$9+J33)</f>
        <v/>
      </c>
    </row>
    <row r="34" customFormat="false" ht="15" hidden="false" customHeight="false" outlineLevel="0" collapsed="false">
      <c r="A34" s="24" t="str">
        <f aca="false">IF(Suppliers!A34="","",Suppliers!A34)</f>
        <v/>
      </c>
      <c r="B34" s="24" t="str">
        <f aca="false">IF($A34="","",Suppliers!B34)</f>
        <v/>
      </c>
      <c r="C34" s="25" t="str">
        <f aca="false">IF($A34="","",COUNTIFS(Timesheet!$K$5:$K$3004,$A34,Timesheet!$A$5:$A$3004,"&gt;="&amp;Settings!$B$8,Timesheet!$A$5:$A$3004,"&lt;="&amp;Settings!$B$9))</f>
        <v/>
      </c>
      <c r="D34" s="25" t="str">
        <f aca="false">IF($A34="","",SUMIFS(Timesheet!$E$5:$E$3004,Timesheet!$K$5:$K$3004,$A34,Timesheet!$A$5:$A$3004,"&gt;="&amp;Settings!$B$8,Timesheet!$A$5:$A$3004,"&lt;="&amp;Settings!$B$9))</f>
        <v/>
      </c>
      <c r="E34" s="25" t="str">
        <f aca="false">IF($A34="","",SUMIFS(Timesheet!$F$5:$F$3004,Timesheet!$K$5:$K$3004,$A34,Timesheet!$A$5:$A$3004,"&gt;="&amp;Settings!$B$8,Timesheet!$A$5:$A$3004,"&lt;="&amp;Settings!$B$9))</f>
        <v/>
      </c>
      <c r="F34" s="25" t="str">
        <f aca="false">IF($A34="","",SUMIFS(Timesheet!$G$5:$G$3004,Timesheet!$K$5:$K$3004,$A34,Timesheet!$A$5:$A$3004,"&gt;="&amp;Settings!$B$8,Timesheet!$A$5:$A$3004,"&lt;="&amp;Settings!$B$9))</f>
        <v/>
      </c>
      <c r="G34" s="26" t="str">
        <f aca="false">IF($A34="","",SUMIFS(Timesheet!$R$5:$R$3004,Timesheet!$K$5:$K$3004,$A34,Timesheet!$A$5:$A$3004,"&gt;="&amp;Settings!$B$8,Timesheet!$A$5:$A$3004,"&lt;="&amp;Settings!$B$9))</f>
        <v/>
      </c>
      <c r="H34" s="26" t="str">
        <f aca="false">IF($A34="","",ROUND(G34*Settings!$B$14,2))</f>
        <v/>
      </c>
      <c r="I34" s="23" t="str">
        <f aca="false">IF($A34="","",G34+H34)</f>
        <v/>
      </c>
      <c r="J34" s="24" t="str">
        <f aca="false">IF($A34="","",Suppliers!D34)</f>
        <v/>
      </c>
      <c r="K34" s="35" t="str">
        <f aca="false">IF($A34="","",Settings!$B$9+J34)</f>
        <v/>
      </c>
    </row>
    <row r="35" customFormat="false" ht="15" hidden="false" customHeight="false" outlineLevel="0" collapsed="false">
      <c r="A35" s="24" t="str">
        <f aca="false">IF(Suppliers!A35="","",Suppliers!A35)</f>
        <v/>
      </c>
      <c r="B35" s="24" t="str">
        <f aca="false">IF($A35="","",Suppliers!B35)</f>
        <v/>
      </c>
      <c r="C35" s="25" t="str">
        <f aca="false">IF($A35="","",COUNTIFS(Timesheet!$K$5:$K$3004,$A35,Timesheet!$A$5:$A$3004,"&gt;="&amp;Settings!$B$8,Timesheet!$A$5:$A$3004,"&lt;="&amp;Settings!$B$9))</f>
        <v/>
      </c>
      <c r="D35" s="25" t="str">
        <f aca="false">IF($A35="","",SUMIFS(Timesheet!$E$5:$E$3004,Timesheet!$K$5:$K$3004,$A35,Timesheet!$A$5:$A$3004,"&gt;="&amp;Settings!$B$8,Timesheet!$A$5:$A$3004,"&lt;="&amp;Settings!$B$9))</f>
        <v/>
      </c>
      <c r="E35" s="25" t="str">
        <f aca="false">IF($A35="","",SUMIFS(Timesheet!$F$5:$F$3004,Timesheet!$K$5:$K$3004,$A35,Timesheet!$A$5:$A$3004,"&gt;="&amp;Settings!$B$8,Timesheet!$A$5:$A$3004,"&lt;="&amp;Settings!$B$9))</f>
        <v/>
      </c>
      <c r="F35" s="25" t="str">
        <f aca="false">IF($A35="","",SUMIFS(Timesheet!$G$5:$G$3004,Timesheet!$K$5:$K$3004,$A35,Timesheet!$A$5:$A$3004,"&gt;="&amp;Settings!$B$8,Timesheet!$A$5:$A$3004,"&lt;="&amp;Settings!$B$9))</f>
        <v/>
      </c>
      <c r="G35" s="26" t="str">
        <f aca="false">IF($A35="","",SUMIFS(Timesheet!$R$5:$R$3004,Timesheet!$K$5:$K$3004,$A35,Timesheet!$A$5:$A$3004,"&gt;="&amp;Settings!$B$8,Timesheet!$A$5:$A$3004,"&lt;="&amp;Settings!$B$9))</f>
        <v/>
      </c>
      <c r="H35" s="26" t="str">
        <f aca="false">IF($A35="","",ROUND(G35*Settings!$B$14,2))</f>
        <v/>
      </c>
      <c r="I35" s="23" t="str">
        <f aca="false">IF($A35="","",G35+H35)</f>
        <v/>
      </c>
      <c r="J35" s="24" t="str">
        <f aca="false">IF($A35="","",Suppliers!D35)</f>
        <v/>
      </c>
      <c r="K35" s="35" t="str">
        <f aca="false">IF($A35="","",Settings!$B$9+J35)</f>
        <v/>
      </c>
    </row>
    <row r="36" customFormat="false" ht="15" hidden="false" customHeight="false" outlineLevel="0" collapsed="false">
      <c r="A36" s="24" t="str">
        <f aca="false">IF(Suppliers!A36="","",Suppliers!A36)</f>
        <v/>
      </c>
      <c r="B36" s="24" t="str">
        <f aca="false">IF($A36="","",Suppliers!B36)</f>
        <v/>
      </c>
      <c r="C36" s="25" t="str">
        <f aca="false">IF($A36="","",COUNTIFS(Timesheet!$K$5:$K$3004,$A36,Timesheet!$A$5:$A$3004,"&gt;="&amp;Settings!$B$8,Timesheet!$A$5:$A$3004,"&lt;="&amp;Settings!$B$9))</f>
        <v/>
      </c>
      <c r="D36" s="25" t="str">
        <f aca="false">IF($A36="","",SUMIFS(Timesheet!$E$5:$E$3004,Timesheet!$K$5:$K$3004,$A36,Timesheet!$A$5:$A$3004,"&gt;="&amp;Settings!$B$8,Timesheet!$A$5:$A$3004,"&lt;="&amp;Settings!$B$9))</f>
        <v/>
      </c>
      <c r="E36" s="25" t="str">
        <f aca="false">IF($A36="","",SUMIFS(Timesheet!$F$5:$F$3004,Timesheet!$K$5:$K$3004,$A36,Timesheet!$A$5:$A$3004,"&gt;="&amp;Settings!$B$8,Timesheet!$A$5:$A$3004,"&lt;="&amp;Settings!$B$9))</f>
        <v/>
      </c>
      <c r="F36" s="25" t="str">
        <f aca="false">IF($A36="","",SUMIFS(Timesheet!$G$5:$G$3004,Timesheet!$K$5:$K$3004,$A36,Timesheet!$A$5:$A$3004,"&gt;="&amp;Settings!$B$8,Timesheet!$A$5:$A$3004,"&lt;="&amp;Settings!$B$9))</f>
        <v/>
      </c>
      <c r="G36" s="26" t="str">
        <f aca="false">IF($A36="","",SUMIFS(Timesheet!$R$5:$R$3004,Timesheet!$K$5:$K$3004,$A36,Timesheet!$A$5:$A$3004,"&gt;="&amp;Settings!$B$8,Timesheet!$A$5:$A$3004,"&lt;="&amp;Settings!$B$9))</f>
        <v/>
      </c>
      <c r="H36" s="26" t="str">
        <f aca="false">IF($A36="","",ROUND(G36*Settings!$B$14,2))</f>
        <v/>
      </c>
      <c r="I36" s="23" t="str">
        <f aca="false">IF($A36="","",G36+H36)</f>
        <v/>
      </c>
      <c r="J36" s="24" t="str">
        <f aca="false">IF($A36="","",Suppliers!D36)</f>
        <v/>
      </c>
      <c r="K36" s="35" t="str">
        <f aca="false">IF($A36="","",Settings!$B$9+J36)</f>
        <v/>
      </c>
    </row>
    <row r="37" customFormat="false" ht="15" hidden="false" customHeight="false" outlineLevel="0" collapsed="false">
      <c r="A37" s="24" t="str">
        <f aca="false">IF(Suppliers!A37="","",Suppliers!A37)</f>
        <v/>
      </c>
      <c r="B37" s="24" t="str">
        <f aca="false">IF($A37="","",Suppliers!B37)</f>
        <v/>
      </c>
      <c r="C37" s="25" t="str">
        <f aca="false">IF($A37="","",COUNTIFS(Timesheet!$K$5:$K$3004,$A37,Timesheet!$A$5:$A$3004,"&gt;="&amp;Settings!$B$8,Timesheet!$A$5:$A$3004,"&lt;="&amp;Settings!$B$9))</f>
        <v/>
      </c>
      <c r="D37" s="25" t="str">
        <f aca="false">IF($A37="","",SUMIFS(Timesheet!$E$5:$E$3004,Timesheet!$K$5:$K$3004,$A37,Timesheet!$A$5:$A$3004,"&gt;="&amp;Settings!$B$8,Timesheet!$A$5:$A$3004,"&lt;="&amp;Settings!$B$9))</f>
        <v/>
      </c>
      <c r="E37" s="25" t="str">
        <f aca="false">IF($A37="","",SUMIFS(Timesheet!$F$5:$F$3004,Timesheet!$K$5:$K$3004,$A37,Timesheet!$A$5:$A$3004,"&gt;="&amp;Settings!$B$8,Timesheet!$A$5:$A$3004,"&lt;="&amp;Settings!$B$9))</f>
        <v/>
      </c>
      <c r="F37" s="25" t="str">
        <f aca="false">IF($A37="","",SUMIFS(Timesheet!$G$5:$G$3004,Timesheet!$K$5:$K$3004,$A37,Timesheet!$A$5:$A$3004,"&gt;="&amp;Settings!$B$8,Timesheet!$A$5:$A$3004,"&lt;="&amp;Settings!$B$9))</f>
        <v/>
      </c>
      <c r="G37" s="26" t="str">
        <f aca="false">IF($A37="","",SUMIFS(Timesheet!$R$5:$R$3004,Timesheet!$K$5:$K$3004,$A37,Timesheet!$A$5:$A$3004,"&gt;="&amp;Settings!$B$8,Timesheet!$A$5:$A$3004,"&lt;="&amp;Settings!$B$9))</f>
        <v/>
      </c>
      <c r="H37" s="26" t="str">
        <f aca="false">IF($A37="","",ROUND(G37*Settings!$B$14,2))</f>
        <v/>
      </c>
      <c r="I37" s="23" t="str">
        <f aca="false">IF($A37="","",G37+H37)</f>
        <v/>
      </c>
      <c r="J37" s="24" t="str">
        <f aca="false">IF($A37="","",Suppliers!D37)</f>
        <v/>
      </c>
      <c r="K37" s="35" t="str">
        <f aca="false">IF($A37="","",Settings!$B$9+J37)</f>
        <v/>
      </c>
    </row>
    <row r="38" customFormat="false" ht="15" hidden="false" customHeight="false" outlineLevel="0" collapsed="false">
      <c r="A38" s="24" t="str">
        <f aca="false">IF(Suppliers!A38="","",Suppliers!A38)</f>
        <v/>
      </c>
      <c r="B38" s="24" t="str">
        <f aca="false">IF($A38="","",Suppliers!B38)</f>
        <v/>
      </c>
      <c r="C38" s="25" t="str">
        <f aca="false">IF($A38="","",COUNTIFS(Timesheet!$K$5:$K$3004,$A38,Timesheet!$A$5:$A$3004,"&gt;="&amp;Settings!$B$8,Timesheet!$A$5:$A$3004,"&lt;="&amp;Settings!$B$9))</f>
        <v/>
      </c>
      <c r="D38" s="25" t="str">
        <f aca="false">IF($A38="","",SUMIFS(Timesheet!$E$5:$E$3004,Timesheet!$K$5:$K$3004,$A38,Timesheet!$A$5:$A$3004,"&gt;="&amp;Settings!$B$8,Timesheet!$A$5:$A$3004,"&lt;="&amp;Settings!$B$9))</f>
        <v/>
      </c>
      <c r="E38" s="25" t="str">
        <f aca="false">IF($A38="","",SUMIFS(Timesheet!$F$5:$F$3004,Timesheet!$K$5:$K$3004,$A38,Timesheet!$A$5:$A$3004,"&gt;="&amp;Settings!$B$8,Timesheet!$A$5:$A$3004,"&lt;="&amp;Settings!$B$9))</f>
        <v/>
      </c>
      <c r="F38" s="25" t="str">
        <f aca="false">IF($A38="","",SUMIFS(Timesheet!$G$5:$G$3004,Timesheet!$K$5:$K$3004,$A38,Timesheet!$A$5:$A$3004,"&gt;="&amp;Settings!$B$8,Timesheet!$A$5:$A$3004,"&lt;="&amp;Settings!$B$9))</f>
        <v/>
      </c>
      <c r="G38" s="26" t="str">
        <f aca="false">IF($A38="","",SUMIFS(Timesheet!$R$5:$R$3004,Timesheet!$K$5:$K$3004,$A38,Timesheet!$A$5:$A$3004,"&gt;="&amp;Settings!$B$8,Timesheet!$A$5:$A$3004,"&lt;="&amp;Settings!$B$9))</f>
        <v/>
      </c>
      <c r="H38" s="26" t="str">
        <f aca="false">IF($A38="","",ROUND(G38*Settings!$B$14,2))</f>
        <v/>
      </c>
      <c r="I38" s="23" t="str">
        <f aca="false">IF($A38="","",G38+H38)</f>
        <v/>
      </c>
      <c r="J38" s="24" t="str">
        <f aca="false">IF($A38="","",Suppliers!D38)</f>
        <v/>
      </c>
      <c r="K38" s="35" t="str">
        <f aca="false">IF($A38="","",Settings!$B$9+J38)</f>
        <v/>
      </c>
    </row>
    <row r="39" customFormat="false" ht="15" hidden="false" customHeight="false" outlineLevel="0" collapsed="false">
      <c r="A39" s="24" t="str">
        <f aca="false">IF(Suppliers!A39="","",Suppliers!A39)</f>
        <v/>
      </c>
      <c r="B39" s="24" t="str">
        <f aca="false">IF($A39="","",Suppliers!B39)</f>
        <v/>
      </c>
      <c r="C39" s="25" t="str">
        <f aca="false">IF($A39="","",COUNTIFS(Timesheet!$K$5:$K$3004,$A39,Timesheet!$A$5:$A$3004,"&gt;="&amp;Settings!$B$8,Timesheet!$A$5:$A$3004,"&lt;="&amp;Settings!$B$9))</f>
        <v/>
      </c>
      <c r="D39" s="25" t="str">
        <f aca="false">IF($A39="","",SUMIFS(Timesheet!$E$5:$E$3004,Timesheet!$K$5:$K$3004,$A39,Timesheet!$A$5:$A$3004,"&gt;="&amp;Settings!$B$8,Timesheet!$A$5:$A$3004,"&lt;="&amp;Settings!$B$9))</f>
        <v/>
      </c>
      <c r="E39" s="25" t="str">
        <f aca="false">IF($A39="","",SUMIFS(Timesheet!$F$5:$F$3004,Timesheet!$K$5:$K$3004,$A39,Timesheet!$A$5:$A$3004,"&gt;="&amp;Settings!$B$8,Timesheet!$A$5:$A$3004,"&lt;="&amp;Settings!$B$9))</f>
        <v/>
      </c>
      <c r="F39" s="25" t="str">
        <f aca="false">IF($A39="","",SUMIFS(Timesheet!$G$5:$G$3004,Timesheet!$K$5:$K$3004,$A39,Timesheet!$A$5:$A$3004,"&gt;="&amp;Settings!$B$8,Timesheet!$A$5:$A$3004,"&lt;="&amp;Settings!$B$9))</f>
        <v/>
      </c>
      <c r="G39" s="26" t="str">
        <f aca="false">IF($A39="","",SUMIFS(Timesheet!$R$5:$R$3004,Timesheet!$K$5:$K$3004,$A39,Timesheet!$A$5:$A$3004,"&gt;="&amp;Settings!$B$8,Timesheet!$A$5:$A$3004,"&lt;="&amp;Settings!$B$9))</f>
        <v/>
      </c>
      <c r="H39" s="26" t="str">
        <f aca="false">IF($A39="","",ROUND(G39*Settings!$B$14,2))</f>
        <v/>
      </c>
      <c r="I39" s="23" t="str">
        <f aca="false">IF($A39="","",G39+H39)</f>
        <v/>
      </c>
      <c r="J39" s="24" t="str">
        <f aca="false">IF($A39="","",Suppliers!D39)</f>
        <v/>
      </c>
      <c r="K39" s="35" t="str">
        <f aca="false">IF($A39="","",Settings!$B$9+J39)</f>
        <v/>
      </c>
    </row>
    <row r="40" customFormat="false" ht="15" hidden="false" customHeight="false" outlineLevel="0" collapsed="false">
      <c r="A40" s="24" t="str">
        <f aca="false">IF(Suppliers!A40="","",Suppliers!A40)</f>
        <v/>
      </c>
      <c r="B40" s="24" t="str">
        <f aca="false">IF($A40="","",Suppliers!B40)</f>
        <v/>
      </c>
      <c r="C40" s="25" t="str">
        <f aca="false">IF($A40="","",COUNTIFS(Timesheet!$K$5:$K$3004,$A40,Timesheet!$A$5:$A$3004,"&gt;="&amp;Settings!$B$8,Timesheet!$A$5:$A$3004,"&lt;="&amp;Settings!$B$9))</f>
        <v/>
      </c>
      <c r="D40" s="25" t="str">
        <f aca="false">IF($A40="","",SUMIFS(Timesheet!$E$5:$E$3004,Timesheet!$K$5:$K$3004,$A40,Timesheet!$A$5:$A$3004,"&gt;="&amp;Settings!$B$8,Timesheet!$A$5:$A$3004,"&lt;="&amp;Settings!$B$9))</f>
        <v/>
      </c>
      <c r="E40" s="25" t="str">
        <f aca="false">IF($A40="","",SUMIFS(Timesheet!$F$5:$F$3004,Timesheet!$K$5:$K$3004,$A40,Timesheet!$A$5:$A$3004,"&gt;="&amp;Settings!$B$8,Timesheet!$A$5:$A$3004,"&lt;="&amp;Settings!$B$9))</f>
        <v/>
      </c>
      <c r="F40" s="25" t="str">
        <f aca="false">IF($A40="","",SUMIFS(Timesheet!$G$5:$G$3004,Timesheet!$K$5:$K$3004,$A40,Timesheet!$A$5:$A$3004,"&gt;="&amp;Settings!$B$8,Timesheet!$A$5:$A$3004,"&lt;="&amp;Settings!$B$9))</f>
        <v/>
      </c>
      <c r="G40" s="26" t="str">
        <f aca="false">IF($A40="","",SUMIFS(Timesheet!$R$5:$R$3004,Timesheet!$K$5:$K$3004,$A40,Timesheet!$A$5:$A$3004,"&gt;="&amp;Settings!$B$8,Timesheet!$A$5:$A$3004,"&lt;="&amp;Settings!$B$9))</f>
        <v/>
      </c>
      <c r="H40" s="26" t="str">
        <f aca="false">IF($A40="","",ROUND(G40*Settings!$B$14,2))</f>
        <v/>
      </c>
      <c r="I40" s="23" t="str">
        <f aca="false">IF($A40="","",G40+H40)</f>
        <v/>
      </c>
      <c r="J40" s="24" t="str">
        <f aca="false">IF($A40="","",Suppliers!D40)</f>
        <v/>
      </c>
      <c r="K40" s="35" t="str">
        <f aca="false">IF($A40="","",Settings!$B$9+J40)</f>
        <v/>
      </c>
    </row>
    <row r="41" customFormat="false" ht="15" hidden="false" customHeight="false" outlineLevel="0" collapsed="false">
      <c r="A41" s="24" t="str">
        <f aca="false">IF(Suppliers!A41="","",Suppliers!A41)</f>
        <v/>
      </c>
      <c r="B41" s="24" t="str">
        <f aca="false">IF($A41="","",Suppliers!B41)</f>
        <v/>
      </c>
      <c r="C41" s="25" t="str">
        <f aca="false">IF($A41="","",COUNTIFS(Timesheet!$K$5:$K$3004,$A41,Timesheet!$A$5:$A$3004,"&gt;="&amp;Settings!$B$8,Timesheet!$A$5:$A$3004,"&lt;="&amp;Settings!$B$9))</f>
        <v/>
      </c>
      <c r="D41" s="25" t="str">
        <f aca="false">IF($A41="","",SUMIFS(Timesheet!$E$5:$E$3004,Timesheet!$K$5:$K$3004,$A41,Timesheet!$A$5:$A$3004,"&gt;="&amp;Settings!$B$8,Timesheet!$A$5:$A$3004,"&lt;="&amp;Settings!$B$9))</f>
        <v/>
      </c>
      <c r="E41" s="25" t="str">
        <f aca="false">IF($A41="","",SUMIFS(Timesheet!$F$5:$F$3004,Timesheet!$K$5:$K$3004,$A41,Timesheet!$A$5:$A$3004,"&gt;="&amp;Settings!$B$8,Timesheet!$A$5:$A$3004,"&lt;="&amp;Settings!$B$9))</f>
        <v/>
      </c>
      <c r="F41" s="25" t="str">
        <f aca="false">IF($A41="","",SUMIFS(Timesheet!$G$5:$G$3004,Timesheet!$K$5:$K$3004,$A41,Timesheet!$A$5:$A$3004,"&gt;="&amp;Settings!$B$8,Timesheet!$A$5:$A$3004,"&lt;="&amp;Settings!$B$9))</f>
        <v/>
      </c>
      <c r="G41" s="26" t="str">
        <f aca="false">IF($A41="","",SUMIFS(Timesheet!$R$5:$R$3004,Timesheet!$K$5:$K$3004,$A41,Timesheet!$A$5:$A$3004,"&gt;="&amp;Settings!$B$8,Timesheet!$A$5:$A$3004,"&lt;="&amp;Settings!$B$9))</f>
        <v/>
      </c>
      <c r="H41" s="26" t="str">
        <f aca="false">IF($A41="","",ROUND(G41*Settings!$B$14,2))</f>
        <v/>
      </c>
      <c r="I41" s="23" t="str">
        <f aca="false">IF($A41="","",G41+H41)</f>
        <v/>
      </c>
      <c r="J41" s="24" t="str">
        <f aca="false">IF($A41="","",Suppliers!D41)</f>
        <v/>
      </c>
      <c r="K41" s="35" t="str">
        <f aca="false">IF($A41="","",Settings!$B$9+J41)</f>
        <v/>
      </c>
    </row>
    <row r="42" customFormat="false" ht="15" hidden="false" customHeight="false" outlineLevel="0" collapsed="false">
      <c r="A42" s="24" t="str">
        <f aca="false">IF(Suppliers!A42="","",Suppliers!A42)</f>
        <v/>
      </c>
      <c r="B42" s="24" t="str">
        <f aca="false">IF($A42="","",Suppliers!B42)</f>
        <v/>
      </c>
      <c r="C42" s="25" t="str">
        <f aca="false">IF($A42="","",COUNTIFS(Timesheet!$K$5:$K$3004,$A42,Timesheet!$A$5:$A$3004,"&gt;="&amp;Settings!$B$8,Timesheet!$A$5:$A$3004,"&lt;="&amp;Settings!$B$9))</f>
        <v/>
      </c>
      <c r="D42" s="25" t="str">
        <f aca="false">IF($A42="","",SUMIFS(Timesheet!$E$5:$E$3004,Timesheet!$K$5:$K$3004,$A42,Timesheet!$A$5:$A$3004,"&gt;="&amp;Settings!$B$8,Timesheet!$A$5:$A$3004,"&lt;="&amp;Settings!$B$9))</f>
        <v/>
      </c>
      <c r="E42" s="25" t="str">
        <f aca="false">IF($A42="","",SUMIFS(Timesheet!$F$5:$F$3004,Timesheet!$K$5:$K$3004,$A42,Timesheet!$A$5:$A$3004,"&gt;="&amp;Settings!$B$8,Timesheet!$A$5:$A$3004,"&lt;="&amp;Settings!$B$9))</f>
        <v/>
      </c>
      <c r="F42" s="25" t="str">
        <f aca="false">IF($A42="","",SUMIFS(Timesheet!$G$5:$G$3004,Timesheet!$K$5:$K$3004,$A42,Timesheet!$A$5:$A$3004,"&gt;="&amp;Settings!$B$8,Timesheet!$A$5:$A$3004,"&lt;="&amp;Settings!$B$9))</f>
        <v/>
      </c>
      <c r="G42" s="26" t="str">
        <f aca="false">IF($A42="","",SUMIFS(Timesheet!$R$5:$R$3004,Timesheet!$K$5:$K$3004,$A42,Timesheet!$A$5:$A$3004,"&gt;="&amp;Settings!$B$8,Timesheet!$A$5:$A$3004,"&lt;="&amp;Settings!$B$9))</f>
        <v/>
      </c>
      <c r="H42" s="26" t="str">
        <f aca="false">IF($A42="","",ROUND(G42*Settings!$B$14,2))</f>
        <v/>
      </c>
      <c r="I42" s="23" t="str">
        <f aca="false">IF($A42="","",G42+H42)</f>
        <v/>
      </c>
      <c r="J42" s="24" t="str">
        <f aca="false">IF($A42="","",Suppliers!D42)</f>
        <v/>
      </c>
      <c r="K42" s="35" t="str">
        <f aca="false">IF($A42="","",Settings!$B$9+J42)</f>
        <v/>
      </c>
    </row>
    <row r="43" customFormat="false" ht="15" hidden="false" customHeight="false" outlineLevel="0" collapsed="false">
      <c r="A43" s="24" t="str">
        <f aca="false">IF(Suppliers!A43="","",Suppliers!A43)</f>
        <v/>
      </c>
      <c r="B43" s="24" t="str">
        <f aca="false">IF($A43="","",Suppliers!B43)</f>
        <v/>
      </c>
      <c r="C43" s="25" t="str">
        <f aca="false">IF($A43="","",COUNTIFS(Timesheet!$K$5:$K$3004,$A43,Timesheet!$A$5:$A$3004,"&gt;="&amp;Settings!$B$8,Timesheet!$A$5:$A$3004,"&lt;="&amp;Settings!$B$9))</f>
        <v/>
      </c>
      <c r="D43" s="25" t="str">
        <f aca="false">IF($A43="","",SUMIFS(Timesheet!$E$5:$E$3004,Timesheet!$K$5:$K$3004,$A43,Timesheet!$A$5:$A$3004,"&gt;="&amp;Settings!$B$8,Timesheet!$A$5:$A$3004,"&lt;="&amp;Settings!$B$9))</f>
        <v/>
      </c>
      <c r="E43" s="25" t="str">
        <f aca="false">IF($A43="","",SUMIFS(Timesheet!$F$5:$F$3004,Timesheet!$K$5:$K$3004,$A43,Timesheet!$A$5:$A$3004,"&gt;="&amp;Settings!$B$8,Timesheet!$A$5:$A$3004,"&lt;="&amp;Settings!$B$9))</f>
        <v/>
      </c>
      <c r="F43" s="25" t="str">
        <f aca="false">IF($A43="","",SUMIFS(Timesheet!$G$5:$G$3004,Timesheet!$K$5:$K$3004,$A43,Timesheet!$A$5:$A$3004,"&gt;="&amp;Settings!$B$8,Timesheet!$A$5:$A$3004,"&lt;="&amp;Settings!$B$9))</f>
        <v/>
      </c>
      <c r="G43" s="26" t="str">
        <f aca="false">IF($A43="","",SUMIFS(Timesheet!$R$5:$R$3004,Timesheet!$K$5:$K$3004,$A43,Timesheet!$A$5:$A$3004,"&gt;="&amp;Settings!$B$8,Timesheet!$A$5:$A$3004,"&lt;="&amp;Settings!$B$9))</f>
        <v/>
      </c>
      <c r="H43" s="26" t="str">
        <f aca="false">IF($A43="","",ROUND(G43*Settings!$B$14,2))</f>
        <v/>
      </c>
      <c r="I43" s="23" t="str">
        <f aca="false">IF($A43="","",G43+H43)</f>
        <v/>
      </c>
      <c r="J43" s="24" t="str">
        <f aca="false">IF($A43="","",Suppliers!D43)</f>
        <v/>
      </c>
      <c r="K43" s="35" t="str">
        <f aca="false">IF($A43="","",Settings!$B$9+J43)</f>
        <v/>
      </c>
    </row>
    <row r="44" customFormat="false" ht="15" hidden="false" customHeight="false" outlineLevel="0" collapsed="false">
      <c r="A44" s="24" t="str">
        <f aca="false">IF(Suppliers!A44="","",Suppliers!A44)</f>
        <v/>
      </c>
      <c r="B44" s="24" t="str">
        <f aca="false">IF($A44="","",Suppliers!B44)</f>
        <v/>
      </c>
      <c r="C44" s="25" t="str">
        <f aca="false">IF($A44="","",COUNTIFS(Timesheet!$K$5:$K$3004,$A44,Timesheet!$A$5:$A$3004,"&gt;="&amp;Settings!$B$8,Timesheet!$A$5:$A$3004,"&lt;="&amp;Settings!$B$9))</f>
        <v/>
      </c>
      <c r="D44" s="25" t="str">
        <f aca="false">IF($A44="","",SUMIFS(Timesheet!$E$5:$E$3004,Timesheet!$K$5:$K$3004,$A44,Timesheet!$A$5:$A$3004,"&gt;="&amp;Settings!$B$8,Timesheet!$A$5:$A$3004,"&lt;="&amp;Settings!$B$9))</f>
        <v/>
      </c>
      <c r="E44" s="25" t="str">
        <f aca="false">IF($A44="","",SUMIFS(Timesheet!$F$5:$F$3004,Timesheet!$K$5:$K$3004,$A44,Timesheet!$A$5:$A$3004,"&gt;="&amp;Settings!$B$8,Timesheet!$A$5:$A$3004,"&lt;="&amp;Settings!$B$9))</f>
        <v/>
      </c>
      <c r="F44" s="25" t="str">
        <f aca="false">IF($A44="","",SUMIFS(Timesheet!$G$5:$G$3004,Timesheet!$K$5:$K$3004,$A44,Timesheet!$A$5:$A$3004,"&gt;="&amp;Settings!$B$8,Timesheet!$A$5:$A$3004,"&lt;="&amp;Settings!$B$9))</f>
        <v/>
      </c>
      <c r="G44" s="26" t="str">
        <f aca="false">IF($A44="","",SUMIFS(Timesheet!$R$5:$R$3004,Timesheet!$K$5:$K$3004,$A44,Timesheet!$A$5:$A$3004,"&gt;="&amp;Settings!$B$8,Timesheet!$A$5:$A$3004,"&lt;="&amp;Settings!$B$9))</f>
        <v/>
      </c>
      <c r="H44" s="26" t="str">
        <f aca="false">IF($A44="","",ROUND(G44*Settings!$B$14,2))</f>
        <v/>
      </c>
      <c r="I44" s="23" t="str">
        <f aca="false">IF($A44="","",G44+H44)</f>
        <v/>
      </c>
      <c r="J44" s="24" t="str">
        <f aca="false">IF($A44="","",Suppliers!D44)</f>
        <v/>
      </c>
      <c r="K44" s="35" t="str">
        <f aca="false">IF($A44="","",Settings!$B$9+J44)</f>
        <v/>
      </c>
    </row>
    <row r="45" customFormat="false" ht="15" hidden="false" customHeight="false" outlineLevel="0" collapsed="false">
      <c r="A45" s="24" t="str">
        <f aca="false">IF(Suppliers!A45="","",Suppliers!A45)</f>
        <v/>
      </c>
      <c r="B45" s="24" t="str">
        <f aca="false">IF($A45="","",Suppliers!B45)</f>
        <v/>
      </c>
      <c r="C45" s="25" t="str">
        <f aca="false">IF($A45="","",COUNTIFS(Timesheet!$K$5:$K$3004,$A45,Timesheet!$A$5:$A$3004,"&gt;="&amp;Settings!$B$8,Timesheet!$A$5:$A$3004,"&lt;="&amp;Settings!$B$9))</f>
        <v/>
      </c>
      <c r="D45" s="25" t="str">
        <f aca="false">IF($A45="","",SUMIFS(Timesheet!$E$5:$E$3004,Timesheet!$K$5:$K$3004,$A45,Timesheet!$A$5:$A$3004,"&gt;="&amp;Settings!$B$8,Timesheet!$A$5:$A$3004,"&lt;="&amp;Settings!$B$9))</f>
        <v/>
      </c>
      <c r="E45" s="25" t="str">
        <f aca="false">IF($A45="","",SUMIFS(Timesheet!$F$5:$F$3004,Timesheet!$K$5:$K$3004,$A45,Timesheet!$A$5:$A$3004,"&gt;="&amp;Settings!$B$8,Timesheet!$A$5:$A$3004,"&lt;="&amp;Settings!$B$9))</f>
        <v/>
      </c>
      <c r="F45" s="25" t="str">
        <f aca="false">IF($A45="","",SUMIFS(Timesheet!$G$5:$G$3004,Timesheet!$K$5:$K$3004,$A45,Timesheet!$A$5:$A$3004,"&gt;="&amp;Settings!$B$8,Timesheet!$A$5:$A$3004,"&lt;="&amp;Settings!$B$9))</f>
        <v/>
      </c>
      <c r="G45" s="26" t="str">
        <f aca="false">IF($A45="","",SUMIFS(Timesheet!$R$5:$R$3004,Timesheet!$K$5:$K$3004,$A45,Timesheet!$A$5:$A$3004,"&gt;="&amp;Settings!$B$8,Timesheet!$A$5:$A$3004,"&lt;="&amp;Settings!$B$9))</f>
        <v/>
      </c>
      <c r="H45" s="26" t="str">
        <f aca="false">IF($A45="","",ROUND(G45*Settings!$B$14,2))</f>
        <v/>
      </c>
      <c r="I45" s="23" t="str">
        <f aca="false">IF($A45="","",G45+H45)</f>
        <v/>
      </c>
      <c r="J45" s="24" t="str">
        <f aca="false">IF($A45="","",Suppliers!D45)</f>
        <v/>
      </c>
      <c r="K45" s="35" t="str">
        <f aca="false">IF($A45="","",Settings!$B$9+J45)</f>
        <v/>
      </c>
    </row>
    <row r="46" customFormat="false" ht="15" hidden="false" customHeight="false" outlineLevel="0" collapsed="false">
      <c r="A46" s="24" t="str">
        <f aca="false">IF(Suppliers!A46="","",Suppliers!A46)</f>
        <v/>
      </c>
      <c r="B46" s="24" t="str">
        <f aca="false">IF($A46="","",Suppliers!B46)</f>
        <v/>
      </c>
      <c r="C46" s="25" t="str">
        <f aca="false">IF($A46="","",COUNTIFS(Timesheet!$K$5:$K$3004,$A46,Timesheet!$A$5:$A$3004,"&gt;="&amp;Settings!$B$8,Timesheet!$A$5:$A$3004,"&lt;="&amp;Settings!$B$9))</f>
        <v/>
      </c>
      <c r="D46" s="25" t="str">
        <f aca="false">IF($A46="","",SUMIFS(Timesheet!$E$5:$E$3004,Timesheet!$K$5:$K$3004,$A46,Timesheet!$A$5:$A$3004,"&gt;="&amp;Settings!$B$8,Timesheet!$A$5:$A$3004,"&lt;="&amp;Settings!$B$9))</f>
        <v/>
      </c>
      <c r="E46" s="25" t="str">
        <f aca="false">IF($A46="","",SUMIFS(Timesheet!$F$5:$F$3004,Timesheet!$K$5:$K$3004,$A46,Timesheet!$A$5:$A$3004,"&gt;="&amp;Settings!$B$8,Timesheet!$A$5:$A$3004,"&lt;="&amp;Settings!$B$9))</f>
        <v/>
      </c>
      <c r="F46" s="25" t="str">
        <f aca="false">IF($A46="","",SUMIFS(Timesheet!$G$5:$G$3004,Timesheet!$K$5:$K$3004,$A46,Timesheet!$A$5:$A$3004,"&gt;="&amp;Settings!$B$8,Timesheet!$A$5:$A$3004,"&lt;="&amp;Settings!$B$9))</f>
        <v/>
      </c>
      <c r="G46" s="26" t="str">
        <f aca="false">IF($A46="","",SUMIFS(Timesheet!$R$5:$R$3004,Timesheet!$K$5:$K$3004,$A46,Timesheet!$A$5:$A$3004,"&gt;="&amp;Settings!$B$8,Timesheet!$A$5:$A$3004,"&lt;="&amp;Settings!$B$9))</f>
        <v/>
      </c>
      <c r="H46" s="26" t="str">
        <f aca="false">IF($A46="","",ROUND(G46*Settings!$B$14,2))</f>
        <v/>
      </c>
      <c r="I46" s="23" t="str">
        <f aca="false">IF($A46="","",G46+H46)</f>
        <v/>
      </c>
      <c r="J46" s="24" t="str">
        <f aca="false">IF($A46="","",Suppliers!D46)</f>
        <v/>
      </c>
      <c r="K46" s="35" t="str">
        <f aca="false">IF($A46="","",Settings!$B$9+J46)</f>
        <v/>
      </c>
    </row>
    <row r="47" customFormat="false" ht="15" hidden="false" customHeight="false" outlineLevel="0" collapsed="false">
      <c r="A47" s="24" t="str">
        <f aca="false">IF(Suppliers!A47="","",Suppliers!A47)</f>
        <v/>
      </c>
      <c r="B47" s="24" t="str">
        <f aca="false">IF($A47="","",Suppliers!B47)</f>
        <v/>
      </c>
      <c r="C47" s="25" t="str">
        <f aca="false">IF($A47="","",COUNTIFS(Timesheet!$K$5:$K$3004,$A47,Timesheet!$A$5:$A$3004,"&gt;="&amp;Settings!$B$8,Timesheet!$A$5:$A$3004,"&lt;="&amp;Settings!$B$9))</f>
        <v/>
      </c>
      <c r="D47" s="25" t="str">
        <f aca="false">IF($A47="","",SUMIFS(Timesheet!$E$5:$E$3004,Timesheet!$K$5:$K$3004,$A47,Timesheet!$A$5:$A$3004,"&gt;="&amp;Settings!$B$8,Timesheet!$A$5:$A$3004,"&lt;="&amp;Settings!$B$9))</f>
        <v/>
      </c>
      <c r="E47" s="25" t="str">
        <f aca="false">IF($A47="","",SUMIFS(Timesheet!$F$5:$F$3004,Timesheet!$K$5:$K$3004,$A47,Timesheet!$A$5:$A$3004,"&gt;="&amp;Settings!$B$8,Timesheet!$A$5:$A$3004,"&lt;="&amp;Settings!$B$9))</f>
        <v/>
      </c>
      <c r="F47" s="25" t="str">
        <f aca="false">IF($A47="","",SUMIFS(Timesheet!$G$5:$G$3004,Timesheet!$K$5:$K$3004,$A47,Timesheet!$A$5:$A$3004,"&gt;="&amp;Settings!$B$8,Timesheet!$A$5:$A$3004,"&lt;="&amp;Settings!$B$9))</f>
        <v/>
      </c>
      <c r="G47" s="26" t="str">
        <f aca="false">IF($A47="","",SUMIFS(Timesheet!$R$5:$R$3004,Timesheet!$K$5:$K$3004,$A47,Timesheet!$A$5:$A$3004,"&gt;="&amp;Settings!$B$8,Timesheet!$A$5:$A$3004,"&lt;="&amp;Settings!$B$9))</f>
        <v/>
      </c>
      <c r="H47" s="26" t="str">
        <f aca="false">IF($A47="","",ROUND(G47*Settings!$B$14,2))</f>
        <v/>
      </c>
      <c r="I47" s="23" t="str">
        <f aca="false">IF($A47="","",G47+H47)</f>
        <v/>
      </c>
      <c r="J47" s="24" t="str">
        <f aca="false">IF($A47="","",Suppliers!D47)</f>
        <v/>
      </c>
      <c r="K47" s="35" t="str">
        <f aca="false">IF($A47="","",Settings!$B$9+J47)</f>
        <v/>
      </c>
    </row>
    <row r="48" customFormat="false" ht="15" hidden="false" customHeight="false" outlineLevel="0" collapsed="false">
      <c r="A48" s="24" t="str">
        <f aca="false">IF(Suppliers!A48="","",Suppliers!A48)</f>
        <v/>
      </c>
      <c r="B48" s="24" t="str">
        <f aca="false">IF($A48="","",Suppliers!B48)</f>
        <v/>
      </c>
      <c r="C48" s="25" t="str">
        <f aca="false">IF($A48="","",COUNTIFS(Timesheet!$K$5:$K$3004,$A48,Timesheet!$A$5:$A$3004,"&gt;="&amp;Settings!$B$8,Timesheet!$A$5:$A$3004,"&lt;="&amp;Settings!$B$9))</f>
        <v/>
      </c>
      <c r="D48" s="25" t="str">
        <f aca="false">IF($A48="","",SUMIFS(Timesheet!$E$5:$E$3004,Timesheet!$K$5:$K$3004,$A48,Timesheet!$A$5:$A$3004,"&gt;="&amp;Settings!$B$8,Timesheet!$A$5:$A$3004,"&lt;="&amp;Settings!$B$9))</f>
        <v/>
      </c>
      <c r="E48" s="25" t="str">
        <f aca="false">IF($A48="","",SUMIFS(Timesheet!$F$5:$F$3004,Timesheet!$K$5:$K$3004,$A48,Timesheet!$A$5:$A$3004,"&gt;="&amp;Settings!$B$8,Timesheet!$A$5:$A$3004,"&lt;="&amp;Settings!$B$9))</f>
        <v/>
      </c>
      <c r="F48" s="25" t="str">
        <f aca="false">IF($A48="","",SUMIFS(Timesheet!$G$5:$G$3004,Timesheet!$K$5:$K$3004,$A48,Timesheet!$A$5:$A$3004,"&gt;="&amp;Settings!$B$8,Timesheet!$A$5:$A$3004,"&lt;="&amp;Settings!$B$9))</f>
        <v/>
      </c>
      <c r="G48" s="26" t="str">
        <f aca="false">IF($A48="","",SUMIFS(Timesheet!$R$5:$R$3004,Timesheet!$K$5:$K$3004,$A48,Timesheet!$A$5:$A$3004,"&gt;="&amp;Settings!$B$8,Timesheet!$A$5:$A$3004,"&lt;="&amp;Settings!$B$9))</f>
        <v/>
      </c>
      <c r="H48" s="26" t="str">
        <f aca="false">IF($A48="","",ROUND(G48*Settings!$B$14,2))</f>
        <v/>
      </c>
      <c r="I48" s="23" t="str">
        <f aca="false">IF($A48="","",G48+H48)</f>
        <v/>
      </c>
      <c r="J48" s="24" t="str">
        <f aca="false">IF($A48="","",Suppliers!D48)</f>
        <v/>
      </c>
      <c r="K48" s="35" t="str">
        <f aca="false">IF($A48="","",Settings!$B$9+J48)</f>
        <v/>
      </c>
    </row>
    <row r="49" customFormat="false" ht="15" hidden="false" customHeight="false" outlineLevel="0" collapsed="false">
      <c r="A49" s="24" t="str">
        <f aca="false">IF(Suppliers!A49="","",Suppliers!A49)</f>
        <v/>
      </c>
      <c r="B49" s="24" t="str">
        <f aca="false">IF($A49="","",Suppliers!B49)</f>
        <v/>
      </c>
      <c r="C49" s="25" t="str">
        <f aca="false">IF($A49="","",COUNTIFS(Timesheet!$K$5:$K$3004,$A49,Timesheet!$A$5:$A$3004,"&gt;="&amp;Settings!$B$8,Timesheet!$A$5:$A$3004,"&lt;="&amp;Settings!$B$9))</f>
        <v/>
      </c>
      <c r="D49" s="25" t="str">
        <f aca="false">IF($A49="","",SUMIFS(Timesheet!$E$5:$E$3004,Timesheet!$K$5:$K$3004,$A49,Timesheet!$A$5:$A$3004,"&gt;="&amp;Settings!$B$8,Timesheet!$A$5:$A$3004,"&lt;="&amp;Settings!$B$9))</f>
        <v/>
      </c>
      <c r="E49" s="25" t="str">
        <f aca="false">IF($A49="","",SUMIFS(Timesheet!$F$5:$F$3004,Timesheet!$K$5:$K$3004,$A49,Timesheet!$A$5:$A$3004,"&gt;="&amp;Settings!$B$8,Timesheet!$A$5:$A$3004,"&lt;="&amp;Settings!$B$9))</f>
        <v/>
      </c>
      <c r="F49" s="25" t="str">
        <f aca="false">IF($A49="","",SUMIFS(Timesheet!$G$5:$G$3004,Timesheet!$K$5:$K$3004,$A49,Timesheet!$A$5:$A$3004,"&gt;="&amp;Settings!$B$8,Timesheet!$A$5:$A$3004,"&lt;="&amp;Settings!$B$9))</f>
        <v/>
      </c>
      <c r="G49" s="26" t="str">
        <f aca="false">IF($A49="","",SUMIFS(Timesheet!$R$5:$R$3004,Timesheet!$K$5:$K$3004,$A49,Timesheet!$A$5:$A$3004,"&gt;="&amp;Settings!$B$8,Timesheet!$A$5:$A$3004,"&lt;="&amp;Settings!$B$9))</f>
        <v/>
      </c>
      <c r="H49" s="26" t="str">
        <f aca="false">IF($A49="","",ROUND(G49*Settings!$B$14,2))</f>
        <v/>
      </c>
      <c r="I49" s="23" t="str">
        <f aca="false">IF($A49="","",G49+H49)</f>
        <v/>
      </c>
      <c r="J49" s="24" t="str">
        <f aca="false">IF($A49="","",Suppliers!D49)</f>
        <v/>
      </c>
      <c r="K49" s="35" t="str">
        <f aca="false">IF($A49="","",Settings!$B$9+J49)</f>
        <v/>
      </c>
    </row>
    <row r="50" customFormat="false" ht="15" hidden="false" customHeight="false" outlineLevel="0" collapsed="false">
      <c r="A50" s="24" t="str">
        <f aca="false">IF(Suppliers!A50="","",Suppliers!A50)</f>
        <v/>
      </c>
      <c r="B50" s="24" t="str">
        <f aca="false">IF($A50="","",Suppliers!B50)</f>
        <v/>
      </c>
      <c r="C50" s="25" t="str">
        <f aca="false">IF($A50="","",COUNTIFS(Timesheet!$K$5:$K$3004,$A50,Timesheet!$A$5:$A$3004,"&gt;="&amp;Settings!$B$8,Timesheet!$A$5:$A$3004,"&lt;="&amp;Settings!$B$9))</f>
        <v/>
      </c>
      <c r="D50" s="25" t="str">
        <f aca="false">IF($A50="","",SUMIFS(Timesheet!$E$5:$E$3004,Timesheet!$K$5:$K$3004,$A50,Timesheet!$A$5:$A$3004,"&gt;="&amp;Settings!$B$8,Timesheet!$A$5:$A$3004,"&lt;="&amp;Settings!$B$9))</f>
        <v/>
      </c>
      <c r="E50" s="25" t="str">
        <f aca="false">IF($A50="","",SUMIFS(Timesheet!$F$5:$F$3004,Timesheet!$K$5:$K$3004,$A50,Timesheet!$A$5:$A$3004,"&gt;="&amp;Settings!$B$8,Timesheet!$A$5:$A$3004,"&lt;="&amp;Settings!$B$9))</f>
        <v/>
      </c>
      <c r="F50" s="25" t="str">
        <f aca="false">IF($A50="","",SUMIFS(Timesheet!$G$5:$G$3004,Timesheet!$K$5:$K$3004,$A50,Timesheet!$A$5:$A$3004,"&gt;="&amp;Settings!$B$8,Timesheet!$A$5:$A$3004,"&lt;="&amp;Settings!$B$9))</f>
        <v/>
      </c>
      <c r="G50" s="26" t="str">
        <f aca="false">IF($A50="","",SUMIFS(Timesheet!$R$5:$R$3004,Timesheet!$K$5:$K$3004,$A50,Timesheet!$A$5:$A$3004,"&gt;="&amp;Settings!$B$8,Timesheet!$A$5:$A$3004,"&lt;="&amp;Settings!$B$9))</f>
        <v/>
      </c>
      <c r="H50" s="26" t="str">
        <f aca="false">IF($A50="","",ROUND(G50*Settings!$B$14,2))</f>
        <v/>
      </c>
      <c r="I50" s="23" t="str">
        <f aca="false">IF($A50="","",G50+H50)</f>
        <v/>
      </c>
      <c r="J50" s="24" t="str">
        <f aca="false">IF($A50="","",Suppliers!D50)</f>
        <v/>
      </c>
      <c r="K50" s="35" t="str">
        <f aca="false">IF($A50="","",Settings!$B$9+J50)</f>
        <v/>
      </c>
    </row>
    <row r="51" customFormat="false" ht="15" hidden="false" customHeight="false" outlineLevel="0" collapsed="false">
      <c r="A51" s="24" t="str">
        <f aca="false">IF(Suppliers!A51="","",Suppliers!A51)</f>
        <v/>
      </c>
      <c r="B51" s="24" t="str">
        <f aca="false">IF($A51="","",Suppliers!B51)</f>
        <v/>
      </c>
      <c r="C51" s="25" t="str">
        <f aca="false">IF($A51="","",COUNTIFS(Timesheet!$K$5:$K$3004,$A51,Timesheet!$A$5:$A$3004,"&gt;="&amp;Settings!$B$8,Timesheet!$A$5:$A$3004,"&lt;="&amp;Settings!$B$9))</f>
        <v/>
      </c>
      <c r="D51" s="25" t="str">
        <f aca="false">IF($A51="","",SUMIFS(Timesheet!$E$5:$E$3004,Timesheet!$K$5:$K$3004,$A51,Timesheet!$A$5:$A$3004,"&gt;="&amp;Settings!$B$8,Timesheet!$A$5:$A$3004,"&lt;="&amp;Settings!$B$9))</f>
        <v/>
      </c>
      <c r="E51" s="25" t="str">
        <f aca="false">IF($A51="","",SUMIFS(Timesheet!$F$5:$F$3004,Timesheet!$K$5:$K$3004,$A51,Timesheet!$A$5:$A$3004,"&gt;="&amp;Settings!$B$8,Timesheet!$A$5:$A$3004,"&lt;="&amp;Settings!$B$9))</f>
        <v/>
      </c>
      <c r="F51" s="25" t="str">
        <f aca="false">IF($A51="","",SUMIFS(Timesheet!$G$5:$G$3004,Timesheet!$K$5:$K$3004,$A51,Timesheet!$A$5:$A$3004,"&gt;="&amp;Settings!$B$8,Timesheet!$A$5:$A$3004,"&lt;="&amp;Settings!$B$9))</f>
        <v/>
      </c>
      <c r="G51" s="26" t="str">
        <f aca="false">IF($A51="","",SUMIFS(Timesheet!$R$5:$R$3004,Timesheet!$K$5:$K$3004,$A51,Timesheet!$A$5:$A$3004,"&gt;="&amp;Settings!$B$8,Timesheet!$A$5:$A$3004,"&lt;="&amp;Settings!$B$9))</f>
        <v/>
      </c>
      <c r="H51" s="26" t="str">
        <f aca="false">IF($A51="","",ROUND(G51*Settings!$B$14,2))</f>
        <v/>
      </c>
      <c r="I51" s="23" t="str">
        <f aca="false">IF($A51="","",G51+H51)</f>
        <v/>
      </c>
      <c r="J51" s="24" t="str">
        <f aca="false">IF($A51="","",Suppliers!D51)</f>
        <v/>
      </c>
      <c r="K51" s="35" t="str">
        <f aca="false">IF($A51="","",Settings!$B$9+J51)</f>
        <v/>
      </c>
    </row>
    <row r="52" customFormat="false" ht="15" hidden="false" customHeight="false" outlineLevel="0" collapsed="false">
      <c r="A52" s="24" t="str">
        <f aca="false">IF(Suppliers!A52="","",Suppliers!A52)</f>
        <v/>
      </c>
      <c r="B52" s="24" t="str">
        <f aca="false">IF($A52="","",Suppliers!B52)</f>
        <v/>
      </c>
      <c r="C52" s="25" t="str">
        <f aca="false">IF($A52="","",COUNTIFS(Timesheet!$K$5:$K$3004,$A52,Timesheet!$A$5:$A$3004,"&gt;="&amp;Settings!$B$8,Timesheet!$A$5:$A$3004,"&lt;="&amp;Settings!$B$9))</f>
        <v/>
      </c>
      <c r="D52" s="25" t="str">
        <f aca="false">IF($A52="","",SUMIFS(Timesheet!$E$5:$E$3004,Timesheet!$K$5:$K$3004,$A52,Timesheet!$A$5:$A$3004,"&gt;="&amp;Settings!$B$8,Timesheet!$A$5:$A$3004,"&lt;="&amp;Settings!$B$9))</f>
        <v/>
      </c>
      <c r="E52" s="25" t="str">
        <f aca="false">IF($A52="","",SUMIFS(Timesheet!$F$5:$F$3004,Timesheet!$K$5:$K$3004,$A52,Timesheet!$A$5:$A$3004,"&gt;="&amp;Settings!$B$8,Timesheet!$A$5:$A$3004,"&lt;="&amp;Settings!$B$9))</f>
        <v/>
      </c>
      <c r="F52" s="25" t="str">
        <f aca="false">IF($A52="","",SUMIFS(Timesheet!$G$5:$G$3004,Timesheet!$K$5:$K$3004,$A52,Timesheet!$A$5:$A$3004,"&gt;="&amp;Settings!$B$8,Timesheet!$A$5:$A$3004,"&lt;="&amp;Settings!$B$9))</f>
        <v/>
      </c>
      <c r="G52" s="26" t="str">
        <f aca="false">IF($A52="","",SUMIFS(Timesheet!$R$5:$R$3004,Timesheet!$K$5:$K$3004,$A52,Timesheet!$A$5:$A$3004,"&gt;="&amp;Settings!$B$8,Timesheet!$A$5:$A$3004,"&lt;="&amp;Settings!$B$9))</f>
        <v/>
      </c>
      <c r="H52" s="26" t="str">
        <f aca="false">IF($A52="","",ROUND(G52*Settings!$B$14,2))</f>
        <v/>
      </c>
      <c r="I52" s="23" t="str">
        <f aca="false">IF($A52="","",G52+H52)</f>
        <v/>
      </c>
      <c r="J52" s="24" t="str">
        <f aca="false">IF($A52="","",Suppliers!D52)</f>
        <v/>
      </c>
      <c r="K52" s="35" t="str">
        <f aca="false">IF($A52="","",Settings!$B$9+J52)</f>
        <v/>
      </c>
    </row>
    <row r="53" customFormat="false" ht="15" hidden="false" customHeight="false" outlineLevel="0" collapsed="false">
      <c r="A53" s="24" t="str">
        <f aca="false">IF(Suppliers!A53="","",Suppliers!A53)</f>
        <v/>
      </c>
      <c r="B53" s="24" t="str">
        <f aca="false">IF($A53="","",Suppliers!B53)</f>
        <v/>
      </c>
      <c r="C53" s="25" t="str">
        <f aca="false">IF($A53="","",COUNTIFS(Timesheet!$K$5:$K$3004,$A53,Timesheet!$A$5:$A$3004,"&gt;="&amp;Settings!$B$8,Timesheet!$A$5:$A$3004,"&lt;="&amp;Settings!$B$9))</f>
        <v/>
      </c>
      <c r="D53" s="25" t="str">
        <f aca="false">IF($A53="","",SUMIFS(Timesheet!$E$5:$E$3004,Timesheet!$K$5:$K$3004,$A53,Timesheet!$A$5:$A$3004,"&gt;="&amp;Settings!$B$8,Timesheet!$A$5:$A$3004,"&lt;="&amp;Settings!$B$9))</f>
        <v/>
      </c>
      <c r="E53" s="25" t="str">
        <f aca="false">IF($A53="","",SUMIFS(Timesheet!$F$5:$F$3004,Timesheet!$K$5:$K$3004,$A53,Timesheet!$A$5:$A$3004,"&gt;="&amp;Settings!$B$8,Timesheet!$A$5:$A$3004,"&lt;="&amp;Settings!$B$9))</f>
        <v/>
      </c>
      <c r="F53" s="25" t="str">
        <f aca="false">IF($A53="","",SUMIFS(Timesheet!$G$5:$G$3004,Timesheet!$K$5:$K$3004,$A53,Timesheet!$A$5:$A$3004,"&gt;="&amp;Settings!$B$8,Timesheet!$A$5:$A$3004,"&lt;="&amp;Settings!$B$9))</f>
        <v/>
      </c>
      <c r="G53" s="26" t="str">
        <f aca="false">IF($A53="","",SUMIFS(Timesheet!$R$5:$R$3004,Timesheet!$K$5:$K$3004,$A53,Timesheet!$A$5:$A$3004,"&gt;="&amp;Settings!$B$8,Timesheet!$A$5:$A$3004,"&lt;="&amp;Settings!$B$9))</f>
        <v/>
      </c>
      <c r="H53" s="26" t="str">
        <f aca="false">IF($A53="","",ROUND(G53*Settings!$B$14,2))</f>
        <v/>
      </c>
      <c r="I53" s="23" t="str">
        <f aca="false">IF($A53="","",G53+H53)</f>
        <v/>
      </c>
      <c r="J53" s="24" t="str">
        <f aca="false">IF($A53="","",Suppliers!D53)</f>
        <v/>
      </c>
      <c r="K53" s="35" t="str">
        <f aca="false">IF($A53="","",Settings!$B$9+J53)</f>
        <v/>
      </c>
    </row>
    <row r="54" customFormat="false" ht="15" hidden="false" customHeight="false" outlineLevel="0" collapsed="false">
      <c r="A54" s="24" t="str">
        <f aca="false">IF(Suppliers!A54="","",Suppliers!A54)</f>
        <v/>
      </c>
      <c r="B54" s="24" t="str">
        <f aca="false">IF($A54="","",Suppliers!B54)</f>
        <v/>
      </c>
      <c r="C54" s="25" t="str">
        <f aca="false">IF($A54="","",COUNTIFS(Timesheet!$K$5:$K$3004,$A54,Timesheet!$A$5:$A$3004,"&gt;="&amp;Settings!$B$8,Timesheet!$A$5:$A$3004,"&lt;="&amp;Settings!$B$9))</f>
        <v/>
      </c>
      <c r="D54" s="25" t="str">
        <f aca="false">IF($A54="","",SUMIFS(Timesheet!$E$5:$E$3004,Timesheet!$K$5:$K$3004,$A54,Timesheet!$A$5:$A$3004,"&gt;="&amp;Settings!$B$8,Timesheet!$A$5:$A$3004,"&lt;="&amp;Settings!$B$9))</f>
        <v/>
      </c>
      <c r="E54" s="25" t="str">
        <f aca="false">IF($A54="","",SUMIFS(Timesheet!$F$5:$F$3004,Timesheet!$K$5:$K$3004,$A54,Timesheet!$A$5:$A$3004,"&gt;="&amp;Settings!$B$8,Timesheet!$A$5:$A$3004,"&lt;="&amp;Settings!$B$9))</f>
        <v/>
      </c>
      <c r="F54" s="25" t="str">
        <f aca="false">IF($A54="","",SUMIFS(Timesheet!$G$5:$G$3004,Timesheet!$K$5:$K$3004,$A54,Timesheet!$A$5:$A$3004,"&gt;="&amp;Settings!$B$8,Timesheet!$A$5:$A$3004,"&lt;="&amp;Settings!$B$9))</f>
        <v/>
      </c>
      <c r="G54" s="26" t="str">
        <f aca="false">IF($A54="","",SUMIFS(Timesheet!$R$5:$R$3004,Timesheet!$K$5:$K$3004,$A54,Timesheet!$A$5:$A$3004,"&gt;="&amp;Settings!$B$8,Timesheet!$A$5:$A$3004,"&lt;="&amp;Settings!$B$9))</f>
        <v/>
      </c>
      <c r="H54" s="26" t="str">
        <f aca="false">IF($A54="","",ROUND(G54*Settings!$B$14,2))</f>
        <v/>
      </c>
      <c r="I54" s="23" t="str">
        <f aca="false">IF($A54="","",G54+H54)</f>
        <v/>
      </c>
      <c r="J54" s="24" t="str">
        <f aca="false">IF($A54="","",Suppliers!D54)</f>
        <v/>
      </c>
      <c r="K54" s="35" t="str">
        <f aca="false">IF($A54="","",Settings!$B$9+J54)</f>
        <v/>
      </c>
    </row>
  </sheetData>
  <hyperlinks>
    <hyperlink ref="D1" r:id="rId1" location="'HOME'!A1" display="« HO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J1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27"/>
    <col collapsed="false" customWidth="true" hidden="false" outlineLevel="0" max="6" min="5" style="0" width="12"/>
    <col collapsed="false" customWidth="true" hidden="false" outlineLevel="0" max="7" min="7" style="0" width="7"/>
    <col collapsed="false" customWidth="true" hidden="false" outlineLevel="0" max="9" min="8" style="0" width="12"/>
    <col collapsed="false" customWidth="true" hidden="false" outlineLevel="0" max="10" min="10" style="0" width="9"/>
  </cols>
  <sheetData>
    <row r="1" customFormat="false" ht="17.35" hidden="false" customHeight="false" outlineLevel="0" collapsed="false">
      <c r="A1" s="14" t="s">
        <v>617</v>
      </c>
      <c r="G1" s="15" t="s">
        <v>38</v>
      </c>
    </row>
    <row r="2" customFormat="false" ht="15" hidden="false" customHeight="false" outlineLevel="0" collapsed="false">
      <c r="A2" s="13" t="s">
        <v>618</v>
      </c>
    </row>
    <row r="3" customFormat="false" ht="15" hidden="false" customHeight="false" outlineLevel="0" collapsed="false">
      <c r="A3" s="22" t="s">
        <v>619</v>
      </c>
      <c r="B3" s="42" t="str">
        <f aca="false">Settings!$B$6</f>
        <v>0000001234567</v>
      </c>
      <c r="C3" s="42" t="str">
        <f aca="false">Settings!$B$7</f>
        <v>803320101</v>
      </c>
      <c r="D3" s="42" t="str">
        <f aca="true">TEXT(TODAY(),"yyyy-mm-dd")</f>
        <v>2026-11-01</v>
      </c>
      <c r="E3" s="42" t="str">
        <f aca="true">TEXT(NOW(),"hhmm")</f>
        <v>0511</v>
      </c>
      <c r="F3" s="42" t="str">
        <f aca="false">TEXT(Settings!$B$8,"mmyyyy")</f>
        <v>102026</v>
      </c>
      <c r="G3" s="42" t="n">
        <f aca="false">COUNTIF(A5:A1204,"EDR")</f>
        <v>40</v>
      </c>
      <c r="H3" s="28" t="n">
        <f aca="false">SUM(H5:H1204)+SUM(I5:I1204)</f>
        <v>87430.82</v>
      </c>
      <c r="I3" s="42" t="s">
        <v>620</v>
      </c>
      <c r="J3" s="42" t="str">
        <f aca="false">Settings!$B$4</f>
        <v>Gulf Star Manpower Services LLC</v>
      </c>
    </row>
    <row r="4" customFormat="false" ht="31.5" hidden="false" customHeight="true" outlineLevel="0" collapsed="false">
      <c r="A4" s="40" t="s">
        <v>621</v>
      </c>
      <c r="B4" s="40" t="s">
        <v>622</v>
      </c>
      <c r="C4" s="40" t="s">
        <v>623</v>
      </c>
      <c r="D4" s="40" t="s">
        <v>230</v>
      </c>
      <c r="E4" s="40" t="s">
        <v>624</v>
      </c>
      <c r="F4" s="40" t="s">
        <v>625</v>
      </c>
      <c r="G4" s="40" t="s">
        <v>612</v>
      </c>
      <c r="H4" s="40" t="s">
        <v>626</v>
      </c>
      <c r="I4" s="40" t="s">
        <v>627</v>
      </c>
      <c r="J4" s="40" t="s">
        <v>628</v>
      </c>
    </row>
    <row r="5" customFormat="false" ht="15" hidden="false" customHeight="false" outlineLevel="0" collapsed="false">
      <c r="A5" s="24" t="str">
        <f aca="false">IF(AND(Payroll!$A5&lt;&gt;"",N(Payroll!$R5)&gt;0),"EDR","")</f>
        <v>EDR</v>
      </c>
      <c r="B5" s="24" t="str">
        <f aca="false">IF($A5="","",Payroll!U5)</f>
        <v>96921334349946</v>
      </c>
      <c r="C5" s="24" t="str">
        <f aca="false">IF($A5="","",Payroll!S5)</f>
        <v>402320106</v>
      </c>
      <c r="D5" s="24" t="str">
        <f aca="false">IF($A5="","",SUBSTITUTE(Payroll!T5," ",""))</f>
        <v>AE961884848174287521508</v>
      </c>
      <c r="E5" s="24" t="str">
        <f aca="false">IF($A5="","",TEXT(Settings!$B$8,"yyyy-mm-dd"))</f>
        <v>2026-10-01</v>
      </c>
      <c r="F5" s="24" t="str">
        <f aca="false">IF($A5="","",TEXT(Settings!$B$9,"yyyy-mm-dd"))</f>
        <v>2026-10-31</v>
      </c>
      <c r="G5" s="24" t="n">
        <f aca="false">IF($A5="","",DAY(Settings!$B$9))</f>
        <v>31</v>
      </c>
      <c r="H5" s="26" t="n">
        <f aca="false">IF($A5="","",ROUND(Payroll!R5-Payroll!L5-Payroll!M5,2))</f>
        <v>1800</v>
      </c>
      <c r="I5" s="26" t="n">
        <f aca="false">IF($A5="","",ROUND(Payroll!L5+Payroll!M5,2))</f>
        <v>189.58</v>
      </c>
      <c r="J5" s="24" t="n">
        <f aca="false">IF($A5="","",0)</f>
        <v>0</v>
      </c>
    </row>
    <row r="6" customFormat="false" ht="15" hidden="false" customHeight="false" outlineLevel="0" collapsed="false">
      <c r="A6" s="24" t="str">
        <f aca="false">IF(AND(Payroll!$A6&lt;&gt;"",N(Payroll!$R6)&gt;0),"EDR","")</f>
        <v>EDR</v>
      </c>
      <c r="B6" s="24" t="str">
        <f aca="false">IF($A6="","",Payroll!U6)</f>
        <v>24278776051635</v>
      </c>
      <c r="C6" s="24" t="str">
        <f aca="false">IF($A6="","",Payroll!S6)</f>
        <v>600310101</v>
      </c>
      <c r="D6" s="24" t="str">
        <f aca="false">IF($A6="","",SUBSTITUTE(Payroll!T6," ",""))</f>
        <v>AE881417215244077164252</v>
      </c>
      <c r="E6" s="24" t="str">
        <f aca="false">IF($A6="","",TEXT(Settings!$B$8,"yyyy-mm-dd"))</f>
        <v>2026-10-01</v>
      </c>
      <c r="F6" s="24" t="str">
        <f aca="false">IF($A6="","",TEXT(Settings!$B$9,"yyyy-mm-dd"))</f>
        <v>2026-10-31</v>
      </c>
      <c r="G6" s="24" t="n">
        <f aca="false">IF($A6="","",DAY(Settings!$B$9))</f>
        <v>31</v>
      </c>
      <c r="H6" s="26" t="n">
        <f aca="false">IF($A6="","",ROUND(Payroll!R6-Payroll!L6-Payroll!M6,2))</f>
        <v>1343.33</v>
      </c>
      <c r="I6" s="26" t="n">
        <f aca="false">IF($A6="","",ROUND(Payroll!L6+Payroll!M6,2))</f>
        <v>162.5</v>
      </c>
      <c r="J6" s="24" t="n">
        <f aca="false">IF($A6="","",0)</f>
        <v>0</v>
      </c>
    </row>
    <row r="7" customFormat="false" ht="15" hidden="false" customHeight="false" outlineLevel="0" collapsed="false">
      <c r="A7" s="24" t="str">
        <f aca="false">IF(AND(Payroll!$A7&lt;&gt;"",N(Payroll!$R7)&gt;0),"EDR","")</f>
        <v>EDR</v>
      </c>
      <c r="B7" s="24" t="str">
        <f aca="false">IF($A7="","",Payroll!U7)</f>
        <v>32723349357046</v>
      </c>
      <c r="C7" s="24" t="str">
        <f aca="false">IF($A7="","",Payroll!S7)</f>
        <v>402320106</v>
      </c>
      <c r="D7" s="24" t="str">
        <f aca="false">IF($A7="","",SUBSTITUTE(Payroll!T7," ",""))</f>
        <v>AE124362965469263401806</v>
      </c>
      <c r="E7" s="24" t="str">
        <f aca="false">IF($A7="","",TEXT(Settings!$B$8,"yyyy-mm-dd"))</f>
        <v>2026-10-01</v>
      </c>
      <c r="F7" s="24" t="str">
        <f aca="false">IF($A7="","",TEXT(Settings!$B$9,"yyyy-mm-dd"))</f>
        <v>2026-10-31</v>
      </c>
      <c r="G7" s="24" t="n">
        <f aca="false">IF($A7="","",DAY(Settings!$B$9))</f>
        <v>31</v>
      </c>
      <c r="H7" s="26" t="n">
        <f aca="false">IF($A7="","",ROUND(Payroll!R7-Payroll!L7-Payroll!M7,2))</f>
        <v>1933.33</v>
      </c>
      <c r="I7" s="26" t="n">
        <f aca="false">IF($A7="","",ROUND(Payroll!L7+Payroll!M7,2))</f>
        <v>203.13</v>
      </c>
      <c r="J7" s="24" t="n">
        <f aca="false">IF($A7="","",0)</f>
        <v>0</v>
      </c>
    </row>
    <row r="8" customFormat="false" ht="15" hidden="false" customHeight="false" outlineLevel="0" collapsed="false">
      <c r="A8" s="24" t="str">
        <f aca="false">IF(AND(Payroll!$A8&lt;&gt;"",N(Payroll!$R8)&gt;0),"EDR","")</f>
        <v>EDR</v>
      </c>
      <c r="B8" s="24" t="str">
        <f aca="false">IF($A8="","",Payroll!U8)</f>
        <v>41910762301181</v>
      </c>
      <c r="C8" s="24" t="str">
        <f aca="false">IF($A8="","",Payroll!S8)</f>
        <v>803320101</v>
      </c>
      <c r="D8" s="24" t="str">
        <f aca="false">IF($A8="","",SUBSTITUTE(Payroll!T8," ",""))</f>
        <v>AE769073682514741457909</v>
      </c>
      <c r="E8" s="24" t="str">
        <f aca="false">IF($A8="","",TEXT(Settings!$B$8,"yyyy-mm-dd"))</f>
        <v>2026-10-01</v>
      </c>
      <c r="F8" s="24" t="str">
        <f aca="false">IF($A8="","",TEXT(Settings!$B$9,"yyyy-mm-dd"))</f>
        <v>2026-10-31</v>
      </c>
      <c r="G8" s="24" t="n">
        <f aca="false">IF($A8="","",DAY(Settings!$B$9))</f>
        <v>31</v>
      </c>
      <c r="H8" s="26" t="n">
        <f aca="false">IF($A8="","",ROUND(Payroll!R8-Payroll!L8-Payroll!M8,2))</f>
        <v>2146.67</v>
      </c>
      <c r="I8" s="26" t="n">
        <f aca="false">IF($A8="","",ROUND(Payroll!L8+Payroll!M8,2))</f>
        <v>166.67</v>
      </c>
      <c r="J8" s="24" t="n">
        <f aca="false">IF($A8="","",0)</f>
        <v>0</v>
      </c>
    </row>
    <row r="9" customFormat="false" ht="15" hidden="false" customHeight="false" outlineLevel="0" collapsed="false">
      <c r="A9" s="24" t="str">
        <f aca="false">IF(AND(Payroll!$A9&lt;&gt;"",N(Payroll!$R9)&gt;0),"EDR","")</f>
        <v>EDR</v>
      </c>
      <c r="B9" s="24" t="str">
        <f aca="false">IF($A9="","",Payroll!U9)</f>
        <v>95890327812981</v>
      </c>
      <c r="C9" s="24" t="str">
        <f aca="false">IF($A9="","",Payroll!S9)</f>
        <v>803320101</v>
      </c>
      <c r="D9" s="24" t="str">
        <f aca="false">IF($A9="","",SUBSTITUTE(Payroll!T9," ",""))</f>
        <v>AE716636238929647365901</v>
      </c>
      <c r="E9" s="24" t="str">
        <f aca="false">IF($A9="","",TEXT(Settings!$B$8,"yyyy-mm-dd"))</f>
        <v>2026-10-01</v>
      </c>
      <c r="F9" s="24" t="str">
        <f aca="false">IF($A9="","",TEXT(Settings!$B$9,"yyyy-mm-dd"))</f>
        <v>2026-10-31</v>
      </c>
      <c r="G9" s="24" t="n">
        <f aca="false">IF($A9="","",DAY(Settings!$B$9))</f>
        <v>31</v>
      </c>
      <c r="H9" s="26" t="n">
        <f aca="false">IF($A9="","",ROUND(Payroll!R9-Payroll!L9-Payroll!M9,2))</f>
        <v>1100</v>
      </c>
      <c r="I9" s="26" t="n">
        <f aca="false">IF($A9="","",ROUND(Payroll!L9+Payroll!M9,2))</f>
        <v>162.5</v>
      </c>
      <c r="J9" s="24" t="n">
        <f aca="false">IF($A9="","",0)</f>
        <v>0</v>
      </c>
    </row>
    <row r="10" customFormat="false" ht="15" hidden="false" customHeight="false" outlineLevel="0" collapsed="false">
      <c r="A10" s="24" t="str">
        <f aca="false">IF(AND(Payroll!$A10&lt;&gt;"",N(Payroll!$R10)&gt;0),"EDR","")</f>
        <v>EDR</v>
      </c>
      <c r="B10" s="24" t="str">
        <f aca="false">IF($A10="","",Payroll!U10)</f>
        <v>96071772425721</v>
      </c>
      <c r="C10" s="24" t="str">
        <f aca="false">IF($A10="","",Payroll!S10)</f>
        <v>402320106</v>
      </c>
      <c r="D10" s="24" t="str">
        <f aca="false">IF($A10="","",SUBSTITUTE(Payroll!T10," ",""))</f>
        <v>AE706741355499899983234</v>
      </c>
      <c r="E10" s="24" t="str">
        <f aca="false">IF($A10="","",TEXT(Settings!$B$8,"yyyy-mm-dd"))</f>
        <v>2026-10-01</v>
      </c>
      <c r="F10" s="24" t="str">
        <f aca="false">IF($A10="","",TEXT(Settings!$B$9,"yyyy-mm-dd"))</f>
        <v>2026-10-31</v>
      </c>
      <c r="G10" s="24" t="n">
        <f aca="false">IF($A10="","",DAY(Settings!$B$9))</f>
        <v>31</v>
      </c>
      <c r="H10" s="26" t="n">
        <f aca="false">IF($A10="","",ROUND(Payroll!R10-Payroll!L10-Payroll!M10,2))</f>
        <v>1300</v>
      </c>
      <c r="I10" s="26" t="n">
        <f aca="false">IF($A10="","",ROUND(Payroll!L10+Payroll!M10,2))</f>
        <v>0</v>
      </c>
      <c r="J10" s="24" t="n">
        <f aca="false">IF($A10="","",0)</f>
        <v>0</v>
      </c>
    </row>
    <row r="11" customFormat="false" ht="15" hidden="false" customHeight="false" outlineLevel="0" collapsed="false">
      <c r="A11" s="24" t="str">
        <f aca="false">IF(AND(Payroll!$A11&lt;&gt;"",N(Payroll!$R11)&gt;0),"EDR","")</f>
        <v>EDR</v>
      </c>
      <c r="B11" s="24" t="str">
        <f aca="false">IF($A11="","",Payroll!U11)</f>
        <v>68972238951406</v>
      </c>
      <c r="C11" s="24" t="str">
        <f aca="false">IF($A11="","",Payroll!S11)</f>
        <v>803320101</v>
      </c>
      <c r="D11" s="24" t="str">
        <f aca="false">IF($A11="","",SUBSTITUTE(Payroll!T11," ",""))</f>
        <v>AE176796850694667891946</v>
      </c>
      <c r="E11" s="24" t="str">
        <f aca="false">IF($A11="","",TEXT(Settings!$B$8,"yyyy-mm-dd"))</f>
        <v>2026-10-01</v>
      </c>
      <c r="F11" s="24" t="str">
        <f aca="false">IF($A11="","",TEXT(Settings!$B$9,"yyyy-mm-dd"))</f>
        <v>2026-10-31</v>
      </c>
      <c r="G11" s="24" t="n">
        <f aca="false">IF($A11="","",DAY(Settings!$B$9))</f>
        <v>31</v>
      </c>
      <c r="H11" s="26" t="n">
        <f aca="false">IF($A11="","",ROUND(Payroll!R11-Payroll!L11-Payroll!M11,2))</f>
        <v>2240</v>
      </c>
      <c r="I11" s="26" t="n">
        <f aca="false">IF($A11="","",ROUND(Payroll!L11+Payroll!M11,2))</f>
        <v>270.83</v>
      </c>
      <c r="J11" s="24" t="n">
        <f aca="false">IF($A11="","",0)</f>
        <v>0</v>
      </c>
    </row>
    <row r="12" customFormat="false" ht="15" hidden="false" customHeight="false" outlineLevel="0" collapsed="false">
      <c r="A12" s="24" t="str">
        <f aca="false">IF(AND(Payroll!$A12&lt;&gt;"",N(Payroll!$R12)&gt;0),"EDR","")</f>
        <v>EDR</v>
      </c>
      <c r="B12" s="24" t="str">
        <f aca="false">IF($A12="","",Payroll!U12)</f>
        <v>84691707568212</v>
      </c>
      <c r="C12" s="24" t="str">
        <f aca="false">IF($A12="","",Payroll!S12)</f>
        <v>402320106</v>
      </c>
      <c r="D12" s="24" t="str">
        <f aca="false">IF($A12="","",SUBSTITUTE(Payroll!T12," ",""))</f>
        <v>AE712738193050714134383</v>
      </c>
      <c r="E12" s="24" t="str">
        <f aca="false">IF($A12="","",TEXT(Settings!$B$8,"yyyy-mm-dd"))</f>
        <v>2026-10-01</v>
      </c>
      <c r="F12" s="24" t="str">
        <f aca="false">IF($A12="","",TEXT(Settings!$B$9,"yyyy-mm-dd"))</f>
        <v>2026-10-31</v>
      </c>
      <c r="G12" s="24" t="n">
        <f aca="false">IF($A12="","",DAY(Settings!$B$9))</f>
        <v>31</v>
      </c>
      <c r="H12" s="26" t="n">
        <f aca="false">IF($A12="","",ROUND(Payroll!R12-Payroll!L12-Payroll!M12,2))</f>
        <v>0</v>
      </c>
      <c r="I12" s="26" t="n">
        <f aca="false">IF($A12="","",ROUND(Payroll!L12+Payroll!M12,2))</f>
        <v>2097</v>
      </c>
      <c r="J12" s="24" t="n">
        <f aca="false">IF($A12="","",0)</f>
        <v>0</v>
      </c>
    </row>
    <row r="13" customFormat="false" ht="15" hidden="false" customHeight="false" outlineLevel="0" collapsed="false">
      <c r="A13" s="24" t="str">
        <f aca="false">IF(AND(Payroll!$A13&lt;&gt;"",N(Payroll!$R13)&gt;0),"EDR","")</f>
        <v>EDR</v>
      </c>
      <c r="B13" s="24" t="str">
        <f aca="false">IF($A13="","",Payroll!U13)</f>
        <v>85052441044367</v>
      </c>
      <c r="C13" s="24" t="str">
        <f aca="false">IF($A13="","",Payroll!S13)</f>
        <v>600310101</v>
      </c>
      <c r="D13" s="24" t="str">
        <f aca="false">IF($A13="","",SUBSTITUTE(Payroll!T13," ",""))</f>
        <v>AE745057957252534319960</v>
      </c>
      <c r="E13" s="24" t="str">
        <f aca="false">IF($A13="","",TEXT(Settings!$B$8,"yyyy-mm-dd"))</f>
        <v>2026-10-01</v>
      </c>
      <c r="F13" s="24" t="str">
        <f aca="false">IF($A13="","",TEXT(Settings!$B$9,"yyyy-mm-dd"))</f>
        <v>2026-10-31</v>
      </c>
      <c r="G13" s="24" t="n">
        <f aca="false">IF($A13="","",DAY(Settings!$B$9))</f>
        <v>31</v>
      </c>
      <c r="H13" s="26" t="n">
        <f aca="false">IF($A13="","",ROUND(Payroll!R13-Payroll!L13-Payroll!M13,2))</f>
        <v>2900</v>
      </c>
      <c r="I13" s="26" t="n">
        <f aca="false">IF($A13="","",ROUND(Payroll!L13+Payroll!M13,2))</f>
        <v>260.42</v>
      </c>
      <c r="J13" s="24" t="n">
        <f aca="false">IF($A13="","",0)</f>
        <v>0</v>
      </c>
    </row>
    <row r="14" customFormat="false" ht="15" hidden="false" customHeight="false" outlineLevel="0" collapsed="false">
      <c r="A14" s="24" t="str">
        <f aca="false">IF(AND(Payroll!$A14&lt;&gt;"",N(Payroll!$R14)&gt;0),"EDR","")</f>
        <v>EDR</v>
      </c>
      <c r="B14" s="24" t="str">
        <f aca="false">IF($A14="","",Payroll!U14)</f>
        <v>40904298604831</v>
      </c>
      <c r="C14" s="24" t="str">
        <f aca="false">IF($A14="","",Payroll!S14)</f>
        <v>402320106</v>
      </c>
      <c r="D14" s="24" t="str">
        <f aca="false">IF($A14="","",SUBSTITUTE(Payroll!T14," ",""))</f>
        <v>AE227525898336674665265</v>
      </c>
      <c r="E14" s="24" t="str">
        <f aca="false">IF($A14="","",TEXT(Settings!$B$8,"yyyy-mm-dd"))</f>
        <v>2026-10-01</v>
      </c>
      <c r="F14" s="24" t="str">
        <f aca="false">IF($A14="","",TEXT(Settings!$B$9,"yyyy-mm-dd"))</f>
        <v>2026-10-31</v>
      </c>
      <c r="G14" s="24" t="n">
        <f aca="false">IF($A14="","",DAY(Settings!$B$9))</f>
        <v>31</v>
      </c>
      <c r="H14" s="26" t="n">
        <f aca="false">IF($A14="","",ROUND(Payroll!R14-Payroll!L14-Payroll!M14,2))</f>
        <v>2416.67</v>
      </c>
      <c r="I14" s="26" t="n">
        <f aca="false">IF($A14="","",ROUND(Payroll!L14+Payroll!M14,2))</f>
        <v>0</v>
      </c>
      <c r="J14" s="24" t="n">
        <f aca="false">IF($A14="","",0)</f>
        <v>0</v>
      </c>
    </row>
    <row r="15" customFormat="false" ht="15" hidden="false" customHeight="false" outlineLevel="0" collapsed="false">
      <c r="A15" s="24" t="str">
        <f aca="false">IF(AND(Payroll!$A15&lt;&gt;"",N(Payroll!$R15)&gt;0),"EDR","")</f>
        <v>EDR</v>
      </c>
      <c r="B15" s="24" t="str">
        <f aca="false">IF($A15="","",Payroll!U15)</f>
        <v>82822594276261</v>
      </c>
      <c r="C15" s="24" t="str">
        <f aca="false">IF($A15="","",Payroll!S15)</f>
        <v>402320106</v>
      </c>
      <c r="D15" s="24" t="str">
        <f aca="false">IF($A15="","",SUBSTITUTE(Payroll!T15," ",""))</f>
        <v>AE479392205328484744997</v>
      </c>
      <c r="E15" s="24" t="str">
        <f aca="false">IF($A15="","",TEXT(Settings!$B$8,"yyyy-mm-dd"))</f>
        <v>2026-10-01</v>
      </c>
      <c r="F15" s="24" t="str">
        <f aca="false">IF($A15="","",TEXT(Settings!$B$9,"yyyy-mm-dd"))</f>
        <v>2026-10-31</v>
      </c>
      <c r="G15" s="24" t="n">
        <f aca="false">IF($A15="","",DAY(Settings!$B$9))</f>
        <v>31</v>
      </c>
      <c r="H15" s="26" t="n">
        <f aca="false">IF($A15="","",ROUND(Payroll!R15-Payroll!L15-Payroll!M15,2))</f>
        <v>1350</v>
      </c>
      <c r="I15" s="26" t="n">
        <f aca="false">IF($A15="","",ROUND(Payroll!L15+Payroll!M15,2))</f>
        <v>162.5</v>
      </c>
      <c r="J15" s="24" t="n">
        <f aca="false">IF($A15="","",0)</f>
        <v>0</v>
      </c>
    </row>
    <row r="16" customFormat="false" ht="15" hidden="false" customHeight="false" outlineLevel="0" collapsed="false">
      <c r="A16" s="24" t="str">
        <f aca="false">IF(AND(Payroll!$A16&lt;&gt;"",N(Payroll!$R16)&gt;0),"EDR","")</f>
        <v>EDR</v>
      </c>
      <c r="B16" s="24" t="str">
        <f aca="false">IF($A16="","",Payroll!U16)</f>
        <v>18097211916423</v>
      </c>
      <c r="C16" s="24" t="str">
        <f aca="false">IF($A16="","",Payroll!S16)</f>
        <v>402320106</v>
      </c>
      <c r="D16" s="24" t="str">
        <f aca="false">IF($A16="","",SUBSTITUTE(Payroll!T16," ",""))</f>
        <v>AE337968218654061275749</v>
      </c>
      <c r="E16" s="24" t="str">
        <f aca="false">IF($A16="","",TEXT(Settings!$B$8,"yyyy-mm-dd"))</f>
        <v>2026-10-01</v>
      </c>
      <c r="F16" s="24" t="str">
        <f aca="false">IF($A16="","",TEXT(Settings!$B$9,"yyyy-mm-dd"))</f>
        <v>2026-10-31</v>
      </c>
      <c r="G16" s="24" t="n">
        <f aca="false">IF($A16="","",DAY(Settings!$B$9))</f>
        <v>31</v>
      </c>
      <c r="H16" s="26" t="n">
        <f aca="false">IF($A16="","",ROUND(Payroll!R16-Payroll!L16-Payroll!M16,2))</f>
        <v>1993.33</v>
      </c>
      <c r="I16" s="26" t="n">
        <f aca="false">IF($A16="","",ROUND(Payroll!L16+Payroll!M16,2))</f>
        <v>166.67</v>
      </c>
      <c r="J16" s="24" t="n">
        <f aca="false">IF($A16="","",0)</f>
        <v>0</v>
      </c>
    </row>
    <row r="17" customFormat="false" ht="15" hidden="false" customHeight="false" outlineLevel="0" collapsed="false">
      <c r="A17" s="24" t="str">
        <f aca="false">IF(AND(Payroll!$A17&lt;&gt;"",N(Payroll!$R17)&gt;0),"EDR","")</f>
        <v>EDR</v>
      </c>
      <c r="B17" s="24" t="str">
        <f aca="false">IF($A17="","",Payroll!U17)</f>
        <v>84152795932475</v>
      </c>
      <c r="C17" s="24" t="str">
        <f aca="false">IF($A17="","",Payroll!S17)</f>
        <v>402320106</v>
      </c>
      <c r="D17" s="24" t="str">
        <f aca="false">IF($A17="","",SUBSTITUTE(Payroll!T17," ",""))</f>
        <v>AE402793364552901825285</v>
      </c>
      <c r="E17" s="24" t="str">
        <f aca="false">IF($A17="","",TEXT(Settings!$B$8,"yyyy-mm-dd"))</f>
        <v>2026-10-01</v>
      </c>
      <c r="F17" s="24" t="str">
        <f aca="false">IF($A17="","",TEXT(Settings!$B$9,"yyyy-mm-dd"))</f>
        <v>2026-10-31</v>
      </c>
      <c r="G17" s="24" t="n">
        <f aca="false">IF($A17="","",DAY(Settings!$B$9))</f>
        <v>31</v>
      </c>
      <c r="H17" s="26" t="n">
        <f aca="false">IF($A17="","",ROUND(Payroll!R17-Payroll!L17-Payroll!M17,2))</f>
        <v>1820</v>
      </c>
      <c r="I17" s="26" t="n">
        <f aca="false">IF($A17="","",ROUND(Payroll!L17+Payroll!M17,2))</f>
        <v>93.75</v>
      </c>
      <c r="J17" s="24" t="n">
        <f aca="false">IF($A17="","",0)</f>
        <v>0</v>
      </c>
    </row>
    <row r="18" customFormat="false" ht="15" hidden="false" customHeight="false" outlineLevel="0" collapsed="false">
      <c r="A18" s="24" t="str">
        <f aca="false">IF(AND(Payroll!$A18&lt;&gt;"",N(Payroll!$R18)&gt;0),"EDR","")</f>
        <v>EDR</v>
      </c>
      <c r="B18" s="24" t="str">
        <f aca="false">IF($A18="","",Payroll!U18)</f>
        <v>82371012647049</v>
      </c>
      <c r="C18" s="24" t="str">
        <f aca="false">IF($A18="","",Payroll!S18)</f>
        <v>600310101</v>
      </c>
      <c r="D18" s="24" t="str">
        <f aca="false">IF($A18="","",SUBSTITUTE(Payroll!T18," ",""))</f>
        <v>AE418324274180809110659</v>
      </c>
      <c r="E18" s="24" t="str">
        <f aca="false">IF($A18="","",TEXT(Settings!$B$8,"yyyy-mm-dd"))</f>
        <v>2026-10-01</v>
      </c>
      <c r="F18" s="24" t="str">
        <f aca="false">IF($A18="","",TEXT(Settings!$B$9,"yyyy-mm-dd"))</f>
        <v>2026-10-31</v>
      </c>
      <c r="G18" s="24" t="n">
        <f aca="false">IF($A18="","",DAY(Settings!$B$9))</f>
        <v>31</v>
      </c>
      <c r="H18" s="26" t="n">
        <f aca="false">IF($A18="","",ROUND(Payroll!R18-Payroll!L18-Payroll!M18,2))</f>
        <v>1436.67</v>
      </c>
      <c r="I18" s="26" t="n">
        <f aca="false">IF($A18="","",ROUND(Payroll!L18+Payroll!M18,2))</f>
        <v>187.5</v>
      </c>
      <c r="J18" s="24" t="n">
        <f aca="false">IF($A18="","",0)</f>
        <v>0</v>
      </c>
    </row>
    <row r="19" customFormat="false" ht="15" hidden="false" customHeight="false" outlineLevel="0" collapsed="false">
      <c r="A19" s="24" t="str">
        <f aca="false">IF(AND(Payroll!$A19&lt;&gt;"",N(Payroll!$R19)&gt;0),"EDR","")</f>
        <v>EDR</v>
      </c>
      <c r="B19" s="24" t="str">
        <f aca="false">IF($A19="","",Payroll!U19)</f>
        <v>17796066780717</v>
      </c>
      <c r="C19" s="24" t="str">
        <f aca="false">IF($A19="","",Payroll!S19)</f>
        <v>803320101</v>
      </c>
      <c r="D19" s="24" t="str">
        <f aca="false">IF($A19="","",SUBSTITUTE(Payroll!T19," ",""))</f>
        <v>AE957240928956194968809</v>
      </c>
      <c r="E19" s="24" t="str">
        <f aca="false">IF($A19="","",TEXT(Settings!$B$8,"yyyy-mm-dd"))</f>
        <v>2026-10-01</v>
      </c>
      <c r="F19" s="24" t="str">
        <f aca="false">IF($A19="","",TEXT(Settings!$B$9,"yyyy-mm-dd"))</f>
        <v>2026-10-31</v>
      </c>
      <c r="G19" s="24" t="n">
        <f aca="false">IF($A19="","",DAY(Settings!$B$9))</f>
        <v>31</v>
      </c>
      <c r="H19" s="26" t="n">
        <f aca="false">IF($A19="","",ROUND(Payroll!R19-Payroll!L19-Payroll!M19,2))</f>
        <v>2416.67</v>
      </c>
      <c r="I19" s="26" t="n">
        <f aca="false">IF($A19="","",ROUND(Payroll!L19+Payroll!M19,2))</f>
        <v>312.5</v>
      </c>
      <c r="J19" s="24" t="n">
        <f aca="false">IF($A19="","",0)</f>
        <v>0</v>
      </c>
    </row>
    <row r="20" customFormat="false" ht="15" hidden="false" customHeight="false" outlineLevel="0" collapsed="false">
      <c r="A20" s="24" t="str">
        <f aca="false">IF(AND(Payroll!$A20&lt;&gt;"",N(Payroll!$R20)&gt;0),"EDR","")</f>
        <v>EDR</v>
      </c>
      <c r="B20" s="24" t="str">
        <f aca="false">IF($A20="","",Payroll!U20)</f>
        <v>10151109653521</v>
      </c>
      <c r="C20" s="24" t="str">
        <f aca="false">IF($A20="","",Payroll!S20)</f>
        <v>600310101</v>
      </c>
      <c r="D20" s="24" t="str">
        <f aca="false">IF($A20="","",SUBSTITUTE(Payroll!T20," ",""))</f>
        <v>AE582374877655699237771</v>
      </c>
      <c r="E20" s="24" t="str">
        <f aca="false">IF($A20="","",TEXT(Settings!$B$8,"yyyy-mm-dd"))</f>
        <v>2026-10-01</v>
      </c>
      <c r="F20" s="24" t="str">
        <f aca="false">IF($A20="","",TEXT(Settings!$B$9,"yyyy-mm-dd"))</f>
        <v>2026-10-31</v>
      </c>
      <c r="G20" s="24" t="n">
        <f aca="false">IF($A20="","",DAY(Settings!$B$9))</f>
        <v>31</v>
      </c>
      <c r="H20" s="26" t="n">
        <f aca="false">IF($A20="","",ROUND(Payroll!R20-Payroll!L20-Payroll!M20,2))</f>
        <v>0</v>
      </c>
      <c r="I20" s="26" t="n">
        <f aca="false">IF($A20="","",ROUND(Payroll!L20+Payroll!M20,2))</f>
        <v>2436.5</v>
      </c>
      <c r="J20" s="24" t="n">
        <f aca="false">IF($A20="","",0)</f>
        <v>0</v>
      </c>
    </row>
    <row r="21" customFormat="false" ht="15" hidden="false" customHeight="false" outlineLevel="0" collapsed="false">
      <c r="A21" s="24" t="str">
        <f aca="false">IF(AND(Payroll!$A21&lt;&gt;"",N(Payroll!$R21)&gt;0),"EDR","")</f>
        <v>EDR</v>
      </c>
      <c r="B21" s="24" t="str">
        <f aca="false">IF($A21="","",Payroll!U21)</f>
        <v>31851722182217</v>
      </c>
      <c r="C21" s="24" t="str">
        <f aca="false">IF($A21="","",Payroll!S21)</f>
        <v>402320106</v>
      </c>
      <c r="D21" s="24" t="str">
        <f aca="false">IF($A21="","",SUBSTITUTE(Payroll!T21," ",""))</f>
        <v>AE867381634390963448390</v>
      </c>
      <c r="E21" s="24" t="str">
        <f aca="false">IF($A21="","",TEXT(Settings!$B$8,"yyyy-mm-dd"))</f>
        <v>2026-10-01</v>
      </c>
      <c r="F21" s="24" t="str">
        <f aca="false">IF($A21="","",TEXT(Settings!$B$9,"yyyy-mm-dd"))</f>
        <v>2026-10-31</v>
      </c>
      <c r="G21" s="24" t="n">
        <f aca="false">IF($A21="","",DAY(Settings!$B$9))</f>
        <v>31</v>
      </c>
      <c r="H21" s="26" t="n">
        <f aca="false">IF($A21="","",ROUND(Payroll!R21-Payroll!L21-Payroll!M21,2))</f>
        <v>1680</v>
      </c>
      <c r="I21" s="26" t="n">
        <f aca="false">IF($A21="","",ROUND(Payroll!L21+Payroll!M21,2))</f>
        <v>125</v>
      </c>
      <c r="J21" s="24" t="n">
        <f aca="false">IF($A21="","",0)</f>
        <v>0</v>
      </c>
    </row>
    <row r="22" customFormat="false" ht="15" hidden="false" customHeight="false" outlineLevel="0" collapsed="false">
      <c r="A22" s="24" t="str">
        <f aca="false">IF(AND(Payroll!$A22&lt;&gt;"",N(Payroll!$R22)&gt;0),"EDR","")</f>
        <v>EDR</v>
      </c>
      <c r="B22" s="24" t="str">
        <f aca="false">IF($A22="","",Payroll!U22)</f>
        <v>60764954880477</v>
      </c>
      <c r="C22" s="24" t="str">
        <f aca="false">IF($A22="","",Payroll!S22)</f>
        <v>803320101</v>
      </c>
      <c r="D22" s="24" t="str">
        <f aca="false">IF($A22="","",SUBSTITUTE(Payroll!T22," ",""))</f>
        <v>AE588395183113089707797</v>
      </c>
      <c r="E22" s="24" t="str">
        <f aca="false">IF($A22="","",TEXT(Settings!$B$8,"yyyy-mm-dd"))</f>
        <v>2026-10-01</v>
      </c>
      <c r="F22" s="24" t="str">
        <f aca="false">IF($A22="","",TEXT(Settings!$B$9,"yyyy-mm-dd"))</f>
        <v>2026-10-31</v>
      </c>
      <c r="G22" s="24" t="n">
        <f aca="false">IF($A22="","",DAY(Settings!$B$9))</f>
        <v>31</v>
      </c>
      <c r="H22" s="26" t="n">
        <f aca="false">IF($A22="","",ROUND(Payroll!R22-Payroll!L22-Payroll!M22,2))</f>
        <v>2800</v>
      </c>
      <c r="I22" s="26" t="n">
        <f aca="false">IF($A22="","",ROUND(Payroll!L22+Payroll!M22,2))</f>
        <v>130.21</v>
      </c>
      <c r="J22" s="24" t="n">
        <f aca="false">IF($A22="","",0)</f>
        <v>0</v>
      </c>
    </row>
    <row r="23" customFormat="false" ht="15" hidden="false" customHeight="false" outlineLevel="0" collapsed="false">
      <c r="A23" s="24" t="str">
        <f aca="false">IF(AND(Payroll!$A23&lt;&gt;"",N(Payroll!$R23)&gt;0),"EDR","")</f>
        <v>EDR</v>
      </c>
      <c r="B23" s="24" t="str">
        <f aca="false">IF($A23="","",Payroll!U23)</f>
        <v>79516022831268</v>
      </c>
      <c r="C23" s="24" t="str">
        <f aca="false">IF($A23="","",Payroll!S23)</f>
        <v>600310101</v>
      </c>
      <c r="D23" s="24" t="str">
        <f aca="false">IF($A23="","",SUBSTITUTE(Payroll!T23," ",""))</f>
        <v>AE198848570717654248179</v>
      </c>
      <c r="E23" s="24" t="str">
        <f aca="false">IF($A23="","",TEXT(Settings!$B$8,"yyyy-mm-dd"))</f>
        <v>2026-10-01</v>
      </c>
      <c r="F23" s="24" t="str">
        <f aca="false">IF($A23="","",TEXT(Settings!$B$9,"yyyy-mm-dd"))</f>
        <v>2026-10-31</v>
      </c>
      <c r="G23" s="24" t="n">
        <f aca="false">IF($A23="","",DAY(Settings!$B$9))</f>
        <v>31</v>
      </c>
      <c r="H23" s="26" t="n">
        <f aca="false">IF($A23="","",ROUND(Payroll!R23-Payroll!L23-Payroll!M23,2))</f>
        <v>2146.67</v>
      </c>
      <c r="I23" s="26" t="n">
        <f aca="false">IF($A23="","",ROUND(Payroll!L23+Payroll!M23,2))</f>
        <v>166.67</v>
      </c>
      <c r="J23" s="24" t="n">
        <f aca="false">IF($A23="","",0)</f>
        <v>0</v>
      </c>
    </row>
    <row r="24" customFormat="false" ht="15" hidden="false" customHeight="false" outlineLevel="0" collapsed="false">
      <c r="A24" s="24" t="str">
        <f aca="false">IF(AND(Payroll!$A24&lt;&gt;"",N(Payroll!$R24)&gt;0),"EDR","")</f>
        <v>EDR</v>
      </c>
      <c r="B24" s="24" t="str">
        <f aca="false">IF($A24="","",Payroll!U24)</f>
        <v>82695366062236</v>
      </c>
      <c r="C24" s="24" t="str">
        <f aca="false">IF($A24="","",Payroll!S24)</f>
        <v>600310101</v>
      </c>
      <c r="D24" s="24" t="str">
        <f aca="false">IF($A24="","",SUBSTITUTE(Payroll!T24," ",""))</f>
        <v>AE698633864029419996304</v>
      </c>
      <c r="E24" s="24" t="str">
        <f aca="false">IF($A24="","",TEXT(Settings!$B$8,"yyyy-mm-dd"))</f>
        <v>2026-10-01</v>
      </c>
      <c r="F24" s="24" t="str">
        <f aca="false">IF($A24="","",TEXT(Settings!$B$9,"yyyy-mm-dd"))</f>
        <v>2026-10-31</v>
      </c>
      <c r="G24" s="24" t="n">
        <f aca="false">IF($A24="","",DAY(Settings!$B$9))</f>
        <v>31</v>
      </c>
      <c r="H24" s="26" t="n">
        <f aca="false">IF($A24="","",ROUND(Payroll!R24-Payroll!L24-Payroll!M24,2))</f>
        <v>2500</v>
      </c>
      <c r="I24" s="26" t="n">
        <f aca="false">IF($A24="","",ROUND(Payroll!L24+Payroll!M24,2))</f>
        <v>182.29</v>
      </c>
      <c r="J24" s="24" t="n">
        <f aca="false">IF($A24="","",0)</f>
        <v>0</v>
      </c>
    </row>
    <row r="25" customFormat="false" ht="15" hidden="false" customHeight="false" outlineLevel="0" collapsed="false">
      <c r="A25" s="24" t="str">
        <f aca="false">IF(AND(Payroll!$A25&lt;&gt;"",N(Payroll!$R25)&gt;0),"EDR","")</f>
        <v>EDR</v>
      </c>
      <c r="B25" s="24" t="str">
        <f aca="false">IF($A25="","",Payroll!U25)</f>
        <v>28663177171983</v>
      </c>
      <c r="C25" s="24" t="str">
        <f aca="false">IF($A25="","",Payroll!S25)</f>
        <v>402320106</v>
      </c>
      <c r="D25" s="24" t="str">
        <f aca="false">IF($A25="","",SUBSTITUTE(Payroll!T25," ",""))</f>
        <v>AE909335558028466983336</v>
      </c>
      <c r="E25" s="24" t="str">
        <f aca="false">IF($A25="","",TEXT(Settings!$B$8,"yyyy-mm-dd"))</f>
        <v>2026-10-01</v>
      </c>
      <c r="F25" s="24" t="str">
        <f aca="false">IF($A25="","",TEXT(Settings!$B$9,"yyyy-mm-dd"))</f>
        <v>2026-10-31</v>
      </c>
      <c r="G25" s="24" t="n">
        <f aca="false">IF($A25="","",DAY(Settings!$B$9))</f>
        <v>31</v>
      </c>
      <c r="H25" s="26" t="n">
        <f aca="false">IF($A25="","",ROUND(Payroll!R25-Payroll!L25-Payroll!M25,2))</f>
        <v>1773.33</v>
      </c>
      <c r="I25" s="26" t="n">
        <f aca="false">IF($A25="","",ROUND(Payroll!L25+Payroll!M25,2))</f>
        <v>156.25</v>
      </c>
      <c r="J25" s="24" t="n">
        <f aca="false">IF($A25="","",0)</f>
        <v>0</v>
      </c>
    </row>
    <row r="26" customFormat="false" ht="15" hidden="false" customHeight="false" outlineLevel="0" collapsed="false">
      <c r="A26" s="24" t="str">
        <f aca="false">IF(AND(Payroll!$A26&lt;&gt;"",N(Payroll!$R26)&gt;0),"EDR","")</f>
        <v>EDR</v>
      </c>
      <c r="B26" s="24" t="str">
        <f aca="false">IF($A26="","",Payroll!U26)</f>
        <v>55672689704836</v>
      </c>
      <c r="C26" s="24" t="str">
        <f aca="false">IF($A26="","",Payroll!S26)</f>
        <v>600310101</v>
      </c>
      <c r="D26" s="24" t="str">
        <f aca="false">IF($A26="","",SUBSTITUTE(Payroll!T26," ",""))</f>
        <v>AE602966420711925748359</v>
      </c>
      <c r="E26" s="24" t="str">
        <f aca="false">IF($A26="","",TEXT(Settings!$B$8,"yyyy-mm-dd"))</f>
        <v>2026-10-01</v>
      </c>
      <c r="F26" s="24" t="str">
        <f aca="false">IF($A26="","",TEXT(Settings!$B$9,"yyyy-mm-dd"))</f>
        <v>2026-10-31</v>
      </c>
      <c r="G26" s="24" t="n">
        <f aca="false">IF($A26="","",DAY(Settings!$B$9))</f>
        <v>31</v>
      </c>
      <c r="H26" s="26" t="n">
        <f aca="false">IF($A26="","",ROUND(Payroll!R26-Payroll!L26-Payroll!M26,2))</f>
        <v>1773.33</v>
      </c>
      <c r="I26" s="26" t="n">
        <f aca="false">IF($A26="","",ROUND(Payroll!L26+Payroll!M26,2))</f>
        <v>234.38</v>
      </c>
      <c r="J26" s="24" t="n">
        <f aca="false">IF($A26="","",0)</f>
        <v>0</v>
      </c>
    </row>
    <row r="27" customFormat="false" ht="15" hidden="false" customHeight="false" outlineLevel="0" collapsed="false">
      <c r="A27" s="24" t="str">
        <f aca="false">IF(AND(Payroll!$A27&lt;&gt;"",N(Payroll!$R27)&gt;0),"EDR","")</f>
        <v>EDR</v>
      </c>
      <c r="B27" s="24" t="str">
        <f aca="false">IF($A27="","",Payroll!U27)</f>
        <v>81912511076662</v>
      </c>
      <c r="C27" s="24" t="str">
        <f aca="false">IF($A27="","",Payroll!S27)</f>
        <v>600310101</v>
      </c>
      <c r="D27" s="24" t="str">
        <f aca="false">IF($A27="","",SUBSTITUTE(Payroll!T27," ",""))</f>
        <v>AE347116800814757554996</v>
      </c>
      <c r="E27" s="24" t="str">
        <f aca="false">IF($A27="","",TEXT(Settings!$B$8,"yyyy-mm-dd"))</f>
        <v>2026-10-01</v>
      </c>
      <c r="F27" s="24" t="str">
        <f aca="false">IF($A27="","",TEXT(Settings!$B$9,"yyyy-mm-dd"))</f>
        <v>2026-10-31</v>
      </c>
      <c r="G27" s="24" t="n">
        <f aca="false">IF($A27="","",DAY(Settings!$B$9))</f>
        <v>31</v>
      </c>
      <c r="H27" s="26" t="n">
        <f aca="false">IF($A27="","",ROUND(Payroll!R27-Payroll!L27-Payroll!M27,2))</f>
        <v>1646.67</v>
      </c>
      <c r="I27" s="26" t="n">
        <f aca="false">IF($A27="","",ROUND(Payroll!L27+Payroll!M27,2))</f>
        <v>131.25</v>
      </c>
      <c r="J27" s="24" t="n">
        <f aca="false">IF($A27="","",0)</f>
        <v>0</v>
      </c>
    </row>
    <row r="28" customFormat="false" ht="15" hidden="false" customHeight="false" outlineLevel="0" collapsed="false">
      <c r="A28" s="24" t="str">
        <f aca="false">IF(AND(Payroll!$A28&lt;&gt;"",N(Payroll!$R28)&gt;0),"EDR","")</f>
        <v>EDR</v>
      </c>
      <c r="B28" s="24" t="str">
        <f aca="false">IF($A28="","",Payroll!U28)</f>
        <v>51907205997105</v>
      </c>
      <c r="C28" s="24" t="str">
        <f aca="false">IF($A28="","",Payroll!S28)</f>
        <v>600310101</v>
      </c>
      <c r="D28" s="24" t="str">
        <f aca="false">IF($A28="","",SUBSTITUTE(Payroll!T28," ",""))</f>
        <v>AE935262765549105928594</v>
      </c>
      <c r="E28" s="24" t="str">
        <f aca="false">IF($A28="","",TEXT(Settings!$B$8,"yyyy-mm-dd"))</f>
        <v>2026-10-01</v>
      </c>
      <c r="F28" s="24" t="str">
        <f aca="false">IF($A28="","",TEXT(Settings!$B$9,"yyyy-mm-dd"))</f>
        <v>2026-10-31</v>
      </c>
      <c r="G28" s="24" t="n">
        <f aca="false">IF($A28="","",DAY(Settings!$B$9))</f>
        <v>31</v>
      </c>
      <c r="H28" s="26" t="n">
        <f aca="false">IF($A28="","",ROUND(Payroll!R28-Payroll!L28-Payroll!M28,2))</f>
        <v>0</v>
      </c>
      <c r="I28" s="26" t="n">
        <f aca="false">IF($A28="","",ROUND(Payroll!L28+Payroll!M28,2))</f>
        <v>2293.5</v>
      </c>
      <c r="J28" s="24" t="n">
        <f aca="false">IF($A28="","",0)</f>
        <v>0</v>
      </c>
    </row>
    <row r="29" customFormat="false" ht="15" hidden="false" customHeight="false" outlineLevel="0" collapsed="false">
      <c r="A29" s="24" t="str">
        <f aca="false">IF(AND(Payroll!$A29&lt;&gt;"",N(Payroll!$R29)&gt;0),"EDR","")</f>
        <v>EDR</v>
      </c>
      <c r="B29" s="24" t="str">
        <f aca="false">IF($A29="","",Payroll!U29)</f>
        <v>37077826553945</v>
      </c>
      <c r="C29" s="24" t="str">
        <f aca="false">IF($A29="","",Payroll!S29)</f>
        <v>803320101</v>
      </c>
      <c r="D29" s="24" t="str">
        <f aca="false">IF($A29="","",SUBSTITUTE(Payroll!T29," ",""))</f>
        <v>AE213862660224926231344</v>
      </c>
      <c r="E29" s="24" t="str">
        <f aca="false">IF($A29="","",TEXT(Settings!$B$8,"yyyy-mm-dd"))</f>
        <v>2026-10-01</v>
      </c>
      <c r="F29" s="24" t="str">
        <f aca="false">IF($A29="","",TEXT(Settings!$B$9,"yyyy-mm-dd"))</f>
        <v>2026-10-31</v>
      </c>
      <c r="G29" s="24" t="n">
        <f aca="false">IF($A29="","",DAY(Settings!$B$9))</f>
        <v>31</v>
      </c>
      <c r="H29" s="26" t="n">
        <f aca="false">IF($A29="","",ROUND(Payroll!R29-Payroll!L29-Payroll!M29,2))</f>
        <v>2240</v>
      </c>
      <c r="I29" s="26" t="n">
        <f aca="false">IF($A29="","",ROUND(Payroll!L29+Payroll!M29,2))</f>
        <v>312.5</v>
      </c>
      <c r="J29" s="24" t="n">
        <f aca="false">IF($A29="","",0)</f>
        <v>0</v>
      </c>
    </row>
    <row r="30" customFormat="false" ht="15" hidden="false" customHeight="false" outlineLevel="0" collapsed="false">
      <c r="A30" s="24" t="str">
        <f aca="false">IF(AND(Payroll!$A30&lt;&gt;"",N(Payroll!$R30)&gt;0),"EDR","")</f>
        <v>EDR</v>
      </c>
      <c r="B30" s="24" t="str">
        <f aca="false">IF($A30="","",Payroll!U30)</f>
        <v>84481189948222</v>
      </c>
      <c r="C30" s="24" t="str">
        <f aca="false">IF($A30="","",Payroll!S30)</f>
        <v>402320106</v>
      </c>
      <c r="D30" s="24" t="str">
        <f aca="false">IF($A30="","",SUBSTITUTE(Payroll!T30," ",""))</f>
        <v>AE372517544050707300509</v>
      </c>
      <c r="E30" s="24" t="str">
        <f aca="false">IF($A30="","",TEXT(Settings!$B$8,"yyyy-mm-dd"))</f>
        <v>2026-10-01</v>
      </c>
      <c r="F30" s="24" t="str">
        <f aca="false">IF($A30="","",TEXT(Settings!$B$9,"yyyy-mm-dd"))</f>
        <v>2026-10-31</v>
      </c>
      <c r="G30" s="24" t="n">
        <f aca="false">IF($A30="","",DAY(Settings!$B$9))</f>
        <v>31</v>
      </c>
      <c r="H30" s="26" t="n">
        <f aca="false">IF($A30="","",ROUND(Payroll!R30-Payroll!L30-Payroll!M30,2))</f>
        <v>2610</v>
      </c>
      <c r="I30" s="26" t="n">
        <f aca="false">IF($A30="","",ROUND(Payroll!L30+Payroll!M30,2))</f>
        <v>390.63</v>
      </c>
      <c r="J30" s="24" t="n">
        <f aca="false">IF($A30="","",0)</f>
        <v>0</v>
      </c>
    </row>
    <row r="31" customFormat="false" ht="15" hidden="false" customHeight="false" outlineLevel="0" collapsed="false">
      <c r="A31" s="24" t="str">
        <f aca="false">IF(AND(Payroll!$A31&lt;&gt;"",N(Payroll!$R31)&gt;0),"EDR","")</f>
        <v>EDR</v>
      </c>
      <c r="B31" s="24" t="str">
        <f aca="false">IF($A31="","",Payroll!U31)</f>
        <v>41495463530590</v>
      </c>
      <c r="C31" s="24" t="str">
        <f aca="false">IF($A31="","",Payroll!S31)</f>
        <v>803320101</v>
      </c>
      <c r="D31" s="24" t="str">
        <f aca="false">IF($A31="","",SUBSTITUTE(Payroll!T31," ",""))</f>
        <v>AE299558278484922392664</v>
      </c>
      <c r="E31" s="24" t="str">
        <f aca="false">IF($A31="","",TEXT(Settings!$B$8,"yyyy-mm-dd"))</f>
        <v>2026-10-01</v>
      </c>
      <c r="F31" s="24" t="str">
        <f aca="false">IF($A31="","",TEXT(Settings!$B$9,"yyyy-mm-dd"))</f>
        <v>2026-10-31</v>
      </c>
      <c r="G31" s="24" t="n">
        <f aca="false">IF($A31="","",DAY(Settings!$B$9))</f>
        <v>31</v>
      </c>
      <c r="H31" s="26" t="n">
        <f aca="false">IF($A31="","",ROUND(Payroll!R31-Payroll!L31-Payroll!M31,2))</f>
        <v>1995</v>
      </c>
      <c r="I31" s="26" t="n">
        <f aca="false">IF($A31="","",ROUND(Payroll!L31+Payroll!M31,2))</f>
        <v>208.33</v>
      </c>
      <c r="J31" s="24" t="n">
        <f aca="false">IF($A31="","",0)</f>
        <v>0</v>
      </c>
    </row>
    <row r="32" customFormat="false" ht="15" hidden="false" customHeight="false" outlineLevel="0" collapsed="false">
      <c r="A32" s="24" t="str">
        <f aca="false">IF(AND(Payroll!$A32&lt;&gt;"",N(Payroll!$R32)&gt;0),"EDR","")</f>
        <v>EDR</v>
      </c>
      <c r="B32" s="24" t="str">
        <f aca="false">IF($A32="","",Payroll!U32)</f>
        <v>46715047245502</v>
      </c>
      <c r="C32" s="24" t="str">
        <f aca="false">IF($A32="","",Payroll!S32)</f>
        <v>803320101</v>
      </c>
      <c r="D32" s="24" t="str">
        <f aca="false">IF($A32="","",SUBSTITUTE(Payroll!T32," ",""))</f>
        <v>AE861018117198065940571</v>
      </c>
      <c r="E32" s="24" t="str">
        <f aca="false">IF($A32="","",TEXT(Settings!$B$8,"yyyy-mm-dd"))</f>
        <v>2026-10-01</v>
      </c>
      <c r="F32" s="24" t="str">
        <f aca="false">IF($A32="","",TEXT(Settings!$B$9,"yyyy-mm-dd"))</f>
        <v>2026-10-31</v>
      </c>
      <c r="G32" s="24" t="n">
        <f aca="false">IF($A32="","",DAY(Settings!$B$9))</f>
        <v>31</v>
      </c>
      <c r="H32" s="26" t="n">
        <f aca="false">IF($A32="","",ROUND(Payroll!R32-Payroll!L32-Payroll!M32,2))</f>
        <v>2400</v>
      </c>
      <c r="I32" s="26" t="n">
        <f aca="false">IF($A32="","",ROUND(Payroll!L32+Payroll!M32,2))</f>
        <v>0</v>
      </c>
      <c r="J32" s="24" t="n">
        <f aca="false">IF($A32="","",0)</f>
        <v>0</v>
      </c>
    </row>
    <row r="33" customFormat="false" ht="15" hidden="false" customHeight="false" outlineLevel="0" collapsed="false">
      <c r="A33" s="24" t="str">
        <f aca="false">IF(AND(Payroll!$A33&lt;&gt;"",N(Payroll!$R33)&gt;0),"EDR","")</f>
        <v>EDR</v>
      </c>
      <c r="B33" s="24" t="str">
        <f aca="false">IF($A33="","",Payroll!U33)</f>
        <v>42063035771278</v>
      </c>
      <c r="C33" s="24" t="str">
        <f aca="false">IF($A33="","",Payroll!S33)</f>
        <v>402320106</v>
      </c>
      <c r="D33" s="24" t="str">
        <f aca="false">IF($A33="","",SUBSTITUTE(Payroll!T33," ",""))</f>
        <v>AE647065471590761558812</v>
      </c>
      <c r="E33" s="24" t="str">
        <f aca="false">IF($A33="","",TEXT(Settings!$B$8,"yyyy-mm-dd"))</f>
        <v>2026-10-01</v>
      </c>
      <c r="F33" s="24" t="str">
        <f aca="false">IF($A33="","",TEXT(Settings!$B$9,"yyyy-mm-dd"))</f>
        <v>2026-10-31</v>
      </c>
      <c r="G33" s="24" t="n">
        <f aca="false">IF($A33="","",DAY(Settings!$B$9))</f>
        <v>31</v>
      </c>
      <c r="H33" s="26" t="n">
        <f aca="false">IF($A33="","",ROUND(Payroll!R33-Payroll!L33-Payroll!M33,2))</f>
        <v>1620</v>
      </c>
      <c r="I33" s="26" t="n">
        <f aca="false">IF($A33="","",ROUND(Payroll!L33+Payroll!M33,2))</f>
        <v>203.13</v>
      </c>
      <c r="J33" s="24" t="n">
        <f aca="false">IF($A33="","",0)</f>
        <v>0</v>
      </c>
    </row>
    <row r="34" customFormat="false" ht="15" hidden="false" customHeight="false" outlineLevel="0" collapsed="false">
      <c r="A34" s="24" t="str">
        <f aca="false">IF(AND(Payroll!$A34&lt;&gt;"",N(Payroll!$R34)&gt;0),"EDR","")</f>
        <v>EDR</v>
      </c>
      <c r="B34" s="24" t="str">
        <f aca="false">IF($A34="","",Payroll!U34)</f>
        <v>47298447088097</v>
      </c>
      <c r="C34" s="24" t="str">
        <f aca="false">IF($A34="","",Payroll!S34)</f>
        <v>600310101</v>
      </c>
      <c r="D34" s="24" t="str">
        <f aca="false">IF($A34="","",SUBSTITUTE(Payroll!T34," ",""))</f>
        <v>AE239122406846588947527</v>
      </c>
      <c r="E34" s="24" t="str">
        <f aca="false">IF($A34="","",TEXT(Settings!$B$8,"yyyy-mm-dd"))</f>
        <v>2026-10-01</v>
      </c>
      <c r="F34" s="24" t="str">
        <f aca="false">IF($A34="","",TEXT(Settings!$B$9,"yyyy-mm-dd"))</f>
        <v>2026-10-31</v>
      </c>
      <c r="G34" s="24" t="n">
        <f aca="false">IF($A34="","",DAY(Settings!$B$9))</f>
        <v>31</v>
      </c>
      <c r="H34" s="26" t="n">
        <f aca="false">IF($A34="","",ROUND(Payroll!R34-Payroll!L34-Payroll!M34,2))</f>
        <v>2100</v>
      </c>
      <c r="I34" s="26" t="n">
        <f aca="false">IF($A34="","",ROUND(Payroll!L34+Payroll!M34,2))</f>
        <v>131.25</v>
      </c>
      <c r="J34" s="24" t="n">
        <f aca="false">IF($A34="","",0)</f>
        <v>0</v>
      </c>
    </row>
    <row r="35" customFormat="false" ht="15" hidden="false" customHeight="false" outlineLevel="0" collapsed="false">
      <c r="A35" s="24" t="str">
        <f aca="false">IF(AND(Payroll!$A35&lt;&gt;"",N(Payroll!$R35)&gt;0),"EDR","")</f>
        <v>EDR</v>
      </c>
      <c r="B35" s="24" t="str">
        <f aca="false">IF($A35="","",Payroll!U35)</f>
        <v>21171199327519</v>
      </c>
      <c r="C35" s="24" t="str">
        <f aca="false">IF($A35="","",Payroll!S35)</f>
        <v>803320101</v>
      </c>
      <c r="D35" s="24" t="str">
        <f aca="false">IF($A35="","",SUBSTITUTE(Payroll!T35," ",""))</f>
        <v>AE524124403995988661132</v>
      </c>
      <c r="E35" s="24" t="str">
        <f aca="false">IF($A35="","",TEXT(Settings!$B$8,"yyyy-mm-dd"))</f>
        <v>2026-10-01</v>
      </c>
      <c r="F35" s="24" t="str">
        <f aca="false">IF($A35="","",TEXT(Settings!$B$9,"yyyy-mm-dd"))</f>
        <v>2026-10-31</v>
      </c>
      <c r="G35" s="24" t="n">
        <f aca="false">IF($A35="","",DAY(Settings!$B$9))</f>
        <v>31</v>
      </c>
      <c r="H35" s="26" t="n">
        <f aca="false">IF($A35="","",ROUND(Payroll!R35-Payroll!L35-Payroll!M35,2))</f>
        <v>2416.67</v>
      </c>
      <c r="I35" s="26" t="n">
        <f aca="false">IF($A35="","",ROUND(Payroll!L35+Payroll!M35,2))</f>
        <v>270.83</v>
      </c>
      <c r="J35" s="24" t="n">
        <f aca="false">IF($A35="","",0)</f>
        <v>0</v>
      </c>
    </row>
    <row r="36" customFormat="false" ht="15" hidden="false" customHeight="false" outlineLevel="0" collapsed="false">
      <c r="A36" s="24" t="str">
        <f aca="false">IF(AND(Payroll!$A36&lt;&gt;"",N(Payroll!$R36)&gt;0),"EDR","")</f>
        <v>EDR</v>
      </c>
      <c r="B36" s="24" t="str">
        <f aca="false">IF($A36="","",Payroll!U36)</f>
        <v>60192620465646</v>
      </c>
      <c r="C36" s="24" t="str">
        <f aca="false">IF($A36="","",Payroll!S36)</f>
        <v>600310101</v>
      </c>
      <c r="D36" s="24" t="str">
        <f aca="false">IF($A36="","",SUBSTITUTE(Payroll!T36," ",""))</f>
        <v>AE652437180787574206481</v>
      </c>
      <c r="E36" s="24" t="str">
        <f aca="false">IF($A36="","",TEXT(Settings!$B$8,"yyyy-mm-dd"))</f>
        <v>2026-10-01</v>
      </c>
      <c r="F36" s="24" t="str">
        <f aca="false">IF($A36="","",TEXT(Settings!$B$9,"yyyy-mm-dd"))</f>
        <v>2026-10-31</v>
      </c>
      <c r="G36" s="24" t="n">
        <f aca="false">IF($A36="","",DAY(Settings!$B$9))</f>
        <v>31</v>
      </c>
      <c r="H36" s="26" t="n">
        <f aca="false">IF($A36="","",ROUND(Payroll!R36-Payroll!L36-Payroll!M36,2))</f>
        <v>0</v>
      </c>
      <c r="I36" s="26" t="n">
        <f aca="false">IF($A36="","",ROUND(Payroll!L36+Payroll!M36,2))</f>
        <v>2024</v>
      </c>
      <c r="J36" s="24" t="n">
        <f aca="false">IF($A36="","",0)</f>
        <v>0</v>
      </c>
    </row>
    <row r="37" customFormat="false" ht="15" hidden="false" customHeight="false" outlineLevel="0" collapsed="false">
      <c r="A37" s="24" t="str">
        <f aca="false">IF(AND(Payroll!$A37&lt;&gt;"",N(Payroll!$R37)&gt;0),"EDR","")</f>
        <v>EDR</v>
      </c>
      <c r="B37" s="24" t="str">
        <f aca="false">IF($A37="","",Payroll!U37)</f>
        <v>37433059994682</v>
      </c>
      <c r="C37" s="24" t="str">
        <f aca="false">IF($A37="","",Payroll!S37)</f>
        <v>402320106</v>
      </c>
      <c r="D37" s="24" t="str">
        <f aca="false">IF($A37="","",SUBSTITUTE(Payroll!T37," ",""))</f>
        <v>AE186555694654616488731</v>
      </c>
      <c r="E37" s="24" t="str">
        <f aca="false">IF($A37="","",TEXT(Settings!$B$8,"yyyy-mm-dd"))</f>
        <v>2026-10-01</v>
      </c>
      <c r="F37" s="24" t="str">
        <f aca="false">IF($A37="","",TEXT(Settings!$B$9,"yyyy-mm-dd"))</f>
        <v>2026-10-31</v>
      </c>
      <c r="G37" s="24" t="n">
        <f aca="false">IF($A37="","",DAY(Settings!$B$9))</f>
        <v>31</v>
      </c>
      <c r="H37" s="26" t="n">
        <f aca="false">IF($A37="","",ROUND(Payroll!R37-Payroll!L37-Payroll!M37,2))</f>
        <v>2070</v>
      </c>
      <c r="I37" s="26" t="n">
        <f aca="false">IF($A37="","",ROUND(Payroll!L37+Payroll!M37,2))</f>
        <v>270.83</v>
      </c>
      <c r="J37" s="24" t="n">
        <f aca="false">IF($A37="","",0)</f>
        <v>0</v>
      </c>
    </row>
    <row r="38" customFormat="false" ht="15" hidden="false" customHeight="false" outlineLevel="0" collapsed="false">
      <c r="A38" s="24" t="str">
        <f aca="false">IF(AND(Payroll!$A38&lt;&gt;"",N(Payroll!$R38)&gt;0),"EDR","")</f>
        <v>EDR</v>
      </c>
      <c r="B38" s="24" t="str">
        <f aca="false">IF($A38="","",Payroll!U38)</f>
        <v>35746166597902</v>
      </c>
      <c r="C38" s="24" t="str">
        <f aca="false">IF($A38="","",Payroll!S38)</f>
        <v>803320101</v>
      </c>
      <c r="D38" s="24" t="str">
        <f aca="false">IF($A38="","",SUBSTITUTE(Payroll!T38," ",""))</f>
        <v>AE483479486863706235571</v>
      </c>
      <c r="E38" s="24" t="str">
        <f aca="false">IF($A38="","",TEXT(Settings!$B$8,"yyyy-mm-dd"))</f>
        <v>2026-10-01</v>
      </c>
      <c r="F38" s="24" t="str">
        <f aca="false">IF($A38="","",TEXT(Settings!$B$9,"yyyy-mm-dd"))</f>
        <v>2026-10-31</v>
      </c>
      <c r="G38" s="24" t="n">
        <f aca="false">IF($A38="","",DAY(Settings!$B$9))</f>
        <v>31</v>
      </c>
      <c r="H38" s="26" t="n">
        <f aca="false">IF($A38="","",ROUND(Payroll!R38-Payroll!L38-Payroll!M38,2))</f>
        <v>1450</v>
      </c>
      <c r="I38" s="26" t="n">
        <f aca="false">IF($A38="","",ROUND(Payroll!L38+Payroll!M38,2))</f>
        <v>162.5</v>
      </c>
      <c r="J38" s="24" t="n">
        <f aca="false">IF($A38="","",0)</f>
        <v>0</v>
      </c>
    </row>
    <row r="39" customFormat="false" ht="15" hidden="false" customHeight="false" outlineLevel="0" collapsed="false">
      <c r="A39" s="24" t="str">
        <f aca="false">IF(AND(Payroll!$A39&lt;&gt;"",N(Payroll!$R39)&gt;0),"EDR","")</f>
        <v>EDR</v>
      </c>
      <c r="B39" s="24" t="str">
        <f aca="false">IF($A39="","",Payroll!U39)</f>
        <v>24808546763942</v>
      </c>
      <c r="C39" s="24" t="str">
        <f aca="false">IF($A39="","",Payroll!S39)</f>
        <v>803320101</v>
      </c>
      <c r="D39" s="24" t="str">
        <f aca="false">IF($A39="","",SUBSTITUTE(Payroll!T39," ",""))</f>
        <v>AE432377441325797898610</v>
      </c>
      <c r="E39" s="24" t="str">
        <f aca="false">IF($A39="","",TEXT(Settings!$B$8,"yyyy-mm-dd"))</f>
        <v>2026-10-01</v>
      </c>
      <c r="F39" s="24" t="str">
        <f aca="false">IF($A39="","",TEXT(Settings!$B$9,"yyyy-mm-dd"))</f>
        <v>2026-10-31</v>
      </c>
      <c r="G39" s="24" t="n">
        <f aca="false">IF($A39="","",DAY(Settings!$B$9))</f>
        <v>31</v>
      </c>
      <c r="H39" s="26" t="n">
        <f aca="false">IF($A39="","",ROUND(Payroll!R39-Payroll!L39-Payroll!M39,2))</f>
        <v>2070</v>
      </c>
      <c r="I39" s="26" t="n">
        <f aca="false">IF($A39="","",ROUND(Payroll!L39+Payroll!M39,2))</f>
        <v>0</v>
      </c>
      <c r="J39" s="24" t="n">
        <f aca="false">IF($A39="","",0)</f>
        <v>0</v>
      </c>
    </row>
    <row r="40" customFormat="false" ht="15" hidden="false" customHeight="false" outlineLevel="0" collapsed="false">
      <c r="A40" s="24" t="str">
        <f aca="false">IF(AND(Payroll!$A40&lt;&gt;"",N(Payroll!$R40)&gt;0),"EDR","")</f>
        <v>EDR</v>
      </c>
      <c r="B40" s="24" t="str">
        <f aca="false">IF($A40="","",Payroll!U40)</f>
        <v>46639241010357</v>
      </c>
      <c r="C40" s="24" t="str">
        <f aca="false">IF($A40="","",Payroll!S40)</f>
        <v>803320101</v>
      </c>
      <c r="D40" s="24" t="str">
        <f aca="false">IF($A40="","",SUBSTITUTE(Payroll!T40," ",""))</f>
        <v>AE665053404350194858257</v>
      </c>
      <c r="E40" s="24" t="str">
        <f aca="false">IF($A40="","",TEXT(Settings!$B$8,"yyyy-mm-dd"))</f>
        <v>2026-10-01</v>
      </c>
      <c r="F40" s="24" t="str">
        <f aca="false">IF($A40="","",TEXT(Settings!$B$9,"yyyy-mm-dd"))</f>
        <v>2026-10-31</v>
      </c>
      <c r="G40" s="24" t="n">
        <f aca="false">IF($A40="","",DAY(Settings!$B$9))</f>
        <v>31</v>
      </c>
      <c r="H40" s="26" t="n">
        <f aca="false">IF($A40="","",ROUND(Payroll!R40-Payroll!L40-Payroll!M40,2))</f>
        <v>1586.67</v>
      </c>
      <c r="I40" s="26" t="n">
        <f aca="false">IF($A40="","",ROUND(Payroll!L40+Payroll!M40,2))</f>
        <v>125</v>
      </c>
      <c r="J40" s="24" t="n">
        <f aca="false">IF($A40="","",0)</f>
        <v>0</v>
      </c>
    </row>
    <row r="41" customFormat="false" ht="15" hidden="false" customHeight="false" outlineLevel="0" collapsed="false">
      <c r="A41" s="24" t="str">
        <f aca="false">IF(AND(Payroll!$A41&lt;&gt;"",N(Payroll!$R41)&gt;0),"EDR","")</f>
        <v>EDR</v>
      </c>
      <c r="B41" s="24" t="str">
        <f aca="false">IF($A41="","",Payroll!U41)</f>
        <v>15679552551765</v>
      </c>
      <c r="C41" s="24" t="str">
        <f aca="false">IF($A41="","",Payroll!S41)</f>
        <v>600310101</v>
      </c>
      <c r="D41" s="24" t="str">
        <f aca="false">IF($A41="","",SUBSTITUTE(Payroll!T41," ",""))</f>
        <v>AE392953182541054181176</v>
      </c>
      <c r="E41" s="24" t="str">
        <f aca="false">IF($A41="","",TEXT(Settings!$B$8,"yyyy-mm-dd"))</f>
        <v>2026-10-01</v>
      </c>
      <c r="F41" s="24" t="str">
        <f aca="false">IF($A41="","",TEXT(Settings!$B$9,"yyyy-mm-dd"))</f>
        <v>2026-10-31</v>
      </c>
      <c r="G41" s="24" t="n">
        <f aca="false">IF($A41="","",DAY(Settings!$B$9))</f>
        <v>31</v>
      </c>
      <c r="H41" s="26" t="n">
        <f aca="false">IF($A41="","",ROUND(Payroll!R41-Payroll!L41-Payroll!M41,2))</f>
        <v>2900</v>
      </c>
      <c r="I41" s="26" t="n">
        <f aca="false">IF($A41="","",ROUND(Payroll!L41+Payroll!M41,2))</f>
        <v>0</v>
      </c>
      <c r="J41" s="24" t="n">
        <f aca="false">IF($A41="","",0)</f>
        <v>0</v>
      </c>
    </row>
    <row r="42" customFormat="false" ht="15" hidden="false" customHeight="false" outlineLevel="0" collapsed="false">
      <c r="A42" s="24" t="str">
        <f aca="false">IF(AND(Payroll!$A42&lt;&gt;"",N(Payroll!$R42)&gt;0),"EDR","")</f>
        <v>EDR</v>
      </c>
      <c r="B42" s="24" t="str">
        <f aca="false">IF($A42="","",Payroll!U42)</f>
        <v>45880156248589</v>
      </c>
      <c r="C42" s="24" t="str">
        <f aca="false">IF($A42="","",Payroll!S42)</f>
        <v>803320101</v>
      </c>
      <c r="D42" s="24" t="str">
        <f aca="false">IF($A42="","",SUBSTITUTE(Payroll!T42," ",""))</f>
        <v>AE864333118663617700794</v>
      </c>
      <c r="E42" s="24" t="str">
        <f aca="false">IF($A42="","",TEXT(Settings!$B$8,"yyyy-mm-dd"))</f>
        <v>2026-10-01</v>
      </c>
      <c r="F42" s="24" t="str">
        <f aca="false">IF($A42="","",TEXT(Settings!$B$9,"yyyy-mm-dd"))</f>
        <v>2026-10-31</v>
      </c>
      <c r="G42" s="24" t="n">
        <f aca="false">IF($A42="","",DAY(Settings!$B$9))</f>
        <v>31</v>
      </c>
      <c r="H42" s="26" t="n">
        <f aca="false">IF($A42="","",ROUND(Payroll!R42-Payroll!L42-Payroll!M42,2))</f>
        <v>1933.33</v>
      </c>
      <c r="I42" s="26" t="n">
        <f aca="false">IF($A42="","",ROUND(Payroll!L42+Payroll!M42,2))</f>
        <v>0</v>
      </c>
      <c r="J42" s="24" t="n">
        <f aca="false">IF($A42="","",0)</f>
        <v>0</v>
      </c>
    </row>
    <row r="43" customFormat="false" ht="15" hidden="false" customHeight="false" outlineLevel="0" collapsed="false">
      <c r="A43" s="24" t="str">
        <f aca="false">IF(AND(Payroll!$A43&lt;&gt;"",N(Payroll!$R43)&gt;0),"EDR","")</f>
        <v>EDR</v>
      </c>
      <c r="B43" s="24" t="str">
        <f aca="false">IF($A43="","",Payroll!U43)</f>
        <v>65981306776326</v>
      </c>
      <c r="C43" s="24" t="str">
        <f aca="false">IF($A43="","",Payroll!S43)</f>
        <v>402320106</v>
      </c>
      <c r="D43" s="24" t="str">
        <f aca="false">IF($A43="","",SUBSTITUTE(Payroll!T43," ",""))</f>
        <v>AE447713564160397845152</v>
      </c>
      <c r="E43" s="24" t="str">
        <f aca="false">IF($A43="","",TEXT(Settings!$B$8,"yyyy-mm-dd"))</f>
        <v>2026-10-01</v>
      </c>
      <c r="F43" s="24" t="str">
        <f aca="false">IF($A43="","",TEXT(Settings!$B$9,"yyyy-mm-dd"))</f>
        <v>2026-10-31</v>
      </c>
      <c r="G43" s="24" t="n">
        <f aca="false">IF($A43="","",DAY(Settings!$B$9))</f>
        <v>31</v>
      </c>
      <c r="H43" s="26" t="n">
        <f aca="false">IF($A43="","",ROUND(Payroll!R43-Payroll!L43-Payroll!M43,2))</f>
        <v>2706.67</v>
      </c>
      <c r="I43" s="26" t="n">
        <f aca="false">IF($A43="","",ROUND(Payroll!L43+Payroll!M43,2))</f>
        <v>130.21</v>
      </c>
      <c r="J43" s="24" t="n">
        <f aca="false">IF($A43="","",0)</f>
        <v>0</v>
      </c>
    </row>
    <row r="44" customFormat="false" ht="15" hidden="false" customHeight="false" outlineLevel="0" collapsed="false">
      <c r="A44" s="24" t="str">
        <f aca="false">IF(AND(Payroll!$A44&lt;&gt;"",N(Payroll!$R44)&gt;0),"EDR","")</f>
        <v>EDR</v>
      </c>
      <c r="B44" s="24" t="str">
        <f aca="false">IF($A44="","",Payroll!U44)</f>
        <v>22738101488894</v>
      </c>
      <c r="C44" s="24" t="str">
        <f aca="false">IF($A44="","",Payroll!S44)</f>
        <v>600310101</v>
      </c>
      <c r="D44" s="24" t="str">
        <f aca="false">IF($A44="","",SUBSTITUTE(Payroll!T44," ",""))</f>
        <v>AE836975855136633129115</v>
      </c>
      <c r="E44" s="24" t="str">
        <f aca="false">IF($A44="","",TEXT(Settings!$B$8,"yyyy-mm-dd"))</f>
        <v>2026-10-01</v>
      </c>
      <c r="F44" s="24" t="str">
        <f aca="false">IF($A44="","",TEXT(Settings!$B$9,"yyyy-mm-dd"))</f>
        <v>2026-10-31</v>
      </c>
      <c r="G44" s="24" t="n">
        <f aca="false">IF($A44="","",DAY(Settings!$B$9))</f>
        <v>31</v>
      </c>
      <c r="H44" s="26" t="n">
        <f aca="false">IF($A44="","",ROUND(Payroll!R44-Payroll!L44-Payroll!M44,2))</f>
        <v>0</v>
      </c>
      <c r="I44" s="26" t="n">
        <f aca="false">IF($A44="","",ROUND(Payroll!L44+Payroll!M44,2))</f>
        <v>2295</v>
      </c>
      <c r="J44" s="24" t="n">
        <f aca="false">IF($A44="","",0)</f>
        <v>0</v>
      </c>
    </row>
    <row r="45" customFormat="false" ht="15" hidden="false" customHeight="false" outlineLevel="0" collapsed="false">
      <c r="A45" s="24" t="str">
        <f aca="false">IF(AND(Payroll!$A45&lt;&gt;"",N(Payroll!$R45)&gt;0),"EDR","")</f>
        <v/>
      </c>
      <c r="B45" s="24" t="str">
        <f aca="false">IF($A45="","",Payroll!U45)</f>
        <v/>
      </c>
      <c r="C45" s="24" t="str">
        <f aca="false">IF($A45="","",Payroll!S45)</f>
        <v/>
      </c>
      <c r="D45" s="24" t="str">
        <f aca="false">IF($A45="","",SUBSTITUTE(Payroll!T45," ",""))</f>
        <v/>
      </c>
      <c r="E45" s="24" t="str">
        <f aca="false">IF($A45="","",TEXT(Settings!$B$8,"yyyy-mm-dd"))</f>
        <v/>
      </c>
      <c r="F45" s="24" t="str">
        <f aca="false">IF($A45="","",TEXT(Settings!$B$9,"yyyy-mm-dd"))</f>
        <v/>
      </c>
      <c r="G45" s="24" t="str">
        <f aca="false">IF($A45="","",DAY(Settings!$B$9))</f>
        <v/>
      </c>
      <c r="H45" s="26" t="str">
        <f aca="false">IF($A45="","",ROUND(Payroll!R45-Payroll!L45-Payroll!M45,2))</f>
        <v/>
      </c>
      <c r="I45" s="26" t="str">
        <f aca="false">IF($A45="","",ROUND(Payroll!L45+Payroll!M45,2))</f>
        <v/>
      </c>
      <c r="J45" s="24" t="str">
        <f aca="false">IF($A45="","",0)</f>
        <v/>
      </c>
    </row>
    <row r="46" customFormat="false" ht="15" hidden="false" customHeight="false" outlineLevel="0" collapsed="false">
      <c r="A46" s="24" t="str">
        <f aca="false">IF(AND(Payroll!$A46&lt;&gt;"",N(Payroll!$R46)&gt;0),"EDR","")</f>
        <v/>
      </c>
      <c r="B46" s="24" t="str">
        <f aca="false">IF($A46="","",Payroll!U46)</f>
        <v/>
      </c>
      <c r="C46" s="24" t="str">
        <f aca="false">IF($A46="","",Payroll!S46)</f>
        <v/>
      </c>
      <c r="D46" s="24" t="str">
        <f aca="false">IF($A46="","",SUBSTITUTE(Payroll!T46," ",""))</f>
        <v/>
      </c>
      <c r="E46" s="24" t="str">
        <f aca="false">IF($A46="","",TEXT(Settings!$B$8,"yyyy-mm-dd"))</f>
        <v/>
      </c>
      <c r="F46" s="24" t="str">
        <f aca="false">IF($A46="","",TEXT(Settings!$B$9,"yyyy-mm-dd"))</f>
        <v/>
      </c>
      <c r="G46" s="24" t="str">
        <f aca="false">IF($A46="","",DAY(Settings!$B$9))</f>
        <v/>
      </c>
      <c r="H46" s="26" t="str">
        <f aca="false">IF($A46="","",ROUND(Payroll!R46-Payroll!L46-Payroll!M46,2))</f>
        <v/>
      </c>
      <c r="I46" s="26" t="str">
        <f aca="false">IF($A46="","",ROUND(Payroll!L46+Payroll!M46,2))</f>
        <v/>
      </c>
      <c r="J46" s="24" t="str">
        <f aca="false">IF($A46="","",0)</f>
        <v/>
      </c>
    </row>
    <row r="47" customFormat="false" ht="15" hidden="false" customHeight="false" outlineLevel="0" collapsed="false">
      <c r="A47" s="24" t="str">
        <f aca="false">IF(AND(Payroll!$A47&lt;&gt;"",N(Payroll!$R47)&gt;0),"EDR","")</f>
        <v/>
      </c>
      <c r="B47" s="24" t="str">
        <f aca="false">IF($A47="","",Payroll!U47)</f>
        <v/>
      </c>
      <c r="C47" s="24" t="str">
        <f aca="false">IF($A47="","",Payroll!S47)</f>
        <v/>
      </c>
      <c r="D47" s="24" t="str">
        <f aca="false">IF($A47="","",SUBSTITUTE(Payroll!T47," ",""))</f>
        <v/>
      </c>
      <c r="E47" s="24" t="str">
        <f aca="false">IF($A47="","",TEXT(Settings!$B$8,"yyyy-mm-dd"))</f>
        <v/>
      </c>
      <c r="F47" s="24" t="str">
        <f aca="false">IF($A47="","",TEXT(Settings!$B$9,"yyyy-mm-dd"))</f>
        <v/>
      </c>
      <c r="G47" s="24" t="str">
        <f aca="false">IF($A47="","",DAY(Settings!$B$9))</f>
        <v/>
      </c>
      <c r="H47" s="26" t="str">
        <f aca="false">IF($A47="","",ROUND(Payroll!R47-Payroll!L47-Payroll!M47,2))</f>
        <v/>
      </c>
      <c r="I47" s="26" t="str">
        <f aca="false">IF($A47="","",ROUND(Payroll!L47+Payroll!M47,2))</f>
        <v/>
      </c>
      <c r="J47" s="24" t="str">
        <f aca="false">IF($A47="","",0)</f>
        <v/>
      </c>
    </row>
    <row r="48" customFormat="false" ht="15" hidden="false" customHeight="false" outlineLevel="0" collapsed="false">
      <c r="A48" s="24" t="str">
        <f aca="false">IF(AND(Payroll!$A48&lt;&gt;"",N(Payroll!$R48)&gt;0),"EDR","")</f>
        <v/>
      </c>
      <c r="B48" s="24" t="str">
        <f aca="false">IF($A48="","",Payroll!U48)</f>
        <v/>
      </c>
      <c r="C48" s="24" t="str">
        <f aca="false">IF($A48="","",Payroll!S48)</f>
        <v/>
      </c>
      <c r="D48" s="24" t="str">
        <f aca="false">IF($A48="","",SUBSTITUTE(Payroll!T48," ",""))</f>
        <v/>
      </c>
      <c r="E48" s="24" t="str">
        <f aca="false">IF($A48="","",TEXT(Settings!$B$8,"yyyy-mm-dd"))</f>
        <v/>
      </c>
      <c r="F48" s="24" t="str">
        <f aca="false">IF($A48="","",TEXT(Settings!$B$9,"yyyy-mm-dd"))</f>
        <v/>
      </c>
      <c r="G48" s="24" t="str">
        <f aca="false">IF($A48="","",DAY(Settings!$B$9))</f>
        <v/>
      </c>
      <c r="H48" s="26" t="str">
        <f aca="false">IF($A48="","",ROUND(Payroll!R48-Payroll!L48-Payroll!M48,2))</f>
        <v/>
      </c>
      <c r="I48" s="26" t="str">
        <f aca="false">IF($A48="","",ROUND(Payroll!L48+Payroll!M48,2))</f>
        <v/>
      </c>
      <c r="J48" s="24" t="str">
        <f aca="false">IF($A48="","",0)</f>
        <v/>
      </c>
    </row>
    <row r="49" customFormat="false" ht="15" hidden="false" customHeight="false" outlineLevel="0" collapsed="false">
      <c r="A49" s="24" t="str">
        <f aca="false">IF(AND(Payroll!$A49&lt;&gt;"",N(Payroll!$R49)&gt;0),"EDR","")</f>
        <v/>
      </c>
      <c r="B49" s="24" t="str">
        <f aca="false">IF($A49="","",Payroll!U49)</f>
        <v/>
      </c>
      <c r="C49" s="24" t="str">
        <f aca="false">IF($A49="","",Payroll!S49)</f>
        <v/>
      </c>
      <c r="D49" s="24" t="str">
        <f aca="false">IF($A49="","",SUBSTITUTE(Payroll!T49," ",""))</f>
        <v/>
      </c>
      <c r="E49" s="24" t="str">
        <f aca="false">IF($A49="","",TEXT(Settings!$B$8,"yyyy-mm-dd"))</f>
        <v/>
      </c>
      <c r="F49" s="24" t="str">
        <f aca="false">IF($A49="","",TEXT(Settings!$B$9,"yyyy-mm-dd"))</f>
        <v/>
      </c>
      <c r="G49" s="24" t="str">
        <f aca="false">IF($A49="","",DAY(Settings!$B$9))</f>
        <v/>
      </c>
      <c r="H49" s="26" t="str">
        <f aca="false">IF($A49="","",ROUND(Payroll!R49-Payroll!L49-Payroll!M49,2))</f>
        <v/>
      </c>
      <c r="I49" s="26" t="str">
        <f aca="false">IF($A49="","",ROUND(Payroll!L49+Payroll!M49,2))</f>
        <v/>
      </c>
      <c r="J49" s="24" t="str">
        <f aca="false">IF($A49="","",0)</f>
        <v/>
      </c>
    </row>
    <row r="50" customFormat="false" ht="15" hidden="false" customHeight="false" outlineLevel="0" collapsed="false">
      <c r="A50" s="24" t="str">
        <f aca="false">IF(AND(Payroll!$A50&lt;&gt;"",N(Payroll!$R50)&gt;0),"EDR","")</f>
        <v/>
      </c>
      <c r="B50" s="24" t="str">
        <f aca="false">IF($A50="","",Payroll!U50)</f>
        <v/>
      </c>
      <c r="C50" s="24" t="str">
        <f aca="false">IF($A50="","",Payroll!S50)</f>
        <v/>
      </c>
      <c r="D50" s="24" t="str">
        <f aca="false">IF($A50="","",SUBSTITUTE(Payroll!T50," ",""))</f>
        <v/>
      </c>
      <c r="E50" s="24" t="str">
        <f aca="false">IF($A50="","",TEXT(Settings!$B$8,"yyyy-mm-dd"))</f>
        <v/>
      </c>
      <c r="F50" s="24" t="str">
        <f aca="false">IF($A50="","",TEXT(Settings!$B$9,"yyyy-mm-dd"))</f>
        <v/>
      </c>
      <c r="G50" s="24" t="str">
        <f aca="false">IF($A50="","",DAY(Settings!$B$9))</f>
        <v/>
      </c>
      <c r="H50" s="26" t="str">
        <f aca="false">IF($A50="","",ROUND(Payroll!R50-Payroll!L50-Payroll!M50,2))</f>
        <v/>
      </c>
      <c r="I50" s="26" t="str">
        <f aca="false">IF($A50="","",ROUND(Payroll!L50+Payroll!M50,2))</f>
        <v/>
      </c>
      <c r="J50" s="24" t="str">
        <f aca="false">IF($A50="","",0)</f>
        <v/>
      </c>
    </row>
    <row r="51" customFormat="false" ht="15" hidden="false" customHeight="false" outlineLevel="0" collapsed="false">
      <c r="A51" s="24" t="str">
        <f aca="false">IF(AND(Payroll!$A51&lt;&gt;"",N(Payroll!$R51)&gt;0),"EDR","")</f>
        <v/>
      </c>
      <c r="B51" s="24" t="str">
        <f aca="false">IF($A51="","",Payroll!U51)</f>
        <v/>
      </c>
      <c r="C51" s="24" t="str">
        <f aca="false">IF($A51="","",Payroll!S51)</f>
        <v/>
      </c>
      <c r="D51" s="24" t="str">
        <f aca="false">IF($A51="","",SUBSTITUTE(Payroll!T51," ",""))</f>
        <v/>
      </c>
      <c r="E51" s="24" t="str">
        <f aca="false">IF($A51="","",TEXT(Settings!$B$8,"yyyy-mm-dd"))</f>
        <v/>
      </c>
      <c r="F51" s="24" t="str">
        <f aca="false">IF($A51="","",TEXT(Settings!$B$9,"yyyy-mm-dd"))</f>
        <v/>
      </c>
      <c r="G51" s="24" t="str">
        <f aca="false">IF($A51="","",DAY(Settings!$B$9))</f>
        <v/>
      </c>
      <c r="H51" s="26" t="str">
        <f aca="false">IF($A51="","",ROUND(Payroll!R51-Payroll!L51-Payroll!M51,2))</f>
        <v/>
      </c>
      <c r="I51" s="26" t="str">
        <f aca="false">IF($A51="","",ROUND(Payroll!L51+Payroll!M51,2))</f>
        <v/>
      </c>
      <c r="J51" s="24" t="str">
        <f aca="false">IF($A51="","",0)</f>
        <v/>
      </c>
    </row>
    <row r="52" customFormat="false" ht="15" hidden="false" customHeight="false" outlineLevel="0" collapsed="false">
      <c r="A52" s="24" t="str">
        <f aca="false">IF(AND(Payroll!$A52&lt;&gt;"",N(Payroll!$R52)&gt;0),"EDR","")</f>
        <v/>
      </c>
      <c r="B52" s="24" t="str">
        <f aca="false">IF($A52="","",Payroll!U52)</f>
        <v/>
      </c>
      <c r="C52" s="24" t="str">
        <f aca="false">IF($A52="","",Payroll!S52)</f>
        <v/>
      </c>
      <c r="D52" s="24" t="str">
        <f aca="false">IF($A52="","",SUBSTITUTE(Payroll!T52," ",""))</f>
        <v/>
      </c>
      <c r="E52" s="24" t="str">
        <f aca="false">IF($A52="","",TEXT(Settings!$B$8,"yyyy-mm-dd"))</f>
        <v/>
      </c>
      <c r="F52" s="24" t="str">
        <f aca="false">IF($A52="","",TEXT(Settings!$B$9,"yyyy-mm-dd"))</f>
        <v/>
      </c>
      <c r="G52" s="24" t="str">
        <f aca="false">IF($A52="","",DAY(Settings!$B$9))</f>
        <v/>
      </c>
      <c r="H52" s="26" t="str">
        <f aca="false">IF($A52="","",ROUND(Payroll!R52-Payroll!L52-Payroll!M52,2))</f>
        <v/>
      </c>
      <c r="I52" s="26" t="str">
        <f aca="false">IF($A52="","",ROUND(Payroll!L52+Payroll!M52,2))</f>
        <v/>
      </c>
      <c r="J52" s="24" t="str">
        <f aca="false">IF($A52="","",0)</f>
        <v/>
      </c>
    </row>
    <row r="53" customFormat="false" ht="15" hidden="false" customHeight="false" outlineLevel="0" collapsed="false">
      <c r="A53" s="24" t="str">
        <f aca="false">IF(AND(Payroll!$A53&lt;&gt;"",N(Payroll!$R53)&gt;0),"EDR","")</f>
        <v/>
      </c>
      <c r="B53" s="24" t="str">
        <f aca="false">IF($A53="","",Payroll!U53)</f>
        <v/>
      </c>
      <c r="C53" s="24" t="str">
        <f aca="false">IF($A53="","",Payroll!S53)</f>
        <v/>
      </c>
      <c r="D53" s="24" t="str">
        <f aca="false">IF($A53="","",SUBSTITUTE(Payroll!T53," ",""))</f>
        <v/>
      </c>
      <c r="E53" s="24" t="str">
        <f aca="false">IF($A53="","",TEXT(Settings!$B$8,"yyyy-mm-dd"))</f>
        <v/>
      </c>
      <c r="F53" s="24" t="str">
        <f aca="false">IF($A53="","",TEXT(Settings!$B$9,"yyyy-mm-dd"))</f>
        <v/>
      </c>
      <c r="G53" s="24" t="str">
        <f aca="false">IF($A53="","",DAY(Settings!$B$9))</f>
        <v/>
      </c>
      <c r="H53" s="26" t="str">
        <f aca="false">IF($A53="","",ROUND(Payroll!R53-Payroll!L53-Payroll!M53,2))</f>
        <v/>
      </c>
      <c r="I53" s="26" t="str">
        <f aca="false">IF($A53="","",ROUND(Payroll!L53+Payroll!M53,2))</f>
        <v/>
      </c>
      <c r="J53" s="24" t="str">
        <f aca="false">IF($A53="","",0)</f>
        <v/>
      </c>
    </row>
    <row r="54" customFormat="false" ht="15" hidden="false" customHeight="false" outlineLevel="0" collapsed="false">
      <c r="A54" s="24" t="str">
        <f aca="false">IF(AND(Payroll!$A54&lt;&gt;"",N(Payroll!$R54)&gt;0),"EDR","")</f>
        <v/>
      </c>
      <c r="B54" s="24" t="str">
        <f aca="false">IF($A54="","",Payroll!U54)</f>
        <v/>
      </c>
      <c r="C54" s="24" t="str">
        <f aca="false">IF($A54="","",Payroll!S54)</f>
        <v/>
      </c>
      <c r="D54" s="24" t="str">
        <f aca="false">IF($A54="","",SUBSTITUTE(Payroll!T54," ",""))</f>
        <v/>
      </c>
      <c r="E54" s="24" t="str">
        <f aca="false">IF($A54="","",TEXT(Settings!$B$8,"yyyy-mm-dd"))</f>
        <v/>
      </c>
      <c r="F54" s="24" t="str">
        <f aca="false">IF($A54="","",TEXT(Settings!$B$9,"yyyy-mm-dd"))</f>
        <v/>
      </c>
      <c r="G54" s="24" t="str">
        <f aca="false">IF($A54="","",DAY(Settings!$B$9))</f>
        <v/>
      </c>
      <c r="H54" s="26" t="str">
        <f aca="false">IF($A54="","",ROUND(Payroll!R54-Payroll!L54-Payroll!M54,2))</f>
        <v/>
      </c>
      <c r="I54" s="26" t="str">
        <f aca="false">IF($A54="","",ROUND(Payroll!L54+Payroll!M54,2))</f>
        <v/>
      </c>
      <c r="J54" s="24" t="str">
        <f aca="false">IF($A54="","",0)</f>
        <v/>
      </c>
    </row>
    <row r="55" customFormat="false" ht="15" hidden="false" customHeight="false" outlineLevel="0" collapsed="false">
      <c r="A55" s="24" t="str">
        <f aca="false">IF(AND(Payroll!$A55&lt;&gt;"",N(Payroll!$R55)&gt;0),"EDR","")</f>
        <v/>
      </c>
      <c r="B55" s="24" t="str">
        <f aca="false">IF($A55="","",Payroll!U55)</f>
        <v/>
      </c>
      <c r="C55" s="24" t="str">
        <f aca="false">IF($A55="","",Payroll!S55)</f>
        <v/>
      </c>
      <c r="D55" s="24" t="str">
        <f aca="false">IF($A55="","",SUBSTITUTE(Payroll!T55," ",""))</f>
        <v/>
      </c>
      <c r="E55" s="24" t="str">
        <f aca="false">IF($A55="","",TEXT(Settings!$B$8,"yyyy-mm-dd"))</f>
        <v/>
      </c>
      <c r="F55" s="24" t="str">
        <f aca="false">IF($A55="","",TEXT(Settings!$B$9,"yyyy-mm-dd"))</f>
        <v/>
      </c>
      <c r="G55" s="24" t="str">
        <f aca="false">IF($A55="","",DAY(Settings!$B$9))</f>
        <v/>
      </c>
      <c r="H55" s="26" t="str">
        <f aca="false">IF($A55="","",ROUND(Payroll!R55-Payroll!L55-Payroll!M55,2))</f>
        <v/>
      </c>
      <c r="I55" s="26" t="str">
        <f aca="false">IF($A55="","",ROUND(Payroll!L55+Payroll!M55,2))</f>
        <v/>
      </c>
      <c r="J55" s="24" t="str">
        <f aca="false">IF($A55="","",0)</f>
        <v/>
      </c>
    </row>
    <row r="56" customFormat="false" ht="15" hidden="false" customHeight="false" outlineLevel="0" collapsed="false">
      <c r="A56" s="24" t="str">
        <f aca="false">IF(AND(Payroll!$A56&lt;&gt;"",N(Payroll!$R56)&gt;0),"EDR","")</f>
        <v/>
      </c>
      <c r="B56" s="24" t="str">
        <f aca="false">IF($A56="","",Payroll!U56)</f>
        <v/>
      </c>
      <c r="C56" s="24" t="str">
        <f aca="false">IF($A56="","",Payroll!S56)</f>
        <v/>
      </c>
      <c r="D56" s="24" t="str">
        <f aca="false">IF($A56="","",SUBSTITUTE(Payroll!T56," ",""))</f>
        <v/>
      </c>
      <c r="E56" s="24" t="str">
        <f aca="false">IF($A56="","",TEXT(Settings!$B$8,"yyyy-mm-dd"))</f>
        <v/>
      </c>
      <c r="F56" s="24" t="str">
        <f aca="false">IF($A56="","",TEXT(Settings!$B$9,"yyyy-mm-dd"))</f>
        <v/>
      </c>
      <c r="G56" s="24" t="str">
        <f aca="false">IF($A56="","",DAY(Settings!$B$9))</f>
        <v/>
      </c>
      <c r="H56" s="26" t="str">
        <f aca="false">IF($A56="","",ROUND(Payroll!R56-Payroll!L56-Payroll!M56,2))</f>
        <v/>
      </c>
      <c r="I56" s="26" t="str">
        <f aca="false">IF($A56="","",ROUND(Payroll!L56+Payroll!M56,2))</f>
        <v/>
      </c>
      <c r="J56" s="24" t="str">
        <f aca="false">IF($A56="","",0)</f>
        <v/>
      </c>
    </row>
    <row r="57" customFormat="false" ht="15" hidden="false" customHeight="false" outlineLevel="0" collapsed="false">
      <c r="A57" s="24" t="str">
        <f aca="false">IF(AND(Payroll!$A57&lt;&gt;"",N(Payroll!$R57)&gt;0),"EDR","")</f>
        <v/>
      </c>
      <c r="B57" s="24" t="str">
        <f aca="false">IF($A57="","",Payroll!U57)</f>
        <v/>
      </c>
      <c r="C57" s="24" t="str">
        <f aca="false">IF($A57="","",Payroll!S57)</f>
        <v/>
      </c>
      <c r="D57" s="24" t="str">
        <f aca="false">IF($A57="","",SUBSTITUTE(Payroll!T57," ",""))</f>
        <v/>
      </c>
      <c r="E57" s="24" t="str">
        <f aca="false">IF($A57="","",TEXT(Settings!$B$8,"yyyy-mm-dd"))</f>
        <v/>
      </c>
      <c r="F57" s="24" t="str">
        <f aca="false">IF($A57="","",TEXT(Settings!$B$9,"yyyy-mm-dd"))</f>
        <v/>
      </c>
      <c r="G57" s="24" t="str">
        <f aca="false">IF($A57="","",DAY(Settings!$B$9))</f>
        <v/>
      </c>
      <c r="H57" s="26" t="str">
        <f aca="false">IF($A57="","",ROUND(Payroll!R57-Payroll!L57-Payroll!M57,2))</f>
        <v/>
      </c>
      <c r="I57" s="26" t="str">
        <f aca="false">IF($A57="","",ROUND(Payroll!L57+Payroll!M57,2))</f>
        <v/>
      </c>
      <c r="J57" s="24" t="str">
        <f aca="false">IF($A57="","",0)</f>
        <v/>
      </c>
    </row>
    <row r="58" customFormat="false" ht="15" hidden="false" customHeight="false" outlineLevel="0" collapsed="false">
      <c r="A58" s="24" t="str">
        <f aca="false">IF(AND(Payroll!$A58&lt;&gt;"",N(Payroll!$R58)&gt;0),"EDR","")</f>
        <v/>
      </c>
      <c r="B58" s="24" t="str">
        <f aca="false">IF($A58="","",Payroll!U58)</f>
        <v/>
      </c>
      <c r="C58" s="24" t="str">
        <f aca="false">IF($A58="","",Payroll!S58)</f>
        <v/>
      </c>
      <c r="D58" s="24" t="str">
        <f aca="false">IF($A58="","",SUBSTITUTE(Payroll!T58," ",""))</f>
        <v/>
      </c>
      <c r="E58" s="24" t="str">
        <f aca="false">IF($A58="","",TEXT(Settings!$B$8,"yyyy-mm-dd"))</f>
        <v/>
      </c>
      <c r="F58" s="24" t="str">
        <f aca="false">IF($A58="","",TEXT(Settings!$B$9,"yyyy-mm-dd"))</f>
        <v/>
      </c>
      <c r="G58" s="24" t="str">
        <f aca="false">IF($A58="","",DAY(Settings!$B$9))</f>
        <v/>
      </c>
      <c r="H58" s="26" t="str">
        <f aca="false">IF($A58="","",ROUND(Payroll!R58-Payroll!L58-Payroll!M58,2))</f>
        <v/>
      </c>
      <c r="I58" s="26" t="str">
        <f aca="false">IF($A58="","",ROUND(Payroll!L58+Payroll!M58,2))</f>
        <v/>
      </c>
      <c r="J58" s="24" t="str">
        <f aca="false">IF($A58="","",0)</f>
        <v/>
      </c>
    </row>
    <row r="59" customFormat="false" ht="15" hidden="false" customHeight="false" outlineLevel="0" collapsed="false">
      <c r="A59" s="24" t="str">
        <f aca="false">IF(AND(Payroll!$A59&lt;&gt;"",N(Payroll!$R59)&gt;0),"EDR","")</f>
        <v/>
      </c>
      <c r="B59" s="24" t="str">
        <f aca="false">IF($A59="","",Payroll!U59)</f>
        <v/>
      </c>
      <c r="C59" s="24" t="str">
        <f aca="false">IF($A59="","",Payroll!S59)</f>
        <v/>
      </c>
      <c r="D59" s="24" t="str">
        <f aca="false">IF($A59="","",SUBSTITUTE(Payroll!T59," ",""))</f>
        <v/>
      </c>
      <c r="E59" s="24" t="str">
        <f aca="false">IF($A59="","",TEXT(Settings!$B$8,"yyyy-mm-dd"))</f>
        <v/>
      </c>
      <c r="F59" s="24" t="str">
        <f aca="false">IF($A59="","",TEXT(Settings!$B$9,"yyyy-mm-dd"))</f>
        <v/>
      </c>
      <c r="G59" s="24" t="str">
        <f aca="false">IF($A59="","",DAY(Settings!$B$9))</f>
        <v/>
      </c>
      <c r="H59" s="26" t="str">
        <f aca="false">IF($A59="","",ROUND(Payroll!R59-Payroll!L59-Payroll!M59,2))</f>
        <v/>
      </c>
      <c r="I59" s="26" t="str">
        <f aca="false">IF($A59="","",ROUND(Payroll!L59+Payroll!M59,2))</f>
        <v/>
      </c>
      <c r="J59" s="24" t="str">
        <f aca="false">IF($A59="","",0)</f>
        <v/>
      </c>
    </row>
    <row r="60" customFormat="false" ht="15" hidden="false" customHeight="false" outlineLevel="0" collapsed="false">
      <c r="A60" s="24" t="str">
        <f aca="false">IF(AND(Payroll!$A60&lt;&gt;"",N(Payroll!$R60)&gt;0),"EDR","")</f>
        <v/>
      </c>
      <c r="B60" s="24" t="str">
        <f aca="false">IF($A60="","",Payroll!U60)</f>
        <v/>
      </c>
      <c r="C60" s="24" t="str">
        <f aca="false">IF($A60="","",Payroll!S60)</f>
        <v/>
      </c>
      <c r="D60" s="24" t="str">
        <f aca="false">IF($A60="","",SUBSTITUTE(Payroll!T60," ",""))</f>
        <v/>
      </c>
      <c r="E60" s="24" t="str">
        <f aca="false">IF($A60="","",TEXT(Settings!$B$8,"yyyy-mm-dd"))</f>
        <v/>
      </c>
      <c r="F60" s="24" t="str">
        <f aca="false">IF($A60="","",TEXT(Settings!$B$9,"yyyy-mm-dd"))</f>
        <v/>
      </c>
      <c r="G60" s="24" t="str">
        <f aca="false">IF($A60="","",DAY(Settings!$B$9))</f>
        <v/>
      </c>
      <c r="H60" s="26" t="str">
        <f aca="false">IF($A60="","",ROUND(Payroll!R60-Payroll!L60-Payroll!M60,2))</f>
        <v/>
      </c>
      <c r="I60" s="26" t="str">
        <f aca="false">IF($A60="","",ROUND(Payroll!L60+Payroll!M60,2))</f>
        <v/>
      </c>
      <c r="J60" s="24" t="str">
        <f aca="false">IF($A60="","",0)</f>
        <v/>
      </c>
    </row>
    <row r="61" customFormat="false" ht="15" hidden="false" customHeight="false" outlineLevel="0" collapsed="false">
      <c r="A61" s="24" t="str">
        <f aca="false">IF(AND(Payroll!$A61&lt;&gt;"",N(Payroll!$R61)&gt;0),"EDR","")</f>
        <v/>
      </c>
      <c r="B61" s="24" t="str">
        <f aca="false">IF($A61="","",Payroll!U61)</f>
        <v/>
      </c>
      <c r="C61" s="24" t="str">
        <f aca="false">IF($A61="","",Payroll!S61)</f>
        <v/>
      </c>
      <c r="D61" s="24" t="str">
        <f aca="false">IF($A61="","",SUBSTITUTE(Payroll!T61," ",""))</f>
        <v/>
      </c>
      <c r="E61" s="24" t="str">
        <f aca="false">IF($A61="","",TEXT(Settings!$B$8,"yyyy-mm-dd"))</f>
        <v/>
      </c>
      <c r="F61" s="24" t="str">
        <f aca="false">IF($A61="","",TEXT(Settings!$B$9,"yyyy-mm-dd"))</f>
        <v/>
      </c>
      <c r="G61" s="24" t="str">
        <f aca="false">IF($A61="","",DAY(Settings!$B$9))</f>
        <v/>
      </c>
      <c r="H61" s="26" t="str">
        <f aca="false">IF($A61="","",ROUND(Payroll!R61-Payroll!L61-Payroll!M61,2))</f>
        <v/>
      </c>
      <c r="I61" s="26" t="str">
        <f aca="false">IF($A61="","",ROUND(Payroll!L61+Payroll!M61,2))</f>
        <v/>
      </c>
      <c r="J61" s="24" t="str">
        <f aca="false">IF($A61="","",0)</f>
        <v/>
      </c>
    </row>
    <row r="62" customFormat="false" ht="15" hidden="false" customHeight="false" outlineLevel="0" collapsed="false">
      <c r="A62" s="24" t="str">
        <f aca="false">IF(AND(Payroll!$A62&lt;&gt;"",N(Payroll!$R62)&gt;0),"EDR","")</f>
        <v/>
      </c>
      <c r="B62" s="24" t="str">
        <f aca="false">IF($A62="","",Payroll!U62)</f>
        <v/>
      </c>
      <c r="C62" s="24" t="str">
        <f aca="false">IF($A62="","",Payroll!S62)</f>
        <v/>
      </c>
      <c r="D62" s="24" t="str">
        <f aca="false">IF($A62="","",SUBSTITUTE(Payroll!T62," ",""))</f>
        <v/>
      </c>
      <c r="E62" s="24" t="str">
        <f aca="false">IF($A62="","",TEXT(Settings!$B$8,"yyyy-mm-dd"))</f>
        <v/>
      </c>
      <c r="F62" s="24" t="str">
        <f aca="false">IF($A62="","",TEXT(Settings!$B$9,"yyyy-mm-dd"))</f>
        <v/>
      </c>
      <c r="G62" s="24" t="str">
        <f aca="false">IF($A62="","",DAY(Settings!$B$9))</f>
        <v/>
      </c>
      <c r="H62" s="26" t="str">
        <f aca="false">IF($A62="","",ROUND(Payroll!R62-Payroll!L62-Payroll!M62,2))</f>
        <v/>
      </c>
      <c r="I62" s="26" t="str">
        <f aca="false">IF($A62="","",ROUND(Payroll!L62+Payroll!M62,2))</f>
        <v/>
      </c>
      <c r="J62" s="24" t="str">
        <f aca="false">IF($A62="","",0)</f>
        <v/>
      </c>
    </row>
    <row r="63" customFormat="false" ht="15" hidden="false" customHeight="false" outlineLevel="0" collapsed="false">
      <c r="A63" s="24" t="str">
        <f aca="false">IF(AND(Payroll!$A63&lt;&gt;"",N(Payroll!$R63)&gt;0),"EDR","")</f>
        <v/>
      </c>
      <c r="B63" s="24" t="str">
        <f aca="false">IF($A63="","",Payroll!U63)</f>
        <v/>
      </c>
      <c r="C63" s="24" t="str">
        <f aca="false">IF($A63="","",Payroll!S63)</f>
        <v/>
      </c>
      <c r="D63" s="24" t="str">
        <f aca="false">IF($A63="","",SUBSTITUTE(Payroll!T63," ",""))</f>
        <v/>
      </c>
      <c r="E63" s="24" t="str">
        <f aca="false">IF($A63="","",TEXT(Settings!$B$8,"yyyy-mm-dd"))</f>
        <v/>
      </c>
      <c r="F63" s="24" t="str">
        <f aca="false">IF($A63="","",TEXT(Settings!$B$9,"yyyy-mm-dd"))</f>
        <v/>
      </c>
      <c r="G63" s="24" t="str">
        <f aca="false">IF($A63="","",DAY(Settings!$B$9))</f>
        <v/>
      </c>
      <c r="H63" s="26" t="str">
        <f aca="false">IF($A63="","",ROUND(Payroll!R63-Payroll!L63-Payroll!M63,2))</f>
        <v/>
      </c>
      <c r="I63" s="26" t="str">
        <f aca="false">IF($A63="","",ROUND(Payroll!L63+Payroll!M63,2))</f>
        <v/>
      </c>
      <c r="J63" s="24" t="str">
        <f aca="false">IF($A63="","",0)</f>
        <v/>
      </c>
    </row>
    <row r="64" customFormat="false" ht="15" hidden="false" customHeight="false" outlineLevel="0" collapsed="false">
      <c r="A64" s="24" t="str">
        <f aca="false">IF(AND(Payroll!$A64&lt;&gt;"",N(Payroll!$R64)&gt;0),"EDR","")</f>
        <v/>
      </c>
      <c r="B64" s="24" t="str">
        <f aca="false">IF($A64="","",Payroll!U64)</f>
        <v/>
      </c>
      <c r="C64" s="24" t="str">
        <f aca="false">IF($A64="","",Payroll!S64)</f>
        <v/>
      </c>
      <c r="D64" s="24" t="str">
        <f aca="false">IF($A64="","",SUBSTITUTE(Payroll!T64," ",""))</f>
        <v/>
      </c>
      <c r="E64" s="24" t="str">
        <f aca="false">IF($A64="","",TEXT(Settings!$B$8,"yyyy-mm-dd"))</f>
        <v/>
      </c>
      <c r="F64" s="24" t="str">
        <f aca="false">IF($A64="","",TEXT(Settings!$B$9,"yyyy-mm-dd"))</f>
        <v/>
      </c>
      <c r="G64" s="24" t="str">
        <f aca="false">IF($A64="","",DAY(Settings!$B$9))</f>
        <v/>
      </c>
      <c r="H64" s="26" t="str">
        <f aca="false">IF($A64="","",ROUND(Payroll!R64-Payroll!L64-Payroll!M64,2))</f>
        <v/>
      </c>
      <c r="I64" s="26" t="str">
        <f aca="false">IF($A64="","",ROUND(Payroll!L64+Payroll!M64,2))</f>
        <v/>
      </c>
      <c r="J64" s="24" t="str">
        <f aca="false">IF($A64="","",0)</f>
        <v/>
      </c>
    </row>
    <row r="65" customFormat="false" ht="15" hidden="false" customHeight="false" outlineLevel="0" collapsed="false">
      <c r="A65" s="24" t="str">
        <f aca="false">IF(AND(Payroll!$A65&lt;&gt;"",N(Payroll!$R65)&gt;0),"EDR","")</f>
        <v/>
      </c>
      <c r="B65" s="24" t="str">
        <f aca="false">IF($A65="","",Payroll!U65)</f>
        <v/>
      </c>
      <c r="C65" s="24" t="str">
        <f aca="false">IF($A65="","",Payroll!S65)</f>
        <v/>
      </c>
      <c r="D65" s="24" t="str">
        <f aca="false">IF($A65="","",SUBSTITUTE(Payroll!T65," ",""))</f>
        <v/>
      </c>
      <c r="E65" s="24" t="str">
        <f aca="false">IF($A65="","",TEXT(Settings!$B$8,"yyyy-mm-dd"))</f>
        <v/>
      </c>
      <c r="F65" s="24" t="str">
        <f aca="false">IF($A65="","",TEXT(Settings!$B$9,"yyyy-mm-dd"))</f>
        <v/>
      </c>
      <c r="G65" s="24" t="str">
        <f aca="false">IF($A65="","",DAY(Settings!$B$9))</f>
        <v/>
      </c>
      <c r="H65" s="26" t="str">
        <f aca="false">IF($A65="","",ROUND(Payroll!R65-Payroll!L65-Payroll!M65,2))</f>
        <v/>
      </c>
      <c r="I65" s="26" t="str">
        <f aca="false">IF($A65="","",ROUND(Payroll!L65+Payroll!M65,2))</f>
        <v/>
      </c>
      <c r="J65" s="24" t="str">
        <f aca="false">IF($A65="","",0)</f>
        <v/>
      </c>
    </row>
    <row r="66" customFormat="false" ht="15" hidden="false" customHeight="false" outlineLevel="0" collapsed="false">
      <c r="A66" s="24" t="str">
        <f aca="false">IF(AND(Payroll!$A66&lt;&gt;"",N(Payroll!$R66)&gt;0),"EDR","")</f>
        <v/>
      </c>
      <c r="B66" s="24" t="str">
        <f aca="false">IF($A66="","",Payroll!U66)</f>
        <v/>
      </c>
      <c r="C66" s="24" t="str">
        <f aca="false">IF($A66="","",Payroll!S66)</f>
        <v/>
      </c>
      <c r="D66" s="24" t="str">
        <f aca="false">IF($A66="","",SUBSTITUTE(Payroll!T66," ",""))</f>
        <v/>
      </c>
      <c r="E66" s="24" t="str">
        <f aca="false">IF($A66="","",TEXT(Settings!$B$8,"yyyy-mm-dd"))</f>
        <v/>
      </c>
      <c r="F66" s="24" t="str">
        <f aca="false">IF($A66="","",TEXT(Settings!$B$9,"yyyy-mm-dd"))</f>
        <v/>
      </c>
      <c r="G66" s="24" t="str">
        <f aca="false">IF($A66="","",DAY(Settings!$B$9))</f>
        <v/>
      </c>
      <c r="H66" s="26" t="str">
        <f aca="false">IF($A66="","",ROUND(Payroll!R66-Payroll!L66-Payroll!M66,2))</f>
        <v/>
      </c>
      <c r="I66" s="26" t="str">
        <f aca="false">IF($A66="","",ROUND(Payroll!L66+Payroll!M66,2))</f>
        <v/>
      </c>
      <c r="J66" s="24" t="str">
        <f aca="false">IF($A66="","",0)</f>
        <v/>
      </c>
    </row>
    <row r="67" customFormat="false" ht="15" hidden="false" customHeight="false" outlineLevel="0" collapsed="false">
      <c r="A67" s="24" t="str">
        <f aca="false">IF(AND(Payroll!$A67&lt;&gt;"",N(Payroll!$R67)&gt;0),"EDR","")</f>
        <v/>
      </c>
      <c r="B67" s="24" t="str">
        <f aca="false">IF($A67="","",Payroll!U67)</f>
        <v/>
      </c>
      <c r="C67" s="24" t="str">
        <f aca="false">IF($A67="","",Payroll!S67)</f>
        <v/>
      </c>
      <c r="D67" s="24" t="str">
        <f aca="false">IF($A67="","",SUBSTITUTE(Payroll!T67," ",""))</f>
        <v/>
      </c>
      <c r="E67" s="24" t="str">
        <f aca="false">IF($A67="","",TEXT(Settings!$B$8,"yyyy-mm-dd"))</f>
        <v/>
      </c>
      <c r="F67" s="24" t="str">
        <f aca="false">IF($A67="","",TEXT(Settings!$B$9,"yyyy-mm-dd"))</f>
        <v/>
      </c>
      <c r="G67" s="24" t="str">
        <f aca="false">IF($A67="","",DAY(Settings!$B$9))</f>
        <v/>
      </c>
      <c r="H67" s="26" t="str">
        <f aca="false">IF($A67="","",ROUND(Payroll!R67-Payroll!L67-Payroll!M67,2))</f>
        <v/>
      </c>
      <c r="I67" s="26" t="str">
        <f aca="false">IF($A67="","",ROUND(Payroll!L67+Payroll!M67,2))</f>
        <v/>
      </c>
      <c r="J67" s="24" t="str">
        <f aca="false">IF($A67="","",0)</f>
        <v/>
      </c>
    </row>
    <row r="68" customFormat="false" ht="15" hidden="false" customHeight="false" outlineLevel="0" collapsed="false">
      <c r="A68" s="24" t="str">
        <f aca="false">IF(AND(Payroll!$A68&lt;&gt;"",N(Payroll!$R68)&gt;0),"EDR","")</f>
        <v/>
      </c>
      <c r="B68" s="24" t="str">
        <f aca="false">IF($A68="","",Payroll!U68)</f>
        <v/>
      </c>
      <c r="C68" s="24" t="str">
        <f aca="false">IF($A68="","",Payroll!S68)</f>
        <v/>
      </c>
      <c r="D68" s="24" t="str">
        <f aca="false">IF($A68="","",SUBSTITUTE(Payroll!T68," ",""))</f>
        <v/>
      </c>
      <c r="E68" s="24" t="str">
        <f aca="false">IF($A68="","",TEXT(Settings!$B$8,"yyyy-mm-dd"))</f>
        <v/>
      </c>
      <c r="F68" s="24" t="str">
        <f aca="false">IF($A68="","",TEXT(Settings!$B$9,"yyyy-mm-dd"))</f>
        <v/>
      </c>
      <c r="G68" s="24" t="str">
        <f aca="false">IF($A68="","",DAY(Settings!$B$9))</f>
        <v/>
      </c>
      <c r="H68" s="26" t="str">
        <f aca="false">IF($A68="","",ROUND(Payroll!R68-Payroll!L68-Payroll!M68,2))</f>
        <v/>
      </c>
      <c r="I68" s="26" t="str">
        <f aca="false">IF($A68="","",ROUND(Payroll!L68+Payroll!M68,2))</f>
        <v/>
      </c>
      <c r="J68" s="24" t="str">
        <f aca="false">IF($A68="","",0)</f>
        <v/>
      </c>
    </row>
    <row r="69" customFormat="false" ht="15" hidden="false" customHeight="false" outlineLevel="0" collapsed="false">
      <c r="A69" s="24" t="str">
        <f aca="false">IF(AND(Payroll!$A69&lt;&gt;"",N(Payroll!$R69)&gt;0),"EDR","")</f>
        <v/>
      </c>
      <c r="B69" s="24" t="str">
        <f aca="false">IF($A69="","",Payroll!U69)</f>
        <v/>
      </c>
      <c r="C69" s="24" t="str">
        <f aca="false">IF($A69="","",Payroll!S69)</f>
        <v/>
      </c>
      <c r="D69" s="24" t="str">
        <f aca="false">IF($A69="","",SUBSTITUTE(Payroll!T69," ",""))</f>
        <v/>
      </c>
      <c r="E69" s="24" t="str">
        <f aca="false">IF($A69="","",TEXT(Settings!$B$8,"yyyy-mm-dd"))</f>
        <v/>
      </c>
      <c r="F69" s="24" t="str">
        <f aca="false">IF($A69="","",TEXT(Settings!$B$9,"yyyy-mm-dd"))</f>
        <v/>
      </c>
      <c r="G69" s="24" t="str">
        <f aca="false">IF($A69="","",DAY(Settings!$B$9))</f>
        <v/>
      </c>
      <c r="H69" s="26" t="str">
        <f aca="false">IF($A69="","",ROUND(Payroll!R69-Payroll!L69-Payroll!M69,2))</f>
        <v/>
      </c>
      <c r="I69" s="26" t="str">
        <f aca="false">IF($A69="","",ROUND(Payroll!L69+Payroll!M69,2))</f>
        <v/>
      </c>
      <c r="J69" s="24" t="str">
        <f aca="false">IF($A69="","",0)</f>
        <v/>
      </c>
    </row>
    <row r="70" customFormat="false" ht="15" hidden="false" customHeight="false" outlineLevel="0" collapsed="false">
      <c r="A70" s="24" t="str">
        <f aca="false">IF(AND(Payroll!$A70&lt;&gt;"",N(Payroll!$R70)&gt;0),"EDR","")</f>
        <v/>
      </c>
      <c r="B70" s="24" t="str">
        <f aca="false">IF($A70="","",Payroll!U70)</f>
        <v/>
      </c>
      <c r="C70" s="24" t="str">
        <f aca="false">IF($A70="","",Payroll!S70)</f>
        <v/>
      </c>
      <c r="D70" s="24" t="str">
        <f aca="false">IF($A70="","",SUBSTITUTE(Payroll!T70," ",""))</f>
        <v/>
      </c>
      <c r="E70" s="24" t="str">
        <f aca="false">IF($A70="","",TEXT(Settings!$B$8,"yyyy-mm-dd"))</f>
        <v/>
      </c>
      <c r="F70" s="24" t="str">
        <f aca="false">IF($A70="","",TEXT(Settings!$B$9,"yyyy-mm-dd"))</f>
        <v/>
      </c>
      <c r="G70" s="24" t="str">
        <f aca="false">IF($A70="","",DAY(Settings!$B$9))</f>
        <v/>
      </c>
      <c r="H70" s="26" t="str">
        <f aca="false">IF($A70="","",ROUND(Payroll!R70-Payroll!L70-Payroll!M70,2))</f>
        <v/>
      </c>
      <c r="I70" s="26" t="str">
        <f aca="false">IF($A70="","",ROUND(Payroll!L70+Payroll!M70,2))</f>
        <v/>
      </c>
      <c r="J70" s="24" t="str">
        <f aca="false">IF($A70="","",0)</f>
        <v/>
      </c>
    </row>
    <row r="71" customFormat="false" ht="15" hidden="false" customHeight="false" outlineLevel="0" collapsed="false">
      <c r="A71" s="24" t="str">
        <f aca="false">IF(AND(Payroll!$A71&lt;&gt;"",N(Payroll!$R71)&gt;0),"EDR","")</f>
        <v/>
      </c>
      <c r="B71" s="24" t="str">
        <f aca="false">IF($A71="","",Payroll!U71)</f>
        <v/>
      </c>
      <c r="C71" s="24" t="str">
        <f aca="false">IF($A71="","",Payroll!S71)</f>
        <v/>
      </c>
      <c r="D71" s="24" t="str">
        <f aca="false">IF($A71="","",SUBSTITUTE(Payroll!T71," ",""))</f>
        <v/>
      </c>
      <c r="E71" s="24" t="str">
        <f aca="false">IF($A71="","",TEXT(Settings!$B$8,"yyyy-mm-dd"))</f>
        <v/>
      </c>
      <c r="F71" s="24" t="str">
        <f aca="false">IF($A71="","",TEXT(Settings!$B$9,"yyyy-mm-dd"))</f>
        <v/>
      </c>
      <c r="G71" s="24" t="str">
        <f aca="false">IF($A71="","",DAY(Settings!$B$9))</f>
        <v/>
      </c>
      <c r="H71" s="26" t="str">
        <f aca="false">IF($A71="","",ROUND(Payroll!R71-Payroll!L71-Payroll!M71,2))</f>
        <v/>
      </c>
      <c r="I71" s="26" t="str">
        <f aca="false">IF($A71="","",ROUND(Payroll!L71+Payroll!M71,2))</f>
        <v/>
      </c>
      <c r="J71" s="24" t="str">
        <f aca="false">IF($A71="","",0)</f>
        <v/>
      </c>
    </row>
    <row r="72" customFormat="false" ht="15" hidden="false" customHeight="false" outlineLevel="0" collapsed="false">
      <c r="A72" s="24" t="str">
        <f aca="false">IF(AND(Payroll!$A72&lt;&gt;"",N(Payroll!$R72)&gt;0),"EDR","")</f>
        <v/>
      </c>
      <c r="B72" s="24" t="str">
        <f aca="false">IF($A72="","",Payroll!U72)</f>
        <v/>
      </c>
      <c r="C72" s="24" t="str">
        <f aca="false">IF($A72="","",Payroll!S72)</f>
        <v/>
      </c>
      <c r="D72" s="24" t="str">
        <f aca="false">IF($A72="","",SUBSTITUTE(Payroll!T72," ",""))</f>
        <v/>
      </c>
      <c r="E72" s="24" t="str">
        <f aca="false">IF($A72="","",TEXT(Settings!$B$8,"yyyy-mm-dd"))</f>
        <v/>
      </c>
      <c r="F72" s="24" t="str">
        <f aca="false">IF($A72="","",TEXT(Settings!$B$9,"yyyy-mm-dd"))</f>
        <v/>
      </c>
      <c r="G72" s="24" t="str">
        <f aca="false">IF($A72="","",DAY(Settings!$B$9))</f>
        <v/>
      </c>
      <c r="H72" s="26" t="str">
        <f aca="false">IF($A72="","",ROUND(Payroll!R72-Payroll!L72-Payroll!M72,2))</f>
        <v/>
      </c>
      <c r="I72" s="26" t="str">
        <f aca="false">IF($A72="","",ROUND(Payroll!L72+Payroll!M72,2))</f>
        <v/>
      </c>
      <c r="J72" s="24" t="str">
        <f aca="false">IF($A72="","",0)</f>
        <v/>
      </c>
    </row>
    <row r="73" customFormat="false" ht="15" hidden="false" customHeight="false" outlineLevel="0" collapsed="false">
      <c r="A73" s="24" t="str">
        <f aca="false">IF(AND(Payroll!$A73&lt;&gt;"",N(Payroll!$R73)&gt;0),"EDR","")</f>
        <v/>
      </c>
      <c r="B73" s="24" t="str">
        <f aca="false">IF($A73="","",Payroll!U73)</f>
        <v/>
      </c>
      <c r="C73" s="24" t="str">
        <f aca="false">IF($A73="","",Payroll!S73)</f>
        <v/>
      </c>
      <c r="D73" s="24" t="str">
        <f aca="false">IF($A73="","",SUBSTITUTE(Payroll!T73," ",""))</f>
        <v/>
      </c>
      <c r="E73" s="24" t="str">
        <f aca="false">IF($A73="","",TEXT(Settings!$B$8,"yyyy-mm-dd"))</f>
        <v/>
      </c>
      <c r="F73" s="24" t="str">
        <f aca="false">IF($A73="","",TEXT(Settings!$B$9,"yyyy-mm-dd"))</f>
        <v/>
      </c>
      <c r="G73" s="24" t="str">
        <f aca="false">IF($A73="","",DAY(Settings!$B$9))</f>
        <v/>
      </c>
      <c r="H73" s="26" t="str">
        <f aca="false">IF($A73="","",ROUND(Payroll!R73-Payroll!L73-Payroll!M73,2))</f>
        <v/>
      </c>
      <c r="I73" s="26" t="str">
        <f aca="false">IF($A73="","",ROUND(Payroll!L73+Payroll!M73,2))</f>
        <v/>
      </c>
      <c r="J73" s="24" t="str">
        <f aca="false">IF($A73="","",0)</f>
        <v/>
      </c>
    </row>
    <row r="74" customFormat="false" ht="15" hidden="false" customHeight="false" outlineLevel="0" collapsed="false">
      <c r="A74" s="24" t="str">
        <f aca="false">IF(AND(Payroll!$A74&lt;&gt;"",N(Payroll!$R74)&gt;0),"EDR","")</f>
        <v/>
      </c>
      <c r="B74" s="24" t="str">
        <f aca="false">IF($A74="","",Payroll!U74)</f>
        <v/>
      </c>
      <c r="C74" s="24" t="str">
        <f aca="false">IF($A74="","",Payroll!S74)</f>
        <v/>
      </c>
      <c r="D74" s="24" t="str">
        <f aca="false">IF($A74="","",SUBSTITUTE(Payroll!T74," ",""))</f>
        <v/>
      </c>
      <c r="E74" s="24" t="str">
        <f aca="false">IF($A74="","",TEXT(Settings!$B$8,"yyyy-mm-dd"))</f>
        <v/>
      </c>
      <c r="F74" s="24" t="str">
        <f aca="false">IF($A74="","",TEXT(Settings!$B$9,"yyyy-mm-dd"))</f>
        <v/>
      </c>
      <c r="G74" s="24" t="str">
        <f aca="false">IF($A74="","",DAY(Settings!$B$9))</f>
        <v/>
      </c>
      <c r="H74" s="26" t="str">
        <f aca="false">IF($A74="","",ROUND(Payroll!R74-Payroll!L74-Payroll!M74,2))</f>
        <v/>
      </c>
      <c r="I74" s="26" t="str">
        <f aca="false">IF($A74="","",ROUND(Payroll!L74+Payroll!M74,2))</f>
        <v/>
      </c>
      <c r="J74" s="24" t="str">
        <f aca="false">IF($A74="","",0)</f>
        <v/>
      </c>
    </row>
    <row r="75" customFormat="false" ht="15" hidden="false" customHeight="false" outlineLevel="0" collapsed="false">
      <c r="A75" s="24" t="str">
        <f aca="false">IF(AND(Payroll!$A75&lt;&gt;"",N(Payroll!$R75)&gt;0),"EDR","")</f>
        <v/>
      </c>
      <c r="B75" s="24" t="str">
        <f aca="false">IF($A75="","",Payroll!U75)</f>
        <v/>
      </c>
      <c r="C75" s="24" t="str">
        <f aca="false">IF($A75="","",Payroll!S75)</f>
        <v/>
      </c>
      <c r="D75" s="24" t="str">
        <f aca="false">IF($A75="","",SUBSTITUTE(Payroll!T75," ",""))</f>
        <v/>
      </c>
      <c r="E75" s="24" t="str">
        <f aca="false">IF($A75="","",TEXT(Settings!$B$8,"yyyy-mm-dd"))</f>
        <v/>
      </c>
      <c r="F75" s="24" t="str">
        <f aca="false">IF($A75="","",TEXT(Settings!$B$9,"yyyy-mm-dd"))</f>
        <v/>
      </c>
      <c r="G75" s="24" t="str">
        <f aca="false">IF($A75="","",DAY(Settings!$B$9))</f>
        <v/>
      </c>
      <c r="H75" s="26" t="str">
        <f aca="false">IF($A75="","",ROUND(Payroll!R75-Payroll!L75-Payroll!M75,2))</f>
        <v/>
      </c>
      <c r="I75" s="26" t="str">
        <f aca="false">IF($A75="","",ROUND(Payroll!L75+Payroll!M75,2))</f>
        <v/>
      </c>
      <c r="J75" s="24" t="str">
        <f aca="false">IF($A75="","",0)</f>
        <v/>
      </c>
    </row>
    <row r="76" customFormat="false" ht="15" hidden="false" customHeight="false" outlineLevel="0" collapsed="false">
      <c r="A76" s="24" t="str">
        <f aca="false">IF(AND(Payroll!$A76&lt;&gt;"",N(Payroll!$R76)&gt;0),"EDR","")</f>
        <v/>
      </c>
      <c r="B76" s="24" t="str">
        <f aca="false">IF($A76="","",Payroll!U76)</f>
        <v/>
      </c>
      <c r="C76" s="24" t="str">
        <f aca="false">IF($A76="","",Payroll!S76)</f>
        <v/>
      </c>
      <c r="D76" s="24" t="str">
        <f aca="false">IF($A76="","",SUBSTITUTE(Payroll!T76," ",""))</f>
        <v/>
      </c>
      <c r="E76" s="24" t="str">
        <f aca="false">IF($A76="","",TEXT(Settings!$B$8,"yyyy-mm-dd"))</f>
        <v/>
      </c>
      <c r="F76" s="24" t="str">
        <f aca="false">IF($A76="","",TEXT(Settings!$B$9,"yyyy-mm-dd"))</f>
        <v/>
      </c>
      <c r="G76" s="24" t="str">
        <f aca="false">IF($A76="","",DAY(Settings!$B$9))</f>
        <v/>
      </c>
      <c r="H76" s="26" t="str">
        <f aca="false">IF($A76="","",ROUND(Payroll!R76-Payroll!L76-Payroll!M76,2))</f>
        <v/>
      </c>
      <c r="I76" s="26" t="str">
        <f aca="false">IF($A76="","",ROUND(Payroll!L76+Payroll!M76,2))</f>
        <v/>
      </c>
      <c r="J76" s="24" t="str">
        <f aca="false">IF($A76="","",0)</f>
        <v/>
      </c>
    </row>
    <row r="77" customFormat="false" ht="15" hidden="false" customHeight="false" outlineLevel="0" collapsed="false">
      <c r="A77" s="24" t="str">
        <f aca="false">IF(AND(Payroll!$A77&lt;&gt;"",N(Payroll!$R77)&gt;0),"EDR","")</f>
        <v/>
      </c>
      <c r="B77" s="24" t="str">
        <f aca="false">IF($A77="","",Payroll!U77)</f>
        <v/>
      </c>
      <c r="C77" s="24" t="str">
        <f aca="false">IF($A77="","",Payroll!S77)</f>
        <v/>
      </c>
      <c r="D77" s="24" t="str">
        <f aca="false">IF($A77="","",SUBSTITUTE(Payroll!T77," ",""))</f>
        <v/>
      </c>
      <c r="E77" s="24" t="str">
        <f aca="false">IF($A77="","",TEXT(Settings!$B$8,"yyyy-mm-dd"))</f>
        <v/>
      </c>
      <c r="F77" s="24" t="str">
        <f aca="false">IF($A77="","",TEXT(Settings!$B$9,"yyyy-mm-dd"))</f>
        <v/>
      </c>
      <c r="G77" s="24" t="str">
        <f aca="false">IF($A77="","",DAY(Settings!$B$9))</f>
        <v/>
      </c>
      <c r="H77" s="26" t="str">
        <f aca="false">IF($A77="","",ROUND(Payroll!R77-Payroll!L77-Payroll!M77,2))</f>
        <v/>
      </c>
      <c r="I77" s="26" t="str">
        <f aca="false">IF($A77="","",ROUND(Payroll!L77+Payroll!M77,2))</f>
        <v/>
      </c>
      <c r="J77" s="24" t="str">
        <f aca="false">IF($A77="","",0)</f>
        <v/>
      </c>
    </row>
    <row r="78" customFormat="false" ht="15" hidden="false" customHeight="false" outlineLevel="0" collapsed="false">
      <c r="A78" s="24" t="str">
        <f aca="false">IF(AND(Payroll!$A78&lt;&gt;"",N(Payroll!$R78)&gt;0),"EDR","")</f>
        <v/>
      </c>
      <c r="B78" s="24" t="str">
        <f aca="false">IF($A78="","",Payroll!U78)</f>
        <v/>
      </c>
      <c r="C78" s="24" t="str">
        <f aca="false">IF($A78="","",Payroll!S78)</f>
        <v/>
      </c>
      <c r="D78" s="24" t="str">
        <f aca="false">IF($A78="","",SUBSTITUTE(Payroll!T78," ",""))</f>
        <v/>
      </c>
      <c r="E78" s="24" t="str">
        <f aca="false">IF($A78="","",TEXT(Settings!$B$8,"yyyy-mm-dd"))</f>
        <v/>
      </c>
      <c r="F78" s="24" t="str">
        <f aca="false">IF($A78="","",TEXT(Settings!$B$9,"yyyy-mm-dd"))</f>
        <v/>
      </c>
      <c r="G78" s="24" t="str">
        <f aca="false">IF($A78="","",DAY(Settings!$B$9))</f>
        <v/>
      </c>
      <c r="H78" s="26" t="str">
        <f aca="false">IF($A78="","",ROUND(Payroll!R78-Payroll!L78-Payroll!M78,2))</f>
        <v/>
      </c>
      <c r="I78" s="26" t="str">
        <f aca="false">IF($A78="","",ROUND(Payroll!L78+Payroll!M78,2))</f>
        <v/>
      </c>
      <c r="J78" s="24" t="str">
        <f aca="false">IF($A78="","",0)</f>
        <v/>
      </c>
    </row>
    <row r="79" customFormat="false" ht="15" hidden="false" customHeight="false" outlineLevel="0" collapsed="false">
      <c r="A79" s="24" t="str">
        <f aca="false">IF(AND(Payroll!$A79&lt;&gt;"",N(Payroll!$R79)&gt;0),"EDR","")</f>
        <v/>
      </c>
      <c r="B79" s="24" t="str">
        <f aca="false">IF($A79="","",Payroll!U79)</f>
        <v/>
      </c>
      <c r="C79" s="24" t="str">
        <f aca="false">IF($A79="","",Payroll!S79)</f>
        <v/>
      </c>
      <c r="D79" s="24" t="str">
        <f aca="false">IF($A79="","",SUBSTITUTE(Payroll!T79," ",""))</f>
        <v/>
      </c>
      <c r="E79" s="24" t="str">
        <f aca="false">IF($A79="","",TEXT(Settings!$B$8,"yyyy-mm-dd"))</f>
        <v/>
      </c>
      <c r="F79" s="24" t="str">
        <f aca="false">IF($A79="","",TEXT(Settings!$B$9,"yyyy-mm-dd"))</f>
        <v/>
      </c>
      <c r="G79" s="24" t="str">
        <f aca="false">IF($A79="","",DAY(Settings!$B$9))</f>
        <v/>
      </c>
      <c r="H79" s="26" t="str">
        <f aca="false">IF($A79="","",ROUND(Payroll!R79-Payroll!L79-Payroll!M79,2))</f>
        <v/>
      </c>
      <c r="I79" s="26" t="str">
        <f aca="false">IF($A79="","",ROUND(Payroll!L79+Payroll!M79,2))</f>
        <v/>
      </c>
      <c r="J79" s="24" t="str">
        <f aca="false">IF($A79="","",0)</f>
        <v/>
      </c>
    </row>
    <row r="80" customFormat="false" ht="15" hidden="false" customHeight="false" outlineLevel="0" collapsed="false">
      <c r="A80" s="24" t="str">
        <f aca="false">IF(AND(Payroll!$A80&lt;&gt;"",N(Payroll!$R80)&gt;0),"EDR","")</f>
        <v/>
      </c>
      <c r="B80" s="24" t="str">
        <f aca="false">IF($A80="","",Payroll!U80)</f>
        <v/>
      </c>
      <c r="C80" s="24" t="str">
        <f aca="false">IF($A80="","",Payroll!S80)</f>
        <v/>
      </c>
      <c r="D80" s="24" t="str">
        <f aca="false">IF($A80="","",SUBSTITUTE(Payroll!T80," ",""))</f>
        <v/>
      </c>
      <c r="E80" s="24" t="str">
        <f aca="false">IF($A80="","",TEXT(Settings!$B$8,"yyyy-mm-dd"))</f>
        <v/>
      </c>
      <c r="F80" s="24" t="str">
        <f aca="false">IF($A80="","",TEXT(Settings!$B$9,"yyyy-mm-dd"))</f>
        <v/>
      </c>
      <c r="G80" s="24" t="str">
        <f aca="false">IF($A80="","",DAY(Settings!$B$9))</f>
        <v/>
      </c>
      <c r="H80" s="26" t="str">
        <f aca="false">IF($A80="","",ROUND(Payroll!R80-Payroll!L80-Payroll!M80,2))</f>
        <v/>
      </c>
      <c r="I80" s="26" t="str">
        <f aca="false">IF($A80="","",ROUND(Payroll!L80+Payroll!M80,2))</f>
        <v/>
      </c>
      <c r="J80" s="24" t="str">
        <f aca="false">IF($A80="","",0)</f>
        <v/>
      </c>
    </row>
    <row r="81" customFormat="false" ht="15" hidden="false" customHeight="false" outlineLevel="0" collapsed="false">
      <c r="A81" s="24" t="str">
        <f aca="false">IF(AND(Payroll!$A81&lt;&gt;"",N(Payroll!$R81)&gt;0),"EDR","")</f>
        <v/>
      </c>
      <c r="B81" s="24" t="str">
        <f aca="false">IF($A81="","",Payroll!U81)</f>
        <v/>
      </c>
      <c r="C81" s="24" t="str">
        <f aca="false">IF($A81="","",Payroll!S81)</f>
        <v/>
      </c>
      <c r="D81" s="24" t="str">
        <f aca="false">IF($A81="","",SUBSTITUTE(Payroll!T81," ",""))</f>
        <v/>
      </c>
      <c r="E81" s="24" t="str">
        <f aca="false">IF($A81="","",TEXT(Settings!$B$8,"yyyy-mm-dd"))</f>
        <v/>
      </c>
      <c r="F81" s="24" t="str">
        <f aca="false">IF($A81="","",TEXT(Settings!$B$9,"yyyy-mm-dd"))</f>
        <v/>
      </c>
      <c r="G81" s="24" t="str">
        <f aca="false">IF($A81="","",DAY(Settings!$B$9))</f>
        <v/>
      </c>
      <c r="H81" s="26" t="str">
        <f aca="false">IF($A81="","",ROUND(Payroll!R81-Payroll!L81-Payroll!M81,2))</f>
        <v/>
      </c>
      <c r="I81" s="26" t="str">
        <f aca="false">IF($A81="","",ROUND(Payroll!L81+Payroll!M81,2))</f>
        <v/>
      </c>
      <c r="J81" s="24" t="str">
        <f aca="false">IF($A81="","",0)</f>
        <v/>
      </c>
    </row>
    <row r="82" customFormat="false" ht="15" hidden="false" customHeight="false" outlineLevel="0" collapsed="false">
      <c r="A82" s="24" t="str">
        <f aca="false">IF(AND(Payroll!$A82&lt;&gt;"",N(Payroll!$R82)&gt;0),"EDR","")</f>
        <v/>
      </c>
      <c r="B82" s="24" t="str">
        <f aca="false">IF($A82="","",Payroll!U82)</f>
        <v/>
      </c>
      <c r="C82" s="24" t="str">
        <f aca="false">IF($A82="","",Payroll!S82)</f>
        <v/>
      </c>
      <c r="D82" s="24" t="str">
        <f aca="false">IF($A82="","",SUBSTITUTE(Payroll!T82," ",""))</f>
        <v/>
      </c>
      <c r="E82" s="24" t="str">
        <f aca="false">IF($A82="","",TEXT(Settings!$B$8,"yyyy-mm-dd"))</f>
        <v/>
      </c>
      <c r="F82" s="24" t="str">
        <f aca="false">IF($A82="","",TEXT(Settings!$B$9,"yyyy-mm-dd"))</f>
        <v/>
      </c>
      <c r="G82" s="24" t="str">
        <f aca="false">IF($A82="","",DAY(Settings!$B$9))</f>
        <v/>
      </c>
      <c r="H82" s="26" t="str">
        <f aca="false">IF($A82="","",ROUND(Payroll!R82-Payroll!L82-Payroll!M82,2))</f>
        <v/>
      </c>
      <c r="I82" s="26" t="str">
        <f aca="false">IF($A82="","",ROUND(Payroll!L82+Payroll!M82,2))</f>
        <v/>
      </c>
      <c r="J82" s="24" t="str">
        <f aca="false">IF($A82="","",0)</f>
        <v/>
      </c>
    </row>
    <row r="83" customFormat="false" ht="15" hidden="false" customHeight="false" outlineLevel="0" collapsed="false">
      <c r="A83" s="24" t="str">
        <f aca="false">IF(AND(Payroll!$A83&lt;&gt;"",N(Payroll!$R83)&gt;0),"EDR","")</f>
        <v/>
      </c>
      <c r="B83" s="24" t="str">
        <f aca="false">IF($A83="","",Payroll!U83)</f>
        <v/>
      </c>
      <c r="C83" s="24" t="str">
        <f aca="false">IF($A83="","",Payroll!S83)</f>
        <v/>
      </c>
      <c r="D83" s="24" t="str">
        <f aca="false">IF($A83="","",SUBSTITUTE(Payroll!T83," ",""))</f>
        <v/>
      </c>
      <c r="E83" s="24" t="str">
        <f aca="false">IF($A83="","",TEXT(Settings!$B$8,"yyyy-mm-dd"))</f>
        <v/>
      </c>
      <c r="F83" s="24" t="str">
        <f aca="false">IF($A83="","",TEXT(Settings!$B$9,"yyyy-mm-dd"))</f>
        <v/>
      </c>
      <c r="G83" s="24" t="str">
        <f aca="false">IF($A83="","",DAY(Settings!$B$9))</f>
        <v/>
      </c>
      <c r="H83" s="26" t="str">
        <f aca="false">IF($A83="","",ROUND(Payroll!R83-Payroll!L83-Payroll!M83,2))</f>
        <v/>
      </c>
      <c r="I83" s="26" t="str">
        <f aca="false">IF($A83="","",ROUND(Payroll!L83+Payroll!M83,2))</f>
        <v/>
      </c>
      <c r="J83" s="24" t="str">
        <f aca="false">IF($A83="","",0)</f>
        <v/>
      </c>
    </row>
    <row r="84" customFormat="false" ht="15" hidden="false" customHeight="false" outlineLevel="0" collapsed="false">
      <c r="A84" s="24" t="str">
        <f aca="false">IF(AND(Payroll!$A84&lt;&gt;"",N(Payroll!$R84)&gt;0),"EDR","")</f>
        <v/>
      </c>
      <c r="B84" s="24" t="str">
        <f aca="false">IF($A84="","",Payroll!U84)</f>
        <v/>
      </c>
      <c r="C84" s="24" t="str">
        <f aca="false">IF($A84="","",Payroll!S84)</f>
        <v/>
      </c>
      <c r="D84" s="24" t="str">
        <f aca="false">IF($A84="","",SUBSTITUTE(Payroll!T84," ",""))</f>
        <v/>
      </c>
      <c r="E84" s="24" t="str">
        <f aca="false">IF($A84="","",TEXT(Settings!$B$8,"yyyy-mm-dd"))</f>
        <v/>
      </c>
      <c r="F84" s="24" t="str">
        <f aca="false">IF($A84="","",TEXT(Settings!$B$9,"yyyy-mm-dd"))</f>
        <v/>
      </c>
      <c r="G84" s="24" t="str">
        <f aca="false">IF($A84="","",DAY(Settings!$B$9))</f>
        <v/>
      </c>
      <c r="H84" s="26" t="str">
        <f aca="false">IF($A84="","",ROUND(Payroll!R84-Payroll!L84-Payroll!M84,2))</f>
        <v/>
      </c>
      <c r="I84" s="26" t="str">
        <f aca="false">IF($A84="","",ROUND(Payroll!L84+Payroll!M84,2))</f>
        <v/>
      </c>
      <c r="J84" s="24" t="str">
        <f aca="false">IF($A84="","",0)</f>
        <v/>
      </c>
    </row>
    <row r="85" customFormat="false" ht="15" hidden="false" customHeight="false" outlineLevel="0" collapsed="false">
      <c r="A85" s="24" t="str">
        <f aca="false">IF(AND(Payroll!$A85&lt;&gt;"",N(Payroll!$R85)&gt;0),"EDR","")</f>
        <v/>
      </c>
      <c r="B85" s="24" t="str">
        <f aca="false">IF($A85="","",Payroll!U85)</f>
        <v/>
      </c>
      <c r="C85" s="24" t="str">
        <f aca="false">IF($A85="","",Payroll!S85)</f>
        <v/>
      </c>
      <c r="D85" s="24" t="str">
        <f aca="false">IF($A85="","",SUBSTITUTE(Payroll!T85," ",""))</f>
        <v/>
      </c>
      <c r="E85" s="24" t="str">
        <f aca="false">IF($A85="","",TEXT(Settings!$B$8,"yyyy-mm-dd"))</f>
        <v/>
      </c>
      <c r="F85" s="24" t="str">
        <f aca="false">IF($A85="","",TEXT(Settings!$B$9,"yyyy-mm-dd"))</f>
        <v/>
      </c>
      <c r="G85" s="24" t="str">
        <f aca="false">IF($A85="","",DAY(Settings!$B$9))</f>
        <v/>
      </c>
      <c r="H85" s="26" t="str">
        <f aca="false">IF($A85="","",ROUND(Payroll!R85-Payroll!L85-Payroll!M85,2))</f>
        <v/>
      </c>
      <c r="I85" s="26" t="str">
        <f aca="false">IF($A85="","",ROUND(Payroll!L85+Payroll!M85,2))</f>
        <v/>
      </c>
      <c r="J85" s="24" t="str">
        <f aca="false">IF($A85="","",0)</f>
        <v/>
      </c>
    </row>
    <row r="86" customFormat="false" ht="15" hidden="false" customHeight="false" outlineLevel="0" collapsed="false">
      <c r="A86" s="24" t="str">
        <f aca="false">IF(AND(Payroll!$A86&lt;&gt;"",N(Payroll!$R86)&gt;0),"EDR","")</f>
        <v/>
      </c>
      <c r="B86" s="24" t="str">
        <f aca="false">IF($A86="","",Payroll!U86)</f>
        <v/>
      </c>
      <c r="C86" s="24" t="str">
        <f aca="false">IF($A86="","",Payroll!S86)</f>
        <v/>
      </c>
      <c r="D86" s="24" t="str">
        <f aca="false">IF($A86="","",SUBSTITUTE(Payroll!T86," ",""))</f>
        <v/>
      </c>
      <c r="E86" s="24" t="str">
        <f aca="false">IF($A86="","",TEXT(Settings!$B$8,"yyyy-mm-dd"))</f>
        <v/>
      </c>
      <c r="F86" s="24" t="str">
        <f aca="false">IF($A86="","",TEXT(Settings!$B$9,"yyyy-mm-dd"))</f>
        <v/>
      </c>
      <c r="G86" s="24" t="str">
        <f aca="false">IF($A86="","",DAY(Settings!$B$9))</f>
        <v/>
      </c>
      <c r="H86" s="26" t="str">
        <f aca="false">IF($A86="","",ROUND(Payroll!R86-Payroll!L86-Payroll!M86,2))</f>
        <v/>
      </c>
      <c r="I86" s="26" t="str">
        <f aca="false">IF($A86="","",ROUND(Payroll!L86+Payroll!M86,2))</f>
        <v/>
      </c>
      <c r="J86" s="24" t="str">
        <f aca="false">IF($A86="","",0)</f>
        <v/>
      </c>
    </row>
    <row r="87" customFormat="false" ht="15" hidden="false" customHeight="false" outlineLevel="0" collapsed="false">
      <c r="A87" s="24" t="str">
        <f aca="false">IF(AND(Payroll!$A87&lt;&gt;"",N(Payroll!$R87)&gt;0),"EDR","")</f>
        <v/>
      </c>
      <c r="B87" s="24" t="str">
        <f aca="false">IF($A87="","",Payroll!U87)</f>
        <v/>
      </c>
      <c r="C87" s="24" t="str">
        <f aca="false">IF($A87="","",Payroll!S87)</f>
        <v/>
      </c>
      <c r="D87" s="24" t="str">
        <f aca="false">IF($A87="","",SUBSTITUTE(Payroll!T87," ",""))</f>
        <v/>
      </c>
      <c r="E87" s="24" t="str">
        <f aca="false">IF($A87="","",TEXT(Settings!$B$8,"yyyy-mm-dd"))</f>
        <v/>
      </c>
      <c r="F87" s="24" t="str">
        <f aca="false">IF($A87="","",TEXT(Settings!$B$9,"yyyy-mm-dd"))</f>
        <v/>
      </c>
      <c r="G87" s="24" t="str">
        <f aca="false">IF($A87="","",DAY(Settings!$B$9))</f>
        <v/>
      </c>
      <c r="H87" s="26" t="str">
        <f aca="false">IF($A87="","",ROUND(Payroll!R87-Payroll!L87-Payroll!M87,2))</f>
        <v/>
      </c>
      <c r="I87" s="26" t="str">
        <f aca="false">IF($A87="","",ROUND(Payroll!L87+Payroll!M87,2))</f>
        <v/>
      </c>
      <c r="J87" s="24" t="str">
        <f aca="false">IF($A87="","",0)</f>
        <v/>
      </c>
    </row>
    <row r="88" customFormat="false" ht="15" hidden="false" customHeight="false" outlineLevel="0" collapsed="false">
      <c r="A88" s="24" t="str">
        <f aca="false">IF(AND(Payroll!$A88&lt;&gt;"",N(Payroll!$R88)&gt;0),"EDR","")</f>
        <v/>
      </c>
      <c r="B88" s="24" t="str">
        <f aca="false">IF($A88="","",Payroll!U88)</f>
        <v/>
      </c>
      <c r="C88" s="24" t="str">
        <f aca="false">IF($A88="","",Payroll!S88)</f>
        <v/>
      </c>
      <c r="D88" s="24" t="str">
        <f aca="false">IF($A88="","",SUBSTITUTE(Payroll!T88," ",""))</f>
        <v/>
      </c>
      <c r="E88" s="24" t="str">
        <f aca="false">IF($A88="","",TEXT(Settings!$B$8,"yyyy-mm-dd"))</f>
        <v/>
      </c>
      <c r="F88" s="24" t="str">
        <f aca="false">IF($A88="","",TEXT(Settings!$B$9,"yyyy-mm-dd"))</f>
        <v/>
      </c>
      <c r="G88" s="24" t="str">
        <f aca="false">IF($A88="","",DAY(Settings!$B$9))</f>
        <v/>
      </c>
      <c r="H88" s="26" t="str">
        <f aca="false">IF($A88="","",ROUND(Payroll!R88-Payroll!L88-Payroll!M88,2))</f>
        <v/>
      </c>
      <c r="I88" s="26" t="str">
        <f aca="false">IF($A88="","",ROUND(Payroll!L88+Payroll!M88,2))</f>
        <v/>
      </c>
      <c r="J88" s="24" t="str">
        <f aca="false">IF($A88="","",0)</f>
        <v/>
      </c>
    </row>
    <row r="89" customFormat="false" ht="15" hidden="false" customHeight="false" outlineLevel="0" collapsed="false">
      <c r="A89" s="24" t="str">
        <f aca="false">IF(AND(Payroll!$A89&lt;&gt;"",N(Payroll!$R89)&gt;0),"EDR","")</f>
        <v/>
      </c>
      <c r="B89" s="24" t="str">
        <f aca="false">IF($A89="","",Payroll!U89)</f>
        <v/>
      </c>
      <c r="C89" s="24" t="str">
        <f aca="false">IF($A89="","",Payroll!S89)</f>
        <v/>
      </c>
      <c r="D89" s="24" t="str">
        <f aca="false">IF($A89="","",SUBSTITUTE(Payroll!T89," ",""))</f>
        <v/>
      </c>
      <c r="E89" s="24" t="str">
        <f aca="false">IF($A89="","",TEXT(Settings!$B$8,"yyyy-mm-dd"))</f>
        <v/>
      </c>
      <c r="F89" s="24" t="str">
        <f aca="false">IF($A89="","",TEXT(Settings!$B$9,"yyyy-mm-dd"))</f>
        <v/>
      </c>
      <c r="G89" s="24" t="str">
        <f aca="false">IF($A89="","",DAY(Settings!$B$9))</f>
        <v/>
      </c>
      <c r="H89" s="26" t="str">
        <f aca="false">IF($A89="","",ROUND(Payroll!R89-Payroll!L89-Payroll!M89,2))</f>
        <v/>
      </c>
      <c r="I89" s="26" t="str">
        <f aca="false">IF($A89="","",ROUND(Payroll!L89+Payroll!M89,2))</f>
        <v/>
      </c>
      <c r="J89" s="24" t="str">
        <f aca="false">IF($A89="","",0)</f>
        <v/>
      </c>
    </row>
    <row r="90" customFormat="false" ht="15" hidden="false" customHeight="false" outlineLevel="0" collapsed="false">
      <c r="A90" s="24" t="str">
        <f aca="false">IF(AND(Payroll!$A90&lt;&gt;"",N(Payroll!$R90)&gt;0),"EDR","")</f>
        <v/>
      </c>
      <c r="B90" s="24" t="str">
        <f aca="false">IF($A90="","",Payroll!U90)</f>
        <v/>
      </c>
      <c r="C90" s="24" t="str">
        <f aca="false">IF($A90="","",Payroll!S90)</f>
        <v/>
      </c>
      <c r="D90" s="24" t="str">
        <f aca="false">IF($A90="","",SUBSTITUTE(Payroll!T90," ",""))</f>
        <v/>
      </c>
      <c r="E90" s="24" t="str">
        <f aca="false">IF($A90="","",TEXT(Settings!$B$8,"yyyy-mm-dd"))</f>
        <v/>
      </c>
      <c r="F90" s="24" t="str">
        <f aca="false">IF($A90="","",TEXT(Settings!$B$9,"yyyy-mm-dd"))</f>
        <v/>
      </c>
      <c r="G90" s="24" t="str">
        <f aca="false">IF($A90="","",DAY(Settings!$B$9))</f>
        <v/>
      </c>
      <c r="H90" s="26" t="str">
        <f aca="false">IF($A90="","",ROUND(Payroll!R90-Payroll!L90-Payroll!M90,2))</f>
        <v/>
      </c>
      <c r="I90" s="26" t="str">
        <f aca="false">IF($A90="","",ROUND(Payroll!L90+Payroll!M90,2))</f>
        <v/>
      </c>
      <c r="J90" s="24" t="str">
        <f aca="false">IF($A90="","",0)</f>
        <v/>
      </c>
    </row>
    <row r="91" customFormat="false" ht="15" hidden="false" customHeight="false" outlineLevel="0" collapsed="false">
      <c r="A91" s="24" t="str">
        <f aca="false">IF(AND(Payroll!$A91&lt;&gt;"",N(Payroll!$R91)&gt;0),"EDR","")</f>
        <v/>
      </c>
      <c r="B91" s="24" t="str">
        <f aca="false">IF($A91="","",Payroll!U91)</f>
        <v/>
      </c>
      <c r="C91" s="24" t="str">
        <f aca="false">IF($A91="","",Payroll!S91)</f>
        <v/>
      </c>
      <c r="D91" s="24" t="str">
        <f aca="false">IF($A91="","",SUBSTITUTE(Payroll!T91," ",""))</f>
        <v/>
      </c>
      <c r="E91" s="24" t="str">
        <f aca="false">IF($A91="","",TEXT(Settings!$B$8,"yyyy-mm-dd"))</f>
        <v/>
      </c>
      <c r="F91" s="24" t="str">
        <f aca="false">IF($A91="","",TEXT(Settings!$B$9,"yyyy-mm-dd"))</f>
        <v/>
      </c>
      <c r="G91" s="24" t="str">
        <f aca="false">IF($A91="","",DAY(Settings!$B$9))</f>
        <v/>
      </c>
      <c r="H91" s="26" t="str">
        <f aca="false">IF($A91="","",ROUND(Payroll!R91-Payroll!L91-Payroll!M91,2))</f>
        <v/>
      </c>
      <c r="I91" s="26" t="str">
        <f aca="false">IF($A91="","",ROUND(Payroll!L91+Payroll!M91,2))</f>
        <v/>
      </c>
      <c r="J91" s="24" t="str">
        <f aca="false">IF($A91="","",0)</f>
        <v/>
      </c>
    </row>
    <row r="92" customFormat="false" ht="15" hidden="false" customHeight="false" outlineLevel="0" collapsed="false">
      <c r="A92" s="24" t="str">
        <f aca="false">IF(AND(Payroll!$A92&lt;&gt;"",N(Payroll!$R92)&gt;0),"EDR","")</f>
        <v/>
      </c>
      <c r="B92" s="24" t="str">
        <f aca="false">IF($A92="","",Payroll!U92)</f>
        <v/>
      </c>
      <c r="C92" s="24" t="str">
        <f aca="false">IF($A92="","",Payroll!S92)</f>
        <v/>
      </c>
      <c r="D92" s="24" t="str">
        <f aca="false">IF($A92="","",SUBSTITUTE(Payroll!T92," ",""))</f>
        <v/>
      </c>
      <c r="E92" s="24" t="str">
        <f aca="false">IF($A92="","",TEXT(Settings!$B$8,"yyyy-mm-dd"))</f>
        <v/>
      </c>
      <c r="F92" s="24" t="str">
        <f aca="false">IF($A92="","",TEXT(Settings!$B$9,"yyyy-mm-dd"))</f>
        <v/>
      </c>
      <c r="G92" s="24" t="str">
        <f aca="false">IF($A92="","",DAY(Settings!$B$9))</f>
        <v/>
      </c>
      <c r="H92" s="26" t="str">
        <f aca="false">IF($A92="","",ROUND(Payroll!R92-Payroll!L92-Payroll!M92,2))</f>
        <v/>
      </c>
      <c r="I92" s="26" t="str">
        <f aca="false">IF($A92="","",ROUND(Payroll!L92+Payroll!M92,2))</f>
        <v/>
      </c>
      <c r="J92" s="24" t="str">
        <f aca="false">IF($A92="","",0)</f>
        <v/>
      </c>
    </row>
    <row r="93" customFormat="false" ht="15" hidden="false" customHeight="false" outlineLevel="0" collapsed="false">
      <c r="A93" s="24" t="str">
        <f aca="false">IF(AND(Payroll!$A93&lt;&gt;"",N(Payroll!$R93)&gt;0),"EDR","")</f>
        <v/>
      </c>
      <c r="B93" s="24" t="str">
        <f aca="false">IF($A93="","",Payroll!U93)</f>
        <v/>
      </c>
      <c r="C93" s="24" t="str">
        <f aca="false">IF($A93="","",Payroll!S93)</f>
        <v/>
      </c>
      <c r="D93" s="24" t="str">
        <f aca="false">IF($A93="","",SUBSTITUTE(Payroll!T93," ",""))</f>
        <v/>
      </c>
      <c r="E93" s="24" t="str">
        <f aca="false">IF($A93="","",TEXT(Settings!$B$8,"yyyy-mm-dd"))</f>
        <v/>
      </c>
      <c r="F93" s="24" t="str">
        <f aca="false">IF($A93="","",TEXT(Settings!$B$9,"yyyy-mm-dd"))</f>
        <v/>
      </c>
      <c r="G93" s="24" t="str">
        <f aca="false">IF($A93="","",DAY(Settings!$B$9))</f>
        <v/>
      </c>
      <c r="H93" s="26" t="str">
        <f aca="false">IF($A93="","",ROUND(Payroll!R93-Payroll!L93-Payroll!M93,2))</f>
        <v/>
      </c>
      <c r="I93" s="26" t="str">
        <f aca="false">IF($A93="","",ROUND(Payroll!L93+Payroll!M93,2))</f>
        <v/>
      </c>
      <c r="J93" s="24" t="str">
        <f aca="false">IF($A93="","",0)</f>
        <v/>
      </c>
    </row>
    <row r="94" customFormat="false" ht="15" hidden="false" customHeight="false" outlineLevel="0" collapsed="false">
      <c r="A94" s="24" t="str">
        <f aca="false">IF(AND(Payroll!$A94&lt;&gt;"",N(Payroll!$R94)&gt;0),"EDR","")</f>
        <v/>
      </c>
      <c r="B94" s="24" t="str">
        <f aca="false">IF($A94="","",Payroll!U94)</f>
        <v/>
      </c>
      <c r="C94" s="24" t="str">
        <f aca="false">IF($A94="","",Payroll!S94)</f>
        <v/>
      </c>
      <c r="D94" s="24" t="str">
        <f aca="false">IF($A94="","",SUBSTITUTE(Payroll!T94," ",""))</f>
        <v/>
      </c>
      <c r="E94" s="24" t="str">
        <f aca="false">IF($A94="","",TEXT(Settings!$B$8,"yyyy-mm-dd"))</f>
        <v/>
      </c>
      <c r="F94" s="24" t="str">
        <f aca="false">IF($A94="","",TEXT(Settings!$B$9,"yyyy-mm-dd"))</f>
        <v/>
      </c>
      <c r="G94" s="24" t="str">
        <f aca="false">IF($A94="","",DAY(Settings!$B$9))</f>
        <v/>
      </c>
      <c r="H94" s="26" t="str">
        <f aca="false">IF($A94="","",ROUND(Payroll!R94-Payroll!L94-Payroll!M94,2))</f>
        <v/>
      </c>
      <c r="I94" s="26" t="str">
        <f aca="false">IF($A94="","",ROUND(Payroll!L94+Payroll!M94,2))</f>
        <v/>
      </c>
      <c r="J94" s="24" t="str">
        <f aca="false">IF($A94="","",0)</f>
        <v/>
      </c>
    </row>
    <row r="95" customFormat="false" ht="15" hidden="false" customHeight="false" outlineLevel="0" collapsed="false">
      <c r="A95" s="24" t="str">
        <f aca="false">IF(AND(Payroll!$A95&lt;&gt;"",N(Payroll!$R95)&gt;0),"EDR","")</f>
        <v/>
      </c>
      <c r="B95" s="24" t="str">
        <f aca="false">IF($A95="","",Payroll!U95)</f>
        <v/>
      </c>
      <c r="C95" s="24" t="str">
        <f aca="false">IF($A95="","",Payroll!S95)</f>
        <v/>
      </c>
      <c r="D95" s="24" t="str">
        <f aca="false">IF($A95="","",SUBSTITUTE(Payroll!T95," ",""))</f>
        <v/>
      </c>
      <c r="E95" s="24" t="str">
        <f aca="false">IF($A95="","",TEXT(Settings!$B$8,"yyyy-mm-dd"))</f>
        <v/>
      </c>
      <c r="F95" s="24" t="str">
        <f aca="false">IF($A95="","",TEXT(Settings!$B$9,"yyyy-mm-dd"))</f>
        <v/>
      </c>
      <c r="G95" s="24" t="str">
        <f aca="false">IF($A95="","",DAY(Settings!$B$9))</f>
        <v/>
      </c>
      <c r="H95" s="26" t="str">
        <f aca="false">IF($A95="","",ROUND(Payroll!R95-Payroll!L95-Payroll!M95,2))</f>
        <v/>
      </c>
      <c r="I95" s="26" t="str">
        <f aca="false">IF($A95="","",ROUND(Payroll!L95+Payroll!M95,2))</f>
        <v/>
      </c>
      <c r="J95" s="24" t="str">
        <f aca="false">IF($A95="","",0)</f>
        <v/>
      </c>
    </row>
    <row r="96" customFormat="false" ht="15" hidden="false" customHeight="false" outlineLevel="0" collapsed="false">
      <c r="A96" s="24" t="str">
        <f aca="false">IF(AND(Payroll!$A96&lt;&gt;"",N(Payroll!$R96)&gt;0),"EDR","")</f>
        <v/>
      </c>
      <c r="B96" s="24" t="str">
        <f aca="false">IF($A96="","",Payroll!U96)</f>
        <v/>
      </c>
      <c r="C96" s="24" t="str">
        <f aca="false">IF($A96="","",Payroll!S96)</f>
        <v/>
      </c>
      <c r="D96" s="24" t="str">
        <f aca="false">IF($A96="","",SUBSTITUTE(Payroll!T96," ",""))</f>
        <v/>
      </c>
      <c r="E96" s="24" t="str">
        <f aca="false">IF($A96="","",TEXT(Settings!$B$8,"yyyy-mm-dd"))</f>
        <v/>
      </c>
      <c r="F96" s="24" t="str">
        <f aca="false">IF($A96="","",TEXT(Settings!$B$9,"yyyy-mm-dd"))</f>
        <v/>
      </c>
      <c r="G96" s="24" t="str">
        <f aca="false">IF($A96="","",DAY(Settings!$B$9))</f>
        <v/>
      </c>
      <c r="H96" s="26" t="str">
        <f aca="false">IF($A96="","",ROUND(Payroll!R96-Payroll!L96-Payroll!M96,2))</f>
        <v/>
      </c>
      <c r="I96" s="26" t="str">
        <f aca="false">IF($A96="","",ROUND(Payroll!L96+Payroll!M96,2))</f>
        <v/>
      </c>
      <c r="J96" s="24" t="str">
        <f aca="false">IF($A96="","",0)</f>
        <v/>
      </c>
    </row>
    <row r="97" customFormat="false" ht="15" hidden="false" customHeight="false" outlineLevel="0" collapsed="false">
      <c r="A97" s="24" t="str">
        <f aca="false">IF(AND(Payroll!$A97&lt;&gt;"",N(Payroll!$R97)&gt;0),"EDR","")</f>
        <v/>
      </c>
      <c r="B97" s="24" t="str">
        <f aca="false">IF($A97="","",Payroll!U97)</f>
        <v/>
      </c>
      <c r="C97" s="24" t="str">
        <f aca="false">IF($A97="","",Payroll!S97)</f>
        <v/>
      </c>
      <c r="D97" s="24" t="str">
        <f aca="false">IF($A97="","",SUBSTITUTE(Payroll!T97," ",""))</f>
        <v/>
      </c>
      <c r="E97" s="24" t="str">
        <f aca="false">IF($A97="","",TEXT(Settings!$B$8,"yyyy-mm-dd"))</f>
        <v/>
      </c>
      <c r="F97" s="24" t="str">
        <f aca="false">IF($A97="","",TEXT(Settings!$B$9,"yyyy-mm-dd"))</f>
        <v/>
      </c>
      <c r="G97" s="24" t="str">
        <f aca="false">IF($A97="","",DAY(Settings!$B$9))</f>
        <v/>
      </c>
      <c r="H97" s="26" t="str">
        <f aca="false">IF($A97="","",ROUND(Payroll!R97-Payroll!L97-Payroll!M97,2))</f>
        <v/>
      </c>
      <c r="I97" s="26" t="str">
        <f aca="false">IF($A97="","",ROUND(Payroll!L97+Payroll!M97,2))</f>
        <v/>
      </c>
      <c r="J97" s="24" t="str">
        <f aca="false">IF($A97="","",0)</f>
        <v/>
      </c>
    </row>
    <row r="98" customFormat="false" ht="15" hidden="false" customHeight="false" outlineLevel="0" collapsed="false">
      <c r="A98" s="24" t="str">
        <f aca="false">IF(AND(Payroll!$A98&lt;&gt;"",N(Payroll!$R98)&gt;0),"EDR","")</f>
        <v/>
      </c>
      <c r="B98" s="24" t="str">
        <f aca="false">IF($A98="","",Payroll!U98)</f>
        <v/>
      </c>
      <c r="C98" s="24" t="str">
        <f aca="false">IF($A98="","",Payroll!S98)</f>
        <v/>
      </c>
      <c r="D98" s="24" t="str">
        <f aca="false">IF($A98="","",SUBSTITUTE(Payroll!T98," ",""))</f>
        <v/>
      </c>
      <c r="E98" s="24" t="str">
        <f aca="false">IF($A98="","",TEXT(Settings!$B$8,"yyyy-mm-dd"))</f>
        <v/>
      </c>
      <c r="F98" s="24" t="str">
        <f aca="false">IF($A98="","",TEXT(Settings!$B$9,"yyyy-mm-dd"))</f>
        <v/>
      </c>
      <c r="G98" s="24" t="str">
        <f aca="false">IF($A98="","",DAY(Settings!$B$9))</f>
        <v/>
      </c>
      <c r="H98" s="26" t="str">
        <f aca="false">IF($A98="","",ROUND(Payroll!R98-Payroll!L98-Payroll!M98,2))</f>
        <v/>
      </c>
      <c r="I98" s="26" t="str">
        <f aca="false">IF($A98="","",ROUND(Payroll!L98+Payroll!M98,2))</f>
        <v/>
      </c>
      <c r="J98" s="24" t="str">
        <f aca="false">IF($A98="","",0)</f>
        <v/>
      </c>
    </row>
    <row r="99" customFormat="false" ht="15" hidden="false" customHeight="false" outlineLevel="0" collapsed="false">
      <c r="A99" s="24" t="str">
        <f aca="false">IF(AND(Payroll!$A99&lt;&gt;"",N(Payroll!$R99)&gt;0),"EDR","")</f>
        <v/>
      </c>
      <c r="B99" s="24" t="str">
        <f aca="false">IF($A99="","",Payroll!U99)</f>
        <v/>
      </c>
      <c r="C99" s="24" t="str">
        <f aca="false">IF($A99="","",Payroll!S99)</f>
        <v/>
      </c>
      <c r="D99" s="24" t="str">
        <f aca="false">IF($A99="","",SUBSTITUTE(Payroll!T99," ",""))</f>
        <v/>
      </c>
      <c r="E99" s="24" t="str">
        <f aca="false">IF($A99="","",TEXT(Settings!$B$8,"yyyy-mm-dd"))</f>
        <v/>
      </c>
      <c r="F99" s="24" t="str">
        <f aca="false">IF($A99="","",TEXT(Settings!$B$9,"yyyy-mm-dd"))</f>
        <v/>
      </c>
      <c r="G99" s="24" t="str">
        <f aca="false">IF($A99="","",DAY(Settings!$B$9))</f>
        <v/>
      </c>
      <c r="H99" s="26" t="str">
        <f aca="false">IF($A99="","",ROUND(Payroll!R99-Payroll!L99-Payroll!M99,2))</f>
        <v/>
      </c>
      <c r="I99" s="26" t="str">
        <f aca="false">IF($A99="","",ROUND(Payroll!L99+Payroll!M99,2))</f>
        <v/>
      </c>
      <c r="J99" s="24" t="str">
        <f aca="false">IF($A99="","",0)</f>
        <v/>
      </c>
    </row>
    <row r="100" customFormat="false" ht="15" hidden="false" customHeight="false" outlineLevel="0" collapsed="false">
      <c r="A100" s="24" t="str">
        <f aca="false">IF(AND(Payroll!$A100&lt;&gt;"",N(Payroll!$R100)&gt;0),"EDR","")</f>
        <v/>
      </c>
      <c r="B100" s="24" t="str">
        <f aca="false">IF($A100="","",Payroll!U100)</f>
        <v/>
      </c>
      <c r="C100" s="24" t="str">
        <f aca="false">IF($A100="","",Payroll!S100)</f>
        <v/>
      </c>
      <c r="D100" s="24" t="str">
        <f aca="false">IF($A100="","",SUBSTITUTE(Payroll!T100," ",""))</f>
        <v/>
      </c>
      <c r="E100" s="24" t="str">
        <f aca="false">IF($A100="","",TEXT(Settings!$B$8,"yyyy-mm-dd"))</f>
        <v/>
      </c>
      <c r="F100" s="24" t="str">
        <f aca="false">IF($A100="","",TEXT(Settings!$B$9,"yyyy-mm-dd"))</f>
        <v/>
      </c>
      <c r="G100" s="24" t="str">
        <f aca="false">IF($A100="","",DAY(Settings!$B$9))</f>
        <v/>
      </c>
      <c r="H100" s="26" t="str">
        <f aca="false">IF($A100="","",ROUND(Payroll!R100-Payroll!L100-Payroll!M100,2))</f>
        <v/>
      </c>
      <c r="I100" s="26" t="str">
        <f aca="false">IF($A100="","",ROUND(Payroll!L100+Payroll!M100,2))</f>
        <v/>
      </c>
      <c r="J100" s="24" t="str">
        <f aca="false">IF($A100="","",0)</f>
        <v/>
      </c>
    </row>
    <row r="101" customFormat="false" ht="15" hidden="false" customHeight="false" outlineLevel="0" collapsed="false">
      <c r="A101" s="24" t="str">
        <f aca="false">IF(AND(Payroll!$A101&lt;&gt;"",N(Payroll!$R101)&gt;0),"EDR","")</f>
        <v/>
      </c>
      <c r="B101" s="24" t="str">
        <f aca="false">IF($A101="","",Payroll!U101)</f>
        <v/>
      </c>
      <c r="C101" s="24" t="str">
        <f aca="false">IF($A101="","",Payroll!S101)</f>
        <v/>
      </c>
      <c r="D101" s="24" t="str">
        <f aca="false">IF($A101="","",SUBSTITUTE(Payroll!T101," ",""))</f>
        <v/>
      </c>
      <c r="E101" s="24" t="str">
        <f aca="false">IF($A101="","",TEXT(Settings!$B$8,"yyyy-mm-dd"))</f>
        <v/>
      </c>
      <c r="F101" s="24" t="str">
        <f aca="false">IF($A101="","",TEXT(Settings!$B$9,"yyyy-mm-dd"))</f>
        <v/>
      </c>
      <c r="G101" s="24" t="str">
        <f aca="false">IF($A101="","",DAY(Settings!$B$9))</f>
        <v/>
      </c>
      <c r="H101" s="26" t="str">
        <f aca="false">IF($A101="","",ROUND(Payroll!R101-Payroll!L101-Payroll!M101,2))</f>
        <v/>
      </c>
      <c r="I101" s="26" t="str">
        <f aca="false">IF($A101="","",ROUND(Payroll!L101+Payroll!M101,2))</f>
        <v/>
      </c>
      <c r="J101" s="24" t="str">
        <f aca="false">IF($A101="","",0)</f>
        <v/>
      </c>
    </row>
    <row r="102" customFormat="false" ht="15" hidden="false" customHeight="false" outlineLevel="0" collapsed="false">
      <c r="A102" s="24" t="str">
        <f aca="false">IF(AND(Payroll!$A102&lt;&gt;"",N(Payroll!$R102)&gt;0),"EDR","")</f>
        <v/>
      </c>
      <c r="B102" s="24" t="str">
        <f aca="false">IF($A102="","",Payroll!U102)</f>
        <v/>
      </c>
      <c r="C102" s="24" t="str">
        <f aca="false">IF($A102="","",Payroll!S102)</f>
        <v/>
      </c>
      <c r="D102" s="24" t="str">
        <f aca="false">IF($A102="","",SUBSTITUTE(Payroll!T102," ",""))</f>
        <v/>
      </c>
      <c r="E102" s="24" t="str">
        <f aca="false">IF($A102="","",TEXT(Settings!$B$8,"yyyy-mm-dd"))</f>
        <v/>
      </c>
      <c r="F102" s="24" t="str">
        <f aca="false">IF($A102="","",TEXT(Settings!$B$9,"yyyy-mm-dd"))</f>
        <v/>
      </c>
      <c r="G102" s="24" t="str">
        <f aca="false">IF($A102="","",DAY(Settings!$B$9))</f>
        <v/>
      </c>
      <c r="H102" s="26" t="str">
        <f aca="false">IF($A102="","",ROUND(Payroll!R102-Payroll!L102-Payroll!M102,2))</f>
        <v/>
      </c>
      <c r="I102" s="26" t="str">
        <f aca="false">IF($A102="","",ROUND(Payroll!L102+Payroll!M102,2))</f>
        <v/>
      </c>
      <c r="J102" s="24" t="str">
        <f aca="false">IF($A102="","",0)</f>
        <v/>
      </c>
    </row>
    <row r="103" customFormat="false" ht="15" hidden="false" customHeight="false" outlineLevel="0" collapsed="false">
      <c r="A103" s="24" t="str">
        <f aca="false">IF(AND(Payroll!$A103&lt;&gt;"",N(Payroll!$R103)&gt;0),"EDR","")</f>
        <v/>
      </c>
      <c r="B103" s="24" t="str">
        <f aca="false">IF($A103="","",Payroll!U103)</f>
        <v/>
      </c>
      <c r="C103" s="24" t="str">
        <f aca="false">IF($A103="","",Payroll!S103)</f>
        <v/>
      </c>
      <c r="D103" s="24" t="str">
        <f aca="false">IF($A103="","",SUBSTITUTE(Payroll!T103," ",""))</f>
        <v/>
      </c>
      <c r="E103" s="24" t="str">
        <f aca="false">IF($A103="","",TEXT(Settings!$B$8,"yyyy-mm-dd"))</f>
        <v/>
      </c>
      <c r="F103" s="24" t="str">
        <f aca="false">IF($A103="","",TEXT(Settings!$B$9,"yyyy-mm-dd"))</f>
        <v/>
      </c>
      <c r="G103" s="24" t="str">
        <f aca="false">IF($A103="","",DAY(Settings!$B$9))</f>
        <v/>
      </c>
      <c r="H103" s="26" t="str">
        <f aca="false">IF($A103="","",ROUND(Payroll!R103-Payroll!L103-Payroll!M103,2))</f>
        <v/>
      </c>
      <c r="I103" s="26" t="str">
        <f aca="false">IF($A103="","",ROUND(Payroll!L103+Payroll!M103,2))</f>
        <v/>
      </c>
      <c r="J103" s="24" t="str">
        <f aca="false">IF($A103="","",0)</f>
        <v/>
      </c>
    </row>
    <row r="104" customFormat="false" ht="15" hidden="false" customHeight="false" outlineLevel="0" collapsed="false">
      <c r="A104" s="24" t="str">
        <f aca="false">IF(AND(Payroll!$A104&lt;&gt;"",N(Payroll!$R104)&gt;0),"EDR","")</f>
        <v/>
      </c>
      <c r="B104" s="24" t="str">
        <f aca="false">IF($A104="","",Payroll!U104)</f>
        <v/>
      </c>
      <c r="C104" s="24" t="str">
        <f aca="false">IF($A104="","",Payroll!S104)</f>
        <v/>
      </c>
      <c r="D104" s="24" t="str">
        <f aca="false">IF($A104="","",SUBSTITUTE(Payroll!T104," ",""))</f>
        <v/>
      </c>
      <c r="E104" s="24" t="str">
        <f aca="false">IF($A104="","",TEXT(Settings!$B$8,"yyyy-mm-dd"))</f>
        <v/>
      </c>
      <c r="F104" s="24" t="str">
        <f aca="false">IF($A104="","",TEXT(Settings!$B$9,"yyyy-mm-dd"))</f>
        <v/>
      </c>
      <c r="G104" s="24" t="str">
        <f aca="false">IF($A104="","",DAY(Settings!$B$9))</f>
        <v/>
      </c>
      <c r="H104" s="26" t="str">
        <f aca="false">IF($A104="","",ROUND(Payroll!R104-Payroll!L104-Payroll!M104,2))</f>
        <v/>
      </c>
      <c r="I104" s="26" t="str">
        <f aca="false">IF($A104="","",ROUND(Payroll!L104+Payroll!M104,2))</f>
        <v/>
      </c>
      <c r="J104" s="24" t="str">
        <f aca="false">IF($A104="","",0)</f>
        <v/>
      </c>
    </row>
    <row r="105" customFormat="false" ht="15" hidden="false" customHeight="false" outlineLevel="0" collapsed="false">
      <c r="A105" s="24" t="str">
        <f aca="false">IF(AND(Payroll!$A105&lt;&gt;"",N(Payroll!$R105)&gt;0),"EDR","")</f>
        <v/>
      </c>
      <c r="B105" s="24" t="str">
        <f aca="false">IF($A105="","",Payroll!U105)</f>
        <v/>
      </c>
      <c r="C105" s="24" t="str">
        <f aca="false">IF($A105="","",Payroll!S105)</f>
        <v/>
      </c>
      <c r="D105" s="24" t="str">
        <f aca="false">IF($A105="","",SUBSTITUTE(Payroll!T105," ",""))</f>
        <v/>
      </c>
      <c r="E105" s="24" t="str">
        <f aca="false">IF($A105="","",TEXT(Settings!$B$8,"yyyy-mm-dd"))</f>
        <v/>
      </c>
      <c r="F105" s="24" t="str">
        <f aca="false">IF($A105="","",TEXT(Settings!$B$9,"yyyy-mm-dd"))</f>
        <v/>
      </c>
      <c r="G105" s="24" t="str">
        <f aca="false">IF($A105="","",DAY(Settings!$B$9))</f>
        <v/>
      </c>
      <c r="H105" s="26" t="str">
        <f aca="false">IF($A105="","",ROUND(Payroll!R105-Payroll!L105-Payroll!M105,2))</f>
        <v/>
      </c>
      <c r="I105" s="26" t="str">
        <f aca="false">IF($A105="","",ROUND(Payroll!L105+Payroll!M105,2))</f>
        <v/>
      </c>
      <c r="J105" s="24" t="str">
        <f aca="false">IF($A105="","",0)</f>
        <v/>
      </c>
    </row>
    <row r="106" customFormat="false" ht="15" hidden="false" customHeight="false" outlineLevel="0" collapsed="false">
      <c r="A106" s="24" t="str">
        <f aca="false">IF(AND(Payroll!$A106&lt;&gt;"",N(Payroll!$R106)&gt;0),"EDR","")</f>
        <v/>
      </c>
      <c r="B106" s="24" t="str">
        <f aca="false">IF($A106="","",Payroll!U106)</f>
        <v/>
      </c>
      <c r="C106" s="24" t="str">
        <f aca="false">IF($A106="","",Payroll!S106)</f>
        <v/>
      </c>
      <c r="D106" s="24" t="str">
        <f aca="false">IF($A106="","",SUBSTITUTE(Payroll!T106," ",""))</f>
        <v/>
      </c>
      <c r="E106" s="24" t="str">
        <f aca="false">IF($A106="","",TEXT(Settings!$B$8,"yyyy-mm-dd"))</f>
        <v/>
      </c>
      <c r="F106" s="24" t="str">
        <f aca="false">IF($A106="","",TEXT(Settings!$B$9,"yyyy-mm-dd"))</f>
        <v/>
      </c>
      <c r="G106" s="24" t="str">
        <f aca="false">IF($A106="","",DAY(Settings!$B$9))</f>
        <v/>
      </c>
      <c r="H106" s="26" t="str">
        <f aca="false">IF($A106="","",ROUND(Payroll!R106-Payroll!L106-Payroll!M106,2))</f>
        <v/>
      </c>
      <c r="I106" s="26" t="str">
        <f aca="false">IF($A106="","",ROUND(Payroll!L106+Payroll!M106,2))</f>
        <v/>
      </c>
      <c r="J106" s="24" t="str">
        <f aca="false">IF($A106="","",0)</f>
        <v/>
      </c>
    </row>
    <row r="107" customFormat="false" ht="15" hidden="false" customHeight="false" outlineLevel="0" collapsed="false">
      <c r="A107" s="24" t="str">
        <f aca="false">IF(AND(Payroll!$A107&lt;&gt;"",N(Payroll!$R107)&gt;0),"EDR","")</f>
        <v/>
      </c>
      <c r="B107" s="24" t="str">
        <f aca="false">IF($A107="","",Payroll!U107)</f>
        <v/>
      </c>
      <c r="C107" s="24" t="str">
        <f aca="false">IF($A107="","",Payroll!S107)</f>
        <v/>
      </c>
      <c r="D107" s="24" t="str">
        <f aca="false">IF($A107="","",SUBSTITUTE(Payroll!T107," ",""))</f>
        <v/>
      </c>
      <c r="E107" s="24" t="str">
        <f aca="false">IF($A107="","",TEXT(Settings!$B$8,"yyyy-mm-dd"))</f>
        <v/>
      </c>
      <c r="F107" s="24" t="str">
        <f aca="false">IF($A107="","",TEXT(Settings!$B$9,"yyyy-mm-dd"))</f>
        <v/>
      </c>
      <c r="G107" s="24" t="str">
        <f aca="false">IF($A107="","",DAY(Settings!$B$9))</f>
        <v/>
      </c>
      <c r="H107" s="26" t="str">
        <f aca="false">IF($A107="","",ROUND(Payroll!R107-Payroll!L107-Payroll!M107,2))</f>
        <v/>
      </c>
      <c r="I107" s="26" t="str">
        <f aca="false">IF($A107="","",ROUND(Payroll!L107+Payroll!M107,2))</f>
        <v/>
      </c>
      <c r="J107" s="24" t="str">
        <f aca="false">IF($A107="","",0)</f>
        <v/>
      </c>
    </row>
    <row r="108" customFormat="false" ht="15" hidden="false" customHeight="false" outlineLevel="0" collapsed="false">
      <c r="A108" s="24" t="str">
        <f aca="false">IF(AND(Payroll!$A108&lt;&gt;"",N(Payroll!$R108)&gt;0),"EDR","")</f>
        <v/>
      </c>
      <c r="B108" s="24" t="str">
        <f aca="false">IF($A108="","",Payroll!U108)</f>
        <v/>
      </c>
      <c r="C108" s="24" t="str">
        <f aca="false">IF($A108="","",Payroll!S108)</f>
        <v/>
      </c>
      <c r="D108" s="24" t="str">
        <f aca="false">IF($A108="","",SUBSTITUTE(Payroll!T108," ",""))</f>
        <v/>
      </c>
      <c r="E108" s="24" t="str">
        <f aca="false">IF($A108="","",TEXT(Settings!$B$8,"yyyy-mm-dd"))</f>
        <v/>
      </c>
      <c r="F108" s="24" t="str">
        <f aca="false">IF($A108="","",TEXT(Settings!$B$9,"yyyy-mm-dd"))</f>
        <v/>
      </c>
      <c r="G108" s="24" t="str">
        <f aca="false">IF($A108="","",DAY(Settings!$B$9))</f>
        <v/>
      </c>
      <c r="H108" s="26" t="str">
        <f aca="false">IF($A108="","",ROUND(Payroll!R108-Payroll!L108-Payroll!M108,2))</f>
        <v/>
      </c>
      <c r="I108" s="26" t="str">
        <f aca="false">IF($A108="","",ROUND(Payroll!L108+Payroll!M108,2))</f>
        <v/>
      </c>
      <c r="J108" s="24" t="str">
        <f aca="false">IF($A108="","",0)</f>
        <v/>
      </c>
    </row>
    <row r="109" customFormat="false" ht="15" hidden="false" customHeight="false" outlineLevel="0" collapsed="false">
      <c r="A109" s="24" t="str">
        <f aca="false">IF(AND(Payroll!$A109&lt;&gt;"",N(Payroll!$R109)&gt;0),"EDR","")</f>
        <v/>
      </c>
      <c r="B109" s="24" t="str">
        <f aca="false">IF($A109="","",Payroll!U109)</f>
        <v/>
      </c>
      <c r="C109" s="24" t="str">
        <f aca="false">IF($A109="","",Payroll!S109)</f>
        <v/>
      </c>
      <c r="D109" s="24" t="str">
        <f aca="false">IF($A109="","",SUBSTITUTE(Payroll!T109," ",""))</f>
        <v/>
      </c>
      <c r="E109" s="24" t="str">
        <f aca="false">IF($A109="","",TEXT(Settings!$B$8,"yyyy-mm-dd"))</f>
        <v/>
      </c>
      <c r="F109" s="24" t="str">
        <f aca="false">IF($A109="","",TEXT(Settings!$B$9,"yyyy-mm-dd"))</f>
        <v/>
      </c>
      <c r="G109" s="24" t="str">
        <f aca="false">IF($A109="","",DAY(Settings!$B$9))</f>
        <v/>
      </c>
      <c r="H109" s="26" t="str">
        <f aca="false">IF($A109="","",ROUND(Payroll!R109-Payroll!L109-Payroll!M109,2))</f>
        <v/>
      </c>
      <c r="I109" s="26" t="str">
        <f aca="false">IF($A109="","",ROUND(Payroll!L109+Payroll!M109,2))</f>
        <v/>
      </c>
      <c r="J109" s="24" t="str">
        <f aca="false">IF($A109="","",0)</f>
        <v/>
      </c>
    </row>
    <row r="110" customFormat="false" ht="15" hidden="false" customHeight="false" outlineLevel="0" collapsed="false">
      <c r="A110" s="24" t="str">
        <f aca="false">IF(AND(Payroll!$A110&lt;&gt;"",N(Payroll!$R110)&gt;0),"EDR","")</f>
        <v/>
      </c>
      <c r="B110" s="24" t="str">
        <f aca="false">IF($A110="","",Payroll!U110)</f>
        <v/>
      </c>
      <c r="C110" s="24" t="str">
        <f aca="false">IF($A110="","",Payroll!S110)</f>
        <v/>
      </c>
      <c r="D110" s="24" t="str">
        <f aca="false">IF($A110="","",SUBSTITUTE(Payroll!T110," ",""))</f>
        <v/>
      </c>
      <c r="E110" s="24" t="str">
        <f aca="false">IF($A110="","",TEXT(Settings!$B$8,"yyyy-mm-dd"))</f>
        <v/>
      </c>
      <c r="F110" s="24" t="str">
        <f aca="false">IF($A110="","",TEXT(Settings!$B$9,"yyyy-mm-dd"))</f>
        <v/>
      </c>
      <c r="G110" s="24" t="str">
        <f aca="false">IF($A110="","",DAY(Settings!$B$9))</f>
        <v/>
      </c>
      <c r="H110" s="26" t="str">
        <f aca="false">IF($A110="","",ROUND(Payroll!R110-Payroll!L110-Payroll!M110,2))</f>
        <v/>
      </c>
      <c r="I110" s="26" t="str">
        <f aca="false">IF($A110="","",ROUND(Payroll!L110+Payroll!M110,2))</f>
        <v/>
      </c>
      <c r="J110" s="24" t="str">
        <f aca="false">IF($A110="","",0)</f>
        <v/>
      </c>
    </row>
    <row r="111" customFormat="false" ht="15" hidden="false" customHeight="false" outlineLevel="0" collapsed="false">
      <c r="A111" s="24" t="str">
        <f aca="false">IF(AND(Payroll!$A111&lt;&gt;"",N(Payroll!$R111)&gt;0),"EDR","")</f>
        <v/>
      </c>
      <c r="B111" s="24" t="str">
        <f aca="false">IF($A111="","",Payroll!U111)</f>
        <v/>
      </c>
      <c r="C111" s="24" t="str">
        <f aca="false">IF($A111="","",Payroll!S111)</f>
        <v/>
      </c>
      <c r="D111" s="24" t="str">
        <f aca="false">IF($A111="","",SUBSTITUTE(Payroll!T111," ",""))</f>
        <v/>
      </c>
      <c r="E111" s="24" t="str">
        <f aca="false">IF($A111="","",TEXT(Settings!$B$8,"yyyy-mm-dd"))</f>
        <v/>
      </c>
      <c r="F111" s="24" t="str">
        <f aca="false">IF($A111="","",TEXT(Settings!$B$9,"yyyy-mm-dd"))</f>
        <v/>
      </c>
      <c r="G111" s="24" t="str">
        <f aca="false">IF($A111="","",DAY(Settings!$B$9))</f>
        <v/>
      </c>
      <c r="H111" s="26" t="str">
        <f aca="false">IF($A111="","",ROUND(Payroll!R111-Payroll!L111-Payroll!M111,2))</f>
        <v/>
      </c>
      <c r="I111" s="26" t="str">
        <f aca="false">IF($A111="","",ROUND(Payroll!L111+Payroll!M111,2))</f>
        <v/>
      </c>
      <c r="J111" s="24" t="str">
        <f aca="false">IF($A111="","",0)</f>
        <v/>
      </c>
    </row>
    <row r="112" customFormat="false" ht="15" hidden="false" customHeight="false" outlineLevel="0" collapsed="false">
      <c r="A112" s="24" t="str">
        <f aca="false">IF(AND(Payroll!$A112&lt;&gt;"",N(Payroll!$R112)&gt;0),"EDR","")</f>
        <v/>
      </c>
      <c r="B112" s="24" t="str">
        <f aca="false">IF($A112="","",Payroll!U112)</f>
        <v/>
      </c>
      <c r="C112" s="24" t="str">
        <f aca="false">IF($A112="","",Payroll!S112)</f>
        <v/>
      </c>
      <c r="D112" s="24" t="str">
        <f aca="false">IF($A112="","",SUBSTITUTE(Payroll!T112," ",""))</f>
        <v/>
      </c>
      <c r="E112" s="24" t="str">
        <f aca="false">IF($A112="","",TEXT(Settings!$B$8,"yyyy-mm-dd"))</f>
        <v/>
      </c>
      <c r="F112" s="24" t="str">
        <f aca="false">IF($A112="","",TEXT(Settings!$B$9,"yyyy-mm-dd"))</f>
        <v/>
      </c>
      <c r="G112" s="24" t="str">
        <f aca="false">IF($A112="","",DAY(Settings!$B$9))</f>
        <v/>
      </c>
      <c r="H112" s="26" t="str">
        <f aca="false">IF($A112="","",ROUND(Payroll!R112-Payroll!L112-Payroll!M112,2))</f>
        <v/>
      </c>
      <c r="I112" s="26" t="str">
        <f aca="false">IF($A112="","",ROUND(Payroll!L112+Payroll!M112,2))</f>
        <v/>
      </c>
      <c r="J112" s="24" t="str">
        <f aca="false">IF($A112="","",0)</f>
        <v/>
      </c>
    </row>
    <row r="113" customFormat="false" ht="15" hidden="false" customHeight="false" outlineLevel="0" collapsed="false">
      <c r="A113" s="24" t="str">
        <f aca="false">IF(AND(Payroll!$A113&lt;&gt;"",N(Payroll!$R113)&gt;0),"EDR","")</f>
        <v/>
      </c>
      <c r="B113" s="24" t="str">
        <f aca="false">IF($A113="","",Payroll!U113)</f>
        <v/>
      </c>
      <c r="C113" s="24" t="str">
        <f aca="false">IF($A113="","",Payroll!S113)</f>
        <v/>
      </c>
      <c r="D113" s="24" t="str">
        <f aca="false">IF($A113="","",SUBSTITUTE(Payroll!T113," ",""))</f>
        <v/>
      </c>
      <c r="E113" s="24" t="str">
        <f aca="false">IF($A113="","",TEXT(Settings!$B$8,"yyyy-mm-dd"))</f>
        <v/>
      </c>
      <c r="F113" s="24" t="str">
        <f aca="false">IF($A113="","",TEXT(Settings!$B$9,"yyyy-mm-dd"))</f>
        <v/>
      </c>
      <c r="G113" s="24" t="str">
        <f aca="false">IF($A113="","",DAY(Settings!$B$9))</f>
        <v/>
      </c>
      <c r="H113" s="26" t="str">
        <f aca="false">IF($A113="","",ROUND(Payroll!R113-Payroll!L113-Payroll!M113,2))</f>
        <v/>
      </c>
      <c r="I113" s="26" t="str">
        <f aca="false">IF($A113="","",ROUND(Payroll!L113+Payroll!M113,2))</f>
        <v/>
      </c>
      <c r="J113" s="24" t="str">
        <f aca="false">IF($A113="","",0)</f>
        <v/>
      </c>
    </row>
    <row r="114" customFormat="false" ht="15" hidden="false" customHeight="false" outlineLevel="0" collapsed="false">
      <c r="A114" s="24" t="str">
        <f aca="false">IF(AND(Payroll!$A114&lt;&gt;"",N(Payroll!$R114)&gt;0),"EDR","")</f>
        <v/>
      </c>
      <c r="B114" s="24" t="str">
        <f aca="false">IF($A114="","",Payroll!U114)</f>
        <v/>
      </c>
      <c r="C114" s="24" t="str">
        <f aca="false">IF($A114="","",Payroll!S114)</f>
        <v/>
      </c>
      <c r="D114" s="24" t="str">
        <f aca="false">IF($A114="","",SUBSTITUTE(Payroll!T114," ",""))</f>
        <v/>
      </c>
      <c r="E114" s="24" t="str">
        <f aca="false">IF($A114="","",TEXT(Settings!$B$8,"yyyy-mm-dd"))</f>
        <v/>
      </c>
      <c r="F114" s="24" t="str">
        <f aca="false">IF($A114="","",TEXT(Settings!$B$9,"yyyy-mm-dd"))</f>
        <v/>
      </c>
      <c r="G114" s="24" t="str">
        <f aca="false">IF($A114="","",DAY(Settings!$B$9))</f>
        <v/>
      </c>
      <c r="H114" s="26" t="str">
        <f aca="false">IF($A114="","",ROUND(Payroll!R114-Payroll!L114-Payroll!M114,2))</f>
        <v/>
      </c>
      <c r="I114" s="26" t="str">
        <f aca="false">IF($A114="","",ROUND(Payroll!L114+Payroll!M114,2))</f>
        <v/>
      </c>
      <c r="J114" s="24" t="str">
        <f aca="false">IF($A114="","",0)</f>
        <v/>
      </c>
    </row>
    <row r="115" customFormat="false" ht="15" hidden="false" customHeight="false" outlineLevel="0" collapsed="false">
      <c r="A115" s="24" t="str">
        <f aca="false">IF(AND(Payroll!$A115&lt;&gt;"",N(Payroll!$R115)&gt;0),"EDR","")</f>
        <v/>
      </c>
      <c r="B115" s="24" t="str">
        <f aca="false">IF($A115="","",Payroll!U115)</f>
        <v/>
      </c>
      <c r="C115" s="24" t="str">
        <f aca="false">IF($A115="","",Payroll!S115)</f>
        <v/>
      </c>
      <c r="D115" s="24" t="str">
        <f aca="false">IF($A115="","",SUBSTITUTE(Payroll!T115," ",""))</f>
        <v/>
      </c>
      <c r="E115" s="24" t="str">
        <f aca="false">IF($A115="","",TEXT(Settings!$B$8,"yyyy-mm-dd"))</f>
        <v/>
      </c>
      <c r="F115" s="24" t="str">
        <f aca="false">IF($A115="","",TEXT(Settings!$B$9,"yyyy-mm-dd"))</f>
        <v/>
      </c>
      <c r="G115" s="24" t="str">
        <f aca="false">IF($A115="","",DAY(Settings!$B$9))</f>
        <v/>
      </c>
      <c r="H115" s="26" t="str">
        <f aca="false">IF($A115="","",ROUND(Payroll!R115-Payroll!L115-Payroll!M115,2))</f>
        <v/>
      </c>
      <c r="I115" s="26" t="str">
        <f aca="false">IF($A115="","",ROUND(Payroll!L115+Payroll!M115,2))</f>
        <v/>
      </c>
      <c r="J115" s="24" t="str">
        <f aca="false">IF($A115="","",0)</f>
        <v/>
      </c>
    </row>
    <row r="116" customFormat="false" ht="15" hidden="false" customHeight="false" outlineLevel="0" collapsed="false">
      <c r="A116" s="24" t="str">
        <f aca="false">IF(AND(Payroll!$A116&lt;&gt;"",N(Payroll!$R116)&gt;0),"EDR","")</f>
        <v/>
      </c>
      <c r="B116" s="24" t="str">
        <f aca="false">IF($A116="","",Payroll!U116)</f>
        <v/>
      </c>
      <c r="C116" s="24" t="str">
        <f aca="false">IF($A116="","",Payroll!S116)</f>
        <v/>
      </c>
      <c r="D116" s="24" t="str">
        <f aca="false">IF($A116="","",SUBSTITUTE(Payroll!T116," ",""))</f>
        <v/>
      </c>
      <c r="E116" s="24" t="str">
        <f aca="false">IF($A116="","",TEXT(Settings!$B$8,"yyyy-mm-dd"))</f>
        <v/>
      </c>
      <c r="F116" s="24" t="str">
        <f aca="false">IF($A116="","",TEXT(Settings!$B$9,"yyyy-mm-dd"))</f>
        <v/>
      </c>
      <c r="G116" s="24" t="str">
        <f aca="false">IF($A116="","",DAY(Settings!$B$9))</f>
        <v/>
      </c>
      <c r="H116" s="26" t="str">
        <f aca="false">IF($A116="","",ROUND(Payroll!R116-Payroll!L116-Payroll!M116,2))</f>
        <v/>
      </c>
      <c r="I116" s="26" t="str">
        <f aca="false">IF($A116="","",ROUND(Payroll!L116+Payroll!M116,2))</f>
        <v/>
      </c>
      <c r="J116" s="24" t="str">
        <f aca="false">IF($A116="","",0)</f>
        <v/>
      </c>
    </row>
    <row r="117" customFormat="false" ht="15" hidden="false" customHeight="false" outlineLevel="0" collapsed="false">
      <c r="A117" s="24" t="str">
        <f aca="false">IF(AND(Payroll!$A117&lt;&gt;"",N(Payroll!$R117)&gt;0),"EDR","")</f>
        <v/>
      </c>
      <c r="B117" s="24" t="str">
        <f aca="false">IF($A117="","",Payroll!U117)</f>
        <v/>
      </c>
      <c r="C117" s="24" t="str">
        <f aca="false">IF($A117="","",Payroll!S117)</f>
        <v/>
      </c>
      <c r="D117" s="24" t="str">
        <f aca="false">IF($A117="","",SUBSTITUTE(Payroll!T117," ",""))</f>
        <v/>
      </c>
      <c r="E117" s="24" t="str">
        <f aca="false">IF($A117="","",TEXT(Settings!$B$8,"yyyy-mm-dd"))</f>
        <v/>
      </c>
      <c r="F117" s="24" t="str">
        <f aca="false">IF($A117="","",TEXT(Settings!$B$9,"yyyy-mm-dd"))</f>
        <v/>
      </c>
      <c r="G117" s="24" t="str">
        <f aca="false">IF($A117="","",DAY(Settings!$B$9))</f>
        <v/>
      </c>
      <c r="H117" s="26" t="str">
        <f aca="false">IF($A117="","",ROUND(Payroll!R117-Payroll!L117-Payroll!M117,2))</f>
        <v/>
      </c>
      <c r="I117" s="26" t="str">
        <f aca="false">IF($A117="","",ROUND(Payroll!L117+Payroll!M117,2))</f>
        <v/>
      </c>
      <c r="J117" s="24" t="str">
        <f aca="false">IF($A117="","",0)</f>
        <v/>
      </c>
    </row>
    <row r="118" customFormat="false" ht="15" hidden="false" customHeight="false" outlineLevel="0" collapsed="false">
      <c r="A118" s="24" t="str">
        <f aca="false">IF(AND(Payroll!$A118&lt;&gt;"",N(Payroll!$R118)&gt;0),"EDR","")</f>
        <v/>
      </c>
      <c r="B118" s="24" t="str">
        <f aca="false">IF($A118="","",Payroll!U118)</f>
        <v/>
      </c>
      <c r="C118" s="24" t="str">
        <f aca="false">IF($A118="","",Payroll!S118)</f>
        <v/>
      </c>
      <c r="D118" s="24" t="str">
        <f aca="false">IF($A118="","",SUBSTITUTE(Payroll!T118," ",""))</f>
        <v/>
      </c>
      <c r="E118" s="24" t="str">
        <f aca="false">IF($A118="","",TEXT(Settings!$B$8,"yyyy-mm-dd"))</f>
        <v/>
      </c>
      <c r="F118" s="24" t="str">
        <f aca="false">IF($A118="","",TEXT(Settings!$B$9,"yyyy-mm-dd"))</f>
        <v/>
      </c>
      <c r="G118" s="24" t="str">
        <f aca="false">IF($A118="","",DAY(Settings!$B$9))</f>
        <v/>
      </c>
      <c r="H118" s="26" t="str">
        <f aca="false">IF($A118="","",ROUND(Payroll!R118-Payroll!L118-Payroll!M118,2))</f>
        <v/>
      </c>
      <c r="I118" s="26" t="str">
        <f aca="false">IF($A118="","",ROUND(Payroll!L118+Payroll!M118,2))</f>
        <v/>
      </c>
      <c r="J118" s="24" t="str">
        <f aca="false">IF($A118="","",0)</f>
        <v/>
      </c>
    </row>
    <row r="119" customFormat="false" ht="15" hidden="false" customHeight="false" outlineLevel="0" collapsed="false">
      <c r="A119" s="24" t="str">
        <f aca="false">IF(AND(Payroll!$A119&lt;&gt;"",N(Payroll!$R119)&gt;0),"EDR","")</f>
        <v/>
      </c>
      <c r="B119" s="24" t="str">
        <f aca="false">IF($A119="","",Payroll!U119)</f>
        <v/>
      </c>
      <c r="C119" s="24" t="str">
        <f aca="false">IF($A119="","",Payroll!S119)</f>
        <v/>
      </c>
      <c r="D119" s="24" t="str">
        <f aca="false">IF($A119="","",SUBSTITUTE(Payroll!T119," ",""))</f>
        <v/>
      </c>
      <c r="E119" s="24" t="str">
        <f aca="false">IF($A119="","",TEXT(Settings!$B$8,"yyyy-mm-dd"))</f>
        <v/>
      </c>
      <c r="F119" s="24" t="str">
        <f aca="false">IF($A119="","",TEXT(Settings!$B$9,"yyyy-mm-dd"))</f>
        <v/>
      </c>
      <c r="G119" s="24" t="str">
        <f aca="false">IF($A119="","",DAY(Settings!$B$9))</f>
        <v/>
      </c>
      <c r="H119" s="26" t="str">
        <f aca="false">IF($A119="","",ROUND(Payroll!R119-Payroll!L119-Payroll!M119,2))</f>
        <v/>
      </c>
      <c r="I119" s="26" t="str">
        <f aca="false">IF($A119="","",ROUND(Payroll!L119+Payroll!M119,2))</f>
        <v/>
      </c>
      <c r="J119" s="24" t="str">
        <f aca="false">IF($A119="","",0)</f>
        <v/>
      </c>
    </row>
    <row r="120" customFormat="false" ht="15" hidden="false" customHeight="false" outlineLevel="0" collapsed="false">
      <c r="A120" s="24" t="str">
        <f aca="false">IF(AND(Payroll!$A120&lt;&gt;"",N(Payroll!$R120)&gt;0),"EDR","")</f>
        <v/>
      </c>
      <c r="B120" s="24" t="str">
        <f aca="false">IF($A120="","",Payroll!U120)</f>
        <v/>
      </c>
      <c r="C120" s="24" t="str">
        <f aca="false">IF($A120="","",Payroll!S120)</f>
        <v/>
      </c>
      <c r="D120" s="24" t="str">
        <f aca="false">IF($A120="","",SUBSTITUTE(Payroll!T120," ",""))</f>
        <v/>
      </c>
      <c r="E120" s="24" t="str">
        <f aca="false">IF($A120="","",TEXT(Settings!$B$8,"yyyy-mm-dd"))</f>
        <v/>
      </c>
      <c r="F120" s="24" t="str">
        <f aca="false">IF($A120="","",TEXT(Settings!$B$9,"yyyy-mm-dd"))</f>
        <v/>
      </c>
      <c r="G120" s="24" t="str">
        <f aca="false">IF($A120="","",DAY(Settings!$B$9))</f>
        <v/>
      </c>
      <c r="H120" s="26" t="str">
        <f aca="false">IF($A120="","",ROUND(Payroll!R120-Payroll!L120-Payroll!M120,2))</f>
        <v/>
      </c>
      <c r="I120" s="26" t="str">
        <f aca="false">IF($A120="","",ROUND(Payroll!L120+Payroll!M120,2))</f>
        <v/>
      </c>
      <c r="J120" s="24" t="str">
        <f aca="false">IF($A120="","",0)</f>
        <v/>
      </c>
    </row>
    <row r="121" customFormat="false" ht="15" hidden="false" customHeight="false" outlineLevel="0" collapsed="false">
      <c r="A121" s="24" t="str">
        <f aca="false">IF(AND(Payroll!$A121&lt;&gt;"",N(Payroll!$R121)&gt;0),"EDR","")</f>
        <v/>
      </c>
      <c r="B121" s="24" t="str">
        <f aca="false">IF($A121="","",Payroll!U121)</f>
        <v/>
      </c>
      <c r="C121" s="24" t="str">
        <f aca="false">IF($A121="","",Payroll!S121)</f>
        <v/>
      </c>
      <c r="D121" s="24" t="str">
        <f aca="false">IF($A121="","",SUBSTITUTE(Payroll!T121," ",""))</f>
        <v/>
      </c>
      <c r="E121" s="24" t="str">
        <f aca="false">IF($A121="","",TEXT(Settings!$B$8,"yyyy-mm-dd"))</f>
        <v/>
      </c>
      <c r="F121" s="24" t="str">
        <f aca="false">IF($A121="","",TEXT(Settings!$B$9,"yyyy-mm-dd"))</f>
        <v/>
      </c>
      <c r="G121" s="24" t="str">
        <f aca="false">IF($A121="","",DAY(Settings!$B$9))</f>
        <v/>
      </c>
      <c r="H121" s="26" t="str">
        <f aca="false">IF($A121="","",ROUND(Payroll!R121-Payroll!L121-Payroll!M121,2))</f>
        <v/>
      </c>
      <c r="I121" s="26" t="str">
        <f aca="false">IF($A121="","",ROUND(Payroll!L121+Payroll!M121,2))</f>
        <v/>
      </c>
      <c r="J121" s="24" t="str">
        <f aca="false">IF($A121="","",0)</f>
        <v/>
      </c>
    </row>
    <row r="122" customFormat="false" ht="15" hidden="false" customHeight="false" outlineLevel="0" collapsed="false">
      <c r="A122" s="24" t="str">
        <f aca="false">IF(AND(Payroll!$A122&lt;&gt;"",N(Payroll!$R122)&gt;0),"EDR","")</f>
        <v/>
      </c>
      <c r="B122" s="24" t="str">
        <f aca="false">IF($A122="","",Payroll!U122)</f>
        <v/>
      </c>
      <c r="C122" s="24" t="str">
        <f aca="false">IF($A122="","",Payroll!S122)</f>
        <v/>
      </c>
      <c r="D122" s="24" t="str">
        <f aca="false">IF($A122="","",SUBSTITUTE(Payroll!T122," ",""))</f>
        <v/>
      </c>
      <c r="E122" s="24" t="str">
        <f aca="false">IF($A122="","",TEXT(Settings!$B$8,"yyyy-mm-dd"))</f>
        <v/>
      </c>
      <c r="F122" s="24" t="str">
        <f aca="false">IF($A122="","",TEXT(Settings!$B$9,"yyyy-mm-dd"))</f>
        <v/>
      </c>
      <c r="G122" s="24" t="str">
        <f aca="false">IF($A122="","",DAY(Settings!$B$9))</f>
        <v/>
      </c>
      <c r="H122" s="26" t="str">
        <f aca="false">IF($A122="","",ROUND(Payroll!R122-Payroll!L122-Payroll!M122,2))</f>
        <v/>
      </c>
      <c r="I122" s="26" t="str">
        <f aca="false">IF($A122="","",ROUND(Payroll!L122+Payroll!M122,2))</f>
        <v/>
      </c>
      <c r="J122" s="24" t="str">
        <f aca="false">IF($A122="","",0)</f>
        <v/>
      </c>
    </row>
    <row r="123" customFormat="false" ht="15" hidden="false" customHeight="false" outlineLevel="0" collapsed="false">
      <c r="A123" s="24" t="str">
        <f aca="false">IF(AND(Payroll!$A123&lt;&gt;"",N(Payroll!$R123)&gt;0),"EDR","")</f>
        <v/>
      </c>
      <c r="B123" s="24" t="str">
        <f aca="false">IF($A123="","",Payroll!U123)</f>
        <v/>
      </c>
      <c r="C123" s="24" t="str">
        <f aca="false">IF($A123="","",Payroll!S123)</f>
        <v/>
      </c>
      <c r="D123" s="24" t="str">
        <f aca="false">IF($A123="","",SUBSTITUTE(Payroll!T123," ",""))</f>
        <v/>
      </c>
      <c r="E123" s="24" t="str">
        <f aca="false">IF($A123="","",TEXT(Settings!$B$8,"yyyy-mm-dd"))</f>
        <v/>
      </c>
      <c r="F123" s="24" t="str">
        <f aca="false">IF($A123="","",TEXT(Settings!$B$9,"yyyy-mm-dd"))</f>
        <v/>
      </c>
      <c r="G123" s="24" t="str">
        <f aca="false">IF($A123="","",DAY(Settings!$B$9))</f>
        <v/>
      </c>
      <c r="H123" s="26" t="str">
        <f aca="false">IF($A123="","",ROUND(Payroll!R123-Payroll!L123-Payroll!M123,2))</f>
        <v/>
      </c>
      <c r="I123" s="26" t="str">
        <f aca="false">IF($A123="","",ROUND(Payroll!L123+Payroll!M123,2))</f>
        <v/>
      </c>
      <c r="J123" s="24" t="str">
        <f aca="false">IF($A123="","",0)</f>
        <v/>
      </c>
    </row>
    <row r="124" customFormat="false" ht="15" hidden="false" customHeight="false" outlineLevel="0" collapsed="false">
      <c r="A124" s="24" t="str">
        <f aca="false">IF(AND(Payroll!$A124&lt;&gt;"",N(Payroll!$R124)&gt;0),"EDR","")</f>
        <v/>
      </c>
      <c r="B124" s="24" t="str">
        <f aca="false">IF($A124="","",Payroll!U124)</f>
        <v/>
      </c>
      <c r="C124" s="24" t="str">
        <f aca="false">IF($A124="","",Payroll!S124)</f>
        <v/>
      </c>
      <c r="D124" s="24" t="str">
        <f aca="false">IF($A124="","",SUBSTITUTE(Payroll!T124," ",""))</f>
        <v/>
      </c>
      <c r="E124" s="24" t="str">
        <f aca="false">IF($A124="","",TEXT(Settings!$B$8,"yyyy-mm-dd"))</f>
        <v/>
      </c>
      <c r="F124" s="24" t="str">
        <f aca="false">IF($A124="","",TEXT(Settings!$B$9,"yyyy-mm-dd"))</f>
        <v/>
      </c>
      <c r="G124" s="24" t="str">
        <f aca="false">IF($A124="","",DAY(Settings!$B$9))</f>
        <v/>
      </c>
      <c r="H124" s="26" t="str">
        <f aca="false">IF($A124="","",ROUND(Payroll!R124-Payroll!L124-Payroll!M124,2))</f>
        <v/>
      </c>
      <c r="I124" s="26" t="str">
        <f aca="false">IF($A124="","",ROUND(Payroll!L124+Payroll!M124,2))</f>
        <v/>
      </c>
      <c r="J124" s="24" t="str">
        <f aca="false">IF($A124="","",0)</f>
        <v/>
      </c>
    </row>
    <row r="125" customFormat="false" ht="15" hidden="false" customHeight="false" outlineLevel="0" collapsed="false">
      <c r="A125" s="24" t="str">
        <f aca="false">IF(AND(Payroll!$A125&lt;&gt;"",N(Payroll!$R125)&gt;0),"EDR","")</f>
        <v/>
      </c>
      <c r="B125" s="24" t="str">
        <f aca="false">IF($A125="","",Payroll!U125)</f>
        <v/>
      </c>
      <c r="C125" s="24" t="str">
        <f aca="false">IF($A125="","",Payroll!S125)</f>
        <v/>
      </c>
      <c r="D125" s="24" t="str">
        <f aca="false">IF($A125="","",SUBSTITUTE(Payroll!T125," ",""))</f>
        <v/>
      </c>
      <c r="E125" s="24" t="str">
        <f aca="false">IF($A125="","",TEXT(Settings!$B$8,"yyyy-mm-dd"))</f>
        <v/>
      </c>
      <c r="F125" s="24" t="str">
        <f aca="false">IF($A125="","",TEXT(Settings!$B$9,"yyyy-mm-dd"))</f>
        <v/>
      </c>
      <c r="G125" s="24" t="str">
        <f aca="false">IF($A125="","",DAY(Settings!$B$9))</f>
        <v/>
      </c>
      <c r="H125" s="26" t="str">
        <f aca="false">IF($A125="","",ROUND(Payroll!R125-Payroll!L125-Payroll!M125,2))</f>
        <v/>
      </c>
      <c r="I125" s="26" t="str">
        <f aca="false">IF($A125="","",ROUND(Payroll!L125+Payroll!M125,2))</f>
        <v/>
      </c>
      <c r="J125" s="24" t="str">
        <f aca="false">IF($A125="","",0)</f>
        <v/>
      </c>
    </row>
    <row r="126" customFormat="false" ht="15" hidden="false" customHeight="false" outlineLevel="0" collapsed="false">
      <c r="A126" s="24" t="str">
        <f aca="false">IF(AND(Payroll!$A126&lt;&gt;"",N(Payroll!$R126)&gt;0),"EDR","")</f>
        <v/>
      </c>
      <c r="B126" s="24" t="str">
        <f aca="false">IF($A126="","",Payroll!U126)</f>
        <v/>
      </c>
      <c r="C126" s="24" t="str">
        <f aca="false">IF($A126="","",Payroll!S126)</f>
        <v/>
      </c>
      <c r="D126" s="24" t="str">
        <f aca="false">IF($A126="","",SUBSTITUTE(Payroll!T126," ",""))</f>
        <v/>
      </c>
      <c r="E126" s="24" t="str">
        <f aca="false">IF($A126="","",TEXT(Settings!$B$8,"yyyy-mm-dd"))</f>
        <v/>
      </c>
      <c r="F126" s="24" t="str">
        <f aca="false">IF($A126="","",TEXT(Settings!$B$9,"yyyy-mm-dd"))</f>
        <v/>
      </c>
      <c r="G126" s="24" t="str">
        <f aca="false">IF($A126="","",DAY(Settings!$B$9))</f>
        <v/>
      </c>
      <c r="H126" s="26" t="str">
        <f aca="false">IF($A126="","",ROUND(Payroll!R126-Payroll!L126-Payroll!M126,2))</f>
        <v/>
      </c>
      <c r="I126" s="26" t="str">
        <f aca="false">IF($A126="","",ROUND(Payroll!L126+Payroll!M126,2))</f>
        <v/>
      </c>
      <c r="J126" s="24" t="str">
        <f aca="false">IF($A126="","",0)</f>
        <v/>
      </c>
    </row>
    <row r="127" customFormat="false" ht="15" hidden="false" customHeight="false" outlineLevel="0" collapsed="false">
      <c r="A127" s="24" t="str">
        <f aca="false">IF(AND(Payroll!$A127&lt;&gt;"",N(Payroll!$R127)&gt;0),"EDR","")</f>
        <v/>
      </c>
      <c r="B127" s="24" t="str">
        <f aca="false">IF($A127="","",Payroll!U127)</f>
        <v/>
      </c>
      <c r="C127" s="24" t="str">
        <f aca="false">IF($A127="","",Payroll!S127)</f>
        <v/>
      </c>
      <c r="D127" s="24" t="str">
        <f aca="false">IF($A127="","",SUBSTITUTE(Payroll!T127," ",""))</f>
        <v/>
      </c>
      <c r="E127" s="24" t="str">
        <f aca="false">IF($A127="","",TEXT(Settings!$B$8,"yyyy-mm-dd"))</f>
        <v/>
      </c>
      <c r="F127" s="24" t="str">
        <f aca="false">IF($A127="","",TEXT(Settings!$B$9,"yyyy-mm-dd"))</f>
        <v/>
      </c>
      <c r="G127" s="24" t="str">
        <f aca="false">IF($A127="","",DAY(Settings!$B$9))</f>
        <v/>
      </c>
      <c r="H127" s="26" t="str">
        <f aca="false">IF($A127="","",ROUND(Payroll!R127-Payroll!L127-Payroll!M127,2))</f>
        <v/>
      </c>
      <c r="I127" s="26" t="str">
        <f aca="false">IF($A127="","",ROUND(Payroll!L127+Payroll!M127,2))</f>
        <v/>
      </c>
      <c r="J127" s="24" t="str">
        <f aca="false">IF($A127="","",0)</f>
        <v/>
      </c>
    </row>
    <row r="128" customFormat="false" ht="15" hidden="false" customHeight="false" outlineLevel="0" collapsed="false">
      <c r="A128" s="24" t="str">
        <f aca="false">IF(AND(Payroll!$A128&lt;&gt;"",N(Payroll!$R128)&gt;0),"EDR","")</f>
        <v/>
      </c>
      <c r="B128" s="24" t="str">
        <f aca="false">IF($A128="","",Payroll!U128)</f>
        <v/>
      </c>
      <c r="C128" s="24" t="str">
        <f aca="false">IF($A128="","",Payroll!S128)</f>
        <v/>
      </c>
      <c r="D128" s="24" t="str">
        <f aca="false">IF($A128="","",SUBSTITUTE(Payroll!T128," ",""))</f>
        <v/>
      </c>
      <c r="E128" s="24" t="str">
        <f aca="false">IF($A128="","",TEXT(Settings!$B$8,"yyyy-mm-dd"))</f>
        <v/>
      </c>
      <c r="F128" s="24" t="str">
        <f aca="false">IF($A128="","",TEXT(Settings!$B$9,"yyyy-mm-dd"))</f>
        <v/>
      </c>
      <c r="G128" s="24" t="str">
        <f aca="false">IF($A128="","",DAY(Settings!$B$9))</f>
        <v/>
      </c>
      <c r="H128" s="26" t="str">
        <f aca="false">IF($A128="","",ROUND(Payroll!R128-Payroll!L128-Payroll!M128,2))</f>
        <v/>
      </c>
      <c r="I128" s="26" t="str">
        <f aca="false">IF($A128="","",ROUND(Payroll!L128+Payroll!M128,2))</f>
        <v/>
      </c>
      <c r="J128" s="24" t="str">
        <f aca="false">IF($A128="","",0)</f>
        <v/>
      </c>
    </row>
    <row r="129" customFormat="false" ht="15" hidden="false" customHeight="false" outlineLevel="0" collapsed="false">
      <c r="A129" s="24" t="str">
        <f aca="false">IF(AND(Payroll!$A129&lt;&gt;"",N(Payroll!$R129)&gt;0),"EDR","")</f>
        <v/>
      </c>
      <c r="B129" s="24" t="str">
        <f aca="false">IF($A129="","",Payroll!U129)</f>
        <v/>
      </c>
      <c r="C129" s="24" t="str">
        <f aca="false">IF($A129="","",Payroll!S129)</f>
        <v/>
      </c>
      <c r="D129" s="24" t="str">
        <f aca="false">IF($A129="","",SUBSTITUTE(Payroll!T129," ",""))</f>
        <v/>
      </c>
      <c r="E129" s="24" t="str">
        <f aca="false">IF($A129="","",TEXT(Settings!$B$8,"yyyy-mm-dd"))</f>
        <v/>
      </c>
      <c r="F129" s="24" t="str">
        <f aca="false">IF($A129="","",TEXT(Settings!$B$9,"yyyy-mm-dd"))</f>
        <v/>
      </c>
      <c r="G129" s="24" t="str">
        <f aca="false">IF($A129="","",DAY(Settings!$B$9))</f>
        <v/>
      </c>
      <c r="H129" s="26" t="str">
        <f aca="false">IF($A129="","",ROUND(Payroll!R129-Payroll!L129-Payroll!M129,2))</f>
        <v/>
      </c>
      <c r="I129" s="26" t="str">
        <f aca="false">IF($A129="","",ROUND(Payroll!L129+Payroll!M129,2))</f>
        <v/>
      </c>
      <c r="J129" s="24" t="str">
        <f aca="false">IF($A129="","",0)</f>
        <v/>
      </c>
    </row>
    <row r="130" customFormat="false" ht="15" hidden="false" customHeight="false" outlineLevel="0" collapsed="false">
      <c r="A130" s="24" t="str">
        <f aca="false">IF(AND(Payroll!$A130&lt;&gt;"",N(Payroll!$R130)&gt;0),"EDR","")</f>
        <v/>
      </c>
      <c r="B130" s="24" t="str">
        <f aca="false">IF($A130="","",Payroll!U130)</f>
        <v/>
      </c>
      <c r="C130" s="24" t="str">
        <f aca="false">IF($A130="","",Payroll!S130)</f>
        <v/>
      </c>
      <c r="D130" s="24" t="str">
        <f aca="false">IF($A130="","",SUBSTITUTE(Payroll!T130," ",""))</f>
        <v/>
      </c>
      <c r="E130" s="24" t="str">
        <f aca="false">IF($A130="","",TEXT(Settings!$B$8,"yyyy-mm-dd"))</f>
        <v/>
      </c>
      <c r="F130" s="24" t="str">
        <f aca="false">IF($A130="","",TEXT(Settings!$B$9,"yyyy-mm-dd"))</f>
        <v/>
      </c>
      <c r="G130" s="24" t="str">
        <f aca="false">IF($A130="","",DAY(Settings!$B$9))</f>
        <v/>
      </c>
      <c r="H130" s="26" t="str">
        <f aca="false">IF($A130="","",ROUND(Payroll!R130-Payroll!L130-Payroll!M130,2))</f>
        <v/>
      </c>
      <c r="I130" s="26" t="str">
        <f aca="false">IF($A130="","",ROUND(Payroll!L130+Payroll!M130,2))</f>
        <v/>
      </c>
      <c r="J130" s="24" t="str">
        <f aca="false">IF($A130="","",0)</f>
        <v/>
      </c>
    </row>
    <row r="131" customFormat="false" ht="15" hidden="false" customHeight="false" outlineLevel="0" collapsed="false">
      <c r="A131" s="24" t="str">
        <f aca="false">IF(AND(Payroll!$A131&lt;&gt;"",N(Payroll!$R131)&gt;0),"EDR","")</f>
        <v/>
      </c>
      <c r="B131" s="24" t="str">
        <f aca="false">IF($A131="","",Payroll!U131)</f>
        <v/>
      </c>
      <c r="C131" s="24" t="str">
        <f aca="false">IF($A131="","",Payroll!S131)</f>
        <v/>
      </c>
      <c r="D131" s="24" t="str">
        <f aca="false">IF($A131="","",SUBSTITUTE(Payroll!T131," ",""))</f>
        <v/>
      </c>
      <c r="E131" s="24" t="str">
        <f aca="false">IF($A131="","",TEXT(Settings!$B$8,"yyyy-mm-dd"))</f>
        <v/>
      </c>
      <c r="F131" s="24" t="str">
        <f aca="false">IF($A131="","",TEXT(Settings!$B$9,"yyyy-mm-dd"))</f>
        <v/>
      </c>
      <c r="G131" s="24" t="str">
        <f aca="false">IF($A131="","",DAY(Settings!$B$9))</f>
        <v/>
      </c>
      <c r="H131" s="26" t="str">
        <f aca="false">IF($A131="","",ROUND(Payroll!R131-Payroll!L131-Payroll!M131,2))</f>
        <v/>
      </c>
      <c r="I131" s="26" t="str">
        <f aca="false">IF($A131="","",ROUND(Payroll!L131+Payroll!M131,2))</f>
        <v/>
      </c>
      <c r="J131" s="24" t="str">
        <f aca="false">IF($A131="","",0)</f>
        <v/>
      </c>
    </row>
    <row r="132" customFormat="false" ht="15" hidden="false" customHeight="false" outlineLevel="0" collapsed="false">
      <c r="A132" s="24" t="str">
        <f aca="false">IF(AND(Payroll!$A132&lt;&gt;"",N(Payroll!$R132)&gt;0),"EDR","")</f>
        <v/>
      </c>
      <c r="B132" s="24" t="str">
        <f aca="false">IF($A132="","",Payroll!U132)</f>
        <v/>
      </c>
      <c r="C132" s="24" t="str">
        <f aca="false">IF($A132="","",Payroll!S132)</f>
        <v/>
      </c>
      <c r="D132" s="24" t="str">
        <f aca="false">IF($A132="","",SUBSTITUTE(Payroll!T132," ",""))</f>
        <v/>
      </c>
      <c r="E132" s="24" t="str">
        <f aca="false">IF($A132="","",TEXT(Settings!$B$8,"yyyy-mm-dd"))</f>
        <v/>
      </c>
      <c r="F132" s="24" t="str">
        <f aca="false">IF($A132="","",TEXT(Settings!$B$9,"yyyy-mm-dd"))</f>
        <v/>
      </c>
      <c r="G132" s="24" t="str">
        <f aca="false">IF($A132="","",DAY(Settings!$B$9))</f>
        <v/>
      </c>
      <c r="H132" s="26" t="str">
        <f aca="false">IF($A132="","",ROUND(Payroll!R132-Payroll!L132-Payroll!M132,2))</f>
        <v/>
      </c>
      <c r="I132" s="26" t="str">
        <f aca="false">IF($A132="","",ROUND(Payroll!L132+Payroll!M132,2))</f>
        <v/>
      </c>
      <c r="J132" s="24" t="str">
        <f aca="false">IF($A132="","",0)</f>
        <v/>
      </c>
    </row>
    <row r="133" customFormat="false" ht="15" hidden="false" customHeight="false" outlineLevel="0" collapsed="false">
      <c r="A133" s="24" t="str">
        <f aca="false">IF(AND(Payroll!$A133&lt;&gt;"",N(Payroll!$R133)&gt;0),"EDR","")</f>
        <v/>
      </c>
      <c r="B133" s="24" t="str">
        <f aca="false">IF($A133="","",Payroll!U133)</f>
        <v/>
      </c>
      <c r="C133" s="24" t="str">
        <f aca="false">IF($A133="","",Payroll!S133)</f>
        <v/>
      </c>
      <c r="D133" s="24" t="str">
        <f aca="false">IF($A133="","",SUBSTITUTE(Payroll!T133," ",""))</f>
        <v/>
      </c>
      <c r="E133" s="24" t="str">
        <f aca="false">IF($A133="","",TEXT(Settings!$B$8,"yyyy-mm-dd"))</f>
        <v/>
      </c>
      <c r="F133" s="24" t="str">
        <f aca="false">IF($A133="","",TEXT(Settings!$B$9,"yyyy-mm-dd"))</f>
        <v/>
      </c>
      <c r="G133" s="24" t="str">
        <f aca="false">IF($A133="","",DAY(Settings!$B$9))</f>
        <v/>
      </c>
      <c r="H133" s="26" t="str">
        <f aca="false">IF($A133="","",ROUND(Payroll!R133-Payroll!L133-Payroll!M133,2))</f>
        <v/>
      </c>
      <c r="I133" s="26" t="str">
        <f aca="false">IF($A133="","",ROUND(Payroll!L133+Payroll!M133,2))</f>
        <v/>
      </c>
      <c r="J133" s="24" t="str">
        <f aca="false">IF($A133="","",0)</f>
        <v/>
      </c>
    </row>
    <row r="134" customFormat="false" ht="15" hidden="false" customHeight="false" outlineLevel="0" collapsed="false">
      <c r="A134" s="24" t="str">
        <f aca="false">IF(AND(Payroll!$A134&lt;&gt;"",N(Payroll!$R134)&gt;0),"EDR","")</f>
        <v/>
      </c>
      <c r="B134" s="24" t="str">
        <f aca="false">IF($A134="","",Payroll!U134)</f>
        <v/>
      </c>
      <c r="C134" s="24" t="str">
        <f aca="false">IF($A134="","",Payroll!S134)</f>
        <v/>
      </c>
      <c r="D134" s="24" t="str">
        <f aca="false">IF($A134="","",SUBSTITUTE(Payroll!T134," ",""))</f>
        <v/>
      </c>
      <c r="E134" s="24" t="str">
        <f aca="false">IF($A134="","",TEXT(Settings!$B$8,"yyyy-mm-dd"))</f>
        <v/>
      </c>
      <c r="F134" s="24" t="str">
        <f aca="false">IF($A134="","",TEXT(Settings!$B$9,"yyyy-mm-dd"))</f>
        <v/>
      </c>
      <c r="G134" s="24" t="str">
        <f aca="false">IF($A134="","",DAY(Settings!$B$9))</f>
        <v/>
      </c>
      <c r="H134" s="26" t="str">
        <f aca="false">IF($A134="","",ROUND(Payroll!R134-Payroll!L134-Payroll!M134,2))</f>
        <v/>
      </c>
      <c r="I134" s="26" t="str">
        <f aca="false">IF($A134="","",ROUND(Payroll!L134+Payroll!M134,2))</f>
        <v/>
      </c>
      <c r="J134" s="24" t="str">
        <f aca="false">IF($A134="","",0)</f>
        <v/>
      </c>
    </row>
    <row r="135" customFormat="false" ht="15" hidden="false" customHeight="false" outlineLevel="0" collapsed="false">
      <c r="A135" s="24" t="str">
        <f aca="false">IF(AND(Payroll!$A135&lt;&gt;"",N(Payroll!$R135)&gt;0),"EDR","")</f>
        <v/>
      </c>
      <c r="B135" s="24" t="str">
        <f aca="false">IF($A135="","",Payroll!U135)</f>
        <v/>
      </c>
      <c r="C135" s="24" t="str">
        <f aca="false">IF($A135="","",Payroll!S135)</f>
        <v/>
      </c>
      <c r="D135" s="24" t="str">
        <f aca="false">IF($A135="","",SUBSTITUTE(Payroll!T135," ",""))</f>
        <v/>
      </c>
      <c r="E135" s="24" t="str">
        <f aca="false">IF($A135="","",TEXT(Settings!$B$8,"yyyy-mm-dd"))</f>
        <v/>
      </c>
      <c r="F135" s="24" t="str">
        <f aca="false">IF($A135="","",TEXT(Settings!$B$9,"yyyy-mm-dd"))</f>
        <v/>
      </c>
      <c r="G135" s="24" t="str">
        <f aca="false">IF($A135="","",DAY(Settings!$B$9))</f>
        <v/>
      </c>
      <c r="H135" s="26" t="str">
        <f aca="false">IF($A135="","",ROUND(Payroll!R135-Payroll!L135-Payroll!M135,2))</f>
        <v/>
      </c>
      <c r="I135" s="26" t="str">
        <f aca="false">IF($A135="","",ROUND(Payroll!L135+Payroll!M135,2))</f>
        <v/>
      </c>
      <c r="J135" s="24" t="str">
        <f aca="false">IF($A135="","",0)</f>
        <v/>
      </c>
    </row>
    <row r="136" customFormat="false" ht="15" hidden="false" customHeight="false" outlineLevel="0" collapsed="false">
      <c r="A136" s="24" t="str">
        <f aca="false">IF(AND(Payroll!$A136&lt;&gt;"",N(Payroll!$R136)&gt;0),"EDR","")</f>
        <v/>
      </c>
      <c r="B136" s="24" t="str">
        <f aca="false">IF($A136="","",Payroll!U136)</f>
        <v/>
      </c>
      <c r="C136" s="24" t="str">
        <f aca="false">IF($A136="","",Payroll!S136)</f>
        <v/>
      </c>
      <c r="D136" s="24" t="str">
        <f aca="false">IF($A136="","",SUBSTITUTE(Payroll!T136," ",""))</f>
        <v/>
      </c>
      <c r="E136" s="24" t="str">
        <f aca="false">IF($A136="","",TEXT(Settings!$B$8,"yyyy-mm-dd"))</f>
        <v/>
      </c>
      <c r="F136" s="24" t="str">
        <f aca="false">IF($A136="","",TEXT(Settings!$B$9,"yyyy-mm-dd"))</f>
        <v/>
      </c>
      <c r="G136" s="24" t="str">
        <f aca="false">IF($A136="","",DAY(Settings!$B$9))</f>
        <v/>
      </c>
      <c r="H136" s="26" t="str">
        <f aca="false">IF($A136="","",ROUND(Payroll!R136-Payroll!L136-Payroll!M136,2))</f>
        <v/>
      </c>
      <c r="I136" s="26" t="str">
        <f aca="false">IF($A136="","",ROUND(Payroll!L136+Payroll!M136,2))</f>
        <v/>
      </c>
      <c r="J136" s="24" t="str">
        <f aca="false">IF($A136="","",0)</f>
        <v/>
      </c>
    </row>
    <row r="137" customFormat="false" ht="15" hidden="false" customHeight="false" outlineLevel="0" collapsed="false">
      <c r="A137" s="24" t="str">
        <f aca="false">IF(AND(Payroll!$A137&lt;&gt;"",N(Payroll!$R137)&gt;0),"EDR","")</f>
        <v/>
      </c>
      <c r="B137" s="24" t="str">
        <f aca="false">IF($A137="","",Payroll!U137)</f>
        <v/>
      </c>
      <c r="C137" s="24" t="str">
        <f aca="false">IF($A137="","",Payroll!S137)</f>
        <v/>
      </c>
      <c r="D137" s="24" t="str">
        <f aca="false">IF($A137="","",SUBSTITUTE(Payroll!T137," ",""))</f>
        <v/>
      </c>
      <c r="E137" s="24" t="str">
        <f aca="false">IF($A137="","",TEXT(Settings!$B$8,"yyyy-mm-dd"))</f>
        <v/>
      </c>
      <c r="F137" s="24" t="str">
        <f aca="false">IF($A137="","",TEXT(Settings!$B$9,"yyyy-mm-dd"))</f>
        <v/>
      </c>
      <c r="G137" s="24" t="str">
        <f aca="false">IF($A137="","",DAY(Settings!$B$9))</f>
        <v/>
      </c>
      <c r="H137" s="26" t="str">
        <f aca="false">IF($A137="","",ROUND(Payroll!R137-Payroll!L137-Payroll!M137,2))</f>
        <v/>
      </c>
      <c r="I137" s="26" t="str">
        <f aca="false">IF($A137="","",ROUND(Payroll!L137+Payroll!M137,2))</f>
        <v/>
      </c>
      <c r="J137" s="24" t="str">
        <f aca="false">IF($A137="","",0)</f>
        <v/>
      </c>
    </row>
    <row r="138" customFormat="false" ht="15" hidden="false" customHeight="false" outlineLevel="0" collapsed="false">
      <c r="A138" s="24" t="str">
        <f aca="false">IF(AND(Payroll!$A138&lt;&gt;"",N(Payroll!$R138)&gt;0),"EDR","")</f>
        <v/>
      </c>
      <c r="B138" s="24" t="str">
        <f aca="false">IF($A138="","",Payroll!U138)</f>
        <v/>
      </c>
      <c r="C138" s="24" t="str">
        <f aca="false">IF($A138="","",Payroll!S138)</f>
        <v/>
      </c>
      <c r="D138" s="24" t="str">
        <f aca="false">IF($A138="","",SUBSTITUTE(Payroll!T138," ",""))</f>
        <v/>
      </c>
      <c r="E138" s="24" t="str">
        <f aca="false">IF($A138="","",TEXT(Settings!$B$8,"yyyy-mm-dd"))</f>
        <v/>
      </c>
      <c r="F138" s="24" t="str">
        <f aca="false">IF($A138="","",TEXT(Settings!$B$9,"yyyy-mm-dd"))</f>
        <v/>
      </c>
      <c r="G138" s="24" t="str">
        <f aca="false">IF($A138="","",DAY(Settings!$B$9))</f>
        <v/>
      </c>
      <c r="H138" s="26" t="str">
        <f aca="false">IF($A138="","",ROUND(Payroll!R138-Payroll!L138-Payroll!M138,2))</f>
        <v/>
      </c>
      <c r="I138" s="26" t="str">
        <f aca="false">IF($A138="","",ROUND(Payroll!L138+Payroll!M138,2))</f>
        <v/>
      </c>
      <c r="J138" s="24" t="str">
        <f aca="false">IF($A138="","",0)</f>
        <v/>
      </c>
    </row>
    <row r="139" customFormat="false" ht="15" hidden="false" customHeight="false" outlineLevel="0" collapsed="false">
      <c r="A139" s="24" t="str">
        <f aca="false">IF(AND(Payroll!$A139&lt;&gt;"",N(Payroll!$R139)&gt;0),"EDR","")</f>
        <v/>
      </c>
      <c r="B139" s="24" t="str">
        <f aca="false">IF($A139="","",Payroll!U139)</f>
        <v/>
      </c>
      <c r="C139" s="24" t="str">
        <f aca="false">IF($A139="","",Payroll!S139)</f>
        <v/>
      </c>
      <c r="D139" s="24" t="str">
        <f aca="false">IF($A139="","",SUBSTITUTE(Payroll!T139," ",""))</f>
        <v/>
      </c>
      <c r="E139" s="24" t="str">
        <f aca="false">IF($A139="","",TEXT(Settings!$B$8,"yyyy-mm-dd"))</f>
        <v/>
      </c>
      <c r="F139" s="24" t="str">
        <f aca="false">IF($A139="","",TEXT(Settings!$B$9,"yyyy-mm-dd"))</f>
        <v/>
      </c>
      <c r="G139" s="24" t="str">
        <f aca="false">IF($A139="","",DAY(Settings!$B$9))</f>
        <v/>
      </c>
      <c r="H139" s="26" t="str">
        <f aca="false">IF($A139="","",ROUND(Payroll!R139-Payroll!L139-Payroll!M139,2))</f>
        <v/>
      </c>
      <c r="I139" s="26" t="str">
        <f aca="false">IF($A139="","",ROUND(Payroll!L139+Payroll!M139,2))</f>
        <v/>
      </c>
      <c r="J139" s="24" t="str">
        <f aca="false">IF($A139="","",0)</f>
        <v/>
      </c>
    </row>
    <row r="140" customFormat="false" ht="15" hidden="false" customHeight="false" outlineLevel="0" collapsed="false">
      <c r="A140" s="24" t="str">
        <f aca="false">IF(AND(Payroll!$A140&lt;&gt;"",N(Payroll!$R140)&gt;0),"EDR","")</f>
        <v/>
      </c>
      <c r="B140" s="24" t="str">
        <f aca="false">IF($A140="","",Payroll!U140)</f>
        <v/>
      </c>
      <c r="C140" s="24" t="str">
        <f aca="false">IF($A140="","",Payroll!S140)</f>
        <v/>
      </c>
      <c r="D140" s="24" t="str">
        <f aca="false">IF($A140="","",SUBSTITUTE(Payroll!T140," ",""))</f>
        <v/>
      </c>
      <c r="E140" s="24" t="str">
        <f aca="false">IF($A140="","",TEXT(Settings!$B$8,"yyyy-mm-dd"))</f>
        <v/>
      </c>
      <c r="F140" s="24" t="str">
        <f aca="false">IF($A140="","",TEXT(Settings!$B$9,"yyyy-mm-dd"))</f>
        <v/>
      </c>
      <c r="G140" s="24" t="str">
        <f aca="false">IF($A140="","",DAY(Settings!$B$9))</f>
        <v/>
      </c>
      <c r="H140" s="26" t="str">
        <f aca="false">IF($A140="","",ROUND(Payroll!R140-Payroll!L140-Payroll!M140,2))</f>
        <v/>
      </c>
      <c r="I140" s="26" t="str">
        <f aca="false">IF($A140="","",ROUND(Payroll!L140+Payroll!M140,2))</f>
        <v/>
      </c>
      <c r="J140" s="24" t="str">
        <f aca="false">IF($A140="","",0)</f>
        <v/>
      </c>
    </row>
    <row r="141" customFormat="false" ht="15" hidden="false" customHeight="false" outlineLevel="0" collapsed="false">
      <c r="A141" s="24" t="str">
        <f aca="false">IF(AND(Payroll!$A141&lt;&gt;"",N(Payroll!$R141)&gt;0),"EDR","")</f>
        <v/>
      </c>
      <c r="B141" s="24" t="str">
        <f aca="false">IF($A141="","",Payroll!U141)</f>
        <v/>
      </c>
      <c r="C141" s="24" t="str">
        <f aca="false">IF($A141="","",Payroll!S141)</f>
        <v/>
      </c>
      <c r="D141" s="24" t="str">
        <f aca="false">IF($A141="","",SUBSTITUTE(Payroll!T141," ",""))</f>
        <v/>
      </c>
      <c r="E141" s="24" t="str">
        <f aca="false">IF($A141="","",TEXT(Settings!$B$8,"yyyy-mm-dd"))</f>
        <v/>
      </c>
      <c r="F141" s="24" t="str">
        <f aca="false">IF($A141="","",TEXT(Settings!$B$9,"yyyy-mm-dd"))</f>
        <v/>
      </c>
      <c r="G141" s="24" t="str">
        <f aca="false">IF($A141="","",DAY(Settings!$B$9))</f>
        <v/>
      </c>
      <c r="H141" s="26" t="str">
        <f aca="false">IF($A141="","",ROUND(Payroll!R141-Payroll!L141-Payroll!M141,2))</f>
        <v/>
      </c>
      <c r="I141" s="26" t="str">
        <f aca="false">IF($A141="","",ROUND(Payroll!L141+Payroll!M141,2))</f>
        <v/>
      </c>
      <c r="J141" s="24" t="str">
        <f aca="false">IF($A141="","",0)</f>
        <v/>
      </c>
    </row>
    <row r="142" customFormat="false" ht="15" hidden="false" customHeight="false" outlineLevel="0" collapsed="false">
      <c r="A142" s="24" t="str">
        <f aca="false">IF(AND(Payroll!$A142&lt;&gt;"",N(Payroll!$R142)&gt;0),"EDR","")</f>
        <v/>
      </c>
      <c r="B142" s="24" t="str">
        <f aca="false">IF($A142="","",Payroll!U142)</f>
        <v/>
      </c>
      <c r="C142" s="24" t="str">
        <f aca="false">IF($A142="","",Payroll!S142)</f>
        <v/>
      </c>
      <c r="D142" s="24" t="str">
        <f aca="false">IF($A142="","",SUBSTITUTE(Payroll!T142," ",""))</f>
        <v/>
      </c>
      <c r="E142" s="24" t="str">
        <f aca="false">IF($A142="","",TEXT(Settings!$B$8,"yyyy-mm-dd"))</f>
        <v/>
      </c>
      <c r="F142" s="24" t="str">
        <f aca="false">IF($A142="","",TEXT(Settings!$B$9,"yyyy-mm-dd"))</f>
        <v/>
      </c>
      <c r="G142" s="24" t="str">
        <f aca="false">IF($A142="","",DAY(Settings!$B$9))</f>
        <v/>
      </c>
      <c r="H142" s="26" t="str">
        <f aca="false">IF($A142="","",ROUND(Payroll!R142-Payroll!L142-Payroll!M142,2))</f>
        <v/>
      </c>
      <c r="I142" s="26" t="str">
        <f aca="false">IF($A142="","",ROUND(Payroll!L142+Payroll!M142,2))</f>
        <v/>
      </c>
      <c r="J142" s="24" t="str">
        <f aca="false">IF($A142="","",0)</f>
        <v/>
      </c>
    </row>
    <row r="143" customFormat="false" ht="15" hidden="false" customHeight="false" outlineLevel="0" collapsed="false">
      <c r="A143" s="24" t="str">
        <f aca="false">IF(AND(Payroll!$A143&lt;&gt;"",N(Payroll!$R143)&gt;0),"EDR","")</f>
        <v/>
      </c>
      <c r="B143" s="24" t="str">
        <f aca="false">IF($A143="","",Payroll!U143)</f>
        <v/>
      </c>
      <c r="C143" s="24" t="str">
        <f aca="false">IF($A143="","",Payroll!S143)</f>
        <v/>
      </c>
      <c r="D143" s="24" t="str">
        <f aca="false">IF($A143="","",SUBSTITUTE(Payroll!T143," ",""))</f>
        <v/>
      </c>
      <c r="E143" s="24" t="str">
        <f aca="false">IF($A143="","",TEXT(Settings!$B$8,"yyyy-mm-dd"))</f>
        <v/>
      </c>
      <c r="F143" s="24" t="str">
        <f aca="false">IF($A143="","",TEXT(Settings!$B$9,"yyyy-mm-dd"))</f>
        <v/>
      </c>
      <c r="G143" s="24" t="str">
        <f aca="false">IF($A143="","",DAY(Settings!$B$9))</f>
        <v/>
      </c>
      <c r="H143" s="26" t="str">
        <f aca="false">IF($A143="","",ROUND(Payroll!R143-Payroll!L143-Payroll!M143,2))</f>
        <v/>
      </c>
      <c r="I143" s="26" t="str">
        <f aca="false">IF($A143="","",ROUND(Payroll!L143+Payroll!M143,2))</f>
        <v/>
      </c>
      <c r="J143" s="24" t="str">
        <f aca="false">IF($A143="","",0)</f>
        <v/>
      </c>
    </row>
    <row r="144" customFormat="false" ht="15" hidden="false" customHeight="false" outlineLevel="0" collapsed="false">
      <c r="A144" s="24" t="str">
        <f aca="false">IF(AND(Payroll!$A144&lt;&gt;"",N(Payroll!$R144)&gt;0),"EDR","")</f>
        <v/>
      </c>
      <c r="B144" s="24" t="str">
        <f aca="false">IF($A144="","",Payroll!U144)</f>
        <v/>
      </c>
      <c r="C144" s="24" t="str">
        <f aca="false">IF($A144="","",Payroll!S144)</f>
        <v/>
      </c>
      <c r="D144" s="24" t="str">
        <f aca="false">IF($A144="","",SUBSTITUTE(Payroll!T144," ",""))</f>
        <v/>
      </c>
      <c r="E144" s="24" t="str">
        <f aca="false">IF($A144="","",TEXT(Settings!$B$8,"yyyy-mm-dd"))</f>
        <v/>
      </c>
      <c r="F144" s="24" t="str">
        <f aca="false">IF($A144="","",TEXT(Settings!$B$9,"yyyy-mm-dd"))</f>
        <v/>
      </c>
      <c r="G144" s="24" t="str">
        <f aca="false">IF($A144="","",DAY(Settings!$B$9))</f>
        <v/>
      </c>
      <c r="H144" s="26" t="str">
        <f aca="false">IF($A144="","",ROUND(Payroll!R144-Payroll!L144-Payroll!M144,2))</f>
        <v/>
      </c>
      <c r="I144" s="26" t="str">
        <f aca="false">IF($A144="","",ROUND(Payroll!L144+Payroll!M144,2))</f>
        <v/>
      </c>
      <c r="J144" s="24" t="str">
        <f aca="false">IF($A144="","",0)</f>
        <v/>
      </c>
    </row>
    <row r="145" customFormat="false" ht="15" hidden="false" customHeight="false" outlineLevel="0" collapsed="false">
      <c r="A145" s="24" t="str">
        <f aca="false">IF(AND(Payroll!$A145&lt;&gt;"",N(Payroll!$R145)&gt;0),"EDR","")</f>
        <v/>
      </c>
      <c r="B145" s="24" t="str">
        <f aca="false">IF($A145="","",Payroll!U145)</f>
        <v/>
      </c>
      <c r="C145" s="24" t="str">
        <f aca="false">IF($A145="","",Payroll!S145)</f>
        <v/>
      </c>
      <c r="D145" s="24" t="str">
        <f aca="false">IF($A145="","",SUBSTITUTE(Payroll!T145," ",""))</f>
        <v/>
      </c>
      <c r="E145" s="24" t="str">
        <f aca="false">IF($A145="","",TEXT(Settings!$B$8,"yyyy-mm-dd"))</f>
        <v/>
      </c>
      <c r="F145" s="24" t="str">
        <f aca="false">IF($A145="","",TEXT(Settings!$B$9,"yyyy-mm-dd"))</f>
        <v/>
      </c>
      <c r="G145" s="24" t="str">
        <f aca="false">IF($A145="","",DAY(Settings!$B$9))</f>
        <v/>
      </c>
      <c r="H145" s="26" t="str">
        <f aca="false">IF($A145="","",ROUND(Payroll!R145-Payroll!L145-Payroll!M145,2))</f>
        <v/>
      </c>
      <c r="I145" s="26" t="str">
        <f aca="false">IF($A145="","",ROUND(Payroll!L145+Payroll!M145,2))</f>
        <v/>
      </c>
      <c r="J145" s="24" t="str">
        <f aca="false">IF($A145="","",0)</f>
        <v/>
      </c>
    </row>
    <row r="146" customFormat="false" ht="15" hidden="false" customHeight="false" outlineLevel="0" collapsed="false">
      <c r="A146" s="24" t="str">
        <f aca="false">IF(AND(Payroll!$A146&lt;&gt;"",N(Payroll!$R146)&gt;0),"EDR","")</f>
        <v/>
      </c>
      <c r="B146" s="24" t="str">
        <f aca="false">IF($A146="","",Payroll!U146)</f>
        <v/>
      </c>
      <c r="C146" s="24" t="str">
        <f aca="false">IF($A146="","",Payroll!S146)</f>
        <v/>
      </c>
      <c r="D146" s="24" t="str">
        <f aca="false">IF($A146="","",SUBSTITUTE(Payroll!T146," ",""))</f>
        <v/>
      </c>
      <c r="E146" s="24" t="str">
        <f aca="false">IF($A146="","",TEXT(Settings!$B$8,"yyyy-mm-dd"))</f>
        <v/>
      </c>
      <c r="F146" s="24" t="str">
        <f aca="false">IF($A146="","",TEXT(Settings!$B$9,"yyyy-mm-dd"))</f>
        <v/>
      </c>
      <c r="G146" s="24" t="str">
        <f aca="false">IF($A146="","",DAY(Settings!$B$9))</f>
        <v/>
      </c>
      <c r="H146" s="26" t="str">
        <f aca="false">IF($A146="","",ROUND(Payroll!R146-Payroll!L146-Payroll!M146,2))</f>
        <v/>
      </c>
      <c r="I146" s="26" t="str">
        <f aca="false">IF($A146="","",ROUND(Payroll!L146+Payroll!M146,2))</f>
        <v/>
      </c>
      <c r="J146" s="24" t="str">
        <f aca="false">IF($A146="","",0)</f>
        <v/>
      </c>
    </row>
    <row r="147" customFormat="false" ht="15" hidden="false" customHeight="false" outlineLevel="0" collapsed="false">
      <c r="A147" s="24" t="str">
        <f aca="false">IF(AND(Payroll!$A147&lt;&gt;"",N(Payroll!$R147)&gt;0),"EDR","")</f>
        <v/>
      </c>
      <c r="B147" s="24" t="str">
        <f aca="false">IF($A147="","",Payroll!U147)</f>
        <v/>
      </c>
      <c r="C147" s="24" t="str">
        <f aca="false">IF($A147="","",Payroll!S147)</f>
        <v/>
      </c>
      <c r="D147" s="24" t="str">
        <f aca="false">IF($A147="","",SUBSTITUTE(Payroll!T147," ",""))</f>
        <v/>
      </c>
      <c r="E147" s="24" t="str">
        <f aca="false">IF($A147="","",TEXT(Settings!$B$8,"yyyy-mm-dd"))</f>
        <v/>
      </c>
      <c r="F147" s="24" t="str">
        <f aca="false">IF($A147="","",TEXT(Settings!$B$9,"yyyy-mm-dd"))</f>
        <v/>
      </c>
      <c r="G147" s="24" t="str">
        <f aca="false">IF($A147="","",DAY(Settings!$B$9))</f>
        <v/>
      </c>
      <c r="H147" s="26" t="str">
        <f aca="false">IF($A147="","",ROUND(Payroll!R147-Payroll!L147-Payroll!M147,2))</f>
        <v/>
      </c>
      <c r="I147" s="26" t="str">
        <f aca="false">IF($A147="","",ROUND(Payroll!L147+Payroll!M147,2))</f>
        <v/>
      </c>
      <c r="J147" s="24" t="str">
        <f aca="false">IF($A147="","",0)</f>
        <v/>
      </c>
    </row>
    <row r="148" customFormat="false" ht="15" hidden="false" customHeight="false" outlineLevel="0" collapsed="false">
      <c r="A148" s="24" t="str">
        <f aca="false">IF(AND(Payroll!$A148&lt;&gt;"",N(Payroll!$R148)&gt;0),"EDR","")</f>
        <v/>
      </c>
      <c r="B148" s="24" t="str">
        <f aca="false">IF($A148="","",Payroll!U148)</f>
        <v/>
      </c>
      <c r="C148" s="24" t="str">
        <f aca="false">IF($A148="","",Payroll!S148)</f>
        <v/>
      </c>
      <c r="D148" s="24" t="str">
        <f aca="false">IF($A148="","",SUBSTITUTE(Payroll!T148," ",""))</f>
        <v/>
      </c>
      <c r="E148" s="24" t="str">
        <f aca="false">IF($A148="","",TEXT(Settings!$B$8,"yyyy-mm-dd"))</f>
        <v/>
      </c>
      <c r="F148" s="24" t="str">
        <f aca="false">IF($A148="","",TEXT(Settings!$B$9,"yyyy-mm-dd"))</f>
        <v/>
      </c>
      <c r="G148" s="24" t="str">
        <f aca="false">IF($A148="","",DAY(Settings!$B$9))</f>
        <v/>
      </c>
      <c r="H148" s="26" t="str">
        <f aca="false">IF($A148="","",ROUND(Payroll!R148-Payroll!L148-Payroll!M148,2))</f>
        <v/>
      </c>
      <c r="I148" s="26" t="str">
        <f aca="false">IF($A148="","",ROUND(Payroll!L148+Payroll!M148,2))</f>
        <v/>
      </c>
      <c r="J148" s="24" t="str">
        <f aca="false">IF($A148="","",0)</f>
        <v/>
      </c>
    </row>
    <row r="149" customFormat="false" ht="15" hidden="false" customHeight="false" outlineLevel="0" collapsed="false">
      <c r="A149" s="24" t="str">
        <f aca="false">IF(AND(Payroll!$A149&lt;&gt;"",N(Payroll!$R149)&gt;0),"EDR","")</f>
        <v/>
      </c>
      <c r="B149" s="24" t="str">
        <f aca="false">IF($A149="","",Payroll!U149)</f>
        <v/>
      </c>
      <c r="C149" s="24" t="str">
        <f aca="false">IF($A149="","",Payroll!S149)</f>
        <v/>
      </c>
      <c r="D149" s="24" t="str">
        <f aca="false">IF($A149="","",SUBSTITUTE(Payroll!T149," ",""))</f>
        <v/>
      </c>
      <c r="E149" s="24" t="str">
        <f aca="false">IF($A149="","",TEXT(Settings!$B$8,"yyyy-mm-dd"))</f>
        <v/>
      </c>
      <c r="F149" s="24" t="str">
        <f aca="false">IF($A149="","",TEXT(Settings!$B$9,"yyyy-mm-dd"))</f>
        <v/>
      </c>
      <c r="G149" s="24" t="str">
        <f aca="false">IF($A149="","",DAY(Settings!$B$9))</f>
        <v/>
      </c>
      <c r="H149" s="26" t="str">
        <f aca="false">IF($A149="","",ROUND(Payroll!R149-Payroll!L149-Payroll!M149,2))</f>
        <v/>
      </c>
      <c r="I149" s="26" t="str">
        <f aca="false">IF($A149="","",ROUND(Payroll!L149+Payroll!M149,2))</f>
        <v/>
      </c>
      <c r="J149" s="24" t="str">
        <f aca="false">IF($A149="","",0)</f>
        <v/>
      </c>
    </row>
    <row r="150" customFormat="false" ht="15" hidden="false" customHeight="false" outlineLevel="0" collapsed="false">
      <c r="A150" s="24" t="str">
        <f aca="false">IF(AND(Payroll!$A150&lt;&gt;"",N(Payroll!$R150)&gt;0),"EDR","")</f>
        <v/>
      </c>
      <c r="B150" s="24" t="str">
        <f aca="false">IF($A150="","",Payroll!U150)</f>
        <v/>
      </c>
      <c r="C150" s="24" t="str">
        <f aca="false">IF($A150="","",Payroll!S150)</f>
        <v/>
      </c>
      <c r="D150" s="24" t="str">
        <f aca="false">IF($A150="","",SUBSTITUTE(Payroll!T150," ",""))</f>
        <v/>
      </c>
      <c r="E150" s="24" t="str">
        <f aca="false">IF($A150="","",TEXT(Settings!$B$8,"yyyy-mm-dd"))</f>
        <v/>
      </c>
      <c r="F150" s="24" t="str">
        <f aca="false">IF($A150="","",TEXT(Settings!$B$9,"yyyy-mm-dd"))</f>
        <v/>
      </c>
      <c r="G150" s="24" t="str">
        <f aca="false">IF($A150="","",DAY(Settings!$B$9))</f>
        <v/>
      </c>
      <c r="H150" s="26" t="str">
        <f aca="false">IF($A150="","",ROUND(Payroll!R150-Payroll!L150-Payroll!M150,2))</f>
        <v/>
      </c>
      <c r="I150" s="26" t="str">
        <f aca="false">IF($A150="","",ROUND(Payroll!L150+Payroll!M150,2))</f>
        <v/>
      </c>
      <c r="J150" s="24" t="str">
        <f aca="false">IF($A150="","",0)</f>
        <v/>
      </c>
    </row>
    <row r="151" customFormat="false" ht="15" hidden="false" customHeight="false" outlineLevel="0" collapsed="false">
      <c r="A151" s="24" t="str">
        <f aca="false">IF(AND(Payroll!$A151&lt;&gt;"",N(Payroll!$R151)&gt;0),"EDR","")</f>
        <v/>
      </c>
      <c r="B151" s="24" t="str">
        <f aca="false">IF($A151="","",Payroll!U151)</f>
        <v/>
      </c>
      <c r="C151" s="24" t="str">
        <f aca="false">IF($A151="","",Payroll!S151)</f>
        <v/>
      </c>
      <c r="D151" s="24" t="str">
        <f aca="false">IF($A151="","",SUBSTITUTE(Payroll!T151," ",""))</f>
        <v/>
      </c>
      <c r="E151" s="24" t="str">
        <f aca="false">IF($A151="","",TEXT(Settings!$B$8,"yyyy-mm-dd"))</f>
        <v/>
      </c>
      <c r="F151" s="24" t="str">
        <f aca="false">IF($A151="","",TEXT(Settings!$B$9,"yyyy-mm-dd"))</f>
        <v/>
      </c>
      <c r="G151" s="24" t="str">
        <f aca="false">IF($A151="","",DAY(Settings!$B$9))</f>
        <v/>
      </c>
      <c r="H151" s="26" t="str">
        <f aca="false">IF($A151="","",ROUND(Payroll!R151-Payroll!L151-Payroll!M151,2))</f>
        <v/>
      </c>
      <c r="I151" s="26" t="str">
        <f aca="false">IF($A151="","",ROUND(Payroll!L151+Payroll!M151,2))</f>
        <v/>
      </c>
      <c r="J151" s="24" t="str">
        <f aca="false">IF($A151="","",0)</f>
        <v/>
      </c>
    </row>
    <row r="152" customFormat="false" ht="15" hidden="false" customHeight="false" outlineLevel="0" collapsed="false">
      <c r="A152" s="24" t="str">
        <f aca="false">IF(AND(Payroll!$A152&lt;&gt;"",N(Payroll!$R152)&gt;0),"EDR","")</f>
        <v/>
      </c>
      <c r="B152" s="24" t="str">
        <f aca="false">IF($A152="","",Payroll!U152)</f>
        <v/>
      </c>
      <c r="C152" s="24" t="str">
        <f aca="false">IF($A152="","",Payroll!S152)</f>
        <v/>
      </c>
      <c r="D152" s="24" t="str">
        <f aca="false">IF($A152="","",SUBSTITUTE(Payroll!T152," ",""))</f>
        <v/>
      </c>
      <c r="E152" s="24" t="str">
        <f aca="false">IF($A152="","",TEXT(Settings!$B$8,"yyyy-mm-dd"))</f>
        <v/>
      </c>
      <c r="F152" s="24" t="str">
        <f aca="false">IF($A152="","",TEXT(Settings!$B$9,"yyyy-mm-dd"))</f>
        <v/>
      </c>
      <c r="G152" s="24" t="str">
        <f aca="false">IF($A152="","",DAY(Settings!$B$9))</f>
        <v/>
      </c>
      <c r="H152" s="26" t="str">
        <f aca="false">IF($A152="","",ROUND(Payroll!R152-Payroll!L152-Payroll!M152,2))</f>
        <v/>
      </c>
      <c r="I152" s="26" t="str">
        <f aca="false">IF($A152="","",ROUND(Payroll!L152+Payroll!M152,2))</f>
        <v/>
      </c>
      <c r="J152" s="24" t="str">
        <f aca="false">IF($A152="","",0)</f>
        <v/>
      </c>
    </row>
    <row r="153" customFormat="false" ht="15" hidden="false" customHeight="false" outlineLevel="0" collapsed="false">
      <c r="A153" s="24" t="str">
        <f aca="false">IF(AND(Payroll!$A153&lt;&gt;"",N(Payroll!$R153)&gt;0),"EDR","")</f>
        <v/>
      </c>
      <c r="B153" s="24" t="str">
        <f aca="false">IF($A153="","",Payroll!U153)</f>
        <v/>
      </c>
      <c r="C153" s="24" t="str">
        <f aca="false">IF($A153="","",Payroll!S153)</f>
        <v/>
      </c>
      <c r="D153" s="24" t="str">
        <f aca="false">IF($A153="","",SUBSTITUTE(Payroll!T153," ",""))</f>
        <v/>
      </c>
      <c r="E153" s="24" t="str">
        <f aca="false">IF($A153="","",TEXT(Settings!$B$8,"yyyy-mm-dd"))</f>
        <v/>
      </c>
      <c r="F153" s="24" t="str">
        <f aca="false">IF($A153="","",TEXT(Settings!$B$9,"yyyy-mm-dd"))</f>
        <v/>
      </c>
      <c r="G153" s="24" t="str">
        <f aca="false">IF($A153="","",DAY(Settings!$B$9))</f>
        <v/>
      </c>
      <c r="H153" s="26" t="str">
        <f aca="false">IF($A153="","",ROUND(Payroll!R153-Payroll!L153-Payroll!M153,2))</f>
        <v/>
      </c>
      <c r="I153" s="26" t="str">
        <f aca="false">IF($A153="","",ROUND(Payroll!L153+Payroll!M153,2))</f>
        <v/>
      </c>
      <c r="J153" s="24" t="str">
        <f aca="false">IF($A153="","",0)</f>
        <v/>
      </c>
    </row>
    <row r="154" customFormat="false" ht="15" hidden="false" customHeight="false" outlineLevel="0" collapsed="false">
      <c r="A154" s="24" t="str">
        <f aca="false">IF(AND(Payroll!$A154&lt;&gt;"",N(Payroll!$R154)&gt;0),"EDR","")</f>
        <v/>
      </c>
      <c r="B154" s="24" t="str">
        <f aca="false">IF($A154="","",Payroll!U154)</f>
        <v/>
      </c>
      <c r="C154" s="24" t="str">
        <f aca="false">IF($A154="","",Payroll!S154)</f>
        <v/>
      </c>
      <c r="D154" s="24" t="str">
        <f aca="false">IF($A154="","",SUBSTITUTE(Payroll!T154," ",""))</f>
        <v/>
      </c>
      <c r="E154" s="24" t="str">
        <f aca="false">IF($A154="","",TEXT(Settings!$B$8,"yyyy-mm-dd"))</f>
        <v/>
      </c>
      <c r="F154" s="24" t="str">
        <f aca="false">IF($A154="","",TEXT(Settings!$B$9,"yyyy-mm-dd"))</f>
        <v/>
      </c>
      <c r="G154" s="24" t="str">
        <f aca="false">IF($A154="","",DAY(Settings!$B$9))</f>
        <v/>
      </c>
      <c r="H154" s="26" t="str">
        <f aca="false">IF($A154="","",ROUND(Payroll!R154-Payroll!L154-Payroll!M154,2))</f>
        <v/>
      </c>
      <c r="I154" s="26" t="str">
        <f aca="false">IF($A154="","",ROUND(Payroll!L154+Payroll!M154,2))</f>
        <v/>
      </c>
      <c r="J154" s="24" t="str">
        <f aca="false">IF($A154="","",0)</f>
        <v/>
      </c>
    </row>
    <row r="155" customFormat="false" ht="15" hidden="false" customHeight="false" outlineLevel="0" collapsed="false">
      <c r="A155" s="24" t="str">
        <f aca="false">IF(AND(Payroll!$A155&lt;&gt;"",N(Payroll!$R155)&gt;0),"EDR","")</f>
        <v/>
      </c>
      <c r="B155" s="24" t="str">
        <f aca="false">IF($A155="","",Payroll!U155)</f>
        <v/>
      </c>
      <c r="C155" s="24" t="str">
        <f aca="false">IF($A155="","",Payroll!S155)</f>
        <v/>
      </c>
      <c r="D155" s="24" t="str">
        <f aca="false">IF($A155="","",SUBSTITUTE(Payroll!T155," ",""))</f>
        <v/>
      </c>
      <c r="E155" s="24" t="str">
        <f aca="false">IF($A155="","",TEXT(Settings!$B$8,"yyyy-mm-dd"))</f>
        <v/>
      </c>
      <c r="F155" s="24" t="str">
        <f aca="false">IF($A155="","",TEXT(Settings!$B$9,"yyyy-mm-dd"))</f>
        <v/>
      </c>
      <c r="G155" s="24" t="str">
        <f aca="false">IF($A155="","",DAY(Settings!$B$9))</f>
        <v/>
      </c>
      <c r="H155" s="26" t="str">
        <f aca="false">IF($A155="","",ROUND(Payroll!R155-Payroll!L155-Payroll!M155,2))</f>
        <v/>
      </c>
      <c r="I155" s="26" t="str">
        <f aca="false">IF($A155="","",ROUND(Payroll!L155+Payroll!M155,2))</f>
        <v/>
      </c>
      <c r="J155" s="24" t="str">
        <f aca="false">IF($A155="","",0)</f>
        <v/>
      </c>
    </row>
    <row r="156" customFormat="false" ht="15" hidden="false" customHeight="false" outlineLevel="0" collapsed="false">
      <c r="A156" s="24" t="str">
        <f aca="false">IF(AND(Payroll!$A156&lt;&gt;"",N(Payroll!$R156)&gt;0),"EDR","")</f>
        <v/>
      </c>
      <c r="B156" s="24" t="str">
        <f aca="false">IF($A156="","",Payroll!U156)</f>
        <v/>
      </c>
      <c r="C156" s="24" t="str">
        <f aca="false">IF($A156="","",Payroll!S156)</f>
        <v/>
      </c>
      <c r="D156" s="24" t="str">
        <f aca="false">IF($A156="","",SUBSTITUTE(Payroll!T156," ",""))</f>
        <v/>
      </c>
      <c r="E156" s="24" t="str">
        <f aca="false">IF($A156="","",TEXT(Settings!$B$8,"yyyy-mm-dd"))</f>
        <v/>
      </c>
      <c r="F156" s="24" t="str">
        <f aca="false">IF($A156="","",TEXT(Settings!$B$9,"yyyy-mm-dd"))</f>
        <v/>
      </c>
      <c r="G156" s="24" t="str">
        <f aca="false">IF($A156="","",DAY(Settings!$B$9))</f>
        <v/>
      </c>
      <c r="H156" s="26" t="str">
        <f aca="false">IF($A156="","",ROUND(Payroll!R156-Payroll!L156-Payroll!M156,2))</f>
        <v/>
      </c>
      <c r="I156" s="26" t="str">
        <f aca="false">IF($A156="","",ROUND(Payroll!L156+Payroll!M156,2))</f>
        <v/>
      </c>
      <c r="J156" s="24" t="str">
        <f aca="false">IF($A156="","",0)</f>
        <v/>
      </c>
    </row>
    <row r="157" customFormat="false" ht="15" hidden="false" customHeight="false" outlineLevel="0" collapsed="false">
      <c r="A157" s="24" t="str">
        <f aca="false">IF(AND(Payroll!$A157&lt;&gt;"",N(Payroll!$R157)&gt;0),"EDR","")</f>
        <v/>
      </c>
      <c r="B157" s="24" t="str">
        <f aca="false">IF($A157="","",Payroll!U157)</f>
        <v/>
      </c>
      <c r="C157" s="24" t="str">
        <f aca="false">IF($A157="","",Payroll!S157)</f>
        <v/>
      </c>
      <c r="D157" s="24" t="str">
        <f aca="false">IF($A157="","",SUBSTITUTE(Payroll!T157," ",""))</f>
        <v/>
      </c>
      <c r="E157" s="24" t="str">
        <f aca="false">IF($A157="","",TEXT(Settings!$B$8,"yyyy-mm-dd"))</f>
        <v/>
      </c>
      <c r="F157" s="24" t="str">
        <f aca="false">IF($A157="","",TEXT(Settings!$B$9,"yyyy-mm-dd"))</f>
        <v/>
      </c>
      <c r="G157" s="24" t="str">
        <f aca="false">IF($A157="","",DAY(Settings!$B$9))</f>
        <v/>
      </c>
      <c r="H157" s="26" t="str">
        <f aca="false">IF($A157="","",ROUND(Payroll!R157-Payroll!L157-Payroll!M157,2))</f>
        <v/>
      </c>
      <c r="I157" s="26" t="str">
        <f aca="false">IF($A157="","",ROUND(Payroll!L157+Payroll!M157,2))</f>
        <v/>
      </c>
      <c r="J157" s="24" t="str">
        <f aca="false">IF($A157="","",0)</f>
        <v/>
      </c>
    </row>
    <row r="158" customFormat="false" ht="15" hidden="false" customHeight="false" outlineLevel="0" collapsed="false">
      <c r="A158" s="24" t="str">
        <f aca="false">IF(AND(Payroll!$A158&lt;&gt;"",N(Payroll!$R158)&gt;0),"EDR","")</f>
        <v/>
      </c>
      <c r="B158" s="24" t="str">
        <f aca="false">IF($A158="","",Payroll!U158)</f>
        <v/>
      </c>
      <c r="C158" s="24" t="str">
        <f aca="false">IF($A158="","",Payroll!S158)</f>
        <v/>
      </c>
      <c r="D158" s="24" t="str">
        <f aca="false">IF($A158="","",SUBSTITUTE(Payroll!T158," ",""))</f>
        <v/>
      </c>
      <c r="E158" s="24" t="str">
        <f aca="false">IF($A158="","",TEXT(Settings!$B$8,"yyyy-mm-dd"))</f>
        <v/>
      </c>
      <c r="F158" s="24" t="str">
        <f aca="false">IF($A158="","",TEXT(Settings!$B$9,"yyyy-mm-dd"))</f>
        <v/>
      </c>
      <c r="G158" s="24" t="str">
        <f aca="false">IF($A158="","",DAY(Settings!$B$9))</f>
        <v/>
      </c>
      <c r="H158" s="26" t="str">
        <f aca="false">IF($A158="","",ROUND(Payroll!R158-Payroll!L158-Payroll!M158,2))</f>
        <v/>
      </c>
      <c r="I158" s="26" t="str">
        <f aca="false">IF($A158="","",ROUND(Payroll!L158+Payroll!M158,2))</f>
        <v/>
      </c>
      <c r="J158" s="24" t="str">
        <f aca="false">IF($A158="","",0)</f>
        <v/>
      </c>
    </row>
    <row r="159" customFormat="false" ht="15" hidden="false" customHeight="false" outlineLevel="0" collapsed="false">
      <c r="A159" s="24" t="str">
        <f aca="false">IF(AND(Payroll!$A159&lt;&gt;"",N(Payroll!$R159)&gt;0),"EDR","")</f>
        <v/>
      </c>
      <c r="B159" s="24" t="str">
        <f aca="false">IF($A159="","",Payroll!U159)</f>
        <v/>
      </c>
      <c r="C159" s="24" t="str">
        <f aca="false">IF($A159="","",Payroll!S159)</f>
        <v/>
      </c>
      <c r="D159" s="24" t="str">
        <f aca="false">IF($A159="","",SUBSTITUTE(Payroll!T159," ",""))</f>
        <v/>
      </c>
      <c r="E159" s="24" t="str">
        <f aca="false">IF($A159="","",TEXT(Settings!$B$8,"yyyy-mm-dd"))</f>
        <v/>
      </c>
      <c r="F159" s="24" t="str">
        <f aca="false">IF($A159="","",TEXT(Settings!$B$9,"yyyy-mm-dd"))</f>
        <v/>
      </c>
      <c r="G159" s="24" t="str">
        <f aca="false">IF($A159="","",DAY(Settings!$B$9))</f>
        <v/>
      </c>
      <c r="H159" s="26" t="str">
        <f aca="false">IF($A159="","",ROUND(Payroll!R159-Payroll!L159-Payroll!M159,2))</f>
        <v/>
      </c>
      <c r="I159" s="26" t="str">
        <f aca="false">IF($A159="","",ROUND(Payroll!L159+Payroll!M159,2))</f>
        <v/>
      </c>
      <c r="J159" s="24" t="str">
        <f aca="false">IF($A159="","",0)</f>
        <v/>
      </c>
    </row>
    <row r="160" customFormat="false" ht="15" hidden="false" customHeight="false" outlineLevel="0" collapsed="false">
      <c r="A160" s="24" t="str">
        <f aca="false">IF(AND(Payroll!$A160&lt;&gt;"",N(Payroll!$R160)&gt;0),"EDR","")</f>
        <v/>
      </c>
      <c r="B160" s="24" t="str">
        <f aca="false">IF($A160="","",Payroll!U160)</f>
        <v/>
      </c>
      <c r="C160" s="24" t="str">
        <f aca="false">IF($A160="","",Payroll!S160)</f>
        <v/>
      </c>
      <c r="D160" s="24" t="str">
        <f aca="false">IF($A160="","",SUBSTITUTE(Payroll!T160," ",""))</f>
        <v/>
      </c>
      <c r="E160" s="24" t="str">
        <f aca="false">IF($A160="","",TEXT(Settings!$B$8,"yyyy-mm-dd"))</f>
        <v/>
      </c>
      <c r="F160" s="24" t="str">
        <f aca="false">IF($A160="","",TEXT(Settings!$B$9,"yyyy-mm-dd"))</f>
        <v/>
      </c>
      <c r="G160" s="24" t="str">
        <f aca="false">IF($A160="","",DAY(Settings!$B$9))</f>
        <v/>
      </c>
      <c r="H160" s="26" t="str">
        <f aca="false">IF($A160="","",ROUND(Payroll!R160-Payroll!L160-Payroll!M160,2))</f>
        <v/>
      </c>
      <c r="I160" s="26" t="str">
        <f aca="false">IF($A160="","",ROUND(Payroll!L160+Payroll!M160,2))</f>
        <v/>
      </c>
      <c r="J160" s="24" t="str">
        <f aca="false">IF($A160="","",0)</f>
        <v/>
      </c>
    </row>
    <row r="161" customFormat="false" ht="15" hidden="false" customHeight="false" outlineLevel="0" collapsed="false">
      <c r="A161" s="24" t="str">
        <f aca="false">IF(AND(Payroll!$A161&lt;&gt;"",N(Payroll!$R161)&gt;0),"EDR","")</f>
        <v/>
      </c>
      <c r="B161" s="24" t="str">
        <f aca="false">IF($A161="","",Payroll!U161)</f>
        <v/>
      </c>
      <c r="C161" s="24" t="str">
        <f aca="false">IF($A161="","",Payroll!S161)</f>
        <v/>
      </c>
      <c r="D161" s="24" t="str">
        <f aca="false">IF($A161="","",SUBSTITUTE(Payroll!T161," ",""))</f>
        <v/>
      </c>
      <c r="E161" s="24" t="str">
        <f aca="false">IF($A161="","",TEXT(Settings!$B$8,"yyyy-mm-dd"))</f>
        <v/>
      </c>
      <c r="F161" s="24" t="str">
        <f aca="false">IF($A161="","",TEXT(Settings!$B$9,"yyyy-mm-dd"))</f>
        <v/>
      </c>
      <c r="G161" s="24" t="str">
        <f aca="false">IF($A161="","",DAY(Settings!$B$9))</f>
        <v/>
      </c>
      <c r="H161" s="26" t="str">
        <f aca="false">IF($A161="","",ROUND(Payroll!R161-Payroll!L161-Payroll!M161,2))</f>
        <v/>
      </c>
      <c r="I161" s="26" t="str">
        <f aca="false">IF($A161="","",ROUND(Payroll!L161+Payroll!M161,2))</f>
        <v/>
      </c>
      <c r="J161" s="24" t="str">
        <f aca="false">IF($A161="","",0)</f>
        <v/>
      </c>
    </row>
    <row r="162" customFormat="false" ht="15" hidden="false" customHeight="false" outlineLevel="0" collapsed="false">
      <c r="A162" s="24" t="str">
        <f aca="false">IF(AND(Payroll!$A162&lt;&gt;"",N(Payroll!$R162)&gt;0),"EDR","")</f>
        <v/>
      </c>
      <c r="B162" s="24" t="str">
        <f aca="false">IF($A162="","",Payroll!U162)</f>
        <v/>
      </c>
      <c r="C162" s="24" t="str">
        <f aca="false">IF($A162="","",Payroll!S162)</f>
        <v/>
      </c>
      <c r="D162" s="24" t="str">
        <f aca="false">IF($A162="","",SUBSTITUTE(Payroll!T162," ",""))</f>
        <v/>
      </c>
      <c r="E162" s="24" t="str">
        <f aca="false">IF($A162="","",TEXT(Settings!$B$8,"yyyy-mm-dd"))</f>
        <v/>
      </c>
      <c r="F162" s="24" t="str">
        <f aca="false">IF($A162="","",TEXT(Settings!$B$9,"yyyy-mm-dd"))</f>
        <v/>
      </c>
      <c r="G162" s="24" t="str">
        <f aca="false">IF($A162="","",DAY(Settings!$B$9))</f>
        <v/>
      </c>
      <c r="H162" s="26" t="str">
        <f aca="false">IF($A162="","",ROUND(Payroll!R162-Payroll!L162-Payroll!M162,2))</f>
        <v/>
      </c>
      <c r="I162" s="26" t="str">
        <f aca="false">IF($A162="","",ROUND(Payroll!L162+Payroll!M162,2))</f>
        <v/>
      </c>
      <c r="J162" s="24" t="str">
        <f aca="false">IF($A162="","",0)</f>
        <v/>
      </c>
    </row>
    <row r="163" customFormat="false" ht="15" hidden="false" customHeight="false" outlineLevel="0" collapsed="false">
      <c r="A163" s="24" t="str">
        <f aca="false">IF(AND(Payroll!$A163&lt;&gt;"",N(Payroll!$R163)&gt;0),"EDR","")</f>
        <v/>
      </c>
      <c r="B163" s="24" t="str">
        <f aca="false">IF($A163="","",Payroll!U163)</f>
        <v/>
      </c>
      <c r="C163" s="24" t="str">
        <f aca="false">IF($A163="","",Payroll!S163)</f>
        <v/>
      </c>
      <c r="D163" s="24" t="str">
        <f aca="false">IF($A163="","",SUBSTITUTE(Payroll!T163," ",""))</f>
        <v/>
      </c>
      <c r="E163" s="24" t="str">
        <f aca="false">IF($A163="","",TEXT(Settings!$B$8,"yyyy-mm-dd"))</f>
        <v/>
      </c>
      <c r="F163" s="24" t="str">
        <f aca="false">IF($A163="","",TEXT(Settings!$B$9,"yyyy-mm-dd"))</f>
        <v/>
      </c>
      <c r="G163" s="24" t="str">
        <f aca="false">IF($A163="","",DAY(Settings!$B$9))</f>
        <v/>
      </c>
      <c r="H163" s="26" t="str">
        <f aca="false">IF($A163="","",ROUND(Payroll!R163-Payroll!L163-Payroll!M163,2))</f>
        <v/>
      </c>
      <c r="I163" s="26" t="str">
        <f aca="false">IF($A163="","",ROUND(Payroll!L163+Payroll!M163,2))</f>
        <v/>
      </c>
      <c r="J163" s="24" t="str">
        <f aca="false">IF($A163="","",0)</f>
        <v/>
      </c>
    </row>
    <row r="164" customFormat="false" ht="15" hidden="false" customHeight="false" outlineLevel="0" collapsed="false">
      <c r="A164" s="24" t="str">
        <f aca="false">IF(AND(Payroll!$A164&lt;&gt;"",N(Payroll!$R164)&gt;0),"EDR","")</f>
        <v/>
      </c>
      <c r="B164" s="24" t="str">
        <f aca="false">IF($A164="","",Payroll!U164)</f>
        <v/>
      </c>
      <c r="C164" s="24" t="str">
        <f aca="false">IF($A164="","",Payroll!S164)</f>
        <v/>
      </c>
      <c r="D164" s="24" t="str">
        <f aca="false">IF($A164="","",SUBSTITUTE(Payroll!T164," ",""))</f>
        <v/>
      </c>
      <c r="E164" s="24" t="str">
        <f aca="false">IF($A164="","",TEXT(Settings!$B$8,"yyyy-mm-dd"))</f>
        <v/>
      </c>
      <c r="F164" s="24" t="str">
        <f aca="false">IF($A164="","",TEXT(Settings!$B$9,"yyyy-mm-dd"))</f>
        <v/>
      </c>
      <c r="G164" s="24" t="str">
        <f aca="false">IF($A164="","",DAY(Settings!$B$9))</f>
        <v/>
      </c>
      <c r="H164" s="26" t="str">
        <f aca="false">IF($A164="","",ROUND(Payroll!R164-Payroll!L164-Payroll!M164,2))</f>
        <v/>
      </c>
      <c r="I164" s="26" t="str">
        <f aca="false">IF($A164="","",ROUND(Payroll!L164+Payroll!M164,2))</f>
        <v/>
      </c>
      <c r="J164" s="24" t="str">
        <f aca="false">IF($A164="","",0)</f>
        <v/>
      </c>
    </row>
    <row r="165" customFormat="false" ht="15" hidden="false" customHeight="false" outlineLevel="0" collapsed="false">
      <c r="A165" s="24" t="str">
        <f aca="false">IF(AND(Payroll!$A165&lt;&gt;"",N(Payroll!$R165)&gt;0),"EDR","")</f>
        <v/>
      </c>
      <c r="B165" s="24" t="str">
        <f aca="false">IF($A165="","",Payroll!U165)</f>
        <v/>
      </c>
      <c r="C165" s="24" t="str">
        <f aca="false">IF($A165="","",Payroll!S165)</f>
        <v/>
      </c>
      <c r="D165" s="24" t="str">
        <f aca="false">IF($A165="","",SUBSTITUTE(Payroll!T165," ",""))</f>
        <v/>
      </c>
      <c r="E165" s="24" t="str">
        <f aca="false">IF($A165="","",TEXT(Settings!$B$8,"yyyy-mm-dd"))</f>
        <v/>
      </c>
      <c r="F165" s="24" t="str">
        <f aca="false">IF($A165="","",TEXT(Settings!$B$9,"yyyy-mm-dd"))</f>
        <v/>
      </c>
      <c r="G165" s="24" t="str">
        <f aca="false">IF($A165="","",DAY(Settings!$B$9))</f>
        <v/>
      </c>
      <c r="H165" s="26" t="str">
        <f aca="false">IF($A165="","",ROUND(Payroll!R165-Payroll!L165-Payroll!M165,2))</f>
        <v/>
      </c>
      <c r="I165" s="26" t="str">
        <f aca="false">IF($A165="","",ROUND(Payroll!L165+Payroll!M165,2))</f>
        <v/>
      </c>
      <c r="J165" s="24" t="str">
        <f aca="false">IF($A165="","",0)</f>
        <v/>
      </c>
    </row>
    <row r="166" customFormat="false" ht="15" hidden="false" customHeight="false" outlineLevel="0" collapsed="false">
      <c r="A166" s="24" t="str">
        <f aca="false">IF(AND(Payroll!$A166&lt;&gt;"",N(Payroll!$R166)&gt;0),"EDR","")</f>
        <v/>
      </c>
      <c r="B166" s="24" t="str">
        <f aca="false">IF($A166="","",Payroll!U166)</f>
        <v/>
      </c>
      <c r="C166" s="24" t="str">
        <f aca="false">IF($A166="","",Payroll!S166)</f>
        <v/>
      </c>
      <c r="D166" s="24" t="str">
        <f aca="false">IF($A166="","",SUBSTITUTE(Payroll!T166," ",""))</f>
        <v/>
      </c>
      <c r="E166" s="24" t="str">
        <f aca="false">IF($A166="","",TEXT(Settings!$B$8,"yyyy-mm-dd"))</f>
        <v/>
      </c>
      <c r="F166" s="24" t="str">
        <f aca="false">IF($A166="","",TEXT(Settings!$B$9,"yyyy-mm-dd"))</f>
        <v/>
      </c>
      <c r="G166" s="24" t="str">
        <f aca="false">IF($A166="","",DAY(Settings!$B$9))</f>
        <v/>
      </c>
      <c r="H166" s="26" t="str">
        <f aca="false">IF($A166="","",ROUND(Payroll!R166-Payroll!L166-Payroll!M166,2))</f>
        <v/>
      </c>
      <c r="I166" s="26" t="str">
        <f aca="false">IF($A166="","",ROUND(Payroll!L166+Payroll!M166,2))</f>
        <v/>
      </c>
      <c r="J166" s="24" t="str">
        <f aca="false">IF($A166="","",0)</f>
        <v/>
      </c>
    </row>
    <row r="167" customFormat="false" ht="15" hidden="false" customHeight="false" outlineLevel="0" collapsed="false">
      <c r="A167" s="24" t="str">
        <f aca="false">IF(AND(Payroll!$A167&lt;&gt;"",N(Payroll!$R167)&gt;0),"EDR","")</f>
        <v/>
      </c>
      <c r="B167" s="24" t="str">
        <f aca="false">IF($A167="","",Payroll!U167)</f>
        <v/>
      </c>
      <c r="C167" s="24" t="str">
        <f aca="false">IF($A167="","",Payroll!S167)</f>
        <v/>
      </c>
      <c r="D167" s="24" t="str">
        <f aca="false">IF($A167="","",SUBSTITUTE(Payroll!T167," ",""))</f>
        <v/>
      </c>
      <c r="E167" s="24" t="str">
        <f aca="false">IF($A167="","",TEXT(Settings!$B$8,"yyyy-mm-dd"))</f>
        <v/>
      </c>
      <c r="F167" s="24" t="str">
        <f aca="false">IF($A167="","",TEXT(Settings!$B$9,"yyyy-mm-dd"))</f>
        <v/>
      </c>
      <c r="G167" s="24" t="str">
        <f aca="false">IF($A167="","",DAY(Settings!$B$9))</f>
        <v/>
      </c>
      <c r="H167" s="26" t="str">
        <f aca="false">IF($A167="","",ROUND(Payroll!R167-Payroll!L167-Payroll!M167,2))</f>
        <v/>
      </c>
      <c r="I167" s="26" t="str">
        <f aca="false">IF($A167="","",ROUND(Payroll!L167+Payroll!M167,2))</f>
        <v/>
      </c>
      <c r="J167" s="24" t="str">
        <f aca="false">IF($A167="","",0)</f>
        <v/>
      </c>
    </row>
    <row r="168" customFormat="false" ht="15" hidden="false" customHeight="false" outlineLevel="0" collapsed="false">
      <c r="A168" s="24" t="str">
        <f aca="false">IF(AND(Payroll!$A168&lt;&gt;"",N(Payroll!$R168)&gt;0),"EDR","")</f>
        <v/>
      </c>
      <c r="B168" s="24" t="str">
        <f aca="false">IF($A168="","",Payroll!U168)</f>
        <v/>
      </c>
      <c r="C168" s="24" t="str">
        <f aca="false">IF($A168="","",Payroll!S168)</f>
        <v/>
      </c>
      <c r="D168" s="24" t="str">
        <f aca="false">IF($A168="","",SUBSTITUTE(Payroll!T168," ",""))</f>
        <v/>
      </c>
      <c r="E168" s="24" t="str">
        <f aca="false">IF($A168="","",TEXT(Settings!$B$8,"yyyy-mm-dd"))</f>
        <v/>
      </c>
      <c r="F168" s="24" t="str">
        <f aca="false">IF($A168="","",TEXT(Settings!$B$9,"yyyy-mm-dd"))</f>
        <v/>
      </c>
      <c r="G168" s="24" t="str">
        <f aca="false">IF($A168="","",DAY(Settings!$B$9))</f>
        <v/>
      </c>
      <c r="H168" s="26" t="str">
        <f aca="false">IF($A168="","",ROUND(Payroll!R168-Payroll!L168-Payroll!M168,2))</f>
        <v/>
      </c>
      <c r="I168" s="26" t="str">
        <f aca="false">IF($A168="","",ROUND(Payroll!L168+Payroll!M168,2))</f>
        <v/>
      </c>
      <c r="J168" s="24" t="str">
        <f aca="false">IF($A168="","",0)</f>
        <v/>
      </c>
    </row>
    <row r="169" customFormat="false" ht="15" hidden="false" customHeight="false" outlineLevel="0" collapsed="false">
      <c r="A169" s="24" t="str">
        <f aca="false">IF(AND(Payroll!$A169&lt;&gt;"",N(Payroll!$R169)&gt;0),"EDR","")</f>
        <v/>
      </c>
      <c r="B169" s="24" t="str">
        <f aca="false">IF($A169="","",Payroll!U169)</f>
        <v/>
      </c>
      <c r="C169" s="24" t="str">
        <f aca="false">IF($A169="","",Payroll!S169)</f>
        <v/>
      </c>
      <c r="D169" s="24" t="str">
        <f aca="false">IF($A169="","",SUBSTITUTE(Payroll!T169," ",""))</f>
        <v/>
      </c>
      <c r="E169" s="24" t="str">
        <f aca="false">IF($A169="","",TEXT(Settings!$B$8,"yyyy-mm-dd"))</f>
        <v/>
      </c>
      <c r="F169" s="24" t="str">
        <f aca="false">IF($A169="","",TEXT(Settings!$B$9,"yyyy-mm-dd"))</f>
        <v/>
      </c>
      <c r="G169" s="24" t="str">
        <f aca="false">IF($A169="","",DAY(Settings!$B$9))</f>
        <v/>
      </c>
      <c r="H169" s="26" t="str">
        <f aca="false">IF($A169="","",ROUND(Payroll!R169-Payroll!L169-Payroll!M169,2))</f>
        <v/>
      </c>
      <c r="I169" s="26" t="str">
        <f aca="false">IF($A169="","",ROUND(Payroll!L169+Payroll!M169,2))</f>
        <v/>
      </c>
      <c r="J169" s="24" t="str">
        <f aca="false">IF($A169="","",0)</f>
        <v/>
      </c>
    </row>
    <row r="170" customFormat="false" ht="15" hidden="false" customHeight="false" outlineLevel="0" collapsed="false">
      <c r="A170" s="24" t="str">
        <f aca="false">IF(AND(Payroll!$A170&lt;&gt;"",N(Payroll!$R170)&gt;0),"EDR","")</f>
        <v/>
      </c>
      <c r="B170" s="24" t="str">
        <f aca="false">IF($A170="","",Payroll!U170)</f>
        <v/>
      </c>
      <c r="C170" s="24" t="str">
        <f aca="false">IF($A170="","",Payroll!S170)</f>
        <v/>
      </c>
      <c r="D170" s="24" t="str">
        <f aca="false">IF($A170="","",SUBSTITUTE(Payroll!T170," ",""))</f>
        <v/>
      </c>
      <c r="E170" s="24" t="str">
        <f aca="false">IF($A170="","",TEXT(Settings!$B$8,"yyyy-mm-dd"))</f>
        <v/>
      </c>
      <c r="F170" s="24" t="str">
        <f aca="false">IF($A170="","",TEXT(Settings!$B$9,"yyyy-mm-dd"))</f>
        <v/>
      </c>
      <c r="G170" s="24" t="str">
        <f aca="false">IF($A170="","",DAY(Settings!$B$9))</f>
        <v/>
      </c>
      <c r="H170" s="26" t="str">
        <f aca="false">IF($A170="","",ROUND(Payroll!R170-Payroll!L170-Payroll!M170,2))</f>
        <v/>
      </c>
      <c r="I170" s="26" t="str">
        <f aca="false">IF($A170="","",ROUND(Payroll!L170+Payroll!M170,2))</f>
        <v/>
      </c>
      <c r="J170" s="24" t="str">
        <f aca="false">IF($A170="","",0)</f>
        <v/>
      </c>
    </row>
    <row r="171" customFormat="false" ht="15" hidden="false" customHeight="false" outlineLevel="0" collapsed="false">
      <c r="A171" s="24" t="str">
        <f aca="false">IF(AND(Payroll!$A171&lt;&gt;"",N(Payroll!$R171)&gt;0),"EDR","")</f>
        <v/>
      </c>
      <c r="B171" s="24" t="str">
        <f aca="false">IF($A171="","",Payroll!U171)</f>
        <v/>
      </c>
      <c r="C171" s="24" t="str">
        <f aca="false">IF($A171="","",Payroll!S171)</f>
        <v/>
      </c>
      <c r="D171" s="24" t="str">
        <f aca="false">IF($A171="","",SUBSTITUTE(Payroll!T171," ",""))</f>
        <v/>
      </c>
      <c r="E171" s="24" t="str">
        <f aca="false">IF($A171="","",TEXT(Settings!$B$8,"yyyy-mm-dd"))</f>
        <v/>
      </c>
      <c r="F171" s="24" t="str">
        <f aca="false">IF($A171="","",TEXT(Settings!$B$9,"yyyy-mm-dd"))</f>
        <v/>
      </c>
      <c r="G171" s="24" t="str">
        <f aca="false">IF($A171="","",DAY(Settings!$B$9))</f>
        <v/>
      </c>
      <c r="H171" s="26" t="str">
        <f aca="false">IF($A171="","",ROUND(Payroll!R171-Payroll!L171-Payroll!M171,2))</f>
        <v/>
      </c>
      <c r="I171" s="26" t="str">
        <f aca="false">IF($A171="","",ROUND(Payroll!L171+Payroll!M171,2))</f>
        <v/>
      </c>
      <c r="J171" s="24" t="str">
        <f aca="false">IF($A171="","",0)</f>
        <v/>
      </c>
    </row>
    <row r="172" customFormat="false" ht="15" hidden="false" customHeight="false" outlineLevel="0" collapsed="false">
      <c r="A172" s="24" t="str">
        <f aca="false">IF(AND(Payroll!$A172&lt;&gt;"",N(Payroll!$R172)&gt;0),"EDR","")</f>
        <v/>
      </c>
      <c r="B172" s="24" t="str">
        <f aca="false">IF($A172="","",Payroll!U172)</f>
        <v/>
      </c>
      <c r="C172" s="24" t="str">
        <f aca="false">IF($A172="","",Payroll!S172)</f>
        <v/>
      </c>
      <c r="D172" s="24" t="str">
        <f aca="false">IF($A172="","",SUBSTITUTE(Payroll!T172," ",""))</f>
        <v/>
      </c>
      <c r="E172" s="24" t="str">
        <f aca="false">IF($A172="","",TEXT(Settings!$B$8,"yyyy-mm-dd"))</f>
        <v/>
      </c>
      <c r="F172" s="24" t="str">
        <f aca="false">IF($A172="","",TEXT(Settings!$B$9,"yyyy-mm-dd"))</f>
        <v/>
      </c>
      <c r="G172" s="24" t="str">
        <f aca="false">IF($A172="","",DAY(Settings!$B$9))</f>
        <v/>
      </c>
      <c r="H172" s="26" t="str">
        <f aca="false">IF($A172="","",ROUND(Payroll!R172-Payroll!L172-Payroll!M172,2))</f>
        <v/>
      </c>
      <c r="I172" s="26" t="str">
        <f aca="false">IF($A172="","",ROUND(Payroll!L172+Payroll!M172,2))</f>
        <v/>
      </c>
      <c r="J172" s="24" t="str">
        <f aca="false">IF($A172="","",0)</f>
        <v/>
      </c>
    </row>
    <row r="173" customFormat="false" ht="15" hidden="false" customHeight="false" outlineLevel="0" collapsed="false">
      <c r="A173" s="24" t="str">
        <f aca="false">IF(AND(Payroll!$A173&lt;&gt;"",N(Payroll!$R173)&gt;0),"EDR","")</f>
        <v/>
      </c>
      <c r="B173" s="24" t="str">
        <f aca="false">IF($A173="","",Payroll!U173)</f>
        <v/>
      </c>
      <c r="C173" s="24" t="str">
        <f aca="false">IF($A173="","",Payroll!S173)</f>
        <v/>
      </c>
      <c r="D173" s="24" t="str">
        <f aca="false">IF($A173="","",SUBSTITUTE(Payroll!T173," ",""))</f>
        <v/>
      </c>
      <c r="E173" s="24" t="str">
        <f aca="false">IF($A173="","",TEXT(Settings!$B$8,"yyyy-mm-dd"))</f>
        <v/>
      </c>
      <c r="F173" s="24" t="str">
        <f aca="false">IF($A173="","",TEXT(Settings!$B$9,"yyyy-mm-dd"))</f>
        <v/>
      </c>
      <c r="G173" s="24" t="str">
        <f aca="false">IF($A173="","",DAY(Settings!$B$9))</f>
        <v/>
      </c>
      <c r="H173" s="26" t="str">
        <f aca="false">IF($A173="","",ROUND(Payroll!R173-Payroll!L173-Payroll!M173,2))</f>
        <v/>
      </c>
      <c r="I173" s="26" t="str">
        <f aca="false">IF($A173="","",ROUND(Payroll!L173+Payroll!M173,2))</f>
        <v/>
      </c>
      <c r="J173" s="24" t="str">
        <f aca="false">IF($A173="","",0)</f>
        <v/>
      </c>
    </row>
    <row r="174" customFormat="false" ht="15" hidden="false" customHeight="false" outlineLevel="0" collapsed="false">
      <c r="A174" s="24" t="str">
        <f aca="false">IF(AND(Payroll!$A174&lt;&gt;"",N(Payroll!$R174)&gt;0),"EDR","")</f>
        <v/>
      </c>
      <c r="B174" s="24" t="str">
        <f aca="false">IF($A174="","",Payroll!U174)</f>
        <v/>
      </c>
      <c r="C174" s="24" t="str">
        <f aca="false">IF($A174="","",Payroll!S174)</f>
        <v/>
      </c>
      <c r="D174" s="24" t="str">
        <f aca="false">IF($A174="","",SUBSTITUTE(Payroll!T174," ",""))</f>
        <v/>
      </c>
      <c r="E174" s="24" t="str">
        <f aca="false">IF($A174="","",TEXT(Settings!$B$8,"yyyy-mm-dd"))</f>
        <v/>
      </c>
      <c r="F174" s="24" t="str">
        <f aca="false">IF($A174="","",TEXT(Settings!$B$9,"yyyy-mm-dd"))</f>
        <v/>
      </c>
      <c r="G174" s="24" t="str">
        <f aca="false">IF($A174="","",DAY(Settings!$B$9))</f>
        <v/>
      </c>
      <c r="H174" s="26" t="str">
        <f aca="false">IF($A174="","",ROUND(Payroll!R174-Payroll!L174-Payroll!M174,2))</f>
        <v/>
      </c>
      <c r="I174" s="26" t="str">
        <f aca="false">IF($A174="","",ROUND(Payroll!L174+Payroll!M174,2))</f>
        <v/>
      </c>
      <c r="J174" s="24" t="str">
        <f aca="false">IF($A174="","",0)</f>
        <v/>
      </c>
    </row>
    <row r="175" customFormat="false" ht="15" hidden="false" customHeight="false" outlineLevel="0" collapsed="false">
      <c r="A175" s="24" t="str">
        <f aca="false">IF(AND(Payroll!$A175&lt;&gt;"",N(Payroll!$R175)&gt;0),"EDR","")</f>
        <v/>
      </c>
      <c r="B175" s="24" t="str">
        <f aca="false">IF($A175="","",Payroll!U175)</f>
        <v/>
      </c>
      <c r="C175" s="24" t="str">
        <f aca="false">IF($A175="","",Payroll!S175)</f>
        <v/>
      </c>
      <c r="D175" s="24" t="str">
        <f aca="false">IF($A175="","",SUBSTITUTE(Payroll!T175," ",""))</f>
        <v/>
      </c>
      <c r="E175" s="24" t="str">
        <f aca="false">IF($A175="","",TEXT(Settings!$B$8,"yyyy-mm-dd"))</f>
        <v/>
      </c>
      <c r="F175" s="24" t="str">
        <f aca="false">IF($A175="","",TEXT(Settings!$B$9,"yyyy-mm-dd"))</f>
        <v/>
      </c>
      <c r="G175" s="24" t="str">
        <f aca="false">IF($A175="","",DAY(Settings!$B$9))</f>
        <v/>
      </c>
      <c r="H175" s="26" t="str">
        <f aca="false">IF($A175="","",ROUND(Payroll!R175-Payroll!L175-Payroll!M175,2))</f>
        <v/>
      </c>
      <c r="I175" s="26" t="str">
        <f aca="false">IF($A175="","",ROUND(Payroll!L175+Payroll!M175,2))</f>
        <v/>
      </c>
      <c r="J175" s="24" t="str">
        <f aca="false">IF($A175="","",0)</f>
        <v/>
      </c>
    </row>
    <row r="176" customFormat="false" ht="15" hidden="false" customHeight="false" outlineLevel="0" collapsed="false">
      <c r="A176" s="24" t="str">
        <f aca="false">IF(AND(Payroll!$A176&lt;&gt;"",N(Payroll!$R176)&gt;0),"EDR","")</f>
        <v/>
      </c>
      <c r="B176" s="24" t="str">
        <f aca="false">IF($A176="","",Payroll!U176)</f>
        <v/>
      </c>
      <c r="C176" s="24" t="str">
        <f aca="false">IF($A176="","",Payroll!S176)</f>
        <v/>
      </c>
      <c r="D176" s="24" t="str">
        <f aca="false">IF($A176="","",SUBSTITUTE(Payroll!T176," ",""))</f>
        <v/>
      </c>
      <c r="E176" s="24" t="str">
        <f aca="false">IF($A176="","",TEXT(Settings!$B$8,"yyyy-mm-dd"))</f>
        <v/>
      </c>
      <c r="F176" s="24" t="str">
        <f aca="false">IF($A176="","",TEXT(Settings!$B$9,"yyyy-mm-dd"))</f>
        <v/>
      </c>
      <c r="G176" s="24" t="str">
        <f aca="false">IF($A176="","",DAY(Settings!$B$9))</f>
        <v/>
      </c>
      <c r="H176" s="26" t="str">
        <f aca="false">IF($A176="","",ROUND(Payroll!R176-Payroll!L176-Payroll!M176,2))</f>
        <v/>
      </c>
      <c r="I176" s="26" t="str">
        <f aca="false">IF($A176="","",ROUND(Payroll!L176+Payroll!M176,2))</f>
        <v/>
      </c>
      <c r="J176" s="24" t="str">
        <f aca="false">IF($A176="","",0)</f>
        <v/>
      </c>
    </row>
    <row r="177" customFormat="false" ht="15" hidden="false" customHeight="false" outlineLevel="0" collapsed="false">
      <c r="A177" s="24" t="str">
        <f aca="false">IF(AND(Payroll!$A177&lt;&gt;"",N(Payroll!$R177)&gt;0),"EDR","")</f>
        <v/>
      </c>
      <c r="B177" s="24" t="str">
        <f aca="false">IF($A177="","",Payroll!U177)</f>
        <v/>
      </c>
      <c r="C177" s="24" t="str">
        <f aca="false">IF($A177="","",Payroll!S177)</f>
        <v/>
      </c>
      <c r="D177" s="24" t="str">
        <f aca="false">IF($A177="","",SUBSTITUTE(Payroll!T177," ",""))</f>
        <v/>
      </c>
      <c r="E177" s="24" t="str">
        <f aca="false">IF($A177="","",TEXT(Settings!$B$8,"yyyy-mm-dd"))</f>
        <v/>
      </c>
      <c r="F177" s="24" t="str">
        <f aca="false">IF($A177="","",TEXT(Settings!$B$9,"yyyy-mm-dd"))</f>
        <v/>
      </c>
      <c r="G177" s="24" t="str">
        <f aca="false">IF($A177="","",DAY(Settings!$B$9))</f>
        <v/>
      </c>
      <c r="H177" s="26" t="str">
        <f aca="false">IF($A177="","",ROUND(Payroll!R177-Payroll!L177-Payroll!M177,2))</f>
        <v/>
      </c>
      <c r="I177" s="26" t="str">
        <f aca="false">IF($A177="","",ROUND(Payroll!L177+Payroll!M177,2))</f>
        <v/>
      </c>
      <c r="J177" s="24" t="str">
        <f aca="false">IF($A177="","",0)</f>
        <v/>
      </c>
    </row>
    <row r="178" customFormat="false" ht="15" hidden="false" customHeight="false" outlineLevel="0" collapsed="false">
      <c r="A178" s="24" t="str">
        <f aca="false">IF(AND(Payroll!$A178&lt;&gt;"",N(Payroll!$R178)&gt;0),"EDR","")</f>
        <v/>
      </c>
      <c r="B178" s="24" t="str">
        <f aca="false">IF($A178="","",Payroll!U178)</f>
        <v/>
      </c>
      <c r="C178" s="24" t="str">
        <f aca="false">IF($A178="","",Payroll!S178)</f>
        <v/>
      </c>
      <c r="D178" s="24" t="str">
        <f aca="false">IF($A178="","",SUBSTITUTE(Payroll!T178," ",""))</f>
        <v/>
      </c>
      <c r="E178" s="24" t="str">
        <f aca="false">IF($A178="","",TEXT(Settings!$B$8,"yyyy-mm-dd"))</f>
        <v/>
      </c>
      <c r="F178" s="24" t="str">
        <f aca="false">IF($A178="","",TEXT(Settings!$B$9,"yyyy-mm-dd"))</f>
        <v/>
      </c>
      <c r="G178" s="24" t="str">
        <f aca="false">IF($A178="","",DAY(Settings!$B$9))</f>
        <v/>
      </c>
      <c r="H178" s="26" t="str">
        <f aca="false">IF($A178="","",ROUND(Payroll!R178-Payroll!L178-Payroll!M178,2))</f>
        <v/>
      </c>
      <c r="I178" s="26" t="str">
        <f aca="false">IF($A178="","",ROUND(Payroll!L178+Payroll!M178,2))</f>
        <v/>
      </c>
      <c r="J178" s="24" t="str">
        <f aca="false">IF($A178="","",0)</f>
        <v/>
      </c>
    </row>
    <row r="179" customFormat="false" ht="15" hidden="false" customHeight="false" outlineLevel="0" collapsed="false">
      <c r="A179" s="24" t="str">
        <f aca="false">IF(AND(Payroll!$A179&lt;&gt;"",N(Payroll!$R179)&gt;0),"EDR","")</f>
        <v/>
      </c>
      <c r="B179" s="24" t="str">
        <f aca="false">IF($A179="","",Payroll!U179)</f>
        <v/>
      </c>
      <c r="C179" s="24" t="str">
        <f aca="false">IF($A179="","",Payroll!S179)</f>
        <v/>
      </c>
      <c r="D179" s="24" t="str">
        <f aca="false">IF($A179="","",SUBSTITUTE(Payroll!T179," ",""))</f>
        <v/>
      </c>
      <c r="E179" s="24" t="str">
        <f aca="false">IF($A179="","",TEXT(Settings!$B$8,"yyyy-mm-dd"))</f>
        <v/>
      </c>
      <c r="F179" s="24" t="str">
        <f aca="false">IF($A179="","",TEXT(Settings!$B$9,"yyyy-mm-dd"))</f>
        <v/>
      </c>
      <c r="G179" s="24" t="str">
        <f aca="false">IF($A179="","",DAY(Settings!$B$9))</f>
        <v/>
      </c>
      <c r="H179" s="26" t="str">
        <f aca="false">IF($A179="","",ROUND(Payroll!R179-Payroll!L179-Payroll!M179,2))</f>
        <v/>
      </c>
      <c r="I179" s="26" t="str">
        <f aca="false">IF($A179="","",ROUND(Payroll!L179+Payroll!M179,2))</f>
        <v/>
      </c>
      <c r="J179" s="24" t="str">
        <f aca="false">IF($A179="","",0)</f>
        <v/>
      </c>
    </row>
    <row r="180" customFormat="false" ht="15" hidden="false" customHeight="false" outlineLevel="0" collapsed="false">
      <c r="A180" s="24" t="str">
        <f aca="false">IF(AND(Payroll!$A180&lt;&gt;"",N(Payroll!$R180)&gt;0),"EDR","")</f>
        <v/>
      </c>
      <c r="B180" s="24" t="str">
        <f aca="false">IF($A180="","",Payroll!U180)</f>
        <v/>
      </c>
      <c r="C180" s="24" t="str">
        <f aca="false">IF($A180="","",Payroll!S180)</f>
        <v/>
      </c>
      <c r="D180" s="24" t="str">
        <f aca="false">IF($A180="","",SUBSTITUTE(Payroll!T180," ",""))</f>
        <v/>
      </c>
      <c r="E180" s="24" t="str">
        <f aca="false">IF($A180="","",TEXT(Settings!$B$8,"yyyy-mm-dd"))</f>
        <v/>
      </c>
      <c r="F180" s="24" t="str">
        <f aca="false">IF($A180="","",TEXT(Settings!$B$9,"yyyy-mm-dd"))</f>
        <v/>
      </c>
      <c r="G180" s="24" t="str">
        <f aca="false">IF($A180="","",DAY(Settings!$B$9))</f>
        <v/>
      </c>
      <c r="H180" s="26" t="str">
        <f aca="false">IF($A180="","",ROUND(Payroll!R180-Payroll!L180-Payroll!M180,2))</f>
        <v/>
      </c>
      <c r="I180" s="26" t="str">
        <f aca="false">IF($A180="","",ROUND(Payroll!L180+Payroll!M180,2))</f>
        <v/>
      </c>
      <c r="J180" s="24" t="str">
        <f aca="false">IF($A180="","",0)</f>
        <v/>
      </c>
    </row>
    <row r="181" customFormat="false" ht="15" hidden="false" customHeight="false" outlineLevel="0" collapsed="false">
      <c r="A181" s="24" t="str">
        <f aca="false">IF(AND(Payroll!$A181&lt;&gt;"",N(Payroll!$R181)&gt;0),"EDR","")</f>
        <v/>
      </c>
      <c r="B181" s="24" t="str">
        <f aca="false">IF($A181="","",Payroll!U181)</f>
        <v/>
      </c>
      <c r="C181" s="24" t="str">
        <f aca="false">IF($A181="","",Payroll!S181)</f>
        <v/>
      </c>
      <c r="D181" s="24" t="str">
        <f aca="false">IF($A181="","",SUBSTITUTE(Payroll!T181," ",""))</f>
        <v/>
      </c>
      <c r="E181" s="24" t="str">
        <f aca="false">IF($A181="","",TEXT(Settings!$B$8,"yyyy-mm-dd"))</f>
        <v/>
      </c>
      <c r="F181" s="24" t="str">
        <f aca="false">IF($A181="","",TEXT(Settings!$B$9,"yyyy-mm-dd"))</f>
        <v/>
      </c>
      <c r="G181" s="24" t="str">
        <f aca="false">IF($A181="","",DAY(Settings!$B$9))</f>
        <v/>
      </c>
      <c r="H181" s="26" t="str">
        <f aca="false">IF($A181="","",ROUND(Payroll!R181-Payroll!L181-Payroll!M181,2))</f>
        <v/>
      </c>
      <c r="I181" s="26" t="str">
        <f aca="false">IF($A181="","",ROUND(Payroll!L181+Payroll!M181,2))</f>
        <v/>
      </c>
      <c r="J181" s="24" t="str">
        <f aca="false">IF($A181="","",0)</f>
        <v/>
      </c>
    </row>
    <row r="182" customFormat="false" ht="15" hidden="false" customHeight="false" outlineLevel="0" collapsed="false">
      <c r="A182" s="24" t="str">
        <f aca="false">IF(AND(Payroll!$A182&lt;&gt;"",N(Payroll!$R182)&gt;0),"EDR","")</f>
        <v/>
      </c>
      <c r="B182" s="24" t="str">
        <f aca="false">IF($A182="","",Payroll!U182)</f>
        <v/>
      </c>
      <c r="C182" s="24" t="str">
        <f aca="false">IF($A182="","",Payroll!S182)</f>
        <v/>
      </c>
      <c r="D182" s="24" t="str">
        <f aca="false">IF($A182="","",SUBSTITUTE(Payroll!T182," ",""))</f>
        <v/>
      </c>
      <c r="E182" s="24" t="str">
        <f aca="false">IF($A182="","",TEXT(Settings!$B$8,"yyyy-mm-dd"))</f>
        <v/>
      </c>
      <c r="F182" s="24" t="str">
        <f aca="false">IF($A182="","",TEXT(Settings!$B$9,"yyyy-mm-dd"))</f>
        <v/>
      </c>
      <c r="G182" s="24" t="str">
        <f aca="false">IF($A182="","",DAY(Settings!$B$9))</f>
        <v/>
      </c>
      <c r="H182" s="26" t="str">
        <f aca="false">IF($A182="","",ROUND(Payroll!R182-Payroll!L182-Payroll!M182,2))</f>
        <v/>
      </c>
      <c r="I182" s="26" t="str">
        <f aca="false">IF($A182="","",ROUND(Payroll!L182+Payroll!M182,2))</f>
        <v/>
      </c>
      <c r="J182" s="24" t="str">
        <f aca="false">IF($A182="","",0)</f>
        <v/>
      </c>
    </row>
    <row r="183" customFormat="false" ht="15" hidden="false" customHeight="false" outlineLevel="0" collapsed="false">
      <c r="A183" s="24" t="str">
        <f aca="false">IF(AND(Payroll!$A183&lt;&gt;"",N(Payroll!$R183)&gt;0),"EDR","")</f>
        <v/>
      </c>
      <c r="B183" s="24" t="str">
        <f aca="false">IF($A183="","",Payroll!U183)</f>
        <v/>
      </c>
      <c r="C183" s="24" t="str">
        <f aca="false">IF($A183="","",Payroll!S183)</f>
        <v/>
      </c>
      <c r="D183" s="24" t="str">
        <f aca="false">IF($A183="","",SUBSTITUTE(Payroll!T183," ",""))</f>
        <v/>
      </c>
      <c r="E183" s="24" t="str">
        <f aca="false">IF($A183="","",TEXT(Settings!$B$8,"yyyy-mm-dd"))</f>
        <v/>
      </c>
      <c r="F183" s="24" t="str">
        <f aca="false">IF($A183="","",TEXT(Settings!$B$9,"yyyy-mm-dd"))</f>
        <v/>
      </c>
      <c r="G183" s="24" t="str">
        <f aca="false">IF($A183="","",DAY(Settings!$B$9))</f>
        <v/>
      </c>
      <c r="H183" s="26" t="str">
        <f aca="false">IF($A183="","",ROUND(Payroll!R183-Payroll!L183-Payroll!M183,2))</f>
        <v/>
      </c>
      <c r="I183" s="26" t="str">
        <f aca="false">IF($A183="","",ROUND(Payroll!L183+Payroll!M183,2))</f>
        <v/>
      </c>
      <c r="J183" s="24" t="str">
        <f aca="false">IF($A183="","",0)</f>
        <v/>
      </c>
    </row>
    <row r="184" customFormat="false" ht="15" hidden="false" customHeight="false" outlineLevel="0" collapsed="false">
      <c r="A184" s="24" t="str">
        <f aca="false">IF(AND(Payroll!$A184&lt;&gt;"",N(Payroll!$R184)&gt;0),"EDR","")</f>
        <v/>
      </c>
      <c r="B184" s="24" t="str">
        <f aca="false">IF($A184="","",Payroll!U184)</f>
        <v/>
      </c>
      <c r="C184" s="24" t="str">
        <f aca="false">IF($A184="","",Payroll!S184)</f>
        <v/>
      </c>
      <c r="D184" s="24" t="str">
        <f aca="false">IF($A184="","",SUBSTITUTE(Payroll!T184," ",""))</f>
        <v/>
      </c>
      <c r="E184" s="24" t="str">
        <f aca="false">IF($A184="","",TEXT(Settings!$B$8,"yyyy-mm-dd"))</f>
        <v/>
      </c>
      <c r="F184" s="24" t="str">
        <f aca="false">IF($A184="","",TEXT(Settings!$B$9,"yyyy-mm-dd"))</f>
        <v/>
      </c>
      <c r="G184" s="24" t="str">
        <f aca="false">IF($A184="","",DAY(Settings!$B$9))</f>
        <v/>
      </c>
      <c r="H184" s="26" t="str">
        <f aca="false">IF($A184="","",ROUND(Payroll!R184-Payroll!L184-Payroll!M184,2))</f>
        <v/>
      </c>
      <c r="I184" s="26" t="str">
        <f aca="false">IF($A184="","",ROUND(Payroll!L184+Payroll!M184,2))</f>
        <v/>
      </c>
      <c r="J184" s="24" t="str">
        <f aca="false">IF($A184="","",0)</f>
        <v/>
      </c>
    </row>
    <row r="185" customFormat="false" ht="15" hidden="false" customHeight="false" outlineLevel="0" collapsed="false">
      <c r="A185" s="24" t="str">
        <f aca="false">IF(AND(Payroll!$A185&lt;&gt;"",N(Payroll!$R185)&gt;0),"EDR","")</f>
        <v/>
      </c>
      <c r="B185" s="24" t="str">
        <f aca="false">IF($A185="","",Payroll!U185)</f>
        <v/>
      </c>
      <c r="C185" s="24" t="str">
        <f aca="false">IF($A185="","",Payroll!S185)</f>
        <v/>
      </c>
      <c r="D185" s="24" t="str">
        <f aca="false">IF($A185="","",SUBSTITUTE(Payroll!T185," ",""))</f>
        <v/>
      </c>
      <c r="E185" s="24" t="str">
        <f aca="false">IF($A185="","",TEXT(Settings!$B$8,"yyyy-mm-dd"))</f>
        <v/>
      </c>
      <c r="F185" s="24" t="str">
        <f aca="false">IF($A185="","",TEXT(Settings!$B$9,"yyyy-mm-dd"))</f>
        <v/>
      </c>
      <c r="G185" s="24" t="str">
        <f aca="false">IF($A185="","",DAY(Settings!$B$9))</f>
        <v/>
      </c>
      <c r="H185" s="26" t="str">
        <f aca="false">IF($A185="","",ROUND(Payroll!R185-Payroll!L185-Payroll!M185,2))</f>
        <v/>
      </c>
      <c r="I185" s="26" t="str">
        <f aca="false">IF($A185="","",ROUND(Payroll!L185+Payroll!M185,2))</f>
        <v/>
      </c>
      <c r="J185" s="24" t="str">
        <f aca="false">IF($A185="","",0)</f>
        <v/>
      </c>
    </row>
    <row r="186" customFormat="false" ht="15" hidden="false" customHeight="false" outlineLevel="0" collapsed="false">
      <c r="A186" s="24" t="str">
        <f aca="false">IF(AND(Payroll!$A186&lt;&gt;"",N(Payroll!$R186)&gt;0),"EDR","")</f>
        <v/>
      </c>
      <c r="B186" s="24" t="str">
        <f aca="false">IF($A186="","",Payroll!U186)</f>
        <v/>
      </c>
      <c r="C186" s="24" t="str">
        <f aca="false">IF($A186="","",Payroll!S186)</f>
        <v/>
      </c>
      <c r="D186" s="24" t="str">
        <f aca="false">IF($A186="","",SUBSTITUTE(Payroll!T186," ",""))</f>
        <v/>
      </c>
      <c r="E186" s="24" t="str">
        <f aca="false">IF($A186="","",TEXT(Settings!$B$8,"yyyy-mm-dd"))</f>
        <v/>
      </c>
      <c r="F186" s="24" t="str">
        <f aca="false">IF($A186="","",TEXT(Settings!$B$9,"yyyy-mm-dd"))</f>
        <v/>
      </c>
      <c r="G186" s="24" t="str">
        <f aca="false">IF($A186="","",DAY(Settings!$B$9))</f>
        <v/>
      </c>
      <c r="H186" s="26" t="str">
        <f aca="false">IF($A186="","",ROUND(Payroll!R186-Payroll!L186-Payroll!M186,2))</f>
        <v/>
      </c>
      <c r="I186" s="26" t="str">
        <f aca="false">IF($A186="","",ROUND(Payroll!L186+Payroll!M186,2))</f>
        <v/>
      </c>
      <c r="J186" s="24" t="str">
        <f aca="false">IF($A186="","",0)</f>
        <v/>
      </c>
    </row>
    <row r="187" customFormat="false" ht="15" hidden="false" customHeight="false" outlineLevel="0" collapsed="false">
      <c r="A187" s="24" t="str">
        <f aca="false">IF(AND(Payroll!$A187&lt;&gt;"",N(Payroll!$R187)&gt;0),"EDR","")</f>
        <v/>
      </c>
      <c r="B187" s="24" t="str">
        <f aca="false">IF($A187="","",Payroll!U187)</f>
        <v/>
      </c>
      <c r="C187" s="24" t="str">
        <f aca="false">IF($A187="","",Payroll!S187)</f>
        <v/>
      </c>
      <c r="D187" s="24" t="str">
        <f aca="false">IF($A187="","",SUBSTITUTE(Payroll!T187," ",""))</f>
        <v/>
      </c>
      <c r="E187" s="24" t="str">
        <f aca="false">IF($A187="","",TEXT(Settings!$B$8,"yyyy-mm-dd"))</f>
        <v/>
      </c>
      <c r="F187" s="24" t="str">
        <f aca="false">IF($A187="","",TEXT(Settings!$B$9,"yyyy-mm-dd"))</f>
        <v/>
      </c>
      <c r="G187" s="24" t="str">
        <f aca="false">IF($A187="","",DAY(Settings!$B$9))</f>
        <v/>
      </c>
      <c r="H187" s="26" t="str">
        <f aca="false">IF($A187="","",ROUND(Payroll!R187-Payroll!L187-Payroll!M187,2))</f>
        <v/>
      </c>
      <c r="I187" s="26" t="str">
        <f aca="false">IF($A187="","",ROUND(Payroll!L187+Payroll!M187,2))</f>
        <v/>
      </c>
      <c r="J187" s="24" t="str">
        <f aca="false">IF($A187="","",0)</f>
        <v/>
      </c>
    </row>
    <row r="188" customFormat="false" ht="15" hidden="false" customHeight="false" outlineLevel="0" collapsed="false">
      <c r="A188" s="24" t="str">
        <f aca="false">IF(AND(Payroll!$A188&lt;&gt;"",N(Payroll!$R188)&gt;0),"EDR","")</f>
        <v/>
      </c>
      <c r="B188" s="24" t="str">
        <f aca="false">IF($A188="","",Payroll!U188)</f>
        <v/>
      </c>
      <c r="C188" s="24" t="str">
        <f aca="false">IF($A188="","",Payroll!S188)</f>
        <v/>
      </c>
      <c r="D188" s="24" t="str">
        <f aca="false">IF($A188="","",SUBSTITUTE(Payroll!T188," ",""))</f>
        <v/>
      </c>
      <c r="E188" s="24" t="str">
        <f aca="false">IF($A188="","",TEXT(Settings!$B$8,"yyyy-mm-dd"))</f>
        <v/>
      </c>
      <c r="F188" s="24" t="str">
        <f aca="false">IF($A188="","",TEXT(Settings!$B$9,"yyyy-mm-dd"))</f>
        <v/>
      </c>
      <c r="G188" s="24" t="str">
        <f aca="false">IF($A188="","",DAY(Settings!$B$9))</f>
        <v/>
      </c>
      <c r="H188" s="26" t="str">
        <f aca="false">IF($A188="","",ROUND(Payroll!R188-Payroll!L188-Payroll!M188,2))</f>
        <v/>
      </c>
      <c r="I188" s="26" t="str">
        <f aca="false">IF($A188="","",ROUND(Payroll!L188+Payroll!M188,2))</f>
        <v/>
      </c>
      <c r="J188" s="24" t="str">
        <f aca="false">IF($A188="","",0)</f>
        <v/>
      </c>
    </row>
    <row r="189" customFormat="false" ht="15" hidden="false" customHeight="false" outlineLevel="0" collapsed="false">
      <c r="A189" s="24" t="str">
        <f aca="false">IF(AND(Payroll!$A189&lt;&gt;"",N(Payroll!$R189)&gt;0),"EDR","")</f>
        <v/>
      </c>
      <c r="B189" s="24" t="str">
        <f aca="false">IF($A189="","",Payroll!U189)</f>
        <v/>
      </c>
      <c r="C189" s="24" t="str">
        <f aca="false">IF($A189="","",Payroll!S189)</f>
        <v/>
      </c>
      <c r="D189" s="24" t="str">
        <f aca="false">IF($A189="","",SUBSTITUTE(Payroll!T189," ",""))</f>
        <v/>
      </c>
      <c r="E189" s="24" t="str">
        <f aca="false">IF($A189="","",TEXT(Settings!$B$8,"yyyy-mm-dd"))</f>
        <v/>
      </c>
      <c r="F189" s="24" t="str">
        <f aca="false">IF($A189="","",TEXT(Settings!$B$9,"yyyy-mm-dd"))</f>
        <v/>
      </c>
      <c r="G189" s="24" t="str">
        <f aca="false">IF($A189="","",DAY(Settings!$B$9))</f>
        <v/>
      </c>
      <c r="H189" s="26" t="str">
        <f aca="false">IF($A189="","",ROUND(Payroll!R189-Payroll!L189-Payroll!M189,2))</f>
        <v/>
      </c>
      <c r="I189" s="26" t="str">
        <f aca="false">IF($A189="","",ROUND(Payroll!L189+Payroll!M189,2))</f>
        <v/>
      </c>
      <c r="J189" s="24" t="str">
        <f aca="false">IF($A189="","",0)</f>
        <v/>
      </c>
    </row>
    <row r="190" customFormat="false" ht="15" hidden="false" customHeight="false" outlineLevel="0" collapsed="false">
      <c r="A190" s="24" t="str">
        <f aca="false">IF(AND(Payroll!$A190&lt;&gt;"",N(Payroll!$R190)&gt;0),"EDR","")</f>
        <v/>
      </c>
      <c r="B190" s="24" t="str">
        <f aca="false">IF($A190="","",Payroll!U190)</f>
        <v/>
      </c>
      <c r="C190" s="24" t="str">
        <f aca="false">IF($A190="","",Payroll!S190)</f>
        <v/>
      </c>
      <c r="D190" s="24" t="str">
        <f aca="false">IF($A190="","",SUBSTITUTE(Payroll!T190," ",""))</f>
        <v/>
      </c>
      <c r="E190" s="24" t="str">
        <f aca="false">IF($A190="","",TEXT(Settings!$B$8,"yyyy-mm-dd"))</f>
        <v/>
      </c>
      <c r="F190" s="24" t="str">
        <f aca="false">IF($A190="","",TEXT(Settings!$B$9,"yyyy-mm-dd"))</f>
        <v/>
      </c>
      <c r="G190" s="24" t="str">
        <f aca="false">IF($A190="","",DAY(Settings!$B$9))</f>
        <v/>
      </c>
      <c r="H190" s="26" t="str">
        <f aca="false">IF($A190="","",ROUND(Payroll!R190-Payroll!L190-Payroll!M190,2))</f>
        <v/>
      </c>
      <c r="I190" s="26" t="str">
        <f aca="false">IF($A190="","",ROUND(Payroll!L190+Payroll!M190,2))</f>
        <v/>
      </c>
      <c r="J190" s="24" t="str">
        <f aca="false">IF($A190="","",0)</f>
        <v/>
      </c>
    </row>
    <row r="191" customFormat="false" ht="15" hidden="false" customHeight="false" outlineLevel="0" collapsed="false">
      <c r="A191" s="24" t="str">
        <f aca="false">IF(AND(Payroll!$A191&lt;&gt;"",N(Payroll!$R191)&gt;0),"EDR","")</f>
        <v/>
      </c>
      <c r="B191" s="24" t="str">
        <f aca="false">IF($A191="","",Payroll!U191)</f>
        <v/>
      </c>
      <c r="C191" s="24" t="str">
        <f aca="false">IF($A191="","",Payroll!S191)</f>
        <v/>
      </c>
      <c r="D191" s="24" t="str">
        <f aca="false">IF($A191="","",SUBSTITUTE(Payroll!T191," ",""))</f>
        <v/>
      </c>
      <c r="E191" s="24" t="str">
        <f aca="false">IF($A191="","",TEXT(Settings!$B$8,"yyyy-mm-dd"))</f>
        <v/>
      </c>
      <c r="F191" s="24" t="str">
        <f aca="false">IF($A191="","",TEXT(Settings!$B$9,"yyyy-mm-dd"))</f>
        <v/>
      </c>
      <c r="G191" s="24" t="str">
        <f aca="false">IF($A191="","",DAY(Settings!$B$9))</f>
        <v/>
      </c>
      <c r="H191" s="26" t="str">
        <f aca="false">IF($A191="","",ROUND(Payroll!R191-Payroll!L191-Payroll!M191,2))</f>
        <v/>
      </c>
      <c r="I191" s="26" t="str">
        <f aca="false">IF($A191="","",ROUND(Payroll!L191+Payroll!M191,2))</f>
        <v/>
      </c>
      <c r="J191" s="24" t="str">
        <f aca="false">IF($A191="","",0)</f>
        <v/>
      </c>
    </row>
    <row r="192" customFormat="false" ht="15" hidden="false" customHeight="false" outlineLevel="0" collapsed="false">
      <c r="A192" s="24" t="str">
        <f aca="false">IF(AND(Payroll!$A192&lt;&gt;"",N(Payroll!$R192)&gt;0),"EDR","")</f>
        <v/>
      </c>
      <c r="B192" s="24" t="str">
        <f aca="false">IF($A192="","",Payroll!U192)</f>
        <v/>
      </c>
      <c r="C192" s="24" t="str">
        <f aca="false">IF($A192="","",Payroll!S192)</f>
        <v/>
      </c>
      <c r="D192" s="24" t="str">
        <f aca="false">IF($A192="","",SUBSTITUTE(Payroll!T192," ",""))</f>
        <v/>
      </c>
      <c r="E192" s="24" t="str">
        <f aca="false">IF($A192="","",TEXT(Settings!$B$8,"yyyy-mm-dd"))</f>
        <v/>
      </c>
      <c r="F192" s="24" t="str">
        <f aca="false">IF($A192="","",TEXT(Settings!$B$9,"yyyy-mm-dd"))</f>
        <v/>
      </c>
      <c r="G192" s="24" t="str">
        <f aca="false">IF($A192="","",DAY(Settings!$B$9))</f>
        <v/>
      </c>
      <c r="H192" s="26" t="str">
        <f aca="false">IF($A192="","",ROUND(Payroll!R192-Payroll!L192-Payroll!M192,2))</f>
        <v/>
      </c>
      <c r="I192" s="26" t="str">
        <f aca="false">IF($A192="","",ROUND(Payroll!L192+Payroll!M192,2))</f>
        <v/>
      </c>
      <c r="J192" s="24" t="str">
        <f aca="false">IF($A192="","",0)</f>
        <v/>
      </c>
    </row>
    <row r="193" customFormat="false" ht="15" hidden="false" customHeight="false" outlineLevel="0" collapsed="false">
      <c r="A193" s="24" t="str">
        <f aca="false">IF(AND(Payroll!$A193&lt;&gt;"",N(Payroll!$R193)&gt;0),"EDR","")</f>
        <v/>
      </c>
      <c r="B193" s="24" t="str">
        <f aca="false">IF($A193="","",Payroll!U193)</f>
        <v/>
      </c>
      <c r="C193" s="24" t="str">
        <f aca="false">IF($A193="","",Payroll!S193)</f>
        <v/>
      </c>
      <c r="D193" s="24" t="str">
        <f aca="false">IF($A193="","",SUBSTITUTE(Payroll!T193," ",""))</f>
        <v/>
      </c>
      <c r="E193" s="24" t="str">
        <f aca="false">IF($A193="","",TEXT(Settings!$B$8,"yyyy-mm-dd"))</f>
        <v/>
      </c>
      <c r="F193" s="24" t="str">
        <f aca="false">IF($A193="","",TEXT(Settings!$B$9,"yyyy-mm-dd"))</f>
        <v/>
      </c>
      <c r="G193" s="24" t="str">
        <f aca="false">IF($A193="","",DAY(Settings!$B$9))</f>
        <v/>
      </c>
      <c r="H193" s="26" t="str">
        <f aca="false">IF($A193="","",ROUND(Payroll!R193-Payroll!L193-Payroll!M193,2))</f>
        <v/>
      </c>
      <c r="I193" s="26" t="str">
        <f aca="false">IF($A193="","",ROUND(Payroll!L193+Payroll!M193,2))</f>
        <v/>
      </c>
      <c r="J193" s="24" t="str">
        <f aca="false">IF($A193="","",0)</f>
        <v/>
      </c>
    </row>
    <row r="194" customFormat="false" ht="15" hidden="false" customHeight="false" outlineLevel="0" collapsed="false">
      <c r="A194" s="24" t="str">
        <f aca="false">IF(AND(Payroll!$A194&lt;&gt;"",N(Payroll!$R194)&gt;0),"EDR","")</f>
        <v/>
      </c>
      <c r="B194" s="24" t="str">
        <f aca="false">IF($A194="","",Payroll!U194)</f>
        <v/>
      </c>
      <c r="C194" s="24" t="str">
        <f aca="false">IF($A194="","",Payroll!S194)</f>
        <v/>
      </c>
      <c r="D194" s="24" t="str">
        <f aca="false">IF($A194="","",SUBSTITUTE(Payroll!T194," ",""))</f>
        <v/>
      </c>
      <c r="E194" s="24" t="str">
        <f aca="false">IF($A194="","",TEXT(Settings!$B$8,"yyyy-mm-dd"))</f>
        <v/>
      </c>
      <c r="F194" s="24" t="str">
        <f aca="false">IF($A194="","",TEXT(Settings!$B$9,"yyyy-mm-dd"))</f>
        <v/>
      </c>
      <c r="G194" s="24" t="str">
        <f aca="false">IF($A194="","",DAY(Settings!$B$9))</f>
        <v/>
      </c>
      <c r="H194" s="26" t="str">
        <f aca="false">IF($A194="","",ROUND(Payroll!R194-Payroll!L194-Payroll!M194,2))</f>
        <v/>
      </c>
      <c r="I194" s="26" t="str">
        <f aca="false">IF($A194="","",ROUND(Payroll!L194+Payroll!M194,2))</f>
        <v/>
      </c>
      <c r="J194" s="24" t="str">
        <f aca="false">IF($A194="","",0)</f>
        <v/>
      </c>
    </row>
    <row r="195" customFormat="false" ht="15" hidden="false" customHeight="false" outlineLevel="0" collapsed="false">
      <c r="A195" s="24" t="str">
        <f aca="false">IF(AND(Payroll!$A195&lt;&gt;"",N(Payroll!$R195)&gt;0),"EDR","")</f>
        <v/>
      </c>
      <c r="B195" s="24" t="str">
        <f aca="false">IF($A195="","",Payroll!U195)</f>
        <v/>
      </c>
      <c r="C195" s="24" t="str">
        <f aca="false">IF($A195="","",Payroll!S195)</f>
        <v/>
      </c>
      <c r="D195" s="24" t="str">
        <f aca="false">IF($A195="","",SUBSTITUTE(Payroll!T195," ",""))</f>
        <v/>
      </c>
      <c r="E195" s="24" t="str">
        <f aca="false">IF($A195="","",TEXT(Settings!$B$8,"yyyy-mm-dd"))</f>
        <v/>
      </c>
      <c r="F195" s="24" t="str">
        <f aca="false">IF($A195="","",TEXT(Settings!$B$9,"yyyy-mm-dd"))</f>
        <v/>
      </c>
      <c r="G195" s="24" t="str">
        <f aca="false">IF($A195="","",DAY(Settings!$B$9))</f>
        <v/>
      </c>
      <c r="H195" s="26" t="str">
        <f aca="false">IF($A195="","",ROUND(Payroll!R195-Payroll!L195-Payroll!M195,2))</f>
        <v/>
      </c>
      <c r="I195" s="26" t="str">
        <f aca="false">IF($A195="","",ROUND(Payroll!L195+Payroll!M195,2))</f>
        <v/>
      </c>
      <c r="J195" s="24" t="str">
        <f aca="false">IF($A195="","",0)</f>
        <v/>
      </c>
    </row>
    <row r="196" customFormat="false" ht="15" hidden="false" customHeight="false" outlineLevel="0" collapsed="false">
      <c r="A196" s="24" t="str">
        <f aca="false">IF(AND(Payroll!$A196&lt;&gt;"",N(Payroll!$R196)&gt;0),"EDR","")</f>
        <v/>
      </c>
      <c r="B196" s="24" t="str">
        <f aca="false">IF($A196="","",Payroll!U196)</f>
        <v/>
      </c>
      <c r="C196" s="24" t="str">
        <f aca="false">IF($A196="","",Payroll!S196)</f>
        <v/>
      </c>
      <c r="D196" s="24" t="str">
        <f aca="false">IF($A196="","",SUBSTITUTE(Payroll!T196," ",""))</f>
        <v/>
      </c>
      <c r="E196" s="24" t="str">
        <f aca="false">IF($A196="","",TEXT(Settings!$B$8,"yyyy-mm-dd"))</f>
        <v/>
      </c>
      <c r="F196" s="24" t="str">
        <f aca="false">IF($A196="","",TEXT(Settings!$B$9,"yyyy-mm-dd"))</f>
        <v/>
      </c>
      <c r="G196" s="24" t="str">
        <f aca="false">IF($A196="","",DAY(Settings!$B$9))</f>
        <v/>
      </c>
      <c r="H196" s="26" t="str">
        <f aca="false">IF($A196="","",ROUND(Payroll!R196-Payroll!L196-Payroll!M196,2))</f>
        <v/>
      </c>
      <c r="I196" s="26" t="str">
        <f aca="false">IF($A196="","",ROUND(Payroll!L196+Payroll!M196,2))</f>
        <v/>
      </c>
      <c r="J196" s="24" t="str">
        <f aca="false">IF($A196="","",0)</f>
        <v/>
      </c>
    </row>
    <row r="197" customFormat="false" ht="15" hidden="false" customHeight="false" outlineLevel="0" collapsed="false">
      <c r="A197" s="24" t="str">
        <f aca="false">IF(AND(Payroll!$A197&lt;&gt;"",N(Payroll!$R197)&gt;0),"EDR","")</f>
        <v/>
      </c>
      <c r="B197" s="24" t="str">
        <f aca="false">IF($A197="","",Payroll!U197)</f>
        <v/>
      </c>
      <c r="C197" s="24" t="str">
        <f aca="false">IF($A197="","",Payroll!S197)</f>
        <v/>
      </c>
      <c r="D197" s="24" t="str">
        <f aca="false">IF($A197="","",SUBSTITUTE(Payroll!T197," ",""))</f>
        <v/>
      </c>
      <c r="E197" s="24" t="str">
        <f aca="false">IF($A197="","",TEXT(Settings!$B$8,"yyyy-mm-dd"))</f>
        <v/>
      </c>
      <c r="F197" s="24" t="str">
        <f aca="false">IF($A197="","",TEXT(Settings!$B$9,"yyyy-mm-dd"))</f>
        <v/>
      </c>
      <c r="G197" s="24" t="str">
        <f aca="false">IF($A197="","",DAY(Settings!$B$9))</f>
        <v/>
      </c>
      <c r="H197" s="26" t="str">
        <f aca="false">IF($A197="","",ROUND(Payroll!R197-Payroll!L197-Payroll!M197,2))</f>
        <v/>
      </c>
      <c r="I197" s="26" t="str">
        <f aca="false">IF($A197="","",ROUND(Payroll!L197+Payroll!M197,2))</f>
        <v/>
      </c>
      <c r="J197" s="24" t="str">
        <f aca="false">IF($A197="","",0)</f>
        <v/>
      </c>
    </row>
    <row r="198" customFormat="false" ht="15" hidden="false" customHeight="false" outlineLevel="0" collapsed="false">
      <c r="A198" s="24" t="str">
        <f aca="false">IF(AND(Payroll!$A198&lt;&gt;"",N(Payroll!$R198)&gt;0),"EDR","")</f>
        <v/>
      </c>
      <c r="B198" s="24" t="str">
        <f aca="false">IF($A198="","",Payroll!U198)</f>
        <v/>
      </c>
      <c r="C198" s="24" t="str">
        <f aca="false">IF($A198="","",Payroll!S198)</f>
        <v/>
      </c>
      <c r="D198" s="24" t="str">
        <f aca="false">IF($A198="","",SUBSTITUTE(Payroll!T198," ",""))</f>
        <v/>
      </c>
      <c r="E198" s="24" t="str">
        <f aca="false">IF($A198="","",TEXT(Settings!$B$8,"yyyy-mm-dd"))</f>
        <v/>
      </c>
      <c r="F198" s="24" t="str">
        <f aca="false">IF($A198="","",TEXT(Settings!$B$9,"yyyy-mm-dd"))</f>
        <v/>
      </c>
      <c r="G198" s="24" t="str">
        <f aca="false">IF($A198="","",DAY(Settings!$B$9))</f>
        <v/>
      </c>
      <c r="H198" s="26" t="str">
        <f aca="false">IF($A198="","",ROUND(Payroll!R198-Payroll!L198-Payroll!M198,2))</f>
        <v/>
      </c>
      <c r="I198" s="26" t="str">
        <f aca="false">IF($A198="","",ROUND(Payroll!L198+Payroll!M198,2))</f>
        <v/>
      </c>
      <c r="J198" s="24" t="str">
        <f aca="false">IF($A198="","",0)</f>
        <v/>
      </c>
    </row>
    <row r="199" customFormat="false" ht="15" hidden="false" customHeight="false" outlineLevel="0" collapsed="false">
      <c r="A199" s="24" t="str">
        <f aca="false">IF(AND(Payroll!$A199&lt;&gt;"",N(Payroll!$R199)&gt;0),"EDR","")</f>
        <v/>
      </c>
      <c r="B199" s="24" t="str">
        <f aca="false">IF($A199="","",Payroll!U199)</f>
        <v/>
      </c>
      <c r="C199" s="24" t="str">
        <f aca="false">IF($A199="","",Payroll!S199)</f>
        <v/>
      </c>
      <c r="D199" s="24" t="str">
        <f aca="false">IF($A199="","",SUBSTITUTE(Payroll!T199," ",""))</f>
        <v/>
      </c>
      <c r="E199" s="24" t="str">
        <f aca="false">IF($A199="","",TEXT(Settings!$B$8,"yyyy-mm-dd"))</f>
        <v/>
      </c>
      <c r="F199" s="24" t="str">
        <f aca="false">IF($A199="","",TEXT(Settings!$B$9,"yyyy-mm-dd"))</f>
        <v/>
      </c>
      <c r="G199" s="24" t="str">
        <f aca="false">IF($A199="","",DAY(Settings!$B$9))</f>
        <v/>
      </c>
      <c r="H199" s="26" t="str">
        <f aca="false">IF($A199="","",ROUND(Payroll!R199-Payroll!L199-Payroll!M199,2))</f>
        <v/>
      </c>
      <c r="I199" s="26" t="str">
        <f aca="false">IF($A199="","",ROUND(Payroll!L199+Payroll!M199,2))</f>
        <v/>
      </c>
      <c r="J199" s="24" t="str">
        <f aca="false">IF($A199="","",0)</f>
        <v/>
      </c>
    </row>
    <row r="200" customFormat="false" ht="15" hidden="false" customHeight="false" outlineLevel="0" collapsed="false">
      <c r="A200" s="24" t="str">
        <f aca="false">IF(AND(Payroll!$A200&lt;&gt;"",N(Payroll!$R200)&gt;0),"EDR","")</f>
        <v/>
      </c>
      <c r="B200" s="24" t="str">
        <f aca="false">IF($A200="","",Payroll!U200)</f>
        <v/>
      </c>
      <c r="C200" s="24" t="str">
        <f aca="false">IF($A200="","",Payroll!S200)</f>
        <v/>
      </c>
      <c r="D200" s="24" t="str">
        <f aca="false">IF($A200="","",SUBSTITUTE(Payroll!T200," ",""))</f>
        <v/>
      </c>
      <c r="E200" s="24" t="str">
        <f aca="false">IF($A200="","",TEXT(Settings!$B$8,"yyyy-mm-dd"))</f>
        <v/>
      </c>
      <c r="F200" s="24" t="str">
        <f aca="false">IF($A200="","",TEXT(Settings!$B$9,"yyyy-mm-dd"))</f>
        <v/>
      </c>
      <c r="G200" s="24" t="str">
        <f aca="false">IF($A200="","",DAY(Settings!$B$9))</f>
        <v/>
      </c>
      <c r="H200" s="26" t="str">
        <f aca="false">IF($A200="","",ROUND(Payroll!R200-Payroll!L200-Payroll!M200,2))</f>
        <v/>
      </c>
      <c r="I200" s="26" t="str">
        <f aca="false">IF($A200="","",ROUND(Payroll!L200+Payroll!M200,2))</f>
        <v/>
      </c>
      <c r="J200" s="24" t="str">
        <f aca="false">IF($A200="","",0)</f>
        <v/>
      </c>
    </row>
    <row r="201" customFormat="false" ht="15" hidden="false" customHeight="false" outlineLevel="0" collapsed="false">
      <c r="A201" s="24" t="str">
        <f aca="false">IF(AND(Payroll!$A201&lt;&gt;"",N(Payroll!$R201)&gt;0),"EDR","")</f>
        <v/>
      </c>
      <c r="B201" s="24" t="str">
        <f aca="false">IF($A201="","",Payroll!U201)</f>
        <v/>
      </c>
      <c r="C201" s="24" t="str">
        <f aca="false">IF($A201="","",Payroll!S201)</f>
        <v/>
      </c>
      <c r="D201" s="24" t="str">
        <f aca="false">IF($A201="","",SUBSTITUTE(Payroll!T201," ",""))</f>
        <v/>
      </c>
      <c r="E201" s="24" t="str">
        <f aca="false">IF($A201="","",TEXT(Settings!$B$8,"yyyy-mm-dd"))</f>
        <v/>
      </c>
      <c r="F201" s="24" t="str">
        <f aca="false">IF($A201="","",TEXT(Settings!$B$9,"yyyy-mm-dd"))</f>
        <v/>
      </c>
      <c r="G201" s="24" t="str">
        <f aca="false">IF($A201="","",DAY(Settings!$B$9))</f>
        <v/>
      </c>
      <c r="H201" s="26" t="str">
        <f aca="false">IF($A201="","",ROUND(Payroll!R201-Payroll!L201-Payroll!M201,2))</f>
        <v/>
      </c>
      <c r="I201" s="26" t="str">
        <f aca="false">IF($A201="","",ROUND(Payroll!L201+Payroll!M201,2))</f>
        <v/>
      </c>
      <c r="J201" s="24" t="str">
        <f aca="false">IF($A201="","",0)</f>
        <v/>
      </c>
    </row>
    <row r="202" customFormat="false" ht="15" hidden="false" customHeight="false" outlineLevel="0" collapsed="false">
      <c r="A202" s="24" t="str">
        <f aca="false">IF(AND(Payroll!$A202&lt;&gt;"",N(Payroll!$R202)&gt;0),"EDR","")</f>
        <v/>
      </c>
      <c r="B202" s="24" t="str">
        <f aca="false">IF($A202="","",Payroll!U202)</f>
        <v/>
      </c>
      <c r="C202" s="24" t="str">
        <f aca="false">IF($A202="","",Payroll!S202)</f>
        <v/>
      </c>
      <c r="D202" s="24" t="str">
        <f aca="false">IF($A202="","",SUBSTITUTE(Payroll!T202," ",""))</f>
        <v/>
      </c>
      <c r="E202" s="24" t="str">
        <f aca="false">IF($A202="","",TEXT(Settings!$B$8,"yyyy-mm-dd"))</f>
        <v/>
      </c>
      <c r="F202" s="24" t="str">
        <f aca="false">IF($A202="","",TEXT(Settings!$B$9,"yyyy-mm-dd"))</f>
        <v/>
      </c>
      <c r="G202" s="24" t="str">
        <f aca="false">IF($A202="","",DAY(Settings!$B$9))</f>
        <v/>
      </c>
      <c r="H202" s="26" t="str">
        <f aca="false">IF($A202="","",ROUND(Payroll!R202-Payroll!L202-Payroll!M202,2))</f>
        <v/>
      </c>
      <c r="I202" s="26" t="str">
        <f aca="false">IF($A202="","",ROUND(Payroll!L202+Payroll!M202,2))</f>
        <v/>
      </c>
      <c r="J202" s="24" t="str">
        <f aca="false">IF($A202="","",0)</f>
        <v/>
      </c>
    </row>
    <row r="203" customFormat="false" ht="15" hidden="false" customHeight="false" outlineLevel="0" collapsed="false">
      <c r="A203" s="24" t="str">
        <f aca="false">IF(AND(Payroll!$A203&lt;&gt;"",N(Payroll!$R203)&gt;0),"EDR","")</f>
        <v/>
      </c>
      <c r="B203" s="24" t="str">
        <f aca="false">IF($A203="","",Payroll!U203)</f>
        <v/>
      </c>
      <c r="C203" s="24" t="str">
        <f aca="false">IF($A203="","",Payroll!S203)</f>
        <v/>
      </c>
      <c r="D203" s="24" t="str">
        <f aca="false">IF($A203="","",SUBSTITUTE(Payroll!T203," ",""))</f>
        <v/>
      </c>
      <c r="E203" s="24" t="str">
        <f aca="false">IF($A203="","",TEXT(Settings!$B$8,"yyyy-mm-dd"))</f>
        <v/>
      </c>
      <c r="F203" s="24" t="str">
        <f aca="false">IF($A203="","",TEXT(Settings!$B$9,"yyyy-mm-dd"))</f>
        <v/>
      </c>
      <c r="G203" s="24" t="str">
        <f aca="false">IF($A203="","",DAY(Settings!$B$9))</f>
        <v/>
      </c>
      <c r="H203" s="26" t="str">
        <f aca="false">IF($A203="","",ROUND(Payroll!R203-Payroll!L203-Payroll!M203,2))</f>
        <v/>
      </c>
      <c r="I203" s="26" t="str">
        <f aca="false">IF($A203="","",ROUND(Payroll!L203+Payroll!M203,2))</f>
        <v/>
      </c>
      <c r="J203" s="24" t="str">
        <f aca="false">IF($A203="","",0)</f>
        <v/>
      </c>
    </row>
    <row r="204" customFormat="false" ht="15" hidden="false" customHeight="false" outlineLevel="0" collapsed="false">
      <c r="A204" s="24" t="str">
        <f aca="false">IF(AND(Payroll!$A204&lt;&gt;"",N(Payroll!$R204)&gt;0),"EDR","")</f>
        <v/>
      </c>
      <c r="B204" s="24" t="str">
        <f aca="false">IF($A204="","",Payroll!U204)</f>
        <v/>
      </c>
      <c r="C204" s="24" t="str">
        <f aca="false">IF($A204="","",Payroll!S204)</f>
        <v/>
      </c>
      <c r="D204" s="24" t="str">
        <f aca="false">IF($A204="","",SUBSTITUTE(Payroll!T204," ",""))</f>
        <v/>
      </c>
      <c r="E204" s="24" t="str">
        <f aca="false">IF($A204="","",TEXT(Settings!$B$8,"yyyy-mm-dd"))</f>
        <v/>
      </c>
      <c r="F204" s="24" t="str">
        <f aca="false">IF($A204="","",TEXT(Settings!$B$9,"yyyy-mm-dd"))</f>
        <v/>
      </c>
      <c r="G204" s="24" t="str">
        <f aca="false">IF($A204="","",DAY(Settings!$B$9))</f>
        <v/>
      </c>
      <c r="H204" s="26" t="str">
        <f aca="false">IF($A204="","",ROUND(Payroll!R204-Payroll!L204-Payroll!M204,2))</f>
        <v/>
      </c>
      <c r="I204" s="26" t="str">
        <f aca="false">IF($A204="","",ROUND(Payroll!L204+Payroll!M204,2))</f>
        <v/>
      </c>
      <c r="J204" s="24" t="str">
        <f aca="false">IF($A204="","",0)</f>
        <v/>
      </c>
    </row>
    <row r="205" customFormat="false" ht="15" hidden="false" customHeight="false" outlineLevel="0" collapsed="false">
      <c r="A205" s="24" t="str">
        <f aca="false">IF(AND(Payroll!$A205&lt;&gt;"",N(Payroll!$R205)&gt;0),"EDR","")</f>
        <v/>
      </c>
      <c r="B205" s="24" t="str">
        <f aca="false">IF($A205="","",Payroll!U205)</f>
        <v/>
      </c>
      <c r="C205" s="24" t="str">
        <f aca="false">IF($A205="","",Payroll!S205)</f>
        <v/>
      </c>
      <c r="D205" s="24" t="str">
        <f aca="false">IF($A205="","",SUBSTITUTE(Payroll!T205," ",""))</f>
        <v/>
      </c>
      <c r="E205" s="24" t="str">
        <f aca="false">IF($A205="","",TEXT(Settings!$B$8,"yyyy-mm-dd"))</f>
        <v/>
      </c>
      <c r="F205" s="24" t="str">
        <f aca="false">IF($A205="","",TEXT(Settings!$B$9,"yyyy-mm-dd"))</f>
        <v/>
      </c>
      <c r="G205" s="24" t="str">
        <f aca="false">IF($A205="","",DAY(Settings!$B$9))</f>
        <v/>
      </c>
      <c r="H205" s="26" t="str">
        <f aca="false">IF($A205="","",ROUND(Payroll!R205-Payroll!L205-Payroll!M205,2))</f>
        <v/>
      </c>
      <c r="I205" s="26" t="str">
        <f aca="false">IF($A205="","",ROUND(Payroll!L205+Payroll!M205,2))</f>
        <v/>
      </c>
      <c r="J205" s="24" t="str">
        <f aca="false">IF($A205="","",0)</f>
        <v/>
      </c>
    </row>
    <row r="206" customFormat="false" ht="15" hidden="false" customHeight="false" outlineLevel="0" collapsed="false">
      <c r="A206" s="24" t="str">
        <f aca="false">IF(AND(Payroll!$A206&lt;&gt;"",N(Payroll!$R206)&gt;0),"EDR","")</f>
        <v/>
      </c>
      <c r="B206" s="24" t="str">
        <f aca="false">IF($A206="","",Payroll!U206)</f>
        <v/>
      </c>
      <c r="C206" s="24" t="str">
        <f aca="false">IF($A206="","",Payroll!S206)</f>
        <v/>
      </c>
      <c r="D206" s="24" t="str">
        <f aca="false">IF($A206="","",SUBSTITUTE(Payroll!T206," ",""))</f>
        <v/>
      </c>
      <c r="E206" s="24" t="str">
        <f aca="false">IF($A206="","",TEXT(Settings!$B$8,"yyyy-mm-dd"))</f>
        <v/>
      </c>
      <c r="F206" s="24" t="str">
        <f aca="false">IF($A206="","",TEXT(Settings!$B$9,"yyyy-mm-dd"))</f>
        <v/>
      </c>
      <c r="G206" s="24" t="str">
        <f aca="false">IF($A206="","",DAY(Settings!$B$9))</f>
        <v/>
      </c>
      <c r="H206" s="26" t="str">
        <f aca="false">IF($A206="","",ROUND(Payroll!R206-Payroll!L206-Payroll!M206,2))</f>
        <v/>
      </c>
      <c r="I206" s="26" t="str">
        <f aca="false">IF($A206="","",ROUND(Payroll!L206+Payroll!M206,2))</f>
        <v/>
      </c>
      <c r="J206" s="24" t="str">
        <f aca="false">IF($A206="","",0)</f>
        <v/>
      </c>
    </row>
    <row r="207" customFormat="false" ht="15" hidden="false" customHeight="false" outlineLevel="0" collapsed="false">
      <c r="A207" s="24" t="str">
        <f aca="false">IF(AND(Payroll!$A207&lt;&gt;"",N(Payroll!$R207)&gt;0),"EDR","")</f>
        <v/>
      </c>
      <c r="B207" s="24" t="str">
        <f aca="false">IF($A207="","",Payroll!U207)</f>
        <v/>
      </c>
      <c r="C207" s="24" t="str">
        <f aca="false">IF($A207="","",Payroll!S207)</f>
        <v/>
      </c>
      <c r="D207" s="24" t="str">
        <f aca="false">IF($A207="","",SUBSTITUTE(Payroll!T207," ",""))</f>
        <v/>
      </c>
      <c r="E207" s="24" t="str">
        <f aca="false">IF($A207="","",TEXT(Settings!$B$8,"yyyy-mm-dd"))</f>
        <v/>
      </c>
      <c r="F207" s="24" t="str">
        <f aca="false">IF($A207="","",TEXT(Settings!$B$9,"yyyy-mm-dd"))</f>
        <v/>
      </c>
      <c r="G207" s="24" t="str">
        <f aca="false">IF($A207="","",DAY(Settings!$B$9))</f>
        <v/>
      </c>
      <c r="H207" s="26" t="str">
        <f aca="false">IF($A207="","",ROUND(Payroll!R207-Payroll!L207-Payroll!M207,2))</f>
        <v/>
      </c>
      <c r="I207" s="26" t="str">
        <f aca="false">IF($A207="","",ROUND(Payroll!L207+Payroll!M207,2))</f>
        <v/>
      </c>
      <c r="J207" s="24" t="str">
        <f aca="false">IF($A207="","",0)</f>
        <v/>
      </c>
    </row>
    <row r="208" customFormat="false" ht="15" hidden="false" customHeight="false" outlineLevel="0" collapsed="false">
      <c r="A208" s="24" t="str">
        <f aca="false">IF(AND(Payroll!$A208&lt;&gt;"",N(Payroll!$R208)&gt;0),"EDR","")</f>
        <v/>
      </c>
      <c r="B208" s="24" t="str">
        <f aca="false">IF($A208="","",Payroll!U208)</f>
        <v/>
      </c>
      <c r="C208" s="24" t="str">
        <f aca="false">IF($A208="","",Payroll!S208)</f>
        <v/>
      </c>
      <c r="D208" s="24" t="str">
        <f aca="false">IF($A208="","",SUBSTITUTE(Payroll!T208," ",""))</f>
        <v/>
      </c>
      <c r="E208" s="24" t="str">
        <f aca="false">IF($A208="","",TEXT(Settings!$B$8,"yyyy-mm-dd"))</f>
        <v/>
      </c>
      <c r="F208" s="24" t="str">
        <f aca="false">IF($A208="","",TEXT(Settings!$B$9,"yyyy-mm-dd"))</f>
        <v/>
      </c>
      <c r="G208" s="24" t="str">
        <f aca="false">IF($A208="","",DAY(Settings!$B$9))</f>
        <v/>
      </c>
      <c r="H208" s="26" t="str">
        <f aca="false">IF($A208="","",ROUND(Payroll!R208-Payroll!L208-Payroll!M208,2))</f>
        <v/>
      </c>
      <c r="I208" s="26" t="str">
        <f aca="false">IF($A208="","",ROUND(Payroll!L208+Payroll!M208,2))</f>
        <v/>
      </c>
      <c r="J208" s="24" t="str">
        <f aca="false">IF($A208="","",0)</f>
        <v/>
      </c>
    </row>
    <row r="209" customFormat="false" ht="15" hidden="false" customHeight="false" outlineLevel="0" collapsed="false">
      <c r="A209" s="24" t="str">
        <f aca="false">IF(AND(Payroll!$A209&lt;&gt;"",N(Payroll!$R209)&gt;0),"EDR","")</f>
        <v/>
      </c>
      <c r="B209" s="24" t="str">
        <f aca="false">IF($A209="","",Payroll!U209)</f>
        <v/>
      </c>
      <c r="C209" s="24" t="str">
        <f aca="false">IF($A209="","",Payroll!S209)</f>
        <v/>
      </c>
      <c r="D209" s="24" t="str">
        <f aca="false">IF($A209="","",SUBSTITUTE(Payroll!T209," ",""))</f>
        <v/>
      </c>
      <c r="E209" s="24" t="str">
        <f aca="false">IF($A209="","",TEXT(Settings!$B$8,"yyyy-mm-dd"))</f>
        <v/>
      </c>
      <c r="F209" s="24" t="str">
        <f aca="false">IF($A209="","",TEXT(Settings!$B$9,"yyyy-mm-dd"))</f>
        <v/>
      </c>
      <c r="G209" s="24" t="str">
        <f aca="false">IF($A209="","",DAY(Settings!$B$9))</f>
        <v/>
      </c>
      <c r="H209" s="26" t="str">
        <f aca="false">IF($A209="","",ROUND(Payroll!R209-Payroll!L209-Payroll!M209,2))</f>
        <v/>
      </c>
      <c r="I209" s="26" t="str">
        <f aca="false">IF($A209="","",ROUND(Payroll!L209+Payroll!M209,2))</f>
        <v/>
      </c>
      <c r="J209" s="24" t="str">
        <f aca="false">IF($A209="","",0)</f>
        <v/>
      </c>
    </row>
    <row r="210" customFormat="false" ht="15" hidden="false" customHeight="false" outlineLevel="0" collapsed="false">
      <c r="A210" s="24" t="str">
        <f aca="false">IF(AND(Payroll!$A210&lt;&gt;"",N(Payroll!$R210)&gt;0),"EDR","")</f>
        <v/>
      </c>
      <c r="B210" s="24" t="str">
        <f aca="false">IF($A210="","",Payroll!U210)</f>
        <v/>
      </c>
      <c r="C210" s="24" t="str">
        <f aca="false">IF($A210="","",Payroll!S210)</f>
        <v/>
      </c>
      <c r="D210" s="24" t="str">
        <f aca="false">IF($A210="","",SUBSTITUTE(Payroll!T210," ",""))</f>
        <v/>
      </c>
      <c r="E210" s="24" t="str">
        <f aca="false">IF($A210="","",TEXT(Settings!$B$8,"yyyy-mm-dd"))</f>
        <v/>
      </c>
      <c r="F210" s="24" t="str">
        <f aca="false">IF($A210="","",TEXT(Settings!$B$9,"yyyy-mm-dd"))</f>
        <v/>
      </c>
      <c r="G210" s="24" t="str">
        <f aca="false">IF($A210="","",DAY(Settings!$B$9))</f>
        <v/>
      </c>
      <c r="H210" s="26" t="str">
        <f aca="false">IF($A210="","",ROUND(Payroll!R210-Payroll!L210-Payroll!M210,2))</f>
        <v/>
      </c>
      <c r="I210" s="26" t="str">
        <f aca="false">IF($A210="","",ROUND(Payroll!L210+Payroll!M210,2))</f>
        <v/>
      </c>
      <c r="J210" s="24" t="str">
        <f aca="false">IF($A210="","",0)</f>
        <v/>
      </c>
    </row>
    <row r="211" customFormat="false" ht="15" hidden="false" customHeight="false" outlineLevel="0" collapsed="false">
      <c r="A211" s="24" t="str">
        <f aca="false">IF(AND(Payroll!$A211&lt;&gt;"",N(Payroll!$R211)&gt;0),"EDR","")</f>
        <v/>
      </c>
      <c r="B211" s="24" t="str">
        <f aca="false">IF($A211="","",Payroll!U211)</f>
        <v/>
      </c>
      <c r="C211" s="24" t="str">
        <f aca="false">IF($A211="","",Payroll!S211)</f>
        <v/>
      </c>
      <c r="D211" s="24" t="str">
        <f aca="false">IF($A211="","",SUBSTITUTE(Payroll!T211," ",""))</f>
        <v/>
      </c>
      <c r="E211" s="24" t="str">
        <f aca="false">IF($A211="","",TEXT(Settings!$B$8,"yyyy-mm-dd"))</f>
        <v/>
      </c>
      <c r="F211" s="24" t="str">
        <f aca="false">IF($A211="","",TEXT(Settings!$B$9,"yyyy-mm-dd"))</f>
        <v/>
      </c>
      <c r="G211" s="24" t="str">
        <f aca="false">IF($A211="","",DAY(Settings!$B$9))</f>
        <v/>
      </c>
      <c r="H211" s="26" t="str">
        <f aca="false">IF($A211="","",ROUND(Payroll!R211-Payroll!L211-Payroll!M211,2))</f>
        <v/>
      </c>
      <c r="I211" s="26" t="str">
        <f aca="false">IF($A211="","",ROUND(Payroll!L211+Payroll!M211,2))</f>
        <v/>
      </c>
      <c r="J211" s="24" t="str">
        <f aca="false">IF($A211="","",0)</f>
        <v/>
      </c>
    </row>
    <row r="212" customFormat="false" ht="15" hidden="false" customHeight="false" outlineLevel="0" collapsed="false">
      <c r="A212" s="24" t="str">
        <f aca="false">IF(AND(Payroll!$A212&lt;&gt;"",N(Payroll!$R212)&gt;0),"EDR","")</f>
        <v/>
      </c>
      <c r="B212" s="24" t="str">
        <f aca="false">IF($A212="","",Payroll!U212)</f>
        <v/>
      </c>
      <c r="C212" s="24" t="str">
        <f aca="false">IF($A212="","",Payroll!S212)</f>
        <v/>
      </c>
      <c r="D212" s="24" t="str">
        <f aca="false">IF($A212="","",SUBSTITUTE(Payroll!T212," ",""))</f>
        <v/>
      </c>
      <c r="E212" s="24" t="str">
        <f aca="false">IF($A212="","",TEXT(Settings!$B$8,"yyyy-mm-dd"))</f>
        <v/>
      </c>
      <c r="F212" s="24" t="str">
        <f aca="false">IF($A212="","",TEXT(Settings!$B$9,"yyyy-mm-dd"))</f>
        <v/>
      </c>
      <c r="G212" s="24" t="str">
        <f aca="false">IF($A212="","",DAY(Settings!$B$9))</f>
        <v/>
      </c>
      <c r="H212" s="26" t="str">
        <f aca="false">IF($A212="","",ROUND(Payroll!R212-Payroll!L212-Payroll!M212,2))</f>
        <v/>
      </c>
      <c r="I212" s="26" t="str">
        <f aca="false">IF($A212="","",ROUND(Payroll!L212+Payroll!M212,2))</f>
        <v/>
      </c>
      <c r="J212" s="24" t="str">
        <f aca="false">IF($A212="","",0)</f>
        <v/>
      </c>
    </row>
    <row r="213" customFormat="false" ht="15" hidden="false" customHeight="false" outlineLevel="0" collapsed="false">
      <c r="A213" s="24" t="str">
        <f aca="false">IF(AND(Payroll!$A213&lt;&gt;"",N(Payroll!$R213)&gt;0),"EDR","")</f>
        <v/>
      </c>
      <c r="B213" s="24" t="str">
        <f aca="false">IF($A213="","",Payroll!U213)</f>
        <v/>
      </c>
      <c r="C213" s="24" t="str">
        <f aca="false">IF($A213="","",Payroll!S213)</f>
        <v/>
      </c>
      <c r="D213" s="24" t="str">
        <f aca="false">IF($A213="","",SUBSTITUTE(Payroll!T213," ",""))</f>
        <v/>
      </c>
      <c r="E213" s="24" t="str">
        <f aca="false">IF($A213="","",TEXT(Settings!$B$8,"yyyy-mm-dd"))</f>
        <v/>
      </c>
      <c r="F213" s="24" t="str">
        <f aca="false">IF($A213="","",TEXT(Settings!$B$9,"yyyy-mm-dd"))</f>
        <v/>
      </c>
      <c r="G213" s="24" t="str">
        <f aca="false">IF($A213="","",DAY(Settings!$B$9))</f>
        <v/>
      </c>
      <c r="H213" s="26" t="str">
        <f aca="false">IF($A213="","",ROUND(Payroll!R213-Payroll!L213-Payroll!M213,2))</f>
        <v/>
      </c>
      <c r="I213" s="26" t="str">
        <f aca="false">IF($A213="","",ROUND(Payroll!L213+Payroll!M213,2))</f>
        <v/>
      </c>
      <c r="J213" s="24" t="str">
        <f aca="false">IF($A213="","",0)</f>
        <v/>
      </c>
    </row>
    <row r="214" customFormat="false" ht="15" hidden="false" customHeight="false" outlineLevel="0" collapsed="false">
      <c r="A214" s="24" t="str">
        <f aca="false">IF(AND(Payroll!$A214&lt;&gt;"",N(Payroll!$R214)&gt;0),"EDR","")</f>
        <v/>
      </c>
      <c r="B214" s="24" t="str">
        <f aca="false">IF($A214="","",Payroll!U214)</f>
        <v/>
      </c>
      <c r="C214" s="24" t="str">
        <f aca="false">IF($A214="","",Payroll!S214)</f>
        <v/>
      </c>
      <c r="D214" s="24" t="str">
        <f aca="false">IF($A214="","",SUBSTITUTE(Payroll!T214," ",""))</f>
        <v/>
      </c>
      <c r="E214" s="24" t="str">
        <f aca="false">IF($A214="","",TEXT(Settings!$B$8,"yyyy-mm-dd"))</f>
        <v/>
      </c>
      <c r="F214" s="24" t="str">
        <f aca="false">IF($A214="","",TEXT(Settings!$B$9,"yyyy-mm-dd"))</f>
        <v/>
      </c>
      <c r="G214" s="24" t="str">
        <f aca="false">IF($A214="","",DAY(Settings!$B$9))</f>
        <v/>
      </c>
      <c r="H214" s="26" t="str">
        <f aca="false">IF($A214="","",ROUND(Payroll!R214-Payroll!L214-Payroll!M214,2))</f>
        <v/>
      </c>
      <c r="I214" s="26" t="str">
        <f aca="false">IF($A214="","",ROUND(Payroll!L214+Payroll!M214,2))</f>
        <v/>
      </c>
      <c r="J214" s="24" t="str">
        <f aca="false">IF($A214="","",0)</f>
        <v/>
      </c>
    </row>
    <row r="215" customFormat="false" ht="15" hidden="false" customHeight="false" outlineLevel="0" collapsed="false">
      <c r="A215" s="24" t="str">
        <f aca="false">IF(AND(Payroll!$A215&lt;&gt;"",N(Payroll!$R215)&gt;0),"EDR","")</f>
        <v/>
      </c>
      <c r="B215" s="24" t="str">
        <f aca="false">IF($A215="","",Payroll!U215)</f>
        <v/>
      </c>
      <c r="C215" s="24" t="str">
        <f aca="false">IF($A215="","",Payroll!S215)</f>
        <v/>
      </c>
      <c r="D215" s="24" t="str">
        <f aca="false">IF($A215="","",SUBSTITUTE(Payroll!T215," ",""))</f>
        <v/>
      </c>
      <c r="E215" s="24" t="str">
        <f aca="false">IF($A215="","",TEXT(Settings!$B$8,"yyyy-mm-dd"))</f>
        <v/>
      </c>
      <c r="F215" s="24" t="str">
        <f aca="false">IF($A215="","",TEXT(Settings!$B$9,"yyyy-mm-dd"))</f>
        <v/>
      </c>
      <c r="G215" s="24" t="str">
        <f aca="false">IF($A215="","",DAY(Settings!$B$9))</f>
        <v/>
      </c>
      <c r="H215" s="26" t="str">
        <f aca="false">IF($A215="","",ROUND(Payroll!R215-Payroll!L215-Payroll!M215,2))</f>
        <v/>
      </c>
      <c r="I215" s="26" t="str">
        <f aca="false">IF($A215="","",ROUND(Payroll!L215+Payroll!M215,2))</f>
        <v/>
      </c>
      <c r="J215" s="24" t="str">
        <f aca="false">IF($A215="","",0)</f>
        <v/>
      </c>
    </row>
    <row r="216" customFormat="false" ht="15" hidden="false" customHeight="false" outlineLevel="0" collapsed="false">
      <c r="A216" s="24" t="str">
        <f aca="false">IF(AND(Payroll!$A216&lt;&gt;"",N(Payroll!$R216)&gt;0),"EDR","")</f>
        <v/>
      </c>
      <c r="B216" s="24" t="str">
        <f aca="false">IF($A216="","",Payroll!U216)</f>
        <v/>
      </c>
      <c r="C216" s="24" t="str">
        <f aca="false">IF($A216="","",Payroll!S216)</f>
        <v/>
      </c>
      <c r="D216" s="24" t="str">
        <f aca="false">IF($A216="","",SUBSTITUTE(Payroll!T216," ",""))</f>
        <v/>
      </c>
      <c r="E216" s="24" t="str">
        <f aca="false">IF($A216="","",TEXT(Settings!$B$8,"yyyy-mm-dd"))</f>
        <v/>
      </c>
      <c r="F216" s="24" t="str">
        <f aca="false">IF($A216="","",TEXT(Settings!$B$9,"yyyy-mm-dd"))</f>
        <v/>
      </c>
      <c r="G216" s="24" t="str">
        <f aca="false">IF($A216="","",DAY(Settings!$B$9))</f>
        <v/>
      </c>
      <c r="H216" s="26" t="str">
        <f aca="false">IF($A216="","",ROUND(Payroll!R216-Payroll!L216-Payroll!M216,2))</f>
        <v/>
      </c>
      <c r="I216" s="26" t="str">
        <f aca="false">IF($A216="","",ROUND(Payroll!L216+Payroll!M216,2))</f>
        <v/>
      </c>
      <c r="J216" s="24" t="str">
        <f aca="false">IF($A216="","",0)</f>
        <v/>
      </c>
    </row>
    <row r="217" customFormat="false" ht="15" hidden="false" customHeight="false" outlineLevel="0" collapsed="false">
      <c r="A217" s="24" t="str">
        <f aca="false">IF(AND(Payroll!$A217&lt;&gt;"",N(Payroll!$R217)&gt;0),"EDR","")</f>
        <v/>
      </c>
      <c r="B217" s="24" t="str">
        <f aca="false">IF($A217="","",Payroll!U217)</f>
        <v/>
      </c>
      <c r="C217" s="24" t="str">
        <f aca="false">IF($A217="","",Payroll!S217)</f>
        <v/>
      </c>
      <c r="D217" s="24" t="str">
        <f aca="false">IF($A217="","",SUBSTITUTE(Payroll!T217," ",""))</f>
        <v/>
      </c>
      <c r="E217" s="24" t="str">
        <f aca="false">IF($A217="","",TEXT(Settings!$B$8,"yyyy-mm-dd"))</f>
        <v/>
      </c>
      <c r="F217" s="24" t="str">
        <f aca="false">IF($A217="","",TEXT(Settings!$B$9,"yyyy-mm-dd"))</f>
        <v/>
      </c>
      <c r="G217" s="24" t="str">
        <f aca="false">IF($A217="","",DAY(Settings!$B$9))</f>
        <v/>
      </c>
      <c r="H217" s="26" t="str">
        <f aca="false">IF($A217="","",ROUND(Payroll!R217-Payroll!L217-Payroll!M217,2))</f>
        <v/>
      </c>
      <c r="I217" s="26" t="str">
        <f aca="false">IF($A217="","",ROUND(Payroll!L217+Payroll!M217,2))</f>
        <v/>
      </c>
      <c r="J217" s="24" t="str">
        <f aca="false">IF($A217="","",0)</f>
        <v/>
      </c>
    </row>
    <row r="218" customFormat="false" ht="15" hidden="false" customHeight="false" outlineLevel="0" collapsed="false">
      <c r="A218" s="24" t="str">
        <f aca="false">IF(AND(Payroll!$A218&lt;&gt;"",N(Payroll!$R218)&gt;0),"EDR","")</f>
        <v/>
      </c>
      <c r="B218" s="24" t="str">
        <f aca="false">IF($A218="","",Payroll!U218)</f>
        <v/>
      </c>
      <c r="C218" s="24" t="str">
        <f aca="false">IF($A218="","",Payroll!S218)</f>
        <v/>
      </c>
      <c r="D218" s="24" t="str">
        <f aca="false">IF($A218="","",SUBSTITUTE(Payroll!T218," ",""))</f>
        <v/>
      </c>
      <c r="E218" s="24" t="str">
        <f aca="false">IF($A218="","",TEXT(Settings!$B$8,"yyyy-mm-dd"))</f>
        <v/>
      </c>
      <c r="F218" s="24" t="str">
        <f aca="false">IF($A218="","",TEXT(Settings!$B$9,"yyyy-mm-dd"))</f>
        <v/>
      </c>
      <c r="G218" s="24" t="str">
        <f aca="false">IF($A218="","",DAY(Settings!$B$9))</f>
        <v/>
      </c>
      <c r="H218" s="26" t="str">
        <f aca="false">IF($A218="","",ROUND(Payroll!R218-Payroll!L218-Payroll!M218,2))</f>
        <v/>
      </c>
      <c r="I218" s="26" t="str">
        <f aca="false">IF($A218="","",ROUND(Payroll!L218+Payroll!M218,2))</f>
        <v/>
      </c>
      <c r="J218" s="24" t="str">
        <f aca="false">IF($A218="","",0)</f>
        <v/>
      </c>
    </row>
    <row r="219" customFormat="false" ht="15" hidden="false" customHeight="false" outlineLevel="0" collapsed="false">
      <c r="A219" s="24" t="str">
        <f aca="false">IF(AND(Payroll!$A219&lt;&gt;"",N(Payroll!$R219)&gt;0),"EDR","")</f>
        <v/>
      </c>
      <c r="B219" s="24" t="str">
        <f aca="false">IF($A219="","",Payroll!U219)</f>
        <v/>
      </c>
      <c r="C219" s="24" t="str">
        <f aca="false">IF($A219="","",Payroll!S219)</f>
        <v/>
      </c>
      <c r="D219" s="24" t="str">
        <f aca="false">IF($A219="","",SUBSTITUTE(Payroll!T219," ",""))</f>
        <v/>
      </c>
      <c r="E219" s="24" t="str">
        <f aca="false">IF($A219="","",TEXT(Settings!$B$8,"yyyy-mm-dd"))</f>
        <v/>
      </c>
      <c r="F219" s="24" t="str">
        <f aca="false">IF($A219="","",TEXT(Settings!$B$9,"yyyy-mm-dd"))</f>
        <v/>
      </c>
      <c r="G219" s="24" t="str">
        <f aca="false">IF($A219="","",DAY(Settings!$B$9))</f>
        <v/>
      </c>
      <c r="H219" s="26" t="str">
        <f aca="false">IF($A219="","",ROUND(Payroll!R219-Payroll!L219-Payroll!M219,2))</f>
        <v/>
      </c>
      <c r="I219" s="26" t="str">
        <f aca="false">IF($A219="","",ROUND(Payroll!L219+Payroll!M219,2))</f>
        <v/>
      </c>
      <c r="J219" s="24" t="str">
        <f aca="false">IF($A219="","",0)</f>
        <v/>
      </c>
    </row>
    <row r="220" customFormat="false" ht="15" hidden="false" customHeight="false" outlineLevel="0" collapsed="false">
      <c r="A220" s="24" t="str">
        <f aca="false">IF(AND(Payroll!$A220&lt;&gt;"",N(Payroll!$R220)&gt;0),"EDR","")</f>
        <v/>
      </c>
      <c r="B220" s="24" t="str">
        <f aca="false">IF($A220="","",Payroll!U220)</f>
        <v/>
      </c>
      <c r="C220" s="24" t="str">
        <f aca="false">IF($A220="","",Payroll!S220)</f>
        <v/>
      </c>
      <c r="D220" s="24" t="str">
        <f aca="false">IF($A220="","",SUBSTITUTE(Payroll!T220," ",""))</f>
        <v/>
      </c>
      <c r="E220" s="24" t="str">
        <f aca="false">IF($A220="","",TEXT(Settings!$B$8,"yyyy-mm-dd"))</f>
        <v/>
      </c>
      <c r="F220" s="24" t="str">
        <f aca="false">IF($A220="","",TEXT(Settings!$B$9,"yyyy-mm-dd"))</f>
        <v/>
      </c>
      <c r="G220" s="24" t="str">
        <f aca="false">IF($A220="","",DAY(Settings!$B$9))</f>
        <v/>
      </c>
      <c r="H220" s="26" t="str">
        <f aca="false">IF($A220="","",ROUND(Payroll!R220-Payroll!L220-Payroll!M220,2))</f>
        <v/>
      </c>
      <c r="I220" s="26" t="str">
        <f aca="false">IF($A220="","",ROUND(Payroll!L220+Payroll!M220,2))</f>
        <v/>
      </c>
      <c r="J220" s="24" t="str">
        <f aca="false">IF($A220="","",0)</f>
        <v/>
      </c>
    </row>
    <row r="221" customFormat="false" ht="15" hidden="false" customHeight="false" outlineLevel="0" collapsed="false">
      <c r="A221" s="24" t="str">
        <f aca="false">IF(AND(Payroll!$A221&lt;&gt;"",N(Payroll!$R221)&gt;0),"EDR","")</f>
        <v/>
      </c>
      <c r="B221" s="24" t="str">
        <f aca="false">IF($A221="","",Payroll!U221)</f>
        <v/>
      </c>
      <c r="C221" s="24" t="str">
        <f aca="false">IF($A221="","",Payroll!S221)</f>
        <v/>
      </c>
      <c r="D221" s="24" t="str">
        <f aca="false">IF($A221="","",SUBSTITUTE(Payroll!T221," ",""))</f>
        <v/>
      </c>
      <c r="E221" s="24" t="str">
        <f aca="false">IF($A221="","",TEXT(Settings!$B$8,"yyyy-mm-dd"))</f>
        <v/>
      </c>
      <c r="F221" s="24" t="str">
        <f aca="false">IF($A221="","",TEXT(Settings!$B$9,"yyyy-mm-dd"))</f>
        <v/>
      </c>
      <c r="G221" s="24" t="str">
        <f aca="false">IF($A221="","",DAY(Settings!$B$9))</f>
        <v/>
      </c>
      <c r="H221" s="26" t="str">
        <f aca="false">IF($A221="","",ROUND(Payroll!R221-Payroll!L221-Payroll!M221,2))</f>
        <v/>
      </c>
      <c r="I221" s="26" t="str">
        <f aca="false">IF($A221="","",ROUND(Payroll!L221+Payroll!M221,2))</f>
        <v/>
      </c>
      <c r="J221" s="24" t="str">
        <f aca="false">IF($A221="","",0)</f>
        <v/>
      </c>
    </row>
    <row r="222" customFormat="false" ht="15" hidden="false" customHeight="false" outlineLevel="0" collapsed="false">
      <c r="A222" s="24" t="str">
        <f aca="false">IF(AND(Payroll!$A222&lt;&gt;"",N(Payroll!$R222)&gt;0),"EDR","")</f>
        <v/>
      </c>
      <c r="B222" s="24" t="str">
        <f aca="false">IF($A222="","",Payroll!U222)</f>
        <v/>
      </c>
      <c r="C222" s="24" t="str">
        <f aca="false">IF($A222="","",Payroll!S222)</f>
        <v/>
      </c>
      <c r="D222" s="24" t="str">
        <f aca="false">IF($A222="","",SUBSTITUTE(Payroll!T222," ",""))</f>
        <v/>
      </c>
      <c r="E222" s="24" t="str">
        <f aca="false">IF($A222="","",TEXT(Settings!$B$8,"yyyy-mm-dd"))</f>
        <v/>
      </c>
      <c r="F222" s="24" t="str">
        <f aca="false">IF($A222="","",TEXT(Settings!$B$9,"yyyy-mm-dd"))</f>
        <v/>
      </c>
      <c r="G222" s="24" t="str">
        <f aca="false">IF($A222="","",DAY(Settings!$B$9))</f>
        <v/>
      </c>
      <c r="H222" s="26" t="str">
        <f aca="false">IF($A222="","",ROUND(Payroll!R222-Payroll!L222-Payroll!M222,2))</f>
        <v/>
      </c>
      <c r="I222" s="26" t="str">
        <f aca="false">IF($A222="","",ROUND(Payroll!L222+Payroll!M222,2))</f>
        <v/>
      </c>
      <c r="J222" s="24" t="str">
        <f aca="false">IF($A222="","",0)</f>
        <v/>
      </c>
    </row>
    <row r="223" customFormat="false" ht="15" hidden="false" customHeight="false" outlineLevel="0" collapsed="false">
      <c r="A223" s="24" t="str">
        <f aca="false">IF(AND(Payroll!$A223&lt;&gt;"",N(Payroll!$R223)&gt;0),"EDR","")</f>
        <v/>
      </c>
      <c r="B223" s="24" t="str">
        <f aca="false">IF($A223="","",Payroll!U223)</f>
        <v/>
      </c>
      <c r="C223" s="24" t="str">
        <f aca="false">IF($A223="","",Payroll!S223)</f>
        <v/>
      </c>
      <c r="D223" s="24" t="str">
        <f aca="false">IF($A223="","",SUBSTITUTE(Payroll!T223," ",""))</f>
        <v/>
      </c>
      <c r="E223" s="24" t="str">
        <f aca="false">IF($A223="","",TEXT(Settings!$B$8,"yyyy-mm-dd"))</f>
        <v/>
      </c>
      <c r="F223" s="24" t="str">
        <f aca="false">IF($A223="","",TEXT(Settings!$B$9,"yyyy-mm-dd"))</f>
        <v/>
      </c>
      <c r="G223" s="24" t="str">
        <f aca="false">IF($A223="","",DAY(Settings!$B$9))</f>
        <v/>
      </c>
      <c r="H223" s="26" t="str">
        <f aca="false">IF($A223="","",ROUND(Payroll!R223-Payroll!L223-Payroll!M223,2))</f>
        <v/>
      </c>
      <c r="I223" s="26" t="str">
        <f aca="false">IF($A223="","",ROUND(Payroll!L223+Payroll!M223,2))</f>
        <v/>
      </c>
      <c r="J223" s="24" t="str">
        <f aca="false">IF($A223="","",0)</f>
        <v/>
      </c>
    </row>
    <row r="224" customFormat="false" ht="15" hidden="false" customHeight="false" outlineLevel="0" collapsed="false">
      <c r="A224" s="24" t="str">
        <f aca="false">IF(AND(Payroll!$A224&lt;&gt;"",N(Payroll!$R224)&gt;0),"EDR","")</f>
        <v/>
      </c>
      <c r="B224" s="24" t="str">
        <f aca="false">IF($A224="","",Payroll!U224)</f>
        <v/>
      </c>
      <c r="C224" s="24" t="str">
        <f aca="false">IF($A224="","",Payroll!S224)</f>
        <v/>
      </c>
      <c r="D224" s="24" t="str">
        <f aca="false">IF($A224="","",SUBSTITUTE(Payroll!T224," ",""))</f>
        <v/>
      </c>
      <c r="E224" s="24" t="str">
        <f aca="false">IF($A224="","",TEXT(Settings!$B$8,"yyyy-mm-dd"))</f>
        <v/>
      </c>
      <c r="F224" s="24" t="str">
        <f aca="false">IF($A224="","",TEXT(Settings!$B$9,"yyyy-mm-dd"))</f>
        <v/>
      </c>
      <c r="G224" s="24" t="str">
        <f aca="false">IF($A224="","",DAY(Settings!$B$9))</f>
        <v/>
      </c>
      <c r="H224" s="26" t="str">
        <f aca="false">IF($A224="","",ROUND(Payroll!R224-Payroll!L224-Payroll!M224,2))</f>
        <v/>
      </c>
      <c r="I224" s="26" t="str">
        <f aca="false">IF($A224="","",ROUND(Payroll!L224+Payroll!M224,2))</f>
        <v/>
      </c>
      <c r="J224" s="24" t="str">
        <f aca="false">IF($A224="","",0)</f>
        <v/>
      </c>
    </row>
    <row r="225" customFormat="false" ht="15" hidden="false" customHeight="false" outlineLevel="0" collapsed="false">
      <c r="A225" s="24" t="str">
        <f aca="false">IF(AND(Payroll!$A225&lt;&gt;"",N(Payroll!$R225)&gt;0),"EDR","")</f>
        <v/>
      </c>
      <c r="B225" s="24" t="str">
        <f aca="false">IF($A225="","",Payroll!U225)</f>
        <v/>
      </c>
      <c r="C225" s="24" t="str">
        <f aca="false">IF($A225="","",Payroll!S225)</f>
        <v/>
      </c>
      <c r="D225" s="24" t="str">
        <f aca="false">IF($A225="","",SUBSTITUTE(Payroll!T225," ",""))</f>
        <v/>
      </c>
      <c r="E225" s="24" t="str">
        <f aca="false">IF($A225="","",TEXT(Settings!$B$8,"yyyy-mm-dd"))</f>
        <v/>
      </c>
      <c r="F225" s="24" t="str">
        <f aca="false">IF($A225="","",TEXT(Settings!$B$9,"yyyy-mm-dd"))</f>
        <v/>
      </c>
      <c r="G225" s="24" t="str">
        <f aca="false">IF($A225="","",DAY(Settings!$B$9))</f>
        <v/>
      </c>
      <c r="H225" s="26" t="str">
        <f aca="false">IF($A225="","",ROUND(Payroll!R225-Payroll!L225-Payroll!M225,2))</f>
        <v/>
      </c>
      <c r="I225" s="26" t="str">
        <f aca="false">IF($A225="","",ROUND(Payroll!L225+Payroll!M225,2))</f>
        <v/>
      </c>
      <c r="J225" s="24" t="str">
        <f aca="false">IF($A225="","",0)</f>
        <v/>
      </c>
    </row>
    <row r="226" customFormat="false" ht="15" hidden="false" customHeight="false" outlineLevel="0" collapsed="false">
      <c r="A226" s="24" t="str">
        <f aca="false">IF(AND(Payroll!$A226&lt;&gt;"",N(Payroll!$R226)&gt;0),"EDR","")</f>
        <v/>
      </c>
      <c r="B226" s="24" t="str">
        <f aca="false">IF($A226="","",Payroll!U226)</f>
        <v/>
      </c>
      <c r="C226" s="24" t="str">
        <f aca="false">IF($A226="","",Payroll!S226)</f>
        <v/>
      </c>
      <c r="D226" s="24" t="str">
        <f aca="false">IF($A226="","",SUBSTITUTE(Payroll!T226," ",""))</f>
        <v/>
      </c>
      <c r="E226" s="24" t="str">
        <f aca="false">IF($A226="","",TEXT(Settings!$B$8,"yyyy-mm-dd"))</f>
        <v/>
      </c>
      <c r="F226" s="24" t="str">
        <f aca="false">IF($A226="","",TEXT(Settings!$B$9,"yyyy-mm-dd"))</f>
        <v/>
      </c>
      <c r="G226" s="24" t="str">
        <f aca="false">IF($A226="","",DAY(Settings!$B$9))</f>
        <v/>
      </c>
      <c r="H226" s="26" t="str">
        <f aca="false">IF($A226="","",ROUND(Payroll!R226-Payroll!L226-Payroll!M226,2))</f>
        <v/>
      </c>
      <c r="I226" s="26" t="str">
        <f aca="false">IF($A226="","",ROUND(Payroll!L226+Payroll!M226,2))</f>
        <v/>
      </c>
      <c r="J226" s="24" t="str">
        <f aca="false">IF($A226="","",0)</f>
        <v/>
      </c>
    </row>
    <row r="227" customFormat="false" ht="15" hidden="false" customHeight="false" outlineLevel="0" collapsed="false">
      <c r="A227" s="24" t="str">
        <f aca="false">IF(AND(Payroll!$A227&lt;&gt;"",N(Payroll!$R227)&gt;0),"EDR","")</f>
        <v/>
      </c>
      <c r="B227" s="24" t="str">
        <f aca="false">IF($A227="","",Payroll!U227)</f>
        <v/>
      </c>
      <c r="C227" s="24" t="str">
        <f aca="false">IF($A227="","",Payroll!S227)</f>
        <v/>
      </c>
      <c r="D227" s="24" t="str">
        <f aca="false">IF($A227="","",SUBSTITUTE(Payroll!T227," ",""))</f>
        <v/>
      </c>
      <c r="E227" s="24" t="str">
        <f aca="false">IF($A227="","",TEXT(Settings!$B$8,"yyyy-mm-dd"))</f>
        <v/>
      </c>
      <c r="F227" s="24" t="str">
        <f aca="false">IF($A227="","",TEXT(Settings!$B$9,"yyyy-mm-dd"))</f>
        <v/>
      </c>
      <c r="G227" s="24" t="str">
        <f aca="false">IF($A227="","",DAY(Settings!$B$9))</f>
        <v/>
      </c>
      <c r="H227" s="26" t="str">
        <f aca="false">IF($A227="","",ROUND(Payroll!R227-Payroll!L227-Payroll!M227,2))</f>
        <v/>
      </c>
      <c r="I227" s="26" t="str">
        <f aca="false">IF($A227="","",ROUND(Payroll!L227+Payroll!M227,2))</f>
        <v/>
      </c>
      <c r="J227" s="24" t="str">
        <f aca="false">IF($A227="","",0)</f>
        <v/>
      </c>
    </row>
    <row r="228" customFormat="false" ht="15" hidden="false" customHeight="false" outlineLevel="0" collapsed="false">
      <c r="A228" s="24" t="str">
        <f aca="false">IF(AND(Payroll!$A228&lt;&gt;"",N(Payroll!$R228)&gt;0),"EDR","")</f>
        <v/>
      </c>
      <c r="B228" s="24" t="str">
        <f aca="false">IF($A228="","",Payroll!U228)</f>
        <v/>
      </c>
      <c r="C228" s="24" t="str">
        <f aca="false">IF($A228="","",Payroll!S228)</f>
        <v/>
      </c>
      <c r="D228" s="24" t="str">
        <f aca="false">IF($A228="","",SUBSTITUTE(Payroll!T228," ",""))</f>
        <v/>
      </c>
      <c r="E228" s="24" t="str">
        <f aca="false">IF($A228="","",TEXT(Settings!$B$8,"yyyy-mm-dd"))</f>
        <v/>
      </c>
      <c r="F228" s="24" t="str">
        <f aca="false">IF($A228="","",TEXT(Settings!$B$9,"yyyy-mm-dd"))</f>
        <v/>
      </c>
      <c r="G228" s="24" t="str">
        <f aca="false">IF($A228="","",DAY(Settings!$B$9))</f>
        <v/>
      </c>
      <c r="H228" s="26" t="str">
        <f aca="false">IF($A228="","",ROUND(Payroll!R228-Payroll!L228-Payroll!M228,2))</f>
        <v/>
      </c>
      <c r="I228" s="26" t="str">
        <f aca="false">IF($A228="","",ROUND(Payroll!L228+Payroll!M228,2))</f>
        <v/>
      </c>
      <c r="J228" s="24" t="str">
        <f aca="false">IF($A228="","",0)</f>
        <v/>
      </c>
    </row>
    <row r="229" customFormat="false" ht="15" hidden="false" customHeight="false" outlineLevel="0" collapsed="false">
      <c r="A229" s="24" t="str">
        <f aca="false">IF(AND(Payroll!$A229&lt;&gt;"",N(Payroll!$R229)&gt;0),"EDR","")</f>
        <v/>
      </c>
      <c r="B229" s="24" t="str">
        <f aca="false">IF($A229="","",Payroll!U229)</f>
        <v/>
      </c>
      <c r="C229" s="24" t="str">
        <f aca="false">IF($A229="","",Payroll!S229)</f>
        <v/>
      </c>
      <c r="D229" s="24" t="str">
        <f aca="false">IF($A229="","",SUBSTITUTE(Payroll!T229," ",""))</f>
        <v/>
      </c>
      <c r="E229" s="24" t="str">
        <f aca="false">IF($A229="","",TEXT(Settings!$B$8,"yyyy-mm-dd"))</f>
        <v/>
      </c>
      <c r="F229" s="24" t="str">
        <f aca="false">IF($A229="","",TEXT(Settings!$B$9,"yyyy-mm-dd"))</f>
        <v/>
      </c>
      <c r="G229" s="24" t="str">
        <f aca="false">IF($A229="","",DAY(Settings!$B$9))</f>
        <v/>
      </c>
      <c r="H229" s="26" t="str">
        <f aca="false">IF($A229="","",ROUND(Payroll!R229-Payroll!L229-Payroll!M229,2))</f>
        <v/>
      </c>
      <c r="I229" s="26" t="str">
        <f aca="false">IF($A229="","",ROUND(Payroll!L229+Payroll!M229,2))</f>
        <v/>
      </c>
      <c r="J229" s="24" t="str">
        <f aca="false">IF($A229="","",0)</f>
        <v/>
      </c>
    </row>
    <row r="230" customFormat="false" ht="15" hidden="false" customHeight="false" outlineLevel="0" collapsed="false">
      <c r="A230" s="24" t="str">
        <f aca="false">IF(AND(Payroll!$A230&lt;&gt;"",N(Payroll!$R230)&gt;0),"EDR","")</f>
        <v/>
      </c>
      <c r="B230" s="24" t="str">
        <f aca="false">IF($A230="","",Payroll!U230)</f>
        <v/>
      </c>
      <c r="C230" s="24" t="str">
        <f aca="false">IF($A230="","",Payroll!S230)</f>
        <v/>
      </c>
      <c r="D230" s="24" t="str">
        <f aca="false">IF($A230="","",SUBSTITUTE(Payroll!T230," ",""))</f>
        <v/>
      </c>
      <c r="E230" s="24" t="str">
        <f aca="false">IF($A230="","",TEXT(Settings!$B$8,"yyyy-mm-dd"))</f>
        <v/>
      </c>
      <c r="F230" s="24" t="str">
        <f aca="false">IF($A230="","",TEXT(Settings!$B$9,"yyyy-mm-dd"))</f>
        <v/>
      </c>
      <c r="G230" s="24" t="str">
        <f aca="false">IF($A230="","",DAY(Settings!$B$9))</f>
        <v/>
      </c>
      <c r="H230" s="26" t="str">
        <f aca="false">IF($A230="","",ROUND(Payroll!R230-Payroll!L230-Payroll!M230,2))</f>
        <v/>
      </c>
      <c r="I230" s="26" t="str">
        <f aca="false">IF($A230="","",ROUND(Payroll!L230+Payroll!M230,2))</f>
        <v/>
      </c>
      <c r="J230" s="24" t="str">
        <f aca="false">IF($A230="","",0)</f>
        <v/>
      </c>
    </row>
    <row r="231" customFormat="false" ht="15" hidden="false" customHeight="false" outlineLevel="0" collapsed="false">
      <c r="A231" s="24" t="str">
        <f aca="false">IF(AND(Payroll!$A231&lt;&gt;"",N(Payroll!$R231)&gt;0),"EDR","")</f>
        <v/>
      </c>
      <c r="B231" s="24" t="str">
        <f aca="false">IF($A231="","",Payroll!U231)</f>
        <v/>
      </c>
      <c r="C231" s="24" t="str">
        <f aca="false">IF($A231="","",Payroll!S231)</f>
        <v/>
      </c>
      <c r="D231" s="24" t="str">
        <f aca="false">IF($A231="","",SUBSTITUTE(Payroll!T231," ",""))</f>
        <v/>
      </c>
      <c r="E231" s="24" t="str">
        <f aca="false">IF($A231="","",TEXT(Settings!$B$8,"yyyy-mm-dd"))</f>
        <v/>
      </c>
      <c r="F231" s="24" t="str">
        <f aca="false">IF($A231="","",TEXT(Settings!$B$9,"yyyy-mm-dd"))</f>
        <v/>
      </c>
      <c r="G231" s="24" t="str">
        <f aca="false">IF($A231="","",DAY(Settings!$B$9))</f>
        <v/>
      </c>
      <c r="H231" s="26" t="str">
        <f aca="false">IF($A231="","",ROUND(Payroll!R231-Payroll!L231-Payroll!M231,2))</f>
        <v/>
      </c>
      <c r="I231" s="26" t="str">
        <f aca="false">IF($A231="","",ROUND(Payroll!L231+Payroll!M231,2))</f>
        <v/>
      </c>
      <c r="J231" s="24" t="str">
        <f aca="false">IF($A231="","",0)</f>
        <v/>
      </c>
    </row>
    <row r="232" customFormat="false" ht="15" hidden="false" customHeight="false" outlineLevel="0" collapsed="false">
      <c r="A232" s="24" t="str">
        <f aca="false">IF(AND(Payroll!$A232&lt;&gt;"",N(Payroll!$R232)&gt;0),"EDR","")</f>
        <v/>
      </c>
      <c r="B232" s="24" t="str">
        <f aca="false">IF($A232="","",Payroll!U232)</f>
        <v/>
      </c>
      <c r="C232" s="24" t="str">
        <f aca="false">IF($A232="","",Payroll!S232)</f>
        <v/>
      </c>
      <c r="D232" s="24" t="str">
        <f aca="false">IF($A232="","",SUBSTITUTE(Payroll!T232," ",""))</f>
        <v/>
      </c>
      <c r="E232" s="24" t="str">
        <f aca="false">IF($A232="","",TEXT(Settings!$B$8,"yyyy-mm-dd"))</f>
        <v/>
      </c>
      <c r="F232" s="24" t="str">
        <f aca="false">IF($A232="","",TEXT(Settings!$B$9,"yyyy-mm-dd"))</f>
        <v/>
      </c>
      <c r="G232" s="24" t="str">
        <f aca="false">IF($A232="","",DAY(Settings!$B$9))</f>
        <v/>
      </c>
      <c r="H232" s="26" t="str">
        <f aca="false">IF($A232="","",ROUND(Payroll!R232-Payroll!L232-Payroll!M232,2))</f>
        <v/>
      </c>
      <c r="I232" s="26" t="str">
        <f aca="false">IF($A232="","",ROUND(Payroll!L232+Payroll!M232,2))</f>
        <v/>
      </c>
      <c r="J232" s="24" t="str">
        <f aca="false">IF($A232="","",0)</f>
        <v/>
      </c>
    </row>
    <row r="233" customFormat="false" ht="15" hidden="false" customHeight="false" outlineLevel="0" collapsed="false">
      <c r="A233" s="24" t="str">
        <f aca="false">IF(AND(Payroll!$A233&lt;&gt;"",N(Payroll!$R233)&gt;0),"EDR","")</f>
        <v/>
      </c>
      <c r="B233" s="24" t="str">
        <f aca="false">IF($A233="","",Payroll!U233)</f>
        <v/>
      </c>
      <c r="C233" s="24" t="str">
        <f aca="false">IF($A233="","",Payroll!S233)</f>
        <v/>
      </c>
      <c r="D233" s="24" t="str">
        <f aca="false">IF($A233="","",SUBSTITUTE(Payroll!T233," ",""))</f>
        <v/>
      </c>
      <c r="E233" s="24" t="str">
        <f aca="false">IF($A233="","",TEXT(Settings!$B$8,"yyyy-mm-dd"))</f>
        <v/>
      </c>
      <c r="F233" s="24" t="str">
        <f aca="false">IF($A233="","",TEXT(Settings!$B$9,"yyyy-mm-dd"))</f>
        <v/>
      </c>
      <c r="G233" s="24" t="str">
        <f aca="false">IF($A233="","",DAY(Settings!$B$9))</f>
        <v/>
      </c>
      <c r="H233" s="26" t="str">
        <f aca="false">IF($A233="","",ROUND(Payroll!R233-Payroll!L233-Payroll!M233,2))</f>
        <v/>
      </c>
      <c r="I233" s="26" t="str">
        <f aca="false">IF($A233="","",ROUND(Payroll!L233+Payroll!M233,2))</f>
        <v/>
      </c>
      <c r="J233" s="24" t="str">
        <f aca="false">IF($A233="","",0)</f>
        <v/>
      </c>
    </row>
    <row r="234" customFormat="false" ht="15" hidden="false" customHeight="false" outlineLevel="0" collapsed="false">
      <c r="A234" s="24" t="str">
        <f aca="false">IF(AND(Payroll!$A234&lt;&gt;"",N(Payroll!$R234)&gt;0),"EDR","")</f>
        <v/>
      </c>
      <c r="B234" s="24" t="str">
        <f aca="false">IF($A234="","",Payroll!U234)</f>
        <v/>
      </c>
      <c r="C234" s="24" t="str">
        <f aca="false">IF($A234="","",Payroll!S234)</f>
        <v/>
      </c>
      <c r="D234" s="24" t="str">
        <f aca="false">IF($A234="","",SUBSTITUTE(Payroll!T234," ",""))</f>
        <v/>
      </c>
      <c r="E234" s="24" t="str">
        <f aca="false">IF($A234="","",TEXT(Settings!$B$8,"yyyy-mm-dd"))</f>
        <v/>
      </c>
      <c r="F234" s="24" t="str">
        <f aca="false">IF($A234="","",TEXT(Settings!$B$9,"yyyy-mm-dd"))</f>
        <v/>
      </c>
      <c r="G234" s="24" t="str">
        <f aca="false">IF($A234="","",DAY(Settings!$B$9))</f>
        <v/>
      </c>
      <c r="H234" s="26" t="str">
        <f aca="false">IF($A234="","",ROUND(Payroll!R234-Payroll!L234-Payroll!M234,2))</f>
        <v/>
      </c>
      <c r="I234" s="26" t="str">
        <f aca="false">IF($A234="","",ROUND(Payroll!L234+Payroll!M234,2))</f>
        <v/>
      </c>
      <c r="J234" s="24" t="str">
        <f aca="false">IF($A234="","",0)</f>
        <v/>
      </c>
    </row>
    <row r="235" customFormat="false" ht="15" hidden="false" customHeight="false" outlineLevel="0" collapsed="false">
      <c r="A235" s="24" t="str">
        <f aca="false">IF(AND(Payroll!$A235&lt;&gt;"",N(Payroll!$R235)&gt;0),"EDR","")</f>
        <v/>
      </c>
      <c r="B235" s="24" t="str">
        <f aca="false">IF($A235="","",Payroll!U235)</f>
        <v/>
      </c>
      <c r="C235" s="24" t="str">
        <f aca="false">IF($A235="","",Payroll!S235)</f>
        <v/>
      </c>
      <c r="D235" s="24" t="str">
        <f aca="false">IF($A235="","",SUBSTITUTE(Payroll!T235," ",""))</f>
        <v/>
      </c>
      <c r="E235" s="24" t="str">
        <f aca="false">IF($A235="","",TEXT(Settings!$B$8,"yyyy-mm-dd"))</f>
        <v/>
      </c>
      <c r="F235" s="24" t="str">
        <f aca="false">IF($A235="","",TEXT(Settings!$B$9,"yyyy-mm-dd"))</f>
        <v/>
      </c>
      <c r="G235" s="24" t="str">
        <f aca="false">IF($A235="","",DAY(Settings!$B$9))</f>
        <v/>
      </c>
      <c r="H235" s="26" t="str">
        <f aca="false">IF($A235="","",ROUND(Payroll!R235-Payroll!L235-Payroll!M235,2))</f>
        <v/>
      </c>
      <c r="I235" s="26" t="str">
        <f aca="false">IF($A235="","",ROUND(Payroll!L235+Payroll!M235,2))</f>
        <v/>
      </c>
      <c r="J235" s="24" t="str">
        <f aca="false">IF($A235="","",0)</f>
        <v/>
      </c>
    </row>
    <row r="236" customFormat="false" ht="15" hidden="false" customHeight="false" outlineLevel="0" collapsed="false">
      <c r="A236" s="24" t="str">
        <f aca="false">IF(AND(Payroll!$A236&lt;&gt;"",N(Payroll!$R236)&gt;0),"EDR","")</f>
        <v/>
      </c>
      <c r="B236" s="24" t="str">
        <f aca="false">IF($A236="","",Payroll!U236)</f>
        <v/>
      </c>
      <c r="C236" s="24" t="str">
        <f aca="false">IF($A236="","",Payroll!S236)</f>
        <v/>
      </c>
      <c r="D236" s="24" t="str">
        <f aca="false">IF($A236="","",SUBSTITUTE(Payroll!T236," ",""))</f>
        <v/>
      </c>
      <c r="E236" s="24" t="str">
        <f aca="false">IF($A236="","",TEXT(Settings!$B$8,"yyyy-mm-dd"))</f>
        <v/>
      </c>
      <c r="F236" s="24" t="str">
        <f aca="false">IF($A236="","",TEXT(Settings!$B$9,"yyyy-mm-dd"))</f>
        <v/>
      </c>
      <c r="G236" s="24" t="str">
        <f aca="false">IF($A236="","",DAY(Settings!$B$9))</f>
        <v/>
      </c>
      <c r="H236" s="26" t="str">
        <f aca="false">IF($A236="","",ROUND(Payroll!R236-Payroll!L236-Payroll!M236,2))</f>
        <v/>
      </c>
      <c r="I236" s="26" t="str">
        <f aca="false">IF($A236="","",ROUND(Payroll!L236+Payroll!M236,2))</f>
        <v/>
      </c>
      <c r="J236" s="24" t="str">
        <f aca="false">IF($A236="","",0)</f>
        <v/>
      </c>
    </row>
    <row r="237" customFormat="false" ht="15" hidden="false" customHeight="false" outlineLevel="0" collapsed="false">
      <c r="A237" s="24" t="str">
        <f aca="false">IF(AND(Payroll!$A237&lt;&gt;"",N(Payroll!$R237)&gt;0),"EDR","")</f>
        <v/>
      </c>
      <c r="B237" s="24" t="str">
        <f aca="false">IF($A237="","",Payroll!U237)</f>
        <v/>
      </c>
      <c r="C237" s="24" t="str">
        <f aca="false">IF($A237="","",Payroll!S237)</f>
        <v/>
      </c>
      <c r="D237" s="24" t="str">
        <f aca="false">IF($A237="","",SUBSTITUTE(Payroll!T237," ",""))</f>
        <v/>
      </c>
      <c r="E237" s="24" t="str">
        <f aca="false">IF($A237="","",TEXT(Settings!$B$8,"yyyy-mm-dd"))</f>
        <v/>
      </c>
      <c r="F237" s="24" t="str">
        <f aca="false">IF($A237="","",TEXT(Settings!$B$9,"yyyy-mm-dd"))</f>
        <v/>
      </c>
      <c r="G237" s="24" t="str">
        <f aca="false">IF($A237="","",DAY(Settings!$B$9))</f>
        <v/>
      </c>
      <c r="H237" s="26" t="str">
        <f aca="false">IF($A237="","",ROUND(Payroll!R237-Payroll!L237-Payroll!M237,2))</f>
        <v/>
      </c>
      <c r="I237" s="26" t="str">
        <f aca="false">IF($A237="","",ROUND(Payroll!L237+Payroll!M237,2))</f>
        <v/>
      </c>
      <c r="J237" s="24" t="str">
        <f aca="false">IF($A237="","",0)</f>
        <v/>
      </c>
    </row>
    <row r="238" customFormat="false" ht="15" hidden="false" customHeight="false" outlineLevel="0" collapsed="false">
      <c r="A238" s="24" t="str">
        <f aca="false">IF(AND(Payroll!$A238&lt;&gt;"",N(Payroll!$R238)&gt;0),"EDR","")</f>
        <v/>
      </c>
      <c r="B238" s="24" t="str">
        <f aca="false">IF($A238="","",Payroll!U238)</f>
        <v/>
      </c>
      <c r="C238" s="24" t="str">
        <f aca="false">IF($A238="","",Payroll!S238)</f>
        <v/>
      </c>
      <c r="D238" s="24" t="str">
        <f aca="false">IF($A238="","",SUBSTITUTE(Payroll!T238," ",""))</f>
        <v/>
      </c>
      <c r="E238" s="24" t="str">
        <f aca="false">IF($A238="","",TEXT(Settings!$B$8,"yyyy-mm-dd"))</f>
        <v/>
      </c>
      <c r="F238" s="24" t="str">
        <f aca="false">IF($A238="","",TEXT(Settings!$B$9,"yyyy-mm-dd"))</f>
        <v/>
      </c>
      <c r="G238" s="24" t="str">
        <f aca="false">IF($A238="","",DAY(Settings!$B$9))</f>
        <v/>
      </c>
      <c r="H238" s="26" t="str">
        <f aca="false">IF($A238="","",ROUND(Payroll!R238-Payroll!L238-Payroll!M238,2))</f>
        <v/>
      </c>
      <c r="I238" s="26" t="str">
        <f aca="false">IF($A238="","",ROUND(Payroll!L238+Payroll!M238,2))</f>
        <v/>
      </c>
      <c r="J238" s="24" t="str">
        <f aca="false">IF($A238="","",0)</f>
        <v/>
      </c>
    </row>
    <row r="239" customFormat="false" ht="15" hidden="false" customHeight="false" outlineLevel="0" collapsed="false">
      <c r="A239" s="24" t="str">
        <f aca="false">IF(AND(Payroll!$A239&lt;&gt;"",N(Payroll!$R239)&gt;0),"EDR","")</f>
        <v/>
      </c>
      <c r="B239" s="24" t="str">
        <f aca="false">IF($A239="","",Payroll!U239)</f>
        <v/>
      </c>
      <c r="C239" s="24" t="str">
        <f aca="false">IF($A239="","",Payroll!S239)</f>
        <v/>
      </c>
      <c r="D239" s="24" t="str">
        <f aca="false">IF($A239="","",SUBSTITUTE(Payroll!T239," ",""))</f>
        <v/>
      </c>
      <c r="E239" s="24" t="str">
        <f aca="false">IF($A239="","",TEXT(Settings!$B$8,"yyyy-mm-dd"))</f>
        <v/>
      </c>
      <c r="F239" s="24" t="str">
        <f aca="false">IF($A239="","",TEXT(Settings!$B$9,"yyyy-mm-dd"))</f>
        <v/>
      </c>
      <c r="G239" s="24" t="str">
        <f aca="false">IF($A239="","",DAY(Settings!$B$9))</f>
        <v/>
      </c>
      <c r="H239" s="26" t="str">
        <f aca="false">IF($A239="","",ROUND(Payroll!R239-Payroll!L239-Payroll!M239,2))</f>
        <v/>
      </c>
      <c r="I239" s="26" t="str">
        <f aca="false">IF($A239="","",ROUND(Payroll!L239+Payroll!M239,2))</f>
        <v/>
      </c>
      <c r="J239" s="24" t="str">
        <f aca="false">IF($A239="","",0)</f>
        <v/>
      </c>
    </row>
    <row r="240" customFormat="false" ht="15" hidden="false" customHeight="false" outlineLevel="0" collapsed="false">
      <c r="A240" s="24" t="str">
        <f aca="false">IF(AND(Payroll!$A240&lt;&gt;"",N(Payroll!$R240)&gt;0),"EDR","")</f>
        <v/>
      </c>
      <c r="B240" s="24" t="str">
        <f aca="false">IF($A240="","",Payroll!U240)</f>
        <v/>
      </c>
      <c r="C240" s="24" t="str">
        <f aca="false">IF($A240="","",Payroll!S240)</f>
        <v/>
      </c>
      <c r="D240" s="24" t="str">
        <f aca="false">IF($A240="","",SUBSTITUTE(Payroll!T240," ",""))</f>
        <v/>
      </c>
      <c r="E240" s="24" t="str">
        <f aca="false">IF($A240="","",TEXT(Settings!$B$8,"yyyy-mm-dd"))</f>
        <v/>
      </c>
      <c r="F240" s="24" t="str">
        <f aca="false">IF($A240="","",TEXT(Settings!$B$9,"yyyy-mm-dd"))</f>
        <v/>
      </c>
      <c r="G240" s="24" t="str">
        <f aca="false">IF($A240="","",DAY(Settings!$B$9))</f>
        <v/>
      </c>
      <c r="H240" s="26" t="str">
        <f aca="false">IF($A240="","",ROUND(Payroll!R240-Payroll!L240-Payroll!M240,2))</f>
        <v/>
      </c>
      <c r="I240" s="26" t="str">
        <f aca="false">IF($A240="","",ROUND(Payroll!L240+Payroll!M240,2))</f>
        <v/>
      </c>
      <c r="J240" s="24" t="str">
        <f aca="false">IF($A240="","",0)</f>
        <v/>
      </c>
    </row>
    <row r="241" customFormat="false" ht="15" hidden="false" customHeight="false" outlineLevel="0" collapsed="false">
      <c r="A241" s="24" t="str">
        <f aca="false">IF(AND(Payroll!$A241&lt;&gt;"",N(Payroll!$R241)&gt;0),"EDR","")</f>
        <v/>
      </c>
      <c r="B241" s="24" t="str">
        <f aca="false">IF($A241="","",Payroll!U241)</f>
        <v/>
      </c>
      <c r="C241" s="24" t="str">
        <f aca="false">IF($A241="","",Payroll!S241)</f>
        <v/>
      </c>
      <c r="D241" s="24" t="str">
        <f aca="false">IF($A241="","",SUBSTITUTE(Payroll!T241," ",""))</f>
        <v/>
      </c>
      <c r="E241" s="24" t="str">
        <f aca="false">IF($A241="","",TEXT(Settings!$B$8,"yyyy-mm-dd"))</f>
        <v/>
      </c>
      <c r="F241" s="24" t="str">
        <f aca="false">IF($A241="","",TEXT(Settings!$B$9,"yyyy-mm-dd"))</f>
        <v/>
      </c>
      <c r="G241" s="24" t="str">
        <f aca="false">IF($A241="","",DAY(Settings!$B$9))</f>
        <v/>
      </c>
      <c r="H241" s="26" t="str">
        <f aca="false">IF($A241="","",ROUND(Payroll!R241-Payroll!L241-Payroll!M241,2))</f>
        <v/>
      </c>
      <c r="I241" s="26" t="str">
        <f aca="false">IF($A241="","",ROUND(Payroll!L241+Payroll!M241,2))</f>
        <v/>
      </c>
      <c r="J241" s="24" t="str">
        <f aca="false">IF($A241="","",0)</f>
        <v/>
      </c>
    </row>
    <row r="242" customFormat="false" ht="15" hidden="false" customHeight="false" outlineLevel="0" collapsed="false">
      <c r="A242" s="24" t="str">
        <f aca="false">IF(AND(Payroll!$A242&lt;&gt;"",N(Payroll!$R242)&gt;0),"EDR","")</f>
        <v/>
      </c>
      <c r="B242" s="24" t="str">
        <f aca="false">IF($A242="","",Payroll!U242)</f>
        <v/>
      </c>
      <c r="C242" s="24" t="str">
        <f aca="false">IF($A242="","",Payroll!S242)</f>
        <v/>
      </c>
      <c r="D242" s="24" t="str">
        <f aca="false">IF($A242="","",SUBSTITUTE(Payroll!T242," ",""))</f>
        <v/>
      </c>
      <c r="E242" s="24" t="str">
        <f aca="false">IF($A242="","",TEXT(Settings!$B$8,"yyyy-mm-dd"))</f>
        <v/>
      </c>
      <c r="F242" s="24" t="str">
        <f aca="false">IF($A242="","",TEXT(Settings!$B$9,"yyyy-mm-dd"))</f>
        <v/>
      </c>
      <c r="G242" s="24" t="str">
        <f aca="false">IF($A242="","",DAY(Settings!$B$9))</f>
        <v/>
      </c>
      <c r="H242" s="26" t="str">
        <f aca="false">IF($A242="","",ROUND(Payroll!R242-Payroll!L242-Payroll!M242,2))</f>
        <v/>
      </c>
      <c r="I242" s="26" t="str">
        <f aca="false">IF($A242="","",ROUND(Payroll!L242+Payroll!M242,2))</f>
        <v/>
      </c>
      <c r="J242" s="24" t="str">
        <f aca="false">IF($A242="","",0)</f>
        <v/>
      </c>
    </row>
    <row r="243" customFormat="false" ht="15" hidden="false" customHeight="false" outlineLevel="0" collapsed="false">
      <c r="A243" s="24" t="str">
        <f aca="false">IF(AND(Payroll!$A243&lt;&gt;"",N(Payroll!$R243)&gt;0),"EDR","")</f>
        <v/>
      </c>
      <c r="B243" s="24" t="str">
        <f aca="false">IF($A243="","",Payroll!U243)</f>
        <v/>
      </c>
      <c r="C243" s="24" t="str">
        <f aca="false">IF($A243="","",Payroll!S243)</f>
        <v/>
      </c>
      <c r="D243" s="24" t="str">
        <f aca="false">IF($A243="","",SUBSTITUTE(Payroll!T243," ",""))</f>
        <v/>
      </c>
      <c r="E243" s="24" t="str">
        <f aca="false">IF($A243="","",TEXT(Settings!$B$8,"yyyy-mm-dd"))</f>
        <v/>
      </c>
      <c r="F243" s="24" t="str">
        <f aca="false">IF($A243="","",TEXT(Settings!$B$9,"yyyy-mm-dd"))</f>
        <v/>
      </c>
      <c r="G243" s="24" t="str">
        <f aca="false">IF($A243="","",DAY(Settings!$B$9))</f>
        <v/>
      </c>
      <c r="H243" s="26" t="str">
        <f aca="false">IF($A243="","",ROUND(Payroll!R243-Payroll!L243-Payroll!M243,2))</f>
        <v/>
      </c>
      <c r="I243" s="26" t="str">
        <f aca="false">IF($A243="","",ROUND(Payroll!L243+Payroll!M243,2))</f>
        <v/>
      </c>
      <c r="J243" s="24" t="str">
        <f aca="false">IF($A243="","",0)</f>
        <v/>
      </c>
    </row>
    <row r="244" customFormat="false" ht="15" hidden="false" customHeight="false" outlineLevel="0" collapsed="false">
      <c r="A244" s="24" t="str">
        <f aca="false">IF(AND(Payroll!$A244&lt;&gt;"",N(Payroll!$R244)&gt;0),"EDR","")</f>
        <v/>
      </c>
      <c r="B244" s="24" t="str">
        <f aca="false">IF($A244="","",Payroll!U244)</f>
        <v/>
      </c>
      <c r="C244" s="24" t="str">
        <f aca="false">IF($A244="","",Payroll!S244)</f>
        <v/>
      </c>
      <c r="D244" s="24" t="str">
        <f aca="false">IF($A244="","",SUBSTITUTE(Payroll!T244," ",""))</f>
        <v/>
      </c>
      <c r="E244" s="24" t="str">
        <f aca="false">IF($A244="","",TEXT(Settings!$B$8,"yyyy-mm-dd"))</f>
        <v/>
      </c>
      <c r="F244" s="24" t="str">
        <f aca="false">IF($A244="","",TEXT(Settings!$B$9,"yyyy-mm-dd"))</f>
        <v/>
      </c>
      <c r="G244" s="24" t="str">
        <f aca="false">IF($A244="","",DAY(Settings!$B$9))</f>
        <v/>
      </c>
      <c r="H244" s="26" t="str">
        <f aca="false">IF($A244="","",ROUND(Payroll!R244-Payroll!L244-Payroll!M244,2))</f>
        <v/>
      </c>
      <c r="I244" s="26" t="str">
        <f aca="false">IF($A244="","",ROUND(Payroll!L244+Payroll!M244,2))</f>
        <v/>
      </c>
      <c r="J244" s="24" t="str">
        <f aca="false">IF($A244="","",0)</f>
        <v/>
      </c>
    </row>
    <row r="245" customFormat="false" ht="15" hidden="false" customHeight="false" outlineLevel="0" collapsed="false">
      <c r="A245" s="24" t="str">
        <f aca="false">IF(AND(Payroll!$A245&lt;&gt;"",N(Payroll!$R245)&gt;0),"EDR","")</f>
        <v/>
      </c>
      <c r="B245" s="24" t="str">
        <f aca="false">IF($A245="","",Payroll!U245)</f>
        <v/>
      </c>
      <c r="C245" s="24" t="str">
        <f aca="false">IF($A245="","",Payroll!S245)</f>
        <v/>
      </c>
      <c r="D245" s="24" t="str">
        <f aca="false">IF($A245="","",SUBSTITUTE(Payroll!T245," ",""))</f>
        <v/>
      </c>
      <c r="E245" s="24" t="str">
        <f aca="false">IF($A245="","",TEXT(Settings!$B$8,"yyyy-mm-dd"))</f>
        <v/>
      </c>
      <c r="F245" s="24" t="str">
        <f aca="false">IF($A245="","",TEXT(Settings!$B$9,"yyyy-mm-dd"))</f>
        <v/>
      </c>
      <c r="G245" s="24" t="str">
        <f aca="false">IF($A245="","",DAY(Settings!$B$9))</f>
        <v/>
      </c>
      <c r="H245" s="26" t="str">
        <f aca="false">IF($A245="","",ROUND(Payroll!R245-Payroll!L245-Payroll!M245,2))</f>
        <v/>
      </c>
      <c r="I245" s="26" t="str">
        <f aca="false">IF($A245="","",ROUND(Payroll!L245+Payroll!M245,2))</f>
        <v/>
      </c>
      <c r="J245" s="24" t="str">
        <f aca="false">IF($A245="","",0)</f>
        <v/>
      </c>
    </row>
    <row r="246" customFormat="false" ht="15" hidden="false" customHeight="false" outlineLevel="0" collapsed="false">
      <c r="A246" s="24" t="str">
        <f aca="false">IF(AND(Payroll!$A246&lt;&gt;"",N(Payroll!$R246)&gt;0),"EDR","")</f>
        <v/>
      </c>
      <c r="B246" s="24" t="str">
        <f aca="false">IF($A246="","",Payroll!U246)</f>
        <v/>
      </c>
      <c r="C246" s="24" t="str">
        <f aca="false">IF($A246="","",Payroll!S246)</f>
        <v/>
      </c>
      <c r="D246" s="24" t="str">
        <f aca="false">IF($A246="","",SUBSTITUTE(Payroll!T246," ",""))</f>
        <v/>
      </c>
      <c r="E246" s="24" t="str">
        <f aca="false">IF($A246="","",TEXT(Settings!$B$8,"yyyy-mm-dd"))</f>
        <v/>
      </c>
      <c r="F246" s="24" t="str">
        <f aca="false">IF($A246="","",TEXT(Settings!$B$9,"yyyy-mm-dd"))</f>
        <v/>
      </c>
      <c r="G246" s="24" t="str">
        <f aca="false">IF($A246="","",DAY(Settings!$B$9))</f>
        <v/>
      </c>
      <c r="H246" s="26" t="str">
        <f aca="false">IF($A246="","",ROUND(Payroll!R246-Payroll!L246-Payroll!M246,2))</f>
        <v/>
      </c>
      <c r="I246" s="26" t="str">
        <f aca="false">IF($A246="","",ROUND(Payroll!L246+Payroll!M246,2))</f>
        <v/>
      </c>
      <c r="J246" s="24" t="str">
        <f aca="false">IF($A246="","",0)</f>
        <v/>
      </c>
    </row>
    <row r="247" customFormat="false" ht="15" hidden="false" customHeight="false" outlineLevel="0" collapsed="false">
      <c r="A247" s="24" t="str">
        <f aca="false">IF(AND(Payroll!$A247&lt;&gt;"",N(Payroll!$R247)&gt;0),"EDR","")</f>
        <v/>
      </c>
      <c r="B247" s="24" t="str">
        <f aca="false">IF($A247="","",Payroll!U247)</f>
        <v/>
      </c>
      <c r="C247" s="24" t="str">
        <f aca="false">IF($A247="","",Payroll!S247)</f>
        <v/>
      </c>
      <c r="D247" s="24" t="str">
        <f aca="false">IF($A247="","",SUBSTITUTE(Payroll!T247," ",""))</f>
        <v/>
      </c>
      <c r="E247" s="24" t="str">
        <f aca="false">IF($A247="","",TEXT(Settings!$B$8,"yyyy-mm-dd"))</f>
        <v/>
      </c>
      <c r="F247" s="24" t="str">
        <f aca="false">IF($A247="","",TEXT(Settings!$B$9,"yyyy-mm-dd"))</f>
        <v/>
      </c>
      <c r="G247" s="24" t="str">
        <f aca="false">IF($A247="","",DAY(Settings!$B$9))</f>
        <v/>
      </c>
      <c r="H247" s="26" t="str">
        <f aca="false">IF($A247="","",ROUND(Payroll!R247-Payroll!L247-Payroll!M247,2))</f>
        <v/>
      </c>
      <c r="I247" s="26" t="str">
        <f aca="false">IF($A247="","",ROUND(Payroll!L247+Payroll!M247,2))</f>
        <v/>
      </c>
      <c r="J247" s="24" t="str">
        <f aca="false">IF($A247="","",0)</f>
        <v/>
      </c>
    </row>
    <row r="248" customFormat="false" ht="15" hidden="false" customHeight="false" outlineLevel="0" collapsed="false">
      <c r="A248" s="24" t="str">
        <f aca="false">IF(AND(Payroll!$A248&lt;&gt;"",N(Payroll!$R248)&gt;0),"EDR","")</f>
        <v/>
      </c>
      <c r="B248" s="24" t="str">
        <f aca="false">IF($A248="","",Payroll!U248)</f>
        <v/>
      </c>
      <c r="C248" s="24" t="str">
        <f aca="false">IF($A248="","",Payroll!S248)</f>
        <v/>
      </c>
      <c r="D248" s="24" t="str">
        <f aca="false">IF($A248="","",SUBSTITUTE(Payroll!T248," ",""))</f>
        <v/>
      </c>
      <c r="E248" s="24" t="str">
        <f aca="false">IF($A248="","",TEXT(Settings!$B$8,"yyyy-mm-dd"))</f>
        <v/>
      </c>
      <c r="F248" s="24" t="str">
        <f aca="false">IF($A248="","",TEXT(Settings!$B$9,"yyyy-mm-dd"))</f>
        <v/>
      </c>
      <c r="G248" s="24" t="str">
        <f aca="false">IF($A248="","",DAY(Settings!$B$9))</f>
        <v/>
      </c>
      <c r="H248" s="26" t="str">
        <f aca="false">IF($A248="","",ROUND(Payroll!R248-Payroll!L248-Payroll!M248,2))</f>
        <v/>
      </c>
      <c r="I248" s="26" t="str">
        <f aca="false">IF($A248="","",ROUND(Payroll!L248+Payroll!M248,2))</f>
        <v/>
      </c>
      <c r="J248" s="24" t="str">
        <f aca="false">IF($A248="","",0)</f>
        <v/>
      </c>
    </row>
    <row r="249" customFormat="false" ht="15" hidden="false" customHeight="false" outlineLevel="0" collapsed="false">
      <c r="A249" s="24" t="str">
        <f aca="false">IF(AND(Payroll!$A249&lt;&gt;"",N(Payroll!$R249)&gt;0),"EDR","")</f>
        <v/>
      </c>
      <c r="B249" s="24" t="str">
        <f aca="false">IF($A249="","",Payroll!U249)</f>
        <v/>
      </c>
      <c r="C249" s="24" t="str">
        <f aca="false">IF($A249="","",Payroll!S249)</f>
        <v/>
      </c>
      <c r="D249" s="24" t="str">
        <f aca="false">IF($A249="","",SUBSTITUTE(Payroll!T249," ",""))</f>
        <v/>
      </c>
      <c r="E249" s="24" t="str">
        <f aca="false">IF($A249="","",TEXT(Settings!$B$8,"yyyy-mm-dd"))</f>
        <v/>
      </c>
      <c r="F249" s="24" t="str">
        <f aca="false">IF($A249="","",TEXT(Settings!$B$9,"yyyy-mm-dd"))</f>
        <v/>
      </c>
      <c r="G249" s="24" t="str">
        <f aca="false">IF($A249="","",DAY(Settings!$B$9))</f>
        <v/>
      </c>
      <c r="H249" s="26" t="str">
        <f aca="false">IF($A249="","",ROUND(Payroll!R249-Payroll!L249-Payroll!M249,2))</f>
        <v/>
      </c>
      <c r="I249" s="26" t="str">
        <f aca="false">IF($A249="","",ROUND(Payroll!L249+Payroll!M249,2))</f>
        <v/>
      </c>
      <c r="J249" s="24" t="str">
        <f aca="false">IF($A249="","",0)</f>
        <v/>
      </c>
    </row>
    <row r="250" customFormat="false" ht="15" hidden="false" customHeight="false" outlineLevel="0" collapsed="false">
      <c r="A250" s="24" t="str">
        <f aca="false">IF(AND(Payroll!$A250&lt;&gt;"",N(Payroll!$R250)&gt;0),"EDR","")</f>
        <v/>
      </c>
      <c r="B250" s="24" t="str">
        <f aca="false">IF($A250="","",Payroll!U250)</f>
        <v/>
      </c>
      <c r="C250" s="24" t="str">
        <f aca="false">IF($A250="","",Payroll!S250)</f>
        <v/>
      </c>
      <c r="D250" s="24" t="str">
        <f aca="false">IF($A250="","",SUBSTITUTE(Payroll!T250," ",""))</f>
        <v/>
      </c>
      <c r="E250" s="24" t="str">
        <f aca="false">IF($A250="","",TEXT(Settings!$B$8,"yyyy-mm-dd"))</f>
        <v/>
      </c>
      <c r="F250" s="24" t="str">
        <f aca="false">IF($A250="","",TEXT(Settings!$B$9,"yyyy-mm-dd"))</f>
        <v/>
      </c>
      <c r="G250" s="24" t="str">
        <f aca="false">IF($A250="","",DAY(Settings!$B$9))</f>
        <v/>
      </c>
      <c r="H250" s="26" t="str">
        <f aca="false">IF($A250="","",ROUND(Payroll!R250-Payroll!L250-Payroll!M250,2))</f>
        <v/>
      </c>
      <c r="I250" s="26" t="str">
        <f aca="false">IF($A250="","",ROUND(Payroll!L250+Payroll!M250,2))</f>
        <v/>
      </c>
      <c r="J250" s="24" t="str">
        <f aca="false">IF($A250="","",0)</f>
        <v/>
      </c>
    </row>
    <row r="251" customFormat="false" ht="15" hidden="false" customHeight="false" outlineLevel="0" collapsed="false">
      <c r="A251" s="24" t="str">
        <f aca="false">IF(AND(Payroll!$A251&lt;&gt;"",N(Payroll!$R251)&gt;0),"EDR","")</f>
        <v/>
      </c>
      <c r="B251" s="24" t="str">
        <f aca="false">IF($A251="","",Payroll!U251)</f>
        <v/>
      </c>
      <c r="C251" s="24" t="str">
        <f aca="false">IF($A251="","",Payroll!S251)</f>
        <v/>
      </c>
      <c r="D251" s="24" t="str">
        <f aca="false">IF($A251="","",SUBSTITUTE(Payroll!T251," ",""))</f>
        <v/>
      </c>
      <c r="E251" s="24" t="str">
        <f aca="false">IF($A251="","",TEXT(Settings!$B$8,"yyyy-mm-dd"))</f>
        <v/>
      </c>
      <c r="F251" s="24" t="str">
        <f aca="false">IF($A251="","",TEXT(Settings!$B$9,"yyyy-mm-dd"))</f>
        <v/>
      </c>
      <c r="G251" s="24" t="str">
        <f aca="false">IF($A251="","",DAY(Settings!$B$9))</f>
        <v/>
      </c>
      <c r="H251" s="26" t="str">
        <f aca="false">IF($A251="","",ROUND(Payroll!R251-Payroll!L251-Payroll!M251,2))</f>
        <v/>
      </c>
      <c r="I251" s="26" t="str">
        <f aca="false">IF($A251="","",ROUND(Payroll!L251+Payroll!M251,2))</f>
        <v/>
      </c>
      <c r="J251" s="24" t="str">
        <f aca="false">IF($A251="","",0)</f>
        <v/>
      </c>
    </row>
    <row r="252" customFormat="false" ht="15" hidden="false" customHeight="false" outlineLevel="0" collapsed="false">
      <c r="A252" s="24" t="str">
        <f aca="false">IF(AND(Payroll!$A252&lt;&gt;"",N(Payroll!$R252)&gt;0),"EDR","")</f>
        <v/>
      </c>
      <c r="B252" s="24" t="str">
        <f aca="false">IF($A252="","",Payroll!U252)</f>
        <v/>
      </c>
      <c r="C252" s="24" t="str">
        <f aca="false">IF($A252="","",Payroll!S252)</f>
        <v/>
      </c>
      <c r="D252" s="24" t="str">
        <f aca="false">IF($A252="","",SUBSTITUTE(Payroll!T252," ",""))</f>
        <v/>
      </c>
      <c r="E252" s="24" t="str">
        <f aca="false">IF($A252="","",TEXT(Settings!$B$8,"yyyy-mm-dd"))</f>
        <v/>
      </c>
      <c r="F252" s="24" t="str">
        <f aca="false">IF($A252="","",TEXT(Settings!$B$9,"yyyy-mm-dd"))</f>
        <v/>
      </c>
      <c r="G252" s="24" t="str">
        <f aca="false">IF($A252="","",DAY(Settings!$B$9))</f>
        <v/>
      </c>
      <c r="H252" s="26" t="str">
        <f aca="false">IF($A252="","",ROUND(Payroll!R252-Payroll!L252-Payroll!M252,2))</f>
        <v/>
      </c>
      <c r="I252" s="26" t="str">
        <f aca="false">IF($A252="","",ROUND(Payroll!L252+Payroll!M252,2))</f>
        <v/>
      </c>
      <c r="J252" s="24" t="str">
        <f aca="false">IF($A252="","",0)</f>
        <v/>
      </c>
    </row>
    <row r="253" customFormat="false" ht="15" hidden="false" customHeight="false" outlineLevel="0" collapsed="false">
      <c r="A253" s="24" t="str">
        <f aca="false">IF(AND(Payroll!$A253&lt;&gt;"",N(Payroll!$R253)&gt;0),"EDR","")</f>
        <v/>
      </c>
      <c r="B253" s="24" t="str">
        <f aca="false">IF($A253="","",Payroll!U253)</f>
        <v/>
      </c>
      <c r="C253" s="24" t="str">
        <f aca="false">IF($A253="","",Payroll!S253)</f>
        <v/>
      </c>
      <c r="D253" s="24" t="str">
        <f aca="false">IF($A253="","",SUBSTITUTE(Payroll!T253," ",""))</f>
        <v/>
      </c>
      <c r="E253" s="24" t="str">
        <f aca="false">IF($A253="","",TEXT(Settings!$B$8,"yyyy-mm-dd"))</f>
        <v/>
      </c>
      <c r="F253" s="24" t="str">
        <f aca="false">IF($A253="","",TEXT(Settings!$B$9,"yyyy-mm-dd"))</f>
        <v/>
      </c>
      <c r="G253" s="24" t="str">
        <f aca="false">IF($A253="","",DAY(Settings!$B$9))</f>
        <v/>
      </c>
      <c r="H253" s="26" t="str">
        <f aca="false">IF($A253="","",ROUND(Payroll!R253-Payroll!L253-Payroll!M253,2))</f>
        <v/>
      </c>
      <c r="I253" s="26" t="str">
        <f aca="false">IF($A253="","",ROUND(Payroll!L253+Payroll!M253,2))</f>
        <v/>
      </c>
      <c r="J253" s="24" t="str">
        <f aca="false">IF($A253="","",0)</f>
        <v/>
      </c>
    </row>
    <row r="254" customFormat="false" ht="15" hidden="false" customHeight="false" outlineLevel="0" collapsed="false">
      <c r="A254" s="24" t="str">
        <f aca="false">IF(AND(Payroll!$A254&lt;&gt;"",N(Payroll!$R254)&gt;0),"EDR","")</f>
        <v/>
      </c>
      <c r="B254" s="24" t="str">
        <f aca="false">IF($A254="","",Payroll!U254)</f>
        <v/>
      </c>
      <c r="C254" s="24" t="str">
        <f aca="false">IF($A254="","",Payroll!S254)</f>
        <v/>
      </c>
      <c r="D254" s="24" t="str">
        <f aca="false">IF($A254="","",SUBSTITUTE(Payroll!T254," ",""))</f>
        <v/>
      </c>
      <c r="E254" s="24" t="str">
        <f aca="false">IF($A254="","",TEXT(Settings!$B$8,"yyyy-mm-dd"))</f>
        <v/>
      </c>
      <c r="F254" s="24" t="str">
        <f aca="false">IF($A254="","",TEXT(Settings!$B$9,"yyyy-mm-dd"))</f>
        <v/>
      </c>
      <c r="G254" s="24" t="str">
        <f aca="false">IF($A254="","",DAY(Settings!$B$9))</f>
        <v/>
      </c>
      <c r="H254" s="26" t="str">
        <f aca="false">IF($A254="","",ROUND(Payroll!R254-Payroll!L254-Payroll!M254,2))</f>
        <v/>
      </c>
      <c r="I254" s="26" t="str">
        <f aca="false">IF($A254="","",ROUND(Payroll!L254+Payroll!M254,2))</f>
        <v/>
      </c>
      <c r="J254" s="24" t="str">
        <f aca="false">IF($A254="","",0)</f>
        <v/>
      </c>
    </row>
    <row r="255" customFormat="false" ht="15" hidden="false" customHeight="false" outlineLevel="0" collapsed="false">
      <c r="A255" s="24" t="str">
        <f aca="false">IF(AND(Payroll!$A255&lt;&gt;"",N(Payroll!$R255)&gt;0),"EDR","")</f>
        <v/>
      </c>
      <c r="B255" s="24" t="str">
        <f aca="false">IF($A255="","",Payroll!U255)</f>
        <v/>
      </c>
      <c r="C255" s="24" t="str">
        <f aca="false">IF($A255="","",Payroll!S255)</f>
        <v/>
      </c>
      <c r="D255" s="24" t="str">
        <f aca="false">IF($A255="","",SUBSTITUTE(Payroll!T255," ",""))</f>
        <v/>
      </c>
      <c r="E255" s="24" t="str">
        <f aca="false">IF($A255="","",TEXT(Settings!$B$8,"yyyy-mm-dd"))</f>
        <v/>
      </c>
      <c r="F255" s="24" t="str">
        <f aca="false">IF($A255="","",TEXT(Settings!$B$9,"yyyy-mm-dd"))</f>
        <v/>
      </c>
      <c r="G255" s="24" t="str">
        <f aca="false">IF($A255="","",DAY(Settings!$B$9))</f>
        <v/>
      </c>
      <c r="H255" s="26" t="str">
        <f aca="false">IF($A255="","",ROUND(Payroll!R255-Payroll!L255-Payroll!M255,2))</f>
        <v/>
      </c>
      <c r="I255" s="26" t="str">
        <f aca="false">IF($A255="","",ROUND(Payroll!L255+Payroll!M255,2))</f>
        <v/>
      </c>
      <c r="J255" s="24" t="str">
        <f aca="false">IF($A255="","",0)</f>
        <v/>
      </c>
    </row>
    <row r="256" customFormat="false" ht="15" hidden="false" customHeight="false" outlineLevel="0" collapsed="false">
      <c r="A256" s="24" t="str">
        <f aca="false">IF(AND(Payroll!$A256&lt;&gt;"",N(Payroll!$R256)&gt;0),"EDR","")</f>
        <v/>
      </c>
      <c r="B256" s="24" t="str">
        <f aca="false">IF($A256="","",Payroll!U256)</f>
        <v/>
      </c>
      <c r="C256" s="24" t="str">
        <f aca="false">IF($A256="","",Payroll!S256)</f>
        <v/>
      </c>
      <c r="D256" s="24" t="str">
        <f aca="false">IF($A256="","",SUBSTITUTE(Payroll!T256," ",""))</f>
        <v/>
      </c>
      <c r="E256" s="24" t="str">
        <f aca="false">IF($A256="","",TEXT(Settings!$B$8,"yyyy-mm-dd"))</f>
        <v/>
      </c>
      <c r="F256" s="24" t="str">
        <f aca="false">IF($A256="","",TEXT(Settings!$B$9,"yyyy-mm-dd"))</f>
        <v/>
      </c>
      <c r="G256" s="24" t="str">
        <f aca="false">IF($A256="","",DAY(Settings!$B$9))</f>
        <v/>
      </c>
      <c r="H256" s="26" t="str">
        <f aca="false">IF($A256="","",ROUND(Payroll!R256-Payroll!L256-Payroll!M256,2))</f>
        <v/>
      </c>
      <c r="I256" s="26" t="str">
        <f aca="false">IF($A256="","",ROUND(Payroll!L256+Payroll!M256,2))</f>
        <v/>
      </c>
      <c r="J256" s="24" t="str">
        <f aca="false">IF($A256="","",0)</f>
        <v/>
      </c>
    </row>
    <row r="257" customFormat="false" ht="15" hidden="false" customHeight="false" outlineLevel="0" collapsed="false">
      <c r="A257" s="24" t="str">
        <f aca="false">IF(AND(Payroll!$A257&lt;&gt;"",N(Payroll!$R257)&gt;0),"EDR","")</f>
        <v/>
      </c>
      <c r="B257" s="24" t="str">
        <f aca="false">IF($A257="","",Payroll!U257)</f>
        <v/>
      </c>
      <c r="C257" s="24" t="str">
        <f aca="false">IF($A257="","",Payroll!S257)</f>
        <v/>
      </c>
      <c r="D257" s="24" t="str">
        <f aca="false">IF($A257="","",SUBSTITUTE(Payroll!T257," ",""))</f>
        <v/>
      </c>
      <c r="E257" s="24" t="str">
        <f aca="false">IF($A257="","",TEXT(Settings!$B$8,"yyyy-mm-dd"))</f>
        <v/>
      </c>
      <c r="F257" s="24" t="str">
        <f aca="false">IF($A257="","",TEXT(Settings!$B$9,"yyyy-mm-dd"))</f>
        <v/>
      </c>
      <c r="G257" s="24" t="str">
        <f aca="false">IF($A257="","",DAY(Settings!$B$9))</f>
        <v/>
      </c>
      <c r="H257" s="26" t="str">
        <f aca="false">IF($A257="","",ROUND(Payroll!R257-Payroll!L257-Payroll!M257,2))</f>
        <v/>
      </c>
      <c r="I257" s="26" t="str">
        <f aca="false">IF($A257="","",ROUND(Payroll!L257+Payroll!M257,2))</f>
        <v/>
      </c>
      <c r="J257" s="24" t="str">
        <f aca="false">IF($A257="","",0)</f>
        <v/>
      </c>
    </row>
    <row r="258" customFormat="false" ht="15" hidden="false" customHeight="false" outlineLevel="0" collapsed="false">
      <c r="A258" s="24" t="str">
        <f aca="false">IF(AND(Payroll!$A258&lt;&gt;"",N(Payroll!$R258)&gt;0),"EDR","")</f>
        <v/>
      </c>
      <c r="B258" s="24" t="str">
        <f aca="false">IF($A258="","",Payroll!U258)</f>
        <v/>
      </c>
      <c r="C258" s="24" t="str">
        <f aca="false">IF($A258="","",Payroll!S258)</f>
        <v/>
      </c>
      <c r="D258" s="24" t="str">
        <f aca="false">IF($A258="","",SUBSTITUTE(Payroll!T258," ",""))</f>
        <v/>
      </c>
      <c r="E258" s="24" t="str">
        <f aca="false">IF($A258="","",TEXT(Settings!$B$8,"yyyy-mm-dd"))</f>
        <v/>
      </c>
      <c r="F258" s="24" t="str">
        <f aca="false">IF($A258="","",TEXT(Settings!$B$9,"yyyy-mm-dd"))</f>
        <v/>
      </c>
      <c r="G258" s="24" t="str">
        <f aca="false">IF($A258="","",DAY(Settings!$B$9))</f>
        <v/>
      </c>
      <c r="H258" s="26" t="str">
        <f aca="false">IF($A258="","",ROUND(Payroll!R258-Payroll!L258-Payroll!M258,2))</f>
        <v/>
      </c>
      <c r="I258" s="26" t="str">
        <f aca="false">IF($A258="","",ROUND(Payroll!L258+Payroll!M258,2))</f>
        <v/>
      </c>
      <c r="J258" s="24" t="str">
        <f aca="false">IF($A258="","",0)</f>
        <v/>
      </c>
    </row>
    <row r="259" customFormat="false" ht="15" hidden="false" customHeight="false" outlineLevel="0" collapsed="false">
      <c r="A259" s="24" t="str">
        <f aca="false">IF(AND(Payroll!$A259&lt;&gt;"",N(Payroll!$R259)&gt;0),"EDR","")</f>
        <v/>
      </c>
      <c r="B259" s="24" t="str">
        <f aca="false">IF($A259="","",Payroll!U259)</f>
        <v/>
      </c>
      <c r="C259" s="24" t="str">
        <f aca="false">IF($A259="","",Payroll!S259)</f>
        <v/>
      </c>
      <c r="D259" s="24" t="str">
        <f aca="false">IF($A259="","",SUBSTITUTE(Payroll!T259," ",""))</f>
        <v/>
      </c>
      <c r="E259" s="24" t="str">
        <f aca="false">IF($A259="","",TEXT(Settings!$B$8,"yyyy-mm-dd"))</f>
        <v/>
      </c>
      <c r="F259" s="24" t="str">
        <f aca="false">IF($A259="","",TEXT(Settings!$B$9,"yyyy-mm-dd"))</f>
        <v/>
      </c>
      <c r="G259" s="24" t="str">
        <f aca="false">IF($A259="","",DAY(Settings!$B$9))</f>
        <v/>
      </c>
      <c r="H259" s="26" t="str">
        <f aca="false">IF($A259="","",ROUND(Payroll!R259-Payroll!L259-Payroll!M259,2))</f>
        <v/>
      </c>
      <c r="I259" s="26" t="str">
        <f aca="false">IF($A259="","",ROUND(Payroll!L259+Payroll!M259,2))</f>
        <v/>
      </c>
      <c r="J259" s="24" t="str">
        <f aca="false">IF($A259="","",0)</f>
        <v/>
      </c>
    </row>
    <row r="260" customFormat="false" ht="15" hidden="false" customHeight="false" outlineLevel="0" collapsed="false">
      <c r="A260" s="24" t="str">
        <f aca="false">IF(AND(Payroll!$A260&lt;&gt;"",N(Payroll!$R260)&gt;0),"EDR","")</f>
        <v/>
      </c>
      <c r="B260" s="24" t="str">
        <f aca="false">IF($A260="","",Payroll!U260)</f>
        <v/>
      </c>
      <c r="C260" s="24" t="str">
        <f aca="false">IF($A260="","",Payroll!S260)</f>
        <v/>
      </c>
      <c r="D260" s="24" t="str">
        <f aca="false">IF($A260="","",SUBSTITUTE(Payroll!T260," ",""))</f>
        <v/>
      </c>
      <c r="E260" s="24" t="str">
        <f aca="false">IF($A260="","",TEXT(Settings!$B$8,"yyyy-mm-dd"))</f>
        <v/>
      </c>
      <c r="F260" s="24" t="str">
        <f aca="false">IF($A260="","",TEXT(Settings!$B$9,"yyyy-mm-dd"))</f>
        <v/>
      </c>
      <c r="G260" s="24" t="str">
        <f aca="false">IF($A260="","",DAY(Settings!$B$9))</f>
        <v/>
      </c>
      <c r="H260" s="26" t="str">
        <f aca="false">IF($A260="","",ROUND(Payroll!R260-Payroll!L260-Payroll!M260,2))</f>
        <v/>
      </c>
      <c r="I260" s="26" t="str">
        <f aca="false">IF($A260="","",ROUND(Payroll!L260+Payroll!M260,2))</f>
        <v/>
      </c>
      <c r="J260" s="24" t="str">
        <f aca="false">IF($A260="","",0)</f>
        <v/>
      </c>
    </row>
    <row r="261" customFormat="false" ht="15" hidden="false" customHeight="false" outlineLevel="0" collapsed="false">
      <c r="A261" s="24" t="str">
        <f aca="false">IF(AND(Payroll!$A261&lt;&gt;"",N(Payroll!$R261)&gt;0),"EDR","")</f>
        <v/>
      </c>
      <c r="B261" s="24" t="str">
        <f aca="false">IF($A261="","",Payroll!U261)</f>
        <v/>
      </c>
      <c r="C261" s="24" t="str">
        <f aca="false">IF($A261="","",Payroll!S261)</f>
        <v/>
      </c>
      <c r="D261" s="24" t="str">
        <f aca="false">IF($A261="","",SUBSTITUTE(Payroll!T261," ",""))</f>
        <v/>
      </c>
      <c r="E261" s="24" t="str">
        <f aca="false">IF($A261="","",TEXT(Settings!$B$8,"yyyy-mm-dd"))</f>
        <v/>
      </c>
      <c r="F261" s="24" t="str">
        <f aca="false">IF($A261="","",TEXT(Settings!$B$9,"yyyy-mm-dd"))</f>
        <v/>
      </c>
      <c r="G261" s="24" t="str">
        <f aca="false">IF($A261="","",DAY(Settings!$B$9))</f>
        <v/>
      </c>
      <c r="H261" s="26" t="str">
        <f aca="false">IF($A261="","",ROUND(Payroll!R261-Payroll!L261-Payroll!M261,2))</f>
        <v/>
      </c>
      <c r="I261" s="26" t="str">
        <f aca="false">IF($A261="","",ROUND(Payroll!L261+Payroll!M261,2))</f>
        <v/>
      </c>
      <c r="J261" s="24" t="str">
        <f aca="false">IF($A261="","",0)</f>
        <v/>
      </c>
    </row>
    <row r="262" customFormat="false" ht="15" hidden="false" customHeight="false" outlineLevel="0" collapsed="false">
      <c r="A262" s="24" t="str">
        <f aca="false">IF(AND(Payroll!$A262&lt;&gt;"",N(Payroll!$R262)&gt;0),"EDR","")</f>
        <v/>
      </c>
      <c r="B262" s="24" t="str">
        <f aca="false">IF($A262="","",Payroll!U262)</f>
        <v/>
      </c>
      <c r="C262" s="24" t="str">
        <f aca="false">IF($A262="","",Payroll!S262)</f>
        <v/>
      </c>
      <c r="D262" s="24" t="str">
        <f aca="false">IF($A262="","",SUBSTITUTE(Payroll!T262," ",""))</f>
        <v/>
      </c>
      <c r="E262" s="24" t="str">
        <f aca="false">IF($A262="","",TEXT(Settings!$B$8,"yyyy-mm-dd"))</f>
        <v/>
      </c>
      <c r="F262" s="24" t="str">
        <f aca="false">IF($A262="","",TEXT(Settings!$B$9,"yyyy-mm-dd"))</f>
        <v/>
      </c>
      <c r="G262" s="24" t="str">
        <f aca="false">IF($A262="","",DAY(Settings!$B$9))</f>
        <v/>
      </c>
      <c r="H262" s="26" t="str">
        <f aca="false">IF($A262="","",ROUND(Payroll!R262-Payroll!L262-Payroll!M262,2))</f>
        <v/>
      </c>
      <c r="I262" s="26" t="str">
        <f aca="false">IF($A262="","",ROUND(Payroll!L262+Payroll!M262,2))</f>
        <v/>
      </c>
      <c r="J262" s="24" t="str">
        <f aca="false">IF($A262="","",0)</f>
        <v/>
      </c>
    </row>
    <row r="263" customFormat="false" ht="15" hidden="false" customHeight="false" outlineLevel="0" collapsed="false">
      <c r="A263" s="24" t="str">
        <f aca="false">IF(AND(Payroll!$A263&lt;&gt;"",N(Payroll!$R263)&gt;0),"EDR","")</f>
        <v/>
      </c>
      <c r="B263" s="24" t="str">
        <f aca="false">IF($A263="","",Payroll!U263)</f>
        <v/>
      </c>
      <c r="C263" s="24" t="str">
        <f aca="false">IF($A263="","",Payroll!S263)</f>
        <v/>
      </c>
      <c r="D263" s="24" t="str">
        <f aca="false">IF($A263="","",SUBSTITUTE(Payroll!T263," ",""))</f>
        <v/>
      </c>
      <c r="E263" s="24" t="str">
        <f aca="false">IF($A263="","",TEXT(Settings!$B$8,"yyyy-mm-dd"))</f>
        <v/>
      </c>
      <c r="F263" s="24" t="str">
        <f aca="false">IF($A263="","",TEXT(Settings!$B$9,"yyyy-mm-dd"))</f>
        <v/>
      </c>
      <c r="G263" s="24" t="str">
        <f aca="false">IF($A263="","",DAY(Settings!$B$9))</f>
        <v/>
      </c>
      <c r="H263" s="26" t="str">
        <f aca="false">IF($A263="","",ROUND(Payroll!R263-Payroll!L263-Payroll!M263,2))</f>
        <v/>
      </c>
      <c r="I263" s="26" t="str">
        <f aca="false">IF($A263="","",ROUND(Payroll!L263+Payroll!M263,2))</f>
        <v/>
      </c>
      <c r="J263" s="24" t="str">
        <f aca="false">IF($A263="","",0)</f>
        <v/>
      </c>
    </row>
    <row r="264" customFormat="false" ht="15" hidden="false" customHeight="false" outlineLevel="0" collapsed="false">
      <c r="A264" s="24" t="str">
        <f aca="false">IF(AND(Payroll!$A264&lt;&gt;"",N(Payroll!$R264)&gt;0),"EDR","")</f>
        <v/>
      </c>
      <c r="B264" s="24" t="str">
        <f aca="false">IF($A264="","",Payroll!U264)</f>
        <v/>
      </c>
      <c r="C264" s="24" t="str">
        <f aca="false">IF($A264="","",Payroll!S264)</f>
        <v/>
      </c>
      <c r="D264" s="24" t="str">
        <f aca="false">IF($A264="","",SUBSTITUTE(Payroll!T264," ",""))</f>
        <v/>
      </c>
      <c r="E264" s="24" t="str">
        <f aca="false">IF($A264="","",TEXT(Settings!$B$8,"yyyy-mm-dd"))</f>
        <v/>
      </c>
      <c r="F264" s="24" t="str">
        <f aca="false">IF($A264="","",TEXT(Settings!$B$9,"yyyy-mm-dd"))</f>
        <v/>
      </c>
      <c r="G264" s="24" t="str">
        <f aca="false">IF($A264="","",DAY(Settings!$B$9))</f>
        <v/>
      </c>
      <c r="H264" s="26" t="str">
        <f aca="false">IF($A264="","",ROUND(Payroll!R264-Payroll!L264-Payroll!M264,2))</f>
        <v/>
      </c>
      <c r="I264" s="26" t="str">
        <f aca="false">IF($A264="","",ROUND(Payroll!L264+Payroll!M264,2))</f>
        <v/>
      </c>
      <c r="J264" s="24" t="str">
        <f aca="false">IF($A264="","",0)</f>
        <v/>
      </c>
    </row>
    <row r="265" customFormat="false" ht="15" hidden="false" customHeight="false" outlineLevel="0" collapsed="false">
      <c r="A265" s="24" t="str">
        <f aca="false">IF(AND(Payroll!$A265&lt;&gt;"",N(Payroll!$R265)&gt;0),"EDR","")</f>
        <v/>
      </c>
      <c r="B265" s="24" t="str">
        <f aca="false">IF($A265="","",Payroll!U265)</f>
        <v/>
      </c>
      <c r="C265" s="24" t="str">
        <f aca="false">IF($A265="","",Payroll!S265)</f>
        <v/>
      </c>
      <c r="D265" s="24" t="str">
        <f aca="false">IF($A265="","",SUBSTITUTE(Payroll!T265," ",""))</f>
        <v/>
      </c>
      <c r="E265" s="24" t="str">
        <f aca="false">IF($A265="","",TEXT(Settings!$B$8,"yyyy-mm-dd"))</f>
        <v/>
      </c>
      <c r="F265" s="24" t="str">
        <f aca="false">IF($A265="","",TEXT(Settings!$B$9,"yyyy-mm-dd"))</f>
        <v/>
      </c>
      <c r="G265" s="24" t="str">
        <f aca="false">IF($A265="","",DAY(Settings!$B$9))</f>
        <v/>
      </c>
      <c r="H265" s="26" t="str">
        <f aca="false">IF($A265="","",ROUND(Payroll!R265-Payroll!L265-Payroll!M265,2))</f>
        <v/>
      </c>
      <c r="I265" s="26" t="str">
        <f aca="false">IF($A265="","",ROUND(Payroll!L265+Payroll!M265,2))</f>
        <v/>
      </c>
      <c r="J265" s="24" t="str">
        <f aca="false">IF($A265="","",0)</f>
        <v/>
      </c>
    </row>
    <row r="266" customFormat="false" ht="15" hidden="false" customHeight="false" outlineLevel="0" collapsed="false">
      <c r="A266" s="24" t="str">
        <f aca="false">IF(AND(Payroll!$A266&lt;&gt;"",N(Payroll!$R266)&gt;0),"EDR","")</f>
        <v/>
      </c>
      <c r="B266" s="24" t="str">
        <f aca="false">IF($A266="","",Payroll!U266)</f>
        <v/>
      </c>
      <c r="C266" s="24" t="str">
        <f aca="false">IF($A266="","",Payroll!S266)</f>
        <v/>
      </c>
      <c r="D266" s="24" t="str">
        <f aca="false">IF($A266="","",SUBSTITUTE(Payroll!T266," ",""))</f>
        <v/>
      </c>
      <c r="E266" s="24" t="str">
        <f aca="false">IF($A266="","",TEXT(Settings!$B$8,"yyyy-mm-dd"))</f>
        <v/>
      </c>
      <c r="F266" s="24" t="str">
        <f aca="false">IF($A266="","",TEXT(Settings!$B$9,"yyyy-mm-dd"))</f>
        <v/>
      </c>
      <c r="G266" s="24" t="str">
        <f aca="false">IF($A266="","",DAY(Settings!$B$9))</f>
        <v/>
      </c>
      <c r="H266" s="26" t="str">
        <f aca="false">IF($A266="","",ROUND(Payroll!R266-Payroll!L266-Payroll!M266,2))</f>
        <v/>
      </c>
      <c r="I266" s="26" t="str">
        <f aca="false">IF($A266="","",ROUND(Payroll!L266+Payroll!M266,2))</f>
        <v/>
      </c>
      <c r="J266" s="24" t="str">
        <f aca="false">IF($A266="","",0)</f>
        <v/>
      </c>
    </row>
    <row r="267" customFormat="false" ht="15" hidden="false" customHeight="false" outlineLevel="0" collapsed="false">
      <c r="A267" s="24" t="str">
        <f aca="false">IF(AND(Payroll!$A267&lt;&gt;"",N(Payroll!$R267)&gt;0),"EDR","")</f>
        <v/>
      </c>
      <c r="B267" s="24" t="str">
        <f aca="false">IF($A267="","",Payroll!U267)</f>
        <v/>
      </c>
      <c r="C267" s="24" t="str">
        <f aca="false">IF($A267="","",Payroll!S267)</f>
        <v/>
      </c>
      <c r="D267" s="24" t="str">
        <f aca="false">IF($A267="","",SUBSTITUTE(Payroll!T267," ",""))</f>
        <v/>
      </c>
      <c r="E267" s="24" t="str">
        <f aca="false">IF($A267="","",TEXT(Settings!$B$8,"yyyy-mm-dd"))</f>
        <v/>
      </c>
      <c r="F267" s="24" t="str">
        <f aca="false">IF($A267="","",TEXT(Settings!$B$9,"yyyy-mm-dd"))</f>
        <v/>
      </c>
      <c r="G267" s="24" t="str">
        <f aca="false">IF($A267="","",DAY(Settings!$B$9))</f>
        <v/>
      </c>
      <c r="H267" s="26" t="str">
        <f aca="false">IF($A267="","",ROUND(Payroll!R267-Payroll!L267-Payroll!M267,2))</f>
        <v/>
      </c>
      <c r="I267" s="26" t="str">
        <f aca="false">IF($A267="","",ROUND(Payroll!L267+Payroll!M267,2))</f>
        <v/>
      </c>
      <c r="J267" s="24" t="str">
        <f aca="false">IF($A267="","",0)</f>
        <v/>
      </c>
    </row>
    <row r="268" customFormat="false" ht="15" hidden="false" customHeight="false" outlineLevel="0" collapsed="false">
      <c r="A268" s="24" t="str">
        <f aca="false">IF(AND(Payroll!$A268&lt;&gt;"",N(Payroll!$R268)&gt;0),"EDR","")</f>
        <v/>
      </c>
      <c r="B268" s="24" t="str">
        <f aca="false">IF($A268="","",Payroll!U268)</f>
        <v/>
      </c>
      <c r="C268" s="24" t="str">
        <f aca="false">IF($A268="","",Payroll!S268)</f>
        <v/>
      </c>
      <c r="D268" s="24" t="str">
        <f aca="false">IF($A268="","",SUBSTITUTE(Payroll!T268," ",""))</f>
        <v/>
      </c>
      <c r="E268" s="24" t="str">
        <f aca="false">IF($A268="","",TEXT(Settings!$B$8,"yyyy-mm-dd"))</f>
        <v/>
      </c>
      <c r="F268" s="24" t="str">
        <f aca="false">IF($A268="","",TEXT(Settings!$B$9,"yyyy-mm-dd"))</f>
        <v/>
      </c>
      <c r="G268" s="24" t="str">
        <f aca="false">IF($A268="","",DAY(Settings!$B$9))</f>
        <v/>
      </c>
      <c r="H268" s="26" t="str">
        <f aca="false">IF($A268="","",ROUND(Payroll!R268-Payroll!L268-Payroll!M268,2))</f>
        <v/>
      </c>
      <c r="I268" s="26" t="str">
        <f aca="false">IF($A268="","",ROUND(Payroll!L268+Payroll!M268,2))</f>
        <v/>
      </c>
      <c r="J268" s="24" t="str">
        <f aca="false">IF($A268="","",0)</f>
        <v/>
      </c>
    </row>
    <row r="269" customFormat="false" ht="15" hidden="false" customHeight="false" outlineLevel="0" collapsed="false">
      <c r="A269" s="24" t="str">
        <f aca="false">IF(AND(Payroll!$A269&lt;&gt;"",N(Payroll!$R269)&gt;0),"EDR","")</f>
        <v/>
      </c>
      <c r="B269" s="24" t="str">
        <f aca="false">IF($A269="","",Payroll!U269)</f>
        <v/>
      </c>
      <c r="C269" s="24" t="str">
        <f aca="false">IF($A269="","",Payroll!S269)</f>
        <v/>
      </c>
      <c r="D269" s="24" t="str">
        <f aca="false">IF($A269="","",SUBSTITUTE(Payroll!T269," ",""))</f>
        <v/>
      </c>
      <c r="E269" s="24" t="str">
        <f aca="false">IF($A269="","",TEXT(Settings!$B$8,"yyyy-mm-dd"))</f>
        <v/>
      </c>
      <c r="F269" s="24" t="str">
        <f aca="false">IF($A269="","",TEXT(Settings!$B$9,"yyyy-mm-dd"))</f>
        <v/>
      </c>
      <c r="G269" s="24" t="str">
        <f aca="false">IF($A269="","",DAY(Settings!$B$9))</f>
        <v/>
      </c>
      <c r="H269" s="26" t="str">
        <f aca="false">IF($A269="","",ROUND(Payroll!R269-Payroll!L269-Payroll!M269,2))</f>
        <v/>
      </c>
      <c r="I269" s="26" t="str">
        <f aca="false">IF($A269="","",ROUND(Payroll!L269+Payroll!M269,2))</f>
        <v/>
      </c>
      <c r="J269" s="24" t="str">
        <f aca="false">IF($A269="","",0)</f>
        <v/>
      </c>
    </row>
    <row r="270" customFormat="false" ht="15" hidden="false" customHeight="false" outlineLevel="0" collapsed="false">
      <c r="A270" s="24" t="str">
        <f aca="false">IF(AND(Payroll!$A270&lt;&gt;"",N(Payroll!$R270)&gt;0),"EDR","")</f>
        <v/>
      </c>
      <c r="B270" s="24" t="str">
        <f aca="false">IF($A270="","",Payroll!U270)</f>
        <v/>
      </c>
      <c r="C270" s="24" t="str">
        <f aca="false">IF($A270="","",Payroll!S270)</f>
        <v/>
      </c>
      <c r="D270" s="24" t="str">
        <f aca="false">IF($A270="","",SUBSTITUTE(Payroll!T270," ",""))</f>
        <v/>
      </c>
      <c r="E270" s="24" t="str">
        <f aca="false">IF($A270="","",TEXT(Settings!$B$8,"yyyy-mm-dd"))</f>
        <v/>
      </c>
      <c r="F270" s="24" t="str">
        <f aca="false">IF($A270="","",TEXT(Settings!$B$9,"yyyy-mm-dd"))</f>
        <v/>
      </c>
      <c r="G270" s="24" t="str">
        <f aca="false">IF($A270="","",DAY(Settings!$B$9))</f>
        <v/>
      </c>
      <c r="H270" s="26" t="str">
        <f aca="false">IF($A270="","",ROUND(Payroll!R270-Payroll!L270-Payroll!M270,2))</f>
        <v/>
      </c>
      <c r="I270" s="26" t="str">
        <f aca="false">IF($A270="","",ROUND(Payroll!L270+Payroll!M270,2))</f>
        <v/>
      </c>
      <c r="J270" s="24" t="str">
        <f aca="false">IF($A270="","",0)</f>
        <v/>
      </c>
    </row>
    <row r="271" customFormat="false" ht="15" hidden="false" customHeight="false" outlineLevel="0" collapsed="false">
      <c r="A271" s="24" t="str">
        <f aca="false">IF(AND(Payroll!$A271&lt;&gt;"",N(Payroll!$R271)&gt;0),"EDR","")</f>
        <v/>
      </c>
      <c r="B271" s="24" t="str">
        <f aca="false">IF($A271="","",Payroll!U271)</f>
        <v/>
      </c>
      <c r="C271" s="24" t="str">
        <f aca="false">IF($A271="","",Payroll!S271)</f>
        <v/>
      </c>
      <c r="D271" s="24" t="str">
        <f aca="false">IF($A271="","",SUBSTITUTE(Payroll!T271," ",""))</f>
        <v/>
      </c>
      <c r="E271" s="24" t="str">
        <f aca="false">IF($A271="","",TEXT(Settings!$B$8,"yyyy-mm-dd"))</f>
        <v/>
      </c>
      <c r="F271" s="24" t="str">
        <f aca="false">IF($A271="","",TEXT(Settings!$B$9,"yyyy-mm-dd"))</f>
        <v/>
      </c>
      <c r="G271" s="24" t="str">
        <f aca="false">IF($A271="","",DAY(Settings!$B$9))</f>
        <v/>
      </c>
      <c r="H271" s="26" t="str">
        <f aca="false">IF($A271="","",ROUND(Payroll!R271-Payroll!L271-Payroll!M271,2))</f>
        <v/>
      </c>
      <c r="I271" s="26" t="str">
        <f aca="false">IF($A271="","",ROUND(Payroll!L271+Payroll!M271,2))</f>
        <v/>
      </c>
      <c r="J271" s="24" t="str">
        <f aca="false">IF($A271="","",0)</f>
        <v/>
      </c>
    </row>
    <row r="272" customFormat="false" ht="15" hidden="false" customHeight="false" outlineLevel="0" collapsed="false">
      <c r="A272" s="24" t="str">
        <f aca="false">IF(AND(Payroll!$A272&lt;&gt;"",N(Payroll!$R272)&gt;0),"EDR","")</f>
        <v/>
      </c>
      <c r="B272" s="24" t="str">
        <f aca="false">IF($A272="","",Payroll!U272)</f>
        <v/>
      </c>
      <c r="C272" s="24" t="str">
        <f aca="false">IF($A272="","",Payroll!S272)</f>
        <v/>
      </c>
      <c r="D272" s="24" t="str">
        <f aca="false">IF($A272="","",SUBSTITUTE(Payroll!T272," ",""))</f>
        <v/>
      </c>
      <c r="E272" s="24" t="str">
        <f aca="false">IF($A272="","",TEXT(Settings!$B$8,"yyyy-mm-dd"))</f>
        <v/>
      </c>
      <c r="F272" s="24" t="str">
        <f aca="false">IF($A272="","",TEXT(Settings!$B$9,"yyyy-mm-dd"))</f>
        <v/>
      </c>
      <c r="G272" s="24" t="str">
        <f aca="false">IF($A272="","",DAY(Settings!$B$9))</f>
        <v/>
      </c>
      <c r="H272" s="26" t="str">
        <f aca="false">IF($A272="","",ROUND(Payroll!R272-Payroll!L272-Payroll!M272,2))</f>
        <v/>
      </c>
      <c r="I272" s="26" t="str">
        <f aca="false">IF($A272="","",ROUND(Payroll!L272+Payroll!M272,2))</f>
        <v/>
      </c>
      <c r="J272" s="24" t="str">
        <f aca="false">IF($A272="","",0)</f>
        <v/>
      </c>
    </row>
    <row r="273" customFormat="false" ht="15" hidden="false" customHeight="false" outlineLevel="0" collapsed="false">
      <c r="A273" s="24" t="str">
        <f aca="false">IF(AND(Payroll!$A273&lt;&gt;"",N(Payroll!$R273)&gt;0),"EDR","")</f>
        <v/>
      </c>
      <c r="B273" s="24" t="str">
        <f aca="false">IF($A273="","",Payroll!U273)</f>
        <v/>
      </c>
      <c r="C273" s="24" t="str">
        <f aca="false">IF($A273="","",Payroll!S273)</f>
        <v/>
      </c>
      <c r="D273" s="24" t="str">
        <f aca="false">IF($A273="","",SUBSTITUTE(Payroll!T273," ",""))</f>
        <v/>
      </c>
      <c r="E273" s="24" t="str">
        <f aca="false">IF($A273="","",TEXT(Settings!$B$8,"yyyy-mm-dd"))</f>
        <v/>
      </c>
      <c r="F273" s="24" t="str">
        <f aca="false">IF($A273="","",TEXT(Settings!$B$9,"yyyy-mm-dd"))</f>
        <v/>
      </c>
      <c r="G273" s="24" t="str">
        <f aca="false">IF($A273="","",DAY(Settings!$B$9))</f>
        <v/>
      </c>
      <c r="H273" s="26" t="str">
        <f aca="false">IF($A273="","",ROUND(Payroll!R273-Payroll!L273-Payroll!M273,2))</f>
        <v/>
      </c>
      <c r="I273" s="26" t="str">
        <f aca="false">IF($A273="","",ROUND(Payroll!L273+Payroll!M273,2))</f>
        <v/>
      </c>
      <c r="J273" s="24" t="str">
        <f aca="false">IF($A273="","",0)</f>
        <v/>
      </c>
    </row>
    <row r="274" customFormat="false" ht="15" hidden="false" customHeight="false" outlineLevel="0" collapsed="false">
      <c r="A274" s="24" t="str">
        <f aca="false">IF(AND(Payroll!$A274&lt;&gt;"",N(Payroll!$R274)&gt;0),"EDR","")</f>
        <v/>
      </c>
      <c r="B274" s="24" t="str">
        <f aca="false">IF($A274="","",Payroll!U274)</f>
        <v/>
      </c>
      <c r="C274" s="24" t="str">
        <f aca="false">IF($A274="","",Payroll!S274)</f>
        <v/>
      </c>
      <c r="D274" s="24" t="str">
        <f aca="false">IF($A274="","",SUBSTITUTE(Payroll!T274," ",""))</f>
        <v/>
      </c>
      <c r="E274" s="24" t="str">
        <f aca="false">IF($A274="","",TEXT(Settings!$B$8,"yyyy-mm-dd"))</f>
        <v/>
      </c>
      <c r="F274" s="24" t="str">
        <f aca="false">IF($A274="","",TEXT(Settings!$B$9,"yyyy-mm-dd"))</f>
        <v/>
      </c>
      <c r="G274" s="24" t="str">
        <f aca="false">IF($A274="","",DAY(Settings!$B$9))</f>
        <v/>
      </c>
      <c r="H274" s="26" t="str">
        <f aca="false">IF($A274="","",ROUND(Payroll!R274-Payroll!L274-Payroll!M274,2))</f>
        <v/>
      </c>
      <c r="I274" s="26" t="str">
        <f aca="false">IF($A274="","",ROUND(Payroll!L274+Payroll!M274,2))</f>
        <v/>
      </c>
      <c r="J274" s="24" t="str">
        <f aca="false">IF($A274="","",0)</f>
        <v/>
      </c>
    </row>
    <row r="275" customFormat="false" ht="15" hidden="false" customHeight="false" outlineLevel="0" collapsed="false">
      <c r="A275" s="24" t="str">
        <f aca="false">IF(AND(Payroll!$A275&lt;&gt;"",N(Payroll!$R275)&gt;0),"EDR","")</f>
        <v/>
      </c>
      <c r="B275" s="24" t="str">
        <f aca="false">IF($A275="","",Payroll!U275)</f>
        <v/>
      </c>
      <c r="C275" s="24" t="str">
        <f aca="false">IF($A275="","",Payroll!S275)</f>
        <v/>
      </c>
      <c r="D275" s="24" t="str">
        <f aca="false">IF($A275="","",SUBSTITUTE(Payroll!T275," ",""))</f>
        <v/>
      </c>
      <c r="E275" s="24" t="str">
        <f aca="false">IF($A275="","",TEXT(Settings!$B$8,"yyyy-mm-dd"))</f>
        <v/>
      </c>
      <c r="F275" s="24" t="str">
        <f aca="false">IF($A275="","",TEXT(Settings!$B$9,"yyyy-mm-dd"))</f>
        <v/>
      </c>
      <c r="G275" s="24" t="str">
        <f aca="false">IF($A275="","",DAY(Settings!$B$9))</f>
        <v/>
      </c>
      <c r="H275" s="26" t="str">
        <f aca="false">IF($A275="","",ROUND(Payroll!R275-Payroll!L275-Payroll!M275,2))</f>
        <v/>
      </c>
      <c r="I275" s="26" t="str">
        <f aca="false">IF($A275="","",ROUND(Payroll!L275+Payroll!M275,2))</f>
        <v/>
      </c>
      <c r="J275" s="24" t="str">
        <f aca="false">IF($A275="","",0)</f>
        <v/>
      </c>
    </row>
    <row r="276" customFormat="false" ht="15" hidden="false" customHeight="false" outlineLevel="0" collapsed="false">
      <c r="A276" s="24" t="str">
        <f aca="false">IF(AND(Payroll!$A276&lt;&gt;"",N(Payroll!$R276)&gt;0),"EDR","")</f>
        <v/>
      </c>
      <c r="B276" s="24" t="str">
        <f aca="false">IF($A276="","",Payroll!U276)</f>
        <v/>
      </c>
      <c r="C276" s="24" t="str">
        <f aca="false">IF($A276="","",Payroll!S276)</f>
        <v/>
      </c>
      <c r="D276" s="24" t="str">
        <f aca="false">IF($A276="","",SUBSTITUTE(Payroll!T276," ",""))</f>
        <v/>
      </c>
      <c r="E276" s="24" t="str">
        <f aca="false">IF($A276="","",TEXT(Settings!$B$8,"yyyy-mm-dd"))</f>
        <v/>
      </c>
      <c r="F276" s="24" t="str">
        <f aca="false">IF($A276="","",TEXT(Settings!$B$9,"yyyy-mm-dd"))</f>
        <v/>
      </c>
      <c r="G276" s="24" t="str">
        <f aca="false">IF($A276="","",DAY(Settings!$B$9))</f>
        <v/>
      </c>
      <c r="H276" s="26" t="str">
        <f aca="false">IF($A276="","",ROUND(Payroll!R276-Payroll!L276-Payroll!M276,2))</f>
        <v/>
      </c>
      <c r="I276" s="26" t="str">
        <f aca="false">IF($A276="","",ROUND(Payroll!L276+Payroll!M276,2))</f>
        <v/>
      </c>
      <c r="J276" s="24" t="str">
        <f aca="false">IF($A276="","",0)</f>
        <v/>
      </c>
    </row>
    <row r="277" customFormat="false" ht="15" hidden="false" customHeight="false" outlineLevel="0" collapsed="false">
      <c r="A277" s="24" t="str">
        <f aca="false">IF(AND(Payroll!$A277&lt;&gt;"",N(Payroll!$R277)&gt;0),"EDR","")</f>
        <v/>
      </c>
      <c r="B277" s="24" t="str">
        <f aca="false">IF($A277="","",Payroll!U277)</f>
        <v/>
      </c>
      <c r="C277" s="24" t="str">
        <f aca="false">IF($A277="","",Payroll!S277)</f>
        <v/>
      </c>
      <c r="D277" s="24" t="str">
        <f aca="false">IF($A277="","",SUBSTITUTE(Payroll!T277," ",""))</f>
        <v/>
      </c>
      <c r="E277" s="24" t="str">
        <f aca="false">IF($A277="","",TEXT(Settings!$B$8,"yyyy-mm-dd"))</f>
        <v/>
      </c>
      <c r="F277" s="24" t="str">
        <f aca="false">IF($A277="","",TEXT(Settings!$B$9,"yyyy-mm-dd"))</f>
        <v/>
      </c>
      <c r="G277" s="24" t="str">
        <f aca="false">IF($A277="","",DAY(Settings!$B$9))</f>
        <v/>
      </c>
      <c r="H277" s="26" t="str">
        <f aca="false">IF($A277="","",ROUND(Payroll!R277-Payroll!L277-Payroll!M277,2))</f>
        <v/>
      </c>
      <c r="I277" s="26" t="str">
        <f aca="false">IF($A277="","",ROUND(Payroll!L277+Payroll!M277,2))</f>
        <v/>
      </c>
      <c r="J277" s="24" t="str">
        <f aca="false">IF($A277="","",0)</f>
        <v/>
      </c>
    </row>
    <row r="278" customFormat="false" ht="15" hidden="false" customHeight="false" outlineLevel="0" collapsed="false">
      <c r="A278" s="24" t="str">
        <f aca="false">IF(AND(Payroll!$A278&lt;&gt;"",N(Payroll!$R278)&gt;0),"EDR","")</f>
        <v/>
      </c>
      <c r="B278" s="24" t="str">
        <f aca="false">IF($A278="","",Payroll!U278)</f>
        <v/>
      </c>
      <c r="C278" s="24" t="str">
        <f aca="false">IF($A278="","",Payroll!S278)</f>
        <v/>
      </c>
      <c r="D278" s="24" t="str">
        <f aca="false">IF($A278="","",SUBSTITUTE(Payroll!T278," ",""))</f>
        <v/>
      </c>
      <c r="E278" s="24" t="str">
        <f aca="false">IF($A278="","",TEXT(Settings!$B$8,"yyyy-mm-dd"))</f>
        <v/>
      </c>
      <c r="F278" s="24" t="str">
        <f aca="false">IF($A278="","",TEXT(Settings!$B$9,"yyyy-mm-dd"))</f>
        <v/>
      </c>
      <c r="G278" s="24" t="str">
        <f aca="false">IF($A278="","",DAY(Settings!$B$9))</f>
        <v/>
      </c>
      <c r="H278" s="26" t="str">
        <f aca="false">IF($A278="","",ROUND(Payroll!R278-Payroll!L278-Payroll!M278,2))</f>
        <v/>
      </c>
      <c r="I278" s="26" t="str">
        <f aca="false">IF($A278="","",ROUND(Payroll!L278+Payroll!M278,2))</f>
        <v/>
      </c>
      <c r="J278" s="24" t="str">
        <f aca="false">IF($A278="","",0)</f>
        <v/>
      </c>
    </row>
    <row r="279" customFormat="false" ht="15" hidden="false" customHeight="false" outlineLevel="0" collapsed="false">
      <c r="A279" s="24" t="str">
        <f aca="false">IF(AND(Payroll!$A279&lt;&gt;"",N(Payroll!$R279)&gt;0),"EDR","")</f>
        <v/>
      </c>
      <c r="B279" s="24" t="str">
        <f aca="false">IF($A279="","",Payroll!U279)</f>
        <v/>
      </c>
      <c r="C279" s="24" t="str">
        <f aca="false">IF($A279="","",Payroll!S279)</f>
        <v/>
      </c>
      <c r="D279" s="24" t="str">
        <f aca="false">IF($A279="","",SUBSTITUTE(Payroll!T279," ",""))</f>
        <v/>
      </c>
      <c r="E279" s="24" t="str">
        <f aca="false">IF($A279="","",TEXT(Settings!$B$8,"yyyy-mm-dd"))</f>
        <v/>
      </c>
      <c r="F279" s="24" t="str">
        <f aca="false">IF($A279="","",TEXT(Settings!$B$9,"yyyy-mm-dd"))</f>
        <v/>
      </c>
      <c r="G279" s="24" t="str">
        <f aca="false">IF($A279="","",DAY(Settings!$B$9))</f>
        <v/>
      </c>
      <c r="H279" s="26" t="str">
        <f aca="false">IF($A279="","",ROUND(Payroll!R279-Payroll!L279-Payroll!M279,2))</f>
        <v/>
      </c>
      <c r="I279" s="26" t="str">
        <f aca="false">IF($A279="","",ROUND(Payroll!L279+Payroll!M279,2))</f>
        <v/>
      </c>
      <c r="J279" s="24" t="str">
        <f aca="false">IF($A279="","",0)</f>
        <v/>
      </c>
    </row>
    <row r="280" customFormat="false" ht="15" hidden="false" customHeight="false" outlineLevel="0" collapsed="false">
      <c r="A280" s="24" t="str">
        <f aca="false">IF(AND(Payroll!$A280&lt;&gt;"",N(Payroll!$R280)&gt;0),"EDR","")</f>
        <v/>
      </c>
      <c r="B280" s="24" t="str">
        <f aca="false">IF($A280="","",Payroll!U280)</f>
        <v/>
      </c>
      <c r="C280" s="24" t="str">
        <f aca="false">IF($A280="","",Payroll!S280)</f>
        <v/>
      </c>
      <c r="D280" s="24" t="str">
        <f aca="false">IF($A280="","",SUBSTITUTE(Payroll!T280," ",""))</f>
        <v/>
      </c>
      <c r="E280" s="24" t="str">
        <f aca="false">IF($A280="","",TEXT(Settings!$B$8,"yyyy-mm-dd"))</f>
        <v/>
      </c>
      <c r="F280" s="24" t="str">
        <f aca="false">IF($A280="","",TEXT(Settings!$B$9,"yyyy-mm-dd"))</f>
        <v/>
      </c>
      <c r="G280" s="24" t="str">
        <f aca="false">IF($A280="","",DAY(Settings!$B$9))</f>
        <v/>
      </c>
      <c r="H280" s="26" t="str">
        <f aca="false">IF($A280="","",ROUND(Payroll!R280-Payroll!L280-Payroll!M280,2))</f>
        <v/>
      </c>
      <c r="I280" s="26" t="str">
        <f aca="false">IF($A280="","",ROUND(Payroll!L280+Payroll!M280,2))</f>
        <v/>
      </c>
      <c r="J280" s="24" t="str">
        <f aca="false">IF($A280="","",0)</f>
        <v/>
      </c>
    </row>
    <row r="281" customFormat="false" ht="15" hidden="false" customHeight="false" outlineLevel="0" collapsed="false">
      <c r="A281" s="24" t="str">
        <f aca="false">IF(AND(Payroll!$A281&lt;&gt;"",N(Payroll!$R281)&gt;0),"EDR","")</f>
        <v/>
      </c>
      <c r="B281" s="24" t="str">
        <f aca="false">IF($A281="","",Payroll!U281)</f>
        <v/>
      </c>
      <c r="C281" s="24" t="str">
        <f aca="false">IF($A281="","",Payroll!S281)</f>
        <v/>
      </c>
      <c r="D281" s="24" t="str">
        <f aca="false">IF($A281="","",SUBSTITUTE(Payroll!T281," ",""))</f>
        <v/>
      </c>
      <c r="E281" s="24" t="str">
        <f aca="false">IF($A281="","",TEXT(Settings!$B$8,"yyyy-mm-dd"))</f>
        <v/>
      </c>
      <c r="F281" s="24" t="str">
        <f aca="false">IF($A281="","",TEXT(Settings!$B$9,"yyyy-mm-dd"))</f>
        <v/>
      </c>
      <c r="G281" s="24" t="str">
        <f aca="false">IF($A281="","",DAY(Settings!$B$9))</f>
        <v/>
      </c>
      <c r="H281" s="26" t="str">
        <f aca="false">IF($A281="","",ROUND(Payroll!R281-Payroll!L281-Payroll!M281,2))</f>
        <v/>
      </c>
      <c r="I281" s="26" t="str">
        <f aca="false">IF($A281="","",ROUND(Payroll!L281+Payroll!M281,2))</f>
        <v/>
      </c>
      <c r="J281" s="24" t="str">
        <f aca="false">IF($A281="","",0)</f>
        <v/>
      </c>
    </row>
    <row r="282" customFormat="false" ht="15" hidden="false" customHeight="false" outlineLevel="0" collapsed="false">
      <c r="A282" s="24" t="str">
        <f aca="false">IF(AND(Payroll!$A282&lt;&gt;"",N(Payroll!$R282)&gt;0),"EDR","")</f>
        <v/>
      </c>
      <c r="B282" s="24" t="str">
        <f aca="false">IF($A282="","",Payroll!U282)</f>
        <v/>
      </c>
      <c r="C282" s="24" t="str">
        <f aca="false">IF($A282="","",Payroll!S282)</f>
        <v/>
      </c>
      <c r="D282" s="24" t="str">
        <f aca="false">IF($A282="","",SUBSTITUTE(Payroll!T282," ",""))</f>
        <v/>
      </c>
      <c r="E282" s="24" t="str">
        <f aca="false">IF($A282="","",TEXT(Settings!$B$8,"yyyy-mm-dd"))</f>
        <v/>
      </c>
      <c r="F282" s="24" t="str">
        <f aca="false">IF($A282="","",TEXT(Settings!$B$9,"yyyy-mm-dd"))</f>
        <v/>
      </c>
      <c r="G282" s="24" t="str">
        <f aca="false">IF($A282="","",DAY(Settings!$B$9))</f>
        <v/>
      </c>
      <c r="H282" s="26" t="str">
        <f aca="false">IF($A282="","",ROUND(Payroll!R282-Payroll!L282-Payroll!M282,2))</f>
        <v/>
      </c>
      <c r="I282" s="26" t="str">
        <f aca="false">IF($A282="","",ROUND(Payroll!L282+Payroll!M282,2))</f>
        <v/>
      </c>
      <c r="J282" s="24" t="str">
        <f aca="false">IF($A282="","",0)</f>
        <v/>
      </c>
    </row>
    <row r="283" customFormat="false" ht="15" hidden="false" customHeight="false" outlineLevel="0" collapsed="false">
      <c r="A283" s="24" t="str">
        <f aca="false">IF(AND(Payroll!$A283&lt;&gt;"",N(Payroll!$R283)&gt;0),"EDR","")</f>
        <v/>
      </c>
      <c r="B283" s="24" t="str">
        <f aca="false">IF($A283="","",Payroll!U283)</f>
        <v/>
      </c>
      <c r="C283" s="24" t="str">
        <f aca="false">IF($A283="","",Payroll!S283)</f>
        <v/>
      </c>
      <c r="D283" s="24" t="str">
        <f aca="false">IF($A283="","",SUBSTITUTE(Payroll!T283," ",""))</f>
        <v/>
      </c>
      <c r="E283" s="24" t="str">
        <f aca="false">IF($A283="","",TEXT(Settings!$B$8,"yyyy-mm-dd"))</f>
        <v/>
      </c>
      <c r="F283" s="24" t="str">
        <f aca="false">IF($A283="","",TEXT(Settings!$B$9,"yyyy-mm-dd"))</f>
        <v/>
      </c>
      <c r="G283" s="24" t="str">
        <f aca="false">IF($A283="","",DAY(Settings!$B$9))</f>
        <v/>
      </c>
      <c r="H283" s="26" t="str">
        <f aca="false">IF($A283="","",ROUND(Payroll!R283-Payroll!L283-Payroll!M283,2))</f>
        <v/>
      </c>
      <c r="I283" s="26" t="str">
        <f aca="false">IF($A283="","",ROUND(Payroll!L283+Payroll!M283,2))</f>
        <v/>
      </c>
      <c r="J283" s="24" t="str">
        <f aca="false">IF($A283="","",0)</f>
        <v/>
      </c>
    </row>
    <row r="284" customFormat="false" ht="15" hidden="false" customHeight="false" outlineLevel="0" collapsed="false">
      <c r="A284" s="24" t="str">
        <f aca="false">IF(AND(Payroll!$A284&lt;&gt;"",N(Payroll!$R284)&gt;0),"EDR","")</f>
        <v/>
      </c>
      <c r="B284" s="24" t="str">
        <f aca="false">IF($A284="","",Payroll!U284)</f>
        <v/>
      </c>
      <c r="C284" s="24" t="str">
        <f aca="false">IF($A284="","",Payroll!S284)</f>
        <v/>
      </c>
      <c r="D284" s="24" t="str">
        <f aca="false">IF($A284="","",SUBSTITUTE(Payroll!T284," ",""))</f>
        <v/>
      </c>
      <c r="E284" s="24" t="str">
        <f aca="false">IF($A284="","",TEXT(Settings!$B$8,"yyyy-mm-dd"))</f>
        <v/>
      </c>
      <c r="F284" s="24" t="str">
        <f aca="false">IF($A284="","",TEXT(Settings!$B$9,"yyyy-mm-dd"))</f>
        <v/>
      </c>
      <c r="G284" s="24" t="str">
        <f aca="false">IF($A284="","",DAY(Settings!$B$9))</f>
        <v/>
      </c>
      <c r="H284" s="26" t="str">
        <f aca="false">IF($A284="","",ROUND(Payroll!R284-Payroll!L284-Payroll!M284,2))</f>
        <v/>
      </c>
      <c r="I284" s="26" t="str">
        <f aca="false">IF($A284="","",ROUND(Payroll!L284+Payroll!M284,2))</f>
        <v/>
      </c>
      <c r="J284" s="24" t="str">
        <f aca="false">IF($A284="","",0)</f>
        <v/>
      </c>
    </row>
    <row r="285" customFormat="false" ht="15" hidden="false" customHeight="false" outlineLevel="0" collapsed="false">
      <c r="A285" s="24" t="str">
        <f aca="false">IF(AND(Payroll!$A285&lt;&gt;"",N(Payroll!$R285)&gt;0),"EDR","")</f>
        <v/>
      </c>
      <c r="B285" s="24" t="str">
        <f aca="false">IF($A285="","",Payroll!U285)</f>
        <v/>
      </c>
      <c r="C285" s="24" t="str">
        <f aca="false">IF($A285="","",Payroll!S285)</f>
        <v/>
      </c>
      <c r="D285" s="24" t="str">
        <f aca="false">IF($A285="","",SUBSTITUTE(Payroll!T285," ",""))</f>
        <v/>
      </c>
      <c r="E285" s="24" t="str">
        <f aca="false">IF($A285="","",TEXT(Settings!$B$8,"yyyy-mm-dd"))</f>
        <v/>
      </c>
      <c r="F285" s="24" t="str">
        <f aca="false">IF($A285="","",TEXT(Settings!$B$9,"yyyy-mm-dd"))</f>
        <v/>
      </c>
      <c r="G285" s="24" t="str">
        <f aca="false">IF($A285="","",DAY(Settings!$B$9))</f>
        <v/>
      </c>
      <c r="H285" s="26" t="str">
        <f aca="false">IF($A285="","",ROUND(Payroll!R285-Payroll!L285-Payroll!M285,2))</f>
        <v/>
      </c>
      <c r="I285" s="26" t="str">
        <f aca="false">IF($A285="","",ROUND(Payroll!L285+Payroll!M285,2))</f>
        <v/>
      </c>
      <c r="J285" s="24" t="str">
        <f aca="false">IF($A285="","",0)</f>
        <v/>
      </c>
    </row>
    <row r="286" customFormat="false" ht="15" hidden="false" customHeight="false" outlineLevel="0" collapsed="false">
      <c r="A286" s="24" t="str">
        <f aca="false">IF(AND(Payroll!$A286&lt;&gt;"",N(Payroll!$R286)&gt;0),"EDR","")</f>
        <v/>
      </c>
      <c r="B286" s="24" t="str">
        <f aca="false">IF($A286="","",Payroll!U286)</f>
        <v/>
      </c>
      <c r="C286" s="24" t="str">
        <f aca="false">IF($A286="","",Payroll!S286)</f>
        <v/>
      </c>
      <c r="D286" s="24" t="str">
        <f aca="false">IF($A286="","",SUBSTITUTE(Payroll!T286," ",""))</f>
        <v/>
      </c>
      <c r="E286" s="24" t="str">
        <f aca="false">IF($A286="","",TEXT(Settings!$B$8,"yyyy-mm-dd"))</f>
        <v/>
      </c>
      <c r="F286" s="24" t="str">
        <f aca="false">IF($A286="","",TEXT(Settings!$B$9,"yyyy-mm-dd"))</f>
        <v/>
      </c>
      <c r="G286" s="24" t="str">
        <f aca="false">IF($A286="","",DAY(Settings!$B$9))</f>
        <v/>
      </c>
      <c r="H286" s="26" t="str">
        <f aca="false">IF($A286="","",ROUND(Payroll!R286-Payroll!L286-Payroll!M286,2))</f>
        <v/>
      </c>
      <c r="I286" s="26" t="str">
        <f aca="false">IF($A286="","",ROUND(Payroll!L286+Payroll!M286,2))</f>
        <v/>
      </c>
      <c r="J286" s="24" t="str">
        <f aca="false">IF($A286="","",0)</f>
        <v/>
      </c>
    </row>
    <row r="287" customFormat="false" ht="15" hidden="false" customHeight="false" outlineLevel="0" collapsed="false">
      <c r="A287" s="24" t="str">
        <f aca="false">IF(AND(Payroll!$A287&lt;&gt;"",N(Payroll!$R287)&gt;0),"EDR","")</f>
        <v/>
      </c>
      <c r="B287" s="24" t="str">
        <f aca="false">IF($A287="","",Payroll!U287)</f>
        <v/>
      </c>
      <c r="C287" s="24" t="str">
        <f aca="false">IF($A287="","",Payroll!S287)</f>
        <v/>
      </c>
      <c r="D287" s="24" t="str">
        <f aca="false">IF($A287="","",SUBSTITUTE(Payroll!T287," ",""))</f>
        <v/>
      </c>
      <c r="E287" s="24" t="str">
        <f aca="false">IF($A287="","",TEXT(Settings!$B$8,"yyyy-mm-dd"))</f>
        <v/>
      </c>
      <c r="F287" s="24" t="str">
        <f aca="false">IF($A287="","",TEXT(Settings!$B$9,"yyyy-mm-dd"))</f>
        <v/>
      </c>
      <c r="G287" s="24" t="str">
        <f aca="false">IF($A287="","",DAY(Settings!$B$9))</f>
        <v/>
      </c>
      <c r="H287" s="26" t="str">
        <f aca="false">IF($A287="","",ROUND(Payroll!R287-Payroll!L287-Payroll!M287,2))</f>
        <v/>
      </c>
      <c r="I287" s="26" t="str">
        <f aca="false">IF($A287="","",ROUND(Payroll!L287+Payroll!M287,2))</f>
        <v/>
      </c>
      <c r="J287" s="24" t="str">
        <f aca="false">IF($A287="","",0)</f>
        <v/>
      </c>
    </row>
    <row r="288" customFormat="false" ht="15" hidden="false" customHeight="false" outlineLevel="0" collapsed="false">
      <c r="A288" s="24" t="str">
        <f aca="false">IF(AND(Payroll!$A288&lt;&gt;"",N(Payroll!$R288)&gt;0),"EDR","")</f>
        <v/>
      </c>
      <c r="B288" s="24" t="str">
        <f aca="false">IF($A288="","",Payroll!U288)</f>
        <v/>
      </c>
      <c r="C288" s="24" t="str">
        <f aca="false">IF($A288="","",Payroll!S288)</f>
        <v/>
      </c>
      <c r="D288" s="24" t="str">
        <f aca="false">IF($A288="","",SUBSTITUTE(Payroll!T288," ",""))</f>
        <v/>
      </c>
      <c r="E288" s="24" t="str">
        <f aca="false">IF($A288="","",TEXT(Settings!$B$8,"yyyy-mm-dd"))</f>
        <v/>
      </c>
      <c r="F288" s="24" t="str">
        <f aca="false">IF($A288="","",TEXT(Settings!$B$9,"yyyy-mm-dd"))</f>
        <v/>
      </c>
      <c r="G288" s="24" t="str">
        <f aca="false">IF($A288="","",DAY(Settings!$B$9))</f>
        <v/>
      </c>
      <c r="H288" s="26" t="str">
        <f aca="false">IF($A288="","",ROUND(Payroll!R288-Payroll!L288-Payroll!M288,2))</f>
        <v/>
      </c>
      <c r="I288" s="26" t="str">
        <f aca="false">IF($A288="","",ROUND(Payroll!L288+Payroll!M288,2))</f>
        <v/>
      </c>
      <c r="J288" s="24" t="str">
        <f aca="false">IF($A288="","",0)</f>
        <v/>
      </c>
    </row>
    <row r="289" customFormat="false" ht="15" hidden="false" customHeight="false" outlineLevel="0" collapsed="false">
      <c r="A289" s="24" t="str">
        <f aca="false">IF(AND(Payroll!$A289&lt;&gt;"",N(Payroll!$R289)&gt;0),"EDR","")</f>
        <v/>
      </c>
      <c r="B289" s="24" t="str">
        <f aca="false">IF($A289="","",Payroll!U289)</f>
        <v/>
      </c>
      <c r="C289" s="24" t="str">
        <f aca="false">IF($A289="","",Payroll!S289)</f>
        <v/>
      </c>
      <c r="D289" s="24" t="str">
        <f aca="false">IF($A289="","",SUBSTITUTE(Payroll!T289," ",""))</f>
        <v/>
      </c>
      <c r="E289" s="24" t="str">
        <f aca="false">IF($A289="","",TEXT(Settings!$B$8,"yyyy-mm-dd"))</f>
        <v/>
      </c>
      <c r="F289" s="24" t="str">
        <f aca="false">IF($A289="","",TEXT(Settings!$B$9,"yyyy-mm-dd"))</f>
        <v/>
      </c>
      <c r="G289" s="24" t="str">
        <f aca="false">IF($A289="","",DAY(Settings!$B$9))</f>
        <v/>
      </c>
      <c r="H289" s="26" t="str">
        <f aca="false">IF($A289="","",ROUND(Payroll!R289-Payroll!L289-Payroll!M289,2))</f>
        <v/>
      </c>
      <c r="I289" s="26" t="str">
        <f aca="false">IF($A289="","",ROUND(Payroll!L289+Payroll!M289,2))</f>
        <v/>
      </c>
      <c r="J289" s="24" t="str">
        <f aca="false">IF($A289="","",0)</f>
        <v/>
      </c>
    </row>
    <row r="290" customFormat="false" ht="15" hidden="false" customHeight="false" outlineLevel="0" collapsed="false">
      <c r="A290" s="24" t="str">
        <f aca="false">IF(AND(Payroll!$A290&lt;&gt;"",N(Payroll!$R290)&gt;0),"EDR","")</f>
        <v/>
      </c>
      <c r="B290" s="24" t="str">
        <f aca="false">IF($A290="","",Payroll!U290)</f>
        <v/>
      </c>
      <c r="C290" s="24" t="str">
        <f aca="false">IF($A290="","",Payroll!S290)</f>
        <v/>
      </c>
      <c r="D290" s="24" t="str">
        <f aca="false">IF($A290="","",SUBSTITUTE(Payroll!T290," ",""))</f>
        <v/>
      </c>
      <c r="E290" s="24" t="str">
        <f aca="false">IF($A290="","",TEXT(Settings!$B$8,"yyyy-mm-dd"))</f>
        <v/>
      </c>
      <c r="F290" s="24" t="str">
        <f aca="false">IF($A290="","",TEXT(Settings!$B$9,"yyyy-mm-dd"))</f>
        <v/>
      </c>
      <c r="G290" s="24" t="str">
        <f aca="false">IF($A290="","",DAY(Settings!$B$9))</f>
        <v/>
      </c>
      <c r="H290" s="26" t="str">
        <f aca="false">IF($A290="","",ROUND(Payroll!R290-Payroll!L290-Payroll!M290,2))</f>
        <v/>
      </c>
      <c r="I290" s="26" t="str">
        <f aca="false">IF($A290="","",ROUND(Payroll!L290+Payroll!M290,2))</f>
        <v/>
      </c>
      <c r="J290" s="24" t="str">
        <f aca="false">IF($A290="","",0)</f>
        <v/>
      </c>
    </row>
    <row r="291" customFormat="false" ht="15" hidden="false" customHeight="false" outlineLevel="0" collapsed="false">
      <c r="A291" s="24" t="str">
        <f aca="false">IF(AND(Payroll!$A291&lt;&gt;"",N(Payroll!$R291)&gt;0),"EDR","")</f>
        <v/>
      </c>
      <c r="B291" s="24" t="str">
        <f aca="false">IF($A291="","",Payroll!U291)</f>
        <v/>
      </c>
      <c r="C291" s="24" t="str">
        <f aca="false">IF($A291="","",Payroll!S291)</f>
        <v/>
      </c>
      <c r="D291" s="24" t="str">
        <f aca="false">IF($A291="","",SUBSTITUTE(Payroll!T291," ",""))</f>
        <v/>
      </c>
      <c r="E291" s="24" t="str">
        <f aca="false">IF($A291="","",TEXT(Settings!$B$8,"yyyy-mm-dd"))</f>
        <v/>
      </c>
      <c r="F291" s="24" t="str">
        <f aca="false">IF($A291="","",TEXT(Settings!$B$9,"yyyy-mm-dd"))</f>
        <v/>
      </c>
      <c r="G291" s="24" t="str">
        <f aca="false">IF($A291="","",DAY(Settings!$B$9))</f>
        <v/>
      </c>
      <c r="H291" s="26" t="str">
        <f aca="false">IF($A291="","",ROUND(Payroll!R291-Payroll!L291-Payroll!M291,2))</f>
        <v/>
      </c>
      <c r="I291" s="26" t="str">
        <f aca="false">IF($A291="","",ROUND(Payroll!L291+Payroll!M291,2))</f>
        <v/>
      </c>
      <c r="J291" s="24" t="str">
        <f aca="false">IF($A291="","",0)</f>
        <v/>
      </c>
    </row>
    <row r="292" customFormat="false" ht="15" hidden="false" customHeight="false" outlineLevel="0" collapsed="false">
      <c r="A292" s="24" t="str">
        <f aca="false">IF(AND(Payroll!$A292&lt;&gt;"",N(Payroll!$R292)&gt;0),"EDR","")</f>
        <v/>
      </c>
      <c r="B292" s="24" t="str">
        <f aca="false">IF($A292="","",Payroll!U292)</f>
        <v/>
      </c>
      <c r="C292" s="24" t="str">
        <f aca="false">IF($A292="","",Payroll!S292)</f>
        <v/>
      </c>
      <c r="D292" s="24" t="str">
        <f aca="false">IF($A292="","",SUBSTITUTE(Payroll!T292," ",""))</f>
        <v/>
      </c>
      <c r="E292" s="24" t="str">
        <f aca="false">IF($A292="","",TEXT(Settings!$B$8,"yyyy-mm-dd"))</f>
        <v/>
      </c>
      <c r="F292" s="24" t="str">
        <f aca="false">IF($A292="","",TEXT(Settings!$B$9,"yyyy-mm-dd"))</f>
        <v/>
      </c>
      <c r="G292" s="24" t="str">
        <f aca="false">IF($A292="","",DAY(Settings!$B$9))</f>
        <v/>
      </c>
      <c r="H292" s="26" t="str">
        <f aca="false">IF($A292="","",ROUND(Payroll!R292-Payroll!L292-Payroll!M292,2))</f>
        <v/>
      </c>
      <c r="I292" s="26" t="str">
        <f aca="false">IF($A292="","",ROUND(Payroll!L292+Payroll!M292,2))</f>
        <v/>
      </c>
      <c r="J292" s="24" t="str">
        <f aca="false">IF($A292="","",0)</f>
        <v/>
      </c>
    </row>
    <row r="293" customFormat="false" ht="15" hidden="false" customHeight="false" outlineLevel="0" collapsed="false">
      <c r="A293" s="24" t="str">
        <f aca="false">IF(AND(Payroll!$A293&lt;&gt;"",N(Payroll!$R293)&gt;0),"EDR","")</f>
        <v/>
      </c>
      <c r="B293" s="24" t="str">
        <f aca="false">IF($A293="","",Payroll!U293)</f>
        <v/>
      </c>
      <c r="C293" s="24" t="str">
        <f aca="false">IF($A293="","",Payroll!S293)</f>
        <v/>
      </c>
      <c r="D293" s="24" t="str">
        <f aca="false">IF($A293="","",SUBSTITUTE(Payroll!T293," ",""))</f>
        <v/>
      </c>
      <c r="E293" s="24" t="str">
        <f aca="false">IF($A293="","",TEXT(Settings!$B$8,"yyyy-mm-dd"))</f>
        <v/>
      </c>
      <c r="F293" s="24" t="str">
        <f aca="false">IF($A293="","",TEXT(Settings!$B$9,"yyyy-mm-dd"))</f>
        <v/>
      </c>
      <c r="G293" s="24" t="str">
        <f aca="false">IF($A293="","",DAY(Settings!$B$9))</f>
        <v/>
      </c>
      <c r="H293" s="26" t="str">
        <f aca="false">IF($A293="","",ROUND(Payroll!R293-Payroll!L293-Payroll!M293,2))</f>
        <v/>
      </c>
      <c r="I293" s="26" t="str">
        <f aca="false">IF($A293="","",ROUND(Payroll!L293+Payroll!M293,2))</f>
        <v/>
      </c>
      <c r="J293" s="24" t="str">
        <f aca="false">IF($A293="","",0)</f>
        <v/>
      </c>
    </row>
    <row r="294" customFormat="false" ht="15" hidden="false" customHeight="false" outlineLevel="0" collapsed="false">
      <c r="A294" s="24" t="str">
        <f aca="false">IF(AND(Payroll!$A294&lt;&gt;"",N(Payroll!$R294)&gt;0),"EDR","")</f>
        <v/>
      </c>
      <c r="B294" s="24" t="str">
        <f aca="false">IF($A294="","",Payroll!U294)</f>
        <v/>
      </c>
      <c r="C294" s="24" t="str">
        <f aca="false">IF($A294="","",Payroll!S294)</f>
        <v/>
      </c>
      <c r="D294" s="24" t="str">
        <f aca="false">IF($A294="","",SUBSTITUTE(Payroll!T294," ",""))</f>
        <v/>
      </c>
      <c r="E294" s="24" t="str">
        <f aca="false">IF($A294="","",TEXT(Settings!$B$8,"yyyy-mm-dd"))</f>
        <v/>
      </c>
      <c r="F294" s="24" t="str">
        <f aca="false">IF($A294="","",TEXT(Settings!$B$9,"yyyy-mm-dd"))</f>
        <v/>
      </c>
      <c r="G294" s="24" t="str">
        <f aca="false">IF($A294="","",DAY(Settings!$B$9))</f>
        <v/>
      </c>
      <c r="H294" s="26" t="str">
        <f aca="false">IF($A294="","",ROUND(Payroll!R294-Payroll!L294-Payroll!M294,2))</f>
        <v/>
      </c>
      <c r="I294" s="26" t="str">
        <f aca="false">IF($A294="","",ROUND(Payroll!L294+Payroll!M294,2))</f>
        <v/>
      </c>
      <c r="J294" s="24" t="str">
        <f aca="false">IF($A294="","",0)</f>
        <v/>
      </c>
    </row>
    <row r="295" customFormat="false" ht="15" hidden="false" customHeight="false" outlineLevel="0" collapsed="false">
      <c r="A295" s="24" t="str">
        <f aca="false">IF(AND(Payroll!$A295&lt;&gt;"",N(Payroll!$R295)&gt;0),"EDR","")</f>
        <v/>
      </c>
      <c r="B295" s="24" t="str">
        <f aca="false">IF($A295="","",Payroll!U295)</f>
        <v/>
      </c>
      <c r="C295" s="24" t="str">
        <f aca="false">IF($A295="","",Payroll!S295)</f>
        <v/>
      </c>
      <c r="D295" s="24" t="str">
        <f aca="false">IF($A295="","",SUBSTITUTE(Payroll!T295," ",""))</f>
        <v/>
      </c>
      <c r="E295" s="24" t="str">
        <f aca="false">IF($A295="","",TEXT(Settings!$B$8,"yyyy-mm-dd"))</f>
        <v/>
      </c>
      <c r="F295" s="24" t="str">
        <f aca="false">IF($A295="","",TEXT(Settings!$B$9,"yyyy-mm-dd"))</f>
        <v/>
      </c>
      <c r="G295" s="24" t="str">
        <f aca="false">IF($A295="","",DAY(Settings!$B$9))</f>
        <v/>
      </c>
      <c r="H295" s="26" t="str">
        <f aca="false">IF($A295="","",ROUND(Payroll!R295-Payroll!L295-Payroll!M295,2))</f>
        <v/>
      </c>
      <c r="I295" s="26" t="str">
        <f aca="false">IF($A295="","",ROUND(Payroll!L295+Payroll!M295,2))</f>
        <v/>
      </c>
      <c r="J295" s="24" t="str">
        <f aca="false">IF($A295="","",0)</f>
        <v/>
      </c>
    </row>
    <row r="296" customFormat="false" ht="15" hidden="false" customHeight="false" outlineLevel="0" collapsed="false">
      <c r="A296" s="24" t="str">
        <f aca="false">IF(AND(Payroll!$A296&lt;&gt;"",N(Payroll!$R296)&gt;0),"EDR","")</f>
        <v/>
      </c>
      <c r="B296" s="24" t="str">
        <f aca="false">IF($A296="","",Payroll!U296)</f>
        <v/>
      </c>
      <c r="C296" s="24" t="str">
        <f aca="false">IF($A296="","",Payroll!S296)</f>
        <v/>
      </c>
      <c r="D296" s="24" t="str">
        <f aca="false">IF($A296="","",SUBSTITUTE(Payroll!T296," ",""))</f>
        <v/>
      </c>
      <c r="E296" s="24" t="str">
        <f aca="false">IF($A296="","",TEXT(Settings!$B$8,"yyyy-mm-dd"))</f>
        <v/>
      </c>
      <c r="F296" s="24" t="str">
        <f aca="false">IF($A296="","",TEXT(Settings!$B$9,"yyyy-mm-dd"))</f>
        <v/>
      </c>
      <c r="G296" s="24" t="str">
        <f aca="false">IF($A296="","",DAY(Settings!$B$9))</f>
        <v/>
      </c>
      <c r="H296" s="26" t="str">
        <f aca="false">IF($A296="","",ROUND(Payroll!R296-Payroll!L296-Payroll!M296,2))</f>
        <v/>
      </c>
      <c r="I296" s="26" t="str">
        <f aca="false">IF($A296="","",ROUND(Payroll!L296+Payroll!M296,2))</f>
        <v/>
      </c>
      <c r="J296" s="24" t="str">
        <f aca="false">IF($A296="","",0)</f>
        <v/>
      </c>
    </row>
    <row r="297" customFormat="false" ht="15" hidden="false" customHeight="false" outlineLevel="0" collapsed="false">
      <c r="A297" s="24" t="str">
        <f aca="false">IF(AND(Payroll!$A297&lt;&gt;"",N(Payroll!$R297)&gt;0),"EDR","")</f>
        <v/>
      </c>
      <c r="B297" s="24" t="str">
        <f aca="false">IF($A297="","",Payroll!U297)</f>
        <v/>
      </c>
      <c r="C297" s="24" t="str">
        <f aca="false">IF($A297="","",Payroll!S297)</f>
        <v/>
      </c>
      <c r="D297" s="24" t="str">
        <f aca="false">IF($A297="","",SUBSTITUTE(Payroll!T297," ",""))</f>
        <v/>
      </c>
      <c r="E297" s="24" t="str">
        <f aca="false">IF($A297="","",TEXT(Settings!$B$8,"yyyy-mm-dd"))</f>
        <v/>
      </c>
      <c r="F297" s="24" t="str">
        <f aca="false">IF($A297="","",TEXT(Settings!$B$9,"yyyy-mm-dd"))</f>
        <v/>
      </c>
      <c r="G297" s="24" t="str">
        <f aca="false">IF($A297="","",DAY(Settings!$B$9))</f>
        <v/>
      </c>
      <c r="H297" s="26" t="str">
        <f aca="false">IF($A297="","",ROUND(Payroll!R297-Payroll!L297-Payroll!M297,2))</f>
        <v/>
      </c>
      <c r="I297" s="26" t="str">
        <f aca="false">IF($A297="","",ROUND(Payroll!L297+Payroll!M297,2))</f>
        <v/>
      </c>
      <c r="J297" s="24" t="str">
        <f aca="false">IF($A297="","",0)</f>
        <v/>
      </c>
    </row>
    <row r="298" customFormat="false" ht="15" hidden="false" customHeight="false" outlineLevel="0" collapsed="false">
      <c r="A298" s="24" t="str">
        <f aca="false">IF(AND(Payroll!$A298&lt;&gt;"",N(Payroll!$R298)&gt;0),"EDR","")</f>
        <v/>
      </c>
      <c r="B298" s="24" t="str">
        <f aca="false">IF($A298="","",Payroll!U298)</f>
        <v/>
      </c>
      <c r="C298" s="24" t="str">
        <f aca="false">IF($A298="","",Payroll!S298)</f>
        <v/>
      </c>
      <c r="D298" s="24" t="str">
        <f aca="false">IF($A298="","",SUBSTITUTE(Payroll!T298," ",""))</f>
        <v/>
      </c>
      <c r="E298" s="24" t="str">
        <f aca="false">IF($A298="","",TEXT(Settings!$B$8,"yyyy-mm-dd"))</f>
        <v/>
      </c>
      <c r="F298" s="24" t="str">
        <f aca="false">IF($A298="","",TEXT(Settings!$B$9,"yyyy-mm-dd"))</f>
        <v/>
      </c>
      <c r="G298" s="24" t="str">
        <f aca="false">IF($A298="","",DAY(Settings!$B$9))</f>
        <v/>
      </c>
      <c r="H298" s="26" t="str">
        <f aca="false">IF($A298="","",ROUND(Payroll!R298-Payroll!L298-Payroll!M298,2))</f>
        <v/>
      </c>
      <c r="I298" s="26" t="str">
        <f aca="false">IF($A298="","",ROUND(Payroll!L298+Payroll!M298,2))</f>
        <v/>
      </c>
      <c r="J298" s="24" t="str">
        <f aca="false">IF($A298="","",0)</f>
        <v/>
      </c>
    </row>
    <row r="299" customFormat="false" ht="15" hidden="false" customHeight="false" outlineLevel="0" collapsed="false">
      <c r="A299" s="24" t="str">
        <f aca="false">IF(AND(Payroll!$A299&lt;&gt;"",N(Payroll!$R299)&gt;0),"EDR","")</f>
        <v/>
      </c>
      <c r="B299" s="24" t="str">
        <f aca="false">IF($A299="","",Payroll!U299)</f>
        <v/>
      </c>
      <c r="C299" s="24" t="str">
        <f aca="false">IF($A299="","",Payroll!S299)</f>
        <v/>
      </c>
      <c r="D299" s="24" t="str">
        <f aca="false">IF($A299="","",SUBSTITUTE(Payroll!T299," ",""))</f>
        <v/>
      </c>
      <c r="E299" s="24" t="str">
        <f aca="false">IF($A299="","",TEXT(Settings!$B$8,"yyyy-mm-dd"))</f>
        <v/>
      </c>
      <c r="F299" s="24" t="str">
        <f aca="false">IF($A299="","",TEXT(Settings!$B$9,"yyyy-mm-dd"))</f>
        <v/>
      </c>
      <c r="G299" s="24" t="str">
        <f aca="false">IF($A299="","",DAY(Settings!$B$9))</f>
        <v/>
      </c>
      <c r="H299" s="26" t="str">
        <f aca="false">IF($A299="","",ROUND(Payroll!R299-Payroll!L299-Payroll!M299,2))</f>
        <v/>
      </c>
      <c r="I299" s="26" t="str">
        <f aca="false">IF($A299="","",ROUND(Payroll!L299+Payroll!M299,2))</f>
        <v/>
      </c>
      <c r="J299" s="24" t="str">
        <f aca="false">IF($A299="","",0)</f>
        <v/>
      </c>
    </row>
    <row r="300" customFormat="false" ht="15" hidden="false" customHeight="false" outlineLevel="0" collapsed="false">
      <c r="A300" s="24" t="str">
        <f aca="false">IF(AND(Payroll!$A300&lt;&gt;"",N(Payroll!$R300)&gt;0),"EDR","")</f>
        <v/>
      </c>
      <c r="B300" s="24" t="str">
        <f aca="false">IF($A300="","",Payroll!U300)</f>
        <v/>
      </c>
      <c r="C300" s="24" t="str">
        <f aca="false">IF($A300="","",Payroll!S300)</f>
        <v/>
      </c>
      <c r="D300" s="24" t="str">
        <f aca="false">IF($A300="","",SUBSTITUTE(Payroll!T300," ",""))</f>
        <v/>
      </c>
      <c r="E300" s="24" t="str">
        <f aca="false">IF($A300="","",TEXT(Settings!$B$8,"yyyy-mm-dd"))</f>
        <v/>
      </c>
      <c r="F300" s="24" t="str">
        <f aca="false">IF($A300="","",TEXT(Settings!$B$9,"yyyy-mm-dd"))</f>
        <v/>
      </c>
      <c r="G300" s="24" t="str">
        <f aca="false">IF($A300="","",DAY(Settings!$B$9))</f>
        <v/>
      </c>
      <c r="H300" s="26" t="str">
        <f aca="false">IF($A300="","",ROUND(Payroll!R300-Payroll!L300-Payroll!M300,2))</f>
        <v/>
      </c>
      <c r="I300" s="26" t="str">
        <f aca="false">IF($A300="","",ROUND(Payroll!L300+Payroll!M300,2))</f>
        <v/>
      </c>
      <c r="J300" s="24" t="str">
        <f aca="false">IF($A300="","",0)</f>
        <v/>
      </c>
    </row>
    <row r="301" customFormat="false" ht="15" hidden="false" customHeight="false" outlineLevel="0" collapsed="false">
      <c r="A301" s="24" t="str">
        <f aca="false">IF(AND(Payroll!$A301&lt;&gt;"",N(Payroll!$R301)&gt;0),"EDR","")</f>
        <v/>
      </c>
      <c r="B301" s="24" t="str">
        <f aca="false">IF($A301="","",Payroll!U301)</f>
        <v/>
      </c>
      <c r="C301" s="24" t="str">
        <f aca="false">IF($A301="","",Payroll!S301)</f>
        <v/>
      </c>
      <c r="D301" s="24" t="str">
        <f aca="false">IF($A301="","",SUBSTITUTE(Payroll!T301," ",""))</f>
        <v/>
      </c>
      <c r="E301" s="24" t="str">
        <f aca="false">IF($A301="","",TEXT(Settings!$B$8,"yyyy-mm-dd"))</f>
        <v/>
      </c>
      <c r="F301" s="24" t="str">
        <f aca="false">IF($A301="","",TEXT(Settings!$B$9,"yyyy-mm-dd"))</f>
        <v/>
      </c>
      <c r="G301" s="24" t="str">
        <f aca="false">IF($A301="","",DAY(Settings!$B$9))</f>
        <v/>
      </c>
      <c r="H301" s="26" t="str">
        <f aca="false">IF($A301="","",ROUND(Payroll!R301-Payroll!L301-Payroll!M301,2))</f>
        <v/>
      </c>
      <c r="I301" s="26" t="str">
        <f aca="false">IF($A301="","",ROUND(Payroll!L301+Payroll!M301,2))</f>
        <v/>
      </c>
      <c r="J301" s="24" t="str">
        <f aca="false">IF($A301="","",0)</f>
        <v/>
      </c>
    </row>
    <row r="302" customFormat="false" ht="15" hidden="false" customHeight="false" outlineLevel="0" collapsed="false">
      <c r="A302" s="24" t="str">
        <f aca="false">IF(AND(Payroll!$A302&lt;&gt;"",N(Payroll!$R302)&gt;0),"EDR","")</f>
        <v/>
      </c>
      <c r="B302" s="24" t="str">
        <f aca="false">IF($A302="","",Payroll!U302)</f>
        <v/>
      </c>
      <c r="C302" s="24" t="str">
        <f aca="false">IF($A302="","",Payroll!S302)</f>
        <v/>
      </c>
      <c r="D302" s="24" t="str">
        <f aca="false">IF($A302="","",SUBSTITUTE(Payroll!T302," ",""))</f>
        <v/>
      </c>
      <c r="E302" s="24" t="str">
        <f aca="false">IF($A302="","",TEXT(Settings!$B$8,"yyyy-mm-dd"))</f>
        <v/>
      </c>
      <c r="F302" s="24" t="str">
        <f aca="false">IF($A302="","",TEXT(Settings!$B$9,"yyyy-mm-dd"))</f>
        <v/>
      </c>
      <c r="G302" s="24" t="str">
        <f aca="false">IF($A302="","",DAY(Settings!$B$9))</f>
        <v/>
      </c>
      <c r="H302" s="26" t="str">
        <f aca="false">IF($A302="","",ROUND(Payroll!R302-Payroll!L302-Payroll!M302,2))</f>
        <v/>
      </c>
      <c r="I302" s="26" t="str">
        <f aca="false">IF($A302="","",ROUND(Payroll!L302+Payroll!M302,2))</f>
        <v/>
      </c>
      <c r="J302" s="24" t="str">
        <f aca="false">IF($A302="","",0)</f>
        <v/>
      </c>
    </row>
    <row r="303" customFormat="false" ht="15" hidden="false" customHeight="false" outlineLevel="0" collapsed="false">
      <c r="A303" s="24" t="str">
        <f aca="false">IF(AND(Payroll!$A303&lt;&gt;"",N(Payroll!$R303)&gt;0),"EDR","")</f>
        <v/>
      </c>
      <c r="B303" s="24" t="str">
        <f aca="false">IF($A303="","",Payroll!U303)</f>
        <v/>
      </c>
      <c r="C303" s="24" t="str">
        <f aca="false">IF($A303="","",Payroll!S303)</f>
        <v/>
      </c>
      <c r="D303" s="24" t="str">
        <f aca="false">IF($A303="","",SUBSTITUTE(Payroll!T303," ",""))</f>
        <v/>
      </c>
      <c r="E303" s="24" t="str">
        <f aca="false">IF($A303="","",TEXT(Settings!$B$8,"yyyy-mm-dd"))</f>
        <v/>
      </c>
      <c r="F303" s="24" t="str">
        <f aca="false">IF($A303="","",TEXT(Settings!$B$9,"yyyy-mm-dd"))</f>
        <v/>
      </c>
      <c r="G303" s="24" t="str">
        <f aca="false">IF($A303="","",DAY(Settings!$B$9))</f>
        <v/>
      </c>
      <c r="H303" s="26" t="str">
        <f aca="false">IF($A303="","",ROUND(Payroll!R303-Payroll!L303-Payroll!M303,2))</f>
        <v/>
      </c>
      <c r="I303" s="26" t="str">
        <f aca="false">IF($A303="","",ROUND(Payroll!L303+Payroll!M303,2))</f>
        <v/>
      </c>
      <c r="J303" s="24" t="str">
        <f aca="false">IF($A303="","",0)</f>
        <v/>
      </c>
    </row>
    <row r="304" customFormat="false" ht="15" hidden="false" customHeight="false" outlineLevel="0" collapsed="false">
      <c r="A304" s="24" t="str">
        <f aca="false">IF(AND(Payroll!$A304&lt;&gt;"",N(Payroll!$R304)&gt;0),"EDR","")</f>
        <v/>
      </c>
      <c r="B304" s="24" t="str">
        <f aca="false">IF($A304="","",Payroll!U304)</f>
        <v/>
      </c>
      <c r="C304" s="24" t="str">
        <f aca="false">IF($A304="","",Payroll!S304)</f>
        <v/>
      </c>
      <c r="D304" s="24" t="str">
        <f aca="false">IF($A304="","",SUBSTITUTE(Payroll!T304," ",""))</f>
        <v/>
      </c>
      <c r="E304" s="24" t="str">
        <f aca="false">IF($A304="","",TEXT(Settings!$B$8,"yyyy-mm-dd"))</f>
        <v/>
      </c>
      <c r="F304" s="24" t="str">
        <f aca="false">IF($A304="","",TEXT(Settings!$B$9,"yyyy-mm-dd"))</f>
        <v/>
      </c>
      <c r="G304" s="24" t="str">
        <f aca="false">IF($A304="","",DAY(Settings!$B$9))</f>
        <v/>
      </c>
      <c r="H304" s="26" t="str">
        <f aca="false">IF($A304="","",ROUND(Payroll!R304-Payroll!L304-Payroll!M304,2))</f>
        <v/>
      </c>
      <c r="I304" s="26" t="str">
        <f aca="false">IF($A304="","",ROUND(Payroll!L304+Payroll!M304,2))</f>
        <v/>
      </c>
      <c r="J304" s="24" t="str">
        <f aca="false">IF($A304="","",0)</f>
        <v/>
      </c>
    </row>
    <row r="305" customFormat="false" ht="15" hidden="false" customHeight="false" outlineLevel="0" collapsed="false">
      <c r="A305" s="24" t="str">
        <f aca="false">IF(AND(Payroll!$A305&lt;&gt;"",N(Payroll!$R305)&gt;0),"EDR","")</f>
        <v/>
      </c>
      <c r="B305" s="24" t="str">
        <f aca="false">IF($A305="","",Payroll!U305)</f>
        <v/>
      </c>
      <c r="C305" s="24" t="str">
        <f aca="false">IF($A305="","",Payroll!S305)</f>
        <v/>
      </c>
      <c r="D305" s="24" t="str">
        <f aca="false">IF($A305="","",SUBSTITUTE(Payroll!T305," ",""))</f>
        <v/>
      </c>
      <c r="E305" s="24" t="str">
        <f aca="false">IF($A305="","",TEXT(Settings!$B$8,"yyyy-mm-dd"))</f>
        <v/>
      </c>
      <c r="F305" s="24" t="str">
        <f aca="false">IF($A305="","",TEXT(Settings!$B$9,"yyyy-mm-dd"))</f>
        <v/>
      </c>
      <c r="G305" s="24" t="str">
        <f aca="false">IF($A305="","",DAY(Settings!$B$9))</f>
        <v/>
      </c>
      <c r="H305" s="26" t="str">
        <f aca="false">IF($A305="","",ROUND(Payroll!R305-Payroll!L305-Payroll!M305,2))</f>
        <v/>
      </c>
      <c r="I305" s="26" t="str">
        <f aca="false">IF($A305="","",ROUND(Payroll!L305+Payroll!M305,2))</f>
        <v/>
      </c>
      <c r="J305" s="24" t="str">
        <f aca="false">IF($A305="","",0)</f>
        <v/>
      </c>
    </row>
    <row r="306" customFormat="false" ht="15" hidden="false" customHeight="false" outlineLevel="0" collapsed="false">
      <c r="A306" s="24" t="str">
        <f aca="false">IF(AND(Payroll!$A306&lt;&gt;"",N(Payroll!$R306)&gt;0),"EDR","")</f>
        <v/>
      </c>
      <c r="B306" s="24" t="str">
        <f aca="false">IF($A306="","",Payroll!U306)</f>
        <v/>
      </c>
      <c r="C306" s="24" t="str">
        <f aca="false">IF($A306="","",Payroll!S306)</f>
        <v/>
      </c>
      <c r="D306" s="24" t="str">
        <f aca="false">IF($A306="","",SUBSTITUTE(Payroll!T306," ",""))</f>
        <v/>
      </c>
      <c r="E306" s="24" t="str">
        <f aca="false">IF($A306="","",TEXT(Settings!$B$8,"yyyy-mm-dd"))</f>
        <v/>
      </c>
      <c r="F306" s="24" t="str">
        <f aca="false">IF($A306="","",TEXT(Settings!$B$9,"yyyy-mm-dd"))</f>
        <v/>
      </c>
      <c r="G306" s="24" t="str">
        <f aca="false">IF($A306="","",DAY(Settings!$B$9))</f>
        <v/>
      </c>
      <c r="H306" s="26" t="str">
        <f aca="false">IF($A306="","",ROUND(Payroll!R306-Payroll!L306-Payroll!M306,2))</f>
        <v/>
      </c>
      <c r="I306" s="26" t="str">
        <f aca="false">IF($A306="","",ROUND(Payroll!L306+Payroll!M306,2))</f>
        <v/>
      </c>
      <c r="J306" s="24" t="str">
        <f aca="false">IF($A306="","",0)</f>
        <v/>
      </c>
    </row>
    <row r="307" customFormat="false" ht="15" hidden="false" customHeight="false" outlineLevel="0" collapsed="false">
      <c r="A307" s="24" t="str">
        <f aca="false">IF(AND(Payroll!$A307&lt;&gt;"",N(Payroll!$R307)&gt;0),"EDR","")</f>
        <v/>
      </c>
      <c r="B307" s="24" t="str">
        <f aca="false">IF($A307="","",Payroll!U307)</f>
        <v/>
      </c>
      <c r="C307" s="24" t="str">
        <f aca="false">IF($A307="","",Payroll!S307)</f>
        <v/>
      </c>
      <c r="D307" s="24" t="str">
        <f aca="false">IF($A307="","",SUBSTITUTE(Payroll!T307," ",""))</f>
        <v/>
      </c>
      <c r="E307" s="24" t="str">
        <f aca="false">IF($A307="","",TEXT(Settings!$B$8,"yyyy-mm-dd"))</f>
        <v/>
      </c>
      <c r="F307" s="24" t="str">
        <f aca="false">IF($A307="","",TEXT(Settings!$B$9,"yyyy-mm-dd"))</f>
        <v/>
      </c>
      <c r="G307" s="24" t="str">
        <f aca="false">IF($A307="","",DAY(Settings!$B$9))</f>
        <v/>
      </c>
      <c r="H307" s="26" t="str">
        <f aca="false">IF($A307="","",ROUND(Payroll!R307-Payroll!L307-Payroll!M307,2))</f>
        <v/>
      </c>
      <c r="I307" s="26" t="str">
        <f aca="false">IF($A307="","",ROUND(Payroll!L307+Payroll!M307,2))</f>
        <v/>
      </c>
      <c r="J307" s="24" t="str">
        <f aca="false">IF($A307="","",0)</f>
        <v/>
      </c>
    </row>
    <row r="308" customFormat="false" ht="15" hidden="false" customHeight="false" outlineLevel="0" collapsed="false">
      <c r="A308" s="24" t="str">
        <f aca="false">IF(AND(Payroll!$A308&lt;&gt;"",N(Payroll!$R308)&gt;0),"EDR","")</f>
        <v/>
      </c>
      <c r="B308" s="24" t="str">
        <f aca="false">IF($A308="","",Payroll!U308)</f>
        <v/>
      </c>
      <c r="C308" s="24" t="str">
        <f aca="false">IF($A308="","",Payroll!S308)</f>
        <v/>
      </c>
      <c r="D308" s="24" t="str">
        <f aca="false">IF($A308="","",SUBSTITUTE(Payroll!T308," ",""))</f>
        <v/>
      </c>
      <c r="E308" s="24" t="str">
        <f aca="false">IF($A308="","",TEXT(Settings!$B$8,"yyyy-mm-dd"))</f>
        <v/>
      </c>
      <c r="F308" s="24" t="str">
        <f aca="false">IF($A308="","",TEXT(Settings!$B$9,"yyyy-mm-dd"))</f>
        <v/>
      </c>
      <c r="G308" s="24" t="str">
        <f aca="false">IF($A308="","",DAY(Settings!$B$9))</f>
        <v/>
      </c>
      <c r="H308" s="26" t="str">
        <f aca="false">IF($A308="","",ROUND(Payroll!R308-Payroll!L308-Payroll!M308,2))</f>
        <v/>
      </c>
      <c r="I308" s="26" t="str">
        <f aca="false">IF($A308="","",ROUND(Payroll!L308+Payroll!M308,2))</f>
        <v/>
      </c>
      <c r="J308" s="24" t="str">
        <f aca="false">IF($A308="","",0)</f>
        <v/>
      </c>
    </row>
    <row r="309" customFormat="false" ht="15" hidden="false" customHeight="false" outlineLevel="0" collapsed="false">
      <c r="A309" s="24" t="str">
        <f aca="false">IF(AND(Payroll!$A309&lt;&gt;"",N(Payroll!$R309)&gt;0),"EDR","")</f>
        <v/>
      </c>
      <c r="B309" s="24" t="str">
        <f aca="false">IF($A309="","",Payroll!U309)</f>
        <v/>
      </c>
      <c r="C309" s="24" t="str">
        <f aca="false">IF($A309="","",Payroll!S309)</f>
        <v/>
      </c>
      <c r="D309" s="24" t="str">
        <f aca="false">IF($A309="","",SUBSTITUTE(Payroll!T309," ",""))</f>
        <v/>
      </c>
      <c r="E309" s="24" t="str">
        <f aca="false">IF($A309="","",TEXT(Settings!$B$8,"yyyy-mm-dd"))</f>
        <v/>
      </c>
      <c r="F309" s="24" t="str">
        <f aca="false">IF($A309="","",TEXT(Settings!$B$9,"yyyy-mm-dd"))</f>
        <v/>
      </c>
      <c r="G309" s="24" t="str">
        <f aca="false">IF($A309="","",DAY(Settings!$B$9))</f>
        <v/>
      </c>
      <c r="H309" s="26" t="str">
        <f aca="false">IF($A309="","",ROUND(Payroll!R309-Payroll!L309-Payroll!M309,2))</f>
        <v/>
      </c>
      <c r="I309" s="26" t="str">
        <f aca="false">IF($A309="","",ROUND(Payroll!L309+Payroll!M309,2))</f>
        <v/>
      </c>
      <c r="J309" s="24" t="str">
        <f aca="false">IF($A309="","",0)</f>
        <v/>
      </c>
    </row>
    <row r="310" customFormat="false" ht="15" hidden="false" customHeight="false" outlineLevel="0" collapsed="false">
      <c r="A310" s="24" t="str">
        <f aca="false">IF(AND(Payroll!$A310&lt;&gt;"",N(Payroll!$R310)&gt;0),"EDR","")</f>
        <v/>
      </c>
      <c r="B310" s="24" t="str">
        <f aca="false">IF($A310="","",Payroll!U310)</f>
        <v/>
      </c>
      <c r="C310" s="24" t="str">
        <f aca="false">IF($A310="","",Payroll!S310)</f>
        <v/>
      </c>
      <c r="D310" s="24" t="str">
        <f aca="false">IF($A310="","",SUBSTITUTE(Payroll!T310," ",""))</f>
        <v/>
      </c>
      <c r="E310" s="24" t="str">
        <f aca="false">IF($A310="","",TEXT(Settings!$B$8,"yyyy-mm-dd"))</f>
        <v/>
      </c>
      <c r="F310" s="24" t="str">
        <f aca="false">IF($A310="","",TEXT(Settings!$B$9,"yyyy-mm-dd"))</f>
        <v/>
      </c>
      <c r="G310" s="24" t="str">
        <f aca="false">IF($A310="","",DAY(Settings!$B$9))</f>
        <v/>
      </c>
      <c r="H310" s="26" t="str">
        <f aca="false">IF($A310="","",ROUND(Payroll!R310-Payroll!L310-Payroll!M310,2))</f>
        <v/>
      </c>
      <c r="I310" s="26" t="str">
        <f aca="false">IF($A310="","",ROUND(Payroll!L310+Payroll!M310,2))</f>
        <v/>
      </c>
      <c r="J310" s="24" t="str">
        <f aca="false">IF($A310="","",0)</f>
        <v/>
      </c>
    </row>
    <row r="311" customFormat="false" ht="15" hidden="false" customHeight="false" outlineLevel="0" collapsed="false">
      <c r="A311" s="24" t="str">
        <f aca="false">IF(AND(Payroll!$A311&lt;&gt;"",N(Payroll!$R311)&gt;0),"EDR","")</f>
        <v/>
      </c>
      <c r="B311" s="24" t="str">
        <f aca="false">IF($A311="","",Payroll!U311)</f>
        <v/>
      </c>
      <c r="C311" s="24" t="str">
        <f aca="false">IF($A311="","",Payroll!S311)</f>
        <v/>
      </c>
      <c r="D311" s="24" t="str">
        <f aca="false">IF($A311="","",SUBSTITUTE(Payroll!T311," ",""))</f>
        <v/>
      </c>
      <c r="E311" s="24" t="str">
        <f aca="false">IF($A311="","",TEXT(Settings!$B$8,"yyyy-mm-dd"))</f>
        <v/>
      </c>
      <c r="F311" s="24" t="str">
        <f aca="false">IF($A311="","",TEXT(Settings!$B$9,"yyyy-mm-dd"))</f>
        <v/>
      </c>
      <c r="G311" s="24" t="str">
        <f aca="false">IF($A311="","",DAY(Settings!$B$9))</f>
        <v/>
      </c>
      <c r="H311" s="26" t="str">
        <f aca="false">IF($A311="","",ROUND(Payroll!R311-Payroll!L311-Payroll!M311,2))</f>
        <v/>
      </c>
      <c r="I311" s="26" t="str">
        <f aca="false">IF($A311="","",ROUND(Payroll!L311+Payroll!M311,2))</f>
        <v/>
      </c>
      <c r="J311" s="24" t="str">
        <f aca="false">IF($A311="","",0)</f>
        <v/>
      </c>
    </row>
    <row r="312" customFormat="false" ht="15" hidden="false" customHeight="false" outlineLevel="0" collapsed="false">
      <c r="A312" s="24" t="str">
        <f aca="false">IF(AND(Payroll!$A312&lt;&gt;"",N(Payroll!$R312)&gt;0),"EDR","")</f>
        <v/>
      </c>
      <c r="B312" s="24" t="str">
        <f aca="false">IF($A312="","",Payroll!U312)</f>
        <v/>
      </c>
      <c r="C312" s="24" t="str">
        <f aca="false">IF($A312="","",Payroll!S312)</f>
        <v/>
      </c>
      <c r="D312" s="24" t="str">
        <f aca="false">IF($A312="","",SUBSTITUTE(Payroll!T312," ",""))</f>
        <v/>
      </c>
      <c r="E312" s="24" t="str">
        <f aca="false">IF($A312="","",TEXT(Settings!$B$8,"yyyy-mm-dd"))</f>
        <v/>
      </c>
      <c r="F312" s="24" t="str">
        <f aca="false">IF($A312="","",TEXT(Settings!$B$9,"yyyy-mm-dd"))</f>
        <v/>
      </c>
      <c r="G312" s="24" t="str">
        <f aca="false">IF($A312="","",DAY(Settings!$B$9))</f>
        <v/>
      </c>
      <c r="H312" s="26" t="str">
        <f aca="false">IF($A312="","",ROUND(Payroll!R312-Payroll!L312-Payroll!M312,2))</f>
        <v/>
      </c>
      <c r="I312" s="26" t="str">
        <f aca="false">IF($A312="","",ROUND(Payroll!L312+Payroll!M312,2))</f>
        <v/>
      </c>
      <c r="J312" s="24" t="str">
        <f aca="false">IF($A312="","",0)</f>
        <v/>
      </c>
    </row>
    <row r="313" customFormat="false" ht="15" hidden="false" customHeight="false" outlineLevel="0" collapsed="false">
      <c r="A313" s="24" t="str">
        <f aca="false">IF(AND(Payroll!$A313&lt;&gt;"",N(Payroll!$R313)&gt;0),"EDR","")</f>
        <v/>
      </c>
      <c r="B313" s="24" t="str">
        <f aca="false">IF($A313="","",Payroll!U313)</f>
        <v/>
      </c>
      <c r="C313" s="24" t="str">
        <f aca="false">IF($A313="","",Payroll!S313)</f>
        <v/>
      </c>
      <c r="D313" s="24" t="str">
        <f aca="false">IF($A313="","",SUBSTITUTE(Payroll!T313," ",""))</f>
        <v/>
      </c>
      <c r="E313" s="24" t="str">
        <f aca="false">IF($A313="","",TEXT(Settings!$B$8,"yyyy-mm-dd"))</f>
        <v/>
      </c>
      <c r="F313" s="24" t="str">
        <f aca="false">IF($A313="","",TEXT(Settings!$B$9,"yyyy-mm-dd"))</f>
        <v/>
      </c>
      <c r="G313" s="24" t="str">
        <f aca="false">IF($A313="","",DAY(Settings!$B$9))</f>
        <v/>
      </c>
      <c r="H313" s="26" t="str">
        <f aca="false">IF($A313="","",ROUND(Payroll!R313-Payroll!L313-Payroll!M313,2))</f>
        <v/>
      </c>
      <c r="I313" s="26" t="str">
        <f aca="false">IF($A313="","",ROUND(Payroll!L313+Payroll!M313,2))</f>
        <v/>
      </c>
      <c r="J313" s="24" t="str">
        <f aca="false">IF($A313="","",0)</f>
        <v/>
      </c>
    </row>
    <row r="314" customFormat="false" ht="15" hidden="false" customHeight="false" outlineLevel="0" collapsed="false">
      <c r="A314" s="24" t="str">
        <f aca="false">IF(AND(Payroll!$A314&lt;&gt;"",N(Payroll!$R314)&gt;0),"EDR","")</f>
        <v/>
      </c>
      <c r="B314" s="24" t="str">
        <f aca="false">IF($A314="","",Payroll!U314)</f>
        <v/>
      </c>
      <c r="C314" s="24" t="str">
        <f aca="false">IF($A314="","",Payroll!S314)</f>
        <v/>
      </c>
      <c r="D314" s="24" t="str">
        <f aca="false">IF($A314="","",SUBSTITUTE(Payroll!T314," ",""))</f>
        <v/>
      </c>
      <c r="E314" s="24" t="str">
        <f aca="false">IF($A314="","",TEXT(Settings!$B$8,"yyyy-mm-dd"))</f>
        <v/>
      </c>
      <c r="F314" s="24" t="str">
        <f aca="false">IF($A314="","",TEXT(Settings!$B$9,"yyyy-mm-dd"))</f>
        <v/>
      </c>
      <c r="G314" s="24" t="str">
        <f aca="false">IF($A314="","",DAY(Settings!$B$9))</f>
        <v/>
      </c>
      <c r="H314" s="26" t="str">
        <f aca="false">IF($A314="","",ROUND(Payroll!R314-Payroll!L314-Payroll!M314,2))</f>
        <v/>
      </c>
      <c r="I314" s="26" t="str">
        <f aca="false">IF($A314="","",ROUND(Payroll!L314+Payroll!M314,2))</f>
        <v/>
      </c>
      <c r="J314" s="24" t="str">
        <f aca="false">IF($A314="","",0)</f>
        <v/>
      </c>
    </row>
    <row r="315" customFormat="false" ht="15" hidden="false" customHeight="false" outlineLevel="0" collapsed="false">
      <c r="A315" s="24" t="str">
        <f aca="false">IF(AND(Payroll!$A315&lt;&gt;"",N(Payroll!$R315)&gt;0),"EDR","")</f>
        <v/>
      </c>
      <c r="B315" s="24" t="str">
        <f aca="false">IF($A315="","",Payroll!U315)</f>
        <v/>
      </c>
      <c r="C315" s="24" t="str">
        <f aca="false">IF($A315="","",Payroll!S315)</f>
        <v/>
      </c>
      <c r="D315" s="24" t="str">
        <f aca="false">IF($A315="","",SUBSTITUTE(Payroll!T315," ",""))</f>
        <v/>
      </c>
      <c r="E315" s="24" t="str">
        <f aca="false">IF($A315="","",TEXT(Settings!$B$8,"yyyy-mm-dd"))</f>
        <v/>
      </c>
      <c r="F315" s="24" t="str">
        <f aca="false">IF($A315="","",TEXT(Settings!$B$9,"yyyy-mm-dd"))</f>
        <v/>
      </c>
      <c r="G315" s="24" t="str">
        <f aca="false">IF($A315="","",DAY(Settings!$B$9))</f>
        <v/>
      </c>
      <c r="H315" s="26" t="str">
        <f aca="false">IF($A315="","",ROUND(Payroll!R315-Payroll!L315-Payroll!M315,2))</f>
        <v/>
      </c>
      <c r="I315" s="26" t="str">
        <f aca="false">IF($A315="","",ROUND(Payroll!L315+Payroll!M315,2))</f>
        <v/>
      </c>
      <c r="J315" s="24" t="str">
        <f aca="false">IF($A315="","",0)</f>
        <v/>
      </c>
    </row>
    <row r="316" customFormat="false" ht="15" hidden="false" customHeight="false" outlineLevel="0" collapsed="false">
      <c r="A316" s="24" t="str">
        <f aca="false">IF(AND(Payroll!$A316&lt;&gt;"",N(Payroll!$R316)&gt;0),"EDR","")</f>
        <v/>
      </c>
      <c r="B316" s="24" t="str">
        <f aca="false">IF($A316="","",Payroll!U316)</f>
        <v/>
      </c>
      <c r="C316" s="24" t="str">
        <f aca="false">IF($A316="","",Payroll!S316)</f>
        <v/>
      </c>
      <c r="D316" s="24" t="str">
        <f aca="false">IF($A316="","",SUBSTITUTE(Payroll!T316," ",""))</f>
        <v/>
      </c>
      <c r="E316" s="24" t="str">
        <f aca="false">IF($A316="","",TEXT(Settings!$B$8,"yyyy-mm-dd"))</f>
        <v/>
      </c>
      <c r="F316" s="24" t="str">
        <f aca="false">IF($A316="","",TEXT(Settings!$B$9,"yyyy-mm-dd"))</f>
        <v/>
      </c>
      <c r="G316" s="24" t="str">
        <f aca="false">IF($A316="","",DAY(Settings!$B$9))</f>
        <v/>
      </c>
      <c r="H316" s="26" t="str">
        <f aca="false">IF($A316="","",ROUND(Payroll!R316-Payroll!L316-Payroll!M316,2))</f>
        <v/>
      </c>
      <c r="I316" s="26" t="str">
        <f aca="false">IF($A316="","",ROUND(Payroll!L316+Payroll!M316,2))</f>
        <v/>
      </c>
      <c r="J316" s="24" t="str">
        <f aca="false">IF($A316="","",0)</f>
        <v/>
      </c>
    </row>
    <row r="317" customFormat="false" ht="15" hidden="false" customHeight="false" outlineLevel="0" collapsed="false">
      <c r="A317" s="24" t="str">
        <f aca="false">IF(AND(Payroll!$A317&lt;&gt;"",N(Payroll!$R317)&gt;0),"EDR","")</f>
        <v/>
      </c>
      <c r="B317" s="24" t="str">
        <f aca="false">IF($A317="","",Payroll!U317)</f>
        <v/>
      </c>
      <c r="C317" s="24" t="str">
        <f aca="false">IF($A317="","",Payroll!S317)</f>
        <v/>
      </c>
      <c r="D317" s="24" t="str">
        <f aca="false">IF($A317="","",SUBSTITUTE(Payroll!T317," ",""))</f>
        <v/>
      </c>
      <c r="E317" s="24" t="str">
        <f aca="false">IF($A317="","",TEXT(Settings!$B$8,"yyyy-mm-dd"))</f>
        <v/>
      </c>
      <c r="F317" s="24" t="str">
        <f aca="false">IF($A317="","",TEXT(Settings!$B$9,"yyyy-mm-dd"))</f>
        <v/>
      </c>
      <c r="G317" s="24" t="str">
        <f aca="false">IF($A317="","",DAY(Settings!$B$9))</f>
        <v/>
      </c>
      <c r="H317" s="26" t="str">
        <f aca="false">IF($A317="","",ROUND(Payroll!R317-Payroll!L317-Payroll!M317,2))</f>
        <v/>
      </c>
      <c r="I317" s="26" t="str">
        <f aca="false">IF($A317="","",ROUND(Payroll!L317+Payroll!M317,2))</f>
        <v/>
      </c>
      <c r="J317" s="24" t="str">
        <f aca="false">IF($A317="","",0)</f>
        <v/>
      </c>
    </row>
    <row r="318" customFormat="false" ht="15" hidden="false" customHeight="false" outlineLevel="0" collapsed="false">
      <c r="A318" s="24" t="str">
        <f aca="false">IF(AND(Payroll!$A318&lt;&gt;"",N(Payroll!$R318)&gt;0),"EDR","")</f>
        <v/>
      </c>
      <c r="B318" s="24" t="str">
        <f aca="false">IF($A318="","",Payroll!U318)</f>
        <v/>
      </c>
      <c r="C318" s="24" t="str">
        <f aca="false">IF($A318="","",Payroll!S318)</f>
        <v/>
      </c>
      <c r="D318" s="24" t="str">
        <f aca="false">IF($A318="","",SUBSTITUTE(Payroll!T318," ",""))</f>
        <v/>
      </c>
      <c r="E318" s="24" t="str">
        <f aca="false">IF($A318="","",TEXT(Settings!$B$8,"yyyy-mm-dd"))</f>
        <v/>
      </c>
      <c r="F318" s="24" t="str">
        <f aca="false">IF($A318="","",TEXT(Settings!$B$9,"yyyy-mm-dd"))</f>
        <v/>
      </c>
      <c r="G318" s="24" t="str">
        <f aca="false">IF($A318="","",DAY(Settings!$B$9))</f>
        <v/>
      </c>
      <c r="H318" s="26" t="str">
        <f aca="false">IF($A318="","",ROUND(Payroll!R318-Payroll!L318-Payroll!M318,2))</f>
        <v/>
      </c>
      <c r="I318" s="26" t="str">
        <f aca="false">IF($A318="","",ROUND(Payroll!L318+Payroll!M318,2))</f>
        <v/>
      </c>
      <c r="J318" s="24" t="str">
        <f aca="false">IF($A318="","",0)</f>
        <v/>
      </c>
    </row>
    <row r="319" customFormat="false" ht="15" hidden="false" customHeight="false" outlineLevel="0" collapsed="false">
      <c r="A319" s="24" t="str">
        <f aca="false">IF(AND(Payroll!$A319&lt;&gt;"",N(Payroll!$R319)&gt;0),"EDR","")</f>
        <v/>
      </c>
      <c r="B319" s="24" t="str">
        <f aca="false">IF($A319="","",Payroll!U319)</f>
        <v/>
      </c>
      <c r="C319" s="24" t="str">
        <f aca="false">IF($A319="","",Payroll!S319)</f>
        <v/>
      </c>
      <c r="D319" s="24" t="str">
        <f aca="false">IF($A319="","",SUBSTITUTE(Payroll!T319," ",""))</f>
        <v/>
      </c>
      <c r="E319" s="24" t="str">
        <f aca="false">IF($A319="","",TEXT(Settings!$B$8,"yyyy-mm-dd"))</f>
        <v/>
      </c>
      <c r="F319" s="24" t="str">
        <f aca="false">IF($A319="","",TEXT(Settings!$B$9,"yyyy-mm-dd"))</f>
        <v/>
      </c>
      <c r="G319" s="24" t="str">
        <f aca="false">IF($A319="","",DAY(Settings!$B$9))</f>
        <v/>
      </c>
      <c r="H319" s="26" t="str">
        <f aca="false">IF($A319="","",ROUND(Payroll!R319-Payroll!L319-Payroll!M319,2))</f>
        <v/>
      </c>
      <c r="I319" s="26" t="str">
        <f aca="false">IF($A319="","",ROUND(Payroll!L319+Payroll!M319,2))</f>
        <v/>
      </c>
      <c r="J319" s="24" t="str">
        <f aca="false">IF($A319="","",0)</f>
        <v/>
      </c>
    </row>
    <row r="320" customFormat="false" ht="15" hidden="false" customHeight="false" outlineLevel="0" collapsed="false">
      <c r="A320" s="24" t="str">
        <f aca="false">IF(AND(Payroll!$A320&lt;&gt;"",N(Payroll!$R320)&gt;0),"EDR","")</f>
        <v/>
      </c>
      <c r="B320" s="24" t="str">
        <f aca="false">IF($A320="","",Payroll!U320)</f>
        <v/>
      </c>
      <c r="C320" s="24" t="str">
        <f aca="false">IF($A320="","",Payroll!S320)</f>
        <v/>
      </c>
      <c r="D320" s="24" t="str">
        <f aca="false">IF($A320="","",SUBSTITUTE(Payroll!T320," ",""))</f>
        <v/>
      </c>
      <c r="E320" s="24" t="str">
        <f aca="false">IF($A320="","",TEXT(Settings!$B$8,"yyyy-mm-dd"))</f>
        <v/>
      </c>
      <c r="F320" s="24" t="str">
        <f aca="false">IF($A320="","",TEXT(Settings!$B$9,"yyyy-mm-dd"))</f>
        <v/>
      </c>
      <c r="G320" s="24" t="str">
        <f aca="false">IF($A320="","",DAY(Settings!$B$9))</f>
        <v/>
      </c>
      <c r="H320" s="26" t="str">
        <f aca="false">IF($A320="","",ROUND(Payroll!R320-Payroll!L320-Payroll!M320,2))</f>
        <v/>
      </c>
      <c r="I320" s="26" t="str">
        <f aca="false">IF($A320="","",ROUND(Payroll!L320+Payroll!M320,2))</f>
        <v/>
      </c>
      <c r="J320" s="24" t="str">
        <f aca="false">IF($A320="","",0)</f>
        <v/>
      </c>
    </row>
    <row r="321" customFormat="false" ht="15" hidden="false" customHeight="false" outlineLevel="0" collapsed="false">
      <c r="A321" s="24" t="str">
        <f aca="false">IF(AND(Payroll!$A321&lt;&gt;"",N(Payroll!$R321)&gt;0),"EDR","")</f>
        <v/>
      </c>
      <c r="B321" s="24" t="str">
        <f aca="false">IF($A321="","",Payroll!U321)</f>
        <v/>
      </c>
      <c r="C321" s="24" t="str">
        <f aca="false">IF($A321="","",Payroll!S321)</f>
        <v/>
      </c>
      <c r="D321" s="24" t="str">
        <f aca="false">IF($A321="","",SUBSTITUTE(Payroll!T321," ",""))</f>
        <v/>
      </c>
      <c r="E321" s="24" t="str">
        <f aca="false">IF($A321="","",TEXT(Settings!$B$8,"yyyy-mm-dd"))</f>
        <v/>
      </c>
      <c r="F321" s="24" t="str">
        <f aca="false">IF($A321="","",TEXT(Settings!$B$9,"yyyy-mm-dd"))</f>
        <v/>
      </c>
      <c r="G321" s="24" t="str">
        <f aca="false">IF($A321="","",DAY(Settings!$B$9))</f>
        <v/>
      </c>
      <c r="H321" s="26" t="str">
        <f aca="false">IF($A321="","",ROUND(Payroll!R321-Payroll!L321-Payroll!M321,2))</f>
        <v/>
      </c>
      <c r="I321" s="26" t="str">
        <f aca="false">IF($A321="","",ROUND(Payroll!L321+Payroll!M321,2))</f>
        <v/>
      </c>
      <c r="J321" s="24" t="str">
        <f aca="false">IF($A321="","",0)</f>
        <v/>
      </c>
    </row>
    <row r="322" customFormat="false" ht="15" hidden="false" customHeight="false" outlineLevel="0" collapsed="false">
      <c r="A322" s="24" t="str">
        <f aca="false">IF(AND(Payroll!$A322&lt;&gt;"",N(Payroll!$R322)&gt;0),"EDR","")</f>
        <v/>
      </c>
      <c r="B322" s="24" t="str">
        <f aca="false">IF($A322="","",Payroll!U322)</f>
        <v/>
      </c>
      <c r="C322" s="24" t="str">
        <f aca="false">IF($A322="","",Payroll!S322)</f>
        <v/>
      </c>
      <c r="D322" s="24" t="str">
        <f aca="false">IF($A322="","",SUBSTITUTE(Payroll!T322," ",""))</f>
        <v/>
      </c>
      <c r="E322" s="24" t="str">
        <f aca="false">IF($A322="","",TEXT(Settings!$B$8,"yyyy-mm-dd"))</f>
        <v/>
      </c>
      <c r="F322" s="24" t="str">
        <f aca="false">IF($A322="","",TEXT(Settings!$B$9,"yyyy-mm-dd"))</f>
        <v/>
      </c>
      <c r="G322" s="24" t="str">
        <f aca="false">IF($A322="","",DAY(Settings!$B$9))</f>
        <v/>
      </c>
      <c r="H322" s="26" t="str">
        <f aca="false">IF($A322="","",ROUND(Payroll!R322-Payroll!L322-Payroll!M322,2))</f>
        <v/>
      </c>
      <c r="I322" s="26" t="str">
        <f aca="false">IF($A322="","",ROUND(Payroll!L322+Payroll!M322,2))</f>
        <v/>
      </c>
      <c r="J322" s="24" t="str">
        <f aca="false">IF($A322="","",0)</f>
        <v/>
      </c>
    </row>
    <row r="323" customFormat="false" ht="15" hidden="false" customHeight="false" outlineLevel="0" collapsed="false">
      <c r="A323" s="24" t="str">
        <f aca="false">IF(AND(Payroll!$A323&lt;&gt;"",N(Payroll!$R323)&gt;0),"EDR","")</f>
        <v/>
      </c>
      <c r="B323" s="24" t="str">
        <f aca="false">IF($A323="","",Payroll!U323)</f>
        <v/>
      </c>
      <c r="C323" s="24" t="str">
        <f aca="false">IF($A323="","",Payroll!S323)</f>
        <v/>
      </c>
      <c r="D323" s="24" t="str">
        <f aca="false">IF($A323="","",SUBSTITUTE(Payroll!T323," ",""))</f>
        <v/>
      </c>
      <c r="E323" s="24" t="str">
        <f aca="false">IF($A323="","",TEXT(Settings!$B$8,"yyyy-mm-dd"))</f>
        <v/>
      </c>
      <c r="F323" s="24" t="str">
        <f aca="false">IF($A323="","",TEXT(Settings!$B$9,"yyyy-mm-dd"))</f>
        <v/>
      </c>
      <c r="G323" s="24" t="str">
        <f aca="false">IF($A323="","",DAY(Settings!$B$9))</f>
        <v/>
      </c>
      <c r="H323" s="26" t="str">
        <f aca="false">IF($A323="","",ROUND(Payroll!R323-Payroll!L323-Payroll!M323,2))</f>
        <v/>
      </c>
      <c r="I323" s="26" t="str">
        <f aca="false">IF($A323="","",ROUND(Payroll!L323+Payroll!M323,2))</f>
        <v/>
      </c>
      <c r="J323" s="24" t="str">
        <f aca="false">IF($A323="","",0)</f>
        <v/>
      </c>
    </row>
    <row r="324" customFormat="false" ht="15" hidden="false" customHeight="false" outlineLevel="0" collapsed="false">
      <c r="A324" s="24" t="str">
        <f aca="false">IF(AND(Payroll!$A324&lt;&gt;"",N(Payroll!$R324)&gt;0),"EDR","")</f>
        <v/>
      </c>
      <c r="B324" s="24" t="str">
        <f aca="false">IF($A324="","",Payroll!U324)</f>
        <v/>
      </c>
      <c r="C324" s="24" t="str">
        <f aca="false">IF($A324="","",Payroll!S324)</f>
        <v/>
      </c>
      <c r="D324" s="24" t="str">
        <f aca="false">IF($A324="","",SUBSTITUTE(Payroll!T324," ",""))</f>
        <v/>
      </c>
      <c r="E324" s="24" t="str">
        <f aca="false">IF($A324="","",TEXT(Settings!$B$8,"yyyy-mm-dd"))</f>
        <v/>
      </c>
      <c r="F324" s="24" t="str">
        <f aca="false">IF($A324="","",TEXT(Settings!$B$9,"yyyy-mm-dd"))</f>
        <v/>
      </c>
      <c r="G324" s="24" t="str">
        <f aca="false">IF($A324="","",DAY(Settings!$B$9))</f>
        <v/>
      </c>
      <c r="H324" s="26" t="str">
        <f aca="false">IF($A324="","",ROUND(Payroll!R324-Payroll!L324-Payroll!M324,2))</f>
        <v/>
      </c>
      <c r="I324" s="26" t="str">
        <f aca="false">IF($A324="","",ROUND(Payroll!L324+Payroll!M324,2))</f>
        <v/>
      </c>
      <c r="J324" s="24" t="str">
        <f aca="false">IF($A324="","",0)</f>
        <v/>
      </c>
    </row>
    <row r="325" customFormat="false" ht="15" hidden="false" customHeight="false" outlineLevel="0" collapsed="false">
      <c r="A325" s="24" t="str">
        <f aca="false">IF(AND(Payroll!$A325&lt;&gt;"",N(Payroll!$R325)&gt;0),"EDR","")</f>
        <v/>
      </c>
      <c r="B325" s="24" t="str">
        <f aca="false">IF($A325="","",Payroll!U325)</f>
        <v/>
      </c>
      <c r="C325" s="24" t="str">
        <f aca="false">IF($A325="","",Payroll!S325)</f>
        <v/>
      </c>
      <c r="D325" s="24" t="str">
        <f aca="false">IF($A325="","",SUBSTITUTE(Payroll!T325," ",""))</f>
        <v/>
      </c>
      <c r="E325" s="24" t="str">
        <f aca="false">IF($A325="","",TEXT(Settings!$B$8,"yyyy-mm-dd"))</f>
        <v/>
      </c>
      <c r="F325" s="24" t="str">
        <f aca="false">IF($A325="","",TEXT(Settings!$B$9,"yyyy-mm-dd"))</f>
        <v/>
      </c>
      <c r="G325" s="24" t="str">
        <f aca="false">IF($A325="","",DAY(Settings!$B$9))</f>
        <v/>
      </c>
      <c r="H325" s="26" t="str">
        <f aca="false">IF($A325="","",ROUND(Payroll!R325-Payroll!L325-Payroll!M325,2))</f>
        <v/>
      </c>
      <c r="I325" s="26" t="str">
        <f aca="false">IF($A325="","",ROUND(Payroll!L325+Payroll!M325,2))</f>
        <v/>
      </c>
      <c r="J325" s="24" t="str">
        <f aca="false">IF($A325="","",0)</f>
        <v/>
      </c>
    </row>
    <row r="326" customFormat="false" ht="15" hidden="false" customHeight="false" outlineLevel="0" collapsed="false">
      <c r="A326" s="24" t="str">
        <f aca="false">IF(AND(Payroll!$A326&lt;&gt;"",N(Payroll!$R326)&gt;0),"EDR","")</f>
        <v/>
      </c>
      <c r="B326" s="24" t="str">
        <f aca="false">IF($A326="","",Payroll!U326)</f>
        <v/>
      </c>
      <c r="C326" s="24" t="str">
        <f aca="false">IF($A326="","",Payroll!S326)</f>
        <v/>
      </c>
      <c r="D326" s="24" t="str">
        <f aca="false">IF($A326="","",SUBSTITUTE(Payroll!T326," ",""))</f>
        <v/>
      </c>
      <c r="E326" s="24" t="str">
        <f aca="false">IF($A326="","",TEXT(Settings!$B$8,"yyyy-mm-dd"))</f>
        <v/>
      </c>
      <c r="F326" s="24" t="str">
        <f aca="false">IF($A326="","",TEXT(Settings!$B$9,"yyyy-mm-dd"))</f>
        <v/>
      </c>
      <c r="G326" s="24" t="str">
        <f aca="false">IF($A326="","",DAY(Settings!$B$9))</f>
        <v/>
      </c>
      <c r="H326" s="26" t="str">
        <f aca="false">IF($A326="","",ROUND(Payroll!R326-Payroll!L326-Payroll!M326,2))</f>
        <v/>
      </c>
      <c r="I326" s="26" t="str">
        <f aca="false">IF($A326="","",ROUND(Payroll!L326+Payroll!M326,2))</f>
        <v/>
      </c>
      <c r="J326" s="24" t="str">
        <f aca="false">IF($A326="","",0)</f>
        <v/>
      </c>
    </row>
    <row r="327" customFormat="false" ht="15" hidden="false" customHeight="false" outlineLevel="0" collapsed="false">
      <c r="A327" s="24" t="str">
        <f aca="false">IF(AND(Payroll!$A327&lt;&gt;"",N(Payroll!$R327)&gt;0),"EDR","")</f>
        <v/>
      </c>
      <c r="B327" s="24" t="str">
        <f aca="false">IF($A327="","",Payroll!U327)</f>
        <v/>
      </c>
      <c r="C327" s="24" t="str">
        <f aca="false">IF($A327="","",Payroll!S327)</f>
        <v/>
      </c>
      <c r="D327" s="24" t="str">
        <f aca="false">IF($A327="","",SUBSTITUTE(Payroll!T327," ",""))</f>
        <v/>
      </c>
      <c r="E327" s="24" t="str">
        <f aca="false">IF($A327="","",TEXT(Settings!$B$8,"yyyy-mm-dd"))</f>
        <v/>
      </c>
      <c r="F327" s="24" t="str">
        <f aca="false">IF($A327="","",TEXT(Settings!$B$9,"yyyy-mm-dd"))</f>
        <v/>
      </c>
      <c r="G327" s="24" t="str">
        <f aca="false">IF($A327="","",DAY(Settings!$B$9))</f>
        <v/>
      </c>
      <c r="H327" s="26" t="str">
        <f aca="false">IF($A327="","",ROUND(Payroll!R327-Payroll!L327-Payroll!M327,2))</f>
        <v/>
      </c>
      <c r="I327" s="26" t="str">
        <f aca="false">IF($A327="","",ROUND(Payroll!L327+Payroll!M327,2))</f>
        <v/>
      </c>
      <c r="J327" s="24" t="str">
        <f aca="false">IF($A327="","",0)</f>
        <v/>
      </c>
    </row>
    <row r="328" customFormat="false" ht="15" hidden="false" customHeight="false" outlineLevel="0" collapsed="false">
      <c r="A328" s="24" t="str">
        <f aca="false">IF(AND(Payroll!$A328&lt;&gt;"",N(Payroll!$R328)&gt;0),"EDR","")</f>
        <v/>
      </c>
      <c r="B328" s="24" t="str">
        <f aca="false">IF($A328="","",Payroll!U328)</f>
        <v/>
      </c>
      <c r="C328" s="24" t="str">
        <f aca="false">IF($A328="","",Payroll!S328)</f>
        <v/>
      </c>
      <c r="D328" s="24" t="str">
        <f aca="false">IF($A328="","",SUBSTITUTE(Payroll!T328," ",""))</f>
        <v/>
      </c>
      <c r="E328" s="24" t="str">
        <f aca="false">IF($A328="","",TEXT(Settings!$B$8,"yyyy-mm-dd"))</f>
        <v/>
      </c>
      <c r="F328" s="24" t="str">
        <f aca="false">IF($A328="","",TEXT(Settings!$B$9,"yyyy-mm-dd"))</f>
        <v/>
      </c>
      <c r="G328" s="24" t="str">
        <f aca="false">IF($A328="","",DAY(Settings!$B$9))</f>
        <v/>
      </c>
      <c r="H328" s="26" t="str">
        <f aca="false">IF($A328="","",ROUND(Payroll!R328-Payroll!L328-Payroll!M328,2))</f>
        <v/>
      </c>
      <c r="I328" s="26" t="str">
        <f aca="false">IF($A328="","",ROUND(Payroll!L328+Payroll!M328,2))</f>
        <v/>
      </c>
      <c r="J328" s="24" t="str">
        <f aca="false">IF($A328="","",0)</f>
        <v/>
      </c>
    </row>
    <row r="329" customFormat="false" ht="15" hidden="false" customHeight="false" outlineLevel="0" collapsed="false">
      <c r="A329" s="24" t="str">
        <f aca="false">IF(AND(Payroll!$A329&lt;&gt;"",N(Payroll!$R329)&gt;0),"EDR","")</f>
        <v/>
      </c>
      <c r="B329" s="24" t="str">
        <f aca="false">IF($A329="","",Payroll!U329)</f>
        <v/>
      </c>
      <c r="C329" s="24" t="str">
        <f aca="false">IF($A329="","",Payroll!S329)</f>
        <v/>
      </c>
      <c r="D329" s="24" t="str">
        <f aca="false">IF($A329="","",SUBSTITUTE(Payroll!T329," ",""))</f>
        <v/>
      </c>
      <c r="E329" s="24" t="str">
        <f aca="false">IF($A329="","",TEXT(Settings!$B$8,"yyyy-mm-dd"))</f>
        <v/>
      </c>
      <c r="F329" s="24" t="str">
        <f aca="false">IF($A329="","",TEXT(Settings!$B$9,"yyyy-mm-dd"))</f>
        <v/>
      </c>
      <c r="G329" s="24" t="str">
        <f aca="false">IF($A329="","",DAY(Settings!$B$9))</f>
        <v/>
      </c>
      <c r="H329" s="26" t="str">
        <f aca="false">IF($A329="","",ROUND(Payroll!R329-Payroll!L329-Payroll!M329,2))</f>
        <v/>
      </c>
      <c r="I329" s="26" t="str">
        <f aca="false">IF($A329="","",ROUND(Payroll!L329+Payroll!M329,2))</f>
        <v/>
      </c>
      <c r="J329" s="24" t="str">
        <f aca="false">IF($A329="","",0)</f>
        <v/>
      </c>
    </row>
    <row r="330" customFormat="false" ht="15" hidden="false" customHeight="false" outlineLevel="0" collapsed="false">
      <c r="A330" s="24" t="str">
        <f aca="false">IF(AND(Payroll!$A330&lt;&gt;"",N(Payroll!$R330)&gt;0),"EDR","")</f>
        <v/>
      </c>
      <c r="B330" s="24" t="str">
        <f aca="false">IF($A330="","",Payroll!U330)</f>
        <v/>
      </c>
      <c r="C330" s="24" t="str">
        <f aca="false">IF($A330="","",Payroll!S330)</f>
        <v/>
      </c>
      <c r="D330" s="24" t="str">
        <f aca="false">IF($A330="","",SUBSTITUTE(Payroll!T330," ",""))</f>
        <v/>
      </c>
      <c r="E330" s="24" t="str">
        <f aca="false">IF($A330="","",TEXT(Settings!$B$8,"yyyy-mm-dd"))</f>
        <v/>
      </c>
      <c r="F330" s="24" t="str">
        <f aca="false">IF($A330="","",TEXT(Settings!$B$9,"yyyy-mm-dd"))</f>
        <v/>
      </c>
      <c r="G330" s="24" t="str">
        <f aca="false">IF($A330="","",DAY(Settings!$B$9))</f>
        <v/>
      </c>
      <c r="H330" s="26" t="str">
        <f aca="false">IF($A330="","",ROUND(Payroll!R330-Payroll!L330-Payroll!M330,2))</f>
        <v/>
      </c>
      <c r="I330" s="26" t="str">
        <f aca="false">IF($A330="","",ROUND(Payroll!L330+Payroll!M330,2))</f>
        <v/>
      </c>
      <c r="J330" s="24" t="str">
        <f aca="false">IF($A330="","",0)</f>
        <v/>
      </c>
    </row>
    <row r="331" customFormat="false" ht="15" hidden="false" customHeight="false" outlineLevel="0" collapsed="false">
      <c r="A331" s="24" t="str">
        <f aca="false">IF(AND(Payroll!$A331&lt;&gt;"",N(Payroll!$R331)&gt;0),"EDR","")</f>
        <v/>
      </c>
      <c r="B331" s="24" t="str">
        <f aca="false">IF($A331="","",Payroll!U331)</f>
        <v/>
      </c>
      <c r="C331" s="24" t="str">
        <f aca="false">IF($A331="","",Payroll!S331)</f>
        <v/>
      </c>
      <c r="D331" s="24" t="str">
        <f aca="false">IF($A331="","",SUBSTITUTE(Payroll!T331," ",""))</f>
        <v/>
      </c>
      <c r="E331" s="24" t="str">
        <f aca="false">IF($A331="","",TEXT(Settings!$B$8,"yyyy-mm-dd"))</f>
        <v/>
      </c>
      <c r="F331" s="24" t="str">
        <f aca="false">IF($A331="","",TEXT(Settings!$B$9,"yyyy-mm-dd"))</f>
        <v/>
      </c>
      <c r="G331" s="24" t="str">
        <f aca="false">IF($A331="","",DAY(Settings!$B$9))</f>
        <v/>
      </c>
      <c r="H331" s="26" t="str">
        <f aca="false">IF($A331="","",ROUND(Payroll!R331-Payroll!L331-Payroll!M331,2))</f>
        <v/>
      </c>
      <c r="I331" s="26" t="str">
        <f aca="false">IF($A331="","",ROUND(Payroll!L331+Payroll!M331,2))</f>
        <v/>
      </c>
      <c r="J331" s="24" t="str">
        <f aca="false">IF($A331="","",0)</f>
        <v/>
      </c>
    </row>
    <row r="332" customFormat="false" ht="15" hidden="false" customHeight="false" outlineLevel="0" collapsed="false">
      <c r="A332" s="24" t="str">
        <f aca="false">IF(AND(Payroll!$A332&lt;&gt;"",N(Payroll!$R332)&gt;0),"EDR","")</f>
        <v/>
      </c>
      <c r="B332" s="24" t="str">
        <f aca="false">IF($A332="","",Payroll!U332)</f>
        <v/>
      </c>
      <c r="C332" s="24" t="str">
        <f aca="false">IF($A332="","",Payroll!S332)</f>
        <v/>
      </c>
      <c r="D332" s="24" t="str">
        <f aca="false">IF($A332="","",SUBSTITUTE(Payroll!T332," ",""))</f>
        <v/>
      </c>
      <c r="E332" s="24" t="str">
        <f aca="false">IF($A332="","",TEXT(Settings!$B$8,"yyyy-mm-dd"))</f>
        <v/>
      </c>
      <c r="F332" s="24" t="str">
        <f aca="false">IF($A332="","",TEXT(Settings!$B$9,"yyyy-mm-dd"))</f>
        <v/>
      </c>
      <c r="G332" s="24" t="str">
        <f aca="false">IF($A332="","",DAY(Settings!$B$9))</f>
        <v/>
      </c>
      <c r="H332" s="26" t="str">
        <f aca="false">IF($A332="","",ROUND(Payroll!R332-Payroll!L332-Payroll!M332,2))</f>
        <v/>
      </c>
      <c r="I332" s="26" t="str">
        <f aca="false">IF($A332="","",ROUND(Payroll!L332+Payroll!M332,2))</f>
        <v/>
      </c>
      <c r="J332" s="24" t="str">
        <f aca="false">IF($A332="","",0)</f>
        <v/>
      </c>
    </row>
    <row r="333" customFormat="false" ht="15" hidden="false" customHeight="false" outlineLevel="0" collapsed="false">
      <c r="A333" s="24" t="str">
        <f aca="false">IF(AND(Payroll!$A333&lt;&gt;"",N(Payroll!$R333)&gt;0),"EDR","")</f>
        <v/>
      </c>
      <c r="B333" s="24" t="str">
        <f aca="false">IF($A333="","",Payroll!U333)</f>
        <v/>
      </c>
      <c r="C333" s="24" t="str">
        <f aca="false">IF($A333="","",Payroll!S333)</f>
        <v/>
      </c>
      <c r="D333" s="24" t="str">
        <f aca="false">IF($A333="","",SUBSTITUTE(Payroll!T333," ",""))</f>
        <v/>
      </c>
      <c r="E333" s="24" t="str">
        <f aca="false">IF($A333="","",TEXT(Settings!$B$8,"yyyy-mm-dd"))</f>
        <v/>
      </c>
      <c r="F333" s="24" t="str">
        <f aca="false">IF($A333="","",TEXT(Settings!$B$9,"yyyy-mm-dd"))</f>
        <v/>
      </c>
      <c r="G333" s="24" t="str">
        <f aca="false">IF($A333="","",DAY(Settings!$B$9))</f>
        <v/>
      </c>
      <c r="H333" s="26" t="str">
        <f aca="false">IF($A333="","",ROUND(Payroll!R333-Payroll!L333-Payroll!M333,2))</f>
        <v/>
      </c>
      <c r="I333" s="26" t="str">
        <f aca="false">IF($A333="","",ROUND(Payroll!L333+Payroll!M333,2))</f>
        <v/>
      </c>
      <c r="J333" s="24" t="str">
        <f aca="false">IF($A333="","",0)</f>
        <v/>
      </c>
    </row>
    <row r="334" customFormat="false" ht="15" hidden="false" customHeight="false" outlineLevel="0" collapsed="false">
      <c r="A334" s="24" t="str">
        <f aca="false">IF(AND(Payroll!$A334&lt;&gt;"",N(Payroll!$R334)&gt;0),"EDR","")</f>
        <v/>
      </c>
      <c r="B334" s="24" t="str">
        <f aca="false">IF($A334="","",Payroll!U334)</f>
        <v/>
      </c>
      <c r="C334" s="24" t="str">
        <f aca="false">IF($A334="","",Payroll!S334)</f>
        <v/>
      </c>
      <c r="D334" s="24" t="str">
        <f aca="false">IF($A334="","",SUBSTITUTE(Payroll!T334," ",""))</f>
        <v/>
      </c>
      <c r="E334" s="24" t="str">
        <f aca="false">IF($A334="","",TEXT(Settings!$B$8,"yyyy-mm-dd"))</f>
        <v/>
      </c>
      <c r="F334" s="24" t="str">
        <f aca="false">IF($A334="","",TEXT(Settings!$B$9,"yyyy-mm-dd"))</f>
        <v/>
      </c>
      <c r="G334" s="24" t="str">
        <f aca="false">IF($A334="","",DAY(Settings!$B$9))</f>
        <v/>
      </c>
      <c r="H334" s="26" t="str">
        <f aca="false">IF($A334="","",ROUND(Payroll!R334-Payroll!L334-Payroll!M334,2))</f>
        <v/>
      </c>
      <c r="I334" s="26" t="str">
        <f aca="false">IF($A334="","",ROUND(Payroll!L334+Payroll!M334,2))</f>
        <v/>
      </c>
      <c r="J334" s="24" t="str">
        <f aca="false">IF($A334="","",0)</f>
        <v/>
      </c>
    </row>
    <row r="335" customFormat="false" ht="15" hidden="false" customHeight="false" outlineLevel="0" collapsed="false">
      <c r="A335" s="24" t="str">
        <f aca="false">IF(AND(Payroll!$A335&lt;&gt;"",N(Payroll!$R335)&gt;0),"EDR","")</f>
        <v/>
      </c>
      <c r="B335" s="24" t="str">
        <f aca="false">IF($A335="","",Payroll!U335)</f>
        <v/>
      </c>
      <c r="C335" s="24" t="str">
        <f aca="false">IF($A335="","",Payroll!S335)</f>
        <v/>
      </c>
      <c r="D335" s="24" t="str">
        <f aca="false">IF($A335="","",SUBSTITUTE(Payroll!T335," ",""))</f>
        <v/>
      </c>
      <c r="E335" s="24" t="str">
        <f aca="false">IF($A335="","",TEXT(Settings!$B$8,"yyyy-mm-dd"))</f>
        <v/>
      </c>
      <c r="F335" s="24" t="str">
        <f aca="false">IF($A335="","",TEXT(Settings!$B$9,"yyyy-mm-dd"))</f>
        <v/>
      </c>
      <c r="G335" s="24" t="str">
        <f aca="false">IF($A335="","",DAY(Settings!$B$9))</f>
        <v/>
      </c>
      <c r="H335" s="26" t="str">
        <f aca="false">IF($A335="","",ROUND(Payroll!R335-Payroll!L335-Payroll!M335,2))</f>
        <v/>
      </c>
      <c r="I335" s="26" t="str">
        <f aca="false">IF($A335="","",ROUND(Payroll!L335+Payroll!M335,2))</f>
        <v/>
      </c>
      <c r="J335" s="24" t="str">
        <f aca="false">IF($A335="","",0)</f>
        <v/>
      </c>
    </row>
    <row r="336" customFormat="false" ht="15" hidden="false" customHeight="false" outlineLevel="0" collapsed="false">
      <c r="A336" s="24" t="str">
        <f aca="false">IF(AND(Payroll!$A336&lt;&gt;"",N(Payroll!$R336)&gt;0),"EDR","")</f>
        <v/>
      </c>
      <c r="B336" s="24" t="str">
        <f aca="false">IF($A336="","",Payroll!U336)</f>
        <v/>
      </c>
      <c r="C336" s="24" t="str">
        <f aca="false">IF($A336="","",Payroll!S336)</f>
        <v/>
      </c>
      <c r="D336" s="24" t="str">
        <f aca="false">IF($A336="","",SUBSTITUTE(Payroll!T336," ",""))</f>
        <v/>
      </c>
      <c r="E336" s="24" t="str">
        <f aca="false">IF($A336="","",TEXT(Settings!$B$8,"yyyy-mm-dd"))</f>
        <v/>
      </c>
      <c r="F336" s="24" t="str">
        <f aca="false">IF($A336="","",TEXT(Settings!$B$9,"yyyy-mm-dd"))</f>
        <v/>
      </c>
      <c r="G336" s="24" t="str">
        <f aca="false">IF($A336="","",DAY(Settings!$B$9))</f>
        <v/>
      </c>
      <c r="H336" s="26" t="str">
        <f aca="false">IF($A336="","",ROUND(Payroll!R336-Payroll!L336-Payroll!M336,2))</f>
        <v/>
      </c>
      <c r="I336" s="26" t="str">
        <f aca="false">IF($A336="","",ROUND(Payroll!L336+Payroll!M336,2))</f>
        <v/>
      </c>
      <c r="J336" s="24" t="str">
        <f aca="false">IF($A336="","",0)</f>
        <v/>
      </c>
    </row>
    <row r="337" customFormat="false" ht="15" hidden="false" customHeight="false" outlineLevel="0" collapsed="false">
      <c r="A337" s="24" t="str">
        <f aca="false">IF(AND(Payroll!$A337&lt;&gt;"",N(Payroll!$R337)&gt;0),"EDR","")</f>
        <v/>
      </c>
      <c r="B337" s="24" t="str">
        <f aca="false">IF($A337="","",Payroll!U337)</f>
        <v/>
      </c>
      <c r="C337" s="24" t="str">
        <f aca="false">IF($A337="","",Payroll!S337)</f>
        <v/>
      </c>
      <c r="D337" s="24" t="str">
        <f aca="false">IF($A337="","",SUBSTITUTE(Payroll!T337," ",""))</f>
        <v/>
      </c>
      <c r="E337" s="24" t="str">
        <f aca="false">IF($A337="","",TEXT(Settings!$B$8,"yyyy-mm-dd"))</f>
        <v/>
      </c>
      <c r="F337" s="24" t="str">
        <f aca="false">IF($A337="","",TEXT(Settings!$B$9,"yyyy-mm-dd"))</f>
        <v/>
      </c>
      <c r="G337" s="24" t="str">
        <f aca="false">IF($A337="","",DAY(Settings!$B$9))</f>
        <v/>
      </c>
      <c r="H337" s="26" t="str">
        <f aca="false">IF($A337="","",ROUND(Payroll!R337-Payroll!L337-Payroll!M337,2))</f>
        <v/>
      </c>
      <c r="I337" s="26" t="str">
        <f aca="false">IF($A337="","",ROUND(Payroll!L337+Payroll!M337,2))</f>
        <v/>
      </c>
      <c r="J337" s="24" t="str">
        <f aca="false">IF($A337="","",0)</f>
        <v/>
      </c>
    </row>
    <row r="338" customFormat="false" ht="15" hidden="false" customHeight="false" outlineLevel="0" collapsed="false">
      <c r="A338" s="24" t="str">
        <f aca="false">IF(AND(Payroll!$A338&lt;&gt;"",N(Payroll!$R338)&gt;0),"EDR","")</f>
        <v/>
      </c>
      <c r="B338" s="24" t="str">
        <f aca="false">IF($A338="","",Payroll!U338)</f>
        <v/>
      </c>
      <c r="C338" s="24" t="str">
        <f aca="false">IF($A338="","",Payroll!S338)</f>
        <v/>
      </c>
      <c r="D338" s="24" t="str">
        <f aca="false">IF($A338="","",SUBSTITUTE(Payroll!T338," ",""))</f>
        <v/>
      </c>
      <c r="E338" s="24" t="str">
        <f aca="false">IF($A338="","",TEXT(Settings!$B$8,"yyyy-mm-dd"))</f>
        <v/>
      </c>
      <c r="F338" s="24" t="str">
        <f aca="false">IF($A338="","",TEXT(Settings!$B$9,"yyyy-mm-dd"))</f>
        <v/>
      </c>
      <c r="G338" s="24" t="str">
        <f aca="false">IF($A338="","",DAY(Settings!$B$9))</f>
        <v/>
      </c>
      <c r="H338" s="26" t="str">
        <f aca="false">IF($A338="","",ROUND(Payroll!R338-Payroll!L338-Payroll!M338,2))</f>
        <v/>
      </c>
      <c r="I338" s="26" t="str">
        <f aca="false">IF($A338="","",ROUND(Payroll!L338+Payroll!M338,2))</f>
        <v/>
      </c>
      <c r="J338" s="24" t="str">
        <f aca="false">IF($A338="","",0)</f>
        <v/>
      </c>
    </row>
    <row r="339" customFormat="false" ht="15" hidden="false" customHeight="false" outlineLevel="0" collapsed="false">
      <c r="A339" s="24" t="str">
        <f aca="false">IF(AND(Payroll!$A339&lt;&gt;"",N(Payroll!$R339)&gt;0),"EDR","")</f>
        <v/>
      </c>
      <c r="B339" s="24" t="str">
        <f aca="false">IF($A339="","",Payroll!U339)</f>
        <v/>
      </c>
      <c r="C339" s="24" t="str">
        <f aca="false">IF($A339="","",Payroll!S339)</f>
        <v/>
      </c>
      <c r="D339" s="24" t="str">
        <f aca="false">IF($A339="","",SUBSTITUTE(Payroll!T339," ",""))</f>
        <v/>
      </c>
      <c r="E339" s="24" t="str">
        <f aca="false">IF($A339="","",TEXT(Settings!$B$8,"yyyy-mm-dd"))</f>
        <v/>
      </c>
      <c r="F339" s="24" t="str">
        <f aca="false">IF($A339="","",TEXT(Settings!$B$9,"yyyy-mm-dd"))</f>
        <v/>
      </c>
      <c r="G339" s="24" t="str">
        <f aca="false">IF($A339="","",DAY(Settings!$B$9))</f>
        <v/>
      </c>
      <c r="H339" s="26" t="str">
        <f aca="false">IF($A339="","",ROUND(Payroll!R339-Payroll!L339-Payroll!M339,2))</f>
        <v/>
      </c>
      <c r="I339" s="26" t="str">
        <f aca="false">IF($A339="","",ROUND(Payroll!L339+Payroll!M339,2))</f>
        <v/>
      </c>
      <c r="J339" s="24" t="str">
        <f aca="false">IF($A339="","",0)</f>
        <v/>
      </c>
    </row>
    <row r="340" customFormat="false" ht="15" hidden="false" customHeight="false" outlineLevel="0" collapsed="false">
      <c r="A340" s="24" t="str">
        <f aca="false">IF(AND(Payroll!$A340&lt;&gt;"",N(Payroll!$R340)&gt;0),"EDR","")</f>
        <v/>
      </c>
      <c r="B340" s="24" t="str">
        <f aca="false">IF($A340="","",Payroll!U340)</f>
        <v/>
      </c>
      <c r="C340" s="24" t="str">
        <f aca="false">IF($A340="","",Payroll!S340)</f>
        <v/>
      </c>
      <c r="D340" s="24" t="str">
        <f aca="false">IF($A340="","",SUBSTITUTE(Payroll!T340," ",""))</f>
        <v/>
      </c>
      <c r="E340" s="24" t="str">
        <f aca="false">IF($A340="","",TEXT(Settings!$B$8,"yyyy-mm-dd"))</f>
        <v/>
      </c>
      <c r="F340" s="24" t="str">
        <f aca="false">IF($A340="","",TEXT(Settings!$B$9,"yyyy-mm-dd"))</f>
        <v/>
      </c>
      <c r="G340" s="24" t="str">
        <f aca="false">IF($A340="","",DAY(Settings!$B$9))</f>
        <v/>
      </c>
      <c r="H340" s="26" t="str">
        <f aca="false">IF($A340="","",ROUND(Payroll!R340-Payroll!L340-Payroll!M340,2))</f>
        <v/>
      </c>
      <c r="I340" s="26" t="str">
        <f aca="false">IF($A340="","",ROUND(Payroll!L340+Payroll!M340,2))</f>
        <v/>
      </c>
      <c r="J340" s="24" t="str">
        <f aca="false">IF($A340="","",0)</f>
        <v/>
      </c>
    </row>
    <row r="341" customFormat="false" ht="15" hidden="false" customHeight="false" outlineLevel="0" collapsed="false">
      <c r="A341" s="24" t="str">
        <f aca="false">IF(AND(Payroll!$A341&lt;&gt;"",N(Payroll!$R341)&gt;0),"EDR","")</f>
        <v/>
      </c>
      <c r="B341" s="24" t="str">
        <f aca="false">IF($A341="","",Payroll!U341)</f>
        <v/>
      </c>
      <c r="C341" s="24" t="str">
        <f aca="false">IF($A341="","",Payroll!S341)</f>
        <v/>
      </c>
      <c r="D341" s="24" t="str">
        <f aca="false">IF($A341="","",SUBSTITUTE(Payroll!T341," ",""))</f>
        <v/>
      </c>
      <c r="E341" s="24" t="str">
        <f aca="false">IF($A341="","",TEXT(Settings!$B$8,"yyyy-mm-dd"))</f>
        <v/>
      </c>
      <c r="F341" s="24" t="str">
        <f aca="false">IF($A341="","",TEXT(Settings!$B$9,"yyyy-mm-dd"))</f>
        <v/>
      </c>
      <c r="G341" s="24" t="str">
        <f aca="false">IF($A341="","",DAY(Settings!$B$9))</f>
        <v/>
      </c>
      <c r="H341" s="26" t="str">
        <f aca="false">IF($A341="","",ROUND(Payroll!R341-Payroll!L341-Payroll!M341,2))</f>
        <v/>
      </c>
      <c r="I341" s="26" t="str">
        <f aca="false">IF($A341="","",ROUND(Payroll!L341+Payroll!M341,2))</f>
        <v/>
      </c>
      <c r="J341" s="24" t="str">
        <f aca="false">IF($A341="","",0)</f>
        <v/>
      </c>
    </row>
    <row r="342" customFormat="false" ht="15" hidden="false" customHeight="false" outlineLevel="0" collapsed="false">
      <c r="A342" s="24" t="str">
        <f aca="false">IF(AND(Payroll!$A342&lt;&gt;"",N(Payroll!$R342)&gt;0),"EDR","")</f>
        <v/>
      </c>
      <c r="B342" s="24" t="str">
        <f aca="false">IF($A342="","",Payroll!U342)</f>
        <v/>
      </c>
      <c r="C342" s="24" t="str">
        <f aca="false">IF($A342="","",Payroll!S342)</f>
        <v/>
      </c>
      <c r="D342" s="24" t="str">
        <f aca="false">IF($A342="","",SUBSTITUTE(Payroll!T342," ",""))</f>
        <v/>
      </c>
      <c r="E342" s="24" t="str">
        <f aca="false">IF($A342="","",TEXT(Settings!$B$8,"yyyy-mm-dd"))</f>
        <v/>
      </c>
      <c r="F342" s="24" t="str">
        <f aca="false">IF($A342="","",TEXT(Settings!$B$9,"yyyy-mm-dd"))</f>
        <v/>
      </c>
      <c r="G342" s="24" t="str">
        <f aca="false">IF($A342="","",DAY(Settings!$B$9))</f>
        <v/>
      </c>
      <c r="H342" s="26" t="str">
        <f aca="false">IF($A342="","",ROUND(Payroll!R342-Payroll!L342-Payroll!M342,2))</f>
        <v/>
      </c>
      <c r="I342" s="26" t="str">
        <f aca="false">IF($A342="","",ROUND(Payroll!L342+Payroll!M342,2))</f>
        <v/>
      </c>
      <c r="J342" s="24" t="str">
        <f aca="false">IF($A342="","",0)</f>
        <v/>
      </c>
    </row>
    <row r="343" customFormat="false" ht="15" hidden="false" customHeight="false" outlineLevel="0" collapsed="false">
      <c r="A343" s="24" t="str">
        <f aca="false">IF(AND(Payroll!$A343&lt;&gt;"",N(Payroll!$R343)&gt;0),"EDR","")</f>
        <v/>
      </c>
      <c r="B343" s="24" t="str">
        <f aca="false">IF($A343="","",Payroll!U343)</f>
        <v/>
      </c>
      <c r="C343" s="24" t="str">
        <f aca="false">IF($A343="","",Payroll!S343)</f>
        <v/>
      </c>
      <c r="D343" s="24" t="str">
        <f aca="false">IF($A343="","",SUBSTITUTE(Payroll!T343," ",""))</f>
        <v/>
      </c>
      <c r="E343" s="24" t="str">
        <f aca="false">IF($A343="","",TEXT(Settings!$B$8,"yyyy-mm-dd"))</f>
        <v/>
      </c>
      <c r="F343" s="24" t="str">
        <f aca="false">IF($A343="","",TEXT(Settings!$B$9,"yyyy-mm-dd"))</f>
        <v/>
      </c>
      <c r="G343" s="24" t="str">
        <f aca="false">IF($A343="","",DAY(Settings!$B$9))</f>
        <v/>
      </c>
      <c r="H343" s="26" t="str">
        <f aca="false">IF($A343="","",ROUND(Payroll!R343-Payroll!L343-Payroll!M343,2))</f>
        <v/>
      </c>
      <c r="I343" s="26" t="str">
        <f aca="false">IF($A343="","",ROUND(Payroll!L343+Payroll!M343,2))</f>
        <v/>
      </c>
      <c r="J343" s="24" t="str">
        <f aca="false">IF($A343="","",0)</f>
        <v/>
      </c>
    </row>
    <row r="344" customFormat="false" ht="15" hidden="false" customHeight="false" outlineLevel="0" collapsed="false">
      <c r="A344" s="24" t="str">
        <f aca="false">IF(AND(Payroll!$A344&lt;&gt;"",N(Payroll!$R344)&gt;0),"EDR","")</f>
        <v/>
      </c>
      <c r="B344" s="24" t="str">
        <f aca="false">IF($A344="","",Payroll!U344)</f>
        <v/>
      </c>
      <c r="C344" s="24" t="str">
        <f aca="false">IF($A344="","",Payroll!S344)</f>
        <v/>
      </c>
      <c r="D344" s="24" t="str">
        <f aca="false">IF($A344="","",SUBSTITUTE(Payroll!T344," ",""))</f>
        <v/>
      </c>
      <c r="E344" s="24" t="str">
        <f aca="false">IF($A344="","",TEXT(Settings!$B$8,"yyyy-mm-dd"))</f>
        <v/>
      </c>
      <c r="F344" s="24" t="str">
        <f aca="false">IF($A344="","",TEXT(Settings!$B$9,"yyyy-mm-dd"))</f>
        <v/>
      </c>
      <c r="G344" s="24" t="str">
        <f aca="false">IF($A344="","",DAY(Settings!$B$9))</f>
        <v/>
      </c>
      <c r="H344" s="26" t="str">
        <f aca="false">IF($A344="","",ROUND(Payroll!R344-Payroll!L344-Payroll!M344,2))</f>
        <v/>
      </c>
      <c r="I344" s="26" t="str">
        <f aca="false">IF($A344="","",ROUND(Payroll!L344+Payroll!M344,2))</f>
        <v/>
      </c>
      <c r="J344" s="24" t="str">
        <f aca="false">IF($A344="","",0)</f>
        <v/>
      </c>
    </row>
    <row r="345" customFormat="false" ht="15" hidden="false" customHeight="false" outlineLevel="0" collapsed="false">
      <c r="A345" s="24" t="str">
        <f aca="false">IF(AND(Payroll!$A345&lt;&gt;"",N(Payroll!$R345)&gt;0),"EDR","")</f>
        <v/>
      </c>
      <c r="B345" s="24" t="str">
        <f aca="false">IF($A345="","",Payroll!U345)</f>
        <v/>
      </c>
      <c r="C345" s="24" t="str">
        <f aca="false">IF($A345="","",Payroll!S345)</f>
        <v/>
      </c>
      <c r="D345" s="24" t="str">
        <f aca="false">IF($A345="","",SUBSTITUTE(Payroll!T345," ",""))</f>
        <v/>
      </c>
      <c r="E345" s="24" t="str">
        <f aca="false">IF($A345="","",TEXT(Settings!$B$8,"yyyy-mm-dd"))</f>
        <v/>
      </c>
      <c r="F345" s="24" t="str">
        <f aca="false">IF($A345="","",TEXT(Settings!$B$9,"yyyy-mm-dd"))</f>
        <v/>
      </c>
      <c r="G345" s="24" t="str">
        <f aca="false">IF($A345="","",DAY(Settings!$B$9))</f>
        <v/>
      </c>
      <c r="H345" s="26" t="str">
        <f aca="false">IF($A345="","",ROUND(Payroll!R345-Payroll!L345-Payroll!M345,2))</f>
        <v/>
      </c>
      <c r="I345" s="26" t="str">
        <f aca="false">IF($A345="","",ROUND(Payroll!L345+Payroll!M345,2))</f>
        <v/>
      </c>
      <c r="J345" s="24" t="str">
        <f aca="false">IF($A345="","",0)</f>
        <v/>
      </c>
    </row>
    <row r="346" customFormat="false" ht="15" hidden="false" customHeight="false" outlineLevel="0" collapsed="false">
      <c r="A346" s="24" t="str">
        <f aca="false">IF(AND(Payroll!$A346&lt;&gt;"",N(Payroll!$R346)&gt;0),"EDR","")</f>
        <v/>
      </c>
      <c r="B346" s="24" t="str">
        <f aca="false">IF($A346="","",Payroll!U346)</f>
        <v/>
      </c>
      <c r="C346" s="24" t="str">
        <f aca="false">IF($A346="","",Payroll!S346)</f>
        <v/>
      </c>
      <c r="D346" s="24" t="str">
        <f aca="false">IF($A346="","",SUBSTITUTE(Payroll!T346," ",""))</f>
        <v/>
      </c>
      <c r="E346" s="24" t="str">
        <f aca="false">IF($A346="","",TEXT(Settings!$B$8,"yyyy-mm-dd"))</f>
        <v/>
      </c>
      <c r="F346" s="24" t="str">
        <f aca="false">IF($A346="","",TEXT(Settings!$B$9,"yyyy-mm-dd"))</f>
        <v/>
      </c>
      <c r="G346" s="24" t="str">
        <f aca="false">IF($A346="","",DAY(Settings!$B$9))</f>
        <v/>
      </c>
      <c r="H346" s="26" t="str">
        <f aca="false">IF($A346="","",ROUND(Payroll!R346-Payroll!L346-Payroll!M346,2))</f>
        <v/>
      </c>
      <c r="I346" s="26" t="str">
        <f aca="false">IF($A346="","",ROUND(Payroll!L346+Payroll!M346,2))</f>
        <v/>
      </c>
      <c r="J346" s="24" t="str">
        <f aca="false">IF($A346="","",0)</f>
        <v/>
      </c>
    </row>
    <row r="347" customFormat="false" ht="15" hidden="false" customHeight="false" outlineLevel="0" collapsed="false">
      <c r="A347" s="24" t="str">
        <f aca="false">IF(AND(Payroll!$A347&lt;&gt;"",N(Payroll!$R347)&gt;0),"EDR","")</f>
        <v/>
      </c>
      <c r="B347" s="24" t="str">
        <f aca="false">IF($A347="","",Payroll!U347)</f>
        <v/>
      </c>
      <c r="C347" s="24" t="str">
        <f aca="false">IF($A347="","",Payroll!S347)</f>
        <v/>
      </c>
      <c r="D347" s="24" t="str">
        <f aca="false">IF($A347="","",SUBSTITUTE(Payroll!T347," ",""))</f>
        <v/>
      </c>
      <c r="E347" s="24" t="str">
        <f aca="false">IF($A347="","",TEXT(Settings!$B$8,"yyyy-mm-dd"))</f>
        <v/>
      </c>
      <c r="F347" s="24" t="str">
        <f aca="false">IF($A347="","",TEXT(Settings!$B$9,"yyyy-mm-dd"))</f>
        <v/>
      </c>
      <c r="G347" s="24" t="str">
        <f aca="false">IF($A347="","",DAY(Settings!$B$9))</f>
        <v/>
      </c>
      <c r="H347" s="26" t="str">
        <f aca="false">IF($A347="","",ROUND(Payroll!R347-Payroll!L347-Payroll!M347,2))</f>
        <v/>
      </c>
      <c r="I347" s="26" t="str">
        <f aca="false">IF($A347="","",ROUND(Payroll!L347+Payroll!M347,2))</f>
        <v/>
      </c>
      <c r="J347" s="24" t="str">
        <f aca="false">IF($A347="","",0)</f>
        <v/>
      </c>
    </row>
    <row r="348" customFormat="false" ht="15" hidden="false" customHeight="false" outlineLevel="0" collapsed="false">
      <c r="A348" s="24" t="str">
        <f aca="false">IF(AND(Payroll!$A348&lt;&gt;"",N(Payroll!$R348)&gt;0),"EDR","")</f>
        <v/>
      </c>
      <c r="B348" s="24" t="str">
        <f aca="false">IF($A348="","",Payroll!U348)</f>
        <v/>
      </c>
      <c r="C348" s="24" t="str">
        <f aca="false">IF($A348="","",Payroll!S348)</f>
        <v/>
      </c>
      <c r="D348" s="24" t="str">
        <f aca="false">IF($A348="","",SUBSTITUTE(Payroll!T348," ",""))</f>
        <v/>
      </c>
      <c r="E348" s="24" t="str">
        <f aca="false">IF($A348="","",TEXT(Settings!$B$8,"yyyy-mm-dd"))</f>
        <v/>
      </c>
      <c r="F348" s="24" t="str">
        <f aca="false">IF($A348="","",TEXT(Settings!$B$9,"yyyy-mm-dd"))</f>
        <v/>
      </c>
      <c r="G348" s="24" t="str">
        <f aca="false">IF($A348="","",DAY(Settings!$B$9))</f>
        <v/>
      </c>
      <c r="H348" s="26" t="str">
        <f aca="false">IF($A348="","",ROUND(Payroll!R348-Payroll!L348-Payroll!M348,2))</f>
        <v/>
      </c>
      <c r="I348" s="26" t="str">
        <f aca="false">IF($A348="","",ROUND(Payroll!L348+Payroll!M348,2))</f>
        <v/>
      </c>
      <c r="J348" s="24" t="str">
        <f aca="false">IF($A348="","",0)</f>
        <v/>
      </c>
    </row>
    <row r="349" customFormat="false" ht="15" hidden="false" customHeight="false" outlineLevel="0" collapsed="false">
      <c r="A349" s="24" t="str">
        <f aca="false">IF(AND(Payroll!$A349&lt;&gt;"",N(Payroll!$R349)&gt;0),"EDR","")</f>
        <v/>
      </c>
      <c r="B349" s="24" t="str">
        <f aca="false">IF($A349="","",Payroll!U349)</f>
        <v/>
      </c>
      <c r="C349" s="24" t="str">
        <f aca="false">IF($A349="","",Payroll!S349)</f>
        <v/>
      </c>
      <c r="D349" s="24" t="str">
        <f aca="false">IF($A349="","",SUBSTITUTE(Payroll!T349," ",""))</f>
        <v/>
      </c>
      <c r="E349" s="24" t="str">
        <f aca="false">IF($A349="","",TEXT(Settings!$B$8,"yyyy-mm-dd"))</f>
        <v/>
      </c>
      <c r="F349" s="24" t="str">
        <f aca="false">IF($A349="","",TEXT(Settings!$B$9,"yyyy-mm-dd"))</f>
        <v/>
      </c>
      <c r="G349" s="24" t="str">
        <f aca="false">IF($A349="","",DAY(Settings!$B$9))</f>
        <v/>
      </c>
      <c r="H349" s="26" t="str">
        <f aca="false">IF($A349="","",ROUND(Payroll!R349-Payroll!L349-Payroll!M349,2))</f>
        <v/>
      </c>
      <c r="I349" s="26" t="str">
        <f aca="false">IF($A349="","",ROUND(Payroll!L349+Payroll!M349,2))</f>
        <v/>
      </c>
      <c r="J349" s="24" t="str">
        <f aca="false">IF($A349="","",0)</f>
        <v/>
      </c>
    </row>
    <row r="350" customFormat="false" ht="15" hidden="false" customHeight="false" outlineLevel="0" collapsed="false">
      <c r="A350" s="24" t="str">
        <f aca="false">IF(AND(Payroll!$A350&lt;&gt;"",N(Payroll!$R350)&gt;0),"EDR","")</f>
        <v/>
      </c>
      <c r="B350" s="24" t="str">
        <f aca="false">IF($A350="","",Payroll!U350)</f>
        <v/>
      </c>
      <c r="C350" s="24" t="str">
        <f aca="false">IF($A350="","",Payroll!S350)</f>
        <v/>
      </c>
      <c r="D350" s="24" t="str">
        <f aca="false">IF($A350="","",SUBSTITUTE(Payroll!T350," ",""))</f>
        <v/>
      </c>
      <c r="E350" s="24" t="str">
        <f aca="false">IF($A350="","",TEXT(Settings!$B$8,"yyyy-mm-dd"))</f>
        <v/>
      </c>
      <c r="F350" s="24" t="str">
        <f aca="false">IF($A350="","",TEXT(Settings!$B$9,"yyyy-mm-dd"))</f>
        <v/>
      </c>
      <c r="G350" s="24" t="str">
        <f aca="false">IF($A350="","",DAY(Settings!$B$9))</f>
        <v/>
      </c>
      <c r="H350" s="26" t="str">
        <f aca="false">IF($A350="","",ROUND(Payroll!R350-Payroll!L350-Payroll!M350,2))</f>
        <v/>
      </c>
      <c r="I350" s="26" t="str">
        <f aca="false">IF($A350="","",ROUND(Payroll!L350+Payroll!M350,2))</f>
        <v/>
      </c>
      <c r="J350" s="24" t="str">
        <f aca="false">IF($A350="","",0)</f>
        <v/>
      </c>
    </row>
    <row r="351" customFormat="false" ht="15" hidden="false" customHeight="false" outlineLevel="0" collapsed="false">
      <c r="A351" s="24" t="str">
        <f aca="false">IF(AND(Payroll!$A351&lt;&gt;"",N(Payroll!$R351)&gt;0),"EDR","")</f>
        <v/>
      </c>
      <c r="B351" s="24" t="str">
        <f aca="false">IF($A351="","",Payroll!U351)</f>
        <v/>
      </c>
      <c r="C351" s="24" t="str">
        <f aca="false">IF($A351="","",Payroll!S351)</f>
        <v/>
      </c>
      <c r="D351" s="24" t="str">
        <f aca="false">IF($A351="","",SUBSTITUTE(Payroll!T351," ",""))</f>
        <v/>
      </c>
      <c r="E351" s="24" t="str">
        <f aca="false">IF($A351="","",TEXT(Settings!$B$8,"yyyy-mm-dd"))</f>
        <v/>
      </c>
      <c r="F351" s="24" t="str">
        <f aca="false">IF($A351="","",TEXT(Settings!$B$9,"yyyy-mm-dd"))</f>
        <v/>
      </c>
      <c r="G351" s="24" t="str">
        <f aca="false">IF($A351="","",DAY(Settings!$B$9))</f>
        <v/>
      </c>
      <c r="H351" s="26" t="str">
        <f aca="false">IF($A351="","",ROUND(Payroll!R351-Payroll!L351-Payroll!M351,2))</f>
        <v/>
      </c>
      <c r="I351" s="26" t="str">
        <f aca="false">IF($A351="","",ROUND(Payroll!L351+Payroll!M351,2))</f>
        <v/>
      </c>
      <c r="J351" s="24" t="str">
        <f aca="false">IF($A351="","",0)</f>
        <v/>
      </c>
    </row>
    <row r="352" customFormat="false" ht="15" hidden="false" customHeight="false" outlineLevel="0" collapsed="false">
      <c r="A352" s="24" t="str">
        <f aca="false">IF(AND(Payroll!$A352&lt;&gt;"",N(Payroll!$R352)&gt;0),"EDR","")</f>
        <v/>
      </c>
      <c r="B352" s="24" t="str">
        <f aca="false">IF($A352="","",Payroll!U352)</f>
        <v/>
      </c>
      <c r="C352" s="24" t="str">
        <f aca="false">IF($A352="","",Payroll!S352)</f>
        <v/>
      </c>
      <c r="D352" s="24" t="str">
        <f aca="false">IF($A352="","",SUBSTITUTE(Payroll!T352," ",""))</f>
        <v/>
      </c>
      <c r="E352" s="24" t="str">
        <f aca="false">IF($A352="","",TEXT(Settings!$B$8,"yyyy-mm-dd"))</f>
        <v/>
      </c>
      <c r="F352" s="24" t="str">
        <f aca="false">IF($A352="","",TEXT(Settings!$B$9,"yyyy-mm-dd"))</f>
        <v/>
      </c>
      <c r="G352" s="24" t="str">
        <f aca="false">IF($A352="","",DAY(Settings!$B$9))</f>
        <v/>
      </c>
      <c r="H352" s="26" t="str">
        <f aca="false">IF($A352="","",ROUND(Payroll!R352-Payroll!L352-Payroll!M352,2))</f>
        <v/>
      </c>
      <c r="I352" s="26" t="str">
        <f aca="false">IF($A352="","",ROUND(Payroll!L352+Payroll!M352,2))</f>
        <v/>
      </c>
      <c r="J352" s="24" t="str">
        <f aca="false">IF($A352="","",0)</f>
        <v/>
      </c>
    </row>
    <row r="353" customFormat="false" ht="15" hidden="false" customHeight="false" outlineLevel="0" collapsed="false">
      <c r="A353" s="24" t="str">
        <f aca="false">IF(AND(Payroll!$A353&lt;&gt;"",N(Payroll!$R353)&gt;0),"EDR","")</f>
        <v/>
      </c>
      <c r="B353" s="24" t="str">
        <f aca="false">IF($A353="","",Payroll!U353)</f>
        <v/>
      </c>
      <c r="C353" s="24" t="str">
        <f aca="false">IF($A353="","",Payroll!S353)</f>
        <v/>
      </c>
      <c r="D353" s="24" t="str">
        <f aca="false">IF($A353="","",SUBSTITUTE(Payroll!T353," ",""))</f>
        <v/>
      </c>
      <c r="E353" s="24" t="str">
        <f aca="false">IF($A353="","",TEXT(Settings!$B$8,"yyyy-mm-dd"))</f>
        <v/>
      </c>
      <c r="F353" s="24" t="str">
        <f aca="false">IF($A353="","",TEXT(Settings!$B$9,"yyyy-mm-dd"))</f>
        <v/>
      </c>
      <c r="G353" s="24" t="str">
        <f aca="false">IF($A353="","",DAY(Settings!$B$9))</f>
        <v/>
      </c>
      <c r="H353" s="26" t="str">
        <f aca="false">IF($A353="","",ROUND(Payroll!R353-Payroll!L353-Payroll!M353,2))</f>
        <v/>
      </c>
      <c r="I353" s="26" t="str">
        <f aca="false">IF($A353="","",ROUND(Payroll!L353+Payroll!M353,2))</f>
        <v/>
      </c>
      <c r="J353" s="24" t="str">
        <f aca="false">IF($A353="","",0)</f>
        <v/>
      </c>
    </row>
    <row r="354" customFormat="false" ht="15" hidden="false" customHeight="false" outlineLevel="0" collapsed="false">
      <c r="A354" s="24" t="str">
        <f aca="false">IF(AND(Payroll!$A354&lt;&gt;"",N(Payroll!$R354)&gt;0),"EDR","")</f>
        <v/>
      </c>
      <c r="B354" s="24" t="str">
        <f aca="false">IF($A354="","",Payroll!U354)</f>
        <v/>
      </c>
      <c r="C354" s="24" t="str">
        <f aca="false">IF($A354="","",Payroll!S354)</f>
        <v/>
      </c>
      <c r="D354" s="24" t="str">
        <f aca="false">IF($A354="","",SUBSTITUTE(Payroll!T354," ",""))</f>
        <v/>
      </c>
      <c r="E354" s="24" t="str">
        <f aca="false">IF($A354="","",TEXT(Settings!$B$8,"yyyy-mm-dd"))</f>
        <v/>
      </c>
      <c r="F354" s="24" t="str">
        <f aca="false">IF($A354="","",TEXT(Settings!$B$9,"yyyy-mm-dd"))</f>
        <v/>
      </c>
      <c r="G354" s="24" t="str">
        <f aca="false">IF($A354="","",DAY(Settings!$B$9))</f>
        <v/>
      </c>
      <c r="H354" s="26" t="str">
        <f aca="false">IF($A354="","",ROUND(Payroll!R354-Payroll!L354-Payroll!M354,2))</f>
        <v/>
      </c>
      <c r="I354" s="26" t="str">
        <f aca="false">IF($A354="","",ROUND(Payroll!L354+Payroll!M354,2))</f>
        <v/>
      </c>
      <c r="J354" s="24" t="str">
        <f aca="false">IF($A354="","",0)</f>
        <v/>
      </c>
    </row>
    <row r="355" customFormat="false" ht="15" hidden="false" customHeight="false" outlineLevel="0" collapsed="false">
      <c r="A355" s="24" t="str">
        <f aca="false">IF(AND(Payroll!$A355&lt;&gt;"",N(Payroll!$R355)&gt;0),"EDR","")</f>
        <v/>
      </c>
      <c r="B355" s="24" t="str">
        <f aca="false">IF($A355="","",Payroll!U355)</f>
        <v/>
      </c>
      <c r="C355" s="24" t="str">
        <f aca="false">IF($A355="","",Payroll!S355)</f>
        <v/>
      </c>
      <c r="D355" s="24" t="str">
        <f aca="false">IF($A355="","",SUBSTITUTE(Payroll!T355," ",""))</f>
        <v/>
      </c>
      <c r="E355" s="24" t="str">
        <f aca="false">IF($A355="","",TEXT(Settings!$B$8,"yyyy-mm-dd"))</f>
        <v/>
      </c>
      <c r="F355" s="24" t="str">
        <f aca="false">IF($A355="","",TEXT(Settings!$B$9,"yyyy-mm-dd"))</f>
        <v/>
      </c>
      <c r="G355" s="24" t="str">
        <f aca="false">IF($A355="","",DAY(Settings!$B$9))</f>
        <v/>
      </c>
      <c r="H355" s="26" t="str">
        <f aca="false">IF($A355="","",ROUND(Payroll!R355-Payroll!L355-Payroll!M355,2))</f>
        <v/>
      </c>
      <c r="I355" s="26" t="str">
        <f aca="false">IF($A355="","",ROUND(Payroll!L355+Payroll!M355,2))</f>
        <v/>
      </c>
      <c r="J355" s="24" t="str">
        <f aca="false">IF($A355="","",0)</f>
        <v/>
      </c>
    </row>
    <row r="356" customFormat="false" ht="15" hidden="false" customHeight="false" outlineLevel="0" collapsed="false">
      <c r="A356" s="24" t="str">
        <f aca="false">IF(AND(Payroll!$A356&lt;&gt;"",N(Payroll!$R356)&gt;0),"EDR","")</f>
        <v/>
      </c>
      <c r="B356" s="24" t="str">
        <f aca="false">IF($A356="","",Payroll!U356)</f>
        <v/>
      </c>
      <c r="C356" s="24" t="str">
        <f aca="false">IF($A356="","",Payroll!S356)</f>
        <v/>
      </c>
      <c r="D356" s="24" t="str">
        <f aca="false">IF($A356="","",SUBSTITUTE(Payroll!T356," ",""))</f>
        <v/>
      </c>
      <c r="E356" s="24" t="str">
        <f aca="false">IF($A356="","",TEXT(Settings!$B$8,"yyyy-mm-dd"))</f>
        <v/>
      </c>
      <c r="F356" s="24" t="str">
        <f aca="false">IF($A356="","",TEXT(Settings!$B$9,"yyyy-mm-dd"))</f>
        <v/>
      </c>
      <c r="G356" s="24" t="str">
        <f aca="false">IF($A356="","",DAY(Settings!$B$9))</f>
        <v/>
      </c>
      <c r="H356" s="26" t="str">
        <f aca="false">IF($A356="","",ROUND(Payroll!R356-Payroll!L356-Payroll!M356,2))</f>
        <v/>
      </c>
      <c r="I356" s="26" t="str">
        <f aca="false">IF($A356="","",ROUND(Payroll!L356+Payroll!M356,2))</f>
        <v/>
      </c>
      <c r="J356" s="24" t="str">
        <f aca="false">IF($A356="","",0)</f>
        <v/>
      </c>
    </row>
    <row r="357" customFormat="false" ht="15" hidden="false" customHeight="false" outlineLevel="0" collapsed="false">
      <c r="A357" s="24" t="str">
        <f aca="false">IF(AND(Payroll!$A357&lt;&gt;"",N(Payroll!$R357)&gt;0),"EDR","")</f>
        <v/>
      </c>
      <c r="B357" s="24" t="str">
        <f aca="false">IF($A357="","",Payroll!U357)</f>
        <v/>
      </c>
      <c r="C357" s="24" t="str">
        <f aca="false">IF($A357="","",Payroll!S357)</f>
        <v/>
      </c>
      <c r="D357" s="24" t="str">
        <f aca="false">IF($A357="","",SUBSTITUTE(Payroll!T357," ",""))</f>
        <v/>
      </c>
      <c r="E357" s="24" t="str">
        <f aca="false">IF($A357="","",TEXT(Settings!$B$8,"yyyy-mm-dd"))</f>
        <v/>
      </c>
      <c r="F357" s="24" t="str">
        <f aca="false">IF($A357="","",TEXT(Settings!$B$9,"yyyy-mm-dd"))</f>
        <v/>
      </c>
      <c r="G357" s="24" t="str">
        <f aca="false">IF($A357="","",DAY(Settings!$B$9))</f>
        <v/>
      </c>
      <c r="H357" s="26" t="str">
        <f aca="false">IF($A357="","",ROUND(Payroll!R357-Payroll!L357-Payroll!M357,2))</f>
        <v/>
      </c>
      <c r="I357" s="26" t="str">
        <f aca="false">IF($A357="","",ROUND(Payroll!L357+Payroll!M357,2))</f>
        <v/>
      </c>
      <c r="J357" s="24" t="str">
        <f aca="false">IF($A357="","",0)</f>
        <v/>
      </c>
    </row>
    <row r="358" customFormat="false" ht="15" hidden="false" customHeight="false" outlineLevel="0" collapsed="false">
      <c r="A358" s="24" t="str">
        <f aca="false">IF(AND(Payroll!$A358&lt;&gt;"",N(Payroll!$R358)&gt;0),"EDR","")</f>
        <v/>
      </c>
      <c r="B358" s="24" t="str">
        <f aca="false">IF($A358="","",Payroll!U358)</f>
        <v/>
      </c>
      <c r="C358" s="24" t="str">
        <f aca="false">IF($A358="","",Payroll!S358)</f>
        <v/>
      </c>
      <c r="D358" s="24" t="str">
        <f aca="false">IF($A358="","",SUBSTITUTE(Payroll!T358," ",""))</f>
        <v/>
      </c>
      <c r="E358" s="24" t="str">
        <f aca="false">IF($A358="","",TEXT(Settings!$B$8,"yyyy-mm-dd"))</f>
        <v/>
      </c>
      <c r="F358" s="24" t="str">
        <f aca="false">IF($A358="","",TEXT(Settings!$B$9,"yyyy-mm-dd"))</f>
        <v/>
      </c>
      <c r="G358" s="24" t="str">
        <f aca="false">IF($A358="","",DAY(Settings!$B$9))</f>
        <v/>
      </c>
      <c r="H358" s="26" t="str">
        <f aca="false">IF($A358="","",ROUND(Payroll!R358-Payroll!L358-Payroll!M358,2))</f>
        <v/>
      </c>
      <c r="I358" s="26" t="str">
        <f aca="false">IF($A358="","",ROUND(Payroll!L358+Payroll!M358,2))</f>
        <v/>
      </c>
      <c r="J358" s="24" t="str">
        <f aca="false">IF($A358="","",0)</f>
        <v/>
      </c>
    </row>
    <row r="359" customFormat="false" ht="15" hidden="false" customHeight="false" outlineLevel="0" collapsed="false">
      <c r="A359" s="24" t="str">
        <f aca="false">IF(AND(Payroll!$A359&lt;&gt;"",N(Payroll!$R359)&gt;0),"EDR","")</f>
        <v/>
      </c>
      <c r="B359" s="24" t="str">
        <f aca="false">IF($A359="","",Payroll!U359)</f>
        <v/>
      </c>
      <c r="C359" s="24" t="str">
        <f aca="false">IF($A359="","",Payroll!S359)</f>
        <v/>
      </c>
      <c r="D359" s="24" t="str">
        <f aca="false">IF($A359="","",SUBSTITUTE(Payroll!T359," ",""))</f>
        <v/>
      </c>
      <c r="E359" s="24" t="str">
        <f aca="false">IF($A359="","",TEXT(Settings!$B$8,"yyyy-mm-dd"))</f>
        <v/>
      </c>
      <c r="F359" s="24" t="str">
        <f aca="false">IF($A359="","",TEXT(Settings!$B$9,"yyyy-mm-dd"))</f>
        <v/>
      </c>
      <c r="G359" s="24" t="str">
        <f aca="false">IF($A359="","",DAY(Settings!$B$9))</f>
        <v/>
      </c>
      <c r="H359" s="26" t="str">
        <f aca="false">IF($A359="","",ROUND(Payroll!R359-Payroll!L359-Payroll!M359,2))</f>
        <v/>
      </c>
      <c r="I359" s="26" t="str">
        <f aca="false">IF($A359="","",ROUND(Payroll!L359+Payroll!M359,2))</f>
        <v/>
      </c>
      <c r="J359" s="24" t="str">
        <f aca="false">IF($A359="","",0)</f>
        <v/>
      </c>
    </row>
    <row r="360" customFormat="false" ht="15" hidden="false" customHeight="false" outlineLevel="0" collapsed="false">
      <c r="A360" s="24" t="str">
        <f aca="false">IF(AND(Payroll!$A360&lt;&gt;"",N(Payroll!$R360)&gt;0),"EDR","")</f>
        <v/>
      </c>
      <c r="B360" s="24" t="str">
        <f aca="false">IF($A360="","",Payroll!U360)</f>
        <v/>
      </c>
      <c r="C360" s="24" t="str">
        <f aca="false">IF($A360="","",Payroll!S360)</f>
        <v/>
      </c>
      <c r="D360" s="24" t="str">
        <f aca="false">IF($A360="","",SUBSTITUTE(Payroll!T360," ",""))</f>
        <v/>
      </c>
      <c r="E360" s="24" t="str">
        <f aca="false">IF($A360="","",TEXT(Settings!$B$8,"yyyy-mm-dd"))</f>
        <v/>
      </c>
      <c r="F360" s="24" t="str">
        <f aca="false">IF($A360="","",TEXT(Settings!$B$9,"yyyy-mm-dd"))</f>
        <v/>
      </c>
      <c r="G360" s="24" t="str">
        <f aca="false">IF($A360="","",DAY(Settings!$B$9))</f>
        <v/>
      </c>
      <c r="H360" s="26" t="str">
        <f aca="false">IF($A360="","",ROUND(Payroll!R360-Payroll!L360-Payroll!M360,2))</f>
        <v/>
      </c>
      <c r="I360" s="26" t="str">
        <f aca="false">IF($A360="","",ROUND(Payroll!L360+Payroll!M360,2))</f>
        <v/>
      </c>
      <c r="J360" s="24" t="str">
        <f aca="false">IF($A360="","",0)</f>
        <v/>
      </c>
    </row>
    <row r="361" customFormat="false" ht="15" hidden="false" customHeight="false" outlineLevel="0" collapsed="false">
      <c r="A361" s="24" t="str">
        <f aca="false">IF(AND(Payroll!$A361&lt;&gt;"",N(Payroll!$R361)&gt;0),"EDR","")</f>
        <v/>
      </c>
      <c r="B361" s="24" t="str">
        <f aca="false">IF($A361="","",Payroll!U361)</f>
        <v/>
      </c>
      <c r="C361" s="24" t="str">
        <f aca="false">IF($A361="","",Payroll!S361)</f>
        <v/>
      </c>
      <c r="D361" s="24" t="str">
        <f aca="false">IF($A361="","",SUBSTITUTE(Payroll!T361," ",""))</f>
        <v/>
      </c>
      <c r="E361" s="24" t="str">
        <f aca="false">IF($A361="","",TEXT(Settings!$B$8,"yyyy-mm-dd"))</f>
        <v/>
      </c>
      <c r="F361" s="24" t="str">
        <f aca="false">IF($A361="","",TEXT(Settings!$B$9,"yyyy-mm-dd"))</f>
        <v/>
      </c>
      <c r="G361" s="24" t="str">
        <f aca="false">IF($A361="","",DAY(Settings!$B$9))</f>
        <v/>
      </c>
      <c r="H361" s="26" t="str">
        <f aca="false">IF($A361="","",ROUND(Payroll!R361-Payroll!L361-Payroll!M361,2))</f>
        <v/>
      </c>
      <c r="I361" s="26" t="str">
        <f aca="false">IF($A361="","",ROUND(Payroll!L361+Payroll!M361,2))</f>
        <v/>
      </c>
      <c r="J361" s="24" t="str">
        <f aca="false">IF($A361="","",0)</f>
        <v/>
      </c>
    </row>
    <row r="362" customFormat="false" ht="15" hidden="false" customHeight="false" outlineLevel="0" collapsed="false">
      <c r="A362" s="24" t="str">
        <f aca="false">IF(AND(Payroll!$A362&lt;&gt;"",N(Payroll!$R362)&gt;0),"EDR","")</f>
        <v/>
      </c>
      <c r="B362" s="24" t="str">
        <f aca="false">IF($A362="","",Payroll!U362)</f>
        <v/>
      </c>
      <c r="C362" s="24" t="str">
        <f aca="false">IF($A362="","",Payroll!S362)</f>
        <v/>
      </c>
      <c r="D362" s="24" t="str">
        <f aca="false">IF($A362="","",SUBSTITUTE(Payroll!T362," ",""))</f>
        <v/>
      </c>
      <c r="E362" s="24" t="str">
        <f aca="false">IF($A362="","",TEXT(Settings!$B$8,"yyyy-mm-dd"))</f>
        <v/>
      </c>
      <c r="F362" s="24" t="str">
        <f aca="false">IF($A362="","",TEXT(Settings!$B$9,"yyyy-mm-dd"))</f>
        <v/>
      </c>
      <c r="G362" s="24" t="str">
        <f aca="false">IF($A362="","",DAY(Settings!$B$9))</f>
        <v/>
      </c>
      <c r="H362" s="26" t="str">
        <f aca="false">IF($A362="","",ROUND(Payroll!R362-Payroll!L362-Payroll!M362,2))</f>
        <v/>
      </c>
      <c r="I362" s="26" t="str">
        <f aca="false">IF($A362="","",ROUND(Payroll!L362+Payroll!M362,2))</f>
        <v/>
      </c>
      <c r="J362" s="24" t="str">
        <f aca="false">IF($A362="","",0)</f>
        <v/>
      </c>
    </row>
    <row r="363" customFormat="false" ht="15" hidden="false" customHeight="false" outlineLevel="0" collapsed="false">
      <c r="A363" s="24" t="str">
        <f aca="false">IF(AND(Payroll!$A363&lt;&gt;"",N(Payroll!$R363)&gt;0),"EDR","")</f>
        <v/>
      </c>
      <c r="B363" s="24" t="str">
        <f aca="false">IF($A363="","",Payroll!U363)</f>
        <v/>
      </c>
      <c r="C363" s="24" t="str">
        <f aca="false">IF($A363="","",Payroll!S363)</f>
        <v/>
      </c>
      <c r="D363" s="24" t="str">
        <f aca="false">IF($A363="","",SUBSTITUTE(Payroll!T363," ",""))</f>
        <v/>
      </c>
      <c r="E363" s="24" t="str">
        <f aca="false">IF($A363="","",TEXT(Settings!$B$8,"yyyy-mm-dd"))</f>
        <v/>
      </c>
      <c r="F363" s="24" t="str">
        <f aca="false">IF($A363="","",TEXT(Settings!$B$9,"yyyy-mm-dd"))</f>
        <v/>
      </c>
      <c r="G363" s="24" t="str">
        <f aca="false">IF($A363="","",DAY(Settings!$B$9))</f>
        <v/>
      </c>
      <c r="H363" s="26" t="str">
        <f aca="false">IF($A363="","",ROUND(Payroll!R363-Payroll!L363-Payroll!M363,2))</f>
        <v/>
      </c>
      <c r="I363" s="26" t="str">
        <f aca="false">IF($A363="","",ROUND(Payroll!L363+Payroll!M363,2))</f>
        <v/>
      </c>
      <c r="J363" s="24" t="str">
        <f aca="false">IF($A363="","",0)</f>
        <v/>
      </c>
    </row>
    <row r="364" customFormat="false" ht="15" hidden="false" customHeight="false" outlineLevel="0" collapsed="false">
      <c r="A364" s="24" t="str">
        <f aca="false">IF(AND(Payroll!$A364&lt;&gt;"",N(Payroll!$R364)&gt;0),"EDR","")</f>
        <v/>
      </c>
      <c r="B364" s="24" t="str">
        <f aca="false">IF($A364="","",Payroll!U364)</f>
        <v/>
      </c>
      <c r="C364" s="24" t="str">
        <f aca="false">IF($A364="","",Payroll!S364)</f>
        <v/>
      </c>
      <c r="D364" s="24" t="str">
        <f aca="false">IF($A364="","",SUBSTITUTE(Payroll!T364," ",""))</f>
        <v/>
      </c>
      <c r="E364" s="24" t="str">
        <f aca="false">IF($A364="","",TEXT(Settings!$B$8,"yyyy-mm-dd"))</f>
        <v/>
      </c>
      <c r="F364" s="24" t="str">
        <f aca="false">IF($A364="","",TEXT(Settings!$B$9,"yyyy-mm-dd"))</f>
        <v/>
      </c>
      <c r="G364" s="24" t="str">
        <f aca="false">IF($A364="","",DAY(Settings!$B$9))</f>
        <v/>
      </c>
      <c r="H364" s="26" t="str">
        <f aca="false">IF($A364="","",ROUND(Payroll!R364-Payroll!L364-Payroll!M364,2))</f>
        <v/>
      </c>
      <c r="I364" s="26" t="str">
        <f aca="false">IF($A364="","",ROUND(Payroll!L364+Payroll!M364,2))</f>
        <v/>
      </c>
      <c r="J364" s="24" t="str">
        <f aca="false">IF($A364="","",0)</f>
        <v/>
      </c>
    </row>
    <row r="365" customFormat="false" ht="15" hidden="false" customHeight="false" outlineLevel="0" collapsed="false">
      <c r="A365" s="24" t="str">
        <f aca="false">IF(AND(Payroll!$A365&lt;&gt;"",N(Payroll!$R365)&gt;0),"EDR","")</f>
        <v/>
      </c>
      <c r="B365" s="24" t="str">
        <f aca="false">IF($A365="","",Payroll!U365)</f>
        <v/>
      </c>
      <c r="C365" s="24" t="str">
        <f aca="false">IF($A365="","",Payroll!S365)</f>
        <v/>
      </c>
      <c r="D365" s="24" t="str">
        <f aca="false">IF($A365="","",SUBSTITUTE(Payroll!T365," ",""))</f>
        <v/>
      </c>
      <c r="E365" s="24" t="str">
        <f aca="false">IF($A365="","",TEXT(Settings!$B$8,"yyyy-mm-dd"))</f>
        <v/>
      </c>
      <c r="F365" s="24" t="str">
        <f aca="false">IF($A365="","",TEXT(Settings!$B$9,"yyyy-mm-dd"))</f>
        <v/>
      </c>
      <c r="G365" s="24" t="str">
        <f aca="false">IF($A365="","",DAY(Settings!$B$9))</f>
        <v/>
      </c>
      <c r="H365" s="26" t="str">
        <f aca="false">IF($A365="","",ROUND(Payroll!R365-Payroll!L365-Payroll!M365,2))</f>
        <v/>
      </c>
      <c r="I365" s="26" t="str">
        <f aca="false">IF($A365="","",ROUND(Payroll!L365+Payroll!M365,2))</f>
        <v/>
      </c>
      <c r="J365" s="24" t="str">
        <f aca="false">IF($A365="","",0)</f>
        <v/>
      </c>
    </row>
    <row r="366" customFormat="false" ht="15" hidden="false" customHeight="false" outlineLevel="0" collapsed="false">
      <c r="A366" s="24" t="str">
        <f aca="false">IF(AND(Payroll!$A366&lt;&gt;"",N(Payroll!$R366)&gt;0),"EDR","")</f>
        <v/>
      </c>
      <c r="B366" s="24" t="str">
        <f aca="false">IF($A366="","",Payroll!U366)</f>
        <v/>
      </c>
      <c r="C366" s="24" t="str">
        <f aca="false">IF($A366="","",Payroll!S366)</f>
        <v/>
      </c>
      <c r="D366" s="24" t="str">
        <f aca="false">IF($A366="","",SUBSTITUTE(Payroll!T366," ",""))</f>
        <v/>
      </c>
      <c r="E366" s="24" t="str">
        <f aca="false">IF($A366="","",TEXT(Settings!$B$8,"yyyy-mm-dd"))</f>
        <v/>
      </c>
      <c r="F366" s="24" t="str">
        <f aca="false">IF($A366="","",TEXT(Settings!$B$9,"yyyy-mm-dd"))</f>
        <v/>
      </c>
      <c r="G366" s="24" t="str">
        <f aca="false">IF($A366="","",DAY(Settings!$B$9))</f>
        <v/>
      </c>
      <c r="H366" s="26" t="str">
        <f aca="false">IF($A366="","",ROUND(Payroll!R366-Payroll!L366-Payroll!M366,2))</f>
        <v/>
      </c>
      <c r="I366" s="26" t="str">
        <f aca="false">IF($A366="","",ROUND(Payroll!L366+Payroll!M366,2))</f>
        <v/>
      </c>
      <c r="J366" s="24" t="str">
        <f aca="false">IF($A366="","",0)</f>
        <v/>
      </c>
    </row>
    <row r="367" customFormat="false" ht="15" hidden="false" customHeight="false" outlineLevel="0" collapsed="false">
      <c r="A367" s="24" t="str">
        <f aca="false">IF(AND(Payroll!$A367&lt;&gt;"",N(Payroll!$R367)&gt;0),"EDR","")</f>
        <v/>
      </c>
      <c r="B367" s="24" t="str">
        <f aca="false">IF($A367="","",Payroll!U367)</f>
        <v/>
      </c>
      <c r="C367" s="24" t="str">
        <f aca="false">IF($A367="","",Payroll!S367)</f>
        <v/>
      </c>
      <c r="D367" s="24" t="str">
        <f aca="false">IF($A367="","",SUBSTITUTE(Payroll!T367," ",""))</f>
        <v/>
      </c>
      <c r="E367" s="24" t="str">
        <f aca="false">IF($A367="","",TEXT(Settings!$B$8,"yyyy-mm-dd"))</f>
        <v/>
      </c>
      <c r="F367" s="24" t="str">
        <f aca="false">IF($A367="","",TEXT(Settings!$B$9,"yyyy-mm-dd"))</f>
        <v/>
      </c>
      <c r="G367" s="24" t="str">
        <f aca="false">IF($A367="","",DAY(Settings!$B$9))</f>
        <v/>
      </c>
      <c r="H367" s="26" t="str">
        <f aca="false">IF($A367="","",ROUND(Payroll!R367-Payroll!L367-Payroll!M367,2))</f>
        <v/>
      </c>
      <c r="I367" s="26" t="str">
        <f aca="false">IF($A367="","",ROUND(Payroll!L367+Payroll!M367,2))</f>
        <v/>
      </c>
      <c r="J367" s="24" t="str">
        <f aca="false">IF($A367="","",0)</f>
        <v/>
      </c>
    </row>
    <row r="368" customFormat="false" ht="15" hidden="false" customHeight="false" outlineLevel="0" collapsed="false">
      <c r="A368" s="24" t="str">
        <f aca="false">IF(AND(Payroll!$A368&lt;&gt;"",N(Payroll!$R368)&gt;0),"EDR","")</f>
        <v/>
      </c>
      <c r="B368" s="24" t="str">
        <f aca="false">IF($A368="","",Payroll!U368)</f>
        <v/>
      </c>
      <c r="C368" s="24" t="str">
        <f aca="false">IF($A368="","",Payroll!S368)</f>
        <v/>
      </c>
      <c r="D368" s="24" t="str">
        <f aca="false">IF($A368="","",SUBSTITUTE(Payroll!T368," ",""))</f>
        <v/>
      </c>
      <c r="E368" s="24" t="str">
        <f aca="false">IF($A368="","",TEXT(Settings!$B$8,"yyyy-mm-dd"))</f>
        <v/>
      </c>
      <c r="F368" s="24" t="str">
        <f aca="false">IF($A368="","",TEXT(Settings!$B$9,"yyyy-mm-dd"))</f>
        <v/>
      </c>
      <c r="G368" s="24" t="str">
        <f aca="false">IF($A368="","",DAY(Settings!$B$9))</f>
        <v/>
      </c>
      <c r="H368" s="26" t="str">
        <f aca="false">IF($A368="","",ROUND(Payroll!R368-Payroll!L368-Payroll!M368,2))</f>
        <v/>
      </c>
      <c r="I368" s="26" t="str">
        <f aca="false">IF($A368="","",ROUND(Payroll!L368+Payroll!M368,2))</f>
        <v/>
      </c>
      <c r="J368" s="24" t="str">
        <f aca="false">IF($A368="","",0)</f>
        <v/>
      </c>
    </row>
    <row r="369" customFormat="false" ht="15" hidden="false" customHeight="false" outlineLevel="0" collapsed="false">
      <c r="A369" s="24" t="str">
        <f aca="false">IF(AND(Payroll!$A369&lt;&gt;"",N(Payroll!$R369)&gt;0),"EDR","")</f>
        <v/>
      </c>
      <c r="B369" s="24" t="str">
        <f aca="false">IF($A369="","",Payroll!U369)</f>
        <v/>
      </c>
      <c r="C369" s="24" t="str">
        <f aca="false">IF($A369="","",Payroll!S369)</f>
        <v/>
      </c>
      <c r="D369" s="24" t="str">
        <f aca="false">IF($A369="","",SUBSTITUTE(Payroll!T369," ",""))</f>
        <v/>
      </c>
      <c r="E369" s="24" t="str">
        <f aca="false">IF($A369="","",TEXT(Settings!$B$8,"yyyy-mm-dd"))</f>
        <v/>
      </c>
      <c r="F369" s="24" t="str">
        <f aca="false">IF($A369="","",TEXT(Settings!$B$9,"yyyy-mm-dd"))</f>
        <v/>
      </c>
      <c r="G369" s="24" t="str">
        <f aca="false">IF($A369="","",DAY(Settings!$B$9))</f>
        <v/>
      </c>
      <c r="H369" s="26" t="str">
        <f aca="false">IF($A369="","",ROUND(Payroll!R369-Payroll!L369-Payroll!M369,2))</f>
        <v/>
      </c>
      <c r="I369" s="26" t="str">
        <f aca="false">IF($A369="","",ROUND(Payroll!L369+Payroll!M369,2))</f>
        <v/>
      </c>
      <c r="J369" s="24" t="str">
        <f aca="false">IF($A369="","",0)</f>
        <v/>
      </c>
    </row>
    <row r="370" customFormat="false" ht="15" hidden="false" customHeight="false" outlineLevel="0" collapsed="false">
      <c r="A370" s="24" t="str">
        <f aca="false">IF(AND(Payroll!$A370&lt;&gt;"",N(Payroll!$R370)&gt;0),"EDR","")</f>
        <v/>
      </c>
      <c r="B370" s="24" t="str">
        <f aca="false">IF($A370="","",Payroll!U370)</f>
        <v/>
      </c>
      <c r="C370" s="24" t="str">
        <f aca="false">IF($A370="","",Payroll!S370)</f>
        <v/>
      </c>
      <c r="D370" s="24" t="str">
        <f aca="false">IF($A370="","",SUBSTITUTE(Payroll!T370," ",""))</f>
        <v/>
      </c>
      <c r="E370" s="24" t="str">
        <f aca="false">IF($A370="","",TEXT(Settings!$B$8,"yyyy-mm-dd"))</f>
        <v/>
      </c>
      <c r="F370" s="24" t="str">
        <f aca="false">IF($A370="","",TEXT(Settings!$B$9,"yyyy-mm-dd"))</f>
        <v/>
      </c>
      <c r="G370" s="24" t="str">
        <f aca="false">IF($A370="","",DAY(Settings!$B$9))</f>
        <v/>
      </c>
      <c r="H370" s="26" t="str">
        <f aca="false">IF($A370="","",ROUND(Payroll!R370-Payroll!L370-Payroll!M370,2))</f>
        <v/>
      </c>
      <c r="I370" s="26" t="str">
        <f aca="false">IF($A370="","",ROUND(Payroll!L370+Payroll!M370,2))</f>
        <v/>
      </c>
      <c r="J370" s="24" t="str">
        <f aca="false">IF($A370="","",0)</f>
        <v/>
      </c>
    </row>
    <row r="371" customFormat="false" ht="15" hidden="false" customHeight="false" outlineLevel="0" collapsed="false">
      <c r="A371" s="24" t="str">
        <f aca="false">IF(AND(Payroll!$A371&lt;&gt;"",N(Payroll!$R371)&gt;0),"EDR","")</f>
        <v/>
      </c>
      <c r="B371" s="24" t="str">
        <f aca="false">IF($A371="","",Payroll!U371)</f>
        <v/>
      </c>
      <c r="C371" s="24" t="str">
        <f aca="false">IF($A371="","",Payroll!S371)</f>
        <v/>
      </c>
      <c r="D371" s="24" t="str">
        <f aca="false">IF($A371="","",SUBSTITUTE(Payroll!T371," ",""))</f>
        <v/>
      </c>
      <c r="E371" s="24" t="str">
        <f aca="false">IF($A371="","",TEXT(Settings!$B$8,"yyyy-mm-dd"))</f>
        <v/>
      </c>
      <c r="F371" s="24" t="str">
        <f aca="false">IF($A371="","",TEXT(Settings!$B$9,"yyyy-mm-dd"))</f>
        <v/>
      </c>
      <c r="G371" s="24" t="str">
        <f aca="false">IF($A371="","",DAY(Settings!$B$9))</f>
        <v/>
      </c>
      <c r="H371" s="26" t="str">
        <f aca="false">IF($A371="","",ROUND(Payroll!R371-Payroll!L371-Payroll!M371,2))</f>
        <v/>
      </c>
      <c r="I371" s="26" t="str">
        <f aca="false">IF($A371="","",ROUND(Payroll!L371+Payroll!M371,2))</f>
        <v/>
      </c>
      <c r="J371" s="24" t="str">
        <f aca="false">IF($A371="","",0)</f>
        <v/>
      </c>
    </row>
    <row r="372" customFormat="false" ht="15" hidden="false" customHeight="false" outlineLevel="0" collapsed="false">
      <c r="A372" s="24" t="str">
        <f aca="false">IF(AND(Payroll!$A372&lt;&gt;"",N(Payroll!$R372)&gt;0),"EDR","")</f>
        <v/>
      </c>
      <c r="B372" s="24" t="str">
        <f aca="false">IF($A372="","",Payroll!U372)</f>
        <v/>
      </c>
      <c r="C372" s="24" t="str">
        <f aca="false">IF($A372="","",Payroll!S372)</f>
        <v/>
      </c>
      <c r="D372" s="24" t="str">
        <f aca="false">IF($A372="","",SUBSTITUTE(Payroll!T372," ",""))</f>
        <v/>
      </c>
      <c r="E372" s="24" t="str">
        <f aca="false">IF($A372="","",TEXT(Settings!$B$8,"yyyy-mm-dd"))</f>
        <v/>
      </c>
      <c r="F372" s="24" t="str">
        <f aca="false">IF($A372="","",TEXT(Settings!$B$9,"yyyy-mm-dd"))</f>
        <v/>
      </c>
      <c r="G372" s="24" t="str">
        <f aca="false">IF($A372="","",DAY(Settings!$B$9))</f>
        <v/>
      </c>
      <c r="H372" s="26" t="str">
        <f aca="false">IF($A372="","",ROUND(Payroll!R372-Payroll!L372-Payroll!M372,2))</f>
        <v/>
      </c>
      <c r="I372" s="26" t="str">
        <f aca="false">IF($A372="","",ROUND(Payroll!L372+Payroll!M372,2))</f>
        <v/>
      </c>
      <c r="J372" s="24" t="str">
        <f aca="false">IF($A372="","",0)</f>
        <v/>
      </c>
    </row>
    <row r="373" customFormat="false" ht="15" hidden="false" customHeight="false" outlineLevel="0" collapsed="false">
      <c r="A373" s="24" t="str">
        <f aca="false">IF(AND(Payroll!$A373&lt;&gt;"",N(Payroll!$R373)&gt;0),"EDR","")</f>
        <v/>
      </c>
      <c r="B373" s="24" t="str">
        <f aca="false">IF($A373="","",Payroll!U373)</f>
        <v/>
      </c>
      <c r="C373" s="24" t="str">
        <f aca="false">IF($A373="","",Payroll!S373)</f>
        <v/>
      </c>
      <c r="D373" s="24" t="str">
        <f aca="false">IF($A373="","",SUBSTITUTE(Payroll!T373," ",""))</f>
        <v/>
      </c>
      <c r="E373" s="24" t="str">
        <f aca="false">IF($A373="","",TEXT(Settings!$B$8,"yyyy-mm-dd"))</f>
        <v/>
      </c>
      <c r="F373" s="24" t="str">
        <f aca="false">IF($A373="","",TEXT(Settings!$B$9,"yyyy-mm-dd"))</f>
        <v/>
      </c>
      <c r="G373" s="24" t="str">
        <f aca="false">IF($A373="","",DAY(Settings!$B$9))</f>
        <v/>
      </c>
      <c r="H373" s="26" t="str">
        <f aca="false">IF($A373="","",ROUND(Payroll!R373-Payroll!L373-Payroll!M373,2))</f>
        <v/>
      </c>
      <c r="I373" s="26" t="str">
        <f aca="false">IF($A373="","",ROUND(Payroll!L373+Payroll!M373,2))</f>
        <v/>
      </c>
      <c r="J373" s="24" t="str">
        <f aca="false">IF($A373="","",0)</f>
        <v/>
      </c>
    </row>
    <row r="374" customFormat="false" ht="15" hidden="false" customHeight="false" outlineLevel="0" collapsed="false">
      <c r="A374" s="24" t="str">
        <f aca="false">IF(AND(Payroll!$A374&lt;&gt;"",N(Payroll!$R374)&gt;0),"EDR","")</f>
        <v/>
      </c>
      <c r="B374" s="24" t="str">
        <f aca="false">IF($A374="","",Payroll!U374)</f>
        <v/>
      </c>
      <c r="C374" s="24" t="str">
        <f aca="false">IF($A374="","",Payroll!S374)</f>
        <v/>
      </c>
      <c r="D374" s="24" t="str">
        <f aca="false">IF($A374="","",SUBSTITUTE(Payroll!T374," ",""))</f>
        <v/>
      </c>
      <c r="E374" s="24" t="str">
        <f aca="false">IF($A374="","",TEXT(Settings!$B$8,"yyyy-mm-dd"))</f>
        <v/>
      </c>
      <c r="F374" s="24" t="str">
        <f aca="false">IF($A374="","",TEXT(Settings!$B$9,"yyyy-mm-dd"))</f>
        <v/>
      </c>
      <c r="G374" s="24" t="str">
        <f aca="false">IF($A374="","",DAY(Settings!$B$9))</f>
        <v/>
      </c>
      <c r="H374" s="26" t="str">
        <f aca="false">IF($A374="","",ROUND(Payroll!R374-Payroll!L374-Payroll!M374,2))</f>
        <v/>
      </c>
      <c r="I374" s="26" t="str">
        <f aca="false">IF($A374="","",ROUND(Payroll!L374+Payroll!M374,2))</f>
        <v/>
      </c>
      <c r="J374" s="24" t="str">
        <f aca="false">IF($A374="","",0)</f>
        <v/>
      </c>
    </row>
    <row r="375" customFormat="false" ht="15" hidden="false" customHeight="false" outlineLevel="0" collapsed="false">
      <c r="A375" s="24" t="str">
        <f aca="false">IF(AND(Payroll!$A375&lt;&gt;"",N(Payroll!$R375)&gt;0),"EDR","")</f>
        <v/>
      </c>
      <c r="B375" s="24" t="str">
        <f aca="false">IF($A375="","",Payroll!U375)</f>
        <v/>
      </c>
      <c r="C375" s="24" t="str">
        <f aca="false">IF($A375="","",Payroll!S375)</f>
        <v/>
      </c>
      <c r="D375" s="24" t="str">
        <f aca="false">IF($A375="","",SUBSTITUTE(Payroll!T375," ",""))</f>
        <v/>
      </c>
      <c r="E375" s="24" t="str">
        <f aca="false">IF($A375="","",TEXT(Settings!$B$8,"yyyy-mm-dd"))</f>
        <v/>
      </c>
      <c r="F375" s="24" t="str">
        <f aca="false">IF($A375="","",TEXT(Settings!$B$9,"yyyy-mm-dd"))</f>
        <v/>
      </c>
      <c r="G375" s="24" t="str">
        <f aca="false">IF($A375="","",DAY(Settings!$B$9))</f>
        <v/>
      </c>
      <c r="H375" s="26" t="str">
        <f aca="false">IF($A375="","",ROUND(Payroll!R375-Payroll!L375-Payroll!M375,2))</f>
        <v/>
      </c>
      <c r="I375" s="26" t="str">
        <f aca="false">IF($A375="","",ROUND(Payroll!L375+Payroll!M375,2))</f>
        <v/>
      </c>
      <c r="J375" s="24" t="str">
        <f aca="false">IF($A375="","",0)</f>
        <v/>
      </c>
    </row>
    <row r="376" customFormat="false" ht="15" hidden="false" customHeight="false" outlineLevel="0" collapsed="false">
      <c r="A376" s="24" t="str">
        <f aca="false">IF(AND(Payroll!$A376&lt;&gt;"",N(Payroll!$R376)&gt;0),"EDR","")</f>
        <v/>
      </c>
      <c r="B376" s="24" t="str">
        <f aca="false">IF($A376="","",Payroll!U376)</f>
        <v/>
      </c>
      <c r="C376" s="24" t="str">
        <f aca="false">IF($A376="","",Payroll!S376)</f>
        <v/>
      </c>
      <c r="D376" s="24" t="str">
        <f aca="false">IF($A376="","",SUBSTITUTE(Payroll!T376," ",""))</f>
        <v/>
      </c>
      <c r="E376" s="24" t="str">
        <f aca="false">IF($A376="","",TEXT(Settings!$B$8,"yyyy-mm-dd"))</f>
        <v/>
      </c>
      <c r="F376" s="24" t="str">
        <f aca="false">IF($A376="","",TEXT(Settings!$B$9,"yyyy-mm-dd"))</f>
        <v/>
      </c>
      <c r="G376" s="24" t="str">
        <f aca="false">IF($A376="","",DAY(Settings!$B$9))</f>
        <v/>
      </c>
      <c r="H376" s="26" t="str">
        <f aca="false">IF($A376="","",ROUND(Payroll!R376-Payroll!L376-Payroll!M376,2))</f>
        <v/>
      </c>
      <c r="I376" s="26" t="str">
        <f aca="false">IF($A376="","",ROUND(Payroll!L376+Payroll!M376,2))</f>
        <v/>
      </c>
      <c r="J376" s="24" t="str">
        <f aca="false">IF($A376="","",0)</f>
        <v/>
      </c>
    </row>
    <row r="377" customFormat="false" ht="15" hidden="false" customHeight="false" outlineLevel="0" collapsed="false">
      <c r="A377" s="24" t="str">
        <f aca="false">IF(AND(Payroll!$A377&lt;&gt;"",N(Payroll!$R377)&gt;0),"EDR","")</f>
        <v/>
      </c>
      <c r="B377" s="24" t="str">
        <f aca="false">IF($A377="","",Payroll!U377)</f>
        <v/>
      </c>
      <c r="C377" s="24" t="str">
        <f aca="false">IF($A377="","",Payroll!S377)</f>
        <v/>
      </c>
      <c r="D377" s="24" t="str">
        <f aca="false">IF($A377="","",SUBSTITUTE(Payroll!T377," ",""))</f>
        <v/>
      </c>
      <c r="E377" s="24" t="str">
        <f aca="false">IF($A377="","",TEXT(Settings!$B$8,"yyyy-mm-dd"))</f>
        <v/>
      </c>
      <c r="F377" s="24" t="str">
        <f aca="false">IF($A377="","",TEXT(Settings!$B$9,"yyyy-mm-dd"))</f>
        <v/>
      </c>
      <c r="G377" s="24" t="str">
        <f aca="false">IF($A377="","",DAY(Settings!$B$9))</f>
        <v/>
      </c>
      <c r="H377" s="26" t="str">
        <f aca="false">IF($A377="","",ROUND(Payroll!R377-Payroll!L377-Payroll!M377,2))</f>
        <v/>
      </c>
      <c r="I377" s="26" t="str">
        <f aca="false">IF($A377="","",ROUND(Payroll!L377+Payroll!M377,2))</f>
        <v/>
      </c>
      <c r="J377" s="24" t="str">
        <f aca="false">IF($A377="","",0)</f>
        <v/>
      </c>
    </row>
    <row r="378" customFormat="false" ht="15" hidden="false" customHeight="false" outlineLevel="0" collapsed="false">
      <c r="A378" s="24" t="str">
        <f aca="false">IF(AND(Payroll!$A378&lt;&gt;"",N(Payroll!$R378)&gt;0),"EDR","")</f>
        <v/>
      </c>
      <c r="B378" s="24" t="str">
        <f aca="false">IF($A378="","",Payroll!U378)</f>
        <v/>
      </c>
      <c r="C378" s="24" t="str">
        <f aca="false">IF($A378="","",Payroll!S378)</f>
        <v/>
      </c>
      <c r="D378" s="24" t="str">
        <f aca="false">IF($A378="","",SUBSTITUTE(Payroll!T378," ",""))</f>
        <v/>
      </c>
      <c r="E378" s="24" t="str">
        <f aca="false">IF($A378="","",TEXT(Settings!$B$8,"yyyy-mm-dd"))</f>
        <v/>
      </c>
      <c r="F378" s="24" t="str">
        <f aca="false">IF($A378="","",TEXT(Settings!$B$9,"yyyy-mm-dd"))</f>
        <v/>
      </c>
      <c r="G378" s="24" t="str">
        <f aca="false">IF($A378="","",DAY(Settings!$B$9))</f>
        <v/>
      </c>
      <c r="H378" s="26" t="str">
        <f aca="false">IF($A378="","",ROUND(Payroll!R378-Payroll!L378-Payroll!M378,2))</f>
        <v/>
      </c>
      <c r="I378" s="26" t="str">
        <f aca="false">IF($A378="","",ROUND(Payroll!L378+Payroll!M378,2))</f>
        <v/>
      </c>
      <c r="J378" s="24" t="str">
        <f aca="false">IF($A378="","",0)</f>
        <v/>
      </c>
    </row>
    <row r="379" customFormat="false" ht="15" hidden="false" customHeight="false" outlineLevel="0" collapsed="false">
      <c r="A379" s="24" t="str">
        <f aca="false">IF(AND(Payroll!$A379&lt;&gt;"",N(Payroll!$R379)&gt;0),"EDR","")</f>
        <v/>
      </c>
      <c r="B379" s="24" t="str">
        <f aca="false">IF($A379="","",Payroll!U379)</f>
        <v/>
      </c>
      <c r="C379" s="24" t="str">
        <f aca="false">IF($A379="","",Payroll!S379)</f>
        <v/>
      </c>
      <c r="D379" s="24" t="str">
        <f aca="false">IF($A379="","",SUBSTITUTE(Payroll!T379," ",""))</f>
        <v/>
      </c>
      <c r="E379" s="24" t="str">
        <f aca="false">IF($A379="","",TEXT(Settings!$B$8,"yyyy-mm-dd"))</f>
        <v/>
      </c>
      <c r="F379" s="24" t="str">
        <f aca="false">IF($A379="","",TEXT(Settings!$B$9,"yyyy-mm-dd"))</f>
        <v/>
      </c>
      <c r="G379" s="24" t="str">
        <f aca="false">IF($A379="","",DAY(Settings!$B$9))</f>
        <v/>
      </c>
      <c r="H379" s="26" t="str">
        <f aca="false">IF($A379="","",ROUND(Payroll!R379-Payroll!L379-Payroll!M379,2))</f>
        <v/>
      </c>
      <c r="I379" s="26" t="str">
        <f aca="false">IF($A379="","",ROUND(Payroll!L379+Payroll!M379,2))</f>
        <v/>
      </c>
      <c r="J379" s="24" t="str">
        <f aca="false">IF($A379="","",0)</f>
        <v/>
      </c>
    </row>
    <row r="380" customFormat="false" ht="15" hidden="false" customHeight="false" outlineLevel="0" collapsed="false">
      <c r="A380" s="24" t="str">
        <f aca="false">IF(AND(Payroll!$A380&lt;&gt;"",N(Payroll!$R380)&gt;0),"EDR","")</f>
        <v/>
      </c>
      <c r="B380" s="24" t="str">
        <f aca="false">IF($A380="","",Payroll!U380)</f>
        <v/>
      </c>
      <c r="C380" s="24" t="str">
        <f aca="false">IF($A380="","",Payroll!S380)</f>
        <v/>
      </c>
      <c r="D380" s="24" t="str">
        <f aca="false">IF($A380="","",SUBSTITUTE(Payroll!T380," ",""))</f>
        <v/>
      </c>
      <c r="E380" s="24" t="str">
        <f aca="false">IF($A380="","",TEXT(Settings!$B$8,"yyyy-mm-dd"))</f>
        <v/>
      </c>
      <c r="F380" s="24" t="str">
        <f aca="false">IF($A380="","",TEXT(Settings!$B$9,"yyyy-mm-dd"))</f>
        <v/>
      </c>
      <c r="G380" s="24" t="str">
        <f aca="false">IF($A380="","",DAY(Settings!$B$9))</f>
        <v/>
      </c>
      <c r="H380" s="26" t="str">
        <f aca="false">IF($A380="","",ROUND(Payroll!R380-Payroll!L380-Payroll!M380,2))</f>
        <v/>
      </c>
      <c r="I380" s="26" t="str">
        <f aca="false">IF($A380="","",ROUND(Payroll!L380+Payroll!M380,2))</f>
        <v/>
      </c>
      <c r="J380" s="24" t="str">
        <f aca="false">IF($A380="","",0)</f>
        <v/>
      </c>
    </row>
    <row r="381" customFormat="false" ht="15" hidden="false" customHeight="false" outlineLevel="0" collapsed="false">
      <c r="A381" s="24" t="str">
        <f aca="false">IF(AND(Payroll!$A381&lt;&gt;"",N(Payroll!$R381)&gt;0),"EDR","")</f>
        <v/>
      </c>
      <c r="B381" s="24" t="str">
        <f aca="false">IF($A381="","",Payroll!U381)</f>
        <v/>
      </c>
      <c r="C381" s="24" t="str">
        <f aca="false">IF($A381="","",Payroll!S381)</f>
        <v/>
      </c>
      <c r="D381" s="24" t="str">
        <f aca="false">IF($A381="","",SUBSTITUTE(Payroll!T381," ",""))</f>
        <v/>
      </c>
      <c r="E381" s="24" t="str">
        <f aca="false">IF($A381="","",TEXT(Settings!$B$8,"yyyy-mm-dd"))</f>
        <v/>
      </c>
      <c r="F381" s="24" t="str">
        <f aca="false">IF($A381="","",TEXT(Settings!$B$9,"yyyy-mm-dd"))</f>
        <v/>
      </c>
      <c r="G381" s="24" t="str">
        <f aca="false">IF($A381="","",DAY(Settings!$B$9))</f>
        <v/>
      </c>
      <c r="H381" s="26" t="str">
        <f aca="false">IF($A381="","",ROUND(Payroll!R381-Payroll!L381-Payroll!M381,2))</f>
        <v/>
      </c>
      <c r="I381" s="26" t="str">
        <f aca="false">IF($A381="","",ROUND(Payroll!L381+Payroll!M381,2))</f>
        <v/>
      </c>
      <c r="J381" s="24" t="str">
        <f aca="false">IF($A381="","",0)</f>
        <v/>
      </c>
    </row>
    <row r="382" customFormat="false" ht="15" hidden="false" customHeight="false" outlineLevel="0" collapsed="false">
      <c r="A382" s="24" t="str">
        <f aca="false">IF(AND(Payroll!$A382&lt;&gt;"",N(Payroll!$R382)&gt;0),"EDR","")</f>
        <v/>
      </c>
      <c r="B382" s="24" t="str">
        <f aca="false">IF($A382="","",Payroll!U382)</f>
        <v/>
      </c>
      <c r="C382" s="24" t="str">
        <f aca="false">IF($A382="","",Payroll!S382)</f>
        <v/>
      </c>
      <c r="D382" s="24" t="str">
        <f aca="false">IF($A382="","",SUBSTITUTE(Payroll!T382," ",""))</f>
        <v/>
      </c>
      <c r="E382" s="24" t="str">
        <f aca="false">IF($A382="","",TEXT(Settings!$B$8,"yyyy-mm-dd"))</f>
        <v/>
      </c>
      <c r="F382" s="24" t="str">
        <f aca="false">IF($A382="","",TEXT(Settings!$B$9,"yyyy-mm-dd"))</f>
        <v/>
      </c>
      <c r="G382" s="24" t="str">
        <f aca="false">IF($A382="","",DAY(Settings!$B$9))</f>
        <v/>
      </c>
      <c r="H382" s="26" t="str">
        <f aca="false">IF($A382="","",ROUND(Payroll!R382-Payroll!L382-Payroll!M382,2))</f>
        <v/>
      </c>
      <c r="I382" s="26" t="str">
        <f aca="false">IF($A382="","",ROUND(Payroll!L382+Payroll!M382,2))</f>
        <v/>
      </c>
      <c r="J382" s="24" t="str">
        <f aca="false">IF($A382="","",0)</f>
        <v/>
      </c>
    </row>
    <row r="383" customFormat="false" ht="15" hidden="false" customHeight="false" outlineLevel="0" collapsed="false">
      <c r="A383" s="24" t="str">
        <f aca="false">IF(AND(Payroll!$A383&lt;&gt;"",N(Payroll!$R383)&gt;0),"EDR","")</f>
        <v/>
      </c>
      <c r="B383" s="24" t="str">
        <f aca="false">IF($A383="","",Payroll!U383)</f>
        <v/>
      </c>
      <c r="C383" s="24" t="str">
        <f aca="false">IF($A383="","",Payroll!S383)</f>
        <v/>
      </c>
      <c r="D383" s="24" t="str">
        <f aca="false">IF($A383="","",SUBSTITUTE(Payroll!T383," ",""))</f>
        <v/>
      </c>
      <c r="E383" s="24" t="str">
        <f aca="false">IF($A383="","",TEXT(Settings!$B$8,"yyyy-mm-dd"))</f>
        <v/>
      </c>
      <c r="F383" s="24" t="str">
        <f aca="false">IF($A383="","",TEXT(Settings!$B$9,"yyyy-mm-dd"))</f>
        <v/>
      </c>
      <c r="G383" s="24" t="str">
        <f aca="false">IF($A383="","",DAY(Settings!$B$9))</f>
        <v/>
      </c>
      <c r="H383" s="26" t="str">
        <f aca="false">IF($A383="","",ROUND(Payroll!R383-Payroll!L383-Payroll!M383,2))</f>
        <v/>
      </c>
      <c r="I383" s="26" t="str">
        <f aca="false">IF($A383="","",ROUND(Payroll!L383+Payroll!M383,2))</f>
        <v/>
      </c>
      <c r="J383" s="24" t="str">
        <f aca="false">IF($A383="","",0)</f>
        <v/>
      </c>
    </row>
    <row r="384" customFormat="false" ht="15" hidden="false" customHeight="false" outlineLevel="0" collapsed="false">
      <c r="A384" s="24" t="str">
        <f aca="false">IF(AND(Payroll!$A384&lt;&gt;"",N(Payroll!$R384)&gt;0),"EDR","")</f>
        <v/>
      </c>
      <c r="B384" s="24" t="str">
        <f aca="false">IF($A384="","",Payroll!U384)</f>
        <v/>
      </c>
      <c r="C384" s="24" t="str">
        <f aca="false">IF($A384="","",Payroll!S384)</f>
        <v/>
      </c>
      <c r="D384" s="24" t="str">
        <f aca="false">IF($A384="","",SUBSTITUTE(Payroll!T384," ",""))</f>
        <v/>
      </c>
      <c r="E384" s="24" t="str">
        <f aca="false">IF($A384="","",TEXT(Settings!$B$8,"yyyy-mm-dd"))</f>
        <v/>
      </c>
      <c r="F384" s="24" t="str">
        <f aca="false">IF($A384="","",TEXT(Settings!$B$9,"yyyy-mm-dd"))</f>
        <v/>
      </c>
      <c r="G384" s="24" t="str">
        <f aca="false">IF($A384="","",DAY(Settings!$B$9))</f>
        <v/>
      </c>
      <c r="H384" s="26" t="str">
        <f aca="false">IF($A384="","",ROUND(Payroll!R384-Payroll!L384-Payroll!M384,2))</f>
        <v/>
      </c>
      <c r="I384" s="26" t="str">
        <f aca="false">IF($A384="","",ROUND(Payroll!L384+Payroll!M384,2))</f>
        <v/>
      </c>
      <c r="J384" s="24" t="str">
        <f aca="false">IF($A384="","",0)</f>
        <v/>
      </c>
    </row>
    <row r="385" customFormat="false" ht="15" hidden="false" customHeight="false" outlineLevel="0" collapsed="false">
      <c r="A385" s="24" t="str">
        <f aca="false">IF(AND(Payroll!$A385&lt;&gt;"",N(Payroll!$R385)&gt;0),"EDR","")</f>
        <v/>
      </c>
      <c r="B385" s="24" t="str">
        <f aca="false">IF($A385="","",Payroll!U385)</f>
        <v/>
      </c>
      <c r="C385" s="24" t="str">
        <f aca="false">IF($A385="","",Payroll!S385)</f>
        <v/>
      </c>
      <c r="D385" s="24" t="str">
        <f aca="false">IF($A385="","",SUBSTITUTE(Payroll!T385," ",""))</f>
        <v/>
      </c>
      <c r="E385" s="24" t="str">
        <f aca="false">IF($A385="","",TEXT(Settings!$B$8,"yyyy-mm-dd"))</f>
        <v/>
      </c>
      <c r="F385" s="24" t="str">
        <f aca="false">IF($A385="","",TEXT(Settings!$B$9,"yyyy-mm-dd"))</f>
        <v/>
      </c>
      <c r="G385" s="24" t="str">
        <f aca="false">IF($A385="","",DAY(Settings!$B$9))</f>
        <v/>
      </c>
      <c r="H385" s="26" t="str">
        <f aca="false">IF($A385="","",ROUND(Payroll!R385-Payroll!L385-Payroll!M385,2))</f>
        <v/>
      </c>
      <c r="I385" s="26" t="str">
        <f aca="false">IF($A385="","",ROUND(Payroll!L385+Payroll!M385,2))</f>
        <v/>
      </c>
      <c r="J385" s="24" t="str">
        <f aca="false">IF($A385="","",0)</f>
        <v/>
      </c>
    </row>
    <row r="386" customFormat="false" ht="15" hidden="false" customHeight="false" outlineLevel="0" collapsed="false">
      <c r="A386" s="24" t="str">
        <f aca="false">IF(AND(Payroll!$A386&lt;&gt;"",N(Payroll!$R386)&gt;0),"EDR","")</f>
        <v/>
      </c>
      <c r="B386" s="24" t="str">
        <f aca="false">IF($A386="","",Payroll!U386)</f>
        <v/>
      </c>
      <c r="C386" s="24" t="str">
        <f aca="false">IF($A386="","",Payroll!S386)</f>
        <v/>
      </c>
      <c r="D386" s="24" t="str">
        <f aca="false">IF($A386="","",SUBSTITUTE(Payroll!T386," ",""))</f>
        <v/>
      </c>
      <c r="E386" s="24" t="str">
        <f aca="false">IF($A386="","",TEXT(Settings!$B$8,"yyyy-mm-dd"))</f>
        <v/>
      </c>
      <c r="F386" s="24" t="str">
        <f aca="false">IF($A386="","",TEXT(Settings!$B$9,"yyyy-mm-dd"))</f>
        <v/>
      </c>
      <c r="G386" s="24" t="str">
        <f aca="false">IF($A386="","",DAY(Settings!$B$9))</f>
        <v/>
      </c>
      <c r="H386" s="26" t="str">
        <f aca="false">IF($A386="","",ROUND(Payroll!R386-Payroll!L386-Payroll!M386,2))</f>
        <v/>
      </c>
      <c r="I386" s="26" t="str">
        <f aca="false">IF($A386="","",ROUND(Payroll!L386+Payroll!M386,2))</f>
        <v/>
      </c>
      <c r="J386" s="24" t="str">
        <f aca="false">IF($A386="","",0)</f>
        <v/>
      </c>
    </row>
    <row r="387" customFormat="false" ht="15" hidden="false" customHeight="false" outlineLevel="0" collapsed="false">
      <c r="A387" s="24" t="str">
        <f aca="false">IF(AND(Payroll!$A387&lt;&gt;"",N(Payroll!$R387)&gt;0),"EDR","")</f>
        <v/>
      </c>
      <c r="B387" s="24" t="str">
        <f aca="false">IF($A387="","",Payroll!U387)</f>
        <v/>
      </c>
      <c r="C387" s="24" t="str">
        <f aca="false">IF($A387="","",Payroll!S387)</f>
        <v/>
      </c>
      <c r="D387" s="24" t="str">
        <f aca="false">IF($A387="","",SUBSTITUTE(Payroll!T387," ",""))</f>
        <v/>
      </c>
      <c r="E387" s="24" t="str">
        <f aca="false">IF($A387="","",TEXT(Settings!$B$8,"yyyy-mm-dd"))</f>
        <v/>
      </c>
      <c r="F387" s="24" t="str">
        <f aca="false">IF($A387="","",TEXT(Settings!$B$9,"yyyy-mm-dd"))</f>
        <v/>
      </c>
      <c r="G387" s="24" t="str">
        <f aca="false">IF($A387="","",DAY(Settings!$B$9))</f>
        <v/>
      </c>
      <c r="H387" s="26" t="str">
        <f aca="false">IF($A387="","",ROUND(Payroll!R387-Payroll!L387-Payroll!M387,2))</f>
        <v/>
      </c>
      <c r="I387" s="26" t="str">
        <f aca="false">IF($A387="","",ROUND(Payroll!L387+Payroll!M387,2))</f>
        <v/>
      </c>
      <c r="J387" s="24" t="str">
        <f aca="false">IF($A387="","",0)</f>
        <v/>
      </c>
    </row>
    <row r="388" customFormat="false" ht="15" hidden="false" customHeight="false" outlineLevel="0" collapsed="false">
      <c r="A388" s="24" t="str">
        <f aca="false">IF(AND(Payroll!$A388&lt;&gt;"",N(Payroll!$R388)&gt;0),"EDR","")</f>
        <v/>
      </c>
      <c r="B388" s="24" t="str">
        <f aca="false">IF($A388="","",Payroll!U388)</f>
        <v/>
      </c>
      <c r="C388" s="24" t="str">
        <f aca="false">IF($A388="","",Payroll!S388)</f>
        <v/>
      </c>
      <c r="D388" s="24" t="str">
        <f aca="false">IF($A388="","",SUBSTITUTE(Payroll!T388," ",""))</f>
        <v/>
      </c>
      <c r="E388" s="24" t="str">
        <f aca="false">IF($A388="","",TEXT(Settings!$B$8,"yyyy-mm-dd"))</f>
        <v/>
      </c>
      <c r="F388" s="24" t="str">
        <f aca="false">IF($A388="","",TEXT(Settings!$B$9,"yyyy-mm-dd"))</f>
        <v/>
      </c>
      <c r="G388" s="24" t="str">
        <f aca="false">IF($A388="","",DAY(Settings!$B$9))</f>
        <v/>
      </c>
      <c r="H388" s="26" t="str">
        <f aca="false">IF($A388="","",ROUND(Payroll!R388-Payroll!L388-Payroll!M388,2))</f>
        <v/>
      </c>
      <c r="I388" s="26" t="str">
        <f aca="false">IF($A388="","",ROUND(Payroll!L388+Payroll!M388,2))</f>
        <v/>
      </c>
      <c r="J388" s="24" t="str">
        <f aca="false">IF($A388="","",0)</f>
        <v/>
      </c>
    </row>
    <row r="389" customFormat="false" ht="15" hidden="false" customHeight="false" outlineLevel="0" collapsed="false">
      <c r="A389" s="24" t="str">
        <f aca="false">IF(AND(Payroll!$A389&lt;&gt;"",N(Payroll!$R389)&gt;0),"EDR","")</f>
        <v/>
      </c>
      <c r="B389" s="24" t="str">
        <f aca="false">IF($A389="","",Payroll!U389)</f>
        <v/>
      </c>
      <c r="C389" s="24" t="str">
        <f aca="false">IF($A389="","",Payroll!S389)</f>
        <v/>
      </c>
      <c r="D389" s="24" t="str">
        <f aca="false">IF($A389="","",SUBSTITUTE(Payroll!T389," ",""))</f>
        <v/>
      </c>
      <c r="E389" s="24" t="str">
        <f aca="false">IF($A389="","",TEXT(Settings!$B$8,"yyyy-mm-dd"))</f>
        <v/>
      </c>
      <c r="F389" s="24" t="str">
        <f aca="false">IF($A389="","",TEXT(Settings!$B$9,"yyyy-mm-dd"))</f>
        <v/>
      </c>
      <c r="G389" s="24" t="str">
        <f aca="false">IF($A389="","",DAY(Settings!$B$9))</f>
        <v/>
      </c>
      <c r="H389" s="26" t="str">
        <f aca="false">IF($A389="","",ROUND(Payroll!R389-Payroll!L389-Payroll!M389,2))</f>
        <v/>
      </c>
      <c r="I389" s="26" t="str">
        <f aca="false">IF($A389="","",ROUND(Payroll!L389+Payroll!M389,2))</f>
        <v/>
      </c>
      <c r="J389" s="24" t="str">
        <f aca="false">IF($A389="","",0)</f>
        <v/>
      </c>
    </row>
    <row r="390" customFormat="false" ht="15" hidden="false" customHeight="false" outlineLevel="0" collapsed="false">
      <c r="A390" s="24" t="str">
        <f aca="false">IF(AND(Payroll!$A390&lt;&gt;"",N(Payroll!$R390)&gt;0),"EDR","")</f>
        <v/>
      </c>
      <c r="B390" s="24" t="str">
        <f aca="false">IF($A390="","",Payroll!U390)</f>
        <v/>
      </c>
      <c r="C390" s="24" t="str">
        <f aca="false">IF($A390="","",Payroll!S390)</f>
        <v/>
      </c>
      <c r="D390" s="24" t="str">
        <f aca="false">IF($A390="","",SUBSTITUTE(Payroll!T390," ",""))</f>
        <v/>
      </c>
      <c r="E390" s="24" t="str">
        <f aca="false">IF($A390="","",TEXT(Settings!$B$8,"yyyy-mm-dd"))</f>
        <v/>
      </c>
      <c r="F390" s="24" t="str">
        <f aca="false">IF($A390="","",TEXT(Settings!$B$9,"yyyy-mm-dd"))</f>
        <v/>
      </c>
      <c r="G390" s="24" t="str">
        <f aca="false">IF($A390="","",DAY(Settings!$B$9))</f>
        <v/>
      </c>
      <c r="H390" s="26" t="str">
        <f aca="false">IF($A390="","",ROUND(Payroll!R390-Payroll!L390-Payroll!M390,2))</f>
        <v/>
      </c>
      <c r="I390" s="26" t="str">
        <f aca="false">IF($A390="","",ROUND(Payroll!L390+Payroll!M390,2))</f>
        <v/>
      </c>
      <c r="J390" s="24" t="str">
        <f aca="false">IF($A390="","",0)</f>
        <v/>
      </c>
    </row>
    <row r="391" customFormat="false" ht="15" hidden="false" customHeight="false" outlineLevel="0" collapsed="false">
      <c r="A391" s="24" t="str">
        <f aca="false">IF(AND(Payroll!$A391&lt;&gt;"",N(Payroll!$R391)&gt;0),"EDR","")</f>
        <v/>
      </c>
      <c r="B391" s="24" t="str">
        <f aca="false">IF($A391="","",Payroll!U391)</f>
        <v/>
      </c>
      <c r="C391" s="24" t="str">
        <f aca="false">IF($A391="","",Payroll!S391)</f>
        <v/>
      </c>
      <c r="D391" s="24" t="str">
        <f aca="false">IF($A391="","",SUBSTITUTE(Payroll!T391," ",""))</f>
        <v/>
      </c>
      <c r="E391" s="24" t="str">
        <f aca="false">IF($A391="","",TEXT(Settings!$B$8,"yyyy-mm-dd"))</f>
        <v/>
      </c>
      <c r="F391" s="24" t="str">
        <f aca="false">IF($A391="","",TEXT(Settings!$B$9,"yyyy-mm-dd"))</f>
        <v/>
      </c>
      <c r="G391" s="24" t="str">
        <f aca="false">IF($A391="","",DAY(Settings!$B$9))</f>
        <v/>
      </c>
      <c r="H391" s="26" t="str">
        <f aca="false">IF($A391="","",ROUND(Payroll!R391-Payroll!L391-Payroll!M391,2))</f>
        <v/>
      </c>
      <c r="I391" s="26" t="str">
        <f aca="false">IF($A391="","",ROUND(Payroll!L391+Payroll!M391,2))</f>
        <v/>
      </c>
      <c r="J391" s="24" t="str">
        <f aca="false">IF($A391="","",0)</f>
        <v/>
      </c>
    </row>
    <row r="392" customFormat="false" ht="15" hidden="false" customHeight="false" outlineLevel="0" collapsed="false">
      <c r="A392" s="24" t="str">
        <f aca="false">IF(AND(Payroll!$A392&lt;&gt;"",N(Payroll!$R392)&gt;0),"EDR","")</f>
        <v/>
      </c>
      <c r="B392" s="24" t="str">
        <f aca="false">IF($A392="","",Payroll!U392)</f>
        <v/>
      </c>
      <c r="C392" s="24" t="str">
        <f aca="false">IF($A392="","",Payroll!S392)</f>
        <v/>
      </c>
      <c r="D392" s="24" t="str">
        <f aca="false">IF($A392="","",SUBSTITUTE(Payroll!T392," ",""))</f>
        <v/>
      </c>
      <c r="E392" s="24" t="str">
        <f aca="false">IF($A392="","",TEXT(Settings!$B$8,"yyyy-mm-dd"))</f>
        <v/>
      </c>
      <c r="F392" s="24" t="str">
        <f aca="false">IF($A392="","",TEXT(Settings!$B$9,"yyyy-mm-dd"))</f>
        <v/>
      </c>
      <c r="G392" s="24" t="str">
        <f aca="false">IF($A392="","",DAY(Settings!$B$9))</f>
        <v/>
      </c>
      <c r="H392" s="26" t="str">
        <f aca="false">IF($A392="","",ROUND(Payroll!R392-Payroll!L392-Payroll!M392,2))</f>
        <v/>
      </c>
      <c r="I392" s="26" t="str">
        <f aca="false">IF($A392="","",ROUND(Payroll!L392+Payroll!M392,2))</f>
        <v/>
      </c>
      <c r="J392" s="24" t="str">
        <f aca="false">IF($A392="","",0)</f>
        <v/>
      </c>
    </row>
    <row r="393" customFormat="false" ht="15" hidden="false" customHeight="false" outlineLevel="0" collapsed="false">
      <c r="A393" s="24" t="str">
        <f aca="false">IF(AND(Payroll!$A393&lt;&gt;"",N(Payroll!$R393)&gt;0),"EDR","")</f>
        <v/>
      </c>
      <c r="B393" s="24" t="str">
        <f aca="false">IF($A393="","",Payroll!U393)</f>
        <v/>
      </c>
      <c r="C393" s="24" t="str">
        <f aca="false">IF($A393="","",Payroll!S393)</f>
        <v/>
      </c>
      <c r="D393" s="24" t="str">
        <f aca="false">IF($A393="","",SUBSTITUTE(Payroll!T393," ",""))</f>
        <v/>
      </c>
      <c r="E393" s="24" t="str">
        <f aca="false">IF($A393="","",TEXT(Settings!$B$8,"yyyy-mm-dd"))</f>
        <v/>
      </c>
      <c r="F393" s="24" t="str">
        <f aca="false">IF($A393="","",TEXT(Settings!$B$9,"yyyy-mm-dd"))</f>
        <v/>
      </c>
      <c r="G393" s="24" t="str">
        <f aca="false">IF($A393="","",DAY(Settings!$B$9))</f>
        <v/>
      </c>
      <c r="H393" s="26" t="str">
        <f aca="false">IF($A393="","",ROUND(Payroll!R393-Payroll!L393-Payroll!M393,2))</f>
        <v/>
      </c>
      <c r="I393" s="26" t="str">
        <f aca="false">IF($A393="","",ROUND(Payroll!L393+Payroll!M393,2))</f>
        <v/>
      </c>
      <c r="J393" s="24" t="str">
        <f aca="false">IF($A393="","",0)</f>
        <v/>
      </c>
    </row>
    <row r="394" customFormat="false" ht="15" hidden="false" customHeight="false" outlineLevel="0" collapsed="false">
      <c r="A394" s="24" t="str">
        <f aca="false">IF(AND(Payroll!$A394&lt;&gt;"",N(Payroll!$R394)&gt;0),"EDR","")</f>
        <v/>
      </c>
      <c r="B394" s="24" t="str">
        <f aca="false">IF($A394="","",Payroll!U394)</f>
        <v/>
      </c>
      <c r="C394" s="24" t="str">
        <f aca="false">IF($A394="","",Payroll!S394)</f>
        <v/>
      </c>
      <c r="D394" s="24" t="str">
        <f aca="false">IF($A394="","",SUBSTITUTE(Payroll!T394," ",""))</f>
        <v/>
      </c>
      <c r="E394" s="24" t="str">
        <f aca="false">IF($A394="","",TEXT(Settings!$B$8,"yyyy-mm-dd"))</f>
        <v/>
      </c>
      <c r="F394" s="24" t="str">
        <f aca="false">IF($A394="","",TEXT(Settings!$B$9,"yyyy-mm-dd"))</f>
        <v/>
      </c>
      <c r="G394" s="24" t="str">
        <f aca="false">IF($A394="","",DAY(Settings!$B$9))</f>
        <v/>
      </c>
      <c r="H394" s="26" t="str">
        <f aca="false">IF($A394="","",ROUND(Payroll!R394-Payroll!L394-Payroll!M394,2))</f>
        <v/>
      </c>
      <c r="I394" s="26" t="str">
        <f aca="false">IF($A394="","",ROUND(Payroll!L394+Payroll!M394,2))</f>
        <v/>
      </c>
      <c r="J394" s="24" t="str">
        <f aca="false">IF($A394="","",0)</f>
        <v/>
      </c>
    </row>
    <row r="395" customFormat="false" ht="15" hidden="false" customHeight="false" outlineLevel="0" collapsed="false">
      <c r="A395" s="24" t="str">
        <f aca="false">IF(AND(Payroll!$A395&lt;&gt;"",N(Payroll!$R395)&gt;0),"EDR","")</f>
        <v/>
      </c>
      <c r="B395" s="24" t="str">
        <f aca="false">IF($A395="","",Payroll!U395)</f>
        <v/>
      </c>
      <c r="C395" s="24" t="str">
        <f aca="false">IF($A395="","",Payroll!S395)</f>
        <v/>
      </c>
      <c r="D395" s="24" t="str">
        <f aca="false">IF($A395="","",SUBSTITUTE(Payroll!T395," ",""))</f>
        <v/>
      </c>
      <c r="E395" s="24" t="str">
        <f aca="false">IF($A395="","",TEXT(Settings!$B$8,"yyyy-mm-dd"))</f>
        <v/>
      </c>
      <c r="F395" s="24" t="str">
        <f aca="false">IF($A395="","",TEXT(Settings!$B$9,"yyyy-mm-dd"))</f>
        <v/>
      </c>
      <c r="G395" s="24" t="str">
        <f aca="false">IF($A395="","",DAY(Settings!$B$9))</f>
        <v/>
      </c>
      <c r="H395" s="26" t="str">
        <f aca="false">IF($A395="","",ROUND(Payroll!R395-Payroll!L395-Payroll!M395,2))</f>
        <v/>
      </c>
      <c r="I395" s="26" t="str">
        <f aca="false">IF($A395="","",ROUND(Payroll!L395+Payroll!M395,2))</f>
        <v/>
      </c>
      <c r="J395" s="24" t="str">
        <f aca="false">IF($A395="","",0)</f>
        <v/>
      </c>
    </row>
    <row r="396" customFormat="false" ht="15" hidden="false" customHeight="false" outlineLevel="0" collapsed="false">
      <c r="A396" s="24" t="str">
        <f aca="false">IF(AND(Payroll!$A396&lt;&gt;"",N(Payroll!$R396)&gt;0),"EDR","")</f>
        <v/>
      </c>
      <c r="B396" s="24" t="str">
        <f aca="false">IF($A396="","",Payroll!U396)</f>
        <v/>
      </c>
      <c r="C396" s="24" t="str">
        <f aca="false">IF($A396="","",Payroll!S396)</f>
        <v/>
      </c>
      <c r="D396" s="24" t="str">
        <f aca="false">IF($A396="","",SUBSTITUTE(Payroll!T396," ",""))</f>
        <v/>
      </c>
      <c r="E396" s="24" t="str">
        <f aca="false">IF($A396="","",TEXT(Settings!$B$8,"yyyy-mm-dd"))</f>
        <v/>
      </c>
      <c r="F396" s="24" t="str">
        <f aca="false">IF($A396="","",TEXT(Settings!$B$9,"yyyy-mm-dd"))</f>
        <v/>
      </c>
      <c r="G396" s="24" t="str">
        <f aca="false">IF($A396="","",DAY(Settings!$B$9))</f>
        <v/>
      </c>
      <c r="H396" s="26" t="str">
        <f aca="false">IF($A396="","",ROUND(Payroll!R396-Payroll!L396-Payroll!M396,2))</f>
        <v/>
      </c>
      <c r="I396" s="26" t="str">
        <f aca="false">IF($A396="","",ROUND(Payroll!L396+Payroll!M396,2))</f>
        <v/>
      </c>
      <c r="J396" s="24" t="str">
        <f aca="false">IF($A396="","",0)</f>
        <v/>
      </c>
    </row>
    <row r="397" customFormat="false" ht="15" hidden="false" customHeight="false" outlineLevel="0" collapsed="false">
      <c r="A397" s="24" t="str">
        <f aca="false">IF(AND(Payroll!$A397&lt;&gt;"",N(Payroll!$R397)&gt;0),"EDR","")</f>
        <v/>
      </c>
      <c r="B397" s="24" t="str">
        <f aca="false">IF($A397="","",Payroll!U397)</f>
        <v/>
      </c>
      <c r="C397" s="24" t="str">
        <f aca="false">IF($A397="","",Payroll!S397)</f>
        <v/>
      </c>
      <c r="D397" s="24" t="str">
        <f aca="false">IF($A397="","",SUBSTITUTE(Payroll!T397," ",""))</f>
        <v/>
      </c>
      <c r="E397" s="24" t="str">
        <f aca="false">IF($A397="","",TEXT(Settings!$B$8,"yyyy-mm-dd"))</f>
        <v/>
      </c>
      <c r="F397" s="24" t="str">
        <f aca="false">IF($A397="","",TEXT(Settings!$B$9,"yyyy-mm-dd"))</f>
        <v/>
      </c>
      <c r="G397" s="24" t="str">
        <f aca="false">IF($A397="","",DAY(Settings!$B$9))</f>
        <v/>
      </c>
      <c r="H397" s="26" t="str">
        <f aca="false">IF($A397="","",ROUND(Payroll!R397-Payroll!L397-Payroll!M397,2))</f>
        <v/>
      </c>
      <c r="I397" s="26" t="str">
        <f aca="false">IF($A397="","",ROUND(Payroll!L397+Payroll!M397,2))</f>
        <v/>
      </c>
      <c r="J397" s="24" t="str">
        <f aca="false">IF($A397="","",0)</f>
        <v/>
      </c>
    </row>
    <row r="398" customFormat="false" ht="15" hidden="false" customHeight="false" outlineLevel="0" collapsed="false">
      <c r="A398" s="24" t="str">
        <f aca="false">IF(AND(Payroll!$A398&lt;&gt;"",N(Payroll!$R398)&gt;0),"EDR","")</f>
        <v/>
      </c>
      <c r="B398" s="24" t="str">
        <f aca="false">IF($A398="","",Payroll!U398)</f>
        <v/>
      </c>
      <c r="C398" s="24" t="str">
        <f aca="false">IF($A398="","",Payroll!S398)</f>
        <v/>
      </c>
      <c r="D398" s="24" t="str">
        <f aca="false">IF($A398="","",SUBSTITUTE(Payroll!T398," ",""))</f>
        <v/>
      </c>
      <c r="E398" s="24" t="str">
        <f aca="false">IF($A398="","",TEXT(Settings!$B$8,"yyyy-mm-dd"))</f>
        <v/>
      </c>
      <c r="F398" s="24" t="str">
        <f aca="false">IF($A398="","",TEXT(Settings!$B$9,"yyyy-mm-dd"))</f>
        <v/>
      </c>
      <c r="G398" s="24" t="str">
        <f aca="false">IF($A398="","",DAY(Settings!$B$9))</f>
        <v/>
      </c>
      <c r="H398" s="26" t="str">
        <f aca="false">IF($A398="","",ROUND(Payroll!R398-Payroll!L398-Payroll!M398,2))</f>
        <v/>
      </c>
      <c r="I398" s="26" t="str">
        <f aca="false">IF($A398="","",ROUND(Payroll!L398+Payroll!M398,2))</f>
        <v/>
      </c>
      <c r="J398" s="24" t="str">
        <f aca="false">IF($A398="","",0)</f>
        <v/>
      </c>
    </row>
    <row r="399" customFormat="false" ht="15" hidden="false" customHeight="false" outlineLevel="0" collapsed="false">
      <c r="A399" s="24" t="str">
        <f aca="false">IF(AND(Payroll!$A399&lt;&gt;"",N(Payroll!$R399)&gt;0),"EDR","")</f>
        <v/>
      </c>
      <c r="B399" s="24" t="str">
        <f aca="false">IF($A399="","",Payroll!U399)</f>
        <v/>
      </c>
      <c r="C399" s="24" t="str">
        <f aca="false">IF($A399="","",Payroll!S399)</f>
        <v/>
      </c>
      <c r="D399" s="24" t="str">
        <f aca="false">IF($A399="","",SUBSTITUTE(Payroll!T399," ",""))</f>
        <v/>
      </c>
      <c r="E399" s="24" t="str">
        <f aca="false">IF($A399="","",TEXT(Settings!$B$8,"yyyy-mm-dd"))</f>
        <v/>
      </c>
      <c r="F399" s="24" t="str">
        <f aca="false">IF($A399="","",TEXT(Settings!$B$9,"yyyy-mm-dd"))</f>
        <v/>
      </c>
      <c r="G399" s="24" t="str">
        <f aca="false">IF($A399="","",DAY(Settings!$B$9))</f>
        <v/>
      </c>
      <c r="H399" s="26" t="str">
        <f aca="false">IF($A399="","",ROUND(Payroll!R399-Payroll!L399-Payroll!M399,2))</f>
        <v/>
      </c>
      <c r="I399" s="26" t="str">
        <f aca="false">IF($A399="","",ROUND(Payroll!L399+Payroll!M399,2))</f>
        <v/>
      </c>
      <c r="J399" s="24" t="str">
        <f aca="false">IF($A399="","",0)</f>
        <v/>
      </c>
    </row>
    <row r="400" customFormat="false" ht="15" hidden="false" customHeight="false" outlineLevel="0" collapsed="false">
      <c r="A400" s="24" t="str">
        <f aca="false">IF(AND(Payroll!$A400&lt;&gt;"",N(Payroll!$R400)&gt;0),"EDR","")</f>
        <v/>
      </c>
      <c r="B400" s="24" t="str">
        <f aca="false">IF($A400="","",Payroll!U400)</f>
        <v/>
      </c>
      <c r="C400" s="24" t="str">
        <f aca="false">IF($A400="","",Payroll!S400)</f>
        <v/>
      </c>
      <c r="D400" s="24" t="str">
        <f aca="false">IF($A400="","",SUBSTITUTE(Payroll!T400," ",""))</f>
        <v/>
      </c>
      <c r="E400" s="24" t="str">
        <f aca="false">IF($A400="","",TEXT(Settings!$B$8,"yyyy-mm-dd"))</f>
        <v/>
      </c>
      <c r="F400" s="24" t="str">
        <f aca="false">IF($A400="","",TEXT(Settings!$B$9,"yyyy-mm-dd"))</f>
        <v/>
      </c>
      <c r="G400" s="24" t="str">
        <f aca="false">IF($A400="","",DAY(Settings!$B$9))</f>
        <v/>
      </c>
      <c r="H400" s="26" t="str">
        <f aca="false">IF($A400="","",ROUND(Payroll!R400-Payroll!L400-Payroll!M400,2))</f>
        <v/>
      </c>
      <c r="I400" s="26" t="str">
        <f aca="false">IF($A400="","",ROUND(Payroll!L400+Payroll!M400,2))</f>
        <v/>
      </c>
      <c r="J400" s="24" t="str">
        <f aca="false">IF($A400="","",0)</f>
        <v/>
      </c>
    </row>
    <row r="401" customFormat="false" ht="15" hidden="false" customHeight="false" outlineLevel="0" collapsed="false">
      <c r="A401" s="24" t="str">
        <f aca="false">IF(AND(Payroll!$A401&lt;&gt;"",N(Payroll!$R401)&gt;0),"EDR","")</f>
        <v/>
      </c>
      <c r="B401" s="24" t="str">
        <f aca="false">IF($A401="","",Payroll!U401)</f>
        <v/>
      </c>
      <c r="C401" s="24" t="str">
        <f aca="false">IF($A401="","",Payroll!S401)</f>
        <v/>
      </c>
      <c r="D401" s="24" t="str">
        <f aca="false">IF($A401="","",SUBSTITUTE(Payroll!T401," ",""))</f>
        <v/>
      </c>
      <c r="E401" s="24" t="str">
        <f aca="false">IF($A401="","",TEXT(Settings!$B$8,"yyyy-mm-dd"))</f>
        <v/>
      </c>
      <c r="F401" s="24" t="str">
        <f aca="false">IF($A401="","",TEXT(Settings!$B$9,"yyyy-mm-dd"))</f>
        <v/>
      </c>
      <c r="G401" s="24" t="str">
        <f aca="false">IF($A401="","",DAY(Settings!$B$9))</f>
        <v/>
      </c>
      <c r="H401" s="26" t="str">
        <f aca="false">IF($A401="","",ROUND(Payroll!R401-Payroll!L401-Payroll!M401,2))</f>
        <v/>
      </c>
      <c r="I401" s="26" t="str">
        <f aca="false">IF($A401="","",ROUND(Payroll!L401+Payroll!M401,2))</f>
        <v/>
      </c>
      <c r="J401" s="24" t="str">
        <f aca="false">IF($A401="","",0)</f>
        <v/>
      </c>
    </row>
    <row r="402" customFormat="false" ht="15" hidden="false" customHeight="false" outlineLevel="0" collapsed="false">
      <c r="A402" s="24" t="str">
        <f aca="false">IF(AND(Payroll!$A402&lt;&gt;"",N(Payroll!$R402)&gt;0),"EDR","")</f>
        <v/>
      </c>
      <c r="B402" s="24" t="str">
        <f aca="false">IF($A402="","",Payroll!U402)</f>
        <v/>
      </c>
      <c r="C402" s="24" t="str">
        <f aca="false">IF($A402="","",Payroll!S402)</f>
        <v/>
      </c>
      <c r="D402" s="24" t="str">
        <f aca="false">IF($A402="","",SUBSTITUTE(Payroll!T402," ",""))</f>
        <v/>
      </c>
      <c r="E402" s="24" t="str">
        <f aca="false">IF($A402="","",TEXT(Settings!$B$8,"yyyy-mm-dd"))</f>
        <v/>
      </c>
      <c r="F402" s="24" t="str">
        <f aca="false">IF($A402="","",TEXT(Settings!$B$9,"yyyy-mm-dd"))</f>
        <v/>
      </c>
      <c r="G402" s="24" t="str">
        <f aca="false">IF($A402="","",DAY(Settings!$B$9))</f>
        <v/>
      </c>
      <c r="H402" s="26" t="str">
        <f aca="false">IF($A402="","",ROUND(Payroll!R402-Payroll!L402-Payroll!M402,2))</f>
        <v/>
      </c>
      <c r="I402" s="26" t="str">
        <f aca="false">IF($A402="","",ROUND(Payroll!L402+Payroll!M402,2))</f>
        <v/>
      </c>
      <c r="J402" s="24" t="str">
        <f aca="false">IF($A402="","",0)</f>
        <v/>
      </c>
    </row>
    <row r="403" customFormat="false" ht="15" hidden="false" customHeight="false" outlineLevel="0" collapsed="false">
      <c r="A403" s="24" t="str">
        <f aca="false">IF(AND(Payroll!$A403&lt;&gt;"",N(Payroll!$R403)&gt;0),"EDR","")</f>
        <v/>
      </c>
      <c r="B403" s="24" t="str">
        <f aca="false">IF($A403="","",Payroll!U403)</f>
        <v/>
      </c>
      <c r="C403" s="24" t="str">
        <f aca="false">IF($A403="","",Payroll!S403)</f>
        <v/>
      </c>
      <c r="D403" s="24" t="str">
        <f aca="false">IF($A403="","",SUBSTITUTE(Payroll!T403," ",""))</f>
        <v/>
      </c>
      <c r="E403" s="24" t="str">
        <f aca="false">IF($A403="","",TEXT(Settings!$B$8,"yyyy-mm-dd"))</f>
        <v/>
      </c>
      <c r="F403" s="24" t="str">
        <f aca="false">IF($A403="","",TEXT(Settings!$B$9,"yyyy-mm-dd"))</f>
        <v/>
      </c>
      <c r="G403" s="24" t="str">
        <f aca="false">IF($A403="","",DAY(Settings!$B$9))</f>
        <v/>
      </c>
      <c r="H403" s="26" t="str">
        <f aca="false">IF($A403="","",ROUND(Payroll!R403-Payroll!L403-Payroll!M403,2))</f>
        <v/>
      </c>
      <c r="I403" s="26" t="str">
        <f aca="false">IF($A403="","",ROUND(Payroll!L403+Payroll!M403,2))</f>
        <v/>
      </c>
      <c r="J403" s="24" t="str">
        <f aca="false">IF($A403="","",0)</f>
        <v/>
      </c>
    </row>
    <row r="404" customFormat="false" ht="15" hidden="false" customHeight="false" outlineLevel="0" collapsed="false">
      <c r="A404" s="24" t="str">
        <f aca="false">IF(AND(Payroll!$A404&lt;&gt;"",N(Payroll!$R404)&gt;0),"EDR","")</f>
        <v/>
      </c>
      <c r="B404" s="24" t="str">
        <f aca="false">IF($A404="","",Payroll!U404)</f>
        <v/>
      </c>
      <c r="C404" s="24" t="str">
        <f aca="false">IF($A404="","",Payroll!S404)</f>
        <v/>
      </c>
      <c r="D404" s="24" t="str">
        <f aca="false">IF($A404="","",SUBSTITUTE(Payroll!T404," ",""))</f>
        <v/>
      </c>
      <c r="E404" s="24" t="str">
        <f aca="false">IF($A404="","",TEXT(Settings!$B$8,"yyyy-mm-dd"))</f>
        <v/>
      </c>
      <c r="F404" s="24" t="str">
        <f aca="false">IF($A404="","",TEXT(Settings!$B$9,"yyyy-mm-dd"))</f>
        <v/>
      </c>
      <c r="G404" s="24" t="str">
        <f aca="false">IF($A404="","",DAY(Settings!$B$9))</f>
        <v/>
      </c>
      <c r="H404" s="26" t="str">
        <f aca="false">IF($A404="","",ROUND(Payroll!R404-Payroll!L404-Payroll!M404,2))</f>
        <v/>
      </c>
      <c r="I404" s="26" t="str">
        <f aca="false">IF($A404="","",ROUND(Payroll!L404+Payroll!M404,2))</f>
        <v/>
      </c>
      <c r="J404" s="24" t="str">
        <f aca="false">IF($A404="","",0)</f>
        <v/>
      </c>
    </row>
    <row r="405" customFormat="false" ht="15" hidden="false" customHeight="false" outlineLevel="0" collapsed="false">
      <c r="A405" s="24" t="str">
        <f aca="false">IF(AND(Payroll!$A405&lt;&gt;"",N(Payroll!$R405)&gt;0),"EDR","")</f>
        <v/>
      </c>
      <c r="B405" s="24" t="str">
        <f aca="false">IF($A405="","",Payroll!U405)</f>
        <v/>
      </c>
      <c r="C405" s="24" t="str">
        <f aca="false">IF($A405="","",Payroll!S405)</f>
        <v/>
      </c>
      <c r="D405" s="24" t="str">
        <f aca="false">IF($A405="","",SUBSTITUTE(Payroll!T405," ",""))</f>
        <v/>
      </c>
      <c r="E405" s="24" t="str">
        <f aca="false">IF($A405="","",TEXT(Settings!$B$8,"yyyy-mm-dd"))</f>
        <v/>
      </c>
      <c r="F405" s="24" t="str">
        <f aca="false">IF($A405="","",TEXT(Settings!$B$9,"yyyy-mm-dd"))</f>
        <v/>
      </c>
      <c r="G405" s="24" t="str">
        <f aca="false">IF($A405="","",DAY(Settings!$B$9))</f>
        <v/>
      </c>
      <c r="H405" s="26" t="str">
        <f aca="false">IF($A405="","",ROUND(Payroll!R405-Payroll!L405-Payroll!M405,2))</f>
        <v/>
      </c>
      <c r="I405" s="26" t="str">
        <f aca="false">IF($A405="","",ROUND(Payroll!L405+Payroll!M405,2))</f>
        <v/>
      </c>
      <c r="J405" s="24" t="str">
        <f aca="false">IF($A405="","",0)</f>
        <v/>
      </c>
    </row>
    <row r="406" customFormat="false" ht="15" hidden="false" customHeight="false" outlineLevel="0" collapsed="false">
      <c r="A406" s="24" t="str">
        <f aca="false">IF(AND(Payroll!$A406&lt;&gt;"",N(Payroll!$R406)&gt;0),"EDR","")</f>
        <v/>
      </c>
      <c r="B406" s="24" t="str">
        <f aca="false">IF($A406="","",Payroll!U406)</f>
        <v/>
      </c>
      <c r="C406" s="24" t="str">
        <f aca="false">IF($A406="","",Payroll!S406)</f>
        <v/>
      </c>
      <c r="D406" s="24" t="str">
        <f aca="false">IF($A406="","",SUBSTITUTE(Payroll!T406," ",""))</f>
        <v/>
      </c>
      <c r="E406" s="24" t="str">
        <f aca="false">IF($A406="","",TEXT(Settings!$B$8,"yyyy-mm-dd"))</f>
        <v/>
      </c>
      <c r="F406" s="24" t="str">
        <f aca="false">IF($A406="","",TEXT(Settings!$B$9,"yyyy-mm-dd"))</f>
        <v/>
      </c>
      <c r="G406" s="24" t="str">
        <f aca="false">IF($A406="","",DAY(Settings!$B$9))</f>
        <v/>
      </c>
      <c r="H406" s="26" t="str">
        <f aca="false">IF($A406="","",ROUND(Payroll!R406-Payroll!L406-Payroll!M406,2))</f>
        <v/>
      </c>
      <c r="I406" s="26" t="str">
        <f aca="false">IF($A406="","",ROUND(Payroll!L406+Payroll!M406,2))</f>
        <v/>
      </c>
      <c r="J406" s="24" t="str">
        <f aca="false">IF($A406="","",0)</f>
        <v/>
      </c>
    </row>
    <row r="407" customFormat="false" ht="15" hidden="false" customHeight="false" outlineLevel="0" collapsed="false">
      <c r="A407" s="24" t="str">
        <f aca="false">IF(AND(Payroll!$A407&lt;&gt;"",N(Payroll!$R407)&gt;0),"EDR","")</f>
        <v/>
      </c>
      <c r="B407" s="24" t="str">
        <f aca="false">IF($A407="","",Payroll!U407)</f>
        <v/>
      </c>
      <c r="C407" s="24" t="str">
        <f aca="false">IF($A407="","",Payroll!S407)</f>
        <v/>
      </c>
      <c r="D407" s="24" t="str">
        <f aca="false">IF($A407="","",SUBSTITUTE(Payroll!T407," ",""))</f>
        <v/>
      </c>
      <c r="E407" s="24" t="str">
        <f aca="false">IF($A407="","",TEXT(Settings!$B$8,"yyyy-mm-dd"))</f>
        <v/>
      </c>
      <c r="F407" s="24" t="str">
        <f aca="false">IF($A407="","",TEXT(Settings!$B$9,"yyyy-mm-dd"))</f>
        <v/>
      </c>
      <c r="G407" s="24" t="str">
        <f aca="false">IF($A407="","",DAY(Settings!$B$9))</f>
        <v/>
      </c>
      <c r="H407" s="26" t="str">
        <f aca="false">IF($A407="","",ROUND(Payroll!R407-Payroll!L407-Payroll!M407,2))</f>
        <v/>
      </c>
      <c r="I407" s="26" t="str">
        <f aca="false">IF($A407="","",ROUND(Payroll!L407+Payroll!M407,2))</f>
        <v/>
      </c>
      <c r="J407" s="24" t="str">
        <f aca="false">IF($A407="","",0)</f>
        <v/>
      </c>
    </row>
    <row r="408" customFormat="false" ht="15" hidden="false" customHeight="false" outlineLevel="0" collapsed="false">
      <c r="A408" s="24" t="str">
        <f aca="false">IF(AND(Payroll!$A408&lt;&gt;"",N(Payroll!$R408)&gt;0),"EDR","")</f>
        <v/>
      </c>
      <c r="B408" s="24" t="str">
        <f aca="false">IF($A408="","",Payroll!U408)</f>
        <v/>
      </c>
      <c r="C408" s="24" t="str">
        <f aca="false">IF($A408="","",Payroll!S408)</f>
        <v/>
      </c>
      <c r="D408" s="24" t="str">
        <f aca="false">IF($A408="","",SUBSTITUTE(Payroll!T408," ",""))</f>
        <v/>
      </c>
      <c r="E408" s="24" t="str">
        <f aca="false">IF($A408="","",TEXT(Settings!$B$8,"yyyy-mm-dd"))</f>
        <v/>
      </c>
      <c r="F408" s="24" t="str">
        <f aca="false">IF($A408="","",TEXT(Settings!$B$9,"yyyy-mm-dd"))</f>
        <v/>
      </c>
      <c r="G408" s="24" t="str">
        <f aca="false">IF($A408="","",DAY(Settings!$B$9))</f>
        <v/>
      </c>
      <c r="H408" s="26" t="str">
        <f aca="false">IF($A408="","",ROUND(Payroll!R408-Payroll!L408-Payroll!M408,2))</f>
        <v/>
      </c>
      <c r="I408" s="26" t="str">
        <f aca="false">IF($A408="","",ROUND(Payroll!L408+Payroll!M408,2))</f>
        <v/>
      </c>
      <c r="J408" s="24" t="str">
        <f aca="false">IF($A408="","",0)</f>
        <v/>
      </c>
    </row>
    <row r="409" customFormat="false" ht="15" hidden="false" customHeight="false" outlineLevel="0" collapsed="false">
      <c r="A409" s="24" t="str">
        <f aca="false">IF(AND(Payroll!$A409&lt;&gt;"",N(Payroll!$R409)&gt;0),"EDR","")</f>
        <v/>
      </c>
      <c r="B409" s="24" t="str">
        <f aca="false">IF($A409="","",Payroll!U409)</f>
        <v/>
      </c>
      <c r="C409" s="24" t="str">
        <f aca="false">IF($A409="","",Payroll!S409)</f>
        <v/>
      </c>
      <c r="D409" s="24" t="str">
        <f aca="false">IF($A409="","",SUBSTITUTE(Payroll!T409," ",""))</f>
        <v/>
      </c>
      <c r="E409" s="24" t="str">
        <f aca="false">IF($A409="","",TEXT(Settings!$B$8,"yyyy-mm-dd"))</f>
        <v/>
      </c>
      <c r="F409" s="24" t="str">
        <f aca="false">IF($A409="","",TEXT(Settings!$B$9,"yyyy-mm-dd"))</f>
        <v/>
      </c>
      <c r="G409" s="24" t="str">
        <f aca="false">IF($A409="","",DAY(Settings!$B$9))</f>
        <v/>
      </c>
      <c r="H409" s="26" t="str">
        <f aca="false">IF($A409="","",ROUND(Payroll!R409-Payroll!L409-Payroll!M409,2))</f>
        <v/>
      </c>
      <c r="I409" s="26" t="str">
        <f aca="false">IF($A409="","",ROUND(Payroll!L409+Payroll!M409,2))</f>
        <v/>
      </c>
      <c r="J409" s="24" t="str">
        <f aca="false">IF($A409="","",0)</f>
        <v/>
      </c>
    </row>
    <row r="410" customFormat="false" ht="15" hidden="false" customHeight="false" outlineLevel="0" collapsed="false">
      <c r="A410" s="24" t="str">
        <f aca="false">IF(AND(Payroll!$A410&lt;&gt;"",N(Payroll!$R410)&gt;0),"EDR","")</f>
        <v/>
      </c>
      <c r="B410" s="24" t="str">
        <f aca="false">IF($A410="","",Payroll!U410)</f>
        <v/>
      </c>
      <c r="C410" s="24" t="str">
        <f aca="false">IF($A410="","",Payroll!S410)</f>
        <v/>
      </c>
      <c r="D410" s="24" t="str">
        <f aca="false">IF($A410="","",SUBSTITUTE(Payroll!T410," ",""))</f>
        <v/>
      </c>
      <c r="E410" s="24" t="str">
        <f aca="false">IF($A410="","",TEXT(Settings!$B$8,"yyyy-mm-dd"))</f>
        <v/>
      </c>
      <c r="F410" s="24" t="str">
        <f aca="false">IF($A410="","",TEXT(Settings!$B$9,"yyyy-mm-dd"))</f>
        <v/>
      </c>
      <c r="G410" s="24" t="str">
        <f aca="false">IF($A410="","",DAY(Settings!$B$9))</f>
        <v/>
      </c>
      <c r="H410" s="26" t="str">
        <f aca="false">IF($A410="","",ROUND(Payroll!R410-Payroll!L410-Payroll!M410,2))</f>
        <v/>
      </c>
      <c r="I410" s="26" t="str">
        <f aca="false">IF($A410="","",ROUND(Payroll!L410+Payroll!M410,2))</f>
        <v/>
      </c>
      <c r="J410" s="24" t="str">
        <f aca="false">IF($A410="","",0)</f>
        <v/>
      </c>
    </row>
    <row r="411" customFormat="false" ht="15" hidden="false" customHeight="false" outlineLevel="0" collapsed="false">
      <c r="A411" s="24" t="str">
        <f aca="false">IF(AND(Payroll!$A411&lt;&gt;"",N(Payroll!$R411)&gt;0),"EDR","")</f>
        <v/>
      </c>
      <c r="B411" s="24" t="str">
        <f aca="false">IF($A411="","",Payroll!U411)</f>
        <v/>
      </c>
      <c r="C411" s="24" t="str">
        <f aca="false">IF($A411="","",Payroll!S411)</f>
        <v/>
      </c>
      <c r="D411" s="24" t="str">
        <f aca="false">IF($A411="","",SUBSTITUTE(Payroll!T411," ",""))</f>
        <v/>
      </c>
      <c r="E411" s="24" t="str">
        <f aca="false">IF($A411="","",TEXT(Settings!$B$8,"yyyy-mm-dd"))</f>
        <v/>
      </c>
      <c r="F411" s="24" t="str">
        <f aca="false">IF($A411="","",TEXT(Settings!$B$9,"yyyy-mm-dd"))</f>
        <v/>
      </c>
      <c r="G411" s="24" t="str">
        <f aca="false">IF($A411="","",DAY(Settings!$B$9))</f>
        <v/>
      </c>
      <c r="H411" s="26" t="str">
        <f aca="false">IF($A411="","",ROUND(Payroll!R411-Payroll!L411-Payroll!M411,2))</f>
        <v/>
      </c>
      <c r="I411" s="26" t="str">
        <f aca="false">IF($A411="","",ROUND(Payroll!L411+Payroll!M411,2))</f>
        <v/>
      </c>
      <c r="J411" s="24" t="str">
        <f aca="false">IF($A411="","",0)</f>
        <v/>
      </c>
    </row>
    <row r="412" customFormat="false" ht="15" hidden="false" customHeight="false" outlineLevel="0" collapsed="false">
      <c r="A412" s="24" t="str">
        <f aca="false">IF(AND(Payroll!$A412&lt;&gt;"",N(Payroll!$R412)&gt;0),"EDR","")</f>
        <v/>
      </c>
      <c r="B412" s="24" t="str">
        <f aca="false">IF($A412="","",Payroll!U412)</f>
        <v/>
      </c>
      <c r="C412" s="24" t="str">
        <f aca="false">IF($A412="","",Payroll!S412)</f>
        <v/>
      </c>
      <c r="D412" s="24" t="str">
        <f aca="false">IF($A412="","",SUBSTITUTE(Payroll!T412," ",""))</f>
        <v/>
      </c>
      <c r="E412" s="24" t="str">
        <f aca="false">IF($A412="","",TEXT(Settings!$B$8,"yyyy-mm-dd"))</f>
        <v/>
      </c>
      <c r="F412" s="24" t="str">
        <f aca="false">IF($A412="","",TEXT(Settings!$B$9,"yyyy-mm-dd"))</f>
        <v/>
      </c>
      <c r="G412" s="24" t="str">
        <f aca="false">IF($A412="","",DAY(Settings!$B$9))</f>
        <v/>
      </c>
      <c r="H412" s="26" t="str">
        <f aca="false">IF($A412="","",ROUND(Payroll!R412-Payroll!L412-Payroll!M412,2))</f>
        <v/>
      </c>
      <c r="I412" s="26" t="str">
        <f aca="false">IF($A412="","",ROUND(Payroll!L412+Payroll!M412,2))</f>
        <v/>
      </c>
      <c r="J412" s="24" t="str">
        <f aca="false">IF($A412="","",0)</f>
        <v/>
      </c>
    </row>
    <row r="413" customFormat="false" ht="15" hidden="false" customHeight="false" outlineLevel="0" collapsed="false">
      <c r="A413" s="24" t="str">
        <f aca="false">IF(AND(Payroll!$A413&lt;&gt;"",N(Payroll!$R413)&gt;0),"EDR","")</f>
        <v/>
      </c>
      <c r="B413" s="24" t="str">
        <f aca="false">IF($A413="","",Payroll!U413)</f>
        <v/>
      </c>
      <c r="C413" s="24" t="str">
        <f aca="false">IF($A413="","",Payroll!S413)</f>
        <v/>
      </c>
      <c r="D413" s="24" t="str">
        <f aca="false">IF($A413="","",SUBSTITUTE(Payroll!T413," ",""))</f>
        <v/>
      </c>
      <c r="E413" s="24" t="str">
        <f aca="false">IF($A413="","",TEXT(Settings!$B$8,"yyyy-mm-dd"))</f>
        <v/>
      </c>
      <c r="F413" s="24" t="str">
        <f aca="false">IF($A413="","",TEXT(Settings!$B$9,"yyyy-mm-dd"))</f>
        <v/>
      </c>
      <c r="G413" s="24" t="str">
        <f aca="false">IF($A413="","",DAY(Settings!$B$9))</f>
        <v/>
      </c>
      <c r="H413" s="26" t="str">
        <f aca="false">IF($A413="","",ROUND(Payroll!R413-Payroll!L413-Payroll!M413,2))</f>
        <v/>
      </c>
      <c r="I413" s="26" t="str">
        <f aca="false">IF($A413="","",ROUND(Payroll!L413+Payroll!M413,2))</f>
        <v/>
      </c>
      <c r="J413" s="24" t="str">
        <f aca="false">IF($A413="","",0)</f>
        <v/>
      </c>
    </row>
    <row r="414" customFormat="false" ht="15" hidden="false" customHeight="false" outlineLevel="0" collapsed="false">
      <c r="A414" s="24" t="str">
        <f aca="false">IF(AND(Payroll!$A414&lt;&gt;"",N(Payroll!$R414)&gt;0),"EDR","")</f>
        <v/>
      </c>
      <c r="B414" s="24" t="str">
        <f aca="false">IF($A414="","",Payroll!U414)</f>
        <v/>
      </c>
      <c r="C414" s="24" t="str">
        <f aca="false">IF($A414="","",Payroll!S414)</f>
        <v/>
      </c>
      <c r="D414" s="24" t="str">
        <f aca="false">IF($A414="","",SUBSTITUTE(Payroll!T414," ",""))</f>
        <v/>
      </c>
      <c r="E414" s="24" t="str">
        <f aca="false">IF($A414="","",TEXT(Settings!$B$8,"yyyy-mm-dd"))</f>
        <v/>
      </c>
      <c r="F414" s="24" t="str">
        <f aca="false">IF($A414="","",TEXT(Settings!$B$9,"yyyy-mm-dd"))</f>
        <v/>
      </c>
      <c r="G414" s="24" t="str">
        <f aca="false">IF($A414="","",DAY(Settings!$B$9))</f>
        <v/>
      </c>
      <c r="H414" s="26" t="str">
        <f aca="false">IF($A414="","",ROUND(Payroll!R414-Payroll!L414-Payroll!M414,2))</f>
        <v/>
      </c>
      <c r="I414" s="26" t="str">
        <f aca="false">IF($A414="","",ROUND(Payroll!L414+Payroll!M414,2))</f>
        <v/>
      </c>
      <c r="J414" s="24" t="str">
        <f aca="false">IF($A414="","",0)</f>
        <v/>
      </c>
    </row>
    <row r="415" customFormat="false" ht="15" hidden="false" customHeight="false" outlineLevel="0" collapsed="false">
      <c r="A415" s="24" t="str">
        <f aca="false">IF(AND(Payroll!$A415&lt;&gt;"",N(Payroll!$R415)&gt;0),"EDR","")</f>
        <v/>
      </c>
      <c r="B415" s="24" t="str">
        <f aca="false">IF($A415="","",Payroll!U415)</f>
        <v/>
      </c>
      <c r="C415" s="24" t="str">
        <f aca="false">IF($A415="","",Payroll!S415)</f>
        <v/>
      </c>
      <c r="D415" s="24" t="str">
        <f aca="false">IF($A415="","",SUBSTITUTE(Payroll!T415," ",""))</f>
        <v/>
      </c>
      <c r="E415" s="24" t="str">
        <f aca="false">IF($A415="","",TEXT(Settings!$B$8,"yyyy-mm-dd"))</f>
        <v/>
      </c>
      <c r="F415" s="24" t="str">
        <f aca="false">IF($A415="","",TEXT(Settings!$B$9,"yyyy-mm-dd"))</f>
        <v/>
      </c>
      <c r="G415" s="24" t="str">
        <f aca="false">IF($A415="","",DAY(Settings!$B$9))</f>
        <v/>
      </c>
      <c r="H415" s="26" t="str">
        <f aca="false">IF($A415="","",ROUND(Payroll!R415-Payroll!L415-Payroll!M415,2))</f>
        <v/>
      </c>
      <c r="I415" s="26" t="str">
        <f aca="false">IF($A415="","",ROUND(Payroll!L415+Payroll!M415,2))</f>
        <v/>
      </c>
      <c r="J415" s="24" t="str">
        <f aca="false">IF($A415="","",0)</f>
        <v/>
      </c>
    </row>
    <row r="416" customFormat="false" ht="15" hidden="false" customHeight="false" outlineLevel="0" collapsed="false">
      <c r="A416" s="24" t="str">
        <f aca="false">IF(AND(Payroll!$A416&lt;&gt;"",N(Payroll!$R416)&gt;0),"EDR","")</f>
        <v/>
      </c>
      <c r="B416" s="24" t="str">
        <f aca="false">IF($A416="","",Payroll!U416)</f>
        <v/>
      </c>
      <c r="C416" s="24" t="str">
        <f aca="false">IF($A416="","",Payroll!S416)</f>
        <v/>
      </c>
      <c r="D416" s="24" t="str">
        <f aca="false">IF($A416="","",SUBSTITUTE(Payroll!T416," ",""))</f>
        <v/>
      </c>
      <c r="E416" s="24" t="str">
        <f aca="false">IF($A416="","",TEXT(Settings!$B$8,"yyyy-mm-dd"))</f>
        <v/>
      </c>
      <c r="F416" s="24" t="str">
        <f aca="false">IF($A416="","",TEXT(Settings!$B$9,"yyyy-mm-dd"))</f>
        <v/>
      </c>
      <c r="G416" s="24" t="str">
        <f aca="false">IF($A416="","",DAY(Settings!$B$9))</f>
        <v/>
      </c>
      <c r="H416" s="26" t="str">
        <f aca="false">IF($A416="","",ROUND(Payroll!R416-Payroll!L416-Payroll!M416,2))</f>
        <v/>
      </c>
      <c r="I416" s="26" t="str">
        <f aca="false">IF($A416="","",ROUND(Payroll!L416+Payroll!M416,2))</f>
        <v/>
      </c>
      <c r="J416" s="24" t="str">
        <f aca="false">IF($A416="","",0)</f>
        <v/>
      </c>
    </row>
    <row r="417" customFormat="false" ht="15" hidden="false" customHeight="false" outlineLevel="0" collapsed="false">
      <c r="A417" s="24" t="str">
        <f aca="false">IF(AND(Payroll!$A417&lt;&gt;"",N(Payroll!$R417)&gt;0),"EDR","")</f>
        <v/>
      </c>
      <c r="B417" s="24" t="str">
        <f aca="false">IF($A417="","",Payroll!U417)</f>
        <v/>
      </c>
      <c r="C417" s="24" t="str">
        <f aca="false">IF($A417="","",Payroll!S417)</f>
        <v/>
      </c>
      <c r="D417" s="24" t="str">
        <f aca="false">IF($A417="","",SUBSTITUTE(Payroll!T417," ",""))</f>
        <v/>
      </c>
      <c r="E417" s="24" t="str">
        <f aca="false">IF($A417="","",TEXT(Settings!$B$8,"yyyy-mm-dd"))</f>
        <v/>
      </c>
      <c r="F417" s="24" t="str">
        <f aca="false">IF($A417="","",TEXT(Settings!$B$9,"yyyy-mm-dd"))</f>
        <v/>
      </c>
      <c r="G417" s="24" t="str">
        <f aca="false">IF($A417="","",DAY(Settings!$B$9))</f>
        <v/>
      </c>
      <c r="H417" s="26" t="str">
        <f aca="false">IF($A417="","",ROUND(Payroll!R417-Payroll!L417-Payroll!M417,2))</f>
        <v/>
      </c>
      <c r="I417" s="26" t="str">
        <f aca="false">IF($A417="","",ROUND(Payroll!L417+Payroll!M417,2))</f>
        <v/>
      </c>
      <c r="J417" s="24" t="str">
        <f aca="false">IF($A417="","",0)</f>
        <v/>
      </c>
    </row>
    <row r="418" customFormat="false" ht="15" hidden="false" customHeight="false" outlineLevel="0" collapsed="false">
      <c r="A418" s="24" t="str">
        <f aca="false">IF(AND(Payroll!$A418&lt;&gt;"",N(Payroll!$R418)&gt;0),"EDR","")</f>
        <v/>
      </c>
      <c r="B418" s="24" t="str">
        <f aca="false">IF($A418="","",Payroll!U418)</f>
        <v/>
      </c>
      <c r="C418" s="24" t="str">
        <f aca="false">IF($A418="","",Payroll!S418)</f>
        <v/>
      </c>
      <c r="D418" s="24" t="str">
        <f aca="false">IF($A418="","",SUBSTITUTE(Payroll!T418," ",""))</f>
        <v/>
      </c>
      <c r="E418" s="24" t="str">
        <f aca="false">IF($A418="","",TEXT(Settings!$B$8,"yyyy-mm-dd"))</f>
        <v/>
      </c>
      <c r="F418" s="24" t="str">
        <f aca="false">IF($A418="","",TEXT(Settings!$B$9,"yyyy-mm-dd"))</f>
        <v/>
      </c>
      <c r="G418" s="24" t="str">
        <f aca="false">IF($A418="","",DAY(Settings!$B$9))</f>
        <v/>
      </c>
      <c r="H418" s="26" t="str">
        <f aca="false">IF($A418="","",ROUND(Payroll!R418-Payroll!L418-Payroll!M418,2))</f>
        <v/>
      </c>
      <c r="I418" s="26" t="str">
        <f aca="false">IF($A418="","",ROUND(Payroll!L418+Payroll!M418,2))</f>
        <v/>
      </c>
      <c r="J418" s="24" t="str">
        <f aca="false">IF($A418="","",0)</f>
        <v/>
      </c>
    </row>
    <row r="419" customFormat="false" ht="15" hidden="false" customHeight="false" outlineLevel="0" collapsed="false">
      <c r="A419" s="24" t="str">
        <f aca="false">IF(AND(Payroll!$A419&lt;&gt;"",N(Payroll!$R419)&gt;0),"EDR","")</f>
        <v/>
      </c>
      <c r="B419" s="24" t="str">
        <f aca="false">IF($A419="","",Payroll!U419)</f>
        <v/>
      </c>
      <c r="C419" s="24" t="str">
        <f aca="false">IF($A419="","",Payroll!S419)</f>
        <v/>
      </c>
      <c r="D419" s="24" t="str">
        <f aca="false">IF($A419="","",SUBSTITUTE(Payroll!T419," ",""))</f>
        <v/>
      </c>
      <c r="E419" s="24" t="str">
        <f aca="false">IF($A419="","",TEXT(Settings!$B$8,"yyyy-mm-dd"))</f>
        <v/>
      </c>
      <c r="F419" s="24" t="str">
        <f aca="false">IF($A419="","",TEXT(Settings!$B$9,"yyyy-mm-dd"))</f>
        <v/>
      </c>
      <c r="G419" s="24" t="str">
        <f aca="false">IF($A419="","",DAY(Settings!$B$9))</f>
        <v/>
      </c>
      <c r="H419" s="26" t="str">
        <f aca="false">IF($A419="","",ROUND(Payroll!R419-Payroll!L419-Payroll!M419,2))</f>
        <v/>
      </c>
      <c r="I419" s="26" t="str">
        <f aca="false">IF($A419="","",ROUND(Payroll!L419+Payroll!M419,2))</f>
        <v/>
      </c>
      <c r="J419" s="24" t="str">
        <f aca="false">IF($A419="","",0)</f>
        <v/>
      </c>
    </row>
    <row r="420" customFormat="false" ht="15" hidden="false" customHeight="false" outlineLevel="0" collapsed="false">
      <c r="A420" s="24" t="str">
        <f aca="false">IF(AND(Payroll!$A420&lt;&gt;"",N(Payroll!$R420)&gt;0),"EDR","")</f>
        <v/>
      </c>
      <c r="B420" s="24" t="str">
        <f aca="false">IF($A420="","",Payroll!U420)</f>
        <v/>
      </c>
      <c r="C420" s="24" t="str">
        <f aca="false">IF($A420="","",Payroll!S420)</f>
        <v/>
      </c>
      <c r="D420" s="24" t="str">
        <f aca="false">IF($A420="","",SUBSTITUTE(Payroll!T420," ",""))</f>
        <v/>
      </c>
      <c r="E420" s="24" t="str">
        <f aca="false">IF($A420="","",TEXT(Settings!$B$8,"yyyy-mm-dd"))</f>
        <v/>
      </c>
      <c r="F420" s="24" t="str">
        <f aca="false">IF($A420="","",TEXT(Settings!$B$9,"yyyy-mm-dd"))</f>
        <v/>
      </c>
      <c r="G420" s="24" t="str">
        <f aca="false">IF($A420="","",DAY(Settings!$B$9))</f>
        <v/>
      </c>
      <c r="H420" s="26" t="str">
        <f aca="false">IF($A420="","",ROUND(Payroll!R420-Payroll!L420-Payroll!M420,2))</f>
        <v/>
      </c>
      <c r="I420" s="26" t="str">
        <f aca="false">IF($A420="","",ROUND(Payroll!L420+Payroll!M420,2))</f>
        <v/>
      </c>
      <c r="J420" s="24" t="str">
        <f aca="false">IF($A420="","",0)</f>
        <v/>
      </c>
    </row>
    <row r="421" customFormat="false" ht="15" hidden="false" customHeight="false" outlineLevel="0" collapsed="false">
      <c r="A421" s="24" t="str">
        <f aca="false">IF(AND(Payroll!$A421&lt;&gt;"",N(Payroll!$R421)&gt;0),"EDR","")</f>
        <v/>
      </c>
      <c r="B421" s="24" t="str">
        <f aca="false">IF($A421="","",Payroll!U421)</f>
        <v/>
      </c>
      <c r="C421" s="24" t="str">
        <f aca="false">IF($A421="","",Payroll!S421)</f>
        <v/>
      </c>
      <c r="D421" s="24" t="str">
        <f aca="false">IF($A421="","",SUBSTITUTE(Payroll!T421," ",""))</f>
        <v/>
      </c>
      <c r="E421" s="24" t="str">
        <f aca="false">IF($A421="","",TEXT(Settings!$B$8,"yyyy-mm-dd"))</f>
        <v/>
      </c>
      <c r="F421" s="24" t="str">
        <f aca="false">IF($A421="","",TEXT(Settings!$B$9,"yyyy-mm-dd"))</f>
        <v/>
      </c>
      <c r="G421" s="24" t="str">
        <f aca="false">IF($A421="","",DAY(Settings!$B$9))</f>
        <v/>
      </c>
      <c r="H421" s="26" t="str">
        <f aca="false">IF($A421="","",ROUND(Payroll!R421-Payroll!L421-Payroll!M421,2))</f>
        <v/>
      </c>
      <c r="I421" s="26" t="str">
        <f aca="false">IF($A421="","",ROUND(Payroll!L421+Payroll!M421,2))</f>
        <v/>
      </c>
      <c r="J421" s="24" t="str">
        <f aca="false">IF($A421="","",0)</f>
        <v/>
      </c>
    </row>
    <row r="422" customFormat="false" ht="15" hidden="false" customHeight="false" outlineLevel="0" collapsed="false">
      <c r="A422" s="24" t="str">
        <f aca="false">IF(AND(Payroll!$A422&lt;&gt;"",N(Payroll!$R422)&gt;0),"EDR","")</f>
        <v/>
      </c>
      <c r="B422" s="24" t="str">
        <f aca="false">IF($A422="","",Payroll!U422)</f>
        <v/>
      </c>
      <c r="C422" s="24" t="str">
        <f aca="false">IF($A422="","",Payroll!S422)</f>
        <v/>
      </c>
      <c r="D422" s="24" t="str">
        <f aca="false">IF($A422="","",SUBSTITUTE(Payroll!T422," ",""))</f>
        <v/>
      </c>
      <c r="E422" s="24" t="str">
        <f aca="false">IF($A422="","",TEXT(Settings!$B$8,"yyyy-mm-dd"))</f>
        <v/>
      </c>
      <c r="F422" s="24" t="str">
        <f aca="false">IF($A422="","",TEXT(Settings!$B$9,"yyyy-mm-dd"))</f>
        <v/>
      </c>
      <c r="G422" s="24" t="str">
        <f aca="false">IF($A422="","",DAY(Settings!$B$9))</f>
        <v/>
      </c>
      <c r="H422" s="26" t="str">
        <f aca="false">IF($A422="","",ROUND(Payroll!R422-Payroll!L422-Payroll!M422,2))</f>
        <v/>
      </c>
      <c r="I422" s="26" t="str">
        <f aca="false">IF($A422="","",ROUND(Payroll!L422+Payroll!M422,2))</f>
        <v/>
      </c>
      <c r="J422" s="24" t="str">
        <f aca="false">IF($A422="","",0)</f>
        <v/>
      </c>
    </row>
    <row r="423" customFormat="false" ht="15" hidden="false" customHeight="false" outlineLevel="0" collapsed="false">
      <c r="A423" s="24" t="str">
        <f aca="false">IF(AND(Payroll!$A423&lt;&gt;"",N(Payroll!$R423)&gt;0),"EDR","")</f>
        <v/>
      </c>
      <c r="B423" s="24" t="str">
        <f aca="false">IF($A423="","",Payroll!U423)</f>
        <v/>
      </c>
      <c r="C423" s="24" t="str">
        <f aca="false">IF($A423="","",Payroll!S423)</f>
        <v/>
      </c>
      <c r="D423" s="24" t="str">
        <f aca="false">IF($A423="","",SUBSTITUTE(Payroll!T423," ",""))</f>
        <v/>
      </c>
      <c r="E423" s="24" t="str">
        <f aca="false">IF($A423="","",TEXT(Settings!$B$8,"yyyy-mm-dd"))</f>
        <v/>
      </c>
      <c r="F423" s="24" t="str">
        <f aca="false">IF($A423="","",TEXT(Settings!$B$9,"yyyy-mm-dd"))</f>
        <v/>
      </c>
      <c r="G423" s="24" t="str">
        <f aca="false">IF($A423="","",DAY(Settings!$B$9))</f>
        <v/>
      </c>
      <c r="H423" s="26" t="str">
        <f aca="false">IF($A423="","",ROUND(Payroll!R423-Payroll!L423-Payroll!M423,2))</f>
        <v/>
      </c>
      <c r="I423" s="26" t="str">
        <f aca="false">IF($A423="","",ROUND(Payroll!L423+Payroll!M423,2))</f>
        <v/>
      </c>
      <c r="J423" s="24" t="str">
        <f aca="false">IF($A423="","",0)</f>
        <v/>
      </c>
    </row>
    <row r="424" customFormat="false" ht="15" hidden="false" customHeight="false" outlineLevel="0" collapsed="false">
      <c r="A424" s="24" t="str">
        <f aca="false">IF(AND(Payroll!$A424&lt;&gt;"",N(Payroll!$R424)&gt;0),"EDR","")</f>
        <v/>
      </c>
      <c r="B424" s="24" t="str">
        <f aca="false">IF($A424="","",Payroll!U424)</f>
        <v/>
      </c>
      <c r="C424" s="24" t="str">
        <f aca="false">IF($A424="","",Payroll!S424)</f>
        <v/>
      </c>
      <c r="D424" s="24" t="str">
        <f aca="false">IF($A424="","",SUBSTITUTE(Payroll!T424," ",""))</f>
        <v/>
      </c>
      <c r="E424" s="24" t="str">
        <f aca="false">IF($A424="","",TEXT(Settings!$B$8,"yyyy-mm-dd"))</f>
        <v/>
      </c>
      <c r="F424" s="24" t="str">
        <f aca="false">IF($A424="","",TEXT(Settings!$B$9,"yyyy-mm-dd"))</f>
        <v/>
      </c>
      <c r="G424" s="24" t="str">
        <f aca="false">IF($A424="","",DAY(Settings!$B$9))</f>
        <v/>
      </c>
      <c r="H424" s="26" t="str">
        <f aca="false">IF($A424="","",ROUND(Payroll!R424-Payroll!L424-Payroll!M424,2))</f>
        <v/>
      </c>
      <c r="I424" s="26" t="str">
        <f aca="false">IF($A424="","",ROUND(Payroll!L424+Payroll!M424,2))</f>
        <v/>
      </c>
      <c r="J424" s="24" t="str">
        <f aca="false">IF($A424="","",0)</f>
        <v/>
      </c>
    </row>
    <row r="425" customFormat="false" ht="15" hidden="false" customHeight="false" outlineLevel="0" collapsed="false">
      <c r="A425" s="24" t="str">
        <f aca="false">IF(AND(Payroll!$A425&lt;&gt;"",N(Payroll!$R425)&gt;0),"EDR","")</f>
        <v/>
      </c>
      <c r="B425" s="24" t="str">
        <f aca="false">IF($A425="","",Payroll!U425)</f>
        <v/>
      </c>
      <c r="C425" s="24" t="str">
        <f aca="false">IF($A425="","",Payroll!S425)</f>
        <v/>
      </c>
      <c r="D425" s="24" t="str">
        <f aca="false">IF($A425="","",SUBSTITUTE(Payroll!T425," ",""))</f>
        <v/>
      </c>
      <c r="E425" s="24" t="str">
        <f aca="false">IF($A425="","",TEXT(Settings!$B$8,"yyyy-mm-dd"))</f>
        <v/>
      </c>
      <c r="F425" s="24" t="str">
        <f aca="false">IF($A425="","",TEXT(Settings!$B$9,"yyyy-mm-dd"))</f>
        <v/>
      </c>
      <c r="G425" s="24" t="str">
        <f aca="false">IF($A425="","",DAY(Settings!$B$9))</f>
        <v/>
      </c>
      <c r="H425" s="26" t="str">
        <f aca="false">IF($A425="","",ROUND(Payroll!R425-Payroll!L425-Payroll!M425,2))</f>
        <v/>
      </c>
      <c r="I425" s="26" t="str">
        <f aca="false">IF($A425="","",ROUND(Payroll!L425+Payroll!M425,2))</f>
        <v/>
      </c>
      <c r="J425" s="24" t="str">
        <f aca="false">IF($A425="","",0)</f>
        <v/>
      </c>
    </row>
    <row r="426" customFormat="false" ht="15" hidden="false" customHeight="false" outlineLevel="0" collapsed="false">
      <c r="A426" s="24" t="str">
        <f aca="false">IF(AND(Payroll!$A426&lt;&gt;"",N(Payroll!$R426)&gt;0),"EDR","")</f>
        <v/>
      </c>
      <c r="B426" s="24" t="str">
        <f aca="false">IF($A426="","",Payroll!U426)</f>
        <v/>
      </c>
      <c r="C426" s="24" t="str">
        <f aca="false">IF($A426="","",Payroll!S426)</f>
        <v/>
      </c>
      <c r="D426" s="24" t="str">
        <f aca="false">IF($A426="","",SUBSTITUTE(Payroll!T426," ",""))</f>
        <v/>
      </c>
      <c r="E426" s="24" t="str">
        <f aca="false">IF($A426="","",TEXT(Settings!$B$8,"yyyy-mm-dd"))</f>
        <v/>
      </c>
      <c r="F426" s="24" t="str">
        <f aca="false">IF($A426="","",TEXT(Settings!$B$9,"yyyy-mm-dd"))</f>
        <v/>
      </c>
      <c r="G426" s="24" t="str">
        <f aca="false">IF($A426="","",DAY(Settings!$B$9))</f>
        <v/>
      </c>
      <c r="H426" s="26" t="str">
        <f aca="false">IF($A426="","",ROUND(Payroll!R426-Payroll!L426-Payroll!M426,2))</f>
        <v/>
      </c>
      <c r="I426" s="26" t="str">
        <f aca="false">IF($A426="","",ROUND(Payroll!L426+Payroll!M426,2))</f>
        <v/>
      </c>
      <c r="J426" s="24" t="str">
        <f aca="false">IF($A426="","",0)</f>
        <v/>
      </c>
    </row>
    <row r="427" customFormat="false" ht="15" hidden="false" customHeight="false" outlineLevel="0" collapsed="false">
      <c r="A427" s="24" t="str">
        <f aca="false">IF(AND(Payroll!$A427&lt;&gt;"",N(Payroll!$R427)&gt;0),"EDR","")</f>
        <v/>
      </c>
      <c r="B427" s="24" t="str">
        <f aca="false">IF($A427="","",Payroll!U427)</f>
        <v/>
      </c>
      <c r="C427" s="24" t="str">
        <f aca="false">IF($A427="","",Payroll!S427)</f>
        <v/>
      </c>
      <c r="D427" s="24" t="str">
        <f aca="false">IF($A427="","",SUBSTITUTE(Payroll!T427," ",""))</f>
        <v/>
      </c>
      <c r="E427" s="24" t="str">
        <f aca="false">IF($A427="","",TEXT(Settings!$B$8,"yyyy-mm-dd"))</f>
        <v/>
      </c>
      <c r="F427" s="24" t="str">
        <f aca="false">IF($A427="","",TEXT(Settings!$B$9,"yyyy-mm-dd"))</f>
        <v/>
      </c>
      <c r="G427" s="24" t="str">
        <f aca="false">IF($A427="","",DAY(Settings!$B$9))</f>
        <v/>
      </c>
      <c r="H427" s="26" t="str">
        <f aca="false">IF($A427="","",ROUND(Payroll!R427-Payroll!L427-Payroll!M427,2))</f>
        <v/>
      </c>
      <c r="I427" s="26" t="str">
        <f aca="false">IF($A427="","",ROUND(Payroll!L427+Payroll!M427,2))</f>
        <v/>
      </c>
      <c r="J427" s="24" t="str">
        <f aca="false">IF($A427="","",0)</f>
        <v/>
      </c>
    </row>
    <row r="428" customFormat="false" ht="15" hidden="false" customHeight="false" outlineLevel="0" collapsed="false">
      <c r="A428" s="24" t="str">
        <f aca="false">IF(AND(Payroll!$A428&lt;&gt;"",N(Payroll!$R428)&gt;0),"EDR","")</f>
        <v/>
      </c>
      <c r="B428" s="24" t="str">
        <f aca="false">IF($A428="","",Payroll!U428)</f>
        <v/>
      </c>
      <c r="C428" s="24" t="str">
        <f aca="false">IF($A428="","",Payroll!S428)</f>
        <v/>
      </c>
      <c r="D428" s="24" t="str">
        <f aca="false">IF($A428="","",SUBSTITUTE(Payroll!T428," ",""))</f>
        <v/>
      </c>
      <c r="E428" s="24" t="str">
        <f aca="false">IF($A428="","",TEXT(Settings!$B$8,"yyyy-mm-dd"))</f>
        <v/>
      </c>
      <c r="F428" s="24" t="str">
        <f aca="false">IF($A428="","",TEXT(Settings!$B$9,"yyyy-mm-dd"))</f>
        <v/>
      </c>
      <c r="G428" s="24" t="str">
        <f aca="false">IF($A428="","",DAY(Settings!$B$9))</f>
        <v/>
      </c>
      <c r="H428" s="26" t="str">
        <f aca="false">IF($A428="","",ROUND(Payroll!R428-Payroll!L428-Payroll!M428,2))</f>
        <v/>
      </c>
      <c r="I428" s="26" t="str">
        <f aca="false">IF($A428="","",ROUND(Payroll!L428+Payroll!M428,2))</f>
        <v/>
      </c>
      <c r="J428" s="24" t="str">
        <f aca="false">IF($A428="","",0)</f>
        <v/>
      </c>
    </row>
    <row r="429" customFormat="false" ht="15" hidden="false" customHeight="false" outlineLevel="0" collapsed="false">
      <c r="A429" s="24" t="str">
        <f aca="false">IF(AND(Payroll!$A429&lt;&gt;"",N(Payroll!$R429)&gt;0),"EDR","")</f>
        <v/>
      </c>
      <c r="B429" s="24" t="str">
        <f aca="false">IF($A429="","",Payroll!U429)</f>
        <v/>
      </c>
      <c r="C429" s="24" t="str">
        <f aca="false">IF($A429="","",Payroll!S429)</f>
        <v/>
      </c>
      <c r="D429" s="24" t="str">
        <f aca="false">IF($A429="","",SUBSTITUTE(Payroll!T429," ",""))</f>
        <v/>
      </c>
      <c r="E429" s="24" t="str">
        <f aca="false">IF($A429="","",TEXT(Settings!$B$8,"yyyy-mm-dd"))</f>
        <v/>
      </c>
      <c r="F429" s="24" t="str">
        <f aca="false">IF($A429="","",TEXT(Settings!$B$9,"yyyy-mm-dd"))</f>
        <v/>
      </c>
      <c r="G429" s="24" t="str">
        <f aca="false">IF($A429="","",DAY(Settings!$B$9))</f>
        <v/>
      </c>
      <c r="H429" s="26" t="str">
        <f aca="false">IF($A429="","",ROUND(Payroll!R429-Payroll!L429-Payroll!M429,2))</f>
        <v/>
      </c>
      <c r="I429" s="26" t="str">
        <f aca="false">IF($A429="","",ROUND(Payroll!L429+Payroll!M429,2))</f>
        <v/>
      </c>
      <c r="J429" s="24" t="str">
        <f aca="false">IF($A429="","",0)</f>
        <v/>
      </c>
    </row>
    <row r="430" customFormat="false" ht="15" hidden="false" customHeight="false" outlineLevel="0" collapsed="false">
      <c r="A430" s="24" t="str">
        <f aca="false">IF(AND(Payroll!$A430&lt;&gt;"",N(Payroll!$R430)&gt;0),"EDR","")</f>
        <v/>
      </c>
      <c r="B430" s="24" t="str">
        <f aca="false">IF($A430="","",Payroll!U430)</f>
        <v/>
      </c>
      <c r="C430" s="24" t="str">
        <f aca="false">IF($A430="","",Payroll!S430)</f>
        <v/>
      </c>
      <c r="D430" s="24" t="str">
        <f aca="false">IF($A430="","",SUBSTITUTE(Payroll!T430," ",""))</f>
        <v/>
      </c>
      <c r="E430" s="24" t="str">
        <f aca="false">IF($A430="","",TEXT(Settings!$B$8,"yyyy-mm-dd"))</f>
        <v/>
      </c>
      <c r="F430" s="24" t="str">
        <f aca="false">IF($A430="","",TEXT(Settings!$B$9,"yyyy-mm-dd"))</f>
        <v/>
      </c>
      <c r="G430" s="24" t="str">
        <f aca="false">IF($A430="","",DAY(Settings!$B$9))</f>
        <v/>
      </c>
      <c r="H430" s="26" t="str">
        <f aca="false">IF($A430="","",ROUND(Payroll!R430-Payroll!L430-Payroll!M430,2))</f>
        <v/>
      </c>
      <c r="I430" s="26" t="str">
        <f aca="false">IF($A430="","",ROUND(Payroll!L430+Payroll!M430,2))</f>
        <v/>
      </c>
      <c r="J430" s="24" t="str">
        <f aca="false">IF($A430="","",0)</f>
        <v/>
      </c>
    </row>
    <row r="431" customFormat="false" ht="15" hidden="false" customHeight="false" outlineLevel="0" collapsed="false">
      <c r="A431" s="24" t="str">
        <f aca="false">IF(AND(Payroll!$A431&lt;&gt;"",N(Payroll!$R431)&gt;0),"EDR","")</f>
        <v/>
      </c>
      <c r="B431" s="24" t="str">
        <f aca="false">IF($A431="","",Payroll!U431)</f>
        <v/>
      </c>
      <c r="C431" s="24" t="str">
        <f aca="false">IF($A431="","",Payroll!S431)</f>
        <v/>
      </c>
      <c r="D431" s="24" t="str">
        <f aca="false">IF($A431="","",SUBSTITUTE(Payroll!T431," ",""))</f>
        <v/>
      </c>
      <c r="E431" s="24" t="str">
        <f aca="false">IF($A431="","",TEXT(Settings!$B$8,"yyyy-mm-dd"))</f>
        <v/>
      </c>
      <c r="F431" s="24" t="str">
        <f aca="false">IF($A431="","",TEXT(Settings!$B$9,"yyyy-mm-dd"))</f>
        <v/>
      </c>
      <c r="G431" s="24" t="str">
        <f aca="false">IF($A431="","",DAY(Settings!$B$9))</f>
        <v/>
      </c>
      <c r="H431" s="26" t="str">
        <f aca="false">IF($A431="","",ROUND(Payroll!R431-Payroll!L431-Payroll!M431,2))</f>
        <v/>
      </c>
      <c r="I431" s="26" t="str">
        <f aca="false">IF($A431="","",ROUND(Payroll!L431+Payroll!M431,2))</f>
        <v/>
      </c>
      <c r="J431" s="24" t="str">
        <f aca="false">IF($A431="","",0)</f>
        <v/>
      </c>
    </row>
    <row r="432" customFormat="false" ht="15" hidden="false" customHeight="false" outlineLevel="0" collapsed="false">
      <c r="A432" s="24" t="str">
        <f aca="false">IF(AND(Payroll!$A432&lt;&gt;"",N(Payroll!$R432)&gt;0),"EDR","")</f>
        <v/>
      </c>
      <c r="B432" s="24" t="str">
        <f aca="false">IF($A432="","",Payroll!U432)</f>
        <v/>
      </c>
      <c r="C432" s="24" t="str">
        <f aca="false">IF($A432="","",Payroll!S432)</f>
        <v/>
      </c>
      <c r="D432" s="24" t="str">
        <f aca="false">IF($A432="","",SUBSTITUTE(Payroll!T432," ",""))</f>
        <v/>
      </c>
      <c r="E432" s="24" t="str">
        <f aca="false">IF($A432="","",TEXT(Settings!$B$8,"yyyy-mm-dd"))</f>
        <v/>
      </c>
      <c r="F432" s="24" t="str">
        <f aca="false">IF($A432="","",TEXT(Settings!$B$9,"yyyy-mm-dd"))</f>
        <v/>
      </c>
      <c r="G432" s="24" t="str">
        <f aca="false">IF($A432="","",DAY(Settings!$B$9))</f>
        <v/>
      </c>
      <c r="H432" s="26" t="str">
        <f aca="false">IF($A432="","",ROUND(Payroll!R432-Payroll!L432-Payroll!M432,2))</f>
        <v/>
      </c>
      <c r="I432" s="26" t="str">
        <f aca="false">IF($A432="","",ROUND(Payroll!L432+Payroll!M432,2))</f>
        <v/>
      </c>
      <c r="J432" s="24" t="str">
        <f aca="false">IF($A432="","",0)</f>
        <v/>
      </c>
    </row>
    <row r="433" customFormat="false" ht="15" hidden="false" customHeight="false" outlineLevel="0" collapsed="false">
      <c r="A433" s="24" t="str">
        <f aca="false">IF(AND(Payroll!$A433&lt;&gt;"",N(Payroll!$R433)&gt;0),"EDR","")</f>
        <v/>
      </c>
      <c r="B433" s="24" t="str">
        <f aca="false">IF($A433="","",Payroll!U433)</f>
        <v/>
      </c>
      <c r="C433" s="24" t="str">
        <f aca="false">IF($A433="","",Payroll!S433)</f>
        <v/>
      </c>
      <c r="D433" s="24" t="str">
        <f aca="false">IF($A433="","",SUBSTITUTE(Payroll!T433," ",""))</f>
        <v/>
      </c>
      <c r="E433" s="24" t="str">
        <f aca="false">IF($A433="","",TEXT(Settings!$B$8,"yyyy-mm-dd"))</f>
        <v/>
      </c>
      <c r="F433" s="24" t="str">
        <f aca="false">IF($A433="","",TEXT(Settings!$B$9,"yyyy-mm-dd"))</f>
        <v/>
      </c>
      <c r="G433" s="24" t="str">
        <f aca="false">IF($A433="","",DAY(Settings!$B$9))</f>
        <v/>
      </c>
      <c r="H433" s="26" t="str">
        <f aca="false">IF($A433="","",ROUND(Payroll!R433-Payroll!L433-Payroll!M433,2))</f>
        <v/>
      </c>
      <c r="I433" s="26" t="str">
        <f aca="false">IF($A433="","",ROUND(Payroll!L433+Payroll!M433,2))</f>
        <v/>
      </c>
      <c r="J433" s="24" t="str">
        <f aca="false">IF($A433="","",0)</f>
        <v/>
      </c>
    </row>
    <row r="434" customFormat="false" ht="15" hidden="false" customHeight="false" outlineLevel="0" collapsed="false">
      <c r="A434" s="24" t="str">
        <f aca="false">IF(AND(Payroll!$A434&lt;&gt;"",N(Payroll!$R434)&gt;0),"EDR","")</f>
        <v/>
      </c>
      <c r="B434" s="24" t="str">
        <f aca="false">IF($A434="","",Payroll!U434)</f>
        <v/>
      </c>
      <c r="C434" s="24" t="str">
        <f aca="false">IF($A434="","",Payroll!S434)</f>
        <v/>
      </c>
      <c r="D434" s="24" t="str">
        <f aca="false">IF($A434="","",SUBSTITUTE(Payroll!T434," ",""))</f>
        <v/>
      </c>
      <c r="E434" s="24" t="str">
        <f aca="false">IF($A434="","",TEXT(Settings!$B$8,"yyyy-mm-dd"))</f>
        <v/>
      </c>
      <c r="F434" s="24" t="str">
        <f aca="false">IF($A434="","",TEXT(Settings!$B$9,"yyyy-mm-dd"))</f>
        <v/>
      </c>
      <c r="G434" s="24" t="str">
        <f aca="false">IF($A434="","",DAY(Settings!$B$9))</f>
        <v/>
      </c>
      <c r="H434" s="26" t="str">
        <f aca="false">IF($A434="","",ROUND(Payroll!R434-Payroll!L434-Payroll!M434,2))</f>
        <v/>
      </c>
      <c r="I434" s="26" t="str">
        <f aca="false">IF($A434="","",ROUND(Payroll!L434+Payroll!M434,2))</f>
        <v/>
      </c>
      <c r="J434" s="24" t="str">
        <f aca="false">IF($A434="","",0)</f>
        <v/>
      </c>
    </row>
    <row r="435" customFormat="false" ht="15" hidden="false" customHeight="false" outlineLevel="0" collapsed="false">
      <c r="A435" s="24" t="str">
        <f aca="false">IF(AND(Payroll!$A435&lt;&gt;"",N(Payroll!$R435)&gt;0),"EDR","")</f>
        <v/>
      </c>
      <c r="B435" s="24" t="str">
        <f aca="false">IF($A435="","",Payroll!U435)</f>
        <v/>
      </c>
      <c r="C435" s="24" t="str">
        <f aca="false">IF($A435="","",Payroll!S435)</f>
        <v/>
      </c>
      <c r="D435" s="24" t="str">
        <f aca="false">IF($A435="","",SUBSTITUTE(Payroll!T435," ",""))</f>
        <v/>
      </c>
      <c r="E435" s="24" t="str">
        <f aca="false">IF($A435="","",TEXT(Settings!$B$8,"yyyy-mm-dd"))</f>
        <v/>
      </c>
      <c r="F435" s="24" t="str">
        <f aca="false">IF($A435="","",TEXT(Settings!$B$9,"yyyy-mm-dd"))</f>
        <v/>
      </c>
      <c r="G435" s="24" t="str">
        <f aca="false">IF($A435="","",DAY(Settings!$B$9))</f>
        <v/>
      </c>
      <c r="H435" s="26" t="str">
        <f aca="false">IF($A435="","",ROUND(Payroll!R435-Payroll!L435-Payroll!M435,2))</f>
        <v/>
      </c>
      <c r="I435" s="26" t="str">
        <f aca="false">IF($A435="","",ROUND(Payroll!L435+Payroll!M435,2))</f>
        <v/>
      </c>
      <c r="J435" s="24" t="str">
        <f aca="false">IF($A435="","",0)</f>
        <v/>
      </c>
    </row>
    <row r="436" customFormat="false" ht="15" hidden="false" customHeight="false" outlineLevel="0" collapsed="false">
      <c r="A436" s="24" t="str">
        <f aca="false">IF(AND(Payroll!$A436&lt;&gt;"",N(Payroll!$R436)&gt;0),"EDR","")</f>
        <v/>
      </c>
      <c r="B436" s="24" t="str">
        <f aca="false">IF($A436="","",Payroll!U436)</f>
        <v/>
      </c>
      <c r="C436" s="24" t="str">
        <f aca="false">IF($A436="","",Payroll!S436)</f>
        <v/>
      </c>
      <c r="D436" s="24" t="str">
        <f aca="false">IF($A436="","",SUBSTITUTE(Payroll!T436," ",""))</f>
        <v/>
      </c>
      <c r="E436" s="24" t="str">
        <f aca="false">IF($A436="","",TEXT(Settings!$B$8,"yyyy-mm-dd"))</f>
        <v/>
      </c>
      <c r="F436" s="24" t="str">
        <f aca="false">IF($A436="","",TEXT(Settings!$B$9,"yyyy-mm-dd"))</f>
        <v/>
      </c>
      <c r="G436" s="24" t="str">
        <f aca="false">IF($A436="","",DAY(Settings!$B$9))</f>
        <v/>
      </c>
      <c r="H436" s="26" t="str">
        <f aca="false">IF($A436="","",ROUND(Payroll!R436-Payroll!L436-Payroll!M436,2))</f>
        <v/>
      </c>
      <c r="I436" s="26" t="str">
        <f aca="false">IF($A436="","",ROUND(Payroll!L436+Payroll!M436,2))</f>
        <v/>
      </c>
      <c r="J436" s="24" t="str">
        <f aca="false">IF($A436="","",0)</f>
        <v/>
      </c>
    </row>
    <row r="437" customFormat="false" ht="15" hidden="false" customHeight="false" outlineLevel="0" collapsed="false">
      <c r="A437" s="24" t="str">
        <f aca="false">IF(AND(Payroll!$A437&lt;&gt;"",N(Payroll!$R437)&gt;0),"EDR","")</f>
        <v/>
      </c>
      <c r="B437" s="24" t="str">
        <f aca="false">IF($A437="","",Payroll!U437)</f>
        <v/>
      </c>
      <c r="C437" s="24" t="str">
        <f aca="false">IF($A437="","",Payroll!S437)</f>
        <v/>
      </c>
      <c r="D437" s="24" t="str">
        <f aca="false">IF($A437="","",SUBSTITUTE(Payroll!T437," ",""))</f>
        <v/>
      </c>
      <c r="E437" s="24" t="str">
        <f aca="false">IF($A437="","",TEXT(Settings!$B$8,"yyyy-mm-dd"))</f>
        <v/>
      </c>
      <c r="F437" s="24" t="str">
        <f aca="false">IF($A437="","",TEXT(Settings!$B$9,"yyyy-mm-dd"))</f>
        <v/>
      </c>
      <c r="G437" s="24" t="str">
        <f aca="false">IF($A437="","",DAY(Settings!$B$9))</f>
        <v/>
      </c>
      <c r="H437" s="26" t="str">
        <f aca="false">IF($A437="","",ROUND(Payroll!R437-Payroll!L437-Payroll!M437,2))</f>
        <v/>
      </c>
      <c r="I437" s="26" t="str">
        <f aca="false">IF($A437="","",ROUND(Payroll!L437+Payroll!M437,2))</f>
        <v/>
      </c>
      <c r="J437" s="24" t="str">
        <f aca="false">IF($A437="","",0)</f>
        <v/>
      </c>
    </row>
    <row r="438" customFormat="false" ht="15" hidden="false" customHeight="false" outlineLevel="0" collapsed="false">
      <c r="A438" s="24" t="str">
        <f aca="false">IF(AND(Payroll!$A438&lt;&gt;"",N(Payroll!$R438)&gt;0),"EDR","")</f>
        <v/>
      </c>
      <c r="B438" s="24" t="str">
        <f aca="false">IF($A438="","",Payroll!U438)</f>
        <v/>
      </c>
      <c r="C438" s="24" t="str">
        <f aca="false">IF($A438="","",Payroll!S438)</f>
        <v/>
      </c>
      <c r="D438" s="24" t="str">
        <f aca="false">IF($A438="","",SUBSTITUTE(Payroll!T438," ",""))</f>
        <v/>
      </c>
      <c r="E438" s="24" t="str">
        <f aca="false">IF($A438="","",TEXT(Settings!$B$8,"yyyy-mm-dd"))</f>
        <v/>
      </c>
      <c r="F438" s="24" t="str">
        <f aca="false">IF($A438="","",TEXT(Settings!$B$9,"yyyy-mm-dd"))</f>
        <v/>
      </c>
      <c r="G438" s="24" t="str">
        <f aca="false">IF($A438="","",DAY(Settings!$B$9))</f>
        <v/>
      </c>
      <c r="H438" s="26" t="str">
        <f aca="false">IF($A438="","",ROUND(Payroll!R438-Payroll!L438-Payroll!M438,2))</f>
        <v/>
      </c>
      <c r="I438" s="26" t="str">
        <f aca="false">IF($A438="","",ROUND(Payroll!L438+Payroll!M438,2))</f>
        <v/>
      </c>
      <c r="J438" s="24" t="str">
        <f aca="false">IF($A438="","",0)</f>
        <v/>
      </c>
    </row>
    <row r="439" customFormat="false" ht="15" hidden="false" customHeight="false" outlineLevel="0" collapsed="false">
      <c r="A439" s="24" t="str">
        <f aca="false">IF(AND(Payroll!$A439&lt;&gt;"",N(Payroll!$R439)&gt;0),"EDR","")</f>
        <v/>
      </c>
      <c r="B439" s="24" t="str">
        <f aca="false">IF($A439="","",Payroll!U439)</f>
        <v/>
      </c>
      <c r="C439" s="24" t="str">
        <f aca="false">IF($A439="","",Payroll!S439)</f>
        <v/>
      </c>
      <c r="D439" s="24" t="str">
        <f aca="false">IF($A439="","",SUBSTITUTE(Payroll!T439," ",""))</f>
        <v/>
      </c>
      <c r="E439" s="24" t="str">
        <f aca="false">IF($A439="","",TEXT(Settings!$B$8,"yyyy-mm-dd"))</f>
        <v/>
      </c>
      <c r="F439" s="24" t="str">
        <f aca="false">IF($A439="","",TEXT(Settings!$B$9,"yyyy-mm-dd"))</f>
        <v/>
      </c>
      <c r="G439" s="24" t="str">
        <f aca="false">IF($A439="","",DAY(Settings!$B$9))</f>
        <v/>
      </c>
      <c r="H439" s="26" t="str">
        <f aca="false">IF($A439="","",ROUND(Payroll!R439-Payroll!L439-Payroll!M439,2))</f>
        <v/>
      </c>
      <c r="I439" s="26" t="str">
        <f aca="false">IF($A439="","",ROUND(Payroll!L439+Payroll!M439,2))</f>
        <v/>
      </c>
      <c r="J439" s="24" t="str">
        <f aca="false">IF($A439="","",0)</f>
        <v/>
      </c>
    </row>
    <row r="440" customFormat="false" ht="15" hidden="false" customHeight="false" outlineLevel="0" collapsed="false">
      <c r="A440" s="24" t="str">
        <f aca="false">IF(AND(Payroll!$A440&lt;&gt;"",N(Payroll!$R440)&gt;0),"EDR","")</f>
        <v/>
      </c>
      <c r="B440" s="24" t="str">
        <f aca="false">IF($A440="","",Payroll!U440)</f>
        <v/>
      </c>
      <c r="C440" s="24" t="str">
        <f aca="false">IF($A440="","",Payroll!S440)</f>
        <v/>
      </c>
      <c r="D440" s="24" t="str">
        <f aca="false">IF($A440="","",SUBSTITUTE(Payroll!T440," ",""))</f>
        <v/>
      </c>
      <c r="E440" s="24" t="str">
        <f aca="false">IF($A440="","",TEXT(Settings!$B$8,"yyyy-mm-dd"))</f>
        <v/>
      </c>
      <c r="F440" s="24" t="str">
        <f aca="false">IF($A440="","",TEXT(Settings!$B$9,"yyyy-mm-dd"))</f>
        <v/>
      </c>
      <c r="G440" s="24" t="str">
        <f aca="false">IF($A440="","",DAY(Settings!$B$9))</f>
        <v/>
      </c>
      <c r="H440" s="26" t="str">
        <f aca="false">IF($A440="","",ROUND(Payroll!R440-Payroll!L440-Payroll!M440,2))</f>
        <v/>
      </c>
      <c r="I440" s="26" t="str">
        <f aca="false">IF($A440="","",ROUND(Payroll!L440+Payroll!M440,2))</f>
        <v/>
      </c>
      <c r="J440" s="24" t="str">
        <f aca="false">IF($A440="","",0)</f>
        <v/>
      </c>
    </row>
    <row r="441" customFormat="false" ht="15" hidden="false" customHeight="false" outlineLevel="0" collapsed="false">
      <c r="A441" s="24" t="str">
        <f aca="false">IF(AND(Payroll!$A441&lt;&gt;"",N(Payroll!$R441)&gt;0),"EDR","")</f>
        <v/>
      </c>
      <c r="B441" s="24" t="str">
        <f aca="false">IF($A441="","",Payroll!U441)</f>
        <v/>
      </c>
      <c r="C441" s="24" t="str">
        <f aca="false">IF($A441="","",Payroll!S441)</f>
        <v/>
      </c>
      <c r="D441" s="24" t="str">
        <f aca="false">IF($A441="","",SUBSTITUTE(Payroll!T441," ",""))</f>
        <v/>
      </c>
      <c r="E441" s="24" t="str">
        <f aca="false">IF($A441="","",TEXT(Settings!$B$8,"yyyy-mm-dd"))</f>
        <v/>
      </c>
      <c r="F441" s="24" t="str">
        <f aca="false">IF($A441="","",TEXT(Settings!$B$9,"yyyy-mm-dd"))</f>
        <v/>
      </c>
      <c r="G441" s="24" t="str">
        <f aca="false">IF($A441="","",DAY(Settings!$B$9))</f>
        <v/>
      </c>
      <c r="H441" s="26" t="str">
        <f aca="false">IF($A441="","",ROUND(Payroll!R441-Payroll!L441-Payroll!M441,2))</f>
        <v/>
      </c>
      <c r="I441" s="26" t="str">
        <f aca="false">IF($A441="","",ROUND(Payroll!L441+Payroll!M441,2))</f>
        <v/>
      </c>
      <c r="J441" s="24" t="str">
        <f aca="false">IF($A441="","",0)</f>
        <v/>
      </c>
    </row>
    <row r="442" customFormat="false" ht="15" hidden="false" customHeight="false" outlineLevel="0" collapsed="false">
      <c r="A442" s="24" t="str">
        <f aca="false">IF(AND(Payroll!$A442&lt;&gt;"",N(Payroll!$R442)&gt;0),"EDR","")</f>
        <v/>
      </c>
      <c r="B442" s="24" t="str">
        <f aca="false">IF($A442="","",Payroll!U442)</f>
        <v/>
      </c>
      <c r="C442" s="24" t="str">
        <f aca="false">IF($A442="","",Payroll!S442)</f>
        <v/>
      </c>
      <c r="D442" s="24" t="str">
        <f aca="false">IF($A442="","",SUBSTITUTE(Payroll!T442," ",""))</f>
        <v/>
      </c>
      <c r="E442" s="24" t="str">
        <f aca="false">IF($A442="","",TEXT(Settings!$B$8,"yyyy-mm-dd"))</f>
        <v/>
      </c>
      <c r="F442" s="24" t="str">
        <f aca="false">IF($A442="","",TEXT(Settings!$B$9,"yyyy-mm-dd"))</f>
        <v/>
      </c>
      <c r="G442" s="24" t="str">
        <f aca="false">IF($A442="","",DAY(Settings!$B$9))</f>
        <v/>
      </c>
      <c r="H442" s="26" t="str">
        <f aca="false">IF($A442="","",ROUND(Payroll!R442-Payroll!L442-Payroll!M442,2))</f>
        <v/>
      </c>
      <c r="I442" s="26" t="str">
        <f aca="false">IF($A442="","",ROUND(Payroll!L442+Payroll!M442,2))</f>
        <v/>
      </c>
      <c r="J442" s="24" t="str">
        <f aca="false">IF($A442="","",0)</f>
        <v/>
      </c>
    </row>
    <row r="443" customFormat="false" ht="15" hidden="false" customHeight="false" outlineLevel="0" collapsed="false">
      <c r="A443" s="24" t="str">
        <f aca="false">IF(AND(Payroll!$A443&lt;&gt;"",N(Payroll!$R443)&gt;0),"EDR","")</f>
        <v/>
      </c>
      <c r="B443" s="24" t="str">
        <f aca="false">IF($A443="","",Payroll!U443)</f>
        <v/>
      </c>
      <c r="C443" s="24" t="str">
        <f aca="false">IF($A443="","",Payroll!S443)</f>
        <v/>
      </c>
      <c r="D443" s="24" t="str">
        <f aca="false">IF($A443="","",SUBSTITUTE(Payroll!T443," ",""))</f>
        <v/>
      </c>
      <c r="E443" s="24" t="str">
        <f aca="false">IF($A443="","",TEXT(Settings!$B$8,"yyyy-mm-dd"))</f>
        <v/>
      </c>
      <c r="F443" s="24" t="str">
        <f aca="false">IF($A443="","",TEXT(Settings!$B$9,"yyyy-mm-dd"))</f>
        <v/>
      </c>
      <c r="G443" s="24" t="str">
        <f aca="false">IF($A443="","",DAY(Settings!$B$9))</f>
        <v/>
      </c>
      <c r="H443" s="26" t="str">
        <f aca="false">IF($A443="","",ROUND(Payroll!R443-Payroll!L443-Payroll!M443,2))</f>
        <v/>
      </c>
      <c r="I443" s="26" t="str">
        <f aca="false">IF($A443="","",ROUND(Payroll!L443+Payroll!M443,2))</f>
        <v/>
      </c>
      <c r="J443" s="24" t="str">
        <f aca="false">IF($A443="","",0)</f>
        <v/>
      </c>
    </row>
    <row r="444" customFormat="false" ht="15" hidden="false" customHeight="false" outlineLevel="0" collapsed="false">
      <c r="A444" s="24" t="str">
        <f aca="false">IF(AND(Payroll!$A444&lt;&gt;"",N(Payroll!$R444)&gt;0),"EDR","")</f>
        <v/>
      </c>
      <c r="B444" s="24" t="str">
        <f aca="false">IF($A444="","",Payroll!U444)</f>
        <v/>
      </c>
      <c r="C444" s="24" t="str">
        <f aca="false">IF($A444="","",Payroll!S444)</f>
        <v/>
      </c>
      <c r="D444" s="24" t="str">
        <f aca="false">IF($A444="","",SUBSTITUTE(Payroll!T444," ",""))</f>
        <v/>
      </c>
      <c r="E444" s="24" t="str">
        <f aca="false">IF($A444="","",TEXT(Settings!$B$8,"yyyy-mm-dd"))</f>
        <v/>
      </c>
      <c r="F444" s="24" t="str">
        <f aca="false">IF($A444="","",TEXT(Settings!$B$9,"yyyy-mm-dd"))</f>
        <v/>
      </c>
      <c r="G444" s="24" t="str">
        <f aca="false">IF($A444="","",DAY(Settings!$B$9))</f>
        <v/>
      </c>
      <c r="H444" s="26" t="str">
        <f aca="false">IF($A444="","",ROUND(Payroll!R444-Payroll!L444-Payroll!M444,2))</f>
        <v/>
      </c>
      <c r="I444" s="26" t="str">
        <f aca="false">IF($A444="","",ROUND(Payroll!L444+Payroll!M444,2))</f>
        <v/>
      </c>
      <c r="J444" s="24" t="str">
        <f aca="false">IF($A444="","",0)</f>
        <v/>
      </c>
    </row>
    <row r="445" customFormat="false" ht="15" hidden="false" customHeight="false" outlineLevel="0" collapsed="false">
      <c r="A445" s="24" t="str">
        <f aca="false">IF(AND(Payroll!$A445&lt;&gt;"",N(Payroll!$R445)&gt;0),"EDR","")</f>
        <v/>
      </c>
      <c r="B445" s="24" t="str">
        <f aca="false">IF($A445="","",Payroll!U445)</f>
        <v/>
      </c>
      <c r="C445" s="24" t="str">
        <f aca="false">IF($A445="","",Payroll!S445)</f>
        <v/>
      </c>
      <c r="D445" s="24" t="str">
        <f aca="false">IF($A445="","",SUBSTITUTE(Payroll!T445," ",""))</f>
        <v/>
      </c>
      <c r="E445" s="24" t="str">
        <f aca="false">IF($A445="","",TEXT(Settings!$B$8,"yyyy-mm-dd"))</f>
        <v/>
      </c>
      <c r="F445" s="24" t="str">
        <f aca="false">IF($A445="","",TEXT(Settings!$B$9,"yyyy-mm-dd"))</f>
        <v/>
      </c>
      <c r="G445" s="24" t="str">
        <f aca="false">IF($A445="","",DAY(Settings!$B$9))</f>
        <v/>
      </c>
      <c r="H445" s="26" t="str">
        <f aca="false">IF($A445="","",ROUND(Payroll!R445-Payroll!L445-Payroll!M445,2))</f>
        <v/>
      </c>
      <c r="I445" s="26" t="str">
        <f aca="false">IF($A445="","",ROUND(Payroll!L445+Payroll!M445,2))</f>
        <v/>
      </c>
      <c r="J445" s="24" t="str">
        <f aca="false">IF($A445="","",0)</f>
        <v/>
      </c>
    </row>
    <row r="446" customFormat="false" ht="15" hidden="false" customHeight="false" outlineLevel="0" collapsed="false">
      <c r="A446" s="24" t="str">
        <f aca="false">IF(AND(Payroll!$A446&lt;&gt;"",N(Payroll!$R446)&gt;0),"EDR","")</f>
        <v/>
      </c>
      <c r="B446" s="24" t="str">
        <f aca="false">IF($A446="","",Payroll!U446)</f>
        <v/>
      </c>
      <c r="C446" s="24" t="str">
        <f aca="false">IF($A446="","",Payroll!S446)</f>
        <v/>
      </c>
      <c r="D446" s="24" t="str">
        <f aca="false">IF($A446="","",SUBSTITUTE(Payroll!T446," ",""))</f>
        <v/>
      </c>
      <c r="E446" s="24" t="str">
        <f aca="false">IF($A446="","",TEXT(Settings!$B$8,"yyyy-mm-dd"))</f>
        <v/>
      </c>
      <c r="F446" s="24" t="str">
        <f aca="false">IF($A446="","",TEXT(Settings!$B$9,"yyyy-mm-dd"))</f>
        <v/>
      </c>
      <c r="G446" s="24" t="str">
        <f aca="false">IF($A446="","",DAY(Settings!$B$9))</f>
        <v/>
      </c>
      <c r="H446" s="26" t="str">
        <f aca="false">IF($A446="","",ROUND(Payroll!R446-Payroll!L446-Payroll!M446,2))</f>
        <v/>
      </c>
      <c r="I446" s="26" t="str">
        <f aca="false">IF($A446="","",ROUND(Payroll!L446+Payroll!M446,2))</f>
        <v/>
      </c>
      <c r="J446" s="24" t="str">
        <f aca="false">IF($A446="","",0)</f>
        <v/>
      </c>
    </row>
    <row r="447" customFormat="false" ht="15" hidden="false" customHeight="false" outlineLevel="0" collapsed="false">
      <c r="A447" s="24" t="str">
        <f aca="false">IF(AND(Payroll!$A447&lt;&gt;"",N(Payroll!$R447)&gt;0),"EDR","")</f>
        <v/>
      </c>
      <c r="B447" s="24" t="str">
        <f aca="false">IF($A447="","",Payroll!U447)</f>
        <v/>
      </c>
      <c r="C447" s="24" t="str">
        <f aca="false">IF($A447="","",Payroll!S447)</f>
        <v/>
      </c>
      <c r="D447" s="24" t="str">
        <f aca="false">IF($A447="","",SUBSTITUTE(Payroll!T447," ",""))</f>
        <v/>
      </c>
      <c r="E447" s="24" t="str">
        <f aca="false">IF($A447="","",TEXT(Settings!$B$8,"yyyy-mm-dd"))</f>
        <v/>
      </c>
      <c r="F447" s="24" t="str">
        <f aca="false">IF($A447="","",TEXT(Settings!$B$9,"yyyy-mm-dd"))</f>
        <v/>
      </c>
      <c r="G447" s="24" t="str">
        <f aca="false">IF($A447="","",DAY(Settings!$B$9))</f>
        <v/>
      </c>
      <c r="H447" s="26" t="str">
        <f aca="false">IF($A447="","",ROUND(Payroll!R447-Payroll!L447-Payroll!M447,2))</f>
        <v/>
      </c>
      <c r="I447" s="26" t="str">
        <f aca="false">IF($A447="","",ROUND(Payroll!L447+Payroll!M447,2))</f>
        <v/>
      </c>
      <c r="J447" s="24" t="str">
        <f aca="false">IF($A447="","",0)</f>
        <v/>
      </c>
    </row>
    <row r="448" customFormat="false" ht="15" hidden="false" customHeight="false" outlineLevel="0" collapsed="false">
      <c r="A448" s="24" t="str">
        <f aca="false">IF(AND(Payroll!$A448&lt;&gt;"",N(Payroll!$R448)&gt;0),"EDR","")</f>
        <v/>
      </c>
      <c r="B448" s="24" t="str">
        <f aca="false">IF($A448="","",Payroll!U448)</f>
        <v/>
      </c>
      <c r="C448" s="24" t="str">
        <f aca="false">IF($A448="","",Payroll!S448)</f>
        <v/>
      </c>
      <c r="D448" s="24" t="str">
        <f aca="false">IF($A448="","",SUBSTITUTE(Payroll!T448," ",""))</f>
        <v/>
      </c>
      <c r="E448" s="24" t="str">
        <f aca="false">IF($A448="","",TEXT(Settings!$B$8,"yyyy-mm-dd"))</f>
        <v/>
      </c>
      <c r="F448" s="24" t="str">
        <f aca="false">IF($A448="","",TEXT(Settings!$B$9,"yyyy-mm-dd"))</f>
        <v/>
      </c>
      <c r="G448" s="24" t="str">
        <f aca="false">IF($A448="","",DAY(Settings!$B$9))</f>
        <v/>
      </c>
      <c r="H448" s="26" t="str">
        <f aca="false">IF($A448="","",ROUND(Payroll!R448-Payroll!L448-Payroll!M448,2))</f>
        <v/>
      </c>
      <c r="I448" s="26" t="str">
        <f aca="false">IF($A448="","",ROUND(Payroll!L448+Payroll!M448,2))</f>
        <v/>
      </c>
      <c r="J448" s="24" t="str">
        <f aca="false">IF($A448="","",0)</f>
        <v/>
      </c>
    </row>
    <row r="449" customFormat="false" ht="15" hidden="false" customHeight="false" outlineLevel="0" collapsed="false">
      <c r="A449" s="24" t="str">
        <f aca="false">IF(AND(Payroll!$A449&lt;&gt;"",N(Payroll!$R449)&gt;0),"EDR","")</f>
        <v/>
      </c>
      <c r="B449" s="24" t="str">
        <f aca="false">IF($A449="","",Payroll!U449)</f>
        <v/>
      </c>
      <c r="C449" s="24" t="str">
        <f aca="false">IF($A449="","",Payroll!S449)</f>
        <v/>
      </c>
      <c r="D449" s="24" t="str">
        <f aca="false">IF($A449="","",SUBSTITUTE(Payroll!T449," ",""))</f>
        <v/>
      </c>
      <c r="E449" s="24" t="str">
        <f aca="false">IF($A449="","",TEXT(Settings!$B$8,"yyyy-mm-dd"))</f>
        <v/>
      </c>
      <c r="F449" s="24" t="str">
        <f aca="false">IF($A449="","",TEXT(Settings!$B$9,"yyyy-mm-dd"))</f>
        <v/>
      </c>
      <c r="G449" s="24" t="str">
        <f aca="false">IF($A449="","",DAY(Settings!$B$9))</f>
        <v/>
      </c>
      <c r="H449" s="26" t="str">
        <f aca="false">IF($A449="","",ROUND(Payroll!R449-Payroll!L449-Payroll!M449,2))</f>
        <v/>
      </c>
      <c r="I449" s="26" t="str">
        <f aca="false">IF($A449="","",ROUND(Payroll!L449+Payroll!M449,2))</f>
        <v/>
      </c>
      <c r="J449" s="24" t="str">
        <f aca="false">IF($A449="","",0)</f>
        <v/>
      </c>
    </row>
    <row r="450" customFormat="false" ht="15" hidden="false" customHeight="false" outlineLevel="0" collapsed="false">
      <c r="A450" s="24" t="str">
        <f aca="false">IF(AND(Payroll!$A450&lt;&gt;"",N(Payroll!$R450)&gt;0),"EDR","")</f>
        <v/>
      </c>
      <c r="B450" s="24" t="str">
        <f aca="false">IF($A450="","",Payroll!U450)</f>
        <v/>
      </c>
      <c r="C450" s="24" t="str">
        <f aca="false">IF($A450="","",Payroll!S450)</f>
        <v/>
      </c>
      <c r="D450" s="24" t="str">
        <f aca="false">IF($A450="","",SUBSTITUTE(Payroll!T450," ",""))</f>
        <v/>
      </c>
      <c r="E450" s="24" t="str">
        <f aca="false">IF($A450="","",TEXT(Settings!$B$8,"yyyy-mm-dd"))</f>
        <v/>
      </c>
      <c r="F450" s="24" t="str">
        <f aca="false">IF($A450="","",TEXT(Settings!$B$9,"yyyy-mm-dd"))</f>
        <v/>
      </c>
      <c r="G450" s="24" t="str">
        <f aca="false">IF($A450="","",DAY(Settings!$B$9))</f>
        <v/>
      </c>
      <c r="H450" s="26" t="str">
        <f aca="false">IF($A450="","",ROUND(Payroll!R450-Payroll!L450-Payroll!M450,2))</f>
        <v/>
      </c>
      <c r="I450" s="26" t="str">
        <f aca="false">IF($A450="","",ROUND(Payroll!L450+Payroll!M450,2))</f>
        <v/>
      </c>
      <c r="J450" s="24" t="str">
        <f aca="false">IF($A450="","",0)</f>
        <v/>
      </c>
    </row>
    <row r="451" customFormat="false" ht="15" hidden="false" customHeight="false" outlineLevel="0" collapsed="false">
      <c r="A451" s="24" t="str">
        <f aca="false">IF(AND(Payroll!$A451&lt;&gt;"",N(Payroll!$R451)&gt;0),"EDR","")</f>
        <v/>
      </c>
      <c r="B451" s="24" t="str">
        <f aca="false">IF($A451="","",Payroll!U451)</f>
        <v/>
      </c>
      <c r="C451" s="24" t="str">
        <f aca="false">IF($A451="","",Payroll!S451)</f>
        <v/>
      </c>
      <c r="D451" s="24" t="str">
        <f aca="false">IF($A451="","",SUBSTITUTE(Payroll!T451," ",""))</f>
        <v/>
      </c>
      <c r="E451" s="24" t="str">
        <f aca="false">IF($A451="","",TEXT(Settings!$B$8,"yyyy-mm-dd"))</f>
        <v/>
      </c>
      <c r="F451" s="24" t="str">
        <f aca="false">IF($A451="","",TEXT(Settings!$B$9,"yyyy-mm-dd"))</f>
        <v/>
      </c>
      <c r="G451" s="24" t="str">
        <f aca="false">IF($A451="","",DAY(Settings!$B$9))</f>
        <v/>
      </c>
      <c r="H451" s="26" t="str">
        <f aca="false">IF($A451="","",ROUND(Payroll!R451-Payroll!L451-Payroll!M451,2))</f>
        <v/>
      </c>
      <c r="I451" s="26" t="str">
        <f aca="false">IF($A451="","",ROUND(Payroll!L451+Payroll!M451,2))</f>
        <v/>
      </c>
      <c r="J451" s="24" t="str">
        <f aca="false">IF($A451="","",0)</f>
        <v/>
      </c>
    </row>
    <row r="452" customFormat="false" ht="15" hidden="false" customHeight="false" outlineLevel="0" collapsed="false">
      <c r="A452" s="24" t="str">
        <f aca="false">IF(AND(Payroll!$A452&lt;&gt;"",N(Payroll!$R452)&gt;0),"EDR","")</f>
        <v/>
      </c>
      <c r="B452" s="24" t="str">
        <f aca="false">IF($A452="","",Payroll!U452)</f>
        <v/>
      </c>
      <c r="C452" s="24" t="str">
        <f aca="false">IF($A452="","",Payroll!S452)</f>
        <v/>
      </c>
      <c r="D452" s="24" t="str">
        <f aca="false">IF($A452="","",SUBSTITUTE(Payroll!T452," ",""))</f>
        <v/>
      </c>
      <c r="E452" s="24" t="str">
        <f aca="false">IF($A452="","",TEXT(Settings!$B$8,"yyyy-mm-dd"))</f>
        <v/>
      </c>
      <c r="F452" s="24" t="str">
        <f aca="false">IF($A452="","",TEXT(Settings!$B$9,"yyyy-mm-dd"))</f>
        <v/>
      </c>
      <c r="G452" s="24" t="str">
        <f aca="false">IF($A452="","",DAY(Settings!$B$9))</f>
        <v/>
      </c>
      <c r="H452" s="26" t="str">
        <f aca="false">IF($A452="","",ROUND(Payroll!R452-Payroll!L452-Payroll!M452,2))</f>
        <v/>
      </c>
      <c r="I452" s="26" t="str">
        <f aca="false">IF($A452="","",ROUND(Payroll!L452+Payroll!M452,2))</f>
        <v/>
      </c>
      <c r="J452" s="24" t="str">
        <f aca="false">IF($A452="","",0)</f>
        <v/>
      </c>
    </row>
    <row r="453" customFormat="false" ht="15" hidden="false" customHeight="false" outlineLevel="0" collapsed="false">
      <c r="A453" s="24" t="str">
        <f aca="false">IF(AND(Payroll!$A453&lt;&gt;"",N(Payroll!$R453)&gt;0),"EDR","")</f>
        <v/>
      </c>
      <c r="B453" s="24" t="str">
        <f aca="false">IF($A453="","",Payroll!U453)</f>
        <v/>
      </c>
      <c r="C453" s="24" t="str">
        <f aca="false">IF($A453="","",Payroll!S453)</f>
        <v/>
      </c>
      <c r="D453" s="24" t="str">
        <f aca="false">IF($A453="","",SUBSTITUTE(Payroll!T453," ",""))</f>
        <v/>
      </c>
      <c r="E453" s="24" t="str">
        <f aca="false">IF($A453="","",TEXT(Settings!$B$8,"yyyy-mm-dd"))</f>
        <v/>
      </c>
      <c r="F453" s="24" t="str">
        <f aca="false">IF($A453="","",TEXT(Settings!$B$9,"yyyy-mm-dd"))</f>
        <v/>
      </c>
      <c r="G453" s="24" t="str">
        <f aca="false">IF($A453="","",DAY(Settings!$B$9))</f>
        <v/>
      </c>
      <c r="H453" s="26" t="str">
        <f aca="false">IF($A453="","",ROUND(Payroll!R453-Payroll!L453-Payroll!M453,2))</f>
        <v/>
      </c>
      <c r="I453" s="26" t="str">
        <f aca="false">IF($A453="","",ROUND(Payroll!L453+Payroll!M453,2))</f>
        <v/>
      </c>
      <c r="J453" s="24" t="str">
        <f aca="false">IF($A453="","",0)</f>
        <v/>
      </c>
    </row>
    <row r="454" customFormat="false" ht="15" hidden="false" customHeight="false" outlineLevel="0" collapsed="false">
      <c r="A454" s="24" t="str">
        <f aca="false">IF(AND(Payroll!$A454&lt;&gt;"",N(Payroll!$R454)&gt;0),"EDR","")</f>
        <v/>
      </c>
      <c r="B454" s="24" t="str">
        <f aca="false">IF($A454="","",Payroll!U454)</f>
        <v/>
      </c>
      <c r="C454" s="24" t="str">
        <f aca="false">IF($A454="","",Payroll!S454)</f>
        <v/>
      </c>
      <c r="D454" s="24" t="str">
        <f aca="false">IF($A454="","",SUBSTITUTE(Payroll!T454," ",""))</f>
        <v/>
      </c>
      <c r="E454" s="24" t="str">
        <f aca="false">IF($A454="","",TEXT(Settings!$B$8,"yyyy-mm-dd"))</f>
        <v/>
      </c>
      <c r="F454" s="24" t="str">
        <f aca="false">IF($A454="","",TEXT(Settings!$B$9,"yyyy-mm-dd"))</f>
        <v/>
      </c>
      <c r="G454" s="24" t="str">
        <f aca="false">IF($A454="","",DAY(Settings!$B$9))</f>
        <v/>
      </c>
      <c r="H454" s="26" t="str">
        <f aca="false">IF($A454="","",ROUND(Payroll!R454-Payroll!L454-Payroll!M454,2))</f>
        <v/>
      </c>
      <c r="I454" s="26" t="str">
        <f aca="false">IF($A454="","",ROUND(Payroll!L454+Payroll!M454,2))</f>
        <v/>
      </c>
      <c r="J454" s="24" t="str">
        <f aca="false">IF($A454="","",0)</f>
        <v/>
      </c>
    </row>
    <row r="455" customFormat="false" ht="15" hidden="false" customHeight="false" outlineLevel="0" collapsed="false">
      <c r="A455" s="24" t="str">
        <f aca="false">IF(AND(Payroll!$A455&lt;&gt;"",N(Payroll!$R455)&gt;0),"EDR","")</f>
        <v/>
      </c>
      <c r="B455" s="24" t="str">
        <f aca="false">IF($A455="","",Payroll!U455)</f>
        <v/>
      </c>
      <c r="C455" s="24" t="str">
        <f aca="false">IF($A455="","",Payroll!S455)</f>
        <v/>
      </c>
      <c r="D455" s="24" t="str">
        <f aca="false">IF($A455="","",SUBSTITUTE(Payroll!T455," ",""))</f>
        <v/>
      </c>
      <c r="E455" s="24" t="str">
        <f aca="false">IF($A455="","",TEXT(Settings!$B$8,"yyyy-mm-dd"))</f>
        <v/>
      </c>
      <c r="F455" s="24" t="str">
        <f aca="false">IF($A455="","",TEXT(Settings!$B$9,"yyyy-mm-dd"))</f>
        <v/>
      </c>
      <c r="G455" s="24" t="str">
        <f aca="false">IF($A455="","",DAY(Settings!$B$9))</f>
        <v/>
      </c>
      <c r="H455" s="26" t="str">
        <f aca="false">IF($A455="","",ROUND(Payroll!R455-Payroll!L455-Payroll!M455,2))</f>
        <v/>
      </c>
      <c r="I455" s="26" t="str">
        <f aca="false">IF($A455="","",ROUND(Payroll!L455+Payroll!M455,2))</f>
        <v/>
      </c>
      <c r="J455" s="24" t="str">
        <f aca="false">IF($A455="","",0)</f>
        <v/>
      </c>
    </row>
    <row r="456" customFormat="false" ht="15" hidden="false" customHeight="false" outlineLevel="0" collapsed="false">
      <c r="A456" s="24" t="str">
        <f aca="false">IF(AND(Payroll!$A456&lt;&gt;"",N(Payroll!$R456)&gt;0),"EDR","")</f>
        <v/>
      </c>
      <c r="B456" s="24" t="str">
        <f aca="false">IF($A456="","",Payroll!U456)</f>
        <v/>
      </c>
      <c r="C456" s="24" t="str">
        <f aca="false">IF($A456="","",Payroll!S456)</f>
        <v/>
      </c>
      <c r="D456" s="24" t="str">
        <f aca="false">IF($A456="","",SUBSTITUTE(Payroll!T456," ",""))</f>
        <v/>
      </c>
      <c r="E456" s="24" t="str">
        <f aca="false">IF($A456="","",TEXT(Settings!$B$8,"yyyy-mm-dd"))</f>
        <v/>
      </c>
      <c r="F456" s="24" t="str">
        <f aca="false">IF($A456="","",TEXT(Settings!$B$9,"yyyy-mm-dd"))</f>
        <v/>
      </c>
      <c r="G456" s="24" t="str">
        <f aca="false">IF($A456="","",DAY(Settings!$B$9))</f>
        <v/>
      </c>
      <c r="H456" s="26" t="str">
        <f aca="false">IF($A456="","",ROUND(Payroll!R456-Payroll!L456-Payroll!M456,2))</f>
        <v/>
      </c>
      <c r="I456" s="26" t="str">
        <f aca="false">IF($A456="","",ROUND(Payroll!L456+Payroll!M456,2))</f>
        <v/>
      </c>
      <c r="J456" s="24" t="str">
        <f aca="false">IF($A456="","",0)</f>
        <v/>
      </c>
    </row>
    <row r="457" customFormat="false" ht="15" hidden="false" customHeight="false" outlineLevel="0" collapsed="false">
      <c r="A457" s="24" t="str">
        <f aca="false">IF(AND(Payroll!$A457&lt;&gt;"",N(Payroll!$R457)&gt;0),"EDR","")</f>
        <v/>
      </c>
      <c r="B457" s="24" t="str">
        <f aca="false">IF($A457="","",Payroll!U457)</f>
        <v/>
      </c>
      <c r="C457" s="24" t="str">
        <f aca="false">IF($A457="","",Payroll!S457)</f>
        <v/>
      </c>
      <c r="D457" s="24" t="str">
        <f aca="false">IF($A457="","",SUBSTITUTE(Payroll!T457," ",""))</f>
        <v/>
      </c>
      <c r="E457" s="24" t="str">
        <f aca="false">IF($A457="","",TEXT(Settings!$B$8,"yyyy-mm-dd"))</f>
        <v/>
      </c>
      <c r="F457" s="24" t="str">
        <f aca="false">IF($A457="","",TEXT(Settings!$B$9,"yyyy-mm-dd"))</f>
        <v/>
      </c>
      <c r="G457" s="24" t="str">
        <f aca="false">IF($A457="","",DAY(Settings!$B$9))</f>
        <v/>
      </c>
      <c r="H457" s="26" t="str">
        <f aca="false">IF($A457="","",ROUND(Payroll!R457-Payroll!L457-Payroll!M457,2))</f>
        <v/>
      </c>
      <c r="I457" s="26" t="str">
        <f aca="false">IF($A457="","",ROUND(Payroll!L457+Payroll!M457,2))</f>
        <v/>
      </c>
      <c r="J457" s="24" t="str">
        <f aca="false">IF($A457="","",0)</f>
        <v/>
      </c>
    </row>
    <row r="458" customFormat="false" ht="15" hidden="false" customHeight="false" outlineLevel="0" collapsed="false">
      <c r="A458" s="24" t="str">
        <f aca="false">IF(AND(Payroll!$A458&lt;&gt;"",N(Payroll!$R458)&gt;0),"EDR","")</f>
        <v/>
      </c>
      <c r="B458" s="24" t="str">
        <f aca="false">IF($A458="","",Payroll!U458)</f>
        <v/>
      </c>
      <c r="C458" s="24" t="str">
        <f aca="false">IF($A458="","",Payroll!S458)</f>
        <v/>
      </c>
      <c r="D458" s="24" t="str">
        <f aca="false">IF($A458="","",SUBSTITUTE(Payroll!T458," ",""))</f>
        <v/>
      </c>
      <c r="E458" s="24" t="str">
        <f aca="false">IF($A458="","",TEXT(Settings!$B$8,"yyyy-mm-dd"))</f>
        <v/>
      </c>
      <c r="F458" s="24" t="str">
        <f aca="false">IF($A458="","",TEXT(Settings!$B$9,"yyyy-mm-dd"))</f>
        <v/>
      </c>
      <c r="G458" s="24" t="str">
        <f aca="false">IF($A458="","",DAY(Settings!$B$9))</f>
        <v/>
      </c>
      <c r="H458" s="26" t="str">
        <f aca="false">IF($A458="","",ROUND(Payroll!R458-Payroll!L458-Payroll!M458,2))</f>
        <v/>
      </c>
      <c r="I458" s="26" t="str">
        <f aca="false">IF($A458="","",ROUND(Payroll!L458+Payroll!M458,2))</f>
        <v/>
      </c>
      <c r="J458" s="24" t="str">
        <f aca="false">IF($A458="","",0)</f>
        <v/>
      </c>
    </row>
    <row r="459" customFormat="false" ht="15" hidden="false" customHeight="false" outlineLevel="0" collapsed="false">
      <c r="A459" s="24" t="str">
        <f aca="false">IF(AND(Payroll!$A459&lt;&gt;"",N(Payroll!$R459)&gt;0),"EDR","")</f>
        <v/>
      </c>
      <c r="B459" s="24" t="str">
        <f aca="false">IF($A459="","",Payroll!U459)</f>
        <v/>
      </c>
      <c r="C459" s="24" t="str">
        <f aca="false">IF($A459="","",Payroll!S459)</f>
        <v/>
      </c>
      <c r="D459" s="24" t="str">
        <f aca="false">IF($A459="","",SUBSTITUTE(Payroll!T459," ",""))</f>
        <v/>
      </c>
      <c r="E459" s="24" t="str">
        <f aca="false">IF($A459="","",TEXT(Settings!$B$8,"yyyy-mm-dd"))</f>
        <v/>
      </c>
      <c r="F459" s="24" t="str">
        <f aca="false">IF($A459="","",TEXT(Settings!$B$9,"yyyy-mm-dd"))</f>
        <v/>
      </c>
      <c r="G459" s="24" t="str">
        <f aca="false">IF($A459="","",DAY(Settings!$B$9))</f>
        <v/>
      </c>
      <c r="H459" s="26" t="str">
        <f aca="false">IF($A459="","",ROUND(Payroll!R459-Payroll!L459-Payroll!M459,2))</f>
        <v/>
      </c>
      <c r="I459" s="26" t="str">
        <f aca="false">IF($A459="","",ROUND(Payroll!L459+Payroll!M459,2))</f>
        <v/>
      </c>
      <c r="J459" s="24" t="str">
        <f aca="false">IF($A459="","",0)</f>
        <v/>
      </c>
    </row>
    <row r="460" customFormat="false" ht="15" hidden="false" customHeight="false" outlineLevel="0" collapsed="false">
      <c r="A460" s="24" t="str">
        <f aca="false">IF(AND(Payroll!$A460&lt;&gt;"",N(Payroll!$R460)&gt;0),"EDR","")</f>
        <v/>
      </c>
      <c r="B460" s="24" t="str">
        <f aca="false">IF($A460="","",Payroll!U460)</f>
        <v/>
      </c>
      <c r="C460" s="24" t="str">
        <f aca="false">IF($A460="","",Payroll!S460)</f>
        <v/>
      </c>
      <c r="D460" s="24" t="str">
        <f aca="false">IF($A460="","",SUBSTITUTE(Payroll!T460," ",""))</f>
        <v/>
      </c>
      <c r="E460" s="24" t="str">
        <f aca="false">IF($A460="","",TEXT(Settings!$B$8,"yyyy-mm-dd"))</f>
        <v/>
      </c>
      <c r="F460" s="24" t="str">
        <f aca="false">IF($A460="","",TEXT(Settings!$B$9,"yyyy-mm-dd"))</f>
        <v/>
      </c>
      <c r="G460" s="24" t="str">
        <f aca="false">IF($A460="","",DAY(Settings!$B$9))</f>
        <v/>
      </c>
      <c r="H460" s="26" t="str">
        <f aca="false">IF($A460="","",ROUND(Payroll!R460-Payroll!L460-Payroll!M460,2))</f>
        <v/>
      </c>
      <c r="I460" s="26" t="str">
        <f aca="false">IF($A460="","",ROUND(Payroll!L460+Payroll!M460,2))</f>
        <v/>
      </c>
      <c r="J460" s="24" t="str">
        <f aca="false">IF($A460="","",0)</f>
        <v/>
      </c>
    </row>
    <row r="461" customFormat="false" ht="15" hidden="false" customHeight="false" outlineLevel="0" collapsed="false">
      <c r="A461" s="24" t="str">
        <f aca="false">IF(AND(Payroll!$A461&lt;&gt;"",N(Payroll!$R461)&gt;0),"EDR","")</f>
        <v/>
      </c>
      <c r="B461" s="24" t="str">
        <f aca="false">IF($A461="","",Payroll!U461)</f>
        <v/>
      </c>
      <c r="C461" s="24" t="str">
        <f aca="false">IF($A461="","",Payroll!S461)</f>
        <v/>
      </c>
      <c r="D461" s="24" t="str">
        <f aca="false">IF($A461="","",SUBSTITUTE(Payroll!T461," ",""))</f>
        <v/>
      </c>
      <c r="E461" s="24" t="str">
        <f aca="false">IF($A461="","",TEXT(Settings!$B$8,"yyyy-mm-dd"))</f>
        <v/>
      </c>
      <c r="F461" s="24" t="str">
        <f aca="false">IF($A461="","",TEXT(Settings!$B$9,"yyyy-mm-dd"))</f>
        <v/>
      </c>
      <c r="G461" s="24" t="str">
        <f aca="false">IF($A461="","",DAY(Settings!$B$9))</f>
        <v/>
      </c>
      <c r="H461" s="26" t="str">
        <f aca="false">IF($A461="","",ROUND(Payroll!R461-Payroll!L461-Payroll!M461,2))</f>
        <v/>
      </c>
      <c r="I461" s="26" t="str">
        <f aca="false">IF($A461="","",ROUND(Payroll!L461+Payroll!M461,2))</f>
        <v/>
      </c>
      <c r="J461" s="24" t="str">
        <f aca="false">IF($A461="","",0)</f>
        <v/>
      </c>
    </row>
    <row r="462" customFormat="false" ht="15" hidden="false" customHeight="false" outlineLevel="0" collapsed="false">
      <c r="A462" s="24" t="str">
        <f aca="false">IF(AND(Payroll!$A462&lt;&gt;"",N(Payroll!$R462)&gt;0),"EDR","")</f>
        <v/>
      </c>
      <c r="B462" s="24" t="str">
        <f aca="false">IF($A462="","",Payroll!U462)</f>
        <v/>
      </c>
      <c r="C462" s="24" t="str">
        <f aca="false">IF($A462="","",Payroll!S462)</f>
        <v/>
      </c>
      <c r="D462" s="24" t="str">
        <f aca="false">IF($A462="","",SUBSTITUTE(Payroll!T462," ",""))</f>
        <v/>
      </c>
      <c r="E462" s="24" t="str">
        <f aca="false">IF($A462="","",TEXT(Settings!$B$8,"yyyy-mm-dd"))</f>
        <v/>
      </c>
      <c r="F462" s="24" t="str">
        <f aca="false">IF($A462="","",TEXT(Settings!$B$9,"yyyy-mm-dd"))</f>
        <v/>
      </c>
      <c r="G462" s="24" t="str">
        <f aca="false">IF($A462="","",DAY(Settings!$B$9))</f>
        <v/>
      </c>
      <c r="H462" s="26" t="str">
        <f aca="false">IF($A462="","",ROUND(Payroll!R462-Payroll!L462-Payroll!M462,2))</f>
        <v/>
      </c>
      <c r="I462" s="26" t="str">
        <f aca="false">IF($A462="","",ROUND(Payroll!L462+Payroll!M462,2))</f>
        <v/>
      </c>
      <c r="J462" s="24" t="str">
        <f aca="false">IF($A462="","",0)</f>
        <v/>
      </c>
    </row>
    <row r="463" customFormat="false" ht="15" hidden="false" customHeight="false" outlineLevel="0" collapsed="false">
      <c r="A463" s="24" t="str">
        <f aca="false">IF(AND(Payroll!$A463&lt;&gt;"",N(Payroll!$R463)&gt;0),"EDR","")</f>
        <v/>
      </c>
      <c r="B463" s="24" t="str">
        <f aca="false">IF($A463="","",Payroll!U463)</f>
        <v/>
      </c>
      <c r="C463" s="24" t="str">
        <f aca="false">IF($A463="","",Payroll!S463)</f>
        <v/>
      </c>
      <c r="D463" s="24" t="str">
        <f aca="false">IF($A463="","",SUBSTITUTE(Payroll!T463," ",""))</f>
        <v/>
      </c>
      <c r="E463" s="24" t="str">
        <f aca="false">IF($A463="","",TEXT(Settings!$B$8,"yyyy-mm-dd"))</f>
        <v/>
      </c>
      <c r="F463" s="24" t="str">
        <f aca="false">IF($A463="","",TEXT(Settings!$B$9,"yyyy-mm-dd"))</f>
        <v/>
      </c>
      <c r="G463" s="24" t="str">
        <f aca="false">IF($A463="","",DAY(Settings!$B$9))</f>
        <v/>
      </c>
      <c r="H463" s="26" t="str">
        <f aca="false">IF($A463="","",ROUND(Payroll!R463-Payroll!L463-Payroll!M463,2))</f>
        <v/>
      </c>
      <c r="I463" s="26" t="str">
        <f aca="false">IF($A463="","",ROUND(Payroll!L463+Payroll!M463,2))</f>
        <v/>
      </c>
      <c r="J463" s="24" t="str">
        <f aca="false">IF($A463="","",0)</f>
        <v/>
      </c>
    </row>
    <row r="464" customFormat="false" ht="15" hidden="false" customHeight="false" outlineLevel="0" collapsed="false">
      <c r="A464" s="24" t="str">
        <f aca="false">IF(AND(Payroll!$A464&lt;&gt;"",N(Payroll!$R464)&gt;0),"EDR","")</f>
        <v/>
      </c>
      <c r="B464" s="24" t="str">
        <f aca="false">IF($A464="","",Payroll!U464)</f>
        <v/>
      </c>
      <c r="C464" s="24" t="str">
        <f aca="false">IF($A464="","",Payroll!S464)</f>
        <v/>
      </c>
      <c r="D464" s="24" t="str">
        <f aca="false">IF($A464="","",SUBSTITUTE(Payroll!T464," ",""))</f>
        <v/>
      </c>
      <c r="E464" s="24" t="str">
        <f aca="false">IF($A464="","",TEXT(Settings!$B$8,"yyyy-mm-dd"))</f>
        <v/>
      </c>
      <c r="F464" s="24" t="str">
        <f aca="false">IF($A464="","",TEXT(Settings!$B$9,"yyyy-mm-dd"))</f>
        <v/>
      </c>
      <c r="G464" s="24" t="str">
        <f aca="false">IF($A464="","",DAY(Settings!$B$9))</f>
        <v/>
      </c>
      <c r="H464" s="26" t="str">
        <f aca="false">IF($A464="","",ROUND(Payroll!R464-Payroll!L464-Payroll!M464,2))</f>
        <v/>
      </c>
      <c r="I464" s="26" t="str">
        <f aca="false">IF($A464="","",ROUND(Payroll!L464+Payroll!M464,2))</f>
        <v/>
      </c>
      <c r="J464" s="24" t="str">
        <f aca="false">IF($A464="","",0)</f>
        <v/>
      </c>
    </row>
    <row r="465" customFormat="false" ht="15" hidden="false" customHeight="false" outlineLevel="0" collapsed="false">
      <c r="A465" s="24" t="str">
        <f aca="false">IF(AND(Payroll!$A465&lt;&gt;"",N(Payroll!$R465)&gt;0),"EDR","")</f>
        <v/>
      </c>
      <c r="B465" s="24" t="str">
        <f aca="false">IF($A465="","",Payroll!U465)</f>
        <v/>
      </c>
      <c r="C465" s="24" t="str">
        <f aca="false">IF($A465="","",Payroll!S465)</f>
        <v/>
      </c>
      <c r="D465" s="24" t="str">
        <f aca="false">IF($A465="","",SUBSTITUTE(Payroll!T465," ",""))</f>
        <v/>
      </c>
      <c r="E465" s="24" t="str">
        <f aca="false">IF($A465="","",TEXT(Settings!$B$8,"yyyy-mm-dd"))</f>
        <v/>
      </c>
      <c r="F465" s="24" t="str">
        <f aca="false">IF($A465="","",TEXT(Settings!$B$9,"yyyy-mm-dd"))</f>
        <v/>
      </c>
      <c r="G465" s="24" t="str">
        <f aca="false">IF($A465="","",DAY(Settings!$B$9))</f>
        <v/>
      </c>
      <c r="H465" s="26" t="str">
        <f aca="false">IF($A465="","",ROUND(Payroll!R465-Payroll!L465-Payroll!M465,2))</f>
        <v/>
      </c>
      <c r="I465" s="26" t="str">
        <f aca="false">IF($A465="","",ROUND(Payroll!L465+Payroll!M465,2))</f>
        <v/>
      </c>
      <c r="J465" s="24" t="str">
        <f aca="false">IF($A465="","",0)</f>
        <v/>
      </c>
    </row>
    <row r="466" customFormat="false" ht="15" hidden="false" customHeight="false" outlineLevel="0" collapsed="false">
      <c r="A466" s="24" t="str">
        <f aca="false">IF(AND(Payroll!$A466&lt;&gt;"",N(Payroll!$R466)&gt;0),"EDR","")</f>
        <v/>
      </c>
      <c r="B466" s="24" t="str">
        <f aca="false">IF($A466="","",Payroll!U466)</f>
        <v/>
      </c>
      <c r="C466" s="24" t="str">
        <f aca="false">IF($A466="","",Payroll!S466)</f>
        <v/>
      </c>
      <c r="D466" s="24" t="str">
        <f aca="false">IF($A466="","",SUBSTITUTE(Payroll!T466," ",""))</f>
        <v/>
      </c>
      <c r="E466" s="24" t="str">
        <f aca="false">IF($A466="","",TEXT(Settings!$B$8,"yyyy-mm-dd"))</f>
        <v/>
      </c>
      <c r="F466" s="24" t="str">
        <f aca="false">IF($A466="","",TEXT(Settings!$B$9,"yyyy-mm-dd"))</f>
        <v/>
      </c>
      <c r="G466" s="24" t="str">
        <f aca="false">IF($A466="","",DAY(Settings!$B$9))</f>
        <v/>
      </c>
      <c r="H466" s="26" t="str">
        <f aca="false">IF($A466="","",ROUND(Payroll!R466-Payroll!L466-Payroll!M466,2))</f>
        <v/>
      </c>
      <c r="I466" s="26" t="str">
        <f aca="false">IF($A466="","",ROUND(Payroll!L466+Payroll!M466,2))</f>
        <v/>
      </c>
      <c r="J466" s="24" t="str">
        <f aca="false">IF($A466="","",0)</f>
        <v/>
      </c>
    </row>
    <row r="467" customFormat="false" ht="15" hidden="false" customHeight="false" outlineLevel="0" collapsed="false">
      <c r="A467" s="24" t="str">
        <f aca="false">IF(AND(Payroll!$A467&lt;&gt;"",N(Payroll!$R467)&gt;0),"EDR","")</f>
        <v/>
      </c>
      <c r="B467" s="24" t="str">
        <f aca="false">IF($A467="","",Payroll!U467)</f>
        <v/>
      </c>
      <c r="C467" s="24" t="str">
        <f aca="false">IF($A467="","",Payroll!S467)</f>
        <v/>
      </c>
      <c r="D467" s="24" t="str">
        <f aca="false">IF($A467="","",SUBSTITUTE(Payroll!T467," ",""))</f>
        <v/>
      </c>
      <c r="E467" s="24" t="str">
        <f aca="false">IF($A467="","",TEXT(Settings!$B$8,"yyyy-mm-dd"))</f>
        <v/>
      </c>
      <c r="F467" s="24" t="str">
        <f aca="false">IF($A467="","",TEXT(Settings!$B$9,"yyyy-mm-dd"))</f>
        <v/>
      </c>
      <c r="G467" s="24" t="str">
        <f aca="false">IF($A467="","",DAY(Settings!$B$9))</f>
        <v/>
      </c>
      <c r="H467" s="26" t="str">
        <f aca="false">IF($A467="","",ROUND(Payroll!R467-Payroll!L467-Payroll!M467,2))</f>
        <v/>
      </c>
      <c r="I467" s="26" t="str">
        <f aca="false">IF($A467="","",ROUND(Payroll!L467+Payroll!M467,2))</f>
        <v/>
      </c>
      <c r="J467" s="24" t="str">
        <f aca="false">IF($A467="","",0)</f>
        <v/>
      </c>
    </row>
    <row r="468" customFormat="false" ht="15" hidden="false" customHeight="false" outlineLevel="0" collapsed="false">
      <c r="A468" s="24" t="str">
        <f aca="false">IF(AND(Payroll!$A468&lt;&gt;"",N(Payroll!$R468)&gt;0),"EDR","")</f>
        <v/>
      </c>
      <c r="B468" s="24" t="str">
        <f aca="false">IF($A468="","",Payroll!U468)</f>
        <v/>
      </c>
      <c r="C468" s="24" t="str">
        <f aca="false">IF($A468="","",Payroll!S468)</f>
        <v/>
      </c>
      <c r="D468" s="24" t="str">
        <f aca="false">IF($A468="","",SUBSTITUTE(Payroll!T468," ",""))</f>
        <v/>
      </c>
      <c r="E468" s="24" t="str">
        <f aca="false">IF($A468="","",TEXT(Settings!$B$8,"yyyy-mm-dd"))</f>
        <v/>
      </c>
      <c r="F468" s="24" t="str">
        <f aca="false">IF($A468="","",TEXT(Settings!$B$9,"yyyy-mm-dd"))</f>
        <v/>
      </c>
      <c r="G468" s="24" t="str">
        <f aca="false">IF($A468="","",DAY(Settings!$B$9))</f>
        <v/>
      </c>
      <c r="H468" s="26" t="str">
        <f aca="false">IF($A468="","",ROUND(Payroll!R468-Payroll!L468-Payroll!M468,2))</f>
        <v/>
      </c>
      <c r="I468" s="26" t="str">
        <f aca="false">IF($A468="","",ROUND(Payroll!L468+Payroll!M468,2))</f>
        <v/>
      </c>
      <c r="J468" s="24" t="str">
        <f aca="false">IF($A468="","",0)</f>
        <v/>
      </c>
    </row>
    <row r="469" customFormat="false" ht="15" hidden="false" customHeight="false" outlineLevel="0" collapsed="false">
      <c r="A469" s="24" t="str">
        <f aca="false">IF(AND(Payroll!$A469&lt;&gt;"",N(Payroll!$R469)&gt;0),"EDR","")</f>
        <v/>
      </c>
      <c r="B469" s="24" t="str">
        <f aca="false">IF($A469="","",Payroll!U469)</f>
        <v/>
      </c>
      <c r="C469" s="24" t="str">
        <f aca="false">IF($A469="","",Payroll!S469)</f>
        <v/>
      </c>
      <c r="D469" s="24" t="str">
        <f aca="false">IF($A469="","",SUBSTITUTE(Payroll!T469," ",""))</f>
        <v/>
      </c>
      <c r="E469" s="24" t="str">
        <f aca="false">IF($A469="","",TEXT(Settings!$B$8,"yyyy-mm-dd"))</f>
        <v/>
      </c>
      <c r="F469" s="24" t="str">
        <f aca="false">IF($A469="","",TEXT(Settings!$B$9,"yyyy-mm-dd"))</f>
        <v/>
      </c>
      <c r="G469" s="24" t="str">
        <f aca="false">IF($A469="","",DAY(Settings!$B$9))</f>
        <v/>
      </c>
      <c r="H469" s="26" t="str">
        <f aca="false">IF($A469="","",ROUND(Payroll!R469-Payroll!L469-Payroll!M469,2))</f>
        <v/>
      </c>
      <c r="I469" s="26" t="str">
        <f aca="false">IF($A469="","",ROUND(Payroll!L469+Payroll!M469,2))</f>
        <v/>
      </c>
      <c r="J469" s="24" t="str">
        <f aca="false">IF($A469="","",0)</f>
        <v/>
      </c>
    </row>
    <row r="470" customFormat="false" ht="15" hidden="false" customHeight="false" outlineLevel="0" collapsed="false">
      <c r="A470" s="24" t="str">
        <f aca="false">IF(AND(Payroll!$A470&lt;&gt;"",N(Payroll!$R470)&gt;0),"EDR","")</f>
        <v/>
      </c>
      <c r="B470" s="24" t="str">
        <f aca="false">IF($A470="","",Payroll!U470)</f>
        <v/>
      </c>
      <c r="C470" s="24" t="str">
        <f aca="false">IF($A470="","",Payroll!S470)</f>
        <v/>
      </c>
      <c r="D470" s="24" t="str">
        <f aca="false">IF($A470="","",SUBSTITUTE(Payroll!T470," ",""))</f>
        <v/>
      </c>
      <c r="E470" s="24" t="str">
        <f aca="false">IF($A470="","",TEXT(Settings!$B$8,"yyyy-mm-dd"))</f>
        <v/>
      </c>
      <c r="F470" s="24" t="str">
        <f aca="false">IF($A470="","",TEXT(Settings!$B$9,"yyyy-mm-dd"))</f>
        <v/>
      </c>
      <c r="G470" s="24" t="str">
        <f aca="false">IF($A470="","",DAY(Settings!$B$9))</f>
        <v/>
      </c>
      <c r="H470" s="26" t="str">
        <f aca="false">IF($A470="","",ROUND(Payroll!R470-Payroll!L470-Payroll!M470,2))</f>
        <v/>
      </c>
      <c r="I470" s="26" t="str">
        <f aca="false">IF($A470="","",ROUND(Payroll!L470+Payroll!M470,2))</f>
        <v/>
      </c>
      <c r="J470" s="24" t="str">
        <f aca="false">IF($A470="","",0)</f>
        <v/>
      </c>
    </row>
    <row r="471" customFormat="false" ht="15" hidden="false" customHeight="false" outlineLevel="0" collapsed="false">
      <c r="A471" s="24" t="str">
        <f aca="false">IF(AND(Payroll!$A471&lt;&gt;"",N(Payroll!$R471)&gt;0),"EDR","")</f>
        <v/>
      </c>
      <c r="B471" s="24" t="str">
        <f aca="false">IF($A471="","",Payroll!U471)</f>
        <v/>
      </c>
      <c r="C471" s="24" t="str">
        <f aca="false">IF($A471="","",Payroll!S471)</f>
        <v/>
      </c>
      <c r="D471" s="24" t="str">
        <f aca="false">IF($A471="","",SUBSTITUTE(Payroll!T471," ",""))</f>
        <v/>
      </c>
      <c r="E471" s="24" t="str">
        <f aca="false">IF($A471="","",TEXT(Settings!$B$8,"yyyy-mm-dd"))</f>
        <v/>
      </c>
      <c r="F471" s="24" t="str">
        <f aca="false">IF($A471="","",TEXT(Settings!$B$9,"yyyy-mm-dd"))</f>
        <v/>
      </c>
      <c r="G471" s="24" t="str">
        <f aca="false">IF($A471="","",DAY(Settings!$B$9))</f>
        <v/>
      </c>
      <c r="H471" s="26" t="str">
        <f aca="false">IF($A471="","",ROUND(Payroll!R471-Payroll!L471-Payroll!M471,2))</f>
        <v/>
      </c>
      <c r="I471" s="26" t="str">
        <f aca="false">IF($A471="","",ROUND(Payroll!L471+Payroll!M471,2))</f>
        <v/>
      </c>
      <c r="J471" s="24" t="str">
        <f aca="false">IF($A471="","",0)</f>
        <v/>
      </c>
    </row>
    <row r="472" customFormat="false" ht="15" hidden="false" customHeight="false" outlineLevel="0" collapsed="false">
      <c r="A472" s="24" t="str">
        <f aca="false">IF(AND(Payroll!$A472&lt;&gt;"",N(Payroll!$R472)&gt;0),"EDR","")</f>
        <v/>
      </c>
      <c r="B472" s="24" t="str">
        <f aca="false">IF($A472="","",Payroll!U472)</f>
        <v/>
      </c>
      <c r="C472" s="24" t="str">
        <f aca="false">IF($A472="","",Payroll!S472)</f>
        <v/>
      </c>
      <c r="D472" s="24" t="str">
        <f aca="false">IF($A472="","",SUBSTITUTE(Payroll!T472," ",""))</f>
        <v/>
      </c>
      <c r="E472" s="24" t="str">
        <f aca="false">IF($A472="","",TEXT(Settings!$B$8,"yyyy-mm-dd"))</f>
        <v/>
      </c>
      <c r="F472" s="24" t="str">
        <f aca="false">IF($A472="","",TEXT(Settings!$B$9,"yyyy-mm-dd"))</f>
        <v/>
      </c>
      <c r="G472" s="24" t="str">
        <f aca="false">IF($A472="","",DAY(Settings!$B$9))</f>
        <v/>
      </c>
      <c r="H472" s="26" t="str">
        <f aca="false">IF($A472="","",ROUND(Payroll!R472-Payroll!L472-Payroll!M472,2))</f>
        <v/>
      </c>
      <c r="I472" s="26" t="str">
        <f aca="false">IF($A472="","",ROUND(Payroll!L472+Payroll!M472,2))</f>
        <v/>
      </c>
      <c r="J472" s="24" t="str">
        <f aca="false">IF($A472="","",0)</f>
        <v/>
      </c>
    </row>
    <row r="473" customFormat="false" ht="15" hidden="false" customHeight="false" outlineLevel="0" collapsed="false">
      <c r="A473" s="24" t="str">
        <f aca="false">IF(AND(Payroll!$A473&lt;&gt;"",N(Payroll!$R473)&gt;0),"EDR","")</f>
        <v/>
      </c>
      <c r="B473" s="24" t="str">
        <f aca="false">IF($A473="","",Payroll!U473)</f>
        <v/>
      </c>
      <c r="C473" s="24" t="str">
        <f aca="false">IF($A473="","",Payroll!S473)</f>
        <v/>
      </c>
      <c r="D473" s="24" t="str">
        <f aca="false">IF($A473="","",SUBSTITUTE(Payroll!T473," ",""))</f>
        <v/>
      </c>
      <c r="E473" s="24" t="str">
        <f aca="false">IF($A473="","",TEXT(Settings!$B$8,"yyyy-mm-dd"))</f>
        <v/>
      </c>
      <c r="F473" s="24" t="str">
        <f aca="false">IF($A473="","",TEXT(Settings!$B$9,"yyyy-mm-dd"))</f>
        <v/>
      </c>
      <c r="G473" s="24" t="str">
        <f aca="false">IF($A473="","",DAY(Settings!$B$9))</f>
        <v/>
      </c>
      <c r="H473" s="26" t="str">
        <f aca="false">IF($A473="","",ROUND(Payroll!R473-Payroll!L473-Payroll!M473,2))</f>
        <v/>
      </c>
      <c r="I473" s="26" t="str">
        <f aca="false">IF($A473="","",ROUND(Payroll!L473+Payroll!M473,2))</f>
        <v/>
      </c>
      <c r="J473" s="24" t="str">
        <f aca="false">IF($A473="","",0)</f>
        <v/>
      </c>
    </row>
    <row r="474" customFormat="false" ht="15" hidden="false" customHeight="false" outlineLevel="0" collapsed="false">
      <c r="A474" s="24" t="str">
        <f aca="false">IF(AND(Payroll!$A474&lt;&gt;"",N(Payroll!$R474)&gt;0),"EDR","")</f>
        <v/>
      </c>
      <c r="B474" s="24" t="str">
        <f aca="false">IF($A474="","",Payroll!U474)</f>
        <v/>
      </c>
      <c r="C474" s="24" t="str">
        <f aca="false">IF($A474="","",Payroll!S474)</f>
        <v/>
      </c>
      <c r="D474" s="24" t="str">
        <f aca="false">IF($A474="","",SUBSTITUTE(Payroll!T474," ",""))</f>
        <v/>
      </c>
      <c r="E474" s="24" t="str">
        <f aca="false">IF($A474="","",TEXT(Settings!$B$8,"yyyy-mm-dd"))</f>
        <v/>
      </c>
      <c r="F474" s="24" t="str">
        <f aca="false">IF($A474="","",TEXT(Settings!$B$9,"yyyy-mm-dd"))</f>
        <v/>
      </c>
      <c r="G474" s="24" t="str">
        <f aca="false">IF($A474="","",DAY(Settings!$B$9))</f>
        <v/>
      </c>
      <c r="H474" s="26" t="str">
        <f aca="false">IF($A474="","",ROUND(Payroll!R474-Payroll!L474-Payroll!M474,2))</f>
        <v/>
      </c>
      <c r="I474" s="26" t="str">
        <f aca="false">IF($A474="","",ROUND(Payroll!L474+Payroll!M474,2))</f>
        <v/>
      </c>
      <c r="J474" s="24" t="str">
        <f aca="false">IF($A474="","",0)</f>
        <v/>
      </c>
    </row>
    <row r="475" customFormat="false" ht="15" hidden="false" customHeight="false" outlineLevel="0" collapsed="false">
      <c r="A475" s="24" t="str">
        <f aca="false">IF(AND(Payroll!$A475&lt;&gt;"",N(Payroll!$R475)&gt;0),"EDR","")</f>
        <v/>
      </c>
      <c r="B475" s="24" t="str">
        <f aca="false">IF($A475="","",Payroll!U475)</f>
        <v/>
      </c>
      <c r="C475" s="24" t="str">
        <f aca="false">IF($A475="","",Payroll!S475)</f>
        <v/>
      </c>
      <c r="D475" s="24" t="str">
        <f aca="false">IF($A475="","",SUBSTITUTE(Payroll!T475," ",""))</f>
        <v/>
      </c>
      <c r="E475" s="24" t="str">
        <f aca="false">IF($A475="","",TEXT(Settings!$B$8,"yyyy-mm-dd"))</f>
        <v/>
      </c>
      <c r="F475" s="24" t="str">
        <f aca="false">IF($A475="","",TEXT(Settings!$B$9,"yyyy-mm-dd"))</f>
        <v/>
      </c>
      <c r="G475" s="24" t="str">
        <f aca="false">IF($A475="","",DAY(Settings!$B$9))</f>
        <v/>
      </c>
      <c r="H475" s="26" t="str">
        <f aca="false">IF($A475="","",ROUND(Payroll!R475-Payroll!L475-Payroll!M475,2))</f>
        <v/>
      </c>
      <c r="I475" s="26" t="str">
        <f aca="false">IF($A475="","",ROUND(Payroll!L475+Payroll!M475,2))</f>
        <v/>
      </c>
      <c r="J475" s="24" t="str">
        <f aca="false">IF($A475="","",0)</f>
        <v/>
      </c>
    </row>
    <row r="476" customFormat="false" ht="15" hidden="false" customHeight="false" outlineLevel="0" collapsed="false">
      <c r="A476" s="24" t="str">
        <f aca="false">IF(AND(Payroll!$A476&lt;&gt;"",N(Payroll!$R476)&gt;0),"EDR","")</f>
        <v/>
      </c>
      <c r="B476" s="24" t="str">
        <f aca="false">IF($A476="","",Payroll!U476)</f>
        <v/>
      </c>
      <c r="C476" s="24" t="str">
        <f aca="false">IF($A476="","",Payroll!S476)</f>
        <v/>
      </c>
      <c r="D476" s="24" t="str">
        <f aca="false">IF($A476="","",SUBSTITUTE(Payroll!T476," ",""))</f>
        <v/>
      </c>
      <c r="E476" s="24" t="str">
        <f aca="false">IF($A476="","",TEXT(Settings!$B$8,"yyyy-mm-dd"))</f>
        <v/>
      </c>
      <c r="F476" s="24" t="str">
        <f aca="false">IF($A476="","",TEXT(Settings!$B$9,"yyyy-mm-dd"))</f>
        <v/>
      </c>
      <c r="G476" s="24" t="str">
        <f aca="false">IF($A476="","",DAY(Settings!$B$9))</f>
        <v/>
      </c>
      <c r="H476" s="26" t="str">
        <f aca="false">IF($A476="","",ROUND(Payroll!R476-Payroll!L476-Payroll!M476,2))</f>
        <v/>
      </c>
      <c r="I476" s="26" t="str">
        <f aca="false">IF($A476="","",ROUND(Payroll!L476+Payroll!M476,2))</f>
        <v/>
      </c>
      <c r="J476" s="24" t="str">
        <f aca="false">IF($A476="","",0)</f>
        <v/>
      </c>
    </row>
    <row r="477" customFormat="false" ht="15" hidden="false" customHeight="false" outlineLevel="0" collapsed="false">
      <c r="A477" s="24" t="str">
        <f aca="false">IF(AND(Payroll!$A477&lt;&gt;"",N(Payroll!$R477)&gt;0),"EDR","")</f>
        <v/>
      </c>
      <c r="B477" s="24" t="str">
        <f aca="false">IF($A477="","",Payroll!U477)</f>
        <v/>
      </c>
      <c r="C477" s="24" t="str">
        <f aca="false">IF($A477="","",Payroll!S477)</f>
        <v/>
      </c>
      <c r="D477" s="24" t="str">
        <f aca="false">IF($A477="","",SUBSTITUTE(Payroll!T477," ",""))</f>
        <v/>
      </c>
      <c r="E477" s="24" t="str">
        <f aca="false">IF($A477="","",TEXT(Settings!$B$8,"yyyy-mm-dd"))</f>
        <v/>
      </c>
      <c r="F477" s="24" t="str">
        <f aca="false">IF($A477="","",TEXT(Settings!$B$9,"yyyy-mm-dd"))</f>
        <v/>
      </c>
      <c r="G477" s="24" t="str">
        <f aca="false">IF($A477="","",DAY(Settings!$B$9))</f>
        <v/>
      </c>
      <c r="H477" s="26" t="str">
        <f aca="false">IF($A477="","",ROUND(Payroll!R477-Payroll!L477-Payroll!M477,2))</f>
        <v/>
      </c>
      <c r="I477" s="26" t="str">
        <f aca="false">IF($A477="","",ROUND(Payroll!L477+Payroll!M477,2))</f>
        <v/>
      </c>
      <c r="J477" s="24" t="str">
        <f aca="false">IF($A477="","",0)</f>
        <v/>
      </c>
    </row>
    <row r="478" customFormat="false" ht="15" hidden="false" customHeight="false" outlineLevel="0" collapsed="false">
      <c r="A478" s="24" t="str">
        <f aca="false">IF(AND(Payroll!$A478&lt;&gt;"",N(Payroll!$R478)&gt;0),"EDR","")</f>
        <v/>
      </c>
      <c r="B478" s="24" t="str">
        <f aca="false">IF($A478="","",Payroll!U478)</f>
        <v/>
      </c>
      <c r="C478" s="24" t="str">
        <f aca="false">IF($A478="","",Payroll!S478)</f>
        <v/>
      </c>
      <c r="D478" s="24" t="str">
        <f aca="false">IF($A478="","",SUBSTITUTE(Payroll!T478," ",""))</f>
        <v/>
      </c>
      <c r="E478" s="24" t="str">
        <f aca="false">IF($A478="","",TEXT(Settings!$B$8,"yyyy-mm-dd"))</f>
        <v/>
      </c>
      <c r="F478" s="24" t="str">
        <f aca="false">IF($A478="","",TEXT(Settings!$B$9,"yyyy-mm-dd"))</f>
        <v/>
      </c>
      <c r="G478" s="24" t="str">
        <f aca="false">IF($A478="","",DAY(Settings!$B$9))</f>
        <v/>
      </c>
      <c r="H478" s="26" t="str">
        <f aca="false">IF($A478="","",ROUND(Payroll!R478-Payroll!L478-Payroll!M478,2))</f>
        <v/>
      </c>
      <c r="I478" s="26" t="str">
        <f aca="false">IF($A478="","",ROUND(Payroll!L478+Payroll!M478,2))</f>
        <v/>
      </c>
      <c r="J478" s="24" t="str">
        <f aca="false">IF($A478="","",0)</f>
        <v/>
      </c>
    </row>
    <row r="479" customFormat="false" ht="15" hidden="false" customHeight="false" outlineLevel="0" collapsed="false">
      <c r="A479" s="24" t="str">
        <f aca="false">IF(AND(Payroll!$A479&lt;&gt;"",N(Payroll!$R479)&gt;0),"EDR","")</f>
        <v/>
      </c>
      <c r="B479" s="24" t="str">
        <f aca="false">IF($A479="","",Payroll!U479)</f>
        <v/>
      </c>
      <c r="C479" s="24" t="str">
        <f aca="false">IF($A479="","",Payroll!S479)</f>
        <v/>
      </c>
      <c r="D479" s="24" t="str">
        <f aca="false">IF($A479="","",SUBSTITUTE(Payroll!T479," ",""))</f>
        <v/>
      </c>
      <c r="E479" s="24" t="str">
        <f aca="false">IF($A479="","",TEXT(Settings!$B$8,"yyyy-mm-dd"))</f>
        <v/>
      </c>
      <c r="F479" s="24" t="str">
        <f aca="false">IF($A479="","",TEXT(Settings!$B$9,"yyyy-mm-dd"))</f>
        <v/>
      </c>
      <c r="G479" s="24" t="str">
        <f aca="false">IF($A479="","",DAY(Settings!$B$9))</f>
        <v/>
      </c>
      <c r="H479" s="26" t="str">
        <f aca="false">IF($A479="","",ROUND(Payroll!R479-Payroll!L479-Payroll!M479,2))</f>
        <v/>
      </c>
      <c r="I479" s="26" t="str">
        <f aca="false">IF($A479="","",ROUND(Payroll!L479+Payroll!M479,2))</f>
        <v/>
      </c>
      <c r="J479" s="24" t="str">
        <f aca="false">IF($A479="","",0)</f>
        <v/>
      </c>
    </row>
    <row r="480" customFormat="false" ht="15" hidden="false" customHeight="false" outlineLevel="0" collapsed="false">
      <c r="A480" s="24" t="str">
        <f aca="false">IF(AND(Payroll!$A480&lt;&gt;"",N(Payroll!$R480)&gt;0),"EDR","")</f>
        <v/>
      </c>
      <c r="B480" s="24" t="str">
        <f aca="false">IF($A480="","",Payroll!U480)</f>
        <v/>
      </c>
      <c r="C480" s="24" t="str">
        <f aca="false">IF($A480="","",Payroll!S480)</f>
        <v/>
      </c>
      <c r="D480" s="24" t="str">
        <f aca="false">IF($A480="","",SUBSTITUTE(Payroll!T480," ",""))</f>
        <v/>
      </c>
      <c r="E480" s="24" t="str">
        <f aca="false">IF($A480="","",TEXT(Settings!$B$8,"yyyy-mm-dd"))</f>
        <v/>
      </c>
      <c r="F480" s="24" t="str">
        <f aca="false">IF($A480="","",TEXT(Settings!$B$9,"yyyy-mm-dd"))</f>
        <v/>
      </c>
      <c r="G480" s="24" t="str">
        <f aca="false">IF($A480="","",DAY(Settings!$B$9))</f>
        <v/>
      </c>
      <c r="H480" s="26" t="str">
        <f aca="false">IF($A480="","",ROUND(Payroll!R480-Payroll!L480-Payroll!M480,2))</f>
        <v/>
      </c>
      <c r="I480" s="26" t="str">
        <f aca="false">IF($A480="","",ROUND(Payroll!L480+Payroll!M480,2))</f>
        <v/>
      </c>
      <c r="J480" s="24" t="str">
        <f aca="false">IF($A480="","",0)</f>
        <v/>
      </c>
    </row>
    <row r="481" customFormat="false" ht="15" hidden="false" customHeight="false" outlineLevel="0" collapsed="false">
      <c r="A481" s="24" t="str">
        <f aca="false">IF(AND(Payroll!$A481&lt;&gt;"",N(Payroll!$R481)&gt;0),"EDR","")</f>
        <v/>
      </c>
      <c r="B481" s="24" t="str">
        <f aca="false">IF($A481="","",Payroll!U481)</f>
        <v/>
      </c>
      <c r="C481" s="24" t="str">
        <f aca="false">IF($A481="","",Payroll!S481)</f>
        <v/>
      </c>
      <c r="D481" s="24" t="str">
        <f aca="false">IF($A481="","",SUBSTITUTE(Payroll!T481," ",""))</f>
        <v/>
      </c>
      <c r="E481" s="24" t="str">
        <f aca="false">IF($A481="","",TEXT(Settings!$B$8,"yyyy-mm-dd"))</f>
        <v/>
      </c>
      <c r="F481" s="24" t="str">
        <f aca="false">IF($A481="","",TEXT(Settings!$B$9,"yyyy-mm-dd"))</f>
        <v/>
      </c>
      <c r="G481" s="24" t="str">
        <f aca="false">IF($A481="","",DAY(Settings!$B$9))</f>
        <v/>
      </c>
      <c r="H481" s="26" t="str">
        <f aca="false">IF($A481="","",ROUND(Payroll!R481-Payroll!L481-Payroll!M481,2))</f>
        <v/>
      </c>
      <c r="I481" s="26" t="str">
        <f aca="false">IF($A481="","",ROUND(Payroll!L481+Payroll!M481,2))</f>
        <v/>
      </c>
      <c r="J481" s="24" t="str">
        <f aca="false">IF($A481="","",0)</f>
        <v/>
      </c>
    </row>
    <row r="482" customFormat="false" ht="15" hidden="false" customHeight="false" outlineLevel="0" collapsed="false">
      <c r="A482" s="24" t="str">
        <f aca="false">IF(AND(Payroll!$A482&lt;&gt;"",N(Payroll!$R482)&gt;0),"EDR","")</f>
        <v/>
      </c>
      <c r="B482" s="24" t="str">
        <f aca="false">IF($A482="","",Payroll!U482)</f>
        <v/>
      </c>
      <c r="C482" s="24" t="str">
        <f aca="false">IF($A482="","",Payroll!S482)</f>
        <v/>
      </c>
      <c r="D482" s="24" t="str">
        <f aca="false">IF($A482="","",SUBSTITUTE(Payroll!T482," ",""))</f>
        <v/>
      </c>
      <c r="E482" s="24" t="str">
        <f aca="false">IF($A482="","",TEXT(Settings!$B$8,"yyyy-mm-dd"))</f>
        <v/>
      </c>
      <c r="F482" s="24" t="str">
        <f aca="false">IF($A482="","",TEXT(Settings!$B$9,"yyyy-mm-dd"))</f>
        <v/>
      </c>
      <c r="G482" s="24" t="str">
        <f aca="false">IF($A482="","",DAY(Settings!$B$9))</f>
        <v/>
      </c>
      <c r="H482" s="26" t="str">
        <f aca="false">IF($A482="","",ROUND(Payroll!R482-Payroll!L482-Payroll!M482,2))</f>
        <v/>
      </c>
      <c r="I482" s="26" t="str">
        <f aca="false">IF($A482="","",ROUND(Payroll!L482+Payroll!M482,2))</f>
        <v/>
      </c>
      <c r="J482" s="24" t="str">
        <f aca="false">IF($A482="","",0)</f>
        <v/>
      </c>
    </row>
    <row r="483" customFormat="false" ht="15" hidden="false" customHeight="false" outlineLevel="0" collapsed="false">
      <c r="A483" s="24" t="str">
        <f aca="false">IF(AND(Payroll!$A483&lt;&gt;"",N(Payroll!$R483)&gt;0),"EDR","")</f>
        <v/>
      </c>
      <c r="B483" s="24" t="str">
        <f aca="false">IF($A483="","",Payroll!U483)</f>
        <v/>
      </c>
      <c r="C483" s="24" t="str">
        <f aca="false">IF($A483="","",Payroll!S483)</f>
        <v/>
      </c>
      <c r="D483" s="24" t="str">
        <f aca="false">IF($A483="","",SUBSTITUTE(Payroll!T483," ",""))</f>
        <v/>
      </c>
      <c r="E483" s="24" t="str">
        <f aca="false">IF($A483="","",TEXT(Settings!$B$8,"yyyy-mm-dd"))</f>
        <v/>
      </c>
      <c r="F483" s="24" t="str">
        <f aca="false">IF($A483="","",TEXT(Settings!$B$9,"yyyy-mm-dd"))</f>
        <v/>
      </c>
      <c r="G483" s="24" t="str">
        <f aca="false">IF($A483="","",DAY(Settings!$B$9))</f>
        <v/>
      </c>
      <c r="H483" s="26" t="str">
        <f aca="false">IF($A483="","",ROUND(Payroll!R483-Payroll!L483-Payroll!M483,2))</f>
        <v/>
      </c>
      <c r="I483" s="26" t="str">
        <f aca="false">IF($A483="","",ROUND(Payroll!L483+Payroll!M483,2))</f>
        <v/>
      </c>
      <c r="J483" s="24" t="str">
        <f aca="false">IF($A483="","",0)</f>
        <v/>
      </c>
    </row>
    <row r="484" customFormat="false" ht="15" hidden="false" customHeight="false" outlineLevel="0" collapsed="false">
      <c r="A484" s="24" t="str">
        <f aca="false">IF(AND(Payroll!$A484&lt;&gt;"",N(Payroll!$R484)&gt;0),"EDR","")</f>
        <v/>
      </c>
      <c r="B484" s="24" t="str">
        <f aca="false">IF($A484="","",Payroll!U484)</f>
        <v/>
      </c>
      <c r="C484" s="24" t="str">
        <f aca="false">IF($A484="","",Payroll!S484)</f>
        <v/>
      </c>
      <c r="D484" s="24" t="str">
        <f aca="false">IF($A484="","",SUBSTITUTE(Payroll!T484," ",""))</f>
        <v/>
      </c>
      <c r="E484" s="24" t="str">
        <f aca="false">IF($A484="","",TEXT(Settings!$B$8,"yyyy-mm-dd"))</f>
        <v/>
      </c>
      <c r="F484" s="24" t="str">
        <f aca="false">IF($A484="","",TEXT(Settings!$B$9,"yyyy-mm-dd"))</f>
        <v/>
      </c>
      <c r="G484" s="24" t="str">
        <f aca="false">IF($A484="","",DAY(Settings!$B$9))</f>
        <v/>
      </c>
      <c r="H484" s="26" t="str">
        <f aca="false">IF($A484="","",ROUND(Payroll!R484-Payroll!L484-Payroll!M484,2))</f>
        <v/>
      </c>
      <c r="I484" s="26" t="str">
        <f aca="false">IF($A484="","",ROUND(Payroll!L484+Payroll!M484,2))</f>
        <v/>
      </c>
      <c r="J484" s="24" t="str">
        <f aca="false">IF($A484="","",0)</f>
        <v/>
      </c>
    </row>
    <row r="485" customFormat="false" ht="15" hidden="false" customHeight="false" outlineLevel="0" collapsed="false">
      <c r="A485" s="24" t="str">
        <f aca="false">IF(AND(Payroll!$A485&lt;&gt;"",N(Payroll!$R485)&gt;0),"EDR","")</f>
        <v/>
      </c>
      <c r="B485" s="24" t="str">
        <f aca="false">IF($A485="","",Payroll!U485)</f>
        <v/>
      </c>
      <c r="C485" s="24" t="str">
        <f aca="false">IF($A485="","",Payroll!S485)</f>
        <v/>
      </c>
      <c r="D485" s="24" t="str">
        <f aca="false">IF($A485="","",SUBSTITUTE(Payroll!T485," ",""))</f>
        <v/>
      </c>
      <c r="E485" s="24" t="str">
        <f aca="false">IF($A485="","",TEXT(Settings!$B$8,"yyyy-mm-dd"))</f>
        <v/>
      </c>
      <c r="F485" s="24" t="str">
        <f aca="false">IF($A485="","",TEXT(Settings!$B$9,"yyyy-mm-dd"))</f>
        <v/>
      </c>
      <c r="G485" s="24" t="str">
        <f aca="false">IF($A485="","",DAY(Settings!$B$9))</f>
        <v/>
      </c>
      <c r="H485" s="26" t="str">
        <f aca="false">IF($A485="","",ROUND(Payroll!R485-Payroll!L485-Payroll!M485,2))</f>
        <v/>
      </c>
      <c r="I485" s="26" t="str">
        <f aca="false">IF($A485="","",ROUND(Payroll!L485+Payroll!M485,2))</f>
        <v/>
      </c>
      <c r="J485" s="24" t="str">
        <f aca="false">IF($A485="","",0)</f>
        <v/>
      </c>
    </row>
    <row r="486" customFormat="false" ht="15" hidden="false" customHeight="false" outlineLevel="0" collapsed="false">
      <c r="A486" s="24" t="str">
        <f aca="false">IF(AND(Payroll!$A486&lt;&gt;"",N(Payroll!$R486)&gt;0),"EDR","")</f>
        <v/>
      </c>
      <c r="B486" s="24" t="str">
        <f aca="false">IF($A486="","",Payroll!U486)</f>
        <v/>
      </c>
      <c r="C486" s="24" t="str">
        <f aca="false">IF($A486="","",Payroll!S486)</f>
        <v/>
      </c>
      <c r="D486" s="24" t="str">
        <f aca="false">IF($A486="","",SUBSTITUTE(Payroll!T486," ",""))</f>
        <v/>
      </c>
      <c r="E486" s="24" t="str">
        <f aca="false">IF($A486="","",TEXT(Settings!$B$8,"yyyy-mm-dd"))</f>
        <v/>
      </c>
      <c r="F486" s="24" t="str">
        <f aca="false">IF($A486="","",TEXT(Settings!$B$9,"yyyy-mm-dd"))</f>
        <v/>
      </c>
      <c r="G486" s="24" t="str">
        <f aca="false">IF($A486="","",DAY(Settings!$B$9))</f>
        <v/>
      </c>
      <c r="H486" s="26" t="str">
        <f aca="false">IF($A486="","",ROUND(Payroll!R486-Payroll!L486-Payroll!M486,2))</f>
        <v/>
      </c>
      <c r="I486" s="26" t="str">
        <f aca="false">IF($A486="","",ROUND(Payroll!L486+Payroll!M486,2))</f>
        <v/>
      </c>
      <c r="J486" s="24" t="str">
        <f aca="false">IF($A486="","",0)</f>
        <v/>
      </c>
    </row>
    <row r="487" customFormat="false" ht="15" hidden="false" customHeight="false" outlineLevel="0" collapsed="false">
      <c r="A487" s="24" t="str">
        <f aca="false">IF(AND(Payroll!$A487&lt;&gt;"",N(Payroll!$R487)&gt;0),"EDR","")</f>
        <v/>
      </c>
      <c r="B487" s="24" t="str">
        <f aca="false">IF($A487="","",Payroll!U487)</f>
        <v/>
      </c>
      <c r="C487" s="24" t="str">
        <f aca="false">IF($A487="","",Payroll!S487)</f>
        <v/>
      </c>
      <c r="D487" s="24" t="str">
        <f aca="false">IF($A487="","",SUBSTITUTE(Payroll!T487," ",""))</f>
        <v/>
      </c>
      <c r="E487" s="24" t="str">
        <f aca="false">IF($A487="","",TEXT(Settings!$B$8,"yyyy-mm-dd"))</f>
        <v/>
      </c>
      <c r="F487" s="24" t="str">
        <f aca="false">IF($A487="","",TEXT(Settings!$B$9,"yyyy-mm-dd"))</f>
        <v/>
      </c>
      <c r="G487" s="24" t="str">
        <f aca="false">IF($A487="","",DAY(Settings!$B$9))</f>
        <v/>
      </c>
      <c r="H487" s="26" t="str">
        <f aca="false">IF($A487="","",ROUND(Payroll!R487-Payroll!L487-Payroll!M487,2))</f>
        <v/>
      </c>
      <c r="I487" s="26" t="str">
        <f aca="false">IF($A487="","",ROUND(Payroll!L487+Payroll!M487,2))</f>
        <v/>
      </c>
      <c r="J487" s="24" t="str">
        <f aca="false">IF($A487="","",0)</f>
        <v/>
      </c>
    </row>
    <row r="488" customFormat="false" ht="15" hidden="false" customHeight="false" outlineLevel="0" collapsed="false">
      <c r="A488" s="24" t="str">
        <f aca="false">IF(AND(Payroll!$A488&lt;&gt;"",N(Payroll!$R488)&gt;0),"EDR","")</f>
        <v/>
      </c>
      <c r="B488" s="24" t="str">
        <f aca="false">IF($A488="","",Payroll!U488)</f>
        <v/>
      </c>
      <c r="C488" s="24" t="str">
        <f aca="false">IF($A488="","",Payroll!S488)</f>
        <v/>
      </c>
      <c r="D488" s="24" t="str">
        <f aca="false">IF($A488="","",SUBSTITUTE(Payroll!T488," ",""))</f>
        <v/>
      </c>
      <c r="E488" s="24" t="str">
        <f aca="false">IF($A488="","",TEXT(Settings!$B$8,"yyyy-mm-dd"))</f>
        <v/>
      </c>
      <c r="F488" s="24" t="str">
        <f aca="false">IF($A488="","",TEXT(Settings!$B$9,"yyyy-mm-dd"))</f>
        <v/>
      </c>
      <c r="G488" s="24" t="str">
        <f aca="false">IF($A488="","",DAY(Settings!$B$9))</f>
        <v/>
      </c>
      <c r="H488" s="26" t="str">
        <f aca="false">IF($A488="","",ROUND(Payroll!R488-Payroll!L488-Payroll!M488,2))</f>
        <v/>
      </c>
      <c r="I488" s="26" t="str">
        <f aca="false">IF($A488="","",ROUND(Payroll!L488+Payroll!M488,2))</f>
        <v/>
      </c>
      <c r="J488" s="24" t="str">
        <f aca="false">IF($A488="","",0)</f>
        <v/>
      </c>
    </row>
    <row r="489" customFormat="false" ht="15" hidden="false" customHeight="false" outlineLevel="0" collapsed="false">
      <c r="A489" s="24" t="str">
        <f aca="false">IF(AND(Payroll!$A489&lt;&gt;"",N(Payroll!$R489)&gt;0),"EDR","")</f>
        <v/>
      </c>
      <c r="B489" s="24" t="str">
        <f aca="false">IF($A489="","",Payroll!U489)</f>
        <v/>
      </c>
      <c r="C489" s="24" t="str">
        <f aca="false">IF($A489="","",Payroll!S489)</f>
        <v/>
      </c>
      <c r="D489" s="24" t="str">
        <f aca="false">IF($A489="","",SUBSTITUTE(Payroll!T489," ",""))</f>
        <v/>
      </c>
      <c r="E489" s="24" t="str">
        <f aca="false">IF($A489="","",TEXT(Settings!$B$8,"yyyy-mm-dd"))</f>
        <v/>
      </c>
      <c r="F489" s="24" t="str">
        <f aca="false">IF($A489="","",TEXT(Settings!$B$9,"yyyy-mm-dd"))</f>
        <v/>
      </c>
      <c r="G489" s="24" t="str">
        <f aca="false">IF($A489="","",DAY(Settings!$B$9))</f>
        <v/>
      </c>
      <c r="H489" s="26" t="str">
        <f aca="false">IF($A489="","",ROUND(Payroll!R489-Payroll!L489-Payroll!M489,2))</f>
        <v/>
      </c>
      <c r="I489" s="26" t="str">
        <f aca="false">IF($A489="","",ROUND(Payroll!L489+Payroll!M489,2))</f>
        <v/>
      </c>
      <c r="J489" s="24" t="str">
        <f aca="false">IF($A489="","",0)</f>
        <v/>
      </c>
    </row>
    <row r="490" customFormat="false" ht="15" hidden="false" customHeight="false" outlineLevel="0" collapsed="false">
      <c r="A490" s="24" t="str">
        <f aca="false">IF(AND(Payroll!$A490&lt;&gt;"",N(Payroll!$R490)&gt;0),"EDR","")</f>
        <v/>
      </c>
      <c r="B490" s="24" t="str">
        <f aca="false">IF($A490="","",Payroll!U490)</f>
        <v/>
      </c>
      <c r="C490" s="24" t="str">
        <f aca="false">IF($A490="","",Payroll!S490)</f>
        <v/>
      </c>
      <c r="D490" s="24" t="str">
        <f aca="false">IF($A490="","",SUBSTITUTE(Payroll!T490," ",""))</f>
        <v/>
      </c>
      <c r="E490" s="24" t="str">
        <f aca="false">IF($A490="","",TEXT(Settings!$B$8,"yyyy-mm-dd"))</f>
        <v/>
      </c>
      <c r="F490" s="24" t="str">
        <f aca="false">IF($A490="","",TEXT(Settings!$B$9,"yyyy-mm-dd"))</f>
        <v/>
      </c>
      <c r="G490" s="24" t="str">
        <f aca="false">IF($A490="","",DAY(Settings!$B$9))</f>
        <v/>
      </c>
      <c r="H490" s="26" t="str">
        <f aca="false">IF($A490="","",ROUND(Payroll!R490-Payroll!L490-Payroll!M490,2))</f>
        <v/>
      </c>
      <c r="I490" s="26" t="str">
        <f aca="false">IF($A490="","",ROUND(Payroll!L490+Payroll!M490,2))</f>
        <v/>
      </c>
      <c r="J490" s="24" t="str">
        <f aca="false">IF($A490="","",0)</f>
        <v/>
      </c>
    </row>
    <row r="491" customFormat="false" ht="15" hidden="false" customHeight="false" outlineLevel="0" collapsed="false">
      <c r="A491" s="24" t="str">
        <f aca="false">IF(AND(Payroll!$A491&lt;&gt;"",N(Payroll!$R491)&gt;0),"EDR","")</f>
        <v/>
      </c>
      <c r="B491" s="24" t="str">
        <f aca="false">IF($A491="","",Payroll!U491)</f>
        <v/>
      </c>
      <c r="C491" s="24" t="str">
        <f aca="false">IF($A491="","",Payroll!S491)</f>
        <v/>
      </c>
      <c r="D491" s="24" t="str">
        <f aca="false">IF($A491="","",SUBSTITUTE(Payroll!T491," ",""))</f>
        <v/>
      </c>
      <c r="E491" s="24" t="str">
        <f aca="false">IF($A491="","",TEXT(Settings!$B$8,"yyyy-mm-dd"))</f>
        <v/>
      </c>
      <c r="F491" s="24" t="str">
        <f aca="false">IF($A491="","",TEXT(Settings!$B$9,"yyyy-mm-dd"))</f>
        <v/>
      </c>
      <c r="G491" s="24" t="str">
        <f aca="false">IF($A491="","",DAY(Settings!$B$9))</f>
        <v/>
      </c>
      <c r="H491" s="26" t="str">
        <f aca="false">IF($A491="","",ROUND(Payroll!R491-Payroll!L491-Payroll!M491,2))</f>
        <v/>
      </c>
      <c r="I491" s="26" t="str">
        <f aca="false">IF($A491="","",ROUND(Payroll!L491+Payroll!M491,2))</f>
        <v/>
      </c>
      <c r="J491" s="24" t="str">
        <f aca="false">IF($A491="","",0)</f>
        <v/>
      </c>
    </row>
    <row r="492" customFormat="false" ht="15" hidden="false" customHeight="false" outlineLevel="0" collapsed="false">
      <c r="A492" s="24" t="str">
        <f aca="false">IF(AND(Payroll!$A492&lt;&gt;"",N(Payroll!$R492)&gt;0),"EDR","")</f>
        <v/>
      </c>
      <c r="B492" s="24" t="str">
        <f aca="false">IF($A492="","",Payroll!U492)</f>
        <v/>
      </c>
      <c r="C492" s="24" t="str">
        <f aca="false">IF($A492="","",Payroll!S492)</f>
        <v/>
      </c>
      <c r="D492" s="24" t="str">
        <f aca="false">IF($A492="","",SUBSTITUTE(Payroll!T492," ",""))</f>
        <v/>
      </c>
      <c r="E492" s="24" t="str">
        <f aca="false">IF($A492="","",TEXT(Settings!$B$8,"yyyy-mm-dd"))</f>
        <v/>
      </c>
      <c r="F492" s="24" t="str">
        <f aca="false">IF($A492="","",TEXT(Settings!$B$9,"yyyy-mm-dd"))</f>
        <v/>
      </c>
      <c r="G492" s="24" t="str">
        <f aca="false">IF($A492="","",DAY(Settings!$B$9))</f>
        <v/>
      </c>
      <c r="H492" s="26" t="str">
        <f aca="false">IF($A492="","",ROUND(Payroll!R492-Payroll!L492-Payroll!M492,2))</f>
        <v/>
      </c>
      <c r="I492" s="26" t="str">
        <f aca="false">IF($A492="","",ROUND(Payroll!L492+Payroll!M492,2))</f>
        <v/>
      </c>
      <c r="J492" s="24" t="str">
        <f aca="false">IF($A492="","",0)</f>
        <v/>
      </c>
    </row>
    <row r="493" customFormat="false" ht="15" hidden="false" customHeight="false" outlineLevel="0" collapsed="false">
      <c r="A493" s="24" t="str">
        <f aca="false">IF(AND(Payroll!$A493&lt;&gt;"",N(Payroll!$R493)&gt;0),"EDR","")</f>
        <v/>
      </c>
      <c r="B493" s="24" t="str">
        <f aca="false">IF($A493="","",Payroll!U493)</f>
        <v/>
      </c>
      <c r="C493" s="24" t="str">
        <f aca="false">IF($A493="","",Payroll!S493)</f>
        <v/>
      </c>
      <c r="D493" s="24" t="str">
        <f aca="false">IF($A493="","",SUBSTITUTE(Payroll!T493," ",""))</f>
        <v/>
      </c>
      <c r="E493" s="24" t="str">
        <f aca="false">IF($A493="","",TEXT(Settings!$B$8,"yyyy-mm-dd"))</f>
        <v/>
      </c>
      <c r="F493" s="24" t="str">
        <f aca="false">IF($A493="","",TEXT(Settings!$B$9,"yyyy-mm-dd"))</f>
        <v/>
      </c>
      <c r="G493" s="24" t="str">
        <f aca="false">IF($A493="","",DAY(Settings!$B$9))</f>
        <v/>
      </c>
      <c r="H493" s="26" t="str">
        <f aca="false">IF($A493="","",ROUND(Payroll!R493-Payroll!L493-Payroll!M493,2))</f>
        <v/>
      </c>
      <c r="I493" s="26" t="str">
        <f aca="false">IF($A493="","",ROUND(Payroll!L493+Payroll!M493,2))</f>
        <v/>
      </c>
      <c r="J493" s="24" t="str">
        <f aca="false">IF($A493="","",0)</f>
        <v/>
      </c>
    </row>
    <row r="494" customFormat="false" ht="15" hidden="false" customHeight="false" outlineLevel="0" collapsed="false">
      <c r="A494" s="24" t="str">
        <f aca="false">IF(AND(Payroll!$A494&lt;&gt;"",N(Payroll!$R494)&gt;0),"EDR","")</f>
        <v/>
      </c>
      <c r="B494" s="24" t="str">
        <f aca="false">IF($A494="","",Payroll!U494)</f>
        <v/>
      </c>
      <c r="C494" s="24" t="str">
        <f aca="false">IF($A494="","",Payroll!S494)</f>
        <v/>
      </c>
      <c r="D494" s="24" t="str">
        <f aca="false">IF($A494="","",SUBSTITUTE(Payroll!T494," ",""))</f>
        <v/>
      </c>
      <c r="E494" s="24" t="str">
        <f aca="false">IF($A494="","",TEXT(Settings!$B$8,"yyyy-mm-dd"))</f>
        <v/>
      </c>
      <c r="F494" s="24" t="str">
        <f aca="false">IF($A494="","",TEXT(Settings!$B$9,"yyyy-mm-dd"))</f>
        <v/>
      </c>
      <c r="G494" s="24" t="str">
        <f aca="false">IF($A494="","",DAY(Settings!$B$9))</f>
        <v/>
      </c>
      <c r="H494" s="26" t="str">
        <f aca="false">IF($A494="","",ROUND(Payroll!R494-Payroll!L494-Payroll!M494,2))</f>
        <v/>
      </c>
      <c r="I494" s="26" t="str">
        <f aca="false">IF($A494="","",ROUND(Payroll!L494+Payroll!M494,2))</f>
        <v/>
      </c>
      <c r="J494" s="24" t="str">
        <f aca="false">IF($A494="","",0)</f>
        <v/>
      </c>
    </row>
    <row r="495" customFormat="false" ht="15" hidden="false" customHeight="false" outlineLevel="0" collapsed="false">
      <c r="A495" s="24" t="str">
        <f aca="false">IF(AND(Payroll!$A495&lt;&gt;"",N(Payroll!$R495)&gt;0),"EDR","")</f>
        <v/>
      </c>
      <c r="B495" s="24" t="str">
        <f aca="false">IF($A495="","",Payroll!U495)</f>
        <v/>
      </c>
      <c r="C495" s="24" t="str">
        <f aca="false">IF($A495="","",Payroll!S495)</f>
        <v/>
      </c>
      <c r="D495" s="24" t="str">
        <f aca="false">IF($A495="","",SUBSTITUTE(Payroll!T495," ",""))</f>
        <v/>
      </c>
      <c r="E495" s="24" t="str">
        <f aca="false">IF($A495="","",TEXT(Settings!$B$8,"yyyy-mm-dd"))</f>
        <v/>
      </c>
      <c r="F495" s="24" t="str">
        <f aca="false">IF($A495="","",TEXT(Settings!$B$9,"yyyy-mm-dd"))</f>
        <v/>
      </c>
      <c r="G495" s="24" t="str">
        <f aca="false">IF($A495="","",DAY(Settings!$B$9))</f>
        <v/>
      </c>
      <c r="H495" s="26" t="str">
        <f aca="false">IF($A495="","",ROUND(Payroll!R495-Payroll!L495-Payroll!M495,2))</f>
        <v/>
      </c>
      <c r="I495" s="26" t="str">
        <f aca="false">IF($A495="","",ROUND(Payroll!L495+Payroll!M495,2))</f>
        <v/>
      </c>
      <c r="J495" s="24" t="str">
        <f aca="false">IF($A495="","",0)</f>
        <v/>
      </c>
    </row>
    <row r="496" customFormat="false" ht="15" hidden="false" customHeight="false" outlineLevel="0" collapsed="false">
      <c r="A496" s="24" t="str">
        <f aca="false">IF(AND(Payroll!$A496&lt;&gt;"",N(Payroll!$R496)&gt;0),"EDR","")</f>
        <v/>
      </c>
      <c r="B496" s="24" t="str">
        <f aca="false">IF($A496="","",Payroll!U496)</f>
        <v/>
      </c>
      <c r="C496" s="24" t="str">
        <f aca="false">IF($A496="","",Payroll!S496)</f>
        <v/>
      </c>
      <c r="D496" s="24" t="str">
        <f aca="false">IF($A496="","",SUBSTITUTE(Payroll!T496," ",""))</f>
        <v/>
      </c>
      <c r="E496" s="24" t="str">
        <f aca="false">IF($A496="","",TEXT(Settings!$B$8,"yyyy-mm-dd"))</f>
        <v/>
      </c>
      <c r="F496" s="24" t="str">
        <f aca="false">IF($A496="","",TEXT(Settings!$B$9,"yyyy-mm-dd"))</f>
        <v/>
      </c>
      <c r="G496" s="24" t="str">
        <f aca="false">IF($A496="","",DAY(Settings!$B$9))</f>
        <v/>
      </c>
      <c r="H496" s="26" t="str">
        <f aca="false">IF($A496="","",ROUND(Payroll!R496-Payroll!L496-Payroll!M496,2))</f>
        <v/>
      </c>
      <c r="I496" s="26" t="str">
        <f aca="false">IF($A496="","",ROUND(Payroll!L496+Payroll!M496,2))</f>
        <v/>
      </c>
      <c r="J496" s="24" t="str">
        <f aca="false">IF($A496="","",0)</f>
        <v/>
      </c>
    </row>
    <row r="497" customFormat="false" ht="15" hidden="false" customHeight="false" outlineLevel="0" collapsed="false">
      <c r="A497" s="24" t="str">
        <f aca="false">IF(AND(Payroll!$A497&lt;&gt;"",N(Payroll!$R497)&gt;0),"EDR","")</f>
        <v/>
      </c>
      <c r="B497" s="24" t="str">
        <f aca="false">IF($A497="","",Payroll!U497)</f>
        <v/>
      </c>
      <c r="C497" s="24" t="str">
        <f aca="false">IF($A497="","",Payroll!S497)</f>
        <v/>
      </c>
      <c r="D497" s="24" t="str">
        <f aca="false">IF($A497="","",SUBSTITUTE(Payroll!T497," ",""))</f>
        <v/>
      </c>
      <c r="E497" s="24" t="str">
        <f aca="false">IF($A497="","",TEXT(Settings!$B$8,"yyyy-mm-dd"))</f>
        <v/>
      </c>
      <c r="F497" s="24" t="str">
        <f aca="false">IF($A497="","",TEXT(Settings!$B$9,"yyyy-mm-dd"))</f>
        <v/>
      </c>
      <c r="G497" s="24" t="str">
        <f aca="false">IF($A497="","",DAY(Settings!$B$9))</f>
        <v/>
      </c>
      <c r="H497" s="26" t="str">
        <f aca="false">IF($A497="","",ROUND(Payroll!R497-Payroll!L497-Payroll!M497,2))</f>
        <v/>
      </c>
      <c r="I497" s="26" t="str">
        <f aca="false">IF($A497="","",ROUND(Payroll!L497+Payroll!M497,2))</f>
        <v/>
      </c>
      <c r="J497" s="24" t="str">
        <f aca="false">IF($A497="","",0)</f>
        <v/>
      </c>
    </row>
    <row r="498" customFormat="false" ht="15" hidden="false" customHeight="false" outlineLevel="0" collapsed="false">
      <c r="A498" s="24" t="str">
        <f aca="false">IF(AND(Payroll!$A498&lt;&gt;"",N(Payroll!$R498)&gt;0),"EDR","")</f>
        <v/>
      </c>
      <c r="B498" s="24" t="str">
        <f aca="false">IF($A498="","",Payroll!U498)</f>
        <v/>
      </c>
      <c r="C498" s="24" t="str">
        <f aca="false">IF($A498="","",Payroll!S498)</f>
        <v/>
      </c>
      <c r="D498" s="24" t="str">
        <f aca="false">IF($A498="","",SUBSTITUTE(Payroll!T498," ",""))</f>
        <v/>
      </c>
      <c r="E498" s="24" t="str">
        <f aca="false">IF($A498="","",TEXT(Settings!$B$8,"yyyy-mm-dd"))</f>
        <v/>
      </c>
      <c r="F498" s="24" t="str">
        <f aca="false">IF($A498="","",TEXT(Settings!$B$9,"yyyy-mm-dd"))</f>
        <v/>
      </c>
      <c r="G498" s="24" t="str">
        <f aca="false">IF($A498="","",DAY(Settings!$B$9))</f>
        <v/>
      </c>
      <c r="H498" s="26" t="str">
        <f aca="false">IF($A498="","",ROUND(Payroll!R498-Payroll!L498-Payroll!M498,2))</f>
        <v/>
      </c>
      <c r="I498" s="26" t="str">
        <f aca="false">IF($A498="","",ROUND(Payroll!L498+Payroll!M498,2))</f>
        <v/>
      </c>
      <c r="J498" s="24" t="str">
        <f aca="false">IF($A498="","",0)</f>
        <v/>
      </c>
    </row>
    <row r="499" customFormat="false" ht="15" hidden="false" customHeight="false" outlineLevel="0" collapsed="false">
      <c r="A499" s="24" t="str">
        <f aca="false">IF(AND(Payroll!$A499&lt;&gt;"",N(Payroll!$R499)&gt;0),"EDR","")</f>
        <v/>
      </c>
      <c r="B499" s="24" t="str">
        <f aca="false">IF($A499="","",Payroll!U499)</f>
        <v/>
      </c>
      <c r="C499" s="24" t="str">
        <f aca="false">IF($A499="","",Payroll!S499)</f>
        <v/>
      </c>
      <c r="D499" s="24" t="str">
        <f aca="false">IF($A499="","",SUBSTITUTE(Payroll!T499," ",""))</f>
        <v/>
      </c>
      <c r="E499" s="24" t="str">
        <f aca="false">IF($A499="","",TEXT(Settings!$B$8,"yyyy-mm-dd"))</f>
        <v/>
      </c>
      <c r="F499" s="24" t="str">
        <f aca="false">IF($A499="","",TEXT(Settings!$B$9,"yyyy-mm-dd"))</f>
        <v/>
      </c>
      <c r="G499" s="24" t="str">
        <f aca="false">IF($A499="","",DAY(Settings!$B$9))</f>
        <v/>
      </c>
      <c r="H499" s="26" t="str">
        <f aca="false">IF($A499="","",ROUND(Payroll!R499-Payroll!L499-Payroll!M499,2))</f>
        <v/>
      </c>
      <c r="I499" s="26" t="str">
        <f aca="false">IF($A499="","",ROUND(Payroll!L499+Payroll!M499,2))</f>
        <v/>
      </c>
      <c r="J499" s="24" t="str">
        <f aca="false">IF($A499="","",0)</f>
        <v/>
      </c>
    </row>
    <row r="500" customFormat="false" ht="15" hidden="false" customHeight="false" outlineLevel="0" collapsed="false">
      <c r="A500" s="24" t="str">
        <f aca="false">IF(AND(Payroll!$A500&lt;&gt;"",N(Payroll!$R500)&gt;0),"EDR","")</f>
        <v/>
      </c>
      <c r="B500" s="24" t="str">
        <f aca="false">IF($A500="","",Payroll!U500)</f>
        <v/>
      </c>
      <c r="C500" s="24" t="str">
        <f aca="false">IF($A500="","",Payroll!S500)</f>
        <v/>
      </c>
      <c r="D500" s="24" t="str">
        <f aca="false">IF($A500="","",SUBSTITUTE(Payroll!T500," ",""))</f>
        <v/>
      </c>
      <c r="E500" s="24" t="str">
        <f aca="false">IF($A500="","",TEXT(Settings!$B$8,"yyyy-mm-dd"))</f>
        <v/>
      </c>
      <c r="F500" s="24" t="str">
        <f aca="false">IF($A500="","",TEXT(Settings!$B$9,"yyyy-mm-dd"))</f>
        <v/>
      </c>
      <c r="G500" s="24" t="str">
        <f aca="false">IF($A500="","",DAY(Settings!$B$9))</f>
        <v/>
      </c>
      <c r="H500" s="26" t="str">
        <f aca="false">IF($A500="","",ROUND(Payroll!R500-Payroll!L500-Payroll!M500,2))</f>
        <v/>
      </c>
      <c r="I500" s="26" t="str">
        <f aca="false">IF($A500="","",ROUND(Payroll!L500+Payroll!M500,2))</f>
        <v/>
      </c>
      <c r="J500" s="24" t="str">
        <f aca="false">IF($A500="","",0)</f>
        <v/>
      </c>
    </row>
    <row r="501" customFormat="false" ht="15" hidden="false" customHeight="false" outlineLevel="0" collapsed="false">
      <c r="A501" s="24" t="str">
        <f aca="false">IF(AND(Payroll!$A501&lt;&gt;"",N(Payroll!$R501)&gt;0),"EDR","")</f>
        <v/>
      </c>
      <c r="B501" s="24" t="str">
        <f aca="false">IF($A501="","",Payroll!U501)</f>
        <v/>
      </c>
      <c r="C501" s="24" t="str">
        <f aca="false">IF($A501="","",Payroll!S501)</f>
        <v/>
      </c>
      <c r="D501" s="24" t="str">
        <f aca="false">IF($A501="","",SUBSTITUTE(Payroll!T501," ",""))</f>
        <v/>
      </c>
      <c r="E501" s="24" t="str">
        <f aca="false">IF($A501="","",TEXT(Settings!$B$8,"yyyy-mm-dd"))</f>
        <v/>
      </c>
      <c r="F501" s="24" t="str">
        <f aca="false">IF($A501="","",TEXT(Settings!$B$9,"yyyy-mm-dd"))</f>
        <v/>
      </c>
      <c r="G501" s="24" t="str">
        <f aca="false">IF($A501="","",DAY(Settings!$B$9))</f>
        <v/>
      </c>
      <c r="H501" s="26" t="str">
        <f aca="false">IF($A501="","",ROUND(Payroll!R501-Payroll!L501-Payroll!M501,2))</f>
        <v/>
      </c>
      <c r="I501" s="26" t="str">
        <f aca="false">IF($A501="","",ROUND(Payroll!L501+Payroll!M501,2))</f>
        <v/>
      </c>
      <c r="J501" s="24" t="str">
        <f aca="false">IF($A501="","",0)</f>
        <v/>
      </c>
    </row>
    <row r="502" customFormat="false" ht="15" hidden="false" customHeight="false" outlineLevel="0" collapsed="false">
      <c r="A502" s="24" t="str">
        <f aca="false">IF(AND(Payroll!$A502&lt;&gt;"",N(Payroll!$R502)&gt;0),"EDR","")</f>
        <v/>
      </c>
      <c r="B502" s="24" t="str">
        <f aca="false">IF($A502="","",Payroll!U502)</f>
        <v/>
      </c>
      <c r="C502" s="24" t="str">
        <f aca="false">IF($A502="","",Payroll!S502)</f>
        <v/>
      </c>
      <c r="D502" s="24" t="str">
        <f aca="false">IF($A502="","",SUBSTITUTE(Payroll!T502," ",""))</f>
        <v/>
      </c>
      <c r="E502" s="24" t="str">
        <f aca="false">IF($A502="","",TEXT(Settings!$B$8,"yyyy-mm-dd"))</f>
        <v/>
      </c>
      <c r="F502" s="24" t="str">
        <f aca="false">IF($A502="","",TEXT(Settings!$B$9,"yyyy-mm-dd"))</f>
        <v/>
      </c>
      <c r="G502" s="24" t="str">
        <f aca="false">IF($A502="","",DAY(Settings!$B$9))</f>
        <v/>
      </c>
      <c r="H502" s="26" t="str">
        <f aca="false">IF($A502="","",ROUND(Payroll!R502-Payroll!L502-Payroll!M502,2))</f>
        <v/>
      </c>
      <c r="I502" s="26" t="str">
        <f aca="false">IF($A502="","",ROUND(Payroll!L502+Payroll!M502,2))</f>
        <v/>
      </c>
      <c r="J502" s="24" t="str">
        <f aca="false">IF($A502="","",0)</f>
        <v/>
      </c>
    </row>
    <row r="503" customFormat="false" ht="15" hidden="false" customHeight="false" outlineLevel="0" collapsed="false">
      <c r="A503" s="24" t="str">
        <f aca="false">IF(AND(Payroll!$A503&lt;&gt;"",N(Payroll!$R503)&gt;0),"EDR","")</f>
        <v/>
      </c>
      <c r="B503" s="24" t="str">
        <f aca="false">IF($A503="","",Payroll!U503)</f>
        <v/>
      </c>
      <c r="C503" s="24" t="str">
        <f aca="false">IF($A503="","",Payroll!S503)</f>
        <v/>
      </c>
      <c r="D503" s="24" t="str">
        <f aca="false">IF($A503="","",SUBSTITUTE(Payroll!T503," ",""))</f>
        <v/>
      </c>
      <c r="E503" s="24" t="str">
        <f aca="false">IF($A503="","",TEXT(Settings!$B$8,"yyyy-mm-dd"))</f>
        <v/>
      </c>
      <c r="F503" s="24" t="str">
        <f aca="false">IF($A503="","",TEXT(Settings!$B$9,"yyyy-mm-dd"))</f>
        <v/>
      </c>
      <c r="G503" s="24" t="str">
        <f aca="false">IF($A503="","",DAY(Settings!$B$9))</f>
        <v/>
      </c>
      <c r="H503" s="26" t="str">
        <f aca="false">IF($A503="","",ROUND(Payroll!R503-Payroll!L503-Payroll!M503,2))</f>
        <v/>
      </c>
      <c r="I503" s="26" t="str">
        <f aca="false">IF($A503="","",ROUND(Payroll!L503+Payroll!M503,2))</f>
        <v/>
      </c>
      <c r="J503" s="24" t="str">
        <f aca="false">IF($A503="","",0)</f>
        <v/>
      </c>
    </row>
    <row r="504" customFormat="false" ht="15" hidden="false" customHeight="false" outlineLevel="0" collapsed="false">
      <c r="A504" s="24" t="str">
        <f aca="false">IF(AND(Payroll!$A504&lt;&gt;"",N(Payroll!$R504)&gt;0),"EDR","")</f>
        <v/>
      </c>
      <c r="B504" s="24" t="str">
        <f aca="false">IF($A504="","",Payroll!U504)</f>
        <v/>
      </c>
      <c r="C504" s="24" t="str">
        <f aca="false">IF($A504="","",Payroll!S504)</f>
        <v/>
      </c>
      <c r="D504" s="24" t="str">
        <f aca="false">IF($A504="","",SUBSTITUTE(Payroll!T504," ",""))</f>
        <v/>
      </c>
      <c r="E504" s="24" t="str">
        <f aca="false">IF($A504="","",TEXT(Settings!$B$8,"yyyy-mm-dd"))</f>
        <v/>
      </c>
      <c r="F504" s="24" t="str">
        <f aca="false">IF($A504="","",TEXT(Settings!$B$9,"yyyy-mm-dd"))</f>
        <v/>
      </c>
      <c r="G504" s="24" t="str">
        <f aca="false">IF($A504="","",DAY(Settings!$B$9))</f>
        <v/>
      </c>
      <c r="H504" s="26" t="str">
        <f aca="false">IF($A504="","",ROUND(Payroll!R504-Payroll!L504-Payroll!M504,2))</f>
        <v/>
      </c>
      <c r="I504" s="26" t="str">
        <f aca="false">IF($A504="","",ROUND(Payroll!L504+Payroll!M504,2))</f>
        <v/>
      </c>
      <c r="J504" s="24" t="str">
        <f aca="false">IF($A504="","",0)</f>
        <v/>
      </c>
    </row>
    <row r="505" customFormat="false" ht="15" hidden="false" customHeight="false" outlineLevel="0" collapsed="false">
      <c r="A505" s="24" t="str">
        <f aca="false">IF(AND(Payroll!$A505&lt;&gt;"",N(Payroll!$R505)&gt;0),"EDR","")</f>
        <v/>
      </c>
      <c r="B505" s="24" t="str">
        <f aca="false">IF($A505="","",Payroll!U505)</f>
        <v/>
      </c>
      <c r="C505" s="24" t="str">
        <f aca="false">IF($A505="","",Payroll!S505)</f>
        <v/>
      </c>
      <c r="D505" s="24" t="str">
        <f aca="false">IF($A505="","",SUBSTITUTE(Payroll!T505," ",""))</f>
        <v/>
      </c>
      <c r="E505" s="24" t="str">
        <f aca="false">IF($A505="","",TEXT(Settings!$B$8,"yyyy-mm-dd"))</f>
        <v/>
      </c>
      <c r="F505" s="24" t="str">
        <f aca="false">IF($A505="","",TEXT(Settings!$B$9,"yyyy-mm-dd"))</f>
        <v/>
      </c>
      <c r="G505" s="24" t="str">
        <f aca="false">IF($A505="","",DAY(Settings!$B$9))</f>
        <v/>
      </c>
      <c r="H505" s="26" t="str">
        <f aca="false">IF($A505="","",ROUND(Payroll!R505-Payroll!L505-Payroll!M505,2))</f>
        <v/>
      </c>
      <c r="I505" s="26" t="str">
        <f aca="false">IF($A505="","",ROUND(Payroll!L505+Payroll!M505,2))</f>
        <v/>
      </c>
      <c r="J505" s="24" t="str">
        <f aca="false">IF($A505="","",0)</f>
        <v/>
      </c>
    </row>
    <row r="506" customFormat="false" ht="15" hidden="false" customHeight="false" outlineLevel="0" collapsed="false">
      <c r="A506" s="24" t="str">
        <f aca="false">IF(AND(Payroll!$A506&lt;&gt;"",N(Payroll!$R506)&gt;0),"EDR","")</f>
        <v/>
      </c>
      <c r="B506" s="24" t="str">
        <f aca="false">IF($A506="","",Payroll!U506)</f>
        <v/>
      </c>
      <c r="C506" s="24" t="str">
        <f aca="false">IF($A506="","",Payroll!S506)</f>
        <v/>
      </c>
      <c r="D506" s="24" t="str">
        <f aca="false">IF($A506="","",SUBSTITUTE(Payroll!T506," ",""))</f>
        <v/>
      </c>
      <c r="E506" s="24" t="str">
        <f aca="false">IF($A506="","",TEXT(Settings!$B$8,"yyyy-mm-dd"))</f>
        <v/>
      </c>
      <c r="F506" s="24" t="str">
        <f aca="false">IF($A506="","",TEXT(Settings!$B$9,"yyyy-mm-dd"))</f>
        <v/>
      </c>
      <c r="G506" s="24" t="str">
        <f aca="false">IF($A506="","",DAY(Settings!$B$9))</f>
        <v/>
      </c>
      <c r="H506" s="26" t="str">
        <f aca="false">IF($A506="","",ROUND(Payroll!R506-Payroll!L506-Payroll!M506,2))</f>
        <v/>
      </c>
      <c r="I506" s="26" t="str">
        <f aca="false">IF($A506="","",ROUND(Payroll!L506+Payroll!M506,2))</f>
        <v/>
      </c>
      <c r="J506" s="24" t="str">
        <f aca="false">IF($A506="","",0)</f>
        <v/>
      </c>
    </row>
    <row r="507" customFormat="false" ht="15" hidden="false" customHeight="false" outlineLevel="0" collapsed="false">
      <c r="A507" s="24" t="str">
        <f aca="false">IF(AND(Payroll!$A507&lt;&gt;"",N(Payroll!$R507)&gt;0),"EDR","")</f>
        <v/>
      </c>
      <c r="B507" s="24" t="str">
        <f aca="false">IF($A507="","",Payroll!U507)</f>
        <v/>
      </c>
      <c r="C507" s="24" t="str">
        <f aca="false">IF($A507="","",Payroll!S507)</f>
        <v/>
      </c>
      <c r="D507" s="24" t="str">
        <f aca="false">IF($A507="","",SUBSTITUTE(Payroll!T507," ",""))</f>
        <v/>
      </c>
      <c r="E507" s="24" t="str">
        <f aca="false">IF($A507="","",TEXT(Settings!$B$8,"yyyy-mm-dd"))</f>
        <v/>
      </c>
      <c r="F507" s="24" t="str">
        <f aca="false">IF($A507="","",TEXT(Settings!$B$9,"yyyy-mm-dd"))</f>
        <v/>
      </c>
      <c r="G507" s="24" t="str">
        <f aca="false">IF($A507="","",DAY(Settings!$B$9))</f>
        <v/>
      </c>
      <c r="H507" s="26" t="str">
        <f aca="false">IF($A507="","",ROUND(Payroll!R507-Payroll!L507-Payroll!M507,2))</f>
        <v/>
      </c>
      <c r="I507" s="26" t="str">
        <f aca="false">IF($A507="","",ROUND(Payroll!L507+Payroll!M507,2))</f>
        <v/>
      </c>
      <c r="J507" s="24" t="str">
        <f aca="false">IF($A507="","",0)</f>
        <v/>
      </c>
    </row>
    <row r="508" customFormat="false" ht="15" hidden="false" customHeight="false" outlineLevel="0" collapsed="false">
      <c r="A508" s="24" t="str">
        <f aca="false">IF(AND(Payroll!$A508&lt;&gt;"",N(Payroll!$R508)&gt;0),"EDR","")</f>
        <v/>
      </c>
      <c r="B508" s="24" t="str">
        <f aca="false">IF($A508="","",Payroll!U508)</f>
        <v/>
      </c>
      <c r="C508" s="24" t="str">
        <f aca="false">IF($A508="","",Payroll!S508)</f>
        <v/>
      </c>
      <c r="D508" s="24" t="str">
        <f aca="false">IF($A508="","",SUBSTITUTE(Payroll!T508," ",""))</f>
        <v/>
      </c>
      <c r="E508" s="24" t="str">
        <f aca="false">IF($A508="","",TEXT(Settings!$B$8,"yyyy-mm-dd"))</f>
        <v/>
      </c>
      <c r="F508" s="24" t="str">
        <f aca="false">IF($A508="","",TEXT(Settings!$B$9,"yyyy-mm-dd"))</f>
        <v/>
      </c>
      <c r="G508" s="24" t="str">
        <f aca="false">IF($A508="","",DAY(Settings!$B$9))</f>
        <v/>
      </c>
      <c r="H508" s="26" t="str">
        <f aca="false">IF($A508="","",ROUND(Payroll!R508-Payroll!L508-Payroll!M508,2))</f>
        <v/>
      </c>
      <c r="I508" s="26" t="str">
        <f aca="false">IF($A508="","",ROUND(Payroll!L508+Payroll!M508,2))</f>
        <v/>
      </c>
      <c r="J508" s="24" t="str">
        <f aca="false">IF($A508="","",0)</f>
        <v/>
      </c>
    </row>
    <row r="509" customFormat="false" ht="15" hidden="false" customHeight="false" outlineLevel="0" collapsed="false">
      <c r="A509" s="24" t="str">
        <f aca="false">IF(AND(Payroll!$A509&lt;&gt;"",N(Payroll!$R509)&gt;0),"EDR","")</f>
        <v/>
      </c>
      <c r="B509" s="24" t="str">
        <f aca="false">IF($A509="","",Payroll!U509)</f>
        <v/>
      </c>
      <c r="C509" s="24" t="str">
        <f aca="false">IF($A509="","",Payroll!S509)</f>
        <v/>
      </c>
      <c r="D509" s="24" t="str">
        <f aca="false">IF($A509="","",SUBSTITUTE(Payroll!T509," ",""))</f>
        <v/>
      </c>
      <c r="E509" s="24" t="str">
        <f aca="false">IF($A509="","",TEXT(Settings!$B$8,"yyyy-mm-dd"))</f>
        <v/>
      </c>
      <c r="F509" s="24" t="str">
        <f aca="false">IF($A509="","",TEXT(Settings!$B$9,"yyyy-mm-dd"))</f>
        <v/>
      </c>
      <c r="G509" s="24" t="str">
        <f aca="false">IF($A509="","",DAY(Settings!$B$9))</f>
        <v/>
      </c>
      <c r="H509" s="26" t="str">
        <f aca="false">IF($A509="","",ROUND(Payroll!R509-Payroll!L509-Payroll!M509,2))</f>
        <v/>
      </c>
      <c r="I509" s="26" t="str">
        <f aca="false">IF($A509="","",ROUND(Payroll!L509+Payroll!M509,2))</f>
        <v/>
      </c>
      <c r="J509" s="24" t="str">
        <f aca="false">IF($A509="","",0)</f>
        <v/>
      </c>
    </row>
    <row r="510" customFormat="false" ht="15" hidden="false" customHeight="false" outlineLevel="0" collapsed="false">
      <c r="A510" s="24" t="str">
        <f aca="false">IF(AND(Payroll!$A510&lt;&gt;"",N(Payroll!$R510)&gt;0),"EDR","")</f>
        <v/>
      </c>
      <c r="B510" s="24" t="str">
        <f aca="false">IF($A510="","",Payroll!U510)</f>
        <v/>
      </c>
      <c r="C510" s="24" t="str">
        <f aca="false">IF($A510="","",Payroll!S510)</f>
        <v/>
      </c>
      <c r="D510" s="24" t="str">
        <f aca="false">IF($A510="","",SUBSTITUTE(Payroll!T510," ",""))</f>
        <v/>
      </c>
      <c r="E510" s="24" t="str">
        <f aca="false">IF($A510="","",TEXT(Settings!$B$8,"yyyy-mm-dd"))</f>
        <v/>
      </c>
      <c r="F510" s="24" t="str">
        <f aca="false">IF($A510="","",TEXT(Settings!$B$9,"yyyy-mm-dd"))</f>
        <v/>
      </c>
      <c r="G510" s="24" t="str">
        <f aca="false">IF($A510="","",DAY(Settings!$B$9))</f>
        <v/>
      </c>
      <c r="H510" s="26" t="str">
        <f aca="false">IF($A510="","",ROUND(Payroll!R510-Payroll!L510-Payroll!M510,2))</f>
        <v/>
      </c>
      <c r="I510" s="26" t="str">
        <f aca="false">IF($A510="","",ROUND(Payroll!L510+Payroll!M510,2))</f>
        <v/>
      </c>
      <c r="J510" s="24" t="str">
        <f aca="false">IF($A510="","",0)</f>
        <v/>
      </c>
    </row>
    <row r="511" customFormat="false" ht="15" hidden="false" customHeight="false" outlineLevel="0" collapsed="false">
      <c r="A511" s="24" t="str">
        <f aca="false">IF(AND(Payroll!$A511&lt;&gt;"",N(Payroll!$R511)&gt;0),"EDR","")</f>
        <v/>
      </c>
      <c r="B511" s="24" t="str">
        <f aca="false">IF($A511="","",Payroll!U511)</f>
        <v/>
      </c>
      <c r="C511" s="24" t="str">
        <f aca="false">IF($A511="","",Payroll!S511)</f>
        <v/>
      </c>
      <c r="D511" s="24" t="str">
        <f aca="false">IF($A511="","",SUBSTITUTE(Payroll!T511," ",""))</f>
        <v/>
      </c>
      <c r="E511" s="24" t="str">
        <f aca="false">IF($A511="","",TEXT(Settings!$B$8,"yyyy-mm-dd"))</f>
        <v/>
      </c>
      <c r="F511" s="24" t="str">
        <f aca="false">IF($A511="","",TEXT(Settings!$B$9,"yyyy-mm-dd"))</f>
        <v/>
      </c>
      <c r="G511" s="24" t="str">
        <f aca="false">IF($A511="","",DAY(Settings!$B$9))</f>
        <v/>
      </c>
      <c r="H511" s="26" t="str">
        <f aca="false">IF($A511="","",ROUND(Payroll!R511-Payroll!L511-Payroll!M511,2))</f>
        <v/>
      </c>
      <c r="I511" s="26" t="str">
        <f aca="false">IF($A511="","",ROUND(Payroll!L511+Payroll!M511,2))</f>
        <v/>
      </c>
      <c r="J511" s="24" t="str">
        <f aca="false">IF($A511="","",0)</f>
        <v/>
      </c>
    </row>
    <row r="512" customFormat="false" ht="15" hidden="false" customHeight="false" outlineLevel="0" collapsed="false">
      <c r="A512" s="24" t="str">
        <f aca="false">IF(AND(Payroll!$A512&lt;&gt;"",N(Payroll!$R512)&gt;0),"EDR","")</f>
        <v/>
      </c>
      <c r="B512" s="24" t="str">
        <f aca="false">IF($A512="","",Payroll!U512)</f>
        <v/>
      </c>
      <c r="C512" s="24" t="str">
        <f aca="false">IF($A512="","",Payroll!S512)</f>
        <v/>
      </c>
      <c r="D512" s="24" t="str">
        <f aca="false">IF($A512="","",SUBSTITUTE(Payroll!T512," ",""))</f>
        <v/>
      </c>
      <c r="E512" s="24" t="str">
        <f aca="false">IF($A512="","",TEXT(Settings!$B$8,"yyyy-mm-dd"))</f>
        <v/>
      </c>
      <c r="F512" s="24" t="str">
        <f aca="false">IF($A512="","",TEXT(Settings!$B$9,"yyyy-mm-dd"))</f>
        <v/>
      </c>
      <c r="G512" s="24" t="str">
        <f aca="false">IF($A512="","",DAY(Settings!$B$9))</f>
        <v/>
      </c>
      <c r="H512" s="26" t="str">
        <f aca="false">IF($A512="","",ROUND(Payroll!R512-Payroll!L512-Payroll!M512,2))</f>
        <v/>
      </c>
      <c r="I512" s="26" t="str">
        <f aca="false">IF($A512="","",ROUND(Payroll!L512+Payroll!M512,2))</f>
        <v/>
      </c>
      <c r="J512" s="24" t="str">
        <f aca="false">IF($A512="","",0)</f>
        <v/>
      </c>
    </row>
    <row r="513" customFormat="false" ht="15" hidden="false" customHeight="false" outlineLevel="0" collapsed="false">
      <c r="A513" s="24" t="str">
        <f aca="false">IF(AND(Payroll!$A513&lt;&gt;"",N(Payroll!$R513)&gt;0),"EDR","")</f>
        <v/>
      </c>
      <c r="B513" s="24" t="str">
        <f aca="false">IF($A513="","",Payroll!U513)</f>
        <v/>
      </c>
      <c r="C513" s="24" t="str">
        <f aca="false">IF($A513="","",Payroll!S513)</f>
        <v/>
      </c>
      <c r="D513" s="24" t="str">
        <f aca="false">IF($A513="","",SUBSTITUTE(Payroll!T513," ",""))</f>
        <v/>
      </c>
      <c r="E513" s="24" t="str">
        <f aca="false">IF($A513="","",TEXT(Settings!$B$8,"yyyy-mm-dd"))</f>
        <v/>
      </c>
      <c r="F513" s="24" t="str">
        <f aca="false">IF($A513="","",TEXT(Settings!$B$9,"yyyy-mm-dd"))</f>
        <v/>
      </c>
      <c r="G513" s="24" t="str">
        <f aca="false">IF($A513="","",DAY(Settings!$B$9))</f>
        <v/>
      </c>
      <c r="H513" s="26" t="str">
        <f aca="false">IF($A513="","",ROUND(Payroll!R513-Payroll!L513-Payroll!M513,2))</f>
        <v/>
      </c>
      <c r="I513" s="26" t="str">
        <f aca="false">IF($A513="","",ROUND(Payroll!L513+Payroll!M513,2))</f>
        <v/>
      </c>
      <c r="J513" s="24" t="str">
        <f aca="false">IF($A513="","",0)</f>
        <v/>
      </c>
    </row>
    <row r="514" customFormat="false" ht="15" hidden="false" customHeight="false" outlineLevel="0" collapsed="false">
      <c r="A514" s="24" t="str">
        <f aca="false">IF(AND(Payroll!$A514&lt;&gt;"",N(Payroll!$R514)&gt;0),"EDR","")</f>
        <v/>
      </c>
      <c r="B514" s="24" t="str">
        <f aca="false">IF($A514="","",Payroll!U514)</f>
        <v/>
      </c>
      <c r="C514" s="24" t="str">
        <f aca="false">IF($A514="","",Payroll!S514)</f>
        <v/>
      </c>
      <c r="D514" s="24" t="str">
        <f aca="false">IF($A514="","",SUBSTITUTE(Payroll!T514," ",""))</f>
        <v/>
      </c>
      <c r="E514" s="24" t="str">
        <f aca="false">IF($A514="","",TEXT(Settings!$B$8,"yyyy-mm-dd"))</f>
        <v/>
      </c>
      <c r="F514" s="24" t="str">
        <f aca="false">IF($A514="","",TEXT(Settings!$B$9,"yyyy-mm-dd"))</f>
        <v/>
      </c>
      <c r="G514" s="24" t="str">
        <f aca="false">IF($A514="","",DAY(Settings!$B$9))</f>
        <v/>
      </c>
      <c r="H514" s="26" t="str">
        <f aca="false">IF($A514="","",ROUND(Payroll!R514-Payroll!L514-Payroll!M514,2))</f>
        <v/>
      </c>
      <c r="I514" s="26" t="str">
        <f aca="false">IF($A514="","",ROUND(Payroll!L514+Payroll!M514,2))</f>
        <v/>
      </c>
      <c r="J514" s="24" t="str">
        <f aca="false">IF($A514="","",0)</f>
        <v/>
      </c>
    </row>
    <row r="515" customFormat="false" ht="15" hidden="false" customHeight="false" outlineLevel="0" collapsed="false">
      <c r="A515" s="24" t="str">
        <f aca="false">IF(AND(Payroll!$A515&lt;&gt;"",N(Payroll!$R515)&gt;0),"EDR","")</f>
        <v/>
      </c>
      <c r="B515" s="24" t="str">
        <f aca="false">IF($A515="","",Payroll!U515)</f>
        <v/>
      </c>
      <c r="C515" s="24" t="str">
        <f aca="false">IF($A515="","",Payroll!S515)</f>
        <v/>
      </c>
      <c r="D515" s="24" t="str">
        <f aca="false">IF($A515="","",SUBSTITUTE(Payroll!T515," ",""))</f>
        <v/>
      </c>
      <c r="E515" s="24" t="str">
        <f aca="false">IF($A515="","",TEXT(Settings!$B$8,"yyyy-mm-dd"))</f>
        <v/>
      </c>
      <c r="F515" s="24" t="str">
        <f aca="false">IF($A515="","",TEXT(Settings!$B$9,"yyyy-mm-dd"))</f>
        <v/>
      </c>
      <c r="G515" s="24" t="str">
        <f aca="false">IF($A515="","",DAY(Settings!$B$9))</f>
        <v/>
      </c>
      <c r="H515" s="26" t="str">
        <f aca="false">IF($A515="","",ROUND(Payroll!R515-Payroll!L515-Payroll!M515,2))</f>
        <v/>
      </c>
      <c r="I515" s="26" t="str">
        <f aca="false">IF($A515="","",ROUND(Payroll!L515+Payroll!M515,2))</f>
        <v/>
      </c>
      <c r="J515" s="24" t="str">
        <f aca="false">IF($A515="","",0)</f>
        <v/>
      </c>
    </row>
    <row r="516" customFormat="false" ht="15" hidden="false" customHeight="false" outlineLevel="0" collapsed="false">
      <c r="A516" s="24" t="str">
        <f aca="false">IF(AND(Payroll!$A516&lt;&gt;"",N(Payroll!$R516)&gt;0),"EDR","")</f>
        <v/>
      </c>
      <c r="B516" s="24" t="str">
        <f aca="false">IF($A516="","",Payroll!U516)</f>
        <v/>
      </c>
      <c r="C516" s="24" t="str">
        <f aca="false">IF($A516="","",Payroll!S516)</f>
        <v/>
      </c>
      <c r="D516" s="24" t="str">
        <f aca="false">IF($A516="","",SUBSTITUTE(Payroll!T516," ",""))</f>
        <v/>
      </c>
      <c r="E516" s="24" t="str">
        <f aca="false">IF($A516="","",TEXT(Settings!$B$8,"yyyy-mm-dd"))</f>
        <v/>
      </c>
      <c r="F516" s="24" t="str">
        <f aca="false">IF($A516="","",TEXT(Settings!$B$9,"yyyy-mm-dd"))</f>
        <v/>
      </c>
      <c r="G516" s="24" t="str">
        <f aca="false">IF($A516="","",DAY(Settings!$B$9))</f>
        <v/>
      </c>
      <c r="H516" s="26" t="str">
        <f aca="false">IF($A516="","",ROUND(Payroll!R516-Payroll!L516-Payroll!M516,2))</f>
        <v/>
      </c>
      <c r="I516" s="26" t="str">
        <f aca="false">IF($A516="","",ROUND(Payroll!L516+Payroll!M516,2))</f>
        <v/>
      </c>
      <c r="J516" s="24" t="str">
        <f aca="false">IF($A516="","",0)</f>
        <v/>
      </c>
    </row>
    <row r="517" customFormat="false" ht="15" hidden="false" customHeight="false" outlineLevel="0" collapsed="false">
      <c r="A517" s="24" t="str">
        <f aca="false">IF(AND(Payroll!$A517&lt;&gt;"",N(Payroll!$R517)&gt;0),"EDR","")</f>
        <v/>
      </c>
      <c r="B517" s="24" t="str">
        <f aca="false">IF($A517="","",Payroll!U517)</f>
        <v/>
      </c>
      <c r="C517" s="24" t="str">
        <f aca="false">IF($A517="","",Payroll!S517)</f>
        <v/>
      </c>
      <c r="D517" s="24" t="str">
        <f aca="false">IF($A517="","",SUBSTITUTE(Payroll!T517," ",""))</f>
        <v/>
      </c>
      <c r="E517" s="24" t="str">
        <f aca="false">IF($A517="","",TEXT(Settings!$B$8,"yyyy-mm-dd"))</f>
        <v/>
      </c>
      <c r="F517" s="24" t="str">
        <f aca="false">IF($A517="","",TEXT(Settings!$B$9,"yyyy-mm-dd"))</f>
        <v/>
      </c>
      <c r="G517" s="24" t="str">
        <f aca="false">IF($A517="","",DAY(Settings!$B$9))</f>
        <v/>
      </c>
      <c r="H517" s="26" t="str">
        <f aca="false">IF($A517="","",ROUND(Payroll!R517-Payroll!L517-Payroll!M517,2))</f>
        <v/>
      </c>
      <c r="I517" s="26" t="str">
        <f aca="false">IF($A517="","",ROUND(Payroll!L517+Payroll!M517,2))</f>
        <v/>
      </c>
      <c r="J517" s="24" t="str">
        <f aca="false">IF($A517="","",0)</f>
        <v/>
      </c>
    </row>
    <row r="518" customFormat="false" ht="15" hidden="false" customHeight="false" outlineLevel="0" collapsed="false">
      <c r="A518" s="24" t="str">
        <f aca="false">IF(AND(Payroll!$A518&lt;&gt;"",N(Payroll!$R518)&gt;0),"EDR","")</f>
        <v/>
      </c>
      <c r="B518" s="24" t="str">
        <f aca="false">IF($A518="","",Payroll!U518)</f>
        <v/>
      </c>
      <c r="C518" s="24" t="str">
        <f aca="false">IF($A518="","",Payroll!S518)</f>
        <v/>
      </c>
      <c r="D518" s="24" t="str">
        <f aca="false">IF($A518="","",SUBSTITUTE(Payroll!T518," ",""))</f>
        <v/>
      </c>
      <c r="E518" s="24" t="str">
        <f aca="false">IF($A518="","",TEXT(Settings!$B$8,"yyyy-mm-dd"))</f>
        <v/>
      </c>
      <c r="F518" s="24" t="str">
        <f aca="false">IF($A518="","",TEXT(Settings!$B$9,"yyyy-mm-dd"))</f>
        <v/>
      </c>
      <c r="G518" s="24" t="str">
        <f aca="false">IF($A518="","",DAY(Settings!$B$9))</f>
        <v/>
      </c>
      <c r="H518" s="26" t="str">
        <f aca="false">IF($A518="","",ROUND(Payroll!R518-Payroll!L518-Payroll!M518,2))</f>
        <v/>
      </c>
      <c r="I518" s="26" t="str">
        <f aca="false">IF($A518="","",ROUND(Payroll!L518+Payroll!M518,2))</f>
        <v/>
      </c>
      <c r="J518" s="24" t="str">
        <f aca="false">IF($A518="","",0)</f>
        <v/>
      </c>
    </row>
    <row r="519" customFormat="false" ht="15" hidden="false" customHeight="false" outlineLevel="0" collapsed="false">
      <c r="A519" s="24" t="str">
        <f aca="false">IF(AND(Payroll!$A519&lt;&gt;"",N(Payroll!$R519)&gt;0),"EDR","")</f>
        <v/>
      </c>
      <c r="B519" s="24" t="str">
        <f aca="false">IF($A519="","",Payroll!U519)</f>
        <v/>
      </c>
      <c r="C519" s="24" t="str">
        <f aca="false">IF($A519="","",Payroll!S519)</f>
        <v/>
      </c>
      <c r="D519" s="24" t="str">
        <f aca="false">IF($A519="","",SUBSTITUTE(Payroll!T519," ",""))</f>
        <v/>
      </c>
      <c r="E519" s="24" t="str">
        <f aca="false">IF($A519="","",TEXT(Settings!$B$8,"yyyy-mm-dd"))</f>
        <v/>
      </c>
      <c r="F519" s="24" t="str">
        <f aca="false">IF($A519="","",TEXT(Settings!$B$9,"yyyy-mm-dd"))</f>
        <v/>
      </c>
      <c r="G519" s="24" t="str">
        <f aca="false">IF($A519="","",DAY(Settings!$B$9))</f>
        <v/>
      </c>
      <c r="H519" s="26" t="str">
        <f aca="false">IF($A519="","",ROUND(Payroll!R519-Payroll!L519-Payroll!M519,2))</f>
        <v/>
      </c>
      <c r="I519" s="26" t="str">
        <f aca="false">IF($A519="","",ROUND(Payroll!L519+Payroll!M519,2))</f>
        <v/>
      </c>
      <c r="J519" s="24" t="str">
        <f aca="false">IF($A519="","",0)</f>
        <v/>
      </c>
    </row>
    <row r="520" customFormat="false" ht="15" hidden="false" customHeight="false" outlineLevel="0" collapsed="false">
      <c r="A520" s="24" t="str">
        <f aca="false">IF(AND(Payroll!$A520&lt;&gt;"",N(Payroll!$R520)&gt;0),"EDR","")</f>
        <v/>
      </c>
      <c r="B520" s="24" t="str">
        <f aca="false">IF($A520="","",Payroll!U520)</f>
        <v/>
      </c>
      <c r="C520" s="24" t="str">
        <f aca="false">IF($A520="","",Payroll!S520)</f>
        <v/>
      </c>
      <c r="D520" s="24" t="str">
        <f aca="false">IF($A520="","",SUBSTITUTE(Payroll!T520," ",""))</f>
        <v/>
      </c>
      <c r="E520" s="24" t="str">
        <f aca="false">IF($A520="","",TEXT(Settings!$B$8,"yyyy-mm-dd"))</f>
        <v/>
      </c>
      <c r="F520" s="24" t="str">
        <f aca="false">IF($A520="","",TEXT(Settings!$B$9,"yyyy-mm-dd"))</f>
        <v/>
      </c>
      <c r="G520" s="24" t="str">
        <f aca="false">IF($A520="","",DAY(Settings!$B$9))</f>
        <v/>
      </c>
      <c r="H520" s="26" t="str">
        <f aca="false">IF($A520="","",ROUND(Payroll!R520-Payroll!L520-Payroll!M520,2))</f>
        <v/>
      </c>
      <c r="I520" s="26" t="str">
        <f aca="false">IF($A520="","",ROUND(Payroll!L520+Payroll!M520,2))</f>
        <v/>
      </c>
      <c r="J520" s="24" t="str">
        <f aca="false">IF($A520="","",0)</f>
        <v/>
      </c>
    </row>
    <row r="521" customFormat="false" ht="15" hidden="false" customHeight="false" outlineLevel="0" collapsed="false">
      <c r="A521" s="24" t="str">
        <f aca="false">IF(AND(Payroll!$A521&lt;&gt;"",N(Payroll!$R521)&gt;0),"EDR","")</f>
        <v/>
      </c>
      <c r="B521" s="24" t="str">
        <f aca="false">IF($A521="","",Payroll!U521)</f>
        <v/>
      </c>
      <c r="C521" s="24" t="str">
        <f aca="false">IF($A521="","",Payroll!S521)</f>
        <v/>
      </c>
      <c r="D521" s="24" t="str">
        <f aca="false">IF($A521="","",SUBSTITUTE(Payroll!T521," ",""))</f>
        <v/>
      </c>
      <c r="E521" s="24" t="str">
        <f aca="false">IF($A521="","",TEXT(Settings!$B$8,"yyyy-mm-dd"))</f>
        <v/>
      </c>
      <c r="F521" s="24" t="str">
        <f aca="false">IF($A521="","",TEXT(Settings!$B$9,"yyyy-mm-dd"))</f>
        <v/>
      </c>
      <c r="G521" s="24" t="str">
        <f aca="false">IF($A521="","",DAY(Settings!$B$9))</f>
        <v/>
      </c>
      <c r="H521" s="26" t="str">
        <f aca="false">IF($A521="","",ROUND(Payroll!R521-Payroll!L521-Payroll!M521,2))</f>
        <v/>
      </c>
      <c r="I521" s="26" t="str">
        <f aca="false">IF($A521="","",ROUND(Payroll!L521+Payroll!M521,2))</f>
        <v/>
      </c>
      <c r="J521" s="24" t="str">
        <f aca="false">IF($A521="","",0)</f>
        <v/>
      </c>
    </row>
    <row r="522" customFormat="false" ht="15" hidden="false" customHeight="false" outlineLevel="0" collapsed="false">
      <c r="A522" s="24" t="str">
        <f aca="false">IF(AND(Payroll!$A522&lt;&gt;"",N(Payroll!$R522)&gt;0),"EDR","")</f>
        <v/>
      </c>
      <c r="B522" s="24" t="str">
        <f aca="false">IF($A522="","",Payroll!U522)</f>
        <v/>
      </c>
      <c r="C522" s="24" t="str">
        <f aca="false">IF($A522="","",Payroll!S522)</f>
        <v/>
      </c>
      <c r="D522" s="24" t="str">
        <f aca="false">IF($A522="","",SUBSTITUTE(Payroll!T522," ",""))</f>
        <v/>
      </c>
      <c r="E522" s="24" t="str">
        <f aca="false">IF($A522="","",TEXT(Settings!$B$8,"yyyy-mm-dd"))</f>
        <v/>
      </c>
      <c r="F522" s="24" t="str">
        <f aca="false">IF($A522="","",TEXT(Settings!$B$9,"yyyy-mm-dd"))</f>
        <v/>
      </c>
      <c r="G522" s="24" t="str">
        <f aca="false">IF($A522="","",DAY(Settings!$B$9))</f>
        <v/>
      </c>
      <c r="H522" s="26" t="str">
        <f aca="false">IF($A522="","",ROUND(Payroll!R522-Payroll!L522-Payroll!M522,2))</f>
        <v/>
      </c>
      <c r="I522" s="26" t="str">
        <f aca="false">IF($A522="","",ROUND(Payroll!L522+Payroll!M522,2))</f>
        <v/>
      </c>
      <c r="J522" s="24" t="str">
        <f aca="false">IF($A522="","",0)</f>
        <v/>
      </c>
    </row>
    <row r="523" customFormat="false" ht="15" hidden="false" customHeight="false" outlineLevel="0" collapsed="false">
      <c r="A523" s="24" t="str">
        <f aca="false">IF(AND(Payroll!$A523&lt;&gt;"",N(Payroll!$R523)&gt;0),"EDR","")</f>
        <v/>
      </c>
      <c r="B523" s="24" t="str">
        <f aca="false">IF($A523="","",Payroll!U523)</f>
        <v/>
      </c>
      <c r="C523" s="24" t="str">
        <f aca="false">IF($A523="","",Payroll!S523)</f>
        <v/>
      </c>
      <c r="D523" s="24" t="str">
        <f aca="false">IF($A523="","",SUBSTITUTE(Payroll!T523," ",""))</f>
        <v/>
      </c>
      <c r="E523" s="24" t="str">
        <f aca="false">IF($A523="","",TEXT(Settings!$B$8,"yyyy-mm-dd"))</f>
        <v/>
      </c>
      <c r="F523" s="24" t="str">
        <f aca="false">IF($A523="","",TEXT(Settings!$B$9,"yyyy-mm-dd"))</f>
        <v/>
      </c>
      <c r="G523" s="24" t="str">
        <f aca="false">IF($A523="","",DAY(Settings!$B$9))</f>
        <v/>
      </c>
      <c r="H523" s="26" t="str">
        <f aca="false">IF($A523="","",ROUND(Payroll!R523-Payroll!L523-Payroll!M523,2))</f>
        <v/>
      </c>
      <c r="I523" s="26" t="str">
        <f aca="false">IF($A523="","",ROUND(Payroll!L523+Payroll!M523,2))</f>
        <v/>
      </c>
      <c r="J523" s="24" t="str">
        <f aca="false">IF($A523="","",0)</f>
        <v/>
      </c>
    </row>
    <row r="524" customFormat="false" ht="15" hidden="false" customHeight="false" outlineLevel="0" collapsed="false">
      <c r="A524" s="24" t="str">
        <f aca="false">IF(AND(Payroll!$A524&lt;&gt;"",N(Payroll!$R524)&gt;0),"EDR","")</f>
        <v/>
      </c>
      <c r="B524" s="24" t="str">
        <f aca="false">IF($A524="","",Payroll!U524)</f>
        <v/>
      </c>
      <c r="C524" s="24" t="str">
        <f aca="false">IF($A524="","",Payroll!S524)</f>
        <v/>
      </c>
      <c r="D524" s="24" t="str">
        <f aca="false">IF($A524="","",SUBSTITUTE(Payroll!T524," ",""))</f>
        <v/>
      </c>
      <c r="E524" s="24" t="str">
        <f aca="false">IF($A524="","",TEXT(Settings!$B$8,"yyyy-mm-dd"))</f>
        <v/>
      </c>
      <c r="F524" s="24" t="str">
        <f aca="false">IF($A524="","",TEXT(Settings!$B$9,"yyyy-mm-dd"))</f>
        <v/>
      </c>
      <c r="G524" s="24" t="str">
        <f aca="false">IF($A524="","",DAY(Settings!$B$9))</f>
        <v/>
      </c>
      <c r="H524" s="26" t="str">
        <f aca="false">IF($A524="","",ROUND(Payroll!R524-Payroll!L524-Payroll!M524,2))</f>
        <v/>
      </c>
      <c r="I524" s="26" t="str">
        <f aca="false">IF($A524="","",ROUND(Payroll!L524+Payroll!M524,2))</f>
        <v/>
      </c>
      <c r="J524" s="24" t="str">
        <f aca="false">IF($A524="","",0)</f>
        <v/>
      </c>
    </row>
    <row r="525" customFormat="false" ht="15" hidden="false" customHeight="false" outlineLevel="0" collapsed="false">
      <c r="A525" s="24" t="str">
        <f aca="false">IF(AND(Payroll!$A525&lt;&gt;"",N(Payroll!$R525)&gt;0),"EDR","")</f>
        <v/>
      </c>
      <c r="B525" s="24" t="str">
        <f aca="false">IF($A525="","",Payroll!U525)</f>
        <v/>
      </c>
      <c r="C525" s="24" t="str">
        <f aca="false">IF($A525="","",Payroll!S525)</f>
        <v/>
      </c>
      <c r="D525" s="24" t="str">
        <f aca="false">IF($A525="","",SUBSTITUTE(Payroll!T525," ",""))</f>
        <v/>
      </c>
      <c r="E525" s="24" t="str">
        <f aca="false">IF($A525="","",TEXT(Settings!$B$8,"yyyy-mm-dd"))</f>
        <v/>
      </c>
      <c r="F525" s="24" t="str">
        <f aca="false">IF($A525="","",TEXT(Settings!$B$9,"yyyy-mm-dd"))</f>
        <v/>
      </c>
      <c r="G525" s="24" t="str">
        <f aca="false">IF($A525="","",DAY(Settings!$B$9))</f>
        <v/>
      </c>
      <c r="H525" s="26" t="str">
        <f aca="false">IF($A525="","",ROUND(Payroll!R525-Payroll!L525-Payroll!M525,2))</f>
        <v/>
      </c>
      <c r="I525" s="26" t="str">
        <f aca="false">IF($A525="","",ROUND(Payroll!L525+Payroll!M525,2))</f>
        <v/>
      </c>
      <c r="J525" s="24" t="str">
        <f aca="false">IF($A525="","",0)</f>
        <v/>
      </c>
    </row>
    <row r="526" customFormat="false" ht="15" hidden="false" customHeight="false" outlineLevel="0" collapsed="false">
      <c r="A526" s="24" t="str">
        <f aca="false">IF(AND(Payroll!$A526&lt;&gt;"",N(Payroll!$R526)&gt;0),"EDR","")</f>
        <v/>
      </c>
      <c r="B526" s="24" t="str">
        <f aca="false">IF($A526="","",Payroll!U526)</f>
        <v/>
      </c>
      <c r="C526" s="24" t="str">
        <f aca="false">IF($A526="","",Payroll!S526)</f>
        <v/>
      </c>
      <c r="D526" s="24" t="str">
        <f aca="false">IF($A526="","",SUBSTITUTE(Payroll!T526," ",""))</f>
        <v/>
      </c>
      <c r="E526" s="24" t="str">
        <f aca="false">IF($A526="","",TEXT(Settings!$B$8,"yyyy-mm-dd"))</f>
        <v/>
      </c>
      <c r="F526" s="24" t="str">
        <f aca="false">IF($A526="","",TEXT(Settings!$B$9,"yyyy-mm-dd"))</f>
        <v/>
      </c>
      <c r="G526" s="24" t="str">
        <f aca="false">IF($A526="","",DAY(Settings!$B$9))</f>
        <v/>
      </c>
      <c r="H526" s="26" t="str">
        <f aca="false">IF($A526="","",ROUND(Payroll!R526-Payroll!L526-Payroll!M526,2))</f>
        <v/>
      </c>
      <c r="I526" s="26" t="str">
        <f aca="false">IF($A526="","",ROUND(Payroll!L526+Payroll!M526,2))</f>
        <v/>
      </c>
      <c r="J526" s="24" t="str">
        <f aca="false">IF($A526="","",0)</f>
        <v/>
      </c>
    </row>
    <row r="527" customFormat="false" ht="15" hidden="false" customHeight="false" outlineLevel="0" collapsed="false">
      <c r="A527" s="24" t="str">
        <f aca="false">IF(AND(Payroll!$A527&lt;&gt;"",N(Payroll!$R527)&gt;0),"EDR","")</f>
        <v/>
      </c>
      <c r="B527" s="24" t="str">
        <f aca="false">IF($A527="","",Payroll!U527)</f>
        <v/>
      </c>
      <c r="C527" s="24" t="str">
        <f aca="false">IF($A527="","",Payroll!S527)</f>
        <v/>
      </c>
      <c r="D527" s="24" t="str">
        <f aca="false">IF($A527="","",SUBSTITUTE(Payroll!T527," ",""))</f>
        <v/>
      </c>
      <c r="E527" s="24" t="str">
        <f aca="false">IF($A527="","",TEXT(Settings!$B$8,"yyyy-mm-dd"))</f>
        <v/>
      </c>
      <c r="F527" s="24" t="str">
        <f aca="false">IF($A527="","",TEXT(Settings!$B$9,"yyyy-mm-dd"))</f>
        <v/>
      </c>
      <c r="G527" s="24" t="str">
        <f aca="false">IF($A527="","",DAY(Settings!$B$9))</f>
        <v/>
      </c>
      <c r="H527" s="26" t="str">
        <f aca="false">IF($A527="","",ROUND(Payroll!R527-Payroll!L527-Payroll!M527,2))</f>
        <v/>
      </c>
      <c r="I527" s="26" t="str">
        <f aca="false">IF($A527="","",ROUND(Payroll!L527+Payroll!M527,2))</f>
        <v/>
      </c>
      <c r="J527" s="24" t="str">
        <f aca="false">IF($A527="","",0)</f>
        <v/>
      </c>
    </row>
    <row r="528" customFormat="false" ht="15" hidden="false" customHeight="false" outlineLevel="0" collapsed="false">
      <c r="A528" s="24" t="str">
        <f aca="false">IF(AND(Payroll!$A528&lt;&gt;"",N(Payroll!$R528)&gt;0),"EDR","")</f>
        <v/>
      </c>
      <c r="B528" s="24" t="str">
        <f aca="false">IF($A528="","",Payroll!U528)</f>
        <v/>
      </c>
      <c r="C528" s="24" t="str">
        <f aca="false">IF($A528="","",Payroll!S528)</f>
        <v/>
      </c>
      <c r="D528" s="24" t="str">
        <f aca="false">IF($A528="","",SUBSTITUTE(Payroll!T528," ",""))</f>
        <v/>
      </c>
      <c r="E528" s="24" t="str">
        <f aca="false">IF($A528="","",TEXT(Settings!$B$8,"yyyy-mm-dd"))</f>
        <v/>
      </c>
      <c r="F528" s="24" t="str">
        <f aca="false">IF($A528="","",TEXT(Settings!$B$9,"yyyy-mm-dd"))</f>
        <v/>
      </c>
      <c r="G528" s="24" t="str">
        <f aca="false">IF($A528="","",DAY(Settings!$B$9))</f>
        <v/>
      </c>
      <c r="H528" s="26" t="str">
        <f aca="false">IF($A528="","",ROUND(Payroll!R528-Payroll!L528-Payroll!M528,2))</f>
        <v/>
      </c>
      <c r="I528" s="26" t="str">
        <f aca="false">IF($A528="","",ROUND(Payroll!L528+Payroll!M528,2))</f>
        <v/>
      </c>
      <c r="J528" s="24" t="str">
        <f aca="false">IF($A528="","",0)</f>
        <v/>
      </c>
    </row>
    <row r="529" customFormat="false" ht="15" hidden="false" customHeight="false" outlineLevel="0" collapsed="false">
      <c r="A529" s="24" t="str">
        <f aca="false">IF(AND(Payroll!$A529&lt;&gt;"",N(Payroll!$R529)&gt;0),"EDR","")</f>
        <v/>
      </c>
      <c r="B529" s="24" t="str">
        <f aca="false">IF($A529="","",Payroll!U529)</f>
        <v/>
      </c>
      <c r="C529" s="24" t="str">
        <f aca="false">IF($A529="","",Payroll!S529)</f>
        <v/>
      </c>
      <c r="D529" s="24" t="str">
        <f aca="false">IF($A529="","",SUBSTITUTE(Payroll!T529," ",""))</f>
        <v/>
      </c>
      <c r="E529" s="24" t="str">
        <f aca="false">IF($A529="","",TEXT(Settings!$B$8,"yyyy-mm-dd"))</f>
        <v/>
      </c>
      <c r="F529" s="24" t="str">
        <f aca="false">IF($A529="","",TEXT(Settings!$B$9,"yyyy-mm-dd"))</f>
        <v/>
      </c>
      <c r="G529" s="24" t="str">
        <f aca="false">IF($A529="","",DAY(Settings!$B$9))</f>
        <v/>
      </c>
      <c r="H529" s="26" t="str">
        <f aca="false">IF($A529="","",ROUND(Payroll!R529-Payroll!L529-Payroll!M529,2))</f>
        <v/>
      </c>
      <c r="I529" s="26" t="str">
        <f aca="false">IF($A529="","",ROUND(Payroll!L529+Payroll!M529,2))</f>
        <v/>
      </c>
      <c r="J529" s="24" t="str">
        <f aca="false">IF($A529="","",0)</f>
        <v/>
      </c>
    </row>
    <row r="530" customFormat="false" ht="15" hidden="false" customHeight="false" outlineLevel="0" collapsed="false">
      <c r="A530" s="24" t="str">
        <f aca="false">IF(AND(Payroll!$A530&lt;&gt;"",N(Payroll!$R530)&gt;0),"EDR","")</f>
        <v/>
      </c>
      <c r="B530" s="24" t="str">
        <f aca="false">IF($A530="","",Payroll!U530)</f>
        <v/>
      </c>
      <c r="C530" s="24" t="str">
        <f aca="false">IF($A530="","",Payroll!S530)</f>
        <v/>
      </c>
      <c r="D530" s="24" t="str">
        <f aca="false">IF($A530="","",SUBSTITUTE(Payroll!T530," ",""))</f>
        <v/>
      </c>
      <c r="E530" s="24" t="str">
        <f aca="false">IF($A530="","",TEXT(Settings!$B$8,"yyyy-mm-dd"))</f>
        <v/>
      </c>
      <c r="F530" s="24" t="str">
        <f aca="false">IF($A530="","",TEXT(Settings!$B$9,"yyyy-mm-dd"))</f>
        <v/>
      </c>
      <c r="G530" s="24" t="str">
        <f aca="false">IF($A530="","",DAY(Settings!$B$9))</f>
        <v/>
      </c>
      <c r="H530" s="26" t="str">
        <f aca="false">IF($A530="","",ROUND(Payroll!R530-Payroll!L530-Payroll!M530,2))</f>
        <v/>
      </c>
      <c r="I530" s="26" t="str">
        <f aca="false">IF($A530="","",ROUND(Payroll!L530+Payroll!M530,2))</f>
        <v/>
      </c>
      <c r="J530" s="24" t="str">
        <f aca="false">IF($A530="","",0)</f>
        <v/>
      </c>
    </row>
    <row r="531" customFormat="false" ht="15" hidden="false" customHeight="false" outlineLevel="0" collapsed="false">
      <c r="A531" s="24" t="str">
        <f aca="false">IF(AND(Payroll!$A531&lt;&gt;"",N(Payroll!$R531)&gt;0),"EDR","")</f>
        <v/>
      </c>
      <c r="B531" s="24" t="str">
        <f aca="false">IF($A531="","",Payroll!U531)</f>
        <v/>
      </c>
      <c r="C531" s="24" t="str">
        <f aca="false">IF($A531="","",Payroll!S531)</f>
        <v/>
      </c>
      <c r="D531" s="24" t="str">
        <f aca="false">IF($A531="","",SUBSTITUTE(Payroll!T531," ",""))</f>
        <v/>
      </c>
      <c r="E531" s="24" t="str">
        <f aca="false">IF($A531="","",TEXT(Settings!$B$8,"yyyy-mm-dd"))</f>
        <v/>
      </c>
      <c r="F531" s="24" t="str">
        <f aca="false">IF($A531="","",TEXT(Settings!$B$9,"yyyy-mm-dd"))</f>
        <v/>
      </c>
      <c r="G531" s="24" t="str">
        <f aca="false">IF($A531="","",DAY(Settings!$B$9))</f>
        <v/>
      </c>
      <c r="H531" s="26" t="str">
        <f aca="false">IF($A531="","",ROUND(Payroll!R531-Payroll!L531-Payroll!M531,2))</f>
        <v/>
      </c>
      <c r="I531" s="26" t="str">
        <f aca="false">IF($A531="","",ROUND(Payroll!L531+Payroll!M531,2))</f>
        <v/>
      </c>
      <c r="J531" s="24" t="str">
        <f aca="false">IF($A531="","",0)</f>
        <v/>
      </c>
    </row>
    <row r="532" customFormat="false" ht="15" hidden="false" customHeight="false" outlineLevel="0" collapsed="false">
      <c r="A532" s="24" t="str">
        <f aca="false">IF(AND(Payroll!$A532&lt;&gt;"",N(Payroll!$R532)&gt;0),"EDR","")</f>
        <v/>
      </c>
      <c r="B532" s="24" t="str">
        <f aca="false">IF($A532="","",Payroll!U532)</f>
        <v/>
      </c>
      <c r="C532" s="24" t="str">
        <f aca="false">IF($A532="","",Payroll!S532)</f>
        <v/>
      </c>
      <c r="D532" s="24" t="str">
        <f aca="false">IF($A532="","",SUBSTITUTE(Payroll!T532," ",""))</f>
        <v/>
      </c>
      <c r="E532" s="24" t="str">
        <f aca="false">IF($A532="","",TEXT(Settings!$B$8,"yyyy-mm-dd"))</f>
        <v/>
      </c>
      <c r="F532" s="24" t="str">
        <f aca="false">IF($A532="","",TEXT(Settings!$B$9,"yyyy-mm-dd"))</f>
        <v/>
      </c>
      <c r="G532" s="24" t="str">
        <f aca="false">IF($A532="","",DAY(Settings!$B$9))</f>
        <v/>
      </c>
      <c r="H532" s="26" t="str">
        <f aca="false">IF($A532="","",ROUND(Payroll!R532-Payroll!L532-Payroll!M532,2))</f>
        <v/>
      </c>
      <c r="I532" s="26" t="str">
        <f aca="false">IF($A532="","",ROUND(Payroll!L532+Payroll!M532,2))</f>
        <v/>
      </c>
      <c r="J532" s="24" t="str">
        <f aca="false">IF($A532="","",0)</f>
        <v/>
      </c>
    </row>
    <row r="533" customFormat="false" ht="15" hidden="false" customHeight="false" outlineLevel="0" collapsed="false">
      <c r="A533" s="24" t="str">
        <f aca="false">IF(AND(Payroll!$A533&lt;&gt;"",N(Payroll!$R533)&gt;0),"EDR","")</f>
        <v/>
      </c>
      <c r="B533" s="24" t="str">
        <f aca="false">IF($A533="","",Payroll!U533)</f>
        <v/>
      </c>
      <c r="C533" s="24" t="str">
        <f aca="false">IF($A533="","",Payroll!S533)</f>
        <v/>
      </c>
      <c r="D533" s="24" t="str">
        <f aca="false">IF($A533="","",SUBSTITUTE(Payroll!T533," ",""))</f>
        <v/>
      </c>
      <c r="E533" s="24" t="str">
        <f aca="false">IF($A533="","",TEXT(Settings!$B$8,"yyyy-mm-dd"))</f>
        <v/>
      </c>
      <c r="F533" s="24" t="str">
        <f aca="false">IF($A533="","",TEXT(Settings!$B$9,"yyyy-mm-dd"))</f>
        <v/>
      </c>
      <c r="G533" s="24" t="str">
        <f aca="false">IF($A533="","",DAY(Settings!$B$9))</f>
        <v/>
      </c>
      <c r="H533" s="26" t="str">
        <f aca="false">IF($A533="","",ROUND(Payroll!R533-Payroll!L533-Payroll!M533,2))</f>
        <v/>
      </c>
      <c r="I533" s="26" t="str">
        <f aca="false">IF($A533="","",ROUND(Payroll!L533+Payroll!M533,2))</f>
        <v/>
      </c>
      <c r="J533" s="24" t="str">
        <f aca="false">IF($A533="","",0)</f>
        <v/>
      </c>
    </row>
    <row r="534" customFormat="false" ht="15" hidden="false" customHeight="false" outlineLevel="0" collapsed="false">
      <c r="A534" s="24" t="str">
        <f aca="false">IF(AND(Payroll!$A534&lt;&gt;"",N(Payroll!$R534)&gt;0),"EDR","")</f>
        <v/>
      </c>
      <c r="B534" s="24" t="str">
        <f aca="false">IF($A534="","",Payroll!U534)</f>
        <v/>
      </c>
      <c r="C534" s="24" t="str">
        <f aca="false">IF($A534="","",Payroll!S534)</f>
        <v/>
      </c>
      <c r="D534" s="24" t="str">
        <f aca="false">IF($A534="","",SUBSTITUTE(Payroll!T534," ",""))</f>
        <v/>
      </c>
      <c r="E534" s="24" t="str">
        <f aca="false">IF($A534="","",TEXT(Settings!$B$8,"yyyy-mm-dd"))</f>
        <v/>
      </c>
      <c r="F534" s="24" t="str">
        <f aca="false">IF($A534="","",TEXT(Settings!$B$9,"yyyy-mm-dd"))</f>
        <v/>
      </c>
      <c r="G534" s="24" t="str">
        <f aca="false">IF($A534="","",DAY(Settings!$B$9))</f>
        <v/>
      </c>
      <c r="H534" s="26" t="str">
        <f aca="false">IF($A534="","",ROUND(Payroll!R534-Payroll!L534-Payroll!M534,2))</f>
        <v/>
      </c>
      <c r="I534" s="26" t="str">
        <f aca="false">IF($A534="","",ROUND(Payroll!L534+Payroll!M534,2))</f>
        <v/>
      </c>
      <c r="J534" s="24" t="str">
        <f aca="false">IF($A534="","",0)</f>
        <v/>
      </c>
    </row>
    <row r="535" customFormat="false" ht="15" hidden="false" customHeight="false" outlineLevel="0" collapsed="false">
      <c r="A535" s="24" t="str">
        <f aca="false">IF(AND(Payroll!$A535&lt;&gt;"",N(Payroll!$R535)&gt;0),"EDR","")</f>
        <v/>
      </c>
      <c r="B535" s="24" t="str">
        <f aca="false">IF($A535="","",Payroll!U535)</f>
        <v/>
      </c>
      <c r="C535" s="24" t="str">
        <f aca="false">IF($A535="","",Payroll!S535)</f>
        <v/>
      </c>
      <c r="D535" s="24" t="str">
        <f aca="false">IF($A535="","",SUBSTITUTE(Payroll!T535," ",""))</f>
        <v/>
      </c>
      <c r="E535" s="24" t="str">
        <f aca="false">IF($A535="","",TEXT(Settings!$B$8,"yyyy-mm-dd"))</f>
        <v/>
      </c>
      <c r="F535" s="24" t="str">
        <f aca="false">IF($A535="","",TEXT(Settings!$B$9,"yyyy-mm-dd"))</f>
        <v/>
      </c>
      <c r="G535" s="24" t="str">
        <f aca="false">IF($A535="","",DAY(Settings!$B$9))</f>
        <v/>
      </c>
      <c r="H535" s="26" t="str">
        <f aca="false">IF($A535="","",ROUND(Payroll!R535-Payroll!L535-Payroll!M535,2))</f>
        <v/>
      </c>
      <c r="I535" s="26" t="str">
        <f aca="false">IF($A535="","",ROUND(Payroll!L535+Payroll!M535,2))</f>
        <v/>
      </c>
      <c r="J535" s="24" t="str">
        <f aca="false">IF($A535="","",0)</f>
        <v/>
      </c>
    </row>
    <row r="536" customFormat="false" ht="15" hidden="false" customHeight="false" outlineLevel="0" collapsed="false">
      <c r="A536" s="24" t="str">
        <f aca="false">IF(AND(Payroll!$A536&lt;&gt;"",N(Payroll!$R536)&gt;0),"EDR","")</f>
        <v/>
      </c>
      <c r="B536" s="24" t="str">
        <f aca="false">IF($A536="","",Payroll!U536)</f>
        <v/>
      </c>
      <c r="C536" s="24" t="str">
        <f aca="false">IF($A536="","",Payroll!S536)</f>
        <v/>
      </c>
      <c r="D536" s="24" t="str">
        <f aca="false">IF($A536="","",SUBSTITUTE(Payroll!T536," ",""))</f>
        <v/>
      </c>
      <c r="E536" s="24" t="str">
        <f aca="false">IF($A536="","",TEXT(Settings!$B$8,"yyyy-mm-dd"))</f>
        <v/>
      </c>
      <c r="F536" s="24" t="str">
        <f aca="false">IF($A536="","",TEXT(Settings!$B$9,"yyyy-mm-dd"))</f>
        <v/>
      </c>
      <c r="G536" s="24" t="str">
        <f aca="false">IF($A536="","",DAY(Settings!$B$9))</f>
        <v/>
      </c>
      <c r="H536" s="26" t="str">
        <f aca="false">IF($A536="","",ROUND(Payroll!R536-Payroll!L536-Payroll!M536,2))</f>
        <v/>
      </c>
      <c r="I536" s="26" t="str">
        <f aca="false">IF($A536="","",ROUND(Payroll!L536+Payroll!M536,2))</f>
        <v/>
      </c>
      <c r="J536" s="24" t="str">
        <f aca="false">IF($A536="","",0)</f>
        <v/>
      </c>
    </row>
    <row r="537" customFormat="false" ht="15" hidden="false" customHeight="false" outlineLevel="0" collapsed="false">
      <c r="A537" s="24" t="str">
        <f aca="false">IF(AND(Payroll!$A537&lt;&gt;"",N(Payroll!$R537)&gt;0),"EDR","")</f>
        <v/>
      </c>
      <c r="B537" s="24" t="str">
        <f aca="false">IF($A537="","",Payroll!U537)</f>
        <v/>
      </c>
      <c r="C537" s="24" t="str">
        <f aca="false">IF($A537="","",Payroll!S537)</f>
        <v/>
      </c>
      <c r="D537" s="24" t="str">
        <f aca="false">IF($A537="","",SUBSTITUTE(Payroll!T537," ",""))</f>
        <v/>
      </c>
      <c r="E537" s="24" t="str">
        <f aca="false">IF($A537="","",TEXT(Settings!$B$8,"yyyy-mm-dd"))</f>
        <v/>
      </c>
      <c r="F537" s="24" t="str">
        <f aca="false">IF($A537="","",TEXT(Settings!$B$9,"yyyy-mm-dd"))</f>
        <v/>
      </c>
      <c r="G537" s="24" t="str">
        <f aca="false">IF($A537="","",DAY(Settings!$B$9))</f>
        <v/>
      </c>
      <c r="H537" s="26" t="str">
        <f aca="false">IF($A537="","",ROUND(Payroll!R537-Payroll!L537-Payroll!M537,2))</f>
        <v/>
      </c>
      <c r="I537" s="26" t="str">
        <f aca="false">IF($A537="","",ROUND(Payroll!L537+Payroll!M537,2))</f>
        <v/>
      </c>
      <c r="J537" s="24" t="str">
        <f aca="false">IF($A537="","",0)</f>
        <v/>
      </c>
    </row>
    <row r="538" customFormat="false" ht="15" hidden="false" customHeight="false" outlineLevel="0" collapsed="false">
      <c r="A538" s="24" t="str">
        <f aca="false">IF(AND(Payroll!$A538&lt;&gt;"",N(Payroll!$R538)&gt;0),"EDR","")</f>
        <v/>
      </c>
      <c r="B538" s="24" t="str">
        <f aca="false">IF($A538="","",Payroll!U538)</f>
        <v/>
      </c>
      <c r="C538" s="24" t="str">
        <f aca="false">IF($A538="","",Payroll!S538)</f>
        <v/>
      </c>
      <c r="D538" s="24" t="str">
        <f aca="false">IF($A538="","",SUBSTITUTE(Payroll!T538," ",""))</f>
        <v/>
      </c>
      <c r="E538" s="24" t="str">
        <f aca="false">IF($A538="","",TEXT(Settings!$B$8,"yyyy-mm-dd"))</f>
        <v/>
      </c>
      <c r="F538" s="24" t="str">
        <f aca="false">IF($A538="","",TEXT(Settings!$B$9,"yyyy-mm-dd"))</f>
        <v/>
      </c>
      <c r="G538" s="24" t="str">
        <f aca="false">IF($A538="","",DAY(Settings!$B$9))</f>
        <v/>
      </c>
      <c r="H538" s="26" t="str">
        <f aca="false">IF($A538="","",ROUND(Payroll!R538-Payroll!L538-Payroll!M538,2))</f>
        <v/>
      </c>
      <c r="I538" s="26" t="str">
        <f aca="false">IF($A538="","",ROUND(Payroll!L538+Payroll!M538,2))</f>
        <v/>
      </c>
      <c r="J538" s="24" t="str">
        <f aca="false">IF($A538="","",0)</f>
        <v/>
      </c>
    </row>
    <row r="539" customFormat="false" ht="15" hidden="false" customHeight="false" outlineLevel="0" collapsed="false">
      <c r="A539" s="24" t="str">
        <f aca="false">IF(AND(Payroll!$A539&lt;&gt;"",N(Payroll!$R539)&gt;0),"EDR","")</f>
        <v/>
      </c>
      <c r="B539" s="24" t="str">
        <f aca="false">IF($A539="","",Payroll!U539)</f>
        <v/>
      </c>
      <c r="C539" s="24" t="str">
        <f aca="false">IF($A539="","",Payroll!S539)</f>
        <v/>
      </c>
      <c r="D539" s="24" t="str">
        <f aca="false">IF($A539="","",SUBSTITUTE(Payroll!T539," ",""))</f>
        <v/>
      </c>
      <c r="E539" s="24" t="str">
        <f aca="false">IF($A539="","",TEXT(Settings!$B$8,"yyyy-mm-dd"))</f>
        <v/>
      </c>
      <c r="F539" s="24" t="str">
        <f aca="false">IF($A539="","",TEXT(Settings!$B$9,"yyyy-mm-dd"))</f>
        <v/>
      </c>
      <c r="G539" s="24" t="str">
        <f aca="false">IF($A539="","",DAY(Settings!$B$9))</f>
        <v/>
      </c>
      <c r="H539" s="26" t="str">
        <f aca="false">IF($A539="","",ROUND(Payroll!R539-Payroll!L539-Payroll!M539,2))</f>
        <v/>
      </c>
      <c r="I539" s="26" t="str">
        <f aca="false">IF($A539="","",ROUND(Payroll!L539+Payroll!M539,2))</f>
        <v/>
      </c>
      <c r="J539" s="24" t="str">
        <f aca="false">IF($A539="","",0)</f>
        <v/>
      </c>
    </row>
    <row r="540" customFormat="false" ht="15" hidden="false" customHeight="false" outlineLevel="0" collapsed="false">
      <c r="A540" s="24" t="str">
        <f aca="false">IF(AND(Payroll!$A540&lt;&gt;"",N(Payroll!$R540)&gt;0),"EDR","")</f>
        <v/>
      </c>
      <c r="B540" s="24" t="str">
        <f aca="false">IF($A540="","",Payroll!U540)</f>
        <v/>
      </c>
      <c r="C540" s="24" t="str">
        <f aca="false">IF($A540="","",Payroll!S540)</f>
        <v/>
      </c>
      <c r="D540" s="24" t="str">
        <f aca="false">IF($A540="","",SUBSTITUTE(Payroll!T540," ",""))</f>
        <v/>
      </c>
      <c r="E540" s="24" t="str">
        <f aca="false">IF($A540="","",TEXT(Settings!$B$8,"yyyy-mm-dd"))</f>
        <v/>
      </c>
      <c r="F540" s="24" t="str">
        <f aca="false">IF($A540="","",TEXT(Settings!$B$9,"yyyy-mm-dd"))</f>
        <v/>
      </c>
      <c r="G540" s="24" t="str">
        <f aca="false">IF($A540="","",DAY(Settings!$B$9))</f>
        <v/>
      </c>
      <c r="H540" s="26" t="str">
        <f aca="false">IF($A540="","",ROUND(Payroll!R540-Payroll!L540-Payroll!M540,2))</f>
        <v/>
      </c>
      <c r="I540" s="26" t="str">
        <f aca="false">IF($A540="","",ROUND(Payroll!L540+Payroll!M540,2))</f>
        <v/>
      </c>
      <c r="J540" s="24" t="str">
        <f aca="false">IF($A540="","",0)</f>
        <v/>
      </c>
    </row>
    <row r="541" customFormat="false" ht="15" hidden="false" customHeight="false" outlineLevel="0" collapsed="false">
      <c r="A541" s="24" t="str">
        <f aca="false">IF(AND(Payroll!$A541&lt;&gt;"",N(Payroll!$R541)&gt;0),"EDR","")</f>
        <v/>
      </c>
      <c r="B541" s="24" t="str">
        <f aca="false">IF($A541="","",Payroll!U541)</f>
        <v/>
      </c>
      <c r="C541" s="24" t="str">
        <f aca="false">IF($A541="","",Payroll!S541)</f>
        <v/>
      </c>
      <c r="D541" s="24" t="str">
        <f aca="false">IF($A541="","",SUBSTITUTE(Payroll!T541," ",""))</f>
        <v/>
      </c>
      <c r="E541" s="24" t="str">
        <f aca="false">IF($A541="","",TEXT(Settings!$B$8,"yyyy-mm-dd"))</f>
        <v/>
      </c>
      <c r="F541" s="24" t="str">
        <f aca="false">IF($A541="","",TEXT(Settings!$B$9,"yyyy-mm-dd"))</f>
        <v/>
      </c>
      <c r="G541" s="24" t="str">
        <f aca="false">IF($A541="","",DAY(Settings!$B$9))</f>
        <v/>
      </c>
      <c r="H541" s="26" t="str">
        <f aca="false">IF($A541="","",ROUND(Payroll!R541-Payroll!L541-Payroll!M541,2))</f>
        <v/>
      </c>
      <c r="I541" s="26" t="str">
        <f aca="false">IF($A541="","",ROUND(Payroll!L541+Payroll!M541,2))</f>
        <v/>
      </c>
      <c r="J541" s="24" t="str">
        <f aca="false">IF($A541="","",0)</f>
        <v/>
      </c>
    </row>
    <row r="542" customFormat="false" ht="15" hidden="false" customHeight="false" outlineLevel="0" collapsed="false">
      <c r="A542" s="24" t="str">
        <f aca="false">IF(AND(Payroll!$A542&lt;&gt;"",N(Payroll!$R542)&gt;0),"EDR","")</f>
        <v/>
      </c>
      <c r="B542" s="24" t="str">
        <f aca="false">IF($A542="","",Payroll!U542)</f>
        <v/>
      </c>
      <c r="C542" s="24" t="str">
        <f aca="false">IF($A542="","",Payroll!S542)</f>
        <v/>
      </c>
      <c r="D542" s="24" t="str">
        <f aca="false">IF($A542="","",SUBSTITUTE(Payroll!T542," ",""))</f>
        <v/>
      </c>
      <c r="E542" s="24" t="str">
        <f aca="false">IF($A542="","",TEXT(Settings!$B$8,"yyyy-mm-dd"))</f>
        <v/>
      </c>
      <c r="F542" s="24" t="str">
        <f aca="false">IF($A542="","",TEXT(Settings!$B$9,"yyyy-mm-dd"))</f>
        <v/>
      </c>
      <c r="G542" s="24" t="str">
        <f aca="false">IF($A542="","",DAY(Settings!$B$9))</f>
        <v/>
      </c>
      <c r="H542" s="26" t="str">
        <f aca="false">IF($A542="","",ROUND(Payroll!R542-Payroll!L542-Payroll!M542,2))</f>
        <v/>
      </c>
      <c r="I542" s="26" t="str">
        <f aca="false">IF($A542="","",ROUND(Payroll!L542+Payroll!M542,2))</f>
        <v/>
      </c>
      <c r="J542" s="24" t="str">
        <f aca="false">IF($A542="","",0)</f>
        <v/>
      </c>
    </row>
    <row r="543" customFormat="false" ht="15" hidden="false" customHeight="false" outlineLevel="0" collapsed="false">
      <c r="A543" s="24" t="str">
        <f aca="false">IF(AND(Payroll!$A543&lt;&gt;"",N(Payroll!$R543)&gt;0),"EDR","")</f>
        <v/>
      </c>
      <c r="B543" s="24" t="str">
        <f aca="false">IF($A543="","",Payroll!U543)</f>
        <v/>
      </c>
      <c r="C543" s="24" t="str">
        <f aca="false">IF($A543="","",Payroll!S543)</f>
        <v/>
      </c>
      <c r="D543" s="24" t="str">
        <f aca="false">IF($A543="","",SUBSTITUTE(Payroll!T543," ",""))</f>
        <v/>
      </c>
      <c r="E543" s="24" t="str">
        <f aca="false">IF($A543="","",TEXT(Settings!$B$8,"yyyy-mm-dd"))</f>
        <v/>
      </c>
      <c r="F543" s="24" t="str">
        <f aca="false">IF($A543="","",TEXT(Settings!$B$9,"yyyy-mm-dd"))</f>
        <v/>
      </c>
      <c r="G543" s="24" t="str">
        <f aca="false">IF($A543="","",DAY(Settings!$B$9))</f>
        <v/>
      </c>
      <c r="H543" s="26" t="str">
        <f aca="false">IF($A543="","",ROUND(Payroll!R543-Payroll!L543-Payroll!M543,2))</f>
        <v/>
      </c>
      <c r="I543" s="26" t="str">
        <f aca="false">IF($A543="","",ROUND(Payroll!L543+Payroll!M543,2))</f>
        <v/>
      </c>
      <c r="J543" s="24" t="str">
        <f aca="false">IF($A543="","",0)</f>
        <v/>
      </c>
    </row>
    <row r="544" customFormat="false" ht="15" hidden="false" customHeight="false" outlineLevel="0" collapsed="false">
      <c r="A544" s="24" t="str">
        <f aca="false">IF(AND(Payroll!$A544&lt;&gt;"",N(Payroll!$R544)&gt;0),"EDR","")</f>
        <v/>
      </c>
      <c r="B544" s="24" t="str">
        <f aca="false">IF($A544="","",Payroll!U544)</f>
        <v/>
      </c>
      <c r="C544" s="24" t="str">
        <f aca="false">IF($A544="","",Payroll!S544)</f>
        <v/>
      </c>
      <c r="D544" s="24" t="str">
        <f aca="false">IF($A544="","",SUBSTITUTE(Payroll!T544," ",""))</f>
        <v/>
      </c>
      <c r="E544" s="24" t="str">
        <f aca="false">IF($A544="","",TEXT(Settings!$B$8,"yyyy-mm-dd"))</f>
        <v/>
      </c>
      <c r="F544" s="24" t="str">
        <f aca="false">IF($A544="","",TEXT(Settings!$B$9,"yyyy-mm-dd"))</f>
        <v/>
      </c>
      <c r="G544" s="24" t="str">
        <f aca="false">IF($A544="","",DAY(Settings!$B$9))</f>
        <v/>
      </c>
      <c r="H544" s="26" t="str">
        <f aca="false">IF($A544="","",ROUND(Payroll!R544-Payroll!L544-Payroll!M544,2))</f>
        <v/>
      </c>
      <c r="I544" s="26" t="str">
        <f aca="false">IF($A544="","",ROUND(Payroll!L544+Payroll!M544,2))</f>
        <v/>
      </c>
      <c r="J544" s="24" t="str">
        <f aca="false">IF($A544="","",0)</f>
        <v/>
      </c>
    </row>
    <row r="545" customFormat="false" ht="15" hidden="false" customHeight="false" outlineLevel="0" collapsed="false">
      <c r="A545" s="24" t="str">
        <f aca="false">IF(AND(Payroll!$A545&lt;&gt;"",N(Payroll!$R545)&gt;0),"EDR","")</f>
        <v/>
      </c>
      <c r="B545" s="24" t="str">
        <f aca="false">IF($A545="","",Payroll!U545)</f>
        <v/>
      </c>
      <c r="C545" s="24" t="str">
        <f aca="false">IF($A545="","",Payroll!S545)</f>
        <v/>
      </c>
      <c r="D545" s="24" t="str">
        <f aca="false">IF($A545="","",SUBSTITUTE(Payroll!T545," ",""))</f>
        <v/>
      </c>
      <c r="E545" s="24" t="str">
        <f aca="false">IF($A545="","",TEXT(Settings!$B$8,"yyyy-mm-dd"))</f>
        <v/>
      </c>
      <c r="F545" s="24" t="str">
        <f aca="false">IF($A545="","",TEXT(Settings!$B$9,"yyyy-mm-dd"))</f>
        <v/>
      </c>
      <c r="G545" s="24" t="str">
        <f aca="false">IF($A545="","",DAY(Settings!$B$9))</f>
        <v/>
      </c>
      <c r="H545" s="26" t="str">
        <f aca="false">IF($A545="","",ROUND(Payroll!R545-Payroll!L545-Payroll!M545,2))</f>
        <v/>
      </c>
      <c r="I545" s="26" t="str">
        <f aca="false">IF($A545="","",ROUND(Payroll!L545+Payroll!M545,2))</f>
        <v/>
      </c>
      <c r="J545" s="24" t="str">
        <f aca="false">IF($A545="","",0)</f>
        <v/>
      </c>
    </row>
    <row r="546" customFormat="false" ht="15" hidden="false" customHeight="false" outlineLevel="0" collapsed="false">
      <c r="A546" s="24" t="str">
        <f aca="false">IF(AND(Payroll!$A546&lt;&gt;"",N(Payroll!$R546)&gt;0),"EDR","")</f>
        <v/>
      </c>
      <c r="B546" s="24" t="str">
        <f aca="false">IF($A546="","",Payroll!U546)</f>
        <v/>
      </c>
      <c r="C546" s="24" t="str">
        <f aca="false">IF($A546="","",Payroll!S546)</f>
        <v/>
      </c>
      <c r="D546" s="24" t="str">
        <f aca="false">IF($A546="","",SUBSTITUTE(Payroll!T546," ",""))</f>
        <v/>
      </c>
      <c r="E546" s="24" t="str">
        <f aca="false">IF($A546="","",TEXT(Settings!$B$8,"yyyy-mm-dd"))</f>
        <v/>
      </c>
      <c r="F546" s="24" t="str">
        <f aca="false">IF($A546="","",TEXT(Settings!$B$9,"yyyy-mm-dd"))</f>
        <v/>
      </c>
      <c r="G546" s="24" t="str">
        <f aca="false">IF($A546="","",DAY(Settings!$B$9))</f>
        <v/>
      </c>
      <c r="H546" s="26" t="str">
        <f aca="false">IF($A546="","",ROUND(Payroll!R546-Payroll!L546-Payroll!M546,2))</f>
        <v/>
      </c>
      <c r="I546" s="26" t="str">
        <f aca="false">IF($A546="","",ROUND(Payroll!L546+Payroll!M546,2))</f>
        <v/>
      </c>
      <c r="J546" s="24" t="str">
        <f aca="false">IF($A546="","",0)</f>
        <v/>
      </c>
    </row>
    <row r="547" customFormat="false" ht="15" hidden="false" customHeight="false" outlineLevel="0" collapsed="false">
      <c r="A547" s="24" t="str">
        <f aca="false">IF(AND(Payroll!$A547&lt;&gt;"",N(Payroll!$R547)&gt;0),"EDR","")</f>
        <v/>
      </c>
      <c r="B547" s="24" t="str">
        <f aca="false">IF($A547="","",Payroll!U547)</f>
        <v/>
      </c>
      <c r="C547" s="24" t="str">
        <f aca="false">IF($A547="","",Payroll!S547)</f>
        <v/>
      </c>
      <c r="D547" s="24" t="str">
        <f aca="false">IF($A547="","",SUBSTITUTE(Payroll!T547," ",""))</f>
        <v/>
      </c>
      <c r="E547" s="24" t="str">
        <f aca="false">IF($A547="","",TEXT(Settings!$B$8,"yyyy-mm-dd"))</f>
        <v/>
      </c>
      <c r="F547" s="24" t="str">
        <f aca="false">IF($A547="","",TEXT(Settings!$B$9,"yyyy-mm-dd"))</f>
        <v/>
      </c>
      <c r="G547" s="24" t="str">
        <f aca="false">IF($A547="","",DAY(Settings!$B$9))</f>
        <v/>
      </c>
      <c r="H547" s="26" t="str">
        <f aca="false">IF($A547="","",ROUND(Payroll!R547-Payroll!L547-Payroll!M547,2))</f>
        <v/>
      </c>
      <c r="I547" s="26" t="str">
        <f aca="false">IF($A547="","",ROUND(Payroll!L547+Payroll!M547,2))</f>
        <v/>
      </c>
      <c r="J547" s="24" t="str">
        <f aca="false">IF($A547="","",0)</f>
        <v/>
      </c>
    </row>
    <row r="548" customFormat="false" ht="15" hidden="false" customHeight="false" outlineLevel="0" collapsed="false">
      <c r="A548" s="24" t="str">
        <f aca="false">IF(AND(Payroll!$A548&lt;&gt;"",N(Payroll!$R548)&gt;0),"EDR","")</f>
        <v/>
      </c>
      <c r="B548" s="24" t="str">
        <f aca="false">IF($A548="","",Payroll!U548)</f>
        <v/>
      </c>
      <c r="C548" s="24" t="str">
        <f aca="false">IF($A548="","",Payroll!S548)</f>
        <v/>
      </c>
      <c r="D548" s="24" t="str">
        <f aca="false">IF($A548="","",SUBSTITUTE(Payroll!T548," ",""))</f>
        <v/>
      </c>
      <c r="E548" s="24" t="str">
        <f aca="false">IF($A548="","",TEXT(Settings!$B$8,"yyyy-mm-dd"))</f>
        <v/>
      </c>
      <c r="F548" s="24" t="str">
        <f aca="false">IF($A548="","",TEXT(Settings!$B$9,"yyyy-mm-dd"))</f>
        <v/>
      </c>
      <c r="G548" s="24" t="str">
        <f aca="false">IF($A548="","",DAY(Settings!$B$9))</f>
        <v/>
      </c>
      <c r="H548" s="26" t="str">
        <f aca="false">IF($A548="","",ROUND(Payroll!R548-Payroll!L548-Payroll!M548,2))</f>
        <v/>
      </c>
      <c r="I548" s="26" t="str">
        <f aca="false">IF($A548="","",ROUND(Payroll!L548+Payroll!M548,2))</f>
        <v/>
      </c>
      <c r="J548" s="24" t="str">
        <f aca="false">IF($A548="","",0)</f>
        <v/>
      </c>
    </row>
    <row r="549" customFormat="false" ht="15" hidden="false" customHeight="false" outlineLevel="0" collapsed="false">
      <c r="A549" s="24" t="str">
        <f aca="false">IF(AND(Payroll!$A549&lt;&gt;"",N(Payroll!$R549)&gt;0),"EDR","")</f>
        <v/>
      </c>
      <c r="B549" s="24" t="str">
        <f aca="false">IF($A549="","",Payroll!U549)</f>
        <v/>
      </c>
      <c r="C549" s="24" t="str">
        <f aca="false">IF($A549="","",Payroll!S549)</f>
        <v/>
      </c>
      <c r="D549" s="24" t="str">
        <f aca="false">IF($A549="","",SUBSTITUTE(Payroll!T549," ",""))</f>
        <v/>
      </c>
      <c r="E549" s="24" t="str">
        <f aca="false">IF($A549="","",TEXT(Settings!$B$8,"yyyy-mm-dd"))</f>
        <v/>
      </c>
      <c r="F549" s="24" t="str">
        <f aca="false">IF($A549="","",TEXT(Settings!$B$9,"yyyy-mm-dd"))</f>
        <v/>
      </c>
      <c r="G549" s="24" t="str">
        <f aca="false">IF($A549="","",DAY(Settings!$B$9))</f>
        <v/>
      </c>
      <c r="H549" s="26" t="str">
        <f aca="false">IF($A549="","",ROUND(Payroll!R549-Payroll!L549-Payroll!M549,2))</f>
        <v/>
      </c>
      <c r="I549" s="26" t="str">
        <f aca="false">IF($A549="","",ROUND(Payroll!L549+Payroll!M549,2))</f>
        <v/>
      </c>
      <c r="J549" s="24" t="str">
        <f aca="false">IF($A549="","",0)</f>
        <v/>
      </c>
    </row>
    <row r="550" customFormat="false" ht="15" hidden="false" customHeight="false" outlineLevel="0" collapsed="false">
      <c r="A550" s="24" t="str">
        <f aca="false">IF(AND(Payroll!$A550&lt;&gt;"",N(Payroll!$R550)&gt;0),"EDR","")</f>
        <v/>
      </c>
      <c r="B550" s="24" t="str">
        <f aca="false">IF($A550="","",Payroll!U550)</f>
        <v/>
      </c>
      <c r="C550" s="24" t="str">
        <f aca="false">IF($A550="","",Payroll!S550)</f>
        <v/>
      </c>
      <c r="D550" s="24" t="str">
        <f aca="false">IF($A550="","",SUBSTITUTE(Payroll!T550," ",""))</f>
        <v/>
      </c>
      <c r="E550" s="24" t="str">
        <f aca="false">IF($A550="","",TEXT(Settings!$B$8,"yyyy-mm-dd"))</f>
        <v/>
      </c>
      <c r="F550" s="24" t="str">
        <f aca="false">IF($A550="","",TEXT(Settings!$B$9,"yyyy-mm-dd"))</f>
        <v/>
      </c>
      <c r="G550" s="24" t="str">
        <f aca="false">IF($A550="","",DAY(Settings!$B$9))</f>
        <v/>
      </c>
      <c r="H550" s="26" t="str">
        <f aca="false">IF($A550="","",ROUND(Payroll!R550-Payroll!L550-Payroll!M550,2))</f>
        <v/>
      </c>
      <c r="I550" s="26" t="str">
        <f aca="false">IF($A550="","",ROUND(Payroll!L550+Payroll!M550,2))</f>
        <v/>
      </c>
      <c r="J550" s="24" t="str">
        <f aca="false">IF($A550="","",0)</f>
        <v/>
      </c>
    </row>
    <row r="551" customFormat="false" ht="15" hidden="false" customHeight="false" outlineLevel="0" collapsed="false">
      <c r="A551" s="24" t="str">
        <f aca="false">IF(AND(Payroll!$A551&lt;&gt;"",N(Payroll!$R551)&gt;0),"EDR","")</f>
        <v/>
      </c>
      <c r="B551" s="24" t="str">
        <f aca="false">IF($A551="","",Payroll!U551)</f>
        <v/>
      </c>
      <c r="C551" s="24" t="str">
        <f aca="false">IF($A551="","",Payroll!S551)</f>
        <v/>
      </c>
      <c r="D551" s="24" t="str">
        <f aca="false">IF($A551="","",SUBSTITUTE(Payroll!T551," ",""))</f>
        <v/>
      </c>
      <c r="E551" s="24" t="str">
        <f aca="false">IF($A551="","",TEXT(Settings!$B$8,"yyyy-mm-dd"))</f>
        <v/>
      </c>
      <c r="F551" s="24" t="str">
        <f aca="false">IF($A551="","",TEXT(Settings!$B$9,"yyyy-mm-dd"))</f>
        <v/>
      </c>
      <c r="G551" s="24" t="str">
        <f aca="false">IF($A551="","",DAY(Settings!$B$9))</f>
        <v/>
      </c>
      <c r="H551" s="26" t="str">
        <f aca="false">IF($A551="","",ROUND(Payroll!R551-Payroll!L551-Payroll!M551,2))</f>
        <v/>
      </c>
      <c r="I551" s="26" t="str">
        <f aca="false">IF($A551="","",ROUND(Payroll!L551+Payroll!M551,2))</f>
        <v/>
      </c>
      <c r="J551" s="24" t="str">
        <f aca="false">IF($A551="","",0)</f>
        <v/>
      </c>
    </row>
    <row r="552" customFormat="false" ht="15" hidden="false" customHeight="false" outlineLevel="0" collapsed="false">
      <c r="A552" s="24" t="str">
        <f aca="false">IF(AND(Payroll!$A552&lt;&gt;"",N(Payroll!$R552)&gt;0),"EDR","")</f>
        <v/>
      </c>
      <c r="B552" s="24" t="str">
        <f aca="false">IF($A552="","",Payroll!U552)</f>
        <v/>
      </c>
      <c r="C552" s="24" t="str">
        <f aca="false">IF($A552="","",Payroll!S552)</f>
        <v/>
      </c>
      <c r="D552" s="24" t="str">
        <f aca="false">IF($A552="","",SUBSTITUTE(Payroll!T552," ",""))</f>
        <v/>
      </c>
      <c r="E552" s="24" t="str">
        <f aca="false">IF($A552="","",TEXT(Settings!$B$8,"yyyy-mm-dd"))</f>
        <v/>
      </c>
      <c r="F552" s="24" t="str">
        <f aca="false">IF($A552="","",TEXT(Settings!$B$9,"yyyy-mm-dd"))</f>
        <v/>
      </c>
      <c r="G552" s="24" t="str">
        <f aca="false">IF($A552="","",DAY(Settings!$B$9))</f>
        <v/>
      </c>
      <c r="H552" s="26" t="str">
        <f aca="false">IF($A552="","",ROUND(Payroll!R552-Payroll!L552-Payroll!M552,2))</f>
        <v/>
      </c>
      <c r="I552" s="26" t="str">
        <f aca="false">IF($A552="","",ROUND(Payroll!L552+Payroll!M552,2))</f>
        <v/>
      </c>
      <c r="J552" s="24" t="str">
        <f aca="false">IF($A552="","",0)</f>
        <v/>
      </c>
    </row>
    <row r="553" customFormat="false" ht="15" hidden="false" customHeight="false" outlineLevel="0" collapsed="false">
      <c r="A553" s="24" t="str">
        <f aca="false">IF(AND(Payroll!$A553&lt;&gt;"",N(Payroll!$R553)&gt;0),"EDR","")</f>
        <v/>
      </c>
      <c r="B553" s="24" t="str">
        <f aca="false">IF($A553="","",Payroll!U553)</f>
        <v/>
      </c>
      <c r="C553" s="24" t="str">
        <f aca="false">IF($A553="","",Payroll!S553)</f>
        <v/>
      </c>
      <c r="D553" s="24" t="str">
        <f aca="false">IF($A553="","",SUBSTITUTE(Payroll!T553," ",""))</f>
        <v/>
      </c>
      <c r="E553" s="24" t="str">
        <f aca="false">IF($A553="","",TEXT(Settings!$B$8,"yyyy-mm-dd"))</f>
        <v/>
      </c>
      <c r="F553" s="24" t="str">
        <f aca="false">IF($A553="","",TEXT(Settings!$B$9,"yyyy-mm-dd"))</f>
        <v/>
      </c>
      <c r="G553" s="24" t="str">
        <f aca="false">IF($A553="","",DAY(Settings!$B$9))</f>
        <v/>
      </c>
      <c r="H553" s="26" t="str">
        <f aca="false">IF($A553="","",ROUND(Payroll!R553-Payroll!L553-Payroll!M553,2))</f>
        <v/>
      </c>
      <c r="I553" s="26" t="str">
        <f aca="false">IF($A553="","",ROUND(Payroll!L553+Payroll!M553,2))</f>
        <v/>
      </c>
      <c r="J553" s="24" t="str">
        <f aca="false">IF($A553="","",0)</f>
        <v/>
      </c>
    </row>
    <row r="554" customFormat="false" ht="15" hidden="false" customHeight="false" outlineLevel="0" collapsed="false">
      <c r="A554" s="24" t="str">
        <f aca="false">IF(AND(Payroll!$A554&lt;&gt;"",N(Payroll!$R554)&gt;0),"EDR","")</f>
        <v/>
      </c>
      <c r="B554" s="24" t="str">
        <f aca="false">IF($A554="","",Payroll!U554)</f>
        <v/>
      </c>
      <c r="C554" s="24" t="str">
        <f aca="false">IF($A554="","",Payroll!S554)</f>
        <v/>
      </c>
      <c r="D554" s="24" t="str">
        <f aca="false">IF($A554="","",SUBSTITUTE(Payroll!T554," ",""))</f>
        <v/>
      </c>
      <c r="E554" s="24" t="str">
        <f aca="false">IF($A554="","",TEXT(Settings!$B$8,"yyyy-mm-dd"))</f>
        <v/>
      </c>
      <c r="F554" s="24" t="str">
        <f aca="false">IF($A554="","",TEXT(Settings!$B$9,"yyyy-mm-dd"))</f>
        <v/>
      </c>
      <c r="G554" s="24" t="str">
        <f aca="false">IF($A554="","",DAY(Settings!$B$9))</f>
        <v/>
      </c>
      <c r="H554" s="26" t="str">
        <f aca="false">IF($A554="","",ROUND(Payroll!R554-Payroll!L554-Payroll!M554,2))</f>
        <v/>
      </c>
      <c r="I554" s="26" t="str">
        <f aca="false">IF($A554="","",ROUND(Payroll!L554+Payroll!M554,2))</f>
        <v/>
      </c>
      <c r="J554" s="24" t="str">
        <f aca="false">IF($A554="","",0)</f>
        <v/>
      </c>
    </row>
    <row r="555" customFormat="false" ht="15" hidden="false" customHeight="false" outlineLevel="0" collapsed="false">
      <c r="A555" s="24" t="str">
        <f aca="false">IF(AND(Payroll!$A555&lt;&gt;"",N(Payroll!$R555)&gt;0),"EDR","")</f>
        <v/>
      </c>
      <c r="B555" s="24" t="str">
        <f aca="false">IF($A555="","",Payroll!U555)</f>
        <v/>
      </c>
      <c r="C555" s="24" t="str">
        <f aca="false">IF($A555="","",Payroll!S555)</f>
        <v/>
      </c>
      <c r="D555" s="24" t="str">
        <f aca="false">IF($A555="","",SUBSTITUTE(Payroll!T555," ",""))</f>
        <v/>
      </c>
      <c r="E555" s="24" t="str">
        <f aca="false">IF($A555="","",TEXT(Settings!$B$8,"yyyy-mm-dd"))</f>
        <v/>
      </c>
      <c r="F555" s="24" t="str">
        <f aca="false">IF($A555="","",TEXT(Settings!$B$9,"yyyy-mm-dd"))</f>
        <v/>
      </c>
      <c r="G555" s="24" t="str">
        <f aca="false">IF($A555="","",DAY(Settings!$B$9))</f>
        <v/>
      </c>
      <c r="H555" s="26" t="str">
        <f aca="false">IF($A555="","",ROUND(Payroll!R555-Payroll!L555-Payroll!M555,2))</f>
        <v/>
      </c>
      <c r="I555" s="26" t="str">
        <f aca="false">IF($A555="","",ROUND(Payroll!L555+Payroll!M555,2))</f>
        <v/>
      </c>
      <c r="J555" s="24" t="str">
        <f aca="false">IF($A555="","",0)</f>
        <v/>
      </c>
    </row>
    <row r="556" customFormat="false" ht="15" hidden="false" customHeight="false" outlineLevel="0" collapsed="false">
      <c r="A556" s="24" t="str">
        <f aca="false">IF(AND(Payroll!$A556&lt;&gt;"",N(Payroll!$R556)&gt;0),"EDR","")</f>
        <v/>
      </c>
      <c r="B556" s="24" t="str">
        <f aca="false">IF($A556="","",Payroll!U556)</f>
        <v/>
      </c>
      <c r="C556" s="24" t="str">
        <f aca="false">IF($A556="","",Payroll!S556)</f>
        <v/>
      </c>
      <c r="D556" s="24" t="str">
        <f aca="false">IF($A556="","",SUBSTITUTE(Payroll!T556," ",""))</f>
        <v/>
      </c>
      <c r="E556" s="24" t="str">
        <f aca="false">IF($A556="","",TEXT(Settings!$B$8,"yyyy-mm-dd"))</f>
        <v/>
      </c>
      <c r="F556" s="24" t="str">
        <f aca="false">IF($A556="","",TEXT(Settings!$B$9,"yyyy-mm-dd"))</f>
        <v/>
      </c>
      <c r="G556" s="24" t="str">
        <f aca="false">IF($A556="","",DAY(Settings!$B$9))</f>
        <v/>
      </c>
      <c r="H556" s="26" t="str">
        <f aca="false">IF($A556="","",ROUND(Payroll!R556-Payroll!L556-Payroll!M556,2))</f>
        <v/>
      </c>
      <c r="I556" s="26" t="str">
        <f aca="false">IF($A556="","",ROUND(Payroll!L556+Payroll!M556,2))</f>
        <v/>
      </c>
      <c r="J556" s="24" t="str">
        <f aca="false">IF($A556="","",0)</f>
        <v/>
      </c>
    </row>
    <row r="557" customFormat="false" ht="15" hidden="false" customHeight="false" outlineLevel="0" collapsed="false">
      <c r="A557" s="24" t="str">
        <f aca="false">IF(AND(Payroll!$A557&lt;&gt;"",N(Payroll!$R557)&gt;0),"EDR","")</f>
        <v/>
      </c>
      <c r="B557" s="24" t="str">
        <f aca="false">IF($A557="","",Payroll!U557)</f>
        <v/>
      </c>
      <c r="C557" s="24" t="str">
        <f aca="false">IF($A557="","",Payroll!S557)</f>
        <v/>
      </c>
      <c r="D557" s="24" t="str">
        <f aca="false">IF($A557="","",SUBSTITUTE(Payroll!T557," ",""))</f>
        <v/>
      </c>
      <c r="E557" s="24" t="str">
        <f aca="false">IF($A557="","",TEXT(Settings!$B$8,"yyyy-mm-dd"))</f>
        <v/>
      </c>
      <c r="F557" s="24" t="str">
        <f aca="false">IF($A557="","",TEXT(Settings!$B$9,"yyyy-mm-dd"))</f>
        <v/>
      </c>
      <c r="G557" s="24" t="str">
        <f aca="false">IF($A557="","",DAY(Settings!$B$9))</f>
        <v/>
      </c>
      <c r="H557" s="26" t="str">
        <f aca="false">IF($A557="","",ROUND(Payroll!R557-Payroll!L557-Payroll!M557,2))</f>
        <v/>
      </c>
      <c r="I557" s="26" t="str">
        <f aca="false">IF($A557="","",ROUND(Payroll!L557+Payroll!M557,2))</f>
        <v/>
      </c>
      <c r="J557" s="24" t="str">
        <f aca="false">IF($A557="","",0)</f>
        <v/>
      </c>
    </row>
    <row r="558" customFormat="false" ht="15" hidden="false" customHeight="false" outlineLevel="0" collapsed="false">
      <c r="A558" s="24" t="str">
        <f aca="false">IF(AND(Payroll!$A558&lt;&gt;"",N(Payroll!$R558)&gt;0),"EDR","")</f>
        <v/>
      </c>
      <c r="B558" s="24" t="str">
        <f aca="false">IF($A558="","",Payroll!U558)</f>
        <v/>
      </c>
      <c r="C558" s="24" t="str">
        <f aca="false">IF($A558="","",Payroll!S558)</f>
        <v/>
      </c>
      <c r="D558" s="24" t="str">
        <f aca="false">IF($A558="","",SUBSTITUTE(Payroll!T558," ",""))</f>
        <v/>
      </c>
      <c r="E558" s="24" t="str">
        <f aca="false">IF($A558="","",TEXT(Settings!$B$8,"yyyy-mm-dd"))</f>
        <v/>
      </c>
      <c r="F558" s="24" t="str">
        <f aca="false">IF($A558="","",TEXT(Settings!$B$9,"yyyy-mm-dd"))</f>
        <v/>
      </c>
      <c r="G558" s="24" t="str">
        <f aca="false">IF($A558="","",DAY(Settings!$B$9))</f>
        <v/>
      </c>
      <c r="H558" s="26" t="str">
        <f aca="false">IF($A558="","",ROUND(Payroll!R558-Payroll!L558-Payroll!M558,2))</f>
        <v/>
      </c>
      <c r="I558" s="26" t="str">
        <f aca="false">IF($A558="","",ROUND(Payroll!L558+Payroll!M558,2))</f>
        <v/>
      </c>
      <c r="J558" s="24" t="str">
        <f aca="false">IF($A558="","",0)</f>
        <v/>
      </c>
    </row>
    <row r="559" customFormat="false" ht="15" hidden="false" customHeight="false" outlineLevel="0" collapsed="false">
      <c r="A559" s="24" t="str">
        <f aca="false">IF(AND(Payroll!$A559&lt;&gt;"",N(Payroll!$R559)&gt;0),"EDR","")</f>
        <v/>
      </c>
      <c r="B559" s="24" t="str">
        <f aca="false">IF($A559="","",Payroll!U559)</f>
        <v/>
      </c>
      <c r="C559" s="24" t="str">
        <f aca="false">IF($A559="","",Payroll!S559)</f>
        <v/>
      </c>
      <c r="D559" s="24" t="str">
        <f aca="false">IF($A559="","",SUBSTITUTE(Payroll!T559," ",""))</f>
        <v/>
      </c>
      <c r="E559" s="24" t="str">
        <f aca="false">IF($A559="","",TEXT(Settings!$B$8,"yyyy-mm-dd"))</f>
        <v/>
      </c>
      <c r="F559" s="24" t="str">
        <f aca="false">IF($A559="","",TEXT(Settings!$B$9,"yyyy-mm-dd"))</f>
        <v/>
      </c>
      <c r="G559" s="24" t="str">
        <f aca="false">IF($A559="","",DAY(Settings!$B$9))</f>
        <v/>
      </c>
      <c r="H559" s="26" t="str">
        <f aca="false">IF($A559="","",ROUND(Payroll!R559-Payroll!L559-Payroll!M559,2))</f>
        <v/>
      </c>
      <c r="I559" s="26" t="str">
        <f aca="false">IF($A559="","",ROUND(Payroll!L559+Payroll!M559,2))</f>
        <v/>
      </c>
      <c r="J559" s="24" t="str">
        <f aca="false">IF($A559="","",0)</f>
        <v/>
      </c>
    </row>
    <row r="560" customFormat="false" ht="15" hidden="false" customHeight="false" outlineLevel="0" collapsed="false">
      <c r="A560" s="24" t="str">
        <f aca="false">IF(AND(Payroll!$A560&lt;&gt;"",N(Payroll!$R560)&gt;0),"EDR","")</f>
        <v/>
      </c>
      <c r="B560" s="24" t="str">
        <f aca="false">IF($A560="","",Payroll!U560)</f>
        <v/>
      </c>
      <c r="C560" s="24" t="str">
        <f aca="false">IF($A560="","",Payroll!S560)</f>
        <v/>
      </c>
      <c r="D560" s="24" t="str">
        <f aca="false">IF($A560="","",SUBSTITUTE(Payroll!T560," ",""))</f>
        <v/>
      </c>
      <c r="E560" s="24" t="str">
        <f aca="false">IF($A560="","",TEXT(Settings!$B$8,"yyyy-mm-dd"))</f>
        <v/>
      </c>
      <c r="F560" s="24" t="str">
        <f aca="false">IF($A560="","",TEXT(Settings!$B$9,"yyyy-mm-dd"))</f>
        <v/>
      </c>
      <c r="G560" s="24" t="str">
        <f aca="false">IF($A560="","",DAY(Settings!$B$9))</f>
        <v/>
      </c>
      <c r="H560" s="26" t="str">
        <f aca="false">IF($A560="","",ROUND(Payroll!R560-Payroll!L560-Payroll!M560,2))</f>
        <v/>
      </c>
      <c r="I560" s="26" t="str">
        <f aca="false">IF($A560="","",ROUND(Payroll!L560+Payroll!M560,2))</f>
        <v/>
      </c>
      <c r="J560" s="24" t="str">
        <f aca="false">IF($A560="","",0)</f>
        <v/>
      </c>
    </row>
    <row r="561" customFormat="false" ht="15" hidden="false" customHeight="false" outlineLevel="0" collapsed="false">
      <c r="A561" s="24" t="str">
        <f aca="false">IF(AND(Payroll!$A561&lt;&gt;"",N(Payroll!$R561)&gt;0),"EDR","")</f>
        <v/>
      </c>
      <c r="B561" s="24" t="str">
        <f aca="false">IF($A561="","",Payroll!U561)</f>
        <v/>
      </c>
      <c r="C561" s="24" t="str">
        <f aca="false">IF($A561="","",Payroll!S561)</f>
        <v/>
      </c>
      <c r="D561" s="24" t="str">
        <f aca="false">IF($A561="","",SUBSTITUTE(Payroll!T561," ",""))</f>
        <v/>
      </c>
      <c r="E561" s="24" t="str">
        <f aca="false">IF($A561="","",TEXT(Settings!$B$8,"yyyy-mm-dd"))</f>
        <v/>
      </c>
      <c r="F561" s="24" t="str">
        <f aca="false">IF($A561="","",TEXT(Settings!$B$9,"yyyy-mm-dd"))</f>
        <v/>
      </c>
      <c r="G561" s="24" t="str">
        <f aca="false">IF($A561="","",DAY(Settings!$B$9))</f>
        <v/>
      </c>
      <c r="H561" s="26" t="str">
        <f aca="false">IF($A561="","",ROUND(Payroll!R561-Payroll!L561-Payroll!M561,2))</f>
        <v/>
      </c>
      <c r="I561" s="26" t="str">
        <f aca="false">IF($A561="","",ROUND(Payroll!L561+Payroll!M561,2))</f>
        <v/>
      </c>
      <c r="J561" s="24" t="str">
        <f aca="false">IF($A561="","",0)</f>
        <v/>
      </c>
    </row>
    <row r="562" customFormat="false" ht="15" hidden="false" customHeight="false" outlineLevel="0" collapsed="false">
      <c r="A562" s="24" t="str">
        <f aca="false">IF(AND(Payroll!$A562&lt;&gt;"",N(Payroll!$R562)&gt;0),"EDR","")</f>
        <v/>
      </c>
      <c r="B562" s="24" t="str">
        <f aca="false">IF($A562="","",Payroll!U562)</f>
        <v/>
      </c>
      <c r="C562" s="24" t="str">
        <f aca="false">IF($A562="","",Payroll!S562)</f>
        <v/>
      </c>
      <c r="D562" s="24" t="str">
        <f aca="false">IF($A562="","",SUBSTITUTE(Payroll!T562," ",""))</f>
        <v/>
      </c>
      <c r="E562" s="24" t="str">
        <f aca="false">IF($A562="","",TEXT(Settings!$B$8,"yyyy-mm-dd"))</f>
        <v/>
      </c>
      <c r="F562" s="24" t="str">
        <f aca="false">IF($A562="","",TEXT(Settings!$B$9,"yyyy-mm-dd"))</f>
        <v/>
      </c>
      <c r="G562" s="24" t="str">
        <f aca="false">IF($A562="","",DAY(Settings!$B$9))</f>
        <v/>
      </c>
      <c r="H562" s="26" t="str">
        <f aca="false">IF($A562="","",ROUND(Payroll!R562-Payroll!L562-Payroll!M562,2))</f>
        <v/>
      </c>
      <c r="I562" s="26" t="str">
        <f aca="false">IF($A562="","",ROUND(Payroll!L562+Payroll!M562,2))</f>
        <v/>
      </c>
      <c r="J562" s="24" t="str">
        <f aca="false">IF($A562="","",0)</f>
        <v/>
      </c>
    </row>
    <row r="563" customFormat="false" ht="15" hidden="false" customHeight="false" outlineLevel="0" collapsed="false">
      <c r="A563" s="24" t="str">
        <f aca="false">IF(AND(Payroll!$A563&lt;&gt;"",N(Payroll!$R563)&gt;0),"EDR","")</f>
        <v/>
      </c>
      <c r="B563" s="24" t="str">
        <f aca="false">IF($A563="","",Payroll!U563)</f>
        <v/>
      </c>
      <c r="C563" s="24" t="str">
        <f aca="false">IF($A563="","",Payroll!S563)</f>
        <v/>
      </c>
      <c r="D563" s="24" t="str">
        <f aca="false">IF($A563="","",SUBSTITUTE(Payroll!T563," ",""))</f>
        <v/>
      </c>
      <c r="E563" s="24" t="str">
        <f aca="false">IF($A563="","",TEXT(Settings!$B$8,"yyyy-mm-dd"))</f>
        <v/>
      </c>
      <c r="F563" s="24" t="str">
        <f aca="false">IF($A563="","",TEXT(Settings!$B$9,"yyyy-mm-dd"))</f>
        <v/>
      </c>
      <c r="G563" s="24" t="str">
        <f aca="false">IF($A563="","",DAY(Settings!$B$9))</f>
        <v/>
      </c>
      <c r="H563" s="26" t="str">
        <f aca="false">IF($A563="","",ROUND(Payroll!R563-Payroll!L563-Payroll!M563,2))</f>
        <v/>
      </c>
      <c r="I563" s="26" t="str">
        <f aca="false">IF($A563="","",ROUND(Payroll!L563+Payroll!M563,2))</f>
        <v/>
      </c>
      <c r="J563" s="24" t="str">
        <f aca="false">IF($A563="","",0)</f>
        <v/>
      </c>
    </row>
    <row r="564" customFormat="false" ht="15" hidden="false" customHeight="false" outlineLevel="0" collapsed="false">
      <c r="A564" s="24" t="str">
        <f aca="false">IF(AND(Payroll!$A564&lt;&gt;"",N(Payroll!$R564)&gt;0),"EDR","")</f>
        <v/>
      </c>
      <c r="B564" s="24" t="str">
        <f aca="false">IF($A564="","",Payroll!U564)</f>
        <v/>
      </c>
      <c r="C564" s="24" t="str">
        <f aca="false">IF($A564="","",Payroll!S564)</f>
        <v/>
      </c>
      <c r="D564" s="24" t="str">
        <f aca="false">IF($A564="","",SUBSTITUTE(Payroll!T564," ",""))</f>
        <v/>
      </c>
      <c r="E564" s="24" t="str">
        <f aca="false">IF($A564="","",TEXT(Settings!$B$8,"yyyy-mm-dd"))</f>
        <v/>
      </c>
      <c r="F564" s="24" t="str">
        <f aca="false">IF($A564="","",TEXT(Settings!$B$9,"yyyy-mm-dd"))</f>
        <v/>
      </c>
      <c r="G564" s="24" t="str">
        <f aca="false">IF($A564="","",DAY(Settings!$B$9))</f>
        <v/>
      </c>
      <c r="H564" s="26" t="str">
        <f aca="false">IF($A564="","",ROUND(Payroll!R564-Payroll!L564-Payroll!M564,2))</f>
        <v/>
      </c>
      <c r="I564" s="26" t="str">
        <f aca="false">IF($A564="","",ROUND(Payroll!L564+Payroll!M564,2))</f>
        <v/>
      </c>
      <c r="J564" s="24" t="str">
        <f aca="false">IF($A564="","",0)</f>
        <v/>
      </c>
    </row>
    <row r="565" customFormat="false" ht="15" hidden="false" customHeight="false" outlineLevel="0" collapsed="false">
      <c r="A565" s="24" t="str">
        <f aca="false">IF(AND(Payroll!$A565&lt;&gt;"",N(Payroll!$R565)&gt;0),"EDR","")</f>
        <v/>
      </c>
      <c r="B565" s="24" t="str">
        <f aca="false">IF($A565="","",Payroll!U565)</f>
        <v/>
      </c>
      <c r="C565" s="24" t="str">
        <f aca="false">IF($A565="","",Payroll!S565)</f>
        <v/>
      </c>
      <c r="D565" s="24" t="str">
        <f aca="false">IF($A565="","",SUBSTITUTE(Payroll!T565," ",""))</f>
        <v/>
      </c>
      <c r="E565" s="24" t="str">
        <f aca="false">IF($A565="","",TEXT(Settings!$B$8,"yyyy-mm-dd"))</f>
        <v/>
      </c>
      <c r="F565" s="24" t="str">
        <f aca="false">IF($A565="","",TEXT(Settings!$B$9,"yyyy-mm-dd"))</f>
        <v/>
      </c>
      <c r="G565" s="24" t="str">
        <f aca="false">IF($A565="","",DAY(Settings!$B$9))</f>
        <v/>
      </c>
      <c r="H565" s="26" t="str">
        <f aca="false">IF($A565="","",ROUND(Payroll!R565-Payroll!L565-Payroll!M565,2))</f>
        <v/>
      </c>
      <c r="I565" s="26" t="str">
        <f aca="false">IF($A565="","",ROUND(Payroll!L565+Payroll!M565,2))</f>
        <v/>
      </c>
      <c r="J565" s="24" t="str">
        <f aca="false">IF($A565="","",0)</f>
        <v/>
      </c>
    </row>
    <row r="566" customFormat="false" ht="15" hidden="false" customHeight="false" outlineLevel="0" collapsed="false">
      <c r="A566" s="24" t="str">
        <f aca="false">IF(AND(Payroll!$A566&lt;&gt;"",N(Payroll!$R566)&gt;0),"EDR","")</f>
        <v/>
      </c>
      <c r="B566" s="24" t="str">
        <f aca="false">IF($A566="","",Payroll!U566)</f>
        <v/>
      </c>
      <c r="C566" s="24" t="str">
        <f aca="false">IF($A566="","",Payroll!S566)</f>
        <v/>
      </c>
      <c r="D566" s="24" t="str">
        <f aca="false">IF($A566="","",SUBSTITUTE(Payroll!T566," ",""))</f>
        <v/>
      </c>
      <c r="E566" s="24" t="str">
        <f aca="false">IF($A566="","",TEXT(Settings!$B$8,"yyyy-mm-dd"))</f>
        <v/>
      </c>
      <c r="F566" s="24" t="str">
        <f aca="false">IF($A566="","",TEXT(Settings!$B$9,"yyyy-mm-dd"))</f>
        <v/>
      </c>
      <c r="G566" s="24" t="str">
        <f aca="false">IF($A566="","",DAY(Settings!$B$9))</f>
        <v/>
      </c>
      <c r="H566" s="26" t="str">
        <f aca="false">IF($A566="","",ROUND(Payroll!R566-Payroll!L566-Payroll!M566,2))</f>
        <v/>
      </c>
      <c r="I566" s="26" t="str">
        <f aca="false">IF($A566="","",ROUND(Payroll!L566+Payroll!M566,2))</f>
        <v/>
      </c>
      <c r="J566" s="24" t="str">
        <f aca="false">IF($A566="","",0)</f>
        <v/>
      </c>
    </row>
    <row r="567" customFormat="false" ht="15" hidden="false" customHeight="false" outlineLevel="0" collapsed="false">
      <c r="A567" s="24" t="str">
        <f aca="false">IF(AND(Payroll!$A567&lt;&gt;"",N(Payroll!$R567)&gt;0),"EDR","")</f>
        <v/>
      </c>
      <c r="B567" s="24" t="str">
        <f aca="false">IF($A567="","",Payroll!U567)</f>
        <v/>
      </c>
      <c r="C567" s="24" t="str">
        <f aca="false">IF($A567="","",Payroll!S567)</f>
        <v/>
      </c>
      <c r="D567" s="24" t="str">
        <f aca="false">IF($A567="","",SUBSTITUTE(Payroll!T567," ",""))</f>
        <v/>
      </c>
      <c r="E567" s="24" t="str">
        <f aca="false">IF($A567="","",TEXT(Settings!$B$8,"yyyy-mm-dd"))</f>
        <v/>
      </c>
      <c r="F567" s="24" t="str">
        <f aca="false">IF($A567="","",TEXT(Settings!$B$9,"yyyy-mm-dd"))</f>
        <v/>
      </c>
      <c r="G567" s="24" t="str">
        <f aca="false">IF($A567="","",DAY(Settings!$B$9))</f>
        <v/>
      </c>
      <c r="H567" s="26" t="str">
        <f aca="false">IF($A567="","",ROUND(Payroll!R567-Payroll!L567-Payroll!M567,2))</f>
        <v/>
      </c>
      <c r="I567" s="26" t="str">
        <f aca="false">IF($A567="","",ROUND(Payroll!L567+Payroll!M567,2))</f>
        <v/>
      </c>
      <c r="J567" s="24" t="str">
        <f aca="false">IF($A567="","",0)</f>
        <v/>
      </c>
    </row>
    <row r="568" customFormat="false" ht="15" hidden="false" customHeight="false" outlineLevel="0" collapsed="false">
      <c r="A568" s="24" t="str">
        <f aca="false">IF(AND(Payroll!$A568&lt;&gt;"",N(Payroll!$R568)&gt;0),"EDR","")</f>
        <v/>
      </c>
      <c r="B568" s="24" t="str">
        <f aca="false">IF($A568="","",Payroll!U568)</f>
        <v/>
      </c>
      <c r="C568" s="24" t="str">
        <f aca="false">IF($A568="","",Payroll!S568)</f>
        <v/>
      </c>
      <c r="D568" s="24" t="str">
        <f aca="false">IF($A568="","",SUBSTITUTE(Payroll!T568," ",""))</f>
        <v/>
      </c>
      <c r="E568" s="24" t="str">
        <f aca="false">IF($A568="","",TEXT(Settings!$B$8,"yyyy-mm-dd"))</f>
        <v/>
      </c>
      <c r="F568" s="24" t="str">
        <f aca="false">IF($A568="","",TEXT(Settings!$B$9,"yyyy-mm-dd"))</f>
        <v/>
      </c>
      <c r="G568" s="24" t="str">
        <f aca="false">IF($A568="","",DAY(Settings!$B$9))</f>
        <v/>
      </c>
      <c r="H568" s="26" t="str">
        <f aca="false">IF($A568="","",ROUND(Payroll!R568-Payroll!L568-Payroll!M568,2))</f>
        <v/>
      </c>
      <c r="I568" s="26" t="str">
        <f aca="false">IF($A568="","",ROUND(Payroll!L568+Payroll!M568,2))</f>
        <v/>
      </c>
      <c r="J568" s="24" t="str">
        <f aca="false">IF($A568="","",0)</f>
        <v/>
      </c>
    </row>
    <row r="569" customFormat="false" ht="15" hidden="false" customHeight="false" outlineLevel="0" collapsed="false">
      <c r="A569" s="24" t="str">
        <f aca="false">IF(AND(Payroll!$A569&lt;&gt;"",N(Payroll!$R569)&gt;0),"EDR","")</f>
        <v/>
      </c>
      <c r="B569" s="24" t="str">
        <f aca="false">IF($A569="","",Payroll!U569)</f>
        <v/>
      </c>
      <c r="C569" s="24" t="str">
        <f aca="false">IF($A569="","",Payroll!S569)</f>
        <v/>
      </c>
      <c r="D569" s="24" t="str">
        <f aca="false">IF($A569="","",SUBSTITUTE(Payroll!T569," ",""))</f>
        <v/>
      </c>
      <c r="E569" s="24" t="str">
        <f aca="false">IF($A569="","",TEXT(Settings!$B$8,"yyyy-mm-dd"))</f>
        <v/>
      </c>
      <c r="F569" s="24" t="str">
        <f aca="false">IF($A569="","",TEXT(Settings!$B$9,"yyyy-mm-dd"))</f>
        <v/>
      </c>
      <c r="G569" s="24" t="str">
        <f aca="false">IF($A569="","",DAY(Settings!$B$9))</f>
        <v/>
      </c>
      <c r="H569" s="26" t="str">
        <f aca="false">IF($A569="","",ROUND(Payroll!R569-Payroll!L569-Payroll!M569,2))</f>
        <v/>
      </c>
      <c r="I569" s="26" t="str">
        <f aca="false">IF($A569="","",ROUND(Payroll!L569+Payroll!M569,2))</f>
        <v/>
      </c>
      <c r="J569" s="24" t="str">
        <f aca="false">IF($A569="","",0)</f>
        <v/>
      </c>
    </row>
    <row r="570" customFormat="false" ht="15" hidden="false" customHeight="false" outlineLevel="0" collapsed="false">
      <c r="A570" s="24" t="str">
        <f aca="false">IF(AND(Payroll!$A570&lt;&gt;"",N(Payroll!$R570)&gt;0),"EDR","")</f>
        <v/>
      </c>
      <c r="B570" s="24" t="str">
        <f aca="false">IF($A570="","",Payroll!U570)</f>
        <v/>
      </c>
      <c r="C570" s="24" t="str">
        <f aca="false">IF($A570="","",Payroll!S570)</f>
        <v/>
      </c>
      <c r="D570" s="24" t="str">
        <f aca="false">IF($A570="","",SUBSTITUTE(Payroll!T570," ",""))</f>
        <v/>
      </c>
      <c r="E570" s="24" t="str">
        <f aca="false">IF($A570="","",TEXT(Settings!$B$8,"yyyy-mm-dd"))</f>
        <v/>
      </c>
      <c r="F570" s="24" t="str">
        <f aca="false">IF($A570="","",TEXT(Settings!$B$9,"yyyy-mm-dd"))</f>
        <v/>
      </c>
      <c r="G570" s="24" t="str">
        <f aca="false">IF($A570="","",DAY(Settings!$B$9))</f>
        <v/>
      </c>
      <c r="H570" s="26" t="str">
        <f aca="false">IF($A570="","",ROUND(Payroll!R570-Payroll!L570-Payroll!M570,2))</f>
        <v/>
      </c>
      <c r="I570" s="26" t="str">
        <f aca="false">IF($A570="","",ROUND(Payroll!L570+Payroll!M570,2))</f>
        <v/>
      </c>
      <c r="J570" s="24" t="str">
        <f aca="false">IF($A570="","",0)</f>
        <v/>
      </c>
    </row>
    <row r="571" customFormat="false" ht="15" hidden="false" customHeight="false" outlineLevel="0" collapsed="false">
      <c r="A571" s="24" t="str">
        <f aca="false">IF(AND(Payroll!$A571&lt;&gt;"",N(Payroll!$R571)&gt;0),"EDR","")</f>
        <v/>
      </c>
      <c r="B571" s="24" t="str">
        <f aca="false">IF($A571="","",Payroll!U571)</f>
        <v/>
      </c>
      <c r="C571" s="24" t="str">
        <f aca="false">IF($A571="","",Payroll!S571)</f>
        <v/>
      </c>
      <c r="D571" s="24" t="str">
        <f aca="false">IF($A571="","",SUBSTITUTE(Payroll!T571," ",""))</f>
        <v/>
      </c>
      <c r="E571" s="24" t="str">
        <f aca="false">IF($A571="","",TEXT(Settings!$B$8,"yyyy-mm-dd"))</f>
        <v/>
      </c>
      <c r="F571" s="24" t="str">
        <f aca="false">IF($A571="","",TEXT(Settings!$B$9,"yyyy-mm-dd"))</f>
        <v/>
      </c>
      <c r="G571" s="24" t="str">
        <f aca="false">IF($A571="","",DAY(Settings!$B$9))</f>
        <v/>
      </c>
      <c r="H571" s="26" t="str">
        <f aca="false">IF($A571="","",ROUND(Payroll!R571-Payroll!L571-Payroll!M571,2))</f>
        <v/>
      </c>
      <c r="I571" s="26" t="str">
        <f aca="false">IF($A571="","",ROUND(Payroll!L571+Payroll!M571,2))</f>
        <v/>
      </c>
      <c r="J571" s="24" t="str">
        <f aca="false">IF($A571="","",0)</f>
        <v/>
      </c>
    </row>
    <row r="572" customFormat="false" ht="15" hidden="false" customHeight="false" outlineLevel="0" collapsed="false">
      <c r="A572" s="24" t="str">
        <f aca="false">IF(AND(Payroll!$A572&lt;&gt;"",N(Payroll!$R572)&gt;0),"EDR","")</f>
        <v/>
      </c>
      <c r="B572" s="24" t="str">
        <f aca="false">IF($A572="","",Payroll!U572)</f>
        <v/>
      </c>
      <c r="C572" s="24" t="str">
        <f aca="false">IF($A572="","",Payroll!S572)</f>
        <v/>
      </c>
      <c r="D572" s="24" t="str">
        <f aca="false">IF($A572="","",SUBSTITUTE(Payroll!T572," ",""))</f>
        <v/>
      </c>
      <c r="E572" s="24" t="str">
        <f aca="false">IF($A572="","",TEXT(Settings!$B$8,"yyyy-mm-dd"))</f>
        <v/>
      </c>
      <c r="F572" s="24" t="str">
        <f aca="false">IF($A572="","",TEXT(Settings!$B$9,"yyyy-mm-dd"))</f>
        <v/>
      </c>
      <c r="G572" s="24" t="str">
        <f aca="false">IF($A572="","",DAY(Settings!$B$9))</f>
        <v/>
      </c>
      <c r="H572" s="26" t="str">
        <f aca="false">IF($A572="","",ROUND(Payroll!R572-Payroll!L572-Payroll!M572,2))</f>
        <v/>
      </c>
      <c r="I572" s="26" t="str">
        <f aca="false">IF($A572="","",ROUND(Payroll!L572+Payroll!M572,2))</f>
        <v/>
      </c>
      <c r="J572" s="24" t="str">
        <f aca="false">IF($A572="","",0)</f>
        <v/>
      </c>
    </row>
    <row r="573" customFormat="false" ht="15" hidden="false" customHeight="false" outlineLevel="0" collapsed="false">
      <c r="A573" s="24" t="str">
        <f aca="false">IF(AND(Payroll!$A573&lt;&gt;"",N(Payroll!$R573)&gt;0),"EDR","")</f>
        <v/>
      </c>
      <c r="B573" s="24" t="str">
        <f aca="false">IF($A573="","",Payroll!U573)</f>
        <v/>
      </c>
      <c r="C573" s="24" t="str">
        <f aca="false">IF($A573="","",Payroll!S573)</f>
        <v/>
      </c>
      <c r="D573" s="24" t="str">
        <f aca="false">IF($A573="","",SUBSTITUTE(Payroll!T573," ",""))</f>
        <v/>
      </c>
      <c r="E573" s="24" t="str">
        <f aca="false">IF($A573="","",TEXT(Settings!$B$8,"yyyy-mm-dd"))</f>
        <v/>
      </c>
      <c r="F573" s="24" t="str">
        <f aca="false">IF($A573="","",TEXT(Settings!$B$9,"yyyy-mm-dd"))</f>
        <v/>
      </c>
      <c r="G573" s="24" t="str">
        <f aca="false">IF($A573="","",DAY(Settings!$B$9))</f>
        <v/>
      </c>
      <c r="H573" s="26" t="str">
        <f aca="false">IF($A573="","",ROUND(Payroll!R573-Payroll!L573-Payroll!M573,2))</f>
        <v/>
      </c>
      <c r="I573" s="26" t="str">
        <f aca="false">IF($A573="","",ROUND(Payroll!L573+Payroll!M573,2))</f>
        <v/>
      </c>
      <c r="J573" s="24" t="str">
        <f aca="false">IF($A573="","",0)</f>
        <v/>
      </c>
    </row>
    <row r="574" customFormat="false" ht="15" hidden="false" customHeight="false" outlineLevel="0" collapsed="false">
      <c r="A574" s="24" t="str">
        <f aca="false">IF(AND(Payroll!$A574&lt;&gt;"",N(Payroll!$R574)&gt;0),"EDR","")</f>
        <v/>
      </c>
      <c r="B574" s="24" t="str">
        <f aca="false">IF($A574="","",Payroll!U574)</f>
        <v/>
      </c>
      <c r="C574" s="24" t="str">
        <f aca="false">IF($A574="","",Payroll!S574)</f>
        <v/>
      </c>
      <c r="D574" s="24" t="str">
        <f aca="false">IF($A574="","",SUBSTITUTE(Payroll!T574," ",""))</f>
        <v/>
      </c>
      <c r="E574" s="24" t="str">
        <f aca="false">IF($A574="","",TEXT(Settings!$B$8,"yyyy-mm-dd"))</f>
        <v/>
      </c>
      <c r="F574" s="24" t="str">
        <f aca="false">IF($A574="","",TEXT(Settings!$B$9,"yyyy-mm-dd"))</f>
        <v/>
      </c>
      <c r="G574" s="24" t="str">
        <f aca="false">IF($A574="","",DAY(Settings!$B$9))</f>
        <v/>
      </c>
      <c r="H574" s="26" t="str">
        <f aca="false">IF($A574="","",ROUND(Payroll!R574-Payroll!L574-Payroll!M574,2))</f>
        <v/>
      </c>
      <c r="I574" s="26" t="str">
        <f aca="false">IF($A574="","",ROUND(Payroll!L574+Payroll!M574,2))</f>
        <v/>
      </c>
      <c r="J574" s="24" t="str">
        <f aca="false">IF($A574="","",0)</f>
        <v/>
      </c>
    </row>
    <row r="575" customFormat="false" ht="15" hidden="false" customHeight="false" outlineLevel="0" collapsed="false">
      <c r="A575" s="24" t="str">
        <f aca="false">IF(AND(Payroll!$A575&lt;&gt;"",N(Payroll!$R575)&gt;0),"EDR","")</f>
        <v/>
      </c>
      <c r="B575" s="24" t="str">
        <f aca="false">IF($A575="","",Payroll!U575)</f>
        <v/>
      </c>
      <c r="C575" s="24" t="str">
        <f aca="false">IF($A575="","",Payroll!S575)</f>
        <v/>
      </c>
      <c r="D575" s="24" t="str">
        <f aca="false">IF($A575="","",SUBSTITUTE(Payroll!T575," ",""))</f>
        <v/>
      </c>
      <c r="E575" s="24" t="str">
        <f aca="false">IF($A575="","",TEXT(Settings!$B$8,"yyyy-mm-dd"))</f>
        <v/>
      </c>
      <c r="F575" s="24" t="str">
        <f aca="false">IF($A575="","",TEXT(Settings!$B$9,"yyyy-mm-dd"))</f>
        <v/>
      </c>
      <c r="G575" s="24" t="str">
        <f aca="false">IF($A575="","",DAY(Settings!$B$9))</f>
        <v/>
      </c>
      <c r="H575" s="26" t="str">
        <f aca="false">IF($A575="","",ROUND(Payroll!R575-Payroll!L575-Payroll!M575,2))</f>
        <v/>
      </c>
      <c r="I575" s="26" t="str">
        <f aca="false">IF($A575="","",ROUND(Payroll!L575+Payroll!M575,2))</f>
        <v/>
      </c>
      <c r="J575" s="24" t="str">
        <f aca="false">IF($A575="","",0)</f>
        <v/>
      </c>
    </row>
    <row r="576" customFormat="false" ht="15" hidden="false" customHeight="false" outlineLevel="0" collapsed="false">
      <c r="A576" s="24" t="str">
        <f aca="false">IF(AND(Payroll!$A576&lt;&gt;"",N(Payroll!$R576)&gt;0),"EDR","")</f>
        <v/>
      </c>
      <c r="B576" s="24" t="str">
        <f aca="false">IF($A576="","",Payroll!U576)</f>
        <v/>
      </c>
      <c r="C576" s="24" t="str">
        <f aca="false">IF($A576="","",Payroll!S576)</f>
        <v/>
      </c>
      <c r="D576" s="24" t="str">
        <f aca="false">IF($A576="","",SUBSTITUTE(Payroll!T576," ",""))</f>
        <v/>
      </c>
      <c r="E576" s="24" t="str">
        <f aca="false">IF($A576="","",TEXT(Settings!$B$8,"yyyy-mm-dd"))</f>
        <v/>
      </c>
      <c r="F576" s="24" t="str">
        <f aca="false">IF($A576="","",TEXT(Settings!$B$9,"yyyy-mm-dd"))</f>
        <v/>
      </c>
      <c r="G576" s="24" t="str">
        <f aca="false">IF($A576="","",DAY(Settings!$B$9))</f>
        <v/>
      </c>
      <c r="H576" s="26" t="str">
        <f aca="false">IF($A576="","",ROUND(Payroll!R576-Payroll!L576-Payroll!M576,2))</f>
        <v/>
      </c>
      <c r="I576" s="26" t="str">
        <f aca="false">IF($A576="","",ROUND(Payroll!L576+Payroll!M576,2))</f>
        <v/>
      </c>
      <c r="J576" s="24" t="str">
        <f aca="false">IF($A576="","",0)</f>
        <v/>
      </c>
    </row>
    <row r="577" customFormat="false" ht="15" hidden="false" customHeight="false" outlineLevel="0" collapsed="false">
      <c r="A577" s="24" t="str">
        <f aca="false">IF(AND(Payroll!$A577&lt;&gt;"",N(Payroll!$R577)&gt;0),"EDR","")</f>
        <v/>
      </c>
      <c r="B577" s="24" t="str">
        <f aca="false">IF($A577="","",Payroll!U577)</f>
        <v/>
      </c>
      <c r="C577" s="24" t="str">
        <f aca="false">IF($A577="","",Payroll!S577)</f>
        <v/>
      </c>
      <c r="D577" s="24" t="str">
        <f aca="false">IF($A577="","",SUBSTITUTE(Payroll!T577," ",""))</f>
        <v/>
      </c>
      <c r="E577" s="24" t="str">
        <f aca="false">IF($A577="","",TEXT(Settings!$B$8,"yyyy-mm-dd"))</f>
        <v/>
      </c>
      <c r="F577" s="24" t="str">
        <f aca="false">IF($A577="","",TEXT(Settings!$B$9,"yyyy-mm-dd"))</f>
        <v/>
      </c>
      <c r="G577" s="24" t="str">
        <f aca="false">IF($A577="","",DAY(Settings!$B$9))</f>
        <v/>
      </c>
      <c r="H577" s="26" t="str">
        <f aca="false">IF($A577="","",ROUND(Payroll!R577-Payroll!L577-Payroll!M577,2))</f>
        <v/>
      </c>
      <c r="I577" s="26" t="str">
        <f aca="false">IF($A577="","",ROUND(Payroll!L577+Payroll!M577,2))</f>
        <v/>
      </c>
      <c r="J577" s="24" t="str">
        <f aca="false">IF($A577="","",0)</f>
        <v/>
      </c>
    </row>
    <row r="578" customFormat="false" ht="15" hidden="false" customHeight="false" outlineLevel="0" collapsed="false">
      <c r="A578" s="24" t="str">
        <f aca="false">IF(AND(Payroll!$A578&lt;&gt;"",N(Payroll!$R578)&gt;0),"EDR","")</f>
        <v/>
      </c>
      <c r="B578" s="24" t="str">
        <f aca="false">IF($A578="","",Payroll!U578)</f>
        <v/>
      </c>
      <c r="C578" s="24" t="str">
        <f aca="false">IF($A578="","",Payroll!S578)</f>
        <v/>
      </c>
      <c r="D578" s="24" t="str">
        <f aca="false">IF($A578="","",SUBSTITUTE(Payroll!T578," ",""))</f>
        <v/>
      </c>
      <c r="E578" s="24" t="str">
        <f aca="false">IF($A578="","",TEXT(Settings!$B$8,"yyyy-mm-dd"))</f>
        <v/>
      </c>
      <c r="F578" s="24" t="str">
        <f aca="false">IF($A578="","",TEXT(Settings!$B$9,"yyyy-mm-dd"))</f>
        <v/>
      </c>
      <c r="G578" s="24" t="str">
        <f aca="false">IF($A578="","",DAY(Settings!$B$9))</f>
        <v/>
      </c>
      <c r="H578" s="26" t="str">
        <f aca="false">IF($A578="","",ROUND(Payroll!R578-Payroll!L578-Payroll!M578,2))</f>
        <v/>
      </c>
      <c r="I578" s="26" t="str">
        <f aca="false">IF($A578="","",ROUND(Payroll!L578+Payroll!M578,2))</f>
        <v/>
      </c>
      <c r="J578" s="24" t="str">
        <f aca="false">IF($A578="","",0)</f>
        <v/>
      </c>
    </row>
    <row r="579" customFormat="false" ht="15" hidden="false" customHeight="false" outlineLevel="0" collapsed="false">
      <c r="A579" s="24" t="str">
        <f aca="false">IF(AND(Payroll!$A579&lt;&gt;"",N(Payroll!$R579)&gt;0),"EDR","")</f>
        <v/>
      </c>
      <c r="B579" s="24" t="str">
        <f aca="false">IF($A579="","",Payroll!U579)</f>
        <v/>
      </c>
      <c r="C579" s="24" t="str">
        <f aca="false">IF($A579="","",Payroll!S579)</f>
        <v/>
      </c>
      <c r="D579" s="24" t="str">
        <f aca="false">IF($A579="","",SUBSTITUTE(Payroll!T579," ",""))</f>
        <v/>
      </c>
      <c r="E579" s="24" t="str">
        <f aca="false">IF($A579="","",TEXT(Settings!$B$8,"yyyy-mm-dd"))</f>
        <v/>
      </c>
      <c r="F579" s="24" t="str">
        <f aca="false">IF($A579="","",TEXT(Settings!$B$9,"yyyy-mm-dd"))</f>
        <v/>
      </c>
      <c r="G579" s="24" t="str">
        <f aca="false">IF($A579="","",DAY(Settings!$B$9))</f>
        <v/>
      </c>
      <c r="H579" s="26" t="str">
        <f aca="false">IF($A579="","",ROUND(Payroll!R579-Payroll!L579-Payroll!M579,2))</f>
        <v/>
      </c>
      <c r="I579" s="26" t="str">
        <f aca="false">IF($A579="","",ROUND(Payroll!L579+Payroll!M579,2))</f>
        <v/>
      </c>
      <c r="J579" s="24" t="str">
        <f aca="false">IF($A579="","",0)</f>
        <v/>
      </c>
    </row>
    <row r="580" customFormat="false" ht="15" hidden="false" customHeight="false" outlineLevel="0" collapsed="false">
      <c r="A580" s="24" t="str">
        <f aca="false">IF(AND(Payroll!$A580&lt;&gt;"",N(Payroll!$R580)&gt;0),"EDR","")</f>
        <v/>
      </c>
      <c r="B580" s="24" t="str">
        <f aca="false">IF($A580="","",Payroll!U580)</f>
        <v/>
      </c>
      <c r="C580" s="24" t="str">
        <f aca="false">IF($A580="","",Payroll!S580)</f>
        <v/>
      </c>
      <c r="D580" s="24" t="str">
        <f aca="false">IF($A580="","",SUBSTITUTE(Payroll!T580," ",""))</f>
        <v/>
      </c>
      <c r="E580" s="24" t="str">
        <f aca="false">IF($A580="","",TEXT(Settings!$B$8,"yyyy-mm-dd"))</f>
        <v/>
      </c>
      <c r="F580" s="24" t="str">
        <f aca="false">IF($A580="","",TEXT(Settings!$B$9,"yyyy-mm-dd"))</f>
        <v/>
      </c>
      <c r="G580" s="24" t="str">
        <f aca="false">IF($A580="","",DAY(Settings!$B$9))</f>
        <v/>
      </c>
      <c r="H580" s="26" t="str">
        <f aca="false">IF($A580="","",ROUND(Payroll!R580-Payroll!L580-Payroll!M580,2))</f>
        <v/>
      </c>
      <c r="I580" s="26" t="str">
        <f aca="false">IF($A580="","",ROUND(Payroll!L580+Payroll!M580,2))</f>
        <v/>
      </c>
      <c r="J580" s="24" t="str">
        <f aca="false">IF($A580="","",0)</f>
        <v/>
      </c>
    </row>
    <row r="581" customFormat="false" ht="15" hidden="false" customHeight="false" outlineLevel="0" collapsed="false">
      <c r="A581" s="24" t="str">
        <f aca="false">IF(AND(Payroll!$A581&lt;&gt;"",N(Payroll!$R581)&gt;0),"EDR","")</f>
        <v/>
      </c>
      <c r="B581" s="24" t="str">
        <f aca="false">IF($A581="","",Payroll!U581)</f>
        <v/>
      </c>
      <c r="C581" s="24" t="str">
        <f aca="false">IF($A581="","",Payroll!S581)</f>
        <v/>
      </c>
      <c r="D581" s="24" t="str">
        <f aca="false">IF($A581="","",SUBSTITUTE(Payroll!T581," ",""))</f>
        <v/>
      </c>
      <c r="E581" s="24" t="str">
        <f aca="false">IF($A581="","",TEXT(Settings!$B$8,"yyyy-mm-dd"))</f>
        <v/>
      </c>
      <c r="F581" s="24" t="str">
        <f aca="false">IF($A581="","",TEXT(Settings!$B$9,"yyyy-mm-dd"))</f>
        <v/>
      </c>
      <c r="G581" s="24" t="str">
        <f aca="false">IF($A581="","",DAY(Settings!$B$9))</f>
        <v/>
      </c>
      <c r="H581" s="26" t="str">
        <f aca="false">IF($A581="","",ROUND(Payroll!R581-Payroll!L581-Payroll!M581,2))</f>
        <v/>
      </c>
      <c r="I581" s="26" t="str">
        <f aca="false">IF($A581="","",ROUND(Payroll!L581+Payroll!M581,2))</f>
        <v/>
      </c>
      <c r="J581" s="24" t="str">
        <f aca="false">IF($A581="","",0)</f>
        <v/>
      </c>
    </row>
    <row r="582" customFormat="false" ht="15" hidden="false" customHeight="false" outlineLevel="0" collapsed="false">
      <c r="A582" s="24" t="str">
        <f aca="false">IF(AND(Payroll!$A582&lt;&gt;"",N(Payroll!$R582)&gt;0),"EDR","")</f>
        <v/>
      </c>
      <c r="B582" s="24" t="str">
        <f aca="false">IF($A582="","",Payroll!U582)</f>
        <v/>
      </c>
      <c r="C582" s="24" t="str">
        <f aca="false">IF($A582="","",Payroll!S582)</f>
        <v/>
      </c>
      <c r="D582" s="24" t="str">
        <f aca="false">IF($A582="","",SUBSTITUTE(Payroll!T582," ",""))</f>
        <v/>
      </c>
      <c r="E582" s="24" t="str">
        <f aca="false">IF($A582="","",TEXT(Settings!$B$8,"yyyy-mm-dd"))</f>
        <v/>
      </c>
      <c r="F582" s="24" t="str">
        <f aca="false">IF($A582="","",TEXT(Settings!$B$9,"yyyy-mm-dd"))</f>
        <v/>
      </c>
      <c r="G582" s="24" t="str">
        <f aca="false">IF($A582="","",DAY(Settings!$B$9))</f>
        <v/>
      </c>
      <c r="H582" s="26" t="str">
        <f aca="false">IF($A582="","",ROUND(Payroll!R582-Payroll!L582-Payroll!M582,2))</f>
        <v/>
      </c>
      <c r="I582" s="26" t="str">
        <f aca="false">IF($A582="","",ROUND(Payroll!L582+Payroll!M582,2))</f>
        <v/>
      </c>
      <c r="J582" s="24" t="str">
        <f aca="false">IF($A582="","",0)</f>
        <v/>
      </c>
    </row>
    <row r="583" customFormat="false" ht="15" hidden="false" customHeight="false" outlineLevel="0" collapsed="false">
      <c r="A583" s="24" t="str">
        <f aca="false">IF(AND(Payroll!$A583&lt;&gt;"",N(Payroll!$R583)&gt;0),"EDR","")</f>
        <v/>
      </c>
      <c r="B583" s="24" t="str">
        <f aca="false">IF($A583="","",Payroll!U583)</f>
        <v/>
      </c>
      <c r="C583" s="24" t="str">
        <f aca="false">IF($A583="","",Payroll!S583)</f>
        <v/>
      </c>
      <c r="D583" s="24" t="str">
        <f aca="false">IF($A583="","",SUBSTITUTE(Payroll!T583," ",""))</f>
        <v/>
      </c>
      <c r="E583" s="24" t="str">
        <f aca="false">IF($A583="","",TEXT(Settings!$B$8,"yyyy-mm-dd"))</f>
        <v/>
      </c>
      <c r="F583" s="24" t="str">
        <f aca="false">IF($A583="","",TEXT(Settings!$B$9,"yyyy-mm-dd"))</f>
        <v/>
      </c>
      <c r="G583" s="24" t="str">
        <f aca="false">IF($A583="","",DAY(Settings!$B$9))</f>
        <v/>
      </c>
      <c r="H583" s="26" t="str">
        <f aca="false">IF($A583="","",ROUND(Payroll!R583-Payroll!L583-Payroll!M583,2))</f>
        <v/>
      </c>
      <c r="I583" s="26" t="str">
        <f aca="false">IF($A583="","",ROUND(Payroll!L583+Payroll!M583,2))</f>
        <v/>
      </c>
      <c r="J583" s="24" t="str">
        <f aca="false">IF($A583="","",0)</f>
        <v/>
      </c>
    </row>
    <row r="584" customFormat="false" ht="15" hidden="false" customHeight="false" outlineLevel="0" collapsed="false">
      <c r="A584" s="24" t="str">
        <f aca="false">IF(AND(Payroll!$A584&lt;&gt;"",N(Payroll!$R584)&gt;0),"EDR","")</f>
        <v/>
      </c>
      <c r="B584" s="24" t="str">
        <f aca="false">IF($A584="","",Payroll!U584)</f>
        <v/>
      </c>
      <c r="C584" s="24" t="str">
        <f aca="false">IF($A584="","",Payroll!S584)</f>
        <v/>
      </c>
      <c r="D584" s="24" t="str">
        <f aca="false">IF($A584="","",SUBSTITUTE(Payroll!T584," ",""))</f>
        <v/>
      </c>
      <c r="E584" s="24" t="str">
        <f aca="false">IF($A584="","",TEXT(Settings!$B$8,"yyyy-mm-dd"))</f>
        <v/>
      </c>
      <c r="F584" s="24" t="str">
        <f aca="false">IF($A584="","",TEXT(Settings!$B$9,"yyyy-mm-dd"))</f>
        <v/>
      </c>
      <c r="G584" s="24" t="str">
        <f aca="false">IF($A584="","",DAY(Settings!$B$9))</f>
        <v/>
      </c>
      <c r="H584" s="26" t="str">
        <f aca="false">IF($A584="","",ROUND(Payroll!R584-Payroll!L584-Payroll!M584,2))</f>
        <v/>
      </c>
      <c r="I584" s="26" t="str">
        <f aca="false">IF($A584="","",ROUND(Payroll!L584+Payroll!M584,2))</f>
        <v/>
      </c>
      <c r="J584" s="24" t="str">
        <f aca="false">IF($A584="","",0)</f>
        <v/>
      </c>
    </row>
    <row r="585" customFormat="false" ht="15" hidden="false" customHeight="false" outlineLevel="0" collapsed="false">
      <c r="A585" s="24" t="str">
        <f aca="false">IF(AND(Payroll!$A585&lt;&gt;"",N(Payroll!$R585)&gt;0),"EDR","")</f>
        <v/>
      </c>
      <c r="B585" s="24" t="str">
        <f aca="false">IF($A585="","",Payroll!U585)</f>
        <v/>
      </c>
      <c r="C585" s="24" t="str">
        <f aca="false">IF($A585="","",Payroll!S585)</f>
        <v/>
      </c>
      <c r="D585" s="24" t="str">
        <f aca="false">IF($A585="","",SUBSTITUTE(Payroll!T585," ",""))</f>
        <v/>
      </c>
      <c r="E585" s="24" t="str">
        <f aca="false">IF($A585="","",TEXT(Settings!$B$8,"yyyy-mm-dd"))</f>
        <v/>
      </c>
      <c r="F585" s="24" t="str">
        <f aca="false">IF($A585="","",TEXT(Settings!$B$9,"yyyy-mm-dd"))</f>
        <v/>
      </c>
      <c r="G585" s="24" t="str">
        <f aca="false">IF($A585="","",DAY(Settings!$B$9))</f>
        <v/>
      </c>
      <c r="H585" s="26" t="str">
        <f aca="false">IF($A585="","",ROUND(Payroll!R585-Payroll!L585-Payroll!M585,2))</f>
        <v/>
      </c>
      <c r="I585" s="26" t="str">
        <f aca="false">IF($A585="","",ROUND(Payroll!L585+Payroll!M585,2))</f>
        <v/>
      </c>
      <c r="J585" s="24" t="str">
        <f aca="false">IF($A585="","",0)</f>
        <v/>
      </c>
    </row>
    <row r="586" customFormat="false" ht="15" hidden="false" customHeight="false" outlineLevel="0" collapsed="false">
      <c r="A586" s="24" t="str">
        <f aca="false">IF(AND(Payroll!$A586&lt;&gt;"",N(Payroll!$R586)&gt;0),"EDR","")</f>
        <v/>
      </c>
      <c r="B586" s="24" t="str">
        <f aca="false">IF($A586="","",Payroll!U586)</f>
        <v/>
      </c>
      <c r="C586" s="24" t="str">
        <f aca="false">IF($A586="","",Payroll!S586)</f>
        <v/>
      </c>
      <c r="D586" s="24" t="str">
        <f aca="false">IF($A586="","",SUBSTITUTE(Payroll!T586," ",""))</f>
        <v/>
      </c>
      <c r="E586" s="24" t="str">
        <f aca="false">IF($A586="","",TEXT(Settings!$B$8,"yyyy-mm-dd"))</f>
        <v/>
      </c>
      <c r="F586" s="24" t="str">
        <f aca="false">IF($A586="","",TEXT(Settings!$B$9,"yyyy-mm-dd"))</f>
        <v/>
      </c>
      <c r="G586" s="24" t="str">
        <f aca="false">IF($A586="","",DAY(Settings!$B$9))</f>
        <v/>
      </c>
      <c r="H586" s="26" t="str">
        <f aca="false">IF($A586="","",ROUND(Payroll!R586-Payroll!L586-Payroll!M586,2))</f>
        <v/>
      </c>
      <c r="I586" s="26" t="str">
        <f aca="false">IF($A586="","",ROUND(Payroll!L586+Payroll!M586,2))</f>
        <v/>
      </c>
      <c r="J586" s="24" t="str">
        <f aca="false">IF($A586="","",0)</f>
        <v/>
      </c>
    </row>
    <row r="587" customFormat="false" ht="15" hidden="false" customHeight="false" outlineLevel="0" collapsed="false">
      <c r="A587" s="24" t="str">
        <f aca="false">IF(AND(Payroll!$A587&lt;&gt;"",N(Payroll!$R587)&gt;0),"EDR","")</f>
        <v/>
      </c>
      <c r="B587" s="24" t="str">
        <f aca="false">IF($A587="","",Payroll!U587)</f>
        <v/>
      </c>
      <c r="C587" s="24" t="str">
        <f aca="false">IF($A587="","",Payroll!S587)</f>
        <v/>
      </c>
      <c r="D587" s="24" t="str">
        <f aca="false">IF($A587="","",SUBSTITUTE(Payroll!T587," ",""))</f>
        <v/>
      </c>
      <c r="E587" s="24" t="str">
        <f aca="false">IF($A587="","",TEXT(Settings!$B$8,"yyyy-mm-dd"))</f>
        <v/>
      </c>
      <c r="F587" s="24" t="str">
        <f aca="false">IF($A587="","",TEXT(Settings!$B$9,"yyyy-mm-dd"))</f>
        <v/>
      </c>
      <c r="G587" s="24" t="str">
        <f aca="false">IF($A587="","",DAY(Settings!$B$9))</f>
        <v/>
      </c>
      <c r="H587" s="26" t="str">
        <f aca="false">IF($A587="","",ROUND(Payroll!R587-Payroll!L587-Payroll!M587,2))</f>
        <v/>
      </c>
      <c r="I587" s="26" t="str">
        <f aca="false">IF($A587="","",ROUND(Payroll!L587+Payroll!M587,2))</f>
        <v/>
      </c>
      <c r="J587" s="24" t="str">
        <f aca="false">IF($A587="","",0)</f>
        <v/>
      </c>
    </row>
    <row r="588" customFormat="false" ht="15" hidden="false" customHeight="false" outlineLevel="0" collapsed="false">
      <c r="A588" s="24" t="str">
        <f aca="false">IF(AND(Payroll!$A588&lt;&gt;"",N(Payroll!$R588)&gt;0),"EDR","")</f>
        <v/>
      </c>
      <c r="B588" s="24" t="str">
        <f aca="false">IF($A588="","",Payroll!U588)</f>
        <v/>
      </c>
      <c r="C588" s="24" t="str">
        <f aca="false">IF($A588="","",Payroll!S588)</f>
        <v/>
      </c>
      <c r="D588" s="24" t="str">
        <f aca="false">IF($A588="","",SUBSTITUTE(Payroll!T588," ",""))</f>
        <v/>
      </c>
      <c r="E588" s="24" t="str">
        <f aca="false">IF($A588="","",TEXT(Settings!$B$8,"yyyy-mm-dd"))</f>
        <v/>
      </c>
      <c r="F588" s="24" t="str">
        <f aca="false">IF($A588="","",TEXT(Settings!$B$9,"yyyy-mm-dd"))</f>
        <v/>
      </c>
      <c r="G588" s="24" t="str">
        <f aca="false">IF($A588="","",DAY(Settings!$B$9))</f>
        <v/>
      </c>
      <c r="H588" s="26" t="str">
        <f aca="false">IF($A588="","",ROUND(Payroll!R588-Payroll!L588-Payroll!M588,2))</f>
        <v/>
      </c>
      <c r="I588" s="26" t="str">
        <f aca="false">IF($A588="","",ROUND(Payroll!L588+Payroll!M588,2))</f>
        <v/>
      </c>
      <c r="J588" s="24" t="str">
        <f aca="false">IF($A588="","",0)</f>
        <v/>
      </c>
    </row>
    <row r="589" customFormat="false" ht="15" hidden="false" customHeight="false" outlineLevel="0" collapsed="false">
      <c r="A589" s="24" t="str">
        <f aca="false">IF(AND(Payroll!$A589&lt;&gt;"",N(Payroll!$R589)&gt;0),"EDR","")</f>
        <v/>
      </c>
      <c r="B589" s="24" t="str">
        <f aca="false">IF($A589="","",Payroll!U589)</f>
        <v/>
      </c>
      <c r="C589" s="24" t="str">
        <f aca="false">IF($A589="","",Payroll!S589)</f>
        <v/>
      </c>
      <c r="D589" s="24" t="str">
        <f aca="false">IF($A589="","",SUBSTITUTE(Payroll!T589," ",""))</f>
        <v/>
      </c>
      <c r="E589" s="24" t="str">
        <f aca="false">IF($A589="","",TEXT(Settings!$B$8,"yyyy-mm-dd"))</f>
        <v/>
      </c>
      <c r="F589" s="24" t="str">
        <f aca="false">IF($A589="","",TEXT(Settings!$B$9,"yyyy-mm-dd"))</f>
        <v/>
      </c>
      <c r="G589" s="24" t="str">
        <f aca="false">IF($A589="","",DAY(Settings!$B$9))</f>
        <v/>
      </c>
      <c r="H589" s="26" t="str">
        <f aca="false">IF($A589="","",ROUND(Payroll!R589-Payroll!L589-Payroll!M589,2))</f>
        <v/>
      </c>
      <c r="I589" s="26" t="str">
        <f aca="false">IF($A589="","",ROUND(Payroll!L589+Payroll!M589,2))</f>
        <v/>
      </c>
      <c r="J589" s="24" t="str">
        <f aca="false">IF($A589="","",0)</f>
        <v/>
      </c>
    </row>
    <row r="590" customFormat="false" ht="15" hidden="false" customHeight="false" outlineLevel="0" collapsed="false">
      <c r="A590" s="24" t="str">
        <f aca="false">IF(AND(Payroll!$A590&lt;&gt;"",N(Payroll!$R590)&gt;0),"EDR","")</f>
        <v/>
      </c>
      <c r="B590" s="24" t="str">
        <f aca="false">IF($A590="","",Payroll!U590)</f>
        <v/>
      </c>
      <c r="C590" s="24" t="str">
        <f aca="false">IF($A590="","",Payroll!S590)</f>
        <v/>
      </c>
      <c r="D590" s="24" t="str">
        <f aca="false">IF($A590="","",SUBSTITUTE(Payroll!T590," ",""))</f>
        <v/>
      </c>
      <c r="E590" s="24" t="str">
        <f aca="false">IF($A590="","",TEXT(Settings!$B$8,"yyyy-mm-dd"))</f>
        <v/>
      </c>
      <c r="F590" s="24" t="str">
        <f aca="false">IF($A590="","",TEXT(Settings!$B$9,"yyyy-mm-dd"))</f>
        <v/>
      </c>
      <c r="G590" s="24" t="str">
        <f aca="false">IF($A590="","",DAY(Settings!$B$9))</f>
        <v/>
      </c>
      <c r="H590" s="26" t="str">
        <f aca="false">IF($A590="","",ROUND(Payroll!R590-Payroll!L590-Payroll!M590,2))</f>
        <v/>
      </c>
      <c r="I590" s="26" t="str">
        <f aca="false">IF($A590="","",ROUND(Payroll!L590+Payroll!M590,2))</f>
        <v/>
      </c>
      <c r="J590" s="24" t="str">
        <f aca="false">IF($A590="","",0)</f>
        <v/>
      </c>
    </row>
    <row r="591" customFormat="false" ht="15" hidden="false" customHeight="false" outlineLevel="0" collapsed="false">
      <c r="A591" s="24" t="str">
        <f aca="false">IF(AND(Payroll!$A591&lt;&gt;"",N(Payroll!$R591)&gt;0),"EDR","")</f>
        <v/>
      </c>
      <c r="B591" s="24" t="str">
        <f aca="false">IF($A591="","",Payroll!U591)</f>
        <v/>
      </c>
      <c r="C591" s="24" t="str">
        <f aca="false">IF($A591="","",Payroll!S591)</f>
        <v/>
      </c>
      <c r="D591" s="24" t="str">
        <f aca="false">IF($A591="","",SUBSTITUTE(Payroll!T591," ",""))</f>
        <v/>
      </c>
      <c r="E591" s="24" t="str">
        <f aca="false">IF($A591="","",TEXT(Settings!$B$8,"yyyy-mm-dd"))</f>
        <v/>
      </c>
      <c r="F591" s="24" t="str">
        <f aca="false">IF($A591="","",TEXT(Settings!$B$9,"yyyy-mm-dd"))</f>
        <v/>
      </c>
      <c r="G591" s="24" t="str">
        <f aca="false">IF($A591="","",DAY(Settings!$B$9))</f>
        <v/>
      </c>
      <c r="H591" s="26" t="str">
        <f aca="false">IF($A591="","",ROUND(Payroll!R591-Payroll!L591-Payroll!M591,2))</f>
        <v/>
      </c>
      <c r="I591" s="26" t="str">
        <f aca="false">IF($A591="","",ROUND(Payroll!L591+Payroll!M591,2))</f>
        <v/>
      </c>
      <c r="J591" s="24" t="str">
        <f aca="false">IF($A591="","",0)</f>
        <v/>
      </c>
    </row>
    <row r="592" customFormat="false" ht="15" hidden="false" customHeight="false" outlineLevel="0" collapsed="false">
      <c r="A592" s="24" t="str">
        <f aca="false">IF(AND(Payroll!$A592&lt;&gt;"",N(Payroll!$R592)&gt;0),"EDR","")</f>
        <v/>
      </c>
      <c r="B592" s="24" t="str">
        <f aca="false">IF($A592="","",Payroll!U592)</f>
        <v/>
      </c>
      <c r="C592" s="24" t="str">
        <f aca="false">IF($A592="","",Payroll!S592)</f>
        <v/>
      </c>
      <c r="D592" s="24" t="str">
        <f aca="false">IF($A592="","",SUBSTITUTE(Payroll!T592," ",""))</f>
        <v/>
      </c>
      <c r="E592" s="24" t="str">
        <f aca="false">IF($A592="","",TEXT(Settings!$B$8,"yyyy-mm-dd"))</f>
        <v/>
      </c>
      <c r="F592" s="24" t="str">
        <f aca="false">IF($A592="","",TEXT(Settings!$B$9,"yyyy-mm-dd"))</f>
        <v/>
      </c>
      <c r="G592" s="24" t="str">
        <f aca="false">IF($A592="","",DAY(Settings!$B$9))</f>
        <v/>
      </c>
      <c r="H592" s="26" t="str">
        <f aca="false">IF($A592="","",ROUND(Payroll!R592-Payroll!L592-Payroll!M592,2))</f>
        <v/>
      </c>
      <c r="I592" s="26" t="str">
        <f aca="false">IF($A592="","",ROUND(Payroll!L592+Payroll!M592,2))</f>
        <v/>
      </c>
      <c r="J592" s="24" t="str">
        <f aca="false">IF($A592="","",0)</f>
        <v/>
      </c>
    </row>
    <row r="593" customFormat="false" ht="15" hidden="false" customHeight="false" outlineLevel="0" collapsed="false">
      <c r="A593" s="24" t="str">
        <f aca="false">IF(AND(Payroll!$A593&lt;&gt;"",N(Payroll!$R593)&gt;0),"EDR","")</f>
        <v/>
      </c>
      <c r="B593" s="24" t="str">
        <f aca="false">IF($A593="","",Payroll!U593)</f>
        <v/>
      </c>
      <c r="C593" s="24" t="str">
        <f aca="false">IF($A593="","",Payroll!S593)</f>
        <v/>
      </c>
      <c r="D593" s="24" t="str">
        <f aca="false">IF($A593="","",SUBSTITUTE(Payroll!T593," ",""))</f>
        <v/>
      </c>
      <c r="E593" s="24" t="str">
        <f aca="false">IF($A593="","",TEXT(Settings!$B$8,"yyyy-mm-dd"))</f>
        <v/>
      </c>
      <c r="F593" s="24" t="str">
        <f aca="false">IF($A593="","",TEXT(Settings!$B$9,"yyyy-mm-dd"))</f>
        <v/>
      </c>
      <c r="G593" s="24" t="str">
        <f aca="false">IF($A593="","",DAY(Settings!$B$9))</f>
        <v/>
      </c>
      <c r="H593" s="26" t="str">
        <f aca="false">IF($A593="","",ROUND(Payroll!R593-Payroll!L593-Payroll!M593,2))</f>
        <v/>
      </c>
      <c r="I593" s="26" t="str">
        <f aca="false">IF($A593="","",ROUND(Payroll!L593+Payroll!M593,2))</f>
        <v/>
      </c>
      <c r="J593" s="24" t="str">
        <f aca="false">IF($A593="","",0)</f>
        <v/>
      </c>
    </row>
    <row r="594" customFormat="false" ht="15" hidden="false" customHeight="false" outlineLevel="0" collapsed="false">
      <c r="A594" s="24" t="str">
        <f aca="false">IF(AND(Payroll!$A594&lt;&gt;"",N(Payroll!$R594)&gt;0),"EDR","")</f>
        <v/>
      </c>
      <c r="B594" s="24" t="str">
        <f aca="false">IF($A594="","",Payroll!U594)</f>
        <v/>
      </c>
      <c r="C594" s="24" t="str">
        <f aca="false">IF($A594="","",Payroll!S594)</f>
        <v/>
      </c>
      <c r="D594" s="24" t="str">
        <f aca="false">IF($A594="","",SUBSTITUTE(Payroll!T594," ",""))</f>
        <v/>
      </c>
      <c r="E594" s="24" t="str">
        <f aca="false">IF($A594="","",TEXT(Settings!$B$8,"yyyy-mm-dd"))</f>
        <v/>
      </c>
      <c r="F594" s="24" t="str">
        <f aca="false">IF($A594="","",TEXT(Settings!$B$9,"yyyy-mm-dd"))</f>
        <v/>
      </c>
      <c r="G594" s="24" t="str">
        <f aca="false">IF($A594="","",DAY(Settings!$B$9))</f>
        <v/>
      </c>
      <c r="H594" s="26" t="str">
        <f aca="false">IF($A594="","",ROUND(Payroll!R594-Payroll!L594-Payroll!M594,2))</f>
        <v/>
      </c>
      <c r="I594" s="26" t="str">
        <f aca="false">IF($A594="","",ROUND(Payroll!L594+Payroll!M594,2))</f>
        <v/>
      </c>
      <c r="J594" s="24" t="str">
        <f aca="false">IF($A594="","",0)</f>
        <v/>
      </c>
    </row>
    <row r="595" customFormat="false" ht="15" hidden="false" customHeight="false" outlineLevel="0" collapsed="false">
      <c r="A595" s="24" t="str">
        <f aca="false">IF(AND(Payroll!$A595&lt;&gt;"",N(Payroll!$R595)&gt;0),"EDR","")</f>
        <v/>
      </c>
      <c r="B595" s="24" t="str">
        <f aca="false">IF($A595="","",Payroll!U595)</f>
        <v/>
      </c>
      <c r="C595" s="24" t="str">
        <f aca="false">IF($A595="","",Payroll!S595)</f>
        <v/>
      </c>
      <c r="D595" s="24" t="str">
        <f aca="false">IF($A595="","",SUBSTITUTE(Payroll!T595," ",""))</f>
        <v/>
      </c>
      <c r="E595" s="24" t="str">
        <f aca="false">IF($A595="","",TEXT(Settings!$B$8,"yyyy-mm-dd"))</f>
        <v/>
      </c>
      <c r="F595" s="24" t="str">
        <f aca="false">IF($A595="","",TEXT(Settings!$B$9,"yyyy-mm-dd"))</f>
        <v/>
      </c>
      <c r="G595" s="24" t="str">
        <f aca="false">IF($A595="","",DAY(Settings!$B$9))</f>
        <v/>
      </c>
      <c r="H595" s="26" t="str">
        <f aca="false">IF($A595="","",ROUND(Payroll!R595-Payroll!L595-Payroll!M595,2))</f>
        <v/>
      </c>
      <c r="I595" s="26" t="str">
        <f aca="false">IF($A595="","",ROUND(Payroll!L595+Payroll!M595,2))</f>
        <v/>
      </c>
      <c r="J595" s="24" t="str">
        <f aca="false">IF($A595="","",0)</f>
        <v/>
      </c>
    </row>
    <row r="596" customFormat="false" ht="15" hidden="false" customHeight="false" outlineLevel="0" collapsed="false">
      <c r="A596" s="24" t="str">
        <f aca="false">IF(AND(Payroll!$A596&lt;&gt;"",N(Payroll!$R596)&gt;0),"EDR","")</f>
        <v/>
      </c>
      <c r="B596" s="24" t="str">
        <f aca="false">IF($A596="","",Payroll!U596)</f>
        <v/>
      </c>
      <c r="C596" s="24" t="str">
        <f aca="false">IF($A596="","",Payroll!S596)</f>
        <v/>
      </c>
      <c r="D596" s="24" t="str">
        <f aca="false">IF($A596="","",SUBSTITUTE(Payroll!T596," ",""))</f>
        <v/>
      </c>
      <c r="E596" s="24" t="str">
        <f aca="false">IF($A596="","",TEXT(Settings!$B$8,"yyyy-mm-dd"))</f>
        <v/>
      </c>
      <c r="F596" s="24" t="str">
        <f aca="false">IF($A596="","",TEXT(Settings!$B$9,"yyyy-mm-dd"))</f>
        <v/>
      </c>
      <c r="G596" s="24" t="str">
        <f aca="false">IF($A596="","",DAY(Settings!$B$9))</f>
        <v/>
      </c>
      <c r="H596" s="26" t="str">
        <f aca="false">IF($A596="","",ROUND(Payroll!R596-Payroll!L596-Payroll!M596,2))</f>
        <v/>
      </c>
      <c r="I596" s="26" t="str">
        <f aca="false">IF($A596="","",ROUND(Payroll!L596+Payroll!M596,2))</f>
        <v/>
      </c>
      <c r="J596" s="24" t="str">
        <f aca="false">IF($A596="","",0)</f>
        <v/>
      </c>
    </row>
    <row r="597" customFormat="false" ht="15" hidden="false" customHeight="false" outlineLevel="0" collapsed="false">
      <c r="A597" s="24" t="str">
        <f aca="false">IF(AND(Payroll!$A597&lt;&gt;"",N(Payroll!$R597)&gt;0),"EDR","")</f>
        <v/>
      </c>
      <c r="B597" s="24" t="str">
        <f aca="false">IF($A597="","",Payroll!U597)</f>
        <v/>
      </c>
      <c r="C597" s="24" t="str">
        <f aca="false">IF($A597="","",Payroll!S597)</f>
        <v/>
      </c>
      <c r="D597" s="24" t="str">
        <f aca="false">IF($A597="","",SUBSTITUTE(Payroll!T597," ",""))</f>
        <v/>
      </c>
      <c r="E597" s="24" t="str">
        <f aca="false">IF($A597="","",TEXT(Settings!$B$8,"yyyy-mm-dd"))</f>
        <v/>
      </c>
      <c r="F597" s="24" t="str">
        <f aca="false">IF($A597="","",TEXT(Settings!$B$9,"yyyy-mm-dd"))</f>
        <v/>
      </c>
      <c r="G597" s="24" t="str">
        <f aca="false">IF($A597="","",DAY(Settings!$B$9))</f>
        <v/>
      </c>
      <c r="H597" s="26" t="str">
        <f aca="false">IF($A597="","",ROUND(Payroll!R597-Payroll!L597-Payroll!M597,2))</f>
        <v/>
      </c>
      <c r="I597" s="26" t="str">
        <f aca="false">IF($A597="","",ROUND(Payroll!L597+Payroll!M597,2))</f>
        <v/>
      </c>
      <c r="J597" s="24" t="str">
        <f aca="false">IF($A597="","",0)</f>
        <v/>
      </c>
    </row>
    <row r="598" customFormat="false" ht="15" hidden="false" customHeight="false" outlineLevel="0" collapsed="false">
      <c r="A598" s="24" t="str">
        <f aca="false">IF(AND(Payroll!$A598&lt;&gt;"",N(Payroll!$R598)&gt;0),"EDR","")</f>
        <v/>
      </c>
      <c r="B598" s="24" t="str">
        <f aca="false">IF($A598="","",Payroll!U598)</f>
        <v/>
      </c>
      <c r="C598" s="24" t="str">
        <f aca="false">IF($A598="","",Payroll!S598)</f>
        <v/>
      </c>
      <c r="D598" s="24" t="str">
        <f aca="false">IF($A598="","",SUBSTITUTE(Payroll!T598," ",""))</f>
        <v/>
      </c>
      <c r="E598" s="24" t="str">
        <f aca="false">IF($A598="","",TEXT(Settings!$B$8,"yyyy-mm-dd"))</f>
        <v/>
      </c>
      <c r="F598" s="24" t="str">
        <f aca="false">IF($A598="","",TEXT(Settings!$B$9,"yyyy-mm-dd"))</f>
        <v/>
      </c>
      <c r="G598" s="24" t="str">
        <f aca="false">IF($A598="","",DAY(Settings!$B$9))</f>
        <v/>
      </c>
      <c r="H598" s="26" t="str">
        <f aca="false">IF($A598="","",ROUND(Payroll!R598-Payroll!L598-Payroll!M598,2))</f>
        <v/>
      </c>
      <c r="I598" s="26" t="str">
        <f aca="false">IF($A598="","",ROUND(Payroll!L598+Payroll!M598,2))</f>
        <v/>
      </c>
      <c r="J598" s="24" t="str">
        <f aca="false">IF($A598="","",0)</f>
        <v/>
      </c>
    </row>
    <row r="599" customFormat="false" ht="15" hidden="false" customHeight="false" outlineLevel="0" collapsed="false">
      <c r="A599" s="24" t="str">
        <f aca="false">IF(AND(Payroll!$A599&lt;&gt;"",N(Payroll!$R599)&gt;0),"EDR","")</f>
        <v/>
      </c>
      <c r="B599" s="24" t="str">
        <f aca="false">IF($A599="","",Payroll!U599)</f>
        <v/>
      </c>
      <c r="C599" s="24" t="str">
        <f aca="false">IF($A599="","",Payroll!S599)</f>
        <v/>
      </c>
      <c r="D599" s="24" t="str">
        <f aca="false">IF($A599="","",SUBSTITUTE(Payroll!T599," ",""))</f>
        <v/>
      </c>
      <c r="E599" s="24" t="str">
        <f aca="false">IF($A599="","",TEXT(Settings!$B$8,"yyyy-mm-dd"))</f>
        <v/>
      </c>
      <c r="F599" s="24" t="str">
        <f aca="false">IF($A599="","",TEXT(Settings!$B$9,"yyyy-mm-dd"))</f>
        <v/>
      </c>
      <c r="G599" s="24" t="str">
        <f aca="false">IF($A599="","",DAY(Settings!$B$9))</f>
        <v/>
      </c>
      <c r="H599" s="26" t="str">
        <f aca="false">IF($A599="","",ROUND(Payroll!R599-Payroll!L599-Payroll!M599,2))</f>
        <v/>
      </c>
      <c r="I599" s="26" t="str">
        <f aca="false">IF($A599="","",ROUND(Payroll!L599+Payroll!M599,2))</f>
        <v/>
      </c>
      <c r="J599" s="24" t="str">
        <f aca="false">IF($A599="","",0)</f>
        <v/>
      </c>
    </row>
    <row r="600" customFormat="false" ht="15" hidden="false" customHeight="false" outlineLevel="0" collapsed="false">
      <c r="A600" s="24" t="str">
        <f aca="false">IF(AND(Payroll!$A600&lt;&gt;"",N(Payroll!$R600)&gt;0),"EDR","")</f>
        <v/>
      </c>
      <c r="B600" s="24" t="str">
        <f aca="false">IF($A600="","",Payroll!U600)</f>
        <v/>
      </c>
      <c r="C600" s="24" t="str">
        <f aca="false">IF($A600="","",Payroll!S600)</f>
        <v/>
      </c>
      <c r="D600" s="24" t="str">
        <f aca="false">IF($A600="","",SUBSTITUTE(Payroll!T600," ",""))</f>
        <v/>
      </c>
      <c r="E600" s="24" t="str">
        <f aca="false">IF($A600="","",TEXT(Settings!$B$8,"yyyy-mm-dd"))</f>
        <v/>
      </c>
      <c r="F600" s="24" t="str">
        <f aca="false">IF($A600="","",TEXT(Settings!$B$9,"yyyy-mm-dd"))</f>
        <v/>
      </c>
      <c r="G600" s="24" t="str">
        <f aca="false">IF($A600="","",DAY(Settings!$B$9))</f>
        <v/>
      </c>
      <c r="H600" s="26" t="str">
        <f aca="false">IF($A600="","",ROUND(Payroll!R600-Payroll!L600-Payroll!M600,2))</f>
        <v/>
      </c>
      <c r="I600" s="26" t="str">
        <f aca="false">IF($A600="","",ROUND(Payroll!L600+Payroll!M600,2))</f>
        <v/>
      </c>
      <c r="J600" s="24" t="str">
        <f aca="false">IF($A600="","",0)</f>
        <v/>
      </c>
    </row>
    <row r="601" customFormat="false" ht="15" hidden="false" customHeight="false" outlineLevel="0" collapsed="false">
      <c r="A601" s="24" t="str">
        <f aca="false">IF(AND(Payroll!$A601&lt;&gt;"",N(Payroll!$R601)&gt;0),"EDR","")</f>
        <v/>
      </c>
      <c r="B601" s="24" t="str">
        <f aca="false">IF($A601="","",Payroll!U601)</f>
        <v/>
      </c>
      <c r="C601" s="24" t="str">
        <f aca="false">IF($A601="","",Payroll!S601)</f>
        <v/>
      </c>
      <c r="D601" s="24" t="str">
        <f aca="false">IF($A601="","",SUBSTITUTE(Payroll!T601," ",""))</f>
        <v/>
      </c>
      <c r="E601" s="24" t="str">
        <f aca="false">IF($A601="","",TEXT(Settings!$B$8,"yyyy-mm-dd"))</f>
        <v/>
      </c>
      <c r="F601" s="24" t="str">
        <f aca="false">IF($A601="","",TEXT(Settings!$B$9,"yyyy-mm-dd"))</f>
        <v/>
      </c>
      <c r="G601" s="24" t="str">
        <f aca="false">IF($A601="","",DAY(Settings!$B$9))</f>
        <v/>
      </c>
      <c r="H601" s="26" t="str">
        <f aca="false">IF($A601="","",ROUND(Payroll!R601-Payroll!L601-Payroll!M601,2))</f>
        <v/>
      </c>
      <c r="I601" s="26" t="str">
        <f aca="false">IF($A601="","",ROUND(Payroll!L601+Payroll!M601,2))</f>
        <v/>
      </c>
      <c r="J601" s="24" t="str">
        <f aca="false">IF($A601="","",0)</f>
        <v/>
      </c>
    </row>
    <row r="602" customFormat="false" ht="15" hidden="false" customHeight="false" outlineLevel="0" collapsed="false">
      <c r="A602" s="24" t="str">
        <f aca="false">IF(AND(Payroll!$A602&lt;&gt;"",N(Payroll!$R602)&gt;0),"EDR","")</f>
        <v/>
      </c>
      <c r="B602" s="24" t="str">
        <f aca="false">IF($A602="","",Payroll!U602)</f>
        <v/>
      </c>
      <c r="C602" s="24" t="str">
        <f aca="false">IF($A602="","",Payroll!S602)</f>
        <v/>
      </c>
      <c r="D602" s="24" t="str">
        <f aca="false">IF($A602="","",SUBSTITUTE(Payroll!T602," ",""))</f>
        <v/>
      </c>
      <c r="E602" s="24" t="str">
        <f aca="false">IF($A602="","",TEXT(Settings!$B$8,"yyyy-mm-dd"))</f>
        <v/>
      </c>
      <c r="F602" s="24" t="str">
        <f aca="false">IF($A602="","",TEXT(Settings!$B$9,"yyyy-mm-dd"))</f>
        <v/>
      </c>
      <c r="G602" s="24" t="str">
        <f aca="false">IF($A602="","",DAY(Settings!$B$9))</f>
        <v/>
      </c>
      <c r="H602" s="26" t="str">
        <f aca="false">IF($A602="","",ROUND(Payroll!R602-Payroll!L602-Payroll!M602,2))</f>
        <v/>
      </c>
      <c r="I602" s="26" t="str">
        <f aca="false">IF($A602="","",ROUND(Payroll!L602+Payroll!M602,2))</f>
        <v/>
      </c>
      <c r="J602" s="24" t="str">
        <f aca="false">IF($A602="","",0)</f>
        <v/>
      </c>
    </row>
    <row r="603" customFormat="false" ht="15" hidden="false" customHeight="false" outlineLevel="0" collapsed="false">
      <c r="A603" s="24" t="str">
        <f aca="false">IF(AND(Payroll!$A603&lt;&gt;"",N(Payroll!$R603)&gt;0),"EDR","")</f>
        <v/>
      </c>
      <c r="B603" s="24" t="str">
        <f aca="false">IF($A603="","",Payroll!U603)</f>
        <v/>
      </c>
      <c r="C603" s="24" t="str">
        <f aca="false">IF($A603="","",Payroll!S603)</f>
        <v/>
      </c>
      <c r="D603" s="24" t="str">
        <f aca="false">IF($A603="","",SUBSTITUTE(Payroll!T603," ",""))</f>
        <v/>
      </c>
      <c r="E603" s="24" t="str">
        <f aca="false">IF($A603="","",TEXT(Settings!$B$8,"yyyy-mm-dd"))</f>
        <v/>
      </c>
      <c r="F603" s="24" t="str">
        <f aca="false">IF($A603="","",TEXT(Settings!$B$9,"yyyy-mm-dd"))</f>
        <v/>
      </c>
      <c r="G603" s="24" t="str">
        <f aca="false">IF($A603="","",DAY(Settings!$B$9))</f>
        <v/>
      </c>
      <c r="H603" s="26" t="str">
        <f aca="false">IF($A603="","",ROUND(Payroll!R603-Payroll!L603-Payroll!M603,2))</f>
        <v/>
      </c>
      <c r="I603" s="26" t="str">
        <f aca="false">IF($A603="","",ROUND(Payroll!L603+Payroll!M603,2))</f>
        <v/>
      </c>
      <c r="J603" s="24" t="str">
        <f aca="false">IF($A603="","",0)</f>
        <v/>
      </c>
    </row>
    <row r="604" customFormat="false" ht="15" hidden="false" customHeight="false" outlineLevel="0" collapsed="false">
      <c r="A604" s="24" t="str">
        <f aca="false">IF(AND(Payroll!$A604&lt;&gt;"",N(Payroll!$R604)&gt;0),"EDR","")</f>
        <v/>
      </c>
      <c r="B604" s="24" t="str">
        <f aca="false">IF($A604="","",Payroll!U604)</f>
        <v/>
      </c>
      <c r="C604" s="24" t="str">
        <f aca="false">IF($A604="","",Payroll!S604)</f>
        <v/>
      </c>
      <c r="D604" s="24" t="str">
        <f aca="false">IF($A604="","",SUBSTITUTE(Payroll!T604," ",""))</f>
        <v/>
      </c>
      <c r="E604" s="24" t="str">
        <f aca="false">IF($A604="","",TEXT(Settings!$B$8,"yyyy-mm-dd"))</f>
        <v/>
      </c>
      <c r="F604" s="24" t="str">
        <f aca="false">IF($A604="","",TEXT(Settings!$B$9,"yyyy-mm-dd"))</f>
        <v/>
      </c>
      <c r="G604" s="24" t="str">
        <f aca="false">IF($A604="","",DAY(Settings!$B$9))</f>
        <v/>
      </c>
      <c r="H604" s="26" t="str">
        <f aca="false">IF($A604="","",ROUND(Payroll!R604-Payroll!L604-Payroll!M604,2))</f>
        <v/>
      </c>
      <c r="I604" s="26" t="str">
        <f aca="false">IF($A604="","",ROUND(Payroll!L604+Payroll!M604,2))</f>
        <v/>
      </c>
      <c r="J604" s="24" t="str">
        <f aca="false">IF($A604="","",0)</f>
        <v/>
      </c>
    </row>
    <row r="605" customFormat="false" ht="15" hidden="false" customHeight="false" outlineLevel="0" collapsed="false">
      <c r="A605" s="24" t="str">
        <f aca="false">IF(AND(Payroll!$A605&lt;&gt;"",N(Payroll!$R605)&gt;0),"EDR","")</f>
        <v/>
      </c>
      <c r="B605" s="24" t="str">
        <f aca="false">IF($A605="","",Payroll!U605)</f>
        <v/>
      </c>
      <c r="C605" s="24" t="str">
        <f aca="false">IF($A605="","",Payroll!S605)</f>
        <v/>
      </c>
      <c r="D605" s="24" t="str">
        <f aca="false">IF($A605="","",SUBSTITUTE(Payroll!T605," ",""))</f>
        <v/>
      </c>
      <c r="E605" s="24" t="str">
        <f aca="false">IF($A605="","",TEXT(Settings!$B$8,"yyyy-mm-dd"))</f>
        <v/>
      </c>
      <c r="F605" s="24" t="str">
        <f aca="false">IF($A605="","",TEXT(Settings!$B$9,"yyyy-mm-dd"))</f>
        <v/>
      </c>
      <c r="G605" s="24" t="str">
        <f aca="false">IF($A605="","",DAY(Settings!$B$9))</f>
        <v/>
      </c>
      <c r="H605" s="26" t="str">
        <f aca="false">IF($A605="","",ROUND(Payroll!R605-Payroll!L605-Payroll!M605,2))</f>
        <v/>
      </c>
      <c r="I605" s="26" t="str">
        <f aca="false">IF($A605="","",ROUND(Payroll!L605+Payroll!M605,2))</f>
        <v/>
      </c>
      <c r="J605" s="24" t="str">
        <f aca="false">IF($A605="","",0)</f>
        <v/>
      </c>
    </row>
    <row r="606" customFormat="false" ht="15" hidden="false" customHeight="false" outlineLevel="0" collapsed="false">
      <c r="A606" s="24" t="str">
        <f aca="false">IF(AND(Payroll!$A606&lt;&gt;"",N(Payroll!$R606)&gt;0),"EDR","")</f>
        <v/>
      </c>
      <c r="B606" s="24" t="str">
        <f aca="false">IF($A606="","",Payroll!U606)</f>
        <v/>
      </c>
      <c r="C606" s="24" t="str">
        <f aca="false">IF($A606="","",Payroll!S606)</f>
        <v/>
      </c>
      <c r="D606" s="24" t="str">
        <f aca="false">IF($A606="","",SUBSTITUTE(Payroll!T606," ",""))</f>
        <v/>
      </c>
      <c r="E606" s="24" t="str">
        <f aca="false">IF($A606="","",TEXT(Settings!$B$8,"yyyy-mm-dd"))</f>
        <v/>
      </c>
      <c r="F606" s="24" t="str">
        <f aca="false">IF($A606="","",TEXT(Settings!$B$9,"yyyy-mm-dd"))</f>
        <v/>
      </c>
      <c r="G606" s="24" t="str">
        <f aca="false">IF($A606="","",DAY(Settings!$B$9))</f>
        <v/>
      </c>
      <c r="H606" s="26" t="str">
        <f aca="false">IF($A606="","",ROUND(Payroll!R606-Payroll!L606-Payroll!M606,2))</f>
        <v/>
      </c>
      <c r="I606" s="26" t="str">
        <f aca="false">IF($A606="","",ROUND(Payroll!L606+Payroll!M606,2))</f>
        <v/>
      </c>
      <c r="J606" s="24" t="str">
        <f aca="false">IF($A606="","",0)</f>
        <v/>
      </c>
    </row>
    <row r="607" customFormat="false" ht="15" hidden="false" customHeight="false" outlineLevel="0" collapsed="false">
      <c r="A607" s="24" t="str">
        <f aca="false">IF(AND(Payroll!$A607&lt;&gt;"",N(Payroll!$R607)&gt;0),"EDR","")</f>
        <v/>
      </c>
      <c r="B607" s="24" t="str">
        <f aca="false">IF($A607="","",Payroll!U607)</f>
        <v/>
      </c>
      <c r="C607" s="24" t="str">
        <f aca="false">IF($A607="","",Payroll!S607)</f>
        <v/>
      </c>
      <c r="D607" s="24" t="str">
        <f aca="false">IF($A607="","",SUBSTITUTE(Payroll!T607," ",""))</f>
        <v/>
      </c>
      <c r="E607" s="24" t="str">
        <f aca="false">IF($A607="","",TEXT(Settings!$B$8,"yyyy-mm-dd"))</f>
        <v/>
      </c>
      <c r="F607" s="24" t="str">
        <f aca="false">IF($A607="","",TEXT(Settings!$B$9,"yyyy-mm-dd"))</f>
        <v/>
      </c>
      <c r="G607" s="24" t="str">
        <f aca="false">IF($A607="","",DAY(Settings!$B$9))</f>
        <v/>
      </c>
      <c r="H607" s="26" t="str">
        <f aca="false">IF($A607="","",ROUND(Payroll!R607-Payroll!L607-Payroll!M607,2))</f>
        <v/>
      </c>
      <c r="I607" s="26" t="str">
        <f aca="false">IF($A607="","",ROUND(Payroll!L607+Payroll!M607,2))</f>
        <v/>
      </c>
      <c r="J607" s="24" t="str">
        <f aca="false">IF($A607="","",0)</f>
        <v/>
      </c>
    </row>
    <row r="608" customFormat="false" ht="15" hidden="false" customHeight="false" outlineLevel="0" collapsed="false">
      <c r="A608" s="24" t="str">
        <f aca="false">IF(AND(Payroll!$A608&lt;&gt;"",N(Payroll!$R608)&gt;0),"EDR","")</f>
        <v/>
      </c>
      <c r="B608" s="24" t="str">
        <f aca="false">IF($A608="","",Payroll!U608)</f>
        <v/>
      </c>
      <c r="C608" s="24" t="str">
        <f aca="false">IF($A608="","",Payroll!S608)</f>
        <v/>
      </c>
      <c r="D608" s="24" t="str">
        <f aca="false">IF($A608="","",SUBSTITUTE(Payroll!T608," ",""))</f>
        <v/>
      </c>
      <c r="E608" s="24" t="str">
        <f aca="false">IF($A608="","",TEXT(Settings!$B$8,"yyyy-mm-dd"))</f>
        <v/>
      </c>
      <c r="F608" s="24" t="str">
        <f aca="false">IF($A608="","",TEXT(Settings!$B$9,"yyyy-mm-dd"))</f>
        <v/>
      </c>
      <c r="G608" s="24" t="str">
        <f aca="false">IF($A608="","",DAY(Settings!$B$9))</f>
        <v/>
      </c>
      <c r="H608" s="26" t="str">
        <f aca="false">IF($A608="","",ROUND(Payroll!R608-Payroll!L608-Payroll!M608,2))</f>
        <v/>
      </c>
      <c r="I608" s="26" t="str">
        <f aca="false">IF($A608="","",ROUND(Payroll!L608+Payroll!M608,2))</f>
        <v/>
      </c>
      <c r="J608" s="24" t="str">
        <f aca="false">IF($A608="","",0)</f>
        <v/>
      </c>
    </row>
    <row r="609" customFormat="false" ht="15" hidden="false" customHeight="false" outlineLevel="0" collapsed="false">
      <c r="A609" s="24" t="str">
        <f aca="false">IF(AND(Payroll!$A609&lt;&gt;"",N(Payroll!$R609)&gt;0),"EDR","")</f>
        <v/>
      </c>
      <c r="B609" s="24" t="str">
        <f aca="false">IF($A609="","",Payroll!U609)</f>
        <v/>
      </c>
      <c r="C609" s="24" t="str">
        <f aca="false">IF($A609="","",Payroll!S609)</f>
        <v/>
      </c>
      <c r="D609" s="24" t="str">
        <f aca="false">IF($A609="","",SUBSTITUTE(Payroll!T609," ",""))</f>
        <v/>
      </c>
      <c r="E609" s="24" t="str">
        <f aca="false">IF($A609="","",TEXT(Settings!$B$8,"yyyy-mm-dd"))</f>
        <v/>
      </c>
      <c r="F609" s="24" t="str">
        <f aca="false">IF($A609="","",TEXT(Settings!$B$9,"yyyy-mm-dd"))</f>
        <v/>
      </c>
      <c r="G609" s="24" t="str">
        <f aca="false">IF($A609="","",DAY(Settings!$B$9))</f>
        <v/>
      </c>
      <c r="H609" s="26" t="str">
        <f aca="false">IF($A609="","",ROUND(Payroll!R609-Payroll!L609-Payroll!M609,2))</f>
        <v/>
      </c>
      <c r="I609" s="26" t="str">
        <f aca="false">IF($A609="","",ROUND(Payroll!L609+Payroll!M609,2))</f>
        <v/>
      </c>
      <c r="J609" s="24" t="str">
        <f aca="false">IF($A609="","",0)</f>
        <v/>
      </c>
    </row>
    <row r="610" customFormat="false" ht="15" hidden="false" customHeight="false" outlineLevel="0" collapsed="false">
      <c r="A610" s="24" t="str">
        <f aca="false">IF(AND(Payroll!$A610&lt;&gt;"",N(Payroll!$R610)&gt;0),"EDR","")</f>
        <v/>
      </c>
      <c r="B610" s="24" t="str">
        <f aca="false">IF($A610="","",Payroll!U610)</f>
        <v/>
      </c>
      <c r="C610" s="24" t="str">
        <f aca="false">IF($A610="","",Payroll!S610)</f>
        <v/>
      </c>
      <c r="D610" s="24" t="str">
        <f aca="false">IF($A610="","",SUBSTITUTE(Payroll!T610," ",""))</f>
        <v/>
      </c>
      <c r="E610" s="24" t="str">
        <f aca="false">IF($A610="","",TEXT(Settings!$B$8,"yyyy-mm-dd"))</f>
        <v/>
      </c>
      <c r="F610" s="24" t="str">
        <f aca="false">IF($A610="","",TEXT(Settings!$B$9,"yyyy-mm-dd"))</f>
        <v/>
      </c>
      <c r="G610" s="24" t="str">
        <f aca="false">IF($A610="","",DAY(Settings!$B$9))</f>
        <v/>
      </c>
      <c r="H610" s="26" t="str">
        <f aca="false">IF($A610="","",ROUND(Payroll!R610-Payroll!L610-Payroll!M610,2))</f>
        <v/>
      </c>
      <c r="I610" s="26" t="str">
        <f aca="false">IF($A610="","",ROUND(Payroll!L610+Payroll!M610,2))</f>
        <v/>
      </c>
      <c r="J610" s="24" t="str">
        <f aca="false">IF($A610="","",0)</f>
        <v/>
      </c>
    </row>
    <row r="611" customFormat="false" ht="15" hidden="false" customHeight="false" outlineLevel="0" collapsed="false">
      <c r="A611" s="24" t="str">
        <f aca="false">IF(AND(Payroll!$A611&lt;&gt;"",N(Payroll!$R611)&gt;0),"EDR","")</f>
        <v/>
      </c>
      <c r="B611" s="24" t="str">
        <f aca="false">IF($A611="","",Payroll!U611)</f>
        <v/>
      </c>
      <c r="C611" s="24" t="str">
        <f aca="false">IF($A611="","",Payroll!S611)</f>
        <v/>
      </c>
      <c r="D611" s="24" t="str">
        <f aca="false">IF($A611="","",SUBSTITUTE(Payroll!T611," ",""))</f>
        <v/>
      </c>
      <c r="E611" s="24" t="str">
        <f aca="false">IF($A611="","",TEXT(Settings!$B$8,"yyyy-mm-dd"))</f>
        <v/>
      </c>
      <c r="F611" s="24" t="str">
        <f aca="false">IF($A611="","",TEXT(Settings!$B$9,"yyyy-mm-dd"))</f>
        <v/>
      </c>
      <c r="G611" s="24" t="str">
        <f aca="false">IF($A611="","",DAY(Settings!$B$9))</f>
        <v/>
      </c>
      <c r="H611" s="26" t="str">
        <f aca="false">IF($A611="","",ROUND(Payroll!R611-Payroll!L611-Payroll!M611,2))</f>
        <v/>
      </c>
      <c r="I611" s="26" t="str">
        <f aca="false">IF($A611="","",ROUND(Payroll!L611+Payroll!M611,2))</f>
        <v/>
      </c>
      <c r="J611" s="24" t="str">
        <f aca="false">IF($A611="","",0)</f>
        <v/>
      </c>
    </row>
    <row r="612" customFormat="false" ht="15" hidden="false" customHeight="false" outlineLevel="0" collapsed="false">
      <c r="A612" s="24" t="str">
        <f aca="false">IF(AND(Payroll!$A612&lt;&gt;"",N(Payroll!$R612)&gt;0),"EDR","")</f>
        <v/>
      </c>
      <c r="B612" s="24" t="str">
        <f aca="false">IF($A612="","",Payroll!U612)</f>
        <v/>
      </c>
      <c r="C612" s="24" t="str">
        <f aca="false">IF($A612="","",Payroll!S612)</f>
        <v/>
      </c>
      <c r="D612" s="24" t="str">
        <f aca="false">IF($A612="","",SUBSTITUTE(Payroll!T612," ",""))</f>
        <v/>
      </c>
      <c r="E612" s="24" t="str">
        <f aca="false">IF($A612="","",TEXT(Settings!$B$8,"yyyy-mm-dd"))</f>
        <v/>
      </c>
      <c r="F612" s="24" t="str">
        <f aca="false">IF($A612="","",TEXT(Settings!$B$9,"yyyy-mm-dd"))</f>
        <v/>
      </c>
      <c r="G612" s="24" t="str">
        <f aca="false">IF($A612="","",DAY(Settings!$B$9))</f>
        <v/>
      </c>
      <c r="H612" s="26" t="str">
        <f aca="false">IF($A612="","",ROUND(Payroll!R612-Payroll!L612-Payroll!M612,2))</f>
        <v/>
      </c>
      <c r="I612" s="26" t="str">
        <f aca="false">IF($A612="","",ROUND(Payroll!L612+Payroll!M612,2))</f>
        <v/>
      </c>
      <c r="J612" s="24" t="str">
        <f aca="false">IF($A612="","",0)</f>
        <v/>
      </c>
    </row>
    <row r="613" customFormat="false" ht="15" hidden="false" customHeight="false" outlineLevel="0" collapsed="false">
      <c r="A613" s="24" t="str">
        <f aca="false">IF(AND(Payroll!$A613&lt;&gt;"",N(Payroll!$R613)&gt;0),"EDR","")</f>
        <v/>
      </c>
      <c r="B613" s="24" t="str">
        <f aca="false">IF($A613="","",Payroll!U613)</f>
        <v/>
      </c>
      <c r="C613" s="24" t="str">
        <f aca="false">IF($A613="","",Payroll!S613)</f>
        <v/>
      </c>
      <c r="D613" s="24" t="str">
        <f aca="false">IF($A613="","",SUBSTITUTE(Payroll!T613," ",""))</f>
        <v/>
      </c>
      <c r="E613" s="24" t="str">
        <f aca="false">IF($A613="","",TEXT(Settings!$B$8,"yyyy-mm-dd"))</f>
        <v/>
      </c>
      <c r="F613" s="24" t="str">
        <f aca="false">IF($A613="","",TEXT(Settings!$B$9,"yyyy-mm-dd"))</f>
        <v/>
      </c>
      <c r="G613" s="24" t="str">
        <f aca="false">IF($A613="","",DAY(Settings!$B$9))</f>
        <v/>
      </c>
      <c r="H613" s="26" t="str">
        <f aca="false">IF($A613="","",ROUND(Payroll!R613-Payroll!L613-Payroll!M613,2))</f>
        <v/>
      </c>
      <c r="I613" s="26" t="str">
        <f aca="false">IF($A613="","",ROUND(Payroll!L613+Payroll!M613,2))</f>
        <v/>
      </c>
      <c r="J613" s="24" t="str">
        <f aca="false">IF($A613="","",0)</f>
        <v/>
      </c>
    </row>
    <row r="614" customFormat="false" ht="15" hidden="false" customHeight="false" outlineLevel="0" collapsed="false">
      <c r="A614" s="24" t="str">
        <f aca="false">IF(AND(Payroll!$A614&lt;&gt;"",N(Payroll!$R614)&gt;0),"EDR","")</f>
        <v/>
      </c>
      <c r="B614" s="24" t="str">
        <f aca="false">IF($A614="","",Payroll!U614)</f>
        <v/>
      </c>
      <c r="C614" s="24" t="str">
        <f aca="false">IF($A614="","",Payroll!S614)</f>
        <v/>
      </c>
      <c r="D614" s="24" t="str">
        <f aca="false">IF($A614="","",SUBSTITUTE(Payroll!T614," ",""))</f>
        <v/>
      </c>
      <c r="E614" s="24" t="str">
        <f aca="false">IF($A614="","",TEXT(Settings!$B$8,"yyyy-mm-dd"))</f>
        <v/>
      </c>
      <c r="F614" s="24" t="str">
        <f aca="false">IF($A614="","",TEXT(Settings!$B$9,"yyyy-mm-dd"))</f>
        <v/>
      </c>
      <c r="G614" s="24" t="str">
        <f aca="false">IF($A614="","",DAY(Settings!$B$9))</f>
        <v/>
      </c>
      <c r="H614" s="26" t="str">
        <f aca="false">IF($A614="","",ROUND(Payroll!R614-Payroll!L614-Payroll!M614,2))</f>
        <v/>
      </c>
      <c r="I614" s="26" t="str">
        <f aca="false">IF($A614="","",ROUND(Payroll!L614+Payroll!M614,2))</f>
        <v/>
      </c>
      <c r="J614" s="24" t="str">
        <f aca="false">IF($A614="","",0)</f>
        <v/>
      </c>
    </row>
    <row r="615" customFormat="false" ht="15" hidden="false" customHeight="false" outlineLevel="0" collapsed="false">
      <c r="A615" s="24" t="str">
        <f aca="false">IF(AND(Payroll!$A615&lt;&gt;"",N(Payroll!$R615)&gt;0),"EDR","")</f>
        <v/>
      </c>
      <c r="B615" s="24" t="str">
        <f aca="false">IF($A615="","",Payroll!U615)</f>
        <v/>
      </c>
      <c r="C615" s="24" t="str">
        <f aca="false">IF($A615="","",Payroll!S615)</f>
        <v/>
      </c>
      <c r="D615" s="24" t="str">
        <f aca="false">IF($A615="","",SUBSTITUTE(Payroll!T615," ",""))</f>
        <v/>
      </c>
      <c r="E615" s="24" t="str">
        <f aca="false">IF($A615="","",TEXT(Settings!$B$8,"yyyy-mm-dd"))</f>
        <v/>
      </c>
      <c r="F615" s="24" t="str">
        <f aca="false">IF($A615="","",TEXT(Settings!$B$9,"yyyy-mm-dd"))</f>
        <v/>
      </c>
      <c r="G615" s="24" t="str">
        <f aca="false">IF($A615="","",DAY(Settings!$B$9))</f>
        <v/>
      </c>
      <c r="H615" s="26" t="str">
        <f aca="false">IF($A615="","",ROUND(Payroll!R615-Payroll!L615-Payroll!M615,2))</f>
        <v/>
      </c>
      <c r="I615" s="26" t="str">
        <f aca="false">IF($A615="","",ROUND(Payroll!L615+Payroll!M615,2))</f>
        <v/>
      </c>
      <c r="J615" s="24" t="str">
        <f aca="false">IF($A615="","",0)</f>
        <v/>
      </c>
    </row>
    <row r="616" customFormat="false" ht="15" hidden="false" customHeight="false" outlineLevel="0" collapsed="false">
      <c r="A616" s="24" t="str">
        <f aca="false">IF(AND(Payroll!$A616&lt;&gt;"",N(Payroll!$R616)&gt;0),"EDR","")</f>
        <v/>
      </c>
      <c r="B616" s="24" t="str">
        <f aca="false">IF($A616="","",Payroll!U616)</f>
        <v/>
      </c>
      <c r="C616" s="24" t="str">
        <f aca="false">IF($A616="","",Payroll!S616)</f>
        <v/>
      </c>
      <c r="D616" s="24" t="str">
        <f aca="false">IF($A616="","",SUBSTITUTE(Payroll!T616," ",""))</f>
        <v/>
      </c>
      <c r="E616" s="24" t="str">
        <f aca="false">IF($A616="","",TEXT(Settings!$B$8,"yyyy-mm-dd"))</f>
        <v/>
      </c>
      <c r="F616" s="24" t="str">
        <f aca="false">IF($A616="","",TEXT(Settings!$B$9,"yyyy-mm-dd"))</f>
        <v/>
      </c>
      <c r="G616" s="24" t="str">
        <f aca="false">IF($A616="","",DAY(Settings!$B$9))</f>
        <v/>
      </c>
      <c r="H616" s="26" t="str">
        <f aca="false">IF($A616="","",ROUND(Payroll!R616-Payroll!L616-Payroll!M616,2))</f>
        <v/>
      </c>
      <c r="I616" s="26" t="str">
        <f aca="false">IF($A616="","",ROUND(Payroll!L616+Payroll!M616,2))</f>
        <v/>
      </c>
      <c r="J616" s="24" t="str">
        <f aca="false">IF($A616="","",0)</f>
        <v/>
      </c>
    </row>
    <row r="617" customFormat="false" ht="15" hidden="false" customHeight="false" outlineLevel="0" collapsed="false">
      <c r="A617" s="24" t="str">
        <f aca="false">IF(AND(Payroll!$A617&lt;&gt;"",N(Payroll!$R617)&gt;0),"EDR","")</f>
        <v/>
      </c>
      <c r="B617" s="24" t="str">
        <f aca="false">IF($A617="","",Payroll!U617)</f>
        <v/>
      </c>
      <c r="C617" s="24" t="str">
        <f aca="false">IF($A617="","",Payroll!S617)</f>
        <v/>
      </c>
      <c r="D617" s="24" t="str">
        <f aca="false">IF($A617="","",SUBSTITUTE(Payroll!T617," ",""))</f>
        <v/>
      </c>
      <c r="E617" s="24" t="str">
        <f aca="false">IF($A617="","",TEXT(Settings!$B$8,"yyyy-mm-dd"))</f>
        <v/>
      </c>
      <c r="F617" s="24" t="str">
        <f aca="false">IF($A617="","",TEXT(Settings!$B$9,"yyyy-mm-dd"))</f>
        <v/>
      </c>
      <c r="G617" s="24" t="str">
        <f aca="false">IF($A617="","",DAY(Settings!$B$9))</f>
        <v/>
      </c>
      <c r="H617" s="26" t="str">
        <f aca="false">IF($A617="","",ROUND(Payroll!R617-Payroll!L617-Payroll!M617,2))</f>
        <v/>
      </c>
      <c r="I617" s="26" t="str">
        <f aca="false">IF($A617="","",ROUND(Payroll!L617+Payroll!M617,2))</f>
        <v/>
      </c>
      <c r="J617" s="24" t="str">
        <f aca="false">IF($A617="","",0)</f>
        <v/>
      </c>
    </row>
    <row r="618" customFormat="false" ht="15" hidden="false" customHeight="false" outlineLevel="0" collapsed="false">
      <c r="A618" s="24" t="str">
        <f aca="false">IF(AND(Payroll!$A618&lt;&gt;"",N(Payroll!$R618)&gt;0),"EDR","")</f>
        <v/>
      </c>
      <c r="B618" s="24" t="str">
        <f aca="false">IF($A618="","",Payroll!U618)</f>
        <v/>
      </c>
      <c r="C618" s="24" t="str">
        <f aca="false">IF($A618="","",Payroll!S618)</f>
        <v/>
      </c>
      <c r="D618" s="24" t="str">
        <f aca="false">IF($A618="","",SUBSTITUTE(Payroll!T618," ",""))</f>
        <v/>
      </c>
      <c r="E618" s="24" t="str">
        <f aca="false">IF($A618="","",TEXT(Settings!$B$8,"yyyy-mm-dd"))</f>
        <v/>
      </c>
      <c r="F618" s="24" t="str">
        <f aca="false">IF($A618="","",TEXT(Settings!$B$9,"yyyy-mm-dd"))</f>
        <v/>
      </c>
      <c r="G618" s="24" t="str">
        <f aca="false">IF($A618="","",DAY(Settings!$B$9))</f>
        <v/>
      </c>
      <c r="H618" s="26" t="str">
        <f aca="false">IF($A618="","",ROUND(Payroll!R618-Payroll!L618-Payroll!M618,2))</f>
        <v/>
      </c>
      <c r="I618" s="26" t="str">
        <f aca="false">IF($A618="","",ROUND(Payroll!L618+Payroll!M618,2))</f>
        <v/>
      </c>
      <c r="J618" s="24" t="str">
        <f aca="false">IF($A618="","",0)</f>
        <v/>
      </c>
    </row>
    <row r="619" customFormat="false" ht="15" hidden="false" customHeight="false" outlineLevel="0" collapsed="false">
      <c r="A619" s="24" t="str">
        <f aca="false">IF(AND(Payroll!$A619&lt;&gt;"",N(Payroll!$R619)&gt;0),"EDR","")</f>
        <v/>
      </c>
      <c r="B619" s="24" t="str">
        <f aca="false">IF($A619="","",Payroll!U619)</f>
        <v/>
      </c>
      <c r="C619" s="24" t="str">
        <f aca="false">IF($A619="","",Payroll!S619)</f>
        <v/>
      </c>
      <c r="D619" s="24" t="str">
        <f aca="false">IF($A619="","",SUBSTITUTE(Payroll!T619," ",""))</f>
        <v/>
      </c>
      <c r="E619" s="24" t="str">
        <f aca="false">IF($A619="","",TEXT(Settings!$B$8,"yyyy-mm-dd"))</f>
        <v/>
      </c>
      <c r="F619" s="24" t="str">
        <f aca="false">IF($A619="","",TEXT(Settings!$B$9,"yyyy-mm-dd"))</f>
        <v/>
      </c>
      <c r="G619" s="24" t="str">
        <f aca="false">IF($A619="","",DAY(Settings!$B$9))</f>
        <v/>
      </c>
      <c r="H619" s="26" t="str">
        <f aca="false">IF($A619="","",ROUND(Payroll!R619-Payroll!L619-Payroll!M619,2))</f>
        <v/>
      </c>
      <c r="I619" s="26" t="str">
        <f aca="false">IF($A619="","",ROUND(Payroll!L619+Payroll!M619,2))</f>
        <v/>
      </c>
      <c r="J619" s="24" t="str">
        <f aca="false">IF($A619="","",0)</f>
        <v/>
      </c>
    </row>
    <row r="620" customFormat="false" ht="15" hidden="false" customHeight="false" outlineLevel="0" collapsed="false">
      <c r="A620" s="24" t="str">
        <f aca="false">IF(AND(Payroll!$A620&lt;&gt;"",N(Payroll!$R620)&gt;0),"EDR","")</f>
        <v/>
      </c>
      <c r="B620" s="24" t="str">
        <f aca="false">IF($A620="","",Payroll!U620)</f>
        <v/>
      </c>
      <c r="C620" s="24" t="str">
        <f aca="false">IF($A620="","",Payroll!S620)</f>
        <v/>
      </c>
      <c r="D620" s="24" t="str">
        <f aca="false">IF($A620="","",SUBSTITUTE(Payroll!T620," ",""))</f>
        <v/>
      </c>
      <c r="E620" s="24" t="str">
        <f aca="false">IF($A620="","",TEXT(Settings!$B$8,"yyyy-mm-dd"))</f>
        <v/>
      </c>
      <c r="F620" s="24" t="str">
        <f aca="false">IF($A620="","",TEXT(Settings!$B$9,"yyyy-mm-dd"))</f>
        <v/>
      </c>
      <c r="G620" s="24" t="str">
        <f aca="false">IF($A620="","",DAY(Settings!$B$9))</f>
        <v/>
      </c>
      <c r="H620" s="26" t="str">
        <f aca="false">IF($A620="","",ROUND(Payroll!R620-Payroll!L620-Payroll!M620,2))</f>
        <v/>
      </c>
      <c r="I620" s="26" t="str">
        <f aca="false">IF($A620="","",ROUND(Payroll!L620+Payroll!M620,2))</f>
        <v/>
      </c>
      <c r="J620" s="24" t="str">
        <f aca="false">IF($A620="","",0)</f>
        <v/>
      </c>
    </row>
    <row r="621" customFormat="false" ht="15" hidden="false" customHeight="false" outlineLevel="0" collapsed="false">
      <c r="A621" s="24" t="str">
        <f aca="false">IF(AND(Payroll!$A621&lt;&gt;"",N(Payroll!$R621)&gt;0),"EDR","")</f>
        <v/>
      </c>
      <c r="B621" s="24" t="str">
        <f aca="false">IF($A621="","",Payroll!U621)</f>
        <v/>
      </c>
      <c r="C621" s="24" t="str">
        <f aca="false">IF($A621="","",Payroll!S621)</f>
        <v/>
      </c>
      <c r="D621" s="24" t="str">
        <f aca="false">IF($A621="","",SUBSTITUTE(Payroll!T621," ",""))</f>
        <v/>
      </c>
      <c r="E621" s="24" t="str">
        <f aca="false">IF($A621="","",TEXT(Settings!$B$8,"yyyy-mm-dd"))</f>
        <v/>
      </c>
      <c r="F621" s="24" t="str">
        <f aca="false">IF($A621="","",TEXT(Settings!$B$9,"yyyy-mm-dd"))</f>
        <v/>
      </c>
      <c r="G621" s="24" t="str">
        <f aca="false">IF($A621="","",DAY(Settings!$B$9))</f>
        <v/>
      </c>
      <c r="H621" s="26" t="str">
        <f aca="false">IF($A621="","",ROUND(Payroll!R621-Payroll!L621-Payroll!M621,2))</f>
        <v/>
      </c>
      <c r="I621" s="26" t="str">
        <f aca="false">IF($A621="","",ROUND(Payroll!L621+Payroll!M621,2))</f>
        <v/>
      </c>
      <c r="J621" s="24" t="str">
        <f aca="false">IF($A621="","",0)</f>
        <v/>
      </c>
    </row>
    <row r="622" customFormat="false" ht="15" hidden="false" customHeight="false" outlineLevel="0" collapsed="false">
      <c r="A622" s="24" t="str">
        <f aca="false">IF(AND(Payroll!$A622&lt;&gt;"",N(Payroll!$R622)&gt;0),"EDR","")</f>
        <v/>
      </c>
      <c r="B622" s="24" t="str">
        <f aca="false">IF($A622="","",Payroll!U622)</f>
        <v/>
      </c>
      <c r="C622" s="24" t="str">
        <f aca="false">IF($A622="","",Payroll!S622)</f>
        <v/>
      </c>
      <c r="D622" s="24" t="str">
        <f aca="false">IF($A622="","",SUBSTITUTE(Payroll!T622," ",""))</f>
        <v/>
      </c>
      <c r="E622" s="24" t="str">
        <f aca="false">IF($A622="","",TEXT(Settings!$B$8,"yyyy-mm-dd"))</f>
        <v/>
      </c>
      <c r="F622" s="24" t="str">
        <f aca="false">IF($A622="","",TEXT(Settings!$B$9,"yyyy-mm-dd"))</f>
        <v/>
      </c>
      <c r="G622" s="24" t="str">
        <f aca="false">IF($A622="","",DAY(Settings!$B$9))</f>
        <v/>
      </c>
      <c r="H622" s="26" t="str">
        <f aca="false">IF($A622="","",ROUND(Payroll!R622-Payroll!L622-Payroll!M622,2))</f>
        <v/>
      </c>
      <c r="I622" s="26" t="str">
        <f aca="false">IF($A622="","",ROUND(Payroll!L622+Payroll!M622,2))</f>
        <v/>
      </c>
      <c r="J622" s="24" t="str">
        <f aca="false">IF($A622="","",0)</f>
        <v/>
      </c>
    </row>
    <row r="623" customFormat="false" ht="15" hidden="false" customHeight="false" outlineLevel="0" collapsed="false">
      <c r="A623" s="24" t="str">
        <f aca="false">IF(AND(Payroll!$A623&lt;&gt;"",N(Payroll!$R623)&gt;0),"EDR","")</f>
        <v/>
      </c>
      <c r="B623" s="24" t="str">
        <f aca="false">IF($A623="","",Payroll!U623)</f>
        <v/>
      </c>
      <c r="C623" s="24" t="str">
        <f aca="false">IF($A623="","",Payroll!S623)</f>
        <v/>
      </c>
      <c r="D623" s="24" t="str">
        <f aca="false">IF($A623="","",SUBSTITUTE(Payroll!T623," ",""))</f>
        <v/>
      </c>
      <c r="E623" s="24" t="str">
        <f aca="false">IF($A623="","",TEXT(Settings!$B$8,"yyyy-mm-dd"))</f>
        <v/>
      </c>
      <c r="F623" s="24" t="str">
        <f aca="false">IF($A623="","",TEXT(Settings!$B$9,"yyyy-mm-dd"))</f>
        <v/>
      </c>
      <c r="G623" s="24" t="str">
        <f aca="false">IF($A623="","",DAY(Settings!$B$9))</f>
        <v/>
      </c>
      <c r="H623" s="26" t="str">
        <f aca="false">IF($A623="","",ROUND(Payroll!R623-Payroll!L623-Payroll!M623,2))</f>
        <v/>
      </c>
      <c r="I623" s="26" t="str">
        <f aca="false">IF($A623="","",ROUND(Payroll!L623+Payroll!M623,2))</f>
        <v/>
      </c>
      <c r="J623" s="24" t="str">
        <f aca="false">IF($A623="","",0)</f>
        <v/>
      </c>
    </row>
    <row r="624" customFormat="false" ht="15" hidden="false" customHeight="false" outlineLevel="0" collapsed="false">
      <c r="A624" s="24" t="str">
        <f aca="false">IF(AND(Payroll!$A624&lt;&gt;"",N(Payroll!$R624)&gt;0),"EDR","")</f>
        <v/>
      </c>
      <c r="B624" s="24" t="str">
        <f aca="false">IF($A624="","",Payroll!U624)</f>
        <v/>
      </c>
      <c r="C624" s="24" t="str">
        <f aca="false">IF($A624="","",Payroll!S624)</f>
        <v/>
      </c>
      <c r="D624" s="24" t="str">
        <f aca="false">IF($A624="","",SUBSTITUTE(Payroll!T624," ",""))</f>
        <v/>
      </c>
      <c r="E624" s="24" t="str">
        <f aca="false">IF($A624="","",TEXT(Settings!$B$8,"yyyy-mm-dd"))</f>
        <v/>
      </c>
      <c r="F624" s="24" t="str">
        <f aca="false">IF($A624="","",TEXT(Settings!$B$9,"yyyy-mm-dd"))</f>
        <v/>
      </c>
      <c r="G624" s="24" t="str">
        <f aca="false">IF($A624="","",DAY(Settings!$B$9))</f>
        <v/>
      </c>
      <c r="H624" s="26" t="str">
        <f aca="false">IF($A624="","",ROUND(Payroll!R624-Payroll!L624-Payroll!M624,2))</f>
        <v/>
      </c>
      <c r="I624" s="26" t="str">
        <f aca="false">IF($A624="","",ROUND(Payroll!L624+Payroll!M624,2))</f>
        <v/>
      </c>
      <c r="J624" s="24" t="str">
        <f aca="false">IF($A624="","",0)</f>
        <v/>
      </c>
    </row>
    <row r="625" customFormat="false" ht="15" hidden="false" customHeight="false" outlineLevel="0" collapsed="false">
      <c r="A625" s="24" t="str">
        <f aca="false">IF(AND(Payroll!$A625&lt;&gt;"",N(Payroll!$R625)&gt;0),"EDR","")</f>
        <v/>
      </c>
      <c r="B625" s="24" t="str">
        <f aca="false">IF($A625="","",Payroll!U625)</f>
        <v/>
      </c>
      <c r="C625" s="24" t="str">
        <f aca="false">IF($A625="","",Payroll!S625)</f>
        <v/>
      </c>
      <c r="D625" s="24" t="str">
        <f aca="false">IF($A625="","",SUBSTITUTE(Payroll!T625," ",""))</f>
        <v/>
      </c>
      <c r="E625" s="24" t="str">
        <f aca="false">IF($A625="","",TEXT(Settings!$B$8,"yyyy-mm-dd"))</f>
        <v/>
      </c>
      <c r="F625" s="24" t="str">
        <f aca="false">IF($A625="","",TEXT(Settings!$B$9,"yyyy-mm-dd"))</f>
        <v/>
      </c>
      <c r="G625" s="24" t="str">
        <f aca="false">IF($A625="","",DAY(Settings!$B$9))</f>
        <v/>
      </c>
      <c r="H625" s="26" t="str">
        <f aca="false">IF($A625="","",ROUND(Payroll!R625-Payroll!L625-Payroll!M625,2))</f>
        <v/>
      </c>
      <c r="I625" s="26" t="str">
        <f aca="false">IF($A625="","",ROUND(Payroll!L625+Payroll!M625,2))</f>
        <v/>
      </c>
      <c r="J625" s="24" t="str">
        <f aca="false">IF($A625="","",0)</f>
        <v/>
      </c>
    </row>
    <row r="626" customFormat="false" ht="15" hidden="false" customHeight="false" outlineLevel="0" collapsed="false">
      <c r="A626" s="24" t="str">
        <f aca="false">IF(AND(Payroll!$A626&lt;&gt;"",N(Payroll!$R626)&gt;0),"EDR","")</f>
        <v/>
      </c>
      <c r="B626" s="24" t="str">
        <f aca="false">IF($A626="","",Payroll!U626)</f>
        <v/>
      </c>
      <c r="C626" s="24" t="str">
        <f aca="false">IF($A626="","",Payroll!S626)</f>
        <v/>
      </c>
      <c r="D626" s="24" t="str">
        <f aca="false">IF($A626="","",SUBSTITUTE(Payroll!T626," ",""))</f>
        <v/>
      </c>
      <c r="E626" s="24" t="str">
        <f aca="false">IF($A626="","",TEXT(Settings!$B$8,"yyyy-mm-dd"))</f>
        <v/>
      </c>
      <c r="F626" s="24" t="str">
        <f aca="false">IF($A626="","",TEXT(Settings!$B$9,"yyyy-mm-dd"))</f>
        <v/>
      </c>
      <c r="G626" s="24" t="str">
        <f aca="false">IF($A626="","",DAY(Settings!$B$9))</f>
        <v/>
      </c>
      <c r="H626" s="26" t="str">
        <f aca="false">IF($A626="","",ROUND(Payroll!R626-Payroll!L626-Payroll!M626,2))</f>
        <v/>
      </c>
      <c r="I626" s="26" t="str">
        <f aca="false">IF($A626="","",ROUND(Payroll!L626+Payroll!M626,2))</f>
        <v/>
      </c>
      <c r="J626" s="24" t="str">
        <f aca="false">IF($A626="","",0)</f>
        <v/>
      </c>
    </row>
    <row r="627" customFormat="false" ht="15" hidden="false" customHeight="false" outlineLevel="0" collapsed="false">
      <c r="A627" s="24" t="str">
        <f aca="false">IF(AND(Payroll!$A627&lt;&gt;"",N(Payroll!$R627)&gt;0),"EDR","")</f>
        <v/>
      </c>
      <c r="B627" s="24" t="str">
        <f aca="false">IF($A627="","",Payroll!U627)</f>
        <v/>
      </c>
      <c r="C627" s="24" t="str">
        <f aca="false">IF($A627="","",Payroll!S627)</f>
        <v/>
      </c>
      <c r="D627" s="24" t="str">
        <f aca="false">IF($A627="","",SUBSTITUTE(Payroll!T627," ",""))</f>
        <v/>
      </c>
      <c r="E627" s="24" t="str">
        <f aca="false">IF($A627="","",TEXT(Settings!$B$8,"yyyy-mm-dd"))</f>
        <v/>
      </c>
      <c r="F627" s="24" t="str">
        <f aca="false">IF($A627="","",TEXT(Settings!$B$9,"yyyy-mm-dd"))</f>
        <v/>
      </c>
      <c r="G627" s="24" t="str">
        <f aca="false">IF($A627="","",DAY(Settings!$B$9))</f>
        <v/>
      </c>
      <c r="H627" s="26" t="str">
        <f aca="false">IF($A627="","",ROUND(Payroll!R627-Payroll!L627-Payroll!M627,2))</f>
        <v/>
      </c>
      <c r="I627" s="26" t="str">
        <f aca="false">IF($A627="","",ROUND(Payroll!L627+Payroll!M627,2))</f>
        <v/>
      </c>
      <c r="J627" s="24" t="str">
        <f aca="false">IF($A627="","",0)</f>
        <v/>
      </c>
    </row>
    <row r="628" customFormat="false" ht="15" hidden="false" customHeight="false" outlineLevel="0" collapsed="false">
      <c r="A628" s="24" t="str">
        <f aca="false">IF(AND(Payroll!$A628&lt;&gt;"",N(Payroll!$R628)&gt;0),"EDR","")</f>
        <v/>
      </c>
      <c r="B628" s="24" t="str">
        <f aca="false">IF($A628="","",Payroll!U628)</f>
        <v/>
      </c>
      <c r="C628" s="24" t="str">
        <f aca="false">IF($A628="","",Payroll!S628)</f>
        <v/>
      </c>
      <c r="D628" s="24" t="str">
        <f aca="false">IF($A628="","",SUBSTITUTE(Payroll!T628," ",""))</f>
        <v/>
      </c>
      <c r="E628" s="24" t="str">
        <f aca="false">IF($A628="","",TEXT(Settings!$B$8,"yyyy-mm-dd"))</f>
        <v/>
      </c>
      <c r="F628" s="24" t="str">
        <f aca="false">IF($A628="","",TEXT(Settings!$B$9,"yyyy-mm-dd"))</f>
        <v/>
      </c>
      <c r="G628" s="24" t="str">
        <f aca="false">IF($A628="","",DAY(Settings!$B$9))</f>
        <v/>
      </c>
      <c r="H628" s="26" t="str">
        <f aca="false">IF($A628="","",ROUND(Payroll!R628-Payroll!L628-Payroll!M628,2))</f>
        <v/>
      </c>
      <c r="I628" s="26" t="str">
        <f aca="false">IF($A628="","",ROUND(Payroll!L628+Payroll!M628,2))</f>
        <v/>
      </c>
      <c r="J628" s="24" t="str">
        <f aca="false">IF($A628="","",0)</f>
        <v/>
      </c>
    </row>
    <row r="629" customFormat="false" ht="15" hidden="false" customHeight="false" outlineLevel="0" collapsed="false">
      <c r="A629" s="24" t="str">
        <f aca="false">IF(AND(Payroll!$A629&lt;&gt;"",N(Payroll!$R629)&gt;0),"EDR","")</f>
        <v/>
      </c>
      <c r="B629" s="24" t="str">
        <f aca="false">IF($A629="","",Payroll!U629)</f>
        <v/>
      </c>
      <c r="C629" s="24" t="str">
        <f aca="false">IF($A629="","",Payroll!S629)</f>
        <v/>
      </c>
      <c r="D629" s="24" t="str">
        <f aca="false">IF($A629="","",SUBSTITUTE(Payroll!T629," ",""))</f>
        <v/>
      </c>
      <c r="E629" s="24" t="str">
        <f aca="false">IF($A629="","",TEXT(Settings!$B$8,"yyyy-mm-dd"))</f>
        <v/>
      </c>
      <c r="F629" s="24" t="str">
        <f aca="false">IF($A629="","",TEXT(Settings!$B$9,"yyyy-mm-dd"))</f>
        <v/>
      </c>
      <c r="G629" s="24" t="str">
        <f aca="false">IF($A629="","",DAY(Settings!$B$9))</f>
        <v/>
      </c>
      <c r="H629" s="26" t="str">
        <f aca="false">IF($A629="","",ROUND(Payroll!R629-Payroll!L629-Payroll!M629,2))</f>
        <v/>
      </c>
      <c r="I629" s="26" t="str">
        <f aca="false">IF($A629="","",ROUND(Payroll!L629+Payroll!M629,2))</f>
        <v/>
      </c>
      <c r="J629" s="24" t="str">
        <f aca="false">IF($A629="","",0)</f>
        <v/>
      </c>
    </row>
    <row r="630" customFormat="false" ht="15" hidden="false" customHeight="false" outlineLevel="0" collapsed="false">
      <c r="A630" s="24" t="str">
        <f aca="false">IF(AND(Payroll!$A630&lt;&gt;"",N(Payroll!$R630)&gt;0),"EDR","")</f>
        <v/>
      </c>
      <c r="B630" s="24" t="str">
        <f aca="false">IF($A630="","",Payroll!U630)</f>
        <v/>
      </c>
      <c r="C630" s="24" t="str">
        <f aca="false">IF($A630="","",Payroll!S630)</f>
        <v/>
      </c>
      <c r="D630" s="24" t="str">
        <f aca="false">IF($A630="","",SUBSTITUTE(Payroll!T630," ",""))</f>
        <v/>
      </c>
      <c r="E630" s="24" t="str">
        <f aca="false">IF($A630="","",TEXT(Settings!$B$8,"yyyy-mm-dd"))</f>
        <v/>
      </c>
      <c r="F630" s="24" t="str">
        <f aca="false">IF($A630="","",TEXT(Settings!$B$9,"yyyy-mm-dd"))</f>
        <v/>
      </c>
      <c r="G630" s="24" t="str">
        <f aca="false">IF($A630="","",DAY(Settings!$B$9))</f>
        <v/>
      </c>
      <c r="H630" s="26" t="str">
        <f aca="false">IF($A630="","",ROUND(Payroll!R630-Payroll!L630-Payroll!M630,2))</f>
        <v/>
      </c>
      <c r="I630" s="26" t="str">
        <f aca="false">IF($A630="","",ROUND(Payroll!L630+Payroll!M630,2))</f>
        <v/>
      </c>
      <c r="J630" s="24" t="str">
        <f aca="false">IF($A630="","",0)</f>
        <v/>
      </c>
    </row>
    <row r="631" customFormat="false" ht="15" hidden="false" customHeight="false" outlineLevel="0" collapsed="false">
      <c r="A631" s="24" t="str">
        <f aca="false">IF(AND(Payroll!$A631&lt;&gt;"",N(Payroll!$R631)&gt;0),"EDR","")</f>
        <v/>
      </c>
      <c r="B631" s="24" t="str">
        <f aca="false">IF($A631="","",Payroll!U631)</f>
        <v/>
      </c>
      <c r="C631" s="24" t="str">
        <f aca="false">IF($A631="","",Payroll!S631)</f>
        <v/>
      </c>
      <c r="D631" s="24" t="str">
        <f aca="false">IF($A631="","",SUBSTITUTE(Payroll!T631," ",""))</f>
        <v/>
      </c>
      <c r="E631" s="24" t="str">
        <f aca="false">IF($A631="","",TEXT(Settings!$B$8,"yyyy-mm-dd"))</f>
        <v/>
      </c>
      <c r="F631" s="24" t="str">
        <f aca="false">IF($A631="","",TEXT(Settings!$B$9,"yyyy-mm-dd"))</f>
        <v/>
      </c>
      <c r="G631" s="24" t="str">
        <f aca="false">IF($A631="","",DAY(Settings!$B$9))</f>
        <v/>
      </c>
      <c r="H631" s="26" t="str">
        <f aca="false">IF($A631="","",ROUND(Payroll!R631-Payroll!L631-Payroll!M631,2))</f>
        <v/>
      </c>
      <c r="I631" s="26" t="str">
        <f aca="false">IF($A631="","",ROUND(Payroll!L631+Payroll!M631,2))</f>
        <v/>
      </c>
      <c r="J631" s="24" t="str">
        <f aca="false">IF($A631="","",0)</f>
        <v/>
      </c>
    </row>
    <row r="632" customFormat="false" ht="15" hidden="false" customHeight="false" outlineLevel="0" collapsed="false">
      <c r="A632" s="24" t="str">
        <f aca="false">IF(AND(Payroll!$A632&lt;&gt;"",N(Payroll!$R632)&gt;0),"EDR","")</f>
        <v/>
      </c>
      <c r="B632" s="24" t="str">
        <f aca="false">IF($A632="","",Payroll!U632)</f>
        <v/>
      </c>
      <c r="C632" s="24" t="str">
        <f aca="false">IF($A632="","",Payroll!S632)</f>
        <v/>
      </c>
      <c r="D632" s="24" t="str">
        <f aca="false">IF($A632="","",SUBSTITUTE(Payroll!T632," ",""))</f>
        <v/>
      </c>
      <c r="E632" s="24" t="str">
        <f aca="false">IF($A632="","",TEXT(Settings!$B$8,"yyyy-mm-dd"))</f>
        <v/>
      </c>
      <c r="F632" s="24" t="str">
        <f aca="false">IF($A632="","",TEXT(Settings!$B$9,"yyyy-mm-dd"))</f>
        <v/>
      </c>
      <c r="G632" s="24" t="str">
        <f aca="false">IF($A632="","",DAY(Settings!$B$9))</f>
        <v/>
      </c>
      <c r="H632" s="26" t="str">
        <f aca="false">IF($A632="","",ROUND(Payroll!R632-Payroll!L632-Payroll!M632,2))</f>
        <v/>
      </c>
      <c r="I632" s="26" t="str">
        <f aca="false">IF($A632="","",ROUND(Payroll!L632+Payroll!M632,2))</f>
        <v/>
      </c>
      <c r="J632" s="24" t="str">
        <f aca="false">IF($A632="","",0)</f>
        <v/>
      </c>
    </row>
    <row r="633" customFormat="false" ht="15" hidden="false" customHeight="false" outlineLevel="0" collapsed="false">
      <c r="A633" s="24" t="str">
        <f aca="false">IF(AND(Payroll!$A633&lt;&gt;"",N(Payroll!$R633)&gt;0),"EDR","")</f>
        <v/>
      </c>
      <c r="B633" s="24" t="str">
        <f aca="false">IF($A633="","",Payroll!U633)</f>
        <v/>
      </c>
      <c r="C633" s="24" t="str">
        <f aca="false">IF($A633="","",Payroll!S633)</f>
        <v/>
      </c>
      <c r="D633" s="24" t="str">
        <f aca="false">IF($A633="","",SUBSTITUTE(Payroll!T633," ",""))</f>
        <v/>
      </c>
      <c r="E633" s="24" t="str">
        <f aca="false">IF($A633="","",TEXT(Settings!$B$8,"yyyy-mm-dd"))</f>
        <v/>
      </c>
      <c r="F633" s="24" t="str">
        <f aca="false">IF($A633="","",TEXT(Settings!$B$9,"yyyy-mm-dd"))</f>
        <v/>
      </c>
      <c r="G633" s="24" t="str">
        <f aca="false">IF($A633="","",DAY(Settings!$B$9))</f>
        <v/>
      </c>
      <c r="H633" s="26" t="str">
        <f aca="false">IF($A633="","",ROUND(Payroll!R633-Payroll!L633-Payroll!M633,2))</f>
        <v/>
      </c>
      <c r="I633" s="26" t="str">
        <f aca="false">IF($A633="","",ROUND(Payroll!L633+Payroll!M633,2))</f>
        <v/>
      </c>
      <c r="J633" s="24" t="str">
        <f aca="false">IF($A633="","",0)</f>
        <v/>
      </c>
    </row>
    <row r="634" customFormat="false" ht="15" hidden="false" customHeight="false" outlineLevel="0" collapsed="false">
      <c r="A634" s="24" t="str">
        <f aca="false">IF(AND(Payroll!$A634&lt;&gt;"",N(Payroll!$R634)&gt;0),"EDR","")</f>
        <v/>
      </c>
      <c r="B634" s="24" t="str">
        <f aca="false">IF($A634="","",Payroll!U634)</f>
        <v/>
      </c>
      <c r="C634" s="24" t="str">
        <f aca="false">IF($A634="","",Payroll!S634)</f>
        <v/>
      </c>
      <c r="D634" s="24" t="str">
        <f aca="false">IF($A634="","",SUBSTITUTE(Payroll!T634," ",""))</f>
        <v/>
      </c>
      <c r="E634" s="24" t="str">
        <f aca="false">IF($A634="","",TEXT(Settings!$B$8,"yyyy-mm-dd"))</f>
        <v/>
      </c>
      <c r="F634" s="24" t="str">
        <f aca="false">IF($A634="","",TEXT(Settings!$B$9,"yyyy-mm-dd"))</f>
        <v/>
      </c>
      <c r="G634" s="24" t="str">
        <f aca="false">IF($A634="","",DAY(Settings!$B$9))</f>
        <v/>
      </c>
      <c r="H634" s="26" t="str">
        <f aca="false">IF($A634="","",ROUND(Payroll!R634-Payroll!L634-Payroll!M634,2))</f>
        <v/>
      </c>
      <c r="I634" s="26" t="str">
        <f aca="false">IF($A634="","",ROUND(Payroll!L634+Payroll!M634,2))</f>
        <v/>
      </c>
      <c r="J634" s="24" t="str">
        <f aca="false">IF($A634="","",0)</f>
        <v/>
      </c>
    </row>
    <row r="635" customFormat="false" ht="15" hidden="false" customHeight="false" outlineLevel="0" collapsed="false">
      <c r="A635" s="24" t="str">
        <f aca="false">IF(AND(Payroll!$A635&lt;&gt;"",N(Payroll!$R635)&gt;0),"EDR","")</f>
        <v/>
      </c>
      <c r="B635" s="24" t="str">
        <f aca="false">IF($A635="","",Payroll!U635)</f>
        <v/>
      </c>
      <c r="C635" s="24" t="str">
        <f aca="false">IF($A635="","",Payroll!S635)</f>
        <v/>
      </c>
      <c r="D635" s="24" t="str">
        <f aca="false">IF($A635="","",SUBSTITUTE(Payroll!T635," ",""))</f>
        <v/>
      </c>
      <c r="E635" s="24" t="str">
        <f aca="false">IF($A635="","",TEXT(Settings!$B$8,"yyyy-mm-dd"))</f>
        <v/>
      </c>
      <c r="F635" s="24" t="str">
        <f aca="false">IF($A635="","",TEXT(Settings!$B$9,"yyyy-mm-dd"))</f>
        <v/>
      </c>
      <c r="G635" s="24" t="str">
        <f aca="false">IF($A635="","",DAY(Settings!$B$9))</f>
        <v/>
      </c>
      <c r="H635" s="26" t="str">
        <f aca="false">IF($A635="","",ROUND(Payroll!R635-Payroll!L635-Payroll!M635,2))</f>
        <v/>
      </c>
      <c r="I635" s="26" t="str">
        <f aca="false">IF($A635="","",ROUND(Payroll!L635+Payroll!M635,2))</f>
        <v/>
      </c>
      <c r="J635" s="24" t="str">
        <f aca="false">IF($A635="","",0)</f>
        <v/>
      </c>
    </row>
    <row r="636" customFormat="false" ht="15" hidden="false" customHeight="false" outlineLevel="0" collapsed="false">
      <c r="A636" s="24" t="str">
        <f aca="false">IF(AND(Payroll!$A636&lt;&gt;"",N(Payroll!$R636)&gt;0),"EDR","")</f>
        <v/>
      </c>
      <c r="B636" s="24" t="str">
        <f aca="false">IF($A636="","",Payroll!U636)</f>
        <v/>
      </c>
      <c r="C636" s="24" t="str">
        <f aca="false">IF($A636="","",Payroll!S636)</f>
        <v/>
      </c>
      <c r="D636" s="24" t="str">
        <f aca="false">IF($A636="","",SUBSTITUTE(Payroll!T636," ",""))</f>
        <v/>
      </c>
      <c r="E636" s="24" t="str">
        <f aca="false">IF($A636="","",TEXT(Settings!$B$8,"yyyy-mm-dd"))</f>
        <v/>
      </c>
      <c r="F636" s="24" t="str">
        <f aca="false">IF($A636="","",TEXT(Settings!$B$9,"yyyy-mm-dd"))</f>
        <v/>
      </c>
      <c r="G636" s="24" t="str">
        <f aca="false">IF($A636="","",DAY(Settings!$B$9))</f>
        <v/>
      </c>
      <c r="H636" s="26" t="str">
        <f aca="false">IF($A636="","",ROUND(Payroll!R636-Payroll!L636-Payroll!M636,2))</f>
        <v/>
      </c>
      <c r="I636" s="26" t="str">
        <f aca="false">IF($A636="","",ROUND(Payroll!L636+Payroll!M636,2))</f>
        <v/>
      </c>
      <c r="J636" s="24" t="str">
        <f aca="false">IF($A636="","",0)</f>
        <v/>
      </c>
    </row>
    <row r="637" customFormat="false" ht="15" hidden="false" customHeight="false" outlineLevel="0" collapsed="false">
      <c r="A637" s="24" t="str">
        <f aca="false">IF(AND(Payroll!$A637&lt;&gt;"",N(Payroll!$R637)&gt;0),"EDR","")</f>
        <v/>
      </c>
      <c r="B637" s="24" t="str">
        <f aca="false">IF($A637="","",Payroll!U637)</f>
        <v/>
      </c>
      <c r="C637" s="24" t="str">
        <f aca="false">IF($A637="","",Payroll!S637)</f>
        <v/>
      </c>
      <c r="D637" s="24" t="str">
        <f aca="false">IF($A637="","",SUBSTITUTE(Payroll!T637," ",""))</f>
        <v/>
      </c>
      <c r="E637" s="24" t="str">
        <f aca="false">IF($A637="","",TEXT(Settings!$B$8,"yyyy-mm-dd"))</f>
        <v/>
      </c>
      <c r="F637" s="24" t="str">
        <f aca="false">IF($A637="","",TEXT(Settings!$B$9,"yyyy-mm-dd"))</f>
        <v/>
      </c>
      <c r="G637" s="24" t="str">
        <f aca="false">IF($A637="","",DAY(Settings!$B$9))</f>
        <v/>
      </c>
      <c r="H637" s="26" t="str">
        <f aca="false">IF($A637="","",ROUND(Payroll!R637-Payroll!L637-Payroll!M637,2))</f>
        <v/>
      </c>
      <c r="I637" s="26" t="str">
        <f aca="false">IF($A637="","",ROUND(Payroll!L637+Payroll!M637,2))</f>
        <v/>
      </c>
      <c r="J637" s="24" t="str">
        <f aca="false">IF($A637="","",0)</f>
        <v/>
      </c>
    </row>
    <row r="638" customFormat="false" ht="15" hidden="false" customHeight="false" outlineLevel="0" collapsed="false">
      <c r="A638" s="24" t="str">
        <f aca="false">IF(AND(Payroll!$A638&lt;&gt;"",N(Payroll!$R638)&gt;0),"EDR","")</f>
        <v/>
      </c>
      <c r="B638" s="24" t="str">
        <f aca="false">IF($A638="","",Payroll!U638)</f>
        <v/>
      </c>
      <c r="C638" s="24" t="str">
        <f aca="false">IF($A638="","",Payroll!S638)</f>
        <v/>
      </c>
      <c r="D638" s="24" t="str">
        <f aca="false">IF($A638="","",SUBSTITUTE(Payroll!T638," ",""))</f>
        <v/>
      </c>
      <c r="E638" s="24" t="str">
        <f aca="false">IF($A638="","",TEXT(Settings!$B$8,"yyyy-mm-dd"))</f>
        <v/>
      </c>
      <c r="F638" s="24" t="str">
        <f aca="false">IF($A638="","",TEXT(Settings!$B$9,"yyyy-mm-dd"))</f>
        <v/>
      </c>
      <c r="G638" s="24" t="str">
        <f aca="false">IF($A638="","",DAY(Settings!$B$9))</f>
        <v/>
      </c>
      <c r="H638" s="26" t="str">
        <f aca="false">IF($A638="","",ROUND(Payroll!R638-Payroll!L638-Payroll!M638,2))</f>
        <v/>
      </c>
      <c r="I638" s="26" t="str">
        <f aca="false">IF($A638="","",ROUND(Payroll!L638+Payroll!M638,2))</f>
        <v/>
      </c>
      <c r="J638" s="24" t="str">
        <f aca="false">IF($A638="","",0)</f>
        <v/>
      </c>
    </row>
    <row r="639" customFormat="false" ht="15" hidden="false" customHeight="false" outlineLevel="0" collapsed="false">
      <c r="A639" s="24" t="str">
        <f aca="false">IF(AND(Payroll!$A639&lt;&gt;"",N(Payroll!$R639)&gt;0),"EDR","")</f>
        <v/>
      </c>
      <c r="B639" s="24" t="str">
        <f aca="false">IF($A639="","",Payroll!U639)</f>
        <v/>
      </c>
      <c r="C639" s="24" t="str">
        <f aca="false">IF($A639="","",Payroll!S639)</f>
        <v/>
      </c>
      <c r="D639" s="24" t="str">
        <f aca="false">IF($A639="","",SUBSTITUTE(Payroll!T639," ",""))</f>
        <v/>
      </c>
      <c r="E639" s="24" t="str">
        <f aca="false">IF($A639="","",TEXT(Settings!$B$8,"yyyy-mm-dd"))</f>
        <v/>
      </c>
      <c r="F639" s="24" t="str">
        <f aca="false">IF($A639="","",TEXT(Settings!$B$9,"yyyy-mm-dd"))</f>
        <v/>
      </c>
      <c r="G639" s="24" t="str">
        <f aca="false">IF($A639="","",DAY(Settings!$B$9))</f>
        <v/>
      </c>
      <c r="H639" s="26" t="str">
        <f aca="false">IF($A639="","",ROUND(Payroll!R639-Payroll!L639-Payroll!M639,2))</f>
        <v/>
      </c>
      <c r="I639" s="26" t="str">
        <f aca="false">IF($A639="","",ROUND(Payroll!L639+Payroll!M639,2))</f>
        <v/>
      </c>
      <c r="J639" s="24" t="str">
        <f aca="false">IF($A639="","",0)</f>
        <v/>
      </c>
    </row>
    <row r="640" customFormat="false" ht="15" hidden="false" customHeight="false" outlineLevel="0" collapsed="false">
      <c r="A640" s="24" t="str">
        <f aca="false">IF(AND(Payroll!$A640&lt;&gt;"",N(Payroll!$R640)&gt;0),"EDR","")</f>
        <v/>
      </c>
      <c r="B640" s="24" t="str">
        <f aca="false">IF($A640="","",Payroll!U640)</f>
        <v/>
      </c>
      <c r="C640" s="24" t="str">
        <f aca="false">IF($A640="","",Payroll!S640)</f>
        <v/>
      </c>
      <c r="D640" s="24" t="str">
        <f aca="false">IF($A640="","",SUBSTITUTE(Payroll!T640," ",""))</f>
        <v/>
      </c>
      <c r="E640" s="24" t="str">
        <f aca="false">IF($A640="","",TEXT(Settings!$B$8,"yyyy-mm-dd"))</f>
        <v/>
      </c>
      <c r="F640" s="24" t="str">
        <f aca="false">IF($A640="","",TEXT(Settings!$B$9,"yyyy-mm-dd"))</f>
        <v/>
      </c>
      <c r="G640" s="24" t="str">
        <f aca="false">IF($A640="","",DAY(Settings!$B$9))</f>
        <v/>
      </c>
      <c r="H640" s="26" t="str">
        <f aca="false">IF($A640="","",ROUND(Payroll!R640-Payroll!L640-Payroll!M640,2))</f>
        <v/>
      </c>
      <c r="I640" s="26" t="str">
        <f aca="false">IF($A640="","",ROUND(Payroll!L640+Payroll!M640,2))</f>
        <v/>
      </c>
      <c r="J640" s="24" t="str">
        <f aca="false">IF($A640="","",0)</f>
        <v/>
      </c>
    </row>
    <row r="641" customFormat="false" ht="15" hidden="false" customHeight="false" outlineLevel="0" collapsed="false">
      <c r="A641" s="24" t="str">
        <f aca="false">IF(AND(Payroll!$A641&lt;&gt;"",N(Payroll!$R641)&gt;0),"EDR","")</f>
        <v/>
      </c>
      <c r="B641" s="24" t="str">
        <f aca="false">IF($A641="","",Payroll!U641)</f>
        <v/>
      </c>
      <c r="C641" s="24" t="str">
        <f aca="false">IF($A641="","",Payroll!S641)</f>
        <v/>
      </c>
      <c r="D641" s="24" t="str">
        <f aca="false">IF($A641="","",SUBSTITUTE(Payroll!T641," ",""))</f>
        <v/>
      </c>
      <c r="E641" s="24" t="str">
        <f aca="false">IF($A641="","",TEXT(Settings!$B$8,"yyyy-mm-dd"))</f>
        <v/>
      </c>
      <c r="F641" s="24" t="str">
        <f aca="false">IF($A641="","",TEXT(Settings!$B$9,"yyyy-mm-dd"))</f>
        <v/>
      </c>
      <c r="G641" s="24" t="str">
        <f aca="false">IF($A641="","",DAY(Settings!$B$9))</f>
        <v/>
      </c>
      <c r="H641" s="26" t="str">
        <f aca="false">IF($A641="","",ROUND(Payroll!R641-Payroll!L641-Payroll!M641,2))</f>
        <v/>
      </c>
      <c r="I641" s="26" t="str">
        <f aca="false">IF($A641="","",ROUND(Payroll!L641+Payroll!M641,2))</f>
        <v/>
      </c>
      <c r="J641" s="24" t="str">
        <f aca="false">IF($A641="","",0)</f>
        <v/>
      </c>
    </row>
    <row r="642" customFormat="false" ht="15" hidden="false" customHeight="false" outlineLevel="0" collapsed="false">
      <c r="A642" s="24" t="str">
        <f aca="false">IF(AND(Payroll!$A642&lt;&gt;"",N(Payroll!$R642)&gt;0),"EDR","")</f>
        <v/>
      </c>
      <c r="B642" s="24" t="str">
        <f aca="false">IF($A642="","",Payroll!U642)</f>
        <v/>
      </c>
      <c r="C642" s="24" t="str">
        <f aca="false">IF($A642="","",Payroll!S642)</f>
        <v/>
      </c>
      <c r="D642" s="24" t="str">
        <f aca="false">IF($A642="","",SUBSTITUTE(Payroll!T642," ",""))</f>
        <v/>
      </c>
      <c r="E642" s="24" t="str">
        <f aca="false">IF($A642="","",TEXT(Settings!$B$8,"yyyy-mm-dd"))</f>
        <v/>
      </c>
      <c r="F642" s="24" t="str">
        <f aca="false">IF($A642="","",TEXT(Settings!$B$9,"yyyy-mm-dd"))</f>
        <v/>
      </c>
      <c r="G642" s="24" t="str">
        <f aca="false">IF($A642="","",DAY(Settings!$B$9))</f>
        <v/>
      </c>
      <c r="H642" s="26" t="str">
        <f aca="false">IF($A642="","",ROUND(Payroll!R642-Payroll!L642-Payroll!M642,2))</f>
        <v/>
      </c>
      <c r="I642" s="26" t="str">
        <f aca="false">IF($A642="","",ROUND(Payroll!L642+Payroll!M642,2))</f>
        <v/>
      </c>
      <c r="J642" s="24" t="str">
        <f aca="false">IF($A642="","",0)</f>
        <v/>
      </c>
    </row>
    <row r="643" customFormat="false" ht="15" hidden="false" customHeight="false" outlineLevel="0" collapsed="false">
      <c r="A643" s="24" t="str">
        <f aca="false">IF(AND(Payroll!$A643&lt;&gt;"",N(Payroll!$R643)&gt;0),"EDR","")</f>
        <v/>
      </c>
      <c r="B643" s="24" t="str">
        <f aca="false">IF($A643="","",Payroll!U643)</f>
        <v/>
      </c>
      <c r="C643" s="24" t="str">
        <f aca="false">IF($A643="","",Payroll!S643)</f>
        <v/>
      </c>
      <c r="D643" s="24" t="str">
        <f aca="false">IF($A643="","",SUBSTITUTE(Payroll!T643," ",""))</f>
        <v/>
      </c>
      <c r="E643" s="24" t="str">
        <f aca="false">IF($A643="","",TEXT(Settings!$B$8,"yyyy-mm-dd"))</f>
        <v/>
      </c>
      <c r="F643" s="24" t="str">
        <f aca="false">IF($A643="","",TEXT(Settings!$B$9,"yyyy-mm-dd"))</f>
        <v/>
      </c>
      <c r="G643" s="24" t="str">
        <f aca="false">IF($A643="","",DAY(Settings!$B$9))</f>
        <v/>
      </c>
      <c r="H643" s="26" t="str">
        <f aca="false">IF($A643="","",ROUND(Payroll!R643-Payroll!L643-Payroll!M643,2))</f>
        <v/>
      </c>
      <c r="I643" s="26" t="str">
        <f aca="false">IF($A643="","",ROUND(Payroll!L643+Payroll!M643,2))</f>
        <v/>
      </c>
      <c r="J643" s="24" t="str">
        <f aca="false">IF($A643="","",0)</f>
        <v/>
      </c>
    </row>
    <row r="644" customFormat="false" ht="15" hidden="false" customHeight="false" outlineLevel="0" collapsed="false">
      <c r="A644" s="24" t="str">
        <f aca="false">IF(AND(Payroll!$A644&lt;&gt;"",N(Payroll!$R644)&gt;0),"EDR","")</f>
        <v/>
      </c>
      <c r="B644" s="24" t="str">
        <f aca="false">IF($A644="","",Payroll!U644)</f>
        <v/>
      </c>
      <c r="C644" s="24" t="str">
        <f aca="false">IF($A644="","",Payroll!S644)</f>
        <v/>
      </c>
      <c r="D644" s="24" t="str">
        <f aca="false">IF($A644="","",SUBSTITUTE(Payroll!T644," ",""))</f>
        <v/>
      </c>
      <c r="E644" s="24" t="str">
        <f aca="false">IF($A644="","",TEXT(Settings!$B$8,"yyyy-mm-dd"))</f>
        <v/>
      </c>
      <c r="F644" s="24" t="str">
        <f aca="false">IF($A644="","",TEXT(Settings!$B$9,"yyyy-mm-dd"))</f>
        <v/>
      </c>
      <c r="G644" s="24" t="str">
        <f aca="false">IF($A644="","",DAY(Settings!$B$9))</f>
        <v/>
      </c>
      <c r="H644" s="26" t="str">
        <f aca="false">IF($A644="","",ROUND(Payroll!R644-Payroll!L644-Payroll!M644,2))</f>
        <v/>
      </c>
      <c r="I644" s="26" t="str">
        <f aca="false">IF($A644="","",ROUND(Payroll!L644+Payroll!M644,2))</f>
        <v/>
      </c>
      <c r="J644" s="24" t="str">
        <f aca="false">IF($A644="","",0)</f>
        <v/>
      </c>
    </row>
    <row r="645" customFormat="false" ht="15" hidden="false" customHeight="false" outlineLevel="0" collapsed="false">
      <c r="A645" s="24" t="str">
        <f aca="false">IF(AND(Payroll!$A645&lt;&gt;"",N(Payroll!$R645)&gt;0),"EDR","")</f>
        <v/>
      </c>
      <c r="B645" s="24" t="str">
        <f aca="false">IF($A645="","",Payroll!U645)</f>
        <v/>
      </c>
      <c r="C645" s="24" t="str">
        <f aca="false">IF($A645="","",Payroll!S645)</f>
        <v/>
      </c>
      <c r="D645" s="24" t="str">
        <f aca="false">IF($A645="","",SUBSTITUTE(Payroll!T645," ",""))</f>
        <v/>
      </c>
      <c r="E645" s="24" t="str">
        <f aca="false">IF($A645="","",TEXT(Settings!$B$8,"yyyy-mm-dd"))</f>
        <v/>
      </c>
      <c r="F645" s="24" t="str">
        <f aca="false">IF($A645="","",TEXT(Settings!$B$9,"yyyy-mm-dd"))</f>
        <v/>
      </c>
      <c r="G645" s="24" t="str">
        <f aca="false">IF($A645="","",DAY(Settings!$B$9))</f>
        <v/>
      </c>
      <c r="H645" s="26" t="str">
        <f aca="false">IF($A645="","",ROUND(Payroll!R645-Payroll!L645-Payroll!M645,2))</f>
        <v/>
      </c>
      <c r="I645" s="26" t="str">
        <f aca="false">IF($A645="","",ROUND(Payroll!L645+Payroll!M645,2))</f>
        <v/>
      </c>
      <c r="J645" s="24" t="str">
        <f aca="false">IF($A645="","",0)</f>
        <v/>
      </c>
    </row>
    <row r="646" customFormat="false" ht="15" hidden="false" customHeight="false" outlineLevel="0" collapsed="false">
      <c r="A646" s="24" t="str">
        <f aca="false">IF(AND(Payroll!$A646&lt;&gt;"",N(Payroll!$R646)&gt;0),"EDR","")</f>
        <v/>
      </c>
      <c r="B646" s="24" t="str">
        <f aca="false">IF($A646="","",Payroll!U646)</f>
        <v/>
      </c>
      <c r="C646" s="24" t="str">
        <f aca="false">IF($A646="","",Payroll!S646)</f>
        <v/>
      </c>
      <c r="D646" s="24" t="str">
        <f aca="false">IF($A646="","",SUBSTITUTE(Payroll!T646," ",""))</f>
        <v/>
      </c>
      <c r="E646" s="24" t="str">
        <f aca="false">IF($A646="","",TEXT(Settings!$B$8,"yyyy-mm-dd"))</f>
        <v/>
      </c>
      <c r="F646" s="24" t="str">
        <f aca="false">IF($A646="","",TEXT(Settings!$B$9,"yyyy-mm-dd"))</f>
        <v/>
      </c>
      <c r="G646" s="24" t="str">
        <f aca="false">IF($A646="","",DAY(Settings!$B$9))</f>
        <v/>
      </c>
      <c r="H646" s="26" t="str">
        <f aca="false">IF($A646="","",ROUND(Payroll!R646-Payroll!L646-Payroll!M646,2))</f>
        <v/>
      </c>
      <c r="I646" s="26" t="str">
        <f aca="false">IF($A646="","",ROUND(Payroll!L646+Payroll!M646,2))</f>
        <v/>
      </c>
      <c r="J646" s="24" t="str">
        <f aca="false">IF($A646="","",0)</f>
        <v/>
      </c>
    </row>
    <row r="647" customFormat="false" ht="15" hidden="false" customHeight="false" outlineLevel="0" collapsed="false">
      <c r="A647" s="24" t="str">
        <f aca="false">IF(AND(Payroll!$A647&lt;&gt;"",N(Payroll!$R647)&gt;0),"EDR","")</f>
        <v/>
      </c>
      <c r="B647" s="24" t="str">
        <f aca="false">IF($A647="","",Payroll!U647)</f>
        <v/>
      </c>
      <c r="C647" s="24" t="str">
        <f aca="false">IF($A647="","",Payroll!S647)</f>
        <v/>
      </c>
      <c r="D647" s="24" t="str">
        <f aca="false">IF($A647="","",SUBSTITUTE(Payroll!T647," ",""))</f>
        <v/>
      </c>
      <c r="E647" s="24" t="str">
        <f aca="false">IF($A647="","",TEXT(Settings!$B$8,"yyyy-mm-dd"))</f>
        <v/>
      </c>
      <c r="F647" s="24" t="str">
        <f aca="false">IF($A647="","",TEXT(Settings!$B$9,"yyyy-mm-dd"))</f>
        <v/>
      </c>
      <c r="G647" s="24" t="str">
        <f aca="false">IF($A647="","",DAY(Settings!$B$9))</f>
        <v/>
      </c>
      <c r="H647" s="26" t="str">
        <f aca="false">IF($A647="","",ROUND(Payroll!R647-Payroll!L647-Payroll!M647,2))</f>
        <v/>
      </c>
      <c r="I647" s="26" t="str">
        <f aca="false">IF($A647="","",ROUND(Payroll!L647+Payroll!M647,2))</f>
        <v/>
      </c>
      <c r="J647" s="24" t="str">
        <f aca="false">IF($A647="","",0)</f>
        <v/>
      </c>
    </row>
    <row r="648" customFormat="false" ht="15" hidden="false" customHeight="false" outlineLevel="0" collapsed="false">
      <c r="A648" s="24" t="str">
        <f aca="false">IF(AND(Payroll!$A648&lt;&gt;"",N(Payroll!$R648)&gt;0),"EDR","")</f>
        <v/>
      </c>
      <c r="B648" s="24" t="str">
        <f aca="false">IF($A648="","",Payroll!U648)</f>
        <v/>
      </c>
      <c r="C648" s="24" t="str">
        <f aca="false">IF($A648="","",Payroll!S648)</f>
        <v/>
      </c>
      <c r="D648" s="24" t="str">
        <f aca="false">IF($A648="","",SUBSTITUTE(Payroll!T648," ",""))</f>
        <v/>
      </c>
      <c r="E648" s="24" t="str">
        <f aca="false">IF($A648="","",TEXT(Settings!$B$8,"yyyy-mm-dd"))</f>
        <v/>
      </c>
      <c r="F648" s="24" t="str">
        <f aca="false">IF($A648="","",TEXT(Settings!$B$9,"yyyy-mm-dd"))</f>
        <v/>
      </c>
      <c r="G648" s="24" t="str">
        <f aca="false">IF($A648="","",DAY(Settings!$B$9))</f>
        <v/>
      </c>
      <c r="H648" s="26" t="str">
        <f aca="false">IF($A648="","",ROUND(Payroll!R648-Payroll!L648-Payroll!M648,2))</f>
        <v/>
      </c>
      <c r="I648" s="26" t="str">
        <f aca="false">IF($A648="","",ROUND(Payroll!L648+Payroll!M648,2))</f>
        <v/>
      </c>
      <c r="J648" s="24" t="str">
        <f aca="false">IF($A648="","",0)</f>
        <v/>
      </c>
    </row>
    <row r="649" customFormat="false" ht="15" hidden="false" customHeight="false" outlineLevel="0" collapsed="false">
      <c r="A649" s="24" t="str">
        <f aca="false">IF(AND(Payroll!$A649&lt;&gt;"",N(Payroll!$R649)&gt;0),"EDR","")</f>
        <v/>
      </c>
      <c r="B649" s="24" t="str">
        <f aca="false">IF($A649="","",Payroll!U649)</f>
        <v/>
      </c>
      <c r="C649" s="24" t="str">
        <f aca="false">IF($A649="","",Payroll!S649)</f>
        <v/>
      </c>
      <c r="D649" s="24" t="str">
        <f aca="false">IF($A649="","",SUBSTITUTE(Payroll!T649," ",""))</f>
        <v/>
      </c>
      <c r="E649" s="24" t="str">
        <f aca="false">IF($A649="","",TEXT(Settings!$B$8,"yyyy-mm-dd"))</f>
        <v/>
      </c>
      <c r="F649" s="24" t="str">
        <f aca="false">IF($A649="","",TEXT(Settings!$B$9,"yyyy-mm-dd"))</f>
        <v/>
      </c>
      <c r="G649" s="24" t="str">
        <f aca="false">IF($A649="","",DAY(Settings!$B$9))</f>
        <v/>
      </c>
      <c r="H649" s="26" t="str">
        <f aca="false">IF($A649="","",ROUND(Payroll!R649-Payroll!L649-Payroll!M649,2))</f>
        <v/>
      </c>
      <c r="I649" s="26" t="str">
        <f aca="false">IF($A649="","",ROUND(Payroll!L649+Payroll!M649,2))</f>
        <v/>
      </c>
      <c r="J649" s="24" t="str">
        <f aca="false">IF($A649="","",0)</f>
        <v/>
      </c>
    </row>
    <row r="650" customFormat="false" ht="15" hidden="false" customHeight="false" outlineLevel="0" collapsed="false">
      <c r="A650" s="24" t="str">
        <f aca="false">IF(AND(Payroll!$A650&lt;&gt;"",N(Payroll!$R650)&gt;0),"EDR","")</f>
        <v/>
      </c>
      <c r="B650" s="24" t="str">
        <f aca="false">IF($A650="","",Payroll!U650)</f>
        <v/>
      </c>
      <c r="C650" s="24" t="str">
        <f aca="false">IF($A650="","",Payroll!S650)</f>
        <v/>
      </c>
      <c r="D650" s="24" t="str">
        <f aca="false">IF($A650="","",SUBSTITUTE(Payroll!T650," ",""))</f>
        <v/>
      </c>
      <c r="E650" s="24" t="str">
        <f aca="false">IF($A650="","",TEXT(Settings!$B$8,"yyyy-mm-dd"))</f>
        <v/>
      </c>
      <c r="F650" s="24" t="str">
        <f aca="false">IF($A650="","",TEXT(Settings!$B$9,"yyyy-mm-dd"))</f>
        <v/>
      </c>
      <c r="G650" s="24" t="str">
        <f aca="false">IF($A650="","",DAY(Settings!$B$9))</f>
        <v/>
      </c>
      <c r="H650" s="26" t="str">
        <f aca="false">IF($A650="","",ROUND(Payroll!R650-Payroll!L650-Payroll!M650,2))</f>
        <v/>
      </c>
      <c r="I650" s="26" t="str">
        <f aca="false">IF($A650="","",ROUND(Payroll!L650+Payroll!M650,2))</f>
        <v/>
      </c>
      <c r="J650" s="24" t="str">
        <f aca="false">IF($A650="","",0)</f>
        <v/>
      </c>
    </row>
    <row r="651" customFormat="false" ht="15" hidden="false" customHeight="false" outlineLevel="0" collapsed="false">
      <c r="A651" s="24" t="str">
        <f aca="false">IF(AND(Payroll!$A651&lt;&gt;"",N(Payroll!$R651)&gt;0),"EDR","")</f>
        <v/>
      </c>
      <c r="B651" s="24" t="str">
        <f aca="false">IF($A651="","",Payroll!U651)</f>
        <v/>
      </c>
      <c r="C651" s="24" t="str">
        <f aca="false">IF($A651="","",Payroll!S651)</f>
        <v/>
      </c>
      <c r="D651" s="24" t="str">
        <f aca="false">IF($A651="","",SUBSTITUTE(Payroll!T651," ",""))</f>
        <v/>
      </c>
      <c r="E651" s="24" t="str">
        <f aca="false">IF($A651="","",TEXT(Settings!$B$8,"yyyy-mm-dd"))</f>
        <v/>
      </c>
      <c r="F651" s="24" t="str">
        <f aca="false">IF($A651="","",TEXT(Settings!$B$9,"yyyy-mm-dd"))</f>
        <v/>
      </c>
      <c r="G651" s="24" t="str">
        <f aca="false">IF($A651="","",DAY(Settings!$B$9))</f>
        <v/>
      </c>
      <c r="H651" s="26" t="str">
        <f aca="false">IF($A651="","",ROUND(Payroll!R651-Payroll!L651-Payroll!M651,2))</f>
        <v/>
      </c>
      <c r="I651" s="26" t="str">
        <f aca="false">IF($A651="","",ROUND(Payroll!L651+Payroll!M651,2))</f>
        <v/>
      </c>
      <c r="J651" s="24" t="str">
        <f aca="false">IF($A651="","",0)</f>
        <v/>
      </c>
    </row>
    <row r="652" customFormat="false" ht="15" hidden="false" customHeight="false" outlineLevel="0" collapsed="false">
      <c r="A652" s="24" t="str">
        <f aca="false">IF(AND(Payroll!$A652&lt;&gt;"",N(Payroll!$R652)&gt;0),"EDR","")</f>
        <v/>
      </c>
      <c r="B652" s="24" t="str">
        <f aca="false">IF($A652="","",Payroll!U652)</f>
        <v/>
      </c>
      <c r="C652" s="24" t="str">
        <f aca="false">IF($A652="","",Payroll!S652)</f>
        <v/>
      </c>
      <c r="D652" s="24" t="str">
        <f aca="false">IF($A652="","",SUBSTITUTE(Payroll!T652," ",""))</f>
        <v/>
      </c>
      <c r="E652" s="24" t="str">
        <f aca="false">IF($A652="","",TEXT(Settings!$B$8,"yyyy-mm-dd"))</f>
        <v/>
      </c>
      <c r="F652" s="24" t="str">
        <f aca="false">IF($A652="","",TEXT(Settings!$B$9,"yyyy-mm-dd"))</f>
        <v/>
      </c>
      <c r="G652" s="24" t="str">
        <f aca="false">IF($A652="","",DAY(Settings!$B$9))</f>
        <v/>
      </c>
      <c r="H652" s="26" t="str">
        <f aca="false">IF($A652="","",ROUND(Payroll!R652-Payroll!L652-Payroll!M652,2))</f>
        <v/>
      </c>
      <c r="I652" s="26" t="str">
        <f aca="false">IF($A652="","",ROUND(Payroll!L652+Payroll!M652,2))</f>
        <v/>
      </c>
      <c r="J652" s="24" t="str">
        <f aca="false">IF($A652="","",0)</f>
        <v/>
      </c>
    </row>
    <row r="653" customFormat="false" ht="15" hidden="false" customHeight="false" outlineLevel="0" collapsed="false">
      <c r="A653" s="24" t="str">
        <f aca="false">IF(AND(Payroll!$A653&lt;&gt;"",N(Payroll!$R653)&gt;0),"EDR","")</f>
        <v/>
      </c>
      <c r="B653" s="24" t="str">
        <f aca="false">IF($A653="","",Payroll!U653)</f>
        <v/>
      </c>
      <c r="C653" s="24" t="str">
        <f aca="false">IF($A653="","",Payroll!S653)</f>
        <v/>
      </c>
      <c r="D653" s="24" t="str">
        <f aca="false">IF($A653="","",SUBSTITUTE(Payroll!T653," ",""))</f>
        <v/>
      </c>
      <c r="E653" s="24" t="str">
        <f aca="false">IF($A653="","",TEXT(Settings!$B$8,"yyyy-mm-dd"))</f>
        <v/>
      </c>
      <c r="F653" s="24" t="str">
        <f aca="false">IF($A653="","",TEXT(Settings!$B$9,"yyyy-mm-dd"))</f>
        <v/>
      </c>
      <c r="G653" s="24" t="str">
        <f aca="false">IF($A653="","",DAY(Settings!$B$9))</f>
        <v/>
      </c>
      <c r="H653" s="26" t="str">
        <f aca="false">IF($A653="","",ROUND(Payroll!R653-Payroll!L653-Payroll!M653,2))</f>
        <v/>
      </c>
      <c r="I653" s="26" t="str">
        <f aca="false">IF($A653="","",ROUND(Payroll!L653+Payroll!M653,2))</f>
        <v/>
      </c>
      <c r="J653" s="24" t="str">
        <f aca="false">IF($A653="","",0)</f>
        <v/>
      </c>
    </row>
    <row r="654" customFormat="false" ht="15" hidden="false" customHeight="false" outlineLevel="0" collapsed="false">
      <c r="A654" s="24" t="str">
        <f aca="false">IF(AND(Payroll!$A654&lt;&gt;"",N(Payroll!$R654)&gt;0),"EDR","")</f>
        <v/>
      </c>
      <c r="B654" s="24" t="str">
        <f aca="false">IF($A654="","",Payroll!U654)</f>
        <v/>
      </c>
      <c r="C654" s="24" t="str">
        <f aca="false">IF($A654="","",Payroll!S654)</f>
        <v/>
      </c>
      <c r="D654" s="24" t="str">
        <f aca="false">IF($A654="","",SUBSTITUTE(Payroll!T654," ",""))</f>
        <v/>
      </c>
      <c r="E654" s="24" t="str">
        <f aca="false">IF($A654="","",TEXT(Settings!$B$8,"yyyy-mm-dd"))</f>
        <v/>
      </c>
      <c r="F654" s="24" t="str">
        <f aca="false">IF($A654="","",TEXT(Settings!$B$9,"yyyy-mm-dd"))</f>
        <v/>
      </c>
      <c r="G654" s="24" t="str">
        <f aca="false">IF($A654="","",DAY(Settings!$B$9))</f>
        <v/>
      </c>
      <c r="H654" s="26" t="str">
        <f aca="false">IF($A654="","",ROUND(Payroll!R654-Payroll!L654-Payroll!M654,2))</f>
        <v/>
      </c>
      <c r="I654" s="26" t="str">
        <f aca="false">IF($A654="","",ROUND(Payroll!L654+Payroll!M654,2))</f>
        <v/>
      </c>
      <c r="J654" s="24" t="str">
        <f aca="false">IF($A654="","",0)</f>
        <v/>
      </c>
    </row>
    <row r="655" customFormat="false" ht="15" hidden="false" customHeight="false" outlineLevel="0" collapsed="false">
      <c r="A655" s="24" t="str">
        <f aca="false">IF(AND(Payroll!$A655&lt;&gt;"",N(Payroll!$R655)&gt;0),"EDR","")</f>
        <v/>
      </c>
      <c r="B655" s="24" t="str">
        <f aca="false">IF($A655="","",Payroll!U655)</f>
        <v/>
      </c>
      <c r="C655" s="24" t="str">
        <f aca="false">IF($A655="","",Payroll!S655)</f>
        <v/>
      </c>
      <c r="D655" s="24" t="str">
        <f aca="false">IF($A655="","",SUBSTITUTE(Payroll!T655," ",""))</f>
        <v/>
      </c>
      <c r="E655" s="24" t="str">
        <f aca="false">IF($A655="","",TEXT(Settings!$B$8,"yyyy-mm-dd"))</f>
        <v/>
      </c>
      <c r="F655" s="24" t="str">
        <f aca="false">IF($A655="","",TEXT(Settings!$B$9,"yyyy-mm-dd"))</f>
        <v/>
      </c>
      <c r="G655" s="24" t="str">
        <f aca="false">IF($A655="","",DAY(Settings!$B$9))</f>
        <v/>
      </c>
      <c r="H655" s="26" t="str">
        <f aca="false">IF($A655="","",ROUND(Payroll!R655-Payroll!L655-Payroll!M655,2))</f>
        <v/>
      </c>
      <c r="I655" s="26" t="str">
        <f aca="false">IF($A655="","",ROUND(Payroll!L655+Payroll!M655,2))</f>
        <v/>
      </c>
      <c r="J655" s="24" t="str">
        <f aca="false">IF($A655="","",0)</f>
        <v/>
      </c>
    </row>
    <row r="656" customFormat="false" ht="15" hidden="false" customHeight="false" outlineLevel="0" collapsed="false">
      <c r="A656" s="24" t="str">
        <f aca="false">IF(AND(Payroll!$A656&lt;&gt;"",N(Payroll!$R656)&gt;0),"EDR","")</f>
        <v/>
      </c>
      <c r="B656" s="24" t="str">
        <f aca="false">IF($A656="","",Payroll!U656)</f>
        <v/>
      </c>
      <c r="C656" s="24" t="str">
        <f aca="false">IF($A656="","",Payroll!S656)</f>
        <v/>
      </c>
      <c r="D656" s="24" t="str">
        <f aca="false">IF($A656="","",SUBSTITUTE(Payroll!T656," ",""))</f>
        <v/>
      </c>
      <c r="E656" s="24" t="str">
        <f aca="false">IF($A656="","",TEXT(Settings!$B$8,"yyyy-mm-dd"))</f>
        <v/>
      </c>
      <c r="F656" s="24" t="str">
        <f aca="false">IF($A656="","",TEXT(Settings!$B$9,"yyyy-mm-dd"))</f>
        <v/>
      </c>
      <c r="G656" s="24" t="str">
        <f aca="false">IF($A656="","",DAY(Settings!$B$9))</f>
        <v/>
      </c>
      <c r="H656" s="26" t="str">
        <f aca="false">IF($A656="","",ROUND(Payroll!R656-Payroll!L656-Payroll!M656,2))</f>
        <v/>
      </c>
      <c r="I656" s="26" t="str">
        <f aca="false">IF($A656="","",ROUND(Payroll!L656+Payroll!M656,2))</f>
        <v/>
      </c>
      <c r="J656" s="24" t="str">
        <f aca="false">IF($A656="","",0)</f>
        <v/>
      </c>
    </row>
    <row r="657" customFormat="false" ht="15" hidden="false" customHeight="false" outlineLevel="0" collapsed="false">
      <c r="A657" s="24" t="str">
        <f aca="false">IF(AND(Payroll!$A657&lt;&gt;"",N(Payroll!$R657)&gt;0),"EDR","")</f>
        <v/>
      </c>
      <c r="B657" s="24" t="str">
        <f aca="false">IF($A657="","",Payroll!U657)</f>
        <v/>
      </c>
      <c r="C657" s="24" t="str">
        <f aca="false">IF($A657="","",Payroll!S657)</f>
        <v/>
      </c>
      <c r="D657" s="24" t="str">
        <f aca="false">IF($A657="","",SUBSTITUTE(Payroll!T657," ",""))</f>
        <v/>
      </c>
      <c r="E657" s="24" t="str">
        <f aca="false">IF($A657="","",TEXT(Settings!$B$8,"yyyy-mm-dd"))</f>
        <v/>
      </c>
      <c r="F657" s="24" t="str">
        <f aca="false">IF($A657="","",TEXT(Settings!$B$9,"yyyy-mm-dd"))</f>
        <v/>
      </c>
      <c r="G657" s="24" t="str">
        <f aca="false">IF($A657="","",DAY(Settings!$B$9))</f>
        <v/>
      </c>
      <c r="H657" s="26" t="str">
        <f aca="false">IF($A657="","",ROUND(Payroll!R657-Payroll!L657-Payroll!M657,2))</f>
        <v/>
      </c>
      <c r="I657" s="26" t="str">
        <f aca="false">IF($A657="","",ROUND(Payroll!L657+Payroll!M657,2))</f>
        <v/>
      </c>
      <c r="J657" s="24" t="str">
        <f aca="false">IF($A657="","",0)</f>
        <v/>
      </c>
    </row>
    <row r="658" customFormat="false" ht="15" hidden="false" customHeight="false" outlineLevel="0" collapsed="false">
      <c r="A658" s="24" t="str">
        <f aca="false">IF(AND(Payroll!$A658&lt;&gt;"",N(Payroll!$R658)&gt;0),"EDR","")</f>
        <v/>
      </c>
      <c r="B658" s="24" t="str">
        <f aca="false">IF($A658="","",Payroll!U658)</f>
        <v/>
      </c>
      <c r="C658" s="24" t="str">
        <f aca="false">IF($A658="","",Payroll!S658)</f>
        <v/>
      </c>
      <c r="D658" s="24" t="str">
        <f aca="false">IF($A658="","",SUBSTITUTE(Payroll!T658," ",""))</f>
        <v/>
      </c>
      <c r="E658" s="24" t="str">
        <f aca="false">IF($A658="","",TEXT(Settings!$B$8,"yyyy-mm-dd"))</f>
        <v/>
      </c>
      <c r="F658" s="24" t="str">
        <f aca="false">IF($A658="","",TEXT(Settings!$B$9,"yyyy-mm-dd"))</f>
        <v/>
      </c>
      <c r="G658" s="24" t="str">
        <f aca="false">IF($A658="","",DAY(Settings!$B$9))</f>
        <v/>
      </c>
      <c r="H658" s="26" t="str">
        <f aca="false">IF($A658="","",ROUND(Payroll!R658-Payroll!L658-Payroll!M658,2))</f>
        <v/>
      </c>
      <c r="I658" s="26" t="str">
        <f aca="false">IF($A658="","",ROUND(Payroll!L658+Payroll!M658,2))</f>
        <v/>
      </c>
      <c r="J658" s="24" t="str">
        <f aca="false">IF($A658="","",0)</f>
        <v/>
      </c>
    </row>
    <row r="659" customFormat="false" ht="15" hidden="false" customHeight="false" outlineLevel="0" collapsed="false">
      <c r="A659" s="24" t="str">
        <f aca="false">IF(AND(Payroll!$A659&lt;&gt;"",N(Payroll!$R659)&gt;0),"EDR","")</f>
        <v/>
      </c>
      <c r="B659" s="24" t="str">
        <f aca="false">IF($A659="","",Payroll!U659)</f>
        <v/>
      </c>
      <c r="C659" s="24" t="str">
        <f aca="false">IF($A659="","",Payroll!S659)</f>
        <v/>
      </c>
      <c r="D659" s="24" t="str">
        <f aca="false">IF($A659="","",SUBSTITUTE(Payroll!T659," ",""))</f>
        <v/>
      </c>
      <c r="E659" s="24" t="str">
        <f aca="false">IF($A659="","",TEXT(Settings!$B$8,"yyyy-mm-dd"))</f>
        <v/>
      </c>
      <c r="F659" s="24" t="str">
        <f aca="false">IF($A659="","",TEXT(Settings!$B$9,"yyyy-mm-dd"))</f>
        <v/>
      </c>
      <c r="G659" s="24" t="str">
        <f aca="false">IF($A659="","",DAY(Settings!$B$9))</f>
        <v/>
      </c>
      <c r="H659" s="26" t="str">
        <f aca="false">IF($A659="","",ROUND(Payroll!R659-Payroll!L659-Payroll!M659,2))</f>
        <v/>
      </c>
      <c r="I659" s="26" t="str">
        <f aca="false">IF($A659="","",ROUND(Payroll!L659+Payroll!M659,2))</f>
        <v/>
      </c>
      <c r="J659" s="24" t="str">
        <f aca="false">IF($A659="","",0)</f>
        <v/>
      </c>
    </row>
    <row r="660" customFormat="false" ht="15" hidden="false" customHeight="false" outlineLevel="0" collapsed="false">
      <c r="A660" s="24" t="str">
        <f aca="false">IF(AND(Payroll!$A660&lt;&gt;"",N(Payroll!$R660)&gt;0),"EDR","")</f>
        <v/>
      </c>
      <c r="B660" s="24" t="str">
        <f aca="false">IF($A660="","",Payroll!U660)</f>
        <v/>
      </c>
      <c r="C660" s="24" t="str">
        <f aca="false">IF($A660="","",Payroll!S660)</f>
        <v/>
      </c>
      <c r="D660" s="24" t="str">
        <f aca="false">IF($A660="","",SUBSTITUTE(Payroll!T660," ",""))</f>
        <v/>
      </c>
      <c r="E660" s="24" t="str">
        <f aca="false">IF($A660="","",TEXT(Settings!$B$8,"yyyy-mm-dd"))</f>
        <v/>
      </c>
      <c r="F660" s="24" t="str">
        <f aca="false">IF($A660="","",TEXT(Settings!$B$9,"yyyy-mm-dd"))</f>
        <v/>
      </c>
      <c r="G660" s="24" t="str">
        <f aca="false">IF($A660="","",DAY(Settings!$B$9))</f>
        <v/>
      </c>
      <c r="H660" s="26" t="str">
        <f aca="false">IF($A660="","",ROUND(Payroll!R660-Payroll!L660-Payroll!M660,2))</f>
        <v/>
      </c>
      <c r="I660" s="26" t="str">
        <f aca="false">IF($A660="","",ROUND(Payroll!L660+Payroll!M660,2))</f>
        <v/>
      </c>
      <c r="J660" s="24" t="str">
        <f aca="false">IF($A660="","",0)</f>
        <v/>
      </c>
    </row>
    <row r="661" customFormat="false" ht="15" hidden="false" customHeight="false" outlineLevel="0" collapsed="false">
      <c r="A661" s="24" t="str">
        <f aca="false">IF(AND(Payroll!$A661&lt;&gt;"",N(Payroll!$R661)&gt;0),"EDR","")</f>
        <v/>
      </c>
      <c r="B661" s="24" t="str">
        <f aca="false">IF($A661="","",Payroll!U661)</f>
        <v/>
      </c>
      <c r="C661" s="24" t="str">
        <f aca="false">IF($A661="","",Payroll!S661)</f>
        <v/>
      </c>
      <c r="D661" s="24" t="str">
        <f aca="false">IF($A661="","",SUBSTITUTE(Payroll!T661," ",""))</f>
        <v/>
      </c>
      <c r="E661" s="24" t="str">
        <f aca="false">IF($A661="","",TEXT(Settings!$B$8,"yyyy-mm-dd"))</f>
        <v/>
      </c>
      <c r="F661" s="24" t="str">
        <f aca="false">IF($A661="","",TEXT(Settings!$B$9,"yyyy-mm-dd"))</f>
        <v/>
      </c>
      <c r="G661" s="24" t="str">
        <f aca="false">IF($A661="","",DAY(Settings!$B$9))</f>
        <v/>
      </c>
      <c r="H661" s="26" t="str">
        <f aca="false">IF($A661="","",ROUND(Payroll!R661-Payroll!L661-Payroll!M661,2))</f>
        <v/>
      </c>
      <c r="I661" s="26" t="str">
        <f aca="false">IF($A661="","",ROUND(Payroll!L661+Payroll!M661,2))</f>
        <v/>
      </c>
      <c r="J661" s="24" t="str">
        <f aca="false">IF($A661="","",0)</f>
        <v/>
      </c>
    </row>
    <row r="662" customFormat="false" ht="15" hidden="false" customHeight="false" outlineLevel="0" collapsed="false">
      <c r="A662" s="24" t="str">
        <f aca="false">IF(AND(Payroll!$A662&lt;&gt;"",N(Payroll!$R662)&gt;0),"EDR","")</f>
        <v/>
      </c>
      <c r="B662" s="24" t="str">
        <f aca="false">IF($A662="","",Payroll!U662)</f>
        <v/>
      </c>
      <c r="C662" s="24" t="str">
        <f aca="false">IF($A662="","",Payroll!S662)</f>
        <v/>
      </c>
      <c r="D662" s="24" t="str">
        <f aca="false">IF($A662="","",SUBSTITUTE(Payroll!T662," ",""))</f>
        <v/>
      </c>
      <c r="E662" s="24" t="str">
        <f aca="false">IF($A662="","",TEXT(Settings!$B$8,"yyyy-mm-dd"))</f>
        <v/>
      </c>
      <c r="F662" s="24" t="str">
        <f aca="false">IF($A662="","",TEXT(Settings!$B$9,"yyyy-mm-dd"))</f>
        <v/>
      </c>
      <c r="G662" s="24" t="str">
        <f aca="false">IF($A662="","",DAY(Settings!$B$9))</f>
        <v/>
      </c>
      <c r="H662" s="26" t="str">
        <f aca="false">IF($A662="","",ROUND(Payroll!R662-Payroll!L662-Payroll!M662,2))</f>
        <v/>
      </c>
      <c r="I662" s="26" t="str">
        <f aca="false">IF($A662="","",ROUND(Payroll!L662+Payroll!M662,2))</f>
        <v/>
      </c>
      <c r="J662" s="24" t="str">
        <f aca="false">IF($A662="","",0)</f>
        <v/>
      </c>
    </row>
    <row r="663" customFormat="false" ht="15" hidden="false" customHeight="false" outlineLevel="0" collapsed="false">
      <c r="A663" s="24" t="str">
        <f aca="false">IF(AND(Payroll!$A663&lt;&gt;"",N(Payroll!$R663)&gt;0),"EDR","")</f>
        <v/>
      </c>
      <c r="B663" s="24" t="str">
        <f aca="false">IF($A663="","",Payroll!U663)</f>
        <v/>
      </c>
      <c r="C663" s="24" t="str">
        <f aca="false">IF($A663="","",Payroll!S663)</f>
        <v/>
      </c>
      <c r="D663" s="24" t="str">
        <f aca="false">IF($A663="","",SUBSTITUTE(Payroll!T663," ",""))</f>
        <v/>
      </c>
      <c r="E663" s="24" t="str">
        <f aca="false">IF($A663="","",TEXT(Settings!$B$8,"yyyy-mm-dd"))</f>
        <v/>
      </c>
      <c r="F663" s="24" t="str">
        <f aca="false">IF($A663="","",TEXT(Settings!$B$9,"yyyy-mm-dd"))</f>
        <v/>
      </c>
      <c r="G663" s="24" t="str">
        <f aca="false">IF($A663="","",DAY(Settings!$B$9))</f>
        <v/>
      </c>
      <c r="H663" s="26" t="str">
        <f aca="false">IF($A663="","",ROUND(Payroll!R663-Payroll!L663-Payroll!M663,2))</f>
        <v/>
      </c>
      <c r="I663" s="26" t="str">
        <f aca="false">IF($A663="","",ROUND(Payroll!L663+Payroll!M663,2))</f>
        <v/>
      </c>
      <c r="J663" s="24" t="str">
        <f aca="false">IF($A663="","",0)</f>
        <v/>
      </c>
    </row>
    <row r="664" customFormat="false" ht="15" hidden="false" customHeight="false" outlineLevel="0" collapsed="false">
      <c r="A664" s="24" t="str">
        <f aca="false">IF(AND(Payroll!$A664&lt;&gt;"",N(Payroll!$R664)&gt;0),"EDR","")</f>
        <v/>
      </c>
      <c r="B664" s="24" t="str">
        <f aca="false">IF($A664="","",Payroll!U664)</f>
        <v/>
      </c>
      <c r="C664" s="24" t="str">
        <f aca="false">IF($A664="","",Payroll!S664)</f>
        <v/>
      </c>
      <c r="D664" s="24" t="str">
        <f aca="false">IF($A664="","",SUBSTITUTE(Payroll!T664," ",""))</f>
        <v/>
      </c>
      <c r="E664" s="24" t="str">
        <f aca="false">IF($A664="","",TEXT(Settings!$B$8,"yyyy-mm-dd"))</f>
        <v/>
      </c>
      <c r="F664" s="24" t="str">
        <f aca="false">IF($A664="","",TEXT(Settings!$B$9,"yyyy-mm-dd"))</f>
        <v/>
      </c>
      <c r="G664" s="24" t="str">
        <f aca="false">IF($A664="","",DAY(Settings!$B$9))</f>
        <v/>
      </c>
      <c r="H664" s="26" t="str">
        <f aca="false">IF($A664="","",ROUND(Payroll!R664-Payroll!L664-Payroll!M664,2))</f>
        <v/>
      </c>
      <c r="I664" s="26" t="str">
        <f aca="false">IF($A664="","",ROUND(Payroll!L664+Payroll!M664,2))</f>
        <v/>
      </c>
      <c r="J664" s="24" t="str">
        <f aca="false">IF($A664="","",0)</f>
        <v/>
      </c>
    </row>
    <row r="665" customFormat="false" ht="15" hidden="false" customHeight="false" outlineLevel="0" collapsed="false">
      <c r="A665" s="24" t="str">
        <f aca="false">IF(AND(Payroll!$A665&lt;&gt;"",N(Payroll!$R665)&gt;0),"EDR","")</f>
        <v/>
      </c>
      <c r="B665" s="24" t="str">
        <f aca="false">IF($A665="","",Payroll!U665)</f>
        <v/>
      </c>
      <c r="C665" s="24" t="str">
        <f aca="false">IF($A665="","",Payroll!S665)</f>
        <v/>
      </c>
      <c r="D665" s="24" t="str">
        <f aca="false">IF($A665="","",SUBSTITUTE(Payroll!T665," ",""))</f>
        <v/>
      </c>
      <c r="E665" s="24" t="str">
        <f aca="false">IF($A665="","",TEXT(Settings!$B$8,"yyyy-mm-dd"))</f>
        <v/>
      </c>
      <c r="F665" s="24" t="str">
        <f aca="false">IF($A665="","",TEXT(Settings!$B$9,"yyyy-mm-dd"))</f>
        <v/>
      </c>
      <c r="G665" s="24" t="str">
        <f aca="false">IF($A665="","",DAY(Settings!$B$9))</f>
        <v/>
      </c>
      <c r="H665" s="26" t="str">
        <f aca="false">IF($A665="","",ROUND(Payroll!R665-Payroll!L665-Payroll!M665,2))</f>
        <v/>
      </c>
      <c r="I665" s="26" t="str">
        <f aca="false">IF($A665="","",ROUND(Payroll!L665+Payroll!M665,2))</f>
        <v/>
      </c>
      <c r="J665" s="24" t="str">
        <f aca="false">IF($A665="","",0)</f>
        <v/>
      </c>
    </row>
    <row r="666" customFormat="false" ht="15" hidden="false" customHeight="false" outlineLevel="0" collapsed="false">
      <c r="A666" s="24" t="str">
        <f aca="false">IF(AND(Payroll!$A666&lt;&gt;"",N(Payroll!$R666)&gt;0),"EDR","")</f>
        <v/>
      </c>
      <c r="B666" s="24" t="str">
        <f aca="false">IF($A666="","",Payroll!U666)</f>
        <v/>
      </c>
      <c r="C666" s="24" t="str">
        <f aca="false">IF($A666="","",Payroll!S666)</f>
        <v/>
      </c>
      <c r="D666" s="24" t="str">
        <f aca="false">IF($A666="","",SUBSTITUTE(Payroll!T666," ",""))</f>
        <v/>
      </c>
      <c r="E666" s="24" t="str">
        <f aca="false">IF($A666="","",TEXT(Settings!$B$8,"yyyy-mm-dd"))</f>
        <v/>
      </c>
      <c r="F666" s="24" t="str">
        <f aca="false">IF($A666="","",TEXT(Settings!$B$9,"yyyy-mm-dd"))</f>
        <v/>
      </c>
      <c r="G666" s="24" t="str">
        <f aca="false">IF($A666="","",DAY(Settings!$B$9))</f>
        <v/>
      </c>
      <c r="H666" s="26" t="str">
        <f aca="false">IF($A666="","",ROUND(Payroll!R666-Payroll!L666-Payroll!M666,2))</f>
        <v/>
      </c>
      <c r="I666" s="26" t="str">
        <f aca="false">IF($A666="","",ROUND(Payroll!L666+Payroll!M666,2))</f>
        <v/>
      </c>
      <c r="J666" s="24" t="str">
        <f aca="false">IF($A666="","",0)</f>
        <v/>
      </c>
    </row>
    <row r="667" customFormat="false" ht="15" hidden="false" customHeight="false" outlineLevel="0" collapsed="false">
      <c r="A667" s="24" t="str">
        <f aca="false">IF(AND(Payroll!$A667&lt;&gt;"",N(Payroll!$R667)&gt;0),"EDR","")</f>
        <v/>
      </c>
      <c r="B667" s="24" t="str">
        <f aca="false">IF($A667="","",Payroll!U667)</f>
        <v/>
      </c>
      <c r="C667" s="24" t="str">
        <f aca="false">IF($A667="","",Payroll!S667)</f>
        <v/>
      </c>
      <c r="D667" s="24" t="str">
        <f aca="false">IF($A667="","",SUBSTITUTE(Payroll!T667," ",""))</f>
        <v/>
      </c>
      <c r="E667" s="24" t="str">
        <f aca="false">IF($A667="","",TEXT(Settings!$B$8,"yyyy-mm-dd"))</f>
        <v/>
      </c>
      <c r="F667" s="24" t="str">
        <f aca="false">IF($A667="","",TEXT(Settings!$B$9,"yyyy-mm-dd"))</f>
        <v/>
      </c>
      <c r="G667" s="24" t="str">
        <f aca="false">IF($A667="","",DAY(Settings!$B$9))</f>
        <v/>
      </c>
      <c r="H667" s="26" t="str">
        <f aca="false">IF($A667="","",ROUND(Payroll!R667-Payroll!L667-Payroll!M667,2))</f>
        <v/>
      </c>
      <c r="I667" s="26" t="str">
        <f aca="false">IF($A667="","",ROUND(Payroll!L667+Payroll!M667,2))</f>
        <v/>
      </c>
      <c r="J667" s="24" t="str">
        <f aca="false">IF($A667="","",0)</f>
        <v/>
      </c>
    </row>
    <row r="668" customFormat="false" ht="15" hidden="false" customHeight="false" outlineLevel="0" collapsed="false">
      <c r="A668" s="24" t="str">
        <f aca="false">IF(AND(Payroll!$A668&lt;&gt;"",N(Payroll!$R668)&gt;0),"EDR","")</f>
        <v/>
      </c>
      <c r="B668" s="24" t="str">
        <f aca="false">IF($A668="","",Payroll!U668)</f>
        <v/>
      </c>
      <c r="C668" s="24" t="str">
        <f aca="false">IF($A668="","",Payroll!S668)</f>
        <v/>
      </c>
      <c r="D668" s="24" t="str">
        <f aca="false">IF($A668="","",SUBSTITUTE(Payroll!T668," ",""))</f>
        <v/>
      </c>
      <c r="E668" s="24" t="str">
        <f aca="false">IF($A668="","",TEXT(Settings!$B$8,"yyyy-mm-dd"))</f>
        <v/>
      </c>
      <c r="F668" s="24" t="str">
        <f aca="false">IF($A668="","",TEXT(Settings!$B$9,"yyyy-mm-dd"))</f>
        <v/>
      </c>
      <c r="G668" s="24" t="str">
        <f aca="false">IF($A668="","",DAY(Settings!$B$9))</f>
        <v/>
      </c>
      <c r="H668" s="26" t="str">
        <f aca="false">IF($A668="","",ROUND(Payroll!R668-Payroll!L668-Payroll!M668,2))</f>
        <v/>
      </c>
      <c r="I668" s="26" t="str">
        <f aca="false">IF($A668="","",ROUND(Payroll!L668+Payroll!M668,2))</f>
        <v/>
      </c>
      <c r="J668" s="24" t="str">
        <f aca="false">IF($A668="","",0)</f>
        <v/>
      </c>
    </row>
    <row r="669" customFormat="false" ht="15" hidden="false" customHeight="false" outlineLevel="0" collapsed="false">
      <c r="A669" s="24" t="str">
        <f aca="false">IF(AND(Payroll!$A669&lt;&gt;"",N(Payroll!$R669)&gt;0),"EDR","")</f>
        <v/>
      </c>
      <c r="B669" s="24" t="str">
        <f aca="false">IF($A669="","",Payroll!U669)</f>
        <v/>
      </c>
      <c r="C669" s="24" t="str">
        <f aca="false">IF($A669="","",Payroll!S669)</f>
        <v/>
      </c>
      <c r="D669" s="24" t="str">
        <f aca="false">IF($A669="","",SUBSTITUTE(Payroll!T669," ",""))</f>
        <v/>
      </c>
      <c r="E669" s="24" t="str">
        <f aca="false">IF($A669="","",TEXT(Settings!$B$8,"yyyy-mm-dd"))</f>
        <v/>
      </c>
      <c r="F669" s="24" t="str">
        <f aca="false">IF($A669="","",TEXT(Settings!$B$9,"yyyy-mm-dd"))</f>
        <v/>
      </c>
      <c r="G669" s="24" t="str">
        <f aca="false">IF($A669="","",DAY(Settings!$B$9))</f>
        <v/>
      </c>
      <c r="H669" s="26" t="str">
        <f aca="false">IF($A669="","",ROUND(Payroll!R669-Payroll!L669-Payroll!M669,2))</f>
        <v/>
      </c>
      <c r="I669" s="26" t="str">
        <f aca="false">IF($A669="","",ROUND(Payroll!L669+Payroll!M669,2))</f>
        <v/>
      </c>
      <c r="J669" s="24" t="str">
        <f aca="false">IF($A669="","",0)</f>
        <v/>
      </c>
    </row>
    <row r="670" customFormat="false" ht="15" hidden="false" customHeight="false" outlineLevel="0" collapsed="false">
      <c r="A670" s="24" t="str">
        <f aca="false">IF(AND(Payroll!$A670&lt;&gt;"",N(Payroll!$R670)&gt;0),"EDR","")</f>
        <v/>
      </c>
      <c r="B670" s="24" t="str">
        <f aca="false">IF($A670="","",Payroll!U670)</f>
        <v/>
      </c>
      <c r="C670" s="24" t="str">
        <f aca="false">IF($A670="","",Payroll!S670)</f>
        <v/>
      </c>
      <c r="D670" s="24" t="str">
        <f aca="false">IF($A670="","",SUBSTITUTE(Payroll!T670," ",""))</f>
        <v/>
      </c>
      <c r="E670" s="24" t="str">
        <f aca="false">IF($A670="","",TEXT(Settings!$B$8,"yyyy-mm-dd"))</f>
        <v/>
      </c>
      <c r="F670" s="24" t="str">
        <f aca="false">IF($A670="","",TEXT(Settings!$B$9,"yyyy-mm-dd"))</f>
        <v/>
      </c>
      <c r="G670" s="24" t="str">
        <f aca="false">IF($A670="","",DAY(Settings!$B$9))</f>
        <v/>
      </c>
      <c r="H670" s="26" t="str">
        <f aca="false">IF($A670="","",ROUND(Payroll!R670-Payroll!L670-Payroll!M670,2))</f>
        <v/>
      </c>
      <c r="I670" s="26" t="str">
        <f aca="false">IF($A670="","",ROUND(Payroll!L670+Payroll!M670,2))</f>
        <v/>
      </c>
      <c r="J670" s="24" t="str">
        <f aca="false">IF($A670="","",0)</f>
        <v/>
      </c>
    </row>
    <row r="671" customFormat="false" ht="15" hidden="false" customHeight="false" outlineLevel="0" collapsed="false">
      <c r="A671" s="24" t="str">
        <f aca="false">IF(AND(Payroll!$A671&lt;&gt;"",N(Payroll!$R671)&gt;0),"EDR","")</f>
        <v/>
      </c>
      <c r="B671" s="24" t="str">
        <f aca="false">IF($A671="","",Payroll!U671)</f>
        <v/>
      </c>
      <c r="C671" s="24" t="str">
        <f aca="false">IF($A671="","",Payroll!S671)</f>
        <v/>
      </c>
      <c r="D671" s="24" t="str">
        <f aca="false">IF($A671="","",SUBSTITUTE(Payroll!T671," ",""))</f>
        <v/>
      </c>
      <c r="E671" s="24" t="str">
        <f aca="false">IF($A671="","",TEXT(Settings!$B$8,"yyyy-mm-dd"))</f>
        <v/>
      </c>
      <c r="F671" s="24" t="str">
        <f aca="false">IF($A671="","",TEXT(Settings!$B$9,"yyyy-mm-dd"))</f>
        <v/>
      </c>
      <c r="G671" s="24" t="str">
        <f aca="false">IF($A671="","",DAY(Settings!$B$9))</f>
        <v/>
      </c>
      <c r="H671" s="26" t="str">
        <f aca="false">IF($A671="","",ROUND(Payroll!R671-Payroll!L671-Payroll!M671,2))</f>
        <v/>
      </c>
      <c r="I671" s="26" t="str">
        <f aca="false">IF($A671="","",ROUND(Payroll!L671+Payroll!M671,2))</f>
        <v/>
      </c>
      <c r="J671" s="24" t="str">
        <f aca="false">IF($A671="","",0)</f>
        <v/>
      </c>
    </row>
    <row r="672" customFormat="false" ht="15" hidden="false" customHeight="false" outlineLevel="0" collapsed="false">
      <c r="A672" s="24" t="str">
        <f aca="false">IF(AND(Payroll!$A672&lt;&gt;"",N(Payroll!$R672)&gt;0),"EDR","")</f>
        <v/>
      </c>
      <c r="B672" s="24" t="str">
        <f aca="false">IF($A672="","",Payroll!U672)</f>
        <v/>
      </c>
      <c r="C672" s="24" t="str">
        <f aca="false">IF($A672="","",Payroll!S672)</f>
        <v/>
      </c>
      <c r="D672" s="24" t="str">
        <f aca="false">IF($A672="","",SUBSTITUTE(Payroll!T672," ",""))</f>
        <v/>
      </c>
      <c r="E672" s="24" t="str">
        <f aca="false">IF($A672="","",TEXT(Settings!$B$8,"yyyy-mm-dd"))</f>
        <v/>
      </c>
      <c r="F672" s="24" t="str">
        <f aca="false">IF($A672="","",TEXT(Settings!$B$9,"yyyy-mm-dd"))</f>
        <v/>
      </c>
      <c r="G672" s="24" t="str">
        <f aca="false">IF($A672="","",DAY(Settings!$B$9))</f>
        <v/>
      </c>
      <c r="H672" s="26" t="str">
        <f aca="false">IF($A672="","",ROUND(Payroll!R672-Payroll!L672-Payroll!M672,2))</f>
        <v/>
      </c>
      <c r="I672" s="26" t="str">
        <f aca="false">IF($A672="","",ROUND(Payroll!L672+Payroll!M672,2))</f>
        <v/>
      </c>
      <c r="J672" s="24" t="str">
        <f aca="false">IF($A672="","",0)</f>
        <v/>
      </c>
    </row>
    <row r="673" customFormat="false" ht="15" hidden="false" customHeight="false" outlineLevel="0" collapsed="false">
      <c r="A673" s="24" t="str">
        <f aca="false">IF(AND(Payroll!$A673&lt;&gt;"",N(Payroll!$R673)&gt;0),"EDR","")</f>
        <v/>
      </c>
      <c r="B673" s="24" t="str">
        <f aca="false">IF($A673="","",Payroll!U673)</f>
        <v/>
      </c>
      <c r="C673" s="24" t="str">
        <f aca="false">IF($A673="","",Payroll!S673)</f>
        <v/>
      </c>
      <c r="D673" s="24" t="str">
        <f aca="false">IF($A673="","",SUBSTITUTE(Payroll!T673," ",""))</f>
        <v/>
      </c>
      <c r="E673" s="24" t="str">
        <f aca="false">IF($A673="","",TEXT(Settings!$B$8,"yyyy-mm-dd"))</f>
        <v/>
      </c>
      <c r="F673" s="24" t="str">
        <f aca="false">IF($A673="","",TEXT(Settings!$B$9,"yyyy-mm-dd"))</f>
        <v/>
      </c>
      <c r="G673" s="24" t="str">
        <f aca="false">IF($A673="","",DAY(Settings!$B$9))</f>
        <v/>
      </c>
      <c r="H673" s="26" t="str">
        <f aca="false">IF($A673="","",ROUND(Payroll!R673-Payroll!L673-Payroll!M673,2))</f>
        <v/>
      </c>
      <c r="I673" s="26" t="str">
        <f aca="false">IF($A673="","",ROUND(Payroll!L673+Payroll!M673,2))</f>
        <v/>
      </c>
      <c r="J673" s="24" t="str">
        <f aca="false">IF($A673="","",0)</f>
        <v/>
      </c>
    </row>
    <row r="674" customFormat="false" ht="15" hidden="false" customHeight="false" outlineLevel="0" collapsed="false">
      <c r="A674" s="24" t="str">
        <f aca="false">IF(AND(Payroll!$A674&lt;&gt;"",N(Payroll!$R674)&gt;0),"EDR","")</f>
        <v/>
      </c>
      <c r="B674" s="24" t="str">
        <f aca="false">IF($A674="","",Payroll!U674)</f>
        <v/>
      </c>
      <c r="C674" s="24" t="str">
        <f aca="false">IF($A674="","",Payroll!S674)</f>
        <v/>
      </c>
      <c r="D674" s="24" t="str">
        <f aca="false">IF($A674="","",SUBSTITUTE(Payroll!T674," ",""))</f>
        <v/>
      </c>
      <c r="E674" s="24" t="str">
        <f aca="false">IF($A674="","",TEXT(Settings!$B$8,"yyyy-mm-dd"))</f>
        <v/>
      </c>
      <c r="F674" s="24" t="str">
        <f aca="false">IF($A674="","",TEXT(Settings!$B$9,"yyyy-mm-dd"))</f>
        <v/>
      </c>
      <c r="G674" s="24" t="str">
        <f aca="false">IF($A674="","",DAY(Settings!$B$9))</f>
        <v/>
      </c>
      <c r="H674" s="26" t="str">
        <f aca="false">IF($A674="","",ROUND(Payroll!R674-Payroll!L674-Payroll!M674,2))</f>
        <v/>
      </c>
      <c r="I674" s="26" t="str">
        <f aca="false">IF($A674="","",ROUND(Payroll!L674+Payroll!M674,2))</f>
        <v/>
      </c>
      <c r="J674" s="24" t="str">
        <f aca="false">IF($A674="","",0)</f>
        <v/>
      </c>
    </row>
    <row r="675" customFormat="false" ht="15" hidden="false" customHeight="false" outlineLevel="0" collapsed="false">
      <c r="A675" s="24" t="str">
        <f aca="false">IF(AND(Payroll!$A675&lt;&gt;"",N(Payroll!$R675)&gt;0),"EDR","")</f>
        <v/>
      </c>
      <c r="B675" s="24" t="str">
        <f aca="false">IF($A675="","",Payroll!U675)</f>
        <v/>
      </c>
      <c r="C675" s="24" t="str">
        <f aca="false">IF($A675="","",Payroll!S675)</f>
        <v/>
      </c>
      <c r="D675" s="24" t="str">
        <f aca="false">IF($A675="","",SUBSTITUTE(Payroll!T675," ",""))</f>
        <v/>
      </c>
      <c r="E675" s="24" t="str">
        <f aca="false">IF($A675="","",TEXT(Settings!$B$8,"yyyy-mm-dd"))</f>
        <v/>
      </c>
      <c r="F675" s="24" t="str">
        <f aca="false">IF($A675="","",TEXT(Settings!$B$9,"yyyy-mm-dd"))</f>
        <v/>
      </c>
      <c r="G675" s="24" t="str">
        <f aca="false">IF($A675="","",DAY(Settings!$B$9))</f>
        <v/>
      </c>
      <c r="H675" s="26" t="str">
        <f aca="false">IF($A675="","",ROUND(Payroll!R675-Payroll!L675-Payroll!M675,2))</f>
        <v/>
      </c>
      <c r="I675" s="26" t="str">
        <f aca="false">IF($A675="","",ROUND(Payroll!L675+Payroll!M675,2))</f>
        <v/>
      </c>
      <c r="J675" s="24" t="str">
        <f aca="false">IF($A675="","",0)</f>
        <v/>
      </c>
    </row>
    <row r="676" customFormat="false" ht="15" hidden="false" customHeight="false" outlineLevel="0" collapsed="false">
      <c r="A676" s="24" t="str">
        <f aca="false">IF(AND(Payroll!$A676&lt;&gt;"",N(Payroll!$R676)&gt;0),"EDR","")</f>
        <v/>
      </c>
      <c r="B676" s="24" t="str">
        <f aca="false">IF($A676="","",Payroll!U676)</f>
        <v/>
      </c>
      <c r="C676" s="24" t="str">
        <f aca="false">IF($A676="","",Payroll!S676)</f>
        <v/>
      </c>
      <c r="D676" s="24" t="str">
        <f aca="false">IF($A676="","",SUBSTITUTE(Payroll!T676," ",""))</f>
        <v/>
      </c>
      <c r="E676" s="24" t="str">
        <f aca="false">IF($A676="","",TEXT(Settings!$B$8,"yyyy-mm-dd"))</f>
        <v/>
      </c>
      <c r="F676" s="24" t="str">
        <f aca="false">IF($A676="","",TEXT(Settings!$B$9,"yyyy-mm-dd"))</f>
        <v/>
      </c>
      <c r="G676" s="24" t="str">
        <f aca="false">IF($A676="","",DAY(Settings!$B$9))</f>
        <v/>
      </c>
      <c r="H676" s="26" t="str">
        <f aca="false">IF($A676="","",ROUND(Payroll!R676-Payroll!L676-Payroll!M676,2))</f>
        <v/>
      </c>
      <c r="I676" s="26" t="str">
        <f aca="false">IF($A676="","",ROUND(Payroll!L676+Payroll!M676,2))</f>
        <v/>
      </c>
      <c r="J676" s="24" t="str">
        <f aca="false">IF($A676="","",0)</f>
        <v/>
      </c>
    </row>
    <row r="677" customFormat="false" ht="15" hidden="false" customHeight="false" outlineLevel="0" collapsed="false">
      <c r="A677" s="24" t="str">
        <f aca="false">IF(AND(Payroll!$A677&lt;&gt;"",N(Payroll!$R677)&gt;0),"EDR","")</f>
        <v/>
      </c>
      <c r="B677" s="24" t="str">
        <f aca="false">IF($A677="","",Payroll!U677)</f>
        <v/>
      </c>
      <c r="C677" s="24" t="str">
        <f aca="false">IF($A677="","",Payroll!S677)</f>
        <v/>
      </c>
      <c r="D677" s="24" t="str">
        <f aca="false">IF($A677="","",SUBSTITUTE(Payroll!T677," ",""))</f>
        <v/>
      </c>
      <c r="E677" s="24" t="str">
        <f aca="false">IF($A677="","",TEXT(Settings!$B$8,"yyyy-mm-dd"))</f>
        <v/>
      </c>
      <c r="F677" s="24" t="str">
        <f aca="false">IF($A677="","",TEXT(Settings!$B$9,"yyyy-mm-dd"))</f>
        <v/>
      </c>
      <c r="G677" s="24" t="str">
        <f aca="false">IF($A677="","",DAY(Settings!$B$9))</f>
        <v/>
      </c>
      <c r="H677" s="26" t="str">
        <f aca="false">IF($A677="","",ROUND(Payroll!R677-Payroll!L677-Payroll!M677,2))</f>
        <v/>
      </c>
      <c r="I677" s="26" t="str">
        <f aca="false">IF($A677="","",ROUND(Payroll!L677+Payroll!M677,2))</f>
        <v/>
      </c>
      <c r="J677" s="24" t="str">
        <f aca="false">IF($A677="","",0)</f>
        <v/>
      </c>
    </row>
    <row r="678" customFormat="false" ht="15" hidden="false" customHeight="false" outlineLevel="0" collapsed="false">
      <c r="A678" s="24" t="str">
        <f aca="false">IF(AND(Payroll!$A678&lt;&gt;"",N(Payroll!$R678)&gt;0),"EDR","")</f>
        <v/>
      </c>
      <c r="B678" s="24" t="str">
        <f aca="false">IF($A678="","",Payroll!U678)</f>
        <v/>
      </c>
      <c r="C678" s="24" t="str">
        <f aca="false">IF($A678="","",Payroll!S678)</f>
        <v/>
      </c>
      <c r="D678" s="24" t="str">
        <f aca="false">IF($A678="","",SUBSTITUTE(Payroll!T678," ",""))</f>
        <v/>
      </c>
      <c r="E678" s="24" t="str">
        <f aca="false">IF($A678="","",TEXT(Settings!$B$8,"yyyy-mm-dd"))</f>
        <v/>
      </c>
      <c r="F678" s="24" t="str">
        <f aca="false">IF($A678="","",TEXT(Settings!$B$9,"yyyy-mm-dd"))</f>
        <v/>
      </c>
      <c r="G678" s="24" t="str">
        <f aca="false">IF($A678="","",DAY(Settings!$B$9))</f>
        <v/>
      </c>
      <c r="H678" s="26" t="str">
        <f aca="false">IF($A678="","",ROUND(Payroll!R678-Payroll!L678-Payroll!M678,2))</f>
        <v/>
      </c>
      <c r="I678" s="26" t="str">
        <f aca="false">IF($A678="","",ROUND(Payroll!L678+Payroll!M678,2))</f>
        <v/>
      </c>
      <c r="J678" s="24" t="str">
        <f aca="false">IF($A678="","",0)</f>
        <v/>
      </c>
    </row>
    <row r="679" customFormat="false" ht="15" hidden="false" customHeight="false" outlineLevel="0" collapsed="false">
      <c r="A679" s="24" t="str">
        <f aca="false">IF(AND(Payroll!$A679&lt;&gt;"",N(Payroll!$R679)&gt;0),"EDR","")</f>
        <v/>
      </c>
      <c r="B679" s="24" t="str">
        <f aca="false">IF($A679="","",Payroll!U679)</f>
        <v/>
      </c>
      <c r="C679" s="24" t="str">
        <f aca="false">IF($A679="","",Payroll!S679)</f>
        <v/>
      </c>
      <c r="D679" s="24" t="str">
        <f aca="false">IF($A679="","",SUBSTITUTE(Payroll!T679," ",""))</f>
        <v/>
      </c>
      <c r="E679" s="24" t="str">
        <f aca="false">IF($A679="","",TEXT(Settings!$B$8,"yyyy-mm-dd"))</f>
        <v/>
      </c>
      <c r="F679" s="24" t="str">
        <f aca="false">IF($A679="","",TEXT(Settings!$B$9,"yyyy-mm-dd"))</f>
        <v/>
      </c>
      <c r="G679" s="24" t="str">
        <f aca="false">IF($A679="","",DAY(Settings!$B$9))</f>
        <v/>
      </c>
      <c r="H679" s="26" t="str">
        <f aca="false">IF($A679="","",ROUND(Payroll!R679-Payroll!L679-Payroll!M679,2))</f>
        <v/>
      </c>
      <c r="I679" s="26" t="str">
        <f aca="false">IF($A679="","",ROUND(Payroll!L679+Payroll!M679,2))</f>
        <v/>
      </c>
      <c r="J679" s="24" t="str">
        <f aca="false">IF($A679="","",0)</f>
        <v/>
      </c>
    </row>
    <row r="680" customFormat="false" ht="15" hidden="false" customHeight="false" outlineLevel="0" collapsed="false">
      <c r="A680" s="24" t="str">
        <f aca="false">IF(AND(Payroll!$A680&lt;&gt;"",N(Payroll!$R680)&gt;0),"EDR","")</f>
        <v/>
      </c>
      <c r="B680" s="24" t="str">
        <f aca="false">IF($A680="","",Payroll!U680)</f>
        <v/>
      </c>
      <c r="C680" s="24" t="str">
        <f aca="false">IF($A680="","",Payroll!S680)</f>
        <v/>
      </c>
      <c r="D680" s="24" t="str">
        <f aca="false">IF($A680="","",SUBSTITUTE(Payroll!T680," ",""))</f>
        <v/>
      </c>
      <c r="E680" s="24" t="str">
        <f aca="false">IF($A680="","",TEXT(Settings!$B$8,"yyyy-mm-dd"))</f>
        <v/>
      </c>
      <c r="F680" s="24" t="str">
        <f aca="false">IF($A680="","",TEXT(Settings!$B$9,"yyyy-mm-dd"))</f>
        <v/>
      </c>
      <c r="G680" s="24" t="str">
        <f aca="false">IF($A680="","",DAY(Settings!$B$9))</f>
        <v/>
      </c>
      <c r="H680" s="26" t="str">
        <f aca="false">IF($A680="","",ROUND(Payroll!R680-Payroll!L680-Payroll!M680,2))</f>
        <v/>
      </c>
      <c r="I680" s="26" t="str">
        <f aca="false">IF($A680="","",ROUND(Payroll!L680+Payroll!M680,2))</f>
        <v/>
      </c>
      <c r="J680" s="24" t="str">
        <f aca="false">IF($A680="","",0)</f>
        <v/>
      </c>
    </row>
    <row r="681" customFormat="false" ht="15" hidden="false" customHeight="false" outlineLevel="0" collapsed="false">
      <c r="A681" s="24" t="str">
        <f aca="false">IF(AND(Payroll!$A681&lt;&gt;"",N(Payroll!$R681)&gt;0),"EDR","")</f>
        <v/>
      </c>
      <c r="B681" s="24" t="str">
        <f aca="false">IF($A681="","",Payroll!U681)</f>
        <v/>
      </c>
      <c r="C681" s="24" t="str">
        <f aca="false">IF($A681="","",Payroll!S681)</f>
        <v/>
      </c>
      <c r="D681" s="24" t="str">
        <f aca="false">IF($A681="","",SUBSTITUTE(Payroll!T681," ",""))</f>
        <v/>
      </c>
      <c r="E681" s="24" t="str">
        <f aca="false">IF($A681="","",TEXT(Settings!$B$8,"yyyy-mm-dd"))</f>
        <v/>
      </c>
      <c r="F681" s="24" t="str">
        <f aca="false">IF($A681="","",TEXT(Settings!$B$9,"yyyy-mm-dd"))</f>
        <v/>
      </c>
      <c r="G681" s="24" t="str">
        <f aca="false">IF($A681="","",DAY(Settings!$B$9))</f>
        <v/>
      </c>
      <c r="H681" s="26" t="str">
        <f aca="false">IF($A681="","",ROUND(Payroll!R681-Payroll!L681-Payroll!M681,2))</f>
        <v/>
      </c>
      <c r="I681" s="26" t="str">
        <f aca="false">IF($A681="","",ROUND(Payroll!L681+Payroll!M681,2))</f>
        <v/>
      </c>
      <c r="J681" s="24" t="str">
        <f aca="false">IF($A681="","",0)</f>
        <v/>
      </c>
    </row>
    <row r="682" customFormat="false" ht="15" hidden="false" customHeight="false" outlineLevel="0" collapsed="false">
      <c r="A682" s="24" t="str">
        <f aca="false">IF(AND(Payroll!$A682&lt;&gt;"",N(Payroll!$R682)&gt;0),"EDR","")</f>
        <v/>
      </c>
      <c r="B682" s="24" t="str">
        <f aca="false">IF($A682="","",Payroll!U682)</f>
        <v/>
      </c>
      <c r="C682" s="24" t="str">
        <f aca="false">IF($A682="","",Payroll!S682)</f>
        <v/>
      </c>
      <c r="D682" s="24" t="str">
        <f aca="false">IF($A682="","",SUBSTITUTE(Payroll!T682," ",""))</f>
        <v/>
      </c>
      <c r="E682" s="24" t="str">
        <f aca="false">IF($A682="","",TEXT(Settings!$B$8,"yyyy-mm-dd"))</f>
        <v/>
      </c>
      <c r="F682" s="24" t="str">
        <f aca="false">IF($A682="","",TEXT(Settings!$B$9,"yyyy-mm-dd"))</f>
        <v/>
      </c>
      <c r="G682" s="24" t="str">
        <f aca="false">IF($A682="","",DAY(Settings!$B$9))</f>
        <v/>
      </c>
      <c r="H682" s="26" t="str">
        <f aca="false">IF($A682="","",ROUND(Payroll!R682-Payroll!L682-Payroll!M682,2))</f>
        <v/>
      </c>
      <c r="I682" s="26" t="str">
        <f aca="false">IF($A682="","",ROUND(Payroll!L682+Payroll!M682,2))</f>
        <v/>
      </c>
      <c r="J682" s="24" t="str">
        <f aca="false">IF($A682="","",0)</f>
        <v/>
      </c>
    </row>
    <row r="683" customFormat="false" ht="15" hidden="false" customHeight="false" outlineLevel="0" collapsed="false">
      <c r="A683" s="24" t="str">
        <f aca="false">IF(AND(Payroll!$A683&lt;&gt;"",N(Payroll!$R683)&gt;0),"EDR","")</f>
        <v/>
      </c>
      <c r="B683" s="24" t="str">
        <f aca="false">IF($A683="","",Payroll!U683)</f>
        <v/>
      </c>
      <c r="C683" s="24" t="str">
        <f aca="false">IF($A683="","",Payroll!S683)</f>
        <v/>
      </c>
      <c r="D683" s="24" t="str">
        <f aca="false">IF($A683="","",SUBSTITUTE(Payroll!T683," ",""))</f>
        <v/>
      </c>
      <c r="E683" s="24" t="str">
        <f aca="false">IF($A683="","",TEXT(Settings!$B$8,"yyyy-mm-dd"))</f>
        <v/>
      </c>
      <c r="F683" s="24" t="str">
        <f aca="false">IF($A683="","",TEXT(Settings!$B$9,"yyyy-mm-dd"))</f>
        <v/>
      </c>
      <c r="G683" s="24" t="str">
        <f aca="false">IF($A683="","",DAY(Settings!$B$9))</f>
        <v/>
      </c>
      <c r="H683" s="26" t="str">
        <f aca="false">IF($A683="","",ROUND(Payroll!R683-Payroll!L683-Payroll!M683,2))</f>
        <v/>
      </c>
      <c r="I683" s="26" t="str">
        <f aca="false">IF($A683="","",ROUND(Payroll!L683+Payroll!M683,2))</f>
        <v/>
      </c>
      <c r="J683" s="24" t="str">
        <f aca="false">IF($A683="","",0)</f>
        <v/>
      </c>
    </row>
    <row r="684" customFormat="false" ht="15" hidden="false" customHeight="false" outlineLevel="0" collapsed="false">
      <c r="A684" s="24" t="str">
        <f aca="false">IF(AND(Payroll!$A684&lt;&gt;"",N(Payroll!$R684)&gt;0),"EDR","")</f>
        <v/>
      </c>
      <c r="B684" s="24" t="str">
        <f aca="false">IF($A684="","",Payroll!U684)</f>
        <v/>
      </c>
      <c r="C684" s="24" t="str">
        <f aca="false">IF($A684="","",Payroll!S684)</f>
        <v/>
      </c>
      <c r="D684" s="24" t="str">
        <f aca="false">IF($A684="","",SUBSTITUTE(Payroll!T684," ",""))</f>
        <v/>
      </c>
      <c r="E684" s="24" t="str">
        <f aca="false">IF($A684="","",TEXT(Settings!$B$8,"yyyy-mm-dd"))</f>
        <v/>
      </c>
      <c r="F684" s="24" t="str">
        <f aca="false">IF($A684="","",TEXT(Settings!$B$9,"yyyy-mm-dd"))</f>
        <v/>
      </c>
      <c r="G684" s="24" t="str">
        <f aca="false">IF($A684="","",DAY(Settings!$B$9))</f>
        <v/>
      </c>
      <c r="H684" s="26" t="str">
        <f aca="false">IF($A684="","",ROUND(Payroll!R684-Payroll!L684-Payroll!M684,2))</f>
        <v/>
      </c>
      <c r="I684" s="26" t="str">
        <f aca="false">IF($A684="","",ROUND(Payroll!L684+Payroll!M684,2))</f>
        <v/>
      </c>
      <c r="J684" s="24" t="str">
        <f aca="false">IF($A684="","",0)</f>
        <v/>
      </c>
    </row>
    <row r="685" customFormat="false" ht="15" hidden="false" customHeight="false" outlineLevel="0" collapsed="false">
      <c r="A685" s="24" t="str">
        <f aca="false">IF(AND(Payroll!$A685&lt;&gt;"",N(Payroll!$R685)&gt;0),"EDR","")</f>
        <v/>
      </c>
      <c r="B685" s="24" t="str">
        <f aca="false">IF($A685="","",Payroll!U685)</f>
        <v/>
      </c>
      <c r="C685" s="24" t="str">
        <f aca="false">IF($A685="","",Payroll!S685)</f>
        <v/>
      </c>
      <c r="D685" s="24" t="str">
        <f aca="false">IF($A685="","",SUBSTITUTE(Payroll!T685," ",""))</f>
        <v/>
      </c>
      <c r="E685" s="24" t="str">
        <f aca="false">IF($A685="","",TEXT(Settings!$B$8,"yyyy-mm-dd"))</f>
        <v/>
      </c>
      <c r="F685" s="24" t="str">
        <f aca="false">IF($A685="","",TEXT(Settings!$B$9,"yyyy-mm-dd"))</f>
        <v/>
      </c>
      <c r="G685" s="24" t="str">
        <f aca="false">IF($A685="","",DAY(Settings!$B$9))</f>
        <v/>
      </c>
      <c r="H685" s="26" t="str">
        <f aca="false">IF($A685="","",ROUND(Payroll!R685-Payroll!L685-Payroll!M685,2))</f>
        <v/>
      </c>
      <c r="I685" s="26" t="str">
        <f aca="false">IF($A685="","",ROUND(Payroll!L685+Payroll!M685,2))</f>
        <v/>
      </c>
      <c r="J685" s="24" t="str">
        <f aca="false">IF($A685="","",0)</f>
        <v/>
      </c>
    </row>
    <row r="686" customFormat="false" ht="15" hidden="false" customHeight="false" outlineLevel="0" collapsed="false">
      <c r="A686" s="24" t="str">
        <f aca="false">IF(AND(Payroll!$A686&lt;&gt;"",N(Payroll!$R686)&gt;0),"EDR","")</f>
        <v/>
      </c>
      <c r="B686" s="24" t="str">
        <f aca="false">IF($A686="","",Payroll!U686)</f>
        <v/>
      </c>
      <c r="C686" s="24" t="str">
        <f aca="false">IF($A686="","",Payroll!S686)</f>
        <v/>
      </c>
      <c r="D686" s="24" t="str">
        <f aca="false">IF($A686="","",SUBSTITUTE(Payroll!T686," ",""))</f>
        <v/>
      </c>
      <c r="E686" s="24" t="str">
        <f aca="false">IF($A686="","",TEXT(Settings!$B$8,"yyyy-mm-dd"))</f>
        <v/>
      </c>
      <c r="F686" s="24" t="str">
        <f aca="false">IF($A686="","",TEXT(Settings!$B$9,"yyyy-mm-dd"))</f>
        <v/>
      </c>
      <c r="G686" s="24" t="str">
        <f aca="false">IF($A686="","",DAY(Settings!$B$9))</f>
        <v/>
      </c>
      <c r="H686" s="26" t="str">
        <f aca="false">IF($A686="","",ROUND(Payroll!R686-Payroll!L686-Payroll!M686,2))</f>
        <v/>
      </c>
      <c r="I686" s="26" t="str">
        <f aca="false">IF($A686="","",ROUND(Payroll!L686+Payroll!M686,2))</f>
        <v/>
      </c>
      <c r="J686" s="24" t="str">
        <f aca="false">IF($A686="","",0)</f>
        <v/>
      </c>
    </row>
    <row r="687" customFormat="false" ht="15" hidden="false" customHeight="false" outlineLevel="0" collapsed="false">
      <c r="A687" s="24" t="str">
        <f aca="false">IF(AND(Payroll!$A687&lt;&gt;"",N(Payroll!$R687)&gt;0),"EDR","")</f>
        <v/>
      </c>
      <c r="B687" s="24" t="str">
        <f aca="false">IF($A687="","",Payroll!U687)</f>
        <v/>
      </c>
      <c r="C687" s="24" t="str">
        <f aca="false">IF($A687="","",Payroll!S687)</f>
        <v/>
      </c>
      <c r="D687" s="24" t="str">
        <f aca="false">IF($A687="","",SUBSTITUTE(Payroll!T687," ",""))</f>
        <v/>
      </c>
      <c r="E687" s="24" t="str">
        <f aca="false">IF($A687="","",TEXT(Settings!$B$8,"yyyy-mm-dd"))</f>
        <v/>
      </c>
      <c r="F687" s="24" t="str">
        <f aca="false">IF($A687="","",TEXT(Settings!$B$9,"yyyy-mm-dd"))</f>
        <v/>
      </c>
      <c r="G687" s="24" t="str">
        <f aca="false">IF($A687="","",DAY(Settings!$B$9))</f>
        <v/>
      </c>
      <c r="H687" s="26" t="str">
        <f aca="false">IF($A687="","",ROUND(Payroll!R687-Payroll!L687-Payroll!M687,2))</f>
        <v/>
      </c>
      <c r="I687" s="26" t="str">
        <f aca="false">IF($A687="","",ROUND(Payroll!L687+Payroll!M687,2))</f>
        <v/>
      </c>
      <c r="J687" s="24" t="str">
        <f aca="false">IF($A687="","",0)</f>
        <v/>
      </c>
    </row>
    <row r="688" customFormat="false" ht="15" hidden="false" customHeight="false" outlineLevel="0" collapsed="false">
      <c r="A688" s="24" t="str">
        <f aca="false">IF(AND(Payroll!$A688&lt;&gt;"",N(Payroll!$R688)&gt;0),"EDR","")</f>
        <v/>
      </c>
      <c r="B688" s="24" t="str">
        <f aca="false">IF($A688="","",Payroll!U688)</f>
        <v/>
      </c>
      <c r="C688" s="24" t="str">
        <f aca="false">IF($A688="","",Payroll!S688)</f>
        <v/>
      </c>
      <c r="D688" s="24" t="str">
        <f aca="false">IF($A688="","",SUBSTITUTE(Payroll!T688," ",""))</f>
        <v/>
      </c>
      <c r="E688" s="24" t="str">
        <f aca="false">IF($A688="","",TEXT(Settings!$B$8,"yyyy-mm-dd"))</f>
        <v/>
      </c>
      <c r="F688" s="24" t="str">
        <f aca="false">IF($A688="","",TEXT(Settings!$B$9,"yyyy-mm-dd"))</f>
        <v/>
      </c>
      <c r="G688" s="24" t="str">
        <f aca="false">IF($A688="","",DAY(Settings!$B$9))</f>
        <v/>
      </c>
      <c r="H688" s="26" t="str">
        <f aca="false">IF($A688="","",ROUND(Payroll!R688-Payroll!L688-Payroll!M688,2))</f>
        <v/>
      </c>
      <c r="I688" s="26" t="str">
        <f aca="false">IF($A688="","",ROUND(Payroll!L688+Payroll!M688,2))</f>
        <v/>
      </c>
      <c r="J688" s="24" t="str">
        <f aca="false">IF($A688="","",0)</f>
        <v/>
      </c>
    </row>
    <row r="689" customFormat="false" ht="15" hidden="false" customHeight="false" outlineLevel="0" collapsed="false">
      <c r="A689" s="24" t="str">
        <f aca="false">IF(AND(Payroll!$A689&lt;&gt;"",N(Payroll!$R689)&gt;0),"EDR","")</f>
        <v/>
      </c>
      <c r="B689" s="24" t="str">
        <f aca="false">IF($A689="","",Payroll!U689)</f>
        <v/>
      </c>
      <c r="C689" s="24" t="str">
        <f aca="false">IF($A689="","",Payroll!S689)</f>
        <v/>
      </c>
      <c r="D689" s="24" t="str">
        <f aca="false">IF($A689="","",SUBSTITUTE(Payroll!T689," ",""))</f>
        <v/>
      </c>
      <c r="E689" s="24" t="str">
        <f aca="false">IF($A689="","",TEXT(Settings!$B$8,"yyyy-mm-dd"))</f>
        <v/>
      </c>
      <c r="F689" s="24" t="str">
        <f aca="false">IF($A689="","",TEXT(Settings!$B$9,"yyyy-mm-dd"))</f>
        <v/>
      </c>
      <c r="G689" s="24" t="str">
        <f aca="false">IF($A689="","",DAY(Settings!$B$9))</f>
        <v/>
      </c>
      <c r="H689" s="26" t="str">
        <f aca="false">IF($A689="","",ROUND(Payroll!R689-Payroll!L689-Payroll!M689,2))</f>
        <v/>
      </c>
      <c r="I689" s="26" t="str">
        <f aca="false">IF($A689="","",ROUND(Payroll!L689+Payroll!M689,2))</f>
        <v/>
      </c>
      <c r="J689" s="24" t="str">
        <f aca="false">IF($A689="","",0)</f>
        <v/>
      </c>
    </row>
    <row r="690" customFormat="false" ht="15" hidden="false" customHeight="false" outlineLevel="0" collapsed="false">
      <c r="A690" s="24" t="str">
        <f aca="false">IF(AND(Payroll!$A690&lt;&gt;"",N(Payroll!$R690)&gt;0),"EDR","")</f>
        <v/>
      </c>
      <c r="B690" s="24" t="str">
        <f aca="false">IF($A690="","",Payroll!U690)</f>
        <v/>
      </c>
      <c r="C690" s="24" t="str">
        <f aca="false">IF($A690="","",Payroll!S690)</f>
        <v/>
      </c>
      <c r="D690" s="24" t="str">
        <f aca="false">IF($A690="","",SUBSTITUTE(Payroll!T690," ",""))</f>
        <v/>
      </c>
      <c r="E690" s="24" t="str">
        <f aca="false">IF($A690="","",TEXT(Settings!$B$8,"yyyy-mm-dd"))</f>
        <v/>
      </c>
      <c r="F690" s="24" t="str">
        <f aca="false">IF($A690="","",TEXT(Settings!$B$9,"yyyy-mm-dd"))</f>
        <v/>
      </c>
      <c r="G690" s="24" t="str">
        <f aca="false">IF($A690="","",DAY(Settings!$B$9))</f>
        <v/>
      </c>
      <c r="H690" s="26" t="str">
        <f aca="false">IF($A690="","",ROUND(Payroll!R690-Payroll!L690-Payroll!M690,2))</f>
        <v/>
      </c>
      <c r="I690" s="26" t="str">
        <f aca="false">IF($A690="","",ROUND(Payroll!L690+Payroll!M690,2))</f>
        <v/>
      </c>
      <c r="J690" s="24" t="str">
        <f aca="false">IF($A690="","",0)</f>
        <v/>
      </c>
    </row>
    <row r="691" customFormat="false" ht="15" hidden="false" customHeight="false" outlineLevel="0" collapsed="false">
      <c r="A691" s="24" t="str">
        <f aca="false">IF(AND(Payroll!$A691&lt;&gt;"",N(Payroll!$R691)&gt;0),"EDR","")</f>
        <v/>
      </c>
      <c r="B691" s="24" t="str">
        <f aca="false">IF($A691="","",Payroll!U691)</f>
        <v/>
      </c>
      <c r="C691" s="24" t="str">
        <f aca="false">IF($A691="","",Payroll!S691)</f>
        <v/>
      </c>
      <c r="D691" s="24" t="str">
        <f aca="false">IF($A691="","",SUBSTITUTE(Payroll!T691," ",""))</f>
        <v/>
      </c>
      <c r="E691" s="24" t="str">
        <f aca="false">IF($A691="","",TEXT(Settings!$B$8,"yyyy-mm-dd"))</f>
        <v/>
      </c>
      <c r="F691" s="24" t="str">
        <f aca="false">IF($A691="","",TEXT(Settings!$B$9,"yyyy-mm-dd"))</f>
        <v/>
      </c>
      <c r="G691" s="24" t="str">
        <f aca="false">IF($A691="","",DAY(Settings!$B$9))</f>
        <v/>
      </c>
      <c r="H691" s="26" t="str">
        <f aca="false">IF($A691="","",ROUND(Payroll!R691-Payroll!L691-Payroll!M691,2))</f>
        <v/>
      </c>
      <c r="I691" s="26" t="str">
        <f aca="false">IF($A691="","",ROUND(Payroll!L691+Payroll!M691,2))</f>
        <v/>
      </c>
      <c r="J691" s="24" t="str">
        <f aca="false">IF($A691="","",0)</f>
        <v/>
      </c>
    </row>
    <row r="692" customFormat="false" ht="15" hidden="false" customHeight="false" outlineLevel="0" collapsed="false">
      <c r="A692" s="24" t="str">
        <f aca="false">IF(AND(Payroll!$A692&lt;&gt;"",N(Payroll!$R692)&gt;0),"EDR","")</f>
        <v/>
      </c>
      <c r="B692" s="24" t="str">
        <f aca="false">IF($A692="","",Payroll!U692)</f>
        <v/>
      </c>
      <c r="C692" s="24" t="str">
        <f aca="false">IF($A692="","",Payroll!S692)</f>
        <v/>
      </c>
      <c r="D692" s="24" t="str">
        <f aca="false">IF($A692="","",SUBSTITUTE(Payroll!T692," ",""))</f>
        <v/>
      </c>
      <c r="E692" s="24" t="str">
        <f aca="false">IF($A692="","",TEXT(Settings!$B$8,"yyyy-mm-dd"))</f>
        <v/>
      </c>
      <c r="F692" s="24" t="str">
        <f aca="false">IF($A692="","",TEXT(Settings!$B$9,"yyyy-mm-dd"))</f>
        <v/>
      </c>
      <c r="G692" s="24" t="str">
        <f aca="false">IF($A692="","",DAY(Settings!$B$9))</f>
        <v/>
      </c>
      <c r="H692" s="26" t="str">
        <f aca="false">IF($A692="","",ROUND(Payroll!R692-Payroll!L692-Payroll!M692,2))</f>
        <v/>
      </c>
      <c r="I692" s="26" t="str">
        <f aca="false">IF($A692="","",ROUND(Payroll!L692+Payroll!M692,2))</f>
        <v/>
      </c>
      <c r="J692" s="24" t="str">
        <f aca="false">IF($A692="","",0)</f>
        <v/>
      </c>
    </row>
    <row r="693" customFormat="false" ht="15" hidden="false" customHeight="false" outlineLevel="0" collapsed="false">
      <c r="A693" s="24" t="str">
        <f aca="false">IF(AND(Payroll!$A693&lt;&gt;"",N(Payroll!$R693)&gt;0),"EDR","")</f>
        <v/>
      </c>
      <c r="B693" s="24" t="str">
        <f aca="false">IF($A693="","",Payroll!U693)</f>
        <v/>
      </c>
      <c r="C693" s="24" t="str">
        <f aca="false">IF($A693="","",Payroll!S693)</f>
        <v/>
      </c>
      <c r="D693" s="24" t="str">
        <f aca="false">IF($A693="","",SUBSTITUTE(Payroll!T693," ",""))</f>
        <v/>
      </c>
      <c r="E693" s="24" t="str">
        <f aca="false">IF($A693="","",TEXT(Settings!$B$8,"yyyy-mm-dd"))</f>
        <v/>
      </c>
      <c r="F693" s="24" t="str">
        <f aca="false">IF($A693="","",TEXT(Settings!$B$9,"yyyy-mm-dd"))</f>
        <v/>
      </c>
      <c r="G693" s="24" t="str">
        <f aca="false">IF($A693="","",DAY(Settings!$B$9))</f>
        <v/>
      </c>
      <c r="H693" s="26" t="str">
        <f aca="false">IF($A693="","",ROUND(Payroll!R693-Payroll!L693-Payroll!M693,2))</f>
        <v/>
      </c>
      <c r="I693" s="26" t="str">
        <f aca="false">IF($A693="","",ROUND(Payroll!L693+Payroll!M693,2))</f>
        <v/>
      </c>
      <c r="J693" s="24" t="str">
        <f aca="false">IF($A693="","",0)</f>
        <v/>
      </c>
    </row>
    <row r="694" customFormat="false" ht="15" hidden="false" customHeight="false" outlineLevel="0" collapsed="false">
      <c r="A694" s="24" t="str">
        <f aca="false">IF(AND(Payroll!$A694&lt;&gt;"",N(Payroll!$R694)&gt;0),"EDR","")</f>
        <v/>
      </c>
      <c r="B694" s="24" t="str">
        <f aca="false">IF($A694="","",Payroll!U694)</f>
        <v/>
      </c>
      <c r="C694" s="24" t="str">
        <f aca="false">IF($A694="","",Payroll!S694)</f>
        <v/>
      </c>
      <c r="D694" s="24" t="str">
        <f aca="false">IF($A694="","",SUBSTITUTE(Payroll!T694," ",""))</f>
        <v/>
      </c>
      <c r="E694" s="24" t="str">
        <f aca="false">IF($A694="","",TEXT(Settings!$B$8,"yyyy-mm-dd"))</f>
        <v/>
      </c>
      <c r="F694" s="24" t="str">
        <f aca="false">IF($A694="","",TEXT(Settings!$B$9,"yyyy-mm-dd"))</f>
        <v/>
      </c>
      <c r="G694" s="24" t="str">
        <f aca="false">IF($A694="","",DAY(Settings!$B$9))</f>
        <v/>
      </c>
      <c r="H694" s="26" t="str">
        <f aca="false">IF($A694="","",ROUND(Payroll!R694-Payroll!L694-Payroll!M694,2))</f>
        <v/>
      </c>
      <c r="I694" s="26" t="str">
        <f aca="false">IF($A694="","",ROUND(Payroll!L694+Payroll!M694,2))</f>
        <v/>
      </c>
      <c r="J694" s="24" t="str">
        <f aca="false">IF($A694="","",0)</f>
        <v/>
      </c>
    </row>
    <row r="695" customFormat="false" ht="15" hidden="false" customHeight="false" outlineLevel="0" collapsed="false">
      <c r="A695" s="24" t="str">
        <f aca="false">IF(AND(Payroll!$A695&lt;&gt;"",N(Payroll!$R695)&gt;0),"EDR","")</f>
        <v/>
      </c>
      <c r="B695" s="24" t="str">
        <f aca="false">IF($A695="","",Payroll!U695)</f>
        <v/>
      </c>
      <c r="C695" s="24" t="str">
        <f aca="false">IF($A695="","",Payroll!S695)</f>
        <v/>
      </c>
      <c r="D695" s="24" t="str">
        <f aca="false">IF($A695="","",SUBSTITUTE(Payroll!T695," ",""))</f>
        <v/>
      </c>
      <c r="E695" s="24" t="str">
        <f aca="false">IF($A695="","",TEXT(Settings!$B$8,"yyyy-mm-dd"))</f>
        <v/>
      </c>
      <c r="F695" s="24" t="str">
        <f aca="false">IF($A695="","",TEXT(Settings!$B$9,"yyyy-mm-dd"))</f>
        <v/>
      </c>
      <c r="G695" s="24" t="str">
        <f aca="false">IF($A695="","",DAY(Settings!$B$9))</f>
        <v/>
      </c>
      <c r="H695" s="26" t="str">
        <f aca="false">IF($A695="","",ROUND(Payroll!R695-Payroll!L695-Payroll!M695,2))</f>
        <v/>
      </c>
      <c r="I695" s="26" t="str">
        <f aca="false">IF($A695="","",ROUND(Payroll!L695+Payroll!M695,2))</f>
        <v/>
      </c>
      <c r="J695" s="24" t="str">
        <f aca="false">IF($A695="","",0)</f>
        <v/>
      </c>
    </row>
    <row r="696" customFormat="false" ht="15" hidden="false" customHeight="false" outlineLevel="0" collapsed="false">
      <c r="A696" s="24" t="str">
        <f aca="false">IF(AND(Payroll!$A696&lt;&gt;"",N(Payroll!$R696)&gt;0),"EDR","")</f>
        <v/>
      </c>
      <c r="B696" s="24" t="str">
        <f aca="false">IF($A696="","",Payroll!U696)</f>
        <v/>
      </c>
      <c r="C696" s="24" t="str">
        <f aca="false">IF($A696="","",Payroll!S696)</f>
        <v/>
      </c>
      <c r="D696" s="24" t="str">
        <f aca="false">IF($A696="","",SUBSTITUTE(Payroll!T696," ",""))</f>
        <v/>
      </c>
      <c r="E696" s="24" t="str">
        <f aca="false">IF($A696="","",TEXT(Settings!$B$8,"yyyy-mm-dd"))</f>
        <v/>
      </c>
      <c r="F696" s="24" t="str">
        <f aca="false">IF($A696="","",TEXT(Settings!$B$9,"yyyy-mm-dd"))</f>
        <v/>
      </c>
      <c r="G696" s="24" t="str">
        <f aca="false">IF($A696="","",DAY(Settings!$B$9))</f>
        <v/>
      </c>
      <c r="H696" s="26" t="str">
        <f aca="false">IF($A696="","",ROUND(Payroll!R696-Payroll!L696-Payroll!M696,2))</f>
        <v/>
      </c>
      <c r="I696" s="26" t="str">
        <f aca="false">IF($A696="","",ROUND(Payroll!L696+Payroll!M696,2))</f>
        <v/>
      </c>
      <c r="J696" s="24" t="str">
        <f aca="false">IF($A696="","",0)</f>
        <v/>
      </c>
    </row>
    <row r="697" customFormat="false" ht="15" hidden="false" customHeight="false" outlineLevel="0" collapsed="false">
      <c r="A697" s="24" t="str">
        <f aca="false">IF(AND(Payroll!$A697&lt;&gt;"",N(Payroll!$R697)&gt;0),"EDR","")</f>
        <v/>
      </c>
      <c r="B697" s="24" t="str">
        <f aca="false">IF($A697="","",Payroll!U697)</f>
        <v/>
      </c>
      <c r="C697" s="24" t="str">
        <f aca="false">IF($A697="","",Payroll!S697)</f>
        <v/>
      </c>
      <c r="D697" s="24" t="str">
        <f aca="false">IF($A697="","",SUBSTITUTE(Payroll!T697," ",""))</f>
        <v/>
      </c>
      <c r="E697" s="24" t="str">
        <f aca="false">IF($A697="","",TEXT(Settings!$B$8,"yyyy-mm-dd"))</f>
        <v/>
      </c>
      <c r="F697" s="24" t="str">
        <f aca="false">IF($A697="","",TEXT(Settings!$B$9,"yyyy-mm-dd"))</f>
        <v/>
      </c>
      <c r="G697" s="24" t="str">
        <f aca="false">IF($A697="","",DAY(Settings!$B$9))</f>
        <v/>
      </c>
      <c r="H697" s="26" t="str">
        <f aca="false">IF($A697="","",ROUND(Payroll!R697-Payroll!L697-Payroll!M697,2))</f>
        <v/>
      </c>
      <c r="I697" s="26" t="str">
        <f aca="false">IF($A697="","",ROUND(Payroll!L697+Payroll!M697,2))</f>
        <v/>
      </c>
      <c r="J697" s="24" t="str">
        <f aca="false">IF($A697="","",0)</f>
        <v/>
      </c>
    </row>
    <row r="698" customFormat="false" ht="15" hidden="false" customHeight="false" outlineLevel="0" collapsed="false">
      <c r="A698" s="24" t="str">
        <f aca="false">IF(AND(Payroll!$A698&lt;&gt;"",N(Payroll!$R698)&gt;0),"EDR","")</f>
        <v/>
      </c>
      <c r="B698" s="24" t="str">
        <f aca="false">IF($A698="","",Payroll!U698)</f>
        <v/>
      </c>
      <c r="C698" s="24" t="str">
        <f aca="false">IF($A698="","",Payroll!S698)</f>
        <v/>
      </c>
      <c r="D698" s="24" t="str">
        <f aca="false">IF($A698="","",SUBSTITUTE(Payroll!T698," ",""))</f>
        <v/>
      </c>
      <c r="E698" s="24" t="str">
        <f aca="false">IF($A698="","",TEXT(Settings!$B$8,"yyyy-mm-dd"))</f>
        <v/>
      </c>
      <c r="F698" s="24" t="str">
        <f aca="false">IF($A698="","",TEXT(Settings!$B$9,"yyyy-mm-dd"))</f>
        <v/>
      </c>
      <c r="G698" s="24" t="str">
        <f aca="false">IF($A698="","",DAY(Settings!$B$9))</f>
        <v/>
      </c>
      <c r="H698" s="26" t="str">
        <f aca="false">IF($A698="","",ROUND(Payroll!R698-Payroll!L698-Payroll!M698,2))</f>
        <v/>
      </c>
      <c r="I698" s="26" t="str">
        <f aca="false">IF($A698="","",ROUND(Payroll!L698+Payroll!M698,2))</f>
        <v/>
      </c>
      <c r="J698" s="24" t="str">
        <f aca="false">IF($A698="","",0)</f>
        <v/>
      </c>
    </row>
    <row r="699" customFormat="false" ht="15" hidden="false" customHeight="false" outlineLevel="0" collapsed="false">
      <c r="A699" s="24" t="str">
        <f aca="false">IF(AND(Payroll!$A699&lt;&gt;"",N(Payroll!$R699)&gt;0),"EDR","")</f>
        <v/>
      </c>
      <c r="B699" s="24" t="str">
        <f aca="false">IF($A699="","",Payroll!U699)</f>
        <v/>
      </c>
      <c r="C699" s="24" t="str">
        <f aca="false">IF($A699="","",Payroll!S699)</f>
        <v/>
      </c>
      <c r="D699" s="24" t="str">
        <f aca="false">IF($A699="","",SUBSTITUTE(Payroll!T699," ",""))</f>
        <v/>
      </c>
      <c r="E699" s="24" t="str">
        <f aca="false">IF($A699="","",TEXT(Settings!$B$8,"yyyy-mm-dd"))</f>
        <v/>
      </c>
      <c r="F699" s="24" t="str">
        <f aca="false">IF($A699="","",TEXT(Settings!$B$9,"yyyy-mm-dd"))</f>
        <v/>
      </c>
      <c r="G699" s="24" t="str">
        <f aca="false">IF($A699="","",DAY(Settings!$B$9))</f>
        <v/>
      </c>
      <c r="H699" s="26" t="str">
        <f aca="false">IF($A699="","",ROUND(Payroll!R699-Payroll!L699-Payroll!M699,2))</f>
        <v/>
      </c>
      <c r="I699" s="26" t="str">
        <f aca="false">IF($A699="","",ROUND(Payroll!L699+Payroll!M699,2))</f>
        <v/>
      </c>
      <c r="J699" s="24" t="str">
        <f aca="false">IF($A699="","",0)</f>
        <v/>
      </c>
    </row>
    <row r="700" customFormat="false" ht="15" hidden="false" customHeight="false" outlineLevel="0" collapsed="false">
      <c r="A700" s="24" t="str">
        <f aca="false">IF(AND(Payroll!$A700&lt;&gt;"",N(Payroll!$R700)&gt;0),"EDR","")</f>
        <v/>
      </c>
      <c r="B700" s="24" t="str">
        <f aca="false">IF($A700="","",Payroll!U700)</f>
        <v/>
      </c>
      <c r="C700" s="24" t="str">
        <f aca="false">IF($A700="","",Payroll!S700)</f>
        <v/>
      </c>
      <c r="D700" s="24" t="str">
        <f aca="false">IF($A700="","",SUBSTITUTE(Payroll!T700," ",""))</f>
        <v/>
      </c>
      <c r="E700" s="24" t="str">
        <f aca="false">IF($A700="","",TEXT(Settings!$B$8,"yyyy-mm-dd"))</f>
        <v/>
      </c>
      <c r="F700" s="24" t="str">
        <f aca="false">IF($A700="","",TEXT(Settings!$B$9,"yyyy-mm-dd"))</f>
        <v/>
      </c>
      <c r="G700" s="24" t="str">
        <f aca="false">IF($A700="","",DAY(Settings!$B$9))</f>
        <v/>
      </c>
      <c r="H700" s="26" t="str">
        <f aca="false">IF($A700="","",ROUND(Payroll!R700-Payroll!L700-Payroll!M700,2))</f>
        <v/>
      </c>
      <c r="I700" s="26" t="str">
        <f aca="false">IF($A700="","",ROUND(Payroll!L700+Payroll!M700,2))</f>
        <v/>
      </c>
      <c r="J700" s="24" t="str">
        <f aca="false">IF($A700="","",0)</f>
        <v/>
      </c>
    </row>
    <row r="701" customFormat="false" ht="15" hidden="false" customHeight="false" outlineLevel="0" collapsed="false">
      <c r="A701" s="24" t="str">
        <f aca="false">IF(AND(Payroll!$A701&lt;&gt;"",N(Payroll!$R701)&gt;0),"EDR","")</f>
        <v/>
      </c>
      <c r="B701" s="24" t="str">
        <f aca="false">IF($A701="","",Payroll!U701)</f>
        <v/>
      </c>
      <c r="C701" s="24" t="str">
        <f aca="false">IF($A701="","",Payroll!S701)</f>
        <v/>
      </c>
      <c r="D701" s="24" t="str">
        <f aca="false">IF($A701="","",SUBSTITUTE(Payroll!T701," ",""))</f>
        <v/>
      </c>
      <c r="E701" s="24" t="str">
        <f aca="false">IF($A701="","",TEXT(Settings!$B$8,"yyyy-mm-dd"))</f>
        <v/>
      </c>
      <c r="F701" s="24" t="str">
        <f aca="false">IF($A701="","",TEXT(Settings!$B$9,"yyyy-mm-dd"))</f>
        <v/>
      </c>
      <c r="G701" s="24" t="str">
        <f aca="false">IF($A701="","",DAY(Settings!$B$9))</f>
        <v/>
      </c>
      <c r="H701" s="26" t="str">
        <f aca="false">IF($A701="","",ROUND(Payroll!R701-Payroll!L701-Payroll!M701,2))</f>
        <v/>
      </c>
      <c r="I701" s="26" t="str">
        <f aca="false">IF($A701="","",ROUND(Payroll!L701+Payroll!M701,2))</f>
        <v/>
      </c>
      <c r="J701" s="24" t="str">
        <f aca="false">IF($A701="","",0)</f>
        <v/>
      </c>
    </row>
    <row r="702" customFormat="false" ht="15" hidden="false" customHeight="false" outlineLevel="0" collapsed="false">
      <c r="A702" s="24" t="str">
        <f aca="false">IF(AND(Payroll!$A702&lt;&gt;"",N(Payroll!$R702)&gt;0),"EDR","")</f>
        <v/>
      </c>
      <c r="B702" s="24" t="str">
        <f aca="false">IF($A702="","",Payroll!U702)</f>
        <v/>
      </c>
      <c r="C702" s="24" t="str">
        <f aca="false">IF($A702="","",Payroll!S702)</f>
        <v/>
      </c>
      <c r="D702" s="24" t="str">
        <f aca="false">IF($A702="","",SUBSTITUTE(Payroll!T702," ",""))</f>
        <v/>
      </c>
      <c r="E702" s="24" t="str">
        <f aca="false">IF($A702="","",TEXT(Settings!$B$8,"yyyy-mm-dd"))</f>
        <v/>
      </c>
      <c r="F702" s="24" t="str">
        <f aca="false">IF($A702="","",TEXT(Settings!$B$9,"yyyy-mm-dd"))</f>
        <v/>
      </c>
      <c r="G702" s="24" t="str">
        <f aca="false">IF($A702="","",DAY(Settings!$B$9))</f>
        <v/>
      </c>
      <c r="H702" s="26" t="str">
        <f aca="false">IF($A702="","",ROUND(Payroll!R702-Payroll!L702-Payroll!M702,2))</f>
        <v/>
      </c>
      <c r="I702" s="26" t="str">
        <f aca="false">IF($A702="","",ROUND(Payroll!L702+Payroll!M702,2))</f>
        <v/>
      </c>
      <c r="J702" s="24" t="str">
        <f aca="false">IF($A702="","",0)</f>
        <v/>
      </c>
    </row>
    <row r="703" customFormat="false" ht="15" hidden="false" customHeight="false" outlineLevel="0" collapsed="false">
      <c r="A703" s="24" t="str">
        <f aca="false">IF(AND(Payroll!$A703&lt;&gt;"",N(Payroll!$R703)&gt;0),"EDR","")</f>
        <v/>
      </c>
      <c r="B703" s="24" t="str">
        <f aca="false">IF($A703="","",Payroll!U703)</f>
        <v/>
      </c>
      <c r="C703" s="24" t="str">
        <f aca="false">IF($A703="","",Payroll!S703)</f>
        <v/>
      </c>
      <c r="D703" s="24" t="str">
        <f aca="false">IF($A703="","",SUBSTITUTE(Payroll!T703," ",""))</f>
        <v/>
      </c>
      <c r="E703" s="24" t="str">
        <f aca="false">IF($A703="","",TEXT(Settings!$B$8,"yyyy-mm-dd"))</f>
        <v/>
      </c>
      <c r="F703" s="24" t="str">
        <f aca="false">IF($A703="","",TEXT(Settings!$B$9,"yyyy-mm-dd"))</f>
        <v/>
      </c>
      <c r="G703" s="24" t="str">
        <f aca="false">IF($A703="","",DAY(Settings!$B$9))</f>
        <v/>
      </c>
      <c r="H703" s="26" t="str">
        <f aca="false">IF($A703="","",ROUND(Payroll!R703-Payroll!L703-Payroll!M703,2))</f>
        <v/>
      </c>
      <c r="I703" s="26" t="str">
        <f aca="false">IF($A703="","",ROUND(Payroll!L703+Payroll!M703,2))</f>
        <v/>
      </c>
      <c r="J703" s="24" t="str">
        <f aca="false">IF($A703="","",0)</f>
        <v/>
      </c>
    </row>
    <row r="704" customFormat="false" ht="15" hidden="false" customHeight="false" outlineLevel="0" collapsed="false">
      <c r="A704" s="24" t="str">
        <f aca="false">IF(AND(Payroll!$A704&lt;&gt;"",N(Payroll!$R704)&gt;0),"EDR","")</f>
        <v/>
      </c>
      <c r="B704" s="24" t="str">
        <f aca="false">IF($A704="","",Payroll!U704)</f>
        <v/>
      </c>
      <c r="C704" s="24" t="str">
        <f aca="false">IF($A704="","",Payroll!S704)</f>
        <v/>
      </c>
      <c r="D704" s="24" t="str">
        <f aca="false">IF($A704="","",SUBSTITUTE(Payroll!T704," ",""))</f>
        <v/>
      </c>
      <c r="E704" s="24" t="str">
        <f aca="false">IF($A704="","",TEXT(Settings!$B$8,"yyyy-mm-dd"))</f>
        <v/>
      </c>
      <c r="F704" s="24" t="str">
        <f aca="false">IF($A704="","",TEXT(Settings!$B$9,"yyyy-mm-dd"))</f>
        <v/>
      </c>
      <c r="G704" s="24" t="str">
        <f aca="false">IF($A704="","",DAY(Settings!$B$9))</f>
        <v/>
      </c>
      <c r="H704" s="26" t="str">
        <f aca="false">IF($A704="","",ROUND(Payroll!R704-Payroll!L704-Payroll!M704,2))</f>
        <v/>
      </c>
      <c r="I704" s="26" t="str">
        <f aca="false">IF($A704="","",ROUND(Payroll!L704+Payroll!M704,2))</f>
        <v/>
      </c>
      <c r="J704" s="24" t="str">
        <f aca="false">IF($A704="","",0)</f>
        <v/>
      </c>
    </row>
    <row r="705" customFormat="false" ht="15" hidden="false" customHeight="false" outlineLevel="0" collapsed="false">
      <c r="A705" s="24" t="str">
        <f aca="false">IF(AND(Payroll!$A705&lt;&gt;"",N(Payroll!$R705)&gt;0),"EDR","")</f>
        <v/>
      </c>
      <c r="B705" s="24" t="str">
        <f aca="false">IF($A705="","",Payroll!U705)</f>
        <v/>
      </c>
      <c r="C705" s="24" t="str">
        <f aca="false">IF($A705="","",Payroll!S705)</f>
        <v/>
      </c>
      <c r="D705" s="24" t="str">
        <f aca="false">IF($A705="","",SUBSTITUTE(Payroll!T705," ",""))</f>
        <v/>
      </c>
      <c r="E705" s="24" t="str">
        <f aca="false">IF($A705="","",TEXT(Settings!$B$8,"yyyy-mm-dd"))</f>
        <v/>
      </c>
      <c r="F705" s="24" t="str">
        <f aca="false">IF($A705="","",TEXT(Settings!$B$9,"yyyy-mm-dd"))</f>
        <v/>
      </c>
      <c r="G705" s="24" t="str">
        <f aca="false">IF($A705="","",DAY(Settings!$B$9))</f>
        <v/>
      </c>
      <c r="H705" s="26" t="str">
        <f aca="false">IF($A705="","",ROUND(Payroll!R705-Payroll!L705-Payroll!M705,2))</f>
        <v/>
      </c>
      <c r="I705" s="26" t="str">
        <f aca="false">IF($A705="","",ROUND(Payroll!L705+Payroll!M705,2))</f>
        <v/>
      </c>
      <c r="J705" s="24" t="str">
        <f aca="false">IF($A705="","",0)</f>
        <v/>
      </c>
    </row>
    <row r="706" customFormat="false" ht="15" hidden="false" customHeight="false" outlineLevel="0" collapsed="false">
      <c r="A706" s="24" t="str">
        <f aca="false">IF(AND(Payroll!$A706&lt;&gt;"",N(Payroll!$R706)&gt;0),"EDR","")</f>
        <v/>
      </c>
      <c r="B706" s="24" t="str">
        <f aca="false">IF($A706="","",Payroll!U706)</f>
        <v/>
      </c>
      <c r="C706" s="24" t="str">
        <f aca="false">IF($A706="","",Payroll!S706)</f>
        <v/>
      </c>
      <c r="D706" s="24" t="str">
        <f aca="false">IF($A706="","",SUBSTITUTE(Payroll!T706," ",""))</f>
        <v/>
      </c>
      <c r="E706" s="24" t="str">
        <f aca="false">IF($A706="","",TEXT(Settings!$B$8,"yyyy-mm-dd"))</f>
        <v/>
      </c>
      <c r="F706" s="24" t="str">
        <f aca="false">IF($A706="","",TEXT(Settings!$B$9,"yyyy-mm-dd"))</f>
        <v/>
      </c>
      <c r="G706" s="24" t="str">
        <f aca="false">IF($A706="","",DAY(Settings!$B$9))</f>
        <v/>
      </c>
      <c r="H706" s="26" t="str">
        <f aca="false">IF($A706="","",ROUND(Payroll!R706-Payroll!L706-Payroll!M706,2))</f>
        <v/>
      </c>
      <c r="I706" s="26" t="str">
        <f aca="false">IF($A706="","",ROUND(Payroll!L706+Payroll!M706,2))</f>
        <v/>
      </c>
      <c r="J706" s="24" t="str">
        <f aca="false">IF($A706="","",0)</f>
        <v/>
      </c>
    </row>
    <row r="707" customFormat="false" ht="15" hidden="false" customHeight="false" outlineLevel="0" collapsed="false">
      <c r="A707" s="24" t="str">
        <f aca="false">IF(AND(Payroll!$A707&lt;&gt;"",N(Payroll!$R707)&gt;0),"EDR","")</f>
        <v/>
      </c>
      <c r="B707" s="24" t="str">
        <f aca="false">IF($A707="","",Payroll!U707)</f>
        <v/>
      </c>
      <c r="C707" s="24" t="str">
        <f aca="false">IF($A707="","",Payroll!S707)</f>
        <v/>
      </c>
      <c r="D707" s="24" t="str">
        <f aca="false">IF($A707="","",SUBSTITUTE(Payroll!T707," ",""))</f>
        <v/>
      </c>
      <c r="E707" s="24" t="str">
        <f aca="false">IF($A707="","",TEXT(Settings!$B$8,"yyyy-mm-dd"))</f>
        <v/>
      </c>
      <c r="F707" s="24" t="str">
        <f aca="false">IF($A707="","",TEXT(Settings!$B$9,"yyyy-mm-dd"))</f>
        <v/>
      </c>
      <c r="G707" s="24" t="str">
        <f aca="false">IF($A707="","",DAY(Settings!$B$9))</f>
        <v/>
      </c>
      <c r="H707" s="26" t="str">
        <f aca="false">IF($A707="","",ROUND(Payroll!R707-Payroll!L707-Payroll!M707,2))</f>
        <v/>
      </c>
      <c r="I707" s="26" t="str">
        <f aca="false">IF($A707="","",ROUND(Payroll!L707+Payroll!M707,2))</f>
        <v/>
      </c>
      <c r="J707" s="24" t="str">
        <f aca="false">IF($A707="","",0)</f>
        <v/>
      </c>
    </row>
    <row r="708" customFormat="false" ht="15" hidden="false" customHeight="false" outlineLevel="0" collapsed="false">
      <c r="A708" s="24" t="str">
        <f aca="false">IF(AND(Payroll!$A708&lt;&gt;"",N(Payroll!$R708)&gt;0),"EDR","")</f>
        <v/>
      </c>
      <c r="B708" s="24" t="str">
        <f aca="false">IF($A708="","",Payroll!U708)</f>
        <v/>
      </c>
      <c r="C708" s="24" t="str">
        <f aca="false">IF($A708="","",Payroll!S708)</f>
        <v/>
      </c>
      <c r="D708" s="24" t="str">
        <f aca="false">IF($A708="","",SUBSTITUTE(Payroll!T708," ",""))</f>
        <v/>
      </c>
      <c r="E708" s="24" t="str">
        <f aca="false">IF($A708="","",TEXT(Settings!$B$8,"yyyy-mm-dd"))</f>
        <v/>
      </c>
      <c r="F708" s="24" t="str">
        <f aca="false">IF($A708="","",TEXT(Settings!$B$9,"yyyy-mm-dd"))</f>
        <v/>
      </c>
      <c r="G708" s="24" t="str">
        <f aca="false">IF($A708="","",DAY(Settings!$B$9))</f>
        <v/>
      </c>
      <c r="H708" s="26" t="str">
        <f aca="false">IF($A708="","",ROUND(Payroll!R708-Payroll!L708-Payroll!M708,2))</f>
        <v/>
      </c>
      <c r="I708" s="26" t="str">
        <f aca="false">IF($A708="","",ROUND(Payroll!L708+Payroll!M708,2))</f>
        <v/>
      </c>
      <c r="J708" s="24" t="str">
        <f aca="false">IF($A708="","",0)</f>
        <v/>
      </c>
    </row>
    <row r="709" customFormat="false" ht="15" hidden="false" customHeight="false" outlineLevel="0" collapsed="false">
      <c r="A709" s="24" t="str">
        <f aca="false">IF(AND(Payroll!$A709&lt;&gt;"",N(Payroll!$R709)&gt;0),"EDR","")</f>
        <v/>
      </c>
      <c r="B709" s="24" t="str">
        <f aca="false">IF($A709="","",Payroll!U709)</f>
        <v/>
      </c>
      <c r="C709" s="24" t="str">
        <f aca="false">IF($A709="","",Payroll!S709)</f>
        <v/>
      </c>
      <c r="D709" s="24" t="str">
        <f aca="false">IF($A709="","",SUBSTITUTE(Payroll!T709," ",""))</f>
        <v/>
      </c>
      <c r="E709" s="24" t="str">
        <f aca="false">IF($A709="","",TEXT(Settings!$B$8,"yyyy-mm-dd"))</f>
        <v/>
      </c>
      <c r="F709" s="24" t="str">
        <f aca="false">IF($A709="","",TEXT(Settings!$B$9,"yyyy-mm-dd"))</f>
        <v/>
      </c>
      <c r="G709" s="24" t="str">
        <f aca="false">IF($A709="","",DAY(Settings!$B$9))</f>
        <v/>
      </c>
      <c r="H709" s="26" t="str">
        <f aca="false">IF($A709="","",ROUND(Payroll!R709-Payroll!L709-Payroll!M709,2))</f>
        <v/>
      </c>
      <c r="I709" s="26" t="str">
        <f aca="false">IF($A709="","",ROUND(Payroll!L709+Payroll!M709,2))</f>
        <v/>
      </c>
      <c r="J709" s="24" t="str">
        <f aca="false">IF($A709="","",0)</f>
        <v/>
      </c>
    </row>
    <row r="710" customFormat="false" ht="15" hidden="false" customHeight="false" outlineLevel="0" collapsed="false">
      <c r="A710" s="24" t="str">
        <f aca="false">IF(AND(Payroll!$A710&lt;&gt;"",N(Payroll!$R710)&gt;0),"EDR","")</f>
        <v/>
      </c>
      <c r="B710" s="24" t="str">
        <f aca="false">IF($A710="","",Payroll!U710)</f>
        <v/>
      </c>
      <c r="C710" s="24" t="str">
        <f aca="false">IF($A710="","",Payroll!S710)</f>
        <v/>
      </c>
      <c r="D710" s="24" t="str">
        <f aca="false">IF($A710="","",SUBSTITUTE(Payroll!T710," ",""))</f>
        <v/>
      </c>
      <c r="E710" s="24" t="str">
        <f aca="false">IF($A710="","",TEXT(Settings!$B$8,"yyyy-mm-dd"))</f>
        <v/>
      </c>
      <c r="F710" s="24" t="str">
        <f aca="false">IF($A710="","",TEXT(Settings!$B$9,"yyyy-mm-dd"))</f>
        <v/>
      </c>
      <c r="G710" s="24" t="str">
        <f aca="false">IF($A710="","",DAY(Settings!$B$9))</f>
        <v/>
      </c>
      <c r="H710" s="26" t="str">
        <f aca="false">IF($A710="","",ROUND(Payroll!R710-Payroll!L710-Payroll!M710,2))</f>
        <v/>
      </c>
      <c r="I710" s="26" t="str">
        <f aca="false">IF($A710="","",ROUND(Payroll!L710+Payroll!M710,2))</f>
        <v/>
      </c>
      <c r="J710" s="24" t="str">
        <f aca="false">IF($A710="","",0)</f>
        <v/>
      </c>
    </row>
    <row r="711" customFormat="false" ht="15" hidden="false" customHeight="false" outlineLevel="0" collapsed="false">
      <c r="A711" s="24" t="str">
        <f aca="false">IF(AND(Payroll!$A711&lt;&gt;"",N(Payroll!$R711)&gt;0),"EDR","")</f>
        <v/>
      </c>
      <c r="B711" s="24" t="str">
        <f aca="false">IF($A711="","",Payroll!U711)</f>
        <v/>
      </c>
      <c r="C711" s="24" t="str">
        <f aca="false">IF($A711="","",Payroll!S711)</f>
        <v/>
      </c>
      <c r="D711" s="24" t="str">
        <f aca="false">IF($A711="","",SUBSTITUTE(Payroll!T711," ",""))</f>
        <v/>
      </c>
      <c r="E711" s="24" t="str">
        <f aca="false">IF($A711="","",TEXT(Settings!$B$8,"yyyy-mm-dd"))</f>
        <v/>
      </c>
      <c r="F711" s="24" t="str">
        <f aca="false">IF($A711="","",TEXT(Settings!$B$9,"yyyy-mm-dd"))</f>
        <v/>
      </c>
      <c r="G711" s="24" t="str">
        <f aca="false">IF($A711="","",DAY(Settings!$B$9))</f>
        <v/>
      </c>
      <c r="H711" s="26" t="str">
        <f aca="false">IF($A711="","",ROUND(Payroll!R711-Payroll!L711-Payroll!M711,2))</f>
        <v/>
      </c>
      <c r="I711" s="26" t="str">
        <f aca="false">IF($A711="","",ROUND(Payroll!L711+Payroll!M711,2))</f>
        <v/>
      </c>
      <c r="J711" s="24" t="str">
        <f aca="false">IF($A711="","",0)</f>
        <v/>
      </c>
    </row>
    <row r="712" customFormat="false" ht="15" hidden="false" customHeight="false" outlineLevel="0" collapsed="false">
      <c r="A712" s="24" t="str">
        <f aca="false">IF(AND(Payroll!$A712&lt;&gt;"",N(Payroll!$R712)&gt;0),"EDR","")</f>
        <v/>
      </c>
      <c r="B712" s="24" t="str">
        <f aca="false">IF($A712="","",Payroll!U712)</f>
        <v/>
      </c>
      <c r="C712" s="24" t="str">
        <f aca="false">IF($A712="","",Payroll!S712)</f>
        <v/>
      </c>
      <c r="D712" s="24" t="str">
        <f aca="false">IF($A712="","",SUBSTITUTE(Payroll!T712," ",""))</f>
        <v/>
      </c>
      <c r="E712" s="24" t="str">
        <f aca="false">IF($A712="","",TEXT(Settings!$B$8,"yyyy-mm-dd"))</f>
        <v/>
      </c>
      <c r="F712" s="24" t="str">
        <f aca="false">IF($A712="","",TEXT(Settings!$B$9,"yyyy-mm-dd"))</f>
        <v/>
      </c>
      <c r="G712" s="24" t="str">
        <f aca="false">IF($A712="","",DAY(Settings!$B$9))</f>
        <v/>
      </c>
      <c r="H712" s="26" t="str">
        <f aca="false">IF($A712="","",ROUND(Payroll!R712-Payroll!L712-Payroll!M712,2))</f>
        <v/>
      </c>
      <c r="I712" s="26" t="str">
        <f aca="false">IF($A712="","",ROUND(Payroll!L712+Payroll!M712,2))</f>
        <v/>
      </c>
      <c r="J712" s="24" t="str">
        <f aca="false">IF($A712="","",0)</f>
        <v/>
      </c>
    </row>
    <row r="713" customFormat="false" ht="15" hidden="false" customHeight="false" outlineLevel="0" collapsed="false">
      <c r="A713" s="24" t="str">
        <f aca="false">IF(AND(Payroll!$A713&lt;&gt;"",N(Payroll!$R713)&gt;0),"EDR","")</f>
        <v/>
      </c>
      <c r="B713" s="24" t="str">
        <f aca="false">IF($A713="","",Payroll!U713)</f>
        <v/>
      </c>
      <c r="C713" s="24" t="str">
        <f aca="false">IF($A713="","",Payroll!S713)</f>
        <v/>
      </c>
      <c r="D713" s="24" t="str">
        <f aca="false">IF($A713="","",SUBSTITUTE(Payroll!T713," ",""))</f>
        <v/>
      </c>
      <c r="E713" s="24" t="str">
        <f aca="false">IF($A713="","",TEXT(Settings!$B$8,"yyyy-mm-dd"))</f>
        <v/>
      </c>
      <c r="F713" s="24" t="str">
        <f aca="false">IF($A713="","",TEXT(Settings!$B$9,"yyyy-mm-dd"))</f>
        <v/>
      </c>
      <c r="G713" s="24" t="str">
        <f aca="false">IF($A713="","",DAY(Settings!$B$9))</f>
        <v/>
      </c>
      <c r="H713" s="26" t="str">
        <f aca="false">IF($A713="","",ROUND(Payroll!R713-Payroll!L713-Payroll!M713,2))</f>
        <v/>
      </c>
      <c r="I713" s="26" t="str">
        <f aca="false">IF($A713="","",ROUND(Payroll!L713+Payroll!M713,2))</f>
        <v/>
      </c>
      <c r="J713" s="24" t="str">
        <f aca="false">IF($A713="","",0)</f>
        <v/>
      </c>
    </row>
    <row r="714" customFormat="false" ht="15" hidden="false" customHeight="false" outlineLevel="0" collapsed="false">
      <c r="A714" s="24" t="str">
        <f aca="false">IF(AND(Payroll!$A714&lt;&gt;"",N(Payroll!$R714)&gt;0),"EDR","")</f>
        <v/>
      </c>
      <c r="B714" s="24" t="str">
        <f aca="false">IF($A714="","",Payroll!U714)</f>
        <v/>
      </c>
      <c r="C714" s="24" t="str">
        <f aca="false">IF($A714="","",Payroll!S714)</f>
        <v/>
      </c>
      <c r="D714" s="24" t="str">
        <f aca="false">IF($A714="","",SUBSTITUTE(Payroll!T714," ",""))</f>
        <v/>
      </c>
      <c r="E714" s="24" t="str">
        <f aca="false">IF($A714="","",TEXT(Settings!$B$8,"yyyy-mm-dd"))</f>
        <v/>
      </c>
      <c r="F714" s="24" t="str">
        <f aca="false">IF($A714="","",TEXT(Settings!$B$9,"yyyy-mm-dd"))</f>
        <v/>
      </c>
      <c r="G714" s="24" t="str">
        <f aca="false">IF($A714="","",DAY(Settings!$B$9))</f>
        <v/>
      </c>
      <c r="H714" s="26" t="str">
        <f aca="false">IF($A714="","",ROUND(Payroll!R714-Payroll!L714-Payroll!M714,2))</f>
        <v/>
      </c>
      <c r="I714" s="26" t="str">
        <f aca="false">IF($A714="","",ROUND(Payroll!L714+Payroll!M714,2))</f>
        <v/>
      </c>
      <c r="J714" s="24" t="str">
        <f aca="false">IF($A714="","",0)</f>
        <v/>
      </c>
    </row>
    <row r="715" customFormat="false" ht="15" hidden="false" customHeight="false" outlineLevel="0" collapsed="false">
      <c r="A715" s="24" t="str">
        <f aca="false">IF(AND(Payroll!$A715&lt;&gt;"",N(Payroll!$R715)&gt;0),"EDR","")</f>
        <v/>
      </c>
      <c r="B715" s="24" t="str">
        <f aca="false">IF($A715="","",Payroll!U715)</f>
        <v/>
      </c>
      <c r="C715" s="24" t="str">
        <f aca="false">IF($A715="","",Payroll!S715)</f>
        <v/>
      </c>
      <c r="D715" s="24" t="str">
        <f aca="false">IF($A715="","",SUBSTITUTE(Payroll!T715," ",""))</f>
        <v/>
      </c>
      <c r="E715" s="24" t="str">
        <f aca="false">IF($A715="","",TEXT(Settings!$B$8,"yyyy-mm-dd"))</f>
        <v/>
      </c>
      <c r="F715" s="24" t="str">
        <f aca="false">IF($A715="","",TEXT(Settings!$B$9,"yyyy-mm-dd"))</f>
        <v/>
      </c>
      <c r="G715" s="24" t="str">
        <f aca="false">IF($A715="","",DAY(Settings!$B$9))</f>
        <v/>
      </c>
      <c r="H715" s="26" t="str">
        <f aca="false">IF($A715="","",ROUND(Payroll!R715-Payroll!L715-Payroll!M715,2))</f>
        <v/>
      </c>
      <c r="I715" s="26" t="str">
        <f aca="false">IF($A715="","",ROUND(Payroll!L715+Payroll!M715,2))</f>
        <v/>
      </c>
      <c r="J715" s="24" t="str">
        <f aca="false">IF($A715="","",0)</f>
        <v/>
      </c>
    </row>
    <row r="716" customFormat="false" ht="15" hidden="false" customHeight="false" outlineLevel="0" collapsed="false">
      <c r="A716" s="24" t="str">
        <f aca="false">IF(AND(Payroll!$A716&lt;&gt;"",N(Payroll!$R716)&gt;0),"EDR","")</f>
        <v/>
      </c>
      <c r="B716" s="24" t="str">
        <f aca="false">IF($A716="","",Payroll!U716)</f>
        <v/>
      </c>
      <c r="C716" s="24" t="str">
        <f aca="false">IF($A716="","",Payroll!S716)</f>
        <v/>
      </c>
      <c r="D716" s="24" t="str">
        <f aca="false">IF($A716="","",SUBSTITUTE(Payroll!T716," ",""))</f>
        <v/>
      </c>
      <c r="E716" s="24" t="str">
        <f aca="false">IF($A716="","",TEXT(Settings!$B$8,"yyyy-mm-dd"))</f>
        <v/>
      </c>
      <c r="F716" s="24" t="str">
        <f aca="false">IF($A716="","",TEXT(Settings!$B$9,"yyyy-mm-dd"))</f>
        <v/>
      </c>
      <c r="G716" s="24" t="str">
        <f aca="false">IF($A716="","",DAY(Settings!$B$9))</f>
        <v/>
      </c>
      <c r="H716" s="26" t="str">
        <f aca="false">IF($A716="","",ROUND(Payroll!R716-Payroll!L716-Payroll!M716,2))</f>
        <v/>
      </c>
      <c r="I716" s="26" t="str">
        <f aca="false">IF($A716="","",ROUND(Payroll!L716+Payroll!M716,2))</f>
        <v/>
      </c>
      <c r="J716" s="24" t="str">
        <f aca="false">IF($A716="","",0)</f>
        <v/>
      </c>
    </row>
    <row r="717" customFormat="false" ht="15" hidden="false" customHeight="false" outlineLevel="0" collapsed="false">
      <c r="A717" s="24" t="str">
        <f aca="false">IF(AND(Payroll!$A717&lt;&gt;"",N(Payroll!$R717)&gt;0),"EDR","")</f>
        <v/>
      </c>
      <c r="B717" s="24" t="str">
        <f aca="false">IF($A717="","",Payroll!U717)</f>
        <v/>
      </c>
      <c r="C717" s="24" t="str">
        <f aca="false">IF($A717="","",Payroll!S717)</f>
        <v/>
      </c>
      <c r="D717" s="24" t="str">
        <f aca="false">IF($A717="","",SUBSTITUTE(Payroll!T717," ",""))</f>
        <v/>
      </c>
      <c r="E717" s="24" t="str">
        <f aca="false">IF($A717="","",TEXT(Settings!$B$8,"yyyy-mm-dd"))</f>
        <v/>
      </c>
      <c r="F717" s="24" t="str">
        <f aca="false">IF($A717="","",TEXT(Settings!$B$9,"yyyy-mm-dd"))</f>
        <v/>
      </c>
      <c r="G717" s="24" t="str">
        <f aca="false">IF($A717="","",DAY(Settings!$B$9))</f>
        <v/>
      </c>
      <c r="H717" s="26" t="str">
        <f aca="false">IF($A717="","",ROUND(Payroll!R717-Payroll!L717-Payroll!M717,2))</f>
        <v/>
      </c>
      <c r="I717" s="26" t="str">
        <f aca="false">IF($A717="","",ROUND(Payroll!L717+Payroll!M717,2))</f>
        <v/>
      </c>
      <c r="J717" s="24" t="str">
        <f aca="false">IF($A717="","",0)</f>
        <v/>
      </c>
    </row>
    <row r="718" customFormat="false" ht="15" hidden="false" customHeight="false" outlineLevel="0" collapsed="false">
      <c r="A718" s="24" t="str">
        <f aca="false">IF(AND(Payroll!$A718&lt;&gt;"",N(Payroll!$R718)&gt;0),"EDR","")</f>
        <v/>
      </c>
      <c r="B718" s="24" t="str">
        <f aca="false">IF($A718="","",Payroll!U718)</f>
        <v/>
      </c>
      <c r="C718" s="24" t="str">
        <f aca="false">IF($A718="","",Payroll!S718)</f>
        <v/>
      </c>
      <c r="D718" s="24" t="str">
        <f aca="false">IF($A718="","",SUBSTITUTE(Payroll!T718," ",""))</f>
        <v/>
      </c>
      <c r="E718" s="24" t="str">
        <f aca="false">IF($A718="","",TEXT(Settings!$B$8,"yyyy-mm-dd"))</f>
        <v/>
      </c>
      <c r="F718" s="24" t="str">
        <f aca="false">IF($A718="","",TEXT(Settings!$B$9,"yyyy-mm-dd"))</f>
        <v/>
      </c>
      <c r="G718" s="24" t="str">
        <f aca="false">IF($A718="","",DAY(Settings!$B$9))</f>
        <v/>
      </c>
      <c r="H718" s="26" t="str">
        <f aca="false">IF($A718="","",ROUND(Payroll!R718-Payroll!L718-Payroll!M718,2))</f>
        <v/>
      </c>
      <c r="I718" s="26" t="str">
        <f aca="false">IF($A718="","",ROUND(Payroll!L718+Payroll!M718,2))</f>
        <v/>
      </c>
      <c r="J718" s="24" t="str">
        <f aca="false">IF($A718="","",0)</f>
        <v/>
      </c>
    </row>
    <row r="719" customFormat="false" ht="15" hidden="false" customHeight="false" outlineLevel="0" collapsed="false">
      <c r="A719" s="24" t="str">
        <f aca="false">IF(AND(Payroll!$A719&lt;&gt;"",N(Payroll!$R719)&gt;0),"EDR","")</f>
        <v/>
      </c>
      <c r="B719" s="24" t="str">
        <f aca="false">IF($A719="","",Payroll!U719)</f>
        <v/>
      </c>
      <c r="C719" s="24" t="str">
        <f aca="false">IF($A719="","",Payroll!S719)</f>
        <v/>
      </c>
      <c r="D719" s="24" t="str">
        <f aca="false">IF($A719="","",SUBSTITUTE(Payroll!T719," ",""))</f>
        <v/>
      </c>
      <c r="E719" s="24" t="str">
        <f aca="false">IF($A719="","",TEXT(Settings!$B$8,"yyyy-mm-dd"))</f>
        <v/>
      </c>
      <c r="F719" s="24" t="str">
        <f aca="false">IF($A719="","",TEXT(Settings!$B$9,"yyyy-mm-dd"))</f>
        <v/>
      </c>
      <c r="G719" s="24" t="str">
        <f aca="false">IF($A719="","",DAY(Settings!$B$9))</f>
        <v/>
      </c>
      <c r="H719" s="26" t="str">
        <f aca="false">IF($A719="","",ROUND(Payroll!R719-Payroll!L719-Payroll!M719,2))</f>
        <v/>
      </c>
      <c r="I719" s="26" t="str">
        <f aca="false">IF($A719="","",ROUND(Payroll!L719+Payroll!M719,2))</f>
        <v/>
      </c>
      <c r="J719" s="24" t="str">
        <f aca="false">IF($A719="","",0)</f>
        <v/>
      </c>
    </row>
    <row r="720" customFormat="false" ht="15" hidden="false" customHeight="false" outlineLevel="0" collapsed="false">
      <c r="A720" s="24" t="str">
        <f aca="false">IF(AND(Payroll!$A720&lt;&gt;"",N(Payroll!$R720)&gt;0),"EDR","")</f>
        <v/>
      </c>
      <c r="B720" s="24" t="str">
        <f aca="false">IF($A720="","",Payroll!U720)</f>
        <v/>
      </c>
      <c r="C720" s="24" t="str">
        <f aca="false">IF($A720="","",Payroll!S720)</f>
        <v/>
      </c>
      <c r="D720" s="24" t="str">
        <f aca="false">IF($A720="","",SUBSTITUTE(Payroll!T720," ",""))</f>
        <v/>
      </c>
      <c r="E720" s="24" t="str">
        <f aca="false">IF($A720="","",TEXT(Settings!$B$8,"yyyy-mm-dd"))</f>
        <v/>
      </c>
      <c r="F720" s="24" t="str">
        <f aca="false">IF($A720="","",TEXT(Settings!$B$9,"yyyy-mm-dd"))</f>
        <v/>
      </c>
      <c r="G720" s="24" t="str">
        <f aca="false">IF($A720="","",DAY(Settings!$B$9))</f>
        <v/>
      </c>
      <c r="H720" s="26" t="str">
        <f aca="false">IF($A720="","",ROUND(Payroll!R720-Payroll!L720-Payroll!M720,2))</f>
        <v/>
      </c>
      <c r="I720" s="26" t="str">
        <f aca="false">IF($A720="","",ROUND(Payroll!L720+Payroll!M720,2))</f>
        <v/>
      </c>
      <c r="J720" s="24" t="str">
        <f aca="false">IF($A720="","",0)</f>
        <v/>
      </c>
    </row>
    <row r="721" customFormat="false" ht="15" hidden="false" customHeight="false" outlineLevel="0" collapsed="false">
      <c r="A721" s="24" t="str">
        <f aca="false">IF(AND(Payroll!$A721&lt;&gt;"",N(Payroll!$R721)&gt;0),"EDR","")</f>
        <v/>
      </c>
      <c r="B721" s="24" t="str">
        <f aca="false">IF($A721="","",Payroll!U721)</f>
        <v/>
      </c>
      <c r="C721" s="24" t="str">
        <f aca="false">IF($A721="","",Payroll!S721)</f>
        <v/>
      </c>
      <c r="D721" s="24" t="str">
        <f aca="false">IF($A721="","",SUBSTITUTE(Payroll!T721," ",""))</f>
        <v/>
      </c>
      <c r="E721" s="24" t="str">
        <f aca="false">IF($A721="","",TEXT(Settings!$B$8,"yyyy-mm-dd"))</f>
        <v/>
      </c>
      <c r="F721" s="24" t="str">
        <f aca="false">IF($A721="","",TEXT(Settings!$B$9,"yyyy-mm-dd"))</f>
        <v/>
      </c>
      <c r="G721" s="24" t="str">
        <f aca="false">IF($A721="","",DAY(Settings!$B$9))</f>
        <v/>
      </c>
      <c r="H721" s="26" t="str">
        <f aca="false">IF($A721="","",ROUND(Payroll!R721-Payroll!L721-Payroll!M721,2))</f>
        <v/>
      </c>
      <c r="I721" s="26" t="str">
        <f aca="false">IF($A721="","",ROUND(Payroll!L721+Payroll!M721,2))</f>
        <v/>
      </c>
      <c r="J721" s="24" t="str">
        <f aca="false">IF($A721="","",0)</f>
        <v/>
      </c>
    </row>
    <row r="722" customFormat="false" ht="15" hidden="false" customHeight="false" outlineLevel="0" collapsed="false">
      <c r="A722" s="24" t="str">
        <f aca="false">IF(AND(Payroll!$A722&lt;&gt;"",N(Payroll!$R722)&gt;0),"EDR","")</f>
        <v/>
      </c>
      <c r="B722" s="24" t="str">
        <f aca="false">IF($A722="","",Payroll!U722)</f>
        <v/>
      </c>
      <c r="C722" s="24" t="str">
        <f aca="false">IF($A722="","",Payroll!S722)</f>
        <v/>
      </c>
      <c r="D722" s="24" t="str">
        <f aca="false">IF($A722="","",SUBSTITUTE(Payroll!T722," ",""))</f>
        <v/>
      </c>
      <c r="E722" s="24" t="str">
        <f aca="false">IF($A722="","",TEXT(Settings!$B$8,"yyyy-mm-dd"))</f>
        <v/>
      </c>
      <c r="F722" s="24" t="str">
        <f aca="false">IF($A722="","",TEXT(Settings!$B$9,"yyyy-mm-dd"))</f>
        <v/>
      </c>
      <c r="G722" s="24" t="str">
        <f aca="false">IF($A722="","",DAY(Settings!$B$9))</f>
        <v/>
      </c>
      <c r="H722" s="26" t="str">
        <f aca="false">IF($A722="","",ROUND(Payroll!R722-Payroll!L722-Payroll!M722,2))</f>
        <v/>
      </c>
      <c r="I722" s="26" t="str">
        <f aca="false">IF($A722="","",ROUND(Payroll!L722+Payroll!M722,2))</f>
        <v/>
      </c>
      <c r="J722" s="24" t="str">
        <f aca="false">IF($A722="","",0)</f>
        <v/>
      </c>
    </row>
    <row r="723" customFormat="false" ht="15" hidden="false" customHeight="false" outlineLevel="0" collapsed="false">
      <c r="A723" s="24" t="str">
        <f aca="false">IF(AND(Payroll!$A723&lt;&gt;"",N(Payroll!$R723)&gt;0),"EDR","")</f>
        <v/>
      </c>
      <c r="B723" s="24" t="str">
        <f aca="false">IF($A723="","",Payroll!U723)</f>
        <v/>
      </c>
      <c r="C723" s="24" t="str">
        <f aca="false">IF($A723="","",Payroll!S723)</f>
        <v/>
      </c>
      <c r="D723" s="24" t="str">
        <f aca="false">IF($A723="","",SUBSTITUTE(Payroll!T723," ",""))</f>
        <v/>
      </c>
      <c r="E723" s="24" t="str">
        <f aca="false">IF($A723="","",TEXT(Settings!$B$8,"yyyy-mm-dd"))</f>
        <v/>
      </c>
      <c r="F723" s="24" t="str">
        <f aca="false">IF($A723="","",TEXT(Settings!$B$9,"yyyy-mm-dd"))</f>
        <v/>
      </c>
      <c r="G723" s="24" t="str">
        <f aca="false">IF($A723="","",DAY(Settings!$B$9))</f>
        <v/>
      </c>
      <c r="H723" s="26" t="str">
        <f aca="false">IF($A723="","",ROUND(Payroll!R723-Payroll!L723-Payroll!M723,2))</f>
        <v/>
      </c>
      <c r="I723" s="26" t="str">
        <f aca="false">IF($A723="","",ROUND(Payroll!L723+Payroll!M723,2))</f>
        <v/>
      </c>
      <c r="J723" s="24" t="str">
        <f aca="false">IF($A723="","",0)</f>
        <v/>
      </c>
    </row>
    <row r="724" customFormat="false" ht="15" hidden="false" customHeight="false" outlineLevel="0" collapsed="false">
      <c r="A724" s="24" t="str">
        <f aca="false">IF(AND(Payroll!$A724&lt;&gt;"",N(Payroll!$R724)&gt;0),"EDR","")</f>
        <v/>
      </c>
      <c r="B724" s="24" t="str">
        <f aca="false">IF($A724="","",Payroll!U724)</f>
        <v/>
      </c>
      <c r="C724" s="24" t="str">
        <f aca="false">IF($A724="","",Payroll!S724)</f>
        <v/>
      </c>
      <c r="D724" s="24" t="str">
        <f aca="false">IF($A724="","",SUBSTITUTE(Payroll!T724," ",""))</f>
        <v/>
      </c>
      <c r="E724" s="24" t="str">
        <f aca="false">IF($A724="","",TEXT(Settings!$B$8,"yyyy-mm-dd"))</f>
        <v/>
      </c>
      <c r="F724" s="24" t="str">
        <f aca="false">IF($A724="","",TEXT(Settings!$B$9,"yyyy-mm-dd"))</f>
        <v/>
      </c>
      <c r="G724" s="24" t="str">
        <f aca="false">IF($A724="","",DAY(Settings!$B$9))</f>
        <v/>
      </c>
      <c r="H724" s="26" t="str">
        <f aca="false">IF($A724="","",ROUND(Payroll!R724-Payroll!L724-Payroll!M724,2))</f>
        <v/>
      </c>
      <c r="I724" s="26" t="str">
        <f aca="false">IF($A724="","",ROUND(Payroll!L724+Payroll!M724,2))</f>
        <v/>
      </c>
      <c r="J724" s="24" t="str">
        <f aca="false">IF($A724="","",0)</f>
        <v/>
      </c>
    </row>
    <row r="725" customFormat="false" ht="15" hidden="false" customHeight="false" outlineLevel="0" collapsed="false">
      <c r="A725" s="24" t="str">
        <f aca="false">IF(AND(Payroll!$A725&lt;&gt;"",N(Payroll!$R725)&gt;0),"EDR","")</f>
        <v/>
      </c>
      <c r="B725" s="24" t="str">
        <f aca="false">IF($A725="","",Payroll!U725)</f>
        <v/>
      </c>
      <c r="C725" s="24" t="str">
        <f aca="false">IF($A725="","",Payroll!S725)</f>
        <v/>
      </c>
      <c r="D725" s="24" t="str">
        <f aca="false">IF($A725="","",SUBSTITUTE(Payroll!T725," ",""))</f>
        <v/>
      </c>
      <c r="E725" s="24" t="str">
        <f aca="false">IF($A725="","",TEXT(Settings!$B$8,"yyyy-mm-dd"))</f>
        <v/>
      </c>
      <c r="F725" s="24" t="str">
        <f aca="false">IF($A725="","",TEXT(Settings!$B$9,"yyyy-mm-dd"))</f>
        <v/>
      </c>
      <c r="G725" s="24" t="str">
        <f aca="false">IF($A725="","",DAY(Settings!$B$9))</f>
        <v/>
      </c>
      <c r="H725" s="26" t="str">
        <f aca="false">IF($A725="","",ROUND(Payroll!R725-Payroll!L725-Payroll!M725,2))</f>
        <v/>
      </c>
      <c r="I725" s="26" t="str">
        <f aca="false">IF($A725="","",ROUND(Payroll!L725+Payroll!M725,2))</f>
        <v/>
      </c>
      <c r="J725" s="24" t="str">
        <f aca="false">IF($A725="","",0)</f>
        <v/>
      </c>
    </row>
    <row r="726" customFormat="false" ht="15" hidden="false" customHeight="false" outlineLevel="0" collapsed="false">
      <c r="A726" s="24" t="str">
        <f aca="false">IF(AND(Payroll!$A726&lt;&gt;"",N(Payroll!$R726)&gt;0),"EDR","")</f>
        <v/>
      </c>
      <c r="B726" s="24" t="str">
        <f aca="false">IF($A726="","",Payroll!U726)</f>
        <v/>
      </c>
      <c r="C726" s="24" t="str">
        <f aca="false">IF($A726="","",Payroll!S726)</f>
        <v/>
      </c>
      <c r="D726" s="24" t="str">
        <f aca="false">IF($A726="","",SUBSTITUTE(Payroll!T726," ",""))</f>
        <v/>
      </c>
      <c r="E726" s="24" t="str">
        <f aca="false">IF($A726="","",TEXT(Settings!$B$8,"yyyy-mm-dd"))</f>
        <v/>
      </c>
      <c r="F726" s="24" t="str">
        <f aca="false">IF($A726="","",TEXT(Settings!$B$9,"yyyy-mm-dd"))</f>
        <v/>
      </c>
      <c r="G726" s="24" t="str">
        <f aca="false">IF($A726="","",DAY(Settings!$B$9))</f>
        <v/>
      </c>
      <c r="H726" s="26" t="str">
        <f aca="false">IF($A726="","",ROUND(Payroll!R726-Payroll!L726-Payroll!M726,2))</f>
        <v/>
      </c>
      <c r="I726" s="26" t="str">
        <f aca="false">IF($A726="","",ROUND(Payroll!L726+Payroll!M726,2))</f>
        <v/>
      </c>
      <c r="J726" s="24" t="str">
        <f aca="false">IF($A726="","",0)</f>
        <v/>
      </c>
    </row>
    <row r="727" customFormat="false" ht="15" hidden="false" customHeight="false" outlineLevel="0" collapsed="false">
      <c r="A727" s="24" t="str">
        <f aca="false">IF(AND(Payroll!$A727&lt;&gt;"",N(Payroll!$R727)&gt;0),"EDR","")</f>
        <v/>
      </c>
      <c r="B727" s="24" t="str">
        <f aca="false">IF($A727="","",Payroll!U727)</f>
        <v/>
      </c>
      <c r="C727" s="24" t="str">
        <f aca="false">IF($A727="","",Payroll!S727)</f>
        <v/>
      </c>
      <c r="D727" s="24" t="str">
        <f aca="false">IF($A727="","",SUBSTITUTE(Payroll!T727," ",""))</f>
        <v/>
      </c>
      <c r="E727" s="24" t="str">
        <f aca="false">IF($A727="","",TEXT(Settings!$B$8,"yyyy-mm-dd"))</f>
        <v/>
      </c>
      <c r="F727" s="24" t="str">
        <f aca="false">IF($A727="","",TEXT(Settings!$B$9,"yyyy-mm-dd"))</f>
        <v/>
      </c>
      <c r="G727" s="24" t="str">
        <f aca="false">IF($A727="","",DAY(Settings!$B$9))</f>
        <v/>
      </c>
      <c r="H727" s="26" t="str">
        <f aca="false">IF($A727="","",ROUND(Payroll!R727-Payroll!L727-Payroll!M727,2))</f>
        <v/>
      </c>
      <c r="I727" s="26" t="str">
        <f aca="false">IF($A727="","",ROUND(Payroll!L727+Payroll!M727,2))</f>
        <v/>
      </c>
      <c r="J727" s="24" t="str">
        <f aca="false">IF($A727="","",0)</f>
        <v/>
      </c>
    </row>
    <row r="728" customFormat="false" ht="15" hidden="false" customHeight="false" outlineLevel="0" collapsed="false">
      <c r="A728" s="24" t="str">
        <f aca="false">IF(AND(Payroll!$A728&lt;&gt;"",N(Payroll!$R728)&gt;0),"EDR","")</f>
        <v/>
      </c>
      <c r="B728" s="24" t="str">
        <f aca="false">IF($A728="","",Payroll!U728)</f>
        <v/>
      </c>
      <c r="C728" s="24" t="str">
        <f aca="false">IF($A728="","",Payroll!S728)</f>
        <v/>
      </c>
      <c r="D728" s="24" t="str">
        <f aca="false">IF($A728="","",SUBSTITUTE(Payroll!T728," ",""))</f>
        <v/>
      </c>
      <c r="E728" s="24" t="str">
        <f aca="false">IF($A728="","",TEXT(Settings!$B$8,"yyyy-mm-dd"))</f>
        <v/>
      </c>
      <c r="F728" s="24" t="str">
        <f aca="false">IF($A728="","",TEXT(Settings!$B$9,"yyyy-mm-dd"))</f>
        <v/>
      </c>
      <c r="G728" s="24" t="str">
        <f aca="false">IF($A728="","",DAY(Settings!$B$9))</f>
        <v/>
      </c>
      <c r="H728" s="26" t="str">
        <f aca="false">IF($A728="","",ROUND(Payroll!R728-Payroll!L728-Payroll!M728,2))</f>
        <v/>
      </c>
      <c r="I728" s="26" t="str">
        <f aca="false">IF($A728="","",ROUND(Payroll!L728+Payroll!M728,2))</f>
        <v/>
      </c>
      <c r="J728" s="24" t="str">
        <f aca="false">IF($A728="","",0)</f>
        <v/>
      </c>
    </row>
    <row r="729" customFormat="false" ht="15" hidden="false" customHeight="false" outlineLevel="0" collapsed="false">
      <c r="A729" s="24" t="str">
        <f aca="false">IF(AND(Payroll!$A729&lt;&gt;"",N(Payroll!$R729)&gt;0),"EDR","")</f>
        <v/>
      </c>
      <c r="B729" s="24" t="str">
        <f aca="false">IF($A729="","",Payroll!U729)</f>
        <v/>
      </c>
      <c r="C729" s="24" t="str">
        <f aca="false">IF($A729="","",Payroll!S729)</f>
        <v/>
      </c>
      <c r="D729" s="24" t="str">
        <f aca="false">IF($A729="","",SUBSTITUTE(Payroll!T729," ",""))</f>
        <v/>
      </c>
      <c r="E729" s="24" t="str">
        <f aca="false">IF($A729="","",TEXT(Settings!$B$8,"yyyy-mm-dd"))</f>
        <v/>
      </c>
      <c r="F729" s="24" t="str">
        <f aca="false">IF($A729="","",TEXT(Settings!$B$9,"yyyy-mm-dd"))</f>
        <v/>
      </c>
      <c r="G729" s="24" t="str">
        <f aca="false">IF($A729="","",DAY(Settings!$B$9))</f>
        <v/>
      </c>
      <c r="H729" s="26" t="str">
        <f aca="false">IF($A729="","",ROUND(Payroll!R729-Payroll!L729-Payroll!M729,2))</f>
        <v/>
      </c>
      <c r="I729" s="26" t="str">
        <f aca="false">IF($A729="","",ROUND(Payroll!L729+Payroll!M729,2))</f>
        <v/>
      </c>
      <c r="J729" s="24" t="str">
        <f aca="false">IF($A729="","",0)</f>
        <v/>
      </c>
    </row>
    <row r="730" customFormat="false" ht="15" hidden="false" customHeight="false" outlineLevel="0" collapsed="false">
      <c r="A730" s="24" t="str">
        <f aca="false">IF(AND(Payroll!$A730&lt;&gt;"",N(Payroll!$R730)&gt;0),"EDR","")</f>
        <v/>
      </c>
      <c r="B730" s="24" t="str">
        <f aca="false">IF($A730="","",Payroll!U730)</f>
        <v/>
      </c>
      <c r="C730" s="24" t="str">
        <f aca="false">IF($A730="","",Payroll!S730)</f>
        <v/>
      </c>
      <c r="D730" s="24" t="str">
        <f aca="false">IF($A730="","",SUBSTITUTE(Payroll!T730," ",""))</f>
        <v/>
      </c>
      <c r="E730" s="24" t="str">
        <f aca="false">IF($A730="","",TEXT(Settings!$B$8,"yyyy-mm-dd"))</f>
        <v/>
      </c>
      <c r="F730" s="24" t="str">
        <f aca="false">IF($A730="","",TEXT(Settings!$B$9,"yyyy-mm-dd"))</f>
        <v/>
      </c>
      <c r="G730" s="24" t="str">
        <f aca="false">IF($A730="","",DAY(Settings!$B$9))</f>
        <v/>
      </c>
      <c r="H730" s="26" t="str">
        <f aca="false">IF($A730="","",ROUND(Payroll!R730-Payroll!L730-Payroll!M730,2))</f>
        <v/>
      </c>
      <c r="I730" s="26" t="str">
        <f aca="false">IF($A730="","",ROUND(Payroll!L730+Payroll!M730,2))</f>
        <v/>
      </c>
      <c r="J730" s="24" t="str">
        <f aca="false">IF($A730="","",0)</f>
        <v/>
      </c>
    </row>
    <row r="731" customFormat="false" ht="15" hidden="false" customHeight="false" outlineLevel="0" collapsed="false">
      <c r="A731" s="24" t="str">
        <f aca="false">IF(AND(Payroll!$A731&lt;&gt;"",N(Payroll!$R731)&gt;0),"EDR","")</f>
        <v/>
      </c>
      <c r="B731" s="24" t="str">
        <f aca="false">IF($A731="","",Payroll!U731)</f>
        <v/>
      </c>
      <c r="C731" s="24" t="str">
        <f aca="false">IF($A731="","",Payroll!S731)</f>
        <v/>
      </c>
      <c r="D731" s="24" t="str">
        <f aca="false">IF($A731="","",SUBSTITUTE(Payroll!T731," ",""))</f>
        <v/>
      </c>
      <c r="E731" s="24" t="str">
        <f aca="false">IF($A731="","",TEXT(Settings!$B$8,"yyyy-mm-dd"))</f>
        <v/>
      </c>
      <c r="F731" s="24" t="str">
        <f aca="false">IF($A731="","",TEXT(Settings!$B$9,"yyyy-mm-dd"))</f>
        <v/>
      </c>
      <c r="G731" s="24" t="str">
        <f aca="false">IF($A731="","",DAY(Settings!$B$9))</f>
        <v/>
      </c>
      <c r="H731" s="26" t="str">
        <f aca="false">IF($A731="","",ROUND(Payroll!R731-Payroll!L731-Payroll!M731,2))</f>
        <v/>
      </c>
      <c r="I731" s="26" t="str">
        <f aca="false">IF($A731="","",ROUND(Payroll!L731+Payroll!M731,2))</f>
        <v/>
      </c>
      <c r="J731" s="24" t="str">
        <f aca="false">IF($A731="","",0)</f>
        <v/>
      </c>
    </row>
    <row r="732" customFormat="false" ht="15" hidden="false" customHeight="false" outlineLevel="0" collapsed="false">
      <c r="A732" s="24" t="str">
        <f aca="false">IF(AND(Payroll!$A732&lt;&gt;"",N(Payroll!$R732)&gt;0),"EDR","")</f>
        <v/>
      </c>
      <c r="B732" s="24" t="str">
        <f aca="false">IF($A732="","",Payroll!U732)</f>
        <v/>
      </c>
      <c r="C732" s="24" t="str">
        <f aca="false">IF($A732="","",Payroll!S732)</f>
        <v/>
      </c>
      <c r="D732" s="24" t="str">
        <f aca="false">IF($A732="","",SUBSTITUTE(Payroll!T732," ",""))</f>
        <v/>
      </c>
      <c r="E732" s="24" t="str">
        <f aca="false">IF($A732="","",TEXT(Settings!$B$8,"yyyy-mm-dd"))</f>
        <v/>
      </c>
      <c r="F732" s="24" t="str">
        <f aca="false">IF($A732="","",TEXT(Settings!$B$9,"yyyy-mm-dd"))</f>
        <v/>
      </c>
      <c r="G732" s="24" t="str">
        <f aca="false">IF($A732="","",DAY(Settings!$B$9))</f>
        <v/>
      </c>
      <c r="H732" s="26" t="str">
        <f aca="false">IF($A732="","",ROUND(Payroll!R732-Payroll!L732-Payroll!M732,2))</f>
        <v/>
      </c>
      <c r="I732" s="26" t="str">
        <f aca="false">IF($A732="","",ROUND(Payroll!L732+Payroll!M732,2))</f>
        <v/>
      </c>
      <c r="J732" s="24" t="str">
        <f aca="false">IF($A732="","",0)</f>
        <v/>
      </c>
    </row>
    <row r="733" customFormat="false" ht="15" hidden="false" customHeight="false" outlineLevel="0" collapsed="false">
      <c r="A733" s="24" t="str">
        <f aca="false">IF(AND(Payroll!$A733&lt;&gt;"",N(Payroll!$R733)&gt;0),"EDR","")</f>
        <v/>
      </c>
      <c r="B733" s="24" t="str">
        <f aca="false">IF($A733="","",Payroll!U733)</f>
        <v/>
      </c>
      <c r="C733" s="24" t="str">
        <f aca="false">IF($A733="","",Payroll!S733)</f>
        <v/>
      </c>
      <c r="D733" s="24" t="str">
        <f aca="false">IF($A733="","",SUBSTITUTE(Payroll!T733," ",""))</f>
        <v/>
      </c>
      <c r="E733" s="24" t="str">
        <f aca="false">IF($A733="","",TEXT(Settings!$B$8,"yyyy-mm-dd"))</f>
        <v/>
      </c>
      <c r="F733" s="24" t="str">
        <f aca="false">IF($A733="","",TEXT(Settings!$B$9,"yyyy-mm-dd"))</f>
        <v/>
      </c>
      <c r="G733" s="24" t="str">
        <f aca="false">IF($A733="","",DAY(Settings!$B$9))</f>
        <v/>
      </c>
      <c r="H733" s="26" t="str">
        <f aca="false">IF($A733="","",ROUND(Payroll!R733-Payroll!L733-Payroll!M733,2))</f>
        <v/>
      </c>
      <c r="I733" s="26" t="str">
        <f aca="false">IF($A733="","",ROUND(Payroll!L733+Payroll!M733,2))</f>
        <v/>
      </c>
      <c r="J733" s="24" t="str">
        <f aca="false">IF($A733="","",0)</f>
        <v/>
      </c>
    </row>
    <row r="734" customFormat="false" ht="15" hidden="false" customHeight="false" outlineLevel="0" collapsed="false">
      <c r="A734" s="24" t="str">
        <f aca="false">IF(AND(Payroll!$A734&lt;&gt;"",N(Payroll!$R734)&gt;0),"EDR","")</f>
        <v/>
      </c>
      <c r="B734" s="24" t="str">
        <f aca="false">IF($A734="","",Payroll!U734)</f>
        <v/>
      </c>
      <c r="C734" s="24" t="str">
        <f aca="false">IF($A734="","",Payroll!S734)</f>
        <v/>
      </c>
      <c r="D734" s="24" t="str">
        <f aca="false">IF($A734="","",SUBSTITUTE(Payroll!T734," ",""))</f>
        <v/>
      </c>
      <c r="E734" s="24" t="str">
        <f aca="false">IF($A734="","",TEXT(Settings!$B$8,"yyyy-mm-dd"))</f>
        <v/>
      </c>
      <c r="F734" s="24" t="str">
        <f aca="false">IF($A734="","",TEXT(Settings!$B$9,"yyyy-mm-dd"))</f>
        <v/>
      </c>
      <c r="G734" s="24" t="str">
        <f aca="false">IF($A734="","",DAY(Settings!$B$9))</f>
        <v/>
      </c>
      <c r="H734" s="26" t="str">
        <f aca="false">IF($A734="","",ROUND(Payroll!R734-Payroll!L734-Payroll!M734,2))</f>
        <v/>
      </c>
      <c r="I734" s="26" t="str">
        <f aca="false">IF($A734="","",ROUND(Payroll!L734+Payroll!M734,2))</f>
        <v/>
      </c>
      <c r="J734" s="24" t="str">
        <f aca="false">IF($A734="","",0)</f>
        <v/>
      </c>
    </row>
    <row r="735" customFormat="false" ht="15" hidden="false" customHeight="false" outlineLevel="0" collapsed="false">
      <c r="A735" s="24" t="str">
        <f aca="false">IF(AND(Payroll!$A735&lt;&gt;"",N(Payroll!$R735)&gt;0),"EDR","")</f>
        <v/>
      </c>
      <c r="B735" s="24" t="str">
        <f aca="false">IF($A735="","",Payroll!U735)</f>
        <v/>
      </c>
      <c r="C735" s="24" t="str">
        <f aca="false">IF($A735="","",Payroll!S735)</f>
        <v/>
      </c>
      <c r="D735" s="24" t="str">
        <f aca="false">IF($A735="","",SUBSTITUTE(Payroll!T735," ",""))</f>
        <v/>
      </c>
      <c r="E735" s="24" t="str">
        <f aca="false">IF($A735="","",TEXT(Settings!$B$8,"yyyy-mm-dd"))</f>
        <v/>
      </c>
      <c r="F735" s="24" t="str">
        <f aca="false">IF($A735="","",TEXT(Settings!$B$9,"yyyy-mm-dd"))</f>
        <v/>
      </c>
      <c r="G735" s="24" t="str">
        <f aca="false">IF($A735="","",DAY(Settings!$B$9))</f>
        <v/>
      </c>
      <c r="H735" s="26" t="str">
        <f aca="false">IF($A735="","",ROUND(Payroll!R735-Payroll!L735-Payroll!M735,2))</f>
        <v/>
      </c>
      <c r="I735" s="26" t="str">
        <f aca="false">IF($A735="","",ROUND(Payroll!L735+Payroll!M735,2))</f>
        <v/>
      </c>
      <c r="J735" s="24" t="str">
        <f aca="false">IF($A735="","",0)</f>
        <v/>
      </c>
    </row>
    <row r="736" customFormat="false" ht="15" hidden="false" customHeight="false" outlineLevel="0" collapsed="false">
      <c r="A736" s="24" t="str">
        <f aca="false">IF(AND(Payroll!$A736&lt;&gt;"",N(Payroll!$R736)&gt;0),"EDR","")</f>
        <v/>
      </c>
      <c r="B736" s="24" t="str">
        <f aca="false">IF($A736="","",Payroll!U736)</f>
        <v/>
      </c>
      <c r="C736" s="24" t="str">
        <f aca="false">IF($A736="","",Payroll!S736)</f>
        <v/>
      </c>
      <c r="D736" s="24" t="str">
        <f aca="false">IF($A736="","",SUBSTITUTE(Payroll!T736," ",""))</f>
        <v/>
      </c>
      <c r="E736" s="24" t="str">
        <f aca="false">IF($A736="","",TEXT(Settings!$B$8,"yyyy-mm-dd"))</f>
        <v/>
      </c>
      <c r="F736" s="24" t="str">
        <f aca="false">IF($A736="","",TEXT(Settings!$B$9,"yyyy-mm-dd"))</f>
        <v/>
      </c>
      <c r="G736" s="24" t="str">
        <f aca="false">IF($A736="","",DAY(Settings!$B$9))</f>
        <v/>
      </c>
      <c r="H736" s="26" t="str">
        <f aca="false">IF($A736="","",ROUND(Payroll!R736-Payroll!L736-Payroll!M736,2))</f>
        <v/>
      </c>
      <c r="I736" s="26" t="str">
        <f aca="false">IF($A736="","",ROUND(Payroll!L736+Payroll!M736,2))</f>
        <v/>
      </c>
      <c r="J736" s="24" t="str">
        <f aca="false">IF($A736="","",0)</f>
        <v/>
      </c>
    </row>
    <row r="737" customFormat="false" ht="15" hidden="false" customHeight="false" outlineLevel="0" collapsed="false">
      <c r="A737" s="24" t="str">
        <f aca="false">IF(AND(Payroll!$A737&lt;&gt;"",N(Payroll!$R737)&gt;0),"EDR","")</f>
        <v/>
      </c>
      <c r="B737" s="24" t="str">
        <f aca="false">IF($A737="","",Payroll!U737)</f>
        <v/>
      </c>
      <c r="C737" s="24" t="str">
        <f aca="false">IF($A737="","",Payroll!S737)</f>
        <v/>
      </c>
      <c r="D737" s="24" t="str">
        <f aca="false">IF($A737="","",SUBSTITUTE(Payroll!T737," ",""))</f>
        <v/>
      </c>
      <c r="E737" s="24" t="str">
        <f aca="false">IF($A737="","",TEXT(Settings!$B$8,"yyyy-mm-dd"))</f>
        <v/>
      </c>
      <c r="F737" s="24" t="str">
        <f aca="false">IF($A737="","",TEXT(Settings!$B$9,"yyyy-mm-dd"))</f>
        <v/>
      </c>
      <c r="G737" s="24" t="str">
        <f aca="false">IF($A737="","",DAY(Settings!$B$9))</f>
        <v/>
      </c>
      <c r="H737" s="26" t="str">
        <f aca="false">IF($A737="","",ROUND(Payroll!R737-Payroll!L737-Payroll!M737,2))</f>
        <v/>
      </c>
      <c r="I737" s="26" t="str">
        <f aca="false">IF($A737="","",ROUND(Payroll!L737+Payroll!M737,2))</f>
        <v/>
      </c>
      <c r="J737" s="24" t="str">
        <f aca="false">IF($A737="","",0)</f>
        <v/>
      </c>
    </row>
    <row r="738" customFormat="false" ht="15" hidden="false" customHeight="false" outlineLevel="0" collapsed="false">
      <c r="A738" s="24" t="str">
        <f aca="false">IF(AND(Payroll!$A738&lt;&gt;"",N(Payroll!$R738)&gt;0),"EDR","")</f>
        <v/>
      </c>
      <c r="B738" s="24" t="str">
        <f aca="false">IF($A738="","",Payroll!U738)</f>
        <v/>
      </c>
      <c r="C738" s="24" t="str">
        <f aca="false">IF($A738="","",Payroll!S738)</f>
        <v/>
      </c>
      <c r="D738" s="24" t="str">
        <f aca="false">IF($A738="","",SUBSTITUTE(Payroll!T738," ",""))</f>
        <v/>
      </c>
      <c r="E738" s="24" t="str">
        <f aca="false">IF($A738="","",TEXT(Settings!$B$8,"yyyy-mm-dd"))</f>
        <v/>
      </c>
      <c r="F738" s="24" t="str">
        <f aca="false">IF($A738="","",TEXT(Settings!$B$9,"yyyy-mm-dd"))</f>
        <v/>
      </c>
      <c r="G738" s="24" t="str">
        <f aca="false">IF($A738="","",DAY(Settings!$B$9))</f>
        <v/>
      </c>
      <c r="H738" s="26" t="str">
        <f aca="false">IF($A738="","",ROUND(Payroll!R738-Payroll!L738-Payroll!M738,2))</f>
        <v/>
      </c>
      <c r="I738" s="26" t="str">
        <f aca="false">IF($A738="","",ROUND(Payroll!L738+Payroll!M738,2))</f>
        <v/>
      </c>
      <c r="J738" s="24" t="str">
        <f aca="false">IF($A738="","",0)</f>
        <v/>
      </c>
    </row>
    <row r="739" customFormat="false" ht="15" hidden="false" customHeight="false" outlineLevel="0" collapsed="false">
      <c r="A739" s="24" t="str">
        <f aca="false">IF(AND(Payroll!$A739&lt;&gt;"",N(Payroll!$R739)&gt;0),"EDR","")</f>
        <v/>
      </c>
      <c r="B739" s="24" t="str">
        <f aca="false">IF($A739="","",Payroll!U739)</f>
        <v/>
      </c>
      <c r="C739" s="24" t="str">
        <f aca="false">IF($A739="","",Payroll!S739)</f>
        <v/>
      </c>
      <c r="D739" s="24" t="str">
        <f aca="false">IF($A739="","",SUBSTITUTE(Payroll!T739," ",""))</f>
        <v/>
      </c>
      <c r="E739" s="24" t="str">
        <f aca="false">IF($A739="","",TEXT(Settings!$B$8,"yyyy-mm-dd"))</f>
        <v/>
      </c>
      <c r="F739" s="24" t="str">
        <f aca="false">IF($A739="","",TEXT(Settings!$B$9,"yyyy-mm-dd"))</f>
        <v/>
      </c>
      <c r="G739" s="24" t="str">
        <f aca="false">IF($A739="","",DAY(Settings!$B$9))</f>
        <v/>
      </c>
      <c r="H739" s="26" t="str">
        <f aca="false">IF($A739="","",ROUND(Payroll!R739-Payroll!L739-Payroll!M739,2))</f>
        <v/>
      </c>
      <c r="I739" s="26" t="str">
        <f aca="false">IF($A739="","",ROUND(Payroll!L739+Payroll!M739,2))</f>
        <v/>
      </c>
      <c r="J739" s="24" t="str">
        <f aca="false">IF($A739="","",0)</f>
        <v/>
      </c>
    </row>
    <row r="740" customFormat="false" ht="15" hidden="false" customHeight="false" outlineLevel="0" collapsed="false">
      <c r="A740" s="24" t="str">
        <f aca="false">IF(AND(Payroll!$A740&lt;&gt;"",N(Payroll!$R740)&gt;0),"EDR","")</f>
        <v/>
      </c>
      <c r="B740" s="24" t="str">
        <f aca="false">IF($A740="","",Payroll!U740)</f>
        <v/>
      </c>
      <c r="C740" s="24" t="str">
        <f aca="false">IF($A740="","",Payroll!S740)</f>
        <v/>
      </c>
      <c r="D740" s="24" t="str">
        <f aca="false">IF($A740="","",SUBSTITUTE(Payroll!T740," ",""))</f>
        <v/>
      </c>
      <c r="E740" s="24" t="str">
        <f aca="false">IF($A740="","",TEXT(Settings!$B$8,"yyyy-mm-dd"))</f>
        <v/>
      </c>
      <c r="F740" s="24" t="str">
        <f aca="false">IF($A740="","",TEXT(Settings!$B$9,"yyyy-mm-dd"))</f>
        <v/>
      </c>
      <c r="G740" s="24" t="str">
        <f aca="false">IF($A740="","",DAY(Settings!$B$9))</f>
        <v/>
      </c>
      <c r="H740" s="26" t="str">
        <f aca="false">IF($A740="","",ROUND(Payroll!R740-Payroll!L740-Payroll!M740,2))</f>
        <v/>
      </c>
      <c r="I740" s="26" t="str">
        <f aca="false">IF($A740="","",ROUND(Payroll!L740+Payroll!M740,2))</f>
        <v/>
      </c>
      <c r="J740" s="24" t="str">
        <f aca="false">IF($A740="","",0)</f>
        <v/>
      </c>
    </row>
    <row r="741" customFormat="false" ht="15" hidden="false" customHeight="false" outlineLevel="0" collapsed="false">
      <c r="A741" s="24" t="str">
        <f aca="false">IF(AND(Payroll!$A741&lt;&gt;"",N(Payroll!$R741)&gt;0),"EDR","")</f>
        <v/>
      </c>
      <c r="B741" s="24" t="str">
        <f aca="false">IF($A741="","",Payroll!U741)</f>
        <v/>
      </c>
      <c r="C741" s="24" t="str">
        <f aca="false">IF($A741="","",Payroll!S741)</f>
        <v/>
      </c>
      <c r="D741" s="24" t="str">
        <f aca="false">IF($A741="","",SUBSTITUTE(Payroll!T741," ",""))</f>
        <v/>
      </c>
      <c r="E741" s="24" t="str">
        <f aca="false">IF($A741="","",TEXT(Settings!$B$8,"yyyy-mm-dd"))</f>
        <v/>
      </c>
      <c r="F741" s="24" t="str">
        <f aca="false">IF($A741="","",TEXT(Settings!$B$9,"yyyy-mm-dd"))</f>
        <v/>
      </c>
      <c r="G741" s="24" t="str">
        <f aca="false">IF($A741="","",DAY(Settings!$B$9))</f>
        <v/>
      </c>
      <c r="H741" s="26" t="str">
        <f aca="false">IF($A741="","",ROUND(Payroll!R741-Payroll!L741-Payroll!M741,2))</f>
        <v/>
      </c>
      <c r="I741" s="26" t="str">
        <f aca="false">IF($A741="","",ROUND(Payroll!L741+Payroll!M741,2))</f>
        <v/>
      </c>
      <c r="J741" s="24" t="str">
        <f aca="false">IF($A741="","",0)</f>
        <v/>
      </c>
    </row>
    <row r="742" customFormat="false" ht="15" hidden="false" customHeight="false" outlineLevel="0" collapsed="false">
      <c r="A742" s="24" t="str">
        <f aca="false">IF(AND(Payroll!$A742&lt;&gt;"",N(Payroll!$R742)&gt;0),"EDR","")</f>
        <v/>
      </c>
      <c r="B742" s="24" t="str">
        <f aca="false">IF($A742="","",Payroll!U742)</f>
        <v/>
      </c>
      <c r="C742" s="24" t="str">
        <f aca="false">IF($A742="","",Payroll!S742)</f>
        <v/>
      </c>
      <c r="D742" s="24" t="str">
        <f aca="false">IF($A742="","",SUBSTITUTE(Payroll!T742," ",""))</f>
        <v/>
      </c>
      <c r="E742" s="24" t="str">
        <f aca="false">IF($A742="","",TEXT(Settings!$B$8,"yyyy-mm-dd"))</f>
        <v/>
      </c>
      <c r="F742" s="24" t="str">
        <f aca="false">IF($A742="","",TEXT(Settings!$B$9,"yyyy-mm-dd"))</f>
        <v/>
      </c>
      <c r="G742" s="24" t="str">
        <f aca="false">IF($A742="","",DAY(Settings!$B$9))</f>
        <v/>
      </c>
      <c r="H742" s="26" t="str">
        <f aca="false">IF($A742="","",ROUND(Payroll!R742-Payroll!L742-Payroll!M742,2))</f>
        <v/>
      </c>
      <c r="I742" s="26" t="str">
        <f aca="false">IF($A742="","",ROUND(Payroll!L742+Payroll!M742,2))</f>
        <v/>
      </c>
      <c r="J742" s="24" t="str">
        <f aca="false">IF($A742="","",0)</f>
        <v/>
      </c>
    </row>
    <row r="743" customFormat="false" ht="15" hidden="false" customHeight="false" outlineLevel="0" collapsed="false">
      <c r="A743" s="24" t="str">
        <f aca="false">IF(AND(Payroll!$A743&lt;&gt;"",N(Payroll!$R743)&gt;0),"EDR","")</f>
        <v/>
      </c>
      <c r="B743" s="24" t="str">
        <f aca="false">IF($A743="","",Payroll!U743)</f>
        <v/>
      </c>
      <c r="C743" s="24" t="str">
        <f aca="false">IF($A743="","",Payroll!S743)</f>
        <v/>
      </c>
      <c r="D743" s="24" t="str">
        <f aca="false">IF($A743="","",SUBSTITUTE(Payroll!T743," ",""))</f>
        <v/>
      </c>
      <c r="E743" s="24" t="str">
        <f aca="false">IF($A743="","",TEXT(Settings!$B$8,"yyyy-mm-dd"))</f>
        <v/>
      </c>
      <c r="F743" s="24" t="str">
        <f aca="false">IF($A743="","",TEXT(Settings!$B$9,"yyyy-mm-dd"))</f>
        <v/>
      </c>
      <c r="G743" s="24" t="str">
        <f aca="false">IF($A743="","",DAY(Settings!$B$9))</f>
        <v/>
      </c>
      <c r="H743" s="26" t="str">
        <f aca="false">IF($A743="","",ROUND(Payroll!R743-Payroll!L743-Payroll!M743,2))</f>
        <v/>
      </c>
      <c r="I743" s="26" t="str">
        <f aca="false">IF($A743="","",ROUND(Payroll!L743+Payroll!M743,2))</f>
        <v/>
      </c>
      <c r="J743" s="24" t="str">
        <f aca="false">IF($A743="","",0)</f>
        <v/>
      </c>
    </row>
    <row r="744" customFormat="false" ht="15" hidden="false" customHeight="false" outlineLevel="0" collapsed="false">
      <c r="A744" s="24" t="str">
        <f aca="false">IF(AND(Payroll!$A744&lt;&gt;"",N(Payroll!$R744)&gt;0),"EDR","")</f>
        <v/>
      </c>
      <c r="B744" s="24" t="str">
        <f aca="false">IF($A744="","",Payroll!U744)</f>
        <v/>
      </c>
      <c r="C744" s="24" t="str">
        <f aca="false">IF($A744="","",Payroll!S744)</f>
        <v/>
      </c>
      <c r="D744" s="24" t="str">
        <f aca="false">IF($A744="","",SUBSTITUTE(Payroll!T744," ",""))</f>
        <v/>
      </c>
      <c r="E744" s="24" t="str">
        <f aca="false">IF($A744="","",TEXT(Settings!$B$8,"yyyy-mm-dd"))</f>
        <v/>
      </c>
      <c r="F744" s="24" t="str">
        <f aca="false">IF($A744="","",TEXT(Settings!$B$9,"yyyy-mm-dd"))</f>
        <v/>
      </c>
      <c r="G744" s="24" t="str">
        <f aca="false">IF($A744="","",DAY(Settings!$B$9))</f>
        <v/>
      </c>
      <c r="H744" s="26" t="str">
        <f aca="false">IF($A744="","",ROUND(Payroll!R744-Payroll!L744-Payroll!M744,2))</f>
        <v/>
      </c>
      <c r="I744" s="26" t="str">
        <f aca="false">IF($A744="","",ROUND(Payroll!L744+Payroll!M744,2))</f>
        <v/>
      </c>
      <c r="J744" s="24" t="str">
        <f aca="false">IF($A744="","",0)</f>
        <v/>
      </c>
    </row>
    <row r="745" customFormat="false" ht="15" hidden="false" customHeight="false" outlineLevel="0" collapsed="false">
      <c r="A745" s="24" t="str">
        <f aca="false">IF(AND(Payroll!$A745&lt;&gt;"",N(Payroll!$R745)&gt;0),"EDR","")</f>
        <v/>
      </c>
      <c r="B745" s="24" t="str">
        <f aca="false">IF($A745="","",Payroll!U745)</f>
        <v/>
      </c>
      <c r="C745" s="24" t="str">
        <f aca="false">IF($A745="","",Payroll!S745)</f>
        <v/>
      </c>
      <c r="D745" s="24" t="str">
        <f aca="false">IF($A745="","",SUBSTITUTE(Payroll!T745," ",""))</f>
        <v/>
      </c>
      <c r="E745" s="24" t="str">
        <f aca="false">IF($A745="","",TEXT(Settings!$B$8,"yyyy-mm-dd"))</f>
        <v/>
      </c>
      <c r="F745" s="24" t="str">
        <f aca="false">IF($A745="","",TEXT(Settings!$B$9,"yyyy-mm-dd"))</f>
        <v/>
      </c>
      <c r="G745" s="24" t="str">
        <f aca="false">IF($A745="","",DAY(Settings!$B$9))</f>
        <v/>
      </c>
      <c r="H745" s="26" t="str">
        <f aca="false">IF($A745="","",ROUND(Payroll!R745-Payroll!L745-Payroll!M745,2))</f>
        <v/>
      </c>
      <c r="I745" s="26" t="str">
        <f aca="false">IF($A745="","",ROUND(Payroll!L745+Payroll!M745,2))</f>
        <v/>
      </c>
      <c r="J745" s="24" t="str">
        <f aca="false">IF($A745="","",0)</f>
        <v/>
      </c>
    </row>
    <row r="746" customFormat="false" ht="15" hidden="false" customHeight="false" outlineLevel="0" collapsed="false">
      <c r="A746" s="24" t="str">
        <f aca="false">IF(AND(Payroll!$A746&lt;&gt;"",N(Payroll!$R746)&gt;0),"EDR","")</f>
        <v/>
      </c>
      <c r="B746" s="24" t="str">
        <f aca="false">IF($A746="","",Payroll!U746)</f>
        <v/>
      </c>
      <c r="C746" s="24" t="str">
        <f aca="false">IF($A746="","",Payroll!S746)</f>
        <v/>
      </c>
      <c r="D746" s="24" t="str">
        <f aca="false">IF($A746="","",SUBSTITUTE(Payroll!T746," ",""))</f>
        <v/>
      </c>
      <c r="E746" s="24" t="str">
        <f aca="false">IF($A746="","",TEXT(Settings!$B$8,"yyyy-mm-dd"))</f>
        <v/>
      </c>
      <c r="F746" s="24" t="str">
        <f aca="false">IF($A746="","",TEXT(Settings!$B$9,"yyyy-mm-dd"))</f>
        <v/>
      </c>
      <c r="G746" s="24" t="str">
        <f aca="false">IF($A746="","",DAY(Settings!$B$9))</f>
        <v/>
      </c>
      <c r="H746" s="26" t="str">
        <f aca="false">IF($A746="","",ROUND(Payroll!R746-Payroll!L746-Payroll!M746,2))</f>
        <v/>
      </c>
      <c r="I746" s="26" t="str">
        <f aca="false">IF($A746="","",ROUND(Payroll!L746+Payroll!M746,2))</f>
        <v/>
      </c>
      <c r="J746" s="24" t="str">
        <f aca="false">IF($A746="","",0)</f>
        <v/>
      </c>
    </row>
    <row r="747" customFormat="false" ht="15" hidden="false" customHeight="false" outlineLevel="0" collapsed="false">
      <c r="A747" s="24" t="str">
        <f aca="false">IF(AND(Payroll!$A747&lt;&gt;"",N(Payroll!$R747)&gt;0),"EDR","")</f>
        <v/>
      </c>
      <c r="B747" s="24" t="str">
        <f aca="false">IF($A747="","",Payroll!U747)</f>
        <v/>
      </c>
      <c r="C747" s="24" t="str">
        <f aca="false">IF($A747="","",Payroll!S747)</f>
        <v/>
      </c>
      <c r="D747" s="24" t="str">
        <f aca="false">IF($A747="","",SUBSTITUTE(Payroll!T747," ",""))</f>
        <v/>
      </c>
      <c r="E747" s="24" t="str">
        <f aca="false">IF($A747="","",TEXT(Settings!$B$8,"yyyy-mm-dd"))</f>
        <v/>
      </c>
      <c r="F747" s="24" t="str">
        <f aca="false">IF($A747="","",TEXT(Settings!$B$9,"yyyy-mm-dd"))</f>
        <v/>
      </c>
      <c r="G747" s="24" t="str">
        <f aca="false">IF($A747="","",DAY(Settings!$B$9))</f>
        <v/>
      </c>
      <c r="H747" s="26" t="str">
        <f aca="false">IF($A747="","",ROUND(Payroll!R747-Payroll!L747-Payroll!M747,2))</f>
        <v/>
      </c>
      <c r="I747" s="26" t="str">
        <f aca="false">IF($A747="","",ROUND(Payroll!L747+Payroll!M747,2))</f>
        <v/>
      </c>
      <c r="J747" s="24" t="str">
        <f aca="false">IF($A747="","",0)</f>
        <v/>
      </c>
    </row>
    <row r="748" customFormat="false" ht="15" hidden="false" customHeight="false" outlineLevel="0" collapsed="false">
      <c r="A748" s="24" t="str">
        <f aca="false">IF(AND(Payroll!$A748&lt;&gt;"",N(Payroll!$R748)&gt;0),"EDR","")</f>
        <v/>
      </c>
      <c r="B748" s="24" t="str">
        <f aca="false">IF($A748="","",Payroll!U748)</f>
        <v/>
      </c>
      <c r="C748" s="24" t="str">
        <f aca="false">IF($A748="","",Payroll!S748)</f>
        <v/>
      </c>
      <c r="D748" s="24" t="str">
        <f aca="false">IF($A748="","",SUBSTITUTE(Payroll!T748," ",""))</f>
        <v/>
      </c>
      <c r="E748" s="24" t="str">
        <f aca="false">IF($A748="","",TEXT(Settings!$B$8,"yyyy-mm-dd"))</f>
        <v/>
      </c>
      <c r="F748" s="24" t="str">
        <f aca="false">IF($A748="","",TEXT(Settings!$B$9,"yyyy-mm-dd"))</f>
        <v/>
      </c>
      <c r="G748" s="24" t="str">
        <f aca="false">IF($A748="","",DAY(Settings!$B$9))</f>
        <v/>
      </c>
      <c r="H748" s="26" t="str">
        <f aca="false">IF($A748="","",ROUND(Payroll!R748-Payroll!L748-Payroll!M748,2))</f>
        <v/>
      </c>
      <c r="I748" s="26" t="str">
        <f aca="false">IF($A748="","",ROUND(Payroll!L748+Payroll!M748,2))</f>
        <v/>
      </c>
      <c r="J748" s="24" t="str">
        <f aca="false">IF($A748="","",0)</f>
        <v/>
      </c>
    </row>
    <row r="749" customFormat="false" ht="15" hidden="false" customHeight="false" outlineLevel="0" collapsed="false">
      <c r="A749" s="24" t="str">
        <f aca="false">IF(AND(Payroll!$A749&lt;&gt;"",N(Payroll!$R749)&gt;0),"EDR","")</f>
        <v/>
      </c>
      <c r="B749" s="24" t="str">
        <f aca="false">IF($A749="","",Payroll!U749)</f>
        <v/>
      </c>
      <c r="C749" s="24" t="str">
        <f aca="false">IF($A749="","",Payroll!S749)</f>
        <v/>
      </c>
      <c r="D749" s="24" t="str">
        <f aca="false">IF($A749="","",SUBSTITUTE(Payroll!T749," ",""))</f>
        <v/>
      </c>
      <c r="E749" s="24" t="str">
        <f aca="false">IF($A749="","",TEXT(Settings!$B$8,"yyyy-mm-dd"))</f>
        <v/>
      </c>
      <c r="F749" s="24" t="str">
        <f aca="false">IF($A749="","",TEXT(Settings!$B$9,"yyyy-mm-dd"))</f>
        <v/>
      </c>
      <c r="G749" s="24" t="str">
        <f aca="false">IF($A749="","",DAY(Settings!$B$9))</f>
        <v/>
      </c>
      <c r="H749" s="26" t="str">
        <f aca="false">IF($A749="","",ROUND(Payroll!R749-Payroll!L749-Payroll!M749,2))</f>
        <v/>
      </c>
      <c r="I749" s="26" t="str">
        <f aca="false">IF($A749="","",ROUND(Payroll!L749+Payroll!M749,2))</f>
        <v/>
      </c>
      <c r="J749" s="24" t="str">
        <f aca="false">IF($A749="","",0)</f>
        <v/>
      </c>
    </row>
    <row r="750" customFormat="false" ht="15" hidden="false" customHeight="false" outlineLevel="0" collapsed="false">
      <c r="A750" s="24" t="str">
        <f aca="false">IF(AND(Payroll!$A750&lt;&gt;"",N(Payroll!$R750)&gt;0),"EDR","")</f>
        <v/>
      </c>
      <c r="B750" s="24" t="str">
        <f aca="false">IF($A750="","",Payroll!U750)</f>
        <v/>
      </c>
      <c r="C750" s="24" t="str">
        <f aca="false">IF($A750="","",Payroll!S750)</f>
        <v/>
      </c>
      <c r="D750" s="24" t="str">
        <f aca="false">IF($A750="","",SUBSTITUTE(Payroll!T750," ",""))</f>
        <v/>
      </c>
      <c r="E750" s="24" t="str">
        <f aca="false">IF($A750="","",TEXT(Settings!$B$8,"yyyy-mm-dd"))</f>
        <v/>
      </c>
      <c r="F750" s="24" t="str">
        <f aca="false">IF($A750="","",TEXT(Settings!$B$9,"yyyy-mm-dd"))</f>
        <v/>
      </c>
      <c r="G750" s="24" t="str">
        <f aca="false">IF($A750="","",DAY(Settings!$B$9))</f>
        <v/>
      </c>
      <c r="H750" s="26" t="str">
        <f aca="false">IF($A750="","",ROUND(Payroll!R750-Payroll!L750-Payroll!M750,2))</f>
        <v/>
      </c>
      <c r="I750" s="26" t="str">
        <f aca="false">IF($A750="","",ROUND(Payroll!L750+Payroll!M750,2))</f>
        <v/>
      </c>
      <c r="J750" s="24" t="str">
        <f aca="false">IF($A750="","",0)</f>
        <v/>
      </c>
    </row>
    <row r="751" customFormat="false" ht="15" hidden="false" customHeight="false" outlineLevel="0" collapsed="false">
      <c r="A751" s="24" t="str">
        <f aca="false">IF(AND(Payroll!$A751&lt;&gt;"",N(Payroll!$R751)&gt;0),"EDR","")</f>
        <v/>
      </c>
      <c r="B751" s="24" t="str">
        <f aca="false">IF($A751="","",Payroll!U751)</f>
        <v/>
      </c>
      <c r="C751" s="24" t="str">
        <f aca="false">IF($A751="","",Payroll!S751)</f>
        <v/>
      </c>
      <c r="D751" s="24" t="str">
        <f aca="false">IF($A751="","",SUBSTITUTE(Payroll!T751," ",""))</f>
        <v/>
      </c>
      <c r="E751" s="24" t="str">
        <f aca="false">IF($A751="","",TEXT(Settings!$B$8,"yyyy-mm-dd"))</f>
        <v/>
      </c>
      <c r="F751" s="24" t="str">
        <f aca="false">IF($A751="","",TEXT(Settings!$B$9,"yyyy-mm-dd"))</f>
        <v/>
      </c>
      <c r="G751" s="24" t="str">
        <f aca="false">IF($A751="","",DAY(Settings!$B$9))</f>
        <v/>
      </c>
      <c r="H751" s="26" t="str">
        <f aca="false">IF($A751="","",ROUND(Payroll!R751-Payroll!L751-Payroll!M751,2))</f>
        <v/>
      </c>
      <c r="I751" s="26" t="str">
        <f aca="false">IF($A751="","",ROUND(Payroll!L751+Payroll!M751,2))</f>
        <v/>
      </c>
      <c r="J751" s="24" t="str">
        <f aca="false">IF($A751="","",0)</f>
        <v/>
      </c>
    </row>
    <row r="752" customFormat="false" ht="15" hidden="false" customHeight="false" outlineLevel="0" collapsed="false">
      <c r="A752" s="24" t="str">
        <f aca="false">IF(AND(Payroll!$A752&lt;&gt;"",N(Payroll!$R752)&gt;0),"EDR","")</f>
        <v/>
      </c>
      <c r="B752" s="24" t="str">
        <f aca="false">IF($A752="","",Payroll!U752)</f>
        <v/>
      </c>
      <c r="C752" s="24" t="str">
        <f aca="false">IF($A752="","",Payroll!S752)</f>
        <v/>
      </c>
      <c r="D752" s="24" t="str">
        <f aca="false">IF($A752="","",SUBSTITUTE(Payroll!T752," ",""))</f>
        <v/>
      </c>
      <c r="E752" s="24" t="str">
        <f aca="false">IF($A752="","",TEXT(Settings!$B$8,"yyyy-mm-dd"))</f>
        <v/>
      </c>
      <c r="F752" s="24" t="str">
        <f aca="false">IF($A752="","",TEXT(Settings!$B$9,"yyyy-mm-dd"))</f>
        <v/>
      </c>
      <c r="G752" s="24" t="str">
        <f aca="false">IF($A752="","",DAY(Settings!$B$9))</f>
        <v/>
      </c>
      <c r="H752" s="26" t="str">
        <f aca="false">IF($A752="","",ROUND(Payroll!R752-Payroll!L752-Payroll!M752,2))</f>
        <v/>
      </c>
      <c r="I752" s="26" t="str">
        <f aca="false">IF($A752="","",ROUND(Payroll!L752+Payroll!M752,2))</f>
        <v/>
      </c>
      <c r="J752" s="24" t="str">
        <f aca="false">IF($A752="","",0)</f>
        <v/>
      </c>
    </row>
    <row r="753" customFormat="false" ht="15" hidden="false" customHeight="false" outlineLevel="0" collapsed="false">
      <c r="A753" s="24" t="str">
        <f aca="false">IF(AND(Payroll!$A753&lt;&gt;"",N(Payroll!$R753)&gt;0),"EDR","")</f>
        <v/>
      </c>
      <c r="B753" s="24" t="str">
        <f aca="false">IF($A753="","",Payroll!U753)</f>
        <v/>
      </c>
      <c r="C753" s="24" t="str">
        <f aca="false">IF($A753="","",Payroll!S753)</f>
        <v/>
      </c>
      <c r="D753" s="24" t="str">
        <f aca="false">IF($A753="","",SUBSTITUTE(Payroll!T753," ",""))</f>
        <v/>
      </c>
      <c r="E753" s="24" t="str">
        <f aca="false">IF($A753="","",TEXT(Settings!$B$8,"yyyy-mm-dd"))</f>
        <v/>
      </c>
      <c r="F753" s="24" t="str">
        <f aca="false">IF($A753="","",TEXT(Settings!$B$9,"yyyy-mm-dd"))</f>
        <v/>
      </c>
      <c r="G753" s="24" t="str">
        <f aca="false">IF($A753="","",DAY(Settings!$B$9))</f>
        <v/>
      </c>
      <c r="H753" s="26" t="str">
        <f aca="false">IF($A753="","",ROUND(Payroll!R753-Payroll!L753-Payroll!M753,2))</f>
        <v/>
      </c>
      <c r="I753" s="26" t="str">
        <f aca="false">IF($A753="","",ROUND(Payroll!L753+Payroll!M753,2))</f>
        <v/>
      </c>
      <c r="J753" s="24" t="str">
        <f aca="false">IF($A753="","",0)</f>
        <v/>
      </c>
    </row>
    <row r="754" customFormat="false" ht="15" hidden="false" customHeight="false" outlineLevel="0" collapsed="false">
      <c r="A754" s="24" t="str">
        <f aca="false">IF(AND(Payroll!$A754&lt;&gt;"",N(Payroll!$R754)&gt;0),"EDR","")</f>
        <v/>
      </c>
      <c r="B754" s="24" t="str">
        <f aca="false">IF($A754="","",Payroll!U754)</f>
        <v/>
      </c>
      <c r="C754" s="24" t="str">
        <f aca="false">IF($A754="","",Payroll!S754)</f>
        <v/>
      </c>
      <c r="D754" s="24" t="str">
        <f aca="false">IF($A754="","",SUBSTITUTE(Payroll!T754," ",""))</f>
        <v/>
      </c>
      <c r="E754" s="24" t="str">
        <f aca="false">IF($A754="","",TEXT(Settings!$B$8,"yyyy-mm-dd"))</f>
        <v/>
      </c>
      <c r="F754" s="24" t="str">
        <f aca="false">IF($A754="","",TEXT(Settings!$B$9,"yyyy-mm-dd"))</f>
        <v/>
      </c>
      <c r="G754" s="24" t="str">
        <f aca="false">IF($A754="","",DAY(Settings!$B$9))</f>
        <v/>
      </c>
      <c r="H754" s="26" t="str">
        <f aca="false">IF($A754="","",ROUND(Payroll!R754-Payroll!L754-Payroll!M754,2))</f>
        <v/>
      </c>
      <c r="I754" s="26" t="str">
        <f aca="false">IF($A754="","",ROUND(Payroll!L754+Payroll!M754,2))</f>
        <v/>
      </c>
      <c r="J754" s="24" t="str">
        <f aca="false">IF($A754="","",0)</f>
        <v/>
      </c>
    </row>
    <row r="755" customFormat="false" ht="15" hidden="false" customHeight="false" outlineLevel="0" collapsed="false">
      <c r="A755" s="24" t="str">
        <f aca="false">IF(AND(Payroll!$A755&lt;&gt;"",N(Payroll!$R755)&gt;0),"EDR","")</f>
        <v/>
      </c>
      <c r="B755" s="24" t="str">
        <f aca="false">IF($A755="","",Payroll!U755)</f>
        <v/>
      </c>
      <c r="C755" s="24" t="str">
        <f aca="false">IF($A755="","",Payroll!S755)</f>
        <v/>
      </c>
      <c r="D755" s="24" t="str">
        <f aca="false">IF($A755="","",SUBSTITUTE(Payroll!T755," ",""))</f>
        <v/>
      </c>
      <c r="E755" s="24" t="str">
        <f aca="false">IF($A755="","",TEXT(Settings!$B$8,"yyyy-mm-dd"))</f>
        <v/>
      </c>
      <c r="F755" s="24" t="str">
        <f aca="false">IF($A755="","",TEXT(Settings!$B$9,"yyyy-mm-dd"))</f>
        <v/>
      </c>
      <c r="G755" s="24" t="str">
        <f aca="false">IF($A755="","",DAY(Settings!$B$9))</f>
        <v/>
      </c>
      <c r="H755" s="26" t="str">
        <f aca="false">IF($A755="","",ROUND(Payroll!R755-Payroll!L755-Payroll!M755,2))</f>
        <v/>
      </c>
      <c r="I755" s="26" t="str">
        <f aca="false">IF($A755="","",ROUND(Payroll!L755+Payroll!M755,2))</f>
        <v/>
      </c>
      <c r="J755" s="24" t="str">
        <f aca="false">IF($A755="","",0)</f>
        <v/>
      </c>
    </row>
    <row r="756" customFormat="false" ht="15" hidden="false" customHeight="false" outlineLevel="0" collapsed="false">
      <c r="A756" s="24" t="str">
        <f aca="false">IF(AND(Payroll!$A756&lt;&gt;"",N(Payroll!$R756)&gt;0),"EDR","")</f>
        <v/>
      </c>
      <c r="B756" s="24" t="str">
        <f aca="false">IF($A756="","",Payroll!U756)</f>
        <v/>
      </c>
      <c r="C756" s="24" t="str">
        <f aca="false">IF($A756="","",Payroll!S756)</f>
        <v/>
      </c>
      <c r="D756" s="24" t="str">
        <f aca="false">IF($A756="","",SUBSTITUTE(Payroll!T756," ",""))</f>
        <v/>
      </c>
      <c r="E756" s="24" t="str">
        <f aca="false">IF($A756="","",TEXT(Settings!$B$8,"yyyy-mm-dd"))</f>
        <v/>
      </c>
      <c r="F756" s="24" t="str">
        <f aca="false">IF($A756="","",TEXT(Settings!$B$9,"yyyy-mm-dd"))</f>
        <v/>
      </c>
      <c r="G756" s="24" t="str">
        <f aca="false">IF($A756="","",DAY(Settings!$B$9))</f>
        <v/>
      </c>
      <c r="H756" s="26" t="str">
        <f aca="false">IF($A756="","",ROUND(Payroll!R756-Payroll!L756-Payroll!M756,2))</f>
        <v/>
      </c>
      <c r="I756" s="26" t="str">
        <f aca="false">IF($A756="","",ROUND(Payroll!L756+Payroll!M756,2))</f>
        <v/>
      </c>
      <c r="J756" s="24" t="str">
        <f aca="false">IF($A756="","",0)</f>
        <v/>
      </c>
    </row>
    <row r="757" customFormat="false" ht="15" hidden="false" customHeight="false" outlineLevel="0" collapsed="false">
      <c r="A757" s="24" t="str">
        <f aca="false">IF(AND(Payroll!$A757&lt;&gt;"",N(Payroll!$R757)&gt;0),"EDR","")</f>
        <v/>
      </c>
      <c r="B757" s="24" t="str">
        <f aca="false">IF($A757="","",Payroll!U757)</f>
        <v/>
      </c>
      <c r="C757" s="24" t="str">
        <f aca="false">IF($A757="","",Payroll!S757)</f>
        <v/>
      </c>
      <c r="D757" s="24" t="str">
        <f aca="false">IF($A757="","",SUBSTITUTE(Payroll!T757," ",""))</f>
        <v/>
      </c>
      <c r="E757" s="24" t="str">
        <f aca="false">IF($A757="","",TEXT(Settings!$B$8,"yyyy-mm-dd"))</f>
        <v/>
      </c>
      <c r="F757" s="24" t="str">
        <f aca="false">IF($A757="","",TEXT(Settings!$B$9,"yyyy-mm-dd"))</f>
        <v/>
      </c>
      <c r="G757" s="24" t="str">
        <f aca="false">IF($A757="","",DAY(Settings!$B$9))</f>
        <v/>
      </c>
      <c r="H757" s="26" t="str">
        <f aca="false">IF($A757="","",ROUND(Payroll!R757-Payroll!L757-Payroll!M757,2))</f>
        <v/>
      </c>
      <c r="I757" s="26" t="str">
        <f aca="false">IF($A757="","",ROUND(Payroll!L757+Payroll!M757,2))</f>
        <v/>
      </c>
      <c r="J757" s="24" t="str">
        <f aca="false">IF($A757="","",0)</f>
        <v/>
      </c>
    </row>
    <row r="758" customFormat="false" ht="15" hidden="false" customHeight="false" outlineLevel="0" collapsed="false">
      <c r="A758" s="24" t="str">
        <f aca="false">IF(AND(Payroll!$A758&lt;&gt;"",N(Payroll!$R758)&gt;0),"EDR","")</f>
        <v/>
      </c>
      <c r="B758" s="24" t="str">
        <f aca="false">IF($A758="","",Payroll!U758)</f>
        <v/>
      </c>
      <c r="C758" s="24" t="str">
        <f aca="false">IF($A758="","",Payroll!S758)</f>
        <v/>
      </c>
      <c r="D758" s="24" t="str">
        <f aca="false">IF($A758="","",SUBSTITUTE(Payroll!T758," ",""))</f>
        <v/>
      </c>
      <c r="E758" s="24" t="str">
        <f aca="false">IF($A758="","",TEXT(Settings!$B$8,"yyyy-mm-dd"))</f>
        <v/>
      </c>
      <c r="F758" s="24" t="str">
        <f aca="false">IF($A758="","",TEXT(Settings!$B$9,"yyyy-mm-dd"))</f>
        <v/>
      </c>
      <c r="G758" s="24" t="str">
        <f aca="false">IF($A758="","",DAY(Settings!$B$9))</f>
        <v/>
      </c>
      <c r="H758" s="26" t="str">
        <f aca="false">IF($A758="","",ROUND(Payroll!R758-Payroll!L758-Payroll!M758,2))</f>
        <v/>
      </c>
      <c r="I758" s="26" t="str">
        <f aca="false">IF($A758="","",ROUND(Payroll!L758+Payroll!M758,2))</f>
        <v/>
      </c>
      <c r="J758" s="24" t="str">
        <f aca="false">IF($A758="","",0)</f>
        <v/>
      </c>
    </row>
    <row r="759" customFormat="false" ht="15" hidden="false" customHeight="false" outlineLevel="0" collapsed="false">
      <c r="A759" s="24" t="str">
        <f aca="false">IF(AND(Payroll!$A759&lt;&gt;"",N(Payroll!$R759)&gt;0),"EDR","")</f>
        <v/>
      </c>
      <c r="B759" s="24" t="str">
        <f aca="false">IF($A759="","",Payroll!U759)</f>
        <v/>
      </c>
      <c r="C759" s="24" t="str">
        <f aca="false">IF($A759="","",Payroll!S759)</f>
        <v/>
      </c>
      <c r="D759" s="24" t="str">
        <f aca="false">IF($A759="","",SUBSTITUTE(Payroll!T759," ",""))</f>
        <v/>
      </c>
      <c r="E759" s="24" t="str">
        <f aca="false">IF($A759="","",TEXT(Settings!$B$8,"yyyy-mm-dd"))</f>
        <v/>
      </c>
      <c r="F759" s="24" t="str">
        <f aca="false">IF($A759="","",TEXT(Settings!$B$9,"yyyy-mm-dd"))</f>
        <v/>
      </c>
      <c r="G759" s="24" t="str">
        <f aca="false">IF($A759="","",DAY(Settings!$B$9))</f>
        <v/>
      </c>
      <c r="H759" s="26" t="str">
        <f aca="false">IF($A759="","",ROUND(Payroll!R759-Payroll!L759-Payroll!M759,2))</f>
        <v/>
      </c>
      <c r="I759" s="26" t="str">
        <f aca="false">IF($A759="","",ROUND(Payroll!L759+Payroll!M759,2))</f>
        <v/>
      </c>
      <c r="J759" s="24" t="str">
        <f aca="false">IF($A759="","",0)</f>
        <v/>
      </c>
    </row>
    <row r="760" customFormat="false" ht="15" hidden="false" customHeight="false" outlineLevel="0" collapsed="false">
      <c r="A760" s="24" t="str">
        <f aca="false">IF(AND(Payroll!$A760&lt;&gt;"",N(Payroll!$R760)&gt;0),"EDR","")</f>
        <v/>
      </c>
      <c r="B760" s="24" t="str">
        <f aca="false">IF($A760="","",Payroll!U760)</f>
        <v/>
      </c>
      <c r="C760" s="24" t="str">
        <f aca="false">IF($A760="","",Payroll!S760)</f>
        <v/>
      </c>
      <c r="D760" s="24" t="str">
        <f aca="false">IF($A760="","",SUBSTITUTE(Payroll!T760," ",""))</f>
        <v/>
      </c>
      <c r="E760" s="24" t="str">
        <f aca="false">IF($A760="","",TEXT(Settings!$B$8,"yyyy-mm-dd"))</f>
        <v/>
      </c>
      <c r="F760" s="24" t="str">
        <f aca="false">IF($A760="","",TEXT(Settings!$B$9,"yyyy-mm-dd"))</f>
        <v/>
      </c>
      <c r="G760" s="24" t="str">
        <f aca="false">IF($A760="","",DAY(Settings!$B$9))</f>
        <v/>
      </c>
      <c r="H760" s="26" t="str">
        <f aca="false">IF($A760="","",ROUND(Payroll!R760-Payroll!L760-Payroll!M760,2))</f>
        <v/>
      </c>
      <c r="I760" s="26" t="str">
        <f aca="false">IF($A760="","",ROUND(Payroll!L760+Payroll!M760,2))</f>
        <v/>
      </c>
      <c r="J760" s="24" t="str">
        <f aca="false">IF($A760="","",0)</f>
        <v/>
      </c>
    </row>
    <row r="761" customFormat="false" ht="15" hidden="false" customHeight="false" outlineLevel="0" collapsed="false">
      <c r="A761" s="24" t="str">
        <f aca="false">IF(AND(Payroll!$A761&lt;&gt;"",N(Payroll!$R761)&gt;0),"EDR","")</f>
        <v/>
      </c>
      <c r="B761" s="24" t="str">
        <f aca="false">IF($A761="","",Payroll!U761)</f>
        <v/>
      </c>
      <c r="C761" s="24" t="str">
        <f aca="false">IF($A761="","",Payroll!S761)</f>
        <v/>
      </c>
      <c r="D761" s="24" t="str">
        <f aca="false">IF($A761="","",SUBSTITUTE(Payroll!T761," ",""))</f>
        <v/>
      </c>
      <c r="E761" s="24" t="str">
        <f aca="false">IF($A761="","",TEXT(Settings!$B$8,"yyyy-mm-dd"))</f>
        <v/>
      </c>
      <c r="F761" s="24" t="str">
        <f aca="false">IF($A761="","",TEXT(Settings!$B$9,"yyyy-mm-dd"))</f>
        <v/>
      </c>
      <c r="G761" s="24" t="str">
        <f aca="false">IF($A761="","",DAY(Settings!$B$9))</f>
        <v/>
      </c>
      <c r="H761" s="26" t="str">
        <f aca="false">IF($A761="","",ROUND(Payroll!R761-Payroll!L761-Payroll!M761,2))</f>
        <v/>
      </c>
      <c r="I761" s="26" t="str">
        <f aca="false">IF($A761="","",ROUND(Payroll!L761+Payroll!M761,2))</f>
        <v/>
      </c>
      <c r="J761" s="24" t="str">
        <f aca="false">IF($A761="","",0)</f>
        <v/>
      </c>
    </row>
    <row r="762" customFormat="false" ht="15" hidden="false" customHeight="false" outlineLevel="0" collapsed="false">
      <c r="A762" s="24" t="str">
        <f aca="false">IF(AND(Payroll!$A762&lt;&gt;"",N(Payroll!$R762)&gt;0),"EDR","")</f>
        <v/>
      </c>
      <c r="B762" s="24" t="str">
        <f aca="false">IF($A762="","",Payroll!U762)</f>
        <v/>
      </c>
      <c r="C762" s="24" t="str">
        <f aca="false">IF($A762="","",Payroll!S762)</f>
        <v/>
      </c>
      <c r="D762" s="24" t="str">
        <f aca="false">IF($A762="","",SUBSTITUTE(Payroll!T762," ",""))</f>
        <v/>
      </c>
      <c r="E762" s="24" t="str">
        <f aca="false">IF($A762="","",TEXT(Settings!$B$8,"yyyy-mm-dd"))</f>
        <v/>
      </c>
      <c r="F762" s="24" t="str">
        <f aca="false">IF($A762="","",TEXT(Settings!$B$9,"yyyy-mm-dd"))</f>
        <v/>
      </c>
      <c r="G762" s="24" t="str">
        <f aca="false">IF($A762="","",DAY(Settings!$B$9))</f>
        <v/>
      </c>
      <c r="H762" s="26" t="str">
        <f aca="false">IF($A762="","",ROUND(Payroll!R762-Payroll!L762-Payroll!M762,2))</f>
        <v/>
      </c>
      <c r="I762" s="26" t="str">
        <f aca="false">IF($A762="","",ROUND(Payroll!L762+Payroll!M762,2))</f>
        <v/>
      </c>
      <c r="J762" s="24" t="str">
        <f aca="false">IF($A762="","",0)</f>
        <v/>
      </c>
    </row>
    <row r="763" customFormat="false" ht="15" hidden="false" customHeight="false" outlineLevel="0" collapsed="false">
      <c r="A763" s="24" t="str">
        <f aca="false">IF(AND(Payroll!$A763&lt;&gt;"",N(Payroll!$R763)&gt;0),"EDR","")</f>
        <v/>
      </c>
      <c r="B763" s="24" t="str">
        <f aca="false">IF($A763="","",Payroll!U763)</f>
        <v/>
      </c>
      <c r="C763" s="24" t="str">
        <f aca="false">IF($A763="","",Payroll!S763)</f>
        <v/>
      </c>
      <c r="D763" s="24" t="str">
        <f aca="false">IF($A763="","",SUBSTITUTE(Payroll!T763," ",""))</f>
        <v/>
      </c>
      <c r="E763" s="24" t="str">
        <f aca="false">IF($A763="","",TEXT(Settings!$B$8,"yyyy-mm-dd"))</f>
        <v/>
      </c>
      <c r="F763" s="24" t="str">
        <f aca="false">IF($A763="","",TEXT(Settings!$B$9,"yyyy-mm-dd"))</f>
        <v/>
      </c>
      <c r="G763" s="24" t="str">
        <f aca="false">IF($A763="","",DAY(Settings!$B$9))</f>
        <v/>
      </c>
      <c r="H763" s="26" t="str">
        <f aca="false">IF($A763="","",ROUND(Payroll!R763-Payroll!L763-Payroll!M763,2))</f>
        <v/>
      </c>
      <c r="I763" s="26" t="str">
        <f aca="false">IF($A763="","",ROUND(Payroll!L763+Payroll!M763,2))</f>
        <v/>
      </c>
      <c r="J763" s="24" t="str">
        <f aca="false">IF($A763="","",0)</f>
        <v/>
      </c>
    </row>
    <row r="764" customFormat="false" ht="15" hidden="false" customHeight="false" outlineLevel="0" collapsed="false">
      <c r="A764" s="24" t="str">
        <f aca="false">IF(AND(Payroll!$A764&lt;&gt;"",N(Payroll!$R764)&gt;0),"EDR","")</f>
        <v/>
      </c>
      <c r="B764" s="24" t="str">
        <f aca="false">IF($A764="","",Payroll!U764)</f>
        <v/>
      </c>
      <c r="C764" s="24" t="str">
        <f aca="false">IF($A764="","",Payroll!S764)</f>
        <v/>
      </c>
      <c r="D764" s="24" t="str">
        <f aca="false">IF($A764="","",SUBSTITUTE(Payroll!T764," ",""))</f>
        <v/>
      </c>
      <c r="E764" s="24" t="str">
        <f aca="false">IF($A764="","",TEXT(Settings!$B$8,"yyyy-mm-dd"))</f>
        <v/>
      </c>
      <c r="F764" s="24" t="str">
        <f aca="false">IF($A764="","",TEXT(Settings!$B$9,"yyyy-mm-dd"))</f>
        <v/>
      </c>
      <c r="G764" s="24" t="str">
        <f aca="false">IF($A764="","",DAY(Settings!$B$9))</f>
        <v/>
      </c>
      <c r="H764" s="26" t="str">
        <f aca="false">IF($A764="","",ROUND(Payroll!R764-Payroll!L764-Payroll!M764,2))</f>
        <v/>
      </c>
      <c r="I764" s="26" t="str">
        <f aca="false">IF($A764="","",ROUND(Payroll!L764+Payroll!M764,2))</f>
        <v/>
      </c>
      <c r="J764" s="24" t="str">
        <f aca="false">IF($A764="","",0)</f>
        <v/>
      </c>
    </row>
    <row r="765" customFormat="false" ht="15" hidden="false" customHeight="false" outlineLevel="0" collapsed="false">
      <c r="A765" s="24" t="str">
        <f aca="false">IF(AND(Payroll!$A765&lt;&gt;"",N(Payroll!$R765)&gt;0),"EDR","")</f>
        <v/>
      </c>
      <c r="B765" s="24" t="str">
        <f aca="false">IF($A765="","",Payroll!U765)</f>
        <v/>
      </c>
      <c r="C765" s="24" t="str">
        <f aca="false">IF($A765="","",Payroll!S765)</f>
        <v/>
      </c>
      <c r="D765" s="24" t="str">
        <f aca="false">IF($A765="","",SUBSTITUTE(Payroll!T765," ",""))</f>
        <v/>
      </c>
      <c r="E765" s="24" t="str">
        <f aca="false">IF($A765="","",TEXT(Settings!$B$8,"yyyy-mm-dd"))</f>
        <v/>
      </c>
      <c r="F765" s="24" t="str">
        <f aca="false">IF($A765="","",TEXT(Settings!$B$9,"yyyy-mm-dd"))</f>
        <v/>
      </c>
      <c r="G765" s="24" t="str">
        <f aca="false">IF($A765="","",DAY(Settings!$B$9))</f>
        <v/>
      </c>
      <c r="H765" s="26" t="str">
        <f aca="false">IF($A765="","",ROUND(Payroll!R765-Payroll!L765-Payroll!M765,2))</f>
        <v/>
      </c>
      <c r="I765" s="26" t="str">
        <f aca="false">IF($A765="","",ROUND(Payroll!L765+Payroll!M765,2))</f>
        <v/>
      </c>
      <c r="J765" s="24" t="str">
        <f aca="false">IF($A765="","",0)</f>
        <v/>
      </c>
    </row>
    <row r="766" customFormat="false" ht="15" hidden="false" customHeight="false" outlineLevel="0" collapsed="false">
      <c r="A766" s="24" t="str">
        <f aca="false">IF(AND(Payroll!$A766&lt;&gt;"",N(Payroll!$R766)&gt;0),"EDR","")</f>
        <v/>
      </c>
      <c r="B766" s="24" t="str">
        <f aca="false">IF($A766="","",Payroll!U766)</f>
        <v/>
      </c>
      <c r="C766" s="24" t="str">
        <f aca="false">IF($A766="","",Payroll!S766)</f>
        <v/>
      </c>
      <c r="D766" s="24" t="str">
        <f aca="false">IF($A766="","",SUBSTITUTE(Payroll!T766," ",""))</f>
        <v/>
      </c>
      <c r="E766" s="24" t="str">
        <f aca="false">IF($A766="","",TEXT(Settings!$B$8,"yyyy-mm-dd"))</f>
        <v/>
      </c>
      <c r="F766" s="24" t="str">
        <f aca="false">IF($A766="","",TEXT(Settings!$B$9,"yyyy-mm-dd"))</f>
        <v/>
      </c>
      <c r="G766" s="24" t="str">
        <f aca="false">IF($A766="","",DAY(Settings!$B$9))</f>
        <v/>
      </c>
      <c r="H766" s="26" t="str">
        <f aca="false">IF($A766="","",ROUND(Payroll!R766-Payroll!L766-Payroll!M766,2))</f>
        <v/>
      </c>
      <c r="I766" s="26" t="str">
        <f aca="false">IF($A766="","",ROUND(Payroll!L766+Payroll!M766,2))</f>
        <v/>
      </c>
      <c r="J766" s="24" t="str">
        <f aca="false">IF($A766="","",0)</f>
        <v/>
      </c>
    </row>
    <row r="767" customFormat="false" ht="15" hidden="false" customHeight="false" outlineLevel="0" collapsed="false">
      <c r="A767" s="24" t="str">
        <f aca="false">IF(AND(Payroll!$A767&lt;&gt;"",N(Payroll!$R767)&gt;0),"EDR","")</f>
        <v/>
      </c>
      <c r="B767" s="24" t="str">
        <f aca="false">IF($A767="","",Payroll!U767)</f>
        <v/>
      </c>
      <c r="C767" s="24" t="str">
        <f aca="false">IF($A767="","",Payroll!S767)</f>
        <v/>
      </c>
      <c r="D767" s="24" t="str">
        <f aca="false">IF($A767="","",SUBSTITUTE(Payroll!T767," ",""))</f>
        <v/>
      </c>
      <c r="E767" s="24" t="str">
        <f aca="false">IF($A767="","",TEXT(Settings!$B$8,"yyyy-mm-dd"))</f>
        <v/>
      </c>
      <c r="F767" s="24" t="str">
        <f aca="false">IF($A767="","",TEXT(Settings!$B$9,"yyyy-mm-dd"))</f>
        <v/>
      </c>
      <c r="G767" s="24" t="str">
        <f aca="false">IF($A767="","",DAY(Settings!$B$9))</f>
        <v/>
      </c>
      <c r="H767" s="26" t="str">
        <f aca="false">IF($A767="","",ROUND(Payroll!R767-Payroll!L767-Payroll!M767,2))</f>
        <v/>
      </c>
      <c r="I767" s="26" t="str">
        <f aca="false">IF($A767="","",ROUND(Payroll!L767+Payroll!M767,2))</f>
        <v/>
      </c>
      <c r="J767" s="24" t="str">
        <f aca="false">IF($A767="","",0)</f>
        <v/>
      </c>
    </row>
    <row r="768" customFormat="false" ht="15" hidden="false" customHeight="false" outlineLevel="0" collapsed="false">
      <c r="A768" s="24" t="str">
        <f aca="false">IF(AND(Payroll!$A768&lt;&gt;"",N(Payroll!$R768)&gt;0),"EDR","")</f>
        <v/>
      </c>
      <c r="B768" s="24" t="str">
        <f aca="false">IF($A768="","",Payroll!U768)</f>
        <v/>
      </c>
      <c r="C768" s="24" t="str">
        <f aca="false">IF($A768="","",Payroll!S768)</f>
        <v/>
      </c>
      <c r="D768" s="24" t="str">
        <f aca="false">IF($A768="","",SUBSTITUTE(Payroll!T768," ",""))</f>
        <v/>
      </c>
      <c r="E768" s="24" t="str">
        <f aca="false">IF($A768="","",TEXT(Settings!$B$8,"yyyy-mm-dd"))</f>
        <v/>
      </c>
      <c r="F768" s="24" t="str">
        <f aca="false">IF($A768="","",TEXT(Settings!$B$9,"yyyy-mm-dd"))</f>
        <v/>
      </c>
      <c r="G768" s="24" t="str">
        <f aca="false">IF($A768="","",DAY(Settings!$B$9))</f>
        <v/>
      </c>
      <c r="H768" s="26" t="str">
        <f aca="false">IF($A768="","",ROUND(Payroll!R768-Payroll!L768-Payroll!M768,2))</f>
        <v/>
      </c>
      <c r="I768" s="26" t="str">
        <f aca="false">IF($A768="","",ROUND(Payroll!L768+Payroll!M768,2))</f>
        <v/>
      </c>
      <c r="J768" s="24" t="str">
        <f aca="false">IF($A768="","",0)</f>
        <v/>
      </c>
    </row>
    <row r="769" customFormat="false" ht="15" hidden="false" customHeight="false" outlineLevel="0" collapsed="false">
      <c r="A769" s="24" t="str">
        <f aca="false">IF(AND(Payroll!$A769&lt;&gt;"",N(Payroll!$R769)&gt;0),"EDR","")</f>
        <v/>
      </c>
      <c r="B769" s="24" t="str">
        <f aca="false">IF($A769="","",Payroll!U769)</f>
        <v/>
      </c>
      <c r="C769" s="24" t="str">
        <f aca="false">IF($A769="","",Payroll!S769)</f>
        <v/>
      </c>
      <c r="D769" s="24" t="str">
        <f aca="false">IF($A769="","",SUBSTITUTE(Payroll!T769," ",""))</f>
        <v/>
      </c>
      <c r="E769" s="24" t="str">
        <f aca="false">IF($A769="","",TEXT(Settings!$B$8,"yyyy-mm-dd"))</f>
        <v/>
      </c>
      <c r="F769" s="24" t="str">
        <f aca="false">IF($A769="","",TEXT(Settings!$B$9,"yyyy-mm-dd"))</f>
        <v/>
      </c>
      <c r="G769" s="24" t="str">
        <f aca="false">IF($A769="","",DAY(Settings!$B$9))</f>
        <v/>
      </c>
      <c r="H769" s="26" t="str">
        <f aca="false">IF($A769="","",ROUND(Payroll!R769-Payroll!L769-Payroll!M769,2))</f>
        <v/>
      </c>
      <c r="I769" s="26" t="str">
        <f aca="false">IF($A769="","",ROUND(Payroll!L769+Payroll!M769,2))</f>
        <v/>
      </c>
      <c r="J769" s="24" t="str">
        <f aca="false">IF($A769="","",0)</f>
        <v/>
      </c>
    </row>
    <row r="770" customFormat="false" ht="15" hidden="false" customHeight="false" outlineLevel="0" collapsed="false">
      <c r="A770" s="24" t="str">
        <f aca="false">IF(AND(Payroll!$A770&lt;&gt;"",N(Payroll!$R770)&gt;0),"EDR","")</f>
        <v/>
      </c>
      <c r="B770" s="24" t="str">
        <f aca="false">IF($A770="","",Payroll!U770)</f>
        <v/>
      </c>
      <c r="C770" s="24" t="str">
        <f aca="false">IF($A770="","",Payroll!S770)</f>
        <v/>
      </c>
      <c r="D770" s="24" t="str">
        <f aca="false">IF($A770="","",SUBSTITUTE(Payroll!T770," ",""))</f>
        <v/>
      </c>
      <c r="E770" s="24" t="str">
        <f aca="false">IF($A770="","",TEXT(Settings!$B$8,"yyyy-mm-dd"))</f>
        <v/>
      </c>
      <c r="F770" s="24" t="str">
        <f aca="false">IF($A770="","",TEXT(Settings!$B$9,"yyyy-mm-dd"))</f>
        <v/>
      </c>
      <c r="G770" s="24" t="str">
        <f aca="false">IF($A770="","",DAY(Settings!$B$9))</f>
        <v/>
      </c>
      <c r="H770" s="26" t="str">
        <f aca="false">IF($A770="","",ROUND(Payroll!R770-Payroll!L770-Payroll!M770,2))</f>
        <v/>
      </c>
      <c r="I770" s="26" t="str">
        <f aca="false">IF($A770="","",ROUND(Payroll!L770+Payroll!M770,2))</f>
        <v/>
      </c>
      <c r="J770" s="24" t="str">
        <f aca="false">IF($A770="","",0)</f>
        <v/>
      </c>
    </row>
    <row r="771" customFormat="false" ht="15" hidden="false" customHeight="false" outlineLevel="0" collapsed="false">
      <c r="A771" s="24" t="str">
        <f aca="false">IF(AND(Payroll!$A771&lt;&gt;"",N(Payroll!$R771)&gt;0),"EDR","")</f>
        <v/>
      </c>
      <c r="B771" s="24" t="str">
        <f aca="false">IF($A771="","",Payroll!U771)</f>
        <v/>
      </c>
      <c r="C771" s="24" t="str">
        <f aca="false">IF($A771="","",Payroll!S771)</f>
        <v/>
      </c>
      <c r="D771" s="24" t="str">
        <f aca="false">IF($A771="","",SUBSTITUTE(Payroll!T771," ",""))</f>
        <v/>
      </c>
      <c r="E771" s="24" t="str">
        <f aca="false">IF($A771="","",TEXT(Settings!$B$8,"yyyy-mm-dd"))</f>
        <v/>
      </c>
      <c r="F771" s="24" t="str">
        <f aca="false">IF($A771="","",TEXT(Settings!$B$9,"yyyy-mm-dd"))</f>
        <v/>
      </c>
      <c r="G771" s="24" t="str">
        <f aca="false">IF($A771="","",DAY(Settings!$B$9))</f>
        <v/>
      </c>
      <c r="H771" s="26" t="str">
        <f aca="false">IF($A771="","",ROUND(Payroll!R771-Payroll!L771-Payroll!M771,2))</f>
        <v/>
      </c>
      <c r="I771" s="26" t="str">
        <f aca="false">IF($A771="","",ROUND(Payroll!L771+Payroll!M771,2))</f>
        <v/>
      </c>
      <c r="J771" s="24" t="str">
        <f aca="false">IF($A771="","",0)</f>
        <v/>
      </c>
    </row>
    <row r="772" customFormat="false" ht="15" hidden="false" customHeight="false" outlineLevel="0" collapsed="false">
      <c r="A772" s="24" t="str">
        <f aca="false">IF(AND(Payroll!$A772&lt;&gt;"",N(Payroll!$R772)&gt;0),"EDR","")</f>
        <v/>
      </c>
      <c r="B772" s="24" t="str">
        <f aca="false">IF($A772="","",Payroll!U772)</f>
        <v/>
      </c>
      <c r="C772" s="24" t="str">
        <f aca="false">IF($A772="","",Payroll!S772)</f>
        <v/>
      </c>
      <c r="D772" s="24" t="str">
        <f aca="false">IF($A772="","",SUBSTITUTE(Payroll!T772," ",""))</f>
        <v/>
      </c>
      <c r="E772" s="24" t="str">
        <f aca="false">IF($A772="","",TEXT(Settings!$B$8,"yyyy-mm-dd"))</f>
        <v/>
      </c>
      <c r="F772" s="24" t="str">
        <f aca="false">IF($A772="","",TEXT(Settings!$B$9,"yyyy-mm-dd"))</f>
        <v/>
      </c>
      <c r="G772" s="24" t="str">
        <f aca="false">IF($A772="","",DAY(Settings!$B$9))</f>
        <v/>
      </c>
      <c r="H772" s="26" t="str">
        <f aca="false">IF($A772="","",ROUND(Payroll!R772-Payroll!L772-Payroll!M772,2))</f>
        <v/>
      </c>
      <c r="I772" s="26" t="str">
        <f aca="false">IF($A772="","",ROUND(Payroll!L772+Payroll!M772,2))</f>
        <v/>
      </c>
      <c r="J772" s="24" t="str">
        <f aca="false">IF($A772="","",0)</f>
        <v/>
      </c>
    </row>
    <row r="773" customFormat="false" ht="15" hidden="false" customHeight="false" outlineLevel="0" collapsed="false">
      <c r="A773" s="24" t="str">
        <f aca="false">IF(AND(Payroll!$A773&lt;&gt;"",N(Payroll!$R773)&gt;0),"EDR","")</f>
        <v/>
      </c>
      <c r="B773" s="24" t="str">
        <f aca="false">IF($A773="","",Payroll!U773)</f>
        <v/>
      </c>
      <c r="C773" s="24" t="str">
        <f aca="false">IF($A773="","",Payroll!S773)</f>
        <v/>
      </c>
      <c r="D773" s="24" t="str">
        <f aca="false">IF($A773="","",SUBSTITUTE(Payroll!T773," ",""))</f>
        <v/>
      </c>
      <c r="E773" s="24" t="str">
        <f aca="false">IF($A773="","",TEXT(Settings!$B$8,"yyyy-mm-dd"))</f>
        <v/>
      </c>
      <c r="F773" s="24" t="str">
        <f aca="false">IF($A773="","",TEXT(Settings!$B$9,"yyyy-mm-dd"))</f>
        <v/>
      </c>
      <c r="G773" s="24" t="str">
        <f aca="false">IF($A773="","",DAY(Settings!$B$9))</f>
        <v/>
      </c>
      <c r="H773" s="26" t="str">
        <f aca="false">IF($A773="","",ROUND(Payroll!R773-Payroll!L773-Payroll!M773,2))</f>
        <v/>
      </c>
      <c r="I773" s="26" t="str">
        <f aca="false">IF($A773="","",ROUND(Payroll!L773+Payroll!M773,2))</f>
        <v/>
      </c>
      <c r="J773" s="24" t="str">
        <f aca="false">IF($A773="","",0)</f>
        <v/>
      </c>
    </row>
    <row r="774" customFormat="false" ht="15" hidden="false" customHeight="false" outlineLevel="0" collapsed="false">
      <c r="A774" s="24" t="str">
        <f aca="false">IF(AND(Payroll!$A774&lt;&gt;"",N(Payroll!$R774)&gt;0),"EDR","")</f>
        <v/>
      </c>
      <c r="B774" s="24" t="str">
        <f aca="false">IF($A774="","",Payroll!U774)</f>
        <v/>
      </c>
      <c r="C774" s="24" t="str">
        <f aca="false">IF($A774="","",Payroll!S774)</f>
        <v/>
      </c>
      <c r="D774" s="24" t="str">
        <f aca="false">IF($A774="","",SUBSTITUTE(Payroll!T774," ",""))</f>
        <v/>
      </c>
      <c r="E774" s="24" t="str">
        <f aca="false">IF($A774="","",TEXT(Settings!$B$8,"yyyy-mm-dd"))</f>
        <v/>
      </c>
      <c r="F774" s="24" t="str">
        <f aca="false">IF($A774="","",TEXT(Settings!$B$9,"yyyy-mm-dd"))</f>
        <v/>
      </c>
      <c r="G774" s="24" t="str">
        <f aca="false">IF($A774="","",DAY(Settings!$B$9))</f>
        <v/>
      </c>
      <c r="H774" s="26" t="str">
        <f aca="false">IF($A774="","",ROUND(Payroll!R774-Payroll!L774-Payroll!M774,2))</f>
        <v/>
      </c>
      <c r="I774" s="26" t="str">
        <f aca="false">IF($A774="","",ROUND(Payroll!L774+Payroll!M774,2))</f>
        <v/>
      </c>
      <c r="J774" s="24" t="str">
        <f aca="false">IF($A774="","",0)</f>
        <v/>
      </c>
    </row>
    <row r="775" customFormat="false" ht="15" hidden="false" customHeight="false" outlineLevel="0" collapsed="false">
      <c r="A775" s="24" t="str">
        <f aca="false">IF(AND(Payroll!$A775&lt;&gt;"",N(Payroll!$R775)&gt;0),"EDR","")</f>
        <v/>
      </c>
      <c r="B775" s="24" t="str">
        <f aca="false">IF($A775="","",Payroll!U775)</f>
        <v/>
      </c>
      <c r="C775" s="24" t="str">
        <f aca="false">IF($A775="","",Payroll!S775)</f>
        <v/>
      </c>
      <c r="D775" s="24" t="str">
        <f aca="false">IF($A775="","",SUBSTITUTE(Payroll!T775," ",""))</f>
        <v/>
      </c>
      <c r="E775" s="24" t="str">
        <f aca="false">IF($A775="","",TEXT(Settings!$B$8,"yyyy-mm-dd"))</f>
        <v/>
      </c>
      <c r="F775" s="24" t="str">
        <f aca="false">IF($A775="","",TEXT(Settings!$B$9,"yyyy-mm-dd"))</f>
        <v/>
      </c>
      <c r="G775" s="24" t="str">
        <f aca="false">IF($A775="","",DAY(Settings!$B$9))</f>
        <v/>
      </c>
      <c r="H775" s="26" t="str">
        <f aca="false">IF($A775="","",ROUND(Payroll!R775-Payroll!L775-Payroll!M775,2))</f>
        <v/>
      </c>
      <c r="I775" s="26" t="str">
        <f aca="false">IF($A775="","",ROUND(Payroll!L775+Payroll!M775,2))</f>
        <v/>
      </c>
      <c r="J775" s="24" t="str">
        <f aca="false">IF($A775="","",0)</f>
        <v/>
      </c>
    </row>
    <row r="776" customFormat="false" ht="15" hidden="false" customHeight="false" outlineLevel="0" collapsed="false">
      <c r="A776" s="24" t="str">
        <f aca="false">IF(AND(Payroll!$A776&lt;&gt;"",N(Payroll!$R776)&gt;0),"EDR","")</f>
        <v/>
      </c>
      <c r="B776" s="24" t="str">
        <f aca="false">IF($A776="","",Payroll!U776)</f>
        <v/>
      </c>
      <c r="C776" s="24" t="str">
        <f aca="false">IF($A776="","",Payroll!S776)</f>
        <v/>
      </c>
      <c r="D776" s="24" t="str">
        <f aca="false">IF($A776="","",SUBSTITUTE(Payroll!T776," ",""))</f>
        <v/>
      </c>
      <c r="E776" s="24" t="str">
        <f aca="false">IF($A776="","",TEXT(Settings!$B$8,"yyyy-mm-dd"))</f>
        <v/>
      </c>
      <c r="F776" s="24" t="str">
        <f aca="false">IF($A776="","",TEXT(Settings!$B$9,"yyyy-mm-dd"))</f>
        <v/>
      </c>
      <c r="G776" s="24" t="str">
        <f aca="false">IF($A776="","",DAY(Settings!$B$9))</f>
        <v/>
      </c>
      <c r="H776" s="26" t="str">
        <f aca="false">IF($A776="","",ROUND(Payroll!R776-Payroll!L776-Payroll!M776,2))</f>
        <v/>
      </c>
      <c r="I776" s="26" t="str">
        <f aca="false">IF($A776="","",ROUND(Payroll!L776+Payroll!M776,2))</f>
        <v/>
      </c>
      <c r="J776" s="24" t="str">
        <f aca="false">IF($A776="","",0)</f>
        <v/>
      </c>
    </row>
    <row r="777" customFormat="false" ht="15" hidden="false" customHeight="false" outlineLevel="0" collapsed="false">
      <c r="A777" s="24" t="str">
        <f aca="false">IF(AND(Payroll!$A777&lt;&gt;"",N(Payroll!$R777)&gt;0),"EDR","")</f>
        <v/>
      </c>
      <c r="B777" s="24" t="str">
        <f aca="false">IF($A777="","",Payroll!U777)</f>
        <v/>
      </c>
      <c r="C777" s="24" t="str">
        <f aca="false">IF($A777="","",Payroll!S777)</f>
        <v/>
      </c>
      <c r="D777" s="24" t="str">
        <f aca="false">IF($A777="","",SUBSTITUTE(Payroll!T777," ",""))</f>
        <v/>
      </c>
      <c r="E777" s="24" t="str">
        <f aca="false">IF($A777="","",TEXT(Settings!$B$8,"yyyy-mm-dd"))</f>
        <v/>
      </c>
      <c r="F777" s="24" t="str">
        <f aca="false">IF($A777="","",TEXT(Settings!$B$9,"yyyy-mm-dd"))</f>
        <v/>
      </c>
      <c r="G777" s="24" t="str">
        <f aca="false">IF($A777="","",DAY(Settings!$B$9))</f>
        <v/>
      </c>
      <c r="H777" s="26" t="str">
        <f aca="false">IF($A777="","",ROUND(Payroll!R777-Payroll!L777-Payroll!M777,2))</f>
        <v/>
      </c>
      <c r="I777" s="26" t="str">
        <f aca="false">IF($A777="","",ROUND(Payroll!L777+Payroll!M777,2))</f>
        <v/>
      </c>
      <c r="J777" s="24" t="str">
        <f aca="false">IF($A777="","",0)</f>
        <v/>
      </c>
    </row>
    <row r="778" customFormat="false" ht="15" hidden="false" customHeight="false" outlineLevel="0" collapsed="false">
      <c r="A778" s="24" t="str">
        <f aca="false">IF(AND(Payroll!$A778&lt;&gt;"",N(Payroll!$R778)&gt;0),"EDR","")</f>
        <v/>
      </c>
      <c r="B778" s="24" t="str">
        <f aca="false">IF($A778="","",Payroll!U778)</f>
        <v/>
      </c>
      <c r="C778" s="24" t="str">
        <f aca="false">IF($A778="","",Payroll!S778)</f>
        <v/>
      </c>
      <c r="D778" s="24" t="str">
        <f aca="false">IF($A778="","",SUBSTITUTE(Payroll!T778," ",""))</f>
        <v/>
      </c>
      <c r="E778" s="24" t="str">
        <f aca="false">IF($A778="","",TEXT(Settings!$B$8,"yyyy-mm-dd"))</f>
        <v/>
      </c>
      <c r="F778" s="24" t="str">
        <f aca="false">IF($A778="","",TEXT(Settings!$B$9,"yyyy-mm-dd"))</f>
        <v/>
      </c>
      <c r="G778" s="24" t="str">
        <f aca="false">IF($A778="","",DAY(Settings!$B$9))</f>
        <v/>
      </c>
      <c r="H778" s="26" t="str">
        <f aca="false">IF($A778="","",ROUND(Payroll!R778-Payroll!L778-Payroll!M778,2))</f>
        <v/>
      </c>
      <c r="I778" s="26" t="str">
        <f aca="false">IF($A778="","",ROUND(Payroll!L778+Payroll!M778,2))</f>
        <v/>
      </c>
      <c r="J778" s="24" t="str">
        <f aca="false">IF($A778="","",0)</f>
        <v/>
      </c>
    </row>
    <row r="779" customFormat="false" ht="15" hidden="false" customHeight="false" outlineLevel="0" collapsed="false">
      <c r="A779" s="24" t="str">
        <f aca="false">IF(AND(Payroll!$A779&lt;&gt;"",N(Payroll!$R779)&gt;0),"EDR","")</f>
        <v/>
      </c>
      <c r="B779" s="24" t="str">
        <f aca="false">IF($A779="","",Payroll!U779)</f>
        <v/>
      </c>
      <c r="C779" s="24" t="str">
        <f aca="false">IF($A779="","",Payroll!S779)</f>
        <v/>
      </c>
      <c r="D779" s="24" t="str">
        <f aca="false">IF($A779="","",SUBSTITUTE(Payroll!T779," ",""))</f>
        <v/>
      </c>
      <c r="E779" s="24" t="str">
        <f aca="false">IF($A779="","",TEXT(Settings!$B$8,"yyyy-mm-dd"))</f>
        <v/>
      </c>
      <c r="F779" s="24" t="str">
        <f aca="false">IF($A779="","",TEXT(Settings!$B$9,"yyyy-mm-dd"))</f>
        <v/>
      </c>
      <c r="G779" s="24" t="str">
        <f aca="false">IF($A779="","",DAY(Settings!$B$9))</f>
        <v/>
      </c>
      <c r="H779" s="26" t="str">
        <f aca="false">IF($A779="","",ROUND(Payroll!R779-Payroll!L779-Payroll!M779,2))</f>
        <v/>
      </c>
      <c r="I779" s="26" t="str">
        <f aca="false">IF($A779="","",ROUND(Payroll!L779+Payroll!M779,2))</f>
        <v/>
      </c>
      <c r="J779" s="24" t="str">
        <f aca="false">IF($A779="","",0)</f>
        <v/>
      </c>
    </row>
    <row r="780" customFormat="false" ht="15" hidden="false" customHeight="false" outlineLevel="0" collapsed="false">
      <c r="A780" s="24" t="str">
        <f aca="false">IF(AND(Payroll!$A780&lt;&gt;"",N(Payroll!$R780)&gt;0),"EDR","")</f>
        <v/>
      </c>
      <c r="B780" s="24" t="str">
        <f aca="false">IF($A780="","",Payroll!U780)</f>
        <v/>
      </c>
      <c r="C780" s="24" t="str">
        <f aca="false">IF($A780="","",Payroll!S780)</f>
        <v/>
      </c>
      <c r="D780" s="24" t="str">
        <f aca="false">IF($A780="","",SUBSTITUTE(Payroll!T780," ",""))</f>
        <v/>
      </c>
      <c r="E780" s="24" t="str">
        <f aca="false">IF($A780="","",TEXT(Settings!$B$8,"yyyy-mm-dd"))</f>
        <v/>
      </c>
      <c r="F780" s="24" t="str">
        <f aca="false">IF($A780="","",TEXT(Settings!$B$9,"yyyy-mm-dd"))</f>
        <v/>
      </c>
      <c r="G780" s="24" t="str">
        <f aca="false">IF($A780="","",DAY(Settings!$B$9))</f>
        <v/>
      </c>
      <c r="H780" s="26" t="str">
        <f aca="false">IF($A780="","",ROUND(Payroll!R780-Payroll!L780-Payroll!M780,2))</f>
        <v/>
      </c>
      <c r="I780" s="26" t="str">
        <f aca="false">IF($A780="","",ROUND(Payroll!L780+Payroll!M780,2))</f>
        <v/>
      </c>
      <c r="J780" s="24" t="str">
        <f aca="false">IF($A780="","",0)</f>
        <v/>
      </c>
    </row>
    <row r="781" customFormat="false" ht="15" hidden="false" customHeight="false" outlineLevel="0" collapsed="false">
      <c r="A781" s="24" t="str">
        <f aca="false">IF(AND(Payroll!$A781&lt;&gt;"",N(Payroll!$R781)&gt;0),"EDR","")</f>
        <v/>
      </c>
      <c r="B781" s="24" t="str">
        <f aca="false">IF($A781="","",Payroll!U781)</f>
        <v/>
      </c>
      <c r="C781" s="24" t="str">
        <f aca="false">IF($A781="","",Payroll!S781)</f>
        <v/>
      </c>
      <c r="D781" s="24" t="str">
        <f aca="false">IF($A781="","",SUBSTITUTE(Payroll!T781," ",""))</f>
        <v/>
      </c>
      <c r="E781" s="24" t="str">
        <f aca="false">IF($A781="","",TEXT(Settings!$B$8,"yyyy-mm-dd"))</f>
        <v/>
      </c>
      <c r="F781" s="24" t="str">
        <f aca="false">IF($A781="","",TEXT(Settings!$B$9,"yyyy-mm-dd"))</f>
        <v/>
      </c>
      <c r="G781" s="24" t="str">
        <f aca="false">IF($A781="","",DAY(Settings!$B$9))</f>
        <v/>
      </c>
      <c r="H781" s="26" t="str">
        <f aca="false">IF($A781="","",ROUND(Payroll!R781-Payroll!L781-Payroll!M781,2))</f>
        <v/>
      </c>
      <c r="I781" s="26" t="str">
        <f aca="false">IF($A781="","",ROUND(Payroll!L781+Payroll!M781,2))</f>
        <v/>
      </c>
      <c r="J781" s="24" t="str">
        <f aca="false">IF($A781="","",0)</f>
        <v/>
      </c>
    </row>
    <row r="782" customFormat="false" ht="15" hidden="false" customHeight="false" outlineLevel="0" collapsed="false">
      <c r="A782" s="24" t="str">
        <f aca="false">IF(AND(Payroll!$A782&lt;&gt;"",N(Payroll!$R782)&gt;0),"EDR","")</f>
        <v/>
      </c>
      <c r="B782" s="24" t="str">
        <f aca="false">IF($A782="","",Payroll!U782)</f>
        <v/>
      </c>
      <c r="C782" s="24" t="str">
        <f aca="false">IF($A782="","",Payroll!S782)</f>
        <v/>
      </c>
      <c r="D782" s="24" t="str">
        <f aca="false">IF($A782="","",SUBSTITUTE(Payroll!T782," ",""))</f>
        <v/>
      </c>
      <c r="E782" s="24" t="str">
        <f aca="false">IF($A782="","",TEXT(Settings!$B$8,"yyyy-mm-dd"))</f>
        <v/>
      </c>
      <c r="F782" s="24" t="str">
        <f aca="false">IF($A782="","",TEXT(Settings!$B$9,"yyyy-mm-dd"))</f>
        <v/>
      </c>
      <c r="G782" s="24" t="str">
        <f aca="false">IF($A782="","",DAY(Settings!$B$9))</f>
        <v/>
      </c>
      <c r="H782" s="26" t="str">
        <f aca="false">IF($A782="","",ROUND(Payroll!R782-Payroll!L782-Payroll!M782,2))</f>
        <v/>
      </c>
      <c r="I782" s="26" t="str">
        <f aca="false">IF($A782="","",ROUND(Payroll!L782+Payroll!M782,2))</f>
        <v/>
      </c>
      <c r="J782" s="24" t="str">
        <f aca="false">IF($A782="","",0)</f>
        <v/>
      </c>
    </row>
    <row r="783" customFormat="false" ht="15" hidden="false" customHeight="false" outlineLevel="0" collapsed="false">
      <c r="A783" s="24" t="str">
        <f aca="false">IF(AND(Payroll!$A783&lt;&gt;"",N(Payroll!$R783)&gt;0),"EDR","")</f>
        <v/>
      </c>
      <c r="B783" s="24" t="str">
        <f aca="false">IF($A783="","",Payroll!U783)</f>
        <v/>
      </c>
      <c r="C783" s="24" t="str">
        <f aca="false">IF($A783="","",Payroll!S783)</f>
        <v/>
      </c>
      <c r="D783" s="24" t="str">
        <f aca="false">IF($A783="","",SUBSTITUTE(Payroll!T783," ",""))</f>
        <v/>
      </c>
      <c r="E783" s="24" t="str">
        <f aca="false">IF($A783="","",TEXT(Settings!$B$8,"yyyy-mm-dd"))</f>
        <v/>
      </c>
      <c r="F783" s="24" t="str">
        <f aca="false">IF($A783="","",TEXT(Settings!$B$9,"yyyy-mm-dd"))</f>
        <v/>
      </c>
      <c r="G783" s="24" t="str">
        <f aca="false">IF($A783="","",DAY(Settings!$B$9))</f>
        <v/>
      </c>
      <c r="H783" s="26" t="str">
        <f aca="false">IF($A783="","",ROUND(Payroll!R783-Payroll!L783-Payroll!M783,2))</f>
        <v/>
      </c>
      <c r="I783" s="26" t="str">
        <f aca="false">IF($A783="","",ROUND(Payroll!L783+Payroll!M783,2))</f>
        <v/>
      </c>
      <c r="J783" s="24" t="str">
        <f aca="false">IF($A783="","",0)</f>
        <v/>
      </c>
    </row>
    <row r="784" customFormat="false" ht="15" hidden="false" customHeight="false" outlineLevel="0" collapsed="false">
      <c r="A784" s="24" t="str">
        <f aca="false">IF(AND(Payroll!$A784&lt;&gt;"",N(Payroll!$R784)&gt;0),"EDR","")</f>
        <v/>
      </c>
      <c r="B784" s="24" t="str">
        <f aca="false">IF($A784="","",Payroll!U784)</f>
        <v/>
      </c>
      <c r="C784" s="24" t="str">
        <f aca="false">IF($A784="","",Payroll!S784)</f>
        <v/>
      </c>
      <c r="D784" s="24" t="str">
        <f aca="false">IF($A784="","",SUBSTITUTE(Payroll!T784," ",""))</f>
        <v/>
      </c>
      <c r="E784" s="24" t="str">
        <f aca="false">IF($A784="","",TEXT(Settings!$B$8,"yyyy-mm-dd"))</f>
        <v/>
      </c>
      <c r="F784" s="24" t="str">
        <f aca="false">IF($A784="","",TEXT(Settings!$B$9,"yyyy-mm-dd"))</f>
        <v/>
      </c>
      <c r="G784" s="24" t="str">
        <f aca="false">IF($A784="","",DAY(Settings!$B$9))</f>
        <v/>
      </c>
      <c r="H784" s="26" t="str">
        <f aca="false">IF($A784="","",ROUND(Payroll!R784-Payroll!L784-Payroll!M784,2))</f>
        <v/>
      </c>
      <c r="I784" s="26" t="str">
        <f aca="false">IF($A784="","",ROUND(Payroll!L784+Payroll!M784,2))</f>
        <v/>
      </c>
      <c r="J784" s="24" t="str">
        <f aca="false">IF($A784="","",0)</f>
        <v/>
      </c>
    </row>
    <row r="785" customFormat="false" ht="15" hidden="false" customHeight="false" outlineLevel="0" collapsed="false">
      <c r="A785" s="24" t="str">
        <f aca="false">IF(AND(Payroll!$A785&lt;&gt;"",N(Payroll!$R785)&gt;0),"EDR","")</f>
        <v/>
      </c>
      <c r="B785" s="24" t="str">
        <f aca="false">IF($A785="","",Payroll!U785)</f>
        <v/>
      </c>
      <c r="C785" s="24" t="str">
        <f aca="false">IF($A785="","",Payroll!S785)</f>
        <v/>
      </c>
      <c r="D785" s="24" t="str">
        <f aca="false">IF($A785="","",SUBSTITUTE(Payroll!T785," ",""))</f>
        <v/>
      </c>
      <c r="E785" s="24" t="str">
        <f aca="false">IF($A785="","",TEXT(Settings!$B$8,"yyyy-mm-dd"))</f>
        <v/>
      </c>
      <c r="F785" s="24" t="str">
        <f aca="false">IF($A785="","",TEXT(Settings!$B$9,"yyyy-mm-dd"))</f>
        <v/>
      </c>
      <c r="G785" s="24" t="str">
        <f aca="false">IF($A785="","",DAY(Settings!$B$9))</f>
        <v/>
      </c>
      <c r="H785" s="26" t="str">
        <f aca="false">IF($A785="","",ROUND(Payroll!R785-Payroll!L785-Payroll!M785,2))</f>
        <v/>
      </c>
      <c r="I785" s="26" t="str">
        <f aca="false">IF($A785="","",ROUND(Payroll!L785+Payroll!M785,2))</f>
        <v/>
      </c>
      <c r="J785" s="24" t="str">
        <f aca="false">IF($A785="","",0)</f>
        <v/>
      </c>
    </row>
    <row r="786" customFormat="false" ht="15" hidden="false" customHeight="false" outlineLevel="0" collapsed="false">
      <c r="A786" s="24" t="str">
        <f aca="false">IF(AND(Payroll!$A786&lt;&gt;"",N(Payroll!$R786)&gt;0),"EDR","")</f>
        <v/>
      </c>
      <c r="B786" s="24" t="str">
        <f aca="false">IF($A786="","",Payroll!U786)</f>
        <v/>
      </c>
      <c r="C786" s="24" t="str">
        <f aca="false">IF($A786="","",Payroll!S786)</f>
        <v/>
      </c>
      <c r="D786" s="24" t="str">
        <f aca="false">IF($A786="","",SUBSTITUTE(Payroll!T786," ",""))</f>
        <v/>
      </c>
      <c r="E786" s="24" t="str">
        <f aca="false">IF($A786="","",TEXT(Settings!$B$8,"yyyy-mm-dd"))</f>
        <v/>
      </c>
      <c r="F786" s="24" t="str">
        <f aca="false">IF($A786="","",TEXT(Settings!$B$9,"yyyy-mm-dd"))</f>
        <v/>
      </c>
      <c r="G786" s="24" t="str">
        <f aca="false">IF($A786="","",DAY(Settings!$B$9))</f>
        <v/>
      </c>
      <c r="H786" s="26" t="str">
        <f aca="false">IF($A786="","",ROUND(Payroll!R786-Payroll!L786-Payroll!M786,2))</f>
        <v/>
      </c>
      <c r="I786" s="26" t="str">
        <f aca="false">IF($A786="","",ROUND(Payroll!L786+Payroll!M786,2))</f>
        <v/>
      </c>
      <c r="J786" s="24" t="str">
        <f aca="false">IF($A786="","",0)</f>
        <v/>
      </c>
    </row>
    <row r="787" customFormat="false" ht="15" hidden="false" customHeight="false" outlineLevel="0" collapsed="false">
      <c r="A787" s="24" t="str">
        <f aca="false">IF(AND(Payroll!$A787&lt;&gt;"",N(Payroll!$R787)&gt;0),"EDR","")</f>
        <v/>
      </c>
      <c r="B787" s="24" t="str">
        <f aca="false">IF($A787="","",Payroll!U787)</f>
        <v/>
      </c>
      <c r="C787" s="24" t="str">
        <f aca="false">IF($A787="","",Payroll!S787)</f>
        <v/>
      </c>
      <c r="D787" s="24" t="str">
        <f aca="false">IF($A787="","",SUBSTITUTE(Payroll!T787," ",""))</f>
        <v/>
      </c>
      <c r="E787" s="24" t="str">
        <f aca="false">IF($A787="","",TEXT(Settings!$B$8,"yyyy-mm-dd"))</f>
        <v/>
      </c>
      <c r="F787" s="24" t="str">
        <f aca="false">IF($A787="","",TEXT(Settings!$B$9,"yyyy-mm-dd"))</f>
        <v/>
      </c>
      <c r="G787" s="24" t="str">
        <f aca="false">IF($A787="","",DAY(Settings!$B$9))</f>
        <v/>
      </c>
      <c r="H787" s="26" t="str">
        <f aca="false">IF($A787="","",ROUND(Payroll!R787-Payroll!L787-Payroll!M787,2))</f>
        <v/>
      </c>
      <c r="I787" s="26" t="str">
        <f aca="false">IF($A787="","",ROUND(Payroll!L787+Payroll!M787,2))</f>
        <v/>
      </c>
      <c r="J787" s="24" t="str">
        <f aca="false">IF($A787="","",0)</f>
        <v/>
      </c>
    </row>
    <row r="788" customFormat="false" ht="15" hidden="false" customHeight="false" outlineLevel="0" collapsed="false">
      <c r="A788" s="24" t="str">
        <f aca="false">IF(AND(Payroll!$A788&lt;&gt;"",N(Payroll!$R788)&gt;0),"EDR","")</f>
        <v/>
      </c>
      <c r="B788" s="24" t="str">
        <f aca="false">IF($A788="","",Payroll!U788)</f>
        <v/>
      </c>
      <c r="C788" s="24" t="str">
        <f aca="false">IF($A788="","",Payroll!S788)</f>
        <v/>
      </c>
      <c r="D788" s="24" t="str">
        <f aca="false">IF($A788="","",SUBSTITUTE(Payroll!T788," ",""))</f>
        <v/>
      </c>
      <c r="E788" s="24" t="str">
        <f aca="false">IF($A788="","",TEXT(Settings!$B$8,"yyyy-mm-dd"))</f>
        <v/>
      </c>
      <c r="F788" s="24" t="str">
        <f aca="false">IF($A788="","",TEXT(Settings!$B$9,"yyyy-mm-dd"))</f>
        <v/>
      </c>
      <c r="G788" s="24" t="str">
        <f aca="false">IF($A788="","",DAY(Settings!$B$9))</f>
        <v/>
      </c>
      <c r="H788" s="26" t="str">
        <f aca="false">IF($A788="","",ROUND(Payroll!R788-Payroll!L788-Payroll!M788,2))</f>
        <v/>
      </c>
      <c r="I788" s="26" t="str">
        <f aca="false">IF($A788="","",ROUND(Payroll!L788+Payroll!M788,2))</f>
        <v/>
      </c>
      <c r="J788" s="24" t="str">
        <f aca="false">IF($A788="","",0)</f>
        <v/>
      </c>
    </row>
    <row r="789" customFormat="false" ht="15" hidden="false" customHeight="false" outlineLevel="0" collapsed="false">
      <c r="A789" s="24" t="str">
        <f aca="false">IF(AND(Payroll!$A789&lt;&gt;"",N(Payroll!$R789)&gt;0),"EDR","")</f>
        <v/>
      </c>
      <c r="B789" s="24" t="str">
        <f aca="false">IF($A789="","",Payroll!U789)</f>
        <v/>
      </c>
      <c r="C789" s="24" t="str">
        <f aca="false">IF($A789="","",Payroll!S789)</f>
        <v/>
      </c>
      <c r="D789" s="24" t="str">
        <f aca="false">IF($A789="","",SUBSTITUTE(Payroll!T789," ",""))</f>
        <v/>
      </c>
      <c r="E789" s="24" t="str">
        <f aca="false">IF($A789="","",TEXT(Settings!$B$8,"yyyy-mm-dd"))</f>
        <v/>
      </c>
      <c r="F789" s="24" t="str">
        <f aca="false">IF($A789="","",TEXT(Settings!$B$9,"yyyy-mm-dd"))</f>
        <v/>
      </c>
      <c r="G789" s="24" t="str">
        <f aca="false">IF($A789="","",DAY(Settings!$B$9))</f>
        <v/>
      </c>
      <c r="H789" s="26" t="str">
        <f aca="false">IF($A789="","",ROUND(Payroll!R789-Payroll!L789-Payroll!M789,2))</f>
        <v/>
      </c>
      <c r="I789" s="26" t="str">
        <f aca="false">IF($A789="","",ROUND(Payroll!L789+Payroll!M789,2))</f>
        <v/>
      </c>
      <c r="J789" s="24" t="str">
        <f aca="false">IF($A789="","",0)</f>
        <v/>
      </c>
    </row>
    <row r="790" customFormat="false" ht="15" hidden="false" customHeight="false" outlineLevel="0" collapsed="false">
      <c r="A790" s="24" t="str">
        <f aca="false">IF(AND(Payroll!$A790&lt;&gt;"",N(Payroll!$R790)&gt;0),"EDR","")</f>
        <v/>
      </c>
      <c r="B790" s="24" t="str">
        <f aca="false">IF($A790="","",Payroll!U790)</f>
        <v/>
      </c>
      <c r="C790" s="24" t="str">
        <f aca="false">IF($A790="","",Payroll!S790)</f>
        <v/>
      </c>
      <c r="D790" s="24" t="str">
        <f aca="false">IF($A790="","",SUBSTITUTE(Payroll!T790," ",""))</f>
        <v/>
      </c>
      <c r="E790" s="24" t="str">
        <f aca="false">IF($A790="","",TEXT(Settings!$B$8,"yyyy-mm-dd"))</f>
        <v/>
      </c>
      <c r="F790" s="24" t="str">
        <f aca="false">IF($A790="","",TEXT(Settings!$B$9,"yyyy-mm-dd"))</f>
        <v/>
      </c>
      <c r="G790" s="24" t="str">
        <f aca="false">IF($A790="","",DAY(Settings!$B$9))</f>
        <v/>
      </c>
      <c r="H790" s="26" t="str">
        <f aca="false">IF($A790="","",ROUND(Payroll!R790-Payroll!L790-Payroll!M790,2))</f>
        <v/>
      </c>
      <c r="I790" s="26" t="str">
        <f aca="false">IF($A790="","",ROUND(Payroll!L790+Payroll!M790,2))</f>
        <v/>
      </c>
      <c r="J790" s="24" t="str">
        <f aca="false">IF($A790="","",0)</f>
        <v/>
      </c>
    </row>
    <row r="791" customFormat="false" ht="15" hidden="false" customHeight="false" outlineLevel="0" collapsed="false">
      <c r="A791" s="24" t="str">
        <f aca="false">IF(AND(Payroll!$A791&lt;&gt;"",N(Payroll!$R791)&gt;0),"EDR","")</f>
        <v/>
      </c>
      <c r="B791" s="24" t="str">
        <f aca="false">IF($A791="","",Payroll!U791)</f>
        <v/>
      </c>
      <c r="C791" s="24" t="str">
        <f aca="false">IF($A791="","",Payroll!S791)</f>
        <v/>
      </c>
      <c r="D791" s="24" t="str">
        <f aca="false">IF($A791="","",SUBSTITUTE(Payroll!T791," ",""))</f>
        <v/>
      </c>
      <c r="E791" s="24" t="str">
        <f aca="false">IF($A791="","",TEXT(Settings!$B$8,"yyyy-mm-dd"))</f>
        <v/>
      </c>
      <c r="F791" s="24" t="str">
        <f aca="false">IF($A791="","",TEXT(Settings!$B$9,"yyyy-mm-dd"))</f>
        <v/>
      </c>
      <c r="G791" s="24" t="str">
        <f aca="false">IF($A791="","",DAY(Settings!$B$9))</f>
        <v/>
      </c>
      <c r="H791" s="26" t="str">
        <f aca="false">IF($A791="","",ROUND(Payroll!R791-Payroll!L791-Payroll!M791,2))</f>
        <v/>
      </c>
      <c r="I791" s="26" t="str">
        <f aca="false">IF($A791="","",ROUND(Payroll!L791+Payroll!M791,2))</f>
        <v/>
      </c>
      <c r="J791" s="24" t="str">
        <f aca="false">IF($A791="","",0)</f>
        <v/>
      </c>
    </row>
    <row r="792" customFormat="false" ht="15" hidden="false" customHeight="false" outlineLevel="0" collapsed="false">
      <c r="A792" s="24" t="str">
        <f aca="false">IF(AND(Payroll!$A792&lt;&gt;"",N(Payroll!$R792)&gt;0),"EDR","")</f>
        <v/>
      </c>
      <c r="B792" s="24" t="str">
        <f aca="false">IF($A792="","",Payroll!U792)</f>
        <v/>
      </c>
      <c r="C792" s="24" t="str">
        <f aca="false">IF($A792="","",Payroll!S792)</f>
        <v/>
      </c>
      <c r="D792" s="24" t="str">
        <f aca="false">IF($A792="","",SUBSTITUTE(Payroll!T792," ",""))</f>
        <v/>
      </c>
      <c r="E792" s="24" t="str">
        <f aca="false">IF($A792="","",TEXT(Settings!$B$8,"yyyy-mm-dd"))</f>
        <v/>
      </c>
      <c r="F792" s="24" t="str">
        <f aca="false">IF($A792="","",TEXT(Settings!$B$9,"yyyy-mm-dd"))</f>
        <v/>
      </c>
      <c r="G792" s="24" t="str">
        <f aca="false">IF($A792="","",DAY(Settings!$B$9))</f>
        <v/>
      </c>
      <c r="H792" s="26" t="str">
        <f aca="false">IF($A792="","",ROUND(Payroll!R792-Payroll!L792-Payroll!M792,2))</f>
        <v/>
      </c>
      <c r="I792" s="26" t="str">
        <f aca="false">IF($A792="","",ROUND(Payroll!L792+Payroll!M792,2))</f>
        <v/>
      </c>
      <c r="J792" s="24" t="str">
        <f aca="false">IF($A792="","",0)</f>
        <v/>
      </c>
    </row>
    <row r="793" customFormat="false" ht="15" hidden="false" customHeight="false" outlineLevel="0" collapsed="false">
      <c r="A793" s="24" t="str">
        <f aca="false">IF(AND(Payroll!$A793&lt;&gt;"",N(Payroll!$R793)&gt;0),"EDR","")</f>
        <v/>
      </c>
      <c r="B793" s="24" t="str">
        <f aca="false">IF($A793="","",Payroll!U793)</f>
        <v/>
      </c>
      <c r="C793" s="24" t="str">
        <f aca="false">IF($A793="","",Payroll!S793)</f>
        <v/>
      </c>
      <c r="D793" s="24" t="str">
        <f aca="false">IF($A793="","",SUBSTITUTE(Payroll!T793," ",""))</f>
        <v/>
      </c>
      <c r="E793" s="24" t="str">
        <f aca="false">IF($A793="","",TEXT(Settings!$B$8,"yyyy-mm-dd"))</f>
        <v/>
      </c>
      <c r="F793" s="24" t="str">
        <f aca="false">IF($A793="","",TEXT(Settings!$B$9,"yyyy-mm-dd"))</f>
        <v/>
      </c>
      <c r="G793" s="24" t="str">
        <f aca="false">IF($A793="","",DAY(Settings!$B$9))</f>
        <v/>
      </c>
      <c r="H793" s="26" t="str">
        <f aca="false">IF($A793="","",ROUND(Payroll!R793-Payroll!L793-Payroll!M793,2))</f>
        <v/>
      </c>
      <c r="I793" s="26" t="str">
        <f aca="false">IF($A793="","",ROUND(Payroll!L793+Payroll!M793,2))</f>
        <v/>
      </c>
      <c r="J793" s="24" t="str">
        <f aca="false">IF($A793="","",0)</f>
        <v/>
      </c>
    </row>
    <row r="794" customFormat="false" ht="15" hidden="false" customHeight="false" outlineLevel="0" collapsed="false">
      <c r="A794" s="24" t="str">
        <f aca="false">IF(AND(Payroll!$A794&lt;&gt;"",N(Payroll!$R794)&gt;0),"EDR","")</f>
        <v/>
      </c>
      <c r="B794" s="24" t="str">
        <f aca="false">IF($A794="","",Payroll!U794)</f>
        <v/>
      </c>
      <c r="C794" s="24" t="str">
        <f aca="false">IF($A794="","",Payroll!S794)</f>
        <v/>
      </c>
      <c r="D794" s="24" t="str">
        <f aca="false">IF($A794="","",SUBSTITUTE(Payroll!T794," ",""))</f>
        <v/>
      </c>
      <c r="E794" s="24" t="str">
        <f aca="false">IF($A794="","",TEXT(Settings!$B$8,"yyyy-mm-dd"))</f>
        <v/>
      </c>
      <c r="F794" s="24" t="str">
        <f aca="false">IF($A794="","",TEXT(Settings!$B$9,"yyyy-mm-dd"))</f>
        <v/>
      </c>
      <c r="G794" s="24" t="str">
        <f aca="false">IF($A794="","",DAY(Settings!$B$9))</f>
        <v/>
      </c>
      <c r="H794" s="26" t="str">
        <f aca="false">IF($A794="","",ROUND(Payroll!R794-Payroll!L794-Payroll!M794,2))</f>
        <v/>
      </c>
      <c r="I794" s="26" t="str">
        <f aca="false">IF($A794="","",ROUND(Payroll!L794+Payroll!M794,2))</f>
        <v/>
      </c>
      <c r="J794" s="24" t="str">
        <f aca="false">IF($A794="","",0)</f>
        <v/>
      </c>
    </row>
    <row r="795" customFormat="false" ht="15" hidden="false" customHeight="false" outlineLevel="0" collapsed="false">
      <c r="A795" s="24" t="str">
        <f aca="false">IF(AND(Payroll!$A795&lt;&gt;"",N(Payroll!$R795)&gt;0),"EDR","")</f>
        <v/>
      </c>
      <c r="B795" s="24" t="str">
        <f aca="false">IF($A795="","",Payroll!U795)</f>
        <v/>
      </c>
      <c r="C795" s="24" t="str">
        <f aca="false">IF($A795="","",Payroll!S795)</f>
        <v/>
      </c>
      <c r="D795" s="24" t="str">
        <f aca="false">IF($A795="","",SUBSTITUTE(Payroll!T795," ",""))</f>
        <v/>
      </c>
      <c r="E795" s="24" t="str">
        <f aca="false">IF($A795="","",TEXT(Settings!$B$8,"yyyy-mm-dd"))</f>
        <v/>
      </c>
      <c r="F795" s="24" t="str">
        <f aca="false">IF($A795="","",TEXT(Settings!$B$9,"yyyy-mm-dd"))</f>
        <v/>
      </c>
      <c r="G795" s="24" t="str">
        <f aca="false">IF($A795="","",DAY(Settings!$B$9))</f>
        <v/>
      </c>
      <c r="H795" s="26" t="str">
        <f aca="false">IF($A795="","",ROUND(Payroll!R795-Payroll!L795-Payroll!M795,2))</f>
        <v/>
      </c>
      <c r="I795" s="26" t="str">
        <f aca="false">IF($A795="","",ROUND(Payroll!L795+Payroll!M795,2))</f>
        <v/>
      </c>
      <c r="J795" s="24" t="str">
        <f aca="false">IF($A795="","",0)</f>
        <v/>
      </c>
    </row>
    <row r="796" customFormat="false" ht="15" hidden="false" customHeight="false" outlineLevel="0" collapsed="false">
      <c r="A796" s="24" t="str">
        <f aca="false">IF(AND(Payroll!$A796&lt;&gt;"",N(Payroll!$R796)&gt;0),"EDR","")</f>
        <v/>
      </c>
      <c r="B796" s="24" t="str">
        <f aca="false">IF($A796="","",Payroll!U796)</f>
        <v/>
      </c>
      <c r="C796" s="24" t="str">
        <f aca="false">IF($A796="","",Payroll!S796)</f>
        <v/>
      </c>
      <c r="D796" s="24" t="str">
        <f aca="false">IF($A796="","",SUBSTITUTE(Payroll!T796," ",""))</f>
        <v/>
      </c>
      <c r="E796" s="24" t="str">
        <f aca="false">IF($A796="","",TEXT(Settings!$B$8,"yyyy-mm-dd"))</f>
        <v/>
      </c>
      <c r="F796" s="24" t="str">
        <f aca="false">IF($A796="","",TEXT(Settings!$B$9,"yyyy-mm-dd"))</f>
        <v/>
      </c>
      <c r="G796" s="24" t="str">
        <f aca="false">IF($A796="","",DAY(Settings!$B$9))</f>
        <v/>
      </c>
      <c r="H796" s="26" t="str">
        <f aca="false">IF($A796="","",ROUND(Payroll!R796-Payroll!L796-Payroll!M796,2))</f>
        <v/>
      </c>
      <c r="I796" s="26" t="str">
        <f aca="false">IF($A796="","",ROUND(Payroll!L796+Payroll!M796,2))</f>
        <v/>
      </c>
      <c r="J796" s="24" t="str">
        <f aca="false">IF($A796="","",0)</f>
        <v/>
      </c>
    </row>
    <row r="797" customFormat="false" ht="15" hidden="false" customHeight="false" outlineLevel="0" collapsed="false">
      <c r="A797" s="24" t="str">
        <f aca="false">IF(AND(Payroll!$A797&lt;&gt;"",N(Payroll!$R797)&gt;0),"EDR","")</f>
        <v/>
      </c>
      <c r="B797" s="24" t="str">
        <f aca="false">IF($A797="","",Payroll!U797)</f>
        <v/>
      </c>
      <c r="C797" s="24" t="str">
        <f aca="false">IF($A797="","",Payroll!S797)</f>
        <v/>
      </c>
      <c r="D797" s="24" t="str">
        <f aca="false">IF($A797="","",SUBSTITUTE(Payroll!T797," ",""))</f>
        <v/>
      </c>
      <c r="E797" s="24" t="str">
        <f aca="false">IF($A797="","",TEXT(Settings!$B$8,"yyyy-mm-dd"))</f>
        <v/>
      </c>
      <c r="F797" s="24" t="str">
        <f aca="false">IF($A797="","",TEXT(Settings!$B$9,"yyyy-mm-dd"))</f>
        <v/>
      </c>
      <c r="G797" s="24" t="str">
        <f aca="false">IF($A797="","",DAY(Settings!$B$9))</f>
        <v/>
      </c>
      <c r="H797" s="26" t="str">
        <f aca="false">IF($A797="","",ROUND(Payroll!R797-Payroll!L797-Payroll!M797,2))</f>
        <v/>
      </c>
      <c r="I797" s="26" t="str">
        <f aca="false">IF($A797="","",ROUND(Payroll!L797+Payroll!M797,2))</f>
        <v/>
      </c>
      <c r="J797" s="24" t="str">
        <f aca="false">IF($A797="","",0)</f>
        <v/>
      </c>
    </row>
    <row r="798" customFormat="false" ht="15" hidden="false" customHeight="false" outlineLevel="0" collapsed="false">
      <c r="A798" s="24" t="str">
        <f aca="false">IF(AND(Payroll!$A798&lt;&gt;"",N(Payroll!$R798)&gt;0),"EDR","")</f>
        <v/>
      </c>
      <c r="B798" s="24" t="str">
        <f aca="false">IF($A798="","",Payroll!U798)</f>
        <v/>
      </c>
      <c r="C798" s="24" t="str">
        <f aca="false">IF($A798="","",Payroll!S798)</f>
        <v/>
      </c>
      <c r="D798" s="24" t="str">
        <f aca="false">IF($A798="","",SUBSTITUTE(Payroll!T798," ",""))</f>
        <v/>
      </c>
      <c r="E798" s="24" t="str">
        <f aca="false">IF($A798="","",TEXT(Settings!$B$8,"yyyy-mm-dd"))</f>
        <v/>
      </c>
      <c r="F798" s="24" t="str">
        <f aca="false">IF($A798="","",TEXT(Settings!$B$9,"yyyy-mm-dd"))</f>
        <v/>
      </c>
      <c r="G798" s="24" t="str">
        <f aca="false">IF($A798="","",DAY(Settings!$B$9))</f>
        <v/>
      </c>
      <c r="H798" s="26" t="str">
        <f aca="false">IF($A798="","",ROUND(Payroll!R798-Payroll!L798-Payroll!M798,2))</f>
        <v/>
      </c>
      <c r="I798" s="26" t="str">
        <f aca="false">IF($A798="","",ROUND(Payroll!L798+Payroll!M798,2))</f>
        <v/>
      </c>
      <c r="J798" s="24" t="str">
        <f aca="false">IF($A798="","",0)</f>
        <v/>
      </c>
    </row>
    <row r="799" customFormat="false" ht="15" hidden="false" customHeight="false" outlineLevel="0" collapsed="false">
      <c r="A799" s="24" t="str">
        <f aca="false">IF(AND(Payroll!$A799&lt;&gt;"",N(Payroll!$R799)&gt;0),"EDR","")</f>
        <v/>
      </c>
      <c r="B799" s="24" t="str">
        <f aca="false">IF($A799="","",Payroll!U799)</f>
        <v/>
      </c>
      <c r="C799" s="24" t="str">
        <f aca="false">IF($A799="","",Payroll!S799)</f>
        <v/>
      </c>
      <c r="D799" s="24" t="str">
        <f aca="false">IF($A799="","",SUBSTITUTE(Payroll!T799," ",""))</f>
        <v/>
      </c>
      <c r="E799" s="24" t="str">
        <f aca="false">IF($A799="","",TEXT(Settings!$B$8,"yyyy-mm-dd"))</f>
        <v/>
      </c>
      <c r="F799" s="24" t="str">
        <f aca="false">IF($A799="","",TEXT(Settings!$B$9,"yyyy-mm-dd"))</f>
        <v/>
      </c>
      <c r="G799" s="24" t="str">
        <f aca="false">IF($A799="","",DAY(Settings!$B$9))</f>
        <v/>
      </c>
      <c r="H799" s="26" t="str">
        <f aca="false">IF($A799="","",ROUND(Payroll!R799-Payroll!L799-Payroll!M799,2))</f>
        <v/>
      </c>
      <c r="I799" s="26" t="str">
        <f aca="false">IF($A799="","",ROUND(Payroll!L799+Payroll!M799,2))</f>
        <v/>
      </c>
      <c r="J799" s="24" t="str">
        <f aca="false">IF($A799="","",0)</f>
        <v/>
      </c>
    </row>
    <row r="800" customFormat="false" ht="15" hidden="false" customHeight="false" outlineLevel="0" collapsed="false">
      <c r="A800" s="24" t="str">
        <f aca="false">IF(AND(Payroll!$A800&lt;&gt;"",N(Payroll!$R800)&gt;0),"EDR","")</f>
        <v/>
      </c>
      <c r="B800" s="24" t="str">
        <f aca="false">IF($A800="","",Payroll!U800)</f>
        <v/>
      </c>
      <c r="C800" s="24" t="str">
        <f aca="false">IF($A800="","",Payroll!S800)</f>
        <v/>
      </c>
      <c r="D800" s="24" t="str">
        <f aca="false">IF($A800="","",SUBSTITUTE(Payroll!T800," ",""))</f>
        <v/>
      </c>
      <c r="E800" s="24" t="str">
        <f aca="false">IF($A800="","",TEXT(Settings!$B$8,"yyyy-mm-dd"))</f>
        <v/>
      </c>
      <c r="F800" s="24" t="str">
        <f aca="false">IF($A800="","",TEXT(Settings!$B$9,"yyyy-mm-dd"))</f>
        <v/>
      </c>
      <c r="G800" s="24" t="str">
        <f aca="false">IF($A800="","",DAY(Settings!$B$9))</f>
        <v/>
      </c>
      <c r="H800" s="26" t="str">
        <f aca="false">IF($A800="","",ROUND(Payroll!R800-Payroll!L800-Payroll!M800,2))</f>
        <v/>
      </c>
      <c r="I800" s="26" t="str">
        <f aca="false">IF($A800="","",ROUND(Payroll!L800+Payroll!M800,2))</f>
        <v/>
      </c>
      <c r="J800" s="24" t="str">
        <f aca="false">IF($A800="","",0)</f>
        <v/>
      </c>
    </row>
    <row r="801" customFormat="false" ht="15" hidden="false" customHeight="false" outlineLevel="0" collapsed="false">
      <c r="A801" s="24" t="str">
        <f aca="false">IF(AND(Payroll!$A801&lt;&gt;"",N(Payroll!$R801)&gt;0),"EDR","")</f>
        <v/>
      </c>
      <c r="B801" s="24" t="str">
        <f aca="false">IF($A801="","",Payroll!U801)</f>
        <v/>
      </c>
      <c r="C801" s="24" t="str">
        <f aca="false">IF($A801="","",Payroll!S801)</f>
        <v/>
      </c>
      <c r="D801" s="24" t="str">
        <f aca="false">IF($A801="","",SUBSTITUTE(Payroll!T801," ",""))</f>
        <v/>
      </c>
      <c r="E801" s="24" t="str">
        <f aca="false">IF($A801="","",TEXT(Settings!$B$8,"yyyy-mm-dd"))</f>
        <v/>
      </c>
      <c r="F801" s="24" t="str">
        <f aca="false">IF($A801="","",TEXT(Settings!$B$9,"yyyy-mm-dd"))</f>
        <v/>
      </c>
      <c r="G801" s="24" t="str">
        <f aca="false">IF($A801="","",DAY(Settings!$B$9))</f>
        <v/>
      </c>
      <c r="H801" s="26" t="str">
        <f aca="false">IF($A801="","",ROUND(Payroll!R801-Payroll!L801-Payroll!M801,2))</f>
        <v/>
      </c>
      <c r="I801" s="26" t="str">
        <f aca="false">IF($A801="","",ROUND(Payroll!L801+Payroll!M801,2))</f>
        <v/>
      </c>
      <c r="J801" s="24" t="str">
        <f aca="false">IF($A801="","",0)</f>
        <v/>
      </c>
    </row>
    <row r="802" customFormat="false" ht="15" hidden="false" customHeight="false" outlineLevel="0" collapsed="false">
      <c r="A802" s="24" t="str">
        <f aca="false">IF(AND(Payroll!$A802&lt;&gt;"",N(Payroll!$R802)&gt;0),"EDR","")</f>
        <v/>
      </c>
      <c r="B802" s="24" t="str">
        <f aca="false">IF($A802="","",Payroll!U802)</f>
        <v/>
      </c>
      <c r="C802" s="24" t="str">
        <f aca="false">IF($A802="","",Payroll!S802)</f>
        <v/>
      </c>
      <c r="D802" s="24" t="str">
        <f aca="false">IF($A802="","",SUBSTITUTE(Payroll!T802," ",""))</f>
        <v/>
      </c>
      <c r="E802" s="24" t="str">
        <f aca="false">IF($A802="","",TEXT(Settings!$B$8,"yyyy-mm-dd"))</f>
        <v/>
      </c>
      <c r="F802" s="24" t="str">
        <f aca="false">IF($A802="","",TEXT(Settings!$B$9,"yyyy-mm-dd"))</f>
        <v/>
      </c>
      <c r="G802" s="24" t="str">
        <f aca="false">IF($A802="","",DAY(Settings!$B$9))</f>
        <v/>
      </c>
      <c r="H802" s="26" t="str">
        <f aca="false">IF($A802="","",ROUND(Payroll!R802-Payroll!L802-Payroll!M802,2))</f>
        <v/>
      </c>
      <c r="I802" s="26" t="str">
        <f aca="false">IF($A802="","",ROUND(Payroll!L802+Payroll!M802,2))</f>
        <v/>
      </c>
      <c r="J802" s="24" t="str">
        <f aca="false">IF($A802="","",0)</f>
        <v/>
      </c>
    </row>
    <row r="803" customFormat="false" ht="15" hidden="false" customHeight="false" outlineLevel="0" collapsed="false">
      <c r="A803" s="24" t="str">
        <f aca="false">IF(AND(Payroll!$A803&lt;&gt;"",N(Payroll!$R803)&gt;0),"EDR","")</f>
        <v/>
      </c>
      <c r="B803" s="24" t="str">
        <f aca="false">IF($A803="","",Payroll!U803)</f>
        <v/>
      </c>
      <c r="C803" s="24" t="str">
        <f aca="false">IF($A803="","",Payroll!S803)</f>
        <v/>
      </c>
      <c r="D803" s="24" t="str">
        <f aca="false">IF($A803="","",SUBSTITUTE(Payroll!T803," ",""))</f>
        <v/>
      </c>
      <c r="E803" s="24" t="str">
        <f aca="false">IF($A803="","",TEXT(Settings!$B$8,"yyyy-mm-dd"))</f>
        <v/>
      </c>
      <c r="F803" s="24" t="str">
        <f aca="false">IF($A803="","",TEXT(Settings!$B$9,"yyyy-mm-dd"))</f>
        <v/>
      </c>
      <c r="G803" s="24" t="str">
        <f aca="false">IF($A803="","",DAY(Settings!$B$9))</f>
        <v/>
      </c>
      <c r="H803" s="26" t="str">
        <f aca="false">IF($A803="","",ROUND(Payroll!R803-Payroll!L803-Payroll!M803,2))</f>
        <v/>
      </c>
      <c r="I803" s="26" t="str">
        <f aca="false">IF($A803="","",ROUND(Payroll!L803+Payroll!M803,2))</f>
        <v/>
      </c>
      <c r="J803" s="24" t="str">
        <f aca="false">IF($A803="","",0)</f>
        <v/>
      </c>
    </row>
    <row r="804" customFormat="false" ht="15" hidden="false" customHeight="false" outlineLevel="0" collapsed="false">
      <c r="A804" s="24" t="str">
        <f aca="false">IF(AND(Payroll!$A804&lt;&gt;"",N(Payroll!$R804)&gt;0),"EDR","")</f>
        <v/>
      </c>
      <c r="B804" s="24" t="str">
        <f aca="false">IF($A804="","",Payroll!U804)</f>
        <v/>
      </c>
      <c r="C804" s="24" t="str">
        <f aca="false">IF($A804="","",Payroll!S804)</f>
        <v/>
      </c>
      <c r="D804" s="24" t="str">
        <f aca="false">IF($A804="","",SUBSTITUTE(Payroll!T804," ",""))</f>
        <v/>
      </c>
      <c r="E804" s="24" t="str">
        <f aca="false">IF($A804="","",TEXT(Settings!$B$8,"yyyy-mm-dd"))</f>
        <v/>
      </c>
      <c r="F804" s="24" t="str">
        <f aca="false">IF($A804="","",TEXT(Settings!$B$9,"yyyy-mm-dd"))</f>
        <v/>
      </c>
      <c r="G804" s="24" t="str">
        <f aca="false">IF($A804="","",DAY(Settings!$B$9))</f>
        <v/>
      </c>
      <c r="H804" s="26" t="str">
        <f aca="false">IF($A804="","",ROUND(Payroll!R804-Payroll!L804-Payroll!M804,2))</f>
        <v/>
      </c>
      <c r="I804" s="26" t="str">
        <f aca="false">IF($A804="","",ROUND(Payroll!L804+Payroll!M804,2))</f>
        <v/>
      </c>
      <c r="J804" s="24" t="str">
        <f aca="false">IF($A804="","",0)</f>
        <v/>
      </c>
    </row>
    <row r="805" customFormat="false" ht="15" hidden="false" customHeight="false" outlineLevel="0" collapsed="false">
      <c r="A805" s="24" t="str">
        <f aca="false">IF(AND(Payroll!$A805&lt;&gt;"",N(Payroll!$R805)&gt;0),"EDR","")</f>
        <v/>
      </c>
      <c r="B805" s="24" t="str">
        <f aca="false">IF($A805="","",Payroll!U805)</f>
        <v/>
      </c>
      <c r="C805" s="24" t="str">
        <f aca="false">IF($A805="","",Payroll!S805)</f>
        <v/>
      </c>
      <c r="D805" s="24" t="str">
        <f aca="false">IF($A805="","",SUBSTITUTE(Payroll!T805," ",""))</f>
        <v/>
      </c>
      <c r="E805" s="24" t="str">
        <f aca="false">IF($A805="","",TEXT(Settings!$B$8,"yyyy-mm-dd"))</f>
        <v/>
      </c>
      <c r="F805" s="24" t="str">
        <f aca="false">IF($A805="","",TEXT(Settings!$B$9,"yyyy-mm-dd"))</f>
        <v/>
      </c>
      <c r="G805" s="24" t="str">
        <f aca="false">IF($A805="","",DAY(Settings!$B$9))</f>
        <v/>
      </c>
      <c r="H805" s="26" t="str">
        <f aca="false">IF($A805="","",ROUND(Payroll!R805-Payroll!L805-Payroll!M805,2))</f>
        <v/>
      </c>
      <c r="I805" s="26" t="str">
        <f aca="false">IF($A805="","",ROUND(Payroll!L805+Payroll!M805,2))</f>
        <v/>
      </c>
      <c r="J805" s="24" t="str">
        <f aca="false">IF($A805="","",0)</f>
        <v/>
      </c>
    </row>
    <row r="806" customFormat="false" ht="15" hidden="false" customHeight="false" outlineLevel="0" collapsed="false">
      <c r="A806" s="24" t="str">
        <f aca="false">IF(AND(Payroll!$A806&lt;&gt;"",N(Payroll!$R806)&gt;0),"EDR","")</f>
        <v/>
      </c>
      <c r="B806" s="24" t="str">
        <f aca="false">IF($A806="","",Payroll!U806)</f>
        <v/>
      </c>
      <c r="C806" s="24" t="str">
        <f aca="false">IF($A806="","",Payroll!S806)</f>
        <v/>
      </c>
      <c r="D806" s="24" t="str">
        <f aca="false">IF($A806="","",SUBSTITUTE(Payroll!T806," ",""))</f>
        <v/>
      </c>
      <c r="E806" s="24" t="str">
        <f aca="false">IF($A806="","",TEXT(Settings!$B$8,"yyyy-mm-dd"))</f>
        <v/>
      </c>
      <c r="F806" s="24" t="str">
        <f aca="false">IF($A806="","",TEXT(Settings!$B$9,"yyyy-mm-dd"))</f>
        <v/>
      </c>
      <c r="G806" s="24" t="str">
        <f aca="false">IF($A806="","",DAY(Settings!$B$9))</f>
        <v/>
      </c>
      <c r="H806" s="26" t="str">
        <f aca="false">IF($A806="","",ROUND(Payroll!R806-Payroll!L806-Payroll!M806,2))</f>
        <v/>
      </c>
      <c r="I806" s="26" t="str">
        <f aca="false">IF($A806="","",ROUND(Payroll!L806+Payroll!M806,2))</f>
        <v/>
      </c>
      <c r="J806" s="24" t="str">
        <f aca="false">IF($A806="","",0)</f>
        <v/>
      </c>
    </row>
    <row r="807" customFormat="false" ht="15" hidden="false" customHeight="false" outlineLevel="0" collapsed="false">
      <c r="A807" s="24" t="str">
        <f aca="false">IF(AND(Payroll!$A807&lt;&gt;"",N(Payroll!$R807)&gt;0),"EDR","")</f>
        <v/>
      </c>
      <c r="B807" s="24" t="str">
        <f aca="false">IF($A807="","",Payroll!U807)</f>
        <v/>
      </c>
      <c r="C807" s="24" t="str">
        <f aca="false">IF($A807="","",Payroll!S807)</f>
        <v/>
      </c>
      <c r="D807" s="24" t="str">
        <f aca="false">IF($A807="","",SUBSTITUTE(Payroll!T807," ",""))</f>
        <v/>
      </c>
      <c r="E807" s="24" t="str">
        <f aca="false">IF($A807="","",TEXT(Settings!$B$8,"yyyy-mm-dd"))</f>
        <v/>
      </c>
      <c r="F807" s="24" t="str">
        <f aca="false">IF($A807="","",TEXT(Settings!$B$9,"yyyy-mm-dd"))</f>
        <v/>
      </c>
      <c r="G807" s="24" t="str">
        <f aca="false">IF($A807="","",DAY(Settings!$B$9))</f>
        <v/>
      </c>
      <c r="H807" s="26" t="str">
        <f aca="false">IF($A807="","",ROUND(Payroll!R807-Payroll!L807-Payroll!M807,2))</f>
        <v/>
      </c>
      <c r="I807" s="26" t="str">
        <f aca="false">IF($A807="","",ROUND(Payroll!L807+Payroll!M807,2))</f>
        <v/>
      </c>
      <c r="J807" s="24" t="str">
        <f aca="false">IF($A807="","",0)</f>
        <v/>
      </c>
    </row>
    <row r="808" customFormat="false" ht="15" hidden="false" customHeight="false" outlineLevel="0" collapsed="false">
      <c r="A808" s="24" t="str">
        <f aca="false">IF(AND(Payroll!$A808&lt;&gt;"",N(Payroll!$R808)&gt;0),"EDR","")</f>
        <v/>
      </c>
      <c r="B808" s="24" t="str">
        <f aca="false">IF($A808="","",Payroll!U808)</f>
        <v/>
      </c>
      <c r="C808" s="24" t="str">
        <f aca="false">IF($A808="","",Payroll!S808)</f>
        <v/>
      </c>
      <c r="D808" s="24" t="str">
        <f aca="false">IF($A808="","",SUBSTITUTE(Payroll!T808," ",""))</f>
        <v/>
      </c>
      <c r="E808" s="24" t="str">
        <f aca="false">IF($A808="","",TEXT(Settings!$B$8,"yyyy-mm-dd"))</f>
        <v/>
      </c>
      <c r="F808" s="24" t="str">
        <f aca="false">IF($A808="","",TEXT(Settings!$B$9,"yyyy-mm-dd"))</f>
        <v/>
      </c>
      <c r="G808" s="24" t="str">
        <f aca="false">IF($A808="","",DAY(Settings!$B$9))</f>
        <v/>
      </c>
      <c r="H808" s="26" t="str">
        <f aca="false">IF($A808="","",ROUND(Payroll!R808-Payroll!L808-Payroll!M808,2))</f>
        <v/>
      </c>
      <c r="I808" s="26" t="str">
        <f aca="false">IF($A808="","",ROUND(Payroll!L808+Payroll!M808,2))</f>
        <v/>
      </c>
      <c r="J808" s="24" t="str">
        <f aca="false">IF($A808="","",0)</f>
        <v/>
      </c>
    </row>
    <row r="809" customFormat="false" ht="15" hidden="false" customHeight="false" outlineLevel="0" collapsed="false">
      <c r="A809" s="24" t="str">
        <f aca="false">IF(AND(Payroll!$A809&lt;&gt;"",N(Payroll!$R809)&gt;0),"EDR","")</f>
        <v/>
      </c>
      <c r="B809" s="24" t="str">
        <f aca="false">IF($A809="","",Payroll!U809)</f>
        <v/>
      </c>
      <c r="C809" s="24" t="str">
        <f aca="false">IF($A809="","",Payroll!S809)</f>
        <v/>
      </c>
      <c r="D809" s="24" t="str">
        <f aca="false">IF($A809="","",SUBSTITUTE(Payroll!T809," ",""))</f>
        <v/>
      </c>
      <c r="E809" s="24" t="str">
        <f aca="false">IF($A809="","",TEXT(Settings!$B$8,"yyyy-mm-dd"))</f>
        <v/>
      </c>
      <c r="F809" s="24" t="str">
        <f aca="false">IF($A809="","",TEXT(Settings!$B$9,"yyyy-mm-dd"))</f>
        <v/>
      </c>
      <c r="G809" s="24" t="str">
        <f aca="false">IF($A809="","",DAY(Settings!$B$9))</f>
        <v/>
      </c>
      <c r="H809" s="26" t="str">
        <f aca="false">IF($A809="","",ROUND(Payroll!R809-Payroll!L809-Payroll!M809,2))</f>
        <v/>
      </c>
      <c r="I809" s="26" t="str">
        <f aca="false">IF($A809="","",ROUND(Payroll!L809+Payroll!M809,2))</f>
        <v/>
      </c>
      <c r="J809" s="24" t="str">
        <f aca="false">IF($A809="","",0)</f>
        <v/>
      </c>
    </row>
    <row r="810" customFormat="false" ht="15" hidden="false" customHeight="false" outlineLevel="0" collapsed="false">
      <c r="A810" s="24" t="str">
        <f aca="false">IF(AND(Payroll!$A810&lt;&gt;"",N(Payroll!$R810)&gt;0),"EDR","")</f>
        <v/>
      </c>
      <c r="B810" s="24" t="str">
        <f aca="false">IF($A810="","",Payroll!U810)</f>
        <v/>
      </c>
      <c r="C810" s="24" t="str">
        <f aca="false">IF($A810="","",Payroll!S810)</f>
        <v/>
      </c>
      <c r="D810" s="24" t="str">
        <f aca="false">IF($A810="","",SUBSTITUTE(Payroll!T810," ",""))</f>
        <v/>
      </c>
      <c r="E810" s="24" t="str">
        <f aca="false">IF($A810="","",TEXT(Settings!$B$8,"yyyy-mm-dd"))</f>
        <v/>
      </c>
      <c r="F810" s="24" t="str">
        <f aca="false">IF($A810="","",TEXT(Settings!$B$9,"yyyy-mm-dd"))</f>
        <v/>
      </c>
      <c r="G810" s="24" t="str">
        <f aca="false">IF($A810="","",DAY(Settings!$B$9))</f>
        <v/>
      </c>
      <c r="H810" s="26" t="str">
        <f aca="false">IF($A810="","",ROUND(Payroll!R810-Payroll!L810-Payroll!M810,2))</f>
        <v/>
      </c>
      <c r="I810" s="26" t="str">
        <f aca="false">IF($A810="","",ROUND(Payroll!L810+Payroll!M810,2))</f>
        <v/>
      </c>
      <c r="J810" s="24" t="str">
        <f aca="false">IF($A810="","",0)</f>
        <v/>
      </c>
    </row>
    <row r="811" customFormat="false" ht="15" hidden="false" customHeight="false" outlineLevel="0" collapsed="false">
      <c r="A811" s="24" t="str">
        <f aca="false">IF(AND(Payroll!$A811&lt;&gt;"",N(Payroll!$R811)&gt;0),"EDR","")</f>
        <v/>
      </c>
      <c r="B811" s="24" t="str">
        <f aca="false">IF($A811="","",Payroll!U811)</f>
        <v/>
      </c>
      <c r="C811" s="24" t="str">
        <f aca="false">IF($A811="","",Payroll!S811)</f>
        <v/>
      </c>
      <c r="D811" s="24" t="str">
        <f aca="false">IF($A811="","",SUBSTITUTE(Payroll!T811," ",""))</f>
        <v/>
      </c>
      <c r="E811" s="24" t="str">
        <f aca="false">IF($A811="","",TEXT(Settings!$B$8,"yyyy-mm-dd"))</f>
        <v/>
      </c>
      <c r="F811" s="24" t="str">
        <f aca="false">IF($A811="","",TEXT(Settings!$B$9,"yyyy-mm-dd"))</f>
        <v/>
      </c>
      <c r="G811" s="24" t="str">
        <f aca="false">IF($A811="","",DAY(Settings!$B$9))</f>
        <v/>
      </c>
      <c r="H811" s="26" t="str">
        <f aca="false">IF($A811="","",ROUND(Payroll!R811-Payroll!L811-Payroll!M811,2))</f>
        <v/>
      </c>
      <c r="I811" s="26" t="str">
        <f aca="false">IF($A811="","",ROUND(Payroll!L811+Payroll!M811,2))</f>
        <v/>
      </c>
      <c r="J811" s="24" t="str">
        <f aca="false">IF($A811="","",0)</f>
        <v/>
      </c>
    </row>
    <row r="812" customFormat="false" ht="15" hidden="false" customHeight="false" outlineLevel="0" collapsed="false">
      <c r="A812" s="24" t="str">
        <f aca="false">IF(AND(Payroll!$A812&lt;&gt;"",N(Payroll!$R812)&gt;0),"EDR","")</f>
        <v/>
      </c>
      <c r="B812" s="24" t="str">
        <f aca="false">IF($A812="","",Payroll!U812)</f>
        <v/>
      </c>
      <c r="C812" s="24" t="str">
        <f aca="false">IF($A812="","",Payroll!S812)</f>
        <v/>
      </c>
      <c r="D812" s="24" t="str">
        <f aca="false">IF($A812="","",SUBSTITUTE(Payroll!T812," ",""))</f>
        <v/>
      </c>
      <c r="E812" s="24" t="str">
        <f aca="false">IF($A812="","",TEXT(Settings!$B$8,"yyyy-mm-dd"))</f>
        <v/>
      </c>
      <c r="F812" s="24" t="str">
        <f aca="false">IF($A812="","",TEXT(Settings!$B$9,"yyyy-mm-dd"))</f>
        <v/>
      </c>
      <c r="G812" s="24" t="str">
        <f aca="false">IF($A812="","",DAY(Settings!$B$9))</f>
        <v/>
      </c>
      <c r="H812" s="26" t="str">
        <f aca="false">IF($A812="","",ROUND(Payroll!R812-Payroll!L812-Payroll!M812,2))</f>
        <v/>
      </c>
      <c r="I812" s="26" t="str">
        <f aca="false">IF($A812="","",ROUND(Payroll!L812+Payroll!M812,2))</f>
        <v/>
      </c>
      <c r="J812" s="24" t="str">
        <f aca="false">IF($A812="","",0)</f>
        <v/>
      </c>
    </row>
    <row r="813" customFormat="false" ht="15" hidden="false" customHeight="false" outlineLevel="0" collapsed="false">
      <c r="A813" s="24" t="str">
        <f aca="false">IF(AND(Payroll!$A813&lt;&gt;"",N(Payroll!$R813)&gt;0),"EDR","")</f>
        <v/>
      </c>
      <c r="B813" s="24" t="str">
        <f aca="false">IF($A813="","",Payroll!U813)</f>
        <v/>
      </c>
      <c r="C813" s="24" t="str">
        <f aca="false">IF($A813="","",Payroll!S813)</f>
        <v/>
      </c>
      <c r="D813" s="24" t="str">
        <f aca="false">IF($A813="","",SUBSTITUTE(Payroll!T813," ",""))</f>
        <v/>
      </c>
      <c r="E813" s="24" t="str">
        <f aca="false">IF($A813="","",TEXT(Settings!$B$8,"yyyy-mm-dd"))</f>
        <v/>
      </c>
      <c r="F813" s="24" t="str">
        <f aca="false">IF($A813="","",TEXT(Settings!$B$9,"yyyy-mm-dd"))</f>
        <v/>
      </c>
      <c r="G813" s="24" t="str">
        <f aca="false">IF($A813="","",DAY(Settings!$B$9))</f>
        <v/>
      </c>
      <c r="H813" s="26" t="str">
        <f aca="false">IF($A813="","",ROUND(Payroll!R813-Payroll!L813-Payroll!M813,2))</f>
        <v/>
      </c>
      <c r="I813" s="26" t="str">
        <f aca="false">IF($A813="","",ROUND(Payroll!L813+Payroll!M813,2))</f>
        <v/>
      </c>
      <c r="J813" s="24" t="str">
        <f aca="false">IF($A813="","",0)</f>
        <v/>
      </c>
    </row>
    <row r="814" customFormat="false" ht="15" hidden="false" customHeight="false" outlineLevel="0" collapsed="false">
      <c r="A814" s="24" t="str">
        <f aca="false">IF(AND(Payroll!$A814&lt;&gt;"",N(Payroll!$R814)&gt;0),"EDR","")</f>
        <v/>
      </c>
      <c r="B814" s="24" t="str">
        <f aca="false">IF($A814="","",Payroll!U814)</f>
        <v/>
      </c>
      <c r="C814" s="24" t="str">
        <f aca="false">IF($A814="","",Payroll!S814)</f>
        <v/>
      </c>
      <c r="D814" s="24" t="str">
        <f aca="false">IF($A814="","",SUBSTITUTE(Payroll!T814," ",""))</f>
        <v/>
      </c>
      <c r="E814" s="24" t="str">
        <f aca="false">IF($A814="","",TEXT(Settings!$B$8,"yyyy-mm-dd"))</f>
        <v/>
      </c>
      <c r="F814" s="24" t="str">
        <f aca="false">IF($A814="","",TEXT(Settings!$B$9,"yyyy-mm-dd"))</f>
        <v/>
      </c>
      <c r="G814" s="24" t="str">
        <f aca="false">IF($A814="","",DAY(Settings!$B$9))</f>
        <v/>
      </c>
      <c r="H814" s="26" t="str">
        <f aca="false">IF($A814="","",ROUND(Payroll!R814-Payroll!L814-Payroll!M814,2))</f>
        <v/>
      </c>
      <c r="I814" s="26" t="str">
        <f aca="false">IF($A814="","",ROUND(Payroll!L814+Payroll!M814,2))</f>
        <v/>
      </c>
      <c r="J814" s="24" t="str">
        <f aca="false">IF($A814="","",0)</f>
        <v/>
      </c>
    </row>
    <row r="815" customFormat="false" ht="15" hidden="false" customHeight="false" outlineLevel="0" collapsed="false">
      <c r="A815" s="24" t="str">
        <f aca="false">IF(AND(Payroll!$A815&lt;&gt;"",N(Payroll!$R815)&gt;0),"EDR","")</f>
        <v/>
      </c>
      <c r="B815" s="24" t="str">
        <f aca="false">IF($A815="","",Payroll!U815)</f>
        <v/>
      </c>
      <c r="C815" s="24" t="str">
        <f aca="false">IF($A815="","",Payroll!S815)</f>
        <v/>
      </c>
      <c r="D815" s="24" t="str">
        <f aca="false">IF($A815="","",SUBSTITUTE(Payroll!T815," ",""))</f>
        <v/>
      </c>
      <c r="E815" s="24" t="str">
        <f aca="false">IF($A815="","",TEXT(Settings!$B$8,"yyyy-mm-dd"))</f>
        <v/>
      </c>
      <c r="F815" s="24" t="str">
        <f aca="false">IF($A815="","",TEXT(Settings!$B$9,"yyyy-mm-dd"))</f>
        <v/>
      </c>
      <c r="G815" s="24" t="str">
        <f aca="false">IF($A815="","",DAY(Settings!$B$9))</f>
        <v/>
      </c>
      <c r="H815" s="26" t="str">
        <f aca="false">IF($A815="","",ROUND(Payroll!R815-Payroll!L815-Payroll!M815,2))</f>
        <v/>
      </c>
      <c r="I815" s="26" t="str">
        <f aca="false">IF($A815="","",ROUND(Payroll!L815+Payroll!M815,2))</f>
        <v/>
      </c>
      <c r="J815" s="24" t="str">
        <f aca="false">IF($A815="","",0)</f>
        <v/>
      </c>
    </row>
    <row r="816" customFormat="false" ht="15" hidden="false" customHeight="false" outlineLevel="0" collapsed="false">
      <c r="A816" s="24" t="str">
        <f aca="false">IF(AND(Payroll!$A816&lt;&gt;"",N(Payroll!$R816)&gt;0),"EDR","")</f>
        <v/>
      </c>
      <c r="B816" s="24" t="str">
        <f aca="false">IF($A816="","",Payroll!U816)</f>
        <v/>
      </c>
      <c r="C816" s="24" t="str">
        <f aca="false">IF($A816="","",Payroll!S816)</f>
        <v/>
      </c>
      <c r="D816" s="24" t="str">
        <f aca="false">IF($A816="","",SUBSTITUTE(Payroll!T816," ",""))</f>
        <v/>
      </c>
      <c r="E816" s="24" t="str">
        <f aca="false">IF($A816="","",TEXT(Settings!$B$8,"yyyy-mm-dd"))</f>
        <v/>
      </c>
      <c r="F816" s="24" t="str">
        <f aca="false">IF($A816="","",TEXT(Settings!$B$9,"yyyy-mm-dd"))</f>
        <v/>
      </c>
      <c r="G816" s="24" t="str">
        <f aca="false">IF($A816="","",DAY(Settings!$B$9))</f>
        <v/>
      </c>
      <c r="H816" s="26" t="str">
        <f aca="false">IF($A816="","",ROUND(Payroll!R816-Payroll!L816-Payroll!M816,2))</f>
        <v/>
      </c>
      <c r="I816" s="26" t="str">
        <f aca="false">IF($A816="","",ROUND(Payroll!L816+Payroll!M816,2))</f>
        <v/>
      </c>
      <c r="J816" s="24" t="str">
        <f aca="false">IF($A816="","",0)</f>
        <v/>
      </c>
    </row>
    <row r="817" customFormat="false" ht="15" hidden="false" customHeight="false" outlineLevel="0" collapsed="false">
      <c r="A817" s="24" t="str">
        <f aca="false">IF(AND(Payroll!$A817&lt;&gt;"",N(Payroll!$R817)&gt;0),"EDR","")</f>
        <v/>
      </c>
      <c r="B817" s="24" t="str">
        <f aca="false">IF($A817="","",Payroll!U817)</f>
        <v/>
      </c>
      <c r="C817" s="24" t="str">
        <f aca="false">IF($A817="","",Payroll!S817)</f>
        <v/>
      </c>
      <c r="D817" s="24" t="str">
        <f aca="false">IF($A817="","",SUBSTITUTE(Payroll!T817," ",""))</f>
        <v/>
      </c>
      <c r="E817" s="24" t="str">
        <f aca="false">IF($A817="","",TEXT(Settings!$B$8,"yyyy-mm-dd"))</f>
        <v/>
      </c>
      <c r="F817" s="24" t="str">
        <f aca="false">IF($A817="","",TEXT(Settings!$B$9,"yyyy-mm-dd"))</f>
        <v/>
      </c>
      <c r="G817" s="24" t="str">
        <f aca="false">IF($A817="","",DAY(Settings!$B$9))</f>
        <v/>
      </c>
      <c r="H817" s="26" t="str">
        <f aca="false">IF($A817="","",ROUND(Payroll!R817-Payroll!L817-Payroll!M817,2))</f>
        <v/>
      </c>
      <c r="I817" s="26" t="str">
        <f aca="false">IF($A817="","",ROUND(Payroll!L817+Payroll!M817,2))</f>
        <v/>
      </c>
      <c r="J817" s="24" t="str">
        <f aca="false">IF($A817="","",0)</f>
        <v/>
      </c>
    </row>
    <row r="818" customFormat="false" ht="15" hidden="false" customHeight="false" outlineLevel="0" collapsed="false">
      <c r="A818" s="24" t="str">
        <f aca="false">IF(AND(Payroll!$A818&lt;&gt;"",N(Payroll!$R818)&gt;0),"EDR","")</f>
        <v/>
      </c>
      <c r="B818" s="24" t="str">
        <f aca="false">IF($A818="","",Payroll!U818)</f>
        <v/>
      </c>
      <c r="C818" s="24" t="str">
        <f aca="false">IF($A818="","",Payroll!S818)</f>
        <v/>
      </c>
      <c r="D818" s="24" t="str">
        <f aca="false">IF($A818="","",SUBSTITUTE(Payroll!T818," ",""))</f>
        <v/>
      </c>
      <c r="E818" s="24" t="str">
        <f aca="false">IF($A818="","",TEXT(Settings!$B$8,"yyyy-mm-dd"))</f>
        <v/>
      </c>
      <c r="F818" s="24" t="str">
        <f aca="false">IF($A818="","",TEXT(Settings!$B$9,"yyyy-mm-dd"))</f>
        <v/>
      </c>
      <c r="G818" s="24" t="str">
        <f aca="false">IF($A818="","",DAY(Settings!$B$9))</f>
        <v/>
      </c>
      <c r="H818" s="26" t="str">
        <f aca="false">IF($A818="","",ROUND(Payroll!R818-Payroll!L818-Payroll!M818,2))</f>
        <v/>
      </c>
      <c r="I818" s="26" t="str">
        <f aca="false">IF($A818="","",ROUND(Payroll!L818+Payroll!M818,2))</f>
        <v/>
      </c>
      <c r="J818" s="24" t="str">
        <f aca="false">IF($A818="","",0)</f>
        <v/>
      </c>
    </row>
    <row r="819" customFormat="false" ht="15" hidden="false" customHeight="false" outlineLevel="0" collapsed="false">
      <c r="A819" s="24" t="str">
        <f aca="false">IF(AND(Payroll!$A819&lt;&gt;"",N(Payroll!$R819)&gt;0),"EDR","")</f>
        <v/>
      </c>
      <c r="B819" s="24" t="str">
        <f aca="false">IF($A819="","",Payroll!U819)</f>
        <v/>
      </c>
      <c r="C819" s="24" t="str">
        <f aca="false">IF($A819="","",Payroll!S819)</f>
        <v/>
      </c>
      <c r="D819" s="24" t="str">
        <f aca="false">IF($A819="","",SUBSTITUTE(Payroll!T819," ",""))</f>
        <v/>
      </c>
      <c r="E819" s="24" t="str">
        <f aca="false">IF($A819="","",TEXT(Settings!$B$8,"yyyy-mm-dd"))</f>
        <v/>
      </c>
      <c r="F819" s="24" t="str">
        <f aca="false">IF($A819="","",TEXT(Settings!$B$9,"yyyy-mm-dd"))</f>
        <v/>
      </c>
      <c r="G819" s="24" t="str">
        <f aca="false">IF($A819="","",DAY(Settings!$B$9))</f>
        <v/>
      </c>
      <c r="H819" s="26" t="str">
        <f aca="false">IF($A819="","",ROUND(Payroll!R819-Payroll!L819-Payroll!M819,2))</f>
        <v/>
      </c>
      <c r="I819" s="26" t="str">
        <f aca="false">IF($A819="","",ROUND(Payroll!L819+Payroll!M819,2))</f>
        <v/>
      </c>
      <c r="J819" s="24" t="str">
        <f aca="false">IF($A819="","",0)</f>
        <v/>
      </c>
    </row>
    <row r="820" customFormat="false" ht="15" hidden="false" customHeight="false" outlineLevel="0" collapsed="false">
      <c r="A820" s="24" t="str">
        <f aca="false">IF(AND(Payroll!$A820&lt;&gt;"",N(Payroll!$R820)&gt;0),"EDR","")</f>
        <v/>
      </c>
      <c r="B820" s="24" t="str">
        <f aca="false">IF($A820="","",Payroll!U820)</f>
        <v/>
      </c>
      <c r="C820" s="24" t="str">
        <f aca="false">IF($A820="","",Payroll!S820)</f>
        <v/>
      </c>
      <c r="D820" s="24" t="str">
        <f aca="false">IF($A820="","",SUBSTITUTE(Payroll!T820," ",""))</f>
        <v/>
      </c>
      <c r="E820" s="24" t="str">
        <f aca="false">IF($A820="","",TEXT(Settings!$B$8,"yyyy-mm-dd"))</f>
        <v/>
      </c>
      <c r="F820" s="24" t="str">
        <f aca="false">IF($A820="","",TEXT(Settings!$B$9,"yyyy-mm-dd"))</f>
        <v/>
      </c>
      <c r="G820" s="24" t="str">
        <f aca="false">IF($A820="","",DAY(Settings!$B$9))</f>
        <v/>
      </c>
      <c r="H820" s="26" t="str">
        <f aca="false">IF($A820="","",ROUND(Payroll!R820-Payroll!L820-Payroll!M820,2))</f>
        <v/>
      </c>
      <c r="I820" s="26" t="str">
        <f aca="false">IF($A820="","",ROUND(Payroll!L820+Payroll!M820,2))</f>
        <v/>
      </c>
      <c r="J820" s="24" t="str">
        <f aca="false">IF($A820="","",0)</f>
        <v/>
      </c>
    </row>
    <row r="821" customFormat="false" ht="15" hidden="false" customHeight="false" outlineLevel="0" collapsed="false">
      <c r="A821" s="24" t="str">
        <f aca="false">IF(AND(Payroll!$A821&lt;&gt;"",N(Payroll!$R821)&gt;0),"EDR","")</f>
        <v/>
      </c>
      <c r="B821" s="24" t="str">
        <f aca="false">IF($A821="","",Payroll!U821)</f>
        <v/>
      </c>
      <c r="C821" s="24" t="str">
        <f aca="false">IF($A821="","",Payroll!S821)</f>
        <v/>
      </c>
      <c r="D821" s="24" t="str">
        <f aca="false">IF($A821="","",SUBSTITUTE(Payroll!T821," ",""))</f>
        <v/>
      </c>
      <c r="E821" s="24" t="str">
        <f aca="false">IF($A821="","",TEXT(Settings!$B$8,"yyyy-mm-dd"))</f>
        <v/>
      </c>
      <c r="F821" s="24" t="str">
        <f aca="false">IF($A821="","",TEXT(Settings!$B$9,"yyyy-mm-dd"))</f>
        <v/>
      </c>
      <c r="G821" s="24" t="str">
        <f aca="false">IF($A821="","",DAY(Settings!$B$9))</f>
        <v/>
      </c>
      <c r="H821" s="26" t="str">
        <f aca="false">IF($A821="","",ROUND(Payroll!R821-Payroll!L821-Payroll!M821,2))</f>
        <v/>
      </c>
      <c r="I821" s="26" t="str">
        <f aca="false">IF($A821="","",ROUND(Payroll!L821+Payroll!M821,2))</f>
        <v/>
      </c>
      <c r="J821" s="24" t="str">
        <f aca="false">IF($A821="","",0)</f>
        <v/>
      </c>
    </row>
    <row r="822" customFormat="false" ht="15" hidden="false" customHeight="false" outlineLevel="0" collapsed="false">
      <c r="A822" s="24" t="str">
        <f aca="false">IF(AND(Payroll!$A822&lt;&gt;"",N(Payroll!$R822)&gt;0),"EDR","")</f>
        <v/>
      </c>
      <c r="B822" s="24" t="str">
        <f aca="false">IF($A822="","",Payroll!U822)</f>
        <v/>
      </c>
      <c r="C822" s="24" t="str">
        <f aca="false">IF($A822="","",Payroll!S822)</f>
        <v/>
      </c>
      <c r="D822" s="24" t="str">
        <f aca="false">IF($A822="","",SUBSTITUTE(Payroll!T822," ",""))</f>
        <v/>
      </c>
      <c r="E822" s="24" t="str">
        <f aca="false">IF($A822="","",TEXT(Settings!$B$8,"yyyy-mm-dd"))</f>
        <v/>
      </c>
      <c r="F822" s="24" t="str">
        <f aca="false">IF($A822="","",TEXT(Settings!$B$9,"yyyy-mm-dd"))</f>
        <v/>
      </c>
      <c r="G822" s="24" t="str">
        <f aca="false">IF($A822="","",DAY(Settings!$B$9))</f>
        <v/>
      </c>
      <c r="H822" s="26" t="str">
        <f aca="false">IF($A822="","",ROUND(Payroll!R822-Payroll!L822-Payroll!M822,2))</f>
        <v/>
      </c>
      <c r="I822" s="26" t="str">
        <f aca="false">IF($A822="","",ROUND(Payroll!L822+Payroll!M822,2))</f>
        <v/>
      </c>
      <c r="J822" s="24" t="str">
        <f aca="false">IF($A822="","",0)</f>
        <v/>
      </c>
    </row>
    <row r="823" customFormat="false" ht="15" hidden="false" customHeight="false" outlineLevel="0" collapsed="false">
      <c r="A823" s="24" t="str">
        <f aca="false">IF(AND(Payroll!$A823&lt;&gt;"",N(Payroll!$R823)&gt;0),"EDR","")</f>
        <v/>
      </c>
      <c r="B823" s="24" t="str">
        <f aca="false">IF($A823="","",Payroll!U823)</f>
        <v/>
      </c>
      <c r="C823" s="24" t="str">
        <f aca="false">IF($A823="","",Payroll!S823)</f>
        <v/>
      </c>
      <c r="D823" s="24" t="str">
        <f aca="false">IF($A823="","",SUBSTITUTE(Payroll!T823," ",""))</f>
        <v/>
      </c>
      <c r="E823" s="24" t="str">
        <f aca="false">IF($A823="","",TEXT(Settings!$B$8,"yyyy-mm-dd"))</f>
        <v/>
      </c>
      <c r="F823" s="24" t="str">
        <f aca="false">IF($A823="","",TEXT(Settings!$B$9,"yyyy-mm-dd"))</f>
        <v/>
      </c>
      <c r="G823" s="24" t="str">
        <f aca="false">IF($A823="","",DAY(Settings!$B$9))</f>
        <v/>
      </c>
      <c r="H823" s="26" t="str">
        <f aca="false">IF($A823="","",ROUND(Payroll!R823-Payroll!L823-Payroll!M823,2))</f>
        <v/>
      </c>
      <c r="I823" s="26" t="str">
        <f aca="false">IF($A823="","",ROUND(Payroll!L823+Payroll!M823,2))</f>
        <v/>
      </c>
      <c r="J823" s="24" t="str">
        <f aca="false">IF($A823="","",0)</f>
        <v/>
      </c>
    </row>
    <row r="824" customFormat="false" ht="15" hidden="false" customHeight="false" outlineLevel="0" collapsed="false">
      <c r="A824" s="24" t="str">
        <f aca="false">IF(AND(Payroll!$A824&lt;&gt;"",N(Payroll!$R824)&gt;0),"EDR","")</f>
        <v/>
      </c>
      <c r="B824" s="24" t="str">
        <f aca="false">IF($A824="","",Payroll!U824)</f>
        <v/>
      </c>
      <c r="C824" s="24" t="str">
        <f aca="false">IF($A824="","",Payroll!S824)</f>
        <v/>
      </c>
      <c r="D824" s="24" t="str">
        <f aca="false">IF($A824="","",SUBSTITUTE(Payroll!T824," ",""))</f>
        <v/>
      </c>
      <c r="E824" s="24" t="str">
        <f aca="false">IF($A824="","",TEXT(Settings!$B$8,"yyyy-mm-dd"))</f>
        <v/>
      </c>
      <c r="F824" s="24" t="str">
        <f aca="false">IF($A824="","",TEXT(Settings!$B$9,"yyyy-mm-dd"))</f>
        <v/>
      </c>
      <c r="G824" s="24" t="str">
        <f aca="false">IF($A824="","",DAY(Settings!$B$9))</f>
        <v/>
      </c>
      <c r="H824" s="26" t="str">
        <f aca="false">IF($A824="","",ROUND(Payroll!R824-Payroll!L824-Payroll!M824,2))</f>
        <v/>
      </c>
      <c r="I824" s="26" t="str">
        <f aca="false">IF($A824="","",ROUND(Payroll!L824+Payroll!M824,2))</f>
        <v/>
      </c>
      <c r="J824" s="24" t="str">
        <f aca="false">IF($A824="","",0)</f>
        <v/>
      </c>
    </row>
    <row r="825" customFormat="false" ht="15" hidden="false" customHeight="false" outlineLevel="0" collapsed="false">
      <c r="A825" s="24" t="str">
        <f aca="false">IF(AND(Payroll!$A825&lt;&gt;"",N(Payroll!$R825)&gt;0),"EDR","")</f>
        <v/>
      </c>
      <c r="B825" s="24" t="str">
        <f aca="false">IF($A825="","",Payroll!U825)</f>
        <v/>
      </c>
      <c r="C825" s="24" t="str">
        <f aca="false">IF($A825="","",Payroll!S825)</f>
        <v/>
      </c>
      <c r="D825" s="24" t="str">
        <f aca="false">IF($A825="","",SUBSTITUTE(Payroll!T825," ",""))</f>
        <v/>
      </c>
      <c r="E825" s="24" t="str">
        <f aca="false">IF($A825="","",TEXT(Settings!$B$8,"yyyy-mm-dd"))</f>
        <v/>
      </c>
      <c r="F825" s="24" t="str">
        <f aca="false">IF($A825="","",TEXT(Settings!$B$9,"yyyy-mm-dd"))</f>
        <v/>
      </c>
      <c r="G825" s="24" t="str">
        <f aca="false">IF($A825="","",DAY(Settings!$B$9))</f>
        <v/>
      </c>
      <c r="H825" s="26" t="str">
        <f aca="false">IF($A825="","",ROUND(Payroll!R825-Payroll!L825-Payroll!M825,2))</f>
        <v/>
      </c>
      <c r="I825" s="26" t="str">
        <f aca="false">IF($A825="","",ROUND(Payroll!L825+Payroll!M825,2))</f>
        <v/>
      </c>
      <c r="J825" s="24" t="str">
        <f aca="false">IF($A825="","",0)</f>
        <v/>
      </c>
    </row>
    <row r="826" customFormat="false" ht="15" hidden="false" customHeight="false" outlineLevel="0" collapsed="false">
      <c r="A826" s="24" t="str">
        <f aca="false">IF(AND(Payroll!$A826&lt;&gt;"",N(Payroll!$R826)&gt;0),"EDR","")</f>
        <v/>
      </c>
      <c r="B826" s="24" t="str">
        <f aca="false">IF($A826="","",Payroll!U826)</f>
        <v/>
      </c>
      <c r="C826" s="24" t="str">
        <f aca="false">IF($A826="","",Payroll!S826)</f>
        <v/>
      </c>
      <c r="D826" s="24" t="str">
        <f aca="false">IF($A826="","",SUBSTITUTE(Payroll!T826," ",""))</f>
        <v/>
      </c>
      <c r="E826" s="24" t="str">
        <f aca="false">IF($A826="","",TEXT(Settings!$B$8,"yyyy-mm-dd"))</f>
        <v/>
      </c>
      <c r="F826" s="24" t="str">
        <f aca="false">IF($A826="","",TEXT(Settings!$B$9,"yyyy-mm-dd"))</f>
        <v/>
      </c>
      <c r="G826" s="24" t="str">
        <f aca="false">IF($A826="","",DAY(Settings!$B$9))</f>
        <v/>
      </c>
      <c r="H826" s="26" t="str">
        <f aca="false">IF($A826="","",ROUND(Payroll!R826-Payroll!L826-Payroll!M826,2))</f>
        <v/>
      </c>
      <c r="I826" s="26" t="str">
        <f aca="false">IF($A826="","",ROUND(Payroll!L826+Payroll!M826,2))</f>
        <v/>
      </c>
      <c r="J826" s="24" t="str">
        <f aca="false">IF($A826="","",0)</f>
        <v/>
      </c>
    </row>
    <row r="827" customFormat="false" ht="15" hidden="false" customHeight="false" outlineLevel="0" collapsed="false">
      <c r="A827" s="24" t="str">
        <f aca="false">IF(AND(Payroll!$A827&lt;&gt;"",N(Payroll!$R827)&gt;0),"EDR","")</f>
        <v/>
      </c>
      <c r="B827" s="24" t="str">
        <f aca="false">IF($A827="","",Payroll!U827)</f>
        <v/>
      </c>
      <c r="C827" s="24" t="str">
        <f aca="false">IF($A827="","",Payroll!S827)</f>
        <v/>
      </c>
      <c r="D827" s="24" t="str">
        <f aca="false">IF($A827="","",SUBSTITUTE(Payroll!T827," ",""))</f>
        <v/>
      </c>
      <c r="E827" s="24" t="str">
        <f aca="false">IF($A827="","",TEXT(Settings!$B$8,"yyyy-mm-dd"))</f>
        <v/>
      </c>
      <c r="F827" s="24" t="str">
        <f aca="false">IF($A827="","",TEXT(Settings!$B$9,"yyyy-mm-dd"))</f>
        <v/>
      </c>
      <c r="G827" s="24" t="str">
        <f aca="false">IF($A827="","",DAY(Settings!$B$9))</f>
        <v/>
      </c>
      <c r="H827" s="26" t="str">
        <f aca="false">IF($A827="","",ROUND(Payroll!R827-Payroll!L827-Payroll!M827,2))</f>
        <v/>
      </c>
      <c r="I827" s="26" t="str">
        <f aca="false">IF($A827="","",ROUND(Payroll!L827+Payroll!M827,2))</f>
        <v/>
      </c>
      <c r="J827" s="24" t="str">
        <f aca="false">IF($A827="","",0)</f>
        <v/>
      </c>
    </row>
    <row r="828" customFormat="false" ht="15" hidden="false" customHeight="false" outlineLevel="0" collapsed="false">
      <c r="A828" s="24" t="str">
        <f aca="false">IF(AND(Payroll!$A828&lt;&gt;"",N(Payroll!$R828)&gt;0),"EDR","")</f>
        <v/>
      </c>
      <c r="B828" s="24" t="str">
        <f aca="false">IF($A828="","",Payroll!U828)</f>
        <v/>
      </c>
      <c r="C828" s="24" t="str">
        <f aca="false">IF($A828="","",Payroll!S828)</f>
        <v/>
      </c>
      <c r="D828" s="24" t="str">
        <f aca="false">IF($A828="","",SUBSTITUTE(Payroll!T828," ",""))</f>
        <v/>
      </c>
      <c r="E828" s="24" t="str">
        <f aca="false">IF($A828="","",TEXT(Settings!$B$8,"yyyy-mm-dd"))</f>
        <v/>
      </c>
      <c r="F828" s="24" t="str">
        <f aca="false">IF($A828="","",TEXT(Settings!$B$9,"yyyy-mm-dd"))</f>
        <v/>
      </c>
      <c r="G828" s="24" t="str">
        <f aca="false">IF($A828="","",DAY(Settings!$B$9))</f>
        <v/>
      </c>
      <c r="H828" s="26" t="str">
        <f aca="false">IF($A828="","",ROUND(Payroll!R828-Payroll!L828-Payroll!M828,2))</f>
        <v/>
      </c>
      <c r="I828" s="26" t="str">
        <f aca="false">IF($A828="","",ROUND(Payroll!L828+Payroll!M828,2))</f>
        <v/>
      </c>
      <c r="J828" s="24" t="str">
        <f aca="false">IF($A828="","",0)</f>
        <v/>
      </c>
    </row>
    <row r="829" customFormat="false" ht="15" hidden="false" customHeight="false" outlineLevel="0" collapsed="false">
      <c r="A829" s="24" t="str">
        <f aca="false">IF(AND(Payroll!$A829&lt;&gt;"",N(Payroll!$R829)&gt;0),"EDR","")</f>
        <v/>
      </c>
      <c r="B829" s="24" t="str">
        <f aca="false">IF($A829="","",Payroll!U829)</f>
        <v/>
      </c>
      <c r="C829" s="24" t="str">
        <f aca="false">IF($A829="","",Payroll!S829)</f>
        <v/>
      </c>
      <c r="D829" s="24" t="str">
        <f aca="false">IF($A829="","",SUBSTITUTE(Payroll!T829," ",""))</f>
        <v/>
      </c>
      <c r="E829" s="24" t="str">
        <f aca="false">IF($A829="","",TEXT(Settings!$B$8,"yyyy-mm-dd"))</f>
        <v/>
      </c>
      <c r="F829" s="24" t="str">
        <f aca="false">IF($A829="","",TEXT(Settings!$B$9,"yyyy-mm-dd"))</f>
        <v/>
      </c>
      <c r="G829" s="24" t="str">
        <f aca="false">IF($A829="","",DAY(Settings!$B$9))</f>
        <v/>
      </c>
      <c r="H829" s="26" t="str">
        <f aca="false">IF($A829="","",ROUND(Payroll!R829-Payroll!L829-Payroll!M829,2))</f>
        <v/>
      </c>
      <c r="I829" s="26" t="str">
        <f aca="false">IF($A829="","",ROUND(Payroll!L829+Payroll!M829,2))</f>
        <v/>
      </c>
      <c r="J829" s="24" t="str">
        <f aca="false">IF($A829="","",0)</f>
        <v/>
      </c>
    </row>
    <row r="830" customFormat="false" ht="15" hidden="false" customHeight="false" outlineLevel="0" collapsed="false">
      <c r="A830" s="24" t="str">
        <f aca="false">IF(AND(Payroll!$A830&lt;&gt;"",N(Payroll!$R830)&gt;0),"EDR","")</f>
        <v/>
      </c>
      <c r="B830" s="24" t="str">
        <f aca="false">IF($A830="","",Payroll!U830)</f>
        <v/>
      </c>
      <c r="C830" s="24" t="str">
        <f aca="false">IF($A830="","",Payroll!S830)</f>
        <v/>
      </c>
      <c r="D830" s="24" t="str">
        <f aca="false">IF($A830="","",SUBSTITUTE(Payroll!T830," ",""))</f>
        <v/>
      </c>
      <c r="E830" s="24" t="str">
        <f aca="false">IF($A830="","",TEXT(Settings!$B$8,"yyyy-mm-dd"))</f>
        <v/>
      </c>
      <c r="F830" s="24" t="str">
        <f aca="false">IF($A830="","",TEXT(Settings!$B$9,"yyyy-mm-dd"))</f>
        <v/>
      </c>
      <c r="G830" s="24" t="str">
        <f aca="false">IF($A830="","",DAY(Settings!$B$9))</f>
        <v/>
      </c>
      <c r="H830" s="26" t="str">
        <f aca="false">IF($A830="","",ROUND(Payroll!R830-Payroll!L830-Payroll!M830,2))</f>
        <v/>
      </c>
      <c r="I830" s="26" t="str">
        <f aca="false">IF($A830="","",ROUND(Payroll!L830+Payroll!M830,2))</f>
        <v/>
      </c>
      <c r="J830" s="24" t="str">
        <f aca="false">IF($A830="","",0)</f>
        <v/>
      </c>
    </row>
    <row r="831" customFormat="false" ht="15" hidden="false" customHeight="false" outlineLevel="0" collapsed="false">
      <c r="A831" s="24" t="str">
        <f aca="false">IF(AND(Payroll!$A831&lt;&gt;"",N(Payroll!$R831)&gt;0),"EDR","")</f>
        <v/>
      </c>
      <c r="B831" s="24" t="str">
        <f aca="false">IF($A831="","",Payroll!U831)</f>
        <v/>
      </c>
      <c r="C831" s="24" t="str">
        <f aca="false">IF($A831="","",Payroll!S831)</f>
        <v/>
      </c>
      <c r="D831" s="24" t="str">
        <f aca="false">IF($A831="","",SUBSTITUTE(Payroll!T831," ",""))</f>
        <v/>
      </c>
      <c r="E831" s="24" t="str">
        <f aca="false">IF($A831="","",TEXT(Settings!$B$8,"yyyy-mm-dd"))</f>
        <v/>
      </c>
      <c r="F831" s="24" t="str">
        <f aca="false">IF($A831="","",TEXT(Settings!$B$9,"yyyy-mm-dd"))</f>
        <v/>
      </c>
      <c r="G831" s="24" t="str">
        <f aca="false">IF($A831="","",DAY(Settings!$B$9))</f>
        <v/>
      </c>
      <c r="H831" s="26" t="str">
        <f aca="false">IF($A831="","",ROUND(Payroll!R831-Payroll!L831-Payroll!M831,2))</f>
        <v/>
      </c>
      <c r="I831" s="26" t="str">
        <f aca="false">IF($A831="","",ROUND(Payroll!L831+Payroll!M831,2))</f>
        <v/>
      </c>
      <c r="J831" s="24" t="str">
        <f aca="false">IF($A831="","",0)</f>
        <v/>
      </c>
    </row>
    <row r="832" customFormat="false" ht="15" hidden="false" customHeight="false" outlineLevel="0" collapsed="false">
      <c r="A832" s="24" t="str">
        <f aca="false">IF(AND(Payroll!$A832&lt;&gt;"",N(Payroll!$R832)&gt;0),"EDR","")</f>
        <v/>
      </c>
      <c r="B832" s="24" t="str">
        <f aca="false">IF($A832="","",Payroll!U832)</f>
        <v/>
      </c>
      <c r="C832" s="24" t="str">
        <f aca="false">IF($A832="","",Payroll!S832)</f>
        <v/>
      </c>
      <c r="D832" s="24" t="str">
        <f aca="false">IF($A832="","",SUBSTITUTE(Payroll!T832," ",""))</f>
        <v/>
      </c>
      <c r="E832" s="24" t="str">
        <f aca="false">IF($A832="","",TEXT(Settings!$B$8,"yyyy-mm-dd"))</f>
        <v/>
      </c>
      <c r="F832" s="24" t="str">
        <f aca="false">IF($A832="","",TEXT(Settings!$B$9,"yyyy-mm-dd"))</f>
        <v/>
      </c>
      <c r="G832" s="24" t="str">
        <f aca="false">IF($A832="","",DAY(Settings!$B$9))</f>
        <v/>
      </c>
      <c r="H832" s="26" t="str">
        <f aca="false">IF($A832="","",ROUND(Payroll!R832-Payroll!L832-Payroll!M832,2))</f>
        <v/>
      </c>
      <c r="I832" s="26" t="str">
        <f aca="false">IF($A832="","",ROUND(Payroll!L832+Payroll!M832,2))</f>
        <v/>
      </c>
      <c r="J832" s="24" t="str">
        <f aca="false">IF($A832="","",0)</f>
        <v/>
      </c>
    </row>
    <row r="833" customFormat="false" ht="15" hidden="false" customHeight="false" outlineLevel="0" collapsed="false">
      <c r="A833" s="24" t="str">
        <f aca="false">IF(AND(Payroll!$A833&lt;&gt;"",N(Payroll!$R833)&gt;0),"EDR","")</f>
        <v/>
      </c>
      <c r="B833" s="24" t="str">
        <f aca="false">IF($A833="","",Payroll!U833)</f>
        <v/>
      </c>
      <c r="C833" s="24" t="str">
        <f aca="false">IF($A833="","",Payroll!S833)</f>
        <v/>
      </c>
      <c r="D833" s="24" t="str">
        <f aca="false">IF($A833="","",SUBSTITUTE(Payroll!T833," ",""))</f>
        <v/>
      </c>
      <c r="E833" s="24" t="str">
        <f aca="false">IF($A833="","",TEXT(Settings!$B$8,"yyyy-mm-dd"))</f>
        <v/>
      </c>
      <c r="F833" s="24" t="str">
        <f aca="false">IF($A833="","",TEXT(Settings!$B$9,"yyyy-mm-dd"))</f>
        <v/>
      </c>
      <c r="G833" s="24" t="str">
        <f aca="false">IF($A833="","",DAY(Settings!$B$9))</f>
        <v/>
      </c>
      <c r="H833" s="26" t="str">
        <f aca="false">IF($A833="","",ROUND(Payroll!R833-Payroll!L833-Payroll!M833,2))</f>
        <v/>
      </c>
      <c r="I833" s="26" t="str">
        <f aca="false">IF($A833="","",ROUND(Payroll!L833+Payroll!M833,2))</f>
        <v/>
      </c>
      <c r="J833" s="24" t="str">
        <f aca="false">IF($A833="","",0)</f>
        <v/>
      </c>
    </row>
    <row r="834" customFormat="false" ht="15" hidden="false" customHeight="false" outlineLevel="0" collapsed="false">
      <c r="A834" s="24" t="str">
        <f aca="false">IF(AND(Payroll!$A834&lt;&gt;"",N(Payroll!$R834)&gt;0),"EDR","")</f>
        <v/>
      </c>
      <c r="B834" s="24" t="str">
        <f aca="false">IF($A834="","",Payroll!U834)</f>
        <v/>
      </c>
      <c r="C834" s="24" t="str">
        <f aca="false">IF($A834="","",Payroll!S834)</f>
        <v/>
      </c>
      <c r="D834" s="24" t="str">
        <f aca="false">IF($A834="","",SUBSTITUTE(Payroll!T834," ",""))</f>
        <v/>
      </c>
      <c r="E834" s="24" t="str">
        <f aca="false">IF($A834="","",TEXT(Settings!$B$8,"yyyy-mm-dd"))</f>
        <v/>
      </c>
      <c r="F834" s="24" t="str">
        <f aca="false">IF($A834="","",TEXT(Settings!$B$9,"yyyy-mm-dd"))</f>
        <v/>
      </c>
      <c r="G834" s="24" t="str">
        <f aca="false">IF($A834="","",DAY(Settings!$B$9))</f>
        <v/>
      </c>
      <c r="H834" s="26" t="str">
        <f aca="false">IF($A834="","",ROUND(Payroll!R834-Payroll!L834-Payroll!M834,2))</f>
        <v/>
      </c>
      <c r="I834" s="26" t="str">
        <f aca="false">IF($A834="","",ROUND(Payroll!L834+Payroll!M834,2))</f>
        <v/>
      </c>
      <c r="J834" s="24" t="str">
        <f aca="false">IF($A834="","",0)</f>
        <v/>
      </c>
    </row>
    <row r="835" customFormat="false" ht="15" hidden="false" customHeight="false" outlineLevel="0" collapsed="false">
      <c r="A835" s="24" t="str">
        <f aca="false">IF(AND(Payroll!$A835&lt;&gt;"",N(Payroll!$R835)&gt;0),"EDR","")</f>
        <v/>
      </c>
      <c r="B835" s="24" t="str">
        <f aca="false">IF($A835="","",Payroll!U835)</f>
        <v/>
      </c>
      <c r="C835" s="24" t="str">
        <f aca="false">IF($A835="","",Payroll!S835)</f>
        <v/>
      </c>
      <c r="D835" s="24" t="str">
        <f aca="false">IF($A835="","",SUBSTITUTE(Payroll!T835," ",""))</f>
        <v/>
      </c>
      <c r="E835" s="24" t="str">
        <f aca="false">IF($A835="","",TEXT(Settings!$B$8,"yyyy-mm-dd"))</f>
        <v/>
      </c>
      <c r="F835" s="24" t="str">
        <f aca="false">IF($A835="","",TEXT(Settings!$B$9,"yyyy-mm-dd"))</f>
        <v/>
      </c>
      <c r="G835" s="24" t="str">
        <f aca="false">IF($A835="","",DAY(Settings!$B$9))</f>
        <v/>
      </c>
      <c r="H835" s="26" t="str">
        <f aca="false">IF($A835="","",ROUND(Payroll!R835-Payroll!L835-Payroll!M835,2))</f>
        <v/>
      </c>
      <c r="I835" s="26" t="str">
        <f aca="false">IF($A835="","",ROUND(Payroll!L835+Payroll!M835,2))</f>
        <v/>
      </c>
      <c r="J835" s="24" t="str">
        <f aca="false">IF($A835="","",0)</f>
        <v/>
      </c>
    </row>
    <row r="836" customFormat="false" ht="15" hidden="false" customHeight="false" outlineLevel="0" collapsed="false">
      <c r="A836" s="24" t="str">
        <f aca="false">IF(AND(Payroll!$A836&lt;&gt;"",N(Payroll!$R836)&gt;0),"EDR","")</f>
        <v/>
      </c>
      <c r="B836" s="24" t="str">
        <f aca="false">IF($A836="","",Payroll!U836)</f>
        <v/>
      </c>
      <c r="C836" s="24" t="str">
        <f aca="false">IF($A836="","",Payroll!S836)</f>
        <v/>
      </c>
      <c r="D836" s="24" t="str">
        <f aca="false">IF($A836="","",SUBSTITUTE(Payroll!T836," ",""))</f>
        <v/>
      </c>
      <c r="E836" s="24" t="str">
        <f aca="false">IF($A836="","",TEXT(Settings!$B$8,"yyyy-mm-dd"))</f>
        <v/>
      </c>
      <c r="F836" s="24" t="str">
        <f aca="false">IF($A836="","",TEXT(Settings!$B$9,"yyyy-mm-dd"))</f>
        <v/>
      </c>
      <c r="G836" s="24" t="str">
        <f aca="false">IF($A836="","",DAY(Settings!$B$9))</f>
        <v/>
      </c>
      <c r="H836" s="26" t="str">
        <f aca="false">IF($A836="","",ROUND(Payroll!R836-Payroll!L836-Payroll!M836,2))</f>
        <v/>
      </c>
      <c r="I836" s="26" t="str">
        <f aca="false">IF($A836="","",ROUND(Payroll!L836+Payroll!M836,2))</f>
        <v/>
      </c>
      <c r="J836" s="24" t="str">
        <f aca="false">IF($A836="","",0)</f>
        <v/>
      </c>
    </row>
    <row r="837" customFormat="false" ht="15" hidden="false" customHeight="false" outlineLevel="0" collapsed="false">
      <c r="A837" s="24" t="str">
        <f aca="false">IF(AND(Payroll!$A837&lt;&gt;"",N(Payroll!$R837)&gt;0),"EDR","")</f>
        <v/>
      </c>
      <c r="B837" s="24" t="str">
        <f aca="false">IF($A837="","",Payroll!U837)</f>
        <v/>
      </c>
      <c r="C837" s="24" t="str">
        <f aca="false">IF($A837="","",Payroll!S837)</f>
        <v/>
      </c>
      <c r="D837" s="24" t="str">
        <f aca="false">IF($A837="","",SUBSTITUTE(Payroll!T837," ",""))</f>
        <v/>
      </c>
      <c r="E837" s="24" t="str">
        <f aca="false">IF($A837="","",TEXT(Settings!$B$8,"yyyy-mm-dd"))</f>
        <v/>
      </c>
      <c r="F837" s="24" t="str">
        <f aca="false">IF($A837="","",TEXT(Settings!$B$9,"yyyy-mm-dd"))</f>
        <v/>
      </c>
      <c r="G837" s="24" t="str">
        <f aca="false">IF($A837="","",DAY(Settings!$B$9))</f>
        <v/>
      </c>
      <c r="H837" s="26" t="str">
        <f aca="false">IF($A837="","",ROUND(Payroll!R837-Payroll!L837-Payroll!M837,2))</f>
        <v/>
      </c>
      <c r="I837" s="26" t="str">
        <f aca="false">IF($A837="","",ROUND(Payroll!L837+Payroll!M837,2))</f>
        <v/>
      </c>
      <c r="J837" s="24" t="str">
        <f aca="false">IF($A837="","",0)</f>
        <v/>
      </c>
    </row>
    <row r="838" customFormat="false" ht="15" hidden="false" customHeight="false" outlineLevel="0" collapsed="false">
      <c r="A838" s="24" t="str">
        <f aca="false">IF(AND(Payroll!$A838&lt;&gt;"",N(Payroll!$R838)&gt;0),"EDR","")</f>
        <v/>
      </c>
      <c r="B838" s="24" t="str">
        <f aca="false">IF($A838="","",Payroll!U838)</f>
        <v/>
      </c>
      <c r="C838" s="24" t="str">
        <f aca="false">IF($A838="","",Payroll!S838)</f>
        <v/>
      </c>
      <c r="D838" s="24" t="str">
        <f aca="false">IF($A838="","",SUBSTITUTE(Payroll!T838," ",""))</f>
        <v/>
      </c>
      <c r="E838" s="24" t="str">
        <f aca="false">IF($A838="","",TEXT(Settings!$B$8,"yyyy-mm-dd"))</f>
        <v/>
      </c>
      <c r="F838" s="24" t="str">
        <f aca="false">IF($A838="","",TEXT(Settings!$B$9,"yyyy-mm-dd"))</f>
        <v/>
      </c>
      <c r="G838" s="24" t="str">
        <f aca="false">IF($A838="","",DAY(Settings!$B$9))</f>
        <v/>
      </c>
      <c r="H838" s="26" t="str">
        <f aca="false">IF($A838="","",ROUND(Payroll!R838-Payroll!L838-Payroll!M838,2))</f>
        <v/>
      </c>
      <c r="I838" s="26" t="str">
        <f aca="false">IF($A838="","",ROUND(Payroll!L838+Payroll!M838,2))</f>
        <v/>
      </c>
      <c r="J838" s="24" t="str">
        <f aca="false">IF($A838="","",0)</f>
        <v/>
      </c>
    </row>
    <row r="839" customFormat="false" ht="15" hidden="false" customHeight="false" outlineLevel="0" collapsed="false">
      <c r="A839" s="24" t="str">
        <f aca="false">IF(AND(Payroll!$A839&lt;&gt;"",N(Payroll!$R839)&gt;0),"EDR","")</f>
        <v/>
      </c>
      <c r="B839" s="24" t="str">
        <f aca="false">IF($A839="","",Payroll!U839)</f>
        <v/>
      </c>
      <c r="C839" s="24" t="str">
        <f aca="false">IF($A839="","",Payroll!S839)</f>
        <v/>
      </c>
      <c r="D839" s="24" t="str">
        <f aca="false">IF($A839="","",SUBSTITUTE(Payroll!T839," ",""))</f>
        <v/>
      </c>
      <c r="E839" s="24" t="str">
        <f aca="false">IF($A839="","",TEXT(Settings!$B$8,"yyyy-mm-dd"))</f>
        <v/>
      </c>
      <c r="F839" s="24" t="str">
        <f aca="false">IF($A839="","",TEXT(Settings!$B$9,"yyyy-mm-dd"))</f>
        <v/>
      </c>
      <c r="G839" s="24" t="str">
        <f aca="false">IF($A839="","",DAY(Settings!$B$9))</f>
        <v/>
      </c>
      <c r="H839" s="26" t="str">
        <f aca="false">IF($A839="","",ROUND(Payroll!R839-Payroll!L839-Payroll!M839,2))</f>
        <v/>
      </c>
      <c r="I839" s="26" t="str">
        <f aca="false">IF($A839="","",ROUND(Payroll!L839+Payroll!M839,2))</f>
        <v/>
      </c>
      <c r="J839" s="24" t="str">
        <f aca="false">IF($A839="","",0)</f>
        <v/>
      </c>
    </row>
    <row r="840" customFormat="false" ht="15" hidden="false" customHeight="false" outlineLevel="0" collapsed="false">
      <c r="A840" s="24" t="str">
        <f aca="false">IF(AND(Payroll!$A840&lt;&gt;"",N(Payroll!$R840)&gt;0),"EDR","")</f>
        <v/>
      </c>
      <c r="B840" s="24" t="str">
        <f aca="false">IF($A840="","",Payroll!U840)</f>
        <v/>
      </c>
      <c r="C840" s="24" t="str">
        <f aca="false">IF($A840="","",Payroll!S840)</f>
        <v/>
      </c>
      <c r="D840" s="24" t="str">
        <f aca="false">IF($A840="","",SUBSTITUTE(Payroll!T840," ",""))</f>
        <v/>
      </c>
      <c r="E840" s="24" t="str">
        <f aca="false">IF($A840="","",TEXT(Settings!$B$8,"yyyy-mm-dd"))</f>
        <v/>
      </c>
      <c r="F840" s="24" t="str">
        <f aca="false">IF($A840="","",TEXT(Settings!$B$9,"yyyy-mm-dd"))</f>
        <v/>
      </c>
      <c r="G840" s="24" t="str">
        <f aca="false">IF($A840="","",DAY(Settings!$B$9))</f>
        <v/>
      </c>
      <c r="H840" s="26" t="str">
        <f aca="false">IF($A840="","",ROUND(Payroll!R840-Payroll!L840-Payroll!M840,2))</f>
        <v/>
      </c>
      <c r="I840" s="26" t="str">
        <f aca="false">IF($A840="","",ROUND(Payroll!L840+Payroll!M840,2))</f>
        <v/>
      </c>
      <c r="J840" s="24" t="str">
        <f aca="false">IF($A840="","",0)</f>
        <v/>
      </c>
    </row>
    <row r="841" customFormat="false" ht="15" hidden="false" customHeight="false" outlineLevel="0" collapsed="false">
      <c r="A841" s="24" t="str">
        <f aca="false">IF(AND(Payroll!$A841&lt;&gt;"",N(Payroll!$R841)&gt;0),"EDR","")</f>
        <v/>
      </c>
      <c r="B841" s="24" t="str">
        <f aca="false">IF($A841="","",Payroll!U841)</f>
        <v/>
      </c>
      <c r="C841" s="24" t="str">
        <f aca="false">IF($A841="","",Payroll!S841)</f>
        <v/>
      </c>
      <c r="D841" s="24" t="str">
        <f aca="false">IF($A841="","",SUBSTITUTE(Payroll!T841," ",""))</f>
        <v/>
      </c>
      <c r="E841" s="24" t="str">
        <f aca="false">IF($A841="","",TEXT(Settings!$B$8,"yyyy-mm-dd"))</f>
        <v/>
      </c>
      <c r="F841" s="24" t="str">
        <f aca="false">IF($A841="","",TEXT(Settings!$B$9,"yyyy-mm-dd"))</f>
        <v/>
      </c>
      <c r="G841" s="24" t="str">
        <f aca="false">IF($A841="","",DAY(Settings!$B$9))</f>
        <v/>
      </c>
      <c r="H841" s="26" t="str">
        <f aca="false">IF($A841="","",ROUND(Payroll!R841-Payroll!L841-Payroll!M841,2))</f>
        <v/>
      </c>
      <c r="I841" s="26" t="str">
        <f aca="false">IF($A841="","",ROUND(Payroll!L841+Payroll!M841,2))</f>
        <v/>
      </c>
      <c r="J841" s="24" t="str">
        <f aca="false">IF($A841="","",0)</f>
        <v/>
      </c>
    </row>
    <row r="842" customFormat="false" ht="15" hidden="false" customHeight="false" outlineLevel="0" collapsed="false">
      <c r="A842" s="24" t="str">
        <f aca="false">IF(AND(Payroll!$A842&lt;&gt;"",N(Payroll!$R842)&gt;0),"EDR","")</f>
        <v/>
      </c>
      <c r="B842" s="24" t="str">
        <f aca="false">IF($A842="","",Payroll!U842)</f>
        <v/>
      </c>
      <c r="C842" s="24" t="str">
        <f aca="false">IF($A842="","",Payroll!S842)</f>
        <v/>
      </c>
      <c r="D842" s="24" t="str">
        <f aca="false">IF($A842="","",SUBSTITUTE(Payroll!T842," ",""))</f>
        <v/>
      </c>
      <c r="E842" s="24" t="str">
        <f aca="false">IF($A842="","",TEXT(Settings!$B$8,"yyyy-mm-dd"))</f>
        <v/>
      </c>
      <c r="F842" s="24" t="str">
        <f aca="false">IF($A842="","",TEXT(Settings!$B$9,"yyyy-mm-dd"))</f>
        <v/>
      </c>
      <c r="G842" s="24" t="str">
        <f aca="false">IF($A842="","",DAY(Settings!$B$9))</f>
        <v/>
      </c>
      <c r="H842" s="26" t="str">
        <f aca="false">IF($A842="","",ROUND(Payroll!R842-Payroll!L842-Payroll!M842,2))</f>
        <v/>
      </c>
      <c r="I842" s="26" t="str">
        <f aca="false">IF($A842="","",ROUND(Payroll!L842+Payroll!M842,2))</f>
        <v/>
      </c>
      <c r="J842" s="24" t="str">
        <f aca="false">IF($A842="","",0)</f>
        <v/>
      </c>
    </row>
    <row r="843" customFormat="false" ht="15" hidden="false" customHeight="false" outlineLevel="0" collapsed="false">
      <c r="A843" s="24" t="str">
        <f aca="false">IF(AND(Payroll!$A843&lt;&gt;"",N(Payroll!$R843)&gt;0),"EDR","")</f>
        <v/>
      </c>
      <c r="B843" s="24" t="str">
        <f aca="false">IF($A843="","",Payroll!U843)</f>
        <v/>
      </c>
      <c r="C843" s="24" t="str">
        <f aca="false">IF($A843="","",Payroll!S843)</f>
        <v/>
      </c>
      <c r="D843" s="24" t="str">
        <f aca="false">IF($A843="","",SUBSTITUTE(Payroll!T843," ",""))</f>
        <v/>
      </c>
      <c r="E843" s="24" t="str">
        <f aca="false">IF($A843="","",TEXT(Settings!$B$8,"yyyy-mm-dd"))</f>
        <v/>
      </c>
      <c r="F843" s="24" t="str">
        <f aca="false">IF($A843="","",TEXT(Settings!$B$9,"yyyy-mm-dd"))</f>
        <v/>
      </c>
      <c r="G843" s="24" t="str">
        <f aca="false">IF($A843="","",DAY(Settings!$B$9))</f>
        <v/>
      </c>
      <c r="H843" s="26" t="str">
        <f aca="false">IF($A843="","",ROUND(Payroll!R843-Payroll!L843-Payroll!M843,2))</f>
        <v/>
      </c>
      <c r="I843" s="26" t="str">
        <f aca="false">IF($A843="","",ROUND(Payroll!L843+Payroll!M843,2))</f>
        <v/>
      </c>
      <c r="J843" s="24" t="str">
        <f aca="false">IF($A843="","",0)</f>
        <v/>
      </c>
    </row>
    <row r="844" customFormat="false" ht="15" hidden="false" customHeight="false" outlineLevel="0" collapsed="false">
      <c r="A844" s="24" t="str">
        <f aca="false">IF(AND(Payroll!$A844&lt;&gt;"",N(Payroll!$R844)&gt;0),"EDR","")</f>
        <v/>
      </c>
      <c r="B844" s="24" t="str">
        <f aca="false">IF($A844="","",Payroll!U844)</f>
        <v/>
      </c>
      <c r="C844" s="24" t="str">
        <f aca="false">IF($A844="","",Payroll!S844)</f>
        <v/>
      </c>
      <c r="D844" s="24" t="str">
        <f aca="false">IF($A844="","",SUBSTITUTE(Payroll!T844," ",""))</f>
        <v/>
      </c>
      <c r="E844" s="24" t="str">
        <f aca="false">IF($A844="","",TEXT(Settings!$B$8,"yyyy-mm-dd"))</f>
        <v/>
      </c>
      <c r="F844" s="24" t="str">
        <f aca="false">IF($A844="","",TEXT(Settings!$B$9,"yyyy-mm-dd"))</f>
        <v/>
      </c>
      <c r="G844" s="24" t="str">
        <f aca="false">IF($A844="","",DAY(Settings!$B$9))</f>
        <v/>
      </c>
      <c r="H844" s="26" t="str">
        <f aca="false">IF($A844="","",ROUND(Payroll!R844-Payroll!L844-Payroll!M844,2))</f>
        <v/>
      </c>
      <c r="I844" s="26" t="str">
        <f aca="false">IF($A844="","",ROUND(Payroll!L844+Payroll!M844,2))</f>
        <v/>
      </c>
      <c r="J844" s="24" t="str">
        <f aca="false">IF($A844="","",0)</f>
        <v/>
      </c>
    </row>
    <row r="845" customFormat="false" ht="15" hidden="false" customHeight="false" outlineLevel="0" collapsed="false">
      <c r="A845" s="24" t="str">
        <f aca="false">IF(AND(Payroll!$A845&lt;&gt;"",N(Payroll!$R845)&gt;0),"EDR","")</f>
        <v/>
      </c>
      <c r="B845" s="24" t="str">
        <f aca="false">IF($A845="","",Payroll!U845)</f>
        <v/>
      </c>
      <c r="C845" s="24" t="str">
        <f aca="false">IF($A845="","",Payroll!S845)</f>
        <v/>
      </c>
      <c r="D845" s="24" t="str">
        <f aca="false">IF($A845="","",SUBSTITUTE(Payroll!T845," ",""))</f>
        <v/>
      </c>
      <c r="E845" s="24" t="str">
        <f aca="false">IF($A845="","",TEXT(Settings!$B$8,"yyyy-mm-dd"))</f>
        <v/>
      </c>
      <c r="F845" s="24" t="str">
        <f aca="false">IF($A845="","",TEXT(Settings!$B$9,"yyyy-mm-dd"))</f>
        <v/>
      </c>
      <c r="G845" s="24" t="str">
        <f aca="false">IF($A845="","",DAY(Settings!$B$9))</f>
        <v/>
      </c>
      <c r="H845" s="26" t="str">
        <f aca="false">IF($A845="","",ROUND(Payroll!R845-Payroll!L845-Payroll!M845,2))</f>
        <v/>
      </c>
      <c r="I845" s="26" t="str">
        <f aca="false">IF($A845="","",ROUND(Payroll!L845+Payroll!M845,2))</f>
        <v/>
      </c>
      <c r="J845" s="24" t="str">
        <f aca="false">IF($A845="","",0)</f>
        <v/>
      </c>
    </row>
    <row r="846" customFormat="false" ht="15" hidden="false" customHeight="false" outlineLevel="0" collapsed="false">
      <c r="A846" s="24" t="str">
        <f aca="false">IF(AND(Payroll!$A846&lt;&gt;"",N(Payroll!$R846)&gt;0),"EDR","")</f>
        <v/>
      </c>
      <c r="B846" s="24" t="str">
        <f aca="false">IF($A846="","",Payroll!U846)</f>
        <v/>
      </c>
      <c r="C846" s="24" t="str">
        <f aca="false">IF($A846="","",Payroll!S846)</f>
        <v/>
      </c>
      <c r="D846" s="24" t="str">
        <f aca="false">IF($A846="","",SUBSTITUTE(Payroll!T846," ",""))</f>
        <v/>
      </c>
      <c r="E846" s="24" t="str">
        <f aca="false">IF($A846="","",TEXT(Settings!$B$8,"yyyy-mm-dd"))</f>
        <v/>
      </c>
      <c r="F846" s="24" t="str">
        <f aca="false">IF($A846="","",TEXT(Settings!$B$9,"yyyy-mm-dd"))</f>
        <v/>
      </c>
      <c r="G846" s="24" t="str">
        <f aca="false">IF($A846="","",DAY(Settings!$B$9))</f>
        <v/>
      </c>
      <c r="H846" s="26" t="str">
        <f aca="false">IF($A846="","",ROUND(Payroll!R846-Payroll!L846-Payroll!M846,2))</f>
        <v/>
      </c>
      <c r="I846" s="26" t="str">
        <f aca="false">IF($A846="","",ROUND(Payroll!L846+Payroll!M846,2))</f>
        <v/>
      </c>
      <c r="J846" s="24" t="str">
        <f aca="false">IF($A846="","",0)</f>
        <v/>
      </c>
    </row>
    <row r="847" customFormat="false" ht="15" hidden="false" customHeight="false" outlineLevel="0" collapsed="false">
      <c r="A847" s="24" t="str">
        <f aca="false">IF(AND(Payroll!$A847&lt;&gt;"",N(Payroll!$R847)&gt;0),"EDR","")</f>
        <v/>
      </c>
      <c r="B847" s="24" t="str">
        <f aca="false">IF($A847="","",Payroll!U847)</f>
        <v/>
      </c>
      <c r="C847" s="24" t="str">
        <f aca="false">IF($A847="","",Payroll!S847)</f>
        <v/>
      </c>
      <c r="D847" s="24" t="str">
        <f aca="false">IF($A847="","",SUBSTITUTE(Payroll!T847," ",""))</f>
        <v/>
      </c>
      <c r="E847" s="24" t="str">
        <f aca="false">IF($A847="","",TEXT(Settings!$B$8,"yyyy-mm-dd"))</f>
        <v/>
      </c>
      <c r="F847" s="24" t="str">
        <f aca="false">IF($A847="","",TEXT(Settings!$B$9,"yyyy-mm-dd"))</f>
        <v/>
      </c>
      <c r="G847" s="24" t="str">
        <f aca="false">IF($A847="","",DAY(Settings!$B$9))</f>
        <v/>
      </c>
      <c r="H847" s="26" t="str">
        <f aca="false">IF($A847="","",ROUND(Payroll!R847-Payroll!L847-Payroll!M847,2))</f>
        <v/>
      </c>
      <c r="I847" s="26" t="str">
        <f aca="false">IF($A847="","",ROUND(Payroll!L847+Payroll!M847,2))</f>
        <v/>
      </c>
      <c r="J847" s="24" t="str">
        <f aca="false">IF($A847="","",0)</f>
        <v/>
      </c>
    </row>
    <row r="848" customFormat="false" ht="15" hidden="false" customHeight="false" outlineLevel="0" collapsed="false">
      <c r="A848" s="24" t="str">
        <f aca="false">IF(AND(Payroll!$A848&lt;&gt;"",N(Payroll!$R848)&gt;0),"EDR","")</f>
        <v/>
      </c>
      <c r="B848" s="24" t="str">
        <f aca="false">IF($A848="","",Payroll!U848)</f>
        <v/>
      </c>
      <c r="C848" s="24" t="str">
        <f aca="false">IF($A848="","",Payroll!S848)</f>
        <v/>
      </c>
      <c r="D848" s="24" t="str">
        <f aca="false">IF($A848="","",SUBSTITUTE(Payroll!T848," ",""))</f>
        <v/>
      </c>
      <c r="E848" s="24" t="str">
        <f aca="false">IF($A848="","",TEXT(Settings!$B$8,"yyyy-mm-dd"))</f>
        <v/>
      </c>
      <c r="F848" s="24" t="str">
        <f aca="false">IF($A848="","",TEXT(Settings!$B$9,"yyyy-mm-dd"))</f>
        <v/>
      </c>
      <c r="G848" s="24" t="str">
        <f aca="false">IF($A848="","",DAY(Settings!$B$9))</f>
        <v/>
      </c>
      <c r="H848" s="26" t="str">
        <f aca="false">IF($A848="","",ROUND(Payroll!R848-Payroll!L848-Payroll!M848,2))</f>
        <v/>
      </c>
      <c r="I848" s="26" t="str">
        <f aca="false">IF($A848="","",ROUND(Payroll!L848+Payroll!M848,2))</f>
        <v/>
      </c>
      <c r="J848" s="24" t="str">
        <f aca="false">IF($A848="","",0)</f>
        <v/>
      </c>
    </row>
    <row r="849" customFormat="false" ht="15" hidden="false" customHeight="false" outlineLevel="0" collapsed="false">
      <c r="A849" s="24" t="str">
        <f aca="false">IF(AND(Payroll!$A849&lt;&gt;"",N(Payroll!$R849)&gt;0),"EDR","")</f>
        <v/>
      </c>
      <c r="B849" s="24" t="str">
        <f aca="false">IF($A849="","",Payroll!U849)</f>
        <v/>
      </c>
      <c r="C849" s="24" t="str">
        <f aca="false">IF($A849="","",Payroll!S849)</f>
        <v/>
      </c>
      <c r="D849" s="24" t="str">
        <f aca="false">IF($A849="","",SUBSTITUTE(Payroll!T849," ",""))</f>
        <v/>
      </c>
      <c r="E849" s="24" t="str">
        <f aca="false">IF($A849="","",TEXT(Settings!$B$8,"yyyy-mm-dd"))</f>
        <v/>
      </c>
      <c r="F849" s="24" t="str">
        <f aca="false">IF($A849="","",TEXT(Settings!$B$9,"yyyy-mm-dd"))</f>
        <v/>
      </c>
      <c r="G849" s="24" t="str">
        <f aca="false">IF($A849="","",DAY(Settings!$B$9))</f>
        <v/>
      </c>
      <c r="H849" s="26" t="str">
        <f aca="false">IF($A849="","",ROUND(Payroll!R849-Payroll!L849-Payroll!M849,2))</f>
        <v/>
      </c>
      <c r="I849" s="26" t="str">
        <f aca="false">IF($A849="","",ROUND(Payroll!L849+Payroll!M849,2))</f>
        <v/>
      </c>
      <c r="J849" s="24" t="str">
        <f aca="false">IF($A849="","",0)</f>
        <v/>
      </c>
    </row>
    <row r="850" customFormat="false" ht="15" hidden="false" customHeight="false" outlineLevel="0" collapsed="false">
      <c r="A850" s="24" t="str">
        <f aca="false">IF(AND(Payroll!$A850&lt;&gt;"",N(Payroll!$R850)&gt;0),"EDR","")</f>
        <v/>
      </c>
      <c r="B850" s="24" t="str">
        <f aca="false">IF($A850="","",Payroll!U850)</f>
        <v/>
      </c>
      <c r="C850" s="24" t="str">
        <f aca="false">IF($A850="","",Payroll!S850)</f>
        <v/>
      </c>
      <c r="D850" s="24" t="str">
        <f aca="false">IF($A850="","",SUBSTITUTE(Payroll!T850," ",""))</f>
        <v/>
      </c>
      <c r="E850" s="24" t="str">
        <f aca="false">IF($A850="","",TEXT(Settings!$B$8,"yyyy-mm-dd"))</f>
        <v/>
      </c>
      <c r="F850" s="24" t="str">
        <f aca="false">IF($A850="","",TEXT(Settings!$B$9,"yyyy-mm-dd"))</f>
        <v/>
      </c>
      <c r="G850" s="24" t="str">
        <f aca="false">IF($A850="","",DAY(Settings!$B$9))</f>
        <v/>
      </c>
      <c r="H850" s="26" t="str">
        <f aca="false">IF($A850="","",ROUND(Payroll!R850-Payroll!L850-Payroll!M850,2))</f>
        <v/>
      </c>
      <c r="I850" s="26" t="str">
        <f aca="false">IF($A850="","",ROUND(Payroll!L850+Payroll!M850,2))</f>
        <v/>
      </c>
      <c r="J850" s="24" t="str">
        <f aca="false">IF($A850="","",0)</f>
        <v/>
      </c>
    </row>
    <row r="851" customFormat="false" ht="15" hidden="false" customHeight="false" outlineLevel="0" collapsed="false">
      <c r="A851" s="24" t="str">
        <f aca="false">IF(AND(Payroll!$A851&lt;&gt;"",N(Payroll!$R851)&gt;0),"EDR","")</f>
        <v/>
      </c>
      <c r="B851" s="24" t="str">
        <f aca="false">IF($A851="","",Payroll!U851)</f>
        <v/>
      </c>
      <c r="C851" s="24" t="str">
        <f aca="false">IF($A851="","",Payroll!S851)</f>
        <v/>
      </c>
      <c r="D851" s="24" t="str">
        <f aca="false">IF($A851="","",SUBSTITUTE(Payroll!T851," ",""))</f>
        <v/>
      </c>
      <c r="E851" s="24" t="str">
        <f aca="false">IF($A851="","",TEXT(Settings!$B$8,"yyyy-mm-dd"))</f>
        <v/>
      </c>
      <c r="F851" s="24" t="str">
        <f aca="false">IF($A851="","",TEXT(Settings!$B$9,"yyyy-mm-dd"))</f>
        <v/>
      </c>
      <c r="G851" s="24" t="str">
        <f aca="false">IF($A851="","",DAY(Settings!$B$9))</f>
        <v/>
      </c>
      <c r="H851" s="26" t="str">
        <f aca="false">IF($A851="","",ROUND(Payroll!R851-Payroll!L851-Payroll!M851,2))</f>
        <v/>
      </c>
      <c r="I851" s="26" t="str">
        <f aca="false">IF($A851="","",ROUND(Payroll!L851+Payroll!M851,2))</f>
        <v/>
      </c>
      <c r="J851" s="24" t="str">
        <f aca="false">IF($A851="","",0)</f>
        <v/>
      </c>
    </row>
    <row r="852" customFormat="false" ht="15" hidden="false" customHeight="false" outlineLevel="0" collapsed="false">
      <c r="A852" s="24" t="str">
        <f aca="false">IF(AND(Payroll!$A852&lt;&gt;"",N(Payroll!$R852)&gt;0),"EDR","")</f>
        <v/>
      </c>
      <c r="B852" s="24" t="str">
        <f aca="false">IF($A852="","",Payroll!U852)</f>
        <v/>
      </c>
      <c r="C852" s="24" t="str">
        <f aca="false">IF($A852="","",Payroll!S852)</f>
        <v/>
      </c>
      <c r="D852" s="24" t="str">
        <f aca="false">IF($A852="","",SUBSTITUTE(Payroll!T852," ",""))</f>
        <v/>
      </c>
      <c r="E852" s="24" t="str">
        <f aca="false">IF($A852="","",TEXT(Settings!$B$8,"yyyy-mm-dd"))</f>
        <v/>
      </c>
      <c r="F852" s="24" t="str">
        <f aca="false">IF($A852="","",TEXT(Settings!$B$9,"yyyy-mm-dd"))</f>
        <v/>
      </c>
      <c r="G852" s="24" t="str">
        <f aca="false">IF($A852="","",DAY(Settings!$B$9))</f>
        <v/>
      </c>
      <c r="H852" s="26" t="str">
        <f aca="false">IF($A852="","",ROUND(Payroll!R852-Payroll!L852-Payroll!M852,2))</f>
        <v/>
      </c>
      <c r="I852" s="26" t="str">
        <f aca="false">IF($A852="","",ROUND(Payroll!L852+Payroll!M852,2))</f>
        <v/>
      </c>
      <c r="J852" s="24" t="str">
        <f aca="false">IF($A852="","",0)</f>
        <v/>
      </c>
    </row>
    <row r="853" customFormat="false" ht="15" hidden="false" customHeight="false" outlineLevel="0" collapsed="false">
      <c r="A853" s="24" t="str">
        <f aca="false">IF(AND(Payroll!$A853&lt;&gt;"",N(Payroll!$R853)&gt;0),"EDR","")</f>
        <v/>
      </c>
      <c r="B853" s="24" t="str">
        <f aca="false">IF($A853="","",Payroll!U853)</f>
        <v/>
      </c>
      <c r="C853" s="24" t="str">
        <f aca="false">IF($A853="","",Payroll!S853)</f>
        <v/>
      </c>
      <c r="D853" s="24" t="str">
        <f aca="false">IF($A853="","",SUBSTITUTE(Payroll!T853," ",""))</f>
        <v/>
      </c>
      <c r="E853" s="24" t="str">
        <f aca="false">IF($A853="","",TEXT(Settings!$B$8,"yyyy-mm-dd"))</f>
        <v/>
      </c>
      <c r="F853" s="24" t="str">
        <f aca="false">IF($A853="","",TEXT(Settings!$B$9,"yyyy-mm-dd"))</f>
        <v/>
      </c>
      <c r="G853" s="24" t="str">
        <f aca="false">IF($A853="","",DAY(Settings!$B$9))</f>
        <v/>
      </c>
      <c r="H853" s="26" t="str">
        <f aca="false">IF($A853="","",ROUND(Payroll!R853-Payroll!L853-Payroll!M853,2))</f>
        <v/>
      </c>
      <c r="I853" s="26" t="str">
        <f aca="false">IF($A853="","",ROUND(Payroll!L853+Payroll!M853,2))</f>
        <v/>
      </c>
      <c r="J853" s="24" t="str">
        <f aca="false">IF($A853="","",0)</f>
        <v/>
      </c>
    </row>
    <row r="854" customFormat="false" ht="15" hidden="false" customHeight="false" outlineLevel="0" collapsed="false">
      <c r="A854" s="24" t="str">
        <f aca="false">IF(AND(Payroll!$A854&lt;&gt;"",N(Payroll!$R854)&gt;0),"EDR","")</f>
        <v/>
      </c>
      <c r="B854" s="24" t="str">
        <f aca="false">IF($A854="","",Payroll!U854)</f>
        <v/>
      </c>
      <c r="C854" s="24" t="str">
        <f aca="false">IF($A854="","",Payroll!S854)</f>
        <v/>
      </c>
      <c r="D854" s="24" t="str">
        <f aca="false">IF($A854="","",SUBSTITUTE(Payroll!T854," ",""))</f>
        <v/>
      </c>
      <c r="E854" s="24" t="str">
        <f aca="false">IF($A854="","",TEXT(Settings!$B$8,"yyyy-mm-dd"))</f>
        <v/>
      </c>
      <c r="F854" s="24" t="str">
        <f aca="false">IF($A854="","",TEXT(Settings!$B$9,"yyyy-mm-dd"))</f>
        <v/>
      </c>
      <c r="G854" s="24" t="str">
        <f aca="false">IF($A854="","",DAY(Settings!$B$9))</f>
        <v/>
      </c>
      <c r="H854" s="26" t="str">
        <f aca="false">IF($A854="","",ROUND(Payroll!R854-Payroll!L854-Payroll!M854,2))</f>
        <v/>
      </c>
      <c r="I854" s="26" t="str">
        <f aca="false">IF($A854="","",ROUND(Payroll!L854+Payroll!M854,2))</f>
        <v/>
      </c>
      <c r="J854" s="24" t="str">
        <f aca="false">IF($A854="","",0)</f>
        <v/>
      </c>
    </row>
    <row r="855" customFormat="false" ht="15" hidden="false" customHeight="false" outlineLevel="0" collapsed="false">
      <c r="A855" s="24" t="str">
        <f aca="false">IF(AND(Payroll!$A855&lt;&gt;"",N(Payroll!$R855)&gt;0),"EDR","")</f>
        <v/>
      </c>
      <c r="B855" s="24" t="str">
        <f aca="false">IF($A855="","",Payroll!U855)</f>
        <v/>
      </c>
      <c r="C855" s="24" t="str">
        <f aca="false">IF($A855="","",Payroll!S855)</f>
        <v/>
      </c>
      <c r="D855" s="24" t="str">
        <f aca="false">IF($A855="","",SUBSTITUTE(Payroll!T855," ",""))</f>
        <v/>
      </c>
      <c r="E855" s="24" t="str">
        <f aca="false">IF($A855="","",TEXT(Settings!$B$8,"yyyy-mm-dd"))</f>
        <v/>
      </c>
      <c r="F855" s="24" t="str">
        <f aca="false">IF($A855="","",TEXT(Settings!$B$9,"yyyy-mm-dd"))</f>
        <v/>
      </c>
      <c r="G855" s="24" t="str">
        <f aca="false">IF($A855="","",DAY(Settings!$B$9))</f>
        <v/>
      </c>
      <c r="H855" s="26" t="str">
        <f aca="false">IF($A855="","",ROUND(Payroll!R855-Payroll!L855-Payroll!M855,2))</f>
        <v/>
      </c>
      <c r="I855" s="26" t="str">
        <f aca="false">IF($A855="","",ROUND(Payroll!L855+Payroll!M855,2))</f>
        <v/>
      </c>
      <c r="J855" s="24" t="str">
        <f aca="false">IF($A855="","",0)</f>
        <v/>
      </c>
    </row>
    <row r="856" customFormat="false" ht="15" hidden="false" customHeight="false" outlineLevel="0" collapsed="false">
      <c r="A856" s="24" t="str">
        <f aca="false">IF(AND(Payroll!$A856&lt;&gt;"",N(Payroll!$R856)&gt;0),"EDR","")</f>
        <v/>
      </c>
      <c r="B856" s="24" t="str">
        <f aca="false">IF($A856="","",Payroll!U856)</f>
        <v/>
      </c>
      <c r="C856" s="24" t="str">
        <f aca="false">IF($A856="","",Payroll!S856)</f>
        <v/>
      </c>
      <c r="D856" s="24" t="str">
        <f aca="false">IF($A856="","",SUBSTITUTE(Payroll!T856," ",""))</f>
        <v/>
      </c>
      <c r="E856" s="24" t="str">
        <f aca="false">IF($A856="","",TEXT(Settings!$B$8,"yyyy-mm-dd"))</f>
        <v/>
      </c>
      <c r="F856" s="24" t="str">
        <f aca="false">IF($A856="","",TEXT(Settings!$B$9,"yyyy-mm-dd"))</f>
        <v/>
      </c>
      <c r="G856" s="24" t="str">
        <f aca="false">IF($A856="","",DAY(Settings!$B$9))</f>
        <v/>
      </c>
      <c r="H856" s="26" t="str">
        <f aca="false">IF($A856="","",ROUND(Payroll!R856-Payroll!L856-Payroll!M856,2))</f>
        <v/>
      </c>
      <c r="I856" s="26" t="str">
        <f aca="false">IF($A856="","",ROUND(Payroll!L856+Payroll!M856,2))</f>
        <v/>
      </c>
      <c r="J856" s="24" t="str">
        <f aca="false">IF($A856="","",0)</f>
        <v/>
      </c>
    </row>
    <row r="857" customFormat="false" ht="15" hidden="false" customHeight="false" outlineLevel="0" collapsed="false">
      <c r="A857" s="24" t="str">
        <f aca="false">IF(AND(Payroll!$A857&lt;&gt;"",N(Payroll!$R857)&gt;0),"EDR","")</f>
        <v/>
      </c>
      <c r="B857" s="24" t="str">
        <f aca="false">IF($A857="","",Payroll!U857)</f>
        <v/>
      </c>
      <c r="C857" s="24" t="str">
        <f aca="false">IF($A857="","",Payroll!S857)</f>
        <v/>
      </c>
      <c r="D857" s="24" t="str">
        <f aca="false">IF($A857="","",SUBSTITUTE(Payroll!T857," ",""))</f>
        <v/>
      </c>
      <c r="E857" s="24" t="str">
        <f aca="false">IF($A857="","",TEXT(Settings!$B$8,"yyyy-mm-dd"))</f>
        <v/>
      </c>
      <c r="F857" s="24" t="str">
        <f aca="false">IF($A857="","",TEXT(Settings!$B$9,"yyyy-mm-dd"))</f>
        <v/>
      </c>
      <c r="G857" s="24" t="str">
        <f aca="false">IF($A857="","",DAY(Settings!$B$9))</f>
        <v/>
      </c>
      <c r="H857" s="26" t="str">
        <f aca="false">IF($A857="","",ROUND(Payroll!R857-Payroll!L857-Payroll!M857,2))</f>
        <v/>
      </c>
      <c r="I857" s="26" t="str">
        <f aca="false">IF($A857="","",ROUND(Payroll!L857+Payroll!M857,2))</f>
        <v/>
      </c>
      <c r="J857" s="24" t="str">
        <f aca="false">IF($A857="","",0)</f>
        <v/>
      </c>
    </row>
    <row r="858" customFormat="false" ht="15" hidden="false" customHeight="false" outlineLevel="0" collapsed="false">
      <c r="A858" s="24" t="str">
        <f aca="false">IF(AND(Payroll!$A858&lt;&gt;"",N(Payroll!$R858)&gt;0),"EDR","")</f>
        <v/>
      </c>
      <c r="B858" s="24" t="str">
        <f aca="false">IF($A858="","",Payroll!U858)</f>
        <v/>
      </c>
      <c r="C858" s="24" t="str">
        <f aca="false">IF($A858="","",Payroll!S858)</f>
        <v/>
      </c>
      <c r="D858" s="24" t="str">
        <f aca="false">IF($A858="","",SUBSTITUTE(Payroll!T858," ",""))</f>
        <v/>
      </c>
      <c r="E858" s="24" t="str">
        <f aca="false">IF($A858="","",TEXT(Settings!$B$8,"yyyy-mm-dd"))</f>
        <v/>
      </c>
      <c r="F858" s="24" t="str">
        <f aca="false">IF($A858="","",TEXT(Settings!$B$9,"yyyy-mm-dd"))</f>
        <v/>
      </c>
      <c r="G858" s="24" t="str">
        <f aca="false">IF($A858="","",DAY(Settings!$B$9))</f>
        <v/>
      </c>
      <c r="H858" s="26" t="str">
        <f aca="false">IF($A858="","",ROUND(Payroll!R858-Payroll!L858-Payroll!M858,2))</f>
        <v/>
      </c>
      <c r="I858" s="26" t="str">
        <f aca="false">IF($A858="","",ROUND(Payroll!L858+Payroll!M858,2))</f>
        <v/>
      </c>
      <c r="J858" s="24" t="str">
        <f aca="false">IF($A858="","",0)</f>
        <v/>
      </c>
    </row>
    <row r="859" customFormat="false" ht="15" hidden="false" customHeight="false" outlineLevel="0" collapsed="false">
      <c r="A859" s="24" t="str">
        <f aca="false">IF(AND(Payroll!$A859&lt;&gt;"",N(Payroll!$R859)&gt;0),"EDR","")</f>
        <v/>
      </c>
      <c r="B859" s="24" t="str">
        <f aca="false">IF($A859="","",Payroll!U859)</f>
        <v/>
      </c>
      <c r="C859" s="24" t="str">
        <f aca="false">IF($A859="","",Payroll!S859)</f>
        <v/>
      </c>
      <c r="D859" s="24" t="str">
        <f aca="false">IF($A859="","",SUBSTITUTE(Payroll!T859," ",""))</f>
        <v/>
      </c>
      <c r="E859" s="24" t="str">
        <f aca="false">IF($A859="","",TEXT(Settings!$B$8,"yyyy-mm-dd"))</f>
        <v/>
      </c>
      <c r="F859" s="24" t="str">
        <f aca="false">IF($A859="","",TEXT(Settings!$B$9,"yyyy-mm-dd"))</f>
        <v/>
      </c>
      <c r="G859" s="24" t="str">
        <f aca="false">IF($A859="","",DAY(Settings!$B$9))</f>
        <v/>
      </c>
      <c r="H859" s="26" t="str">
        <f aca="false">IF($A859="","",ROUND(Payroll!R859-Payroll!L859-Payroll!M859,2))</f>
        <v/>
      </c>
      <c r="I859" s="26" t="str">
        <f aca="false">IF($A859="","",ROUND(Payroll!L859+Payroll!M859,2))</f>
        <v/>
      </c>
      <c r="J859" s="24" t="str">
        <f aca="false">IF($A859="","",0)</f>
        <v/>
      </c>
    </row>
    <row r="860" customFormat="false" ht="15" hidden="false" customHeight="false" outlineLevel="0" collapsed="false">
      <c r="A860" s="24" t="str">
        <f aca="false">IF(AND(Payroll!$A860&lt;&gt;"",N(Payroll!$R860)&gt;0),"EDR","")</f>
        <v/>
      </c>
      <c r="B860" s="24" t="str">
        <f aca="false">IF($A860="","",Payroll!U860)</f>
        <v/>
      </c>
      <c r="C860" s="24" t="str">
        <f aca="false">IF($A860="","",Payroll!S860)</f>
        <v/>
      </c>
      <c r="D860" s="24" t="str">
        <f aca="false">IF($A860="","",SUBSTITUTE(Payroll!T860," ",""))</f>
        <v/>
      </c>
      <c r="E860" s="24" t="str">
        <f aca="false">IF($A860="","",TEXT(Settings!$B$8,"yyyy-mm-dd"))</f>
        <v/>
      </c>
      <c r="F860" s="24" t="str">
        <f aca="false">IF($A860="","",TEXT(Settings!$B$9,"yyyy-mm-dd"))</f>
        <v/>
      </c>
      <c r="G860" s="24" t="str">
        <f aca="false">IF($A860="","",DAY(Settings!$B$9))</f>
        <v/>
      </c>
      <c r="H860" s="26" t="str">
        <f aca="false">IF($A860="","",ROUND(Payroll!R860-Payroll!L860-Payroll!M860,2))</f>
        <v/>
      </c>
      <c r="I860" s="26" t="str">
        <f aca="false">IF($A860="","",ROUND(Payroll!L860+Payroll!M860,2))</f>
        <v/>
      </c>
      <c r="J860" s="24" t="str">
        <f aca="false">IF($A860="","",0)</f>
        <v/>
      </c>
    </row>
    <row r="861" customFormat="false" ht="15" hidden="false" customHeight="false" outlineLevel="0" collapsed="false">
      <c r="A861" s="24" t="str">
        <f aca="false">IF(AND(Payroll!$A861&lt;&gt;"",N(Payroll!$R861)&gt;0),"EDR","")</f>
        <v/>
      </c>
      <c r="B861" s="24" t="str">
        <f aca="false">IF($A861="","",Payroll!U861)</f>
        <v/>
      </c>
      <c r="C861" s="24" t="str">
        <f aca="false">IF($A861="","",Payroll!S861)</f>
        <v/>
      </c>
      <c r="D861" s="24" t="str">
        <f aca="false">IF($A861="","",SUBSTITUTE(Payroll!T861," ",""))</f>
        <v/>
      </c>
      <c r="E861" s="24" t="str">
        <f aca="false">IF($A861="","",TEXT(Settings!$B$8,"yyyy-mm-dd"))</f>
        <v/>
      </c>
      <c r="F861" s="24" t="str">
        <f aca="false">IF($A861="","",TEXT(Settings!$B$9,"yyyy-mm-dd"))</f>
        <v/>
      </c>
      <c r="G861" s="24" t="str">
        <f aca="false">IF($A861="","",DAY(Settings!$B$9))</f>
        <v/>
      </c>
      <c r="H861" s="26" t="str">
        <f aca="false">IF($A861="","",ROUND(Payroll!R861-Payroll!L861-Payroll!M861,2))</f>
        <v/>
      </c>
      <c r="I861" s="26" t="str">
        <f aca="false">IF($A861="","",ROUND(Payroll!L861+Payroll!M861,2))</f>
        <v/>
      </c>
      <c r="J861" s="24" t="str">
        <f aca="false">IF($A861="","",0)</f>
        <v/>
      </c>
    </row>
    <row r="862" customFormat="false" ht="15" hidden="false" customHeight="false" outlineLevel="0" collapsed="false">
      <c r="A862" s="24" t="str">
        <f aca="false">IF(AND(Payroll!$A862&lt;&gt;"",N(Payroll!$R862)&gt;0),"EDR","")</f>
        <v/>
      </c>
      <c r="B862" s="24" t="str">
        <f aca="false">IF($A862="","",Payroll!U862)</f>
        <v/>
      </c>
      <c r="C862" s="24" t="str">
        <f aca="false">IF($A862="","",Payroll!S862)</f>
        <v/>
      </c>
      <c r="D862" s="24" t="str">
        <f aca="false">IF($A862="","",SUBSTITUTE(Payroll!T862," ",""))</f>
        <v/>
      </c>
      <c r="E862" s="24" t="str">
        <f aca="false">IF($A862="","",TEXT(Settings!$B$8,"yyyy-mm-dd"))</f>
        <v/>
      </c>
      <c r="F862" s="24" t="str">
        <f aca="false">IF($A862="","",TEXT(Settings!$B$9,"yyyy-mm-dd"))</f>
        <v/>
      </c>
      <c r="G862" s="24" t="str">
        <f aca="false">IF($A862="","",DAY(Settings!$B$9))</f>
        <v/>
      </c>
      <c r="H862" s="26" t="str">
        <f aca="false">IF($A862="","",ROUND(Payroll!R862-Payroll!L862-Payroll!M862,2))</f>
        <v/>
      </c>
      <c r="I862" s="26" t="str">
        <f aca="false">IF($A862="","",ROUND(Payroll!L862+Payroll!M862,2))</f>
        <v/>
      </c>
      <c r="J862" s="24" t="str">
        <f aca="false">IF($A862="","",0)</f>
        <v/>
      </c>
    </row>
    <row r="863" customFormat="false" ht="15" hidden="false" customHeight="false" outlineLevel="0" collapsed="false">
      <c r="A863" s="24" t="str">
        <f aca="false">IF(AND(Payroll!$A863&lt;&gt;"",N(Payroll!$R863)&gt;0),"EDR","")</f>
        <v/>
      </c>
      <c r="B863" s="24" t="str">
        <f aca="false">IF($A863="","",Payroll!U863)</f>
        <v/>
      </c>
      <c r="C863" s="24" t="str">
        <f aca="false">IF($A863="","",Payroll!S863)</f>
        <v/>
      </c>
      <c r="D863" s="24" t="str">
        <f aca="false">IF($A863="","",SUBSTITUTE(Payroll!T863," ",""))</f>
        <v/>
      </c>
      <c r="E863" s="24" t="str">
        <f aca="false">IF($A863="","",TEXT(Settings!$B$8,"yyyy-mm-dd"))</f>
        <v/>
      </c>
      <c r="F863" s="24" t="str">
        <f aca="false">IF($A863="","",TEXT(Settings!$B$9,"yyyy-mm-dd"))</f>
        <v/>
      </c>
      <c r="G863" s="24" t="str">
        <f aca="false">IF($A863="","",DAY(Settings!$B$9))</f>
        <v/>
      </c>
      <c r="H863" s="26" t="str">
        <f aca="false">IF($A863="","",ROUND(Payroll!R863-Payroll!L863-Payroll!M863,2))</f>
        <v/>
      </c>
      <c r="I863" s="26" t="str">
        <f aca="false">IF($A863="","",ROUND(Payroll!L863+Payroll!M863,2))</f>
        <v/>
      </c>
      <c r="J863" s="24" t="str">
        <f aca="false">IF($A863="","",0)</f>
        <v/>
      </c>
    </row>
    <row r="864" customFormat="false" ht="15" hidden="false" customHeight="false" outlineLevel="0" collapsed="false">
      <c r="A864" s="24" t="str">
        <f aca="false">IF(AND(Payroll!$A864&lt;&gt;"",N(Payroll!$R864)&gt;0),"EDR","")</f>
        <v/>
      </c>
      <c r="B864" s="24" t="str">
        <f aca="false">IF($A864="","",Payroll!U864)</f>
        <v/>
      </c>
      <c r="C864" s="24" t="str">
        <f aca="false">IF($A864="","",Payroll!S864)</f>
        <v/>
      </c>
      <c r="D864" s="24" t="str">
        <f aca="false">IF($A864="","",SUBSTITUTE(Payroll!T864," ",""))</f>
        <v/>
      </c>
      <c r="E864" s="24" t="str">
        <f aca="false">IF($A864="","",TEXT(Settings!$B$8,"yyyy-mm-dd"))</f>
        <v/>
      </c>
      <c r="F864" s="24" t="str">
        <f aca="false">IF($A864="","",TEXT(Settings!$B$9,"yyyy-mm-dd"))</f>
        <v/>
      </c>
      <c r="G864" s="24" t="str">
        <f aca="false">IF($A864="","",DAY(Settings!$B$9))</f>
        <v/>
      </c>
      <c r="H864" s="26" t="str">
        <f aca="false">IF($A864="","",ROUND(Payroll!R864-Payroll!L864-Payroll!M864,2))</f>
        <v/>
      </c>
      <c r="I864" s="26" t="str">
        <f aca="false">IF($A864="","",ROUND(Payroll!L864+Payroll!M864,2))</f>
        <v/>
      </c>
      <c r="J864" s="24" t="str">
        <f aca="false">IF($A864="","",0)</f>
        <v/>
      </c>
    </row>
    <row r="865" customFormat="false" ht="15" hidden="false" customHeight="false" outlineLevel="0" collapsed="false">
      <c r="A865" s="24" t="str">
        <f aca="false">IF(AND(Payroll!$A865&lt;&gt;"",N(Payroll!$R865)&gt;0),"EDR","")</f>
        <v/>
      </c>
      <c r="B865" s="24" t="str">
        <f aca="false">IF($A865="","",Payroll!U865)</f>
        <v/>
      </c>
      <c r="C865" s="24" t="str">
        <f aca="false">IF($A865="","",Payroll!S865)</f>
        <v/>
      </c>
      <c r="D865" s="24" t="str">
        <f aca="false">IF($A865="","",SUBSTITUTE(Payroll!T865," ",""))</f>
        <v/>
      </c>
      <c r="E865" s="24" t="str">
        <f aca="false">IF($A865="","",TEXT(Settings!$B$8,"yyyy-mm-dd"))</f>
        <v/>
      </c>
      <c r="F865" s="24" t="str">
        <f aca="false">IF($A865="","",TEXT(Settings!$B$9,"yyyy-mm-dd"))</f>
        <v/>
      </c>
      <c r="G865" s="24" t="str">
        <f aca="false">IF($A865="","",DAY(Settings!$B$9))</f>
        <v/>
      </c>
      <c r="H865" s="26" t="str">
        <f aca="false">IF($A865="","",ROUND(Payroll!R865-Payroll!L865-Payroll!M865,2))</f>
        <v/>
      </c>
      <c r="I865" s="26" t="str">
        <f aca="false">IF($A865="","",ROUND(Payroll!L865+Payroll!M865,2))</f>
        <v/>
      </c>
      <c r="J865" s="24" t="str">
        <f aca="false">IF($A865="","",0)</f>
        <v/>
      </c>
    </row>
    <row r="866" customFormat="false" ht="15" hidden="false" customHeight="false" outlineLevel="0" collapsed="false">
      <c r="A866" s="24" t="str">
        <f aca="false">IF(AND(Payroll!$A866&lt;&gt;"",N(Payroll!$R866)&gt;0),"EDR","")</f>
        <v/>
      </c>
      <c r="B866" s="24" t="str">
        <f aca="false">IF($A866="","",Payroll!U866)</f>
        <v/>
      </c>
      <c r="C866" s="24" t="str">
        <f aca="false">IF($A866="","",Payroll!S866)</f>
        <v/>
      </c>
      <c r="D866" s="24" t="str">
        <f aca="false">IF($A866="","",SUBSTITUTE(Payroll!T866," ",""))</f>
        <v/>
      </c>
      <c r="E866" s="24" t="str">
        <f aca="false">IF($A866="","",TEXT(Settings!$B$8,"yyyy-mm-dd"))</f>
        <v/>
      </c>
      <c r="F866" s="24" t="str">
        <f aca="false">IF($A866="","",TEXT(Settings!$B$9,"yyyy-mm-dd"))</f>
        <v/>
      </c>
      <c r="G866" s="24" t="str">
        <f aca="false">IF($A866="","",DAY(Settings!$B$9))</f>
        <v/>
      </c>
      <c r="H866" s="26" t="str">
        <f aca="false">IF($A866="","",ROUND(Payroll!R866-Payroll!L866-Payroll!M866,2))</f>
        <v/>
      </c>
      <c r="I866" s="26" t="str">
        <f aca="false">IF($A866="","",ROUND(Payroll!L866+Payroll!M866,2))</f>
        <v/>
      </c>
      <c r="J866" s="24" t="str">
        <f aca="false">IF($A866="","",0)</f>
        <v/>
      </c>
    </row>
    <row r="867" customFormat="false" ht="15" hidden="false" customHeight="false" outlineLevel="0" collapsed="false">
      <c r="A867" s="24" t="str">
        <f aca="false">IF(AND(Payroll!$A867&lt;&gt;"",N(Payroll!$R867)&gt;0),"EDR","")</f>
        <v/>
      </c>
      <c r="B867" s="24" t="str">
        <f aca="false">IF($A867="","",Payroll!U867)</f>
        <v/>
      </c>
      <c r="C867" s="24" t="str">
        <f aca="false">IF($A867="","",Payroll!S867)</f>
        <v/>
      </c>
      <c r="D867" s="24" t="str">
        <f aca="false">IF($A867="","",SUBSTITUTE(Payroll!T867," ",""))</f>
        <v/>
      </c>
      <c r="E867" s="24" t="str">
        <f aca="false">IF($A867="","",TEXT(Settings!$B$8,"yyyy-mm-dd"))</f>
        <v/>
      </c>
      <c r="F867" s="24" t="str">
        <f aca="false">IF($A867="","",TEXT(Settings!$B$9,"yyyy-mm-dd"))</f>
        <v/>
      </c>
      <c r="G867" s="24" t="str">
        <f aca="false">IF($A867="","",DAY(Settings!$B$9))</f>
        <v/>
      </c>
      <c r="H867" s="26" t="str">
        <f aca="false">IF($A867="","",ROUND(Payroll!R867-Payroll!L867-Payroll!M867,2))</f>
        <v/>
      </c>
      <c r="I867" s="26" t="str">
        <f aca="false">IF($A867="","",ROUND(Payroll!L867+Payroll!M867,2))</f>
        <v/>
      </c>
      <c r="J867" s="24" t="str">
        <f aca="false">IF($A867="","",0)</f>
        <v/>
      </c>
    </row>
    <row r="868" customFormat="false" ht="15" hidden="false" customHeight="false" outlineLevel="0" collapsed="false">
      <c r="A868" s="24" t="str">
        <f aca="false">IF(AND(Payroll!$A868&lt;&gt;"",N(Payroll!$R868)&gt;0),"EDR","")</f>
        <v/>
      </c>
      <c r="B868" s="24" t="str">
        <f aca="false">IF($A868="","",Payroll!U868)</f>
        <v/>
      </c>
      <c r="C868" s="24" t="str">
        <f aca="false">IF($A868="","",Payroll!S868)</f>
        <v/>
      </c>
      <c r="D868" s="24" t="str">
        <f aca="false">IF($A868="","",SUBSTITUTE(Payroll!T868," ",""))</f>
        <v/>
      </c>
      <c r="E868" s="24" t="str">
        <f aca="false">IF($A868="","",TEXT(Settings!$B$8,"yyyy-mm-dd"))</f>
        <v/>
      </c>
      <c r="F868" s="24" t="str">
        <f aca="false">IF($A868="","",TEXT(Settings!$B$9,"yyyy-mm-dd"))</f>
        <v/>
      </c>
      <c r="G868" s="24" t="str">
        <f aca="false">IF($A868="","",DAY(Settings!$B$9))</f>
        <v/>
      </c>
      <c r="H868" s="26" t="str">
        <f aca="false">IF($A868="","",ROUND(Payroll!R868-Payroll!L868-Payroll!M868,2))</f>
        <v/>
      </c>
      <c r="I868" s="26" t="str">
        <f aca="false">IF($A868="","",ROUND(Payroll!L868+Payroll!M868,2))</f>
        <v/>
      </c>
      <c r="J868" s="24" t="str">
        <f aca="false">IF($A868="","",0)</f>
        <v/>
      </c>
    </row>
    <row r="869" customFormat="false" ht="15" hidden="false" customHeight="false" outlineLevel="0" collapsed="false">
      <c r="A869" s="24" t="str">
        <f aca="false">IF(AND(Payroll!$A869&lt;&gt;"",N(Payroll!$R869)&gt;0),"EDR","")</f>
        <v/>
      </c>
      <c r="B869" s="24" t="str">
        <f aca="false">IF($A869="","",Payroll!U869)</f>
        <v/>
      </c>
      <c r="C869" s="24" t="str">
        <f aca="false">IF($A869="","",Payroll!S869)</f>
        <v/>
      </c>
      <c r="D869" s="24" t="str">
        <f aca="false">IF($A869="","",SUBSTITUTE(Payroll!T869," ",""))</f>
        <v/>
      </c>
      <c r="E869" s="24" t="str">
        <f aca="false">IF($A869="","",TEXT(Settings!$B$8,"yyyy-mm-dd"))</f>
        <v/>
      </c>
      <c r="F869" s="24" t="str">
        <f aca="false">IF($A869="","",TEXT(Settings!$B$9,"yyyy-mm-dd"))</f>
        <v/>
      </c>
      <c r="G869" s="24" t="str">
        <f aca="false">IF($A869="","",DAY(Settings!$B$9))</f>
        <v/>
      </c>
      <c r="H869" s="26" t="str">
        <f aca="false">IF($A869="","",ROUND(Payroll!R869-Payroll!L869-Payroll!M869,2))</f>
        <v/>
      </c>
      <c r="I869" s="26" t="str">
        <f aca="false">IF($A869="","",ROUND(Payroll!L869+Payroll!M869,2))</f>
        <v/>
      </c>
      <c r="J869" s="24" t="str">
        <f aca="false">IF($A869="","",0)</f>
        <v/>
      </c>
    </row>
    <row r="870" customFormat="false" ht="15" hidden="false" customHeight="false" outlineLevel="0" collapsed="false">
      <c r="A870" s="24" t="str">
        <f aca="false">IF(AND(Payroll!$A870&lt;&gt;"",N(Payroll!$R870)&gt;0),"EDR","")</f>
        <v/>
      </c>
      <c r="B870" s="24" t="str">
        <f aca="false">IF($A870="","",Payroll!U870)</f>
        <v/>
      </c>
      <c r="C870" s="24" t="str">
        <f aca="false">IF($A870="","",Payroll!S870)</f>
        <v/>
      </c>
      <c r="D870" s="24" t="str">
        <f aca="false">IF($A870="","",SUBSTITUTE(Payroll!T870," ",""))</f>
        <v/>
      </c>
      <c r="E870" s="24" t="str">
        <f aca="false">IF($A870="","",TEXT(Settings!$B$8,"yyyy-mm-dd"))</f>
        <v/>
      </c>
      <c r="F870" s="24" t="str">
        <f aca="false">IF($A870="","",TEXT(Settings!$B$9,"yyyy-mm-dd"))</f>
        <v/>
      </c>
      <c r="G870" s="24" t="str">
        <f aca="false">IF($A870="","",DAY(Settings!$B$9))</f>
        <v/>
      </c>
      <c r="H870" s="26" t="str">
        <f aca="false">IF($A870="","",ROUND(Payroll!R870-Payroll!L870-Payroll!M870,2))</f>
        <v/>
      </c>
      <c r="I870" s="26" t="str">
        <f aca="false">IF($A870="","",ROUND(Payroll!L870+Payroll!M870,2))</f>
        <v/>
      </c>
      <c r="J870" s="24" t="str">
        <f aca="false">IF($A870="","",0)</f>
        <v/>
      </c>
    </row>
    <row r="871" customFormat="false" ht="15" hidden="false" customHeight="false" outlineLevel="0" collapsed="false">
      <c r="A871" s="24" t="str">
        <f aca="false">IF(AND(Payroll!$A871&lt;&gt;"",N(Payroll!$R871)&gt;0),"EDR","")</f>
        <v/>
      </c>
      <c r="B871" s="24" t="str">
        <f aca="false">IF($A871="","",Payroll!U871)</f>
        <v/>
      </c>
      <c r="C871" s="24" t="str">
        <f aca="false">IF($A871="","",Payroll!S871)</f>
        <v/>
      </c>
      <c r="D871" s="24" t="str">
        <f aca="false">IF($A871="","",SUBSTITUTE(Payroll!T871," ",""))</f>
        <v/>
      </c>
      <c r="E871" s="24" t="str">
        <f aca="false">IF($A871="","",TEXT(Settings!$B$8,"yyyy-mm-dd"))</f>
        <v/>
      </c>
      <c r="F871" s="24" t="str">
        <f aca="false">IF($A871="","",TEXT(Settings!$B$9,"yyyy-mm-dd"))</f>
        <v/>
      </c>
      <c r="G871" s="24" t="str">
        <f aca="false">IF($A871="","",DAY(Settings!$B$9))</f>
        <v/>
      </c>
      <c r="H871" s="26" t="str">
        <f aca="false">IF($A871="","",ROUND(Payroll!R871-Payroll!L871-Payroll!M871,2))</f>
        <v/>
      </c>
      <c r="I871" s="26" t="str">
        <f aca="false">IF($A871="","",ROUND(Payroll!L871+Payroll!M871,2))</f>
        <v/>
      </c>
      <c r="J871" s="24" t="str">
        <f aca="false">IF($A871="","",0)</f>
        <v/>
      </c>
    </row>
    <row r="872" customFormat="false" ht="15" hidden="false" customHeight="false" outlineLevel="0" collapsed="false">
      <c r="A872" s="24" t="str">
        <f aca="false">IF(AND(Payroll!$A872&lt;&gt;"",N(Payroll!$R872)&gt;0),"EDR","")</f>
        <v/>
      </c>
      <c r="B872" s="24" t="str">
        <f aca="false">IF($A872="","",Payroll!U872)</f>
        <v/>
      </c>
      <c r="C872" s="24" t="str">
        <f aca="false">IF($A872="","",Payroll!S872)</f>
        <v/>
      </c>
      <c r="D872" s="24" t="str">
        <f aca="false">IF($A872="","",SUBSTITUTE(Payroll!T872," ",""))</f>
        <v/>
      </c>
      <c r="E872" s="24" t="str">
        <f aca="false">IF($A872="","",TEXT(Settings!$B$8,"yyyy-mm-dd"))</f>
        <v/>
      </c>
      <c r="F872" s="24" t="str">
        <f aca="false">IF($A872="","",TEXT(Settings!$B$9,"yyyy-mm-dd"))</f>
        <v/>
      </c>
      <c r="G872" s="24" t="str">
        <f aca="false">IF($A872="","",DAY(Settings!$B$9))</f>
        <v/>
      </c>
      <c r="H872" s="26" t="str">
        <f aca="false">IF($A872="","",ROUND(Payroll!R872-Payroll!L872-Payroll!M872,2))</f>
        <v/>
      </c>
      <c r="I872" s="26" t="str">
        <f aca="false">IF($A872="","",ROUND(Payroll!L872+Payroll!M872,2))</f>
        <v/>
      </c>
      <c r="J872" s="24" t="str">
        <f aca="false">IF($A872="","",0)</f>
        <v/>
      </c>
    </row>
    <row r="873" customFormat="false" ht="15" hidden="false" customHeight="false" outlineLevel="0" collapsed="false">
      <c r="A873" s="24" t="str">
        <f aca="false">IF(AND(Payroll!$A873&lt;&gt;"",N(Payroll!$R873)&gt;0),"EDR","")</f>
        <v/>
      </c>
      <c r="B873" s="24" t="str">
        <f aca="false">IF($A873="","",Payroll!U873)</f>
        <v/>
      </c>
      <c r="C873" s="24" t="str">
        <f aca="false">IF($A873="","",Payroll!S873)</f>
        <v/>
      </c>
      <c r="D873" s="24" t="str">
        <f aca="false">IF($A873="","",SUBSTITUTE(Payroll!T873," ",""))</f>
        <v/>
      </c>
      <c r="E873" s="24" t="str">
        <f aca="false">IF($A873="","",TEXT(Settings!$B$8,"yyyy-mm-dd"))</f>
        <v/>
      </c>
      <c r="F873" s="24" t="str">
        <f aca="false">IF($A873="","",TEXT(Settings!$B$9,"yyyy-mm-dd"))</f>
        <v/>
      </c>
      <c r="G873" s="24" t="str">
        <f aca="false">IF($A873="","",DAY(Settings!$B$9))</f>
        <v/>
      </c>
      <c r="H873" s="26" t="str">
        <f aca="false">IF($A873="","",ROUND(Payroll!R873-Payroll!L873-Payroll!M873,2))</f>
        <v/>
      </c>
      <c r="I873" s="26" t="str">
        <f aca="false">IF($A873="","",ROUND(Payroll!L873+Payroll!M873,2))</f>
        <v/>
      </c>
      <c r="J873" s="24" t="str">
        <f aca="false">IF($A873="","",0)</f>
        <v/>
      </c>
    </row>
    <row r="874" customFormat="false" ht="15" hidden="false" customHeight="false" outlineLevel="0" collapsed="false">
      <c r="A874" s="24" t="str">
        <f aca="false">IF(AND(Payroll!$A874&lt;&gt;"",N(Payroll!$R874)&gt;0),"EDR","")</f>
        <v/>
      </c>
      <c r="B874" s="24" t="str">
        <f aca="false">IF($A874="","",Payroll!U874)</f>
        <v/>
      </c>
      <c r="C874" s="24" t="str">
        <f aca="false">IF($A874="","",Payroll!S874)</f>
        <v/>
      </c>
      <c r="D874" s="24" t="str">
        <f aca="false">IF($A874="","",SUBSTITUTE(Payroll!T874," ",""))</f>
        <v/>
      </c>
      <c r="E874" s="24" t="str">
        <f aca="false">IF($A874="","",TEXT(Settings!$B$8,"yyyy-mm-dd"))</f>
        <v/>
      </c>
      <c r="F874" s="24" t="str">
        <f aca="false">IF($A874="","",TEXT(Settings!$B$9,"yyyy-mm-dd"))</f>
        <v/>
      </c>
      <c r="G874" s="24" t="str">
        <f aca="false">IF($A874="","",DAY(Settings!$B$9))</f>
        <v/>
      </c>
      <c r="H874" s="26" t="str">
        <f aca="false">IF($A874="","",ROUND(Payroll!R874-Payroll!L874-Payroll!M874,2))</f>
        <v/>
      </c>
      <c r="I874" s="26" t="str">
        <f aca="false">IF($A874="","",ROUND(Payroll!L874+Payroll!M874,2))</f>
        <v/>
      </c>
      <c r="J874" s="24" t="str">
        <f aca="false">IF($A874="","",0)</f>
        <v/>
      </c>
    </row>
    <row r="875" customFormat="false" ht="15" hidden="false" customHeight="false" outlineLevel="0" collapsed="false">
      <c r="A875" s="24" t="str">
        <f aca="false">IF(AND(Payroll!$A875&lt;&gt;"",N(Payroll!$R875)&gt;0),"EDR","")</f>
        <v/>
      </c>
      <c r="B875" s="24" t="str">
        <f aca="false">IF($A875="","",Payroll!U875)</f>
        <v/>
      </c>
      <c r="C875" s="24" t="str">
        <f aca="false">IF($A875="","",Payroll!S875)</f>
        <v/>
      </c>
      <c r="D875" s="24" t="str">
        <f aca="false">IF($A875="","",SUBSTITUTE(Payroll!T875," ",""))</f>
        <v/>
      </c>
      <c r="E875" s="24" t="str">
        <f aca="false">IF($A875="","",TEXT(Settings!$B$8,"yyyy-mm-dd"))</f>
        <v/>
      </c>
      <c r="F875" s="24" t="str">
        <f aca="false">IF($A875="","",TEXT(Settings!$B$9,"yyyy-mm-dd"))</f>
        <v/>
      </c>
      <c r="G875" s="24" t="str">
        <f aca="false">IF($A875="","",DAY(Settings!$B$9))</f>
        <v/>
      </c>
      <c r="H875" s="26" t="str">
        <f aca="false">IF($A875="","",ROUND(Payroll!R875-Payroll!L875-Payroll!M875,2))</f>
        <v/>
      </c>
      <c r="I875" s="26" t="str">
        <f aca="false">IF($A875="","",ROUND(Payroll!L875+Payroll!M875,2))</f>
        <v/>
      </c>
      <c r="J875" s="24" t="str">
        <f aca="false">IF($A875="","",0)</f>
        <v/>
      </c>
    </row>
    <row r="876" customFormat="false" ht="15" hidden="false" customHeight="false" outlineLevel="0" collapsed="false">
      <c r="A876" s="24" t="str">
        <f aca="false">IF(AND(Payroll!$A876&lt;&gt;"",N(Payroll!$R876)&gt;0),"EDR","")</f>
        <v/>
      </c>
      <c r="B876" s="24" t="str">
        <f aca="false">IF($A876="","",Payroll!U876)</f>
        <v/>
      </c>
      <c r="C876" s="24" t="str">
        <f aca="false">IF($A876="","",Payroll!S876)</f>
        <v/>
      </c>
      <c r="D876" s="24" t="str">
        <f aca="false">IF($A876="","",SUBSTITUTE(Payroll!T876," ",""))</f>
        <v/>
      </c>
      <c r="E876" s="24" t="str">
        <f aca="false">IF($A876="","",TEXT(Settings!$B$8,"yyyy-mm-dd"))</f>
        <v/>
      </c>
      <c r="F876" s="24" t="str">
        <f aca="false">IF($A876="","",TEXT(Settings!$B$9,"yyyy-mm-dd"))</f>
        <v/>
      </c>
      <c r="G876" s="24" t="str">
        <f aca="false">IF($A876="","",DAY(Settings!$B$9))</f>
        <v/>
      </c>
      <c r="H876" s="26" t="str">
        <f aca="false">IF($A876="","",ROUND(Payroll!R876-Payroll!L876-Payroll!M876,2))</f>
        <v/>
      </c>
      <c r="I876" s="26" t="str">
        <f aca="false">IF($A876="","",ROUND(Payroll!L876+Payroll!M876,2))</f>
        <v/>
      </c>
      <c r="J876" s="24" t="str">
        <f aca="false">IF($A876="","",0)</f>
        <v/>
      </c>
    </row>
    <row r="877" customFormat="false" ht="15" hidden="false" customHeight="false" outlineLevel="0" collapsed="false">
      <c r="A877" s="24" t="str">
        <f aca="false">IF(AND(Payroll!$A877&lt;&gt;"",N(Payroll!$R877)&gt;0),"EDR","")</f>
        <v/>
      </c>
      <c r="B877" s="24" t="str">
        <f aca="false">IF($A877="","",Payroll!U877)</f>
        <v/>
      </c>
      <c r="C877" s="24" t="str">
        <f aca="false">IF($A877="","",Payroll!S877)</f>
        <v/>
      </c>
      <c r="D877" s="24" t="str">
        <f aca="false">IF($A877="","",SUBSTITUTE(Payroll!T877," ",""))</f>
        <v/>
      </c>
      <c r="E877" s="24" t="str">
        <f aca="false">IF($A877="","",TEXT(Settings!$B$8,"yyyy-mm-dd"))</f>
        <v/>
      </c>
      <c r="F877" s="24" t="str">
        <f aca="false">IF($A877="","",TEXT(Settings!$B$9,"yyyy-mm-dd"))</f>
        <v/>
      </c>
      <c r="G877" s="24" t="str">
        <f aca="false">IF($A877="","",DAY(Settings!$B$9))</f>
        <v/>
      </c>
      <c r="H877" s="26" t="str">
        <f aca="false">IF($A877="","",ROUND(Payroll!R877-Payroll!L877-Payroll!M877,2))</f>
        <v/>
      </c>
      <c r="I877" s="26" t="str">
        <f aca="false">IF($A877="","",ROUND(Payroll!L877+Payroll!M877,2))</f>
        <v/>
      </c>
      <c r="J877" s="24" t="str">
        <f aca="false">IF($A877="","",0)</f>
        <v/>
      </c>
    </row>
    <row r="878" customFormat="false" ht="15" hidden="false" customHeight="false" outlineLevel="0" collapsed="false">
      <c r="A878" s="24" t="str">
        <f aca="false">IF(AND(Payroll!$A878&lt;&gt;"",N(Payroll!$R878)&gt;0),"EDR","")</f>
        <v/>
      </c>
      <c r="B878" s="24" t="str">
        <f aca="false">IF($A878="","",Payroll!U878)</f>
        <v/>
      </c>
      <c r="C878" s="24" t="str">
        <f aca="false">IF($A878="","",Payroll!S878)</f>
        <v/>
      </c>
      <c r="D878" s="24" t="str">
        <f aca="false">IF($A878="","",SUBSTITUTE(Payroll!T878," ",""))</f>
        <v/>
      </c>
      <c r="E878" s="24" t="str">
        <f aca="false">IF($A878="","",TEXT(Settings!$B$8,"yyyy-mm-dd"))</f>
        <v/>
      </c>
      <c r="F878" s="24" t="str">
        <f aca="false">IF($A878="","",TEXT(Settings!$B$9,"yyyy-mm-dd"))</f>
        <v/>
      </c>
      <c r="G878" s="24" t="str">
        <f aca="false">IF($A878="","",DAY(Settings!$B$9))</f>
        <v/>
      </c>
      <c r="H878" s="26" t="str">
        <f aca="false">IF($A878="","",ROUND(Payroll!R878-Payroll!L878-Payroll!M878,2))</f>
        <v/>
      </c>
      <c r="I878" s="26" t="str">
        <f aca="false">IF($A878="","",ROUND(Payroll!L878+Payroll!M878,2))</f>
        <v/>
      </c>
      <c r="J878" s="24" t="str">
        <f aca="false">IF($A878="","",0)</f>
        <v/>
      </c>
    </row>
    <row r="879" customFormat="false" ht="15" hidden="false" customHeight="false" outlineLevel="0" collapsed="false">
      <c r="A879" s="24" t="str">
        <f aca="false">IF(AND(Payroll!$A879&lt;&gt;"",N(Payroll!$R879)&gt;0),"EDR","")</f>
        <v/>
      </c>
      <c r="B879" s="24" t="str">
        <f aca="false">IF($A879="","",Payroll!U879)</f>
        <v/>
      </c>
      <c r="C879" s="24" t="str">
        <f aca="false">IF($A879="","",Payroll!S879)</f>
        <v/>
      </c>
      <c r="D879" s="24" t="str">
        <f aca="false">IF($A879="","",SUBSTITUTE(Payroll!T879," ",""))</f>
        <v/>
      </c>
      <c r="E879" s="24" t="str">
        <f aca="false">IF($A879="","",TEXT(Settings!$B$8,"yyyy-mm-dd"))</f>
        <v/>
      </c>
      <c r="F879" s="24" t="str">
        <f aca="false">IF($A879="","",TEXT(Settings!$B$9,"yyyy-mm-dd"))</f>
        <v/>
      </c>
      <c r="G879" s="24" t="str">
        <f aca="false">IF($A879="","",DAY(Settings!$B$9))</f>
        <v/>
      </c>
      <c r="H879" s="26" t="str">
        <f aca="false">IF($A879="","",ROUND(Payroll!R879-Payroll!L879-Payroll!M879,2))</f>
        <v/>
      </c>
      <c r="I879" s="26" t="str">
        <f aca="false">IF($A879="","",ROUND(Payroll!L879+Payroll!M879,2))</f>
        <v/>
      </c>
      <c r="J879" s="24" t="str">
        <f aca="false">IF($A879="","",0)</f>
        <v/>
      </c>
    </row>
    <row r="880" customFormat="false" ht="15" hidden="false" customHeight="false" outlineLevel="0" collapsed="false">
      <c r="A880" s="24" t="str">
        <f aca="false">IF(AND(Payroll!$A880&lt;&gt;"",N(Payroll!$R880)&gt;0),"EDR","")</f>
        <v/>
      </c>
      <c r="B880" s="24" t="str">
        <f aca="false">IF($A880="","",Payroll!U880)</f>
        <v/>
      </c>
      <c r="C880" s="24" t="str">
        <f aca="false">IF($A880="","",Payroll!S880)</f>
        <v/>
      </c>
      <c r="D880" s="24" t="str">
        <f aca="false">IF($A880="","",SUBSTITUTE(Payroll!T880," ",""))</f>
        <v/>
      </c>
      <c r="E880" s="24" t="str">
        <f aca="false">IF($A880="","",TEXT(Settings!$B$8,"yyyy-mm-dd"))</f>
        <v/>
      </c>
      <c r="F880" s="24" t="str">
        <f aca="false">IF($A880="","",TEXT(Settings!$B$9,"yyyy-mm-dd"))</f>
        <v/>
      </c>
      <c r="G880" s="24" t="str">
        <f aca="false">IF($A880="","",DAY(Settings!$B$9))</f>
        <v/>
      </c>
      <c r="H880" s="26" t="str">
        <f aca="false">IF($A880="","",ROUND(Payroll!R880-Payroll!L880-Payroll!M880,2))</f>
        <v/>
      </c>
      <c r="I880" s="26" t="str">
        <f aca="false">IF($A880="","",ROUND(Payroll!L880+Payroll!M880,2))</f>
        <v/>
      </c>
      <c r="J880" s="24" t="str">
        <f aca="false">IF($A880="","",0)</f>
        <v/>
      </c>
    </row>
    <row r="881" customFormat="false" ht="15" hidden="false" customHeight="false" outlineLevel="0" collapsed="false">
      <c r="A881" s="24" t="str">
        <f aca="false">IF(AND(Payroll!$A881&lt;&gt;"",N(Payroll!$R881)&gt;0),"EDR","")</f>
        <v/>
      </c>
      <c r="B881" s="24" t="str">
        <f aca="false">IF($A881="","",Payroll!U881)</f>
        <v/>
      </c>
      <c r="C881" s="24" t="str">
        <f aca="false">IF($A881="","",Payroll!S881)</f>
        <v/>
      </c>
      <c r="D881" s="24" t="str">
        <f aca="false">IF($A881="","",SUBSTITUTE(Payroll!T881," ",""))</f>
        <v/>
      </c>
      <c r="E881" s="24" t="str">
        <f aca="false">IF($A881="","",TEXT(Settings!$B$8,"yyyy-mm-dd"))</f>
        <v/>
      </c>
      <c r="F881" s="24" t="str">
        <f aca="false">IF($A881="","",TEXT(Settings!$B$9,"yyyy-mm-dd"))</f>
        <v/>
      </c>
      <c r="G881" s="24" t="str">
        <f aca="false">IF($A881="","",DAY(Settings!$B$9))</f>
        <v/>
      </c>
      <c r="H881" s="26" t="str">
        <f aca="false">IF($A881="","",ROUND(Payroll!R881-Payroll!L881-Payroll!M881,2))</f>
        <v/>
      </c>
      <c r="I881" s="26" t="str">
        <f aca="false">IF($A881="","",ROUND(Payroll!L881+Payroll!M881,2))</f>
        <v/>
      </c>
      <c r="J881" s="24" t="str">
        <f aca="false">IF($A881="","",0)</f>
        <v/>
      </c>
    </row>
    <row r="882" customFormat="false" ht="15" hidden="false" customHeight="false" outlineLevel="0" collapsed="false">
      <c r="A882" s="24" t="str">
        <f aca="false">IF(AND(Payroll!$A882&lt;&gt;"",N(Payroll!$R882)&gt;0),"EDR","")</f>
        <v/>
      </c>
      <c r="B882" s="24" t="str">
        <f aca="false">IF($A882="","",Payroll!U882)</f>
        <v/>
      </c>
      <c r="C882" s="24" t="str">
        <f aca="false">IF($A882="","",Payroll!S882)</f>
        <v/>
      </c>
      <c r="D882" s="24" t="str">
        <f aca="false">IF($A882="","",SUBSTITUTE(Payroll!T882," ",""))</f>
        <v/>
      </c>
      <c r="E882" s="24" t="str">
        <f aca="false">IF($A882="","",TEXT(Settings!$B$8,"yyyy-mm-dd"))</f>
        <v/>
      </c>
      <c r="F882" s="24" t="str">
        <f aca="false">IF($A882="","",TEXT(Settings!$B$9,"yyyy-mm-dd"))</f>
        <v/>
      </c>
      <c r="G882" s="24" t="str">
        <f aca="false">IF($A882="","",DAY(Settings!$B$9))</f>
        <v/>
      </c>
      <c r="H882" s="26" t="str">
        <f aca="false">IF($A882="","",ROUND(Payroll!R882-Payroll!L882-Payroll!M882,2))</f>
        <v/>
      </c>
      <c r="I882" s="26" t="str">
        <f aca="false">IF($A882="","",ROUND(Payroll!L882+Payroll!M882,2))</f>
        <v/>
      </c>
      <c r="J882" s="24" t="str">
        <f aca="false">IF($A882="","",0)</f>
        <v/>
      </c>
    </row>
    <row r="883" customFormat="false" ht="15" hidden="false" customHeight="false" outlineLevel="0" collapsed="false">
      <c r="A883" s="24" t="str">
        <f aca="false">IF(AND(Payroll!$A883&lt;&gt;"",N(Payroll!$R883)&gt;0),"EDR","")</f>
        <v/>
      </c>
      <c r="B883" s="24" t="str">
        <f aca="false">IF($A883="","",Payroll!U883)</f>
        <v/>
      </c>
      <c r="C883" s="24" t="str">
        <f aca="false">IF($A883="","",Payroll!S883)</f>
        <v/>
      </c>
      <c r="D883" s="24" t="str">
        <f aca="false">IF($A883="","",SUBSTITUTE(Payroll!T883," ",""))</f>
        <v/>
      </c>
      <c r="E883" s="24" t="str">
        <f aca="false">IF($A883="","",TEXT(Settings!$B$8,"yyyy-mm-dd"))</f>
        <v/>
      </c>
      <c r="F883" s="24" t="str">
        <f aca="false">IF($A883="","",TEXT(Settings!$B$9,"yyyy-mm-dd"))</f>
        <v/>
      </c>
      <c r="G883" s="24" t="str">
        <f aca="false">IF($A883="","",DAY(Settings!$B$9))</f>
        <v/>
      </c>
      <c r="H883" s="26" t="str">
        <f aca="false">IF($A883="","",ROUND(Payroll!R883-Payroll!L883-Payroll!M883,2))</f>
        <v/>
      </c>
      <c r="I883" s="26" t="str">
        <f aca="false">IF($A883="","",ROUND(Payroll!L883+Payroll!M883,2))</f>
        <v/>
      </c>
      <c r="J883" s="24" t="str">
        <f aca="false">IF($A883="","",0)</f>
        <v/>
      </c>
    </row>
    <row r="884" customFormat="false" ht="15" hidden="false" customHeight="false" outlineLevel="0" collapsed="false">
      <c r="A884" s="24" t="str">
        <f aca="false">IF(AND(Payroll!$A884&lt;&gt;"",N(Payroll!$R884)&gt;0),"EDR","")</f>
        <v/>
      </c>
      <c r="B884" s="24" t="str">
        <f aca="false">IF($A884="","",Payroll!U884)</f>
        <v/>
      </c>
      <c r="C884" s="24" t="str">
        <f aca="false">IF($A884="","",Payroll!S884)</f>
        <v/>
      </c>
      <c r="D884" s="24" t="str">
        <f aca="false">IF($A884="","",SUBSTITUTE(Payroll!T884," ",""))</f>
        <v/>
      </c>
      <c r="E884" s="24" t="str">
        <f aca="false">IF($A884="","",TEXT(Settings!$B$8,"yyyy-mm-dd"))</f>
        <v/>
      </c>
      <c r="F884" s="24" t="str">
        <f aca="false">IF($A884="","",TEXT(Settings!$B$9,"yyyy-mm-dd"))</f>
        <v/>
      </c>
      <c r="G884" s="24" t="str">
        <f aca="false">IF($A884="","",DAY(Settings!$B$9))</f>
        <v/>
      </c>
      <c r="H884" s="26" t="str">
        <f aca="false">IF($A884="","",ROUND(Payroll!R884-Payroll!L884-Payroll!M884,2))</f>
        <v/>
      </c>
      <c r="I884" s="26" t="str">
        <f aca="false">IF($A884="","",ROUND(Payroll!L884+Payroll!M884,2))</f>
        <v/>
      </c>
      <c r="J884" s="24" t="str">
        <f aca="false">IF($A884="","",0)</f>
        <v/>
      </c>
    </row>
    <row r="885" customFormat="false" ht="15" hidden="false" customHeight="false" outlineLevel="0" collapsed="false">
      <c r="A885" s="24" t="str">
        <f aca="false">IF(AND(Payroll!$A885&lt;&gt;"",N(Payroll!$R885)&gt;0),"EDR","")</f>
        <v/>
      </c>
      <c r="B885" s="24" t="str">
        <f aca="false">IF($A885="","",Payroll!U885)</f>
        <v/>
      </c>
      <c r="C885" s="24" t="str">
        <f aca="false">IF($A885="","",Payroll!S885)</f>
        <v/>
      </c>
      <c r="D885" s="24" t="str">
        <f aca="false">IF($A885="","",SUBSTITUTE(Payroll!T885," ",""))</f>
        <v/>
      </c>
      <c r="E885" s="24" t="str">
        <f aca="false">IF($A885="","",TEXT(Settings!$B$8,"yyyy-mm-dd"))</f>
        <v/>
      </c>
      <c r="F885" s="24" t="str">
        <f aca="false">IF($A885="","",TEXT(Settings!$B$9,"yyyy-mm-dd"))</f>
        <v/>
      </c>
      <c r="G885" s="24" t="str">
        <f aca="false">IF($A885="","",DAY(Settings!$B$9))</f>
        <v/>
      </c>
      <c r="H885" s="26" t="str">
        <f aca="false">IF($A885="","",ROUND(Payroll!R885-Payroll!L885-Payroll!M885,2))</f>
        <v/>
      </c>
      <c r="I885" s="26" t="str">
        <f aca="false">IF($A885="","",ROUND(Payroll!L885+Payroll!M885,2))</f>
        <v/>
      </c>
      <c r="J885" s="24" t="str">
        <f aca="false">IF($A885="","",0)</f>
        <v/>
      </c>
    </row>
    <row r="886" customFormat="false" ht="15" hidden="false" customHeight="false" outlineLevel="0" collapsed="false">
      <c r="A886" s="24" t="str">
        <f aca="false">IF(AND(Payroll!$A886&lt;&gt;"",N(Payroll!$R886)&gt;0),"EDR","")</f>
        <v/>
      </c>
      <c r="B886" s="24" t="str">
        <f aca="false">IF($A886="","",Payroll!U886)</f>
        <v/>
      </c>
      <c r="C886" s="24" t="str">
        <f aca="false">IF($A886="","",Payroll!S886)</f>
        <v/>
      </c>
      <c r="D886" s="24" t="str">
        <f aca="false">IF($A886="","",SUBSTITUTE(Payroll!T886," ",""))</f>
        <v/>
      </c>
      <c r="E886" s="24" t="str">
        <f aca="false">IF($A886="","",TEXT(Settings!$B$8,"yyyy-mm-dd"))</f>
        <v/>
      </c>
      <c r="F886" s="24" t="str">
        <f aca="false">IF($A886="","",TEXT(Settings!$B$9,"yyyy-mm-dd"))</f>
        <v/>
      </c>
      <c r="G886" s="24" t="str">
        <f aca="false">IF($A886="","",DAY(Settings!$B$9))</f>
        <v/>
      </c>
      <c r="H886" s="26" t="str">
        <f aca="false">IF($A886="","",ROUND(Payroll!R886-Payroll!L886-Payroll!M886,2))</f>
        <v/>
      </c>
      <c r="I886" s="26" t="str">
        <f aca="false">IF($A886="","",ROUND(Payroll!L886+Payroll!M886,2))</f>
        <v/>
      </c>
      <c r="J886" s="24" t="str">
        <f aca="false">IF($A886="","",0)</f>
        <v/>
      </c>
    </row>
    <row r="887" customFormat="false" ht="15" hidden="false" customHeight="false" outlineLevel="0" collapsed="false">
      <c r="A887" s="24" t="str">
        <f aca="false">IF(AND(Payroll!$A887&lt;&gt;"",N(Payroll!$R887)&gt;0),"EDR","")</f>
        <v/>
      </c>
      <c r="B887" s="24" t="str">
        <f aca="false">IF($A887="","",Payroll!U887)</f>
        <v/>
      </c>
      <c r="C887" s="24" t="str">
        <f aca="false">IF($A887="","",Payroll!S887)</f>
        <v/>
      </c>
      <c r="D887" s="24" t="str">
        <f aca="false">IF($A887="","",SUBSTITUTE(Payroll!T887," ",""))</f>
        <v/>
      </c>
      <c r="E887" s="24" t="str">
        <f aca="false">IF($A887="","",TEXT(Settings!$B$8,"yyyy-mm-dd"))</f>
        <v/>
      </c>
      <c r="F887" s="24" t="str">
        <f aca="false">IF($A887="","",TEXT(Settings!$B$9,"yyyy-mm-dd"))</f>
        <v/>
      </c>
      <c r="G887" s="24" t="str">
        <f aca="false">IF($A887="","",DAY(Settings!$B$9))</f>
        <v/>
      </c>
      <c r="H887" s="26" t="str">
        <f aca="false">IF($A887="","",ROUND(Payroll!R887-Payroll!L887-Payroll!M887,2))</f>
        <v/>
      </c>
      <c r="I887" s="26" t="str">
        <f aca="false">IF($A887="","",ROUND(Payroll!L887+Payroll!M887,2))</f>
        <v/>
      </c>
      <c r="J887" s="24" t="str">
        <f aca="false">IF($A887="","",0)</f>
        <v/>
      </c>
    </row>
    <row r="888" customFormat="false" ht="15" hidden="false" customHeight="false" outlineLevel="0" collapsed="false">
      <c r="A888" s="24" t="str">
        <f aca="false">IF(AND(Payroll!$A888&lt;&gt;"",N(Payroll!$R888)&gt;0),"EDR","")</f>
        <v/>
      </c>
      <c r="B888" s="24" t="str">
        <f aca="false">IF($A888="","",Payroll!U888)</f>
        <v/>
      </c>
      <c r="C888" s="24" t="str">
        <f aca="false">IF($A888="","",Payroll!S888)</f>
        <v/>
      </c>
      <c r="D888" s="24" t="str">
        <f aca="false">IF($A888="","",SUBSTITUTE(Payroll!T888," ",""))</f>
        <v/>
      </c>
      <c r="E888" s="24" t="str">
        <f aca="false">IF($A888="","",TEXT(Settings!$B$8,"yyyy-mm-dd"))</f>
        <v/>
      </c>
      <c r="F888" s="24" t="str">
        <f aca="false">IF($A888="","",TEXT(Settings!$B$9,"yyyy-mm-dd"))</f>
        <v/>
      </c>
      <c r="G888" s="24" t="str">
        <f aca="false">IF($A888="","",DAY(Settings!$B$9))</f>
        <v/>
      </c>
      <c r="H888" s="26" t="str">
        <f aca="false">IF($A888="","",ROUND(Payroll!R888-Payroll!L888-Payroll!M888,2))</f>
        <v/>
      </c>
      <c r="I888" s="26" t="str">
        <f aca="false">IF($A888="","",ROUND(Payroll!L888+Payroll!M888,2))</f>
        <v/>
      </c>
      <c r="J888" s="24" t="str">
        <f aca="false">IF($A888="","",0)</f>
        <v/>
      </c>
    </row>
    <row r="889" customFormat="false" ht="15" hidden="false" customHeight="false" outlineLevel="0" collapsed="false">
      <c r="A889" s="24" t="str">
        <f aca="false">IF(AND(Payroll!$A889&lt;&gt;"",N(Payroll!$R889)&gt;0),"EDR","")</f>
        <v/>
      </c>
      <c r="B889" s="24" t="str">
        <f aca="false">IF($A889="","",Payroll!U889)</f>
        <v/>
      </c>
      <c r="C889" s="24" t="str">
        <f aca="false">IF($A889="","",Payroll!S889)</f>
        <v/>
      </c>
      <c r="D889" s="24" t="str">
        <f aca="false">IF($A889="","",SUBSTITUTE(Payroll!T889," ",""))</f>
        <v/>
      </c>
      <c r="E889" s="24" t="str">
        <f aca="false">IF($A889="","",TEXT(Settings!$B$8,"yyyy-mm-dd"))</f>
        <v/>
      </c>
      <c r="F889" s="24" t="str">
        <f aca="false">IF($A889="","",TEXT(Settings!$B$9,"yyyy-mm-dd"))</f>
        <v/>
      </c>
      <c r="G889" s="24" t="str">
        <f aca="false">IF($A889="","",DAY(Settings!$B$9))</f>
        <v/>
      </c>
      <c r="H889" s="26" t="str">
        <f aca="false">IF($A889="","",ROUND(Payroll!R889-Payroll!L889-Payroll!M889,2))</f>
        <v/>
      </c>
      <c r="I889" s="26" t="str">
        <f aca="false">IF($A889="","",ROUND(Payroll!L889+Payroll!M889,2))</f>
        <v/>
      </c>
      <c r="J889" s="24" t="str">
        <f aca="false">IF($A889="","",0)</f>
        <v/>
      </c>
    </row>
    <row r="890" customFormat="false" ht="15" hidden="false" customHeight="false" outlineLevel="0" collapsed="false">
      <c r="A890" s="24" t="str">
        <f aca="false">IF(AND(Payroll!$A890&lt;&gt;"",N(Payroll!$R890)&gt;0),"EDR","")</f>
        <v/>
      </c>
      <c r="B890" s="24" t="str">
        <f aca="false">IF($A890="","",Payroll!U890)</f>
        <v/>
      </c>
      <c r="C890" s="24" t="str">
        <f aca="false">IF($A890="","",Payroll!S890)</f>
        <v/>
      </c>
      <c r="D890" s="24" t="str">
        <f aca="false">IF($A890="","",SUBSTITUTE(Payroll!T890," ",""))</f>
        <v/>
      </c>
      <c r="E890" s="24" t="str">
        <f aca="false">IF($A890="","",TEXT(Settings!$B$8,"yyyy-mm-dd"))</f>
        <v/>
      </c>
      <c r="F890" s="24" t="str">
        <f aca="false">IF($A890="","",TEXT(Settings!$B$9,"yyyy-mm-dd"))</f>
        <v/>
      </c>
      <c r="G890" s="24" t="str">
        <f aca="false">IF($A890="","",DAY(Settings!$B$9))</f>
        <v/>
      </c>
      <c r="H890" s="26" t="str">
        <f aca="false">IF($A890="","",ROUND(Payroll!R890-Payroll!L890-Payroll!M890,2))</f>
        <v/>
      </c>
      <c r="I890" s="26" t="str">
        <f aca="false">IF($A890="","",ROUND(Payroll!L890+Payroll!M890,2))</f>
        <v/>
      </c>
      <c r="J890" s="24" t="str">
        <f aca="false">IF($A890="","",0)</f>
        <v/>
      </c>
    </row>
    <row r="891" customFormat="false" ht="15" hidden="false" customHeight="false" outlineLevel="0" collapsed="false">
      <c r="A891" s="24" t="str">
        <f aca="false">IF(AND(Payroll!$A891&lt;&gt;"",N(Payroll!$R891)&gt;0),"EDR","")</f>
        <v/>
      </c>
      <c r="B891" s="24" t="str">
        <f aca="false">IF($A891="","",Payroll!U891)</f>
        <v/>
      </c>
      <c r="C891" s="24" t="str">
        <f aca="false">IF($A891="","",Payroll!S891)</f>
        <v/>
      </c>
      <c r="D891" s="24" t="str">
        <f aca="false">IF($A891="","",SUBSTITUTE(Payroll!T891," ",""))</f>
        <v/>
      </c>
      <c r="E891" s="24" t="str">
        <f aca="false">IF($A891="","",TEXT(Settings!$B$8,"yyyy-mm-dd"))</f>
        <v/>
      </c>
      <c r="F891" s="24" t="str">
        <f aca="false">IF($A891="","",TEXT(Settings!$B$9,"yyyy-mm-dd"))</f>
        <v/>
      </c>
      <c r="G891" s="24" t="str">
        <f aca="false">IF($A891="","",DAY(Settings!$B$9))</f>
        <v/>
      </c>
      <c r="H891" s="26" t="str">
        <f aca="false">IF($A891="","",ROUND(Payroll!R891-Payroll!L891-Payroll!M891,2))</f>
        <v/>
      </c>
      <c r="I891" s="26" t="str">
        <f aca="false">IF($A891="","",ROUND(Payroll!L891+Payroll!M891,2))</f>
        <v/>
      </c>
      <c r="J891" s="24" t="str">
        <f aca="false">IF($A891="","",0)</f>
        <v/>
      </c>
    </row>
    <row r="892" customFormat="false" ht="15" hidden="false" customHeight="false" outlineLevel="0" collapsed="false">
      <c r="A892" s="24" t="str">
        <f aca="false">IF(AND(Payroll!$A892&lt;&gt;"",N(Payroll!$R892)&gt;0),"EDR","")</f>
        <v/>
      </c>
      <c r="B892" s="24" t="str">
        <f aca="false">IF($A892="","",Payroll!U892)</f>
        <v/>
      </c>
      <c r="C892" s="24" t="str">
        <f aca="false">IF($A892="","",Payroll!S892)</f>
        <v/>
      </c>
      <c r="D892" s="24" t="str">
        <f aca="false">IF($A892="","",SUBSTITUTE(Payroll!T892," ",""))</f>
        <v/>
      </c>
      <c r="E892" s="24" t="str">
        <f aca="false">IF($A892="","",TEXT(Settings!$B$8,"yyyy-mm-dd"))</f>
        <v/>
      </c>
      <c r="F892" s="24" t="str">
        <f aca="false">IF($A892="","",TEXT(Settings!$B$9,"yyyy-mm-dd"))</f>
        <v/>
      </c>
      <c r="G892" s="24" t="str">
        <f aca="false">IF($A892="","",DAY(Settings!$B$9))</f>
        <v/>
      </c>
      <c r="H892" s="26" t="str">
        <f aca="false">IF($A892="","",ROUND(Payroll!R892-Payroll!L892-Payroll!M892,2))</f>
        <v/>
      </c>
      <c r="I892" s="26" t="str">
        <f aca="false">IF($A892="","",ROUND(Payroll!L892+Payroll!M892,2))</f>
        <v/>
      </c>
      <c r="J892" s="24" t="str">
        <f aca="false">IF($A892="","",0)</f>
        <v/>
      </c>
    </row>
    <row r="893" customFormat="false" ht="15" hidden="false" customHeight="false" outlineLevel="0" collapsed="false">
      <c r="A893" s="24" t="str">
        <f aca="false">IF(AND(Payroll!$A893&lt;&gt;"",N(Payroll!$R893)&gt;0),"EDR","")</f>
        <v/>
      </c>
      <c r="B893" s="24" t="str">
        <f aca="false">IF($A893="","",Payroll!U893)</f>
        <v/>
      </c>
      <c r="C893" s="24" t="str">
        <f aca="false">IF($A893="","",Payroll!S893)</f>
        <v/>
      </c>
      <c r="D893" s="24" t="str">
        <f aca="false">IF($A893="","",SUBSTITUTE(Payroll!T893," ",""))</f>
        <v/>
      </c>
      <c r="E893" s="24" t="str">
        <f aca="false">IF($A893="","",TEXT(Settings!$B$8,"yyyy-mm-dd"))</f>
        <v/>
      </c>
      <c r="F893" s="24" t="str">
        <f aca="false">IF($A893="","",TEXT(Settings!$B$9,"yyyy-mm-dd"))</f>
        <v/>
      </c>
      <c r="G893" s="24" t="str">
        <f aca="false">IF($A893="","",DAY(Settings!$B$9))</f>
        <v/>
      </c>
      <c r="H893" s="26" t="str">
        <f aca="false">IF($A893="","",ROUND(Payroll!R893-Payroll!L893-Payroll!M893,2))</f>
        <v/>
      </c>
      <c r="I893" s="26" t="str">
        <f aca="false">IF($A893="","",ROUND(Payroll!L893+Payroll!M893,2))</f>
        <v/>
      </c>
      <c r="J893" s="24" t="str">
        <f aca="false">IF($A893="","",0)</f>
        <v/>
      </c>
    </row>
    <row r="894" customFormat="false" ht="15" hidden="false" customHeight="false" outlineLevel="0" collapsed="false">
      <c r="A894" s="24" t="str">
        <f aca="false">IF(AND(Payroll!$A894&lt;&gt;"",N(Payroll!$R894)&gt;0),"EDR","")</f>
        <v/>
      </c>
      <c r="B894" s="24" t="str">
        <f aca="false">IF($A894="","",Payroll!U894)</f>
        <v/>
      </c>
      <c r="C894" s="24" t="str">
        <f aca="false">IF($A894="","",Payroll!S894)</f>
        <v/>
      </c>
      <c r="D894" s="24" t="str">
        <f aca="false">IF($A894="","",SUBSTITUTE(Payroll!T894," ",""))</f>
        <v/>
      </c>
      <c r="E894" s="24" t="str">
        <f aca="false">IF($A894="","",TEXT(Settings!$B$8,"yyyy-mm-dd"))</f>
        <v/>
      </c>
      <c r="F894" s="24" t="str">
        <f aca="false">IF($A894="","",TEXT(Settings!$B$9,"yyyy-mm-dd"))</f>
        <v/>
      </c>
      <c r="G894" s="24" t="str">
        <f aca="false">IF($A894="","",DAY(Settings!$B$9))</f>
        <v/>
      </c>
      <c r="H894" s="26" t="str">
        <f aca="false">IF($A894="","",ROUND(Payroll!R894-Payroll!L894-Payroll!M894,2))</f>
        <v/>
      </c>
      <c r="I894" s="26" t="str">
        <f aca="false">IF($A894="","",ROUND(Payroll!L894+Payroll!M894,2))</f>
        <v/>
      </c>
      <c r="J894" s="24" t="str">
        <f aca="false">IF($A894="","",0)</f>
        <v/>
      </c>
    </row>
    <row r="895" customFormat="false" ht="15" hidden="false" customHeight="false" outlineLevel="0" collapsed="false">
      <c r="A895" s="24" t="str">
        <f aca="false">IF(AND(Payroll!$A895&lt;&gt;"",N(Payroll!$R895)&gt;0),"EDR","")</f>
        <v/>
      </c>
      <c r="B895" s="24" t="str">
        <f aca="false">IF($A895="","",Payroll!U895)</f>
        <v/>
      </c>
      <c r="C895" s="24" t="str">
        <f aca="false">IF($A895="","",Payroll!S895)</f>
        <v/>
      </c>
      <c r="D895" s="24" t="str">
        <f aca="false">IF($A895="","",SUBSTITUTE(Payroll!T895," ",""))</f>
        <v/>
      </c>
      <c r="E895" s="24" t="str">
        <f aca="false">IF($A895="","",TEXT(Settings!$B$8,"yyyy-mm-dd"))</f>
        <v/>
      </c>
      <c r="F895" s="24" t="str">
        <f aca="false">IF($A895="","",TEXT(Settings!$B$9,"yyyy-mm-dd"))</f>
        <v/>
      </c>
      <c r="G895" s="24" t="str">
        <f aca="false">IF($A895="","",DAY(Settings!$B$9))</f>
        <v/>
      </c>
      <c r="H895" s="26" t="str">
        <f aca="false">IF($A895="","",ROUND(Payroll!R895-Payroll!L895-Payroll!M895,2))</f>
        <v/>
      </c>
      <c r="I895" s="26" t="str">
        <f aca="false">IF($A895="","",ROUND(Payroll!L895+Payroll!M895,2))</f>
        <v/>
      </c>
      <c r="J895" s="24" t="str">
        <f aca="false">IF($A895="","",0)</f>
        <v/>
      </c>
    </row>
    <row r="896" customFormat="false" ht="15" hidden="false" customHeight="false" outlineLevel="0" collapsed="false">
      <c r="A896" s="24" t="str">
        <f aca="false">IF(AND(Payroll!$A896&lt;&gt;"",N(Payroll!$R896)&gt;0),"EDR","")</f>
        <v/>
      </c>
      <c r="B896" s="24" t="str">
        <f aca="false">IF($A896="","",Payroll!U896)</f>
        <v/>
      </c>
      <c r="C896" s="24" t="str">
        <f aca="false">IF($A896="","",Payroll!S896)</f>
        <v/>
      </c>
      <c r="D896" s="24" t="str">
        <f aca="false">IF($A896="","",SUBSTITUTE(Payroll!T896," ",""))</f>
        <v/>
      </c>
      <c r="E896" s="24" t="str">
        <f aca="false">IF($A896="","",TEXT(Settings!$B$8,"yyyy-mm-dd"))</f>
        <v/>
      </c>
      <c r="F896" s="24" t="str">
        <f aca="false">IF($A896="","",TEXT(Settings!$B$9,"yyyy-mm-dd"))</f>
        <v/>
      </c>
      <c r="G896" s="24" t="str">
        <f aca="false">IF($A896="","",DAY(Settings!$B$9))</f>
        <v/>
      </c>
      <c r="H896" s="26" t="str">
        <f aca="false">IF($A896="","",ROUND(Payroll!R896-Payroll!L896-Payroll!M896,2))</f>
        <v/>
      </c>
      <c r="I896" s="26" t="str">
        <f aca="false">IF($A896="","",ROUND(Payroll!L896+Payroll!M896,2))</f>
        <v/>
      </c>
      <c r="J896" s="24" t="str">
        <f aca="false">IF($A896="","",0)</f>
        <v/>
      </c>
    </row>
    <row r="897" customFormat="false" ht="15" hidden="false" customHeight="false" outlineLevel="0" collapsed="false">
      <c r="A897" s="24" t="str">
        <f aca="false">IF(AND(Payroll!$A897&lt;&gt;"",N(Payroll!$R897)&gt;0),"EDR","")</f>
        <v/>
      </c>
      <c r="B897" s="24" t="str">
        <f aca="false">IF($A897="","",Payroll!U897)</f>
        <v/>
      </c>
      <c r="C897" s="24" t="str">
        <f aca="false">IF($A897="","",Payroll!S897)</f>
        <v/>
      </c>
      <c r="D897" s="24" t="str">
        <f aca="false">IF($A897="","",SUBSTITUTE(Payroll!T897," ",""))</f>
        <v/>
      </c>
      <c r="E897" s="24" t="str">
        <f aca="false">IF($A897="","",TEXT(Settings!$B$8,"yyyy-mm-dd"))</f>
        <v/>
      </c>
      <c r="F897" s="24" t="str">
        <f aca="false">IF($A897="","",TEXT(Settings!$B$9,"yyyy-mm-dd"))</f>
        <v/>
      </c>
      <c r="G897" s="24" t="str">
        <f aca="false">IF($A897="","",DAY(Settings!$B$9))</f>
        <v/>
      </c>
      <c r="H897" s="26" t="str">
        <f aca="false">IF($A897="","",ROUND(Payroll!R897-Payroll!L897-Payroll!M897,2))</f>
        <v/>
      </c>
      <c r="I897" s="26" t="str">
        <f aca="false">IF($A897="","",ROUND(Payroll!L897+Payroll!M897,2))</f>
        <v/>
      </c>
      <c r="J897" s="24" t="str">
        <f aca="false">IF($A897="","",0)</f>
        <v/>
      </c>
    </row>
    <row r="898" customFormat="false" ht="15" hidden="false" customHeight="false" outlineLevel="0" collapsed="false">
      <c r="A898" s="24" t="str">
        <f aca="false">IF(AND(Payroll!$A898&lt;&gt;"",N(Payroll!$R898)&gt;0),"EDR","")</f>
        <v/>
      </c>
      <c r="B898" s="24" t="str">
        <f aca="false">IF($A898="","",Payroll!U898)</f>
        <v/>
      </c>
      <c r="C898" s="24" t="str">
        <f aca="false">IF($A898="","",Payroll!S898)</f>
        <v/>
      </c>
      <c r="D898" s="24" t="str">
        <f aca="false">IF($A898="","",SUBSTITUTE(Payroll!T898," ",""))</f>
        <v/>
      </c>
      <c r="E898" s="24" t="str">
        <f aca="false">IF($A898="","",TEXT(Settings!$B$8,"yyyy-mm-dd"))</f>
        <v/>
      </c>
      <c r="F898" s="24" t="str">
        <f aca="false">IF($A898="","",TEXT(Settings!$B$9,"yyyy-mm-dd"))</f>
        <v/>
      </c>
      <c r="G898" s="24" t="str">
        <f aca="false">IF($A898="","",DAY(Settings!$B$9))</f>
        <v/>
      </c>
      <c r="H898" s="26" t="str">
        <f aca="false">IF($A898="","",ROUND(Payroll!R898-Payroll!L898-Payroll!M898,2))</f>
        <v/>
      </c>
      <c r="I898" s="26" t="str">
        <f aca="false">IF($A898="","",ROUND(Payroll!L898+Payroll!M898,2))</f>
        <v/>
      </c>
      <c r="J898" s="24" t="str">
        <f aca="false">IF($A898="","",0)</f>
        <v/>
      </c>
    </row>
    <row r="899" customFormat="false" ht="15" hidden="false" customHeight="false" outlineLevel="0" collapsed="false">
      <c r="A899" s="24" t="str">
        <f aca="false">IF(AND(Payroll!$A899&lt;&gt;"",N(Payroll!$R899)&gt;0),"EDR","")</f>
        <v/>
      </c>
      <c r="B899" s="24" t="str">
        <f aca="false">IF($A899="","",Payroll!U899)</f>
        <v/>
      </c>
      <c r="C899" s="24" t="str">
        <f aca="false">IF($A899="","",Payroll!S899)</f>
        <v/>
      </c>
      <c r="D899" s="24" t="str">
        <f aca="false">IF($A899="","",SUBSTITUTE(Payroll!T899," ",""))</f>
        <v/>
      </c>
      <c r="E899" s="24" t="str">
        <f aca="false">IF($A899="","",TEXT(Settings!$B$8,"yyyy-mm-dd"))</f>
        <v/>
      </c>
      <c r="F899" s="24" t="str">
        <f aca="false">IF($A899="","",TEXT(Settings!$B$9,"yyyy-mm-dd"))</f>
        <v/>
      </c>
      <c r="G899" s="24" t="str">
        <f aca="false">IF($A899="","",DAY(Settings!$B$9))</f>
        <v/>
      </c>
      <c r="H899" s="26" t="str">
        <f aca="false">IF($A899="","",ROUND(Payroll!R899-Payroll!L899-Payroll!M899,2))</f>
        <v/>
      </c>
      <c r="I899" s="26" t="str">
        <f aca="false">IF($A899="","",ROUND(Payroll!L899+Payroll!M899,2))</f>
        <v/>
      </c>
      <c r="J899" s="24" t="str">
        <f aca="false">IF($A899="","",0)</f>
        <v/>
      </c>
    </row>
    <row r="900" customFormat="false" ht="15" hidden="false" customHeight="false" outlineLevel="0" collapsed="false">
      <c r="A900" s="24" t="str">
        <f aca="false">IF(AND(Payroll!$A900&lt;&gt;"",N(Payroll!$R900)&gt;0),"EDR","")</f>
        <v/>
      </c>
      <c r="B900" s="24" t="str">
        <f aca="false">IF($A900="","",Payroll!U900)</f>
        <v/>
      </c>
      <c r="C900" s="24" t="str">
        <f aca="false">IF($A900="","",Payroll!S900)</f>
        <v/>
      </c>
      <c r="D900" s="24" t="str">
        <f aca="false">IF($A900="","",SUBSTITUTE(Payroll!T900," ",""))</f>
        <v/>
      </c>
      <c r="E900" s="24" t="str">
        <f aca="false">IF($A900="","",TEXT(Settings!$B$8,"yyyy-mm-dd"))</f>
        <v/>
      </c>
      <c r="F900" s="24" t="str">
        <f aca="false">IF($A900="","",TEXT(Settings!$B$9,"yyyy-mm-dd"))</f>
        <v/>
      </c>
      <c r="G900" s="24" t="str">
        <f aca="false">IF($A900="","",DAY(Settings!$B$9))</f>
        <v/>
      </c>
      <c r="H900" s="26" t="str">
        <f aca="false">IF($A900="","",ROUND(Payroll!R900-Payroll!L900-Payroll!M900,2))</f>
        <v/>
      </c>
      <c r="I900" s="26" t="str">
        <f aca="false">IF($A900="","",ROUND(Payroll!L900+Payroll!M900,2))</f>
        <v/>
      </c>
      <c r="J900" s="24" t="str">
        <f aca="false">IF($A900="","",0)</f>
        <v/>
      </c>
    </row>
    <row r="901" customFormat="false" ht="15" hidden="false" customHeight="false" outlineLevel="0" collapsed="false">
      <c r="A901" s="24" t="str">
        <f aca="false">IF(AND(Payroll!$A901&lt;&gt;"",N(Payroll!$R901)&gt;0),"EDR","")</f>
        <v/>
      </c>
      <c r="B901" s="24" t="str">
        <f aca="false">IF($A901="","",Payroll!U901)</f>
        <v/>
      </c>
      <c r="C901" s="24" t="str">
        <f aca="false">IF($A901="","",Payroll!S901)</f>
        <v/>
      </c>
      <c r="D901" s="24" t="str">
        <f aca="false">IF($A901="","",SUBSTITUTE(Payroll!T901," ",""))</f>
        <v/>
      </c>
      <c r="E901" s="24" t="str">
        <f aca="false">IF($A901="","",TEXT(Settings!$B$8,"yyyy-mm-dd"))</f>
        <v/>
      </c>
      <c r="F901" s="24" t="str">
        <f aca="false">IF($A901="","",TEXT(Settings!$B$9,"yyyy-mm-dd"))</f>
        <v/>
      </c>
      <c r="G901" s="24" t="str">
        <f aca="false">IF($A901="","",DAY(Settings!$B$9))</f>
        <v/>
      </c>
      <c r="H901" s="26" t="str">
        <f aca="false">IF($A901="","",ROUND(Payroll!R901-Payroll!L901-Payroll!M901,2))</f>
        <v/>
      </c>
      <c r="I901" s="26" t="str">
        <f aca="false">IF($A901="","",ROUND(Payroll!L901+Payroll!M901,2))</f>
        <v/>
      </c>
      <c r="J901" s="24" t="str">
        <f aca="false">IF($A901="","",0)</f>
        <v/>
      </c>
    </row>
    <row r="902" customFormat="false" ht="15" hidden="false" customHeight="false" outlineLevel="0" collapsed="false">
      <c r="A902" s="24" t="str">
        <f aca="false">IF(AND(Payroll!$A902&lt;&gt;"",N(Payroll!$R902)&gt;0),"EDR","")</f>
        <v/>
      </c>
      <c r="B902" s="24" t="str">
        <f aca="false">IF($A902="","",Payroll!U902)</f>
        <v/>
      </c>
      <c r="C902" s="24" t="str">
        <f aca="false">IF($A902="","",Payroll!S902)</f>
        <v/>
      </c>
      <c r="D902" s="24" t="str">
        <f aca="false">IF($A902="","",SUBSTITUTE(Payroll!T902," ",""))</f>
        <v/>
      </c>
      <c r="E902" s="24" t="str">
        <f aca="false">IF($A902="","",TEXT(Settings!$B$8,"yyyy-mm-dd"))</f>
        <v/>
      </c>
      <c r="F902" s="24" t="str">
        <f aca="false">IF($A902="","",TEXT(Settings!$B$9,"yyyy-mm-dd"))</f>
        <v/>
      </c>
      <c r="G902" s="24" t="str">
        <f aca="false">IF($A902="","",DAY(Settings!$B$9))</f>
        <v/>
      </c>
      <c r="H902" s="26" t="str">
        <f aca="false">IF($A902="","",ROUND(Payroll!R902-Payroll!L902-Payroll!M902,2))</f>
        <v/>
      </c>
      <c r="I902" s="26" t="str">
        <f aca="false">IF($A902="","",ROUND(Payroll!L902+Payroll!M902,2))</f>
        <v/>
      </c>
      <c r="J902" s="24" t="str">
        <f aca="false">IF($A902="","",0)</f>
        <v/>
      </c>
    </row>
    <row r="903" customFormat="false" ht="15" hidden="false" customHeight="false" outlineLevel="0" collapsed="false">
      <c r="A903" s="24" t="str">
        <f aca="false">IF(AND(Payroll!$A903&lt;&gt;"",N(Payroll!$R903)&gt;0),"EDR","")</f>
        <v/>
      </c>
      <c r="B903" s="24" t="str">
        <f aca="false">IF($A903="","",Payroll!U903)</f>
        <v/>
      </c>
      <c r="C903" s="24" t="str">
        <f aca="false">IF($A903="","",Payroll!S903)</f>
        <v/>
      </c>
      <c r="D903" s="24" t="str">
        <f aca="false">IF($A903="","",SUBSTITUTE(Payroll!T903," ",""))</f>
        <v/>
      </c>
      <c r="E903" s="24" t="str">
        <f aca="false">IF($A903="","",TEXT(Settings!$B$8,"yyyy-mm-dd"))</f>
        <v/>
      </c>
      <c r="F903" s="24" t="str">
        <f aca="false">IF($A903="","",TEXT(Settings!$B$9,"yyyy-mm-dd"))</f>
        <v/>
      </c>
      <c r="G903" s="24" t="str">
        <f aca="false">IF($A903="","",DAY(Settings!$B$9))</f>
        <v/>
      </c>
      <c r="H903" s="26" t="str">
        <f aca="false">IF($A903="","",ROUND(Payroll!R903-Payroll!L903-Payroll!M903,2))</f>
        <v/>
      </c>
      <c r="I903" s="26" t="str">
        <f aca="false">IF($A903="","",ROUND(Payroll!L903+Payroll!M903,2))</f>
        <v/>
      </c>
      <c r="J903" s="24" t="str">
        <f aca="false">IF($A903="","",0)</f>
        <v/>
      </c>
    </row>
    <row r="904" customFormat="false" ht="15" hidden="false" customHeight="false" outlineLevel="0" collapsed="false">
      <c r="A904" s="24" t="str">
        <f aca="false">IF(AND(Payroll!$A904&lt;&gt;"",N(Payroll!$R904)&gt;0),"EDR","")</f>
        <v/>
      </c>
      <c r="B904" s="24" t="str">
        <f aca="false">IF($A904="","",Payroll!U904)</f>
        <v/>
      </c>
      <c r="C904" s="24" t="str">
        <f aca="false">IF($A904="","",Payroll!S904)</f>
        <v/>
      </c>
      <c r="D904" s="24" t="str">
        <f aca="false">IF($A904="","",SUBSTITUTE(Payroll!T904," ",""))</f>
        <v/>
      </c>
      <c r="E904" s="24" t="str">
        <f aca="false">IF($A904="","",TEXT(Settings!$B$8,"yyyy-mm-dd"))</f>
        <v/>
      </c>
      <c r="F904" s="24" t="str">
        <f aca="false">IF($A904="","",TEXT(Settings!$B$9,"yyyy-mm-dd"))</f>
        <v/>
      </c>
      <c r="G904" s="24" t="str">
        <f aca="false">IF($A904="","",DAY(Settings!$B$9))</f>
        <v/>
      </c>
      <c r="H904" s="26" t="str">
        <f aca="false">IF($A904="","",ROUND(Payroll!R904-Payroll!L904-Payroll!M904,2))</f>
        <v/>
      </c>
      <c r="I904" s="26" t="str">
        <f aca="false">IF($A904="","",ROUND(Payroll!L904+Payroll!M904,2))</f>
        <v/>
      </c>
      <c r="J904" s="24" t="str">
        <f aca="false">IF($A904="","",0)</f>
        <v/>
      </c>
    </row>
    <row r="905" customFormat="false" ht="15" hidden="false" customHeight="false" outlineLevel="0" collapsed="false">
      <c r="A905" s="24" t="str">
        <f aca="false">IF(AND(Payroll!$A905&lt;&gt;"",N(Payroll!$R905)&gt;0),"EDR","")</f>
        <v/>
      </c>
      <c r="B905" s="24" t="str">
        <f aca="false">IF($A905="","",Payroll!U905)</f>
        <v/>
      </c>
      <c r="C905" s="24" t="str">
        <f aca="false">IF($A905="","",Payroll!S905)</f>
        <v/>
      </c>
      <c r="D905" s="24" t="str">
        <f aca="false">IF($A905="","",SUBSTITUTE(Payroll!T905," ",""))</f>
        <v/>
      </c>
      <c r="E905" s="24" t="str">
        <f aca="false">IF($A905="","",TEXT(Settings!$B$8,"yyyy-mm-dd"))</f>
        <v/>
      </c>
      <c r="F905" s="24" t="str">
        <f aca="false">IF($A905="","",TEXT(Settings!$B$9,"yyyy-mm-dd"))</f>
        <v/>
      </c>
      <c r="G905" s="24" t="str">
        <f aca="false">IF($A905="","",DAY(Settings!$B$9))</f>
        <v/>
      </c>
      <c r="H905" s="26" t="str">
        <f aca="false">IF($A905="","",ROUND(Payroll!R905-Payroll!L905-Payroll!M905,2))</f>
        <v/>
      </c>
      <c r="I905" s="26" t="str">
        <f aca="false">IF($A905="","",ROUND(Payroll!L905+Payroll!M905,2))</f>
        <v/>
      </c>
      <c r="J905" s="24" t="str">
        <f aca="false">IF($A905="","",0)</f>
        <v/>
      </c>
    </row>
    <row r="906" customFormat="false" ht="15" hidden="false" customHeight="false" outlineLevel="0" collapsed="false">
      <c r="A906" s="24" t="str">
        <f aca="false">IF(AND(Payroll!$A906&lt;&gt;"",N(Payroll!$R906)&gt;0),"EDR","")</f>
        <v/>
      </c>
      <c r="B906" s="24" t="str">
        <f aca="false">IF($A906="","",Payroll!U906)</f>
        <v/>
      </c>
      <c r="C906" s="24" t="str">
        <f aca="false">IF($A906="","",Payroll!S906)</f>
        <v/>
      </c>
      <c r="D906" s="24" t="str">
        <f aca="false">IF($A906="","",SUBSTITUTE(Payroll!T906," ",""))</f>
        <v/>
      </c>
      <c r="E906" s="24" t="str">
        <f aca="false">IF($A906="","",TEXT(Settings!$B$8,"yyyy-mm-dd"))</f>
        <v/>
      </c>
      <c r="F906" s="24" t="str">
        <f aca="false">IF($A906="","",TEXT(Settings!$B$9,"yyyy-mm-dd"))</f>
        <v/>
      </c>
      <c r="G906" s="24" t="str">
        <f aca="false">IF($A906="","",DAY(Settings!$B$9))</f>
        <v/>
      </c>
      <c r="H906" s="26" t="str">
        <f aca="false">IF($A906="","",ROUND(Payroll!R906-Payroll!L906-Payroll!M906,2))</f>
        <v/>
      </c>
      <c r="I906" s="26" t="str">
        <f aca="false">IF($A906="","",ROUND(Payroll!L906+Payroll!M906,2))</f>
        <v/>
      </c>
      <c r="J906" s="24" t="str">
        <f aca="false">IF($A906="","",0)</f>
        <v/>
      </c>
    </row>
    <row r="907" customFormat="false" ht="15" hidden="false" customHeight="false" outlineLevel="0" collapsed="false">
      <c r="A907" s="24" t="str">
        <f aca="false">IF(AND(Payroll!$A907&lt;&gt;"",N(Payroll!$R907)&gt;0),"EDR","")</f>
        <v/>
      </c>
      <c r="B907" s="24" t="str">
        <f aca="false">IF($A907="","",Payroll!U907)</f>
        <v/>
      </c>
      <c r="C907" s="24" t="str">
        <f aca="false">IF($A907="","",Payroll!S907)</f>
        <v/>
      </c>
      <c r="D907" s="24" t="str">
        <f aca="false">IF($A907="","",SUBSTITUTE(Payroll!T907," ",""))</f>
        <v/>
      </c>
      <c r="E907" s="24" t="str">
        <f aca="false">IF($A907="","",TEXT(Settings!$B$8,"yyyy-mm-dd"))</f>
        <v/>
      </c>
      <c r="F907" s="24" t="str">
        <f aca="false">IF($A907="","",TEXT(Settings!$B$9,"yyyy-mm-dd"))</f>
        <v/>
      </c>
      <c r="G907" s="24" t="str">
        <f aca="false">IF($A907="","",DAY(Settings!$B$9))</f>
        <v/>
      </c>
      <c r="H907" s="26" t="str">
        <f aca="false">IF($A907="","",ROUND(Payroll!R907-Payroll!L907-Payroll!M907,2))</f>
        <v/>
      </c>
      <c r="I907" s="26" t="str">
        <f aca="false">IF($A907="","",ROUND(Payroll!L907+Payroll!M907,2))</f>
        <v/>
      </c>
      <c r="J907" s="24" t="str">
        <f aca="false">IF($A907="","",0)</f>
        <v/>
      </c>
    </row>
    <row r="908" customFormat="false" ht="15" hidden="false" customHeight="false" outlineLevel="0" collapsed="false">
      <c r="A908" s="24" t="str">
        <f aca="false">IF(AND(Payroll!$A908&lt;&gt;"",N(Payroll!$R908)&gt;0),"EDR","")</f>
        <v/>
      </c>
      <c r="B908" s="24" t="str">
        <f aca="false">IF($A908="","",Payroll!U908)</f>
        <v/>
      </c>
      <c r="C908" s="24" t="str">
        <f aca="false">IF($A908="","",Payroll!S908)</f>
        <v/>
      </c>
      <c r="D908" s="24" t="str">
        <f aca="false">IF($A908="","",SUBSTITUTE(Payroll!T908," ",""))</f>
        <v/>
      </c>
      <c r="E908" s="24" t="str">
        <f aca="false">IF($A908="","",TEXT(Settings!$B$8,"yyyy-mm-dd"))</f>
        <v/>
      </c>
      <c r="F908" s="24" t="str">
        <f aca="false">IF($A908="","",TEXT(Settings!$B$9,"yyyy-mm-dd"))</f>
        <v/>
      </c>
      <c r="G908" s="24" t="str">
        <f aca="false">IF($A908="","",DAY(Settings!$B$9))</f>
        <v/>
      </c>
      <c r="H908" s="26" t="str">
        <f aca="false">IF($A908="","",ROUND(Payroll!R908-Payroll!L908-Payroll!M908,2))</f>
        <v/>
      </c>
      <c r="I908" s="26" t="str">
        <f aca="false">IF($A908="","",ROUND(Payroll!L908+Payroll!M908,2))</f>
        <v/>
      </c>
      <c r="J908" s="24" t="str">
        <f aca="false">IF($A908="","",0)</f>
        <v/>
      </c>
    </row>
    <row r="909" customFormat="false" ht="15" hidden="false" customHeight="false" outlineLevel="0" collapsed="false">
      <c r="A909" s="24" t="str">
        <f aca="false">IF(AND(Payroll!$A909&lt;&gt;"",N(Payroll!$R909)&gt;0),"EDR","")</f>
        <v/>
      </c>
      <c r="B909" s="24" t="str">
        <f aca="false">IF($A909="","",Payroll!U909)</f>
        <v/>
      </c>
      <c r="C909" s="24" t="str">
        <f aca="false">IF($A909="","",Payroll!S909)</f>
        <v/>
      </c>
      <c r="D909" s="24" t="str">
        <f aca="false">IF($A909="","",SUBSTITUTE(Payroll!T909," ",""))</f>
        <v/>
      </c>
      <c r="E909" s="24" t="str">
        <f aca="false">IF($A909="","",TEXT(Settings!$B$8,"yyyy-mm-dd"))</f>
        <v/>
      </c>
      <c r="F909" s="24" t="str">
        <f aca="false">IF($A909="","",TEXT(Settings!$B$9,"yyyy-mm-dd"))</f>
        <v/>
      </c>
      <c r="G909" s="24" t="str">
        <f aca="false">IF($A909="","",DAY(Settings!$B$9))</f>
        <v/>
      </c>
      <c r="H909" s="26" t="str">
        <f aca="false">IF($A909="","",ROUND(Payroll!R909-Payroll!L909-Payroll!M909,2))</f>
        <v/>
      </c>
      <c r="I909" s="26" t="str">
        <f aca="false">IF($A909="","",ROUND(Payroll!L909+Payroll!M909,2))</f>
        <v/>
      </c>
      <c r="J909" s="24" t="str">
        <f aca="false">IF($A909="","",0)</f>
        <v/>
      </c>
    </row>
    <row r="910" customFormat="false" ht="15" hidden="false" customHeight="false" outlineLevel="0" collapsed="false">
      <c r="A910" s="24" t="str">
        <f aca="false">IF(AND(Payroll!$A910&lt;&gt;"",N(Payroll!$R910)&gt;0),"EDR","")</f>
        <v/>
      </c>
      <c r="B910" s="24" t="str">
        <f aca="false">IF($A910="","",Payroll!U910)</f>
        <v/>
      </c>
      <c r="C910" s="24" t="str">
        <f aca="false">IF($A910="","",Payroll!S910)</f>
        <v/>
      </c>
      <c r="D910" s="24" t="str">
        <f aca="false">IF($A910="","",SUBSTITUTE(Payroll!T910," ",""))</f>
        <v/>
      </c>
      <c r="E910" s="24" t="str">
        <f aca="false">IF($A910="","",TEXT(Settings!$B$8,"yyyy-mm-dd"))</f>
        <v/>
      </c>
      <c r="F910" s="24" t="str">
        <f aca="false">IF($A910="","",TEXT(Settings!$B$9,"yyyy-mm-dd"))</f>
        <v/>
      </c>
      <c r="G910" s="24" t="str">
        <f aca="false">IF($A910="","",DAY(Settings!$B$9))</f>
        <v/>
      </c>
      <c r="H910" s="26" t="str">
        <f aca="false">IF($A910="","",ROUND(Payroll!R910-Payroll!L910-Payroll!M910,2))</f>
        <v/>
      </c>
      <c r="I910" s="26" t="str">
        <f aca="false">IF($A910="","",ROUND(Payroll!L910+Payroll!M910,2))</f>
        <v/>
      </c>
      <c r="J910" s="24" t="str">
        <f aca="false">IF($A910="","",0)</f>
        <v/>
      </c>
    </row>
    <row r="911" customFormat="false" ht="15" hidden="false" customHeight="false" outlineLevel="0" collapsed="false">
      <c r="A911" s="24" t="str">
        <f aca="false">IF(AND(Payroll!$A911&lt;&gt;"",N(Payroll!$R911)&gt;0),"EDR","")</f>
        <v/>
      </c>
      <c r="B911" s="24" t="str">
        <f aca="false">IF($A911="","",Payroll!U911)</f>
        <v/>
      </c>
      <c r="C911" s="24" t="str">
        <f aca="false">IF($A911="","",Payroll!S911)</f>
        <v/>
      </c>
      <c r="D911" s="24" t="str">
        <f aca="false">IF($A911="","",SUBSTITUTE(Payroll!T911," ",""))</f>
        <v/>
      </c>
      <c r="E911" s="24" t="str">
        <f aca="false">IF($A911="","",TEXT(Settings!$B$8,"yyyy-mm-dd"))</f>
        <v/>
      </c>
      <c r="F911" s="24" t="str">
        <f aca="false">IF($A911="","",TEXT(Settings!$B$9,"yyyy-mm-dd"))</f>
        <v/>
      </c>
      <c r="G911" s="24" t="str">
        <f aca="false">IF($A911="","",DAY(Settings!$B$9))</f>
        <v/>
      </c>
      <c r="H911" s="26" t="str">
        <f aca="false">IF($A911="","",ROUND(Payroll!R911-Payroll!L911-Payroll!M911,2))</f>
        <v/>
      </c>
      <c r="I911" s="26" t="str">
        <f aca="false">IF($A911="","",ROUND(Payroll!L911+Payroll!M911,2))</f>
        <v/>
      </c>
      <c r="J911" s="24" t="str">
        <f aca="false">IF($A911="","",0)</f>
        <v/>
      </c>
    </row>
    <row r="912" customFormat="false" ht="15" hidden="false" customHeight="false" outlineLevel="0" collapsed="false">
      <c r="A912" s="24" t="str">
        <f aca="false">IF(AND(Payroll!$A912&lt;&gt;"",N(Payroll!$R912)&gt;0),"EDR","")</f>
        <v/>
      </c>
      <c r="B912" s="24" t="str">
        <f aca="false">IF($A912="","",Payroll!U912)</f>
        <v/>
      </c>
      <c r="C912" s="24" t="str">
        <f aca="false">IF($A912="","",Payroll!S912)</f>
        <v/>
      </c>
      <c r="D912" s="24" t="str">
        <f aca="false">IF($A912="","",SUBSTITUTE(Payroll!T912," ",""))</f>
        <v/>
      </c>
      <c r="E912" s="24" t="str">
        <f aca="false">IF($A912="","",TEXT(Settings!$B$8,"yyyy-mm-dd"))</f>
        <v/>
      </c>
      <c r="F912" s="24" t="str">
        <f aca="false">IF($A912="","",TEXT(Settings!$B$9,"yyyy-mm-dd"))</f>
        <v/>
      </c>
      <c r="G912" s="24" t="str">
        <f aca="false">IF($A912="","",DAY(Settings!$B$9))</f>
        <v/>
      </c>
      <c r="H912" s="26" t="str">
        <f aca="false">IF($A912="","",ROUND(Payroll!R912-Payroll!L912-Payroll!M912,2))</f>
        <v/>
      </c>
      <c r="I912" s="26" t="str">
        <f aca="false">IF($A912="","",ROUND(Payroll!L912+Payroll!M912,2))</f>
        <v/>
      </c>
      <c r="J912" s="24" t="str">
        <f aca="false">IF($A912="","",0)</f>
        <v/>
      </c>
    </row>
    <row r="913" customFormat="false" ht="15" hidden="false" customHeight="false" outlineLevel="0" collapsed="false">
      <c r="A913" s="24" t="str">
        <f aca="false">IF(AND(Payroll!$A913&lt;&gt;"",N(Payroll!$R913)&gt;0),"EDR","")</f>
        <v/>
      </c>
      <c r="B913" s="24" t="str">
        <f aca="false">IF($A913="","",Payroll!U913)</f>
        <v/>
      </c>
      <c r="C913" s="24" t="str">
        <f aca="false">IF($A913="","",Payroll!S913)</f>
        <v/>
      </c>
      <c r="D913" s="24" t="str">
        <f aca="false">IF($A913="","",SUBSTITUTE(Payroll!T913," ",""))</f>
        <v/>
      </c>
      <c r="E913" s="24" t="str">
        <f aca="false">IF($A913="","",TEXT(Settings!$B$8,"yyyy-mm-dd"))</f>
        <v/>
      </c>
      <c r="F913" s="24" t="str">
        <f aca="false">IF($A913="","",TEXT(Settings!$B$9,"yyyy-mm-dd"))</f>
        <v/>
      </c>
      <c r="G913" s="24" t="str">
        <f aca="false">IF($A913="","",DAY(Settings!$B$9))</f>
        <v/>
      </c>
      <c r="H913" s="26" t="str">
        <f aca="false">IF($A913="","",ROUND(Payroll!R913-Payroll!L913-Payroll!M913,2))</f>
        <v/>
      </c>
      <c r="I913" s="26" t="str">
        <f aca="false">IF($A913="","",ROUND(Payroll!L913+Payroll!M913,2))</f>
        <v/>
      </c>
      <c r="J913" s="24" t="str">
        <f aca="false">IF($A913="","",0)</f>
        <v/>
      </c>
    </row>
    <row r="914" customFormat="false" ht="15" hidden="false" customHeight="false" outlineLevel="0" collapsed="false">
      <c r="A914" s="24" t="str">
        <f aca="false">IF(AND(Payroll!$A914&lt;&gt;"",N(Payroll!$R914)&gt;0),"EDR","")</f>
        <v/>
      </c>
      <c r="B914" s="24" t="str">
        <f aca="false">IF($A914="","",Payroll!U914)</f>
        <v/>
      </c>
      <c r="C914" s="24" t="str">
        <f aca="false">IF($A914="","",Payroll!S914)</f>
        <v/>
      </c>
      <c r="D914" s="24" t="str">
        <f aca="false">IF($A914="","",SUBSTITUTE(Payroll!T914," ",""))</f>
        <v/>
      </c>
      <c r="E914" s="24" t="str">
        <f aca="false">IF($A914="","",TEXT(Settings!$B$8,"yyyy-mm-dd"))</f>
        <v/>
      </c>
      <c r="F914" s="24" t="str">
        <f aca="false">IF($A914="","",TEXT(Settings!$B$9,"yyyy-mm-dd"))</f>
        <v/>
      </c>
      <c r="G914" s="24" t="str">
        <f aca="false">IF($A914="","",DAY(Settings!$B$9))</f>
        <v/>
      </c>
      <c r="H914" s="26" t="str">
        <f aca="false">IF($A914="","",ROUND(Payroll!R914-Payroll!L914-Payroll!M914,2))</f>
        <v/>
      </c>
      <c r="I914" s="26" t="str">
        <f aca="false">IF($A914="","",ROUND(Payroll!L914+Payroll!M914,2))</f>
        <v/>
      </c>
      <c r="J914" s="24" t="str">
        <f aca="false">IF($A914="","",0)</f>
        <v/>
      </c>
    </row>
    <row r="915" customFormat="false" ht="15" hidden="false" customHeight="false" outlineLevel="0" collapsed="false">
      <c r="A915" s="24" t="str">
        <f aca="false">IF(AND(Payroll!$A915&lt;&gt;"",N(Payroll!$R915)&gt;0),"EDR","")</f>
        <v/>
      </c>
      <c r="B915" s="24" t="str">
        <f aca="false">IF($A915="","",Payroll!U915)</f>
        <v/>
      </c>
      <c r="C915" s="24" t="str">
        <f aca="false">IF($A915="","",Payroll!S915)</f>
        <v/>
      </c>
      <c r="D915" s="24" t="str">
        <f aca="false">IF($A915="","",SUBSTITUTE(Payroll!T915," ",""))</f>
        <v/>
      </c>
      <c r="E915" s="24" t="str">
        <f aca="false">IF($A915="","",TEXT(Settings!$B$8,"yyyy-mm-dd"))</f>
        <v/>
      </c>
      <c r="F915" s="24" t="str">
        <f aca="false">IF($A915="","",TEXT(Settings!$B$9,"yyyy-mm-dd"))</f>
        <v/>
      </c>
      <c r="G915" s="24" t="str">
        <f aca="false">IF($A915="","",DAY(Settings!$B$9))</f>
        <v/>
      </c>
      <c r="H915" s="26" t="str">
        <f aca="false">IF($A915="","",ROUND(Payroll!R915-Payroll!L915-Payroll!M915,2))</f>
        <v/>
      </c>
      <c r="I915" s="26" t="str">
        <f aca="false">IF($A915="","",ROUND(Payroll!L915+Payroll!M915,2))</f>
        <v/>
      </c>
      <c r="J915" s="24" t="str">
        <f aca="false">IF($A915="","",0)</f>
        <v/>
      </c>
    </row>
    <row r="916" customFormat="false" ht="15" hidden="false" customHeight="false" outlineLevel="0" collapsed="false">
      <c r="A916" s="24" t="str">
        <f aca="false">IF(AND(Payroll!$A916&lt;&gt;"",N(Payroll!$R916)&gt;0),"EDR","")</f>
        <v/>
      </c>
      <c r="B916" s="24" t="str">
        <f aca="false">IF($A916="","",Payroll!U916)</f>
        <v/>
      </c>
      <c r="C916" s="24" t="str">
        <f aca="false">IF($A916="","",Payroll!S916)</f>
        <v/>
      </c>
      <c r="D916" s="24" t="str">
        <f aca="false">IF($A916="","",SUBSTITUTE(Payroll!T916," ",""))</f>
        <v/>
      </c>
      <c r="E916" s="24" t="str">
        <f aca="false">IF($A916="","",TEXT(Settings!$B$8,"yyyy-mm-dd"))</f>
        <v/>
      </c>
      <c r="F916" s="24" t="str">
        <f aca="false">IF($A916="","",TEXT(Settings!$B$9,"yyyy-mm-dd"))</f>
        <v/>
      </c>
      <c r="G916" s="24" t="str">
        <f aca="false">IF($A916="","",DAY(Settings!$B$9))</f>
        <v/>
      </c>
      <c r="H916" s="26" t="str">
        <f aca="false">IF($A916="","",ROUND(Payroll!R916-Payroll!L916-Payroll!M916,2))</f>
        <v/>
      </c>
      <c r="I916" s="26" t="str">
        <f aca="false">IF($A916="","",ROUND(Payroll!L916+Payroll!M916,2))</f>
        <v/>
      </c>
      <c r="J916" s="24" t="str">
        <f aca="false">IF($A916="","",0)</f>
        <v/>
      </c>
    </row>
    <row r="917" customFormat="false" ht="15" hidden="false" customHeight="false" outlineLevel="0" collapsed="false">
      <c r="A917" s="24" t="str">
        <f aca="false">IF(AND(Payroll!$A917&lt;&gt;"",N(Payroll!$R917)&gt;0),"EDR","")</f>
        <v/>
      </c>
      <c r="B917" s="24" t="str">
        <f aca="false">IF($A917="","",Payroll!U917)</f>
        <v/>
      </c>
      <c r="C917" s="24" t="str">
        <f aca="false">IF($A917="","",Payroll!S917)</f>
        <v/>
      </c>
      <c r="D917" s="24" t="str">
        <f aca="false">IF($A917="","",SUBSTITUTE(Payroll!T917," ",""))</f>
        <v/>
      </c>
      <c r="E917" s="24" t="str">
        <f aca="false">IF($A917="","",TEXT(Settings!$B$8,"yyyy-mm-dd"))</f>
        <v/>
      </c>
      <c r="F917" s="24" t="str">
        <f aca="false">IF($A917="","",TEXT(Settings!$B$9,"yyyy-mm-dd"))</f>
        <v/>
      </c>
      <c r="G917" s="24" t="str">
        <f aca="false">IF($A917="","",DAY(Settings!$B$9))</f>
        <v/>
      </c>
      <c r="H917" s="26" t="str">
        <f aca="false">IF($A917="","",ROUND(Payroll!R917-Payroll!L917-Payroll!M917,2))</f>
        <v/>
      </c>
      <c r="I917" s="26" t="str">
        <f aca="false">IF($A917="","",ROUND(Payroll!L917+Payroll!M917,2))</f>
        <v/>
      </c>
      <c r="J917" s="24" t="str">
        <f aca="false">IF($A917="","",0)</f>
        <v/>
      </c>
    </row>
    <row r="918" customFormat="false" ht="15" hidden="false" customHeight="false" outlineLevel="0" collapsed="false">
      <c r="A918" s="24" t="str">
        <f aca="false">IF(AND(Payroll!$A918&lt;&gt;"",N(Payroll!$R918)&gt;0),"EDR","")</f>
        <v/>
      </c>
      <c r="B918" s="24" t="str">
        <f aca="false">IF($A918="","",Payroll!U918)</f>
        <v/>
      </c>
      <c r="C918" s="24" t="str">
        <f aca="false">IF($A918="","",Payroll!S918)</f>
        <v/>
      </c>
      <c r="D918" s="24" t="str">
        <f aca="false">IF($A918="","",SUBSTITUTE(Payroll!T918," ",""))</f>
        <v/>
      </c>
      <c r="E918" s="24" t="str">
        <f aca="false">IF($A918="","",TEXT(Settings!$B$8,"yyyy-mm-dd"))</f>
        <v/>
      </c>
      <c r="F918" s="24" t="str">
        <f aca="false">IF($A918="","",TEXT(Settings!$B$9,"yyyy-mm-dd"))</f>
        <v/>
      </c>
      <c r="G918" s="24" t="str">
        <f aca="false">IF($A918="","",DAY(Settings!$B$9))</f>
        <v/>
      </c>
      <c r="H918" s="26" t="str">
        <f aca="false">IF($A918="","",ROUND(Payroll!R918-Payroll!L918-Payroll!M918,2))</f>
        <v/>
      </c>
      <c r="I918" s="26" t="str">
        <f aca="false">IF($A918="","",ROUND(Payroll!L918+Payroll!M918,2))</f>
        <v/>
      </c>
      <c r="J918" s="24" t="str">
        <f aca="false">IF($A918="","",0)</f>
        <v/>
      </c>
    </row>
    <row r="919" customFormat="false" ht="15" hidden="false" customHeight="false" outlineLevel="0" collapsed="false">
      <c r="A919" s="24" t="str">
        <f aca="false">IF(AND(Payroll!$A919&lt;&gt;"",N(Payroll!$R919)&gt;0),"EDR","")</f>
        <v/>
      </c>
      <c r="B919" s="24" t="str">
        <f aca="false">IF($A919="","",Payroll!U919)</f>
        <v/>
      </c>
      <c r="C919" s="24" t="str">
        <f aca="false">IF($A919="","",Payroll!S919)</f>
        <v/>
      </c>
      <c r="D919" s="24" t="str">
        <f aca="false">IF($A919="","",SUBSTITUTE(Payroll!T919," ",""))</f>
        <v/>
      </c>
      <c r="E919" s="24" t="str">
        <f aca="false">IF($A919="","",TEXT(Settings!$B$8,"yyyy-mm-dd"))</f>
        <v/>
      </c>
      <c r="F919" s="24" t="str">
        <f aca="false">IF($A919="","",TEXT(Settings!$B$9,"yyyy-mm-dd"))</f>
        <v/>
      </c>
      <c r="G919" s="24" t="str">
        <f aca="false">IF($A919="","",DAY(Settings!$B$9))</f>
        <v/>
      </c>
      <c r="H919" s="26" t="str">
        <f aca="false">IF($A919="","",ROUND(Payroll!R919-Payroll!L919-Payroll!M919,2))</f>
        <v/>
      </c>
      <c r="I919" s="26" t="str">
        <f aca="false">IF($A919="","",ROUND(Payroll!L919+Payroll!M919,2))</f>
        <v/>
      </c>
      <c r="J919" s="24" t="str">
        <f aca="false">IF($A919="","",0)</f>
        <v/>
      </c>
    </row>
    <row r="920" customFormat="false" ht="15" hidden="false" customHeight="false" outlineLevel="0" collapsed="false">
      <c r="A920" s="24" t="str">
        <f aca="false">IF(AND(Payroll!$A920&lt;&gt;"",N(Payroll!$R920)&gt;0),"EDR","")</f>
        <v/>
      </c>
      <c r="B920" s="24" t="str">
        <f aca="false">IF($A920="","",Payroll!U920)</f>
        <v/>
      </c>
      <c r="C920" s="24" t="str">
        <f aca="false">IF($A920="","",Payroll!S920)</f>
        <v/>
      </c>
      <c r="D920" s="24" t="str">
        <f aca="false">IF($A920="","",SUBSTITUTE(Payroll!T920," ",""))</f>
        <v/>
      </c>
      <c r="E920" s="24" t="str">
        <f aca="false">IF($A920="","",TEXT(Settings!$B$8,"yyyy-mm-dd"))</f>
        <v/>
      </c>
      <c r="F920" s="24" t="str">
        <f aca="false">IF($A920="","",TEXT(Settings!$B$9,"yyyy-mm-dd"))</f>
        <v/>
      </c>
      <c r="G920" s="24" t="str">
        <f aca="false">IF($A920="","",DAY(Settings!$B$9))</f>
        <v/>
      </c>
      <c r="H920" s="26" t="str">
        <f aca="false">IF($A920="","",ROUND(Payroll!R920-Payroll!L920-Payroll!M920,2))</f>
        <v/>
      </c>
      <c r="I920" s="26" t="str">
        <f aca="false">IF($A920="","",ROUND(Payroll!L920+Payroll!M920,2))</f>
        <v/>
      </c>
      <c r="J920" s="24" t="str">
        <f aca="false">IF($A920="","",0)</f>
        <v/>
      </c>
    </row>
    <row r="921" customFormat="false" ht="15" hidden="false" customHeight="false" outlineLevel="0" collapsed="false">
      <c r="A921" s="24" t="str">
        <f aca="false">IF(AND(Payroll!$A921&lt;&gt;"",N(Payroll!$R921)&gt;0),"EDR","")</f>
        <v/>
      </c>
      <c r="B921" s="24" t="str">
        <f aca="false">IF($A921="","",Payroll!U921)</f>
        <v/>
      </c>
      <c r="C921" s="24" t="str">
        <f aca="false">IF($A921="","",Payroll!S921)</f>
        <v/>
      </c>
      <c r="D921" s="24" t="str">
        <f aca="false">IF($A921="","",SUBSTITUTE(Payroll!T921," ",""))</f>
        <v/>
      </c>
      <c r="E921" s="24" t="str">
        <f aca="false">IF($A921="","",TEXT(Settings!$B$8,"yyyy-mm-dd"))</f>
        <v/>
      </c>
      <c r="F921" s="24" t="str">
        <f aca="false">IF($A921="","",TEXT(Settings!$B$9,"yyyy-mm-dd"))</f>
        <v/>
      </c>
      <c r="G921" s="24" t="str">
        <f aca="false">IF($A921="","",DAY(Settings!$B$9))</f>
        <v/>
      </c>
      <c r="H921" s="26" t="str">
        <f aca="false">IF($A921="","",ROUND(Payroll!R921-Payroll!L921-Payroll!M921,2))</f>
        <v/>
      </c>
      <c r="I921" s="26" t="str">
        <f aca="false">IF($A921="","",ROUND(Payroll!L921+Payroll!M921,2))</f>
        <v/>
      </c>
      <c r="J921" s="24" t="str">
        <f aca="false">IF($A921="","",0)</f>
        <v/>
      </c>
    </row>
    <row r="922" customFormat="false" ht="15" hidden="false" customHeight="false" outlineLevel="0" collapsed="false">
      <c r="A922" s="24" t="str">
        <f aca="false">IF(AND(Payroll!$A922&lt;&gt;"",N(Payroll!$R922)&gt;0),"EDR","")</f>
        <v/>
      </c>
      <c r="B922" s="24" t="str">
        <f aca="false">IF($A922="","",Payroll!U922)</f>
        <v/>
      </c>
      <c r="C922" s="24" t="str">
        <f aca="false">IF($A922="","",Payroll!S922)</f>
        <v/>
      </c>
      <c r="D922" s="24" t="str">
        <f aca="false">IF($A922="","",SUBSTITUTE(Payroll!T922," ",""))</f>
        <v/>
      </c>
      <c r="E922" s="24" t="str">
        <f aca="false">IF($A922="","",TEXT(Settings!$B$8,"yyyy-mm-dd"))</f>
        <v/>
      </c>
      <c r="F922" s="24" t="str">
        <f aca="false">IF($A922="","",TEXT(Settings!$B$9,"yyyy-mm-dd"))</f>
        <v/>
      </c>
      <c r="G922" s="24" t="str">
        <f aca="false">IF($A922="","",DAY(Settings!$B$9))</f>
        <v/>
      </c>
      <c r="H922" s="26" t="str">
        <f aca="false">IF($A922="","",ROUND(Payroll!R922-Payroll!L922-Payroll!M922,2))</f>
        <v/>
      </c>
      <c r="I922" s="26" t="str">
        <f aca="false">IF($A922="","",ROUND(Payroll!L922+Payroll!M922,2))</f>
        <v/>
      </c>
      <c r="J922" s="24" t="str">
        <f aca="false">IF($A922="","",0)</f>
        <v/>
      </c>
    </row>
    <row r="923" customFormat="false" ht="15" hidden="false" customHeight="false" outlineLevel="0" collapsed="false">
      <c r="A923" s="24" t="str">
        <f aca="false">IF(AND(Payroll!$A923&lt;&gt;"",N(Payroll!$R923)&gt;0),"EDR","")</f>
        <v/>
      </c>
      <c r="B923" s="24" t="str">
        <f aca="false">IF($A923="","",Payroll!U923)</f>
        <v/>
      </c>
      <c r="C923" s="24" t="str">
        <f aca="false">IF($A923="","",Payroll!S923)</f>
        <v/>
      </c>
      <c r="D923" s="24" t="str">
        <f aca="false">IF($A923="","",SUBSTITUTE(Payroll!T923," ",""))</f>
        <v/>
      </c>
      <c r="E923" s="24" t="str">
        <f aca="false">IF($A923="","",TEXT(Settings!$B$8,"yyyy-mm-dd"))</f>
        <v/>
      </c>
      <c r="F923" s="24" t="str">
        <f aca="false">IF($A923="","",TEXT(Settings!$B$9,"yyyy-mm-dd"))</f>
        <v/>
      </c>
      <c r="G923" s="24" t="str">
        <f aca="false">IF($A923="","",DAY(Settings!$B$9))</f>
        <v/>
      </c>
      <c r="H923" s="26" t="str">
        <f aca="false">IF($A923="","",ROUND(Payroll!R923-Payroll!L923-Payroll!M923,2))</f>
        <v/>
      </c>
      <c r="I923" s="26" t="str">
        <f aca="false">IF($A923="","",ROUND(Payroll!L923+Payroll!M923,2))</f>
        <v/>
      </c>
      <c r="J923" s="24" t="str">
        <f aca="false">IF($A923="","",0)</f>
        <v/>
      </c>
    </row>
    <row r="924" customFormat="false" ht="15" hidden="false" customHeight="false" outlineLevel="0" collapsed="false">
      <c r="A924" s="24" t="str">
        <f aca="false">IF(AND(Payroll!$A924&lt;&gt;"",N(Payroll!$R924)&gt;0),"EDR","")</f>
        <v/>
      </c>
      <c r="B924" s="24" t="str">
        <f aca="false">IF($A924="","",Payroll!U924)</f>
        <v/>
      </c>
      <c r="C924" s="24" t="str">
        <f aca="false">IF($A924="","",Payroll!S924)</f>
        <v/>
      </c>
      <c r="D924" s="24" t="str">
        <f aca="false">IF($A924="","",SUBSTITUTE(Payroll!T924," ",""))</f>
        <v/>
      </c>
      <c r="E924" s="24" t="str">
        <f aca="false">IF($A924="","",TEXT(Settings!$B$8,"yyyy-mm-dd"))</f>
        <v/>
      </c>
      <c r="F924" s="24" t="str">
        <f aca="false">IF($A924="","",TEXT(Settings!$B$9,"yyyy-mm-dd"))</f>
        <v/>
      </c>
      <c r="G924" s="24" t="str">
        <f aca="false">IF($A924="","",DAY(Settings!$B$9))</f>
        <v/>
      </c>
      <c r="H924" s="26" t="str">
        <f aca="false">IF($A924="","",ROUND(Payroll!R924-Payroll!L924-Payroll!M924,2))</f>
        <v/>
      </c>
      <c r="I924" s="26" t="str">
        <f aca="false">IF($A924="","",ROUND(Payroll!L924+Payroll!M924,2))</f>
        <v/>
      </c>
      <c r="J924" s="24" t="str">
        <f aca="false">IF($A924="","",0)</f>
        <v/>
      </c>
    </row>
    <row r="925" customFormat="false" ht="15" hidden="false" customHeight="false" outlineLevel="0" collapsed="false">
      <c r="A925" s="24" t="str">
        <f aca="false">IF(AND(Payroll!$A925&lt;&gt;"",N(Payroll!$R925)&gt;0),"EDR","")</f>
        <v/>
      </c>
      <c r="B925" s="24" t="str">
        <f aca="false">IF($A925="","",Payroll!U925)</f>
        <v/>
      </c>
      <c r="C925" s="24" t="str">
        <f aca="false">IF($A925="","",Payroll!S925)</f>
        <v/>
      </c>
      <c r="D925" s="24" t="str">
        <f aca="false">IF($A925="","",SUBSTITUTE(Payroll!T925," ",""))</f>
        <v/>
      </c>
      <c r="E925" s="24" t="str">
        <f aca="false">IF($A925="","",TEXT(Settings!$B$8,"yyyy-mm-dd"))</f>
        <v/>
      </c>
      <c r="F925" s="24" t="str">
        <f aca="false">IF($A925="","",TEXT(Settings!$B$9,"yyyy-mm-dd"))</f>
        <v/>
      </c>
      <c r="G925" s="24" t="str">
        <f aca="false">IF($A925="","",DAY(Settings!$B$9))</f>
        <v/>
      </c>
      <c r="H925" s="26" t="str">
        <f aca="false">IF($A925="","",ROUND(Payroll!R925-Payroll!L925-Payroll!M925,2))</f>
        <v/>
      </c>
      <c r="I925" s="26" t="str">
        <f aca="false">IF($A925="","",ROUND(Payroll!L925+Payroll!M925,2))</f>
        <v/>
      </c>
      <c r="J925" s="24" t="str">
        <f aca="false">IF($A925="","",0)</f>
        <v/>
      </c>
    </row>
    <row r="926" customFormat="false" ht="15" hidden="false" customHeight="false" outlineLevel="0" collapsed="false">
      <c r="A926" s="24" t="str">
        <f aca="false">IF(AND(Payroll!$A926&lt;&gt;"",N(Payroll!$R926)&gt;0),"EDR","")</f>
        <v/>
      </c>
      <c r="B926" s="24" t="str">
        <f aca="false">IF($A926="","",Payroll!U926)</f>
        <v/>
      </c>
      <c r="C926" s="24" t="str">
        <f aca="false">IF($A926="","",Payroll!S926)</f>
        <v/>
      </c>
      <c r="D926" s="24" t="str">
        <f aca="false">IF($A926="","",SUBSTITUTE(Payroll!T926," ",""))</f>
        <v/>
      </c>
      <c r="E926" s="24" t="str">
        <f aca="false">IF($A926="","",TEXT(Settings!$B$8,"yyyy-mm-dd"))</f>
        <v/>
      </c>
      <c r="F926" s="24" t="str">
        <f aca="false">IF($A926="","",TEXT(Settings!$B$9,"yyyy-mm-dd"))</f>
        <v/>
      </c>
      <c r="G926" s="24" t="str">
        <f aca="false">IF($A926="","",DAY(Settings!$B$9))</f>
        <v/>
      </c>
      <c r="H926" s="26" t="str">
        <f aca="false">IF($A926="","",ROUND(Payroll!R926-Payroll!L926-Payroll!M926,2))</f>
        <v/>
      </c>
      <c r="I926" s="26" t="str">
        <f aca="false">IF($A926="","",ROUND(Payroll!L926+Payroll!M926,2))</f>
        <v/>
      </c>
      <c r="J926" s="24" t="str">
        <f aca="false">IF($A926="","",0)</f>
        <v/>
      </c>
    </row>
    <row r="927" customFormat="false" ht="15" hidden="false" customHeight="false" outlineLevel="0" collapsed="false">
      <c r="A927" s="24" t="str">
        <f aca="false">IF(AND(Payroll!$A927&lt;&gt;"",N(Payroll!$R927)&gt;0),"EDR","")</f>
        <v/>
      </c>
      <c r="B927" s="24" t="str">
        <f aca="false">IF($A927="","",Payroll!U927)</f>
        <v/>
      </c>
      <c r="C927" s="24" t="str">
        <f aca="false">IF($A927="","",Payroll!S927)</f>
        <v/>
      </c>
      <c r="D927" s="24" t="str">
        <f aca="false">IF($A927="","",SUBSTITUTE(Payroll!T927," ",""))</f>
        <v/>
      </c>
      <c r="E927" s="24" t="str">
        <f aca="false">IF($A927="","",TEXT(Settings!$B$8,"yyyy-mm-dd"))</f>
        <v/>
      </c>
      <c r="F927" s="24" t="str">
        <f aca="false">IF($A927="","",TEXT(Settings!$B$9,"yyyy-mm-dd"))</f>
        <v/>
      </c>
      <c r="G927" s="24" t="str">
        <f aca="false">IF($A927="","",DAY(Settings!$B$9))</f>
        <v/>
      </c>
      <c r="H927" s="26" t="str">
        <f aca="false">IF($A927="","",ROUND(Payroll!R927-Payroll!L927-Payroll!M927,2))</f>
        <v/>
      </c>
      <c r="I927" s="26" t="str">
        <f aca="false">IF($A927="","",ROUND(Payroll!L927+Payroll!M927,2))</f>
        <v/>
      </c>
      <c r="J927" s="24" t="str">
        <f aca="false">IF($A927="","",0)</f>
        <v/>
      </c>
    </row>
    <row r="928" customFormat="false" ht="15" hidden="false" customHeight="false" outlineLevel="0" collapsed="false">
      <c r="A928" s="24" t="str">
        <f aca="false">IF(AND(Payroll!$A928&lt;&gt;"",N(Payroll!$R928)&gt;0),"EDR","")</f>
        <v/>
      </c>
      <c r="B928" s="24" t="str">
        <f aca="false">IF($A928="","",Payroll!U928)</f>
        <v/>
      </c>
      <c r="C928" s="24" t="str">
        <f aca="false">IF($A928="","",Payroll!S928)</f>
        <v/>
      </c>
      <c r="D928" s="24" t="str">
        <f aca="false">IF($A928="","",SUBSTITUTE(Payroll!T928," ",""))</f>
        <v/>
      </c>
      <c r="E928" s="24" t="str">
        <f aca="false">IF($A928="","",TEXT(Settings!$B$8,"yyyy-mm-dd"))</f>
        <v/>
      </c>
      <c r="F928" s="24" t="str">
        <f aca="false">IF($A928="","",TEXT(Settings!$B$9,"yyyy-mm-dd"))</f>
        <v/>
      </c>
      <c r="G928" s="24" t="str">
        <f aca="false">IF($A928="","",DAY(Settings!$B$9))</f>
        <v/>
      </c>
      <c r="H928" s="26" t="str">
        <f aca="false">IF($A928="","",ROUND(Payroll!R928-Payroll!L928-Payroll!M928,2))</f>
        <v/>
      </c>
      <c r="I928" s="26" t="str">
        <f aca="false">IF($A928="","",ROUND(Payroll!L928+Payroll!M928,2))</f>
        <v/>
      </c>
      <c r="J928" s="24" t="str">
        <f aca="false">IF($A928="","",0)</f>
        <v/>
      </c>
    </row>
    <row r="929" customFormat="false" ht="15" hidden="false" customHeight="false" outlineLevel="0" collapsed="false">
      <c r="A929" s="24" t="str">
        <f aca="false">IF(AND(Payroll!$A929&lt;&gt;"",N(Payroll!$R929)&gt;0),"EDR","")</f>
        <v/>
      </c>
      <c r="B929" s="24" t="str">
        <f aca="false">IF($A929="","",Payroll!U929)</f>
        <v/>
      </c>
      <c r="C929" s="24" t="str">
        <f aca="false">IF($A929="","",Payroll!S929)</f>
        <v/>
      </c>
      <c r="D929" s="24" t="str">
        <f aca="false">IF($A929="","",SUBSTITUTE(Payroll!T929," ",""))</f>
        <v/>
      </c>
      <c r="E929" s="24" t="str">
        <f aca="false">IF($A929="","",TEXT(Settings!$B$8,"yyyy-mm-dd"))</f>
        <v/>
      </c>
      <c r="F929" s="24" t="str">
        <f aca="false">IF($A929="","",TEXT(Settings!$B$9,"yyyy-mm-dd"))</f>
        <v/>
      </c>
      <c r="G929" s="24" t="str">
        <f aca="false">IF($A929="","",DAY(Settings!$B$9))</f>
        <v/>
      </c>
      <c r="H929" s="26" t="str">
        <f aca="false">IF($A929="","",ROUND(Payroll!R929-Payroll!L929-Payroll!M929,2))</f>
        <v/>
      </c>
      <c r="I929" s="26" t="str">
        <f aca="false">IF($A929="","",ROUND(Payroll!L929+Payroll!M929,2))</f>
        <v/>
      </c>
      <c r="J929" s="24" t="str">
        <f aca="false">IF($A929="","",0)</f>
        <v/>
      </c>
    </row>
    <row r="930" customFormat="false" ht="15" hidden="false" customHeight="false" outlineLevel="0" collapsed="false">
      <c r="A930" s="24" t="str">
        <f aca="false">IF(AND(Payroll!$A930&lt;&gt;"",N(Payroll!$R930)&gt;0),"EDR","")</f>
        <v/>
      </c>
      <c r="B930" s="24" t="str">
        <f aca="false">IF($A930="","",Payroll!U930)</f>
        <v/>
      </c>
      <c r="C930" s="24" t="str">
        <f aca="false">IF($A930="","",Payroll!S930)</f>
        <v/>
      </c>
      <c r="D930" s="24" t="str">
        <f aca="false">IF($A930="","",SUBSTITUTE(Payroll!T930," ",""))</f>
        <v/>
      </c>
      <c r="E930" s="24" t="str">
        <f aca="false">IF($A930="","",TEXT(Settings!$B$8,"yyyy-mm-dd"))</f>
        <v/>
      </c>
      <c r="F930" s="24" t="str">
        <f aca="false">IF($A930="","",TEXT(Settings!$B$9,"yyyy-mm-dd"))</f>
        <v/>
      </c>
      <c r="G930" s="24" t="str">
        <f aca="false">IF($A930="","",DAY(Settings!$B$9))</f>
        <v/>
      </c>
      <c r="H930" s="26" t="str">
        <f aca="false">IF($A930="","",ROUND(Payroll!R930-Payroll!L930-Payroll!M930,2))</f>
        <v/>
      </c>
      <c r="I930" s="26" t="str">
        <f aca="false">IF($A930="","",ROUND(Payroll!L930+Payroll!M930,2))</f>
        <v/>
      </c>
      <c r="J930" s="24" t="str">
        <f aca="false">IF($A930="","",0)</f>
        <v/>
      </c>
    </row>
    <row r="931" customFormat="false" ht="15" hidden="false" customHeight="false" outlineLevel="0" collapsed="false">
      <c r="A931" s="24" t="str">
        <f aca="false">IF(AND(Payroll!$A931&lt;&gt;"",N(Payroll!$R931)&gt;0),"EDR","")</f>
        <v/>
      </c>
      <c r="B931" s="24" t="str">
        <f aca="false">IF($A931="","",Payroll!U931)</f>
        <v/>
      </c>
      <c r="C931" s="24" t="str">
        <f aca="false">IF($A931="","",Payroll!S931)</f>
        <v/>
      </c>
      <c r="D931" s="24" t="str">
        <f aca="false">IF($A931="","",SUBSTITUTE(Payroll!T931," ",""))</f>
        <v/>
      </c>
      <c r="E931" s="24" t="str">
        <f aca="false">IF($A931="","",TEXT(Settings!$B$8,"yyyy-mm-dd"))</f>
        <v/>
      </c>
      <c r="F931" s="24" t="str">
        <f aca="false">IF($A931="","",TEXT(Settings!$B$9,"yyyy-mm-dd"))</f>
        <v/>
      </c>
      <c r="G931" s="24" t="str">
        <f aca="false">IF($A931="","",DAY(Settings!$B$9))</f>
        <v/>
      </c>
      <c r="H931" s="26" t="str">
        <f aca="false">IF($A931="","",ROUND(Payroll!R931-Payroll!L931-Payroll!M931,2))</f>
        <v/>
      </c>
      <c r="I931" s="26" t="str">
        <f aca="false">IF($A931="","",ROUND(Payroll!L931+Payroll!M931,2))</f>
        <v/>
      </c>
      <c r="J931" s="24" t="str">
        <f aca="false">IF($A931="","",0)</f>
        <v/>
      </c>
    </row>
    <row r="932" customFormat="false" ht="15" hidden="false" customHeight="false" outlineLevel="0" collapsed="false">
      <c r="A932" s="24" t="str">
        <f aca="false">IF(AND(Payroll!$A932&lt;&gt;"",N(Payroll!$R932)&gt;0),"EDR","")</f>
        <v/>
      </c>
      <c r="B932" s="24" t="str">
        <f aca="false">IF($A932="","",Payroll!U932)</f>
        <v/>
      </c>
      <c r="C932" s="24" t="str">
        <f aca="false">IF($A932="","",Payroll!S932)</f>
        <v/>
      </c>
      <c r="D932" s="24" t="str">
        <f aca="false">IF($A932="","",SUBSTITUTE(Payroll!T932," ",""))</f>
        <v/>
      </c>
      <c r="E932" s="24" t="str">
        <f aca="false">IF($A932="","",TEXT(Settings!$B$8,"yyyy-mm-dd"))</f>
        <v/>
      </c>
      <c r="F932" s="24" t="str">
        <f aca="false">IF($A932="","",TEXT(Settings!$B$9,"yyyy-mm-dd"))</f>
        <v/>
      </c>
      <c r="G932" s="24" t="str">
        <f aca="false">IF($A932="","",DAY(Settings!$B$9))</f>
        <v/>
      </c>
      <c r="H932" s="26" t="str">
        <f aca="false">IF($A932="","",ROUND(Payroll!R932-Payroll!L932-Payroll!M932,2))</f>
        <v/>
      </c>
      <c r="I932" s="26" t="str">
        <f aca="false">IF($A932="","",ROUND(Payroll!L932+Payroll!M932,2))</f>
        <v/>
      </c>
      <c r="J932" s="24" t="str">
        <f aca="false">IF($A932="","",0)</f>
        <v/>
      </c>
    </row>
    <row r="933" customFormat="false" ht="15" hidden="false" customHeight="false" outlineLevel="0" collapsed="false">
      <c r="A933" s="24" t="str">
        <f aca="false">IF(AND(Payroll!$A933&lt;&gt;"",N(Payroll!$R933)&gt;0),"EDR","")</f>
        <v/>
      </c>
      <c r="B933" s="24" t="str">
        <f aca="false">IF($A933="","",Payroll!U933)</f>
        <v/>
      </c>
      <c r="C933" s="24" t="str">
        <f aca="false">IF($A933="","",Payroll!S933)</f>
        <v/>
      </c>
      <c r="D933" s="24" t="str">
        <f aca="false">IF($A933="","",SUBSTITUTE(Payroll!T933," ",""))</f>
        <v/>
      </c>
      <c r="E933" s="24" t="str">
        <f aca="false">IF($A933="","",TEXT(Settings!$B$8,"yyyy-mm-dd"))</f>
        <v/>
      </c>
      <c r="F933" s="24" t="str">
        <f aca="false">IF($A933="","",TEXT(Settings!$B$9,"yyyy-mm-dd"))</f>
        <v/>
      </c>
      <c r="G933" s="24" t="str">
        <f aca="false">IF($A933="","",DAY(Settings!$B$9))</f>
        <v/>
      </c>
      <c r="H933" s="26" t="str">
        <f aca="false">IF($A933="","",ROUND(Payroll!R933-Payroll!L933-Payroll!M933,2))</f>
        <v/>
      </c>
      <c r="I933" s="26" t="str">
        <f aca="false">IF($A933="","",ROUND(Payroll!L933+Payroll!M933,2))</f>
        <v/>
      </c>
      <c r="J933" s="24" t="str">
        <f aca="false">IF($A933="","",0)</f>
        <v/>
      </c>
    </row>
    <row r="934" customFormat="false" ht="15" hidden="false" customHeight="false" outlineLevel="0" collapsed="false">
      <c r="A934" s="24" t="str">
        <f aca="false">IF(AND(Payroll!$A934&lt;&gt;"",N(Payroll!$R934)&gt;0),"EDR","")</f>
        <v/>
      </c>
      <c r="B934" s="24" t="str">
        <f aca="false">IF($A934="","",Payroll!U934)</f>
        <v/>
      </c>
      <c r="C934" s="24" t="str">
        <f aca="false">IF($A934="","",Payroll!S934)</f>
        <v/>
      </c>
      <c r="D934" s="24" t="str">
        <f aca="false">IF($A934="","",SUBSTITUTE(Payroll!T934," ",""))</f>
        <v/>
      </c>
      <c r="E934" s="24" t="str">
        <f aca="false">IF($A934="","",TEXT(Settings!$B$8,"yyyy-mm-dd"))</f>
        <v/>
      </c>
      <c r="F934" s="24" t="str">
        <f aca="false">IF($A934="","",TEXT(Settings!$B$9,"yyyy-mm-dd"))</f>
        <v/>
      </c>
      <c r="G934" s="24" t="str">
        <f aca="false">IF($A934="","",DAY(Settings!$B$9))</f>
        <v/>
      </c>
      <c r="H934" s="26" t="str">
        <f aca="false">IF($A934="","",ROUND(Payroll!R934-Payroll!L934-Payroll!M934,2))</f>
        <v/>
      </c>
      <c r="I934" s="26" t="str">
        <f aca="false">IF($A934="","",ROUND(Payroll!L934+Payroll!M934,2))</f>
        <v/>
      </c>
      <c r="J934" s="24" t="str">
        <f aca="false">IF($A934="","",0)</f>
        <v/>
      </c>
    </row>
    <row r="935" customFormat="false" ht="15" hidden="false" customHeight="false" outlineLevel="0" collapsed="false">
      <c r="A935" s="24" t="str">
        <f aca="false">IF(AND(Payroll!$A935&lt;&gt;"",N(Payroll!$R935)&gt;0),"EDR","")</f>
        <v/>
      </c>
      <c r="B935" s="24" t="str">
        <f aca="false">IF($A935="","",Payroll!U935)</f>
        <v/>
      </c>
      <c r="C935" s="24" t="str">
        <f aca="false">IF($A935="","",Payroll!S935)</f>
        <v/>
      </c>
      <c r="D935" s="24" t="str">
        <f aca="false">IF($A935="","",SUBSTITUTE(Payroll!T935," ",""))</f>
        <v/>
      </c>
      <c r="E935" s="24" t="str">
        <f aca="false">IF($A935="","",TEXT(Settings!$B$8,"yyyy-mm-dd"))</f>
        <v/>
      </c>
      <c r="F935" s="24" t="str">
        <f aca="false">IF($A935="","",TEXT(Settings!$B$9,"yyyy-mm-dd"))</f>
        <v/>
      </c>
      <c r="G935" s="24" t="str">
        <f aca="false">IF($A935="","",DAY(Settings!$B$9))</f>
        <v/>
      </c>
      <c r="H935" s="26" t="str">
        <f aca="false">IF($A935="","",ROUND(Payroll!R935-Payroll!L935-Payroll!M935,2))</f>
        <v/>
      </c>
      <c r="I935" s="26" t="str">
        <f aca="false">IF($A935="","",ROUND(Payroll!L935+Payroll!M935,2))</f>
        <v/>
      </c>
      <c r="J935" s="24" t="str">
        <f aca="false">IF($A935="","",0)</f>
        <v/>
      </c>
    </row>
    <row r="936" customFormat="false" ht="15" hidden="false" customHeight="false" outlineLevel="0" collapsed="false">
      <c r="A936" s="24" t="str">
        <f aca="false">IF(AND(Payroll!$A936&lt;&gt;"",N(Payroll!$R936)&gt;0),"EDR","")</f>
        <v/>
      </c>
      <c r="B936" s="24" t="str">
        <f aca="false">IF($A936="","",Payroll!U936)</f>
        <v/>
      </c>
      <c r="C936" s="24" t="str">
        <f aca="false">IF($A936="","",Payroll!S936)</f>
        <v/>
      </c>
      <c r="D936" s="24" t="str">
        <f aca="false">IF($A936="","",SUBSTITUTE(Payroll!T936," ",""))</f>
        <v/>
      </c>
      <c r="E936" s="24" t="str">
        <f aca="false">IF($A936="","",TEXT(Settings!$B$8,"yyyy-mm-dd"))</f>
        <v/>
      </c>
      <c r="F936" s="24" t="str">
        <f aca="false">IF($A936="","",TEXT(Settings!$B$9,"yyyy-mm-dd"))</f>
        <v/>
      </c>
      <c r="G936" s="24" t="str">
        <f aca="false">IF($A936="","",DAY(Settings!$B$9))</f>
        <v/>
      </c>
      <c r="H936" s="26" t="str">
        <f aca="false">IF($A936="","",ROUND(Payroll!R936-Payroll!L936-Payroll!M936,2))</f>
        <v/>
      </c>
      <c r="I936" s="26" t="str">
        <f aca="false">IF($A936="","",ROUND(Payroll!L936+Payroll!M936,2))</f>
        <v/>
      </c>
      <c r="J936" s="24" t="str">
        <f aca="false">IF($A936="","",0)</f>
        <v/>
      </c>
    </row>
    <row r="937" customFormat="false" ht="15" hidden="false" customHeight="false" outlineLevel="0" collapsed="false">
      <c r="A937" s="24" t="str">
        <f aca="false">IF(AND(Payroll!$A937&lt;&gt;"",N(Payroll!$R937)&gt;0),"EDR","")</f>
        <v/>
      </c>
      <c r="B937" s="24" t="str">
        <f aca="false">IF($A937="","",Payroll!U937)</f>
        <v/>
      </c>
      <c r="C937" s="24" t="str">
        <f aca="false">IF($A937="","",Payroll!S937)</f>
        <v/>
      </c>
      <c r="D937" s="24" t="str">
        <f aca="false">IF($A937="","",SUBSTITUTE(Payroll!T937," ",""))</f>
        <v/>
      </c>
      <c r="E937" s="24" t="str">
        <f aca="false">IF($A937="","",TEXT(Settings!$B$8,"yyyy-mm-dd"))</f>
        <v/>
      </c>
      <c r="F937" s="24" t="str">
        <f aca="false">IF($A937="","",TEXT(Settings!$B$9,"yyyy-mm-dd"))</f>
        <v/>
      </c>
      <c r="G937" s="24" t="str">
        <f aca="false">IF($A937="","",DAY(Settings!$B$9))</f>
        <v/>
      </c>
      <c r="H937" s="26" t="str">
        <f aca="false">IF($A937="","",ROUND(Payroll!R937-Payroll!L937-Payroll!M937,2))</f>
        <v/>
      </c>
      <c r="I937" s="26" t="str">
        <f aca="false">IF($A937="","",ROUND(Payroll!L937+Payroll!M937,2))</f>
        <v/>
      </c>
      <c r="J937" s="24" t="str">
        <f aca="false">IF($A937="","",0)</f>
        <v/>
      </c>
    </row>
    <row r="938" customFormat="false" ht="15" hidden="false" customHeight="false" outlineLevel="0" collapsed="false">
      <c r="A938" s="24" t="str">
        <f aca="false">IF(AND(Payroll!$A938&lt;&gt;"",N(Payroll!$R938)&gt;0),"EDR","")</f>
        <v/>
      </c>
      <c r="B938" s="24" t="str">
        <f aca="false">IF($A938="","",Payroll!U938)</f>
        <v/>
      </c>
      <c r="C938" s="24" t="str">
        <f aca="false">IF($A938="","",Payroll!S938)</f>
        <v/>
      </c>
      <c r="D938" s="24" t="str">
        <f aca="false">IF($A938="","",SUBSTITUTE(Payroll!T938," ",""))</f>
        <v/>
      </c>
      <c r="E938" s="24" t="str">
        <f aca="false">IF($A938="","",TEXT(Settings!$B$8,"yyyy-mm-dd"))</f>
        <v/>
      </c>
      <c r="F938" s="24" t="str">
        <f aca="false">IF($A938="","",TEXT(Settings!$B$9,"yyyy-mm-dd"))</f>
        <v/>
      </c>
      <c r="G938" s="24" t="str">
        <f aca="false">IF($A938="","",DAY(Settings!$B$9))</f>
        <v/>
      </c>
      <c r="H938" s="26" t="str">
        <f aca="false">IF($A938="","",ROUND(Payroll!R938-Payroll!L938-Payroll!M938,2))</f>
        <v/>
      </c>
      <c r="I938" s="26" t="str">
        <f aca="false">IF($A938="","",ROUND(Payroll!L938+Payroll!M938,2))</f>
        <v/>
      </c>
      <c r="J938" s="24" t="str">
        <f aca="false">IF($A938="","",0)</f>
        <v/>
      </c>
    </row>
    <row r="939" customFormat="false" ht="15" hidden="false" customHeight="false" outlineLevel="0" collapsed="false">
      <c r="A939" s="24" t="str">
        <f aca="false">IF(AND(Payroll!$A939&lt;&gt;"",N(Payroll!$R939)&gt;0),"EDR","")</f>
        <v/>
      </c>
      <c r="B939" s="24" t="str">
        <f aca="false">IF($A939="","",Payroll!U939)</f>
        <v/>
      </c>
      <c r="C939" s="24" t="str">
        <f aca="false">IF($A939="","",Payroll!S939)</f>
        <v/>
      </c>
      <c r="D939" s="24" t="str">
        <f aca="false">IF($A939="","",SUBSTITUTE(Payroll!T939," ",""))</f>
        <v/>
      </c>
      <c r="E939" s="24" t="str">
        <f aca="false">IF($A939="","",TEXT(Settings!$B$8,"yyyy-mm-dd"))</f>
        <v/>
      </c>
      <c r="F939" s="24" t="str">
        <f aca="false">IF($A939="","",TEXT(Settings!$B$9,"yyyy-mm-dd"))</f>
        <v/>
      </c>
      <c r="G939" s="24" t="str">
        <f aca="false">IF($A939="","",DAY(Settings!$B$9))</f>
        <v/>
      </c>
      <c r="H939" s="26" t="str">
        <f aca="false">IF($A939="","",ROUND(Payroll!R939-Payroll!L939-Payroll!M939,2))</f>
        <v/>
      </c>
      <c r="I939" s="26" t="str">
        <f aca="false">IF($A939="","",ROUND(Payroll!L939+Payroll!M939,2))</f>
        <v/>
      </c>
      <c r="J939" s="24" t="str">
        <f aca="false">IF($A939="","",0)</f>
        <v/>
      </c>
    </row>
    <row r="940" customFormat="false" ht="15" hidden="false" customHeight="false" outlineLevel="0" collapsed="false">
      <c r="A940" s="24" t="str">
        <f aca="false">IF(AND(Payroll!$A940&lt;&gt;"",N(Payroll!$R940)&gt;0),"EDR","")</f>
        <v/>
      </c>
      <c r="B940" s="24" t="str">
        <f aca="false">IF($A940="","",Payroll!U940)</f>
        <v/>
      </c>
      <c r="C940" s="24" t="str">
        <f aca="false">IF($A940="","",Payroll!S940)</f>
        <v/>
      </c>
      <c r="D940" s="24" t="str">
        <f aca="false">IF($A940="","",SUBSTITUTE(Payroll!T940," ",""))</f>
        <v/>
      </c>
      <c r="E940" s="24" t="str">
        <f aca="false">IF($A940="","",TEXT(Settings!$B$8,"yyyy-mm-dd"))</f>
        <v/>
      </c>
      <c r="F940" s="24" t="str">
        <f aca="false">IF($A940="","",TEXT(Settings!$B$9,"yyyy-mm-dd"))</f>
        <v/>
      </c>
      <c r="G940" s="24" t="str">
        <f aca="false">IF($A940="","",DAY(Settings!$B$9))</f>
        <v/>
      </c>
      <c r="H940" s="26" t="str">
        <f aca="false">IF($A940="","",ROUND(Payroll!R940-Payroll!L940-Payroll!M940,2))</f>
        <v/>
      </c>
      <c r="I940" s="26" t="str">
        <f aca="false">IF($A940="","",ROUND(Payroll!L940+Payroll!M940,2))</f>
        <v/>
      </c>
      <c r="J940" s="24" t="str">
        <f aca="false">IF($A940="","",0)</f>
        <v/>
      </c>
    </row>
    <row r="941" customFormat="false" ht="15" hidden="false" customHeight="false" outlineLevel="0" collapsed="false">
      <c r="A941" s="24" t="str">
        <f aca="false">IF(AND(Payroll!$A941&lt;&gt;"",N(Payroll!$R941)&gt;0),"EDR","")</f>
        <v/>
      </c>
      <c r="B941" s="24" t="str">
        <f aca="false">IF($A941="","",Payroll!U941)</f>
        <v/>
      </c>
      <c r="C941" s="24" t="str">
        <f aca="false">IF($A941="","",Payroll!S941)</f>
        <v/>
      </c>
      <c r="D941" s="24" t="str">
        <f aca="false">IF($A941="","",SUBSTITUTE(Payroll!T941," ",""))</f>
        <v/>
      </c>
      <c r="E941" s="24" t="str">
        <f aca="false">IF($A941="","",TEXT(Settings!$B$8,"yyyy-mm-dd"))</f>
        <v/>
      </c>
      <c r="F941" s="24" t="str">
        <f aca="false">IF($A941="","",TEXT(Settings!$B$9,"yyyy-mm-dd"))</f>
        <v/>
      </c>
      <c r="G941" s="24" t="str">
        <f aca="false">IF($A941="","",DAY(Settings!$B$9))</f>
        <v/>
      </c>
      <c r="H941" s="26" t="str">
        <f aca="false">IF($A941="","",ROUND(Payroll!R941-Payroll!L941-Payroll!M941,2))</f>
        <v/>
      </c>
      <c r="I941" s="26" t="str">
        <f aca="false">IF($A941="","",ROUND(Payroll!L941+Payroll!M941,2))</f>
        <v/>
      </c>
      <c r="J941" s="24" t="str">
        <f aca="false">IF($A941="","",0)</f>
        <v/>
      </c>
    </row>
    <row r="942" customFormat="false" ht="15" hidden="false" customHeight="false" outlineLevel="0" collapsed="false">
      <c r="A942" s="24" t="str">
        <f aca="false">IF(AND(Payroll!$A942&lt;&gt;"",N(Payroll!$R942)&gt;0),"EDR","")</f>
        <v/>
      </c>
      <c r="B942" s="24" t="str">
        <f aca="false">IF($A942="","",Payroll!U942)</f>
        <v/>
      </c>
      <c r="C942" s="24" t="str">
        <f aca="false">IF($A942="","",Payroll!S942)</f>
        <v/>
      </c>
      <c r="D942" s="24" t="str">
        <f aca="false">IF($A942="","",SUBSTITUTE(Payroll!T942," ",""))</f>
        <v/>
      </c>
      <c r="E942" s="24" t="str">
        <f aca="false">IF($A942="","",TEXT(Settings!$B$8,"yyyy-mm-dd"))</f>
        <v/>
      </c>
      <c r="F942" s="24" t="str">
        <f aca="false">IF($A942="","",TEXT(Settings!$B$9,"yyyy-mm-dd"))</f>
        <v/>
      </c>
      <c r="G942" s="24" t="str">
        <f aca="false">IF($A942="","",DAY(Settings!$B$9))</f>
        <v/>
      </c>
      <c r="H942" s="26" t="str">
        <f aca="false">IF($A942="","",ROUND(Payroll!R942-Payroll!L942-Payroll!M942,2))</f>
        <v/>
      </c>
      <c r="I942" s="26" t="str">
        <f aca="false">IF($A942="","",ROUND(Payroll!L942+Payroll!M942,2))</f>
        <v/>
      </c>
      <c r="J942" s="24" t="str">
        <f aca="false">IF($A942="","",0)</f>
        <v/>
      </c>
    </row>
    <row r="943" customFormat="false" ht="15" hidden="false" customHeight="false" outlineLevel="0" collapsed="false">
      <c r="A943" s="24" t="str">
        <f aca="false">IF(AND(Payroll!$A943&lt;&gt;"",N(Payroll!$R943)&gt;0),"EDR","")</f>
        <v/>
      </c>
      <c r="B943" s="24" t="str">
        <f aca="false">IF($A943="","",Payroll!U943)</f>
        <v/>
      </c>
      <c r="C943" s="24" t="str">
        <f aca="false">IF($A943="","",Payroll!S943)</f>
        <v/>
      </c>
      <c r="D943" s="24" t="str">
        <f aca="false">IF($A943="","",SUBSTITUTE(Payroll!T943," ",""))</f>
        <v/>
      </c>
      <c r="E943" s="24" t="str">
        <f aca="false">IF($A943="","",TEXT(Settings!$B$8,"yyyy-mm-dd"))</f>
        <v/>
      </c>
      <c r="F943" s="24" t="str">
        <f aca="false">IF($A943="","",TEXT(Settings!$B$9,"yyyy-mm-dd"))</f>
        <v/>
      </c>
      <c r="G943" s="24" t="str">
        <f aca="false">IF($A943="","",DAY(Settings!$B$9))</f>
        <v/>
      </c>
      <c r="H943" s="26" t="str">
        <f aca="false">IF($A943="","",ROUND(Payroll!R943-Payroll!L943-Payroll!M943,2))</f>
        <v/>
      </c>
      <c r="I943" s="26" t="str">
        <f aca="false">IF($A943="","",ROUND(Payroll!L943+Payroll!M943,2))</f>
        <v/>
      </c>
      <c r="J943" s="24" t="str">
        <f aca="false">IF($A943="","",0)</f>
        <v/>
      </c>
    </row>
    <row r="944" customFormat="false" ht="15" hidden="false" customHeight="false" outlineLevel="0" collapsed="false">
      <c r="A944" s="24" t="str">
        <f aca="false">IF(AND(Payroll!$A944&lt;&gt;"",N(Payroll!$R944)&gt;0),"EDR","")</f>
        <v/>
      </c>
      <c r="B944" s="24" t="str">
        <f aca="false">IF($A944="","",Payroll!U944)</f>
        <v/>
      </c>
      <c r="C944" s="24" t="str">
        <f aca="false">IF($A944="","",Payroll!S944)</f>
        <v/>
      </c>
      <c r="D944" s="24" t="str">
        <f aca="false">IF($A944="","",SUBSTITUTE(Payroll!T944," ",""))</f>
        <v/>
      </c>
      <c r="E944" s="24" t="str">
        <f aca="false">IF($A944="","",TEXT(Settings!$B$8,"yyyy-mm-dd"))</f>
        <v/>
      </c>
      <c r="F944" s="24" t="str">
        <f aca="false">IF($A944="","",TEXT(Settings!$B$9,"yyyy-mm-dd"))</f>
        <v/>
      </c>
      <c r="G944" s="24" t="str">
        <f aca="false">IF($A944="","",DAY(Settings!$B$9))</f>
        <v/>
      </c>
      <c r="H944" s="26" t="str">
        <f aca="false">IF($A944="","",ROUND(Payroll!R944-Payroll!L944-Payroll!M944,2))</f>
        <v/>
      </c>
      <c r="I944" s="26" t="str">
        <f aca="false">IF($A944="","",ROUND(Payroll!L944+Payroll!M944,2))</f>
        <v/>
      </c>
      <c r="J944" s="24" t="str">
        <f aca="false">IF($A944="","",0)</f>
        <v/>
      </c>
    </row>
    <row r="945" customFormat="false" ht="15" hidden="false" customHeight="false" outlineLevel="0" collapsed="false">
      <c r="A945" s="24" t="str">
        <f aca="false">IF(AND(Payroll!$A945&lt;&gt;"",N(Payroll!$R945)&gt;0),"EDR","")</f>
        <v/>
      </c>
      <c r="B945" s="24" t="str">
        <f aca="false">IF($A945="","",Payroll!U945)</f>
        <v/>
      </c>
      <c r="C945" s="24" t="str">
        <f aca="false">IF($A945="","",Payroll!S945)</f>
        <v/>
      </c>
      <c r="D945" s="24" t="str">
        <f aca="false">IF($A945="","",SUBSTITUTE(Payroll!T945," ",""))</f>
        <v/>
      </c>
      <c r="E945" s="24" t="str">
        <f aca="false">IF($A945="","",TEXT(Settings!$B$8,"yyyy-mm-dd"))</f>
        <v/>
      </c>
      <c r="F945" s="24" t="str">
        <f aca="false">IF($A945="","",TEXT(Settings!$B$9,"yyyy-mm-dd"))</f>
        <v/>
      </c>
      <c r="G945" s="24" t="str">
        <f aca="false">IF($A945="","",DAY(Settings!$B$9))</f>
        <v/>
      </c>
      <c r="H945" s="26" t="str">
        <f aca="false">IF($A945="","",ROUND(Payroll!R945-Payroll!L945-Payroll!M945,2))</f>
        <v/>
      </c>
      <c r="I945" s="26" t="str">
        <f aca="false">IF($A945="","",ROUND(Payroll!L945+Payroll!M945,2))</f>
        <v/>
      </c>
      <c r="J945" s="24" t="str">
        <f aca="false">IF($A945="","",0)</f>
        <v/>
      </c>
    </row>
    <row r="946" customFormat="false" ht="15" hidden="false" customHeight="false" outlineLevel="0" collapsed="false">
      <c r="A946" s="24" t="str">
        <f aca="false">IF(AND(Payroll!$A946&lt;&gt;"",N(Payroll!$R946)&gt;0),"EDR","")</f>
        <v/>
      </c>
      <c r="B946" s="24" t="str">
        <f aca="false">IF($A946="","",Payroll!U946)</f>
        <v/>
      </c>
      <c r="C946" s="24" t="str">
        <f aca="false">IF($A946="","",Payroll!S946)</f>
        <v/>
      </c>
      <c r="D946" s="24" t="str">
        <f aca="false">IF($A946="","",SUBSTITUTE(Payroll!T946," ",""))</f>
        <v/>
      </c>
      <c r="E946" s="24" t="str">
        <f aca="false">IF($A946="","",TEXT(Settings!$B$8,"yyyy-mm-dd"))</f>
        <v/>
      </c>
      <c r="F946" s="24" t="str">
        <f aca="false">IF($A946="","",TEXT(Settings!$B$9,"yyyy-mm-dd"))</f>
        <v/>
      </c>
      <c r="G946" s="24" t="str">
        <f aca="false">IF($A946="","",DAY(Settings!$B$9))</f>
        <v/>
      </c>
      <c r="H946" s="26" t="str">
        <f aca="false">IF($A946="","",ROUND(Payroll!R946-Payroll!L946-Payroll!M946,2))</f>
        <v/>
      </c>
      <c r="I946" s="26" t="str">
        <f aca="false">IF($A946="","",ROUND(Payroll!L946+Payroll!M946,2))</f>
        <v/>
      </c>
      <c r="J946" s="24" t="str">
        <f aca="false">IF($A946="","",0)</f>
        <v/>
      </c>
    </row>
    <row r="947" customFormat="false" ht="15" hidden="false" customHeight="false" outlineLevel="0" collapsed="false">
      <c r="A947" s="24" t="str">
        <f aca="false">IF(AND(Payroll!$A947&lt;&gt;"",N(Payroll!$R947)&gt;0),"EDR","")</f>
        <v/>
      </c>
      <c r="B947" s="24" t="str">
        <f aca="false">IF($A947="","",Payroll!U947)</f>
        <v/>
      </c>
      <c r="C947" s="24" t="str">
        <f aca="false">IF($A947="","",Payroll!S947)</f>
        <v/>
      </c>
      <c r="D947" s="24" t="str">
        <f aca="false">IF($A947="","",SUBSTITUTE(Payroll!T947," ",""))</f>
        <v/>
      </c>
      <c r="E947" s="24" t="str">
        <f aca="false">IF($A947="","",TEXT(Settings!$B$8,"yyyy-mm-dd"))</f>
        <v/>
      </c>
      <c r="F947" s="24" t="str">
        <f aca="false">IF($A947="","",TEXT(Settings!$B$9,"yyyy-mm-dd"))</f>
        <v/>
      </c>
      <c r="G947" s="24" t="str">
        <f aca="false">IF($A947="","",DAY(Settings!$B$9))</f>
        <v/>
      </c>
      <c r="H947" s="26" t="str">
        <f aca="false">IF($A947="","",ROUND(Payroll!R947-Payroll!L947-Payroll!M947,2))</f>
        <v/>
      </c>
      <c r="I947" s="26" t="str">
        <f aca="false">IF($A947="","",ROUND(Payroll!L947+Payroll!M947,2))</f>
        <v/>
      </c>
      <c r="J947" s="24" t="str">
        <f aca="false">IF($A947="","",0)</f>
        <v/>
      </c>
    </row>
    <row r="948" customFormat="false" ht="15" hidden="false" customHeight="false" outlineLevel="0" collapsed="false">
      <c r="A948" s="24" t="str">
        <f aca="false">IF(AND(Payroll!$A948&lt;&gt;"",N(Payroll!$R948)&gt;0),"EDR","")</f>
        <v/>
      </c>
      <c r="B948" s="24" t="str">
        <f aca="false">IF($A948="","",Payroll!U948)</f>
        <v/>
      </c>
      <c r="C948" s="24" t="str">
        <f aca="false">IF($A948="","",Payroll!S948)</f>
        <v/>
      </c>
      <c r="D948" s="24" t="str">
        <f aca="false">IF($A948="","",SUBSTITUTE(Payroll!T948," ",""))</f>
        <v/>
      </c>
      <c r="E948" s="24" t="str">
        <f aca="false">IF($A948="","",TEXT(Settings!$B$8,"yyyy-mm-dd"))</f>
        <v/>
      </c>
      <c r="F948" s="24" t="str">
        <f aca="false">IF($A948="","",TEXT(Settings!$B$9,"yyyy-mm-dd"))</f>
        <v/>
      </c>
      <c r="G948" s="24" t="str">
        <f aca="false">IF($A948="","",DAY(Settings!$B$9))</f>
        <v/>
      </c>
      <c r="H948" s="26" t="str">
        <f aca="false">IF($A948="","",ROUND(Payroll!R948-Payroll!L948-Payroll!M948,2))</f>
        <v/>
      </c>
      <c r="I948" s="26" t="str">
        <f aca="false">IF($A948="","",ROUND(Payroll!L948+Payroll!M948,2))</f>
        <v/>
      </c>
      <c r="J948" s="24" t="str">
        <f aca="false">IF($A948="","",0)</f>
        <v/>
      </c>
    </row>
    <row r="949" customFormat="false" ht="15" hidden="false" customHeight="false" outlineLevel="0" collapsed="false">
      <c r="A949" s="24" t="str">
        <f aca="false">IF(AND(Payroll!$A949&lt;&gt;"",N(Payroll!$R949)&gt;0),"EDR","")</f>
        <v/>
      </c>
      <c r="B949" s="24" t="str">
        <f aca="false">IF($A949="","",Payroll!U949)</f>
        <v/>
      </c>
      <c r="C949" s="24" t="str">
        <f aca="false">IF($A949="","",Payroll!S949)</f>
        <v/>
      </c>
      <c r="D949" s="24" t="str">
        <f aca="false">IF($A949="","",SUBSTITUTE(Payroll!T949," ",""))</f>
        <v/>
      </c>
      <c r="E949" s="24" t="str">
        <f aca="false">IF($A949="","",TEXT(Settings!$B$8,"yyyy-mm-dd"))</f>
        <v/>
      </c>
      <c r="F949" s="24" t="str">
        <f aca="false">IF($A949="","",TEXT(Settings!$B$9,"yyyy-mm-dd"))</f>
        <v/>
      </c>
      <c r="G949" s="24" t="str">
        <f aca="false">IF($A949="","",DAY(Settings!$B$9))</f>
        <v/>
      </c>
      <c r="H949" s="26" t="str">
        <f aca="false">IF($A949="","",ROUND(Payroll!R949-Payroll!L949-Payroll!M949,2))</f>
        <v/>
      </c>
      <c r="I949" s="26" t="str">
        <f aca="false">IF($A949="","",ROUND(Payroll!L949+Payroll!M949,2))</f>
        <v/>
      </c>
      <c r="J949" s="24" t="str">
        <f aca="false">IF($A949="","",0)</f>
        <v/>
      </c>
    </row>
    <row r="950" customFormat="false" ht="15" hidden="false" customHeight="false" outlineLevel="0" collapsed="false">
      <c r="A950" s="24" t="str">
        <f aca="false">IF(AND(Payroll!$A950&lt;&gt;"",N(Payroll!$R950)&gt;0),"EDR","")</f>
        <v/>
      </c>
      <c r="B950" s="24" t="str">
        <f aca="false">IF($A950="","",Payroll!U950)</f>
        <v/>
      </c>
      <c r="C950" s="24" t="str">
        <f aca="false">IF($A950="","",Payroll!S950)</f>
        <v/>
      </c>
      <c r="D950" s="24" t="str">
        <f aca="false">IF($A950="","",SUBSTITUTE(Payroll!T950," ",""))</f>
        <v/>
      </c>
      <c r="E950" s="24" t="str">
        <f aca="false">IF($A950="","",TEXT(Settings!$B$8,"yyyy-mm-dd"))</f>
        <v/>
      </c>
      <c r="F950" s="24" t="str">
        <f aca="false">IF($A950="","",TEXT(Settings!$B$9,"yyyy-mm-dd"))</f>
        <v/>
      </c>
      <c r="G950" s="24" t="str">
        <f aca="false">IF($A950="","",DAY(Settings!$B$9))</f>
        <v/>
      </c>
      <c r="H950" s="26" t="str">
        <f aca="false">IF($A950="","",ROUND(Payroll!R950-Payroll!L950-Payroll!M950,2))</f>
        <v/>
      </c>
      <c r="I950" s="26" t="str">
        <f aca="false">IF($A950="","",ROUND(Payroll!L950+Payroll!M950,2))</f>
        <v/>
      </c>
      <c r="J950" s="24" t="str">
        <f aca="false">IF($A950="","",0)</f>
        <v/>
      </c>
    </row>
    <row r="951" customFormat="false" ht="15" hidden="false" customHeight="false" outlineLevel="0" collapsed="false">
      <c r="A951" s="24" t="str">
        <f aca="false">IF(AND(Payroll!$A951&lt;&gt;"",N(Payroll!$R951)&gt;0),"EDR","")</f>
        <v/>
      </c>
      <c r="B951" s="24" t="str">
        <f aca="false">IF($A951="","",Payroll!U951)</f>
        <v/>
      </c>
      <c r="C951" s="24" t="str">
        <f aca="false">IF($A951="","",Payroll!S951)</f>
        <v/>
      </c>
      <c r="D951" s="24" t="str">
        <f aca="false">IF($A951="","",SUBSTITUTE(Payroll!T951," ",""))</f>
        <v/>
      </c>
      <c r="E951" s="24" t="str">
        <f aca="false">IF($A951="","",TEXT(Settings!$B$8,"yyyy-mm-dd"))</f>
        <v/>
      </c>
      <c r="F951" s="24" t="str">
        <f aca="false">IF($A951="","",TEXT(Settings!$B$9,"yyyy-mm-dd"))</f>
        <v/>
      </c>
      <c r="G951" s="24" t="str">
        <f aca="false">IF($A951="","",DAY(Settings!$B$9))</f>
        <v/>
      </c>
      <c r="H951" s="26" t="str">
        <f aca="false">IF($A951="","",ROUND(Payroll!R951-Payroll!L951-Payroll!M951,2))</f>
        <v/>
      </c>
      <c r="I951" s="26" t="str">
        <f aca="false">IF($A951="","",ROUND(Payroll!L951+Payroll!M951,2))</f>
        <v/>
      </c>
      <c r="J951" s="24" t="str">
        <f aca="false">IF($A951="","",0)</f>
        <v/>
      </c>
    </row>
    <row r="952" customFormat="false" ht="15" hidden="false" customHeight="false" outlineLevel="0" collapsed="false">
      <c r="A952" s="24" t="str">
        <f aca="false">IF(AND(Payroll!$A952&lt;&gt;"",N(Payroll!$R952)&gt;0),"EDR","")</f>
        <v/>
      </c>
      <c r="B952" s="24" t="str">
        <f aca="false">IF($A952="","",Payroll!U952)</f>
        <v/>
      </c>
      <c r="C952" s="24" t="str">
        <f aca="false">IF($A952="","",Payroll!S952)</f>
        <v/>
      </c>
      <c r="D952" s="24" t="str">
        <f aca="false">IF($A952="","",SUBSTITUTE(Payroll!T952," ",""))</f>
        <v/>
      </c>
      <c r="E952" s="24" t="str">
        <f aca="false">IF($A952="","",TEXT(Settings!$B$8,"yyyy-mm-dd"))</f>
        <v/>
      </c>
      <c r="F952" s="24" t="str">
        <f aca="false">IF($A952="","",TEXT(Settings!$B$9,"yyyy-mm-dd"))</f>
        <v/>
      </c>
      <c r="G952" s="24" t="str">
        <f aca="false">IF($A952="","",DAY(Settings!$B$9))</f>
        <v/>
      </c>
      <c r="H952" s="26" t="str">
        <f aca="false">IF($A952="","",ROUND(Payroll!R952-Payroll!L952-Payroll!M952,2))</f>
        <v/>
      </c>
      <c r="I952" s="26" t="str">
        <f aca="false">IF($A952="","",ROUND(Payroll!L952+Payroll!M952,2))</f>
        <v/>
      </c>
      <c r="J952" s="24" t="str">
        <f aca="false">IF($A952="","",0)</f>
        <v/>
      </c>
    </row>
    <row r="953" customFormat="false" ht="15" hidden="false" customHeight="false" outlineLevel="0" collapsed="false">
      <c r="A953" s="24" t="str">
        <f aca="false">IF(AND(Payroll!$A953&lt;&gt;"",N(Payroll!$R953)&gt;0),"EDR","")</f>
        <v/>
      </c>
      <c r="B953" s="24" t="str">
        <f aca="false">IF($A953="","",Payroll!U953)</f>
        <v/>
      </c>
      <c r="C953" s="24" t="str">
        <f aca="false">IF($A953="","",Payroll!S953)</f>
        <v/>
      </c>
      <c r="D953" s="24" t="str">
        <f aca="false">IF($A953="","",SUBSTITUTE(Payroll!T953," ",""))</f>
        <v/>
      </c>
      <c r="E953" s="24" t="str">
        <f aca="false">IF($A953="","",TEXT(Settings!$B$8,"yyyy-mm-dd"))</f>
        <v/>
      </c>
      <c r="F953" s="24" t="str">
        <f aca="false">IF($A953="","",TEXT(Settings!$B$9,"yyyy-mm-dd"))</f>
        <v/>
      </c>
      <c r="G953" s="24" t="str">
        <f aca="false">IF($A953="","",DAY(Settings!$B$9))</f>
        <v/>
      </c>
      <c r="H953" s="26" t="str">
        <f aca="false">IF($A953="","",ROUND(Payroll!R953-Payroll!L953-Payroll!M953,2))</f>
        <v/>
      </c>
      <c r="I953" s="26" t="str">
        <f aca="false">IF($A953="","",ROUND(Payroll!L953+Payroll!M953,2))</f>
        <v/>
      </c>
      <c r="J953" s="24" t="str">
        <f aca="false">IF($A953="","",0)</f>
        <v/>
      </c>
    </row>
    <row r="954" customFormat="false" ht="15" hidden="false" customHeight="false" outlineLevel="0" collapsed="false">
      <c r="A954" s="24" t="str">
        <f aca="false">IF(AND(Payroll!$A954&lt;&gt;"",N(Payroll!$R954)&gt;0),"EDR","")</f>
        <v/>
      </c>
      <c r="B954" s="24" t="str">
        <f aca="false">IF($A954="","",Payroll!U954)</f>
        <v/>
      </c>
      <c r="C954" s="24" t="str">
        <f aca="false">IF($A954="","",Payroll!S954)</f>
        <v/>
      </c>
      <c r="D954" s="24" t="str">
        <f aca="false">IF($A954="","",SUBSTITUTE(Payroll!T954," ",""))</f>
        <v/>
      </c>
      <c r="E954" s="24" t="str">
        <f aca="false">IF($A954="","",TEXT(Settings!$B$8,"yyyy-mm-dd"))</f>
        <v/>
      </c>
      <c r="F954" s="24" t="str">
        <f aca="false">IF($A954="","",TEXT(Settings!$B$9,"yyyy-mm-dd"))</f>
        <v/>
      </c>
      <c r="G954" s="24" t="str">
        <f aca="false">IF($A954="","",DAY(Settings!$B$9))</f>
        <v/>
      </c>
      <c r="H954" s="26" t="str">
        <f aca="false">IF($A954="","",ROUND(Payroll!R954-Payroll!L954-Payroll!M954,2))</f>
        <v/>
      </c>
      <c r="I954" s="26" t="str">
        <f aca="false">IF($A954="","",ROUND(Payroll!L954+Payroll!M954,2))</f>
        <v/>
      </c>
      <c r="J954" s="24" t="str">
        <f aca="false">IF($A954="","",0)</f>
        <v/>
      </c>
    </row>
    <row r="955" customFormat="false" ht="15" hidden="false" customHeight="false" outlineLevel="0" collapsed="false">
      <c r="A955" s="24" t="str">
        <f aca="false">IF(AND(Payroll!$A955&lt;&gt;"",N(Payroll!$R955)&gt;0),"EDR","")</f>
        <v/>
      </c>
      <c r="B955" s="24" t="str">
        <f aca="false">IF($A955="","",Payroll!U955)</f>
        <v/>
      </c>
      <c r="C955" s="24" t="str">
        <f aca="false">IF($A955="","",Payroll!S955)</f>
        <v/>
      </c>
      <c r="D955" s="24" t="str">
        <f aca="false">IF($A955="","",SUBSTITUTE(Payroll!T955," ",""))</f>
        <v/>
      </c>
      <c r="E955" s="24" t="str">
        <f aca="false">IF($A955="","",TEXT(Settings!$B$8,"yyyy-mm-dd"))</f>
        <v/>
      </c>
      <c r="F955" s="24" t="str">
        <f aca="false">IF($A955="","",TEXT(Settings!$B$9,"yyyy-mm-dd"))</f>
        <v/>
      </c>
      <c r="G955" s="24" t="str">
        <f aca="false">IF($A955="","",DAY(Settings!$B$9))</f>
        <v/>
      </c>
      <c r="H955" s="26" t="str">
        <f aca="false">IF($A955="","",ROUND(Payroll!R955-Payroll!L955-Payroll!M955,2))</f>
        <v/>
      </c>
      <c r="I955" s="26" t="str">
        <f aca="false">IF($A955="","",ROUND(Payroll!L955+Payroll!M955,2))</f>
        <v/>
      </c>
      <c r="J955" s="24" t="str">
        <f aca="false">IF($A955="","",0)</f>
        <v/>
      </c>
    </row>
    <row r="956" customFormat="false" ht="15" hidden="false" customHeight="false" outlineLevel="0" collapsed="false">
      <c r="A956" s="24" t="str">
        <f aca="false">IF(AND(Payroll!$A956&lt;&gt;"",N(Payroll!$R956)&gt;0),"EDR","")</f>
        <v/>
      </c>
      <c r="B956" s="24" t="str">
        <f aca="false">IF($A956="","",Payroll!U956)</f>
        <v/>
      </c>
      <c r="C956" s="24" t="str">
        <f aca="false">IF($A956="","",Payroll!S956)</f>
        <v/>
      </c>
      <c r="D956" s="24" t="str">
        <f aca="false">IF($A956="","",SUBSTITUTE(Payroll!T956," ",""))</f>
        <v/>
      </c>
      <c r="E956" s="24" t="str">
        <f aca="false">IF($A956="","",TEXT(Settings!$B$8,"yyyy-mm-dd"))</f>
        <v/>
      </c>
      <c r="F956" s="24" t="str">
        <f aca="false">IF($A956="","",TEXT(Settings!$B$9,"yyyy-mm-dd"))</f>
        <v/>
      </c>
      <c r="G956" s="24" t="str">
        <f aca="false">IF($A956="","",DAY(Settings!$B$9))</f>
        <v/>
      </c>
      <c r="H956" s="26" t="str">
        <f aca="false">IF($A956="","",ROUND(Payroll!R956-Payroll!L956-Payroll!M956,2))</f>
        <v/>
      </c>
      <c r="I956" s="26" t="str">
        <f aca="false">IF($A956="","",ROUND(Payroll!L956+Payroll!M956,2))</f>
        <v/>
      </c>
      <c r="J956" s="24" t="str">
        <f aca="false">IF($A956="","",0)</f>
        <v/>
      </c>
    </row>
    <row r="957" customFormat="false" ht="15" hidden="false" customHeight="false" outlineLevel="0" collapsed="false">
      <c r="A957" s="24" t="str">
        <f aca="false">IF(AND(Payroll!$A957&lt;&gt;"",N(Payroll!$R957)&gt;0),"EDR","")</f>
        <v/>
      </c>
      <c r="B957" s="24" t="str">
        <f aca="false">IF($A957="","",Payroll!U957)</f>
        <v/>
      </c>
      <c r="C957" s="24" t="str">
        <f aca="false">IF($A957="","",Payroll!S957)</f>
        <v/>
      </c>
      <c r="D957" s="24" t="str">
        <f aca="false">IF($A957="","",SUBSTITUTE(Payroll!T957," ",""))</f>
        <v/>
      </c>
      <c r="E957" s="24" t="str">
        <f aca="false">IF($A957="","",TEXT(Settings!$B$8,"yyyy-mm-dd"))</f>
        <v/>
      </c>
      <c r="F957" s="24" t="str">
        <f aca="false">IF($A957="","",TEXT(Settings!$B$9,"yyyy-mm-dd"))</f>
        <v/>
      </c>
      <c r="G957" s="24" t="str">
        <f aca="false">IF($A957="","",DAY(Settings!$B$9))</f>
        <v/>
      </c>
      <c r="H957" s="26" t="str">
        <f aca="false">IF($A957="","",ROUND(Payroll!R957-Payroll!L957-Payroll!M957,2))</f>
        <v/>
      </c>
      <c r="I957" s="26" t="str">
        <f aca="false">IF($A957="","",ROUND(Payroll!L957+Payroll!M957,2))</f>
        <v/>
      </c>
      <c r="J957" s="24" t="str">
        <f aca="false">IF($A957="","",0)</f>
        <v/>
      </c>
    </row>
    <row r="958" customFormat="false" ht="15" hidden="false" customHeight="false" outlineLevel="0" collapsed="false">
      <c r="A958" s="24" t="str">
        <f aca="false">IF(AND(Payroll!$A958&lt;&gt;"",N(Payroll!$R958)&gt;0),"EDR","")</f>
        <v/>
      </c>
      <c r="B958" s="24" t="str">
        <f aca="false">IF($A958="","",Payroll!U958)</f>
        <v/>
      </c>
      <c r="C958" s="24" t="str">
        <f aca="false">IF($A958="","",Payroll!S958)</f>
        <v/>
      </c>
      <c r="D958" s="24" t="str">
        <f aca="false">IF($A958="","",SUBSTITUTE(Payroll!T958," ",""))</f>
        <v/>
      </c>
      <c r="E958" s="24" t="str">
        <f aca="false">IF($A958="","",TEXT(Settings!$B$8,"yyyy-mm-dd"))</f>
        <v/>
      </c>
      <c r="F958" s="24" t="str">
        <f aca="false">IF($A958="","",TEXT(Settings!$B$9,"yyyy-mm-dd"))</f>
        <v/>
      </c>
      <c r="G958" s="24" t="str">
        <f aca="false">IF($A958="","",DAY(Settings!$B$9))</f>
        <v/>
      </c>
      <c r="H958" s="26" t="str">
        <f aca="false">IF($A958="","",ROUND(Payroll!R958-Payroll!L958-Payroll!M958,2))</f>
        <v/>
      </c>
      <c r="I958" s="26" t="str">
        <f aca="false">IF($A958="","",ROUND(Payroll!L958+Payroll!M958,2))</f>
        <v/>
      </c>
      <c r="J958" s="24" t="str">
        <f aca="false">IF($A958="","",0)</f>
        <v/>
      </c>
    </row>
    <row r="959" customFormat="false" ht="15" hidden="false" customHeight="false" outlineLevel="0" collapsed="false">
      <c r="A959" s="24" t="str">
        <f aca="false">IF(AND(Payroll!$A959&lt;&gt;"",N(Payroll!$R959)&gt;0),"EDR","")</f>
        <v/>
      </c>
      <c r="B959" s="24" t="str">
        <f aca="false">IF($A959="","",Payroll!U959)</f>
        <v/>
      </c>
      <c r="C959" s="24" t="str">
        <f aca="false">IF($A959="","",Payroll!S959)</f>
        <v/>
      </c>
      <c r="D959" s="24" t="str">
        <f aca="false">IF($A959="","",SUBSTITUTE(Payroll!T959," ",""))</f>
        <v/>
      </c>
      <c r="E959" s="24" t="str">
        <f aca="false">IF($A959="","",TEXT(Settings!$B$8,"yyyy-mm-dd"))</f>
        <v/>
      </c>
      <c r="F959" s="24" t="str">
        <f aca="false">IF($A959="","",TEXT(Settings!$B$9,"yyyy-mm-dd"))</f>
        <v/>
      </c>
      <c r="G959" s="24" t="str">
        <f aca="false">IF($A959="","",DAY(Settings!$B$9))</f>
        <v/>
      </c>
      <c r="H959" s="26" t="str">
        <f aca="false">IF($A959="","",ROUND(Payroll!R959-Payroll!L959-Payroll!M959,2))</f>
        <v/>
      </c>
      <c r="I959" s="26" t="str">
        <f aca="false">IF($A959="","",ROUND(Payroll!L959+Payroll!M959,2))</f>
        <v/>
      </c>
      <c r="J959" s="24" t="str">
        <f aca="false">IF($A959="","",0)</f>
        <v/>
      </c>
    </row>
    <row r="960" customFormat="false" ht="15" hidden="false" customHeight="false" outlineLevel="0" collapsed="false">
      <c r="A960" s="24" t="str">
        <f aca="false">IF(AND(Payroll!$A960&lt;&gt;"",N(Payroll!$R960)&gt;0),"EDR","")</f>
        <v/>
      </c>
      <c r="B960" s="24" t="str">
        <f aca="false">IF($A960="","",Payroll!U960)</f>
        <v/>
      </c>
      <c r="C960" s="24" t="str">
        <f aca="false">IF($A960="","",Payroll!S960)</f>
        <v/>
      </c>
      <c r="D960" s="24" t="str">
        <f aca="false">IF($A960="","",SUBSTITUTE(Payroll!T960," ",""))</f>
        <v/>
      </c>
      <c r="E960" s="24" t="str">
        <f aca="false">IF($A960="","",TEXT(Settings!$B$8,"yyyy-mm-dd"))</f>
        <v/>
      </c>
      <c r="F960" s="24" t="str">
        <f aca="false">IF($A960="","",TEXT(Settings!$B$9,"yyyy-mm-dd"))</f>
        <v/>
      </c>
      <c r="G960" s="24" t="str">
        <f aca="false">IF($A960="","",DAY(Settings!$B$9))</f>
        <v/>
      </c>
      <c r="H960" s="26" t="str">
        <f aca="false">IF($A960="","",ROUND(Payroll!R960-Payroll!L960-Payroll!M960,2))</f>
        <v/>
      </c>
      <c r="I960" s="26" t="str">
        <f aca="false">IF($A960="","",ROUND(Payroll!L960+Payroll!M960,2))</f>
        <v/>
      </c>
      <c r="J960" s="24" t="str">
        <f aca="false">IF($A960="","",0)</f>
        <v/>
      </c>
    </row>
    <row r="961" customFormat="false" ht="15" hidden="false" customHeight="false" outlineLevel="0" collapsed="false">
      <c r="A961" s="24" t="str">
        <f aca="false">IF(AND(Payroll!$A961&lt;&gt;"",N(Payroll!$R961)&gt;0),"EDR","")</f>
        <v/>
      </c>
      <c r="B961" s="24" t="str">
        <f aca="false">IF($A961="","",Payroll!U961)</f>
        <v/>
      </c>
      <c r="C961" s="24" t="str">
        <f aca="false">IF($A961="","",Payroll!S961)</f>
        <v/>
      </c>
      <c r="D961" s="24" t="str">
        <f aca="false">IF($A961="","",SUBSTITUTE(Payroll!T961," ",""))</f>
        <v/>
      </c>
      <c r="E961" s="24" t="str">
        <f aca="false">IF($A961="","",TEXT(Settings!$B$8,"yyyy-mm-dd"))</f>
        <v/>
      </c>
      <c r="F961" s="24" t="str">
        <f aca="false">IF($A961="","",TEXT(Settings!$B$9,"yyyy-mm-dd"))</f>
        <v/>
      </c>
      <c r="G961" s="24" t="str">
        <f aca="false">IF($A961="","",DAY(Settings!$B$9))</f>
        <v/>
      </c>
      <c r="H961" s="26" t="str">
        <f aca="false">IF($A961="","",ROUND(Payroll!R961-Payroll!L961-Payroll!M961,2))</f>
        <v/>
      </c>
      <c r="I961" s="26" t="str">
        <f aca="false">IF($A961="","",ROUND(Payroll!L961+Payroll!M961,2))</f>
        <v/>
      </c>
      <c r="J961" s="24" t="str">
        <f aca="false">IF($A961="","",0)</f>
        <v/>
      </c>
    </row>
    <row r="962" customFormat="false" ht="15" hidden="false" customHeight="false" outlineLevel="0" collapsed="false">
      <c r="A962" s="24" t="str">
        <f aca="false">IF(AND(Payroll!$A962&lt;&gt;"",N(Payroll!$R962)&gt;0),"EDR","")</f>
        <v/>
      </c>
      <c r="B962" s="24" t="str">
        <f aca="false">IF($A962="","",Payroll!U962)</f>
        <v/>
      </c>
      <c r="C962" s="24" t="str">
        <f aca="false">IF($A962="","",Payroll!S962)</f>
        <v/>
      </c>
      <c r="D962" s="24" t="str">
        <f aca="false">IF($A962="","",SUBSTITUTE(Payroll!T962," ",""))</f>
        <v/>
      </c>
      <c r="E962" s="24" t="str">
        <f aca="false">IF($A962="","",TEXT(Settings!$B$8,"yyyy-mm-dd"))</f>
        <v/>
      </c>
      <c r="F962" s="24" t="str">
        <f aca="false">IF($A962="","",TEXT(Settings!$B$9,"yyyy-mm-dd"))</f>
        <v/>
      </c>
      <c r="G962" s="24" t="str">
        <f aca="false">IF($A962="","",DAY(Settings!$B$9))</f>
        <v/>
      </c>
      <c r="H962" s="26" t="str">
        <f aca="false">IF($A962="","",ROUND(Payroll!R962-Payroll!L962-Payroll!M962,2))</f>
        <v/>
      </c>
      <c r="I962" s="26" t="str">
        <f aca="false">IF($A962="","",ROUND(Payroll!L962+Payroll!M962,2))</f>
        <v/>
      </c>
      <c r="J962" s="24" t="str">
        <f aca="false">IF($A962="","",0)</f>
        <v/>
      </c>
    </row>
    <row r="963" customFormat="false" ht="15" hidden="false" customHeight="false" outlineLevel="0" collapsed="false">
      <c r="A963" s="24" t="str">
        <f aca="false">IF(AND(Payroll!$A963&lt;&gt;"",N(Payroll!$R963)&gt;0),"EDR","")</f>
        <v/>
      </c>
      <c r="B963" s="24" t="str">
        <f aca="false">IF($A963="","",Payroll!U963)</f>
        <v/>
      </c>
      <c r="C963" s="24" t="str">
        <f aca="false">IF($A963="","",Payroll!S963)</f>
        <v/>
      </c>
      <c r="D963" s="24" t="str">
        <f aca="false">IF($A963="","",SUBSTITUTE(Payroll!T963," ",""))</f>
        <v/>
      </c>
      <c r="E963" s="24" t="str">
        <f aca="false">IF($A963="","",TEXT(Settings!$B$8,"yyyy-mm-dd"))</f>
        <v/>
      </c>
      <c r="F963" s="24" t="str">
        <f aca="false">IF($A963="","",TEXT(Settings!$B$9,"yyyy-mm-dd"))</f>
        <v/>
      </c>
      <c r="G963" s="24" t="str">
        <f aca="false">IF($A963="","",DAY(Settings!$B$9))</f>
        <v/>
      </c>
      <c r="H963" s="26" t="str">
        <f aca="false">IF($A963="","",ROUND(Payroll!R963-Payroll!L963-Payroll!M963,2))</f>
        <v/>
      </c>
      <c r="I963" s="26" t="str">
        <f aca="false">IF($A963="","",ROUND(Payroll!L963+Payroll!M963,2))</f>
        <v/>
      </c>
      <c r="J963" s="24" t="str">
        <f aca="false">IF($A963="","",0)</f>
        <v/>
      </c>
    </row>
    <row r="964" customFormat="false" ht="15" hidden="false" customHeight="false" outlineLevel="0" collapsed="false">
      <c r="A964" s="24" t="str">
        <f aca="false">IF(AND(Payroll!$A964&lt;&gt;"",N(Payroll!$R964)&gt;0),"EDR","")</f>
        <v/>
      </c>
      <c r="B964" s="24" t="str">
        <f aca="false">IF($A964="","",Payroll!U964)</f>
        <v/>
      </c>
      <c r="C964" s="24" t="str">
        <f aca="false">IF($A964="","",Payroll!S964)</f>
        <v/>
      </c>
      <c r="D964" s="24" t="str">
        <f aca="false">IF($A964="","",SUBSTITUTE(Payroll!T964," ",""))</f>
        <v/>
      </c>
      <c r="E964" s="24" t="str">
        <f aca="false">IF($A964="","",TEXT(Settings!$B$8,"yyyy-mm-dd"))</f>
        <v/>
      </c>
      <c r="F964" s="24" t="str">
        <f aca="false">IF($A964="","",TEXT(Settings!$B$9,"yyyy-mm-dd"))</f>
        <v/>
      </c>
      <c r="G964" s="24" t="str">
        <f aca="false">IF($A964="","",DAY(Settings!$B$9))</f>
        <v/>
      </c>
      <c r="H964" s="26" t="str">
        <f aca="false">IF($A964="","",ROUND(Payroll!R964-Payroll!L964-Payroll!M964,2))</f>
        <v/>
      </c>
      <c r="I964" s="26" t="str">
        <f aca="false">IF($A964="","",ROUND(Payroll!L964+Payroll!M964,2))</f>
        <v/>
      </c>
      <c r="J964" s="24" t="str">
        <f aca="false">IF($A964="","",0)</f>
        <v/>
      </c>
    </row>
    <row r="965" customFormat="false" ht="15" hidden="false" customHeight="false" outlineLevel="0" collapsed="false">
      <c r="A965" s="24" t="str">
        <f aca="false">IF(AND(Payroll!$A965&lt;&gt;"",N(Payroll!$R965)&gt;0),"EDR","")</f>
        <v/>
      </c>
      <c r="B965" s="24" t="str">
        <f aca="false">IF($A965="","",Payroll!U965)</f>
        <v/>
      </c>
      <c r="C965" s="24" t="str">
        <f aca="false">IF($A965="","",Payroll!S965)</f>
        <v/>
      </c>
      <c r="D965" s="24" t="str">
        <f aca="false">IF($A965="","",SUBSTITUTE(Payroll!T965," ",""))</f>
        <v/>
      </c>
      <c r="E965" s="24" t="str">
        <f aca="false">IF($A965="","",TEXT(Settings!$B$8,"yyyy-mm-dd"))</f>
        <v/>
      </c>
      <c r="F965" s="24" t="str">
        <f aca="false">IF($A965="","",TEXT(Settings!$B$9,"yyyy-mm-dd"))</f>
        <v/>
      </c>
      <c r="G965" s="24" t="str">
        <f aca="false">IF($A965="","",DAY(Settings!$B$9))</f>
        <v/>
      </c>
      <c r="H965" s="26" t="str">
        <f aca="false">IF($A965="","",ROUND(Payroll!R965-Payroll!L965-Payroll!M965,2))</f>
        <v/>
      </c>
      <c r="I965" s="26" t="str">
        <f aca="false">IF($A965="","",ROUND(Payroll!L965+Payroll!M965,2))</f>
        <v/>
      </c>
      <c r="J965" s="24" t="str">
        <f aca="false">IF($A965="","",0)</f>
        <v/>
      </c>
    </row>
    <row r="966" customFormat="false" ht="15" hidden="false" customHeight="false" outlineLevel="0" collapsed="false">
      <c r="A966" s="24" t="str">
        <f aca="false">IF(AND(Payroll!$A966&lt;&gt;"",N(Payroll!$R966)&gt;0),"EDR","")</f>
        <v/>
      </c>
      <c r="B966" s="24" t="str">
        <f aca="false">IF($A966="","",Payroll!U966)</f>
        <v/>
      </c>
      <c r="C966" s="24" t="str">
        <f aca="false">IF($A966="","",Payroll!S966)</f>
        <v/>
      </c>
      <c r="D966" s="24" t="str">
        <f aca="false">IF($A966="","",SUBSTITUTE(Payroll!T966," ",""))</f>
        <v/>
      </c>
      <c r="E966" s="24" t="str">
        <f aca="false">IF($A966="","",TEXT(Settings!$B$8,"yyyy-mm-dd"))</f>
        <v/>
      </c>
      <c r="F966" s="24" t="str">
        <f aca="false">IF($A966="","",TEXT(Settings!$B$9,"yyyy-mm-dd"))</f>
        <v/>
      </c>
      <c r="G966" s="24" t="str">
        <f aca="false">IF($A966="","",DAY(Settings!$B$9))</f>
        <v/>
      </c>
      <c r="H966" s="26" t="str">
        <f aca="false">IF($A966="","",ROUND(Payroll!R966-Payroll!L966-Payroll!M966,2))</f>
        <v/>
      </c>
      <c r="I966" s="26" t="str">
        <f aca="false">IF($A966="","",ROUND(Payroll!L966+Payroll!M966,2))</f>
        <v/>
      </c>
      <c r="J966" s="24" t="str">
        <f aca="false">IF($A966="","",0)</f>
        <v/>
      </c>
    </row>
    <row r="967" customFormat="false" ht="15" hidden="false" customHeight="false" outlineLevel="0" collapsed="false">
      <c r="A967" s="24" t="str">
        <f aca="false">IF(AND(Payroll!$A967&lt;&gt;"",N(Payroll!$R967)&gt;0),"EDR","")</f>
        <v/>
      </c>
      <c r="B967" s="24" t="str">
        <f aca="false">IF($A967="","",Payroll!U967)</f>
        <v/>
      </c>
      <c r="C967" s="24" t="str">
        <f aca="false">IF($A967="","",Payroll!S967)</f>
        <v/>
      </c>
      <c r="D967" s="24" t="str">
        <f aca="false">IF($A967="","",SUBSTITUTE(Payroll!T967," ",""))</f>
        <v/>
      </c>
      <c r="E967" s="24" t="str">
        <f aca="false">IF($A967="","",TEXT(Settings!$B$8,"yyyy-mm-dd"))</f>
        <v/>
      </c>
      <c r="F967" s="24" t="str">
        <f aca="false">IF($A967="","",TEXT(Settings!$B$9,"yyyy-mm-dd"))</f>
        <v/>
      </c>
      <c r="G967" s="24" t="str">
        <f aca="false">IF($A967="","",DAY(Settings!$B$9))</f>
        <v/>
      </c>
      <c r="H967" s="26" t="str">
        <f aca="false">IF($A967="","",ROUND(Payroll!R967-Payroll!L967-Payroll!M967,2))</f>
        <v/>
      </c>
      <c r="I967" s="26" t="str">
        <f aca="false">IF($A967="","",ROUND(Payroll!L967+Payroll!M967,2))</f>
        <v/>
      </c>
      <c r="J967" s="24" t="str">
        <f aca="false">IF($A967="","",0)</f>
        <v/>
      </c>
    </row>
    <row r="968" customFormat="false" ht="15" hidden="false" customHeight="false" outlineLevel="0" collapsed="false">
      <c r="A968" s="24" t="str">
        <f aca="false">IF(AND(Payroll!$A968&lt;&gt;"",N(Payroll!$R968)&gt;0),"EDR","")</f>
        <v/>
      </c>
      <c r="B968" s="24" t="str">
        <f aca="false">IF($A968="","",Payroll!U968)</f>
        <v/>
      </c>
      <c r="C968" s="24" t="str">
        <f aca="false">IF($A968="","",Payroll!S968)</f>
        <v/>
      </c>
      <c r="D968" s="24" t="str">
        <f aca="false">IF($A968="","",SUBSTITUTE(Payroll!T968," ",""))</f>
        <v/>
      </c>
      <c r="E968" s="24" t="str">
        <f aca="false">IF($A968="","",TEXT(Settings!$B$8,"yyyy-mm-dd"))</f>
        <v/>
      </c>
      <c r="F968" s="24" t="str">
        <f aca="false">IF($A968="","",TEXT(Settings!$B$9,"yyyy-mm-dd"))</f>
        <v/>
      </c>
      <c r="G968" s="24" t="str">
        <f aca="false">IF($A968="","",DAY(Settings!$B$9))</f>
        <v/>
      </c>
      <c r="H968" s="26" t="str">
        <f aca="false">IF($A968="","",ROUND(Payroll!R968-Payroll!L968-Payroll!M968,2))</f>
        <v/>
      </c>
      <c r="I968" s="26" t="str">
        <f aca="false">IF($A968="","",ROUND(Payroll!L968+Payroll!M968,2))</f>
        <v/>
      </c>
      <c r="J968" s="24" t="str">
        <f aca="false">IF($A968="","",0)</f>
        <v/>
      </c>
    </row>
    <row r="969" customFormat="false" ht="15" hidden="false" customHeight="false" outlineLevel="0" collapsed="false">
      <c r="A969" s="24" t="str">
        <f aca="false">IF(AND(Payroll!$A969&lt;&gt;"",N(Payroll!$R969)&gt;0),"EDR","")</f>
        <v/>
      </c>
      <c r="B969" s="24" t="str">
        <f aca="false">IF($A969="","",Payroll!U969)</f>
        <v/>
      </c>
      <c r="C969" s="24" t="str">
        <f aca="false">IF($A969="","",Payroll!S969)</f>
        <v/>
      </c>
      <c r="D969" s="24" t="str">
        <f aca="false">IF($A969="","",SUBSTITUTE(Payroll!T969," ",""))</f>
        <v/>
      </c>
      <c r="E969" s="24" t="str">
        <f aca="false">IF($A969="","",TEXT(Settings!$B$8,"yyyy-mm-dd"))</f>
        <v/>
      </c>
      <c r="F969" s="24" t="str">
        <f aca="false">IF($A969="","",TEXT(Settings!$B$9,"yyyy-mm-dd"))</f>
        <v/>
      </c>
      <c r="G969" s="24" t="str">
        <f aca="false">IF($A969="","",DAY(Settings!$B$9))</f>
        <v/>
      </c>
      <c r="H969" s="26" t="str">
        <f aca="false">IF($A969="","",ROUND(Payroll!R969-Payroll!L969-Payroll!M969,2))</f>
        <v/>
      </c>
      <c r="I969" s="26" t="str">
        <f aca="false">IF($A969="","",ROUND(Payroll!L969+Payroll!M969,2))</f>
        <v/>
      </c>
      <c r="J969" s="24" t="str">
        <f aca="false">IF($A969="","",0)</f>
        <v/>
      </c>
    </row>
    <row r="970" customFormat="false" ht="15" hidden="false" customHeight="false" outlineLevel="0" collapsed="false">
      <c r="A970" s="24" t="str">
        <f aca="false">IF(AND(Payroll!$A970&lt;&gt;"",N(Payroll!$R970)&gt;0),"EDR","")</f>
        <v/>
      </c>
      <c r="B970" s="24" t="str">
        <f aca="false">IF($A970="","",Payroll!U970)</f>
        <v/>
      </c>
      <c r="C970" s="24" t="str">
        <f aca="false">IF($A970="","",Payroll!S970)</f>
        <v/>
      </c>
      <c r="D970" s="24" t="str">
        <f aca="false">IF($A970="","",SUBSTITUTE(Payroll!T970," ",""))</f>
        <v/>
      </c>
      <c r="E970" s="24" t="str">
        <f aca="false">IF($A970="","",TEXT(Settings!$B$8,"yyyy-mm-dd"))</f>
        <v/>
      </c>
      <c r="F970" s="24" t="str">
        <f aca="false">IF($A970="","",TEXT(Settings!$B$9,"yyyy-mm-dd"))</f>
        <v/>
      </c>
      <c r="G970" s="24" t="str">
        <f aca="false">IF($A970="","",DAY(Settings!$B$9))</f>
        <v/>
      </c>
      <c r="H970" s="26" t="str">
        <f aca="false">IF($A970="","",ROUND(Payroll!R970-Payroll!L970-Payroll!M970,2))</f>
        <v/>
      </c>
      <c r="I970" s="26" t="str">
        <f aca="false">IF($A970="","",ROUND(Payroll!L970+Payroll!M970,2))</f>
        <v/>
      </c>
      <c r="J970" s="24" t="str">
        <f aca="false">IF($A970="","",0)</f>
        <v/>
      </c>
    </row>
    <row r="971" customFormat="false" ht="15" hidden="false" customHeight="false" outlineLevel="0" collapsed="false">
      <c r="A971" s="24" t="str">
        <f aca="false">IF(AND(Payroll!$A971&lt;&gt;"",N(Payroll!$R971)&gt;0),"EDR","")</f>
        <v/>
      </c>
      <c r="B971" s="24" t="str">
        <f aca="false">IF($A971="","",Payroll!U971)</f>
        <v/>
      </c>
      <c r="C971" s="24" t="str">
        <f aca="false">IF($A971="","",Payroll!S971)</f>
        <v/>
      </c>
      <c r="D971" s="24" t="str">
        <f aca="false">IF($A971="","",SUBSTITUTE(Payroll!T971," ",""))</f>
        <v/>
      </c>
      <c r="E971" s="24" t="str">
        <f aca="false">IF($A971="","",TEXT(Settings!$B$8,"yyyy-mm-dd"))</f>
        <v/>
      </c>
      <c r="F971" s="24" t="str">
        <f aca="false">IF($A971="","",TEXT(Settings!$B$9,"yyyy-mm-dd"))</f>
        <v/>
      </c>
      <c r="G971" s="24" t="str">
        <f aca="false">IF($A971="","",DAY(Settings!$B$9))</f>
        <v/>
      </c>
      <c r="H971" s="26" t="str">
        <f aca="false">IF($A971="","",ROUND(Payroll!R971-Payroll!L971-Payroll!M971,2))</f>
        <v/>
      </c>
      <c r="I971" s="26" t="str">
        <f aca="false">IF($A971="","",ROUND(Payroll!L971+Payroll!M971,2))</f>
        <v/>
      </c>
      <c r="J971" s="24" t="str">
        <f aca="false">IF($A971="","",0)</f>
        <v/>
      </c>
    </row>
    <row r="972" customFormat="false" ht="15" hidden="false" customHeight="false" outlineLevel="0" collapsed="false">
      <c r="A972" s="24" t="str">
        <f aca="false">IF(AND(Payroll!$A972&lt;&gt;"",N(Payroll!$R972)&gt;0),"EDR","")</f>
        <v/>
      </c>
      <c r="B972" s="24" t="str">
        <f aca="false">IF($A972="","",Payroll!U972)</f>
        <v/>
      </c>
      <c r="C972" s="24" t="str">
        <f aca="false">IF($A972="","",Payroll!S972)</f>
        <v/>
      </c>
      <c r="D972" s="24" t="str">
        <f aca="false">IF($A972="","",SUBSTITUTE(Payroll!T972," ",""))</f>
        <v/>
      </c>
      <c r="E972" s="24" t="str">
        <f aca="false">IF($A972="","",TEXT(Settings!$B$8,"yyyy-mm-dd"))</f>
        <v/>
      </c>
      <c r="F972" s="24" t="str">
        <f aca="false">IF($A972="","",TEXT(Settings!$B$9,"yyyy-mm-dd"))</f>
        <v/>
      </c>
      <c r="G972" s="24" t="str">
        <f aca="false">IF($A972="","",DAY(Settings!$B$9))</f>
        <v/>
      </c>
      <c r="H972" s="26" t="str">
        <f aca="false">IF($A972="","",ROUND(Payroll!R972-Payroll!L972-Payroll!M972,2))</f>
        <v/>
      </c>
      <c r="I972" s="26" t="str">
        <f aca="false">IF($A972="","",ROUND(Payroll!L972+Payroll!M972,2))</f>
        <v/>
      </c>
      <c r="J972" s="24" t="str">
        <f aca="false">IF($A972="","",0)</f>
        <v/>
      </c>
    </row>
    <row r="973" customFormat="false" ht="15" hidden="false" customHeight="false" outlineLevel="0" collapsed="false">
      <c r="A973" s="24" t="str">
        <f aca="false">IF(AND(Payroll!$A973&lt;&gt;"",N(Payroll!$R973)&gt;0),"EDR","")</f>
        <v/>
      </c>
      <c r="B973" s="24" t="str">
        <f aca="false">IF($A973="","",Payroll!U973)</f>
        <v/>
      </c>
      <c r="C973" s="24" t="str">
        <f aca="false">IF($A973="","",Payroll!S973)</f>
        <v/>
      </c>
      <c r="D973" s="24" t="str">
        <f aca="false">IF($A973="","",SUBSTITUTE(Payroll!T973," ",""))</f>
        <v/>
      </c>
      <c r="E973" s="24" t="str">
        <f aca="false">IF($A973="","",TEXT(Settings!$B$8,"yyyy-mm-dd"))</f>
        <v/>
      </c>
      <c r="F973" s="24" t="str">
        <f aca="false">IF($A973="","",TEXT(Settings!$B$9,"yyyy-mm-dd"))</f>
        <v/>
      </c>
      <c r="G973" s="24" t="str">
        <f aca="false">IF($A973="","",DAY(Settings!$B$9))</f>
        <v/>
      </c>
      <c r="H973" s="26" t="str">
        <f aca="false">IF($A973="","",ROUND(Payroll!R973-Payroll!L973-Payroll!M973,2))</f>
        <v/>
      </c>
      <c r="I973" s="26" t="str">
        <f aca="false">IF($A973="","",ROUND(Payroll!L973+Payroll!M973,2))</f>
        <v/>
      </c>
      <c r="J973" s="24" t="str">
        <f aca="false">IF($A973="","",0)</f>
        <v/>
      </c>
    </row>
    <row r="974" customFormat="false" ht="15" hidden="false" customHeight="false" outlineLevel="0" collapsed="false">
      <c r="A974" s="24" t="str">
        <f aca="false">IF(AND(Payroll!$A974&lt;&gt;"",N(Payroll!$R974)&gt;0),"EDR","")</f>
        <v/>
      </c>
      <c r="B974" s="24" t="str">
        <f aca="false">IF($A974="","",Payroll!U974)</f>
        <v/>
      </c>
      <c r="C974" s="24" t="str">
        <f aca="false">IF($A974="","",Payroll!S974)</f>
        <v/>
      </c>
      <c r="D974" s="24" t="str">
        <f aca="false">IF($A974="","",SUBSTITUTE(Payroll!T974," ",""))</f>
        <v/>
      </c>
      <c r="E974" s="24" t="str">
        <f aca="false">IF($A974="","",TEXT(Settings!$B$8,"yyyy-mm-dd"))</f>
        <v/>
      </c>
      <c r="F974" s="24" t="str">
        <f aca="false">IF($A974="","",TEXT(Settings!$B$9,"yyyy-mm-dd"))</f>
        <v/>
      </c>
      <c r="G974" s="24" t="str">
        <f aca="false">IF($A974="","",DAY(Settings!$B$9))</f>
        <v/>
      </c>
      <c r="H974" s="26" t="str">
        <f aca="false">IF($A974="","",ROUND(Payroll!R974-Payroll!L974-Payroll!M974,2))</f>
        <v/>
      </c>
      <c r="I974" s="26" t="str">
        <f aca="false">IF($A974="","",ROUND(Payroll!L974+Payroll!M974,2))</f>
        <v/>
      </c>
      <c r="J974" s="24" t="str">
        <f aca="false">IF($A974="","",0)</f>
        <v/>
      </c>
    </row>
    <row r="975" customFormat="false" ht="15" hidden="false" customHeight="false" outlineLevel="0" collapsed="false">
      <c r="A975" s="24" t="str">
        <f aca="false">IF(AND(Payroll!$A975&lt;&gt;"",N(Payroll!$R975)&gt;0),"EDR","")</f>
        <v/>
      </c>
      <c r="B975" s="24" t="str">
        <f aca="false">IF($A975="","",Payroll!U975)</f>
        <v/>
      </c>
      <c r="C975" s="24" t="str">
        <f aca="false">IF($A975="","",Payroll!S975)</f>
        <v/>
      </c>
      <c r="D975" s="24" t="str">
        <f aca="false">IF($A975="","",SUBSTITUTE(Payroll!T975," ",""))</f>
        <v/>
      </c>
      <c r="E975" s="24" t="str">
        <f aca="false">IF($A975="","",TEXT(Settings!$B$8,"yyyy-mm-dd"))</f>
        <v/>
      </c>
      <c r="F975" s="24" t="str">
        <f aca="false">IF($A975="","",TEXT(Settings!$B$9,"yyyy-mm-dd"))</f>
        <v/>
      </c>
      <c r="G975" s="24" t="str">
        <f aca="false">IF($A975="","",DAY(Settings!$B$9))</f>
        <v/>
      </c>
      <c r="H975" s="26" t="str">
        <f aca="false">IF($A975="","",ROUND(Payroll!R975-Payroll!L975-Payroll!M975,2))</f>
        <v/>
      </c>
      <c r="I975" s="26" t="str">
        <f aca="false">IF($A975="","",ROUND(Payroll!L975+Payroll!M975,2))</f>
        <v/>
      </c>
      <c r="J975" s="24" t="str">
        <f aca="false">IF($A975="","",0)</f>
        <v/>
      </c>
    </row>
    <row r="976" customFormat="false" ht="15" hidden="false" customHeight="false" outlineLevel="0" collapsed="false">
      <c r="A976" s="24" t="str">
        <f aca="false">IF(AND(Payroll!$A976&lt;&gt;"",N(Payroll!$R976)&gt;0),"EDR","")</f>
        <v/>
      </c>
      <c r="B976" s="24" t="str">
        <f aca="false">IF($A976="","",Payroll!U976)</f>
        <v/>
      </c>
      <c r="C976" s="24" t="str">
        <f aca="false">IF($A976="","",Payroll!S976)</f>
        <v/>
      </c>
      <c r="D976" s="24" t="str">
        <f aca="false">IF($A976="","",SUBSTITUTE(Payroll!T976," ",""))</f>
        <v/>
      </c>
      <c r="E976" s="24" t="str">
        <f aca="false">IF($A976="","",TEXT(Settings!$B$8,"yyyy-mm-dd"))</f>
        <v/>
      </c>
      <c r="F976" s="24" t="str">
        <f aca="false">IF($A976="","",TEXT(Settings!$B$9,"yyyy-mm-dd"))</f>
        <v/>
      </c>
      <c r="G976" s="24" t="str">
        <f aca="false">IF($A976="","",DAY(Settings!$B$9))</f>
        <v/>
      </c>
      <c r="H976" s="26" t="str">
        <f aca="false">IF($A976="","",ROUND(Payroll!R976-Payroll!L976-Payroll!M976,2))</f>
        <v/>
      </c>
      <c r="I976" s="26" t="str">
        <f aca="false">IF($A976="","",ROUND(Payroll!L976+Payroll!M976,2))</f>
        <v/>
      </c>
      <c r="J976" s="24" t="str">
        <f aca="false">IF($A976="","",0)</f>
        <v/>
      </c>
    </row>
    <row r="977" customFormat="false" ht="15" hidden="false" customHeight="false" outlineLevel="0" collapsed="false">
      <c r="A977" s="24" t="str">
        <f aca="false">IF(AND(Payroll!$A977&lt;&gt;"",N(Payroll!$R977)&gt;0),"EDR","")</f>
        <v/>
      </c>
      <c r="B977" s="24" t="str">
        <f aca="false">IF($A977="","",Payroll!U977)</f>
        <v/>
      </c>
      <c r="C977" s="24" t="str">
        <f aca="false">IF($A977="","",Payroll!S977)</f>
        <v/>
      </c>
      <c r="D977" s="24" t="str">
        <f aca="false">IF($A977="","",SUBSTITUTE(Payroll!T977," ",""))</f>
        <v/>
      </c>
      <c r="E977" s="24" t="str">
        <f aca="false">IF($A977="","",TEXT(Settings!$B$8,"yyyy-mm-dd"))</f>
        <v/>
      </c>
      <c r="F977" s="24" t="str">
        <f aca="false">IF($A977="","",TEXT(Settings!$B$9,"yyyy-mm-dd"))</f>
        <v/>
      </c>
      <c r="G977" s="24" t="str">
        <f aca="false">IF($A977="","",DAY(Settings!$B$9))</f>
        <v/>
      </c>
      <c r="H977" s="26" t="str">
        <f aca="false">IF($A977="","",ROUND(Payroll!R977-Payroll!L977-Payroll!M977,2))</f>
        <v/>
      </c>
      <c r="I977" s="26" t="str">
        <f aca="false">IF($A977="","",ROUND(Payroll!L977+Payroll!M977,2))</f>
        <v/>
      </c>
      <c r="J977" s="24" t="str">
        <f aca="false">IF($A977="","",0)</f>
        <v/>
      </c>
    </row>
    <row r="978" customFormat="false" ht="15" hidden="false" customHeight="false" outlineLevel="0" collapsed="false">
      <c r="A978" s="24" t="str">
        <f aca="false">IF(AND(Payroll!$A978&lt;&gt;"",N(Payroll!$R978)&gt;0),"EDR","")</f>
        <v/>
      </c>
      <c r="B978" s="24" t="str">
        <f aca="false">IF($A978="","",Payroll!U978)</f>
        <v/>
      </c>
      <c r="C978" s="24" t="str">
        <f aca="false">IF($A978="","",Payroll!S978)</f>
        <v/>
      </c>
      <c r="D978" s="24" t="str">
        <f aca="false">IF($A978="","",SUBSTITUTE(Payroll!T978," ",""))</f>
        <v/>
      </c>
      <c r="E978" s="24" t="str">
        <f aca="false">IF($A978="","",TEXT(Settings!$B$8,"yyyy-mm-dd"))</f>
        <v/>
      </c>
      <c r="F978" s="24" t="str">
        <f aca="false">IF($A978="","",TEXT(Settings!$B$9,"yyyy-mm-dd"))</f>
        <v/>
      </c>
      <c r="G978" s="24" t="str">
        <f aca="false">IF($A978="","",DAY(Settings!$B$9))</f>
        <v/>
      </c>
      <c r="H978" s="26" t="str">
        <f aca="false">IF($A978="","",ROUND(Payroll!R978-Payroll!L978-Payroll!M978,2))</f>
        <v/>
      </c>
      <c r="I978" s="26" t="str">
        <f aca="false">IF($A978="","",ROUND(Payroll!L978+Payroll!M978,2))</f>
        <v/>
      </c>
      <c r="J978" s="24" t="str">
        <f aca="false">IF($A978="","",0)</f>
        <v/>
      </c>
    </row>
    <row r="979" customFormat="false" ht="15" hidden="false" customHeight="false" outlineLevel="0" collapsed="false">
      <c r="A979" s="24" t="str">
        <f aca="false">IF(AND(Payroll!$A979&lt;&gt;"",N(Payroll!$R979)&gt;0),"EDR","")</f>
        <v/>
      </c>
      <c r="B979" s="24" t="str">
        <f aca="false">IF($A979="","",Payroll!U979)</f>
        <v/>
      </c>
      <c r="C979" s="24" t="str">
        <f aca="false">IF($A979="","",Payroll!S979)</f>
        <v/>
      </c>
      <c r="D979" s="24" t="str">
        <f aca="false">IF($A979="","",SUBSTITUTE(Payroll!T979," ",""))</f>
        <v/>
      </c>
      <c r="E979" s="24" t="str">
        <f aca="false">IF($A979="","",TEXT(Settings!$B$8,"yyyy-mm-dd"))</f>
        <v/>
      </c>
      <c r="F979" s="24" t="str">
        <f aca="false">IF($A979="","",TEXT(Settings!$B$9,"yyyy-mm-dd"))</f>
        <v/>
      </c>
      <c r="G979" s="24" t="str">
        <f aca="false">IF($A979="","",DAY(Settings!$B$9))</f>
        <v/>
      </c>
      <c r="H979" s="26" t="str">
        <f aca="false">IF($A979="","",ROUND(Payroll!R979-Payroll!L979-Payroll!M979,2))</f>
        <v/>
      </c>
      <c r="I979" s="26" t="str">
        <f aca="false">IF($A979="","",ROUND(Payroll!L979+Payroll!M979,2))</f>
        <v/>
      </c>
      <c r="J979" s="24" t="str">
        <f aca="false">IF($A979="","",0)</f>
        <v/>
      </c>
    </row>
    <row r="980" customFormat="false" ht="15" hidden="false" customHeight="false" outlineLevel="0" collapsed="false">
      <c r="A980" s="24" t="str">
        <f aca="false">IF(AND(Payroll!$A980&lt;&gt;"",N(Payroll!$R980)&gt;0),"EDR","")</f>
        <v/>
      </c>
      <c r="B980" s="24" t="str">
        <f aca="false">IF($A980="","",Payroll!U980)</f>
        <v/>
      </c>
      <c r="C980" s="24" t="str">
        <f aca="false">IF($A980="","",Payroll!S980)</f>
        <v/>
      </c>
      <c r="D980" s="24" t="str">
        <f aca="false">IF($A980="","",SUBSTITUTE(Payroll!T980," ",""))</f>
        <v/>
      </c>
      <c r="E980" s="24" t="str">
        <f aca="false">IF($A980="","",TEXT(Settings!$B$8,"yyyy-mm-dd"))</f>
        <v/>
      </c>
      <c r="F980" s="24" t="str">
        <f aca="false">IF($A980="","",TEXT(Settings!$B$9,"yyyy-mm-dd"))</f>
        <v/>
      </c>
      <c r="G980" s="24" t="str">
        <f aca="false">IF($A980="","",DAY(Settings!$B$9))</f>
        <v/>
      </c>
      <c r="H980" s="26" t="str">
        <f aca="false">IF($A980="","",ROUND(Payroll!R980-Payroll!L980-Payroll!M980,2))</f>
        <v/>
      </c>
      <c r="I980" s="26" t="str">
        <f aca="false">IF($A980="","",ROUND(Payroll!L980+Payroll!M980,2))</f>
        <v/>
      </c>
      <c r="J980" s="24" t="str">
        <f aca="false">IF($A980="","",0)</f>
        <v/>
      </c>
    </row>
    <row r="981" customFormat="false" ht="15" hidden="false" customHeight="false" outlineLevel="0" collapsed="false">
      <c r="A981" s="24" t="str">
        <f aca="false">IF(AND(Payroll!$A981&lt;&gt;"",N(Payroll!$R981)&gt;0),"EDR","")</f>
        <v/>
      </c>
      <c r="B981" s="24" t="str">
        <f aca="false">IF($A981="","",Payroll!U981)</f>
        <v/>
      </c>
      <c r="C981" s="24" t="str">
        <f aca="false">IF($A981="","",Payroll!S981)</f>
        <v/>
      </c>
      <c r="D981" s="24" t="str">
        <f aca="false">IF($A981="","",SUBSTITUTE(Payroll!T981," ",""))</f>
        <v/>
      </c>
      <c r="E981" s="24" t="str">
        <f aca="false">IF($A981="","",TEXT(Settings!$B$8,"yyyy-mm-dd"))</f>
        <v/>
      </c>
      <c r="F981" s="24" t="str">
        <f aca="false">IF($A981="","",TEXT(Settings!$B$9,"yyyy-mm-dd"))</f>
        <v/>
      </c>
      <c r="G981" s="24" t="str">
        <f aca="false">IF($A981="","",DAY(Settings!$B$9))</f>
        <v/>
      </c>
      <c r="H981" s="26" t="str">
        <f aca="false">IF($A981="","",ROUND(Payroll!R981-Payroll!L981-Payroll!M981,2))</f>
        <v/>
      </c>
      <c r="I981" s="26" t="str">
        <f aca="false">IF($A981="","",ROUND(Payroll!L981+Payroll!M981,2))</f>
        <v/>
      </c>
      <c r="J981" s="24" t="str">
        <f aca="false">IF($A981="","",0)</f>
        <v/>
      </c>
    </row>
    <row r="982" customFormat="false" ht="15" hidden="false" customHeight="false" outlineLevel="0" collapsed="false">
      <c r="A982" s="24" t="str">
        <f aca="false">IF(AND(Payroll!$A982&lt;&gt;"",N(Payroll!$R982)&gt;0),"EDR","")</f>
        <v/>
      </c>
      <c r="B982" s="24" t="str">
        <f aca="false">IF($A982="","",Payroll!U982)</f>
        <v/>
      </c>
      <c r="C982" s="24" t="str">
        <f aca="false">IF($A982="","",Payroll!S982)</f>
        <v/>
      </c>
      <c r="D982" s="24" t="str">
        <f aca="false">IF($A982="","",SUBSTITUTE(Payroll!T982," ",""))</f>
        <v/>
      </c>
      <c r="E982" s="24" t="str">
        <f aca="false">IF($A982="","",TEXT(Settings!$B$8,"yyyy-mm-dd"))</f>
        <v/>
      </c>
      <c r="F982" s="24" t="str">
        <f aca="false">IF($A982="","",TEXT(Settings!$B$9,"yyyy-mm-dd"))</f>
        <v/>
      </c>
      <c r="G982" s="24" t="str">
        <f aca="false">IF($A982="","",DAY(Settings!$B$9))</f>
        <v/>
      </c>
      <c r="H982" s="26" t="str">
        <f aca="false">IF($A982="","",ROUND(Payroll!R982-Payroll!L982-Payroll!M982,2))</f>
        <v/>
      </c>
      <c r="I982" s="26" t="str">
        <f aca="false">IF($A982="","",ROUND(Payroll!L982+Payroll!M982,2))</f>
        <v/>
      </c>
      <c r="J982" s="24" t="str">
        <f aca="false">IF($A982="","",0)</f>
        <v/>
      </c>
    </row>
    <row r="983" customFormat="false" ht="15" hidden="false" customHeight="false" outlineLevel="0" collapsed="false">
      <c r="A983" s="24" t="str">
        <f aca="false">IF(AND(Payroll!$A983&lt;&gt;"",N(Payroll!$R983)&gt;0),"EDR","")</f>
        <v/>
      </c>
      <c r="B983" s="24" t="str">
        <f aca="false">IF($A983="","",Payroll!U983)</f>
        <v/>
      </c>
      <c r="C983" s="24" t="str">
        <f aca="false">IF($A983="","",Payroll!S983)</f>
        <v/>
      </c>
      <c r="D983" s="24" t="str">
        <f aca="false">IF($A983="","",SUBSTITUTE(Payroll!T983," ",""))</f>
        <v/>
      </c>
      <c r="E983" s="24" t="str">
        <f aca="false">IF($A983="","",TEXT(Settings!$B$8,"yyyy-mm-dd"))</f>
        <v/>
      </c>
      <c r="F983" s="24" t="str">
        <f aca="false">IF($A983="","",TEXT(Settings!$B$9,"yyyy-mm-dd"))</f>
        <v/>
      </c>
      <c r="G983" s="24" t="str">
        <f aca="false">IF($A983="","",DAY(Settings!$B$9))</f>
        <v/>
      </c>
      <c r="H983" s="26" t="str">
        <f aca="false">IF($A983="","",ROUND(Payroll!R983-Payroll!L983-Payroll!M983,2))</f>
        <v/>
      </c>
      <c r="I983" s="26" t="str">
        <f aca="false">IF($A983="","",ROUND(Payroll!L983+Payroll!M983,2))</f>
        <v/>
      </c>
      <c r="J983" s="24" t="str">
        <f aca="false">IF($A983="","",0)</f>
        <v/>
      </c>
    </row>
    <row r="984" customFormat="false" ht="15" hidden="false" customHeight="false" outlineLevel="0" collapsed="false">
      <c r="A984" s="24" t="str">
        <f aca="false">IF(AND(Payroll!$A984&lt;&gt;"",N(Payroll!$R984)&gt;0),"EDR","")</f>
        <v/>
      </c>
      <c r="B984" s="24" t="str">
        <f aca="false">IF($A984="","",Payroll!U984)</f>
        <v/>
      </c>
      <c r="C984" s="24" t="str">
        <f aca="false">IF($A984="","",Payroll!S984)</f>
        <v/>
      </c>
      <c r="D984" s="24" t="str">
        <f aca="false">IF($A984="","",SUBSTITUTE(Payroll!T984," ",""))</f>
        <v/>
      </c>
      <c r="E984" s="24" t="str">
        <f aca="false">IF($A984="","",TEXT(Settings!$B$8,"yyyy-mm-dd"))</f>
        <v/>
      </c>
      <c r="F984" s="24" t="str">
        <f aca="false">IF($A984="","",TEXT(Settings!$B$9,"yyyy-mm-dd"))</f>
        <v/>
      </c>
      <c r="G984" s="24" t="str">
        <f aca="false">IF($A984="","",DAY(Settings!$B$9))</f>
        <v/>
      </c>
      <c r="H984" s="26" t="str">
        <f aca="false">IF($A984="","",ROUND(Payroll!R984-Payroll!L984-Payroll!M984,2))</f>
        <v/>
      </c>
      <c r="I984" s="26" t="str">
        <f aca="false">IF($A984="","",ROUND(Payroll!L984+Payroll!M984,2))</f>
        <v/>
      </c>
      <c r="J984" s="24" t="str">
        <f aca="false">IF($A984="","",0)</f>
        <v/>
      </c>
    </row>
    <row r="985" customFormat="false" ht="15" hidden="false" customHeight="false" outlineLevel="0" collapsed="false">
      <c r="A985" s="24" t="str">
        <f aca="false">IF(AND(Payroll!$A985&lt;&gt;"",N(Payroll!$R985)&gt;0),"EDR","")</f>
        <v/>
      </c>
      <c r="B985" s="24" t="str">
        <f aca="false">IF($A985="","",Payroll!U985)</f>
        <v/>
      </c>
      <c r="C985" s="24" t="str">
        <f aca="false">IF($A985="","",Payroll!S985)</f>
        <v/>
      </c>
      <c r="D985" s="24" t="str">
        <f aca="false">IF($A985="","",SUBSTITUTE(Payroll!T985," ",""))</f>
        <v/>
      </c>
      <c r="E985" s="24" t="str">
        <f aca="false">IF($A985="","",TEXT(Settings!$B$8,"yyyy-mm-dd"))</f>
        <v/>
      </c>
      <c r="F985" s="24" t="str">
        <f aca="false">IF($A985="","",TEXT(Settings!$B$9,"yyyy-mm-dd"))</f>
        <v/>
      </c>
      <c r="G985" s="24" t="str">
        <f aca="false">IF($A985="","",DAY(Settings!$B$9))</f>
        <v/>
      </c>
      <c r="H985" s="26" t="str">
        <f aca="false">IF($A985="","",ROUND(Payroll!R985-Payroll!L985-Payroll!M985,2))</f>
        <v/>
      </c>
      <c r="I985" s="26" t="str">
        <f aca="false">IF($A985="","",ROUND(Payroll!L985+Payroll!M985,2))</f>
        <v/>
      </c>
      <c r="J985" s="24" t="str">
        <f aca="false">IF($A985="","",0)</f>
        <v/>
      </c>
    </row>
    <row r="986" customFormat="false" ht="15" hidden="false" customHeight="false" outlineLevel="0" collapsed="false">
      <c r="A986" s="24" t="str">
        <f aca="false">IF(AND(Payroll!$A986&lt;&gt;"",N(Payroll!$R986)&gt;0),"EDR","")</f>
        <v/>
      </c>
      <c r="B986" s="24" t="str">
        <f aca="false">IF($A986="","",Payroll!U986)</f>
        <v/>
      </c>
      <c r="C986" s="24" t="str">
        <f aca="false">IF($A986="","",Payroll!S986)</f>
        <v/>
      </c>
      <c r="D986" s="24" t="str">
        <f aca="false">IF($A986="","",SUBSTITUTE(Payroll!T986," ",""))</f>
        <v/>
      </c>
      <c r="E986" s="24" t="str">
        <f aca="false">IF($A986="","",TEXT(Settings!$B$8,"yyyy-mm-dd"))</f>
        <v/>
      </c>
      <c r="F986" s="24" t="str">
        <f aca="false">IF($A986="","",TEXT(Settings!$B$9,"yyyy-mm-dd"))</f>
        <v/>
      </c>
      <c r="G986" s="24" t="str">
        <f aca="false">IF($A986="","",DAY(Settings!$B$9))</f>
        <v/>
      </c>
      <c r="H986" s="26" t="str">
        <f aca="false">IF($A986="","",ROUND(Payroll!R986-Payroll!L986-Payroll!M986,2))</f>
        <v/>
      </c>
      <c r="I986" s="26" t="str">
        <f aca="false">IF($A986="","",ROUND(Payroll!L986+Payroll!M986,2))</f>
        <v/>
      </c>
      <c r="J986" s="24" t="str">
        <f aca="false">IF($A986="","",0)</f>
        <v/>
      </c>
    </row>
    <row r="987" customFormat="false" ht="15" hidden="false" customHeight="false" outlineLevel="0" collapsed="false">
      <c r="A987" s="24" t="str">
        <f aca="false">IF(AND(Payroll!$A987&lt;&gt;"",N(Payroll!$R987)&gt;0),"EDR","")</f>
        <v/>
      </c>
      <c r="B987" s="24" t="str">
        <f aca="false">IF($A987="","",Payroll!U987)</f>
        <v/>
      </c>
      <c r="C987" s="24" t="str">
        <f aca="false">IF($A987="","",Payroll!S987)</f>
        <v/>
      </c>
      <c r="D987" s="24" t="str">
        <f aca="false">IF($A987="","",SUBSTITUTE(Payroll!T987," ",""))</f>
        <v/>
      </c>
      <c r="E987" s="24" t="str">
        <f aca="false">IF($A987="","",TEXT(Settings!$B$8,"yyyy-mm-dd"))</f>
        <v/>
      </c>
      <c r="F987" s="24" t="str">
        <f aca="false">IF($A987="","",TEXT(Settings!$B$9,"yyyy-mm-dd"))</f>
        <v/>
      </c>
      <c r="G987" s="24" t="str">
        <f aca="false">IF($A987="","",DAY(Settings!$B$9))</f>
        <v/>
      </c>
      <c r="H987" s="26" t="str">
        <f aca="false">IF($A987="","",ROUND(Payroll!R987-Payroll!L987-Payroll!M987,2))</f>
        <v/>
      </c>
      <c r="I987" s="26" t="str">
        <f aca="false">IF($A987="","",ROUND(Payroll!L987+Payroll!M987,2))</f>
        <v/>
      </c>
      <c r="J987" s="24" t="str">
        <f aca="false">IF($A987="","",0)</f>
        <v/>
      </c>
    </row>
    <row r="988" customFormat="false" ht="15" hidden="false" customHeight="false" outlineLevel="0" collapsed="false">
      <c r="A988" s="24" t="str">
        <f aca="false">IF(AND(Payroll!$A988&lt;&gt;"",N(Payroll!$R988)&gt;0),"EDR","")</f>
        <v/>
      </c>
      <c r="B988" s="24" t="str">
        <f aca="false">IF($A988="","",Payroll!U988)</f>
        <v/>
      </c>
      <c r="C988" s="24" t="str">
        <f aca="false">IF($A988="","",Payroll!S988)</f>
        <v/>
      </c>
      <c r="D988" s="24" t="str">
        <f aca="false">IF($A988="","",SUBSTITUTE(Payroll!T988," ",""))</f>
        <v/>
      </c>
      <c r="E988" s="24" t="str">
        <f aca="false">IF($A988="","",TEXT(Settings!$B$8,"yyyy-mm-dd"))</f>
        <v/>
      </c>
      <c r="F988" s="24" t="str">
        <f aca="false">IF($A988="","",TEXT(Settings!$B$9,"yyyy-mm-dd"))</f>
        <v/>
      </c>
      <c r="G988" s="24" t="str">
        <f aca="false">IF($A988="","",DAY(Settings!$B$9))</f>
        <v/>
      </c>
      <c r="H988" s="26" t="str">
        <f aca="false">IF($A988="","",ROUND(Payroll!R988-Payroll!L988-Payroll!M988,2))</f>
        <v/>
      </c>
      <c r="I988" s="26" t="str">
        <f aca="false">IF($A988="","",ROUND(Payroll!L988+Payroll!M988,2))</f>
        <v/>
      </c>
      <c r="J988" s="24" t="str">
        <f aca="false">IF($A988="","",0)</f>
        <v/>
      </c>
    </row>
    <row r="989" customFormat="false" ht="15" hidden="false" customHeight="false" outlineLevel="0" collapsed="false">
      <c r="A989" s="24" t="str">
        <f aca="false">IF(AND(Payroll!$A989&lt;&gt;"",N(Payroll!$R989)&gt;0),"EDR","")</f>
        <v/>
      </c>
      <c r="B989" s="24" t="str">
        <f aca="false">IF($A989="","",Payroll!U989)</f>
        <v/>
      </c>
      <c r="C989" s="24" t="str">
        <f aca="false">IF($A989="","",Payroll!S989)</f>
        <v/>
      </c>
      <c r="D989" s="24" t="str">
        <f aca="false">IF($A989="","",SUBSTITUTE(Payroll!T989," ",""))</f>
        <v/>
      </c>
      <c r="E989" s="24" t="str">
        <f aca="false">IF($A989="","",TEXT(Settings!$B$8,"yyyy-mm-dd"))</f>
        <v/>
      </c>
      <c r="F989" s="24" t="str">
        <f aca="false">IF($A989="","",TEXT(Settings!$B$9,"yyyy-mm-dd"))</f>
        <v/>
      </c>
      <c r="G989" s="24" t="str">
        <f aca="false">IF($A989="","",DAY(Settings!$B$9))</f>
        <v/>
      </c>
      <c r="H989" s="26" t="str">
        <f aca="false">IF($A989="","",ROUND(Payroll!R989-Payroll!L989-Payroll!M989,2))</f>
        <v/>
      </c>
      <c r="I989" s="26" t="str">
        <f aca="false">IF($A989="","",ROUND(Payroll!L989+Payroll!M989,2))</f>
        <v/>
      </c>
      <c r="J989" s="24" t="str">
        <f aca="false">IF($A989="","",0)</f>
        <v/>
      </c>
    </row>
    <row r="990" customFormat="false" ht="15" hidden="false" customHeight="false" outlineLevel="0" collapsed="false">
      <c r="A990" s="24" t="str">
        <f aca="false">IF(AND(Payroll!$A990&lt;&gt;"",N(Payroll!$R990)&gt;0),"EDR","")</f>
        <v/>
      </c>
      <c r="B990" s="24" t="str">
        <f aca="false">IF($A990="","",Payroll!U990)</f>
        <v/>
      </c>
      <c r="C990" s="24" t="str">
        <f aca="false">IF($A990="","",Payroll!S990)</f>
        <v/>
      </c>
      <c r="D990" s="24" t="str">
        <f aca="false">IF($A990="","",SUBSTITUTE(Payroll!T990," ",""))</f>
        <v/>
      </c>
      <c r="E990" s="24" t="str">
        <f aca="false">IF($A990="","",TEXT(Settings!$B$8,"yyyy-mm-dd"))</f>
        <v/>
      </c>
      <c r="F990" s="24" t="str">
        <f aca="false">IF($A990="","",TEXT(Settings!$B$9,"yyyy-mm-dd"))</f>
        <v/>
      </c>
      <c r="G990" s="24" t="str">
        <f aca="false">IF($A990="","",DAY(Settings!$B$9))</f>
        <v/>
      </c>
      <c r="H990" s="26" t="str">
        <f aca="false">IF($A990="","",ROUND(Payroll!R990-Payroll!L990-Payroll!M990,2))</f>
        <v/>
      </c>
      <c r="I990" s="26" t="str">
        <f aca="false">IF($A990="","",ROUND(Payroll!L990+Payroll!M990,2))</f>
        <v/>
      </c>
      <c r="J990" s="24" t="str">
        <f aca="false">IF($A990="","",0)</f>
        <v/>
      </c>
    </row>
    <row r="991" customFormat="false" ht="15" hidden="false" customHeight="false" outlineLevel="0" collapsed="false">
      <c r="A991" s="24" t="str">
        <f aca="false">IF(AND(Payroll!$A991&lt;&gt;"",N(Payroll!$R991)&gt;0),"EDR","")</f>
        <v/>
      </c>
      <c r="B991" s="24" t="str">
        <f aca="false">IF($A991="","",Payroll!U991)</f>
        <v/>
      </c>
      <c r="C991" s="24" t="str">
        <f aca="false">IF($A991="","",Payroll!S991)</f>
        <v/>
      </c>
      <c r="D991" s="24" t="str">
        <f aca="false">IF($A991="","",SUBSTITUTE(Payroll!T991," ",""))</f>
        <v/>
      </c>
      <c r="E991" s="24" t="str">
        <f aca="false">IF($A991="","",TEXT(Settings!$B$8,"yyyy-mm-dd"))</f>
        <v/>
      </c>
      <c r="F991" s="24" t="str">
        <f aca="false">IF($A991="","",TEXT(Settings!$B$9,"yyyy-mm-dd"))</f>
        <v/>
      </c>
      <c r="G991" s="24" t="str">
        <f aca="false">IF($A991="","",DAY(Settings!$B$9))</f>
        <v/>
      </c>
      <c r="H991" s="26" t="str">
        <f aca="false">IF($A991="","",ROUND(Payroll!R991-Payroll!L991-Payroll!M991,2))</f>
        <v/>
      </c>
      <c r="I991" s="26" t="str">
        <f aca="false">IF($A991="","",ROUND(Payroll!L991+Payroll!M991,2))</f>
        <v/>
      </c>
      <c r="J991" s="24" t="str">
        <f aca="false">IF($A991="","",0)</f>
        <v/>
      </c>
    </row>
    <row r="992" customFormat="false" ht="15" hidden="false" customHeight="false" outlineLevel="0" collapsed="false">
      <c r="A992" s="24" t="str">
        <f aca="false">IF(AND(Payroll!$A992&lt;&gt;"",N(Payroll!$R992)&gt;0),"EDR","")</f>
        <v/>
      </c>
      <c r="B992" s="24" t="str">
        <f aca="false">IF($A992="","",Payroll!U992)</f>
        <v/>
      </c>
      <c r="C992" s="24" t="str">
        <f aca="false">IF($A992="","",Payroll!S992)</f>
        <v/>
      </c>
      <c r="D992" s="24" t="str">
        <f aca="false">IF($A992="","",SUBSTITUTE(Payroll!T992," ",""))</f>
        <v/>
      </c>
      <c r="E992" s="24" t="str">
        <f aca="false">IF($A992="","",TEXT(Settings!$B$8,"yyyy-mm-dd"))</f>
        <v/>
      </c>
      <c r="F992" s="24" t="str">
        <f aca="false">IF($A992="","",TEXT(Settings!$B$9,"yyyy-mm-dd"))</f>
        <v/>
      </c>
      <c r="G992" s="24" t="str">
        <f aca="false">IF($A992="","",DAY(Settings!$B$9))</f>
        <v/>
      </c>
      <c r="H992" s="26" t="str">
        <f aca="false">IF($A992="","",ROUND(Payroll!R992-Payroll!L992-Payroll!M992,2))</f>
        <v/>
      </c>
      <c r="I992" s="26" t="str">
        <f aca="false">IF($A992="","",ROUND(Payroll!L992+Payroll!M992,2))</f>
        <v/>
      </c>
      <c r="J992" s="24" t="str">
        <f aca="false">IF($A992="","",0)</f>
        <v/>
      </c>
    </row>
    <row r="993" customFormat="false" ht="15" hidden="false" customHeight="false" outlineLevel="0" collapsed="false">
      <c r="A993" s="24" t="str">
        <f aca="false">IF(AND(Payroll!$A993&lt;&gt;"",N(Payroll!$R993)&gt;0),"EDR","")</f>
        <v/>
      </c>
      <c r="B993" s="24" t="str">
        <f aca="false">IF($A993="","",Payroll!U993)</f>
        <v/>
      </c>
      <c r="C993" s="24" t="str">
        <f aca="false">IF($A993="","",Payroll!S993)</f>
        <v/>
      </c>
      <c r="D993" s="24" t="str">
        <f aca="false">IF($A993="","",SUBSTITUTE(Payroll!T993," ",""))</f>
        <v/>
      </c>
      <c r="E993" s="24" t="str">
        <f aca="false">IF($A993="","",TEXT(Settings!$B$8,"yyyy-mm-dd"))</f>
        <v/>
      </c>
      <c r="F993" s="24" t="str">
        <f aca="false">IF($A993="","",TEXT(Settings!$B$9,"yyyy-mm-dd"))</f>
        <v/>
      </c>
      <c r="G993" s="24" t="str">
        <f aca="false">IF($A993="","",DAY(Settings!$B$9))</f>
        <v/>
      </c>
      <c r="H993" s="26" t="str">
        <f aca="false">IF($A993="","",ROUND(Payroll!R993-Payroll!L993-Payroll!M993,2))</f>
        <v/>
      </c>
      <c r="I993" s="26" t="str">
        <f aca="false">IF($A993="","",ROUND(Payroll!L993+Payroll!M993,2))</f>
        <v/>
      </c>
      <c r="J993" s="24" t="str">
        <f aca="false">IF($A993="","",0)</f>
        <v/>
      </c>
    </row>
    <row r="994" customFormat="false" ht="15" hidden="false" customHeight="false" outlineLevel="0" collapsed="false">
      <c r="A994" s="24" t="str">
        <f aca="false">IF(AND(Payroll!$A994&lt;&gt;"",N(Payroll!$R994)&gt;0),"EDR","")</f>
        <v/>
      </c>
      <c r="B994" s="24" t="str">
        <f aca="false">IF($A994="","",Payroll!U994)</f>
        <v/>
      </c>
      <c r="C994" s="24" t="str">
        <f aca="false">IF($A994="","",Payroll!S994)</f>
        <v/>
      </c>
      <c r="D994" s="24" t="str">
        <f aca="false">IF($A994="","",SUBSTITUTE(Payroll!T994," ",""))</f>
        <v/>
      </c>
      <c r="E994" s="24" t="str">
        <f aca="false">IF($A994="","",TEXT(Settings!$B$8,"yyyy-mm-dd"))</f>
        <v/>
      </c>
      <c r="F994" s="24" t="str">
        <f aca="false">IF($A994="","",TEXT(Settings!$B$9,"yyyy-mm-dd"))</f>
        <v/>
      </c>
      <c r="G994" s="24" t="str">
        <f aca="false">IF($A994="","",DAY(Settings!$B$9))</f>
        <v/>
      </c>
      <c r="H994" s="26" t="str">
        <f aca="false">IF($A994="","",ROUND(Payroll!R994-Payroll!L994-Payroll!M994,2))</f>
        <v/>
      </c>
      <c r="I994" s="26" t="str">
        <f aca="false">IF($A994="","",ROUND(Payroll!L994+Payroll!M994,2))</f>
        <v/>
      </c>
      <c r="J994" s="24" t="str">
        <f aca="false">IF($A994="","",0)</f>
        <v/>
      </c>
    </row>
    <row r="995" customFormat="false" ht="15" hidden="false" customHeight="false" outlineLevel="0" collapsed="false">
      <c r="A995" s="24" t="str">
        <f aca="false">IF(AND(Payroll!$A995&lt;&gt;"",N(Payroll!$R995)&gt;0),"EDR","")</f>
        <v/>
      </c>
      <c r="B995" s="24" t="str">
        <f aca="false">IF($A995="","",Payroll!U995)</f>
        <v/>
      </c>
      <c r="C995" s="24" t="str">
        <f aca="false">IF($A995="","",Payroll!S995)</f>
        <v/>
      </c>
      <c r="D995" s="24" t="str">
        <f aca="false">IF($A995="","",SUBSTITUTE(Payroll!T995," ",""))</f>
        <v/>
      </c>
      <c r="E995" s="24" t="str">
        <f aca="false">IF($A995="","",TEXT(Settings!$B$8,"yyyy-mm-dd"))</f>
        <v/>
      </c>
      <c r="F995" s="24" t="str">
        <f aca="false">IF($A995="","",TEXT(Settings!$B$9,"yyyy-mm-dd"))</f>
        <v/>
      </c>
      <c r="G995" s="24" t="str">
        <f aca="false">IF($A995="","",DAY(Settings!$B$9))</f>
        <v/>
      </c>
      <c r="H995" s="26" t="str">
        <f aca="false">IF($A995="","",ROUND(Payroll!R995-Payroll!L995-Payroll!M995,2))</f>
        <v/>
      </c>
      <c r="I995" s="26" t="str">
        <f aca="false">IF($A995="","",ROUND(Payroll!L995+Payroll!M995,2))</f>
        <v/>
      </c>
      <c r="J995" s="24" t="str">
        <f aca="false">IF($A995="","",0)</f>
        <v/>
      </c>
    </row>
    <row r="996" customFormat="false" ht="15" hidden="false" customHeight="false" outlineLevel="0" collapsed="false">
      <c r="A996" s="24" t="str">
        <f aca="false">IF(AND(Payroll!$A996&lt;&gt;"",N(Payroll!$R996)&gt;0),"EDR","")</f>
        <v/>
      </c>
      <c r="B996" s="24" t="str">
        <f aca="false">IF($A996="","",Payroll!U996)</f>
        <v/>
      </c>
      <c r="C996" s="24" t="str">
        <f aca="false">IF($A996="","",Payroll!S996)</f>
        <v/>
      </c>
      <c r="D996" s="24" t="str">
        <f aca="false">IF($A996="","",SUBSTITUTE(Payroll!T996," ",""))</f>
        <v/>
      </c>
      <c r="E996" s="24" t="str">
        <f aca="false">IF($A996="","",TEXT(Settings!$B$8,"yyyy-mm-dd"))</f>
        <v/>
      </c>
      <c r="F996" s="24" t="str">
        <f aca="false">IF($A996="","",TEXT(Settings!$B$9,"yyyy-mm-dd"))</f>
        <v/>
      </c>
      <c r="G996" s="24" t="str">
        <f aca="false">IF($A996="","",DAY(Settings!$B$9))</f>
        <v/>
      </c>
      <c r="H996" s="26" t="str">
        <f aca="false">IF($A996="","",ROUND(Payroll!R996-Payroll!L996-Payroll!M996,2))</f>
        <v/>
      </c>
      <c r="I996" s="26" t="str">
        <f aca="false">IF($A996="","",ROUND(Payroll!L996+Payroll!M996,2))</f>
        <v/>
      </c>
      <c r="J996" s="24" t="str">
        <f aca="false">IF($A996="","",0)</f>
        <v/>
      </c>
    </row>
    <row r="997" customFormat="false" ht="15" hidden="false" customHeight="false" outlineLevel="0" collapsed="false">
      <c r="A997" s="24" t="str">
        <f aca="false">IF(AND(Payroll!$A997&lt;&gt;"",N(Payroll!$R997)&gt;0),"EDR","")</f>
        <v/>
      </c>
      <c r="B997" s="24" t="str">
        <f aca="false">IF($A997="","",Payroll!U997)</f>
        <v/>
      </c>
      <c r="C997" s="24" t="str">
        <f aca="false">IF($A997="","",Payroll!S997)</f>
        <v/>
      </c>
      <c r="D997" s="24" t="str">
        <f aca="false">IF($A997="","",SUBSTITUTE(Payroll!T997," ",""))</f>
        <v/>
      </c>
      <c r="E997" s="24" t="str">
        <f aca="false">IF($A997="","",TEXT(Settings!$B$8,"yyyy-mm-dd"))</f>
        <v/>
      </c>
      <c r="F997" s="24" t="str">
        <f aca="false">IF($A997="","",TEXT(Settings!$B$9,"yyyy-mm-dd"))</f>
        <v/>
      </c>
      <c r="G997" s="24" t="str">
        <f aca="false">IF($A997="","",DAY(Settings!$B$9))</f>
        <v/>
      </c>
      <c r="H997" s="26" t="str">
        <f aca="false">IF($A997="","",ROUND(Payroll!R997-Payroll!L997-Payroll!M997,2))</f>
        <v/>
      </c>
      <c r="I997" s="26" t="str">
        <f aca="false">IF($A997="","",ROUND(Payroll!L997+Payroll!M997,2))</f>
        <v/>
      </c>
      <c r="J997" s="24" t="str">
        <f aca="false">IF($A997="","",0)</f>
        <v/>
      </c>
    </row>
    <row r="998" customFormat="false" ht="15" hidden="false" customHeight="false" outlineLevel="0" collapsed="false">
      <c r="A998" s="24" t="str">
        <f aca="false">IF(AND(Payroll!$A998&lt;&gt;"",N(Payroll!$R998)&gt;0),"EDR","")</f>
        <v/>
      </c>
      <c r="B998" s="24" t="str">
        <f aca="false">IF($A998="","",Payroll!U998)</f>
        <v/>
      </c>
      <c r="C998" s="24" t="str">
        <f aca="false">IF($A998="","",Payroll!S998)</f>
        <v/>
      </c>
      <c r="D998" s="24" t="str">
        <f aca="false">IF($A998="","",SUBSTITUTE(Payroll!T998," ",""))</f>
        <v/>
      </c>
      <c r="E998" s="24" t="str">
        <f aca="false">IF($A998="","",TEXT(Settings!$B$8,"yyyy-mm-dd"))</f>
        <v/>
      </c>
      <c r="F998" s="24" t="str">
        <f aca="false">IF($A998="","",TEXT(Settings!$B$9,"yyyy-mm-dd"))</f>
        <v/>
      </c>
      <c r="G998" s="24" t="str">
        <f aca="false">IF($A998="","",DAY(Settings!$B$9))</f>
        <v/>
      </c>
      <c r="H998" s="26" t="str">
        <f aca="false">IF($A998="","",ROUND(Payroll!R998-Payroll!L998-Payroll!M998,2))</f>
        <v/>
      </c>
      <c r="I998" s="26" t="str">
        <f aca="false">IF($A998="","",ROUND(Payroll!L998+Payroll!M998,2))</f>
        <v/>
      </c>
      <c r="J998" s="24" t="str">
        <f aca="false">IF($A998="","",0)</f>
        <v/>
      </c>
    </row>
    <row r="999" customFormat="false" ht="15" hidden="false" customHeight="false" outlineLevel="0" collapsed="false">
      <c r="A999" s="24" t="str">
        <f aca="false">IF(AND(Payroll!$A999&lt;&gt;"",N(Payroll!$R999)&gt;0),"EDR","")</f>
        <v/>
      </c>
      <c r="B999" s="24" t="str">
        <f aca="false">IF($A999="","",Payroll!U999)</f>
        <v/>
      </c>
      <c r="C999" s="24" t="str">
        <f aca="false">IF($A999="","",Payroll!S999)</f>
        <v/>
      </c>
      <c r="D999" s="24" t="str">
        <f aca="false">IF($A999="","",SUBSTITUTE(Payroll!T999," ",""))</f>
        <v/>
      </c>
      <c r="E999" s="24" t="str">
        <f aca="false">IF($A999="","",TEXT(Settings!$B$8,"yyyy-mm-dd"))</f>
        <v/>
      </c>
      <c r="F999" s="24" t="str">
        <f aca="false">IF($A999="","",TEXT(Settings!$B$9,"yyyy-mm-dd"))</f>
        <v/>
      </c>
      <c r="G999" s="24" t="str">
        <f aca="false">IF($A999="","",DAY(Settings!$B$9))</f>
        <v/>
      </c>
      <c r="H999" s="26" t="str">
        <f aca="false">IF($A999="","",ROUND(Payroll!R999-Payroll!L999-Payroll!M999,2))</f>
        <v/>
      </c>
      <c r="I999" s="26" t="str">
        <f aca="false">IF($A999="","",ROUND(Payroll!L999+Payroll!M999,2))</f>
        <v/>
      </c>
      <c r="J999" s="24" t="str">
        <f aca="false">IF($A999="","",0)</f>
        <v/>
      </c>
    </row>
    <row r="1000" customFormat="false" ht="15" hidden="false" customHeight="false" outlineLevel="0" collapsed="false">
      <c r="A1000" s="24" t="str">
        <f aca="false">IF(AND(Payroll!$A1000&lt;&gt;"",N(Payroll!$R1000)&gt;0),"EDR","")</f>
        <v/>
      </c>
      <c r="B1000" s="24" t="str">
        <f aca="false">IF($A1000="","",Payroll!U1000)</f>
        <v/>
      </c>
      <c r="C1000" s="24" t="str">
        <f aca="false">IF($A1000="","",Payroll!S1000)</f>
        <v/>
      </c>
      <c r="D1000" s="24" t="str">
        <f aca="false">IF($A1000="","",SUBSTITUTE(Payroll!T1000," ",""))</f>
        <v/>
      </c>
      <c r="E1000" s="24" t="str">
        <f aca="false">IF($A1000="","",TEXT(Settings!$B$8,"yyyy-mm-dd"))</f>
        <v/>
      </c>
      <c r="F1000" s="24" t="str">
        <f aca="false">IF($A1000="","",TEXT(Settings!$B$9,"yyyy-mm-dd"))</f>
        <v/>
      </c>
      <c r="G1000" s="24" t="str">
        <f aca="false">IF($A1000="","",DAY(Settings!$B$9))</f>
        <v/>
      </c>
      <c r="H1000" s="26" t="str">
        <f aca="false">IF($A1000="","",ROUND(Payroll!R1000-Payroll!L1000-Payroll!M1000,2))</f>
        <v/>
      </c>
      <c r="I1000" s="26" t="str">
        <f aca="false">IF($A1000="","",ROUND(Payroll!L1000+Payroll!M1000,2))</f>
        <v/>
      </c>
      <c r="J1000" s="24" t="str">
        <f aca="false">IF($A1000="","",0)</f>
        <v/>
      </c>
    </row>
    <row r="1001" customFormat="false" ht="15" hidden="false" customHeight="false" outlineLevel="0" collapsed="false">
      <c r="A1001" s="24" t="str">
        <f aca="false">IF(AND(Payroll!$A1001&lt;&gt;"",N(Payroll!$R1001)&gt;0),"EDR","")</f>
        <v/>
      </c>
      <c r="B1001" s="24" t="str">
        <f aca="false">IF($A1001="","",Payroll!U1001)</f>
        <v/>
      </c>
      <c r="C1001" s="24" t="str">
        <f aca="false">IF($A1001="","",Payroll!S1001)</f>
        <v/>
      </c>
      <c r="D1001" s="24" t="str">
        <f aca="false">IF($A1001="","",SUBSTITUTE(Payroll!T1001," ",""))</f>
        <v/>
      </c>
      <c r="E1001" s="24" t="str">
        <f aca="false">IF($A1001="","",TEXT(Settings!$B$8,"yyyy-mm-dd"))</f>
        <v/>
      </c>
      <c r="F1001" s="24" t="str">
        <f aca="false">IF($A1001="","",TEXT(Settings!$B$9,"yyyy-mm-dd"))</f>
        <v/>
      </c>
      <c r="G1001" s="24" t="str">
        <f aca="false">IF($A1001="","",DAY(Settings!$B$9))</f>
        <v/>
      </c>
      <c r="H1001" s="26" t="str">
        <f aca="false">IF($A1001="","",ROUND(Payroll!R1001-Payroll!L1001-Payroll!M1001,2))</f>
        <v/>
      </c>
      <c r="I1001" s="26" t="str">
        <f aca="false">IF($A1001="","",ROUND(Payroll!L1001+Payroll!M1001,2))</f>
        <v/>
      </c>
      <c r="J1001" s="24" t="str">
        <f aca="false">IF($A1001="","",0)</f>
        <v/>
      </c>
    </row>
    <row r="1002" customFormat="false" ht="15" hidden="false" customHeight="false" outlineLevel="0" collapsed="false">
      <c r="A1002" s="24" t="str">
        <f aca="false">IF(AND(Payroll!$A1002&lt;&gt;"",N(Payroll!$R1002)&gt;0),"EDR","")</f>
        <v/>
      </c>
      <c r="B1002" s="24" t="str">
        <f aca="false">IF($A1002="","",Payroll!U1002)</f>
        <v/>
      </c>
      <c r="C1002" s="24" t="str">
        <f aca="false">IF($A1002="","",Payroll!S1002)</f>
        <v/>
      </c>
      <c r="D1002" s="24" t="str">
        <f aca="false">IF($A1002="","",SUBSTITUTE(Payroll!T1002," ",""))</f>
        <v/>
      </c>
      <c r="E1002" s="24" t="str">
        <f aca="false">IF($A1002="","",TEXT(Settings!$B$8,"yyyy-mm-dd"))</f>
        <v/>
      </c>
      <c r="F1002" s="24" t="str">
        <f aca="false">IF($A1002="","",TEXT(Settings!$B$9,"yyyy-mm-dd"))</f>
        <v/>
      </c>
      <c r="G1002" s="24" t="str">
        <f aca="false">IF($A1002="","",DAY(Settings!$B$9))</f>
        <v/>
      </c>
      <c r="H1002" s="26" t="str">
        <f aca="false">IF($A1002="","",ROUND(Payroll!R1002-Payroll!L1002-Payroll!M1002,2))</f>
        <v/>
      </c>
      <c r="I1002" s="26" t="str">
        <f aca="false">IF($A1002="","",ROUND(Payroll!L1002+Payroll!M1002,2))</f>
        <v/>
      </c>
      <c r="J1002" s="24" t="str">
        <f aca="false">IF($A1002="","",0)</f>
        <v/>
      </c>
    </row>
    <row r="1003" customFormat="false" ht="15" hidden="false" customHeight="false" outlineLevel="0" collapsed="false">
      <c r="A1003" s="24" t="str">
        <f aca="false">IF(AND(Payroll!$A1003&lt;&gt;"",N(Payroll!$R1003)&gt;0),"EDR","")</f>
        <v/>
      </c>
      <c r="B1003" s="24" t="str">
        <f aca="false">IF($A1003="","",Payroll!U1003)</f>
        <v/>
      </c>
      <c r="C1003" s="24" t="str">
        <f aca="false">IF($A1003="","",Payroll!S1003)</f>
        <v/>
      </c>
      <c r="D1003" s="24" t="str">
        <f aca="false">IF($A1003="","",SUBSTITUTE(Payroll!T1003," ",""))</f>
        <v/>
      </c>
      <c r="E1003" s="24" t="str">
        <f aca="false">IF($A1003="","",TEXT(Settings!$B$8,"yyyy-mm-dd"))</f>
        <v/>
      </c>
      <c r="F1003" s="24" t="str">
        <f aca="false">IF($A1003="","",TEXT(Settings!$B$9,"yyyy-mm-dd"))</f>
        <v/>
      </c>
      <c r="G1003" s="24" t="str">
        <f aca="false">IF($A1003="","",DAY(Settings!$B$9))</f>
        <v/>
      </c>
      <c r="H1003" s="26" t="str">
        <f aca="false">IF($A1003="","",ROUND(Payroll!R1003-Payroll!L1003-Payroll!M1003,2))</f>
        <v/>
      </c>
      <c r="I1003" s="26" t="str">
        <f aca="false">IF($A1003="","",ROUND(Payroll!L1003+Payroll!M1003,2))</f>
        <v/>
      </c>
      <c r="J1003" s="24" t="str">
        <f aca="false">IF($A1003="","",0)</f>
        <v/>
      </c>
    </row>
    <row r="1004" customFormat="false" ht="15" hidden="false" customHeight="false" outlineLevel="0" collapsed="false">
      <c r="A1004" s="24" t="str">
        <f aca="false">IF(AND(Payroll!$A1004&lt;&gt;"",N(Payroll!$R1004)&gt;0),"EDR","")</f>
        <v/>
      </c>
      <c r="B1004" s="24" t="str">
        <f aca="false">IF($A1004="","",Payroll!U1004)</f>
        <v/>
      </c>
      <c r="C1004" s="24" t="str">
        <f aca="false">IF($A1004="","",Payroll!S1004)</f>
        <v/>
      </c>
      <c r="D1004" s="24" t="str">
        <f aca="false">IF($A1004="","",SUBSTITUTE(Payroll!T1004," ",""))</f>
        <v/>
      </c>
      <c r="E1004" s="24" t="str">
        <f aca="false">IF($A1004="","",TEXT(Settings!$B$8,"yyyy-mm-dd"))</f>
        <v/>
      </c>
      <c r="F1004" s="24" t="str">
        <f aca="false">IF($A1004="","",TEXT(Settings!$B$9,"yyyy-mm-dd"))</f>
        <v/>
      </c>
      <c r="G1004" s="24" t="str">
        <f aca="false">IF($A1004="","",DAY(Settings!$B$9))</f>
        <v/>
      </c>
      <c r="H1004" s="26" t="str">
        <f aca="false">IF($A1004="","",ROUND(Payroll!R1004-Payroll!L1004-Payroll!M1004,2))</f>
        <v/>
      </c>
      <c r="I1004" s="26" t="str">
        <f aca="false">IF($A1004="","",ROUND(Payroll!L1004+Payroll!M1004,2))</f>
        <v/>
      </c>
      <c r="J1004" s="24" t="str">
        <f aca="false">IF($A1004="","",0)</f>
        <v/>
      </c>
    </row>
    <row r="1005" customFormat="false" ht="15" hidden="false" customHeight="false" outlineLevel="0" collapsed="false">
      <c r="A1005" s="24" t="str">
        <f aca="false">IF(AND(Payroll!$A1005&lt;&gt;"",N(Payroll!$R1005)&gt;0),"EDR","")</f>
        <v/>
      </c>
      <c r="B1005" s="24" t="str">
        <f aca="false">IF($A1005="","",Payroll!U1005)</f>
        <v/>
      </c>
      <c r="C1005" s="24" t="str">
        <f aca="false">IF($A1005="","",Payroll!S1005)</f>
        <v/>
      </c>
      <c r="D1005" s="24" t="str">
        <f aca="false">IF($A1005="","",SUBSTITUTE(Payroll!T1005," ",""))</f>
        <v/>
      </c>
      <c r="E1005" s="24" t="str">
        <f aca="false">IF($A1005="","",TEXT(Settings!$B$8,"yyyy-mm-dd"))</f>
        <v/>
      </c>
      <c r="F1005" s="24" t="str">
        <f aca="false">IF($A1005="","",TEXT(Settings!$B$9,"yyyy-mm-dd"))</f>
        <v/>
      </c>
      <c r="G1005" s="24" t="str">
        <f aca="false">IF($A1005="","",DAY(Settings!$B$9))</f>
        <v/>
      </c>
      <c r="H1005" s="26" t="str">
        <f aca="false">IF($A1005="","",ROUND(Payroll!R1005-Payroll!L1005-Payroll!M1005,2))</f>
        <v/>
      </c>
      <c r="I1005" s="26" t="str">
        <f aca="false">IF($A1005="","",ROUND(Payroll!L1005+Payroll!M1005,2))</f>
        <v/>
      </c>
      <c r="J1005" s="24" t="str">
        <f aca="false">IF($A1005="","",0)</f>
        <v/>
      </c>
    </row>
    <row r="1006" customFormat="false" ht="15" hidden="false" customHeight="false" outlineLevel="0" collapsed="false">
      <c r="A1006" s="24" t="str">
        <f aca="false">IF(AND(Payroll!$A1006&lt;&gt;"",N(Payroll!$R1006)&gt;0),"EDR","")</f>
        <v/>
      </c>
      <c r="B1006" s="24" t="str">
        <f aca="false">IF($A1006="","",Payroll!U1006)</f>
        <v/>
      </c>
      <c r="C1006" s="24" t="str">
        <f aca="false">IF($A1006="","",Payroll!S1006)</f>
        <v/>
      </c>
      <c r="D1006" s="24" t="str">
        <f aca="false">IF($A1006="","",SUBSTITUTE(Payroll!T1006," ",""))</f>
        <v/>
      </c>
      <c r="E1006" s="24" t="str">
        <f aca="false">IF($A1006="","",TEXT(Settings!$B$8,"yyyy-mm-dd"))</f>
        <v/>
      </c>
      <c r="F1006" s="24" t="str">
        <f aca="false">IF($A1006="","",TEXT(Settings!$B$9,"yyyy-mm-dd"))</f>
        <v/>
      </c>
      <c r="G1006" s="24" t="str">
        <f aca="false">IF($A1006="","",DAY(Settings!$B$9))</f>
        <v/>
      </c>
      <c r="H1006" s="26" t="str">
        <f aca="false">IF($A1006="","",ROUND(Payroll!R1006-Payroll!L1006-Payroll!M1006,2))</f>
        <v/>
      </c>
      <c r="I1006" s="26" t="str">
        <f aca="false">IF($A1006="","",ROUND(Payroll!L1006+Payroll!M1006,2))</f>
        <v/>
      </c>
      <c r="J1006" s="24" t="str">
        <f aca="false">IF($A1006="","",0)</f>
        <v/>
      </c>
    </row>
    <row r="1007" customFormat="false" ht="15" hidden="false" customHeight="false" outlineLevel="0" collapsed="false">
      <c r="A1007" s="24" t="str">
        <f aca="false">IF(AND(Payroll!$A1007&lt;&gt;"",N(Payroll!$R1007)&gt;0),"EDR","")</f>
        <v/>
      </c>
      <c r="B1007" s="24" t="str">
        <f aca="false">IF($A1007="","",Payroll!U1007)</f>
        <v/>
      </c>
      <c r="C1007" s="24" t="str">
        <f aca="false">IF($A1007="","",Payroll!S1007)</f>
        <v/>
      </c>
      <c r="D1007" s="24" t="str">
        <f aca="false">IF($A1007="","",SUBSTITUTE(Payroll!T1007," ",""))</f>
        <v/>
      </c>
      <c r="E1007" s="24" t="str">
        <f aca="false">IF($A1007="","",TEXT(Settings!$B$8,"yyyy-mm-dd"))</f>
        <v/>
      </c>
      <c r="F1007" s="24" t="str">
        <f aca="false">IF($A1007="","",TEXT(Settings!$B$9,"yyyy-mm-dd"))</f>
        <v/>
      </c>
      <c r="G1007" s="24" t="str">
        <f aca="false">IF($A1007="","",DAY(Settings!$B$9))</f>
        <v/>
      </c>
      <c r="H1007" s="26" t="str">
        <f aca="false">IF($A1007="","",ROUND(Payroll!R1007-Payroll!L1007-Payroll!M1007,2))</f>
        <v/>
      </c>
      <c r="I1007" s="26" t="str">
        <f aca="false">IF($A1007="","",ROUND(Payroll!L1007+Payroll!M1007,2))</f>
        <v/>
      </c>
      <c r="J1007" s="24" t="str">
        <f aca="false">IF($A1007="","",0)</f>
        <v/>
      </c>
    </row>
    <row r="1008" customFormat="false" ht="15" hidden="false" customHeight="false" outlineLevel="0" collapsed="false">
      <c r="A1008" s="24" t="str">
        <f aca="false">IF(AND(Payroll!$A1008&lt;&gt;"",N(Payroll!$R1008)&gt;0),"EDR","")</f>
        <v/>
      </c>
      <c r="B1008" s="24" t="str">
        <f aca="false">IF($A1008="","",Payroll!U1008)</f>
        <v/>
      </c>
      <c r="C1008" s="24" t="str">
        <f aca="false">IF($A1008="","",Payroll!S1008)</f>
        <v/>
      </c>
      <c r="D1008" s="24" t="str">
        <f aca="false">IF($A1008="","",SUBSTITUTE(Payroll!T1008," ",""))</f>
        <v/>
      </c>
      <c r="E1008" s="24" t="str">
        <f aca="false">IF($A1008="","",TEXT(Settings!$B$8,"yyyy-mm-dd"))</f>
        <v/>
      </c>
      <c r="F1008" s="24" t="str">
        <f aca="false">IF($A1008="","",TEXT(Settings!$B$9,"yyyy-mm-dd"))</f>
        <v/>
      </c>
      <c r="G1008" s="24" t="str">
        <f aca="false">IF($A1008="","",DAY(Settings!$B$9))</f>
        <v/>
      </c>
      <c r="H1008" s="26" t="str">
        <f aca="false">IF($A1008="","",ROUND(Payroll!R1008-Payroll!L1008-Payroll!M1008,2))</f>
        <v/>
      </c>
      <c r="I1008" s="26" t="str">
        <f aca="false">IF($A1008="","",ROUND(Payroll!L1008+Payroll!M1008,2))</f>
        <v/>
      </c>
      <c r="J1008" s="24" t="str">
        <f aca="false">IF($A1008="","",0)</f>
        <v/>
      </c>
    </row>
    <row r="1009" customFormat="false" ht="15" hidden="false" customHeight="false" outlineLevel="0" collapsed="false">
      <c r="A1009" s="24" t="str">
        <f aca="false">IF(AND(Payroll!$A1009&lt;&gt;"",N(Payroll!$R1009)&gt;0),"EDR","")</f>
        <v/>
      </c>
      <c r="B1009" s="24" t="str">
        <f aca="false">IF($A1009="","",Payroll!U1009)</f>
        <v/>
      </c>
      <c r="C1009" s="24" t="str">
        <f aca="false">IF($A1009="","",Payroll!S1009)</f>
        <v/>
      </c>
      <c r="D1009" s="24" t="str">
        <f aca="false">IF($A1009="","",SUBSTITUTE(Payroll!T1009," ",""))</f>
        <v/>
      </c>
      <c r="E1009" s="24" t="str">
        <f aca="false">IF($A1009="","",TEXT(Settings!$B$8,"yyyy-mm-dd"))</f>
        <v/>
      </c>
      <c r="F1009" s="24" t="str">
        <f aca="false">IF($A1009="","",TEXT(Settings!$B$9,"yyyy-mm-dd"))</f>
        <v/>
      </c>
      <c r="G1009" s="24" t="str">
        <f aca="false">IF($A1009="","",DAY(Settings!$B$9))</f>
        <v/>
      </c>
      <c r="H1009" s="26" t="str">
        <f aca="false">IF($A1009="","",ROUND(Payroll!R1009-Payroll!L1009-Payroll!M1009,2))</f>
        <v/>
      </c>
      <c r="I1009" s="26" t="str">
        <f aca="false">IF($A1009="","",ROUND(Payroll!L1009+Payroll!M1009,2))</f>
        <v/>
      </c>
      <c r="J1009" s="24" t="str">
        <f aca="false">IF($A1009="","",0)</f>
        <v/>
      </c>
    </row>
    <row r="1010" customFormat="false" ht="15" hidden="false" customHeight="false" outlineLevel="0" collapsed="false">
      <c r="A1010" s="24" t="str">
        <f aca="false">IF(AND(Payroll!$A1010&lt;&gt;"",N(Payroll!$R1010)&gt;0),"EDR","")</f>
        <v/>
      </c>
      <c r="B1010" s="24" t="str">
        <f aca="false">IF($A1010="","",Payroll!U1010)</f>
        <v/>
      </c>
      <c r="C1010" s="24" t="str">
        <f aca="false">IF($A1010="","",Payroll!S1010)</f>
        <v/>
      </c>
      <c r="D1010" s="24" t="str">
        <f aca="false">IF($A1010="","",SUBSTITUTE(Payroll!T1010," ",""))</f>
        <v/>
      </c>
      <c r="E1010" s="24" t="str">
        <f aca="false">IF($A1010="","",TEXT(Settings!$B$8,"yyyy-mm-dd"))</f>
        <v/>
      </c>
      <c r="F1010" s="24" t="str">
        <f aca="false">IF($A1010="","",TEXT(Settings!$B$9,"yyyy-mm-dd"))</f>
        <v/>
      </c>
      <c r="G1010" s="24" t="str">
        <f aca="false">IF($A1010="","",DAY(Settings!$B$9))</f>
        <v/>
      </c>
      <c r="H1010" s="26" t="str">
        <f aca="false">IF($A1010="","",ROUND(Payroll!R1010-Payroll!L1010-Payroll!M1010,2))</f>
        <v/>
      </c>
      <c r="I1010" s="26" t="str">
        <f aca="false">IF($A1010="","",ROUND(Payroll!L1010+Payroll!M1010,2))</f>
        <v/>
      </c>
      <c r="J1010" s="24" t="str">
        <f aca="false">IF($A1010="","",0)</f>
        <v/>
      </c>
    </row>
    <row r="1011" customFormat="false" ht="15" hidden="false" customHeight="false" outlineLevel="0" collapsed="false">
      <c r="A1011" s="24" t="str">
        <f aca="false">IF(AND(Payroll!$A1011&lt;&gt;"",N(Payroll!$R1011)&gt;0),"EDR","")</f>
        <v/>
      </c>
      <c r="B1011" s="24" t="str">
        <f aca="false">IF($A1011="","",Payroll!U1011)</f>
        <v/>
      </c>
      <c r="C1011" s="24" t="str">
        <f aca="false">IF($A1011="","",Payroll!S1011)</f>
        <v/>
      </c>
      <c r="D1011" s="24" t="str">
        <f aca="false">IF($A1011="","",SUBSTITUTE(Payroll!T1011," ",""))</f>
        <v/>
      </c>
      <c r="E1011" s="24" t="str">
        <f aca="false">IF($A1011="","",TEXT(Settings!$B$8,"yyyy-mm-dd"))</f>
        <v/>
      </c>
      <c r="F1011" s="24" t="str">
        <f aca="false">IF($A1011="","",TEXT(Settings!$B$9,"yyyy-mm-dd"))</f>
        <v/>
      </c>
      <c r="G1011" s="24" t="str">
        <f aca="false">IF($A1011="","",DAY(Settings!$B$9))</f>
        <v/>
      </c>
      <c r="H1011" s="26" t="str">
        <f aca="false">IF($A1011="","",ROUND(Payroll!R1011-Payroll!L1011-Payroll!M1011,2))</f>
        <v/>
      </c>
      <c r="I1011" s="26" t="str">
        <f aca="false">IF($A1011="","",ROUND(Payroll!L1011+Payroll!M1011,2))</f>
        <v/>
      </c>
      <c r="J1011" s="24" t="str">
        <f aca="false">IF($A1011="","",0)</f>
        <v/>
      </c>
    </row>
    <row r="1012" customFormat="false" ht="15" hidden="false" customHeight="false" outlineLevel="0" collapsed="false">
      <c r="A1012" s="24" t="str">
        <f aca="false">IF(AND(Payroll!$A1012&lt;&gt;"",N(Payroll!$R1012)&gt;0),"EDR","")</f>
        <v/>
      </c>
      <c r="B1012" s="24" t="str">
        <f aca="false">IF($A1012="","",Payroll!U1012)</f>
        <v/>
      </c>
      <c r="C1012" s="24" t="str">
        <f aca="false">IF($A1012="","",Payroll!S1012)</f>
        <v/>
      </c>
      <c r="D1012" s="24" t="str">
        <f aca="false">IF($A1012="","",SUBSTITUTE(Payroll!T1012," ",""))</f>
        <v/>
      </c>
      <c r="E1012" s="24" t="str">
        <f aca="false">IF($A1012="","",TEXT(Settings!$B$8,"yyyy-mm-dd"))</f>
        <v/>
      </c>
      <c r="F1012" s="24" t="str">
        <f aca="false">IF($A1012="","",TEXT(Settings!$B$9,"yyyy-mm-dd"))</f>
        <v/>
      </c>
      <c r="G1012" s="24" t="str">
        <f aca="false">IF($A1012="","",DAY(Settings!$B$9))</f>
        <v/>
      </c>
      <c r="H1012" s="26" t="str">
        <f aca="false">IF($A1012="","",ROUND(Payroll!R1012-Payroll!L1012-Payroll!M1012,2))</f>
        <v/>
      </c>
      <c r="I1012" s="26" t="str">
        <f aca="false">IF($A1012="","",ROUND(Payroll!L1012+Payroll!M1012,2))</f>
        <v/>
      </c>
      <c r="J1012" s="24" t="str">
        <f aca="false">IF($A1012="","",0)</f>
        <v/>
      </c>
    </row>
    <row r="1013" customFormat="false" ht="15" hidden="false" customHeight="false" outlineLevel="0" collapsed="false">
      <c r="A1013" s="24" t="str">
        <f aca="false">IF(AND(Payroll!$A1013&lt;&gt;"",N(Payroll!$R1013)&gt;0),"EDR","")</f>
        <v/>
      </c>
      <c r="B1013" s="24" t="str">
        <f aca="false">IF($A1013="","",Payroll!U1013)</f>
        <v/>
      </c>
      <c r="C1013" s="24" t="str">
        <f aca="false">IF($A1013="","",Payroll!S1013)</f>
        <v/>
      </c>
      <c r="D1013" s="24" t="str">
        <f aca="false">IF($A1013="","",SUBSTITUTE(Payroll!T1013," ",""))</f>
        <v/>
      </c>
      <c r="E1013" s="24" t="str">
        <f aca="false">IF($A1013="","",TEXT(Settings!$B$8,"yyyy-mm-dd"))</f>
        <v/>
      </c>
      <c r="F1013" s="24" t="str">
        <f aca="false">IF($A1013="","",TEXT(Settings!$B$9,"yyyy-mm-dd"))</f>
        <v/>
      </c>
      <c r="G1013" s="24" t="str">
        <f aca="false">IF($A1013="","",DAY(Settings!$B$9))</f>
        <v/>
      </c>
      <c r="H1013" s="26" t="str">
        <f aca="false">IF($A1013="","",ROUND(Payroll!R1013-Payroll!L1013-Payroll!M1013,2))</f>
        <v/>
      </c>
      <c r="I1013" s="26" t="str">
        <f aca="false">IF($A1013="","",ROUND(Payroll!L1013+Payroll!M1013,2))</f>
        <v/>
      </c>
      <c r="J1013" s="24" t="str">
        <f aca="false">IF($A1013="","",0)</f>
        <v/>
      </c>
    </row>
    <row r="1014" customFormat="false" ht="15" hidden="false" customHeight="false" outlineLevel="0" collapsed="false">
      <c r="A1014" s="24" t="str">
        <f aca="false">IF(AND(Payroll!$A1014&lt;&gt;"",N(Payroll!$R1014)&gt;0),"EDR","")</f>
        <v/>
      </c>
      <c r="B1014" s="24" t="str">
        <f aca="false">IF($A1014="","",Payroll!U1014)</f>
        <v/>
      </c>
      <c r="C1014" s="24" t="str">
        <f aca="false">IF($A1014="","",Payroll!S1014)</f>
        <v/>
      </c>
      <c r="D1014" s="24" t="str">
        <f aca="false">IF($A1014="","",SUBSTITUTE(Payroll!T1014," ",""))</f>
        <v/>
      </c>
      <c r="E1014" s="24" t="str">
        <f aca="false">IF($A1014="","",TEXT(Settings!$B$8,"yyyy-mm-dd"))</f>
        <v/>
      </c>
      <c r="F1014" s="24" t="str">
        <f aca="false">IF($A1014="","",TEXT(Settings!$B$9,"yyyy-mm-dd"))</f>
        <v/>
      </c>
      <c r="G1014" s="24" t="str">
        <f aca="false">IF($A1014="","",DAY(Settings!$B$9))</f>
        <v/>
      </c>
      <c r="H1014" s="26" t="str">
        <f aca="false">IF($A1014="","",ROUND(Payroll!R1014-Payroll!L1014-Payroll!M1014,2))</f>
        <v/>
      </c>
      <c r="I1014" s="26" t="str">
        <f aca="false">IF($A1014="","",ROUND(Payroll!L1014+Payroll!M1014,2))</f>
        <v/>
      </c>
      <c r="J1014" s="24" t="str">
        <f aca="false">IF($A1014="","",0)</f>
        <v/>
      </c>
    </row>
    <row r="1015" customFormat="false" ht="15" hidden="false" customHeight="false" outlineLevel="0" collapsed="false">
      <c r="A1015" s="24" t="str">
        <f aca="false">IF(AND(Payroll!$A1015&lt;&gt;"",N(Payroll!$R1015)&gt;0),"EDR","")</f>
        <v/>
      </c>
      <c r="B1015" s="24" t="str">
        <f aca="false">IF($A1015="","",Payroll!U1015)</f>
        <v/>
      </c>
      <c r="C1015" s="24" t="str">
        <f aca="false">IF($A1015="","",Payroll!S1015)</f>
        <v/>
      </c>
      <c r="D1015" s="24" t="str">
        <f aca="false">IF($A1015="","",SUBSTITUTE(Payroll!T1015," ",""))</f>
        <v/>
      </c>
      <c r="E1015" s="24" t="str">
        <f aca="false">IF($A1015="","",TEXT(Settings!$B$8,"yyyy-mm-dd"))</f>
        <v/>
      </c>
      <c r="F1015" s="24" t="str">
        <f aca="false">IF($A1015="","",TEXT(Settings!$B$9,"yyyy-mm-dd"))</f>
        <v/>
      </c>
      <c r="G1015" s="24" t="str">
        <f aca="false">IF($A1015="","",DAY(Settings!$B$9))</f>
        <v/>
      </c>
      <c r="H1015" s="26" t="str">
        <f aca="false">IF($A1015="","",ROUND(Payroll!R1015-Payroll!L1015-Payroll!M1015,2))</f>
        <v/>
      </c>
      <c r="I1015" s="26" t="str">
        <f aca="false">IF($A1015="","",ROUND(Payroll!L1015+Payroll!M1015,2))</f>
        <v/>
      </c>
      <c r="J1015" s="24" t="str">
        <f aca="false">IF($A1015="","",0)</f>
        <v/>
      </c>
    </row>
    <row r="1016" customFormat="false" ht="15" hidden="false" customHeight="false" outlineLevel="0" collapsed="false">
      <c r="A1016" s="24" t="str">
        <f aca="false">IF(AND(Payroll!$A1016&lt;&gt;"",N(Payroll!$R1016)&gt;0),"EDR","")</f>
        <v/>
      </c>
      <c r="B1016" s="24" t="str">
        <f aca="false">IF($A1016="","",Payroll!U1016)</f>
        <v/>
      </c>
      <c r="C1016" s="24" t="str">
        <f aca="false">IF($A1016="","",Payroll!S1016)</f>
        <v/>
      </c>
      <c r="D1016" s="24" t="str">
        <f aca="false">IF($A1016="","",SUBSTITUTE(Payroll!T1016," ",""))</f>
        <v/>
      </c>
      <c r="E1016" s="24" t="str">
        <f aca="false">IF($A1016="","",TEXT(Settings!$B$8,"yyyy-mm-dd"))</f>
        <v/>
      </c>
      <c r="F1016" s="24" t="str">
        <f aca="false">IF($A1016="","",TEXT(Settings!$B$9,"yyyy-mm-dd"))</f>
        <v/>
      </c>
      <c r="G1016" s="24" t="str">
        <f aca="false">IF($A1016="","",DAY(Settings!$B$9))</f>
        <v/>
      </c>
      <c r="H1016" s="26" t="str">
        <f aca="false">IF($A1016="","",ROUND(Payroll!R1016-Payroll!L1016-Payroll!M1016,2))</f>
        <v/>
      </c>
      <c r="I1016" s="26" t="str">
        <f aca="false">IF($A1016="","",ROUND(Payroll!L1016+Payroll!M1016,2))</f>
        <v/>
      </c>
      <c r="J1016" s="24" t="str">
        <f aca="false">IF($A1016="","",0)</f>
        <v/>
      </c>
    </row>
    <row r="1017" customFormat="false" ht="15" hidden="false" customHeight="false" outlineLevel="0" collapsed="false">
      <c r="A1017" s="24" t="str">
        <f aca="false">IF(AND(Payroll!$A1017&lt;&gt;"",N(Payroll!$R1017)&gt;0),"EDR","")</f>
        <v/>
      </c>
      <c r="B1017" s="24" t="str">
        <f aca="false">IF($A1017="","",Payroll!U1017)</f>
        <v/>
      </c>
      <c r="C1017" s="24" t="str">
        <f aca="false">IF($A1017="","",Payroll!S1017)</f>
        <v/>
      </c>
      <c r="D1017" s="24" t="str">
        <f aca="false">IF($A1017="","",SUBSTITUTE(Payroll!T1017," ",""))</f>
        <v/>
      </c>
      <c r="E1017" s="24" t="str">
        <f aca="false">IF($A1017="","",TEXT(Settings!$B$8,"yyyy-mm-dd"))</f>
        <v/>
      </c>
      <c r="F1017" s="24" t="str">
        <f aca="false">IF($A1017="","",TEXT(Settings!$B$9,"yyyy-mm-dd"))</f>
        <v/>
      </c>
      <c r="G1017" s="24" t="str">
        <f aca="false">IF($A1017="","",DAY(Settings!$B$9))</f>
        <v/>
      </c>
      <c r="H1017" s="26" t="str">
        <f aca="false">IF($A1017="","",ROUND(Payroll!R1017-Payroll!L1017-Payroll!M1017,2))</f>
        <v/>
      </c>
      <c r="I1017" s="26" t="str">
        <f aca="false">IF($A1017="","",ROUND(Payroll!L1017+Payroll!M1017,2))</f>
        <v/>
      </c>
      <c r="J1017" s="24" t="str">
        <f aca="false">IF($A1017="","",0)</f>
        <v/>
      </c>
    </row>
    <row r="1018" customFormat="false" ht="15" hidden="false" customHeight="false" outlineLevel="0" collapsed="false">
      <c r="A1018" s="24" t="str">
        <f aca="false">IF(AND(Payroll!$A1018&lt;&gt;"",N(Payroll!$R1018)&gt;0),"EDR","")</f>
        <v/>
      </c>
      <c r="B1018" s="24" t="str">
        <f aca="false">IF($A1018="","",Payroll!U1018)</f>
        <v/>
      </c>
      <c r="C1018" s="24" t="str">
        <f aca="false">IF($A1018="","",Payroll!S1018)</f>
        <v/>
      </c>
      <c r="D1018" s="24" t="str">
        <f aca="false">IF($A1018="","",SUBSTITUTE(Payroll!T1018," ",""))</f>
        <v/>
      </c>
      <c r="E1018" s="24" t="str">
        <f aca="false">IF($A1018="","",TEXT(Settings!$B$8,"yyyy-mm-dd"))</f>
        <v/>
      </c>
      <c r="F1018" s="24" t="str">
        <f aca="false">IF($A1018="","",TEXT(Settings!$B$9,"yyyy-mm-dd"))</f>
        <v/>
      </c>
      <c r="G1018" s="24" t="str">
        <f aca="false">IF($A1018="","",DAY(Settings!$B$9))</f>
        <v/>
      </c>
      <c r="H1018" s="26" t="str">
        <f aca="false">IF($A1018="","",ROUND(Payroll!R1018-Payroll!L1018-Payroll!M1018,2))</f>
        <v/>
      </c>
      <c r="I1018" s="26" t="str">
        <f aca="false">IF($A1018="","",ROUND(Payroll!L1018+Payroll!M1018,2))</f>
        <v/>
      </c>
      <c r="J1018" s="24" t="str">
        <f aca="false">IF($A1018="","",0)</f>
        <v/>
      </c>
    </row>
    <row r="1019" customFormat="false" ht="15" hidden="false" customHeight="false" outlineLevel="0" collapsed="false">
      <c r="A1019" s="24" t="str">
        <f aca="false">IF(AND(Payroll!$A1019&lt;&gt;"",N(Payroll!$R1019)&gt;0),"EDR","")</f>
        <v/>
      </c>
      <c r="B1019" s="24" t="str">
        <f aca="false">IF($A1019="","",Payroll!U1019)</f>
        <v/>
      </c>
      <c r="C1019" s="24" t="str">
        <f aca="false">IF($A1019="","",Payroll!S1019)</f>
        <v/>
      </c>
      <c r="D1019" s="24" t="str">
        <f aca="false">IF($A1019="","",SUBSTITUTE(Payroll!T1019," ",""))</f>
        <v/>
      </c>
      <c r="E1019" s="24" t="str">
        <f aca="false">IF($A1019="","",TEXT(Settings!$B$8,"yyyy-mm-dd"))</f>
        <v/>
      </c>
      <c r="F1019" s="24" t="str">
        <f aca="false">IF($A1019="","",TEXT(Settings!$B$9,"yyyy-mm-dd"))</f>
        <v/>
      </c>
      <c r="G1019" s="24" t="str">
        <f aca="false">IF($A1019="","",DAY(Settings!$B$9))</f>
        <v/>
      </c>
      <c r="H1019" s="26" t="str">
        <f aca="false">IF($A1019="","",ROUND(Payroll!R1019-Payroll!L1019-Payroll!M1019,2))</f>
        <v/>
      </c>
      <c r="I1019" s="26" t="str">
        <f aca="false">IF($A1019="","",ROUND(Payroll!L1019+Payroll!M1019,2))</f>
        <v/>
      </c>
      <c r="J1019" s="24" t="str">
        <f aca="false">IF($A1019="","",0)</f>
        <v/>
      </c>
    </row>
    <row r="1020" customFormat="false" ht="15" hidden="false" customHeight="false" outlineLevel="0" collapsed="false">
      <c r="A1020" s="24" t="str">
        <f aca="false">IF(AND(Payroll!$A1020&lt;&gt;"",N(Payroll!$R1020)&gt;0),"EDR","")</f>
        <v/>
      </c>
      <c r="B1020" s="24" t="str">
        <f aca="false">IF($A1020="","",Payroll!U1020)</f>
        <v/>
      </c>
      <c r="C1020" s="24" t="str">
        <f aca="false">IF($A1020="","",Payroll!S1020)</f>
        <v/>
      </c>
      <c r="D1020" s="24" t="str">
        <f aca="false">IF($A1020="","",SUBSTITUTE(Payroll!T1020," ",""))</f>
        <v/>
      </c>
      <c r="E1020" s="24" t="str">
        <f aca="false">IF($A1020="","",TEXT(Settings!$B$8,"yyyy-mm-dd"))</f>
        <v/>
      </c>
      <c r="F1020" s="24" t="str">
        <f aca="false">IF($A1020="","",TEXT(Settings!$B$9,"yyyy-mm-dd"))</f>
        <v/>
      </c>
      <c r="G1020" s="24" t="str">
        <f aca="false">IF($A1020="","",DAY(Settings!$B$9))</f>
        <v/>
      </c>
      <c r="H1020" s="26" t="str">
        <f aca="false">IF($A1020="","",ROUND(Payroll!R1020-Payroll!L1020-Payroll!M1020,2))</f>
        <v/>
      </c>
      <c r="I1020" s="26" t="str">
        <f aca="false">IF($A1020="","",ROUND(Payroll!L1020+Payroll!M1020,2))</f>
        <v/>
      </c>
      <c r="J1020" s="24" t="str">
        <f aca="false">IF($A1020="","",0)</f>
        <v/>
      </c>
    </row>
    <row r="1021" customFormat="false" ht="15" hidden="false" customHeight="false" outlineLevel="0" collapsed="false">
      <c r="A1021" s="24" t="str">
        <f aca="false">IF(AND(Payroll!$A1021&lt;&gt;"",N(Payroll!$R1021)&gt;0),"EDR","")</f>
        <v/>
      </c>
      <c r="B1021" s="24" t="str">
        <f aca="false">IF($A1021="","",Payroll!U1021)</f>
        <v/>
      </c>
      <c r="C1021" s="24" t="str">
        <f aca="false">IF($A1021="","",Payroll!S1021)</f>
        <v/>
      </c>
      <c r="D1021" s="24" t="str">
        <f aca="false">IF($A1021="","",SUBSTITUTE(Payroll!T1021," ",""))</f>
        <v/>
      </c>
      <c r="E1021" s="24" t="str">
        <f aca="false">IF($A1021="","",TEXT(Settings!$B$8,"yyyy-mm-dd"))</f>
        <v/>
      </c>
      <c r="F1021" s="24" t="str">
        <f aca="false">IF($A1021="","",TEXT(Settings!$B$9,"yyyy-mm-dd"))</f>
        <v/>
      </c>
      <c r="G1021" s="24" t="str">
        <f aca="false">IF($A1021="","",DAY(Settings!$B$9))</f>
        <v/>
      </c>
      <c r="H1021" s="26" t="str">
        <f aca="false">IF($A1021="","",ROUND(Payroll!R1021-Payroll!L1021-Payroll!M1021,2))</f>
        <v/>
      </c>
      <c r="I1021" s="26" t="str">
        <f aca="false">IF($A1021="","",ROUND(Payroll!L1021+Payroll!M1021,2))</f>
        <v/>
      </c>
      <c r="J1021" s="24" t="str">
        <f aca="false">IF($A1021="","",0)</f>
        <v/>
      </c>
    </row>
    <row r="1022" customFormat="false" ht="15" hidden="false" customHeight="false" outlineLevel="0" collapsed="false">
      <c r="A1022" s="24" t="str">
        <f aca="false">IF(AND(Payroll!$A1022&lt;&gt;"",N(Payroll!$R1022)&gt;0),"EDR","")</f>
        <v/>
      </c>
      <c r="B1022" s="24" t="str">
        <f aca="false">IF($A1022="","",Payroll!U1022)</f>
        <v/>
      </c>
      <c r="C1022" s="24" t="str">
        <f aca="false">IF($A1022="","",Payroll!S1022)</f>
        <v/>
      </c>
      <c r="D1022" s="24" t="str">
        <f aca="false">IF($A1022="","",SUBSTITUTE(Payroll!T1022," ",""))</f>
        <v/>
      </c>
      <c r="E1022" s="24" t="str">
        <f aca="false">IF($A1022="","",TEXT(Settings!$B$8,"yyyy-mm-dd"))</f>
        <v/>
      </c>
      <c r="F1022" s="24" t="str">
        <f aca="false">IF($A1022="","",TEXT(Settings!$B$9,"yyyy-mm-dd"))</f>
        <v/>
      </c>
      <c r="G1022" s="24" t="str">
        <f aca="false">IF($A1022="","",DAY(Settings!$B$9))</f>
        <v/>
      </c>
      <c r="H1022" s="26" t="str">
        <f aca="false">IF($A1022="","",ROUND(Payroll!R1022-Payroll!L1022-Payroll!M1022,2))</f>
        <v/>
      </c>
      <c r="I1022" s="26" t="str">
        <f aca="false">IF($A1022="","",ROUND(Payroll!L1022+Payroll!M1022,2))</f>
        <v/>
      </c>
      <c r="J1022" s="24" t="str">
        <f aca="false">IF($A1022="","",0)</f>
        <v/>
      </c>
    </row>
    <row r="1023" customFormat="false" ht="15" hidden="false" customHeight="false" outlineLevel="0" collapsed="false">
      <c r="A1023" s="24" t="str">
        <f aca="false">IF(AND(Payroll!$A1023&lt;&gt;"",N(Payroll!$R1023)&gt;0),"EDR","")</f>
        <v/>
      </c>
      <c r="B1023" s="24" t="str">
        <f aca="false">IF($A1023="","",Payroll!U1023)</f>
        <v/>
      </c>
      <c r="C1023" s="24" t="str">
        <f aca="false">IF($A1023="","",Payroll!S1023)</f>
        <v/>
      </c>
      <c r="D1023" s="24" t="str">
        <f aca="false">IF($A1023="","",SUBSTITUTE(Payroll!T1023," ",""))</f>
        <v/>
      </c>
      <c r="E1023" s="24" t="str">
        <f aca="false">IF($A1023="","",TEXT(Settings!$B$8,"yyyy-mm-dd"))</f>
        <v/>
      </c>
      <c r="F1023" s="24" t="str">
        <f aca="false">IF($A1023="","",TEXT(Settings!$B$9,"yyyy-mm-dd"))</f>
        <v/>
      </c>
      <c r="G1023" s="24" t="str">
        <f aca="false">IF($A1023="","",DAY(Settings!$B$9))</f>
        <v/>
      </c>
      <c r="H1023" s="26" t="str">
        <f aca="false">IF($A1023="","",ROUND(Payroll!R1023-Payroll!L1023-Payroll!M1023,2))</f>
        <v/>
      </c>
      <c r="I1023" s="26" t="str">
        <f aca="false">IF($A1023="","",ROUND(Payroll!L1023+Payroll!M1023,2))</f>
        <v/>
      </c>
      <c r="J1023" s="24" t="str">
        <f aca="false">IF($A1023="","",0)</f>
        <v/>
      </c>
    </row>
    <row r="1024" customFormat="false" ht="15" hidden="false" customHeight="false" outlineLevel="0" collapsed="false">
      <c r="A1024" s="24" t="str">
        <f aca="false">IF(AND(Payroll!$A1024&lt;&gt;"",N(Payroll!$R1024)&gt;0),"EDR","")</f>
        <v/>
      </c>
      <c r="B1024" s="24" t="str">
        <f aca="false">IF($A1024="","",Payroll!U1024)</f>
        <v/>
      </c>
      <c r="C1024" s="24" t="str">
        <f aca="false">IF($A1024="","",Payroll!S1024)</f>
        <v/>
      </c>
      <c r="D1024" s="24" t="str">
        <f aca="false">IF($A1024="","",SUBSTITUTE(Payroll!T1024," ",""))</f>
        <v/>
      </c>
      <c r="E1024" s="24" t="str">
        <f aca="false">IF($A1024="","",TEXT(Settings!$B$8,"yyyy-mm-dd"))</f>
        <v/>
      </c>
      <c r="F1024" s="24" t="str">
        <f aca="false">IF($A1024="","",TEXT(Settings!$B$9,"yyyy-mm-dd"))</f>
        <v/>
      </c>
      <c r="G1024" s="24" t="str">
        <f aca="false">IF($A1024="","",DAY(Settings!$B$9))</f>
        <v/>
      </c>
      <c r="H1024" s="26" t="str">
        <f aca="false">IF($A1024="","",ROUND(Payroll!R1024-Payroll!L1024-Payroll!M1024,2))</f>
        <v/>
      </c>
      <c r="I1024" s="26" t="str">
        <f aca="false">IF($A1024="","",ROUND(Payroll!L1024+Payroll!M1024,2))</f>
        <v/>
      </c>
      <c r="J1024" s="24" t="str">
        <f aca="false">IF($A1024="","",0)</f>
        <v/>
      </c>
    </row>
    <row r="1025" customFormat="false" ht="15" hidden="false" customHeight="false" outlineLevel="0" collapsed="false">
      <c r="A1025" s="24" t="str">
        <f aca="false">IF(AND(Payroll!$A1025&lt;&gt;"",N(Payroll!$R1025)&gt;0),"EDR","")</f>
        <v/>
      </c>
      <c r="B1025" s="24" t="str">
        <f aca="false">IF($A1025="","",Payroll!U1025)</f>
        <v/>
      </c>
      <c r="C1025" s="24" t="str">
        <f aca="false">IF($A1025="","",Payroll!S1025)</f>
        <v/>
      </c>
      <c r="D1025" s="24" t="str">
        <f aca="false">IF($A1025="","",SUBSTITUTE(Payroll!T1025," ",""))</f>
        <v/>
      </c>
      <c r="E1025" s="24" t="str">
        <f aca="false">IF($A1025="","",TEXT(Settings!$B$8,"yyyy-mm-dd"))</f>
        <v/>
      </c>
      <c r="F1025" s="24" t="str">
        <f aca="false">IF($A1025="","",TEXT(Settings!$B$9,"yyyy-mm-dd"))</f>
        <v/>
      </c>
      <c r="G1025" s="24" t="str">
        <f aca="false">IF($A1025="","",DAY(Settings!$B$9))</f>
        <v/>
      </c>
      <c r="H1025" s="26" t="str">
        <f aca="false">IF($A1025="","",ROUND(Payroll!R1025-Payroll!L1025-Payroll!M1025,2))</f>
        <v/>
      </c>
      <c r="I1025" s="26" t="str">
        <f aca="false">IF($A1025="","",ROUND(Payroll!L1025+Payroll!M1025,2))</f>
        <v/>
      </c>
      <c r="J1025" s="24" t="str">
        <f aca="false">IF($A1025="","",0)</f>
        <v/>
      </c>
    </row>
    <row r="1026" customFormat="false" ht="15" hidden="false" customHeight="false" outlineLevel="0" collapsed="false">
      <c r="A1026" s="24" t="str">
        <f aca="false">IF(AND(Payroll!$A1026&lt;&gt;"",N(Payroll!$R1026)&gt;0),"EDR","")</f>
        <v/>
      </c>
      <c r="B1026" s="24" t="str">
        <f aca="false">IF($A1026="","",Payroll!U1026)</f>
        <v/>
      </c>
      <c r="C1026" s="24" t="str">
        <f aca="false">IF($A1026="","",Payroll!S1026)</f>
        <v/>
      </c>
      <c r="D1026" s="24" t="str">
        <f aca="false">IF($A1026="","",SUBSTITUTE(Payroll!T1026," ",""))</f>
        <v/>
      </c>
      <c r="E1026" s="24" t="str">
        <f aca="false">IF($A1026="","",TEXT(Settings!$B$8,"yyyy-mm-dd"))</f>
        <v/>
      </c>
      <c r="F1026" s="24" t="str">
        <f aca="false">IF($A1026="","",TEXT(Settings!$B$9,"yyyy-mm-dd"))</f>
        <v/>
      </c>
      <c r="G1026" s="24" t="str">
        <f aca="false">IF($A1026="","",DAY(Settings!$B$9))</f>
        <v/>
      </c>
      <c r="H1026" s="26" t="str">
        <f aca="false">IF($A1026="","",ROUND(Payroll!R1026-Payroll!L1026-Payroll!M1026,2))</f>
        <v/>
      </c>
      <c r="I1026" s="26" t="str">
        <f aca="false">IF($A1026="","",ROUND(Payroll!L1026+Payroll!M1026,2))</f>
        <v/>
      </c>
      <c r="J1026" s="24" t="str">
        <f aca="false">IF($A1026="","",0)</f>
        <v/>
      </c>
    </row>
    <row r="1027" customFormat="false" ht="15" hidden="false" customHeight="false" outlineLevel="0" collapsed="false">
      <c r="A1027" s="24" t="str">
        <f aca="false">IF(AND(Payroll!$A1027&lt;&gt;"",N(Payroll!$R1027)&gt;0),"EDR","")</f>
        <v/>
      </c>
      <c r="B1027" s="24" t="str">
        <f aca="false">IF($A1027="","",Payroll!U1027)</f>
        <v/>
      </c>
      <c r="C1027" s="24" t="str">
        <f aca="false">IF($A1027="","",Payroll!S1027)</f>
        <v/>
      </c>
      <c r="D1027" s="24" t="str">
        <f aca="false">IF($A1027="","",SUBSTITUTE(Payroll!T1027," ",""))</f>
        <v/>
      </c>
      <c r="E1027" s="24" t="str">
        <f aca="false">IF($A1027="","",TEXT(Settings!$B$8,"yyyy-mm-dd"))</f>
        <v/>
      </c>
      <c r="F1027" s="24" t="str">
        <f aca="false">IF($A1027="","",TEXT(Settings!$B$9,"yyyy-mm-dd"))</f>
        <v/>
      </c>
      <c r="G1027" s="24" t="str">
        <f aca="false">IF($A1027="","",DAY(Settings!$B$9))</f>
        <v/>
      </c>
      <c r="H1027" s="26" t="str">
        <f aca="false">IF($A1027="","",ROUND(Payroll!R1027-Payroll!L1027-Payroll!M1027,2))</f>
        <v/>
      </c>
      <c r="I1027" s="26" t="str">
        <f aca="false">IF($A1027="","",ROUND(Payroll!L1027+Payroll!M1027,2))</f>
        <v/>
      </c>
      <c r="J1027" s="24" t="str">
        <f aca="false">IF($A1027="","",0)</f>
        <v/>
      </c>
    </row>
    <row r="1028" customFormat="false" ht="15" hidden="false" customHeight="false" outlineLevel="0" collapsed="false">
      <c r="A1028" s="24" t="str">
        <f aca="false">IF(AND(Payroll!$A1028&lt;&gt;"",N(Payroll!$R1028)&gt;0),"EDR","")</f>
        <v/>
      </c>
      <c r="B1028" s="24" t="str">
        <f aca="false">IF($A1028="","",Payroll!U1028)</f>
        <v/>
      </c>
      <c r="C1028" s="24" t="str">
        <f aca="false">IF($A1028="","",Payroll!S1028)</f>
        <v/>
      </c>
      <c r="D1028" s="24" t="str">
        <f aca="false">IF($A1028="","",SUBSTITUTE(Payroll!T1028," ",""))</f>
        <v/>
      </c>
      <c r="E1028" s="24" t="str">
        <f aca="false">IF($A1028="","",TEXT(Settings!$B$8,"yyyy-mm-dd"))</f>
        <v/>
      </c>
      <c r="F1028" s="24" t="str">
        <f aca="false">IF($A1028="","",TEXT(Settings!$B$9,"yyyy-mm-dd"))</f>
        <v/>
      </c>
      <c r="G1028" s="24" t="str">
        <f aca="false">IF($A1028="","",DAY(Settings!$B$9))</f>
        <v/>
      </c>
      <c r="H1028" s="26" t="str">
        <f aca="false">IF($A1028="","",ROUND(Payroll!R1028-Payroll!L1028-Payroll!M1028,2))</f>
        <v/>
      </c>
      <c r="I1028" s="26" t="str">
        <f aca="false">IF($A1028="","",ROUND(Payroll!L1028+Payroll!M1028,2))</f>
        <v/>
      </c>
      <c r="J1028" s="24" t="str">
        <f aca="false">IF($A1028="","",0)</f>
        <v/>
      </c>
    </row>
    <row r="1029" customFormat="false" ht="15" hidden="false" customHeight="false" outlineLevel="0" collapsed="false">
      <c r="A1029" s="24" t="str">
        <f aca="false">IF(AND(Payroll!$A1029&lt;&gt;"",N(Payroll!$R1029)&gt;0),"EDR","")</f>
        <v/>
      </c>
      <c r="B1029" s="24" t="str">
        <f aca="false">IF($A1029="","",Payroll!U1029)</f>
        <v/>
      </c>
      <c r="C1029" s="24" t="str">
        <f aca="false">IF($A1029="","",Payroll!S1029)</f>
        <v/>
      </c>
      <c r="D1029" s="24" t="str">
        <f aca="false">IF($A1029="","",SUBSTITUTE(Payroll!T1029," ",""))</f>
        <v/>
      </c>
      <c r="E1029" s="24" t="str">
        <f aca="false">IF($A1029="","",TEXT(Settings!$B$8,"yyyy-mm-dd"))</f>
        <v/>
      </c>
      <c r="F1029" s="24" t="str">
        <f aca="false">IF($A1029="","",TEXT(Settings!$B$9,"yyyy-mm-dd"))</f>
        <v/>
      </c>
      <c r="G1029" s="24" t="str">
        <f aca="false">IF($A1029="","",DAY(Settings!$B$9))</f>
        <v/>
      </c>
      <c r="H1029" s="26" t="str">
        <f aca="false">IF($A1029="","",ROUND(Payroll!R1029-Payroll!L1029-Payroll!M1029,2))</f>
        <v/>
      </c>
      <c r="I1029" s="26" t="str">
        <f aca="false">IF($A1029="","",ROUND(Payroll!L1029+Payroll!M1029,2))</f>
        <v/>
      </c>
      <c r="J1029" s="24" t="str">
        <f aca="false">IF($A1029="","",0)</f>
        <v/>
      </c>
    </row>
    <row r="1030" customFormat="false" ht="15" hidden="false" customHeight="false" outlineLevel="0" collapsed="false">
      <c r="A1030" s="24" t="str">
        <f aca="false">IF(AND(Payroll!$A1030&lt;&gt;"",N(Payroll!$R1030)&gt;0),"EDR","")</f>
        <v/>
      </c>
      <c r="B1030" s="24" t="str">
        <f aca="false">IF($A1030="","",Payroll!U1030)</f>
        <v/>
      </c>
      <c r="C1030" s="24" t="str">
        <f aca="false">IF($A1030="","",Payroll!S1030)</f>
        <v/>
      </c>
      <c r="D1030" s="24" t="str">
        <f aca="false">IF($A1030="","",SUBSTITUTE(Payroll!T1030," ",""))</f>
        <v/>
      </c>
      <c r="E1030" s="24" t="str">
        <f aca="false">IF($A1030="","",TEXT(Settings!$B$8,"yyyy-mm-dd"))</f>
        <v/>
      </c>
      <c r="F1030" s="24" t="str">
        <f aca="false">IF($A1030="","",TEXT(Settings!$B$9,"yyyy-mm-dd"))</f>
        <v/>
      </c>
      <c r="G1030" s="24" t="str">
        <f aca="false">IF($A1030="","",DAY(Settings!$B$9))</f>
        <v/>
      </c>
      <c r="H1030" s="26" t="str">
        <f aca="false">IF($A1030="","",ROUND(Payroll!R1030-Payroll!L1030-Payroll!M1030,2))</f>
        <v/>
      </c>
      <c r="I1030" s="26" t="str">
        <f aca="false">IF($A1030="","",ROUND(Payroll!L1030+Payroll!M1030,2))</f>
        <v/>
      </c>
      <c r="J1030" s="24" t="str">
        <f aca="false">IF($A1030="","",0)</f>
        <v/>
      </c>
    </row>
    <row r="1031" customFormat="false" ht="15" hidden="false" customHeight="false" outlineLevel="0" collapsed="false">
      <c r="A1031" s="24" t="str">
        <f aca="false">IF(AND(Payroll!$A1031&lt;&gt;"",N(Payroll!$R1031)&gt;0),"EDR","")</f>
        <v/>
      </c>
      <c r="B1031" s="24" t="str">
        <f aca="false">IF($A1031="","",Payroll!U1031)</f>
        <v/>
      </c>
      <c r="C1031" s="24" t="str">
        <f aca="false">IF($A1031="","",Payroll!S1031)</f>
        <v/>
      </c>
      <c r="D1031" s="24" t="str">
        <f aca="false">IF($A1031="","",SUBSTITUTE(Payroll!T1031," ",""))</f>
        <v/>
      </c>
      <c r="E1031" s="24" t="str">
        <f aca="false">IF($A1031="","",TEXT(Settings!$B$8,"yyyy-mm-dd"))</f>
        <v/>
      </c>
      <c r="F1031" s="24" t="str">
        <f aca="false">IF($A1031="","",TEXT(Settings!$B$9,"yyyy-mm-dd"))</f>
        <v/>
      </c>
      <c r="G1031" s="24" t="str">
        <f aca="false">IF($A1031="","",DAY(Settings!$B$9))</f>
        <v/>
      </c>
      <c r="H1031" s="26" t="str">
        <f aca="false">IF($A1031="","",ROUND(Payroll!R1031-Payroll!L1031-Payroll!M1031,2))</f>
        <v/>
      </c>
      <c r="I1031" s="26" t="str">
        <f aca="false">IF($A1031="","",ROUND(Payroll!L1031+Payroll!M1031,2))</f>
        <v/>
      </c>
      <c r="J1031" s="24" t="str">
        <f aca="false">IF($A1031="","",0)</f>
        <v/>
      </c>
    </row>
    <row r="1032" customFormat="false" ht="15" hidden="false" customHeight="false" outlineLevel="0" collapsed="false">
      <c r="A1032" s="24" t="str">
        <f aca="false">IF(AND(Payroll!$A1032&lt;&gt;"",N(Payroll!$R1032)&gt;0),"EDR","")</f>
        <v/>
      </c>
      <c r="B1032" s="24" t="str">
        <f aca="false">IF($A1032="","",Payroll!U1032)</f>
        <v/>
      </c>
      <c r="C1032" s="24" t="str">
        <f aca="false">IF($A1032="","",Payroll!S1032)</f>
        <v/>
      </c>
      <c r="D1032" s="24" t="str">
        <f aca="false">IF($A1032="","",SUBSTITUTE(Payroll!T1032," ",""))</f>
        <v/>
      </c>
      <c r="E1032" s="24" t="str">
        <f aca="false">IF($A1032="","",TEXT(Settings!$B$8,"yyyy-mm-dd"))</f>
        <v/>
      </c>
      <c r="F1032" s="24" t="str">
        <f aca="false">IF($A1032="","",TEXT(Settings!$B$9,"yyyy-mm-dd"))</f>
        <v/>
      </c>
      <c r="G1032" s="24" t="str">
        <f aca="false">IF($A1032="","",DAY(Settings!$B$9))</f>
        <v/>
      </c>
      <c r="H1032" s="26" t="str">
        <f aca="false">IF($A1032="","",ROUND(Payroll!R1032-Payroll!L1032-Payroll!M1032,2))</f>
        <v/>
      </c>
      <c r="I1032" s="26" t="str">
        <f aca="false">IF($A1032="","",ROUND(Payroll!L1032+Payroll!M1032,2))</f>
        <v/>
      </c>
      <c r="J1032" s="24" t="str">
        <f aca="false">IF($A1032="","",0)</f>
        <v/>
      </c>
    </row>
    <row r="1033" customFormat="false" ht="15" hidden="false" customHeight="false" outlineLevel="0" collapsed="false">
      <c r="A1033" s="24" t="str">
        <f aca="false">IF(AND(Payroll!$A1033&lt;&gt;"",N(Payroll!$R1033)&gt;0),"EDR","")</f>
        <v/>
      </c>
      <c r="B1033" s="24" t="str">
        <f aca="false">IF($A1033="","",Payroll!U1033)</f>
        <v/>
      </c>
      <c r="C1033" s="24" t="str">
        <f aca="false">IF($A1033="","",Payroll!S1033)</f>
        <v/>
      </c>
      <c r="D1033" s="24" t="str">
        <f aca="false">IF($A1033="","",SUBSTITUTE(Payroll!T1033," ",""))</f>
        <v/>
      </c>
      <c r="E1033" s="24" t="str">
        <f aca="false">IF($A1033="","",TEXT(Settings!$B$8,"yyyy-mm-dd"))</f>
        <v/>
      </c>
      <c r="F1033" s="24" t="str">
        <f aca="false">IF($A1033="","",TEXT(Settings!$B$9,"yyyy-mm-dd"))</f>
        <v/>
      </c>
      <c r="G1033" s="24" t="str">
        <f aca="false">IF($A1033="","",DAY(Settings!$B$9))</f>
        <v/>
      </c>
      <c r="H1033" s="26" t="str">
        <f aca="false">IF($A1033="","",ROUND(Payroll!R1033-Payroll!L1033-Payroll!M1033,2))</f>
        <v/>
      </c>
      <c r="I1033" s="26" t="str">
        <f aca="false">IF($A1033="","",ROUND(Payroll!L1033+Payroll!M1033,2))</f>
        <v/>
      </c>
      <c r="J1033" s="24" t="str">
        <f aca="false">IF($A1033="","",0)</f>
        <v/>
      </c>
    </row>
    <row r="1034" customFormat="false" ht="15" hidden="false" customHeight="false" outlineLevel="0" collapsed="false">
      <c r="A1034" s="24" t="str">
        <f aca="false">IF(AND(Payroll!$A1034&lt;&gt;"",N(Payroll!$R1034)&gt;0),"EDR","")</f>
        <v/>
      </c>
      <c r="B1034" s="24" t="str">
        <f aca="false">IF($A1034="","",Payroll!U1034)</f>
        <v/>
      </c>
      <c r="C1034" s="24" t="str">
        <f aca="false">IF($A1034="","",Payroll!S1034)</f>
        <v/>
      </c>
      <c r="D1034" s="24" t="str">
        <f aca="false">IF($A1034="","",SUBSTITUTE(Payroll!T1034," ",""))</f>
        <v/>
      </c>
      <c r="E1034" s="24" t="str">
        <f aca="false">IF($A1034="","",TEXT(Settings!$B$8,"yyyy-mm-dd"))</f>
        <v/>
      </c>
      <c r="F1034" s="24" t="str">
        <f aca="false">IF($A1034="","",TEXT(Settings!$B$9,"yyyy-mm-dd"))</f>
        <v/>
      </c>
      <c r="G1034" s="24" t="str">
        <f aca="false">IF($A1034="","",DAY(Settings!$B$9))</f>
        <v/>
      </c>
      <c r="H1034" s="26" t="str">
        <f aca="false">IF($A1034="","",ROUND(Payroll!R1034-Payroll!L1034-Payroll!M1034,2))</f>
        <v/>
      </c>
      <c r="I1034" s="26" t="str">
        <f aca="false">IF($A1034="","",ROUND(Payroll!L1034+Payroll!M1034,2))</f>
        <v/>
      </c>
      <c r="J1034" s="24" t="str">
        <f aca="false">IF($A1034="","",0)</f>
        <v/>
      </c>
    </row>
    <row r="1035" customFormat="false" ht="15" hidden="false" customHeight="false" outlineLevel="0" collapsed="false">
      <c r="A1035" s="24" t="str">
        <f aca="false">IF(AND(Payroll!$A1035&lt;&gt;"",N(Payroll!$R1035)&gt;0),"EDR","")</f>
        <v/>
      </c>
      <c r="B1035" s="24" t="str">
        <f aca="false">IF($A1035="","",Payroll!U1035)</f>
        <v/>
      </c>
      <c r="C1035" s="24" t="str">
        <f aca="false">IF($A1035="","",Payroll!S1035)</f>
        <v/>
      </c>
      <c r="D1035" s="24" t="str">
        <f aca="false">IF($A1035="","",SUBSTITUTE(Payroll!T1035," ",""))</f>
        <v/>
      </c>
      <c r="E1035" s="24" t="str">
        <f aca="false">IF($A1035="","",TEXT(Settings!$B$8,"yyyy-mm-dd"))</f>
        <v/>
      </c>
      <c r="F1035" s="24" t="str">
        <f aca="false">IF($A1035="","",TEXT(Settings!$B$9,"yyyy-mm-dd"))</f>
        <v/>
      </c>
      <c r="G1035" s="24" t="str">
        <f aca="false">IF($A1035="","",DAY(Settings!$B$9))</f>
        <v/>
      </c>
      <c r="H1035" s="26" t="str">
        <f aca="false">IF($A1035="","",ROUND(Payroll!R1035-Payroll!L1035-Payroll!M1035,2))</f>
        <v/>
      </c>
      <c r="I1035" s="26" t="str">
        <f aca="false">IF($A1035="","",ROUND(Payroll!L1035+Payroll!M1035,2))</f>
        <v/>
      </c>
      <c r="J1035" s="24" t="str">
        <f aca="false">IF($A1035="","",0)</f>
        <v/>
      </c>
    </row>
    <row r="1036" customFormat="false" ht="15" hidden="false" customHeight="false" outlineLevel="0" collapsed="false">
      <c r="A1036" s="24" t="str">
        <f aca="false">IF(AND(Payroll!$A1036&lt;&gt;"",N(Payroll!$R1036)&gt;0),"EDR","")</f>
        <v/>
      </c>
      <c r="B1036" s="24" t="str">
        <f aca="false">IF($A1036="","",Payroll!U1036)</f>
        <v/>
      </c>
      <c r="C1036" s="24" t="str">
        <f aca="false">IF($A1036="","",Payroll!S1036)</f>
        <v/>
      </c>
      <c r="D1036" s="24" t="str">
        <f aca="false">IF($A1036="","",SUBSTITUTE(Payroll!T1036," ",""))</f>
        <v/>
      </c>
      <c r="E1036" s="24" t="str">
        <f aca="false">IF($A1036="","",TEXT(Settings!$B$8,"yyyy-mm-dd"))</f>
        <v/>
      </c>
      <c r="F1036" s="24" t="str">
        <f aca="false">IF($A1036="","",TEXT(Settings!$B$9,"yyyy-mm-dd"))</f>
        <v/>
      </c>
      <c r="G1036" s="24" t="str">
        <f aca="false">IF($A1036="","",DAY(Settings!$B$9))</f>
        <v/>
      </c>
      <c r="H1036" s="26" t="str">
        <f aca="false">IF($A1036="","",ROUND(Payroll!R1036-Payroll!L1036-Payroll!M1036,2))</f>
        <v/>
      </c>
      <c r="I1036" s="26" t="str">
        <f aca="false">IF($A1036="","",ROUND(Payroll!L1036+Payroll!M1036,2))</f>
        <v/>
      </c>
      <c r="J1036" s="24" t="str">
        <f aca="false">IF($A1036="","",0)</f>
        <v/>
      </c>
    </row>
    <row r="1037" customFormat="false" ht="15" hidden="false" customHeight="false" outlineLevel="0" collapsed="false">
      <c r="A1037" s="24" t="str">
        <f aca="false">IF(AND(Payroll!$A1037&lt;&gt;"",N(Payroll!$R1037)&gt;0),"EDR","")</f>
        <v/>
      </c>
      <c r="B1037" s="24" t="str">
        <f aca="false">IF($A1037="","",Payroll!U1037)</f>
        <v/>
      </c>
      <c r="C1037" s="24" t="str">
        <f aca="false">IF($A1037="","",Payroll!S1037)</f>
        <v/>
      </c>
      <c r="D1037" s="24" t="str">
        <f aca="false">IF($A1037="","",SUBSTITUTE(Payroll!T1037," ",""))</f>
        <v/>
      </c>
      <c r="E1037" s="24" t="str">
        <f aca="false">IF($A1037="","",TEXT(Settings!$B$8,"yyyy-mm-dd"))</f>
        <v/>
      </c>
      <c r="F1037" s="24" t="str">
        <f aca="false">IF($A1037="","",TEXT(Settings!$B$9,"yyyy-mm-dd"))</f>
        <v/>
      </c>
      <c r="G1037" s="24" t="str">
        <f aca="false">IF($A1037="","",DAY(Settings!$B$9))</f>
        <v/>
      </c>
      <c r="H1037" s="26" t="str">
        <f aca="false">IF($A1037="","",ROUND(Payroll!R1037-Payroll!L1037-Payroll!M1037,2))</f>
        <v/>
      </c>
      <c r="I1037" s="26" t="str">
        <f aca="false">IF($A1037="","",ROUND(Payroll!L1037+Payroll!M1037,2))</f>
        <v/>
      </c>
      <c r="J1037" s="24" t="str">
        <f aca="false">IF($A1037="","",0)</f>
        <v/>
      </c>
    </row>
    <row r="1038" customFormat="false" ht="15" hidden="false" customHeight="false" outlineLevel="0" collapsed="false">
      <c r="A1038" s="24" t="str">
        <f aca="false">IF(AND(Payroll!$A1038&lt;&gt;"",N(Payroll!$R1038)&gt;0),"EDR","")</f>
        <v/>
      </c>
      <c r="B1038" s="24" t="str">
        <f aca="false">IF($A1038="","",Payroll!U1038)</f>
        <v/>
      </c>
      <c r="C1038" s="24" t="str">
        <f aca="false">IF($A1038="","",Payroll!S1038)</f>
        <v/>
      </c>
      <c r="D1038" s="24" t="str">
        <f aca="false">IF($A1038="","",SUBSTITUTE(Payroll!T1038," ",""))</f>
        <v/>
      </c>
      <c r="E1038" s="24" t="str">
        <f aca="false">IF($A1038="","",TEXT(Settings!$B$8,"yyyy-mm-dd"))</f>
        <v/>
      </c>
      <c r="F1038" s="24" t="str">
        <f aca="false">IF($A1038="","",TEXT(Settings!$B$9,"yyyy-mm-dd"))</f>
        <v/>
      </c>
      <c r="G1038" s="24" t="str">
        <f aca="false">IF($A1038="","",DAY(Settings!$B$9))</f>
        <v/>
      </c>
      <c r="H1038" s="26" t="str">
        <f aca="false">IF($A1038="","",ROUND(Payroll!R1038-Payroll!L1038-Payroll!M1038,2))</f>
        <v/>
      </c>
      <c r="I1038" s="26" t="str">
        <f aca="false">IF($A1038="","",ROUND(Payroll!L1038+Payroll!M1038,2))</f>
        <v/>
      </c>
      <c r="J1038" s="24" t="str">
        <f aca="false">IF($A1038="","",0)</f>
        <v/>
      </c>
    </row>
    <row r="1039" customFormat="false" ht="15" hidden="false" customHeight="false" outlineLevel="0" collapsed="false">
      <c r="A1039" s="24" t="str">
        <f aca="false">IF(AND(Payroll!$A1039&lt;&gt;"",N(Payroll!$R1039)&gt;0),"EDR","")</f>
        <v/>
      </c>
      <c r="B1039" s="24" t="str">
        <f aca="false">IF($A1039="","",Payroll!U1039)</f>
        <v/>
      </c>
      <c r="C1039" s="24" t="str">
        <f aca="false">IF($A1039="","",Payroll!S1039)</f>
        <v/>
      </c>
      <c r="D1039" s="24" t="str">
        <f aca="false">IF($A1039="","",SUBSTITUTE(Payroll!T1039," ",""))</f>
        <v/>
      </c>
      <c r="E1039" s="24" t="str">
        <f aca="false">IF($A1039="","",TEXT(Settings!$B$8,"yyyy-mm-dd"))</f>
        <v/>
      </c>
      <c r="F1039" s="24" t="str">
        <f aca="false">IF($A1039="","",TEXT(Settings!$B$9,"yyyy-mm-dd"))</f>
        <v/>
      </c>
      <c r="G1039" s="24" t="str">
        <f aca="false">IF($A1039="","",DAY(Settings!$B$9))</f>
        <v/>
      </c>
      <c r="H1039" s="26" t="str">
        <f aca="false">IF($A1039="","",ROUND(Payroll!R1039-Payroll!L1039-Payroll!M1039,2))</f>
        <v/>
      </c>
      <c r="I1039" s="26" t="str">
        <f aca="false">IF($A1039="","",ROUND(Payroll!L1039+Payroll!M1039,2))</f>
        <v/>
      </c>
      <c r="J1039" s="24" t="str">
        <f aca="false">IF($A1039="","",0)</f>
        <v/>
      </c>
    </row>
    <row r="1040" customFormat="false" ht="15" hidden="false" customHeight="false" outlineLevel="0" collapsed="false">
      <c r="A1040" s="24" t="str">
        <f aca="false">IF(AND(Payroll!$A1040&lt;&gt;"",N(Payroll!$R1040)&gt;0),"EDR","")</f>
        <v/>
      </c>
      <c r="B1040" s="24" t="str">
        <f aca="false">IF($A1040="","",Payroll!U1040)</f>
        <v/>
      </c>
      <c r="C1040" s="24" t="str">
        <f aca="false">IF($A1040="","",Payroll!S1040)</f>
        <v/>
      </c>
      <c r="D1040" s="24" t="str">
        <f aca="false">IF($A1040="","",SUBSTITUTE(Payroll!T1040," ",""))</f>
        <v/>
      </c>
      <c r="E1040" s="24" t="str">
        <f aca="false">IF($A1040="","",TEXT(Settings!$B$8,"yyyy-mm-dd"))</f>
        <v/>
      </c>
      <c r="F1040" s="24" t="str">
        <f aca="false">IF($A1040="","",TEXT(Settings!$B$9,"yyyy-mm-dd"))</f>
        <v/>
      </c>
      <c r="G1040" s="24" t="str">
        <f aca="false">IF($A1040="","",DAY(Settings!$B$9))</f>
        <v/>
      </c>
      <c r="H1040" s="26" t="str">
        <f aca="false">IF($A1040="","",ROUND(Payroll!R1040-Payroll!L1040-Payroll!M1040,2))</f>
        <v/>
      </c>
      <c r="I1040" s="26" t="str">
        <f aca="false">IF($A1040="","",ROUND(Payroll!L1040+Payroll!M1040,2))</f>
        <v/>
      </c>
      <c r="J1040" s="24" t="str">
        <f aca="false">IF($A1040="","",0)</f>
        <v/>
      </c>
    </row>
    <row r="1041" customFormat="false" ht="15" hidden="false" customHeight="false" outlineLevel="0" collapsed="false">
      <c r="A1041" s="24" t="str">
        <f aca="false">IF(AND(Payroll!$A1041&lt;&gt;"",N(Payroll!$R1041)&gt;0),"EDR","")</f>
        <v/>
      </c>
      <c r="B1041" s="24" t="str">
        <f aca="false">IF($A1041="","",Payroll!U1041)</f>
        <v/>
      </c>
      <c r="C1041" s="24" t="str">
        <f aca="false">IF($A1041="","",Payroll!S1041)</f>
        <v/>
      </c>
      <c r="D1041" s="24" t="str">
        <f aca="false">IF($A1041="","",SUBSTITUTE(Payroll!T1041," ",""))</f>
        <v/>
      </c>
      <c r="E1041" s="24" t="str">
        <f aca="false">IF($A1041="","",TEXT(Settings!$B$8,"yyyy-mm-dd"))</f>
        <v/>
      </c>
      <c r="F1041" s="24" t="str">
        <f aca="false">IF($A1041="","",TEXT(Settings!$B$9,"yyyy-mm-dd"))</f>
        <v/>
      </c>
      <c r="G1041" s="24" t="str">
        <f aca="false">IF($A1041="","",DAY(Settings!$B$9))</f>
        <v/>
      </c>
      <c r="H1041" s="26" t="str">
        <f aca="false">IF($A1041="","",ROUND(Payroll!R1041-Payroll!L1041-Payroll!M1041,2))</f>
        <v/>
      </c>
      <c r="I1041" s="26" t="str">
        <f aca="false">IF($A1041="","",ROUND(Payroll!L1041+Payroll!M1041,2))</f>
        <v/>
      </c>
      <c r="J1041" s="24" t="str">
        <f aca="false">IF($A1041="","",0)</f>
        <v/>
      </c>
    </row>
    <row r="1042" customFormat="false" ht="15" hidden="false" customHeight="false" outlineLevel="0" collapsed="false">
      <c r="A1042" s="24" t="str">
        <f aca="false">IF(AND(Payroll!$A1042&lt;&gt;"",N(Payroll!$R1042)&gt;0),"EDR","")</f>
        <v/>
      </c>
      <c r="B1042" s="24" t="str">
        <f aca="false">IF($A1042="","",Payroll!U1042)</f>
        <v/>
      </c>
      <c r="C1042" s="24" t="str">
        <f aca="false">IF($A1042="","",Payroll!S1042)</f>
        <v/>
      </c>
      <c r="D1042" s="24" t="str">
        <f aca="false">IF($A1042="","",SUBSTITUTE(Payroll!T1042," ",""))</f>
        <v/>
      </c>
      <c r="E1042" s="24" t="str">
        <f aca="false">IF($A1042="","",TEXT(Settings!$B$8,"yyyy-mm-dd"))</f>
        <v/>
      </c>
      <c r="F1042" s="24" t="str">
        <f aca="false">IF($A1042="","",TEXT(Settings!$B$9,"yyyy-mm-dd"))</f>
        <v/>
      </c>
      <c r="G1042" s="24" t="str">
        <f aca="false">IF($A1042="","",DAY(Settings!$B$9))</f>
        <v/>
      </c>
      <c r="H1042" s="26" t="str">
        <f aca="false">IF($A1042="","",ROUND(Payroll!R1042-Payroll!L1042-Payroll!M1042,2))</f>
        <v/>
      </c>
      <c r="I1042" s="26" t="str">
        <f aca="false">IF($A1042="","",ROUND(Payroll!L1042+Payroll!M1042,2))</f>
        <v/>
      </c>
      <c r="J1042" s="24" t="str">
        <f aca="false">IF($A1042="","",0)</f>
        <v/>
      </c>
    </row>
    <row r="1043" customFormat="false" ht="15" hidden="false" customHeight="false" outlineLevel="0" collapsed="false">
      <c r="A1043" s="24" t="str">
        <f aca="false">IF(AND(Payroll!$A1043&lt;&gt;"",N(Payroll!$R1043)&gt;0),"EDR","")</f>
        <v/>
      </c>
      <c r="B1043" s="24" t="str">
        <f aca="false">IF($A1043="","",Payroll!U1043)</f>
        <v/>
      </c>
      <c r="C1043" s="24" t="str">
        <f aca="false">IF($A1043="","",Payroll!S1043)</f>
        <v/>
      </c>
      <c r="D1043" s="24" t="str">
        <f aca="false">IF($A1043="","",SUBSTITUTE(Payroll!T1043," ",""))</f>
        <v/>
      </c>
      <c r="E1043" s="24" t="str">
        <f aca="false">IF($A1043="","",TEXT(Settings!$B$8,"yyyy-mm-dd"))</f>
        <v/>
      </c>
      <c r="F1043" s="24" t="str">
        <f aca="false">IF($A1043="","",TEXT(Settings!$B$9,"yyyy-mm-dd"))</f>
        <v/>
      </c>
      <c r="G1043" s="24" t="str">
        <f aca="false">IF($A1043="","",DAY(Settings!$B$9))</f>
        <v/>
      </c>
      <c r="H1043" s="26" t="str">
        <f aca="false">IF($A1043="","",ROUND(Payroll!R1043-Payroll!L1043-Payroll!M1043,2))</f>
        <v/>
      </c>
      <c r="I1043" s="26" t="str">
        <f aca="false">IF($A1043="","",ROUND(Payroll!L1043+Payroll!M1043,2))</f>
        <v/>
      </c>
      <c r="J1043" s="24" t="str">
        <f aca="false">IF($A1043="","",0)</f>
        <v/>
      </c>
    </row>
    <row r="1044" customFormat="false" ht="15" hidden="false" customHeight="false" outlineLevel="0" collapsed="false">
      <c r="A1044" s="24" t="str">
        <f aca="false">IF(AND(Payroll!$A1044&lt;&gt;"",N(Payroll!$R1044)&gt;0),"EDR","")</f>
        <v/>
      </c>
      <c r="B1044" s="24" t="str">
        <f aca="false">IF($A1044="","",Payroll!U1044)</f>
        <v/>
      </c>
      <c r="C1044" s="24" t="str">
        <f aca="false">IF($A1044="","",Payroll!S1044)</f>
        <v/>
      </c>
      <c r="D1044" s="24" t="str">
        <f aca="false">IF($A1044="","",SUBSTITUTE(Payroll!T1044," ",""))</f>
        <v/>
      </c>
      <c r="E1044" s="24" t="str">
        <f aca="false">IF($A1044="","",TEXT(Settings!$B$8,"yyyy-mm-dd"))</f>
        <v/>
      </c>
      <c r="F1044" s="24" t="str">
        <f aca="false">IF($A1044="","",TEXT(Settings!$B$9,"yyyy-mm-dd"))</f>
        <v/>
      </c>
      <c r="G1044" s="24" t="str">
        <f aca="false">IF($A1044="","",DAY(Settings!$B$9))</f>
        <v/>
      </c>
      <c r="H1044" s="26" t="str">
        <f aca="false">IF($A1044="","",ROUND(Payroll!R1044-Payroll!L1044-Payroll!M1044,2))</f>
        <v/>
      </c>
      <c r="I1044" s="26" t="str">
        <f aca="false">IF($A1044="","",ROUND(Payroll!L1044+Payroll!M1044,2))</f>
        <v/>
      </c>
      <c r="J1044" s="24" t="str">
        <f aca="false">IF($A1044="","",0)</f>
        <v/>
      </c>
    </row>
    <row r="1045" customFormat="false" ht="15" hidden="false" customHeight="false" outlineLevel="0" collapsed="false">
      <c r="A1045" s="24" t="str">
        <f aca="false">IF(AND(Payroll!$A1045&lt;&gt;"",N(Payroll!$R1045)&gt;0),"EDR","")</f>
        <v/>
      </c>
      <c r="B1045" s="24" t="str">
        <f aca="false">IF($A1045="","",Payroll!U1045)</f>
        <v/>
      </c>
      <c r="C1045" s="24" t="str">
        <f aca="false">IF($A1045="","",Payroll!S1045)</f>
        <v/>
      </c>
      <c r="D1045" s="24" t="str">
        <f aca="false">IF($A1045="","",SUBSTITUTE(Payroll!T1045," ",""))</f>
        <v/>
      </c>
      <c r="E1045" s="24" t="str">
        <f aca="false">IF($A1045="","",TEXT(Settings!$B$8,"yyyy-mm-dd"))</f>
        <v/>
      </c>
      <c r="F1045" s="24" t="str">
        <f aca="false">IF($A1045="","",TEXT(Settings!$B$9,"yyyy-mm-dd"))</f>
        <v/>
      </c>
      <c r="G1045" s="24" t="str">
        <f aca="false">IF($A1045="","",DAY(Settings!$B$9))</f>
        <v/>
      </c>
      <c r="H1045" s="26" t="str">
        <f aca="false">IF($A1045="","",ROUND(Payroll!R1045-Payroll!L1045-Payroll!M1045,2))</f>
        <v/>
      </c>
      <c r="I1045" s="26" t="str">
        <f aca="false">IF($A1045="","",ROUND(Payroll!L1045+Payroll!M1045,2))</f>
        <v/>
      </c>
      <c r="J1045" s="24" t="str">
        <f aca="false">IF($A1045="","",0)</f>
        <v/>
      </c>
    </row>
    <row r="1046" customFormat="false" ht="15" hidden="false" customHeight="false" outlineLevel="0" collapsed="false">
      <c r="A1046" s="24" t="str">
        <f aca="false">IF(AND(Payroll!$A1046&lt;&gt;"",N(Payroll!$R1046)&gt;0),"EDR","")</f>
        <v/>
      </c>
      <c r="B1046" s="24" t="str">
        <f aca="false">IF($A1046="","",Payroll!U1046)</f>
        <v/>
      </c>
      <c r="C1046" s="24" t="str">
        <f aca="false">IF($A1046="","",Payroll!S1046)</f>
        <v/>
      </c>
      <c r="D1046" s="24" t="str">
        <f aca="false">IF($A1046="","",SUBSTITUTE(Payroll!T1046," ",""))</f>
        <v/>
      </c>
      <c r="E1046" s="24" t="str">
        <f aca="false">IF($A1046="","",TEXT(Settings!$B$8,"yyyy-mm-dd"))</f>
        <v/>
      </c>
      <c r="F1046" s="24" t="str">
        <f aca="false">IF($A1046="","",TEXT(Settings!$B$9,"yyyy-mm-dd"))</f>
        <v/>
      </c>
      <c r="G1046" s="24" t="str">
        <f aca="false">IF($A1046="","",DAY(Settings!$B$9))</f>
        <v/>
      </c>
      <c r="H1046" s="26" t="str">
        <f aca="false">IF($A1046="","",ROUND(Payroll!R1046-Payroll!L1046-Payroll!M1046,2))</f>
        <v/>
      </c>
      <c r="I1046" s="26" t="str">
        <f aca="false">IF($A1046="","",ROUND(Payroll!L1046+Payroll!M1046,2))</f>
        <v/>
      </c>
      <c r="J1046" s="24" t="str">
        <f aca="false">IF($A1046="","",0)</f>
        <v/>
      </c>
    </row>
    <row r="1047" customFormat="false" ht="15" hidden="false" customHeight="false" outlineLevel="0" collapsed="false">
      <c r="A1047" s="24" t="str">
        <f aca="false">IF(AND(Payroll!$A1047&lt;&gt;"",N(Payroll!$R1047)&gt;0),"EDR","")</f>
        <v/>
      </c>
      <c r="B1047" s="24" t="str">
        <f aca="false">IF($A1047="","",Payroll!U1047)</f>
        <v/>
      </c>
      <c r="C1047" s="24" t="str">
        <f aca="false">IF($A1047="","",Payroll!S1047)</f>
        <v/>
      </c>
      <c r="D1047" s="24" t="str">
        <f aca="false">IF($A1047="","",SUBSTITUTE(Payroll!T1047," ",""))</f>
        <v/>
      </c>
      <c r="E1047" s="24" t="str">
        <f aca="false">IF($A1047="","",TEXT(Settings!$B$8,"yyyy-mm-dd"))</f>
        <v/>
      </c>
      <c r="F1047" s="24" t="str">
        <f aca="false">IF($A1047="","",TEXT(Settings!$B$9,"yyyy-mm-dd"))</f>
        <v/>
      </c>
      <c r="G1047" s="24" t="str">
        <f aca="false">IF($A1047="","",DAY(Settings!$B$9))</f>
        <v/>
      </c>
      <c r="H1047" s="26" t="str">
        <f aca="false">IF($A1047="","",ROUND(Payroll!R1047-Payroll!L1047-Payroll!M1047,2))</f>
        <v/>
      </c>
      <c r="I1047" s="26" t="str">
        <f aca="false">IF($A1047="","",ROUND(Payroll!L1047+Payroll!M1047,2))</f>
        <v/>
      </c>
      <c r="J1047" s="24" t="str">
        <f aca="false">IF($A1047="","",0)</f>
        <v/>
      </c>
    </row>
    <row r="1048" customFormat="false" ht="15" hidden="false" customHeight="false" outlineLevel="0" collapsed="false">
      <c r="A1048" s="24" t="str">
        <f aca="false">IF(AND(Payroll!$A1048&lt;&gt;"",N(Payroll!$R1048)&gt;0),"EDR","")</f>
        <v/>
      </c>
      <c r="B1048" s="24" t="str">
        <f aca="false">IF($A1048="","",Payroll!U1048)</f>
        <v/>
      </c>
      <c r="C1048" s="24" t="str">
        <f aca="false">IF($A1048="","",Payroll!S1048)</f>
        <v/>
      </c>
      <c r="D1048" s="24" t="str">
        <f aca="false">IF($A1048="","",SUBSTITUTE(Payroll!T1048," ",""))</f>
        <v/>
      </c>
      <c r="E1048" s="24" t="str">
        <f aca="false">IF($A1048="","",TEXT(Settings!$B$8,"yyyy-mm-dd"))</f>
        <v/>
      </c>
      <c r="F1048" s="24" t="str">
        <f aca="false">IF($A1048="","",TEXT(Settings!$B$9,"yyyy-mm-dd"))</f>
        <v/>
      </c>
      <c r="G1048" s="24" t="str">
        <f aca="false">IF($A1048="","",DAY(Settings!$B$9))</f>
        <v/>
      </c>
      <c r="H1048" s="26" t="str">
        <f aca="false">IF($A1048="","",ROUND(Payroll!R1048-Payroll!L1048-Payroll!M1048,2))</f>
        <v/>
      </c>
      <c r="I1048" s="26" t="str">
        <f aca="false">IF($A1048="","",ROUND(Payroll!L1048+Payroll!M1048,2))</f>
        <v/>
      </c>
      <c r="J1048" s="24" t="str">
        <f aca="false">IF($A1048="","",0)</f>
        <v/>
      </c>
    </row>
    <row r="1049" customFormat="false" ht="15" hidden="false" customHeight="false" outlineLevel="0" collapsed="false">
      <c r="A1049" s="24" t="str">
        <f aca="false">IF(AND(Payroll!$A1049&lt;&gt;"",N(Payroll!$R1049)&gt;0),"EDR","")</f>
        <v/>
      </c>
      <c r="B1049" s="24" t="str">
        <f aca="false">IF($A1049="","",Payroll!U1049)</f>
        <v/>
      </c>
      <c r="C1049" s="24" t="str">
        <f aca="false">IF($A1049="","",Payroll!S1049)</f>
        <v/>
      </c>
      <c r="D1049" s="24" t="str">
        <f aca="false">IF($A1049="","",SUBSTITUTE(Payroll!T1049," ",""))</f>
        <v/>
      </c>
      <c r="E1049" s="24" t="str">
        <f aca="false">IF($A1049="","",TEXT(Settings!$B$8,"yyyy-mm-dd"))</f>
        <v/>
      </c>
      <c r="F1049" s="24" t="str">
        <f aca="false">IF($A1049="","",TEXT(Settings!$B$9,"yyyy-mm-dd"))</f>
        <v/>
      </c>
      <c r="G1049" s="24" t="str">
        <f aca="false">IF($A1049="","",DAY(Settings!$B$9))</f>
        <v/>
      </c>
      <c r="H1049" s="26" t="str">
        <f aca="false">IF($A1049="","",ROUND(Payroll!R1049-Payroll!L1049-Payroll!M1049,2))</f>
        <v/>
      </c>
      <c r="I1049" s="26" t="str">
        <f aca="false">IF($A1049="","",ROUND(Payroll!L1049+Payroll!M1049,2))</f>
        <v/>
      </c>
      <c r="J1049" s="24" t="str">
        <f aca="false">IF($A1049="","",0)</f>
        <v/>
      </c>
    </row>
    <row r="1050" customFormat="false" ht="15" hidden="false" customHeight="false" outlineLevel="0" collapsed="false">
      <c r="A1050" s="24" t="str">
        <f aca="false">IF(AND(Payroll!$A1050&lt;&gt;"",N(Payroll!$R1050)&gt;0),"EDR","")</f>
        <v/>
      </c>
      <c r="B1050" s="24" t="str">
        <f aca="false">IF($A1050="","",Payroll!U1050)</f>
        <v/>
      </c>
      <c r="C1050" s="24" t="str">
        <f aca="false">IF($A1050="","",Payroll!S1050)</f>
        <v/>
      </c>
      <c r="D1050" s="24" t="str">
        <f aca="false">IF($A1050="","",SUBSTITUTE(Payroll!T1050," ",""))</f>
        <v/>
      </c>
      <c r="E1050" s="24" t="str">
        <f aca="false">IF($A1050="","",TEXT(Settings!$B$8,"yyyy-mm-dd"))</f>
        <v/>
      </c>
      <c r="F1050" s="24" t="str">
        <f aca="false">IF($A1050="","",TEXT(Settings!$B$9,"yyyy-mm-dd"))</f>
        <v/>
      </c>
      <c r="G1050" s="24" t="str">
        <f aca="false">IF($A1050="","",DAY(Settings!$B$9))</f>
        <v/>
      </c>
      <c r="H1050" s="26" t="str">
        <f aca="false">IF($A1050="","",ROUND(Payroll!R1050-Payroll!L1050-Payroll!M1050,2))</f>
        <v/>
      </c>
      <c r="I1050" s="26" t="str">
        <f aca="false">IF($A1050="","",ROUND(Payroll!L1050+Payroll!M1050,2))</f>
        <v/>
      </c>
      <c r="J1050" s="24" t="str">
        <f aca="false">IF($A1050="","",0)</f>
        <v/>
      </c>
    </row>
    <row r="1051" customFormat="false" ht="15" hidden="false" customHeight="false" outlineLevel="0" collapsed="false">
      <c r="A1051" s="24" t="str">
        <f aca="false">IF(AND(Payroll!$A1051&lt;&gt;"",N(Payroll!$R1051)&gt;0),"EDR","")</f>
        <v/>
      </c>
      <c r="B1051" s="24" t="str">
        <f aca="false">IF($A1051="","",Payroll!U1051)</f>
        <v/>
      </c>
      <c r="C1051" s="24" t="str">
        <f aca="false">IF($A1051="","",Payroll!S1051)</f>
        <v/>
      </c>
      <c r="D1051" s="24" t="str">
        <f aca="false">IF($A1051="","",SUBSTITUTE(Payroll!T1051," ",""))</f>
        <v/>
      </c>
      <c r="E1051" s="24" t="str">
        <f aca="false">IF($A1051="","",TEXT(Settings!$B$8,"yyyy-mm-dd"))</f>
        <v/>
      </c>
      <c r="F1051" s="24" t="str">
        <f aca="false">IF($A1051="","",TEXT(Settings!$B$9,"yyyy-mm-dd"))</f>
        <v/>
      </c>
      <c r="G1051" s="24" t="str">
        <f aca="false">IF($A1051="","",DAY(Settings!$B$9))</f>
        <v/>
      </c>
      <c r="H1051" s="26" t="str">
        <f aca="false">IF($A1051="","",ROUND(Payroll!R1051-Payroll!L1051-Payroll!M1051,2))</f>
        <v/>
      </c>
      <c r="I1051" s="26" t="str">
        <f aca="false">IF($A1051="","",ROUND(Payroll!L1051+Payroll!M1051,2))</f>
        <v/>
      </c>
      <c r="J1051" s="24" t="str">
        <f aca="false">IF($A1051="","",0)</f>
        <v/>
      </c>
    </row>
    <row r="1052" customFormat="false" ht="15" hidden="false" customHeight="false" outlineLevel="0" collapsed="false">
      <c r="A1052" s="24" t="str">
        <f aca="false">IF(AND(Payroll!$A1052&lt;&gt;"",N(Payroll!$R1052)&gt;0),"EDR","")</f>
        <v/>
      </c>
      <c r="B1052" s="24" t="str">
        <f aca="false">IF($A1052="","",Payroll!U1052)</f>
        <v/>
      </c>
      <c r="C1052" s="24" t="str">
        <f aca="false">IF($A1052="","",Payroll!S1052)</f>
        <v/>
      </c>
      <c r="D1052" s="24" t="str">
        <f aca="false">IF($A1052="","",SUBSTITUTE(Payroll!T1052," ",""))</f>
        <v/>
      </c>
      <c r="E1052" s="24" t="str">
        <f aca="false">IF($A1052="","",TEXT(Settings!$B$8,"yyyy-mm-dd"))</f>
        <v/>
      </c>
      <c r="F1052" s="24" t="str">
        <f aca="false">IF($A1052="","",TEXT(Settings!$B$9,"yyyy-mm-dd"))</f>
        <v/>
      </c>
      <c r="G1052" s="24" t="str">
        <f aca="false">IF($A1052="","",DAY(Settings!$B$9))</f>
        <v/>
      </c>
      <c r="H1052" s="26" t="str">
        <f aca="false">IF($A1052="","",ROUND(Payroll!R1052-Payroll!L1052-Payroll!M1052,2))</f>
        <v/>
      </c>
      <c r="I1052" s="26" t="str">
        <f aca="false">IF($A1052="","",ROUND(Payroll!L1052+Payroll!M1052,2))</f>
        <v/>
      </c>
      <c r="J1052" s="24" t="str">
        <f aca="false">IF($A1052="","",0)</f>
        <v/>
      </c>
    </row>
    <row r="1053" customFormat="false" ht="15" hidden="false" customHeight="false" outlineLevel="0" collapsed="false">
      <c r="A1053" s="24" t="str">
        <f aca="false">IF(AND(Payroll!$A1053&lt;&gt;"",N(Payroll!$R1053)&gt;0),"EDR","")</f>
        <v/>
      </c>
      <c r="B1053" s="24" t="str">
        <f aca="false">IF($A1053="","",Payroll!U1053)</f>
        <v/>
      </c>
      <c r="C1053" s="24" t="str">
        <f aca="false">IF($A1053="","",Payroll!S1053)</f>
        <v/>
      </c>
      <c r="D1053" s="24" t="str">
        <f aca="false">IF($A1053="","",SUBSTITUTE(Payroll!T1053," ",""))</f>
        <v/>
      </c>
      <c r="E1053" s="24" t="str">
        <f aca="false">IF($A1053="","",TEXT(Settings!$B$8,"yyyy-mm-dd"))</f>
        <v/>
      </c>
      <c r="F1053" s="24" t="str">
        <f aca="false">IF($A1053="","",TEXT(Settings!$B$9,"yyyy-mm-dd"))</f>
        <v/>
      </c>
      <c r="G1053" s="24" t="str">
        <f aca="false">IF($A1053="","",DAY(Settings!$B$9))</f>
        <v/>
      </c>
      <c r="H1053" s="26" t="str">
        <f aca="false">IF($A1053="","",ROUND(Payroll!R1053-Payroll!L1053-Payroll!M1053,2))</f>
        <v/>
      </c>
      <c r="I1053" s="26" t="str">
        <f aca="false">IF($A1053="","",ROUND(Payroll!L1053+Payroll!M1053,2))</f>
        <v/>
      </c>
      <c r="J1053" s="24" t="str">
        <f aca="false">IF($A1053="","",0)</f>
        <v/>
      </c>
    </row>
    <row r="1054" customFormat="false" ht="15" hidden="false" customHeight="false" outlineLevel="0" collapsed="false">
      <c r="A1054" s="24" t="str">
        <f aca="false">IF(AND(Payroll!$A1054&lt;&gt;"",N(Payroll!$R1054)&gt;0),"EDR","")</f>
        <v/>
      </c>
      <c r="B1054" s="24" t="str">
        <f aca="false">IF($A1054="","",Payroll!U1054)</f>
        <v/>
      </c>
      <c r="C1054" s="24" t="str">
        <f aca="false">IF($A1054="","",Payroll!S1054)</f>
        <v/>
      </c>
      <c r="D1054" s="24" t="str">
        <f aca="false">IF($A1054="","",SUBSTITUTE(Payroll!T1054," ",""))</f>
        <v/>
      </c>
      <c r="E1054" s="24" t="str">
        <f aca="false">IF($A1054="","",TEXT(Settings!$B$8,"yyyy-mm-dd"))</f>
        <v/>
      </c>
      <c r="F1054" s="24" t="str">
        <f aca="false">IF($A1054="","",TEXT(Settings!$B$9,"yyyy-mm-dd"))</f>
        <v/>
      </c>
      <c r="G1054" s="24" t="str">
        <f aca="false">IF($A1054="","",DAY(Settings!$B$9))</f>
        <v/>
      </c>
      <c r="H1054" s="26" t="str">
        <f aca="false">IF($A1054="","",ROUND(Payroll!R1054-Payroll!L1054-Payroll!M1054,2))</f>
        <v/>
      </c>
      <c r="I1054" s="26" t="str">
        <f aca="false">IF($A1054="","",ROUND(Payroll!L1054+Payroll!M1054,2))</f>
        <v/>
      </c>
      <c r="J1054" s="24" t="str">
        <f aca="false">IF($A1054="","",0)</f>
        <v/>
      </c>
    </row>
    <row r="1055" customFormat="false" ht="15" hidden="false" customHeight="false" outlineLevel="0" collapsed="false">
      <c r="A1055" s="24" t="str">
        <f aca="false">IF(AND(Payroll!$A1055&lt;&gt;"",N(Payroll!$R1055)&gt;0),"EDR","")</f>
        <v/>
      </c>
      <c r="B1055" s="24" t="str">
        <f aca="false">IF($A1055="","",Payroll!U1055)</f>
        <v/>
      </c>
      <c r="C1055" s="24" t="str">
        <f aca="false">IF($A1055="","",Payroll!S1055)</f>
        <v/>
      </c>
      <c r="D1055" s="24" t="str">
        <f aca="false">IF($A1055="","",SUBSTITUTE(Payroll!T1055," ",""))</f>
        <v/>
      </c>
      <c r="E1055" s="24" t="str">
        <f aca="false">IF($A1055="","",TEXT(Settings!$B$8,"yyyy-mm-dd"))</f>
        <v/>
      </c>
      <c r="F1055" s="24" t="str">
        <f aca="false">IF($A1055="","",TEXT(Settings!$B$9,"yyyy-mm-dd"))</f>
        <v/>
      </c>
      <c r="G1055" s="24" t="str">
        <f aca="false">IF($A1055="","",DAY(Settings!$B$9))</f>
        <v/>
      </c>
      <c r="H1055" s="26" t="str">
        <f aca="false">IF($A1055="","",ROUND(Payroll!R1055-Payroll!L1055-Payroll!M1055,2))</f>
        <v/>
      </c>
      <c r="I1055" s="26" t="str">
        <f aca="false">IF($A1055="","",ROUND(Payroll!L1055+Payroll!M1055,2))</f>
        <v/>
      </c>
      <c r="J1055" s="24" t="str">
        <f aca="false">IF($A1055="","",0)</f>
        <v/>
      </c>
    </row>
    <row r="1056" customFormat="false" ht="15" hidden="false" customHeight="false" outlineLevel="0" collapsed="false">
      <c r="A1056" s="24" t="str">
        <f aca="false">IF(AND(Payroll!$A1056&lt;&gt;"",N(Payroll!$R1056)&gt;0),"EDR","")</f>
        <v/>
      </c>
      <c r="B1056" s="24" t="str">
        <f aca="false">IF($A1056="","",Payroll!U1056)</f>
        <v/>
      </c>
      <c r="C1056" s="24" t="str">
        <f aca="false">IF($A1056="","",Payroll!S1056)</f>
        <v/>
      </c>
      <c r="D1056" s="24" t="str">
        <f aca="false">IF($A1056="","",SUBSTITUTE(Payroll!T1056," ",""))</f>
        <v/>
      </c>
      <c r="E1056" s="24" t="str">
        <f aca="false">IF($A1056="","",TEXT(Settings!$B$8,"yyyy-mm-dd"))</f>
        <v/>
      </c>
      <c r="F1056" s="24" t="str">
        <f aca="false">IF($A1056="","",TEXT(Settings!$B$9,"yyyy-mm-dd"))</f>
        <v/>
      </c>
      <c r="G1056" s="24" t="str">
        <f aca="false">IF($A1056="","",DAY(Settings!$B$9))</f>
        <v/>
      </c>
      <c r="H1056" s="26" t="str">
        <f aca="false">IF($A1056="","",ROUND(Payroll!R1056-Payroll!L1056-Payroll!M1056,2))</f>
        <v/>
      </c>
      <c r="I1056" s="26" t="str">
        <f aca="false">IF($A1056="","",ROUND(Payroll!L1056+Payroll!M1056,2))</f>
        <v/>
      </c>
      <c r="J1056" s="24" t="str">
        <f aca="false">IF($A1056="","",0)</f>
        <v/>
      </c>
    </row>
    <row r="1057" customFormat="false" ht="15" hidden="false" customHeight="false" outlineLevel="0" collapsed="false">
      <c r="A1057" s="24" t="str">
        <f aca="false">IF(AND(Payroll!$A1057&lt;&gt;"",N(Payroll!$R1057)&gt;0),"EDR","")</f>
        <v/>
      </c>
      <c r="B1057" s="24" t="str">
        <f aca="false">IF($A1057="","",Payroll!U1057)</f>
        <v/>
      </c>
      <c r="C1057" s="24" t="str">
        <f aca="false">IF($A1057="","",Payroll!S1057)</f>
        <v/>
      </c>
      <c r="D1057" s="24" t="str">
        <f aca="false">IF($A1057="","",SUBSTITUTE(Payroll!T1057," ",""))</f>
        <v/>
      </c>
      <c r="E1057" s="24" t="str">
        <f aca="false">IF($A1057="","",TEXT(Settings!$B$8,"yyyy-mm-dd"))</f>
        <v/>
      </c>
      <c r="F1057" s="24" t="str">
        <f aca="false">IF($A1057="","",TEXT(Settings!$B$9,"yyyy-mm-dd"))</f>
        <v/>
      </c>
      <c r="G1057" s="24" t="str">
        <f aca="false">IF($A1057="","",DAY(Settings!$B$9))</f>
        <v/>
      </c>
      <c r="H1057" s="26" t="str">
        <f aca="false">IF($A1057="","",ROUND(Payroll!R1057-Payroll!L1057-Payroll!M1057,2))</f>
        <v/>
      </c>
      <c r="I1057" s="26" t="str">
        <f aca="false">IF($A1057="","",ROUND(Payroll!L1057+Payroll!M1057,2))</f>
        <v/>
      </c>
      <c r="J1057" s="24" t="str">
        <f aca="false">IF($A1057="","",0)</f>
        <v/>
      </c>
    </row>
    <row r="1058" customFormat="false" ht="15" hidden="false" customHeight="false" outlineLevel="0" collapsed="false">
      <c r="A1058" s="24" t="str">
        <f aca="false">IF(AND(Payroll!$A1058&lt;&gt;"",N(Payroll!$R1058)&gt;0),"EDR","")</f>
        <v/>
      </c>
      <c r="B1058" s="24" t="str">
        <f aca="false">IF($A1058="","",Payroll!U1058)</f>
        <v/>
      </c>
      <c r="C1058" s="24" t="str">
        <f aca="false">IF($A1058="","",Payroll!S1058)</f>
        <v/>
      </c>
      <c r="D1058" s="24" t="str">
        <f aca="false">IF($A1058="","",SUBSTITUTE(Payroll!T1058," ",""))</f>
        <v/>
      </c>
      <c r="E1058" s="24" t="str">
        <f aca="false">IF($A1058="","",TEXT(Settings!$B$8,"yyyy-mm-dd"))</f>
        <v/>
      </c>
      <c r="F1058" s="24" t="str">
        <f aca="false">IF($A1058="","",TEXT(Settings!$B$9,"yyyy-mm-dd"))</f>
        <v/>
      </c>
      <c r="G1058" s="24" t="str">
        <f aca="false">IF($A1058="","",DAY(Settings!$B$9))</f>
        <v/>
      </c>
      <c r="H1058" s="26" t="str">
        <f aca="false">IF($A1058="","",ROUND(Payroll!R1058-Payroll!L1058-Payroll!M1058,2))</f>
        <v/>
      </c>
      <c r="I1058" s="26" t="str">
        <f aca="false">IF($A1058="","",ROUND(Payroll!L1058+Payroll!M1058,2))</f>
        <v/>
      </c>
      <c r="J1058" s="24" t="str">
        <f aca="false">IF($A1058="","",0)</f>
        <v/>
      </c>
    </row>
    <row r="1059" customFormat="false" ht="15" hidden="false" customHeight="false" outlineLevel="0" collapsed="false">
      <c r="A1059" s="24" t="str">
        <f aca="false">IF(AND(Payroll!$A1059&lt;&gt;"",N(Payroll!$R1059)&gt;0),"EDR","")</f>
        <v/>
      </c>
      <c r="B1059" s="24" t="str">
        <f aca="false">IF($A1059="","",Payroll!U1059)</f>
        <v/>
      </c>
      <c r="C1059" s="24" t="str">
        <f aca="false">IF($A1059="","",Payroll!S1059)</f>
        <v/>
      </c>
      <c r="D1059" s="24" t="str">
        <f aca="false">IF($A1059="","",SUBSTITUTE(Payroll!T1059," ",""))</f>
        <v/>
      </c>
      <c r="E1059" s="24" t="str">
        <f aca="false">IF($A1059="","",TEXT(Settings!$B$8,"yyyy-mm-dd"))</f>
        <v/>
      </c>
      <c r="F1059" s="24" t="str">
        <f aca="false">IF($A1059="","",TEXT(Settings!$B$9,"yyyy-mm-dd"))</f>
        <v/>
      </c>
      <c r="G1059" s="24" t="str">
        <f aca="false">IF($A1059="","",DAY(Settings!$B$9))</f>
        <v/>
      </c>
      <c r="H1059" s="26" t="str">
        <f aca="false">IF($A1059="","",ROUND(Payroll!R1059-Payroll!L1059-Payroll!M1059,2))</f>
        <v/>
      </c>
      <c r="I1059" s="26" t="str">
        <f aca="false">IF($A1059="","",ROUND(Payroll!L1059+Payroll!M1059,2))</f>
        <v/>
      </c>
      <c r="J1059" s="24" t="str">
        <f aca="false">IF($A1059="","",0)</f>
        <v/>
      </c>
    </row>
    <row r="1060" customFormat="false" ht="15" hidden="false" customHeight="false" outlineLevel="0" collapsed="false">
      <c r="A1060" s="24" t="str">
        <f aca="false">IF(AND(Payroll!$A1060&lt;&gt;"",N(Payroll!$R1060)&gt;0),"EDR","")</f>
        <v/>
      </c>
      <c r="B1060" s="24" t="str">
        <f aca="false">IF($A1060="","",Payroll!U1060)</f>
        <v/>
      </c>
      <c r="C1060" s="24" t="str">
        <f aca="false">IF($A1060="","",Payroll!S1060)</f>
        <v/>
      </c>
      <c r="D1060" s="24" t="str">
        <f aca="false">IF($A1060="","",SUBSTITUTE(Payroll!T1060," ",""))</f>
        <v/>
      </c>
      <c r="E1060" s="24" t="str">
        <f aca="false">IF($A1060="","",TEXT(Settings!$B$8,"yyyy-mm-dd"))</f>
        <v/>
      </c>
      <c r="F1060" s="24" t="str">
        <f aca="false">IF($A1060="","",TEXT(Settings!$B$9,"yyyy-mm-dd"))</f>
        <v/>
      </c>
      <c r="G1060" s="24" t="str">
        <f aca="false">IF($A1060="","",DAY(Settings!$B$9))</f>
        <v/>
      </c>
      <c r="H1060" s="26" t="str">
        <f aca="false">IF($A1060="","",ROUND(Payroll!R1060-Payroll!L1060-Payroll!M1060,2))</f>
        <v/>
      </c>
      <c r="I1060" s="26" t="str">
        <f aca="false">IF($A1060="","",ROUND(Payroll!L1060+Payroll!M1060,2))</f>
        <v/>
      </c>
      <c r="J1060" s="24" t="str">
        <f aca="false">IF($A1060="","",0)</f>
        <v/>
      </c>
    </row>
    <row r="1061" customFormat="false" ht="15" hidden="false" customHeight="false" outlineLevel="0" collapsed="false">
      <c r="A1061" s="24" t="str">
        <f aca="false">IF(AND(Payroll!$A1061&lt;&gt;"",N(Payroll!$R1061)&gt;0),"EDR","")</f>
        <v/>
      </c>
      <c r="B1061" s="24" t="str">
        <f aca="false">IF($A1061="","",Payroll!U1061)</f>
        <v/>
      </c>
      <c r="C1061" s="24" t="str">
        <f aca="false">IF($A1061="","",Payroll!S1061)</f>
        <v/>
      </c>
      <c r="D1061" s="24" t="str">
        <f aca="false">IF($A1061="","",SUBSTITUTE(Payroll!T1061," ",""))</f>
        <v/>
      </c>
      <c r="E1061" s="24" t="str">
        <f aca="false">IF($A1061="","",TEXT(Settings!$B$8,"yyyy-mm-dd"))</f>
        <v/>
      </c>
      <c r="F1061" s="24" t="str">
        <f aca="false">IF($A1061="","",TEXT(Settings!$B$9,"yyyy-mm-dd"))</f>
        <v/>
      </c>
      <c r="G1061" s="24" t="str">
        <f aca="false">IF($A1061="","",DAY(Settings!$B$9))</f>
        <v/>
      </c>
      <c r="H1061" s="26" t="str">
        <f aca="false">IF($A1061="","",ROUND(Payroll!R1061-Payroll!L1061-Payroll!M1061,2))</f>
        <v/>
      </c>
      <c r="I1061" s="26" t="str">
        <f aca="false">IF($A1061="","",ROUND(Payroll!L1061+Payroll!M1061,2))</f>
        <v/>
      </c>
      <c r="J1061" s="24" t="str">
        <f aca="false">IF($A1061="","",0)</f>
        <v/>
      </c>
    </row>
    <row r="1062" customFormat="false" ht="15" hidden="false" customHeight="false" outlineLevel="0" collapsed="false">
      <c r="A1062" s="24" t="str">
        <f aca="false">IF(AND(Payroll!$A1062&lt;&gt;"",N(Payroll!$R1062)&gt;0),"EDR","")</f>
        <v/>
      </c>
      <c r="B1062" s="24" t="str">
        <f aca="false">IF($A1062="","",Payroll!U1062)</f>
        <v/>
      </c>
      <c r="C1062" s="24" t="str">
        <f aca="false">IF($A1062="","",Payroll!S1062)</f>
        <v/>
      </c>
      <c r="D1062" s="24" t="str">
        <f aca="false">IF($A1062="","",SUBSTITUTE(Payroll!T1062," ",""))</f>
        <v/>
      </c>
      <c r="E1062" s="24" t="str">
        <f aca="false">IF($A1062="","",TEXT(Settings!$B$8,"yyyy-mm-dd"))</f>
        <v/>
      </c>
      <c r="F1062" s="24" t="str">
        <f aca="false">IF($A1062="","",TEXT(Settings!$B$9,"yyyy-mm-dd"))</f>
        <v/>
      </c>
      <c r="G1062" s="24" t="str">
        <f aca="false">IF($A1062="","",DAY(Settings!$B$9))</f>
        <v/>
      </c>
      <c r="H1062" s="26" t="str">
        <f aca="false">IF($A1062="","",ROUND(Payroll!R1062-Payroll!L1062-Payroll!M1062,2))</f>
        <v/>
      </c>
      <c r="I1062" s="26" t="str">
        <f aca="false">IF($A1062="","",ROUND(Payroll!L1062+Payroll!M1062,2))</f>
        <v/>
      </c>
      <c r="J1062" s="24" t="str">
        <f aca="false">IF($A1062="","",0)</f>
        <v/>
      </c>
    </row>
    <row r="1063" customFormat="false" ht="15" hidden="false" customHeight="false" outlineLevel="0" collapsed="false">
      <c r="A1063" s="24" t="str">
        <f aca="false">IF(AND(Payroll!$A1063&lt;&gt;"",N(Payroll!$R1063)&gt;0),"EDR","")</f>
        <v/>
      </c>
      <c r="B1063" s="24" t="str">
        <f aca="false">IF($A1063="","",Payroll!U1063)</f>
        <v/>
      </c>
      <c r="C1063" s="24" t="str">
        <f aca="false">IF($A1063="","",Payroll!S1063)</f>
        <v/>
      </c>
      <c r="D1063" s="24" t="str">
        <f aca="false">IF($A1063="","",SUBSTITUTE(Payroll!T1063," ",""))</f>
        <v/>
      </c>
      <c r="E1063" s="24" t="str">
        <f aca="false">IF($A1063="","",TEXT(Settings!$B$8,"yyyy-mm-dd"))</f>
        <v/>
      </c>
      <c r="F1063" s="24" t="str">
        <f aca="false">IF($A1063="","",TEXT(Settings!$B$9,"yyyy-mm-dd"))</f>
        <v/>
      </c>
      <c r="G1063" s="24" t="str">
        <f aca="false">IF($A1063="","",DAY(Settings!$B$9))</f>
        <v/>
      </c>
      <c r="H1063" s="26" t="str">
        <f aca="false">IF($A1063="","",ROUND(Payroll!R1063-Payroll!L1063-Payroll!M1063,2))</f>
        <v/>
      </c>
      <c r="I1063" s="26" t="str">
        <f aca="false">IF($A1063="","",ROUND(Payroll!L1063+Payroll!M1063,2))</f>
        <v/>
      </c>
      <c r="J1063" s="24" t="str">
        <f aca="false">IF($A1063="","",0)</f>
        <v/>
      </c>
    </row>
    <row r="1064" customFormat="false" ht="15" hidden="false" customHeight="false" outlineLevel="0" collapsed="false">
      <c r="A1064" s="24" t="str">
        <f aca="false">IF(AND(Payroll!$A1064&lt;&gt;"",N(Payroll!$R1064)&gt;0),"EDR","")</f>
        <v/>
      </c>
      <c r="B1064" s="24" t="str">
        <f aca="false">IF($A1064="","",Payroll!U1064)</f>
        <v/>
      </c>
      <c r="C1064" s="24" t="str">
        <f aca="false">IF($A1064="","",Payroll!S1064)</f>
        <v/>
      </c>
      <c r="D1064" s="24" t="str">
        <f aca="false">IF($A1064="","",SUBSTITUTE(Payroll!T1064," ",""))</f>
        <v/>
      </c>
      <c r="E1064" s="24" t="str">
        <f aca="false">IF($A1064="","",TEXT(Settings!$B$8,"yyyy-mm-dd"))</f>
        <v/>
      </c>
      <c r="F1064" s="24" t="str">
        <f aca="false">IF($A1064="","",TEXT(Settings!$B$9,"yyyy-mm-dd"))</f>
        <v/>
      </c>
      <c r="G1064" s="24" t="str">
        <f aca="false">IF($A1064="","",DAY(Settings!$B$9))</f>
        <v/>
      </c>
      <c r="H1064" s="26" t="str">
        <f aca="false">IF($A1064="","",ROUND(Payroll!R1064-Payroll!L1064-Payroll!M1064,2))</f>
        <v/>
      </c>
      <c r="I1064" s="26" t="str">
        <f aca="false">IF($A1064="","",ROUND(Payroll!L1064+Payroll!M1064,2))</f>
        <v/>
      </c>
      <c r="J1064" s="24" t="str">
        <f aca="false">IF($A1064="","",0)</f>
        <v/>
      </c>
    </row>
    <row r="1065" customFormat="false" ht="15" hidden="false" customHeight="false" outlineLevel="0" collapsed="false">
      <c r="A1065" s="24" t="str">
        <f aca="false">IF(AND(Payroll!$A1065&lt;&gt;"",N(Payroll!$R1065)&gt;0),"EDR","")</f>
        <v/>
      </c>
      <c r="B1065" s="24" t="str">
        <f aca="false">IF($A1065="","",Payroll!U1065)</f>
        <v/>
      </c>
      <c r="C1065" s="24" t="str">
        <f aca="false">IF($A1065="","",Payroll!S1065)</f>
        <v/>
      </c>
      <c r="D1065" s="24" t="str">
        <f aca="false">IF($A1065="","",SUBSTITUTE(Payroll!T1065," ",""))</f>
        <v/>
      </c>
      <c r="E1065" s="24" t="str">
        <f aca="false">IF($A1065="","",TEXT(Settings!$B$8,"yyyy-mm-dd"))</f>
        <v/>
      </c>
      <c r="F1065" s="24" t="str">
        <f aca="false">IF($A1065="","",TEXT(Settings!$B$9,"yyyy-mm-dd"))</f>
        <v/>
      </c>
      <c r="G1065" s="24" t="str">
        <f aca="false">IF($A1065="","",DAY(Settings!$B$9))</f>
        <v/>
      </c>
      <c r="H1065" s="26" t="str">
        <f aca="false">IF($A1065="","",ROUND(Payroll!R1065-Payroll!L1065-Payroll!M1065,2))</f>
        <v/>
      </c>
      <c r="I1065" s="26" t="str">
        <f aca="false">IF($A1065="","",ROUND(Payroll!L1065+Payroll!M1065,2))</f>
        <v/>
      </c>
      <c r="J1065" s="24" t="str">
        <f aca="false">IF($A1065="","",0)</f>
        <v/>
      </c>
    </row>
    <row r="1066" customFormat="false" ht="15" hidden="false" customHeight="false" outlineLevel="0" collapsed="false">
      <c r="A1066" s="24" t="str">
        <f aca="false">IF(AND(Payroll!$A1066&lt;&gt;"",N(Payroll!$R1066)&gt;0),"EDR","")</f>
        <v/>
      </c>
      <c r="B1066" s="24" t="str">
        <f aca="false">IF($A1066="","",Payroll!U1066)</f>
        <v/>
      </c>
      <c r="C1066" s="24" t="str">
        <f aca="false">IF($A1066="","",Payroll!S1066)</f>
        <v/>
      </c>
      <c r="D1066" s="24" t="str">
        <f aca="false">IF($A1066="","",SUBSTITUTE(Payroll!T1066," ",""))</f>
        <v/>
      </c>
      <c r="E1066" s="24" t="str">
        <f aca="false">IF($A1066="","",TEXT(Settings!$B$8,"yyyy-mm-dd"))</f>
        <v/>
      </c>
      <c r="F1066" s="24" t="str">
        <f aca="false">IF($A1066="","",TEXT(Settings!$B$9,"yyyy-mm-dd"))</f>
        <v/>
      </c>
      <c r="G1066" s="24" t="str">
        <f aca="false">IF($A1066="","",DAY(Settings!$B$9))</f>
        <v/>
      </c>
      <c r="H1066" s="26" t="str">
        <f aca="false">IF($A1066="","",ROUND(Payroll!R1066-Payroll!L1066-Payroll!M1066,2))</f>
        <v/>
      </c>
      <c r="I1066" s="26" t="str">
        <f aca="false">IF($A1066="","",ROUND(Payroll!L1066+Payroll!M1066,2))</f>
        <v/>
      </c>
      <c r="J1066" s="24" t="str">
        <f aca="false">IF($A1066="","",0)</f>
        <v/>
      </c>
    </row>
    <row r="1067" customFormat="false" ht="15" hidden="false" customHeight="false" outlineLevel="0" collapsed="false">
      <c r="A1067" s="24" t="str">
        <f aca="false">IF(AND(Payroll!$A1067&lt;&gt;"",N(Payroll!$R1067)&gt;0),"EDR","")</f>
        <v/>
      </c>
      <c r="B1067" s="24" t="str">
        <f aca="false">IF($A1067="","",Payroll!U1067)</f>
        <v/>
      </c>
      <c r="C1067" s="24" t="str">
        <f aca="false">IF($A1067="","",Payroll!S1067)</f>
        <v/>
      </c>
      <c r="D1067" s="24" t="str">
        <f aca="false">IF($A1067="","",SUBSTITUTE(Payroll!T1067," ",""))</f>
        <v/>
      </c>
      <c r="E1067" s="24" t="str">
        <f aca="false">IF($A1067="","",TEXT(Settings!$B$8,"yyyy-mm-dd"))</f>
        <v/>
      </c>
      <c r="F1067" s="24" t="str">
        <f aca="false">IF($A1067="","",TEXT(Settings!$B$9,"yyyy-mm-dd"))</f>
        <v/>
      </c>
      <c r="G1067" s="24" t="str">
        <f aca="false">IF($A1067="","",DAY(Settings!$B$9))</f>
        <v/>
      </c>
      <c r="H1067" s="26" t="str">
        <f aca="false">IF($A1067="","",ROUND(Payroll!R1067-Payroll!L1067-Payroll!M1067,2))</f>
        <v/>
      </c>
      <c r="I1067" s="26" t="str">
        <f aca="false">IF($A1067="","",ROUND(Payroll!L1067+Payroll!M1067,2))</f>
        <v/>
      </c>
      <c r="J1067" s="24" t="str">
        <f aca="false">IF($A1067="","",0)</f>
        <v/>
      </c>
    </row>
    <row r="1068" customFormat="false" ht="15" hidden="false" customHeight="false" outlineLevel="0" collapsed="false">
      <c r="A1068" s="24" t="str">
        <f aca="false">IF(AND(Payroll!$A1068&lt;&gt;"",N(Payroll!$R1068)&gt;0),"EDR","")</f>
        <v/>
      </c>
      <c r="B1068" s="24" t="str">
        <f aca="false">IF($A1068="","",Payroll!U1068)</f>
        <v/>
      </c>
      <c r="C1068" s="24" t="str">
        <f aca="false">IF($A1068="","",Payroll!S1068)</f>
        <v/>
      </c>
      <c r="D1068" s="24" t="str">
        <f aca="false">IF($A1068="","",SUBSTITUTE(Payroll!T1068," ",""))</f>
        <v/>
      </c>
      <c r="E1068" s="24" t="str">
        <f aca="false">IF($A1068="","",TEXT(Settings!$B$8,"yyyy-mm-dd"))</f>
        <v/>
      </c>
      <c r="F1068" s="24" t="str">
        <f aca="false">IF($A1068="","",TEXT(Settings!$B$9,"yyyy-mm-dd"))</f>
        <v/>
      </c>
      <c r="G1068" s="24" t="str">
        <f aca="false">IF($A1068="","",DAY(Settings!$B$9))</f>
        <v/>
      </c>
      <c r="H1068" s="26" t="str">
        <f aca="false">IF($A1068="","",ROUND(Payroll!R1068-Payroll!L1068-Payroll!M1068,2))</f>
        <v/>
      </c>
      <c r="I1068" s="26" t="str">
        <f aca="false">IF($A1068="","",ROUND(Payroll!L1068+Payroll!M1068,2))</f>
        <v/>
      </c>
      <c r="J1068" s="24" t="str">
        <f aca="false">IF($A1068="","",0)</f>
        <v/>
      </c>
    </row>
    <row r="1069" customFormat="false" ht="15" hidden="false" customHeight="false" outlineLevel="0" collapsed="false">
      <c r="A1069" s="24" t="str">
        <f aca="false">IF(AND(Payroll!$A1069&lt;&gt;"",N(Payroll!$R1069)&gt;0),"EDR","")</f>
        <v/>
      </c>
      <c r="B1069" s="24" t="str">
        <f aca="false">IF($A1069="","",Payroll!U1069)</f>
        <v/>
      </c>
      <c r="C1069" s="24" t="str">
        <f aca="false">IF($A1069="","",Payroll!S1069)</f>
        <v/>
      </c>
      <c r="D1069" s="24" t="str">
        <f aca="false">IF($A1069="","",SUBSTITUTE(Payroll!T1069," ",""))</f>
        <v/>
      </c>
      <c r="E1069" s="24" t="str">
        <f aca="false">IF($A1069="","",TEXT(Settings!$B$8,"yyyy-mm-dd"))</f>
        <v/>
      </c>
      <c r="F1069" s="24" t="str">
        <f aca="false">IF($A1069="","",TEXT(Settings!$B$9,"yyyy-mm-dd"))</f>
        <v/>
      </c>
      <c r="G1069" s="24" t="str">
        <f aca="false">IF($A1069="","",DAY(Settings!$B$9))</f>
        <v/>
      </c>
      <c r="H1069" s="26" t="str">
        <f aca="false">IF($A1069="","",ROUND(Payroll!R1069-Payroll!L1069-Payroll!M1069,2))</f>
        <v/>
      </c>
      <c r="I1069" s="26" t="str">
        <f aca="false">IF($A1069="","",ROUND(Payroll!L1069+Payroll!M1069,2))</f>
        <v/>
      </c>
      <c r="J1069" s="24" t="str">
        <f aca="false">IF($A1069="","",0)</f>
        <v/>
      </c>
    </row>
    <row r="1070" customFormat="false" ht="15" hidden="false" customHeight="false" outlineLevel="0" collapsed="false">
      <c r="A1070" s="24" t="str">
        <f aca="false">IF(AND(Payroll!$A1070&lt;&gt;"",N(Payroll!$R1070)&gt;0),"EDR","")</f>
        <v/>
      </c>
      <c r="B1070" s="24" t="str">
        <f aca="false">IF($A1070="","",Payroll!U1070)</f>
        <v/>
      </c>
      <c r="C1070" s="24" t="str">
        <f aca="false">IF($A1070="","",Payroll!S1070)</f>
        <v/>
      </c>
      <c r="D1070" s="24" t="str">
        <f aca="false">IF($A1070="","",SUBSTITUTE(Payroll!T1070," ",""))</f>
        <v/>
      </c>
      <c r="E1070" s="24" t="str">
        <f aca="false">IF($A1070="","",TEXT(Settings!$B$8,"yyyy-mm-dd"))</f>
        <v/>
      </c>
      <c r="F1070" s="24" t="str">
        <f aca="false">IF($A1070="","",TEXT(Settings!$B$9,"yyyy-mm-dd"))</f>
        <v/>
      </c>
      <c r="G1070" s="24" t="str">
        <f aca="false">IF($A1070="","",DAY(Settings!$B$9))</f>
        <v/>
      </c>
      <c r="H1070" s="26" t="str">
        <f aca="false">IF($A1070="","",ROUND(Payroll!R1070-Payroll!L1070-Payroll!M1070,2))</f>
        <v/>
      </c>
      <c r="I1070" s="26" t="str">
        <f aca="false">IF($A1070="","",ROUND(Payroll!L1070+Payroll!M1070,2))</f>
        <v/>
      </c>
      <c r="J1070" s="24" t="str">
        <f aca="false">IF($A1070="","",0)</f>
        <v/>
      </c>
    </row>
    <row r="1071" customFormat="false" ht="15" hidden="false" customHeight="false" outlineLevel="0" collapsed="false">
      <c r="A1071" s="24" t="str">
        <f aca="false">IF(AND(Payroll!$A1071&lt;&gt;"",N(Payroll!$R1071)&gt;0),"EDR","")</f>
        <v/>
      </c>
      <c r="B1071" s="24" t="str">
        <f aca="false">IF($A1071="","",Payroll!U1071)</f>
        <v/>
      </c>
      <c r="C1071" s="24" t="str">
        <f aca="false">IF($A1071="","",Payroll!S1071)</f>
        <v/>
      </c>
      <c r="D1071" s="24" t="str">
        <f aca="false">IF($A1071="","",SUBSTITUTE(Payroll!T1071," ",""))</f>
        <v/>
      </c>
      <c r="E1071" s="24" t="str">
        <f aca="false">IF($A1071="","",TEXT(Settings!$B$8,"yyyy-mm-dd"))</f>
        <v/>
      </c>
      <c r="F1071" s="24" t="str">
        <f aca="false">IF($A1071="","",TEXT(Settings!$B$9,"yyyy-mm-dd"))</f>
        <v/>
      </c>
      <c r="G1071" s="24" t="str">
        <f aca="false">IF($A1071="","",DAY(Settings!$B$9))</f>
        <v/>
      </c>
      <c r="H1071" s="26" t="str">
        <f aca="false">IF($A1071="","",ROUND(Payroll!R1071-Payroll!L1071-Payroll!M1071,2))</f>
        <v/>
      </c>
      <c r="I1071" s="26" t="str">
        <f aca="false">IF($A1071="","",ROUND(Payroll!L1071+Payroll!M1071,2))</f>
        <v/>
      </c>
      <c r="J1071" s="24" t="str">
        <f aca="false">IF($A1071="","",0)</f>
        <v/>
      </c>
    </row>
    <row r="1072" customFormat="false" ht="15" hidden="false" customHeight="false" outlineLevel="0" collapsed="false">
      <c r="A1072" s="24" t="str">
        <f aca="false">IF(AND(Payroll!$A1072&lt;&gt;"",N(Payroll!$R1072)&gt;0),"EDR","")</f>
        <v/>
      </c>
      <c r="B1072" s="24" t="str">
        <f aca="false">IF($A1072="","",Payroll!U1072)</f>
        <v/>
      </c>
      <c r="C1072" s="24" t="str">
        <f aca="false">IF($A1072="","",Payroll!S1072)</f>
        <v/>
      </c>
      <c r="D1072" s="24" t="str">
        <f aca="false">IF($A1072="","",SUBSTITUTE(Payroll!T1072," ",""))</f>
        <v/>
      </c>
      <c r="E1072" s="24" t="str">
        <f aca="false">IF($A1072="","",TEXT(Settings!$B$8,"yyyy-mm-dd"))</f>
        <v/>
      </c>
      <c r="F1072" s="24" t="str">
        <f aca="false">IF($A1072="","",TEXT(Settings!$B$9,"yyyy-mm-dd"))</f>
        <v/>
      </c>
      <c r="G1072" s="24" t="str">
        <f aca="false">IF($A1072="","",DAY(Settings!$B$9))</f>
        <v/>
      </c>
      <c r="H1072" s="26" t="str">
        <f aca="false">IF($A1072="","",ROUND(Payroll!R1072-Payroll!L1072-Payroll!M1072,2))</f>
        <v/>
      </c>
      <c r="I1072" s="26" t="str">
        <f aca="false">IF($A1072="","",ROUND(Payroll!L1072+Payroll!M1072,2))</f>
        <v/>
      </c>
      <c r="J1072" s="24" t="str">
        <f aca="false">IF($A1072="","",0)</f>
        <v/>
      </c>
    </row>
    <row r="1073" customFormat="false" ht="15" hidden="false" customHeight="false" outlineLevel="0" collapsed="false">
      <c r="A1073" s="24" t="str">
        <f aca="false">IF(AND(Payroll!$A1073&lt;&gt;"",N(Payroll!$R1073)&gt;0),"EDR","")</f>
        <v/>
      </c>
      <c r="B1073" s="24" t="str">
        <f aca="false">IF($A1073="","",Payroll!U1073)</f>
        <v/>
      </c>
      <c r="C1073" s="24" t="str">
        <f aca="false">IF($A1073="","",Payroll!S1073)</f>
        <v/>
      </c>
      <c r="D1073" s="24" t="str">
        <f aca="false">IF($A1073="","",SUBSTITUTE(Payroll!T1073," ",""))</f>
        <v/>
      </c>
      <c r="E1073" s="24" t="str">
        <f aca="false">IF($A1073="","",TEXT(Settings!$B$8,"yyyy-mm-dd"))</f>
        <v/>
      </c>
      <c r="F1073" s="24" t="str">
        <f aca="false">IF($A1073="","",TEXT(Settings!$B$9,"yyyy-mm-dd"))</f>
        <v/>
      </c>
      <c r="G1073" s="24" t="str">
        <f aca="false">IF($A1073="","",DAY(Settings!$B$9))</f>
        <v/>
      </c>
      <c r="H1073" s="26" t="str">
        <f aca="false">IF($A1073="","",ROUND(Payroll!R1073-Payroll!L1073-Payroll!M1073,2))</f>
        <v/>
      </c>
      <c r="I1073" s="26" t="str">
        <f aca="false">IF($A1073="","",ROUND(Payroll!L1073+Payroll!M1073,2))</f>
        <v/>
      </c>
      <c r="J1073" s="24" t="str">
        <f aca="false">IF($A1073="","",0)</f>
        <v/>
      </c>
    </row>
    <row r="1074" customFormat="false" ht="15" hidden="false" customHeight="false" outlineLevel="0" collapsed="false">
      <c r="A1074" s="24" t="str">
        <f aca="false">IF(AND(Payroll!$A1074&lt;&gt;"",N(Payroll!$R1074)&gt;0),"EDR","")</f>
        <v/>
      </c>
      <c r="B1074" s="24" t="str">
        <f aca="false">IF($A1074="","",Payroll!U1074)</f>
        <v/>
      </c>
      <c r="C1074" s="24" t="str">
        <f aca="false">IF($A1074="","",Payroll!S1074)</f>
        <v/>
      </c>
      <c r="D1074" s="24" t="str">
        <f aca="false">IF($A1074="","",SUBSTITUTE(Payroll!T1074," ",""))</f>
        <v/>
      </c>
      <c r="E1074" s="24" t="str">
        <f aca="false">IF($A1074="","",TEXT(Settings!$B$8,"yyyy-mm-dd"))</f>
        <v/>
      </c>
      <c r="F1074" s="24" t="str">
        <f aca="false">IF($A1074="","",TEXT(Settings!$B$9,"yyyy-mm-dd"))</f>
        <v/>
      </c>
      <c r="G1074" s="24" t="str">
        <f aca="false">IF($A1074="","",DAY(Settings!$B$9))</f>
        <v/>
      </c>
      <c r="H1074" s="26" t="str">
        <f aca="false">IF($A1074="","",ROUND(Payroll!R1074-Payroll!L1074-Payroll!M1074,2))</f>
        <v/>
      </c>
      <c r="I1074" s="26" t="str">
        <f aca="false">IF($A1074="","",ROUND(Payroll!L1074+Payroll!M1074,2))</f>
        <v/>
      </c>
      <c r="J1074" s="24" t="str">
        <f aca="false">IF($A1074="","",0)</f>
        <v/>
      </c>
    </row>
    <row r="1075" customFormat="false" ht="15" hidden="false" customHeight="false" outlineLevel="0" collapsed="false">
      <c r="A1075" s="24" t="str">
        <f aca="false">IF(AND(Payroll!$A1075&lt;&gt;"",N(Payroll!$R1075)&gt;0),"EDR","")</f>
        <v/>
      </c>
      <c r="B1075" s="24" t="str">
        <f aca="false">IF($A1075="","",Payroll!U1075)</f>
        <v/>
      </c>
      <c r="C1075" s="24" t="str">
        <f aca="false">IF($A1075="","",Payroll!S1075)</f>
        <v/>
      </c>
      <c r="D1075" s="24" t="str">
        <f aca="false">IF($A1075="","",SUBSTITUTE(Payroll!T1075," ",""))</f>
        <v/>
      </c>
      <c r="E1075" s="24" t="str">
        <f aca="false">IF($A1075="","",TEXT(Settings!$B$8,"yyyy-mm-dd"))</f>
        <v/>
      </c>
      <c r="F1075" s="24" t="str">
        <f aca="false">IF($A1075="","",TEXT(Settings!$B$9,"yyyy-mm-dd"))</f>
        <v/>
      </c>
      <c r="G1075" s="24" t="str">
        <f aca="false">IF($A1075="","",DAY(Settings!$B$9))</f>
        <v/>
      </c>
      <c r="H1075" s="26" t="str">
        <f aca="false">IF($A1075="","",ROUND(Payroll!R1075-Payroll!L1075-Payroll!M1075,2))</f>
        <v/>
      </c>
      <c r="I1075" s="26" t="str">
        <f aca="false">IF($A1075="","",ROUND(Payroll!L1075+Payroll!M1075,2))</f>
        <v/>
      </c>
      <c r="J1075" s="24" t="str">
        <f aca="false">IF($A1075="","",0)</f>
        <v/>
      </c>
    </row>
    <row r="1076" customFormat="false" ht="15" hidden="false" customHeight="false" outlineLevel="0" collapsed="false">
      <c r="A1076" s="24" t="str">
        <f aca="false">IF(AND(Payroll!$A1076&lt;&gt;"",N(Payroll!$R1076)&gt;0),"EDR","")</f>
        <v/>
      </c>
      <c r="B1076" s="24" t="str">
        <f aca="false">IF($A1076="","",Payroll!U1076)</f>
        <v/>
      </c>
      <c r="C1076" s="24" t="str">
        <f aca="false">IF($A1076="","",Payroll!S1076)</f>
        <v/>
      </c>
      <c r="D1076" s="24" t="str">
        <f aca="false">IF($A1076="","",SUBSTITUTE(Payroll!T1076," ",""))</f>
        <v/>
      </c>
      <c r="E1076" s="24" t="str">
        <f aca="false">IF($A1076="","",TEXT(Settings!$B$8,"yyyy-mm-dd"))</f>
        <v/>
      </c>
      <c r="F1076" s="24" t="str">
        <f aca="false">IF($A1076="","",TEXT(Settings!$B$9,"yyyy-mm-dd"))</f>
        <v/>
      </c>
      <c r="G1076" s="24" t="str">
        <f aca="false">IF($A1076="","",DAY(Settings!$B$9))</f>
        <v/>
      </c>
      <c r="H1076" s="26" t="str">
        <f aca="false">IF($A1076="","",ROUND(Payroll!R1076-Payroll!L1076-Payroll!M1076,2))</f>
        <v/>
      </c>
      <c r="I1076" s="26" t="str">
        <f aca="false">IF($A1076="","",ROUND(Payroll!L1076+Payroll!M1076,2))</f>
        <v/>
      </c>
      <c r="J1076" s="24" t="str">
        <f aca="false">IF($A1076="","",0)</f>
        <v/>
      </c>
    </row>
    <row r="1077" customFormat="false" ht="15" hidden="false" customHeight="false" outlineLevel="0" collapsed="false">
      <c r="A1077" s="24" t="str">
        <f aca="false">IF(AND(Payroll!$A1077&lt;&gt;"",N(Payroll!$R1077)&gt;0),"EDR","")</f>
        <v/>
      </c>
      <c r="B1077" s="24" t="str">
        <f aca="false">IF($A1077="","",Payroll!U1077)</f>
        <v/>
      </c>
      <c r="C1077" s="24" t="str">
        <f aca="false">IF($A1077="","",Payroll!S1077)</f>
        <v/>
      </c>
      <c r="D1077" s="24" t="str">
        <f aca="false">IF($A1077="","",SUBSTITUTE(Payroll!T1077," ",""))</f>
        <v/>
      </c>
      <c r="E1077" s="24" t="str">
        <f aca="false">IF($A1077="","",TEXT(Settings!$B$8,"yyyy-mm-dd"))</f>
        <v/>
      </c>
      <c r="F1077" s="24" t="str">
        <f aca="false">IF($A1077="","",TEXT(Settings!$B$9,"yyyy-mm-dd"))</f>
        <v/>
      </c>
      <c r="G1077" s="24" t="str">
        <f aca="false">IF($A1077="","",DAY(Settings!$B$9))</f>
        <v/>
      </c>
      <c r="H1077" s="26" t="str">
        <f aca="false">IF($A1077="","",ROUND(Payroll!R1077-Payroll!L1077-Payroll!M1077,2))</f>
        <v/>
      </c>
      <c r="I1077" s="26" t="str">
        <f aca="false">IF($A1077="","",ROUND(Payroll!L1077+Payroll!M1077,2))</f>
        <v/>
      </c>
      <c r="J1077" s="24" t="str">
        <f aca="false">IF($A1077="","",0)</f>
        <v/>
      </c>
    </row>
    <row r="1078" customFormat="false" ht="15" hidden="false" customHeight="false" outlineLevel="0" collapsed="false">
      <c r="A1078" s="24" t="str">
        <f aca="false">IF(AND(Payroll!$A1078&lt;&gt;"",N(Payroll!$R1078)&gt;0),"EDR","")</f>
        <v/>
      </c>
      <c r="B1078" s="24" t="str">
        <f aca="false">IF($A1078="","",Payroll!U1078)</f>
        <v/>
      </c>
      <c r="C1078" s="24" t="str">
        <f aca="false">IF($A1078="","",Payroll!S1078)</f>
        <v/>
      </c>
      <c r="D1078" s="24" t="str">
        <f aca="false">IF($A1078="","",SUBSTITUTE(Payroll!T1078," ",""))</f>
        <v/>
      </c>
      <c r="E1078" s="24" t="str">
        <f aca="false">IF($A1078="","",TEXT(Settings!$B$8,"yyyy-mm-dd"))</f>
        <v/>
      </c>
      <c r="F1078" s="24" t="str">
        <f aca="false">IF($A1078="","",TEXT(Settings!$B$9,"yyyy-mm-dd"))</f>
        <v/>
      </c>
      <c r="G1078" s="24" t="str">
        <f aca="false">IF($A1078="","",DAY(Settings!$B$9))</f>
        <v/>
      </c>
      <c r="H1078" s="26" t="str">
        <f aca="false">IF($A1078="","",ROUND(Payroll!R1078-Payroll!L1078-Payroll!M1078,2))</f>
        <v/>
      </c>
      <c r="I1078" s="26" t="str">
        <f aca="false">IF($A1078="","",ROUND(Payroll!L1078+Payroll!M1078,2))</f>
        <v/>
      </c>
      <c r="J1078" s="24" t="str">
        <f aca="false">IF($A1078="","",0)</f>
        <v/>
      </c>
    </row>
    <row r="1079" customFormat="false" ht="15" hidden="false" customHeight="false" outlineLevel="0" collapsed="false">
      <c r="A1079" s="24" t="str">
        <f aca="false">IF(AND(Payroll!$A1079&lt;&gt;"",N(Payroll!$R1079)&gt;0),"EDR","")</f>
        <v/>
      </c>
      <c r="B1079" s="24" t="str">
        <f aca="false">IF($A1079="","",Payroll!U1079)</f>
        <v/>
      </c>
      <c r="C1079" s="24" t="str">
        <f aca="false">IF($A1079="","",Payroll!S1079)</f>
        <v/>
      </c>
      <c r="D1079" s="24" t="str">
        <f aca="false">IF($A1079="","",SUBSTITUTE(Payroll!T1079," ",""))</f>
        <v/>
      </c>
      <c r="E1079" s="24" t="str">
        <f aca="false">IF($A1079="","",TEXT(Settings!$B$8,"yyyy-mm-dd"))</f>
        <v/>
      </c>
      <c r="F1079" s="24" t="str">
        <f aca="false">IF($A1079="","",TEXT(Settings!$B$9,"yyyy-mm-dd"))</f>
        <v/>
      </c>
      <c r="G1079" s="24" t="str">
        <f aca="false">IF($A1079="","",DAY(Settings!$B$9))</f>
        <v/>
      </c>
      <c r="H1079" s="26" t="str">
        <f aca="false">IF($A1079="","",ROUND(Payroll!R1079-Payroll!L1079-Payroll!M1079,2))</f>
        <v/>
      </c>
      <c r="I1079" s="26" t="str">
        <f aca="false">IF($A1079="","",ROUND(Payroll!L1079+Payroll!M1079,2))</f>
        <v/>
      </c>
      <c r="J1079" s="24" t="str">
        <f aca="false">IF($A1079="","",0)</f>
        <v/>
      </c>
    </row>
    <row r="1080" customFormat="false" ht="15" hidden="false" customHeight="false" outlineLevel="0" collapsed="false">
      <c r="A1080" s="24" t="str">
        <f aca="false">IF(AND(Payroll!$A1080&lt;&gt;"",N(Payroll!$R1080)&gt;0),"EDR","")</f>
        <v/>
      </c>
      <c r="B1080" s="24" t="str">
        <f aca="false">IF($A1080="","",Payroll!U1080)</f>
        <v/>
      </c>
      <c r="C1080" s="24" t="str">
        <f aca="false">IF($A1080="","",Payroll!S1080)</f>
        <v/>
      </c>
      <c r="D1080" s="24" t="str">
        <f aca="false">IF($A1080="","",SUBSTITUTE(Payroll!T1080," ",""))</f>
        <v/>
      </c>
      <c r="E1080" s="24" t="str">
        <f aca="false">IF($A1080="","",TEXT(Settings!$B$8,"yyyy-mm-dd"))</f>
        <v/>
      </c>
      <c r="F1080" s="24" t="str">
        <f aca="false">IF($A1080="","",TEXT(Settings!$B$9,"yyyy-mm-dd"))</f>
        <v/>
      </c>
      <c r="G1080" s="24" t="str">
        <f aca="false">IF($A1080="","",DAY(Settings!$B$9))</f>
        <v/>
      </c>
      <c r="H1080" s="26" t="str">
        <f aca="false">IF($A1080="","",ROUND(Payroll!R1080-Payroll!L1080-Payroll!M1080,2))</f>
        <v/>
      </c>
      <c r="I1080" s="26" t="str">
        <f aca="false">IF($A1080="","",ROUND(Payroll!L1080+Payroll!M1080,2))</f>
        <v/>
      </c>
      <c r="J1080" s="24" t="str">
        <f aca="false">IF($A1080="","",0)</f>
        <v/>
      </c>
    </row>
    <row r="1081" customFormat="false" ht="15" hidden="false" customHeight="false" outlineLevel="0" collapsed="false">
      <c r="A1081" s="24" t="str">
        <f aca="false">IF(AND(Payroll!$A1081&lt;&gt;"",N(Payroll!$R1081)&gt;0),"EDR","")</f>
        <v/>
      </c>
      <c r="B1081" s="24" t="str">
        <f aca="false">IF($A1081="","",Payroll!U1081)</f>
        <v/>
      </c>
      <c r="C1081" s="24" t="str">
        <f aca="false">IF($A1081="","",Payroll!S1081)</f>
        <v/>
      </c>
      <c r="D1081" s="24" t="str">
        <f aca="false">IF($A1081="","",SUBSTITUTE(Payroll!T1081," ",""))</f>
        <v/>
      </c>
      <c r="E1081" s="24" t="str">
        <f aca="false">IF($A1081="","",TEXT(Settings!$B$8,"yyyy-mm-dd"))</f>
        <v/>
      </c>
      <c r="F1081" s="24" t="str">
        <f aca="false">IF($A1081="","",TEXT(Settings!$B$9,"yyyy-mm-dd"))</f>
        <v/>
      </c>
      <c r="G1081" s="24" t="str">
        <f aca="false">IF($A1081="","",DAY(Settings!$B$9))</f>
        <v/>
      </c>
      <c r="H1081" s="26" t="str">
        <f aca="false">IF($A1081="","",ROUND(Payroll!R1081-Payroll!L1081-Payroll!M1081,2))</f>
        <v/>
      </c>
      <c r="I1081" s="26" t="str">
        <f aca="false">IF($A1081="","",ROUND(Payroll!L1081+Payroll!M1081,2))</f>
        <v/>
      </c>
      <c r="J1081" s="24" t="str">
        <f aca="false">IF($A1081="","",0)</f>
        <v/>
      </c>
    </row>
    <row r="1082" customFormat="false" ht="15" hidden="false" customHeight="false" outlineLevel="0" collapsed="false">
      <c r="A1082" s="24" t="str">
        <f aca="false">IF(AND(Payroll!$A1082&lt;&gt;"",N(Payroll!$R1082)&gt;0),"EDR","")</f>
        <v/>
      </c>
      <c r="B1082" s="24" t="str">
        <f aca="false">IF($A1082="","",Payroll!U1082)</f>
        <v/>
      </c>
      <c r="C1082" s="24" t="str">
        <f aca="false">IF($A1082="","",Payroll!S1082)</f>
        <v/>
      </c>
      <c r="D1082" s="24" t="str">
        <f aca="false">IF($A1082="","",SUBSTITUTE(Payroll!T1082," ",""))</f>
        <v/>
      </c>
      <c r="E1082" s="24" t="str">
        <f aca="false">IF($A1082="","",TEXT(Settings!$B$8,"yyyy-mm-dd"))</f>
        <v/>
      </c>
      <c r="F1082" s="24" t="str">
        <f aca="false">IF($A1082="","",TEXT(Settings!$B$9,"yyyy-mm-dd"))</f>
        <v/>
      </c>
      <c r="G1082" s="24" t="str">
        <f aca="false">IF($A1082="","",DAY(Settings!$B$9))</f>
        <v/>
      </c>
      <c r="H1082" s="26" t="str">
        <f aca="false">IF($A1082="","",ROUND(Payroll!R1082-Payroll!L1082-Payroll!M1082,2))</f>
        <v/>
      </c>
      <c r="I1082" s="26" t="str">
        <f aca="false">IF($A1082="","",ROUND(Payroll!L1082+Payroll!M1082,2))</f>
        <v/>
      </c>
      <c r="J1082" s="24" t="str">
        <f aca="false">IF($A1082="","",0)</f>
        <v/>
      </c>
    </row>
    <row r="1083" customFormat="false" ht="15" hidden="false" customHeight="false" outlineLevel="0" collapsed="false">
      <c r="A1083" s="24" t="str">
        <f aca="false">IF(AND(Payroll!$A1083&lt;&gt;"",N(Payroll!$R1083)&gt;0),"EDR","")</f>
        <v/>
      </c>
      <c r="B1083" s="24" t="str">
        <f aca="false">IF($A1083="","",Payroll!U1083)</f>
        <v/>
      </c>
      <c r="C1083" s="24" t="str">
        <f aca="false">IF($A1083="","",Payroll!S1083)</f>
        <v/>
      </c>
      <c r="D1083" s="24" t="str">
        <f aca="false">IF($A1083="","",SUBSTITUTE(Payroll!T1083," ",""))</f>
        <v/>
      </c>
      <c r="E1083" s="24" t="str">
        <f aca="false">IF($A1083="","",TEXT(Settings!$B$8,"yyyy-mm-dd"))</f>
        <v/>
      </c>
      <c r="F1083" s="24" t="str">
        <f aca="false">IF($A1083="","",TEXT(Settings!$B$9,"yyyy-mm-dd"))</f>
        <v/>
      </c>
      <c r="G1083" s="24" t="str">
        <f aca="false">IF($A1083="","",DAY(Settings!$B$9))</f>
        <v/>
      </c>
      <c r="H1083" s="26" t="str">
        <f aca="false">IF($A1083="","",ROUND(Payroll!R1083-Payroll!L1083-Payroll!M1083,2))</f>
        <v/>
      </c>
      <c r="I1083" s="26" t="str">
        <f aca="false">IF($A1083="","",ROUND(Payroll!L1083+Payroll!M1083,2))</f>
        <v/>
      </c>
      <c r="J1083" s="24" t="str">
        <f aca="false">IF($A1083="","",0)</f>
        <v/>
      </c>
    </row>
    <row r="1084" customFormat="false" ht="15" hidden="false" customHeight="false" outlineLevel="0" collapsed="false">
      <c r="A1084" s="24" t="str">
        <f aca="false">IF(AND(Payroll!$A1084&lt;&gt;"",N(Payroll!$R1084)&gt;0),"EDR","")</f>
        <v/>
      </c>
      <c r="B1084" s="24" t="str">
        <f aca="false">IF($A1084="","",Payroll!U1084)</f>
        <v/>
      </c>
      <c r="C1084" s="24" t="str">
        <f aca="false">IF($A1084="","",Payroll!S1084)</f>
        <v/>
      </c>
      <c r="D1084" s="24" t="str">
        <f aca="false">IF($A1084="","",SUBSTITUTE(Payroll!T1084," ",""))</f>
        <v/>
      </c>
      <c r="E1084" s="24" t="str">
        <f aca="false">IF($A1084="","",TEXT(Settings!$B$8,"yyyy-mm-dd"))</f>
        <v/>
      </c>
      <c r="F1084" s="24" t="str">
        <f aca="false">IF($A1084="","",TEXT(Settings!$B$9,"yyyy-mm-dd"))</f>
        <v/>
      </c>
      <c r="G1084" s="24" t="str">
        <f aca="false">IF($A1084="","",DAY(Settings!$B$9))</f>
        <v/>
      </c>
      <c r="H1084" s="26" t="str">
        <f aca="false">IF($A1084="","",ROUND(Payroll!R1084-Payroll!L1084-Payroll!M1084,2))</f>
        <v/>
      </c>
      <c r="I1084" s="26" t="str">
        <f aca="false">IF($A1084="","",ROUND(Payroll!L1084+Payroll!M1084,2))</f>
        <v/>
      </c>
      <c r="J1084" s="24" t="str">
        <f aca="false">IF($A1084="","",0)</f>
        <v/>
      </c>
    </row>
    <row r="1085" customFormat="false" ht="15" hidden="false" customHeight="false" outlineLevel="0" collapsed="false">
      <c r="A1085" s="24" t="str">
        <f aca="false">IF(AND(Payroll!$A1085&lt;&gt;"",N(Payroll!$R1085)&gt;0),"EDR","")</f>
        <v/>
      </c>
      <c r="B1085" s="24" t="str">
        <f aca="false">IF($A1085="","",Payroll!U1085)</f>
        <v/>
      </c>
      <c r="C1085" s="24" t="str">
        <f aca="false">IF($A1085="","",Payroll!S1085)</f>
        <v/>
      </c>
      <c r="D1085" s="24" t="str">
        <f aca="false">IF($A1085="","",SUBSTITUTE(Payroll!T1085," ",""))</f>
        <v/>
      </c>
      <c r="E1085" s="24" t="str">
        <f aca="false">IF($A1085="","",TEXT(Settings!$B$8,"yyyy-mm-dd"))</f>
        <v/>
      </c>
      <c r="F1085" s="24" t="str">
        <f aca="false">IF($A1085="","",TEXT(Settings!$B$9,"yyyy-mm-dd"))</f>
        <v/>
      </c>
      <c r="G1085" s="24" t="str">
        <f aca="false">IF($A1085="","",DAY(Settings!$B$9))</f>
        <v/>
      </c>
      <c r="H1085" s="26" t="str">
        <f aca="false">IF($A1085="","",ROUND(Payroll!R1085-Payroll!L1085-Payroll!M1085,2))</f>
        <v/>
      </c>
      <c r="I1085" s="26" t="str">
        <f aca="false">IF($A1085="","",ROUND(Payroll!L1085+Payroll!M1085,2))</f>
        <v/>
      </c>
      <c r="J1085" s="24" t="str">
        <f aca="false">IF($A1085="","",0)</f>
        <v/>
      </c>
    </row>
    <row r="1086" customFormat="false" ht="15" hidden="false" customHeight="false" outlineLevel="0" collapsed="false">
      <c r="A1086" s="24" t="str">
        <f aca="false">IF(AND(Payroll!$A1086&lt;&gt;"",N(Payroll!$R1086)&gt;0),"EDR","")</f>
        <v/>
      </c>
      <c r="B1086" s="24" t="str">
        <f aca="false">IF($A1086="","",Payroll!U1086)</f>
        <v/>
      </c>
      <c r="C1086" s="24" t="str">
        <f aca="false">IF($A1086="","",Payroll!S1086)</f>
        <v/>
      </c>
      <c r="D1086" s="24" t="str">
        <f aca="false">IF($A1086="","",SUBSTITUTE(Payroll!T1086," ",""))</f>
        <v/>
      </c>
      <c r="E1086" s="24" t="str">
        <f aca="false">IF($A1086="","",TEXT(Settings!$B$8,"yyyy-mm-dd"))</f>
        <v/>
      </c>
      <c r="F1086" s="24" t="str">
        <f aca="false">IF($A1086="","",TEXT(Settings!$B$9,"yyyy-mm-dd"))</f>
        <v/>
      </c>
      <c r="G1086" s="24" t="str">
        <f aca="false">IF($A1086="","",DAY(Settings!$B$9))</f>
        <v/>
      </c>
      <c r="H1086" s="26" t="str">
        <f aca="false">IF($A1086="","",ROUND(Payroll!R1086-Payroll!L1086-Payroll!M1086,2))</f>
        <v/>
      </c>
      <c r="I1086" s="26" t="str">
        <f aca="false">IF($A1086="","",ROUND(Payroll!L1086+Payroll!M1086,2))</f>
        <v/>
      </c>
      <c r="J1086" s="24" t="str">
        <f aca="false">IF($A1086="","",0)</f>
        <v/>
      </c>
    </row>
    <row r="1087" customFormat="false" ht="15" hidden="false" customHeight="false" outlineLevel="0" collapsed="false">
      <c r="A1087" s="24" t="str">
        <f aca="false">IF(AND(Payroll!$A1087&lt;&gt;"",N(Payroll!$R1087)&gt;0),"EDR","")</f>
        <v/>
      </c>
      <c r="B1087" s="24" t="str">
        <f aca="false">IF($A1087="","",Payroll!U1087)</f>
        <v/>
      </c>
      <c r="C1087" s="24" t="str">
        <f aca="false">IF($A1087="","",Payroll!S1087)</f>
        <v/>
      </c>
      <c r="D1087" s="24" t="str">
        <f aca="false">IF($A1087="","",SUBSTITUTE(Payroll!T1087," ",""))</f>
        <v/>
      </c>
      <c r="E1087" s="24" t="str">
        <f aca="false">IF($A1087="","",TEXT(Settings!$B$8,"yyyy-mm-dd"))</f>
        <v/>
      </c>
      <c r="F1087" s="24" t="str">
        <f aca="false">IF($A1087="","",TEXT(Settings!$B$9,"yyyy-mm-dd"))</f>
        <v/>
      </c>
      <c r="G1087" s="24" t="str">
        <f aca="false">IF($A1087="","",DAY(Settings!$B$9))</f>
        <v/>
      </c>
      <c r="H1087" s="26" t="str">
        <f aca="false">IF($A1087="","",ROUND(Payroll!R1087-Payroll!L1087-Payroll!M1087,2))</f>
        <v/>
      </c>
      <c r="I1087" s="26" t="str">
        <f aca="false">IF($A1087="","",ROUND(Payroll!L1087+Payroll!M1087,2))</f>
        <v/>
      </c>
      <c r="J1087" s="24" t="str">
        <f aca="false">IF($A1087="","",0)</f>
        <v/>
      </c>
    </row>
    <row r="1088" customFormat="false" ht="15" hidden="false" customHeight="false" outlineLevel="0" collapsed="false">
      <c r="A1088" s="24" t="str">
        <f aca="false">IF(AND(Payroll!$A1088&lt;&gt;"",N(Payroll!$R1088)&gt;0),"EDR","")</f>
        <v/>
      </c>
      <c r="B1088" s="24" t="str">
        <f aca="false">IF($A1088="","",Payroll!U1088)</f>
        <v/>
      </c>
      <c r="C1088" s="24" t="str">
        <f aca="false">IF($A1088="","",Payroll!S1088)</f>
        <v/>
      </c>
      <c r="D1088" s="24" t="str">
        <f aca="false">IF($A1088="","",SUBSTITUTE(Payroll!T1088," ",""))</f>
        <v/>
      </c>
      <c r="E1088" s="24" t="str">
        <f aca="false">IF($A1088="","",TEXT(Settings!$B$8,"yyyy-mm-dd"))</f>
        <v/>
      </c>
      <c r="F1088" s="24" t="str">
        <f aca="false">IF($A1088="","",TEXT(Settings!$B$9,"yyyy-mm-dd"))</f>
        <v/>
      </c>
      <c r="G1088" s="24" t="str">
        <f aca="false">IF($A1088="","",DAY(Settings!$B$9))</f>
        <v/>
      </c>
      <c r="H1088" s="26" t="str">
        <f aca="false">IF($A1088="","",ROUND(Payroll!R1088-Payroll!L1088-Payroll!M1088,2))</f>
        <v/>
      </c>
      <c r="I1088" s="26" t="str">
        <f aca="false">IF($A1088="","",ROUND(Payroll!L1088+Payroll!M1088,2))</f>
        <v/>
      </c>
      <c r="J1088" s="24" t="str">
        <f aca="false">IF($A1088="","",0)</f>
        <v/>
      </c>
    </row>
    <row r="1089" customFormat="false" ht="15" hidden="false" customHeight="false" outlineLevel="0" collapsed="false">
      <c r="A1089" s="24" t="str">
        <f aca="false">IF(AND(Payroll!$A1089&lt;&gt;"",N(Payroll!$R1089)&gt;0),"EDR","")</f>
        <v/>
      </c>
      <c r="B1089" s="24" t="str">
        <f aca="false">IF($A1089="","",Payroll!U1089)</f>
        <v/>
      </c>
      <c r="C1089" s="24" t="str">
        <f aca="false">IF($A1089="","",Payroll!S1089)</f>
        <v/>
      </c>
      <c r="D1089" s="24" t="str">
        <f aca="false">IF($A1089="","",SUBSTITUTE(Payroll!T1089," ",""))</f>
        <v/>
      </c>
      <c r="E1089" s="24" t="str">
        <f aca="false">IF($A1089="","",TEXT(Settings!$B$8,"yyyy-mm-dd"))</f>
        <v/>
      </c>
      <c r="F1089" s="24" t="str">
        <f aca="false">IF($A1089="","",TEXT(Settings!$B$9,"yyyy-mm-dd"))</f>
        <v/>
      </c>
      <c r="G1089" s="24" t="str">
        <f aca="false">IF($A1089="","",DAY(Settings!$B$9))</f>
        <v/>
      </c>
      <c r="H1089" s="26" t="str">
        <f aca="false">IF($A1089="","",ROUND(Payroll!R1089-Payroll!L1089-Payroll!M1089,2))</f>
        <v/>
      </c>
      <c r="I1089" s="26" t="str">
        <f aca="false">IF($A1089="","",ROUND(Payroll!L1089+Payroll!M1089,2))</f>
        <v/>
      </c>
      <c r="J1089" s="24" t="str">
        <f aca="false">IF($A1089="","",0)</f>
        <v/>
      </c>
    </row>
    <row r="1090" customFormat="false" ht="15" hidden="false" customHeight="false" outlineLevel="0" collapsed="false">
      <c r="A1090" s="24" t="str">
        <f aca="false">IF(AND(Payroll!$A1090&lt;&gt;"",N(Payroll!$R1090)&gt;0),"EDR","")</f>
        <v/>
      </c>
      <c r="B1090" s="24" t="str">
        <f aca="false">IF($A1090="","",Payroll!U1090)</f>
        <v/>
      </c>
      <c r="C1090" s="24" t="str">
        <f aca="false">IF($A1090="","",Payroll!S1090)</f>
        <v/>
      </c>
      <c r="D1090" s="24" t="str">
        <f aca="false">IF($A1090="","",SUBSTITUTE(Payroll!T1090," ",""))</f>
        <v/>
      </c>
      <c r="E1090" s="24" t="str">
        <f aca="false">IF($A1090="","",TEXT(Settings!$B$8,"yyyy-mm-dd"))</f>
        <v/>
      </c>
      <c r="F1090" s="24" t="str">
        <f aca="false">IF($A1090="","",TEXT(Settings!$B$9,"yyyy-mm-dd"))</f>
        <v/>
      </c>
      <c r="G1090" s="24" t="str">
        <f aca="false">IF($A1090="","",DAY(Settings!$B$9))</f>
        <v/>
      </c>
      <c r="H1090" s="26" t="str">
        <f aca="false">IF($A1090="","",ROUND(Payroll!R1090-Payroll!L1090-Payroll!M1090,2))</f>
        <v/>
      </c>
      <c r="I1090" s="26" t="str">
        <f aca="false">IF($A1090="","",ROUND(Payroll!L1090+Payroll!M1090,2))</f>
        <v/>
      </c>
      <c r="J1090" s="24" t="str">
        <f aca="false">IF($A1090="","",0)</f>
        <v/>
      </c>
    </row>
    <row r="1091" customFormat="false" ht="15" hidden="false" customHeight="false" outlineLevel="0" collapsed="false">
      <c r="A1091" s="24" t="str">
        <f aca="false">IF(AND(Payroll!$A1091&lt;&gt;"",N(Payroll!$R1091)&gt;0),"EDR","")</f>
        <v/>
      </c>
      <c r="B1091" s="24" t="str">
        <f aca="false">IF($A1091="","",Payroll!U1091)</f>
        <v/>
      </c>
      <c r="C1091" s="24" t="str">
        <f aca="false">IF($A1091="","",Payroll!S1091)</f>
        <v/>
      </c>
      <c r="D1091" s="24" t="str">
        <f aca="false">IF($A1091="","",SUBSTITUTE(Payroll!T1091," ",""))</f>
        <v/>
      </c>
      <c r="E1091" s="24" t="str">
        <f aca="false">IF($A1091="","",TEXT(Settings!$B$8,"yyyy-mm-dd"))</f>
        <v/>
      </c>
      <c r="F1091" s="24" t="str">
        <f aca="false">IF($A1091="","",TEXT(Settings!$B$9,"yyyy-mm-dd"))</f>
        <v/>
      </c>
      <c r="G1091" s="24" t="str">
        <f aca="false">IF($A1091="","",DAY(Settings!$B$9))</f>
        <v/>
      </c>
      <c r="H1091" s="26" t="str">
        <f aca="false">IF($A1091="","",ROUND(Payroll!R1091-Payroll!L1091-Payroll!M1091,2))</f>
        <v/>
      </c>
      <c r="I1091" s="26" t="str">
        <f aca="false">IF($A1091="","",ROUND(Payroll!L1091+Payroll!M1091,2))</f>
        <v/>
      </c>
      <c r="J1091" s="24" t="str">
        <f aca="false">IF($A1091="","",0)</f>
        <v/>
      </c>
    </row>
    <row r="1092" customFormat="false" ht="15" hidden="false" customHeight="false" outlineLevel="0" collapsed="false">
      <c r="A1092" s="24" t="str">
        <f aca="false">IF(AND(Payroll!$A1092&lt;&gt;"",N(Payroll!$R1092)&gt;0),"EDR","")</f>
        <v/>
      </c>
      <c r="B1092" s="24" t="str">
        <f aca="false">IF($A1092="","",Payroll!U1092)</f>
        <v/>
      </c>
      <c r="C1092" s="24" t="str">
        <f aca="false">IF($A1092="","",Payroll!S1092)</f>
        <v/>
      </c>
      <c r="D1092" s="24" t="str">
        <f aca="false">IF($A1092="","",SUBSTITUTE(Payroll!T1092," ",""))</f>
        <v/>
      </c>
      <c r="E1092" s="24" t="str">
        <f aca="false">IF($A1092="","",TEXT(Settings!$B$8,"yyyy-mm-dd"))</f>
        <v/>
      </c>
      <c r="F1092" s="24" t="str">
        <f aca="false">IF($A1092="","",TEXT(Settings!$B$9,"yyyy-mm-dd"))</f>
        <v/>
      </c>
      <c r="G1092" s="24" t="str">
        <f aca="false">IF($A1092="","",DAY(Settings!$B$9))</f>
        <v/>
      </c>
      <c r="H1092" s="26" t="str">
        <f aca="false">IF($A1092="","",ROUND(Payroll!R1092-Payroll!L1092-Payroll!M1092,2))</f>
        <v/>
      </c>
      <c r="I1092" s="26" t="str">
        <f aca="false">IF($A1092="","",ROUND(Payroll!L1092+Payroll!M1092,2))</f>
        <v/>
      </c>
      <c r="J1092" s="24" t="str">
        <f aca="false">IF($A1092="","",0)</f>
        <v/>
      </c>
    </row>
    <row r="1093" customFormat="false" ht="15" hidden="false" customHeight="false" outlineLevel="0" collapsed="false">
      <c r="A1093" s="24" t="str">
        <f aca="false">IF(AND(Payroll!$A1093&lt;&gt;"",N(Payroll!$R1093)&gt;0),"EDR","")</f>
        <v/>
      </c>
      <c r="B1093" s="24" t="str">
        <f aca="false">IF($A1093="","",Payroll!U1093)</f>
        <v/>
      </c>
      <c r="C1093" s="24" t="str">
        <f aca="false">IF($A1093="","",Payroll!S1093)</f>
        <v/>
      </c>
      <c r="D1093" s="24" t="str">
        <f aca="false">IF($A1093="","",SUBSTITUTE(Payroll!T1093," ",""))</f>
        <v/>
      </c>
      <c r="E1093" s="24" t="str">
        <f aca="false">IF($A1093="","",TEXT(Settings!$B$8,"yyyy-mm-dd"))</f>
        <v/>
      </c>
      <c r="F1093" s="24" t="str">
        <f aca="false">IF($A1093="","",TEXT(Settings!$B$9,"yyyy-mm-dd"))</f>
        <v/>
      </c>
      <c r="G1093" s="24" t="str">
        <f aca="false">IF($A1093="","",DAY(Settings!$B$9))</f>
        <v/>
      </c>
      <c r="H1093" s="26" t="str">
        <f aca="false">IF($A1093="","",ROUND(Payroll!R1093-Payroll!L1093-Payroll!M1093,2))</f>
        <v/>
      </c>
      <c r="I1093" s="26" t="str">
        <f aca="false">IF($A1093="","",ROUND(Payroll!L1093+Payroll!M1093,2))</f>
        <v/>
      </c>
      <c r="J1093" s="24" t="str">
        <f aca="false">IF($A1093="","",0)</f>
        <v/>
      </c>
    </row>
    <row r="1094" customFormat="false" ht="15" hidden="false" customHeight="false" outlineLevel="0" collapsed="false">
      <c r="A1094" s="24" t="str">
        <f aca="false">IF(AND(Payroll!$A1094&lt;&gt;"",N(Payroll!$R1094)&gt;0),"EDR","")</f>
        <v/>
      </c>
      <c r="B1094" s="24" t="str">
        <f aca="false">IF($A1094="","",Payroll!U1094)</f>
        <v/>
      </c>
      <c r="C1094" s="24" t="str">
        <f aca="false">IF($A1094="","",Payroll!S1094)</f>
        <v/>
      </c>
      <c r="D1094" s="24" t="str">
        <f aca="false">IF($A1094="","",SUBSTITUTE(Payroll!T1094," ",""))</f>
        <v/>
      </c>
      <c r="E1094" s="24" t="str">
        <f aca="false">IF($A1094="","",TEXT(Settings!$B$8,"yyyy-mm-dd"))</f>
        <v/>
      </c>
      <c r="F1094" s="24" t="str">
        <f aca="false">IF($A1094="","",TEXT(Settings!$B$9,"yyyy-mm-dd"))</f>
        <v/>
      </c>
      <c r="G1094" s="24" t="str">
        <f aca="false">IF($A1094="","",DAY(Settings!$B$9))</f>
        <v/>
      </c>
      <c r="H1094" s="26" t="str">
        <f aca="false">IF($A1094="","",ROUND(Payroll!R1094-Payroll!L1094-Payroll!M1094,2))</f>
        <v/>
      </c>
      <c r="I1094" s="26" t="str">
        <f aca="false">IF($A1094="","",ROUND(Payroll!L1094+Payroll!M1094,2))</f>
        <v/>
      </c>
      <c r="J1094" s="24" t="str">
        <f aca="false">IF($A1094="","",0)</f>
        <v/>
      </c>
    </row>
    <row r="1095" customFormat="false" ht="15" hidden="false" customHeight="false" outlineLevel="0" collapsed="false">
      <c r="A1095" s="24" t="str">
        <f aca="false">IF(AND(Payroll!$A1095&lt;&gt;"",N(Payroll!$R1095)&gt;0),"EDR","")</f>
        <v/>
      </c>
      <c r="B1095" s="24" t="str">
        <f aca="false">IF($A1095="","",Payroll!U1095)</f>
        <v/>
      </c>
      <c r="C1095" s="24" t="str">
        <f aca="false">IF($A1095="","",Payroll!S1095)</f>
        <v/>
      </c>
      <c r="D1095" s="24" t="str">
        <f aca="false">IF($A1095="","",SUBSTITUTE(Payroll!T1095," ",""))</f>
        <v/>
      </c>
      <c r="E1095" s="24" t="str">
        <f aca="false">IF($A1095="","",TEXT(Settings!$B$8,"yyyy-mm-dd"))</f>
        <v/>
      </c>
      <c r="F1095" s="24" t="str">
        <f aca="false">IF($A1095="","",TEXT(Settings!$B$9,"yyyy-mm-dd"))</f>
        <v/>
      </c>
      <c r="G1095" s="24" t="str">
        <f aca="false">IF($A1095="","",DAY(Settings!$B$9))</f>
        <v/>
      </c>
      <c r="H1095" s="26" t="str">
        <f aca="false">IF($A1095="","",ROUND(Payroll!R1095-Payroll!L1095-Payroll!M1095,2))</f>
        <v/>
      </c>
      <c r="I1095" s="26" t="str">
        <f aca="false">IF($A1095="","",ROUND(Payroll!L1095+Payroll!M1095,2))</f>
        <v/>
      </c>
      <c r="J1095" s="24" t="str">
        <f aca="false">IF($A1095="","",0)</f>
        <v/>
      </c>
    </row>
    <row r="1096" customFormat="false" ht="15" hidden="false" customHeight="false" outlineLevel="0" collapsed="false">
      <c r="A1096" s="24" t="str">
        <f aca="false">IF(AND(Payroll!$A1096&lt;&gt;"",N(Payroll!$R1096)&gt;0),"EDR","")</f>
        <v/>
      </c>
      <c r="B1096" s="24" t="str">
        <f aca="false">IF($A1096="","",Payroll!U1096)</f>
        <v/>
      </c>
      <c r="C1096" s="24" t="str">
        <f aca="false">IF($A1096="","",Payroll!S1096)</f>
        <v/>
      </c>
      <c r="D1096" s="24" t="str">
        <f aca="false">IF($A1096="","",SUBSTITUTE(Payroll!T1096," ",""))</f>
        <v/>
      </c>
      <c r="E1096" s="24" t="str">
        <f aca="false">IF($A1096="","",TEXT(Settings!$B$8,"yyyy-mm-dd"))</f>
        <v/>
      </c>
      <c r="F1096" s="24" t="str">
        <f aca="false">IF($A1096="","",TEXT(Settings!$B$9,"yyyy-mm-dd"))</f>
        <v/>
      </c>
      <c r="G1096" s="24" t="str">
        <f aca="false">IF($A1096="","",DAY(Settings!$B$9))</f>
        <v/>
      </c>
      <c r="H1096" s="26" t="str">
        <f aca="false">IF($A1096="","",ROUND(Payroll!R1096-Payroll!L1096-Payroll!M1096,2))</f>
        <v/>
      </c>
      <c r="I1096" s="26" t="str">
        <f aca="false">IF($A1096="","",ROUND(Payroll!L1096+Payroll!M1096,2))</f>
        <v/>
      </c>
      <c r="J1096" s="24" t="str">
        <f aca="false">IF($A1096="","",0)</f>
        <v/>
      </c>
    </row>
    <row r="1097" customFormat="false" ht="15" hidden="false" customHeight="false" outlineLevel="0" collapsed="false">
      <c r="A1097" s="24" t="str">
        <f aca="false">IF(AND(Payroll!$A1097&lt;&gt;"",N(Payroll!$R1097)&gt;0),"EDR","")</f>
        <v/>
      </c>
      <c r="B1097" s="24" t="str">
        <f aca="false">IF($A1097="","",Payroll!U1097)</f>
        <v/>
      </c>
      <c r="C1097" s="24" t="str">
        <f aca="false">IF($A1097="","",Payroll!S1097)</f>
        <v/>
      </c>
      <c r="D1097" s="24" t="str">
        <f aca="false">IF($A1097="","",SUBSTITUTE(Payroll!T1097," ",""))</f>
        <v/>
      </c>
      <c r="E1097" s="24" t="str">
        <f aca="false">IF($A1097="","",TEXT(Settings!$B$8,"yyyy-mm-dd"))</f>
        <v/>
      </c>
      <c r="F1097" s="24" t="str">
        <f aca="false">IF($A1097="","",TEXT(Settings!$B$9,"yyyy-mm-dd"))</f>
        <v/>
      </c>
      <c r="G1097" s="24" t="str">
        <f aca="false">IF($A1097="","",DAY(Settings!$B$9))</f>
        <v/>
      </c>
      <c r="H1097" s="26" t="str">
        <f aca="false">IF($A1097="","",ROUND(Payroll!R1097-Payroll!L1097-Payroll!M1097,2))</f>
        <v/>
      </c>
      <c r="I1097" s="26" t="str">
        <f aca="false">IF($A1097="","",ROUND(Payroll!L1097+Payroll!M1097,2))</f>
        <v/>
      </c>
      <c r="J1097" s="24" t="str">
        <f aca="false">IF($A1097="","",0)</f>
        <v/>
      </c>
    </row>
    <row r="1098" customFormat="false" ht="15" hidden="false" customHeight="false" outlineLevel="0" collapsed="false">
      <c r="A1098" s="24" t="str">
        <f aca="false">IF(AND(Payroll!$A1098&lt;&gt;"",N(Payroll!$R1098)&gt;0),"EDR","")</f>
        <v/>
      </c>
      <c r="B1098" s="24" t="str">
        <f aca="false">IF($A1098="","",Payroll!U1098)</f>
        <v/>
      </c>
      <c r="C1098" s="24" t="str">
        <f aca="false">IF($A1098="","",Payroll!S1098)</f>
        <v/>
      </c>
      <c r="D1098" s="24" t="str">
        <f aca="false">IF($A1098="","",SUBSTITUTE(Payroll!T1098," ",""))</f>
        <v/>
      </c>
      <c r="E1098" s="24" t="str">
        <f aca="false">IF($A1098="","",TEXT(Settings!$B$8,"yyyy-mm-dd"))</f>
        <v/>
      </c>
      <c r="F1098" s="24" t="str">
        <f aca="false">IF($A1098="","",TEXT(Settings!$B$9,"yyyy-mm-dd"))</f>
        <v/>
      </c>
      <c r="G1098" s="24" t="str">
        <f aca="false">IF($A1098="","",DAY(Settings!$B$9))</f>
        <v/>
      </c>
      <c r="H1098" s="26" t="str">
        <f aca="false">IF($A1098="","",ROUND(Payroll!R1098-Payroll!L1098-Payroll!M1098,2))</f>
        <v/>
      </c>
      <c r="I1098" s="26" t="str">
        <f aca="false">IF($A1098="","",ROUND(Payroll!L1098+Payroll!M1098,2))</f>
        <v/>
      </c>
      <c r="J1098" s="24" t="str">
        <f aca="false">IF($A1098="","",0)</f>
        <v/>
      </c>
    </row>
    <row r="1099" customFormat="false" ht="15" hidden="false" customHeight="false" outlineLevel="0" collapsed="false">
      <c r="A1099" s="24" t="str">
        <f aca="false">IF(AND(Payroll!$A1099&lt;&gt;"",N(Payroll!$R1099)&gt;0),"EDR","")</f>
        <v/>
      </c>
      <c r="B1099" s="24" t="str">
        <f aca="false">IF($A1099="","",Payroll!U1099)</f>
        <v/>
      </c>
      <c r="C1099" s="24" t="str">
        <f aca="false">IF($A1099="","",Payroll!S1099)</f>
        <v/>
      </c>
      <c r="D1099" s="24" t="str">
        <f aca="false">IF($A1099="","",SUBSTITUTE(Payroll!T1099," ",""))</f>
        <v/>
      </c>
      <c r="E1099" s="24" t="str">
        <f aca="false">IF($A1099="","",TEXT(Settings!$B$8,"yyyy-mm-dd"))</f>
        <v/>
      </c>
      <c r="F1099" s="24" t="str">
        <f aca="false">IF($A1099="","",TEXT(Settings!$B$9,"yyyy-mm-dd"))</f>
        <v/>
      </c>
      <c r="G1099" s="24" t="str">
        <f aca="false">IF($A1099="","",DAY(Settings!$B$9))</f>
        <v/>
      </c>
      <c r="H1099" s="26" t="str">
        <f aca="false">IF($A1099="","",ROUND(Payroll!R1099-Payroll!L1099-Payroll!M1099,2))</f>
        <v/>
      </c>
      <c r="I1099" s="26" t="str">
        <f aca="false">IF($A1099="","",ROUND(Payroll!L1099+Payroll!M1099,2))</f>
        <v/>
      </c>
      <c r="J1099" s="24" t="str">
        <f aca="false">IF($A1099="","",0)</f>
        <v/>
      </c>
    </row>
    <row r="1100" customFormat="false" ht="15" hidden="false" customHeight="false" outlineLevel="0" collapsed="false">
      <c r="A1100" s="24" t="str">
        <f aca="false">IF(AND(Payroll!$A1100&lt;&gt;"",N(Payroll!$R1100)&gt;0),"EDR","")</f>
        <v/>
      </c>
      <c r="B1100" s="24" t="str">
        <f aca="false">IF($A1100="","",Payroll!U1100)</f>
        <v/>
      </c>
      <c r="C1100" s="24" t="str">
        <f aca="false">IF($A1100="","",Payroll!S1100)</f>
        <v/>
      </c>
      <c r="D1100" s="24" t="str">
        <f aca="false">IF($A1100="","",SUBSTITUTE(Payroll!T1100," ",""))</f>
        <v/>
      </c>
      <c r="E1100" s="24" t="str">
        <f aca="false">IF($A1100="","",TEXT(Settings!$B$8,"yyyy-mm-dd"))</f>
        <v/>
      </c>
      <c r="F1100" s="24" t="str">
        <f aca="false">IF($A1100="","",TEXT(Settings!$B$9,"yyyy-mm-dd"))</f>
        <v/>
      </c>
      <c r="G1100" s="24" t="str">
        <f aca="false">IF($A1100="","",DAY(Settings!$B$9))</f>
        <v/>
      </c>
      <c r="H1100" s="26" t="str">
        <f aca="false">IF($A1100="","",ROUND(Payroll!R1100-Payroll!L1100-Payroll!M1100,2))</f>
        <v/>
      </c>
      <c r="I1100" s="26" t="str">
        <f aca="false">IF($A1100="","",ROUND(Payroll!L1100+Payroll!M1100,2))</f>
        <v/>
      </c>
      <c r="J1100" s="24" t="str">
        <f aca="false">IF($A1100="","",0)</f>
        <v/>
      </c>
    </row>
    <row r="1101" customFormat="false" ht="15" hidden="false" customHeight="false" outlineLevel="0" collapsed="false">
      <c r="A1101" s="24" t="str">
        <f aca="false">IF(AND(Payroll!$A1101&lt;&gt;"",N(Payroll!$R1101)&gt;0),"EDR","")</f>
        <v/>
      </c>
      <c r="B1101" s="24" t="str">
        <f aca="false">IF($A1101="","",Payroll!U1101)</f>
        <v/>
      </c>
      <c r="C1101" s="24" t="str">
        <f aca="false">IF($A1101="","",Payroll!S1101)</f>
        <v/>
      </c>
      <c r="D1101" s="24" t="str">
        <f aca="false">IF($A1101="","",SUBSTITUTE(Payroll!T1101," ",""))</f>
        <v/>
      </c>
      <c r="E1101" s="24" t="str">
        <f aca="false">IF($A1101="","",TEXT(Settings!$B$8,"yyyy-mm-dd"))</f>
        <v/>
      </c>
      <c r="F1101" s="24" t="str">
        <f aca="false">IF($A1101="","",TEXT(Settings!$B$9,"yyyy-mm-dd"))</f>
        <v/>
      </c>
      <c r="G1101" s="24" t="str">
        <f aca="false">IF($A1101="","",DAY(Settings!$B$9))</f>
        <v/>
      </c>
      <c r="H1101" s="26" t="str">
        <f aca="false">IF($A1101="","",ROUND(Payroll!R1101-Payroll!L1101-Payroll!M1101,2))</f>
        <v/>
      </c>
      <c r="I1101" s="26" t="str">
        <f aca="false">IF($A1101="","",ROUND(Payroll!L1101+Payroll!M1101,2))</f>
        <v/>
      </c>
      <c r="J1101" s="24" t="str">
        <f aca="false">IF($A1101="","",0)</f>
        <v/>
      </c>
    </row>
    <row r="1102" customFormat="false" ht="15" hidden="false" customHeight="false" outlineLevel="0" collapsed="false">
      <c r="A1102" s="24" t="str">
        <f aca="false">IF(AND(Payroll!$A1102&lt;&gt;"",N(Payroll!$R1102)&gt;0),"EDR","")</f>
        <v/>
      </c>
      <c r="B1102" s="24" t="str">
        <f aca="false">IF($A1102="","",Payroll!U1102)</f>
        <v/>
      </c>
      <c r="C1102" s="24" t="str">
        <f aca="false">IF($A1102="","",Payroll!S1102)</f>
        <v/>
      </c>
      <c r="D1102" s="24" t="str">
        <f aca="false">IF($A1102="","",SUBSTITUTE(Payroll!T1102," ",""))</f>
        <v/>
      </c>
      <c r="E1102" s="24" t="str">
        <f aca="false">IF($A1102="","",TEXT(Settings!$B$8,"yyyy-mm-dd"))</f>
        <v/>
      </c>
      <c r="F1102" s="24" t="str">
        <f aca="false">IF($A1102="","",TEXT(Settings!$B$9,"yyyy-mm-dd"))</f>
        <v/>
      </c>
      <c r="G1102" s="24" t="str">
        <f aca="false">IF($A1102="","",DAY(Settings!$B$9))</f>
        <v/>
      </c>
      <c r="H1102" s="26" t="str">
        <f aca="false">IF($A1102="","",ROUND(Payroll!R1102-Payroll!L1102-Payroll!M1102,2))</f>
        <v/>
      </c>
      <c r="I1102" s="26" t="str">
        <f aca="false">IF($A1102="","",ROUND(Payroll!L1102+Payroll!M1102,2))</f>
        <v/>
      </c>
      <c r="J1102" s="24" t="str">
        <f aca="false">IF($A1102="","",0)</f>
        <v/>
      </c>
    </row>
    <row r="1103" customFormat="false" ht="15" hidden="false" customHeight="false" outlineLevel="0" collapsed="false">
      <c r="A1103" s="24" t="str">
        <f aca="false">IF(AND(Payroll!$A1103&lt;&gt;"",N(Payroll!$R1103)&gt;0),"EDR","")</f>
        <v/>
      </c>
      <c r="B1103" s="24" t="str">
        <f aca="false">IF($A1103="","",Payroll!U1103)</f>
        <v/>
      </c>
      <c r="C1103" s="24" t="str">
        <f aca="false">IF($A1103="","",Payroll!S1103)</f>
        <v/>
      </c>
      <c r="D1103" s="24" t="str">
        <f aca="false">IF($A1103="","",SUBSTITUTE(Payroll!T1103," ",""))</f>
        <v/>
      </c>
      <c r="E1103" s="24" t="str">
        <f aca="false">IF($A1103="","",TEXT(Settings!$B$8,"yyyy-mm-dd"))</f>
        <v/>
      </c>
      <c r="F1103" s="24" t="str">
        <f aca="false">IF($A1103="","",TEXT(Settings!$B$9,"yyyy-mm-dd"))</f>
        <v/>
      </c>
      <c r="G1103" s="24" t="str">
        <f aca="false">IF($A1103="","",DAY(Settings!$B$9))</f>
        <v/>
      </c>
      <c r="H1103" s="26" t="str">
        <f aca="false">IF($A1103="","",ROUND(Payroll!R1103-Payroll!L1103-Payroll!M1103,2))</f>
        <v/>
      </c>
      <c r="I1103" s="26" t="str">
        <f aca="false">IF($A1103="","",ROUND(Payroll!L1103+Payroll!M1103,2))</f>
        <v/>
      </c>
      <c r="J1103" s="24" t="str">
        <f aca="false">IF($A1103="","",0)</f>
        <v/>
      </c>
    </row>
    <row r="1104" customFormat="false" ht="15" hidden="false" customHeight="false" outlineLevel="0" collapsed="false">
      <c r="A1104" s="24" t="str">
        <f aca="false">IF(AND(Payroll!$A1104&lt;&gt;"",N(Payroll!$R1104)&gt;0),"EDR","")</f>
        <v/>
      </c>
      <c r="B1104" s="24" t="str">
        <f aca="false">IF($A1104="","",Payroll!U1104)</f>
        <v/>
      </c>
      <c r="C1104" s="24" t="str">
        <f aca="false">IF($A1104="","",Payroll!S1104)</f>
        <v/>
      </c>
      <c r="D1104" s="24" t="str">
        <f aca="false">IF($A1104="","",SUBSTITUTE(Payroll!T1104," ",""))</f>
        <v/>
      </c>
      <c r="E1104" s="24" t="str">
        <f aca="false">IF($A1104="","",TEXT(Settings!$B$8,"yyyy-mm-dd"))</f>
        <v/>
      </c>
      <c r="F1104" s="24" t="str">
        <f aca="false">IF($A1104="","",TEXT(Settings!$B$9,"yyyy-mm-dd"))</f>
        <v/>
      </c>
      <c r="G1104" s="24" t="str">
        <f aca="false">IF($A1104="","",DAY(Settings!$B$9))</f>
        <v/>
      </c>
      <c r="H1104" s="26" t="str">
        <f aca="false">IF($A1104="","",ROUND(Payroll!R1104-Payroll!L1104-Payroll!M1104,2))</f>
        <v/>
      </c>
      <c r="I1104" s="26" t="str">
        <f aca="false">IF($A1104="","",ROUND(Payroll!L1104+Payroll!M1104,2))</f>
        <v/>
      </c>
      <c r="J1104" s="24" t="str">
        <f aca="false">IF($A1104="","",0)</f>
        <v/>
      </c>
    </row>
    <row r="1105" customFormat="false" ht="15" hidden="false" customHeight="false" outlineLevel="0" collapsed="false">
      <c r="A1105" s="24" t="str">
        <f aca="false">IF(AND(Payroll!$A1105&lt;&gt;"",N(Payroll!$R1105)&gt;0),"EDR","")</f>
        <v/>
      </c>
      <c r="B1105" s="24" t="str">
        <f aca="false">IF($A1105="","",Payroll!U1105)</f>
        <v/>
      </c>
      <c r="C1105" s="24" t="str">
        <f aca="false">IF($A1105="","",Payroll!S1105)</f>
        <v/>
      </c>
      <c r="D1105" s="24" t="str">
        <f aca="false">IF($A1105="","",SUBSTITUTE(Payroll!T1105," ",""))</f>
        <v/>
      </c>
      <c r="E1105" s="24" t="str">
        <f aca="false">IF($A1105="","",TEXT(Settings!$B$8,"yyyy-mm-dd"))</f>
        <v/>
      </c>
      <c r="F1105" s="24" t="str">
        <f aca="false">IF($A1105="","",TEXT(Settings!$B$9,"yyyy-mm-dd"))</f>
        <v/>
      </c>
      <c r="G1105" s="24" t="str">
        <f aca="false">IF($A1105="","",DAY(Settings!$B$9))</f>
        <v/>
      </c>
      <c r="H1105" s="26" t="str">
        <f aca="false">IF($A1105="","",ROUND(Payroll!R1105-Payroll!L1105-Payroll!M1105,2))</f>
        <v/>
      </c>
      <c r="I1105" s="26" t="str">
        <f aca="false">IF($A1105="","",ROUND(Payroll!L1105+Payroll!M1105,2))</f>
        <v/>
      </c>
      <c r="J1105" s="24" t="str">
        <f aca="false">IF($A1105="","",0)</f>
        <v/>
      </c>
    </row>
    <row r="1106" customFormat="false" ht="15" hidden="false" customHeight="false" outlineLevel="0" collapsed="false">
      <c r="A1106" s="24" t="str">
        <f aca="false">IF(AND(Payroll!$A1106&lt;&gt;"",N(Payroll!$R1106)&gt;0),"EDR","")</f>
        <v/>
      </c>
      <c r="B1106" s="24" t="str">
        <f aca="false">IF($A1106="","",Payroll!U1106)</f>
        <v/>
      </c>
      <c r="C1106" s="24" t="str">
        <f aca="false">IF($A1106="","",Payroll!S1106)</f>
        <v/>
      </c>
      <c r="D1106" s="24" t="str">
        <f aca="false">IF($A1106="","",SUBSTITUTE(Payroll!T1106," ",""))</f>
        <v/>
      </c>
      <c r="E1106" s="24" t="str">
        <f aca="false">IF($A1106="","",TEXT(Settings!$B$8,"yyyy-mm-dd"))</f>
        <v/>
      </c>
      <c r="F1106" s="24" t="str">
        <f aca="false">IF($A1106="","",TEXT(Settings!$B$9,"yyyy-mm-dd"))</f>
        <v/>
      </c>
      <c r="G1106" s="24" t="str">
        <f aca="false">IF($A1106="","",DAY(Settings!$B$9))</f>
        <v/>
      </c>
      <c r="H1106" s="26" t="str">
        <f aca="false">IF($A1106="","",ROUND(Payroll!R1106-Payroll!L1106-Payroll!M1106,2))</f>
        <v/>
      </c>
      <c r="I1106" s="26" t="str">
        <f aca="false">IF($A1106="","",ROUND(Payroll!L1106+Payroll!M1106,2))</f>
        <v/>
      </c>
      <c r="J1106" s="24" t="str">
        <f aca="false">IF($A1106="","",0)</f>
        <v/>
      </c>
    </row>
    <row r="1107" customFormat="false" ht="15" hidden="false" customHeight="false" outlineLevel="0" collapsed="false">
      <c r="A1107" s="24" t="str">
        <f aca="false">IF(AND(Payroll!$A1107&lt;&gt;"",N(Payroll!$R1107)&gt;0),"EDR","")</f>
        <v/>
      </c>
      <c r="B1107" s="24" t="str">
        <f aca="false">IF($A1107="","",Payroll!U1107)</f>
        <v/>
      </c>
      <c r="C1107" s="24" t="str">
        <f aca="false">IF($A1107="","",Payroll!S1107)</f>
        <v/>
      </c>
      <c r="D1107" s="24" t="str">
        <f aca="false">IF($A1107="","",SUBSTITUTE(Payroll!T1107," ",""))</f>
        <v/>
      </c>
      <c r="E1107" s="24" t="str">
        <f aca="false">IF($A1107="","",TEXT(Settings!$B$8,"yyyy-mm-dd"))</f>
        <v/>
      </c>
      <c r="F1107" s="24" t="str">
        <f aca="false">IF($A1107="","",TEXT(Settings!$B$9,"yyyy-mm-dd"))</f>
        <v/>
      </c>
      <c r="G1107" s="24" t="str">
        <f aca="false">IF($A1107="","",DAY(Settings!$B$9))</f>
        <v/>
      </c>
      <c r="H1107" s="26" t="str">
        <f aca="false">IF($A1107="","",ROUND(Payroll!R1107-Payroll!L1107-Payroll!M1107,2))</f>
        <v/>
      </c>
      <c r="I1107" s="26" t="str">
        <f aca="false">IF($A1107="","",ROUND(Payroll!L1107+Payroll!M1107,2))</f>
        <v/>
      </c>
      <c r="J1107" s="24" t="str">
        <f aca="false">IF($A1107="","",0)</f>
        <v/>
      </c>
    </row>
    <row r="1108" customFormat="false" ht="15" hidden="false" customHeight="false" outlineLevel="0" collapsed="false">
      <c r="A1108" s="24" t="str">
        <f aca="false">IF(AND(Payroll!$A1108&lt;&gt;"",N(Payroll!$R1108)&gt;0),"EDR","")</f>
        <v/>
      </c>
      <c r="B1108" s="24" t="str">
        <f aca="false">IF($A1108="","",Payroll!U1108)</f>
        <v/>
      </c>
      <c r="C1108" s="24" t="str">
        <f aca="false">IF($A1108="","",Payroll!S1108)</f>
        <v/>
      </c>
      <c r="D1108" s="24" t="str">
        <f aca="false">IF($A1108="","",SUBSTITUTE(Payroll!T1108," ",""))</f>
        <v/>
      </c>
      <c r="E1108" s="24" t="str">
        <f aca="false">IF($A1108="","",TEXT(Settings!$B$8,"yyyy-mm-dd"))</f>
        <v/>
      </c>
      <c r="F1108" s="24" t="str">
        <f aca="false">IF($A1108="","",TEXT(Settings!$B$9,"yyyy-mm-dd"))</f>
        <v/>
      </c>
      <c r="G1108" s="24" t="str">
        <f aca="false">IF($A1108="","",DAY(Settings!$B$9))</f>
        <v/>
      </c>
      <c r="H1108" s="26" t="str">
        <f aca="false">IF($A1108="","",ROUND(Payroll!R1108-Payroll!L1108-Payroll!M1108,2))</f>
        <v/>
      </c>
      <c r="I1108" s="26" t="str">
        <f aca="false">IF($A1108="","",ROUND(Payroll!L1108+Payroll!M1108,2))</f>
        <v/>
      </c>
      <c r="J1108" s="24" t="str">
        <f aca="false">IF($A1108="","",0)</f>
        <v/>
      </c>
    </row>
    <row r="1109" customFormat="false" ht="15" hidden="false" customHeight="false" outlineLevel="0" collapsed="false">
      <c r="A1109" s="24" t="str">
        <f aca="false">IF(AND(Payroll!$A1109&lt;&gt;"",N(Payroll!$R1109)&gt;0),"EDR","")</f>
        <v/>
      </c>
      <c r="B1109" s="24" t="str">
        <f aca="false">IF($A1109="","",Payroll!U1109)</f>
        <v/>
      </c>
      <c r="C1109" s="24" t="str">
        <f aca="false">IF($A1109="","",Payroll!S1109)</f>
        <v/>
      </c>
      <c r="D1109" s="24" t="str">
        <f aca="false">IF($A1109="","",SUBSTITUTE(Payroll!T1109," ",""))</f>
        <v/>
      </c>
      <c r="E1109" s="24" t="str">
        <f aca="false">IF($A1109="","",TEXT(Settings!$B$8,"yyyy-mm-dd"))</f>
        <v/>
      </c>
      <c r="F1109" s="24" t="str">
        <f aca="false">IF($A1109="","",TEXT(Settings!$B$9,"yyyy-mm-dd"))</f>
        <v/>
      </c>
      <c r="G1109" s="24" t="str">
        <f aca="false">IF($A1109="","",DAY(Settings!$B$9))</f>
        <v/>
      </c>
      <c r="H1109" s="26" t="str">
        <f aca="false">IF($A1109="","",ROUND(Payroll!R1109-Payroll!L1109-Payroll!M1109,2))</f>
        <v/>
      </c>
      <c r="I1109" s="26" t="str">
        <f aca="false">IF($A1109="","",ROUND(Payroll!L1109+Payroll!M1109,2))</f>
        <v/>
      </c>
      <c r="J1109" s="24" t="str">
        <f aca="false">IF($A1109="","",0)</f>
        <v/>
      </c>
    </row>
    <row r="1110" customFormat="false" ht="15" hidden="false" customHeight="false" outlineLevel="0" collapsed="false">
      <c r="A1110" s="24" t="str">
        <f aca="false">IF(AND(Payroll!$A1110&lt;&gt;"",N(Payroll!$R1110)&gt;0),"EDR","")</f>
        <v/>
      </c>
      <c r="B1110" s="24" t="str">
        <f aca="false">IF($A1110="","",Payroll!U1110)</f>
        <v/>
      </c>
      <c r="C1110" s="24" t="str">
        <f aca="false">IF($A1110="","",Payroll!S1110)</f>
        <v/>
      </c>
      <c r="D1110" s="24" t="str">
        <f aca="false">IF($A1110="","",SUBSTITUTE(Payroll!T1110," ",""))</f>
        <v/>
      </c>
      <c r="E1110" s="24" t="str">
        <f aca="false">IF($A1110="","",TEXT(Settings!$B$8,"yyyy-mm-dd"))</f>
        <v/>
      </c>
      <c r="F1110" s="24" t="str">
        <f aca="false">IF($A1110="","",TEXT(Settings!$B$9,"yyyy-mm-dd"))</f>
        <v/>
      </c>
      <c r="G1110" s="24" t="str">
        <f aca="false">IF($A1110="","",DAY(Settings!$B$9))</f>
        <v/>
      </c>
      <c r="H1110" s="26" t="str">
        <f aca="false">IF($A1110="","",ROUND(Payroll!R1110-Payroll!L1110-Payroll!M1110,2))</f>
        <v/>
      </c>
      <c r="I1110" s="26" t="str">
        <f aca="false">IF($A1110="","",ROUND(Payroll!L1110+Payroll!M1110,2))</f>
        <v/>
      </c>
      <c r="J1110" s="24" t="str">
        <f aca="false">IF($A1110="","",0)</f>
        <v/>
      </c>
    </row>
    <row r="1111" customFormat="false" ht="15" hidden="false" customHeight="false" outlineLevel="0" collapsed="false">
      <c r="A1111" s="24" t="str">
        <f aca="false">IF(AND(Payroll!$A1111&lt;&gt;"",N(Payroll!$R1111)&gt;0),"EDR","")</f>
        <v/>
      </c>
      <c r="B1111" s="24" t="str">
        <f aca="false">IF($A1111="","",Payroll!U1111)</f>
        <v/>
      </c>
      <c r="C1111" s="24" t="str">
        <f aca="false">IF($A1111="","",Payroll!S1111)</f>
        <v/>
      </c>
      <c r="D1111" s="24" t="str">
        <f aca="false">IF($A1111="","",SUBSTITUTE(Payroll!T1111," ",""))</f>
        <v/>
      </c>
      <c r="E1111" s="24" t="str">
        <f aca="false">IF($A1111="","",TEXT(Settings!$B$8,"yyyy-mm-dd"))</f>
        <v/>
      </c>
      <c r="F1111" s="24" t="str">
        <f aca="false">IF($A1111="","",TEXT(Settings!$B$9,"yyyy-mm-dd"))</f>
        <v/>
      </c>
      <c r="G1111" s="24" t="str">
        <f aca="false">IF($A1111="","",DAY(Settings!$B$9))</f>
        <v/>
      </c>
      <c r="H1111" s="26" t="str">
        <f aca="false">IF($A1111="","",ROUND(Payroll!R1111-Payroll!L1111-Payroll!M1111,2))</f>
        <v/>
      </c>
      <c r="I1111" s="26" t="str">
        <f aca="false">IF($A1111="","",ROUND(Payroll!L1111+Payroll!M1111,2))</f>
        <v/>
      </c>
      <c r="J1111" s="24" t="str">
        <f aca="false">IF($A1111="","",0)</f>
        <v/>
      </c>
    </row>
    <row r="1112" customFormat="false" ht="15" hidden="false" customHeight="false" outlineLevel="0" collapsed="false">
      <c r="A1112" s="24" t="str">
        <f aca="false">IF(AND(Payroll!$A1112&lt;&gt;"",N(Payroll!$R1112)&gt;0),"EDR","")</f>
        <v/>
      </c>
      <c r="B1112" s="24" t="str">
        <f aca="false">IF($A1112="","",Payroll!U1112)</f>
        <v/>
      </c>
      <c r="C1112" s="24" t="str">
        <f aca="false">IF($A1112="","",Payroll!S1112)</f>
        <v/>
      </c>
      <c r="D1112" s="24" t="str">
        <f aca="false">IF($A1112="","",SUBSTITUTE(Payroll!T1112," ",""))</f>
        <v/>
      </c>
      <c r="E1112" s="24" t="str">
        <f aca="false">IF($A1112="","",TEXT(Settings!$B$8,"yyyy-mm-dd"))</f>
        <v/>
      </c>
      <c r="F1112" s="24" t="str">
        <f aca="false">IF($A1112="","",TEXT(Settings!$B$9,"yyyy-mm-dd"))</f>
        <v/>
      </c>
      <c r="G1112" s="24" t="str">
        <f aca="false">IF($A1112="","",DAY(Settings!$B$9))</f>
        <v/>
      </c>
      <c r="H1112" s="26" t="str">
        <f aca="false">IF($A1112="","",ROUND(Payroll!R1112-Payroll!L1112-Payroll!M1112,2))</f>
        <v/>
      </c>
      <c r="I1112" s="26" t="str">
        <f aca="false">IF($A1112="","",ROUND(Payroll!L1112+Payroll!M1112,2))</f>
        <v/>
      </c>
      <c r="J1112" s="24" t="str">
        <f aca="false">IF($A1112="","",0)</f>
        <v/>
      </c>
    </row>
    <row r="1113" customFormat="false" ht="15" hidden="false" customHeight="false" outlineLevel="0" collapsed="false">
      <c r="A1113" s="24" t="str">
        <f aca="false">IF(AND(Payroll!$A1113&lt;&gt;"",N(Payroll!$R1113)&gt;0),"EDR","")</f>
        <v/>
      </c>
      <c r="B1113" s="24" t="str">
        <f aca="false">IF($A1113="","",Payroll!U1113)</f>
        <v/>
      </c>
      <c r="C1113" s="24" t="str">
        <f aca="false">IF($A1113="","",Payroll!S1113)</f>
        <v/>
      </c>
      <c r="D1113" s="24" t="str">
        <f aca="false">IF($A1113="","",SUBSTITUTE(Payroll!T1113," ",""))</f>
        <v/>
      </c>
      <c r="E1113" s="24" t="str">
        <f aca="false">IF($A1113="","",TEXT(Settings!$B$8,"yyyy-mm-dd"))</f>
        <v/>
      </c>
      <c r="F1113" s="24" t="str">
        <f aca="false">IF($A1113="","",TEXT(Settings!$B$9,"yyyy-mm-dd"))</f>
        <v/>
      </c>
      <c r="G1113" s="24" t="str">
        <f aca="false">IF($A1113="","",DAY(Settings!$B$9))</f>
        <v/>
      </c>
      <c r="H1113" s="26" t="str">
        <f aca="false">IF($A1113="","",ROUND(Payroll!R1113-Payroll!L1113-Payroll!M1113,2))</f>
        <v/>
      </c>
      <c r="I1113" s="26" t="str">
        <f aca="false">IF($A1113="","",ROUND(Payroll!L1113+Payroll!M1113,2))</f>
        <v/>
      </c>
      <c r="J1113" s="24" t="str">
        <f aca="false">IF($A1113="","",0)</f>
        <v/>
      </c>
    </row>
    <row r="1114" customFormat="false" ht="15" hidden="false" customHeight="false" outlineLevel="0" collapsed="false">
      <c r="A1114" s="24" t="str">
        <f aca="false">IF(AND(Payroll!$A1114&lt;&gt;"",N(Payroll!$R1114)&gt;0),"EDR","")</f>
        <v/>
      </c>
      <c r="B1114" s="24" t="str">
        <f aca="false">IF($A1114="","",Payroll!U1114)</f>
        <v/>
      </c>
      <c r="C1114" s="24" t="str">
        <f aca="false">IF($A1114="","",Payroll!S1114)</f>
        <v/>
      </c>
      <c r="D1114" s="24" t="str">
        <f aca="false">IF($A1114="","",SUBSTITUTE(Payroll!T1114," ",""))</f>
        <v/>
      </c>
      <c r="E1114" s="24" t="str">
        <f aca="false">IF($A1114="","",TEXT(Settings!$B$8,"yyyy-mm-dd"))</f>
        <v/>
      </c>
      <c r="F1114" s="24" t="str">
        <f aca="false">IF($A1114="","",TEXT(Settings!$B$9,"yyyy-mm-dd"))</f>
        <v/>
      </c>
      <c r="G1114" s="24" t="str">
        <f aca="false">IF($A1114="","",DAY(Settings!$B$9))</f>
        <v/>
      </c>
      <c r="H1114" s="26" t="str">
        <f aca="false">IF($A1114="","",ROUND(Payroll!R1114-Payroll!L1114-Payroll!M1114,2))</f>
        <v/>
      </c>
      <c r="I1114" s="26" t="str">
        <f aca="false">IF($A1114="","",ROUND(Payroll!L1114+Payroll!M1114,2))</f>
        <v/>
      </c>
      <c r="J1114" s="24" t="str">
        <f aca="false">IF($A1114="","",0)</f>
        <v/>
      </c>
    </row>
    <row r="1115" customFormat="false" ht="15" hidden="false" customHeight="false" outlineLevel="0" collapsed="false">
      <c r="A1115" s="24" t="str">
        <f aca="false">IF(AND(Payroll!$A1115&lt;&gt;"",N(Payroll!$R1115)&gt;0),"EDR","")</f>
        <v/>
      </c>
      <c r="B1115" s="24" t="str">
        <f aca="false">IF($A1115="","",Payroll!U1115)</f>
        <v/>
      </c>
      <c r="C1115" s="24" t="str">
        <f aca="false">IF($A1115="","",Payroll!S1115)</f>
        <v/>
      </c>
      <c r="D1115" s="24" t="str">
        <f aca="false">IF($A1115="","",SUBSTITUTE(Payroll!T1115," ",""))</f>
        <v/>
      </c>
      <c r="E1115" s="24" t="str">
        <f aca="false">IF($A1115="","",TEXT(Settings!$B$8,"yyyy-mm-dd"))</f>
        <v/>
      </c>
      <c r="F1115" s="24" t="str">
        <f aca="false">IF($A1115="","",TEXT(Settings!$B$9,"yyyy-mm-dd"))</f>
        <v/>
      </c>
      <c r="G1115" s="24" t="str">
        <f aca="false">IF($A1115="","",DAY(Settings!$B$9))</f>
        <v/>
      </c>
      <c r="H1115" s="26" t="str">
        <f aca="false">IF($A1115="","",ROUND(Payroll!R1115-Payroll!L1115-Payroll!M1115,2))</f>
        <v/>
      </c>
      <c r="I1115" s="26" t="str">
        <f aca="false">IF($A1115="","",ROUND(Payroll!L1115+Payroll!M1115,2))</f>
        <v/>
      </c>
      <c r="J1115" s="24" t="str">
        <f aca="false">IF($A1115="","",0)</f>
        <v/>
      </c>
    </row>
    <row r="1116" customFormat="false" ht="15" hidden="false" customHeight="false" outlineLevel="0" collapsed="false">
      <c r="A1116" s="24" t="str">
        <f aca="false">IF(AND(Payroll!$A1116&lt;&gt;"",N(Payroll!$R1116)&gt;0),"EDR","")</f>
        <v/>
      </c>
      <c r="B1116" s="24" t="str">
        <f aca="false">IF($A1116="","",Payroll!U1116)</f>
        <v/>
      </c>
      <c r="C1116" s="24" t="str">
        <f aca="false">IF($A1116="","",Payroll!S1116)</f>
        <v/>
      </c>
      <c r="D1116" s="24" t="str">
        <f aca="false">IF($A1116="","",SUBSTITUTE(Payroll!T1116," ",""))</f>
        <v/>
      </c>
      <c r="E1116" s="24" t="str">
        <f aca="false">IF($A1116="","",TEXT(Settings!$B$8,"yyyy-mm-dd"))</f>
        <v/>
      </c>
      <c r="F1116" s="24" t="str">
        <f aca="false">IF($A1116="","",TEXT(Settings!$B$9,"yyyy-mm-dd"))</f>
        <v/>
      </c>
      <c r="G1116" s="24" t="str">
        <f aca="false">IF($A1116="","",DAY(Settings!$B$9))</f>
        <v/>
      </c>
      <c r="H1116" s="26" t="str">
        <f aca="false">IF($A1116="","",ROUND(Payroll!R1116-Payroll!L1116-Payroll!M1116,2))</f>
        <v/>
      </c>
      <c r="I1116" s="26" t="str">
        <f aca="false">IF($A1116="","",ROUND(Payroll!L1116+Payroll!M1116,2))</f>
        <v/>
      </c>
      <c r="J1116" s="24" t="str">
        <f aca="false">IF($A1116="","",0)</f>
        <v/>
      </c>
    </row>
    <row r="1117" customFormat="false" ht="15" hidden="false" customHeight="false" outlineLevel="0" collapsed="false">
      <c r="A1117" s="24" t="str">
        <f aca="false">IF(AND(Payroll!$A1117&lt;&gt;"",N(Payroll!$R1117)&gt;0),"EDR","")</f>
        <v/>
      </c>
      <c r="B1117" s="24" t="str">
        <f aca="false">IF($A1117="","",Payroll!U1117)</f>
        <v/>
      </c>
      <c r="C1117" s="24" t="str">
        <f aca="false">IF($A1117="","",Payroll!S1117)</f>
        <v/>
      </c>
      <c r="D1117" s="24" t="str">
        <f aca="false">IF($A1117="","",SUBSTITUTE(Payroll!T1117," ",""))</f>
        <v/>
      </c>
      <c r="E1117" s="24" t="str">
        <f aca="false">IF($A1117="","",TEXT(Settings!$B$8,"yyyy-mm-dd"))</f>
        <v/>
      </c>
      <c r="F1117" s="24" t="str">
        <f aca="false">IF($A1117="","",TEXT(Settings!$B$9,"yyyy-mm-dd"))</f>
        <v/>
      </c>
      <c r="G1117" s="24" t="str">
        <f aca="false">IF($A1117="","",DAY(Settings!$B$9))</f>
        <v/>
      </c>
      <c r="H1117" s="26" t="str">
        <f aca="false">IF($A1117="","",ROUND(Payroll!R1117-Payroll!L1117-Payroll!M1117,2))</f>
        <v/>
      </c>
      <c r="I1117" s="26" t="str">
        <f aca="false">IF($A1117="","",ROUND(Payroll!L1117+Payroll!M1117,2))</f>
        <v/>
      </c>
      <c r="J1117" s="24" t="str">
        <f aca="false">IF($A1117="","",0)</f>
        <v/>
      </c>
    </row>
    <row r="1118" customFormat="false" ht="15" hidden="false" customHeight="false" outlineLevel="0" collapsed="false">
      <c r="A1118" s="24" t="str">
        <f aca="false">IF(AND(Payroll!$A1118&lt;&gt;"",N(Payroll!$R1118)&gt;0),"EDR","")</f>
        <v/>
      </c>
      <c r="B1118" s="24" t="str">
        <f aca="false">IF($A1118="","",Payroll!U1118)</f>
        <v/>
      </c>
      <c r="C1118" s="24" t="str">
        <f aca="false">IF($A1118="","",Payroll!S1118)</f>
        <v/>
      </c>
      <c r="D1118" s="24" t="str">
        <f aca="false">IF($A1118="","",SUBSTITUTE(Payroll!T1118," ",""))</f>
        <v/>
      </c>
      <c r="E1118" s="24" t="str">
        <f aca="false">IF($A1118="","",TEXT(Settings!$B$8,"yyyy-mm-dd"))</f>
        <v/>
      </c>
      <c r="F1118" s="24" t="str">
        <f aca="false">IF($A1118="","",TEXT(Settings!$B$9,"yyyy-mm-dd"))</f>
        <v/>
      </c>
      <c r="G1118" s="24" t="str">
        <f aca="false">IF($A1118="","",DAY(Settings!$B$9))</f>
        <v/>
      </c>
      <c r="H1118" s="26" t="str">
        <f aca="false">IF($A1118="","",ROUND(Payroll!R1118-Payroll!L1118-Payroll!M1118,2))</f>
        <v/>
      </c>
      <c r="I1118" s="26" t="str">
        <f aca="false">IF($A1118="","",ROUND(Payroll!L1118+Payroll!M1118,2))</f>
        <v/>
      </c>
      <c r="J1118" s="24" t="str">
        <f aca="false">IF($A1118="","",0)</f>
        <v/>
      </c>
    </row>
    <row r="1119" customFormat="false" ht="15" hidden="false" customHeight="false" outlineLevel="0" collapsed="false">
      <c r="A1119" s="24" t="str">
        <f aca="false">IF(AND(Payroll!$A1119&lt;&gt;"",N(Payroll!$R1119)&gt;0),"EDR","")</f>
        <v/>
      </c>
      <c r="B1119" s="24" t="str">
        <f aca="false">IF($A1119="","",Payroll!U1119)</f>
        <v/>
      </c>
      <c r="C1119" s="24" t="str">
        <f aca="false">IF($A1119="","",Payroll!S1119)</f>
        <v/>
      </c>
      <c r="D1119" s="24" t="str">
        <f aca="false">IF($A1119="","",SUBSTITUTE(Payroll!T1119," ",""))</f>
        <v/>
      </c>
      <c r="E1119" s="24" t="str">
        <f aca="false">IF($A1119="","",TEXT(Settings!$B$8,"yyyy-mm-dd"))</f>
        <v/>
      </c>
      <c r="F1119" s="24" t="str">
        <f aca="false">IF($A1119="","",TEXT(Settings!$B$9,"yyyy-mm-dd"))</f>
        <v/>
      </c>
      <c r="G1119" s="24" t="str">
        <f aca="false">IF($A1119="","",DAY(Settings!$B$9))</f>
        <v/>
      </c>
      <c r="H1119" s="26" t="str">
        <f aca="false">IF($A1119="","",ROUND(Payroll!R1119-Payroll!L1119-Payroll!M1119,2))</f>
        <v/>
      </c>
      <c r="I1119" s="26" t="str">
        <f aca="false">IF($A1119="","",ROUND(Payroll!L1119+Payroll!M1119,2))</f>
        <v/>
      </c>
      <c r="J1119" s="24" t="str">
        <f aca="false">IF($A1119="","",0)</f>
        <v/>
      </c>
    </row>
    <row r="1120" customFormat="false" ht="15" hidden="false" customHeight="false" outlineLevel="0" collapsed="false">
      <c r="A1120" s="24" t="str">
        <f aca="false">IF(AND(Payroll!$A1120&lt;&gt;"",N(Payroll!$R1120)&gt;0),"EDR","")</f>
        <v/>
      </c>
      <c r="B1120" s="24" t="str">
        <f aca="false">IF($A1120="","",Payroll!U1120)</f>
        <v/>
      </c>
      <c r="C1120" s="24" t="str">
        <f aca="false">IF($A1120="","",Payroll!S1120)</f>
        <v/>
      </c>
      <c r="D1120" s="24" t="str">
        <f aca="false">IF($A1120="","",SUBSTITUTE(Payroll!T1120," ",""))</f>
        <v/>
      </c>
      <c r="E1120" s="24" t="str">
        <f aca="false">IF($A1120="","",TEXT(Settings!$B$8,"yyyy-mm-dd"))</f>
        <v/>
      </c>
      <c r="F1120" s="24" t="str">
        <f aca="false">IF($A1120="","",TEXT(Settings!$B$9,"yyyy-mm-dd"))</f>
        <v/>
      </c>
      <c r="G1120" s="24" t="str">
        <f aca="false">IF($A1120="","",DAY(Settings!$B$9))</f>
        <v/>
      </c>
      <c r="H1120" s="26" t="str">
        <f aca="false">IF($A1120="","",ROUND(Payroll!R1120-Payroll!L1120-Payroll!M1120,2))</f>
        <v/>
      </c>
      <c r="I1120" s="26" t="str">
        <f aca="false">IF($A1120="","",ROUND(Payroll!L1120+Payroll!M1120,2))</f>
        <v/>
      </c>
      <c r="J1120" s="24" t="str">
        <f aca="false">IF($A1120="","",0)</f>
        <v/>
      </c>
    </row>
    <row r="1121" customFormat="false" ht="15" hidden="false" customHeight="false" outlineLevel="0" collapsed="false">
      <c r="A1121" s="24" t="str">
        <f aca="false">IF(AND(Payroll!$A1121&lt;&gt;"",N(Payroll!$R1121)&gt;0),"EDR","")</f>
        <v/>
      </c>
      <c r="B1121" s="24" t="str">
        <f aca="false">IF($A1121="","",Payroll!U1121)</f>
        <v/>
      </c>
      <c r="C1121" s="24" t="str">
        <f aca="false">IF($A1121="","",Payroll!S1121)</f>
        <v/>
      </c>
      <c r="D1121" s="24" t="str">
        <f aca="false">IF($A1121="","",SUBSTITUTE(Payroll!T1121," ",""))</f>
        <v/>
      </c>
      <c r="E1121" s="24" t="str">
        <f aca="false">IF($A1121="","",TEXT(Settings!$B$8,"yyyy-mm-dd"))</f>
        <v/>
      </c>
      <c r="F1121" s="24" t="str">
        <f aca="false">IF($A1121="","",TEXT(Settings!$B$9,"yyyy-mm-dd"))</f>
        <v/>
      </c>
      <c r="G1121" s="24" t="str">
        <f aca="false">IF($A1121="","",DAY(Settings!$B$9))</f>
        <v/>
      </c>
      <c r="H1121" s="26" t="str">
        <f aca="false">IF($A1121="","",ROUND(Payroll!R1121-Payroll!L1121-Payroll!M1121,2))</f>
        <v/>
      </c>
      <c r="I1121" s="26" t="str">
        <f aca="false">IF($A1121="","",ROUND(Payroll!L1121+Payroll!M1121,2))</f>
        <v/>
      </c>
      <c r="J1121" s="24" t="str">
        <f aca="false">IF($A1121="","",0)</f>
        <v/>
      </c>
    </row>
    <row r="1122" customFormat="false" ht="15" hidden="false" customHeight="false" outlineLevel="0" collapsed="false">
      <c r="A1122" s="24" t="str">
        <f aca="false">IF(AND(Payroll!$A1122&lt;&gt;"",N(Payroll!$R1122)&gt;0),"EDR","")</f>
        <v/>
      </c>
      <c r="B1122" s="24" t="str">
        <f aca="false">IF($A1122="","",Payroll!U1122)</f>
        <v/>
      </c>
      <c r="C1122" s="24" t="str">
        <f aca="false">IF($A1122="","",Payroll!S1122)</f>
        <v/>
      </c>
      <c r="D1122" s="24" t="str">
        <f aca="false">IF($A1122="","",SUBSTITUTE(Payroll!T1122," ",""))</f>
        <v/>
      </c>
      <c r="E1122" s="24" t="str">
        <f aca="false">IF($A1122="","",TEXT(Settings!$B$8,"yyyy-mm-dd"))</f>
        <v/>
      </c>
      <c r="F1122" s="24" t="str">
        <f aca="false">IF($A1122="","",TEXT(Settings!$B$9,"yyyy-mm-dd"))</f>
        <v/>
      </c>
      <c r="G1122" s="24" t="str">
        <f aca="false">IF($A1122="","",DAY(Settings!$B$9))</f>
        <v/>
      </c>
      <c r="H1122" s="26" t="str">
        <f aca="false">IF($A1122="","",ROUND(Payroll!R1122-Payroll!L1122-Payroll!M1122,2))</f>
        <v/>
      </c>
      <c r="I1122" s="26" t="str">
        <f aca="false">IF($A1122="","",ROUND(Payroll!L1122+Payroll!M1122,2))</f>
        <v/>
      </c>
      <c r="J1122" s="24" t="str">
        <f aca="false">IF($A1122="","",0)</f>
        <v/>
      </c>
    </row>
    <row r="1123" customFormat="false" ht="15" hidden="false" customHeight="false" outlineLevel="0" collapsed="false">
      <c r="A1123" s="24" t="str">
        <f aca="false">IF(AND(Payroll!$A1123&lt;&gt;"",N(Payroll!$R1123)&gt;0),"EDR","")</f>
        <v/>
      </c>
      <c r="B1123" s="24" t="str">
        <f aca="false">IF($A1123="","",Payroll!U1123)</f>
        <v/>
      </c>
      <c r="C1123" s="24" t="str">
        <f aca="false">IF($A1123="","",Payroll!S1123)</f>
        <v/>
      </c>
      <c r="D1123" s="24" t="str">
        <f aca="false">IF($A1123="","",SUBSTITUTE(Payroll!T1123," ",""))</f>
        <v/>
      </c>
      <c r="E1123" s="24" t="str">
        <f aca="false">IF($A1123="","",TEXT(Settings!$B$8,"yyyy-mm-dd"))</f>
        <v/>
      </c>
      <c r="F1123" s="24" t="str">
        <f aca="false">IF($A1123="","",TEXT(Settings!$B$9,"yyyy-mm-dd"))</f>
        <v/>
      </c>
      <c r="G1123" s="24" t="str">
        <f aca="false">IF($A1123="","",DAY(Settings!$B$9))</f>
        <v/>
      </c>
      <c r="H1123" s="26" t="str">
        <f aca="false">IF($A1123="","",ROUND(Payroll!R1123-Payroll!L1123-Payroll!M1123,2))</f>
        <v/>
      </c>
      <c r="I1123" s="26" t="str">
        <f aca="false">IF($A1123="","",ROUND(Payroll!L1123+Payroll!M1123,2))</f>
        <v/>
      </c>
      <c r="J1123" s="24" t="str">
        <f aca="false">IF($A1123="","",0)</f>
        <v/>
      </c>
    </row>
    <row r="1124" customFormat="false" ht="15" hidden="false" customHeight="false" outlineLevel="0" collapsed="false">
      <c r="A1124" s="24" t="str">
        <f aca="false">IF(AND(Payroll!$A1124&lt;&gt;"",N(Payroll!$R1124)&gt;0),"EDR","")</f>
        <v/>
      </c>
      <c r="B1124" s="24" t="str">
        <f aca="false">IF($A1124="","",Payroll!U1124)</f>
        <v/>
      </c>
      <c r="C1124" s="24" t="str">
        <f aca="false">IF($A1124="","",Payroll!S1124)</f>
        <v/>
      </c>
      <c r="D1124" s="24" t="str">
        <f aca="false">IF($A1124="","",SUBSTITUTE(Payroll!T1124," ",""))</f>
        <v/>
      </c>
      <c r="E1124" s="24" t="str">
        <f aca="false">IF($A1124="","",TEXT(Settings!$B$8,"yyyy-mm-dd"))</f>
        <v/>
      </c>
      <c r="F1124" s="24" t="str">
        <f aca="false">IF($A1124="","",TEXT(Settings!$B$9,"yyyy-mm-dd"))</f>
        <v/>
      </c>
      <c r="G1124" s="24" t="str">
        <f aca="false">IF($A1124="","",DAY(Settings!$B$9))</f>
        <v/>
      </c>
      <c r="H1124" s="26" t="str">
        <f aca="false">IF($A1124="","",ROUND(Payroll!R1124-Payroll!L1124-Payroll!M1124,2))</f>
        <v/>
      </c>
      <c r="I1124" s="26" t="str">
        <f aca="false">IF($A1124="","",ROUND(Payroll!L1124+Payroll!M1124,2))</f>
        <v/>
      </c>
      <c r="J1124" s="24" t="str">
        <f aca="false">IF($A1124="","",0)</f>
        <v/>
      </c>
    </row>
    <row r="1125" customFormat="false" ht="15" hidden="false" customHeight="false" outlineLevel="0" collapsed="false">
      <c r="A1125" s="24" t="str">
        <f aca="false">IF(AND(Payroll!$A1125&lt;&gt;"",N(Payroll!$R1125)&gt;0),"EDR","")</f>
        <v/>
      </c>
      <c r="B1125" s="24" t="str">
        <f aca="false">IF($A1125="","",Payroll!U1125)</f>
        <v/>
      </c>
      <c r="C1125" s="24" t="str">
        <f aca="false">IF($A1125="","",Payroll!S1125)</f>
        <v/>
      </c>
      <c r="D1125" s="24" t="str">
        <f aca="false">IF($A1125="","",SUBSTITUTE(Payroll!T1125," ",""))</f>
        <v/>
      </c>
      <c r="E1125" s="24" t="str">
        <f aca="false">IF($A1125="","",TEXT(Settings!$B$8,"yyyy-mm-dd"))</f>
        <v/>
      </c>
      <c r="F1125" s="24" t="str">
        <f aca="false">IF($A1125="","",TEXT(Settings!$B$9,"yyyy-mm-dd"))</f>
        <v/>
      </c>
      <c r="G1125" s="24" t="str">
        <f aca="false">IF($A1125="","",DAY(Settings!$B$9))</f>
        <v/>
      </c>
      <c r="H1125" s="26" t="str">
        <f aca="false">IF($A1125="","",ROUND(Payroll!R1125-Payroll!L1125-Payroll!M1125,2))</f>
        <v/>
      </c>
      <c r="I1125" s="26" t="str">
        <f aca="false">IF($A1125="","",ROUND(Payroll!L1125+Payroll!M1125,2))</f>
        <v/>
      </c>
      <c r="J1125" s="24" t="str">
        <f aca="false">IF($A1125="","",0)</f>
        <v/>
      </c>
    </row>
    <row r="1126" customFormat="false" ht="15" hidden="false" customHeight="false" outlineLevel="0" collapsed="false">
      <c r="A1126" s="24" t="str">
        <f aca="false">IF(AND(Payroll!$A1126&lt;&gt;"",N(Payroll!$R1126)&gt;0),"EDR","")</f>
        <v/>
      </c>
      <c r="B1126" s="24" t="str">
        <f aca="false">IF($A1126="","",Payroll!U1126)</f>
        <v/>
      </c>
      <c r="C1126" s="24" t="str">
        <f aca="false">IF($A1126="","",Payroll!S1126)</f>
        <v/>
      </c>
      <c r="D1126" s="24" t="str">
        <f aca="false">IF($A1126="","",SUBSTITUTE(Payroll!T1126," ",""))</f>
        <v/>
      </c>
      <c r="E1126" s="24" t="str">
        <f aca="false">IF($A1126="","",TEXT(Settings!$B$8,"yyyy-mm-dd"))</f>
        <v/>
      </c>
      <c r="F1126" s="24" t="str">
        <f aca="false">IF($A1126="","",TEXT(Settings!$B$9,"yyyy-mm-dd"))</f>
        <v/>
      </c>
      <c r="G1126" s="24" t="str">
        <f aca="false">IF($A1126="","",DAY(Settings!$B$9))</f>
        <v/>
      </c>
      <c r="H1126" s="26" t="str">
        <f aca="false">IF($A1126="","",ROUND(Payroll!R1126-Payroll!L1126-Payroll!M1126,2))</f>
        <v/>
      </c>
      <c r="I1126" s="26" t="str">
        <f aca="false">IF($A1126="","",ROUND(Payroll!L1126+Payroll!M1126,2))</f>
        <v/>
      </c>
      <c r="J1126" s="24" t="str">
        <f aca="false">IF($A1126="","",0)</f>
        <v/>
      </c>
    </row>
    <row r="1127" customFormat="false" ht="15" hidden="false" customHeight="false" outlineLevel="0" collapsed="false">
      <c r="A1127" s="24" t="str">
        <f aca="false">IF(AND(Payroll!$A1127&lt;&gt;"",N(Payroll!$R1127)&gt;0),"EDR","")</f>
        <v/>
      </c>
      <c r="B1127" s="24" t="str">
        <f aca="false">IF($A1127="","",Payroll!U1127)</f>
        <v/>
      </c>
      <c r="C1127" s="24" t="str">
        <f aca="false">IF($A1127="","",Payroll!S1127)</f>
        <v/>
      </c>
      <c r="D1127" s="24" t="str">
        <f aca="false">IF($A1127="","",SUBSTITUTE(Payroll!T1127," ",""))</f>
        <v/>
      </c>
      <c r="E1127" s="24" t="str">
        <f aca="false">IF($A1127="","",TEXT(Settings!$B$8,"yyyy-mm-dd"))</f>
        <v/>
      </c>
      <c r="F1127" s="24" t="str">
        <f aca="false">IF($A1127="","",TEXT(Settings!$B$9,"yyyy-mm-dd"))</f>
        <v/>
      </c>
      <c r="G1127" s="24" t="str">
        <f aca="false">IF($A1127="","",DAY(Settings!$B$9))</f>
        <v/>
      </c>
      <c r="H1127" s="26" t="str">
        <f aca="false">IF($A1127="","",ROUND(Payroll!R1127-Payroll!L1127-Payroll!M1127,2))</f>
        <v/>
      </c>
      <c r="I1127" s="26" t="str">
        <f aca="false">IF($A1127="","",ROUND(Payroll!L1127+Payroll!M1127,2))</f>
        <v/>
      </c>
      <c r="J1127" s="24" t="str">
        <f aca="false">IF($A1127="","",0)</f>
        <v/>
      </c>
    </row>
    <row r="1128" customFormat="false" ht="15" hidden="false" customHeight="false" outlineLevel="0" collapsed="false">
      <c r="A1128" s="24" t="str">
        <f aca="false">IF(AND(Payroll!$A1128&lt;&gt;"",N(Payroll!$R1128)&gt;0),"EDR","")</f>
        <v/>
      </c>
      <c r="B1128" s="24" t="str">
        <f aca="false">IF($A1128="","",Payroll!U1128)</f>
        <v/>
      </c>
      <c r="C1128" s="24" t="str">
        <f aca="false">IF($A1128="","",Payroll!S1128)</f>
        <v/>
      </c>
      <c r="D1128" s="24" t="str">
        <f aca="false">IF($A1128="","",SUBSTITUTE(Payroll!T1128," ",""))</f>
        <v/>
      </c>
      <c r="E1128" s="24" t="str">
        <f aca="false">IF($A1128="","",TEXT(Settings!$B$8,"yyyy-mm-dd"))</f>
        <v/>
      </c>
      <c r="F1128" s="24" t="str">
        <f aca="false">IF($A1128="","",TEXT(Settings!$B$9,"yyyy-mm-dd"))</f>
        <v/>
      </c>
      <c r="G1128" s="24" t="str">
        <f aca="false">IF($A1128="","",DAY(Settings!$B$9))</f>
        <v/>
      </c>
      <c r="H1128" s="26" t="str">
        <f aca="false">IF($A1128="","",ROUND(Payroll!R1128-Payroll!L1128-Payroll!M1128,2))</f>
        <v/>
      </c>
      <c r="I1128" s="26" t="str">
        <f aca="false">IF($A1128="","",ROUND(Payroll!L1128+Payroll!M1128,2))</f>
        <v/>
      </c>
      <c r="J1128" s="24" t="str">
        <f aca="false">IF($A1128="","",0)</f>
        <v/>
      </c>
    </row>
    <row r="1129" customFormat="false" ht="15" hidden="false" customHeight="false" outlineLevel="0" collapsed="false">
      <c r="A1129" s="24" t="str">
        <f aca="false">IF(AND(Payroll!$A1129&lt;&gt;"",N(Payroll!$R1129)&gt;0),"EDR","")</f>
        <v/>
      </c>
      <c r="B1129" s="24" t="str">
        <f aca="false">IF($A1129="","",Payroll!U1129)</f>
        <v/>
      </c>
      <c r="C1129" s="24" t="str">
        <f aca="false">IF($A1129="","",Payroll!S1129)</f>
        <v/>
      </c>
      <c r="D1129" s="24" t="str">
        <f aca="false">IF($A1129="","",SUBSTITUTE(Payroll!T1129," ",""))</f>
        <v/>
      </c>
      <c r="E1129" s="24" t="str">
        <f aca="false">IF($A1129="","",TEXT(Settings!$B$8,"yyyy-mm-dd"))</f>
        <v/>
      </c>
      <c r="F1129" s="24" t="str">
        <f aca="false">IF($A1129="","",TEXT(Settings!$B$9,"yyyy-mm-dd"))</f>
        <v/>
      </c>
      <c r="G1129" s="24" t="str">
        <f aca="false">IF($A1129="","",DAY(Settings!$B$9))</f>
        <v/>
      </c>
      <c r="H1129" s="26" t="str">
        <f aca="false">IF($A1129="","",ROUND(Payroll!R1129-Payroll!L1129-Payroll!M1129,2))</f>
        <v/>
      </c>
      <c r="I1129" s="26" t="str">
        <f aca="false">IF($A1129="","",ROUND(Payroll!L1129+Payroll!M1129,2))</f>
        <v/>
      </c>
      <c r="J1129" s="24" t="str">
        <f aca="false">IF($A1129="","",0)</f>
        <v/>
      </c>
    </row>
    <row r="1130" customFormat="false" ht="15" hidden="false" customHeight="false" outlineLevel="0" collapsed="false">
      <c r="A1130" s="24" t="str">
        <f aca="false">IF(AND(Payroll!$A1130&lt;&gt;"",N(Payroll!$R1130)&gt;0),"EDR","")</f>
        <v/>
      </c>
      <c r="B1130" s="24" t="str">
        <f aca="false">IF($A1130="","",Payroll!U1130)</f>
        <v/>
      </c>
      <c r="C1130" s="24" t="str">
        <f aca="false">IF($A1130="","",Payroll!S1130)</f>
        <v/>
      </c>
      <c r="D1130" s="24" t="str">
        <f aca="false">IF($A1130="","",SUBSTITUTE(Payroll!T1130," ",""))</f>
        <v/>
      </c>
      <c r="E1130" s="24" t="str">
        <f aca="false">IF($A1130="","",TEXT(Settings!$B$8,"yyyy-mm-dd"))</f>
        <v/>
      </c>
      <c r="F1130" s="24" t="str">
        <f aca="false">IF($A1130="","",TEXT(Settings!$B$9,"yyyy-mm-dd"))</f>
        <v/>
      </c>
      <c r="G1130" s="24" t="str">
        <f aca="false">IF($A1130="","",DAY(Settings!$B$9))</f>
        <v/>
      </c>
      <c r="H1130" s="26" t="str">
        <f aca="false">IF($A1130="","",ROUND(Payroll!R1130-Payroll!L1130-Payroll!M1130,2))</f>
        <v/>
      </c>
      <c r="I1130" s="26" t="str">
        <f aca="false">IF($A1130="","",ROUND(Payroll!L1130+Payroll!M1130,2))</f>
        <v/>
      </c>
      <c r="J1130" s="24" t="str">
        <f aca="false">IF($A1130="","",0)</f>
        <v/>
      </c>
    </row>
    <row r="1131" customFormat="false" ht="15" hidden="false" customHeight="false" outlineLevel="0" collapsed="false">
      <c r="A1131" s="24" t="str">
        <f aca="false">IF(AND(Payroll!$A1131&lt;&gt;"",N(Payroll!$R1131)&gt;0),"EDR","")</f>
        <v/>
      </c>
      <c r="B1131" s="24" t="str">
        <f aca="false">IF($A1131="","",Payroll!U1131)</f>
        <v/>
      </c>
      <c r="C1131" s="24" t="str">
        <f aca="false">IF($A1131="","",Payroll!S1131)</f>
        <v/>
      </c>
      <c r="D1131" s="24" t="str">
        <f aca="false">IF($A1131="","",SUBSTITUTE(Payroll!T1131," ",""))</f>
        <v/>
      </c>
      <c r="E1131" s="24" t="str">
        <f aca="false">IF($A1131="","",TEXT(Settings!$B$8,"yyyy-mm-dd"))</f>
        <v/>
      </c>
      <c r="F1131" s="24" t="str">
        <f aca="false">IF($A1131="","",TEXT(Settings!$B$9,"yyyy-mm-dd"))</f>
        <v/>
      </c>
      <c r="G1131" s="24" t="str">
        <f aca="false">IF($A1131="","",DAY(Settings!$B$9))</f>
        <v/>
      </c>
      <c r="H1131" s="26" t="str">
        <f aca="false">IF($A1131="","",ROUND(Payroll!R1131-Payroll!L1131-Payroll!M1131,2))</f>
        <v/>
      </c>
      <c r="I1131" s="26" t="str">
        <f aca="false">IF($A1131="","",ROUND(Payroll!L1131+Payroll!M1131,2))</f>
        <v/>
      </c>
      <c r="J1131" s="24" t="str">
        <f aca="false">IF($A1131="","",0)</f>
        <v/>
      </c>
    </row>
    <row r="1132" customFormat="false" ht="15" hidden="false" customHeight="false" outlineLevel="0" collapsed="false">
      <c r="A1132" s="24" t="str">
        <f aca="false">IF(AND(Payroll!$A1132&lt;&gt;"",N(Payroll!$R1132)&gt;0),"EDR","")</f>
        <v/>
      </c>
      <c r="B1132" s="24" t="str">
        <f aca="false">IF($A1132="","",Payroll!U1132)</f>
        <v/>
      </c>
      <c r="C1132" s="24" t="str">
        <f aca="false">IF($A1132="","",Payroll!S1132)</f>
        <v/>
      </c>
      <c r="D1132" s="24" t="str">
        <f aca="false">IF($A1132="","",SUBSTITUTE(Payroll!T1132," ",""))</f>
        <v/>
      </c>
      <c r="E1132" s="24" t="str">
        <f aca="false">IF($A1132="","",TEXT(Settings!$B$8,"yyyy-mm-dd"))</f>
        <v/>
      </c>
      <c r="F1132" s="24" t="str">
        <f aca="false">IF($A1132="","",TEXT(Settings!$B$9,"yyyy-mm-dd"))</f>
        <v/>
      </c>
      <c r="G1132" s="24" t="str">
        <f aca="false">IF($A1132="","",DAY(Settings!$B$9))</f>
        <v/>
      </c>
      <c r="H1132" s="26" t="str">
        <f aca="false">IF($A1132="","",ROUND(Payroll!R1132-Payroll!L1132-Payroll!M1132,2))</f>
        <v/>
      </c>
      <c r="I1132" s="26" t="str">
        <f aca="false">IF($A1132="","",ROUND(Payroll!L1132+Payroll!M1132,2))</f>
        <v/>
      </c>
      <c r="J1132" s="24" t="str">
        <f aca="false">IF($A1132="","",0)</f>
        <v/>
      </c>
    </row>
    <row r="1133" customFormat="false" ht="15" hidden="false" customHeight="false" outlineLevel="0" collapsed="false">
      <c r="A1133" s="24" t="str">
        <f aca="false">IF(AND(Payroll!$A1133&lt;&gt;"",N(Payroll!$R1133)&gt;0),"EDR","")</f>
        <v/>
      </c>
      <c r="B1133" s="24" t="str">
        <f aca="false">IF($A1133="","",Payroll!U1133)</f>
        <v/>
      </c>
      <c r="C1133" s="24" t="str">
        <f aca="false">IF($A1133="","",Payroll!S1133)</f>
        <v/>
      </c>
      <c r="D1133" s="24" t="str">
        <f aca="false">IF($A1133="","",SUBSTITUTE(Payroll!T1133," ",""))</f>
        <v/>
      </c>
      <c r="E1133" s="24" t="str">
        <f aca="false">IF($A1133="","",TEXT(Settings!$B$8,"yyyy-mm-dd"))</f>
        <v/>
      </c>
      <c r="F1133" s="24" t="str">
        <f aca="false">IF($A1133="","",TEXT(Settings!$B$9,"yyyy-mm-dd"))</f>
        <v/>
      </c>
      <c r="G1133" s="24" t="str">
        <f aca="false">IF($A1133="","",DAY(Settings!$B$9))</f>
        <v/>
      </c>
      <c r="H1133" s="26" t="str">
        <f aca="false">IF($A1133="","",ROUND(Payroll!R1133-Payroll!L1133-Payroll!M1133,2))</f>
        <v/>
      </c>
      <c r="I1133" s="26" t="str">
        <f aca="false">IF($A1133="","",ROUND(Payroll!L1133+Payroll!M1133,2))</f>
        <v/>
      </c>
      <c r="J1133" s="24" t="str">
        <f aca="false">IF($A1133="","",0)</f>
        <v/>
      </c>
    </row>
    <row r="1134" customFormat="false" ht="15" hidden="false" customHeight="false" outlineLevel="0" collapsed="false">
      <c r="A1134" s="24" t="str">
        <f aca="false">IF(AND(Payroll!$A1134&lt;&gt;"",N(Payroll!$R1134)&gt;0),"EDR","")</f>
        <v/>
      </c>
      <c r="B1134" s="24" t="str">
        <f aca="false">IF($A1134="","",Payroll!U1134)</f>
        <v/>
      </c>
      <c r="C1134" s="24" t="str">
        <f aca="false">IF($A1134="","",Payroll!S1134)</f>
        <v/>
      </c>
      <c r="D1134" s="24" t="str">
        <f aca="false">IF($A1134="","",SUBSTITUTE(Payroll!T1134," ",""))</f>
        <v/>
      </c>
      <c r="E1134" s="24" t="str">
        <f aca="false">IF($A1134="","",TEXT(Settings!$B$8,"yyyy-mm-dd"))</f>
        <v/>
      </c>
      <c r="F1134" s="24" t="str">
        <f aca="false">IF($A1134="","",TEXT(Settings!$B$9,"yyyy-mm-dd"))</f>
        <v/>
      </c>
      <c r="G1134" s="24" t="str">
        <f aca="false">IF($A1134="","",DAY(Settings!$B$9))</f>
        <v/>
      </c>
      <c r="H1134" s="26" t="str">
        <f aca="false">IF($A1134="","",ROUND(Payroll!R1134-Payroll!L1134-Payroll!M1134,2))</f>
        <v/>
      </c>
      <c r="I1134" s="26" t="str">
        <f aca="false">IF($A1134="","",ROUND(Payroll!L1134+Payroll!M1134,2))</f>
        <v/>
      </c>
      <c r="J1134" s="24" t="str">
        <f aca="false">IF($A1134="","",0)</f>
        <v/>
      </c>
    </row>
    <row r="1135" customFormat="false" ht="15" hidden="false" customHeight="false" outlineLevel="0" collapsed="false">
      <c r="A1135" s="24" t="str">
        <f aca="false">IF(AND(Payroll!$A1135&lt;&gt;"",N(Payroll!$R1135)&gt;0),"EDR","")</f>
        <v/>
      </c>
      <c r="B1135" s="24" t="str">
        <f aca="false">IF($A1135="","",Payroll!U1135)</f>
        <v/>
      </c>
      <c r="C1135" s="24" t="str">
        <f aca="false">IF($A1135="","",Payroll!S1135)</f>
        <v/>
      </c>
      <c r="D1135" s="24" t="str">
        <f aca="false">IF($A1135="","",SUBSTITUTE(Payroll!T1135," ",""))</f>
        <v/>
      </c>
      <c r="E1135" s="24" t="str">
        <f aca="false">IF($A1135="","",TEXT(Settings!$B$8,"yyyy-mm-dd"))</f>
        <v/>
      </c>
      <c r="F1135" s="24" t="str">
        <f aca="false">IF($A1135="","",TEXT(Settings!$B$9,"yyyy-mm-dd"))</f>
        <v/>
      </c>
      <c r="G1135" s="24" t="str">
        <f aca="false">IF($A1135="","",DAY(Settings!$B$9))</f>
        <v/>
      </c>
      <c r="H1135" s="26" t="str">
        <f aca="false">IF($A1135="","",ROUND(Payroll!R1135-Payroll!L1135-Payroll!M1135,2))</f>
        <v/>
      </c>
      <c r="I1135" s="26" t="str">
        <f aca="false">IF($A1135="","",ROUND(Payroll!L1135+Payroll!M1135,2))</f>
        <v/>
      </c>
      <c r="J1135" s="24" t="str">
        <f aca="false">IF($A1135="","",0)</f>
        <v/>
      </c>
    </row>
    <row r="1136" customFormat="false" ht="15" hidden="false" customHeight="false" outlineLevel="0" collapsed="false">
      <c r="A1136" s="24" t="str">
        <f aca="false">IF(AND(Payroll!$A1136&lt;&gt;"",N(Payroll!$R1136)&gt;0),"EDR","")</f>
        <v/>
      </c>
      <c r="B1136" s="24" t="str">
        <f aca="false">IF($A1136="","",Payroll!U1136)</f>
        <v/>
      </c>
      <c r="C1136" s="24" t="str">
        <f aca="false">IF($A1136="","",Payroll!S1136)</f>
        <v/>
      </c>
      <c r="D1136" s="24" t="str">
        <f aca="false">IF($A1136="","",SUBSTITUTE(Payroll!T1136," ",""))</f>
        <v/>
      </c>
      <c r="E1136" s="24" t="str">
        <f aca="false">IF($A1136="","",TEXT(Settings!$B$8,"yyyy-mm-dd"))</f>
        <v/>
      </c>
      <c r="F1136" s="24" t="str">
        <f aca="false">IF($A1136="","",TEXT(Settings!$B$9,"yyyy-mm-dd"))</f>
        <v/>
      </c>
      <c r="G1136" s="24" t="str">
        <f aca="false">IF($A1136="","",DAY(Settings!$B$9))</f>
        <v/>
      </c>
      <c r="H1136" s="26" t="str">
        <f aca="false">IF($A1136="","",ROUND(Payroll!R1136-Payroll!L1136-Payroll!M1136,2))</f>
        <v/>
      </c>
      <c r="I1136" s="26" t="str">
        <f aca="false">IF($A1136="","",ROUND(Payroll!L1136+Payroll!M1136,2))</f>
        <v/>
      </c>
      <c r="J1136" s="24" t="str">
        <f aca="false">IF($A1136="","",0)</f>
        <v/>
      </c>
    </row>
    <row r="1137" customFormat="false" ht="15" hidden="false" customHeight="false" outlineLevel="0" collapsed="false">
      <c r="A1137" s="24" t="str">
        <f aca="false">IF(AND(Payroll!$A1137&lt;&gt;"",N(Payroll!$R1137)&gt;0),"EDR","")</f>
        <v/>
      </c>
      <c r="B1137" s="24" t="str">
        <f aca="false">IF($A1137="","",Payroll!U1137)</f>
        <v/>
      </c>
      <c r="C1137" s="24" t="str">
        <f aca="false">IF($A1137="","",Payroll!S1137)</f>
        <v/>
      </c>
      <c r="D1137" s="24" t="str">
        <f aca="false">IF($A1137="","",SUBSTITUTE(Payroll!T1137," ",""))</f>
        <v/>
      </c>
      <c r="E1137" s="24" t="str">
        <f aca="false">IF($A1137="","",TEXT(Settings!$B$8,"yyyy-mm-dd"))</f>
        <v/>
      </c>
      <c r="F1137" s="24" t="str">
        <f aca="false">IF($A1137="","",TEXT(Settings!$B$9,"yyyy-mm-dd"))</f>
        <v/>
      </c>
      <c r="G1137" s="24" t="str">
        <f aca="false">IF($A1137="","",DAY(Settings!$B$9))</f>
        <v/>
      </c>
      <c r="H1137" s="26" t="str">
        <f aca="false">IF($A1137="","",ROUND(Payroll!R1137-Payroll!L1137-Payroll!M1137,2))</f>
        <v/>
      </c>
      <c r="I1137" s="26" t="str">
        <f aca="false">IF($A1137="","",ROUND(Payroll!L1137+Payroll!M1137,2))</f>
        <v/>
      </c>
      <c r="J1137" s="24" t="str">
        <f aca="false">IF($A1137="","",0)</f>
        <v/>
      </c>
    </row>
    <row r="1138" customFormat="false" ht="15" hidden="false" customHeight="false" outlineLevel="0" collapsed="false">
      <c r="A1138" s="24" t="str">
        <f aca="false">IF(AND(Payroll!$A1138&lt;&gt;"",N(Payroll!$R1138)&gt;0),"EDR","")</f>
        <v/>
      </c>
      <c r="B1138" s="24" t="str">
        <f aca="false">IF($A1138="","",Payroll!U1138)</f>
        <v/>
      </c>
      <c r="C1138" s="24" t="str">
        <f aca="false">IF($A1138="","",Payroll!S1138)</f>
        <v/>
      </c>
      <c r="D1138" s="24" t="str">
        <f aca="false">IF($A1138="","",SUBSTITUTE(Payroll!T1138," ",""))</f>
        <v/>
      </c>
      <c r="E1138" s="24" t="str">
        <f aca="false">IF($A1138="","",TEXT(Settings!$B$8,"yyyy-mm-dd"))</f>
        <v/>
      </c>
      <c r="F1138" s="24" t="str">
        <f aca="false">IF($A1138="","",TEXT(Settings!$B$9,"yyyy-mm-dd"))</f>
        <v/>
      </c>
      <c r="G1138" s="24" t="str">
        <f aca="false">IF($A1138="","",DAY(Settings!$B$9))</f>
        <v/>
      </c>
      <c r="H1138" s="26" t="str">
        <f aca="false">IF($A1138="","",ROUND(Payroll!R1138-Payroll!L1138-Payroll!M1138,2))</f>
        <v/>
      </c>
      <c r="I1138" s="26" t="str">
        <f aca="false">IF($A1138="","",ROUND(Payroll!L1138+Payroll!M1138,2))</f>
        <v/>
      </c>
      <c r="J1138" s="24" t="str">
        <f aca="false">IF($A1138="","",0)</f>
        <v/>
      </c>
    </row>
    <row r="1139" customFormat="false" ht="15" hidden="false" customHeight="false" outlineLevel="0" collapsed="false">
      <c r="A1139" s="24" t="str">
        <f aca="false">IF(AND(Payroll!$A1139&lt;&gt;"",N(Payroll!$R1139)&gt;0),"EDR","")</f>
        <v/>
      </c>
      <c r="B1139" s="24" t="str">
        <f aca="false">IF($A1139="","",Payroll!U1139)</f>
        <v/>
      </c>
      <c r="C1139" s="24" t="str">
        <f aca="false">IF($A1139="","",Payroll!S1139)</f>
        <v/>
      </c>
      <c r="D1139" s="24" t="str">
        <f aca="false">IF($A1139="","",SUBSTITUTE(Payroll!T1139," ",""))</f>
        <v/>
      </c>
      <c r="E1139" s="24" t="str">
        <f aca="false">IF($A1139="","",TEXT(Settings!$B$8,"yyyy-mm-dd"))</f>
        <v/>
      </c>
      <c r="F1139" s="24" t="str">
        <f aca="false">IF($A1139="","",TEXT(Settings!$B$9,"yyyy-mm-dd"))</f>
        <v/>
      </c>
      <c r="G1139" s="24" t="str">
        <f aca="false">IF($A1139="","",DAY(Settings!$B$9))</f>
        <v/>
      </c>
      <c r="H1139" s="26" t="str">
        <f aca="false">IF($A1139="","",ROUND(Payroll!R1139-Payroll!L1139-Payroll!M1139,2))</f>
        <v/>
      </c>
      <c r="I1139" s="26" t="str">
        <f aca="false">IF($A1139="","",ROUND(Payroll!L1139+Payroll!M1139,2))</f>
        <v/>
      </c>
      <c r="J1139" s="24" t="str">
        <f aca="false">IF($A1139="","",0)</f>
        <v/>
      </c>
    </row>
    <row r="1140" customFormat="false" ht="15" hidden="false" customHeight="false" outlineLevel="0" collapsed="false">
      <c r="A1140" s="24" t="str">
        <f aca="false">IF(AND(Payroll!$A1140&lt;&gt;"",N(Payroll!$R1140)&gt;0),"EDR","")</f>
        <v/>
      </c>
      <c r="B1140" s="24" t="str">
        <f aca="false">IF($A1140="","",Payroll!U1140)</f>
        <v/>
      </c>
      <c r="C1140" s="24" t="str">
        <f aca="false">IF($A1140="","",Payroll!S1140)</f>
        <v/>
      </c>
      <c r="D1140" s="24" t="str">
        <f aca="false">IF($A1140="","",SUBSTITUTE(Payroll!T1140," ",""))</f>
        <v/>
      </c>
      <c r="E1140" s="24" t="str">
        <f aca="false">IF($A1140="","",TEXT(Settings!$B$8,"yyyy-mm-dd"))</f>
        <v/>
      </c>
      <c r="F1140" s="24" t="str">
        <f aca="false">IF($A1140="","",TEXT(Settings!$B$9,"yyyy-mm-dd"))</f>
        <v/>
      </c>
      <c r="G1140" s="24" t="str">
        <f aca="false">IF($A1140="","",DAY(Settings!$B$9))</f>
        <v/>
      </c>
      <c r="H1140" s="26" t="str">
        <f aca="false">IF($A1140="","",ROUND(Payroll!R1140-Payroll!L1140-Payroll!M1140,2))</f>
        <v/>
      </c>
      <c r="I1140" s="26" t="str">
        <f aca="false">IF($A1140="","",ROUND(Payroll!L1140+Payroll!M1140,2))</f>
        <v/>
      </c>
      <c r="J1140" s="24" t="str">
        <f aca="false">IF($A1140="","",0)</f>
        <v/>
      </c>
    </row>
    <row r="1141" customFormat="false" ht="15" hidden="false" customHeight="false" outlineLevel="0" collapsed="false">
      <c r="A1141" s="24" t="str">
        <f aca="false">IF(AND(Payroll!$A1141&lt;&gt;"",N(Payroll!$R1141)&gt;0),"EDR","")</f>
        <v/>
      </c>
      <c r="B1141" s="24" t="str">
        <f aca="false">IF($A1141="","",Payroll!U1141)</f>
        <v/>
      </c>
      <c r="C1141" s="24" t="str">
        <f aca="false">IF($A1141="","",Payroll!S1141)</f>
        <v/>
      </c>
      <c r="D1141" s="24" t="str">
        <f aca="false">IF($A1141="","",SUBSTITUTE(Payroll!T1141," ",""))</f>
        <v/>
      </c>
      <c r="E1141" s="24" t="str">
        <f aca="false">IF($A1141="","",TEXT(Settings!$B$8,"yyyy-mm-dd"))</f>
        <v/>
      </c>
      <c r="F1141" s="24" t="str">
        <f aca="false">IF($A1141="","",TEXT(Settings!$B$9,"yyyy-mm-dd"))</f>
        <v/>
      </c>
      <c r="G1141" s="24" t="str">
        <f aca="false">IF($A1141="","",DAY(Settings!$B$9))</f>
        <v/>
      </c>
      <c r="H1141" s="26" t="str">
        <f aca="false">IF($A1141="","",ROUND(Payroll!R1141-Payroll!L1141-Payroll!M1141,2))</f>
        <v/>
      </c>
      <c r="I1141" s="26" t="str">
        <f aca="false">IF($A1141="","",ROUND(Payroll!L1141+Payroll!M1141,2))</f>
        <v/>
      </c>
      <c r="J1141" s="24" t="str">
        <f aca="false">IF($A1141="","",0)</f>
        <v/>
      </c>
    </row>
    <row r="1142" customFormat="false" ht="15" hidden="false" customHeight="false" outlineLevel="0" collapsed="false">
      <c r="A1142" s="24" t="str">
        <f aca="false">IF(AND(Payroll!$A1142&lt;&gt;"",N(Payroll!$R1142)&gt;0),"EDR","")</f>
        <v/>
      </c>
      <c r="B1142" s="24" t="str">
        <f aca="false">IF($A1142="","",Payroll!U1142)</f>
        <v/>
      </c>
      <c r="C1142" s="24" t="str">
        <f aca="false">IF($A1142="","",Payroll!S1142)</f>
        <v/>
      </c>
      <c r="D1142" s="24" t="str">
        <f aca="false">IF($A1142="","",SUBSTITUTE(Payroll!T1142," ",""))</f>
        <v/>
      </c>
      <c r="E1142" s="24" t="str">
        <f aca="false">IF($A1142="","",TEXT(Settings!$B$8,"yyyy-mm-dd"))</f>
        <v/>
      </c>
      <c r="F1142" s="24" t="str">
        <f aca="false">IF($A1142="","",TEXT(Settings!$B$9,"yyyy-mm-dd"))</f>
        <v/>
      </c>
      <c r="G1142" s="24" t="str">
        <f aca="false">IF($A1142="","",DAY(Settings!$B$9))</f>
        <v/>
      </c>
      <c r="H1142" s="26" t="str">
        <f aca="false">IF($A1142="","",ROUND(Payroll!R1142-Payroll!L1142-Payroll!M1142,2))</f>
        <v/>
      </c>
      <c r="I1142" s="26" t="str">
        <f aca="false">IF($A1142="","",ROUND(Payroll!L1142+Payroll!M1142,2))</f>
        <v/>
      </c>
      <c r="J1142" s="24" t="str">
        <f aca="false">IF($A1142="","",0)</f>
        <v/>
      </c>
    </row>
    <row r="1143" customFormat="false" ht="15" hidden="false" customHeight="false" outlineLevel="0" collapsed="false">
      <c r="A1143" s="24" t="str">
        <f aca="false">IF(AND(Payroll!$A1143&lt;&gt;"",N(Payroll!$R1143)&gt;0),"EDR","")</f>
        <v/>
      </c>
      <c r="B1143" s="24" t="str">
        <f aca="false">IF($A1143="","",Payroll!U1143)</f>
        <v/>
      </c>
      <c r="C1143" s="24" t="str">
        <f aca="false">IF($A1143="","",Payroll!S1143)</f>
        <v/>
      </c>
      <c r="D1143" s="24" t="str">
        <f aca="false">IF($A1143="","",SUBSTITUTE(Payroll!T1143," ",""))</f>
        <v/>
      </c>
      <c r="E1143" s="24" t="str">
        <f aca="false">IF($A1143="","",TEXT(Settings!$B$8,"yyyy-mm-dd"))</f>
        <v/>
      </c>
      <c r="F1143" s="24" t="str">
        <f aca="false">IF($A1143="","",TEXT(Settings!$B$9,"yyyy-mm-dd"))</f>
        <v/>
      </c>
      <c r="G1143" s="24" t="str">
        <f aca="false">IF($A1143="","",DAY(Settings!$B$9))</f>
        <v/>
      </c>
      <c r="H1143" s="26" t="str">
        <f aca="false">IF($A1143="","",ROUND(Payroll!R1143-Payroll!L1143-Payroll!M1143,2))</f>
        <v/>
      </c>
      <c r="I1143" s="26" t="str">
        <f aca="false">IF($A1143="","",ROUND(Payroll!L1143+Payroll!M1143,2))</f>
        <v/>
      </c>
      <c r="J1143" s="24" t="str">
        <f aca="false">IF($A1143="","",0)</f>
        <v/>
      </c>
    </row>
    <row r="1144" customFormat="false" ht="15" hidden="false" customHeight="false" outlineLevel="0" collapsed="false">
      <c r="A1144" s="24" t="str">
        <f aca="false">IF(AND(Payroll!$A1144&lt;&gt;"",N(Payroll!$R1144)&gt;0),"EDR","")</f>
        <v/>
      </c>
      <c r="B1144" s="24" t="str">
        <f aca="false">IF($A1144="","",Payroll!U1144)</f>
        <v/>
      </c>
      <c r="C1144" s="24" t="str">
        <f aca="false">IF($A1144="","",Payroll!S1144)</f>
        <v/>
      </c>
      <c r="D1144" s="24" t="str">
        <f aca="false">IF($A1144="","",SUBSTITUTE(Payroll!T1144," ",""))</f>
        <v/>
      </c>
      <c r="E1144" s="24" t="str">
        <f aca="false">IF($A1144="","",TEXT(Settings!$B$8,"yyyy-mm-dd"))</f>
        <v/>
      </c>
      <c r="F1144" s="24" t="str">
        <f aca="false">IF($A1144="","",TEXT(Settings!$B$9,"yyyy-mm-dd"))</f>
        <v/>
      </c>
      <c r="G1144" s="24" t="str">
        <f aca="false">IF($A1144="","",DAY(Settings!$B$9))</f>
        <v/>
      </c>
      <c r="H1144" s="26" t="str">
        <f aca="false">IF($A1144="","",ROUND(Payroll!R1144-Payroll!L1144-Payroll!M1144,2))</f>
        <v/>
      </c>
      <c r="I1144" s="26" t="str">
        <f aca="false">IF($A1144="","",ROUND(Payroll!L1144+Payroll!M1144,2))</f>
        <v/>
      </c>
      <c r="J1144" s="24" t="str">
        <f aca="false">IF($A1144="","",0)</f>
        <v/>
      </c>
    </row>
    <row r="1145" customFormat="false" ht="15" hidden="false" customHeight="false" outlineLevel="0" collapsed="false">
      <c r="A1145" s="24" t="str">
        <f aca="false">IF(AND(Payroll!$A1145&lt;&gt;"",N(Payroll!$R1145)&gt;0),"EDR","")</f>
        <v/>
      </c>
      <c r="B1145" s="24" t="str">
        <f aca="false">IF($A1145="","",Payroll!U1145)</f>
        <v/>
      </c>
      <c r="C1145" s="24" t="str">
        <f aca="false">IF($A1145="","",Payroll!S1145)</f>
        <v/>
      </c>
      <c r="D1145" s="24" t="str">
        <f aca="false">IF($A1145="","",SUBSTITUTE(Payroll!T1145," ",""))</f>
        <v/>
      </c>
      <c r="E1145" s="24" t="str">
        <f aca="false">IF($A1145="","",TEXT(Settings!$B$8,"yyyy-mm-dd"))</f>
        <v/>
      </c>
      <c r="F1145" s="24" t="str">
        <f aca="false">IF($A1145="","",TEXT(Settings!$B$9,"yyyy-mm-dd"))</f>
        <v/>
      </c>
      <c r="G1145" s="24" t="str">
        <f aca="false">IF($A1145="","",DAY(Settings!$B$9))</f>
        <v/>
      </c>
      <c r="H1145" s="26" t="str">
        <f aca="false">IF($A1145="","",ROUND(Payroll!R1145-Payroll!L1145-Payroll!M1145,2))</f>
        <v/>
      </c>
      <c r="I1145" s="26" t="str">
        <f aca="false">IF($A1145="","",ROUND(Payroll!L1145+Payroll!M1145,2))</f>
        <v/>
      </c>
      <c r="J1145" s="24" t="str">
        <f aca="false">IF($A1145="","",0)</f>
        <v/>
      </c>
    </row>
    <row r="1146" customFormat="false" ht="15" hidden="false" customHeight="false" outlineLevel="0" collapsed="false">
      <c r="A1146" s="24" t="str">
        <f aca="false">IF(AND(Payroll!$A1146&lt;&gt;"",N(Payroll!$R1146)&gt;0),"EDR","")</f>
        <v/>
      </c>
      <c r="B1146" s="24" t="str">
        <f aca="false">IF($A1146="","",Payroll!U1146)</f>
        <v/>
      </c>
      <c r="C1146" s="24" t="str">
        <f aca="false">IF($A1146="","",Payroll!S1146)</f>
        <v/>
      </c>
      <c r="D1146" s="24" t="str">
        <f aca="false">IF($A1146="","",SUBSTITUTE(Payroll!T1146," ",""))</f>
        <v/>
      </c>
      <c r="E1146" s="24" t="str">
        <f aca="false">IF($A1146="","",TEXT(Settings!$B$8,"yyyy-mm-dd"))</f>
        <v/>
      </c>
      <c r="F1146" s="24" t="str">
        <f aca="false">IF($A1146="","",TEXT(Settings!$B$9,"yyyy-mm-dd"))</f>
        <v/>
      </c>
      <c r="G1146" s="24" t="str">
        <f aca="false">IF($A1146="","",DAY(Settings!$B$9))</f>
        <v/>
      </c>
      <c r="H1146" s="26" t="str">
        <f aca="false">IF($A1146="","",ROUND(Payroll!R1146-Payroll!L1146-Payroll!M1146,2))</f>
        <v/>
      </c>
      <c r="I1146" s="26" t="str">
        <f aca="false">IF($A1146="","",ROUND(Payroll!L1146+Payroll!M1146,2))</f>
        <v/>
      </c>
      <c r="J1146" s="24" t="str">
        <f aca="false">IF($A1146="","",0)</f>
        <v/>
      </c>
    </row>
    <row r="1147" customFormat="false" ht="15" hidden="false" customHeight="false" outlineLevel="0" collapsed="false">
      <c r="A1147" s="24" t="str">
        <f aca="false">IF(AND(Payroll!$A1147&lt;&gt;"",N(Payroll!$R1147)&gt;0),"EDR","")</f>
        <v/>
      </c>
      <c r="B1147" s="24" t="str">
        <f aca="false">IF($A1147="","",Payroll!U1147)</f>
        <v/>
      </c>
      <c r="C1147" s="24" t="str">
        <f aca="false">IF($A1147="","",Payroll!S1147)</f>
        <v/>
      </c>
      <c r="D1147" s="24" t="str">
        <f aca="false">IF($A1147="","",SUBSTITUTE(Payroll!T1147," ",""))</f>
        <v/>
      </c>
      <c r="E1147" s="24" t="str">
        <f aca="false">IF($A1147="","",TEXT(Settings!$B$8,"yyyy-mm-dd"))</f>
        <v/>
      </c>
      <c r="F1147" s="24" t="str">
        <f aca="false">IF($A1147="","",TEXT(Settings!$B$9,"yyyy-mm-dd"))</f>
        <v/>
      </c>
      <c r="G1147" s="24" t="str">
        <f aca="false">IF($A1147="","",DAY(Settings!$B$9))</f>
        <v/>
      </c>
      <c r="H1147" s="26" t="str">
        <f aca="false">IF($A1147="","",ROUND(Payroll!R1147-Payroll!L1147-Payroll!M1147,2))</f>
        <v/>
      </c>
      <c r="I1147" s="26" t="str">
        <f aca="false">IF($A1147="","",ROUND(Payroll!L1147+Payroll!M1147,2))</f>
        <v/>
      </c>
      <c r="J1147" s="24" t="str">
        <f aca="false">IF($A1147="","",0)</f>
        <v/>
      </c>
    </row>
    <row r="1148" customFormat="false" ht="15" hidden="false" customHeight="false" outlineLevel="0" collapsed="false">
      <c r="A1148" s="24" t="str">
        <f aca="false">IF(AND(Payroll!$A1148&lt;&gt;"",N(Payroll!$R1148)&gt;0),"EDR","")</f>
        <v/>
      </c>
      <c r="B1148" s="24" t="str">
        <f aca="false">IF($A1148="","",Payroll!U1148)</f>
        <v/>
      </c>
      <c r="C1148" s="24" t="str">
        <f aca="false">IF($A1148="","",Payroll!S1148)</f>
        <v/>
      </c>
      <c r="D1148" s="24" t="str">
        <f aca="false">IF($A1148="","",SUBSTITUTE(Payroll!T1148," ",""))</f>
        <v/>
      </c>
      <c r="E1148" s="24" t="str">
        <f aca="false">IF($A1148="","",TEXT(Settings!$B$8,"yyyy-mm-dd"))</f>
        <v/>
      </c>
      <c r="F1148" s="24" t="str">
        <f aca="false">IF($A1148="","",TEXT(Settings!$B$9,"yyyy-mm-dd"))</f>
        <v/>
      </c>
      <c r="G1148" s="24" t="str">
        <f aca="false">IF($A1148="","",DAY(Settings!$B$9))</f>
        <v/>
      </c>
      <c r="H1148" s="26" t="str">
        <f aca="false">IF($A1148="","",ROUND(Payroll!R1148-Payroll!L1148-Payroll!M1148,2))</f>
        <v/>
      </c>
      <c r="I1148" s="26" t="str">
        <f aca="false">IF($A1148="","",ROUND(Payroll!L1148+Payroll!M1148,2))</f>
        <v/>
      </c>
      <c r="J1148" s="24" t="str">
        <f aca="false">IF($A1148="","",0)</f>
        <v/>
      </c>
    </row>
    <row r="1149" customFormat="false" ht="15" hidden="false" customHeight="false" outlineLevel="0" collapsed="false">
      <c r="A1149" s="24" t="str">
        <f aca="false">IF(AND(Payroll!$A1149&lt;&gt;"",N(Payroll!$R1149)&gt;0),"EDR","")</f>
        <v/>
      </c>
      <c r="B1149" s="24" t="str">
        <f aca="false">IF($A1149="","",Payroll!U1149)</f>
        <v/>
      </c>
      <c r="C1149" s="24" t="str">
        <f aca="false">IF($A1149="","",Payroll!S1149)</f>
        <v/>
      </c>
      <c r="D1149" s="24" t="str">
        <f aca="false">IF($A1149="","",SUBSTITUTE(Payroll!T1149," ",""))</f>
        <v/>
      </c>
      <c r="E1149" s="24" t="str">
        <f aca="false">IF($A1149="","",TEXT(Settings!$B$8,"yyyy-mm-dd"))</f>
        <v/>
      </c>
      <c r="F1149" s="24" t="str">
        <f aca="false">IF($A1149="","",TEXT(Settings!$B$9,"yyyy-mm-dd"))</f>
        <v/>
      </c>
      <c r="G1149" s="24" t="str">
        <f aca="false">IF($A1149="","",DAY(Settings!$B$9))</f>
        <v/>
      </c>
      <c r="H1149" s="26" t="str">
        <f aca="false">IF($A1149="","",ROUND(Payroll!R1149-Payroll!L1149-Payroll!M1149,2))</f>
        <v/>
      </c>
      <c r="I1149" s="26" t="str">
        <f aca="false">IF($A1149="","",ROUND(Payroll!L1149+Payroll!M1149,2))</f>
        <v/>
      </c>
      <c r="J1149" s="24" t="str">
        <f aca="false">IF($A1149="","",0)</f>
        <v/>
      </c>
    </row>
    <row r="1150" customFormat="false" ht="15" hidden="false" customHeight="false" outlineLevel="0" collapsed="false">
      <c r="A1150" s="24" t="str">
        <f aca="false">IF(AND(Payroll!$A1150&lt;&gt;"",N(Payroll!$R1150)&gt;0),"EDR","")</f>
        <v/>
      </c>
      <c r="B1150" s="24" t="str">
        <f aca="false">IF($A1150="","",Payroll!U1150)</f>
        <v/>
      </c>
      <c r="C1150" s="24" t="str">
        <f aca="false">IF($A1150="","",Payroll!S1150)</f>
        <v/>
      </c>
      <c r="D1150" s="24" t="str">
        <f aca="false">IF($A1150="","",SUBSTITUTE(Payroll!T1150," ",""))</f>
        <v/>
      </c>
      <c r="E1150" s="24" t="str">
        <f aca="false">IF($A1150="","",TEXT(Settings!$B$8,"yyyy-mm-dd"))</f>
        <v/>
      </c>
      <c r="F1150" s="24" t="str">
        <f aca="false">IF($A1150="","",TEXT(Settings!$B$9,"yyyy-mm-dd"))</f>
        <v/>
      </c>
      <c r="G1150" s="24" t="str">
        <f aca="false">IF($A1150="","",DAY(Settings!$B$9))</f>
        <v/>
      </c>
      <c r="H1150" s="26" t="str">
        <f aca="false">IF($A1150="","",ROUND(Payroll!R1150-Payroll!L1150-Payroll!M1150,2))</f>
        <v/>
      </c>
      <c r="I1150" s="26" t="str">
        <f aca="false">IF($A1150="","",ROUND(Payroll!L1150+Payroll!M1150,2))</f>
        <v/>
      </c>
      <c r="J1150" s="24" t="str">
        <f aca="false">IF($A1150="","",0)</f>
        <v/>
      </c>
    </row>
    <row r="1151" customFormat="false" ht="15" hidden="false" customHeight="false" outlineLevel="0" collapsed="false">
      <c r="A1151" s="24" t="str">
        <f aca="false">IF(AND(Payroll!$A1151&lt;&gt;"",N(Payroll!$R1151)&gt;0),"EDR","")</f>
        <v/>
      </c>
      <c r="B1151" s="24" t="str">
        <f aca="false">IF($A1151="","",Payroll!U1151)</f>
        <v/>
      </c>
      <c r="C1151" s="24" t="str">
        <f aca="false">IF($A1151="","",Payroll!S1151)</f>
        <v/>
      </c>
      <c r="D1151" s="24" t="str">
        <f aca="false">IF($A1151="","",SUBSTITUTE(Payroll!T1151," ",""))</f>
        <v/>
      </c>
      <c r="E1151" s="24" t="str">
        <f aca="false">IF($A1151="","",TEXT(Settings!$B$8,"yyyy-mm-dd"))</f>
        <v/>
      </c>
      <c r="F1151" s="24" t="str">
        <f aca="false">IF($A1151="","",TEXT(Settings!$B$9,"yyyy-mm-dd"))</f>
        <v/>
      </c>
      <c r="G1151" s="24" t="str">
        <f aca="false">IF($A1151="","",DAY(Settings!$B$9))</f>
        <v/>
      </c>
      <c r="H1151" s="26" t="str">
        <f aca="false">IF($A1151="","",ROUND(Payroll!R1151-Payroll!L1151-Payroll!M1151,2))</f>
        <v/>
      </c>
      <c r="I1151" s="26" t="str">
        <f aca="false">IF($A1151="","",ROUND(Payroll!L1151+Payroll!M1151,2))</f>
        <v/>
      </c>
      <c r="J1151" s="24" t="str">
        <f aca="false">IF($A1151="","",0)</f>
        <v/>
      </c>
    </row>
    <row r="1152" customFormat="false" ht="15" hidden="false" customHeight="false" outlineLevel="0" collapsed="false">
      <c r="A1152" s="24" t="str">
        <f aca="false">IF(AND(Payroll!$A1152&lt;&gt;"",N(Payroll!$R1152)&gt;0),"EDR","")</f>
        <v/>
      </c>
      <c r="B1152" s="24" t="str">
        <f aca="false">IF($A1152="","",Payroll!U1152)</f>
        <v/>
      </c>
      <c r="C1152" s="24" t="str">
        <f aca="false">IF($A1152="","",Payroll!S1152)</f>
        <v/>
      </c>
      <c r="D1152" s="24" t="str">
        <f aca="false">IF($A1152="","",SUBSTITUTE(Payroll!T1152," ",""))</f>
        <v/>
      </c>
      <c r="E1152" s="24" t="str">
        <f aca="false">IF($A1152="","",TEXT(Settings!$B$8,"yyyy-mm-dd"))</f>
        <v/>
      </c>
      <c r="F1152" s="24" t="str">
        <f aca="false">IF($A1152="","",TEXT(Settings!$B$9,"yyyy-mm-dd"))</f>
        <v/>
      </c>
      <c r="G1152" s="24" t="str">
        <f aca="false">IF($A1152="","",DAY(Settings!$B$9))</f>
        <v/>
      </c>
      <c r="H1152" s="26" t="str">
        <f aca="false">IF($A1152="","",ROUND(Payroll!R1152-Payroll!L1152-Payroll!M1152,2))</f>
        <v/>
      </c>
      <c r="I1152" s="26" t="str">
        <f aca="false">IF($A1152="","",ROUND(Payroll!L1152+Payroll!M1152,2))</f>
        <v/>
      </c>
      <c r="J1152" s="24" t="str">
        <f aca="false">IF($A1152="","",0)</f>
        <v/>
      </c>
    </row>
    <row r="1153" customFormat="false" ht="15" hidden="false" customHeight="false" outlineLevel="0" collapsed="false">
      <c r="A1153" s="24" t="str">
        <f aca="false">IF(AND(Payroll!$A1153&lt;&gt;"",N(Payroll!$R1153)&gt;0),"EDR","")</f>
        <v/>
      </c>
      <c r="B1153" s="24" t="str">
        <f aca="false">IF($A1153="","",Payroll!U1153)</f>
        <v/>
      </c>
      <c r="C1153" s="24" t="str">
        <f aca="false">IF($A1153="","",Payroll!S1153)</f>
        <v/>
      </c>
      <c r="D1153" s="24" t="str">
        <f aca="false">IF($A1153="","",SUBSTITUTE(Payroll!T1153," ",""))</f>
        <v/>
      </c>
      <c r="E1153" s="24" t="str">
        <f aca="false">IF($A1153="","",TEXT(Settings!$B$8,"yyyy-mm-dd"))</f>
        <v/>
      </c>
      <c r="F1153" s="24" t="str">
        <f aca="false">IF($A1153="","",TEXT(Settings!$B$9,"yyyy-mm-dd"))</f>
        <v/>
      </c>
      <c r="G1153" s="24" t="str">
        <f aca="false">IF($A1153="","",DAY(Settings!$B$9))</f>
        <v/>
      </c>
      <c r="H1153" s="26" t="str">
        <f aca="false">IF($A1153="","",ROUND(Payroll!R1153-Payroll!L1153-Payroll!M1153,2))</f>
        <v/>
      </c>
      <c r="I1153" s="26" t="str">
        <f aca="false">IF($A1153="","",ROUND(Payroll!L1153+Payroll!M1153,2))</f>
        <v/>
      </c>
      <c r="J1153" s="24" t="str">
        <f aca="false">IF($A1153="","",0)</f>
        <v/>
      </c>
    </row>
    <row r="1154" customFormat="false" ht="15" hidden="false" customHeight="false" outlineLevel="0" collapsed="false">
      <c r="A1154" s="24" t="str">
        <f aca="false">IF(AND(Payroll!$A1154&lt;&gt;"",N(Payroll!$R1154)&gt;0),"EDR","")</f>
        <v/>
      </c>
      <c r="B1154" s="24" t="str">
        <f aca="false">IF($A1154="","",Payroll!U1154)</f>
        <v/>
      </c>
      <c r="C1154" s="24" t="str">
        <f aca="false">IF($A1154="","",Payroll!S1154)</f>
        <v/>
      </c>
      <c r="D1154" s="24" t="str">
        <f aca="false">IF($A1154="","",SUBSTITUTE(Payroll!T1154," ",""))</f>
        <v/>
      </c>
      <c r="E1154" s="24" t="str">
        <f aca="false">IF($A1154="","",TEXT(Settings!$B$8,"yyyy-mm-dd"))</f>
        <v/>
      </c>
      <c r="F1154" s="24" t="str">
        <f aca="false">IF($A1154="","",TEXT(Settings!$B$9,"yyyy-mm-dd"))</f>
        <v/>
      </c>
      <c r="G1154" s="24" t="str">
        <f aca="false">IF($A1154="","",DAY(Settings!$B$9))</f>
        <v/>
      </c>
      <c r="H1154" s="26" t="str">
        <f aca="false">IF($A1154="","",ROUND(Payroll!R1154-Payroll!L1154-Payroll!M1154,2))</f>
        <v/>
      </c>
      <c r="I1154" s="26" t="str">
        <f aca="false">IF($A1154="","",ROUND(Payroll!L1154+Payroll!M1154,2))</f>
        <v/>
      </c>
      <c r="J1154" s="24" t="str">
        <f aca="false">IF($A1154="","",0)</f>
        <v/>
      </c>
    </row>
    <row r="1155" customFormat="false" ht="15" hidden="false" customHeight="false" outlineLevel="0" collapsed="false">
      <c r="A1155" s="24" t="str">
        <f aca="false">IF(AND(Payroll!$A1155&lt;&gt;"",N(Payroll!$R1155)&gt;0),"EDR","")</f>
        <v/>
      </c>
      <c r="B1155" s="24" t="str">
        <f aca="false">IF($A1155="","",Payroll!U1155)</f>
        <v/>
      </c>
      <c r="C1155" s="24" t="str">
        <f aca="false">IF($A1155="","",Payroll!S1155)</f>
        <v/>
      </c>
      <c r="D1155" s="24" t="str">
        <f aca="false">IF($A1155="","",SUBSTITUTE(Payroll!T1155," ",""))</f>
        <v/>
      </c>
      <c r="E1155" s="24" t="str">
        <f aca="false">IF($A1155="","",TEXT(Settings!$B$8,"yyyy-mm-dd"))</f>
        <v/>
      </c>
      <c r="F1155" s="24" t="str">
        <f aca="false">IF($A1155="","",TEXT(Settings!$B$9,"yyyy-mm-dd"))</f>
        <v/>
      </c>
      <c r="G1155" s="24" t="str">
        <f aca="false">IF($A1155="","",DAY(Settings!$B$9))</f>
        <v/>
      </c>
      <c r="H1155" s="26" t="str">
        <f aca="false">IF($A1155="","",ROUND(Payroll!R1155-Payroll!L1155-Payroll!M1155,2))</f>
        <v/>
      </c>
      <c r="I1155" s="26" t="str">
        <f aca="false">IF($A1155="","",ROUND(Payroll!L1155+Payroll!M1155,2))</f>
        <v/>
      </c>
      <c r="J1155" s="24" t="str">
        <f aca="false">IF($A1155="","",0)</f>
        <v/>
      </c>
    </row>
    <row r="1156" customFormat="false" ht="15" hidden="false" customHeight="false" outlineLevel="0" collapsed="false">
      <c r="A1156" s="24" t="str">
        <f aca="false">IF(AND(Payroll!$A1156&lt;&gt;"",N(Payroll!$R1156)&gt;0),"EDR","")</f>
        <v/>
      </c>
      <c r="B1156" s="24" t="str">
        <f aca="false">IF($A1156="","",Payroll!U1156)</f>
        <v/>
      </c>
      <c r="C1156" s="24" t="str">
        <f aca="false">IF($A1156="","",Payroll!S1156)</f>
        <v/>
      </c>
      <c r="D1156" s="24" t="str">
        <f aca="false">IF($A1156="","",SUBSTITUTE(Payroll!T1156," ",""))</f>
        <v/>
      </c>
      <c r="E1156" s="24" t="str">
        <f aca="false">IF($A1156="","",TEXT(Settings!$B$8,"yyyy-mm-dd"))</f>
        <v/>
      </c>
      <c r="F1156" s="24" t="str">
        <f aca="false">IF($A1156="","",TEXT(Settings!$B$9,"yyyy-mm-dd"))</f>
        <v/>
      </c>
      <c r="G1156" s="24" t="str">
        <f aca="false">IF($A1156="","",DAY(Settings!$B$9))</f>
        <v/>
      </c>
      <c r="H1156" s="26" t="str">
        <f aca="false">IF($A1156="","",ROUND(Payroll!R1156-Payroll!L1156-Payroll!M1156,2))</f>
        <v/>
      </c>
      <c r="I1156" s="26" t="str">
        <f aca="false">IF($A1156="","",ROUND(Payroll!L1156+Payroll!M1156,2))</f>
        <v/>
      </c>
      <c r="J1156" s="24" t="str">
        <f aca="false">IF($A1156="","",0)</f>
        <v/>
      </c>
    </row>
    <row r="1157" customFormat="false" ht="15" hidden="false" customHeight="false" outlineLevel="0" collapsed="false">
      <c r="A1157" s="24" t="str">
        <f aca="false">IF(AND(Payroll!$A1157&lt;&gt;"",N(Payroll!$R1157)&gt;0),"EDR","")</f>
        <v/>
      </c>
      <c r="B1157" s="24" t="str">
        <f aca="false">IF($A1157="","",Payroll!U1157)</f>
        <v/>
      </c>
      <c r="C1157" s="24" t="str">
        <f aca="false">IF($A1157="","",Payroll!S1157)</f>
        <v/>
      </c>
      <c r="D1157" s="24" t="str">
        <f aca="false">IF($A1157="","",SUBSTITUTE(Payroll!T1157," ",""))</f>
        <v/>
      </c>
      <c r="E1157" s="24" t="str">
        <f aca="false">IF($A1157="","",TEXT(Settings!$B$8,"yyyy-mm-dd"))</f>
        <v/>
      </c>
      <c r="F1157" s="24" t="str">
        <f aca="false">IF($A1157="","",TEXT(Settings!$B$9,"yyyy-mm-dd"))</f>
        <v/>
      </c>
      <c r="G1157" s="24" t="str">
        <f aca="false">IF($A1157="","",DAY(Settings!$B$9))</f>
        <v/>
      </c>
      <c r="H1157" s="26" t="str">
        <f aca="false">IF($A1157="","",ROUND(Payroll!R1157-Payroll!L1157-Payroll!M1157,2))</f>
        <v/>
      </c>
      <c r="I1157" s="26" t="str">
        <f aca="false">IF($A1157="","",ROUND(Payroll!L1157+Payroll!M1157,2))</f>
        <v/>
      </c>
      <c r="J1157" s="24" t="str">
        <f aca="false">IF($A1157="","",0)</f>
        <v/>
      </c>
    </row>
    <row r="1158" customFormat="false" ht="15" hidden="false" customHeight="false" outlineLevel="0" collapsed="false">
      <c r="A1158" s="24" t="str">
        <f aca="false">IF(AND(Payroll!$A1158&lt;&gt;"",N(Payroll!$R1158)&gt;0),"EDR","")</f>
        <v/>
      </c>
      <c r="B1158" s="24" t="str">
        <f aca="false">IF($A1158="","",Payroll!U1158)</f>
        <v/>
      </c>
      <c r="C1158" s="24" t="str">
        <f aca="false">IF($A1158="","",Payroll!S1158)</f>
        <v/>
      </c>
      <c r="D1158" s="24" t="str">
        <f aca="false">IF($A1158="","",SUBSTITUTE(Payroll!T1158," ",""))</f>
        <v/>
      </c>
      <c r="E1158" s="24" t="str">
        <f aca="false">IF($A1158="","",TEXT(Settings!$B$8,"yyyy-mm-dd"))</f>
        <v/>
      </c>
      <c r="F1158" s="24" t="str">
        <f aca="false">IF($A1158="","",TEXT(Settings!$B$9,"yyyy-mm-dd"))</f>
        <v/>
      </c>
      <c r="G1158" s="24" t="str">
        <f aca="false">IF($A1158="","",DAY(Settings!$B$9))</f>
        <v/>
      </c>
      <c r="H1158" s="26" t="str">
        <f aca="false">IF($A1158="","",ROUND(Payroll!R1158-Payroll!L1158-Payroll!M1158,2))</f>
        <v/>
      </c>
      <c r="I1158" s="26" t="str">
        <f aca="false">IF($A1158="","",ROUND(Payroll!L1158+Payroll!M1158,2))</f>
        <v/>
      </c>
      <c r="J1158" s="24" t="str">
        <f aca="false">IF($A1158="","",0)</f>
        <v/>
      </c>
    </row>
    <row r="1159" customFormat="false" ht="15" hidden="false" customHeight="false" outlineLevel="0" collapsed="false">
      <c r="A1159" s="24" t="str">
        <f aca="false">IF(AND(Payroll!$A1159&lt;&gt;"",N(Payroll!$R1159)&gt;0),"EDR","")</f>
        <v/>
      </c>
      <c r="B1159" s="24" t="str">
        <f aca="false">IF($A1159="","",Payroll!U1159)</f>
        <v/>
      </c>
      <c r="C1159" s="24" t="str">
        <f aca="false">IF($A1159="","",Payroll!S1159)</f>
        <v/>
      </c>
      <c r="D1159" s="24" t="str">
        <f aca="false">IF($A1159="","",SUBSTITUTE(Payroll!T1159," ",""))</f>
        <v/>
      </c>
      <c r="E1159" s="24" t="str">
        <f aca="false">IF($A1159="","",TEXT(Settings!$B$8,"yyyy-mm-dd"))</f>
        <v/>
      </c>
      <c r="F1159" s="24" t="str">
        <f aca="false">IF($A1159="","",TEXT(Settings!$B$9,"yyyy-mm-dd"))</f>
        <v/>
      </c>
      <c r="G1159" s="24" t="str">
        <f aca="false">IF($A1159="","",DAY(Settings!$B$9))</f>
        <v/>
      </c>
      <c r="H1159" s="26" t="str">
        <f aca="false">IF($A1159="","",ROUND(Payroll!R1159-Payroll!L1159-Payroll!M1159,2))</f>
        <v/>
      </c>
      <c r="I1159" s="26" t="str">
        <f aca="false">IF($A1159="","",ROUND(Payroll!L1159+Payroll!M1159,2))</f>
        <v/>
      </c>
      <c r="J1159" s="24" t="str">
        <f aca="false">IF($A1159="","",0)</f>
        <v/>
      </c>
    </row>
    <row r="1160" customFormat="false" ht="15" hidden="false" customHeight="false" outlineLevel="0" collapsed="false">
      <c r="A1160" s="24" t="str">
        <f aca="false">IF(AND(Payroll!$A1160&lt;&gt;"",N(Payroll!$R1160)&gt;0),"EDR","")</f>
        <v/>
      </c>
      <c r="B1160" s="24" t="str">
        <f aca="false">IF($A1160="","",Payroll!U1160)</f>
        <v/>
      </c>
      <c r="C1160" s="24" t="str">
        <f aca="false">IF($A1160="","",Payroll!S1160)</f>
        <v/>
      </c>
      <c r="D1160" s="24" t="str">
        <f aca="false">IF($A1160="","",SUBSTITUTE(Payroll!T1160," ",""))</f>
        <v/>
      </c>
      <c r="E1160" s="24" t="str">
        <f aca="false">IF($A1160="","",TEXT(Settings!$B$8,"yyyy-mm-dd"))</f>
        <v/>
      </c>
      <c r="F1160" s="24" t="str">
        <f aca="false">IF($A1160="","",TEXT(Settings!$B$9,"yyyy-mm-dd"))</f>
        <v/>
      </c>
      <c r="G1160" s="24" t="str">
        <f aca="false">IF($A1160="","",DAY(Settings!$B$9))</f>
        <v/>
      </c>
      <c r="H1160" s="26" t="str">
        <f aca="false">IF($A1160="","",ROUND(Payroll!R1160-Payroll!L1160-Payroll!M1160,2))</f>
        <v/>
      </c>
      <c r="I1160" s="26" t="str">
        <f aca="false">IF($A1160="","",ROUND(Payroll!L1160+Payroll!M1160,2))</f>
        <v/>
      </c>
      <c r="J1160" s="24" t="str">
        <f aca="false">IF($A1160="","",0)</f>
        <v/>
      </c>
    </row>
    <row r="1161" customFormat="false" ht="15" hidden="false" customHeight="false" outlineLevel="0" collapsed="false">
      <c r="A1161" s="24" t="str">
        <f aca="false">IF(AND(Payroll!$A1161&lt;&gt;"",N(Payroll!$R1161)&gt;0),"EDR","")</f>
        <v/>
      </c>
      <c r="B1161" s="24" t="str">
        <f aca="false">IF($A1161="","",Payroll!U1161)</f>
        <v/>
      </c>
      <c r="C1161" s="24" t="str">
        <f aca="false">IF($A1161="","",Payroll!S1161)</f>
        <v/>
      </c>
      <c r="D1161" s="24" t="str">
        <f aca="false">IF($A1161="","",SUBSTITUTE(Payroll!T1161," ",""))</f>
        <v/>
      </c>
      <c r="E1161" s="24" t="str">
        <f aca="false">IF($A1161="","",TEXT(Settings!$B$8,"yyyy-mm-dd"))</f>
        <v/>
      </c>
      <c r="F1161" s="24" t="str">
        <f aca="false">IF($A1161="","",TEXT(Settings!$B$9,"yyyy-mm-dd"))</f>
        <v/>
      </c>
      <c r="G1161" s="24" t="str">
        <f aca="false">IF($A1161="","",DAY(Settings!$B$9))</f>
        <v/>
      </c>
      <c r="H1161" s="26" t="str">
        <f aca="false">IF($A1161="","",ROUND(Payroll!R1161-Payroll!L1161-Payroll!M1161,2))</f>
        <v/>
      </c>
      <c r="I1161" s="26" t="str">
        <f aca="false">IF($A1161="","",ROUND(Payroll!L1161+Payroll!M1161,2))</f>
        <v/>
      </c>
      <c r="J1161" s="24" t="str">
        <f aca="false">IF($A1161="","",0)</f>
        <v/>
      </c>
    </row>
    <row r="1162" customFormat="false" ht="15" hidden="false" customHeight="false" outlineLevel="0" collapsed="false">
      <c r="A1162" s="24" t="str">
        <f aca="false">IF(AND(Payroll!$A1162&lt;&gt;"",N(Payroll!$R1162)&gt;0),"EDR","")</f>
        <v/>
      </c>
      <c r="B1162" s="24" t="str">
        <f aca="false">IF($A1162="","",Payroll!U1162)</f>
        <v/>
      </c>
      <c r="C1162" s="24" t="str">
        <f aca="false">IF($A1162="","",Payroll!S1162)</f>
        <v/>
      </c>
      <c r="D1162" s="24" t="str">
        <f aca="false">IF($A1162="","",SUBSTITUTE(Payroll!T1162," ",""))</f>
        <v/>
      </c>
      <c r="E1162" s="24" t="str">
        <f aca="false">IF($A1162="","",TEXT(Settings!$B$8,"yyyy-mm-dd"))</f>
        <v/>
      </c>
      <c r="F1162" s="24" t="str">
        <f aca="false">IF($A1162="","",TEXT(Settings!$B$9,"yyyy-mm-dd"))</f>
        <v/>
      </c>
      <c r="G1162" s="24" t="str">
        <f aca="false">IF($A1162="","",DAY(Settings!$B$9))</f>
        <v/>
      </c>
      <c r="H1162" s="26" t="str">
        <f aca="false">IF($A1162="","",ROUND(Payroll!R1162-Payroll!L1162-Payroll!M1162,2))</f>
        <v/>
      </c>
      <c r="I1162" s="26" t="str">
        <f aca="false">IF($A1162="","",ROUND(Payroll!L1162+Payroll!M1162,2))</f>
        <v/>
      </c>
      <c r="J1162" s="24" t="str">
        <f aca="false">IF($A1162="","",0)</f>
        <v/>
      </c>
    </row>
    <row r="1163" customFormat="false" ht="15" hidden="false" customHeight="false" outlineLevel="0" collapsed="false">
      <c r="A1163" s="24" t="str">
        <f aca="false">IF(AND(Payroll!$A1163&lt;&gt;"",N(Payroll!$R1163)&gt;0),"EDR","")</f>
        <v/>
      </c>
      <c r="B1163" s="24" t="str">
        <f aca="false">IF($A1163="","",Payroll!U1163)</f>
        <v/>
      </c>
      <c r="C1163" s="24" t="str">
        <f aca="false">IF($A1163="","",Payroll!S1163)</f>
        <v/>
      </c>
      <c r="D1163" s="24" t="str">
        <f aca="false">IF($A1163="","",SUBSTITUTE(Payroll!T1163," ",""))</f>
        <v/>
      </c>
      <c r="E1163" s="24" t="str">
        <f aca="false">IF($A1163="","",TEXT(Settings!$B$8,"yyyy-mm-dd"))</f>
        <v/>
      </c>
      <c r="F1163" s="24" t="str">
        <f aca="false">IF($A1163="","",TEXT(Settings!$B$9,"yyyy-mm-dd"))</f>
        <v/>
      </c>
      <c r="G1163" s="24" t="str">
        <f aca="false">IF($A1163="","",DAY(Settings!$B$9))</f>
        <v/>
      </c>
      <c r="H1163" s="26" t="str">
        <f aca="false">IF($A1163="","",ROUND(Payroll!R1163-Payroll!L1163-Payroll!M1163,2))</f>
        <v/>
      </c>
      <c r="I1163" s="26" t="str">
        <f aca="false">IF($A1163="","",ROUND(Payroll!L1163+Payroll!M1163,2))</f>
        <v/>
      </c>
      <c r="J1163" s="24" t="str">
        <f aca="false">IF($A1163="","",0)</f>
        <v/>
      </c>
    </row>
    <row r="1164" customFormat="false" ht="15" hidden="false" customHeight="false" outlineLevel="0" collapsed="false">
      <c r="A1164" s="24" t="str">
        <f aca="false">IF(AND(Payroll!$A1164&lt;&gt;"",N(Payroll!$R1164)&gt;0),"EDR","")</f>
        <v/>
      </c>
      <c r="B1164" s="24" t="str">
        <f aca="false">IF($A1164="","",Payroll!U1164)</f>
        <v/>
      </c>
      <c r="C1164" s="24" t="str">
        <f aca="false">IF($A1164="","",Payroll!S1164)</f>
        <v/>
      </c>
      <c r="D1164" s="24" t="str">
        <f aca="false">IF($A1164="","",SUBSTITUTE(Payroll!T1164," ",""))</f>
        <v/>
      </c>
      <c r="E1164" s="24" t="str">
        <f aca="false">IF($A1164="","",TEXT(Settings!$B$8,"yyyy-mm-dd"))</f>
        <v/>
      </c>
      <c r="F1164" s="24" t="str">
        <f aca="false">IF($A1164="","",TEXT(Settings!$B$9,"yyyy-mm-dd"))</f>
        <v/>
      </c>
      <c r="G1164" s="24" t="str">
        <f aca="false">IF($A1164="","",DAY(Settings!$B$9))</f>
        <v/>
      </c>
      <c r="H1164" s="26" t="str">
        <f aca="false">IF($A1164="","",ROUND(Payroll!R1164-Payroll!L1164-Payroll!M1164,2))</f>
        <v/>
      </c>
      <c r="I1164" s="26" t="str">
        <f aca="false">IF($A1164="","",ROUND(Payroll!L1164+Payroll!M1164,2))</f>
        <v/>
      </c>
      <c r="J1164" s="24" t="str">
        <f aca="false">IF($A1164="","",0)</f>
        <v/>
      </c>
    </row>
    <row r="1165" customFormat="false" ht="15" hidden="false" customHeight="false" outlineLevel="0" collapsed="false">
      <c r="A1165" s="24" t="str">
        <f aca="false">IF(AND(Payroll!$A1165&lt;&gt;"",N(Payroll!$R1165)&gt;0),"EDR","")</f>
        <v/>
      </c>
      <c r="B1165" s="24" t="str">
        <f aca="false">IF($A1165="","",Payroll!U1165)</f>
        <v/>
      </c>
      <c r="C1165" s="24" t="str">
        <f aca="false">IF($A1165="","",Payroll!S1165)</f>
        <v/>
      </c>
      <c r="D1165" s="24" t="str">
        <f aca="false">IF($A1165="","",SUBSTITUTE(Payroll!T1165," ",""))</f>
        <v/>
      </c>
      <c r="E1165" s="24" t="str">
        <f aca="false">IF($A1165="","",TEXT(Settings!$B$8,"yyyy-mm-dd"))</f>
        <v/>
      </c>
      <c r="F1165" s="24" t="str">
        <f aca="false">IF($A1165="","",TEXT(Settings!$B$9,"yyyy-mm-dd"))</f>
        <v/>
      </c>
      <c r="G1165" s="24" t="str">
        <f aca="false">IF($A1165="","",DAY(Settings!$B$9))</f>
        <v/>
      </c>
      <c r="H1165" s="26" t="str">
        <f aca="false">IF($A1165="","",ROUND(Payroll!R1165-Payroll!L1165-Payroll!M1165,2))</f>
        <v/>
      </c>
      <c r="I1165" s="26" t="str">
        <f aca="false">IF($A1165="","",ROUND(Payroll!L1165+Payroll!M1165,2))</f>
        <v/>
      </c>
      <c r="J1165" s="24" t="str">
        <f aca="false">IF($A1165="","",0)</f>
        <v/>
      </c>
    </row>
    <row r="1166" customFormat="false" ht="15" hidden="false" customHeight="false" outlineLevel="0" collapsed="false">
      <c r="A1166" s="24" t="str">
        <f aca="false">IF(AND(Payroll!$A1166&lt;&gt;"",N(Payroll!$R1166)&gt;0),"EDR","")</f>
        <v/>
      </c>
      <c r="B1166" s="24" t="str">
        <f aca="false">IF($A1166="","",Payroll!U1166)</f>
        <v/>
      </c>
      <c r="C1166" s="24" t="str">
        <f aca="false">IF($A1166="","",Payroll!S1166)</f>
        <v/>
      </c>
      <c r="D1166" s="24" t="str">
        <f aca="false">IF($A1166="","",SUBSTITUTE(Payroll!T1166," ",""))</f>
        <v/>
      </c>
      <c r="E1166" s="24" t="str">
        <f aca="false">IF($A1166="","",TEXT(Settings!$B$8,"yyyy-mm-dd"))</f>
        <v/>
      </c>
      <c r="F1166" s="24" t="str">
        <f aca="false">IF($A1166="","",TEXT(Settings!$B$9,"yyyy-mm-dd"))</f>
        <v/>
      </c>
      <c r="G1166" s="24" t="str">
        <f aca="false">IF($A1166="","",DAY(Settings!$B$9))</f>
        <v/>
      </c>
      <c r="H1166" s="26" t="str">
        <f aca="false">IF($A1166="","",ROUND(Payroll!R1166-Payroll!L1166-Payroll!M1166,2))</f>
        <v/>
      </c>
      <c r="I1166" s="26" t="str">
        <f aca="false">IF($A1166="","",ROUND(Payroll!L1166+Payroll!M1166,2))</f>
        <v/>
      </c>
      <c r="J1166" s="24" t="str">
        <f aca="false">IF($A1166="","",0)</f>
        <v/>
      </c>
    </row>
    <row r="1167" customFormat="false" ht="15" hidden="false" customHeight="false" outlineLevel="0" collapsed="false">
      <c r="A1167" s="24" t="str">
        <f aca="false">IF(AND(Payroll!$A1167&lt;&gt;"",N(Payroll!$R1167)&gt;0),"EDR","")</f>
        <v/>
      </c>
      <c r="B1167" s="24" t="str">
        <f aca="false">IF($A1167="","",Payroll!U1167)</f>
        <v/>
      </c>
      <c r="C1167" s="24" t="str">
        <f aca="false">IF($A1167="","",Payroll!S1167)</f>
        <v/>
      </c>
      <c r="D1167" s="24" t="str">
        <f aca="false">IF($A1167="","",SUBSTITUTE(Payroll!T1167," ",""))</f>
        <v/>
      </c>
      <c r="E1167" s="24" t="str">
        <f aca="false">IF($A1167="","",TEXT(Settings!$B$8,"yyyy-mm-dd"))</f>
        <v/>
      </c>
      <c r="F1167" s="24" t="str">
        <f aca="false">IF($A1167="","",TEXT(Settings!$B$9,"yyyy-mm-dd"))</f>
        <v/>
      </c>
      <c r="G1167" s="24" t="str">
        <f aca="false">IF($A1167="","",DAY(Settings!$B$9))</f>
        <v/>
      </c>
      <c r="H1167" s="26" t="str">
        <f aca="false">IF($A1167="","",ROUND(Payroll!R1167-Payroll!L1167-Payroll!M1167,2))</f>
        <v/>
      </c>
      <c r="I1167" s="26" t="str">
        <f aca="false">IF($A1167="","",ROUND(Payroll!L1167+Payroll!M1167,2))</f>
        <v/>
      </c>
      <c r="J1167" s="24" t="str">
        <f aca="false">IF($A1167="","",0)</f>
        <v/>
      </c>
    </row>
    <row r="1168" customFormat="false" ht="15" hidden="false" customHeight="false" outlineLevel="0" collapsed="false">
      <c r="A1168" s="24" t="str">
        <f aca="false">IF(AND(Payroll!$A1168&lt;&gt;"",N(Payroll!$R1168)&gt;0),"EDR","")</f>
        <v/>
      </c>
      <c r="B1168" s="24" t="str">
        <f aca="false">IF($A1168="","",Payroll!U1168)</f>
        <v/>
      </c>
      <c r="C1168" s="24" t="str">
        <f aca="false">IF($A1168="","",Payroll!S1168)</f>
        <v/>
      </c>
      <c r="D1168" s="24" t="str">
        <f aca="false">IF($A1168="","",SUBSTITUTE(Payroll!T1168," ",""))</f>
        <v/>
      </c>
      <c r="E1168" s="24" t="str">
        <f aca="false">IF($A1168="","",TEXT(Settings!$B$8,"yyyy-mm-dd"))</f>
        <v/>
      </c>
      <c r="F1168" s="24" t="str">
        <f aca="false">IF($A1168="","",TEXT(Settings!$B$9,"yyyy-mm-dd"))</f>
        <v/>
      </c>
      <c r="G1168" s="24" t="str">
        <f aca="false">IF($A1168="","",DAY(Settings!$B$9))</f>
        <v/>
      </c>
      <c r="H1168" s="26" t="str">
        <f aca="false">IF($A1168="","",ROUND(Payroll!R1168-Payroll!L1168-Payroll!M1168,2))</f>
        <v/>
      </c>
      <c r="I1168" s="26" t="str">
        <f aca="false">IF($A1168="","",ROUND(Payroll!L1168+Payroll!M1168,2))</f>
        <v/>
      </c>
      <c r="J1168" s="24" t="str">
        <f aca="false">IF($A1168="","",0)</f>
        <v/>
      </c>
    </row>
    <row r="1169" customFormat="false" ht="15" hidden="false" customHeight="false" outlineLevel="0" collapsed="false">
      <c r="A1169" s="24" t="str">
        <f aca="false">IF(AND(Payroll!$A1169&lt;&gt;"",N(Payroll!$R1169)&gt;0),"EDR","")</f>
        <v/>
      </c>
      <c r="B1169" s="24" t="str">
        <f aca="false">IF($A1169="","",Payroll!U1169)</f>
        <v/>
      </c>
      <c r="C1169" s="24" t="str">
        <f aca="false">IF($A1169="","",Payroll!S1169)</f>
        <v/>
      </c>
      <c r="D1169" s="24" t="str">
        <f aca="false">IF($A1169="","",SUBSTITUTE(Payroll!T1169," ",""))</f>
        <v/>
      </c>
      <c r="E1169" s="24" t="str">
        <f aca="false">IF($A1169="","",TEXT(Settings!$B$8,"yyyy-mm-dd"))</f>
        <v/>
      </c>
      <c r="F1169" s="24" t="str">
        <f aca="false">IF($A1169="","",TEXT(Settings!$B$9,"yyyy-mm-dd"))</f>
        <v/>
      </c>
      <c r="G1169" s="24" t="str">
        <f aca="false">IF($A1169="","",DAY(Settings!$B$9))</f>
        <v/>
      </c>
      <c r="H1169" s="26" t="str">
        <f aca="false">IF($A1169="","",ROUND(Payroll!R1169-Payroll!L1169-Payroll!M1169,2))</f>
        <v/>
      </c>
      <c r="I1169" s="26" t="str">
        <f aca="false">IF($A1169="","",ROUND(Payroll!L1169+Payroll!M1169,2))</f>
        <v/>
      </c>
      <c r="J1169" s="24" t="str">
        <f aca="false">IF($A1169="","",0)</f>
        <v/>
      </c>
    </row>
    <row r="1170" customFormat="false" ht="15" hidden="false" customHeight="false" outlineLevel="0" collapsed="false">
      <c r="A1170" s="24" t="str">
        <f aca="false">IF(AND(Payroll!$A1170&lt;&gt;"",N(Payroll!$R1170)&gt;0),"EDR","")</f>
        <v/>
      </c>
      <c r="B1170" s="24" t="str">
        <f aca="false">IF($A1170="","",Payroll!U1170)</f>
        <v/>
      </c>
      <c r="C1170" s="24" t="str">
        <f aca="false">IF($A1170="","",Payroll!S1170)</f>
        <v/>
      </c>
      <c r="D1170" s="24" t="str">
        <f aca="false">IF($A1170="","",SUBSTITUTE(Payroll!T1170," ",""))</f>
        <v/>
      </c>
      <c r="E1170" s="24" t="str">
        <f aca="false">IF($A1170="","",TEXT(Settings!$B$8,"yyyy-mm-dd"))</f>
        <v/>
      </c>
      <c r="F1170" s="24" t="str">
        <f aca="false">IF($A1170="","",TEXT(Settings!$B$9,"yyyy-mm-dd"))</f>
        <v/>
      </c>
      <c r="G1170" s="24" t="str">
        <f aca="false">IF($A1170="","",DAY(Settings!$B$9))</f>
        <v/>
      </c>
      <c r="H1170" s="26" t="str">
        <f aca="false">IF($A1170="","",ROUND(Payroll!R1170-Payroll!L1170-Payroll!M1170,2))</f>
        <v/>
      </c>
      <c r="I1170" s="26" t="str">
        <f aca="false">IF($A1170="","",ROUND(Payroll!L1170+Payroll!M1170,2))</f>
        <v/>
      </c>
      <c r="J1170" s="24" t="str">
        <f aca="false">IF($A1170="","",0)</f>
        <v/>
      </c>
    </row>
    <row r="1171" customFormat="false" ht="15" hidden="false" customHeight="false" outlineLevel="0" collapsed="false">
      <c r="A1171" s="24" t="str">
        <f aca="false">IF(AND(Payroll!$A1171&lt;&gt;"",N(Payroll!$R1171)&gt;0),"EDR","")</f>
        <v/>
      </c>
      <c r="B1171" s="24" t="str">
        <f aca="false">IF($A1171="","",Payroll!U1171)</f>
        <v/>
      </c>
      <c r="C1171" s="24" t="str">
        <f aca="false">IF($A1171="","",Payroll!S1171)</f>
        <v/>
      </c>
      <c r="D1171" s="24" t="str">
        <f aca="false">IF($A1171="","",SUBSTITUTE(Payroll!T1171," ",""))</f>
        <v/>
      </c>
      <c r="E1171" s="24" t="str">
        <f aca="false">IF($A1171="","",TEXT(Settings!$B$8,"yyyy-mm-dd"))</f>
        <v/>
      </c>
      <c r="F1171" s="24" t="str">
        <f aca="false">IF($A1171="","",TEXT(Settings!$B$9,"yyyy-mm-dd"))</f>
        <v/>
      </c>
      <c r="G1171" s="24" t="str">
        <f aca="false">IF($A1171="","",DAY(Settings!$B$9))</f>
        <v/>
      </c>
      <c r="H1171" s="26" t="str">
        <f aca="false">IF($A1171="","",ROUND(Payroll!R1171-Payroll!L1171-Payroll!M1171,2))</f>
        <v/>
      </c>
      <c r="I1171" s="26" t="str">
        <f aca="false">IF($A1171="","",ROUND(Payroll!L1171+Payroll!M1171,2))</f>
        <v/>
      </c>
      <c r="J1171" s="24" t="str">
        <f aca="false">IF($A1171="","",0)</f>
        <v/>
      </c>
    </row>
    <row r="1172" customFormat="false" ht="15" hidden="false" customHeight="false" outlineLevel="0" collapsed="false">
      <c r="A1172" s="24" t="str">
        <f aca="false">IF(AND(Payroll!$A1172&lt;&gt;"",N(Payroll!$R1172)&gt;0),"EDR","")</f>
        <v/>
      </c>
      <c r="B1172" s="24" t="str">
        <f aca="false">IF($A1172="","",Payroll!U1172)</f>
        <v/>
      </c>
      <c r="C1172" s="24" t="str">
        <f aca="false">IF($A1172="","",Payroll!S1172)</f>
        <v/>
      </c>
      <c r="D1172" s="24" t="str">
        <f aca="false">IF($A1172="","",SUBSTITUTE(Payroll!T1172," ",""))</f>
        <v/>
      </c>
      <c r="E1172" s="24" t="str">
        <f aca="false">IF($A1172="","",TEXT(Settings!$B$8,"yyyy-mm-dd"))</f>
        <v/>
      </c>
      <c r="F1172" s="24" t="str">
        <f aca="false">IF($A1172="","",TEXT(Settings!$B$9,"yyyy-mm-dd"))</f>
        <v/>
      </c>
      <c r="G1172" s="24" t="str">
        <f aca="false">IF($A1172="","",DAY(Settings!$B$9))</f>
        <v/>
      </c>
      <c r="H1172" s="26" t="str">
        <f aca="false">IF($A1172="","",ROUND(Payroll!R1172-Payroll!L1172-Payroll!M1172,2))</f>
        <v/>
      </c>
      <c r="I1172" s="26" t="str">
        <f aca="false">IF($A1172="","",ROUND(Payroll!L1172+Payroll!M1172,2))</f>
        <v/>
      </c>
      <c r="J1172" s="24" t="str">
        <f aca="false">IF($A1172="","",0)</f>
        <v/>
      </c>
    </row>
    <row r="1173" customFormat="false" ht="15" hidden="false" customHeight="false" outlineLevel="0" collapsed="false">
      <c r="A1173" s="24" t="str">
        <f aca="false">IF(AND(Payroll!$A1173&lt;&gt;"",N(Payroll!$R1173)&gt;0),"EDR","")</f>
        <v/>
      </c>
      <c r="B1173" s="24" t="str">
        <f aca="false">IF($A1173="","",Payroll!U1173)</f>
        <v/>
      </c>
      <c r="C1173" s="24" t="str">
        <f aca="false">IF($A1173="","",Payroll!S1173)</f>
        <v/>
      </c>
      <c r="D1173" s="24" t="str">
        <f aca="false">IF($A1173="","",SUBSTITUTE(Payroll!T1173," ",""))</f>
        <v/>
      </c>
      <c r="E1173" s="24" t="str">
        <f aca="false">IF($A1173="","",TEXT(Settings!$B$8,"yyyy-mm-dd"))</f>
        <v/>
      </c>
      <c r="F1173" s="24" t="str">
        <f aca="false">IF($A1173="","",TEXT(Settings!$B$9,"yyyy-mm-dd"))</f>
        <v/>
      </c>
      <c r="G1173" s="24" t="str">
        <f aca="false">IF($A1173="","",DAY(Settings!$B$9))</f>
        <v/>
      </c>
      <c r="H1173" s="26" t="str">
        <f aca="false">IF($A1173="","",ROUND(Payroll!R1173-Payroll!L1173-Payroll!M1173,2))</f>
        <v/>
      </c>
      <c r="I1173" s="26" t="str">
        <f aca="false">IF($A1173="","",ROUND(Payroll!L1173+Payroll!M1173,2))</f>
        <v/>
      </c>
      <c r="J1173" s="24" t="str">
        <f aca="false">IF($A1173="","",0)</f>
        <v/>
      </c>
    </row>
    <row r="1174" customFormat="false" ht="15" hidden="false" customHeight="false" outlineLevel="0" collapsed="false">
      <c r="A1174" s="24" t="str">
        <f aca="false">IF(AND(Payroll!$A1174&lt;&gt;"",N(Payroll!$R1174)&gt;0),"EDR","")</f>
        <v/>
      </c>
      <c r="B1174" s="24" t="str">
        <f aca="false">IF($A1174="","",Payroll!U1174)</f>
        <v/>
      </c>
      <c r="C1174" s="24" t="str">
        <f aca="false">IF($A1174="","",Payroll!S1174)</f>
        <v/>
      </c>
      <c r="D1174" s="24" t="str">
        <f aca="false">IF($A1174="","",SUBSTITUTE(Payroll!T1174," ",""))</f>
        <v/>
      </c>
      <c r="E1174" s="24" t="str">
        <f aca="false">IF($A1174="","",TEXT(Settings!$B$8,"yyyy-mm-dd"))</f>
        <v/>
      </c>
      <c r="F1174" s="24" t="str">
        <f aca="false">IF($A1174="","",TEXT(Settings!$B$9,"yyyy-mm-dd"))</f>
        <v/>
      </c>
      <c r="G1174" s="24" t="str">
        <f aca="false">IF($A1174="","",DAY(Settings!$B$9))</f>
        <v/>
      </c>
      <c r="H1174" s="26" t="str">
        <f aca="false">IF($A1174="","",ROUND(Payroll!R1174-Payroll!L1174-Payroll!M1174,2))</f>
        <v/>
      </c>
      <c r="I1174" s="26" t="str">
        <f aca="false">IF($A1174="","",ROUND(Payroll!L1174+Payroll!M1174,2))</f>
        <v/>
      </c>
      <c r="J1174" s="24" t="str">
        <f aca="false">IF($A1174="","",0)</f>
        <v/>
      </c>
    </row>
    <row r="1175" customFormat="false" ht="15" hidden="false" customHeight="false" outlineLevel="0" collapsed="false">
      <c r="A1175" s="24" t="str">
        <f aca="false">IF(AND(Payroll!$A1175&lt;&gt;"",N(Payroll!$R1175)&gt;0),"EDR","")</f>
        <v/>
      </c>
      <c r="B1175" s="24" t="str">
        <f aca="false">IF($A1175="","",Payroll!U1175)</f>
        <v/>
      </c>
      <c r="C1175" s="24" t="str">
        <f aca="false">IF($A1175="","",Payroll!S1175)</f>
        <v/>
      </c>
      <c r="D1175" s="24" t="str">
        <f aca="false">IF($A1175="","",SUBSTITUTE(Payroll!T1175," ",""))</f>
        <v/>
      </c>
      <c r="E1175" s="24" t="str">
        <f aca="false">IF($A1175="","",TEXT(Settings!$B$8,"yyyy-mm-dd"))</f>
        <v/>
      </c>
      <c r="F1175" s="24" t="str">
        <f aca="false">IF($A1175="","",TEXT(Settings!$B$9,"yyyy-mm-dd"))</f>
        <v/>
      </c>
      <c r="G1175" s="24" t="str">
        <f aca="false">IF($A1175="","",DAY(Settings!$B$9))</f>
        <v/>
      </c>
      <c r="H1175" s="26" t="str">
        <f aca="false">IF($A1175="","",ROUND(Payroll!R1175-Payroll!L1175-Payroll!M1175,2))</f>
        <v/>
      </c>
      <c r="I1175" s="26" t="str">
        <f aca="false">IF($A1175="","",ROUND(Payroll!L1175+Payroll!M1175,2))</f>
        <v/>
      </c>
      <c r="J1175" s="24" t="str">
        <f aca="false">IF($A1175="","",0)</f>
        <v/>
      </c>
    </row>
    <row r="1176" customFormat="false" ht="15" hidden="false" customHeight="false" outlineLevel="0" collapsed="false">
      <c r="A1176" s="24" t="str">
        <f aca="false">IF(AND(Payroll!$A1176&lt;&gt;"",N(Payroll!$R1176)&gt;0),"EDR","")</f>
        <v/>
      </c>
      <c r="B1176" s="24" t="str">
        <f aca="false">IF($A1176="","",Payroll!U1176)</f>
        <v/>
      </c>
      <c r="C1176" s="24" t="str">
        <f aca="false">IF($A1176="","",Payroll!S1176)</f>
        <v/>
      </c>
      <c r="D1176" s="24" t="str">
        <f aca="false">IF($A1176="","",SUBSTITUTE(Payroll!T1176," ",""))</f>
        <v/>
      </c>
      <c r="E1176" s="24" t="str">
        <f aca="false">IF($A1176="","",TEXT(Settings!$B$8,"yyyy-mm-dd"))</f>
        <v/>
      </c>
      <c r="F1176" s="24" t="str">
        <f aca="false">IF($A1176="","",TEXT(Settings!$B$9,"yyyy-mm-dd"))</f>
        <v/>
      </c>
      <c r="G1176" s="24" t="str">
        <f aca="false">IF($A1176="","",DAY(Settings!$B$9))</f>
        <v/>
      </c>
      <c r="H1176" s="26" t="str">
        <f aca="false">IF($A1176="","",ROUND(Payroll!R1176-Payroll!L1176-Payroll!M1176,2))</f>
        <v/>
      </c>
      <c r="I1176" s="26" t="str">
        <f aca="false">IF($A1176="","",ROUND(Payroll!L1176+Payroll!M1176,2))</f>
        <v/>
      </c>
      <c r="J1176" s="24" t="str">
        <f aca="false">IF($A1176="","",0)</f>
        <v/>
      </c>
    </row>
    <row r="1177" customFormat="false" ht="15" hidden="false" customHeight="false" outlineLevel="0" collapsed="false">
      <c r="A1177" s="24" t="str">
        <f aca="false">IF(AND(Payroll!$A1177&lt;&gt;"",N(Payroll!$R1177)&gt;0),"EDR","")</f>
        <v/>
      </c>
      <c r="B1177" s="24" t="str">
        <f aca="false">IF($A1177="","",Payroll!U1177)</f>
        <v/>
      </c>
      <c r="C1177" s="24" t="str">
        <f aca="false">IF($A1177="","",Payroll!S1177)</f>
        <v/>
      </c>
      <c r="D1177" s="24" t="str">
        <f aca="false">IF($A1177="","",SUBSTITUTE(Payroll!T1177," ",""))</f>
        <v/>
      </c>
      <c r="E1177" s="24" t="str">
        <f aca="false">IF($A1177="","",TEXT(Settings!$B$8,"yyyy-mm-dd"))</f>
        <v/>
      </c>
      <c r="F1177" s="24" t="str">
        <f aca="false">IF($A1177="","",TEXT(Settings!$B$9,"yyyy-mm-dd"))</f>
        <v/>
      </c>
      <c r="G1177" s="24" t="str">
        <f aca="false">IF($A1177="","",DAY(Settings!$B$9))</f>
        <v/>
      </c>
      <c r="H1177" s="26" t="str">
        <f aca="false">IF($A1177="","",ROUND(Payroll!R1177-Payroll!L1177-Payroll!M1177,2))</f>
        <v/>
      </c>
      <c r="I1177" s="26" t="str">
        <f aca="false">IF($A1177="","",ROUND(Payroll!L1177+Payroll!M1177,2))</f>
        <v/>
      </c>
      <c r="J1177" s="24" t="str">
        <f aca="false">IF($A1177="","",0)</f>
        <v/>
      </c>
    </row>
    <row r="1178" customFormat="false" ht="15" hidden="false" customHeight="false" outlineLevel="0" collapsed="false">
      <c r="A1178" s="24" t="str">
        <f aca="false">IF(AND(Payroll!$A1178&lt;&gt;"",N(Payroll!$R1178)&gt;0),"EDR","")</f>
        <v/>
      </c>
      <c r="B1178" s="24" t="str">
        <f aca="false">IF($A1178="","",Payroll!U1178)</f>
        <v/>
      </c>
      <c r="C1178" s="24" t="str">
        <f aca="false">IF($A1178="","",Payroll!S1178)</f>
        <v/>
      </c>
      <c r="D1178" s="24" t="str">
        <f aca="false">IF($A1178="","",SUBSTITUTE(Payroll!T1178," ",""))</f>
        <v/>
      </c>
      <c r="E1178" s="24" t="str">
        <f aca="false">IF($A1178="","",TEXT(Settings!$B$8,"yyyy-mm-dd"))</f>
        <v/>
      </c>
      <c r="F1178" s="24" t="str">
        <f aca="false">IF($A1178="","",TEXT(Settings!$B$9,"yyyy-mm-dd"))</f>
        <v/>
      </c>
      <c r="G1178" s="24" t="str">
        <f aca="false">IF($A1178="","",DAY(Settings!$B$9))</f>
        <v/>
      </c>
      <c r="H1178" s="26" t="str">
        <f aca="false">IF($A1178="","",ROUND(Payroll!R1178-Payroll!L1178-Payroll!M1178,2))</f>
        <v/>
      </c>
      <c r="I1178" s="26" t="str">
        <f aca="false">IF($A1178="","",ROUND(Payroll!L1178+Payroll!M1178,2))</f>
        <v/>
      </c>
      <c r="J1178" s="24" t="str">
        <f aca="false">IF($A1178="","",0)</f>
        <v/>
      </c>
    </row>
    <row r="1179" customFormat="false" ht="15" hidden="false" customHeight="false" outlineLevel="0" collapsed="false">
      <c r="A1179" s="24" t="str">
        <f aca="false">IF(AND(Payroll!$A1179&lt;&gt;"",N(Payroll!$R1179)&gt;0),"EDR","")</f>
        <v/>
      </c>
      <c r="B1179" s="24" t="str">
        <f aca="false">IF($A1179="","",Payroll!U1179)</f>
        <v/>
      </c>
      <c r="C1179" s="24" t="str">
        <f aca="false">IF($A1179="","",Payroll!S1179)</f>
        <v/>
      </c>
      <c r="D1179" s="24" t="str">
        <f aca="false">IF($A1179="","",SUBSTITUTE(Payroll!T1179," ",""))</f>
        <v/>
      </c>
      <c r="E1179" s="24" t="str">
        <f aca="false">IF($A1179="","",TEXT(Settings!$B$8,"yyyy-mm-dd"))</f>
        <v/>
      </c>
      <c r="F1179" s="24" t="str">
        <f aca="false">IF($A1179="","",TEXT(Settings!$B$9,"yyyy-mm-dd"))</f>
        <v/>
      </c>
      <c r="G1179" s="24" t="str">
        <f aca="false">IF($A1179="","",DAY(Settings!$B$9))</f>
        <v/>
      </c>
      <c r="H1179" s="26" t="str">
        <f aca="false">IF($A1179="","",ROUND(Payroll!R1179-Payroll!L1179-Payroll!M1179,2))</f>
        <v/>
      </c>
      <c r="I1179" s="26" t="str">
        <f aca="false">IF($A1179="","",ROUND(Payroll!L1179+Payroll!M1179,2))</f>
        <v/>
      </c>
      <c r="J1179" s="24" t="str">
        <f aca="false">IF($A1179="","",0)</f>
        <v/>
      </c>
    </row>
    <row r="1180" customFormat="false" ht="15" hidden="false" customHeight="false" outlineLevel="0" collapsed="false">
      <c r="A1180" s="24" t="str">
        <f aca="false">IF(AND(Payroll!$A1180&lt;&gt;"",N(Payroll!$R1180)&gt;0),"EDR","")</f>
        <v/>
      </c>
      <c r="B1180" s="24" t="str">
        <f aca="false">IF($A1180="","",Payroll!U1180)</f>
        <v/>
      </c>
      <c r="C1180" s="24" t="str">
        <f aca="false">IF($A1180="","",Payroll!S1180)</f>
        <v/>
      </c>
      <c r="D1180" s="24" t="str">
        <f aca="false">IF($A1180="","",SUBSTITUTE(Payroll!T1180," ",""))</f>
        <v/>
      </c>
      <c r="E1180" s="24" t="str">
        <f aca="false">IF($A1180="","",TEXT(Settings!$B$8,"yyyy-mm-dd"))</f>
        <v/>
      </c>
      <c r="F1180" s="24" t="str">
        <f aca="false">IF($A1180="","",TEXT(Settings!$B$9,"yyyy-mm-dd"))</f>
        <v/>
      </c>
      <c r="G1180" s="24" t="str">
        <f aca="false">IF($A1180="","",DAY(Settings!$B$9))</f>
        <v/>
      </c>
      <c r="H1180" s="26" t="str">
        <f aca="false">IF($A1180="","",ROUND(Payroll!R1180-Payroll!L1180-Payroll!M1180,2))</f>
        <v/>
      </c>
      <c r="I1180" s="26" t="str">
        <f aca="false">IF($A1180="","",ROUND(Payroll!L1180+Payroll!M1180,2))</f>
        <v/>
      </c>
      <c r="J1180" s="24" t="str">
        <f aca="false">IF($A1180="","",0)</f>
        <v/>
      </c>
    </row>
    <row r="1181" customFormat="false" ht="15" hidden="false" customHeight="false" outlineLevel="0" collapsed="false">
      <c r="A1181" s="24" t="str">
        <f aca="false">IF(AND(Payroll!$A1181&lt;&gt;"",N(Payroll!$R1181)&gt;0),"EDR","")</f>
        <v/>
      </c>
      <c r="B1181" s="24" t="str">
        <f aca="false">IF($A1181="","",Payroll!U1181)</f>
        <v/>
      </c>
      <c r="C1181" s="24" t="str">
        <f aca="false">IF($A1181="","",Payroll!S1181)</f>
        <v/>
      </c>
      <c r="D1181" s="24" t="str">
        <f aca="false">IF($A1181="","",SUBSTITUTE(Payroll!T1181," ",""))</f>
        <v/>
      </c>
      <c r="E1181" s="24" t="str">
        <f aca="false">IF($A1181="","",TEXT(Settings!$B$8,"yyyy-mm-dd"))</f>
        <v/>
      </c>
      <c r="F1181" s="24" t="str">
        <f aca="false">IF($A1181="","",TEXT(Settings!$B$9,"yyyy-mm-dd"))</f>
        <v/>
      </c>
      <c r="G1181" s="24" t="str">
        <f aca="false">IF($A1181="","",DAY(Settings!$B$9))</f>
        <v/>
      </c>
      <c r="H1181" s="26" t="str">
        <f aca="false">IF($A1181="","",ROUND(Payroll!R1181-Payroll!L1181-Payroll!M1181,2))</f>
        <v/>
      </c>
      <c r="I1181" s="26" t="str">
        <f aca="false">IF($A1181="","",ROUND(Payroll!L1181+Payroll!M1181,2))</f>
        <v/>
      </c>
      <c r="J1181" s="24" t="str">
        <f aca="false">IF($A1181="","",0)</f>
        <v/>
      </c>
    </row>
    <row r="1182" customFormat="false" ht="15" hidden="false" customHeight="false" outlineLevel="0" collapsed="false">
      <c r="A1182" s="24" t="str">
        <f aca="false">IF(AND(Payroll!$A1182&lt;&gt;"",N(Payroll!$R1182)&gt;0),"EDR","")</f>
        <v/>
      </c>
      <c r="B1182" s="24" t="str">
        <f aca="false">IF($A1182="","",Payroll!U1182)</f>
        <v/>
      </c>
      <c r="C1182" s="24" t="str">
        <f aca="false">IF($A1182="","",Payroll!S1182)</f>
        <v/>
      </c>
      <c r="D1182" s="24" t="str">
        <f aca="false">IF($A1182="","",SUBSTITUTE(Payroll!T1182," ",""))</f>
        <v/>
      </c>
      <c r="E1182" s="24" t="str">
        <f aca="false">IF($A1182="","",TEXT(Settings!$B$8,"yyyy-mm-dd"))</f>
        <v/>
      </c>
      <c r="F1182" s="24" t="str">
        <f aca="false">IF($A1182="","",TEXT(Settings!$B$9,"yyyy-mm-dd"))</f>
        <v/>
      </c>
      <c r="G1182" s="24" t="str">
        <f aca="false">IF($A1182="","",DAY(Settings!$B$9))</f>
        <v/>
      </c>
      <c r="H1182" s="26" t="str">
        <f aca="false">IF($A1182="","",ROUND(Payroll!R1182-Payroll!L1182-Payroll!M1182,2))</f>
        <v/>
      </c>
      <c r="I1182" s="26" t="str">
        <f aca="false">IF($A1182="","",ROUND(Payroll!L1182+Payroll!M1182,2))</f>
        <v/>
      </c>
      <c r="J1182" s="24" t="str">
        <f aca="false">IF($A1182="","",0)</f>
        <v/>
      </c>
    </row>
    <row r="1183" customFormat="false" ht="15" hidden="false" customHeight="false" outlineLevel="0" collapsed="false">
      <c r="A1183" s="24" t="str">
        <f aca="false">IF(AND(Payroll!$A1183&lt;&gt;"",N(Payroll!$R1183)&gt;0),"EDR","")</f>
        <v/>
      </c>
      <c r="B1183" s="24" t="str">
        <f aca="false">IF($A1183="","",Payroll!U1183)</f>
        <v/>
      </c>
      <c r="C1183" s="24" t="str">
        <f aca="false">IF($A1183="","",Payroll!S1183)</f>
        <v/>
      </c>
      <c r="D1183" s="24" t="str">
        <f aca="false">IF($A1183="","",SUBSTITUTE(Payroll!T1183," ",""))</f>
        <v/>
      </c>
      <c r="E1183" s="24" t="str">
        <f aca="false">IF($A1183="","",TEXT(Settings!$B$8,"yyyy-mm-dd"))</f>
        <v/>
      </c>
      <c r="F1183" s="24" t="str">
        <f aca="false">IF($A1183="","",TEXT(Settings!$B$9,"yyyy-mm-dd"))</f>
        <v/>
      </c>
      <c r="G1183" s="24" t="str">
        <f aca="false">IF($A1183="","",DAY(Settings!$B$9))</f>
        <v/>
      </c>
      <c r="H1183" s="26" t="str">
        <f aca="false">IF($A1183="","",ROUND(Payroll!R1183-Payroll!L1183-Payroll!M1183,2))</f>
        <v/>
      </c>
      <c r="I1183" s="26" t="str">
        <f aca="false">IF($A1183="","",ROUND(Payroll!L1183+Payroll!M1183,2))</f>
        <v/>
      </c>
      <c r="J1183" s="24" t="str">
        <f aca="false">IF($A1183="","",0)</f>
        <v/>
      </c>
    </row>
    <row r="1184" customFormat="false" ht="15" hidden="false" customHeight="false" outlineLevel="0" collapsed="false">
      <c r="A1184" s="24" t="str">
        <f aca="false">IF(AND(Payroll!$A1184&lt;&gt;"",N(Payroll!$R1184)&gt;0),"EDR","")</f>
        <v/>
      </c>
      <c r="B1184" s="24" t="str">
        <f aca="false">IF($A1184="","",Payroll!U1184)</f>
        <v/>
      </c>
      <c r="C1184" s="24" t="str">
        <f aca="false">IF($A1184="","",Payroll!S1184)</f>
        <v/>
      </c>
      <c r="D1184" s="24" t="str">
        <f aca="false">IF($A1184="","",SUBSTITUTE(Payroll!T1184," ",""))</f>
        <v/>
      </c>
      <c r="E1184" s="24" t="str">
        <f aca="false">IF($A1184="","",TEXT(Settings!$B$8,"yyyy-mm-dd"))</f>
        <v/>
      </c>
      <c r="F1184" s="24" t="str">
        <f aca="false">IF($A1184="","",TEXT(Settings!$B$9,"yyyy-mm-dd"))</f>
        <v/>
      </c>
      <c r="G1184" s="24" t="str">
        <f aca="false">IF($A1184="","",DAY(Settings!$B$9))</f>
        <v/>
      </c>
      <c r="H1184" s="26" t="str">
        <f aca="false">IF($A1184="","",ROUND(Payroll!R1184-Payroll!L1184-Payroll!M1184,2))</f>
        <v/>
      </c>
      <c r="I1184" s="26" t="str">
        <f aca="false">IF($A1184="","",ROUND(Payroll!L1184+Payroll!M1184,2))</f>
        <v/>
      </c>
      <c r="J1184" s="24" t="str">
        <f aca="false">IF($A1184="","",0)</f>
        <v/>
      </c>
    </row>
    <row r="1185" customFormat="false" ht="15" hidden="false" customHeight="false" outlineLevel="0" collapsed="false">
      <c r="A1185" s="24" t="str">
        <f aca="false">IF(AND(Payroll!$A1185&lt;&gt;"",N(Payroll!$R1185)&gt;0),"EDR","")</f>
        <v/>
      </c>
      <c r="B1185" s="24" t="str">
        <f aca="false">IF($A1185="","",Payroll!U1185)</f>
        <v/>
      </c>
      <c r="C1185" s="24" t="str">
        <f aca="false">IF($A1185="","",Payroll!S1185)</f>
        <v/>
      </c>
      <c r="D1185" s="24" t="str">
        <f aca="false">IF($A1185="","",SUBSTITUTE(Payroll!T1185," ",""))</f>
        <v/>
      </c>
      <c r="E1185" s="24" t="str">
        <f aca="false">IF($A1185="","",TEXT(Settings!$B$8,"yyyy-mm-dd"))</f>
        <v/>
      </c>
      <c r="F1185" s="24" t="str">
        <f aca="false">IF($A1185="","",TEXT(Settings!$B$9,"yyyy-mm-dd"))</f>
        <v/>
      </c>
      <c r="G1185" s="24" t="str">
        <f aca="false">IF($A1185="","",DAY(Settings!$B$9))</f>
        <v/>
      </c>
      <c r="H1185" s="26" t="str">
        <f aca="false">IF($A1185="","",ROUND(Payroll!R1185-Payroll!L1185-Payroll!M1185,2))</f>
        <v/>
      </c>
      <c r="I1185" s="26" t="str">
        <f aca="false">IF($A1185="","",ROUND(Payroll!L1185+Payroll!M1185,2))</f>
        <v/>
      </c>
      <c r="J1185" s="24" t="str">
        <f aca="false">IF($A1185="","",0)</f>
        <v/>
      </c>
    </row>
    <row r="1186" customFormat="false" ht="15" hidden="false" customHeight="false" outlineLevel="0" collapsed="false">
      <c r="A1186" s="24" t="str">
        <f aca="false">IF(AND(Payroll!$A1186&lt;&gt;"",N(Payroll!$R1186)&gt;0),"EDR","")</f>
        <v/>
      </c>
      <c r="B1186" s="24" t="str">
        <f aca="false">IF($A1186="","",Payroll!U1186)</f>
        <v/>
      </c>
      <c r="C1186" s="24" t="str">
        <f aca="false">IF($A1186="","",Payroll!S1186)</f>
        <v/>
      </c>
      <c r="D1186" s="24" t="str">
        <f aca="false">IF($A1186="","",SUBSTITUTE(Payroll!T1186," ",""))</f>
        <v/>
      </c>
      <c r="E1186" s="24" t="str">
        <f aca="false">IF($A1186="","",TEXT(Settings!$B$8,"yyyy-mm-dd"))</f>
        <v/>
      </c>
      <c r="F1186" s="24" t="str">
        <f aca="false">IF($A1186="","",TEXT(Settings!$B$9,"yyyy-mm-dd"))</f>
        <v/>
      </c>
      <c r="G1186" s="24" t="str">
        <f aca="false">IF($A1186="","",DAY(Settings!$B$9))</f>
        <v/>
      </c>
      <c r="H1186" s="26" t="str">
        <f aca="false">IF($A1186="","",ROUND(Payroll!R1186-Payroll!L1186-Payroll!M1186,2))</f>
        <v/>
      </c>
      <c r="I1186" s="26" t="str">
        <f aca="false">IF($A1186="","",ROUND(Payroll!L1186+Payroll!M1186,2))</f>
        <v/>
      </c>
      <c r="J1186" s="24" t="str">
        <f aca="false">IF($A1186="","",0)</f>
        <v/>
      </c>
    </row>
    <row r="1187" customFormat="false" ht="15" hidden="false" customHeight="false" outlineLevel="0" collapsed="false">
      <c r="A1187" s="24" t="str">
        <f aca="false">IF(AND(Payroll!$A1187&lt;&gt;"",N(Payroll!$R1187)&gt;0),"EDR","")</f>
        <v/>
      </c>
      <c r="B1187" s="24" t="str">
        <f aca="false">IF($A1187="","",Payroll!U1187)</f>
        <v/>
      </c>
      <c r="C1187" s="24" t="str">
        <f aca="false">IF($A1187="","",Payroll!S1187)</f>
        <v/>
      </c>
      <c r="D1187" s="24" t="str">
        <f aca="false">IF($A1187="","",SUBSTITUTE(Payroll!T1187," ",""))</f>
        <v/>
      </c>
      <c r="E1187" s="24" t="str">
        <f aca="false">IF($A1187="","",TEXT(Settings!$B$8,"yyyy-mm-dd"))</f>
        <v/>
      </c>
      <c r="F1187" s="24" t="str">
        <f aca="false">IF($A1187="","",TEXT(Settings!$B$9,"yyyy-mm-dd"))</f>
        <v/>
      </c>
      <c r="G1187" s="24" t="str">
        <f aca="false">IF($A1187="","",DAY(Settings!$B$9))</f>
        <v/>
      </c>
      <c r="H1187" s="26" t="str">
        <f aca="false">IF($A1187="","",ROUND(Payroll!R1187-Payroll!L1187-Payroll!M1187,2))</f>
        <v/>
      </c>
      <c r="I1187" s="26" t="str">
        <f aca="false">IF($A1187="","",ROUND(Payroll!L1187+Payroll!M1187,2))</f>
        <v/>
      </c>
      <c r="J1187" s="24" t="str">
        <f aca="false">IF($A1187="","",0)</f>
        <v/>
      </c>
    </row>
    <row r="1188" customFormat="false" ht="15" hidden="false" customHeight="false" outlineLevel="0" collapsed="false">
      <c r="A1188" s="24" t="str">
        <f aca="false">IF(AND(Payroll!$A1188&lt;&gt;"",N(Payroll!$R1188)&gt;0),"EDR","")</f>
        <v/>
      </c>
      <c r="B1188" s="24" t="str">
        <f aca="false">IF($A1188="","",Payroll!U1188)</f>
        <v/>
      </c>
      <c r="C1188" s="24" t="str">
        <f aca="false">IF($A1188="","",Payroll!S1188)</f>
        <v/>
      </c>
      <c r="D1188" s="24" t="str">
        <f aca="false">IF($A1188="","",SUBSTITUTE(Payroll!T1188," ",""))</f>
        <v/>
      </c>
      <c r="E1188" s="24" t="str">
        <f aca="false">IF($A1188="","",TEXT(Settings!$B$8,"yyyy-mm-dd"))</f>
        <v/>
      </c>
      <c r="F1188" s="24" t="str">
        <f aca="false">IF($A1188="","",TEXT(Settings!$B$9,"yyyy-mm-dd"))</f>
        <v/>
      </c>
      <c r="G1188" s="24" t="str">
        <f aca="false">IF($A1188="","",DAY(Settings!$B$9))</f>
        <v/>
      </c>
      <c r="H1188" s="26" t="str">
        <f aca="false">IF($A1188="","",ROUND(Payroll!R1188-Payroll!L1188-Payroll!M1188,2))</f>
        <v/>
      </c>
      <c r="I1188" s="26" t="str">
        <f aca="false">IF($A1188="","",ROUND(Payroll!L1188+Payroll!M1188,2))</f>
        <v/>
      </c>
      <c r="J1188" s="24" t="str">
        <f aca="false">IF($A1188="","",0)</f>
        <v/>
      </c>
    </row>
    <row r="1189" customFormat="false" ht="15" hidden="false" customHeight="false" outlineLevel="0" collapsed="false">
      <c r="A1189" s="24" t="str">
        <f aca="false">IF(AND(Payroll!$A1189&lt;&gt;"",N(Payroll!$R1189)&gt;0),"EDR","")</f>
        <v/>
      </c>
      <c r="B1189" s="24" t="str">
        <f aca="false">IF($A1189="","",Payroll!U1189)</f>
        <v/>
      </c>
      <c r="C1189" s="24" t="str">
        <f aca="false">IF($A1189="","",Payroll!S1189)</f>
        <v/>
      </c>
      <c r="D1189" s="24" t="str">
        <f aca="false">IF($A1189="","",SUBSTITUTE(Payroll!T1189," ",""))</f>
        <v/>
      </c>
      <c r="E1189" s="24" t="str">
        <f aca="false">IF($A1189="","",TEXT(Settings!$B$8,"yyyy-mm-dd"))</f>
        <v/>
      </c>
      <c r="F1189" s="24" t="str">
        <f aca="false">IF($A1189="","",TEXT(Settings!$B$9,"yyyy-mm-dd"))</f>
        <v/>
      </c>
      <c r="G1189" s="24" t="str">
        <f aca="false">IF($A1189="","",DAY(Settings!$B$9))</f>
        <v/>
      </c>
      <c r="H1189" s="26" t="str">
        <f aca="false">IF($A1189="","",ROUND(Payroll!R1189-Payroll!L1189-Payroll!M1189,2))</f>
        <v/>
      </c>
      <c r="I1189" s="26" t="str">
        <f aca="false">IF($A1189="","",ROUND(Payroll!L1189+Payroll!M1189,2))</f>
        <v/>
      </c>
      <c r="J1189" s="24" t="str">
        <f aca="false">IF($A1189="","",0)</f>
        <v/>
      </c>
    </row>
    <row r="1190" customFormat="false" ht="15" hidden="false" customHeight="false" outlineLevel="0" collapsed="false">
      <c r="A1190" s="24" t="str">
        <f aca="false">IF(AND(Payroll!$A1190&lt;&gt;"",N(Payroll!$R1190)&gt;0),"EDR","")</f>
        <v/>
      </c>
      <c r="B1190" s="24" t="str">
        <f aca="false">IF($A1190="","",Payroll!U1190)</f>
        <v/>
      </c>
      <c r="C1190" s="24" t="str">
        <f aca="false">IF($A1190="","",Payroll!S1190)</f>
        <v/>
      </c>
      <c r="D1190" s="24" t="str">
        <f aca="false">IF($A1190="","",SUBSTITUTE(Payroll!T1190," ",""))</f>
        <v/>
      </c>
      <c r="E1190" s="24" t="str">
        <f aca="false">IF($A1190="","",TEXT(Settings!$B$8,"yyyy-mm-dd"))</f>
        <v/>
      </c>
      <c r="F1190" s="24" t="str">
        <f aca="false">IF($A1190="","",TEXT(Settings!$B$9,"yyyy-mm-dd"))</f>
        <v/>
      </c>
      <c r="G1190" s="24" t="str">
        <f aca="false">IF($A1190="","",DAY(Settings!$B$9))</f>
        <v/>
      </c>
      <c r="H1190" s="26" t="str">
        <f aca="false">IF($A1190="","",ROUND(Payroll!R1190-Payroll!L1190-Payroll!M1190,2))</f>
        <v/>
      </c>
      <c r="I1190" s="26" t="str">
        <f aca="false">IF($A1190="","",ROUND(Payroll!L1190+Payroll!M1190,2))</f>
        <v/>
      </c>
      <c r="J1190" s="24" t="str">
        <f aca="false">IF($A1190="","",0)</f>
        <v/>
      </c>
    </row>
    <row r="1191" customFormat="false" ht="15" hidden="false" customHeight="false" outlineLevel="0" collapsed="false">
      <c r="A1191" s="24" t="str">
        <f aca="false">IF(AND(Payroll!$A1191&lt;&gt;"",N(Payroll!$R1191)&gt;0),"EDR","")</f>
        <v/>
      </c>
      <c r="B1191" s="24" t="str">
        <f aca="false">IF($A1191="","",Payroll!U1191)</f>
        <v/>
      </c>
      <c r="C1191" s="24" t="str">
        <f aca="false">IF($A1191="","",Payroll!S1191)</f>
        <v/>
      </c>
      <c r="D1191" s="24" t="str">
        <f aca="false">IF($A1191="","",SUBSTITUTE(Payroll!T1191," ",""))</f>
        <v/>
      </c>
      <c r="E1191" s="24" t="str">
        <f aca="false">IF($A1191="","",TEXT(Settings!$B$8,"yyyy-mm-dd"))</f>
        <v/>
      </c>
      <c r="F1191" s="24" t="str">
        <f aca="false">IF($A1191="","",TEXT(Settings!$B$9,"yyyy-mm-dd"))</f>
        <v/>
      </c>
      <c r="G1191" s="24" t="str">
        <f aca="false">IF($A1191="","",DAY(Settings!$B$9))</f>
        <v/>
      </c>
      <c r="H1191" s="26" t="str">
        <f aca="false">IF($A1191="","",ROUND(Payroll!R1191-Payroll!L1191-Payroll!M1191,2))</f>
        <v/>
      </c>
      <c r="I1191" s="26" t="str">
        <f aca="false">IF($A1191="","",ROUND(Payroll!L1191+Payroll!M1191,2))</f>
        <v/>
      </c>
      <c r="J1191" s="24" t="str">
        <f aca="false">IF($A1191="","",0)</f>
        <v/>
      </c>
    </row>
    <row r="1192" customFormat="false" ht="15" hidden="false" customHeight="false" outlineLevel="0" collapsed="false">
      <c r="A1192" s="24" t="str">
        <f aca="false">IF(AND(Payroll!$A1192&lt;&gt;"",N(Payroll!$R1192)&gt;0),"EDR","")</f>
        <v/>
      </c>
      <c r="B1192" s="24" t="str">
        <f aca="false">IF($A1192="","",Payroll!U1192)</f>
        <v/>
      </c>
      <c r="C1192" s="24" t="str">
        <f aca="false">IF($A1192="","",Payroll!S1192)</f>
        <v/>
      </c>
      <c r="D1192" s="24" t="str">
        <f aca="false">IF($A1192="","",SUBSTITUTE(Payroll!T1192," ",""))</f>
        <v/>
      </c>
      <c r="E1192" s="24" t="str">
        <f aca="false">IF($A1192="","",TEXT(Settings!$B$8,"yyyy-mm-dd"))</f>
        <v/>
      </c>
      <c r="F1192" s="24" t="str">
        <f aca="false">IF($A1192="","",TEXT(Settings!$B$9,"yyyy-mm-dd"))</f>
        <v/>
      </c>
      <c r="G1192" s="24" t="str">
        <f aca="false">IF($A1192="","",DAY(Settings!$B$9))</f>
        <v/>
      </c>
      <c r="H1192" s="26" t="str">
        <f aca="false">IF($A1192="","",ROUND(Payroll!R1192-Payroll!L1192-Payroll!M1192,2))</f>
        <v/>
      </c>
      <c r="I1192" s="26" t="str">
        <f aca="false">IF($A1192="","",ROUND(Payroll!L1192+Payroll!M1192,2))</f>
        <v/>
      </c>
      <c r="J1192" s="24" t="str">
        <f aca="false">IF($A1192="","",0)</f>
        <v/>
      </c>
    </row>
    <row r="1193" customFormat="false" ht="15" hidden="false" customHeight="false" outlineLevel="0" collapsed="false">
      <c r="A1193" s="24" t="str">
        <f aca="false">IF(AND(Payroll!$A1193&lt;&gt;"",N(Payroll!$R1193)&gt;0),"EDR","")</f>
        <v/>
      </c>
      <c r="B1193" s="24" t="str">
        <f aca="false">IF($A1193="","",Payroll!U1193)</f>
        <v/>
      </c>
      <c r="C1193" s="24" t="str">
        <f aca="false">IF($A1193="","",Payroll!S1193)</f>
        <v/>
      </c>
      <c r="D1193" s="24" t="str">
        <f aca="false">IF($A1193="","",SUBSTITUTE(Payroll!T1193," ",""))</f>
        <v/>
      </c>
      <c r="E1193" s="24" t="str">
        <f aca="false">IF($A1193="","",TEXT(Settings!$B$8,"yyyy-mm-dd"))</f>
        <v/>
      </c>
      <c r="F1193" s="24" t="str">
        <f aca="false">IF($A1193="","",TEXT(Settings!$B$9,"yyyy-mm-dd"))</f>
        <v/>
      </c>
      <c r="G1193" s="24" t="str">
        <f aca="false">IF($A1193="","",DAY(Settings!$B$9))</f>
        <v/>
      </c>
      <c r="H1193" s="26" t="str">
        <f aca="false">IF($A1193="","",ROUND(Payroll!R1193-Payroll!L1193-Payroll!M1193,2))</f>
        <v/>
      </c>
      <c r="I1193" s="26" t="str">
        <f aca="false">IF($A1193="","",ROUND(Payroll!L1193+Payroll!M1193,2))</f>
        <v/>
      </c>
      <c r="J1193" s="24" t="str">
        <f aca="false">IF($A1193="","",0)</f>
        <v/>
      </c>
    </row>
    <row r="1194" customFormat="false" ht="15" hidden="false" customHeight="false" outlineLevel="0" collapsed="false">
      <c r="A1194" s="24" t="str">
        <f aca="false">IF(AND(Payroll!$A1194&lt;&gt;"",N(Payroll!$R1194)&gt;0),"EDR","")</f>
        <v/>
      </c>
      <c r="B1194" s="24" t="str">
        <f aca="false">IF($A1194="","",Payroll!U1194)</f>
        <v/>
      </c>
      <c r="C1194" s="24" t="str">
        <f aca="false">IF($A1194="","",Payroll!S1194)</f>
        <v/>
      </c>
      <c r="D1194" s="24" t="str">
        <f aca="false">IF($A1194="","",SUBSTITUTE(Payroll!T1194," ",""))</f>
        <v/>
      </c>
      <c r="E1194" s="24" t="str">
        <f aca="false">IF($A1194="","",TEXT(Settings!$B$8,"yyyy-mm-dd"))</f>
        <v/>
      </c>
      <c r="F1194" s="24" t="str">
        <f aca="false">IF($A1194="","",TEXT(Settings!$B$9,"yyyy-mm-dd"))</f>
        <v/>
      </c>
      <c r="G1194" s="24" t="str">
        <f aca="false">IF($A1194="","",DAY(Settings!$B$9))</f>
        <v/>
      </c>
      <c r="H1194" s="26" t="str">
        <f aca="false">IF($A1194="","",ROUND(Payroll!R1194-Payroll!L1194-Payroll!M1194,2))</f>
        <v/>
      </c>
      <c r="I1194" s="26" t="str">
        <f aca="false">IF($A1194="","",ROUND(Payroll!L1194+Payroll!M1194,2))</f>
        <v/>
      </c>
      <c r="J1194" s="24" t="str">
        <f aca="false">IF($A1194="","",0)</f>
        <v/>
      </c>
    </row>
    <row r="1195" customFormat="false" ht="15" hidden="false" customHeight="false" outlineLevel="0" collapsed="false">
      <c r="A1195" s="24" t="str">
        <f aca="false">IF(AND(Payroll!$A1195&lt;&gt;"",N(Payroll!$R1195)&gt;0),"EDR","")</f>
        <v/>
      </c>
      <c r="B1195" s="24" t="str">
        <f aca="false">IF($A1195="","",Payroll!U1195)</f>
        <v/>
      </c>
      <c r="C1195" s="24" t="str">
        <f aca="false">IF($A1195="","",Payroll!S1195)</f>
        <v/>
      </c>
      <c r="D1195" s="24" t="str">
        <f aca="false">IF($A1195="","",SUBSTITUTE(Payroll!T1195," ",""))</f>
        <v/>
      </c>
      <c r="E1195" s="24" t="str">
        <f aca="false">IF($A1195="","",TEXT(Settings!$B$8,"yyyy-mm-dd"))</f>
        <v/>
      </c>
      <c r="F1195" s="24" t="str">
        <f aca="false">IF($A1195="","",TEXT(Settings!$B$9,"yyyy-mm-dd"))</f>
        <v/>
      </c>
      <c r="G1195" s="24" t="str">
        <f aca="false">IF($A1195="","",DAY(Settings!$B$9))</f>
        <v/>
      </c>
      <c r="H1195" s="26" t="str">
        <f aca="false">IF($A1195="","",ROUND(Payroll!R1195-Payroll!L1195-Payroll!M1195,2))</f>
        <v/>
      </c>
      <c r="I1195" s="26" t="str">
        <f aca="false">IF($A1195="","",ROUND(Payroll!L1195+Payroll!M1195,2))</f>
        <v/>
      </c>
      <c r="J1195" s="24" t="str">
        <f aca="false">IF($A1195="","",0)</f>
        <v/>
      </c>
    </row>
    <row r="1196" customFormat="false" ht="15" hidden="false" customHeight="false" outlineLevel="0" collapsed="false">
      <c r="A1196" s="24" t="str">
        <f aca="false">IF(AND(Payroll!$A1196&lt;&gt;"",N(Payroll!$R1196)&gt;0),"EDR","")</f>
        <v/>
      </c>
      <c r="B1196" s="24" t="str">
        <f aca="false">IF($A1196="","",Payroll!U1196)</f>
        <v/>
      </c>
      <c r="C1196" s="24" t="str">
        <f aca="false">IF($A1196="","",Payroll!S1196)</f>
        <v/>
      </c>
      <c r="D1196" s="24" t="str">
        <f aca="false">IF($A1196="","",SUBSTITUTE(Payroll!T1196," ",""))</f>
        <v/>
      </c>
      <c r="E1196" s="24" t="str">
        <f aca="false">IF($A1196="","",TEXT(Settings!$B$8,"yyyy-mm-dd"))</f>
        <v/>
      </c>
      <c r="F1196" s="24" t="str">
        <f aca="false">IF($A1196="","",TEXT(Settings!$B$9,"yyyy-mm-dd"))</f>
        <v/>
      </c>
      <c r="G1196" s="24" t="str">
        <f aca="false">IF($A1196="","",DAY(Settings!$B$9))</f>
        <v/>
      </c>
      <c r="H1196" s="26" t="str">
        <f aca="false">IF($A1196="","",ROUND(Payroll!R1196-Payroll!L1196-Payroll!M1196,2))</f>
        <v/>
      </c>
      <c r="I1196" s="26" t="str">
        <f aca="false">IF($A1196="","",ROUND(Payroll!L1196+Payroll!M1196,2))</f>
        <v/>
      </c>
      <c r="J1196" s="24" t="str">
        <f aca="false">IF($A1196="","",0)</f>
        <v/>
      </c>
    </row>
    <row r="1197" customFormat="false" ht="15" hidden="false" customHeight="false" outlineLevel="0" collapsed="false">
      <c r="A1197" s="24" t="str">
        <f aca="false">IF(AND(Payroll!$A1197&lt;&gt;"",N(Payroll!$R1197)&gt;0),"EDR","")</f>
        <v/>
      </c>
      <c r="B1197" s="24" t="str">
        <f aca="false">IF($A1197="","",Payroll!U1197)</f>
        <v/>
      </c>
      <c r="C1197" s="24" t="str">
        <f aca="false">IF($A1197="","",Payroll!S1197)</f>
        <v/>
      </c>
      <c r="D1197" s="24" t="str">
        <f aca="false">IF($A1197="","",SUBSTITUTE(Payroll!T1197," ",""))</f>
        <v/>
      </c>
      <c r="E1197" s="24" t="str">
        <f aca="false">IF($A1197="","",TEXT(Settings!$B$8,"yyyy-mm-dd"))</f>
        <v/>
      </c>
      <c r="F1197" s="24" t="str">
        <f aca="false">IF($A1197="","",TEXT(Settings!$B$9,"yyyy-mm-dd"))</f>
        <v/>
      </c>
      <c r="G1197" s="24" t="str">
        <f aca="false">IF($A1197="","",DAY(Settings!$B$9))</f>
        <v/>
      </c>
      <c r="H1197" s="26" t="str">
        <f aca="false">IF($A1197="","",ROUND(Payroll!R1197-Payroll!L1197-Payroll!M1197,2))</f>
        <v/>
      </c>
      <c r="I1197" s="26" t="str">
        <f aca="false">IF($A1197="","",ROUND(Payroll!L1197+Payroll!M1197,2))</f>
        <v/>
      </c>
      <c r="J1197" s="24" t="str">
        <f aca="false">IF($A1197="","",0)</f>
        <v/>
      </c>
    </row>
    <row r="1198" customFormat="false" ht="15" hidden="false" customHeight="false" outlineLevel="0" collapsed="false">
      <c r="A1198" s="24" t="str">
        <f aca="false">IF(AND(Payroll!$A1198&lt;&gt;"",N(Payroll!$R1198)&gt;0),"EDR","")</f>
        <v/>
      </c>
      <c r="B1198" s="24" t="str">
        <f aca="false">IF($A1198="","",Payroll!U1198)</f>
        <v/>
      </c>
      <c r="C1198" s="24" t="str">
        <f aca="false">IF($A1198="","",Payroll!S1198)</f>
        <v/>
      </c>
      <c r="D1198" s="24" t="str">
        <f aca="false">IF($A1198="","",SUBSTITUTE(Payroll!T1198," ",""))</f>
        <v/>
      </c>
      <c r="E1198" s="24" t="str">
        <f aca="false">IF($A1198="","",TEXT(Settings!$B$8,"yyyy-mm-dd"))</f>
        <v/>
      </c>
      <c r="F1198" s="24" t="str">
        <f aca="false">IF($A1198="","",TEXT(Settings!$B$9,"yyyy-mm-dd"))</f>
        <v/>
      </c>
      <c r="G1198" s="24" t="str">
        <f aca="false">IF($A1198="","",DAY(Settings!$B$9))</f>
        <v/>
      </c>
      <c r="H1198" s="26" t="str">
        <f aca="false">IF($A1198="","",ROUND(Payroll!R1198-Payroll!L1198-Payroll!M1198,2))</f>
        <v/>
      </c>
      <c r="I1198" s="26" t="str">
        <f aca="false">IF($A1198="","",ROUND(Payroll!L1198+Payroll!M1198,2))</f>
        <v/>
      </c>
      <c r="J1198" s="24" t="str">
        <f aca="false">IF($A1198="","",0)</f>
        <v/>
      </c>
    </row>
    <row r="1199" customFormat="false" ht="15" hidden="false" customHeight="false" outlineLevel="0" collapsed="false">
      <c r="A1199" s="24" t="str">
        <f aca="false">IF(AND(Payroll!$A1199&lt;&gt;"",N(Payroll!$R1199)&gt;0),"EDR","")</f>
        <v/>
      </c>
      <c r="B1199" s="24" t="str">
        <f aca="false">IF($A1199="","",Payroll!U1199)</f>
        <v/>
      </c>
      <c r="C1199" s="24" t="str">
        <f aca="false">IF($A1199="","",Payroll!S1199)</f>
        <v/>
      </c>
      <c r="D1199" s="24" t="str">
        <f aca="false">IF($A1199="","",SUBSTITUTE(Payroll!T1199," ",""))</f>
        <v/>
      </c>
      <c r="E1199" s="24" t="str">
        <f aca="false">IF($A1199="","",TEXT(Settings!$B$8,"yyyy-mm-dd"))</f>
        <v/>
      </c>
      <c r="F1199" s="24" t="str">
        <f aca="false">IF($A1199="","",TEXT(Settings!$B$9,"yyyy-mm-dd"))</f>
        <v/>
      </c>
      <c r="G1199" s="24" t="str">
        <f aca="false">IF($A1199="","",DAY(Settings!$B$9))</f>
        <v/>
      </c>
      <c r="H1199" s="26" t="str">
        <f aca="false">IF($A1199="","",ROUND(Payroll!R1199-Payroll!L1199-Payroll!M1199,2))</f>
        <v/>
      </c>
      <c r="I1199" s="26" t="str">
        <f aca="false">IF($A1199="","",ROUND(Payroll!L1199+Payroll!M1199,2))</f>
        <v/>
      </c>
      <c r="J1199" s="24" t="str">
        <f aca="false">IF($A1199="","",0)</f>
        <v/>
      </c>
    </row>
    <row r="1200" customFormat="false" ht="15" hidden="false" customHeight="false" outlineLevel="0" collapsed="false">
      <c r="A1200" s="24" t="str">
        <f aca="false">IF(AND(Payroll!$A1200&lt;&gt;"",N(Payroll!$R1200)&gt;0),"EDR","")</f>
        <v/>
      </c>
      <c r="B1200" s="24" t="str">
        <f aca="false">IF($A1200="","",Payroll!U1200)</f>
        <v/>
      </c>
      <c r="C1200" s="24" t="str">
        <f aca="false">IF($A1200="","",Payroll!S1200)</f>
        <v/>
      </c>
      <c r="D1200" s="24" t="str">
        <f aca="false">IF($A1200="","",SUBSTITUTE(Payroll!T1200," ",""))</f>
        <v/>
      </c>
      <c r="E1200" s="24" t="str">
        <f aca="false">IF($A1200="","",TEXT(Settings!$B$8,"yyyy-mm-dd"))</f>
        <v/>
      </c>
      <c r="F1200" s="24" t="str">
        <f aca="false">IF($A1200="","",TEXT(Settings!$B$9,"yyyy-mm-dd"))</f>
        <v/>
      </c>
      <c r="G1200" s="24" t="str">
        <f aca="false">IF($A1200="","",DAY(Settings!$B$9))</f>
        <v/>
      </c>
      <c r="H1200" s="26" t="str">
        <f aca="false">IF($A1200="","",ROUND(Payroll!R1200-Payroll!L1200-Payroll!M1200,2))</f>
        <v/>
      </c>
      <c r="I1200" s="26" t="str">
        <f aca="false">IF($A1200="","",ROUND(Payroll!L1200+Payroll!M1200,2))</f>
        <v/>
      </c>
      <c r="J1200" s="24" t="str">
        <f aca="false">IF($A1200="","",0)</f>
        <v/>
      </c>
    </row>
    <row r="1201" customFormat="false" ht="15" hidden="false" customHeight="false" outlineLevel="0" collapsed="false">
      <c r="A1201" s="24" t="str">
        <f aca="false">IF(AND(Payroll!$A1201&lt;&gt;"",N(Payroll!$R1201)&gt;0),"EDR","")</f>
        <v/>
      </c>
      <c r="B1201" s="24" t="str">
        <f aca="false">IF($A1201="","",Payroll!U1201)</f>
        <v/>
      </c>
      <c r="C1201" s="24" t="str">
        <f aca="false">IF($A1201="","",Payroll!S1201)</f>
        <v/>
      </c>
      <c r="D1201" s="24" t="str">
        <f aca="false">IF($A1201="","",SUBSTITUTE(Payroll!T1201," ",""))</f>
        <v/>
      </c>
      <c r="E1201" s="24" t="str">
        <f aca="false">IF($A1201="","",TEXT(Settings!$B$8,"yyyy-mm-dd"))</f>
        <v/>
      </c>
      <c r="F1201" s="24" t="str">
        <f aca="false">IF($A1201="","",TEXT(Settings!$B$9,"yyyy-mm-dd"))</f>
        <v/>
      </c>
      <c r="G1201" s="24" t="str">
        <f aca="false">IF($A1201="","",DAY(Settings!$B$9))</f>
        <v/>
      </c>
      <c r="H1201" s="26" t="str">
        <f aca="false">IF($A1201="","",ROUND(Payroll!R1201-Payroll!L1201-Payroll!M1201,2))</f>
        <v/>
      </c>
      <c r="I1201" s="26" t="str">
        <f aca="false">IF($A1201="","",ROUND(Payroll!L1201+Payroll!M1201,2))</f>
        <v/>
      </c>
      <c r="J1201" s="24" t="str">
        <f aca="false">IF($A1201="","",0)</f>
        <v/>
      </c>
    </row>
    <row r="1202" customFormat="false" ht="15" hidden="false" customHeight="false" outlineLevel="0" collapsed="false">
      <c r="A1202" s="24" t="str">
        <f aca="false">IF(AND(Payroll!$A1202&lt;&gt;"",N(Payroll!$R1202)&gt;0),"EDR","")</f>
        <v/>
      </c>
      <c r="B1202" s="24" t="str">
        <f aca="false">IF($A1202="","",Payroll!U1202)</f>
        <v/>
      </c>
      <c r="C1202" s="24" t="str">
        <f aca="false">IF($A1202="","",Payroll!S1202)</f>
        <v/>
      </c>
      <c r="D1202" s="24" t="str">
        <f aca="false">IF($A1202="","",SUBSTITUTE(Payroll!T1202," ",""))</f>
        <v/>
      </c>
      <c r="E1202" s="24" t="str">
        <f aca="false">IF($A1202="","",TEXT(Settings!$B$8,"yyyy-mm-dd"))</f>
        <v/>
      </c>
      <c r="F1202" s="24" t="str">
        <f aca="false">IF($A1202="","",TEXT(Settings!$B$9,"yyyy-mm-dd"))</f>
        <v/>
      </c>
      <c r="G1202" s="24" t="str">
        <f aca="false">IF($A1202="","",DAY(Settings!$B$9))</f>
        <v/>
      </c>
      <c r="H1202" s="26" t="str">
        <f aca="false">IF($A1202="","",ROUND(Payroll!R1202-Payroll!L1202-Payroll!M1202,2))</f>
        <v/>
      </c>
      <c r="I1202" s="26" t="str">
        <f aca="false">IF($A1202="","",ROUND(Payroll!L1202+Payroll!M1202,2))</f>
        <v/>
      </c>
      <c r="J1202" s="24" t="str">
        <f aca="false">IF($A1202="","",0)</f>
        <v/>
      </c>
    </row>
    <row r="1203" customFormat="false" ht="15" hidden="false" customHeight="false" outlineLevel="0" collapsed="false">
      <c r="A1203" s="24" t="str">
        <f aca="false">IF(AND(Payroll!$A1203&lt;&gt;"",N(Payroll!$R1203)&gt;0),"EDR","")</f>
        <v/>
      </c>
      <c r="B1203" s="24" t="str">
        <f aca="false">IF($A1203="","",Payroll!U1203)</f>
        <v/>
      </c>
      <c r="C1203" s="24" t="str">
        <f aca="false">IF($A1203="","",Payroll!S1203)</f>
        <v/>
      </c>
      <c r="D1203" s="24" t="str">
        <f aca="false">IF($A1203="","",SUBSTITUTE(Payroll!T1203," ",""))</f>
        <v/>
      </c>
      <c r="E1203" s="24" t="str">
        <f aca="false">IF($A1203="","",TEXT(Settings!$B$8,"yyyy-mm-dd"))</f>
        <v/>
      </c>
      <c r="F1203" s="24" t="str">
        <f aca="false">IF($A1203="","",TEXT(Settings!$B$9,"yyyy-mm-dd"))</f>
        <v/>
      </c>
      <c r="G1203" s="24" t="str">
        <f aca="false">IF($A1203="","",DAY(Settings!$B$9))</f>
        <v/>
      </c>
      <c r="H1203" s="26" t="str">
        <f aca="false">IF($A1203="","",ROUND(Payroll!R1203-Payroll!L1203-Payroll!M1203,2))</f>
        <v/>
      </c>
      <c r="I1203" s="26" t="str">
        <f aca="false">IF($A1203="","",ROUND(Payroll!L1203+Payroll!M1203,2))</f>
        <v/>
      </c>
      <c r="J1203" s="24" t="str">
        <f aca="false">IF($A1203="","",0)</f>
        <v/>
      </c>
    </row>
    <row r="1204" customFormat="false" ht="15" hidden="false" customHeight="false" outlineLevel="0" collapsed="false">
      <c r="A1204" s="24" t="str">
        <f aca="false">IF(AND(Payroll!$A1204&lt;&gt;"",N(Payroll!$R1204)&gt;0),"EDR","")</f>
        <v/>
      </c>
      <c r="B1204" s="24" t="str">
        <f aca="false">IF($A1204="","",Payroll!U1204)</f>
        <v/>
      </c>
      <c r="C1204" s="24" t="str">
        <f aca="false">IF($A1204="","",Payroll!S1204)</f>
        <v/>
      </c>
      <c r="D1204" s="24" t="str">
        <f aca="false">IF($A1204="","",SUBSTITUTE(Payroll!T1204," ",""))</f>
        <v/>
      </c>
      <c r="E1204" s="24" t="str">
        <f aca="false">IF($A1204="","",TEXT(Settings!$B$8,"yyyy-mm-dd"))</f>
        <v/>
      </c>
      <c r="F1204" s="24" t="str">
        <f aca="false">IF($A1204="","",TEXT(Settings!$B$9,"yyyy-mm-dd"))</f>
        <v/>
      </c>
      <c r="G1204" s="24" t="str">
        <f aca="false">IF($A1204="","",DAY(Settings!$B$9))</f>
        <v/>
      </c>
      <c r="H1204" s="26" t="str">
        <f aca="false">IF($A1204="","",ROUND(Payroll!R1204-Payroll!L1204-Payroll!M1204,2))</f>
        <v/>
      </c>
      <c r="I1204" s="26" t="str">
        <f aca="false">IF($A1204="","",ROUND(Payroll!L1204+Payroll!M1204,2))</f>
        <v/>
      </c>
      <c r="J1204" s="24" t="str">
        <f aca="false">IF($A1204="","",0)</f>
        <v/>
      </c>
    </row>
  </sheetData>
  <hyperlinks>
    <hyperlink ref="G1" r:id="rId1" location="'HOME'!A1" display="« HO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2026-11-01T05:10:55Z</dcterms:created>
  <dc:creator>openpyxl</dc:creator>
  <dc:description/>
  <dc:language>en-US</dc:language>
  <cp:lastModifiedBy/>
  <dcterms:modified xsi:type="dcterms:W3CDTF">2026-11-01T05:10:57Z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